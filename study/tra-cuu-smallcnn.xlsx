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ướng dẫn" sheetId="1" state="visible" r:id="rId3"/>
    <sheet name="Tra conv1" sheetId="2" state="visible" r:id="rId4"/>
    <sheet name="Tra conv2" sheetId="3" state="visible" r:id="rId5"/>
    <sheet name="Tra conv3" sheetId="4" state="visible" r:id="rId6"/>
    <sheet name="Tra maxpool" sheetId="5" state="visible" r:id="rId7"/>
    <sheet name="Tra fc" sheetId="6" state="visible" r:id="rId8"/>
    <sheet name="weights" sheetId="7" state="visible" r:id="rId9"/>
    <sheet name="biases" sheetId="8" state="visible" r:id="rId10"/>
    <sheet name="input" sheetId="9" state="visible" r:id="rId11"/>
    <sheet name="conv1" sheetId="10" state="visible" r:id="rId12"/>
    <sheet name="relu1" sheetId="11" state="visible" r:id="rId13"/>
    <sheet name="pool1" sheetId="12" state="visible" r:id="rId14"/>
    <sheet name="conv2" sheetId="13" state="visible" r:id="rId15"/>
    <sheet name="relu2" sheetId="14" state="visible" r:id="rId16"/>
    <sheet name="pool2" sheetId="15" state="visible" r:id="rId17"/>
    <sheet name="conv3" sheetId="16" state="visible" r:id="rId18"/>
    <sheet name="relu3" sheetId="17" state="visible" r:id="rId19"/>
    <sheet name="pool3" sheetId="18" state="visible" r:id="rId20"/>
    <sheet name="fc" sheetId="19" state="visible" r:id="rId21"/>
  </sheets>
  <definedNames>
    <definedName function="false" hidden="true" localSheetId="7" name="_xlnm._FilterDatabase" vbProcedure="false">biases!$A$1:$E$51</definedName>
    <definedName function="false" hidden="true" localSheetId="9" name="_xlnm._FilterDatabase" vbProcedure="false">conv1!$A$1:$F$6273</definedName>
    <definedName function="false" hidden="true" localSheetId="12" name="_xlnm._FilterDatabase" vbProcedure="false">conv2!$A$1:$F$3137</definedName>
    <definedName function="false" hidden="true" localSheetId="15" name="_xlnm._FilterDatabase" vbProcedure="false">conv3!$A$1:$F$785</definedName>
    <definedName function="false" hidden="true" localSheetId="18" name="_xlnm._FilterDatabase" vbProcedure="false">fc!$A$1:$D$11</definedName>
    <definedName function="false" hidden="true" localSheetId="8" name="_xlnm._FilterDatabase" vbProcedure="false">input!$A$1:$F$785</definedName>
    <definedName function="false" hidden="true" localSheetId="11" name="_xlnm._FilterDatabase" vbProcedure="false">pool1!$A$1:$F$1569</definedName>
    <definedName function="false" hidden="true" localSheetId="14" name="_xlnm._FilterDatabase" vbProcedure="false">pool2!$A$1:$F$785</definedName>
    <definedName function="false" hidden="true" localSheetId="17" name="_xlnm._FilterDatabase" vbProcedure="false">pool3!$A$1:$F$145</definedName>
    <definedName function="false" hidden="true" localSheetId="10" name="_xlnm._FilterDatabase" vbProcedure="false">relu1!$A$1:$F$6273</definedName>
    <definedName function="false" hidden="true" localSheetId="13" name="_xlnm._FilterDatabase" vbProcedure="false">relu2!$A$1:$F$3137</definedName>
    <definedName function="false" hidden="true" localSheetId="16" name="_xlnm._FilterDatabase" vbProcedure="false">relu3!$A$1:$F$785</definedName>
    <definedName function="false" hidden="true" localSheetId="6" name="_xlnm._FilterDatabase" vbProcedure="false">weights!$A$1:$H$4969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<sst xmlns="http://schemas.openxmlformats.org/spreadsheetml/2006/main" count="5259" uniqueCount="136">
  <si>
    <t xml:space="preserve">Hướng dẫn dùng file tra cứu SmallCNN</t>
  </si>
  <si>
    <t xml:space="preserve">Đường inference: input → conv1 → relu1 → pool1 → conv2 → relu2 → pool2 → conv3 → relu3 → pool3 → flatten → fc → argmax</t>
  </si>
  <si>
    <t xml:space="preserve">Sheet tính toán (nhập ô vàng, mọi thứ khác là công thức):</t>
  </si>
  <si>
    <t xml:space="preserve">  • Tra conv1 — 9 MAC/điểm. Ví dụ sẵn (0, 26, 12) = bài 2 trong on-tap-flow-7-buoc.md. Đổi thành (0, 0, 0) để ra bài 3, (0, 0, 14) để ra bài 3 phần B.</t>
  </si>
  <si>
    <t xml:space="preserve">  • Tra conv2 — 72 MAC/điểm. Ví dụ (15, 3, 3), giống trang "Bảng tra in và w".</t>
  </si>
  <si>
    <t xml:space="preserve">  • Tra conv3 — 144 MAC/điểm.</t>
  </si>
  <si>
    <t xml:space="preserve">  • Tra maxpool — chọn lớp 1/2/3: 4 giá trị conv → ReLU → 3 phép so sánh → so với PyTorch.</t>
  </si>
  <si>
    <t xml:space="preserve">  • Tra fc — 1 logit = 144 MAC từ flatten pool3; kèm bảng 10 logit và argmax.</t>
  </si>
  <si>
    <t xml:space="preserve">Sheet dữ liệu (toàn bộ số trong file txt, có số dòng + nhãn kênh/hàng/cột, dùng Filter để dò):</t>
  </si>
  <si>
    <t xml:space="preserve">  weights (4.968) · biases (50) · input · conv1 · relu1 · pool1 · conv2 · relu2 · pool2 · conv3 · relu3 · pool3 · fc</t>
  </si>
  <si>
    <t xml:space="preserve">Offset trong weights.txt: conv1 0 · conv2 72 · conv3 1224 · fc 3528.   Offset trong biases.txt: conv1 0 · conv2 8 · conv3 24 · fc 40.</t>
  </si>
  <si>
    <t xml:space="preserve">Chỉ số tensor [C][H][W]: (kênh·H + hàng)·W + cột.   Chỉ số w conv: ((oc·IC + ic)·3 + ky)·3 + kx.   fc: o·144 + k.</t>
  </si>
  <si>
    <t xml:space="preserve">"Dòng ..." = số dòng khi mở bằng VS Code (đếm từ 1). Kiểm bằng: sed -n '&lt;dòng&gt;p' &lt;file&gt;</t>
  </si>
  <si>
    <t xml:space="preserve">Màu: chữ xanh dương = số gốc từ file txt · chữ đen = công thức · nền vàng = ô nhập · nền xanh lá = kết quả chính · dòng xám nghiêng = ô đệm.</t>
  </si>
  <si>
    <t xml:space="preserve">Lệch cỡ 1e-6 so với PyTorch là do Excel tính float64, PyTorch float32 — không phải sai thuật toán.</t>
  </si>
  <si>
    <t xml:space="preserve">Dữ liệu sinh từ params/ và golden/ (export_params.py, ảnh test số 0, nhãn 7). Không sửa tay các sheet dữ liệu.</t>
  </si>
  <si>
    <t xml:space="preserve">conv1 — tính 1 điểm output (9 MAC = 1 kênh vào × 9)</t>
  </si>
  <si>
    <t xml:space="preserve">Nhập 3 ô vàng. Input lấy từ sheet "input", trọng số từ "weights" (offset 0), bias từ "biases" (offset 0), so với "conv1".</t>
  </si>
  <si>
    <t xml:space="preserve">oc (kênh ra, 0–7)</t>
  </si>
  <si>
    <t xml:space="preserve">y (hàng, 0–27)</t>
  </si>
  <si>
    <t xml:space="preserve">x (cột, 0–27)</t>
  </si>
  <si>
    <t xml:space="preserve">bias[oc]  (biases.txt)</t>
  </si>
  <si>
    <t xml:space="preserve">Dòng biases.txt:</t>
  </si>
  <si>
    <t xml:space="preserve">Σ 9 tích</t>
  </si>
  <si>
    <t xml:space="preserve">acc = bias + Σ  → output (trước ReLU)</t>
  </si>
  <si>
    <t xml:space="preserve">PyTorch (sheet conv1)</t>
  </si>
  <si>
    <t xml:space="preserve">Dòng golden/01_conv1.txt:</t>
  </si>
  <si>
    <t xml:space="preserve">Lệch |acc − PyTorch|</t>
  </si>
  <si>
    <t xml:space="preserve">Sau ReLU = max(0, acc)</t>
  </si>
  <si>
    <t xml:space="preserve">Bảng 9 MAC — mỗi nhóm 9 dòng là 1 kênh vào. Dòng xám = ô đệm (in = 0, không đọc file).</t>
  </si>
  <si>
    <t xml:space="preserve">ic</t>
  </si>
  <si>
    <t xml:space="preserve">ky</t>
  </si>
  <si>
    <t xml:space="preserve">kx</t>
  </si>
  <si>
    <t xml:space="preserve">hàng = y+ky−1</t>
  </si>
  <si>
    <t xml:space="preserve">cột = x+kx−1</t>
  </si>
  <si>
    <t xml:space="preserve">Trong ảnh / đệm</t>
  </si>
  <si>
    <t xml:space="preserve">Chỉ số in (0)</t>
  </si>
  <si>
    <t xml:space="preserve">Dòng input.txt</t>
  </si>
  <si>
    <t xml:space="preserve">in</t>
  </si>
  <si>
    <t xml:space="preserve">Chỉ số w trong lớp</t>
  </si>
  <si>
    <t xml:space="preserve">Vị trí file (+0)</t>
  </si>
  <si>
    <t xml:space="preserve">Dòng weights.txt</t>
  </si>
  <si>
    <t xml:space="preserve">w</t>
  </si>
  <si>
    <t xml:space="preserve">Tích in·w</t>
  </si>
  <si>
    <t xml:space="preserve">acc cộng dồn</t>
  </si>
  <si>
    <t xml:space="preserve">conv2 — tính 1 điểm output (72 MAC = 8 kênh vào × 9)</t>
  </si>
  <si>
    <t xml:space="preserve">Nhập 3 ô vàng. Input lấy từ sheet "pool1", trọng số từ "weights" (offset 72), bias từ "biases" (offset 8), so với "conv2".</t>
  </si>
  <si>
    <t xml:space="preserve">oc (kênh ra, 0–15)</t>
  </si>
  <si>
    <t xml:space="preserve">y (hàng, 0–13)</t>
  </si>
  <si>
    <t xml:space="preserve">x (cột, 0–13)</t>
  </si>
  <si>
    <t xml:space="preserve">Σ 72 tích</t>
  </si>
  <si>
    <t xml:space="preserve">PyTorch (sheet conv2)</t>
  </si>
  <si>
    <t xml:space="preserve">Dòng golden/04_conv2.txt:</t>
  </si>
  <si>
    <t xml:space="preserve">Bảng 72 MAC — mỗi nhóm 9 dòng là 1 kênh vào. Dòng xám = ô đệm (in = 0, không đọc file).</t>
  </si>
  <si>
    <t xml:space="preserve">Dòng 03_pool1.txt</t>
  </si>
  <si>
    <t xml:space="preserve">Vị trí file (+72)</t>
  </si>
  <si>
    <t xml:space="preserve">conv3 — tính 1 điểm output (144 MAC = 16 kênh vào × 9)</t>
  </si>
  <si>
    <t xml:space="preserve">Nhập 3 ô vàng. Input lấy từ sheet "pool2", trọng số từ "weights" (offset 1224), bias từ "biases" (offset 24), so với "conv3".</t>
  </si>
  <si>
    <t xml:space="preserve">y (hàng, 0–6)</t>
  </si>
  <si>
    <t xml:space="preserve">x (cột, 0–6)</t>
  </si>
  <si>
    <t xml:space="preserve">Σ 144 tích</t>
  </si>
  <si>
    <t xml:space="preserve">PyTorch (sheet conv3)</t>
  </si>
  <si>
    <t xml:space="preserve">Dòng golden/07_conv3.txt:</t>
  </si>
  <si>
    <t xml:space="preserve">Bảng 144 MAC — mỗi nhóm 9 dòng là 1 kênh vào. Dòng xám = ô đệm (in = 0, không đọc file).</t>
  </si>
  <si>
    <t xml:space="preserve">Dòng 06_pool2.txt</t>
  </si>
  <si>
    <t xml:space="preserve">Vị trí file (+1224)</t>
  </si>
  <si>
    <t xml:space="preserve">ReLU + MaxPool 2×2 — tính 1 điểm output của pool</t>
  </si>
  <si>
    <t xml:space="preserve">Chọn lớp (1, 2, 3). Lấy 4 giá trị conv → ReLU → max (3 phép so sánh). Pool 3 chỉ có 3×3 vì floor(7/2) = 3.</t>
  </si>
  <si>
    <t xml:space="preserve">lớp (1, 2, 3)</t>
  </si>
  <si>
    <t xml:space="preserve">Kích thước vào H:</t>
  </si>
  <si>
    <t xml:space="preserve">kênh c (0–7 / 0–15)</t>
  </si>
  <si>
    <t xml:space="preserve">Kích thước ra:</t>
  </si>
  <si>
    <t xml:space="preserve">y (hàng output)</t>
  </si>
  <si>
    <t xml:space="preserve">Số kênh:</t>
  </si>
  <si>
    <t xml:space="preserve">x (cột output)</t>
  </si>
  <si>
    <t xml:space="preserve">Hợp lệ?</t>
  </si>
  <si>
    <t xml:space="preserve">dy</t>
  </si>
  <si>
    <t xml:space="preserve">dx</t>
  </si>
  <si>
    <t xml:space="preserve">hàng vào = 2y+dy</t>
  </si>
  <si>
    <t xml:space="preserve">cột vào = 2x+dx</t>
  </si>
  <si>
    <t xml:space="preserve">Chỉ số (0)</t>
  </si>
  <si>
    <t xml:space="preserve">Dòng file conv/relu</t>
  </si>
  <si>
    <t xml:space="preserve">conv (trước ReLU)</t>
  </si>
  <si>
    <t xml:space="preserve">ReLU = max(0, ·)</t>
  </si>
  <si>
    <t xml:space="preserve">So sánh 1: max(a, b)</t>
  </si>
  <si>
    <t xml:space="preserve">So sánh 2: max(…, c)</t>
  </si>
  <si>
    <t xml:space="preserve">So sánh 3: max(…, d) → output pool</t>
  </si>
  <si>
    <t xml:space="preserve">PyTorch (sheet pool1/2/3)</t>
  </si>
  <si>
    <t xml:space="preserve">Dòng file pool:</t>
  </si>
  <si>
    <t xml:space="preserve">Lệch</t>
  </si>
  <si>
    <t xml:space="preserve">Ghi chú: ReLU ở đây đọc từ sheet conv rồi tự lấy max(0, ·) để thấy rõ phép ReLU; sheet relu1/2/3 chứa sẵn kết quả PyTorch để đối chiếu.</t>
  </si>
  <si>
    <t xml:space="preserve">fc (Linear 144→10) — tính 1 logit (144 MAC) + argmax</t>
  </si>
  <si>
    <t xml:space="preserve">Nhập chữ số o (0–9). Input = flatten của pool3 (16×3×3 → 144, thứ tự NCHW: k = c·9 + h·3 + w).</t>
  </si>
  <si>
    <t xml:space="preserve">o (logit của chữ số, 0–9)</t>
  </si>
  <si>
    <t xml:space="preserve">10 logit PyTorch</t>
  </si>
  <si>
    <t xml:space="preserve">bias[o]  (biases.txt, offset 40)</t>
  </si>
  <si>
    <t xml:space="preserve">logit = bias + Σ</t>
  </si>
  <si>
    <t xml:space="preserve">PyTorch (sheet fc)</t>
  </si>
  <si>
    <t xml:space="preserve">argmax →</t>
  </si>
  <si>
    <t xml:space="preserve">(9 phép so sánh; nhãn đúng = 7)</t>
  </si>
  <si>
    <t xml:space="preserve">Bảng 144 MAC — mỗi nhóm 9 dòng là 1 kênh c của pool3.</t>
  </si>
  <si>
    <t xml:space="preserve">k (0–143)</t>
  </si>
  <si>
    <t xml:space="preserve">c = k÷9</t>
  </si>
  <si>
    <t xml:space="preserve">h</t>
  </si>
  <si>
    <t xml:space="preserve">Dòng 09_pool3.txt</t>
  </si>
  <si>
    <t xml:space="preserve">in (pool3)</t>
  </si>
  <si>
    <t xml:space="preserve">Chỉ số w trong fc = o·144 + k</t>
  </si>
  <si>
    <t xml:space="preserve">Dòng weights.txt (+3528)</t>
  </si>
  <si>
    <t xml:space="preserve">Tích</t>
  </si>
  <si>
    <t xml:space="preserve">Dòng trong file</t>
  </si>
  <si>
    <t xml:space="preserve">Chỉ số (đếm từ 0)</t>
  </si>
  <si>
    <t xml:space="preserve">Lớp</t>
  </si>
  <si>
    <t xml:space="preserve">oc (kênh ra / chữ số)</t>
  </si>
  <si>
    <t xml:space="preserve">ic (kênh vào / k của fc)</t>
  </si>
  <si>
    <t xml:space="preserve">Giá trị</t>
  </si>
  <si>
    <t xml:space="preserve">Nguồn: params/weights.txt. Thứ tự [oc][ic][ky][kx]; fc là [o][k].</t>
  </si>
  <si>
    <t xml:space="preserve">conv1</t>
  </si>
  <si>
    <t xml:space="preserve">conv2</t>
  </si>
  <si>
    <t xml:space="preserve">conv3</t>
  </si>
  <si>
    <t xml:space="preserve">fc</t>
  </si>
  <si>
    <t xml:space="preserve">Nguồn: params/biases.txt.</t>
  </si>
  <si>
    <t xml:space="preserve">kênh</t>
  </si>
  <si>
    <t xml:space="preserve">hàng</t>
  </si>
  <si>
    <t xml:space="preserve">cột</t>
  </si>
  <si>
    <t xml:space="preserve">Nguồn: golden/input.txt — shape [1][28][28]. Chỉ số = (kênh·28 + hàng)·28 + cột.</t>
  </si>
  <si>
    <t xml:space="preserve">Nguồn: golden/01_conv1.txt — shape [8][28][28]. Chỉ số = (kênh·28 + hàng)·28 + cột.</t>
  </si>
  <si>
    <t xml:space="preserve">Nguồn: golden/02_relu1.txt — shape [8][28][28]. Chỉ số = (kênh·28 + hàng)·28 + cột.</t>
  </si>
  <si>
    <t xml:space="preserve">Nguồn: golden/03_pool1.txt — shape [8][14][14]. Chỉ số = (kênh·14 + hàng)·14 + cột.</t>
  </si>
  <si>
    <t xml:space="preserve">Nguồn: golden/04_conv2.txt — shape [16][14][14]. Chỉ số = (kênh·14 + hàng)·14 + cột.</t>
  </si>
  <si>
    <t xml:space="preserve">Nguồn: golden/05_relu2.txt — shape [16][14][14]. Chỉ số = (kênh·14 + hàng)·14 + cột.</t>
  </si>
  <si>
    <t xml:space="preserve">Nguồn: golden/06_pool2.txt — shape [16][7][7]. Chỉ số = (kênh·7 + hàng)·7 + cột.</t>
  </si>
  <si>
    <t xml:space="preserve">Nguồn: golden/07_conv3.txt — shape [16][7][7]. Chỉ số = (kênh·7 + hàng)·7 + cột.</t>
  </si>
  <si>
    <t xml:space="preserve">Nguồn: golden/08_relu3.txt — shape [16][7][7]. Chỉ số = (kênh·7 + hàng)·7 + cột.</t>
  </si>
  <si>
    <t xml:space="preserve">Nguồn: golden/09_pool3.txt — shape [16][3][3]. Chỉ số = (kênh·3 + hàng)·3 + cột.</t>
  </si>
  <si>
    <t xml:space="preserve">Chữ số (logit)</t>
  </si>
  <si>
    <t xml:space="preserve">Nguồn: golden/11_fc_logits.txt — 10 logit PyTorch.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</si>
</sst>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"/>
    <numFmt numFmtId="166" formatCode="0.00E+00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2EFDA"/>
        <bgColor rgb="FFEDEDED"/>
      </patternFill>
    </fill>
    <fill>
      <patternFill patternType="solid">
        <fgColor rgb="FF305496"/>
        <bgColor rgb="FF666699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EDED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30549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i val="1"/>
        <color rgb="FF808080"/>
        <sz val="10"/>
      </font>
      <fill>
        <patternFill>
          <bgColor rgb="FFEDEDED"/>
        </patternFill>
      </fill>
    </dxf>
    <dxf>
      <font>
        <name val="Arial"/>
        <charset val="1"/>
        <family val="0"/>
        <b val="1"/>
        <sz val="10"/>
      </font>
      <fill>
        <patternFill>
          <bgColor rgb="FFE2EFDA"/>
        </patternFill>
      </fill>
    </dxf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3" t="s">
        <v>9</v>
      </c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  <row r="19" customFormat="false" ht="15" hidden="false" customHeight="false" outlineLevel="0" collapsed="false">
      <c r="A19" s="3" t="s">
        <v>13</v>
      </c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5"/>
    <col collapsed="false" customWidth="true" hidden="false" outlineLevel="0" max="5" min="4" style="0" width="13"/>
    <col collapsed="false" customWidth="true" hidden="false" outlineLevel="0" max="7" min="6" style="0" width="11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1" min="10" style="0" width="13"/>
    <col collapsed="false" customWidth="true" hidden="false" outlineLevel="0" max="14" min="12" style="0" width="12"/>
    <col collapsed="false" customWidth="true" hidden="false" outlineLevel="0" max="15" min="15" style="0" width="13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4" t="s">
        <v>17</v>
      </c>
    </row>
    <row r="4" customFormat="false" ht="15" hidden="false" customHeight="false" outlineLevel="0" collapsed="false">
      <c r="A4" s="2" t="s">
        <v>18</v>
      </c>
      <c r="B4" s="5" t="n">
        <v>0</v>
      </c>
    </row>
    <row r="5" customFormat="false" ht="15" hidden="false" customHeight="false" outlineLevel="0" collapsed="false">
      <c r="A5" s="2" t="s">
        <v>19</v>
      </c>
      <c r="B5" s="5" t="n">
        <v>26</v>
      </c>
    </row>
    <row r="6" customFormat="false" ht="15" hidden="false" customHeight="false" outlineLevel="0" collapsed="false">
      <c r="A6" s="2" t="s">
        <v>20</v>
      </c>
      <c r="B6" s="5" t="n">
        <v>12</v>
      </c>
    </row>
    <row r="8" customFormat="false" ht="15" hidden="false" customHeight="false" outlineLevel="0" collapsed="false">
      <c r="A8" s="2" t="s">
        <v>21</v>
      </c>
      <c r="B8" s="6" t="n">
        <f aca="false">INDEX(biases!$E:$E,0+$B$4+2)</f>
        <v>0.401263237</v>
      </c>
      <c r="C8" s="3" t="s">
        <v>22</v>
      </c>
      <c r="D8" s="3" t="n">
        <f aca="false">0+$B$4+1</f>
        <v>1</v>
      </c>
    </row>
    <row r="9" customFormat="false" ht="15" hidden="false" customHeight="false" outlineLevel="0" collapsed="false">
      <c r="A9" s="2" t="s">
        <v>23</v>
      </c>
      <c r="B9" s="6" t="n">
        <f aca="false">SUM(N16:N24)</f>
        <v>2.11925661630555</v>
      </c>
    </row>
    <row r="10" customFormat="false" ht="15" hidden="false" customHeight="false" outlineLevel="0" collapsed="false">
      <c r="A10" s="2" t="s">
        <v>24</v>
      </c>
      <c r="B10" s="7" t="n">
        <f aca="false">B8+B9</f>
        <v>2.52051985330555</v>
      </c>
    </row>
    <row r="11" customFormat="false" ht="15" hidden="false" customHeight="false" outlineLevel="0" collapsed="false">
      <c r="A11" s="2" t="s">
        <v>25</v>
      </c>
      <c r="B11" s="6" t="n">
        <f aca="false">INDEX(conv1!$F:$F,($B$4*784+$B$5*28+$B$6)+2)</f>
        <v>2.52051997</v>
      </c>
      <c r="C11" s="3" t="s">
        <v>26</v>
      </c>
      <c r="D11" s="3" t="n">
        <f aca="false">$B$4*784+$B$5*28+$B$6+1</f>
        <v>741</v>
      </c>
    </row>
    <row r="12" customFormat="false" ht="15" hidden="false" customHeight="false" outlineLevel="0" collapsed="false">
      <c r="A12" s="2" t="s">
        <v>27</v>
      </c>
      <c r="B12" s="8" t="n">
        <f aca="false">ABS(B10-B11)</f>
        <v>1.1669445187934E-007</v>
      </c>
    </row>
    <row r="13" customFormat="false" ht="15" hidden="false" customHeight="false" outlineLevel="0" collapsed="false">
      <c r="A13" s="2" t="s">
        <v>28</v>
      </c>
      <c r="B13" s="6" t="n">
        <f aca="false">MAX(0,B10)</f>
        <v>2.52051985330555</v>
      </c>
    </row>
    <row r="14" customFormat="false" ht="15" hidden="false" customHeight="false" outlineLevel="0" collapsed="false">
      <c r="A14" s="2" t="s">
        <v>29</v>
      </c>
    </row>
    <row r="15" customFormat="false" ht="31.5" hidden="false" customHeight="true" outlineLevel="0" collapsed="false">
      <c r="A15" s="9" t="s">
        <v>30</v>
      </c>
      <c r="B15" s="9" t="s">
        <v>31</v>
      </c>
      <c r="C15" s="9" t="s">
        <v>32</v>
      </c>
      <c r="D15" s="9" t="s">
        <v>33</v>
      </c>
      <c r="E15" s="9" t="s">
        <v>34</v>
      </c>
      <c r="F15" s="9" t="s">
        <v>35</v>
      </c>
      <c r="G15" s="9" t="s">
        <v>36</v>
      </c>
      <c r="H15" s="9" t="s">
        <v>37</v>
      </c>
      <c r="I15" s="9" t="s">
        <v>38</v>
      </c>
      <c r="J15" s="9" t="s">
        <v>39</v>
      </c>
      <c r="K15" s="9" t="s">
        <v>40</v>
      </c>
      <c r="L15" s="9" t="s">
        <v>41</v>
      </c>
      <c r="M15" s="9" t="s">
        <v>42</v>
      </c>
      <c r="N15" s="9" t="s">
        <v>43</v>
      </c>
      <c r="O15" s="9" t="s">
        <v>44</v>
      </c>
    </row>
    <row r="16" customFormat="false" ht="15" hidden="false" customHeight="false" outlineLevel="0" collapsed="false">
      <c r="A16" s="10" t="n">
        <v>0</v>
      </c>
      <c r="B16" s="10" t="n">
        <v>0</v>
      </c>
      <c r="C16" s="10" t="n">
        <v>0</v>
      </c>
      <c r="D16" s="10" t="n">
        <f aca="false">$B$5+B16-1</f>
        <v>25</v>
      </c>
      <c r="E16" s="10" t="n">
        <f aca="false">$B$6+C16-1</f>
        <v>11</v>
      </c>
      <c r="F16" s="10" t="str">
        <f aca="false">IF(OR(D16&lt;0,D16&gt;27,E16&lt;0,E16&gt;27),"đệm","ảnh")</f>
        <v>ảnh</v>
      </c>
      <c r="G16" s="10" t="n">
        <f aca="false">IF(F16="đệm","—",(A16*28+D16)*28+E16)</f>
        <v>711</v>
      </c>
      <c r="H16" s="10" t="n">
        <f aca="false">IF(F16="đệm","—",G16+1)</f>
        <v>712</v>
      </c>
      <c r="I16" s="11" t="n">
        <f aca="false">IF(F16="đệm",0,INDEX(input!$F:$F,G16+2))</f>
        <v>2.8087585</v>
      </c>
      <c r="J16" s="12" t="n">
        <f aca="false">(($B$4*1+A16)*3+B16)*3+C16</f>
        <v>0</v>
      </c>
      <c r="K16" s="12" t="n">
        <f aca="false">J16+0</f>
        <v>0</v>
      </c>
      <c r="L16" s="12" t="n">
        <f aca="false">K16+1</f>
        <v>1</v>
      </c>
      <c r="M16" s="13" t="n">
        <f aca="false">INDEX(weights!$H:$H,K16+2)</f>
        <v>0.319135487</v>
      </c>
      <c r="N16" s="14" t="n">
        <f aca="false">I16*M16</f>
        <v>0.89637451176289</v>
      </c>
      <c r="O16" s="15" t="n">
        <f aca="false">$B$8+N16</f>
        <v>1.29763774876289</v>
      </c>
    </row>
    <row r="17" customFormat="false" ht="15" hidden="false" customHeight="false" outlineLevel="0" collapsed="false">
      <c r="A17" s="10" t="n">
        <v>0</v>
      </c>
      <c r="B17" s="10" t="n">
        <v>0</v>
      </c>
      <c r="C17" s="10" t="n">
        <v>1</v>
      </c>
      <c r="D17" s="10" t="n">
        <f aca="false">$B$5+B17-1</f>
        <v>25</v>
      </c>
      <c r="E17" s="10" t="n">
        <f aca="false">$B$6+C17-1</f>
        <v>12</v>
      </c>
      <c r="F17" s="10" t="str">
        <f aca="false">IF(OR(D17&lt;0,D17&gt;27,E17&lt;0,E17&gt;27),"đệm","ảnh")</f>
        <v>ảnh</v>
      </c>
      <c r="G17" s="10" t="n">
        <f aca="false">IF(F17="đệm","—",(A17*28+D17)*28+E17)</f>
        <v>712</v>
      </c>
      <c r="H17" s="10" t="n">
        <f aca="false">IF(F17="đệm","—",G17+1)</f>
        <v>713</v>
      </c>
      <c r="I17" s="11" t="n">
        <f aca="false">IF(F17="đệm",0,INDEX(input!$F:$F,G17+2))</f>
        <v>2.8087585</v>
      </c>
      <c r="J17" s="12" t="n">
        <f aca="false">(($B$4*1+A17)*3+B17)*3+C17</f>
        <v>1</v>
      </c>
      <c r="K17" s="12" t="n">
        <f aca="false">J17+0</f>
        <v>1</v>
      </c>
      <c r="L17" s="12" t="n">
        <f aca="false">K17+1</f>
        <v>2</v>
      </c>
      <c r="M17" s="13" t="n">
        <f aca="false">INDEX(weights!$H:$H,K17+2)</f>
        <v>0.239743873</v>
      </c>
      <c r="N17" s="14" t="n">
        <f aca="false">I17*M17</f>
        <v>0.673382641111671</v>
      </c>
      <c r="O17" s="15" t="n">
        <f aca="false">O16+N17</f>
        <v>1.97102038987456</v>
      </c>
    </row>
    <row r="18" customFormat="false" ht="15" hidden="false" customHeight="false" outlineLevel="0" collapsed="false">
      <c r="A18" s="10" t="n">
        <v>0</v>
      </c>
      <c r="B18" s="10" t="n">
        <v>0</v>
      </c>
      <c r="C18" s="10" t="n">
        <v>2</v>
      </c>
      <c r="D18" s="10" t="n">
        <f aca="false">$B$5+B18-1</f>
        <v>25</v>
      </c>
      <c r="E18" s="10" t="n">
        <f aca="false">$B$6+C18-1</f>
        <v>13</v>
      </c>
      <c r="F18" s="10" t="str">
        <f aca="false">IF(OR(D18&lt;0,D18&gt;27,E18&lt;0,E18&gt;27),"đệm","ảnh")</f>
        <v>ảnh</v>
      </c>
      <c r="G18" s="10" t="n">
        <f aca="false">IF(F18="đệm","—",(A18*28+D18)*28+E18)</f>
        <v>713</v>
      </c>
      <c r="H18" s="10" t="n">
        <f aca="false">IF(F18="đệm","—",G18+1)</f>
        <v>714</v>
      </c>
      <c r="I18" s="11" t="n">
        <f aca="false">IF(F18="đệm",0,INDEX(input!$F:$F,G18+2))</f>
        <v>2.36327028</v>
      </c>
      <c r="J18" s="12" t="n">
        <f aca="false">(($B$4*1+A18)*3+B18)*3+C18</f>
        <v>2</v>
      </c>
      <c r="K18" s="12" t="n">
        <f aca="false">J18+0</f>
        <v>2</v>
      </c>
      <c r="L18" s="12" t="n">
        <f aca="false">K18+1</f>
        <v>3</v>
      </c>
      <c r="M18" s="13" t="n">
        <f aca="false">INDEX(weights!$H:$H,K18+2)</f>
        <v>-0.360578984</v>
      </c>
      <c r="N18" s="14" t="n">
        <f aca="false">I18*M18</f>
        <v>-0.852145596479796</v>
      </c>
      <c r="O18" s="15" t="n">
        <f aca="false">O17+N18</f>
        <v>1.11887479339476</v>
      </c>
    </row>
    <row r="19" customFormat="false" ht="15" hidden="false" customHeight="false" outlineLevel="0" collapsed="false">
      <c r="A19" s="10" t="n">
        <v>0</v>
      </c>
      <c r="B19" s="10" t="n">
        <v>1</v>
      </c>
      <c r="C19" s="10" t="n">
        <v>0</v>
      </c>
      <c r="D19" s="10" t="n">
        <f aca="false">$B$5+B19-1</f>
        <v>26</v>
      </c>
      <c r="E19" s="10" t="n">
        <f aca="false">$B$6+C19-1</f>
        <v>11</v>
      </c>
      <c r="F19" s="10" t="str">
        <f aca="false">IF(OR(D19&lt;0,D19&gt;27,E19&lt;0,E19&gt;27),"đệm","ảnh")</f>
        <v>ảnh</v>
      </c>
      <c r="G19" s="10" t="n">
        <f aca="false">IF(F19="đệm","—",(A19*28+D19)*28+E19)</f>
        <v>739</v>
      </c>
      <c r="H19" s="10" t="n">
        <f aca="false">IF(F19="đệm","—",G19+1)</f>
        <v>740</v>
      </c>
      <c r="I19" s="11" t="n">
        <f aca="false">IF(F19="đệm",0,INDEX(input!$F:$F,G19+2))</f>
        <v>2.8087585</v>
      </c>
      <c r="J19" s="12" t="n">
        <f aca="false">(($B$4*1+A19)*3+B19)*3+C19</f>
        <v>3</v>
      </c>
      <c r="K19" s="12" t="n">
        <f aca="false">J19+0</f>
        <v>3</v>
      </c>
      <c r="L19" s="12" t="n">
        <f aca="false">K19+1</f>
        <v>4</v>
      </c>
      <c r="M19" s="13" t="n">
        <f aca="false">INDEX(weights!$H:$H,K19+2)</f>
        <v>0.329940796</v>
      </c>
      <c r="N19" s="14" t="n">
        <f aca="false">I19*M19</f>
        <v>0.926724015261766</v>
      </c>
      <c r="O19" s="15" t="n">
        <f aca="false">O18+N19</f>
        <v>2.04559880865653</v>
      </c>
    </row>
    <row r="20" customFormat="false" ht="15" hidden="false" customHeight="false" outlineLevel="0" collapsed="false">
      <c r="A20" s="10" t="n">
        <v>0</v>
      </c>
      <c r="B20" s="10" t="n">
        <v>1</v>
      </c>
      <c r="C20" s="10" t="n">
        <v>1</v>
      </c>
      <c r="D20" s="10" t="n">
        <f aca="false">$B$5+B20-1</f>
        <v>26</v>
      </c>
      <c r="E20" s="10" t="n">
        <f aca="false">$B$6+C20-1</f>
        <v>12</v>
      </c>
      <c r="F20" s="10" t="str">
        <f aca="false">IF(OR(D20&lt;0,D20&gt;27,E20&lt;0,E20&gt;27),"đệm","ảnh")</f>
        <v>ảnh</v>
      </c>
      <c r="G20" s="10" t="n">
        <f aca="false">IF(F20="đệm","—",(A20*28+D20)*28+E20)</f>
        <v>740</v>
      </c>
      <c r="H20" s="10" t="n">
        <f aca="false">IF(F20="đệm","—",G20+1)</f>
        <v>741</v>
      </c>
      <c r="I20" s="11" t="n">
        <f aca="false">IF(F20="đệm",0,INDEX(input!$F:$F,G20+2))</f>
        <v>2.21053147</v>
      </c>
      <c r="J20" s="12" t="n">
        <f aca="false">(($B$4*1+A20)*3+B20)*3+C20</f>
        <v>4</v>
      </c>
      <c r="K20" s="12" t="n">
        <f aca="false">J20+0</f>
        <v>4</v>
      </c>
      <c r="L20" s="12" t="n">
        <f aca="false">K20+1</f>
        <v>5</v>
      </c>
      <c r="M20" s="13" t="n">
        <f aca="false">INDEX(weights!$H:$H,K20+2)</f>
        <v>0.225877866</v>
      </c>
      <c r="N20" s="14" t="n">
        <f aca="false">I20*M20</f>
        <v>0.499310131169443</v>
      </c>
      <c r="O20" s="15" t="n">
        <f aca="false">O19+N20</f>
        <v>2.54490893982597</v>
      </c>
    </row>
    <row r="21" customFormat="false" ht="15" hidden="false" customHeight="false" outlineLevel="0" collapsed="false">
      <c r="A21" s="10" t="n">
        <v>0</v>
      </c>
      <c r="B21" s="10" t="n">
        <v>1</v>
      </c>
      <c r="C21" s="10" t="n">
        <v>2</v>
      </c>
      <c r="D21" s="10" t="n">
        <f aca="false">$B$5+B21-1</f>
        <v>26</v>
      </c>
      <c r="E21" s="10" t="n">
        <f aca="false">$B$6+C21-1</f>
        <v>13</v>
      </c>
      <c r="F21" s="10" t="str">
        <f aca="false">IF(OR(D21&lt;0,D21&gt;27,E21&lt;0,E21&gt;27),"đệm","ảnh")</f>
        <v>ảnh</v>
      </c>
      <c r="G21" s="10" t="n">
        <f aca="false">IF(F21="đệm","—",(A21*28+D21)*28+E21)</f>
        <v>741</v>
      </c>
      <c r="H21" s="10" t="n">
        <f aca="false">IF(F21="đệm","—",G21+1)</f>
        <v>742</v>
      </c>
      <c r="I21" s="11" t="n">
        <f aca="false">IF(F21="đệm",0,INDEX(input!$F:$F,G21+2))</f>
        <v>-0.195104748</v>
      </c>
      <c r="J21" s="12" t="n">
        <f aca="false">(($B$4*1+A21)*3+B21)*3+C21</f>
        <v>5</v>
      </c>
      <c r="K21" s="12" t="n">
        <f aca="false">J21+0</f>
        <v>5</v>
      </c>
      <c r="L21" s="12" t="n">
        <f aca="false">K21+1</f>
        <v>6</v>
      </c>
      <c r="M21" s="13" t="n">
        <f aca="false">INDEX(weights!$H:$H,K21+2)</f>
        <v>0.361772448</v>
      </c>
      <c r="N21" s="14" t="n">
        <f aca="false">I21*M21</f>
        <v>-0.0705835223003831</v>
      </c>
      <c r="O21" s="15" t="n">
        <f aca="false">O20+N21</f>
        <v>2.47432541752559</v>
      </c>
    </row>
    <row r="22" customFormat="false" ht="15" hidden="false" customHeight="false" outlineLevel="0" collapsed="false">
      <c r="A22" s="10" t="n">
        <v>0</v>
      </c>
      <c r="B22" s="10" t="n">
        <v>2</v>
      </c>
      <c r="C22" s="10" t="n">
        <v>0</v>
      </c>
      <c r="D22" s="10" t="n">
        <f aca="false">$B$5+B22-1</f>
        <v>27</v>
      </c>
      <c r="E22" s="10" t="n">
        <f aca="false">$B$6+C22-1</f>
        <v>11</v>
      </c>
      <c r="F22" s="10" t="str">
        <f aca="false">IF(OR(D22&lt;0,D22&gt;27,E22&lt;0,E22&gt;27),"đệm","ảnh")</f>
        <v>ảnh</v>
      </c>
      <c r="G22" s="10" t="n">
        <f aca="false">IF(F22="đệm","—",(A22*28+D22)*28+E22)</f>
        <v>767</v>
      </c>
      <c r="H22" s="10" t="n">
        <f aca="false">IF(F22="đệm","—",G22+1)</f>
        <v>768</v>
      </c>
      <c r="I22" s="11" t="n">
        <f aca="false">IF(F22="đệm",0,INDEX(input!$F:$F,G22+2))</f>
        <v>-0.424212962</v>
      </c>
      <c r="J22" s="12" t="n">
        <f aca="false">(($B$4*1+A22)*3+B22)*3+C22</f>
        <v>6</v>
      </c>
      <c r="K22" s="12" t="n">
        <f aca="false">J22+0</f>
        <v>6</v>
      </c>
      <c r="L22" s="12" t="n">
        <f aca="false">K22+1</f>
        <v>7</v>
      </c>
      <c r="M22" s="13" t="n">
        <f aca="false">INDEX(weights!$H:$H,K22+2)</f>
        <v>-0.352215707</v>
      </c>
      <c r="N22" s="14" t="n">
        <f aca="false">I22*M22</f>
        <v>0.149414468329394</v>
      </c>
      <c r="O22" s="15" t="n">
        <f aca="false">O21+N22</f>
        <v>2.62373988585498</v>
      </c>
    </row>
    <row r="23" customFormat="false" ht="15" hidden="false" customHeight="false" outlineLevel="0" collapsed="false">
      <c r="A23" s="10" t="n">
        <v>0</v>
      </c>
      <c r="B23" s="10" t="n">
        <v>2</v>
      </c>
      <c r="C23" s="10" t="n">
        <v>1</v>
      </c>
      <c r="D23" s="10" t="n">
        <f aca="false">$B$5+B23-1</f>
        <v>27</v>
      </c>
      <c r="E23" s="10" t="n">
        <f aca="false">$B$6+C23-1</f>
        <v>12</v>
      </c>
      <c r="F23" s="10" t="str">
        <f aca="false">IF(OR(D23&lt;0,D23&gt;27,E23&lt;0,E23&gt;27),"đệm","ảnh")</f>
        <v>ảnh</v>
      </c>
      <c r="G23" s="10" t="n">
        <f aca="false">IF(F23="đệm","—",(A23*28+D23)*28+E23)</f>
        <v>768</v>
      </c>
      <c r="H23" s="10" t="n">
        <f aca="false">IF(F23="đệm","—",G23+1)</f>
        <v>769</v>
      </c>
      <c r="I23" s="11" t="n">
        <f aca="false">IF(F23="đệm",0,INDEX(input!$F:$F,G23+2))</f>
        <v>-0.424212962</v>
      </c>
      <c r="J23" s="12" t="n">
        <f aca="false">(($B$4*1+A23)*3+B23)*3+C23</f>
        <v>7</v>
      </c>
      <c r="K23" s="12" t="n">
        <f aca="false">J23+0</f>
        <v>7</v>
      </c>
      <c r="L23" s="12" t="n">
        <f aca="false">K23+1</f>
        <v>8</v>
      </c>
      <c r="M23" s="13" t="n">
        <f aca="false">INDEX(weights!$H:$H,K23+2)</f>
        <v>0.0246641543</v>
      </c>
      <c r="N23" s="14" t="n">
        <f aca="false">I23*M23</f>
        <v>-0.010462853950828</v>
      </c>
      <c r="O23" s="15" t="n">
        <f aca="false">O22+N23</f>
        <v>2.61327703190416</v>
      </c>
    </row>
    <row r="24" customFormat="false" ht="15" hidden="false" customHeight="false" outlineLevel="0" collapsed="false">
      <c r="A24" s="16" t="n">
        <v>0</v>
      </c>
      <c r="B24" s="16" t="n">
        <v>2</v>
      </c>
      <c r="C24" s="16" t="n">
        <v>2</v>
      </c>
      <c r="D24" s="16" t="n">
        <f aca="false">$B$5+B24-1</f>
        <v>27</v>
      </c>
      <c r="E24" s="16" t="n">
        <f aca="false">$B$6+C24-1</f>
        <v>13</v>
      </c>
      <c r="F24" s="16" t="str">
        <f aca="false">IF(OR(D24&lt;0,D24&gt;27,E24&lt;0,E24&gt;27),"đệm","ảnh")</f>
        <v>ảnh</v>
      </c>
      <c r="G24" s="16" t="n">
        <f aca="false">IF(F24="đệm","—",(A24*28+D24)*28+E24)</f>
        <v>769</v>
      </c>
      <c r="H24" s="16" t="n">
        <f aca="false">IF(F24="đệm","—",G24+1)</f>
        <v>770</v>
      </c>
      <c r="I24" s="17" t="n">
        <f aca="false">IF(F24="đệm",0,INDEX(input!$F:$F,G24+2))</f>
        <v>-0.424212962</v>
      </c>
      <c r="J24" s="18" t="n">
        <f aca="false">(($B$4*1+A24)*3+B24)*3+C24</f>
        <v>8</v>
      </c>
      <c r="K24" s="18" t="n">
        <f aca="false">J24+0</f>
        <v>8</v>
      </c>
      <c r="L24" s="18" t="n">
        <f aca="false">K24+1</f>
        <v>9</v>
      </c>
      <c r="M24" s="19" t="n">
        <f aca="false">INDEX(weights!$H:$H,K24+2)</f>
        <v>0.218657106</v>
      </c>
      <c r="N24" s="20" t="n">
        <f aca="false">I24*M24</f>
        <v>-0.092757178598608</v>
      </c>
      <c r="O24" s="21" t="n">
        <f aca="false">O23+N24</f>
        <v>2.52051985330555</v>
      </c>
    </row>
  </sheetData>
  <conditionalFormatting sqref="A16:H24">
    <cfRule type="expression" priority="2" aboveAverage="0" equalAverage="0" bottom="0" percent="0" rank="0" text="" dxfId="0">
      <formula>$F16="đệm"</formula>
    </cfRule>
  </conditionalFormatting>
  <dataValidations count="2">
    <dataValidation allowBlank="false" error="Phải từ 0 đến 7" errorStyle="stop" operator="between" showDropDown="false" showErrorMessage="true" showInputMessage="false" sqref="B4" type="whole">
      <formula1>0</formula1>
      <formula2>7</formula2>
    </dataValidation>
    <dataValidation allowBlank="false" error="Phải từ 0 đến 27" errorStyle="stop" operator="between" showDropDown="false" showErrorMessage="true" showInputMessage="false" sqref="B5:B6" type="whole">
      <formula1>0</formula1>
      <formula2>27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5"/>
    <col collapsed="false" customWidth="true" hidden="false" outlineLevel="0" max="5" min="4" style="0" width="13"/>
    <col collapsed="false" customWidth="true" hidden="false" outlineLevel="0" max="7" min="6" style="0" width="11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1" min="10" style="0" width="13"/>
    <col collapsed="false" customWidth="true" hidden="false" outlineLevel="0" max="14" min="12" style="0" width="12"/>
    <col collapsed="false" customWidth="true" hidden="false" outlineLevel="0" max="15" min="15" style="0" width="13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4" t="s">
        <v>46</v>
      </c>
    </row>
    <row r="4" customFormat="false" ht="15" hidden="false" customHeight="false" outlineLevel="0" collapsed="false">
      <c r="A4" s="2" t="s">
        <v>47</v>
      </c>
      <c r="B4" s="5" t="n">
        <v>15</v>
      </c>
    </row>
    <row r="5" customFormat="false" ht="15" hidden="false" customHeight="false" outlineLevel="0" collapsed="false">
      <c r="A5" s="2" t="s">
        <v>48</v>
      </c>
      <c r="B5" s="5" t="n">
        <v>3</v>
      </c>
    </row>
    <row r="6" customFormat="false" ht="15" hidden="false" customHeight="false" outlineLevel="0" collapsed="false">
      <c r="A6" s="2" t="s">
        <v>49</v>
      </c>
      <c r="B6" s="5" t="n">
        <v>3</v>
      </c>
    </row>
    <row r="8" customFormat="false" ht="15" hidden="false" customHeight="false" outlineLevel="0" collapsed="false">
      <c r="A8" s="2" t="s">
        <v>21</v>
      </c>
      <c r="B8" s="6" t="n">
        <f aca="false">INDEX(biases!$E:$E,8+$B$4+2)</f>
        <v>-0.168601796</v>
      </c>
      <c r="C8" s="3" t="s">
        <v>22</v>
      </c>
      <c r="D8" s="3" t="n">
        <f aca="false">8+$B$4+1</f>
        <v>24</v>
      </c>
    </row>
    <row r="9" customFormat="false" ht="15" hidden="false" customHeight="false" outlineLevel="0" collapsed="false">
      <c r="A9" s="2" t="s">
        <v>50</v>
      </c>
      <c r="B9" s="6" t="n">
        <f aca="false">SUM(N16:N87)</f>
        <v>3.07265097670925</v>
      </c>
    </row>
    <row r="10" customFormat="false" ht="15" hidden="false" customHeight="false" outlineLevel="0" collapsed="false">
      <c r="A10" s="2" t="s">
        <v>24</v>
      </c>
      <c r="B10" s="7" t="n">
        <f aca="false">B8+B9</f>
        <v>2.90404918070925</v>
      </c>
    </row>
    <row r="11" customFormat="false" ht="15" hidden="false" customHeight="false" outlineLevel="0" collapsed="false">
      <c r="A11" s="2" t="s">
        <v>51</v>
      </c>
      <c r="B11" s="6" t="n">
        <f aca="false">INDEX(conv2!$F:$F,($B$4*196+$B$5*14+$B$6)+2)</f>
        <v>2.90404892</v>
      </c>
      <c r="C11" s="3" t="s">
        <v>52</v>
      </c>
      <c r="D11" s="3" t="n">
        <f aca="false">$B$4*196+$B$5*14+$B$6+1</f>
        <v>2986</v>
      </c>
    </row>
    <row r="12" customFormat="false" ht="15" hidden="false" customHeight="false" outlineLevel="0" collapsed="false">
      <c r="A12" s="2" t="s">
        <v>27</v>
      </c>
      <c r="B12" s="8" t="n">
        <f aca="false">ABS(B10-B11)</f>
        <v>2.60709252408731E-007</v>
      </c>
    </row>
    <row r="13" customFormat="false" ht="15" hidden="false" customHeight="false" outlineLevel="0" collapsed="false">
      <c r="A13" s="2" t="s">
        <v>28</v>
      </c>
      <c r="B13" s="6" t="n">
        <f aca="false">MAX(0,B10)</f>
        <v>2.90404918070925</v>
      </c>
    </row>
    <row r="14" customFormat="false" ht="15" hidden="false" customHeight="false" outlineLevel="0" collapsed="false">
      <c r="A14" s="2" t="s">
        <v>53</v>
      </c>
    </row>
    <row r="15" customFormat="false" ht="31.5" hidden="false" customHeight="true" outlineLevel="0" collapsed="false">
      <c r="A15" s="9" t="s">
        <v>30</v>
      </c>
      <c r="B15" s="9" t="s">
        <v>31</v>
      </c>
      <c r="C15" s="9" t="s">
        <v>32</v>
      </c>
      <c r="D15" s="9" t="s">
        <v>33</v>
      </c>
      <c r="E15" s="9" t="s">
        <v>34</v>
      </c>
      <c r="F15" s="9" t="s">
        <v>35</v>
      </c>
      <c r="G15" s="9" t="s">
        <v>36</v>
      </c>
      <c r="H15" s="9" t="s">
        <v>54</v>
      </c>
      <c r="I15" s="9" t="s">
        <v>38</v>
      </c>
      <c r="J15" s="9" t="s">
        <v>39</v>
      </c>
      <c r="K15" s="9" t="s">
        <v>55</v>
      </c>
      <c r="L15" s="9" t="s">
        <v>41</v>
      </c>
      <c r="M15" s="9" t="s">
        <v>42</v>
      </c>
      <c r="N15" s="9" t="s">
        <v>43</v>
      </c>
      <c r="O15" s="9" t="s">
        <v>44</v>
      </c>
    </row>
    <row r="16" customFormat="false" ht="15" hidden="false" customHeight="false" outlineLevel="0" collapsed="false">
      <c r="A16" s="10" t="n">
        <v>0</v>
      </c>
      <c r="B16" s="10" t="n">
        <v>0</v>
      </c>
      <c r="C16" s="10" t="n">
        <v>0</v>
      </c>
      <c r="D16" s="10" t="n">
        <f aca="false">$B$5+B16-1</f>
        <v>2</v>
      </c>
      <c r="E16" s="10" t="n">
        <f aca="false">$B$6+C16-1</f>
        <v>2</v>
      </c>
      <c r="F16" s="10" t="str">
        <f aca="false">IF(OR(D16&lt;0,D16&gt;13,E16&lt;0,E16&gt;13),"đệm","ảnh")</f>
        <v>ảnh</v>
      </c>
      <c r="G16" s="10" t="n">
        <f aca="false">IF(F16="đệm","—",(A16*14+D16)*14+E16)</f>
        <v>30</v>
      </c>
      <c r="H16" s="10" t="n">
        <f aca="false">IF(F16="đệm","—",G16+1)</f>
        <v>31</v>
      </c>
      <c r="I16" s="11" t="n">
        <f aca="false">IF(F16="đệm",0,INDEX(pool1!$F:$F,G16+2))</f>
        <v>0</v>
      </c>
      <c r="J16" s="12" t="n">
        <f aca="false">(($B$4*8+A16)*3+B16)*3+C16</f>
        <v>1080</v>
      </c>
      <c r="K16" s="12" t="n">
        <f aca="false">J16+72</f>
        <v>1152</v>
      </c>
      <c r="L16" s="12" t="n">
        <f aca="false">K16+1</f>
        <v>1153</v>
      </c>
      <c r="M16" s="13" t="n">
        <f aca="false">INDEX(weights!$H:$H,K16+2)</f>
        <v>-0.0112063307</v>
      </c>
      <c r="N16" s="14" t="n">
        <f aca="false">I16*M16</f>
        <v>-0</v>
      </c>
      <c r="O16" s="15" t="n">
        <f aca="false">$B$8+N16</f>
        <v>-0.168601796</v>
      </c>
    </row>
    <row r="17" customFormat="false" ht="15" hidden="false" customHeight="false" outlineLevel="0" collapsed="false">
      <c r="A17" s="10" t="n">
        <v>0</v>
      </c>
      <c r="B17" s="10" t="n">
        <v>0</v>
      </c>
      <c r="C17" s="10" t="n">
        <v>1</v>
      </c>
      <c r="D17" s="10" t="n">
        <f aca="false">$B$5+B17-1</f>
        <v>2</v>
      </c>
      <c r="E17" s="10" t="n">
        <f aca="false">$B$6+C17-1</f>
        <v>3</v>
      </c>
      <c r="F17" s="10" t="str">
        <f aca="false">IF(OR(D17&lt;0,D17&gt;13,E17&lt;0,E17&gt;13),"đệm","ảnh")</f>
        <v>ảnh</v>
      </c>
      <c r="G17" s="10" t="n">
        <f aca="false">IF(F17="đệm","—",(A17*14+D17)*14+E17)</f>
        <v>31</v>
      </c>
      <c r="H17" s="10" t="n">
        <f aca="false">IF(F17="đệm","—",G17+1)</f>
        <v>32</v>
      </c>
      <c r="I17" s="11" t="n">
        <f aca="false">IF(F17="đệm",0,INDEX(pool1!$F:$F,G17+2))</f>
        <v>0</v>
      </c>
      <c r="J17" s="12" t="n">
        <f aca="false">(($B$4*8+A17)*3+B17)*3+C17</f>
        <v>1081</v>
      </c>
      <c r="K17" s="12" t="n">
        <f aca="false">J17+72</f>
        <v>1153</v>
      </c>
      <c r="L17" s="12" t="n">
        <f aca="false">K17+1</f>
        <v>1154</v>
      </c>
      <c r="M17" s="13" t="n">
        <f aca="false">INDEX(weights!$H:$H,K17+2)</f>
        <v>-0.0845526382</v>
      </c>
      <c r="N17" s="14" t="n">
        <f aca="false">I17*M17</f>
        <v>-0</v>
      </c>
      <c r="O17" s="15" t="n">
        <f aca="false">O16+N17</f>
        <v>-0.168601796</v>
      </c>
    </row>
    <row r="18" customFormat="false" ht="15" hidden="false" customHeight="false" outlineLevel="0" collapsed="false">
      <c r="A18" s="10" t="n">
        <v>0</v>
      </c>
      <c r="B18" s="10" t="n">
        <v>0</v>
      </c>
      <c r="C18" s="10" t="n">
        <v>2</v>
      </c>
      <c r="D18" s="10" t="n">
        <f aca="false">$B$5+B18-1</f>
        <v>2</v>
      </c>
      <c r="E18" s="10" t="n">
        <f aca="false">$B$6+C18-1</f>
        <v>4</v>
      </c>
      <c r="F18" s="10" t="str">
        <f aca="false">IF(OR(D18&lt;0,D18&gt;13,E18&lt;0,E18&gt;13),"đệm","ảnh")</f>
        <v>ảnh</v>
      </c>
      <c r="G18" s="10" t="n">
        <f aca="false">IF(F18="đệm","—",(A18*14+D18)*14+E18)</f>
        <v>32</v>
      </c>
      <c r="H18" s="10" t="n">
        <f aca="false">IF(F18="đệm","—",G18+1)</f>
        <v>33</v>
      </c>
      <c r="I18" s="11" t="n">
        <f aca="false">IF(F18="đệm",0,INDEX(pool1!$F:$F,G18+2))</f>
        <v>0</v>
      </c>
      <c r="J18" s="12" t="n">
        <f aca="false">(($B$4*8+A18)*3+B18)*3+C18</f>
        <v>1082</v>
      </c>
      <c r="K18" s="12" t="n">
        <f aca="false">J18+72</f>
        <v>1154</v>
      </c>
      <c r="L18" s="12" t="n">
        <f aca="false">K18+1</f>
        <v>1155</v>
      </c>
      <c r="M18" s="13" t="n">
        <f aca="false">INDEX(weights!$H:$H,K18+2)</f>
        <v>0.0637228042</v>
      </c>
      <c r="N18" s="14" t="n">
        <f aca="false">I18*M18</f>
        <v>0</v>
      </c>
      <c r="O18" s="15" t="n">
        <f aca="false">O17+N18</f>
        <v>-0.168601796</v>
      </c>
    </row>
    <row r="19" customFormat="false" ht="15" hidden="false" customHeight="false" outlineLevel="0" collapsed="false">
      <c r="A19" s="10" t="n">
        <v>0</v>
      </c>
      <c r="B19" s="10" t="n">
        <v>1</v>
      </c>
      <c r="C19" s="10" t="n">
        <v>0</v>
      </c>
      <c r="D19" s="10" t="n">
        <f aca="false">$B$5+B19-1</f>
        <v>3</v>
      </c>
      <c r="E19" s="10" t="n">
        <f aca="false">$B$6+C19-1</f>
        <v>2</v>
      </c>
      <c r="F19" s="10" t="str">
        <f aca="false">IF(OR(D19&lt;0,D19&gt;13,E19&lt;0,E19&gt;13),"đệm","ảnh")</f>
        <v>ảnh</v>
      </c>
      <c r="G19" s="10" t="n">
        <f aca="false">IF(F19="đệm","—",(A19*14+D19)*14+E19)</f>
        <v>44</v>
      </c>
      <c r="H19" s="10" t="n">
        <f aca="false">IF(F19="đệm","—",G19+1)</f>
        <v>45</v>
      </c>
      <c r="I19" s="11" t="n">
        <f aca="false">IF(F19="đệm",0,INDEX(pool1!$F:$F,G19+2))</f>
        <v>0.978731275</v>
      </c>
      <c r="J19" s="12" t="n">
        <f aca="false">(($B$4*8+A19)*3+B19)*3+C19</f>
        <v>1083</v>
      </c>
      <c r="K19" s="12" t="n">
        <f aca="false">J19+72</f>
        <v>1155</v>
      </c>
      <c r="L19" s="12" t="n">
        <f aca="false">K19+1</f>
        <v>1156</v>
      </c>
      <c r="M19" s="13" t="n">
        <f aca="false">INDEX(weights!$H:$H,K19+2)</f>
        <v>0.184770182</v>
      </c>
      <c r="N19" s="14" t="n">
        <f aca="false">I19*M19</f>
        <v>0.180840355810842</v>
      </c>
      <c r="O19" s="15" t="n">
        <f aca="false">O18+N19</f>
        <v>0.0122385598108421</v>
      </c>
    </row>
    <row r="20" customFormat="false" ht="15" hidden="false" customHeight="false" outlineLevel="0" collapsed="false">
      <c r="A20" s="10" t="n">
        <v>0</v>
      </c>
      <c r="B20" s="10" t="n">
        <v>1</v>
      </c>
      <c r="C20" s="10" t="n">
        <v>1</v>
      </c>
      <c r="D20" s="10" t="n">
        <f aca="false">$B$5+B20-1</f>
        <v>3</v>
      </c>
      <c r="E20" s="10" t="n">
        <f aca="false">$B$6+C20-1</f>
        <v>3</v>
      </c>
      <c r="F20" s="10" t="str">
        <f aca="false">IF(OR(D20&lt;0,D20&gt;13,E20&lt;0,E20&gt;13),"đệm","ảnh")</f>
        <v>ảnh</v>
      </c>
      <c r="G20" s="10" t="n">
        <f aca="false">IF(F20="đệm","—",(A20*14+D20)*14+E20)</f>
        <v>45</v>
      </c>
      <c r="H20" s="10" t="n">
        <f aca="false">IF(F20="đệm","—",G20+1)</f>
        <v>46</v>
      </c>
      <c r="I20" s="11" t="n">
        <f aca="false">IF(F20="đệm",0,INDEX(pool1!$F:$F,G20+2))</f>
        <v>1.84406316</v>
      </c>
      <c r="J20" s="12" t="n">
        <f aca="false">(($B$4*8+A20)*3+B20)*3+C20</f>
        <v>1084</v>
      </c>
      <c r="K20" s="12" t="n">
        <f aca="false">J20+72</f>
        <v>1156</v>
      </c>
      <c r="L20" s="12" t="n">
        <f aca="false">K20+1</f>
        <v>1157</v>
      </c>
      <c r="M20" s="13" t="n">
        <f aca="false">INDEX(weights!$H:$H,K20+2)</f>
        <v>0.0231746659</v>
      </c>
      <c r="N20" s="14" t="n">
        <f aca="false">I20*M20</f>
        <v>0.0427355476314982</v>
      </c>
      <c r="O20" s="15" t="n">
        <f aca="false">O19+N20</f>
        <v>0.0549741074423403</v>
      </c>
    </row>
    <row r="21" customFormat="false" ht="15" hidden="false" customHeight="false" outlineLevel="0" collapsed="false">
      <c r="A21" s="10" t="n">
        <v>0</v>
      </c>
      <c r="B21" s="10" t="n">
        <v>1</v>
      </c>
      <c r="C21" s="10" t="n">
        <v>2</v>
      </c>
      <c r="D21" s="10" t="n">
        <f aca="false">$B$5+B21-1</f>
        <v>3</v>
      </c>
      <c r="E21" s="10" t="n">
        <f aca="false">$B$6+C21-1</f>
        <v>4</v>
      </c>
      <c r="F21" s="10" t="str">
        <f aca="false">IF(OR(D21&lt;0,D21&gt;13,E21&lt;0,E21&gt;13),"đệm","ảnh")</f>
        <v>ảnh</v>
      </c>
      <c r="G21" s="10" t="n">
        <f aca="false">IF(F21="đệm","—",(A21*14+D21)*14+E21)</f>
        <v>46</v>
      </c>
      <c r="H21" s="10" t="n">
        <f aca="false">IF(F21="đệm","—",G21+1)</f>
        <v>47</v>
      </c>
      <c r="I21" s="11" t="n">
        <f aca="false">IF(F21="đệm",0,INDEX(pool1!$F:$F,G21+2))</f>
        <v>1.55139136</v>
      </c>
      <c r="J21" s="12" t="n">
        <f aca="false">(($B$4*8+A21)*3+B21)*3+C21</f>
        <v>1085</v>
      </c>
      <c r="K21" s="12" t="n">
        <f aca="false">J21+72</f>
        <v>1157</v>
      </c>
      <c r="L21" s="12" t="n">
        <f aca="false">K21+1</f>
        <v>1158</v>
      </c>
      <c r="M21" s="13" t="n">
        <f aca="false">INDEX(weights!$H:$H,K21+2)</f>
        <v>0.212781489</v>
      </c>
      <c r="N21" s="14" t="n">
        <f aca="false">I21*M21</f>
        <v>0.330107363602535</v>
      </c>
      <c r="O21" s="15" t="n">
        <f aca="false">O20+N21</f>
        <v>0.385081471044875</v>
      </c>
    </row>
    <row r="22" customFormat="false" ht="15" hidden="false" customHeight="false" outlineLevel="0" collapsed="false">
      <c r="A22" s="10" t="n">
        <v>0</v>
      </c>
      <c r="B22" s="10" t="n">
        <v>2</v>
      </c>
      <c r="C22" s="10" t="n">
        <v>0</v>
      </c>
      <c r="D22" s="10" t="n">
        <f aca="false">$B$5+B22-1</f>
        <v>4</v>
      </c>
      <c r="E22" s="10" t="n">
        <f aca="false">$B$6+C22-1</f>
        <v>2</v>
      </c>
      <c r="F22" s="10" t="str">
        <f aca="false">IF(OR(D22&lt;0,D22&gt;13,E22&lt;0,E22&gt;13),"đệm","ảnh")</f>
        <v>ảnh</v>
      </c>
      <c r="G22" s="10" t="n">
        <f aca="false">IF(F22="đệm","—",(A22*14+D22)*14+E22)</f>
        <v>58</v>
      </c>
      <c r="H22" s="10" t="n">
        <f aca="false">IF(F22="đệm","—",G22+1)</f>
        <v>59</v>
      </c>
      <c r="I22" s="11" t="n">
        <f aca="false">IF(F22="đệm",0,INDEX(pool1!$F:$F,G22+2))</f>
        <v>0.797279</v>
      </c>
      <c r="J22" s="12" t="n">
        <f aca="false">(($B$4*8+A22)*3+B22)*3+C22</f>
        <v>1086</v>
      </c>
      <c r="K22" s="12" t="n">
        <f aca="false">J22+72</f>
        <v>1158</v>
      </c>
      <c r="L22" s="12" t="n">
        <f aca="false">K22+1</f>
        <v>1159</v>
      </c>
      <c r="M22" s="13" t="n">
        <f aca="false">INDEX(weights!$H:$H,K22+2)</f>
        <v>-0.0748011768</v>
      </c>
      <c r="N22" s="14" t="n">
        <f aca="false">I22*M22</f>
        <v>-0.0596374074379272</v>
      </c>
      <c r="O22" s="15" t="n">
        <f aca="false">O21+N22</f>
        <v>0.325444063606948</v>
      </c>
    </row>
    <row r="23" customFormat="false" ht="15" hidden="false" customHeight="false" outlineLevel="0" collapsed="false">
      <c r="A23" s="10" t="n">
        <v>0</v>
      </c>
      <c r="B23" s="10" t="n">
        <v>2</v>
      </c>
      <c r="C23" s="10" t="n">
        <v>1</v>
      </c>
      <c r="D23" s="10" t="n">
        <f aca="false">$B$5+B23-1</f>
        <v>4</v>
      </c>
      <c r="E23" s="10" t="n">
        <f aca="false">$B$6+C23-1</f>
        <v>3</v>
      </c>
      <c r="F23" s="10" t="str">
        <f aca="false">IF(OR(D23&lt;0,D23&gt;13,E23&lt;0,E23&gt;13),"đệm","ảnh")</f>
        <v>ảnh</v>
      </c>
      <c r="G23" s="10" t="n">
        <f aca="false">IF(F23="đệm","—",(A23*14+D23)*14+E23)</f>
        <v>59</v>
      </c>
      <c r="H23" s="10" t="n">
        <f aca="false">IF(F23="đệm","—",G23+1)</f>
        <v>60</v>
      </c>
      <c r="I23" s="11" t="n">
        <f aca="false">IF(F23="đệm",0,INDEX(pool1!$F:$F,G23+2))</f>
        <v>2.91805315</v>
      </c>
      <c r="J23" s="12" t="n">
        <f aca="false">(($B$4*8+A23)*3+B23)*3+C23</f>
        <v>1087</v>
      </c>
      <c r="K23" s="12" t="n">
        <f aca="false">J23+72</f>
        <v>1159</v>
      </c>
      <c r="L23" s="12" t="n">
        <f aca="false">K23+1</f>
        <v>1160</v>
      </c>
      <c r="M23" s="13" t="n">
        <f aca="false">INDEX(weights!$H:$H,K23+2)</f>
        <v>-0.0388914086</v>
      </c>
      <c r="N23" s="14" t="n">
        <f aca="false">I23*M23</f>
        <v>-0.113487197373167</v>
      </c>
      <c r="O23" s="15" t="n">
        <f aca="false">O22+N23</f>
        <v>0.211956866233781</v>
      </c>
    </row>
    <row r="24" customFormat="false" ht="15" hidden="false" customHeight="false" outlineLevel="0" collapsed="false">
      <c r="A24" s="16" t="n">
        <v>0</v>
      </c>
      <c r="B24" s="16" t="n">
        <v>2</v>
      </c>
      <c r="C24" s="16" t="n">
        <v>2</v>
      </c>
      <c r="D24" s="16" t="n">
        <f aca="false">$B$5+B24-1</f>
        <v>4</v>
      </c>
      <c r="E24" s="16" t="n">
        <f aca="false">$B$6+C24-1</f>
        <v>4</v>
      </c>
      <c r="F24" s="16" t="str">
        <f aca="false">IF(OR(D24&lt;0,D24&gt;13,E24&lt;0,E24&gt;13),"đệm","ảnh")</f>
        <v>ảnh</v>
      </c>
      <c r="G24" s="16" t="n">
        <f aca="false">IF(F24="đệm","—",(A24*14+D24)*14+E24)</f>
        <v>60</v>
      </c>
      <c r="H24" s="16" t="n">
        <f aca="false">IF(F24="đệm","—",G24+1)</f>
        <v>61</v>
      </c>
      <c r="I24" s="17" t="n">
        <f aca="false">IF(F24="đệm",0,INDEX(pool1!$F:$F,G24+2))</f>
        <v>3.93855238</v>
      </c>
      <c r="J24" s="18" t="n">
        <f aca="false">(($B$4*8+A24)*3+B24)*3+C24</f>
        <v>1088</v>
      </c>
      <c r="K24" s="18" t="n">
        <f aca="false">J24+72</f>
        <v>1160</v>
      </c>
      <c r="L24" s="18" t="n">
        <f aca="false">K24+1</f>
        <v>1161</v>
      </c>
      <c r="M24" s="19" t="n">
        <f aca="false">INDEX(weights!$H:$H,K24+2)</f>
        <v>0.00677685486</v>
      </c>
      <c r="N24" s="20" t="n">
        <f aca="false">I24*M24</f>
        <v>0.0266909978377676</v>
      </c>
      <c r="O24" s="21" t="n">
        <f aca="false">O23+N24</f>
        <v>0.238647864071549</v>
      </c>
    </row>
    <row r="25" customFormat="false" ht="15" hidden="false" customHeight="false" outlineLevel="0" collapsed="false">
      <c r="A25" s="10" t="n">
        <v>1</v>
      </c>
      <c r="B25" s="10" t="n">
        <v>0</v>
      </c>
      <c r="C25" s="10" t="n">
        <v>0</v>
      </c>
      <c r="D25" s="10" t="n">
        <f aca="false">$B$5+B25-1</f>
        <v>2</v>
      </c>
      <c r="E25" s="10" t="n">
        <f aca="false">$B$6+C25-1</f>
        <v>2</v>
      </c>
      <c r="F25" s="10" t="str">
        <f aca="false">IF(OR(D25&lt;0,D25&gt;13,E25&lt;0,E25&gt;13),"đệm","ảnh")</f>
        <v>ảnh</v>
      </c>
      <c r="G25" s="10" t="n">
        <f aca="false">IF(F25="đệm","—",(A25*14+D25)*14+E25)</f>
        <v>226</v>
      </c>
      <c r="H25" s="10" t="n">
        <f aca="false">IF(F25="đệm","—",G25+1)</f>
        <v>227</v>
      </c>
      <c r="I25" s="11" t="n">
        <f aca="false">IF(F25="đệm",0,INDEX(pool1!$F:$F,G25+2))</f>
        <v>0</v>
      </c>
      <c r="J25" s="12" t="n">
        <f aca="false">(($B$4*8+A25)*3+B25)*3+C25</f>
        <v>1089</v>
      </c>
      <c r="K25" s="12" t="n">
        <f aca="false">J25+72</f>
        <v>1161</v>
      </c>
      <c r="L25" s="12" t="n">
        <f aca="false">K25+1</f>
        <v>1162</v>
      </c>
      <c r="M25" s="13" t="n">
        <f aca="false">INDEX(weights!$H:$H,K25+2)</f>
        <v>-0.153213069</v>
      </c>
      <c r="N25" s="14" t="n">
        <f aca="false">I25*M25</f>
        <v>-0</v>
      </c>
      <c r="O25" s="15" t="n">
        <f aca="false">O24+N25</f>
        <v>0.238647864071549</v>
      </c>
    </row>
    <row r="26" customFormat="false" ht="15" hidden="false" customHeight="false" outlineLevel="0" collapsed="false">
      <c r="A26" s="10" t="n">
        <v>1</v>
      </c>
      <c r="B26" s="10" t="n">
        <v>0</v>
      </c>
      <c r="C26" s="10" t="n">
        <v>1</v>
      </c>
      <c r="D26" s="10" t="n">
        <f aca="false">$B$5+B26-1</f>
        <v>2</v>
      </c>
      <c r="E26" s="10" t="n">
        <f aca="false">$B$6+C26-1</f>
        <v>3</v>
      </c>
      <c r="F26" s="10" t="str">
        <f aca="false">IF(OR(D26&lt;0,D26&gt;13,E26&lt;0,E26&gt;13),"đệm","ảnh")</f>
        <v>ảnh</v>
      </c>
      <c r="G26" s="10" t="n">
        <f aca="false">IF(F26="đệm","—",(A26*14+D26)*14+E26)</f>
        <v>227</v>
      </c>
      <c r="H26" s="10" t="n">
        <f aca="false">IF(F26="đệm","—",G26+1)</f>
        <v>228</v>
      </c>
      <c r="I26" s="11" t="n">
        <f aca="false">IF(F26="đệm",0,INDEX(pool1!$F:$F,G26+2))</f>
        <v>0</v>
      </c>
      <c r="J26" s="12" t="n">
        <f aca="false">(($B$4*8+A26)*3+B26)*3+C26</f>
        <v>1090</v>
      </c>
      <c r="K26" s="12" t="n">
        <f aca="false">J26+72</f>
        <v>1162</v>
      </c>
      <c r="L26" s="12" t="n">
        <f aca="false">K26+1</f>
        <v>1163</v>
      </c>
      <c r="M26" s="13" t="n">
        <f aca="false">INDEX(weights!$H:$H,K26+2)</f>
        <v>-0.130971715</v>
      </c>
      <c r="N26" s="14" t="n">
        <f aca="false">I26*M26</f>
        <v>-0</v>
      </c>
      <c r="O26" s="15" t="n">
        <f aca="false">O25+N26</f>
        <v>0.238647864071549</v>
      </c>
    </row>
    <row r="27" customFormat="false" ht="15" hidden="false" customHeight="false" outlineLevel="0" collapsed="false">
      <c r="A27" s="10" t="n">
        <v>1</v>
      </c>
      <c r="B27" s="10" t="n">
        <v>0</v>
      </c>
      <c r="C27" s="10" t="n">
        <v>2</v>
      </c>
      <c r="D27" s="10" t="n">
        <f aca="false">$B$5+B27-1</f>
        <v>2</v>
      </c>
      <c r="E27" s="10" t="n">
        <f aca="false">$B$6+C27-1</f>
        <v>4</v>
      </c>
      <c r="F27" s="10" t="str">
        <f aca="false">IF(OR(D27&lt;0,D27&gt;13,E27&lt;0,E27&gt;13),"đệm","ảnh")</f>
        <v>ảnh</v>
      </c>
      <c r="G27" s="10" t="n">
        <f aca="false">IF(F27="đệm","—",(A27*14+D27)*14+E27)</f>
        <v>228</v>
      </c>
      <c r="H27" s="10" t="n">
        <f aca="false">IF(F27="đệm","—",G27+1)</f>
        <v>229</v>
      </c>
      <c r="I27" s="11" t="n">
        <f aca="false">IF(F27="đệm",0,INDEX(pool1!$F:$F,G27+2))</f>
        <v>0</v>
      </c>
      <c r="J27" s="12" t="n">
        <f aca="false">(($B$4*8+A27)*3+B27)*3+C27</f>
        <v>1091</v>
      </c>
      <c r="K27" s="12" t="n">
        <f aca="false">J27+72</f>
        <v>1163</v>
      </c>
      <c r="L27" s="12" t="n">
        <f aca="false">K27+1</f>
        <v>1164</v>
      </c>
      <c r="M27" s="13" t="n">
        <f aca="false">INDEX(weights!$H:$H,K27+2)</f>
        <v>0.0488431342</v>
      </c>
      <c r="N27" s="14" t="n">
        <f aca="false">I27*M27</f>
        <v>0</v>
      </c>
      <c r="O27" s="15" t="n">
        <f aca="false">O26+N27</f>
        <v>0.238647864071549</v>
      </c>
    </row>
    <row r="28" customFormat="false" ht="15" hidden="false" customHeight="false" outlineLevel="0" collapsed="false">
      <c r="A28" s="10" t="n">
        <v>1</v>
      </c>
      <c r="B28" s="10" t="n">
        <v>1</v>
      </c>
      <c r="C28" s="10" t="n">
        <v>0</v>
      </c>
      <c r="D28" s="10" t="n">
        <f aca="false">$B$5+B28-1</f>
        <v>3</v>
      </c>
      <c r="E28" s="10" t="n">
        <f aca="false">$B$6+C28-1</f>
        <v>2</v>
      </c>
      <c r="F28" s="10" t="str">
        <f aca="false">IF(OR(D28&lt;0,D28&gt;13,E28&lt;0,E28&gt;13),"đệm","ảnh")</f>
        <v>ảnh</v>
      </c>
      <c r="G28" s="10" t="n">
        <f aca="false">IF(F28="đệm","—",(A28*14+D28)*14+E28)</f>
        <v>240</v>
      </c>
      <c r="H28" s="10" t="n">
        <f aca="false">IF(F28="đệm","—",G28+1)</f>
        <v>241</v>
      </c>
      <c r="I28" s="11" t="n">
        <f aca="false">IF(F28="đệm",0,INDEX(pool1!$F:$F,G28+2))</f>
        <v>0</v>
      </c>
      <c r="J28" s="12" t="n">
        <f aca="false">(($B$4*8+A28)*3+B28)*3+C28</f>
        <v>1092</v>
      </c>
      <c r="K28" s="12" t="n">
        <f aca="false">J28+72</f>
        <v>1164</v>
      </c>
      <c r="L28" s="12" t="n">
        <f aca="false">K28+1</f>
        <v>1165</v>
      </c>
      <c r="M28" s="13" t="n">
        <f aca="false">INDEX(weights!$H:$H,K28+2)</f>
        <v>0.0847198144</v>
      </c>
      <c r="N28" s="14" t="n">
        <f aca="false">I28*M28</f>
        <v>0</v>
      </c>
      <c r="O28" s="15" t="n">
        <f aca="false">O27+N28</f>
        <v>0.238647864071549</v>
      </c>
    </row>
    <row r="29" customFormat="false" ht="15" hidden="false" customHeight="false" outlineLevel="0" collapsed="false">
      <c r="A29" s="10" t="n">
        <v>1</v>
      </c>
      <c r="B29" s="10" t="n">
        <v>1</v>
      </c>
      <c r="C29" s="10" t="n">
        <v>1</v>
      </c>
      <c r="D29" s="10" t="n">
        <f aca="false">$B$5+B29-1</f>
        <v>3</v>
      </c>
      <c r="E29" s="10" t="n">
        <f aca="false">$B$6+C29-1</f>
        <v>3</v>
      </c>
      <c r="F29" s="10" t="str">
        <f aca="false">IF(OR(D29&lt;0,D29&gt;13,E29&lt;0,E29&gt;13),"đệm","ảnh")</f>
        <v>ảnh</v>
      </c>
      <c r="G29" s="10" t="n">
        <f aca="false">IF(F29="đệm","—",(A29*14+D29)*14+E29)</f>
        <v>241</v>
      </c>
      <c r="H29" s="10" t="n">
        <f aca="false">IF(F29="đệm","—",G29+1)</f>
        <v>242</v>
      </c>
      <c r="I29" s="11" t="n">
        <f aca="false">IF(F29="đệm",0,INDEX(pool1!$F:$F,G29+2))</f>
        <v>2.13951111</v>
      </c>
      <c r="J29" s="12" t="n">
        <f aca="false">(($B$4*8+A29)*3+B29)*3+C29</f>
        <v>1093</v>
      </c>
      <c r="K29" s="12" t="n">
        <f aca="false">J29+72</f>
        <v>1165</v>
      </c>
      <c r="L29" s="12" t="n">
        <f aca="false">K29+1</f>
        <v>1166</v>
      </c>
      <c r="M29" s="13" t="n">
        <f aca="false">INDEX(weights!$H:$H,K29+2)</f>
        <v>0.050106518</v>
      </c>
      <c r="N29" s="14" t="n">
        <f aca="false">I29*M29</f>
        <v>0.107203451944415</v>
      </c>
      <c r="O29" s="15" t="n">
        <f aca="false">O28+N29</f>
        <v>0.345851316015964</v>
      </c>
    </row>
    <row r="30" customFormat="false" ht="15" hidden="false" customHeight="false" outlineLevel="0" collapsed="false">
      <c r="A30" s="10" t="n">
        <v>1</v>
      </c>
      <c r="B30" s="10" t="n">
        <v>1</v>
      </c>
      <c r="C30" s="10" t="n">
        <v>2</v>
      </c>
      <c r="D30" s="10" t="n">
        <f aca="false">$B$5+B30-1</f>
        <v>3</v>
      </c>
      <c r="E30" s="10" t="n">
        <f aca="false">$B$6+C30-1</f>
        <v>4</v>
      </c>
      <c r="F30" s="10" t="str">
        <f aca="false">IF(OR(D30&lt;0,D30&gt;13,E30&lt;0,E30&gt;13),"đệm","ảnh")</f>
        <v>ảnh</v>
      </c>
      <c r="G30" s="10" t="n">
        <f aca="false">IF(F30="đệm","—",(A30*14+D30)*14+E30)</f>
        <v>242</v>
      </c>
      <c r="H30" s="10" t="n">
        <f aca="false">IF(F30="đệm","—",G30+1)</f>
        <v>243</v>
      </c>
      <c r="I30" s="11" t="n">
        <f aca="false">IF(F30="đệm",0,INDEX(pool1!$F:$F,G30+2))</f>
        <v>2.31036425</v>
      </c>
      <c r="J30" s="12" t="n">
        <f aca="false">(($B$4*8+A30)*3+B30)*3+C30</f>
        <v>1094</v>
      </c>
      <c r="K30" s="12" t="n">
        <f aca="false">J30+72</f>
        <v>1166</v>
      </c>
      <c r="L30" s="12" t="n">
        <f aca="false">K30+1</f>
        <v>1167</v>
      </c>
      <c r="M30" s="13" t="n">
        <f aca="false">INDEX(weights!$H:$H,K30+2)</f>
        <v>0.263083607</v>
      </c>
      <c r="N30" s="14" t="n">
        <f aca="false">I30*M30</f>
        <v>0.60781896037385</v>
      </c>
      <c r="O30" s="15" t="n">
        <f aca="false">O29+N30</f>
        <v>0.953670276389813</v>
      </c>
    </row>
    <row r="31" customFormat="false" ht="15" hidden="false" customHeight="false" outlineLevel="0" collapsed="false">
      <c r="A31" s="10" t="n">
        <v>1</v>
      </c>
      <c r="B31" s="10" t="n">
        <v>2</v>
      </c>
      <c r="C31" s="10" t="n">
        <v>0</v>
      </c>
      <c r="D31" s="10" t="n">
        <f aca="false">$B$5+B31-1</f>
        <v>4</v>
      </c>
      <c r="E31" s="10" t="n">
        <f aca="false">$B$6+C31-1</f>
        <v>2</v>
      </c>
      <c r="F31" s="10" t="str">
        <f aca="false">IF(OR(D31&lt;0,D31&gt;13,E31&lt;0,E31&gt;13),"đệm","ảnh")</f>
        <v>ảnh</v>
      </c>
      <c r="G31" s="10" t="n">
        <f aca="false">IF(F31="đệm","—",(A31*14+D31)*14+E31)</f>
        <v>254</v>
      </c>
      <c r="H31" s="10" t="n">
        <f aca="false">IF(F31="đệm","—",G31+1)</f>
        <v>255</v>
      </c>
      <c r="I31" s="11" t="n">
        <f aca="false">IF(F31="đệm",0,INDEX(pool1!$F:$F,G31+2))</f>
        <v>0.663830638</v>
      </c>
      <c r="J31" s="12" t="n">
        <f aca="false">(($B$4*8+A31)*3+B31)*3+C31</f>
        <v>1095</v>
      </c>
      <c r="K31" s="12" t="n">
        <f aca="false">J31+72</f>
        <v>1167</v>
      </c>
      <c r="L31" s="12" t="n">
        <f aca="false">K31+1</f>
        <v>1168</v>
      </c>
      <c r="M31" s="13" t="n">
        <f aca="false">INDEX(weights!$H:$H,K31+2)</f>
        <v>0.010603264</v>
      </c>
      <c r="N31" s="14" t="n">
        <f aca="false">I31*M31</f>
        <v>0.00703877150600243</v>
      </c>
      <c r="O31" s="15" t="n">
        <f aca="false">O30+N31</f>
        <v>0.960709047895816</v>
      </c>
    </row>
    <row r="32" customFormat="false" ht="15" hidden="false" customHeight="false" outlineLevel="0" collapsed="false">
      <c r="A32" s="10" t="n">
        <v>1</v>
      </c>
      <c r="B32" s="10" t="n">
        <v>2</v>
      </c>
      <c r="C32" s="10" t="n">
        <v>1</v>
      </c>
      <c r="D32" s="10" t="n">
        <f aca="false">$B$5+B32-1</f>
        <v>4</v>
      </c>
      <c r="E32" s="10" t="n">
        <f aca="false">$B$6+C32-1</f>
        <v>3</v>
      </c>
      <c r="F32" s="10" t="str">
        <f aca="false">IF(OR(D32&lt;0,D32&gt;13,E32&lt;0,E32&gt;13),"đệm","ảnh")</f>
        <v>ảnh</v>
      </c>
      <c r="G32" s="10" t="n">
        <f aca="false">IF(F32="đệm","—",(A32*14+D32)*14+E32)</f>
        <v>255</v>
      </c>
      <c r="H32" s="10" t="n">
        <f aca="false">IF(F32="đệm","—",G32+1)</f>
        <v>256</v>
      </c>
      <c r="I32" s="11" t="n">
        <f aca="false">IF(F32="đệm",0,INDEX(pool1!$F:$F,G32+2))</f>
        <v>3.00481844</v>
      </c>
      <c r="J32" s="12" t="n">
        <f aca="false">(($B$4*8+A32)*3+B32)*3+C32</f>
        <v>1096</v>
      </c>
      <c r="K32" s="12" t="n">
        <f aca="false">J32+72</f>
        <v>1168</v>
      </c>
      <c r="L32" s="12" t="n">
        <f aca="false">K32+1</f>
        <v>1169</v>
      </c>
      <c r="M32" s="13" t="n">
        <f aca="false">INDEX(weights!$H:$H,K32+2)</f>
        <v>0.0135097103</v>
      </c>
      <c r="N32" s="14" t="n">
        <f aca="false">I32*M32</f>
        <v>0.0405942266284979</v>
      </c>
      <c r="O32" s="15" t="n">
        <f aca="false">O31+N32</f>
        <v>1.00130327452431</v>
      </c>
    </row>
    <row r="33" customFormat="false" ht="15" hidden="false" customHeight="false" outlineLevel="0" collapsed="false">
      <c r="A33" s="16" t="n">
        <v>1</v>
      </c>
      <c r="B33" s="16" t="n">
        <v>2</v>
      </c>
      <c r="C33" s="16" t="n">
        <v>2</v>
      </c>
      <c r="D33" s="16" t="n">
        <f aca="false">$B$5+B33-1</f>
        <v>4</v>
      </c>
      <c r="E33" s="16" t="n">
        <f aca="false">$B$6+C33-1</f>
        <v>4</v>
      </c>
      <c r="F33" s="16" t="str">
        <f aca="false">IF(OR(D33&lt;0,D33&gt;13,E33&lt;0,E33&gt;13),"đệm","ảnh")</f>
        <v>ảnh</v>
      </c>
      <c r="G33" s="16" t="n">
        <f aca="false">IF(F33="đệm","—",(A33*14+D33)*14+E33)</f>
        <v>256</v>
      </c>
      <c r="H33" s="16" t="n">
        <f aca="false">IF(F33="đệm","—",G33+1)</f>
        <v>257</v>
      </c>
      <c r="I33" s="17" t="n">
        <f aca="false">IF(F33="đệm",0,INDEX(pool1!$F:$F,G33+2))</f>
        <v>2.58619213</v>
      </c>
      <c r="J33" s="18" t="n">
        <f aca="false">(($B$4*8+A33)*3+B33)*3+C33</f>
        <v>1097</v>
      </c>
      <c r="K33" s="18" t="n">
        <f aca="false">J33+72</f>
        <v>1169</v>
      </c>
      <c r="L33" s="18" t="n">
        <f aca="false">K33+1</f>
        <v>1170</v>
      </c>
      <c r="M33" s="19" t="n">
        <f aca="false">INDEX(weights!$H:$H,K33+2)</f>
        <v>0.233521998</v>
      </c>
      <c r="N33" s="20" t="n">
        <f aca="false">I33*M33</f>
        <v>0.603932753409476</v>
      </c>
      <c r="O33" s="21" t="n">
        <f aca="false">O32+N33</f>
        <v>1.60523602793379</v>
      </c>
    </row>
    <row r="34" customFormat="false" ht="15" hidden="false" customHeight="false" outlineLevel="0" collapsed="false">
      <c r="A34" s="10" t="n">
        <v>2</v>
      </c>
      <c r="B34" s="10" t="n">
        <v>0</v>
      </c>
      <c r="C34" s="10" t="n">
        <v>0</v>
      </c>
      <c r="D34" s="10" t="n">
        <f aca="false">$B$5+B34-1</f>
        <v>2</v>
      </c>
      <c r="E34" s="10" t="n">
        <f aca="false">$B$6+C34-1</f>
        <v>2</v>
      </c>
      <c r="F34" s="10" t="str">
        <f aca="false">IF(OR(D34&lt;0,D34&gt;13,E34&lt;0,E34&gt;13),"đệm","ảnh")</f>
        <v>ảnh</v>
      </c>
      <c r="G34" s="10" t="n">
        <f aca="false">IF(F34="đệm","—",(A34*14+D34)*14+E34)</f>
        <v>422</v>
      </c>
      <c r="H34" s="10" t="n">
        <f aca="false">IF(F34="đệm","—",G34+1)</f>
        <v>423</v>
      </c>
      <c r="I34" s="11" t="n">
        <f aca="false">IF(F34="đệm",0,INDEX(pool1!$F:$F,G34+2))</f>
        <v>0</v>
      </c>
      <c r="J34" s="12" t="n">
        <f aca="false">(($B$4*8+A34)*3+B34)*3+C34</f>
        <v>1098</v>
      </c>
      <c r="K34" s="12" t="n">
        <f aca="false">J34+72</f>
        <v>1170</v>
      </c>
      <c r="L34" s="12" t="n">
        <f aca="false">K34+1</f>
        <v>1171</v>
      </c>
      <c r="M34" s="13" t="n">
        <f aca="false">INDEX(weights!$H:$H,K34+2)</f>
        <v>0.164420843</v>
      </c>
      <c r="N34" s="14" t="n">
        <f aca="false">I34*M34</f>
        <v>0</v>
      </c>
      <c r="O34" s="15" t="n">
        <f aca="false">O33+N34</f>
        <v>1.60523602793379</v>
      </c>
    </row>
    <row r="35" customFormat="false" ht="15" hidden="false" customHeight="false" outlineLevel="0" collapsed="false">
      <c r="A35" s="10" t="n">
        <v>2</v>
      </c>
      <c r="B35" s="10" t="n">
        <v>0</v>
      </c>
      <c r="C35" s="10" t="n">
        <v>1</v>
      </c>
      <c r="D35" s="10" t="n">
        <f aca="false">$B$5+B35-1</f>
        <v>2</v>
      </c>
      <c r="E35" s="10" t="n">
        <f aca="false">$B$6+C35-1</f>
        <v>3</v>
      </c>
      <c r="F35" s="10" t="str">
        <f aca="false">IF(OR(D35&lt;0,D35&gt;13,E35&lt;0,E35&gt;13),"đệm","ảnh")</f>
        <v>ảnh</v>
      </c>
      <c r="G35" s="10" t="n">
        <f aca="false">IF(F35="đệm","—",(A35*14+D35)*14+E35)</f>
        <v>423</v>
      </c>
      <c r="H35" s="10" t="n">
        <f aca="false">IF(F35="đệm","—",G35+1)</f>
        <v>424</v>
      </c>
      <c r="I35" s="11" t="n">
        <f aca="false">IF(F35="đệm",0,INDEX(pool1!$F:$F,G35+2))</f>
        <v>0</v>
      </c>
      <c r="J35" s="12" t="n">
        <f aca="false">(($B$4*8+A35)*3+B35)*3+C35</f>
        <v>1099</v>
      </c>
      <c r="K35" s="12" t="n">
        <f aca="false">J35+72</f>
        <v>1171</v>
      </c>
      <c r="L35" s="12" t="n">
        <f aca="false">K35+1</f>
        <v>1172</v>
      </c>
      <c r="M35" s="13" t="n">
        <f aca="false">INDEX(weights!$H:$H,K35+2)</f>
        <v>-0.360409886</v>
      </c>
      <c r="N35" s="14" t="n">
        <f aca="false">I35*M35</f>
        <v>-0</v>
      </c>
      <c r="O35" s="15" t="n">
        <f aca="false">O34+N35</f>
        <v>1.60523602793379</v>
      </c>
    </row>
    <row r="36" customFormat="false" ht="15" hidden="false" customHeight="false" outlineLevel="0" collapsed="false">
      <c r="A36" s="10" t="n">
        <v>2</v>
      </c>
      <c r="B36" s="10" t="n">
        <v>0</v>
      </c>
      <c r="C36" s="10" t="n">
        <v>2</v>
      </c>
      <c r="D36" s="10" t="n">
        <f aca="false">$B$5+B36-1</f>
        <v>2</v>
      </c>
      <c r="E36" s="10" t="n">
        <f aca="false">$B$6+C36-1</f>
        <v>4</v>
      </c>
      <c r="F36" s="10" t="str">
        <f aca="false">IF(OR(D36&lt;0,D36&gt;13,E36&lt;0,E36&gt;13),"đệm","ảnh")</f>
        <v>ảnh</v>
      </c>
      <c r="G36" s="10" t="n">
        <f aca="false">IF(F36="đệm","—",(A36*14+D36)*14+E36)</f>
        <v>424</v>
      </c>
      <c r="H36" s="10" t="n">
        <f aca="false">IF(F36="đệm","—",G36+1)</f>
        <v>425</v>
      </c>
      <c r="I36" s="11" t="n">
        <f aca="false">IF(F36="đệm",0,INDEX(pool1!$F:$F,G36+2))</f>
        <v>0</v>
      </c>
      <c r="J36" s="12" t="n">
        <f aca="false">(($B$4*8+A36)*3+B36)*3+C36</f>
        <v>1100</v>
      </c>
      <c r="K36" s="12" t="n">
        <f aca="false">J36+72</f>
        <v>1172</v>
      </c>
      <c r="L36" s="12" t="n">
        <f aca="false">K36+1</f>
        <v>1173</v>
      </c>
      <c r="M36" s="13" t="n">
        <f aca="false">INDEX(weights!$H:$H,K36+2)</f>
        <v>-0.14316532</v>
      </c>
      <c r="N36" s="14" t="n">
        <f aca="false">I36*M36</f>
        <v>-0</v>
      </c>
      <c r="O36" s="15" t="n">
        <f aca="false">O35+N36</f>
        <v>1.60523602793379</v>
      </c>
    </row>
    <row r="37" customFormat="false" ht="15" hidden="false" customHeight="false" outlineLevel="0" collapsed="false">
      <c r="A37" s="10" t="n">
        <v>2</v>
      </c>
      <c r="B37" s="10" t="n">
        <v>1</v>
      </c>
      <c r="C37" s="10" t="n">
        <v>0</v>
      </c>
      <c r="D37" s="10" t="n">
        <f aca="false">$B$5+B37-1</f>
        <v>3</v>
      </c>
      <c r="E37" s="10" t="n">
        <f aca="false">$B$6+C37-1</f>
        <v>2</v>
      </c>
      <c r="F37" s="10" t="str">
        <f aca="false">IF(OR(D37&lt;0,D37&gt;13,E37&lt;0,E37&gt;13),"đệm","ảnh")</f>
        <v>ảnh</v>
      </c>
      <c r="G37" s="10" t="n">
        <f aca="false">IF(F37="đệm","—",(A37*14+D37)*14+E37)</f>
        <v>436</v>
      </c>
      <c r="H37" s="10" t="n">
        <f aca="false">IF(F37="đệm","—",G37+1)</f>
        <v>437</v>
      </c>
      <c r="I37" s="11" t="n">
        <f aca="false">IF(F37="đệm",0,INDEX(pool1!$F:$F,G37+2))</f>
        <v>1.48653948</v>
      </c>
      <c r="J37" s="12" t="n">
        <f aca="false">(($B$4*8+A37)*3+B37)*3+C37</f>
        <v>1101</v>
      </c>
      <c r="K37" s="12" t="n">
        <f aca="false">J37+72</f>
        <v>1173</v>
      </c>
      <c r="L37" s="12" t="n">
        <f aca="false">K37+1</f>
        <v>1174</v>
      </c>
      <c r="M37" s="13" t="n">
        <f aca="false">INDEX(weights!$H:$H,K37+2)</f>
        <v>-0.244003654</v>
      </c>
      <c r="N37" s="14" t="n">
        <f aca="false">I37*M37</f>
        <v>-0.36272106493526</v>
      </c>
      <c r="O37" s="15" t="n">
        <f aca="false">O36+N37</f>
        <v>1.24251496299853</v>
      </c>
    </row>
    <row r="38" customFormat="false" ht="15" hidden="false" customHeight="false" outlineLevel="0" collapsed="false">
      <c r="A38" s="10" t="n">
        <v>2</v>
      </c>
      <c r="B38" s="10" t="n">
        <v>1</v>
      </c>
      <c r="C38" s="10" t="n">
        <v>1</v>
      </c>
      <c r="D38" s="10" t="n">
        <f aca="false">$B$5+B38-1</f>
        <v>3</v>
      </c>
      <c r="E38" s="10" t="n">
        <f aca="false">$B$6+C38-1</f>
        <v>3</v>
      </c>
      <c r="F38" s="10" t="str">
        <f aca="false">IF(OR(D38&lt;0,D38&gt;13,E38&lt;0,E38&gt;13),"đệm","ảnh")</f>
        <v>ảnh</v>
      </c>
      <c r="G38" s="10" t="n">
        <f aca="false">IF(F38="đệm","—",(A38*14+D38)*14+E38)</f>
        <v>437</v>
      </c>
      <c r="H38" s="10" t="n">
        <f aca="false">IF(F38="đệm","—",G38+1)</f>
        <v>438</v>
      </c>
      <c r="I38" s="11" t="n">
        <f aca="false">IF(F38="đệm",0,INDEX(pool1!$F:$F,G38+2))</f>
        <v>3.08932257</v>
      </c>
      <c r="J38" s="12" t="n">
        <f aca="false">(($B$4*8+A38)*3+B38)*3+C38</f>
        <v>1102</v>
      </c>
      <c r="K38" s="12" t="n">
        <f aca="false">J38+72</f>
        <v>1174</v>
      </c>
      <c r="L38" s="12" t="n">
        <f aca="false">K38+1</f>
        <v>1175</v>
      </c>
      <c r="M38" s="13" t="n">
        <f aca="false">INDEX(weights!$H:$H,K38+2)</f>
        <v>-0.530925035</v>
      </c>
      <c r="N38" s="14" t="n">
        <f aca="false">I38*M38</f>
        <v>-1.64019869360354</v>
      </c>
      <c r="O38" s="15" t="n">
        <f aca="false">O37+N38</f>
        <v>-0.39768373060501</v>
      </c>
    </row>
    <row r="39" customFormat="false" ht="15" hidden="false" customHeight="false" outlineLevel="0" collapsed="false">
      <c r="A39" s="10" t="n">
        <v>2</v>
      </c>
      <c r="B39" s="10" t="n">
        <v>1</v>
      </c>
      <c r="C39" s="10" t="n">
        <v>2</v>
      </c>
      <c r="D39" s="10" t="n">
        <f aca="false">$B$5+B39-1</f>
        <v>3</v>
      </c>
      <c r="E39" s="10" t="n">
        <f aca="false">$B$6+C39-1</f>
        <v>4</v>
      </c>
      <c r="F39" s="10" t="str">
        <f aca="false">IF(OR(D39&lt;0,D39&gt;13,E39&lt;0,E39&gt;13),"đệm","ảnh")</f>
        <v>ảnh</v>
      </c>
      <c r="G39" s="10" t="n">
        <f aca="false">IF(F39="đệm","—",(A39*14+D39)*14+E39)</f>
        <v>438</v>
      </c>
      <c r="H39" s="10" t="n">
        <f aca="false">IF(F39="đệm","—",G39+1)</f>
        <v>439</v>
      </c>
      <c r="I39" s="11" t="n">
        <f aca="false">IF(F39="đệm",0,INDEX(pool1!$F:$F,G39+2))</f>
        <v>0</v>
      </c>
      <c r="J39" s="12" t="n">
        <f aca="false">(($B$4*8+A39)*3+B39)*3+C39</f>
        <v>1103</v>
      </c>
      <c r="K39" s="12" t="n">
        <f aca="false">J39+72</f>
        <v>1175</v>
      </c>
      <c r="L39" s="12" t="n">
        <f aca="false">K39+1</f>
        <v>1176</v>
      </c>
      <c r="M39" s="13" t="n">
        <f aca="false">INDEX(weights!$H:$H,K39+2)</f>
        <v>-0.521318376</v>
      </c>
      <c r="N39" s="14" t="n">
        <f aca="false">I39*M39</f>
        <v>-0</v>
      </c>
      <c r="O39" s="15" t="n">
        <f aca="false">O38+N39</f>
        <v>-0.39768373060501</v>
      </c>
    </row>
    <row r="40" customFormat="false" ht="15" hidden="false" customHeight="false" outlineLevel="0" collapsed="false">
      <c r="A40" s="10" t="n">
        <v>2</v>
      </c>
      <c r="B40" s="10" t="n">
        <v>2</v>
      </c>
      <c r="C40" s="10" t="n">
        <v>0</v>
      </c>
      <c r="D40" s="10" t="n">
        <f aca="false">$B$5+B40-1</f>
        <v>4</v>
      </c>
      <c r="E40" s="10" t="n">
        <f aca="false">$B$6+C40-1</f>
        <v>2</v>
      </c>
      <c r="F40" s="10" t="str">
        <f aca="false">IF(OR(D40&lt;0,D40&gt;13,E40&lt;0,E40&gt;13),"đệm","ảnh")</f>
        <v>ảnh</v>
      </c>
      <c r="G40" s="10" t="n">
        <f aca="false">IF(F40="đệm","—",(A40*14+D40)*14+E40)</f>
        <v>450</v>
      </c>
      <c r="H40" s="10" t="n">
        <f aca="false">IF(F40="đệm","—",G40+1)</f>
        <v>451</v>
      </c>
      <c r="I40" s="11" t="n">
        <f aca="false">IF(F40="đệm",0,INDEX(pool1!$F:$F,G40+2))</f>
        <v>2.08122587</v>
      </c>
      <c r="J40" s="12" t="n">
        <f aca="false">(($B$4*8+A40)*3+B40)*3+C40</f>
        <v>1104</v>
      </c>
      <c r="K40" s="12" t="n">
        <f aca="false">J40+72</f>
        <v>1176</v>
      </c>
      <c r="L40" s="12" t="n">
        <f aca="false">K40+1</f>
        <v>1177</v>
      </c>
      <c r="M40" s="13" t="n">
        <f aca="false">INDEX(weights!$H:$H,K40+2)</f>
        <v>-0.050420776</v>
      </c>
      <c r="N40" s="14" t="n">
        <f aca="false">I40*M40</f>
        <v>-0.104937023396675</v>
      </c>
      <c r="O40" s="15" t="n">
        <f aca="false">O39+N40</f>
        <v>-0.502620754001685</v>
      </c>
    </row>
    <row r="41" customFormat="false" ht="15" hidden="false" customHeight="false" outlineLevel="0" collapsed="false">
      <c r="A41" s="10" t="n">
        <v>2</v>
      </c>
      <c r="B41" s="10" t="n">
        <v>2</v>
      </c>
      <c r="C41" s="10" t="n">
        <v>1</v>
      </c>
      <c r="D41" s="10" t="n">
        <f aca="false">$B$5+B41-1</f>
        <v>4</v>
      </c>
      <c r="E41" s="10" t="n">
        <f aca="false">$B$6+C41-1</f>
        <v>3</v>
      </c>
      <c r="F41" s="10" t="str">
        <f aca="false">IF(OR(D41&lt;0,D41&gt;13,E41&lt;0,E41&gt;13),"đệm","ảnh")</f>
        <v>ảnh</v>
      </c>
      <c r="G41" s="10" t="n">
        <f aca="false">IF(F41="đệm","—",(A41*14+D41)*14+E41)</f>
        <v>451</v>
      </c>
      <c r="H41" s="10" t="n">
        <f aca="false">IF(F41="đệm","—",G41+1)</f>
        <v>452</v>
      </c>
      <c r="I41" s="11" t="n">
        <f aca="false">IF(F41="đệm",0,INDEX(pool1!$F:$F,G41+2))</f>
        <v>2.83156371</v>
      </c>
      <c r="J41" s="12" t="n">
        <f aca="false">(($B$4*8+A41)*3+B41)*3+C41</f>
        <v>1105</v>
      </c>
      <c r="K41" s="12" t="n">
        <f aca="false">J41+72</f>
        <v>1177</v>
      </c>
      <c r="L41" s="12" t="n">
        <f aca="false">K41+1</f>
        <v>1178</v>
      </c>
      <c r="M41" s="13" t="n">
        <f aca="false">INDEX(weights!$H:$H,K41+2)</f>
        <v>-0.0530490242</v>
      </c>
      <c r="N41" s="14" t="n">
        <f aca="false">I41*M41</f>
        <v>-0.150211691775632</v>
      </c>
      <c r="O41" s="15" t="n">
        <f aca="false">O40+N41</f>
        <v>-0.652832445777317</v>
      </c>
    </row>
    <row r="42" customFormat="false" ht="15" hidden="false" customHeight="false" outlineLevel="0" collapsed="false">
      <c r="A42" s="16" t="n">
        <v>2</v>
      </c>
      <c r="B42" s="16" t="n">
        <v>2</v>
      </c>
      <c r="C42" s="16" t="n">
        <v>2</v>
      </c>
      <c r="D42" s="16" t="n">
        <f aca="false">$B$5+B42-1</f>
        <v>4</v>
      </c>
      <c r="E42" s="16" t="n">
        <f aca="false">$B$6+C42-1</f>
        <v>4</v>
      </c>
      <c r="F42" s="16" t="str">
        <f aca="false">IF(OR(D42&lt;0,D42&gt;13,E42&lt;0,E42&gt;13),"đệm","ảnh")</f>
        <v>ảnh</v>
      </c>
      <c r="G42" s="16" t="n">
        <f aca="false">IF(F42="đệm","—",(A42*14+D42)*14+E42)</f>
        <v>452</v>
      </c>
      <c r="H42" s="16" t="n">
        <f aca="false">IF(F42="đệm","—",G42+1)</f>
        <v>453</v>
      </c>
      <c r="I42" s="17" t="n">
        <f aca="false">IF(F42="đệm",0,INDEX(pool1!$F:$F,G42+2))</f>
        <v>0</v>
      </c>
      <c r="J42" s="18" t="n">
        <f aca="false">(($B$4*8+A42)*3+B42)*3+C42</f>
        <v>1106</v>
      </c>
      <c r="K42" s="18" t="n">
        <f aca="false">J42+72</f>
        <v>1178</v>
      </c>
      <c r="L42" s="18" t="n">
        <f aca="false">K42+1</f>
        <v>1179</v>
      </c>
      <c r="M42" s="19" t="n">
        <f aca="false">INDEX(weights!$H:$H,K42+2)</f>
        <v>-0.0491997004</v>
      </c>
      <c r="N42" s="20" t="n">
        <f aca="false">I42*M42</f>
        <v>-0</v>
      </c>
      <c r="O42" s="21" t="n">
        <f aca="false">O41+N42</f>
        <v>-0.652832445777317</v>
      </c>
    </row>
    <row r="43" customFormat="false" ht="15" hidden="false" customHeight="false" outlineLevel="0" collapsed="false">
      <c r="A43" s="10" t="n">
        <v>3</v>
      </c>
      <c r="B43" s="10" t="n">
        <v>0</v>
      </c>
      <c r="C43" s="10" t="n">
        <v>0</v>
      </c>
      <c r="D43" s="10" t="n">
        <f aca="false">$B$5+B43-1</f>
        <v>2</v>
      </c>
      <c r="E43" s="10" t="n">
        <f aca="false">$B$6+C43-1</f>
        <v>2</v>
      </c>
      <c r="F43" s="10" t="str">
        <f aca="false">IF(OR(D43&lt;0,D43&gt;13,E43&lt;0,E43&gt;13),"đệm","ảnh")</f>
        <v>ảnh</v>
      </c>
      <c r="G43" s="10" t="n">
        <f aca="false">IF(F43="đệm","—",(A43*14+D43)*14+E43)</f>
        <v>618</v>
      </c>
      <c r="H43" s="10" t="n">
        <f aca="false">IF(F43="đệm","—",G43+1)</f>
        <v>619</v>
      </c>
      <c r="I43" s="11" t="n">
        <f aca="false">IF(F43="đệm",0,INDEX(pool1!$F:$F,G43+2))</f>
        <v>0</v>
      </c>
      <c r="J43" s="12" t="n">
        <f aca="false">(($B$4*8+A43)*3+B43)*3+C43</f>
        <v>1107</v>
      </c>
      <c r="K43" s="12" t="n">
        <f aca="false">J43+72</f>
        <v>1179</v>
      </c>
      <c r="L43" s="12" t="n">
        <f aca="false">K43+1</f>
        <v>1180</v>
      </c>
      <c r="M43" s="13" t="n">
        <f aca="false">INDEX(weights!$H:$H,K43+2)</f>
        <v>-0.017504923</v>
      </c>
      <c r="N43" s="14" t="n">
        <f aca="false">I43*M43</f>
        <v>-0</v>
      </c>
      <c r="O43" s="15" t="n">
        <f aca="false">O42+N43</f>
        <v>-0.652832445777317</v>
      </c>
    </row>
    <row r="44" customFormat="false" ht="15" hidden="false" customHeight="false" outlineLevel="0" collapsed="false">
      <c r="A44" s="10" t="n">
        <v>3</v>
      </c>
      <c r="B44" s="10" t="n">
        <v>0</v>
      </c>
      <c r="C44" s="10" t="n">
        <v>1</v>
      </c>
      <c r="D44" s="10" t="n">
        <f aca="false">$B$5+B44-1</f>
        <v>2</v>
      </c>
      <c r="E44" s="10" t="n">
        <f aca="false">$B$6+C44-1</f>
        <v>3</v>
      </c>
      <c r="F44" s="10" t="str">
        <f aca="false">IF(OR(D44&lt;0,D44&gt;13,E44&lt;0,E44&gt;13),"đệm","ảnh")</f>
        <v>ảnh</v>
      </c>
      <c r="G44" s="10" t="n">
        <f aca="false">IF(F44="đệm","—",(A44*14+D44)*14+E44)</f>
        <v>619</v>
      </c>
      <c r="H44" s="10" t="n">
        <f aca="false">IF(F44="đệm","—",G44+1)</f>
        <v>620</v>
      </c>
      <c r="I44" s="11" t="n">
        <f aca="false">IF(F44="đệm",0,INDEX(pool1!$F:$F,G44+2))</f>
        <v>0</v>
      </c>
      <c r="J44" s="12" t="n">
        <f aca="false">(($B$4*8+A44)*3+B44)*3+C44</f>
        <v>1108</v>
      </c>
      <c r="K44" s="12" t="n">
        <f aca="false">J44+72</f>
        <v>1180</v>
      </c>
      <c r="L44" s="12" t="n">
        <f aca="false">K44+1</f>
        <v>1181</v>
      </c>
      <c r="M44" s="13" t="n">
        <f aca="false">INDEX(weights!$H:$H,K44+2)</f>
        <v>0.142753407</v>
      </c>
      <c r="N44" s="14" t="n">
        <f aca="false">I44*M44</f>
        <v>0</v>
      </c>
      <c r="O44" s="15" t="n">
        <f aca="false">O43+N44</f>
        <v>-0.652832445777317</v>
      </c>
    </row>
    <row r="45" customFormat="false" ht="15" hidden="false" customHeight="false" outlineLevel="0" collapsed="false">
      <c r="A45" s="10" t="n">
        <v>3</v>
      </c>
      <c r="B45" s="10" t="n">
        <v>0</v>
      </c>
      <c r="C45" s="10" t="n">
        <v>2</v>
      </c>
      <c r="D45" s="10" t="n">
        <f aca="false">$B$5+B45-1</f>
        <v>2</v>
      </c>
      <c r="E45" s="10" t="n">
        <f aca="false">$B$6+C45-1</f>
        <v>4</v>
      </c>
      <c r="F45" s="10" t="str">
        <f aca="false">IF(OR(D45&lt;0,D45&gt;13,E45&lt;0,E45&gt;13),"đệm","ảnh")</f>
        <v>ảnh</v>
      </c>
      <c r="G45" s="10" t="n">
        <f aca="false">IF(F45="đệm","—",(A45*14+D45)*14+E45)</f>
        <v>620</v>
      </c>
      <c r="H45" s="10" t="n">
        <f aca="false">IF(F45="đệm","—",G45+1)</f>
        <v>621</v>
      </c>
      <c r="I45" s="11" t="n">
        <f aca="false">IF(F45="đệm",0,INDEX(pool1!$F:$F,G45+2))</f>
        <v>0</v>
      </c>
      <c r="J45" s="12" t="n">
        <f aca="false">(($B$4*8+A45)*3+B45)*3+C45</f>
        <v>1109</v>
      </c>
      <c r="K45" s="12" t="n">
        <f aca="false">J45+72</f>
        <v>1181</v>
      </c>
      <c r="L45" s="12" t="n">
        <f aca="false">K45+1</f>
        <v>1182</v>
      </c>
      <c r="M45" s="13" t="n">
        <f aca="false">INDEX(weights!$H:$H,K45+2)</f>
        <v>0.283658624</v>
      </c>
      <c r="N45" s="14" t="n">
        <f aca="false">I45*M45</f>
        <v>0</v>
      </c>
      <c r="O45" s="15" t="n">
        <f aca="false">O44+N45</f>
        <v>-0.652832445777317</v>
      </c>
    </row>
    <row r="46" customFormat="false" ht="15" hidden="false" customHeight="false" outlineLevel="0" collapsed="false">
      <c r="A46" s="10" t="n">
        <v>3</v>
      </c>
      <c r="B46" s="10" t="n">
        <v>1</v>
      </c>
      <c r="C46" s="10" t="n">
        <v>0</v>
      </c>
      <c r="D46" s="10" t="n">
        <f aca="false">$B$5+B46-1</f>
        <v>3</v>
      </c>
      <c r="E46" s="10" t="n">
        <f aca="false">$B$6+C46-1</f>
        <v>2</v>
      </c>
      <c r="F46" s="10" t="str">
        <f aca="false">IF(OR(D46&lt;0,D46&gt;13,E46&lt;0,E46&gt;13),"đệm","ảnh")</f>
        <v>ảnh</v>
      </c>
      <c r="G46" s="10" t="n">
        <f aca="false">IF(F46="đệm","—",(A46*14+D46)*14+E46)</f>
        <v>632</v>
      </c>
      <c r="H46" s="10" t="n">
        <f aca="false">IF(F46="đệm","—",G46+1)</f>
        <v>633</v>
      </c>
      <c r="I46" s="11" t="n">
        <f aca="false">IF(F46="đệm",0,INDEX(pool1!$F:$F,G46+2))</f>
        <v>1.68832505</v>
      </c>
      <c r="J46" s="12" t="n">
        <f aca="false">(($B$4*8+A46)*3+B46)*3+C46</f>
        <v>1110</v>
      </c>
      <c r="K46" s="12" t="n">
        <f aca="false">J46+72</f>
        <v>1182</v>
      </c>
      <c r="L46" s="12" t="n">
        <f aca="false">K46+1</f>
        <v>1183</v>
      </c>
      <c r="M46" s="13" t="n">
        <f aca="false">INDEX(weights!$H:$H,K46+2)</f>
        <v>0.257325053</v>
      </c>
      <c r="N46" s="14" t="n">
        <f aca="false">I46*M46</f>
        <v>0.434448332972478</v>
      </c>
      <c r="O46" s="15" t="n">
        <f aca="false">O45+N46</f>
        <v>-0.218384112804839</v>
      </c>
    </row>
    <row r="47" customFormat="false" ht="15" hidden="false" customHeight="false" outlineLevel="0" collapsed="false">
      <c r="A47" s="10" t="n">
        <v>3</v>
      </c>
      <c r="B47" s="10" t="n">
        <v>1</v>
      </c>
      <c r="C47" s="10" t="n">
        <v>1</v>
      </c>
      <c r="D47" s="10" t="n">
        <f aca="false">$B$5+B47-1</f>
        <v>3</v>
      </c>
      <c r="E47" s="10" t="n">
        <f aca="false">$B$6+C47-1</f>
        <v>3</v>
      </c>
      <c r="F47" s="10" t="str">
        <f aca="false">IF(OR(D47&lt;0,D47&gt;13,E47&lt;0,E47&gt;13),"đệm","ảnh")</f>
        <v>ảnh</v>
      </c>
      <c r="G47" s="10" t="n">
        <f aca="false">IF(F47="đệm","—",(A47*14+D47)*14+E47)</f>
        <v>633</v>
      </c>
      <c r="H47" s="10" t="n">
        <f aca="false">IF(F47="đệm","—",G47+1)</f>
        <v>634</v>
      </c>
      <c r="I47" s="11" t="n">
        <f aca="false">IF(F47="đệm",0,INDEX(pool1!$F:$F,G47+2))</f>
        <v>4.24948072</v>
      </c>
      <c r="J47" s="12" t="n">
        <f aca="false">(($B$4*8+A47)*3+B47)*3+C47</f>
        <v>1111</v>
      </c>
      <c r="K47" s="12" t="n">
        <f aca="false">J47+72</f>
        <v>1183</v>
      </c>
      <c r="L47" s="12" t="n">
        <f aca="false">K47+1</f>
        <v>1184</v>
      </c>
      <c r="M47" s="13" t="n">
        <f aca="false">INDEX(weights!$H:$H,K47+2)</f>
        <v>0.325107783</v>
      </c>
      <c r="N47" s="14" t="n">
        <f aca="false">I47*M47</f>
        <v>1.38153925578044</v>
      </c>
      <c r="O47" s="15" t="n">
        <f aca="false">O46+N47</f>
        <v>1.1631551429756</v>
      </c>
    </row>
    <row r="48" customFormat="false" ht="15" hidden="false" customHeight="false" outlineLevel="0" collapsed="false">
      <c r="A48" s="10" t="n">
        <v>3</v>
      </c>
      <c r="B48" s="10" t="n">
        <v>1</v>
      </c>
      <c r="C48" s="10" t="n">
        <v>2</v>
      </c>
      <c r="D48" s="10" t="n">
        <f aca="false">$B$5+B48-1</f>
        <v>3</v>
      </c>
      <c r="E48" s="10" t="n">
        <f aca="false">$B$6+C48-1</f>
        <v>4</v>
      </c>
      <c r="F48" s="10" t="str">
        <f aca="false">IF(OR(D48&lt;0,D48&gt;13,E48&lt;0,E48&gt;13),"đệm","ảnh")</f>
        <v>ảnh</v>
      </c>
      <c r="G48" s="10" t="n">
        <f aca="false">IF(F48="đệm","—",(A48*14+D48)*14+E48)</f>
        <v>634</v>
      </c>
      <c r="H48" s="10" t="n">
        <f aca="false">IF(F48="đệm","—",G48+1)</f>
        <v>635</v>
      </c>
      <c r="I48" s="11" t="n">
        <f aca="false">IF(F48="đệm",0,INDEX(pool1!$F:$F,G48+2))</f>
        <v>4.93163776</v>
      </c>
      <c r="J48" s="12" t="n">
        <f aca="false">(($B$4*8+A48)*3+B48)*3+C48</f>
        <v>1112</v>
      </c>
      <c r="K48" s="12" t="n">
        <f aca="false">J48+72</f>
        <v>1184</v>
      </c>
      <c r="L48" s="12" t="n">
        <f aca="false">K48+1</f>
        <v>1185</v>
      </c>
      <c r="M48" s="13" t="n">
        <f aca="false">INDEX(weights!$H:$H,K48+2)</f>
        <v>0.293150306</v>
      </c>
      <c r="N48" s="14" t="n">
        <f aca="false">I48*M48</f>
        <v>1.44571111842515</v>
      </c>
      <c r="O48" s="15" t="n">
        <f aca="false">O47+N48</f>
        <v>2.60886626140076</v>
      </c>
    </row>
    <row r="49" customFormat="false" ht="15" hidden="false" customHeight="false" outlineLevel="0" collapsed="false">
      <c r="A49" s="10" t="n">
        <v>3</v>
      </c>
      <c r="B49" s="10" t="n">
        <v>2</v>
      </c>
      <c r="C49" s="10" t="n">
        <v>0</v>
      </c>
      <c r="D49" s="10" t="n">
        <f aca="false">$B$5+B49-1</f>
        <v>4</v>
      </c>
      <c r="E49" s="10" t="n">
        <f aca="false">$B$6+C49-1</f>
        <v>2</v>
      </c>
      <c r="F49" s="10" t="str">
        <f aca="false">IF(OR(D49&lt;0,D49&gt;13,E49&lt;0,E49&gt;13),"đệm","ảnh")</f>
        <v>ảnh</v>
      </c>
      <c r="G49" s="10" t="n">
        <f aca="false">IF(F49="đệm","—",(A49*14+D49)*14+E49)</f>
        <v>646</v>
      </c>
      <c r="H49" s="10" t="n">
        <f aca="false">IF(F49="đệm","—",G49+1)</f>
        <v>647</v>
      </c>
      <c r="I49" s="11" t="n">
        <f aca="false">IF(F49="đệm",0,INDEX(pool1!$F:$F,G49+2))</f>
        <v>0.547937453</v>
      </c>
      <c r="J49" s="12" t="n">
        <f aca="false">(($B$4*8+A49)*3+B49)*3+C49</f>
        <v>1113</v>
      </c>
      <c r="K49" s="12" t="n">
        <f aca="false">J49+72</f>
        <v>1185</v>
      </c>
      <c r="L49" s="12" t="n">
        <f aca="false">K49+1</f>
        <v>1186</v>
      </c>
      <c r="M49" s="13" t="n">
        <f aca="false">INDEX(weights!$H:$H,K49+2)</f>
        <v>-0.207180738</v>
      </c>
      <c r="N49" s="14" t="n">
        <f aca="false">I49*M49</f>
        <v>-0.11352208589038</v>
      </c>
      <c r="O49" s="15" t="n">
        <f aca="false">O48+N49</f>
        <v>2.49534417551038</v>
      </c>
    </row>
    <row r="50" customFormat="false" ht="15" hidden="false" customHeight="false" outlineLevel="0" collapsed="false">
      <c r="A50" s="10" t="n">
        <v>3</v>
      </c>
      <c r="B50" s="10" t="n">
        <v>2</v>
      </c>
      <c r="C50" s="10" t="n">
        <v>1</v>
      </c>
      <c r="D50" s="10" t="n">
        <f aca="false">$B$5+B50-1</f>
        <v>4</v>
      </c>
      <c r="E50" s="10" t="n">
        <f aca="false">$B$6+C50-1</f>
        <v>3</v>
      </c>
      <c r="F50" s="10" t="str">
        <f aca="false">IF(OR(D50&lt;0,D50&gt;13,E50&lt;0,E50&gt;13),"đệm","ảnh")</f>
        <v>ảnh</v>
      </c>
      <c r="G50" s="10" t="n">
        <f aca="false">IF(F50="đệm","—",(A50*14+D50)*14+E50)</f>
        <v>647</v>
      </c>
      <c r="H50" s="10" t="n">
        <f aca="false">IF(F50="đệm","—",G50+1)</f>
        <v>648</v>
      </c>
      <c r="I50" s="11" t="n">
        <f aca="false">IF(F50="đệm",0,INDEX(pool1!$F:$F,G50+2))</f>
        <v>0</v>
      </c>
      <c r="J50" s="12" t="n">
        <f aca="false">(($B$4*8+A50)*3+B50)*3+C50</f>
        <v>1114</v>
      </c>
      <c r="K50" s="12" t="n">
        <f aca="false">J50+72</f>
        <v>1186</v>
      </c>
      <c r="L50" s="12" t="n">
        <f aca="false">K50+1</f>
        <v>1187</v>
      </c>
      <c r="M50" s="13" t="n">
        <f aca="false">INDEX(weights!$H:$H,K50+2)</f>
        <v>-0.43414557</v>
      </c>
      <c r="N50" s="14" t="n">
        <f aca="false">I50*M50</f>
        <v>-0</v>
      </c>
      <c r="O50" s="15" t="n">
        <f aca="false">O49+N50</f>
        <v>2.49534417551038</v>
      </c>
    </row>
    <row r="51" customFormat="false" ht="15" hidden="false" customHeight="false" outlineLevel="0" collapsed="false">
      <c r="A51" s="16" t="n">
        <v>3</v>
      </c>
      <c r="B51" s="16" t="n">
        <v>2</v>
      </c>
      <c r="C51" s="16" t="n">
        <v>2</v>
      </c>
      <c r="D51" s="16" t="n">
        <f aca="false">$B$5+B51-1</f>
        <v>4</v>
      </c>
      <c r="E51" s="16" t="n">
        <f aca="false">$B$6+C51-1</f>
        <v>4</v>
      </c>
      <c r="F51" s="16" t="str">
        <f aca="false">IF(OR(D51&lt;0,D51&gt;13,E51&lt;0,E51&gt;13),"đệm","ảnh")</f>
        <v>ảnh</v>
      </c>
      <c r="G51" s="16" t="n">
        <f aca="false">IF(F51="đệm","—",(A51*14+D51)*14+E51)</f>
        <v>648</v>
      </c>
      <c r="H51" s="16" t="n">
        <f aca="false">IF(F51="đệm","—",G51+1)</f>
        <v>649</v>
      </c>
      <c r="I51" s="17" t="n">
        <f aca="false">IF(F51="đệm",0,INDEX(pool1!$F:$F,G51+2))</f>
        <v>1.56196606</v>
      </c>
      <c r="J51" s="18" t="n">
        <f aca="false">(($B$4*8+A51)*3+B51)*3+C51</f>
        <v>1115</v>
      </c>
      <c r="K51" s="18" t="n">
        <f aca="false">J51+72</f>
        <v>1187</v>
      </c>
      <c r="L51" s="18" t="n">
        <f aca="false">K51+1</f>
        <v>1188</v>
      </c>
      <c r="M51" s="19" t="n">
        <f aca="false">INDEX(weights!$H:$H,K51+2)</f>
        <v>-0.507699013</v>
      </c>
      <c r="N51" s="20" t="n">
        <f aca="false">I51*M51</f>
        <v>-0.793008627001499</v>
      </c>
      <c r="O51" s="21" t="n">
        <f aca="false">O50+N51</f>
        <v>1.70233554850888</v>
      </c>
    </row>
    <row r="52" customFormat="false" ht="15" hidden="false" customHeight="false" outlineLevel="0" collapsed="false">
      <c r="A52" s="10" t="n">
        <v>4</v>
      </c>
      <c r="B52" s="10" t="n">
        <v>0</v>
      </c>
      <c r="C52" s="10" t="n">
        <v>0</v>
      </c>
      <c r="D52" s="10" t="n">
        <f aca="false">$B$5+B52-1</f>
        <v>2</v>
      </c>
      <c r="E52" s="10" t="n">
        <f aca="false">$B$6+C52-1</f>
        <v>2</v>
      </c>
      <c r="F52" s="10" t="str">
        <f aca="false">IF(OR(D52&lt;0,D52&gt;13,E52&lt;0,E52&gt;13),"đệm","ảnh")</f>
        <v>ảnh</v>
      </c>
      <c r="G52" s="10" t="n">
        <f aca="false">IF(F52="đệm","—",(A52*14+D52)*14+E52)</f>
        <v>814</v>
      </c>
      <c r="H52" s="10" t="n">
        <f aca="false">IF(F52="đệm","—",G52+1)</f>
        <v>815</v>
      </c>
      <c r="I52" s="11" t="n">
        <f aca="false">IF(F52="đệm",0,INDEX(pool1!$F:$F,G52+2))</f>
        <v>0</v>
      </c>
      <c r="J52" s="12" t="n">
        <f aca="false">(($B$4*8+A52)*3+B52)*3+C52</f>
        <v>1116</v>
      </c>
      <c r="K52" s="12" t="n">
        <f aca="false">J52+72</f>
        <v>1188</v>
      </c>
      <c r="L52" s="12" t="n">
        <f aca="false">K52+1</f>
        <v>1189</v>
      </c>
      <c r="M52" s="13" t="n">
        <f aca="false">INDEX(weights!$H:$H,K52+2)</f>
        <v>-0.0613450557</v>
      </c>
      <c r="N52" s="14" t="n">
        <f aca="false">I52*M52</f>
        <v>-0</v>
      </c>
      <c r="O52" s="15" t="n">
        <f aca="false">O51+N52</f>
        <v>1.70233554850888</v>
      </c>
    </row>
    <row r="53" customFormat="false" ht="15" hidden="false" customHeight="false" outlineLevel="0" collapsed="false">
      <c r="A53" s="10" t="n">
        <v>4</v>
      </c>
      <c r="B53" s="10" t="n">
        <v>0</v>
      </c>
      <c r="C53" s="10" t="n">
        <v>1</v>
      </c>
      <c r="D53" s="10" t="n">
        <f aca="false">$B$5+B53-1</f>
        <v>2</v>
      </c>
      <c r="E53" s="10" t="n">
        <f aca="false">$B$6+C53-1</f>
        <v>3</v>
      </c>
      <c r="F53" s="10" t="str">
        <f aca="false">IF(OR(D53&lt;0,D53&gt;13,E53&lt;0,E53&gt;13),"đệm","ảnh")</f>
        <v>ảnh</v>
      </c>
      <c r="G53" s="10" t="n">
        <f aca="false">IF(F53="đệm","—",(A53*14+D53)*14+E53)</f>
        <v>815</v>
      </c>
      <c r="H53" s="10" t="n">
        <f aca="false">IF(F53="đệm","—",G53+1)</f>
        <v>816</v>
      </c>
      <c r="I53" s="11" t="n">
        <f aca="false">IF(F53="đệm",0,INDEX(pool1!$F:$F,G53+2))</f>
        <v>0</v>
      </c>
      <c r="J53" s="12" t="n">
        <f aca="false">(($B$4*8+A53)*3+B53)*3+C53</f>
        <v>1117</v>
      </c>
      <c r="K53" s="12" t="n">
        <f aca="false">J53+72</f>
        <v>1189</v>
      </c>
      <c r="L53" s="12" t="n">
        <f aca="false">K53+1</f>
        <v>1190</v>
      </c>
      <c r="M53" s="13" t="n">
        <f aca="false">INDEX(weights!$H:$H,K53+2)</f>
        <v>-0.0330663659</v>
      </c>
      <c r="N53" s="14" t="n">
        <f aca="false">I53*M53</f>
        <v>-0</v>
      </c>
      <c r="O53" s="15" t="n">
        <f aca="false">O52+N53</f>
        <v>1.70233554850888</v>
      </c>
    </row>
    <row r="54" customFormat="false" ht="15" hidden="false" customHeight="false" outlineLevel="0" collapsed="false">
      <c r="A54" s="10" t="n">
        <v>4</v>
      </c>
      <c r="B54" s="10" t="n">
        <v>0</v>
      </c>
      <c r="C54" s="10" t="n">
        <v>2</v>
      </c>
      <c r="D54" s="10" t="n">
        <f aca="false">$B$5+B54-1</f>
        <v>2</v>
      </c>
      <c r="E54" s="10" t="n">
        <f aca="false">$B$6+C54-1</f>
        <v>4</v>
      </c>
      <c r="F54" s="10" t="str">
        <f aca="false">IF(OR(D54&lt;0,D54&gt;13,E54&lt;0,E54&gt;13),"đệm","ảnh")</f>
        <v>ảnh</v>
      </c>
      <c r="G54" s="10" t="n">
        <f aca="false">IF(F54="đệm","—",(A54*14+D54)*14+E54)</f>
        <v>816</v>
      </c>
      <c r="H54" s="10" t="n">
        <f aca="false">IF(F54="đệm","—",G54+1)</f>
        <v>817</v>
      </c>
      <c r="I54" s="11" t="n">
        <f aca="false">IF(F54="đệm",0,INDEX(pool1!$F:$F,G54+2))</f>
        <v>0</v>
      </c>
      <c r="J54" s="12" t="n">
        <f aca="false">(($B$4*8+A54)*3+B54)*3+C54</f>
        <v>1118</v>
      </c>
      <c r="K54" s="12" t="n">
        <f aca="false">J54+72</f>
        <v>1190</v>
      </c>
      <c r="L54" s="12" t="n">
        <f aca="false">K54+1</f>
        <v>1191</v>
      </c>
      <c r="M54" s="13" t="n">
        <f aca="false">INDEX(weights!$H:$H,K54+2)</f>
        <v>0.082995072</v>
      </c>
      <c r="N54" s="14" t="n">
        <f aca="false">I54*M54</f>
        <v>0</v>
      </c>
      <c r="O54" s="15" t="n">
        <f aca="false">O53+N54</f>
        <v>1.70233554850888</v>
      </c>
    </row>
    <row r="55" customFormat="false" ht="15" hidden="false" customHeight="false" outlineLevel="0" collapsed="false">
      <c r="A55" s="10" t="n">
        <v>4</v>
      </c>
      <c r="B55" s="10" t="n">
        <v>1</v>
      </c>
      <c r="C55" s="10" t="n">
        <v>0</v>
      </c>
      <c r="D55" s="10" t="n">
        <f aca="false">$B$5+B55-1</f>
        <v>3</v>
      </c>
      <c r="E55" s="10" t="n">
        <f aca="false">$B$6+C55-1</f>
        <v>2</v>
      </c>
      <c r="F55" s="10" t="str">
        <f aca="false">IF(OR(D55&lt;0,D55&gt;13,E55&lt;0,E55&gt;13),"đệm","ảnh")</f>
        <v>ảnh</v>
      </c>
      <c r="G55" s="10" t="n">
        <f aca="false">IF(F55="đệm","—",(A55*14+D55)*14+E55)</f>
        <v>828</v>
      </c>
      <c r="H55" s="10" t="n">
        <f aca="false">IF(F55="đệm","—",G55+1)</f>
        <v>829</v>
      </c>
      <c r="I55" s="11" t="n">
        <f aca="false">IF(F55="đệm",0,INDEX(pool1!$F:$F,G55+2))</f>
        <v>0.0426838323</v>
      </c>
      <c r="J55" s="12" t="n">
        <f aca="false">(($B$4*8+A55)*3+B55)*3+C55</f>
        <v>1119</v>
      </c>
      <c r="K55" s="12" t="n">
        <f aca="false">J55+72</f>
        <v>1191</v>
      </c>
      <c r="L55" s="12" t="n">
        <f aca="false">K55+1</f>
        <v>1192</v>
      </c>
      <c r="M55" s="13" t="n">
        <f aca="false">INDEX(weights!$H:$H,K55+2)</f>
        <v>-0.0405092649</v>
      </c>
      <c r="N55" s="14" t="n">
        <f aca="false">I55*M55</f>
        <v>-0.00172909066958788</v>
      </c>
      <c r="O55" s="15" t="n">
        <f aca="false">O54+N55</f>
        <v>1.70060645783929</v>
      </c>
    </row>
    <row r="56" customFormat="false" ht="15" hidden="false" customHeight="false" outlineLevel="0" collapsed="false">
      <c r="A56" s="10" t="n">
        <v>4</v>
      </c>
      <c r="B56" s="10" t="n">
        <v>1</v>
      </c>
      <c r="C56" s="10" t="n">
        <v>1</v>
      </c>
      <c r="D56" s="10" t="n">
        <f aca="false">$B$5+B56-1</f>
        <v>3</v>
      </c>
      <c r="E56" s="10" t="n">
        <f aca="false">$B$6+C56-1</f>
        <v>3</v>
      </c>
      <c r="F56" s="10" t="str">
        <f aca="false">IF(OR(D56&lt;0,D56&gt;13,E56&lt;0,E56&gt;13),"đệm","ảnh")</f>
        <v>ảnh</v>
      </c>
      <c r="G56" s="10" t="n">
        <f aca="false">IF(F56="đệm","—",(A56*14+D56)*14+E56)</f>
        <v>829</v>
      </c>
      <c r="H56" s="10" t="n">
        <f aca="false">IF(F56="đệm","—",G56+1)</f>
        <v>830</v>
      </c>
      <c r="I56" s="11" t="n">
        <f aca="false">IF(F56="đệm",0,INDEX(pool1!$F:$F,G56+2))</f>
        <v>2.19903421</v>
      </c>
      <c r="J56" s="12" t="n">
        <f aca="false">(($B$4*8+A56)*3+B56)*3+C56</f>
        <v>1120</v>
      </c>
      <c r="K56" s="12" t="n">
        <f aca="false">J56+72</f>
        <v>1192</v>
      </c>
      <c r="L56" s="12" t="n">
        <f aca="false">K56+1</f>
        <v>1193</v>
      </c>
      <c r="M56" s="13" t="n">
        <f aca="false">INDEX(weights!$H:$H,K56+2)</f>
        <v>-0.149886906</v>
      </c>
      <c r="N56" s="14" t="n">
        <f aca="false">I56*M56</f>
        <v>-0.329606433925054</v>
      </c>
      <c r="O56" s="15" t="n">
        <f aca="false">O55+N56</f>
        <v>1.37100002391424</v>
      </c>
    </row>
    <row r="57" customFormat="false" ht="15" hidden="false" customHeight="false" outlineLevel="0" collapsed="false">
      <c r="A57" s="10" t="n">
        <v>4</v>
      </c>
      <c r="B57" s="10" t="n">
        <v>1</v>
      </c>
      <c r="C57" s="10" t="n">
        <v>2</v>
      </c>
      <c r="D57" s="10" t="n">
        <f aca="false">$B$5+B57-1</f>
        <v>3</v>
      </c>
      <c r="E57" s="10" t="n">
        <f aca="false">$B$6+C57-1</f>
        <v>4</v>
      </c>
      <c r="F57" s="10" t="str">
        <f aca="false">IF(OR(D57&lt;0,D57&gt;13,E57&lt;0,E57&gt;13),"đệm","ảnh")</f>
        <v>ảnh</v>
      </c>
      <c r="G57" s="10" t="n">
        <f aca="false">IF(F57="đệm","—",(A57*14+D57)*14+E57)</f>
        <v>830</v>
      </c>
      <c r="H57" s="10" t="n">
        <f aca="false">IF(F57="đệm","—",G57+1)</f>
        <v>831</v>
      </c>
      <c r="I57" s="11" t="n">
        <f aca="false">IF(F57="đệm",0,INDEX(pool1!$F:$F,G57+2))</f>
        <v>2.14963746</v>
      </c>
      <c r="J57" s="12" t="n">
        <f aca="false">(($B$4*8+A57)*3+B57)*3+C57</f>
        <v>1121</v>
      </c>
      <c r="K57" s="12" t="n">
        <f aca="false">J57+72</f>
        <v>1193</v>
      </c>
      <c r="L57" s="12" t="n">
        <f aca="false">K57+1</f>
        <v>1194</v>
      </c>
      <c r="M57" s="13" t="n">
        <f aca="false">INDEX(weights!$H:$H,K57+2)</f>
        <v>0.0340522788</v>
      </c>
      <c r="N57" s="14" t="n">
        <f aca="false">I57*M57</f>
        <v>0.0732000541068439</v>
      </c>
      <c r="O57" s="15" t="n">
        <f aca="false">O56+N57</f>
        <v>1.44420007802108</v>
      </c>
    </row>
    <row r="58" customFormat="false" ht="15" hidden="false" customHeight="false" outlineLevel="0" collapsed="false">
      <c r="A58" s="10" t="n">
        <v>4</v>
      </c>
      <c r="B58" s="10" t="n">
        <v>2</v>
      </c>
      <c r="C58" s="10" t="n">
        <v>0</v>
      </c>
      <c r="D58" s="10" t="n">
        <f aca="false">$B$5+B58-1</f>
        <v>4</v>
      </c>
      <c r="E58" s="10" t="n">
        <f aca="false">$B$6+C58-1</f>
        <v>2</v>
      </c>
      <c r="F58" s="10" t="str">
        <f aca="false">IF(OR(D58&lt;0,D58&gt;13,E58&lt;0,E58&gt;13),"đệm","ảnh")</f>
        <v>ảnh</v>
      </c>
      <c r="G58" s="10" t="n">
        <f aca="false">IF(F58="đệm","—",(A58*14+D58)*14+E58)</f>
        <v>842</v>
      </c>
      <c r="H58" s="10" t="n">
        <f aca="false">IF(F58="đệm","—",G58+1)</f>
        <v>843</v>
      </c>
      <c r="I58" s="11" t="n">
        <f aca="false">IF(F58="đệm",0,INDEX(pool1!$F:$F,G58+2))</f>
        <v>0</v>
      </c>
      <c r="J58" s="12" t="n">
        <f aca="false">(($B$4*8+A58)*3+B58)*3+C58</f>
        <v>1122</v>
      </c>
      <c r="K58" s="12" t="n">
        <f aca="false">J58+72</f>
        <v>1194</v>
      </c>
      <c r="L58" s="12" t="n">
        <f aca="false">K58+1</f>
        <v>1195</v>
      </c>
      <c r="M58" s="13" t="n">
        <f aca="false">INDEX(weights!$H:$H,K58+2)</f>
        <v>-0.0979703069</v>
      </c>
      <c r="N58" s="14" t="n">
        <f aca="false">I58*M58</f>
        <v>-0</v>
      </c>
      <c r="O58" s="15" t="n">
        <f aca="false">O57+N58</f>
        <v>1.44420007802108</v>
      </c>
    </row>
    <row r="59" customFormat="false" ht="15" hidden="false" customHeight="false" outlineLevel="0" collapsed="false">
      <c r="A59" s="10" t="n">
        <v>4</v>
      </c>
      <c r="B59" s="10" t="n">
        <v>2</v>
      </c>
      <c r="C59" s="10" t="n">
        <v>1</v>
      </c>
      <c r="D59" s="10" t="n">
        <f aca="false">$B$5+B59-1</f>
        <v>4</v>
      </c>
      <c r="E59" s="10" t="n">
        <f aca="false">$B$6+C59-1</f>
        <v>3</v>
      </c>
      <c r="F59" s="10" t="str">
        <f aca="false">IF(OR(D59&lt;0,D59&gt;13,E59&lt;0,E59&gt;13),"đệm","ảnh")</f>
        <v>ảnh</v>
      </c>
      <c r="G59" s="10" t="n">
        <f aca="false">IF(F59="đệm","—",(A59*14+D59)*14+E59)</f>
        <v>843</v>
      </c>
      <c r="H59" s="10" t="n">
        <f aca="false">IF(F59="đệm","—",G59+1)</f>
        <v>844</v>
      </c>
      <c r="I59" s="11" t="n">
        <f aca="false">IF(F59="đệm",0,INDEX(pool1!$F:$F,G59+2))</f>
        <v>1.16468453</v>
      </c>
      <c r="J59" s="12" t="n">
        <f aca="false">(($B$4*8+A59)*3+B59)*3+C59</f>
        <v>1123</v>
      </c>
      <c r="K59" s="12" t="n">
        <f aca="false">J59+72</f>
        <v>1195</v>
      </c>
      <c r="L59" s="12" t="n">
        <f aca="false">K59+1</f>
        <v>1196</v>
      </c>
      <c r="M59" s="13" t="n">
        <f aca="false">INDEX(weights!$H:$H,K59+2)</f>
        <v>0.0376476459</v>
      </c>
      <c r="N59" s="14" t="n">
        <f aca="false">I59*M59</f>
        <v>0.0438476307706479</v>
      </c>
      <c r="O59" s="15" t="n">
        <f aca="false">O58+N59</f>
        <v>1.48804770879173</v>
      </c>
    </row>
    <row r="60" customFormat="false" ht="15" hidden="false" customHeight="false" outlineLevel="0" collapsed="false">
      <c r="A60" s="16" t="n">
        <v>4</v>
      </c>
      <c r="B60" s="16" t="n">
        <v>2</v>
      </c>
      <c r="C60" s="16" t="n">
        <v>2</v>
      </c>
      <c r="D60" s="16" t="n">
        <f aca="false">$B$5+B60-1</f>
        <v>4</v>
      </c>
      <c r="E60" s="16" t="n">
        <f aca="false">$B$6+C60-1</f>
        <v>4</v>
      </c>
      <c r="F60" s="16" t="str">
        <f aca="false">IF(OR(D60&lt;0,D60&gt;13,E60&lt;0,E60&gt;13),"đệm","ảnh")</f>
        <v>ảnh</v>
      </c>
      <c r="G60" s="16" t="n">
        <f aca="false">IF(F60="đệm","—",(A60*14+D60)*14+E60)</f>
        <v>844</v>
      </c>
      <c r="H60" s="16" t="n">
        <f aca="false">IF(F60="đệm","—",G60+1)</f>
        <v>845</v>
      </c>
      <c r="I60" s="17" t="n">
        <f aca="false">IF(F60="đệm",0,INDEX(pool1!$F:$F,G60+2))</f>
        <v>1.09865952</v>
      </c>
      <c r="J60" s="18" t="n">
        <f aca="false">(($B$4*8+A60)*3+B60)*3+C60</f>
        <v>1124</v>
      </c>
      <c r="K60" s="18" t="n">
        <f aca="false">J60+72</f>
        <v>1196</v>
      </c>
      <c r="L60" s="18" t="n">
        <f aca="false">K60+1</f>
        <v>1197</v>
      </c>
      <c r="M60" s="19" t="n">
        <f aca="false">INDEX(weights!$H:$H,K60+2)</f>
        <v>0.0868506581</v>
      </c>
      <c r="N60" s="20" t="n">
        <f aca="false">I60*M60</f>
        <v>0.0954193023398301</v>
      </c>
      <c r="O60" s="21" t="n">
        <f aca="false">O59+N60</f>
        <v>1.58346701113156</v>
      </c>
    </row>
    <row r="61" customFormat="false" ht="15" hidden="false" customHeight="false" outlineLevel="0" collapsed="false">
      <c r="A61" s="10" t="n">
        <v>5</v>
      </c>
      <c r="B61" s="10" t="n">
        <v>0</v>
      </c>
      <c r="C61" s="10" t="n">
        <v>0</v>
      </c>
      <c r="D61" s="10" t="n">
        <f aca="false">$B$5+B61-1</f>
        <v>2</v>
      </c>
      <c r="E61" s="10" t="n">
        <f aca="false">$B$6+C61-1</f>
        <v>2</v>
      </c>
      <c r="F61" s="10" t="str">
        <f aca="false">IF(OR(D61&lt;0,D61&gt;13,E61&lt;0,E61&gt;13),"đệm","ảnh")</f>
        <v>ảnh</v>
      </c>
      <c r="G61" s="10" t="n">
        <f aca="false">IF(F61="đệm","—",(A61*14+D61)*14+E61)</f>
        <v>1010</v>
      </c>
      <c r="H61" s="10" t="n">
        <f aca="false">IF(F61="đệm","—",G61+1)</f>
        <v>1011</v>
      </c>
      <c r="I61" s="11" t="n">
        <f aca="false">IF(F61="đệm",0,INDEX(pool1!$F:$F,G61+2))</f>
        <v>0.51512605</v>
      </c>
      <c r="J61" s="12" t="n">
        <f aca="false">(($B$4*8+A61)*3+B61)*3+C61</f>
        <v>1125</v>
      </c>
      <c r="K61" s="12" t="n">
        <f aca="false">J61+72</f>
        <v>1197</v>
      </c>
      <c r="L61" s="12" t="n">
        <f aca="false">K61+1</f>
        <v>1198</v>
      </c>
      <c r="M61" s="13" t="n">
        <f aca="false">INDEX(weights!$H:$H,K61+2)</f>
        <v>-0.268269211</v>
      </c>
      <c r="N61" s="14" t="n">
        <f aca="false">I61*M61</f>
        <v>-0.138192458999047</v>
      </c>
      <c r="O61" s="15" t="n">
        <f aca="false">O60+N61</f>
        <v>1.44527455213251</v>
      </c>
    </row>
    <row r="62" customFormat="false" ht="15" hidden="false" customHeight="false" outlineLevel="0" collapsed="false">
      <c r="A62" s="10" t="n">
        <v>5</v>
      </c>
      <c r="B62" s="10" t="n">
        <v>0</v>
      </c>
      <c r="C62" s="10" t="n">
        <v>1</v>
      </c>
      <c r="D62" s="10" t="n">
        <f aca="false">$B$5+B62-1</f>
        <v>2</v>
      </c>
      <c r="E62" s="10" t="n">
        <f aca="false">$B$6+C62-1</f>
        <v>3</v>
      </c>
      <c r="F62" s="10" t="str">
        <f aca="false">IF(OR(D62&lt;0,D62&gt;13,E62&lt;0,E62&gt;13),"đệm","ảnh")</f>
        <v>ảnh</v>
      </c>
      <c r="G62" s="10" t="n">
        <f aca="false">IF(F62="đệm","—",(A62*14+D62)*14+E62)</f>
        <v>1011</v>
      </c>
      <c r="H62" s="10" t="n">
        <f aca="false">IF(F62="đệm","—",G62+1)</f>
        <v>1012</v>
      </c>
      <c r="I62" s="11" t="n">
        <f aca="false">IF(F62="đệm",0,INDEX(pool1!$F:$F,G62+2))</f>
        <v>0.51512605</v>
      </c>
      <c r="J62" s="12" t="n">
        <f aca="false">(($B$4*8+A62)*3+B62)*3+C62</f>
        <v>1126</v>
      </c>
      <c r="K62" s="12" t="n">
        <f aca="false">J62+72</f>
        <v>1198</v>
      </c>
      <c r="L62" s="12" t="n">
        <f aca="false">K62+1</f>
        <v>1199</v>
      </c>
      <c r="M62" s="13" t="n">
        <f aca="false">INDEX(weights!$H:$H,K62+2)</f>
        <v>-0.235708594</v>
      </c>
      <c r="N62" s="14" t="n">
        <f aca="false">I62*M62</f>
        <v>-0.121419636978274</v>
      </c>
      <c r="O62" s="15" t="n">
        <f aca="false">O61+N62</f>
        <v>1.32385491515424</v>
      </c>
    </row>
    <row r="63" customFormat="false" ht="15" hidden="false" customHeight="false" outlineLevel="0" collapsed="false">
      <c r="A63" s="10" t="n">
        <v>5</v>
      </c>
      <c r="B63" s="10" t="n">
        <v>0</v>
      </c>
      <c r="C63" s="10" t="n">
        <v>2</v>
      </c>
      <c r="D63" s="10" t="n">
        <f aca="false">$B$5+B63-1</f>
        <v>2</v>
      </c>
      <c r="E63" s="10" t="n">
        <f aca="false">$B$6+C63-1</f>
        <v>4</v>
      </c>
      <c r="F63" s="10" t="str">
        <f aca="false">IF(OR(D63&lt;0,D63&gt;13,E63&lt;0,E63&gt;13),"đệm","ảnh")</f>
        <v>ảnh</v>
      </c>
      <c r="G63" s="10" t="n">
        <f aca="false">IF(F63="đệm","—",(A63*14+D63)*14+E63)</f>
        <v>1012</v>
      </c>
      <c r="H63" s="10" t="n">
        <f aca="false">IF(F63="đệm","—",G63+1)</f>
        <v>1013</v>
      </c>
      <c r="I63" s="11" t="n">
        <f aca="false">IF(F63="đệm",0,INDEX(pool1!$F:$F,G63+2))</f>
        <v>0.51512605</v>
      </c>
      <c r="J63" s="12" t="n">
        <f aca="false">(($B$4*8+A63)*3+B63)*3+C63</f>
        <v>1127</v>
      </c>
      <c r="K63" s="12" t="n">
        <f aca="false">J63+72</f>
        <v>1199</v>
      </c>
      <c r="L63" s="12" t="n">
        <f aca="false">K63+1</f>
        <v>1200</v>
      </c>
      <c r="M63" s="13" t="n">
        <f aca="false">INDEX(weights!$H:$H,K63+2)</f>
        <v>-0.20649913</v>
      </c>
      <c r="N63" s="14" t="n">
        <f aca="false">I63*M63</f>
        <v>-0.106373081165337</v>
      </c>
      <c r="O63" s="15" t="n">
        <f aca="false">O62+N63</f>
        <v>1.2174818339889</v>
      </c>
    </row>
    <row r="64" customFormat="false" ht="15" hidden="false" customHeight="false" outlineLevel="0" collapsed="false">
      <c r="A64" s="10" t="n">
        <v>5</v>
      </c>
      <c r="B64" s="10" t="n">
        <v>1</v>
      </c>
      <c r="C64" s="10" t="n">
        <v>0</v>
      </c>
      <c r="D64" s="10" t="n">
        <f aca="false">$B$5+B64-1</f>
        <v>3</v>
      </c>
      <c r="E64" s="10" t="n">
        <f aca="false">$B$6+C64-1</f>
        <v>2</v>
      </c>
      <c r="F64" s="10" t="str">
        <f aca="false">IF(OR(D64&lt;0,D64&gt;13,E64&lt;0,E64&gt;13),"đệm","ảnh")</f>
        <v>ảnh</v>
      </c>
      <c r="G64" s="10" t="n">
        <f aca="false">IF(F64="đệm","—",(A64*14+D64)*14+E64)</f>
        <v>1024</v>
      </c>
      <c r="H64" s="10" t="n">
        <f aca="false">IF(F64="đệm","—",G64+1)</f>
        <v>1025</v>
      </c>
      <c r="I64" s="11" t="n">
        <f aca="false">IF(F64="đệm",0,INDEX(pool1!$F:$F,G64+2))</f>
        <v>0.935563087</v>
      </c>
      <c r="J64" s="12" t="n">
        <f aca="false">(($B$4*8+A64)*3+B64)*3+C64</f>
        <v>1128</v>
      </c>
      <c r="K64" s="12" t="n">
        <f aca="false">J64+72</f>
        <v>1200</v>
      </c>
      <c r="L64" s="12" t="n">
        <f aca="false">K64+1</f>
        <v>1201</v>
      </c>
      <c r="M64" s="13" t="n">
        <f aca="false">INDEX(weights!$H:$H,K64+2)</f>
        <v>0.193066895</v>
      </c>
      <c r="N64" s="14" t="n">
        <f aca="false">I64*M64</f>
        <v>0.180626260283705</v>
      </c>
      <c r="O64" s="15" t="n">
        <f aca="false">O63+N64</f>
        <v>1.39810809427261</v>
      </c>
    </row>
    <row r="65" customFormat="false" ht="15" hidden="false" customHeight="false" outlineLevel="0" collapsed="false">
      <c r="A65" s="10" t="n">
        <v>5</v>
      </c>
      <c r="B65" s="10" t="n">
        <v>1</v>
      </c>
      <c r="C65" s="10" t="n">
        <v>1</v>
      </c>
      <c r="D65" s="10" t="n">
        <f aca="false">$B$5+B65-1</f>
        <v>3</v>
      </c>
      <c r="E65" s="10" t="n">
        <f aca="false">$B$6+C65-1</f>
        <v>3</v>
      </c>
      <c r="F65" s="10" t="str">
        <f aca="false">IF(OR(D65&lt;0,D65&gt;13,E65&lt;0,E65&gt;13),"đệm","ảnh")</f>
        <v>ảnh</v>
      </c>
      <c r="G65" s="10" t="n">
        <f aca="false">IF(F65="đệm","—",(A65*14+D65)*14+E65)</f>
        <v>1025</v>
      </c>
      <c r="H65" s="10" t="n">
        <f aca="false">IF(F65="đệm","—",G65+1)</f>
        <v>1026</v>
      </c>
      <c r="I65" s="11" t="n">
        <f aca="false">IF(F65="đệm",0,INDEX(pool1!$F:$F,G65+2))</f>
        <v>0.729577243</v>
      </c>
      <c r="J65" s="12" t="n">
        <f aca="false">(($B$4*8+A65)*3+B65)*3+C65</f>
        <v>1129</v>
      </c>
      <c r="K65" s="12" t="n">
        <f aca="false">J65+72</f>
        <v>1201</v>
      </c>
      <c r="L65" s="12" t="n">
        <f aca="false">K65+1</f>
        <v>1202</v>
      </c>
      <c r="M65" s="13" t="n">
        <f aca="false">INDEX(weights!$H:$H,K65+2)</f>
        <v>0.466028184</v>
      </c>
      <c r="N65" s="14" t="n">
        <f aca="false">I65*M65</f>
        <v>0.340003557643017</v>
      </c>
      <c r="O65" s="15" t="n">
        <f aca="false">O64+N65</f>
        <v>1.73811165191562</v>
      </c>
    </row>
    <row r="66" customFormat="false" ht="15" hidden="false" customHeight="false" outlineLevel="0" collapsed="false">
      <c r="A66" s="10" t="n">
        <v>5</v>
      </c>
      <c r="B66" s="10" t="n">
        <v>1</v>
      </c>
      <c r="C66" s="10" t="n">
        <v>2</v>
      </c>
      <c r="D66" s="10" t="n">
        <f aca="false">$B$5+B66-1</f>
        <v>3</v>
      </c>
      <c r="E66" s="10" t="n">
        <f aca="false">$B$6+C66-1</f>
        <v>4</v>
      </c>
      <c r="F66" s="10" t="str">
        <f aca="false">IF(OR(D66&lt;0,D66&gt;13,E66&lt;0,E66&gt;13),"đệm","ảnh")</f>
        <v>ảnh</v>
      </c>
      <c r="G66" s="10" t="n">
        <f aca="false">IF(F66="đệm","—",(A66*14+D66)*14+E66)</f>
        <v>1026</v>
      </c>
      <c r="H66" s="10" t="n">
        <f aca="false">IF(F66="đệm","—",G66+1)</f>
        <v>1027</v>
      </c>
      <c r="I66" s="11" t="n">
        <f aca="false">IF(F66="đệm",0,INDEX(pool1!$F:$F,G66+2))</f>
        <v>0</v>
      </c>
      <c r="J66" s="12" t="n">
        <f aca="false">(($B$4*8+A66)*3+B66)*3+C66</f>
        <v>1130</v>
      </c>
      <c r="K66" s="12" t="n">
        <f aca="false">J66+72</f>
        <v>1202</v>
      </c>
      <c r="L66" s="12" t="n">
        <f aca="false">K66+1</f>
        <v>1203</v>
      </c>
      <c r="M66" s="13" t="n">
        <f aca="false">INDEX(weights!$H:$H,K66+2)</f>
        <v>0.106727809</v>
      </c>
      <c r="N66" s="14" t="n">
        <f aca="false">I66*M66</f>
        <v>0</v>
      </c>
      <c r="O66" s="15" t="n">
        <f aca="false">O65+N66</f>
        <v>1.73811165191562</v>
      </c>
    </row>
    <row r="67" customFormat="false" ht="15" hidden="false" customHeight="false" outlineLevel="0" collapsed="false">
      <c r="A67" s="10" t="n">
        <v>5</v>
      </c>
      <c r="B67" s="10" t="n">
        <v>2</v>
      </c>
      <c r="C67" s="10" t="n">
        <v>0</v>
      </c>
      <c r="D67" s="10" t="n">
        <f aca="false">$B$5+B67-1</f>
        <v>4</v>
      </c>
      <c r="E67" s="10" t="n">
        <f aca="false">$B$6+C67-1</f>
        <v>2</v>
      </c>
      <c r="F67" s="10" t="str">
        <f aca="false">IF(OR(D67&lt;0,D67&gt;13,E67&lt;0,E67&gt;13),"đệm","ảnh")</f>
        <v>ảnh</v>
      </c>
      <c r="G67" s="10" t="n">
        <f aca="false">IF(F67="đệm","—",(A67*14+D67)*14+E67)</f>
        <v>1038</v>
      </c>
      <c r="H67" s="10" t="n">
        <f aca="false">IF(F67="đệm","—",G67+1)</f>
        <v>1039</v>
      </c>
      <c r="I67" s="11" t="n">
        <f aca="false">IF(F67="đệm",0,INDEX(pool1!$F:$F,G67+2))</f>
        <v>0.749266505</v>
      </c>
      <c r="J67" s="12" t="n">
        <f aca="false">(($B$4*8+A67)*3+B67)*3+C67</f>
        <v>1131</v>
      </c>
      <c r="K67" s="12" t="n">
        <f aca="false">J67+72</f>
        <v>1203</v>
      </c>
      <c r="L67" s="12" t="n">
        <f aca="false">K67+1</f>
        <v>1204</v>
      </c>
      <c r="M67" s="13" t="n">
        <f aca="false">INDEX(weights!$H:$H,K67+2)</f>
        <v>-0.295440912</v>
      </c>
      <c r="N67" s="14" t="n">
        <f aca="false">I67*M67</f>
        <v>-0.221363979568253</v>
      </c>
      <c r="O67" s="15" t="n">
        <f aca="false">O66+N67</f>
        <v>1.51674767234737</v>
      </c>
    </row>
    <row r="68" customFormat="false" ht="15" hidden="false" customHeight="false" outlineLevel="0" collapsed="false">
      <c r="A68" s="10" t="n">
        <v>5</v>
      </c>
      <c r="B68" s="10" t="n">
        <v>2</v>
      </c>
      <c r="C68" s="10" t="n">
        <v>1</v>
      </c>
      <c r="D68" s="10" t="n">
        <f aca="false">$B$5+B68-1</f>
        <v>4</v>
      </c>
      <c r="E68" s="10" t="n">
        <f aca="false">$B$6+C68-1</f>
        <v>3</v>
      </c>
      <c r="F68" s="10" t="str">
        <f aca="false">IF(OR(D68&lt;0,D68&gt;13,E68&lt;0,E68&gt;13),"đệm","ảnh")</f>
        <v>ảnh</v>
      </c>
      <c r="G68" s="10" t="n">
        <f aca="false">IF(F68="đệm","—",(A68*14+D68)*14+E68)</f>
        <v>1039</v>
      </c>
      <c r="H68" s="10" t="n">
        <f aca="false">IF(F68="đệm","—",G68+1)</f>
        <v>1040</v>
      </c>
      <c r="I68" s="11" t="n">
        <f aca="false">IF(F68="đệm",0,INDEX(pool1!$F:$F,G68+2))</f>
        <v>3.53567362</v>
      </c>
      <c r="J68" s="12" t="n">
        <f aca="false">(($B$4*8+A68)*3+B68)*3+C68</f>
        <v>1132</v>
      </c>
      <c r="K68" s="12" t="n">
        <f aca="false">J68+72</f>
        <v>1204</v>
      </c>
      <c r="L68" s="12" t="n">
        <f aca="false">K68+1</f>
        <v>1205</v>
      </c>
      <c r="M68" s="13" t="n">
        <f aca="false">INDEX(weights!$H:$H,K68+2)</f>
        <v>0.13378717</v>
      </c>
      <c r="N68" s="14" t="n">
        <f aca="false">I68*M68</f>
        <v>0.473027767663455</v>
      </c>
      <c r="O68" s="15" t="n">
        <f aca="false">O67+N68</f>
        <v>1.98977544001083</v>
      </c>
    </row>
    <row r="69" customFormat="false" ht="15" hidden="false" customHeight="false" outlineLevel="0" collapsed="false">
      <c r="A69" s="16" t="n">
        <v>5</v>
      </c>
      <c r="B69" s="16" t="n">
        <v>2</v>
      </c>
      <c r="C69" s="16" t="n">
        <v>2</v>
      </c>
      <c r="D69" s="16" t="n">
        <f aca="false">$B$5+B69-1</f>
        <v>4</v>
      </c>
      <c r="E69" s="16" t="n">
        <f aca="false">$B$6+C69-1</f>
        <v>4</v>
      </c>
      <c r="F69" s="16" t="str">
        <f aca="false">IF(OR(D69&lt;0,D69&gt;13,E69&lt;0,E69&gt;13),"đệm","ảnh")</f>
        <v>ảnh</v>
      </c>
      <c r="G69" s="16" t="n">
        <f aca="false">IF(F69="đệm","—",(A69*14+D69)*14+E69)</f>
        <v>1040</v>
      </c>
      <c r="H69" s="16" t="n">
        <f aca="false">IF(F69="đệm","—",G69+1)</f>
        <v>1041</v>
      </c>
      <c r="I69" s="17" t="n">
        <f aca="false">IF(F69="đệm",0,INDEX(pool1!$F:$F,G69+2))</f>
        <v>3.34387994</v>
      </c>
      <c r="J69" s="18" t="n">
        <f aca="false">(($B$4*8+A69)*3+B69)*3+C69</f>
        <v>1133</v>
      </c>
      <c r="K69" s="18" t="n">
        <f aca="false">J69+72</f>
        <v>1205</v>
      </c>
      <c r="L69" s="18" t="n">
        <f aca="false">K69+1</f>
        <v>1206</v>
      </c>
      <c r="M69" s="19" t="n">
        <f aca="false">INDEX(weights!$H:$H,K69+2)</f>
        <v>0.324202389</v>
      </c>
      <c r="N69" s="20" t="n">
        <f aca="false">I69*M69</f>
        <v>1.08409386507718</v>
      </c>
      <c r="O69" s="21" t="n">
        <f aca="false">O68+N69</f>
        <v>3.073869305088</v>
      </c>
    </row>
    <row r="70" customFormat="false" ht="15" hidden="false" customHeight="false" outlineLevel="0" collapsed="false">
      <c r="A70" s="10" t="n">
        <v>6</v>
      </c>
      <c r="B70" s="10" t="n">
        <v>0</v>
      </c>
      <c r="C70" s="10" t="n">
        <v>0</v>
      </c>
      <c r="D70" s="10" t="n">
        <f aca="false">$B$5+B70-1</f>
        <v>2</v>
      </c>
      <c r="E70" s="10" t="n">
        <f aca="false">$B$6+C70-1</f>
        <v>2</v>
      </c>
      <c r="F70" s="10" t="str">
        <f aca="false">IF(OR(D70&lt;0,D70&gt;13,E70&lt;0,E70&gt;13),"đệm","ảnh")</f>
        <v>ảnh</v>
      </c>
      <c r="G70" s="10" t="n">
        <f aca="false">IF(F70="đệm","—",(A70*14+D70)*14+E70)</f>
        <v>1206</v>
      </c>
      <c r="H70" s="10" t="n">
        <f aca="false">IF(F70="đệm","—",G70+1)</f>
        <v>1207</v>
      </c>
      <c r="I70" s="11" t="n">
        <f aca="false">IF(F70="đệm",0,INDEX(pool1!$F:$F,G70+2))</f>
        <v>0</v>
      </c>
      <c r="J70" s="12" t="n">
        <f aca="false">(($B$4*8+A70)*3+B70)*3+C70</f>
        <v>1134</v>
      </c>
      <c r="K70" s="12" t="n">
        <f aca="false">J70+72</f>
        <v>1206</v>
      </c>
      <c r="L70" s="12" t="n">
        <f aca="false">K70+1</f>
        <v>1207</v>
      </c>
      <c r="M70" s="13" t="n">
        <f aca="false">INDEX(weights!$H:$H,K70+2)</f>
        <v>-0.166661978</v>
      </c>
      <c r="N70" s="14" t="n">
        <f aca="false">I70*M70</f>
        <v>-0</v>
      </c>
      <c r="O70" s="15" t="n">
        <f aca="false">O69+N70</f>
        <v>3.073869305088</v>
      </c>
    </row>
    <row r="71" customFormat="false" ht="15" hidden="false" customHeight="false" outlineLevel="0" collapsed="false">
      <c r="A71" s="10" t="n">
        <v>6</v>
      </c>
      <c r="B71" s="10" t="n">
        <v>0</v>
      </c>
      <c r="C71" s="10" t="n">
        <v>1</v>
      </c>
      <c r="D71" s="10" t="n">
        <f aca="false">$B$5+B71-1</f>
        <v>2</v>
      </c>
      <c r="E71" s="10" t="n">
        <f aca="false">$B$6+C71-1</f>
        <v>3</v>
      </c>
      <c r="F71" s="10" t="str">
        <f aca="false">IF(OR(D71&lt;0,D71&gt;13,E71&lt;0,E71&gt;13),"đệm","ảnh")</f>
        <v>ảnh</v>
      </c>
      <c r="G71" s="10" t="n">
        <f aca="false">IF(F71="đệm","—",(A71*14+D71)*14+E71)</f>
        <v>1207</v>
      </c>
      <c r="H71" s="10" t="n">
        <f aca="false">IF(F71="đệm","—",G71+1)</f>
        <v>1208</v>
      </c>
      <c r="I71" s="11" t="n">
        <f aca="false">IF(F71="đệm",0,INDEX(pool1!$F:$F,G71+2))</f>
        <v>0</v>
      </c>
      <c r="J71" s="12" t="n">
        <f aca="false">(($B$4*8+A71)*3+B71)*3+C71</f>
        <v>1135</v>
      </c>
      <c r="K71" s="12" t="n">
        <f aca="false">J71+72</f>
        <v>1207</v>
      </c>
      <c r="L71" s="12" t="n">
        <f aca="false">K71+1</f>
        <v>1208</v>
      </c>
      <c r="M71" s="13" t="n">
        <f aca="false">INDEX(weights!$H:$H,K71+2)</f>
        <v>-0.016888408</v>
      </c>
      <c r="N71" s="14" t="n">
        <f aca="false">I71*M71</f>
        <v>-0</v>
      </c>
      <c r="O71" s="15" t="n">
        <f aca="false">O70+N71</f>
        <v>3.073869305088</v>
      </c>
    </row>
    <row r="72" customFormat="false" ht="15" hidden="false" customHeight="false" outlineLevel="0" collapsed="false">
      <c r="A72" s="10" t="n">
        <v>6</v>
      </c>
      <c r="B72" s="10" t="n">
        <v>0</v>
      </c>
      <c r="C72" s="10" t="n">
        <v>2</v>
      </c>
      <c r="D72" s="10" t="n">
        <f aca="false">$B$5+B72-1</f>
        <v>2</v>
      </c>
      <c r="E72" s="10" t="n">
        <f aca="false">$B$6+C72-1</f>
        <v>4</v>
      </c>
      <c r="F72" s="10" t="str">
        <f aca="false">IF(OR(D72&lt;0,D72&gt;13,E72&lt;0,E72&gt;13),"đệm","ảnh")</f>
        <v>ảnh</v>
      </c>
      <c r="G72" s="10" t="n">
        <f aca="false">IF(F72="đệm","—",(A72*14+D72)*14+E72)</f>
        <v>1208</v>
      </c>
      <c r="H72" s="10" t="n">
        <f aca="false">IF(F72="đệm","—",G72+1)</f>
        <v>1209</v>
      </c>
      <c r="I72" s="11" t="n">
        <f aca="false">IF(F72="đệm",0,INDEX(pool1!$F:$F,G72+2))</f>
        <v>0</v>
      </c>
      <c r="J72" s="12" t="n">
        <f aca="false">(($B$4*8+A72)*3+B72)*3+C72</f>
        <v>1136</v>
      </c>
      <c r="K72" s="12" t="n">
        <f aca="false">J72+72</f>
        <v>1208</v>
      </c>
      <c r="L72" s="12" t="n">
        <f aca="false">K72+1</f>
        <v>1209</v>
      </c>
      <c r="M72" s="13" t="n">
        <f aca="false">INDEX(weights!$H:$H,K72+2)</f>
        <v>-0.192612514</v>
      </c>
      <c r="N72" s="14" t="n">
        <f aca="false">I72*M72</f>
        <v>-0</v>
      </c>
      <c r="O72" s="15" t="n">
        <f aca="false">O71+N72</f>
        <v>3.073869305088</v>
      </c>
    </row>
    <row r="73" customFormat="false" ht="15" hidden="false" customHeight="false" outlineLevel="0" collapsed="false">
      <c r="A73" s="10" t="n">
        <v>6</v>
      </c>
      <c r="B73" s="10" t="n">
        <v>1</v>
      </c>
      <c r="C73" s="10" t="n">
        <v>0</v>
      </c>
      <c r="D73" s="10" t="n">
        <f aca="false">$B$5+B73-1</f>
        <v>3</v>
      </c>
      <c r="E73" s="10" t="n">
        <f aca="false">$B$6+C73-1</f>
        <v>2</v>
      </c>
      <c r="F73" s="10" t="str">
        <f aca="false">IF(OR(D73&lt;0,D73&gt;13,E73&lt;0,E73&gt;13),"đệm","ảnh")</f>
        <v>ảnh</v>
      </c>
      <c r="G73" s="10" t="n">
        <f aca="false">IF(F73="đệm","—",(A73*14+D73)*14+E73)</f>
        <v>1220</v>
      </c>
      <c r="H73" s="10" t="n">
        <f aca="false">IF(F73="đệm","—",G73+1)</f>
        <v>1221</v>
      </c>
      <c r="I73" s="11" t="n">
        <f aca="false">IF(F73="đệm",0,INDEX(pool1!$F:$F,G73+2))</f>
        <v>0</v>
      </c>
      <c r="J73" s="12" t="n">
        <f aca="false">(($B$4*8+A73)*3+B73)*3+C73</f>
        <v>1137</v>
      </c>
      <c r="K73" s="12" t="n">
        <f aca="false">J73+72</f>
        <v>1209</v>
      </c>
      <c r="L73" s="12" t="n">
        <f aca="false">K73+1</f>
        <v>1210</v>
      </c>
      <c r="M73" s="13" t="n">
        <f aca="false">INDEX(weights!$H:$H,K73+2)</f>
        <v>0.0429091156</v>
      </c>
      <c r="N73" s="14" t="n">
        <f aca="false">I73*M73</f>
        <v>0</v>
      </c>
      <c r="O73" s="15" t="n">
        <f aca="false">O72+N73</f>
        <v>3.073869305088</v>
      </c>
    </row>
    <row r="74" customFormat="false" ht="15" hidden="false" customHeight="false" outlineLevel="0" collapsed="false">
      <c r="A74" s="10" t="n">
        <v>6</v>
      </c>
      <c r="B74" s="10" t="n">
        <v>1</v>
      </c>
      <c r="C74" s="10" t="n">
        <v>1</v>
      </c>
      <c r="D74" s="10" t="n">
        <f aca="false">$B$5+B74-1</f>
        <v>3</v>
      </c>
      <c r="E74" s="10" t="n">
        <f aca="false">$B$6+C74-1</f>
        <v>3</v>
      </c>
      <c r="F74" s="10" t="str">
        <f aca="false">IF(OR(D74&lt;0,D74&gt;13,E74&lt;0,E74&gt;13),"đệm","ảnh")</f>
        <v>ảnh</v>
      </c>
      <c r="G74" s="10" t="n">
        <f aca="false">IF(F74="đệm","—",(A74*14+D74)*14+E74)</f>
        <v>1221</v>
      </c>
      <c r="H74" s="10" t="n">
        <f aca="false">IF(F74="đệm","—",G74+1)</f>
        <v>1222</v>
      </c>
      <c r="I74" s="11" t="n">
        <f aca="false">IF(F74="đệm",0,INDEX(pool1!$F:$F,G74+2))</f>
        <v>0</v>
      </c>
      <c r="J74" s="12" t="n">
        <f aca="false">(($B$4*8+A74)*3+B74)*3+C74</f>
        <v>1138</v>
      </c>
      <c r="K74" s="12" t="n">
        <f aca="false">J74+72</f>
        <v>1210</v>
      </c>
      <c r="L74" s="12" t="n">
        <f aca="false">K74+1</f>
        <v>1211</v>
      </c>
      <c r="M74" s="13" t="n">
        <f aca="false">INDEX(weights!$H:$H,K74+2)</f>
        <v>0.209940821</v>
      </c>
      <c r="N74" s="14" t="n">
        <f aca="false">I74*M74</f>
        <v>0</v>
      </c>
      <c r="O74" s="15" t="n">
        <f aca="false">O73+N74</f>
        <v>3.073869305088</v>
      </c>
    </row>
    <row r="75" customFormat="false" ht="15" hidden="false" customHeight="false" outlineLevel="0" collapsed="false">
      <c r="A75" s="10" t="n">
        <v>6</v>
      </c>
      <c r="B75" s="10" t="n">
        <v>1</v>
      </c>
      <c r="C75" s="10" t="n">
        <v>2</v>
      </c>
      <c r="D75" s="10" t="n">
        <f aca="false">$B$5+B75-1</f>
        <v>3</v>
      </c>
      <c r="E75" s="10" t="n">
        <f aca="false">$B$6+C75-1</f>
        <v>4</v>
      </c>
      <c r="F75" s="10" t="str">
        <f aca="false">IF(OR(D75&lt;0,D75&gt;13,E75&lt;0,E75&gt;13),"đệm","ảnh")</f>
        <v>ảnh</v>
      </c>
      <c r="G75" s="10" t="n">
        <f aca="false">IF(F75="đệm","—",(A75*14+D75)*14+E75)</f>
        <v>1222</v>
      </c>
      <c r="H75" s="10" t="n">
        <f aca="false">IF(F75="đệm","—",G75+1)</f>
        <v>1223</v>
      </c>
      <c r="I75" s="11" t="n">
        <f aca="false">IF(F75="đệm",0,INDEX(pool1!$F:$F,G75+2))</f>
        <v>0.216920614</v>
      </c>
      <c r="J75" s="12" t="n">
        <f aca="false">(($B$4*8+A75)*3+B75)*3+C75</f>
        <v>1139</v>
      </c>
      <c r="K75" s="12" t="n">
        <f aca="false">J75+72</f>
        <v>1211</v>
      </c>
      <c r="L75" s="12" t="n">
        <f aca="false">K75+1</f>
        <v>1212</v>
      </c>
      <c r="M75" s="13" t="n">
        <f aca="false">INDEX(weights!$H:$H,K75+2)</f>
        <v>0.066721499</v>
      </c>
      <c r="N75" s="14" t="n">
        <f aca="false">I75*M75</f>
        <v>0.0144732685300804</v>
      </c>
      <c r="O75" s="15" t="n">
        <f aca="false">O74+N75</f>
        <v>3.08834257361808</v>
      </c>
    </row>
    <row r="76" customFormat="false" ht="15" hidden="false" customHeight="false" outlineLevel="0" collapsed="false">
      <c r="A76" s="10" t="n">
        <v>6</v>
      </c>
      <c r="B76" s="10" t="n">
        <v>2</v>
      </c>
      <c r="C76" s="10" t="n">
        <v>0</v>
      </c>
      <c r="D76" s="10" t="n">
        <f aca="false">$B$5+B76-1</f>
        <v>4</v>
      </c>
      <c r="E76" s="10" t="n">
        <f aca="false">$B$6+C76-1</f>
        <v>2</v>
      </c>
      <c r="F76" s="10" t="str">
        <f aca="false">IF(OR(D76&lt;0,D76&gt;13,E76&lt;0,E76&gt;13),"đệm","ảnh")</f>
        <v>ảnh</v>
      </c>
      <c r="G76" s="10" t="n">
        <f aca="false">IF(F76="đệm","—",(A76*14+D76)*14+E76)</f>
        <v>1234</v>
      </c>
      <c r="H76" s="10" t="n">
        <f aca="false">IF(F76="đệm","—",G76+1)</f>
        <v>1235</v>
      </c>
      <c r="I76" s="11" t="n">
        <f aca="false">IF(F76="đệm",0,INDEX(pool1!$F:$F,G76+2))</f>
        <v>0.556763113</v>
      </c>
      <c r="J76" s="12" t="n">
        <f aca="false">(($B$4*8+A76)*3+B76)*3+C76</f>
        <v>1140</v>
      </c>
      <c r="K76" s="12" t="n">
        <f aca="false">J76+72</f>
        <v>1212</v>
      </c>
      <c r="L76" s="12" t="n">
        <f aca="false">K76+1</f>
        <v>1213</v>
      </c>
      <c r="M76" s="13" t="n">
        <f aca="false">INDEX(weights!$H:$H,K76+2)</f>
        <v>-0.106569648</v>
      </c>
      <c r="N76" s="14" t="n">
        <f aca="false">I76*M76</f>
        <v>-0.0593340489717942</v>
      </c>
      <c r="O76" s="15" t="n">
        <f aca="false">O75+N76</f>
        <v>3.02900852464629</v>
      </c>
    </row>
    <row r="77" customFormat="false" ht="15" hidden="false" customHeight="false" outlineLevel="0" collapsed="false">
      <c r="A77" s="10" t="n">
        <v>6</v>
      </c>
      <c r="B77" s="10" t="n">
        <v>2</v>
      </c>
      <c r="C77" s="10" t="n">
        <v>1</v>
      </c>
      <c r="D77" s="10" t="n">
        <f aca="false">$B$5+B77-1</f>
        <v>4</v>
      </c>
      <c r="E77" s="10" t="n">
        <f aca="false">$B$6+C77-1</f>
        <v>3</v>
      </c>
      <c r="F77" s="10" t="str">
        <f aca="false">IF(OR(D77&lt;0,D77&gt;13,E77&lt;0,E77&gt;13),"đệm","ảnh")</f>
        <v>ảnh</v>
      </c>
      <c r="G77" s="10" t="n">
        <f aca="false">IF(F77="đệm","—",(A77*14+D77)*14+E77)</f>
        <v>1235</v>
      </c>
      <c r="H77" s="10" t="n">
        <f aca="false">IF(F77="đệm","—",G77+1)</f>
        <v>1236</v>
      </c>
      <c r="I77" s="11" t="n">
        <f aca="false">IF(F77="đệm",0,INDEX(pool1!$F:$F,G77+2))</f>
        <v>2.51390791</v>
      </c>
      <c r="J77" s="12" t="n">
        <f aca="false">(($B$4*8+A77)*3+B77)*3+C77</f>
        <v>1141</v>
      </c>
      <c r="K77" s="12" t="n">
        <f aca="false">J77+72</f>
        <v>1213</v>
      </c>
      <c r="L77" s="12" t="n">
        <f aca="false">K77+1</f>
        <v>1214</v>
      </c>
      <c r="M77" s="13" t="n">
        <f aca="false">INDEX(weights!$H:$H,K77+2)</f>
        <v>0.0541398637</v>
      </c>
      <c r="N77" s="14" t="n">
        <f aca="false">I77*M77</f>
        <v>0.136102631601752</v>
      </c>
      <c r="O77" s="15" t="n">
        <f aca="false">O76+N77</f>
        <v>3.16511115624804</v>
      </c>
    </row>
    <row r="78" customFormat="false" ht="15" hidden="false" customHeight="false" outlineLevel="0" collapsed="false">
      <c r="A78" s="16" t="n">
        <v>6</v>
      </c>
      <c r="B78" s="16" t="n">
        <v>2</v>
      </c>
      <c r="C78" s="16" t="n">
        <v>2</v>
      </c>
      <c r="D78" s="16" t="n">
        <f aca="false">$B$5+B78-1</f>
        <v>4</v>
      </c>
      <c r="E78" s="16" t="n">
        <f aca="false">$B$6+C78-1</f>
        <v>4</v>
      </c>
      <c r="F78" s="16" t="str">
        <f aca="false">IF(OR(D78&lt;0,D78&gt;13,E78&lt;0,E78&gt;13),"đệm","ảnh")</f>
        <v>ảnh</v>
      </c>
      <c r="G78" s="16" t="n">
        <f aca="false">IF(F78="đệm","—",(A78*14+D78)*14+E78)</f>
        <v>1236</v>
      </c>
      <c r="H78" s="16" t="n">
        <f aca="false">IF(F78="đệm","—",G78+1)</f>
        <v>1237</v>
      </c>
      <c r="I78" s="17" t="n">
        <f aca="false">IF(F78="đệm",0,INDEX(pool1!$F:$F,G78+2))</f>
        <v>2.30641294</v>
      </c>
      <c r="J78" s="18" t="n">
        <f aca="false">(($B$4*8+A78)*3+B78)*3+C78</f>
        <v>1142</v>
      </c>
      <c r="K78" s="18" t="n">
        <f aca="false">J78+72</f>
        <v>1214</v>
      </c>
      <c r="L78" s="18" t="n">
        <f aca="false">K78+1</f>
        <v>1215</v>
      </c>
      <c r="M78" s="19" t="n">
        <f aca="false">INDEX(weights!$H:$H,K78+2)</f>
        <v>0.0869375169</v>
      </c>
      <c r="N78" s="20" t="n">
        <f aca="false">I78*M78</f>
        <v>0.200513813949629</v>
      </c>
      <c r="O78" s="21" t="n">
        <f aca="false">O77+N78</f>
        <v>3.36562497019767</v>
      </c>
    </row>
    <row r="79" customFormat="false" ht="15" hidden="false" customHeight="false" outlineLevel="0" collapsed="false">
      <c r="A79" s="10" t="n">
        <v>7</v>
      </c>
      <c r="B79" s="10" t="n">
        <v>0</v>
      </c>
      <c r="C79" s="10" t="n">
        <v>0</v>
      </c>
      <c r="D79" s="10" t="n">
        <f aca="false">$B$5+B79-1</f>
        <v>2</v>
      </c>
      <c r="E79" s="10" t="n">
        <f aca="false">$B$6+C79-1</f>
        <v>2</v>
      </c>
      <c r="F79" s="10" t="str">
        <f aca="false">IF(OR(D79&lt;0,D79&gt;13,E79&lt;0,E79&gt;13),"đệm","ảnh")</f>
        <v>ảnh</v>
      </c>
      <c r="G79" s="10" t="n">
        <f aca="false">IF(F79="đệm","—",(A79*14+D79)*14+E79)</f>
        <v>1402</v>
      </c>
      <c r="H79" s="10" t="n">
        <f aca="false">IF(F79="đệm","—",G79+1)</f>
        <v>1403</v>
      </c>
      <c r="I79" s="11" t="n">
        <f aca="false">IF(F79="đệm",0,INDEX(pool1!$F:$F,G79+2))</f>
        <v>0</v>
      </c>
      <c r="J79" s="12" t="n">
        <f aca="false">(($B$4*8+A79)*3+B79)*3+C79</f>
        <v>1143</v>
      </c>
      <c r="K79" s="12" t="n">
        <f aca="false">J79+72</f>
        <v>1215</v>
      </c>
      <c r="L79" s="12" t="n">
        <f aca="false">K79+1</f>
        <v>1216</v>
      </c>
      <c r="M79" s="13" t="n">
        <f aca="false">INDEX(weights!$H:$H,K79+2)</f>
        <v>-0.0425746106</v>
      </c>
      <c r="N79" s="14" t="n">
        <f aca="false">I79*M79</f>
        <v>-0</v>
      </c>
      <c r="O79" s="15" t="n">
        <f aca="false">O78+N79</f>
        <v>3.36562497019767</v>
      </c>
    </row>
    <row r="80" customFormat="false" ht="15" hidden="false" customHeight="false" outlineLevel="0" collapsed="false">
      <c r="A80" s="10" t="n">
        <v>7</v>
      </c>
      <c r="B80" s="10" t="n">
        <v>0</v>
      </c>
      <c r="C80" s="10" t="n">
        <v>1</v>
      </c>
      <c r="D80" s="10" t="n">
        <f aca="false">$B$5+B80-1</f>
        <v>2</v>
      </c>
      <c r="E80" s="10" t="n">
        <f aca="false">$B$6+C80-1</f>
        <v>3</v>
      </c>
      <c r="F80" s="10" t="str">
        <f aca="false">IF(OR(D80&lt;0,D80&gt;13,E80&lt;0,E80&gt;13),"đệm","ảnh")</f>
        <v>ảnh</v>
      </c>
      <c r="G80" s="10" t="n">
        <f aca="false">IF(F80="đệm","—",(A80*14+D80)*14+E80)</f>
        <v>1403</v>
      </c>
      <c r="H80" s="10" t="n">
        <f aca="false">IF(F80="đệm","—",G80+1)</f>
        <v>1404</v>
      </c>
      <c r="I80" s="11" t="n">
        <f aca="false">IF(F80="đệm",0,INDEX(pool1!$F:$F,G80+2))</f>
        <v>0</v>
      </c>
      <c r="J80" s="12" t="n">
        <f aca="false">(($B$4*8+A80)*3+B80)*3+C80</f>
        <v>1144</v>
      </c>
      <c r="K80" s="12" t="n">
        <f aca="false">J80+72</f>
        <v>1216</v>
      </c>
      <c r="L80" s="12" t="n">
        <f aca="false">K80+1</f>
        <v>1217</v>
      </c>
      <c r="M80" s="13" t="n">
        <f aca="false">INDEX(weights!$H:$H,K80+2)</f>
        <v>0.058688771</v>
      </c>
      <c r="N80" s="14" t="n">
        <f aca="false">I80*M80</f>
        <v>0</v>
      </c>
      <c r="O80" s="15" t="n">
        <f aca="false">O79+N80</f>
        <v>3.36562497019767</v>
      </c>
    </row>
    <row r="81" customFormat="false" ht="15" hidden="false" customHeight="false" outlineLevel="0" collapsed="false">
      <c r="A81" s="10" t="n">
        <v>7</v>
      </c>
      <c r="B81" s="10" t="n">
        <v>0</v>
      </c>
      <c r="C81" s="10" t="n">
        <v>2</v>
      </c>
      <c r="D81" s="10" t="n">
        <f aca="false">$B$5+B81-1</f>
        <v>2</v>
      </c>
      <c r="E81" s="10" t="n">
        <f aca="false">$B$6+C81-1</f>
        <v>4</v>
      </c>
      <c r="F81" s="10" t="str">
        <f aca="false">IF(OR(D81&lt;0,D81&gt;13,E81&lt;0,E81&gt;13),"đệm","ảnh")</f>
        <v>ảnh</v>
      </c>
      <c r="G81" s="10" t="n">
        <f aca="false">IF(F81="đệm","—",(A81*14+D81)*14+E81)</f>
        <v>1404</v>
      </c>
      <c r="H81" s="10" t="n">
        <f aca="false">IF(F81="đệm","—",G81+1)</f>
        <v>1405</v>
      </c>
      <c r="I81" s="11" t="n">
        <f aca="false">IF(F81="đệm",0,INDEX(pool1!$F:$F,G81+2))</f>
        <v>0</v>
      </c>
      <c r="J81" s="12" t="n">
        <f aca="false">(($B$4*8+A81)*3+B81)*3+C81</f>
        <v>1145</v>
      </c>
      <c r="K81" s="12" t="n">
        <f aca="false">J81+72</f>
        <v>1217</v>
      </c>
      <c r="L81" s="12" t="n">
        <f aca="false">K81+1</f>
        <v>1218</v>
      </c>
      <c r="M81" s="13" t="n">
        <f aca="false">INDEX(weights!$H:$H,K81+2)</f>
        <v>0.11207357</v>
      </c>
      <c r="N81" s="14" t="n">
        <f aca="false">I81*M81</f>
        <v>0</v>
      </c>
      <c r="O81" s="15" t="n">
        <f aca="false">O80+N81</f>
        <v>3.36562497019767</v>
      </c>
    </row>
    <row r="82" customFormat="false" ht="15" hidden="false" customHeight="false" outlineLevel="0" collapsed="false">
      <c r="A82" s="10" t="n">
        <v>7</v>
      </c>
      <c r="B82" s="10" t="n">
        <v>1</v>
      </c>
      <c r="C82" s="10" t="n">
        <v>0</v>
      </c>
      <c r="D82" s="10" t="n">
        <f aca="false">$B$5+B82-1</f>
        <v>3</v>
      </c>
      <c r="E82" s="10" t="n">
        <f aca="false">$B$6+C82-1</f>
        <v>2</v>
      </c>
      <c r="F82" s="10" t="str">
        <f aca="false">IF(OR(D82&lt;0,D82&gt;13,E82&lt;0,E82&gt;13),"đệm","ảnh")</f>
        <v>ảnh</v>
      </c>
      <c r="G82" s="10" t="n">
        <f aca="false">IF(F82="đệm","—",(A82*14+D82)*14+E82)</f>
        <v>1416</v>
      </c>
      <c r="H82" s="10" t="n">
        <f aca="false">IF(F82="đệm","—",G82+1)</f>
        <v>1417</v>
      </c>
      <c r="I82" s="11" t="n">
        <f aca="false">IF(F82="đệm",0,INDEX(pool1!$F:$F,G82+2))</f>
        <v>0.06717401</v>
      </c>
      <c r="J82" s="12" t="n">
        <f aca="false">(($B$4*8+A82)*3+B82)*3+C82</f>
        <v>1146</v>
      </c>
      <c r="K82" s="12" t="n">
        <f aca="false">J82+72</f>
        <v>1218</v>
      </c>
      <c r="L82" s="12" t="n">
        <f aca="false">K82+1</f>
        <v>1219</v>
      </c>
      <c r="M82" s="13" t="n">
        <f aca="false">INDEX(weights!$H:$H,K82+2)</f>
        <v>0.145186022</v>
      </c>
      <c r="N82" s="14" t="n">
        <f aca="false">I82*M82</f>
        <v>0.00975272729368822</v>
      </c>
      <c r="O82" s="15" t="n">
        <f aca="false">O81+N82</f>
        <v>3.37537769749136</v>
      </c>
    </row>
    <row r="83" customFormat="false" ht="15" hidden="false" customHeight="false" outlineLevel="0" collapsed="false">
      <c r="A83" s="10" t="n">
        <v>7</v>
      </c>
      <c r="B83" s="10" t="n">
        <v>1</v>
      </c>
      <c r="C83" s="10" t="n">
        <v>1</v>
      </c>
      <c r="D83" s="10" t="n">
        <f aca="false">$B$5+B83-1</f>
        <v>3</v>
      </c>
      <c r="E83" s="10" t="n">
        <f aca="false">$B$6+C83-1</f>
        <v>3</v>
      </c>
      <c r="F83" s="10" t="str">
        <f aca="false">IF(OR(D83&lt;0,D83&gt;13,E83&lt;0,E83&gt;13),"đệm","ảnh")</f>
        <v>ảnh</v>
      </c>
      <c r="G83" s="10" t="n">
        <f aca="false">IF(F83="đệm","—",(A83*14+D83)*14+E83)</f>
        <v>1417</v>
      </c>
      <c r="H83" s="10" t="n">
        <f aca="false">IF(F83="đệm","—",G83+1)</f>
        <v>1418</v>
      </c>
      <c r="I83" s="11" t="n">
        <f aca="false">IF(F83="đệm",0,INDEX(pool1!$F:$F,G83+2))</f>
        <v>2.02611732</v>
      </c>
      <c r="J83" s="12" t="n">
        <f aca="false">(($B$4*8+A83)*3+B83)*3+C83</f>
        <v>1147</v>
      </c>
      <c r="K83" s="12" t="n">
        <f aca="false">J83+72</f>
        <v>1219</v>
      </c>
      <c r="L83" s="12" t="n">
        <f aca="false">K83+1</f>
        <v>1220</v>
      </c>
      <c r="M83" s="13" t="n">
        <f aca="false">INDEX(weights!$H:$H,K83+2)</f>
        <v>0.0827687085</v>
      </c>
      <c r="N83" s="14" t="n">
        <f aca="false">I83*M83</f>
        <v>0.167699113845881</v>
      </c>
      <c r="O83" s="15" t="n">
        <f aca="false">O82+N83</f>
        <v>3.54307681133724</v>
      </c>
    </row>
    <row r="84" customFormat="false" ht="15" hidden="false" customHeight="false" outlineLevel="0" collapsed="false">
      <c r="A84" s="10" t="n">
        <v>7</v>
      </c>
      <c r="B84" s="10" t="n">
        <v>1</v>
      </c>
      <c r="C84" s="10" t="n">
        <v>2</v>
      </c>
      <c r="D84" s="10" t="n">
        <f aca="false">$B$5+B84-1</f>
        <v>3</v>
      </c>
      <c r="E84" s="10" t="n">
        <f aca="false">$B$6+C84-1</f>
        <v>4</v>
      </c>
      <c r="F84" s="10" t="str">
        <f aca="false">IF(OR(D84&lt;0,D84&gt;13,E84&lt;0,E84&gt;13),"đệm","ảnh")</f>
        <v>ảnh</v>
      </c>
      <c r="G84" s="10" t="n">
        <f aca="false">IF(F84="đệm","—",(A84*14+D84)*14+E84)</f>
        <v>1418</v>
      </c>
      <c r="H84" s="10" t="n">
        <f aca="false">IF(F84="đệm","—",G84+1)</f>
        <v>1419</v>
      </c>
      <c r="I84" s="11" t="n">
        <f aca="false">IF(F84="đệm",0,INDEX(pool1!$F:$F,G84+2))</f>
        <v>3.18828821</v>
      </c>
      <c r="J84" s="12" t="n">
        <f aca="false">(($B$4*8+A84)*3+B84)*3+C84</f>
        <v>1148</v>
      </c>
      <c r="K84" s="12" t="n">
        <f aca="false">J84+72</f>
        <v>1220</v>
      </c>
      <c r="L84" s="12" t="n">
        <f aca="false">K84+1</f>
        <v>1221</v>
      </c>
      <c r="M84" s="13" t="n">
        <f aca="false">INDEX(weights!$H:$H,K84+2)</f>
        <v>-0.0832866207</v>
      </c>
      <c r="N84" s="14" t="n">
        <f aca="false">I84*M84</f>
        <v>-0.265541750828552</v>
      </c>
      <c r="O84" s="15" t="n">
        <f aca="false">O83+N84</f>
        <v>3.27753506050869</v>
      </c>
    </row>
    <row r="85" customFormat="false" ht="15" hidden="false" customHeight="false" outlineLevel="0" collapsed="false">
      <c r="A85" s="10" t="n">
        <v>7</v>
      </c>
      <c r="B85" s="10" t="n">
        <v>2</v>
      </c>
      <c r="C85" s="10" t="n">
        <v>0</v>
      </c>
      <c r="D85" s="10" t="n">
        <f aca="false">$B$5+B85-1</f>
        <v>4</v>
      </c>
      <c r="E85" s="10" t="n">
        <f aca="false">$B$6+C85-1</f>
        <v>2</v>
      </c>
      <c r="F85" s="10" t="str">
        <f aca="false">IF(OR(D85&lt;0,D85&gt;13,E85&lt;0,E85&gt;13),"đệm","ảnh")</f>
        <v>ảnh</v>
      </c>
      <c r="G85" s="10" t="n">
        <f aca="false">IF(F85="đệm","—",(A85*14+D85)*14+E85)</f>
        <v>1430</v>
      </c>
      <c r="H85" s="10" t="n">
        <f aca="false">IF(F85="đệm","—",G85+1)</f>
        <v>1431</v>
      </c>
      <c r="I85" s="11" t="n">
        <f aca="false">IF(F85="đệm",0,INDEX(pool1!$F:$F,G85+2))</f>
        <v>0</v>
      </c>
      <c r="J85" s="12" t="n">
        <f aca="false">(($B$4*8+A85)*3+B85)*3+C85</f>
        <v>1149</v>
      </c>
      <c r="K85" s="12" t="n">
        <f aca="false">J85+72</f>
        <v>1221</v>
      </c>
      <c r="L85" s="12" t="n">
        <f aca="false">K85+1</f>
        <v>1222</v>
      </c>
      <c r="M85" s="13" t="n">
        <f aca="false">INDEX(weights!$H:$H,K85+2)</f>
        <v>-0.0949763581</v>
      </c>
      <c r="N85" s="14" t="n">
        <f aca="false">I85*M85</f>
        <v>-0</v>
      </c>
      <c r="O85" s="15" t="n">
        <f aca="false">O84+N85</f>
        <v>3.27753506050869</v>
      </c>
    </row>
    <row r="86" customFormat="false" ht="15" hidden="false" customHeight="false" outlineLevel="0" collapsed="false">
      <c r="A86" s="10" t="n">
        <v>7</v>
      </c>
      <c r="B86" s="10" t="n">
        <v>2</v>
      </c>
      <c r="C86" s="10" t="n">
        <v>1</v>
      </c>
      <c r="D86" s="10" t="n">
        <f aca="false">$B$5+B86-1</f>
        <v>4</v>
      </c>
      <c r="E86" s="10" t="n">
        <f aca="false">$B$6+C86-1</f>
        <v>3</v>
      </c>
      <c r="F86" s="10" t="str">
        <f aca="false">IF(OR(D86&lt;0,D86&gt;13,E86&lt;0,E86&gt;13),"đệm","ảnh")</f>
        <v>ảnh</v>
      </c>
      <c r="G86" s="10" t="n">
        <f aca="false">IF(F86="đệm","—",(A86*14+D86)*14+E86)</f>
        <v>1431</v>
      </c>
      <c r="H86" s="10" t="n">
        <f aca="false">IF(F86="đệm","—",G86+1)</f>
        <v>1432</v>
      </c>
      <c r="I86" s="11" t="n">
        <f aca="false">IF(F86="đệm",0,INDEX(pool1!$F:$F,G86+2))</f>
        <v>0.0587901324</v>
      </c>
      <c r="J86" s="12" t="n">
        <f aca="false">(($B$4*8+A86)*3+B86)*3+C86</f>
        <v>1150</v>
      </c>
      <c r="K86" s="12" t="n">
        <f aca="false">J86+72</f>
        <v>1222</v>
      </c>
      <c r="L86" s="12" t="n">
        <f aca="false">K86+1</f>
        <v>1223</v>
      </c>
      <c r="M86" s="13" t="n">
        <f aca="false">INDEX(weights!$H:$H,K86+2)</f>
        <v>-0.201609373</v>
      </c>
      <c r="N86" s="14" t="n">
        <f aca="false">I86*M86</f>
        <v>-0.011852641731751</v>
      </c>
      <c r="O86" s="15" t="n">
        <f aca="false">O85+N86</f>
        <v>3.26568241877694</v>
      </c>
    </row>
    <row r="87" customFormat="false" ht="15" hidden="false" customHeight="false" outlineLevel="0" collapsed="false">
      <c r="A87" s="16" t="n">
        <v>7</v>
      </c>
      <c r="B87" s="16" t="n">
        <v>2</v>
      </c>
      <c r="C87" s="16" t="n">
        <v>2</v>
      </c>
      <c r="D87" s="16" t="n">
        <f aca="false">$B$5+B87-1</f>
        <v>4</v>
      </c>
      <c r="E87" s="16" t="n">
        <f aca="false">$B$6+C87-1</f>
        <v>4</v>
      </c>
      <c r="F87" s="16" t="str">
        <f aca="false">IF(OR(D87&lt;0,D87&gt;13,E87&lt;0,E87&gt;13),"đệm","ảnh")</f>
        <v>ảnh</v>
      </c>
      <c r="G87" s="16" t="n">
        <f aca="false">IF(F87="đệm","—",(A87*14+D87)*14+E87)</f>
        <v>1432</v>
      </c>
      <c r="H87" s="16" t="n">
        <f aca="false">IF(F87="đệm","—",G87+1)</f>
        <v>1433</v>
      </c>
      <c r="I87" s="17" t="n">
        <f aca="false">IF(F87="đệm",0,INDEX(pool1!$F:$F,G87+2))</f>
        <v>1.40463734</v>
      </c>
      <c r="J87" s="18" t="n">
        <f aca="false">(($B$4*8+A87)*3+B87)*3+C87</f>
        <v>1151</v>
      </c>
      <c r="K87" s="18" t="n">
        <f aca="false">J87+72</f>
        <v>1223</v>
      </c>
      <c r="L87" s="18" t="n">
        <f aca="false">K87+1</f>
        <v>1224</v>
      </c>
      <c r="M87" s="19" t="n">
        <f aca="false">INDEX(weights!$H:$H,K87+2)</f>
        <v>-0.25745666</v>
      </c>
      <c r="N87" s="20" t="n">
        <f aca="false">I87*M87</f>
        <v>-0.361633238067684</v>
      </c>
      <c r="O87" s="21" t="n">
        <f aca="false">O86+N87</f>
        <v>2.90404918070925</v>
      </c>
    </row>
  </sheetData>
  <conditionalFormatting sqref="A16:H87">
    <cfRule type="expression" priority="2" aboveAverage="0" equalAverage="0" bottom="0" percent="0" rank="0" text="" dxfId="0">
      <formula>$F16="đệm"</formula>
    </cfRule>
  </conditionalFormatting>
  <dataValidations count="2">
    <dataValidation allowBlank="false" error="Phải từ 0 đến 15" errorStyle="stop" operator="between" showDropDown="false" showErrorMessage="true" showInputMessage="false" sqref="B4" type="whole">
      <formula1>0</formula1>
      <formula2>15</formula2>
    </dataValidation>
    <dataValidation allowBlank="false" error="Phải từ 0 đến 13" errorStyle="stop" operator="between" showDropDown="false" showErrorMessage="true" showInputMessage="false" sqref="B5:B6" type="whole">
      <formula1>0</formula1>
      <formula2>13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5"/>
    <col collapsed="false" customWidth="true" hidden="false" outlineLevel="0" max="5" min="4" style="0" width="13"/>
    <col collapsed="false" customWidth="true" hidden="false" outlineLevel="0" max="7" min="6" style="0" width="11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1" min="10" style="0" width="13"/>
    <col collapsed="false" customWidth="true" hidden="false" outlineLevel="0" max="14" min="12" style="0" width="12"/>
    <col collapsed="false" customWidth="true" hidden="false" outlineLevel="0" max="15" min="15" style="0" width="13"/>
  </cols>
  <sheetData>
    <row r="1" customFormat="false" ht="17.35" hidden="false" customHeight="false" outlineLevel="0" collapsed="false">
      <c r="A1" s="1" t="s">
        <v>56</v>
      </c>
    </row>
    <row r="2" customFormat="false" ht="15" hidden="false" customHeight="false" outlineLevel="0" collapsed="false">
      <c r="A2" s="4" t="s">
        <v>57</v>
      </c>
    </row>
    <row r="4" customFormat="false" ht="15" hidden="false" customHeight="false" outlineLevel="0" collapsed="false">
      <c r="A4" s="2" t="s">
        <v>47</v>
      </c>
      <c r="B4" s="5" t="n">
        <v>0</v>
      </c>
    </row>
    <row r="5" customFormat="false" ht="15" hidden="false" customHeight="false" outlineLevel="0" collapsed="false">
      <c r="A5" s="2" t="s">
        <v>58</v>
      </c>
      <c r="B5" s="5" t="n">
        <v>3</v>
      </c>
    </row>
    <row r="6" customFormat="false" ht="15" hidden="false" customHeight="false" outlineLevel="0" collapsed="false">
      <c r="A6" s="2" t="s">
        <v>59</v>
      </c>
      <c r="B6" s="5" t="n">
        <v>3</v>
      </c>
    </row>
    <row r="8" customFormat="false" ht="15" hidden="false" customHeight="false" outlineLevel="0" collapsed="false">
      <c r="A8" s="2" t="s">
        <v>21</v>
      </c>
      <c r="B8" s="6" t="n">
        <f aca="false">INDEX(biases!$E:$E,24+$B$4+2)</f>
        <v>-0.205006361</v>
      </c>
      <c r="C8" s="3" t="s">
        <v>22</v>
      </c>
      <c r="D8" s="3" t="n">
        <f aca="false">24+$B$4+1</f>
        <v>25</v>
      </c>
    </row>
    <row r="9" customFormat="false" ht="15" hidden="false" customHeight="false" outlineLevel="0" collapsed="false">
      <c r="A9" s="2" t="s">
        <v>60</v>
      </c>
      <c r="B9" s="6" t="n">
        <f aca="false">SUM(N16:N159)</f>
        <v>-4.17267995724302</v>
      </c>
    </row>
    <row r="10" customFormat="false" ht="15" hidden="false" customHeight="false" outlineLevel="0" collapsed="false">
      <c r="A10" s="2" t="s">
        <v>24</v>
      </c>
      <c r="B10" s="7" t="n">
        <f aca="false">B8+B9</f>
        <v>-4.37768631824302</v>
      </c>
    </row>
    <row r="11" customFormat="false" ht="15" hidden="false" customHeight="false" outlineLevel="0" collapsed="false">
      <c r="A11" s="2" t="s">
        <v>61</v>
      </c>
      <c r="B11" s="6" t="n">
        <f aca="false">INDEX(conv3!$F:$F,($B$4*49+$B$5*7+$B$6)+2)</f>
        <v>-4.37768459</v>
      </c>
      <c r="C11" s="3" t="s">
        <v>62</v>
      </c>
      <c r="D11" s="3" t="n">
        <f aca="false">$B$4*49+$B$5*7+$B$6+1</f>
        <v>25</v>
      </c>
    </row>
    <row r="12" customFormat="false" ht="15" hidden="false" customHeight="false" outlineLevel="0" collapsed="false">
      <c r="A12" s="2" t="s">
        <v>27</v>
      </c>
      <c r="B12" s="8" t="n">
        <f aca="false">ABS(B10-B11)</f>
        <v>1.72824301714059E-006</v>
      </c>
    </row>
    <row r="13" customFormat="false" ht="15" hidden="false" customHeight="false" outlineLevel="0" collapsed="false">
      <c r="A13" s="2" t="s">
        <v>28</v>
      </c>
      <c r="B13" s="6" t="n">
        <f aca="false">MAX(0,B10)</f>
        <v>0</v>
      </c>
    </row>
    <row r="14" customFormat="false" ht="15" hidden="false" customHeight="false" outlineLevel="0" collapsed="false">
      <c r="A14" s="2" t="s">
        <v>63</v>
      </c>
    </row>
    <row r="15" customFormat="false" ht="31.5" hidden="false" customHeight="true" outlineLevel="0" collapsed="false">
      <c r="A15" s="9" t="s">
        <v>30</v>
      </c>
      <c r="B15" s="9" t="s">
        <v>31</v>
      </c>
      <c r="C15" s="9" t="s">
        <v>32</v>
      </c>
      <c r="D15" s="9" t="s">
        <v>33</v>
      </c>
      <c r="E15" s="9" t="s">
        <v>34</v>
      </c>
      <c r="F15" s="9" t="s">
        <v>35</v>
      </c>
      <c r="G15" s="9" t="s">
        <v>36</v>
      </c>
      <c r="H15" s="9" t="s">
        <v>64</v>
      </c>
      <c r="I15" s="9" t="s">
        <v>38</v>
      </c>
      <c r="J15" s="9" t="s">
        <v>39</v>
      </c>
      <c r="K15" s="9" t="s">
        <v>65</v>
      </c>
      <c r="L15" s="9" t="s">
        <v>41</v>
      </c>
      <c r="M15" s="9" t="s">
        <v>42</v>
      </c>
      <c r="N15" s="9" t="s">
        <v>43</v>
      </c>
      <c r="O15" s="9" t="s">
        <v>44</v>
      </c>
    </row>
    <row r="16" customFormat="false" ht="15" hidden="false" customHeight="false" outlineLevel="0" collapsed="false">
      <c r="A16" s="10" t="n">
        <v>0</v>
      </c>
      <c r="B16" s="10" t="n">
        <v>0</v>
      </c>
      <c r="C16" s="10" t="n">
        <v>0</v>
      </c>
      <c r="D16" s="10" t="n">
        <f aca="false">$B$5+B16-1</f>
        <v>2</v>
      </c>
      <c r="E16" s="10" t="n">
        <f aca="false">$B$6+C16-1</f>
        <v>2</v>
      </c>
      <c r="F16" s="10" t="str">
        <f aca="false">IF(OR(D16&lt;0,D16&gt;6,E16&lt;0,E16&gt;6),"đệm","ảnh")</f>
        <v>ảnh</v>
      </c>
      <c r="G16" s="10" t="n">
        <f aca="false">IF(F16="đệm","—",(A16*7+D16)*7+E16)</f>
        <v>16</v>
      </c>
      <c r="H16" s="10" t="n">
        <f aca="false">IF(F16="đệm","—",G16+1)</f>
        <v>17</v>
      </c>
      <c r="I16" s="11" t="n">
        <f aca="false">IF(F16="đệm",0,INDEX(pool2!$F:$F,G16+2))</f>
        <v>0</v>
      </c>
      <c r="J16" s="12" t="n">
        <f aca="false">(($B$4*16+A16)*3+B16)*3+C16</f>
        <v>0</v>
      </c>
      <c r="K16" s="12" t="n">
        <f aca="false">J16+1224</f>
        <v>1224</v>
      </c>
      <c r="L16" s="12" t="n">
        <f aca="false">K16+1</f>
        <v>1225</v>
      </c>
      <c r="M16" s="13" t="n">
        <f aca="false">INDEX(weights!$H:$H,K16+2)</f>
        <v>-0.488012224</v>
      </c>
      <c r="N16" s="14" t="n">
        <f aca="false">I16*M16</f>
        <v>-0</v>
      </c>
      <c r="O16" s="15" t="n">
        <f aca="false">$B$8+N16</f>
        <v>-0.205006361</v>
      </c>
    </row>
    <row r="17" customFormat="false" ht="15" hidden="false" customHeight="false" outlineLevel="0" collapsed="false">
      <c r="A17" s="10" t="n">
        <v>0</v>
      </c>
      <c r="B17" s="10" t="n">
        <v>0</v>
      </c>
      <c r="C17" s="10" t="n">
        <v>1</v>
      </c>
      <c r="D17" s="10" t="n">
        <f aca="false">$B$5+B17-1</f>
        <v>2</v>
      </c>
      <c r="E17" s="10" t="n">
        <f aca="false">$B$6+C17-1</f>
        <v>3</v>
      </c>
      <c r="F17" s="10" t="str">
        <f aca="false">IF(OR(D17&lt;0,D17&gt;6,E17&lt;0,E17&gt;6),"đệm","ảnh")</f>
        <v>ảnh</v>
      </c>
      <c r="G17" s="10" t="n">
        <f aca="false">IF(F17="đệm","—",(A17*7+D17)*7+E17)</f>
        <v>17</v>
      </c>
      <c r="H17" s="10" t="n">
        <f aca="false">IF(F17="đệm","—",G17+1)</f>
        <v>18</v>
      </c>
      <c r="I17" s="11" t="n">
        <f aca="false">IF(F17="đệm",0,INDEX(pool2!$F:$F,G17+2))</f>
        <v>0</v>
      </c>
      <c r="J17" s="12" t="n">
        <f aca="false">(($B$4*16+A17)*3+B17)*3+C17</f>
        <v>1</v>
      </c>
      <c r="K17" s="12" t="n">
        <f aca="false">J17+1224</f>
        <v>1225</v>
      </c>
      <c r="L17" s="12" t="n">
        <f aca="false">K17+1</f>
        <v>1226</v>
      </c>
      <c r="M17" s="13" t="n">
        <f aca="false">INDEX(weights!$H:$H,K17+2)</f>
        <v>-0.0950214416</v>
      </c>
      <c r="N17" s="14" t="n">
        <f aca="false">I17*M17</f>
        <v>-0</v>
      </c>
      <c r="O17" s="15" t="n">
        <f aca="false">O16+N17</f>
        <v>-0.205006361</v>
      </c>
    </row>
    <row r="18" customFormat="false" ht="15" hidden="false" customHeight="false" outlineLevel="0" collapsed="false">
      <c r="A18" s="10" t="n">
        <v>0</v>
      </c>
      <c r="B18" s="10" t="n">
        <v>0</v>
      </c>
      <c r="C18" s="10" t="n">
        <v>2</v>
      </c>
      <c r="D18" s="10" t="n">
        <f aca="false">$B$5+B18-1</f>
        <v>2</v>
      </c>
      <c r="E18" s="10" t="n">
        <f aca="false">$B$6+C18-1</f>
        <v>4</v>
      </c>
      <c r="F18" s="10" t="str">
        <f aca="false">IF(OR(D18&lt;0,D18&gt;6,E18&lt;0,E18&gt;6),"đệm","ảnh")</f>
        <v>ảnh</v>
      </c>
      <c r="G18" s="10" t="n">
        <f aca="false">IF(F18="đệm","—",(A18*7+D18)*7+E18)</f>
        <v>18</v>
      </c>
      <c r="H18" s="10" t="n">
        <f aca="false">IF(F18="đệm","—",G18+1)</f>
        <v>19</v>
      </c>
      <c r="I18" s="11" t="n">
        <f aca="false">IF(F18="đệm",0,INDEX(pool2!$F:$F,G18+2))</f>
        <v>0</v>
      </c>
      <c r="J18" s="12" t="n">
        <f aca="false">(($B$4*16+A18)*3+B18)*3+C18</f>
        <v>2</v>
      </c>
      <c r="K18" s="12" t="n">
        <f aca="false">J18+1224</f>
        <v>1226</v>
      </c>
      <c r="L18" s="12" t="n">
        <f aca="false">K18+1</f>
        <v>1227</v>
      </c>
      <c r="M18" s="13" t="n">
        <f aca="false">INDEX(weights!$H:$H,K18+2)</f>
        <v>-0.119385011</v>
      </c>
      <c r="N18" s="14" t="n">
        <f aca="false">I18*M18</f>
        <v>-0</v>
      </c>
      <c r="O18" s="15" t="n">
        <f aca="false">O17+N18</f>
        <v>-0.205006361</v>
      </c>
    </row>
    <row r="19" customFormat="false" ht="15" hidden="false" customHeight="false" outlineLevel="0" collapsed="false">
      <c r="A19" s="10" t="n">
        <v>0</v>
      </c>
      <c r="B19" s="10" t="n">
        <v>1</v>
      </c>
      <c r="C19" s="10" t="n">
        <v>0</v>
      </c>
      <c r="D19" s="10" t="n">
        <f aca="false">$B$5+B19-1</f>
        <v>3</v>
      </c>
      <c r="E19" s="10" t="n">
        <f aca="false">$B$6+C19-1</f>
        <v>2</v>
      </c>
      <c r="F19" s="10" t="str">
        <f aca="false">IF(OR(D19&lt;0,D19&gt;6,E19&lt;0,E19&gt;6),"đệm","ảnh")</f>
        <v>ảnh</v>
      </c>
      <c r="G19" s="10" t="n">
        <f aca="false">IF(F19="đệm","—",(A19*7+D19)*7+E19)</f>
        <v>23</v>
      </c>
      <c r="H19" s="10" t="n">
        <f aca="false">IF(F19="đệm","—",G19+1)</f>
        <v>24</v>
      </c>
      <c r="I19" s="11" t="n">
        <f aca="false">IF(F19="đệm",0,INDEX(pool2!$F:$F,G19+2))</f>
        <v>0.316527247</v>
      </c>
      <c r="J19" s="12" t="n">
        <f aca="false">(($B$4*16+A19)*3+B19)*3+C19</f>
        <v>3</v>
      </c>
      <c r="K19" s="12" t="n">
        <f aca="false">J19+1224</f>
        <v>1227</v>
      </c>
      <c r="L19" s="12" t="n">
        <f aca="false">K19+1</f>
        <v>1228</v>
      </c>
      <c r="M19" s="13" t="n">
        <f aca="false">INDEX(weights!$H:$H,K19+2)</f>
        <v>-0.0854761899</v>
      </c>
      <c r="N19" s="14" t="n">
        <f aca="false">I19*M19</f>
        <v>-0.0270555430730962</v>
      </c>
      <c r="O19" s="15" t="n">
        <f aca="false">O18+N19</f>
        <v>-0.232061904073096</v>
      </c>
    </row>
    <row r="20" customFormat="false" ht="15" hidden="false" customHeight="false" outlineLevel="0" collapsed="false">
      <c r="A20" s="10" t="n">
        <v>0</v>
      </c>
      <c r="B20" s="10" t="n">
        <v>1</v>
      </c>
      <c r="C20" s="10" t="n">
        <v>1</v>
      </c>
      <c r="D20" s="10" t="n">
        <f aca="false">$B$5+B20-1</f>
        <v>3</v>
      </c>
      <c r="E20" s="10" t="n">
        <f aca="false">$B$6+C20-1</f>
        <v>3</v>
      </c>
      <c r="F20" s="10" t="str">
        <f aca="false">IF(OR(D20&lt;0,D20&gt;6,E20&lt;0,E20&gt;6),"đệm","ảnh")</f>
        <v>ảnh</v>
      </c>
      <c r="G20" s="10" t="n">
        <f aca="false">IF(F20="đệm","—",(A20*7+D20)*7+E20)</f>
        <v>24</v>
      </c>
      <c r="H20" s="10" t="n">
        <f aca="false">IF(F20="đệm","—",G20+1)</f>
        <v>25</v>
      </c>
      <c r="I20" s="11" t="n">
        <f aca="false">IF(F20="đệm",0,INDEX(pool2!$F:$F,G20+2))</f>
        <v>0</v>
      </c>
      <c r="J20" s="12" t="n">
        <f aca="false">(($B$4*16+A20)*3+B20)*3+C20</f>
        <v>4</v>
      </c>
      <c r="K20" s="12" t="n">
        <f aca="false">J20+1224</f>
        <v>1228</v>
      </c>
      <c r="L20" s="12" t="n">
        <f aca="false">K20+1</f>
        <v>1229</v>
      </c>
      <c r="M20" s="13" t="n">
        <f aca="false">INDEX(weights!$H:$H,K20+2)</f>
        <v>0.0791961402</v>
      </c>
      <c r="N20" s="14" t="n">
        <f aca="false">I20*M20</f>
        <v>0</v>
      </c>
      <c r="O20" s="15" t="n">
        <f aca="false">O19+N20</f>
        <v>-0.232061904073096</v>
      </c>
    </row>
    <row r="21" customFormat="false" ht="15" hidden="false" customHeight="false" outlineLevel="0" collapsed="false">
      <c r="A21" s="10" t="n">
        <v>0</v>
      </c>
      <c r="B21" s="10" t="n">
        <v>1</v>
      </c>
      <c r="C21" s="10" t="n">
        <v>2</v>
      </c>
      <c r="D21" s="10" t="n">
        <f aca="false">$B$5+B21-1</f>
        <v>3</v>
      </c>
      <c r="E21" s="10" t="n">
        <f aca="false">$B$6+C21-1</f>
        <v>4</v>
      </c>
      <c r="F21" s="10" t="str">
        <f aca="false">IF(OR(D21&lt;0,D21&gt;6,E21&lt;0,E21&gt;6),"đệm","ảnh")</f>
        <v>ảnh</v>
      </c>
      <c r="G21" s="10" t="n">
        <f aca="false">IF(F21="đệm","—",(A21*7+D21)*7+E21)</f>
        <v>25</v>
      </c>
      <c r="H21" s="10" t="n">
        <f aca="false">IF(F21="đệm","—",G21+1)</f>
        <v>26</v>
      </c>
      <c r="I21" s="11" t="n">
        <f aca="false">IF(F21="đệm",0,INDEX(pool2!$F:$F,G21+2))</f>
        <v>0</v>
      </c>
      <c r="J21" s="12" t="n">
        <f aca="false">(($B$4*16+A21)*3+B21)*3+C21</f>
        <v>5</v>
      </c>
      <c r="K21" s="12" t="n">
        <f aca="false">J21+1224</f>
        <v>1229</v>
      </c>
      <c r="L21" s="12" t="n">
        <f aca="false">K21+1</f>
        <v>1230</v>
      </c>
      <c r="M21" s="13" t="n">
        <f aca="false">INDEX(weights!$H:$H,K21+2)</f>
        <v>-0.280917197</v>
      </c>
      <c r="N21" s="14" t="n">
        <f aca="false">I21*M21</f>
        <v>-0</v>
      </c>
      <c r="O21" s="15" t="n">
        <f aca="false">O20+N21</f>
        <v>-0.232061904073096</v>
      </c>
    </row>
    <row r="22" customFormat="false" ht="15" hidden="false" customHeight="false" outlineLevel="0" collapsed="false">
      <c r="A22" s="10" t="n">
        <v>0</v>
      </c>
      <c r="B22" s="10" t="n">
        <v>2</v>
      </c>
      <c r="C22" s="10" t="n">
        <v>0</v>
      </c>
      <c r="D22" s="10" t="n">
        <f aca="false">$B$5+B22-1</f>
        <v>4</v>
      </c>
      <c r="E22" s="10" t="n">
        <f aca="false">$B$6+C22-1</f>
        <v>2</v>
      </c>
      <c r="F22" s="10" t="str">
        <f aca="false">IF(OR(D22&lt;0,D22&gt;6,E22&lt;0,E22&gt;6),"đệm","ảnh")</f>
        <v>ảnh</v>
      </c>
      <c r="G22" s="10" t="n">
        <f aca="false">IF(F22="đệm","—",(A22*7+D22)*7+E22)</f>
        <v>30</v>
      </c>
      <c r="H22" s="10" t="n">
        <f aca="false">IF(F22="đệm","—",G22+1)</f>
        <v>31</v>
      </c>
      <c r="I22" s="11" t="n">
        <f aca="false">IF(F22="đệm",0,INDEX(pool2!$F:$F,G22+2))</f>
        <v>0.313828081</v>
      </c>
      <c r="J22" s="12" t="n">
        <f aca="false">(($B$4*16+A22)*3+B22)*3+C22</f>
        <v>6</v>
      </c>
      <c r="K22" s="12" t="n">
        <f aca="false">J22+1224</f>
        <v>1230</v>
      </c>
      <c r="L22" s="12" t="n">
        <f aca="false">K22+1</f>
        <v>1231</v>
      </c>
      <c r="M22" s="13" t="n">
        <f aca="false">INDEX(weights!$H:$H,K22+2)</f>
        <v>0.246637151</v>
      </c>
      <c r="N22" s="14" t="n">
        <f aca="false">I22*M22</f>
        <v>0.0774016638016372</v>
      </c>
      <c r="O22" s="15" t="n">
        <f aca="false">O21+N22</f>
        <v>-0.154660240271459</v>
      </c>
    </row>
    <row r="23" customFormat="false" ht="15" hidden="false" customHeight="false" outlineLevel="0" collapsed="false">
      <c r="A23" s="10" t="n">
        <v>0</v>
      </c>
      <c r="B23" s="10" t="n">
        <v>2</v>
      </c>
      <c r="C23" s="10" t="n">
        <v>1</v>
      </c>
      <c r="D23" s="10" t="n">
        <f aca="false">$B$5+B23-1</f>
        <v>4</v>
      </c>
      <c r="E23" s="10" t="n">
        <f aca="false">$B$6+C23-1</f>
        <v>3</v>
      </c>
      <c r="F23" s="10" t="str">
        <f aca="false">IF(OR(D23&lt;0,D23&gt;6,E23&lt;0,E23&gt;6),"đệm","ảnh")</f>
        <v>ảnh</v>
      </c>
      <c r="G23" s="10" t="n">
        <f aca="false">IF(F23="đệm","—",(A23*7+D23)*7+E23)</f>
        <v>31</v>
      </c>
      <c r="H23" s="10" t="n">
        <f aca="false">IF(F23="đệm","—",G23+1)</f>
        <v>32</v>
      </c>
      <c r="I23" s="11" t="n">
        <f aca="false">IF(F23="đệm",0,INDEX(pool2!$F:$F,G23+2))</f>
        <v>0</v>
      </c>
      <c r="J23" s="12" t="n">
        <f aca="false">(($B$4*16+A23)*3+B23)*3+C23</f>
        <v>7</v>
      </c>
      <c r="K23" s="12" t="n">
        <f aca="false">J23+1224</f>
        <v>1231</v>
      </c>
      <c r="L23" s="12" t="n">
        <f aca="false">K23+1</f>
        <v>1232</v>
      </c>
      <c r="M23" s="13" t="n">
        <f aca="false">INDEX(weights!$H:$H,K23+2)</f>
        <v>0.0134330494</v>
      </c>
      <c r="N23" s="14" t="n">
        <f aca="false">I23*M23</f>
        <v>0</v>
      </c>
      <c r="O23" s="15" t="n">
        <f aca="false">O22+N23</f>
        <v>-0.154660240271459</v>
      </c>
    </row>
    <row r="24" customFormat="false" ht="15" hidden="false" customHeight="false" outlineLevel="0" collapsed="false">
      <c r="A24" s="16" t="n">
        <v>0</v>
      </c>
      <c r="B24" s="16" t="n">
        <v>2</v>
      </c>
      <c r="C24" s="16" t="n">
        <v>2</v>
      </c>
      <c r="D24" s="16" t="n">
        <f aca="false">$B$5+B24-1</f>
        <v>4</v>
      </c>
      <c r="E24" s="16" t="n">
        <f aca="false">$B$6+C24-1</f>
        <v>4</v>
      </c>
      <c r="F24" s="16" t="str">
        <f aca="false">IF(OR(D24&lt;0,D24&gt;6,E24&lt;0,E24&gt;6),"đệm","ảnh")</f>
        <v>ảnh</v>
      </c>
      <c r="G24" s="16" t="n">
        <f aca="false">IF(F24="đệm","—",(A24*7+D24)*7+E24)</f>
        <v>32</v>
      </c>
      <c r="H24" s="16" t="n">
        <f aca="false">IF(F24="đệm","—",G24+1)</f>
        <v>33</v>
      </c>
      <c r="I24" s="17" t="n">
        <f aca="false">IF(F24="đệm",0,INDEX(pool2!$F:$F,G24+2))</f>
        <v>0</v>
      </c>
      <c r="J24" s="18" t="n">
        <f aca="false">(($B$4*16+A24)*3+B24)*3+C24</f>
        <v>8</v>
      </c>
      <c r="K24" s="18" t="n">
        <f aca="false">J24+1224</f>
        <v>1232</v>
      </c>
      <c r="L24" s="18" t="n">
        <f aca="false">K24+1</f>
        <v>1233</v>
      </c>
      <c r="M24" s="19" t="n">
        <f aca="false">INDEX(weights!$H:$H,K24+2)</f>
        <v>-0.558733523</v>
      </c>
      <c r="N24" s="20" t="n">
        <f aca="false">I24*M24</f>
        <v>-0</v>
      </c>
      <c r="O24" s="21" t="n">
        <f aca="false">O23+N24</f>
        <v>-0.154660240271459</v>
      </c>
    </row>
    <row r="25" customFormat="false" ht="15" hidden="false" customHeight="false" outlineLevel="0" collapsed="false">
      <c r="A25" s="10" t="n">
        <v>1</v>
      </c>
      <c r="B25" s="10" t="n">
        <v>0</v>
      </c>
      <c r="C25" s="10" t="n">
        <v>0</v>
      </c>
      <c r="D25" s="10" t="n">
        <f aca="false">$B$5+B25-1</f>
        <v>2</v>
      </c>
      <c r="E25" s="10" t="n">
        <f aca="false">$B$6+C25-1</f>
        <v>2</v>
      </c>
      <c r="F25" s="10" t="str">
        <f aca="false">IF(OR(D25&lt;0,D25&gt;6,E25&lt;0,E25&gt;6),"đệm","ảnh")</f>
        <v>ảnh</v>
      </c>
      <c r="G25" s="10" t="n">
        <f aca="false">IF(F25="đệm","—",(A25*7+D25)*7+E25)</f>
        <v>65</v>
      </c>
      <c r="H25" s="10" t="n">
        <f aca="false">IF(F25="đệm","—",G25+1)</f>
        <v>66</v>
      </c>
      <c r="I25" s="11" t="n">
        <f aca="false">IF(F25="đệm",0,INDEX(pool2!$F:$F,G25+2))</f>
        <v>0</v>
      </c>
      <c r="J25" s="12" t="n">
        <f aca="false">(($B$4*16+A25)*3+B25)*3+C25</f>
        <v>9</v>
      </c>
      <c r="K25" s="12" t="n">
        <f aca="false">J25+1224</f>
        <v>1233</v>
      </c>
      <c r="L25" s="12" t="n">
        <f aca="false">K25+1</f>
        <v>1234</v>
      </c>
      <c r="M25" s="13" t="n">
        <f aca="false">INDEX(weights!$H:$H,K25+2)</f>
        <v>-0.263477147</v>
      </c>
      <c r="N25" s="14" t="n">
        <f aca="false">I25*M25</f>
        <v>-0</v>
      </c>
      <c r="O25" s="15" t="n">
        <f aca="false">O24+N25</f>
        <v>-0.154660240271459</v>
      </c>
    </row>
    <row r="26" customFormat="false" ht="15" hidden="false" customHeight="false" outlineLevel="0" collapsed="false">
      <c r="A26" s="10" t="n">
        <v>1</v>
      </c>
      <c r="B26" s="10" t="n">
        <v>0</v>
      </c>
      <c r="C26" s="10" t="n">
        <v>1</v>
      </c>
      <c r="D26" s="10" t="n">
        <f aca="false">$B$5+B26-1</f>
        <v>2</v>
      </c>
      <c r="E26" s="10" t="n">
        <f aca="false">$B$6+C26-1</f>
        <v>3</v>
      </c>
      <c r="F26" s="10" t="str">
        <f aca="false">IF(OR(D26&lt;0,D26&gt;6,E26&lt;0,E26&gt;6),"đệm","ảnh")</f>
        <v>ảnh</v>
      </c>
      <c r="G26" s="10" t="n">
        <f aca="false">IF(F26="đệm","—",(A26*7+D26)*7+E26)</f>
        <v>66</v>
      </c>
      <c r="H26" s="10" t="n">
        <f aca="false">IF(F26="đệm","—",G26+1)</f>
        <v>67</v>
      </c>
      <c r="I26" s="11" t="n">
        <f aca="false">IF(F26="đệm",0,INDEX(pool2!$F:$F,G26+2))</f>
        <v>0</v>
      </c>
      <c r="J26" s="12" t="n">
        <f aca="false">(($B$4*16+A26)*3+B26)*3+C26</f>
        <v>10</v>
      </c>
      <c r="K26" s="12" t="n">
        <f aca="false">J26+1224</f>
        <v>1234</v>
      </c>
      <c r="L26" s="12" t="n">
        <f aca="false">K26+1</f>
        <v>1235</v>
      </c>
      <c r="M26" s="13" t="n">
        <f aca="false">INDEX(weights!$H:$H,K26+2)</f>
        <v>0.137430593</v>
      </c>
      <c r="N26" s="14" t="n">
        <f aca="false">I26*M26</f>
        <v>0</v>
      </c>
      <c r="O26" s="15" t="n">
        <f aca="false">O25+N26</f>
        <v>-0.154660240271459</v>
      </c>
    </row>
    <row r="27" customFormat="false" ht="15" hidden="false" customHeight="false" outlineLevel="0" collapsed="false">
      <c r="A27" s="10" t="n">
        <v>1</v>
      </c>
      <c r="B27" s="10" t="n">
        <v>0</v>
      </c>
      <c r="C27" s="10" t="n">
        <v>2</v>
      </c>
      <c r="D27" s="10" t="n">
        <f aca="false">$B$5+B27-1</f>
        <v>2</v>
      </c>
      <c r="E27" s="10" t="n">
        <f aca="false">$B$6+C27-1</f>
        <v>4</v>
      </c>
      <c r="F27" s="10" t="str">
        <f aca="false">IF(OR(D27&lt;0,D27&gt;6,E27&lt;0,E27&gt;6),"đệm","ảnh")</f>
        <v>ảnh</v>
      </c>
      <c r="G27" s="10" t="n">
        <f aca="false">IF(F27="đệm","—",(A27*7+D27)*7+E27)</f>
        <v>67</v>
      </c>
      <c r="H27" s="10" t="n">
        <f aca="false">IF(F27="đệm","—",G27+1)</f>
        <v>68</v>
      </c>
      <c r="I27" s="11" t="n">
        <f aca="false">IF(F27="đệm",0,INDEX(pool2!$F:$F,G27+2))</f>
        <v>2.58623195</v>
      </c>
      <c r="J27" s="12" t="n">
        <f aca="false">(($B$4*16+A27)*3+B27)*3+C27</f>
        <v>11</v>
      </c>
      <c r="K27" s="12" t="n">
        <f aca="false">J27+1224</f>
        <v>1235</v>
      </c>
      <c r="L27" s="12" t="n">
        <f aca="false">K27+1</f>
        <v>1236</v>
      </c>
      <c r="M27" s="13" t="n">
        <f aca="false">INDEX(weights!$H:$H,K27+2)</f>
        <v>0.132464275</v>
      </c>
      <c r="N27" s="14" t="n">
        <f aca="false">I27*M27</f>
        <v>0.342583340238586</v>
      </c>
      <c r="O27" s="15" t="n">
        <f aca="false">O26+N27</f>
        <v>0.187923099967127</v>
      </c>
    </row>
    <row r="28" customFormat="false" ht="15" hidden="false" customHeight="false" outlineLevel="0" collapsed="false">
      <c r="A28" s="10" t="n">
        <v>1</v>
      </c>
      <c r="B28" s="10" t="n">
        <v>1</v>
      </c>
      <c r="C28" s="10" t="n">
        <v>0</v>
      </c>
      <c r="D28" s="10" t="n">
        <f aca="false">$B$5+B28-1</f>
        <v>3</v>
      </c>
      <c r="E28" s="10" t="n">
        <f aca="false">$B$6+C28-1</f>
        <v>2</v>
      </c>
      <c r="F28" s="10" t="str">
        <f aca="false">IF(OR(D28&lt;0,D28&gt;6,E28&lt;0,E28&gt;6),"đệm","ảnh")</f>
        <v>ảnh</v>
      </c>
      <c r="G28" s="10" t="n">
        <f aca="false">IF(F28="đệm","—",(A28*7+D28)*7+E28)</f>
        <v>72</v>
      </c>
      <c r="H28" s="10" t="n">
        <f aca="false">IF(F28="đệm","—",G28+1)</f>
        <v>73</v>
      </c>
      <c r="I28" s="11" t="n">
        <f aca="false">IF(F28="đệm",0,INDEX(pool2!$F:$F,G28+2))</f>
        <v>0</v>
      </c>
      <c r="J28" s="12" t="n">
        <f aca="false">(($B$4*16+A28)*3+B28)*3+C28</f>
        <v>12</v>
      </c>
      <c r="K28" s="12" t="n">
        <f aca="false">J28+1224</f>
        <v>1236</v>
      </c>
      <c r="L28" s="12" t="n">
        <f aca="false">K28+1</f>
        <v>1237</v>
      </c>
      <c r="M28" s="13" t="n">
        <f aca="false">INDEX(weights!$H:$H,K28+2)</f>
        <v>0.0864209756</v>
      </c>
      <c r="N28" s="14" t="n">
        <f aca="false">I28*M28</f>
        <v>0</v>
      </c>
      <c r="O28" s="15" t="n">
        <f aca="false">O27+N28</f>
        <v>0.187923099967127</v>
      </c>
    </row>
    <row r="29" customFormat="false" ht="15" hidden="false" customHeight="false" outlineLevel="0" collapsed="false">
      <c r="A29" s="10" t="n">
        <v>1</v>
      </c>
      <c r="B29" s="10" t="n">
        <v>1</v>
      </c>
      <c r="C29" s="10" t="n">
        <v>1</v>
      </c>
      <c r="D29" s="10" t="n">
        <f aca="false">$B$5+B29-1</f>
        <v>3</v>
      </c>
      <c r="E29" s="10" t="n">
        <f aca="false">$B$6+C29-1</f>
        <v>3</v>
      </c>
      <c r="F29" s="10" t="str">
        <f aca="false">IF(OR(D29&lt;0,D29&gt;6,E29&lt;0,E29&gt;6),"đệm","ảnh")</f>
        <v>ảnh</v>
      </c>
      <c r="G29" s="10" t="n">
        <f aca="false">IF(F29="đệm","—",(A29*7+D29)*7+E29)</f>
        <v>73</v>
      </c>
      <c r="H29" s="10" t="n">
        <f aca="false">IF(F29="đệm","—",G29+1)</f>
        <v>74</v>
      </c>
      <c r="I29" s="11" t="n">
        <f aca="false">IF(F29="đệm",0,INDEX(pool2!$F:$F,G29+2))</f>
        <v>5.45089626</v>
      </c>
      <c r="J29" s="12" t="n">
        <f aca="false">(($B$4*16+A29)*3+B29)*3+C29</f>
        <v>13</v>
      </c>
      <c r="K29" s="12" t="n">
        <f aca="false">J29+1224</f>
        <v>1237</v>
      </c>
      <c r="L29" s="12" t="n">
        <f aca="false">K29+1</f>
        <v>1238</v>
      </c>
      <c r="M29" s="13" t="n">
        <f aca="false">INDEX(weights!$H:$H,K29+2)</f>
        <v>0.187351167</v>
      </c>
      <c r="N29" s="14" t="n">
        <f aca="false">I29*M29</f>
        <v>1.02123177550694</v>
      </c>
      <c r="O29" s="15" t="n">
        <f aca="false">O28+N29</f>
        <v>1.20915487547406</v>
      </c>
    </row>
    <row r="30" customFormat="false" ht="15" hidden="false" customHeight="false" outlineLevel="0" collapsed="false">
      <c r="A30" s="10" t="n">
        <v>1</v>
      </c>
      <c r="B30" s="10" t="n">
        <v>1</v>
      </c>
      <c r="C30" s="10" t="n">
        <v>2</v>
      </c>
      <c r="D30" s="10" t="n">
        <f aca="false">$B$5+B30-1</f>
        <v>3</v>
      </c>
      <c r="E30" s="10" t="n">
        <f aca="false">$B$6+C30-1</f>
        <v>4</v>
      </c>
      <c r="F30" s="10" t="str">
        <f aca="false">IF(OR(D30&lt;0,D30&gt;6,E30&lt;0,E30&gt;6),"đệm","ảnh")</f>
        <v>ảnh</v>
      </c>
      <c r="G30" s="10" t="n">
        <f aca="false">IF(F30="đệm","—",(A30*7+D30)*7+E30)</f>
        <v>74</v>
      </c>
      <c r="H30" s="10" t="n">
        <f aca="false">IF(F30="đệm","—",G30+1)</f>
        <v>75</v>
      </c>
      <c r="I30" s="11" t="n">
        <f aca="false">IF(F30="đệm",0,INDEX(pool2!$F:$F,G30+2))</f>
        <v>5.99672031</v>
      </c>
      <c r="J30" s="12" t="n">
        <f aca="false">(($B$4*16+A30)*3+B30)*3+C30</f>
        <v>14</v>
      </c>
      <c r="K30" s="12" t="n">
        <f aca="false">J30+1224</f>
        <v>1238</v>
      </c>
      <c r="L30" s="12" t="n">
        <f aca="false">K30+1</f>
        <v>1239</v>
      </c>
      <c r="M30" s="13" t="n">
        <f aca="false">INDEX(weights!$H:$H,K30+2)</f>
        <v>-0.146591261</v>
      </c>
      <c r="N30" s="14" t="n">
        <f aca="false">I30*M30</f>
        <v>-0.879066792107211</v>
      </c>
      <c r="O30" s="15" t="n">
        <f aca="false">O29+N30</f>
        <v>0.330088083366852</v>
      </c>
    </row>
    <row r="31" customFormat="false" ht="15" hidden="false" customHeight="false" outlineLevel="0" collapsed="false">
      <c r="A31" s="10" t="n">
        <v>1</v>
      </c>
      <c r="B31" s="10" t="n">
        <v>2</v>
      </c>
      <c r="C31" s="10" t="n">
        <v>0</v>
      </c>
      <c r="D31" s="10" t="n">
        <f aca="false">$B$5+B31-1</f>
        <v>4</v>
      </c>
      <c r="E31" s="10" t="n">
        <f aca="false">$B$6+C31-1</f>
        <v>2</v>
      </c>
      <c r="F31" s="10" t="str">
        <f aca="false">IF(OR(D31&lt;0,D31&gt;6,E31&lt;0,E31&gt;6),"đệm","ảnh")</f>
        <v>ảnh</v>
      </c>
      <c r="G31" s="10" t="n">
        <f aca="false">IF(F31="đệm","—",(A31*7+D31)*7+E31)</f>
        <v>79</v>
      </c>
      <c r="H31" s="10" t="n">
        <f aca="false">IF(F31="đệm","—",G31+1)</f>
        <v>80</v>
      </c>
      <c r="I31" s="11" t="n">
        <f aca="false">IF(F31="đệm",0,INDEX(pool2!$F:$F,G31+2))</f>
        <v>0.154093027</v>
      </c>
      <c r="J31" s="12" t="n">
        <f aca="false">(($B$4*16+A31)*3+B31)*3+C31</f>
        <v>15</v>
      </c>
      <c r="K31" s="12" t="n">
        <f aca="false">J31+1224</f>
        <v>1239</v>
      </c>
      <c r="L31" s="12" t="n">
        <f aca="false">K31+1</f>
        <v>1240</v>
      </c>
      <c r="M31" s="13" t="n">
        <f aca="false">INDEX(weights!$H:$H,K31+2)</f>
        <v>-0.0930319503</v>
      </c>
      <c r="N31" s="14" t="n">
        <f aca="false">I31*M31</f>
        <v>-0.0143355748294406</v>
      </c>
      <c r="O31" s="15" t="n">
        <f aca="false">O30+N31</f>
        <v>0.315752508537412</v>
      </c>
    </row>
    <row r="32" customFormat="false" ht="15" hidden="false" customHeight="false" outlineLevel="0" collapsed="false">
      <c r="A32" s="10" t="n">
        <v>1</v>
      </c>
      <c r="B32" s="10" t="n">
        <v>2</v>
      </c>
      <c r="C32" s="10" t="n">
        <v>1</v>
      </c>
      <c r="D32" s="10" t="n">
        <f aca="false">$B$5+B32-1</f>
        <v>4</v>
      </c>
      <c r="E32" s="10" t="n">
        <f aca="false">$B$6+C32-1</f>
        <v>3</v>
      </c>
      <c r="F32" s="10" t="str">
        <f aca="false">IF(OR(D32&lt;0,D32&gt;6,E32&lt;0,E32&gt;6),"đệm","ảnh")</f>
        <v>ảnh</v>
      </c>
      <c r="G32" s="10" t="n">
        <f aca="false">IF(F32="đệm","—",(A32*7+D32)*7+E32)</f>
        <v>80</v>
      </c>
      <c r="H32" s="10" t="n">
        <f aca="false">IF(F32="đệm","—",G32+1)</f>
        <v>81</v>
      </c>
      <c r="I32" s="11" t="n">
        <f aca="false">IF(F32="đệm",0,INDEX(pool2!$F:$F,G32+2))</f>
        <v>6.33747959</v>
      </c>
      <c r="J32" s="12" t="n">
        <f aca="false">(($B$4*16+A32)*3+B32)*3+C32</f>
        <v>16</v>
      </c>
      <c r="K32" s="12" t="n">
        <f aca="false">J32+1224</f>
        <v>1240</v>
      </c>
      <c r="L32" s="12" t="n">
        <f aca="false">K32+1</f>
        <v>1241</v>
      </c>
      <c r="M32" s="13" t="n">
        <f aca="false">INDEX(weights!$H:$H,K32+2)</f>
        <v>-0.303253561</v>
      </c>
      <c r="N32" s="14" t="n">
        <f aca="false">I32*M32</f>
        <v>-1.92186325343232</v>
      </c>
      <c r="O32" s="15" t="n">
        <f aca="false">O31+N32</f>
        <v>-1.60611074489491</v>
      </c>
    </row>
    <row r="33" customFormat="false" ht="15" hidden="false" customHeight="false" outlineLevel="0" collapsed="false">
      <c r="A33" s="16" t="n">
        <v>1</v>
      </c>
      <c r="B33" s="16" t="n">
        <v>2</v>
      </c>
      <c r="C33" s="16" t="n">
        <v>2</v>
      </c>
      <c r="D33" s="16" t="n">
        <f aca="false">$B$5+B33-1</f>
        <v>4</v>
      </c>
      <c r="E33" s="16" t="n">
        <f aca="false">$B$6+C33-1</f>
        <v>4</v>
      </c>
      <c r="F33" s="16" t="str">
        <f aca="false">IF(OR(D33&lt;0,D33&gt;6,E33&lt;0,E33&gt;6),"đệm","ảnh")</f>
        <v>ảnh</v>
      </c>
      <c r="G33" s="16" t="n">
        <f aca="false">IF(F33="đệm","—",(A33*7+D33)*7+E33)</f>
        <v>81</v>
      </c>
      <c r="H33" s="16" t="n">
        <f aca="false">IF(F33="đệm","—",G33+1)</f>
        <v>82</v>
      </c>
      <c r="I33" s="17" t="n">
        <f aca="false">IF(F33="đệm",0,INDEX(pool2!$F:$F,G33+2))</f>
        <v>0</v>
      </c>
      <c r="J33" s="18" t="n">
        <f aca="false">(($B$4*16+A33)*3+B33)*3+C33</f>
        <v>17</v>
      </c>
      <c r="K33" s="18" t="n">
        <f aca="false">J33+1224</f>
        <v>1241</v>
      </c>
      <c r="L33" s="18" t="n">
        <f aca="false">K33+1</f>
        <v>1242</v>
      </c>
      <c r="M33" s="19" t="n">
        <f aca="false">INDEX(weights!$H:$H,K33+2)</f>
        <v>0.112702087</v>
      </c>
      <c r="N33" s="20" t="n">
        <f aca="false">I33*M33</f>
        <v>0</v>
      </c>
      <c r="O33" s="21" t="n">
        <f aca="false">O32+N33</f>
        <v>-1.60611074489491</v>
      </c>
    </row>
    <row r="34" customFormat="false" ht="15" hidden="false" customHeight="false" outlineLevel="0" collapsed="false">
      <c r="A34" s="10" t="n">
        <v>2</v>
      </c>
      <c r="B34" s="10" t="n">
        <v>0</v>
      </c>
      <c r="C34" s="10" t="n">
        <v>0</v>
      </c>
      <c r="D34" s="10" t="n">
        <f aca="false">$B$5+B34-1</f>
        <v>2</v>
      </c>
      <c r="E34" s="10" t="n">
        <f aca="false">$B$6+C34-1</f>
        <v>2</v>
      </c>
      <c r="F34" s="10" t="str">
        <f aca="false">IF(OR(D34&lt;0,D34&gt;6,E34&lt;0,E34&gt;6),"đệm","ảnh")</f>
        <v>ảnh</v>
      </c>
      <c r="G34" s="10" t="n">
        <f aca="false">IF(F34="đệm","—",(A34*7+D34)*7+E34)</f>
        <v>114</v>
      </c>
      <c r="H34" s="10" t="n">
        <f aca="false">IF(F34="đệm","—",G34+1)</f>
        <v>115</v>
      </c>
      <c r="I34" s="11" t="n">
        <f aca="false">IF(F34="đệm",0,INDEX(pool2!$F:$F,G34+2))</f>
        <v>10.5070009</v>
      </c>
      <c r="J34" s="12" t="n">
        <f aca="false">(($B$4*16+A34)*3+B34)*3+C34</f>
        <v>18</v>
      </c>
      <c r="K34" s="12" t="n">
        <f aca="false">J34+1224</f>
        <v>1242</v>
      </c>
      <c r="L34" s="12" t="n">
        <f aca="false">K34+1</f>
        <v>1243</v>
      </c>
      <c r="M34" s="13" t="n">
        <f aca="false">INDEX(weights!$H:$H,K34+2)</f>
        <v>-0.272894263</v>
      </c>
      <c r="N34" s="14" t="n">
        <f aca="false">I34*M34</f>
        <v>-2.86730026694584</v>
      </c>
      <c r="O34" s="15" t="n">
        <f aca="false">O33+N34</f>
        <v>-4.47341101184075</v>
      </c>
    </row>
    <row r="35" customFormat="false" ht="15" hidden="false" customHeight="false" outlineLevel="0" collapsed="false">
      <c r="A35" s="10" t="n">
        <v>2</v>
      </c>
      <c r="B35" s="10" t="n">
        <v>0</v>
      </c>
      <c r="C35" s="10" t="n">
        <v>1</v>
      </c>
      <c r="D35" s="10" t="n">
        <f aca="false">$B$5+B35-1</f>
        <v>2</v>
      </c>
      <c r="E35" s="10" t="n">
        <f aca="false">$B$6+C35-1</f>
        <v>3</v>
      </c>
      <c r="F35" s="10" t="str">
        <f aca="false">IF(OR(D35&lt;0,D35&gt;6,E35&lt;0,E35&gt;6),"đệm","ảnh")</f>
        <v>ảnh</v>
      </c>
      <c r="G35" s="10" t="n">
        <f aca="false">IF(F35="đệm","—",(A35*7+D35)*7+E35)</f>
        <v>115</v>
      </c>
      <c r="H35" s="10" t="n">
        <f aca="false">IF(F35="đệm","—",G35+1)</f>
        <v>116</v>
      </c>
      <c r="I35" s="11" t="n">
        <f aca="false">IF(F35="đệm",0,INDEX(pool2!$F:$F,G35+2))</f>
        <v>11.8981276</v>
      </c>
      <c r="J35" s="12" t="n">
        <f aca="false">(($B$4*16+A35)*3+B35)*3+C35</f>
        <v>19</v>
      </c>
      <c r="K35" s="12" t="n">
        <f aca="false">J35+1224</f>
        <v>1243</v>
      </c>
      <c r="L35" s="12" t="n">
        <f aca="false">K35+1</f>
        <v>1244</v>
      </c>
      <c r="M35" s="13" t="n">
        <f aca="false">INDEX(weights!$H:$H,K35+2)</f>
        <v>0.00545055745</v>
      </c>
      <c r="N35" s="14" t="n">
        <f aca="false">I35*M35</f>
        <v>0.0648514280312306</v>
      </c>
      <c r="O35" s="15" t="n">
        <f aca="false">O34+N35</f>
        <v>-4.40855958380952</v>
      </c>
    </row>
    <row r="36" customFormat="false" ht="15" hidden="false" customHeight="false" outlineLevel="0" collapsed="false">
      <c r="A36" s="10" t="n">
        <v>2</v>
      </c>
      <c r="B36" s="10" t="n">
        <v>0</v>
      </c>
      <c r="C36" s="10" t="n">
        <v>2</v>
      </c>
      <c r="D36" s="10" t="n">
        <f aca="false">$B$5+B36-1</f>
        <v>2</v>
      </c>
      <c r="E36" s="10" t="n">
        <f aca="false">$B$6+C36-1</f>
        <v>4</v>
      </c>
      <c r="F36" s="10" t="str">
        <f aca="false">IF(OR(D36&lt;0,D36&gt;6,E36&lt;0,E36&gt;6),"đệm","ảnh")</f>
        <v>ảnh</v>
      </c>
      <c r="G36" s="10" t="n">
        <f aca="false">IF(F36="đệm","—",(A36*7+D36)*7+E36)</f>
        <v>116</v>
      </c>
      <c r="H36" s="10" t="n">
        <f aca="false">IF(F36="đệm","—",G36+1)</f>
        <v>117</v>
      </c>
      <c r="I36" s="11" t="n">
        <f aca="false">IF(F36="đệm",0,INDEX(pool2!$F:$F,G36+2))</f>
        <v>8.64560318</v>
      </c>
      <c r="J36" s="12" t="n">
        <f aca="false">(($B$4*16+A36)*3+B36)*3+C36</f>
        <v>20</v>
      </c>
      <c r="K36" s="12" t="n">
        <f aca="false">J36+1224</f>
        <v>1244</v>
      </c>
      <c r="L36" s="12" t="n">
        <f aca="false">K36+1</f>
        <v>1245</v>
      </c>
      <c r="M36" s="13" t="n">
        <f aca="false">INDEX(weights!$H:$H,K36+2)</f>
        <v>0.0275648255</v>
      </c>
      <c r="N36" s="14" t="n">
        <f aca="false">I36*M36</f>
        <v>0.238314542998945</v>
      </c>
      <c r="O36" s="15" t="n">
        <f aca="false">O35+N36</f>
        <v>-4.17024504081057</v>
      </c>
    </row>
    <row r="37" customFormat="false" ht="15" hidden="false" customHeight="false" outlineLevel="0" collapsed="false">
      <c r="A37" s="10" t="n">
        <v>2</v>
      </c>
      <c r="B37" s="10" t="n">
        <v>1</v>
      </c>
      <c r="C37" s="10" t="n">
        <v>0</v>
      </c>
      <c r="D37" s="10" t="n">
        <f aca="false">$B$5+B37-1</f>
        <v>3</v>
      </c>
      <c r="E37" s="10" t="n">
        <f aca="false">$B$6+C37-1</f>
        <v>2</v>
      </c>
      <c r="F37" s="10" t="str">
        <f aca="false">IF(OR(D37&lt;0,D37&gt;6,E37&lt;0,E37&gt;6),"đệm","ảnh")</f>
        <v>ảnh</v>
      </c>
      <c r="G37" s="10" t="n">
        <f aca="false">IF(F37="đệm","—",(A37*7+D37)*7+E37)</f>
        <v>121</v>
      </c>
      <c r="H37" s="10" t="n">
        <f aca="false">IF(F37="đệm","—",G37+1)</f>
        <v>122</v>
      </c>
      <c r="I37" s="11" t="n">
        <f aca="false">IF(F37="đệm",0,INDEX(pool2!$F:$F,G37+2))</f>
        <v>1.80526686</v>
      </c>
      <c r="J37" s="12" t="n">
        <f aca="false">(($B$4*16+A37)*3+B37)*3+C37</f>
        <v>21</v>
      </c>
      <c r="K37" s="12" t="n">
        <f aca="false">J37+1224</f>
        <v>1245</v>
      </c>
      <c r="L37" s="12" t="n">
        <f aca="false">K37+1</f>
        <v>1246</v>
      </c>
      <c r="M37" s="13" t="n">
        <f aca="false">INDEX(weights!$H:$H,K37+2)</f>
        <v>0.0594838448</v>
      </c>
      <c r="N37" s="14" t="n">
        <f aca="false">I37*M37</f>
        <v>0.107384213722823</v>
      </c>
      <c r="O37" s="15" t="n">
        <f aca="false">O36+N37</f>
        <v>-4.06286082708775</v>
      </c>
    </row>
    <row r="38" customFormat="false" ht="15" hidden="false" customHeight="false" outlineLevel="0" collapsed="false">
      <c r="A38" s="10" t="n">
        <v>2</v>
      </c>
      <c r="B38" s="10" t="n">
        <v>1</v>
      </c>
      <c r="C38" s="10" t="n">
        <v>1</v>
      </c>
      <c r="D38" s="10" t="n">
        <f aca="false">$B$5+B38-1</f>
        <v>3</v>
      </c>
      <c r="E38" s="10" t="n">
        <f aca="false">$B$6+C38-1</f>
        <v>3</v>
      </c>
      <c r="F38" s="10" t="str">
        <f aca="false">IF(OR(D38&lt;0,D38&gt;6,E38&lt;0,E38&gt;6),"đệm","ảnh")</f>
        <v>ảnh</v>
      </c>
      <c r="G38" s="10" t="n">
        <f aca="false">IF(F38="đệm","—",(A38*7+D38)*7+E38)</f>
        <v>122</v>
      </c>
      <c r="H38" s="10" t="n">
        <f aca="false">IF(F38="đệm","—",G38+1)</f>
        <v>123</v>
      </c>
      <c r="I38" s="11" t="n">
        <f aca="false">IF(F38="đệm",0,INDEX(pool2!$F:$F,G38+2))</f>
        <v>2.08910632</v>
      </c>
      <c r="J38" s="12" t="n">
        <f aca="false">(($B$4*16+A38)*3+B38)*3+C38</f>
        <v>22</v>
      </c>
      <c r="K38" s="12" t="n">
        <f aca="false">J38+1224</f>
        <v>1246</v>
      </c>
      <c r="L38" s="12" t="n">
        <f aca="false">K38+1</f>
        <v>1247</v>
      </c>
      <c r="M38" s="13" t="n">
        <f aca="false">INDEX(weights!$H:$H,K38+2)</f>
        <v>0.145891696</v>
      </c>
      <c r="N38" s="14" t="n">
        <f aca="false">I38*M38</f>
        <v>0.304783264149119</v>
      </c>
      <c r="O38" s="15" t="n">
        <f aca="false">O37+N38</f>
        <v>-3.75807756293863</v>
      </c>
    </row>
    <row r="39" customFormat="false" ht="15" hidden="false" customHeight="false" outlineLevel="0" collapsed="false">
      <c r="A39" s="10" t="n">
        <v>2</v>
      </c>
      <c r="B39" s="10" t="n">
        <v>1</v>
      </c>
      <c r="C39" s="10" t="n">
        <v>2</v>
      </c>
      <c r="D39" s="10" t="n">
        <f aca="false">$B$5+B39-1</f>
        <v>3</v>
      </c>
      <c r="E39" s="10" t="n">
        <f aca="false">$B$6+C39-1</f>
        <v>4</v>
      </c>
      <c r="F39" s="10" t="str">
        <f aca="false">IF(OR(D39&lt;0,D39&gt;6,E39&lt;0,E39&gt;6),"đệm","ảnh")</f>
        <v>ảnh</v>
      </c>
      <c r="G39" s="10" t="n">
        <f aca="false">IF(F39="đệm","—",(A39*7+D39)*7+E39)</f>
        <v>123</v>
      </c>
      <c r="H39" s="10" t="n">
        <f aca="false">IF(F39="đệm","—",G39+1)</f>
        <v>124</v>
      </c>
      <c r="I39" s="11" t="n">
        <f aca="false">IF(F39="đệm",0,INDEX(pool2!$F:$F,G39+2))</f>
        <v>0</v>
      </c>
      <c r="J39" s="12" t="n">
        <f aca="false">(($B$4*16+A39)*3+B39)*3+C39</f>
        <v>23</v>
      </c>
      <c r="K39" s="12" t="n">
        <f aca="false">J39+1224</f>
        <v>1247</v>
      </c>
      <c r="L39" s="12" t="n">
        <f aca="false">K39+1</f>
        <v>1248</v>
      </c>
      <c r="M39" s="13" t="n">
        <f aca="false">INDEX(weights!$H:$H,K39+2)</f>
        <v>0.167040899</v>
      </c>
      <c r="N39" s="14" t="n">
        <f aca="false">I39*M39</f>
        <v>0</v>
      </c>
      <c r="O39" s="15" t="n">
        <f aca="false">O38+N39</f>
        <v>-3.75807756293863</v>
      </c>
    </row>
    <row r="40" customFormat="false" ht="15" hidden="false" customHeight="false" outlineLevel="0" collapsed="false">
      <c r="A40" s="10" t="n">
        <v>2</v>
      </c>
      <c r="B40" s="10" t="n">
        <v>2</v>
      </c>
      <c r="C40" s="10" t="n">
        <v>0</v>
      </c>
      <c r="D40" s="10" t="n">
        <f aca="false">$B$5+B40-1</f>
        <v>4</v>
      </c>
      <c r="E40" s="10" t="n">
        <f aca="false">$B$6+C40-1</f>
        <v>2</v>
      </c>
      <c r="F40" s="10" t="str">
        <f aca="false">IF(OR(D40&lt;0,D40&gt;6,E40&lt;0,E40&gt;6),"đệm","ảnh")</f>
        <v>ảnh</v>
      </c>
      <c r="G40" s="10" t="n">
        <f aca="false">IF(F40="đệm","—",(A40*7+D40)*7+E40)</f>
        <v>128</v>
      </c>
      <c r="H40" s="10" t="n">
        <f aca="false">IF(F40="đệm","—",G40+1)</f>
        <v>129</v>
      </c>
      <c r="I40" s="11" t="n">
        <f aca="false">IF(F40="đệm",0,INDEX(pool2!$F:$F,G40+2))</f>
        <v>0.678896189</v>
      </c>
      <c r="J40" s="12" t="n">
        <f aca="false">(($B$4*16+A40)*3+B40)*3+C40</f>
        <v>24</v>
      </c>
      <c r="K40" s="12" t="n">
        <f aca="false">J40+1224</f>
        <v>1248</v>
      </c>
      <c r="L40" s="12" t="n">
        <f aca="false">K40+1</f>
        <v>1249</v>
      </c>
      <c r="M40" s="13" t="n">
        <f aca="false">INDEX(weights!$H:$H,K40+2)</f>
        <v>-0.0817746073</v>
      </c>
      <c r="N40" s="14" t="n">
        <f aca="false">I40*M40</f>
        <v>-0.0555164692529416</v>
      </c>
      <c r="O40" s="15" t="n">
        <f aca="false">O39+N40</f>
        <v>-3.81359403219157</v>
      </c>
    </row>
    <row r="41" customFormat="false" ht="15" hidden="false" customHeight="false" outlineLevel="0" collapsed="false">
      <c r="A41" s="10" t="n">
        <v>2</v>
      </c>
      <c r="B41" s="10" t="n">
        <v>2</v>
      </c>
      <c r="C41" s="10" t="n">
        <v>1</v>
      </c>
      <c r="D41" s="10" t="n">
        <f aca="false">$B$5+B41-1</f>
        <v>4</v>
      </c>
      <c r="E41" s="10" t="n">
        <f aca="false">$B$6+C41-1</f>
        <v>3</v>
      </c>
      <c r="F41" s="10" t="str">
        <f aca="false">IF(OR(D41&lt;0,D41&gt;6,E41&lt;0,E41&gt;6),"đệm","ảnh")</f>
        <v>ảnh</v>
      </c>
      <c r="G41" s="10" t="n">
        <f aca="false">IF(F41="đệm","—",(A41*7+D41)*7+E41)</f>
        <v>129</v>
      </c>
      <c r="H41" s="10" t="n">
        <f aca="false">IF(F41="đệm","—",G41+1)</f>
        <v>130</v>
      </c>
      <c r="I41" s="11" t="n">
        <f aca="false">IF(F41="đệm",0,INDEX(pool2!$F:$F,G41+2))</f>
        <v>0</v>
      </c>
      <c r="J41" s="12" t="n">
        <f aca="false">(($B$4*16+A41)*3+B41)*3+C41</f>
        <v>25</v>
      </c>
      <c r="K41" s="12" t="n">
        <f aca="false">J41+1224</f>
        <v>1249</v>
      </c>
      <c r="L41" s="12" t="n">
        <f aca="false">K41+1</f>
        <v>1250</v>
      </c>
      <c r="M41" s="13" t="n">
        <f aca="false">INDEX(weights!$H:$H,K41+2)</f>
        <v>0.0111707477</v>
      </c>
      <c r="N41" s="14" t="n">
        <f aca="false">I41*M41</f>
        <v>0</v>
      </c>
      <c r="O41" s="15" t="n">
        <f aca="false">O40+N41</f>
        <v>-3.81359403219157</v>
      </c>
    </row>
    <row r="42" customFormat="false" ht="15" hidden="false" customHeight="false" outlineLevel="0" collapsed="false">
      <c r="A42" s="16" t="n">
        <v>2</v>
      </c>
      <c r="B42" s="16" t="n">
        <v>2</v>
      </c>
      <c r="C42" s="16" t="n">
        <v>2</v>
      </c>
      <c r="D42" s="16" t="n">
        <f aca="false">$B$5+B42-1</f>
        <v>4</v>
      </c>
      <c r="E42" s="16" t="n">
        <f aca="false">$B$6+C42-1</f>
        <v>4</v>
      </c>
      <c r="F42" s="16" t="str">
        <f aca="false">IF(OR(D42&lt;0,D42&gt;6,E42&lt;0,E42&gt;6),"đệm","ảnh")</f>
        <v>ảnh</v>
      </c>
      <c r="G42" s="16" t="n">
        <f aca="false">IF(F42="đệm","—",(A42*7+D42)*7+E42)</f>
        <v>130</v>
      </c>
      <c r="H42" s="16" t="n">
        <f aca="false">IF(F42="đệm","—",G42+1)</f>
        <v>131</v>
      </c>
      <c r="I42" s="17" t="n">
        <f aca="false">IF(F42="đệm",0,INDEX(pool2!$F:$F,G42+2))</f>
        <v>1.69762623</v>
      </c>
      <c r="J42" s="18" t="n">
        <f aca="false">(($B$4*16+A42)*3+B42)*3+C42</f>
        <v>26</v>
      </c>
      <c r="K42" s="18" t="n">
        <f aca="false">J42+1224</f>
        <v>1250</v>
      </c>
      <c r="L42" s="18" t="n">
        <f aca="false">K42+1</f>
        <v>1251</v>
      </c>
      <c r="M42" s="19" t="n">
        <f aca="false">INDEX(weights!$H:$H,K42+2)</f>
        <v>-0.0829655975</v>
      </c>
      <c r="N42" s="20" t="n">
        <f aca="false">I42*M42</f>
        <v>-0.140844574503622</v>
      </c>
      <c r="O42" s="21" t="n">
        <f aca="false">O41+N42</f>
        <v>-3.95443860669519</v>
      </c>
    </row>
    <row r="43" customFormat="false" ht="15" hidden="false" customHeight="false" outlineLevel="0" collapsed="false">
      <c r="A43" s="10" t="n">
        <v>3</v>
      </c>
      <c r="B43" s="10" t="n">
        <v>0</v>
      </c>
      <c r="C43" s="10" t="n">
        <v>0</v>
      </c>
      <c r="D43" s="10" t="n">
        <f aca="false">$B$5+B43-1</f>
        <v>2</v>
      </c>
      <c r="E43" s="10" t="n">
        <f aca="false">$B$6+C43-1</f>
        <v>2</v>
      </c>
      <c r="F43" s="10" t="str">
        <f aca="false">IF(OR(D43&lt;0,D43&gt;6,E43&lt;0,E43&gt;6),"đệm","ảnh")</f>
        <v>ảnh</v>
      </c>
      <c r="G43" s="10" t="n">
        <f aca="false">IF(F43="đệm","—",(A43*7+D43)*7+E43)</f>
        <v>163</v>
      </c>
      <c r="H43" s="10" t="n">
        <f aca="false">IF(F43="đệm","—",G43+1)</f>
        <v>164</v>
      </c>
      <c r="I43" s="11" t="n">
        <f aca="false">IF(F43="đệm",0,INDEX(pool2!$F:$F,G43+2))</f>
        <v>7.88046694</v>
      </c>
      <c r="J43" s="12" t="n">
        <f aca="false">(($B$4*16+A43)*3+B43)*3+C43</f>
        <v>27</v>
      </c>
      <c r="K43" s="12" t="n">
        <f aca="false">J43+1224</f>
        <v>1251</v>
      </c>
      <c r="L43" s="12" t="n">
        <f aca="false">K43+1</f>
        <v>1252</v>
      </c>
      <c r="M43" s="13" t="n">
        <f aca="false">INDEX(weights!$H:$H,K43+2)</f>
        <v>0.202600971</v>
      </c>
      <c r="N43" s="14" t="n">
        <f aca="false">I43*M43</f>
        <v>1.5965902539774</v>
      </c>
      <c r="O43" s="15" t="n">
        <f aca="false">O42+N43</f>
        <v>-2.35784835271779</v>
      </c>
    </row>
    <row r="44" customFormat="false" ht="15" hidden="false" customHeight="false" outlineLevel="0" collapsed="false">
      <c r="A44" s="10" t="n">
        <v>3</v>
      </c>
      <c r="B44" s="10" t="n">
        <v>0</v>
      </c>
      <c r="C44" s="10" t="n">
        <v>1</v>
      </c>
      <c r="D44" s="10" t="n">
        <f aca="false">$B$5+B44-1</f>
        <v>2</v>
      </c>
      <c r="E44" s="10" t="n">
        <f aca="false">$B$6+C44-1</f>
        <v>3</v>
      </c>
      <c r="F44" s="10" t="str">
        <f aca="false">IF(OR(D44&lt;0,D44&gt;6,E44&lt;0,E44&gt;6),"đệm","ảnh")</f>
        <v>ảnh</v>
      </c>
      <c r="G44" s="10" t="n">
        <f aca="false">IF(F44="đệm","—",(A44*7+D44)*7+E44)</f>
        <v>164</v>
      </c>
      <c r="H44" s="10" t="n">
        <f aca="false">IF(F44="đệm","—",G44+1)</f>
        <v>165</v>
      </c>
      <c r="I44" s="11" t="n">
        <f aca="false">IF(F44="đệm",0,INDEX(pool2!$F:$F,G44+2))</f>
        <v>4.96549368</v>
      </c>
      <c r="J44" s="12" t="n">
        <f aca="false">(($B$4*16+A44)*3+B44)*3+C44</f>
        <v>28</v>
      </c>
      <c r="K44" s="12" t="n">
        <f aca="false">J44+1224</f>
        <v>1252</v>
      </c>
      <c r="L44" s="12" t="n">
        <f aca="false">K44+1</f>
        <v>1253</v>
      </c>
      <c r="M44" s="13" t="n">
        <f aca="false">INDEX(weights!$H:$H,K44+2)</f>
        <v>0.0461344011</v>
      </c>
      <c r="N44" s="14" t="n">
        <f aca="false">I44*M44</f>
        <v>0.229080077092635</v>
      </c>
      <c r="O44" s="15" t="n">
        <f aca="false">O43+N44</f>
        <v>-2.12876827562516</v>
      </c>
    </row>
    <row r="45" customFormat="false" ht="15" hidden="false" customHeight="false" outlineLevel="0" collapsed="false">
      <c r="A45" s="10" t="n">
        <v>3</v>
      </c>
      <c r="B45" s="10" t="n">
        <v>0</v>
      </c>
      <c r="C45" s="10" t="n">
        <v>2</v>
      </c>
      <c r="D45" s="10" t="n">
        <f aca="false">$B$5+B45-1</f>
        <v>2</v>
      </c>
      <c r="E45" s="10" t="n">
        <f aca="false">$B$6+C45-1</f>
        <v>4</v>
      </c>
      <c r="F45" s="10" t="str">
        <f aca="false">IF(OR(D45&lt;0,D45&gt;6,E45&lt;0,E45&gt;6),"đệm","ảnh")</f>
        <v>ảnh</v>
      </c>
      <c r="G45" s="10" t="n">
        <f aca="false">IF(F45="đệm","—",(A45*7+D45)*7+E45)</f>
        <v>165</v>
      </c>
      <c r="H45" s="10" t="n">
        <f aca="false">IF(F45="đệm","—",G45+1)</f>
        <v>166</v>
      </c>
      <c r="I45" s="11" t="n">
        <f aca="false">IF(F45="đệm",0,INDEX(pool2!$F:$F,G45+2))</f>
        <v>3.09113455</v>
      </c>
      <c r="J45" s="12" t="n">
        <f aca="false">(($B$4*16+A45)*3+B45)*3+C45</f>
        <v>29</v>
      </c>
      <c r="K45" s="12" t="n">
        <f aca="false">J45+1224</f>
        <v>1253</v>
      </c>
      <c r="L45" s="12" t="n">
        <f aca="false">K45+1</f>
        <v>1254</v>
      </c>
      <c r="M45" s="13" t="n">
        <f aca="false">INDEX(weights!$H:$H,K45+2)</f>
        <v>-0.019078603</v>
      </c>
      <c r="N45" s="14" t="n">
        <f aca="false">I45*M45</f>
        <v>-0.0589745288990337</v>
      </c>
      <c r="O45" s="15" t="n">
        <f aca="false">O44+N45</f>
        <v>-2.18774280452419</v>
      </c>
    </row>
    <row r="46" customFormat="false" ht="15" hidden="false" customHeight="false" outlineLevel="0" collapsed="false">
      <c r="A46" s="10" t="n">
        <v>3</v>
      </c>
      <c r="B46" s="10" t="n">
        <v>1</v>
      </c>
      <c r="C46" s="10" t="n">
        <v>0</v>
      </c>
      <c r="D46" s="10" t="n">
        <f aca="false">$B$5+B46-1</f>
        <v>3</v>
      </c>
      <c r="E46" s="10" t="n">
        <f aca="false">$B$6+C46-1</f>
        <v>2</v>
      </c>
      <c r="F46" s="10" t="str">
        <f aca="false">IF(OR(D46&lt;0,D46&gt;6,E46&lt;0,E46&gt;6),"đệm","ảnh")</f>
        <v>ảnh</v>
      </c>
      <c r="G46" s="10" t="n">
        <f aca="false">IF(F46="đệm","—",(A46*7+D46)*7+E46)</f>
        <v>170</v>
      </c>
      <c r="H46" s="10" t="n">
        <f aca="false">IF(F46="đệm","—",G46+1)</f>
        <v>171</v>
      </c>
      <c r="I46" s="11" t="n">
        <f aca="false">IF(F46="đệm",0,INDEX(pool2!$F:$F,G46+2))</f>
        <v>0.303750217</v>
      </c>
      <c r="J46" s="12" t="n">
        <f aca="false">(($B$4*16+A46)*3+B46)*3+C46</f>
        <v>30</v>
      </c>
      <c r="K46" s="12" t="n">
        <f aca="false">J46+1224</f>
        <v>1254</v>
      </c>
      <c r="L46" s="12" t="n">
        <f aca="false">K46+1</f>
        <v>1255</v>
      </c>
      <c r="M46" s="13" t="n">
        <f aca="false">INDEX(weights!$H:$H,K46+2)</f>
        <v>0.22506316</v>
      </c>
      <c r="N46" s="14" t="n">
        <f aca="false">I46*M46</f>
        <v>0.0683629836887057</v>
      </c>
      <c r="O46" s="15" t="n">
        <f aca="false">O45+N46</f>
        <v>-2.11937982083549</v>
      </c>
    </row>
    <row r="47" customFormat="false" ht="15" hidden="false" customHeight="false" outlineLevel="0" collapsed="false">
      <c r="A47" s="10" t="n">
        <v>3</v>
      </c>
      <c r="B47" s="10" t="n">
        <v>1</v>
      </c>
      <c r="C47" s="10" t="n">
        <v>1</v>
      </c>
      <c r="D47" s="10" t="n">
        <f aca="false">$B$5+B47-1</f>
        <v>3</v>
      </c>
      <c r="E47" s="10" t="n">
        <f aca="false">$B$6+C47-1</f>
        <v>3</v>
      </c>
      <c r="F47" s="10" t="str">
        <f aca="false">IF(OR(D47&lt;0,D47&gt;6,E47&lt;0,E47&gt;6),"đệm","ảnh")</f>
        <v>ảnh</v>
      </c>
      <c r="G47" s="10" t="n">
        <f aca="false">IF(F47="đệm","—",(A47*7+D47)*7+E47)</f>
        <v>171</v>
      </c>
      <c r="H47" s="10" t="n">
        <f aca="false">IF(F47="đệm","—",G47+1)</f>
        <v>172</v>
      </c>
      <c r="I47" s="11" t="n">
        <f aca="false">IF(F47="đệm",0,INDEX(pool2!$F:$F,G47+2))</f>
        <v>2.89165044</v>
      </c>
      <c r="J47" s="12" t="n">
        <f aca="false">(($B$4*16+A47)*3+B47)*3+C47</f>
        <v>31</v>
      </c>
      <c r="K47" s="12" t="n">
        <f aca="false">J47+1224</f>
        <v>1255</v>
      </c>
      <c r="L47" s="12" t="n">
        <f aca="false">K47+1</f>
        <v>1256</v>
      </c>
      <c r="M47" s="13" t="n">
        <f aca="false">INDEX(weights!$H:$H,K47+2)</f>
        <v>0.0142313316</v>
      </c>
      <c r="N47" s="14" t="n">
        <f aca="false">I47*M47</f>
        <v>0.0411520362829259</v>
      </c>
      <c r="O47" s="15" t="n">
        <f aca="false">O46+N47</f>
        <v>-2.07822778455256</v>
      </c>
    </row>
    <row r="48" customFormat="false" ht="15" hidden="false" customHeight="false" outlineLevel="0" collapsed="false">
      <c r="A48" s="10" t="n">
        <v>3</v>
      </c>
      <c r="B48" s="10" t="n">
        <v>1</v>
      </c>
      <c r="C48" s="10" t="n">
        <v>2</v>
      </c>
      <c r="D48" s="10" t="n">
        <f aca="false">$B$5+B48-1</f>
        <v>3</v>
      </c>
      <c r="E48" s="10" t="n">
        <f aca="false">$B$6+C48-1</f>
        <v>4</v>
      </c>
      <c r="F48" s="10" t="str">
        <f aca="false">IF(OR(D48&lt;0,D48&gt;6,E48&lt;0,E48&gt;6),"đệm","ảnh")</f>
        <v>ảnh</v>
      </c>
      <c r="G48" s="10" t="n">
        <f aca="false">IF(F48="đệm","—",(A48*7+D48)*7+E48)</f>
        <v>172</v>
      </c>
      <c r="H48" s="10" t="n">
        <f aca="false">IF(F48="đệm","—",G48+1)</f>
        <v>173</v>
      </c>
      <c r="I48" s="11" t="n">
        <f aca="false">IF(F48="đệm",0,INDEX(pool2!$F:$F,G48+2))</f>
        <v>0.0611427873</v>
      </c>
      <c r="J48" s="12" t="n">
        <f aca="false">(($B$4*16+A48)*3+B48)*3+C48</f>
        <v>32</v>
      </c>
      <c r="K48" s="12" t="n">
        <f aca="false">J48+1224</f>
        <v>1256</v>
      </c>
      <c r="L48" s="12" t="n">
        <f aca="false">K48+1</f>
        <v>1257</v>
      </c>
      <c r="M48" s="13" t="n">
        <f aca="false">INDEX(weights!$H:$H,K48+2)</f>
        <v>-0.15474692</v>
      </c>
      <c r="N48" s="14" t="n">
        <f aca="false">I48*M48</f>
        <v>-0.00946165801489012</v>
      </c>
      <c r="O48" s="15" t="n">
        <f aca="false">O47+N48</f>
        <v>-2.08768944256745</v>
      </c>
    </row>
    <row r="49" customFormat="false" ht="15" hidden="false" customHeight="false" outlineLevel="0" collapsed="false">
      <c r="A49" s="10" t="n">
        <v>3</v>
      </c>
      <c r="B49" s="10" t="n">
        <v>2</v>
      </c>
      <c r="C49" s="10" t="n">
        <v>0</v>
      </c>
      <c r="D49" s="10" t="n">
        <f aca="false">$B$5+B49-1</f>
        <v>4</v>
      </c>
      <c r="E49" s="10" t="n">
        <f aca="false">$B$6+C49-1</f>
        <v>2</v>
      </c>
      <c r="F49" s="10" t="str">
        <f aca="false">IF(OR(D49&lt;0,D49&gt;6,E49&lt;0,E49&gt;6),"đệm","ảnh")</f>
        <v>ảnh</v>
      </c>
      <c r="G49" s="10" t="n">
        <f aca="false">IF(F49="đệm","—",(A49*7+D49)*7+E49)</f>
        <v>177</v>
      </c>
      <c r="H49" s="10" t="n">
        <f aca="false">IF(F49="đệm","—",G49+1)</f>
        <v>178</v>
      </c>
      <c r="I49" s="11" t="n">
        <f aca="false">IF(F49="đệm",0,INDEX(pool2!$F:$F,G49+2))</f>
        <v>1.3709141</v>
      </c>
      <c r="J49" s="12" t="n">
        <f aca="false">(($B$4*16+A49)*3+B49)*3+C49</f>
        <v>33</v>
      </c>
      <c r="K49" s="12" t="n">
        <f aca="false">J49+1224</f>
        <v>1257</v>
      </c>
      <c r="L49" s="12" t="n">
        <f aca="false">K49+1</f>
        <v>1258</v>
      </c>
      <c r="M49" s="13" t="n">
        <f aca="false">INDEX(weights!$H:$H,K49+2)</f>
        <v>-0.329080492</v>
      </c>
      <c r="N49" s="14" t="n">
        <f aca="false">I49*M49</f>
        <v>-0.451141086517737</v>
      </c>
      <c r="O49" s="15" t="n">
        <f aca="false">O48+N49</f>
        <v>-2.53883052908519</v>
      </c>
    </row>
    <row r="50" customFormat="false" ht="15" hidden="false" customHeight="false" outlineLevel="0" collapsed="false">
      <c r="A50" s="10" t="n">
        <v>3</v>
      </c>
      <c r="B50" s="10" t="n">
        <v>2</v>
      </c>
      <c r="C50" s="10" t="n">
        <v>1</v>
      </c>
      <c r="D50" s="10" t="n">
        <f aca="false">$B$5+B50-1</f>
        <v>4</v>
      </c>
      <c r="E50" s="10" t="n">
        <f aca="false">$B$6+C50-1</f>
        <v>3</v>
      </c>
      <c r="F50" s="10" t="str">
        <f aca="false">IF(OR(D50&lt;0,D50&gt;6,E50&lt;0,E50&gt;6),"đệm","ảnh")</f>
        <v>ảnh</v>
      </c>
      <c r="G50" s="10" t="n">
        <f aca="false">IF(F50="đệm","—",(A50*7+D50)*7+E50)</f>
        <v>178</v>
      </c>
      <c r="H50" s="10" t="n">
        <f aca="false">IF(F50="đệm","—",G50+1)</f>
        <v>179</v>
      </c>
      <c r="I50" s="11" t="n">
        <f aca="false">IF(F50="đệm",0,INDEX(pool2!$F:$F,G50+2))</f>
        <v>0</v>
      </c>
      <c r="J50" s="12" t="n">
        <f aca="false">(($B$4*16+A50)*3+B50)*3+C50</f>
        <v>34</v>
      </c>
      <c r="K50" s="12" t="n">
        <f aca="false">J50+1224</f>
        <v>1258</v>
      </c>
      <c r="L50" s="12" t="n">
        <f aca="false">K50+1</f>
        <v>1259</v>
      </c>
      <c r="M50" s="13" t="n">
        <f aca="false">INDEX(weights!$H:$H,K50+2)</f>
        <v>-0.0220668949</v>
      </c>
      <c r="N50" s="14" t="n">
        <f aca="false">I50*M50</f>
        <v>-0</v>
      </c>
      <c r="O50" s="15" t="n">
        <f aca="false">O49+N50</f>
        <v>-2.53883052908519</v>
      </c>
    </row>
    <row r="51" customFormat="false" ht="15" hidden="false" customHeight="false" outlineLevel="0" collapsed="false">
      <c r="A51" s="16" t="n">
        <v>3</v>
      </c>
      <c r="B51" s="16" t="n">
        <v>2</v>
      </c>
      <c r="C51" s="16" t="n">
        <v>2</v>
      </c>
      <c r="D51" s="16" t="n">
        <f aca="false">$B$5+B51-1</f>
        <v>4</v>
      </c>
      <c r="E51" s="16" t="n">
        <f aca="false">$B$6+C51-1</f>
        <v>4</v>
      </c>
      <c r="F51" s="16" t="str">
        <f aca="false">IF(OR(D51&lt;0,D51&gt;6,E51&lt;0,E51&gt;6),"đệm","ảnh")</f>
        <v>ảnh</v>
      </c>
      <c r="G51" s="16" t="n">
        <f aca="false">IF(F51="đệm","—",(A51*7+D51)*7+E51)</f>
        <v>179</v>
      </c>
      <c r="H51" s="16" t="n">
        <f aca="false">IF(F51="đệm","—",G51+1)</f>
        <v>180</v>
      </c>
      <c r="I51" s="17" t="n">
        <f aca="false">IF(F51="đệm",0,INDEX(pool2!$F:$F,G51+2))</f>
        <v>0.417253554</v>
      </c>
      <c r="J51" s="18" t="n">
        <f aca="false">(($B$4*16+A51)*3+B51)*3+C51</f>
        <v>35</v>
      </c>
      <c r="K51" s="18" t="n">
        <f aca="false">J51+1224</f>
        <v>1259</v>
      </c>
      <c r="L51" s="18" t="n">
        <f aca="false">K51+1</f>
        <v>1260</v>
      </c>
      <c r="M51" s="19" t="n">
        <f aca="false">INDEX(weights!$H:$H,K51+2)</f>
        <v>-0.287690312</v>
      </c>
      <c r="N51" s="20" t="n">
        <f aca="false">I51*M51</f>
        <v>-0.120039805133369</v>
      </c>
      <c r="O51" s="21" t="n">
        <f aca="false">O50+N51</f>
        <v>-2.65887033421856</v>
      </c>
    </row>
    <row r="52" customFormat="false" ht="15" hidden="false" customHeight="false" outlineLevel="0" collapsed="false">
      <c r="A52" s="10" t="n">
        <v>4</v>
      </c>
      <c r="B52" s="10" t="n">
        <v>0</v>
      </c>
      <c r="C52" s="10" t="n">
        <v>0</v>
      </c>
      <c r="D52" s="10" t="n">
        <f aca="false">$B$5+B52-1</f>
        <v>2</v>
      </c>
      <c r="E52" s="10" t="n">
        <f aca="false">$B$6+C52-1</f>
        <v>2</v>
      </c>
      <c r="F52" s="10" t="str">
        <f aca="false">IF(OR(D52&lt;0,D52&gt;6,E52&lt;0,E52&gt;6),"đệm","ảnh")</f>
        <v>ảnh</v>
      </c>
      <c r="G52" s="10" t="n">
        <f aca="false">IF(F52="đệm","—",(A52*7+D52)*7+E52)</f>
        <v>212</v>
      </c>
      <c r="H52" s="10" t="n">
        <f aca="false">IF(F52="đệm","—",G52+1)</f>
        <v>213</v>
      </c>
      <c r="I52" s="11" t="n">
        <f aca="false">IF(F52="đệm",0,INDEX(pool2!$F:$F,G52+2))</f>
        <v>0.683881819</v>
      </c>
      <c r="J52" s="12" t="n">
        <f aca="false">(($B$4*16+A52)*3+B52)*3+C52</f>
        <v>36</v>
      </c>
      <c r="K52" s="12" t="n">
        <f aca="false">J52+1224</f>
        <v>1260</v>
      </c>
      <c r="L52" s="12" t="n">
        <f aca="false">K52+1</f>
        <v>1261</v>
      </c>
      <c r="M52" s="13" t="n">
        <f aca="false">INDEX(weights!$H:$H,K52+2)</f>
        <v>-0.199129</v>
      </c>
      <c r="N52" s="14" t="n">
        <f aca="false">I52*M52</f>
        <v>-0.136180702735651</v>
      </c>
      <c r="O52" s="15" t="n">
        <f aca="false">O51+N52</f>
        <v>-2.79505103695421</v>
      </c>
    </row>
    <row r="53" customFormat="false" ht="15" hidden="false" customHeight="false" outlineLevel="0" collapsed="false">
      <c r="A53" s="10" t="n">
        <v>4</v>
      </c>
      <c r="B53" s="10" t="n">
        <v>0</v>
      </c>
      <c r="C53" s="10" t="n">
        <v>1</v>
      </c>
      <c r="D53" s="10" t="n">
        <f aca="false">$B$5+B53-1</f>
        <v>2</v>
      </c>
      <c r="E53" s="10" t="n">
        <f aca="false">$B$6+C53-1</f>
        <v>3</v>
      </c>
      <c r="F53" s="10" t="str">
        <f aca="false">IF(OR(D53&lt;0,D53&gt;6,E53&lt;0,E53&gt;6),"đệm","ảnh")</f>
        <v>ảnh</v>
      </c>
      <c r="G53" s="10" t="n">
        <f aca="false">IF(F53="đệm","—",(A53*7+D53)*7+E53)</f>
        <v>213</v>
      </c>
      <c r="H53" s="10" t="n">
        <f aca="false">IF(F53="đệm","—",G53+1)</f>
        <v>214</v>
      </c>
      <c r="I53" s="11" t="n">
        <f aca="false">IF(F53="đệm",0,INDEX(pool2!$F:$F,G53+2))</f>
        <v>2.6520102</v>
      </c>
      <c r="J53" s="12" t="n">
        <f aca="false">(($B$4*16+A53)*3+B53)*3+C53</f>
        <v>37</v>
      </c>
      <c r="K53" s="12" t="n">
        <f aca="false">J53+1224</f>
        <v>1261</v>
      </c>
      <c r="L53" s="12" t="n">
        <f aca="false">K53+1</f>
        <v>1262</v>
      </c>
      <c r="M53" s="13" t="n">
        <f aca="false">INDEX(weights!$H:$H,K53+2)</f>
        <v>0.173129767</v>
      </c>
      <c r="N53" s="14" t="n">
        <f aca="false">I53*M53</f>
        <v>0.459141908007623</v>
      </c>
      <c r="O53" s="15" t="n">
        <f aca="false">O52+N53</f>
        <v>-2.33590912894658</v>
      </c>
    </row>
    <row r="54" customFormat="false" ht="15" hidden="false" customHeight="false" outlineLevel="0" collapsed="false">
      <c r="A54" s="10" t="n">
        <v>4</v>
      </c>
      <c r="B54" s="10" t="n">
        <v>0</v>
      </c>
      <c r="C54" s="10" t="n">
        <v>2</v>
      </c>
      <c r="D54" s="10" t="n">
        <f aca="false">$B$5+B54-1</f>
        <v>2</v>
      </c>
      <c r="E54" s="10" t="n">
        <f aca="false">$B$6+C54-1</f>
        <v>4</v>
      </c>
      <c r="F54" s="10" t="str">
        <f aca="false">IF(OR(D54&lt;0,D54&gt;6,E54&lt;0,E54&gt;6),"đệm","ảnh")</f>
        <v>ảnh</v>
      </c>
      <c r="G54" s="10" t="n">
        <f aca="false">IF(F54="đệm","—",(A54*7+D54)*7+E54)</f>
        <v>214</v>
      </c>
      <c r="H54" s="10" t="n">
        <f aca="false">IF(F54="đệm","—",G54+1)</f>
        <v>215</v>
      </c>
      <c r="I54" s="11" t="n">
        <f aca="false">IF(F54="đệm",0,INDEX(pool2!$F:$F,G54+2))</f>
        <v>7.81758022</v>
      </c>
      <c r="J54" s="12" t="n">
        <f aca="false">(($B$4*16+A54)*3+B54)*3+C54</f>
        <v>38</v>
      </c>
      <c r="K54" s="12" t="n">
        <f aca="false">J54+1224</f>
        <v>1262</v>
      </c>
      <c r="L54" s="12" t="n">
        <f aca="false">K54+1</f>
        <v>1263</v>
      </c>
      <c r="M54" s="13" t="n">
        <f aca="false">INDEX(weights!$H:$H,K54+2)</f>
        <v>0.250363916</v>
      </c>
      <c r="N54" s="14" t="n">
        <f aca="false">I54*M54</f>
        <v>1.95723999752334</v>
      </c>
      <c r="O54" s="15" t="n">
        <f aca="false">O53+N54</f>
        <v>-0.378669131423242</v>
      </c>
    </row>
    <row r="55" customFormat="false" ht="15" hidden="false" customHeight="false" outlineLevel="0" collapsed="false">
      <c r="A55" s="10" t="n">
        <v>4</v>
      </c>
      <c r="B55" s="10" t="n">
        <v>1</v>
      </c>
      <c r="C55" s="10" t="n">
        <v>0</v>
      </c>
      <c r="D55" s="10" t="n">
        <f aca="false">$B$5+B55-1</f>
        <v>3</v>
      </c>
      <c r="E55" s="10" t="n">
        <f aca="false">$B$6+C55-1</f>
        <v>2</v>
      </c>
      <c r="F55" s="10" t="str">
        <f aca="false">IF(OR(D55&lt;0,D55&gt;6,E55&lt;0,E55&gt;6),"đệm","ảnh")</f>
        <v>ảnh</v>
      </c>
      <c r="G55" s="10" t="n">
        <f aca="false">IF(F55="đệm","—",(A55*7+D55)*7+E55)</f>
        <v>219</v>
      </c>
      <c r="H55" s="10" t="n">
        <f aca="false">IF(F55="đệm","—",G55+1)</f>
        <v>220</v>
      </c>
      <c r="I55" s="11" t="n">
        <f aca="false">IF(F55="đệm",0,INDEX(pool2!$F:$F,G55+2))</f>
        <v>0</v>
      </c>
      <c r="J55" s="12" t="n">
        <f aca="false">(($B$4*16+A55)*3+B55)*3+C55</f>
        <v>39</v>
      </c>
      <c r="K55" s="12" t="n">
        <f aca="false">J55+1224</f>
        <v>1263</v>
      </c>
      <c r="L55" s="12" t="n">
        <f aca="false">K55+1</f>
        <v>1264</v>
      </c>
      <c r="M55" s="13" t="n">
        <f aca="false">INDEX(weights!$H:$H,K55+2)</f>
        <v>0.129915655</v>
      </c>
      <c r="N55" s="14" t="n">
        <f aca="false">I55*M55</f>
        <v>0</v>
      </c>
      <c r="O55" s="15" t="n">
        <f aca="false">O54+N55</f>
        <v>-0.378669131423242</v>
      </c>
    </row>
    <row r="56" customFormat="false" ht="15" hidden="false" customHeight="false" outlineLevel="0" collapsed="false">
      <c r="A56" s="10" t="n">
        <v>4</v>
      </c>
      <c r="B56" s="10" t="n">
        <v>1</v>
      </c>
      <c r="C56" s="10" t="n">
        <v>1</v>
      </c>
      <c r="D56" s="10" t="n">
        <f aca="false">$B$5+B56-1</f>
        <v>3</v>
      </c>
      <c r="E56" s="10" t="n">
        <f aca="false">$B$6+C56-1</f>
        <v>3</v>
      </c>
      <c r="F56" s="10" t="str">
        <f aca="false">IF(OR(D56&lt;0,D56&gt;6,E56&lt;0,E56&gt;6),"đệm","ảnh")</f>
        <v>ảnh</v>
      </c>
      <c r="G56" s="10" t="n">
        <f aca="false">IF(F56="đệm","—",(A56*7+D56)*7+E56)</f>
        <v>220</v>
      </c>
      <c r="H56" s="10" t="n">
        <f aca="false">IF(F56="đệm","—",G56+1)</f>
        <v>221</v>
      </c>
      <c r="I56" s="11" t="n">
        <f aca="false">IF(F56="đệm",0,INDEX(pool2!$F:$F,G56+2))</f>
        <v>6.82287025</v>
      </c>
      <c r="J56" s="12" t="n">
        <f aca="false">(($B$4*16+A56)*3+B56)*3+C56</f>
        <v>40</v>
      </c>
      <c r="K56" s="12" t="n">
        <f aca="false">J56+1224</f>
        <v>1264</v>
      </c>
      <c r="L56" s="12" t="n">
        <f aca="false">K56+1</f>
        <v>1265</v>
      </c>
      <c r="M56" s="13" t="n">
        <f aca="false">INDEX(weights!$H:$H,K56+2)</f>
        <v>0.1211318</v>
      </c>
      <c r="N56" s="14" t="n">
        <f aca="false">I56*M56</f>
        <v>0.82646655454895</v>
      </c>
      <c r="O56" s="15" t="n">
        <f aca="false">O55+N56</f>
        <v>0.447797423125708</v>
      </c>
    </row>
    <row r="57" customFormat="false" ht="15" hidden="false" customHeight="false" outlineLevel="0" collapsed="false">
      <c r="A57" s="10" t="n">
        <v>4</v>
      </c>
      <c r="B57" s="10" t="n">
        <v>1</v>
      </c>
      <c r="C57" s="10" t="n">
        <v>2</v>
      </c>
      <c r="D57" s="10" t="n">
        <f aca="false">$B$5+B57-1</f>
        <v>3</v>
      </c>
      <c r="E57" s="10" t="n">
        <f aca="false">$B$6+C57-1</f>
        <v>4</v>
      </c>
      <c r="F57" s="10" t="str">
        <f aca="false">IF(OR(D57&lt;0,D57&gt;6,E57&lt;0,E57&gt;6),"đệm","ảnh")</f>
        <v>ảnh</v>
      </c>
      <c r="G57" s="10" t="n">
        <f aca="false">IF(F57="đệm","—",(A57*7+D57)*7+E57)</f>
        <v>221</v>
      </c>
      <c r="H57" s="10" t="n">
        <f aca="false">IF(F57="đệm","—",G57+1)</f>
        <v>222</v>
      </c>
      <c r="I57" s="11" t="n">
        <f aca="false">IF(F57="đệm",0,INDEX(pool2!$F:$F,G57+2))</f>
        <v>5.27686977</v>
      </c>
      <c r="J57" s="12" t="n">
        <f aca="false">(($B$4*16+A57)*3+B57)*3+C57</f>
        <v>41</v>
      </c>
      <c r="K57" s="12" t="n">
        <f aca="false">J57+1224</f>
        <v>1265</v>
      </c>
      <c r="L57" s="12" t="n">
        <f aca="false">K57+1</f>
        <v>1266</v>
      </c>
      <c r="M57" s="13" t="n">
        <f aca="false">INDEX(weights!$H:$H,K57+2)</f>
        <v>0.0752384886</v>
      </c>
      <c r="N57" s="14" t="n">
        <f aca="false">I57*M57</f>
        <v>0.39702370603383</v>
      </c>
      <c r="O57" s="15" t="n">
        <f aca="false">O56+N57</f>
        <v>0.844821129159537</v>
      </c>
    </row>
    <row r="58" customFormat="false" ht="15" hidden="false" customHeight="false" outlineLevel="0" collapsed="false">
      <c r="A58" s="10" t="n">
        <v>4</v>
      </c>
      <c r="B58" s="10" t="n">
        <v>2</v>
      </c>
      <c r="C58" s="10" t="n">
        <v>0</v>
      </c>
      <c r="D58" s="10" t="n">
        <f aca="false">$B$5+B58-1</f>
        <v>4</v>
      </c>
      <c r="E58" s="10" t="n">
        <f aca="false">$B$6+C58-1</f>
        <v>2</v>
      </c>
      <c r="F58" s="10" t="str">
        <f aca="false">IF(OR(D58&lt;0,D58&gt;6,E58&lt;0,E58&gt;6),"đệm","ảnh")</f>
        <v>ảnh</v>
      </c>
      <c r="G58" s="10" t="n">
        <f aca="false">IF(F58="đệm","—",(A58*7+D58)*7+E58)</f>
        <v>226</v>
      </c>
      <c r="H58" s="10" t="n">
        <f aca="false">IF(F58="đệm","—",G58+1)</f>
        <v>227</v>
      </c>
      <c r="I58" s="11" t="n">
        <f aca="false">IF(F58="đệm",0,INDEX(pool2!$F:$F,G58+2))</f>
        <v>2.61449766</v>
      </c>
      <c r="J58" s="12" t="n">
        <f aca="false">(($B$4*16+A58)*3+B58)*3+C58</f>
        <v>42</v>
      </c>
      <c r="K58" s="12" t="n">
        <f aca="false">J58+1224</f>
        <v>1266</v>
      </c>
      <c r="L58" s="12" t="n">
        <f aca="false">K58+1</f>
        <v>1267</v>
      </c>
      <c r="M58" s="13" t="n">
        <f aca="false">INDEX(weights!$H:$H,K58+2)</f>
        <v>0.0706612468</v>
      </c>
      <c r="N58" s="14" t="n">
        <f aca="false">I58*M58</f>
        <v>0.184743664411282</v>
      </c>
      <c r="O58" s="15" t="n">
        <f aca="false">O57+N58</f>
        <v>1.02956479357082</v>
      </c>
    </row>
    <row r="59" customFormat="false" ht="15" hidden="false" customHeight="false" outlineLevel="0" collapsed="false">
      <c r="A59" s="10" t="n">
        <v>4</v>
      </c>
      <c r="B59" s="10" t="n">
        <v>2</v>
      </c>
      <c r="C59" s="10" t="n">
        <v>1</v>
      </c>
      <c r="D59" s="10" t="n">
        <f aca="false">$B$5+B59-1</f>
        <v>4</v>
      </c>
      <c r="E59" s="10" t="n">
        <f aca="false">$B$6+C59-1</f>
        <v>3</v>
      </c>
      <c r="F59" s="10" t="str">
        <f aca="false">IF(OR(D59&lt;0,D59&gt;6,E59&lt;0,E59&gt;6),"đệm","ảnh")</f>
        <v>ảnh</v>
      </c>
      <c r="G59" s="10" t="n">
        <f aca="false">IF(F59="đệm","—",(A59*7+D59)*7+E59)</f>
        <v>227</v>
      </c>
      <c r="H59" s="10" t="n">
        <f aca="false">IF(F59="đệm","—",G59+1)</f>
        <v>228</v>
      </c>
      <c r="I59" s="11" t="n">
        <f aca="false">IF(F59="đệm",0,INDEX(pool2!$F:$F,G59+2))</f>
        <v>4.79451084</v>
      </c>
      <c r="J59" s="12" t="n">
        <f aca="false">(($B$4*16+A59)*3+B59)*3+C59</f>
        <v>43</v>
      </c>
      <c r="K59" s="12" t="n">
        <f aca="false">J59+1224</f>
        <v>1267</v>
      </c>
      <c r="L59" s="12" t="n">
        <f aca="false">K59+1</f>
        <v>1268</v>
      </c>
      <c r="M59" s="13" t="n">
        <f aca="false">INDEX(weights!$H:$H,K59+2)</f>
        <v>-0.11458008</v>
      </c>
      <c r="N59" s="14" t="n">
        <f aca="false">I59*M59</f>
        <v>-0.549355435608067</v>
      </c>
      <c r="O59" s="15" t="n">
        <f aca="false">O58+N59</f>
        <v>0.480209357962752</v>
      </c>
    </row>
    <row r="60" customFormat="false" ht="15" hidden="false" customHeight="false" outlineLevel="0" collapsed="false">
      <c r="A60" s="16" t="n">
        <v>4</v>
      </c>
      <c r="B60" s="16" t="n">
        <v>2</v>
      </c>
      <c r="C60" s="16" t="n">
        <v>2</v>
      </c>
      <c r="D60" s="16" t="n">
        <f aca="false">$B$5+B60-1</f>
        <v>4</v>
      </c>
      <c r="E60" s="16" t="n">
        <f aca="false">$B$6+C60-1</f>
        <v>4</v>
      </c>
      <c r="F60" s="16" t="str">
        <f aca="false">IF(OR(D60&lt;0,D60&gt;6,E60&lt;0,E60&gt;6),"đệm","ảnh")</f>
        <v>ảnh</v>
      </c>
      <c r="G60" s="16" t="n">
        <f aca="false">IF(F60="đệm","—",(A60*7+D60)*7+E60)</f>
        <v>228</v>
      </c>
      <c r="H60" s="16" t="n">
        <f aca="false">IF(F60="đệm","—",G60+1)</f>
        <v>229</v>
      </c>
      <c r="I60" s="17" t="n">
        <f aca="false">IF(F60="đệm",0,INDEX(pool2!$F:$F,G60+2))</f>
        <v>0</v>
      </c>
      <c r="J60" s="18" t="n">
        <f aca="false">(($B$4*16+A60)*3+B60)*3+C60</f>
        <v>44</v>
      </c>
      <c r="K60" s="18" t="n">
        <f aca="false">J60+1224</f>
        <v>1268</v>
      </c>
      <c r="L60" s="18" t="n">
        <f aca="false">K60+1</f>
        <v>1269</v>
      </c>
      <c r="M60" s="19" t="n">
        <f aca="false">INDEX(weights!$H:$H,K60+2)</f>
        <v>-0.0170100126</v>
      </c>
      <c r="N60" s="20" t="n">
        <f aca="false">I60*M60</f>
        <v>-0</v>
      </c>
      <c r="O60" s="21" t="n">
        <f aca="false">O59+N60</f>
        <v>0.480209357962752</v>
      </c>
    </row>
    <row r="61" customFormat="false" ht="15" hidden="false" customHeight="false" outlineLevel="0" collapsed="false">
      <c r="A61" s="10" t="n">
        <v>5</v>
      </c>
      <c r="B61" s="10" t="n">
        <v>0</v>
      </c>
      <c r="C61" s="10" t="n">
        <v>0</v>
      </c>
      <c r="D61" s="10" t="n">
        <f aca="false">$B$5+B61-1</f>
        <v>2</v>
      </c>
      <c r="E61" s="10" t="n">
        <f aca="false">$B$6+C61-1</f>
        <v>2</v>
      </c>
      <c r="F61" s="10" t="str">
        <f aca="false">IF(OR(D61&lt;0,D61&gt;6,E61&lt;0,E61&gt;6),"đệm","ảnh")</f>
        <v>ảnh</v>
      </c>
      <c r="G61" s="10" t="n">
        <f aca="false">IF(F61="đệm","—",(A61*7+D61)*7+E61)</f>
        <v>261</v>
      </c>
      <c r="H61" s="10" t="n">
        <f aca="false">IF(F61="đệm","—",G61+1)</f>
        <v>262</v>
      </c>
      <c r="I61" s="11" t="n">
        <f aca="false">IF(F61="đệm",0,INDEX(pool2!$F:$F,G61+2))</f>
        <v>9.04720497</v>
      </c>
      <c r="J61" s="12" t="n">
        <f aca="false">(($B$4*16+A61)*3+B61)*3+C61</f>
        <v>45</v>
      </c>
      <c r="K61" s="12" t="n">
        <f aca="false">J61+1224</f>
        <v>1269</v>
      </c>
      <c r="L61" s="12" t="n">
        <f aca="false">K61+1</f>
        <v>1270</v>
      </c>
      <c r="M61" s="13" t="n">
        <f aca="false">INDEX(weights!$H:$H,K61+2)</f>
        <v>0.0797530562</v>
      </c>
      <c r="N61" s="14" t="n">
        <f aca="false">I61*M61</f>
        <v>0.721542246425329</v>
      </c>
      <c r="O61" s="15" t="n">
        <f aca="false">O60+N61</f>
        <v>1.20175160438808</v>
      </c>
    </row>
    <row r="62" customFormat="false" ht="15" hidden="false" customHeight="false" outlineLevel="0" collapsed="false">
      <c r="A62" s="10" t="n">
        <v>5</v>
      </c>
      <c r="B62" s="10" t="n">
        <v>0</v>
      </c>
      <c r="C62" s="10" t="n">
        <v>1</v>
      </c>
      <c r="D62" s="10" t="n">
        <f aca="false">$B$5+B62-1</f>
        <v>2</v>
      </c>
      <c r="E62" s="10" t="n">
        <f aca="false">$B$6+C62-1</f>
        <v>3</v>
      </c>
      <c r="F62" s="10" t="str">
        <f aca="false">IF(OR(D62&lt;0,D62&gt;6,E62&lt;0,E62&gt;6),"đệm","ảnh")</f>
        <v>ảnh</v>
      </c>
      <c r="G62" s="10" t="n">
        <f aca="false">IF(F62="đệm","—",(A62*7+D62)*7+E62)</f>
        <v>262</v>
      </c>
      <c r="H62" s="10" t="n">
        <f aca="false">IF(F62="đệm","—",G62+1)</f>
        <v>263</v>
      </c>
      <c r="I62" s="11" t="n">
        <f aca="false">IF(F62="đệm",0,INDEX(pool2!$F:$F,G62+2))</f>
        <v>8.76235104</v>
      </c>
      <c r="J62" s="12" t="n">
        <f aca="false">(($B$4*16+A62)*3+B62)*3+C62</f>
        <v>46</v>
      </c>
      <c r="K62" s="12" t="n">
        <f aca="false">J62+1224</f>
        <v>1270</v>
      </c>
      <c r="L62" s="12" t="n">
        <f aca="false">K62+1</f>
        <v>1271</v>
      </c>
      <c r="M62" s="13" t="n">
        <f aca="false">INDEX(weights!$H:$H,K62+2)</f>
        <v>-0.00916386768</v>
      </c>
      <c r="N62" s="14" t="n">
        <f aca="false">I62*M62</f>
        <v>-0.0802970254962704</v>
      </c>
      <c r="O62" s="15" t="n">
        <f aca="false">O61+N62</f>
        <v>1.12145457889181</v>
      </c>
    </row>
    <row r="63" customFormat="false" ht="15" hidden="false" customHeight="false" outlineLevel="0" collapsed="false">
      <c r="A63" s="10" t="n">
        <v>5</v>
      </c>
      <c r="B63" s="10" t="n">
        <v>0</v>
      </c>
      <c r="C63" s="10" t="n">
        <v>2</v>
      </c>
      <c r="D63" s="10" t="n">
        <f aca="false">$B$5+B63-1</f>
        <v>2</v>
      </c>
      <c r="E63" s="10" t="n">
        <f aca="false">$B$6+C63-1</f>
        <v>4</v>
      </c>
      <c r="F63" s="10" t="str">
        <f aca="false">IF(OR(D63&lt;0,D63&gt;6,E63&lt;0,E63&gt;6),"đệm","ảnh")</f>
        <v>ảnh</v>
      </c>
      <c r="G63" s="10" t="n">
        <f aca="false">IF(F63="đệm","—",(A63*7+D63)*7+E63)</f>
        <v>263</v>
      </c>
      <c r="H63" s="10" t="n">
        <f aca="false">IF(F63="đệm","—",G63+1)</f>
        <v>264</v>
      </c>
      <c r="I63" s="11" t="n">
        <f aca="false">IF(F63="đệm",0,INDEX(pool2!$F:$F,G63+2))</f>
        <v>8.59503078</v>
      </c>
      <c r="J63" s="12" t="n">
        <f aca="false">(($B$4*16+A63)*3+B63)*3+C63</f>
        <v>47</v>
      </c>
      <c r="K63" s="12" t="n">
        <f aca="false">J63+1224</f>
        <v>1271</v>
      </c>
      <c r="L63" s="12" t="n">
        <f aca="false">K63+1</f>
        <v>1272</v>
      </c>
      <c r="M63" s="13" t="n">
        <f aca="false">INDEX(weights!$H:$H,K63+2)</f>
        <v>0.189732403</v>
      </c>
      <c r="N63" s="14" t="n">
        <f aca="false">I63*M63</f>
        <v>1.63075584374836</v>
      </c>
      <c r="O63" s="15" t="n">
        <f aca="false">O62+N63</f>
        <v>2.75221042264018</v>
      </c>
    </row>
    <row r="64" customFormat="false" ht="15" hidden="false" customHeight="false" outlineLevel="0" collapsed="false">
      <c r="A64" s="10" t="n">
        <v>5</v>
      </c>
      <c r="B64" s="10" t="n">
        <v>1</v>
      </c>
      <c r="C64" s="10" t="n">
        <v>0</v>
      </c>
      <c r="D64" s="10" t="n">
        <f aca="false">$B$5+B64-1</f>
        <v>3</v>
      </c>
      <c r="E64" s="10" t="n">
        <f aca="false">$B$6+C64-1</f>
        <v>2</v>
      </c>
      <c r="F64" s="10" t="str">
        <f aca="false">IF(OR(D64&lt;0,D64&gt;6,E64&lt;0,E64&gt;6),"đệm","ảnh")</f>
        <v>ảnh</v>
      </c>
      <c r="G64" s="10" t="n">
        <f aca="false">IF(F64="đệm","—",(A64*7+D64)*7+E64)</f>
        <v>268</v>
      </c>
      <c r="H64" s="10" t="n">
        <f aca="false">IF(F64="đệm","—",G64+1)</f>
        <v>269</v>
      </c>
      <c r="I64" s="11" t="n">
        <f aca="false">IF(F64="đệm",0,INDEX(pool2!$F:$F,G64+2))</f>
        <v>0.0188121721</v>
      </c>
      <c r="J64" s="12" t="n">
        <f aca="false">(($B$4*16+A64)*3+B64)*3+C64</f>
        <v>48</v>
      </c>
      <c r="K64" s="12" t="n">
        <f aca="false">J64+1224</f>
        <v>1272</v>
      </c>
      <c r="L64" s="12" t="n">
        <f aca="false">K64+1</f>
        <v>1273</v>
      </c>
      <c r="M64" s="13" t="n">
        <f aca="false">INDEX(weights!$H:$H,K64+2)</f>
        <v>0.112921923</v>
      </c>
      <c r="N64" s="14" t="n">
        <f aca="false">I64*M64</f>
        <v>0.00212430664933895</v>
      </c>
      <c r="O64" s="15" t="n">
        <f aca="false">O63+N64</f>
        <v>2.75433472928951</v>
      </c>
    </row>
    <row r="65" customFormat="false" ht="15" hidden="false" customHeight="false" outlineLevel="0" collapsed="false">
      <c r="A65" s="10" t="n">
        <v>5</v>
      </c>
      <c r="B65" s="10" t="n">
        <v>1</v>
      </c>
      <c r="C65" s="10" t="n">
        <v>1</v>
      </c>
      <c r="D65" s="10" t="n">
        <f aca="false">$B$5+B65-1</f>
        <v>3</v>
      </c>
      <c r="E65" s="10" t="n">
        <f aca="false">$B$6+C65-1</f>
        <v>3</v>
      </c>
      <c r="F65" s="10" t="str">
        <f aca="false">IF(OR(D65&lt;0,D65&gt;6,E65&lt;0,E65&gt;6),"đệm","ảnh")</f>
        <v>ảnh</v>
      </c>
      <c r="G65" s="10" t="n">
        <f aca="false">IF(F65="đệm","—",(A65*7+D65)*7+E65)</f>
        <v>269</v>
      </c>
      <c r="H65" s="10" t="n">
        <f aca="false">IF(F65="đệm","—",G65+1)</f>
        <v>270</v>
      </c>
      <c r="I65" s="11" t="n">
        <f aca="false">IF(F65="đệm",0,INDEX(pool2!$F:$F,G65+2))</f>
        <v>0.31953764</v>
      </c>
      <c r="J65" s="12" t="n">
        <f aca="false">(($B$4*16+A65)*3+B65)*3+C65</f>
        <v>49</v>
      </c>
      <c r="K65" s="12" t="n">
        <f aca="false">J65+1224</f>
        <v>1273</v>
      </c>
      <c r="L65" s="12" t="n">
        <f aca="false">K65+1</f>
        <v>1274</v>
      </c>
      <c r="M65" s="13" t="n">
        <f aca="false">INDEX(weights!$H:$H,K65+2)</f>
        <v>-0.292021513</v>
      </c>
      <c r="N65" s="14" t="n">
        <f aca="false">I65*M65</f>
        <v>-0.0933118650932493</v>
      </c>
      <c r="O65" s="15" t="n">
        <f aca="false">O64+N65</f>
        <v>2.66102286419626</v>
      </c>
    </row>
    <row r="66" customFormat="false" ht="15" hidden="false" customHeight="false" outlineLevel="0" collapsed="false">
      <c r="A66" s="10" t="n">
        <v>5</v>
      </c>
      <c r="B66" s="10" t="n">
        <v>1</v>
      </c>
      <c r="C66" s="10" t="n">
        <v>2</v>
      </c>
      <c r="D66" s="10" t="n">
        <f aca="false">$B$5+B66-1</f>
        <v>3</v>
      </c>
      <c r="E66" s="10" t="n">
        <f aca="false">$B$6+C66-1</f>
        <v>4</v>
      </c>
      <c r="F66" s="10" t="str">
        <f aca="false">IF(OR(D66&lt;0,D66&gt;6,E66&lt;0,E66&gt;6),"đệm","ảnh")</f>
        <v>ảnh</v>
      </c>
      <c r="G66" s="10" t="n">
        <f aca="false">IF(F66="đệm","—",(A66*7+D66)*7+E66)</f>
        <v>270</v>
      </c>
      <c r="H66" s="10" t="n">
        <f aca="false">IF(F66="đệm","—",G66+1)</f>
        <v>271</v>
      </c>
      <c r="I66" s="11" t="n">
        <f aca="false">IF(F66="đệm",0,INDEX(pool2!$F:$F,G66+2))</f>
        <v>0</v>
      </c>
      <c r="J66" s="12" t="n">
        <f aca="false">(($B$4*16+A66)*3+B66)*3+C66</f>
        <v>50</v>
      </c>
      <c r="K66" s="12" t="n">
        <f aca="false">J66+1224</f>
        <v>1274</v>
      </c>
      <c r="L66" s="12" t="n">
        <f aca="false">K66+1</f>
        <v>1275</v>
      </c>
      <c r="M66" s="13" t="n">
        <f aca="false">INDEX(weights!$H:$H,K66+2)</f>
        <v>-0.283401877</v>
      </c>
      <c r="N66" s="14" t="n">
        <f aca="false">I66*M66</f>
        <v>-0</v>
      </c>
      <c r="O66" s="15" t="n">
        <f aca="false">O65+N66</f>
        <v>2.66102286419626</v>
      </c>
    </row>
    <row r="67" customFormat="false" ht="15" hidden="false" customHeight="false" outlineLevel="0" collapsed="false">
      <c r="A67" s="10" t="n">
        <v>5</v>
      </c>
      <c r="B67" s="10" t="n">
        <v>2</v>
      </c>
      <c r="C67" s="10" t="n">
        <v>0</v>
      </c>
      <c r="D67" s="10" t="n">
        <f aca="false">$B$5+B67-1</f>
        <v>4</v>
      </c>
      <c r="E67" s="10" t="n">
        <f aca="false">$B$6+C67-1</f>
        <v>2</v>
      </c>
      <c r="F67" s="10" t="str">
        <f aca="false">IF(OR(D67&lt;0,D67&gt;6,E67&lt;0,E67&gt;6),"đệm","ảnh")</f>
        <v>ảnh</v>
      </c>
      <c r="G67" s="10" t="n">
        <f aca="false">IF(F67="đệm","—",(A67*7+D67)*7+E67)</f>
        <v>275</v>
      </c>
      <c r="H67" s="10" t="n">
        <f aca="false">IF(F67="đệm","—",G67+1)</f>
        <v>276</v>
      </c>
      <c r="I67" s="11" t="n">
        <f aca="false">IF(F67="đệm",0,INDEX(pool2!$F:$F,G67+2))</f>
        <v>0.795341432</v>
      </c>
      <c r="J67" s="12" t="n">
        <f aca="false">(($B$4*16+A67)*3+B67)*3+C67</f>
        <v>51</v>
      </c>
      <c r="K67" s="12" t="n">
        <f aca="false">J67+1224</f>
        <v>1275</v>
      </c>
      <c r="L67" s="12" t="n">
        <f aca="false">K67+1</f>
        <v>1276</v>
      </c>
      <c r="M67" s="13" t="n">
        <f aca="false">INDEX(weights!$H:$H,K67+2)</f>
        <v>0.0515695438</v>
      </c>
      <c r="N67" s="14" t="n">
        <f aca="false">I67*M67</f>
        <v>0.0410153948134787</v>
      </c>
      <c r="O67" s="15" t="n">
        <f aca="false">O66+N67</f>
        <v>2.70203825900974</v>
      </c>
    </row>
    <row r="68" customFormat="false" ht="15" hidden="false" customHeight="false" outlineLevel="0" collapsed="false">
      <c r="A68" s="10" t="n">
        <v>5</v>
      </c>
      <c r="B68" s="10" t="n">
        <v>2</v>
      </c>
      <c r="C68" s="10" t="n">
        <v>1</v>
      </c>
      <c r="D68" s="10" t="n">
        <f aca="false">$B$5+B68-1</f>
        <v>4</v>
      </c>
      <c r="E68" s="10" t="n">
        <f aca="false">$B$6+C68-1</f>
        <v>3</v>
      </c>
      <c r="F68" s="10" t="str">
        <f aca="false">IF(OR(D68&lt;0,D68&gt;6,E68&lt;0,E68&gt;6),"đệm","ảnh")</f>
        <v>ảnh</v>
      </c>
      <c r="G68" s="10" t="n">
        <f aca="false">IF(F68="đệm","—",(A68*7+D68)*7+E68)</f>
        <v>276</v>
      </c>
      <c r="H68" s="10" t="n">
        <f aca="false">IF(F68="đệm","—",G68+1)</f>
        <v>277</v>
      </c>
      <c r="I68" s="11" t="n">
        <f aca="false">IF(F68="đệm",0,INDEX(pool2!$F:$F,G68+2))</f>
        <v>0</v>
      </c>
      <c r="J68" s="12" t="n">
        <f aca="false">(($B$4*16+A68)*3+B68)*3+C68</f>
        <v>52</v>
      </c>
      <c r="K68" s="12" t="n">
        <f aca="false">J68+1224</f>
        <v>1276</v>
      </c>
      <c r="L68" s="12" t="n">
        <f aca="false">K68+1</f>
        <v>1277</v>
      </c>
      <c r="M68" s="13" t="n">
        <f aca="false">INDEX(weights!$H:$H,K68+2)</f>
        <v>-0.424731463</v>
      </c>
      <c r="N68" s="14" t="n">
        <f aca="false">I68*M68</f>
        <v>-0</v>
      </c>
      <c r="O68" s="15" t="n">
        <f aca="false">O67+N68</f>
        <v>2.70203825900974</v>
      </c>
    </row>
    <row r="69" customFormat="false" ht="15" hidden="false" customHeight="false" outlineLevel="0" collapsed="false">
      <c r="A69" s="16" t="n">
        <v>5</v>
      </c>
      <c r="B69" s="16" t="n">
        <v>2</v>
      </c>
      <c r="C69" s="16" t="n">
        <v>2</v>
      </c>
      <c r="D69" s="16" t="n">
        <f aca="false">$B$5+B69-1</f>
        <v>4</v>
      </c>
      <c r="E69" s="16" t="n">
        <f aca="false">$B$6+C69-1</f>
        <v>4</v>
      </c>
      <c r="F69" s="16" t="str">
        <f aca="false">IF(OR(D69&lt;0,D69&gt;6,E69&lt;0,E69&gt;6),"đệm","ảnh")</f>
        <v>ảnh</v>
      </c>
      <c r="G69" s="16" t="n">
        <f aca="false">IF(F69="đệm","—",(A69*7+D69)*7+E69)</f>
        <v>277</v>
      </c>
      <c r="H69" s="16" t="n">
        <f aca="false">IF(F69="đệm","—",G69+1)</f>
        <v>278</v>
      </c>
      <c r="I69" s="17" t="n">
        <f aca="false">IF(F69="đệm",0,INDEX(pool2!$F:$F,G69+2))</f>
        <v>0</v>
      </c>
      <c r="J69" s="18" t="n">
        <f aca="false">(($B$4*16+A69)*3+B69)*3+C69</f>
        <v>53</v>
      </c>
      <c r="K69" s="18" t="n">
        <f aca="false">J69+1224</f>
        <v>1277</v>
      </c>
      <c r="L69" s="18" t="n">
        <f aca="false">K69+1</f>
        <v>1278</v>
      </c>
      <c r="M69" s="19" t="n">
        <f aca="false">INDEX(weights!$H:$H,K69+2)</f>
        <v>-0.187197655</v>
      </c>
      <c r="N69" s="20" t="n">
        <f aca="false">I69*M69</f>
        <v>-0</v>
      </c>
      <c r="O69" s="21" t="n">
        <f aca="false">O68+N69</f>
        <v>2.70203825900974</v>
      </c>
    </row>
    <row r="70" customFormat="false" ht="15" hidden="false" customHeight="false" outlineLevel="0" collapsed="false">
      <c r="A70" s="10" t="n">
        <v>6</v>
      </c>
      <c r="B70" s="10" t="n">
        <v>0</v>
      </c>
      <c r="C70" s="10" t="n">
        <v>0</v>
      </c>
      <c r="D70" s="10" t="n">
        <f aca="false">$B$5+B70-1</f>
        <v>2</v>
      </c>
      <c r="E70" s="10" t="n">
        <f aca="false">$B$6+C70-1</f>
        <v>2</v>
      </c>
      <c r="F70" s="10" t="str">
        <f aca="false">IF(OR(D70&lt;0,D70&gt;6,E70&lt;0,E70&gt;6),"đệm","ảnh")</f>
        <v>ảnh</v>
      </c>
      <c r="G70" s="10" t="n">
        <f aca="false">IF(F70="đệm","—",(A70*7+D70)*7+E70)</f>
        <v>310</v>
      </c>
      <c r="H70" s="10" t="n">
        <f aca="false">IF(F70="đệm","—",G70+1)</f>
        <v>311</v>
      </c>
      <c r="I70" s="11" t="n">
        <f aca="false">IF(F70="đệm",0,INDEX(pool2!$F:$F,G70+2))</f>
        <v>6.70926332</v>
      </c>
      <c r="J70" s="12" t="n">
        <f aca="false">(($B$4*16+A70)*3+B70)*3+C70</f>
        <v>54</v>
      </c>
      <c r="K70" s="12" t="n">
        <f aca="false">J70+1224</f>
        <v>1278</v>
      </c>
      <c r="L70" s="12" t="n">
        <f aca="false">K70+1</f>
        <v>1279</v>
      </c>
      <c r="M70" s="13" t="n">
        <f aca="false">INDEX(weights!$H:$H,K70+2)</f>
        <v>-0.144680053</v>
      </c>
      <c r="N70" s="14" t="n">
        <f aca="false">I70*M70</f>
        <v>-0.970696572728556</v>
      </c>
      <c r="O70" s="15" t="n">
        <f aca="false">O69+N70</f>
        <v>1.73134168628119</v>
      </c>
    </row>
    <row r="71" customFormat="false" ht="15" hidden="false" customHeight="false" outlineLevel="0" collapsed="false">
      <c r="A71" s="10" t="n">
        <v>6</v>
      </c>
      <c r="B71" s="10" t="n">
        <v>0</v>
      </c>
      <c r="C71" s="10" t="n">
        <v>1</v>
      </c>
      <c r="D71" s="10" t="n">
        <f aca="false">$B$5+B71-1</f>
        <v>2</v>
      </c>
      <c r="E71" s="10" t="n">
        <f aca="false">$B$6+C71-1</f>
        <v>3</v>
      </c>
      <c r="F71" s="10" t="str">
        <f aca="false">IF(OR(D71&lt;0,D71&gt;6,E71&lt;0,E71&gt;6),"đệm","ảnh")</f>
        <v>ảnh</v>
      </c>
      <c r="G71" s="10" t="n">
        <f aca="false">IF(F71="đệm","—",(A71*7+D71)*7+E71)</f>
        <v>311</v>
      </c>
      <c r="H71" s="10" t="n">
        <f aca="false">IF(F71="đệm","—",G71+1)</f>
        <v>312</v>
      </c>
      <c r="I71" s="11" t="n">
        <f aca="false">IF(F71="đệm",0,INDEX(pool2!$F:$F,G71+2))</f>
        <v>7.70817232</v>
      </c>
      <c r="J71" s="12" t="n">
        <f aca="false">(($B$4*16+A71)*3+B71)*3+C71</f>
        <v>55</v>
      </c>
      <c r="K71" s="12" t="n">
        <f aca="false">J71+1224</f>
        <v>1279</v>
      </c>
      <c r="L71" s="12" t="n">
        <f aca="false">K71+1</f>
        <v>1280</v>
      </c>
      <c r="M71" s="13" t="n">
        <f aca="false">INDEX(weights!$H:$H,K71+2)</f>
        <v>-0.250591964</v>
      </c>
      <c r="N71" s="14" t="n">
        <f aca="false">I71*M71</f>
        <v>-1.93160604051924</v>
      </c>
      <c r="O71" s="15" t="n">
        <f aca="false">O70+N71</f>
        <v>-0.200264354238049</v>
      </c>
    </row>
    <row r="72" customFormat="false" ht="15" hidden="false" customHeight="false" outlineLevel="0" collapsed="false">
      <c r="A72" s="10" t="n">
        <v>6</v>
      </c>
      <c r="B72" s="10" t="n">
        <v>0</v>
      </c>
      <c r="C72" s="10" t="n">
        <v>2</v>
      </c>
      <c r="D72" s="10" t="n">
        <f aca="false">$B$5+B72-1</f>
        <v>2</v>
      </c>
      <c r="E72" s="10" t="n">
        <f aca="false">$B$6+C72-1</f>
        <v>4</v>
      </c>
      <c r="F72" s="10" t="str">
        <f aca="false">IF(OR(D72&lt;0,D72&gt;6,E72&lt;0,E72&gt;6),"đệm","ảnh")</f>
        <v>ảnh</v>
      </c>
      <c r="G72" s="10" t="n">
        <f aca="false">IF(F72="đệm","—",(A72*7+D72)*7+E72)</f>
        <v>312</v>
      </c>
      <c r="H72" s="10" t="n">
        <f aca="false">IF(F72="đệm","—",G72+1)</f>
        <v>313</v>
      </c>
      <c r="I72" s="11" t="n">
        <f aca="false">IF(F72="đệm",0,INDEX(pool2!$F:$F,G72+2))</f>
        <v>6.99577665</v>
      </c>
      <c r="J72" s="12" t="n">
        <f aca="false">(($B$4*16+A72)*3+B72)*3+C72</f>
        <v>56</v>
      </c>
      <c r="K72" s="12" t="n">
        <f aca="false">J72+1224</f>
        <v>1280</v>
      </c>
      <c r="L72" s="12" t="n">
        <f aca="false">K72+1</f>
        <v>1281</v>
      </c>
      <c r="M72" s="13" t="n">
        <f aca="false">INDEX(weights!$H:$H,K72+2)</f>
        <v>0.112182908</v>
      </c>
      <c r="N72" s="14" t="n">
        <f aca="false">I72*M72</f>
        <v>0.784806568315498</v>
      </c>
      <c r="O72" s="15" t="n">
        <f aca="false">O71+N72</f>
        <v>0.584542214077449</v>
      </c>
    </row>
    <row r="73" customFormat="false" ht="15" hidden="false" customHeight="false" outlineLevel="0" collapsed="false">
      <c r="A73" s="10" t="n">
        <v>6</v>
      </c>
      <c r="B73" s="10" t="n">
        <v>1</v>
      </c>
      <c r="C73" s="10" t="n">
        <v>0</v>
      </c>
      <c r="D73" s="10" t="n">
        <f aca="false">$B$5+B73-1</f>
        <v>3</v>
      </c>
      <c r="E73" s="10" t="n">
        <f aca="false">$B$6+C73-1</f>
        <v>2</v>
      </c>
      <c r="F73" s="10" t="str">
        <f aca="false">IF(OR(D73&lt;0,D73&gt;6,E73&lt;0,E73&gt;6),"đệm","ảnh")</f>
        <v>ảnh</v>
      </c>
      <c r="G73" s="10" t="n">
        <f aca="false">IF(F73="đệm","—",(A73*7+D73)*7+E73)</f>
        <v>317</v>
      </c>
      <c r="H73" s="10" t="n">
        <f aca="false">IF(F73="đệm","—",G73+1)</f>
        <v>318</v>
      </c>
      <c r="I73" s="11" t="n">
        <f aca="false">IF(F73="đệm",0,INDEX(pool2!$F:$F,G73+2))</f>
        <v>0</v>
      </c>
      <c r="J73" s="12" t="n">
        <f aca="false">(($B$4*16+A73)*3+B73)*3+C73</f>
        <v>57</v>
      </c>
      <c r="K73" s="12" t="n">
        <f aca="false">J73+1224</f>
        <v>1281</v>
      </c>
      <c r="L73" s="12" t="n">
        <f aca="false">K73+1</f>
        <v>1282</v>
      </c>
      <c r="M73" s="13" t="n">
        <f aca="false">INDEX(weights!$H:$H,K73+2)</f>
        <v>0.231402293</v>
      </c>
      <c r="N73" s="14" t="n">
        <f aca="false">I73*M73</f>
        <v>0</v>
      </c>
      <c r="O73" s="15" t="n">
        <f aca="false">O72+N73</f>
        <v>0.584542214077449</v>
      </c>
    </row>
    <row r="74" customFormat="false" ht="15" hidden="false" customHeight="false" outlineLevel="0" collapsed="false">
      <c r="A74" s="10" t="n">
        <v>6</v>
      </c>
      <c r="B74" s="10" t="n">
        <v>1</v>
      </c>
      <c r="C74" s="10" t="n">
        <v>1</v>
      </c>
      <c r="D74" s="10" t="n">
        <f aca="false">$B$5+B74-1</f>
        <v>3</v>
      </c>
      <c r="E74" s="10" t="n">
        <f aca="false">$B$6+C74-1</f>
        <v>3</v>
      </c>
      <c r="F74" s="10" t="str">
        <f aca="false">IF(OR(D74&lt;0,D74&gt;6,E74&lt;0,E74&gt;6),"đệm","ảnh")</f>
        <v>ảnh</v>
      </c>
      <c r="G74" s="10" t="n">
        <f aca="false">IF(F74="đệm","—",(A74*7+D74)*7+E74)</f>
        <v>318</v>
      </c>
      <c r="H74" s="10" t="n">
        <f aca="false">IF(F74="đệm","—",G74+1)</f>
        <v>319</v>
      </c>
      <c r="I74" s="11" t="n">
        <f aca="false">IF(F74="đệm",0,INDEX(pool2!$F:$F,G74+2))</f>
        <v>2.6663959</v>
      </c>
      <c r="J74" s="12" t="n">
        <f aca="false">(($B$4*16+A74)*3+B74)*3+C74</f>
        <v>58</v>
      </c>
      <c r="K74" s="12" t="n">
        <f aca="false">J74+1224</f>
        <v>1282</v>
      </c>
      <c r="L74" s="12" t="n">
        <f aca="false">K74+1</f>
        <v>1283</v>
      </c>
      <c r="M74" s="13" t="n">
        <f aca="false">INDEX(weights!$H:$H,K74+2)</f>
        <v>-0.221569702</v>
      </c>
      <c r="N74" s="14" t="n">
        <f aca="false">I74*M74</f>
        <v>-0.590792544977022</v>
      </c>
      <c r="O74" s="15" t="n">
        <f aca="false">O73+N74</f>
        <v>-0.00625033089957283</v>
      </c>
    </row>
    <row r="75" customFormat="false" ht="15" hidden="false" customHeight="false" outlineLevel="0" collapsed="false">
      <c r="A75" s="10" t="n">
        <v>6</v>
      </c>
      <c r="B75" s="10" t="n">
        <v>1</v>
      </c>
      <c r="C75" s="10" t="n">
        <v>2</v>
      </c>
      <c r="D75" s="10" t="n">
        <f aca="false">$B$5+B75-1</f>
        <v>3</v>
      </c>
      <c r="E75" s="10" t="n">
        <f aca="false">$B$6+C75-1</f>
        <v>4</v>
      </c>
      <c r="F75" s="10" t="str">
        <f aca="false">IF(OR(D75&lt;0,D75&gt;6,E75&lt;0,E75&gt;6),"đệm","ảnh")</f>
        <v>ảnh</v>
      </c>
      <c r="G75" s="10" t="n">
        <f aca="false">IF(F75="đệm","—",(A75*7+D75)*7+E75)</f>
        <v>319</v>
      </c>
      <c r="H75" s="10" t="n">
        <f aca="false">IF(F75="đệm","—",G75+1)</f>
        <v>320</v>
      </c>
      <c r="I75" s="11" t="n">
        <f aca="false">IF(F75="đệm",0,INDEX(pool2!$F:$F,G75+2))</f>
        <v>1.28130782</v>
      </c>
      <c r="J75" s="12" t="n">
        <f aca="false">(($B$4*16+A75)*3+B75)*3+C75</f>
        <v>59</v>
      </c>
      <c r="K75" s="12" t="n">
        <f aca="false">J75+1224</f>
        <v>1283</v>
      </c>
      <c r="L75" s="12" t="n">
        <f aca="false">K75+1</f>
        <v>1284</v>
      </c>
      <c r="M75" s="13" t="n">
        <f aca="false">INDEX(weights!$H:$H,K75+2)</f>
        <v>-0.311260223</v>
      </c>
      <c r="N75" s="14" t="n">
        <f aca="false">I75*M75</f>
        <v>-0.398820157784844</v>
      </c>
      <c r="O75" s="15" t="n">
        <f aca="false">O74+N75</f>
        <v>-0.405070488684417</v>
      </c>
    </row>
    <row r="76" customFormat="false" ht="15" hidden="false" customHeight="false" outlineLevel="0" collapsed="false">
      <c r="A76" s="10" t="n">
        <v>6</v>
      </c>
      <c r="B76" s="10" t="n">
        <v>2</v>
      </c>
      <c r="C76" s="10" t="n">
        <v>0</v>
      </c>
      <c r="D76" s="10" t="n">
        <f aca="false">$B$5+B76-1</f>
        <v>4</v>
      </c>
      <c r="E76" s="10" t="n">
        <f aca="false">$B$6+C76-1</f>
        <v>2</v>
      </c>
      <c r="F76" s="10" t="str">
        <f aca="false">IF(OR(D76&lt;0,D76&gt;6,E76&lt;0,E76&gt;6),"đệm","ảnh")</f>
        <v>ảnh</v>
      </c>
      <c r="G76" s="10" t="n">
        <f aca="false">IF(F76="đệm","—",(A76*7+D76)*7+E76)</f>
        <v>324</v>
      </c>
      <c r="H76" s="10" t="n">
        <f aca="false">IF(F76="đệm","—",G76+1)</f>
        <v>325</v>
      </c>
      <c r="I76" s="11" t="n">
        <f aca="false">IF(F76="đệm",0,INDEX(pool2!$F:$F,G76+2))</f>
        <v>1.29486978</v>
      </c>
      <c r="J76" s="12" t="n">
        <f aca="false">(($B$4*16+A76)*3+B76)*3+C76</f>
        <v>60</v>
      </c>
      <c r="K76" s="12" t="n">
        <f aca="false">J76+1224</f>
        <v>1284</v>
      </c>
      <c r="L76" s="12" t="n">
        <f aca="false">K76+1</f>
        <v>1285</v>
      </c>
      <c r="M76" s="13" t="n">
        <f aca="false">INDEX(weights!$H:$H,K76+2)</f>
        <v>-0.198597178</v>
      </c>
      <c r="N76" s="14" t="n">
        <f aca="false">I76*M76</f>
        <v>-0.257157484185481</v>
      </c>
      <c r="O76" s="15" t="n">
        <f aca="false">O75+N76</f>
        <v>-0.662227972869898</v>
      </c>
    </row>
    <row r="77" customFormat="false" ht="15" hidden="false" customHeight="false" outlineLevel="0" collapsed="false">
      <c r="A77" s="10" t="n">
        <v>6</v>
      </c>
      <c r="B77" s="10" t="n">
        <v>2</v>
      </c>
      <c r="C77" s="10" t="n">
        <v>1</v>
      </c>
      <c r="D77" s="10" t="n">
        <f aca="false">$B$5+B77-1</f>
        <v>4</v>
      </c>
      <c r="E77" s="10" t="n">
        <f aca="false">$B$6+C77-1</f>
        <v>3</v>
      </c>
      <c r="F77" s="10" t="str">
        <f aca="false">IF(OR(D77&lt;0,D77&gt;6,E77&lt;0,E77&gt;6),"đệm","ảnh")</f>
        <v>ảnh</v>
      </c>
      <c r="G77" s="10" t="n">
        <f aca="false">IF(F77="đệm","—",(A77*7+D77)*7+E77)</f>
        <v>325</v>
      </c>
      <c r="H77" s="10" t="n">
        <f aca="false">IF(F77="đệm","—",G77+1)</f>
        <v>326</v>
      </c>
      <c r="I77" s="11" t="n">
        <f aca="false">IF(F77="đệm",0,INDEX(pool2!$F:$F,G77+2))</f>
        <v>6.03698635</v>
      </c>
      <c r="J77" s="12" t="n">
        <f aca="false">(($B$4*16+A77)*3+B77)*3+C77</f>
        <v>61</v>
      </c>
      <c r="K77" s="12" t="n">
        <f aca="false">J77+1224</f>
        <v>1285</v>
      </c>
      <c r="L77" s="12" t="n">
        <f aca="false">K77+1</f>
        <v>1286</v>
      </c>
      <c r="M77" s="13" t="n">
        <f aca="false">INDEX(weights!$H:$H,K77+2)</f>
        <v>-0.492500961</v>
      </c>
      <c r="N77" s="14" t="n">
        <f aca="false">I77*M77</f>
        <v>-2.97322157891888</v>
      </c>
      <c r="O77" s="15" t="n">
        <f aca="false">O76+N77</f>
        <v>-3.63544955178878</v>
      </c>
    </row>
    <row r="78" customFormat="false" ht="15" hidden="false" customHeight="false" outlineLevel="0" collapsed="false">
      <c r="A78" s="16" t="n">
        <v>6</v>
      </c>
      <c r="B78" s="16" t="n">
        <v>2</v>
      </c>
      <c r="C78" s="16" t="n">
        <v>2</v>
      </c>
      <c r="D78" s="16" t="n">
        <f aca="false">$B$5+B78-1</f>
        <v>4</v>
      </c>
      <c r="E78" s="16" t="n">
        <f aca="false">$B$6+C78-1</f>
        <v>4</v>
      </c>
      <c r="F78" s="16" t="str">
        <f aca="false">IF(OR(D78&lt;0,D78&gt;6,E78&lt;0,E78&gt;6),"đệm","ảnh")</f>
        <v>ảnh</v>
      </c>
      <c r="G78" s="16" t="n">
        <f aca="false">IF(F78="đệm","—",(A78*7+D78)*7+E78)</f>
        <v>326</v>
      </c>
      <c r="H78" s="16" t="n">
        <f aca="false">IF(F78="đệm","—",G78+1)</f>
        <v>327</v>
      </c>
      <c r="I78" s="17" t="n">
        <f aca="false">IF(F78="đệm",0,INDEX(pool2!$F:$F,G78+2))</f>
        <v>0.525866747</v>
      </c>
      <c r="J78" s="18" t="n">
        <f aca="false">(($B$4*16+A78)*3+B78)*3+C78</f>
        <v>62</v>
      </c>
      <c r="K78" s="18" t="n">
        <f aca="false">J78+1224</f>
        <v>1286</v>
      </c>
      <c r="L78" s="18" t="n">
        <f aca="false">K78+1</f>
        <v>1287</v>
      </c>
      <c r="M78" s="19" t="n">
        <f aca="false">INDEX(weights!$H:$H,K78+2)</f>
        <v>0.151224732</v>
      </c>
      <c r="N78" s="20" t="n">
        <f aca="false">I78*M78</f>
        <v>0.0795240578827868</v>
      </c>
      <c r="O78" s="21" t="n">
        <f aca="false">O77+N78</f>
        <v>-3.55592549390599</v>
      </c>
    </row>
    <row r="79" customFormat="false" ht="15" hidden="false" customHeight="false" outlineLevel="0" collapsed="false">
      <c r="A79" s="10" t="n">
        <v>7</v>
      </c>
      <c r="B79" s="10" t="n">
        <v>0</v>
      </c>
      <c r="C79" s="10" t="n">
        <v>0</v>
      </c>
      <c r="D79" s="10" t="n">
        <f aca="false">$B$5+B79-1</f>
        <v>2</v>
      </c>
      <c r="E79" s="10" t="n">
        <f aca="false">$B$6+C79-1</f>
        <v>2</v>
      </c>
      <c r="F79" s="10" t="str">
        <f aca="false">IF(OR(D79&lt;0,D79&gt;6,E79&lt;0,E79&gt;6),"đệm","ảnh")</f>
        <v>ảnh</v>
      </c>
      <c r="G79" s="10" t="n">
        <f aca="false">IF(F79="đệm","—",(A79*7+D79)*7+E79)</f>
        <v>359</v>
      </c>
      <c r="H79" s="10" t="n">
        <f aca="false">IF(F79="đệm","—",G79+1)</f>
        <v>360</v>
      </c>
      <c r="I79" s="11" t="n">
        <f aca="false">IF(F79="đệm",0,INDEX(pool2!$F:$F,G79+2))</f>
        <v>0</v>
      </c>
      <c r="J79" s="12" t="n">
        <f aca="false">(($B$4*16+A79)*3+B79)*3+C79</f>
        <v>63</v>
      </c>
      <c r="K79" s="12" t="n">
        <f aca="false">J79+1224</f>
        <v>1287</v>
      </c>
      <c r="L79" s="12" t="n">
        <f aca="false">K79+1</f>
        <v>1288</v>
      </c>
      <c r="M79" s="13" t="n">
        <f aca="false">INDEX(weights!$H:$H,K79+2)</f>
        <v>0.0586858727</v>
      </c>
      <c r="N79" s="14" t="n">
        <f aca="false">I79*M79</f>
        <v>0</v>
      </c>
      <c r="O79" s="15" t="n">
        <f aca="false">O78+N79</f>
        <v>-3.55592549390599</v>
      </c>
    </row>
    <row r="80" customFormat="false" ht="15" hidden="false" customHeight="false" outlineLevel="0" collapsed="false">
      <c r="A80" s="10" t="n">
        <v>7</v>
      </c>
      <c r="B80" s="10" t="n">
        <v>0</v>
      </c>
      <c r="C80" s="10" t="n">
        <v>1</v>
      </c>
      <c r="D80" s="10" t="n">
        <f aca="false">$B$5+B80-1</f>
        <v>2</v>
      </c>
      <c r="E80" s="10" t="n">
        <f aca="false">$B$6+C80-1</f>
        <v>3</v>
      </c>
      <c r="F80" s="10" t="str">
        <f aca="false">IF(OR(D80&lt;0,D80&gt;6,E80&lt;0,E80&gt;6),"đệm","ảnh")</f>
        <v>ảnh</v>
      </c>
      <c r="G80" s="10" t="n">
        <f aca="false">IF(F80="đệm","—",(A80*7+D80)*7+E80)</f>
        <v>360</v>
      </c>
      <c r="H80" s="10" t="n">
        <f aca="false">IF(F80="đệm","—",G80+1)</f>
        <v>361</v>
      </c>
      <c r="I80" s="11" t="n">
        <f aca="false">IF(F80="đệm",0,INDEX(pool2!$F:$F,G80+2))</f>
        <v>0</v>
      </c>
      <c r="J80" s="12" t="n">
        <f aca="false">(($B$4*16+A80)*3+B80)*3+C80</f>
        <v>64</v>
      </c>
      <c r="K80" s="12" t="n">
        <f aca="false">J80+1224</f>
        <v>1288</v>
      </c>
      <c r="L80" s="12" t="n">
        <f aca="false">K80+1</f>
        <v>1289</v>
      </c>
      <c r="M80" s="13" t="n">
        <f aca="false">INDEX(weights!$H:$H,K80+2)</f>
        <v>-0.15625903</v>
      </c>
      <c r="N80" s="14" t="n">
        <f aca="false">I80*M80</f>
        <v>-0</v>
      </c>
      <c r="O80" s="15" t="n">
        <f aca="false">O79+N80</f>
        <v>-3.55592549390599</v>
      </c>
    </row>
    <row r="81" customFormat="false" ht="15" hidden="false" customHeight="false" outlineLevel="0" collapsed="false">
      <c r="A81" s="10" t="n">
        <v>7</v>
      </c>
      <c r="B81" s="10" t="n">
        <v>0</v>
      </c>
      <c r="C81" s="10" t="n">
        <v>2</v>
      </c>
      <c r="D81" s="10" t="n">
        <f aca="false">$B$5+B81-1</f>
        <v>2</v>
      </c>
      <c r="E81" s="10" t="n">
        <f aca="false">$B$6+C81-1</f>
        <v>4</v>
      </c>
      <c r="F81" s="10" t="str">
        <f aca="false">IF(OR(D81&lt;0,D81&gt;6,E81&lt;0,E81&gt;6),"đệm","ảnh")</f>
        <v>ảnh</v>
      </c>
      <c r="G81" s="10" t="n">
        <f aca="false">IF(F81="đệm","—",(A81*7+D81)*7+E81)</f>
        <v>361</v>
      </c>
      <c r="H81" s="10" t="n">
        <f aca="false">IF(F81="đệm","—",G81+1)</f>
        <v>362</v>
      </c>
      <c r="I81" s="11" t="n">
        <f aca="false">IF(F81="đệm",0,INDEX(pool2!$F:$F,G81+2))</f>
        <v>0.750301242</v>
      </c>
      <c r="J81" s="12" t="n">
        <f aca="false">(($B$4*16+A81)*3+B81)*3+C81</f>
        <v>65</v>
      </c>
      <c r="K81" s="12" t="n">
        <f aca="false">J81+1224</f>
        <v>1289</v>
      </c>
      <c r="L81" s="12" t="n">
        <f aca="false">K81+1</f>
        <v>1290</v>
      </c>
      <c r="M81" s="13" t="n">
        <f aca="false">INDEX(weights!$H:$H,K81+2)</f>
        <v>0.0910482183</v>
      </c>
      <c r="N81" s="14" t="n">
        <f aca="false">I81*M81</f>
        <v>0.0683135912723771</v>
      </c>
      <c r="O81" s="15" t="n">
        <f aca="false">O80+N81</f>
        <v>-3.48761190263362</v>
      </c>
    </row>
    <row r="82" customFormat="false" ht="15" hidden="false" customHeight="false" outlineLevel="0" collapsed="false">
      <c r="A82" s="10" t="n">
        <v>7</v>
      </c>
      <c r="B82" s="10" t="n">
        <v>1</v>
      </c>
      <c r="C82" s="10" t="n">
        <v>0</v>
      </c>
      <c r="D82" s="10" t="n">
        <f aca="false">$B$5+B82-1</f>
        <v>3</v>
      </c>
      <c r="E82" s="10" t="n">
        <f aca="false">$B$6+C82-1</f>
        <v>2</v>
      </c>
      <c r="F82" s="10" t="str">
        <f aca="false">IF(OR(D82&lt;0,D82&gt;6,E82&lt;0,E82&gt;6),"đệm","ảnh")</f>
        <v>ảnh</v>
      </c>
      <c r="G82" s="10" t="n">
        <f aca="false">IF(F82="đệm","—",(A82*7+D82)*7+E82)</f>
        <v>366</v>
      </c>
      <c r="H82" s="10" t="n">
        <f aca="false">IF(F82="đệm","—",G82+1)</f>
        <v>367</v>
      </c>
      <c r="I82" s="11" t="n">
        <f aca="false">IF(F82="đệm",0,INDEX(pool2!$F:$F,G82+2))</f>
        <v>0</v>
      </c>
      <c r="J82" s="12" t="n">
        <f aca="false">(($B$4*16+A82)*3+B82)*3+C82</f>
        <v>66</v>
      </c>
      <c r="K82" s="12" t="n">
        <f aca="false">J82+1224</f>
        <v>1290</v>
      </c>
      <c r="L82" s="12" t="n">
        <f aca="false">K82+1</f>
        <v>1291</v>
      </c>
      <c r="M82" s="13" t="n">
        <f aca="false">INDEX(weights!$H:$H,K82+2)</f>
        <v>-0.0404968001</v>
      </c>
      <c r="N82" s="14" t="n">
        <f aca="false">I82*M82</f>
        <v>-0</v>
      </c>
      <c r="O82" s="15" t="n">
        <f aca="false">O81+N82</f>
        <v>-3.48761190263362</v>
      </c>
    </row>
    <row r="83" customFormat="false" ht="15" hidden="false" customHeight="false" outlineLevel="0" collapsed="false">
      <c r="A83" s="10" t="n">
        <v>7</v>
      </c>
      <c r="B83" s="10" t="n">
        <v>1</v>
      </c>
      <c r="C83" s="10" t="n">
        <v>1</v>
      </c>
      <c r="D83" s="10" t="n">
        <f aca="false">$B$5+B83-1</f>
        <v>3</v>
      </c>
      <c r="E83" s="10" t="n">
        <f aca="false">$B$6+C83-1</f>
        <v>3</v>
      </c>
      <c r="F83" s="10" t="str">
        <f aca="false">IF(OR(D83&lt;0,D83&gt;6,E83&lt;0,E83&gt;6),"đệm","ảnh")</f>
        <v>ảnh</v>
      </c>
      <c r="G83" s="10" t="n">
        <f aca="false">IF(F83="đệm","—",(A83*7+D83)*7+E83)</f>
        <v>367</v>
      </c>
      <c r="H83" s="10" t="n">
        <f aca="false">IF(F83="đệm","—",G83+1)</f>
        <v>368</v>
      </c>
      <c r="I83" s="11" t="n">
        <f aca="false">IF(F83="đệm",0,INDEX(pool2!$F:$F,G83+2))</f>
        <v>0</v>
      </c>
      <c r="J83" s="12" t="n">
        <f aca="false">(($B$4*16+A83)*3+B83)*3+C83</f>
        <v>67</v>
      </c>
      <c r="K83" s="12" t="n">
        <f aca="false">J83+1224</f>
        <v>1291</v>
      </c>
      <c r="L83" s="12" t="n">
        <f aca="false">K83+1</f>
        <v>1292</v>
      </c>
      <c r="M83" s="13" t="n">
        <f aca="false">INDEX(weights!$H:$H,K83+2)</f>
        <v>0.155761823</v>
      </c>
      <c r="N83" s="14" t="n">
        <f aca="false">I83*M83</f>
        <v>0</v>
      </c>
      <c r="O83" s="15" t="n">
        <f aca="false">O82+N83</f>
        <v>-3.48761190263362</v>
      </c>
    </row>
    <row r="84" customFormat="false" ht="15" hidden="false" customHeight="false" outlineLevel="0" collapsed="false">
      <c r="A84" s="10" t="n">
        <v>7</v>
      </c>
      <c r="B84" s="10" t="n">
        <v>1</v>
      </c>
      <c r="C84" s="10" t="n">
        <v>2</v>
      </c>
      <c r="D84" s="10" t="n">
        <f aca="false">$B$5+B84-1</f>
        <v>3</v>
      </c>
      <c r="E84" s="10" t="n">
        <f aca="false">$B$6+C84-1</f>
        <v>4</v>
      </c>
      <c r="F84" s="10" t="str">
        <f aca="false">IF(OR(D84&lt;0,D84&gt;6,E84&lt;0,E84&gt;6),"đệm","ảnh")</f>
        <v>ảnh</v>
      </c>
      <c r="G84" s="10" t="n">
        <f aca="false">IF(F84="đệm","—",(A84*7+D84)*7+E84)</f>
        <v>368</v>
      </c>
      <c r="H84" s="10" t="n">
        <f aca="false">IF(F84="đệm","—",G84+1)</f>
        <v>369</v>
      </c>
      <c r="I84" s="11" t="n">
        <f aca="false">IF(F84="đệm",0,INDEX(pool2!$F:$F,G84+2))</f>
        <v>0</v>
      </c>
      <c r="J84" s="12" t="n">
        <f aca="false">(($B$4*16+A84)*3+B84)*3+C84</f>
        <v>68</v>
      </c>
      <c r="K84" s="12" t="n">
        <f aca="false">J84+1224</f>
        <v>1292</v>
      </c>
      <c r="L84" s="12" t="n">
        <f aca="false">K84+1</f>
        <v>1293</v>
      </c>
      <c r="M84" s="13" t="n">
        <f aca="false">INDEX(weights!$H:$H,K84+2)</f>
        <v>-0.154337212</v>
      </c>
      <c r="N84" s="14" t="n">
        <f aca="false">I84*M84</f>
        <v>-0</v>
      </c>
      <c r="O84" s="15" t="n">
        <f aca="false">O83+N84</f>
        <v>-3.48761190263362</v>
      </c>
    </row>
    <row r="85" customFormat="false" ht="15" hidden="false" customHeight="false" outlineLevel="0" collapsed="false">
      <c r="A85" s="10" t="n">
        <v>7</v>
      </c>
      <c r="B85" s="10" t="n">
        <v>2</v>
      </c>
      <c r="C85" s="10" t="n">
        <v>0</v>
      </c>
      <c r="D85" s="10" t="n">
        <f aca="false">$B$5+B85-1</f>
        <v>4</v>
      </c>
      <c r="E85" s="10" t="n">
        <f aca="false">$B$6+C85-1</f>
        <v>2</v>
      </c>
      <c r="F85" s="10" t="str">
        <f aca="false">IF(OR(D85&lt;0,D85&gt;6,E85&lt;0,E85&gt;6),"đệm","ảnh")</f>
        <v>ảnh</v>
      </c>
      <c r="G85" s="10" t="n">
        <f aca="false">IF(F85="đệm","—",(A85*7+D85)*7+E85)</f>
        <v>373</v>
      </c>
      <c r="H85" s="10" t="n">
        <f aca="false">IF(F85="đệm","—",G85+1)</f>
        <v>374</v>
      </c>
      <c r="I85" s="11" t="n">
        <f aca="false">IF(F85="đệm",0,INDEX(pool2!$F:$F,G85+2))</f>
        <v>0</v>
      </c>
      <c r="J85" s="12" t="n">
        <f aca="false">(($B$4*16+A85)*3+B85)*3+C85</f>
        <v>69</v>
      </c>
      <c r="K85" s="12" t="n">
        <f aca="false">J85+1224</f>
        <v>1293</v>
      </c>
      <c r="L85" s="12" t="n">
        <f aca="false">K85+1</f>
        <v>1294</v>
      </c>
      <c r="M85" s="13" t="n">
        <f aca="false">INDEX(weights!$H:$H,K85+2)</f>
        <v>-0.119295493</v>
      </c>
      <c r="N85" s="14" t="n">
        <f aca="false">I85*M85</f>
        <v>-0</v>
      </c>
      <c r="O85" s="15" t="n">
        <f aca="false">O84+N85</f>
        <v>-3.48761190263362</v>
      </c>
    </row>
    <row r="86" customFormat="false" ht="15" hidden="false" customHeight="false" outlineLevel="0" collapsed="false">
      <c r="A86" s="10" t="n">
        <v>7</v>
      </c>
      <c r="B86" s="10" t="n">
        <v>2</v>
      </c>
      <c r="C86" s="10" t="n">
        <v>1</v>
      </c>
      <c r="D86" s="10" t="n">
        <f aca="false">$B$5+B86-1</f>
        <v>4</v>
      </c>
      <c r="E86" s="10" t="n">
        <f aca="false">$B$6+C86-1</f>
        <v>3</v>
      </c>
      <c r="F86" s="10" t="str">
        <f aca="false">IF(OR(D86&lt;0,D86&gt;6,E86&lt;0,E86&gt;6),"đệm","ảnh")</f>
        <v>ảnh</v>
      </c>
      <c r="G86" s="10" t="n">
        <f aca="false">IF(F86="đệm","—",(A86*7+D86)*7+E86)</f>
        <v>374</v>
      </c>
      <c r="H86" s="10" t="n">
        <f aca="false">IF(F86="đệm","—",G86+1)</f>
        <v>375</v>
      </c>
      <c r="I86" s="11" t="n">
        <f aca="false">IF(F86="đệm",0,INDEX(pool2!$F:$F,G86+2))</f>
        <v>0.924296498</v>
      </c>
      <c r="J86" s="12" t="n">
        <f aca="false">(($B$4*16+A86)*3+B86)*3+C86</f>
        <v>70</v>
      </c>
      <c r="K86" s="12" t="n">
        <f aca="false">J86+1224</f>
        <v>1294</v>
      </c>
      <c r="L86" s="12" t="n">
        <f aca="false">K86+1</f>
        <v>1295</v>
      </c>
      <c r="M86" s="13" t="n">
        <f aca="false">INDEX(weights!$H:$H,K86+2)</f>
        <v>-0.733687937</v>
      </c>
      <c r="N86" s="14" t="n">
        <f aca="false">I86*M86</f>
        <v>-0.678145190793945</v>
      </c>
      <c r="O86" s="15" t="n">
        <f aca="false">O85+N86</f>
        <v>-4.16575709342756</v>
      </c>
    </row>
    <row r="87" customFormat="false" ht="15" hidden="false" customHeight="false" outlineLevel="0" collapsed="false">
      <c r="A87" s="16" t="n">
        <v>7</v>
      </c>
      <c r="B87" s="16" t="n">
        <v>2</v>
      </c>
      <c r="C87" s="16" t="n">
        <v>2</v>
      </c>
      <c r="D87" s="16" t="n">
        <f aca="false">$B$5+B87-1</f>
        <v>4</v>
      </c>
      <c r="E87" s="16" t="n">
        <f aca="false">$B$6+C87-1</f>
        <v>4</v>
      </c>
      <c r="F87" s="16" t="str">
        <f aca="false">IF(OR(D87&lt;0,D87&gt;6,E87&lt;0,E87&gt;6),"đệm","ảnh")</f>
        <v>ảnh</v>
      </c>
      <c r="G87" s="16" t="n">
        <f aca="false">IF(F87="đệm","—",(A87*7+D87)*7+E87)</f>
        <v>375</v>
      </c>
      <c r="H87" s="16" t="n">
        <f aca="false">IF(F87="đệm","—",G87+1)</f>
        <v>376</v>
      </c>
      <c r="I87" s="17" t="n">
        <f aca="false">IF(F87="đệm",0,INDEX(pool2!$F:$F,G87+2))</f>
        <v>0.547314703</v>
      </c>
      <c r="J87" s="18" t="n">
        <f aca="false">(($B$4*16+A87)*3+B87)*3+C87</f>
        <v>71</v>
      </c>
      <c r="K87" s="18" t="n">
        <f aca="false">J87+1224</f>
        <v>1295</v>
      </c>
      <c r="L87" s="18" t="n">
        <f aca="false">K87+1</f>
        <v>1296</v>
      </c>
      <c r="M87" s="19" t="n">
        <f aca="false">INDEX(weights!$H:$H,K87+2)</f>
        <v>0.184015587</v>
      </c>
      <c r="N87" s="20" t="n">
        <f aca="false">I87*M87</f>
        <v>0.100714436346276</v>
      </c>
      <c r="O87" s="21" t="n">
        <f aca="false">O86+N87</f>
        <v>-4.06504265708129</v>
      </c>
    </row>
    <row r="88" customFormat="false" ht="15" hidden="false" customHeight="false" outlineLevel="0" collapsed="false">
      <c r="A88" s="10" t="n">
        <v>8</v>
      </c>
      <c r="B88" s="10" t="n">
        <v>0</v>
      </c>
      <c r="C88" s="10" t="n">
        <v>0</v>
      </c>
      <c r="D88" s="10" t="n">
        <f aca="false">$B$5+B88-1</f>
        <v>2</v>
      </c>
      <c r="E88" s="10" t="n">
        <f aca="false">$B$6+C88-1</f>
        <v>2</v>
      </c>
      <c r="F88" s="10" t="str">
        <f aca="false">IF(OR(D88&lt;0,D88&gt;6,E88&lt;0,E88&gt;6),"đệm","ảnh")</f>
        <v>ảnh</v>
      </c>
      <c r="G88" s="10" t="n">
        <f aca="false">IF(F88="đệm","—",(A88*7+D88)*7+E88)</f>
        <v>408</v>
      </c>
      <c r="H88" s="10" t="n">
        <f aca="false">IF(F88="đệm","—",G88+1)</f>
        <v>409</v>
      </c>
      <c r="I88" s="11" t="n">
        <f aca="false">IF(F88="đệm",0,INDEX(pool2!$F:$F,G88+2))</f>
        <v>0</v>
      </c>
      <c r="J88" s="12" t="n">
        <f aca="false">(($B$4*16+A88)*3+B88)*3+C88</f>
        <v>72</v>
      </c>
      <c r="K88" s="12" t="n">
        <f aca="false">J88+1224</f>
        <v>1296</v>
      </c>
      <c r="L88" s="12" t="n">
        <f aca="false">K88+1</f>
        <v>1297</v>
      </c>
      <c r="M88" s="13" t="n">
        <f aca="false">INDEX(weights!$H:$H,K88+2)</f>
        <v>0.0841699541</v>
      </c>
      <c r="N88" s="14" t="n">
        <f aca="false">I88*M88</f>
        <v>0</v>
      </c>
      <c r="O88" s="15" t="n">
        <f aca="false">O87+N88</f>
        <v>-4.06504265708129</v>
      </c>
    </row>
    <row r="89" customFormat="false" ht="15" hidden="false" customHeight="false" outlineLevel="0" collapsed="false">
      <c r="A89" s="10" t="n">
        <v>8</v>
      </c>
      <c r="B89" s="10" t="n">
        <v>0</v>
      </c>
      <c r="C89" s="10" t="n">
        <v>1</v>
      </c>
      <c r="D89" s="10" t="n">
        <f aca="false">$B$5+B89-1</f>
        <v>2</v>
      </c>
      <c r="E89" s="10" t="n">
        <f aca="false">$B$6+C89-1</f>
        <v>3</v>
      </c>
      <c r="F89" s="10" t="str">
        <f aca="false">IF(OR(D89&lt;0,D89&gt;6,E89&lt;0,E89&gt;6),"đệm","ảnh")</f>
        <v>ảnh</v>
      </c>
      <c r="G89" s="10" t="n">
        <f aca="false">IF(F89="đệm","—",(A89*7+D89)*7+E89)</f>
        <v>409</v>
      </c>
      <c r="H89" s="10" t="n">
        <f aca="false">IF(F89="đệm","—",G89+1)</f>
        <v>410</v>
      </c>
      <c r="I89" s="11" t="n">
        <f aca="false">IF(F89="đệm",0,INDEX(pool2!$F:$F,G89+2))</f>
        <v>0</v>
      </c>
      <c r="J89" s="12" t="n">
        <f aca="false">(($B$4*16+A89)*3+B89)*3+C89</f>
        <v>73</v>
      </c>
      <c r="K89" s="12" t="n">
        <f aca="false">J89+1224</f>
        <v>1297</v>
      </c>
      <c r="L89" s="12" t="n">
        <f aca="false">K89+1</f>
        <v>1298</v>
      </c>
      <c r="M89" s="13" t="n">
        <f aca="false">INDEX(weights!$H:$H,K89+2)</f>
        <v>0.00674963975</v>
      </c>
      <c r="N89" s="14" t="n">
        <f aca="false">I89*M89</f>
        <v>0</v>
      </c>
      <c r="O89" s="15" t="n">
        <f aca="false">O88+N89</f>
        <v>-4.06504265708129</v>
      </c>
    </row>
    <row r="90" customFormat="false" ht="15" hidden="false" customHeight="false" outlineLevel="0" collapsed="false">
      <c r="A90" s="10" t="n">
        <v>8</v>
      </c>
      <c r="B90" s="10" t="n">
        <v>0</v>
      </c>
      <c r="C90" s="10" t="n">
        <v>2</v>
      </c>
      <c r="D90" s="10" t="n">
        <f aca="false">$B$5+B90-1</f>
        <v>2</v>
      </c>
      <c r="E90" s="10" t="n">
        <f aca="false">$B$6+C90-1</f>
        <v>4</v>
      </c>
      <c r="F90" s="10" t="str">
        <f aca="false">IF(OR(D90&lt;0,D90&gt;6,E90&lt;0,E90&gt;6),"đệm","ảnh")</f>
        <v>ảnh</v>
      </c>
      <c r="G90" s="10" t="n">
        <f aca="false">IF(F90="đệm","—",(A90*7+D90)*7+E90)</f>
        <v>410</v>
      </c>
      <c r="H90" s="10" t="n">
        <f aca="false">IF(F90="đệm","—",G90+1)</f>
        <v>411</v>
      </c>
      <c r="I90" s="11" t="n">
        <f aca="false">IF(F90="đệm",0,INDEX(pool2!$F:$F,G90+2))</f>
        <v>2.91066146</v>
      </c>
      <c r="J90" s="12" t="n">
        <f aca="false">(($B$4*16+A90)*3+B90)*3+C90</f>
        <v>74</v>
      </c>
      <c r="K90" s="12" t="n">
        <f aca="false">J90+1224</f>
        <v>1298</v>
      </c>
      <c r="L90" s="12" t="n">
        <f aca="false">K90+1</f>
        <v>1299</v>
      </c>
      <c r="M90" s="13" t="n">
        <f aca="false">INDEX(weights!$H:$H,K90+2)</f>
        <v>0.0969849676</v>
      </c>
      <c r="N90" s="14" t="n">
        <f aca="false">I90*M90</f>
        <v>0.282290407392669</v>
      </c>
      <c r="O90" s="15" t="n">
        <f aca="false">O89+N90</f>
        <v>-3.78275224968862</v>
      </c>
    </row>
    <row r="91" customFormat="false" ht="15" hidden="false" customHeight="false" outlineLevel="0" collapsed="false">
      <c r="A91" s="10" t="n">
        <v>8</v>
      </c>
      <c r="B91" s="10" t="n">
        <v>1</v>
      </c>
      <c r="C91" s="10" t="n">
        <v>0</v>
      </c>
      <c r="D91" s="10" t="n">
        <f aca="false">$B$5+B91-1</f>
        <v>3</v>
      </c>
      <c r="E91" s="10" t="n">
        <f aca="false">$B$6+C91-1</f>
        <v>2</v>
      </c>
      <c r="F91" s="10" t="str">
        <f aca="false">IF(OR(D91&lt;0,D91&gt;6,E91&lt;0,E91&gt;6),"đệm","ảnh")</f>
        <v>ảnh</v>
      </c>
      <c r="G91" s="10" t="n">
        <f aca="false">IF(F91="đệm","—",(A91*7+D91)*7+E91)</f>
        <v>415</v>
      </c>
      <c r="H91" s="10" t="n">
        <f aca="false">IF(F91="đệm","—",G91+1)</f>
        <v>416</v>
      </c>
      <c r="I91" s="11" t="n">
        <f aca="false">IF(F91="đệm",0,INDEX(pool2!$F:$F,G91+2))</f>
        <v>0</v>
      </c>
      <c r="J91" s="12" t="n">
        <f aca="false">(($B$4*16+A91)*3+B91)*3+C91</f>
        <v>75</v>
      </c>
      <c r="K91" s="12" t="n">
        <f aca="false">J91+1224</f>
        <v>1299</v>
      </c>
      <c r="L91" s="12" t="n">
        <f aca="false">K91+1</f>
        <v>1300</v>
      </c>
      <c r="M91" s="13" t="n">
        <f aca="false">INDEX(weights!$H:$H,K91+2)</f>
        <v>0.122748308</v>
      </c>
      <c r="N91" s="14" t="n">
        <f aca="false">I91*M91</f>
        <v>0</v>
      </c>
      <c r="O91" s="15" t="n">
        <f aca="false">O90+N91</f>
        <v>-3.78275224968862</v>
      </c>
    </row>
    <row r="92" customFormat="false" ht="15" hidden="false" customHeight="false" outlineLevel="0" collapsed="false">
      <c r="A92" s="10" t="n">
        <v>8</v>
      </c>
      <c r="B92" s="10" t="n">
        <v>1</v>
      </c>
      <c r="C92" s="10" t="n">
        <v>1</v>
      </c>
      <c r="D92" s="10" t="n">
        <f aca="false">$B$5+B92-1</f>
        <v>3</v>
      </c>
      <c r="E92" s="10" t="n">
        <f aca="false">$B$6+C92-1</f>
        <v>3</v>
      </c>
      <c r="F92" s="10" t="str">
        <f aca="false">IF(OR(D92&lt;0,D92&gt;6,E92&lt;0,E92&gt;6),"đệm","ảnh")</f>
        <v>ảnh</v>
      </c>
      <c r="G92" s="10" t="n">
        <f aca="false">IF(F92="đệm","—",(A92*7+D92)*7+E92)</f>
        <v>416</v>
      </c>
      <c r="H92" s="10" t="n">
        <f aca="false">IF(F92="đệm","—",G92+1)</f>
        <v>417</v>
      </c>
      <c r="I92" s="11" t="n">
        <f aca="false">IF(F92="đệm",0,INDEX(pool2!$F:$F,G92+2))</f>
        <v>0</v>
      </c>
      <c r="J92" s="12" t="n">
        <f aca="false">(($B$4*16+A92)*3+B92)*3+C92</f>
        <v>76</v>
      </c>
      <c r="K92" s="12" t="n">
        <f aca="false">J92+1224</f>
        <v>1300</v>
      </c>
      <c r="L92" s="12" t="n">
        <f aca="false">K92+1</f>
        <v>1301</v>
      </c>
      <c r="M92" s="13" t="n">
        <f aca="false">INDEX(weights!$H:$H,K92+2)</f>
        <v>-0.0211883038</v>
      </c>
      <c r="N92" s="14" t="n">
        <f aca="false">I92*M92</f>
        <v>-0</v>
      </c>
      <c r="O92" s="15" t="n">
        <f aca="false">O91+N92</f>
        <v>-3.78275224968862</v>
      </c>
    </row>
    <row r="93" customFormat="false" ht="15" hidden="false" customHeight="false" outlineLevel="0" collapsed="false">
      <c r="A93" s="10" t="n">
        <v>8</v>
      </c>
      <c r="B93" s="10" t="n">
        <v>1</v>
      </c>
      <c r="C93" s="10" t="n">
        <v>2</v>
      </c>
      <c r="D93" s="10" t="n">
        <f aca="false">$B$5+B93-1</f>
        <v>3</v>
      </c>
      <c r="E93" s="10" t="n">
        <f aca="false">$B$6+C93-1</f>
        <v>4</v>
      </c>
      <c r="F93" s="10" t="str">
        <f aca="false">IF(OR(D93&lt;0,D93&gt;6,E93&lt;0,E93&gt;6),"đệm","ảnh")</f>
        <v>ảnh</v>
      </c>
      <c r="G93" s="10" t="n">
        <f aca="false">IF(F93="đệm","—",(A93*7+D93)*7+E93)</f>
        <v>417</v>
      </c>
      <c r="H93" s="10" t="n">
        <f aca="false">IF(F93="đệm","—",G93+1)</f>
        <v>418</v>
      </c>
      <c r="I93" s="11" t="n">
        <f aca="false">IF(F93="đệm",0,INDEX(pool2!$F:$F,G93+2))</f>
        <v>3.52433372</v>
      </c>
      <c r="J93" s="12" t="n">
        <f aca="false">(($B$4*16+A93)*3+B93)*3+C93</f>
        <v>77</v>
      </c>
      <c r="K93" s="12" t="n">
        <f aca="false">J93+1224</f>
        <v>1301</v>
      </c>
      <c r="L93" s="12" t="n">
        <f aca="false">K93+1</f>
        <v>1302</v>
      </c>
      <c r="M93" s="13" t="n">
        <f aca="false">INDEX(weights!$H:$H,K93+2)</f>
        <v>0.0281657483</v>
      </c>
      <c r="N93" s="14" t="n">
        <f aca="false">I93*M93</f>
        <v>0.0992654964827227</v>
      </c>
      <c r="O93" s="15" t="n">
        <f aca="false">O92+N93</f>
        <v>-3.68348675320589</v>
      </c>
    </row>
    <row r="94" customFormat="false" ht="15" hidden="false" customHeight="false" outlineLevel="0" collapsed="false">
      <c r="A94" s="10" t="n">
        <v>8</v>
      </c>
      <c r="B94" s="10" t="n">
        <v>2</v>
      </c>
      <c r="C94" s="10" t="n">
        <v>0</v>
      </c>
      <c r="D94" s="10" t="n">
        <f aca="false">$B$5+B94-1</f>
        <v>4</v>
      </c>
      <c r="E94" s="10" t="n">
        <f aca="false">$B$6+C94-1</f>
        <v>2</v>
      </c>
      <c r="F94" s="10" t="str">
        <f aca="false">IF(OR(D94&lt;0,D94&gt;6,E94&lt;0,E94&gt;6),"đệm","ảnh")</f>
        <v>ảnh</v>
      </c>
      <c r="G94" s="10" t="n">
        <f aca="false">IF(F94="đệm","—",(A94*7+D94)*7+E94)</f>
        <v>422</v>
      </c>
      <c r="H94" s="10" t="n">
        <f aca="false">IF(F94="đệm","—",G94+1)</f>
        <v>423</v>
      </c>
      <c r="I94" s="11" t="n">
        <f aca="false">IF(F94="đệm",0,INDEX(pool2!$F:$F,G94+2))</f>
        <v>0</v>
      </c>
      <c r="J94" s="12" t="n">
        <f aca="false">(($B$4*16+A94)*3+B94)*3+C94</f>
        <v>78</v>
      </c>
      <c r="K94" s="12" t="n">
        <f aca="false">J94+1224</f>
        <v>1302</v>
      </c>
      <c r="L94" s="12" t="n">
        <f aca="false">K94+1</f>
        <v>1303</v>
      </c>
      <c r="M94" s="13" t="n">
        <f aca="false">INDEX(weights!$H:$H,K94+2)</f>
        <v>-0.0458134636</v>
      </c>
      <c r="N94" s="14" t="n">
        <f aca="false">I94*M94</f>
        <v>-0</v>
      </c>
      <c r="O94" s="15" t="n">
        <f aca="false">O93+N94</f>
        <v>-3.68348675320589</v>
      </c>
    </row>
    <row r="95" customFormat="false" ht="15" hidden="false" customHeight="false" outlineLevel="0" collapsed="false">
      <c r="A95" s="10" t="n">
        <v>8</v>
      </c>
      <c r="B95" s="10" t="n">
        <v>2</v>
      </c>
      <c r="C95" s="10" t="n">
        <v>1</v>
      </c>
      <c r="D95" s="10" t="n">
        <f aca="false">$B$5+B95-1</f>
        <v>4</v>
      </c>
      <c r="E95" s="10" t="n">
        <f aca="false">$B$6+C95-1</f>
        <v>3</v>
      </c>
      <c r="F95" s="10" t="str">
        <f aca="false">IF(OR(D95&lt;0,D95&gt;6,E95&lt;0,E95&gt;6),"đệm","ảnh")</f>
        <v>ảnh</v>
      </c>
      <c r="G95" s="10" t="n">
        <f aca="false">IF(F95="đệm","—",(A95*7+D95)*7+E95)</f>
        <v>423</v>
      </c>
      <c r="H95" s="10" t="n">
        <f aca="false">IF(F95="đệm","—",G95+1)</f>
        <v>424</v>
      </c>
      <c r="I95" s="11" t="n">
        <f aca="false">IF(F95="đệm",0,INDEX(pool2!$F:$F,G95+2))</f>
        <v>1.41012621</v>
      </c>
      <c r="J95" s="12" t="n">
        <f aca="false">(($B$4*16+A95)*3+B95)*3+C95</f>
        <v>79</v>
      </c>
      <c r="K95" s="12" t="n">
        <f aca="false">J95+1224</f>
        <v>1303</v>
      </c>
      <c r="L95" s="12" t="n">
        <f aca="false">K95+1</f>
        <v>1304</v>
      </c>
      <c r="M95" s="13" t="n">
        <f aca="false">INDEX(weights!$H:$H,K95+2)</f>
        <v>-0.0144153098</v>
      </c>
      <c r="N95" s="14" t="n">
        <f aca="false">I95*M95</f>
        <v>-0.0203274061742499</v>
      </c>
      <c r="O95" s="15" t="n">
        <f aca="false">O94+N95</f>
        <v>-3.70381415938014</v>
      </c>
    </row>
    <row r="96" customFormat="false" ht="15" hidden="false" customHeight="false" outlineLevel="0" collapsed="false">
      <c r="A96" s="16" t="n">
        <v>8</v>
      </c>
      <c r="B96" s="16" t="n">
        <v>2</v>
      </c>
      <c r="C96" s="16" t="n">
        <v>2</v>
      </c>
      <c r="D96" s="16" t="n">
        <f aca="false">$B$5+B96-1</f>
        <v>4</v>
      </c>
      <c r="E96" s="16" t="n">
        <f aca="false">$B$6+C96-1</f>
        <v>4</v>
      </c>
      <c r="F96" s="16" t="str">
        <f aca="false">IF(OR(D96&lt;0,D96&gt;6,E96&lt;0,E96&gt;6),"đệm","ảnh")</f>
        <v>ảnh</v>
      </c>
      <c r="G96" s="16" t="n">
        <f aca="false">IF(F96="đệm","—",(A96*7+D96)*7+E96)</f>
        <v>424</v>
      </c>
      <c r="H96" s="16" t="n">
        <f aca="false">IF(F96="đệm","—",G96+1)</f>
        <v>425</v>
      </c>
      <c r="I96" s="17" t="n">
        <f aca="false">IF(F96="đệm",0,INDEX(pool2!$F:$F,G96+2))</f>
        <v>2.7174387</v>
      </c>
      <c r="J96" s="18" t="n">
        <f aca="false">(($B$4*16+A96)*3+B96)*3+C96</f>
        <v>80</v>
      </c>
      <c r="K96" s="18" t="n">
        <f aca="false">J96+1224</f>
        <v>1304</v>
      </c>
      <c r="L96" s="18" t="n">
        <f aca="false">K96+1</f>
        <v>1305</v>
      </c>
      <c r="M96" s="19" t="n">
        <f aca="false">INDEX(weights!$H:$H,K96+2)</f>
        <v>-0.266646534</v>
      </c>
      <c r="N96" s="20" t="n">
        <f aca="false">I96*M96</f>
        <v>-0.724595610712466</v>
      </c>
      <c r="O96" s="21" t="n">
        <f aca="false">O95+N96</f>
        <v>-4.42840977009261</v>
      </c>
    </row>
    <row r="97" customFormat="false" ht="15" hidden="false" customHeight="false" outlineLevel="0" collapsed="false">
      <c r="A97" s="10" t="n">
        <v>9</v>
      </c>
      <c r="B97" s="10" t="n">
        <v>0</v>
      </c>
      <c r="C97" s="10" t="n">
        <v>0</v>
      </c>
      <c r="D97" s="10" t="n">
        <f aca="false">$B$5+B97-1</f>
        <v>2</v>
      </c>
      <c r="E97" s="10" t="n">
        <f aca="false">$B$6+C97-1</f>
        <v>2</v>
      </c>
      <c r="F97" s="10" t="str">
        <f aca="false">IF(OR(D97&lt;0,D97&gt;6,E97&lt;0,E97&gt;6),"đệm","ảnh")</f>
        <v>ảnh</v>
      </c>
      <c r="G97" s="10" t="n">
        <f aca="false">IF(F97="đệm","—",(A97*7+D97)*7+E97)</f>
        <v>457</v>
      </c>
      <c r="H97" s="10" t="n">
        <f aca="false">IF(F97="đệm","—",G97+1)</f>
        <v>458</v>
      </c>
      <c r="I97" s="11" t="n">
        <f aca="false">IF(F97="đệm",0,INDEX(pool2!$F:$F,G97+2))</f>
        <v>1.82325542</v>
      </c>
      <c r="J97" s="12" t="n">
        <f aca="false">(($B$4*16+A97)*3+B97)*3+C97</f>
        <v>81</v>
      </c>
      <c r="K97" s="12" t="n">
        <f aca="false">J97+1224</f>
        <v>1305</v>
      </c>
      <c r="L97" s="12" t="n">
        <f aca="false">K97+1</f>
        <v>1306</v>
      </c>
      <c r="M97" s="13" t="n">
        <f aca="false">INDEX(weights!$H:$H,K97+2)</f>
        <v>-0.0774073526</v>
      </c>
      <c r="N97" s="14" t="n">
        <f aca="false">I97*M97</f>
        <v>-0.141133375175801</v>
      </c>
      <c r="O97" s="15" t="n">
        <f aca="false">O96+N97</f>
        <v>-4.56954314526841</v>
      </c>
    </row>
    <row r="98" customFormat="false" ht="15" hidden="false" customHeight="false" outlineLevel="0" collapsed="false">
      <c r="A98" s="10" t="n">
        <v>9</v>
      </c>
      <c r="B98" s="10" t="n">
        <v>0</v>
      </c>
      <c r="C98" s="10" t="n">
        <v>1</v>
      </c>
      <c r="D98" s="10" t="n">
        <f aca="false">$B$5+B98-1</f>
        <v>2</v>
      </c>
      <c r="E98" s="10" t="n">
        <f aca="false">$B$6+C98-1</f>
        <v>3</v>
      </c>
      <c r="F98" s="10" t="str">
        <f aca="false">IF(OR(D98&lt;0,D98&gt;6,E98&lt;0,E98&gt;6),"đệm","ảnh")</f>
        <v>ảnh</v>
      </c>
      <c r="G98" s="10" t="n">
        <f aca="false">IF(F98="đệm","—",(A98*7+D98)*7+E98)</f>
        <v>458</v>
      </c>
      <c r="H98" s="10" t="n">
        <f aca="false">IF(F98="đệm","—",G98+1)</f>
        <v>459</v>
      </c>
      <c r="I98" s="11" t="n">
        <f aca="false">IF(F98="đệm",0,INDEX(pool2!$F:$F,G98+2))</f>
        <v>2.35923481</v>
      </c>
      <c r="J98" s="12" t="n">
        <f aca="false">(($B$4*16+A98)*3+B98)*3+C98</f>
        <v>82</v>
      </c>
      <c r="K98" s="12" t="n">
        <f aca="false">J98+1224</f>
        <v>1306</v>
      </c>
      <c r="L98" s="12" t="n">
        <f aca="false">K98+1</f>
        <v>1307</v>
      </c>
      <c r="M98" s="13" t="n">
        <f aca="false">INDEX(weights!$H:$H,K98+2)</f>
        <v>-0.0176446103</v>
      </c>
      <c r="N98" s="14" t="n">
        <f aca="false">I98*M98</f>
        <v>-0.0416277788286445</v>
      </c>
      <c r="O98" s="15" t="n">
        <f aca="false">O97+N98</f>
        <v>-4.61117092409706</v>
      </c>
    </row>
    <row r="99" customFormat="false" ht="15" hidden="false" customHeight="false" outlineLevel="0" collapsed="false">
      <c r="A99" s="10" t="n">
        <v>9</v>
      </c>
      <c r="B99" s="10" t="n">
        <v>0</v>
      </c>
      <c r="C99" s="10" t="n">
        <v>2</v>
      </c>
      <c r="D99" s="10" t="n">
        <f aca="false">$B$5+B99-1</f>
        <v>2</v>
      </c>
      <c r="E99" s="10" t="n">
        <f aca="false">$B$6+C99-1</f>
        <v>4</v>
      </c>
      <c r="F99" s="10" t="str">
        <f aca="false">IF(OR(D99&lt;0,D99&gt;6,E99&lt;0,E99&gt;6),"đệm","ảnh")</f>
        <v>ảnh</v>
      </c>
      <c r="G99" s="10" t="n">
        <f aca="false">IF(F99="đệm","—",(A99*7+D99)*7+E99)</f>
        <v>459</v>
      </c>
      <c r="H99" s="10" t="n">
        <f aca="false">IF(F99="đệm","—",G99+1)</f>
        <v>460</v>
      </c>
      <c r="I99" s="11" t="n">
        <f aca="false">IF(F99="đệm",0,INDEX(pool2!$F:$F,G99+2))</f>
        <v>7.39819098</v>
      </c>
      <c r="J99" s="12" t="n">
        <f aca="false">(($B$4*16+A99)*3+B99)*3+C99</f>
        <v>83</v>
      </c>
      <c r="K99" s="12" t="n">
        <f aca="false">J99+1224</f>
        <v>1307</v>
      </c>
      <c r="L99" s="12" t="n">
        <f aca="false">K99+1</f>
        <v>1308</v>
      </c>
      <c r="M99" s="13" t="n">
        <f aca="false">INDEX(weights!$H:$H,K99+2)</f>
        <v>0.0831548646</v>
      </c>
      <c r="N99" s="14" t="n">
        <f aca="false">I99*M99</f>
        <v>0.615195569226841</v>
      </c>
      <c r="O99" s="15" t="n">
        <f aca="false">O98+N99</f>
        <v>-3.99597535487021</v>
      </c>
    </row>
    <row r="100" customFormat="false" ht="15" hidden="false" customHeight="false" outlineLevel="0" collapsed="false">
      <c r="A100" s="10" t="n">
        <v>9</v>
      </c>
      <c r="B100" s="10" t="n">
        <v>1</v>
      </c>
      <c r="C100" s="10" t="n">
        <v>0</v>
      </c>
      <c r="D100" s="10" t="n">
        <f aca="false">$B$5+B100-1</f>
        <v>3</v>
      </c>
      <c r="E100" s="10" t="n">
        <f aca="false">$B$6+C100-1</f>
        <v>2</v>
      </c>
      <c r="F100" s="10" t="str">
        <f aca="false">IF(OR(D100&lt;0,D100&gt;6,E100&lt;0,E100&gt;6),"đệm","ảnh")</f>
        <v>ảnh</v>
      </c>
      <c r="G100" s="10" t="n">
        <f aca="false">IF(F100="đệm","—",(A100*7+D100)*7+E100)</f>
        <v>464</v>
      </c>
      <c r="H100" s="10" t="n">
        <f aca="false">IF(F100="đệm","—",G100+1)</f>
        <v>465</v>
      </c>
      <c r="I100" s="11" t="n">
        <f aca="false">IF(F100="đệm",0,INDEX(pool2!$F:$F,G100+2))</f>
        <v>1.07281506</v>
      </c>
      <c r="J100" s="12" t="n">
        <f aca="false">(($B$4*16+A100)*3+B100)*3+C100</f>
        <v>84</v>
      </c>
      <c r="K100" s="12" t="n">
        <f aca="false">J100+1224</f>
        <v>1308</v>
      </c>
      <c r="L100" s="12" t="n">
        <f aca="false">K100+1</f>
        <v>1309</v>
      </c>
      <c r="M100" s="13" t="n">
        <f aca="false">INDEX(weights!$H:$H,K100+2)</f>
        <v>0.184903726</v>
      </c>
      <c r="N100" s="14" t="n">
        <f aca="false">I100*M100</f>
        <v>0.198367501902914</v>
      </c>
      <c r="O100" s="15" t="n">
        <f aca="false">O99+N100</f>
        <v>-3.7976078529673</v>
      </c>
    </row>
    <row r="101" customFormat="false" ht="15" hidden="false" customHeight="false" outlineLevel="0" collapsed="false">
      <c r="A101" s="10" t="n">
        <v>9</v>
      </c>
      <c r="B101" s="10" t="n">
        <v>1</v>
      </c>
      <c r="C101" s="10" t="n">
        <v>1</v>
      </c>
      <c r="D101" s="10" t="n">
        <f aca="false">$B$5+B101-1</f>
        <v>3</v>
      </c>
      <c r="E101" s="10" t="n">
        <f aca="false">$B$6+C101-1</f>
        <v>3</v>
      </c>
      <c r="F101" s="10" t="str">
        <f aca="false">IF(OR(D101&lt;0,D101&gt;6,E101&lt;0,E101&gt;6),"đệm","ảnh")</f>
        <v>ảnh</v>
      </c>
      <c r="G101" s="10" t="n">
        <f aca="false">IF(F101="đệm","—",(A101*7+D101)*7+E101)</f>
        <v>465</v>
      </c>
      <c r="H101" s="10" t="n">
        <f aca="false">IF(F101="đệm","—",G101+1)</f>
        <v>466</v>
      </c>
      <c r="I101" s="11" t="n">
        <f aca="false">IF(F101="đệm",0,INDEX(pool2!$F:$F,G101+2))</f>
        <v>2.14858341</v>
      </c>
      <c r="J101" s="12" t="n">
        <f aca="false">(($B$4*16+A101)*3+B101)*3+C101</f>
        <v>85</v>
      </c>
      <c r="K101" s="12" t="n">
        <f aca="false">J101+1224</f>
        <v>1309</v>
      </c>
      <c r="L101" s="12" t="n">
        <f aca="false">K101+1</f>
        <v>1310</v>
      </c>
      <c r="M101" s="13" t="n">
        <f aca="false">INDEX(weights!$H:$H,K101+2)</f>
        <v>0.195454553</v>
      </c>
      <c r="N101" s="14" t="n">
        <f aca="false">I101*M101</f>
        <v>0.419950409984766</v>
      </c>
      <c r="O101" s="15" t="n">
        <f aca="false">O100+N101</f>
        <v>-3.37765744298254</v>
      </c>
    </row>
    <row r="102" customFormat="false" ht="15" hidden="false" customHeight="false" outlineLevel="0" collapsed="false">
      <c r="A102" s="10" t="n">
        <v>9</v>
      </c>
      <c r="B102" s="10" t="n">
        <v>1</v>
      </c>
      <c r="C102" s="10" t="n">
        <v>2</v>
      </c>
      <c r="D102" s="10" t="n">
        <f aca="false">$B$5+B102-1</f>
        <v>3</v>
      </c>
      <c r="E102" s="10" t="n">
        <f aca="false">$B$6+C102-1</f>
        <v>4</v>
      </c>
      <c r="F102" s="10" t="str">
        <f aca="false">IF(OR(D102&lt;0,D102&gt;6,E102&lt;0,E102&gt;6),"đệm","ảnh")</f>
        <v>ảnh</v>
      </c>
      <c r="G102" s="10" t="n">
        <f aca="false">IF(F102="đệm","—",(A102*7+D102)*7+E102)</f>
        <v>466</v>
      </c>
      <c r="H102" s="10" t="n">
        <f aca="false">IF(F102="đệm","—",G102+1)</f>
        <v>467</v>
      </c>
      <c r="I102" s="11" t="n">
        <f aca="false">IF(F102="đệm",0,INDEX(pool2!$F:$F,G102+2))</f>
        <v>10.2039213</v>
      </c>
      <c r="J102" s="12" t="n">
        <f aca="false">(($B$4*16+A102)*3+B102)*3+C102</f>
        <v>86</v>
      </c>
      <c r="K102" s="12" t="n">
        <f aca="false">J102+1224</f>
        <v>1310</v>
      </c>
      <c r="L102" s="12" t="n">
        <f aca="false">K102+1</f>
        <v>1311</v>
      </c>
      <c r="M102" s="13" t="n">
        <f aca="false">INDEX(weights!$H:$H,K102+2)</f>
        <v>0.0826861262</v>
      </c>
      <c r="N102" s="14" t="n">
        <f aca="false">I102*M102</f>
        <v>0.843722724346668</v>
      </c>
      <c r="O102" s="15" t="n">
        <f aca="false">O101+N102</f>
        <v>-2.53393471863587</v>
      </c>
    </row>
    <row r="103" customFormat="false" ht="15" hidden="false" customHeight="false" outlineLevel="0" collapsed="false">
      <c r="A103" s="10" t="n">
        <v>9</v>
      </c>
      <c r="B103" s="10" t="n">
        <v>2</v>
      </c>
      <c r="C103" s="10" t="n">
        <v>0</v>
      </c>
      <c r="D103" s="10" t="n">
        <f aca="false">$B$5+B103-1</f>
        <v>4</v>
      </c>
      <c r="E103" s="10" t="n">
        <f aca="false">$B$6+C103-1</f>
        <v>2</v>
      </c>
      <c r="F103" s="10" t="str">
        <f aca="false">IF(OR(D103&lt;0,D103&gt;6,E103&lt;0,E103&gt;6),"đệm","ảnh")</f>
        <v>ảnh</v>
      </c>
      <c r="G103" s="10" t="n">
        <f aca="false">IF(F103="đệm","—",(A103*7+D103)*7+E103)</f>
        <v>471</v>
      </c>
      <c r="H103" s="10" t="n">
        <f aca="false">IF(F103="đệm","—",G103+1)</f>
        <v>472</v>
      </c>
      <c r="I103" s="11" t="n">
        <f aca="false">IF(F103="đệm",0,INDEX(pool2!$F:$F,G103+2))</f>
        <v>0.054462105</v>
      </c>
      <c r="J103" s="12" t="n">
        <f aca="false">(($B$4*16+A103)*3+B103)*3+C103</f>
        <v>87</v>
      </c>
      <c r="K103" s="12" t="n">
        <f aca="false">J103+1224</f>
        <v>1311</v>
      </c>
      <c r="L103" s="12" t="n">
        <f aca="false">K103+1</f>
        <v>1312</v>
      </c>
      <c r="M103" s="13" t="n">
        <f aca="false">INDEX(weights!$H:$H,K103+2)</f>
        <v>0.226324499</v>
      </c>
      <c r="N103" s="14" t="n">
        <f aca="false">I103*M103</f>
        <v>0.0123261086286104</v>
      </c>
      <c r="O103" s="15" t="n">
        <f aca="false">O102+N103</f>
        <v>-2.52160861000726</v>
      </c>
    </row>
    <row r="104" customFormat="false" ht="15" hidden="false" customHeight="false" outlineLevel="0" collapsed="false">
      <c r="A104" s="10" t="n">
        <v>9</v>
      </c>
      <c r="B104" s="10" t="n">
        <v>2</v>
      </c>
      <c r="C104" s="10" t="n">
        <v>1</v>
      </c>
      <c r="D104" s="10" t="n">
        <f aca="false">$B$5+B104-1</f>
        <v>4</v>
      </c>
      <c r="E104" s="10" t="n">
        <f aca="false">$B$6+C104-1</f>
        <v>3</v>
      </c>
      <c r="F104" s="10" t="str">
        <f aca="false">IF(OR(D104&lt;0,D104&gt;6,E104&lt;0,E104&gt;6),"đệm","ảnh")</f>
        <v>ảnh</v>
      </c>
      <c r="G104" s="10" t="n">
        <f aca="false">IF(F104="đệm","—",(A104*7+D104)*7+E104)</f>
        <v>472</v>
      </c>
      <c r="H104" s="10" t="n">
        <f aca="false">IF(F104="đệm","—",G104+1)</f>
        <v>473</v>
      </c>
      <c r="I104" s="11" t="n">
        <f aca="false">IF(F104="đệm",0,INDEX(pool2!$F:$F,G104+2))</f>
        <v>11.3129549</v>
      </c>
      <c r="J104" s="12" t="n">
        <f aca="false">(($B$4*16+A104)*3+B104)*3+C104</f>
        <v>88</v>
      </c>
      <c r="K104" s="12" t="n">
        <f aca="false">J104+1224</f>
        <v>1312</v>
      </c>
      <c r="L104" s="12" t="n">
        <f aca="false">K104+1</f>
        <v>1313</v>
      </c>
      <c r="M104" s="13" t="n">
        <f aca="false">INDEX(weights!$H:$H,K104+2)</f>
        <v>-0.115548708</v>
      </c>
      <c r="N104" s="14" t="n">
        <f aca="false">I104*M104</f>
        <v>-1.30719732235727</v>
      </c>
      <c r="O104" s="15" t="n">
        <f aca="false">O103+N104</f>
        <v>-3.82880593236453</v>
      </c>
    </row>
    <row r="105" customFormat="false" ht="15" hidden="false" customHeight="false" outlineLevel="0" collapsed="false">
      <c r="A105" s="16" t="n">
        <v>9</v>
      </c>
      <c r="B105" s="16" t="n">
        <v>2</v>
      </c>
      <c r="C105" s="16" t="n">
        <v>2</v>
      </c>
      <c r="D105" s="16" t="n">
        <f aca="false">$B$5+B105-1</f>
        <v>4</v>
      </c>
      <c r="E105" s="16" t="n">
        <f aca="false">$B$6+C105-1</f>
        <v>4</v>
      </c>
      <c r="F105" s="16" t="str">
        <f aca="false">IF(OR(D105&lt;0,D105&gt;6,E105&lt;0,E105&gt;6),"đệm","ảnh")</f>
        <v>ảnh</v>
      </c>
      <c r="G105" s="16" t="n">
        <f aca="false">IF(F105="đệm","—",(A105*7+D105)*7+E105)</f>
        <v>473</v>
      </c>
      <c r="H105" s="16" t="n">
        <f aca="false">IF(F105="đệm","—",G105+1)</f>
        <v>474</v>
      </c>
      <c r="I105" s="17" t="n">
        <f aca="false">IF(F105="đệm",0,INDEX(pool2!$F:$F,G105+2))</f>
        <v>9.67237949</v>
      </c>
      <c r="J105" s="18" t="n">
        <f aca="false">(($B$4*16+A105)*3+B105)*3+C105</f>
        <v>89</v>
      </c>
      <c r="K105" s="18" t="n">
        <f aca="false">J105+1224</f>
        <v>1313</v>
      </c>
      <c r="L105" s="18" t="n">
        <f aca="false">K105+1</f>
        <v>1314</v>
      </c>
      <c r="M105" s="19" t="n">
        <f aca="false">INDEX(weights!$H:$H,K105+2)</f>
        <v>-0.0203377306</v>
      </c>
      <c r="N105" s="20" t="n">
        <f aca="false">I105*M105</f>
        <v>-0.196714248328585</v>
      </c>
      <c r="O105" s="21" t="n">
        <f aca="false">O104+N105</f>
        <v>-4.02552018069311</v>
      </c>
    </row>
    <row r="106" customFormat="false" ht="15" hidden="false" customHeight="false" outlineLevel="0" collapsed="false">
      <c r="A106" s="10" t="n">
        <v>10</v>
      </c>
      <c r="B106" s="10" t="n">
        <v>0</v>
      </c>
      <c r="C106" s="10" t="n">
        <v>0</v>
      </c>
      <c r="D106" s="10" t="n">
        <f aca="false">$B$5+B106-1</f>
        <v>2</v>
      </c>
      <c r="E106" s="10" t="n">
        <f aca="false">$B$6+C106-1</f>
        <v>2</v>
      </c>
      <c r="F106" s="10" t="str">
        <f aca="false">IF(OR(D106&lt;0,D106&gt;6,E106&lt;0,E106&gt;6),"đệm","ảnh")</f>
        <v>ảnh</v>
      </c>
      <c r="G106" s="10" t="n">
        <f aca="false">IF(F106="đệm","—",(A106*7+D106)*7+E106)</f>
        <v>506</v>
      </c>
      <c r="H106" s="10" t="n">
        <f aca="false">IF(F106="đệm","—",G106+1)</f>
        <v>507</v>
      </c>
      <c r="I106" s="11" t="n">
        <f aca="false">IF(F106="đệm",0,INDEX(pool2!$F:$F,G106+2))</f>
        <v>0</v>
      </c>
      <c r="J106" s="12" t="n">
        <f aca="false">(($B$4*16+A106)*3+B106)*3+C106</f>
        <v>90</v>
      </c>
      <c r="K106" s="12" t="n">
        <f aca="false">J106+1224</f>
        <v>1314</v>
      </c>
      <c r="L106" s="12" t="n">
        <f aca="false">K106+1</f>
        <v>1315</v>
      </c>
      <c r="M106" s="13" t="n">
        <f aca="false">INDEX(weights!$H:$H,K106+2)</f>
        <v>0.113876998</v>
      </c>
      <c r="N106" s="14" t="n">
        <f aca="false">I106*M106</f>
        <v>0</v>
      </c>
      <c r="O106" s="15" t="n">
        <f aca="false">O105+N106</f>
        <v>-4.02552018069311</v>
      </c>
    </row>
    <row r="107" customFormat="false" ht="15" hidden="false" customHeight="false" outlineLevel="0" collapsed="false">
      <c r="A107" s="10" t="n">
        <v>10</v>
      </c>
      <c r="B107" s="10" t="n">
        <v>0</v>
      </c>
      <c r="C107" s="10" t="n">
        <v>1</v>
      </c>
      <c r="D107" s="10" t="n">
        <f aca="false">$B$5+B107-1</f>
        <v>2</v>
      </c>
      <c r="E107" s="10" t="n">
        <f aca="false">$B$6+C107-1</f>
        <v>3</v>
      </c>
      <c r="F107" s="10" t="str">
        <f aca="false">IF(OR(D107&lt;0,D107&gt;6,E107&lt;0,E107&gt;6),"đệm","ảnh")</f>
        <v>ảnh</v>
      </c>
      <c r="G107" s="10" t="n">
        <f aca="false">IF(F107="đệm","—",(A107*7+D107)*7+E107)</f>
        <v>507</v>
      </c>
      <c r="H107" s="10" t="n">
        <f aca="false">IF(F107="đệm","—",G107+1)</f>
        <v>508</v>
      </c>
      <c r="I107" s="11" t="n">
        <f aca="false">IF(F107="đệm",0,INDEX(pool2!$F:$F,G107+2))</f>
        <v>0</v>
      </c>
      <c r="J107" s="12" t="n">
        <f aca="false">(($B$4*16+A107)*3+B107)*3+C107</f>
        <v>91</v>
      </c>
      <c r="K107" s="12" t="n">
        <f aca="false">J107+1224</f>
        <v>1315</v>
      </c>
      <c r="L107" s="12" t="n">
        <f aca="false">K107+1</f>
        <v>1316</v>
      </c>
      <c r="M107" s="13" t="n">
        <f aca="false">INDEX(weights!$H:$H,K107+2)</f>
        <v>-0.130630389</v>
      </c>
      <c r="N107" s="14" t="n">
        <f aca="false">I107*M107</f>
        <v>-0</v>
      </c>
      <c r="O107" s="15" t="n">
        <f aca="false">O106+N107</f>
        <v>-4.02552018069311</v>
      </c>
    </row>
    <row r="108" customFormat="false" ht="15" hidden="false" customHeight="false" outlineLevel="0" collapsed="false">
      <c r="A108" s="10" t="n">
        <v>10</v>
      </c>
      <c r="B108" s="10" t="n">
        <v>0</v>
      </c>
      <c r="C108" s="10" t="n">
        <v>2</v>
      </c>
      <c r="D108" s="10" t="n">
        <f aca="false">$B$5+B108-1</f>
        <v>2</v>
      </c>
      <c r="E108" s="10" t="n">
        <f aca="false">$B$6+C108-1</f>
        <v>4</v>
      </c>
      <c r="F108" s="10" t="str">
        <f aca="false">IF(OR(D108&lt;0,D108&gt;6,E108&lt;0,E108&gt;6),"đệm","ảnh")</f>
        <v>ảnh</v>
      </c>
      <c r="G108" s="10" t="n">
        <f aca="false">IF(F108="đệm","—",(A108*7+D108)*7+E108)</f>
        <v>508</v>
      </c>
      <c r="H108" s="10" t="n">
        <f aca="false">IF(F108="đệm","—",G108+1)</f>
        <v>509</v>
      </c>
      <c r="I108" s="11" t="n">
        <f aca="false">IF(F108="đệm",0,INDEX(pool2!$F:$F,G108+2))</f>
        <v>0</v>
      </c>
      <c r="J108" s="12" t="n">
        <f aca="false">(($B$4*16+A108)*3+B108)*3+C108</f>
        <v>92</v>
      </c>
      <c r="K108" s="12" t="n">
        <f aca="false">J108+1224</f>
        <v>1316</v>
      </c>
      <c r="L108" s="12" t="n">
        <f aca="false">K108+1</f>
        <v>1317</v>
      </c>
      <c r="M108" s="13" t="n">
        <f aca="false">INDEX(weights!$H:$H,K108+2)</f>
        <v>0.0519728325</v>
      </c>
      <c r="N108" s="14" t="n">
        <f aca="false">I108*M108</f>
        <v>0</v>
      </c>
      <c r="O108" s="15" t="n">
        <f aca="false">O107+N108</f>
        <v>-4.02552018069311</v>
      </c>
    </row>
    <row r="109" customFormat="false" ht="15" hidden="false" customHeight="false" outlineLevel="0" collapsed="false">
      <c r="A109" s="10" t="n">
        <v>10</v>
      </c>
      <c r="B109" s="10" t="n">
        <v>1</v>
      </c>
      <c r="C109" s="10" t="n">
        <v>0</v>
      </c>
      <c r="D109" s="10" t="n">
        <f aca="false">$B$5+B109-1</f>
        <v>3</v>
      </c>
      <c r="E109" s="10" t="n">
        <f aca="false">$B$6+C109-1</f>
        <v>2</v>
      </c>
      <c r="F109" s="10" t="str">
        <f aca="false">IF(OR(D109&lt;0,D109&gt;6,E109&lt;0,E109&gt;6),"đệm","ảnh")</f>
        <v>ảnh</v>
      </c>
      <c r="G109" s="10" t="n">
        <f aca="false">IF(F109="đệm","—",(A109*7+D109)*7+E109)</f>
        <v>513</v>
      </c>
      <c r="H109" s="10" t="n">
        <f aca="false">IF(F109="đệm","—",G109+1)</f>
        <v>514</v>
      </c>
      <c r="I109" s="11" t="n">
        <f aca="false">IF(F109="đệm",0,INDEX(pool2!$F:$F,G109+2))</f>
        <v>0.197589457</v>
      </c>
      <c r="J109" s="12" t="n">
        <f aca="false">(($B$4*16+A109)*3+B109)*3+C109</f>
        <v>93</v>
      </c>
      <c r="K109" s="12" t="n">
        <f aca="false">J109+1224</f>
        <v>1317</v>
      </c>
      <c r="L109" s="12" t="n">
        <f aca="false">K109+1</f>
        <v>1318</v>
      </c>
      <c r="M109" s="13" t="n">
        <f aca="false">INDEX(weights!$H:$H,K109+2)</f>
        <v>-0.0215626005</v>
      </c>
      <c r="N109" s="14" t="n">
        <f aca="false">I109*M109</f>
        <v>-0.00426054252430293</v>
      </c>
      <c r="O109" s="15" t="n">
        <f aca="false">O108+N109</f>
        <v>-4.02978072321741</v>
      </c>
    </row>
    <row r="110" customFormat="false" ht="15" hidden="false" customHeight="false" outlineLevel="0" collapsed="false">
      <c r="A110" s="10" t="n">
        <v>10</v>
      </c>
      <c r="B110" s="10" t="n">
        <v>1</v>
      </c>
      <c r="C110" s="10" t="n">
        <v>1</v>
      </c>
      <c r="D110" s="10" t="n">
        <f aca="false">$B$5+B110-1</f>
        <v>3</v>
      </c>
      <c r="E110" s="10" t="n">
        <f aca="false">$B$6+C110-1</f>
        <v>3</v>
      </c>
      <c r="F110" s="10" t="str">
        <f aca="false">IF(OR(D110&lt;0,D110&gt;6,E110&lt;0,E110&gt;6),"đệm","ảnh")</f>
        <v>ảnh</v>
      </c>
      <c r="G110" s="10" t="n">
        <f aca="false">IF(F110="đệm","—",(A110*7+D110)*7+E110)</f>
        <v>514</v>
      </c>
      <c r="H110" s="10" t="n">
        <f aca="false">IF(F110="đệm","—",G110+1)</f>
        <v>515</v>
      </c>
      <c r="I110" s="11" t="n">
        <f aca="false">IF(F110="đệm",0,INDEX(pool2!$F:$F,G110+2))</f>
        <v>1.66993642</v>
      </c>
      <c r="J110" s="12" t="n">
        <f aca="false">(($B$4*16+A110)*3+B110)*3+C110</f>
        <v>94</v>
      </c>
      <c r="K110" s="12" t="n">
        <f aca="false">J110+1224</f>
        <v>1318</v>
      </c>
      <c r="L110" s="12" t="n">
        <f aca="false">K110+1</f>
        <v>1319</v>
      </c>
      <c r="M110" s="13" t="n">
        <f aca="false">INDEX(weights!$H:$H,K110+2)</f>
        <v>-0.023001194</v>
      </c>
      <c r="N110" s="14" t="n">
        <f aca="false">I110*M110</f>
        <v>-0.0384105315640855</v>
      </c>
      <c r="O110" s="15" t="n">
        <f aca="false">O109+N110</f>
        <v>-4.0681912547815</v>
      </c>
    </row>
    <row r="111" customFormat="false" ht="15" hidden="false" customHeight="false" outlineLevel="0" collapsed="false">
      <c r="A111" s="10" t="n">
        <v>10</v>
      </c>
      <c r="B111" s="10" t="n">
        <v>1</v>
      </c>
      <c r="C111" s="10" t="n">
        <v>2</v>
      </c>
      <c r="D111" s="10" t="n">
        <f aca="false">$B$5+B111-1</f>
        <v>3</v>
      </c>
      <c r="E111" s="10" t="n">
        <f aca="false">$B$6+C111-1</f>
        <v>4</v>
      </c>
      <c r="F111" s="10" t="str">
        <f aca="false">IF(OR(D111&lt;0,D111&gt;6,E111&lt;0,E111&gt;6),"đệm","ảnh")</f>
        <v>ảnh</v>
      </c>
      <c r="G111" s="10" t="n">
        <f aca="false">IF(F111="đệm","—",(A111*7+D111)*7+E111)</f>
        <v>515</v>
      </c>
      <c r="H111" s="10" t="n">
        <f aca="false">IF(F111="đệm","—",G111+1)</f>
        <v>516</v>
      </c>
      <c r="I111" s="11" t="n">
        <f aca="false">IF(F111="đệm",0,INDEX(pool2!$F:$F,G111+2))</f>
        <v>3.07072926</v>
      </c>
      <c r="J111" s="12" t="n">
        <f aca="false">(($B$4*16+A111)*3+B111)*3+C111</f>
        <v>95</v>
      </c>
      <c r="K111" s="12" t="n">
        <f aca="false">J111+1224</f>
        <v>1319</v>
      </c>
      <c r="L111" s="12" t="n">
        <f aca="false">K111+1</f>
        <v>1320</v>
      </c>
      <c r="M111" s="13" t="n">
        <f aca="false">INDEX(weights!$H:$H,K111+2)</f>
        <v>0.095538862</v>
      </c>
      <c r="N111" s="14" t="n">
        <f aca="false">I111*M111</f>
        <v>0.293373979010502</v>
      </c>
      <c r="O111" s="15" t="n">
        <f aca="false">O110+N111</f>
        <v>-3.774817275771</v>
      </c>
    </row>
    <row r="112" customFormat="false" ht="15" hidden="false" customHeight="false" outlineLevel="0" collapsed="false">
      <c r="A112" s="10" t="n">
        <v>10</v>
      </c>
      <c r="B112" s="10" t="n">
        <v>2</v>
      </c>
      <c r="C112" s="10" t="n">
        <v>0</v>
      </c>
      <c r="D112" s="10" t="n">
        <f aca="false">$B$5+B112-1</f>
        <v>4</v>
      </c>
      <c r="E112" s="10" t="n">
        <f aca="false">$B$6+C112-1</f>
        <v>2</v>
      </c>
      <c r="F112" s="10" t="str">
        <f aca="false">IF(OR(D112&lt;0,D112&gt;6,E112&lt;0,E112&gt;6),"đệm","ảnh")</f>
        <v>ảnh</v>
      </c>
      <c r="G112" s="10" t="n">
        <f aca="false">IF(F112="đệm","—",(A112*7+D112)*7+E112)</f>
        <v>520</v>
      </c>
      <c r="H112" s="10" t="n">
        <f aca="false">IF(F112="đệm","—",G112+1)</f>
        <v>521</v>
      </c>
      <c r="I112" s="11" t="n">
        <f aca="false">IF(F112="đệm",0,INDEX(pool2!$F:$F,G112+2))</f>
        <v>0.730513453</v>
      </c>
      <c r="J112" s="12" t="n">
        <f aca="false">(($B$4*16+A112)*3+B112)*3+C112</f>
        <v>96</v>
      </c>
      <c r="K112" s="12" t="n">
        <f aca="false">J112+1224</f>
        <v>1320</v>
      </c>
      <c r="L112" s="12" t="n">
        <f aca="false">K112+1</f>
        <v>1321</v>
      </c>
      <c r="M112" s="13" t="n">
        <f aca="false">INDEX(weights!$H:$H,K112+2)</f>
        <v>0.00248311041</v>
      </c>
      <c r="N112" s="14" t="n">
        <f aca="false">I112*M112</f>
        <v>0.00181394555978935</v>
      </c>
      <c r="O112" s="15" t="n">
        <f aca="false">O111+N112</f>
        <v>-3.77300333021121</v>
      </c>
    </row>
    <row r="113" customFormat="false" ht="15" hidden="false" customHeight="false" outlineLevel="0" collapsed="false">
      <c r="A113" s="10" t="n">
        <v>10</v>
      </c>
      <c r="B113" s="10" t="n">
        <v>2</v>
      </c>
      <c r="C113" s="10" t="n">
        <v>1</v>
      </c>
      <c r="D113" s="10" t="n">
        <f aca="false">$B$5+B113-1</f>
        <v>4</v>
      </c>
      <c r="E113" s="10" t="n">
        <f aca="false">$B$6+C113-1</f>
        <v>3</v>
      </c>
      <c r="F113" s="10" t="str">
        <f aca="false">IF(OR(D113&lt;0,D113&gt;6,E113&lt;0,E113&gt;6),"đệm","ảnh")</f>
        <v>ảnh</v>
      </c>
      <c r="G113" s="10" t="n">
        <f aca="false">IF(F113="đệm","—",(A113*7+D113)*7+E113)</f>
        <v>521</v>
      </c>
      <c r="H113" s="10" t="n">
        <f aca="false">IF(F113="đệm","—",G113+1)</f>
        <v>522</v>
      </c>
      <c r="I113" s="11" t="n">
        <f aca="false">IF(F113="đệm",0,INDEX(pool2!$F:$F,G113+2))</f>
        <v>2.62648249</v>
      </c>
      <c r="J113" s="12" t="n">
        <f aca="false">(($B$4*16+A113)*3+B113)*3+C113</f>
        <v>97</v>
      </c>
      <c r="K113" s="12" t="n">
        <f aca="false">J113+1224</f>
        <v>1321</v>
      </c>
      <c r="L113" s="12" t="n">
        <f aca="false">K113+1</f>
        <v>1322</v>
      </c>
      <c r="M113" s="13" t="n">
        <f aca="false">INDEX(weights!$H:$H,K113+2)</f>
        <v>-0.188010976</v>
      </c>
      <c r="N113" s="14" t="n">
        <f aca="false">I113*M113</f>
        <v>-0.49380753639181</v>
      </c>
      <c r="O113" s="15" t="n">
        <f aca="false">O112+N113</f>
        <v>-4.26681086660302</v>
      </c>
    </row>
    <row r="114" customFormat="false" ht="15" hidden="false" customHeight="false" outlineLevel="0" collapsed="false">
      <c r="A114" s="16" t="n">
        <v>10</v>
      </c>
      <c r="B114" s="16" t="n">
        <v>2</v>
      </c>
      <c r="C114" s="16" t="n">
        <v>2</v>
      </c>
      <c r="D114" s="16" t="n">
        <f aca="false">$B$5+B114-1</f>
        <v>4</v>
      </c>
      <c r="E114" s="16" t="n">
        <f aca="false">$B$6+C114-1</f>
        <v>4</v>
      </c>
      <c r="F114" s="16" t="str">
        <f aca="false">IF(OR(D114&lt;0,D114&gt;6,E114&lt;0,E114&gt;6),"đệm","ảnh")</f>
        <v>ảnh</v>
      </c>
      <c r="G114" s="16" t="n">
        <f aca="false">IF(F114="đệm","—",(A114*7+D114)*7+E114)</f>
        <v>522</v>
      </c>
      <c r="H114" s="16" t="n">
        <f aca="false">IF(F114="đệm","—",G114+1)</f>
        <v>523</v>
      </c>
      <c r="I114" s="17" t="n">
        <f aca="false">IF(F114="đệm",0,INDEX(pool2!$F:$F,G114+2))</f>
        <v>1.82261825</v>
      </c>
      <c r="J114" s="18" t="n">
        <f aca="false">(($B$4*16+A114)*3+B114)*3+C114</f>
        <v>98</v>
      </c>
      <c r="K114" s="18" t="n">
        <f aca="false">J114+1224</f>
        <v>1322</v>
      </c>
      <c r="L114" s="18" t="n">
        <f aca="false">K114+1</f>
        <v>1323</v>
      </c>
      <c r="M114" s="19" t="n">
        <f aca="false">INDEX(weights!$H:$H,K114+2)</f>
        <v>-0.0820198655</v>
      </c>
      <c r="N114" s="20" t="n">
        <f aca="false">I114*M114</f>
        <v>-0.149490903722845</v>
      </c>
      <c r="O114" s="21" t="n">
        <f aca="false">O113+N114</f>
        <v>-4.41630177032586</v>
      </c>
    </row>
    <row r="115" customFormat="false" ht="15" hidden="false" customHeight="false" outlineLevel="0" collapsed="false">
      <c r="A115" s="10" t="n">
        <v>11</v>
      </c>
      <c r="B115" s="10" t="n">
        <v>0</v>
      </c>
      <c r="C115" s="10" t="n">
        <v>0</v>
      </c>
      <c r="D115" s="10" t="n">
        <f aca="false">$B$5+B115-1</f>
        <v>2</v>
      </c>
      <c r="E115" s="10" t="n">
        <f aca="false">$B$6+C115-1</f>
        <v>2</v>
      </c>
      <c r="F115" s="10" t="str">
        <f aca="false">IF(OR(D115&lt;0,D115&gt;6,E115&lt;0,E115&gt;6),"đệm","ảnh")</f>
        <v>ảnh</v>
      </c>
      <c r="G115" s="10" t="n">
        <f aca="false">IF(F115="đệm","—",(A115*7+D115)*7+E115)</f>
        <v>555</v>
      </c>
      <c r="H115" s="10" t="n">
        <f aca="false">IF(F115="đệm","—",G115+1)</f>
        <v>556</v>
      </c>
      <c r="I115" s="11" t="n">
        <f aca="false">IF(F115="đệm",0,INDEX(pool2!$F:$F,G115+2))</f>
        <v>4.04979134</v>
      </c>
      <c r="J115" s="12" t="n">
        <f aca="false">(($B$4*16+A115)*3+B115)*3+C115</f>
        <v>99</v>
      </c>
      <c r="K115" s="12" t="n">
        <f aca="false">J115+1224</f>
        <v>1323</v>
      </c>
      <c r="L115" s="12" t="n">
        <f aca="false">K115+1</f>
        <v>1324</v>
      </c>
      <c r="M115" s="13" t="n">
        <f aca="false">INDEX(weights!$H:$H,K115+2)</f>
        <v>0.0555690788</v>
      </c>
      <c r="N115" s="14" t="n">
        <f aca="false">I115*M115</f>
        <v>0.225043174096018</v>
      </c>
      <c r="O115" s="15" t="n">
        <f aca="false">O114+N115</f>
        <v>-4.19125859622985</v>
      </c>
    </row>
    <row r="116" customFormat="false" ht="15" hidden="false" customHeight="false" outlineLevel="0" collapsed="false">
      <c r="A116" s="10" t="n">
        <v>11</v>
      </c>
      <c r="B116" s="10" t="n">
        <v>0</v>
      </c>
      <c r="C116" s="10" t="n">
        <v>1</v>
      </c>
      <c r="D116" s="10" t="n">
        <f aca="false">$B$5+B116-1</f>
        <v>2</v>
      </c>
      <c r="E116" s="10" t="n">
        <f aca="false">$B$6+C116-1</f>
        <v>3</v>
      </c>
      <c r="F116" s="10" t="str">
        <f aca="false">IF(OR(D116&lt;0,D116&gt;6,E116&lt;0,E116&gt;6),"đệm","ảnh")</f>
        <v>ảnh</v>
      </c>
      <c r="G116" s="10" t="n">
        <f aca="false">IF(F116="đệm","—",(A116*7+D116)*7+E116)</f>
        <v>556</v>
      </c>
      <c r="H116" s="10" t="n">
        <f aca="false">IF(F116="đệm","—",G116+1)</f>
        <v>557</v>
      </c>
      <c r="I116" s="11" t="n">
        <f aca="false">IF(F116="đệm",0,INDEX(pool2!$F:$F,G116+2))</f>
        <v>4.69654465</v>
      </c>
      <c r="J116" s="12" t="n">
        <f aca="false">(($B$4*16+A116)*3+B116)*3+C116</f>
        <v>100</v>
      </c>
      <c r="K116" s="12" t="n">
        <f aca="false">J116+1224</f>
        <v>1324</v>
      </c>
      <c r="L116" s="12" t="n">
        <f aca="false">K116+1</f>
        <v>1325</v>
      </c>
      <c r="M116" s="13" t="n">
        <f aca="false">INDEX(weights!$H:$H,K116+2)</f>
        <v>-0.146643743</v>
      </c>
      <c r="N116" s="14" t="n">
        <f aca="false">I116*M116</f>
        <v>-0.688718886642625</v>
      </c>
      <c r="O116" s="15" t="n">
        <f aca="false">O115+N116</f>
        <v>-4.87997748287247</v>
      </c>
    </row>
    <row r="117" customFormat="false" ht="15" hidden="false" customHeight="false" outlineLevel="0" collapsed="false">
      <c r="A117" s="10" t="n">
        <v>11</v>
      </c>
      <c r="B117" s="10" t="n">
        <v>0</v>
      </c>
      <c r="C117" s="10" t="n">
        <v>2</v>
      </c>
      <c r="D117" s="10" t="n">
        <f aca="false">$B$5+B117-1</f>
        <v>2</v>
      </c>
      <c r="E117" s="10" t="n">
        <f aca="false">$B$6+C117-1</f>
        <v>4</v>
      </c>
      <c r="F117" s="10" t="str">
        <f aca="false">IF(OR(D117&lt;0,D117&gt;6,E117&lt;0,E117&gt;6),"đệm","ảnh")</f>
        <v>ảnh</v>
      </c>
      <c r="G117" s="10" t="n">
        <f aca="false">IF(F117="đệm","—",(A117*7+D117)*7+E117)</f>
        <v>557</v>
      </c>
      <c r="H117" s="10" t="n">
        <f aca="false">IF(F117="đệm","—",G117+1)</f>
        <v>558</v>
      </c>
      <c r="I117" s="11" t="n">
        <f aca="false">IF(F117="đệm",0,INDEX(pool2!$F:$F,G117+2))</f>
        <v>1.94231689</v>
      </c>
      <c r="J117" s="12" t="n">
        <f aca="false">(($B$4*16+A117)*3+B117)*3+C117</f>
        <v>101</v>
      </c>
      <c r="K117" s="12" t="n">
        <f aca="false">J117+1224</f>
        <v>1325</v>
      </c>
      <c r="L117" s="12" t="n">
        <f aca="false">K117+1</f>
        <v>1326</v>
      </c>
      <c r="M117" s="13" t="n">
        <f aca="false">INDEX(weights!$H:$H,K117+2)</f>
        <v>0.219651997</v>
      </c>
      <c r="N117" s="14" t="n">
        <f aca="false">I117*M117</f>
        <v>0.426633783695329</v>
      </c>
      <c r="O117" s="15" t="n">
        <f aca="false">O116+N117</f>
        <v>-4.45334369917714</v>
      </c>
    </row>
    <row r="118" customFormat="false" ht="15" hidden="false" customHeight="false" outlineLevel="0" collapsed="false">
      <c r="A118" s="10" t="n">
        <v>11</v>
      </c>
      <c r="B118" s="10" t="n">
        <v>1</v>
      </c>
      <c r="C118" s="10" t="n">
        <v>0</v>
      </c>
      <c r="D118" s="10" t="n">
        <f aca="false">$B$5+B118-1</f>
        <v>3</v>
      </c>
      <c r="E118" s="10" t="n">
        <f aca="false">$B$6+C118-1</f>
        <v>2</v>
      </c>
      <c r="F118" s="10" t="str">
        <f aca="false">IF(OR(D118&lt;0,D118&gt;6,E118&lt;0,E118&gt;6),"đệm","ảnh")</f>
        <v>ảnh</v>
      </c>
      <c r="G118" s="10" t="n">
        <f aca="false">IF(F118="đệm","—",(A118*7+D118)*7+E118)</f>
        <v>562</v>
      </c>
      <c r="H118" s="10" t="n">
        <f aca="false">IF(F118="đệm","—",G118+1)</f>
        <v>563</v>
      </c>
      <c r="I118" s="11" t="n">
        <f aca="false">IF(F118="đệm",0,INDEX(pool2!$F:$F,G118+2))</f>
        <v>0.402765065</v>
      </c>
      <c r="J118" s="12" t="n">
        <f aca="false">(($B$4*16+A118)*3+B118)*3+C118</f>
        <v>102</v>
      </c>
      <c r="K118" s="12" t="n">
        <f aca="false">J118+1224</f>
        <v>1326</v>
      </c>
      <c r="L118" s="12" t="n">
        <f aca="false">K118+1</f>
        <v>1327</v>
      </c>
      <c r="M118" s="13" t="n">
        <f aca="false">INDEX(weights!$H:$H,K118+2)</f>
        <v>0.00424702652</v>
      </c>
      <c r="N118" s="14" t="n">
        <f aca="false">I118*M118</f>
        <v>0.00171055391238452</v>
      </c>
      <c r="O118" s="15" t="n">
        <f aca="false">O117+N118</f>
        <v>-4.45163314526476</v>
      </c>
    </row>
    <row r="119" customFormat="false" ht="15" hidden="false" customHeight="false" outlineLevel="0" collapsed="false">
      <c r="A119" s="10" t="n">
        <v>11</v>
      </c>
      <c r="B119" s="10" t="n">
        <v>1</v>
      </c>
      <c r="C119" s="10" t="n">
        <v>1</v>
      </c>
      <c r="D119" s="10" t="n">
        <f aca="false">$B$5+B119-1</f>
        <v>3</v>
      </c>
      <c r="E119" s="10" t="n">
        <f aca="false">$B$6+C119-1</f>
        <v>3</v>
      </c>
      <c r="F119" s="10" t="str">
        <f aca="false">IF(OR(D119&lt;0,D119&gt;6,E119&lt;0,E119&gt;6),"đệm","ảnh")</f>
        <v>ảnh</v>
      </c>
      <c r="G119" s="10" t="n">
        <f aca="false">IF(F119="đệm","—",(A119*7+D119)*7+E119)</f>
        <v>563</v>
      </c>
      <c r="H119" s="10" t="n">
        <f aca="false">IF(F119="đệm","—",G119+1)</f>
        <v>564</v>
      </c>
      <c r="I119" s="11" t="n">
        <f aca="false">IF(F119="đệm",0,INDEX(pool2!$F:$F,G119+2))</f>
        <v>0.0642206967</v>
      </c>
      <c r="J119" s="12" t="n">
        <f aca="false">(($B$4*16+A119)*3+B119)*3+C119</f>
        <v>103</v>
      </c>
      <c r="K119" s="12" t="n">
        <f aca="false">J119+1224</f>
        <v>1327</v>
      </c>
      <c r="L119" s="12" t="n">
        <f aca="false">K119+1</f>
        <v>1328</v>
      </c>
      <c r="M119" s="13" t="n">
        <f aca="false">INDEX(weights!$H:$H,K119+2)</f>
        <v>0.00752566662</v>
      </c>
      <c r="N119" s="14" t="n">
        <f aca="false">I119*M119</f>
        <v>0.000483303553468334</v>
      </c>
      <c r="O119" s="15" t="n">
        <f aca="false">O118+N119</f>
        <v>-4.45114984171129</v>
      </c>
    </row>
    <row r="120" customFormat="false" ht="15" hidden="false" customHeight="false" outlineLevel="0" collapsed="false">
      <c r="A120" s="10" t="n">
        <v>11</v>
      </c>
      <c r="B120" s="10" t="n">
        <v>1</v>
      </c>
      <c r="C120" s="10" t="n">
        <v>2</v>
      </c>
      <c r="D120" s="10" t="n">
        <f aca="false">$B$5+B120-1</f>
        <v>3</v>
      </c>
      <c r="E120" s="10" t="n">
        <f aca="false">$B$6+C120-1</f>
        <v>4</v>
      </c>
      <c r="F120" s="10" t="str">
        <f aca="false">IF(OR(D120&lt;0,D120&gt;6,E120&lt;0,E120&gt;6),"đệm","ảnh")</f>
        <v>ảnh</v>
      </c>
      <c r="G120" s="10" t="n">
        <f aca="false">IF(F120="đệm","—",(A120*7+D120)*7+E120)</f>
        <v>564</v>
      </c>
      <c r="H120" s="10" t="n">
        <f aca="false">IF(F120="đệm","—",G120+1)</f>
        <v>565</v>
      </c>
      <c r="I120" s="11" t="n">
        <f aca="false">IF(F120="đệm",0,INDEX(pool2!$F:$F,G120+2))</f>
        <v>1.36341155</v>
      </c>
      <c r="J120" s="12" t="n">
        <f aca="false">(($B$4*16+A120)*3+B120)*3+C120</f>
        <v>104</v>
      </c>
      <c r="K120" s="12" t="n">
        <f aca="false">J120+1224</f>
        <v>1328</v>
      </c>
      <c r="L120" s="12" t="n">
        <f aca="false">K120+1</f>
        <v>1329</v>
      </c>
      <c r="M120" s="13" t="n">
        <f aca="false">INDEX(weights!$H:$H,K120+2)</f>
        <v>0.152055934</v>
      </c>
      <c r="N120" s="14" t="n">
        <f aca="false">I120*M120</f>
        <v>0.207314816661638</v>
      </c>
      <c r="O120" s="15" t="n">
        <f aca="false">O119+N120</f>
        <v>-4.24383502504965</v>
      </c>
    </row>
    <row r="121" customFormat="false" ht="15" hidden="false" customHeight="false" outlineLevel="0" collapsed="false">
      <c r="A121" s="10" t="n">
        <v>11</v>
      </c>
      <c r="B121" s="10" t="n">
        <v>2</v>
      </c>
      <c r="C121" s="10" t="n">
        <v>0</v>
      </c>
      <c r="D121" s="10" t="n">
        <f aca="false">$B$5+B121-1</f>
        <v>4</v>
      </c>
      <c r="E121" s="10" t="n">
        <f aca="false">$B$6+C121-1</f>
        <v>2</v>
      </c>
      <c r="F121" s="10" t="str">
        <f aca="false">IF(OR(D121&lt;0,D121&gt;6,E121&lt;0,E121&gt;6),"đệm","ảnh")</f>
        <v>ảnh</v>
      </c>
      <c r="G121" s="10" t="n">
        <f aca="false">IF(F121="đệm","—",(A121*7+D121)*7+E121)</f>
        <v>569</v>
      </c>
      <c r="H121" s="10" t="n">
        <f aca="false">IF(F121="đệm","—",G121+1)</f>
        <v>570</v>
      </c>
      <c r="I121" s="11" t="n">
        <f aca="false">IF(F121="đệm",0,INDEX(pool2!$F:$F,G121+2))</f>
        <v>0.157094777</v>
      </c>
      <c r="J121" s="12" t="n">
        <f aca="false">(($B$4*16+A121)*3+B121)*3+C121</f>
        <v>105</v>
      </c>
      <c r="K121" s="12" t="n">
        <f aca="false">J121+1224</f>
        <v>1329</v>
      </c>
      <c r="L121" s="12" t="n">
        <f aca="false">K121+1</f>
        <v>1330</v>
      </c>
      <c r="M121" s="13" t="n">
        <f aca="false">INDEX(weights!$H:$H,K121+2)</f>
        <v>0.157102406</v>
      </c>
      <c r="N121" s="14" t="n">
        <f aca="false">I121*M121</f>
        <v>0.0246799674367335</v>
      </c>
      <c r="O121" s="15" t="n">
        <f aca="false">O120+N121</f>
        <v>-4.21915505761292</v>
      </c>
    </row>
    <row r="122" customFormat="false" ht="15" hidden="false" customHeight="false" outlineLevel="0" collapsed="false">
      <c r="A122" s="10" t="n">
        <v>11</v>
      </c>
      <c r="B122" s="10" t="n">
        <v>2</v>
      </c>
      <c r="C122" s="10" t="n">
        <v>1</v>
      </c>
      <c r="D122" s="10" t="n">
        <f aca="false">$B$5+B122-1</f>
        <v>4</v>
      </c>
      <c r="E122" s="10" t="n">
        <f aca="false">$B$6+C122-1</f>
        <v>3</v>
      </c>
      <c r="F122" s="10" t="str">
        <f aca="false">IF(OR(D122&lt;0,D122&gt;6,E122&lt;0,E122&gt;6),"đệm","ảnh")</f>
        <v>ảnh</v>
      </c>
      <c r="G122" s="10" t="n">
        <f aca="false">IF(F122="đệm","—",(A122*7+D122)*7+E122)</f>
        <v>570</v>
      </c>
      <c r="H122" s="10" t="n">
        <f aca="false">IF(F122="đệm","—",G122+1)</f>
        <v>571</v>
      </c>
      <c r="I122" s="11" t="n">
        <f aca="false">IF(F122="đệm",0,INDEX(pool2!$F:$F,G122+2))</f>
        <v>2.03940058</v>
      </c>
      <c r="J122" s="12" t="n">
        <f aca="false">(($B$4*16+A122)*3+B122)*3+C122</f>
        <v>106</v>
      </c>
      <c r="K122" s="12" t="n">
        <f aca="false">J122+1224</f>
        <v>1330</v>
      </c>
      <c r="L122" s="12" t="n">
        <f aca="false">K122+1</f>
        <v>1331</v>
      </c>
      <c r="M122" s="13" t="n">
        <f aca="false">INDEX(weights!$H:$H,K122+2)</f>
        <v>-0.097685039</v>
      </c>
      <c r="N122" s="14" t="n">
        <f aca="false">I122*M122</f>
        <v>-0.199218925193923</v>
      </c>
      <c r="O122" s="15" t="n">
        <f aca="false">O121+N122</f>
        <v>-4.41837398280684</v>
      </c>
    </row>
    <row r="123" customFormat="false" ht="15" hidden="false" customHeight="false" outlineLevel="0" collapsed="false">
      <c r="A123" s="16" t="n">
        <v>11</v>
      </c>
      <c r="B123" s="16" t="n">
        <v>2</v>
      </c>
      <c r="C123" s="16" t="n">
        <v>2</v>
      </c>
      <c r="D123" s="16" t="n">
        <f aca="false">$B$5+B123-1</f>
        <v>4</v>
      </c>
      <c r="E123" s="16" t="n">
        <f aca="false">$B$6+C123-1</f>
        <v>4</v>
      </c>
      <c r="F123" s="16" t="str">
        <f aca="false">IF(OR(D123&lt;0,D123&gt;6,E123&lt;0,E123&gt;6),"đệm","ảnh")</f>
        <v>ảnh</v>
      </c>
      <c r="G123" s="16" t="n">
        <f aca="false">IF(F123="đệm","—",(A123*7+D123)*7+E123)</f>
        <v>571</v>
      </c>
      <c r="H123" s="16" t="n">
        <f aca="false">IF(F123="đệm","—",G123+1)</f>
        <v>572</v>
      </c>
      <c r="I123" s="17" t="n">
        <f aca="false">IF(F123="đệm",0,INDEX(pool2!$F:$F,G123+2))</f>
        <v>1.96462929</v>
      </c>
      <c r="J123" s="18" t="n">
        <f aca="false">(($B$4*16+A123)*3+B123)*3+C123</f>
        <v>107</v>
      </c>
      <c r="K123" s="18" t="n">
        <f aca="false">J123+1224</f>
        <v>1331</v>
      </c>
      <c r="L123" s="18" t="n">
        <f aca="false">K123+1</f>
        <v>1332</v>
      </c>
      <c r="M123" s="19" t="n">
        <f aca="false">INDEX(weights!$H:$H,K123+2)</f>
        <v>0.0140917096</v>
      </c>
      <c r="N123" s="20" t="n">
        <f aca="false">I123*M123</f>
        <v>0.0276849854263342</v>
      </c>
      <c r="O123" s="21" t="n">
        <f aca="false">O122+N123</f>
        <v>-4.39068899738051</v>
      </c>
    </row>
    <row r="124" customFormat="false" ht="15" hidden="false" customHeight="false" outlineLevel="0" collapsed="false">
      <c r="A124" s="10" t="n">
        <v>12</v>
      </c>
      <c r="B124" s="10" t="n">
        <v>0</v>
      </c>
      <c r="C124" s="10" t="n">
        <v>0</v>
      </c>
      <c r="D124" s="10" t="n">
        <f aca="false">$B$5+B124-1</f>
        <v>2</v>
      </c>
      <c r="E124" s="10" t="n">
        <f aca="false">$B$6+C124-1</f>
        <v>2</v>
      </c>
      <c r="F124" s="10" t="str">
        <f aca="false">IF(OR(D124&lt;0,D124&gt;6,E124&lt;0,E124&gt;6),"đệm","ảnh")</f>
        <v>ảnh</v>
      </c>
      <c r="G124" s="10" t="n">
        <f aca="false">IF(F124="đệm","—",(A124*7+D124)*7+E124)</f>
        <v>604</v>
      </c>
      <c r="H124" s="10" t="n">
        <f aca="false">IF(F124="đệm","—",G124+1)</f>
        <v>605</v>
      </c>
      <c r="I124" s="11" t="n">
        <f aca="false">IF(F124="đệm",0,INDEX(pool2!$F:$F,G124+2))</f>
        <v>0</v>
      </c>
      <c r="J124" s="12" t="n">
        <f aca="false">(($B$4*16+A124)*3+B124)*3+C124</f>
        <v>108</v>
      </c>
      <c r="K124" s="12" t="n">
        <f aca="false">J124+1224</f>
        <v>1332</v>
      </c>
      <c r="L124" s="12" t="n">
        <f aca="false">K124+1</f>
        <v>1333</v>
      </c>
      <c r="M124" s="13" t="n">
        <f aca="false">INDEX(weights!$H:$H,K124+2)</f>
        <v>-0.225356728</v>
      </c>
      <c r="N124" s="14" t="n">
        <f aca="false">I124*M124</f>
        <v>-0</v>
      </c>
      <c r="O124" s="15" t="n">
        <f aca="false">O123+N124</f>
        <v>-4.39068899738051</v>
      </c>
    </row>
    <row r="125" customFormat="false" ht="15" hidden="false" customHeight="false" outlineLevel="0" collapsed="false">
      <c r="A125" s="10" t="n">
        <v>12</v>
      </c>
      <c r="B125" s="10" t="n">
        <v>0</v>
      </c>
      <c r="C125" s="10" t="n">
        <v>1</v>
      </c>
      <c r="D125" s="10" t="n">
        <f aca="false">$B$5+B125-1</f>
        <v>2</v>
      </c>
      <c r="E125" s="10" t="n">
        <f aca="false">$B$6+C125-1</f>
        <v>3</v>
      </c>
      <c r="F125" s="10" t="str">
        <f aca="false">IF(OR(D125&lt;0,D125&gt;6,E125&lt;0,E125&gt;6),"đệm","ảnh")</f>
        <v>ảnh</v>
      </c>
      <c r="G125" s="10" t="n">
        <f aca="false">IF(F125="đệm","—",(A125*7+D125)*7+E125)</f>
        <v>605</v>
      </c>
      <c r="H125" s="10" t="n">
        <f aca="false">IF(F125="đệm","—",G125+1)</f>
        <v>606</v>
      </c>
      <c r="I125" s="11" t="n">
        <f aca="false">IF(F125="đệm",0,INDEX(pool2!$F:$F,G125+2))</f>
        <v>0</v>
      </c>
      <c r="J125" s="12" t="n">
        <f aca="false">(($B$4*16+A125)*3+B125)*3+C125</f>
        <v>109</v>
      </c>
      <c r="K125" s="12" t="n">
        <f aca="false">J125+1224</f>
        <v>1333</v>
      </c>
      <c r="L125" s="12" t="n">
        <f aca="false">K125+1</f>
        <v>1334</v>
      </c>
      <c r="M125" s="13" t="n">
        <f aca="false">INDEX(weights!$H:$H,K125+2)</f>
        <v>0.0134671042</v>
      </c>
      <c r="N125" s="14" t="n">
        <f aca="false">I125*M125</f>
        <v>0</v>
      </c>
      <c r="O125" s="15" t="n">
        <f aca="false">O124+N125</f>
        <v>-4.39068899738051</v>
      </c>
    </row>
    <row r="126" customFormat="false" ht="15" hidden="false" customHeight="false" outlineLevel="0" collapsed="false">
      <c r="A126" s="10" t="n">
        <v>12</v>
      </c>
      <c r="B126" s="10" t="n">
        <v>0</v>
      </c>
      <c r="C126" s="10" t="n">
        <v>2</v>
      </c>
      <c r="D126" s="10" t="n">
        <f aca="false">$B$5+B126-1</f>
        <v>2</v>
      </c>
      <c r="E126" s="10" t="n">
        <f aca="false">$B$6+C126-1</f>
        <v>4</v>
      </c>
      <c r="F126" s="10" t="str">
        <f aca="false">IF(OR(D126&lt;0,D126&gt;6,E126&lt;0,E126&gt;6),"đệm","ảnh")</f>
        <v>ảnh</v>
      </c>
      <c r="G126" s="10" t="n">
        <f aca="false">IF(F126="đệm","—",(A126*7+D126)*7+E126)</f>
        <v>606</v>
      </c>
      <c r="H126" s="10" t="n">
        <f aca="false">IF(F126="đệm","—",G126+1)</f>
        <v>607</v>
      </c>
      <c r="I126" s="11" t="n">
        <f aca="false">IF(F126="đệm",0,INDEX(pool2!$F:$F,G126+2))</f>
        <v>1.56782246</v>
      </c>
      <c r="J126" s="12" t="n">
        <f aca="false">(($B$4*16+A126)*3+B126)*3+C126</f>
        <v>110</v>
      </c>
      <c r="K126" s="12" t="n">
        <f aca="false">J126+1224</f>
        <v>1334</v>
      </c>
      <c r="L126" s="12" t="n">
        <f aca="false">K126+1</f>
        <v>1335</v>
      </c>
      <c r="M126" s="13" t="n">
        <f aca="false">INDEX(weights!$H:$H,K126+2)</f>
        <v>0.00906735193</v>
      </c>
      <c r="N126" s="14" t="n">
        <f aca="false">I126*M126</f>
        <v>0.0142159980085783</v>
      </c>
      <c r="O126" s="15" t="n">
        <f aca="false">O125+N126</f>
        <v>-4.37647299937193</v>
      </c>
    </row>
    <row r="127" customFormat="false" ht="15" hidden="false" customHeight="false" outlineLevel="0" collapsed="false">
      <c r="A127" s="10" t="n">
        <v>12</v>
      </c>
      <c r="B127" s="10" t="n">
        <v>1</v>
      </c>
      <c r="C127" s="10" t="n">
        <v>0</v>
      </c>
      <c r="D127" s="10" t="n">
        <f aca="false">$B$5+B127-1</f>
        <v>3</v>
      </c>
      <c r="E127" s="10" t="n">
        <f aca="false">$B$6+C127-1</f>
        <v>2</v>
      </c>
      <c r="F127" s="10" t="str">
        <f aca="false">IF(OR(D127&lt;0,D127&gt;6,E127&lt;0,E127&gt;6),"đệm","ảnh")</f>
        <v>ảnh</v>
      </c>
      <c r="G127" s="10" t="n">
        <f aca="false">IF(F127="đệm","—",(A127*7+D127)*7+E127)</f>
        <v>611</v>
      </c>
      <c r="H127" s="10" t="n">
        <f aca="false">IF(F127="đệm","—",G127+1)</f>
        <v>612</v>
      </c>
      <c r="I127" s="11" t="n">
        <f aca="false">IF(F127="đệm",0,INDEX(pool2!$F:$F,G127+2))</f>
        <v>0.170722976</v>
      </c>
      <c r="J127" s="12" t="n">
        <f aca="false">(($B$4*16+A127)*3+B127)*3+C127</f>
        <v>111</v>
      </c>
      <c r="K127" s="12" t="n">
        <f aca="false">J127+1224</f>
        <v>1335</v>
      </c>
      <c r="L127" s="12" t="n">
        <f aca="false">K127+1</f>
        <v>1336</v>
      </c>
      <c r="M127" s="13" t="n">
        <f aca="false">INDEX(weights!$H:$H,K127+2)</f>
        <v>0.0865239203</v>
      </c>
      <c r="N127" s="14" t="n">
        <f aca="false">I127*M127</f>
        <v>0.0147716211688028</v>
      </c>
      <c r="O127" s="15" t="n">
        <f aca="false">O126+N127</f>
        <v>-4.36170137820312</v>
      </c>
    </row>
    <row r="128" customFormat="false" ht="15" hidden="false" customHeight="false" outlineLevel="0" collapsed="false">
      <c r="A128" s="10" t="n">
        <v>12</v>
      </c>
      <c r="B128" s="10" t="n">
        <v>1</v>
      </c>
      <c r="C128" s="10" t="n">
        <v>1</v>
      </c>
      <c r="D128" s="10" t="n">
        <f aca="false">$B$5+B128-1</f>
        <v>3</v>
      </c>
      <c r="E128" s="10" t="n">
        <f aca="false">$B$6+C128-1</f>
        <v>3</v>
      </c>
      <c r="F128" s="10" t="str">
        <f aca="false">IF(OR(D128&lt;0,D128&gt;6,E128&lt;0,E128&gt;6),"đệm","ảnh")</f>
        <v>ảnh</v>
      </c>
      <c r="G128" s="10" t="n">
        <f aca="false">IF(F128="đệm","—",(A128*7+D128)*7+E128)</f>
        <v>612</v>
      </c>
      <c r="H128" s="10" t="n">
        <f aca="false">IF(F128="đệm","—",G128+1)</f>
        <v>613</v>
      </c>
      <c r="I128" s="11" t="n">
        <f aca="false">IF(F128="đệm",0,INDEX(pool2!$F:$F,G128+2))</f>
        <v>6.83154011</v>
      </c>
      <c r="J128" s="12" t="n">
        <f aca="false">(($B$4*16+A128)*3+B128)*3+C128</f>
        <v>112</v>
      </c>
      <c r="K128" s="12" t="n">
        <f aca="false">J128+1224</f>
        <v>1336</v>
      </c>
      <c r="L128" s="12" t="n">
        <f aca="false">K128+1</f>
        <v>1337</v>
      </c>
      <c r="M128" s="13" t="n">
        <f aca="false">INDEX(weights!$H:$H,K128+2)</f>
        <v>-0.0511041135</v>
      </c>
      <c r="N128" s="14" t="n">
        <f aca="false">I128*M128</f>
        <v>-0.349119801161242</v>
      </c>
      <c r="O128" s="15" t="n">
        <f aca="false">O127+N128</f>
        <v>-4.71082117936437</v>
      </c>
    </row>
    <row r="129" customFormat="false" ht="15" hidden="false" customHeight="false" outlineLevel="0" collapsed="false">
      <c r="A129" s="10" t="n">
        <v>12</v>
      </c>
      <c r="B129" s="10" t="n">
        <v>1</v>
      </c>
      <c r="C129" s="10" t="n">
        <v>2</v>
      </c>
      <c r="D129" s="10" t="n">
        <f aca="false">$B$5+B129-1</f>
        <v>3</v>
      </c>
      <c r="E129" s="10" t="n">
        <f aca="false">$B$6+C129-1</f>
        <v>4</v>
      </c>
      <c r="F129" s="10" t="str">
        <f aca="false">IF(OR(D129&lt;0,D129&gt;6,E129&lt;0,E129&gt;6),"đệm","ảnh")</f>
        <v>ảnh</v>
      </c>
      <c r="G129" s="10" t="n">
        <f aca="false">IF(F129="đệm","—",(A129*7+D129)*7+E129)</f>
        <v>613</v>
      </c>
      <c r="H129" s="10" t="n">
        <f aca="false">IF(F129="đệm","—",G129+1)</f>
        <v>614</v>
      </c>
      <c r="I129" s="11" t="n">
        <f aca="false">IF(F129="đệm",0,INDEX(pool2!$F:$F,G129+2))</f>
        <v>0</v>
      </c>
      <c r="J129" s="12" t="n">
        <f aca="false">(($B$4*16+A129)*3+B129)*3+C129</f>
        <v>113</v>
      </c>
      <c r="K129" s="12" t="n">
        <f aca="false">J129+1224</f>
        <v>1337</v>
      </c>
      <c r="L129" s="12" t="n">
        <f aca="false">K129+1</f>
        <v>1338</v>
      </c>
      <c r="M129" s="13" t="n">
        <f aca="false">INDEX(weights!$H:$H,K129+2)</f>
        <v>-0.0826530978</v>
      </c>
      <c r="N129" s="14" t="n">
        <f aca="false">I129*M129</f>
        <v>-0</v>
      </c>
      <c r="O129" s="15" t="n">
        <f aca="false">O128+N129</f>
        <v>-4.71082117936437</v>
      </c>
    </row>
    <row r="130" customFormat="false" ht="15" hidden="false" customHeight="false" outlineLevel="0" collapsed="false">
      <c r="A130" s="10" t="n">
        <v>12</v>
      </c>
      <c r="B130" s="10" t="n">
        <v>2</v>
      </c>
      <c r="C130" s="10" t="n">
        <v>0</v>
      </c>
      <c r="D130" s="10" t="n">
        <f aca="false">$B$5+B130-1</f>
        <v>4</v>
      </c>
      <c r="E130" s="10" t="n">
        <f aca="false">$B$6+C130-1</f>
        <v>2</v>
      </c>
      <c r="F130" s="10" t="str">
        <f aca="false">IF(OR(D130&lt;0,D130&gt;6,E130&lt;0,E130&gt;6),"đệm","ảnh")</f>
        <v>ảnh</v>
      </c>
      <c r="G130" s="10" t="n">
        <f aca="false">IF(F130="đệm","—",(A130*7+D130)*7+E130)</f>
        <v>618</v>
      </c>
      <c r="H130" s="10" t="n">
        <f aca="false">IF(F130="đệm","—",G130+1)</f>
        <v>619</v>
      </c>
      <c r="I130" s="11" t="n">
        <f aca="false">IF(F130="đệm",0,INDEX(pool2!$F:$F,G130+2))</f>
        <v>6.6233983</v>
      </c>
      <c r="J130" s="12" t="n">
        <f aca="false">(($B$4*16+A130)*3+B130)*3+C130</f>
        <v>114</v>
      </c>
      <c r="K130" s="12" t="n">
        <f aca="false">J130+1224</f>
        <v>1338</v>
      </c>
      <c r="L130" s="12" t="n">
        <f aca="false">K130+1</f>
        <v>1339</v>
      </c>
      <c r="M130" s="13" t="n">
        <f aca="false">INDEX(weights!$H:$H,K130+2)</f>
        <v>-0.283321947</v>
      </c>
      <c r="N130" s="14" t="n">
        <f aca="false">I130*M130</f>
        <v>-1.87655410211249</v>
      </c>
      <c r="O130" s="15" t="n">
        <f aca="false">O129+N130</f>
        <v>-6.58737528147686</v>
      </c>
    </row>
    <row r="131" customFormat="false" ht="15" hidden="false" customHeight="false" outlineLevel="0" collapsed="false">
      <c r="A131" s="10" t="n">
        <v>12</v>
      </c>
      <c r="B131" s="10" t="n">
        <v>2</v>
      </c>
      <c r="C131" s="10" t="n">
        <v>1</v>
      </c>
      <c r="D131" s="10" t="n">
        <f aca="false">$B$5+B131-1</f>
        <v>4</v>
      </c>
      <c r="E131" s="10" t="n">
        <f aca="false">$B$6+C131-1</f>
        <v>3</v>
      </c>
      <c r="F131" s="10" t="str">
        <f aca="false">IF(OR(D131&lt;0,D131&gt;6,E131&lt;0,E131&gt;6),"đệm","ảnh")</f>
        <v>ảnh</v>
      </c>
      <c r="G131" s="10" t="n">
        <f aca="false">IF(F131="đệm","—",(A131*7+D131)*7+E131)</f>
        <v>619</v>
      </c>
      <c r="H131" s="10" t="n">
        <f aca="false">IF(F131="đệm","—",G131+1)</f>
        <v>620</v>
      </c>
      <c r="I131" s="11" t="n">
        <f aca="false">IF(F131="đệm",0,INDEX(pool2!$F:$F,G131+2))</f>
        <v>7.80004072</v>
      </c>
      <c r="J131" s="12" t="n">
        <f aca="false">(($B$4*16+A131)*3+B131)*3+C131</f>
        <v>115</v>
      </c>
      <c r="K131" s="12" t="n">
        <f aca="false">J131+1224</f>
        <v>1339</v>
      </c>
      <c r="L131" s="12" t="n">
        <f aca="false">K131+1</f>
        <v>1340</v>
      </c>
      <c r="M131" s="13" t="n">
        <f aca="false">INDEX(weights!$H:$H,K131+2)</f>
        <v>0.136006638</v>
      </c>
      <c r="N131" s="14" t="n">
        <f aca="false">I131*M131</f>
        <v>1.0608573145903</v>
      </c>
      <c r="O131" s="15" t="n">
        <f aca="false">O130+N131</f>
        <v>-5.52651796688656</v>
      </c>
    </row>
    <row r="132" customFormat="false" ht="15" hidden="false" customHeight="false" outlineLevel="0" collapsed="false">
      <c r="A132" s="16" t="n">
        <v>12</v>
      </c>
      <c r="B132" s="16" t="n">
        <v>2</v>
      </c>
      <c r="C132" s="16" t="n">
        <v>2</v>
      </c>
      <c r="D132" s="16" t="n">
        <f aca="false">$B$5+B132-1</f>
        <v>4</v>
      </c>
      <c r="E132" s="16" t="n">
        <f aca="false">$B$6+C132-1</f>
        <v>4</v>
      </c>
      <c r="F132" s="16" t="str">
        <f aca="false">IF(OR(D132&lt;0,D132&gt;6,E132&lt;0,E132&gt;6),"đệm","ảnh")</f>
        <v>ảnh</v>
      </c>
      <c r="G132" s="16" t="n">
        <f aca="false">IF(F132="đệm","—",(A132*7+D132)*7+E132)</f>
        <v>620</v>
      </c>
      <c r="H132" s="16" t="n">
        <f aca="false">IF(F132="đệm","—",G132+1)</f>
        <v>621</v>
      </c>
      <c r="I132" s="17" t="n">
        <f aca="false">IF(F132="đệm",0,INDEX(pool2!$F:$F,G132+2))</f>
        <v>0</v>
      </c>
      <c r="J132" s="18" t="n">
        <f aca="false">(($B$4*16+A132)*3+B132)*3+C132</f>
        <v>116</v>
      </c>
      <c r="K132" s="18" t="n">
        <f aca="false">J132+1224</f>
        <v>1340</v>
      </c>
      <c r="L132" s="18" t="n">
        <f aca="false">K132+1</f>
        <v>1341</v>
      </c>
      <c r="M132" s="19" t="n">
        <f aca="false">INDEX(weights!$H:$H,K132+2)</f>
        <v>0.187190443</v>
      </c>
      <c r="N132" s="20" t="n">
        <f aca="false">I132*M132</f>
        <v>0</v>
      </c>
      <c r="O132" s="21" t="n">
        <f aca="false">O131+N132</f>
        <v>-5.52651796688656</v>
      </c>
    </row>
    <row r="133" customFormat="false" ht="15" hidden="false" customHeight="false" outlineLevel="0" collapsed="false">
      <c r="A133" s="10" t="n">
        <v>13</v>
      </c>
      <c r="B133" s="10" t="n">
        <v>0</v>
      </c>
      <c r="C133" s="10" t="n">
        <v>0</v>
      </c>
      <c r="D133" s="10" t="n">
        <f aca="false">$B$5+B133-1</f>
        <v>2</v>
      </c>
      <c r="E133" s="10" t="n">
        <f aca="false">$B$6+C133-1</f>
        <v>2</v>
      </c>
      <c r="F133" s="10" t="str">
        <f aca="false">IF(OR(D133&lt;0,D133&gt;6,E133&lt;0,E133&gt;6),"đệm","ảnh")</f>
        <v>ảnh</v>
      </c>
      <c r="G133" s="10" t="n">
        <f aca="false">IF(F133="đệm","—",(A133*7+D133)*7+E133)</f>
        <v>653</v>
      </c>
      <c r="H133" s="10" t="n">
        <f aca="false">IF(F133="đệm","—",G133+1)</f>
        <v>654</v>
      </c>
      <c r="I133" s="11" t="n">
        <f aca="false">IF(F133="đệm",0,INDEX(pool2!$F:$F,G133+2))</f>
        <v>0</v>
      </c>
      <c r="J133" s="12" t="n">
        <f aca="false">(($B$4*16+A133)*3+B133)*3+C133</f>
        <v>117</v>
      </c>
      <c r="K133" s="12" t="n">
        <f aca="false">J133+1224</f>
        <v>1341</v>
      </c>
      <c r="L133" s="12" t="n">
        <f aca="false">K133+1</f>
        <v>1342</v>
      </c>
      <c r="M133" s="13" t="n">
        <f aca="false">INDEX(weights!$H:$H,K133+2)</f>
        <v>-0.31471321</v>
      </c>
      <c r="N133" s="14" t="n">
        <f aca="false">I133*M133</f>
        <v>-0</v>
      </c>
      <c r="O133" s="15" t="n">
        <f aca="false">O132+N133</f>
        <v>-5.52651796688656</v>
      </c>
    </row>
    <row r="134" customFormat="false" ht="15" hidden="false" customHeight="false" outlineLevel="0" collapsed="false">
      <c r="A134" s="10" t="n">
        <v>13</v>
      </c>
      <c r="B134" s="10" t="n">
        <v>0</v>
      </c>
      <c r="C134" s="10" t="n">
        <v>1</v>
      </c>
      <c r="D134" s="10" t="n">
        <f aca="false">$B$5+B134-1</f>
        <v>2</v>
      </c>
      <c r="E134" s="10" t="n">
        <f aca="false">$B$6+C134-1</f>
        <v>3</v>
      </c>
      <c r="F134" s="10" t="str">
        <f aca="false">IF(OR(D134&lt;0,D134&gt;6,E134&lt;0,E134&gt;6),"đệm","ảnh")</f>
        <v>ảnh</v>
      </c>
      <c r="G134" s="10" t="n">
        <f aca="false">IF(F134="đệm","—",(A134*7+D134)*7+E134)</f>
        <v>654</v>
      </c>
      <c r="H134" s="10" t="n">
        <f aca="false">IF(F134="đệm","—",G134+1)</f>
        <v>655</v>
      </c>
      <c r="I134" s="11" t="n">
        <f aca="false">IF(F134="đệm",0,INDEX(pool2!$F:$F,G134+2))</f>
        <v>0</v>
      </c>
      <c r="J134" s="12" t="n">
        <f aca="false">(($B$4*16+A134)*3+B134)*3+C134</f>
        <v>118</v>
      </c>
      <c r="K134" s="12" t="n">
        <f aca="false">J134+1224</f>
        <v>1342</v>
      </c>
      <c r="L134" s="12" t="n">
        <f aca="false">K134+1</f>
        <v>1343</v>
      </c>
      <c r="M134" s="13" t="n">
        <f aca="false">INDEX(weights!$H:$H,K134+2)</f>
        <v>-0.343143046</v>
      </c>
      <c r="N134" s="14" t="n">
        <f aca="false">I134*M134</f>
        <v>-0</v>
      </c>
      <c r="O134" s="15" t="n">
        <f aca="false">O133+N134</f>
        <v>-5.52651796688656</v>
      </c>
    </row>
    <row r="135" customFormat="false" ht="15" hidden="false" customHeight="false" outlineLevel="0" collapsed="false">
      <c r="A135" s="10" t="n">
        <v>13</v>
      </c>
      <c r="B135" s="10" t="n">
        <v>0</v>
      </c>
      <c r="C135" s="10" t="n">
        <v>2</v>
      </c>
      <c r="D135" s="10" t="n">
        <f aca="false">$B$5+B135-1</f>
        <v>2</v>
      </c>
      <c r="E135" s="10" t="n">
        <f aca="false">$B$6+C135-1</f>
        <v>4</v>
      </c>
      <c r="F135" s="10" t="str">
        <f aca="false">IF(OR(D135&lt;0,D135&gt;6,E135&lt;0,E135&gt;6),"đệm","ảnh")</f>
        <v>ảnh</v>
      </c>
      <c r="G135" s="10" t="n">
        <f aca="false">IF(F135="đệm","—",(A135*7+D135)*7+E135)</f>
        <v>655</v>
      </c>
      <c r="H135" s="10" t="n">
        <f aca="false">IF(F135="đệm","—",G135+1)</f>
        <v>656</v>
      </c>
      <c r="I135" s="11" t="n">
        <f aca="false">IF(F135="đệm",0,INDEX(pool2!$F:$F,G135+2))</f>
        <v>0</v>
      </c>
      <c r="J135" s="12" t="n">
        <f aca="false">(($B$4*16+A135)*3+B135)*3+C135</f>
        <v>119</v>
      </c>
      <c r="K135" s="12" t="n">
        <f aca="false">J135+1224</f>
        <v>1343</v>
      </c>
      <c r="L135" s="12" t="n">
        <f aca="false">K135+1</f>
        <v>1344</v>
      </c>
      <c r="M135" s="13" t="n">
        <f aca="false">INDEX(weights!$H:$H,K135+2)</f>
        <v>0.0768886805</v>
      </c>
      <c r="N135" s="14" t="n">
        <f aca="false">I135*M135</f>
        <v>0</v>
      </c>
      <c r="O135" s="15" t="n">
        <f aca="false">O134+N135</f>
        <v>-5.52651796688656</v>
      </c>
    </row>
    <row r="136" customFormat="false" ht="15" hidden="false" customHeight="false" outlineLevel="0" collapsed="false">
      <c r="A136" s="10" t="n">
        <v>13</v>
      </c>
      <c r="B136" s="10" t="n">
        <v>1</v>
      </c>
      <c r="C136" s="10" t="n">
        <v>0</v>
      </c>
      <c r="D136" s="10" t="n">
        <f aca="false">$B$5+B136-1</f>
        <v>3</v>
      </c>
      <c r="E136" s="10" t="n">
        <f aca="false">$B$6+C136-1</f>
        <v>2</v>
      </c>
      <c r="F136" s="10" t="str">
        <f aca="false">IF(OR(D136&lt;0,D136&gt;6,E136&lt;0,E136&gt;6),"đệm","ảnh")</f>
        <v>ảnh</v>
      </c>
      <c r="G136" s="10" t="n">
        <f aca="false">IF(F136="đệm","—",(A136*7+D136)*7+E136)</f>
        <v>660</v>
      </c>
      <c r="H136" s="10" t="n">
        <f aca="false">IF(F136="đệm","—",G136+1)</f>
        <v>661</v>
      </c>
      <c r="I136" s="11" t="n">
        <f aca="false">IF(F136="đệm",0,INDEX(pool2!$F:$F,G136+2))</f>
        <v>0.60323894</v>
      </c>
      <c r="J136" s="12" t="n">
        <f aca="false">(($B$4*16+A136)*3+B136)*3+C136</f>
        <v>120</v>
      </c>
      <c r="K136" s="12" t="n">
        <f aca="false">J136+1224</f>
        <v>1344</v>
      </c>
      <c r="L136" s="12" t="n">
        <f aca="false">K136+1</f>
        <v>1345</v>
      </c>
      <c r="M136" s="13" t="n">
        <f aca="false">INDEX(weights!$H:$H,K136+2)</f>
        <v>-0.0773717389</v>
      </c>
      <c r="N136" s="14" t="n">
        <f aca="false">I136*M136</f>
        <v>-0.0466736457599928</v>
      </c>
      <c r="O136" s="15" t="n">
        <f aca="false">O135+N136</f>
        <v>-5.57319161264655</v>
      </c>
    </row>
    <row r="137" customFormat="false" ht="15" hidden="false" customHeight="false" outlineLevel="0" collapsed="false">
      <c r="A137" s="10" t="n">
        <v>13</v>
      </c>
      <c r="B137" s="10" t="n">
        <v>1</v>
      </c>
      <c r="C137" s="10" t="n">
        <v>1</v>
      </c>
      <c r="D137" s="10" t="n">
        <f aca="false">$B$5+B137-1</f>
        <v>3</v>
      </c>
      <c r="E137" s="10" t="n">
        <f aca="false">$B$6+C137-1</f>
        <v>3</v>
      </c>
      <c r="F137" s="10" t="str">
        <f aca="false">IF(OR(D137&lt;0,D137&gt;6,E137&lt;0,E137&gt;6),"đệm","ảnh")</f>
        <v>ảnh</v>
      </c>
      <c r="G137" s="10" t="n">
        <f aca="false">IF(F137="đệm","—",(A137*7+D137)*7+E137)</f>
        <v>661</v>
      </c>
      <c r="H137" s="10" t="n">
        <f aca="false">IF(F137="đệm","—",G137+1)</f>
        <v>662</v>
      </c>
      <c r="I137" s="11" t="n">
        <f aca="false">IF(F137="đệm",0,INDEX(pool2!$F:$F,G137+2))</f>
        <v>1.95222759</v>
      </c>
      <c r="J137" s="12" t="n">
        <f aca="false">(($B$4*16+A137)*3+B137)*3+C137</f>
        <v>121</v>
      </c>
      <c r="K137" s="12" t="n">
        <f aca="false">J137+1224</f>
        <v>1345</v>
      </c>
      <c r="L137" s="12" t="n">
        <f aca="false">K137+1</f>
        <v>1346</v>
      </c>
      <c r="M137" s="13" t="n">
        <f aca="false">INDEX(weights!$H:$H,K137+2)</f>
        <v>-0.0129741421</v>
      </c>
      <c r="N137" s="14" t="n">
        <f aca="false">I137*M137</f>
        <v>-0.0253284781642005</v>
      </c>
      <c r="O137" s="15" t="n">
        <f aca="false">O136+N137</f>
        <v>-5.59852009081075</v>
      </c>
    </row>
    <row r="138" customFormat="false" ht="15" hidden="false" customHeight="false" outlineLevel="0" collapsed="false">
      <c r="A138" s="10" t="n">
        <v>13</v>
      </c>
      <c r="B138" s="10" t="n">
        <v>1</v>
      </c>
      <c r="C138" s="10" t="n">
        <v>2</v>
      </c>
      <c r="D138" s="10" t="n">
        <f aca="false">$B$5+B138-1</f>
        <v>3</v>
      </c>
      <c r="E138" s="10" t="n">
        <f aca="false">$B$6+C138-1</f>
        <v>4</v>
      </c>
      <c r="F138" s="10" t="str">
        <f aca="false">IF(OR(D138&lt;0,D138&gt;6,E138&lt;0,E138&gt;6),"đệm","ảnh")</f>
        <v>ảnh</v>
      </c>
      <c r="G138" s="10" t="n">
        <f aca="false">IF(F138="đệm","—",(A138*7+D138)*7+E138)</f>
        <v>662</v>
      </c>
      <c r="H138" s="10" t="n">
        <f aca="false">IF(F138="đệm","—",G138+1)</f>
        <v>663</v>
      </c>
      <c r="I138" s="11" t="n">
        <f aca="false">IF(F138="đệm",0,INDEX(pool2!$F:$F,G138+2))</f>
        <v>0.795278728</v>
      </c>
      <c r="J138" s="12" t="n">
        <f aca="false">(($B$4*16+A138)*3+B138)*3+C138</f>
        <v>122</v>
      </c>
      <c r="K138" s="12" t="n">
        <f aca="false">J138+1224</f>
        <v>1346</v>
      </c>
      <c r="L138" s="12" t="n">
        <f aca="false">K138+1</f>
        <v>1347</v>
      </c>
      <c r="M138" s="13" t="n">
        <f aca="false">INDEX(weights!$H:$H,K138+2)</f>
        <v>0.163854018</v>
      </c>
      <c r="N138" s="14" t="n">
        <f aca="false">I138*M138</f>
        <v>0.130309615012729</v>
      </c>
      <c r="O138" s="15" t="n">
        <f aca="false">O137+N138</f>
        <v>-5.46821047579802</v>
      </c>
    </row>
    <row r="139" customFormat="false" ht="15" hidden="false" customHeight="false" outlineLevel="0" collapsed="false">
      <c r="A139" s="10" t="n">
        <v>13</v>
      </c>
      <c r="B139" s="10" t="n">
        <v>2</v>
      </c>
      <c r="C139" s="10" t="n">
        <v>0</v>
      </c>
      <c r="D139" s="10" t="n">
        <f aca="false">$B$5+B139-1</f>
        <v>4</v>
      </c>
      <c r="E139" s="10" t="n">
        <f aca="false">$B$6+C139-1</f>
        <v>2</v>
      </c>
      <c r="F139" s="10" t="str">
        <f aca="false">IF(OR(D139&lt;0,D139&gt;6,E139&lt;0,E139&gt;6),"đệm","ảnh")</f>
        <v>ảnh</v>
      </c>
      <c r="G139" s="10" t="n">
        <f aca="false">IF(F139="đệm","—",(A139*7+D139)*7+E139)</f>
        <v>667</v>
      </c>
      <c r="H139" s="10" t="n">
        <f aca="false">IF(F139="đệm","—",G139+1)</f>
        <v>668</v>
      </c>
      <c r="I139" s="11" t="n">
        <f aca="false">IF(F139="đệm",0,INDEX(pool2!$F:$F,G139+2))</f>
        <v>1.63096261</v>
      </c>
      <c r="J139" s="12" t="n">
        <f aca="false">(($B$4*16+A139)*3+B139)*3+C139</f>
        <v>123</v>
      </c>
      <c r="K139" s="12" t="n">
        <f aca="false">J139+1224</f>
        <v>1347</v>
      </c>
      <c r="L139" s="12" t="n">
        <f aca="false">K139+1</f>
        <v>1348</v>
      </c>
      <c r="M139" s="13" t="n">
        <f aca="false">INDEX(weights!$H:$H,K139+2)</f>
        <v>0.337699115</v>
      </c>
      <c r="N139" s="14" t="n">
        <f aca="false">I139*M139</f>
        <v>0.55077462999509</v>
      </c>
      <c r="O139" s="15" t="n">
        <f aca="false">O138+N139</f>
        <v>-4.91743584580293</v>
      </c>
    </row>
    <row r="140" customFormat="false" ht="15" hidden="false" customHeight="false" outlineLevel="0" collapsed="false">
      <c r="A140" s="10" t="n">
        <v>13</v>
      </c>
      <c r="B140" s="10" t="n">
        <v>2</v>
      </c>
      <c r="C140" s="10" t="n">
        <v>1</v>
      </c>
      <c r="D140" s="10" t="n">
        <f aca="false">$B$5+B140-1</f>
        <v>4</v>
      </c>
      <c r="E140" s="10" t="n">
        <f aca="false">$B$6+C140-1</f>
        <v>3</v>
      </c>
      <c r="F140" s="10" t="str">
        <f aca="false">IF(OR(D140&lt;0,D140&gt;6,E140&lt;0,E140&gt;6),"đệm","ảnh")</f>
        <v>ảnh</v>
      </c>
      <c r="G140" s="10" t="n">
        <f aca="false">IF(F140="đệm","—",(A140*7+D140)*7+E140)</f>
        <v>668</v>
      </c>
      <c r="H140" s="10" t="n">
        <f aca="false">IF(F140="đệm","—",G140+1)</f>
        <v>669</v>
      </c>
      <c r="I140" s="11" t="n">
        <f aca="false">IF(F140="đệm",0,INDEX(pool2!$F:$F,G140+2))</f>
        <v>1.12111473</v>
      </c>
      <c r="J140" s="12" t="n">
        <f aca="false">(($B$4*16+A140)*3+B140)*3+C140</f>
        <v>124</v>
      </c>
      <c r="K140" s="12" t="n">
        <f aca="false">J140+1224</f>
        <v>1348</v>
      </c>
      <c r="L140" s="12" t="n">
        <f aca="false">K140+1</f>
        <v>1349</v>
      </c>
      <c r="M140" s="13" t="n">
        <f aca="false">INDEX(weights!$H:$H,K140+2)</f>
        <v>0.0831161961</v>
      </c>
      <c r="N140" s="14" t="n">
        <f aca="false">I140*M140</f>
        <v>0.0931827917492785</v>
      </c>
      <c r="O140" s="15" t="n">
        <f aca="false">O139+N140</f>
        <v>-4.82425305405365</v>
      </c>
    </row>
    <row r="141" customFormat="false" ht="15" hidden="false" customHeight="false" outlineLevel="0" collapsed="false">
      <c r="A141" s="16" t="n">
        <v>13</v>
      </c>
      <c r="B141" s="16" t="n">
        <v>2</v>
      </c>
      <c r="C141" s="16" t="n">
        <v>2</v>
      </c>
      <c r="D141" s="16" t="n">
        <f aca="false">$B$5+B141-1</f>
        <v>4</v>
      </c>
      <c r="E141" s="16" t="n">
        <f aca="false">$B$6+C141-1</f>
        <v>4</v>
      </c>
      <c r="F141" s="16" t="str">
        <f aca="false">IF(OR(D141&lt;0,D141&gt;6,E141&lt;0,E141&gt;6),"đệm","ảnh")</f>
        <v>ảnh</v>
      </c>
      <c r="G141" s="16" t="n">
        <f aca="false">IF(F141="đệm","—",(A141*7+D141)*7+E141)</f>
        <v>669</v>
      </c>
      <c r="H141" s="16" t="n">
        <f aca="false">IF(F141="đệm","—",G141+1)</f>
        <v>670</v>
      </c>
      <c r="I141" s="17" t="n">
        <f aca="false">IF(F141="đệm",0,INDEX(pool2!$F:$F,G141+2))</f>
        <v>7.89416647</v>
      </c>
      <c r="J141" s="18" t="n">
        <f aca="false">(($B$4*16+A141)*3+B141)*3+C141</f>
        <v>125</v>
      </c>
      <c r="K141" s="18" t="n">
        <f aca="false">J141+1224</f>
        <v>1349</v>
      </c>
      <c r="L141" s="18" t="n">
        <f aca="false">K141+1</f>
        <v>1350</v>
      </c>
      <c r="M141" s="19" t="n">
        <f aca="false">INDEX(weights!$H:$H,K141+2)</f>
        <v>0.190120399</v>
      </c>
      <c r="N141" s="20" t="n">
        <f aca="false">I141*M141</f>
        <v>1.50084207904882</v>
      </c>
      <c r="O141" s="21" t="n">
        <f aca="false">O140+N141</f>
        <v>-3.32341097500483</v>
      </c>
    </row>
    <row r="142" customFormat="false" ht="15" hidden="false" customHeight="false" outlineLevel="0" collapsed="false">
      <c r="A142" s="10" t="n">
        <v>14</v>
      </c>
      <c r="B142" s="10" t="n">
        <v>0</v>
      </c>
      <c r="C142" s="10" t="n">
        <v>0</v>
      </c>
      <c r="D142" s="10" t="n">
        <f aca="false">$B$5+B142-1</f>
        <v>2</v>
      </c>
      <c r="E142" s="10" t="n">
        <f aca="false">$B$6+C142-1</f>
        <v>2</v>
      </c>
      <c r="F142" s="10" t="str">
        <f aca="false">IF(OR(D142&lt;0,D142&gt;6,E142&lt;0,E142&gt;6),"đệm","ảnh")</f>
        <v>ảnh</v>
      </c>
      <c r="G142" s="10" t="n">
        <f aca="false">IF(F142="đệm","—",(A142*7+D142)*7+E142)</f>
        <v>702</v>
      </c>
      <c r="H142" s="10" t="n">
        <f aca="false">IF(F142="đệm","—",G142+1)</f>
        <v>703</v>
      </c>
      <c r="I142" s="11" t="n">
        <f aca="false">IF(F142="đệm",0,INDEX(pool2!$F:$F,G142+2))</f>
        <v>1.10371995</v>
      </c>
      <c r="J142" s="12" t="n">
        <f aca="false">(($B$4*16+A142)*3+B142)*3+C142</f>
        <v>126</v>
      </c>
      <c r="K142" s="12" t="n">
        <f aca="false">J142+1224</f>
        <v>1350</v>
      </c>
      <c r="L142" s="12" t="n">
        <f aca="false">K142+1</f>
        <v>1351</v>
      </c>
      <c r="M142" s="13" t="n">
        <f aca="false">INDEX(weights!$H:$H,K142+2)</f>
        <v>-0.130119532</v>
      </c>
      <c r="N142" s="14" t="n">
        <f aca="false">I142*M142</f>
        <v>-0.143615523353063</v>
      </c>
      <c r="O142" s="15" t="n">
        <f aca="false">O141+N142</f>
        <v>-3.46702649835789</v>
      </c>
    </row>
    <row r="143" customFormat="false" ht="15" hidden="false" customHeight="false" outlineLevel="0" collapsed="false">
      <c r="A143" s="10" t="n">
        <v>14</v>
      </c>
      <c r="B143" s="10" t="n">
        <v>0</v>
      </c>
      <c r="C143" s="10" t="n">
        <v>1</v>
      </c>
      <c r="D143" s="10" t="n">
        <f aca="false">$B$5+B143-1</f>
        <v>2</v>
      </c>
      <c r="E143" s="10" t="n">
        <f aca="false">$B$6+C143-1</f>
        <v>3</v>
      </c>
      <c r="F143" s="10" t="str">
        <f aca="false">IF(OR(D143&lt;0,D143&gt;6,E143&lt;0,E143&gt;6),"đệm","ảnh")</f>
        <v>ảnh</v>
      </c>
      <c r="G143" s="10" t="n">
        <f aca="false">IF(F143="đệm","—",(A143*7+D143)*7+E143)</f>
        <v>703</v>
      </c>
      <c r="H143" s="10" t="n">
        <f aca="false">IF(F143="đệm","—",G143+1)</f>
        <v>704</v>
      </c>
      <c r="I143" s="11" t="n">
        <f aca="false">IF(F143="đệm",0,INDEX(pool2!$F:$F,G143+2))</f>
        <v>1.19547737</v>
      </c>
      <c r="J143" s="12" t="n">
        <f aca="false">(($B$4*16+A143)*3+B143)*3+C143</f>
        <v>127</v>
      </c>
      <c r="K143" s="12" t="n">
        <f aca="false">J143+1224</f>
        <v>1351</v>
      </c>
      <c r="L143" s="12" t="n">
        <f aca="false">K143+1</f>
        <v>1352</v>
      </c>
      <c r="M143" s="13" t="n">
        <f aca="false">INDEX(weights!$H:$H,K143+2)</f>
        <v>0.144597754</v>
      </c>
      <c r="N143" s="14" t="n">
        <f aca="false">I143*M143</f>
        <v>0.172863342659827</v>
      </c>
      <c r="O143" s="15" t="n">
        <f aca="false">O142+N143</f>
        <v>-3.29416315569807</v>
      </c>
    </row>
    <row r="144" customFormat="false" ht="15" hidden="false" customHeight="false" outlineLevel="0" collapsed="false">
      <c r="A144" s="10" t="n">
        <v>14</v>
      </c>
      <c r="B144" s="10" t="n">
        <v>0</v>
      </c>
      <c r="C144" s="10" t="n">
        <v>2</v>
      </c>
      <c r="D144" s="10" t="n">
        <f aca="false">$B$5+B144-1</f>
        <v>2</v>
      </c>
      <c r="E144" s="10" t="n">
        <f aca="false">$B$6+C144-1</f>
        <v>4</v>
      </c>
      <c r="F144" s="10" t="str">
        <f aca="false">IF(OR(D144&lt;0,D144&gt;6,E144&lt;0,E144&gt;6),"đệm","ảnh")</f>
        <v>ảnh</v>
      </c>
      <c r="G144" s="10" t="n">
        <f aca="false">IF(F144="đệm","—",(A144*7+D144)*7+E144)</f>
        <v>704</v>
      </c>
      <c r="H144" s="10" t="n">
        <f aca="false">IF(F144="đệm","—",G144+1)</f>
        <v>705</v>
      </c>
      <c r="I144" s="11" t="n">
        <f aca="false">IF(F144="đệm",0,INDEX(pool2!$F:$F,G144+2))</f>
        <v>3.62635636</v>
      </c>
      <c r="J144" s="12" t="n">
        <f aca="false">(($B$4*16+A144)*3+B144)*3+C144</f>
        <v>128</v>
      </c>
      <c r="K144" s="12" t="n">
        <f aca="false">J144+1224</f>
        <v>1352</v>
      </c>
      <c r="L144" s="12" t="n">
        <f aca="false">K144+1</f>
        <v>1353</v>
      </c>
      <c r="M144" s="13" t="n">
        <f aca="false">INDEX(weights!$H:$H,K144+2)</f>
        <v>0.138087422</v>
      </c>
      <c r="N144" s="14" t="n">
        <f aca="false">I144*M144</f>
        <v>0.500754201005704</v>
      </c>
      <c r="O144" s="15" t="n">
        <f aca="false">O143+N144</f>
        <v>-2.79340895469236</v>
      </c>
    </row>
    <row r="145" customFormat="false" ht="15" hidden="false" customHeight="false" outlineLevel="0" collapsed="false">
      <c r="A145" s="10" t="n">
        <v>14</v>
      </c>
      <c r="B145" s="10" t="n">
        <v>1</v>
      </c>
      <c r="C145" s="10" t="n">
        <v>0</v>
      </c>
      <c r="D145" s="10" t="n">
        <f aca="false">$B$5+B145-1</f>
        <v>3</v>
      </c>
      <c r="E145" s="10" t="n">
        <f aca="false">$B$6+C145-1</f>
        <v>2</v>
      </c>
      <c r="F145" s="10" t="str">
        <f aca="false">IF(OR(D145&lt;0,D145&gt;6,E145&lt;0,E145&gt;6),"đệm","ảnh")</f>
        <v>ảnh</v>
      </c>
      <c r="G145" s="10" t="n">
        <f aca="false">IF(F145="đệm","—",(A145*7+D145)*7+E145)</f>
        <v>709</v>
      </c>
      <c r="H145" s="10" t="n">
        <f aca="false">IF(F145="đệm","—",G145+1)</f>
        <v>710</v>
      </c>
      <c r="I145" s="11" t="n">
        <f aca="false">IF(F145="đệm",0,INDEX(pool2!$F:$F,G145+2))</f>
        <v>0.0104380064</v>
      </c>
      <c r="J145" s="12" t="n">
        <f aca="false">(($B$4*16+A145)*3+B145)*3+C145</f>
        <v>129</v>
      </c>
      <c r="K145" s="12" t="n">
        <f aca="false">J145+1224</f>
        <v>1353</v>
      </c>
      <c r="L145" s="12" t="n">
        <f aca="false">K145+1</f>
        <v>1354</v>
      </c>
      <c r="M145" s="13" t="n">
        <f aca="false">INDEX(weights!$H:$H,K145+2)</f>
        <v>0.0834346563</v>
      </c>
      <c r="N145" s="14" t="n">
        <f aca="false">I145*M145</f>
        <v>0.0008708914764412</v>
      </c>
      <c r="O145" s="15" t="n">
        <f aca="false">O144+N145</f>
        <v>-2.79253806321592</v>
      </c>
    </row>
    <row r="146" customFormat="false" ht="15" hidden="false" customHeight="false" outlineLevel="0" collapsed="false">
      <c r="A146" s="10" t="n">
        <v>14</v>
      </c>
      <c r="B146" s="10" t="n">
        <v>1</v>
      </c>
      <c r="C146" s="10" t="n">
        <v>1</v>
      </c>
      <c r="D146" s="10" t="n">
        <f aca="false">$B$5+B146-1</f>
        <v>3</v>
      </c>
      <c r="E146" s="10" t="n">
        <f aca="false">$B$6+C146-1</f>
        <v>3</v>
      </c>
      <c r="F146" s="10" t="str">
        <f aca="false">IF(OR(D146&lt;0,D146&gt;6,E146&lt;0,E146&gt;6),"đệm","ảnh")</f>
        <v>ảnh</v>
      </c>
      <c r="G146" s="10" t="n">
        <f aca="false">IF(F146="đệm","—",(A146*7+D146)*7+E146)</f>
        <v>710</v>
      </c>
      <c r="H146" s="10" t="n">
        <f aca="false">IF(F146="đệm","—",G146+1)</f>
        <v>711</v>
      </c>
      <c r="I146" s="11" t="n">
        <f aca="false">IF(F146="đệm",0,INDEX(pool2!$F:$F,G146+2))</f>
        <v>0</v>
      </c>
      <c r="J146" s="12" t="n">
        <f aca="false">(($B$4*16+A146)*3+B146)*3+C146</f>
        <v>130</v>
      </c>
      <c r="K146" s="12" t="n">
        <f aca="false">J146+1224</f>
        <v>1354</v>
      </c>
      <c r="L146" s="12" t="n">
        <f aca="false">K146+1</f>
        <v>1355</v>
      </c>
      <c r="M146" s="13" t="n">
        <f aca="false">INDEX(weights!$H:$H,K146+2)</f>
        <v>0.291918486</v>
      </c>
      <c r="N146" s="14" t="n">
        <f aca="false">I146*M146</f>
        <v>0</v>
      </c>
      <c r="O146" s="15" t="n">
        <f aca="false">O145+N146</f>
        <v>-2.79253806321592</v>
      </c>
    </row>
    <row r="147" customFormat="false" ht="15" hidden="false" customHeight="false" outlineLevel="0" collapsed="false">
      <c r="A147" s="10" t="n">
        <v>14</v>
      </c>
      <c r="B147" s="10" t="n">
        <v>1</v>
      </c>
      <c r="C147" s="10" t="n">
        <v>2</v>
      </c>
      <c r="D147" s="10" t="n">
        <f aca="false">$B$5+B147-1</f>
        <v>3</v>
      </c>
      <c r="E147" s="10" t="n">
        <f aca="false">$B$6+C147-1</f>
        <v>4</v>
      </c>
      <c r="F147" s="10" t="str">
        <f aca="false">IF(OR(D147&lt;0,D147&gt;6,E147&lt;0,E147&gt;6),"đệm","ảnh")</f>
        <v>ảnh</v>
      </c>
      <c r="G147" s="10" t="n">
        <f aca="false">IF(F147="đệm","—",(A147*7+D147)*7+E147)</f>
        <v>711</v>
      </c>
      <c r="H147" s="10" t="n">
        <f aca="false">IF(F147="đệm","—",G147+1)</f>
        <v>712</v>
      </c>
      <c r="I147" s="11" t="n">
        <f aca="false">IF(F147="đệm",0,INDEX(pool2!$F:$F,G147+2))</f>
        <v>2.71152735</v>
      </c>
      <c r="J147" s="12" t="n">
        <f aca="false">(($B$4*16+A147)*3+B147)*3+C147</f>
        <v>131</v>
      </c>
      <c r="K147" s="12" t="n">
        <f aca="false">J147+1224</f>
        <v>1355</v>
      </c>
      <c r="L147" s="12" t="n">
        <f aca="false">K147+1</f>
        <v>1356</v>
      </c>
      <c r="M147" s="13" t="n">
        <f aca="false">INDEX(weights!$H:$H,K147+2)</f>
        <v>0.00340191531</v>
      </c>
      <c r="N147" s="14" t="n">
        <f aca="false">I147*M147</f>
        <v>0.00922438640544873</v>
      </c>
      <c r="O147" s="15" t="n">
        <f aca="false">O146+N147</f>
        <v>-2.78331367681047</v>
      </c>
    </row>
    <row r="148" customFormat="false" ht="15" hidden="false" customHeight="false" outlineLevel="0" collapsed="false">
      <c r="A148" s="10" t="n">
        <v>14</v>
      </c>
      <c r="B148" s="10" t="n">
        <v>2</v>
      </c>
      <c r="C148" s="10" t="n">
        <v>0</v>
      </c>
      <c r="D148" s="10" t="n">
        <f aca="false">$B$5+B148-1</f>
        <v>4</v>
      </c>
      <c r="E148" s="10" t="n">
        <f aca="false">$B$6+C148-1</f>
        <v>2</v>
      </c>
      <c r="F148" s="10" t="str">
        <f aca="false">IF(OR(D148&lt;0,D148&gt;6,E148&lt;0,E148&gt;6),"đệm","ảnh")</f>
        <v>ảnh</v>
      </c>
      <c r="G148" s="10" t="n">
        <f aca="false">IF(F148="đệm","—",(A148*7+D148)*7+E148)</f>
        <v>716</v>
      </c>
      <c r="H148" s="10" t="n">
        <f aca="false">IF(F148="đệm","—",G148+1)</f>
        <v>717</v>
      </c>
      <c r="I148" s="11" t="n">
        <f aca="false">IF(F148="đệm",0,INDEX(pool2!$F:$F,G148+2))</f>
        <v>0</v>
      </c>
      <c r="J148" s="12" t="n">
        <f aca="false">(($B$4*16+A148)*3+B148)*3+C148</f>
        <v>132</v>
      </c>
      <c r="K148" s="12" t="n">
        <f aca="false">J148+1224</f>
        <v>1356</v>
      </c>
      <c r="L148" s="12" t="n">
        <f aca="false">K148+1</f>
        <v>1357</v>
      </c>
      <c r="M148" s="13" t="n">
        <f aca="false">INDEX(weights!$H:$H,K148+2)</f>
        <v>0.240180418</v>
      </c>
      <c r="N148" s="14" t="n">
        <f aca="false">I148*M148</f>
        <v>0</v>
      </c>
      <c r="O148" s="15" t="n">
        <f aca="false">O147+N148</f>
        <v>-2.78331367681047</v>
      </c>
    </row>
    <row r="149" customFormat="false" ht="15" hidden="false" customHeight="false" outlineLevel="0" collapsed="false">
      <c r="A149" s="10" t="n">
        <v>14</v>
      </c>
      <c r="B149" s="10" t="n">
        <v>2</v>
      </c>
      <c r="C149" s="10" t="n">
        <v>1</v>
      </c>
      <c r="D149" s="10" t="n">
        <f aca="false">$B$5+B149-1</f>
        <v>4</v>
      </c>
      <c r="E149" s="10" t="n">
        <f aca="false">$B$6+C149-1</f>
        <v>3</v>
      </c>
      <c r="F149" s="10" t="str">
        <f aca="false">IF(OR(D149&lt;0,D149&gt;6,E149&lt;0,E149&gt;6),"đệm","ảnh")</f>
        <v>ảnh</v>
      </c>
      <c r="G149" s="10" t="n">
        <f aca="false">IF(F149="đệm","—",(A149*7+D149)*7+E149)</f>
        <v>717</v>
      </c>
      <c r="H149" s="10" t="n">
        <f aca="false">IF(F149="đệm","—",G149+1)</f>
        <v>718</v>
      </c>
      <c r="I149" s="11" t="n">
        <f aca="false">IF(F149="đệm",0,INDEX(pool2!$F:$F,G149+2))</f>
        <v>0</v>
      </c>
      <c r="J149" s="12" t="n">
        <f aca="false">(($B$4*16+A149)*3+B149)*3+C149</f>
        <v>133</v>
      </c>
      <c r="K149" s="12" t="n">
        <f aca="false">J149+1224</f>
        <v>1357</v>
      </c>
      <c r="L149" s="12" t="n">
        <f aca="false">K149+1</f>
        <v>1358</v>
      </c>
      <c r="M149" s="13" t="n">
        <f aca="false">INDEX(weights!$H:$H,K149+2)</f>
        <v>-0.243710443</v>
      </c>
      <c r="N149" s="14" t="n">
        <f aca="false">I149*M149</f>
        <v>-0</v>
      </c>
      <c r="O149" s="15" t="n">
        <f aca="false">O148+N149</f>
        <v>-2.78331367681047</v>
      </c>
    </row>
    <row r="150" customFormat="false" ht="15" hidden="false" customHeight="false" outlineLevel="0" collapsed="false">
      <c r="A150" s="16" t="n">
        <v>14</v>
      </c>
      <c r="B150" s="16" t="n">
        <v>2</v>
      </c>
      <c r="C150" s="16" t="n">
        <v>2</v>
      </c>
      <c r="D150" s="16" t="n">
        <f aca="false">$B$5+B150-1</f>
        <v>4</v>
      </c>
      <c r="E150" s="16" t="n">
        <f aca="false">$B$6+C150-1</f>
        <v>4</v>
      </c>
      <c r="F150" s="16" t="str">
        <f aca="false">IF(OR(D150&lt;0,D150&gt;6,E150&lt;0,E150&gt;6),"đệm","ảnh")</f>
        <v>ảnh</v>
      </c>
      <c r="G150" s="16" t="n">
        <f aca="false">IF(F150="đệm","—",(A150*7+D150)*7+E150)</f>
        <v>718</v>
      </c>
      <c r="H150" s="16" t="n">
        <f aca="false">IF(F150="đệm","—",G150+1)</f>
        <v>719</v>
      </c>
      <c r="I150" s="17" t="n">
        <f aca="false">IF(F150="đệm",0,INDEX(pool2!$F:$F,G150+2))</f>
        <v>2.66827869</v>
      </c>
      <c r="J150" s="18" t="n">
        <f aca="false">(($B$4*16+A150)*3+B150)*3+C150</f>
        <v>134</v>
      </c>
      <c r="K150" s="18" t="n">
        <f aca="false">J150+1224</f>
        <v>1358</v>
      </c>
      <c r="L150" s="18" t="n">
        <f aca="false">K150+1</f>
        <v>1359</v>
      </c>
      <c r="M150" s="19" t="n">
        <f aca="false">INDEX(weights!$H:$H,K150+2)</f>
        <v>-0.0349528566</v>
      </c>
      <c r="N150" s="20" t="n">
        <f aca="false">I150*M150</f>
        <v>-0.0932639624204059</v>
      </c>
      <c r="O150" s="21" t="n">
        <f aca="false">O149+N150</f>
        <v>-2.87657763923088</v>
      </c>
    </row>
    <row r="151" customFormat="false" ht="15" hidden="false" customHeight="false" outlineLevel="0" collapsed="false">
      <c r="A151" s="10" t="n">
        <v>15</v>
      </c>
      <c r="B151" s="10" t="n">
        <v>0</v>
      </c>
      <c r="C151" s="10" t="n">
        <v>0</v>
      </c>
      <c r="D151" s="10" t="n">
        <f aca="false">$B$5+B151-1</f>
        <v>2</v>
      </c>
      <c r="E151" s="10" t="n">
        <f aca="false">$B$6+C151-1</f>
        <v>2</v>
      </c>
      <c r="F151" s="10" t="str">
        <f aca="false">IF(OR(D151&lt;0,D151&gt;6,E151&lt;0,E151&gt;6),"đệm","ảnh")</f>
        <v>ảnh</v>
      </c>
      <c r="G151" s="10" t="n">
        <f aca="false">IF(F151="đệm","—",(A151*7+D151)*7+E151)</f>
        <v>751</v>
      </c>
      <c r="H151" s="10" t="n">
        <f aca="false">IF(F151="đệm","—",G151+1)</f>
        <v>752</v>
      </c>
      <c r="I151" s="11" t="n">
        <f aca="false">IF(F151="đệm",0,INDEX(pool2!$F:$F,G151+2))</f>
        <v>10.3309345</v>
      </c>
      <c r="J151" s="12" t="n">
        <f aca="false">(($B$4*16+A151)*3+B151)*3+C151</f>
        <v>135</v>
      </c>
      <c r="K151" s="12" t="n">
        <f aca="false">J151+1224</f>
        <v>1359</v>
      </c>
      <c r="L151" s="12" t="n">
        <f aca="false">K151+1</f>
        <v>1360</v>
      </c>
      <c r="M151" s="13" t="n">
        <f aca="false">INDEX(weights!$H:$H,K151+2)</f>
        <v>-0.190833911</v>
      </c>
      <c r="N151" s="14" t="n">
        <f aca="false">I151*M151</f>
        <v>-1.97149263491983</v>
      </c>
      <c r="O151" s="15" t="n">
        <f aca="false">O150+N151</f>
        <v>-4.84807027415071</v>
      </c>
    </row>
    <row r="152" customFormat="false" ht="15" hidden="false" customHeight="false" outlineLevel="0" collapsed="false">
      <c r="A152" s="10" t="n">
        <v>15</v>
      </c>
      <c r="B152" s="10" t="n">
        <v>0</v>
      </c>
      <c r="C152" s="10" t="n">
        <v>1</v>
      </c>
      <c r="D152" s="10" t="n">
        <f aca="false">$B$5+B152-1</f>
        <v>2</v>
      </c>
      <c r="E152" s="10" t="n">
        <f aca="false">$B$6+C152-1</f>
        <v>3</v>
      </c>
      <c r="F152" s="10" t="str">
        <f aca="false">IF(OR(D152&lt;0,D152&gt;6,E152&lt;0,E152&gt;6),"đệm","ảnh")</f>
        <v>ảnh</v>
      </c>
      <c r="G152" s="10" t="n">
        <f aca="false">IF(F152="đệm","—",(A152*7+D152)*7+E152)</f>
        <v>752</v>
      </c>
      <c r="H152" s="10" t="n">
        <f aca="false">IF(F152="đệm","—",G152+1)</f>
        <v>753</v>
      </c>
      <c r="I152" s="11" t="n">
        <f aca="false">IF(F152="đệm",0,INDEX(pool2!$F:$F,G152+2))</f>
        <v>9.93035889</v>
      </c>
      <c r="J152" s="12" t="n">
        <f aca="false">(($B$4*16+A152)*3+B152)*3+C152</f>
        <v>136</v>
      </c>
      <c r="K152" s="12" t="n">
        <f aca="false">J152+1224</f>
        <v>1360</v>
      </c>
      <c r="L152" s="12" t="n">
        <f aca="false">K152+1</f>
        <v>1361</v>
      </c>
      <c r="M152" s="13" t="n">
        <f aca="false">INDEX(weights!$H:$H,K152+2)</f>
        <v>-0.0446915329</v>
      </c>
      <c r="N152" s="14" t="n">
        <f aca="false">I152*M152</f>
        <v>-0.443802961041243</v>
      </c>
      <c r="O152" s="15" t="n">
        <f aca="false">O151+N152</f>
        <v>-5.29187323519195</v>
      </c>
    </row>
    <row r="153" customFormat="false" ht="15" hidden="false" customHeight="false" outlineLevel="0" collapsed="false">
      <c r="A153" s="10" t="n">
        <v>15</v>
      </c>
      <c r="B153" s="10" t="n">
        <v>0</v>
      </c>
      <c r="C153" s="10" t="n">
        <v>2</v>
      </c>
      <c r="D153" s="10" t="n">
        <f aca="false">$B$5+B153-1</f>
        <v>2</v>
      </c>
      <c r="E153" s="10" t="n">
        <f aca="false">$B$6+C153-1</f>
        <v>4</v>
      </c>
      <c r="F153" s="10" t="str">
        <f aca="false">IF(OR(D153&lt;0,D153&gt;6,E153&lt;0,E153&gt;6),"đệm","ảnh")</f>
        <v>ảnh</v>
      </c>
      <c r="G153" s="10" t="n">
        <f aca="false">IF(F153="đệm","—",(A153*7+D153)*7+E153)</f>
        <v>753</v>
      </c>
      <c r="H153" s="10" t="n">
        <f aca="false">IF(F153="đệm","—",G153+1)</f>
        <v>754</v>
      </c>
      <c r="I153" s="11" t="n">
        <f aca="false">IF(F153="đệm",0,INDEX(pool2!$F:$F,G153+2))</f>
        <v>8.72967529</v>
      </c>
      <c r="J153" s="12" t="n">
        <f aca="false">(($B$4*16+A153)*3+B153)*3+C153</f>
        <v>137</v>
      </c>
      <c r="K153" s="12" t="n">
        <f aca="false">J153+1224</f>
        <v>1361</v>
      </c>
      <c r="L153" s="12" t="n">
        <f aca="false">K153+1</f>
        <v>1362</v>
      </c>
      <c r="M153" s="13" t="n">
        <f aca="false">INDEX(weights!$H:$H,K153+2)</f>
        <v>0.104721755</v>
      </c>
      <c r="N153" s="14" t="n">
        <f aca="false">I153*M153</f>
        <v>0.914186916948934</v>
      </c>
      <c r="O153" s="15" t="n">
        <f aca="false">O152+N153</f>
        <v>-4.37768631824302</v>
      </c>
    </row>
    <row r="154" customFormat="false" ht="15" hidden="false" customHeight="false" outlineLevel="0" collapsed="false">
      <c r="A154" s="10" t="n">
        <v>15</v>
      </c>
      <c r="B154" s="10" t="n">
        <v>1</v>
      </c>
      <c r="C154" s="10" t="n">
        <v>0</v>
      </c>
      <c r="D154" s="10" t="n">
        <f aca="false">$B$5+B154-1</f>
        <v>3</v>
      </c>
      <c r="E154" s="10" t="n">
        <f aca="false">$B$6+C154-1</f>
        <v>2</v>
      </c>
      <c r="F154" s="10" t="str">
        <f aca="false">IF(OR(D154&lt;0,D154&gt;6,E154&lt;0,E154&gt;6),"đệm","ảnh")</f>
        <v>ảnh</v>
      </c>
      <c r="G154" s="10" t="n">
        <f aca="false">IF(F154="đệm","—",(A154*7+D154)*7+E154)</f>
        <v>758</v>
      </c>
      <c r="H154" s="10" t="n">
        <f aca="false">IF(F154="đệm","—",G154+1)</f>
        <v>759</v>
      </c>
      <c r="I154" s="11" t="n">
        <f aca="false">IF(F154="đệm",0,INDEX(pool2!$F:$F,G154+2))</f>
        <v>0</v>
      </c>
      <c r="J154" s="12" t="n">
        <f aca="false">(($B$4*16+A154)*3+B154)*3+C154</f>
        <v>138</v>
      </c>
      <c r="K154" s="12" t="n">
        <f aca="false">J154+1224</f>
        <v>1362</v>
      </c>
      <c r="L154" s="12" t="n">
        <f aca="false">K154+1</f>
        <v>1363</v>
      </c>
      <c r="M154" s="13" t="n">
        <f aca="false">INDEX(weights!$H:$H,K154+2)</f>
        <v>0.108399175</v>
      </c>
      <c r="N154" s="14" t="n">
        <f aca="false">I154*M154</f>
        <v>0</v>
      </c>
      <c r="O154" s="15" t="n">
        <f aca="false">O153+N154</f>
        <v>-4.37768631824302</v>
      </c>
    </row>
    <row r="155" customFormat="false" ht="15" hidden="false" customHeight="false" outlineLevel="0" collapsed="false">
      <c r="A155" s="10" t="n">
        <v>15</v>
      </c>
      <c r="B155" s="10" t="n">
        <v>1</v>
      </c>
      <c r="C155" s="10" t="n">
        <v>1</v>
      </c>
      <c r="D155" s="10" t="n">
        <f aca="false">$B$5+B155-1</f>
        <v>3</v>
      </c>
      <c r="E155" s="10" t="n">
        <f aca="false">$B$6+C155-1</f>
        <v>3</v>
      </c>
      <c r="F155" s="10" t="str">
        <f aca="false">IF(OR(D155&lt;0,D155&gt;6,E155&lt;0,E155&gt;6),"đệm","ảnh")</f>
        <v>ảnh</v>
      </c>
      <c r="G155" s="10" t="n">
        <f aca="false">IF(F155="đệm","—",(A155*7+D155)*7+E155)</f>
        <v>759</v>
      </c>
      <c r="H155" s="10" t="n">
        <f aca="false">IF(F155="đệm","—",G155+1)</f>
        <v>760</v>
      </c>
      <c r="I155" s="11" t="n">
        <f aca="false">IF(F155="đệm",0,INDEX(pool2!$F:$F,G155+2))</f>
        <v>0</v>
      </c>
      <c r="J155" s="12" t="n">
        <f aca="false">(($B$4*16+A155)*3+B155)*3+C155</f>
        <v>139</v>
      </c>
      <c r="K155" s="12" t="n">
        <f aca="false">J155+1224</f>
        <v>1363</v>
      </c>
      <c r="L155" s="12" t="n">
        <f aca="false">K155+1</f>
        <v>1364</v>
      </c>
      <c r="M155" s="13" t="n">
        <f aca="false">INDEX(weights!$H:$H,K155+2)</f>
        <v>-0.00071386015</v>
      </c>
      <c r="N155" s="14" t="n">
        <f aca="false">I155*M155</f>
        <v>-0</v>
      </c>
      <c r="O155" s="15" t="n">
        <f aca="false">O154+N155</f>
        <v>-4.37768631824302</v>
      </c>
    </row>
    <row r="156" customFormat="false" ht="15" hidden="false" customHeight="false" outlineLevel="0" collapsed="false">
      <c r="A156" s="10" t="n">
        <v>15</v>
      </c>
      <c r="B156" s="10" t="n">
        <v>1</v>
      </c>
      <c r="C156" s="10" t="n">
        <v>2</v>
      </c>
      <c r="D156" s="10" t="n">
        <f aca="false">$B$5+B156-1</f>
        <v>3</v>
      </c>
      <c r="E156" s="10" t="n">
        <f aca="false">$B$6+C156-1</f>
        <v>4</v>
      </c>
      <c r="F156" s="10" t="str">
        <f aca="false">IF(OR(D156&lt;0,D156&gt;6,E156&lt;0,E156&gt;6),"đệm","ảnh")</f>
        <v>ảnh</v>
      </c>
      <c r="G156" s="10" t="n">
        <f aca="false">IF(F156="đệm","—",(A156*7+D156)*7+E156)</f>
        <v>760</v>
      </c>
      <c r="H156" s="10" t="n">
        <f aca="false">IF(F156="đệm","—",G156+1)</f>
        <v>761</v>
      </c>
      <c r="I156" s="11" t="n">
        <f aca="false">IF(F156="đệm",0,INDEX(pool2!$F:$F,G156+2))</f>
        <v>0</v>
      </c>
      <c r="J156" s="12" t="n">
        <f aca="false">(($B$4*16+A156)*3+B156)*3+C156</f>
        <v>140</v>
      </c>
      <c r="K156" s="12" t="n">
        <f aca="false">J156+1224</f>
        <v>1364</v>
      </c>
      <c r="L156" s="12" t="n">
        <f aca="false">K156+1</f>
        <v>1365</v>
      </c>
      <c r="M156" s="13" t="n">
        <f aca="false">INDEX(weights!$H:$H,K156+2)</f>
        <v>-0.108581141</v>
      </c>
      <c r="N156" s="14" t="n">
        <f aca="false">I156*M156</f>
        <v>-0</v>
      </c>
      <c r="O156" s="15" t="n">
        <f aca="false">O155+N156</f>
        <v>-4.37768631824302</v>
      </c>
    </row>
    <row r="157" customFormat="false" ht="15" hidden="false" customHeight="false" outlineLevel="0" collapsed="false">
      <c r="A157" s="10" t="n">
        <v>15</v>
      </c>
      <c r="B157" s="10" t="n">
        <v>2</v>
      </c>
      <c r="C157" s="10" t="n">
        <v>0</v>
      </c>
      <c r="D157" s="10" t="n">
        <f aca="false">$B$5+B157-1</f>
        <v>4</v>
      </c>
      <c r="E157" s="10" t="n">
        <f aca="false">$B$6+C157-1</f>
        <v>2</v>
      </c>
      <c r="F157" s="10" t="str">
        <f aca="false">IF(OR(D157&lt;0,D157&gt;6,E157&lt;0,E157&gt;6),"đệm","ảnh")</f>
        <v>ảnh</v>
      </c>
      <c r="G157" s="10" t="n">
        <f aca="false">IF(F157="đệm","—",(A157*7+D157)*7+E157)</f>
        <v>765</v>
      </c>
      <c r="H157" s="10" t="n">
        <f aca="false">IF(F157="đệm","—",G157+1)</f>
        <v>766</v>
      </c>
      <c r="I157" s="11" t="n">
        <f aca="false">IF(F157="đệm",0,INDEX(pool2!$F:$F,G157+2))</f>
        <v>0</v>
      </c>
      <c r="J157" s="12" t="n">
        <f aca="false">(($B$4*16+A157)*3+B157)*3+C157</f>
        <v>141</v>
      </c>
      <c r="K157" s="12" t="n">
        <f aca="false">J157+1224</f>
        <v>1365</v>
      </c>
      <c r="L157" s="12" t="n">
        <f aca="false">K157+1</f>
        <v>1366</v>
      </c>
      <c r="M157" s="13" t="n">
        <f aca="false">INDEX(weights!$H:$H,K157+2)</f>
        <v>0.111431837</v>
      </c>
      <c r="N157" s="14" t="n">
        <f aca="false">I157*M157</f>
        <v>0</v>
      </c>
      <c r="O157" s="15" t="n">
        <f aca="false">O156+N157</f>
        <v>-4.37768631824302</v>
      </c>
    </row>
    <row r="158" customFormat="false" ht="15" hidden="false" customHeight="false" outlineLevel="0" collapsed="false">
      <c r="A158" s="10" t="n">
        <v>15</v>
      </c>
      <c r="B158" s="10" t="n">
        <v>2</v>
      </c>
      <c r="C158" s="10" t="n">
        <v>1</v>
      </c>
      <c r="D158" s="10" t="n">
        <f aca="false">$B$5+B158-1</f>
        <v>4</v>
      </c>
      <c r="E158" s="10" t="n">
        <f aca="false">$B$6+C158-1</f>
        <v>3</v>
      </c>
      <c r="F158" s="10" t="str">
        <f aca="false">IF(OR(D158&lt;0,D158&gt;6,E158&lt;0,E158&gt;6),"đệm","ảnh")</f>
        <v>ảnh</v>
      </c>
      <c r="G158" s="10" t="n">
        <f aca="false">IF(F158="đệm","—",(A158*7+D158)*7+E158)</f>
        <v>766</v>
      </c>
      <c r="H158" s="10" t="n">
        <f aca="false">IF(F158="đệm","—",G158+1)</f>
        <v>767</v>
      </c>
      <c r="I158" s="11" t="n">
        <f aca="false">IF(F158="đệm",0,INDEX(pool2!$F:$F,G158+2))</f>
        <v>0</v>
      </c>
      <c r="J158" s="12" t="n">
        <f aca="false">(($B$4*16+A158)*3+B158)*3+C158</f>
        <v>142</v>
      </c>
      <c r="K158" s="12" t="n">
        <f aca="false">J158+1224</f>
        <v>1366</v>
      </c>
      <c r="L158" s="12" t="n">
        <f aca="false">K158+1</f>
        <v>1367</v>
      </c>
      <c r="M158" s="13" t="n">
        <f aca="false">INDEX(weights!$H:$H,K158+2)</f>
        <v>-0.124323748</v>
      </c>
      <c r="N158" s="14" t="n">
        <f aca="false">I158*M158</f>
        <v>-0</v>
      </c>
      <c r="O158" s="15" t="n">
        <f aca="false">O157+N158</f>
        <v>-4.37768631824302</v>
      </c>
    </row>
    <row r="159" customFormat="false" ht="15" hidden="false" customHeight="false" outlineLevel="0" collapsed="false">
      <c r="A159" s="16" t="n">
        <v>15</v>
      </c>
      <c r="B159" s="16" t="n">
        <v>2</v>
      </c>
      <c r="C159" s="16" t="n">
        <v>2</v>
      </c>
      <c r="D159" s="16" t="n">
        <f aca="false">$B$5+B159-1</f>
        <v>4</v>
      </c>
      <c r="E159" s="16" t="n">
        <f aca="false">$B$6+C159-1</f>
        <v>4</v>
      </c>
      <c r="F159" s="16" t="str">
        <f aca="false">IF(OR(D159&lt;0,D159&gt;6,E159&lt;0,E159&gt;6),"đệm","ảnh")</f>
        <v>ảnh</v>
      </c>
      <c r="G159" s="16" t="n">
        <f aca="false">IF(F159="đệm","—",(A159*7+D159)*7+E159)</f>
        <v>767</v>
      </c>
      <c r="H159" s="16" t="n">
        <f aca="false">IF(F159="đệm","—",G159+1)</f>
        <v>768</v>
      </c>
      <c r="I159" s="17" t="n">
        <f aca="false">IF(F159="đệm",0,INDEX(pool2!$F:$F,G159+2))</f>
        <v>0</v>
      </c>
      <c r="J159" s="18" t="n">
        <f aca="false">(($B$4*16+A159)*3+B159)*3+C159</f>
        <v>143</v>
      </c>
      <c r="K159" s="18" t="n">
        <f aca="false">J159+1224</f>
        <v>1367</v>
      </c>
      <c r="L159" s="18" t="n">
        <f aca="false">K159+1</f>
        <v>1368</v>
      </c>
      <c r="M159" s="19" t="n">
        <f aca="false">INDEX(weights!$H:$H,K159+2)</f>
        <v>-0.152655676</v>
      </c>
      <c r="N159" s="20" t="n">
        <f aca="false">I159*M159</f>
        <v>-0</v>
      </c>
      <c r="O159" s="21" t="n">
        <f aca="false">O158+N159</f>
        <v>-4.37768631824302</v>
      </c>
    </row>
  </sheetData>
  <conditionalFormatting sqref="A16:H159">
    <cfRule type="expression" priority="2" aboveAverage="0" equalAverage="0" bottom="0" percent="0" rank="0" text="" dxfId="0">
      <formula>$F16="đệm"</formula>
    </cfRule>
  </conditionalFormatting>
  <dataValidations count="2">
    <dataValidation allowBlank="false" error="Phải từ 0 đến 15" errorStyle="stop" operator="between" showDropDown="false" showErrorMessage="true" showInputMessage="false" sqref="B4" type="whole">
      <formula1>0</formula1>
      <formula2>15</formula2>
    </dataValidation>
    <dataValidation allowBlank="false" error="Phải từ 0 đến 6" errorStyle="stop" operator="between" showDropDown="false" showErrorMessage="true" showInputMessage="false" sqref="B5:B6" type="whole">
      <formula1>0</formula1>
      <formula2>6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8" min="6" style="0" width="16"/>
  </cols>
  <sheetData>
    <row r="1" customFormat="false" ht="17.35" hidden="false" customHeight="false" outlineLevel="0" collapsed="false">
      <c r="A1" s="1" t="s">
        <v>66</v>
      </c>
    </row>
    <row r="2" customFormat="false" ht="15" hidden="false" customHeight="false" outlineLevel="0" collapsed="false">
      <c r="A2" s="4" t="s">
        <v>67</v>
      </c>
    </row>
    <row r="4" customFormat="false" ht="15" hidden="false" customHeight="false" outlineLevel="0" collapsed="false">
      <c r="A4" s="2" t="s">
        <v>68</v>
      </c>
      <c r="B4" s="5" t="n">
        <v>1</v>
      </c>
      <c r="C4" s="3" t="s">
        <v>69</v>
      </c>
      <c r="D4" s="3" t="n">
        <f aca="false">CHOOSE($B$4,28,14,7)</f>
        <v>28</v>
      </c>
    </row>
    <row r="5" customFormat="false" ht="15" hidden="false" customHeight="false" outlineLevel="0" collapsed="false">
      <c r="A5" s="2" t="s">
        <v>70</v>
      </c>
      <c r="B5" s="5" t="n">
        <v>0</v>
      </c>
      <c r="C5" s="3" t="s">
        <v>71</v>
      </c>
      <c r="D5" s="3" t="n">
        <f aca="false">INT(D4/2)</f>
        <v>14</v>
      </c>
    </row>
    <row r="6" customFormat="false" ht="15" hidden="false" customHeight="false" outlineLevel="0" collapsed="false">
      <c r="A6" s="2" t="s">
        <v>72</v>
      </c>
      <c r="B6" s="5" t="n">
        <v>5</v>
      </c>
      <c r="C6" s="3" t="s">
        <v>73</v>
      </c>
      <c r="D6" s="3" t="n">
        <f aca="false">CHOOSE($B$4,8,16,16)</f>
        <v>8</v>
      </c>
    </row>
    <row r="7" customFormat="false" ht="15" hidden="false" customHeight="false" outlineLevel="0" collapsed="false">
      <c r="A7" s="2" t="s">
        <v>74</v>
      </c>
      <c r="B7" s="5" t="n">
        <v>7</v>
      </c>
      <c r="C7" s="3" t="s">
        <v>75</v>
      </c>
      <c r="D7" s="3" t="str">
        <f aca="false">IF(AND($B$5&lt;D6,$B$6&lt;D5,$B$7&lt;D5),"OK","Ngoài phạm vi — giảm c/y/x")</f>
        <v>OK</v>
      </c>
    </row>
    <row r="10" customFormat="false" ht="31.5" hidden="false" customHeight="true" outlineLevel="0" collapsed="false">
      <c r="A10" s="9" t="s">
        <v>76</v>
      </c>
      <c r="B10" s="9" t="s">
        <v>77</v>
      </c>
      <c r="C10" s="9" t="s">
        <v>78</v>
      </c>
      <c r="D10" s="9" t="s">
        <v>79</v>
      </c>
      <c r="E10" s="9" t="s">
        <v>80</v>
      </c>
      <c r="F10" s="9" t="s">
        <v>81</v>
      </c>
      <c r="G10" s="9" t="s">
        <v>82</v>
      </c>
      <c r="H10" s="9" t="s">
        <v>83</v>
      </c>
    </row>
    <row r="11" customFormat="false" ht="15" hidden="false" customHeight="false" outlineLevel="0" collapsed="false">
      <c r="A11" s="12" t="n">
        <v>0</v>
      </c>
      <c r="B11" s="12" t="n">
        <v>0</v>
      </c>
      <c r="C11" s="12" t="n">
        <f aca="false">2*$B$6+A11</f>
        <v>10</v>
      </c>
      <c r="D11" s="12" t="n">
        <f aca="false">2*$B$7+B11</f>
        <v>14</v>
      </c>
      <c r="E11" s="12" t="n">
        <f aca="false">($B$5*$D$4+C11)*$D$4+D11</f>
        <v>294</v>
      </c>
      <c r="F11" s="12" t="n">
        <f aca="false">E11+1</f>
        <v>295</v>
      </c>
      <c r="G11" s="14" t="n">
        <f aca="false">INDEX(CHOOSE($B$4,conv1!$F:$F,conv2!$F:$F,conv3!$F:$F),E11+2)</f>
        <v>1.05731988</v>
      </c>
      <c r="H11" s="11" t="n">
        <f aca="false">MAX(0,G11)</f>
        <v>1.05731988</v>
      </c>
    </row>
    <row r="12" customFormat="false" ht="15" hidden="false" customHeight="false" outlineLevel="0" collapsed="false">
      <c r="A12" s="12" t="n">
        <v>0</v>
      </c>
      <c r="B12" s="12" t="n">
        <v>1</v>
      </c>
      <c r="C12" s="12" t="n">
        <f aca="false">2*$B$6+A12</f>
        <v>10</v>
      </c>
      <c r="D12" s="12" t="n">
        <f aca="false">2*$B$7+B12</f>
        <v>15</v>
      </c>
      <c r="E12" s="12" t="n">
        <f aca="false">($B$5*$D$4+C12)*$D$4+D12</f>
        <v>295</v>
      </c>
      <c r="F12" s="12" t="n">
        <f aca="false">E12+1</f>
        <v>296</v>
      </c>
      <c r="G12" s="14" t="n">
        <f aca="false">INDEX(CHOOSE($B$4,conv1!$F:$F,conv2!$F:$F,conv3!$F:$F),E12+2)</f>
        <v>1.39769554</v>
      </c>
      <c r="H12" s="11" t="n">
        <f aca="false">MAX(0,G12)</f>
        <v>1.39769554</v>
      </c>
    </row>
    <row r="13" customFormat="false" ht="15" hidden="false" customHeight="false" outlineLevel="0" collapsed="false">
      <c r="A13" s="12" t="n">
        <v>1</v>
      </c>
      <c r="B13" s="12" t="n">
        <v>0</v>
      </c>
      <c r="C13" s="12" t="n">
        <f aca="false">2*$B$6+A13</f>
        <v>11</v>
      </c>
      <c r="D13" s="12" t="n">
        <f aca="false">2*$B$7+B13</f>
        <v>14</v>
      </c>
      <c r="E13" s="12" t="n">
        <f aca="false">($B$5*$D$4+C13)*$D$4+D13</f>
        <v>322</v>
      </c>
      <c r="F13" s="12" t="n">
        <f aca="false">E13+1</f>
        <v>323</v>
      </c>
      <c r="G13" s="14" t="n">
        <f aca="false">INDEX(CHOOSE($B$4,conv1!$F:$F,conv2!$F:$F,conv3!$F:$F),E13+2)</f>
        <v>-0.0720966756</v>
      </c>
      <c r="H13" s="11" t="n">
        <f aca="false">MAX(0,G13)</f>
        <v>0</v>
      </c>
    </row>
    <row r="14" customFormat="false" ht="15" hidden="false" customHeight="false" outlineLevel="0" collapsed="false">
      <c r="A14" s="12" t="n">
        <v>1</v>
      </c>
      <c r="B14" s="12" t="n">
        <v>1</v>
      </c>
      <c r="C14" s="12" t="n">
        <f aca="false">2*$B$6+A14</f>
        <v>11</v>
      </c>
      <c r="D14" s="12" t="n">
        <f aca="false">2*$B$7+B14</f>
        <v>15</v>
      </c>
      <c r="E14" s="12" t="n">
        <f aca="false">($B$5*$D$4+C14)*$D$4+D14</f>
        <v>323</v>
      </c>
      <c r="F14" s="12" t="n">
        <f aca="false">E14+1</f>
        <v>324</v>
      </c>
      <c r="G14" s="14" t="n">
        <f aca="false">INDEX(CHOOSE($B$4,conv1!$F:$F,conv2!$F:$F,conv3!$F:$F),E14+2)</f>
        <v>0.14319095</v>
      </c>
      <c r="H14" s="11" t="n">
        <f aca="false">MAX(0,G14)</f>
        <v>0.14319095</v>
      </c>
    </row>
    <row r="16" customFormat="false" ht="15" hidden="false" customHeight="false" outlineLevel="0" collapsed="false">
      <c r="A16" s="2" t="s">
        <v>84</v>
      </c>
      <c r="B16" s="6" t="n">
        <f aca="false">MAX(H11,H12)</f>
        <v>1.39769554</v>
      </c>
    </row>
    <row r="17" customFormat="false" ht="15" hidden="false" customHeight="false" outlineLevel="0" collapsed="false">
      <c r="A17" s="2" t="s">
        <v>85</v>
      </c>
      <c r="B17" s="6" t="n">
        <f aca="false">MAX(B16,H13)</f>
        <v>1.39769554</v>
      </c>
    </row>
    <row r="18" customFormat="false" ht="15" hidden="false" customHeight="false" outlineLevel="0" collapsed="false">
      <c r="A18" s="2" t="s">
        <v>86</v>
      </c>
      <c r="B18" s="7" t="n">
        <f aca="false">MAX(B17,H14)</f>
        <v>1.39769554</v>
      </c>
    </row>
    <row r="19" customFormat="false" ht="15" hidden="false" customHeight="false" outlineLevel="0" collapsed="false">
      <c r="A19" s="2" t="s">
        <v>87</v>
      </c>
      <c r="B19" s="6" t="n">
        <f aca="false">INDEX(CHOOSE($B$4,pool1!$F:$F,pool2!$F:$F,pool3!$F:$F),($B$5*$D$5+$B$6)*$D$5+$B$7+2)</f>
        <v>1.39769554</v>
      </c>
      <c r="C19" s="3" t="s">
        <v>88</v>
      </c>
      <c r="D19" s="3" t="n">
        <f aca="false">($B$5*$D$5+$B$6)*$D$5+$B$7+1</f>
        <v>78</v>
      </c>
    </row>
    <row r="20" customFormat="false" ht="15" hidden="false" customHeight="false" outlineLevel="0" collapsed="false">
      <c r="A20" s="2" t="s">
        <v>89</v>
      </c>
      <c r="B20" s="8" t="n">
        <f aca="false">ABS(B18-B19)</f>
        <v>0</v>
      </c>
    </row>
    <row r="22" customFormat="false" ht="15" hidden="false" customHeight="false" outlineLevel="0" collapsed="false">
      <c r="A22" s="4" t="s">
        <v>90</v>
      </c>
    </row>
  </sheetData>
  <dataValidations count="3">
    <dataValidation allowBlank="false" error="Phải từ 0 đến 15" errorStyle="stop" operator="between" showDropDown="false" showErrorMessage="true" showInputMessage="false" sqref="B5" type="whole">
      <formula1>0</formula1>
      <formula2>15</formula2>
    </dataValidation>
    <dataValidation allowBlank="false" error="Phải từ 0 đến 13" errorStyle="stop" operator="between" showDropDown="false" showErrorMessage="true" showInputMessage="false" sqref="B6:B7" type="whole">
      <formula1>0</formula1>
      <formula2>13</formula2>
    </dataValidation>
    <dataValidation allowBlank="false" error="Phải từ 1 đến 3" errorStyle="stop" operator="between" showDropDown="false" showErrorMessage="true" showInputMessage="false" sqref="B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0"/>
    <col collapsed="false" customWidth="true" hidden="false" outlineLevel="0" max="4" min="4" style="0" width="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10" min="9" style="0" width="12"/>
    <col collapsed="false" customWidth="true" hidden="false" outlineLevel="0" max="11" min="11" style="0" width="13"/>
  </cols>
  <sheetData>
    <row r="1" customFormat="false" ht="17.35" hidden="false" customHeight="false" outlineLevel="0" collapsed="false">
      <c r="A1" s="1" t="s">
        <v>91</v>
      </c>
    </row>
    <row r="2" customFormat="false" ht="15" hidden="false" customHeight="false" outlineLevel="0" collapsed="false">
      <c r="A2" s="4" t="s">
        <v>92</v>
      </c>
    </row>
    <row r="4" customFormat="false" ht="15" hidden="false" customHeight="false" outlineLevel="0" collapsed="false">
      <c r="A4" s="2" t="s">
        <v>93</v>
      </c>
      <c r="B4" s="5" t="n">
        <v>7</v>
      </c>
      <c r="D4" s="2" t="s">
        <v>94</v>
      </c>
    </row>
    <row r="5" customFormat="false" ht="15" hidden="false" customHeight="false" outlineLevel="0" collapsed="false">
      <c r="D5" s="3" t="n">
        <v>0</v>
      </c>
      <c r="E5" s="22" t="n">
        <f aca="false">INDEX(fc!$D:$D,2)</f>
        <v>-16.400816</v>
      </c>
    </row>
    <row r="6" customFormat="false" ht="15" hidden="false" customHeight="false" outlineLevel="0" collapsed="false">
      <c r="A6" s="2" t="s">
        <v>95</v>
      </c>
      <c r="B6" s="6" t="n">
        <f aca="false">INDEX(biases!$E:$E,40+$B$4+2)</f>
        <v>0.100205697</v>
      </c>
      <c r="D6" s="3" t="n">
        <v>1</v>
      </c>
      <c r="E6" s="22" t="n">
        <f aca="false">INDEX(fc!$D:$D,3)</f>
        <v>-18.3678226</v>
      </c>
    </row>
    <row r="7" customFormat="false" ht="15" hidden="false" customHeight="false" outlineLevel="0" collapsed="false">
      <c r="A7" s="2" t="s">
        <v>60</v>
      </c>
      <c r="B7" s="6" t="n">
        <f aca="false">SUM(J20:J163)</f>
        <v>24.1832478273305</v>
      </c>
      <c r="D7" s="3" t="n">
        <v>2</v>
      </c>
      <c r="E7" s="22" t="n">
        <f aca="false">INDEX(fc!$D:$D,4)</f>
        <v>-5.45936298</v>
      </c>
    </row>
    <row r="8" customFormat="false" ht="15" hidden="false" customHeight="false" outlineLevel="0" collapsed="false">
      <c r="A8" s="2" t="s">
        <v>96</v>
      </c>
      <c r="B8" s="7" t="n">
        <f aca="false">B6+B7</f>
        <v>24.2834535243305</v>
      </c>
      <c r="D8" s="3" t="n">
        <v>3</v>
      </c>
      <c r="E8" s="22" t="n">
        <f aca="false">INDEX(fc!$D:$D,5)</f>
        <v>-4.51170254</v>
      </c>
    </row>
    <row r="9" customFormat="false" ht="15" hidden="false" customHeight="false" outlineLevel="0" collapsed="false">
      <c r="A9" s="2" t="s">
        <v>97</v>
      </c>
      <c r="B9" s="6" t="n">
        <f aca="false">INDEX(fc!$D:$D,$B$4+2)</f>
        <v>24.2834549</v>
      </c>
      <c r="D9" s="3" t="n">
        <v>4</v>
      </c>
      <c r="E9" s="22" t="n">
        <f aca="false">INDEX(fc!$D:$D,6)</f>
        <v>-22.0977974</v>
      </c>
    </row>
    <row r="10" customFormat="false" ht="15" hidden="false" customHeight="false" outlineLevel="0" collapsed="false">
      <c r="A10" s="2" t="s">
        <v>89</v>
      </c>
      <c r="B10" s="8" t="n">
        <f aca="false">ABS(B8-B9)</f>
        <v>1.37566952673751E-006</v>
      </c>
      <c r="D10" s="3" t="n">
        <v>5</v>
      </c>
      <c r="E10" s="22" t="n">
        <f aca="false">INDEX(fc!$D:$D,7)</f>
        <v>-17.807869</v>
      </c>
    </row>
    <row r="11" customFormat="false" ht="15" hidden="false" customHeight="false" outlineLevel="0" collapsed="false">
      <c r="D11" s="3" t="n">
        <v>6</v>
      </c>
      <c r="E11" s="22" t="n">
        <f aca="false">INDEX(fc!$D:$D,8)</f>
        <v>-43.7372742</v>
      </c>
    </row>
    <row r="12" customFormat="false" ht="15" hidden="false" customHeight="false" outlineLevel="0" collapsed="false">
      <c r="D12" s="3" t="n">
        <v>7</v>
      </c>
      <c r="E12" s="22" t="n">
        <f aca="false">INDEX(fc!$D:$D,9)</f>
        <v>24.2834549</v>
      </c>
    </row>
    <row r="13" customFormat="false" ht="15" hidden="false" customHeight="false" outlineLevel="0" collapsed="false">
      <c r="D13" s="3" t="n">
        <v>8</v>
      </c>
      <c r="E13" s="22" t="n">
        <f aca="false">INDEX(fc!$D:$D,10)</f>
        <v>-8.80316639</v>
      </c>
    </row>
    <row r="14" customFormat="false" ht="15" hidden="false" customHeight="false" outlineLevel="0" collapsed="false">
      <c r="D14" s="3" t="n">
        <v>9</v>
      </c>
      <c r="E14" s="22" t="n">
        <f aca="false">INDEX(fc!$D:$D,11)</f>
        <v>-2.98200178</v>
      </c>
    </row>
    <row r="15" customFormat="false" ht="15" hidden="false" customHeight="false" outlineLevel="0" collapsed="false">
      <c r="D15" s="2" t="s">
        <v>98</v>
      </c>
      <c r="E15" s="23" t="n">
        <f aca="false">MATCH(MAX(E5:E14),E5:E14,0)-1</f>
        <v>7</v>
      </c>
      <c r="F15" s="4" t="s">
        <v>99</v>
      </c>
    </row>
    <row r="18" customFormat="false" ht="15" hidden="false" customHeight="false" outlineLevel="0" collapsed="false">
      <c r="A18" s="2" t="s">
        <v>100</v>
      </c>
    </row>
    <row r="19" customFormat="false" ht="31.5" hidden="false" customHeight="true" outlineLevel="0" collapsed="false">
      <c r="A19" s="9" t="s">
        <v>101</v>
      </c>
      <c r="B19" s="9" t="s">
        <v>102</v>
      </c>
      <c r="C19" s="9" t="s">
        <v>103</v>
      </c>
      <c r="D19" s="9" t="s">
        <v>42</v>
      </c>
      <c r="E19" s="9" t="s">
        <v>104</v>
      </c>
      <c r="F19" s="9" t="s">
        <v>105</v>
      </c>
      <c r="G19" s="9" t="s">
        <v>106</v>
      </c>
      <c r="H19" s="9" t="s">
        <v>107</v>
      </c>
      <c r="I19" s="9" t="s">
        <v>42</v>
      </c>
      <c r="J19" s="9" t="s">
        <v>108</v>
      </c>
      <c r="K19" s="9" t="s">
        <v>44</v>
      </c>
    </row>
    <row r="20" customFormat="false" ht="15" hidden="false" customHeight="false" outlineLevel="0" collapsed="false">
      <c r="A20" s="12" t="n">
        <v>0</v>
      </c>
      <c r="B20" s="12" t="n">
        <v>0</v>
      </c>
      <c r="C20" s="12" t="n">
        <v>0</v>
      </c>
      <c r="D20" s="12" t="n">
        <v>0</v>
      </c>
      <c r="E20" s="12" t="n">
        <v>1</v>
      </c>
      <c r="F20" s="11" t="n">
        <f aca="false">INDEX(pool3!$F:$F,E20+1)</f>
        <v>0.0634152889</v>
      </c>
      <c r="G20" s="12" t="n">
        <f aca="false">$B$4*144+A20</f>
        <v>1008</v>
      </c>
      <c r="H20" s="12" t="n">
        <f aca="false">G20+3528+1</f>
        <v>4537</v>
      </c>
      <c r="I20" s="13" t="n">
        <f aca="false">INDEX(weights!$H:$H,H20+1)</f>
        <v>-0.258421838</v>
      </c>
      <c r="J20" s="14" t="n">
        <f aca="false">F20*I20</f>
        <v>-0.016387895514839</v>
      </c>
      <c r="K20" s="15" t="n">
        <f aca="false">$B$6+J20</f>
        <v>0.083817801485161</v>
      </c>
    </row>
    <row r="21" customFormat="false" ht="15" hidden="false" customHeight="false" outlineLevel="0" collapsed="false">
      <c r="A21" s="12" t="n">
        <v>1</v>
      </c>
      <c r="B21" s="12" t="n">
        <v>0</v>
      </c>
      <c r="C21" s="12" t="n">
        <v>0</v>
      </c>
      <c r="D21" s="12" t="n">
        <v>1</v>
      </c>
      <c r="E21" s="12" t="n">
        <v>2</v>
      </c>
      <c r="F21" s="11" t="n">
        <f aca="false">INDEX(pool3!$F:$F,E21+1)</f>
        <v>0</v>
      </c>
      <c r="G21" s="12" t="n">
        <f aca="false">$B$4*144+A21</f>
        <v>1009</v>
      </c>
      <c r="H21" s="12" t="n">
        <f aca="false">G21+3528+1</f>
        <v>4538</v>
      </c>
      <c r="I21" s="13" t="n">
        <f aca="false">INDEX(weights!$H:$H,H21+1)</f>
        <v>-0.416878223</v>
      </c>
      <c r="J21" s="14" t="n">
        <f aca="false">F21*I21</f>
        <v>-0</v>
      </c>
      <c r="K21" s="15" t="n">
        <f aca="false">K20+J21</f>
        <v>0.083817801485161</v>
      </c>
    </row>
    <row r="22" customFormat="false" ht="15" hidden="false" customHeight="false" outlineLevel="0" collapsed="false">
      <c r="A22" s="12" t="n">
        <v>2</v>
      </c>
      <c r="B22" s="12" t="n">
        <v>0</v>
      </c>
      <c r="C22" s="12" t="n">
        <v>0</v>
      </c>
      <c r="D22" s="12" t="n">
        <v>2</v>
      </c>
      <c r="E22" s="12" t="n">
        <v>3</v>
      </c>
      <c r="F22" s="11" t="n">
        <f aca="false">INDEX(pool3!$F:$F,E22+1)</f>
        <v>0</v>
      </c>
      <c r="G22" s="12" t="n">
        <f aca="false">$B$4*144+A22</f>
        <v>1010</v>
      </c>
      <c r="H22" s="12" t="n">
        <f aca="false">G22+3528+1</f>
        <v>4539</v>
      </c>
      <c r="I22" s="13" t="n">
        <f aca="false">INDEX(weights!$H:$H,H22+1)</f>
        <v>0.24369064</v>
      </c>
      <c r="J22" s="14" t="n">
        <f aca="false">F22*I22</f>
        <v>0</v>
      </c>
      <c r="K22" s="15" t="n">
        <f aca="false">K21+J22</f>
        <v>0.083817801485161</v>
      </c>
    </row>
    <row r="23" customFormat="false" ht="15" hidden="false" customHeight="false" outlineLevel="0" collapsed="false">
      <c r="A23" s="12" t="n">
        <v>3</v>
      </c>
      <c r="B23" s="12" t="n">
        <v>0</v>
      </c>
      <c r="C23" s="12" t="n">
        <v>1</v>
      </c>
      <c r="D23" s="12" t="n">
        <v>0</v>
      </c>
      <c r="E23" s="12" t="n">
        <v>4</v>
      </c>
      <c r="F23" s="11" t="n">
        <f aca="false">INDEX(pool3!$F:$F,E23+1)</f>
        <v>4.5848484</v>
      </c>
      <c r="G23" s="12" t="n">
        <f aca="false">$B$4*144+A23</f>
        <v>1011</v>
      </c>
      <c r="H23" s="12" t="n">
        <f aca="false">G23+3528+1</f>
        <v>4540</v>
      </c>
      <c r="I23" s="13" t="n">
        <f aca="false">INDEX(weights!$H:$H,H23+1)</f>
        <v>0.209751114</v>
      </c>
      <c r="J23" s="14" t="n">
        <f aca="false">F23*I23</f>
        <v>0.961677059421118</v>
      </c>
      <c r="K23" s="15" t="n">
        <f aca="false">K22+J23</f>
        <v>1.04549486090628</v>
      </c>
    </row>
    <row r="24" customFormat="false" ht="15" hidden="false" customHeight="false" outlineLevel="0" collapsed="false">
      <c r="A24" s="12" t="n">
        <v>4</v>
      </c>
      <c r="B24" s="12" t="n">
        <v>0</v>
      </c>
      <c r="C24" s="12" t="n">
        <v>1</v>
      </c>
      <c r="D24" s="12" t="n">
        <v>1</v>
      </c>
      <c r="E24" s="12" t="n">
        <v>5</v>
      </c>
      <c r="F24" s="11" t="n">
        <f aca="false">INDEX(pool3!$F:$F,E24+1)</f>
        <v>2.35925221</v>
      </c>
      <c r="G24" s="12" t="n">
        <f aca="false">$B$4*144+A24</f>
        <v>1012</v>
      </c>
      <c r="H24" s="12" t="n">
        <f aca="false">G24+3528+1</f>
        <v>4541</v>
      </c>
      <c r="I24" s="13" t="n">
        <f aca="false">INDEX(weights!$H:$H,H24+1)</f>
        <v>0.139263943</v>
      </c>
      <c r="J24" s="14" t="n">
        <f aca="false">F24*I24</f>
        <v>0.328558765296064</v>
      </c>
      <c r="K24" s="15" t="n">
        <f aca="false">K23+J24</f>
        <v>1.37405362620234</v>
      </c>
    </row>
    <row r="25" customFormat="false" ht="15" hidden="false" customHeight="false" outlineLevel="0" collapsed="false">
      <c r="A25" s="12" t="n">
        <v>5</v>
      </c>
      <c r="B25" s="12" t="n">
        <v>0</v>
      </c>
      <c r="C25" s="12" t="n">
        <v>1</v>
      </c>
      <c r="D25" s="12" t="n">
        <v>2</v>
      </c>
      <c r="E25" s="12" t="n">
        <v>6</v>
      </c>
      <c r="F25" s="11" t="n">
        <f aca="false">INDEX(pool3!$F:$F,E25+1)</f>
        <v>6.4676981</v>
      </c>
      <c r="G25" s="12" t="n">
        <f aca="false">$B$4*144+A25</f>
        <v>1013</v>
      </c>
      <c r="H25" s="12" t="n">
        <f aca="false">G25+3528+1</f>
        <v>4542</v>
      </c>
      <c r="I25" s="13" t="n">
        <f aca="false">INDEX(weights!$H:$H,H25+1)</f>
        <v>-0.17047739</v>
      </c>
      <c r="J25" s="14" t="n">
        <f aca="false">F25*I25</f>
        <v>-1.10259629139596</v>
      </c>
      <c r="K25" s="15" t="n">
        <f aca="false">K24+J25</f>
        <v>0.271457334806384</v>
      </c>
    </row>
    <row r="26" customFormat="false" ht="15" hidden="false" customHeight="false" outlineLevel="0" collapsed="false">
      <c r="A26" s="12" t="n">
        <v>6</v>
      </c>
      <c r="B26" s="12" t="n">
        <v>0</v>
      </c>
      <c r="C26" s="12" t="n">
        <v>2</v>
      </c>
      <c r="D26" s="12" t="n">
        <v>0</v>
      </c>
      <c r="E26" s="12" t="n">
        <v>7</v>
      </c>
      <c r="F26" s="11" t="n">
        <f aca="false">INDEX(pool3!$F:$F,E26+1)</f>
        <v>0.018407464</v>
      </c>
      <c r="G26" s="12" t="n">
        <f aca="false">$B$4*144+A26</f>
        <v>1014</v>
      </c>
      <c r="H26" s="12" t="n">
        <f aca="false">G26+3528+1</f>
        <v>4543</v>
      </c>
      <c r="I26" s="13" t="n">
        <f aca="false">INDEX(weights!$H:$H,H26+1)</f>
        <v>0.142565206</v>
      </c>
      <c r="J26" s="14" t="n">
        <f aca="false">F26*I26</f>
        <v>0.00262426389709758</v>
      </c>
      <c r="K26" s="15" t="n">
        <f aca="false">K25+J26</f>
        <v>0.274081598703481</v>
      </c>
    </row>
    <row r="27" customFormat="false" ht="15" hidden="false" customHeight="false" outlineLevel="0" collapsed="false">
      <c r="A27" s="12" t="n">
        <v>7</v>
      </c>
      <c r="B27" s="12" t="n">
        <v>0</v>
      </c>
      <c r="C27" s="12" t="n">
        <v>2</v>
      </c>
      <c r="D27" s="12" t="n">
        <v>1</v>
      </c>
      <c r="E27" s="12" t="n">
        <v>8</v>
      </c>
      <c r="F27" s="11" t="n">
        <f aca="false">INDEX(pool3!$F:$F,E27+1)</f>
        <v>3.49900317</v>
      </c>
      <c r="G27" s="12" t="n">
        <f aca="false">$B$4*144+A27</f>
        <v>1015</v>
      </c>
      <c r="H27" s="12" t="n">
        <f aca="false">G27+3528+1</f>
        <v>4544</v>
      </c>
      <c r="I27" s="13" t="n">
        <f aca="false">INDEX(weights!$H:$H,H27+1)</f>
        <v>-0.145927951</v>
      </c>
      <c r="J27" s="14" t="n">
        <f aca="false">F27*I27</f>
        <v>-0.510602363140605</v>
      </c>
      <c r="K27" s="15" t="n">
        <f aca="false">K26+J27</f>
        <v>-0.236520764437124</v>
      </c>
    </row>
    <row r="28" customFormat="false" ht="15" hidden="false" customHeight="false" outlineLevel="0" collapsed="false">
      <c r="A28" s="18" t="n">
        <v>8</v>
      </c>
      <c r="B28" s="18" t="n">
        <v>0</v>
      </c>
      <c r="C28" s="18" t="n">
        <v>2</v>
      </c>
      <c r="D28" s="18" t="n">
        <v>2</v>
      </c>
      <c r="E28" s="18" t="n">
        <v>9</v>
      </c>
      <c r="F28" s="17" t="n">
        <f aca="false">INDEX(pool3!$F:$F,E28+1)</f>
        <v>8.96192551</v>
      </c>
      <c r="G28" s="18" t="n">
        <f aca="false">$B$4*144+A28</f>
        <v>1016</v>
      </c>
      <c r="H28" s="18" t="n">
        <f aca="false">G28+3528+1</f>
        <v>4545</v>
      </c>
      <c r="I28" s="19" t="n">
        <f aca="false">INDEX(weights!$H:$H,H28+1)</f>
        <v>0.0301051699</v>
      </c>
      <c r="J28" s="20" t="n">
        <f aca="false">F28*I28</f>
        <v>0.269800290109694</v>
      </c>
      <c r="K28" s="21" t="n">
        <f aca="false">K27+J28</f>
        <v>0.0332795256725706</v>
      </c>
    </row>
    <row r="29" customFormat="false" ht="15" hidden="false" customHeight="false" outlineLevel="0" collapsed="false">
      <c r="A29" s="12" t="n">
        <v>9</v>
      </c>
      <c r="B29" s="12" t="n">
        <v>1</v>
      </c>
      <c r="C29" s="12" t="n">
        <v>0</v>
      </c>
      <c r="D29" s="12" t="n">
        <v>0</v>
      </c>
      <c r="E29" s="12" t="n">
        <v>10</v>
      </c>
      <c r="F29" s="11" t="n">
        <f aca="false">INDEX(pool3!$F:$F,E29+1)</f>
        <v>0</v>
      </c>
      <c r="G29" s="12" t="n">
        <f aca="false">$B$4*144+A29</f>
        <v>1017</v>
      </c>
      <c r="H29" s="12" t="n">
        <f aca="false">G29+3528+1</f>
        <v>4546</v>
      </c>
      <c r="I29" s="13" t="n">
        <f aca="false">INDEX(weights!$H:$H,H29+1)</f>
        <v>0.0549774207</v>
      </c>
      <c r="J29" s="14" t="n">
        <f aca="false">F29*I29</f>
        <v>0</v>
      </c>
      <c r="K29" s="15" t="n">
        <f aca="false">K28+J29</f>
        <v>0.0332795256725706</v>
      </c>
    </row>
    <row r="30" customFormat="false" ht="15" hidden="false" customHeight="false" outlineLevel="0" collapsed="false">
      <c r="A30" s="12" t="n">
        <v>10</v>
      </c>
      <c r="B30" s="12" t="n">
        <v>1</v>
      </c>
      <c r="C30" s="12" t="n">
        <v>0</v>
      </c>
      <c r="D30" s="12" t="n">
        <v>1</v>
      </c>
      <c r="E30" s="12" t="n">
        <v>11</v>
      </c>
      <c r="F30" s="11" t="n">
        <f aca="false">INDEX(pool3!$F:$F,E30+1)</f>
        <v>0</v>
      </c>
      <c r="G30" s="12" t="n">
        <f aca="false">$B$4*144+A30</f>
        <v>1018</v>
      </c>
      <c r="H30" s="12" t="n">
        <f aca="false">G30+3528+1</f>
        <v>4547</v>
      </c>
      <c r="I30" s="13" t="n">
        <f aca="false">INDEX(weights!$H:$H,H30+1)</f>
        <v>-0.176476091</v>
      </c>
      <c r="J30" s="14" t="n">
        <f aca="false">F30*I30</f>
        <v>-0</v>
      </c>
      <c r="K30" s="15" t="n">
        <f aca="false">K29+J30</f>
        <v>0.0332795256725706</v>
      </c>
    </row>
    <row r="31" customFormat="false" ht="15" hidden="false" customHeight="false" outlineLevel="0" collapsed="false">
      <c r="A31" s="12" t="n">
        <v>11</v>
      </c>
      <c r="B31" s="12" t="n">
        <v>1</v>
      </c>
      <c r="C31" s="12" t="n">
        <v>0</v>
      </c>
      <c r="D31" s="12" t="n">
        <v>2</v>
      </c>
      <c r="E31" s="12" t="n">
        <v>12</v>
      </c>
      <c r="F31" s="11" t="n">
        <f aca="false">INDEX(pool3!$F:$F,E31+1)</f>
        <v>0</v>
      </c>
      <c r="G31" s="12" t="n">
        <f aca="false">$B$4*144+A31</f>
        <v>1019</v>
      </c>
      <c r="H31" s="12" t="n">
        <f aca="false">G31+3528+1</f>
        <v>4548</v>
      </c>
      <c r="I31" s="13" t="n">
        <f aca="false">INDEX(weights!$H:$H,H31+1)</f>
        <v>0.331563711</v>
      </c>
      <c r="J31" s="14" t="n">
        <f aca="false">F31*I31</f>
        <v>0</v>
      </c>
      <c r="K31" s="15" t="n">
        <f aca="false">K30+J31</f>
        <v>0.0332795256725706</v>
      </c>
    </row>
    <row r="32" customFormat="false" ht="15" hidden="false" customHeight="false" outlineLevel="0" collapsed="false">
      <c r="A32" s="12" t="n">
        <v>12</v>
      </c>
      <c r="B32" s="12" t="n">
        <v>1</v>
      </c>
      <c r="C32" s="12" t="n">
        <v>1</v>
      </c>
      <c r="D32" s="12" t="n">
        <v>0</v>
      </c>
      <c r="E32" s="12" t="n">
        <v>13</v>
      </c>
      <c r="F32" s="11" t="n">
        <f aca="false">INDEX(pool3!$F:$F,E32+1)</f>
        <v>0.99852258</v>
      </c>
      <c r="G32" s="12" t="n">
        <f aca="false">$B$4*144+A32</f>
        <v>1020</v>
      </c>
      <c r="H32" s="12" t="n">
        <f aca="false">G32+3528+1</f>
        <v>4549</v>
      </c>
      <c r="I32" s="13" t="n">
        <f aca="false">INDEX(weights!$H:$H,H32+1)</f>
        <v>-0.094289273</v>
      </c>
      <c r="J32" s="14" t="n">
        <f aca="false">F32*I32</f>
        <v>-0.0941499681422844</v>
      </c>
      <c r="K32" s="15" t="n">
        <f aca="false">K31+J32</f>
        <v>-0.0608704424697138</v>
      </c>
    </row>
    <row r="33" customFormat="false" ht="15" hidden="false" customHeight="false" outlineLevel="0" collapsed="false">
      <c r="A33" s="12" t="n">
        <v>13</v>
      </c>
      <c r="B33" s="12" t="n">
        <v>1</v>
      </c>
      <c r="C33" s="12" t="n">
        <v>1</v>
      </c>
      <c r="D33" s="12" t="n">
        <v>1</v>
      </c>
      <c r="E33" s="12" t="n">
        <v>14</v>
      </c>
      <c r="F33" s="11" t="n">
        <f aca="false">INDEX(pool3!$F:$F,E33+1)</f>
        <v>25.3869553</v>
      </c>
      <c r="G33" s="12" t="n">
        <f aca="false">$B$4*144+A33</f>
        <v>1021</v>
      </c>
      <c r="H33" s="12" t="n">
        <f aca="false">G33+3528+1</f>
        <v>4550</v>
      </c>
      <c r="I33" s="13" t="n">
        <f aca="false">INDEX(weights!$H:$H,H33+1)</f>
        <v>-0.0355457067</v>
      </c>
      <c r="J33" s="14" t="n">
        <f aca="false">F33*I33</f>
        <v>-0.902397267099811</v>
      </c>
      <c r="K33" s="15" t="n">
        <f aca="false">K32+J33</f>
        <v>-0.963267709569524</v>
      </c>
    </row>
    <row r="34" customFormat="false" ht="15" hidden="false" customHeight="false" outlineLevel="0" collapsed="false">
      <c r="A34" s="12" t="n">
        <v>14</v>
      </c>
      <c r="B34" s="12" t="n">
        <v>1</v>
      </c>
      <c r="C34" s="12" t="n">
        <v>1</v>
      </c>
      <c r="D34" s="12" t="n">
        <v>2</v>
      </c>
      <c r="E34" s="12" t="n">
        <v>15</v>
      </c>
      <c r="F34" s="11" t="n">
        <f aca="false">INDEX(pool3!$F:$F,E34+1)</f>
        <v>8.94094563</v>
      </c>
      <c r="G34" s="12" t="n">
        <f aca="false">$B$4*144+A34</f>
        <v>1022</v>
      </c>
      <c r="H34" s="12" t="n">
        <f aca="false">G34+3528+1</f>
        <v>4551</v>
      </c>
      <c r="I34" s="13" t="n">
        <f aca="false">INDEX(weights!$H:$H,H34+1)</f>
        <v>0.369036376</v>
      </c>
      <c r="J34" s="14" t="n">
        <f aca="false">F34*I34</f>
        <v>3.29953417330824</v>
      </c>
      <c r="K34" s="15" t="n">
        <f aca="false">K33+J34</f>
        <v>2.33626646373871</v>
      </c>
    </row>
    <row r="35" customFormat="false" ht="15" hidden="false" customHeight="false" outlineLevel="0" collapsed="false">
      <c r="A35" s="12" t="n">
        <v>15</v>
      </c>
      <c r="B35" s="12" t="n">
        <v>1</v>
      </c>
      <c r="C35" s="12" t="n">
        <v>2</v>
      </c>
      <c r="D35" s="12" t="n">
        <v>0</v>
      </c>
      <c r="E35" s="12" t="n">
        <v>16</v>
      </c>
      <c r="F35" s="11" t="n">
        <f aca="false">INDEX(pool3!$F:$F,E35+1)</f>
        <v>0.742159367</v>
      </c>
      <c r="G35" s="12" t="n">
        <f aca="false">$B$4*144+A35</f>
        <v>1023</v>
      </c>
      <c r="H35" s="12" t="n">
        <f aca="false">G35+3528+1</f>
        <v>4552</v>
      </c>
      <c r="I35" s="13" t="n">
        <f aca="false">INDEX(weights!$H:$H,H35+1)</f>
        <v>0.0532138869</v>
      </c>
      <c r="J35" s="14" t="n">
        <f aca="false">F35*I35</f>
        <v>0.0394931846173136</v>
      </c>
      <c r="K35" s="15" t="n">
        <f aca="false">K34+J35</f>
        <v>2.37575964835603</v>
      </c>
    </row>
    <row r="36" customFormat="false" ht="15" hidden="false" customHeight="false" outlineLevel="0" collapsed="false">
      <c r="A36" s="12" t="n">
        <v>16</v>
      </c>
      <c r="B36" s="12" t="n">
        <v>1</v>
      </c>
      <c r="C36" s="12" t="n">
        <v>2</v>
      </c>
      <c r="D36" s="12" t="n">
        <v>1</v>
      </c>
      <c r="E36" s="12" t="n">
        <v>17</v>
      </c>
      <c r="F36" s="11" t="n">
        <f aca="false">INDEX(pool3!$F:$F,E36+1)</f>
        <v>9.12489414</v>
      </c>
      <c r="G36" s="12" t="n">
        <f aca="false">$B$4*144+A36</f>
        <v>1024</v>
      </c>
      <c r="H36" s="12" t="n">
        <f aca="false">G36+3528+1</f>
        <v>4553</v>
      </c>
      <c r="I36" s="13" t="n">
        <f aca="false">INDEX(weights!$H:$H,H36+1)</f>
        <v>0.162956342</v>
      </c>
      <c r="J36" s="14" t="n">
        <f aca="false">F36*I36</f>
        <v>1.48695937019164</v>
      </c>
      <c r="K36" s="15" t="n">
        <f aca="false">K35+J36</f>
        <v>3.86271901854766</v>
      </c>
    </row>
    <row r="37" customFormat="false" ht="15" hidden="false" customHeight="false" outlineLevel="0" collapsed="false">
      <c r="A37" s="18" t="n">
        <v>17</v>
      </c>
      <c r="B37" s="18" t="n">
        <v>1</v>
      </c>
      <c r="C37" s="18" t="n">
        <v>2</v>
      </c>
      <c r="D37" s="18" t="n">
        <v>2</v>
      </c>
      <c r="E37" s="18" t="n">
        <v>18</v>
      </c>
      <c r="F37" s="17" t="n">
        <f aca="false">INDEX(pool3!$F:$F,E37+1)</f>
        <v>0</v>
      </c>
      <c r="G37" s="18" t="n">
        <f aca="false">$B$4*144+A37</f>
        <v>1025</v>
      </c>
      <c r="H37" s="18" t="n">
        <f aca="false">G37+3528+1</f>
        <v>4554</v>
      </c>
      <c r="I37" s="19" t="n">
        <f aca="false">INDEX(weights!$H:$H,H37+1)</f>
        <v>0.179750964</v>
      </c>
      <c r="J37" s="20" t="n">
        <f aca="false">F37*I37</f>
        <v>0</v>
      </c>
      <c r="K37" s="21" t="n">
        <f aca="false">K36+J37</f>
        <v>3.86271901854766</v>
      </c>
    </row>
    <row r="38" customFormat="false" ht="15" hidden="false" customHeight="false" outlineLevel="0" collapsed="false">
      <c r="A38" s="12" t="n">
        <v>18</v>
      </c>
      <c r="B38" s="12" t="n">
        <v>2</v>
      </c>
      <c r="C38" s="12" t="n">
        <v>0</v>
      </c>
      <c r="D38" s="12" t="n">
        <v>0</v>
      </c>
      <c r="E38" s="12" t="n">
        <v>19</v>
      </c>
      <c r="F38" s="11" t="n">
        <f aca="false">INDEX(pool3!$F:$F,E38+1)</f>
        <v>8.36674023</v>
      </c>
      <c r="G38" s="12" t="n">
        <f aca="false">$B$4*144+A38</f>
        <v>1026</v>
      </c>
      <c r="H38" s="12" t="n">
        <f aca="false">G38+3528+1</f>
        <v>4555</v>
      </c>
      <c r="I38" s="13" t="n">
        <f aca="false">INDEX(weights!$H:$H,H38+1)</f>
        <v>0.166635886</v>
      </c>
      <c r="J38" s="14" t="n">
        <f aca="false">F38*I38</f>
        <v>1.39419917115789</v>
      </c>
      <c r="K38" s="15" t="n">
        <f aca="false">K37+J38</f>
        <v>5.25691818970556</v>
      </c>
    </row>
    <row r="39" customFormat="false" ht="15" hidden="false" customHeight="false" outlineLevel="0" collapsed="false">
      <c r="A39" s="12" t="n">
        <v>19</v>
      </c>
      <c r="B39" s="12" t="n">
        <v>2</v>
      </c>
      <c r="C39" s="12" t="n">
        <v>0</v>
      </c>
      <c r="D39" s="12" t="n">
        <v>1</v>
      </c>
      <c r="E39" s="12" t="n">
        <v>20</v>
      </c>
      <c r="F39" s="11" t="n">
        <f aca="false">INDEX(pool3!$F:$F,E39+1)</f>
        <v>7.14438057</v>
      </c>
      <c r="G39" s="12" t="n">
        <f aca="false">$B$4*144+A39</f>
        <v>1027</v>
      </c>
      <c r="H39" s="12" t="n">
        <f aca="false">G39+3528+1</f>
        <v>4556</v>
      </c>
      <c r="I39" s="13" t="n">
        <f aca="false">INDEX(weights!$H:$H,H39+1)</f>
        <v>-0.104691364</v>
      </c>
      <c r="J39" s="14" t="n">
        <f aca="false">F39*I39</f>
        <v>-0.747954946808398</v>
      </c>
      <c r="K39" s="15" t="n">
        <f aca="false">K38+J39</f>
        <v>4.50896324289716</v>
      </c>
    </row>
    <row r="40" customFormat="false" ht="15" hidden="false" customHeight="false" outlineLevel="0" collapsed="false">
      <c r="A40" s="12" t="n">
        <v>20</v>
      </c>
      <c r="B40" s="12" t="n">
        <v>2</v>
      </c>
      <c r="C40" s="12" t="n">
        <v>0</v>
      </c>
      <c r="D40" s="12" t="n">
        <v>2</v>
      </c>
      <c r="E40" s="12" t="n">
        <v>21</v>
      </c>
      <c r="F40" s="11" t="n">
        <f aca="false">INDEX(pool3!$F:$F,E40+1)</f>
        <v>5.51013708</v>
      </c>
      <c r="G40" s="12" t="n">
        <f aca="false">$B$4*144+A40</f>
        <v>1028</v>
      </c>
      <c r="H40" s="12" t="n">
        <f aca="false">G40+3528+1</f>
        <v>4557</v>
      </c>
      <c r="I40" s="13" t="n">
        <f aca="false">INDEX(weights!$H:$H,H40+1)</f>
        <v>0.0548320375</v>
      </c>
      <c r="J40" s="14" t="n">
        <f aca="false">F40*I40</f>
        <v>0.302132043000701</v>
      </c>
      <c r="K40" s="15" t="n">
        <f aca="false">K39+J40</f>
        <v>4.81109528589786</v>
      </c>
    </row>
    <row r="41" customFormat="false" ht="15" hidden="false" customHeight="false" outlineLevel="0" collapsed="false">
      <c r="A41" s="12" t="n">
        <v>21</v>
      </c>
      <c r="B41" s="12" t="n">
        <v>2</v>
      </c>
      <c r="C41" s="12" t="n">
        <v>1</v>
      </c>
      <c r="D41" s="12" t="n">
        <v>0</v>
      </c>
      <c r="E41" s="12" t="n">
        <v>22</v>
      </c>
      <c r="F41" s="11" t="n">
        <f aca="false">INDEX(pool3!$F:$F,E41+1)</f>
        <v>5.94048405</v>
      </c>
      <c r="G41" s="12" t="n">
        <f aca="false">$B$4*144+A41</f>
        <v>1029</v>
      </c>
      <c r="H41" s="12" t="n">
        <f aca="false">G41+3528+1</f>
        <v>4558</v>
      </c>
      <c r="I41" s="13" t="n">
        <f aca="false">INDEX(weights!$H:$H,H41+1)</f>
        <v>0.187562883</v>
      </c>
      <c r="J41" s="14" t="n">
        <f aca="false">F41*I41</f>
        <v>1.11421431483352</v>
      </c>
      <c r="K41" s="15" t="n">
        <f aca="false">K40+J41</f>
        <v>5.92530960073137</v>
      </c>
    </row>
    <row r="42" customFormat="false" ht="15" hidden="false" customHeight="false" outlineLevel="0" collapsed="false">
      <c r="A42" s="12" t="n">
        <v>22</v>
      </c>
      <c r="B42" s="12" t="n">
        <v>2</v>
      </c>
      <c r="C42" s="12" t="n">
        <v>1</v>
      </c>
      <c r="D42" s="12" t="n">
        <v>1</v>
      </c>
      <c r="E42" s="12" t="n">
        <v>23</v>
      </c>
      <c r="F42" s="11" t="n">
        <f aca="false">INDEX(pool3!$F:$F,E42+1)</f>
        <v>13.6775465</v>
      </c>
      <c r="G42" s="12" t="n">
        <f aca="false">$B$4*144+A42</f>
        <v>1030</v>
      </c>
      <c r="H42" s="12" t="n">
        <f aca="false">G42+3528+1</f>
        <v>4559</v>
      </c>
      <c r="I42" s="13" t="n">
        <f aca="false">INDEX(weights!$H:$H,H42+1)</f>
        <v>-0.00129157468</v>
      </c>
      <c r="J42" s="14" t="n">
        <f aca="false">F42*I42</f>
        <v>-0.0176655727439226</v>
      </c>
      <c r="K42" s="15" t="n">
        <f aca="false">K41+J42</f>
        <v>5.90764402798745</v>
      </c>
    </row>
    <row r="43" customFormat="false" ht="15" hidden="false" customHeight="false" outlineLevel="0" collapsed="false">
      <c r="A43" s="12" t="n">
        <v>23</v>
      </c>
      <c r="B43" s="12" t="n">
        <v>2</v>
      </c>
      <c r="C43" s="12" t="n">
        <v>1</v>
      </c>
      <c r="D43" s="12" t="n">
        <v>2</v>
      </c>
      <c r="E43" s="12" t="n">
        <v>24</v>
      </c>
      <c r="F43" s="11" t="n">
        <f aca="false">INDEX(pool3!$F:$F,E43+1)</f>
        <v>8.4915123</v>
      </c>
      <c r="G43" s="12" t="n">
        <f aca="false">$B$4*144+A43</f>
        <v>1031</v>
      </c>
      <c r="H43" s="12" t="n">
        <f aca="false">G43+3528+1</f>
        <v>4560</v>
      </c>
      <c r="I43" s="13" t="n">
        <f aca="false">INDEX(weights!$H:$H,H43+1)</f>
        <v>0.0219480712</v>
      </c>
      <c r="J43" s="14" t="n">
        <f aca="false">F43*I43</f>
        <v>0.186372316556076</v>
      </c>
      <c r="K43" s="15" t="n">
        <f aca="false">K42+J43</f>
        <v>6.09401634454353</v>
      </c>
    </row>
    <row r="44" customFormat="false" ht="15" hidden="false" customHeight="false" outlineLevel="0" collapsed="false">
      <c r="A44" s="12" t="n">
        <v>24</v>
      </c>
      <c r="B44" s="12" t="n">
        <v>2</v>
      </c>
      <c r="C44" s="12" t="n">
        <v>2</v>
      </c>
      <c r="D44" s="12" t="n">
        <v>0</v>
      </c>
      <c r="E44" s="12" t="n">
        <v>25</v>
      </c>
      <c r="F44" s="11" t="n">
        <f aca="false">INDEX(pool3!$F:$F,E44+1)</f>
        <v>0</v>
      </c>
      <c r="G44" s="12" t="n">
        <f aca="false">$B$4*144+A44</f>
        <v>1032</v>
      </c>
      <c r="H44" s="12" t="n">
        <f aca="false">G44+3528+1</f>
        <v>4561</v>
      </c>
      <c r="I44" s="13" t="n">
        <f aca="false">INDEX(weights!$H:$H,H44+1)</f>
        <v>-0.144001946</v>
      </c>
      <c r="J44" s="14" t="n">
        <f aca="false">F44*I44</f>
        <v>-0</v>
      </c>
      <c r="K44" s="15" t="n">
        <f aca="false">K43+J44</f>
        <v>6.09401634454353</v>
      </c>
    </row>
    <row r="45" customFormat="false" ht="15" hidden="false" customHeight="false" outlineLevel="0" collapsed="false">
      <c r="A45" s="12" t="n">
        <v>25</v>
      </c>
      <c r="B45" s="12" t="n">
        <v>2</v>
      </c>
      <c r="C45" s="12" t="n">
        <v>2</v>
      </c>
      <c r="D45" s="12" t="n">
        <v>1</v>
      </c>
      <c r="E45" s="12" t="n">
        <v>26</v>
      </c>
      <c r="F45" s="11" t="n">
        <f aca="false">INDEX(pool3!$F:$F,E45+1)</f>
        <v>0.00697648525</v>
      </c>
      <c r="G45" s="12" t="n">
        <f aca="false">$B$4*144+A45</f>
        <v>1033</v>
      </c>
      <c r="H45" s="12" t="n">
        <f aca="false">G45+3528+1</f>
        <v>4562</v>
      </c>
      <c r="I45" s="13" t="n">
        <f aca="false">INDEX(weights!$H:$H,H45+1)</f>
        <v>-0.3380481</v>
      </c>
      <c r="J45" s="14" t="n">
        <f aca="false">F45*I45</f>
        <v>-0.00235838758344053</v>
      </c>
      <c r="K45" s="15" t="n">
        <f aca="false">K44+J45</f>
        <v>6.09165795696009</v>
      </c>
    </row>
    <row r="46" customFormat="false" ht="15" hidden="false" customHeight="false" outlineLevel="0" collapsed="false">
      <c r="A46" s="18" t="n">
        <v>26</v>
      </c>
      <c r="B46" s="18" t="n">
        <v>2</v>
      </c>
      <c r="C46" s="18" t="n">
        <v>2</v>
      </c>
      <c r="D46" s="18" t="n">
        <v>2</v>
      </c>
      <c r="E46" s="18" t="n">
        <v>27</v>
      </c>
      <c r="F46" s="17" t="n">
        <f aca="false">INDEX(pool3!$F:$F,E46+1)</f>
        <v>0</v>
      </c>
      <c r="G46" s="18" t="n">
        <f aca="false">$B$4*144+A46</f>
        <v>1034</v>
      </c>
      <c r="H46" s="18" t="n">
        <f aca="false">G46+3528+1</f>
        <v>4563</v>
      </c>
      <c r="I46" s="19" t="n">
        <f aca="false">INDEX(weights!$H:$H,H46+1)</f>
        <v>0.0244068019</v>
      </c>
      <c r="J46" s="20" t="n">
        <f aca="false">F46*I46</f>
        <v>0</v>
      </c>
      <c r="K46" s="21" t="n">
        <f aca="false">K45+J46</f>
        <v>6.09165795696009</v>
      </c>
    </row>
    <row r="47" customFormat="false" ht="15" hidden="false" customHeight="false" outlineLevel="0" collapsed="false">
      <c r="A47" s="12" t="n">
        <v>27</v>
      </c>
      <c r="B47" s="12" t="n">
        <v>3</v>
      </c>
      <c r="C47" s="12" t="n">
        <v>0</v>
      </c>
      <c r="D47" s="12" t="n">
        <v>0</v>
      </c>
      <c r="E47" s="12" t="n">
        <v>28</v>
      </c>
      <c r="F47" s="11" t="n">
        <f aca="false">INDEX(pool3!$F:$F,E47+1)</f>
        <v>4.89755583</v>
      </c>
      <c r="G47" s="12" t="n">
        <f aca="false">$B$4*144+A47</f>
        <v>1035</v>
      </c>
      <c r="H47" s="12" t="n">
        <f aca="false">G47+3528+1</f>
        <v>4564</v>
      </c>
      <c r="I47" s="13" t="n">
        <f aca="false">INDEX(weights!$H:$H,H47+1)</f>
        <v>0.19847551</v>
      </c>
      <c r="J47" s="14" t="n">
        <f aca="false">F47*I47</f>
        <v>0.972044891112723</v>
      </c>
      <c r="K47" s="15" t="n">
        <f aca="false">K46+J47</f>
        <v>7.06370284807281</v>
      </c>
    </row>
    <row r="48" customFormat="false" ht="15" hidden="false" customHeight="false" outlineLevel="0" collapsed="false">
      <c r="A48" s="12" t="n">
        <v>28</v>
      </c>
      <c r="B48" s="12" t="n">
        <v>3</v>
      </c>
      <c r="C48" s="12" t="n">
        <v>0</v>
      </c>
      <c r="D48" s="12" t="n">
        <v>1</v>
      </c>
      <c r="E48" s="12" t="n">
        <v>29</v>
      </c>
      <c r="F48" s="11" t="n">
        <f aca="false">INDEX(pool3!$F:$F,E48+1)</f>
        <v>7.55875254</v>
      </c>
      <c r="G48" s="12" t="n">
        <f aca="false">$B$4*144+A48</f>
        <v>1036</v>
      </c>
      <c r="H48" s="12" t="n">
        <f aca="false">G48+3528+1</f>
        <v>4565</v>
      </c>
      <c r="I48" s="13" t="n">
        <f aca="false">INDEX(weights!$H:$H,H48+1)</f>
        <v>0.251098424</v>
      </c>
      <c r="J48" s="14" t="n">
        <f aca="false">F48*I48</f>
        <v>1.8979908502</v>
      </c>
      <c r="K48" s="15" t="n">
        <f aca="false">K47+J48</f>
        <v>8.96169369827281</v>
      </c>
    </row>
    <row r="49" customFormat="false" ht="15" hidden="false" customHeight="false" outlineLevel="0" collapsed="false">
      <c r="A49" s="12" t="n">
        <v>29</v>
      </c>
      <c r="B49" s="12" t="n">
        <v>3</v>
      </c>
      <c r="C49" s="12" t="n">
        <v>0</v>
      </c>
      <c r="D49" s="12" t="n">
        <v>2</v>
      </c>
      <c r="E49" s="12" t="n">
        <v>30</v>
      </c>
      <c r="F49" s="11" t="n">
        <f aca="false">INDEX(pool3!$F:$F,E49+1)</f>
        <v>1.35765815</v>
      </c>
      <c r="G49" s="12" t="n">
        <f aca="false">$B$4*144+A49</f>
        <v>1037</v>
      </c>
      <c r="H49" s="12" t="n">
        <f aca="false">G49+3528+1</f>
        <v>4566</v>
      </c>
      <c r="I49" s="13" t="n">
        <f aca="false">INDEX(weights!$H:$H,H49+1)</f>
        <v>-0.0458796285</v>
      </c>
      <c r="J49" s="14" t="n">
        <f aca="false">F49*I49</f>
        <v>-0.0622888515519973</v>
      </c>
      <c r="K49" s="15" t="n">
        <f aca="false">K48+J49</f>
        <v>8.89940484672081</v>
      </c>
    </row>
    <row r="50" customFormat="false" ht="15" hidden="false" customHeight="false" outlineLevel="0" collapsed="false">
      <c r="A50" s="12" t="n">
        <v>30</v>
      </c>
      <c r="B50" s="12" t="n">
        <v>3</v>
      </c>
      <c r="C50" s="12" t="n">
        <v>1</v>
      </c>
      <c r="D50" s="12" t="n">
        <v>0</v>
      </c>
      <c r="E50" s="12" t="n">
        <v>31</v>
      </c>
      <c r="F50" s="11" t="n">
        <f aca="false">INDEX(pool3!$F:$F,E50+1)</f>
        <v>0</v>
      </c>
      <c r="G50" s="12" t="n">
        <f aca="false">$B$4*144+A50</f>
        <v>1038</v>
      </c>
      <c r="H50" s="12" t="n">
        <f aca="false">G50+3528+1</f>
        <v>4567</v>
      </c>
      <c r="I50" s="13" t="n">
        <f aca="false">INDEX(weights!$H:$H,H50+1)</f>
        <v>0.12601392</v>
      </c>
      <c r="J50" s="14" t="n">
        <f aca="false">F50*I50</f>
        <v>0</v>
      </c>
      <c r="K50" s="15" t="n">
        <f aca="false">K49+J50</f>
        <v>8.89940484672081</v>
      </c>
    </row>
    <row r="51" customFormat="false" ht="15" hidden="false" customHeight="false" outlineLevel="0" collapsed="false">
      <c r="A51" s="12" t="n">
        <v>31</v>
      </c>
      <c r="B51" s="12" t="n">
        <v>3</v>
      </c>
      <c r="C51" s="12" t="n">
        <v>1</v>
      </c>
      <c r="D51" s="12" t="n">
        <v>1</v>
      </c>
      <c r="E51" s="12" t="n">
        <v>32</v>
      </c>
      <c r="F51" s="11" t="n">
        <f aca="false">INDEX(pool3!$F:$F,E51+1)</f>
        <v>0</v>
      </c>
      <c r="G51" s="12" t="n">
        <f aca="false">$B$4*144+A51</f>
        <v>1039</v>
      </c>
      <c r="H51" s="12" t="n">
        <f aca="false">G51+3528+1</f>
        <v>4568</v>
      </c>
      <c r="I51" s="13" t="n">
        <f aca="false">INDEX(weights!$H:$H,H51+1)</f>
        <v>-0.114517614</v>
      </c>
      <c r="J51" s="14" t="n">
        <f aca="false">F51*I51</f>
        <v>-0</v>
      </c>
      <c r="K51" s="15" t="n">
        <f aca="false">K50+J51</f>
        <v>8.89940484672081</v>
      </c>
    </row>
    <row r="52" customFormat="false" ht="15" hidden="false" customHeight="false" outlineLevel="0" collapsed="false">
      <c r="A52" s="12" t="n">
        <v>32</v>
      </c>
      <c r="B52" s="12" t="n">
        <v>3</v>
      </c>
      <c r="C52" s="12" t="n">
        <v>1</v>
      </c>
      <c r="D52" s="12" t="n">
        <v>2</v>
      </c>
      <c r="E52" s="12" t="n">
        <v>33</v>
      </c>
      <c r="F52" s="11" t="n">
        <f aca="false">INDEX(pool3!$F:$F,E52+1)</f>
        <v>7.33222151</v>
      </c>
      <c r="G52" s="12" t="n">
        <f aca="false">$B$4*144+A52</f>
        <v>1040</v>
      </c>
      <c r="H52" s="12" t="n">
        <f aca="false">G52+3528+1</f>
        <v>4569</v>
      </c>
      <c r="I52" s="13" t="n">
        <f aca="false">INDEX(weights!$H:$H,H52+1)</f>
        <v>0.0832473561</v>
      </c>
      <c r="J52" s="14" t="n">
        <f aca="false">F52*I52</f>
        <v>0.61038805504705</v>
      </c>
      <c r="K52" s="15" t="n">
        <f aca="false">K51+J52</f>
        <v>9.50979290176786</v>
      </c>
    </row>
    <row r="53" customFormat="false" ht="15" hidden="false" customHeight="false" outlineLevel="0" collapsed="false">
      <c r="A53" s="12" t="n">
        <v>33</v>
      </c>
      <c r="B53" s="12" t="n">
        <v>3</v>
      </c>
      <c r="C53" s="12" t="n">
        <v>2</v>
      </c>
      <c r="D53" s="12" t="n">
        <v>0</v>
      </c>
      <c r="E53" s="12" t="n">
        <v>34</v>
      </c>
      <c r="F53" s="11" t="n">
        <f aca="false">INDEX(pool3!$F:$F,E53+1)</f>
        <v>3.80923724</v>
      </c>
      <c r="G53" s="12" t="n">
        <f aca="false">$B$4*144+A53</f>
        <v>1041</v>
      </c>
      <c r="H53" s="12" t="n">
        <f aca="false">G53+3528+1</f>
        <v>4570</v>
      </c>
      <c r="I53" s="13" t="n">
        <f aca="false">INDEX(weights!$H:$H,H53+1)</f>
        <v>0.0273267087</v>
      </c>
      <c r="J53" s="14" t="n">
        <f aca="false">F53*I53</f>
        <v>0.104093916426672</v>
      </c>
      <c r="K53" s="15" t="n">
        <f aca="false">K52+J53</f>
        <v>9.61388681819453</v>
      </c>
    </row>
    <row r="54" customFormat="false" ht="15" hidden="false" customHeight="false" outlineLevel="0" collapsed="false">
      <c r="A54" s="12" t="n">
        <v>34</v>
      </c>
      <c r="B54" s="12" t="n">
        <v>3</v>
      </c>
      <c r="C54" s="12" t="n">
        <v>2</v>
      </c>
      <c r="D54" s="12" t="n">
        <v>1</v>
      </c>
      <c r="E54" s="12" t="n">
        <v>35</v>
      </c>
      <c r="F54" s="11" t="n">
        <f aca="false">INDEX(pool3!$F:$F,E54+1)</f>
        <v>3.28168726</v>
      </c>
      <c r="G54" s="12" t="n">
        <f aca="false">$B$4*144+A54</f>
        <v>1042</v>
      </c>
      <c r="H54" s="12" t="n">
        <f aca="false">G54+3528+1</f>
        <v>4571</v>
      </c>
      <c r="I54" s="13" t="n">
        <f aca="false">INDEX(weights!$H:$H,H54+1)</f>
        <v>-0.340039402</v>
      </c>
      <c r="J54" s="14" t="n">
        <f aca="false">F54*I54</f>
        <v>-1.11590297344142</v>
      </c>
      <c r="K54" s="15" t="n">
        <f aca="false">K53+J54</f>
        <v>8.49798384475312</v>
      </c>
    </row>
    <row r="55" customFormat="false" ht="15" hidden="false" customHeight="false" outlineLevel="0" collapsed="false">
      <c r="A55" s="18" t="n">
        <v>35</v>
      </c>
      <c r="B55" s="18" t="n">
        <v>3</v>
      </c>
      <c r="C55" s="18" t="n">
        <v>2</v>
      </c>
      <c r="D55" s="18" t="n">
        <v>2</v>
      </c>
      <c r="E55" s="18" t="n">
        <v>36</v>
      </c>
      <c r="F55" s="17" t="n">
        <f aca="false">INDEX(pool3!$F:$F,E55+1)</f>
        <v>0</v>
      </c>
      <c r="G55" s="18" t="n">
        <f aca="false">$B$4*144+A55</f>
        <v>1043</v>
      </c>
      <c r="H55" s="18" t="n">
        <f aca="false">G55+3528+1</f>
        <v>4572</v>
      </c>
      <c r="I55" s="19" t="n">
        <f aca="false">INDEX(weights!$H:$H,H55+1)</f>
        <v>-0.292380959</v>
      </c>
      <c r="J55" s="20" t="n">
        <f aca="false">F55*I55</f>
        <v>-0</v>
      </c>
      <c r="K55" s="21" t="n">
        <f aca="false">K54+J55</f>
        <v>8.49798384475312</v>
      </c>
    </row>
    <row r="56" customFormat="false" ht="15" hidden="false" customHeight="false" outlineLevel="0" collapsed="false">
      <c r="A56" s="12" t="n">
        <v>36</v>
      </c>
      <c r="B56" s="12" t="n">
        <v>4</v>
      </c>
      <c r="C56" s="12" t="n">
        <v>0</v>
      </c>
      <c r="D56" s="12" t="n">
        <v>0</v>
      </c>
      <c r="E56" s="12" t="n">
        <v>37</v>
      </c>
      <c r="F56" s="11" t="n">
        <f aca="false">INDEX(pool3!$F:$F,E56+1)</f>
        <v>2.98066926</v>
      </c>
      <c r="G56" s="12" t="n">
        <f aca="false">$B$4*144+A56</f>
        <v>1044</v>
      </c>
      <c r="H56" s="12" t="n">
        <f aca="false">G56+3528+1</f>
        <v>4573</v>
      </c>
      <c r="I56" s="13" t="n">
        <f aca="false">INDEX(weights!$H:$H,H56+1)</f>
        <v>0.160697982</v>
      </c>
      <c r="J56" s="14" t="n">
        <f aca="false">F56*I56</f>
        <v>0.478987535091433</v>
      </c>
      <c r="K56" s="15" t="n">
        <f aca="false">K55+J56</f>
        <v>8.97697137984455</v>
      </c>
    </row>
    <row r="57" customFormat="false" ht="15" hidden="false" customHeight="false" outlineLevel="0" collapsed="false">
      <c r="A57" s="12" t="n">
        <v>37</v>
      </c>
      <c r="B57" s="12" t="n">
        <v>4</v>
      </c>
      <c r="C57" s="12" t="n">
        <v>0</v>
      </c>
      <c r="D57" s="12" t="n">
        <v>1</v>
      </c>
      <c r="E57" s="12" t="n">
        <v>38</v>
      </c>
      <c r="F57" s="11" t="n">
        <f aca="false">INDEX(pool3!$F:$F,E57+1)</f>
        <v>1.30668402</v>
      </c>
      <c r="G57" s="12" t="n">
        <f aca="false">$B$4*144+A57</f>
        <v>1045</v>
      </c>
      <c r="H57" s="12" t="n">
        <f aca="false">G57+3528+1</f>
        <v>4574</v>
      </c>
      <c r="I57" s="13" t="n">
        <f aca="false">INDEX(weights!$H:$H,H57+1)</f>
        <v>0.116557792</v>
      </c>
      <c r="J57" s="14" t="n">
        <f aca="false">F57*I57</f>
        <v>0.152304204212884</v>
      </c>
      <c r="K57" s="15" t="n">
        <f aca="false">K56+J57</f>
        <v>9.12927558405743</v>
      </c>
    </row>
    <row r="58" customFormat="false" ht="15" hidden="false" customHeight="false" outlineLevel="0" collapsed="false">
      <c r="A58" s="12" t="n">
        <v>38</v>
      </c>
      <c r="B58" s="12" t="n">
        <v>4</v>
      </c>
      <c r="C58" s="12" t="n">
        <v>0</v>
      </c>
      <c r="D58" s="12" t="n">
        <v>2</v>
      </c>
      <c r="E58" s="12" t="n">
        <v>39</v>
      </c>
      <c r="F58" s="11" t="n">
        <f aca="false">INDEX(pool3!$F:$F,E58+1)</f>
        <v>1.88414156</v>
      </c>
      <c r="G58" s="12" t="n">
        <f aca="false">$B$4*144+A58</f>
        <v>1046</v>
      </c>
      <c r="H58" s="12" t="n">
        <f aca="false">G58+3528+1</f>
        <v>4575</v>
      </c>
      <c r="I58" s="13" t="n">
        <f aca="false">INDEX(weights!$H:$H,H58+1)</f>
        <v>-0.15115656</v>
      </c>
      <c r="J58" s="14" t="n">
        <f aca="false">F58*I58</f>
        <v>-0.284800356762634</v>
      </c>
      <c r="K58" s="15" t="n">
        <f aca="false">K57+J58</f>
        <v>8.8444752272948</v>
      </c>
    </row>
    <row r="59" customFormat="false" ht="15" hidden="false" customHeight="false" outlineLevel="0" collapsed="false">
      <c r="A59" s="12" t="n">
        <v>39</v>
      </c>
      <c r="B59" s="12" t="n">
        <v>4</v>
      </c>
      <c r="C59" s="12" t="n">
        <v>1</v>
      </c>
      <c r="D59" s="12" t="n">
        <v>0</v>
      </c>
      <c r="E59" s="12" t="n">
        <v>40</v>
      </c>
      <c r="F59" s="11" t="n">
        <f aca="false">INDEX(pool3!$F:$F,E59+1)</f>
        <v>7.45960522</v>
      </c>
      <c r="G59" s="12" t="n">
        <f aca="false">$B$4*144+A59</f>
        <v>1047</v>
      </c>
      <c r="H59" s="12" t="n">
        <f aca="false">G59+3528+1</f>
        <v>4576</v>
      </c>
      <c r="I59" s="13" t="n">
        <f aca="false">INDEX(weights!$H:$H,H59+1)</f>
        <v>0.0460803732</v>
      </c>
      <c r="J59" s="14" t="n">
        <f aca="false">F59*I59</f>
        <v>0.343741392462268</v>
      </c>
      <c r="K59" s="15" t="n">
        <f aca="false">K58+J59</f>
        <v>9.18821661975707</v>
      </c>
    </row>
    <row r="60" customFormat="false" ht="15" hidden="false" customHeight="false" outlineLevel="0" collapsed="false">
      <c r="A60" s="12" t="n">
        <v>40</v>
      </c>
      <c r="B60" s="12" t="n">
        <v>4</v>
      </c>
      <c r="C60" s="12" t="n">
        <v>1</v>
      </c>
      <c r="D60" s="12" t="n">
        <v>1</v>
      </c>
      <c r="E60" s="12" t="n">
        <v>41</v>
      </c>
      <c r="F60" s="11" t="n">
        <f aca="false">INDEX(pool3!$F:$F,E60+1)</f>
        <v>1.80928612</v>
      </c>
      <c r="G60" s="12" t="n">
        <f aca="false">$B$4*144+A60</f>
        <v>1048</v>
      </c>
      <c r="H60" s="12" t="n">
        <f aca="false">G60+3528+1</f>
        <v>4577</v>
      </c>
      <c r="I60" s="13" t="n">
        <f aca="false">INDEX(weights!$H:$H,H60+1)</f>
        <v>-0.19386825</v>
      </c>
      <c r="J60" s="14" t="n">
        <f aca="false">F60*I60</f>
        <v>-0.35076313383369</v>
      </c>
      <c r="K60" s="15" t="n">
        <f aca="false">K59+J60</f>
        <v>8.83745348592338</v>
      </c>
    </row>
    <row r="61" customFormat="false" ht="15" hidden="false" customHeight="false" outlineLevel="0" collapsed="false">
      <c r="A61" s="12" t="n">
        <v>41</v>
      </c>
      <c r="B61" s="12" t="n">
        <v>4</v>
      </c>
      <c r="C61" s="12" t="n">
        <v>1</v>
      </c>
      <c r="D61" s="12" t="n">
        <v>2</v>
      </c>
      <c r="E61" s="12" t="n">
        <v>42</v>
      </c>
      <c r="F61" s="11" t="n">
        <f aca="false">INDEX(pool3!$F:$F,E61+1)</f>
        <v>8.15697289</v>
      </c>
      <c r="G61" s="12" t="n">
        <f aca="false">$B$4*144+A61</f>
        <v>1049</v>
      </c>
      <c r="H61" s="12" t="n">
        <f aca="false">G61+3528+1</f>
        <v>4578</v>
      </c>
      <c r="I61" s="13" t="n">
        <f aca="false">INDEX(weights!$H:$H,H61+1)</f>
        <v>-0.0555939004</v>
      </c>
      <c r="J61" s="14" t="n">
        <f aca="false">F61*I61</f>
        <v>-0.45347793841216</v>
      </c>
      <c r="K61" s="15" t="n">
        <f aca="false">K60+J61</f>
        <v>8.38397554751122</v>
      </c>
    </row>
    <row r="62" customFormat="false" ht="15" hidden="false" customHeight="false" outlineLevel="0" collapsed="false">
      <c r="A62" s="12" t="n">
        <v>42</v>
      </c>
      <c r="B62" s="12" t="n">
        <v>4</v>
      </c>
      <c r="C62" s="12" t="n">
        <v>2</v>
      </c>
      <c r="D62" s="12" t="n">
        <v>0</v>
      </c>
      <c r="E62" s="12" t="n">
        <v>43</v>
      </c>
      <c r="F62" s="11" t="n">
        <f aca="false">INDEX(pool3!$F:$F,E62+1)</f>
        <v>0</v>
      </c>
      <c r="G62" s="12" t="n">
        <f aca="false">$B$4*144+A62</f>
        <v>1050</v>
      </c>
      <c r="H62" s="12" t="n">
        <f aca="false">G62+3528+1</f>
        <v>4579</v>
      </c>
      <c r="I62" s="13" t="n">
        <f aca="false">INDEX(weights!$H:$H,H62+1)</f>
        <v>-0.302749962</v>
      </c>
      <c r="J62" s="14" t="n">
        <f aca="false">F62*I62</f>
        <v>-0</v>
      </c>
      <c r="K62" s="15" t="n">
        <f aca="false">K61+J62</f>
        <v>8.38397554751122</v>
      </c>
    </row>
    <row r="63" customFormat="false" ht="15" hidden="false" customHeight="false" outlineLevel="0" collapsed="false">
      <c r="A63" s="12" t="n">
        <v>43</v>
      </c>
      <c r="B63" s="12" t="n">
        <v>4</v>
      </c>
      <c r="C63" s="12" t="n">
        <v>2</v>
      </c>
      <c r="D63" s="12" t="n">
        <v>1</v>
      </c>
      <c r="E63" s="12" t="n">
        <v>44</v>
      </c>
      <c r="F63" s="11" t="n">
        <f aca="false">INDEX(pool3!$F:$F,E63+1)</f>
        <v>0</v>
      </c>
      <c r="G63" s="12" t="n">
        <f aca="false">$B$4*144+A63</f>
        <v>1051</v>
      </c>
      <c r="H63" s="12" t="n">
        <f aca="false">G63+3528+1</f>
        <v>4580</v>
      </c>
      <c r="I63" s="13" t="n">
        <f aca="false">INDEX(weights!$H:$H,H63+1)</f>
        <v>-0.0975487232</v>
      </c>
      <c r="J63" s="14" t="n">
        <f aca="false">F63*I63</f>
        <v>-0</v>
      </c>
      <c r="K63" s="15" t="n">
        <f aca="false">K62+J63</f>
        <v>8.38397554751122</v>
      </c>
    </row>
    <row r="64" customFormat="false" ht="15" hidden="false" customHeight="false" outlineLevel="0" collapsed="false">
      <c r="A64" s="18" t="n">
        <v>44</v>
      </c>
      <c r="B64" s="18" t="n">
        <v>4</v>
      </c>
      <c r="C64" s="18" t="n">
        <v>2</v>
      </c>
      <c r="D64" s="18" t="n">
        <v>2</v>
      </c>
      <c r="E64" s="18" t="n">
        <v>45</v>
      </c>
      <c r="F64" s="17" t="n">
        <f aca="false">INDEX(pool3!$F:$F,E64+1)</f>
        <v>1.620502</v>
      </c>
      <c r="G64" s="18" t="n">
        <f aca="false">$B$4*144+A64</f>
        <v>1052</v>
      </c>
      <c r="H64" s="18" t="n">
        <f aca="false">G64+3528+1</f>
        <v>4581</v>
      </c>
      <c r="I64" s="19" t="n">
        <f aca="false">INDEX(weights!$H:$H,H64+1)</f>
        <v>-0.102701247</v>
      </c>
      <c r="J64" s="20" t="n">
        <f aca="false">F64*I64</f>
        <v>-0.166427576165994</v>
      </c>
      <c r="K64" s="21" t="n">
        <f aca="false">K63+J64</f>
        <v>8.21754797134522</v>
      </c>
    </row>
    <row r="65" customFormat="false" ht="15" hidden="false" customHeight="false" outlineLevel="0" collapsed="false">
      <c r="A65" s="12" t="n">
        <v>45</v>
      </c>
      <c r="B65" s="12" t="n">
        <v>5</v>
      </c>
      <c r="C65" s="12" t="n">
        <v>0</v>
      </c>
      <c r="D65" s="12" t="n">
        <v>0</v>
      </c>
      <c r="E65" s="12" t="n">
        <v>46</v>
      </c>
      <c r="F65" s="11" t="n">
        <f aca="false">INDEX(pool3!$F:$F,E65+1)</f>
        <v>0</v>
      </c>
      <c r="G65" s="12" t="n">
        <f aca="false">$B$4*144+A65</f>
        <v>1053</v>
      </c>
      <c r="H65" s="12" t="n">
        <f aca="false">G65+3528+1</f>
        <v>4582</v>
      </c>
      <c r="I65" s="13" t="n">
        <f aca="false">INDEX(weights!$H:$H,H65+1)</f>
        <v>0.109360993</v>
      </c>
      <c r="J65" s="14" t="n">
        <f aca="false">F65*I65</f>
        <v>0</v>
      </c>
      <c r="K65" s="15" t="n">
        <f aca="false">K64+J65</f>
        <v>8.21754797134522</v>
      </c>
    </row>
    <row r="66" customFormat="false" ht="15" hidden="false" customHeight="false" outlineLevel="0" collapsed="false">
      <c r="A66" s="12" t="n">
        <v>46</v>
      </c>
      <c r="B66" s="12" t="n">
        <v>5</v>
      </c>
      <c r="C66" s="12" t="n">
        <v>0</v>
      </c>
      <c r="D66" s="12" t="n">
        <v>1</v>
      </c>
      <c r="E66" s="12" t="n">
        <v>47</v>
      </c>
      <c r="F66" s="11" t="n">
        <f aca="false">INDEX(pool3!$F:$F,E66+1)</f>
        <v>3.48186994</v>
      </c>
      <c r="G66" s="12" t="n">
        <f aca="false">$B$4*144+A66</f>
        <v>1054</v>
      </c>
      <c r="H66" s="12" t="n">
        <f aca="false">G66+3528+1</f>
        <v>4583</v>
      </c>
      <c r="I66" s="13" t="n">
        <f aca="false">INDEX(weights!$H:$H,H66+1)</f>
        <v>0.287795752</v>
      </c>
      <c r="J66" s="14" t="n">
        <f aca="false">F66*I66</f>
        <v>1.0020673777485</v>
      </c>
      <c r="K66" s="15" t="n">
        <f aca="false">K65+J66</f>
        <v>9.21961534909372</v>
      </c>
    </row>
    <row r="67" customFormat="false" ht="15" hidden="false" customHeight="false" outlineLevel="0" collapsed="false">
      <c r="A67" s="12" t="n">
        <v>47</v>
      </c>
      <c r="B67" s="12" t="n">
        <v>5</v>
      </c>
      <c r="C67" s="12" t="n">
        <v>0</v>
      </c>
      <c r="D67" s="12" t="n">
        <v>2</v>
      </c>
      <c r="E67" s="12" t="n">
        <v>48</v>
      </c>
      <c r="F67" s="11" t="n">
        <f aca="false">INDEX(pool3!$F:$F,E67+1)</f>
        <v>9.92120266</v>
      </c>
      <c r="G67" s="12" t="n">
        <f aca="false">$B$4*144+A67</f>
        <v>1055</v>
      </c>
      <c r="H67" s="12" t="n">
        <f aca="false">G67+3528+1</f>
        <v>4584</v>
      </c>
      <c r="I67" s="13" t="n">
        <f aca="false">INDEX(weights!$H:$H,H67+1)</f>
        <v>-0.0384275652</v>
      </c>
      <c r="J67" s="14" t="n">
        <f aca="false">F67*I67</f>
        <v>-0.381247662079563</v>
      </c>
      <c r="K67" s="15" t="n">
        <f aca="false">K66+J67</f>
        <v>8.83836768701416</v>
      </c>
    </row>
    <row r="68" customFormat="false" ht="15" hidden="false" customHeight="false" outlineLevel="0" collapsed="false">
      <c r="A68" s="12" t="n">
        <v>48</v>
      </c>
      <c r="B68" s="12" t="n">
        <v>5</v>
      </c>
      <c r="C68" s="12" t="n">
        <v>1</v>
      </c>
      <c r="D68" s="12" t="n">
        <v>0</v>
      </c>
      <c r="E68" s="12" t="n">
        <v>49</v>
      </c>
      <c r="F68" s="11" t="n">
        <f aca="false">INDEX(pool3!$F:$F,E68+1)</f>
        <v>1.59027886</v>
      </c>
      <c r="G68" s="12" t="n">
        <f aca="false">$B$4*144+A68</f>
        <v>1056</v>
      </c>
      <c r="H68" s="12" t="n">
        <f aca="false">G68+3528+1</f>
        <v>4585</v>
      </c>
      <c r="I68" s="13" t="n">
        <f aca="false">INDEX(weights!$H:$H,H68+1)</f>
        <v>-0.504011452</v>
      </c>
      <c r="J68" s="14" t="n">
        <f aca="false">F68*I68</f>
        <v>-0.801518757313505</v>
      </c>
      <c r="K68" s="15" t="n">
        <f aca="false">K67+J68</f>
        <v>8.03684892970065</v>
      </c>
    </row>
    <row r="69" customFormat="false" ht="15" hidden="false" customHeight="false" outlineLevel="0" collapsed="false">
      <c r="A69" s="12" t="n">
        <v>49</v>
      </c>
      <c r="B69" s="12" t="n">
        <v>5</v>
      </c>
      <c r="C69" s="12" t="n">
        <v>1</v>
      </c>
      <c r="D69" s="12" t="n">
        <v>1</v>
      </c>
      <c r="E69" s="12" t="n">
        <v>50</v>
      </c>
      <c r="F69" s="11" t="n">
        <f aca="false">INDEX(pool3!$F:$F,E69+1)</f>
        <v>0</v>
      </c>
      <c r="G69" s="12" t="n">
        <f aca="false">$B$4*144+A69</f>
        <v>1057</v>
      </c>
      <c r="H69" s="12" t="n">
        <f aca="false">G69+3528+1</f>
        <v>4586</v>
      </c>
      <c r="I69" s="13" t="n">
        <f aca="false">INDEX(weights!$H:$H,H69+1)</f>
        <v>-0.0572235584</v>
      </c>
      <c r="J69" s="14" t="n">
        <f aca="false">F69*I69</f>
        <v>-0</v>
      </c>
      <c r="K69" s="15" t="n">
        <f aca="false">K68+J69</f>
        <v>8.03684892970065</v>
      </c>
    </row>
    <row r="70" customFormat="false" ht="15" hidden="false" customHeight="false" outlineLevel="0" collapsed="false">
      <c r="A70" s="12" t="n">
        <v>50</v>
      </c>
      <c r="B70" s="12" t="n">
        <v>5</v>
      </c>
      <c r="C70" s="12" t="n">
        <v>1</v>
      </c>
      <c r="D70" s="12" t="n">
        <v>2</v>
      </c>
      <c r="E70" s="12" t="n">
        <v>51</v>
      </c>
      <c r="F70" s="11" t="n">
        <f aca="false">INDEX(pool3!$F:$F,E70+1)</f>
        <v>8.59446239</v>
      </c>
      <c r="G70" s="12" t="n">
        <f aca="false">$B$4*144+A70</f>
        <v>1058</v>
      </c>
      <c r="H70" s="12" t="n">
        <f aca="false">G70+3528+1</f>
        <v>4587</v>
      </c>
      <c r="I70" s="13" t="n">
        <f aca="false">INDEX(weights!$H:$H,H70+1)</f>
        <v>0.0568927713</v>
      </c>
      <c r="J70" s="14" t="n">
        <f aca="false">F70*I70</f>
        <v>0.488962783200721</v>
      </c>
      <c r="K70" s="15" t="n">
        <f aca="false">K69+J70</f>
        <v>8.52581171290137</v>
      </c>
    </row>
    <row r="71" customFormat="false" ht="15" hidden="false" customHeight="false" outlineLevel="0" collapsed="false">
      <c r="A71" s="12" t="n">
        <v>51</v>
      </c>
      <c r="B71" s="12" t="n">
        <v>5</v>
      </c>
      <c r="C71" s="12" t="n">
        <v>2</v>
      </c>
      <c r="D71" s="12" t="n">
        <v>0</v>
      </c>
      <c r="E71" s="12" t="n">
        <v>52</v>
      </c>
      <c r="F71" s="11" t="n">
        <f aca="false">INDEX(pool3!$F:$F,E71+1)</f>
        <v>0.176119328</v>
      </c>
      <c r="G71" s="12" t="n">
        <f aca="false">$B$4*144+A71</f>
        <v>1059</v>
      </c>
      <c r="H71" s="12" t="n">
        <f aca="false">G71+3528+1</f>
        <v>4588</v>
      </c>
      <c r="I71" s="13" t="n">
        <f aca="false">INDEX(weights!$H:$H,H71+1)</f>
        <v>0.0152012222</v>
      </c>
      <c r="J71" s="14" t="n">
        <f aca="false">F71*I71</f>
        <v>0.00267722903864268</v>
      </c>
      <c r="K71" s="15" t="n">
        <f aca="false">K70+J71</f>
        <v>8.52848894194002</v>
      </c>
    </row>
    <row r="72" customFormat="false" ht="15" hidden="false" customHeight="false" outlineLevel="0" collapsed="false">
      <c r="A72" s="12" t="n">
        <v>52</v>
      </c>
      <c r="B72" s="12" t="n">
        <v>5</v>
      </c>
      <c r="C72" s="12" t="n">
        <v>2</v>
      </c>
      <c r="D72" s="12" t="n">
        <v>1</v>
      </c>
      <c r="E72" s="12" t="n">
        <v>53</v>
      </c>
      <c r="F72" s="11" t="n">
        <f aca="false">INDEX(pool3!$F:$F,E72+1)</f>
        <v>2.46383762</v>
      </c>
      <c r="G72" s="12" t="n">
        <f aca="false">$B$4*144+A72</f>
        <v>1060</v>
      </c>
      <c r="H72" s="12" t="n">
        <f aca="false">G72+3528+1</f>
        <v>4589</v>
      </c>
      <c r="I72" s="13" t="n">
        <f aca="false">INDEX(weights!$H:$H,H72+1)</f>
        <v>-0.283376098</v>
      </c>
      <c r="J72" s="14" t="n">
        <f aca="false">F72*I72</f>
        <v>-0.698192690861207</v>
      </c>
      <c r="K72" s="15" t="n">
        <f aca="false">K71+J72</f>
        <v>7.83029625107881</v>
      </c>
    </row>
    <row r="73" customFormat="false" ht="15" hidden="false" customHeight="false" outlineLevel="0" collapsed="false">
      <c r="A73" s="18" t="n">
        <v>53</v>
      </c>
      <c r="B73" s="18" t="n">
        <v>5</v>
      </c>
      <c r="C73" s="18" t="n">
        <v>2</v>
      </c>
      <c r="D73" s="18" t="n">
        <v>2</v>
      </c>
      <c r="E73" s="18" t="n">
        <v>54</v>
      </c>
      <c r="F73" s="17" t="n">
        <f aca="false">INDEX(pool3!$F:$F,E73+1)</f>
        <v>1.64144397</v>
      </c>
      <c r="G73" s="18" t="n">
        <f aca="false">$B$4*144+A73</f>
        <v>1061</v>
      </c>
      <c r="H73" s="18" t="n">
        <f aca="false">G73+3528+1</f>
        <v>4590</v>
      </c>
      <c r="I73" s="19" t="n">
        <f aca="false">INDEX(weights!$H:$H,H73+1)</f>
        <v>-0.182685614</v>
      </c>
      <c r="J73" s="20" t="n">
        <f aca="false">F73*I73</f>
        <v>-0.299868199506048</v>
      </c>
      <c r="K73" s="21" t="n">
        <f aca="false">K72+J73</f>
        <v>7.53042805157276</v>
      </c>
    </row>
    <row r="74" customFormat="false" ht="15" hidden="false" customHeight="false" outlineLevel="0" collapsed="false">
      <c r="A74" s="12" t="n">
        <v>54</v>
      </c>
      <c r="B74" s="12" t="n">
        <v>6</v>
      </c>
      <c r="C74" s="12" t="n">
        <v>0</v>
      </c>
      <c r="D74" s="12" t="n">
        <v>0</v>
      </c>
      <c r="E74" s="12" t="n">
        <v>55</v>
      </c>
      <c r="F74" s="11" t="n">
        <f aca="false">INDEX(pool3!$F:$F,E74+1)</f>
        <v>1.81400537</v>
      </c>
      <c r="G74" s="12" t="n">
        <f aca="false">$B$4*144+A74</f>
        <v>1062</v>
      </c>
      <c r="H74" s="12" t="n">
        <f aca="false">G74+3528+1</f>
        <v>4591</v>
      </c>
      <c r="I74" s="13" t="n">
        <f aca="false">INDEX(weights!$H:$H,H74+1)</f>
        <v>0.128870174</v>
      </c>
      <c r="J74" s="14" t="n">
        <f aca="false">F74*I74</f>
        <v>0.233771187668834</v>
      </c>
      <c r="K74" s="15" t="n">
        <f aca="false">K73+J74</f>
        <v>7.7641992392416</v>
      </c>
    </row>
    <row r="75" customFormat="false" ht="15" hidden="false" customHeight="false" outlineLevel="0" collapsed="false">
      <c r="A75" s="12" t="n">
        <v>55</v>
      </c>
      <c r="B75" s="12" t="n">
        <v>6</v>
      </c>
      <c r="C75" s="12" t="n">
        <v>0</v>
      </c>
      <c r="D75" s="12" t="n">
        <v>1</v>
      </c>
      <c r="E75" s="12" t="n">
        <v>56</v>
      </c>
      <c r="F75" s="11" t="n">
        <f aca="false">INDEX(pool3!$F:$F,E75+1)</f>
        <v>0</v>
      </c>
      <c r="G75" s="12" t="n">
        <f aca="false">$B$4*144+A75</f>
        <v>1063</v>
      </c>
      <c r="H75" s="12" t="n">
        <f aca="false">G75+3528+1</f>
        <v>4592</v>
      </c>
      <c r="I75" s="13" t="n">
        <f aca="false">INDEX(weights!$H:$H,H75+1)</f>
        <v>-0.595039666</v>
      </c>
      <c r="J75" s="14" t="n">
        <f aca="false">F75*I75</f>
        <v>-0</v>
      </c>
      <c r="K75" s="15" t="n">
        <f aca="false">K74+J75</f>
        <v>7.7641992392416</v>
      </c>
    </row>
    <row r="76" customFormat="false" ht="15" hidden="false" customHeight="false" outlineLevel="0" collapsed="false">
      <c r="A76" s="12" t="n">
        <v>56</v>
      </c>
      <c r="B76" s="12" t="n">
        <v>6</v>
      </c>
      <c r="C76" s="12" t="n">
        <v>0</v>
      </c>
      <c r="D76" s="12" t="n">
        <v>2</v>
      </c>
      <c r="E76" s="12" t="n">
        <v>57</v>
      </c>
      <c r="F76" s="11" t="n">
        <f aca="false">INDEX(pool3!$F:$F,E76+1)</f>
        <v>0</v>
      </c>
      <c r="G76" s="12" t="n">
        <f aca="false">$B$4*144+A76</f>
        <v>1064</v>
      </c>
      <c r="H76" s="12" t="n">
        <f aca="false">G76+3528+1</f>
        <v>4593</v>
      </c>
      <c r="I76" s="13" t="n">
        <f aca="false">INDEX(weights!$H:$H,H76+1)</f>
        <v>-0.96255666</v>
      </c>
      <c r="J76" s="14" t="n">
        <f aca="false">F76*I76</f>
        <v>-0</v>
      </c>
      <c r="K76" s="15" t="n">
        <f aca="false">K75+J76</f>
        <v>7.7641992392416</v>
      </c>
    </row>
    <row r="77" customFormat="false" ht="15" hidden="false" customHeight="false" outlineLevel="0" collapsed="false">
      <c r="A77" s="12" t="n">
        <v>57</v>
      </c>
      <c r="B77" s="12" t="n">
        <v>6</v>
      </c>
      <c r="C77" s="12" t="n">
        <v>1</v>
      </c>
      <c r="D77" s="12" t="n">
        <v>0</v>
      </c>
      <c r="E77" s="12" t="n">
        <v>58</v>
      </c>
      <c r="F77" s="11" t="n">
        <f aca="false">INDEX(pool3!$F:$F,E77+1)</f>
        <v>1.19669223</v>
      </c>
      <c r="G77" s="12" t="n">
        <f aca="false">$B$4*144+A77</f>
        <v>1065</v>
      </c>
      <c r="H77" s="12" t="n">
        <f aca="false">G77+3528+1</f>
        <v>4594</v>
      </c>
      <c r="I77" s="13" t="n">
        <f aca="false">INDEX(weights!$H:$H,H77+1)</f>
        <v>-0.0191106368</v>
      </c>
      <c r="J77" s="14" t="n">
        <f aca="false">F77*I77</f>
        <v>-0.0228695505689121</v>
      </c>
      <c r="K77" s="15" t="n">
        <f aca="false">K76+J77</f>
        <v>7.74132968867268</v>
      </c>
    </row>
    <row r="78" customFormat="false" ht="15" hidden="false" customHeight="false" outlineLevel="0" collapsed="false">
      <c r="A78" s="12" t="n">
        <v>58</v>
      </c>
      <c r="B78" s="12" t="n">
        <v>6</v>
      </c>
      <c r="C78" s="12" t="n">
        <v>1</v>
      </c>
      <c r="D78" s="12" t="n">
        <v>1</v>
      </c>
      <c r="E78" s="12" t="n">
        <v>59</v>
      </c>
      <c r="F78" s="11" t="n">
        <f aca="false">INDEX(pool3!$F:$F,E78+1)</f>
        <v>7.68568611</v>
      </c>
      <c r="G78" s="12" t="n">
        <f aca="false">$B$4*144+A78</f>
        <v>1066</v>
      </c>
      <c r="H78" s="12" t="n">
        <f aca="false">G78+3528+1</f>
        <v>4595</v>
      </c>
      <c r="I78" s="13" t="n">
        <f aca="false">INDEX(weights!$H:$H,H78+1)</f>
        <v>0.0859374404</v>
      </c>
      <c r="J78" s="14" t="n">
        <f aca="false">F78*I78</f>
        <v>0.660488192011233</v>
      </c>
      <c r="K78" s="15" t="n">
        <f aca="false">K77+J78</f>
        <v>8.40181788068392</v>
      </c>
    </row>
    <row r="79" customFormat="false" ht="15" hidden="false" customHeight="false" outlineLevel="0" collapsed="false">
      <c r="A79" s="12" t="n">
        <v>59</v>
      </c>
      <c r="B79" s="12" t="n">
        <v>6</v>
      </c>
      <c r="C79" s="12" t="n">
        <v>1</v>
      </c>
      <c r="D79" s="12" t="n">
        <v>2</v>
      </c>
      <c r="E79" s="12" t="n">
        <v>60</v>
      </c>
      <c r="F79" s="11" t="n">
        <f aca="false">INDEX(pool3!$F:$F,E79+1)</f>
        <v>11.9689741</v>
      </c>
      <c r="G79" s="12" t="n">
        <f aca="false">$B$4*144+A79</f>
        <v>1067</v>
      </c>
      <c r="H79" s="12" t="n">
        <f aca="false">G79+3528+1</f>
        <v>4596</v>
      </c>
      <c r="I79" s="13" t="n">
        <f aca="false">INDEX(weights!$H:$H,H79+1)</f>
        <v>0.165077001</v>
      </c>
      <c r="J79" s="14" t="n">
        <f aca="false">F79*I79</f>
        <v>1.97580234947467</v>
      </c>
      <c r="K79" s="15" t="n">
        <f aca="false">K78+J79</f>
        <v>10.3776202301586</v>
      </c>
    </row>
    <row r="80" customFormat="false" ht="15" hidden="false" customHeight="false" outlineLevel="0" collapsed="false">
      <c r="A80" s="12" t="n">
        <v>60</v>
      </c>
      <c r="B80" s="12" t="n">
        <v>6</v>
      </c>
      <c r="C80" s="12" t="n">
        <v>2</v>
      </c>
      <c r="D80" s="12" t="n">
        <v>0</v>
      </c>
      <c r="E80" s="12" t="n">
        <v>61</v>
      </c>
      <c r="F80" s="11" t="n">
        <f aca="false">INDEX(pool3!$F:$F,E80+1)</f>
        <v>5.60577726</v>
      </c>
      <c r="G80" s="12" t="n">
        <f aca="false">$B$4*144+A80</f>
        <v>1068</v>
      </c>
      <c r="H80" s="12" t="n">
        <f aca="false">G80+3528+1</f>
        <v>4597</v>
      </c>
      <c r="I80" s="13" t="n">
        <f aca="false">INDEX(weights!$H:$H,H80+1)</f>
        <v>0.0656775534</v>
      </c>
      <c r="J80" s="14" t="n">
        <f aca="false">F80*I80</f>
        <v>0.368173735342156</v>
      </c>
      <c r="K80" s="15" t="n">
        <f aca="false">K79+J80</f>
        <v>10.7457939655007</v>
      </c>
    </row>
    <row r="81" customFormat="false" ht="15" hidden="false" customHeight="false" outlineLevel="0" collapsed="false">
      <c r="A81" s="12" t="n">
        <v>61</v>
      </c>
      <c r="B81" s="12" t="n">
        <v>6</v>
      </c>
      <c r="C81" s="12" t="n">
        <v>2</v>
      </c>
      <c r="D81" s="12" t="n">
        <v>1</v>
      </c>
      <c r="E81" s="12" t="n">
        <v>62</v>
      </c>
      <c r="F81" s="11" t="n">
        <f aca="false">INDEX(pool3!$F:$F,E81+1)</f>
        <v>4.07167292</v>
      </c>
      <c r="G81" s="12" t="n">
        <f aca="false">$B$4*144+A81</f>
        <v>1069</v>
      </c>
      <c r="H81" s="12" t="n">
        <f aca="false">G81+3528+1</f>
        <v>4598</v>
      </c>
      <c r="I81" s="13" t="n">
        <f aca="false">INDEX(weights!$H:$H,H81+1)</f>
        <v>0.0962232426</v>
      </c>
      <c r="J81" s="14" t="n">
        <f aca="false">F81*I81</f>
        <v>0.39178957116901</v>
      </c>
      <c r="K81" s="15" t="n">
        <f aca="false">K80+J81</f>
        <v>11.1375835366698</v>
      </c>
    </row>
    <row r="82" customFormat="false" ht="15" hidden="false" customHeight="false" outlineLevel="0" collapsed="false">
      <c r="A82" s="18" t="n">
        <v>62</v>
      </c>
      <c r="B82" s="18" t="n">
        <v>6</v>
      </c>
      <c r="C82" s="18" t="n">
        <v>2</v>
      </c>
      <c r="D82" s="18" t="n">
        <v>2</v>
      </c>
      <c r="E82" s="18" t="n">
        <v>63</v>
      </c>
      <c r="F82" s="17" t="n">
        <f aca="false">INDEX(pool3!$F:$F,E82+1)</f>
        <v>10.6412172</v>
      </c>
      <c r="G82" s="18" t="n">
        <f aca="false">$B$4*144+A82</f>
        <v>1070</v>
      </c>
      <c r="H82" s="18" t="n">
        <f aca="false">G82+3528+1</f>
        <v>4599</v>
      </c>
      <c r="I82" s="19" t="n">
        <f aca="false">INDEX(weights!$H:$H,H82+1)</f>
        <v>0.06957037</v>
      </c>
      <c r="J82" s="20" t="n">
        <f aca="false">F82*I82</f>
        <v>0.740313417854364</v>
      </c>
      <c r="K82" s="21" t="n">
        <f aca="false">K81+J82</f>
        <v>11.8778969545241</v>
      </c>
    </row>
    <row r="83" customFormat="false" ht="15" hidden="false" customHeight="false" outlineLevel="0" collapsed="false">
      <c r="A83" s="12" t="n">
        <v>63</v>
      </c>
      <c r="B83" s="12" t="n">
        <v>7</v>
      </c>
      <c r="C83" s="12" t="n">
        <v>0</v>
      </c>
      <c r="D83" s="12" t="n">
        <v>0</v>
      </c>
      <c r="E83" s="12" t="n">
        <v>64</v>
      </c>
      <c r="F83" s="11" t="n">
        <f aca="false">INDEX(pool3!$F:$F,E83+1)</f>
        <v>0</v>
      </c>
      <c r="G83" s="12" t="n">
        <f aca="false">$B$4*144+A83</f>
        <v>1071</v>
      </c>
      <c r="H83" s="12" t="n">
        <f aca="false">G83+3528+1</f>
        <v>4600</v>
      </c>
      <c r="I83" s="13" t="n">
        <f aca="false">INDEX(weights!$H:$H,H83+1)</f>
        <v>0.0596981756</v>
      </c>
      <c r="J83" s="14" t="n">
        <f aca="false">F83*I83</f>
        <v>0</v>
      </c>
      <c r="K83" s="15" t="n">
        <f aca="false">K82+J83</f>
        <v>11.8778969545241</v>
      </c>
    </row>
    <row r="84" customFormat="false" ht="15" hidden="false" customHeight="false" outlineLevel="0" collapsed="false">
      <c r="A84" s="12" t="n">
        <v>64</v>
      </c>
      <c r="B84" s="12" t="n">
        <v>7</v>
      </c>
      <c r="C84" s="12" t="n">
        <v>0</v>
      </c>
      <c r="D84" s="12" t="n">
        <v>1</v>
      </c>
      <c r="E84" s="12" t="n">
        <v>65</v>
      </c>
      <c r="F84" s="11" t="n">
        <f aca="false">INDEX(pool3!$F:$F,E84+1)</f>
        <v>0</v>
      </c>
      <c r="G84" s="12" t="n">
        <f aca="false">$B$4*144+A84</f>
        <v>1072</v>
      </c>
      <c r="H84" s="12" t="n">
        <f aca="false">G84+3528+1</f>
        <v>4601</v>
      </c>
      <c r="I84" s="13" t="n">
        <f aca="false">INDEX(weights!$H:$H,H84+1)</f>
        <v>-0.0304242689</v>
      </c>
      <c r="J84" s="14" t="n">
        <f aca="false">F84*I84</f>
        <v>-0</v>
      </c>
      <c r="K84" s="15" t="n">
        <f aca="false">K83+J84</f>
        <v>11.8778969545241</v>
      </c>
    </row>
    <row r="85" customFormat="false" ht="15" hidden="false" customHeight="false" outlineLevel="0" collapsed="false">
      <c r="A85" s="12" t="n">
        <v>65</v>
      </c>
      <c r="B85" s="12" t="n">
        <v>7</v>
      </c>
      <c r="C85" s="12" t="n">
        <v>0</v>
      </c>
      <c r="D85" s="12" t="n">
        <v>2</v>
      </c>
      <c r="E85" s="12" t="n">
        <v>66</v>
      </c>
      <c r="F85" s="11" t="n">
        <f aca="false">INDEX(pool3!$F:$F,E85+1)</f>
        <v>0</v>
      </c>
      <c r="G85" s="12" t="n">
        <f aca="false">$B$4*144+A85</f>
        <v>1073</v>
      </c>
      <c r="H85" s="12" t="n">
        <f aca="false">G85+3528+1</f>
        <v>4602</v>
      </c>
      <c r="I85" s="13" t="n">
        <f aca="false">INDEX(weights!$H:$H,H85+1)</f>
        <v>0.0423741639</v>
      </c>
      <c r="J85" s="14" t="n">
        <f aca="false">F85*I85</f>
        <v>0</v>
      </c>
      <c r="K85" s="15" t="n">
        <f aca="false">K84+J85</f>
        <v>11.8778969545241</v>
      </c>
    </row>
    <row r="86" customFormat="false" ht="15" hidden="false" customHeight="false" outlineLevel="0" collapsed="false">
      <c r="A86" s="12" t="n">
        <v>66</v>
      </c>
      <c r="B86" s="12" t="n">
        <v>7</v>
      </c>
      <c r="C86" s="12" t="n">
        <v>1</v>
      </c>
      <c r="D86" s="12" t="n">
        <v>0</v>
      </c>
      <c r="E86" s="12" t="n">
        <v>67</v>
      </c>
      <c r="F86" s="11" t="n">
        <f aca="false">INDEX(pool3!$F:$F,E86+1)</f>
        <v>0</v>
      </c>
      <c r="G86" s="12" t="n">
        <f aca="false">$B$4*144+A86</f>
        <v>1074</v>
      </c>
      <c r="H86" s="12" t="n">
        <f aca="false">G86+3528+1</f>
        <v>4603</v>
      </c>
      <c r="I86" s="13" t="n">
        <f aca="false">INDEX(weights!$H:$H,H86+1)</f>
        <v>0.048726283</v>
      </c>
      <c r="J86" s="14" t="n">
        <f aca="false">F86*I86</f>
        <v>0</v>
      </c>
      <c r="K86" s="15" t="n">
        <f aca="false">K85+J86</f>
        <v>11.8778969545241</v>
      </c>
    </row>
    <row r="87" customFormat="false" ht="15" hidden="false" customHeight="false" outlineLevel="0" collapsed="false">
      <c r="A87" s="12" t="n">
        <v>67</v>
      </c>
      <c r="B87" s="12" t="n">
        <v>7</v>
      </c>
      <c r="C87" s="12" t="n">
        <v>1</v>
      </c>
      <c r="D87" s="12" t="n">
        <v>1</v>
      </c>
      <c r="E87" s="12" t="n">
        <v>68</v>
      </c>
      <c r="F87" s="11" t="n">
        <f aca="false">INDEX(pool3!$F:$F,E87+1)</f>
        <v>0</v>
      </c>
      <c r="G87" s="12" t="n">
        <f aca="false">$B$4*144+A87</f>
        <v>1075</v>
      </c>
      <c r="H87" s="12" t="n">
        <f aca="false">G87+3528+1</f>
        <v>4604</v>
      </c>
      <c r="I87" s="13" t="n">
        <f aca="false">INDEX(weights!$H:$H,H87+1)</f>
        <v>-0.0679412335</v>
      </c>
      <c r="J87" s="14" t="n">
        <f aca="false">F87*I87</f>
        <v>-0</v>
      </c>
      <c r="K87" s="15" t="n">
        <f aca="false">K86+J87</f>
        <v>11.8778969545241</v>
      </c>
    </row>
    <row r="88" customFormat="false" ht="15" hidden="false" customHeight="false" outlineLevel="0" collapsed="false">
      <c r="A88" s="12" t="n">
        <v>68</v>
      </c>
      <c r="B88" s="12" t="n">
        <v>7</v>
      </c>
      <c r="C88" s="12" t="n">
        <v>1</v>
      </c>
      <c r="D88" s="12" t="n">
        <v>2</v>
      </c>
      <c r="E88" s="12" t="n">
        <v>69</v>
      </c>
      <c r="F88" s="11" t="n">
        <f aca="false">INDEX(pool3!$F:$F,E88+1)</f>
        <v>0</v>
      </c>
      <c r="G88" s="12" t="n">
        <f aca="false">$B$4*144+A88</f>
        <v>1076</v>
      </c>
      <c r="H88" s="12" t="n">
        <f aca="false">G88+3528+1</f>
        <v>4605</v>
      </c>
      <c r="I88" s="13" t="n">
        <f aca="false">INDEX(weights!$H:$H,H88+1)</f>
        <v>0.0120998677</v>
      </c>
      <c r="J88" s="14" t="n">
        <f aca="false">F88*I88</f>
        <v>0</v>
      </c>
      <c r="K88" s="15" t="n">
        <f aca="false">K87+J88</f>
        <v>11.8778969545241</v>
      </c>
    </row>
    <row r="89" customFormat="false" ht="15" hidden="false" customHeight="false" outlineLevel="0" collapsed="false">
      <c r="A89" s="12" t="n">
        <v>69</v>
      </c>
      <c r="B89" s="12" t="n">
        <v>7</v>
      </c>
      <c r="C89" s="12" t="n">
        <v>2</v>
      </c>
      <c r="D89" s="12" t="n">
        <v>0</v>
      </c>
      <c r="E89" s="12" t="n">
        <v>70</v>
      </c>
      <c r="F89" s="11" t="n">
        <f aca="false">INDEX(pool3!$F:$F,E89+1)</f>
        <v>0</v>
      </c>
      <c r="G89" s="12" t="n">
        <f aca="false">$B$4*144+A89</f>
        <v>1077</v>
      </c>
      <c r="H89" s="12" t="n">
        <f aca="false">G89+3528+1</f>
        <v>4606</v>
      </c>
      <c r="I89" s="13" t="n">
        <f aca="false">INDEX(weights!$H:$H,H89+1)</f>
        <v>0.0332685709</v>
      </c>
      <c r="J89" s="14" t="n">
        <f aca="false">F89*I89</f>
        <v>0</v>
      </c>
      <c r="K89" s="15" t="n">
        <f aca="false">K88+J89</f>
        <v>11.8778969545241</v>
      </c>
    </row>
    <row r="90" customFormat="false" ht="15" hidden="false" customHeight="false" outlineLevel="0" collapsed="false">
      <c r="A90" s="12" t="n">
        <v>70</v>
      </c>
      <c r="B90" s="12" t="n">
        <v>7</v>
      </c>
      <c r="C90" s="12" t="n">
        <v>2</v>
      </c>
      <c r="D90" s="12" t="n">
        <v>1</v>
      </c>
      <c r="E90" s="12" t="n">
        <v>71</v>
      </c>
      <c r="F90" s="11" t="n">
        <f aca="false">INDEX(pool3!$F:$F,E90+1)</f>
        <v>0</v>
      </c>
      <c r="G90" s="12" t="n">
        <f aca="false">$B$4*144+A90</f>
        <v>1078</v>
      </c>
      <c r="H90" s="12" t="n">
        <f aca="false">G90+3528+1</f>
        <v>4607</v>
      </c>
      <c r="I90" s="13" t="n">
        <f aca="false">INDEX(weights!$H:$H,H90+1)</f>
        <v>-0.0500973165</v>
      </c>
      <c r="J90" s="14" t="n">
        <f aca="false">F90*I90</f>
        <v>-0</v>
      </c>
      <c r="K90" s="15" t="n">
        <f aca="false">K89+J90</f>
        <v>11.8778969545241</v>
      </c>
    </row>
    <row r="91" customFormat="false" ht="15" hidden="false" customHeight="false" outlineLevel="0" collapsed="false">
      <c r="A91" s="18" t="n">
        <v>71</v>
      </c>
      <c r="B91" s="18" t="n">
        <v>7</v>
      </c>
      <c r="C91" s="18" t="n">
        <v>2</v>
      </c>
      <c r="D91" s="18" t="n">
        <v>2</v>
      </c>
      <c r="E91" s="18" t="n">
        <v>72</v>
      </c>
      <c r="F91" s="17" t="n">
        <f aca="false">INDEX(pool3!$F:$F,E91+1)</f>
        <v>0</v>
      </c>
      <c r="G91" s="18" t="n">
        <f aca="false">$B$4*144+A91</f>
        <v>1079</v>
      </c>
      <c r="H91" s="18" t="n">
        <f aca="false">G91+3528+1</f>
        <v>4608</v>
      </c>
      <c r="I91" s="19" t="n">
        <f aca="false">INDEX(weights!$H:$H,H91+1)</f>
        <v>0.077045761</v>
      </c>
      <c r="J91" s="20" t="n">
        <f aca="false">F91*I91</f>
        <v>0</v>
      </c>
      <c r="K91" s="21" t="n">
        <f aca="false">K90+J91</f>
        <v>11.8778969545241</v>
      </c>
    </row>
    <row r="92" customFormat="false" ht="15" hidden="false" customHeight="false" outlineLevel="0" collapsed="false">
      <c r="A92" s="12" t="n">
        <v>72</v>
      </c>
      <c r="B92" s="12" t="n">
        <v>8</v>
      </c>
      <c r="C92" s="12" t="n">
        <v>0</v>
      </c>
      <c r="D92" s="12" t="n">
        <v>0</v>
      </c>
      <c r="E92" s="12" t="n">
        <v>73</v>
      </c>
      <c r="F92" s="11" t="n">
        <f aca="false">INDEX(pool3!$F:$F,E92+1)</f>
        <v>9.28545761</v>
      </c>
      <c r="G92" s="12" t="n">
        <f aca="false">$B$4*144+A92</f>
        <v>1080</v>
      </c>
      <c r="H92" s="12" t="n">
        <f aca="false">G92+3528+1</f>
        <v>4609</v>
      </c>
      <c r="I92" s="13" t="n">
        <f aca="false">INDEX(weights!$H:$H,H92+1)</f>
        <v>0.0697739348</v>
      </c>
      <c r="J92" s="14" t="n">
        <f aca="false">F92*I92</f>
        <v>0.647882913868304</v>
      </c>
      <c r="K92" s="15" t="n">
        <f aca="false">K91+J92</f>
        <v>12.5257798683924</v>
      </c>
    </row>
    <row r="93" customFormat="false" ht="15" hidden="false" customHeight="false" outlineLevel="0" collapsed="false">
      <c r="A93" s="12" t="n">
        <v>73</v>
      </c>
      <c r="B93" s="12" t="n">
        <v>8</v>
      </c>
      <c r="C93" s="12" t="n">
        <v>0</v>
      </c>
      <c r="D93" s="12" t="n">
        <v>1</v>
      </c>
      <c r="E93" s="12" t="n">
        <v>74</v>
      </c>
      <c r="F93" s="11" t="n">
        <f aca="false">INDEX(pool3!$F:$F,E93+1)</f>
        <v>17.1801796</v>
      </c>
      <c r="G93" s="12" t="n">
        <f aca="false">$B$4*144+A93</f>
        <v>1081</v>
      </c>
      <c r="H93" s="12" t="n">
        <f aca="false">G93+3528+1</f>
        <v>4610</v>
      </c>
      <c r="I93" s="13" t="n">
        <f aca="false">INDEX(weights!$H:$H,H93+1)</f>
        <v>0.18349877</v>
      </c>
      <c r="J93" s="14" t="n">
        <f aca="false">F93*I93</f>
        <v>3.15254182497909</v>
      </c>
      <c r="K93" s="15" t="n">
        <f aca="false">K92+J93</f>
        <v>15.6783216933715</v>
      </c>
    </row>
    <row r="94" customFormat="false" ht="15" hidden="false" customHeight="false" outlineLevel="0" collapsed="false">
      <c r="A94" s="12" t="n">
        <v>74</v>
      </c>
      <c r="B94" s="12" t="n">
        <v>8</v>
      </c>
      <c r="C94" s="12" t="n">
        <v>0</v>
      </c>
      <c r="D94" s="12" t="n">
        <v>2</v>
      </c>
      <c r="E94" s="12" t="n">
        <v>75</v>
      </c>
      <c r="F94" s="11" t="n">
        <f aca="false">INDEX(pool3!$F:$F,E94+1)</f>
        <v>7.3058629</v>
      </c>
      <c r="G94" s="12" t="n">
        <f aca="false">$B$4*144+A94</f>
        <v>1082</v>
      </c>
      <c r="H94" s="12" t="n">
        <f aca="false">G94+3528+1</f>
        <v>4611</v>
      </c>
      <c r="I94" s="13" t="n">
        <f aca="false">INDEX(weights!$H:$H,H94+1)</f>
        <v>0.0224500019</v>
      </c>
      <c r="J94" s="14" t="n">
        <f aca="false">F94*I94</f>
        <v>0.16401663598614</v>
      </c>
      <c r="K94" s="15" t="n">
        <f aca="false">K93+J94</f>
        <v>15.8423383293577</v>
      </c>
    </row>
    <row r="95" customFormat="false" ht="15" hidden="false" customHeight="false" outlineLevel="0" collapsed="false">
      <c r="A95" s="12" t="n">
        <v>75</v>
      </c>
      <c r="B95" s="12" t="n">
        <v>8</v>
      </c>
      <c r="C95" s="12" t="n">
        <v>1</v>
      </c>
      <c r="D95" s="12" t="n">
        <v>0</v>
      </c>
      <c r="E95" s="12" t="n">
        <v>76</v>
      </c>
      <c r="F95" s="11" t="n">
        <f aca="false">INDEX(pool3!$F:$F,E95+1)</f>
        <v>4.37981462</v>
      </c>
      <c r="G95" s="12" t="n">
        <f aca="false">$B$4*144+A95</f>
        <v>1083</v>
      </c>
      <c r="H95" s="12" t="n">
        <f aca="false">G95+3528+1</f>
        <v>4612</v>
      </c>
      <c r="I95" s="13" t="n">
        <f aca="false">INDEX(weights!$H:$H,H95+1)</f>
        <v>0.127061129</v>
      </c>
      <c r="J95" s="14" t="n">
        <f aca="false">F95*I95</f>
        <v>0.556504190427906</v>
      </c>
      <c r="K95" s="15" t="n">
        <f aca="false">K94+J95</f>
        <v>16.3988425197856</v>
      </c>
    </row>
    <row r="96" customFormat="false" ht="15" hidden="false" customHeight="false" outlineLevel="0" collapsed="false">
      <c r="A96" s="12" t="n">
        <v>76</v>
      </c>
      <c r="B96" s="12" t="n">
        <v>8</v>
      </c>
      <c r="C96" s="12" t="n">
        <v>1</v>
      </c>
      <c r="D96" s="12" t="n">
        <v>1</v>
      </c>
      <c r="E96" s="12" t="n">
        <v>77</v>
      </c>
      <c r="F96" s="11" t="n">
        <f aca="false">INDEX(pool3!$F:$F,E96+1)</f>
        <v>5.26871824</v>
      </c>
      <c r="G96" s="12" t="n">
        <f aca="false">$B$4*144+A96</f>
        <v>1084</v>
      </c>
      <c r="H96" s="12" t="n">
        <f aca="false">G96+3528+1</f>
        <v>4613</v>
      </c>
      <c r="I96" s="13" t="n">
        <f aca="false">INDEX(weights!$H:$H,H96+1)</f>
        <v>0.156575501</v>
      </c>
      <c r="J96" s="14" t="n">
        <f aca="false">F96*I96</f>
        <v>0.824952198055838</v>
      </c>
      <c r="K96" s="15" t="n">
        <f aca="false">K95+J96</f>
        <v>17.2237947178414</v>
      </c>
    </row>
    <row r="97" customFormat="false" ht="15" hidden="false" customHeight="false" outlineLevel="0" collapsed="false">
      <c r="A97" s="12" t="n">
        <v>77</v>
      </c>
      <c r="B97" s="12" t="n">
        <v>8</v>
      </c>
      <c r="C97" s="12" t="n">
        <v>1</v>
      </c>
      <c r="D97" s="12" t="n">
        <v>2</v>
      </c>
      <c r="E97" s="12" t="n">
        <v>78</v>
      </c>
      <c r="F97" s="11" t="n">
        <f aca="false">INDEX(pool3!$F:$F,E97+1)</f>
        <v>0</v>
      </c>
      <c r="G97" s="12" t="n">
        <f aca="false">$B$4*144+A97</f>
        <v>1085</v>
      </c>
      <c r="H97" s="12" t="n">
        <f aca="false">G97+3528+1</f>
        <v>4614</v>
      </c>
      <c r="I97" s="13" t="n">
        <f aca="false">INDEX(weights!$H:$H,H97+1)</f>
        <v>-0.0593979098</v>
      </c>
      <c r="J97" s="14" t="n">
        <f aca="false">F97*I97</f>
        <v>-0</v>
      </c>
      <c r="K97" s="15" t="n">
        <f aca="false">K96+J97</f>
        <v>17.2237947178414</v>
      </c>
    </row>
    <row r="98" customFormat="false" ht="15" hidden="false" customHeight="false" outlineLevel="0" collapsed="false">
      <c r="A98" s="12" t="n">
        <v>78</v>
      </c>
      <c r="B98" s="12" t="n">
        <v>8</v>
      </c>
      <c r="C98" s="12" t="n">
        <v>2</v>
      </c>
      <c r="D98" s="12" t="n">
        <v>0</v>
      </c>
      <c r="E98" s="12" t="n">
        <v>79</v>
      </c>
      <c r="F98" s="11" t="n">
        <f aca="false">INDEX(pool3!$F:$F,E98+1)</f>
        <v>0.639342904</v>
      </c>
      <c r="G98" s="12" t="n">
        <f aca="false">$B$4*144+A98</f>
        <v>1086</v>
      </c>
      <c r="H98" s="12" t="n">
        <f aca="false">G98+3528+1</f>
        <v>4615</v>
      </c>
      <c r="I98" s="13" t="n">
        <f aca="false">INDEX(weights!$H:$H,H98+1)</f>
        <v>0.0955805853</v>
      </c>
      <c r="J98" s="14" t="n">
        <f aca="false">F98*I98</f>
        <v>0.0611087689717217</v>
      </c>
      <c r="K98" s="15" t="n">
        <f aca="false">K97+J98</f>
        <v>17.2849034868131</v>
      </c>
    </row>
    <row r="99" customFormat="false" ht="15" hidden="false" customHeight="false" outlineLevel="0" collapsed="false">
      <c r="A99" s="12" t="n">
        <v>79</v>
      </c>
      <c r="B99" s="12" t="n">
        <v>8</v>
      </c>
      <c r="C99" s="12" t="n">
        <v>2</v>
      </c>
      <c r="D99" s="12" t="n">
        <v>1</v>
      </c>
      <c r="E99" s="12" t="n">
        <v>80</v>
      </c>
      <c r="F99" s="11" t="n">
        <f aca="false">INDEX(pool3!$F:$F,E99+1)</f>
        <v>0</v>
      </c>
      <c r="G99" s="12" t="n">
        <f aca="false">$B$4*144+A99</f>
        <v>1087</v>
      </c>
      <c r="H99" s="12" t="n">
        <f aca="false">G99+3528+1</f>
        <v>4616</v>
      </c>
      <c r="I99" s="13" t="n">
        <f aca="false">INDEX(weights!$H:$H,H99+1)</f>
        <v>-0.216291294</v>
      </c>
      <c r="J99" s="14" t="n">
        <f aca="false">F99*I99</f>
        <v>-0</v>
      </c>
      <c r="K99" s="15" t="n">
        <f aca="false">K98+J99</f>
        <v>17.2849034868131</v>
      </c>
    </row>
    <row r="100" customFormat="false" ht="15" hidden="false" customHeight="false" outlineLevel="0" collapsed="false">
      <c r="A100" s="18" t="n">
        <v>80</v>
      </c>
      <c r="B100" s="18" t="n">
        <v>8</v>
      </c>
      <c r="C100" s="18" t="n">
        <v>2</v>
      </c>
      <c r="D100" s="18" t="n">
        <v>2</v>
      </c>
      <c r="E100" s="18" t="n">
        <v>81</v>
      </c>
      <c r="F100" s="17" t="n">
        <f aca="false">INDEX(pool3!$F:$F,E100+1)</f>
        <v>0</v>
      </c>
      <c r="G100" s="18" t="n">
        <f aca="false">$B$4*144+A100</f>
        <v>1088</v>
      </c>
      <c r="H100" s="18" t="n">
        <f aca="false">G100+3528+1</f>
        <v>4617</v>
      </c>
      <c r="I100" s="19" t="n">
        <f aca="false">INDEX(weights!$H:$H,H100+1)</f>
        <v>-0.249835372</v>
      </c>
      <c r="J100" s="20" t="n">
        <f aca="false">F100*I100</f>
        <v>-0</v>
      </c>
      <c r="K100" s="21" t="n">
        <f aca="false">K99+J100</f>
        <v>17.2849034868131</v>
      </c>
    </row>
    <row r="101" customFormat="false" ht="15" hidden="false" customHeight="false" outlineLevel="0" collapsed="false">
      <c r="A101" s="12" t="n">
        <v>81</v>
      </c>
      <c r="B101" s="12" t="n">
        <v>9</v>
      </c>
      <c r="C101" s="12" t="n">
        <v>0</v>
      </c>
      <c r="D101" s="12" t="n">
        <v>0</v>
      </c>
      <c r="E101" s="12" t="n">
        <v>82</v>
      </c>
      <c r="F101" s="11" t="n">
        <f aca="false">INDEX(pool3!$F:$F,E101+1)</f>
        <v>0.28922382</v>
      </c>
      <c r="G101" s="12" t="n">
        <f aca="false">$B$4*144+A101</f>
        <v>1089</v>
      </c>
      <c r="H101" s="12" t="n">
        <f aca="false">G101+3528+1</f>
        <v>4618</v>
      </c>
      <c r="I101" s="13" t="n">
        <f aca="false">INDEX(weights!$H:$H,H101+1)</f>
        <v>-0.123737559</v>
      </c>
      <c r="J101" s="14" t="n">
        <f aca="false">F101*I101</f>
        <v>-0.0357878494914554</v>
      </c>
      <c r="K101" s="15" t="n">
        <f aca="false">K100+J101</f>
        <v>17.2491156373217</v>
      </c>
    </row>
    <row r="102" customFormat="false" ht="15" hidden="false" customHeight="false" outlineLevel="0" collapsed="false">
      <c r="A102" s="12" t="n">
        <v>82</v>
      </c>
      <c r="B102" s="12" t="n">
        <v>9</v>
      </c>
      <c r="C102" s="12" t="n">
        <v>0</v>
      </c>
      <c r="D102" s="12" t="n">
        <v>1</v>
      </c>
      <c r="E102" s="12" t="n">
        <v>83</v>
      </c>
      <c r="F102" s="11" t="n">
        <f aca="false">INDEX(pool3!$F:$F,E102+1)</f>
        <v>1.59518862</v>
      </c>
      <c r="G102" s="12" t="n">
        <f aca="false">$B$4*144+A102</f>
        <v>1090</v>
      </c>
      <c r="H102" s="12" t="n">
        <f aca="false">G102+3528+1</f>
        <v>4619</v>
      </c>
      <c r="I102" s="13" t="n">
        <f aca="false">INDEX(weights!$H:$H,H102+1)</f>
        <v>-0.129480332</v>
      </c>
      <c r="J102" s="14" t="n">
        <f aca="false">F102*I102</f>
        <v>-0.206545552120222</v>
      </c>
      <c r="K102" s="15" t="n">
        <f aca="false">K101+J102</f>
        <v>17.0425700852014</v>
      </c>
    </row>
    <row r="103" customFormat="false" ht="15" hidden="false" customHeight="false" outlineLevel="0" collapsed="false">
      <c r="A103" s="12" t="n">
        <v>83</v>
      </c>
      <c r="B103" s="12" t="n">
        <v>9</v>
      </c>
      <c r="C103" s="12" t="n">
        <v>0</v>
      </c>
      <c r="D103" s="12" t="n">
        <v>2</v>
      </c>
      <c r="E103" s="12" t="n">
        <v>84</v>
      </c>
      <c r="F103" s="11" t="n">
        <f aca="false">INDEX(pool3!$F:$F,E103+1)</f>
        <v>3.04381371</v>
      </c>
      <c r="G103" s="12" t="n">
        <f aca="false">$B$4*144+A103</f>
        <v>1091</v>
      </c>
      <c r="H103" s="12" t="n">
        <f aca="false">G103+3528+1</f>
        <v>4620</v>
      </c>
      <c r="I103" s="13" t="n">
        <f aca="false">INDEX(weights!$H:$H,H103+1)</f>
        <v>0.192791387</v>
      </c>
      <c r="J103" s="14" t="n">
        <f aca="false">F103*I103</f>
        <v>0.586821066920516</v>
      </c>
      <c r="K103" s="15" t="n">
        <f aca="false">K102+J103</f>
        <v>17.629391152122</v>
      </c>
    </row>
    <row r="104" customFormat="false" ht="15" hidden="false" customHeight="false" outlineLevel="0" collapsed="false">
      <c r="A104" s="12" t="n">
        <v>84</v>
      </c>
      <c r="B104" s="12" t="n">
        <v>9</v>
      </c>
      <c r="C104" s="12" t="n">
        <v>1</v>
      </c>
      <c r="D104" s="12" t="n">
        <v>0</v>
      </c>
      <c r="E104" s="12" t="n">
        <v>85</v>
      </c>
      <c r="F104" s="11" t="n">
        <f aca="false">INDEX(pool3!$F:$F,E104+1)</f>
        <v>8.4812088</v>
      </c>
      <c r="G104" s="12" t="n">
        <f aca="false">$B$4*144+A104</f>
        <v>1092</v>
      </c>
      <c r="H104" s="12" t="n">
        <f aca="false">G104+3528+1</f>
        <v>4621</v>
      </c>
      <c r="I104" s="13" t="n">
        <f aca="false">INDEX(weights!$H:$H,H104+1)</f>
        <v>-0.162032992</v>
      </c>
      <c r="J104" s="14" t="n">
        <f aca="false">F104*I104</f>
        <v>-1.37423563764073</v>
      </c>
      <c r="K104" s="15" t="n">
        <f aca="false">K103+J104</f>
        <v>16.2551555144812</v>
      </c>
    </row>
    <row r="105" customFormat="false" ht="15" hidden="false" customHeight="false" outlineLevel="0" collapsed="false">
      <c r="A105" s="12" t="n">
        <v>85</v>
      </c>
      <c r="B105" s="12" t="n">
        <v>9</v>
      </c>
      <c r="C105" s="12" t="n">
        <v>1</v>
      </c>
      <c r="D105" s="12" t="n">
        <v>1</v>
      </c>
      <c r="E105" s="12" t="n">
        <v>86</v>
      </c>
      <c r="F105" s="11" t="n">
        <f aca="false">INDEX(pool3!$F:$F,E105+1)</f>
        <v>20.4086723</v>
      </c>
      <c r="G105" s="12" t="n">
        <f aca="false">$B$4*144+A105</f>
        <v>1093</v>
      </c>
      <c r="H105" s="12" t="n">
        <f aca="false">G105+3528+1</f>
        <v>4622</v>
      </c>
      <c r="I105" s="13" t="n">
        <f aca="false">INDEX(weights!$H:$H,H105+1)</f>
        <v>0.163205147</v>
      </c>
      <c r="J105" s="14" t="n">
        <f aca="false">F105*I105</f>
        <v>3.33080036279633</v>
      </c>
      <c r="K105" s="15" t="n">
        <f aca="false">K104+J105</f>
        <v>19.5859558772776</v>
      </c>
    </row>
    <row r="106" customFormat="false" ht="15" hidden="false" customHeight="false" outlineLevel="0" collapsed="false">
      <c r="A106" s="12" t="n">
        <v>86</v>
      </c>
      <c r="B106" s="12" t="n">
        <v>9</v>
      </c>
      <c r="C106" s="12" t="n">
        <v>1</v>
      </c>
      <c r="D106" s="12" t="n">
        <v>2</v>
      </c>
      <c r="E106" s="12" t="n">
        <v>87</v>
      </c>
      <c r="F106" s="11" t="n">
        <f aca="false">INDEX(pool3!$F:$F,E106+1)</f>
        <v>4.68580818</v>
      </c>
      <c r="G106" s="12" t="n">
        <f aca="false">$B$4*144+A106</f>
        <v>1094</v>
      </c>
      <c r="H106" s="12" t="n">
        <f aca="false">G106+3528+1</f>
        <v>4623</v>
      </c>
      <c r="I106" s="13" t="n">
        <f aca="false">INDEX(weights!$H:$H,H106+1)</f>
        <v>-0.198524699</v>
      </c>
      <c r="J106" s="14" t="n">
        <f aca="false">F106*I106</f>
        <v>-0.930248658506238</v>
      </c>
      <c r="K106" s="15" t="n">
        <f aca="false">K105+J106</f>
        <v>18.6557072187713</v>
      </c>
    </row>
    <row r="107" customFormat="false" ht="15" hidden="false" customHeight="false" outlineLevel="0" collapsed="false">
      <c r="A107" s="12" t="n">
        <v>87</v>
      </c>
      <c r="B107" s="12" t="n">
        <v>9</v>
      </c>
      <c r="C107" s="12" t="n">
        <v>2</v>
      </c>
      <c r="D107" s="12" t="n">
        <v>0</v>
      </c>
      <c r="E107" s="12" t="n">
        <v>88</v>
      </c>
      <c r="F107" s="11" t="n">
        <f aca="false">INDEX(pool3!$F:$F,E107+1)</f>
        <v>1.14963627</v>
      </c>
      <c r="G107" s="12" t="n">
        <f aca="false">$B$4*144+A107</f>
        <v>1095</v>
      </c>
      <c r="H107" s="12" t="n">
        <f aca="false">G107+3528+1</f>
        <v>4624</v>
      </c>
      <c r="I107" s="13" t="n">
        <f aca="false">INDEX(weights!$H:$H,H107+1)</f>
        <v>0.0532747358</v>
      </c>
      <c r="J107" s="14" t="n">
        <f aca="false">F107*I107</f>
        <v>0.0612465685503475</v>
      </c>
      <c r="K107" s="15" t="n">
        <f aca="false">K106+J107</f>
        <v>18.7169537873217</v>
      </c>
    </row>
    <row r="108" customFormat="false" ht="15" hidden="false" customHeight="false" outlineLevel="0" collapsed="false">
      <c r="A108" s="12" t="n">
        <v>88</v>
      </c>
      <c r="B108" s="12" t="n">
        <v>9</v>
      </c>
      <c r="C108" s="12" t="n">
        <v>2</v>
      </c>
      <c r="D108" s="12" t="n">
        <v>1</v>
      </c>
      <c r="E108" s="12" t="n">
        <v>89</v>
      </c>
      <c r="F108" s="11" t="n">
        <f aca="false">INDEX(pool3!$F:$F,E108+1)</f>
        <v>8.21977329</v>
      </c>
      <c r="G108" s="12" t="n">
        <f aca="false">$B$4*144+A108</f>
        <v>1096</v>
      </c>
      <c r="H108" s="12" t="n">
        <f aca="false">G108+3528+1</f>
        <v>4625</v>
      </c>
      <c r="I108" s="13" t="n">
        <f aca="false">INDEX(weights!$H:$H,H108+1)</f>
        <v>0.026612496</v>
      </c>
      <c r="J108" s="14" t="n">
        <f aca="false">F108*I108</f>
        <v>0.218748683801032</v>
      </c>
      <c r="K108" s="15" t="n">
        <f aca="false">K107+J108</f>
        <v>18.9357024711227</v>
      </c>
    </row>
    <row r="109" customFormat="false" ht="15" hidden="false" customHeight="false" outlineLevel="0" collapsed="false">
      <c r="A109" s="18" t="n">
        <v>89</v>
      </c>
      <c r="B109" s="18" t="n">
        <v>9</v>
      </c>
      <c r="C109" s="18" t="n">
        <v>2</v>
      </c>
      <c r="D109" s="18" t="n">
        <v>2</v>
      </c>
      <c r="E109" s="18" t="n">
        <v>90</v>
      </c>
      <c r="F109" s="17" t="n">
        <f aca="false">INDEX(pool3!$F:$F,E109+1)</f>
        <v>1.33946514</v>
      </c>
      <c r="G109" s="18" t="n">
        <f aca="false">$B$4*144+A109</f>
        <v>1097</v>
      </c>
      <c r="H109" s="18" t="n">
        <f aca="false">G109+3528+1</f>
        <v>4626</v>
      </c>
      <c r="I109" s="19" t="n">
        <f aca="false">INDEX(weights!$H:$H,H109+1)</f>
        <v>-0.167457074</v>
      </c>
      <c r="J109" s="20" t="n">
        <f aca="false">F109*I109</f>
        <v>-0.2243029130694</v>
      </c>
      <c r="K109" s="21" t="n">
        <f aca="false">K108+J109</f>
        <v>18.7113995580533</v>
      </c>
    </row>
    <row r="110" customFormat="false" ht="15" hidden="false" customHeight="false" outlineLevel="0" collapsed="false">
      <c r="A110" s="12" t="n">
        <v>90</v>
      </c>
      <c r="B110" s="12" t="n">
        <v>10</v>
      </c>
      <c r="C110" s="12" t="n">
        <v>0</v>
      </c>
      <c r="D110" s="12" t="n">
        <v>0</v>
      </c>
      <c r="E110" s="12" t="n">
        <v>91</v>
      </c>
      <c r="F110" s="11" t="n">
        <f aca="false">INDEX(pool3!$F:$F,E110+1)</f>
        <v>12.095787</v>
      </c>
      <c r="G110" s="12" t="n">
        <f aca="false">$B$4*144+A110</f>
        <v>1098</v>
      </c>
      <c r="H110" s="12" t="n">
        <f aca="false">G110+3528+1</f>
        <v>4627</v>
      </c>
      <c r="I110" s="13" t="n">
        <f aca="false">INDEX(weights!$H:$H,H110+1)</f>
        <v>0.19495894</v>
      </c>
      <c r="J110" s="14" t="n">
        <f aca="false">F110*I110</f>
        <v>2.35818181198578</v>
      </c>
      <c r="K110" s="15" t="n">
        <f aca="false">K109+J110</f>
        <v>21.0695813700391</v>
      </c>
    </row>
    <row r="111" customFormat="false" ht="15" hidden="false" customHeight="false" outlineLevel="0" collapsed="false">
      <c r="A111" s="12" t="n">
        <v>91</v>
      </c>
      <c r="B111" s="12" t="n">
        <v>10</v>
      </c>
      <c r="C111" s="12" t="n">
        <v>0</v>
      </c>
      <c r="D111" s="12" t="n">
        <v>1</v>
      </c>
      <c r="E111" s="12" t="n">
        <v>92</v>
      </c>
      <c r="F111" s="11" t="n">
        <f aca="false">INDEX(pool3!$F:$F,E111+1)</f>
        <v>20.9079304</v>
      </c>
      <c r="G111" s="12" t="n">
        <f aca="false">$B$4*144+A111</f>
        <v>1099</v>
      </c>
      <c r="H111" s="12" t="n">
        <f aca="false">G111+3528+1</f>
        <v>4628</v>
      </c>
      <c r="I111" s="13" t="n">
        <f aca="false">INDEX(weights!$H:$H,H111+1)</f>
        <v>0.11844755</v>
      </c>
      <c r="J111" s="14" t="n">
        <f aca="false">F111*I111</f>
        <v>2.47649313145052</v>
      </c>
      <c r="K111" s="15" t="n">
        <f aca="false">K110+J111</f>
        <v>23.5460745014896</v>
      </c>
    </row>
    <row r="112" customFormat="false" ht="15" hidden="false" customHeight="false" outlineLevel="0" collapsed="false">
      <c r="A112" s="12" t="n">
        <v>92</v>
      </c>
      <c r="B112" s="12" t="n">
        <v>10</v>
      </c>
      <c r="C112" s="12" t="n">
        <v>0</v>
      </c>
      <c r="D112" s="12" t="n">
        <v>2</v>
      </c>
      <c r="E112" s="12" t="n">
        <v>93</v>
      </c>
      <c r="F112" s="11" t="n">
        <f aca="false">INDEX(pool3!$F:$F,E112+1)</f>
        <v>11.273984</v>
      </c>
      <c r="G112" s="12" t="n">
        <f aca="false">$B$4*144+A112</f>
        <v>1100</v>
      </c>
      <c r="H112" s="12" t="n">
        <f aca="false">G112+3528+1</f>
        <v>4629</v>
      </c>
      <c r="I112" s="13" t="n">
        <f aca="false">INDEX(weights!$H:$H,H112+1)</f>
        <v>0.0128458505</v>
      </c>
      <c r="J112" s="14" t="n">
        <f aca="false">F112*I112</f>
        <v>0.144823913003392</v>
      </c>
      <c r="K112" s="15" t="n">
        <f aca="false">K111+J112</f>
        <v>23.690898414493</v>
      </c>
    </row>
    <row r="113" customFormat="false" ht="15" hidden="false" customHeight="false" outlineLevel="0" collapsed="false">
      <c r="A113" s="12" t="n">
        <v>93</v>
      </c>
      <c r="B113" s="12" t="n">
        <v>10</v>
      </c>
      <c r="C113" s="12" t="n">
        <v>1</v>
      </c>
      <c r="D113" s="12" t="n">
        <v>0</v>
      </c>
      <c r="E113" s="12" t="n">
        <v>94</v>
      </c>
      <c r="F113" s="11" t="n">
        <f aca="false">INDEX(pool3!$F:$F,E113+1)</f>
        <v>3.60845399</v>
      </c>
      <c r="G113" s="12" t="n">
        <f aca="false">$B$4*144+A113</f>
        <v>1101</v>
      </c>
      <c r="H113" s="12" t="n">
        <f aca="false">G113+3528+1</f>
        <v>4630</v>
      </c>
      <c r="I113" s="13" t="n">
        <f aca="false">INDEX(weights!$H:$H,H113+1)</f>
        <v>0.133514732</v>
      </c>
      <c r="J113" s="14" t="n">
        <f aca="false">F113*I113</f>
        <v>0.481781767409181</v>
      </c>
      <c r="K113" s="15" t="n">
        <f aca="false">K112+J113</f>
        <v>24.1726801819022</v>
      </c>
    </row>
    <row r="114" customFormat="false" ht="15" hidden="false" customHeight="false" outlineLevel="0" collapsed="false">
      <c r="A114" s="12" t="n">
        <v>94</v>
      </c>
      <c r="B114" s="12" t="n">
        <v>10</v>
      </c>
      <c r="C114" s="12" t="n">
        <v>1</v>
      </c>
      <c r="D114" s="12" t="n">
        <v>1</v>
      </c>
      <c r="E114" s="12" t="n">
        <v>95</v>
      </c>
      <c r="F114" s="11" t="n">
        <f aca="false">INDEX(pool3!$F:$F,E114+1)</f>
        <v>9.76002312</v>
      </c>
      <c r="G114" s="12" t="n">
        <f aca="false">$B$4*144+A114</f>
        <v>1102</v>
      </c>
      <c r="H114" s="12" t="n">
        <f aca="false">G114+3528+1</f>
        <v>4631</v>
      </c>
      <c r="I114" s="13" t="n">
        <f aca="false">INDEX(weights!$H:$H,H114+1)</f>
        <v>0.175030857</v>
      </c>
      <c r="J114" s="14" t="n">
        <f aca="false">F114*I114</f>
        <v>1.70830521103341</v>
      </c>
      <c r="K114" s="15" t="n">
        <f aca="false">K113+J114</f>
        <v>25.8809853929356</v>
      </c>
    </row>
    <row r="115" customFormat="false" ht="15" hidden="false" customHeight="false" outlineLevel="0" collapsed="false">
      <c r="A115" s="12" t="n">
        <v>95</v>
      </c>
      <c r="B115" s="12" t="n">
        <v>10</v>
      </c>
      <c r="C115" s="12" t="n">
        <v>1</v>
      </c>
      <c r="D115" s="12" t="n">
        <v>2</v>
      </c>
      <c r="E115" s="12" t="n">
        <v>96</v>
      </c>
      <c r="F115" s="11" t="n">
        <f aca="false">INDEX(pool3!$F:$F,E115+1)</f>
        <v>8.50123882</v>
      </c>
      <c r="G115" s="12" t="n">
        <f aca="false">$B$4*144+A115</f>
        <v>1103</v>
      </c>
      <c r="H115" s="12" t="n">
        <f aca="false">G115+3528+1</f>
        <v>4632</v>
      </c>
      <c r="I115" s="13" t="n">
        <f aca="false">INDEX(weights!$H:$H,H115+1)</f>
        <v>-0.0160123538</v>
      </c>
      <c r="J115" s="14" t="n">
        <f aca="false">F115*I115</f>
        <v>-0.136124843724135</v>
      </c>
      <c r="K115" s="15" t="n">
        <f aca="false">K114+J115</f>
        <v>25.7448605492115</v>
      </c>
    </row>
    <row r="116" customFormat="false" ht="15" hidden="false" customHeight="false" outlineLevel="0" collapsed="false">
      <c r="A116" s="12" t="n">
        <v>96</v>
      </c>
      <c r="B116" s="12" t="n">
        <v>10</v>
      </c>
      <c r="C116" s="12" t="n">
        <v>2</v>
      </c>
      <c r="D116" s="12" t="n">
        <v>0</v>
      </c>
      <c r="E116" s="12" t="n">
        <v>97</v>
      </c>
      <c r="F116" s="11" t="n">
        <f aca="false">INDEX(pool3!$F:$F,E116+1)</f>
        <v>0</v>
      </c>
      <c r="G116" s="12" t="n">
        <f aca="false">$B$4*144+A116</f>
        <v>1104</v>
      </c>
      <c r="H116" s="12" t="n">
        <f aca="false">G116+3528+1</f>
        <v>4633</v>
      </c>
      <c r="I116" s="13" t="n">
        <f aca="false">INDEX(weights!$H:$H,H116+1)</f>
        <v>-0.227061018</v>
      </c>
      <c r="J116" s="14" t="n">
        <f aca="false">F116*I116</f>
        <v>-0</v>
      </c>
      <c r="K116" s="15" t="n">
        <f aca="false">K115+J116</f>
        <v>25.7448605492115</v>
      </c>
    </row>
    <row r="117" customFormat="false" ht="15" hidden="false" customHeight="false" outlineLevel="0" collapsed="false">
      <c r="A117" s="12" t="n">
        <v>97</v>
      </c>
      <c r="B117" s="12" t="n">
        <v>10</v>
      </c>
      <c r="C117" s="12" t="n">
        <v>2</v>
      </c>
      <c r="D117" s="12" t="n">
        <v>1</v>
      </c>
      <c r="E117" s="12" t="n">
        <v>98</v>
      </c>
      <c r="F117" s="11" t="n">
        <f aca="false">INDEX(pool3!$F:$F,E117+1)</f>
        <v>0</v>
      </c>
      <c r="G117" s="12" t="n">
        <f aca="false">$B$4*144+A117</f>
        <v>1105</v>
      </c>
      <c r="H117" s="12" t="n">
        <f aca="false">G117+3528+1</f>
        <v>4634</v>
      </c>
      <c r="I117" s="13" t="n">
        <f aca="false">INDEX(weights!$H:$H,H117+1)</f>
        <v>-0.0440404043</v>
      </c>
      <c r="J117" s="14" t="n">
        <f aca="false">F117*I117</f>
        <v>-0</v>
      </c>
      <c r="K117" s="15" t="n">
        <f aca="false">K116+J117</f>
        <v>25.7448605492115</v>
      </c>
    </row>
    <row r="118" customFormat="false" ht="15" hidden="false" customHeight="false" outlineLevel="0" collapsed="false">
      <c r="A118" s="18" t="n">
        <v>98</v>
      </c>
      <c r="B118" s="18" t="n">
        <v>10</v>
      </c>
      <c r="C118" s="18" t="n">
        <v>2</v>
      </c>
      <c r="D118" s="18" t="n">
        <v>2</v>
      </c>
      <c r="E118" s="18" t="n">
        <v>99</v>
      </c>
      <c r="F118" s="17" t="n">
        <f aca="false">INDEX(pool3!$F:$F,E118+1)</f>
        <v>0</v>
      </c>
      <c r="G118" s="18" t="n">
        <f aca="false">$B$4*144+A118</f>
        <v>1106</v>
      </c>
      <c r="H118" s="18" t="n">
        <f aca="false">G118+3528+1</f>
        <v>4635</v>
      </c>
      <c r="I118" s="19" t="n">
        <f aca="false">INDEX(weights!$H:$H,H118+1)</f>
        <v>0.0689595193</v>
      </c>
      <c r="J118" s="20" t="n">
        <f aca="false">F118*I118</f>
        <v>0</v>
      </c>
      <c r="K118" s="21" t="n">
        <f aca="false">K117+J118</f>
        <v>25.7448605492115</v>
      </c>
    </row>
    <row r="119" customFormat="false" ht="15" hidden="false" customHeight="false" outlineLevel="0" collapsed="false">
      <c r="A119" s="12" t="n">
        <v>99</v>
      </c>
      <c r="B119" s="12" t="n">
        <v>11</v>
      </c>
      <c r="C119" s="12" t="n">
        <v>0</v>
      </c>
      <c r="D119" s="12" t="n">
        <v>0</v>
      </c>
      <c r="E119" s="12" t="n">
        <v>100</v>
      </c>
      <c r="F119" s="11" t="n">
        <f aca="false">INDEX(pool3!$F:$F,E119+1)</f>
        <v>0</v>
      </c>
      <c r="G119" s="12" t="n">
        <f aca="false">$B$4*144+A119</f>
        <v>1107</v>
      </c>
      <c r="H119" s="12" t="n">
        <f aca="false">G119+3528+1</f>
        <v>4636</v>
      </c>
      <c r="I119" s="13" t="n">
        <f aca="false">INDEX(weights!$H:$H,H119+1)</f>
        <v>0.0176473986</v>
      </c>
      <c r="J119" s="14" t="n">
        <f aca="false">F119*I119</f>
        <v>0</v>
      </c>
      <c r="K119" s="15" t="n">
        <f aca="false">K118+J119</f>
        <v>25.7448605492115</v>
      </c>
    </row>
    <row r="120" customFormat="false" ht="15" hidden="false" customHeight="false" outlineLevel="0" collapsed="false">
      <c r="A120" s="12" t="n">
        <v>100</v>
      </c>
      <c r="B120" s="12" t="n">
        <v>11</v>
      </c>
      <c r="C120" s="12" t="n">
        <v>0</v>
      </c>
      <c r="D120" s="12" t="n">
        <v>1</v>
      </c>
      <c r="E120" s="12" t="n">
        <v>101</v>
      </c>
      <c r="F120" s="11" t="n">
        <f aca="false">INDEX(pool3!$F:$F,E120+1)</f>
        <v>0</v>
      </c>
      <c r="G120" s="12" t="n">
        <f aca="false">$B$4*144+A120</f>
        <v>1108</v>
      </c>
      <c r="H120" s="12" t="n">
        <f aca="false">G120+3528+1</f>
        <v>4637</v>
      </c>
      <c r="I120" s="13" t="n">
        <f aca="false">INDEX(weights!$H:$H,H120+1)</f>
        <v>0.210564062</v>
      </c>
      <c r="J120" s="14" t="n">
        <f aca="false">F120*I120</f>
        <v>0</v>
      </c>
      <c r="K120" s="15" t="n">
        <f aca="false">K119+J120</f>
        <v>25.7448605492115</v>
      </c>
    </row>
    <row r="121" customFormat="false" ht="15" hidden="false" customHeight="false" outlineLevel="0" collapsed="false">
      <c r="A121" s="12" t="n">
        <v>101</v>
      </c>
      <c r="B121" s="12" t="n">
        <v>11</v>
      </c>
      <c r="C121" s="12" t="n">
        <v>0</v>
      </c>
      <c r="D121" s="12" t="n">
        <v>2</v>
      </c>
      <c r="E121" s="12" t="n">
        <v>102</v>
      </c>
      <c r="F121" s="11" t="n">
        <f aca="false">INDEX(pool3!$F:$F,E121+1)</f>
        <v>2.46107388</v>
      </c>
      <c r="G121" s="12" t="n">
        <f aca="false">$B$4*144+A121</f>
        <v>1109</v>
      </c>
      <c r="H121" s="12" t="n">
        <f aca="false">G121+3528+1</f>
        <v>4638</v>
      </c>
      <c r="I121" s="13" t="n">
        <f aca="false">INDEX(weights!$H:$H,H121+1)</f>
        <v>-0.020450484</v>
      </c>
      <c r="J121" s="14" t="n">
        <f aca="false">F121*I121</f>
        <v>-0.0503301520057579</v>
      </c>
      <c r="K121" s="15" t="n">
        <f aca="false">K120+J121</f>
        <v>25.6945303972057</v>
      </c>
    </row>
    <row r="122" customFormat="false" ht="15" hidden="false" customHeight="false" outlineLevel="0" collapsed="false">
      <c r="A122" s="12" t="n">
        <v>102</v>
      </c>
      <c r="B122" s="12" t="n">
        <v>11</v>
      </c>
      <c r="C122" s="12" t="n">
        <v>1</v>
      </c>
      <c r="D122" s="12" t="n">
        <v>0</v>
      </c>
      <c r="E122" s="12" t="n">
        <v>103</v>
      </c>
      <c r="F122" s="11" t="n">
        <f aca="false">INDEX(pool3!$F:$F,E122+1)</f>
        <v>0</v>
      </c>
      <c r="G122" s="12" t="n">
        <f aca="false">$B$4*144+A122</f>
        <v>1110</v>
      </c>
      <c r="H122" s="12" t="n">
        <f aca="false">G122+3528+1</f>
        <v>4639</v>
      </c>
      <c r="I122" s="13" t="n">
        <f aca="false">INDEX(weights!$H:$H,H122+1)</f>
        <v>-0.04033437</v>
      </c>
      <c r="J122" s="14" t="n">
        <f aca="false">F122*I122</f>
        <v>-0</v>
      </c>
      <c r="K122" s="15" t="n">
        <f aca="false">K121+J122</f>
        <v>25.6945303972057</v>
      </c>
    </row>
    <row r="123" customFormat="false" ht="15" hidden="false" customHeight="false" outlineLevel="0" collapsed="false">
      <c r="A123" s="12" t="n">
        <v>103</v>
      </c>
      <c r="B123" s="12" t="n">
        <v>11</v>
      </c>
      <c r="C123" s="12" t="n">
        <v>1</v>
      </c>
      <c r="D123" s="12" t="n">
        <v>1</v>
      </c>
      <c r="E123" s="12" t="n">
        <v>104</v>
      </c>
      <c r="F123" s="11" t="n">
        <f aca="false">INDEX(pool3!$F:$F,E123+1)</f>
        <v>0</v>
      </c>
      <c r="G123" s="12" t="n">
        <f aca="false">$B$4*144+A123</f>
        <v>1111</v>
      </c>
      <c r="H123" s="12" t="n">
        <f aca="false">G123+3528+1</f>
        <v>4640</v>
      </c>
      <c r="I123" s="13" t="n">
        <f aca="false">INDEX(weights!$H:$H,H123+1)</f>
        <v>0.0178619847</v>
      </c>
      <c r="J123" s="14" t="n">
        <f aca="false">F123*I123</f>
        <v>0</v>
      </c>
      <c r="K123" s="15" t="n">
        <f aca="false">K122+J123</f>
        <v>25.6945303972057</v>
      </c>
    </row>
    <row r="124" customFormat="false" ht="15" hidden="false" customHeight="false" outlineLevel="0" collapsed="false">
      <c r="A124" s="12" t="n">
        <v>104</v>
      </c>
      <c r="B124" s="12" t="n">
        <v>11</v>
      </c>
      <c r="C124" s="12" t="n">
        <v>1</v>
      </c>
      <c r="D124" s="12" t="n">
        <v>2</v>
      </c>
      <c r="E124" s="12" t="n">
        <v>105</v>
      </c>
      <c r="F124" s="11" t="n">
        <f aca="false">INDEX(pool3!$F:$F,E124+1)</f>
        <v>0</v>
      </c>
      <c r="G124" s="12" t="n">
        <f aca="false">$B$4*144+A124</f>
        <v>1112</v>
      </c>
      <c r="H124" s="12" t="n">
        <f aca="false">G124+3528+1</f>
        <v>4641</v>
      </c>
      <c r="I124" s="13" t="n">
        <f aca="false">INDEX(weights!$H:$H,H124+1)</f>
        <v>0.0275531448</v>
      </c>
      <c r="J124" s="14" t="n">
        <f aca="false">F124*I124</f>
        <v>0</v>
      </c>
      <c r="K124" s="15" t="n">
        <f aca="false">K123+J124</f>
        <v>25.6945303972057</v>
      </c>
    </row>
    <row r="125" customFormat="false" ht="15" hidden="false" customHeight="false" outlineLevel="0" collapsed="false">
      <c r="A125" s="12" t="n">
        <v>105</v>
      </c>
      <c r="B125" s="12" t="n">
        <v>11</v>
      </c>
      <c r="C125" s="12" t="n">
        <v>2</v>
      </c>
      <c r="D125" s="12" t="n">
        <v>0</v>
      </c>
      <c r="E125" s="12" t="n">
        <v>106</v>
      </c>
      <c r="F125" s="11" t="n">
        <f aca="false">INDEX(pool3!$F:$F,E125+1)</f>
        <v>5.88503313</v>
      </c>
      <c r="G125" s="12" t="n">
        <f aca="false">$B$4*144+A125</f>
        <v>1113</v>
      </c>
      <c r="H125" s="12" t="n">
        <f aca="false">G125+3528+1</f>
        <v>4642</v>
      </c>
      <c r="I125" s="13" t="n">
        <f aca="false">INDEX(weights!$H:$H,H125+1)</f>
        <v>-0.179499522</v>
      </c>
      <c r="J125" s="14" t="n">
        <f aca="false">F125*I125</f>
        <v>-1.05636063378916</v>
      </c>
      <c r="K125" s="15" t="n">
        <f aca="false">K124+J125</f>
        <v>24.6381697634165</v>
      </c>
    </row>
    <row r="126" customFormat="false" ht="15" hidden="false" customHeight="false" outlineLevel="0" collapsed="false">
      <c r="A126" s="12" t="n">
        <v>106</v>
      </c>
      <c r="B126" s="12" t="n">
        <v>11</v>
      </c>
      <c r="C126" s="12" t="n">
        <v>2</v>
      </c>
      <c r="D126" s="12" t="n">
        <v>1</v>
      </c>
      <c r="E126" s="12" t="n">
        <v>107</v>
      </c>
      <c r="F126" s="11" t="n">
        <f aca="false">INDEX(pool3!$F:$F,E126+1)</f>
        <v>7.67196321</v>
      </c>
      <c r="G126" s="12" t="n">
        <f aca="false">$B$4*144+A126</f>
        <v>1114</v>
      </c>
      <c r="H126" s="12" t="n">
        <f aca="false">G126+3528+1</f>
        <v>4643</v>
      </c>
      <c r="I126" s="13" t="n">
        <f aca="false">INDEX(weights!$H:$H,H126+1)</f>
        <v>0.0485648923</v>
      </c>
      <c r="J126" s="14" t="n">
        <f aca="false">F126*I126</f>
        <v>0.372588067023212</v>
      </c>
      <c r="K126" s="15" t="n">
        <f aca="false">K125+J126</f>
        <v>25.0107578304397</v>
      </c>
    </row>
    <row r="127" customFormat="false" ht="15" hidden="false" customHeight="false" outlineLevel="0" collapsed="false">
      <c r="A127" s="18" t="n">
        <v>107</v>
      </c>
      <c r="B127" s="18" t="n">
        <v>11</v>
      </c>
      <c r="C127" s="18" t="n">
        <v>2</v>
      </c>
      <c r="D127" s="18" t="n">
        <v>2</v>
      </c>
      <c r="E127" s="18" t="n">
        <v>108</v>
      </c>
      <c r="F127" s="17" t="n">
        <f aca="false">INDEX(pool3!$F:$F,E127+1)</f>
        <v>2.94033599</v>
      </c>
      <c r="G127" s="18" t="n">
        <f aca="false">$B$4*144+A127</f>
        <v>1115</v>
      </c>
      <c r="H127" s="18" t="n">
        <f aca="false">G127+3528+1</f>
        <v>4644</v>
      </c>
      <c r="I127" s="19" t="n">
        <f aca="false">INDEX(weights!$H:$H,H127+1)</f>
        <v>-0.0948695987</v>
      </c>
      <c r="J127" s="20" t="n">
        <f aca="false">F127*I127</f>
        <v>-0.278948495414467</v>
      </c>
      <c r="K127" s="21" t="n">
        <f aca="false">K126+J127</f>
        <v>24.7318093350253</v>
      </c>
    </row>
    <row r="128" customFormat="false" ht="15" hidden="false" customHeight="false" outlineLevel="0" collapsed="false">
      <c r="A128" s="12" t="n">
        <v>108</v>
      </c>
      <c r="B128" s="12" t="n">
        <v>12</v>
      </c>
      <c r="C128" s="12" t="n">
        <v>0</v>
      </c>
      <c r="D128" s="12" t="n">
        <v>0</v>
      </c>
      <c r="E128" s="12" t="n">
        <v>109</v>
      </c>
      <c r="F128" s="11" t="n">
        <f aca="false">INDEX(pool3!$F:$F,E128+1)</f>
        <v>1.41187894</v>
      </c>
      <c r="G128" s="12" t="n">
        <f aca="false">$B$4*144+A128</f>
        <v>1116</v>
      </c>
      <c r="H128" s="12" t="n">
        <f aca="false">G128+3528+1</f>
        <v>4645</v>
      </c>
      <c r="I128" s="13" t="n">
        <f aca="false">INDEX(weights!$H:$H,H128+1)</f>
        <v>0.242069423</v>
      </c>
      <c r="J128" s="14" t="n">
        <f aca="false">F128*I128</f>
        <v>0.341772720351652</v>
      </c>
      <c r="K128" s="15" t="n">
        <f aca="false">K127+J128</f>
        <v>25.0735820553769</v>
      </c>
    </row>
    <row r="129" customFormat="false" ht="15" hidden="false" customHeight="false" outlineLevel="0" collapsed="false">
      <c r="A129" s="12" t="n">
        <v>109</v>
      </c>
      <c r="B129" s="12" t="n">
        <v>12</v>
      </c>
      <c r="C129" s="12" t="n">
        <v>0</v>
      </c>
      <c r="D129" s="12" t="n">
        <v>1</v>
      </c>
      <c r="E129" s="12" t="n">
        <v>110</v>
      </c>
      <c r="F129" s="11" t="n">
        <f aca="false">INDEX(pool3!$F:$F,E129+1)</f>
        <v>0</v>
      </c>
      <c r="G129" s="12" t="n">
        <f aca="false">$B$4*144+A129</f>
        <v>1117</v>
      </c>
      <c r="H129" s="12" t="n">
        <f aca="false">G129+3528+1</f>
        <v>4646</v>
      </c>
      <c r="I129" s="13" t="n">
        <f aca="false">INDEX(weights!$H:$H,H129+1)</f>
        <v>-0.144757241</v>
      </c>
      <c r="J129" s="14" t="n">
        <f aca="false">F129*I129</f>
        <v>-0</v>
      </c>
      <c r="K129" s="15" t="n">
        <f aca="false">K128+J129</f>
        <v>25.0735820553769</v>
      </c>
    </row>
    <row r="130" customFormat="false" ht="15" hidden="false" customHeight="false" outlineLevel="0" collapsed="false">
      <c r="A130" s="12" t="n">
        <v>110</v>
      </c>
      <c r="B130" s="12" t="n">
        <v>12</v>
      </c>
      <c r="C130" s="12" t="n">
        <v>0</v>
      </c>
      <c r="D130" s="12" t="n">
        <v>2</v>
      </c>
      <c r="E130" s="12" t="n">
        <v>111</v>
      </c>
      <c r="F130" s="11" t="n">
        <f aca="false">INDEX(pool3!$F:$F,E130+1)</f>
        <v>0</v>
      </c>
      <c r="G130" s="12" t="n">
        <f aca="false">$B$4*144+A130</f>
        <v>1118</v>
      </c>
      <c r="H130" s="12" t="n">
        <f aca="false">G130+3528+1</f>
        <v>4647</v>
      </c>
      <c r="I130" s="13" t="n">
        <f aca="false">INDEX(weights!$H:$H,H130+1)</f>
        <v>0.21602498</v>
      </c>
      <c r="J130" s="14" t="n">
        <f aca="false">F130*I130</f>
        <v>0</v>
      </c>
      <c r="K130" s="15" t="n">
        <f aca="false">K129+J130</f>
        <v>25.0735820553769</v>
      </c>
    </row>
    <row r="131" customFormat="false" ht="15" hidden="false" customHeight="false" outlineLevel="0" collapsed="false">
      <c r="A131" s="12" t="n">
        <v>111</v>
      </c>
      <c r="B131" s="12" t="n">
        <v>12</v>
      </c>
      <c r="C131" s="12" t="n">
        <v>1</v>
      </c>
      <c r="D131" s="12" t="n">
        <v>0</v>
      </c>
      <c r="E131" s="12" t="n">
        <v>112</v>
      </c>
      <c r="F131" s="11" t="n">
        <f aca="false">INDEX(pool3!$F:$F,E131+1)</f>
        <v>0.747413278</v>
      </c>
      <c r="G131" s="12" t="n">
        <f aca="false">$B$4*144+A131</f>
        <v>1119</v>
      </c>
      <c r="H131" s="12" t="n">
        <f aca="false">G131+3528+1</f>
        <v>4648</v>
      </c>
      <c r="I131" s="13" t="n">
        <f aca="false">INDEX(weights!$H:$H,H131+1)</f>
        <v>0.00211460516</v>
      </c>
      <c r="J131" s="14" t="n">
        <f aca="false">F131*I131</f>
        <v>0.00158048397431131</v>
      </c>
      <c r="K131" s="15" t="n">
        <f aca="false">K130+J131</f>
        <v>25.0751625393512</v>
      </c>
    </row>
    <row r="132" customFormat="false" ht="15" hidden="false" customHeight="false" outlineLevel="0" collapsed="false">
      <c r="A132" s="12" t="n">
        <v>112</v>
      </c>
      <c r="B132" s="12" t="n">
        <v>12</v>
      </c>
      <c r="C132" s="12" t="n">
        <v>1</v>
      </c>
      <c r="D132" s="12" t="n">
        <v>1</v>
      </c>
      <c r="E132" s="12" t="n">
        <v>113</v>
      </c>
      <c r="F132" s="11" t="n">
        <f aca="false">INDEX(pool3!$F:$F,E132+1)</f>
        <v>0</v>
      </c>
      <c r="G132" s="12" t="n">
        <f aca="false">$B$4*144+A132</f>
        <v>1120</v>
      </c>
      <c r="H132" s="12" t="n">
        <f aca="false">G132+3528+1</f>
        <v>4649</v>
      </c>
      <c r="I132" s="13" t="n">
        <f aca="false">INDEX(weights!$H:$H,H132+1)</f>
        <v>-0.135640055</v>
      </c>
      <c r="J132" s="14" t="n">
        <f aca="false">F132*I132</f>
        <v>-0</v>
      </c>
      <c r="K132" s="15" t="n">
        <f aca="false">K131+J132</f>
        <v>25.0751625393512</v>
      </c>
    </row>
    <row r="133" customFormat="false" ht="15" hidden="false" customHeight="false" outlineLevel="0" collapsed="false">
      <c r="A133" s="12" t="n">
        <v>113</v>
      </c>
      <c r="B133" s="12" t="n">
        <v>12</v>
      </c>
      <c r="C133" s="12" t="n">
        <v>1</v>
      </c>
      <c r="D133" s="12" t="n">
        <v>2</v>
      </c>
      <c r="E133" s="12" t="n">
        <v>114</v>
      </c>
      <c r="F133" s="11" t="n">
        <f aca="false">INDEX(pool3!$F:$F,E133+1)</f>
        <v>3.67523193</v>
      </c>
      <c r="G133" s="12" t="n">
        <f aca="false">$B$4*144+A133</f>
        <v>1121</v>
      </c>
      <c r="H133" s="12" t="n">
        <f aca="false">G133+3528+1</f>
        <v>4650</v>
      </c>
      <c r="I133" s="13" t="n">
        <f aca="false">INDEX(weights!$H:$H,H133+1)</f>
        <v>0.0848646685</v>
      </c>
      <c r="J133" s="14" t="n">
        <f aca="false">F133*I133</f>
        <v>0.311897339400065</v>
      </c>
      <c r="K133" s="15" t="n">
        <f aca="false">K132+J133</f>
        <v>25.3870598787513</v>
      </c>
    </row>
    <row r="134" customFormat="false" ht="15" hidden="false" customHeight="false" outlineLevel="0" collapsed="false">
      <c r="A134" s="12" t="n">
        <v>114</v>
      </c>
      <c r="B134" s="12" t="n">
        <v>12</v>
      </c>
      <c r="C134" s="12" t="n">
        <v>2</v>
      </c>
      <c r="D134" s="12" t="n">
        <v>0</v>
      </c>
      <c r="E134" s="12" t="n">
        <v>115</v>
      </c>
      <c r="F134" s="11" t="n">
        <f aca="false">INDEX(pool3!$F:$F,E134+1)</f>
        <v>0</v>
      </c>
      <c r="G134" s="12" t="n">
        <f aca="false">$B$4*144+A134</f>
        <v>1122</v>
      </c>
      <c r="H134" s="12" t="n">
        <f aca="false">G134+3528+1</f>
        <v>4651</v>
      </c>
      <c r="I134" s="13" t="n">
        <f aca="false">INDEX(weights!$H:$H,H134+1)</f>
        <v>-0.226137742</v>
      </c>
      <c r="J134" s="14" t="n">
        <f aca="false">F134*I134</f>
        <v>-0</v>
      </c>
      <c r="K134" s="15" t="n">
        <f aca="false">K133+J134</f>
        <v>25.3870598787513</v>
      </c>
    </row>
    <row r="135" customFormat="false" ht="15" hidden="false" customHeight="false" outlineLevel="0" collapsed="false">
      <c r="A135" s="12" t="n">
        <v>115</v>
      </c>
      <c r="B135" s="12" t="n">
        <v>12</v>
      </c>
      <c r="C135" s="12" t="n">
        <v>2</v>
      </c>
      <c r="D135" s="12" t="n">
        <v>1</v>
      </c>
      <c r="E135" s="12" t="n">
        <v>116</v>
      </c>
      <c r="F135" s="11" t="n">
        <f aca="false">INDEX(pool3!$F:$F,E135+1)</f>
        <v>13.2903996</v>
      </c>
      <c r="G135" s="12" t="n">
        <f aca="false">$B$4*144+A135</f>
        <v>1123</v>
      </c>
      <c r="H135" s="12" t="n">
        <f aca="false">G135+3528+1</f>
        <v>4652</v>
      </c>
      <c r="I135" s="13" t="n">
        <f aca="false">INDEX(weights!$H:$H,H135+1)</f>
        <v>-0.0636163205</v>
      </c>
      <c r="J135" s="14" t="n">
        <f aca="false">F135*I135</f>
        <v>-0.845486320526672</v>
      </c>
      <c r="K135" s="15" t="n">
        <f aca="false">K134+J135</f>
        <v>24.5415735582246</v>
      </c>
    </row>
    <row r="136" customFormat="false" ht="15" hidden="false" customHeight="false" outlineLevel="0" collapsed="false">
      <c r="A136" s="18" t="n">
        <v>116</v>
      </c>
      <c r="B136" s="18" t="n">
        <v>12</v>
      </c>
      <c r="C136" s="18" t="n">
        <v>2</v>
      </c>
      <c r="D136" s="18" t="n">
        <v>2</v>
      </c>
      <c r="E136" s="18" t="n">
        <v>117</v>
      </c>
      <c r="F136" s="17" t="n">
        <f aca="false">INDEX(pool3!$F:$F,E136+1)</f>
        <v>7.77608442</v>
      </c>
      <c r="G136" s="18" t="n">
        <f aca="false">$B$4*144+A136</f>
        <v>1124</v>
      </c>
      <c r="H136" s="18" t="n">
        <f aca="false">G136+3528+1</f>
        <v>4653</v>
      </c>
      <c r="I136" s="19" t="n">
        <f aca="false">INDEX(weights!$H:$H,H136+1)</f>
        <v>0.183230281</v>
      </c>
      <c r="J136" s="20" t="n">
        <f aca="false">F136*I136</f>
        <v>1.42481413335632</v>
      </c>
      <c r="K136" s="21" t="n">
        <f aca="false">K135+J136</f>
        <v>25.966387691581</v>
      </c>
    </row>
    <row r="137" customFormat="false" ht="15" hidden="false" customHeight="false" outlineLevel="0" collapsed="false">
      <c r="A137" s="12" t="n">
        <v>117</v>
      </c>
      <c r="B137" s="12" t="n">
        <v>13</v>
      </c>
      <c r="C137" s="12" t="n">
        <v>0</v>
      </c>
      <c r="D137" s="12" t="n">
        <v>0</v>
      </c>
      <c r="E137" s="12" t="n">
        <v>118</v>
      </c>
      <c r="F137" s="11" t="n">
        <f aca="false">INDEX(pool3!$F:$F,E137+1)</f>
        <v>5.48631477</v>
      </c>
      <c r="G137" s="12" t="n">
        <f aca="false">$B$4*144+A137</f>
        <v>1125</v>
      </c>
      <c r="H137" s="12" t="n">
        <f aca="false">G137+3528+1</f>
        <v>4654</v>
      </c>
      <c r="I137" s="13" t="n">
        <f aca="false">INDEX(weights!$H:$H,H137+1)</f>
        <v>0.0419824645</v>
      </c>
      <c r="J137" s="14" t="n">
        <f aca="false">F137*I137</f>
        <v>0.230329015067351</v>
      </c>
      <c r="K137" s="15" t="n">
        <f aca="false">K136+J137</f>
        <v>26.1967167066483</v>
      </c>
    </row>
    <row r="138" customFormat="false" ht="15" hidden="false" customHeight="false" outlineLevel="0" collapsed="false">
      <c r="A138" s="12" t="n">
        <v>118</v>
      </c>
      <c r="B138" s="12" t="n">
        <v>13</v>
      </c>
      <c r="C138" s="12" t="n">
        <v>0</v>
      </c>
      <c r="D138" s="12" t="n">
        <v>1</v>
      </c>
      <c r="E138" s="12" t="n">
        <v>119</v>
      </c>
      <c r="F138" s="11" t="n">
        <f aca="false">INDEX(pool3!$F:$F,E138+1)</f>
        <v>6.6146965</v>
      </c>
      <c r="G138" s="12" t="n">
        <f aca="false">$B$4*144+A138</f>
        <v>1126</v>
      </c>
      <c r="H138" s="12" t="n">
        <f aca="false">G138+3528+1</f>
        <v>4655</v>
      </c>
      <c r="I138" s="13" t="n">
        <f aca="false">INDEX(weights!$H:$H,H138+1)</f>
        <v>-0.0569659956</v>
      </c>
      <c r="J138" s="14" t="n">
        <f aca="false">F138*I138</f>
        <v>-0.376812771714335</v>
      </c>
      <c r="K138" s="15" t="n">
        <f aca="false">K137+J138</f>
        <v>25.819903934934</v>
      </c>
    </row>
    <row r="139" customFormat="false" ht="15" hidden="false" customHeight="false" outlineLevel="0" collapsed="false">
      <c r="A139" s="12" t="n">
        <v>119</v>
      </c>
      <c r="B139" s="12" t="n">
        <v>13</v>
      </c>
      <c r="C139" s="12" t="n">
        <v>0</v>
      </c>
      <c r="D139" s="12" t="n">
        <v>2</v>
      </c>
      <c r="E139" s="12" t="n">
        <v>120</v>
      </c>
      <c r="F139" s="11" t="n">
        <f aca="false">INDEX(pool3!$F:$F,E139+1)</f>
        <v>4.95896769</v>
      </c>
      <c r="G139" s="12" t="n">
        <f aca="false">$B$4*144+A139</f>
        <v>1127</v>
      </c>
      <c r="H139" s="12" t="n">
        <f aca="false">G139+3528+1</f>
        <v>4656</v>
      </c>
      <c r="I139" s="13" t="n">
        <f aca="false">INDEX(weights!$H:$H,H139+1)</f>
        <v>0.136230335</v>
      </c>
      <c r="J139" s="14" t="n">
        <f aca="false">F139*I139</f>
        <v>0.675561829662876</v>
      </c>
      <c r="K139" s="15" t="n">
        <f aca="false">K138+J139</f>
        <v>26.4954657645969</v>
      </c>
    </row>
    <row r="140" customFormat="false" ht="15" hidden="false" customHeight="false" outlineLevel="0" collapsed="false">
      <c r="A140" s="12" t="n">
        <v>120</v>
      </c>
      <c r="B140" s="12" t="n">
        <v>13</v>
      </c>
      <c r="C140" s="12" t="n">
        <v>1</v>
      </c>
      <c r="D140" s="12" t="n">
        <v>0</v>
      </c>
      <c r="E140" s="12" t="n">
        <v>121</v>
      </c>
      <c r="F140" s="11" t="n">
        <f aca="false">INDEX(pool3!$F:$F,E140+1)</f>
        <v>0.968655646</v>
      </c>
      <c r="G140" s="12" t="n">
        <f aca="false">$B$4*144+A140</f>
        <v>1128</v>
      </c>
      <c r="H140" s="12" t="n">
        <f aca="false">G140+3528+1</f>
        <v>4657</v>
      </c>
      <c r="I140" s="13" t="n">
        <f aca="false">INDEX(weights!$H:$H,H140+1)</f>
        <v>0.26891464</v>
      </c>
      <c r="J140" s="14" t="n">
        <f aca="false">F140*I140</f>
        <v>0.260485684328057</v>
      </c>
      <c r="K140" s="15" t="n">
        <f aca="false">K139+J140</f>
        <v>26.7559514489249</v>
      </c>
    </row>
    <row r="141" customFormat="false" ht="15" hidden="false" customHeight="false" outlineLevel="0" collapsed="false">
      <c r="A141" s="12" t="n">
        <v>121</v>
      </c>
      <c r="B141" s="12" t="n">
        <v>13</v>
      </c>
      <c r="C141" s="12" t="n">
        <v>1</v>
      </c>
      <c r="D141" s="12" t="n">
        <v>1</v>
      </c>
      <c r="E141" s="12" t="n">
        <v>122</v>
      </c>
      <c r="F141" s="11" t="n">
        <f aca="false">INDEX(pool3!$F:$F,E141+1)</f>
        <v>0</v>
      </c>
      <c r="G141" s="12" t="n">
        <f aca="false">$B$4*144+A141</f>
        <v>1129</v>
      </c>
      <c r="H141" s="12" t="n">
        <f aca="false">G141+3528+1</f>
        <v>4658</v>
      </c>
      <c r="I141" s="13" t="n">
        <f aca="false">INDEX(weights!$H:$H,H141+1)</f>
        <v>-0.0692744479</v>
      </c>
      <c r="J141" s="14" t="n">
        <f aca="false">F141*I141</f>
        <v>-0</v>
      </c>
      <c r="K141" s="15" t="n">
        <f aca="false">K140+J141</f>
        <v>26.7559514489249</v>
      </c>
    </row>
    <row r="142" customFormat="false" ht="15" hidden="false" customHeight="false" outlineLevel="0" collapsed="false">
      <c r="A142" s="12" t="n">
        <v>122</v>
      </c>
      <c r="B142" s="12" t="n">
        <v>13</v>
      </c>
      <c r="C142" s="12" t="n">
        <v>1</v>
      </c>
      <c r="D142" s="12" t="n">
        <v>2</v>
      </c>
      <c r="E142" s="12" t="n">
        <v>123</v>
      </c>
      <c r="F142" s="11" t="n">
        <f aca="false">INDEX(pool3!$F:$F,E142+1)</f>
        <v>0</v>
      </c>
      <c r="G142" s="12" t="n">
        <f aca="false">$B$4*144+A142</f>
        <v>1130</v>
      </c>
      <c r="H142" s="12" t="n">
        <f aca="false">G142+3528+1</f>
        <v>4659</v>
      </c>
      <c r="I142" s="13" t="n">
        <f aca="false">INDEX(weights!$H:$H,H142+1)</f>
        <v>-0.0094277272</v>
      </c>
      <c r="J142" s="14" t="n">
        <f aca="false">F142*I142</f>
        <v>-0</v>
      </c>
      <c r="K142" s="15" t="n">
        <f aca="false">K141+J142</f>
        <v>26.7559514489249</v>
      </c>
    </row>
    <row r="143" customFormat="false" ht="15" hidden="false" customHeight="false" outlineLevel="0" collapsed="false">
      <c r="A143" s="12" t="n">
        <v>123</v>
      </c>
      <c r="B143" s="12" t="n">
        <v>13</v>
      </c>
      <c r="C143" s="12" t="n">
        <v>2</v>
      </c>
      <c r="D143" s="12" t="n">
        <v>0</v>
      </c>
      <c r="E143" s="12" t="n">
        <v>124</v>
      </c>
      <c r="F143" s="11" t="n">
        <f aca="false">INDEX(pool3!$F:$F,E143+1)</f>
        <v>2.41811228</v>
      </c>
      <c r="G143" s="12" t="n">
        <f aca="false">$B$4*144+A143</f>
        <v>1131</v>
      </c>
      <c r="H143" s="12" t="n">
        <f aca="false">G143+3528+1</f>
        <v>4660</v>
      </c>
      <c r="I143" s="13" t="n">
        <f aca="false">INDEX(weights!$H:$H,H143+1)</f>
        <v>-0.000725993363</v>
      </c>
      <c r="J143" s="14" t="n">
        <f aca="false">F143*I143</f>
        <v>-0.0017555334662688</v>
      </c>
      <c r="K143" s="15" t="n">
        <f aca="false">K142+J143</f>
        <v>26.7541959154586</v>
      </c>
    </row>
    <row r="144" customFormat="false" ht="15" hidden="false" customHeight="false" outlineLevel="0" collapsed="false">
      <c r="A144" s="12" t="n">
        <v>124</v>
      </c>
      <c r="B144" s="12" t="n">
        <v>13</v>
      </c>
      <c r="C144" s="12" t="n">
        <v>2</v>
      </c>
      <c r="D144" s="12" t="n">
        <v>1</v>
      </c>
      <c r="E144" s="12" t="n">
        <v>125</v>
      </c>
      <c r="F144" s="11" t="n">
        <f aca="false">INDEX(pool3!$F:$F,E144+1)</f>
        <v>3.51538515</v>
      </c>
      <c r="G144" s="12" t="n">
        <f aca="false">$B$4*144+A144</f>
        <v>1132</v>
      </c>
      <c r="H144" s="12" t="n">
        <f aca="false">G144+3528+1</f>
        <v>4661</v>
      </c>
      <c r="I144" s="13" t="n">
        <f aca="false">INDEX(weights!$H:$H,H144+1)</f>
        <v>-0.074924022</v>
      </c>
      <c r="J144" s="14" t="n">
        <f aca="false">F144*I144</f>
        <v>-0.263386794317073</v>
      </c>
      <c r="K144" s="15" t="n">
        <f aca="false">K143+J144</f>
        <v>26.4908091211416</v>
      </c>
    </row>
    <row r="145" customFormat="false" ht="15" hidden="false" customHeight="false" outlineLevel="0" collapsed="false">
      <c r="A145" s="18" t="n">
        <v>125</v>
      </c>
      <c r="B145" s="18" t="n">
        <v>13</v>
      </c>
      <c r="C145" s="18" t="n">
        <v>2</v>
      </c>
      <c r="D145" s="18" t="n">
        <v>2</v>
      </c>
      <c r="E145" s="18" t="n">
        <v>126</v>
      </c>
      <c r="F145" s="17" t="n">
        <f aca="false">INDEX(pool3!$F:$F,E145+1)</f>
        <v>3.62744689</v>
      </c>
      <c r="G145" s="18" t="n">
        <f aca="false">$B$4*144+A145</f>
        <v>1133</v>
      </c>
      <c r="H145" s="18" t="n">
        <f aca="false">G145+3528+1</f>
        <v>4662</v>
      </c>
      <c r="I145" s="19" t="n">
        <f aca="false">INDEX(weights!$H:$H,H145+1)</f>
        <v>-0.228322193</v>
      </c>
      <c r="J145" s="20" t="n">
        <f aca="false">F145*I145</f>
        <v>-0.82822662891583</v>
      </c>
      <c r="K145" s="21" t="n">
        <f aca="false">K144+J145</f>
        <v>25.6625824922257</v>
      </c>
    </row>
    <row r="146" customFormat="false" ht="15" hidden="false" customHeight="false" outlineLevel="0" collapsed="false">
      <c r="A146" s="12" t="n">
        <v>126</v>
      </c>
      <c r="B146" s="12" t="n">
        <v>14</v>
      </c>
      <c r="C146" s="12" t="n">
        <v>0</v>
      </c>
      <c r="D146" s="12" t="n">
        <v>0</v>
      </c>
      <c r="E146" s="12" t="n">
        <v>127</v>
      </c>
      <c r="F146" s="11" t="n">
        <f aca="false">INDEX(pool3!$F:$F,E146+1)</f>
        <v>0</v>
      </c>
      <c r="G146" s="12" t="n">
        <f aca="false">$B$4*144+A146</f>
        <v>1134</v>
      </c>
      <c r="H146" s="12" t="n">
        <f aca="false">G146+3528+1</f>
        <v>4663</v>
      </c>
      <c r="I146" s="13" t="n">
        <f aca="false">INDEX(weights!$H:$H,H146+1)</f>
        <v>0.0304432269</v>
      </c>
      <c r="J146" s="14" t="n">
        <f aca="false">F146*I146</f>
        <v>0</v>
      </c>
      <c r="K146" s="15" t="n">
        <f aca="false">K145+J146</f>
        <v>25.6625824922257</v>
      </c>
    </row>
    <row r="147" customFormat="false" ht="15" hidden="false" customHeight="false" outlineLevel="0" collapsed="false">
      <c r="A147" s="12" t="n">
        <v>127</v>
      </c>
      <c r="B147" s="12" t="n">
        <v>14</v>
      </c>
      <c r="C147" s="12" t="n">
        <v>0</v>
      </c>
      <c r="D147" s="12" t="n">
        <v>1</v>
      </c>
      <c r="E147" s="12" t="n">
        <v>128</v>
      </c>
      <c r="F147" s="11" t="n">
        <f aca="false">INDEX(pool3!$F:$F,E147+1)</f>
        <v>0</v>
      </c>
      <c r="G147" s="12" t="n">
        <f aca="false">$B$4*144+A147</f>
        <v>1135</v>
      </c>
      <c r="H147" s="12" t="n">
        <f aca="false">G147+3528+1</f>
        <v>4664</v>
      </c>
      <c r="I147" s="13" t="n">
        <f aca="false">INDEX(weights!$H:$H,H147+1)</f>
        <v>0.45447728</v>
      </c>
      <c r="J147" s="14" t="n">
        <f aca="false">F147*I147</f>
        <v>0</v>
      </c>
      <c r="K147" s="15" t="n">
        <f aca="false">K146+J147</f>
        <v>25.6625824922257</v>
      </c>
    </row>
    <row r="148" customFormat="false" ht="15" hidden="false" customHeight="false" outlineLevel="0" collapsed="false">
      <c r="A148" s="12" t="n">
        <v>128</v>
      </c>
      <c r="B148" s="12" t="n">
        <v>14</v>
      </c>
      <c r="C148" s="12" t="n">
        <v>0</v>
      </c>
      <c r="D148" s="12" t="n">
        <v>2</v>
      </c>
      <c r="E148" s="12" t="n">
        <v>129</v>
      </c>
      <c r="F148" s="11" t="n">
        <f aca="false">INDEX(pool3!$F:$F,E148+1)</f>
        <v>2.10157061</v>
      </c>
      <c r="G148" s="12" t="n">
        <f aca="false">$B$4*144+A148</f>
        <v>1136</v>
      </c>
      <c r="H148" s="12" t="n">
        <f aca="false">G148+3528+1</f>
        <v>4665</v>
      </c>
      <c r="I148" s="13" t="n">
        <f aca="false">INDEX(weights!$H:$H,H148+1)</f>
        <v>0.120425254</v>
      </c>
      <c r="J148" s="14" t="n">
        <f aca="false">F148*I148</f>
        <v>0.253082174508185</v>
      </c>
      <c r="K148" s="15" t="n">
        <f aca="false">K147+J148</f>
        <v>25.9156646667339</v>
      </c>
    </row>
    <row r="149" customFormat="false" ht="15" hidden="false" customHeight="false" outlineLevel="0" collapsed="false">
      <c r="A149" s="12" t="n">
        <v>129</v>
      </c>
      <c r="B149" s="12" t="n">
        <v>14</v>
      </c>
      <c r="C149" s="12" t="n">
        <v>1</v>
      </c>
      <c r="D149" s="12" t="n">
        <v>0</v>
      </c>
      <c r="E149" s="12" t="n">
        <v>130</v>
      </c>
      <c r="F149" s="11" t="n">
        <f aca="false">INDEX(pool3!$F:$F,E149+1)</f>
        <v>0.397872567</v>
      </c>
      <c r="G149" s="12" t="n">
        <f aca="false">$B$4*144+A149</f>
        <v>1137</v>
      </c>
      <c r="H149" s="12" t="n">
        <f aca="false">G149+3528+1</f>
        <v>4666</v>
      </c>
      <c r="I149" s="13" t="n">
        <f aca="false">INDEX(weights!$H:$H,H149+1)</f>
        <v>-0.0659487993</v>
      </c>
      <c r="J149" s="14" t="n">
        <f aca="false">F149*I149</f>
        <v>-0.0262392180680588</v>
      </c>
      <c r="K149" s="15" t="n">
        <f aca="false">K148+J149</f>
        <v>25.8894254486659</v>
      </c>
    </row>
    <row r="150" customFormat="false" ht="15" hidden="false" customHeight="false" outlineLevel="0" collapsed="false">
      <c r="A150" s="12" t="n">
        <v>130</v>
      </c>
      <c r="B150" s="12" t="n">
        <v>14</v>
      </c>
      <c r="C150" s="12" t="n">
        <v>1</v>
      </c>
      <c r="D150" s="12" t="n">
        <v>1</v>
      </c>
      <c r="E150" s="12" t="n">
        <v>131</v>
      </c>
      <c r="F150" s="11" t="n">
        <f aca="false">INDEX(pool3!$F:$F,E150+1)</f>
        <v>4.65895033</v>
      </c>
      <c r="G150" s="12" t="n">
        <f aca="false">$B$4*144+A150</f>
        <v>1138</v>
      </c>
      <c r="H150" s="12" t="n">
        <f aca="false">G150+3528+1</f>
        <v>4667</v>
      </c>
      <c r="I150" s="13" t="n">
        <f aca="false">INDEX(weights!$H:$H,H150+1)</f>
        <v>0.0445323698</v>
      </c>
      <c r="J150" s="14" t="n">
        <f aca="false">F150*I150</f>
        <v>0.207474098975392</v>
      </c>
      <c r="K150" s="15" t="n">
        <f aca="false">K149+J150</f>
        <v>26.0968995476413</v>
      </c>
    </row>
    <row r="151" customFormat="false" ht="15" hidden="false" customHeight="false" outlineLevel="0" collapsed="false">
      <c r="A151" s="12" t="n">
        <v>131</v>
      </c>
      <c r="B151" s="12" t="n">
        <v>14</v>
      </c>
      <c r="C151" s="12" t="n">
        <v>1</v>
      </c>
      <c r="D151" s="12" t="n">
        <v>2</v>
      </c>
      <c r="E151" s="12" t="n">
        <v>132</v>
      </c>
      <c r="F151" s="11" t="n">
        <f aca="false">INDEX(pool3!$F:$F,E151+1)</f>
        <v>4.09717512</v>
      </c>
      <c r="G151" s="12" t="n">
        <f aca="false">$B$4*144+A151</f>
        <v>1139</v>
      </c>
      <c r="H151" s="12" t="n">
        <f aca="false">G151+3528+1</f>
        <v>4668</v>
      </c>
      <c r="I151" s="13" t="n">
        <f aca="false">INDEX(weights!$H:$H,H151+1)</f>
        <v>-0.167782441</v>
      </c>
      <c r="J151" s="14" t="n">
        <f aca="false">F151*I151</f>
        <v>-0.687434042838068</v>
      </c>
      <c r="K151" s="15" t="n">
        <f aca="false">K150+J151</f>
        <v>25.4094655048032</v>
      </c>
    </row>
    <row r="152" customFormat="false" ht="15" hidden="false" customHeight="false" outlineLevel="0" collapsed="false">
      <c r="A152" s="12" t="n">
        <v>132</v>
      </c>
      <c r="B152" s="12" t="n">
        <v>14</v>
      </c>
      <c r="C152" s="12" t="n">
        <v>2</v>
      </c>
      <c r="D152" s="12" t="n">
        <v>0</v>
      </c>
      <c r="E152" s="12" t="n">
        <v>133</v>
      </c>
      <c r="F152" s="11" t="n">
        <f aca="false">INDEX(pool3!$F:$F,E152+1)</f>
        <v>0.0185168684</v>
      </c>
      <c r="G152" s="12" t="n">
        <f aca="false">$B$4*144+A152</f>
        <v>1140</v>
      </c>
      <c r="H152" s="12" t="n">
        <f aca="false">G152+3528+1</f>
        <v>4669</v>
      </c>
      <c r="I152" s="13" t="n">
        <f aca="false">INDEX(weights!$H:$H,H152+1)</f>
        <v>-0.0678265989</v>
      </c>
      <c r="J152" s="14" t="n">
        <f aca="false">F152*I152</f>
        <v>-0.00125593620585089</v>
      </c>
      <c r="K152" s="15" t="n">
        <f aca="false">K151+J152</f>
        <v>25.4082095685973</v>
      </c>
    </row>
    <row r="153" customFormat="false" ht="15" hidden="false" customHeight="false" outlineLevel="0" collapsed="false">
      <c r="A153" s="12" t="n">
        <v>133</v>
      </c>
      <c r="B153" s="12" t="n">
        <v>14</v>
      </c>
      <c r="C153" s="12" t="n">
        <v>2</v>
      </c>
      <c r="D153" s="12" t="n">
        <v>1</v>
      </c>
      <c r="E153" s="12" t="n">
        <v>134</v>
      </c>
      <c r="F153" s="11" t="n">
        <f aca="false">INDEX(pool3!$F:$F,E153+1)</f>
        <v>0</v>
      </c>
      <c r="G153" s="12" t="n">
        <f aca="false">$B$4*144+A153</f>
        <v>1141</v>
      </c>
      <c r="H153" s="12" t="n">
        <f aca="false">G153+3528+1</f>
        <v>4670</v>
      </c>
      <c r="I153" s="13" t="n">
        <f aca="false">INDEX(weights!$H:$H,H153+1)</f>
        <v>-0.258861482</v>
      </c>
      <c r="J153" s="14" t="n">
        <f aca="false">F153*I153</f>
        <v>-0</v>
      </c>
      <c r="K153" s="15" t="n">
        <f aca="false">K152+J153</f>
        <v>25.4082095685973</v>
      </c>
    </row>
    <row r="154" customFormat="false" ht="15" hidden="false" customHeight="false" outlineLevel="0" collapsed="false">
      <c r="A154" s="18" t="n">
        <v>134</v>
      </c>
      <c r="B154" s="18" t="n">
        <v>14</v>
      </c>
      <c r="C154" s="18" t="n">
        <v>2</v>
      </c>
      <c r="D154" s="18" t="n">
        <v>2</v>
      </c>
      <c r="E154" s="18" t="n">
        <v>135</v>
      </c>
      <c r="F154" s="17" t="n">
        <f aca="false">INDEX(pool3!$F:$F,E154+1)</f>
        <v>4.70818424</v>
      </c>
      <c r="G154" s="18" t="n">
        <f aca="false">$B$4*144+A154</f>
        <v>1142</v>
      </c>
      <c r="H154" s="18" t="n">
        <f aca="false">G154+3528+1</f>
        <v>4671</v>
      </c>
      <c r="I154" s="19" t="n">
        <f aca="false">INDEX(weights!$H:$H,H154+1)</f>
        <v>-0.129024684</v>
      </c>
      <c r="J154" s="20" t="n">
        <f aca="false">F154*I154</f>
        <v>-0.60747198377978</v>
      </c>
      <c r="K154" s="21" t="n">
        <f aca="false">K153+J154</f>
        <v>24.8007375848176</v>
      </c>
    </row>
    <row r="155" customFormat="false" ht="15" hidden="false" customHeight="false" outlineLevel="0" collapsed="false">
      <c r="A155" s="12" t="n">
        <v>135</v>
      </c>
      <c r="B155" s="12" t="n">
        <v>15</v>
      </c>
      <c r="C155" s="12" t="n">
        <v>0</v>
      </c>
      <c r="D155" s="12" t="n">
        <v>0</v>
      </c>
      <c r="E155" s="12" t="n">
        <v>136</v>
      </c>
      <c r="F155" s="11" t="n">
        <f aca="false">INDEX(pool3!$F:$F,E155+1)</f>
        <v>0.233106434</v>
      </c>
      <c r="G155" s="12" t="n">
        <f aca="false">$B$4*144+A155</f>
        <v>1143</v>
      </c>
      <c r="H155" s="12" t="n">
        <f aca="false">G155+3528+1</f>
        <v>4672</v>
      </c>
      <c r="I155" s="13" t="n">
        <f aca="false">INDEX(weights!$H:$H,H155+1)</f>
        <v>-0.0822880939</v>
      </c>
      <c r="J155" s="14" t="n">
        <f aca="false">F155*I155</f>
        <v>-0.0191818841296862</v>
      </c>
      <c r="K155" s="15" t="n">
        <f aca="false">K154+J155</f>
        <v>24.7815557006879</v>
      </c>
    </row>
    <row r="156" customFormat="false" ht="15" hidden="false" customHeight="false" outlineLevel="0" collapsed="false">
      <c r="A156" s="12" t="n">
        <v>136</v>
      </c>
      <c r="B156" s="12" t="n">
        <v>15</v>
      </c>
      <c r="C156" s="12" t="n">
        <v>0</v>
      </c>
      <c r="D156" s="12" t="n">
        <v>1</v>
      </c>
      <c r="E156" s="12" t="n">
        <v>137</v>
      </c>
      <c r="F156" s="11" t="n">
        <f aca="false">INDEX(pool3!$F:$F,E156+1)</f>
        <v>6.50160742</v>
      </c>
      <c r="G156" s="12" t="n">
        <f aca="false">$B$4*144+A156</f>
        <v>1144</v>
      </c>
      <c r="H156" s="12" t="n">
        <f aca="false">G156+3528+1</f>
        <v>4673</v>
      </c>
      <c r="I156" s="13" t="n">
        <f aca="false">INDEX(weights!$H:$H,H156+1)</f>
        <v>-0.116142698</v>
      </c>
      <c r="J156" s="14" t="n">
        <f aca="false">F156*I156</f>
        <v>-0.755114227095619</v>
      </c>
      <c r="K156" s="15" t="n">
        <f aca="false">K155+J156</f>
        <v>24.0264414735923</v>
      </c>
    </row>
    <row r="157" customFormat="false" ht="15" hidden="false" customHeight="false" outlineLevel="0" collapsed="false">
      <c r="A157" s="12" t="n">
        <v>137</v>
      </c>
      <c r="B157" s="12" t="n">
        <v>15</v>
      </c>
      <c r="C157" s="12" t="n">
        <v>0</v>
      </c>
      <c r="D157" s="12" t="n">
        <v>2</v>
      </c>
      <c r="E157" s="12" t="n">
        <v>138</v>
      </c>
      <c r="F157" s="11" t="n">
        <f aca="false">INDEX(pool3!$F:$F,E157+1)</f>
        <v>2.89302325</v>
      </c>
      <c r="G157" s="12" t="n">
        <f aca="false">$B$4*144+A157</f>
        <v>1145</v>
      </c>
      <c r="H157" s="12" t="n">
        <f aca="false">G157+3528+1</f>
        <v>4674</v>
      </c>
      <c r="I157" s="13" t="n">
        <f aca="false">INDEX(weights!$H:$H,H157+1)</f>
        <v>0.0966384038</v>
      </c>
      <c r="J157" s="14" t="n">
        <f aca="false">F157*I157</f>
        <v>0.279577149036288</v>
      </c>
      <c r="K157" s="15" t="n">
        <f aca="false">K156+J157</f>
        <v>24.3060186226285</v>
      </c>
    </row>
    <row r="158" customFormat="false" ht="15" hidden="false" customHeight="false" outlineLevel="0" collapsed="false">
      <c r="A158" s="12" t="n">
        <v>138</v>
      </c>
      <c r="B158" s="12" t="n">
        <v>15</v>
      </c>
      <c r="C158" s="12" t="n">
        <v>1</v>
      </c>
      <c r="D158" s="12" t="n">
        <v>0</v>
      </c>
      <c r="E158" s="12" t="n">
        <v>139</v>
      </c>
      <c r="F158" s="11" t="n">
        <f aca="false">INDEX(pool3!$F:$F,E158+1)</f>
        <v>0</v>
      </c>
      <c r="G158" s="12" t="n">
        <f aca="false">$B$4*144+A158</f>
        <v>1146</v>
      </c>
      <c r="H158" s="12" t="n">
        <f aca="false">G158+3528+1</f>
        <v>4675</v>
      </c>
      <c r="I158" s="13" t="n">
        <f aca="false">INDEX(weights!$H:$H,H158+1)</f>
        <v>-0.441946089</v>
      </c>
      <c r="J158" s="14" t="n">
        <f aca="false">F158*I158</f>
        <v>-0</v>
      </c>
      <c r="K158" s="15" t="n">
        <f aca="false">K157+J158</f>
        <v>24.3060186226285</v>
      </c>
    </row>
    <row r="159" customFormat="false" ht="15" hidden="false" customHeight="false" outlineLevel="0" collapsed="false">
      <c r="A159" s="12" t="n">
        <v>139</v>
      </c>
      <c r="B159" s="12" t="n">
        <v>15</v>
      </c>
      <c r="C159" s="12" t="n">
        <v>1</v>
      </c>
      <c r="D159" s="12" t="n">
        <v>1</v>
      </c>
      <c r="E159" s="12" t="n">
        <v>140</v>
      </c>
      <c r="F159" s="11" t="n">
        <f aca="false">INDEX(pool3!$F:$F,E159+1)</f>
        <v>0</v>
      </c>
      <c r="G159" s="12" t="n">
        <f aca="false">$B$4*144+A159</f>
        <v>1147</v>
      </c>
      <c r="H159" s="12" t="n">
        <f aca="false">G159+3528+1</f>
        <v>4676</v>
      </c>
      <c r="I159" s="13" t="n">
        <f aca="false">INDEX(weights!$H:$H,H159+1)</f>
        <v>-0.0580120608</v>
      </c>
      <c r="J159" s="14" t="n">
        <f aca="false">F159*I159</f>
        <v>-0</v>
      </c>
      <c r="K159" s="15" t="n">
        <f aca="false">K158+J159</f>
        <v>24.3060186226285</v>
      </c>
    </row>
    <row r="160" customFormat="false" ht="15" hidden="false" customHeight="false" outlineLevel="0" collapsed="false">
      <c r="A160" s="12" t="n">
        <v>140</v>
      </c>
      <c r="B160" s="12" t="n">
        <v>15</v>
      </c>
      <c r="C160" s="12" t="n">
        <v>1</v>
      </c>
      <c r="D160" s="12" t="n">
        <v>2</v>
      </c>
      <c r="E160" s="12" t="n">
        <v>141</v>
      </c>
      <c r="F160" s="11" t="n">
        <f aca="false">INDEX(pool3!$F:$F,E160+1)</f>
        <v>0.424107641</v>
      </c>
      <c r="G160" s="12" t="n">
        <f aca="false">$B$4*144+A160</f>
        <v>1148</v>
      </c>
      <c r="H160" s="12" t="n">
        <f aca="false">G160+3528+1</f>
        <v>4677</v>
      </c>
      <c r="I160" s="13" t="n">
        <f aca="false">INDEX(weights!$H:$H,H160+1)</f>
        <v>0.151738644</v>
      </c>
      <c r="J160" s="14" t="n">
        <f aca="false">F160*I160</f>
        <v>0.0643535183553788</v>
      </c>
      <c r="K160" s="15" t="n">
        <f aca="false">K159+J160</f>
        <v>24.3703721409839</v>
      </c>
    </row>
    <row r="161" customFormat="false" ht="15" hidden="false" customHeight="false" outlineLevel="0" collapsed="false">
      <c r="A161" s="12" t="n">
        <v>141</v>
      </c>
      <c r="B161" s="12" t="n">
        <v>15</v>
      </c>
      <c r="C161" s="12" t="n">
        <v>2</v>
      </c>
      <c r="D161" s="12" t="n">
        <v>0</v>
      </c>
      <c r="E161" s="12" t="n">
        <v>142</v>
      </c>
      <c r="F161" s="11" t="n">
        <f aca="false">INDEX(pool3!$F:$F,E161+1)</f>
        <v>0</v>
      </c>
      <c r="G161" s="12" t="n">
        <f aca="false">$B$4*144+A161</f>
        <v>1149</v>
      </c>
      <c r="H161" s="12" t="n">
        <f aca="false">G161+3528+1</f>
        <v>4678</v>
      </c>
      <c r="I161" s="13" t="n">
        <f aca="false">INDEX(weights!$H:$H,H161+1)</f>
        <v>0.151101872</v>
      </c>
      <c r="J161" s="14" t="n">
        <f aca="false">F161*I161</f>
        <v>0</v>
      </c>
      <c r="K161" s="15" t="n">
        <f aca="false">K160+J161</f>
        <v>24.3703721409839</v>
      </c>
    </row>
    <row r="162" customFormat="false" ht="15" hidden="false" customHeight="false" outlineLevel="0" collapsed="false">
      <c r="A162" s="12" t="n">
        <v>142</v>
      </c>
      <c r="B162" s="12" t="n">
        <v>15</v>
      </c>
      <c r="C162" s="12" t="n">
        <v>2</v>
      </c>
      <c r="D162" s="12" t="n">
        <v>1</v>
      </c>
      <c r="E162" s="12" t="n">
        <v>143</v>
      </c>
      <c r="F162" s="11" t="n">
        <f aca="false">INDEX(pool3!$F:$F,E162+1)</f>
        <v>2.2639389</v>
      </c>
      <c r="G162" s="12" t="n">
        <f aca="false">$B$4*144+A162</f>
        <v>1150</v>
      </c>
      <c r="H162" s="12" t="n">
        <f aca="false">G162+3528+1</f>
        <v>4679</v>
      </c>
      <c r="I162" s="13" t="n">
        <f aca="false">INDEX(weights!$H:$H,H162+1)</f>
        <v>-0.0476974249</v>
      </c>
      <c r="J162" s="14" t="n">
        <f aca="false">F162*I162</f>
        <v>-0.107984055660939</v>
      </c>
      <c r="K162" s="15" t="n">
        <f aca="false">K161+J162</f>
        <v>24.262388085323</v>
      </c>
    </row>
    <row r="163" customFormat="false" ht="15" hidden="false" customHeight="false" outlineLevel="0" collapsed="false">
      <c r="A163" s="18" t="n">
        <v>143</v>
      </c>
      <c r="B163" s="18" t="n">
        <v>15</v>
      </c>
      <c r="C163" s="18" t="n">
        <v>2</v>
      </c>
      <c r="D163" s="18" t="n">
        <v>2</v>
      </c>
      <c r="E163" s="18" t="n">
        <v>144</v>
      </c>
      <c r="F163" s="17" t="n">
        <f aca="false">INDEX(pool3!$F:$F,E163+1)</f>
        <v>0.641742051</v>
      </c>
      <c r="G163" s="18" t="n">
        <f aca="false">$B$4*144+A163</f>
        <v>1151</v>
      </c>
      <c r="H163" s="18" t="n">
        <f aca="false">G163+3528+1</f>
        <v>4680</v>
      </c>
      <c r="I163" s="19" t="n">
        <f aca="false">INDEX(weights!$H:$H,H163+1)</f>
        <v>0.0328253992</v>
      </c>
      <c r="J163" s="20" t="n">
        <f aca="false">F163*I163</f>
        <v>0.0210654390075018</v>
      </c>
      <c r="K163" s="21" t="n">
        <f aca="false">K162+J163</f>
        <v>24.2834535243305</v>
      </c>
    </row>
  </sheetData>
  <conditionalFormatting sqref="D5:E14">
    <cfRule type="expression" priority="2" aboveAverage="0" equalAverage="0" bottom="0" percent="0" rank="0" text="" dxfId="1">
      <formula>$D5=$E$15</formula>
    </cfRule>
  </conditionalFormatting>
  <dataValidations count="1">
    <dataValidation allowBlank="false" error="Phải từ 0 đến 9" errorStyle="stop" operator="between" showDropDown="false" showErrorMessage="true" showInputMessage="false" sqref="B4" type="whole">
      <formula1>0</formula1>
      <formula2>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7" min="6" style="0" width="6"/>
    <col collapsed="false" customWidth="true" hidden="false" outlineLevel="0" max="8" min="8" style="0" width="14"/>
  </cols>
  <sheetData>
    <row r="1" customFormat="false" ht="23.85" hidden="false" customHeight="false" outlineLevel="0" collapsed="false">
      <c r="A1" s="9" t="s">
        <v>109</v>
      </c>
      <c r="B1" s="9" t="s">
        <v>110</v>
      </c>
      <c r="C1" s="9" t="s">
        <v>111</v>
      </c>
      <c r="D1" s="9" t="s">
        <v>112</v>
      </c>
      <c r="E1" s="9" t="s">
        <v>113</v>
      </c>
      <c r="F1" s="9" t="s">
        <v>31</v>
      </c>
      <c r="G1" s="9" t="s">
        <v>32</v>
      </c>
      <c r="H1" s="9" t="s">
        <v>114</v>
      </c>
      <c r="J1" s="4" t="s">
        <v>115</v>
      </c>
    </row>
    <row r="2" customFormat="false" ht="15" hidden="false" customHeight="false" outlineLevel="0" collapsed="false">
      <c r="A2" s="3" t="n">
        <v>1</v>
      </c>
      <c r="B2" s="3" t="n">
        <v>0</v>
      </c>
      <c r="C2" s="3" t="s">
        <v>116</v>
      </c>
      <c r="D2" s="3" t="n">
        <v>0</v>
      </c>
      <c r="E2" s="3" t="n">
        <v>0</v>
      </c>
      <c r="F2" s="3" t="n">
        <v>0</v>
      </c>
      <c r="G2" s="3" t="n">
        <v>0</v>
      </c>
      <c r="H2" s="24" t="n">
        <v>0.319135487</v>
      </c>
    </row>
    <row r="3" customFormat="false" ht="15" hidden="false" customHeight="false" outlineLevel="0" collapsed="false">
      <c r="A3" s="3" t="n">
        <v>2</v>
      </c>
      <c r="B3" s="3" t="n">
        <v>1</v>
      </c>
      <c r="C3" s="3" t="s">
        <v>116</v>
      </c>
      <c r="D3" s="3" t="n">
        <v>0</v>
      </c>
      <c r="E3" s="3" t="n">
        <v>0</v>
      </c>
      <c r="F3" s="3" t="n">
        <v>0</v>
      </c>
      <c r="G3" s="3" t="n">
        <v>1</v>
      </c>
      <c r="H3" s="24" t="n">
        <v>0.239743873</v>
      </c>
    </row>
    <row r="4" customFormat="false" ht="15" hidden="false" customHeight="false" outlineLevel="0" collapsed="false">
      <c r="A4" s="3" t="n">
        <v>3</v>
      </c>
      <c r="B4" s="3" t="n">
        <v>2</v>
      </c>
      <c r="C4" s="3" t="s">
        <v>116</v>
      </c>
      <c r="D4" s="3" t="n">
        <v>0</v>
      </c>
      <c r="E4" s="3" t="n">
        <v>0</v>
      </c>
      <c r="F4" s="3" t="n">
        <v>0</v>
      </c>
      <c r="G4" s="3" t="n">
        <v>2</v>
      </c>
      <c r="H4" s="24" t="n">
        <v>-0.360578984</v>
      </c>
    </row>
    <row r="5" customFormat="false" ht="15" hidden="false" customHeight="false" outlineLevel="0" collapsed="false">
      <c r="A5" s="3" t="n">
        <v>4</v>
      </c>
      <c r="B5" s="3" t="n">
        <v>3</v>
      </c>
      <c r="C5" s="3" t="s">
        <v>116</v>
      </c>
      <c r="D5" s="3" t="n">
        <v>0</v>
      </c>
      <c r="E5" s="3" t="n">
        <v>0</v>
      </c>
      <c r="F5" s="3" t="n">
        <v>1</v>
      </c>
      <c r="G5" s="3" t="n">
        <v>0</v>
      </c>
      <c r="H5" s="24" t="n">
        <v>0.329940796</v>
      </c>
    </row>
    <row r="6" customFormat="false" ht="15" hidden="false" customHeight="false" outlineLevel="0" collapsed="false">
      <c r="A6" s="3" t="n">
        <v>5</v>
      </c>
      <c r="B6" s="3" t="n">
        <v>4</v>
      </c>
      <c r="C6" s="3" t="s">
        <v>116</v>
      </c>
      <c r="D6" s="3" t="n">
        <v>0</v>
      </c>
      <c r="E6" s="3" t="n">
        <v>0</v>
      </c>
      <c r="F6" s="3" t="n">
        <v>1</v>
      </c>
      <c r="G6" s="3" t="n">
        <v>1</v>
      </c>
      <c r="H6" s="24" t="n">
        <v>0.225877866</v>
      </c>
    </row>
    <row r="7" customFormat="false" ht="15" hidden="false" customHeight="false" outlineLevel="0" collapsed="false">
      <c r="A7" s="3" t="n">
        <v>6</v>
      </c>
      <c r="B7" s="3" t="n">
        <v>5</v>
      </c>
      <c r="C7" s="3" t="s">
        <v>116</v>
      </c>
      <c r="D7" s="3" t="n">
        <v>0</v>
      </c>
      <c r="E7" s="3" t="n">
        <v>0</v>
      </c>
      <c r="F7" s="3" t="n">
        <v>1</v>
      </c>
      <c r="G7" s="3" t="n">
        <v>2</v>
      </c>
      <c r="H7" s="24" t="n">
        <v>0.361772448</v>
      </c>
    </row>
    <row r="8" customFormat="false" ht="15" hidden="false" customHeight="false" outlineLevel="0" collapsed="false">
      <c r="A8" s="3" t="n">
        <v>7</v>
      </c>
      <c r="B8" s="3" t="n">
        <v>6</v>
      </c>
      <c r="C8" s="3" t="s">
        <v>116</v>
      </c>
      <c r="D8" s="3" t="n">
        <v>0</v>
      </c>
      <c r="E8" s="3" t="n">
        <v>0</v>
      </c>
      <c r="F8" s="3" t="n">
        <v>2</v>
      </c>
      <c r="G8" s="3" t="n">
        <v>0</v>
      </c>
      <c r="H8" s="24" t="n">
        <v>-0.352215707</v>
      </c>
    </row>
    <row r="9" customFormat="false" ht="15" hidden="false" customHeight="false" outlineLevel="0" collapsed="false">
      <c r="A9" s="3" t="n">
        <v>8</v>
      </c>
      <c r="B9" s="3" t="n">
        <v>7</v>
      </c>
      <c r="C9" s="3" t="s">
        <v>116</v>
      </c>
      <c r="D9" s="3" t="n">
        <v>0</v>
      </c>
      <c r="E9" s="3" t="n">
        <v>0</v>
      </c>
      <c r="F9" s="3" t="n">
        <v>2</v>
      </c>
      <c r="G9" s="3" t="n">
        <v>1</v>
      </c>
      <c r="H9" s="24" t="n">
        <v>0.0246641543</v>
      </c>
    </row>
    <row r="10" customFormat="false" ht="15" hidden="false" customHeight="false" outlineLevel="0" collapsed="false">
      <c r="A10" s="3" t="n">
        <v>9</v>
      </c>
      <c r="B10" s="3" t="n">
        <v>8</v>
      </c>
      <c r="C10" s="3" t="s">
        <v>116</v>
      </c>
      <c r="D10" s="3" t="n">
        <v>0</v>
      </c>
      <c r="E10" s="3" t="n">
        <v>0</v>
      </c>
      <c r="F10" s="3" t="n">
        <v>2</v>
      </c>
      <c r="G10" s="3" t="n">
        <v>2</v>
      </c>
      <c r="H10" s="24" t="n">
        <v>0.218657106</v>
      </c>
    </row>
    <row r="11" customFormat="false" ht="15" hidden="false" customHeight="false" outlineLevel="0" collapsed="false">
      <c r="A11" s="3" t="n">
        <v>10</v>
      </c>
      <c r="B11" s="3" t="n">
        <v>9</v>
      </c>
      <c r="C11" s="3" t="s">
        <v>116</v>
      </c>
      <c r="D11" s="3" t="n">
        <v>1</v>
      </c>
      <c r="E11" s="3" t="n">
        <v>0</v>
      </c>
      <c r="F11" s="3" t="n">
        <v>0</v>
      </c>
      <c r="G11" s="3" t="n">
        <v>0</v>
      </c>
      <c r="H11" s="24" t="n">
        <v>-0.343048662</v>
      </c>
    </row>
    <row r="12" customFormat="false" ht="15" hidden="false" customHeight="false" outlineLevel="0" collapsed="false">
      <c r="A12" s="3" t="n">
        <v>11</v>
      </c>
      <c r="B12" s="3" t="n">
        <v>10</v>
      </c>
      <c r="C12" s="3" t="s">
        <v>116</v>
      </c>
      <c r="D12" s="3" t="n">
        <v>1</v>
      </c>
      <c r="E12" s="3" t="n">
        <v>0</v>
      </c>
      <c r="F12" s="3" t="n">
        <v>0</v>
      </c>
      <c r="G12" s="3" t="n">
        <v>1</v>
      </c>
      <c r="H12" s="24" t="n">
        <v>0.178961173</v>
      </c>
    </row>
    <row r="13" customFormat="false" ht="15" hidden="false" customHeight="false" outlineLevel="0" collapsed="false">
      <c r="A13" s="3" t="n">
        <v>12</v>
      </c>
      <c r="B13" s="3" t="n">
        <v>11</v>
      </c>
      <c r="C13" s="3" t="s">
        <v>116</v>
      </c>
      <c r="D13" s="3" t="n">
        <v>1</v>
      </c>
      <c r="E13" s="3" t="n">
        <v>0</v>
      </c>
      <c r="F13" s="3" t="n">
        <v>0</v>
      </c>
      <c r="G13" s="3" t="n">
        <v>2</v>
      </c>
      <c r="H13" s="24" t="n">
        <v>0.176194757</v>
      </c>
    </row>
    <row r="14" customFormat="false" ht="15" hidden="false" customHeight="false" outlineLevel="0" collapsed="false">
      <c r="A14" s="3" t="n">
        <v>13</v>
      </c>
      <c r="B14" s="3" t="n">
        <v>12</v>
      </c>
      <c r="C14" s="3" t="s">
        <v>116</v>
      </c>
      <c r="D14" s="3" t="n">
        <v>1</v>
      </c>
      <c r="E14" s="3" t="n">
        <v>0</v>
      </c>
      <c r="F14" s="3" t="n">
        <v>1</v>
      </c>
      <c r="G14" s="3" t="n">
        <v>0</v>
      </c>
      <c r="H14" s="24" t="n">
        <v>0.253043383</v>
      </c>
    </row>
    <row r="15" customFormat="false" ht="15" hidden="false" customHeight="false" outlineLevel="0" collapsed="false">
      <c r="A15" s="3" t="n">
        <v>14</v>
      </c>
      <c r="B15" s="3" t="n">
        <v>13</v>
      </c>
      <c r="C15" s="3" t="s">
        <v>116</v>
      </c>
      <c r="D15" s="3" t="n">
        <v>1</v>
      </c>
      <c r="E15" s="3" t="n">
        <v>0</v>
      </c>
      <c r="F15" s="3" t="n">
        <v>1</v>
      </c>
      <c r="G15" s="3" t="n">
        <v>1</v>
      </c>
      <c r="H15" s="24" t="n">
        <v>0.2524333</v>
      </c>
    </row>
    <row r="16" customFormat="false" ht="15" hidden="false" customHeight="false" outlineLevel="0" collapsed="false">
      <c r="A16" s="3" t="n">
        <v>15</v>
      </c>
      <c r="B16" s="3" t="n">
        <v>14</v>
      </c>
      <c r="C16" s="3" t="s">
        <v>116</v>
      </c>
      <c r="D16" s="3" t="n">
        <v>1</v>
      </c>
      <c r="E16" s="3" t="n">
        <v>0</v>
      </c>
      <c r="F16" s="3" t="n">
        <v>1</v>
      </c>
      <c r="G16" s="3" t="n">
        <v>2</v>
      </c>
      <c r="H16" s="24" t="n">
        <v>0.379485399</v>
      </c>
    </row>
    <row r="17" customFormat="false" ht="15" hidden="false" customHeight="false" outlineLevel="0" collapsed="false">
      <c r="A17" s="3" t="n">
        <v>16</v>
      </c>
      <c r="B17" s="3" t="n">
        <v>15</v>
      </c>
      <c r="C17" s="3" t="s">
        <v>116</v>
      </c>
      <c r="D17" s="3" t="n">
        <v>1</v>
      </c>
      <c r="E17" s="3" t="n">
        <v>0</v>
      </c>
      <c r="F17" s="3" t="n">
        <v>2</v>
      </c>
      <c r="G17" s="3" t="n">
        <v>0</v>
      </c>
      <c r="H17" s="24" t="n">
        <v>-0.0792203173</v>
      </c>
    </row>
    <row r="18" customFormat="false" ht="15" hidden="false" customHeight="false" outlineLevel="0" collapsed="false">
      <c r="A18" s="3" t="n">
        <v>17</v>
      </c>
      <c r="B18" s="3" t="n">
        <v>16</v>
      </c>
      <c r="C18" s="3" t="s">
        <v>116</v>
      </c>
      <c r="D18" s="3" t="n">
        <v>1</v>
      </c>
      <c r="E18" s="3" t="n">
        <v>0</v>
      </c>
      <c r="F18" s="3" t="n">
        <v>2</v>
      </c>
      <c r="G18" s="3" t="n">
        <v>1</v>
      </c>
      <c r="H18" s="24" t="n">
        <v>0.340429008</v>
      </c>
    </row>
    <row r="19" customFormat="false" ht="15" hidden="false" customHeight="false" outlineLevel="0" collapsed="false">
      <c r="A19" s="3" t="n">
        <v>18</v>
      </c>
      <c r="B19" s="3" t="n">
        <v>17</v>
      </c>
      <c r="C19" s="3" t="s">
        <v>116</v>
      </c>
      <c r="D19" s="3" t="n">
        <v>1</v>
      </c>
      <c r="E19" s="3" t="n">
        <v>0</v>
      </c>
      <c r="F19" s="3" t="n">
        <v>2</v>
      </c>
      <c r="G19" s="3" t="n">
        <v>2</v>
      </c>
      <c r="H19" s="24" t="n">
        <v>0.0952279493</v>
      </c>
    </row>
    <row r="20" customFormat="false" ht="15" hidden="false" customHeight="false" outlineLevel="0" collapsed="false">
      <c r="A20" s="3" t="n">
        <v>19</v>
      </c>
      <c r="B20" s="3" t="n">
        <v>18</v>
      </c>
      <c r="C20" s="3" t="s">
        <v>116</v>
      </c>
      <c r="D20" s="3" t="n">
        <v>2</v>
      </c>
      <c r="E20" s="3" t="n">
        <v>0</v>
      </c>
      <c r="F20" s="3" t="n">
        <v>0</v>
      </c>
      <c r="G20" s="3" t="n">
        <v>0</v>
      </c>
      <c r="H20" s="24" t="n">
        <v>-0.449182987</v>
      </c>
    </row>
    <row r="21" customFormat="false" ht="15" hidden="false" customHeight="false" outlineLevel="0" collapsed="false">
      <c r="A21" s="3" t="n">
        <v>20</v>
      </c>
      <c r="B21" s="3" t="n">
        <v>19</v>
      </c>
      <c r="C21" s="3" t="s">
        <v>116</v>
      </c>
      <c r="D21" s="3" t="n">
        <v>2</v>
      </c>
      <c r="E21" s="3" t="n">
        <v>0</v>
      </c>
      <c r="F21" s="3" t="n">
        <v>0</v>
      </c>
      <c r="G21" s="3" t="n">
        <v>1</v>
      </c>
      <c r="H21" s="24" t="n">
        <v>0.0217422862</v>
      </c>
    </row>
    <row r="22" customFormat="false" ht="15" hidden="false" customHeight="false" outlineLevel="0" collapsed="false">
      <c r="A22" s="3" t="n">
        <v>21</v>
      </c>
      <c r="B22" s="3" t="n">
        <v>20</v>
      </c>
      <c r="C22" s="3" t="s">
        <v>116</v>
      </c>
      <c r="D22" s="3" t="n">
        <v>2</v>
      </c>
      <c r="E22" s="3" t="n">
        <v>0</v>
      </c>
      <c r="F22" s="3" t="n">
        <v>0</v>
      </c>
      <c r="G22" s="3" t="n">
        <v>2</v>
      </c>
      <c r="H22" s="24" t="n">
        <v>0.169919878</v>
      </c>
    </row>
    <row r="23" customFormat="false" ht="15" hidden="false" customHeight="false" outlineLevel="0" collapsed="false">
      <c r="A23" s="3" t="n">
        <v>22</v>
      </c>
      <c r="B23" s="3" t="n">
        <v>21</v>
      </c>
      <c r="C23" s="3" t="s">
        <v>116</v>
      </c>
      <c r="D23" s="3" t="n">
        <v>2</v>
      </c>
      <c r="E23" s="3" t="n">
        <v>0</v>
      </c>
      <c r="F23" s="3" t="n">
        <v>1</v>
      </c>
      <c r="G23" s="3" t="n">
        <v>0</v>
      </c>
      <c r="H23" s="24" t="n">
        <v>-0.618174493</v>
      </c>
    </row>
    <row r="24" customFormat="false" ht="15" hidden="false" customHeight="false" outlineLevel="0" collapsed="false">
      <c r="A24" s="3" t="n">
        <v>23</v>
      </c>
      <c r="B24" s="3" t="n">
        <v>22</v>
      </c>
      <c r="C24" s="3" t="s">
        <v>116</v>
      </c>
      <c r="D24" s="3" t="n">
        <v>2</v>
      </c>
      <c r="E24" s="3" t="n">
        <v>0</v>
      </c>
      <c r="F24" s="3" t="n">
        <v>1</v>
      </c>
      <c r="G24" s="3" t="n">
        <v>1</v>
      </c>
      <c r="H24" s="24" t="n">
        <v>-0.0566004701</v>
      </c>
    </row>
    <row r="25" customFormat="false" ht="15" hidden="false" customHeight="false" outlineLevel="0" collapsed="false">
      <c r="A25" s="3" t="n">
        <v>24</v>
      </c>
      <c r="B25" s="3" t="n">
        <v>23</v>
      </c>
      <c r="C25" s="3" t="s">
        <v>116</v>
      </c>
      <c r="D25" s="3" t="n">
        <v>2</v>
      </c>
      <c r="E25" s="3" t="n">
        <v>0</v>
      </c>
      <c r="F25" s="3" t="n">
        <v>1</v>
      </c>
      <c r="G25" s="3" t="n">
        <v>2</v>
      </c>
      <c r="H25" s="24" t="n">
        <v>0.601365924</v>
      </c>
    </row>
    <row r="26" customFormat="false" ht="15" hidden="false" customHeight="false" outlineLevel="0" collapsed="false">
      <c r="A26" s="3" t="n">
        <v>25</v>
      </c>
      <c r="B26" s="3" t="n">
        <v>24</v>
      </c>
      <c r="C26" s="3" t="s">
        <v>116</v>
      </c>
      <c r="D26" s="3" t="n">
        <v>2</v>
      </c>
      <c r="E26" s="3" t="n">
        <v>0</v>
      </c>
      <c r="F26" s="3" t="n">
        <v>2</v>
      </c>
      <c r="G26" s="3" t="n">
        <v>0</v>
      </c>
      <c r="H26" s="24" t="n">
        <v>-0.495249391</v>
      </c>
    </row>
    <row r="27" customFormat="false" ht="15" hidden="false" customHeight="false" outlineLevel="0" collapsed="false">
      <c r="A27" s="3" t="n">
        <v>26</v>
      </c>
      <c r="B27" s="3" t="n">
        <v>25</v>
      </c>
      <c r="C27" s="3" t="s">
        <v>116</v>
      </c>
      <c r="D27" s="3" t="n">
        <v>2</v>
      </c>
      <c r="E27" s="3" t="n">
        <v>0</v>
      </c>
      <c r="F27" s="3" t="n">
        <v>2</v>
      </c>
      <c r="G27" s="3" t="n">
        <v>1</v>
      </c>
      <c r="H27" s="24" t="n">
        <v>0.268044442</v>
      </c>
    </row>
    <row r="28" customFormat="false" ht="15" hidden="false" customHeight="false" outlineLevel="0" collapsed="false">
      <c r="A28" s="3" t="n">
        <v>27</v>
      </c>
      <c r="B28" s="3" t="n">
        <v>26</v>
      </c>
      <c r="C28" s="3" t="s">
        <v>116</v>
      </c>
      <c r="D28" s="3" t="n">
        <v>2</v>
      </c>
      <c r="E28" s="3" t="n">
        <v>0</v>
      </c>
      <c r="F28" s="3" t="n">
        <v>2</v>
      </c>
      <c r="G28" s="3" t="n">
        <v>2</v>
      </c>
      <c r="H28" s="24" t="n">
        <v>0.32606402</v>
      </c>
    </row>
    <row r="29" customFormat="false" ht="15" hidden="false" customHeight="false" outlineLevel="0" collapsed="false">
      <c r="A29" s="3" t="n">
        <v>28</v>
      </c>
      <c r="B29" s="3" t="n">
        <v>27</v>
      </c>
      <c r="C29" s="3" t="s">
        <v>116</v>
      </c>
      <c r="D29" s="3" t="n">
        <v>3</v>
      </c>
      <c r="E29" s="3" t="n">
        <v>0</v>
      </c>
      <c r="F29" s="3" t="n">
        <v>0</v>
      </c>
      <c r="G29" s="3" t="n">
        <v>0</v>
      </c>
      <c r="H29" s="24" t="n">
        <v>-0.411497623</v>
      </c>
    </row>
    <row r="30" customFormat="false" ht="15" hidden="false" customHeight="false" outlineLevel="0" collapsed="false">
      <c r="A30" s="3" t="n">
        <v>29</v>
      </c>
      <c r="B30" s="3" t="n">
        <v>28</v>
      </c>
      <c r="C30" s="3" t="s">
        <v>116</v>
      </c>
      <c r="D30" s="3" t="n">
        <v>3</v>
      </c>
      <c r="E30" s="3" t="n">
        <v>0</v>
      </c>
      <c r="F30" s="3" t="n">
        <v>0</v>
      </c>
      <c r="G30" s="3" t="n">
        <v>1</v>
      </c>
      <c r="H30" s="24" t="n">
        <v>-0.614811778</v>
      </c>
    </row>
    <row r="31" customFormat="false" ht="15" hidden="false" customHeight="false" outlineLevel="0" collapsed="false">
      <c r="A31" s="3" t="n">
        <v>30</v>
      </c>
      <c r="B31" s="3" t="n">
        <v>29</v>
      </c>
      <c r="C31" s="3" t="s">
        <v>116</v>
      </c>
      <c r="D31" s="3" t="n">
        <v>3</v>
      </c>
      <c r="E31" s="3" t="n">
        <v>0</v>
      </c>
      <c r="F31" s="3" t="n">
        <v>0</v>
      </c>
      <c r="G31" s="3" t="n">
        <v>2</v>
      </c>
      <c r="H31" s="24" t="n">
        <v>-0.793812633</v>
      </c>
    </row>
    <row r="32" customFormat="false" ht="15" hidden="false" customHeight="false" outlineLevel="0" collapsed="false">
      <c r="A32" s="3" t="n">
        <v>31</v>
      </c>
      <c r="B32" s="3" t="n">
        <v>30</v>
      </c>
      <c r="C32" s="3" t="s">
        <v>116</v>
      </c>
      <c r="D32" s="3" t="n">
        <v>3</v>
      </c>
      <c r="E32" s="3" t="n">
        <v>0</v>
      </c>
      <c r="F32" s="3" t="n">
        <v>1</v>
      </c>
      <c r="G32" s="3" t="n">
        <v>0</v>
      </c>
      <c r="H32" s="24" t="n">
        <v>0.481328636</v>
      </c>
    </row>
    <row r="33" customFormat="false" ht="15" hidden="false" customHeight="false" outlineLevel="0" collapsed="false">
      <c r="A33" s="3" t="n">
        <v>32</v>
      </c>
      <c r="B33" s="3" t="n">
        <v>31</v>
      </c>
      <c r="C33" s="3" t="s">
        <v>116</v>
      </c>
      <c r="D33" s="3" t="n">
        <v>3</v>
      </c>
      <c r="E33" s="3" t="n">
        <v>0</v>
      </c>
      <c r="F33" s="3" t="n">
        <v>1</v>
      </c>
      <c r="G33" s="3" t="n">
        <v>1</v>
      </c>
      <c r="H33" s="24" t="n">
        <v>-0.0433465503</v>
      </c>
    </row>
    <row r="34" customFormat="false" ht="15" hidden="false" customHeight="false" outlineLevel="0" collapsed="false">
      <c r="A34" s="3" t="n">
        <v>33</v>
      </c>
      <c r="B34" s="3" t="n">
        <v>32</v>
      </c>
      <c r="C34" s="3" t="s">
        <v>116</v>
      </c>
      <c r="D34" s="3" t="n">
        <v>3</v>
      </c>
      <c r="E34" s="3" t="n">
        <v>0</v>
      </c>
      <c r="F34" s="3" t="n">
        <v>1</v>
      </c>
      <c r="G34" s="3" t="n">
        <v>2</v>
      </c>
      <c r="H34" s="24" t="n">
        <v>0.360746205</v>
      </c>
    </row>
    <row r="35" customFormat="false" ht="15" hidden="false" customHeight="false" outlineLevel="0" collapsed="false">
      <c r="A35" s="3" t="n">
        <v>34</v>
      </c>
      <c r="B35" s="3" t="n">
        <v>33</v>
      </c>
      <c r="C35" s="3" t="s">
        <v>116</v>
      </c>
      <c r="D35" s="3" t="n">
        <v>3</v>
      </c>
      <c r="E35" s="3" t="n">
        <v>0</v>
      </c>
      <c r="F35" s="3" t="n">
        <v>2</v>
      </c>
      <c r="G35" s="3" t="n">
        <v>0</v>
      </c>
      <c r="H35" s="24" t="n">
        <v>0.210586846</v>
      </c>
    </row>
    <row r="36" customFormat="false" ht="15" hidden="false" customHeight="false" outlineLevel="0" collapsed="false">
      <c r="A36" s="3" t="n">
        <v>35</v>
      </c>
      <c r="B36" s="3" t="n">
        <v>34</v>
      </c>
      <c r="C36" s="3" t="s">
        <v>116</v>
      </c>
      <c r="D36" s="3" t="n">
        <v>3</v>
      </c>
      <c r="E36" s="3" t="n">
        <v>0</v>
      </c>
      <c r="F36" s="3" t="n">
        <v>2</v>
      </c>
      <c r="G36" s="3" t="n">
        <v>1</v>
      </c>
      <c r="H36" s="24" t="n">
        <v>0.3149257</v>
      </c>
    </row>
    <row r="37" customFormat="false" ht="15" hidden="false" customHeight="false" outlineLevel="0" collapsed="false">
      <c r="A37" s="3" t="n">
        <v>36</v>
      </c>
      <c r="B37" s="3" t="n">
        <v>35</v>
      </c>
      <c r="C37" s="3" t="s">
        <v>116</v>
      </c>
      <c r="D37" s="3" t="n">
        <v>3</v>
      </c>
      <c r="E37" s="3" t="n">
        <v>0</v>
      </c>
      <c r="F37" s="3" t="n">
        <v>2</v>
      </c>
      <c r="G37" s="3" t="n">
        <v>2</v>
      </c>
      <c r="H37" s="24" t="n">
        <v>0.469018251</v>
      </c>
    </row>
    <row r="38" customFormat="false" ht="15" hidden="false" customHeight="false" outlineLevel="0" collapsed="false">
      <c r="A38" s="3" t="n">
        <v>37</v>
      </c>
      <c r="B38" s="3" t="n">
        <v>36</v>
      </c>
      <c r="C38" s="3" t="s">
        <v>116</v>
      </c>
      <c r="D38" s="3" t="n">
        <v>4</v>
      </c>
      <c r="E38" s="3" t="n">
        <v>0</v>
      </c>
      <c r="F38" s="3" t="n">
        <v>0</v>
      </c>
      <c r="G38" s="3" t="n">
        <v>0</v>
      </c>
      <c r="H38" s="24" t="n">
        <v>0.180732682</v>
      </c>
    </row>
    <row r="39" customFormat="false" ht="15" hidden="false" customHeight="false" outlineLevel="0" collapsed="false">
      <c r="A39" s="3" t="n">
        <v>38</v>
      </c>
      <c r="B39" s="3" t="n">
        <v>37</v>
      </c>
      <c r="C39" s="3" t="s">
        <v>116</v>
      </c>
      <c r="D39" s="3" t="n">
        <v>4</v>
      </c>
      <c r="E39" s="3" t="n">
        <v>0</v>
      </c>
      <c r="F39" s="3" t="n">
        <v>0</v>
      </c>
      <c r="G39" s="3" t="n">
        <v>1</v>
      </c>
      <c r="H39" s="24" t="n">
        <v>0.316543251</v>
      </c>
    </row>
    <row r="40" customFormat="false" ht="15" hidden="false" customHeight="false" outlineLevel="0" collapsed="false">
      <c r="A40" s="3" t="n">
        <v>39</v>
      </c>
      <c r="B40" s="3" t="n">
        <v>38</v>
      </c>
      <c r="C40" s="3" t="s">
        <v>116</v>
      </c>
      <c r="D40" s="3" t="n">
        <v>4</v>
      </c>
      <c r="E40" s="3" t="n">
        <v>0</v>
      </c>
      <c r="F40" s="3" t="n">
        <v>0</v>
      </c>
      <c r="G40" s="3" t="n">
        <v>2</v>
      </c>
      <c r="H40" s="24" t="n">
        <v>0.155953139</v>
      </c>
    </row>
    <row r="41" customFormat="false" ht="15" hidden="false" customHeight="false" outlineLevel="0" collapsed="false">
      <c r="A41" s="3" t="n">
        <v>40</v>
      </c>
      <c r="B41" s="3" t="n">
        <v>39</v>
      </c>
      <c r="C41" s="3" t="s">
        <v>116</v>
      </c>
      <c r="D41" s="3" t="n">
        <v>4</v>
      </c>
      <c r="E41" s="3" t="n">
        <v>0</v>
      </c>
      <c r="F41" s="3" t="n">
        <v>1</v>
      </c>
      <c r="G41" s="3" t="n">
        <v>0</v>
      </c>
      <c r="H41" s="24" t="n">
        <v>-0.304768533</v>
      </c>
    </row>
    <row r="42" customFormat="false" ht="15" hidden="false" customHeight="false" outlineLevel="0" collapsed="false">
      <c r="A42" s="3" t="n">
        <v>41</v>
      </c>
      <c r="B42" s="3" t="n">
        <v>40</v>
      </c>
      <c r="C42" s="3" t="s">
        <v>116</v>
      </c>
      <c r="D42" s="3" t="n">
        <v>4</v>
      </c>
      <c r="E42" s="3" t="n">
        <v>0</v>
      </c>
      <c r="F42" s="3" t="n">
        <v>1</v>
      </c>
      <c r="G42" s="3" t="n">
        <v>1</v>
      </c>
      <c r="H42" s="24" t="n">
        <v>0.0599152856</v>
      </c>
    </row>
    <row r="43" customFormat="false" ht="15" hidden="false" customHeight="false" outlineLevel="0" collapsed="false">
      <c r="A43" s="3" t="n">
        <v>42</v>
      </c>
      <c r="B43" s="3" t="n">
        <v>41</v>
      </c>
      <c r="C43" s="3" t="s">
        <v>116</v>
      </c>
      <c r="D43" s="3" t="n">
        <v>4</v>
      </c>
      <c r="E43" s="3" t="n">
        <v>0</v>
      </c>
      <c r="F43" s="3" t="n">
        <v>1</v>
      </c>
      <c r="G43" s="3" t="n">
        <v>2</v>
      </c>
      <c r="H43" s="24" t="n">
        <v>-0.103812151</v>
      </c>
    </row>
    <row r="44" customFormat="false" ht="15" hidden="false" customHeight="false" outlineLevel="0" collapsed="false">
      <c r="A44" s="3" t="n">
        <v>43</v>
      </c>
      <c r="B44" s="3" t="n">
        <v>42</v>
      </c>
      <c r="C44" s="3" t="s">
        <v>116</v>
      </c>
      <c r="D44" s="3" t="n">
        <v>4</v>
      </c>
      <c r="E44" s="3" t="n">
        <v>0</v>
      </c>
      <c r="F44" s="3" t="n">
        <v>2</v>
      </c>
      <c r="G44" s="3" t="n">
        <v>0</v>
      </c>
      <c r="H44" s="24" t="n">
        <v>0.335514992</v>
      </c>
    </row>
    <row r="45" customFormat="false" ht="15" hidden="false" customHeight="false" outlineLevel="0" collapsed="false">
      <c r="A45" s="3" t="n">
        <v>44</v>
      </c>
      <c r="B45" s="3" t="n">
        <v>43</v>
      </c>
      <c r="C45" s="3" t="s">
        <v>116</v>
      </c>
      <c r="D45" s="3" t="n">
        <v>4</v>
      </c>
      <c r="E45" s="3" t="n">
        <v>0</v>
      </c>
      <c r="F45" s="3" t="n">
        <v>2</v>
      </c>
      <c r="G45" s="3" t="n">
        <v>1</v>
      </c>
      <c r="H45" s="24" t="n">
        <v>0.427698404</v>
      </c>
    </row>
    <row r="46" customFormat="false" ht="15" hidden="false" customHeight="false" outlineLevel="0" collapsed="false">
      <c r="A46" s="3" t="n">
        <v>45</v>
      </c>
      <c r="B46" s="3" t="n">
        <v>44</v>
      </c>
      <c r="C46" s="3" t="s">
        <v>116</v>
      </c>
      <c r="D46" s="3" t="n">
        <v>4</v>
      </c>
      <c r="E46" s="3" t="n">
        <v>0</v>
      </c>
      <c r="F46" s="3" t="n">
        <v>2</v>
      </c>
      <c r="G46" s="3" t="n">
        <v>2</v>
      </c>
      <c r="H46" s="24" t="n">
        <v>0.268661201</v>
      </c>
    </row>
    <row r="47" customFormat="false" ht="15" hidden="false" customHeight="false" outlineLevel="0" collapsed="false">
      <c r="A47" s="3" t="n">
        <v>46</v>
      </c>
      <c r="B47" s="3" t="n">
        <v>45</v>
      </c>
      <c r="C47" s="3" t="s">
        <v>116</v>
      </c>
      <c r="D47" s="3" t="n">
        <v>5</v>
      </c>
      <c r="E47" s="3" t="n">
        <v>0</v>
      </c>
      <c r="F47" s="3" t="n">
        <v>0</v>
      </c>
      <c r="G47" s="3" t="n">
        <v>0</v>
      </c>
      <c r="H47" s="24" t="n">
        <v>0.295485228</v>
      </c>
    </row>
    <row r="48" customFormat="false" ht="15" hidden="false" customHeight="false" outlineLevel="0" collapsed="false">
      <c r="A48" s="3" t="n">
        <v>47</v>
      </c>
      <c r="B48" s="3" t="n">
        <v>46</v>
      </c>
      <c r="C48" s="3" t="s">
        <v>116</v>
      </c>
      <c r="D48" s="3" t="n">
        <v>5</v>
      </c>
      <c r="E48" s="3" t="n">
        <v>0</v>
      </c>
      <c r="F48" s="3" t="n">
        <v>0</v>
      </c>
      <c r="G48" s="3" t="n">
        <v>1</v>
      </c>
      <c r="H48" s="24" t="n">
        <v>0.625813961</v>
      </c>
    </row>
    <row r="49" customFormat="false" ht="15" hidden="false" customHeight="false" outlineLevel="0" collapsed="false">
      <c r="A49" s="3" t="n">
        <v>48</v>
      </c>
      <c r="B49" s="3" t="n">
        <v>47</v>
      </c>
      <c r="C49" s="3" t="s">
        <v>116</v>
      </c>
      <c r="D49" s="3" t="n">
        <v>5</v>
      </c>
      <c r="E49" s="3" t="n">
        <v>0</v>
      </c>
      <c r="F49" s="3" t="n">
        <v>0</v>
      </c>
      <c r="G49" s="3" t="n">
        <v>2</v>
      </c>
      <c r="H49" s="24" t="n">
        <v>0.345324516</v>
      </c>
    </row>
    <row r="50" customFormat="false" ht="15" hidden="false" customHeight="false" outlineLevel="0" collapsed="false">
      <c r="A50" s="3" t="n">
        <v>49</v>
      </c>
      <c r="B50" s="3" t="n">
        <v>48</v>
      </c>
      <c r="C50" s="3" t="s">
        <v>116</v>
      </c>
      <c r="D50" s="3" t="n">
        <v>5</v>
      </c>
      <c r="E50" s="3" t="n">
        <v>0</v>
      </c>
      <c r="F50" s="3" t="n">
        <v>1</v>
      </c>
      <c r="G50" s="3" t="n">
        <v>0</v>
      </c>
      <c r="H50" s="24" t="n">
        <v>0.103994377</v>
      </c>
    </row>
    <row r="51" customFormat="false" ht="15" hidden="false" customHeight="false" outlineLevel="0" collapsed="false">
      <c r="A51" s="3" t="n">
        <v>50</v>
      </c>
      <c r="B51" s="3" t="n">
        <v>49</v>
      </c>
      <c r="C51" s="3" t="s">
        <v>116</v>
      </c>
      <c r="D51" s="3" t="n">
        <v>5</v>
      </c>
      <c r="E51" s="3" t="n">
        <v>0</v>
      </c>
      <c r="F51" s="3" t="n">
        <v>1</v>
      </c>
      <c r="G51" s="3" t="n">
        <v>1</v>
      </c>
      <c r="H51" s="24" t="n">
        <v>-0.169374943</v>
      </c>
    </row>
    <row r="52" customFormat="false" ht="15" hidden="false" customHeight="false" outlineLevel="0" collapsed="false">
      <c r="A52" s="3" t="n">
        <v>51</v>
      </c>
      <c r="B52" s="3" t="n">
        <v>50</v>
      </c>
      <c r="C52" s="3" t="s">
        <v>116</v>
      </c>
      <c r="D52" s="3" t="n">
        <v>5</v>
      </c>
      <c r="E52" s="3" t="n">
        <v>0</v>
      </c>
      <c r="F52" s="3" t="n">
        <v>1</v>
      </c>
      <c r="G52" s="3" t="n">
        <v>2</v>
      </c>
      <c r="H52" s="24" t="n">
        <v>-0.869651794</v>
      </c>
    </row>
    <row r="53" customFormat="false" ht="15" hidden="false" customHeight="false" outlineLevel="0" collapsed="false">
      <c r="A53" s="3" t="n">
        <v>52</v>
      </c>
      <c r="B53" s="3" t="n">
        <v>51</v>
      </c>
      <c r="C53" s="3" t="s">
        <v>116</v>
      </c>
      <c r="D53" s="3" t="n">
        <v>5</v>
      </c>
      <c r="E53" s="3" t="n">
        <v>0</v>
      </c>
      <c r="F53" s="3" t="n">
        <v>2</v>
      </c>
      <c r="G53" s="3" t="n">
        <v>0</v>
      </c>
      <c r="H53" s="24" t="n">
        <v>-0.778536797</v>
      </c>
    </row>
    <row r="54" customFormat="false" ht="15" hidden="false" customHeight="false" outlineLevel="0" collapsed="false">
      <c r="A54" s="3" t="n">
        <v>53</v>
      </c>
      <c r="B54" s="3" t="n">
        <v>52</v>
      </c>
      <c r="C54" s="3" t="s">
        <v>116</v>
      </c>
      <c r="D54" s="3" t="n">
        <v>5</v>
      </c>
      <c r="E54" s="3" t="n">
        <v>0</v>
      </c>
      <c r="F54" s="3" t="n">
        <v>2</v>
      </c>
      <c r="G54" s="3" t="n">
        <v>1</v>
      </c>
      <c r="H54" s="24" t="n">
        <v>-0.665479064</v>
      </c>
    </row>
    <row r="55" customFormat="false" ht="15" hidden="false" customHeight="false" outlineLevel="0" collapsed="false">
      <c r="A55" s="3" t="n">
        <v>54</v>
      </c>
      <c r="B55" s="3" t="n">
        <v>53</v>
      </c>
      <c r="C55" s="3" t="s">
        <v>116</v>
      </c>
      <c r="D55" s="3" t="n">
        <v>5</v>
      </c>
      <c r="E55" s="3" t="n">
        <v>0</v>
      </c>
      <c r="F55" s="3" t="n">
        <v>2</v>
      </c>
      <c r="G55" s="3" t="n">
        <v>2</v>
      </c>
      <c r="H55" s="24" t="n">
        <v>0.39323625</v>
      </c>
    </row>
    <row r="56" customFormat="false" ht="15" hidden="false" customHeight="false" outlineLevel="0" collapsed="false">
      <c r="A56" s="3" t="n">
        <v>55</v>
      </c>
      <c r="B56" s="3" t="n">
        <v>54</v>
      </c>
      <c r="C56" s="3" t="s">
        <v>116</v>
      </c>
      <c r="D56" s="3" t="n">
        <v>6</v>
      </c>
      <c r="E56" s="3" t="n">
        <v>0</v>
      </c>
      <c r="F56" s="3" t="n">
        <v>0</v>
      </c>
      <c r="G56" s="3" t="n">
        <v>0</v>
      </c>
      <c r="H56" s="24" t="n">
        <v>0.0710539669</v>
      </c>
    </row>
    <row r="57" customFormat="false" ht="15" hidden="false" customHeight="false" outlineLevel="0" collapsed="false">
      <c r="A57" s="3" t="n">
        <v>56</v>
      </c>
      <c r="B57" s="3" t="n">
        <v>55</v>
      </c>
      <c r="C57" s="3" t="s">
        <v>116</v>
      </c>
      <c r="D57" s="3" t="n">
        <v>6</v>
      </c>
      <c r="E57" s="3" t="n">
        <v>0</v>
      </c>
      <c r="F57" s="3" t="n">
        <v>0</v>
      </c>
      <c r="G57" s="3" t="n">
        <v>1</v>
      </c>
      <c r="H57" s="24" t="n">
        <v>0.253757268</v>
      </c>
    </row>
    <row r="58" customFormat="false" ht="15" hidden="false" customHeight="false" outlineLevel="0" collapsed="false">
      <c r="A58" s="3" t="n">
        <v>57</v>
      </c>
      <c r="B58" s="3" t="n">
        <v>56</v>
      </c>
      <c r="C58" s="3" t="s">
        <v>116</v>
      </c>
      <c r="D58" s="3" t="n">
        <v>6</v>
      </c>
      <c r="E58" s="3" t="n">
        <v>0</v>
      </c>
      <c r="F58" s="3" t="n">
        <v>0</v>
      </c>
      <c r="G58" s="3" t="n">
        <v>2</v>
      </c>
      <c r="H58" s="24" t="n">
        <v>0.284227937</v>
      </c>
    </row>
    <row r="59" customFormat="false" ht="15" hidden="false" customHeight="false" outlineLevel="0" collapsed="false">
      <c r="A59" s="3" t="n">
        <v>58</v>
      </c>
      <c r="B59" s="3" t="n">
        <v>57</v>
      </c>
      <c r="C59" s="3" t="s">
        <v>116</v>
      </c>
      <c r="D59" s="3" t="n">
        <v>6</v>
      </c>
      <c r="E59" s="3" t="n">
        <v>0</v>
      </c>
      <c r="F59" s="3" t="n">
        <v>1</v>
      </c>
      <c r="G59" s="3" t="n">
        <v>0</v>
      </c>
      <c r="H59" s="24" t="n">
        <v>0.24393788</v>
      </c>
    </row>
    <row r="60" customFormat="false" ht="15" hidden="false" customHeight="false" outlineLevel="0" collapsed="false">
      <c r="A60" s="3" t="n">
        <v>59</v>
      </c>
      <c r="B60" s="3" t="n">
        <v>58</v>
      </c>
      <c r="C60" s="3" t="s">
        <v>116</v>
      </c>
      <c r="D60" s="3" t="n">
        <v>6</v>
      </c>
      <c r="E60" s="3" t="n">
        <v>0</v>
      </c>
      <c r="F60" s="3" t="n">
        <v>1</v>
      </c>
      <c r="G60" s="3" t="n">
        <v>1</v>
      </c>
      <c r="H60" s="24" t="n">
        <v>0.434225798</v>
      </c>
    </row>
    <row r="61" customFormat="false" ht="15" hidden="false" customHeight="false" outlineLevel="0" collapsed="false">
      <c r="A61" s="3" t="n">
        <v>60</v>
      </c>
      <c r="B61" s="3" t="n">
        <v>59</v>
      </c>
      <c r="C61" s="3" t="s">
        <v>116</v>
      </c>
      <c r="D61" s="3" t="n">
        <v>6</v>
      </c>
      <c r="E61" s="3" t="n">
        <v>0</v>
      </c>
      <c r="F61" s="3" t="n">
        <v>1</v>
      </c>
      <c r="G61" s="3" t="n">
        <v>2</v>
      </c>
      <c r="H61" s="24" t="n">
        <v>-0.281030804</v>
      </c>
    </row>
    <row r="62" customFormat="false" ht="15" hidden="false" customHeight="false" outlineLevel="0" collapsed="false">
      <c r="A62" s="3" t="n">
        <v>61</v>
      </c>
      <c r="B62" s="3" t="n">
        <v>60</v>
      </c>
      <c r="C62" s="3" t="s">
        <v>116</v>
      </c>
      <c r="D62" s="3" t="n">
        <v>6</v>
      </c>
      <c r="E62" s="3" t="n">
        <v>0</v>
      </c>
      <c r="F62" s="3" t="n">
        <v>2</v>
      </c>
      <c r="G62" s="3" t="n">
        <v>0</v>
      </c>
      <c r="H62" s="24" t="n">
        <v>0.138277471</v>
      </c>
    </row>
    <row r="63" customFormat="false" ht="15" hidden="false" customHeight="false" outlineLevel="0" collapsed="false">
      <c r="A63" s="3" t="n">
        <v>62</v>
      </c>
      <c r="B63" s="3" t="n">
        <v>61</v>
      </c>
      <c r="C63" s="3" t="s">
        <v>116</v>
      </c>
      <c r="D63" s="3" t="n">
        <v>6</v>
      </c>
      <c r="E63" s="3" t="n">
        <v>0</v>
      </c>
      <c r="F63" s="3" t="n">
        <v>2</v>
      </c>
      <c r="G63" s="3" t="n">
        <v>1</v>
      </c>
      <c r="H63" s="24" t="n">
        <v>-0.23981528</v>
      </c>
    </row>
    <row r="64" customFormat="false" ht="15" hidden="false" customHeight="false" outlineLevel="0" collapsed="false">
      <c r="A64" s="3" t="n">
        <v>63</v>
      </c>
      <c r="B64" s="3" t="n">
        <v>62</v>
      </c>
      <c r="C64" s="3" t="s">
        <v>116</v>
      </c>
      <c r="D64" s="3" t="n">
        <v>6</v>
      </c>
      <c r="E64" s="3" t="n">
        <v>0</v>
      </c>
      <c r="F64" s="3" t="n">
        <v>2</v>
      </c>
      <c r="G64" s="3" t="n">
        <v>2</v>
      </c>
      <c r="H64" s="24" t="n">
        <v>-0.173748568</v>
      </c>
    </row>
    <row r="65" customFormat="false" ht="15" hidden="false" customHeight="false" outlineLevel="0" collapsed="false">
      <c r="A65" s="3" t="n">
        <v>64</v>
      </c>
      <c r="B65" s="3" t="n">
        <v>63</v>
      </c>
      <c r="C65" s="3" t="s">
        <v>116</v>
      </c>
      <c r="D65" s="3" t="n">
        <v>7</v>
      </c>
      <c r="E65" s="3" t="n">
        <v>0</v>
      </c>
      <c r="F65" s="3" t="n">
        <v>0</v>
      </c>
      <c r="G65" s="3" t="n">
        <v>0</v>
      </c>
      <c r="H65" s="24" t="n">
        <v>0.240490362</v>
      </c>
    </row>
    <row r="66" customFormat="false" ht="15" hidden="false" customHeight="false" outlineLevel="0" collapsed="false">
      <c r="A66" s="3" t="n">
        <v>65</v>
      </c>
      <c r="B66" s="3" t="n">
        <v>64</v>
      </c>
      <c r="C66" s="3" t="s">
        <v>116</v>
      </c>
      <c r="D66" s="3" t="n">
        <v>7</v>
      </c>
      <c r="E66" s="3" t="n">
        <v>0</v>
      </c>
      <c r="F66" s="3" t="n">
        <v>0</v>
      </c>
      <c r="G66" s="3" t="n">
        <v>1</v>
      </c>
      <c r="H66" s="24" t="n">
        <v>0.123756096</v>
      </c>
    </row>
    <row r="67" customFormat="false" ht="15" hidden="false" customHeight="false" outlineLevel="0" collapsed="false">
      <c r="A67" s="3" t="n">
        <v>66</v>
      </c>
      <c r="B67" s="3" t="n">
        <v>65</v>
      </c>
      <c r="C67" s="3" t="s">
        <v>116</v>
      </c>
      <c r="D67" s="3" t="n">
        <v>7</v>
      </c>
      <c r="E67" s="3" t="n">
        <v>0</v>
      </c>
      <c r="F67" s="3" t="n">
        <v>0</v>
      </c>
      <c r="G67" s="3" t="n">
        <v>2</v>
      </c>
      <c r="H67" s="24" t="n">
        <v>-0.645564079</v>
      </c>
    </row>
    <row r="68" customFormat="false" ht="15" hidden="false" customHeight="false" outlineLevel="0" collapsed="false">
      <c r="A68" s="3" t="n">
        <v>67</v>
      </c>
      <c r="B68" s="3" t="n">
        <v>66</v>
      </c>
      <c r="C68" s="3" t="s">
        <v>116</v>
      </c>
      <c r="D68" s="3" t="n">
        <v>7</v>
      </c>
      <c r="E68" s="3" t="n">
        <v>0</v>
      </c>
      <c r="F68" s="3" t="n">
        <v>1</v>
      </c>
      <c r="G68" s="3" t="n">
        <v>0</v>
      </c>
      <c r="H68" s="24" t="n">
        <v>0.531221867</v>
      </c>
    </row>
    <row r="69" customFormat="false" ht="15" hidden="false" customHeight="false" outlineLevel="0" collapsed="false">
      <c r="A69" s="3" t="n">
        <v>68</v>
      </c>
      <c r="B69" s="3" t="n">
        <v>67</v>
      </c>
      <c r="C69" s="3" t="s">
        <v>116</v>
      </c>
      <c r="D69" s="3" t="n">
        <v>7</v>
      </c>
      <c r="E69" s="3" t="n">
        <v>0</v>
      </c>
      <c r="F69" s="3" t="n">
        <v>1</v>
      </c>
      <c r="G69" s="3" t="n">
        <v>1</v>
      </c>
      <c r="H69" s="24" t="n">
        <v>-0.0191221554</v>
      </c>
    </row>
    <row r="70" customFormat="false" ht="15" hidden="false" customHeight="false" outlineLevel="0" collapsed="false">
      <c r="A70" s="3" t="n">
        <v>69</v>
      </c>
      <c r="B70" s="3" t="n">
        <v>68</v>
      </c>
      <c r="C70" s="3" t="s">
        <v>116</v>
      </c>
      <c r="D70" s="3" t="n">
        <v>7</v>
      </c>
      <c r="E70" s="3" t="n">
        <v>0</v>
      </c>
      <c r="F70" s="3" t="n">
        <v>1</v>
      </c>
      <c r="G70" s="3" t="n">
        <v>2</v>
      </c>
      <c r="H70" s="24" t="n">
        <v>-0.517460227</v>
      </c>
    </row>
    <row r="71" customFormat="false" ht="15" hidden="false" customHeight="false" outlineLevel="0" collapsed="false">
      <c r="A71" s="3" t="n">
        <v>70</v>
      </c>
      <c r="B71" s="3" t="n">
        <v>69</v>
      </c>
      <c r="C71" s="3" t="s">
        <v>116</v>
      </c>
      <c r="D71" s="3" t="n">
        <v>7</v>
      </c>
      <c r="E71" s="3" t="n">
        <v>0</v>
      </c>
      <c r="F71" s="3" t="n">
        <v>2</v>
      </c>
      <c r="G71" s="3" t="n">
        <v>0</v>
      </c>
      <c r="H71" s="24" t="n">
        <v>-0.0129321776</v>
      </c>
    </row>
    <row r="72" customFormat="false" ht="15" hidden="false" customHeight="false" outlineLevel="0" collapsed="false">
      <c r="A72" s="3" t="n">
        <v>71</v>
      </c>
      <c r="B72" s="3" t="n">
        <v>70</v>
      </c>
      <c r="C72" s="3" t="s">
        <v>116</v>
      </c>
      <c r="D72" s="3" t="n">
        <v>7</v>
      </c>
      <c r="E72" s="3" t="n">
        <v>0</v>
      </c>
      <c r="F72" s="3" t="n">
        <v>2</v>
      </c>
      <c r="G72" s="3" t="n">
        <v>1</v>
      </c>
      <c r="H72" s="24" t="n">
        <v>0.698034227</v>
      </c>
    </row>
    <row r="73" customFormat="false" ht="15" hidden="false" customHeight="false" outlineLevel="0" collapsed="false">
      <c r="A73" s="3" t="n">
        <v>72</v>
      </c>
      <c r="B73" s="3" t="n">
        <v>71</v>
      </c>
      <c r="C73" s="3" t="s">
        <v>116</v>
      </c>
      <c r="D73" s="3" t="n">
        <v>7</v>
      </c>
      <c r="E73" s="3" t="n">
        <v>0</v>
      </c>
      <c r="F73" s="3" t="n">
        <v>2</v>
      </c>
      <c r="G73" s="3" t="n">
        <v>2</v>
      </c>
      <c r="H73" s="24" t="n">
        <v>0.12156906</v>
      </c>
    </row>
    <row r="74" customFormat="false" ht="15" hidden="false" customHeight="false" outlineLevel="0" collapsed="false">
      <c r="A74" s="3" t="n">
        <v>73</v>
      </c>
      <c r="B74" s="3" t="n">
        <v>72</v>
      </c>
      <c r="C74" s="3" t="s">
        <v>117</v>
      </c>
      <c r="D74" s="3" t="n">
        <v>0</v>
      </c>
      <c r="E74" s="3" t="n">
        <v>0</v>
      </c>
      <c r="F74" s="3" t="n">
        <v>0</v>
      </c>
      <c r="G74" s="3" t="n">
        <v>0</v>
      </c>
      <c r="H74" s="24" t="n">
        <v>-0.113264151</v>
      </c>
    </row>
    <row r="75" customFormat="false" ht="15" hidden="false" customHeight="false" outlineLevel="0" collapsed="false">
      <c r="A75" s="3" t="n">
        <v>74</v>
      </c>
      <c r="B75" s="3" t="n">
        <v>73</v>
      </c>
      <c r="C75" s="3" t="s">
        <v>117</v>
      </c>
      <c r="D75" s="3" t="n">
        <v>0</v>
      </c>
      <c r="E75" s="3" t="n">
        <v>0</v>
      </c>
      <c r="F75" s="3" t="n">
        <v>0</v>
      </c>
      <c r="G75" s="3" t="n">
        <v>1</v>
      </c>
      <c r="H75" s="24" t="n">
        <v>-0.287824959</v>
      </c>
    </row>
    <row r="76" customFormat="false" ht="15" hidden="false" customHeight="false" outlineLevel="0" collapsed="false">
      <c r="A76" s="3" t="n">
        <v>75</v>
      </c>
      <c r="B76" s="3" t="n">
        <v>74</v>
      </c>
      <c r="C76" s="3" t="s">
        <v>117</v>
      </c>
      <c r="D76" s="3" t="n">
        <v>0</v>
      </c>
      <c r="E76" s="3" t="n">
        <v>0</v>
      </c>
      <c r="F76" s="3" t="n">
        <v>0</v>
      </c>
      <c r="G76" s="3" t="n">
        <v>2</v>
      </c>
      <c r="H76" s="24" t="n">
        <v>-0.195748761</v>
      </c>
    </row>
    <row r="77" customFormat="false" ht="15" hidden="false" customHeight="false" outlineLevel="0" collapsed="false">
      <c r="A77" s="3" t="n">
        <v>76</v>
      </c>
      <c r="B77" s="3" t="n">
        <v>75</v>
      </c>
      <c r="C77" s="3" t="s">
        <v>117</v>
      </c>
      <c r="D77" s="3" t="n">
        <v>0</v>
      </c>
      <c r="E77" s="3" t="n">
        <v>0</v>
      </c>
      <c r="F77" s="3" t="n">
        <v>1</v>
      </c>
      <c r="G77" s="3" t="n">
        <v>0</v>
      </c>
      <c r="H77" s="24" t="n">
        <v>0.278395504</v>
      </c>
    </row>
    <row r="78" customFormat="false" ht="15" hidden="false" customHeight="false" outlineLevel="0" collapsed="false">
      <c r="A78" s="3" t="n">
        <v>77</v>
      </c>
      <c r="B78" s="3" t="n">
        <v>76</v>
      </c>
      <c r="C78" s="3" t="s">
        <v>117</v>
      </c>
      <c r="D78" s="3" t="n">
        <v>0</v>
      </c>
      <c r="E78" s="3" t="n">
        <v>0</v>
      </c>
      <c r="F78" s="3" t="n">
        <v>1</v>
      </c>
      <c r="G78" s="3" t="n">
        <v>1</v>
      </c>
      <c r="H78" s="24" t="n">
        <v>-0.00809746981</v>
      </c>
    </row>
    <row r="79" customFormat="false" ht="15" hidden="false" customHeight="false" outlineLevel="0" collapsed="false">
      <c r="A79" s="3" t="n">
        <v>78</v>
      </c>
      <c r="B79" s="3" t="n">
        <v>77</v>
      </c>
      <c r="C79" s="3" t="s">
        <v>117</v>
      </c>
      <c r="D79" s="3" t="n">
        <v>0</v>
      </c>
      <c r="E79" s="3" t="n">
        <v>0</v>
      </c>
      <c r="F79" s="3" t="n">
        <v>1</v>
      </c>
      <c r="G79" s="3" t="n">
        <v>2</v>
      </c>
      <c r="H79" s="24" t="n">
        <v>-0.424347907</v>
      </c>
    </row>
    <row r="80" customFormat="false" ht="15" hidden="false" customHeight="false" outlineLevel="0" collapsed="false">
      <c r="A80" s="3" t="n">
        <v>79</v>
      </c>
      <c r="B80" s="3" t="n">
        <v>78</v>
      </c>
      <c r="C80" s="3" t="s">
        <v>117</v>
      </c>
      <c r="D80" s="3" t="n">
        <v>0</v>
      </c>
      <c r="E80" s="3" t="n">
        <v>0</v>
      </c>
      <c r="F80" s="3" t="n">
        <v>2</v>
      </c>
      <c r="G80" s="3" t="n">
        <v>0</v>
      </c>
      <c r="H80" s="24" t="n">
        <v>0.265871823</v>
      </c>
    </row>
    <row r="81" customFormat="false" ht="15" hidden="false" customHeight="false" outlineLevel="0" collapsed="false">
      <c r="A81" s="3" t="n">
        <v>80</v>
      </c>
      <c r="B81" s="3" t="n">
        <v>79</v>
      </c>
      <c r="C81" s="3" t="s">
        <v>117</v>
      </c>
      <c r="D81" s="3" t="n">
        <v>0</v>
      </c>
      <c r="E81" s="3" t="n">
        <v>0</v>
      </c>
      <c r="F81" s="3" t="n">
        <v>2</v>
      </c>
      <c r="G81" s="3" t="n">
        <v>1</v>
      </c>
      <c r="H81" s="24" t="n">
        <v>0.07756567</v>
      </c>
    </row>
    <row r="82" customFormat="false" ht="15" hidden="false" customHeight="false" outlineLevel="0" collapsed="false">
      <c r="A82" s="3" t="n">
        <v>81</v>
      </c>
      <c r="B82" s="3" t="n">
        <v>80</v>
      </c>
      <c r="C82" s="3" t="s">
        <v>117</v>
      </c>
      <c r="D82" s="3" t="n">
        <v>0</v>
      </c>
      <c r="E82" s="3" t="n">
        <v>0</v>
      </c>
      <c r="F82" s="3" t="n">
        <v>2</v>
      </c>
      <c r="G82" s="3" t="n">
        <v>2</v>
      </c>
      <c r="H82" s="24" t="n">
        <v>-0.388229072</v>
      </c>
    </row>
    <row r="83" customFormat="false" ht="15" hidden="false" customHeight="false" outlineLevel="0" collapsed="false">
      <c r="A83" s="3" t="n">
        <v>82</v>
      </c>
      <c r="B83" s="3" t="n">
        <v>81</v>
      </c>
      <c r="C83" s="3" t="s">
        <v>117</v>
      </c>
      <c r="D83" s="3" t="n">
        <v>0</v>
      </c>
      <c r="E83" s="3" t="n">
        <v>1</v>
      </c>
      <c r="F83" s="3" t="n">
        <v>0</v>
      </c>
      <c r="G83" s="3" t="n">
        <v>0</v>
      </c>
      <c r="H83" s="24" t="n">
        <v>-0.176931217</v>
      </c>
    </row>
    <row r="84" customFormat="false" ht="15" hidden="false" customHeight="false" outlineLevel="0" collapsed="false">
      <c r="A84" s="3" t="n">
        <v>83</v>
      </c>
      <c r="B84" s="3" t="n">
        <v>82</v>
      </c>
      <c r="C84" s="3" t="s">
        <v>117</v>
      </c>
      <c r="D84" s="3" t="n">
        <v>0</v>
      </c>
      <c r="E84" s="3" t="n">
        <v>1</v>
      </c>
      <c r="F84" s="3" t="n">
        <v>0</v>
      </c>
      <c r="G84" s="3" t="n">
        <v>1</v>
      </c>
      <c r="H84" s="24" t="n">
        <v>-0.353709996</v>
      </c>
    </row>
    <row r="85" customFormat="false" ht="15" hidden="false" customHeight="false" outlineLevel="0" collapsed="false">
      <c r="A85" s="3" t="n">
        <v>84</v>
      </c>
      <c r="B85" s="3" t="n">
        <v>83</v>
      </c>
      <c r="C85" s="3" t="s">
        <v>117</v>
      </c>
      <c r="D85" s="3" t="n">
        <v>0</v>
      </c>
      <c r="E85" s="3" t="n">
        <v>1</v>
      </c>
      <c r="F85" s="3" t="n">
        <v>0</v>
      </c>
      <c r="G85" s="3" t="n">
        <v>2</v>
      </c>
      <c r="H85" s="24" t="n">
        <v>-0.199571103</v>
      </c>
    </row>
    <row r="86" customFormat="false" ht="15" hidden="false" customHeight="false" outlineLevel="0" collapsed="false">
      <c r="A86" s="3" t="n">
        <v>85</v>
      </c>
      <c r="B86" s="3" t="n">
        <v>84</v>
      </c>
      <c r="C86" s="3" t="s">
        <v>117</v>
      </c>
      <c r="D86" s="3" t="n">
        <v>0</v>
      </c>
      <c r="E86" s="3" t="n">
        <v>1</v>
      </c>
      <c r="F86" s="3" t="n">
        <v>1</v>
      </c>
      <c r="G86" s="3" t="n">
        <v>0</v>
      </c>
      <c r="H86" s="24" t="n">
        <v>0.214225397</v>
      </c>
    </row>
    <row r="87" customFormat="false" ht="15" hidden="false" customHeight="false" outlineLevel="0" collapsed="false">
      <c r="A87" s="3" t="n">
        <v>86</v>
      </c>
      <c r="B87" s="3" t="n">
        <v>85</v>
      </c>
      <c r="C87" s="3" t="s">
        <v>117</v>
      </c>
      <c r="D87" s="3" t="n">
        <v>0</v>
      </c>
      <c r="E87" s="3" t="n">
        <v>1</v>
      </c>
      <c r="F87" s="3" t="n">
        <v>1</v>
      </c>
      <c r="G87" s="3" t="n">
        <v>1</v>
      </c>
      <c r="H87" s="24" t="n">
        <v>0.00532714883</v>
      </c>
    </row>
    <row r="88" customFormat="false" ht="15" hidden="false" customHeight="false" outlineLevel="0" collapsed="false">
      <c r="A88" s="3" t="n">
        <v>87</v>
      </c>
      <c r="B88" s="3" t="n">
        <v>86</v>
      </c>
      <c r="C88" s="3" t="s">
        <v>117</v>
      </c>
      <c r="D88" s="3" t="n">
        <v>0</v>
      </c>
      <c r="E88" s="3" t="n">
        <v>1</v>
      </c>
      <c r="F88" s="3" t="n">
        <v>1</v>
      </c>
      <c r="G88" s="3" t="n">
        <v>2</v>
      </c>
      <c r="H88" s="24" t="n">
        <v>-0.351135105</v>
      </c>
    </row>
    <row r="89" customFormat="false" ht="15" hidden="false" customHeight="false" outlineLevel="0" collapsed="false">
      <c r="A89" s="3" t="n">
        <v>88</v>
      </c>
      <c r="B89" s="3" t="n">
        <v>87</v>
      </c>
      <c r="C89" s="3" t="s">
        <v>117</v>
      </c>
      <c r="D89" s="3" t="n">
        <v>0</v>
      </c>
      <c r="E89" s="3" t="n">
        <v>1</v>
      </c>
      <c r="F89" s="3" t="n">
        <v>2</v>
      </c>
      <c r="G89" s="3" t="n">
        <v>0</v>
      </c>
      <c r="H89" s="24" t="n">
        <v>0.195322618</v>
      </c>
    </row>
    <row r="90" customFormat="false" ht="15" hidden="false" customHeight="false" outlineLevel="0" collapsed="false">
      <c r="A90" s="3" t="n">
        <v>89</v>
      </c>
      <c r="B90" s="3" t="n">
        <v>88</v>
      </c>
      <c r="C90" s="3" t="s">
        <v>117</v>
      </c>
      <c r="D90" s="3" t="n">
        <v>0</v>
      </c>
      <c r="E90" s="3" t="n">
        <v>1</v>
      </c>
      <c r="F90" s="3" t="n">
        <v>2</v>
      </c>
      <c r="G90" s="3" t="n">
        <v>1</v>
      </c>
      <c r="H90" s="24" t="n">
        <v>0.293766111</v>
      </c>
    </row>
    <row r="91" customFormat="false" ht="15" hidden="false" customHeight="false" outlineLevel="0" collapsed="false">
      <c r="A91" s="3" t="n">
        <v>90</v>
      </c>
      <c r="B91" s="3" t="n">
        <v>89</v>
      </c>
      <c r="C91" s="3" t="s">
        <v>117</v>
      </c>
      <c r="D91" s="3" t="n">
        <v>0</v>
      </c>
      <c r="E91" s="3" t="n">
        <v>1</v>
      </c>
      <c r="F91" s="3" t="n">
        <v>2</v>
      </c>
      <c r="G91" s="3" t="n">
        <v>2</v>
      </c>
      <c r="H91" s="24" t="n">
        <v>-0.286596358</v>
      </c>
    </row>
    <row r="92" customFormat="false" ht="15" hidden="false" customHeight="false" outlineLevel="0" collapsed="false">
      <c r="A92" s="3" t="n">
        <v>91</v>
      </c>
      <c r="B92" s="3" t="n">
        <v>90</v>
      </c>
      <c r="C92" s="3" t="s">
        <v>117</v>
      </c>
      <c r="D92" s="3" t="n">
        <v>0</v>
      </c>
      <c r="E92" s="3" t="n">
        <v>2</v>
      </c>
      <c r="F92" s="3" t="n">
        <v>0</v>
      </c>
      <c r="G92" s="3" t="n">
        <v>0</v>
      </c>
      <c r="H92" s="24" t="n">
        <v>-0.566233337</v>
      </c>
    </row>
    <row r="93" customFormat="false" ht="15" hidden="false" customHeight="false" outlineLevel="0" collapsed="false">
      <c r="A93" s="3" t="n">
        <v>92</v>
      </c>
      <c r="B93" s="3" t="n">
        <v>91</v>
      </c>
      <c r="C93" s="3" t="s">
        <v>117</v>
      </c>
      <c r="D93" s="3" t="n">
        <v>0</v>
      </c>
      <c r="E93" s="3" t="n">
        <v>2</v>
      </c>
      <c r="F93" s="3" t="n">
        <v>0</v>
      </c>
      <c r="G93" s="3" t="n">
        <v>1</v>
      </c>
      <c r="H93" s="24" t="n">
        <v>-0.326536387</v>
      </c>
    </row>
    <row r="94" customFormat="false" ht="15" hidden="false" customHeight="false" outlineLevel="0" collapsed="false">
      <c r="A94" s="3" t="n">
        <v>93</v>
      </c>
      <c r="B94" s="3" t="n">
        <v>92</v>
      </c>
      <c r="C94" s="3" t="s">
        <v>117</v>
      </c>
      <c r="D94" s="3" t="n">
        <v>0</v>
      </c>
      <c r="E94" s="3" t="n">
        <v>2</v>
      </c>
      <c r="F94" s="3" t="n">
        <v>0</v>
      </c>
      <c r="G94" s="3" t="n">
        <v>2</v>
      </c>
      <c r="H94" s="24" t="n">
        <v>0.360075563</v>
      </c>
    </row>
    <row r="95" customFormat="false" ht="15" hidden="false" customHeight="false" outlineLevel="0" collapsed="false">
      <c r="A95" s="3" t="n">
        <v>94</v>
      </c>
      <c r="B95" s="3" t="n">
        <v>93</v>
      </c>
      <c r="C95" s="3" t="s">
        <v>117</v>
      </c>
      <c r="D95" s="3" t="n">
        <v>0</v>
      </c>
      <c r="E95" s="3" t="n">
        <v>2</v>
      </c>
      <c r="F95" s="3" t="n">
        <v>1</v>
      </c>
      <c r="G95" s="3" t="n">
        <v>0</v>
      </c>
      <c r="H95" s="24" t="n">
        <v>0.120105125</v>
      </c>
    </row>
    <row r="96" customFormat="false" ht="15" hidden="false" customHeight="false" outlineLevel="0" collapsed="false">
      <c r="A96" s="3" t="n">
        <v>95</v>
      </c>
      <c r="B96" s="3" t="n">
        <v>94</v>
      </c>
      <c r="C96" s="3" t="s">
        <v>117</v>
      </c>
      <c r="D96" s="3" t="n">
        <v>0</v>
      </c>
      <c r="E96" s="3" t="n">
        <v>2</v>
      </c>
      <c r="F96" s="3" t="n">
        <v>1</v>
      </c>
      <c r="G96" s="3" t="n">
        <v>1</v>
      </c>
      <c r="H96" s="24" t="n">
        <v>0.314888865</v>
      </c>
    </row>
    <row r="97" customFormat="false" ht="15" hidden="false" customHeight="false" outlineLevel="0" collapsed="false">
      <c r="A97" s="3" t="n">
        <v>96</v>
      </c>
      <c r="B97" s="3" t="n">
        <v>95</v>
      </c>
      <c r="C97" s="3" t="s">
        <v>117</v>
      </c>
      <c r="D97" s="3" t="n">
        <v>0</v>
      </c>
      <c r="E97" s="3" t="n">
        <v>2</v>
      </c>
      <c r="F97" s="3" t="n">
        <v>1</v>
      </c>
      <c r="G97" s="3" t="n">
        <v>2</v>
      </c>
      <c r="H97" s="24" t="n">
        <v>0.389303476</v>
      </c>
    </row>
    <row r="98" customFormat="false" ht="15" hidden="false" customHeight="false" outlineLevel="0" collapsed="false">
      <c r="A98" s="3" t="n">
        <v>97</v>
      </c>
      <c r="B98" s="3" t="n">
        <v>96</v>
      </c>
      <c r="C98" s="3" t="s">
        <v>117</v>
      </c>
      <c r="D98" s="3" t="n">
        <v>0</v>
      </c>
      <c r="E98" s="3" t="n">
        <v>2</v>
      </c>
      <c r="F98" s="3" t="n">
        <v>2</v>
      </c>
      <c r="G98" s="3" t="n">
        <v>0</v>
      </c>
      <c r="H98" s="24" t="n">
        <v>0.981291056</v>
      </c>
    </row>
    <row r="99" customFormat="false" ht="15" hidden="false" customHeight="false" outlineLevel="0" collapsed="false">
      <c r="A99" s="3" t="n">
        <v>98</v>
      </c>
      <c r="B99" s="3" t="n">
        <v>97</v>
      </c>
      <c r="C99" s="3" t="s">
        <v>117</v>
      </c>
      <c r="D99" s="3" t="n">
        <v>0</v>
      </c>
      <c r="E99" s="3" t="n">
        <v>2</v>
      </c>
      <c r="F99" s="3" t="n">
        <v>2</v>
      </c>
      <c r="G99" s="3" t="n">
        <v>1</v>
      </c>
      <c r="H99" s="24" t="n">
        <v>0.257896483</v>
      </c>
    </row>
    <row r="100" customFormat="false" ht="15" hidden="false" customHeight="false" outlineLevel="0" collapsed="false">
      <c r="A100" s="3" t="n">
        <v>99</v>
      </c>
      <c r="B100" s="3" t="n">
        <v>98</v>
      </c>
      <c r="C100" s="3" t="s">
        <v>117</v>
      </c>
      <c r="D100" s="3" t="n">
        <v>0</v>
      </c>
      <c r="E100" s="3" t="n">
        <v>2</v>
      </c>
      <c r="F100" s="3" t="n">
        <v>2</v>
      </c>
      <c r="G100" s="3" t="n">
        <v>2</v>
      </c>
      <c r="H100" s="24" t="n">
        <v>0.309983402</v>
      </c>
    </row>
    <row r="101" customFormat="false" ht="15" hidden="false" customHeight="false" outlineLevel="0" collapsed="false">
      <c r="A101" s="3" t="n">
        <v>100</v>
      </c>
      <c r="B101" s="3" t="n">
        <v>99</v>
      </c>
      <c r="C101" s="3" t="s">
        <v>117</v>
      </c>
      <c r="D101" s="3" t="n">
        <v>0</v>
      </c>
      <c r="E101" s="3" t="n">
        <v>3</v>
      </c>
      <c r="F101" s="3" t="n">
        <v>0</v>
      </c>
      <c r="G101" s="3" t="n">
        <v>0</v>
      </c>
      <c r="H101" s="24" t="n">
        <v>0.365081161</v>
      </c>
    </row>
    <row r="102" customFormat="false" ht="15" hidden="false" customHeight="false" outlineLevel="0" collapsed="false">
      <c r="A102" s="3" t="n">
        <v>101</v>
      </c>
      <c r="B102" s="3" t="n">
        <v>100</v>
      </c>
      <c r="C102" s="3" t="s">
        <v>117</v>
      </c>
      <c r="D102" s="3" t="n">
        <v>0</v>
      </c>
      <c r="E102" s="3" t="n">
        <v>3</v>
      </c>
      <c r="F102" s="3" t="n">
        <v>0</v>
      </c>
      <c r="G102" s="3" t="n">
        <v>1</v>
      </c>
      <c r="H102" s="24" t="n">
        <v>-0.20106563</v>
      </c>
    </row>
    <row r="103" customFormat="false" ht="15" hidden="false" customHeight="false" outlineLevel="0" collapsed="false">
      <c r="A103" s="3" t="n">
        <v>102</v>
      </c>
      <c r="B103" s="3" t="n">
        <v>101</v>
      </c>
      <c r="C103" s="3" t="s">
        <v>117</v>
      </c>
      <c r="D103" s="3" t="n">
        <v>0</v>
      </c>
      <c r="E103" s="3" t="n">
        <v>3</v>
      </c>
      <c r="F103" s="3" t="n">
        <v>0</v>
      </c>
      <c r="G103" s="3" t="n">
        <v>2</v>
      </c>
      <c r="H103" s="24" t="n">
        <v>-0.214321911</v>
      </c>
    </row>
    <row r="104" customFormat="false" ht="15" hidden="false" customHeight="false" outlineLevel="0" collapsed="false">
      <c r="A104" s="3" t="n">
        <v>103</v>
      </c>
      <c r="B104" s="3" t="n">
        <v>102</v>
      </c>
      <c r="C104" s="3" t="s">
        <v>117</v>
      </c>
      <c r="D104" s="3" t="n">
        <v>0</v>
      </c>
      <c r="E104" s="3" t="n">
        <v>3</v>
      </c>
      <c r="F104" s="3" t="n">
        <v>1</v>
      </c>
      <c r="G104" s="3" t="n">
        <v>0</v>
      </c>
      <c r="H104" s="24" t="n">
        <v>0.185228616</v>
      </c>
    </row>
    <row r="105" customFormat="false" ht="15" hidden="false" customHeight="false" outlineLevel="0" collapsed="false">
      <c r="A105" s="3" t="n">
        <v>104</v>
      </c>
      <c r="B105" s="3" t="n">
        <v>103</v>
      </c>
      <c r="C105" s="3" t="s">
        <v>117</v>
      </c>
      <c r="D105" s="3" t="n">
        <v>0</v>
      </c>
      <c r="E105" s="3" t="n">
        <v>3</v>
      </c>
      <c r="F105" s="3" t="n">
        <v>1</v>
      </c>
      <c r="G105" s="3" t="n">
        <v>1</v>
      </c>
      <c r="H105" s="24" t="n">
        <v>-0.032339178</v>
      </c>
    </row>
    <row r="106" customFormat="false" ht="15" hidden="false" customHeight="false" outlineLevel="0" collapsed="false">
      <c r="A106" s="3" t="n">
        <v>105</v>
      </c>
      <c r="B106" s="3" t="n">
        <v>104</v>
      </c>
      <c r="C106" s="3" t="s">
        <v>117</v>
      </c>
      <c r="D106" s="3" t="n">
        <v>0</v>
      </c>
      <c r="E106" s="3" t="n">
        <v>3</v>
      </c>
      <c r="F106" s="3" t="n">
        <v>1</v>
      </c>
      <c r="G106" s="3" t="n">
        <v>2</v>
      </c>
      <c r="H106" s="24" t="n">
        <v>-0.346137494</v>
      </c>
    </row>
    <row r="107" customFormat="false" ht="15" hidden="false" customHeight="false" outlineLevel="0" collapsed="false">
      <c r="A107" s="3" t="n">
        <v>106</v>
      </c>
      <c r="B107" s="3" t="n">
        <v>105</v>
      </c>
      <c r="C107" s="3" t="s">
        <v>117</v>
      </c>
      <c r="D107" s="3" t="n">
        <v>0</v>
      </c>
      <c r="E107" s="3" t="n">
        <v>3</v>
      </c>
      <c r="F107" s="3" t="n">
        <v>2</v>
      </c>
      <c r="G107" s="3" t="n">
        <v>0</v>
      </c>
      <c r="H107" s="24" t="n">
        <v>-0.0670864061</v>
      </c>
    </row>
    <row r="108" customFormat="false" ht="15" hidden="false" customHeight="false" outlineLevel="0" collapsed="false">
      <c r="A108" s="3" t="n">
        <v>107</v>
      </c>
      <c r="B108" s="3" t="n">
        <v>106</v>
      </c>
      <c r="C108" s="3" t="s">
        <v>117</v>
      </c>
      <c r="D108" s="3" t="n">
        <v>0</v>
      </c>
      <c r="E108" s="3" t="n">
        <v>3</v>
      </c>
      <c r="F108" s="3" t="n">
        <v>2</v>
      </c>
      <c r="G108" s="3" t="n">
        <v>1</v>
      </c>
      <c r="H108" s="24" t="n">
        <v>-0.170618728</v>
      </c>
    </row>
    <row r="109" customFormat="false" ht="15" hidden="false" customHeight="false" outlineLevel="0" collapsed="false">
      <c r="A109" s="3" t="n">
        <v>108</v>
      </c>
      <c r="B109" s="3" t="n">
        <v>107</v>
      </c>
      <c r="C109" s="3" t="s">
        <v>117</v>
      </c>
      <c r="D109" s="3" t="n">
        <v>0</v>
      </c>
      <c r="E109" s="3" t="n">
        <v>3</v>
      </c>
      <c r="F109" s="3" t="n">
        <v>2</v>
      </c>
      <c r="G109" s="3" t="n">
        <v>2</v>
      </c>
      <c r="H109" s="24" t="n">
        <v>-0.197758973</v>
      </c>
    </row>
    <row r="110" customFormat="false" ht="15" hidden="false" customHeight="false" outlineLevel="0" collapsed="false">
      <c r="A110" s="3" t="n">
        <v>109</v>
      </c>
      <c r="B110" s="3" t="n">
        <v>108</v>
      </c>
      <c r="C110" s="3" t="s">
        <v>117</v>
      </c>
      <c r="D110" s="3" t="n">
        <v>0</v>
      </c>
      <c r="E110" s="3" t="n">
        <v>4</v>
      </c>
      <c r="F110" s="3" t="n">
        <v>0</v>
      </c>
      <c r="G110" s="3" t="n">
        <v>0</v>
      </c>
      <c r="H110" s="24" t="n">
        <v>-0.126014143</v>
      </c>
    </row>
    <row r="111" customFormat="false" ht="15" hidden="false" customHeight="false" outlineLevel="0" collapsed="false">
      <c r="A111" s="3" t="n">
        <v>110</v>
      </c>
      <c r="B111" s="3" t="n">
        <v>109</v>
      </c>
      <c r="C111" s="3" t="s">
        <v>117</v>
      </c>
      <c r="D111" s="3" t="n">
        <v>0</v>
      </c>
      <c r="E111" s="3" t="n">
        <v>4</v>
      </c>
      <c r="F111" s="3" t="n">
        <v>0</v>
      </c>
      <c r="G111" s="3" t="n">
        <v>1</v>
      </c>
      <c r="H111" s="24" t="n">
        <v>-0.356363624</v>
      </c>
    </row>
    <row r="112" customFormat="false" ht="15" hidden="false" customHeight="false" outlineLevel="0" collapsed="false">
      <c r="A112" s="3" t="n">
        <v>111</v>
      </c>
      <c r="B112" s="3" t="n">
        <v>110</v>
      </c>
      <c r="C112" s="3" t="s">
        <v>117</v>
      </c>
      <c r="D112" s="3" t="n">
        <v>0</v>
      </c>
      <c r="E112" s="3" t="n">
        <v>4</v>
      </c>
      <c r="F112" s="3" t="n">
        <v>0</v>
      </c>
      <c r="G112" s="3" t="n">
        <v>2</v>
      </c>
      <c r="H112" s="24" t="n">
        <v>-0.282300472</v>
      </c>
    </row>
    <row r="113" customFormat="false" ht="15" hidden="false" customHeight="false" outlineLevel="0" collapsed="false">
      <c r="A113" s="3" t="n">
        <v>112</v>
      </c>
      <c r="B113" s="3" t="n">
        <v>111</v>
      </c>
      <c r="C113" s="3" t="s">
        <v>117</v>
      </c>
      <c r="D113" s="3" t="n">
        <v>0</v>
      </c>
      <c r="E113" s="3" t="n">
        <v>4</v>
      </c>
      <c r="F113" s="3" t="n">
        <v>1</v>
      </c>
      <c r="G113" s="3" t="n">
        <v>0</v>
      </c>
      <c r="H113" s="24" t="n">
        <v>0.0787006095</v>
      </c>
    </row>
    <row r="114" customFormat="false" ht="15" hidden="false" customHeight="false" outlineLevel="0" collapsed="false">
      <c r="A114" s="3" t="n">
        <v>113</v>
      </c>
      <c r="B114" s="3" t="n">
        <v>112</v>
      </c>
      <c r="C114" s="3" t="s">
        <v>117</v>
      </c>
      <c r="D114" s="3" t="n">
        <v>0</v>
      </c>
      <c r="E114" s="3" t="n">
        <v>4</v>
      </c>
      <c r="F114" s="3" t="n">
        <v>1</v>
      </c>
      <c r="G114" s="3" t="n">
        <v>1</v>
      </c>
      <c r="H114" s="24" t="n">
        <v>-0.192670852</v>
      </c>
    </row>
    <row r="115" customFormat="false" ht="15" hidden="false" customHeight="false" outlineLevel="0" collapsed="false">
      <c r="A115" s="3" t="n">
        <v>114</v>
      </c>
      <c r="B115" s="3" t="n">
        <v>113</v>
      </c>
      <c r="C115" s="3" t="s">
        <v>117</v>
      </c>
      <c r="D115" s="3" t="n">
        <v>0</v>
      </c>
      <c r="E115" s="3" t="n">
        <v>4</v>
      </c>
      <c r="F115" s="3" t="n">
        <v>1</v>
      </c>
      <c r="G115" s="3" t="n">
        <v>2</v>
      </c>
      <c r="H115" s="24" t="n">
        <v>-0.68641758</v>
      </c>
    </row>
    <row r="116" customFormat="false" ht="15" hidden="false" customHeight="false" outlineLevel="0" collapsed="false">
      <c r="A116" s="3" t="n">
        <v>115</v>
      </c>
      <c r="B116" s="3" t="n">
        <v>114</v>
      </c>
      <c r="C116" s="3" t="s">
        <v>117</v>
      </c>
      <c r="D116" s="3" t="n">
        <v>0</v>
      </c>
      <c r="E116" s="3" t="n">
        <v>4</v>
      </c>
      <c r="F116" s="3" t="n">
        <v>2</v>
      </c>
      <c r="G116" s="3" t="n">
        <v>0</v>
      </c>
      <c r="H116" s="24" t="n">
        <v>0.358167708</v>
      </c>
    </row>
    <row r="117" customFormat="false" ht="15" hidden="false" customHeight="false" outlineLevel="0" collapsed="false">
      <c r="A117" s="3" t="n">
        <v>116</v>
      </c>
      <c r="B117" s="3" t="n">
        <v>115</v>
      </c>
      <c r="C117" s="3" t="s">
        <v>117</v>
      </c>
      <c r="D117" s="3" t="n">
        <v>0</v>
      </c>
      <c r="E117" s="3" t="n">
        <v>4</v>
      </c>
      <c r="F117" s="3" t="n">
        <v>2</v>
      </c>
      <c r="G117" s="3" t="n">
        <v>1</v>
      </c>
      <c r="H117" s="24" t="n">
        <v>0.211245373</v>
      </c>
    </row>
    <row r="118" customFormat="false" ht="15" hidden="false" customHeight="false" outlineLevel="0" collapsed="false">
      <c r="A118" s="3" t="n">
        <v>117</v>
      </c>
      <c r="B118" s="3" t="n">
        <v>116</v>
      </c>
      <c r="C118" s="3" t="s">
        <v>117</v>
      </c>
      <c r="D118" s="3" t="n">
        <v>0</v>
      </c>
      <c r="E118" s="3" t="n">
        <v>4</v>
      </c>
      <c r="F118" s="3" t="n">
        <v>2</v>
      </c>
      <c r="G118" s="3" t="n">
        <v>2</v>
      </c>
      <c r="H118" s="24" t="n">
        <v>-0.270129293</v>
      </c>
    </row>
    <row r="119" customFormat="false" ht="15" hidden="false" customHeight="false" outlineLevel="0" collapsed="false">
      <c r="A119" s="3" t="n">
        <v>118</v>
      </c>
      <c r="B119" s="3" t="n">
        <v>117</v>
      </c>
      <c r="C119" s="3" t="s">
        <v>117</v>
      </c>
      <c r="D119" s="3" t="n">
        <v>0</v>
      </c>
      <c r="E119" s="3" t="n">
        <v>5</v>
      </c>
      <c r="F119" s="3" t="n">
        <v>0</v>
      </c>
      <c r="G119" s="3" t="n">
        <v>0</v>
      </c>
      <c r="H119" s="24" t="n">
        <v>-0.0932484865</v>
      </c>
    </row>
    <row r="120" customFormat="false" ht="15" hidden="false" customHeight="false" outlineLevel="0" collapsed="false">
      <c r="A120" s="3" t="n">
        <v>119</v>
      </c>
      <c r="B120" s="3" t="n">
        <v>118</v>
      </c>
      <c r="C120" s="3" t="s">
        <v>117</v>
      </c>
      <c r="D120" s="3" t="n">
        <v>0</v>
      </c>
      <c r="E120" s="3" t="n">
        <v>5</v>
      </c>
      <c r="F120" s="3" t="n">
        <v>0</v>
      </c>
      <c r="G120" s="3" t="n">
        <v>1</v>
      </c>
      <c r="H120" s="24" t="n">
        <v>0.130360305</v>
      </c>
    </row>
    <row r="121" customFormat="false" ht="15" hidden="false" customHeight="false" outlineLevel="0" collapsed="false">
      <c r="A121" s="3" t="n">
        <v>120</v>
      </c>
      <c r="B121" s="3" t="n">
        <v>119</v>
      </c>
      <c r="C121" s="3" t="s">
        <v>117</v>
      </c>
      <c r="D121" s="3" t="n">
        <v>0</v>
      </c>
      <c r="E121" s="3" t="n">
        <v>5</v>
      </c>
      <c r="F121" s="3" t="n">
        <v>0</v>
      </c>
      <c r="G121" s="3" t="n">
        <v>2</v>
      </c>
      <c r="H121" s="24" t="n">
        <v>0.0949591175</v>
      </c>
    </row>
    <row r="122" customFormat="false" ht="15" hidden="false" customHeight="false" outlineLevel="0" collapsed="false">
      <c r="A122" s="3" t="n">
        <v>121</v>
      </c>
      <c r="B122" s="3" t="n">
        <v>120</v>
      </c>
      <c r="C122" s="3" t="s">
        <v>117</v>
      </c>
      <c r="D122" s="3" t="n">
        <v>0</v>
      </c>
      <c r="E122" s="3" t="n">
        <v>5</v>
      </c>
      <c r="F122" s="3" t="n">
        <v>1</v>
      </c>
      <c r="G122" s="3" t="n">
        <v>0</v>
      </c>
      <c r="H122" s="24" t="n">
        <v>0.26879409</v>
      </c>
    </row>
    <row r="123" customFormat="false" ht="15" hidden="false" customHeight="false" outlineLevel="0" collapsed="false">
      <c r="A123" s="3" t="n">
        <v>122</v>
      </c>
      <c r="B123" s="3" t="n">
        <v>121</v>
      </c>
      <c r="C123" s="3" t="s">
        <v>117</v>
      </c>
      <c r="D123" s="3" t="n">
        <v>0</v>
      </c>
      <c r="E123" s="3" t="n">
        <v>5</v>
      </c>
      <c r="F123" s="3" t="n">
        <v>1</v>
      </c>
      <c r="G123" s="3" t="n">
        <v>1</v>
      </c>
      <c r="H123" s="24" t="n">
        <v>0.10055574</v>
      </c>
    </row>
    <row r="124" customFormat="false" ht="15" hidden="false" customHeight="false" outlineLevel="0" collapsed="false">
      <c r="A124" s="3" t="n">
        <v>123</v>
      </c>
      <c r="B124" s="3" t="n">
        <v>122</v>
      </c>
      <c r="C124" s="3" t="s">
        <v>117</v>
      </c>
      <c r="D124" s="3" t="n">
        <v>0</v>
      </c>
      <c r="E124" s="3" t="n">
        <v>5</v>
      </c>
      <c r="F124" s="3" t="n">
        <v>1</v>
      </c>
      <c r="G124" s="3" t="n">
        <v>2</v>
      </c>
      <c r="H124" s="24" t="n">
        <v>0.190617546</v>
      </c>
    </row>
    <row r="125" customFormat="false" ht="15" hidden="false" customHeight="false" outlineLevel="0" collapsed="false">
      <c r="A125" s="3" t="n">
        <v>124</v>
      </c>
      <c r="B125" s="3" t="n">
        <v>123</v>
      </c>
      <c r="C125" s="3" t="s">
        <v>117</v>
      </c>
      <c r="D125" s="3" t="n">
        <v>0</v>
      </c>
      <c r="E125" s="3" t="n">
        <v>5</v>
      </c>
      <c r="F125" s="3" t="n">
        <v>2</v>
      </c>
      <c r="G125" s="3" t="n">
        <v>0</v>
      </c>
      <c r="H125" s="24" t="n">
        <v>-0.353525192</v>
      </c>
    </row>
    <row r="126" customFormat="false" ht="15" hidden="false" customHeight="false" outlineLevel="0" collapsed="false">
      <c r="A126" s="3" t="n">
        <v>125</v>
      </c>
      <c r="B126" s="3" t="n">
        <v>124</v>
      </c>
      <c r="C126" s="3" t="s">
        <v>117</v>
      </c>
      <c r="D126" s="3" t="n">
        <v>0</v>
      </c>
      <c r="E126" s="3" t="n">
        <v>5</v>
      </c>
      <c r="F126" s="3" t="n">
        <v>2</v>
      </c>
      <c r="G126" s="3" t="n">
        <v>1</v>
      </c>
      <c r="H126" s="24" t="n">
        <v>-0.375281245</v>
      </c>
    </row>
    <row r="127" customFormat="false" ht="15" hidden="false" customHeight="false" outlineLevel="0" collapsed="false">
      <c r="A127" s="3" t="n">
        <v>126</v>
      </c>
      <c r="B127" s="3" t="n">
        <v>125</v>
      </c>
      <c r="C127" s="3" t="s">
        <v>117</v>
      </c>
      <c r="D127" s="3" t="n">
        <v>0</v>
      </c>
      <c r="E127" s="3" t="n">
        <v>5</v>
      </c>
      <c r="F127" s="3" t="n">
        <v>2</v>
      </c>
      <c r="G127" s="3" t="n">
        <v>2</v>
      </c>
      <c r="H127" s="24" t="n">
        <v>-0.179757804</v>
      </c>
    </row>
    <row r="128" customFormat="false" ht="15" hidden="false" customHeight="false" outlineLevel="0" collapsed="false">
      <c r="A128" s="3" t="n">
        <v>127</v>
      </c>
      <c r="B128" s="3" t="n">
        <v>126</v>
      </c>
      <c r="C128" s="3" t="s">
        <v>117</v>
      </c>
      <c r="D128" s="3" t="n">
        <v>0</v>
      </c>
      <c r="E128" s="3" t="n">
        <v>6</v>
      </c>
      <c r="F128" s="3" t="n">
        <v>0</v>
      </c>
      <c r="G128" s="3" t="n">
        <v>0</v>
      </c>
      <c r="H128" s="24" t="n">
        <v>-0.27891022</v>
      </c>
    </row>
    <row r="129" customFormat="false" ht="15" hidden="false" customHeight="false" outlineLevel="0" collapsed="false">
      <c r="A129" s="3" t="n">
        <v>128</v>
      </c>
      <c r="B129" s="3" t="n">
        <v>127</v>
      </c>
      <c r="C129" s="3" t="s">
        <v>117</v>
      </c>
      <c r="D129" s="3" t="n">
        <v>0</v>
      </c>
      <c r="E129" s="3" t="n">
        <v>6</v>
      </c>
      <c r="F129" s="3" t="n">
        <v>0</v>
      </c>
      <c r="G129" s="3" t="n">
        <v>1</v>
      </c>
      <c r="H129" s="24" t="n">
        <v>-0.345504761</v>
      </c>
    </row>
    <row r="130" customFormat="false" ht="15" hidden="false" customHeight="false" outlineLevel="0" collapsed="false">
      <c r="A130" s="3" t="n">
        <v>129</v>
      </c>
      <c r="B130" s="3" t="n">
        <v>128</v>
      </c>
      <c r="C130" s="3" t="s">
        <v>117</v>
      </c>
      <c r="D130" s="3" t="n">
        <v>0</v>
      </c>
      <c r="E130" s="3" t="n">
        <v>6</v>
      </c>
      <c r="F130" s="3" t="n">
        <v>0</v>
      </c>
      <c r="G130" s="3" t="n">
        <v>2</v>
      </c>
      <c r="H130" s="24" t="n">
        <v>-0.26524961</v>
      </c>
    </row>
    <row r="131" customFormat="false" ht="15" hidden="false" customHeight="false" outlineLevel="0" collapsed="false">
      <c r="A131" s="3" t="n">
        <v>130</v>
      </c>
      <c r="B131" s="3" t="n">
        <v>129</v>
      </c>
      <c r="C131" s="3" t="s">
        <v>117</v>
      </c>
      <c r="D131" s="3" t="n">
        <v>0</v>
      </c>
      <c r="E131" s="3" t="n">
        <v>6</v>
      </c>
      <c r="F131" s="3" t="n">
        <v>1</v>
      </c>
      <c r="G131" s="3" t="n">
        <v>0</v>
      </c>
      <c r="H131" s="24" t="n">
        <v>-0.00568675948</v>
      </c>
    </row>
    <row r="132" customFormat="false" ht="15" hidden="false" customHeight="false" outlineLevel="0" collapsed="false">
      <c r="A132" s="3" t="n">
        <v>131</v>
      </c>
      <c r="B132" s="3" t="n">
        <v>130</v>
      </c>
      <c r="C132" s="3" t="s">
        <v>117</v>
      </c>
      <c r="D132" s="3" t="n">
        <v>0</v>
      </c>
      <c r="E132" s="3" t="n">
        <v>6</v>
      </c>
      <c r="F132" s="3" t="n">
        <v>1</v>
      </c>
      <c r="G132" s="3" t="n">
        <v>1</v>
      </c>
      <c r="H132" s="24" t="n">
        <v>0.0694431886</v>
      </c>
    </row>
    <row r="133" customFormat="false" ht="15" hidden="false" customHeight="false" outlineLevel="0" collapsed="false">
      <c r="A133" s="3" t="n">
        <v>132</v>
      </c>
      <c r="B133" s="3" t="n">
        <v>131</v>
      </c>
      <c r="C133" s="3" t="s">
        <v>117</v>
      </c>
      <c r="D133" s="3" t="n">
        <v>0</v>
      </c>
      <c r="E133" s="3" t="n">
        <v>6</v>
      </c>
      <c r="F133" s="3" t="n">
        <v>1</v>
      </c>
      <c r="G133" s="3" t="n">
        <v>2</v>
      </c>
      <c r="H133" s="24" t="n">
        <v>-0.441542208</v>
      </c>
    </row>
    <row r="134" customFormat="false" ht="15" hidden="false" customHeight="false" outlineLevel="0" collapsed="false">
      <c r="A134" s="3" t="n">
        <v>133</v>
      </c>
      <c r="B134" s="3" t="n">
        <v>132</v>
      </c>
      <c r="C134" s="3" t="s">
        <v>117</v>
      </c>
      <c r="D134" s="3" t="n">
        <v>0</v>
      </c>
      <c r="E134" s="3" t="n">
        <v>6</v>
      </c>
      <c r="F134" s="3" t="n">
        <v>2</v>
      </c>
      <c r="G134" s="3" t="n">
        <v>0</v>
      </c>
      <c r="H134" s="24" t="n">
        <v>0.128743455</v>
      </c>
    </row>
    <row r="135" customFormat="false" ht="15" hidden="false" customHeight="false" outlineLevel="0" collapsed="false">
      <c r="A135" s="3" t="n">
        <v>134</v>
      </c>
      <c r="B135" s="3" t="n">
        <v>133</v>
      </c>
      <c r="C135" s="3" t="s">
        <v>117</v>
      </c>
      <c r="D135" s="3" t="n">
        <v>0</v>
      </c>
      <c r="E135" s="3" t="n">
        <v>6</v>
      </c>
      <c r="F135" s="3" t="n">
        <v>2</v>
      </c>
      <c r="G135" s="3" t="n">
        <v>1</v>
      </c>
      <c r="H135" s="24" t="n">
        <v>0.0136744007</v>
      </c>
    </row>
    <row r="136" customFormat="false" ht="15" hidden="false" customHeight="false" outlineLevel="0" collapsed="false">
      <c r="A136" s="3" t="n">
        <v>135</v>
      </c>
      <c r="B136" s="3" t="n">
        <v>134</v>
      </c>
      <c r="C136" s="3" t="s">
        <v>117</v>
      </c>
      <c r="D136" s="3" t="n">
        <v>0</v>
      </c>
      <c r="E136" s="3" t="n">
        <v>6</v>
      </c>
      <c r="F136" s="3" t="n">
        <v>2</v>
      </c>
      <c r="G136" s="3" t="n">
        <v>2</v>
      </c>
      <c r="H136" s="24" t="n">
        <v>-0.438741952</v>
      </c>
    </row>
    <row r="137" customFormat="false" ht="15" hidden="false" customHeight="false" outlineLevel="0" collapsed="false">
      <c r="A137" s="3" t="n">
        <v>136</v>
      </c>
      <c r="B137" s="3" t="n">
        <v>135</v>
      </c>
      <c r="C137" s="3" t="s">
        <v>117</v>
      </c>
      <c r="D137" s="3" t="n">
        <v>0</v>
      </c>
      <c r="E137" s="3" t="n">
        <v>7</v>
      </c>
      <c r="F137" s="3" t="n">
        <v>0</v>
      </c>
      <c r="G137" s="3" t="n">
        <v>0</v>
      </c>
      <c r="H137" s="24" t="n">
        <v>0.107527196</v>
      </c>
    </row>
    <row r="138" customFormat="false" ht="15" hidden="false" customHeight="false" outlineLevel="0" collapsed="false">
      <c r="A138" s="3" t="n">
        <v>137</v>
      </c>
      <c r="B138" s="3" t="n">
        <v>136</v>
      </c>
      <c r="C138" s="3" t="s">
        <v>117</v>
      </c>
      <c r="D138" s="3" t="n">
        <v>0</v>
      </c>
      <c r="E138" s="3" t="n">
        <v>7</v>
      </c>
      <c r="F138" s="3" t="n">
        <v>0</v>
      </c>
      <c r="G138" s="3" t="n">
        <v>1</v>
      </c>
      <c r="H138" s="24" t="n">
        <v>-0.136721641</v>
      </c>
    </row>
    <row r="139" customFormat="false" ht="15" hidden="false" customHeight="false" outlineLevel="0" collapsed="false">
      <c r="A139" s="3" t="n">
        <v>138</v>
      </c>
      <c r="B139" s="3" t="n">
        <v>137</v>
      </c>
      <c r="C139" s="3" t="s">
        <v>117</v>
      </c>
      <c r="D139" s="3" t="n">
        <v>0</v>
      </c>
      <c r="E139" s="3" t="n">
        <v>7</v>
      </c>
      <c r="F139" s="3" t="n">
        <v>0</v>
      </c>
      <c r="G139" s="3" t="n">
        <v>2</v>
      </c>
      <c r="H139" s="24" t="n">
        <v>-0.617690861</v>
      </c>
    </row>
    <row r="140" customFormat="false" ht="15" hidden="false" customHeight="false" outlineLevel="0" collapsed="false">
      <c r="A140" s="3" t="n">
        <v>139</v>
      </c>
      <c r="B140" s="3" t="n">
        <v>138</v>
      </c>
      <c r="C140" s="3" t="s">
        <v>117</v>
      </c>
      <c r="D140" s="3" t="n">
        <v>0</v>
      </c>
      <c r="E140" s="3" t="n">
        <v>7</v>
      </c>
      <c r="F140" s="3" t="n">
        <v>1</v>
      </c>
      <c r="G140" s="3" t="n">
        <v>0</v>
      </c>
      <c r="H140" s="24" t="n">
        <v>0.242488161</v>
      </c>
    </row>
    <row r="141" customFormat="false" ht="15" hidden="false" customHeight="false" outlineLevel="0" collapsed="false">
      <c r="A141" s="3" t="n">
        <v>140</v>
      </c>
      <c r="B141" s="3" t="n">
        <v>139</v>
      </c>
      <c r="C141" s="3" t="s">
        <v>117</v>
      </c>
      <c r="D141" s="3" t="n">
        <v>0</v>
      </c>
      <c r="E141" s="3" t="n">
        <v>7</v>
      </c>
      <c r="F141" s="3" t="n">
        <v>1</v>
      </c>
      <c r="G141" s="3" t="n">
        <v>1</v>
      </c>
      <c r="H141" s="24" t="n">
        <v>0.221610039</v>
      </c>
    </row>
    <row r="142" customFormat="false" ht="15" hidden="false" customHeight="false" outlineLevel="0" collapsed="false">
      <c r="A142" s="3" t="n">
        <v>141</v>
      </c>
      <c r="B142" s="3" t="n">
        <v>140</v>
      </c>
      <c r="C142" s="3" t="s">
        <v>117</v>
      </c>
      <c r="D142" s="3" t="n">
        <v>0</v>
      </c>
      <c r="E142" s="3" t="n">
        <v>7</v>
      </c>
      <c r="F142" s="3" t="n">
        <v>1</v>
      </c>
      <c r="G142" s="3" t="n">
        <v>2</v>
      </c>
      <c r="H142" s="24" t="n">
        <v>-0.268065274</v>
      </c>
    </row>
    <row r="143" customFormat="false" ht="15" hidden="false" customHeight="false" outlineLevel="0" collapsed="false">
      <c r="A143" s="3" t="n">
        <v>142</v>
      </c>
      <c r="B143" s="3" t="n">
        <v>141</v>
      </c>
      <c r="C143" s="3" t="s">
        <v>117</v>
      </c>
      <c r="D143" s="3" t="n">
        <v>0</v>
      </c>
      <c r="E143" s="3" t="n">
        <v>7</v>
      </c>
      <c r="F143" s="3" t="n">
        <v>2</v>
      </c>
      <c r="G143" s="3" t="n">
        <v>0</v>
      </c>
      <c r="H143" s="24" t="n">
        <v>0.0244597457</v>
      </c>
    </row>
    <row r="144" customFormat="false" ht="15" hidden="false" customHeight="false" outlineLevel="0" collapsed="false">
      <c r="A144" s="3" t="n">
        <v>143</v>
      </c>
      <c r="B144" s="3" t="n">
        <v>142</v>
      </c>
      <c r="C144" s="3" t="s">
        <v>117</v>
      </c>
      <c r="D144" s="3" t="n">
        <v>0</v>
      </c>
      <c r="E144" s="3" t="n">
        <v>7</v>
      </c>
      <c r="F144" s="3" t="n">
        <v>2</v>
      </c>
      <c r="G144" s="3" t="n">
        <v>1</v>
      </c>
      <c r="H144" s="24" t="n">
        <v>0.350814193</v>
      </c>
    </row>
    <row r="145" customFormat="false" ht="15" hidden="false" customHeight="false" outlineLevel="0" collapsed="false">
      <c r="A145" s="3" t="n">
        <v>144</v>
      </c>
      <c r="B145" s="3" t="n">
        <v>143</v>
      </c>
      <c r="C145" s="3" t="s">
        <v>117</v>
      </c>
      <c r="D145" s="3" t="n">
        <v>0</v>
      </c>
      <c r="E145" s="3" t="n">
        <v>7</v>
      </c>
      <c r="F145" s="3" t="n">
        <v>2</v>
      </c>
      <c r="G145" s="3" t="n">
        <v>2</v>
      </c>
      <c r="H145" s="24" t="n">
        <v>-0.27065298</v>
      </c>
    </row>
    <row r="146" customFormat="false" ht="15" hidden="false" customHeight="false" outlineLevel="0" collapsed="false">
      <c r="A146" s="3" t="n">
        <v>145</v>
      </c>
      <c r="B146" s="3" t="n">
        <v>144</v>
      </c>
      <c r="C146" s="3" t="s">
        <v>117</v>
      </c>
      <c r="D146" s="3" t="n">
        <v>1</v>
      </c>
      <c r="E146" s="3" t="n">
        <v>0</v>
      </c>
      <c r="F146" s="3" t="n">
        <v>0</v>
      </c>
      <c r="G146" s="3" t="n">
        <v>0</v>
      </c>
      <c r="H146" s="24" t="n">
        <v>-0.247619987</v>
      </c>
    </row>
    <row r="147" customFormat="false" ht="15" hidden="false" customHeight="false" outlineLevel="0" collapsed="false">
      <c r="A147" s="3" t="n">
        <v>146</v>
      </c>
      <c r="B147" s="3" t="n">
        <v>145</v>
      </c>
      <c r="C147" s="3" t="s">
        <v>117</v>
      </c>
      <c r="D147" s="3" t="n">
        <v>1</v>
      </c>
      <c r="E147" s="3" t="n">
        <v>0</v>
      </c>
      <c r="F147" s="3" t="n">
        <v>0</v>
      </c>
      <c r="G147" s="3" t="n">
        <v>1</v>
      </c>
      <c r="H147" s="24" t="n">
        <v>-0.17838642</v>
      </c>
    </row>
    <row r="148" customFormat="false" ht="15" hidden="false" customHeight="false" outlineLevel="0" collapsed="false">
      <c r="A148" s="3" t="n">
        <v>147</v>
      </c>
      <c r="B148" s="3" t="n">
        <v>146</v>
      </c>
      <c r="C148" s="3" t="s">
        <v>117</v>
      </c>
      <c r="D148" s="3" t="n">
        <v>1</v>
      </c>
      <c r="E148" s="3" t="n">
        <v>0</v>
      </c>
      <c r="F148" s="3" t="n">
        <v>0</v>
      </c>
      <c r="G148" s="3" t="n">
        <v>2</v>
      </c>
      <c r="H148" s="24" t="n">
        <v>0.0337203331</v>
      </c>
    </row>
    <row r="149" customFormat="false" ht="15" hidden="false" customHeight="false" outlineLevel="0" collapsed="false">
      <c r="A149" s="3" t="n">
        <v>148</v>
      </c>
      <c r="B149" s="3" t="n">
        <v>147</v>
      </c>
      <c r="C149" s="3" t="s">
        <v>117</v>
      </c>
      <c r="D149" s="3" t="n">
        <v>1</v>
      </c>
      <c r="E149" s="3" t="n">
        <v>0</v>
      </c>
      <c r="F149" s="3" t="n">
        <v>1</v>
      </c>
      <c r="G149" s="3" t="n">
        <v>0</v>
      </c>
      <c r="H149" s="24" t="n">
        <v>-0.0920918062</v>
      </c>
    </row>
    <row r="150" customFormat="false" ht="15" hidden="false" customHeight="false" outlineLevel="0" collapsed="false">
      <c r="A150" s="3" t="n">
        <v>149</v>
      </c>
      <c r="B150" s="3" t="n">
        <v>148</v>
      </c>
      <c r="C150" s="3" t="s">
        <v>117</v>
      </c>
      <c r="D150" s="3" t="n">
        <v>1</v>
      </c>
      <c r="E150" s="3" t="n">
        <v>0</v>
      </c>
      <c r="F150" s="3" t="n">
        <v>1</v>
      </c>
      <c r="G150" s="3" t="n">
        <v>1</v>
      </c>
      <c r="H150" s="24" t="n">
        <v>0.161049962</v>
      </c>
    </row>
    <row r="151" customFormat="false" ht="15" hidden="false" customHeight="false" outlineLevel="0" collapsed="false">
      <c r="A151" s="3" t="n">
        <v>150</v>
      </c>
      <c r="B151" s="3" t="n">
        <v>149</v>
      </c>
      <c r="C151" s="3" t="s">
        <v>117</v>
      </c>
      <c r="D151" s="3" t="n">
        <v>1</v>
      </c>
      <c r="E151" s="3" t="n">
        <v>0</v>
      </c>
      <c r="F151" s="3" t="n">
        <v>1</v>
      </c>
      <c r="G151" s="3" t="n">
        <v>2</v>
      </c>
      <c r="H151" s="24" t="n">
        <v>0.0274007898</v>
      </c>
    </row>
    <row r="152" customFormat="false" ht="15" hidden="false" customHeight="false" outlineLevel="0" collapsed="false">
      <c r="A152" s="3" t="n">
        <v>151</v>
      </c>
      <c r="B152" s="3" t="n">
        <v>150</v>
      </c>
      <c r="C152" s="3" t="s">
        <v>117</v>
      </c>
      <c r="D152" s="3" t="n">
        <v>1</v>
      </c>
      <c r="E152" s="3" t="n">
        <v>0</v>
      </c>
      <c r="F152" s="3" t="n">
        <v>2</v>
      </c>
      <c r="G152" s="3" t="n">
        <v>0</v>
      </c>
      <c r="H152" s="24" t="n">
        <v>0.07646285</v>
      </c>
    </row>
    <row r="153" customFormat="false" ht="15" hidden="false" customHeight="false" outlineLevel="0" collapsed="false">
      <c r="A153" s="3" t="n">
        <v>152</v>
      </c>
      <c r="B153" s="3" t="n">
        <v>151</v>
      </c>
      <c r="C153" s="3" t="s">
        <v>117</v>
      </c>
      <c r="D153" s="3" t="n">
        <v>1</v>
      </c>
      <c r="E153" s="3" t="n">
        <v>0</v>
      </c>
      <c r="F153" s="3" t="n">
        <v>2</v>
      </c>
      <c r="G153" s="3" t="n">
        <v>1</v>
      </c>
      <c r="H153" s="24" t="n">
        <v>0.11007937</v>
      </c>
    </row>
    <row r="154" customFormat="false" ht="15" hidden="false" customHeight="false" outlineLevel="0" collapsed="false">
      <c r="A154" s="3" t="n">
        <v>153</v>
      </c>
      <c r="B154" s="3" t="n">
        <v>152</v>
      </c>
      <c r="C154" s="3" t="s">
        <v>117</v>
      </c>
      <c r="D154" s="3" t="n">
        <v>1</v>
      </c>
      <c r="E154" s="3" t="n">
        <v>0</v>
      </c>
      <c r="F154" s="3" t="n">
        <v>2</v>
      </c>
      <c r="G154" s="3" t="n">
        <v>2</v>
      </c>
      <c r="H154" s="24" t="n">
        <v>0.146331057</v>
      </c>
    </row>
    <row r="155" customFormat="false" ht="15" hidden="false" customHeight="false" outlineLevel="0" collapsed="false">
      <c r="A155" s="3" t="n">
        <v>154</v>
      </c>
      <c r="B155" s="3" t="n">
        <v>153</v>
      </c>
      <c r="C155" s="3" t="s">
        <v>117</v>
      </c>
      <c r="D155" s="3" t="n">
        <v>1</v>
      </c>
      <c r="E155" s="3" t="n">
        <v>1</v>
      </c>
      <c r="F155" s="3" t="n">
        <v>0</v>
      </c>
      <c r="G155" s="3" t="n">
        <v>0</v>
      </c>
      <c r="H155" s="24" t="n">
        <v>-0.15025343</v>
      </c>
    </row>
    <row r="156" customFormat="false" ht="15" hidden="false" customHeight="false" outlineLevel="0" collapsed="false">
      <c r="A156" s="3" t="n">
        <v>155</v>
      </c>
      <c r="B156" s="3" t="n">
        <v>154</v>
      </c>
      <c r="C156" s="3" t="s">
        <v>117</v>
      </c>
      <c r="D156" s="3" t="n">
        <v>1</v>
      </c>
      <c r="E156" s="3" t="n">
        <v>1</v>
      </c>
      <c r="F156" s="3" t="n">
        <v>0</v>
      </c>
      <c r="G156" s="3" t="n">
        <v>1</v>
      </c>
      <c r="H156" s="24" t="n">
        <v>-0.0335158333</v>
      </c>
    </row>
    <row r="157" customFormat="false" ht="15" hidden="false" customHeight="false" outlineLevel="0" collapsed="false">
      <c r="A157" s="3" t="n">
        <v>156</v>
      </c>
      <c r="B157" s="3" t="n">
        <v>155</v>
      </c>
      <c r="C157" s="3" t="s">
        <v>117</v>
      </c>
      <c r="D157" s="3" t="n">
        <v>1</v>
      </c>
      <c r="E157" s="3" t="n">
        <v>1</v>
      </c>
      <c r="F157" s="3" t="n">
        <v>0</v>
      </c>
      <c r="G157" s="3" t="n">
        <v>2</v>
      </c>
      <c r="H157" s="24" t="n">
        <v>-0.0421686545</v>
      </c>
    </row>
    <row r="158" customFormat="false" ht="15" hidden="false" customHeight="false" outlineLevel="0" collapsed="false">
      <c r="A158" s="3" t="n">
        <v>157</v>
      </c>
      <c r="B158" s="3" t="n">
        <v>156</v>
      </c>
      <c r="C158" s="3" t="s">
        <v>117</v>
      </c>
      <c r="D158" s="3" t="n">
        <v>1</v>
      </c>
      <c r="E158" s="3" t="n">
        <v>1</v>
      </c>
      <c r="F158" s="3" t="n">
        <v>1</v>
      </c>
      <c r="G158" s="3" t="n">
        <v>0</v>
      </c>
      <c r="H158" s="24" t="n">
        <v>0.00313012488</v>
      </c>
    </row>
    <row r="159" customFormat="false" ht="15" hidden="false" customHeight="false" outlineLevel="0" collapsed="false">
      <c r="A159" s="3" t="n">
        <v>158</v>
      </c>
      <c r="B159" s="3" t="n">
        <v>157</v>
      </c>
      <c r="C159" s="3" t="s">
        <v>117</v>
      </c>
      <c r="D159" s="3" t="n">
        <v>1</v>
      </c>
      <c r="E159" s="3" t="n">
        <v>1</v>
      </c>
      <c r="F159" s="3" t="n">
        <v>1</v>
      </c>
      <c r="G159" s="3" t="n">
        <v>1</v>
      </c>
      <c r="H159" s="24" t="n">
        <v>0.090455167</v>
      </c>
    </row>
    <row r="160" customFormat="false" ht="15" hidden="false" customHeight="false" outlineLevel="0" collapsed="false">
      <c r="A160" s="3" t="n">
        <v>159</v>
      </c>
      <c r="B160" s="3" t="n">
        <v>158</v>
      </c>
      <c r="C160" s="3" t="s">
        <v>117</v>
      </c>
      <c r="D160" s="3" t="n">
        <v>1</v>
      </c>
      <c r="E160" s="3" t="n">
        <v>1</v>
      </c>
      <c r="F160" s="3" t="n">
        <v>1</v>
      </c>
      <c r="G160" s="3" t="n">
        <v>2</v>
      </c>
      <c r="H160" s="24" t="n">
        <v>0.203989133</v>
      </c>
    </row>
    <row r="161" customFormat="false" ht="15" hidden="false" customHeight="false" outlineLevel="0" collapsed="false">
      <c r="A161" s="3" t="n">
        <v>160</v>
      </c>
      <c r="B161" s="3" t="n">
        <v>159</v>
      </c>
      <c r="C161" s="3" t="s">
        <v>117</v>
      </c>
      <c r="D161" s="3" t="n">
        <v>1</v>
      </c>
      <c r="E161" s="3" t="n">
        <v>1</v>
      </c>
      <c r="F161" s="3" t="n">
        <v>2</v>
      </c>
      <c r="G161" s="3" t="n">
        <v>0</v>
      </c>
      <c r="H161" s="24" t="n">
        <v>0.105996206</v>
      </c>
    </row>
    <row r="162" customFormat="false" ht="15" hidden="false" customHeight="false" outlineLevel="0" collapsed="false">
      <c r="A162" s="3" t="n">
        <v>161</v>
      </c>
      <c r="B162" s="3" t="n">
        <v>160</v>
      </c>
      <c r="C162" s="3" t="s">
        <v>117</v>
      </c>
      <c r="D162" s="3" t="n">
        <v>1</v>
      </c>
      <c r="E162" s="3" t="n">
        <v>1</v>
      </c>
      <c r="F162" s="3" t="n">
        <v>2</v>
      </c>
      <c r="G162" s="3" t="n">
        <v>1</v>
      </c>
      <c r="H162" s="24" t="n">
        <v>0.215079606</v>
      </c>
    </row>
    <row r="163" customFormat="false" ht="15" hidden="false" customHeight="false" outlineLevel="0" collapsed="false">
      <c r="A163" s="3" t="n">
        <v>162</v>
      </c>
      <c r="B163" s="3" t="n">
        <v>161</v>
      </c>
      <c r="C163" s="3" t="s">
        <v>117</v>
      </c>
      <c r="D163" s="3" t="n">
        <v>1</v>
      </c>
      <c r="E163" s="3" t="n">
        <v>1</v>
      </c>
      <c r="F163" s="3" t="n">
        <v>2</v>
      </c>
      <c r="G163" s="3" t="n">
        <v>2</v>
      </c>
      <c r="H163" s="24" t="n">
        <v>-0.0862064883</v>
      </c>
    </row>
    <row r="164" customFormat="false" ht="15" hidden="false" customHeight="false" outlineLevel="0" collapsed="false">
      <c r="A164" s="3" t="n">
        <v>163</v>
      </c>
      <c r="B164" s="3" t="n">
        <v>162</v>
      </c>
      <c r="C164" s="3" t="s">
        <v>117</v>
      </c>
      <c r="D164" s="3" t="n">
        <v>1</v>
      </c>
      <c r="E164" s="3" t="n">
        <v>2</v>
      </c>
      <c r="F164" s="3" t="n">
        <v>0</v>
      </c>
      <c r="G164" s="3" t="n">
        <v>0</v>
      </c>
      <c r="H164" s="24" t="n">
        <v>-0.0144685376</v>
      </c>
    </row>
    <row r="165" customFormat="false" ht="15" hidden="false" customHeight="false" outlineLevel="0" collapsed="false">
      <c r="A165" s="3" t="n">
        <v>164</v>
      </c>
      <c r="B165" s="3" t="n">
        <v>163</v>
      </c>
      <c r="C165" s="3" t="s">
        <v>117</v>
      </c>
      <c r="D165" s="3" t="n">
        <v>1</v>
      </c>
      <c r="E165" s="3" t="n">
        <v>2</v>
      </c>
      <c r="F165" s="3" t="n">
        <v>0</v>
      </c>
      <c r="G165" s="3" t="n">
        <v>1</v>
      </c>
      <c r="H165" s="24" t="n">
        <v>-0.239238828</v>
      </c>
    </row>
    <row r="166" customFormat="false" ht="15" hidden="false" customHeight="false" outlineLevel="0" collapsed="false">
      <c r="A166" s="3" t="n">
        <v>165</v>
      </c>
      <c r="B166" s="3" t="n">
        <v>164</v>
      </c>
      <c r="C166" s="3" t="s">
        <v>117</v>
      </c>
      <c r="D166" s="3" t="n">
        <v>1</v>
      </c>
      <c r="E166" s="3" t="n">
        <v>2</v>
      </c>
      <c r="F166" s="3" t="n">
        <v>0</v>
      </c>
      <c r="G166" s="3" t="n">
        <v>2</v>
      </c>
      <c r="H166" s="24" t="n">
        <v>0.472312838</v>
      </c>
    </row>
    <row r="167" customFormat="false" ht="15" hidden="false" customHeight="false" outlineLevel="0" collapsed="false">
      <c r="A167" s="3" t="n">
        <v>166</v>
      </c>
      <c r="B167" s="3" t="n">
        <v>165</v>
      </c>
      <c r="C167" s="3" t="s">
        <v>117</v>
      </c>
      <c r="D167" s="3" t="n">
        <v>1</v>
      </c>
      <c r="E167" s="3" t="n">
        <v>2</v>
      </c>
      <c r="F167" s="3" t="n">
        <v>1</v>
      </c>
      <c r="G167" s="3" t="n">
        <v>0</v>
      </c>
      <c r="H167" s="24" t="n">
        <v>-0.119376451</v>
      </c>
    </row>
    <row r="168" customFormat="false" ht="15" hidden="false" customHeight="false" outlineLevel="0" collapsed="false">
      <c r="A168" s="3" t="n">
        <v>167</v>
      </c>
      <c r="B168" s="3" t="n">
        <v>166</v>
      </c>
      <c r="C168" s="3" t="s">
        <v>117</v>
      </c>
      <c r="D168" s="3" t="n">
        <v>1</v>
      </c>
      <c r="E168" s="3" t="n">
        <v>2</v>
      </c>
      <c r="F168" s="3" t="n">
        <v>1</v>
      </c>
      <c r="G168" s="3" t="n">
        <v>1</v>
      </c>
      <c r="H168" s="24" t="n">
        <v>-0.134848565</v>
      </c>
    </row>
    <row r="169" customFormat="false" ht="15" hidden="false" customHeight="false" outlineLevel="0" collapsed="false">
      <c r="A169" s="3" t="n">
        <v>168</v>
      </c>
      <c r="B169" s="3" t="n">
        <v>167</v>
      </c>
      <c r="C169" s="3" t="s">
        <v>117</v>
      </c>
      <c r="D169" s="3" t="n">
        <v>1</v>
      </c>
      <c r="E169" s="3" t="n">
        <v>2</v>
      </c>
      <c r="F169" s="3" t="n">
        <v>1</v>
      </c>
      <c r="G169" s="3" t="n">
        <v>2</v>
      </c>
      <c r="H169" s="24" t="n">
        <v>0.00923617091</v>
      </c>
    </row>
    <row r="170" customFormat="false" ht="15" hidden="false" customHeight="false" outlineLevel="0" collapsed="false">
      <c r="A170" s="3" t="n">
        <v>169</v>
      </c>
      <c r="B170" s="3" t="n">
        <v>168</v>
      </c>
      <c r="C170" s="3" t="s">
        <v>117</v>
      </c>
      <c r="D170" s="3" t="n">
        <v>1</v>
      </c>
      <c r="E170" s="3" t="n">
        <v>2</v>
      </c>
      <c r="F170" s="3" t="n">
        <v>2</v>
      </c>
      <c r="G170" s="3" t="n">
        <v>0</v>
      </c>
      <c r="H170" s="24" t="n">
        <v>-0.0727046207</v>
      </c>
    </row>
    <row r="171" customFormat="false" ht="15" hidden="false" customHeight="false" outlineLevel="0" collapsed="false">
      <c r="A171" s="3" t="n">
        <v>170</v>
      </c>
      <c r="B171" s="3" t="n">
        <v>169</v>
      </c>
      <c r="C171" s="3" t="s">
        <v>117</v>
      </c>
      <c r="D171" s="3" t="n">
        <v>1</v>
      </c>
      <c r="E171" s="3" t="n">
        <v>2</v>
      </c>
      <c r="F171" s="3" t="n">
        <v>2</v>
      </c>
      <c r="G171" s="3" t="n">
        <v>1</v>
      </c>
      <c r="H171" s="24" t="n">
        <v>0.146237031</v>
      </c>
    </row>
    <row r="172" customFormat="false" ht="15" hidden="false" customHeight="false" outlineLevel="0" collapsed="false">
      <c r="A172" s="3" t="n">
        <v>171</v>
      </c>
      <c r="B172" s="3" t="n">
        <v>170</v>
      </c>
      <c r="C172" s="3" t="s">
        <v>117</v>
      </c>
      <c r="D172" s="3" t="n">
        <v>1</v>
      </c>
      <c r="E172" s="3" t="n">
        <v>2</v>
      </c>
      <c r="F172" s="3" t="n">
        <v>2</v>
      </c>
      <c r="G172" s="3" t="n">
        <v>2</v>
      </c>
      <c r="H172" s="24" t="n">
        <v>0.0221992452</v>
      </c>
    </row>
    <row r="173" customFormat="false" ht="15" hidden="false" customHeight="false" outlineLevel="0" collapsed="false">
      <c r="A173" s="3" t="n">
        <v>172</v>
      </c>
      <c r="B173" s="3" t="n">
        <v>171</v>
      </c>
      <c r="C173" s="3" t="s">
        <v>117</v>
      </c>
      <c r="D173" s="3" t="n">
        <v>1</v>
      </c>
      <c r="E173" s="3" t="n">
        <v>3</v>
      </c>
      <c r="F173" s="3" t="n">
        <v>0</v>
      </c>
      <c r="G173" s="3" t="n">
        <v>0</v>
      </c>
      <c r="H173" s="24" t="n">
        <v>-0.065289095</v>
      </c>
    </row>
    <row r="174" customFormat="false" ht="15" hidden="false" customHeight="false" outlineLevel="0" collapsed="false">
      <c r="A174" s="3" t="n">
        <v>173</v>
      </c>
      <c r="B174" s="3" t="n">
        <v>172</v>
      </c>
      <c r="C174" s="3" t="s">
        <v>117</v>
      </c>
      <c r="D174" s="3" t="n">
        <v>1</v>
      </c>
      <c r="E174" s="3" t="n">
        <v>3</v>
      </c>
      <c r="F174" s="3" t="n">
        <v>0</v>
      </c>
      <c r="G174" s="3" t="n">
        <v>1</v>
      </c>
      <c r="H174" s="24" t="n">
        <v>0.0553278252</v>
      </c>
    </row>
    <row r="175" customFormat="false" ht="15" hidden="false" customHeight="false" outlineLevel="0" collapsed="false">
      <c r="A175" s="3" t="n">
        <v>174</v>
      </c>
      <c r="B175" s="3" t="n">
        <v>173</v>
      </c>
      <c r="C175" s="3" t="s">
        <v>117</v>
      </c>
      <c r="D175" s="3" t="n">
        <v>1</v>
      </c>
      <c r="E175" s="3" t="n">
        <v>3</v>
      </c>
      <c r="F175" s="3" t="n">
        <v>0</v>
      </c>
      <c r="G175" s="3" t="n">
        <v>2</v>
      </c>
      <c r="H175" s="24" t="n">
        <v>0.035279002</v>
      </c>
    </row>
    <row r="176" customFormat="false" ht="15" hidden="false" customHeight="false" outlineLevel="0" collapsed="false">
      <c r="A176" s="3" t="n">
        <v>175</v>
      </c>
      <c r="B176" s="3" t="n">
        <v>174</v>
      </c>
      <c r="C176" s="3" t="s">
        <v>117</v>
      </c>
      <c r="D176" s="3" t="n">
        <v>1</v>
      </c>
      <c r="E176" s="3" t="n">
        <v>3</v>
      </c>
      <c r="F176" s="3" t="n">
        <v>1</v>
      </c>
      <c r="G176" s="3" t="n">
        <v>0</v>
      </c>
      <c r="H176" s="24" t="n">
        <v>0.100779109</v>
      </c>
    </row>
    <row r="177" customFormat="false" ht="15" hidden="false" customHeight="false" outlineLevel="0" collapsed="false">
      <c r="A177" s="3" t="n">
        <v>176</v>
      </c>
      <c r="B177" s="3" t="n">
        <v>175</v>
      </c>
      <c r="C177" s="3" t="s">
        <v>117</v>
      </c>
      <c r="D177" s="3" t="n">
        <v>1</v>
      </c>
      <c r="E177" s="3" t="n">
        <v>3</v>
      </c>
      <c r="F177" s="3" t="n">
        <v>1</v>
      </c>
      <c r="G177" s="3" t="n">
        <v>1</v>
      </c>
      <c r="H177" s="24" t="n">
        <v>0.0538169183</v>
      </c>
    </row>
    <row r="178" customFormat="false" ht="15" hidden="false" customHeight="false" outlineLevel="0" collapsed="false">
      <c r="A178" s="3" t="n">
        <v>177</v>
      </c>
      <c r="B178" s="3" t="n">
        <v>176</v>
      </c>
      <c r="C178" s="3" t="s">
        <v>117</v>
      </c>
      <c r="D178" s="3" t="n">
        <v>1</v>
      </c>
      <c r="E178" s="3" t="n">
        <v>3</v>
      </c>
      <c r="F178" s="3" t="n">
        <v>1</v>
      </c>
      <c r="G178" s="3" t="n">
        <v>2</v>
      </c>
      <c r="H178" s="24" t="n">
        <v>-0.200488642</v>
      </c>
    </row>
    <row r="179" customFormat="false" ht="15" hidden="false" customHeight="false" outlineLevel="0" collapsed="false">
      <c r="A179" s="3" t="n">
        <v>178</v>
      </c>
      <c r="B179" s="3" t="n">
        <v>177</v>
      </c>
      <c r="C179" s="3" t="s">
        <v>117</v>
      </c>
      <c r="D179" s="3" t="n">
        <v>1</v>
      </c>
      <c r="E179" s="3" t="n">
        <v>3</v>
      </c>
      <c r="F179" s="3" t="n">
        <v>2</v>
      </c>
      <c r="G179" s="3" t="n">
        <v>0</v>
      </c>
      <c r="H179" s="24" t="n">
        <v>0.101951607</v>
      </c>
    </row>
    <row r="180" customFormat="false" ht="15" hidden="false" customHeight="false" outlineLevel="0" collapsed="false">
      <c r="A180" s="3" t="n">
        <v>179</v>
      </c>
      <c r="B180" s="3" t="n">
        <v>178</v>
      </c>
      <c r="C180" s="3" t="s">
        <v>117</v>
      </c>
      <c r="D180" s="3" t="n">
        <v>1</v>
      </c>
      <c r="E180" s="3" t="n">
        <v>3</v>
      </c>
      <c r="F180" s="3" t="n">
        <v>2</v>
      </c>
      <c r="G180" s="3" t="n">
        <v>1</v>
      </c>
      <c r="H180" s="24" t="n">
        <v>-0.232220605</v>
      </c>
    </row>
    <row r="181" customFormat="false" ht="15" hidden="false" customHeight="false" outlineLevel="0" collapsed="false">
      <c r="A181" s="3" t="n">
        <v>180</v>
      </c>
      <c r="B181" s="3" t="n">
        <v>179</v>
      </c>
      <c r="C181" s="3" t="s">
        <v>117</v>
      </c>
      <c r="D181" s="3" t="n">
        <v>1</v>
      </c>
      <c r="E181" s="3" t="n">
        <v>3</v>
      </c>
      <c r="F181" s="3" t="n">
        <v>2</v>
      </c>
      <c r="G181" s="3" t="n">
        <v>2</v>
      </c>
      <c r="H181" s="24" t="n">
        <v>-0.192972451</v>
      </c>
    </row>
    <row r="182" customFormat="false" ht="15" hidden="false" customHeight="false" outlineLevel="0" collapsed="false">
      <c r="A182" s="3" t="n">
        <v>181</v>
      </c>
      <c r="B182" s="3" t="n">
        <v>180</v>
      </c>
      <c r="C182" s="3" t="s">
        <v>117</v>
      </c>
      <c r="D182" s="3" t="n">
        <v>1</v>
      </c>
      <c r="E182" s="3" t="n">
        <v>4</v>
      </c>
      <c r="F182" s="3" t="n">
        <v>0</v>
      </c>
      <c r="G182" s="3" t="n">
        <v>0</v>
      </c>
      <c r="H182" s="24" t="n">
        <v>-0.224816382</v>
      </c>
    </row>
    <row r="183" customFormat="false" ht="15" hidden="false" customHeight="false" outlineLevel="0" collapsed="false">
      <c r="A183" s="3" t="n">
        <v>182</v>
      </c>
      <c r="B183" s="3" t="n">
        <v>181</v>
      </c>
      <c r="C183" s="3" t="s">
        <v>117</v>
      </c>
      <c r="D183" s="3" t="n">
        <v>1</v>
      </c>
      <c r="E183" s="3" t="n">
        <v>4</v>
      </c>
      <c r="F183" s="3" t="n">
        <v>0</v>
      </c>
      <c r="G183" s="3" t="n">
        <v>1</v>
      </c>
      <c r="H183" s="24" t="n">
        <v>0.0856353268</v>
      </c>
    </row>
    <row r="184" customFormat="false" ht="15" hidden="false" customHeight="false" outlineLevel="0" collapsed="false">
      <c r="A184" s="3" t="n">
        <v>183</v>
      </c>
      <c r="B184" s="3" t="n">
        <v>182</v>
      </c>
      <c r="C184" s="3" t="s">
        <v>117</v>
      </c>
      <c r="D184" s="3" t="n">
        <v>1</v>
      </c>
      <c r="E184" s="3" t="n">
        <v>4</v>
      </c>
      <c r="F184" s="3" t="n">
        <v>0</v>
      </c>
      <c r="G184" s="3" t="n">
        <v>2</v>
      </c>
      <c r="H184" s="24" t="n">
        <v>0.0674166158</v>
      </c>
    </row>
    <row r="185" customFormat="false" ht="15" hidden="false" customHeight="false" outlineLevel="0" collapsed="false">
      <c r="A185" s="3" t="n">
        <v>184</v>
      </c>
      <c r="B185" s="3" t="n">
        <v>183</v>
      </c>
      <c r="C185" s="3" t="s">
        <v>117</v>
      </c>
      <c r="D185" s="3" t="n">
        <v>1</v>
      </c>
      <c r="E185" s="3" t="n">
        <v>4</v>
      </c>
      <c r="F185" s="3" t="n">
        <v>1</v>
      </c>
      <c r="G185" s="3" t="n">
        <v>0</v>
      </c>
      <c r="H185" s="24" t="n">
        <v>-0.192429408</v>
      </c>
    </row>
    <row r="186" customFormat="false" ht="15" hidden="false" customHeight="false" outlineLevel="0" collapsed="false">
      <c r="A186" s="3" t="n">
        <v>185</v>
      </c>
      <c r="B186" s="3" t="n">
        <v>184</v>
      </c>
      <c r="C186" s="3" t="s">
        <v>117</v>
      </c>
      <c r="D186" s="3" t="n">
        <v>1</v>
      </c>
      <c r="E186" s="3" t="n">
        <v>4</v>
      </c>
      <c r="F186" s="3" t="n">
        <v>1</v>
      </c>
      <c r="G186" s="3" t="n">
        <v>1</v>
      </c>
      <c r="H186" s="24" t="n">
        <v>0.203724191</v>
      </c>
    </row>
    <row r="187" customFormat="false" ht="15" hidden="false" customHeight="false" outlineLevel="0" collapsed="false">
      <c r="A187" s="3" t="n">
        <v>186</v>
      </c>
      <c r="B187" s="3" t="n">
        <v>185</v>
      </c>
      <c r="C187" s="3" t="s">
        <v>117</v>
      </c>
      <c r="D187" s="3" t="n">
        <v>1</v>
      </c>
      <c r="E187" s="3" t="n">
        <v>4</v>
      </c>
      <c r="F187" s="3" t="n">
        <v>1</v>
      </c>
      <c r="G187" s="3" t="n">
        <v>2</v>
      </c>
      <c r="H187" s="24" t="n">
        <v>0.293419629</v>
      </c>
    </row>
    <row r="188" customFormat="false" ht="15" hidden="false" customHeight="false" outlineLevel="0" collapsed="false">
      <c r="A188" s="3" t="n">
        <v>187</v>
      </c>
      <c r="B188" s="3" t="n">
        <v>186</v>
      </c>
      <c r="C188" s="3" t="s">
        <v>117</v>
      </c>
      <c r="D188" s="3" t="n">
        <v>1</v>
      </c>
      <c r="E188" s="3" t="n">
        <v>4</v>
      </c>
      <c r="F188" s="3" t="n">
        <v>2</v>
      </c>
      <c r="G188" s="3" t="n">
        <v>0</v>
      </c>
      <c r="H188" s="24" t="n">
        <v>0.0275702383</v>
      </c>
    </row>
    <row r="189" customFormat="false" ht="15" hidden="false" customHeight="false" outlineLevel="0" collapsed="false">
      <c r="A189" s="3" t="n">
        <v>188</v>
      </c>
      <c r="B189" s="3" t="n">
        <v>187</v>
      </c>
      <c r="C189" s="3" t="s">
        <v>117</v>
      </c>
      <c r="D189" s="3" t="n">
        <v>1</v>
      </c>
      <c r="E189" s="3" t="n">
        <v>4</v>
      </c>
      <c r="F189" s="3" t="n">
        <v>2</v>
      </c>
      <c r="G189" s="3" t="n">
        <v>1</v>
      </c>
      <c r="H189" s="24" t="n">
        <v>0.200987712</v>
      </c>
    </row>
    <row r="190" customFormat="false" ht="15" hidden="false" customHeight="false" outlineLevel="0" collapsed="false">
      <c r="A190" s="3" t="n">
        <v>189</v>
      </c>
      <c r="B190" s="3" t="n">
        <v>188</v>
      </c>
      <c r="C190" s="3" t="s">
        <v>117</v>
      </c>
      <c r="D190" s="3" t="n">
        <v>1</v>
      </c>
      <c r="E190" s="3" t="n">
        <v>4</v>
      </c>
      <c r="F190" s="3" t="n">
        <v>2</v>
      </c>
      <c r="G190" s="3" t="n">
        <v>2</v>
      </c>
      <c r="H190" s="24" t="n">
        <v>0.0650483072</v>
      </c>
    </row>
    <row r="191" customFormat="false" ht="15" hidden="false" customHeight="false" outlineLevel="0" collapsed="false">
      <c r="A191" s="3" t="n">
        <v>190</v>
      </c>
      <c r="B191" s="3" t="n">
        <v>189</v>
      </c>
      <c r="C191" s="3" t="s">
        <v>117</v>
      </c>
      <c r="D191" s="3" t="n">
        <v>1</v>
      </c>
      <c r="E191" s="3" t="n">
        <v>5</v>
      </c>
      <c r="F191" s="3" t="n">
        <v>0</v>
      </c>
      <c r="G191" s="3" t="n">
        <v>0</v>
      </c>
      <c r="H191" s="24" t="n">
        <v>-0.0629223138</v>
      </c>
    </row>
    <row r="192" customFormat="false" ht="15" hidden="false" customHeight="false" outlineLevel="0" collapsed="false">
      <c r="A192" s="3" t="n">
        <v>191</v>
      </c>
      <c r="B192" s="3" t="n">
        <v>190</v>
      </c>
      <c r="C192" s="3" t="s">
        <v>117</v>
      </c>
      <c r="D192" s="3" t="n">
        <v>1</v>
      </c>
      <c r="E192" s="3" t="n">
        <v>5</v>
      </c>
      <c r="F192" s="3" t="n">
        <v>0</v>
      </c>
      <c r="G192" s="3" t="n">
        <v>1</v>
      </c>
      <c r="H192" s="24" t="n">
        <v>0.156958461</v>
      </c>
    </row>
    <row r="193" customFormat="false" ht="15" hidden="false" customHeight="false" outlineLevel="0" collapsed="false">
      <c r="A193" s="3" t="n">
        <v>192</v>
      </c>
      <c r="B193" s="3" t="n">
        <v>191</v>
      </c>
      <c r="C193" s="3" t="s">
        <v>117</v>
      </c>
      <c r="D193" s="3" t="n">
        <v>1</v>
      </c>
      <c r="E193" s="3" t="n">
        <v>5</v>
      </c>
      <c r="F193" s="3" t="n">
        <v>0</v>
      </c>
      <c r="G193" s="3" t="n">
        <v>2</v>
      </c>
      <c r="H193" s="24" t="n">
        <v>-0.117221586</v>
      </c>
    </row>
    <row r="194" customFormat="false" ht="15" hidden="false" customHeight="false" outlineLevel="0" collapsed="false">
      <c r="A194" s="3" t="n">
        <v>193</v>
      </c>
      <c r="B194" s="3" t="n">
        <v>192</v>
      </c>
      <c r="C194" s="3" t="s">
        <v>117</v>
      </c>
      <c r="D194" s="3" t="n">
        <v>1</v>
      </c>
      <c r="E194" s="3" t="n">
        <v>5</v>
      </c>
      <c r="F194" s="3" t="n">
        <v>1</v>
      </c>
      <c r="G194" s="3" t="n">
        <v>0</v>
      </c>
      <c r="H194" s="24" t="n">
        <v>-0.0276420116</v>
      </c>
    </row>
    <row r="195" customFormat="false" ht="15" hidden="false" customHeight="false" outlineLevel="0" collapsed="false">
      <c r="A195" s="3" t="n">
        <v>194</v>
      </c>
      <c r="B195" s="3" t="n">
        <v>193</v>
      </c>
      <c r="C195" s="3" t="s">
        <v>117</v>
      </c>
      <c r="D195" s="3" t="n">
        <v>1</v>
      </c>
      <c r="E195" s="3" t="n">
        <v>5</v>
      </c>
      <c r="F195" s="3" t="n">
        <v>1</v>
      </c>
      <c r="G195" s="3" t="n">
        <v>1</v>
      </c>
      <c r="H195" s="24" t="n">
        <v>-0.39767471</v>
      </c>
    </row>
    <row r="196" customFormat="false" ht="15" hidden="false" customHeight="false" outlineLevel="0" collapsed="false">
      <c r="A196" s="3" t="n">
        <v>195</v>
      </c>
      <c r="B196" s="3" t="n">
        <v>194</v>
      </c>
      <c r="C196" s="3" t="s">
        <v>117</v>
      </c>
      <c r="D196" s="3" t="n">
        <v>1</v>
      </c>
      <c r="E196" s="3" t="n">
        <v>5</v>
      </c>
      <c r="F196" s="3" t="n">
        <v>1</v>
      </c>
      <c r="G196" s="3" t="n">
        <v>2</v>
      </c>
      <c r="H196" s="24" t="n">
        <v>0.321029961</v>
      </c>
    </row>
    <row r="197" customFormat="false" ht="15" hidden="false" customHeight="false" outlineLevel="0" collapsed="false">
      <c r="A197" s="3" t="n">
        <v>196</v>
      </c>
      <c r="B197" s="3" t="n">
        <v>195</v>
      </c>
      <c r="C197" s="3" t="s">
        <v>117</v>
      </c>
      <c r="D197" s="3" t="n">
        <v>1</v>
      </c>
      <c r="E197" s="3" t="n">
        <v>5</v>
      </c>
      <c r="F197" s="3" t="n">
        <v>2</v>
      </c>
      <c r="G197" s="3" t="n">
        <v>0</v>
      </c>
      <c r="H197" s="24" t="n">
        <v>0.12132024</v>
      </c>
    </row>
    <row r="198" customFormat="false" ht="15" hidden="false" customHeight="false" outlineLevel="0" collapsed="false">
      <c r="A198" s="3" t="n">
        <v>197</v>
      </c>
      <c r="B198" s="3" t="n">
        <v>196</v>
      </c>
      <c r="C198" s="3" t="s">
        <v>117</v>
      </c>
      <c r="D198" s="3" t="n">
        <v>1</v>
      </c>
      <c r="E198" s="3" t="n">
        <v>5</v>
      </c>
      <c r="F198" s="3" t="n">
        <v>2</v>
      </c>
      <c r="G198" s="3" t="n">
        <v>1</v>
      </c>
      <c r="H198" s="24" t="n">
        <v>-0.373355389</v>
      </c>
    </row>
    <row r="199" customFormat="false" ht="15" hidden="false" customHeight="false" outlineLevel="0" collapsed="false">
      <c r="A199" s="3" t="n">
        <v>198</v>
      </c>
      <c r="B199" s="3" t="n">
        <v>197</v>
      </c>
      <c r="C199" s="3" t="s">
        <v>117</v>
      </c>
      <c r="D199" s="3" t="n">
        <v>1</v>
      </c>
      <c r="E199" s="3" t="n">
        <v>5</v>
      </c>
      <c r="F199" s="3" t="n">
        <v>2</v>
      </c>
      <c r="G199" s="3" t="n">
        <v>2</v>
      </c>
      <c r="H199" s="24" t="n">
        <v>-0.307643384</v>
      </c>
    </row>
    <row r="200" customFormat="false" ht="15" hidden="false" customHeight="false" outlineLevel="0" collapsed="false">
      <c r="A200" s="3" t="n">
        <v>199</v>
      </c>
      <c r="B200" s="3" t="n">
        <v>198</v>
      </c>
      <c r="C200" s="3" t="s">
        <v>117</v>
      </c>
      <c r="D200" s="3" t="n">
        <v>1</v>
      </c>
      <c r="E200" s="3" t="n">
        <v>6</v>
      </c>
      <c r="F200" s="3" t="n">
        <v>0</v>
      </c>
      <c r="G200" s="3" t="n">
        <v>0</v>
      </c>
      <c r="H200" s="24" t="n">
        <v>-0.326087117</v>
      </c>
    </row>
    <row r="201" customFormat="false" ht="15" hidden="false" customHeight="false" outlineLevel="0" collapsed="false">
      <c r="A201" s="3" t="n">
        <v>200</v>
      </c>
      <c r="B201" s="3" t="n">
        <v>199</v>
      </c>
      <c r="C201" s="3" t="s">
        <v>117</v>
      </c>
      <c r="D201" s="3" t="n">
        <v>1</v>
      </c>
      <c r="E201" s="3" t="n">
        <v>6</v>
      </c>
      <c r="F201" s="3" t="n">
        <v>0</v>
      </c>
      <c r="G201" s="3" t="n">
        <v>1</v>
      </c>
      <c r="H201" s="24" t="n">
        <v>-0.335270822</v>
      </c>
    </row>
    <row r="202" customFormat="false" ht="15" hidden="false" customHeight="false" outlineLevel="0" collapsed="false">
      <c r="A202" s="3" t="n">
        <v>201</v>
      </c>
      <c r="B202" s="3" t="n">
        <v>200</v>
      </c>
      <c r="C202" s="3" t="s">
        <v>117</v>
      </c>
      <c r="D202" s="3" t="n">
        <v>1</v>
      </c>
      <c r="E202" s="3" t="n">
        <v>6</v>
      </c>
      <c r="F202" s="3" t="n">
        <v>0</v>
      </c>
      <c r="G202" s="3" t="n">
        <v>2</v>
      </c>
      <c r="H202" s="24" t="n">
        <v>-0.0877316296</v>
      </c>
    </row>
    <row r="203" customFormat="false" ht="15" hidden="false" customHeight="false" outlineLevel="0" collapsed="false">
      <c r="A203" s="3" t="n">
        <v>202</v>
      </c>
      <c r="B203" s="3" t="n">
        <v>201</v>
      </c>
      <c r="C203" s="3" t="s">
        <v>117</v>
      </c>
      <c r="D203" s="3" t="n">
        <v>1</v>
      </c>
      <c r="E203" s="3" t="n">
        <v>6</v>
      </c>
      <c r="F203" s="3" t="n">
        <v>1</v>
      </c>
      <c r="G203" s="3" t="n">
        <v>0</v>
      </c>
      <c r="H203" s="24" t="n">
        <v>-0.0530502126</v>
      </c>
    </row>
    <row r="204" customFormat="false" ht="15" hidden="false" customHeight="false" outlineLevel="0" collapsed="false">
      <c r="A204" s="3" t="n">
        <v>203</v>
      </c>
      <c r="B204" s="3" t="n">
        <v>202</v>
      </c>
      <c r="C204" s="3" t="s">
        <v>117</v>
      </c>
      <c r="D204" s="3" t="n">
        <v>1</v>
      </c>
      <c r="E204" s="3" t="n">
        <v>6</v>
      </c>
      <c r="F204" s="3" t="n">
        <v>1</v>
      </c>
      <c r="G204" s="3" t="n">
        <v>1</v>
      </c>
      <c r="H204" s="24" t="n">
        <v>0.169401839</v>
      </c>
    </row>
    <row r="205" customFormat="false" ht="15" hidden="false" customHeight="false" outlineLevel="0" collapsed="false">
      <c r="A205" s="3" t="n">
        <v>204</v>
      </c>
      <c r="B205" s="3" t="n">
        <v>203</v>
      </c>
      <c r="C205" s="3" t="s">
        <v>117</v>
      </c>
      <c r="D205" s="3" t="n">
        <v>1</v>
      </c>
      <c r="E205" s="3" t="n">
        <v>6</v>
      </c>
      <c r="F205" s="3" t="n">
        <v>1</v>
      </c>
      <c r="G205" s="3" t="n">
        <v>2</v>
      </c>
      <c r="H205" s="24" t="n">
        <v>0.237518713</v>
      </c>
    </row>
    <row r="206" customFormat="false" ht="15" hidden="false" customHeight="false" outlineLevel="0" collapsed="false">
      <c r="A206" s="3" t="n">
        <v>205</v>
      </c>
      <c r="B206" s="3" t="n">
        <v>204</v>
      </c>
      <c r="C206" s="3" t="s">
        <v>117</v>
      </c>
      <c r="D206" s="3" t="n">
        <v>1</v>
      </c>
      <c r="E206" s="3" t="n">
        <v>6</v>
      </c>
      <c r="F206" s="3" t="n">
        <v>2</v>
      </c>
      <c r="G206" s="3" t="n">
        <v>0</v>
      </c>
      <c r="H206" s="24" t="n">
        <v>-0.200192943</v>
      </c>
    </row>
    <row r="207" customFormat="false" ht="15" hidden="false" customHeight="false" outlineLevel="0" collapsed="false">
      <c r="A207" s="3" t="n">
        <v>206</v>
      </c>
      <c r="B207" s="3" t="n">
        <v>205</v>
      </c>
      <c r="C207" s="3" t="s">
        <v>117</v>
      </c>
      <c r="D207" s="3" t="n">
        <v>1</v>
      </c>
      <c r="E207" s="3" t="n">
        <v>6</v>
      </c>
      <c r="F207" s="3" t="n">
        <v>2</v>
      </c>
      <c r="G207" s="3" t="n">
        <v>1</v>
      </c>
      <c r="H207" s="24" t="n">
        <v>0.0769708753</v>
      </c>
    </row>
    <row r="208" customFormat="false" ht="15" hidden="false" customHeight="false" outlineLevel="0" collapsed="false">
      <c r="A208" s="3" t="n">
        <v>207</v>
      </c>
      <c r="B208" s="3" t="n">
        <v>206</v>
      </c>
      <c r="C208" s="3" t="s">
        <v>117</v>
      </c>
      <c r="D208" s="3" t="n">
        <v>1</v>
      </c>
      <c r="E208" s="3" t="n">
        <v>6</v>
      </c>
      <c r="F208" s="3" t="n">
        <v>2</v>
      </c>
      <c r="G208" s="3" t="n">
        <v>2</v>
      </c>
      <c r="H208" s="24" t="n">
        <v>0.109026313</v>
      </c>
    </row>
    <row r="209" customFormat="false" ht="15" hidden="false" customHeight="false" outlineLevel="0" collapsed="false">
      <c r="A209" s="3" t="n">
        <v>208</v>
      </c>
      <c r="B209" s="3" t="n">
        <v>207</v>
      </c>
      <c r="C209" s="3" t="s">
        <v>117</v>
      </c>
      <c r="D209" s="3" t="n">
        <v>1</v>
      </c>
      <c r="E209" s="3" t="n">
        <v>7</v>
      </c>
      <c r="F209" s="3" t="n">
        <v>0</v>
      </c>
      <c r="G209" s="3" t="n">
        <v>0</v>
      </c>
      <c r="H209" s="24" t="n">
        <v>-0.0912175253</v>
      </c>
    </row>
    <row r="210" customFormat="false" ht="15" hidden="false" customHeight="false" outlineLevel="0" collapsed="false">
      <c r="A210" s="3" t="n">
        <v>209</v>
      </c>
      <c r="B210" s="3" t="n">
        <v>208</v>
      </c>
      <c r="C210" s="3" t="s">
        <v>117</v>
      </c>
      <c r="D210" s="3" t="n">
        <v>1</v>
      </c>
      <c r="E210" s="3" t="n">
        <v>7</v>
      </c>
      <c r="F210" s="3" t="n">
        <v>0</v>
      </c>
      <c r="G210" s="3" t="n">
        <v>1</v>
      </c>
      <c r="H210" s="24" t="n">
        <v>-0.000789414742</v>
      </c>
    </row>
    <row r="211" customFormat="false" ht="15" hidden="false" customHeight="false" outlineLevel="0" collapsed="false">
      <c r="A211" s="3" t="n">
        <v>210</v>
      </c>
      <c r="B211" s="3" t="n">
        <v>209</v>
      </c>
      <c r="C211" s="3" t="s">
        <v>117</v>
      </c>
      <c r="D211" s="3" t="n">
        <v>1</v>
      </c>
      <c r="E211" s="3" t="n">
        <v>7</v>
      </c>
      <c r="F211" s="3" t="n">
        <v>0</v>
      </c>
      <c r="G211" s="3" t="n">
        <v>2</v>
      </c>
      <c r="H211" s="24" t="n">
        <v>-0.184129551</v>
      </c>
    </row>
    <row r="212" customFormat="false" ht="15" hidden="false" customHeight="false" outlineLevel="0" collapsed="false">
      <c r="A212" s="3" t="n">
        <v>211</v>
      </c>
      <c r="B212" s="3" t="n">
        <v>210</v>
      </c>
      <c r="C212" s="3" t="s">
        <v>117</v>
      </c>
      <c r="D212" s="3" t="n">
        <v>1</v>
      </c>
      <c r="E212" s="3" t="n">
        <v>7</v>
      </c>
      <c r="F212" s="3" t="n">
        <v>1</v>
      </c>
      <c r="G212" s="3" t="n">
        <v>0</v>
      </c>
      <c r="H212" s="24" t="n">
        <v>-0.0156649388</v>
      </c>
    </row>
    <row r="213" customFormat="false" ht="15" hidden="false" customHeight="false" outlineLevel="0" collapsed="false">
      <c r="A213" s="3" t="n">
        <v>212</v>
      </c>
      <c r="B213" s="3" t="n">
        <v>211</v>
      </c>
      <c r="C213" s="3" t="s">
        <v>117</v>
      </c>
      <c r="D213" s="3" t="n">
        <v>1</v>
      </c>
      <c r="E213" s="3" t="n">
        <v>7</v>
      </c>
      <c r="F213" s="3" t="n">
        <v>1</v>
      </c>
      <c r="G213" s="3" t="n">
        <v>1</v>
      </c>
      <c r="H213" s="24" t="n">
        <v>-0.289822847</v>
      </c>
    </row>
    <row r="214" customFormat="false" ht="15" hidden="false" customHeight="false" outlineLevel="0" collapsed="false">
      <c r="A214" s="3" t="n">
        <v>213</v>
      </c>
      <c r="B214" s="3" t="n">
        <v>212</v>
      </c>
      <c r="C214" s="3" t="s">
        <v>117</v>
      </c>
      <c r="D214" s="3" t="n">
        <v>1</v>
      </c>
      <c r="E214" s="3" t="n">
        <v>7</v>
      </c>
      <c r="F214" s="3" t="n">
        <v>1</v>
      </c>
      <c r="G214" s="3" t="n">
        <v>2</v>
      </c>
      <c r="H214" s="24" t="n">
        <v>-0.16360575</v>
      </c>
    </row>
    <row r="215" customFormat="false" ht="15" hidden="false" customHeight="false" outlineLevel="0" collapsed="false">
      <c r="A215" s="3" t="n">
        <v>214</v>
      </c>
      <c r="B215" s="3" t="n">
        <v>213</v>
      </c>
      <c r="C215" s="3" t="s">
        <v>117</v>
      </c>
      <c r="D215" s="3" t="n">
        <v>1</v>
      </c>
      <c r="E215" s="3" t="n">
        <v>7</v>
      </c>
      <c r="F215" s="3" t="n">
        <v>2</v>
      </c>
      <c r="G215" s="3" t="n">
        <v>0</v>
      </c>
      <c r="H215" s="24" t="n">
        <v>-0.102075309</v>
      </c>
    </row>
    <row r="216" customFormat="false" ht="15" hidden="false" customHeight="false" outlineLevel="0" collapsed="false">
      <c r="A216" s="3" t="n">
        <v>215</v>
      </c>
      <c r="B216" s="3" t="n">
        <v>214</v>
      </c>
      <c r="C216" s="3" t="s">
        <v>117</v>
      </c>
      <c r="D216" s="3" t="n">
        <v>1</v>
      </c>
      <c r="E216" s="3" t="n">
        <v>7</v>
      </c>
      <c r="F216" s="3" t="n">
        <v>2</v>
      </c>
      <c r="G216" s="3" t="n">
        <v>1</v>
      </c>
      <c r="H216" s="24" t="n">
        <v>-0.101334274</v>
      </c>
    </row>
    <row r="217" customFormat="false" ht="15" hidden="false" customHeight="false" outlineLevel="0" collapsed="false">
      <c r="A217" s="3" t="n">
        <v>216</v>
      </c>
      <c r="B217" s="3" t="n">
        <v>215</v>
      </c>
      <c r="C217" s="3" t="s">
        <v>117</v>
      </c>
      <c r="D217" s="3" t="n">
        <v>1</v>
      </c>
      <c r="E217" s="3" t="n">
        <v>7</v>
      </c>
      <c r="F217" s="3" t="n">
        <v>2</v>
      </c>
      <c r="G217" s="3" t="n">
        <v>2</v>
      </c>
      <c r="H217" s="24" t="n">
        <v>0.230680659</v>
      </c>
    </row>
    <row r="218" customFormat="false" ht="15" hidden="false" customHeight="false" outlineLevel="0" collapsed="false">
      <c r="A218" s="3" t="n">
        <v>217</v>
      </c>
      <c r="B218" s="3" t="n">
        <v>216</v>
      </c>
      <c r="C218" s="3" t="s">
        <v>117</v>
      </c>
      <c r="D218" s="3" t="n">
        <v>2</v>
      </c>
      <c r="E218" s="3" t="n">
        <v>0</v>
      </c>
      <c r="F218" s="3" t="n">
        <v>0</v>
      </c>
      <c r="G218" s="3" t="n">
        <v>0</v>
      </c>
      <c r="H218" s="24" t="n">
        <v>0.113745734</v>
      </c>
    </row>
    <row r="219" customFormat="false" ht="15" hidden="false" customHeight="false" outlineLevel="0" collapsed="false">
      <c r="A219" s="3" t="n">
        <v>218</v>
      </c>
      <c r="B219" s="3" t="n">
        <v>217</v>
      </c>
      <c r="C219" s="3" t="s">
        <v>117</v>
      </c>
      <c r="D219" s="3" t="n">
        <v>2</v>
      </c>
      <c r="E219" s="3" t="n">
        <v>0</v>
      </c>
      <c r="F219" s="3" t="n">
        <v>0</v>
      </c>
      <c r="G219" s="3" t="n">
        <v>1</v>
      </c>
      <c r="H219" s="24" t="n">
        <v>0.235362887</v>
      </c>
    </row>
    <row r="220" customFormat="false" ht="15" hidden="false" customHeight="false" outlineLevel="0" collapsed="false">
      <c r="A220" s="3" t="n">
        <v>219</v>
      </c>
      <c r="B220" s="3" t="n">
        <v>218</v>
      </c>
      <c r="C220" s="3" t="s">
        <v>117</v>
      </c>
      <c r="D220" s="3" t="n">
        <v>2</v>
      </c>
      <c r="E220" s="3" t="n">
        <v>0</v>
      </c>
      <c r="F220" s="3" t="n">
        <v>0</v>
      </c>
      <c r="G220" s="3" t="n">
        <v>2</v>
      </c>
      <c r="H220" s="24" t="n">
        <v>0.278616995</v>
      </c>
    </row>
    <row r="221" customFormat="false" ht="15" hidden="false" customHeight="false" outlineLevel="0" collapsed="false">
      <c r="A221" s="3" t="n">
        <v>220</v>
      </c>
      <c r="B221" s="3" t="n">
        <v>219</v>
      </c>
      <c r="C221" s="3" t="s">
        <v>117</v>
      </c>
      <c r="D221" s="3" t="n">
        <v>2</v>
      </c>
      <c r="E221" s="3" t="n">
        <v>0</v>
      </c>
      <c r="F221" s="3" t="n">
        <v>1</v>
      </c>
      <c r="G221" s="3" t="n">
        <v>0</v>
      </c>
      <c r="H221" s="24" t="n">
        <v>0.132849976</v>
      </c>
    </row>
    <row r="222" customFormat="false" ht="15" hidden="false" customHeight="false" outlineLevel="0" collapsed="false">
      <c r="A222" s="3" t="n">
        <v>221</v>
      </c>
      <c r="B222" s="3" t="n">
        <v>220</v>
      </c>
      <c r="C222" s="3" t="s">
        <v>117</v>
      </c>
      <c r="D222" s="3" t="n">
        <v>2</v>
      </c>
      <c r="E222" s="3" t="n">
        <v>0</v>
      </c>
      <c r="F222" s="3" t="n">
        <v>1</v>
      </c>
      <c r="G222" s="3" t="n">
        <v>1</v>
      </c>
      <c r="H222" s="24" t="n">
        <v>0.0135267396</v>
      </c>
    </row>
    <row r="223" customFormat="false" ht="15" hidden="false" customHeight="false" outlineLevel="0" collapsed="false">
      <c r="A223" s="3" t="n">
        <v>222</v>
      </c>
      <c r="B223" s="3" t="n">
        <v>221</v>
      </c>
      <c r="C223" s="3" t="s">
        <v>117</v>
      </c>
      <c r="D223" s="3" t="n">
        <v>2</v>
      </c>
      <c r="E223" s="3" t="n">
        <v>0</v>
      </c>
      <c r="F223" s="3" t="n">
        <v>1</v>
      </c>
      <c r="G223" s="3" t="n">
        <v>2</v>
      </c>
      <c r="H223" s="24" t="n">
        <v>-0.0785448328</v>
      </c>
    </row>
    <row r="224" customFormat="false" ht="15" hidden="false" customHeight="false" outlineLevel="0" collapsed="false">
      <c r="A224" s="3" t="n">
        <v>223</v>
      </c>
      <c r="B224" s="3" t="n">
        <v>222</v>
      </c>
      <c r="C224" s="3" t="s">
        <v>117</v>
      </c>
      <c r="D224" s="3" t="n">
        <v>2</v>
      </c>
      <c r="E224" s="3" t="n">
        <v>0</v>
      </c>
      <c r="F224" s="3" t="n">
        <v>2</v>
      </c>
      <c r="G224" s="3" t="n">
        <v>0</v>
      </c>
      <c r="H224" s="24" t="n">
        <v>-0.280196905</v>
      </c>
    </row>
    <row r="225" customFormat="false" ht="15" hidden="false" customHeight="false" outlineLevel="0" collapsed="false">
      <c r="A225" s="3" t="n">
        <v>224</v>
      </c>
      <c r="B225" s="3" t="n">
        <v>223</v>
      </c>
      <c r="C225" s="3" t="s">
        <v>117</v>
      </c>
      <c r="D225" s="3" t="n">
        <v>2</v>
      </c>
      <c r="E225" s="3" t="n">
        <v>0</v>
      </c>
      <c r="F225" s="3" t="n">
        <v>2</v>
      </c>
      <c r="G225" s="3" t="n">
        <v>1</v>
      </c>
      <c r="H225" s="24" t="n">
        <v>-0.0615214258</v>
      </c>
    </row>
    <row r="226" customFormat="false" ht="15" hidden="false" customHeight="false" outlineLevel="0" collapsed="false">
      <c r="A226" s="3" t="n">
        <v>225</v>
      </c>
      <c r="B226" s="3" t="n">
        <v>224</v>
      </c>
      <c r="C226" s="3" t="s">
        <v>117</v>
      </c>
      <c r="D226" s="3" t="n">
        <v>2</v>
      </c>
      <c r="E226" s="3" t="n">
        <v>0</v>
      </c>
      <c r="F226" s="3" t="n">
        <v>2</v>
      </c>
      <c r="G226" s="3" t="n">
        <v>2</v>
      </c>
      <c r="H226" s="24" t="n">
        <v>-0.0854593292</v>
      </c>
    </row>
    <row r="227" customFormat="false" ht="15" hidden="false" customHeight="false" outlineLevel="0" collapsed="false">
      <c r="A227" s="3" t="n">
        <v>226</v>
      </c>
      <c r="B227" s="3" t="n">
        <v>225</v>
      </c>
      <c r="C227" s="3" t="s">
        <v>117</v>
      </c>
      <c r="D227" s="3" t="n">
        <v>2</v>
      </c>
      <c r="E227" s="3" t="n">
        <v>1</v>
      </c>
      <c r="F227" s="3" t="n">
        <v>0</v>
      </c>
      <c r="G227" s="3" t="n">
        <v>0</v>
      </c>
      <c r="H227" s="24" t="n">
        <v>0.226105258</v>
      </c>
    </row>
    <row r="228" customFormat="false" ht="15" hidden="false" customHeight="false" outlineLevel="0" collapsed="false">
      <c r="A228" s="3" t="n">
        <v>227</v>
      </c>
      <c r="B228" s="3" t="n">
        <v>226</v>
      </c>
      <c r="C228" s="3" t="s">
        <v>117</v>
      </c>
      <c r="D228" s="3" t="n">
        <v>2</v>
      </c>
      <c r="E228" s="3" t="n">
        <v>1</v>
      </c>
      <c r="F228" s="3" t="n">
        <v>0</v>
      </c>
      <c r="G228" s="3" t="n">
        <v>1</v>
      </c>
      <c r="H228" s="24" t="n">
        <v>0.249491617</v>
      </c>
    </row>
    <row r="229" customFormat="false" ht="15" hidden="false" customHeight="false" outlineLevel="0" collapsed="false">
      <c r="A229" s="3" t="n">
        <v>228</v>
      </c>
      <c r="B229" s="3" t="n">
        <v>227</v>
      </c>
      <c r="C229" s="3" t="s">
        <v>117</v>
      </c>
      <c r="D229" s="3" t="n">
        <v>2</v>
      </c>
      <c r="E229" s="3" t="n">
        <v>1</v>
      </c>
      <c r="F229" s="3" t="n">
        <v>0</v>
      </c>
      <c r="G229" s="3" t="n">
        <v>2</v>
      </c>
      <c r="H229" s="24" t="n">
        <v>0.321753412</v>
      </c>
    </row>
    <row r="230" customFormat="false" ht="15" hidden="false" customHeight="false" outlineLevel="0" collapsed="false">
      <c r="A230" s="3" t="n">
        <v>229</v>
      </c>
      <c r="B230" s="3" t="n">
        <v>228</v>
      </c>
      <c r="C230" s="3" t="s">
        <v>117</v>
      </c>
      <c r="D230" s="3" t="n">
        <v>2</v>
      </c>
      <c r="E230" s="3" t="n">
        <v>1</v>
      </c>
      <c r="F230" s="3" t="n">
        <v>1</v>
      </c>
      <c r="G230" s="3" t="n">
        <v>0</v>
      </c>
      <c r="H230" s="24" t="n">
        <v>-0.0733487606</v>
      </c>
    </row>
    <row r="231" customFormat="false" ht="15" hidden="false" customHeight="false" outlineLevel="0" collapsed="false">
      <c r="A231" s="3" t="n">
        <v>230</v>
      </c>
      <c r="B231" s="3" t="n">
        <v>229</v>
      </c>
      <c r="C231" s="3" t="s">
        <v>117</v>
      </c>
      <c r="D231" s="3" t="n">
        <v>2</v>
      </c>
      <c r="E231" s="3" t="n">
        <v>1</v>
      </c>
      <c r="F231" s="3" t="n">
        <v>1</v>
      </c>
      <c r="G231" s="3" t="n">
        <v>1</v>
      </c>
      <c r="H231" s="24" t="n">
        <v>-0.164375588</v>
      </c>
    </row>
    <row r="232" customFormat="false" ht="15" hidden="false" customHeight="false" outlineLevel="0" collapsed="false">
      <c r="A232" s="3" t="n">
        <v>231</v>
      </c>
      <c r="B232" s="3" t="n">
        <v>230</v>
      </c>
      <c r="C232" s="3" t="s">
        <v>117</v>
      </c>
      <c r="D232" s="3" t="n">
        <v>2</v>
      </c>
      <c r="E232" s="3" t="n">
        <v>1</v>
      </c>
      <c r="F232" s="3" t="n">
        <v>1</v>
      </c>
      <c r="G232" s="3" t="n">
        <v>2</v>
      </c>
      <c r="H232" s="24" t="n">
        <v>-0.12152902</v>
      </c>
    </row>
    <row r="233" customFormat="false" ht="15" hidden="false" customHeight="false" outlineLevel="0" collapsed="false">
      <c r="A233" s="3" t="n">
        <v>232</v>
      </c>
      <c r="B233" s="3" t="n">
        <v>231</v>
      </c>
      <c r="C233" s="3" t="s">
        <v>117</v>
      </c>
      <c r="D233" s="3" t="n">
        <v>2</v>
      </c>
      <c r="E233" s="3" t="n">
        <v>1</v>
      </c>
      <c r="F233" s="3" t="n">
        <v>2</v>
      </c>
      <c r="G233" s="3" t="n">
        <v>0</v>
      </c>
      <c r="H233" s="24" t="n">
        <v>-0.349245429</v>
      </c>
    </row>
    <row r="234" customFormat="false" ht="15" hidden="false" customHeight="false" outlineLevel="0" collapsed="false">
      <c r="A234" s="3" t="n">
        <v>233</v>
      </c>
      <c r="B234" s="3" t="n">
        <v>232</v>
      </c>
      <c r="C234" s="3" t="s">
        <v>117</v>
      </c>
      <c r="D234" s="3" t="n">
        <v>2</v>
      </c>
      <c r="E234" s="3" t="n">
        <v>1</v>
      </c>
      <c r="F234" s="3" t="n">
        <v>2</v>
      </c>
      <c r="G234" s="3" t="n">
        <v>1</v>
      </c>
      <c r="H234" s="24" t="n">
        <v>-0.0167740583</v>
      </c>
    </row>
    <row r="235" customFormat="false" ht="15" hidden="false" customHeight="false" outlineLevel="0" collapsed="false">
      <c r="A235" s="3" t="n">
        <v>234</v>
      </c>
      <c r="B235" s="3" t="n">
        <v>233</v>
      </c>
      <c r="C235" s="3" t="s">
        <v>117</v>
      </c>
      <c r="D235" s="3" t="n">
        <v>2</v>
      </c>
      <c r="E235" s="3" t="n">
        <v>1</v>
      </c>
      <c r="F235" s="3" t="n">
        <v>2</v>
      </c>
      <c r="G235" s="3" t="n">
        <v>2</v>
      </c>
      <c r="H235" s="24" t="n">
        <v>-0.00641854014</v>
      </c>
    </row>
    <row r="236" customFormat="false" ht="15" hidden="false" customHeight="false" outlineLevel="0" collapsed="false">
      <c r="A236" s="3" t="n">
        <v>235</v>
      </c>
      <c r="B236" s="3" t="n">
        <v>234</v>
      </c>
      <c r="C236" s="3" t="s">
        <v>117</v>
      </c>
      <c r="D236" s="3" t="n">
        <v>2</v>
      </c>
      <c r="E236" s="3" t="n">
        <v>2</v>
      </c>
      <c r="F236" s="3" t="n">
        <v>0</v>
      </c>
      <c r="G236" s="3" t="n">
        <v>0</v>
      </c>
      <c r="H236" s="24" t="n">
        <v>-0.0234915502</v>
      </c>
    </row>
    <row r="237" customFormat="false" ht="15" hidden="false" customHeight="false" outlineLevel="0" collapsed="false">
      <c r="A237" s="3" t="n">
        <v>236</v>
      </c>
      <c r="B237" s="3" t="n">
        <v>235</v>
      </c>
      <c r="C237" s="3" t="s">
        <v>117</v>
      </c>
      <c r="D237" s="3" t="n">
        <v>2</v>
      </c>
      <c r="E237" s="3" t="n">
        <v>2</v>
      </c>
      <c r="F237" s="3" t="n">
        <v>0</v>
      </c>
      <c r="G237" s="3" t="n">
        <v>1</v>
      </c>
      <c r="H237" s="24" t="n">
        <v>-0.0381046981</v>
      </c>
    </row>
    <row r="238" customFormat="false" ht="15" hidden="false" customHeight="false" outlineLevel="0" collapsed="false">
      <c r="A238" s="3" t="n">
        <v>237</v>
      </c>
      <c r="B238" s="3" t="n">
        <v>236</v>
      </c>
      <c r="C238" s="3" t="s">
        <v>117</v>
      </c>
      <c r="D238" s="3" t="n">
        <v>2</v>
      </c>
      <c r="E238" s="3" t="n">
        <v>2</v>
      </c>
      <c r="F238" s="3" t="n">
        <v>0</v>
      </c>
      <c r="G238" s="3" t="n">
        <v>2</v>
      </c>
      <c r="H238" s="24" t="n">
        <v>-0.128209025</v>
      </c>
    </row>
    <row r="239" customFormat="false" ht="15" hidden="false" customHeight="false" outlineLevel="0" collapsed="false">
      <c r="A239" s="3" t="n">
        <v>238</v>
      </c>
      <c r="B239" s="3" t="n">
        <v>237</v>
      </c>
      <c r="C239" s="3" t="s">
        <v>117</v>
      </c>
      <c r="D239" s="3" t="n">
        <v>2</v>
      </c>
      <c r="E239" s="3" t="n">
        <v>2</v>
      </c>
      <c r="F239" s="3" t="n">
        <v>1</v>
      </c>
      <c r="G239" s="3" t="n">
        <v>0</v>
      </c>
      <c r="H239" s="24" t="n">
        <v>-0.382285058</v>
      </c>
    </row>
    <row r="240" customFormat="false" ht="15" hidden="false" customHeight="false" outlineLevel="0" collapsed="false">
      <c r="A240" s="3" t="n">
        <v>239</v>
      </c>
      <c r="B240" s="3" t="n">
        <v>238</v>
      </c>
      <c r="C240" s="3" t="s">
        <v>117</v>
      </c>
      <c r="D240" s="3" t="n">
        <v>2</v>
      </c>
      <c r="E240" s="3" t="n">
        <v>2</v>
      </c>
      <c r="F240" s="3" t="n">
        <v>1</v>
      </c>
      <c r="G240" s="3" t="n">
        <v>1</v>
      </c>
      <c r="H240" s="24" t="n">
        <v>-0.512828231</v>
      </c>
    </row>
    <row r="241" customFormat="false" ht="15" hidden="false" customHeight="false" outlineLevel="0" collapsed="false">
      <c r="A241" s="3" t="n">
        <v>240</v>
      </c>
      <c r="B241" s="3" t="n">
        <v>239</v>
      </c>
      <c r="C241" s="3" t="s">
        <v>117</v>
      </c>
      <c r="D241" s="3" t="n">
        <v>2</v>
      </c>
      <c r="E241" s="3" t="n">
        <v>2</v>
      </c>
      <c r="F241" s="3" t="n">
        <v>1</v>
      </c>
      <c r="G241" s="3" t="n">
        <v>2</v>
      </c>
      <c r="H241" s="24" t="n">
        <v>-0.43870908</v>
      </c>
    </row>
    <row r="242" customFormat="false" ht="15" hidden="false" customHeight="false" outlineLevel="0" collapsed="false">
      <c r="A242" s="3" t="n">
        <v>241</v>
      </c>
      <c r="B242" s="3" t="n">
        <v>240</v>
      </c>
      <c r="C242" s="3" t="s">
        <v>117</v>
      </c>
      <c r="D242" s="3" t="n">
        <v>2</v>
      </c>
      <c r="E242" s="3" t="n">
        <v>2</v>
      </c>
      <c r="F242" s="3" t="n">
        <v>2</v>
      </c>
      <c r="G242" s="3" t="n">
        <v>0</v>
      </c>
      <c r="H242" s="24" t="n">
        <v>-0.147610679</v>
      </c>
    </row>
    <row r="243" customFormat="false" ht="15" hidden="false" customHeight="false" outlineLevel="0" collapsed="false">
      <c r="A243" s="3" t="n">
        <v>242</v>
      </c>
      <c r="B243" s="3" t="n">
        <v>241</v>
      </c>
      <c r="C243" s="3" t="s">
        <v>117</v>
      </c>
      <c r="D243" s="3" t="n">
        <v>2</v>
      </c>
      <c r="E243" s="3" t="n">
        <v>2</v>
      </c>
      <c r="F243" s="3" t="n">
        <v>2</v>
      </c>
      <c r="G243" s="3" t="n">
        <v>1</v>
      </c>
      <c r="H243" s="24" t="n">
        <v>-0.216685534</v>
      </c>
    </row>
    <row r="244" customFormat="false" ht="15" hidden="false" customHeight="false" outlineLevel="0" collapsed="false">
      <c r="A244" s="3" t="n">
        <v>243</v>
      </c>
      <c r="B244" s="3" t="n">
        <v>242</v>
      </c>
      <c r="C244" s="3" t="s">
        <v>117</v>
      </c>
      <c r="D244" s="3" t="n">
        <v>2</v>
      </c>
      <c r="E244" s="3" t="n">
        <v>2</v>
      </c>
      <c r="F244" s="3" t="n">
        <v>2</v>
      </c>
      <c r="G244" s="3" t="n">
        <v>2</v>
      </c>
      <c r="H244" s="24" t="n">
        <v>-0.17432709</v>
      </c>
    </row>
    <row r="245" customFormat="false" ht="15" hidden="false" customHeight="false" outlineLevel="0" collapsed="false">
      <c r="A245" s="3" t="n">
        <v>244</v>
      </c>
      <c r="B245" s="3" t="n">
        <v>243</v>
      </c>
      <c r="C245" s="3" t="s">
        <v>117</v>
      </c>
      <c r="D245" s="3" t="n">
        <v>2</v>
      </c>
      <c r="E245" s="3" t="n">
        <v>3</v>
      </c>
      <c r="F245" s="3" t="n">
        <v>0</v>
      </c>
      <c r="G245" s="3" t="n">
        <v>0</v>
      </c>
      <c r="H245" s="24" t="n">
        <v>-0.005511194</v>
      </c>
    </row>
    <row r="246" customFormat="false" ht="15" hidden="false" customHeight="false" outlineLevel="0" collapsed="false">
      <c r="A246" s="3" t="n">
        <v>245</v>
      </c>
      <c r="B246" s="3" t="n">
        <v>244</v>
      </c>
      <c r="C246" s="3" t="s">
        <v>117</v>
      </c>
      <c r="D246" s="3" t="n">
        <v>2</v>
      </c>
      <c r="E246" s="3" t="n">
        <v>3</v>
      </c>
      <c r="F246" s="3" t="n">
        <v>0</v>
      </c>
      <c r="G246" s="3" t="n">
        <v>1</v>
      </c>
      <c r="H246" s="24" t="n">
        <v>0.0954327658</v>
      </c>
    </row>
    <row r="247" customFormat="false" ht="15" hidden="false" customHeight="false" outlineLevel="0" collapsed="false">
      <c r="A247" s="3" t="n">
        <v>246</v>
      </c>
      <c r="B247" s="3" t="n">
        <v>245</v>
      </c>
      <c r="C247" s="3" t="s">
        <v>117</v>
      </c>
      <c r="D247" s="3" t="n">
        <v>2</v>
      </c>
      <c r="E247" s="3" t="n">
        <v>3</v>
      </c>
      <c r="F247" s="3" t="n">
        <v>0</v>
      </c>
      <c r="G247" s="3" t="n">
        <v>2</v>
      </c>
      <c r="H247" s="24" t="n">
        <v>-0.248101056</v>
      </c>
    </row>
    <row r="248" customFormat="false" ht="15" hidden="false" customHeight="false" outlineLevel="0" collapsed="false">
      <c r="A248" s="3" t="n">
        <v>247</v>
      </c>
      <c r="B248" s="3" t="n">
        <v>246</v>
      </c>
      <c r="C248" s="3" t="s">
        <v>117</v>
      </c>
      <c r="D248" s="3" t="n">
        <v>2</v>
      </c>
      <c r="E248" s="3" t="n">
        <v>3</v>
      </c>
      <c r="F248" s="3" t="n">
        <v>1</v>
      </c>
      <c r="G248" s="3" t="n">
        <v>0</v>
      </c>
      <c r="H248" s="24" t="n">
        <v>-0.022947209</v>
      </c>
    </row>
    <row r="249" customFormat="false" ht="15" hidden="false" customHeight="false" outlineLevel="0" collapsed="false">
      <c r="A249" s="3" t="n">
        <v>248</v>
      </c>
      <c r="B249" s="3" t="n">
        <v>247</v>
      </c>
      <c r="C249" s="3" t="s">
        <v>117</v>
      </c>
      <c r="D249" s="3" t="n">
        <v>2</v>
      </c>
      <c r="E249" s="3" t="n">
        <v>3</v>
      </c>
      <c r="F249" s="3" t="n">
        <v>1</v>
      </c>
      <c r="G249" s="3" t="n">
        <v>1</v>
      </c>
      <c r="H249" s="24" t="n">
        <v>0.0396997705</v>
      </c>
    </row>
    <row r="250" customFormat="false" ht="15" hidden="false" customHeight="false" outlineLevel="0" collapsed="false">
      <c r="A250" s="3" t="n">
        <v>249</v>
      </c>
      <c r="B250" s="3" t="n">
        <v>248</v>
      </c>
      <c r="C250" s="3" t="s">
        <v>117</v>
      </c>
      <c r="D250" s="3" t="n">
        <v>2</v>
      </c>
      <c r="E250" s="3" t="n">
        <v>3</v>
      </c>
      <c r="F250" s="3" t="n">
        <v>1</v>
      </c>
      <c r="G250" s="3" t="n">
        <v>2</v>
      </c>
      <c r="H250" s="24" t="n">
        <v>-0.359273523</v>
      </c>
    </row>
    <row r="251" customFormat="false" ht="15" hidden="false" customHeight="false" outlineLevel="0" collapsed="false">
      <c r="A251" s="3" t="n">
        <v>250</v>
      </c>
      <c r="B251" s="3" t="n">
        <v>249</v>
      </c>
      <c r="C251" s="3" t="s">
        <v>117</v>
      </c>
      <c r="D251" s="3" t="n">
        <v>2</v>
      </c>
      <c r="E251" s="3" t="n">
        <v>3</v>
      </c>
      <c r="F251" s="3" t="n">
        <v>2</v>
      </c>
      <c r="G251" s="3" t="n">
        <v>0</v>
      </c>
      <c r="H251" s="24" t="n">
        <v>0.46471104</v>
      </c>
    </row>
    <row r="252" customFormat="false" ht="15" hidden="false" customHeight="false" outlineLevel="0" collapsed="false">
      <c r="A252" s="3" t="n">
        <v>251</v>
      </c>
      <c r="B252" s="3" t="n">
        <v>250</v>
      </c>
      <c r="C252" s="3" t="s">
        <v>117</v>
      </c>
      <c r="D252" s="3" t="n">
        <v>2</v>
      </c>
      <c r="E252" s="3" t="n">
        <v>3</v>
      </c>
      <c r="F252" s="3" t="n">
        <v>2</v>
      </c>
      <c r="G252" s="3" t="n">
        <v>1</v>
      </c>
      <c r="H252" s="24" t="n">
        <v>0.66936326</v>
      </c>
    </row>
    <row r="253" customFormat="false" ht="15" hidden="false" customHeight="false" outlineLevel="0" collapsed="false">
      <c r="A253" s="3" t="n">
        <v>252</v>
      </c>
      <c r="B253" s="3" t="n">
        <v>251</v>
      </c>
      <c r="C253" s="3" t="s">
        <v>117</v>
      </c>
      <c r="D253" s="3" t="n">
        <v>2</v>
      </c>
      <c r="E253" s="3" t="n">
        <v>3</v>
      </c>
      <c r="F253" s="3" t="n">
        <v>2</v>
      </c>
      <c r="G253" s="3" t="n">
        <v>2</v>
      </c>
      <c r="H253" s="24" t="n">
        <v>0.229152426</v>
      </c>
    </row>
    <row r="254" customFormat="false" ht="15" hidden="false" customHeight="false" outlineLevel="0" collapsed="false">
      <c r="A254" s="3" t="n">
        <v>253</v>
      </c>
      <c r="B254" s="3" t="n">
        <v>252</v>
      </c>
      <c r="C254" s="3" t="s">
        <v>117</v>
      </c>
      <c r="D254" s="3" t="n">
        <v>2</v>
      </c>
      <c r="E254" s="3" t="n">
        <v>4</v>
      </c>
      <c r="F254" s="3" t="n">
        <v>0</v>
      </c>
      <c r="G254" s="3" t="n">
        <v>0</v>
      </c>
      <c r="H254" s="24" t="n">
        <v>0.220060945</v>
      </c>
    </row>
    <row r="255" customFormat="false" ht="15" hidden="false" customHeight="false" outlineLevel="0" collapsed="false">
      <c r="A255" s="3" t="n">
        <v>254</v>
      </c>
      <c r="B255" s="3" t="n">
        <v>253</v>
      </c>
      <c r="C255" s="3" t="s">
        <v>117</v>
      </c>
      <c r="D255" s="3" t="n">
        <v>2</v>
      </c>
      <c r="E255" s="3" t="n">
        <v>4</v>
      </c>
      <c r="F255" s="3" t="n">
        <v>0</v>
      </c>
      <c r="G255" s="3" t="n">
        <v>1</v>
      </c>
      <c r="H255" s="24" t="n">
        <v>0.14606747</v>
      </c>
    </row>
    <row r="256" customFormat="false" ht="15" hidden="false" customHeight="false" outlineLevel="0" collapsed="false">
      <c r="A256" s="3" t="n">
        <v>255</v>
      </c>
      <c r="B256" s="3" t="n">
        <v>254</v>
      </c>
      <c r="C256" s="3" t="s">
        <v>117</v>
      </c>
      <c r="D256" s="3" t="n">
        <v>2</v>
      </c>
      <c r="E256" s="3" t="n">
        <v>4</v>
      </c>
      <c r="F256" s="3" t="n">
        <v>0</v>
      </c>
      <c r="G256" s="3" t="n">
        <v>2</v>
      </c>
      <c r="H256" s="24" t="n">
        <v>0.338576704</v>
      </c>
    </row>
    <row r="257" customFormat="false" ht="15" hidden="false" customHeight="false" outlineLevel="0" collapsed="false">
      <c r="A257" s="3" t="n">
        <v>256</v>
      </c>
      <c r="B257" s="3" t="n">
        <v>255</v>
      </c>
      <c r="C257" s="3" t="s">
        <v>117</v>
      </c>
      <c r="D257" s="3" t="n">
        <v>2</v>
      </c>
      <c r="E257" s="3" t="n">
        <v>4</v>
      </c>
      <c r="F257" s="3" t="n">
        <v>1</v>
      </c>
      <c r="G257" s="3" t="n">
        <v>0</v>
      </c>
      <c r="H257" s="24" t="n">
        <v>-0.186145589</v>
      </c>
    </row>
    <row r="258" customFormat="false" ht="15" hidden="false" customHeight="false" outlineLevel="0" collapsed="false">
      <c r="A258" s="3" t="n">
        <v>257</v>
      </c>
      <c r="B258" s="3" t="n">
        <v>256</v>
      </c>
      <c r="C258" s="3" t="s">
        <v>117</v>
      </c>
      <c r="D258" s="3" t="n">
        <v>2</v>
      </c>
      <c r="E258" s="3" t="n">
        <v>4</v>
      </c>
      <c r="F258" s="3" t="n">
        <v>1</v>
      </c>
      <c r="G258" s="3" t="n">
        <v>1</v>
      </c>
      <c r="H258" s="24" t="n">
        <v>-0.0429175124</v>
      </c>
    </row>
    <row r="259" customFormat="false" ht="15" hidden="false" customHeight="false" outlineLevel="0" collapsed="false">
      <c r="A259" s="3" t="n">
        <v>258</v>
      </c>
      <c r="B259" s="3" t="n">
        <v>257</v>
      </c>
      <c r="C259" s="3" t="s">
        <v>117</v>
      </c>
      <c r="D259" s="3" t="n">
        <v>2</v>
      </c>
      <c r="E259" s="3" t="n">
        <v>4</v>
      </c>
      <c r="F259" s="3" t="n">
        <v>1</v>
      </c>
      <c r="G259" s="3" t="n">
        <v>2</v>
      </c>
      <c r="H259" s="24" t="n">
        <v>0.0450286753</v>
      </c>
    </row>
    <row r="260" customFormat="false" ht="15" hidden="false" customHeight="false" outlineLevel="0" collapsed="false">
      <c r="A260" s="3" t="n">
        <v>259</v>
      </c>
      <c r="B260" s="3" t="n">
        <v>258</v>
      </c>
      <c r="C260" s="3" t="s">
        <v>117</v>
      </c>
      <c r="D260" s="3" t="n">
        <v>2</v>
      </c>
      <c r="E260" s="3" t="n">
        <v>4</v>
      </c>
      <c r="F260" s="3" t="n">
        <v>2</v>
      </c>
      <c r="G260" s="3" t="n">
        <v>0</v>
      </c>
      <c r="H260" s="24" t="n">
        <v>-0.315763652</v>
      </c>
    </row>
    <row r="261" customFormat="false" ht="15" hidden="false" customHeight="false" outlineLevel="0" collapsed="false">
      <c r="A261" s="3" t="n">
        <v>260</v>
      </c>
      <c r="B261" s="3" t="n">
        <v>259</v>
      </c>
      <c r="C261" s="3" t="s">
        <v>117</v>
      </c>
      <c r="D261" s="3" t="n">
        <v>2</v>
      </c>
      <c r="E261" s="3" t="n">
        <v>4</v>
      </c>
      <c r="F261" s="3" t="n">
        <v>2</v>
      </c>
      <c r="G261" s="3" t="n">
        <v>1</v>
      </c>
      <c r="H261" s="24" t="n">
        <v>-0.0307368115</v>
      </c>
    </row>
    <row r="262" customFormat="false" ht="15" hidden="false" customHeight="false" outlineLevel="0" collapsed="false">
      <c r="A262" s="3" t="n">
        <v>261</v>
      </c>
      <c r="B262" s="3" t="n">
        <v>260</v>
      </c>
      <c r="C262" s="3" t="s">
        <v>117</v>
      </c>
      <c r="D262" s="3" t="n">
        <v>2</v>
      </c>
      <c r="E262" s="3" t="n">
        <v>4</v>
      </c>
      <c r="F262" s="3" t="n">
        <v>2</v>
      </c>
      <c r="G262" s="3" t="n">
        <v>2</v>
      </c>
      <c r="H262" s="24" t="n">
        <v>0.104805201</v>
      </c>
    </row>
    <row r="263" customFormat="false" ht="15" hidden="false" customHeight="false" outlineLevel="0" collapsed="false">
      <c r="A263" s="3" t="n">
        <v>262</v>
      </c>
      <c r="B263" s="3" t="n">
        <v>261</v>
      </c>
      <c r="C263" s="3" t="s">
        <v>117</v>
      </c>
      <c r="D263" s="3" t="n">
        <v>2</v>
      </c>
      <c r="E263" s="3" t="n">
        <v>5</v>
      </c>
      <c r="F263" s="3" t="n">
        <v>0</v>
      </c>
      <c r="G263" s="3" t="n">
        <v>0</v>
      </c>
      <c r="H263" s="24" t="n">
        <v>-0.128308684</v>
      </c>
    </row>
    <row r="264" customFormat="false" ht="15" hidden="false" customHeight="false" outlineLevel="0" collapsed="false">
      <c r="A264" s="3" t="n">
        <v>263</v>
      </c>
      <c r="B264" s="3" t="n">
        <v>262</v>
      </c>
      <c r="C264" s="3" t="s">
        <v>117</v>
      </c>
      <c r="D264" s="3" t="n">
        <v>2</v>
      </c>
      <c r="E264" s="3" t="n">
        <v>5</v>
      </c>
      <c r="F264" s="3" t="n">
        <v>0</v>
      </c>
      <c r="G264" s="3" t="n">
        <v>1</v>
      </c>
      <c r="H264" s="24" t="n">
        <v>-0.126417249</v>
      </c>
    </row>
    <row r="265" customFormat="false" ht="15" hidden="false" customHeight="false" outlineLevel="0" collapsed="false">
      <c r="A265" s="3" t="n">
        <v>264</v>
      </c>
      <c r="B265" s="3" t="n">
        <v>263</v>
      </c>
      <c r="C265" s="3" t="s">
        <v>117</v>
      </c>
      <c r="D265" s="3" t="n">
        <v>2</v>
      </c>
      <c r="E265" s="3" t="n">
        <v>5</v>
      </c>
      <c r="F265" s="3" t="n">
        <v>0</v>
      </c>
      <c r="G265" s="3" t="n">
        <v>2</v>
      </c>
      <c r="H265" s="24" t="n">
        <v>-0.0423922352</v>
      </c>
    </row>
    <row r="266" customFormat="false" ht="15" hidden="false" customHeight="false" outlineLevel="0" collapsed="false">
      <c r="A266" s="3" t="n">
        <v>265</v>
      </c>
      <c r="B266" s="3" t="n">
        <v>264</v>
      </c>
      <c r="C266" s="3" t="s">
        <v>117</v>
      </c>
      <c r="D266" s="3" t="n">
        <v>2</v>
      </c>
      <c r="E266" s="3" t="n">
        <v>5</v>
      </c>
      <c r="F266" s="3" t="n">
        <v>1</v>
      </c>
      <c r="G266" s="3" t="n">
        <v>0</v>
      </c>
      <c r="H266" s="24" t="n">
        <v>0.197208002</v>
      </c>
    </row>
    <row r="267" customFormat="false" ht="15" hidden="false" customHeight="false" outlineLevel="0" collapsed="false">
      <c r="A267" s="3" t="n">
        <v>266</v>
      </c>
      <c r="B267" s="3" t="n">
        <v>265</v>
      </c>
      <c r="C267" s="3" t="s">
        <v>117</v>
      </c>
      <c r="D267" s="3" t="n">
        <v>2</v>
      </c>
      <c r="E267" s="3" t="n">
        <v>5</v>
      </c>
      <c r="F267" s="3" t="n">
        <v>1</v>
      </c>
      <c r="G267" s="3" t="n">
        <v>1</v>
      </c>
      <c r="H267" s="24" t="n">
        <v>0.419950634</v>
      </c>
    </row>
    <row r="268" customFormat="false" ht="15" hidden="false" customHeight="false" outlineLevel="0" collapsed="false">
      <c r="A268" s="3" t="n">
        <v>267</v>
      </c>
      <c r="B268" s="3" t="n">
        <v>266</v>
      </c>
      <c r="C268" s="3" t="s">
        <v>117</v>
      </c>
      <c r="D268" s="3" t="n">
        <v>2</v>
      </c>
      <c r="E268" s="3" t="n">
        <v>5</v>
      </c>
      <c r="F268" s="3" t="n">
        <v>1</v>
      </c>
      <c r="G268" s="3" t="n">
        <v>2</v>
      </c>
      <c r="H268" s="24" t="n">
        <v>0.521168828</v>
      </c>
    </row>
    <row r="269" customFormat="false" ht="15" hidden="false" customHeight="false" outlineLevel="0" collapsed="false">
      <c r="A269" s="3" t="n">
        <v>268</v>
      </c>
      <c r="B269" s="3" t="n">
        <v>267</v>
      </c>
      <c r="C269" s="3" t="s">
        <v>117</v>
      </c>
      <c r="D269" s="3" t="n">
        <v>2</v>
      </c>
      <c r="E269" s="3" t="n">
        <v>5</v>
      </c>
      <c r="F269" s="3" t="n">
        <v>2</v>
      </c>
      <c r="G269" s="3" t="n">
        <v>0</v>
      </c>
      <c r="H269" s="24" t="n">
        <v>0.199685201</v>
      </c>
    </row>
    <row r="270" customFormat="false" ht="15" hidden="false" customHeight="false" outlineLevel="0" collapsed="false">
      <c r="A270" s="3" t="n">
        <v>269</v>
      </c>
      <c r="B270" s="3" t="n">
        <v>268</v>
      </c>
      <c r="C270" s="3" t="s">
        <v>117</v>
      </c>
      <c r="D270" s="3" t="n">
        <v>2</v>
      </c>
      <c r="E270" s="3" t="n">
        <v>5</v>
      </c>
      <c r="F270" s="3" t="n">
        <v>2</v>
      </c>
      <c r="G270" s="3" t="n">
        <v>1</v>
      </c>
      <c r="H270" s="24" t="n">
        <v>0.366527736</v>
      </c>
    </row>
    <row r="271" customFormat="false" ht="15" hidden="false" customHeight="false" outlineLevel="0" collapsed="false">
      <c r="A271" s="3" t="n">
        <v>270</v>
      </c>
      <c r="B271" s="3" t="n">
        <v>269</v>
      </c>
      <c r="C271" s="3" t="s">
        <v>117</v>
      </c>
      <c r="D271" s="3" t="n">
        <v>2</v>
      </c>
      <c r="E271" s="3" t="n">
        <v>5</v>
      </c>
      <c r="F271" s="3" t="n">
        <v>2</v>
      </c>
      <c r="G271" s="3" t="n">
        <v>2</v>
      </c>
      <c r="H271" s="24" t="n">
        <v>-0.173298419</v>
      </c>
    </row>
    <row r="272" customFormat="false" ht="15" hidden="false" customHeight="false" outlineLevel="0" collapsed="false">
      <c r="A272" s="3" t="n">
        <v>271</v>
      </c>
      <c r="B272" s="3" t="n">
        <v>270</v>
      </c>
      <c r="C272" s="3" t="s">
        <v>117</v>
      </c>
      <c r="D272" s="3" t="n">
        <v>2</v>
      </c>
      <c r="E272" s="3" t="n">
        <v>6</v>
      </c>
      <c r="F272" s="3" t="n">
        <v>0</v>
      </c>
      <c r="G272" s="3" t="n">
        <v>0</v>
      </c>
      <c r="H272" s="24" t="n">
        <v>0.210483626</v>
      </c>
    </row>
    <row r="273" customFormat="false" ht="15" hidden="false" customHeight="false" outlineLevel="0" collapsed="false">
      <c r="A273" s="3" t="n">
        <v>272</v>
      </c>
      <c r="B273" s="3" t="n">
        <v>271</v>
      </c>
      <c r="C273" s="3" t="s">
        <v>117</v>
      </c>
      <c r="D273" s="3" t="n">
        <v>2</v>
      </c>
      <c r="E273" s="3" t="n">
        <v>6</v>
      </c>
      <c r="F273" s="3" t="n">
        <v>0</v>
      </c>
      <c r="G273" s="3" t="n">
        <v>1</v>
      </c>
      <c r="H273" s="24" t="n">
        <v>0.0355353393</v>
      </c>
    </row>
    <row r="274" customFormat="false" ht="15" hidden="false" customHeight="false" outlineLevel="0" collapsed="false">
      <c r="A274" s="3" t="n">
        <v>273</v>
      </c>
      <c r="B274" s="3" t="n">
        <v>272</v>
      </c>
      <c r="C274" s="3" t="s">
        <v>117</v>
      </c>
      <c r="D274" s="3" t="n">
        <v>2</v>
      </c>
      <c r="E274" s="3" t="n">
        <v>6</v>
      </c>
      <c r="F274" s="3" t="n">
        <v>0</v>
      </c>
      <c r="G274" s="3" t="n">
        <v>2</v>
      </c>
      <c r="H274" s="24" t="n">
        <v>0.216643631</v>
      </c>
    </row>
    <row r="275" customFormat="false" ht="15" hidden="false" customHeight="false" outlineLevel="0" collapsed="false">
      <c r="A275" s="3" t="n">
        <v>274</v>
      </c>
      <c r="B275" s="3" t="n">
        <v>273</v>
      </c>
      <c r="C275" s="3" t="s">
        <v>117</v>
      </c>
      <c r="D275" s="3" t="n">
        <v>2</v>
      </c>
      <c r="E275" s="3" t="n">
        <v>6</v>
      </c>
      <c r="F275" s="3" t="n">
        <v>1</v>
      </c>
      <c r="G275" s="3" t="n">
        <v>0</v>
      </c>
      <c r="H275" s="24" t="n">
        <v>-0.0467123315</v>
      </c>
    </row>
    <row r="276" customFormat="false" ht="15" hidden="false" customHeight="false" outlineLevel="0" collapsed="false">
      <c r="A276" s="3" t="n">
        <v>275</v>
      </c>
      <c r="B276" s="3" t="n">
        <v>274</v>
      </c>
      <c r="C276" s="3" t="s">
        <v>117</v>
      </c>
      <c r="D276" s="3" t="n">
        <v>2</v>
      </c>
      <c r="E276" s="3" t="n">
        <v>6</v>
      </c>
      <c r="F276" s="3" t="n">
        <v>1</v>
      </c>
      <c r="G276" s="3" t="n">
        <v>1</v>
      </c>
      <c r="H276" s="24" t="n">
        <v>0.178563237</v>
      </c>
    </row>
    <row r="277" customFormat="false" ht="15" hidden="false" customHeight="false" outlineLevel="0" collapsed="false">
      <c r="A277" s="3" t="n">
        <v>276</v>
      </c>
      <c r="B277" s="3" t="n">
        <v>275</v>
      </c>
      <c r="C277" s="3" t="s">
        <v>117</v>
      </c>
      <c r="D277" s="3" t="n">
        <v>2</v>
      </c>
      <c r="E277" s="3" t="n">
        <v>6</v>
      </c>
      <c r="F277" s="3" t="n">
        <v>1</v>
      </c>
      <c r="G277" s="3" t="n">
        <v>2</v>
      </c>
      <c r="H277" s="24" t="n">
        <v>0.136078969</v>
      </c>
    </row>
    <row r="278" customFormat="false" ht="15" hidden="false" customHeight="false" outlineLevel="0" collapsed="false">
      <c r="A278" s="3" t="n">
        <v>277</v>
      </c>
      <c r="B278" s="3" t="n">
        <v>276</v>
      </c>
      <c r="C278" s="3" t="s">
        <v>117</v>
      </c>
      <c r="D278" s="3" t="n">
        <v>2</v>
      </c>
      <c r="E278" s="3" t="n">
        <v>6</v>
      </c>
      <c r="F278" s="3" t="n">
        <v>2</v>
      </c>
      <c r="G278" s="3" t="n">
        <v>0</v>
      </c>
      <c r="H278" s="24" t="n">
        <v>-0.429061562</v>
      </c>
    </row>
    <row r="279" customFormat="false" ht="15" hidden="false" customHeight="false" outlineLevel="0" collapsed="false">
      <c r="A279" s="3" t="n">
        <v>278</v>
      </c>
      <c r="B279" s="3" t="n">
        <v>277</v>
      </c>
      <c r="C279" s="3" t="s">
        <v>117</v>
      </c>
      <c r="D279" s="3" t="n">
        <v>2</v>
      </c>
      <c r="E279" s="3" t="n">
        <v>6</v>
      </c>
      <c r="F279" s="3" t="n">
        <v>2</v>
      </c>
      <c r="G279" s="3" t="n">
        <v>1</v>
      </c>
      <c r="H279" s="24" t="n">
        <v>-0.148910999</v>
      </c>
    </row>
    <row r="280" customFormat="false" ht="15" hidden="false" customHeight="false" outlineLevel="0" collapsed="false">
      <c r="A280" s="3" t="n">
        <v>279</v>
      </c>
      <c r="B280" s="3" t="n">
        <v>278</v>
      </c>
      <c r="C280" s="3" t="s">
        <v>117</v>
      </c>
      <c r="D280" s="3" t="n">
        <v>2</v>
      </c>
      <c r="E280" s="3" t="n">
        <v>6</v>
      </c>
      <c r="F280" s="3" t="n">
        <v>2</v>
      </c>
      <c r="G280" s="3" t="n">
        <v>2</v>
      </c>
      <c r="H280" s="24" t="n">
        <v>-0.279682785</v>
      </c>
    </row>
    <row r="281" customFormat="false" ht="15" hidden="false" customHeight="false" outlineLevel="0" collapsed="false">
      <c r="A281" s="3" t="n">
        <v>280</v>
      </c>
      <c r="B281" s="3" t="n">
        <v>279</v>
      </c>
      <c r="C281" s="3" t="s">
        <v>117</v>
      </c>
      <c r="D281" s="3" t="n">
        <v>2</v>
      </c>
      <c r="E281" s="3" t="n">
        <v>7</v>
      </c>
      <c r="F281" s="3" t="n">
        <v>0</v>
      </c>
      <c r="G281" s="3" t="n">
        <v>0</v>
      </c>
      <c r="H281" s="24" t="n">
        <v>0.336466968</v>
      </c>
    </row>
    <row r="282" customFormat="false" ht="15" hidden="false" customHeight="false" outlineLevel="0" collapsed="false">
      <c r="A282" s="3" t="n">
        <v>281</v>
      </c>
      <c r="B282" s="3" t="n">
        <v>280</v>
      </c>
      <c r="C282" s="3" t="s">
        <v>117</v>
      </c>
      <c r="D282" s="3" t="n">
        <v>2</v>
      </c>
      <c r="E282" s="3" t="n">
        <v>7</v>
      </c>
      <c r="F282" s="3" t="n">
        <v>0</v>
      </c>
      <c r="G282" s="3" t="n">
        <v>1</v>
      </c>
      <c r="H282" s="24" t="n">
        <v>0.20458436</v>
      </c>
    </row>
    <row r="283" customFormat="false" ht="15" hidden="false" customHeight="false" outlineLevel="0" collapsed="false">
      <c r="A283" s="3" t="n">
        <v>282</v>
      </c>
      <c r="B283" s="3" t="n">
        <v>281</v>
      </c>
      <c r="C283" s="3" t="s">
        <v>117</v>
      </c>
      <c r="D283" s="3" t="n">
        <v>2</v>
      </c>
      <c r="E283" s="3" t="n">
        <v>7</v>
      </c>
      <c r="F283" s="3" t="n">
        <v>0</v>
      </c>
      <c r="G283" s="3" t="n">
        <v>2</v>
      </c>
      <c r="H283" s="24" t="n">
        <v>-0.0582543276</v>
      </c>
    </row>
    <row r="284" customFormat="false" ht="15" hidden="false" customHeight="false" outlineLevel="0" collapsed="false">
      <c r="A284" s="3" t="n">
        <v>283</v>
      </c>
      <c r="B284" s="3" t="n">
        <v>282</v>
      </c>
      <c r="C284" s="3" t="s">
        <v>117</v>
      </c>
      <c r="D284" s="3" t="n">
        <v>2</v>
      </c>
      <c r="E284" s="3" t="n">
        <v>7</v>
      </c>
      <c r="F284" s="3" t="n">
        <v>1</v>
      </c>
      <c r="G284" s="3" t="n">
        <v>0</v>
      </c>
      <c r="H284" s="24" t="n">
        <v>-0.252590507</v>
      </c>
    </row>
    <row r="285" customFormat="false" ht="15" hidden="false" customHeight="false" outlineLevel="0" collapsed="false">
      <c r="A285" s="3" t="n">
        <v>284</v>
      </c>
      <c r="B285" s="3" t="n">
        <v>283</v>
      </c>
      <c r="C285" s="3" t="s">
        <v>117</v>
      </c>
      <c r="D285" s="3" t="n">
        <v>2</v>
      </c>
      <c r="E285" s="3" t="n">
        <v>7</v>
      </c>
      <c r="F285" s="3" t="n">
        <v>1</v>
      </c>
      <c r="G285" s="3" t="n">
        <v>1</v>
      </c>
      <c r="H285" s="24" t="n">
        <v>-0.219891459</v>
      </c>
    </row>
    <row r="286" customFormat="false" ht="15" hidden="false" customHeight="false" outlineLevel="0" collapsed="false">
      <c r="A286" s="3" t="n">
        <v>285</v>
      </c>
      <c r="B286" s="3" t="n">
        <v>284</v>
      </c>
      <c r="C286" s="3" t="s">
        <v>117</v>
      </c>
      <c r="D286" s="3" t="n">
        <v>2</v>
      </c>
      <c r="E286" s="3" t="n">
        <v>7</v>
      </c>
      <c r="F286" s="3" t="n">
        <v>1</v>
      </c>
      <c r="G286" s="3" t="n">
        <v>2</v>
      </c>
      <c r="H286" s="24" t="n">
        <v>-0.327976376</v>
      </c>
    </row>
    <row r="287" customFormat="false" ht="15" hidden="false" customHeight="false" outlineLevel="0" collapsed="false">
      <c r="A287" s="3" t="n">
        <v>286</v>
      </c>
      <c r="B287" s="3" t="n">
        <v>285</v>
      </c>
      <c r="C287" s="3" t="s">
        <v>117</v>
      </c>
      <c r="D287" s="3" t="n">
        <v>2</v>
      </c>
      <c r="E287" s="3" t="n">
        <v>7</v>
      </c>
      <c r="F287" s="3" t="n">
        <v>2</v>
      </c>
      <c r="G287" s="3" t="n">
        <v>0</v>
      </c>
      <c r="H287" s="24" t="n">
        <v>-0.523362339</v>
      </c>
    </row>
    <row r="288" customFormat="false" ht="15" hidden="false" customHeight="false" outlineLevel="0" collapsed="false">
      <c r="A288" s="3" t="n">
        <v>287</v>
      </c>
      <c r="B288" s="3" t="n">
        <v>286</v>
      </c>
      <c r="C288" s="3" t="s">
        <v>117</v>
      </c>
      <c r="D288" s="3" t="n">
        <v>2</v>
      </c>
      <c r="E288" s="3" t="n">
        <v>7</v>
      </c>
      <c r="F288" s="3" t="n">
        <v>2</v>
      </c>
      <c r="G288" s="3" t="n">
        <v>1</v>
      </c>
      <c r="H288" s="24" t="n">
        <v>-0.0461315997</v>
      </c>
    </row>
    <row r="289" customFormat="false" ht="15" hidden="false" customHeight="false" outlineLevel="0" collapsed="false">
      <c r="A289" s="3" t="n">
        <v>288</v>
      </c>
      <c r="B289" s="3" t="n">
        <v>287</v>
      </c>
      <c r="C289" s="3" t="s">
        <v>117</v>
      </c>
      <c r="D289" s="3" t="n">
        <v>2</v>
      </c>
      <c r="E289" s="3" t="n">
        <v>7</v>
      </c>
      <c r="F289" s="3" t="n">
        <v>2</v>
      </c>
      <c r="G289" s="3" t="n">
        <v>2</v>
      </c>
      <c r="H289" s="24" t="n">
        <v>0.0257120058</v>
      </c>
    </row>
    <row r="290" customFormat="false" ht="15" hidden="false" customHeight="false" outlineLevel="0" collapsed="false">
      <c r="A290" s="3" t="n">
        <v>289</v>
      </c>
      <c r="B290" s="3" t="n">
        <v>288</v>
      </c>
      <c r="C290" s="3" t="s">
        <v>117</v>
      </c>
      <c r="D290" s="3" t="n">
        <v>3</v>
      </c>
      <c r="E290" s="3" t="n">
        <v>0</v>
      </c>
      <c r="F290" s="3" t="n">
        <v>0</v>
      </c>
      <c r="G290" s="3" t="n">
        <v>0</v>
      </c>
      <c r="H290" s="24" t="n">
        <v>0.0169822872</v>
      </c>
    </row>
    <row r="291" customFormat="false" ht="15" hidden="false" customHeight="false" outlineLevel="0" collapsed="false">
      <c r="A291" s="3" t="n">
        <v>290</v>
      </c>
      <c r="B291" s="3" t="n">
        <v>289</v>
      </c>
      <c r="C291" s="3" t="s">
        <v>117</v>
      </c>
      <c r="D291" s="3" t="n">
        <v>3</v>
      </c>
      <c r="E291" s="3" t="n">
        <v>0</v>
      </c>
      <c r="F291" s="3" t="n">
        <v>0</v>
      </c>
      <c r="G291" s="3" t="n">
        <v>1</v>
      </c>
      <c r="H291" s="24" t="n">
        <v>0.176045522</v>
      </c>
    </row>
    <row r="292" customFormat="false" ht="15" hidden="false" customHeight="false" outlineLevel="0" collapsed="false">
      <c r="A292" s="3" t="n">
        <v>291</v>
      </c>
      <c r="B292" s="3" t="n">
        <v>290</v>
      </c>
      <c r="C292" s="3" t="s">
        <v>117</v>
      </c>
      <c r="D292" s="3" t="n">
        <v>3</v>
      </c>
      <c r="E292" s="3" t="n">
        <v>0</v>
      </c>
      <c r="F292" s="3" t="n">
        <v>0</v>
      </c>
      <c r="G292" s="3" t="n">
        <v>2</v>
      </c>
      <c r="H292" s="24" t="n">
        <v>0.116361663</v>
      </c>
    </row>
    <row r="293" customFormat="false" ht="15" hidden="false" customHeight="false" outlineLevel="0" collapsed="false">
      <c r="A293" s="3" t="n">
        <v>292</v>
      </c>
      <c r="B293" s="3" t="n">
        <v>291</v>
      </c>
      <c r="C293" s="3" t="s">
        <v>117</v>
      </c>
      <c r="D293" s="3" t="n">
        <v>3</v>
      </c>
      <c r="E293" s="3" t="n">
        <v>0</v>
      </c>
      <c r="F293" s="3" t="n">
        <v>1</v>
      </c>
      <c r="G293" s="3" t="n">
        <v>0</v>
      </c>
      <c r="H293" s="24" t="n">
        <v>-0.193625718</v>
      </c>
    </row>
    <row r="294" customFormat="false" ht="15" hidden="false" customHeight="false" outlineLevel="0" collapsed="false">
      <c r="A294" s="3" t="n">
        <v>293</v>
      </c>
      <c r="B294" s="3" t="n">
        <v>292</v>
      </c>
      <c r="C294" s="3" t="s">
        <v>117</v>
      </c>
      <c r="D294" s="3" t="n">
        <v>3</v>
      </c>
      <c r="E294" s="3" t="n">
        <v>0</v>
      </c>
      <c r="F294" s="3" t="n">
        <v>1</v>
      </c>
      <c r="G294" s="3" t="n">
        <v>1</v>
      </c>
      <c r="H294" s="24" t="n">
        <v>0.254064322</v>
      </c>
    </row>
    <row r="295" customFormat="false" ht="15" hidden="false" customHeight="false" outlineLevel="0" collapsed="false">
      <c r="A295" s="3" t="n">
        <v>294</v>
      </c>
      <c r="B295" s="3" t="n">
        <v>293</v>
      </c>
      <c r="C295" s="3" t="s">
        <v>117</v>
      </c>
      <c r="D295" s="3" t="n">
        <v>3</v>
      </c>
      <c r="E295" s="3" t="n">
        <v>0</v>
      </c>
      <c r="F295" s="3" t="n">
        <v>1</v>
      </c>
      <c r="G295" s="3" t="n">
        <v>2</v>
      </c>
      <c r="H295" s="24" t="n">
        <v>0.351988763</v>
      </c>
    </row>
    <row r="296" customFormat="false" ht="15" hidden="false" customHeight="false" outlineLevel="0" collapsed="false">
      <c r="A296" s="3" t="n">
        <v>295</v>
      </c>
      <c r="B296" s="3" t="n">
        <v>294</v>
      </c>
      <c r="C296" s="3" t="s">
        <v>117</v>
      </c>
      <c r="D296" s="3" t="n">
        <v>3</v>
      </c>
      <c r="E296" s="3" t="n">
        <v>0</v>
      </c>
      <c r="F296" s="3" t="n">
        <v>2</v>
      </c>
      <c r="G296" s="3" t="n">
        <v>0</v>
      </c>
      <c r="H296" s="24" t="n">
        <v>-0.209077477</v>
      </c>
    </row>
    <row r="297" customFormat="false" ht="15" hidden="false" customHeight="false" outlineLevel="0" collapsed="false">
      <c r="A297" s="3" t="n">
        <v>296</v>
      </c>
      <c r="B297" s="3" t="n">
        <v>295</v>
      </c>
      <c r="C297" s="3" t="s">
        <v>117</v>
      </c>
      <c r="D297" s="3" t="n">
        <v>3</v>
      </c>
      <c r="E297" s="3" t="n">
        <v>0</v>
      </c>
      <c r="F297" s="3" t="n">
        <v>2</v>
      </c>
      <c r="G297" s="3" t="n">
        <v>1</v>
      </c>
      <c r="H297" s="24" t="n">
        <v>-0.503831923</v>
      </c>
    </row>
    <row r="298" customFormat="false" ht="15" hidden="false" customHeight="false" outlineLevel="0" collapsed="false">
      <c r="A298" s="3" t="n">
        <v>297</v>
      </c>
      <c r="B298" s="3" t="n">
        <v>296</v>
      </c>
      <c r="C298" s="3" t="s">
        <v>117</v>
      </c>
      <c r="D298" s="3" t="n">
        <v>3</v>
      </c>
      <c r="E298" s="3" t="n">
        <v>0</v>
      </c>
      <c r="F298" s="3" t="n">
        <v>2</v>
      </c>
      <c r="G298" s="3" t="n">
        <v>2</v>
      </c>
      <c r="H298" s="24" t="n">
        <v>-0.0474919081</v>
      </c>
    </row>
    <row r="299" customFormat="false" ht="15" hidden="false" customHeight="false" outlineLevel="0" collapsed="false">
      <c r="A299" s="3" t="n">
        <v>298</v>
      </c>
      <c r="B299" s="3" t="n">
        <v>297</v>
      </c>
      <c r="C299" s="3" t="s">
        <v>117</v>
      </c>
      <c r="D299" s="3" t="n">
        <v>3</v>
      </c>
      <c r="E299" s="3" t="n">
        <v>1</v>
      </c>
      <c r="F299" s="3" t="n">
        <v>0</v>
      </c>
      <c r="G299" s="3" t="n">
        <v>0</v>
      </c>
      <c r="H299" s="24" t="n">
        <v>0.151759222</v>
      </c>
    </row>
    <row r="300" customFormat="false" ht="15" hidden="false" customHeight="false" outlineLevel="0" collapsed="false">
      <c r="A300" s="3" t="n">
        <v>299</v>
      </c>
      <c r="B300" s="3" t="n">
        <v>298</v>
      </c>
      <c r="C300" s="3" t="s">
        <v>117</v>
      </c>
      <c r="D300" s="3" t="n">
        <v>3</v>
      </c>
      <c r="E300" s="3" t="n">
        <v>1</v>
      </c>
      <c r="F300" s="3" t="n">
        <v>0</v>
      </c>
      <c r="G300" s="3" t="n">
        <v>1</v>
      </c>
      <c r="H300" s="24" t="n">
        <v>-0.00129764352</v>
      </c>
    </row>
    <row r="301" customFormat="false" ht="15" hidden="false" customHeight="false" outlineLevel="0" collapsed="false">
      <c r="A301" s="3" t="n">
        <v>300</v>
      </c>
      <c r="B301" s="3" t="n">
        <v>299</v>
      </c>
      <c r="C301" s="3" t="s">
        <v>117</v>
      </c>
      <c r="D301" s="3" t="n">
        <v>3</v>
      </c>
      <c r="E301" s="3" t="n">
        <v>1</v>
      </c>
      <c r="F301" s="3" t="n">
        <v>0</v>
      </c>
      <c r="G301" s="3" t="n">
        <v>2</v>
      </c>
      <c r="H301" s="24" t="n">
        <v>0.0899483636</v>
      </c>
    </row>
    <row r="302" customFormat="false" ht="15" hidden="false" customHeight="false" outlineLevel="0" collapsed="false">
      <c r="A302" s="3" t="n">
        <v>301</v>
      </c>
      <c r="B302" s="3" t="n">
        <v>300</v>
      </c>
      <c r="C302" s="3" t="s">
        <v>117</v>
      </c>
      <c r="D302" s="3" t="n">
        <v>3</v>
      </c>
      <c r="E302" s="3" t="n">
        <v>1</v>
      </c>
      <c r="F302" s="3" t="n">
        <v>1</v>
      </c>
      <c r="G302" s="3" t="n">
        <v>0</v>
      </c>
      <c r="H302" s="24" t="n">
        <v>-0.139444992</v>
      </c>
    </row>
    <row r="303" customFormat="false" ht="15" hidden="false" customHeight="false" outlineLevel="0" collapsed="false">
      <c r="A303" s="3" t="n">
        <v>302</v>
      </c>
      <c r="B303" s="3" t="n">
        <v>301</v>
      </c>
      <c r="C303" s="3" t="s">
        <v>117</v>
      </c>
      <c r="D303" s="3" t="n">
        <v>3</v>
      </c>
      <c r="E303" s="3" t="n">
        <v>1</v>
      </c>
      <c r="F303" s="3" t="n">
        <v>1</v>
      </c>
      <c r="G303" s="3" t="n">
        <v>1</v>
      </c>
      <c r="H303" s="24" t="n">
        <v>0.0616097078</v>
      </c>
    </row>
    <row r="304" customFormat="false" ht="15" hidden="false" customHeight="false" outlineLevel="0" collapsed="false">
      <c r="A304" s="3" t="n">
        <v>303</v>
      </c>
      <c r="B304" s="3" t="n">
        <v>302</v>
      </c>
      <c r="C304" s="3" t="s">
        <v>117</v>
      </c>
      <c r="D304" s="3" t="n">
        <v>3</v>
      </c>
      <c r="E304" s="3" t="n">
        <v>1</v>
      </c>
      <c r="F304" s="3" t="n">
        <v>1</v>
      </c>
      <c r="G304" s="3" t="n">
        <v>2</v>
      </c>
      <c r="H304" s="24" t="n">
        <v>0.306560963</v>
      </c>
    </row>
    <row r="305" customFormat="false" ht="15" hidden="false" customHeight="false" outlineLevel="0" collapsed="false">
      <c r="A305" s="3" t="n">
        <v>304</v>
      </c>
      <c r="B305" s="3" t="n">
        <v>303</v>
      </c>
      <c r="C305" s="3" t="s">
        <v>117</v>
      </c>
      <c r="D305" s="3" t="n">
        <v>3</v>
      </c>
      <c r="E305" s="3" t="n">
        <v>1</v>
      </c>
      <c r="F305" s="3" t="n">
        <v>2</v>
      </c>
      <c r="G305" s="3" t="n">
        <v>0</v>
      </c>
      <c r="H305" s="24" t="n">
        <v>-0.257753164</v>
      </c>
    </row>
    <row r="306" customFormat="false" ht="15" hidden="false" customHeight="false" outlineLevel="0" collapsed="false">
      <c r="A306" s="3" t="n">
        <v>305</v>
      </c>
      <c r="B306" s="3" t="n">
        <v>304</v>
      </c>
      <c r="C306" s="3" t="s">
        <v>117</v>
      </c>
      <c r="D306" s="3" t="n">
        <v>3</v>
      </c>
      <c r="E306" s="3" t="n">
        <v>1</v>
      </c>
      <c r="F306" s="3" t="n">
        <v>2</v>
      </c>
      <c r="G306" s="3" t="n">
        <v>1</v>
      </c>
      <c r="H306" s="24" t="n">
        <v>-0.691401899</v>
      </c>
    </row>
    <row r="307" customFormat="false" ht="15" hidden="false" customHeight="false" outlineLevel="0" collapsed="false">
      <c r="A307" s="3" t="n">
        <v>306</v>
      </c>
      <c r="B307" s="3" t="n">
        <v>305</v>
      </c>
      <c r="C307" s="3" t="s">
        <v>117</v>
      </c>
      <c r="D307" s="3" t="n">
        <v>3</v>
      </c>
      <c r="E307" s="3" t="n">
        <v>1</v>
      </c>
      <c r="F307" s="3" t="n">
        <v>2</v>
      </c>
      <c r="G307" s="3" t="n">
        <v>2</v>
      </c>
      <c r="H307" s="24" t="n">
        <v>-0.0163697451</v>
      </c>
    </row>
    <row r="308" customFormat="false" ht="15" hidden="false" customHeight="false" outlineLevel="0" collapsed="false">
      <c r="A308" s="3" t="n">
        <v>307</v>
      </c>
      <c r="B308" s="3" t="n">
        <v>306</v>
      </c>
      <c r="C308" s="3" t="s">
        <v>117</v>
      </c>
      <c r="D308" s="3" t="n">
        <v>3</v>
      </c>
      <c r="E308" s="3" t="n">
        <v>2</v>
      </c>
      <c r="F308" s="3" t="n">
        <v>0</v>
      </c>
      <c r="G308" s="3" t="n">
        <v>0</v>
      </c>
      <c r="H308" s="24" t="n">
        <v>0.168924302</v>
      </c>
    </row>
    <row r="309" customFormat="false" ht="15" hidden="false" customHeight="false" outlineLevel="0" collapsed="false">
      <c r="A309" s="3" t="n">
        <v>308</v>
      </c>
      <c r="B309" s="3" t="n">
        <v>307</v>
      </c>
      <c r="C309" s="3" t="s">
        <v>117</v>
      </c>
      <c r="D309" s="3" t="n">
        <v>3</v>
      </c>
      <c r="E309" s="3" t="n">
        <v>2</v>
      </c>
      <c r="F309" s="3" t="n">
        <v>0</v>
      </c>
      <c r="G309" s="3" t="n">
        <v>1</v>
      </c>
      <c r="H309" s="24" t="n">
        <v>0.0519762114</v>
      </c>
    </row>
    <row r="310" customFormat="false" ht="15" hidden="false" customHeight="false" outlineLevel="0" collapsed="false">
      <c r="A310" s="3" t="n">
        <v>309</v>
      </c>
      <c r="B310" s="3" t="n">
        <v>308</v>
      </c>
      <c r="C310" s="3" t="s">
        <v>117</v>
      </c>
      <c r="D310" s="3" t="n">
        <v>3</v>
      </c>
      <c r="E310" s="3" t="n">
        <v>2</v>
      </c>
      <c r="F310" s="3" t="n">
        <v>0</v>
      </c>
      <c r="G310" s="3" t="n">
        <v>2</v>
      </c>
      <c r="H310" s="24" t="n">
        <v>0.0521665365</v>
      </c>
    </row>
    <row r="311" customFormat="false" ht="15" hidden="false" customHeight="false" outlineLevel="0" collapsed="false">
      <c r="A311" s="3" t="n">
        <v>310</v>
      </c>
      <c r="B311" s="3" t="n">
        <v>309</v>
      </c>
      <c r="C311" s="3" t="s">
        <v>117</v>
      </c>
      <c r="D311" s="3" t="n">
        <v>3</v>
      </c>
      <c r="E311" s="3" t="n">
        <v>2</v>
      </c>
      <c r="F311" s="3" t="n">
        <v>1</v>
      </c>
      <c r="G311" s="3" t="n">
        <v>0</v>
      </c>
      <c r="H311" s="24" t="n">
        <v>0.249375194</v>
      </c>
    </row>
    <row r="312" customFormat="false" ht="15" hidden="false" customHeight="false" outlineLevel="0" collapsed="false">
      <c r="A312" s="3" t="n">
        <v>311</v>
      </c>
      <c r="B312" s="3" t="n">
        <v>310</v>
      </c>
      <c r="C312" s="3" t="s">
        <v>117</v>
      </c>
      <c r="D312" s="3" t="n">
        <v>3</v>
      </c>
      <c r="E312" s="3" t="n">
        <v>2</v>
      </c>
      <c r="F312" s="3" t="n">
        <v>1</v>
      </c>
      <c r="G312" s="3" t="n">
        <v>1</v>
      </c>
      <c r="H312" s="24" t="n">
        <v>0.0272595212</v>
      </c>
    </row>
    <row r="313" customFormat="false" ht="15" hidden="false" customHeight="false" outlineLevel="0" collapsed="false">
      <c r="A313" s="3" t="n">
        <v>312</v>
      </c>
      <c r="B313" s="3" t="n">
        <v>311</v>
      </c>
      <c r="C313" s="3" t="s">
        <v>117</v>
      </c>
      <c r="D313" s="3" t="n">
        <v>3</v>
      </c>
      <c r="E313" s="3" t="n">
        <v>2</v>
      </c>
      <c r="F313" s="3" t="n">
        <v>1</v>
      </c>
      <c r="G313" s="3" t="n">
        <v>2</v>
      </c>
      <c r="H313" s="24" t="n">
        <v>0.159628883</v>
      </c>
    </row>
    <row r="314" customFormat="false" ht="15" hidden="false" customHeight="false" outlineLevel="0" collapsed="false">
      <c r="A314" s="3" t="n">
        <v>313</v>
      </c>
      <c r="B314" s="3" t="n">
        <v>312</v>
      </c>
      <c r="C314" s="3" t="s">
        <v>117</v>
      </c>
      <c r="D314" s="3" t="n">
        <v>3</v>
      </c>
      <c r="E314" s="3" t="n">
        <v>2</v>
      </c>
      <c r="F314" s="3" t="n">
        <v>2</v>
      </c>
      <c r="G314" s="3" t="n">
        <v>0</v>
      </c>
      <c r="H314" s="24" t="n">
        <v>-0.30472365</v>
      </c>
    </row>
    <row r="315" customFormat="false" ht="15" hidden="false" customHeight="false" outlineLevel="0" collapsed="false">
      <c r="A315" s="3" t="n">
        <v>314</v>
      </c>
      <c r="B315" s="3" t="n">
        <v>313</v>
      </c>
      <c r="C315" s="3" t="s">
        <v>117</v>
      </c>
      <c r="D315" s="3" t="n">
        <v>3</v>
      </c>
      <c r="E315" s="3" t="n">
        <v>2</v>
      </c>
      <c r="F315" s="3" t="n">
        <v>2</v>
      </c>
      <c r="G315" s="3" t="n">
        <v>1</v>
      </c>
      <c r="H315" s="24" t="n">
        <v>-0.195299074</v>
      </c>
    </row>
    <row r="316" customFormat="false" ht="15" hidden="false" customHeight="false" outlineLevel="0" collapsed="false">
      <c r="A316" s="3" t="n">
        <v>315</v>
      </c>
      <c r="B316" s="3" t="n">
        <v>314</v>
      </c>
      <c r="C316" s="3" t="s">
        <v>117</v>
      </c>
      <c r="D316" s="3" t="n">
        <v>3</v>
      </c>
      <c r="E316" s="3" t="n">
        <v>2</v>
      </c>
      <c r="F316" s="3" t="n">
        <v>2</v>
      </c>
      <c r="G316" s="3" t="n">
        <v>2</v>
      </c>
      <c r="H316" s="24" t="n">
        <v>0.483678579</v>
      </c>
    </row>
    <row r="317" customFormat="false" ht="15" hidden="false" customHeight="false" outlineLevel="0" collapsed="false">
      <c r="A317" s="3" t="n">
        <v>316</v>
      </c>
      <c r="B317" s="3" t="n">
        <v>315</v>
      </c>
      <c r="C317" s="3" t="s">
        <v>117</v>
      </c>
      <c r="D317" s="3" t="n">
        <v>3</v>
      </c>
      <c r="E317" s="3" t="n">
        <v>3</v>
      </c>
      <c r="F317" s="3" t="n">
        <v>0</v>
      </c>
      <c r="G317" s="3" t="n">
        <v>0</v>
      </c>
      <c r="H317" s="24" t="n">
        <v>0.146749601</v>
      </c>
    </row>
    <row r="318" customFormat="false" ht="15" hidden="false" customHeight="false" outlineLevel="0" collapsed="false">
      <c r="A318" s="3" t="n">
        <v>317</v>
      </c>
      <c r="B318" s="3" t="n">
        <v>316</v>
      </c>
      <c r="C318" s="3" t="s">
        <v>117</v>
      </c>
      <c r="D318" s="3" t="n">
        <v>3</v>
      </c>
      <c r="E318" s="3" t="n">
        <v>3</v>
      </c>
      <c r="F318" s="3" t="n">
        <v>0</v>
      </c>
      <c r="G318" s="3" t="n">
        <v>1</v>
      </c>
      <c r="H318" s="24" t="n">
        <v>0.146447584</v>
      </c>
    </row>
    <row r="319" customFormat="false" ht="15" hidden="false" customHeight="false" outlineLevel="0" collapsed="false">
      <c r="A319" s="3" t="n">
        <v>318</v>
      </c>
      <c r="B319" s="3" t="n">
        <v>317</v>
      </c>
      <c r="C319" s="3" t="s">
        <v>117</v>
      </c>
      <c r="D319" s="3" t="n">
        <v>3</v>
      </c>
      <c r="E319" s="3" t="n">
        <v>3</v>
      </c>
      <c r="F319" s="3" t="n">
        <v>0</v>
      </c>
      <c r="G319" s="3" t="n">
        <v>2</v>
      </c>
      <c r="H319" s="24" t="n">
        <v>-0.00272906548</v>
      </c>
    </row>
    <row r="320" customFormat="false" ht="15" hidden="false" customHeight="false" outlineLevel="0" collapsed="false">
      <c r="A320" s="3" t="n">
        <v>319</v>
      </c>
      <c r="B320" s="3" t="n">
        <v>318</v>
      </c>
      <c r="C320" s="3" t="s">
        <v>117</v>
      </c>
      <c r="D320" s="3" t="n">
        <v>3</v>
      </c>
      <c r="E320" s="3" t="n">
        <v>3</v>
      </c>
      <c r="F320" s="3" t="n">
        <v>1</v>
      </c>
      <c r="G320" s="3" t="n">
        <v>0</v>
      </c>
      <c r="H320" s="24" t="n">
        <v>0.00413947692</v>
      </c>
    </row>
    <row r="321" customFormat="false" ht="15" hidden="false" customHeight="false" outlineLevel="0" collapsed="false">
      <c r="A321" s="3" t="n">
        <v>320</v>
      </c>
      <c r="B321" s="3" t="n">
        <v>319</v>
      </c>
      <c r="C321" s="3" t="s">
        <v>117</v>
      </c>
      <c r="D321" s="3" t="n">
        <v>3</v>
      </c>
      <c r="E321" s="3" t="n">
        <v>3</v>
      </c>
      <c r="F321" s="3" t="n">
        <v>1</v>
      </c>
      <c r="G321" s="3" t="n">
        <v>1</v>
      </c>
      <c r="H321" s="24" t="n">
        <v>-0.145285204</v>
      </c>
    </row>
    <row r="322" customFormat="false" ht="15" hidden="false" customHeight="false" outlineLevel="0" collapsed="false">
      <c r="A322" s="3" t="n">
        <v>321</v>
      </c>
      <c r="B322" s="3" t="n">
        <v>320</v>
      </c>
      <c r="C322" s="3" t="s">
        <v>117</v>
      </c>
      <c r="D322" s="3" t="n">
        <v>3</v>
      </c>
      <c r="E322" s="3" t="n">
        <v>3</v>
      </c>
      <c r="F322" s="3" t="n">
        <v>1</v>
      </c>
      <c r="G322" s="3" t="n">
        <v>2</v>
      </c>
      <c r="H322" s="24" t="n">
        <v>0.271904945</v>
      </c>
    </row>
    <row r="323" customFormat="false" ht="15" hidden="false" customHeight="false" outlineLevel="0" collapsed="false">
      <c r="A323" s="3" t="n">
        <v>322</v>
      </c>
      <c r="B323" s="3" t="n">
        <v>321</v>
      </c>
      <c r="C323" s="3" t="s">
        <v>117</v>
      </c>
      <c r="D323" s="3" t="n">
        <v>3</v>
      </c>
      <c r="E323" s="3" t="n">
        <v>3</v>
      </c>
      <c r="F323" s="3" t="n">
        <v>2</v>
      </c>
      <c r="G323" s="3" t="n">
        <v>0</v>
      </c>
      <c r="H323" s="24" t="n">
        <v>0.226830333</v>
      </c>
    </row>
    <row r="324" customFormat="false" ht="15" hidden="false" customHeight="false" outlineLevel="0" collapsed="false">
      <c r="A324" s="3" t="n">
        <v>323</v>
      </c>
      <c r="B324" s="3" t="n">
        <v>322</v>
      </c>
      <c r="C324" s="3" t="s">
        <v>117</v>
      </c>
      <c r="D324" s="3" t="n">
        <v>3</v>
      </c>
      <c r="E324" s="3" t="n">
        <v>3</v>
      </c>
      <c r="F324" s="3" t="n">
        <v>2</v>
      </c>
      <c r="G324" s="3" t="n">
        <v>1</v>
      </c>
      <c r="H324" s="24" t="n">
        <v>-0.03627076</v>
      </c>
    </row>
    <row r="325" customFormat="false" ht="15" hidden="false" customHeight="false" outlineLevel="0" collapsed="false">
      <c r="A325" s="3" t="n">
        <v>324</v>
      </c>
      <c r="B325" s="3" t="n">
        <v>323</v>
      </c>
      <c r="C325" s="3" t="s">
        <v>117</v>
      </c>
      <c r="D325" s="3" t="n">
        <v>3</v>
      </c>
      <c r="E325" s="3" t="n">
        <v>3</v>
      </c>
      <c r="F325" s="3" t="n">
        <v>2</v>
      </c>
      <c r="G325" s="3" t="n">
        <v>2</v>
      </c>
      <c r="H325" s="24" t="n">
        <v>-0.442742288</v>
      </c>
    </row>
    <row r="326" customFormat="false" ht="15" hidden="false" customHeight="false" outlineLevel="0" collapsed="false">
      <c r="A326" s="3" t="n">
        <v>325</v>
      </c>
      <c r="B326" s="3" t="n">
        <v>324</v>
      </c>
      <c r="C326" s="3" t="s">
        <v>117</v>
      </c>
      <c r="D326" s="3" t="n">
        <v>3</v>
      </c>
      <c r="E326" s="3" t="n">
        <v>4</v>
      </c>
      <c r="F326" s="3" t="n">
        <v>0</v>
      </c>
      <c r="G326" s="3" t="n">
        <v>0</v>
      </c>
      <c r="H326" s="24" t="n">
        <v>-0.0147819566</v>
      </c>
    </row>
    <row r="327" customFormat="false" ht="15" hidden="false" customHeight="false" outlineLevel="0" collapsed="false">
      <c r="A327" s="3" t="n">
        <v>326</v>
      </c>
      <c r="B327" s="3" t="n">
        <v>325</v>
      </c>
      <c r="C327" s="3" t="s">
        <v>117</v>
      </c>
      <c r="D327" s="3" t="n">
        <v>3</v>
      </c>
      <c r="E327" s="3" t="n">
        <v>4</v>
      </c>
      <c r="F327" s="3" t="n">
        <v>0</v>
      </c>
      <c r="G327" s="3" t="n">
        <v>1</v>
      </c>
      <c r="H327" s="24" t="n">
        <v>0.0888635069</v>
      </c>
    </row>
    <row r="328" customFormat="false" ht="15" hidden="false" customHeight="false" outlineLevel="0" collapsed="false">
      <c r="A328" s="3" t="n">
        <v>327</v>
      </c>
      <c r="B328" s="3" t="n">
        <v>326</v>
      </c>
      <c r="C328" s="3" t="s">
        <v>117</v>
      </c>
      <c r="D328" s="3" t="n">
        <v>3</v>
      </c>
      <c r="E328" s="3" t="n">
        <v>4</v>
      </c>
      <c r="F328" s="3" t="n">
        <v>0</v>
      </c>
      <c r="G328" s="3" t="n">
        <v>2</v>
      </c>
      <c r="H328" s="24" t="n">
        <v>0.189049721</v>
      </c>
    </row>
    <row r="329" customFormat="false" ht="15" hidden="false" customHeight="false" outlineLevel="0" collapsed="false">
      <c r="A329" s="3" t="n">
        <v>328</v>
      </c>
      <c r="B329" s="3" t="n">
        <v>327</v>
      </c>
      <c r="C329" s="3" t="s">
        <v>117</v>
      </c>
      <c r="D329" s="3" t="n">
        <v>3</v>
      </c>
      <c r="E329" s="3" t="n">
        <v>4</v>
      </c>
      <c r="F329" s="3" t="n">
        <v>1</v>
      </c>
      <c r="G329" s="3" t="n">
        <v>0</v>
      </c>
      <c r="H329" s="24" t="n">
        <v>-0.251570165</v>
      </c>
    </row>
    <row r="330" customFormat="false" ht="15" hidden="false" customHeight="false" outlineLevel="0" collapsed="false">
      <c r="A330" s="3" t="n">
        <v>329</v>
      </c>
      <c r="B330" s="3" t="n">
        <v>328</v>
      </c>
      <c r="C330" s="3" t="s">
        <v>117</v>
      </c>
      <c r="D330" s="3" t="n">
        <v>3</v>
      </c>
      <c r="E330" s="3" t="n">
        <v>4</v>
      </c>
      <c r="F330" s="3" t="n">
        <v>1</v>
      </c>
      <c r="G330" s="3" t="n">
        <v>1</v>
      </c>
      <c r="H330" s="24" t="n">
        <v>-0.036074616</v>
      </c>
    </row>
    <row r="331" customFormat="false" ht="15" hidden="false" customHeight="false" outlineLevel="0" collapsed="false">
      <c r="A331" s="3" t="n">
        <v>330</v>
      </c>
      <c r="B331" s="3" t="n">
        <v>329</v>
      </c>
      <c r="C331" s="3" t="s">
        <v>117</v>
      </c>
      <c r="D331" s="3" t="n">
        <v>3</v>
      </c>
      <c r="E331" s="3" t="n">
        <v>4</v>
      </c>
      <c r="F331" s="3" t="n">
        <v>1</v>
      </c>
      <c r="G331" s="3" t="n">
        <v>2</v>
      </c>
      <c r="H331" s="24" t="n">
        <v>0.20549719</v>
      </c>
    </row>
    <row r="332" customFormat="false" ht="15" hidden="false" customHeight="false" outlineLevel="0" collapsed="false">
      <c r="A332" s="3" t="n">
        <v>331</v>
      </c>
      <c r="B332" s="3" t="n">
        <v>330</v>
      </c>
      <c r="C332" s="3" t="s">
        <v>117</v>
      </c>
      <c r="D332" s="3" t="n">
        <v>3</v>
      </c>
      <c r="E332" s="3" t="n">
        <v>4</v>
      </c>
      <c r="F332" s="3" t="n">
        <v>2</v>
      </c>
      <c r="G332" s="3" t="n">
        <v>0</v>
      </c>
      <c r="H332" s="24" t="n">
        <v>-0.220717221</v>
      </c>
    </row>
    <row r="333" customFormat="false" ht="15" hidden="false" customHeight="false" outlineLevel="0" collapsed="false">
      <c r="A333" s="3" t="n">
        <v>332</v>
      </c>
      <c r="B333" s="3" t="n">
        <v>331</v>
      </c>
      <c r="C333" s="3" t="s">
        <v>117</v>
      </c>
      <c r="D333" s="3" t="n">
        <v>3</v>
      </c>
      <c r="E333" s="3" t="n">
        <v>4</v>
      </c>
      <c r="F333" s="3" t="n">
        <v>2</v>
      </c>
      <c r="G333" s="3" t="n">
        <v>1</v>
      </c>
      <c r="H333" s="24" t="n">
        <v>-0.385083407</v>
      </c>
    </row>
    <row r="334" customFormat="false" ht="15" hidden="false" customHeight="false" outlineLevel="0" collapsed="false">
      <c r="A334" s="3" t="n">
        <v>333</v>
      </c>
      <c r="B334" s="3" t="n">
        <v>332</v>
      </c>
      <c r="C334" s="3" t="s">
        <v>117</v>
      </c>
      <c r="D334" s="3" t="n">
        <v>3</v>
      </c>
      <c r="E334" s="3" t="n">
        <v>4</v>
      </c>
      <c r="F334" s="3" t="n">
        <v>2</v>
      </c>
      <c r="G334" s="3" t="n">
        <v>2</v>
      </c>
      <c r="H334" s="24" t="n">
        <v>-0.0681283101</v>
      </c>
    </row>
    <row r="335" customFormat="false" ht="15" hidden="false" customHeight="false" outlineLevel="0" collapsed="false">
      <c r="A335" s="3" t="n">
        <v>334</v>
      </c>
      <c r="B335" s="3" t="n">
        <v>333</v>
      </c>
      <c r="C335" s="3" t="s">
        <v>117</v>
      </c>
      <c r="D335" s="3" t="n">
        <v>3</v>
      </c>
      <c r="E335" s="3" t="n">
        <v>5</v>
      </c>
      <c r="F335" s="3" t="n">
        <v>0</v>
      </c>
      <c r="G335" s="3" t="n">
        <v>0</v>
      </c>
      <c r="H335" s="24" t="n">
        <v>0.0838538781</v>
      </c>
    </row>
    <row r="336" customFormat="false" ht="15" hidden="false" customHeight="false" outlineLevel="0" collapsed="false">
      <c r="A336" s="3" t="n">
        <v>335</v>
      </c>
      <c r="B336" s="3" t="n">
        <v>334</v>
      </c>
      <c r="C336" s="3" t="s">
        <v>117</v>
      </c>
      <c r="D336" s="3" t="n">
        <v>3</v>
      </c>
      <c r="E336" s="3" t="n">
        <v>5</v>
      </c>
      <c r="F336" s="3" t="n">
        <v>0</v>
      </c>
      <c r="G336" s="3" t="n">
        <v>1</v>
      </c>
      <c r="H336" s="24" t="n">
        <v>0.0865684822</v>
      </c>
    </row>
    <row r="337" customFormat="false" ht="15" hidden="false" customHeight="false" outlineLevel="0" collapsed="false">
      <c r="A337" s="3" t="n">
        <v>336</v>
      </c>
      <c r="B337" s="3" t="n">
        <v>335</v>
      </c>
      <c r="C337" s="3" t="s">
        <v>117</v>
      </c>
      <c r="D337" s="3" t="n">
        <v>3</v>
      </c>
      <c r="E337" s="3" t="n">
        <v>5</v>
      </c>
      <c r="F337" s="3" t="n">
        <v>0</v>
      </c>
      <c r="G337" s="3" t="n">
        <v>2</v>
      </c>
      <c r="H337" s="24" t="n">
        <v>-0.229117885</v>
      </c>
    </row>
    <row r="338" customFormat="false" ht="15" hidden="false" customHeight="false" outlineLevel="0" collapsed="false">
      <c r="A338" s="3" t="n">
        <v>337</v>
      </c>
      <c r="B338" s="3" t="n">
        <v>336</v>
      </c>
      <c r="C338" s="3" t="s">
        <v>117</v>
      </c>
      <c r="D338" s="3" t="n">
        <v>3</v>
      </c>
      <c r="E338" s="3" t="n">
        <v>5</v>
      </c>
      <c r="F338" s="3" t="n">
        <v>1</v>
      </c>
      <c r="G338" s="3" t="n">
        <v>0</v>
      </c>
      <c r="H338" s="24" t="n">
        <v>-0.153861612</v>
      </c>
    </row>
    <row r="339" customFormat="false" ht="15" hidden="false" customHeight="false" outlineLevel="0" collapsed="false">
      <c r="A339" s="3" t="n">
        <v>338</v>
      </c>
      <c r="B339" s="3" t="n">
        <v>337</v>
      </c>
      <c r="C339" s="3" t="s">
        <v>117</v>
      </c>
      <c r="D339" s="3" t="n">
        <v>3</v>
      </c>
      <c r="E339" s="3" t="n">
        <v>5</v>
      </c>
      <c r="F339" s="3" t="n">
        <v>1</v>
      </c>
      <c r="G339" s="3" t="n">
        <v>1</v>
      </c>
      <c r="H339" s="24" t="n">
        <v>-0.214867473</v>
      </c>
    </row>
    <row r="340" customFormat="false" ht="15" hidden="false" customHeight="false" outlineLevel="0" collapsed="false">
      <c r="A340" s="3" t="n">
        <v>339</v>
      </c>
      <c r="B340" s="3" t="n">
        <v>338</v>
      </c>
      <c r="C340" s="3" t="s">
        <v>117</v>
      </c>
      <c r="D340" s="3" t="n">
        <v>3</v>
      </c>
      <c r="E340" s="3" t="n">
        <v>5</v>
      </c>
      <c r="F340" s="3" t="n">
        <v>1</v>
      </c>
      <c r="G340" s="3" t="n">
        <v>2</v>
      </c>
      <c r="H340" s="24" t="n">
        <v>-0.272513181</v>
      </c>
    </row>
    <row r="341" customFormat="false" ht="15" hidden="false" customHeight="false" outlineLevel="0" collapsed="false">
      <c r="A341" s="3" t="n">
        <v>340</v>
      </c>
      <c r="B341" s="3" t="n">
        <v>339</v>
      </c>
      <c r="C341" s="3" t="s">
        <v>117</v>
      </c>
      <c r="D341" s="3" t="n">
        <v>3</v>
      </c>
      <c r="E341" s="3" t="n">
        <v>5</v>
      </c>
      <c r="F341" s="3" t="n">
        <v>2</v>
      </c>
      <c r="G341" s="3" t="n">
        <v>0</v>
      </c>
      <c r="H341" s="24" t="n">
        <v>-0.140539661</v>
      </c>
    </row>
    <row r="342" customFormat="false" ht="15" hidden="false" customHeight="false" outlineLevel="0" collapsed="false">
      <c r="A342" s="3" t="n">
        <v>341</v>
      </c>
      <c r="B342" s="3" t="n">
        <v>340</v>
      </c>
      <c r="C342" s="3" t="s">
        <v>117</v>
      </c>
      <c r="D342" s="3" t="n">
        <v>3</v>
      </c>
      <c r="E342" s="3" t="n">
        <v>5</v>
      </c>
      <c r="F342" s="3" t="n">
        <v>2</v>
      </c>
      <c r="G342" s="3" t="n">
        <v>1</v>
      </c>
      <c r="H342" s="24" t="n">
        <v>0.0721881539</v>
      </c>
    </row>
    <row r="343" customFormat="false" ht="15" hidden="false" customHeight="false" outlineLevel="0" collapsed="false">
      <c r="A343" s="3" t="n">
        <v>342</v>
      </c>
      <c r="B343" s="3" t="n">
        <v>341</v>
      </c>
      <c r="C343" s="3" t="s">
        <v>117</v>
      </c>
      <c r="D343" s="3" t="n">
        <v>3</v>
      </c>
      <c r="E343" s="3" t="n">
        <v>5</v>
      </c>
      <c r="F343" s="3" t="n">
        <v>2</v>
      </c>
      <c r="G343" s="3" t="n">
        <v>2</v>
      </c>
      <c r="H343" s="24" t="n">
        <v>0.246462435</v>
      </c>
    </row>
    <row r="344" customFormat="false" ht="15" hidden="false" customHeight="false" outlineLevel="0" collapsed="false">
      <c r="A344" s="3" t="n">
        <v>343</v>
      </c>
      <c r="B344" s="3" t="n">
        <v>342</v>
      </c>
      <c r="C344" s="3" t="s">
        <v>117</v>
      </c>
      <c r="D344" s="3" t="n">
        <v>3</v>
      </c>
      <c r="E344" s="3" t="n">
        <v>6</v>
      </c>
      <c r="F344" s="3" t="n">
        <v>0</v>
      </c>
      <c r="G344" s="3" t="n">
        <v>0</v>
      </c>
      <c r="H344" s="24" t="n">
        <v>0.0308796093</v>
      </c>
    </row>
    <row r="345" customFormat="false" ht="15" hidden="false" customHeight="false" outlineLevel="0" collapsed="false">
      <c r="A345" s="3" t="n">
        <v>344</v>
      </c>
      <c r="B345" s="3" t="n">
        <v>343</v>
      </c>
      <c r="C345" s="3" t="s">
        <v>117</v>
      </c>
      <c r="D345" s="3" t="n">
        <v>3</v>
      </c>
      <c r="E345" s="3" t="n">
        <v>6</v>
      </c>
      <c r="F345" s="3" t="n">
        <v>0</v>
      </c>
      <c r="G345" s="3" t="n">
        <v>1</v>
      </c>
      <c r="H345" s="24" t="n">
        <v>0.192784145</v>
      </c>
    </row>
    <row r="346" customFormat="false" ht="15" hidden="false" customHeight="false" outlineLevel="0" collapsed="false">
      <c r="A346" s="3" t="n">
        <v>345</v>
      </c>
      <c r="B346" s="3" t="n">
        <v>344</v>
      </c>
      <c r="C346" s="3" t="s">
        <v>117</v>
      </c>
      <c r="D346" s="3" t="n">
        <v>3</v>
      </c>
      <c r="E346" s="3" t="n">
        <v>6</v>
      </c>
      <c r="F346" s="3" t="n">
        <v>0</v>
      </c>
      <c r="G346" s="3" t="n">
        <v>2</v>
      </c>
      <c r="H346" s="24" t="n">
        <v>0.141533762</v>
      </c>
    </row>
    <row r="347" customFormat="false" ht="15" hidden="false" customHeight="false" outlineLevel="0" collapsed="false">
      <c r="A347" s="3" t="n">
        <v>346</v>
      </c>
      <c r="B347" s="3" t="n">
        <v>345</v>
      </c>
      <c r="C347" s="3" t="s">
        <v>117</v>
      </c>
      <c r="D347" s="3" t="n">
        <v>3</v>
      </c>
      <c r="E347" s="3" t="n">
        <v>6</v>
      </c>
      <c r="F347" s="3" t="n">
        <v>1</v>
      </c>
      <c r="G347" s="3" t="n">
        <v>0</v>
      </c>
      <c r="H347" s="24" t="n">
        <v>-0.0801069513</v>
      </c>
    </row>
    <row r="348" customFormat="false" ht="15" hidden="false" customHeight="false" outlineLevel="0" collapsed="false">
      <c r="A348" s="3" t="n">
        <v>347</v>
      </c>
      <c r="B348" s="3" t="n">
        <v>346</v>
      </c>
      <c r="C348" s="3" t="s">
        <v>117</v>
      </c>
      <c r="D348" s="3" t="n">
        <v>3</v>
      </c>
      <c r="E348" s="3" t="n">
        <v>6</v>
      </c>
      <c r="F348" s="3" t="n">
        <v>1</v>
      </c>
      <c r="G348" s="3" t="n">
        <v>1</v>
      </c>
      <c r="H348" s="24" t="n">
        <v>-0.119344085</v>
      </c>
    </row>
    <row r="349" customFormat="false" ht="15" hidden="false" customHeight="false" outlineLevel="0" collapsed="false">
      <c r="A349" s="3" t="n">
        <v>348</v>
      </c>
      <c r="B349" s="3" t="n">
        <v>347</v>
      </c>
      <c r="C349" s="3" t="s">
        <v>117</v>
      </c>
      <c r="D349" s="3" t="n">
        <v>3</v>
      </c>
      <c r="E349" s="3" t="n">
        <v>6</v>
      </c>
      <c r="F349" s="3" t="n">
        <v>1</v>
      </c>
      <c r="G349" s="3" t="n">
        <v>2</v>
      </c>
      <c r="H349" s="24" t="n">
        <v>0.0253744237</v>
      </c>
    </row>
    <row r="350" customFormat="false" ht="15" hidden="false" customHeight="false" outlineLevel="0" collapsed="false">
      <c r="A350" s="3" t="n">
        <v>349</v>
      </c>
      <c r="B350" s="3" t="n">
        <v>348</v>
      </c>
      <c r="C350" s="3" t="s">
        <v>117</v>
      </c>
      <c r="D350" s="3" t="n">
        <v>3</v>
      </c>
      <c r="E350" s="3" t="n">
        <v>6</v>
      </c>
      <c r="F350" s="3" t="n">
        <v>2</v>
      </c>
      <c r="G350" s="3" t="n">
        <v>0</v>
      </c>
      <c r="H350" s="24" t="n">
        <v>-0.225127414</v>
      </c>
    </row>
    <row r="351" customFormat="false" ht="15" hidden="false" customHeight="false" outlineLevel="0" collapsed="false">
      <c r="A351" s="3" t="n">
        <v>350</v>
      </c>
      <c r="B351" s="3" t="n">
        <v>349</v>
      </c>
      <c r="C351" s="3" t="s">
        <v>117</v>
      </c>
      <c r="D351" s="3" t="n">
        <v>3</v>
      </c>
      <c r="E351" s="3" t="n">
        <v>6</v>
      </c>
      <c r="F351" s="3" t="n">
        <v>2</v>
      </c>
      <c r="G351" s="3" t="n">
        <v>1</v>
      </c>
      <c r="H351" s="24" t="n">
        <v>-0.371354908</v>
      </c>
    </row>
    <row r="352" customFormat="false" ht="15" hidden="false" customHeight="false" outlineLevel="0" collapsed="false">
      <c r="A352" s="3" t="n">
        <v>351</v>
      </c>
      <c r="B352" s="3" t="n">
        <v>350</v>
      </c>
      <c r="C352" s="3" t="s">
        <v>117</v>
      </c>
      <c r="D352" s="3" t="n">
        <v>3</v>
      </c>
      <c r="E352" s="3" t="n">
        <v>6</v>
      </c>
      <c r="F352" s="3" t="n">
        <v>2</v>
      </c>
      <c r="G352" s="3" t="n">
        <v>2</v>
      </c>
      <c r="H352" s="24" t="n">
        <v>-0.118076339</v>
      </c>
    </row>
    <row r="353" customFormat="false" ht="15" hidden="false" customHeight="false" outlineLevel="0" collapsed="false">
      <c r="A353" s="3" t="n">
        <v>352</v>
      </c>
      <c r="B353" s="3" t="n">
        <v>351</v>
      </c>
      <c r="C353" s="3" t="s">
        <v>117</v>
      </c>
      <c r="D353" s="3" t="n">
        <v>3</v>
      </c>
      <c r="E353" s="3" t="n">
        <v>7</v>
      </c>
      <c r="F353" s="3" t="n">
        <v>0</v>
      </c>
      <c r="G353" s="3" t="n">
        <v>0</v>
      </c>
      <c r="H353" s="24" t="n">
        <v>0.333998114</v>
      </c>
    </row>
    <row r="354" customFormat="false" ht="15" hidden="false" customHeight="false" outlineLevel="0" collapsed="false">
      <c r="A354" s="3" t="n">
        <v>353</v>
      </c>
      <c r="B354" s="3" t="n">
        <v>352</v>
      </c>
      <c r="C354" s="3" t="s">
        <v>117</v>
      </c>
      <c r="D354" s="3" t="n">
        <v>3</v>
      </c>
      <c r="E354" s="3" t="n">
        <v>7</v>
      </c>
      <c r="F354" s="3" t="n">
        <v>0</v>
      </c>
      <c r="G354" s="3" t="n">
        <v>1</v>
      </c>
      <c r="H354" s="24" t="n">
        <v>0.190261617</v>
      </c>
    </row>
    <row r="355" customFormat="false" ht="15" hidden="false" customHeight="false" outlineLevel="0" collapsed="false">
      <c r="A355" s="3" t="n">
        <v>354</v>
      </c>
      <c r="B355" s="3" t="n">
        <v>353</v>
      </c>
      <c r="C355" s="3" t="s">
        <v>117</v>
      </c>
      <c r="D355" s="3" t="n">
        <v>3</v>
      </c>
      <c r="E355" s="3" t="n">
        <v>7</v>
      </c>
      <c r="F355" s="3" t="n">
        <v>0</v>
      </c>
      <c r="G355" s="3" t="n">
        <v>2</v>
      </c>
      <c r="H355" s="24" t="n">
        <v>0.145678565</v>
      </c>
    </row>
    <row r="356" customFormat="false" ht="15" hidden="false" customHeight="false" outlineLevel="0" collapsed="false">
      <c r="A356" s="3" t="n">
        <v>355</v>
      </c>
      <c r="B356" s="3" t="n">
        <v>354</v>
      </c>
      <c r="C356" s="3" t="s">
        <v>117</v>
      </c>
      <c r="D356" s="3" t="n">
        <v>3</v>
      </c>
      <c r="E356" s="3" t="n">
        <v>7</v>
      </c>
      <c r="F356" s="3" t="n">
        <v>1</v>
      </c>
      <c r="G356" s="3" t="n">
        <v>0</v>
      </c>
      <c r="H356" s="24" t="n">
        <v>-0.275242448</v>
      </c>
    </row>
    <row r="357" customFormat="false" ht="15" hidden="false" customHeight="false" outlineLevel="0" collapsed="false">
      <c r="A357" s="3" t="n">
        <v>356</v>
      </c>
      <c r="B357" s="3" t="n">
        <v>355</v>
      </c>
      <c r="C357" s="3" t="s">
        <v>117</v>
      </c>
      <c r="D357" s="3" t="n">
        <v>3</v>
      </c>
      <c r="E357" s="3" t="n">
        <v>7</v>
      </c>
      <c r="F357" s="3" t="n">
        <v>1</v>
      </c>
      <c r="G357" s="3" t="n">
        <v>1</v>
      </c>
      <c r="H357" s="24" t="n">
        <v>-0.03656663</v>
      </c>
    </row>
    <row r="358" customFormat="false" ht="15" hidden="false" customHeight="false" outlineLevel="0" collapsed="false">
      <c r="A358" s="3" t="n">
        <v>357</v>
      </c>
      <c r="B358" s="3" t="n">
        <v>356</v>
      </c>
      <c r="C358" s="3" t="s">
        <v>117</v>
      </c>
      <c r="D358" s="3" t="n">
        <v>3</v>
      </c>
      <c r="E358" s="3" t="n">
        <v>7</v>
      </c>
      <c r="F358" s="3" t="n">
        <v>1</v>
      </c>
      <c r="G358" s="3" t="n">
        <v>2</v>
      </c>
      <c r="H358" s="24" t="n">
        <v>0.577623725</v>
      </c>
    </row>
    <row r="359" customFormat="false" ht="15" hidden="false" customHeight="false" outlineLevel="0" collapsed="false">
      <c r="A359" s="3" t="n">
        <v>358</v>
      </c>
      <c r="B359" s="3" t="n">
        <v>357</v>
      </c>
      <c r="C359" s="3" t="s">
        <v>117</v>
      </c>
      <c r="D359" s="3" t="n">
        <v>3</v>
      </c>
      <c r="E359" s="3" t="n">
        <v>7</v>
      </c>
      <c r="F359" s="3" t="n">
        <v>2</v>
      </c>
      <c r="G359" s="3" t="n">
        <v>0</v>
      </c>
      <c r="H359" s="24" t="n">
        <v>0.440816432</v>
      </c>
    </row>
    <row r="360" customFormat="false" ht="15" hidden="false" customHeight="false" outlineLevel="0" collapsed="false">
      <c r="A360" s="3" t="n">
        <v>359</v>
      </c>
      <c r="B360" s="3" t="n">
        <v>358</v>
      </c>
      <c r="C360" s="3" t="s">
        <v>117</v>
      </c>
      <c r="D360" s="3" t="n">
        <v>3</v>
      </c>
      <c r="E360" s="3" t="n">
        <v>7</v>
      </c>
      <c r="F360" s="3" t="n">
        <v>2</v>
      </c>
      <c r="G360" s="3" t="n">
        <v>1</v>
      </c>
      <c r="H360" s="24" t="n">
        <v>0.260207891</v>
      </c>
    </row>
    <row r="361" customFormat="false" ht="15" hidden="false" customHeight="false" outlineLevel="0" collapsed="false">
      <c r="A361" s="3" t="n">
        <v>360</v>
      </c>
      <c r="B361" s="3" t="n">
        <v>359</v>
      </c>
      <c r="C361" s="3" t="s">
        <v>117</v>
      </c>
      <c r="D361" s="3" t="n">
        <v>3</v>
      </c>
      <c r="E361" s="3" t="n">
        <v>7</v>
      </c>
      <c r="F361" s="3" t="n">
        <v>2</v>
      </c>
      <c r="G361" s="3" t="n">
        <v>2</v>
      </c>
      <c r="H361" s="24" t="n">
        <v>-0.272409797</v>
      </c>
    </row>
    <row r="362" customFormat="false" ht="15" hidden="false" customHeight="false" outlineLevel="0" collapsed="false">
      <c r="A362" s="3" t="n">
        <v>361</v>
      </c>
      <c r="B362" s="3" t="n">
        <v>360</v>
      </c>
      <c r="C362" s="3" t="s">
        <v>117</v>
      </c>
      <c r="D362" s="3" t="n">
        <v>4</v>
      </c>
      <c r="E362" s="3" t="n">
        <v>0</v>
      </c>
      <c r="F362" s="3" t="n">
        <v>0</v>
      </c>
      <c r="G362" s="3" t="n">
        <v>0</v>
      </c>
      <c r="H362" s="24" t="n">
        <v>-0.00066271692</v>
      </c>
    </row>
    <row r="363" customFormat="false" ht="15" hidden="false" customHeight="false" outlineLevel="0" collapsed="false">
      <c r="A363" s="3" t="n">
        <v>362</v>
      </c>
      <c r="B363" s="3" t="n">
        <v>361</v>
      </c>
      <c r="C363" s="3" t="s">
        <v>117</v>
      </c>
      <c r="D363" s="3" t="n">
        <v>4</v>
      </c>
      <c r="E363" s="3" t="n">
        <v>0</v>
      </c>
      <c r="F363" s="3" t="n">
        <v>0</v>
      </c>
      <c r="G363" s="3" t="n">
        <v>1</v>
      </c>
      <c r="H363" s="24" t="n">
        <v>0.0342055596</v>
      </c>
    </row>
    <row r="364" customFormat="false" ht="15" hidden="false" customHeight="false" outlineLevel="0" collapsed="false">
      <c r="A364" s="3" t="n">
        <v>363</v>
      </c>
      <c r="B364" s="3" t="n">
        <v>362</v>
      </c>
      <c r="C364" s="3" t="s">
        <v>117</v>
      </c>
      <c r="D364" s="3" t="n">
        <v>4</v>
      </c>
      <c r="E364" s="3" t="n">
        <v>0</v>
      </c>
      <c r="F364" s="3" t="n">
        <v>0</v>
      </c>
      <c r="G364" s="3" t="n">
        <v>2</v>
      </c>
      <c r="H364" s="24" t="n">
        <v>0.327914864</v>
      </c>
    </row>
    <row r="365" customFormat="false" ht="15" hidden="false" customHeight="false" outlineLevel="0" collapsed="false">
      <c r="A365" s="3" t="n">
        <v>364</v>
      </c>
      <c r="B365" s="3" t="n">
        <v>363</v>
      </c>
      <c r="C365" s="3" t="s">
        <v>117</v>
      </c>
      <c r="D365" s="3" t="n">
        <v>4</v>
      </c>
      <c r="E365" s="3" t="n">
        <v>0</v>
      </c>
      <c r="F365" s="3" t="n">
        <v>1</v>
      </c>
      <c r="G365" s="3" t="n">
        <v>0</v>
      </c>
      <c r="H365" s="24" t="n">
        <v>-0.0620611869</v>
      </c>
    </row>
    <row r="366" customFormat="false" ht="15" hidden="false" customHeight="false" outlineLevel="0" collapsed="false">
      <c r="A366" s="3" t="n">
        <v>365</v>
      </c>
      <c r="B366" s="3" t="n">
        <v>364</v>
      </c>
      <c r="C366" s="3" t="s">
        <v>117</v>
      </c>
      <c r="D366" s="3" t="n">
        <v>4</v>
      </c>
      <c r="E366" s="3" t="n">
        <v>0</v>
      </c>
      <c r="F366" s="3" t="n">
        <v>1</v>
      </c>
      <c r="G366" s="3" t="n">
        <v>1</v>
      </c>
      <c r="H366" s="24" t="n">
        <v>-0.00289854594</v>
      </c>
    </row>
    <row r="367" customFormat="false" ht="15" hidden="false" customHeight="false" outlineLevel="0" collapsed="false">
      <c r="A367" s="3" t="n">
        <v>366</v>
      </c>
      <c r="B367" s="3" t="n">
        <v>365</v>
      </c>
      <c r="C367" s="3" t="s">
        <v>117</v>
      </c>
      <c r="D367" s="3" t="n">
        <v>4</v>
      </c>
      <c r="E367" s="3" t="n">
        <v>0</v>
      </c>
      <c r="F367" s="3" t="n">
        <v>1</v>
      </c>
      <c r="G367" s="3" t="n">
        <v>2</v>
      </c>
      <c r="H367" s="24" t="n">
        <v>0.132113695</v>
      </c>
    </row>
    <row r="368" customFormat="false" ht="15" hidden="false" customHeight="false" outlineLevel="0" collapsed="false">
      <c r="A368" s="3" t="n">
        <v>367</v>
      </c>
      <c r="B368" s="3" t="n">
        <v>366</v>
      </c>
      <c r="C368" s="3" t="s">
        <v>117</v>
      </c>
      <c r="D368" s="3" t="n">
        <v>4</v>
      </c>
      <c r="E368" s="3" t="n">
        <v>0</v>
      </c>
      <c r="F368" s="3" t="n">
        <v>2</v>
      </c>
      <c r="G368" s="3" t="n">
        <v>0</v>
      </c>
      <c r="H368" s="24" t="n">
        <v>-0.296126753</v>
      </c>
    </row>
    <row r="369" customFormat="false" ht="15" hidden="false" customHeight="false" outlineLevel="0" collapsed="false">
      <c r="A369" s="3" t="n">
        <v>368</v>
      </c>
      <c r="B369" s="3" t="n">
        <v>367</v>
      </c>
      <c r="C369" s="3" t="s">
        <v>117</v>
      </c>
      <c r="D369" s="3" t="n">
        <v>4</v>
      </c>
      <c r="E369" s="3" t="n">
        <v>0</v>
      </c>
      <c r="F369" s="3" t="n">
        <v>2</v>
      </c>
      <c r="G369" s="3" t="n">
        <v>1</v>
      </c>
      <c r="H369" s="24" t="n">
        <v>-0.0639814809</v>
      </c>
    </row>
    <row r="370" customFormat="false" ht="15" hidden="false" customHeight="false" outlineLevel="0" collapsed="false">
      <c r="A370" s="3" t="n">
        <v>369</v>
      </c>
      <c r="B370" s="3" t="n">
        <v>368</v>
      </c>
      <c r="C370" s="3" t="s">
        <v>117</v>
      </c>
      <c r="D370" s="3" t="n">
        <v>4</v>
      </c>
      <c r="E370" s="3" t="n">
        <v>0</v>
      </c>
      <c r="F370" s="3" t="n">
        <v>2</v>
      </c>
      <c r="G370" s="3" t="n">
        <v>2</v>
      </c>
      <c r="H370" s="24" t="n">
        <v>0.11621128</v>
      </c>
    </row>
    <row r="371" customFormat="false" ht="15" hidden="false" customHeight="false" outlineLevel="0" collapsed="false">
      <c r="A371" s="3" t="n">
        <v>370</v>
      </c>
      <c r="B371" s="3" t="n">
        <v>369</v>
      </c>
      <c r="C371" s="3" t="s">
        <v>117</v>
      </c>
      <c r="D371" s="3" t="n">
        <v>4</v>
      </c>
      <c r="E371" s="3" t="n">
        <v>1</v>
      </c>
      <c r="F371" s="3" t="n">
        <v>0</v>
      </c>
      <c r="G371" s="3" t="n">
        <v>0</v>
      </c>
      <c r="H371" s="24" t="n">
        <v>0.0679527372</v>
      </c>
    </row>
    <row r="372" customFormat="false" ht="15" hidden="false" customHeight="false" outlineLevel="0" collapsed="false">
      <c r="A372" s="3" t="n">
        <v>371</v>
      </c>
      <c r="B372" s="3" t="n">
        <v>370</v>
      </c>
      <c r="C372" s="3" t="s">
        <v>117</v>
      </c>
      <c r="D372" s="3" t="n">
        <v>4</v>
      </c>
      <c r="E372" s="3" t="n">
        <v>1</v>
      </c>
      <c r="F372" s="3" t="n">
        <v>0</v>
      </c>
      <c r="G372" s="3" t="n">
        <v>1</v>
      </c>
      <c r="H372" s="24" t="n">
        <v>0.190089718</v>
      </c>
    </row>
    <row r="373" customFormat="false" ht="15" hidden="false" customHeight="false" outlineLevel="0" collapsed="false">
      <c r="A373" s="3" t="n">
        <v>372</v>
      </c>
      <c r="B373" s="3" t="n">
        <v>371</v>
      </c>
      <c r="C373" s="3" t="s">
        <v>117</v>
      </c>
      <c r="D373" s="3" t="n">
        <v>4</v>
      </c>
      <c r="E373" s="3" t="n">
        <v>1</v>
      </c>
      <c r="F373" s="3" t="n">
        <v>0</v>
      </c>
      <c r="G373" s="3" t="n">
        <v>2</v>
      </c>
      <c r="H373" s="24" t="n">
        <v>0.120834544</v>
      </c>
    </row>
    <row r="374" customFormat="false" ht="15" hidden="false" customHeight="false" outlineLevel="0" collapsed="false">
      <c r="A374" s="3" t="n">
        <v>373</v>
      </c>
      <c r="B374" s="3" t="n">
        <v>372</v>
      </c>
      <c r="C374" s="3" t="s">
        <v>117</v>
      </c>
      <c r="D374" s="3" t="n">
        <v>4</v>
      </c>
      <c r="E374" s="3" t="n">
        <v>1</v>
      </c>
      <c r="F374" s="3" t="n">
        <v>1</v>
      </c>
      <c r="G374" s="3" t="n">
        <v>0</v>
      </c>
      <c r="H374" s="24" t="n">
        <v>-0.0176589508</v>
      </c>
    </row>
    <row r="375" customFormat="false" ht="15" hidden="false" customHeight="false" outlineLevel="0" collapsed="false">
      <c r="A375" s="3" t="n">
        <v>374</v>
      </c>
      <c r="B375" s="3" t="n">
        <v>373</v>
      </c>
      <c r="C375" s="3" t="s">
        <v>117</v>
      </c>
      <c r="D375" s="3" t="n">
        <v>4</v>
      </c>
      <c r="E375" s="3" t="n">
        <v>1</v>
      </c>
      <c r="F375" s="3" t="n">
        <v>1</v>
      </c>
      <c r="G375" s="3" t="n">
        <v>1</v>
      </c>
      <c r="H375" s="24" t="n">
        <v>-0.00845619664</v>
      </c>
    </row>
    <row r="376" customFormat="false" ht="15" hidden="false" customHeight="false" outlineLevel="0" collapsed="false">
      <c r="A376" s="3" t="n">
        <v>375</v>
      </c>
      <c r="B376" s="3" t="n">
        <v>374</v>
      </c>
      <c r="C376" s="3" t="s">
        <v>117</v>
      </c>
      <c r="D376" s="3" t="n">
        <v>4</v>
      </c>
      <c r="E376" s="3" t="n">
        <v>1</v>
      </c>
      <c r="F376" s="3" t="n">
        <v>1</v>
      </c>
      <c r="G376" s="3" t="n">
        <v>2</v>
      </c>
      <c r="H376" s="24" t="n">
        <v>0.233883783</v>
      </c>
    </row>
    <row r="377" customFormat="false" ht="15" hidden="false" customHeight="false" outlineLevel="0" collapsed="false">
      <c r="A377" s="3" t="n">
        <v>376</v>
      </c>
      <c r="B377" s="3" t="n">
        <v>375</v>
      </c>
      <c r="C377" s="3" t="s">
        <v>117</v>
      </c>
      <c r="D377" s="3" t="n">
        <v>4</v>
      </c>
      <c r="E377" s="3" t="n">
        <v>1</v>
      </c>
      <c r="F377" s="3" t="n">
        <v>2</v>
      </c>
      <c r="G377" s="3" t="n">
        <v>0</v>
      </c>
      <c r="H377" s="24" t="n">
        <v>-0.156068906</v>
      </c>
    </row>
    <row r="378" customFormat="false" ht="15" hidden="false" customHeight="false" outlineLevel="0" collapsed="false">
      <c r="A378" s="3" t="n">
        <v>377</v>
      </c>
      <c r="B378" s="3" t="n">
        <v>376</v>
      </c>
      <c r="C378" s="3" t="s">
        <v>117</v>
      </c>
      <c r="D378" s="3" t="n">
        <v>4</v>
      </c>
      <c r="E378" s="3" t="n">
        <v>1</v>
      </c>
      <c r="F378" s="3" t="n">
        <v>2</v>
      </c>
      <c r="G378" s="3" t="n">
        <v>1</v>
      </c>
      <c r="H378" s="24" t="n">
        <v>0.0214704052</v>
      </c>
    </row>
    <row r="379" customFormat="false" ht="15" hidden="false" customHeight="false" outlineLevel="0" collapsed="false">
      <c r="A379" s="3" t="n">
        <v>378</v>
      </c>
      <c r="B379" s="3" t="n">
        <v>377</v>
      </c>
      <c r="C379" s="3" t="s">
        <v>117</v>
      </c>
      <c r="D379" s="3" t="n">
        <v>4</v>
      </c>
      <c r="E379" s="3" t="n">
        <v>1</v>
      </c>
      <c r="F379" s="3" t="n">
        <v>2</v>
      </c>
      <c r="G379" s="3" t="n">
        <v>2</v>
      </c>
      <c r="H379" s="24" t="n">
        <v>0.228976846</v>
      </c>
    </row>
    <row r="380" customFormat="false" ht="15" hidden="false" customHeight="false" outlineLevel="0" collapsed="false">
      <c r="A380" s="3" t="n">
        <v>379</v>
      </c>
      <c r="B380" s="3" t="n">
        <v>378</v>
      </c>
      <c r="C380" s="3" t="s">
        <v>117</v>
      </c>
      <c r="D380" s="3" t="n">
        <v>4</v>
      </c>
      <c r="E380" s="3" t="n">
        <v>2</v>
      </c>
      <c r="F380" s="3" t="n">
        <v>0</v>
      </c>
      <c r="G380" s="3" t="n">
        <v>0</v>
      </c>
      <c r="H380" s="24" t="n">
        <v>-0.183504686</v>
      </c>
    </row>
    <row r="381" customFormat="false" ht="15" hidden="false" customHeight="false" outlineLevel="0" collapsed="false">
      <c r="A381" s="3" t="n">
        <v>380</v>
      </c>
      <c r="B381" s="3" t="n">
        <v>379</v>
      </c>
      <c r="C381" s="3" t="s">
        <v>117</v>
      </c>
      <c r="D381" s="3" t="n">
        <v>4</v>
      </c>
      <c r="E381" s="3" t="n">
        <v>2</v>
      </c>
      <c r="F381" s="3" t="n">
        <v>0</v>
      </c>
      <c r="G381" s="3" t="n">
        <v>1</v>
      </c>
      <c r="H381" s="24" t="n">
        <v>-0.148632348</v>
      </c>
    </row>
    <row r="382" customFormat="false" ht="15" hidden="false" customHeight="false" outlineLevel="0" collapsed="false">
      <c r="A382" s="3" t="n">
        <v>381</v>
      </c>
      <c r="B382" s="3" t="n">
        <v>380</v>
      </c>
      <c r="C382" s="3" t="s">
        <v>117</v>
      </c>
      <c r="D382" s="3" t="n">
        <v>4</v>
      </c>
      <c r="E382" s="3" t="n">
        <v>2</v>
      </c>
      <c r="F382" s="3" t="n">
        <v>0</v>
      </c>
      <c r="G382" s="3" t="n">
        <v>2</v>
      </c>
      <c r="H382" s="24" t="n">
        <v>0.342441589</v>
      </c>
    </row>
    <row r="383" customFormat="false" ht="15" hidden="false" customHeight="false" outlineLevel="0" collapsed="false">
      <c r="A383" s="3" t="n">
        <v>382</v>
      </c>
      <c r="B383" s="3" t="n">
        <v>381</v>
      </c>
      <c r="C383" s="3" t="s">
        <v>117</v>
      </c>
      <c r="D383" s="3" t="n">
        <v>4</v>
      </c>
      <c r="E383" s="3" t="n">
        <v>2</v>
      </c>
      <c r="F383" s="3" t="n">
        <v>1</v>
      </c>
      <c r="G383" s="3" t="n">
        <v>0</v>
      </c>
      <c r="H383" s="24" t="n">
        <v>-0.139875516</v>
      </c>
    </row>
    <row r="384" customFormat="false" ht="15" hidden="false" customHeight="false" outlineLevel="0" collapsed="false">
      <c r="A384" s="3" t="n">
        <v>383</v>
      </c>
      <c r="B384" s="3" t="n">
        <v>382</v>
      </c>
      <c r="C384" s="3" t="s">
        <v>117</v>
      </c>
      <c r="D384" s="3" t="n">
        <v>4</v>
      </c>
      <c r="E384" s="3" t="n">
        <v>2</v>
      </c>
      <c r="F384" s="3" t="n">
        <v>1</v>
      </c>
      <c r="G384" s="3" t="n">
        <v>1</v>
      </c>
      <c r="H384" s="24" t="n">
        <v>0.041975826</v>
      </c>
    </row>
    <row r="385" customFormat="false" ht="15" hidden="false" customHeight="false" outlineLevel="0" collapsed="false">
      <c r="A385" s="3" t="n">
        <v>384</v>
      </c>
      <c r="B385" s="3" t="n">
        <v>383</v>
      </c>
      <c r="C385" s="3" t="s">
        <v>117</v>
      </c>
      <c r="D385" s="3" t="n">
        <v>4</v>
      </c>
      <c r="E385" s="3" t="n">
        <v>2</v>
      </c>
      <c r="F385" s="3" t="n">
        <v>1</v>
      </c>
      <c r="G385" s="3" t="n">
        <v>2</v>
      </c>
      <c r="H385" s="24" t="n">
        <v>0.277837366</v>
      </c>
    </row>
    <row r="386" customFormat="false" ht="15" hidden="false" customHeight="false" outlineLevel="0" collapsed="false">
      <c r="A386" s="3" t="n">
        <v>385</v>
      </c>
      <c r="B386" s="3" t="n">
        <v>384</v>
      </c>
      <c r="C386" s="3" t="s">
        <v>117</v>
      </c>
      <c r="D386" s="3" t="n">
        <v>4</v>
      </c>
      <c r="E386" s="3" t="n">
        <v>2</v>
      </c>
      <c r="F386" s="3" t="n">
        <v>2</v>
      </c>
      <c r="G386" s="3" t="n">
        <v>0</v>
      </c>
      <c r="H386" s="24" t="n">
        <v>-0.0189654678</v>
      </c>
    </row>
    <row r="387" customFormat="false" ht="15" hidden="false" customHeight="false" outlineLevel="0" collapsed="false">
      <c r="A387" s="3" t="n">
        <v>386</v>
      </c>
      <c r="B387" s="3" t="n">
        <v>385</v>
      </c>
      <c r="C387" s="3" t="s">
        <v>117</v>
      </c>
      <c r="D387" s="3" t="n">
        <v>4</v>
      </c>
      <c r="E387" s="3" t="n">
        <v>2</v>
      </c>
      <c r="F387" s="3" t="n">
        <v>2</v>
      </c>
      <c r="G387" s="3" t="n">
        <v>1</v>
      </c>
      <c r="H387" s="24" t="n">
        <v>0.157689497</v>
      </c>
    </row>
    <row r="388" customFormat="false" ht="15" hidden="false" customHeight="false" outlineLevel="0" collapsed="false">
      <c r="A388" s="3" t="n">
        <v>387</v>
      </c>
      <c r="B388" s="3" t="n">
        <v>386</v>
      </c>
      <c r="C388" s="3" t="s">
        <v>117</v>
      </c>
      <c r="D388" s="3" t="n">
        <v>4</v>
      </c>
      <c r="E388" s="3" t="n">
        <v>2</v>
      </c>
      <c r="F388" s="3" t="n">
        <v>2</v>
      </c>
      <c r="G388" s="3" t="n">
        <v>2</v>
      </c>
      <c r="H388" s="24" t="n">
        <v>0.373186141</v>
      </c>
    </row>
    <row r="389" customFormat="false" ht="15" hidden="false" customHeight="false" outlineLevel="0" collapsed="false">
      <c r="A389" s="3" t="n">
        <v>388</v>
      </c>
      <c r="B389" s="3" t="n">
        <v>387</v>
      </c>
      <c r="C389" s="3" t="s">
        <v>117</v>
      </c>
      <c r="D389" s="3" t="n">
        <v>4</v>
      </c>
      <c r="E389" s="3" t="n">
        <v>3</v>
      </c>
      <c r="F389" s="3" t="n">
        <v>0</v>
      </c>
      <c r="G389" s="3" t="n">
        <v>0</v>
      </c>
      <c r="H389" s="24" t="n">
        <v>0.040254306</v>
      </c>
    </row>
    <row r="390" customFormat="false" ht="15" hidden="false" customHeight="false" outlineLevel="0" collapsed="false">
      <c r="A390" s="3" t="n">
        <v>389</v>
      </c>
      <c r="B390" s="3" t="n">
        <v>388</v>
      </c>
      <c r="C390" s="3" t="s">
        <v>117</v>
      </c>
      <c r="D390" s="3" t="n">
        <v>4</v>
      </c>
      <c r="E390" s="3" t="n">
        <v>3</v>
      </c>
      <c r="F390" s="3" t="n">
        <v>0</v>
      </c>
      <c r="G390" s="3" t="n">
        <v>1</v>
      </c>
      <c r="H390" s="24" t="n">
        <v>-0.0351852067</v>
      </c>
    </row>
    <row r="391" customFormat="false" ht="15" hidden="false" customHeight="false" outlineLevel="0" collapsed="false">
      <c r="A391" s="3" t="n">
        <v>390</v>
      </c>
      <c r="B391" s="3" t="n">
        <v>389</v>
      </c>
      <c r="C391" s="3" t="s">
        <v>117</v>
      </c>
      <c r="D391" s="3" t="n">
        <v>4</v>
      </c>
      <c r="E391" s="3" t="n">
        <v>3</v>
      </c>
      <c r="F391" s="3" t="n">
        <v>0</v>
      </c>
      <c r="G391" s="3" t="n">
        <v>2</v>
      </c>
      <c r="H391" s="24" t="n">
        <v>-0.127242148</v>
      </c>
    </row>
    <row r="392" customFormat="false" ht="15" hidden="false" customHeight="false" outlineLevel="0" collapsed="false">
      <c r="A392" s="3" t="n">
        <v>391</v>
      </c>
      <c r="B392" s="3" t="n">
        <v>390</v>
      </c>
      <c r="C392" s="3" t="s">
        <v>117</v>
      </c>
      <c r="D392" s="3" t="n">
        <v>4</v>
      </c>
      <c r="E392" s="3" t="n">
        <v>3</v>
      </c>
      <c r="F392" s="3" t="n">
        <v>1</v>
      </c>
      <c r="G392" s="3" t="n">
        <v>0</v>
      </c>
      <c r="H392" s="24" t="n">
        <v>-0.135898307</v>
      </c>
    </row>
    <row r="393" customFormat="false" ht="15" hidden="false" customHeight="false" outlineLevel="0" collapsed="false">
      <c r="A393" s="3" t="n">
        <v>392</v>
      </c>
      <c r="B393" s="3" t="n">
        <v>391</v>
      </c>
      <c r="C393" s="3" t="s">
        <v>117</v>
      </c>
      <c r="D393" s="3" t="n">
        <v>4</v>
      </c>
      <c r="E393" s="3" t="n">
        <v>3</v>
      </c>
      <c r="F393" s="3" t="n">
        <v>1</v>
      </c>
      <c r="G393" s="3" t="n">
        <v>1</v>
      </c>
      <c r="H393" s="24" t="n">
        <v>-0.45641306</v>
      </c>
    </row>
    <row r="394" customFormat="false" ht="15" hidden="false" customHeight="false" outlineLevel="0" collapsed="false">
      <c r="A394" s="3" t="n">
        <v>393</v>
      </c>
      <c r="B394" s="3" t="n">
        <v>392</v>
      </c>
      <c r="C394" s="3" t="s">
        <v>117</v>
      </c>
      <c r="D394" s="3" t="n">
        <v>4</v>
      </c>
      <c r="E394" s="3" t="n">
        <v>3</v>
      </c>
      <c r="F394" s="3" t="n">
        <v>1</v>
      </c>
      <c r="G394" s="3" t="n">
        <v>2</v>
      </c>
      <c r="H394" s="24" t="n">
        <v>-0.416502863</v>
      </c>
    </row>
    <row r="395" customFormat="false" ht="15" hidden="false" customHeight="false" outlineLevel="0" collapsed="false">
      <c r="A395" s="3" t="n">
        <v>394</v>
      </c>
      <c r="B395" s="3" t="n">
        <v>393</v>
      </c>
      <c r="C395" s="3" t="s">
        <v>117</v>
      </c>
      <c r="D395" s="3" t="n">
        <v>4</v>
      </c>
      <c r="E395" s="3" t="n">
        <v>3</v>
      </c>
      <c r="F395" s="3" t="n">
        <v>2</v>
      </c>
      <c r="G395" s="3" t="n">
        <v>0</v>
      </c>
      <c r="H395" s="24" t="n">
        <v>-0.0202209651</v>
      </c>
    </row>
    <row r="396" customFormat="false" ht="15" hidden="false" customHeight="false" outlineLevel="0" collapsed="false">
      <c r="A396" s="3" t="n">
        <v>395</v>
      </c>
      <c r="B396" s="3" t="n">
        <v>394</v>
      </c>
      <c r="C396" s="3" t="s">
        <v>117</v>
      </c>
      <c r="D396" s="3" t="n">
        <v>4</v>
      </c>
      <c r="E396" s="3" t="n">
        <v>3</v>
      </c>
      <c r="F396" s="3" t="n">
        <v>2</v>
      </c>
      <c r="G396" s="3" t="n">
        <v>1</v>
      </c>
      <c r="H396" s="24" t="n">
        <v>-0.194192693</v>
      </c>
    </row>
    <row r="397" customFormat="false" ht="15" hidden="false" customHeight="false" outlineLevel="0" collapsed="false">
      <c r="A397" s="3" t="n">
        <v>396</v>
      </c>
      <c r="B397" s="3" t="n">
        <v>395</v>
      </c>
      <c r="C397" s="3" t="s">
        <v>117</v>
      </c>
      <c r="D397" s="3" t="n">
        <v>4</v>
      </c>
      <c r="E397" s="3" t="n">
        <v>3</v>
      </c>
      <c r="F397" s="3" t="n">
        <v>2</v>
      </c>
      <c r="G397" s="3" t="n">
        <v>2</v>
      </c>
      <c r="H397" s="24" t="n">
        <v>-0.216537967</v>
      </c>
    </row>
    <row r="398" customFormat="false" ht="15" hidden="false" customHeight="false" outlineLevel="0" collapsed="false">
      <c r="A398" s="3" t="n">
        <v>397</v>
      </c>
      <c r="B398" s="3" t="n">
        <v>396</v>
      </c>
      <c r="C398" s="3" t="s">
        <v>117</v>
      </c>
      <c r="D398" s="3" t="n">
        <v>4</v>
      </c>
      <c r="E398" s="3" t="n">
        <v>4</v>
      </c>
      <c r="F398" s="3" t="n">
        <v>0</v>
      </c>
      <c r="G398" s="3" t="n">
        <v>0</v>
      </c>
      <c r="H398" s="24" t="n">
        <v>-0.11702168</v>
      </c>
    </row>
    <row r="399" customFormat="false" ht="15" hidden="false" customHeight="false" outlineLevel="0" collapsed="false">
      <c r="A399" s="3" t="n">
        <v>398</v>
      </c>
      <c r="B399" s="3" t="n">
        <v>397</v>
      </c>
      <c r="C399" s="3" t="s">
        <v>117</v>
      </c>
      <c r="D399" s="3" t="n">
        <v>4</v>
      </c>
      <c r="E399" s="3" t="n">
        <v>4</v>
      </c>
      <c r="F399" s="3" t="n">
        <v>0</v>
      </c>
      <c r="G399" s="3" t="n">
        <v>1</v>
      </c>
      <c r="H399" s="24" t="n">
        <v>-0.0257110447</v>
      </c>
    </row>
    <row r="400" customFormat="false" ht="15" hidden="false" customHeight="false" outlineLevel="0" collapsed="false">
      <c r="A400" s="3" t="n">
        <v>399</v>
      </c>
      <c r="B400" s="3" t="n">
        <v>398</v>
      </c>
      <c r="C400" s="3" t="s">
        <v>117</v>
      </c>
      <c r="D400" s="3" t="n">
        <v>4</v>
      </c>
      <c r="E400" s="3" t="n">
        <v>4</v>
      </c>
      <c r="F400" s="3" t="n">
        <v>0</v>
      </c>
      <c r="G400" s="3" t="n">
        <v>2</v>
      </c>
      <c r="H400" s="24" t="n">
        <v>0.115790844</v>
      </c>
    </row>
    <row r="401" customFormat="false" ht="15" hidden="false" customHeight="false" outlineLevel="0" collapsed="false">
      <c r="A401" s="3" t="n">
        <v>400</v>
      </c>
      <c r="B401" s="3" t="n">
        <v>399</v>
      </c>
      <c r="C401" s="3" t="s">
        <v>117</v>
      </c>
      <c r="D401" s="3" t="n">
        <v>4</v>
      </c>
      <c r="E401" s="3" t="n">
        <v>4</v>
      </c>
      <c r="F401" s="3" t="n">
        <v>1</v>
      </c>
      <c r="G401" s="3" t="n">
        <v>0</v>
      </c>
      <c r="H401" s="24" t="n">
        <v>-0.240067631</v>
      </c>
    </row>
    <row r="402" customFormat="false" ht="15" hidden="false" customHeight="false" outlineLevel="0" collapsed="false">
      <c r="A402" s="3" t="n">
        <v>401</v>
      </c>
      <c r="B402" s="3" t="n">
        <v>400</v>
      </c>
      <c r="C402" s="3" t="s">
        <v>117</v>
      </c>
      <c r="D402" s="3" t="n">
        <v>4</v>
      </c>
      <c r="E402" s="3" t="n">
        <v>4</v>
      </c>
      <c r="F402" s="3" t="n">
        <v>1</v>
      </c>
      <c r="G402" s="3" t="n">
        <v>1</v>
      </c>
      <c r="H402" s="24" t="n">
        <v>0.0137746017</v>
      </c>
    </row>
    <row r="403" customFormat="false" ht="15" hidden="false" customHeight="false" outlineLevel="0" collapsed="false">
      <c r="A403" s="3" t="n">
        <v>402</v>
      </c>
      <c r="B403" s="3" t="n">
        <v>401</v>
      </c>
      <c r="C403" s="3" t="s">
        <v>117</v>
      </c>
      <c r="D403" s="3" t="n">
        <v>4</v>
      </c>
      <c r="E403" s="3" t="n">
        <v>4</v>
      </c>
      <c r="F403" s="3" t="n">
        <v>1</v>
      </c>
      <c r="G403" s="3" t="n">
        <v>2</v>
      </c>
      <c r="H403" s="24" t="n">
        <v>0.269203037</v>
      </c>
    </row>
    <row r="404" customFormat="false" ht="15" hidden="false" customHeight="false" outlineLevel="0" collapsed="false">
      <c r="A404" s="3" t="n">
        <v>403</v>
      </c>
      <c r="B404" s="3" t="n">
        <v>402</v>
      </c>
      <c r="C404" s="3" t="s">
        <v>117</v>
      </c>
      <c r="D404" s="3" t="n">
        <v>4</v>
      </c>
      <c r="E404" s="3" t="n">
        <v>4</v>
      </c>
      <c r="F404" s="3" t="n">
        <v>2</v>
      </c>
      <c r="G404" s="3" t="n">
        <v>0</v>
      </c>
      <c r="H404" s="24" t="n">
        <v>-0.187861919</v>
      </c>
    </row>
    <row r="405" customFormat="false" ht="15" hidden="false" customHeight="false" outlineLevel="0" collapsed="false">
      <c r="A405" s="3" t="n">
        <v>404</v>
      </c>
      <c r="B405" s="3" t="n">
        <v>403</v>
      </c>
      <c r="C405" s="3" t="s">
        <v>117</v>
      </c>
      <c r="D405" s="3" t="n">
        <v>4</v>
      </c>
      <c r="E405" s="3" t="n">
        <v>4</v>
      </c>
      <c r="F405" s="3" t="n">
        <v>2</v>
      </c>
      <c r="G405" s="3" t="n">
        <v>1</v>
      </c>
      <c r="H405" s="24" t="n">
        <v>0.0279593524</v>
      </c>
    </row>
    <row r="406" customFormat="false" ht="15" hidden="false" customHeight="false" outlineLevel="0" collapsed="false">
      <c r="A406" s="3" t="n">
        <v>405</v>
      </c>
      <c r="B406" s="3" t="n">
        <v>404</v>
      </c>
      <c r="C406" s="3" t="s">
        <v>117</v>
      </c>
      <c r="D406" s="3" t="n">
        <v>4</v>
      </c>
      <c r="E406" s="3" t="n">
        <v>4</v>
      </c>
      <c r="F406" s="3" t="n">
        <v>2</v>
      </c>
      <c r="G406" s="3" t="n">
        <v>2</v>
      </c>
      <c r="H406" s="24" t="n">
        <v>0.312936306</v>
      </c>
    </row>
    <row r="407" customFormat="false" ht="15" hidden="false" customHeight="false" outlineLevel="0" collapsed="false">
      <c r="A407" s="3" t="n">
        <v>406</v>
      </c>
      <c r="B407" s="3" t="n">
        <v>405</v>
      </c>
      <c r="C407" s="3" t="s">
        <v>117</v>
      </c>
      <c r="D407" s="3" t="n">
        <v>4</v>
      </c>
      <c r="E407" s="3" t="n">
        <v>5</v>
      </c>
      <c r="F407" s="3" t="n">
        <v>0</v>
      </c>
      <c r="G407" s="3" t="n">
        <v>0</v>
      </c>
      <c r="H407" s="24" t="n">
        <v>0.0745752603</v>
      </c>
    </row>
    <row r="408" customFormat="false" ht="15" hidden="false" customHeight="false" outlineLevel="0" collapsed="false">
      <c r="A408" s="3" t="n">
        <v>407</v>
      </c>
      <c r="B408" s="3" t="n">
        <v>406</v>
      </c>
      <c r="C408" s="3" t="s">
        <v>117</v>
      </c>
      <c r="D408" s="3" t="n">
        <v>4</v>
      </c>
      <c r="E408" s="3" t="n">
        <v>5</v>
      </c>
      <c r="F408" s="3" t="n">
        <v>0</v>
      </c>
      <c r="G408" s="3" t="n">
        <v>1</v>
      </c>
      <c r="H408" s="24" t="n">
        <v>-0.0613942817</v>
      </c>
    </row>
    <row r="409" customFormat="false" ht="15" hidden="false" customHeight="false" outlineLevel="0" collapsed="false">
      <c r="A409" s="3" t="n">
        <v>408</v>
      </c>
      <c r="B409" s="3" t="n">
        <v>407</v>
      </c>
      <c r="C409" s="3" t="s">
        <v>117</v>
      </c>
      <c r="D409" s="3" t="n">
        <v>4</v>
      </c>
      <c r="E409" s="3" t="n">
        <v>5</v>
      </c>
      <c r="F409" s="3" t="n">
        <v>0</v>
      </c>
      <c r="G409" s="3" t="n">
        <v>2</v>
      </c>
      <c r="H409" s="24" t="n">
        <v>-0.555911422</v>
      </c>
    </row>
    <row r="410" customFormat="false" ht="15" hidden="false" customHeight="false" outlineLevel="0" collapsed="false">
      <c r="A410" s="3" t="n">
        <v>409</v>
      </c>
      <c r="B410" s="3" t="n">
        <v>408</v>
      </c>
      <c r="C410" s="3" t="s">
        <v>117</v>
      </c>
      <c r="D410" s="3" t="n">
        <v>4</v>
      </c>
      <c r="E410" s="3" t="n">
        <v>5</v>
      </c>
      <c r="F410" s="3" t="n">
        <v>1</v>
      </c>
      <c r="G410" s="3" t="n">
        <v>0</v>
      </c>
      <c r="H410" s="24" t="n">
        <v>0.128666356</v>
      </c>
    </row>
    <row r="411" customFormat="false" ht="15" hidden="false" customHeight="false" outlineLevel="0" collapsed="false">
      <c r="A411" s="3" t="n">
        <v>410</v>
      </c>
      <c r="B411" s="3" t="n">
        <v>409</v>
      </c>
      <c r="C411" s="3" t="s">
        <v>117</v>
      </c>
      <c r="D411" s="3" t="n">
        <v>4</v>
      </c>
      <c r="E411" s="3" t="n">
        <v>5</v>
      </c>
      <c r="F411" s="3" t="n">
        <v>1</v>
      </c>
      <c r="G411" s="3" t="n">
        <v>1</v>
      </c>
      <c r="H411" s="24" t="n">
        <v>0.0046254741</v>
      </c>
    </row>
    <row r="412" customFormat="false" ht="15" hidden="false" customHeight="false" outlineLevel="0" collapsed="false">
      <c r="A412" s="3" t="n">
        <v>411</v>
      </c>
      <c r="B412" s="3" t="n">
        <v>410</v>
      </c>
      <c r="C412" s="3" t="s">
        <v>117</v>
      </c>
      <c r="D412" s="3" t="n">
        <v>4</v>
      </c>
      <c r="E412" s="3" t="n">
        <v>5</v>
      </c>
      <c r="F412" s="3" t="n">
        <v>1</v>
      </c>
      <c r="G412" s="3" t="n">
        <v>2</v>
      </c>
      <c r="H412" s="24" t="n">
        <v>-0.504222333</v>
      </c>
    </row>
    <row r="413" customFormat="false" ht="15" hidden="false" customHeight="false" outlineLevel="0" collapsed="false">
      <c r="A413" s="3" t="n">
        <v>412</v>
      </c>
      <c r="B413" s="3" t="n">
        <v>411</v>
      </c>
      <c r="C413" s="3" t="s">
        <v>117</v>
      </c>
      <c r="D413" s="3" t="n">
        <v>4</v>
      </c>
      <c r="E413" s="3" t="n">
        <v>5</v>
      </c>
      <c r="F413" s="3" t="n">
        <v>2</v>
      </c>
      <c r="G413" s="3" t="n">
        <v>0</v>
      </c>
      <c r="H413" s="24" t="n">
        <v>-0.00135779567</v>
      </c>
    </row>
    <row r="414" customFormat="false" ht="15" hidden="false" customHeight="false" outlineLevel="0" collapsed="false">
      <c r="A414" s="3" t="n">
        <v>413</v>
      </c>
      <c r="B414" s="3" t="n">
        <v>412</v>
      </c>
      <c r="C414" s="3" t="s">
        <v>117</v>
      </c>
      <c r="D414" s="3" t="n">
        <v>4</v>
      </c>
      <c r="E414" s="3" t="n">
        <v>5</v>
      </c>
      <c r="F414" s="3" t="n">
        <v>2</v>
      </c>
      <c r="G414" s="3" t="n">
        <v>1</v>
      </c>
      <c r="H414" s="24" t="n">
        <v>-0.335012406</v>
      </c>
    </row>
    <row r="415" customFormat="false" ht="15" hidden="false" customHeight="false" outlineLevel="0" collapsed="false">
      <c r="A415" s="3" t="n">
        <v>414</v>
      </c>
      <c r="B415" s="3" t="n">
        <v>413</v>
      </c>
      <c r="C415" s="3" t="s">
        <v>117</v>
      </c>
      <c r="D415" s="3" t="n">
        <v>4</v>
      </c>
      <c r="E415" s="3" t="n">
        <v>5</v>
      </c>
      <c r="F415" s="3" t="n">
        <v>2</v>
      </c>
      <c r="G415" s="3" t="n">
        <v>2</v>
      </c>
      <c r="H415" s="24" t="n">
        <v>-0.507502258</v>
      </c>
    </row>
    <row r="416" customFormat="false" ht="15" hidden="false" customHeight="false" outlineLevel="0" collapsed="false">
      <c r="A416" s="3" t="n">
        <v>415</v>
      </c>
      <c r="B416" s="3" t="n">
        <v>414</v>
      </c>
      <c r="C416" s="3" t="s">
        <v>117</v>
      </c>
      <c r="D416" s="3" t="n">
        <v>4</v>
      </c>
      <c r="E416" s="3" t="n">
        <v>6</v>
      </c>
      <c r="F416" s="3" t="n">
        <v>0</v>
      </c>
      <c r="G416" s="3" t="n">
        <v>0</v>
      </c>
      <c r="H416" s="24" t="n">
        <v>-0.00845899154</v>
      </c>
    </row>
    <row r="417" customFormat="false" ht="15" hidden="false" customHeight="false" outlineLevel="0" collapsed="false">
      <c r="A417" s="3" t="n">
        <v>416</v>
      </c>
      <c r="B417" s="3" t="n">
        <v>415</v>
      </c>
      <c r="C417" s="3" t="s">
        <v>117</v>
      </c>
      <c r="D417" s="3" t="n">
        <v>4</v>
      </c>
      <c r="E417" s="3" t="n">
        <v>6</v>
      </c>
      <c r="F417" s="3" t="n">
        <v>0</v>
      </c>
      <c r="G417" s="3" t="n">
        <v>1</v>
      </c>
      <c r="H417" s="24" t="n">
        <v>0.135197744</v>
      </c>
    </row>
    <row r="418" customFormat="false" ht="15" hidden="false" customHeight="false" outlineLevel="0" collapsed="false">
      <c r="A418" s="3" t="n">
        <v>417</v>
      </c>
      <c r="B418" s="3" t="n">
        <v>416</v>
      </c>
      <c r="C418" s="3" t="s">
        <v>117</v>
      </c>
      <c r="D418" s="3" t="n">
        <v>4</v>
      </c>
      <c r="E418" s="3" t="n">
        <v>6</v>
      </c>
      <c r="F418" s="3" t="n">
        <v>0</v>
      </c>
      <c r="G418" s="3" t="n">
        <v>2</v>
      </c>
      <c r="H418" s="24" t="n">
        <v>0.156575769</v>
      </c>
    </row>
    <row r="419" customFormat="false" ht="15" hidden="false" customHeight="false" outlineLevel="0" collapsed="false">
      <c r="A419" s="3" t="n">
        <v>418</v>
      </c>
      <c r="B419" s="3" t="n">
        <v>417</v>
      </c>
      <c r="C419" s="3" t="s">
        <v>117</v>
      </c>
      <c r="D419" s="3" t="n">
        <v>4</v>
      </c>
      <c r="E419" s="3" t="n">
        <v>6</v>
      </c>
      <c r="F419" s="3" t="n">
        <v>1</v>
      </c>
      <c r="G419" s="3" t="n">
        <v>0</v>
      </c>
      <c r="H419" s="24" t="n">
        <v>-0.00814389158</v>
      </c>
    </row>
    <row r="420" customFormat="false" ht="15" hidden="false" customHeight="false" outlineLevel="0" collapsed="false">
      <c r="A420" s="3" t="n">
        <v>419</v>
      </c>
      <c r="B420" s="3" t="n">
        <v>418</v>
      </c>
      <c r="C420" s="3" t="s">
        <v>117</v>
      </c>
      <c r="D420" s="3" t="n">
        <v>4</v>
      </c>
      <c r="E420" s="3" t="n">
        <v>6</v>
      </c>
      <c r="F420" s="3" t="n">
        <v>1</v>
      </c>
      <c r="G420" s="3" t="n">
        <v>1</v>
      </c>
      <c r="H420" s="24" t="n">
        <v>-0.0583034009</v>
      </c>
    </row>
    <row r="421" customFormat="false" ht="15" hidden="false" customHeight="false" outlineLevel="0" collapsed="false">
      <c r="A421" s="3" t="n">
        <v>420</v>
      </c>
      <c r="B421" s="3" t="n">
        <v>419</v>
      </c>
      <c r="C421" s="3" t="s">
        <v>117</v>
      </c>
      <c r="D421" s="3" t="n">
        <v>4</v>
      </c>
      <c r="E421" s="3" t="n">
        <v>6</v>
      </c>
      <c r="F421" s="3" t="n">
        <v>1</v>
      </c>
      <c r="G421" s="3" t="n">
        <v>2</v>
      </c>
      <c r="H421" s="24" t="n">
        <v>-0.0150427986</v>
      </c>
    </row>
    <row r="422" customFormat="false" ht="15" hidden="false" customHeight="false" outlineLevel="0" collapsed="false">
      <c r="A422" s="3" t="n">
        <v>421</v>
      </c>
      <c r="B422" s="3" t="n">
        <v>420</v>
      </c>
      <c r="C422" s="3" t="s">
        <v>117</v>
      </c>
      <c r="D422" s="3" t="n">
        <v>4</v>
      </c>
      <c r="E422" s="3" t="n">
        <v>6</v>
      </c>
      <c r="F422" s="3" t="n">
        <v>2</v>
      </c>
      <c r="G422" s="3" t="n">
        <v>0</v>
      </c>
      <c r="H422" s="24" t="n">
        <v>-0.366838664</v>
      </c>
    </row>
    <row r="423" customFormat="false" ht="15" hidden="false" customHeight="false" outlineLevel="0" collapsed="false">
      <c r="A423" s="3" t="n">
        <v>422</v>
      </c>
      <c r="B423" s="3" t="n">
        <v>421</v>
      </c>
      <c r="C423" s="3" t="s">
        <v>117</v>
      </c>
      <c r="D423" s="3" t="n">
        <v>4</v>
      </c>
      <c r="E423" s="3" t="n">
        <v>6</v>
      </c>
      <c r="F423" s="3" t="n">
        <v>2</v>
      </c>
      <c r="G423" s="3" t="n">
        <v>1</v>
      </c>
      <c r="H423" s="24" t="n">
        <v>-0.023939399</v>
      </c>
    </row>
    <row r="424" customFormat="false" ht="15" hidden="false" customHeight="false" outlineLevel="0" collapsed="false">
      <c r="A424" s="3" t="n">
        <v>423</v>
      </c>
      <c r="B424" s="3" t="n">
        <v>422</v>
      </c>
      <c r="C424" s="3" t="s">
        <v>117</v>
      </c>
      <c r="D424" s="3" t="n">
        <v>4</v>
      </c>
      <c r="E424" s="3" t="n">
        <v>6</v>
      </c>
      <c r="F424" s="3" t="n">
        <v>2</v>
      </c>
      <c r="G424" s="3" t="n">
        <v>2</v>
      </c>
      <c r="H424" s="24" t="n">
        <v>0.15948014</v>
      </c>
    </row>
    <row r="425" customFormat="false" ht="15" hidden="false" customHeight="false" outlineLevel="0" collapsed="false">
      <c r="A425" s="3" t="n">
        <v>424</v>
      </c>
      <c r="B425" s="3" t="n">
        <v>423</v>
      </c>
      <c r="C425" s="3" t="s">
        <v>117</v>
      </c>
      <c r="D425" s="3" t="n">
        <v>4</v>
      </c>
      <c r="E425" s="3" t="n">
        <v>7</v>
      </c>
      <c r="F425" s="3" t="n">
        <v>0</v>
      </c>
      <c r="G425" s="3" t="n">
        <v>0</v>
      </c>
      <c r="H425" s="24" t="n">
        <v>0.00285166921</v>
      </c>
    </row>
    <row r="426" customFormat="false" ht="15" hidden="false" customHeight="false" outlineLevel="0" collapsed="false">
      <c r="A426" s="3" t="n">
        <v>425</v>
      </c>
      <c r="B426" s="3" t="n">
        <v>424</v>
      </c>
      <c r="C426" s="3" t="s">
        <v>117</v>
      </c>
      <c r="D426" s="3" t="n">
        <v>4</v>
      </c>
      <c r="E426" s="3" t="n">
        <v>7</v>
      </c>
      <c r="F426" s="3" t="n">
        <v>0</v>
      </c>
      <c r="G426" s="3" t="n">
        <v>1</v>
      </c>
      <c r="H426" s="24" t="n">
        <v>-0.0345294289</v>
      </c>
    </row>
    <row r="427" customFormat="false" ht="15" hidden="false" customHeight="false" outlineLevel="0" collapsed="false">
      <c r="A427" s="3" t="n">
        <v>426</v>
      </c>
      <c r="B427" s="3" t="n">
        <v>425</v>
      </c>
      <c r="C427" s="3" t="s">
        <v>117</v>
      </c>
      <c r="D427" s="3" t="n">
        <v>4</v>
      </c>
      <c r="E427" s="3" t="n">
        <v>7</v>
      </c>
      <c r="F427" s="3" t="n">
        <v>0</v>
      </c>
      <c r="G427" s="3" t="n">
        <v>2</v>
      </c>
      <c r="H427" s="24" t="n">
        <v>0.162633836</v>
      </c>
    </row>
    <row r="428" customFormat="false" ht="15" hidden="false" customHeight="false" outlineLevel="0" collapsed="false">
      <c r="A428" s="3" t="n">
        <v>427</v>
      </c>
      <c r="B428" s="3" t="n">
        <v>426</v>
      </c>
      <c r="C428" s="3" t="s">
        <v>117</v>
      </c>
      <c r="D428" s="3" t="n">
        <v>4</v>
      </c>
      <c r="E428" s="3" t="n">
        <v>7</v>
      </c>
      <c r="F428" s="3" t="n">
        <v>1</v>
      </c>
      <c r="G428" s="3" t="n">
        <v>0</v>
      </c>
      <c r="H428" s="24" t="n">
        <v>-0.440165848</v>
      </c>
    </row>
    <row r="429" customFormat="false" ht="15" hidden="false" customHeight="false" outlineLevel="0" collapsed="false">
      <c r="A429" s="3" t="n">
        <v>428</v>
      </c>
      <c r="B429" s="3" t="n">
        <v>427</v>
      </c>
      <c r="C429" s="3" t="s">
        <v>117</v>
      </c>
      <c r="D429" s="3" t="n">
        <v>4</v>
      </c>
      <c r="E429" s="3" t="n">
        <v>7</v>
      </c>
      <c r="F429" s="3" t="n">
        <v>1</v>
      </c>
      <c r="G429" s="3" t="n">
        <v>1</v>
      </c>
      <c r="H429" s="24" t="n">
        <v>-0.267275244</v>
      </c>
    </row>
    <row r="430" customFormat="false" ht="15" hidden="false" customHeight="false" outlineLevel="0" collapsed="false">
      <c r="A430" s="3" t="n">
        <v>429</v>
      </c>
      <c r="B430" s="3" t="n">
        <v>428</v>
      </c>
      <c r="C430" s="3" t="s">
        <v>117</v>
      </c>
      <c r="D430" s="3" t="n">
        <v>4</v>
      </c>
      <c r="E430" s="3" t="n">
        <v>7</v>
      </c>
      <c r="F430" s="3" t="n">
        <v>1</v>
      </c>
      <c r="G430" s="3" t="n">
        <v>2</v>
      </c>
      <c r="H430" s="24" t="n">
        <v>0.0794083402</v>
      </c>
    </row>
    <row r="431" customFormat="false" ht="15" hidden="false" customHeight="false" outlineLevel="0" collapsed="false">
      <c r="A431" s="3" t="n">
        <v>430</v>
      </c>
      <c r="B431" s="3" t="n">
        <v>429</v>
      </c>
      <c r="C431" s="3" t="s">
        <v>117</v>
      </c>
      <c r="D431" s="3" t="n">
        <v>4</v>
      </c>
      <c r="E431" s="3" t="n">
        <v>7</v>
      </c>
      <c r="F431" s="3" t="n">
        <v>2</v>
      </c>
      <c r="G431" s="3" t="n">
        <v>0</v>
      </c>
      <c r="H431" s="24" t="n">
        <v>-0.205596074</v>
      </c>
    </row>
    <row r="432" customFormat="false" ht="15" hidden="false" customHeight="false" outlineLevel="0" collapsed="false">
      <c r="A432" s="3" t="n">
        <v>431</v>
      </c>
      <c r="B432" s="3" t="n">
        <v>430</v>
      </c>
      <c r="C432" s="3" t="s">
        <v>117</v>
      </c>
      <c r="D432" s="3" t="n">
        <v>4</v>
      </c>
      <c r="E432" s="3" t="n">
        <v>7</v>
      </c>
      <c r="F432" s="3" t="n">
        <v>2</v>
      </c>
      <c r="G432" s="3" t="n">
        <v>1</v>
      </c>
      <c r="H432" s="24" t="n">
        <v>-0.0614253953</v>
      </c>
    </row>
    <row r="433" customFormat="false" ht="15" hidden="false" customHeight="false" outlineLevel="0" collapsed="false">
      <c r="A433" s="3" t="n">
        <v>432</v>
      </c>
      <c r="B433" s="3" t="n">
        <v>431</v>
      </c>
      <c r="C433" s="3" t="s">
        <v>117</v>
      </c>
      <c r="D433" s="3" t="n">
        <v>4</v>
      </c>
      <c r="E433" s="3" t="n">
        <v>7</v>
      </c>
      <c r="F433" s="3" t="n">
        <v>2</v>
      </c>
      <c r="G433" s="3" t="n">
        <v>2</v>
      </c>
      <c r="H433" s="24" t="n">
        <v>0.224452555</v>
      </c>
    </row>
    <row r="434" customFormat="false" ht="15" hidden="false" customHeight="false" outlineLevel="0" collapsed="false">
      <c r="A434" s="3" t="n">
        <v>433</v>
      </c>
      <c r="B434" s="3" t="n">
        <v>432</v>
      </c>
      <c r="C434" s="3" t="s">
        <v>117</v>
      </c>
      <c r="D434" s="3" t="n">
        <v>5</v>
      </c>
      <c r="E434" s="3" t="n">
        <v>0</v>
      </c>
      <c r="F434" s="3" t="n">
        <v>0</v>
      </c>
      <c r="G434" s="3" t="n">
        <v>0</v>
      </c>
      <c r="H434" s="24" t="n">
        <v>-0.0430345014</v>
      </c>
    </row>
    <row r="435" customFormat="false" ht="15" hidden="false" customHeight="false" outlineLevel="0" collapsed="false">
      <c r="A435" s="3" t="n">
        <v>434</v>
      </c>
      <c r="B435" s="3" t="n">
        <v>433</v>
      </c>
      <c r="C435" s="3" t="s">
        <v>117</v>
      </c>
      <c r="D435" s="3" t="n">
        <v>5</v>
      </c>
      <c r="E435" s="3" t="n">
        <v>0</v>
      </c>
      <c r="F435" s="3" t="n">
        <v>0</v>
      </c>
      <c r="G435" s="3" t="n">
        <v>1</v>
      </c>
      <c r="H435" s="24" t="n">
        <v>0.0723383725</v>
      </c>
    </row>
    <row r="436" customFormat="false" ht="15" hidden="false" customHeight="false" outlineLevel="0" collapsed="false">
      <c r="A436" s="3" t="n">
        <v>435</v>
      </c>
      <c r="B436" s="3" t="n">
        <v>434</v>
      </c>
      <c r="C436" s="3" t="s">
        <v>117</v>
      </c>
      <c r="D436" s="3" t="n">
        <v>5</v>
      </c>
      <c r="E436" s="3" t="n">
        <v>0</v>
      </c>
      <c r="F436" s="3" t="n">
        <v>0</v>
      </c>
      <c r="G436" s="3" t="n">
        <v>2</v>
      </c>
      <c r="H436" s="24" t="n">
        <v>-0.0406116582</v>
      </c>
    </row>
    <row r="437" customFormat="false" ht="15" hidden="false" customHeight="false" outlineLevel="0" collapsed="false">
      <c r="A437" s="3" t="n">
        <v>436</v>
      </c>
      <c r="B437" s="3" t="n">
        <v>435</v>
      </c>
      <c r="C437" s="3" t="s">
        <v>117</v>
      </c>
      <c r="D437" s="3" t="n">
        <v>5</v>
      </c>
      <c r="E437" s="3" t="n">
        <v>0</v>
      </c>
      <c r="F437" s="3" t="n">
        <v>1</v>
      </c>
      <c r="G437" s="3" t="n">
        <v>0</v>
      </c>
      <c r="H437" s="24" t="n">
        <v>0.121077143</v>
      </c>
    </row>
    <row r="438" customFormat="false" ht="15" hidden="false" customHeight="false" outlineLevel="0" collapsed="false">
      <c r="A438" s="3" t="n">
        <v>437</v>
      </c>
      <c r="B438" s="3" t="n">
        <v>436</v>
      </c>
      <c r="C438" s="3" t="s">
        <v>117</v>
      </c>
      <c r="D438" s="3" t="n">
        <v>5</v>
      </c>
      <c r="E438" s="3" t="n">
        <v>0</v>
      </c>
      <c r="F438" s="3" t="n">
        <v>1</v>
      </c>
      <c r="G438" s="3" t="n">
        <v>1</v>
      </c>
      <c r="H438" s="24" t="n">
        <v>0.401956946</v>
      </c>
    </row>
    <row r="439" customFormat="false" ht="15" hidden="false" customHeight="false" outlineLevel="0" collapsed="false">
      <c r="A439" s="3" t="n">
        <v>438</v>
      </c>
      <c r="B439" s="3" t="n">
        <v>437</v>
      </c>
      <c r="C439" s="3" t="s">
        <v>117</v>
      </c>
      <c r="D439" s="3" t="n">
        <v>5</v>
      </c>
      <c r="E439" s="3" t="n">
        <v>0</v>
      </c>
      <c r="F439" s="3" t="n">
        <v>1</v>
      </c>
      <c r="G439" s="3" t="n">
        <v>2</v>
      </c>
      <c r="H439" s="24" t="n">
        <v>0.0229026452</v>
      </c>
    </row>
    <row r="440" customFormat="false" ht="15" hidden="false" customHeight="false" outlineLevel="0" collapsed="false">
      <c r="A440" s="3" t="n">
        <v>439</v>
      </c>
      <c r="B440" s="3" t="n">
        <v>438</v>
      </c>
      <c r="C440" s="3" t="s">
        <v>117</v>
      </c>
      <c r="D440" s="3" t="n">
        <v>5</v>
      </c>
      <c r="E440" s="3" t="n">
        <v>0</v>
      </c>
      <c r="F440" s="3" t="n">
        <v>2</v>
      </c>
      <c r="G440" s="3" t="n">
        <v>0</v>
      </c>
      <c r="H440" s="24" t="n">
        <v>-0.0844229534</v>
      </c>
    </row>
    <row r="441" customFormat="false" ht="15" hidden="false" customHeight="false" outlineLevel="0" collapsed="false">
      <c r="A441" s="3" t="n">
        <v>440</v>
      </c>
      <c r="B441" s="3" t="n">
        <v>439</v>
      </c>
      <c r="C441" s="3" t="s">
        <v>117</v>
      </c>
      <c r="D441" s="3" t="n">
        <v>5</v>
      </c>
      <c r="E441" s="3" t="n">
        <v>0</v>
      </c>
      <c r="F441" s="3" t="n">
        <v>2</v>
      </c>
      <c r="G441" s="3" t="n">
        <v>1</v>
      </c>
      <c r="H441" s="24" t="n">
        <v>0.166050822</v>
      </c>
    </row>
    <row r="442" customFormat="false" ht="15" hidden="false" customHeight="false" outlineLevel="0" collapsed="false">
      <c r="A442" s="3" t="n">
        <v>441</v>
      </c>
      <c r="B442" s="3" t="n">
        <v>440</v>
      </c>
      <c r="C442" s="3" t="s">
        <v>117</v>
      </c>
      <c r="D442" s="3" t="n">
        <v>5</v>
      </c>
      <c r="E442" s="3" t="n">
        <v>0</v>
      </c>
      <c r="F442" s="3" t="n">
        <v>2</v>
      </c>
      <c r="G442" s="3" t="n">
        <v>2</v>
      </c>
      <c r="H442" s="24" t="n">
        <v>0.292202353</v>
      </c>
    </row>
    <row r="443" customFormat="false" ht="15" hidden="false" customHeight="false" outlineLevel="0" collapsed="false">
      <c r="A443" s="3" t="n">
        <v>442</v>
      </c>
      <c r="B443" s="3" t="n">
        <v>441</v>
      </c>
      <c r="C443" s="3" t="s">
        <v>117</v>
      </c>
      <c r="D443" s="3" t="n">
        <v>5</v>
      </c>
      <c r="E443" s="3" t="n">
        <v>1</v>
      </c>
      <c r="F443" s="3" t="n">
        <v>0</v>
      </c>
      <c r="G443" s="3" t="n">
        <v>0</v>
      </c>
      <c r="H443" s="24" t="n">
        <v>-0.227798805</v>
      </c>
    </row>
    <row r="444" customFormat="false" ht="15" hidden="false" customHeight="false" outlineLevel="0" collapsed="false">
      <c r="A444" s="3" t="n">
        <v>443</v>
      </c>
      <c r="B444" s="3" t="n">
        <v>442</v>
      </c>
      <c r="C444" s="3" t="s">
        <v>117</v>
      </c>
      <c r="D444" s="3" t="n">
        <v>5</v>
      </c>
      <c r="E444" s="3" t="n">
        <v>1</v>
      </c>
      <c r="F444" s="3" t="n">
        <v>0</v>
      </c>
      <c r="G444" s="3" t="n">
        <v>1</v>
      </c>
      <c r="H444" s="24" t="n">
        <v>0.0274002273</v>
      </c>
    </row>
    <row r="445" customFormat="false" ht="15" hidden="false" customHeight="false" outlineLevel="0" collapsed="false">
      <c r="A445" s="3" t="n">
        <v>444</v>
      </c>
      <c r="B445" s="3" t="n">
        <v>443</v>
      </c>
      <c r="C445" s="3" t="s">
        <v>117</v>
      </c>
      <c r="D445" s="3" t="n">
        <v>5</v>
      </c>
      <c r="E445" s="3" t="n">
        <v>1</v>
      </c>
      <c r="F445" s="3" t="n">
        <v>0</v>
      </c>
      <c r="G445" s="3" t="n">
        <v>2</v>
      </c>
      <c r="H445" s="24" t="n">
        <v>-0.172413677</v>
      </c>
    </row>
    <row r="446" customFormat="false" ht="15" hidden="false" customHeight="false" outlineLevel="0" collapsed="false">
      <c r="A446" s="3" t="n">
        <v>445</v>
      </c>
      <c r="B446" s="3" t="n">
        <v>444</v>
      </c>
      <c r="C446" s="3" t="s">
        <v>117</v>
      </c>
      <c r="D446" s="3" t="n">
        <v>5</v>
      </c>
      <c r="E446" s="3" t="n">
        <v>1</v>
      </c>
      <c r="F446" s="3" t="n">
        <v>1</v>
      </c>
      <c r="G446" s="3" t="n">
        <v>0</v>
      </c>
      <c r="H446" s="24" t="n">
        <v>-0.125547931</v>
      </c>
    </row>
    <row r="447" customFormat="false" ht="15" hidden="false" customHeight="false" outlineLevel="0" collapsed="false">
      <c r="A447" s="3" t="n">
        <v>446</v>
      </c>
      <c r="B447" s="3" t="n">
        <v>445</v>
      </c>
      <c r="C447" s="3" t="s">
        <v>117</v>
      </c>
      <c r="D447" s="3" t="n">
        <v>5</v>
      </c>
      <c r="E447" s="3" t="n">
        <v>1</v>
      </c>
      <c r="F447" s="3" t="n">
        <v>1</v>
      </c>
      <c r="G447" s="3" t="n">
        <v>1</v>
      </c>
      <c r="H447" s="24" t="n">
        <v>0.0167182982</v>
      </c>
    </row>
    <row r="448" customFormat="false" ht="15" hidden="false" customHeight="false" outlineLevel="0" collapsed="false">
      <c r="A448" s="3" t="n">
        <v>447</v>
      </c>
      <c r="B448" s="3" t="n">
        <v>446</v>
      </c>
      <c r="C448" s="3" t="s">
        <v>117</v>
      </c>
      <c r="D448" s="3" t="n">
        <v>5</v>
      </c>
      <c r="E448" s="3" t="n">
        <v>1</v>
      </c>
      <c r="F448" s="3" t="n">
        <v>1</v>
      </c>
      <c r="G448" s="3" t="n">
        <v>2</v>
      </c>
      <c r="H448" s="24" t="n">
        <v>0.0252905656</v>
      </c>
    </row>
    <row r="449" customFormat="false" ht="15" hidden="false" customHeight="false" outlineLevel="0" collapsed="false">
      <c r="A449" s="3" t="n">
        <v>448</v>
      </c>
      <c r="B449" s="3" t="n">
        <v>447</v>
      </c>
      <c r="C449" s="3" t="s">
        <v>117</v>
      </c>
      <c r="D449" s="3" t="n">
        <v>5</v>
      </c>
      <c r="E449" s="3" t="n">
        <v>1</v>
      </c>
      <c r="F449" s="3" t="n">
        <v>2</v>
      </c>
      <c r="G449" s="3" t="n">
        <v>0</v>
      </c>
      <c r="H449" s="24" t="n">
        <v>-0.0276532527</v>
      </c>
    </row>
    <row r="450" customFormat="false" ht="15" hidden="false" customHeight="false" outlineLevel="0" collapsed="false">
      <c r="A450" s="3" t="n">
        <v>449</v>
      </c>
      <c r="B450" s="3" t="n">
        <v>448</v>
      </c>
      <c r="C450" s="3" t="s">
        <v>117</v>
      </c>
      <c r="D450" s="3" t="n">
        <v>5</v>
      </c>
      <c r="E450" s="3" t="n">
        <v>1</v>
      </c>
      <c r="F450" s="3" t="n">
        <v>2</v>
      </c>
      <c r="G450" s="3" t="n">
        <v>1</v>
      </c>
      <c r="H450" s="24" t="n">
        <v>-0.0735834837</v>
      </c>
    </row>
    <row r="451" customFormat="false" ht="15" hidden="false" customHeight="false" outlineLevel="0" collapsed="false">
      <c r="A451" s="3" t="n">
        <v>450</v>
      </c>
      <c r="B451" s="3" t="n">
        <v>449</v>
      </c>
      <c r="C451" s="3" t="s">
        <v>117</v>
      </c>
      <c r="D451" s="3" t="n">
        <v>5</v>
      </c>
      <c r="E451" s="3" t="n">
        <v>1</v>
      </c>
      <c r="F451" s="3" t="n">
        <v>2</v>
      </c>
      <c r="G451" s="3" t="n">
        <v>2</v>
      </c>
      <c r="H451" s="24" t="n">
        <v>0.197055012</v>
      </c>
    </row>
    <row r="452" customFormat="false" ht="15" hidden="false" customHeight="false" outlineLevel="0" collapsed="false">
      <c r="A452" s="3" t="n">
        <v>451</v>
      </c>
      <c r="B452" s="3" t="n">
        <v>450</v>
      </c>
      <c r="C452" s="3" t="s">
        <v>117</v>
      </c>
      <c r="D452" s="3" t="n">
        <v>5</v>
      </c>
      <c r="E452" s="3" t="n">
        <v>2</v>
      </c>
      <c r="F452" s="3" t="n">
        <v>0</v>
      </c>
      <c r="G452" s="3" t="n">
        <v>0</v>
      </c>
      <c r="H452" s="24" t="n">
        <v>-0.2443856</v>
      </c>
    </row>
    <row r="453" customFormat="false" ht="15" hidden="false" customHeight="false" outlineLevel="0" collapsed="false">
      <c r="A453" s="3" t="n">
        <v>452</v>
      </c>
      <c r="B453" s="3" t="n">
        <v>451</v>
      </c>
      <c r="C453" s="3" t="s">
        <v>117</v>
      </c>
      <c r="D453" s="3" t="n">
        <v>5</v>
      </c>
      <c r="E453" s="3" t="n">
        <v>2</v>
      </c>
      <c r="F453" s="3" t="n">
        <v>0</v>
      </c>
      <c r="G453" s="3" t="n">
        <v>1</v>
      </c>
      <c r="H453" s="24" t="n">
        <v>-0.300228477</v>
      </c>
    </row>
    <row r="454" customFormat="false" ht="15" hidden="false" customHeight="false" outlineLevel="0" collapsed="false">
      <c r="A454" s="3" t="n">
        <v>453</v>
      </c>
      <c r="B454" s="3" t="n">
        <v>452</v>
      </c>
      <c r="C454" s="3" t="s">
        <v>117</v>
      </c>
      <c r="D454" s="3" t="n">
        <v>5</v>
      </c>
      <c r="E454" s="3" t="n">
        <v>2</v>
      </c>
      <c r="F454" s="3" t="n">
        <v>0</v>
      </c>
      <c r="G454" s="3" t="n">
        <v>2</v>
      </c>
      <c r="H454" s="24" t="n">
        <v>-0.0174013916</v>
      </c>
    </row>
    <row r="455" customFormat="false" ht="15" hidden="false" customHeight="false" outlineLevel="0" collapsed="false">
      <c r="A455" s="3" t="n">
        <v>454</v>
      </c>
      <c r="B455" s="3" t="n">
        <v>453</v>
      </c>
      <c r="C455" s="3" t="s">
        <v>117</v>
      </c>
      <c r="D455" s="3" t="n">
        <v>5</v>
      </c>
      <c r="E455" s="3" t="n">
        <v>2</v>
      </c>
      <c r="F455" s="3" t="n">
        <v>1</v>
      </c>
      <c r="G455" s="3" t="n">
        <v>0</v>
      </c>
      <c r="H455" s="24" t="n">
        <v>-0.00375051331</v>
      </c>
    </row>
    <row r="456" customFormat="false" ht="15" hidden="false" customHeight="false" outlineLevel="0" collapsed="false">
      <c r="A456" s="3" t="n">
        <v>455</v>
      </c>
      <c r="B456" s="3" t="n">
        <v>454</v>
      </c>
      <c r="C456" s="3" t="s">
        <v>117</v>
      </c>
      <c r="D456" s="3" t="n">
        <v>5</v>
      </c>
      <c r="E456" s="3" t="n">
        <v>2</v>
      </c>
      <c r="F456" s="3" t="n">
        <v>1</v>
      </c>
      <c r="G456" s="3" t="n">
        <v>1</v>
      </c>
      <c r="H456" s="24" t="n">
        <v>-0.329088748</v>
      </c>
    </row>
    <row r="457" customFormat="false" ht="15" hidden="false" customHeight="false" outlineLevel="0" collapsed="false">
      <c r="A457" s="3" t="n">
        <v>456</v>
      </c>
      <c r="B457" s="3" t="n">
        <v>455</v>
      </c>
      <c r="C457" s="3" t="s">
        <v>117</v>
      </c>
      <c r="D457" s="3" t="n">
        <v>5</v>
      </c>
      <c r="E457" s="3" t="n">
        <v>2</v>
      </c>
      <c r="F457" s="3" t="n">
        <v>1</v>
      </c>
      <c r="G457" s="3" t="n">
        <v>2</v>
      </c>
      <c r="H457" s="24" t="n">
        <v>-0.46546194</v>
      </c>
    </row>
    <row r="458" customFormat="false" ht="15" hidden="false" customHeight="false" outlineLevel="0" collapsed="false">
      <c r="A458" s="3" t="n">
        <v>457</v>
      </c>
      <c r="B458" s="3" t="n">
        <v>456</v>
      </c>
      <c r="C458" s="3" t="s">
        <v>117</v>
      </c>
      <c r="D458" s="3" t="n">
        <v>5</v>
      </c>
      <c r="E458" s="3" t="n">
        <v>2</v>
      </c>
      <c r="F458" s="3" t="n">
        <v>2</v>
      </c>
      <c r="G458" s="3" t="n">
        <v>0</v>
      </c>
      <c r="H458" s="24" t="n">
        <v>-0.0133506665</v>
      </c>
    </row>
    <row r="459" customFormat="false" ht="15" hidden="false" customHeight="false" outlineLevel="0" collapsed="false">
      <c r="A459" s="3" t="n">
        <v>458</v>
      </c>
      <c r="B459" s="3" t="n">
        <v>457</v>
      </c>
      <c r="C459" s="3" t="s">
        <v>117</v>
      </c>
      <c r="D459" s="3" t="n">
        <v>5</v>
      </c>
      <c r="E459" s="3" t="n">
        <v>2</v>
      </c>
      <c r="F459" s="3" t="n">
        <v>2</v>
      </c>
      <c r="G459" s="3" t="n">
        <v>1</v>
      </c>
      <c r="H459" s="24" t="n">
        <v>0.131502435</v>
      </c>
    </row>
    <row r="460" customFormat="false" ht="15" hidden="false" customHeight="false" outlineLevel="0" collapsed="false">
      <c r="A460" s="3" t="n">
        <v>459</v>
      </c>
      <c r="B460" s="3" t="n">
        <v>458</v>
      </c>
      <c r="C460" s="3" t="s">
        <v>117</v>
      </c>
      <c r="D460" s="3" t="n">
        <v>5</v>
      </c>
      <c r="E460" s="3" t="n">
        <v>2</v>
      </c>
      <c r="F460" s="3" t="n">
        <v>2</v>
      </c>
      <c r="G460" s="3" t="n">
        <v>2</v>
      </c>
      <c r="H460" s="24" t="n">
        <v>-0.0213383716</v>
      </c>
    </row>
    <row r="461" customFormat="false" ht="15" hidden="false" customHeight="false" outlineLevel="0" collapsed="false">
      <c r="A461" s="3" t="n">
        <v>460</v>
      </c>
      <c r="B461" s="3" t="n">
        <v>459</v>
      </c>
      <c r="C461" s="3" t="s">
        <v>117</v>
      </c>
      <c r="D461" s="3" t="n">
        <v>5</v>
      </c>
      <c r="E461" s="3" t="n">
        <v>3</v>
      </c>
      <c r="F461" s="3" t="n">
        <v>0</v>
      </c>
      <c r="G461" s="3" t="n">
        <v>0</v>
      </c>
      <c r="H461" s="24" t="n">
        <v>0.147781655</v>
      </c>
    </row>
    <row r="462" customFormat="false" ht="15" hidden="false" customHeight="false" outlineLevel="0" collapsed="false">
      <c r="A462" s="3" t="n">
        <v>461</v>
      </c>
      <c r="B462" s="3" t="n">
        <v>460</v>
      </c>
      <c r="C462" s="3" t="s">
        <v>117</v>
      </c>
      <c r="D462" s="3" t="n">
        <v>5</v>
      </c>
      <c r="E462" s="3" t="n">
        <v>3</v>
      </c>
      <c r="F462" s="3" t="n">
        <v>0</v>
      </c>
      <c r="G462" s="3" t="n">
        <v>1</v>
      </c>
      <c r="H462" s="24" t="n">
        <v>0.29614836</v>
      </c>
    </row>
    <row r="463" customFormat="false" ht="15" hidden="false" customHeight="false" outlineLevel="0" collapsed="false">
      <c r="A463" s="3" t="n">
        <v>462</v>
      </c>
      <c r="B463" s="3" t="n">
        <v>461</v>
      </c>
      <c r="C463" s="3" t="s">
        <v>117</v>
      </c>
      <c r="D463" s="3" t="n">
        <v>5</v>
      </c>
      <c r="E463" s="3" t="n">
        <v>3</v>
      </c>
      <c r="F463" s="3" t="n">
        <v>0</v>
      </c>
      <c r="G463" s="3" t="n">
        <v>2</v>
      </c>
      <c r="H463" s="24" t="n">
        <v>-0.0738507211</v>
      </c>
    </row>
    <row r="464" customFormat="false" ht="15" hidden="false" customHeight="false" outlineLevel="0" collapsed="false">
      <c r="A464" s="3" t="n">
        <v>463</v>
      </c>
      <c r="B464" s="3" t="n">
        <v>462</v>
      </c>
      <c r="C464" s="3" t="s">
        <v>117</v>
      </c>
      <c r="D464" s="3" t="n">
        <v>5</v>
      </c>
      <c r="E464" s="3" t="n">
        <v>3</v>
      </c>
      <c r="F464" s="3" t="n">
        <v>1</v>
      </c>
      <c r="G464" s="3" t="n">
        <v>0</v>
      </c>
      <c r="H464" s="24" t="n">
        <v>0.208396241</v>
      </c>
    </row>
    <row r="465" customFormat="false" ht="15" hidden="false" customHeight="false" outlineLevel="0" collapsed="false">
      <c r="A465" s="3" t="n">
        <v>464</v>
      </c>
      <c r="B465" s="3" t="n">
        <v>463</v>
      </c>
      <c r="C465" s="3" t="s">
        <v>117</v>
      </c>
      <c r="D465" s="3" t="n">
        <v>5</v>
      </c>
      <c r="E465" s="3" t="n">
        <v>3</v>
      </c>
      <c r="F465" s="3" t="n">
        <v>1</v>
      </c>
      <c r="G465" s="3" t="n">
        <v>1</v>
      </c>
      <c r="H465" s="24" t="n">
        <v>0.221411377</v>
      </c>
    </row>
    <row r="466" customFormat="false" ht="15" hidden="false" customHeight="false" outlineLevel="0" collapsed="false">
      <c r="A466" s="3" t="n">
        <v>465</v>
      </c>
      <c r="B466" s="3" t="n">
        <v>464</v>
      </c>
      <c r="C466" s="3" t="s">
        <v>117</v>
      </c>
      <c r="D466" s="3" t="n">
        <v>5</v>
      </c>
      <c r="E466" s="3" t="n">
        <v>3</v>
      </c>
      <c r="F466" s="3" t="n">
        <v>1</v>
      </c>
      <c r="G466" s="3" t="n">
        <v>2</v>
      </c>
      <c r="H466" s="24" t="n">
        <v>0.392676681</v>
      </c>
    </row>
    <row r="467" customFormat="false" ht="15" hidden="false" customHeight="false" outlineLevel="0" collapsed="false">
      <c r="A467" s="3" t="n">
        <v>466</v>
      </c>
      <c r="B467" s="3" t="n">
        <v>465</v>
      </c>
      <c r="C467" s="3" t="s">
        <v>117</v>
      </c>
      <c r="D467" s="3" t="n">
        <v>5</v>
      </c>
      <c r="E467" s="3" t="n">
        <v>3</v>
      </c>
      <c r="F467" s="3" t="n">
        <v>2</v>
      </c>
      <c r="G467" s="3" t="n">
        <v>0</v>
      </c>
      <c r="H467" s="24" t="n">
        <v>-0.0236862265</v>
      </c>
    </row>
    <row r="468" customFormat="false" ht="15" hidden="false" customHeight="false" outlineLevel="0" collapsed="false">
      <c r="A468" s="3" t="n">
        <v>467</v>
      </c>
      <c r="B468" s="3" t="n">
        <v>466</v>
      </c>
      <c r="C468" s="3" t="s">
        <v>117</v>
      </c>
      <c r="D468" s="3" t="n">
        <v>5</v>
      </c>
      <c r="E468" s="3" t="n">
        <v>3</v>
      </c>
      <c r="F468" s="3" t="n">
        <v>2</v>
      </c>
      <c r="G468" s="3" t="n">
        <v>1</v>
      </c>
      <c r="H468" s="24" t="n">
        <v>-0.496645659</v>
      </c>
    </row>
    <row r="469" customFormat="false" ht="15" hidden="false" customHeight="false" outlineLevel="0" collapsed="false">
      <c r="A469" s="3" t="n">
        <v>468</v>
      </c>
      <c r="B469" s="3" t="n">
        <v>467</v>
      </c>
      <c r="C469" s="3" t="s">
        <v>117</v>
      </c>
      <c r="D469" s="3" t="n">
        <v>5</v>
      </c>
      <c r="E469" s="3" t="n">
        <v>3</v>
      </c>
      <c r="F469" s="3" t="n">
        <v>2</v>
      </c>
      <c r="G469" s="3" t="n">
        <v>2</v>
      </c>
      <c r="H469" s="24" t="n">
        <v>0.00335341902</v>
      </c>
    </row>
    <row r="470" customFormat="false" ht="15" hidden="false" customHeight="false" outlineLevel="0" collapsed="false">
      <c r="A470" s="3" t="n">
        <v>469</v>
      </c>
      <c r="B470" s="3" t="n">
        <v>468</v>
      </c>
      <c r="C470" s="3" t="s">
        <v>117</v>
      </c>
      <c r="D470" s="3" t="n">
        <v>5</v>
      </c>
      <c r="E470" s="3" t="n">
        <v>4</v>
      </c>
      <c r="F470" s="3" t="n">
        <v>0</v>
      </c>
      <c r="G470" s="3" t="n">
        <v>0</v>
      </c>
      <c r="H470" s="24" t="n">
        <v>-0.112466678</v>
      </c>
    </row>
    <row r="471" customFormat="false" ht="15" hidden="false" customHeight="false" outlineLevel="0" collapsed="false">
      <c r="A471" s="3" t="n">
        <v>470</v>
      </c>
      <c r="B471" s="3" t="n">
        <v>469</v>
      </c>
      <c r="C471" s="3" t="s">
        <v>117</v>
      </c>
      <c r="D471" s="3" t="n">
        <v>5</v>
      </c>
      <c r="E471" s="3" t="n">
        <v>4</v>
      </c>
      <c r="F471" s="3" t="n">
        <v>0</v>
      </c>
      <c r="G471" s="3" t="n">
        <v>1</v>
      </c>
      <c r="H471" s="24" t="n">
        <v>-0.101736143</v>
      </c>
    </row>
    <row r="472" customFormat="false" ht="15" hidden="false" customHeight="false" outlineLevel="0" collapsed="false">
      <c r="A472" s="3" t="n">
        <v>471</v>
      </c>
      <c r="B472" s="3" t="n">
        <v>470</v>
      </c>
      <c r="C472" s="3" t="s">
        <v>117</v>
      </c>
      <c r="D472" s="3" t="n">
        <v>5</v>
      </c>
      <c r="E472" s="3" t="n">
        <v>4</v>
      </c>
      <c r="F472" s="3" t="n">
        <v>0</v>
      </c>
      <c r="G472" s="3" t="n">
        <v>2</v>
      </c>
      <c r="H472" s="24" t="n">
        <v>-0.170663327</v>
      </c>
    </row>
    <row r="473" customFormat="false" ht="15" hidden="false" customHeight="false" outlineLevel="0" collapsed="false">
      <c r="A473" s="3" t="n">
        <v>472</v>
      </c>
      <c r="B473" s="3" t="n">
        <v>471</v>
      </c>
      <c r="C473" s="3" t="s">
        <v>117</v>
      </c>
      <c r="D473" s="3" t="n">
        <v>5</v>
      </c>
      <c r="E473" s="3" t="n">
        <v>4</v>
      </c>
      <c r="F473" s="3" t="n">
        <v>1</v>
      </c>
      <c r="G473" s="3" t="n">
        <v>0</v>
      </c>
      <c r="H473" s="24" t="n">
        <v>0.00707348343</v>
      </c>
    </row>
    <row r="474" customFormat="false" ht="15" hidden="false" customHeight="false" outlineLevel="0" collapsed="false">
      <c r="A474" s="3" t="n">
        <v>473</v>
      </c>
      <c r="B474" s="3" t="n">
        <v>472</v>
      </c>
      <c r="C474" s="3" t="s">
        <v>117</v>
      </c>
      <c r="D474" s="3" t="n">
        <v>5</v>
      </c>
      <c r="E474" s="3" t="n">
        <v>4</v>
      </c>
      <c r="F474" s="3" t="n">
        <v>1</v>
      </c>
      <c r="G474" s="3" t="n">
        <v>1</v>
      </c>
      <c r="H474" s="24" t="n">
        <v>0.217405498</v>
      </c>
    </row>
    <row r="475" customFormat="false" ht="15" hidden="false" customHeight="false" outlineLevel="0" collapsed="false">
      <c r="A475" s="3" t="n">
        <v>474</v>
      </c>
      <c r="B475" s="3" t="n">
        <v>473</v>
      </c>
      <c r="C475" s="3" t="s">
        <v>117</v>
      </c>
      <c r="D475" s="3" t="n">
        <v>5</v>
      </c>
      <c r="E475" s="3" t="n">
        <v>4</v>
      </c>
      <c r="F475" s="3" t="n">
        <v>1</v>
      </c>
      <c r="G475" s="3" t="n">
        <v>2</v>
      </c>
      <c r="H475" s="24" t="n">
        <v>0.0313162617</v>
      </c>
    </row>
    <row r="476" customFormat="false" ht="15" hidden="false" customHeight="false" outlineLevel="0" collapsed="false">
      <c r="A476" s="3" t="n">
        <v>475</v>
      </c>
      <c r="B476" s="3" t="n">
        <v>474</v>
      </c>
      <c r="C476" s="3" t="s">
        <v>117</v>
      </c>
      <c r="D476" s="3" t="n">
        <v>5</v>
      </c>
      <c r="E476" s="3" t="n">
        <v>4</v>
      </c>
      <c r="F476" s="3" t="n">
        <v>2</v>
      </c>
      <c r="G476" s="3" t="n">
        <v>0</v>
      </c>
      <c r="H476" s="24" t="n">
        <v>-0.168443993</v>
      </c>
    </row>
    <row r="477" customFormat="false" ht="15" hidden="false" customHeight="false" outlineLevel="0" collapsed="false">
      <c r="A477" s="3" t="n">
        <v>476</v>
      </c>
      <c r="B477" s="3" t="n">
        <v>475</v>
      </c>
      <c r="C477" s="3" t="s">
        <v>117</v>
      </c>
      <c r="D477" s="3" t="n">
        <v>5</v>
      </c>
      <c r="E477" s="3" t="n">
        <v>4</v>
      </c>
      <c r="F477" s="3" t="n">
        <v>2</v>
      </c>
      <c r="G477" s="3" t="n">
        <v>1</v>
      </c>
      <c r="H477" s="24" t="n">
        <v>-0.0214015692</v>
      </c>
    </row>
    <row r="478" customFormat="false" ht="15" hidden="false" customHeight="false" outlineLevel="0" collapsed="false">
      <c r="A478" s="3" t="n">
        <v>477</v>
      </c>
      <c r="B478" s="3" t="n">
        <v>476</v>
      </c>
      <c r="C478" s="3" t="s">
        <v>117</v>
      </c>
      <c r="D478" s="3" t="n">
        <v>5</v>
      </c>
      <c r="E478" s="3" t="n">
        <v>4</v>
      </c>
      <c r="F478" s="3" t="n">
        <v>2</v>
      </c>
      <c r="G478" s="3" t="n">
        <v>2</v>
      </c>
      <c r="H478" s="24" t="n">
        <v>0.00594463851</v>
      </c>
    </row>
    <row r="479" customFormat="false" ht="15" hidden="false" customHeight="false" outlineLevel="0" collapsed="false">
      <c r="A479" s="3" t="n">
        <v>478</v>
      </c>
      <c r="B479" s="3" t="n">
        <v>477</v>
      </c>
      <c r="C479" s="3" t="s">
        <v>117</v>
      </c>
      <c r="D479" s="3" t="n">
        <v>5</v>
      </c>
      <c r="E479" s="3" t="n">
        <v>5</v>
      </c>
      <c r="F479" s="3" t="n">
        <v>0</v>
      </c>
      <c r="G479" s="3" t="n">
        <v>0</v>
      </c>
      <c r="H479" s="24" t="n">
        <v>0.0388692915</v>
      </c>
    </row>
    <row r="480" customFormat="false" ht="15" hidden="false" customHeight="false" outlineLevel="0" collapsed="false">
      <c r="A480" s="3" t="n">
        <v>479</v>
      </c>
      <c r="B480" s="3" t="n">
        <v>478</v>
      </c>
      <c r="C480" s="3" t="s">
        <v>117</v>
      </c>
      <c r="D480" s="3" t="n">
        <v>5</v>
      </c>
      <c r="E480" s="3" t="n">
        <v>5</v>
      </c>
      <c r="F480" s="3" t="n">
        <v>0</v>
      </c>
      <c r="G480" s="3" t="n">
        <v>1</v>
      </c>
      <c r="H480" s="24" t="n">
        <v>-0.277800351</v>
      </c>
    </row>
    <row r="481" customFormat="false" ht="15" hidden="false" customHeight="false" outlineLevel="0" collapsed="false">
      <c r="A481" s="3" t="n">
        <v>480</v>
      </c>
      <c r="B481" s="3" t="n">
        <v>479</v>
      </c>
      <c r="C481" s="3" t="s">
        <v>117</v>
      </c>
      <c r="D481" s="3" t="n">
        <v>5</v>
      </c>
      <c r="E481" s="3" t="n">
        <v>5</v>
      </c>
      <c r="F481" s="3" t="n">
        <v>0</v>
      </c>
      <c r="G481" s="3" t="n">
        <v>2</v>
      </c>
      <c r="H481" s="24" t="n">
        <v>0.262391418</v>
      </c>
    </row>
    <row r="482" customFormat="false" ht="15" hidden="false" customHeight="false" outlineLevel="0" collapsed="false">
      <c r="A482" s="3" t="n">
        <v>481</v>
      </c>
      <c r="B482" s="3" t="n">
        <v>480</v>
      </c>
      <c r="C482" s="3" t="s">
        <v>117</v>
      </c>
      <c r="D482" s="3" t="n">
        <v>5</v>
      </c>
      <c r="E482" s="3" t="n">
        <v>5</v>
      </c>
      <c r="F482" s="3" t="n">
        <v>1</v>
      </c>
      <c r="G482" s="3" t="n">
        <v>0</v>
      </c>
      <c r="H482" s="24" t="n">
        <v>0.30349195</v>
      </c>
    </row>
    <row r="483" customFormat="false" ht="15" hidden="false" customHeight="false" outlineLevel="0" collapsed="false">
      <c r="A483" s="3" t="n">
        <v>482</v>
      </c>
      <c r="B483" s="3" t="n">
        <v>481</v>
      </c>
      <c r="C483" s="3" t="s">
        <v>117</v>
      </c>
      <c r="D483" s="3" t="n">
        <v>5</v>
      </c>
      <c r="E483" s="3" t="n">
        <v>5</v>
      </c>
      <c r="F483" s="3" t="n">
        <v>1</v>
      </c>
      <c r="G483" s="3" t="n">
        <v>1</v>
      </c>
      <c r="H483" s="24" t="n">
        <v>-0.349437594</v>
      </c>
    </row>
    <row r="484" customFormat="false" ht="15" hidden="false" customHeight="false" outlineLevel="0" collapsed="false">
      <c r="A484" s="3" t="n">
        <v>483</v>
      </c>
      <c r="B484" s="3" t="n">
        <v>482</v>
      </c>
      <c r="C484" s="3" t="s">
        <v>117</v>
      </c>
      <c r="D484" s="3" t="n">
        <v>5</v>
      </c>
      <c r="E484" s="3" t="n">
        <v>5</v>
      </c>
      <c r="F484" s="3" t="n">
        <v>1</v>
      </c>
      <c r="G484" s="3" t="n">
        <v>2</v>
      </c>
      <c r="H484" s="24" t="n">
        <v>-0.0879484639</v>
      </c>
    </row>
    <row r="485" customFormat="false" ht="15" hidden="false" customHeight="false" outlineLevel="0" collapsed="false">
      <c r="A485" s="3" t="n">
        <v>484</v>
      </c>
      <c r="B485" s="3" t="n">
        <v>483</v>
      </c>
      <c r="C485" s="3" t="s">
        <v>117</v>
      </c>
      <c r="D485" s="3" t="n">
        <v>5</v>
      </c>
      <c r="E485" s="3" t="n">
        <v>5</v>
      </c>
      <c r="F485" s="3" t="n">
        <v>2</v>
      </c>
      <c r="G485" s="3" t="n">
        <v>0</v>
      </c>
      <c r="H485" s="24" t="n">
        <v>-0.0326109678</v>
      </c>
    </row>
    <row r="486" customFormat="false" ht="15" hidden="false" customHeight="false" outlineLevel="0" collapsed="false">
      <c r="A486" s="3" t="n">
        <v>485</v>
      </c>
      <c r="B486" s="3" t="n">
        <v>484</v>
      </c>
      <c r="C486" s="3" t="s">
        <v>117</v>
      </c>
      <c r="D486" s="3" t="n">
        <v>5</v>
      </c>
      <c r="E486" s="3" t="n">
        <v>5</v>
      </c>
      <c r="F486" s="3" t="n">
        <v>2</v>
      </c>
      <c r="G486" s="3" t="n">
        <v>1</v>
      </c>
      <c r="H486" s="24" t="n">
        <v>-0.0344722308</v>
      </c>
    </row>
    <row r="487" customFormat="false" ht="15" hidden="false" customHeight="false" outlineLevel="0" collapsed="false">
      <c r="A487" s="3" t="n">
        <v>486</v>
      </c>
      <c r="B487" s="3" t="n">
        <v>485</v>
      </c>
      <c r="C487" s="3" t="s">
        <v>117</v>
      </c>
      <c r="D487" s="3" t="n">
        <v>5</v>
      </c>
      <c r="E487" s="3" t="n">
        <v>5</v>
      </c>
      <c r="F487" s="3" t="n">
        <v>2</v>
      </c>
      <c r="G487" s="3" t="n">
        <v>2</v>
      </c>
      <c r="H487" s="24" t="n">
        <v>0.153339043</v>
      </c>
    </row>
    <row r="488" customFormat="false" ht="15" hidden="false" customHeight="false" outlineLevel="0" collapsed="false">
      <c r="A488" s="3" t="n">
        <v>487</v>
      </c>
      <c r="B488" s="3" t="n">
        <v>486</v>
      </c>
      <c r="C488" s="3" t="s">
        <v>117</v>
      </c>
      <c r="D488" s="3" t="n">
        <v>5</v>
      </c>
      <c r="E488" s="3" t="n">
        <v>6</v>
      </c>
      <c r="F488" s="3" t="n">
        <v>0</v>
      </c>
      <c r="G488" s="3" t="n">
        <v>0</v>
      </c>
      <c r="H488" s="24" t="n">
        <v>-0.100696139</v>
      </c>
    </row>
    <row r="489" customFormat="false" ht="15" hidden="false" customHeight="false" outlineLevel="0" collapsed="false">
      <c r="A489" s="3" t="n">
        <v>488</v>
      </c>
      <c r="B489" s="3" t="n">
        <v>487</v>
      </c>
      <c r="C489" s="3" t="s">
        <v>117</v>
      </c>
      <c r="D489" s="3" t="n">
        <v>5</v>
      </c>
      <c r="E489" s="3" t="n">
        <v>6</v>
      </c>
      <c r="F489" s="3" t="n">
        <v>0</v>
      </c>
      <c r="G489" s="3" t="n">
        <v>1</v>
      </c>
      <c r="H489" s="24" t="n">
        <v>-0.0849851966</v>
      </c>
    </row>
    <row r="490" customFormat="false" ht="15" hidden="false" customHeight="false" outlineLevel="0" collapsed="false">
      <c r="A490" s="3" t="n">
        <v>489</v>
      </c>
      <c r="B490" s="3" t="n">
        <v>488</v>
      </c>
      <c r="C490" s="3" t="s">
        <v>117</v>
      </c>
      <c r="D490" s="3" t="n">
        <v>5</v>
      </c>
      <c r="E490" s="3" t="n">
        <v>6</v>
      </c>
      <c r="F490" s="3" t="n">
        <v>0</v>
      </c>
      <c r="G490" s="3" t="n">
        <v>2</v>
      </c>
      <c r="H490" s="24" t="n">
        <v>0.0930445865</v>
      </c>
    </row>
    <row r="491" customFormat="false" ht="15" hidden="false" customHeight="false" outlineLevel="0" collapsed="false">
      <c r="A491" s="3" t="n">
        <v>490</v>
      </c>
      <c r="B491" s="3" t="n">
        <v>489</v>
      </c>
      <c r="C491" s="3" t="s">
        <v>117</v>
      </c>
      <c r="D491" s="3" t="n">
        <v>5</v>
      </c>
      <c r="E491" s="3" t="n">
        <v>6</v>
      </c>
      <c r="F491" s="3" t="n">
        <v>1</v>
      </c>
      <c r="G491" s="3" t="n">
        <v>0</v>
      </c>
      <c r="H491" s="24" t="n">
        <v>0.118687198</v>
      </c>
    </row>
    <row r="492" customFormat="false" ht="15" hidden="false" customHeight="false" outlineLevel="0" collapsed="false">
      <c r="A492" s="3" t="n">
        <v>491</v>
      </c>
      <c r="B492" s="3" t="n">
        <v>490</v>
      </c>
      <c r="C492" s="3" t="s">
        <v>117</v>
      </c>
      <c r="D492" s="3" t="n">
        <v>5</v>
      </c>
      <c r="E492" s="3" t="n">
        <v>6</v>
      </c>
      <c r="F492" s="3" t="n">
        <v>1</v>
      </c>
      <c r="G492" s="3" t="n">
        <v>1</v>
      </c>
      <c r="H492" s="24" t="n">
        <v>-0.124451526</v>
      </c>
    </row>
    <row r="493" customFormat="false" ht="15" hidden="false" customHeight="false" outlineLevel="0" collapsed="false">
      <c r="A493" s="3" t="n">
        <v>492</v>
      </c>
      <c r="B493" s="3" t="n">
        <v>491</v>
      </c>
      <c r="C493" s="3" t="s">
        <v>117</v>
      </c>
      <c r="D493" s="3" t="n">
        <v>5</v>
      </c>
      <c r="E493" s="3" t="n">
        <v>6</v>
      </c>
      <c r="F493" s="3" t="n">
        <v>1</v>
      </c>
      <c r="G493" s="3" t="n">
        <v>2</v>
      </c>
      <c r="H493" s="24" t="n">
        <v>-0.113471784</v>
      </c>
    </row>
    <row r="494" customFormat="false" ht="15" hidden="false" customHeight="false" outlineLevel="0" collapsed="false">
      <c r="A494" s="3" t="n">
        <v>493</v>
      </c>
      <c r="B494" s="3" t="n">
        <v>492</v>
      </c>
      <c r="C494" s="3" t="s">
        <v>117</v>
      </c>
      <c r="D494" s="3" t="n">
        <v>5</v>
      </c>
      <c r="E494" s="3" t="n">
        <v>6</v>
      </c>
      <c r="F494" s="3" t="n">
        <v>2</v>
      </c>
      <c r="G494" s="3" t="n">
        <v>0</v>
      </c>
      <c r="H494" s="24" t="n">
        <v>0.0247980077</v>
      </c>
    </row>
    <row r="495" customFormat="false" ht="15" hidden="false" customHeight="false" outlineLevel="0" collapsed="false">
      <c r="A495" s="3" t="n">
        <v>494</v>
      </c>
      <c r="B495" s="3" t="n">
        <v>493</v>
      </c>
      <c r="C495" s="3" t="s">
        <v>117</v>
      </c>
      <c r="D495" s="3" t="n">
        <v>5</v>
      </c>
      <c r="E495" s="3" t="n">
        <v>6</v>
      </c>
      <c r="F495" s="3" t="n">
        <v>2</v>
      </c>
      <c r="G495" s="3" t="n">
        <v>1</v>
      </c>
      <c r="H495" s="24" t="n">
        <v>-0.0376281664</v>
      </c>
    </row>
    <row r="496" customFormat="false" ht="15" hidden="false" customHeight="false" outlineLevel="0" collapsed="false">
      <c r="A496" s="3" t="n">
        <v>495</v>
      </c>
      <c r="B496" s="3" t="n">
        <v>494</v>
      </c>
      <c r="C496" s="3" t="s">
        <v>117</v>
      </c>
      <c r="D496" s="3" t="n">
        <v>5</v>
      </c>
      <c r="E496" s="3" t="n">
        <v>6</v>
      </c>
      <c r="F496" s="3" t="n">
        <v>2</v>
      </c>
      <c r="G496" s="3" t="n">
        <v>2</v>
      </c>
      <c r="H496" s="24" t="n">
        <v>0.116436802</v>
      </c>
    </row>
    <row r="497" customFormat="false" ht="15" hidden="false" customHeight="false" outlineLevel="0" collapsed="false">
      <c r="A497" s="3" t="n">
        <v>496</v>
      </c>
      <c r="B497" s="3" t="n">
        <v>495</v>
      </c>
      <c r="C497" s="3" t="s">
        <v>117</v>
      </c>
      <c r="D497" s="3" t="n">
        <v>5</v>
      </c>
      <c r="E497" s="3" t="n">
        <v>7</v>
      </c>
      <c r="F497" s="3" t="n">
        <v>0</v>
      </c>
      <c r="G497" s="3" t="n">
        <v>0</v>
      </c>
      <c r="H497" s="24" t="n">
        <v>0.0728794113</v>
      </c>
    </row>
    <row r="498" customFormat="false" ht="15" hidden="false" customHeight="false" outlineLevel="0" collapsed="false">
      <c r="A498" s="3" t="n">
        <v>497</v>
      </c>
      <c r="B498" s="3" t="n">
        <v>496</v>
      </c>
      <c r="C498" s="3" t="s">
        <v>117</v>
      </c>
      <c r="D498" s="3" t="n">
        <v>5</v>
      </c>
      <c r="E498" s="3" t="n">
        <v>7</v>
      </c>
      <c r="F498" s="3" t="n">
        <v>0</v>
      </c>
      <c r="G498" s="3" t="n">
        <v>1</v>
      </c>
      <c r="H498" s="24" t="n">
        <v>0.106154576</v>
      </c>
    </row>
    <row r="499" customFormat="false" ht="15" hidden="false" customHeight="false" outlineLevel="0" collapsed="false">
      <c r="A499" s="3" t="n">
        <v>498</v>
      </c>
      <c r="B499" s="3" t="n">
        <v>497</v>
      </c>
      <c r="C499" s="3" t="s">
        <v>117</v>
      </c>
      <c r="D499" s="3" t="n">
        <v>5</v>
      </c>
      <c r="E499" s="3" t="n">
        <v>7</v>
      </c>
      <c r="F499" s="3" t="n">
        <v>0</v>
      </c>
      <c r="G499" s="3" t="n">
        <v>2</v>
      </c>
      <c r="H499" s="24" t="n">
        <v>-0.12272121</v>
      </c>
    </row>
    <row r="500" customFormat="false" ht="15" hidden="false" customHeight="false" outlineLevel="0" collapsed="false">
      <c r="A500" s="3" t="n">
        <v>499</v>
      </c>
      <c r="B500" s="3" t="n">
        <v>498</v>
      </c>
      <c r="C500" s="3" t="s">
        <v>117</v>
      </c>
      <c r="D500" s="3" t="n">
        <v>5</v>
      </c>
      <c r="E500" s="3" t="n">
        <v>7</v>
      </c>
      <c r="F500" s="3" t="n">
        <v>1</v>
      </c>
      <c r="G500" s="3" t="n">
        <v>0</v>
      </c>
      <c r="H500" s="24" t="n">
        <v>-0.124159493</v>
      </c>
    </row>
    <row r="501" customFormat="false" ht="15" hidden="false" customHeight="false" outlineLevel="0" collapsed="false">
      <c r="A501" s="3" t="n">
        <v>500</v>
      </c>
      <c r="B501" s="3" t="n">
        <v>499</v>
      </c>
      <c r="C501" s="3" t="s">
        <v>117</v>
      </c>
      <c r="D501" s="3" t="n">
        <v>5</v>
      </c>
      <c r="E501" s="3" t="n">
        <v>7</v>
      </c>
      <c r="F501" s="3" t="n">
        <v>1</v>
      </c>
      <c r="G501" s="3" t="n">
        <v>1</v>
      </c>
      <c r="H501" s="24" t="n">
        <v>0.330833167</v>
      </c>
    </row>
    <row r="502" customFormat="false" ht="15" hidden="false" customHeight="false" outlineLevel="0" collapsed="false">
      <c r="A502" s="3" t="n">
        <v>501</v>
      </c>
      <c r="B502" s="3" t="n">
        <v>500</v>
      </c>
      <c r="C502" s="3" t="s">
        <v>117</v>
      </c>
      <c r="D502" s="3" t="n">
        <v>5</v>
      </c>
      <c r="E502" s="3" t="n">
        <v>7</v>
      </c>
      <c r="F502" s="3" t="n">
        <v>1</v>
      </c>
      <c r="G502" s="3" t="n">
        <v>2</v>
      </c>
      <c r="H502" s="24" t="n">
        <v>0.354454488</v>
      </c>
    </row>
    <row r="503" customFormat="false" ht="15" hidden="false" customHeight="false" outlineLevel="0" collapsed="false">
      <c r="A503" s="3" t="n">
        <v>502</v>
      </c>
      <c r="B503" s="3" t="n">
        <v>501</v>
      </c>
      <c r="C503" s="3" t="s">
        <v>117</v>
      </c>
      <c r="D503" s="3" t="n">
        <v>5</v>
      </c>
      <c r="E503" s="3" t="n">
        <v>7</v>
      </c>
      <c r="F503" s="3" t="n">
        <v>2</v>
      </c>
      <c r="G503" s="3" t="n">
        <v>0</v>
      </c>
      <c r="H503" s="24" t="n">
        <v>-0.0776450261</v>
      </c>
    </row>
    <row r="504" customFormat="false" ht="15" hidden="false" customHeight="false" outlineLevel="0" collapsed="false">
      <c r="A504" s="3" t="n">
        <v>503</v>
      </c>
      <c r="B504" s="3" t="n">
        <v>502</v>
      </c>
      <c r="C504" s="3" t="s">
        <v>117</v>
      </c>
      <c r="D504" s="3" t="n">
        <v>5</v>
      </c>
      <c r="E504" s="3" t="n">
        <v>7</v>
      </c>
      <c r="F504" s="3" t="n">
        <v>2</v>
      </c>
      <c r="G504" s="3" t="n">
        <v>1</v>
      </c>
      <c r="H504" s="24" t="n">
        <v>-0.103430681</v>
      </c>
    </row>
    <row r="505" customFormat="false" ht="15" hidden="false" customHeight="false" outlineLevel="0" collapsed="false">
      <c r="A505" s="3" t="n">
        <v>504</v>
      </c>
      <c r="B505" s="3" t="n">
        <v>503</v>
      </c>
      <c r="C505" s="3" t="s">
        <v>117</v>
      </c>
      <c r="D505" s="3" t="n">
        <v>5</v>
      </c>
      <c r="E505" s="3" t="n">
        <v>7</v>
      </c>
      <c r="F505" s="3" t="n">
        <v>2</v>
      </c>
      <c r="G505" s="3" t="n">
        <v>2</v>
      </c>
      <c r="H505" s="24" t="n">
        <v>-0.0678290427</v>
      </c>
    </row>
    <row r="506" customFormat="false" ht="15" hidden="false" customHeight="false" outlineLevel="0" collapsed="false">
      <c r="A506" s="3" t="n">
        <v>505</v>
      </c>
      <c r="B506" s="3" t="n">
        <v>504</v>
      </c>
      <c r="C506" s="3" t="s">
        <v>117</v>
      </c>
      <c r="D506" s="3" t="n">
        <v>6</v>
      </c>
      <c r="E506" s="3" t="n">
        <v>0</v>
      </c>
      <c r="F506" s="3" t="n">
        <v>0</v>
      </c>
      <c r="G506" s="3" t="n">
        <v>0</v>
      </c>
      <c r="H506" s="24" t="n">
        <v>-0.144675866</v>
      </c>
    </row>
    <row r="507" customFormat="false" ht="15" hidden="false" customHeight="false" outlineLevel="0" collapsed="false">
      <c r="A507" s="3" t="n">
        <v>506</v>
      </c>
      <c r="B507" s="3" t="n">
        <v>505</v>
      </c>
      <c r="C507" s="3" t="s">
        <v>117</v>
      </c>
      <c r="D507" s="3" t="n">
        <v>6</v>
      </c>
      <c r="E507" s="3" t="n">
        <v>0</v>
      </c>
      <c r="F507" s="3" t="n">
        <v>0</v>
      </c>
      <c r="G507" s="3" t="n">
        <v>1</v>
      </c>
      <c r="H507" s="24" t="n">
        <v>-0.27608794</v>
      </c>
    </row>
    <row r="508" customFormat="false" ht="15" hidden="false" customHeight="false" outlineLevel="0" collapsed="false">
      <c r="A508" s="3" t="n">
        <v>507</v>
      </c>
      <c r="B508" s="3" t="n">
        <v>506</v>
      </c>
      <c r="C508" s="3" t="s">
        <v>117</v>
      </c>
      <c r="D508" s="3" t="n">
        <v>6</v>
      </c>
      <c r="E508" s="3" t="n">
        <v>0</v>
      </c>
      <c r="F508" s="3" t="n">
        <v>0</v>
      </c>
      <c r="G508" s="3" t="n">
        <v>2</v>
      </c>
      <c r="H508" s="24" t="n">
        <v>-0.172372892</v>
      </c>
    </row>
    <row r="509" customFormat="false" ht="15" hidden="false" customHeight="false" outlineLevel="0" collapsed="false">
      <c r="A509" s="3" t="n">
        <v>508</v>
      </c>
      <c r="B509" s="3" t="n">
        <v>507</v>
      </c>
      <c r="C509" s="3" t="s">
        <v>117</v>
      </c>
      <c r="D509" s="3" t="n">
        <v>6</v>
      </c>
      <c r="E509" s="3" t="n">
        <v>0</v>
      </c>
      <c r="F509" s="3" t="n">
        <v>1</v>
      </c>
      <c r="G509" s="3" t="n">
        <v>0</v>
      </c>
      <c r="H509" s="24" t="n">
        <v>-0.0646289438</v>
      </c>
    </row>
    <row r="510" customFormat="false" ht="15" hidden="false" customHeight="false" outlineLevel="0" collapsed="false">
      <c r="A510" s="3" t="n">
        <v>509</v>
      </c>
      <c r="B510" s="3" t="n">
        <v>508</v>
      </c>
      <c r="C510" s="3" t="s">
        <v>117</v>
      </c>
      <c r="D510" s="3" t="n">
        <v>6</v>
      </c>
      <c r="E510" s="3" t="n">
        <v>0</v>
      </c>
      <c r="F510" s="3" t="n">
        <v>1</v>
      </c>
      <c r="G510" s="3" t="n">
        <v>1</v>
      </c>
      <c r="H510" s="24" t="n">
        <v>0.0753196031</v>
      </c>
    </row>
    <row r="511" customFormat="false" ht="15" hidden="false" customHeight="false" outlineLevel="0" collapsed="false">
      <c r="A511" s="3" t="n">
        <v>510</v>
      </c>
      <c r="B511" s="3" t="n">
        <v>509</v>
      </c>
      <c r="C511" s="3" t="s">
        <v>117</v>
      </c>
      <c r="D511" s="3" t="n">
        <v>6</v>
      </c>
      <c r="E511" s="3" t="n">
        <v>0</v>
      </c>
      <c r="F511" s="3" t="n">
        <v>1</v>
      </c>
      <c r="G511" s="3" t="n">
        <v>2</v>
      </c>
      <c r="H511" s="24" t="n">
        <v>-0.066822499</v>
      </c>
    </row>
    <row r="512" customFormat="false" ht="15" hidden="false" customHeight="false" outlineLevel="0" collapsed="false">
      <c r="A512" s="3" t="n">
        <v>511</v>
      </c>
      <c r="B512" s="3" t="n">
        <v>510</v>
      </c>
      <c r="C512" s="3" t="s">
        <v>117</v>
      </c>
      <c r="D512" s="3" t="n">
        <v>6</v>
      </c>
      <c r="E512" s="3" t="n">
        <v>0</v>
      </c>
      <c r="F512" s="3" t="n">
        <v>2</v>
      </c>
      <c r="G512" s="3" t="n">
        <v>0</v>
      </c>
      <c r="H512" s="24" t="n">
        <v>0.205650374</v>
      </c>
    </row>
    <row r="513" customFormat="false" ht="15" hidden="false" customHeight="false" outlineLevel="0" collapsed="false">
      <c r="A513" s="3" t="n">
        <v>512</v>
      </c>
      <c r="B513" s="3" t="n">
        <v>511</v>
      </c>
      <c r="C513" s="3" t="s">
        <v>117</v>
      </c>
      <c r="D513" s="3" t="n">
        <v>6</v>
      </c>
      <c r="E513" s="3" t="n">
        <v>0</v>
      </c>
      <c r="F513" s="3" t="n">
        <v>2</v>
      </c>
      <c r="G513" s="3" t="n">
        <v>1</v>
      </c>
      <c r="H513" s="24" t="n">
        <v>0.111152984</v>
      </c>
    </row>
    <row r="514" customFormat="false" ht="15" hidden="false" customHeight="false" outlineLevel="0" collapsed="false">
      <c r="A514" s="3" t="n">
        <v>513</v>
      </c>
      <c r="B514" s="3" t="n">
        <v>512</v>
      </c>
      <c r="C514" s="3" t="s">
        <v>117</v>
      </c>
      <c r="D514" s="3" t="n">
        <v>6</v>
      </c>
      <c r="E514" s="3" t="n">
        <v>0</v>
      </c>
      <c r="F514" s="3" t="n">
        <v>2</v>
      </c>
      <c r="G514" s="3" t="n">
        <v>2</v>
      </c>
      <c r="H514" s="24" t="n">
        <v>0.0116834641</v>
      </c>
    </row>
    <row r="515" customFormat="false" ht="15" hidden="false" customHeight="false" outlineLevel="0" collapsed="false">
      <c r="A515" s="3" t="n">
        <v>514</v>
      </c>
      <c r="B515" s="3" t="n">
        <v>513</v>
      </c>
      <c r="C515" s="3" t="s">
        <v>117</v>
      </c>
      <c r="D515" s="3" t="n">
        <v>6</v>
      </c>
      <c r="E515" s="3" t="n">
        <v>1</v>
      </c>
      <c r="F515" s="3" t="n">
        <v>0</v>
      </c>
      <c r="G515" s="3" t="n">
        <v>0</v>
      </c>
      <c r="H515" s="24" t="n">
        <v>0.0469003394</v>
      </c>
    </row>
    <row r="516" customFormat="false" ht="15" hidden="false" customHeight="false" outlineLevel="0" collapsed="false">
      <c r="A516" s="3" t="n">
        <v>515</v>
      </c>
      <c r="B516" s="3" t="n">
        <v>514</v>
      </c>
      <c r="C516" s="3" t="s">
        <v>117</v>
      </c>
      <c r="D516" s="3" t="n">
        <v>6</v>
      </c>
      <c r="E516" s="3" t="n">
        <v>1</v>
      </c>
      <c r="F516" s="3" t="n">
        <v>0</v>
      </c>
      <c r="G516" s="3" t="n">
        <v>1</v>
      </c>
      <c r="H516" s="24" t="n">
        <v>-0.130617335</v>
      </c>
    </row>
    <row r="517" customFormat="false" ht="15" hidden="false" customHeight="false" outlineLevel="0" collapsed="false">
      <c r="A517" s="3" t="n">
        <v>516</v>
      </c>
      <c r="B517" s="3" t="n">
        <v>515</v>
      </c>
      <c r="C517" s="3" t="s">
        <v>117</v>
      </c>
      <c r="D517" s="3" t="n">
        <v>6</v>
      </c>
      <c r="E517" s="3" t="n">
        <v>1</v>
      </c>
      <c r="F517" s="3" t="n">
        <v>0</v>
      </c>
      <c r="G517" s="3" t="n">
        <v>2</v>
      </c>
      <c r="H517" s="24" t="n">
        <v>-0.163959742</v>
      </c>
    </row>
    <row r="518" customFormat="false" ht="15" hidden="false" customHeight="false" outlineLevel="0" collapsed="false">
      <c r="A518" s="3" t="n">
        <v>517</v>
      </c>
      <c r="B518" s="3" t="n">
        <v>516</v>
      </c>
      <c r="C518" s="3" t="s">
        <v>117</v>
      </c>
      <c r="D518" s="3" t="n">
        <v>6</v>
      </c>
      <c r="E518" s="3" t="n">
        <v>1</v>
      </c>
      <c r="F518" s="3" t="n">
        <v>1</v>
      </c>
      <c r="G518" s="3" t="n">
        <v>0</v>
      </c>
      <c r="H518" s="24" t="n">
        <v>0.0585228167</v>
      </c>
    </row>
    <row r="519" customFormat="false" ht="15" hidden="false" customHeight="false" outlineLevel="0" collapsed="false">
      <c r="A519" s="3" t="n">
        <v>518</v>
      </c>
      <c r="B519" s="3" t="n">
        <v>517</v>
      </c>
      <c r="C519" s="3" t="s">
        <v>117</v>
      </c>
      <c r="D519" s="3" t="n">
        <v>6</v>
      </c>
      <c r="E519" s="3" t="n">
        <v>1</v>
      </c>
      <c r="F519" s="3" t="n">
        <v>1</v>
      </c>
      <c r="G519" s="3" t="n">
        <v>1</v>
      </c>
      <c r="H519" s="24" t="n">
        <v>-0.244290441</v>
      </c>
    </row>
    <row r="520" customFormat="false" ht="15" hidden="false" customHeight="false" outlineLevel="0" collapsed="false">
      <c r="A520" s="3" t="n">
        <v>519</v>
      </c>
      <c r="B520" s="3" t="n">
        <v>518</v>
      </c>
      <c r="C520" s="3" t="s">
        <v>117</v>
      </c>
      <c r="D520" s="3" t="n">
        <v>6</v>
      </c>
      <c r="E520" s="3" t="n">
        <v>1</v>
      </c>
      <c r="F520" s="3" t="n">
        <v>1</v>
      </c>
      <c r="G520" s="3" t="n">
        <v>2</v>
      </c>
      <c r="H520" s="24" t="n">
        <v>0.190659523</v>
      </c>
    </row>
    <row r="521" customFormat="false" ht="15" hidden="false" customHeight="false" outlineLevel="0" collapsed="false">
      <c r="A521" s="3" t="n">
        <v>520</v>
      </c>
      <c r="B521" s="3" t="n">
        <v>519</v>
      </c>
      <c r="C521" s="3" t="s">
        <v>117</v>
      </c>
      <c r="D521" s="3" t="n">
        <v>6</v>
      </c>
      <c r="E521" s="3" t="n">
        <v>1</v>
      </c>
      <c r="F521" s="3" t="n">
        <v>2</v>
      </c>
      <c r="G521" s="3" t="n">
        <v>0</v>
      </c>
      <c r="H521" s="24" t="n">
        <v>0.0971461535</v>
      </c>
    </row>
    <row r="522" customFormat="false" ht="15" hidden="false" customHeight="false" outlineLevel="0" collapsed="false">
      <c r="A522" s="3" t="n">
        <v>521</v>
      </c>
      <c r="B522" s="3" t="n">
        <v>520</v>
      </c>
      <c r="C522" s="3" t="s">
        <v>117</v>
      </c>
      <c r="D522" s="3" t="n">
        <v>6</v>
      </c>
      <c r="E522" s="3" t="n">
        <v>1</v>
      </c>
      <c r="F522" s="3" t="n">
        <v>2</v>
      </c>
      <c r="G522" s="3" t="n">
        <v>1</v>
      </c>
      <c r="H522" s="24" t="n">
        <v>0.0829612091</v>
      </c>
    </row>
    <row r="523" customFormat="false" ht="15" hidden="false" customHeight="false" outlineLevel="0" collapsed="false">
      <c r="A523" s="3" t="n">
        <v>522</v>
      </c>
      <c r="B523" s="3" t="n">
        <v>521</v>
      </c>
      <c r="C523" s="3" t="s">
        <v>117</v>
      </c>
      <c r="D523" s="3" t="n">
        <v>6</v>
      </c>
      <c r="E523" s="3" t="n">
        <v>1</v>
      </c>
      <c r="F523" s="3" t="n">
        <v>2</v>
      </c>
      <c r="G523" s="3" t="n">
        <v>2</v>
      </c>
      <c r="H523" s="24" t="n">
        <v>0.147099003</v>
      </c>
    </row>
    <row r="524" customFormat="false" ht="15" hidden="false" customHeight="false" outlineLevel="0" collapsed="false">
      <c r="A524" s="3" t="n">
        <v>523</v>
      </c>
      <c r="B524" s="3" t="n">
        <v>522</v>
      </c>
      <c r="C524" s="3" t="s">
        <v>117</v>
      </c>
      <c r="D524" s="3" t="n">
        <v>6</v>
      </c>
      <c r="E524" s="3" t="n">
        <v>2</v>
      </c>
      <c r="F524" s="3" t="n">
        <v>0</v>
      </c>
      <c r="G524" s="3" t="n">
        <v>0</v>
      </c>
      <c r="H524" s="24" t="n">
        <v>0.201469198</v>
      </c>
    </row>
    <row r="525" customFormat="false" ht="15" hidden="false" customHeight="false" outlineLevel="0" collapsed="false">
      <c r="A525" s="3" t="n">
        <v>524</v>
      </c>
      <c r="B525" s="3" t="n">
        <v>523</v>
      </c>
      <c r="C525" s="3" t="s">
        <v>117</v>
      </c>
      <c r="D525" s="3" t="n">
        <v>6</v>
      </c>
      <c r="E525" s="3" t="n">
        <v>2</v>
      </c>
      <c r="F525" s="3" t="n">
        <v>0</v>
      </c>
      <c r="G525" s="3" t="n">
        <v>1</v>
      </c>
      <c r="H525" s="24" t="n">
        <v>0.0834145322</v>
      </c>
    </row>
    <row r="526" customFormat="false" ht="15" hidden="false" customHeight="false" outlineLevel="0" collapsed="false">
      <c r="A526" s="3" t="n">
        <v>525</v>
      </c>
      <c r="B526" s="3" t="n">
        <v>524</v>
      </c>
      <c r="C526" s="3" t="s">
        <v>117</v>
      </c>
      <c r="D526" s="3" t="n">
        <v>6</v>
      </c>
      <c r="E526" s="3" t="n">
        <v>2</v>
      </c>
      <c r="F526" s="3" t="n">
        <v>0</v>
      </c>
      <c r="G526" s="3" t="n">
        <v>2</v>
      </c>
      <c r="H526" s="24" t="n">
        <v>0.154688522</v>
      </c>
    </row>
    <row r="527" customFormat="false" ht="15" hidden="false" customHeight="false" outlineLevel="0" collapsed="false">
      <c r="A527" s="3" t="n">
        <v>526</v>
      </c>
      <c r="B527" s="3" t="n">
        <v>525</v>
      </c>
      <c r="C527" s="3" t="s">
        <v>117</v>
      </c>
      <c r="D527" s="3" t="n">
        <v>6</v>
      </c>
      <c r="E527" s="3" t="n">
        <v>2</v>
      </c>
      <c r="F527" s="3" t="n">
        <v>1</v>
      </c>
      <c r="G527" s="3" t="n">
        <v>0</v>
      </c>
      <c r="H527" s="24" t="n">
        <v>0.155341819</v>
      </c>
    </row>
    <row r="528" customFormat="false" ht="15" hidden="false" customHeight="false" outlineLevel="0" collapsed="false">
      <c r="A528" s="3" t="n">
        <v>527</v>
      </c>
      <c r="B528" s="3" t="n">
        <v>526</v>
      </c>
      <c r="C528" s="3" t="s">
        <v>117</v>
      </c>
      <c r="D528" s="3" t="n">
        <v>6</v>
      </c>
      <c r="E528" s="3" t="n">
        <v>2</v>
      </c>
      <c r="F528" s="3" t="n">
        <v>1</v>
      </c>
      <c r="G528" s="3" t="n">
        <v>1</v>
      </c>
      <c r="H528" s="24" t="n">
        <v>-0.0354801342</v>
      </c>
    </row>
    <row r="529" customFormat="false" ht="15" hidden="false" customHeight="false" outlineLevel="0" collapsed="false">
      <c r="A529" s="3" t="n">
        <v>528</v>
      </c>
      <c r="B529" s="3" t="n">
        <v>527</v>
      </c>
      <c r="C529" s="3" t="s">
        <v>117</v>
      </c>
      <c r="D529" s="3" t="n">
        <v>6</v>
      </c>
      <c r="E529" s="3" t="n">
        <v>2</v>
      </c>
      <c r="F529" s="3" t="n">
        <v>1</v>
      </c>
      <c r="G529" s="3" t="n">
        <v>2</v>
      </c>
      <c r="H529" s="24" t="n">
        <v>0.277449578</v>
      </c>
    </row>
    <row r="530" customFormat="false" ht="15" hidden="false" customHeight="false" outlineLevel="0" collapsed="false">
      <c r="A530" s="3" t="n">
        <v>529</v>
      </c>
      <c r="B530" s="3" t="n">
        <v>528</v>
      </c>
      <c r="C530" s="3" t="s">
        <v>117</v>
      </c>
      <c r="D530" s="3" t="n">
        <v>6</v>
      </c>
      <c r="E530" s="3" t="n">
        <v>2</v>
      </c>
      <c r="F530" s="3" t="n">
        <v>2</v>
      </c>
      <c r="G530" s="3" t="n">
        <v>0</v>
      </c>
      <c r="H530" s="24" t="n">
        <v>0.127194628</v>
      </c>
    </row>
    <row r="531" customFormat="false" ht="15" hidden="false" customHeight="false" outlineLevel="0" collapsed="false">
      <c r="A531" s="3" t="n">
        <v>530</v>
      </c>
      <c r="B531" s="3" t="n">
        <v>529</v>
      </c>
      <c r="C531" s="3" t="s">
        <v>117</v>
      </c>
      <c r="D531" s="3" t="n">
        <v>6</v>
      </c>
      <c r="E531" s="3" t="n">
        <v>2</v>
      </c>
      <c r="F531" s="3" t="n">
        <v>2</v>
      </c>
      <c r="G531" s="3" t="n">
        <v>1</v>
      </c>
      <c r="H531" s="24" t="n">
        <v>0.00520077022</v>
      </c>
    </row>
    <row r="532" customFormat="false" ht="15" hidden="false" customHeight="false" outlineLevel="0" collapsed="false">
      <c r="A532" s="3" t="n">
        <v>531</v>
      </c>
      <c r="B532" s="3" t="n">
        <v>530</v>
      </c>
      <c r="C532" s="3" t="s">
        <v>117</v>
      </c>
      <c r="D532" s="3" t="n">
        <v>6</v>
      </c>
      <c r="E532" s="3" t="n">
        <v>2</v>
      </c>
      <c r="F532" s="3" t="n">
        <v>2</v>
      </c>
      <c r="G532" s="3" t="n">
        <v>2</v>
      </c>
      <c r="H532" s="24" t="n">
        <v>-0.539153337</v>
      </c>
    </row>
    <row r="533" customFormat="false" ht="15" hidden="false" customHeight="false" outlineLevel="0" collapsed="false">
      <c r="A533" s="3" t="n">
        <v>532</v>
      </c>
      <c r="B533" s="3" t="n">
        <v>531</v>
      </c>
      <c r="C533" s="3" t="s">
        <v>117</v>
      </c>
      <c r="D533" s="3" t="n">
        <v>6</v>
      </c>
      <c r="E533" s="3" t="n">
        <v>3</v>
      </c>
      <c r="F533" s="3" t="n">
        <v>0</v>
      </c>
      <c r="G533" s="3" t="n">
        <v>0</v>
      </c>
      <c r="H533" s="24" t="n">
        <v>0.433579028</v>
      </c>
    </row>
    <row r="534" customFormat="false" ht="15" hidden="false" customHeight="false" outlineLevel="0" collapsed="false">
      <c r="A534" s="3" t="n">
        <v>533</v>
      </c>
      <c r="B534" s="3" t="n">
        <v>532</v>
      </c>
      <c r="C534" s="3" t="s">
        <v>117</v>
      </c>
      <c r="D534" s="3" t="n">
        <v>6</v>
      </c>
      <c r="E534" s="3" t="n">
        <v>3</v>
      </c>
      <c r="F534" s="3" t="n">
        <v>0</v>
      </c>
      <c r="G534" s="3" t="n">
        <v>1</v>
      </c>
      <c r="H534" s="24" t="n">
        <v>0.053363543</v>
      </c>
    </row>
    <row r="535" customFormat="false" ht="15" hidden="false" customHeight="false" outlineLevel="0" collapsed="false">
      <c r="A535" s="3" t="n">
        <v>534</v>
      </c>
      <c r="B535" s="3" t="n">
        <v>533</v>
      </c>
      <c r="C535" s="3" t="s">
        <v>117</v>
      </c>
      <c r="D535" s="3" t="n">
        <v>6</v>
      </c>
      <c r="E535" s="3" t="n">
        <v>3</v>
      </c>
      <c r="F535" s="3" t="n">
        <v>0</v>
      </c>
      <c r="G535" s="3" t="n">
        <v>2</v>
      </c>
      <c r="H535" s="24" t="n">
        <v>0.10696619</v>
      </c>
    </row>
    <row r="536" customFormat="false" ht="15" hidden="false" customHeight="false" outlineLevel="0" collapsed="false">
      <c r="A536" s="3" t="n">
        <v>535</v>
      </c>
      <c r="B536" s="3" t="n">
        <v>534</v>
      </c>
      <c r="C536" s="3" t="s">
        <v>117</v>
      </c>
      <c r="D536" s="3" t="n">
        <v>6</v>
      </c>
      <c r="E536" s="3" t="n">
        <v>3</v>
      </c>
      <c r="F536" s="3" t="n">
        <v>1</v>
      </c>
      <c r="G536" s="3" t="n">
        <v>0</v>
      </c>
      <c r="H536" s="24" t="n">
        <v>0.065955013</v>
      </c>
    </row>
    <row r="537" customFormat="false" ht="15" hidden="false" customHeight="false" outlineLevel="0" collapsed="false">
      <c r="A537" s="3" t="n">
        <v>536</v>
      </c>
      <c r="B537" s="3" t="n">
        <v>535</v>
      </c>
      <c r="C537" s="3" t="s">
        <v>117</v>
      </c>
      <c r="D537" s="3" t="n">
        <v>6</v>
      </c>
      <c r="E537" s="3" t="n">
        <v>3</v>
      </c>
      <c r="F537" s="3" t="n">
        <v>1</v>
      </c>
      <c r="G537" s="3" t="n">
        <v>1</v>
      </c>
      <c r="H537" s="24" t="n">
        <v>0.2855362</v>
      </c>
    </row>
    <row r="538" customFormat="false" ht="15" hidden="false" customHeight="false" outlineLevel="0" collapsed="false">
      <c r="A538" s="3" t="n">
        <v>537</v>
      </c>
      <c r="B538" s="3" t="n">
        <v>536</v>
      </c>
      <c r="C538" s="3" t="s">
        <v>117</v>
      </c>
      <c r="D538" s="3" t="n">
        <v>6</v>
      </c>
      <c r="E538" s="3" t="n">
        <v>3</v>
      </c>
      <c r="F538" s="3" t="n">
        <v>1</v>
      </c>
      <c r="G538" s="3" t="n">
        <v>2</v>
      </c>
      <c r="H538" s="24" t="n">
        <v>0.404831469</v>
      </c>
    </row>
    <row r="539" customFormat="false" ht="15" hidden="false" customHeight="false" outlineLevel="0" collapsed="false">
      <c r="A539" s="3" t="n">
        <v>538</v>
      </c>
      <c r="B539" s="3" t="n">
        <v>537</v>
      </c>
      <c r="C539" s="3" t="s">
        <v>117</v>
      </c>
      <c r="D539" s="3" t="n">
        <v>6</v>
      </c>
      <c r="E539" s="3" t="n">
        <v>3</v>
      </c>
      <c r="F539" s="3" t="n">
        <v>2</v>
      </c>
      <c r="G539" s="3" t="n">
        <v>0</v>
      </c>
      <c r="H539" s="24" t="n">
        <v>0.0594088435</v>
      </c>
    </row>
    <row r="540" customFormat="false" ht="15" hidden="false" customHeight="false" outlineLevel="0" collapsed="false">
      <c r="A540" s="3" t="n">
        <v>539</v>
      </c>
      <c r="B540" s="3" t="n">
        <v>538</v>
      </c>
      <c r="C540" s="3" t="s">
        <v>117</v>
      </c>
      <c r="D540" s="3" t="n">
        <v>6</v>
      </c>
      <c r="E540" s="3" t="n">
        <v>3</v>
      </c>
      <c r="F540" s="3" t="n">
        <v>2</v>
      </c>
      <c r="G540" s="3" t="n">
        <v>1</v>
      </c>
      <c r="H540" s="24" t="n">
        <v>0.145593256</v>
      </c>
    </row>
    <row r="541" customFormat="false" ht="15" hidden="false" customHeight="false" outlineLevel="0" collapsed="false">
      <c r="A541" s="3" t="n">
        <v>540</v>
      </c>
      <c r="B541" s="3" t="n">
        <v>539</v>
      </c>
      <c r="C541" s="3" t="s">
        <v>117</v>
      </c>
      <c r="D541" s="3" t="n">
        <v>6</v>
      </c>
      <c r="E541" s="3" t="n">
        <v>3</v>
      </c>
      <c r="F541" s="3" t="n">
        <v>2</v>
      </c>
      <c r="G541" s="3" t="n">
        <v>2</v>
      </c>
      <c r="H541" s="24" t="n">
        <v>0.0515658744</v>
      </c>
    </row>
    <row r="542" customFormat="false" ht="15" hidden="false" customHeight="false" outlineLevel="0" collapsed="false">
      <c r="A542" s="3" t="n">
        <v>541</v>
      </c>
      <c r="B542" s="3" t="n">
        <v>540</v>
      </c>
      <c r="C542" s="3" t="s">
        <v>117</v>
      </c>
      <c r="D542" s="3" t="n">
        <v>6</v>
      </c>
      <c r="E542" s="3" t="n">
        <v>4</v>
      </c>
      <c r="F542" s="3" t="n">
        <v>0</v>
      </c>
      <c r="G542" s="3" t="n">
        <v>0</v>
      </c>
      <c r="H542" s="24" t="n">
        <v>0.0591865852</v>
      </c>
    </row>
    <row r="543" customFormat="false" ht="15" hidden="false" customHeight="false" outlineLevel="0" collapsed="false">
      <c r="A543" s="3" t="n">
        <v>542</v>
      </c>
      <c r="B543" s="3" t="n">
        <v>541</v>
      </c>
      <c r="C543" s="3" t="s">
        <v>117</v>
      </c>
      <c r="D543" s="3" t="n">
        <v>6</v>
      </c>
      <c r="E543" s="3" t="n">
        <v>4</v>
      </c>
      <c r="F543" s="3" t="n">
        <v>0</v>
      </c>
      <c r="G543" s="3" t="n">
        <v>1</v>
      </c>
      <c r="H543" s="24" t="n">
        <v>-0.331327766</v>
      </c>
    </row>
    <row r="544" customFormat="false" ht="15" hidden="false" customHeight="false" outlineLevel="0" collapsed="false">
      <c r="A544" s="3" t="n">
        <v>543</v>
      </c>
      <c r="B544" s="3" t="n">
        <v>542</v>
      </c>
      <c r="C544" s="3" t="s">
        <v>117</v>
      </c>
      <c r="D544" s="3" t="n">
        <v>6</v>
      </c>
      <c r="E544" s="3" t="n">
        <v>4</v>
      </c>
      <c r="F544" s="3" t="n">
        <v>0</v>
      </c>
      <c r="G544" s="3" t="n">
        <v>2</v>
      </c>
      <c r="H544" s="24" t="n">
        <v>-0.23392947</v>
      </c>
    </row>
    <row r="545" customFormat="false" ht="15" hidden="false" customHeight="false" outlineLevel="0" collapsed="false">
      <c r="A545" s="3" t="n">
        <v>544</v>
      </c>
      <c r="B545" s="3" t="n">
        <v>543</v>
      </c>
      <c r="C545" s="3" t="s">
        <v>117</v>
      </c>
      <c r="D545" s="3" t="n">
        <v>6</v>
      </c>
      <c r="E545" s="3" t="n">
        <v>4</v>
      </c>
      <c r="F545" s="3" t="n">
        <v>1</v>
      </c>
      <c r="G545" s="3" t="n">
        <v>0</v>
      </c>
      <c r="H545" s="24" t="n">
        <v>0.0118294861</v>
      </c>
    </row>
    <row r="546" customFormat="false" ht="15" hidden="false" customHeight="false" outlineLevel="0" collapsed="false">
      <c r="A546" s="3" t="n">
        <v>545</v>
      </c>
      <c r="B546" s="3" t="n">
        <v>544</v>
      </c>
      <c r="C546" s="3" t="s">
        <v>117</v>
      </c>
      <c r="D546" s="3" t="n">
        <v>6</v>
      </c>
      <c r="E546" s="3" t="n">
        <v>4</v>
      </c>
      <c r="F546" s="3" t="n">
        <v>1</v>
      </c>
      <c r="G546" s="3" t="n">
        <v>1</v>
      </c>
      <c r="H546" s="24" t="n">
        <v>-0.0895335004</v>
      </c>
    </row>
    <row r="547" customFormat="false" ht="15" hidden="false" customHeight="false" outlineLevel="0" collapsed="false">
      <c r="A547" s="3" t="n">
        <v>546</v>
      </c>
      <c r="B547" s="3" t="n">
        <v>545</v>
      </c>
      <c r="C547" s="3" t="s">
        <v>117</v>
      </c>
      <c r="D547" s="3" t="n">
        <v>6</v>
      </c>
      <c r="E547" s="3" t="n">
        <v>4</v>
      </c>
      <c r="F547" s="3" t="n">
        <v>1</v>
      </c>
      <c r="G547" s="3" t="n">
        <v>2</v>
      </c>
      <c r="H547" s="24" t="n">
        <v>0.153248578</v>
      </c>
    </row>
    <row r="548" customFormat="false" ht="15" hidden="false" customHeight="false" outlineLevel="0" collapsed="false">
      <c r="A548" s="3" t="n">
        <v>547</v>
      </c>
      <c r="B548" s="3" t="n">
        <v>546</v>
      </c>
      <c r="C548" s="3" t="s">
        <v>117</v>
      </c>
      <c r="D548" s="3" t="n">
        <v>6</v>
      </c>
      <c r="E548" s="3" t="n">
        <v>4</v>
      </c>
      <c r="F548" s="3" t="n">
        <v>2</v>
      </c>
      <c r="G548" s="3" t="n">
        <v>0</v>
      </c>
      <c r="H548" s="24" t="n">
        <v>-0.0817323029</v>
      </c>
    </row>
    <row r="549" customFormat="false" ht="15" hidden="false" customHeight="false" outlineLevel="0" collapsed="false">
      <c r="A549" s="3" t="n">
        <v>548</v>
      </c>
      <c r="B549" s="3" t="n">
        <v>547</v>
      </c>
      <c r="C549" s="3" t="s">
        <v>117</v>
      </c>
      <c r="D549" s="3" t="n">
        <v>6</v>
      </c>
      <c r="E549" s="3" t="n">
        <v>4</v>
      </c>
      <c r="F549" s="3" t="n">
        <v>2</v>
      </c>
      <c r="G549" s="3" t="n">
        <v>1</v>
      </c>
      <c r="H549" s="24" t="n">
        <v>-0.0762206167</v>
      </c>
    </row>
    <row r="550" customFormat="false" ht="15" hidden="false" customHeight="false" outlineLevel="0" collapsed="false">
      <c r="A550" s="3" t="n">
        <v>549</v>
      </c>
      <c r="B550" s="3" t="n">
        <v>548</v>
      </c>
      <c r="C550" s="3" t="s">
        <v>117</v>
      </c>
      <c r="D550" s="3" t="n">
        <v>6</v>
      </c>
      <c r="E550" s="3" t="n">
        <v>4</v>
      </c>
      <c r="F550" s="3" t="n">
        <v>2</v>
      </c>
      <c r="G550" s="3" t="n">
        <v>2</v>
      </c>
      <c r="H550" s="24" t="n">
        <v>-0.0552595519</v>
      </c>
    </row>
    <row r="551" customFormat="false" ht="15" hidden="false" customHeight="false" outlineLevel="0" collapsed="false">
      <c r="A551" s="3" t="n">
        <v>550</v>
      </c>
      <c r="B551" s="3" t="n">
        <v>549</v>
      </c>
      <c r="C551" s="3" t="s">
        <v>117</v>
      </c>
      <c r="D551" s="3" t="n">
        <v>6</v>
      </c>
      <c r="E551" s="3" t="n">
        <v>5</v>
      </c>
      <c r="F551" s="3" t="n">
        <v>0</v>
      </c>
      <c r="G551" s="3" t="n">
        <v>0</v>
      </c>
      <c r="H551" s="24" t="n">
        <v>-0.292475849</v>
      </c>
    </row>
    <row r="552" customFormat="false" ht="15" hidden="false" customHeight="false" outlineLevel="0" collapsed="false">
      <c r="A552" s="3" t="n">
        <v>551</v>
      </c>
      <c r="B552" s="3" t="n">
        <v>550</v>
      </c>
      <c r="C552" s="3" t="s">
        <v>117</v>
      </c>
      <c r="D552" s="3" t="n">
        <v>6</v>
      </c>
      <c r="E552" s="3" t="n">
        <v>5</v>
      </c>
      <c r="F552" s="3" t="n">
        <v>0</v>
      </c>
      <c r="G552" s="3" t="n">
        <v>1</v>
      </c>
      <c r="H552" s="24" t="n">
        <v>0.0568222068</v>
      </c>
    </row>
    <row r="553" customFormat="false" ht="15" hidden="false" customHeight="false" outlineLevel="0" collapsed="false">
      <c r="A553" s="3" t="n">
        <v>552</v>
      </c>
      <c r="B553" s="3" t="n">
        <v>551</v>
      </c>
      <c r="C553" s="3" t="s">
        <v>117</v>
      </c>
      <c r="D553" s="3" t="n">
        <v>6</v>
      </c>
      <c r="E553" s="3" t="n">
        <v>5</v>
      </c>
      <c r="F553" s="3" t="n">
        <v>0</v>
      </c>
      <c r="G553" s="3" t="n">
        <v>2</v>
      </c>
      <c r="H553" s="24" t="n">
        <v>0.0587215908</v>
      </c>
    </row>
    <row r="554" customFormat="false" ht="15" hidden="false" customHeight="false" outlineLevel="0" collapsed="false">
      <c r="A554" s="3" t="n">
        <v>553</v>
      </c>
      <c r="B554" s="3" t="n">
        <v>552</v>
      </c>
      <c r="C554" s="3" t="s">
        <v>117</v>
      </c>
      <c r="D554" s="3" t="n">
        <v>6</v>
      </c>
      <c r="E554" s="3" t="n">
        <v>5</v>
      </c>
      <c r="F554" s="3" t="n">
        <v>1</v>
      </c>
      <c r="G554" s="3" t="n">
        <v>0</v>
      </c>
      <c r="H554" s="24" t="n">
        <v>-0.0529241562</v>
      </c>
    </row>
    <row r="555" customFormat="false" ht="15" hidden="false" customHeight="false" outlineLevel="0" collapsed="false">
      <c r="A555" s="3" t="n">
        <v>554</v>
      </c>
      <c r="B555" s="3" t="n">
        <v>553</v>
      </c>
      <c r="C555" s="3" t="s">
        <v>117</v>
      </c>
      <c r="D555" s="3" t="n">
        <v>6</v>
      </c>
      <c r="E555" s="3" t="n">
        <v>5</v>
      </c>
      <c r="F555" s="3" t="n">
        <v>1</v>
      </c>
      <c r="G555" s="3" t="n">
        <v>1</v>
      </c>
      <c r="H555" s="24" t="n">
        <v>-0.237398967</v>
      </c>
    </row>
    <row r="556" customFormat="false" ht="15" hidden="false" customHeight="false" outlineLevel="0" collapsed="false">
      <c r="A556" s="3" t="n">
        <v>555</v>
      </c>
      <c r="B556" s="3" t="n">
        <v>554</v>
      </c>
      <c r="C556" s="3" t="s">
        <v>117</v>
      </c>
      <c r="D556" s="3" t="n">
        <v>6</v>
      </c>
      <c r="E556" s="3" t="n">
        <v>5</v>
      </c>
      <c r="F556" s="3" t="n">
        <v>1</v>
      </c>
      <c r="G556" s="3" t="n">
        <v>2</v>
      </c>
      <c r="H556" s="24" t="n">
        <v>0.203908622</v>
      </c>
    </row>
    <row r="557" customFormat="false" ht="15" hidden="false" customHeight="false" outlineLevel="0" collapsed="false">
      <c r="A557" s="3" t="n">
        <v>556</v>
      </c>
      <c r="B557" s="3" t="n">
        <v>555</v>
      </c>
      <c r="C557" s="3" t="s">
        <v>117</v>
      </c>
      <c r="D557" s="3" t="n">
        <v>6</v>
      </c>
      <c r="E557" s="3" t="n">
        <v>5</v>
      </c>
      <c r="F557" s="3" t="n">
        <v>2</v>
      </c>
      <c r="G557" s="3" t="n">
        <v>0</v>
      </c>
      <c r="H557" s="24" t="n">
        <v>0.0731564537</v>
      </c>
    </row>
    <row r="558" customFormat="false" ht="15" hidden="false" customHeight="false" outlineLevel="0" collapsed="false">
      <c r="A558" s="3" t="n">
        <v>557</v>
      </c>
      <c r="B558" s="3" t="n">
        <v>556</v>
      </c>
      <c r="C558" s="3" t="s">
        <v>117</v>
      </c>
      <c r="D558" s="3" t="n">
        <v>6</v>
      </c>
      <c r="E558" s="3" t="n">
        <v>5</v>
      </c>
      <c r="F558" s="3" t="n">
        <v>2</v>
      </c>
      <c r="G558" s="3" t="n">
        <v>1</v>
      </c>
      <c r="H558" s="24" t="n">
        <v>-0.0721290261</v>
      </c>
    </row>
    <row r="559" customFormat="false" ht="15" hidden="false" customHeight="false" outlineLevel="0" collapsed="false">
      <c r="A559" s="3" t="n">
        <v>558</v>
      </c>
      <c r="B559" s="3" t="n">
        <v>557</v>
      </c>
      <c r="C559" s="3" t="s">
        <v>117</v>
      </c>
      <c r="D559" s="3" t="n">
        <v>6</v>
      </c>
      <c r="E559" s="3" t="n">
        <v>5</v>
      </c>
      <c r="F559" s="3" t="n">
        <v>2</v>
      </c>
      <c r="G559" s="3" t="n">
        <v>2</v>
      </c>
      <c r="H559" s="24" t="n">
        <v>0.466893882</v>
      </c>
    </row>
    <row r="560" customFormat="false" ht="15" hidden="false" customHeight="false" outlineLevel="0" collapsed="false">
      <c r="A560" s="3" t="n">
        <v>559</v>
      </c>
      <c r="B560" s="3" t="n">
        <v>558</v>
      </c>
      <c r="C560" s="3" t="s">
        <v>117</v>
      </c>
      <c r="D560" s="3" t="n">
        <v>6</v>
      </c>
      <c r="E560" s="3" t="n">
        <v>6</v>
      </c>
      <c r="F560" s="3" t="n">
        <v>0</v>
      </c>
      <c r="G560" s="3" t="n">
        <v>0</v>
      </c>
      <c r="H560" s="24" t="n">
        <v>-0.194952846</v>
      </c>
    </row>
    <row r="561" customFormat="false" ht="15" hidden="false" customHeight="false" outlineLevel="0" collapsed="false">
      <c r="A561" s="3" t="n">
        <v>560</v>
      </c>
      <c r="B561" s="3" t="n">
        <v>559</v>
      </c>
      <c r="C561" s="3" t="s">
        <v>117</v>
      </c>
      <c r="D561" s="3" t="n">
        <v>6</v>
      </c>
      <c r="E561" s="3" t="n">
        <v>6</v>
      </c>
      <c r="F561" s="3" t="n">
        <v>0</v>
      </c>
      <c r="G561" s="3" t="n">
        <v>1</v>
      </c>
      <c r="H561" s="24" t="n">
        <v>-0.00430347677</v>
      </c>
    </row>
    <row r="562" customFormat="false" ht="15" hidden="false" customHeight="false" outlineLevel="0" collapsed="false">
      <c r="A562" s="3" t="n">
        <v>561</v>
      </c>
      <c r="B562" s="3" t="n">
        <v>560</v>
      </c>
      <c r="C562" s="3" t="s">
        <v>117</v>
      </c>
      <c r="D562" s="3" t="n">
        <v>6</v>
      </c>
      <c r="E562" s="3" t="n">
        <v>6</v>
      </c>
      <c r="F562" s="3" t="n">
        <v>0</v>
      </c>
      <c r="G562" s="3" t="n">
        <v>2</v>
      </c>
      <c r="H562" s="24" t="n">
        <v>-0.281868845</v>
      </c>
    </row>
    <row r="563" customFormat="false" ht="15" hidden="false" customHeight="false" outlineLevel="0" collapsed="false">
      <c r="A563" s="3" t="n">
        <v>562</v>
      </c>
      <c r="B563" s="3" t="n">
        <v>561</v>
      </c>
      <c r="C563" s="3" t="s">
        <v>117</v>
      </c>
      <c r="D563" s="3" t="n">
        <v>6</v>
      </c>
      <c r="E563" s="3" t="n">
        <v>6</v>
      </c>
      <c r="F563" s="3" t="n">
        <v>1</v>
      </c>
      <c r="G563" s="3" t="n">
        <v>0</v>
      </c>
      <c r="H563" s="24" t="n">
        <v>-0.0127178887</v>
      </c>
    </row>
    <row r="564" customFormat="false" ht="15" hidden="false" customHeight="false" outlineLevel="0" collapsed="false">
      <c r="A564" s="3" t="n">
        <v>563</v>
      </c>
      <c r="B564" s="3" t="n">
        <v>562</v>
      </c>
      <c r="C564" s="3" t="s">
        <v>117</v>
      </c>
      <c r="D564" s="3" t="n">
        <v>6</v>
      </c>
      <c r="E564" s="3" t="n">
        <v>6</v>
      </c>
      <c r="F564" s="3" t="n">
        <v>1</v>
      </c>
      <c r="G564" s="3" t="n">
        <v>1</v>
      </c>
      <c r="H564" s="24" t="n">
        <v>-0.24622944</v>
      </c>
    </row>
    <row r="565" customFormat="false" ht="15" hidden="false" customHeight="false" outlineLevel="0" collapsed="false">
      <c r="A565" s="3" t="n">
        <v>564</v>
      </c>
      <c r="B565" s="3" t="n">
        <v>563</v>
      </c>
      <c r="C565" s="3" t="s">
        <v>117</v>
      </c>
      <c r="D565" s="3" t="n">
        <v>6</v>
      </c>
      <c r="E565" s="3" t="n">
        <v>6</v>
      </c>
      <c r="F565" s="3" t="n">
        <v>1</v>
      </c>
      <c r="G565" s="3" t="n">
        <v>2</v>
      </c>
      <c r="H565" s="24" t="n">
        <v>-0.0891111568</v>
      </c>
    </row>
    <row r="566" customFormat="false" ht="15" hidden="false" customHeight="false" outlineLevel="0" collapsed="false">
      <c r="A566" s="3" t="n">
        <v>565</v>
      </c>
      <c r="B566" s="3" t="n">
        <v>564</v>
      </c>
      <c r="C566" s="3" t="s">
        <v>117</v>
      </c>
      <c r="D566" s="3" t="n">
        <v>6</v>
      </c>
      <c r="E566" s="3" t="n">
        <v>6</v>
      </c>
      <c r="F566" s="3" t="n">
        <v>2</v>
      </c>
      <c r="G566" s="3" t="n">
        <v>0</v>
      </c>
      <c r="H566" s="24" t="n">
        <v>-0.0871429667</v>
      </c>
    </row>
    <row r="567" customFormat="false" ht="15" hidden="false" customHeight="false" outlineLevel="0" collapsed="false">
      <c r="A567" s="3" t="n">
        <v>566</v>
      </c>
      <c r="B567" s="3" t="n">
        <v>565</v>
      </c>
      <c r="C567" s="3" t="s">
        <v>117</v>
      </c>
      <c r="D567" s="3" t="n">
        <v>6</v>
      </c>
      <c r="E567" s="3" t="n">
        <v>6</v>
      </c>
      <c r="F567" s="3" t="n">
        <v>2</v>
      </c>
      <c r="G567" s="3" t="n">
        <v>1</v>
      </c>
      <c r="H567" s="24" t="n">
        <v>0.165326267</v>
      </c>
    </row>
    <row r="568" customFormat="false" ht="15" hidden="false" customHeight="false" outlineLevel="0" collapsed="false">
      <c r="A568" s="3" t="n">
        <v>567</v>
      </c>
      <c r="B568" s="3" t="n">
        <v>566</v>
      </c>
      <c r="C568" s="3" t="s">
        <v>117</v>
      </c>
      <c r="D568" s="3" t="n">
        <v>6</v>
      </c>
      <c r="E568" s="3" t="n">
        <v>6</v>
      </c>
      <c r="F568" s="3" t="n">
        <v>2</v>
      </c>
      <c r="G568" s="3" t="n">
        <v>2</v>
      </c>
      <c r="H568" s="24" t="n">
        <v>0.300196946</v>
      </c>
    </row>
    <row r="569" customFormat="false" ht="15" hidden="false" customHeight="false" outlineLevel="0" collapsed="false">
      <c r="A569" s="3" t="n">
        <v>568</v>
      </c>
      <c r="B569" s="3" t="n">
        <v>567</v>
      </c>
      <c r="C569" s="3" t="s">
        <v>117</v>
      </c>
      <c r="D569" s="3" t="n">
        <v>6</v>
      </c>
      <c r="E569" s="3" t="n">
        <v>7</v>
      </c>
      <c r="F569" s="3" t="n">
        <v>0</v>
      </c>
      <c r="G569" s="3" t="n">
        <v>0</v>
      </c>
      <c r="H569" s="24" t="n">
        <v>-0.0846335515</v>
      </c>
    </row>
    <row r="570" customFormat="false" ht="15" hidden="false" customHeight="false" outlineLevel="0" collapsed="false">
      <c r="A570" s="3" t="n">
        <v>569</v>
      </c>
      <c r="B570" s="3" t="n">
        <v>568</v>
      </c>
      <c r="C570" s="3" t="s">
        <v>117</v>
      </c>
      <c r="D570" s="3" t="n">
        <v>6</v>
      </c>
      <c r="E570" s="3" t="n">
        <v>7</v>
      </c>
      <c r="F570" s="3" t="n">
        <v>0</v>
      </c>
      <c r="G570" s="3" t="n">
        <v>1</v>
      </c>
      <c r="H570" s="24" t="n">
        <v>0.0365424901</v>
      </c>
    </row>
    <row r="571" customFormat="false" ht="15" hidden="false" customHeight="false" outlineLevel="0" collapsed="false">
      <c r="A571" s="3" t="n">
        <v>570</v>
      </c>
      <c r="B571" s="3" t="n">
        <v>569</v>
      </c>
      <c r="C571" s="3" t="s">
        <v>117</v>
      </c>
      <c r="D571" s="3" t="n">
        <v>6</v>
      </c>
      <c r="E571" s="3" t="n">
        <v>7</v>
      </c>
      <c r="F571" s="3" t="n">
        <v>0</v>
      </c>
      <c r="G571" s="3" t="n">
        <v>2</v>
      </c>
      <c r="H571" s="24" t="n">
        <v>0.0798172951</v>
      </c>
    </row>
    <row r="572" customFormat="false" ht="15" hidden="false" customHeight="false" outlineLevel="0" collapsed="false">
      <c r="A572" s="3" t="n">
        <v>571</v>
      </c>
      <c r="B572" s="3" t="n">
        <v>570</v>
      </c>
      <c r="C572" s="3" t="s">
        <v>117</v>
      </c>
      <c r="D572" s="3" t="n">
        <v>6</v>
      </c>
      <c r="E572" s="3" t="n">
        <v>7</v>
      </c>
      <c r="F572" s="3" t="n">
        <v>1</v>
      </c>
      <c r="G572" s="3" t="n">
        <v>0</v>
      </c>
      <c r="H572" s="24" t="n">
        <v>0.0902591571</v>
      </c>
    </row>
    <row r="573" customFormat="false" ht="15" hidden="false" customHeight="false" outlineLevel="0" collapsed="false">
      <c r="A573" s="3" t="n">
        <v>572</v>
      </c>
      <c r="B573" s="3" t="n">
        <v>571</v>
      </c>
      <c r="C573" s="3" t="s">
        <v>117</v>
      </c>
      <c r="D573" s="3" t="n">
        <v>6</v>
      </c>
      <c r="E573" s="3" t="n">
        <v>7</v>
      </c>
      <c r="F573" s="3" t="n">
        <v>1</v>
      </c>
      <c r="G573" s="3" t="n">
        <v>1</v>
      </c>
      <c r="H573" s="24" t="n">
        <v>0.24813886</v>
      </c>
    </row>
    <row r="574" customFormat="false" ht="15" hidden="false" customHeight="false" outlineLevel="0" collapsed="false">
      <c r="A574" s="3" t="n">
        <v>573</v>
      </c>
      <c r="B574" s="3" t="n">
        <v>572</v>
      </c>
      <c r="C574" s="3" t="s">
        <v>117</v>
      </c>
      <c r="D574" s="3" t="n">
        <v>6</v>
      </c>
      <c r="E574" s="3" t="n">
        <v>7</v>
      </c>
      <c r="F574" s="3" t="n">
        <v>1</v>
      </c>
      <c r="G574" s="3" t="n">
        <v>2</v>
      </c>
      <c r="H574" s="24" t="n">
        <v>0.180721924</v>
      </c>
    </row>
    <row r="575" customFormat="false" ht="15" hidden="false" customHeight="false" outlineLevel="0" collapsed="false">
      <c r="A575" s="3" t="n">
        <v>574</v>
      </c>
      <c r="B575" s="3" t="n">
        <v>573</v>
      </c>
      <c r="C575" s="3" t="s">
        <v>117</v>
      </c>
      <c r="D575" s="3" t="n">
        <v>6</v>
      </c>
      <c r="E575" s="3" t="n">
        <v>7</v>
      </c>
      <c r="F575" s="3" t="n">
        <v>2</v>
      </c>
      <c r="G575" s="3" t="n">
        <v>0</v>
      </c>
      <c r="H575" s="24" t="n">
        <v>0.0468302742</v>
      </c>
    </row>
    <row r="576" customFormat="false" ht="15" hidden="false" customHeight="false" outlineLevel="0" collapsed="false">
      <c r="A576" s="3" t="n">
        <v>575</v>
      </c>
      <c r="B576" s="3" t="n">
        <v>574</v>
      </c>
      <c r="C576" s="3" t="s">
        <v>117</v>
      </c>
      <c r="D576" s="3" t="n">
        <v>6</v>
      </c>
      <c r="E576" s="3" t="n">
        <v>7</v>
      </c>
      <c r="F576" s="3" t="n">
        <v>2</v>
      </c>
      <c r="G576" s="3" t="n">
        <v>1</v>
      </c>
      <c r="H576" s="24" t="n">
        <v>-0.0199773256</v>
      </c>
    </row>
    <row r="577" customFormat="false" ht="15" hidden="false" customHeight="false" outlineLevel="0" collapsed="false">
      <c r="A577" s="3" t="n">
        <v>576</v>
      </c>
      <c r="B577" s="3" t="n">
        <v>575</v>
      </c>
      <c r="C577" s="3" t="s">
        <v>117</v>
      </c>
      <c r="D577" s="3" t="n">
        <v>6</v>
      </c>
      <c r="E577" s="3" t="n">
        <v>7</v>
      </c>
      <c r="F577" s="3" t="n">
        <v>2</v>
      </c>
      <c r="G577" s="3" t="n">
        <v>2</v>
      </c>
      <c r="H577" s="24" t="n">
        <v>0.0243859217</v>
      </c>
    </row>
    <row r="578" customFormat="false" ht="15" hidden="false" customHeight="false" outlineLevel="0" collapsed="false">
      <c r="A578" s="3" t="n">
        <v>577</v>
      </c>
      <c r="B578" s="3" t="n">
        <v>576</v>
      </c>
      <c r="C578" s="3" t="s">
        <v>117</v>
      </c>
      <c r="D578" s="3" t="n">
        <v>7</v>
      </c>
      <c r="E578" s="3" t="n">
        <v>0</v>
      </c>
      <c r="F578" s="3" t="n">
        <v>0</v>
      </c>
      <c r="G578" s="3" t="n">
        <v>0</v>
      </c>
      <c r="H578" s="24" t="n">
        <v>-0.250475496</v>
      </c>
    </row>
    <row r="579" customFormat="false" ht="15" hidden="false" customHeight="false" outlineLevel="0" collapsed="false">
      <c r="A579" s="3" t="n">
        <v>578</v>
      </c>
      <c r="B579" s="3" t="n">
        <v>577</v>
      </c>
      <c r="C579" s="3" t="s">
        <v>117</v>
      </c>
      <c r="D579" s="3" t="n">
        <v>7</v>
      </c>
      <c r="E579" s="3" t="n">
        <v>0</v>
      </c>
      <c r="F579" s="3" t="n">
        <v>0</v>
      </c>
      <c r="G579" s="3" t="n">
        <v>1</v>
      </c>
      <c r="H579" s="24" t="n">
        <v>0.240384087</v>
      </c>
    </row>
    <row r="580" customFormat="false" ht="15" hidden="false" customHeight="false" outlineLevel="0" collapsed="false">
      <c r="A580" s="3" t="n">
        <v>579</v>
      </c>
      <c r="B580" s="3" t="n">
        <v>578</v>
      </c>
      <c r="C580" s="3" t="s">
        <v>117</v>
      </c>
      <c r="D580" s="3" t="n">
        <v>7</v>
      </c>
      <c r="E580" s="3" t="n">
        <v>0</v>
      </c>
      <c r="F580" s="3" t="n">
        <v>0</v>
      </c>
      <c r="G580" s="3" t="n">
        <v>2</v>
      </c>
      <c r="H580" s="24" t="n">
        <v>0.0890851095</v>
      </c>
    </row>
    <row r="581" customFormat="false" ht="15" hidden="false" customHeight="false" outlineLevel="0" collapsed="false">
      <c r="A581" s="3" t="n">
        <v>580</v>
      </c>
      <c r="B581" s="3" t="n">
        <v>579</v>
      </c>
      <c r="C581" s="3" t="s">
        <v>117</v>
      </c>
      <c r="D581" s="3" t="n">
        <v>7</v>
      </c>
      <c r="E581" s="3" t="n">
        <v>0</v>
      </c>
      <c r="F581" s="3" t="n">
        <v>1</v>
      </c>
      <c r="G581" s="3" t="n">
        <v>0</v>
      </c>
      <c r="H581" s="24" t="n">
        <v>0.0902278125</v>
      </c>
    </row>
    <row r="582" customFormat="false" ht="15" hidden="false" customHeight="false" outlineLevel="0" collapsed="false">
      <c r="A582" s="3" t="n">
        <v>581</v>
      </c>
      <c r="B582" s="3" t="n">
        <v>580</v>
      </c>
      <c r="C582" s="3" t="s">
        <v>117</v>
      </c>
      <c r="D582" s="3" t="n">
        <v>7</v>
      </c>
      <c r="E582" s="3" t="n">
        <v>0</v>
      </c>
      <c r="F582" s="3" t="n">
        <v>1</v>
      </c>
      <c r="G582" s="3" t="n">
        <v>1</v>
      </c>
      <c r="H582" s="24" t="n">
        <v>-0.103539206</v>
      </c>
    </row>
    <row r="583" customFormat="false" ht="15" hidden="false" customHeight="false" outlineLevel="0" collapsed="false">
      <c r="A583" s="3" t="n">
        <v>582</v>
      </c>
      <c r="B583" s="3" t="n">
        <v>581</v>
      </c>
      <c r="C583" s="3" t="s">
        <v>117</v>
      </c>
      <c r="D583" s="3" t="n">
        <v>7</v>
      </c>
      <c r="E583" s="3" t="n">
        <v>0</v>
      </c>
      <c r="F583" s="3" t="n">
        <v>1</v>
      </c>
      <c r="G583" s="3" t="n">
        <v>2</v>
      </c>
      <c r="H583" s="24" t="n">
        <v>-0.0204498954</v>
      </c>
    </row>
    <row r="584" customFormat="false" ht="15" hidden="false" customHeight="false" outlineLevel="0" collapsed="false">
      <c r="A584" s="3" t="n">
        <v>583</v>
      </c>
      <c r="B584" s="3" t="n">
        <v>582</v>
      </c>
      <c r="C584" s="3" t="s">
        <v>117</v>
      </c>
      <c r="D584" s="3" t="n">
        <v>7</v>
      </c>
      <c r="E584" s="3" t="n">
        <v>0</v>
      </c>
      <c r="F584" s="3" t="n">
        <v>2</v>
      </c>
      <c r="G584" s="3" t="n">
        <v>0</v>
      </c>
      <c r="H584" s="24" t="n">
        <v>0.207376197</v>
      </c>
    </row>
    <row r="585" customFormat="false" ht="15" hidden="false" customHeight="false" outlineLevel="0" collapsed="false">
      <c r="A585" s="3" t="n">
        <v>584</v>
      </c>
      <c r="B585" s="3" t="n">
        <v>583</v>
      </c>
      <c r="C585" s="3" t="s">
        <v>117</v>
      </c>
      <c r="D585" s="3" t="n">
        <v>7</v>
      </c>
      <c r="E585" s="3" t="n">
        <v>0</v>
      </c>
      <c r="F585" s="3" t="n">
        <v>2</v>
      </c>
      <c r="G585" s="3" t="n">
        <v>1</v>
      </c>
      <c r="H585" s="24" t="n">
        <v>0.244890153</v>
      </c>
    </row>
    <row r="586" customFormat="false" ht="15" hidden="false" customHeight="false" outlineLevel="0" collapsed="false">
      <c r="A586" s="3" t="n">
        <v>585</v>
      </c>
      <c r="B586" s="3" t="n">
        <v>584</v>
      </c>
      <c r="C586" s="3" t="s">
        <v>117</v>
      </c>
      <c r="D586" s="3" t="n">
        <v>7</v>
      </c>
      <c r="E586" s="3" t="n">
        <v>0</v>
      </c>
      <c r="F586" s="3" t="n">
        <v>2</v>
      </c>
      <c r="G586" s="3" t="n">
        <v>2</v>
      </c>
      <c r="H586" s="24" t="n">
        <v>0.0745143965</v>
      </c>
    </row>
    <row r="587" customFormat="false" ht="15" hidden="false" customHeight="false" outlineLevel="0" collapsed="false">
      <c r="A587" s="3" t="n">
        <v>586</v>
      </c>
      <c r="B587" s="3" t="n">
        <v>585</v>
      </c>
      <c r="C587" s="3" t="s">
        <v>117</v>
      </c>
      <c r="D587" s="3" t="n">
        <v>7</v>
      </c>
      <c r="E587" s="3" t="n">
        <v>1</v>
      </c>
      <c r="F587" s="3" t="n">
        <v>0</v>
      </c>
      <c r="G587" s="3" t="n">
        <v>0</v>
      </c>
      <c r="H587" s="24" t="n">
        <v>-0.22626622</v>
      </c>
    </row>
    <row r="588" customFormat="false" ht="15" hidden="false" customHeight="false" outlineLevel="0" collapsed="false">
      <c r="A588" s="3" t="n">
        <v>587</v>
      </c>
      <c r="B588" s="3" t="n">
        <v>586</v>
      </c>
      <c r="C588" s="3" t="s">
        <v>117</v>
      </c>
      <c r="D588" s="3" t="n">
        <v>7</v>
      </c>
      <c r="E588" s="3" t="n">
        <v>1</v>
      </c>
      <c r="F588" s="3" t="n">
        <v>0</v>
      </c>
      <c r="G588" s="3" t="n">
        <v>1</v>
      </c>
      <c r="H588" s="24" t="n">
        <v>-0.0393186435</v>
      </c>
    </row>
    <row r="589" customFormat="false" ht="15" hidden="false" customHeight="false" outlineLevel="0" collapsed="false">
      <c r="A589" s="3" t="n">
        <v>588</v>
      </c>
      <c r="B589" s="3" t="n">
        <v>587</v>
      </c>
      <c r="C589" s="3" t="s">
        <v>117</v>
      </c>
      <c r="D589" s="3" t="n">
        <v>7</v>
      </c>
      <c r="E589" s="3" t="n">
        <v>1</v>
      </c>
      <c r="F589" s="3" t="n">
        <v>0</v>
      </c>
      <c r="G589" s="3" t="n">
        <v>2</v>
      </c>
      <c r="H589" s="24" t="n">
        <v>0.107809491</v>
      </c>
    </row>
    <row r="590" customFormat="false" ht="15" hidden="false" customHeight="false" outlineLevel="0" collapsed="false">
      <c r="A590" s="3" t="n">
        <v>589</v>
      </c>
      <c r="B590" s="3" t="n">
        <v>588</v>
      </c>
      <c r="C590" s="3" t="s">
        <v>117</v>
      </c>
      <c r="D590" s="3" t="n">
        <v>7</v>
      </c>
      <c r="E590" s="3" t="n">
        <v>1</v>
      </c>
      <c r="F590" s="3" t="n">
        <v>1</v>
      </c>
      <c r="G590" s="3" t="n">
        <v>0</v>
      </c>
      <c r="H590" s="24" t="n">
        <v>0.0415112339</v>
      </c>
    </row>
    <row r="591" customFormat="false" ht="15" hidden="false" customHeight="false" outlineLevel="0" collapsed="false">
      <c r="A591" s="3" t="n">
        <v>590</v>
      </c>
      <c r="B591" s="3" t="n">
        <v>589</v>
      </c>
      <c r="C591" s="3" t="s">
        <v>117</v>
      </c>
      <c r="D591" s="3" t="n">
        <v>7</v>
      </c>
      <c r="E591" s="3" t="n">
        <v>1</v>
      </c>
      <c r="F591" s="3" t="n">
        <v>1</v>
      </c>
      <c r="G591" s="3" t="n">
        <v>1</v>
      </c>
      <c r="H591" s="24" t="n">
        <v>-0.299530774</v>
      </c>
    </row>
    <row r="592" customFormat="false" ht="15" hidden="false" customHeight="false" outlineLevel="0" collapsed="false">
      <c r="A592" s="3" t="n">
        <v>591</v>
      </c>
      <c r="B592" s="3" t="n">
        <v>590</v>
      </c>
      <c r="C592" s="3" t="s">
        <v>117</v>
      </c>
      <c r="D592" s="3" t="n">
        <v>7</v>
      </c>
      <c r="E592" s="3" t="n">
        <v>1</v>
      </c>
      <c r="F592" s="3" t="n">
        <v>1</v>
      </c>
      <c r="G592" s="3" t="n">
        <v>2</v>
      </c>
      <c r="H592" s="24" t="n">
        <v>-0.0793919638</v>
      </c>
    </row>
    <row r="593" customFormat="false" ht="15" hidden="false" customHeight="false" outlineLevel="0" collapsed="false">
      <c r="A593" s="3" t="n">
        <v>592</v>
      </c>
      <c r="B593" s="3" t="n">
        <v>591</v>
      </c>
      <c r="C593" s="3" t="s">
        <v>117</v>
      </c>
      <c r="D593" s="3" t="n">
        <v>7</v>
      </c>
      <c r="E593" s="3" t="n">
        <v>1</v>
      </c>
      <c r="F593" s="3" t="n">
        <v>2</v>
      </c>
      <c r="G593" s="3" t="n">
        <v>0</v>
      </c>
      <c r="H593" s="24" t="n">
        <v>0.174679041</v>
      </c>
    </row>
    <row r="594" customFormat="false" ht="15" hidden="false" customHeight="false" outlineLevel="0" collapsed="false">
      <c r="A594" s="3" t="n">
        <v>593</v>
      </c>
      <c r="B594" s="3" t="n">
        <v>592</v>
      </c>
      <c r="C594" s="3" t="s">
        <v>117</v>
      </c>
      <c r="D594" s="3" t="n">
        <v>7</v>
      </c>
      <c r="E594" s="3" t="n">
        <v>1</v>
      </c>
      <c r="F594" s="3" t="n">
        <v>2</v>
      </c>
      <c r="G594" s="3" t="n">
        <v>1</v>
      </c>
      <c r="H594" s="24" t="n">
        <v>-0.00627745641</v>
      </c>
    </row>
    <row r="595" customFormat="false" ht="15" hidden="false" customHeight="false" outlineLevel="0" collapsed="false">
      <c r="A595" s="3" t="n">
        <v>594</v>
      </c>
      <c r="B595" s="3" t="n">
        <v>593</v>
      </c>
      <c r="C595" s="3" t="s">
        <v>117</v>
      </c>
      <c r="D595" s="3" t="n">
        <v>7</v>
      </c>
      <c r="E595" s="3" t="n">
        <v>1</v>
      </c>
      <c r="F595" s="3" t="n">
        <v>2</v>
      </c>
      <c r="G595" s="3" t="n">
        <v>2</v>
      </c>
      <c r="H595" s="24" t="n">
        <v>0.181224346</v>
      </c>
    </row>
    <row r="596" customFormat="false" ht="15" hidden="false" customHeight="false" outlineLevel="0" collapsed="false">
      <c r="A596" s="3" t="n">
        <v>595</v>
      </c>
      <c r="B596" s="3" t="n">
        <v>594</v>
      </c>
      <c r="C596" s="3" t="s">
        <v>117</v>
      </c>
      <c r="D596" s="3" t="n">
        <v>7</v>
      </c>
      <c r="E596" s="3" t="n">
        <v>2</v>
      </c>
      <c r="F596" s="3" t="n">
        <v>0</v>
      </c>
      <c r="G596" s="3" t="n">
        <v>0</v>
      </c>
      <c r="H596" s="24" t="n">
        <v>-0.179583907</v>
      </c>
    </row>
    <row r="597" customFormat="false" ht="15" hidden="false" customHeight="false" outlineLevel="0" collapsed="false">
      <c r="A597" s="3" t="n">
        <v>596</v>
      </c>
      <c r="B597" s="3" t="n">
        <v>595</v>
      </c>
      <c r="C597" s="3" t="s">
        <v>117</v>
      </c>
      <c r="D597" s="3" t="n">
        <v>7</v>
      </c>
      <c r="E597" s="3" t="n">
        <v>2</v>
      </c>
      <c r="F597" s="3" t="n">
        <v>0</v>
      </c>
      <c r="G597" s="3" t="n">
        <v>1</v>
      </c>
      <c r="H597" s="24" t="n">
        <v>0.474947482</v>
      </c>
    </row>
    <row r="598" customFormat="false" ht="15" hidden="false" customHeight="false" outlineLevel="0" collapsed="false">
      <c r="A598" s="3" t="n">
        <v>597</v>
      </c>
      <c r="B598" s="3" t="n">
        <v>596</v>
      </c>
      <c r="C598" s="3" t="s">
        <v>117</v>
      </c>
      <c r="D598" s="3" t="n">
        <v>7</v>
      </c>
      <c r="E598" s="3" t="n">
        <v>2</v>
      </c>
      <c r="F598" s="3" t="n">
        <v>0</v>
      </c>
      <c r="G598" s="3" t="n">
        <v>2</v>
      </c>
      <c r="H598" s="24" t="n">
        <v>0.227279902</v>
      </c>
    </row>
    <row r="599" customFormat="false" ht="15" hidden="false" customHeight="false" outlineLevel="0" collapsed="false">
      <c r="A599" s="3" t="n">
        <v>598</v>
      </c>
      <c r="B599" s="3" t="n">
        <v>597</v>
      </c>
      <c r="C599" s="3" t="s">
        <v>117</v>
      </c>
      <c r="D599" s="3" t="n">
        <v>7</v>
      </c>
      <c r="E599" s="3" t="n">
        <v>2</v>
      </c>
      <c r="F599" s="3" t="n">
        <v>1</v>
      </c>
      <c r="G599" s="3" t="n">
        <v>0</v>
      </c>
      <c r="H599" s="24" t="n">
        <v>-0.606099844</v>
      </c>
    </row>
    <row r="600" customFormat="false" ht="15" hidden="false" customHeight="false" outlineLevel="0" collapsed="false">
      <c r="A600" s="3" t="n">
        <v>599</v>
      </c>
      <c r="B600" s="3" t="n">
        <v>598</v>
      </c>
      <c r="C600" s="3" t="s">
        <v>117</v>
      </c>
      <c r="D600" s="3" t="n">
        <v>7</v>
      </c>
      <c r="E600" s="3" t="n">
        <v>2</v>
      </c>
      <c r="F600" s="3" t="n">
        <v>1</v>
      </c>
      <c r="G600" s="3" t="n">
        <v>1</v>
      </c>
      <c r="H600" s="24" t="n">
        <v>-0.517250717</v>
      </c>
    </row>
    <row r="601" customFormat="false" ht="15" hidden="false" customHeight="false" outlineLevel="0" collapsed="false">
      <c r="A601" s="3" t="n">
        <v>600</v>
      </c>
      <c r="B601" s="3" t="n">
        <v>599</v>
      </c>
      <c r="C601" s="3" t="s">
        <v>117</v>
      </c>
      <c r="D601" s="3" t="n">
        <v>7</v>
      </c>
      <c r="E601" s="3" t="n">
        <v>2</v>
      </c>
      <c r="F601" s="3" t="n">
        <v>1</v>
      </c>
      <c r="G601" s="3" t="n">
        <v>2</v>
      </c>
      <c r="H601" s="24" t="n">
        <v>-0.0821020007</v>
      </c>
    </row>
    <row r="602" customFormat="false" ht="15" hidden="false" customHeight="false" outlineLevel="0" collapsed="false">
      <c r="A602" s="3" t="n">
        <v>601</v>
      </c>
      <c r="B602" s="3" t="n">
        <v>600</v>
      </c>
      <c r="C602" s="3" t="s">
        <v>117</v>
      </c>
      <c r="D602" s="3" t="n">
        <v>7</v>
      </c>
      <c r="E602" s="3" t="n">
        <v>2</v>
      </c>
      <c r="F602" s="3" t="n">
        <v>2</v>
      </c>
      <c r="G602" s="3" t="n">
        <v>0</v>
      </c>
      <c r="H602" s="24" t="n">
        <v>0.114811555</v>
      </c>
    </row>
    <row r="603" customFormat="false" ht="15" hidden="false" customHeight="false" outlineLevel="0" collapsed="false">
      <c r="A603" s="3" t="n">
        <v>602</v>
      </c>
      <c r="B603" s="3" t="n">
        <v>601</v>
      </c>
      <c r="C603" s="3" t="s">
        <v>117</v>
      </c>
      <c r="D603" s="3" t="n">
        <v>7</v>
      </c>
      <c r="E603" s="3" t="n">
        <v>2</v>
      </c>
      <c r="F603" s="3" t="n">
        <v>2</v>
      </c>
      <c r="G603" s="3" t="n">
        <v>1</v>
      </c>
      <c r="H603" s="24" t="n">
        <v>-0.136421442</v>
      </c>
    </row>
    <row r="604" customFormat="false" ht="15" hidden="false" customHeight="false" outlineLevel="0" collapsed="false">
      <c r="A604" s="3" t="n">
        <v>603</v>
      </c>
      <c r="B604" s="3" t="n">
        <v>602</v>
      </c>
      <c r="C604" s="3" t="s">
        <v>117</v>
      </c>
      <c r="D604" s="3" t="n">
        <v>7</v>
      </c>
      <c r="E604" s="3" t="n">
        <v>2</v>
      </c>
      <c r="F604" s="3" t="n">
        <v>2</v>
      </c>
      <c r="G604" s="3" t="n">
        <v>2</v>
      </c>
      <c r="H604" s="24" t="n">
        <v>-0.127603441</v>
      </c>
    </row>
    <row r="605" customFormat="false" ht="15" hidden="false" customHeight="false" outlineLevel="0" collapsed="false">
      <c r="A605" s="3" t="n">
        <v>604</v>
      </c>
      <c r="B605" s="3" t="n">
        <v>603</v>
      </c>
      <c r="C605" s="3" t="s">
        <v>117</v>
      </c>
      <c r="D605" s="3" t="n">
        <v>7</v>
      </c>
      <c r="E605" s="3" t="n">
        <v>3</v>
      </c>
      <c r="F605" s="3" t="n">
        <v>0</v>
      </c>
      <c r="G605" s="3" t="n">
        <v>0</v>
      </c>
      <c r="H605" s="24" t="n">
        <v>-0.209734201</v>
      </c>
    </row>
    <row r="606" customFormat="false" ht="15" hidden="false" customHeight="false" outlineLevel="0" collapsed="false">
      <c r="A606" s="3" t="n">
        <v>605</v>
      </c>
      <c r="B606" s="3" t="n">
        <v>604</v>
      </c>
      <c r="C606" s="3" t="s">
        <v>117</v>
      </c>
      <c r="D606" s="3" t="n">
        <v>7</v>
      </c>
      <c r="E606" s="3" t="n">
        <v>3</v>
      </c>
      <c r="F606" s="3" t="n">
        <v>0</v>
      </c>
      <c r="G606" s="3" t="n">
        <v>1</v>
      </c>
      <c r="H606" s="24" t="n">
        <v>-0.641202569</v>
      </c>
    </row>
    <row r="607" customFormat="false" ht="15" hidden="false" customHeight="false" outlineLevel="0" collapsed="false">
      <c r="A607" s="3" t="n">
        <v>606</v>
      </c>
      <c r="B607" s="3" t="n">
        <v>605</v>
      </c>
      <c r="C607" s="3" t="s">
        <v>117</v>
      </c>
      <c r="D607" s="3" t="n">
        <v>7</v>
      </c>
      <c r="E607" s="3" t="n">
        <v>3</v>
      </c>
      <c r="F607" s="3" t="n">
        <v>0</v>
      </c>
      <c r="G607" s="3" t="n">
        <v>2</v>
      </c>
      <c r="H607" s="24" t="n">
        <v>-0.524849713</v>
      </c>
    </row>
    <row r="608" customFormat="false" ht="15" hidden="false" customHeight="false" outlineLevel="0" collapsed="false">
      <c r="A608" s="3" t="n">
        <v>607</v>
      </c>
      <c r="B608" s="3" t="n">
        <v>606</v>
      </c>
      <c r="C608" s="3" t="s">
        <v>117</v>
      </c>
      <c r="D608" s="3" t="n">
        <v>7</v>
      </c>
      <c r="E608" s="3" t="n">
        <v>3</v>
      </c>
      <c r="F608" s="3" t="n">
        <v>1</v>
      </c>
      <c r="G608" s="3" t="n">
        <v>0</v>
      </c>
      <c r="H608" s="24" t="n">
        <v>0.593155324</v>
      </c>
    </row>
    <row r="609" customFormat="false" ht="15" hidden="false" customHeight="false" outlineLevel="0" collapsed="false">
      <c r="A609" s="3" t="n">
        <v>608</v>
      </c>
      <c r="B609" s="3" t="n">
        <v>607</v>
      </c>
      <c r="C609" s="3" t="s">
        <v>117</v>
      </c>
      <c r="D609" s="3" t="n">
        <v>7</v>
      </c>
      <c r="E609" s="3" t="n">
        <v>3</v>
      </c>
      <c r="F609" s="3" t="n">
        <v>1</v>
      </c>
      <c r="G609" s="3" t="n">
        <v>1</v>
      </c>
      <c r="H609" s="24" t="n">
        <v>0.186447695</v>
      </c>
    </row>
    <row r="610" customFormat="false" ht="15" hidden="false" customHeight="false" outlineLevel="0" collapsed="false">
      <c r="A610" s="3" t="n">
        <v>609</v>
      </c>
      <c r="B610" s="3" t="n">
        <v>608</v>
      </c>
      <c r="C610" s="3" t="s">
        <v>117</v>
      </c>
      <c r="D610" s="3" t="n">
        <v>7</v>
      </c>
      <c r="E610" s="3" t="n">
        <v>3</v>
      </c>
      <c r="F610" s="3" t="n">
        <v>1</v>
      </c>
      <c r="G610" s="3" t="n">
        <v>2</v>
      </c>
      <c r="H610" s="24" t="n">
        <v>0.00451848842</v>
      </c>
    </row>
    <row r="611" customFormat="false" ht="15" hidden="false" customHeight="false" outlineLevel="0" collapsed="false">
      <c r="A611" s="3" t="n">
        <v>610</v>
      </c>
      <c r="B611" s="3" t="n">
        <v>609</v>
      </c>
      <c r="C611" s="3" t="s">
        <v>117</v>
      </c>
      <c r="D611" s="3" t="n">
        <v>7</v>
      </c>
      <c r="E611" s="3" t="n">
        <v>3</v>
      </c>
      <c r="F611" s="3" t="n">
        <v>2</v>
      </c>
      <c r="G611" s="3" t="n">
        <v>0</v>
      </c>
      <c r="H611" s="24" t="n">
        <v>0.0151394187</v>
      </c>
    </row>
    <row r="612" customFormat="false" ht="15" hidden="false" customHeight="false" outlineLevel="0" collapsed="false">
      <c r="A612" s="3" t="n">
        <v>611</v>
      </c>
      <c r="B612" s="3" t="n">
        <v>610</v>
      </c>
      <c r="C612" s="3" t="s">
        <v>117</v>
      </c>
      <c r="D612" s="3" t="n">
        <v>7</v>
      </c>
      <c r="E612" s="3" t="n">
        <v>3</v>
      </c>
      <c r="F612" s="3" t="n">
        <v>2</v>
      </c>
      <c r="G612" s="3" t="n">
        <v>1</v>
      </c>
      <c r="H612" s="24" t="n">
        <v>0.111919343</v>
      </c>
    </row>
    <row r="613" customFormat="false" ht="15" hidden="false" customHeight="false" outlineLevel="0" collapsed="false">
      <c r="A613" s="3" t="n">
        <v>612</v>
      </c>
      <c r="B613" s="3" t="n">
        <v>611</v>
      </c>
      <c r="C613" s="3" t="s">
        <v>117</v>
      </c>
      <c r="D613" s="3" t="n">
        <v>7</v>
      </c>
      <c r="E613" s="3" t="n">
        <v>3</v>
      </c>
      <c r="F613" s="3" t="n">
        <v>2</v>
      </c>
      <c r="G613" s="3" t="n">
        <v>2</v>
      </c>
      <c r="H613" s="24" t="n">
        <v>0.200505257</v>
      </c>
    </row>
    <row r="614" customFormat="false" ht="15" hidden="false" customHeight="false" outlineLevel="0" collapsed="false">
      <c r="A614" s="3" t="n">
        <v>613</v>
      </c>
      <c r="B614" s="3" t="n">
        <v>612</v>
      </c>
      <c r="C614" s="3" t="s">
        <v>117</v>
      </c>
      <c r="D614" s="3" t="n">
        <v>7</v>
      </c>
      <c r="E614" s="3" t="n">
        <v>4</v>
      </c>
      <c r="F614" s="3" t="n">
        <v>0</v>
      </c>
      <c r="G614" s="3" t="n">
        <v>0</v>
      </c>
      <c r="H614" s="24" t="n">
        <v>-0.185622081</v>
      </c>
    </row>
    <row r="615" customFormat="false" ht="15" hidden="false" customHeight="false" outlineLevel="0" collapsed="false">
      <c r="A615" s="3" t="n">
        <v>614</v>
      </c>
      <c r="B615" s="3" t="n">
        <v>613</v>
      </c>
      <c r="C615" s="3" t="s">
        <v>117</v>
      </c>
      <c r="D615" s="3" t="n">
        <v>7</v>
      </c>
      <c r="E615" s="3" t="n">
        <v>4</v>
      </c>
      <c r="F615" s="3" t="n">
        <v>0</v>
      </c>
      <c r="G615" s="3" t="n">
        <v>1</v>
      </c>
      <c r="H615" s="24" t="n">
        <v>-0.0541685075</v>
      </c>
    </row>
    <row r="616" customFormat="false" ht="15" hidden="false" customHeight="false" outlineLevel="0" collapsed="false">
      <c r="A616" s="3" t="n">
        <v>615</v>
      </c>
      <c r="B616" s="3" t="n">
        <v>614</v>
      </c>
      <c r="C616" s="3" t="s">
        <v>117</v>
      </c>
      <c r="D616" s="3" t="n">
        <v>7</v>
      </c>
      <c r="E616" s="3" t="n">
        <v>4</v>
      </c>
      <c r="F616" s="3" t="n">
        <v>0</v>
      </c>
      <c r="G616" s="3" t="n">
        <v>2</v>
      </c>
      <c r="H616" s="24" t="n">
        <v>0.0394343026</v>
      </c>
    </row>
    <row r="617" customFormat="false" ht="15" hidden="false" customHeight="false" outlineLevel="0" collapsed="false">
      <c r="A617" s="3" t="n">
        <v>616</v>
      </c>
      <c r="B617" s="3" t="n">
        <v>615</v>
      </c>
      <c r="C617" s="3" t="s">
        <v>117</v>
      </c>
      <c r="D617" s="3" t="n">
        <v>7</v>
      </c>
      <c r="E617" s="3" t="n">
        <v>4</v>
      </c>
      <c r="F617" s="3" t="n">
        <v>1</v>
      </c>
      <c r="G617" s="3" t="n">
        <v>0</v>
      </c>
      <c r="H617" s="24" t="n">
        <v>0.0531533249</v>
      </c>
    </row>
    <row r="618" customFormat="false" ht="15" hidden="false" customHeight="false" outlineLevel="0" collapsed="false">
      <c r="A618" s="3" t="n">
        <v>617</v>
      </c>
      <c r="B618" s="3" t="n">
        <v>616</v>
      </c>
      <c r="C618" s="3" t="s">
        <v>117</v>
      </c>
      <c r="D618" s="3" t="n">
        <v>7</v>
      </c>
      <c r="E618" s="3" t="n">
        <v>4</v>
      </c>
      <c r="F618" s="3" t="n">
        <v>1</v>
      </c>
      <c r="G618" s="3" t="n">
        <v>1</v>
      </c>
      <c r="H618" s="24" t="n">
        <v>-0.134815097</v>
      </c>
    </row>
    <row r="619" customFormat="false" ht="15" hidden="false" customHeight="false" outlineLevel="0" collapsed="false">
      <c r="A619" s="3" t="n">
        <v>618</v>
      </c>
      <c r="B619" s="3" t="n">
        <v>617</v>
      </c>
      <c r="C619" s="3" t="s">
        <v>117</v>
      </c>
      <c r="D619" s="3" t="n">
        <v>7</v>
      </c>
      <c r="E619" s="3" t="n">
        <v>4</v>
      </c>
      <c r="F619" s="3" t="n">
        <v>1</v>
      </c>
      <c r="G619" s="3" t="n">
        <v>2</v>
      </c>
      <c r="H619" s="24" t="n">
        <v>-0.101205193</v>
      </c>
    </row>
    <row r="620" customFormat="false" ht="15" hidden="false" customHeight="false" outlineLevel="0" collapsed="false">
      <c r="A620" s="3" t="n">
        <v>619</v>
      </c>
      <c r="B620" s="3" t="n">
        <v>618</v>
      </c>
      <c r="C620" s="3" t="s">
        <v>117</v>
      </c>
      <c r="D620" s="3" t="n">
        <v>7</v>
      </c>
      <c r="E620" s="3" t="n">
        <v>4</v>
      </c>
      <c r="F620" s="3" t="n">
        <v>2</v>
      </c>
      <c r="G620" s="3" t="n">
        <v>0</v>
      </c>
      <c r="H620" s="24" t="n">
        <v>0.18641372</v>
      </c>
    </row>
    <row r="621" customFormat="false" ht="15" hidden="false" customHeight="false" outlineLevel="0" collapsed="false">
      <c r="A621" s="3" t="n">
        <v>620</v>
      </c>
      <c r="B621" s="3" t="n">
        <v>619</v>
      </c>
      <c r="C621" s="3" t="s">
        <v>117</v>
      </c>
      <c r="D621" s="3" t="n">
        <v>7</v>
      </c>
      <c r="E621" s="3" t="n">
        <v>4</v>
      </c>
      <c r="F621" s="3" t="n">
        <v>2</v>
      </c>
      <c r="G621" s="3" t="n">
        <v>1</v>
      </c>
      <c r="H621" s="24" t="n">
        <v>0.148287266</v>
      </c>
    </row>
    <row r="622" customFormat="false" ht="15" hidden="false" customHeight="false" outlineLevel="0" collapsed="false">
      <c r="A622" s="3" t="n">
        <v>621</v>
      </c>
      <c r="B622" s="3" t="n">
        <v>620</v>
      </c>
      <c r="C622" s="3" t="s">
        <v>117</v>
      </c>
      <c r="D622" s="3" t="n">
        <v>7</v>
      </c>
      <c r="E622" s="3" t="n">
        <v>4</v>
      </c>
      <c r="F622" s="3" t="n">
        <v>2</v>
      </c>
      <c r="G622" s="3" t="n">
        <v>2</v>
      </c>
      <c r="H622" s="24" t="n">
        <v>0.0387076177</v>
      </c>
    </row>
    <row r="623" customFormat="false" ht="15" hidden="false" customHeight="false" outlineLevel="0" collapsed="false">
      <c r="A623" s="3" t="n">
        <v>622</v>
      </c>
      <c r="B623" s="3" t="n">
        <v>621</v>
      </c>
      <c r="C623" s="3" t="s">
        <v>117</v>
      </c>
      <c r="D623" s="3" t="n">
        <v>7</v>
      </c>
      <c r="E623" s="3" t="n">
        <v>5</v>
      </c>
      <c r="F623" s="3" t="n">
        <v>0</v>
      </c>
      <c r="G623" s="3" t="n">
        <v>0</v>
      </c>
      <c r="H623" s="24" t="n">
        <v>3.37741731E-005</v>
      </c>
    </row>
    <row r="624" customFormat="false" ht="15" hidden="false" customHeight="false" outlineLevel="0" collapsed="false">
      <c r="A624" s="3" t="n">
        <v>623</v>
      </c>
      <c r="B624" s="3" t="n">
        <v>622</v>
      </c>
      <c r="C624" s="3" t="s">
        <v>117</v>
      </c>
      <c r="D624" s="3" t="n">
        <v>7</v>
      </c>
      <c r="E624" s="3" t="n">
        <v>5</v>
      </c>
      <c r="F624" s="3" t="n">
        <v>0</v>
      </c>
      <c r="G624" s="3" t="n">
        <v>1</v>
      </c>
      <c r="H624" s="24" t="n">
        <v>-0.0423582084</v>
      </c>
    </row>
    <row r="625" customFormat="false" ht="15" hidden="false" customHeight="false" outlineLevel="0" collapsed="false">
      <c r="A625" s="3" t="n">
        <v>624</v>
      </c>
      <c r="B625" s="3" t="n">
        <v>623</v>
      </c>
      <c r="C625" s="3" t="s">
        <v>117</v>
      </c>
      <c r="D625" s="3" t="n">
        <v>7</v>
      </c>
      <c r="E625" s="3" t="n">
        <v>5</v>
      </c>
      <c r="F625" s="3" t="n">
        <v>0</v>
      </c>
      <c r="G625" s="3" t="n">
        <v>2</v>
      </c>
      <c r="H625" s="24" t="n">
        <v>-0.0824710801</v>
      </c>
    </row>
    <row r="626" customFormat="false" ht="15" hidden="false" customHeight="false" outlineLevel="0" collapsed="false">
      <c r="A626" s="3" t="n">
        <v>625</v>
      </c>
      <c r="B626" s="3" t="n">
        <v>624</v>
      </c>
      <c r="C626" s="3" t="s">
        <v>117</v>
      </c>
      <c r="D626" s="3" t="n">
        <v>7</v>
      </c>
      <c r="E626" s="3" t="n">
        <v>5</v>
      </c>
      <c r="F626" s="3" t="n">
        <v>1</v>
      </c>
      <c r="G626" s="3" t="n">
        <v>0</v>
      </c>
      <c r="H626" s="24" t="n">
        <v>-0.0885066241</v>
      </c>
    </row>
    <row r="627" customFormat="false" ht="15" hidden="false" customHeight="false" outlineLevel="0" collapsed="false">
      <c r="A627" s="3" t="n">
        <v>626</v>
      </c>
      <c r="B627" s="3" t="n">
        <v>625</v>
      </c>
      <c r="C627" s="3" t="s">
        <v>117</v>
      </c>
      <c r="D627" s="3" t="n">
        <v>7</v>
      </c>
      <c r="E627" s="3" t="n">
        <v>5</v>
      </c>
      <c r="F627" s="3" t="n">
        <v>1</v>
      </c>
      <c r="G627" s="3" t="n">
        <v>1</v>
      </c>
      <c r="H627" s="24" t="n">
        <v>0.12231461</v>
      </c>
    </row>
    <row r="628" customFormat="false" ht="15" hidden="false" customHeight="false" outlineLevel="0" collapsed="false">
      <c r="A628" s="3" t="n">
        <v>627</v>
      </c>
      <c r="B628" s="3" t="n">
        <v>626</v>
      </c>
      <c r="C628" s="3" t="s">
        <v>117</v>
      </c>
      <c r="D628" s="3" t="n">
        <v>7</v>
      </c>
      <c r="E628" s="3" t="n">
        <v>5</v>
      </c>
      <c r="F628" s="3" t="n">
        <v>1</v>
      </c>
      <c r="G628" s="3" t="n">
        <v>2</v>
      </c>
      <c r="H628" s="24" t="n">
        <v>-0.0865370184</v>
      </c>
    </row>
    <row r="629" customFormat="false" ht="15" hidden="false" customHeight="false" outlineLevel="0" collapsed="false">
      <c r="A629" s="3" t="n">
        <v>628</v>
      </c>
      <c r="B629" s="3" t="n">
        <v>627</v>
      </c>
      <c r="C629" s="3" t="s">
        <v>117</v>
      </c>
      <c r="D629" s="3" t="n">
        <v>7</v>
      </c>
      <c r="E629" s="3" t="n">
        <v>5</v>
      </c>
      <c r="F629" s="3" t="n">
        <v>2</v>
      </c>
      <c r="G629" s="3" t="n">
        <v>0</v>
      </c>
      <c r="H629" s="24" t="n">
        <v>0.312508076</v>
      </c>
    </row>
    <row r="630" customFormat="false" ht="15" hidden="false" customHeight="false" outlineLevel="0" collapsed="false">
      <c r="A630" s="3" t="n">
        <v>629</v>
      </c>
      <c r="B630" s="3" t="n">
        <v>628</v>
      </c>
      <c r="C630" s="3" t="s">
        <v>117</v>
      </c>
      <c r="D630" s="3" t="n">
        <v>7</v>
      </c>
      <c r="E630" s="3" t="n">
        <v>5</v>
      </c>
      <c r="F630" s="3" t="n">
        <v>2</v>
      </c>
      <c r="G630" s="3" t="n">
        <v>1</v>
      </c>
      <c r="H630" s="24" t="n">
        <v>-0.725834012</v>
      </c>
    </row>
    <row r="631" customFormat="false" ht="15" hidden="false" customHeight="false" outlineLevel="0" collapsed="false">
      <c r="A631" s="3" t="n">
        <v>630</v>
      </c>
      <c r="B631" s="3" t="n">
        <v>629</v>
      </c>
      <c r="C631" s="3" t="s">
        <v>117</v>
      </c>
      <c r="D631" s="3" t="n">
        <v>7</v>
      </c>
      <c r="E631" s="3" t="n">
        <v>5</v>
      </c>
      <c r="F631" s="3" t="n">
        <v>2</v>
      </c>
      <c r="G631" s="3" t="n">
        <v>2</v>
      </c>
      <c r="H631" s="24" t="n">
        <v>-0.668012619</v>
      </c>
    </row>
    <row r="632" customFormat="false" ht="15" hidden="false" customHeight="false" outlineLevel="0" collapsed="false">
      <c r="A632" s="3" t="n">
        <v>631</v>
      </c>
      <c r="B632" s="3" t="n">
        <v>630</v>
      </c>
      <c r="C632" s="3" t="s">
        <v>117</v>
      </c>
      <c r="D632" s="3" t="n">
        <v>7</v>
      </c>
      <c r="E632" s="3" t="n">
        <v>6</v>
      </c>
      <c r="F632" s="3" t="n">
        <v>0</v>
      </c>
      <c r="G632" s="3" t="n">
        <v>0</v>
      </c>
      <c r="H632" s="24" t="n">
        <v>-0.365772009</v>
      </c>
    </row>
    <row r="633" customFormat="false" ht="15" hidden="false" customHeight="false" outlineLevel="0" collapsed="false">
      <c r="A633" s="3" t="n">
        <v>632</v>
      </c>
      <c r="B633" s="3" t="n">
        <v>631</v>
      </c>
      <c r="C633" s="3" t="s">
        <v>117</v>
      </c>
      <c r="D633" s="3" t="n">
        <v>7</v>
      </c>
      <c r="E633" s="3" t="n">
        <v>6</v>
      </c>
      <c r="F633" s="3" t="n">
        <v>0</v>
      </c>
      <c r="G633" s="3" t="n">
        <v>1</v>
      </c>
      <c r="H633" s="24" t="n">
        <v>0.143559322</v>
      </c>
    </row>
    <row r="634" customFormat="false" ht="15" hidden="false" customHeight="false" outlineLevel="0" collapsed="false">
      <c r="A634" s="3" t="n">
        <v>633</v>
      </c>
      <c r="B634" s="3" t="n">
        <v>632</v>
      </c>
      <c r="C634" s="3" t="s">
        <v>117</v>
      </c>
      <c r="D634" s="3" t="n">
        <v>7</v>
      </c>
      <c r="E634" s="3" t="n">
        <v>6</v>
      </c>
      <c r="F634" s="3" t="n">
        <v>0</v>
      </c>
      <c r="G634" s="3" t="n">
        <v>2</v>
      </c>
      <c r="H634" s="24" t="n">
        <v>0.354439169</v>
      </c>
    </row>
    <row r="635" customFormat="false" ht="15" hidden="false" customHeight="false" outlineLevel="0" collapsed="false">
      <c r="A635" s="3" t="n">
        <v>634</v>
      </c>
      <c r="B635" s="3" t="n">
        <v>633</v>
      </c>
      <c r="C635" s="3" t="s">
        <v>117</v>
      </c>
      <c r="D635" s="3" t="n">
        <v>7</v>
      </c>
      <c r="E635" s="3" t="n">
        <v>6</v>
      </c>
      <c r="F635" s="3" t="n">
        <v>1</v>
      </c>
      <c r="G635" s="3" t="n">
        <v>0</v>
      </c>
      <c r="H635" s="24" t="n">
        <v>-0.0261521954</v>
      </c>
    </row>
    <row r="636" customFormat="false" ht="15" hidden="false" customHeight="false" outlineLevel="0" collapsed="false">
      <c r="A636" s="3" t="n">
        <v>635</v>
      </c>
      <c r="B636" s="3" t="n">
        <v>634</v>
      </c>
      <c r="C636" s="3" t="s">
        <v>117</v>
      </c>
      <c r="D636" s="3" t="n">
        <v>7</v>
      </c>
      <c r="E636" s="3" t="n">
        <v>6</v>
      </c>
      <c r="F636" s="3" t="n">
        <v>1</v>
      </c>
      <c r="G636" s="3" t="n">
        <v>1</v>
      </c>
      <c r="H636" s="24" t="n">
        <v>-0.16125989</v>
      </c>
    </row>
    <row r="637" customFormat="false" ht="15" hidden="false" customHeight="false" outlineLevel="0" collapsed="false">
      <c r="A637" s="3" t="n">
        <v>636</v>
      </c>
      <c r="B637" s="3" t="n">
        <v>635</v>
      </c>
      <c r="C637" s="3" t="s">
        <v>117</v>
      </c>
      <c r="D637" s="3" t="n">
        <v>7</v>
      </c>
      <c r="E637" s="3" t="n">
        <v>6</v>
      </c>
      <c r="F637" s="3" t="n">
        <v>1</v>
      </c>
      <c r="G637" s="3" t="n">
        <v>2</v>
      </c>
      <c r="H637" s="24" t="n">
        <v>-0.118063055</v>
      </c>
    </row>
    <row r="638" customFormat="false" ht="15" hidden="false" customHeight="false" outlineLevel="0" collapsed="false">
      <c r="A638" s="3" t="n">
        <v>637</v>
      </c>
      <c r="B638" s="3" t="n">
        <v>636</v>
      </c>
      <c r="C638" s="3" t="s">
        <v>117</v>
      </c>
      <c r="D638" s="3" t="n">
        <v>7</v>
      </c>
      <c r="E638" s="3" t="n">
        <v>6</v>
      </c>
      <c r="F638" s="3" t="n">
        <v>2</v>
      </c>
      <c r="G638" s="3" t="n">
        <v>0</v>
      </c>
      <c r="H638" s="24" t="n">
        <v>0.108430848</v>
      </c>
    </row>
    <row r="639" customFormat="false" ht="15" hidden="false" customHeight="false" outlineLevel="0" collapsed="false">
      <c r="A639" s="3" t="n">
        <v>638</v>
      </c>
      <c r="B639" s="3" t="n">
        <v>637</v>
      </c>
      <c r="C639" s="3" t="s">
        <v>117</v>
      </c>
      <c r="D639" s="3" t="n">
        <v>7</v>
      </c>
      <c r="E639" s="3" t="n">
        <v>6</v>
      </c>
      <c r="F639" s="3" t="n">
        <v>2</v>
      </c>
      <c r="G639" s="3" t="n">
        <v>1</v>
      </c>
      <c r="H639" s="24" t="n">
        <v>0.00734201446</v>
      </c>
    </row>
    <row r="640" customFormat="false" ht="15" hidden="false" customHeight="false" outlineLevel="0" collapsed="false">
      <c r="A640" s="3" t="n">
        <v>639</v>
      </c>
      <c r="B640" s="3" t="n">
        <v>638</v>
      </c>
      <c r="C640" s="3" t="s">
        <v>117</v>
      </c>
      <c r="D640" s="3" t="n">
        <v>7</v>
      </c>
      <c r="E640" s="3" t="n">
        <v>6</v>
      </c>
      <c r="F640" s="3" t="n">
        <v>2</v>
      </c>
      <c r="G640" s="3" t="n">
        <v>2</v>
      </c>
      <c r="H640" s="24" t="n">
        <v>0.0991233513</v>
      </c>
    </row>
    <row r="641" customFormat="false" ht="15" hidden="false" customHeight="false" outlineLevel="0" collapsed="false">
      <c r="A641" s="3" t="n">
        <v>640</v>
      </c>
      <c r="B641" s="3" t="n">
        <v>639</v>
      </c>
      <c r="C641" s="3" t="s">
        <v>117</v>
      </c>
      <c r="D641" s="3" t="n">
        <v>7</v>
      </c>
      <c r="E641" s="3" t="n">
        <v>7</v>
      </c>
      <c r="F641" s="3" t="n">
        <v>0</v>
      </c>
      <c r="G641" s="3" t="n">
        <v>0</v>
      </c>
      <c r="H641" s="24" t="n">
        <v>-0.169513062</v>
      </c>
    </row>
    <row r="642" customFormat="false" ht="15" hidden="false" customHeight="false" outlineLevel="0" collapsed="false">
      <c r="A642" s="3" t="n">
        <v>641</v>
      </c>
      <c r="B642" s="3" t="n">
        <v>640</v>
      </c>
      <c r="C642" s="3" t="s">
        <v>117</v>
      </c>
      <c r="D642" s="3" t="n">
        <v>7</v>
      </c>
      <c r="E642" s="3" t="n">
        <v>7</v>
      </c>
      <c r="F642" s="3" t="n">
        <v>0</v>
      </c>
      <c r="G642" s="3" t="n">
        <v>1</v>
      </c>
      <c r="H642" s="24" t="n">
        <v>-0.0812904462</v>
      </c>
    </row>
    <row r="643" customFormat="false" ht="15" hidden="false" customHeight="false" outlineLevel="0" collapsed="false">
      <c r="A643" s="3" t="n">
        <v>642</v>
      </c>
      <c r="B643" s="3" t="n">
        <v>641</v>
      </c>
      <c r="C643" s="3" t="s">
        <v>117</v>
      </c>
      <c r="D643" s="3" t="n">
        <v>7</v>
      </c>
      <c r="E643" s="3" t="n">
        <v>7</v>
      </c>
      <c r="F643" s="3" t="n">
        <v>0</v>
      </c>
      <c r="G643" s="3" t="n">
        <v>2</v>
      </c>
      <c r="H643" s="24" t="n">
        <v>-0.0109212911</v>
      </c>
    </row>
    <row r="644" customFormat="false" ht="15" hidden="false" customHeight="false" outlineLevel="0" collapsed="false">
      <c r="A644" s="3" t="n">
        <v>643</v>
      </c>
      <c r="B644" s="3" t="n">
        <v>642</v>
      </c>
      <c r="C644" s="3" t="s">
        <v>117</v>
      </c>
      <c r="D644" s="3" t="n">
        <v>7</v>
      </c>
      <c r="E644" s="3" t="n">
        <v>7</v>
      </c>
      <c r="F644" s="3" t="n">
        <v>1</v>
      </c>
      <c r="G644" s="3" t="n">
        <v>0</v>
      </c>
      <c r="H644" s="24" t="n">
        <v>0.413146883</v>
      </c>
    </row>
    <row r="645" customFormat="false" ht="15" hidden="false" customHeight="false" outlineLevel="0" collapsed="false">
      <c r="A645" s="3" t="n">
        <v>644</v>
      </c>
      <c r="B645" s="3" t="n">
        <v>643</v>
      </c>
      <c r="C645" s="3" t="s">
        <v>117</v>
      </c>
      <c r="D645" s="3" t="n">
        <v>7</v>
      </c>
      <c r="E645" s="3" t="n">
        <v>7</v>
      </c>
      <c r="F645" s="3" t="n">
        <v>1</v>
      </c>
      <c r="G645" s="3" t="n">
        <v>1</v>
      </c>
      <c r="H645" s="24" t="n">
        <v>0.0240360592</v>
      </c>
    </row>
    <row r="646" customFormat="false" ht="15" hidden="false" customHeight="false" outlineLevel="0" collapsed="false">
      <c r="A646" s="3" t="n">
        <v>645</v>
      </c>
      <c r="B646" s="3" t="n">
        <v>644</v>
      </c>
      <c r="C646" s="3" t="s">
        <v>117</v>
      </c>
      <c r="D646" s="3" t="n">
        <v>7</v>
      </c>
      <c r="E646" s="3" t="n">
        <v>7</v>
      </c>
      <c r="F646" s="3" t="n">
        <v>1</v>
      </c>
      <c r="G646" s="3" t="n">
        <v>2</v>
      </c>
      <c r="H646" s="24" t="n">
        <v>0.0663325936</v>
      </c>
    </row>
    <row r="647" customFormat="false" ht="15" hidden="false" customHeight="false" outlineLevel="0" collapsed="false">
      <c r="A647" s="3" t="n">
        <v>646</v>
      </c>
      <c r="B647" s="3" t="n">
        <v>645</v>
      </c>
      <c r="C647" s="3" t="s">
        <v>117</v>
      </c>
      <c r="D647" s="3" t="n">
        <v>7</v>
      </c>
      <c r="E647" s="3" t="n">
        <v>7</v>
      </c>
      <c r="F647" s="3" t="n">
        <v>2</v>
      </c>
      <c r="G647" s="3" t="n">
        <v>0</v>
      </c>
      <c r="H647" s="24" t="n">
        <v>0.0689804032</v>
      </c>
    </row>
    <row r="648" customFormat="false" ht="15" hidden="false" customHeight="false" outlineLevel="0" collapsed="false">
      <c r="A648" s="3" t="n">
        <v>647</v>
      </c>
      <c r="B648" s="3" t="n">
        <v>646</v>
      </c>
      <c r="C648" s="3" t="s">
        <v>117</v>
      </c>
      <c r="D648" s="3" t="n">
        <v>7</v>
      </c>
      <c r="E648" s="3" t="n">
        <v>7</v>
      </c>
      <c r="F648" s="3" t="n">
        <v>2</v>
      </c>
      <c r="G648" s="3" t="n">
        <v>1</v>
      </c>
      <c r="H648" s="24" t="n">
        <v>0.165155575</v>
      </c>
    </row>
    <row r="649" customFormat="false" ht="15" hidden="false" customHeight="false" outlineLevel="0" collapsed="false">
      <c r="A649" s="3" t="n">
        <v>648</v>
      </c>
      <c r="B649" s="3" t="n">
        <v>647</v>
      </c>
      <c r="C649" s="3" t="s">
        <v>117</v>
      </c>
      <c r="D649" s="3" t="n">
        <v>7</v>
      </c>
      <c r="E649" s="3" t="n">
        <v>7</v>
      </c>
      <c r="F649" s="3" t="n">
        <v>2</v>
      </c>
      <c r="G649" s="3" t="n">
        <v>2</v>
      </c>
      <c r="H649" s="24" t="n">
        <v>0.194377631</v>
      </c>
    </row>
    <row r="650" customFormat="false" ht="15" hidden="false" customHeight="false" outlineLevel="0" collapsed="false">
      <c r="A650" s="3" t="n">
        <v>649</v>
      </c>
      <c r="B650" s="3" t="n">
        <v>648</v>
      </c>
      <c r="C650" s="3" t="s">
        <v>117</v>
      </c>
      <c r="D650" s="3" t="n">
        <v>8</v>
      </c>
      <c r="E650" s="3" t="n">
        <v>0</v>
      </c>
      <c r="F650" s="3" t="n">
        <v>0</v>
      </c>
      <c r="G650" s="3" t="n">
        <v>0</v>
      </c>
      <c r="H650" s="24" t="n">
        <v>0.125105187</v>
      </c>
    </row>
    <row r="651" customFormat="false" ht="15" hidden="false" customHeight="false" outlineLevel="0" collapsed="false">
      <c r="A651" s="3" t="n">
        <v>650</v>
      </c>
      <c r="B651" s="3" t="n">
        <v>649</v>
      </c>
      <c r="C651" s="3" t="s">
        <v>117</v>
      </c>
      <c r="D651" s="3" t="n">
        <v>8</v>
      </c>
      <c r="E651" s="3" t="n">
        <v>0</v>
      </c>
      <c r="F651" s="3" t="n">
        <v>0</v>
      </c>
      <c r="G651" s="3" t="n">
        <v>1</v>
      </c>
      <c r="H651" s="24" t="n">
        <v>0.110299796</v>
      </c>
    </row>
    <row r="652" customFormat="false" ht="15" hidden="false" customHeight="false" outlineLevel="0" collapsed="false">
      <c r="A652" s="3" t="n">
        <v>651</v>
      </c>
      <c r="B652" s="3" t="n">
        <v>650</v>
      </c>
      <c r="C652" s="3" t="s">
        <v>117</v>
      </c>
      <c r="D652" s="3" t="n">
        <v>8</v>
      </c>
      <c r="E652" s="3" t="n">
        <v>0</v>
      </c>
      <c r="F652" s="3" t="n">
        <v>0</v>
      </c>
      <c r="G652" s="3" t="n">
        <v>2</v>
      </c>
      <c r="H652" s="24" t="n">
        <v>-0.226727813</v>
      </c>
    </row>
    <row r="653" customFormat="false" ht="15" hidden="false" customHeight="false" outlineLevel="0" collapsed="false">
      <c r="A653" s="3" t="n">
        <v>652</v>
      </c>
      <c r="B653" s="3" t="n">
        <v>651</v>
      </c>
      <c r="C653" s="3" t="s">
        <v>117</v>
      </c>
      <c r="D653" s="3" t="n">
        <v>8</v>
      </c>
      <c r="E653" s="3" t="n">
        <v>0</v>
      </c>
      <c r="F653" s="3" t="n">
        <v>1</v>
      </c>
      <c r="G653" s="3" t="n">
        <v>0</v>
      </c>
      <c r="H653" s="24" t="n">
        <v>0.122604236</v>
      </c>
    </row>
    <row r="654" customFormat="false" ht="15" hidden="false" customHeight="false" outlineLevel="0" collapsed="false">
      <c r="A654" s="3" t="n">
        <v>653</v>
      </c>
      <c r="B654" s="3" t="n">
        <v>652</v>
      </c>
      <c r="C654" s="3" t="s">
        <v>117</v>
      </c>
      <c r="D654" s="3" t="n">
        <v>8</v>
      </c>
      <c r="E654" s="3" t="n">
        <v>0</v>
      </c>
      <c r="F654" s="3" t="n">
        <v>1</v>
      </c>
      <c r="G654" s="3" t="n">
        <v>1</v>
      </c>
      <c r="H654" s="24" t="n">
        <v>0.112342574</v>
      </c>
    </row>
    <row r="655" customFormat="false" ht="15" hidden="false" customHeight="false" outlineLevel="0" collapsed="false">
      <c r="A655" s="3" t="n">
        <v>654</v>
      </c>
      <c r="B655" s="3" t="n">
        <v>653</v>
      </c>
      <c r="C655" s="3" t="s">
        <v>117</v>
      </c>
      <c r="D655" s="3" t="n">
        <v>8</v>
      </c>
      <c r="E655" s="3" t="n">
        <v>0</v>
      </c>
      <c r="F655" s="3" t="n">
        <v>1</v>
      </c>
      <c r="G655" s="3" t="n">
        <v>2</v>
      </c>
      <c r="H655" s="24" t="n">
        <v>0.133484825</v>
      </c>
    </row>
    <row r="656" customFormat="false" ht="15" hidden="false" customHeight="false" outlineLevel="0" collapsed="false">
      <c r="A656" s="3" t="n">
        <v>655</v>
      </c>
      <c r="B656" s="3" t="n">
        <v>654</v>
      </c>
      <c r="C656" s="3" t="s">
        <v>117</v>
      </c>
      <c r="D656" s="3" t="n">
        <v>8</v>
      </c>
      <c r="E656" s="3" t="n">
        <v>0</v>
      </c>
      <c r="F656" s="3" t="n">
        <v>2</v>
      </c>
      <c r="G656" s="3" t="n">
        <v>0</v>
      </c>
      <c r="H656" s="24" t="n">
        <v>-0.0800635815</v>
      </c>
    </row>
    <row r="657" customFormat="false" ht="15" hidden="false" customHeight="false" outlineLevel="0" collapsed="false">
      <c r="A657" s="3" t="n">
        <v>656</v>
      </c>
      <c r="B657" s="3" t="n">
        <v>655</v>
      </c>
      <c r="C657" s="3" t="s">
        <v>117</v>
      </c>
      <c r="D657" s="3" t="n">
        <v>8</v>
      </c>
      <c r="E657" s="3" t="n">
        <v>0</v>
      </c>
      <c r="F657" s="3" t="n">
        <v>2</v>
      </c>
      <c r="G657" s="3" t="n">
        <v>1</v>
      </c>
      <c r="H657" s="24" t="n">
        <v>0.175436988</v>
      </c>
    </row>
    <row r="658" customFormat="false" ht="15" hidden="false" customHeight="false" outlineLevel="0" collapsed="false">
      <c r="A658" s="3" t="n">
        <v>657</v>
      </c>
      <c r="B658" s="3" t="n">
        <v>656</v>
      </c>
      <c r="C658" s="3" t="s">
        <v>117</v>
      </c>
      <c r="D658" s="3" t="n">
        <v>8</v>
      </c>
      <c r="E658" s="3" t="n">
        <v>0</v>
      </c>
      <c r="F658" s="3" t="n">
        <v>2</v>
      </c>
      <c r="G658" s="3" t="n">
        <v>2</v>
      </c>
      <c r="H658" s="24" t="n">
        <v>0.172265694</v>
      </c>
    </row>
    <row r="659" customFormat="false" ht="15" hidden="false" customHeight="false" outlineLevel="0" collapsed="false">
      <c r="A659" s="3" t="n">
        <v>658</v>
      </c>
      <c r="B659" s="3" t="n">
        <v>657</v>
      </c>
      <c r="C659" s="3" t="s">
        <v>117</v>
      </c>
      <c r="D659" s="3" t="n">
        <v>8</v>
      </c>
      <c r="E659" s="3" t="n">
        <v>1</v>
      </c>
      <c r="F659" s="3" t="n">
        <v>0</v>
      </c>
      <c r="G659" s="3" t="n">
        <v>0</v>
      </c>
      <c r="H659" s="24" t="n">
        <v>0.0750485063</v>
      </c>
    </row>
    <row r="660" customFormat="false" ht="15" hidden="false" customHeight="false" outlineLevel="0" collapsed="false">
      <c r="A660" s="3" t="n">
        <v>659</v>
      </c>
      <c r="B660" s="3" t="n">
        <v>658</v>
      </c>
      <c r="C660" s="3" t="s">
        <v>117</v>
      </c>
      <c r="D660" s="3" t="n">
        <v>8</v>
      </c>
      <c r="E660" s="3" t="n">
        <v>1</v>
      </c>
      <c r="F660" s="3" t="n">
        <v>0</v>
      </c>
      <c r="G660" s="3" t="n">
        <v>1</v>
      </c>
      <c r="H660" s="24" t="n">
        <v>0.159251243</v>
      </c>
    </row>
    <row r="661" customFormat="false" ht="15" hidden="false" customHeight="false" outlineLevel="0" collapsed="false">
      <c r="A661" s="3" t="n">
        <v>660</v>
      </c>
      <c r="B661" s="3" t="n">
        <v>659</v>
      </c>
      <c r="C661" s="3" t="s">
        <v>117</v>
      </c>
      <c r="D661" s="3" t="n">
        <v>8</v>
      </c>
      <c r="E661" s="3" t="n">
        <v>1</v>
      </c>
      <c r="F661" s="3" t="n">
        <v>0</v>
      </c>
      <c r="G661" s="3" t="n">
        <v>2</v>
      </c>
      <c r="H661" s="24" t="n">
        <v>-0.0572281554</v>
      </c>
    </row>
    <row r="662" customFormat="false" ht="15" hidden="false" customHeight="false" outlineLevel="0" collapsed="false">
      <c r="A662" s="3" t="n">
        <v>661</v>
      </c>
      <c r="B662" s="3" t="n">
        <v>660</v>
      </c>
      <c r="C662" s="3" t="s">
        <v>117</v>
      </c>
      <c r="D662" s="3" t="n">
        <v>8</v>
      </c>
      <c r="E662" s="3" t="n">
        <v>1</v>
      </c>
      <c r="F662" s="3" t="n">
        <v>1</v>
      </c>
      <c r="G662" s="3" t="n">
        <v>0</v>
      </c>
      <c r="H662" s="24" t="n">
        <v>0.0588910058</v>
      </c>
    </row>
    <row r="663" customFormat="false" ht="15" hidden="false" customHeight="false" outlineLevel="0" collapsed="false">
      <c r="A663" s="3" t="n">
        <v>662</v>
      </c>
      <c r="B663" s="3" t="n">
        <v>661</v>
      </c>
      <c r="C663" s="3" t="s">
        <v>117</v>
      </c>
      <c r="D663" s="3" t="n">
        <v>8</v>
      </c>
      <c r="E663" s="3" t="n">
        <v>1</v>
      </c>
      <c r="F663" s="3" t="n">
        <v>1</v>
      </c>
      <c r="G663" s="3" t="n">
        <v>1</v>
      </c>
      <c r="H663" s="24" t="n">
        <v>0.0145650357</v>
      </c>
    </row>
    <row r="664" customFormat="false" ht="15" hidden="false" customHeight="false" outlineLevel="0" collapsed="false">
      <c r="A664" s="3" t="n">
        <v>663</v>
      </c>
      <c r="B664" s="3" t="n">
        <v>662</v>
      </c>
      <c r="C664" s="3" t="s">
        <v>117</v>
      </c>
      <c r="D664" s="3" t="n">
        <v>8</v>
      </c>
      <c r="E664" s="3" t="n">
        <v>1</v>
      </c>
      <c r="F664" s="3" t="n">
        <v>1</v>
      </c>
      <c r="G664" s="3" t="n">
        <v>2</v>
      </c>
      <c r="H664" s="24" t="n">
        <v>-0.0703116804</v>
      </c>
    </row>
    <row r="665" customFormat="false" ht="15" hidden="false" customHeight="false" outlineLevel="0" collapsed="false">
      <c r="A665" s="3" t="n">
        <v>664</v>
      </c>
      <c r="B665" s="3" t="n">
        <v>663</v>
      </c>
      <c r="C665" s="3" t="s">
        <v>117</v>
      </c>
      <c r="D665" s="3" t="n">
        <v>8</v>
      </c>
      <c r="E665" s="3" t="n">
        <v>1</v>
      </c>
      <c r="F665" s="3" t="n">
        <v>2</v>
      </c>
      <c r="G665" s="3" t="n">
        <v>0</v>
      </c>
      <c r="H665" s="24" t="n">
        <v>0.0528413169</v>
      </c>
    </row>
    <row r="666" customFormat="false" ht="15" hidden="false" customHeight="false" outlineLevel="0" collapsed="false">
      <c r="A666" s="3" t="n">
        <v>665</v>
      </c>
      <c r="B666" s="3" t="n">
        <v>664</v>
      </c>
      <c r="C666" s="3" t="s">
        <v>117</v>
      </c>
      <c r="D666" s="3" t="n">
        <v>8</v>
      </c>
      <c r="E666" s="3" t="n">
        <v>1</v>
      </c>
      <c r="F666" s="3" t="n">
        <v>2</v>
      </c>
      <c r="G666" s="3" t="n">
        <v>1</v>
      </c>
      <c r="H666" s="24" t="n">
        <v>0.0646239296</v>
      </c>
    </row>
    <row r="667" customFormat="false" ht="15" hidden="false" customHeight="false" outlineLevel="0" collapsed="false">
      <c r="A667" s="3" t="n">
        <v>666</v>
      </c>
      <c r="B667" s="3" t="n">
        <v>665</v>
      </c>
      <c r="C667" s="3" t="s">
        <v>117</v>
      </c>
      <c r="D667" s="3" t="n">
        <v>8</v>
      </c>
      <c r="E667" s="3" t="n">
        <v>1</v>
      </c>
      <c r="F667" s="3" t="n">
        <v>2</v>
      </c>
      <c r="G667" s="3" t="n">
        <v>2</v>
      </c>
      <c r="H667" s="24" t="n">
        <v>0.0286040083</v>
      </c>
    </row>
    <row r="668" customFormat="false" ht="15" hidden="false" customHeight="false" outlineLevel="0" collapsed="false">
      <c r="A668" s="3" t="n">
        <v>667</v>
      </c>
      <c r="B668" s="3" t="n">
        <v>666</v>
      </c>
      <c r="C668" s="3" t="s">
        <v>117</v>
      </c>
      <c r="D668" s="3" t="n">
        <v>8</v>
      </c>
      <c r="E668" s="3" t="n">
        <v>2</v>
      </c>
      <c r="F668" s="3" t="n">
        <v>0</v>
      </c>
      <c r="G668" s="3" t="n">
        <v>0</v>
      </c>
      <c r="H668" s="24" t="n">
        <v>-0.0987205431</v>
      </c>
    </row>
    <row r="669" customFormat="false" ht="15" hidden="false" customHeight="false" outlineLevel="0" collapsed="false">
      <c r="A669" s="3" t="n">
        <v>668</v>
      </c>
      <c r="B669" s="3" t="n">
        <v>667</v>
      </c>
      <c r="C669" s="3" t="s">
        <v>117</v>
      </c>
      <c r="D669" s="3" t="n">
        <v>8</v>
      </c>
      <c r="E669" s="3" t="n">
        <v>2</v>
      </c>
      <c r="F669" s="3" t="n">
        <v>0</v>
      </c>
      <c r="G669" s="3" t="n">
        <v>1</v>
      </c>
      <c r="H669" s="24" t="n">
        <v>0.0298079122</v>
      </c>
    </row>
    <row r="670" customFormat="false" ht="15" hidden="false" customHeight="false" outlineLevel="0" collapsed="false">
      <c r="A670" s="3" t="n">
        <v>669</v>
      </c>
      <c r="B670" s="3" t="n">
        <v>668</v>
      </c>
      <c r="C670" s="3" t="s">
        <v>117</v>
      </c>
      <c r="D670" s="3" t="n">
        <v>8</v>
      </c>
      <c r="E670" s="3" t="n">
        <v>2</v>
      </c>
      <c r="F670" s="3" t="n">
        <v>0</v>
      </c>
      <c r="G670" s="3" t="n">
        <v>2</v>
      </c>
      <c r="H670" s="24" t="n">
        <v>0.0915830135</v>
      </c>
    </row>
    <row r="671" customFormat="false" ht="15" hidden="false" customHeight="false" outlineLevel="0" collapsed="false">
      <c r="A671" s="3" t="n">
        <v>670</v>
      </c>
      <c r="B671" s="3" t="n">
        <v>669</v>
      </c>
      <c r="C671" s="3" t="s">
        <v>117</v>
      </c>
      <c r="D671" s="3" t="n">
        <v>8</v>
      </c>
      <c r="E671" s="3" t="n">
        <v>2</v>
      </c>
      <c r="F671" s="3" t="n">
        <v>1</v>
      </c>
      <c r="G671" s="3" t="n">
        <v>0</v>
      </c>
      <c r="H671" s="24" t="n">
        <v>-0.204535827</v>
      </c>
    </row>
    <row r="672" customFormat="false" ht="15" hidden="false" customHeight="false" outlineLevel="0" collapsed="false">
      <c r="A672" s="3" t="n">
        <v>671</v>
      </c>
      <c r="B672" s="3" t="n">
        <v>670</v>
      </c>
      <c r="C672" s="3" t="s">
        <v>117</v>
      </c>
      <c r="D672" s="3" t="n">
        <v>8</v>
      </c>
      <c r="E672" s="3" t="n">
        <v>2</v>
      </c>
      <c r="F672" s="3" t="n">
        <v>1</v>
      </c>
      <c r="G672" s="3" t="n">
        <v>1</v>
      </c>
      <c r="H672" s="24" t="n">
        <v>0.125765815</v>
      </c>
    </row>
    <row r="673" customFormat="false" ht="15" hidden="false" customHeight="false" outlineLevel="0" collapsed="false">
      <c r="A673" s="3" t="n">
        <v>672</v>
      </c>
      <c r="B673" s="3" t="n">
        <v>671</v>
      </c>
      <c r="C673" s="3" t="s">
        <v>117</v>
      </c>
      <c r="D673" s="3" t="n">
        <v>8</v>
      </c>
      <c r="E673" s="3" t="n">
        <v>2</v>
      </c>
      <c r="F673" s="3" t="n">
        <v>1</v>
      </c>
      <c r="G673" s="3" t="n">
        <v>2</v>
      </c>
      <c r="H673" s="24" t="n">
        <v>-0.113793373</v>
      </c>
    </row>
    <row r="674" customFormat="false" ht="15" hidden="false" customHeight="false" outlineLevel="0" collapsed="false">
      <c r="A674" s="3" t="n">
        <v>673</v>
      </c>
      <c r="B674" s="3" t="n">
        <v>672</v>
      </c>
      <c r="C674" s="3" t="s">
        <v>117</v>
      </c>
      <c r="D674" s="3" t="n">
        <v>8</v>
      </c>
      <c r="E674" s="3" t="n">
        <v>2</v>
      </c>
      <c r="F674" s="3" t="n">
        <v>2</v>
      </c>
      <c r="G674" s="3" t="n">
        <v>0</v>
      </c>
      <c r="H674" s="24" t="n">
        <v>-0.18657434</v>
      </c>
    </row>
    <row r="675" customFormat="false" ht="15" hidden="false" customHeight="false" outlineLevel="0" collapsed="false">
      <c r="A675" s="3" t="n">
        <v>674</v>
      </c>
      <c r="B675" s="3" t="n">
        <v>673</v>
      </c>
      <c r="C675" s="3" t="s">
        <v>117</v>
      </c>
      <c r="D675" s="3" t="n">
        <v>8</v>
      </c>
      <c r="E675" s="3" t="n">
        <v>2</v>
      </c>
      <c r="F675" s="3" t="n">
        <v>2</v>
      </c>
      <c r="G675" s="3" t="n">
        <v>1</v>
      </c>
      <c r="H675" s="24" t="n">
        <v>0.0578090213</v>
      </c>
    </row>
    <row r="676" customFormat="false" ht="15" hidden="false" customHeight="false" outlineLevel="0" collapsed="false">
      <c r="A676" s="3" t="n">
        <v>675</v>
      </c>
      <c r="B676" s="3" t="n">
        <v>674</v>
      </c>
      <c r="C676" s="3" t="s">
        <v>117</v>
      </c>
      <c r="D676" s="3" t="n">
        <v>8</v>
      </c>
      <c r="E676" s="3" t="n">
        <v>2</v>
      </c>
      <c r="F676" s="3" t="n">
        <v>2</v>
      </c>
      <c r="G676" s="3" t="n">
        <v>2</v>
      </c>
      <c r="H676" s="24" t="n">
        <v>-0.306986541</v>
      </c>
    </row>
    <row r="677" customFormat="false" ht="15" hidden="false" customHeight="false" outlineLevel="0" collapsed="false">
      <c r="A677" s="3" t="n">
        <v>676</v>
      </c>
      <c r="B677" s="3" t="n">
        <v>675</v>
      </c>
      <c r="C677" s="3" t="s">
        <v>117</v>
      </c>
      <c r="D677" s="3" t="n">
        <v>8</v>
      </c>
      <c r="E677" s="3" t="n">
        <v>3</v>
      </c>
      <c r="F677" s="3" t="n">
        <v>0</v>
      </c>
      <c r="G677" s="3" t="n">
        <v>0</v>
      </c>
      <c r="H677" s="24" t="n">
        <v>-0.0326029956</v>
      </c>
    </row>
    <row r="678" customFormat="false" ht="15" hidden="false" customHeight="false" outlineLevel="0" collapsed="false">
      <c r="A678" s="3" t="n">
        <v>677</v>
      </c>
      <c r="B678" s="3" t="n">
        <v>676</v>
      </c>
      <c r="C678" s="3" t="s">
        <v>117</v>
      </c>
      <c r="D678" s="3" t="n">
        <v>8</v>
      </c>
      <c r="E678" s="3" t="n">
        <v>3</v>
      </c>
      <c r="F678" s="3" t="n">
        <v>0</v>
      </c>
      <c r="G678" s="3" t="n">
        <v>1</v>
      </c>
      <c r="H678" s="24" t="n">
        <v>-0.0687970966</v>
      </c>
    </row>
    <row r="679" customFormat="false" ht="15" hidden="false" customHeight="false" outlineLevel="0" collapsed="false">
      <c r="A679" s="3" t="n">
        <v>678</v>
      </c>
      <c r="B679" s="3" t="n">
        <v>677</v>
      </c>
      <c r="C679" s="3" t="s">
        <v>117</v>
      </c>
      <c r="D679" s="3" t="n">
        <v>8</v>
      </c>
      <c r="E679" s="3" t="n">
        <v>3</v>
      </c>
      <c r="F679" s="3" t="n">
        <v>0</v>
      </c>
      <c r="G679" s="3" t="n">
        <v>2</v>
      </c>
      <c r="H679" s="24" t="n">
        <v>0.0495922789</v>
      </c>
    </row>
    <row r="680" customFormat="false" ht="15" hidden="false" customHeight="false" outlineLevel="0" collapsed="false">
      <c r="A680" s="3" t="n">
        <v>679</v>
      </c>
      <c r="B680" s="3" t="n">
        <v>678</v>
      </c>
      <c r="C680" s="3" t="s">
        <v>117</v>
      </c>
      <c r="D680" s="3" t="n">
        <v>8</v>
      </c>
      <c r="E680" s="3" t="n">
        <v>3</v>
      </c>
      <c r="F680" s="3" t="n">
        <v>1</v>
      </c>
      <c r="G680" s="3" t="n">
        <v>0</v>
      </c>
      <c r="H680" s="24" t="n">
        <v>-0.326385468</v>
      </c>
    </row>
    <row r="681" customFormat="false" ht="15" hidden="false" customHeight="false" outlineLevel="0" collapsed="false">
      <c r="A681" s="3" t="n">
        <v>680</v>
      </c>
      <c r="B681" s="3" t="n">
        <v>679</v>
      </c>
      <c r="C681" s="3" t="s">
        <v>117</v>
      </c>
      <c r="D681" s="3" t="n">
        <v>8</v>
      </c>
      <c r="E681" s="3" t="n">
        <v>3</v>
      </c>
      <c r="F681" s="3" t="n">
        <v>1</v>
      </c>
      <c r="G681" s="3" t="n">
        <v>1</v>
      </c>
      <c r="H681" s="24" t="n">
        <v>-0.208479062</v>
      </c>
    </row>
    <row r="682" customFormat="false" ht="15" hidden="false" customHeight="false" outlineLevel="0" collapsed="false">
      <c r="A682" s="3" t="n">
        <v>681</v>
      </c>
      <c r="B682" s="3" t="n">
        <v>680</v>
      </c>
      <c r="C682" s="3" t="s">
        <v>117</v>
      </c>
      <c r="D682" s="3" t="n">
        <v>8</v>
      </c>
      <c r="E682" s="3" t="n">
        <v>3</v>
      </c>
      <c r="F682" s="3" t="n">
        <v>1</v>
      </c>
      <c r="G682" s="3" t="n">
        <v>2</v>
      </c>
      <c r="H682" s="24" t="n">
        <v>0.020995805</v>
      </c>
    </row>
    <row r="683" customFormat="false" ht="15" hidden="false" customHeight="false" outlineLevel="0" collapsed="false">
      <c r="A683" s="3" t="n">
        <v>682</v>
      </c>
      <c r="B683" s="3" t="n">
        <v>681</v>
      </c>
      <c r="C683" s="3" t="s">
        <v>117</v>
      </c>
      <c r="D683" s="3" t="n">
        <v>8</v>
      </c>
      <c r="E683" s="3" t="n">
        <v>3</v>
      </c>
      <c r="F683" s="3" t="n">
        <v>2</v>
      </c>
      <c r="G683" s="3" t="n">
        <v>0</v>
      </c>
      <c r="H683" s="24" t="n">
        <v>-0.194819719</v>
      </c>
    </row>
    <row r="684" customFormat="false" ht="15" hidden="false" customHeight="false" outlineLevel="0" collapsed="false">
      <c r="A684" s="3" t="n">
        <v>683</v>
      </c>
      <c r="B684" s="3" t="n">
        <v>682</v>
      </c>
      <c r="C684" s="3" t="s">
        <v>117</v>
      </c>
      <c r="D684" s="3" t="n">
        <v>8</v>
      </c>
      <c r="E684" s="3" t="n">
        <v>3</v>
      </c>
      <c r="F684" s="3" t="n">
        <v>2</v>
      </c>
      <c r="G684" s="3" t="n">
        <v>1</v>
      </c>
      <c r="H684" s="24" t="n">
        <v>-0.417269707</v>
      </c>
    </row>
    <row r="685" customFormat="false" ht="15" hidden="false" customHeight="false" outlineLevel="0" collapsed="false">
      <c r="A685" s="3" t="n">
        <v>684</v>
      </c>
      <c r="B685" s="3" t="n">
        <v>683</v>
      </c>
      <c r="C685" s="3" t="s">
        <v>117</v>
      </c>
      <c r="D685" s="3" t="n">
        <v>8</v>
      </c>
      <c r="E685" s="3" t="n">
        <v>3</v>
      </c>
      <c r="F685" s="3" t="n">
        <v>2</v>
      </c>
      <c r="G685" s="3" t="n">
        <v>2</v>
      </c>
      <c r="H685" s="24" t="n">
        <v>0.333333552</v>
      </c>
    </row>
    <row r="686" customFormat="false" ht="15" hidden="false" customHeight="false" outlineLevel="0" collapsed="false">
      <c r="A686" s="3" t="n">
        <v>685</v>
      </c>
      <c r="B686" s="3" t="n">
        <v>684</v>
      </c>
      <c r="C686" s="3" t="s">
        <v>117</v>
      </c>
      <c r="D686" s="3" t="n">
        <v>8</v>
      </c>
      <c r="E686" s="3" t="n">
        <v>4</v>
      </c>
      <c r="F686" s="3" t="n">
        <v>0</v>
      </c>
      <c r="G686" s="3" t="n">
        <v>0</v>
      </c>
      <c r="H686" s="24" t="n">
        <v>0.14806141</v>
      </c>
    </row>
    <row r="687" customFormat="false" ht="15" hidden="false" customHeight="false" outlineLevel="0" collapsed="false">
      <c r="A687" s="3" t="n">
        <v>686</v>
      </c>
      <c r="B687" s="3" t="n">
        <v>685</v>
      </c>
      <c r="C687" s="3" t="s">
        <v>117</v>
      </c>
      <c r="D687" s="3" t="n">
        <v>8</v>
      </c>
      <c r="E687" s="3" t="n">
        <v>4</v>
      </c>
      <c r="F687" s="3" t="n">
        <v>0</v>
      </c>
      <c r="G687" s="3" t="n">
        <v>1</v>
      </c>
      <c r="H687" s="24" t="n">
        <v>0.321219951</v>
      </c>
    </row>
    <row r="688" customFormat="false" ht="15" hidden="false" customHeight="false" outlineLevel="0" collapsed="false">
      <c r="A688" s="3" t="n">
        <v>687</v>
      </c>
      <c r="B688" s="3" t="n">
        <v>686</v>
      </c>
      <c r="C688" s="3" t="s">
        <v>117</v>
      </c>
      <c r="D688" s="3" t="n">
        <v>8</v>
      </c>
      <c r="E688" s="3" t="n">
        <v>4</v>
      </c>
      <c r="F688" s="3" t="n">
        <v>0</v>
      </c>
      <c r="G688" s="3" t="n">
        <v>2</v>
      </c>
      <c r="H688" s="24" t="n">
        <v>0.0414627865</v>
      </c>
    </row>
    <row r="689" customFormat="false" ht="15" hidden="false" customHeight="false" outlineLevel="0" collapsed="false">
      <c r="A689" s="3" t="n">
        <v>688</v>
      </c>
      <c r="B689" s="3" t="n">
        <v>687</v>
      </c>
      <c r="C689" s="3" t="s">
        <v>117</v>
      </c>
      <c r="D689" s="3" t="n">
        <v>8</v>
      </c>
      <c r="E689" s="3" t="n">
        <v>4</v>
      </c>
      <c r="F689" s="3" t="n">
        <v>1</v>
      </c>
      <c r="G689" s="3" t="n">
        <v>0</v>
      </c>
      <c r="H689" s="24" t="n">
        <v>0.112039134</v>
      </c>
    </row>
    <row r="690" customFormat="false" ht="15" hidden="false" customHeight="false" outlineLevel="0" collapsed="false">
      <c r="A690" s="3" t="n">
        <v>689</v>
      </c>
      <c r="B690" s="3" t="n">
        <v>688</v>
      </c>
      <c r="C690" s="3" t="s">
        <v>117</v>
      </c>
      <c r="D690" s="3" t="n">
        <v>8</v>
      </c>
      <c r="E690" s="3" t="n">
        <v>4</v>
      </c>
      <c r="F690" s="3" t="n">
        <v>1</v>
      </c>
      <c r="G690" s="3" t="n">
        <v>1</v>
      </c>
      <c r="H690" s="24" t="n">
        <v>0.311538398</v>
      </c>
    </row>
    <row r="691" customFormat="false" ht="15" hidden="false" customHeight="false" outlineLevel="0" collapsed="false">
      <c r="A691" s="3" t="n">
        <v>690</v>
      </c>
      <c r="B691" s="3" t="n">
        <v>689</v>
      </c>
      <c r="C691" s="3" t="s">
        <v>117</v>
      </c>
      <c r="D691" s="3" t="n">
        <v>8</v>
      </c>
      <c r="E691" s="3" t="n">
        <v>4</v>
      </c>
      <c r="F691" s="3" t="n">
        <v>1</v>
      </c>
      <c r="G691" s="3" t="n">
        <v>2</v>
      </c>
      <c r="H691" s="24" t="n">
        <v>0.149170354</v>
      </c>
    </row>
    <row r="692" customFormat="false" ht="15" hidden="false" customHeight="false" outlineLevel="0" collapsed="false">
      <c r="A692" s="3" t="n">
        <v>691</v>
      </c>
      <c r="B692" s="3" t="n">
        <v>690</v>
      </c>
      <c r="C692" s="3" t="s">
        <v>117</v>
      </c>
      <c r="D692" s="3" t="n">
        <v>8</v>
      </c>
      <c r="E692" s="3" t="n">
        <v>4</v>
      </c>
      <c r="F692" s="3" t="n">
        <v>2</v>
      </c>
      <c r="G692" s="3" t="n">
        <v>0</v>
      </c>
      <c r="H692" s="24" t="n">
        <v>-0.0370468386</v>
      </c>
    </row>
    <row r="693" customFormat="false" ht="15" hidden="false" customHeight="false" outlineLevel="0" collapsed="false">
      <c r="A693" s="3" t="n">
        <v>692</v>
      </c>
      <c r="B693" s="3" t="n">
        <v>691</v>
      </c>
      <c r="C693" s="3" t="s">
        <v>117</v>
      </c>
      <c r="D693" s="3" t="n">
        <v>8</v>
      </c>
      <c r="E693" s="3" t="n">
        <v>4</v>
      </c>
      <c r="F693" s="3" t="n">
        <v>2</v>
      </c>
      <c r="G693" s="3" t="n">
        <v>1</v>
      </c>
      <c r="H693" s="24" t="n">
        <v>0.12819545</v>
      </c>
    </row>
    <row r="694" customFormat="false" ht="15" hidden="false" customHeight="false" outlineLevel="0" collapsed="false">
      <c r="A694" s="3" t="n">
        <v>693</v>
      </c>
      <c r="B694" s="3" t="n">
        <v>692</v>
      </c>
      <c r="C694" s="3" t="s">
        <v>117</v>
      </c>
      <c r="D694" s="3" t="n">
        <v>8</v>
      </c>
      <c r="E694" s="3" t="n">
        <v>4</v>
      </c>
      <c r="F694" s="3" t="n">
        <v>2</v>
      </c>
      <c r="G694" s="3" t="n">
        <v>2</v>
      </c>
      <c r="H694" s="24" t="n">
        <v>0.0493675545</v>
      </c>
    </row>
    <row r="695" customFormat="false" ht="15" hidden="false" customHeight="false" outlineLevel="0" collapsed="false">
      <c r="A695" s="3" t="n">
        <v>694</v>
      </c>
      <c r="B695" s="3" t="n">
        <v>693</v>
      </c>
      <c r="C695" s="3" t="s">
        <v>117</v>
      </c>
      <c r="D695" s="3" t="n">
        <v>8</v>
      </c>
      <c r="E695" s="3" t="n">
        <v>5</v>
      </c>
      <c r="F695" s="3" t="n">
        <v>0</v>
      </c>
      <c r="G695" s="3" t="n">
        <v>0</v>
      </c>
      <c r="H695" s="24" t="n">
        <v>0.0298569519</v>
      </c>
    </row>
    <row r="696" customFormat="false" ht="15" hidden="false" customHeight="false" outlineLevel="0" collapsed="false">
      <c r="A696" s="3" t="n">
        <v>695</v>
      </c>
      <c r="B696" s="3" t="n">
        <v>694</v>
      </c>
      <c r="C696" s="3" t="s">
        <v>117</v>
      </c>
      <c r="D696" s="3" t="n">
        <v>8</v>
      </c>
      <c r="E696" s="3" t="n">
        <v>5</v>
      </c>
      <c r="F696" s="3" t="n">
        <v>0</v>
      </c>
      <c r="G696" s="3" t="n">
        <v>1</v>
      </c>
      <c r="H696" s="24" t="n">
        <v>-0.263034284</v>
      </c>
    </row>
    <row r="697" customFormat="false" ht="15" hidden="false" customHeight="false" outlineLevel="0" collapsed="false">
      <c r="A697" s="3" t="n">
        <v>696</v>
      </c>
      <c r="B697" s="3" t="n">
        <v>695</v>
      </c>
      <c r="C697" s="3" t="s">
        <v>117</v>
      </c>
      <c r="D697" s="3" t="n">
        <v>8</v>
      </c>
      <c r="E697" s="3" t="n">
        <v>5</v>
      </c>
      <c r="F697" s="3" t="n">
        <v>0</v>
      </c>
      <c r="G697" s="3" t="n">
        <v>2</v>
      </c>
      <c r="H697" s="24" t="n">
        <v>0.0806275457</v>
      </c>
    </row>
    <row r="698" customFormat="false" ht="15" hidden="false" customHeight="false" outlineLevel="0" collapsed="false">
      <c r="A698" s="3" t="n">
        <v>697</v>
      </c>
      <c r="B698" s="3" t="n">
        <v>696</v>
      </c>
      <c r="C698" s="3" t="s">
        <v>117</v>
      </c>
      <c r="D698" s="3" t="n">
        <v>8</v>
      </c>
      <c r="E698" s="3" t="n">
        <v>5</v>
      </c>
      <c r="F698" s="3" t="n">
        <v>1</v>
      </c>
      <c r="G698" s="3" t="n">
        <v>0</v>
      </c>
      <c r="H698" s="24" t="n">
        <v>-0.155207112</v>
      </c>
    </row>
    <row r="699" customFormat="false" ht="15" hidden="false" customHeight="false" outlineLevel="0" collapsed="false">
      <c r="A699" s="3" t="n">
        <v>698</v>
      </c>
      <c r="B699" s="3" t="n">
        <v>697</v>
      </c>
      <c r="C699" s="3" t="s">
        <v>117</v>
      </c>
      <c r="D699" s="3" t="n">
        <v>8</v>
      </c>
      <c r="E699" s="3" t="n">
        <v>5</v>
      </c>
      <c r="F699" s="3" t="n">
        <v>1</v>
      </c>
      <c r="G699" s="3" t="n">
        <v>1</v>
      </c>
      <c r="H699" s="24" t="n">
        <v>-0.644560814</v>
      </c>
    </row>
    <row r="700" customFormat="false" ht="15" hidden="false" customHeight="false" outlineLevel="0" collapsed="false">
      <c r="A700" s="3" t="n">
        <v>699</v>
      </c>
      <c r="B700" s="3" t="n">
        <v>698</v>
      </c>
      <c r="C700" s="3" t="s">
        <v>117</v>
      </c>
      <c r="D700" s="3" t="n">
        <v>8</v>
      </c>
      <c r="E700" s="3" t="n">
        <v>5</v>
      </c>
      <c r="F700" s="3" t="n">
        <v>1</v>
      </c>
      <c r="G700" s="3" t="n">
        <v>2</v>
      </c>
      <c r="H700" s="24" t="n">
        <v>-0.489161968</v>
      </c>
    </row>
    <row r="701" customFormat="false" ht="15" hidden="false" customHeight="false" outlineLevel="0" collapsed="false">
      <c r="A701" s="3" t="n">
        <v>700</v>
      </c>
      <c r="B701" s="3" t="n">
        <v>699</v>
      </c>
      <c r="C701" s="3" t="s">
        <v>117</v>
      </c>
      <c r="D701" s="3" t="n">
        <v>8</v>
      </c>
      <c r="E701" s="3" t="n">
        <v>5</v>
      </c>
      <c r="F701" s="3" t="n">
        <v>2</v>
      </c>
      <c r="G701" s="3" t="n">
        <v>0</v>
      </c>
      <c r="H701" s="24" t="n">
        <v>-0.116000056</v>
      </c>
    </row>
    <row r="702" customFormat="false" ht="15" hidden="false" customHeight="false" outlineLevel="0" collapsed="false">
      <c r="A702" s="3" t="n">
        <v>701</v>
      </c>
      <c r="B702" s="3" t="n">
        <v>700</v>
      </c>
      <c r="C702" s="3" t="s">
        <v>117</v>
      </c>
      <c r="D702" s="3" t="n">
        <v>8</v>
      </c>
      <c r="E702" s="3" t="n">
        <v>5</v>
      </c>
      <c r="F702" s="3" t="n">
        <v>2</v>
      </c>
      <c r="G702" s="3" t="n">
        <v>1</v>
      </c>
      <c r="H702" s="24" t="n">
        <v>-0.502891839</v>
      </c>
    </row>
    <row r="703" customFormat="false" ht="15" hidden="false" customHeight="false" outlineLevel="0" collapsed="false">
      <c r="A703" s="3" t="n">
        <v>702</v>
      </c>
      <c r="B703" s="3" t="n">
        <v>701</v>
      </c>
      <c r="C703" s="3" t="s">
        <v>117</v>
      </c>
      <c r="D703" s="3" t="n">
        <v>8</v>
      </c>
      <c r="E703" s="3" t="n">
        <v>5</v>
      </c>
      <c r="F703" s="3" t="n">
        <v>2</v>
      </c>
      <c r="G703" s="3" t="n">
        <v>2</v>
      </c>
      <c r="H703" s="24" t="n">
        <v>-0.181226909</v>
      </c>
    </row>
    <row r="704" customFormat="false" ht="15" hidden="false" customHeight="false" outlineLevel="0" collapsed="false">
      <c r="A704" s="3" t="n">
        <v>703</v>
      </c>
      <c r="B704" s="3" t="n">
        <v>702</v>
      </c>
      <c r="C704" s="3" t="s">
        <v>117</v>
      </c>
      <c r="D704" s="3" t="n">
        <v>8</v>
      </c>
      <c r="E704" s="3" t="n">
        <v>6</v>
      </c>
      <c r="F704" s="3" t="n">
        <v>0</v>
      </c>
      <c r="G704" s="3" t="n">
        <v>0</v>
      </c>
      <c r="H704" s="24" t="n">
        <v>0.0624499358</v>
      </c>
    </row>
    <row r="705" customFormat="false" ht="15" hidden="false" customHeight="false" outlineLevel="0" collapsed="false">
      <c r="A705" s="3" t="n">
        <v>704</v>
      </c>
      <c r="B705" s="3" t="n">
        <v>703</v>
      </c>
      <c r="C705" s="3" t="s">
        <v>117</v>
      </c>
      <c r="D705" s="3" t="n">
        <v>8</v>
      </c>
      <c r="E705" s="3" t="n">
        <v>6</v>
      </c>
      <c r="F705" s="3" t="n">
        <v>0</v>
      </c>
      <c r="G705" s="3" t="n">
        <v>1</v>
      </c>
      <c r="H705" s="24" t="n">
        <v>0.0974493846</v>
      </c>
    </row>
    <row r="706" customFormat="false" ht="15" hidden="false" customHeight="false" outlineLevel="0" collapsed="false">
      <c r="A706" s="3" t="n">
        <v>705</v>
      </c>
      <c r="B706" s="3" t="n">
        <v>704</v>
      </c>
      <c r="C706" s="3" t="s">
        <v>117</v>
      </c>
      <c r="D706" s="3" t="n">
        <v>8</v>
      </c>
      <c r="E706" s="3" t="n">
        <v>6</v>
      </c>
      <c r="F706" s="3" t="n">
        <v>0</v>
      </c>
      <c r="G706" s="3" t="n">
        <v>2</v>
      </c>
      <c r="H706" s="24" t="n">
        <v>0.170125321</v>
      </c>
    </row>
    <row r="707" customFormat="false" ht="15" hidden="false" customHeight="false" outlineLevel="0" collapsed="false">
      <c r="A707" s="3" t="n">
        <v>706</v>
      </c>
      <c r="B707" s="3" t="n">
        <v>705</v>
      </c>
      <c r="C707" s="3" t="s">
        <v>117</v>
      </c>
      <c r="D707" s="3" t="n">
        <v>8</v>
      </c>
      <c r="E707" s="3" t="n">
        <v>6</v>
      </c>
      <c r="F707" s="3" t="n">
        <v>1</v>
      </c>
      <c r="G707" s="3" t="n">
        <v>0</v>
      </c>
      <c r="H707" s="24" t="n">
        <v>-0.0923331156</v>
      </c>
    </row>
    <row r="708" customFormat="false" ht="15" hidden="false" customHeight="false" outlineLevel="0" collapsed="false">
      <c r="A708" s="3" t="n">
        <v>707</v>
      </c>
      <c r="B708" s="3" t="n">
        <v>706</v>
      </c>
      <c r="C708" s="3" t="s">
        <v>117</v>
      </c>
      <c r="D708" s="3" t="n">
        <v>8</v>
      </c>
      <c r="E708" s="3" t="n">
        <v>6</v>
      </c>
      <c r="F708" s="3" t="n">
        <v>1</v>
      </c>
      <c r="G708" s="3" t="n">
        <v>1</v>
      </c>
      <c r="H708" s="24" t="n">
        <v>0.178831473</v>
      </c>
    </row>
    <row r="709" customFormat="false" ht="15" hidden="false" customHeight="false" outlineLevel="0" collapsed="false">
      <c r="A709" s="3" t="n">
        <v>708</v>
      </c>
      <c r="B709" s="3" t="n">
        <v>707</v>
      </c>
      <c r="C709" s="3" t="s">
        <v>117</v>
      </c>
      <c r="D709" s="3" t="n">
        <v>8</v>
      </c>
      <c r="E709" s="3" t="n">
        <v>6</v>
      </c>
      <c r="F709" s="3" t="n">
        <v>1</v>
      </c>
      <c r="G709" s="3" t="n">
        <v>2</v>
      </c>
      <c r="H709" s="24" t="n">
        <v>0.0608023331</v>
      </c>
    </row>
    <row r="710" customFormat="false" ht="15" hidden="false" customHeight="false" outlineLevel="0" collapsed="false">
      <c r="A710" s="3" t="n">
        <v>709</v>
      </c>
      <c r="B710" s="3" t="n">
        <v>708</v>
      </c>
      <c r="C710" s="3" t="s">
        <v>117</v>
      </c>
      <c r="D710" s="3" t="n">
        <v>8</v>
      </c>
      <c r="E710" s="3" t="n">
        <v>6</v>
      </c>
      <c r="F710" s="3" t="n">
        <v>2</v>
      </c>
      <c r="G710" s="3" t="n">
        <v>0</v>
      </c>
      <c r="H710" s="24" t="n">
        <v>-0.0205062572</v>
      </c>
    </row>
    <row r="711" customFormat="false" ht="15" hidden="false" customHeight="false" outlineLevel="0" collapsed="false">
      <c r="A711" s="3" t="n">
        <v>710</v>
      </c>
      <c r="B711" s="3" t="n">
        <v>709</v>
      </c>
      <c r="C711" s="3" t="s">
        <v>117</v>
      </c>
      <c r="D711" s="3" t="n">
        <v>8</v>
      </c>
      <c r="E711" s="3" t="n">
        <v>6</v>
      </c>
      <c r="F711" s="3" t="n">
        <v>2</v>
      </c>
      <c r="G711" s="3" t="n">
        <v>1</v>
      </c>
      <c r="H711" s="24" t="n">
        <v>-0.129109293</v>
      </c>
    </row>
    <row r="712" customFormat="false" ht="15" hidden="false" customHeight="false" outlineLevel="0" collapsed="false">
      <c r="A712" s="3" t="n">
        <v>711</v>
      </c>
      <c r="B712" s="3" t="n">
        <v>710</v>
      </c>
      <c r="C712" s="3" t="s">
        <v>117</v>
      </c>
      <c r="D712" s="3" t="n">
        <v>8</v>
      </c>
      <c r="E712" s="3" t="n">
        <v>6</v>
      </c>
      <c r="F712" s="3" t="n">
        <v>2</v>
      </c>
      <c r="G712" s="3" t="n">
        <v>2</v>
      </c>
      <c r="H712" s="24" t="n">
        <v>-0.0586691312</v>
      </c>
    </row>
    <row r="713" customFormat="false" ht="15" hidden="false" customHeight="false" outlineLevel="0" collapsed="false">
      <c r="A713" s="3" t="n">
        <v>712</v>
      </c>
      <c r="B713" s="3" t="n">
        <v>711</v>
      </c>
      <c r="C713" s="3" t="s">
        <v>117</v>
      </c>
      <c r="D713" s="3" t="n">
        <v>8</v>
      </c>
      <c r="E713" s="3" t="n">
        <v>7</v>
      </c>
      <c r="F713" s="3" t="n">
        <v>0</v>
      </c>
      <c r="G713" s="3" t="n">
        <v>0</v>
      </c>
      <c r="H713" s="24" t="n">
        <v>0.0179419778</v>
      </c>
    </row>
    <row r="714" customFormat="false" ht="15" hidden="false" customHeight="false" outlineLevel="0" collapsed="false">
      <c r="A714" s="3" t="n">
        <v>713</v>
      </c>
      <c r="B714" s="3" t="n">
        <v>712</v>
      </c>
      <c r="C714" s="3" t="s">
        <v>117</v>
      </c>
      <c r="D714" s="3" t="n">
        <v>8</v>
      </c>
      <c r="E714" s="3" t="n">
        <v>7</v>
      </c>
      <c r="F714" s="3" t="n">
        <v>0</v>
      </c>
      <c r="G714" s="3" t="n">
        <v>1</v>
      </c>
      <c r="H714" s="24" t="n">
        <v>0.0956493318</v>
      </c>
    </row>
    <row r="715" customFormat="false" ht="15" hidden="false" customHeight="false" outlineLevel="0" collapsed="false">
      <c r="A715" s="3" t="n">
        <v>714</v>
      </c>
      <c r="B715" s="3" t="n">
        <v>713</v>
      </c>
      <c r="C715" s="3" t="s">
        <v>117</v>
      </c>
      <c r="D715" s="3" t="n">
        <v>8</v>
      </c>
      <c r="E715" s="3" t="n">
        <v>7</v>
      </c>
      <c r="F715" s="3" t="n">
        <v>0</v>
      </c>
      <c r="G715" s="3" t="n">
        <v>2</v>
      </c>
      <c r="H715" s="24" t="n">
        <v>0.149548486</v>
      </c>
    </row>
    <row r="716" customFormat="false" ht="15" hidden="false" customHeight="false" outlineLevel="0" collapsed="false">
      <c r="A716" s="3" t="n">
        <v>715</v>
      </c>
      <c r="B716" s="3" t="n">
        <v>714</v>
      </c>
      <c r="C716" s="3" t="s">
        <v>117</v>
      </c>
      <c r="D716" s="3" t="n">
        <v>8</v>
      </c>
      <c r="E716" s="3" t="n">
        <v>7</v>
      </c>
      <c r="F716" s="3" t="n">
        <v>1</v>
      </c>
      <c r="G716" s="3" t="n">
        <v>0</v>
      </c>
      <c r="H716" s="24" t="n">
        <v>-0.180268764</v>
      </c>
    </row>
    <row r="717" customFormat="false" ht="15" hidden="false" customHeight="false" outlineLevel="0" collapsed="false">
      <c r="A717" s="3" t="n">
        <v>716</v>
      </c>
      <c r="B717" s="3" t="n">
        <v>715</v>
      </c>
      <c r="C717" s="3" t="s">
        <v>117</v>
      </c>
      <c r="D717" s="3" t="n">
        <v>8</v>
      </c>
      <c r="E717" s="3" t="n">
        <v>7</v>
      </c>
      <c r="F717" s="3" t="n">
        <v>1</v>
      </c>
      <c r="G717" s="3" t="n">
        <v>1</v>
      </c>
      <c r="H717" s="24" t="n">
        <v>0.25765121</v>
      </c>
    </row>
    <row r="718" customFormat="false" ht="15" hidden="false" customHeight="false" outlineLevel="0" collapsed="false">
      <c r="A718" s="3" t="n">
        <v>717</v>
      </c>
      <c r="B718" s="3" t="n">
        <v>716</v>
      </c>
      <c r="C718" s="3" t="s">
        <v>117</v>
      </c>
      <c r="D718" s="3" t="n">
        <v>8</v>
      </c>
      <c r="E718" s="3" t="n">
        <v>7</v>
      </c>
      <c r="F718" s="3" t="n">
        <v>1</v>
      </c>
      <c r="G718" s="3" t="n">
        <v>2</v>
      </c>
      <c r="H718" s="24" t="n">
        <v>0.253153473</v>
      </c>
    </row>
    <row r="719" customFormat="false" ht="15" hidden="false" customHeight="false" outlineLevel="0" collapsed="false">
      <c r="A719" s="3" t="n">
        <v>718</v>
      </c>
      <c r="B719" s="3" t="n">
        <v>717</v>
      </c>
      <c r="C719" s="3" t="s">
        <v>117</v>
      </c>
      <c r="D719" s="3" t="n">
        <v>8</v>
      </c>
      <c r="E719" s="3" t="n">
        <v>7</v>
      </c>
      <c r="F719" s="3" t="n">
        <v>2</v>
      </c>
      <c r="G719" s="3" t="n">
        <v>0</v>
      </c>
      <c r="H719" s="24" t="n">
        <v>-0.0957603902</v>
      </c>
    </row>
    <row r="720" customFormat="false" ht="15" hidden="false" customHeight="false" outlineLevel="0" collapsed="false">
      <c r="A720" s="3" t="n">
        <v>719</v>
      </c>
      <c r="B720" s="3" t="n">
        <v>718</v>
      </c>
      <c r="C720" s="3" t="s">
        <v>117</v>
      </c>
      <c r="D720" s="3" t="n">
        <v>8</v>
      </c>
      <c r="E720" s="3" t="n">
        <v>7</v>
      </c>
      <c r="F720" s="3" t="n">
        <v>2</v>
      </c>
      <c r="G720" s="3" t="n">
        <v>1</v>
      </c>
      <c r="H720" s="24" t="n">
        <v>0.175965697</v>
      </c>
    </row>
    <row r="721" customFormat="false" ht="15" hidden="false" customHeight="false" outlineLevel="0" collapsed="false">
      <c r="A721" s="3" t="n">
        <v>720</v>
      </c>
      <c r="B721" s="3" t="n">
        <v>719</v>
      </c>
      <c r="C721" s="3" t="s">
        <v>117</v>
      </c>
      <c r="D721" s="3" t="n">
        <v>8</v>
      </c>
      <c r="E721" s="3" t="n">
        <v>7</v>
      </c>
      <c r="F721" s="3" t="n">
        <v>2</v>
      </c>
      <c r="G721" s="3" t="n">
        <v>2</v>
      </c>
      <c r="H721" s="24" t="n">
        <v>0.191649407</v>
      </c>
    </row>
    <row r="722" customFormat="false" ht="15" hidden="false" customHeight="false" outlineLevel="0" collapsed="false">
      <c r="A722" s="3" t="n">
        <v>721</v>
      </c>
      <c r="B722" s="3" t="n">
        <v>720</v>
      </c>
      <c r="C722" s="3" t="s">
        <v>117</v>
      </c>
      <c r="D722" s="3" t="n">
        <v>9</v>
      </c>
      <c r="E722" s="3" t="n">
        <v>0</v>
      </c>
      <c r="F722" s="3" t="n">
        <v>0</v>
      </c>
      <c r="G722" s="3" t="n">
        <v>0</v>
      </c>
      <c r="H722" s="24" t="n">
        <v>-0.26395005</v>
      </c>
    </row>
    <row r="723" customFormat="false" ht="15" hidden="false" customHeight="false" outlineLevel="0" collapsed="false">
      <c r="A723" s="3" t="n">
        <v>722</v>
      </c>
      <c r="B723" s="3" t="n">
        <v>721</v>
      </c>
      <c r="C723" s="3" t="s">
        <v>117</v>
      </c>
      <c r="D723" s="3" t="n">
        <v>9</v>
      </c>
      <c r="E723" s="3" t="n">
        <v>0</v>
      </c>
      <c r="F723" s="3" t="n">
        <v>0</v>
      </c>
      <c r="G723" s="3" t="n">
        <v>1</v>
      </c>
      <c r="H723" s="24" t="n">
        <v>-0.0525322221</v>
      </c>
    </row>
    <row r="724" customFormat="false" ht="15" hidden="false" customHeight="false" outlineLevel="0" collapsed="false">
      <c r="A724" s="3" t="n">
        <v>723</v>
      </c>
      <c r="B724" s="3" t="n">
        <v>722</v>
      </c>
      <c r="C724" s="3" t="s">
        <v>117</v>
      </c>
      <c r="D724" s="3" t="n">
        <v>9</v>
      </c>
      <c r="E724" s="3" t="n">
        <v>0</v>
      </c>
      <c r="F724" s="3" t="n">
        <v>0</v>
      </c>
      <c r="G724" s="3" t="n">
        <v>2</v>
      </c>
      <c r="H724" s="24" t="n">
        <v>0.167222053</v>
      </c>
    </row>
    <row r="725" customFormat="false" ht="15" hidden="false" customHeight="false" outlineLevel="0" collapsed="false">
      <c r="A725" s="3" t="n">
        <v>724</v>
      </c>
      <c r="B725" s="3" t="n">
        <v>723</v>
      </c>
      <c r="C725" s="3" t="s">
        <v>117</v>
      </c>
      <c r="D725" s="3" t="n">
        <v>9</v>
      </c>
      <c r="E725" s="3" t="n">
        <v>0</v>
      </c>
      <c r="F725" s="3" t="n">
        <v>1</v>
      </c>
      <c r="G725" s="3" t="n">
        <v>0</v>
      </c>
      <c r="H725" s="24" t="n">
        <v>-0.213543177</v>
      </c>
    </row>
    <row r="726" customFormat="false" ht="15" hidden="false" customHeight="false" outlineLevel="0" collapsed="false">
      <c r="A726" s="3" t="n">
        <v>725</v>
      </c>
      <c r="B726" s="3" t="n">
        <v>724</v>
      </c>
      <c r="C726" s="3" t="s">
        <v>117</v>
      </c>
      <c r="D726" s="3" t="n">
        <v>9</v>
      </c>
      <c r="E726" s="3" t="n">
        <v>0</v>
      </c>
      <c r="F726" s="3" t="n">
        <v>1</v>
      </c>
      <c r="G726" s="3" t="n">
        <v>1</v>
      </c>
      <c r="H726" s="24" t="n">
        <v>-0.131986097</v>
      </c>
    </row>
    <row r="727" customFormat="false" ht="15" hidden="false" customHeight="false" outlineLevel="0" collapsed="false">
      <c r="A727" s="3" t="n">
        <v>726</v>
      </c>
      <c r="B727" s="3" t="n">
        <v>725</v>
      </c>
      <c r="C727" s="3" t="s">
        <v>117</v>
      </c>
      <c r="D727" s="3" t="n">
        <v>9</v>
      </c>
      <c r="E727" s="3" t="n">
        <v>0</v>
      </c>
      <c r="F727" s="3" t="n">
        <v>1</v>
      </c>
      <c r="G727" s="3" t="n">
        <v>2</v>
      </c>
      <c r="H727" s="24" t="n">
        <v>0.0667170882</v>
      </c>
    </row>
    <row r="728" customFormat="false" ht="15" hidden="false" customHeight="false" outlineLevel="0" collapsed="false">
      <c r="A728" s="3" t="n">
        <v>727</v>
      </c>
      <c r="B728" s="3" t="n">
        <v>726</v>
      </c>
      <c r="C728" s="3" t="s">
        <v>117</v>
      </c>
      <c r="D728" s="3" t="n">
        <v>9</v>
      </c>
      <c r="E728" s="3" t="n">
        <v>0</v>
      </c>
      <c r="F728" s="3" t="n">
        <v>2</v>
      </c>
      <c r="G728" s="3" t="n">
        <v>0</v>
      </c>
      <c r="H728" s="24" t="n">
        <v>0.180097088</v>
      </c>
    </row>
    <row r="729" customFormat="false" ht="15" hidden="false" customHeight="false" outlineLevel="0" collapsed="false">
      <c r="A729" s="3" t="n">
        <v>728</v>
      </c>
      <c r="B729" s="3" t="n">
        <v>727</v>
      </c>
      <c r="C729" s="3" t="s">
        <v>117</v>
      </c>
      <c r="D729" s="3" t="n">
        <v>9</v>
      </c>
      <c r="E729" s="3" t="n">
        <v>0</v>
      </c>
      <c r="F729" s="3" t="n">
        <v>2</v>
      </c>
      <c r="G729" s="3" t="n">
        <v>1</v>
      </c>
      <c r="H729" s="24" t="n">
        <v>0.178720415</v>
      </c>
    </row>
    <row r="730" customFormat="false" ht="15" hidden="false" customHeight="false" outlineLevel="0" collapsed="false">
      <c r="A730" s="3" t="n">
        <v>729</v>
      </c>
      <c r="B730" s="3" t="n">
        <v>728</v>
      </c>
      <c r="C730" s="3" t="s">
        <v>117</v>
      </c>
      <c r="D730" s="3" t="n">
        <v>9</v>
      </c>
      <c r="E730" s="3" t="n">
        <v>0</v>
      </c>
      <c r="F730" s="3" t="n">
        <v>2</v>
      </c>
      <c r="G730" s="3" t="n">
        <v>2</v>
      </c>
      <c r="H730" s="24" t="n">
        <v>-0.177354425</v>
      </c>
    </row>
    <row r="731" customFormat="false" ht="15" hidden="false" customHeight="false" outlineLevel="0" collapsed="false">
      <c r="A731" s="3" t="n">
        <v>730</v>
      </c>
      <c r="B731" s="3" t="n">
        <v>729</v>
      </c>
      <c r="C731" s="3" t="s">
        <v>117</v>
      </c>
      <c r="D731" s="3" t="n">
        <v>9</v>
      </c>
      <c r="E731" s="3" t="n">
        <v>1</v>
      </c>
      <c r="F731" s="3" t="n">
        <v>0</v>
      </c>
      <c r="G731" s="3" t="n">
        <v>0</v>
      </c>
      <c r="H731" s="24" t="n">
        <v>-0.253615171</v>
      </c>
    </row>
    <row r="732" customFormat="false" ht="15" hidden="false" customHeight="false" outlineLevel="0" collapsed="false">
      <c r="A732" s="3" t="n">
        <v>731</v>
      </c>
      <c r="B732" s="3" t="n">
        <v>730</v>
      </c>
      <c r="C732" s="3" t="s">
        <v>117</v>
      </c>
      <c r="D732" s="3" t="n">
        <v>9</v>
      </c>
      <c r="E732" s="3" t="n">
        <v>1</v>
      </c>
      <c r="F732" s="3" t="n">
        <v>0</v>
      </c>
      <c r="G732" s="3" t="n">
        <v>1</v>
      </c>
      <c r="H732" s="24" t="n">
        <v>0.189122856</v>
      </c>
    </row>
    <row r="733" customFormat="false" ht="15" hidden="false" customHeight="false" outlineLevel="0" collapsed="false">
      <c r="A733" s="3" t="n">
        <v>732</v>
      </c>
      <c r="B733" s="3" t="n">
        <v>731</v>
      </c>
      <c r="C733" s="3" t="s">
        <v>117</v>
      </c>
      <c r="D733" s="3" t="n">
        <v>9</v>
      </c>
      <c r="E733" s="3" t="n">
        <v>1</v>
      </c>
      <c r="F733" s="3" t="n">
        <v>0</v>
      </c>
      <c r="G733" s="3" t="n">
        <v>2</v>
      </c>
      <c r="H733" s="24" t="n">
        <v>0.0873566121</v>
      </c>
    </row>
    <row r="734" customFormat="false" ht="15" hidden="false" customHeight="false" outlineLevel="0" collapsed="false">
      <c r="A734" s="3" t="n">
        <v>733</v>
      </c>
      <c r="B734" s="3" t="n">
        <v>732</v>
      </c>
      <c r="C734" s="3" t="s">
        <v>117</v>
      </c>
      <c r="D734" s="3" t="n">
        <v>9</v>
      </c>
      <c r="E734" s="3" t="n">
        <v>1</v>
      </c>
      <c r="F734" s="3" t="n">
        <v>1</v>
      </c>
      <c r="G734" s="3" t="n">
        <v>0</v>
      </c>
      <c r="H734" s="24" t="n">
        <v>0.234127477</v>
      </c>
    </row>
    <row r="735" customFormat="false" ht="15" hidden="false" customHeight="false" outlineLevel="0" collapsed="false">
      <c r="A735" s="3" t="n">
        <v>734</v>
      </c>
      <c r="B735" s="3" t="n">
        <v>733</v>
      </c>
      <c r="C735" s="3" t="s">
        <v>117</v>
      </c>
      <c r="D735" s="3" t="n">
        <v>9</v>
      </c>
      <c r="E735" s="3" t="n">
        <v>1</v>
      </c>
      <c r="F735" s="3" t="n">
        <v>1</v>
      </c>
      <c r="G735" s="3" t="n">
        <v>1</v>
      </c>
      <c r="H735" s="24" t="n">
        <v>0.197120428</v>
      </c>
    </row>
    <row r="736" customFormat="false" ht="15" hidden="false" customHeight="false" outlineLevel="0" collapsed="false">
      <c r="A736" s="3" t="n">
        <v>735</v>
      </c>
      <c r="B736" s="3" t="n">
        <v>734</v>
      </c>
      <c r="C736" s="3" t="s">
        <v>117</v>
      </c>
      <c r="D736" s="3" t="n">
        <v>9</v>
      </c>
      <c r="E736" s="3" t="n">
        <v>1</v>
      </c>
      <c r="F736" s="3" t="n">
        <v>1</v>
      </c>
      <c r="G736" s="3" t="n">
        <v>2</v>
      </c>
      <c r="H736" s="24" t="n">
        <v>0.0419911407</v>
      </c>
    </row>
    <row r="737" customFormat="false" ht="15" hidden="false" customHeight="false" outlineLevel="0" collapsed="false">
      <c r="A737" s="3" t="n">
        <v>736</v>
      </c>
      <c r="B737" s="3" t="n">
        <v>735</v>
      </c>
      <c r="C737" s="3" t="s">
        <v>117</v>
      </c>
      <c r="D737" s="3" t="n">
        <v>9</v>
      </c>
      <c r="E737" s="3" t="n">
        <v>1</v>
      </c>
      <c r="F737" s="3" t="n">
        <v>2</v>
      </c>
      <c r="G737" s="3" t="n">
        <v>0</v>
      </c>
      <c r="H737" s="24" t="n">
        <v>0.2836833</v>
      </c>
    </row>
    <row r="738" customFormat="false" ht="15" hidden="false" customHeight="false" outlineLevel="0" collapsed="false">
      <c r="A738" s="3" t="n">
        <v>737</v>
      </c>
      <c r="B738" s="3" t="n">
        <v>736</v>
      </c>
      <c r="C738" s="3" t="s">
        <v>117</v>
      </c>
      <c r="D738" s="3" t="n">
        <v>9</v>
      </c>
      <c r="E738" s="3" t="n">
        <v>1</v>
      </c>
      <c r="F738" s="3" t="n">
        <v>2</v>
      </c>
      <c r="G738" s="3" t="n">
        <v>1</v>
      </c>
      <c r="H738" s="24" t="n">
        <v>0.00489345146</v>
      </c>
    </row>
    <row r="739" customFormat="false" ht="15" hidden="false" customHeight="false" outlineLevel="0" collapsed="false">
      <c r="A739" s="3" t="n">
        <v>738</v>
      </c>
      <c r="B739" s="3" t="n">
        <v>737</v>
      </c>
      <c r="C739" s="3" t="s">
        <v>117</v>
      </c>
      <c r="D739" s="3" t="n">
        <v>9</v>
      </c>
      <c r="E739" s="3" t="n">
        <v>1</v>
      </c>
      <c r="F739" s="3" t="n">
        <v>2</v>
      </c>
      <c r="G739" s="3" t="n">
        <v>2</v>
      </c>
      <c r="H739" s="24" t="n">
        <v>-0.199252293</v>
      </c>
    </row>
    <row r="740" customFormat="false" ht="15" hidden="false" customHeight="false" outlineLevel="0" collapsed="false">
      <c r="A740" s="3" t="n">
        <v>739</v>
      </c>
      <c r="B740" s="3" t="n">
        <v>738</v>
      </c>
      <c r="C740" s="3" t="s">
        <v>117</v>
      </c>
      <c r="D740" s="3" t="n">
        <v>9</v>
      </c>
      <c r="E740" s="3" t="n">
        <v>2</v>
      </c>
      <c r="F740" s="3" t="n">
        <v>0</v>
      </c>
      <c r="G740" s="3" t="n">
        <v>0</v>
      </c>
      <c r="H740" s="24" t="n">
        <v>0.103149042</v>
      </c>
    </row>
    <row r="741" customFormat="false" ht="15" hidden="false" customHeight="false" outlineLevel="0" collapsed="false">
      <c r="A741" s="3" t="n">
        <v>740</v>
      </c>
      <c r="B741" s="3" t="n">
        <v>739</v>
      </c>
      <c r="C741" s="3" t="s">
        <v>117</v>
      </c>
      <c r="D741" s="3" t="n">
        <v>9</v>
      </c>
      <c r="E741" s="3" t="n">
        <v>2</v>
      </c>
      <c r="F741" s="3" t="n">
        <v>0</v>
      </c>
      <c r="G741" s="3" t="n">
        <v>1</v>
      </c>
      <c r="H741" s="24" t="n">
        <v>-0.0548921973</v>
      </c>
    </row>
    <row r="742" customFormat="false" ht="15" hidden="false" customHeight="false" outlineLevel="0" collapsed="false">
      <c r="A742" s="3" t="n">
        <v>741</v>
      </c>
      <c r="B742" s="3" t="n">
        <v>740</v>
      </c>
      <c r="C742" s="3" t="s">
        <v>117</v>
      </c>
      <c r="D742" s="3" t="n">
        <v>9</v>
      </c>
      <c r="E742" s="3" t="n">
        <v>2</v>
      </c>
      <c r="F742" s="3" t="n">
        <v>0</v>
      </c>
      <c r="G742" s="3" t="n">
        <v>2</v>
      </c>
      <c r="H742" s="24" t="n">
        <v>0.213155463</v>
      </c>
    </row>
    <row r="743" customFormat="false" ht="15" hidden="false" customHeight="false" outlineLevel="0" collapsed="false">
      <c r="A743" s="3" t="n">
        <v>742</v>
      </c>
      <c r="B743" s="3" t="n">
        <v>741</v>
      </c>
      <c r="C743" s="3" t="s">
        <v>117</v>
      </c>
      <c r="D743" s="3" t="n">
        <v>9</v>
      </c>
      <c r="E743" s="3" t="n">
        <v>2</v>
      </c>
      <c r="F743" s="3" t="n">
        <v>1</v>
      </c>
      <c r="G743" s="3" t="n">
        <v>0</v>
      </c>
      <c r="H743" s="24" t="n">
        <v>0.152919963</v>
      </c>
    </row>
    <row r="744" customFormat="false" ht="15" hidden="false" customHeight="false" outlineLevel="0" collapsed="false">
      <c r="A744" s="3" t="n">
        <v>743</v>
      </c>
      <c r="B744" s="3" t="n">
        <v>742</v>
      </c>
      <c r="C744" s="3" t="s">
        <v>117</v>
      </c>
      <c r="D744" s="3" t="n">
        <v>9</v>
      </c>
      <c r="E744" s="3" t="n">
        <v>2</v>
      </c>
      <c r="F744" s="3" t="n">
        <v>1</v>
      </c>
      <c r="G744" s="3" t="n">
        <v>1</v>
      </c>
      <c r="H744" s="24" t="n">
        <v>0.0343659036</v>
      </c>
    </row>
    <row r="745" customFormat="false" ht="15" hidden="false" customHeight="false" outlineLevel="0" collapsed="false">
      <c r="A745" s="3" t="n">
        <v>744</v>
      </c>
      <c r="B745" s="3" t="n">
        <v>743</v>
      </c>
      <c r="C745" s="3" t="s">
        <v>117</v>
      </c>
      <c r="D745" s="3" t="n">
        <v>9</v>
      </c>
      <c r="E745" s="3" t="n">
        <v>2</v>
      </c>
      <c r="F745" s="3" t="n">
        <v>1</v>
      </c>
      <c r="G745" s="3" t="n">
        <v>2</v>
      </c>
      <c r="H745" s="24" t="n">
        <v>0.00457155332</v>
      </c>
    </row>
    <row r="746" customFormat="false" ht="15" hidden="false" customHeight="false" outlineLevel="0" collapsed="false">
      <c r="A746" s="3" t="n">
        <v>745</v>
      </c>
      <c r="B746" s="3" t="n">
        <v>744</v>
      </c>
      <c r="C746" s="3" t="s">
        <v>117</v>
      </c>
      <c r="D746" s="3" t="n">
        <v>9</v>
      </c>
      <c r="E746" s="3" t="n">
        <v>2</v>
      </c>
      <c r="F746" s="3" t="n">
        <v>2</v>
      </c>
      <c r="G746" s="3" t="n">
        <v>0</v>
      </c>
      <c r="H746" s="24" t="n">
        <v>-0.0356899537</v>
      </c>
    </row>
    <row r="747" customFormat="false" ht="15" hidden="false" customHeight="false" outlineLevel="0" collapsed="false">
      <c r="A747" s="3" t="n">
        <v>746</v>
      </c>
      <c r="B747" s="3" t="n">
        <v>745</v>
      </c>
      <c r="C747" s="3" t="s">
        <v>117</v>
      </c>
      <c r="D747" s="3" t="n">
        <v>9</v>
      </c>
      <c r="E747" s="3" t="n">
        <v>2</v>
      </c>
      <c r="F747" s="3" t="n">
        <v>2</v>
      </c>
      <c r="G747" s="3" t="n">
        <v>1</v>
      </c>
      <c r="H747" s="24" t="n">
        <v>0.0723547339</v>
      </c>
    </row>
    <row r="748" customFormat="false" ht="15" hidden="false" customHeight="false" outlineLevel="0" collapsed="false">
      <c r="A748" s="3" t="n">
        <v>747</v>
      </c>
      <c r="B748" s="3" t="n">
        <v>746</v>
      </c>
      <c r="C748" s="3" t="s">
        <v>117</v>
      </c>
      <c r="D748" s="3" t="n">
        <v>9</v>
      </c>
      <c r="E748" s="3" t="n">
        <v>2</v>
      </c>
      <c r="F748" s="3" t="n">
        <v>2</v>
      </c>
      <c r="G748" s="3" t="n">
        <v>2</v>
      </c>
      <c r="H748" s="24" t="n">
        <v>0.0974395126</v>
      </c>
    </row>
    <row r="749" customFormat="false" ht="15" hidden="false" customHeight="false" outlineLevel="0" collapsed="false">
      <c r="A749" s="3" t="n">
        <v>748</v>
      </c>
      <c r="B749" s="3" t="n">
        <v>747</v>
      </c>
      <c r="C749" s="3" t="s">
        <v>117</v>
      </c>
      <c r="D749" s="3" t="n">
        <v>9</v>
      </c>
      <c r="E749" s="3" t="n">
        <v>3</v>
      </c>
      <c r="F749" s="3" t="n">
        <v>0</v>
      </c>
      <c r="G749" s="3" t="n">
        <v>0</v>
      </c>
      <c r="H749" s="24" t="n">
        <v>0.0733043179</v>
      </c>
    </row>
    <row r="750" customFormat="false" ht="15" hidden="false" customHeight="false" outlineLevel="0" collapsed="false">
      <c r="A750" s="3" t="n">
        <v>749</v>
      </c>
      <c r="B750" s="3" t="n">
        <v>748</v>
      </c>
      <c r="C750" s="3" t="s">
        <v>117</v>
      </c>
      <c r="D750" s="3" t="n">
        <v>9</v>
      </c>
      <c r="E750" s="3" t="n">
        <v>3</v>
      </c>
      <c r="F750" s="3" t="n">
        <v>0</v>
      </c>
      <c r="G750" s="3" t="n">
        <v>1</v>
      </c>
      <c r="H750" s="24" t="n">
        <v>-0.0611267351</v>
      </c>
    </row>
    <row r="751" customFormat="false" ht="15" hidden="false" customHeight="false" outlineLevel="0" collapsed="false">
      <c r="A751" s="3" t="n">
        <v>750</v>
      </c>
      <c r="B751" s="3" t="n">
        <v>749</v>
      </c>
      <c r="C751" s="3" t="s">
        <v>117</v>
      </c>
      <c r="D751" s="3" t="n">
        <v>9</v>
      </c>
      <c r="E751" s="3" t="n">
        <v>3</v>
      </c>
      <c r="F751" s="3" t="n">
        <v>0</v>
      </c>
      <c r="G751" s="3" t="n">
        <v>2</v>
      </c>
      <c r="H751" s="24" t="n">
        <v>-0.0908164829</v>
      </c>
    </row>
    <row r="752" customFormat="false" ht="15" hidden="false" customHeight="false" outlineLevel="0" collapsed="false">
      <c r="A752" s="3" t="n">
        <v>751</v>
      </c>
      <c r="B752" s="3" t="n">
        <v>750</v>
      </c>
      <c r="C752" s="3" t="s">
        <v>117</v>
      </c>
      <c r="D752" s="3" t="n">
        <v>9</v>
      </c>
      <c r="E752" s="3" t="n">
        <v>3</v>
      </c>
      <c r="F752" s="3" t="n">
        <v>1</v>
      </c>
      <c r="G752" s="3" t="n">
        <v>0</v>
      </c>
      <c r="H752" s="24" t="n">
        <v>0.200083286</v>
      </c>
    </row>
    <row r="753" customFormat="false" ht="15" hidden="false" customHeight="false" outlineLevel="0" collapsed="false">
      <c r="A753" s="3" t="n">
        <v>752</v>
      </c>
      <c r="B753" s="3" t="n">
        <v>751</v>
      </c>
      <c r="C753" s="3" t="s">
        <v>117</v>
      </c>
      <c r="D753" s="3" t="n">
        <v>9</v>
      </c>
      <c r="E753" s="3" t="n">
        <v>3</v>
      </c>
      <c r="F753" s="3" t="n">
        <v>1</v>
      </c>
      <c r="G753" s="3" t="n">
        <v>1</v>
      </c>
      <c r="H753" s="24" t="n">
        <v>0.0389685296</v>
      </c>
    </row>
    <row r="754" customFormat="false" ht="15" hidden="false" customHeight="false" outlineLevel="0" collapsed="false">
      <c r="A754" s="3" t="n">
        <v>753</v>
      </c>
      <c r="B754" s="3" t="n">
        <v>752</v>
      </c>
      <c r="C754" s="3" t="s">
        <v>117</v>
      </c>
      <c r="D754" s="3" t="n">
        <v>9</v>
      </c>
      <c r="E754" s="3" t="n">
        <v>3</v>
      </c>
      <c r="F754" s="3" t="n">
        <v>1</v>
      </c>
      <c r="G754" s="3" t="n">
        <v>2</v>
      </c>
      <c r="H754" s="24" t="n">
        <v>-0.230975583</v>
      </c>
    </row>
    <row r="755" customFormat="false" ht="15" hidden="false" customHeight="false" outlineLevel="0" collapsed="false">
      <c r="A755" s="3" t="n">
        <v>754</v>
      </c>
      <c r="B755" s="3" t="n">
        <v>753</v>
      </c>
      <c r="C755" s="3" t="s">
        <v>117</v>
      </c>
      <c r="D755" s="3" t="n">
        <v>9</v>
      </c>
      <c r="E755" s="3" t="n">
        <v>3</v>
      </c>
      <c r="F755" s="3" t="n">
        <v>2</v>
      </c>
      <c r="G755" s="3" t="n">
        <v>0</v>
      </c>
      <c r="H755" s="24" t="n">
        <v>0.115876026</v>
      </c>
    </row>
    <row r="756" customFormat="false" ht="15" hidden="false" customHeight="false" outlineLevel="0" collapsed="false">
      <c r="A756" s="3" t="n">
        <v>755</v>
      </c>
      <c r="B756" s="3" t="n">
        <v>754</v>
      </c>
      <c r="C756" s="3" t="s">
        <v>117</v>
      </c>
      <c r="D756" s="3" t="n">
        <v>9</v>
      </c>
      <c r="E756" s="3" t="n">
        <v>3</v>
      </c>
      <c r="F756" s="3" t="n">
        <v>2</v>
      </c>
      <c r="G756" s="3" t="n">
        <v>1</v>
      </c>
      <c r="H756" s="24" t="n">
        <v>-0.464372724</v>
      </c>
    </row>
    <row r="757" customFormat="false" ht="15" hidden="false" customHeight="false" outlineLevel="0" collapsed="false">
      <c r="A757" s="3" t="n">
        <v>756</v>
      </c>
      <c r="B757" s="3" t="n">
        <v>755</v>
      </c>
      <c r="C757" s="3" t="s">
        <v>117</v>
      </c>
      <c r="D757" s="3" t="n">
        <v>9</v>
      </c>
      <c r="E757" s="3" t="n">
        <v>3</v>
      </c>
      <c r="F757" s="3" t="n">
        <v>2</v>
      </c>
      <c r="G757" s="3" t="n">
        <v>2</v>
      </c>
      <c r="H757" s="24" t="n">
        <v>-0.369008213</v>
      </c>
    </row>
    <row r="758" customFormat="false" ht="15" hidden="false" customHeight="false" outlineLevel="0" collapsed="false">
      <c r="A758" s="3" t="n">
        <v>757</v>
      </c>
      <c r="B758" s="3" t="n">
        <v>756</v>
      </c>
      <c r="C758" s="3" t="s">
        <v>117</v>
      </c>
      <c r="D758" s="3" t="n">
        <v>9</v>
      </c>
      <c r="E758" s="3" t="n">
        <v>4</v>
      </c>
      <c r="F758" s="3" t="n">
        <v>0</v>
      </c>
      <c r="G758" s="3" t="n">
        <v>0</v>
      </c>
      <c r="H758" s="24" t="n">
        <v>-0.373583823</v>
      </c>
    </row>
    <row r="759" customFormat="false" ht="15" hidden="false" customHeight="false" outlineLevel="0" collapsed="false">
      <c r="A759" s="3" t="n">
        <v>758</v>
      </c>
      <c r="B759" s="3" t="n">
        <v>757</v>
      </c>
      <c r="C759" s="3" t="s">
        <v>117</v>
      </c>
      <c r="D759" s="3" t="n">
        <v>9</v>
      </c>
      <c r="E759" s="3" t="n">
        <v>4</v>
      </c>
      <c r="F759" s="3" t="n">
        <v>0</v>
      </c>
      <c r="G759" s="3" t="n">
        <v>1</v>
      </c>
      <c r="H759" s="24" t="n">
        <v>0.268276811</v>
      </c>
    </row>
    <row r="760" customFormat="false" ht="15" hidden="false" customHeight="false" outlineLevel="0" collapsed="false">
      <c r="A760" s="3" t="n">
        <v>759</v>
      </c>
      <c r="B760" s="3" t="n">
        <v>758</v>
      </c>
      <c r="C760" s="3" t="s">
        <v>117</v>
      </c>
      <c r="D760" s="3" t="n">
        <v>9</v>
      </c>
      <c r="E760" s="3" t="n">
        <v>4</v>
      </c>
      <c r="F760" s="3" t="n">
        <v>0</v>
      </c>
      <c r="G760" s="3" t="n">
        <v>2</v>
      </c>
      <c r="H760" s="24" t="n">
        <v>0.110310502</v>
      </c>
    </row>
    <row r="761" customFormat="false" ht="15" hidden="false" customHeight="false" outlineLevel="0" collapsed="false">
      <c r="A761" s="3" t="n">
        <v>760</v>
      </c>
      <c r="B761" s="3" t="n">
        <v>759</v>
      </c>
      <c r="C761" s="3" t="s">
        <v>117</v>
      </c>
      <c r="D761" s="3" t="n">
        <v>9</v>
      </c>
      <c r="E761" s="3" t="n">
        <v>4</v>
      </c>
      <c r="F761" s="3" t="n">
        <v>1</v>
      </c>
      <c r="G761" s="3" t="n">
        <v>0</v>
      </c>
      <c r="H761" s="24" t="n">
        <v>0.0860744864</v>
      </c>
    </row>
    <row r="762" customFormat="false" ht="15" hidden="false" customHeight="false" outlineLevel="0" collapsed="false">
      <c r="A762" s="3" t="n">
        <v>761</v>
      </c>
      <c r="B762" s="3" t="n">
        <v>760</v>
      </c>
      <c r="C762" s="3" t="s">
        <v>117</v>
      </c>
      <c r="D762" s="3" t="n">
        <v>9</v>
      </c>
      <c r="E762" s="3" t="n">
        <v>4</v>
      </c>
      <c r="F762" s="3" t="n">
        <v>1</v>
      </c>
      <c r="G762" s="3" t="n">
        <v>1</v>
      </c>
      <c r="H762" s="24" t="n">
        <v>0.0630866885</v>
      </c>
    </row>
    <row r="763" customFormat="false" ht="15" hidden="false" customHeight="false" outlineLevel="0" collapsed="false">
      <c r="A763" s="3" t="n">
        <v>762</v>
      </c>
      <c r="B763" s="3" t="n">
        <v>761</v>
      </c>
      <c r="C763" s="3" t="s">
        <v>117</v>
      </c>
      <c r="D763" s="3" t="n">
        <v>9</v>
      </c>
      <c r="E763" s="3" t="n">
        <v>4</v>
      </c>
      <c r="F763" s="3" t="n">
        <v>1</v>
      </c>
      <c r="G763" s="3" t="n">
        <v>2</v>
      </c>
      <c r="H763" s="24" t="n">
        <v>0.104754552</v>
      </c>
    </row>
    <row r="764" customFormat="false" ht="15" hidden="false" customHeight="false" outlineLevel="0" collapsed="false">
      <c r="A764" s="3" t="n">
        <v>763</v>
      </c>
      <c r="B764" s="3" t="n">
        <v>762</v>
      </c>
      <c r="C764" s="3" t="s">
        <v>117</v>
      </c>
      <c r="D764" s="3" t="n">
        <v>9</v>
      </c>
      <c r="E764" s="3" t="n">
        <v>4</v>
      </c>
      <c r="F764" s="3" t="n">
        <v>2</v>
      </c>
      <c r="G764" s="3" t="n">
        <v>0</v>
      </c>
      <c r="H764" s="24" t="n">
        <v>0.130856246</v>
      </c>
    </row>
    <row r="765" customFormat="false" ht="15" hidden="false" customHeight="false" outlineLevel="0" collapsed="false">
      <c r="A765" s="3" t="n">
        <v>764</v>
      </c>
      <c r="B765" s="3" t="n">
        <v>763</v>
      </c>
      <c r="C765" s="3" t="s">
        <v>117</v>
      </c>
      <c r="D765" s="3" t="n">
        <v>9</v>
      </c>
      <c r="E765" s="3" t="n">
        <v>4</v>
      </c>
      <c r="F765" s="3" t="n">
        <v>2</v>
      </c>
      <c r="G765" s="3" t="n">
        <v>1</v>
      </c>
      <c r="H765" s="24" t="n">
        <v>0.190270677</v>
      </c>
    </row>
    <row r="766" customFormat="false" ht="15" hidden="false" customHeight="false" outlineLevel="0" collapsed="false">
      <c r="A766" s="3" t="n">
        <v>765</v>
      </c>
      <c r="B766" s="3" t="n">
        <v>764</v>
      </c>
      <c r="C766" s="3" t="s">
        <v>117</v>
      </c>
      <c r="D766" s="3" t="n">
        <v>9</v>
      </c>
      <c r="E766" s="3" t="n">
        <v>4</v>
      </c>
      <c r="F766" s="3" t="n">
        <v>2</v>
      </c>
      <c r="G766" s="3" t="n">
        <v>2</v>
      </c>
      <c r="H766" s="24" t="n">
        <v>-0.0624085777</v>
      </c>
    </row>
    <row r="767" customFormat="false" ht="15" hidden="false" customHeight="false" outlineLevel="0" collapsed="false">
      <c r="A767" s="3" t="n">
        <v>766</v>
      </c>
      <c r="B767" s="3" t="n">
        <v>765</v>
      </c>
      <c r="C767" s="3" t="s">
        <v>117</v>
      </c>
      <c r="D767" s="3" t="n">
        <v>9</v>
      </c>
      <c r="E767" s="3" t="n">
        <v>5</v>
      </c>
      <c r="F767" s="3" t="n">
        <v>0</v>
      </c>
      <c r="G767" s="3" t="n">
        <v>0</v>
      </c>
      <c r="H767" s="24" t="n">
        <v>0.0758173764</v>
      </c>
    </row>
    <row r="768" customFormat="false" ht="15" hidden="false" customHeight="false" outlineLevel="0" collapsed="false">
      <c r="A768" s="3" t="n">
        <v>767</v>
      </c>
      <c r="B768" s="3" t="n">
        <v>766</v>
      </c>
      <c r="C768" s="3" t="s">
        <v>117</v>
      </c>
      <c r="D768" s="3" t="n">
        <v>9</v>
      </c>
      <c r="E768" s="3" t="n">
        <v>5</v>
      </c>
      <c r="F768" s="3" t="n">
        <v>0</v>
      </c>
      <c r="G768" s="3" t="n">
        <v>1</v>
      </c>
      <c r="H768" s="24" t="n">
        <v>0.148164853</v>
      </c>
    </row>
    <row r="769" customFormat="false" ht="15" hidden="false" customHeight="false" outlineLevel="0" collapsed="false">
      <c r="A769" s="3" t="n">
        <v>768</v>
      </c>
      <c r="B769" s="3" t="n">
        <v>767</v>
      </c>
      <c r="C769" s="3" t="s">
        <v>117</v>
      </c>
      <c r="D769" s="3" t="n">
        <v>9</v>
      </c>
      <c r="E769" s="3" t="n">
        <v>5</v>
      </c>
      <c r="F769" s="3" t="n">
        <v>0</v>
      </c>
      <c r="G769" s="3" t="n">
        <v>2</v>
      </c>
      <c r="H769" s="24" t="n">
        <v>-0.10857933</v>
      </c>
    </row>
    <row r="770" customFormat="false" ht="15" hidden="false" customHeight="false" outlineLevel="0" collapsed="false">
      <c r="A770" s="3" t="n">
        <v>769</v>
      </c>
      <c r="B770" s="3" t="n">
        <v>768</v>
      </c>
      <c r="C770" s="3" t="s">
        <v>117</v>
      </c>
      <c r="D770" s="3" t="n">
        <v>9</v>
      </c>
      <c r="E770" s="3" t="n">
        <v>5</v>
      </c>
      <c r="F770" s="3" t="n">
        <v>1</v>
      </c>
      <c r="G770" s="3" t="n">
        <v>0</v>
      </c>
      <c r="H770" s="24" t="n">
        <v>0.353880823</v>
      </c>
    </row>
    <row r="771" customFormat="false" ht="15" hidden="false" customHeight="false" outlineLevel="0" collapsed="false">
      <c r="A771" s="3" t="n">
        <v>770</v>
      </c>
      <c r="B771" s="3" t="n">
        <v>769</v>
      </c>
      <c r="C771" s="3" t="s">
        <v>117</v>
      </c>
      <c r="D771" s="3" t="n">
        <v>9</v>
      </c>
      <c r="E771" s="3" t="n">
        <v>5</v>
      </c>
      <c r="F771" s="3" t="n">
        <v>1</v>
      </c>
      <c r="G771" s="3" t="n">
        <v>1</v>
      </c>
      <c r="H771" s="24" t="n">
        <v>-0.028964458</v>
      </c>
    </row>
    <row r="772" customFormat="false" ht="15" hidden="false" customHeight="false" outlineLevel="0" collapsed="false">
      <c r="A772" s="3" t="n">
        <v>771</v>
      </c>
      <c r="B772" s="3" t="n">
        <v>770</v>
      </c>
      <c r="C772" s="3" t="s">
        <v>117</v>
      </c>
      <c r="D772" s="3" t="n">
        <v>9</v>
      </c>
      <c r="E772" s="3" t="n">
        <v>5</v>
      </c>
      <c r="F772" s="3" t="n">
        <v>1</v>
      </c>
      <c r="G772" s="3" t="n">
        <v>2</v>
      </c>
      <c r="H772" s="24" t="n">
        <v>0.0767345205</v>
      </c>
    </row>
    <row r="773" customFormat="false" ht="15" hidden="false" customHeight="false" outlineLevel="0" collapsed="false">
      <c r="A773" s="3" t="n">
        <v>772</v>
      </c>
      <c r="B773" s="3" t="n">
        <v>771</v>
      </c>
      <c r="C773" s="3" t="s">
        <v>117</v>
      </c>
      <c r="D773" s="3" t="n">
        <v>9</v>
      </c>
      <c r="E773" s="3" t="n">
        <v>5</v>
      </c>
      <c r="F773" s="3" t="n">
        <v>2</v>
      </c>
      <c r="G773" s="3" t="n">
        <v>0</v>
      </c>
      <c r="H773" s="24" t="n">
        <v>0.250034094</v>
      </c>
    </row>
    <row r="774" customFormat="false" ht="15" hidden="false" customHeight="false" outlineLevel="0" collapsed="false">
      <c r="A774" s="3" t="n">
        <v>773</v>
      </c>
      <c r="B774" s="3" t="n">
        <v>772</v>
      </c>
      <c r="C774" s="3" t="s">
        <v>117</v>
      </c>
      <c r="D774" s="3" t="n">
        <v>9</v>
      </c>
      <c r="E774" s="3" t="n">
        <v>5</v>
      </c>
      <c r="F774" s="3" t="n">
        <v>2</v>
      </c>
      <c r="G774" s="3" t="n">
        <v>1</v>
      </c>
      <c r="H774" s="24" t="n">
        <v>-0.0077683609</v>
      </c>
    </row>
    <row r="775" customFormat="false" ht="15" hidden="false" customHeight="false" outlineLevel="0" collapsed="false">
      <c r="A775" s="3" t="n">
        <v>774</v>
      </c>
      <c r="B775" s="3" t="n">
        <v>773</v>
      </c>
      <c r="C775" s="3" t="s">
        <v>117</v>
      </c>
      <c r="D775" s="3" t="n">
        <v>9</v>
      </c>
      <c r="E775" s="3" t="n">
        <v>5</v>
      </c>
      <c r="F775" s="3" t="n">
        <v>2</v>
      </c>
      <c r="G775" s="3" t="n">
        <v>2</v>
      </c>
      <c r="H775" s="24" t="n">
        <v>-0.133403122</v>
      </c>
    </row>
    <row r="776" customFormat="false" ht="15" hidden="false" customHeight="false" outlineLevel="0" collapsed="false">
      <c r="A776" s="3" t="n">
        <v>775</v>
      </c>
      <c r="B776" s="3" t="n">
        <v>774</v>
      </c>
      <c r="C776" s="3" t="s">
        <v>117</v>
      </c>
      <c r="D776" s="3" t="n">
        <v>9</v>
      </c>
      <c r="E776" s="3" t="n">
        <v>6</v>
      </c>
      <c r="F776" s="3" t="n">
        <v>0</v>
      </c>
      <c r="G776" s="3" t="n">
        <v>0</v>
      </c>
      <c r="H776" s="24" t="n">
        <v>0.0247247182</v>
      </c>
    </row>
    <row r="777" customFormat="false" ht="15" hidden="false" customHeight="false" outlineLevel="0" collapsed="false">
      <c r="A777" s="3" t="n">
        <v>776</v>
      </c>
      <c r="B777" s="3" t="n">
        <v>775</v>
      </c>
      <c r="C777" s="3" t="s">
        <v>117</v>
      </c>
      <c r="D777" s="3" t="n">
        <v>9</v>
      </c>
      <c r="E777" s="3" t="n">
        <v>6</v>
      </c>
      <c r="F777" s="3" t="n">
        <v>0</v>
      </c>
      <c r="G777" s="3" t="n">
        <v>1</v>
      </c>
      <c r="H777" s="24" t="n">
        <v>0.119342387</v>
      </c>
    </row>
    <row r="778" customFormat="false" ht="15" hidden="false" customHeight="false" outlineLevel="0" collapsed="false">
      <c r="A778" s="3" t="n">
        <v>777</v>
      </c>
      <c r="B778" s="3" t="n">
        <v>776</v>
      </c>
      <c r="C778" s="3" t="s">
        <v>117</v>
      </c>
      <c r="D778" s="3" t="n">
        <v>9</v>
      </c>
      <c r="E778" s="3" t="n">
        <v>6</v>
      </c>
      <c r="F778" s="3" t="n">
        <v>0</v>
      </c>
      <c r="G778" s="3" t="n">
        <v>2</v>
      </c>
      <c r="H778" s="24" t="n">
        <v>0.0779954419</v>
      </c>
    </row>
    <row r="779" customFormat="false" ht="15" hidden="false" customHeight="false" outlineLevel="0" collapsed="false">
      <c r="A779" s="3" t="n">
        <v>778</v>
      </c>
      <c r="B779" s="3" t="n">
        <v>777</v>
      </c>
      <c r="C779" s="3" t="s">
        <v>117</v>
      </c>
      <c r="D779" s="3" t="n">
        <v>9</v>
      </c>
      <c r="E779" s="3" t="n">
        <v>6</v>
      </c>
      <c r="F779" s="3" t="n">
        <v>1</v>
      </c>
      <c r="G779" s="3" t="n">
        <v>0</v>
      </c>
      <c r="H779" s="24" t="n">
        <v>-0.202019289</v>
      </c>
    </row>
    <row r="780" customFormat="false" ht="15" hidden="false" customHeight="false" outlineLevel="0" collapsed="false">
      <c r="A780" s="3" t="n">
        <v>779</v>
      </c>
      <c r="B780" s="3" t="n">
        <v>778</v>
      </c>
      <c r="C780" s="3" t="s">
        <v>117</v>
      </c>
      <c r="D780" s="3" t="n">
        <v>9</v>
      </c>
      <c r="E780" s="3" t="n">
        <v>6</v>
      </c>
      <c r="F780" s="3" t="n">
        <v>1</v>
      </c>
      <c r="G780" s="3" t="n">
        <v>1</v>
      </c>
      <c r="H780" s="24" t="n">
        <v>0.353132337</v>
      </c>
    </row>
    <row r="781" customFormat="false" ht="15" hidden="false" customHeight="false" outlineLevel="0" collapsed="false">
      <c r="A781" s="3" t="n">
        <v>780</v>
      </c>
      <c r="B781" s="3" t="n">
        <v>779</v>
      </c>
      <c r="C781" s="3" t="s">
        <v>117</v>
      </c>
      <c r="D781" s="3" t="n">
        <v>9</v>
      </c>
      <c r="E781" s="3" t="n">
        <v>6</v>
      </c>
      <c r="F781" s="3" t="n">
        <v>1</v>
      </c>
      <c r="G781" s="3" t="n">
        <v>2</v>
      </c>
      <c r="H781" s="24" t="n">
        <v>0.244892567</v>
      </c>
    </row>
    <row r="782" customFormat="false" ht="15" hidden="false" customHeight="false" outlineLevel="0" collapsed="false">
      <c r="A782" s="3" t="n">
        <v>781</v>
      </c>
      <c r="B782" s="3" t="n">
        <v>780</v>
      </c>
      <c r="C782" s="3" t="s">
        <v>117</v>
      </c>
      <c r="D782" s="3" t="n">
        <v>9</v>
      </c>
      <c r="E782" s="3" t="n">
        <v>6</v>
      </c>
      <c r="F782" s="3" t="n">
        <v>2</v>
      </c>
      <c r="G782" s="3" t="n">
        <v>0</v>
      </c>
      <c r="H782" s="24" t="n">
        <v>0.252299815</v>
      </c>
    </row>
    <row r="783" customFormat="false" ht="15" hidden="false" customHeight="false" outlineLevel="0" collapsed="false">
      <c r="A783" s="3" t="n">
        <v>782</v>
      </c>
      <c r="B783" s="3" t="n">
        <v>781</v>
      </c>
      <c r="C783" s="3" t="s">
        <v>117</v>
      </c>
      <c r="D783" s="3" t="n">
        <v>9</v>
      </c>
      <c r="E783" s="3" t="n">
        <v>6</v>
      </c>
      <c r="F783" s="3" t="n">
        <v>2</v>
      </c>
      <c r="G783" s="3" t="n">
        <v>1</v>
      </c>
      <c r="H783" s="24" t="n">
        <v>0.330522329</v>
      </c>
    </row>
    <row r="784" customFormat="false" ht="15" hidden="false" customHeight="false" outlineLevel="0" collapsed="false">
      <c r="A784" s="3" t="n">
        <v>783</v>
      </c>
      <c r="B784" s="3" t="n">
        <v>782</v>
      </c>
      <c r="C784" s="3" t="s">
        <v>117</v>
      </c>
      <c r="D784" s="3" t="n">
        <v>9</v>
      </c>
      <c r="E784" s="3" t="n">
        <v>6</v>
      </c>
      <c r="F784" s="3" t="n">
        <v>2</v>
      </c>
      <c r="G784" s="3" t="n">
        <v>2</v>
      </c>
      <c r="H784" s="24" t="n">
        <v>0.0464515798</v>
      </c>
    </row>
    <row r="785" customFormat="false" ht="15" hidden="false" customHeight="false" outlineLevel="0" collapsed="false">
      <c r="A785" s="3" t="n">
        <v>784</v>
      </c>
      <c r="B785" s="3" t="n">
        <v>783</v>
      </c>
      <c r="C785" s="3" t="s">
        <v>117</v>
      </c>
      <c r="D785" s="3" t="n">
        <v>9</v>
      </c>
      <c r="E785" s="3" t="n">
        <v>7</v>
      </c>
      <c r="F785" s="3" t="n">
        <v>0</v>
      </c>
      <c r="G785" s="3" t="n">
        <v>0</v>
      </c>
      <c r="H785" s="24" t="n">
        <v>-0.0727900863</v>
      </c>
    </row>
    <row r="786" customFormat="false" ht="15" hidden="false" customHeight="false" outlineLevel="0" collapsed="false">
      <c r="A786" s="3" t="n">
        <v>785</v>
      </c>
      <c r="B786" s="3" t="n">
        <v>784</v>
      </c>
      <c r="C786" s="3" t="s">
        <v>117</v>
      </c>
      <c r="D786" s="3" t="n">
        <v>9</v>
      </c>
      <c r="E786" s="3" t="n">
        <v>7</v>
      </c>
      <c r="F786" s="3" t="n">
        <v>0</v>
      </c>
      <c r="G786" s="3" t="n">
        <v>1</v>
      </c>
      <c r="H786" s="24" t="n">
        <v>0.0108493222</v>
      </c>
    </row>
    <row r="787" customFormat="false" ht="15" hidden="false" customHeight="false" outlineLevel="0" collapsed="false">
      <c r="A787" s="3" t="n">
        <v>786</v>
      </c>
      <c r="B787" s="3" t="n">
        <v>785</v>
      </c>
      <c r="C787" s="3" t="s">
        <v>117</v>
      </c>
      <c r="D787" s="3" t="n">
        <v>9</v>
      </c>
      <c r="E787" s="3" t="n">
        <v>7</v>
      </c>
      <c r="F787" s="3" t="n">
        <v>0</v>
      </c>
      <c r="G787" s="3" t="n">
        <v>2</v>
      </c>
      <c r="H787" s="24" t="n">
        <v>-0.0438787714</v>
      </c>
    </row>
    <row r="788" customFormat="false" ht="15" hidden="false" customHeight="false" outlineLevel="0" collapsed="false">
      <c r="A788" s="3" t="n">
        <v>787</v>
      </c>
      <c r="B788" s="3" t="n">
        <v>786</v>
      </c>
      <c r="C788" s="3" t="s">
        <v>117</v>
      </c>
      <c r="D788" s="3" t="n">
        <v>9</v>
      </c>
      <c r="E788" s="3" t="n">
        <v>7</v>
      </c>
      <c r="F788" s="3" t="n">
        <v>1</v>
      </c>
      <c r="G788" s="3" t="n">
        <v>0</v>
      </c>
      <c r="H788" s="24" t="n">
        <v>-0.119956054</v>
      </c>
    </row>
    <row r="789" customFormat="false" ht="15" hidden="false" customHeight="false" outlineLevel="0" collapsed="false">
      <c r="A789" s="3" t="n">
        <v>788</v>
      </c>
      <c r="B789" s="3" t="n">
        <v>787</v>
      </c>
      <c r="C789" s="3" t="s">
        <v>117</v>
      </c>
      <c r="D789" s="3" t="n">
        <v>9</v>
      </c>
      <c r="E789" s="3" t="n">
        <v>7</v>
      </c>
      <c r="F789" s="3" t="n">
        <v>1</v>
      </c>
      <c r="G789" s="3" t="n">
        <v>1</v>
      </c>
      <c r="H789" s="24" t="n">
        <v>-0.274324864</v>
      </c>
    </row>
    <row r="790" customFormat="false" ht="15" hidden="false" customHeight="false" outlineLevel="0" collapsed="false">
      <c r="A790" s="3" t="n">
        <v>789</v>
      </c>
      <c r="B790" s="3" t="n">
        <v>788</v>
      </c>
      <c r="C790" s="3" t="s">
        <v>117</v>
      </c>
      <c r="D790" s="3" t="n">
        <v>9</v>
      </c>
      <c r="E790" s="3" t="n">
        <v>7</v>
      </c>
      <c r="F790" s="3" t="n">
        <v>1</v>
      </c>
      <c r="G790" s="3" t="n">
        <v>2</v>
      </c>
      <c r="H790" s="24" t="n">
        <v>-0.0856873617</v>
      </c>
    </row>
    <row r="791" customFormat="false" ht="15" hidden="false" customHeight="false" outlineLevel="0" collapsed="false">
      <c r="A791" s="3" t="n">
        <v>790</v>
      </c>
      <c r="B791" s="3" t="n">
        <v>789</v>
      </c>
      <c r="C791" s="3" t="s">
        <v>117</v>
      </c>
      <c r="D791" s="3" t="n">
        <v>9</v>
      </c>
      <c r="E791" s="3" t="n">
        <v>7</v>
      </c>
      <c r="F791" s="3" t="n">
        <v>2</v>
      </c>
      <c r="G791" s="3" t="n">
        <v>0</v>
      </c>
      <c r="H791" s="24" t="n">
        <v>-0.156622171</v>
      </c>
    </row>
    <row r="792" customFormat="false" ht="15" hidden="false" customHeight="false" outlineLevel="0" collapsed="false">
      <c r="A792" s="3" t="n">
        <v>791</v>
      </c>
      <c r="B792" s="3" t="n">
        <v>790</v>
      </c>
      <c r="C792" s="3" t="s">
        <v>117</v>
      </c>
      <c r="D792" s="3" t="n">
        <v>9</v>
      </c>
      <c r="E792" s="3" t="n">
        <v>7</v>
      </c>
      <c r="F792" s="3" t="n">
        <v>2</v>
      </c>
      <c r="G792" s="3" t="n">
        <v>1</v>
      </c>
      <c r="H792" s="24" t="n">
        <v>-0.00877615996</v>
      </c>
    </row>
    <row r="793" customFormat="false" ht="15" hidden="false" customHeight="false" outlineLevel="0" collapsed="false">
      <c r="A793" s="3" t="n">
        <v>792</v>
      </c>
      <c r="B793" s="3" t="n">
        <v>791</v>
      </c>
      <c r="C793" s="3" t="s">
        <v>117</v>
      </c>
      <c r="D793" s="3" t="n">
        <v>9</v>
      </c>
      <c r="E793" s="3" t="n">
        <v>7</v>
      </c>
      <c r="F793" s="3" t="n">
        <v>2</v>
      </c>
      <c r="G793" s="3" t="n">
        <v>2</v>
      </c>
      <c r="H793" s="24" t="n">
        <v>0.286249548</v>
      </c>
    </row>
    <row r="794" customFormat="false" ht="15" hidden="false" customHeight="false" outlineLevel="0" collapsed="false">
      <c r="A794" s="3" t="n">
        <v>793</v>
      </c>
      <c r="B794" s="3" t="n">
        <v>792</v>
      </c>
      <c r="C794" s="3" t="s">
        <v>117</v>
      </c>
      <c r="D794" s="3" t="n">
        <v>10</v>
      </c>
      <c r="E794" s="3" t="n">
        <v>0</v>
      </c>
      <c r="F794" s="3" t="n">
        <v>0</v>
      </c>
      <c r="G794" s="3" t="n">
        <v>0</v>
      </c>
      <c r="H794" s="24" t="n">
        <v>0.000686398707</v>
      </c>
    </row>
    <row r="795" customFormat="false" ht="15" hidden="false" customHeight="false" outlineLevel="0" collapsed="false">
      <c r="A795" s="3" t="n">
        <v>794</v>
      </c>
      <c r="B795" s="3" t="n">
        <v>793</v>
      </c>
      <c r="C795" s="3" t="s">
        <v>117</v>
      </c>
      <c r="D795" s="3" t="n">
        <v>10</v>
      </c>
      <c r="E795" s="3" t="n">
        <v>0</v>
      </c>
      <c r="F795" s="3" t="n">
        <v>0</v>
      </c>
      <c r="G795" s="3" t="n">
        <v>1</v>
      </c>
      <c r="H795" s="24" t="n">
        <v>0.11046239</v>
      </c>
    </row>
    <row r="796" customFormat="false" ht="15" hidden="false" customHeight="false" outlineLevel="0" collapsed="false">
      <c r="A796" s="3" t="n">
        <v>795</v>
      </c>
      <c r="B796" s="3" t="n">
        <v>794</v>
      </c>
      <c r="C796" s="3" t="s">
        <v>117</v>
      </c>
      <c r="D796" s="3" t="n">
        <v>10</v>
      </c>
      <c r="E796" s="3" t="n">
        <v>0</v>
      </c>
      <c r="F796" s="3" t="n">
        <v>0</v>
      </c>
      <c r="G796" s="3" t="n">
        <v>2</v>
      </c>
      <c r="H796" s="24" t="n">
        <v>-0.125205815</v>
      </c>
    </row>
    <row r="797" customFormat="false" ht="15" hidden="false" customHeight="false" outlineLevel="0" collapsed="false">
      <c r="A797" s="3" t="n">
        <v>796</v>
      </c>
      <c r="B797" s="3" t="n">
        <v>795</v>
      </c>
      <c r="C797" s="3" t="s">
        <v>117</v>
      </c>
      <c r="D797" s="3" t="n">
        <v>10</v>
      </c>
      <c r="E797" s="3" t="n">
        <v>0</v>
      </c>
      <c r="F797" s="3" t="n">
        <v>1</v>
      </c>
      <c r="G797" s="3" t="n">
        <v>0</v>
      </c>
      <c r="H797" s="24" t="n">
        <v>-0.125614256</v>
      </c>
    </row>
    <row r="798" customFormat="false" ht="15" hidden="false" customHeight="false" outlineLevel="0" collapsed="false">
      <c r="A798" s="3" t="n">
        <v>797</v>
      </c>
      <c r="B798" s="3" t="n">
        <v>796</v>
      </c>
      <c r="C798" s="3" t="s">
        <v>117</v>
      </c>
      <c r="D798" s="3" t="n">
        <v>10</v>
      </c>
      <c r="E798" s="3" t="n">
        <v>0</v>
      </c>
      <c r="F798" s="3" t="n">
        <v>1</v>
      </c>
      <c r="G798" s="3" t="n">
        <v>1</v>
      </c>
      <c r="H798" s="24" t="n">
        <v>0.0590787791</v>
      </c>
    </row>
    <row r="799" customFormat="false" ht="15" hidden="false" customHeight="false" outlineLevel="0" collapsed="false">
      <c r="A799" s="3" t="n">
        <v>798</v>
      </c>
      <c r="B799" s="3" t="n">
        <v>797</v>
      </c>
      <c r="C799" s="3" t="s">
        <v>117</v>
      </c>
      <c r="D799" s="3" t="n">
        <v>10</v>
      </c>
      <c r="E799" s="3" t="n">
        <v>0</v>
      </c>
      <c r="F799" s="3" t="n">
        <v>1</v>
      </c>
      <c r="G799" s="3" t="n">
        <v>2</v>
      </c>
      <c r="H799" s="24" t="n">
        <v>-0.00810200535</v>
      </c>
    </row>
    <row r="800" customFormat="false" ht="15" hidden="false" customHeight="false" outlineLevel="0" collapsed="false">
      <c r="A800" s="3" t="n">
        <v>799</v>
      </c>
      <c r="B800" s="3" t="n">
        <v>798</v>
      </c>
      <c r="C800" s="3" t="s">
        <v>117</v>
      </c>
      <c r="D800" s="3" t="n">
        <v>10</v>
      </c>
      <c r="E800" s="3" t="n">
        <v>0</v>
      </c>
      <c r="F800" s="3" t="n">
        <v>2</v>
      </c>
      <c r="G800" s="3" t="n">
        <v>0</v>
      </c>
      <c r="H800" s="24" t="n">
        <v>-0.0334306434</v>
      </c>
    </row>
    <row r="801" customFormat="false" ht="15" hidden="false" customHeight="false" outlineLevel="0" collapsed="false">
      <c r="A801" s="3" t="n">
        <v>800</v>
      </c>
      <c r="B801" s="3" t="n">
        <v>799</v>
      </c>
      <c r="C801" s="3" t="s">
        <v>117</v>
      </c>
      <c r="D801" s="3" t="n">
        <v>10</v>
      </c>
      <c r="E801" s="3" t="n">
        <v>0</v>
      </c>
      <c r="F801" s="3" t="n">
        <v>2</v>
      </c>
      <c r="G801" s="3" t="n">
        <v>1</v>
      </c>
      <c r="H801" s="24" t="n">
        <v>0.173860788</v>
      </c>
    </row>
    <row r="802" customFormat="false" ht="15" hidden="false" customHeight="false" outlineLevel="0" collapsed="false">
      <c r="A802" s="3" t="n">
        <v>801</v>
      </c>
      <c r="B802" s="3" t="n">
        <v>800</v>
      </c>
      <c r="C802" s="3" t="s">
        <v>117</v>
      </c>
      <c r="D802" s="3" t="n">
        <v>10</v>
      </c>
      <c r="E802" s="3" t="n">
        <v>0</v>
      </c>
      <c r="F802" s="3" t="n">
        <v>2</v>
      </c>
      <c r="G802" s="3" t="n">
        <v>2</v>
      </c>
      <c r="H802" s="24" t="n">
        <v>0.189854547</v>
      </c>
    </row>
    <row r="803" customFormat="false" ht="15" hidden="false" customHeight="false" outlineLevel="0" collapsed="false">
      <c r="A803" s="3" t="n">
        <v>802</v>
      </c>
      <c r="B803" s="3" t="n">
        <v>801</v>
      </c>
      <c r="C803" s="3" t="s">
        <v>117</v>
      </c>
      <c r="D803" s="3" t="n">
        <v>10</v>
      </c>
      <c r="E803" s="3" t="n">
        <v>1</v>
      </c>
      <c r="F803" s="3" t="n">
        <v>0</v>
      </c>
      <c r="G803" s="3" t="n">
        <v>0</v>
      </c>
      <c r="H803" s="24" t="n">
        <v>-0.124073237</v>
      </c>
    </row>
    <row r="804" customFormat="false" ht="15" hidden="false" customHeight="false" outlineLevel="0" collapsed="false">
      <c r="A804" s="3" t="n">
        <v>803</v>
      </c>
      <c r="B804" s="3" t="n">
        <v>802</v>
      </c>
      <c r="C804" s="3" t="s">
        <v>117</v>
      </c>
      <c r="D804" s="3" t="n">
        <v>10</v>
      </c>
      <c r="E804" s="3" t="n">
        <v>1</v>
      </c>
      <c r="F804" s="3" t="n">
        <v>0</v>
      </c>
      <c r="G804" s="3" t="n">
        <v>1</v>
      </c>
      <c r="H804" s="24" t="n">
        <v>0.0113026984</v>
      </c>
    </row>
    <row r="805" customFormat="false" ht="15" hidden="false" customHeight="false" outlineLevel="0" collapsed="false">
      <c r="A805" s="3" t="n">
        <v>804</v>
      </c>
      <c r="B805" s="3" t="n">
        <v>803</v>
      </c>
      <c r="C805" s="3" t="s">
        <v>117</v>
      </c>
      <c r="D805" s="3" t="n">
        <v>10</v>
      </c>
      <c r="E805" s="3" t="n">
        <v>1</v>
      </c>
      <c r="F805" s="3" t="n">
        <v>0</v>
      </c>
      <c r="G805" s="3" t="n">
        <v>2</v>
      </c>
      <c r="H805" s="24" t="n">
        <v>-0.0152101405</v>
      </c>
    </row>
    <row r="806" customFormat="false" ht="15" hidden="false" customHeight="false" outlineLevel="0" collapsed="false">
      <c r="A806" s="3" t="n">
        <v>805</v>
      </c>
      <c r="B806" s="3" t="n">
        <v>804</v>
      </c>
      <c r="C806" s="3" t="s">
        <v>117</v>
      </c>
      <c r="D806" s="3" t="n">
        <v>10</v>
      </c>
      <c r="E806" s="3" t="n">
        <v>1</v>
      </c>
      <c r="F806" s="3" t="n">
        <v>1</v>
      </c>
      <c r="G806" s="3" t="n">
        <v>0</v>
      </c>
      <c r="H806" s="24" t="n">
        <v>0.0731279328</v>
      </c>
    </row>
    <row r="807" customFormat="false" ht="15" hidden="false" customHeight="false" outlineLevel="0" collapsed="false">
      <c r="A807" s="3" t="n">
        <v>806</v>
      </c>
      <c r="B807" s="3" t="n">
        <v>805</v>
      </c>
      <c r="C807" s="3" t="s">
        <v>117</v>
      </c>
      <c r="D807" s="3" t="n">
        <v>10</v>
      </c>
      <c r="E807" s="3" t="n">
        <v>1</v>
      </c>
      <c r="F807" s="3" t="n">
        <v>1</v>
      </c>
      <c r="G807" s="3" t="n">
        <v>1</v>
      </c>
      <c r="H807" s="24" t="n">
        <v>0.0558096878</v>
      </c>
    </row>
    <row r="808" customFormat="false" ht="15" hidden="false" customHeight="false" outlineLevel="0" collapsed="false">
      <c r="A808" s="3" t="n">
        <v>807</v>
      </c>
      <c r="B808" s="3" t="n">
        <v>806</v>
      </c>
      <c r="C808" s="3" t="s">
        <v>117</v>
      </c>
      <c r="D808" s="3" t="n">
        <v>10</v>
      </c>
      <c r="E808" s="3" t="n">
        <v>1</v>
      </c>
      <c r="F808" s="3" t="n">
        <v>1</v>
      </c>
      <c r="G808" s="3" t="n">
        <v>2</v>
      </c>
      <c r="H808" s="24" t="n">
        <v>0.0265763476</v>
      </c>
    </row>
    <row r="809" customFormat="false" ht="15" hidden="false" customHeight="false" outlineLevel="0" collapsed="false">
      <c r="A809" s="3" t="n">
        <v>808</v>
      </c>
      <c r="B809" s="3" t="n">
        <v>807</v>
      </c>
      <c r="C809" s="3" t="s">
        <v>117</v>
      </c>
      <c r="D809" s="3" t="n">
        <v>10</v>
      </c>
      <c r="E809" s="3" t="n">
        <v>1</v>
      </c>
      <c r="F809" s="3" t="n">
        <v>2</v>
      </c>
      <c r="G809" s="3" t="n">
        <v>0</v>
      </c>
      <c r="H809" s="24" t="n">
        <v>-0.0654926896</v>
      </c>
    </row>
    <row r="810" customFormat="false" ht="15" hidden="false" customHeight="false" outlineLevel="0" collapsed="false">
      <c r="A810" s="3" t="n">
        <v>809</v>
      </c>
      <c r="B810" s="3" t="n">
        <v>808</v>
      </c>
      <c r="C810" s="3" t="s">
        <v>117</v>
      </c>
      <c r="D810" s="3" t="n">
        <v>10</v>
      </c>
      <c r="E810" s="3" t="n">
        <v>1</v>
      </c>
      <c r="F810" s="3" t="n">
        <v>2</v>
      </c>
      <c r="G810" s="3" t="n">
        <v>1</v>
      </c>
      <c r="H810" s="24" t="n">
        <v>0.0251691286</v>
      </c>
    </row>
    <row r="811" customFormat="false" ht="15" hidden="false" customHeight="false" outlineLevel="0" collapsed="false">
      <c r="A811" s="3" t="n">
        <v>810</v>
      </c>
      <c r="B811" s="3" t="n">
        <v>809</v>
      </c>
      <c r="C811" s="3" t="s">
        <v>117</v>
      </c>
      <c r="D811" s="3" t="n">
        <v>10</v>
      </c>
      <c r="E811" s="3" t="n">
        <v>1</v>
      </c>
      <c r="F811" s="3" t="n">
        <v>2</v>
      </c>
      <c r="G811" s="3" t="n">
        <v>2</v>
      </c>
      <c r="H811" s="24" t="n">
        <v>0.023269834</v>
      </c>
    </row>
    <row r="812" customFormat="false" ht="15" hidden="false" customHeight="false" outlineLevel="0" collapsed="false">
      <c r="A812" s="3" t="n">
        <v>811</v>
      </c>
      <c r="B812" s="3" t="n">
        <v>810</v>
      </c>
      <c r="C812" s="3" t="s">
        <v>117</v>
      </c>
      <c r="D812" s="3" t="n">
        <v>10</v>
      </c>
      <c r="E812" s="3" t="n">
        <v>2</v>
      </c>
      <c r="F812" s="3" t="n">
        <v>0</v>
      </c>
      <c r="G812" s="3" t="n">
        <v>0</v>
      </c>
      <c r="H812" s="24" t="n">
        <v>0.0477820598</v>
      </c>
    </row>
    <row r="813" customFormat="false" ht="15" hidden="false" customHeight="false" outlineLevel="0" collapsed="false">
      <c r="A813" s="3" t="n">
        <v>812</v>
      </c>
      <c r="B813" s="3" t="n">
        <v>811</v>
      </c>
      <c r="C813" s="3" t="s">
        <v>117</v>
      </c>
      <c r="D813" s="3" t="n">
        <v>10</v>
      </c>
      <c r="E813" s="3" t="n">
        <v>2</v>
      </c>
      <c r="F813" s="3" t="n">
        <v>0</v>
      </c>
      <c r="G813" s="3" t="n">
        <v>1</v>
      </c>
      <c r="H813" s="24" t="n">
        <v>0.0791580155</v>
      </c>
    </row>
    <row r="814" customFormat="false" ht="15" hidden="false" customHeight="false" outlineLevel="0" collapsed="false">
      <c r="A814" s="3" t="n">
        <v>813</v>
      </c>
      <c r="B814" s="3" t="n">
        <v>812</v>
      </c>
      <c r="C814" s="3" t="s">
        <v>117</v>
      </c>
      <c r="D814" s="3" t="n">
        <v>10</v>
      </c>
      <c r="E814" s="3" t="n">
        <v>2</v>
      </c>
      <c r="F814" s="3" t="n">
        <v>0</v>
      </c>
      <c r="G814" s="3" t="n">
        <v>2</v>
      </c>
      <c r="H814" s="24" t="n">
        <v>0.265492797</v>
      </c>
    </row>
    <row r="815" customFormat="false" ht="15" hidden="false" customHeight="false" outlineLevel="0" collapsed="false">
      <c r="A815" s="3" t="n">
        <v>814</v>
      </c>
      <c r="B815" s="3" t="n">
        <v>813</v>
      </c>
      <c r="C815" s="3" t="s">
        <v>117</v>
      </c>
      <c r="D815" s="3" t="n">
        <v>10</v>
      </c>
      <c r="E815" s="3" t="n">
        <v>2</v>
      </c>
      <c r="F815" s="3" t="n">
        <v>1</v>
      </c>
      <c r="G815" s="3" t="n">
        <v>0</v>
      </c>
      <c r="H815" s="24" t="n">
        <v>0.0975784659</v>
      </c>
    </row>
    <row r="816" customFormat="false" ht="15" hidden="false" customHeight="false" outlineLevel="0" collapsed="false">
      <c r="A816" s="3" t="n">
        <v>815</v>
      </c>
      <c r="B816" s="3" t="n">
        <v>814</v>
      </c>
      <c r="C816" s="3" t="s">
        <v>117</v>
      </c>
      <c r="D816" s="3" t="n">
        <v>10</v>
      </c>
      <c r="E816" s="3" t="n">
        <v>2</v>
      </c>
      <c r="F816" s="3" t="n">
        <v>1</v>
      </c>
      <c r="G816" s="3" t="n">
        <v>1</v>
      </c>
      <c r="H816" s="24" t="n">
        <v>0.089787975</v>
      </c>
    </row>
    <row r="817" customFormat="false" ht="15" hidden="false" customHeight="false" outlineLevel="0" collapsed="false">
      <c r="A817" s="3" t="n">
        <v>816</v>
      </c>
      <c r="B817" s="3" t="n">
        <v>815</v>
      </c>
      <c r="C817" s="3" t="s">
        <v>117</v>
      </c>
      <c r="D817" s="3" t="n">
        <v>10</v>
      </c>
      <c r="E817" s="3" t="n">
        <v>2</v>
      </c>
      <c r="F817" s="3" t="n">
        <v>1</v>
      </c>
      <c r="G817" s="3" t="n">
        <v>2</v>
      </c>
      <c r="H817" s="24" t="n">
        <v>0.112293497</v>
      </c>
    </row>
    <row r="818" customFormat="false" ht="15" hidden="false" customHeight="false" outlineLevel="0" collapsed="false">
      <c r="A818" s="3" t="n">
        <v>817</v>
      </c>
      <c r="B818" s="3" t="n">
        <v>816</v>
      </c>
      <c r="C818" s="3" t="s">
        <v>117</v>
      </c>
      <c r="D818" s="3" t="n">
        <v>10</v>
      </c>
      <c r="E818" s="3" t="n">
        <v>2</v>
      </c>
      <c r="F818" s="3" t="n">
        <v>2</v>
      </c>
      <c r="G818" s="3" t="n">
        <v>0</v>
      </c>
      <c r="H818" s="24" t="n">
        <v>-0.41121769</v>
      </c>
    </row>
    <row r="819" customFormat="false" ht="15" hidden="false" customHeight="false" outlineLevel="0" collapsed="false">
      <c r="A819" s="3" t="n">
        <v>818</v>
      </c>
      <c r="B819" s="3" t="n">
        <v>817</v>
      </c>
      <c r="C819" s="3" t="s">
        <v>117</v>
      </c>
      <c r="D819" s="3" t="n">
        <v>10</v>
      </c>
      <c r="E819" s="3" t="n">
        <v>2</v>
      </c>
      <c r="F819" s="3" t="n">
        <v>2</v>
      </c>
      <c r="G819" s="3" t="n">
        <v>1</v>
      </c>
      <c r="H819" s="24" t="n">
        <v>-0.05961366</v>
      </c>
    </row>
    <row r="820" customFormat="false" ht="15" hidden="false" customHeight="false" outlineLevel="0" collapsed="false">
      <c r="A820" s="3" t="n">
        <v>819</v>
      </c>
      <c r="B820" s="3" t="n">
        <v>818</v>
      </c>
      <c r="C820" s="3" t="s">
        <v>117</v>
      </c>
      <c r="D820" s="3" t="n">
        <v>10</v>
      </c>
      <c r="E820" s="3" t="n">
        <v>2</v>
      </c>
      <c r="F820" s="3" t="n">
        <v>2</v>
      </c>
      <c r="G820" s="3" t="n">
        <v>2</v>
      </c>
      <c r="H820" s="24" t="n">
        <v>0.153572664</v>
      </c>
    </row>
    <row r="821" customFormat="false" ht="15" hidden="false" customHeight="false" outlineLevel="0" collapsed="false">
      <c r="A821" s="3" t="n">
        <v>820</v>
      </c>
      <c r="B821" s="3" t="n">
        <v>819</v>
      </c>
      <c r="C821" s="3" t="s">
        <v>117</v>
      </c>
      <c r="D821" s="3" t="n">
        <v>10</v>
      </c>
      <c r="E821" s="3" t="n">
        <v>3</v>
      </c>
      <c r="F821" s="3" t="n">
        <v>0</v>
      </c>
      <c r="G821" s="3" t="n">
        <v>0</v>
      </c>
      <c r="H821" s="24" t="n">
        <v>-0.427332491</v>
      </c>
    </row>
    <row r="822" customFormat="false" ht="15" hidden="false" customHeight="false" outlineLevel="0" collapsed="false">
      <c r="A822" s="3" t="n">
        <v>821</v>
      </c>
      <c r="B822" s="3" t="n">
        <v>820</v>
      </c>
      <c r="C822" s="3" t="s">
        <v>117</v>
      </c>
      <c r="D822" s="3" t="n">
        <v>10</v>
      </c>
      <c r="E822" s="3" t="n">
        <v>3</v>
      </c>
      <c r="F822" s="3" t="n">
        <v>0</v>
      </c>
      <c r="G822" s="3" t="n">
        <v>1</v>
      </c>
      <c r="H822" s="24" t="n">
        <v>-0.0227138735</v>
      </c>
    </row>
    <row r="823" customFormat="false" ht="15" hidden="false" customHeight="false" outlineLevel="0" collapsed="false">
      <c r="A823" s="3" t="n">
        <v>822</v>
      </c>
      <c r="B823" s="3" t="n">
        <v>821</v>
      </c>
      <c r="C823" s="3" t="s">
        <v>117</v>
      </c>
      <c r="D823" s="3" t="n">
        <v>10</v>
      </c>
      <c r="E823" s="3" t="n">
        <v>3</v>
      </c>
      <c r="F823" s="3" t="n">
        <v>0</v>
      </c>
      <c r="G823" s="3" t="n">
        <v>2</v>
      </c>
      <c r="H823" s="24" t="n">
        <v>-0.0807434991</v>
      </c>
    </row>
    <row r="824" customFormat="false" ht="15" hidden="false" customHeight="false" outlineLevel="0" collapsed="false">
      <c r="A824" s="3" t="n">
        <v>823</v>
      </c>
      <c r="B824" s="3" t="n">
        <v>822</v>
      </c>
      <c r="C824" s="3" t="s">
        <v>117</v>
      </c>
      <c r="D824" s="3" t="n">
        <v>10</v>
      </c>
      <c r="E824" s="3" t="n">
        <v>3</v>
      </c>
      <c r="F824" s="3" t="n">
        <v>1</v>
      </c>
      <c r="G824" s="3" t="n">
        <v>0</v>
      </c>
      <c r="H824" s="24" t="n">
        <v>0.0527722761</v>
      </c>
    </row>
    <row r="825" customFormat="false" ht="15" hidden="false" customHeight="false" outlineLevel="0" collapsed="false">
      <c r="A825" s="3" t="n">
        <v>824</v>
      </c>
      <c r="B825" s="3" t="n">
        <v>823</v>
      </c>
      <c r="C825" s="3" t="s">
        <v>117</v>
      </c>
      <c r="D825" s="3" t="n">
        <v>10</v>
      </c>
      <c r="E825" s="3" t="n">
        <v>3</v>
      </c>
      <c r="F825" s="3" t="n">
        <v>1</v>
      </c>
      <c r="G825" s="3" t="n">
        <v>1</v>
      </c>
      <c r="H825" s="24" t="n">
        <v>-0.252698869</v>
      </c>
    </row>
    <row r="826" customFormat="false" ht="15" hidden="false" customHeight="false" outlineLevel="0" collapsed="false">
      <c r="A826" s="3" t="n">
        <v>825</v>
      </c>
      <c r="B826" s="3" t="n">
        <v>824</v>
      </c>
      <c r="C826" s="3" t="s">
        <v>117</v>
      </c>
      <c r="D826" s="3" t="n">
        <v>10</v>
      </c>
      <c r="E826" s="3" t="n">
        <v>3</v>
      </c>
      <c r="F826" s="3" t="n">
        <v>1</v>
      </c>
      <c r="G826" s="3" t="n">
        <v>2</v>
      </c>
      <c r="H826" s="24" t="n">
        <v>-0.0656351969</v>
      </c>
    </row>
    <row r="827" customFormat="false" ht="15" hidden="false" customHeight="false" outlineLevel="0" collapsed="false">
      <c r="A827" s="3" t="n">
        <v>826</v>
      </c>
      <c r="B827" s="3" t="n">
        <v>825</v>
      </c>
      <c r="C827" s="3" t="s">
        <v>117</v>
      </c>
      <c r="D827" s="3" t="n">
        <v>10</v>
      </c>
      <c r="E827" s="3" t="n">
        <v>3</v>
      </c>
      <c r="F827" s="3" t="n">
        <v>2</v>
      </c>
      <c r="G827" s="3" t="n">
        <v>0</v>
      </c>
      <c r="H827" s="24" t="n">
        <v>0.0903338566</v>
      </c>
    </row>
    <row r="828" customFormat="false" ht="15" hidden="false" customHeight="false" outlineLevel="0" collapsed="false">
      <c r="A828" s="3" t="n">
        <v>827</v>
      </c>
      <c r="B828" s="3" t="n">
        <v>826</v>
      </c>
      <c r="C828" s="3" t="s">
        <v>117</v>
      </c>
      <c r="D828" s="3" t="n">
        <v>10</v>
      </c>
      <c r="E828" s="3" t="n">
        <v>3</v>
      </c>
      <c r="F828" s="3" t="n">
        <v>2</v>
      </c>
      <c r="G828" s="3" t="n">
        <v>1</v>
      </c>
      <c r="H828" s="24" t="n">
        <v>-0.373444617</v>
      </c>
    </row>
    <row r="829" customFormat="false" ht="15" hidden="false" customHeight="false" outlineLevel="0" collapsed="false">
      <c r="A829" s="3" t="n">
        <v>828</v>
      </c>
      <c r="B829" s="3" t="n">
        <v>827</v>
      </c>
      <c r="C829" s="3" t="s">
        <v>117</v>
      </c>
      <c r="D829" s="3" t="n">
        <v>10</v>
      </c>
      <c r="E829" s="3" t="n">
        <v>3</v>
      </c>
      <c r="F829" s="3" t="n">
        <v>2</v>
      </c>
      <c r="G829" s="3" t="n">
        <v>2</v>
      </c>
      <c r="H829" s="24" t="n">
        <v>0.19348143</v>
      </c>
    </row>
    <row r="830" customFormat="false" ht="15" hidden="false" customHeight="false" outlineLevel="0" collapsed="false">
      <c r="A830" s="3" t="n">
        <v>829</v>
      </c>
      <c r="B830" s="3" t="n">
        <v>828</v>
      </c>
      <c r="C830" s="3" t="s">
        <v>117</v>
      </c>
      <c r="D830" s="3" t="n">
        <v>10</v>
      </c>
      <c r="E830" s="3" t="n">
        <v>4</v>
      </c>
      <c r="F830" s="3" t="n">
        <v>0</v>
      </c>
      <c r="G830" s="3" t="n">
        <v>0</v>
      </c>
      <c r="H830" s="24" t="n">
        <v>-0.186165318</v>
      </c>
    </row>
    <row r="831" customFormat="false" ht="15" hidden="false" customHeight="false" outlineLevel="0" collapsed="false">
      <c r="A831" s="3" t="n">
        <v>830</v>
      </c>
      <c r="B831" s="3" t="n">
        <v>829</v>
      </c>
      <c r="C831" s="3" t="s">
        <v>117</v>
      </c>
      <c r="D831" s="3" t="n">
        <v>10</v>
      </c>
      <c r="E831" s="3" t="n">
        <v>4</v>
      </c>
      <c r="F831" s="3" t="n">
        <v>0</v>
      </c>
      <c r="G831" s="3" t="n">
        <v>1</v>
      </c>
      <c r="H831" s="24" t="n">
        <v>0.20710066</v>
      </c>
    </row>
    <row r="832" customFormat="false" ht="15" hidden="false" customHeight="false" outlineLevel="0" collapsed="false">
      <c r="A832" s="3" t="n">
        <v>831</v>
      </c>
      <c r="B832" s="3" t="n">
        <v>830</v>
      </c>
      <c r="C832" s="3" t="s">
        <v>117</v>
      </c>
      <c r="D832" s="3" t="n">
        <v>10</v>
      </c>
      <c r="E832" s="3" t="n">
        <v>4</v>
      </c>
      <c r="F832" s="3" t="n">
        <v>0</v>
      </c>
      <c r="G832" s="3" t="n">
        <v>2</v>
      </c>
      <c r="H832" s="24" t="n">
        <v>0.00395444781</v>
      </c>
    </row>
    <row r="833" customFormat="false" ht="15" hidden="false" customHeight="false" outlineLevel="0" collapsed="false">
      <c r="A833" s="3" t="n">
        <v>832</v>
      </c>
      <c r="B833" s="3" t="n">
        <v>831</v>
      </c>
      <c r="C833" s="3" t="s">
        <v>117</v>
      </c>
      <c r="D833" s="3" t="n">
        <v>10</v>
      </c>
      <c r="E833" s="3" t="n">
        <v>4</v>
      </c>
      <c r="F833" s="3" t="n">
        <v>1</v>
      </c>
      <c r="G833" s="3" t="n">
        <v>0</v>
      </c>
      <c r="H833" s="24" t="n">
        <v>-0.0708533004</v>
      </c>
    </row>
    <row r="834" customFormat="false" ht="15" hidden="false" customHeight="false" outlineLevel="0" collapsed="false">
      <c r="A834" s="3" t="n">
        <v>833</v>
      </c>
      <c r="B834" s="3" t="n">
        <v>832</v>
      </c>
      <c r="C834" s="3" t="s">
        <v>117</v>
      </c>
      <c r="D834" s="3" t="n">
        <v>10</v>
      </c>
      <c r="E834" s="3" t="n">
        <v>4</v>
      </c>
      <c r="F834" s="3" t="n">
        <v>1</v>
      </c>
      <c r="G834" s="3" t="n">
        <v>1</v>
      </c>
      <c r="H834" s="24" t="n">
        <v>0.134926245</v>
      </c>
    </row>
    <row r="835" customFormat="false" ht="15" hidden="false" customHeight="false" outlineLevel="0" collapsed="false">
      <c r="A835" s="3" t="n">
        <v>834</v>
      </c>
      <c r="B835" s="3" t="n">
        <v>833</v>
      </c>
      <c r="C835" s="3" t="s">
        <v>117</v>
      </c>
      <c r="D835" s="3" t="n">
        <v>10</v>
      </c>
      <c r="E835" s="3" t="n">
        <v>4</v>
      </c>
      <c r="F835" s="3" t="n">
        <v>1</v>
      </c>
      <c r="G835" s="3" t="n">
        <v>2</v>
      </c>
      <c r="H835" s="24" t="n">
        <v>-0.0226514917</v>
      </c>
    </row>
    <row r="836" customFormat="false" ht="15" hidden="false" customHeight="false" outlineLevel="0" collapsed="false">
      <c r="A836" s="3" t="n">
        <v>835</v>
      </c>
      <c r="B836" s="3" t="n">
        <v>834</v>
      </c>
      <c r="C836" s="3" t="s">
        <v>117</v>
      </c>
      <c r="D836" s="3" t="n">
        <v>10</v>
      </c>
      <c r="E836" s="3" t="n">
        <v>4</v>
      </c>
      <c r="F836" s="3" t="n">
        <v>2</v>
      </c>
      <c r="G836" s="3" t="n">
        <v>0</v>
      </c>
      <c r="H836" s="24" t="n">
        <v>-0.15419732</v>
      </c>
    </row>
    <row r="837" customFormat="false" ht="15" hidden="false" customHeight="false" outlineLevel="0" collapsed="false">
      <c r="A837" s="3" t="n">
        <v>836</v>
      </c>
      <c r="B837" s="3" t="n">
        <v>835</v>
      </c>
      <c r="C837" s="3" t="s">
        <v>117</v>
      </c>
      <c r="D837" s="3" t="n">
        <v>10</v>
      </c>
      <c r="E837" s="3" t="n">
        <v>4</v>
      </c>
      <c r="F837" s="3" t="n">
        <v>2</v>
      </c>
      <c r="G837" s="3" t="n">
        <v>1</v>
      </c>
      <c r="H837" s="24" t="n">
        <v>-0.097303696</v>
      </c>
    </row>
    <row r="838" customFormat="false" ht="15" hidden="false" customHeight="false" outlineLevel="0" collapsed="false">
      <c r="A838" s="3" t="n">
        <v>837</v>
      </c>
      <c r="B838" s="3" t="n">
        <v>836</v>
      </c>
      <c r="C838" s="3" t="s">
        <v>117</v>
      </c>
      <c r="D838" s="3" t="n">
        <v>10</v>
      </c>
      <c r="E838" s="3" t="n">
        <v>4</v>
      </c>
      <c r="F838" s="3" t="n">
        <v>2</v>
      </c>
      <c r="G838" s="3" t="n">
        <v>2</v>
      </c>
      <c r="H838" s="24" t="n">
        <v>-0.0927968025</v>
      </c>
    </row>
    <row r="839" customFormat="false" ht="15" hidden="false" customHeight="false" outlineLevel="0" collapsed="false">
      <c r="A839" s="3" t="n">
        <v>838</v>
      </c>
      <c r="B839" s="3" t="n">
        <v>837</v>
      </c>
      <c r="C839" s="3" t="s">
        <v>117</v>
      </c>
      <c r="D839" s="3" t="n">
        <v>10</v>
      </c>
      <c r="E839" s="3" t="n">
        <v>5</v>
      </c>
      <c r="F839" s="3" t="n">
        <v>0</v>
      </c>
      <c r="G839" s="3" t="n">
        <v>0</v>
      </c>
      <c r="H839" s="24" t="n">
        <v>0.131816015</v>
      </c>
    </row>
    <row r="840" customFormat="false" ht="15" hidden="false" customHeight="false" outlineLevel="0" collapsed="false">
      <c r="A840" s="3" t="n">
        <v>839</v>
      </c>
      <c r="B840" s="3" t="n">
        <v>838</v>
      </c>
      <c r="C840" s="3" t="s">
        <v>117</v>
      </c>
      <c r="D840" s="3" t="n">
        <v>10</v>
      </c>
      <c r="E840" s="3" t="n">
        <v>5</v>
      </c>
      <c r="F840" s="3" t="n">
        <v>0</v>
      </c>
      <c r="G840" s="3" t="n">
        <v>1</v>
      </c>
      <c r="H840" s="24" t="n">
        <v>-0.135067433</v>
      </c>
    </row>
    <row r="841" customFormat="false" ht="15" hidden="false" customHeight="false" outlineLevel="0" collapsed="false">
      <c r="A841" s="3" t="n">
        <v>840</v>
      </c>
      <c r="B841" s="3" t="n">
        <v>839</v>
      </c>
      <c r="C841" s="3" t="s">
        <v>117</v>
      </c>
      <c r="D841" s="3" t="n">
        <v>10</v>
      </c>
      <c r="E841" s="3" t="n">
        <v>5</v>
      </c>
      <c r="F841" s="3" t="n">
        <v>0</v>
      </c>
      <c r="G841" s="3" t="n">
        <v>2</v>
      </c>
      <c r="H841" s="24" t="n">
        <v>0.104130775</v>
      </c>
    </row>
    <row r="842" customFormat="false" ht="15" hidden="false" customHeight="false" outlineLevel="0" collapsed="false">
      <c r="A842" s="3" t="n">
        <v>841</v>
      </c>
      <c r="B842" s="3" t="n">
        <v>840</v>
      </c>
      <c r="C842" s="3" t="s">
        <v>117</v>
      </c>
      <c r="D842" s="3" t="n">
        <v>10</v>
      </c>
      <c r="E842" s="3" t="n">
        <v>5</v>
      </c>
      <c r="F842" s="3" t="n">
        <v>1</v>
      </c>
      <c r="G842" s="3" t="n">
        <v>0</v>
      </c>
      <c r="H842" s="24" t="n">
        <v>-0.206138566</v>
      </c>
    </row>
    <row r="843" customFormat="false" ht="15" hidden="false" customHeight="false" outlineLevel="0" collapsed="false">
      <c r="A843" s="3" t="n">
        <v>842</v>
      </c>
      <c r="B843" s="3" t="n">
        <v>841</v>
      </c>
      <c r="C843" s="3" t="s">
        <v>117</v>
      </c>
      <c r="D843" s="3" t="n">
        <v>10</v>
      </c>
      <c r="E843" s="3" t="n">
        <v>5</v>
      </c>
      <c r="F843" s="3" t="n">
        <v>1</v>
      </c>
      <c r="G843" s="3" t="n">
        <v>1</v>
      </c>
      <c r="H843" s="24" t="n">
        <v>-0.237577796</v>
      </c>
    </row>
    <row r="844" customFormat="false" ht="15" hidden="false" customHeight="false" outlineLevel="0" collapsed="false">
      <c r="A844" s="3" t="n">
        <v>843</v>
      </c>
      <c r="B844" s="3" t="n">
        <v>842</v>
      </c>
      <c r="C844" s="3" t="s">
        <v>117</v>
      </c>
      <c r="D844" s="3" t="n">
        <v>10</v>
      </c>
      <c r="E844" s="3" t="n">
        <v>5</v>
      </c>
      <c r="F844" s="3" t="n">
        <v>1</v>
      </c>
      <c r="G844" s="3" t="n">
        <v>2</v>
      </c>
      <c r="H844" s="24" t="n">
        <v>-0.0665931553</v>
      </c>
    </row>
    <row r="845" customFormat="false" ht="15" hidden="false" customHeight="false" outlineLevel="0" collapsed="false">
      <c r="A845" s="3" t="n">
        <v>844</v>
      </c>
      <c r="B845" s="3" t="n">
        <v>843</v>
      </c>
      <c r="C845" s="3" t="s">
        <v>117</v>
      </c>
      <c r="D845" s="3" t="n">
        <v>10</v>
      </c>
      <c r="E845" s="3" t="n">
        <v>5</v>
      </c>
      <c r="F845" s="3" t="n">
        <v>2</v>
      </c>
      <c r="G845" s="3" t="n">
        <v>0</v>
      </c>
      <c r="H845" s="24" t="n">
        <v>0.13561672</v>
      </c>
    </row>
    <row r="846" customFormat="false" ht="15" hidden="false" customHeight="false" outlineLevel="0" collapsed="false">
      <c r="A846" s="3" t="n">
        <v>845</v>
      </c>
      <c r="B846" s="3" t="n">
        <v>844</v>
      </c>
      <c r="C846" s="3" t="s">
        <v>117</v>
      </c>
      <c r="D846" s="3" t="n">
        <v>10</v>
      </c>
      <c r="E846" s="3" t="n">
        <v>5</v>
      </c>
      <c r="F846" s="3" t="n">
        <v>2</v>
      </c>
      <c r="G846" s="3" t="n">
        <v>1</v>
      </c>
      <c r="H846" s="24" t="n">
        <v>-0.134684384</v>
      </c>
    </row>
    <row r="847" customFormat="false" ht="15" hidden="false" customHeight="false" outlineLevel="0" collapsed="false">
      <c r="A847" s="3" t="n">
        <v>846</v>
      </c>
      <c r="B847" s="3" t="n">
        <v>845</v>
      </c>
      <c r="C847" s="3" t="s">
        <v>117</v>
      </c>
      <c r="D847" s="3" t="n">
        <v>10</v>
      </c>
      <c r="E847" s="3" t="n">
        <v>5</v>
      </c>
      <c r="F847" s="3" t="n">
        <v>2</v>
      </c>
      <c r="G847" s="3" t="n">
        <v>2</v>
      </c>
      <c r="H847" s="24" t="n">
        <v>-0.167703182</v>
      </c>
    </row>
    <row r="848" customFormat="false" ht="15" hidden="false" customHeight="false" outlineLevel="0" collapsed="false">
      <c r="A848" s="3" t="n">
        <v>847</v>
      </c>
      <c r="B848" s="3" t="n">
        <v>846</v>
      </c>
      <c r="C848" s="3" t="s">
        <v>117</v>
      </c>
      <c r="D848" s="3" t="n">
        <v>10</v>
      </c>
      <c r="E848" s="3" t="n">
        <v>6</v>
      </c>
      <c r="F848" s="3" t="n">
        <v>0</v>
      </c>
      <c r="G848" s="3" t="n">
        <v>0</v>
      </c>
      <c r="H848" s="24" t="n">
        <v>0.0400282405</v>
      </c>
    </row>
    <row r="849" customFormat="false" ht="15" hidden="false" customHeight="false" outlineLevel="0" collapsed="false">
      <c r="A849" s="3" t="n">
        <v>848</v>
      </c>
      <c r="B849" s="3" t="n">
        <v>847</v>
      </c>
      <c r="C849" s="3" t="s">
        <v>117</v>
      </c>
      <c r="D849" s="3" t="n">
        <v>10</v>
      </c>
      <c r="E849" s="3" t="n">
        <v>6</v>
      </c>
      <c r="F849" s="3" t="n">
        <v>0</v>
      </c>
      <c r="G849" s="3" t="n">
        <v>1</v>
      </c>
      <c r="H849" s="24" t="n">
        <v>-0.0678308234</v>
      </c>
    </row>
    <row r="850" customFormat="false" ht="15" hidden="false" customHeight="false" outlineLevel="0" collapsed="false">
      <c r="A850" s="3" t="n">
        <v>849</v>
      </c>
      <c r="B850" s="3" t="n">
        <v>848</v>
      </c>
      <c r="C850" s="3" t="s">
        <v>117</v>
      </c>
      <c r="D850" s="3" t="n">
        <v>10</v>
      </c>
      <c r="E850" s="3" t="n">
        <v>6</v>
      </c>
      <c r="F850" s="3" t="n">
        <v>0</v>
      </c>
      <c r="G850" s="3" t="n">
        <v>2</v>
      </c>
      <c r="H850" s="24" t="n">
        <v>0.155124456</v>
      </c>
    </row>
    <row r="851" customFormat="false" ht="15" hidden="false" customHeight="false" outlineLevel="0" collapsed="false">
      <c r="A851" s="3" t="n">
        <v>850</v>
      </c>
      <c r="B851" s="3" t="n">
        <v>849</v>
      </c>
      <c r="C851" s="3" t="s">
        <v>117</v>
      </c>
      <c r="D851" s="3" t="n">
        <v>10</v>
      </c>
      <c r="E851" s="3" t="n">
        <v>6</v>
      </c>
      <c r="F851" s="3" t="n">
        <v>1</v>
      </c>
      <c r="G851" s="3" t="n">
        <v>0</v>
      </c>
      <c r="H851" s="24" t="n">
        <v>-0.142256677</v>
      </c>
    </row>
    <row r="852" customFormat="false" ht="15" hidden="false" customHeight="false" outlineLevel="0" collapsed="false">
      <c r="A852" s="3" t="n">
        <v>851</v>
      </c>
      <c r="B852" s="3" t="n">
        <v>850</v>
      </c>
      <c r="C852" s="3" t="s">
        <v>117</v>
      </c>
      <c r="D852" s="3" t="n">
        <v>10</v>
      </c>
      <c r="E852" s="3" t="n">
        <v>6</v>
      </c>
      <c r="F852" s="3" t="n">
        <v>1</v>
      </c>
      <c r="G852" s="3" t="n">
        <v>1</v>
      </c>
      <c r="H852" s="24" t="n">
        <v>0.216391221</v>
      </c>
    </row>
    <row r="853" customFormat="false" ht="15" hidden="false" customHeight="false" outlineLevel="0" collapsed="false">
      <c r="A853" s="3" t="n">
        <v>852</v>
      </c>
      <c r="B853" s="3" t="n">
        <v>851</v>
      </c>
      <c r="C853" s="3" t="s">
        <v>117</v>
      </c>
      <c r="D853" s="3" t="n">
        <v>10</v>
      </c>
      <c r="E853" s="3" t="n">
        <v>6</v>
      </c>
      <c r="F853" s="3" t="n">
        <v>1</v>
      </c>
      <c r="G853" s="3" t="n">
        <v>2</v>
      </c>
      <c r="H853" s="24" t="n">
        <v>0.110503629</v>
      </c>
    </row>
    <row r="854" customFormat="false" ht="15" hidden="false" customHeight="false" outlineLevel="0" collapsed="false">
      <c r="A854" s="3" t="n">
        <v>853</v>
      </c>
      <c r="B854" s="3" t="n">
        <v>852</v>
      </c>
      <c r="C854" s="3" t="s">
        <v>117</v>
      </c>
      <c r="D854" s="3" t="n">
        <v>10</v>
      </c>
      <c r="E854" s="3" t="n">
        <v>6</v>
      </c>
      <c r="F854" s="3" t="n">
        <v>2</v>
      </c>
      <c r="G854" s="3" t="n">
        <v>0</v>
      </c>
      <c r="H854" s="24" t="n">
        <v>0.0574285388</v>
      </c>
    </row>
    <row r="855" customFormat="false" ht="15" hidden="false" customHeight="false" outlineLevel="0" collapsed="false">
      <c r="A855" s="3" t="n">
        <v>854</v>
      </c>
      <c r="B855" s="3" t="n">
        <v>853</v>
      </c>
      <c r="C855" s="3" t="s">
        <v>117</v>
      </c>
      <c r="D855" s="3" t="n">
        <v>10</v>
      </c>
      <c r="E855" s="3" t="n">
        <v>6</v>
      </c>
      <c r="F855" s="3" t="n">
        <v>2</v>
      </c>
      <c r="G855" s="3" t="n">
        <v>1</v>
      </c>
      <c r="H855" s="24" t="n">
        <v>-0.0373351425</v>
      </c>
    </row>
    <row r="856" customFormat="false" ht="15" hidden="false" customHeight="false" outlineLevel="0" collapsed="false">
      <c r="A856" s="3" t="n">
        <v>855</v>
      </c>
      <c r="B856" s="3" t="n">
        <v>854</v>
      </c>
      <c r="C856" s="3" t="s">
        <v>117</v>
      </c>
      <c r="D856" s="3" t="n">
        <v>10</v>
      </c>
      <c r="E856" s="3" t="n">
        <v>6</v>
      </c>
      <c r="F856" s="3" t="n">
        <v>2</v>
      </c>
      <c r="G856" s="3" t="n">
        <v>2</v>
      </c>
      <c r="H856" s="24" t="n">
        <v>0.0427736863</v>
      </c>
    </row>
    <row r="857" customFormat="false" ht="15" hidden="false" customHeight="false" outlineLevel="0" collapsed="false">
      <c r="A857" s="3" t="n">
        <v>856</v>
      </c>
      <c r="B857" s="3" t="n">
        <v>855</v>
      </c>
      <c r="C857" s="3" t="s">
        <v>117</v>
      </c>
      <c r="D857" s="3" t="n">
        <v>10</v>
      </c>
      <c r="E857" s="3" t="n">
        <v>7</v>
      </c>
      <c r="F857" s="3" t="n">
        <v>0</v>
      </c>
      <c r="G857" s="3" t="n">
        <v>0</v>
      </c>
      <c r="H857" s="24" t="n">
        <v>-0.285237104</v>
      </c>
    </row>
    <row r="858" customFormat="false" ht="15" hidden="false" customHeight="false" outlineLevel="0" collapsed="false">
      <c r="A858" s="3" t="n">
        <v>857</v>
      </c>
      <c r="B858" s="3" t="n">
        <v>856</v>
      </c>
      <c r="C858" s="3" t="s">
        <v>117</v>
      </c>
      <c r="D858" s="3" t="n">
        <v>10</v>
      </c>
      <c r="E858" s="3" t="n">
        <v>7</v>
      </c>
      <c r="F858" s="3" t="n">
        <v>0</v>
      </c>
      <c r="G858" s="3" t="n">
        <v>1</v>
      </c>
      <c r="H858" s="24" t="n">
        <v>0.125109568</v>
      </c>
    </row>
    <row r="859" customFormat="false" ht="15" hidden="false" customHeight="false" outlineLevel="0" collapsed="false">
      <c r="A859" s="3" t="n">
        <v>858</v>
      </c>
      <c r="B859" s="3" t="n">
        <v>857</v>
      </c>
      <c r="C859" s="3" t="s">
        <v>117</v>
      </c>
      <c r="D859" s="3" t="n">
        <v>10</v>
      </c>
      <c r="E859" s="3" t="n">
        <v>7</v>
      </c>
      <c r="F859" s="3" t="n">
        <v>0</v>
      </c>
      <c r="G859" s="3" t="n">
        <v>2</v>
      </c>
      <c r="H859" s="24" t="n">
        <v>0.148085043</v>
      </c>
    </row>
    <row r="860" customFormat="false" ht="15" hidden="false" customHeight="false" outlineLevel="0" collapsed="false">
      <c r="A860" s="3" t="n">
        <v>859</v>
      </c>
      <c r="B860" s="3" t="n">
        <v>858</v>
      </c>
      <c r="C860" s="3" t="s">
        <v>117</v>
      </c>
      <c r="D860" s="3" t="n">
        <v>10</v>
      </c>
      <c r="E860" s="3" t="n">
        <v>7</v>
      </c>
      <c r="F860" s="3" t="n">
        <v>1</v>
      </c>
      <c r="G860" s="3" t="n">
        <v>0</v>
      </c>
      <c r="H860" s="24" t="n">
        <v>-0.134369776</v>
      </c>
    </row>
    <row r="861" customFormat="false" ht="15" hidden="false" customHeight="false" outlineLevel="0" collapsed="false">
      <c r="A861" s="3" t="n">
        <v>860</v>
      </c>
      <c r="B861" s="3" t="n">
        <v>859</v>
      </c>
      <c r="C861" s="3" t="s">
        <v>117</v>
      </c>
      <c r="D861" s="3" t="n">
        <v>10</v>
      </c>
      <c r="E861" s="3" t="n">
        <v>7</v>
      </c>
      <c r="F861" s="3" t="n">
        <v>1</v>
      </c>
      <c r="G861" s="3" t="n">
        <v>1</v>
      </c>
      <c r="H861" s="24" t="n">
        <v>0.0426668078</v>
      </c>
    </row>
    <row r="862" customFormat="false" ht="15" hidden="false" customHeight="false" outlineLevel="0" collapsed="false">
      <c r="A862" s="3" t="n">
        <v>861</v>
      </c>
      <c r="B862" s="3" t="n">
        <v>860</v>
      </c>
      <c r="C862" s="3" t="s">
        <v>117</v>
      </c>
      <c r="D862" s="3" t="n">
        <v>10</v>
      </c>
      <c r="E862" s="3" t="n">
        <v>7</v>
      </c>
      <c r="F862" s="3" t="n">
        <v>1</v>
      </c>
      <c r="G862" s="3" t="n">
        <v>2</v>
      </c>
      <c r="H862" s="24" t="n">
        <v>0.376703322</v>
      </c>
    </row>
    <row r="863" customFormat="false" ht="15" hidden="false" customHeight="false" outlineLevel="0" collapsed="false">
      <c r="A863" s="3" t="n">
        <v>862</v>
      </c>
      <c r="B863" s="3" t="n">
        <v>861</v>
      </c>
      <c r="C863" s="3" t="s">
        <v>117</v>
      </c>
      <c r="D863" s="3" t="n">
        <v>10</v>
      </c>
      <c r="E863" s="3" t="n">
        <v>7</v>
      </c>
      <c r="F863" s="3" t="n">
        <v>2</v>
      </c>
      <c r="G863" s="3" t="n">
        <v>0</v>
      </c>
      <c r="H863" s="24" t="n">
        <v>-0.101709694</v>
      </c>
    </row>
    <row r="864" customFormat="false" ht="15" hidden="false" customHeight="false" outlineLevel="0" collapsed="false">
      <c r="A864" s="3" t="n">
        <v>863</v>
      </c>
      <c r="B864" s="3" t="n">
        <v>862</v>
      </c>
      <c r="C864" s="3" t="s">
        <v>117</v>
      </c>
      <c r="D864" s="3" t="n">
        <v>10</v>
      </c>
      <c r="E864" s="3" t="n">
        <v>7</v>
      </c>
      <c r="F864" s="3" t="n">
        <v>2</v>
      </c>
      <c r="G864" s="3" t="n">
        <v>1</v>
      </c>
      <c r="H864" s="24" t="n">
        <v>-0.166176111</v>
      </c>
    </row>
    <row r="865" customFormat="false" ht="15" hidden="false" customHeight="false" outlineLevel="0" collapsed="false">
      <c r="A865" s="3" t="n">
        <v>864</v>
      </c>
      <c r="B865" s="3" t="n">
        <v>863</v>
      </c>
      <c r="C865" s="3" t="s">
        <v>117</v>
      </c>
      <c r="D865" s="3" t="n">
        <v>10</v>
      </c>
      <c r="E865" s="3" t="n">
        <v>7</v>
      </c>
      <c r="F865" s="3" t="n">
        <v>2</v>
      </c>
      <c r="G865" s="3" t="n">
        <v>2</v>
      </c>
      <c r="H865" s="24" t="n">
        <v>0.342895538</v>
      </c>
    </row>
    <row r="866" customFormat="false" ht="15" hidden="false" customHeight="false" outlineLevel="0" collapsed="false">
      <c r="A866" s="3" t="n">
        <v>865</v>
      </c>
      <c r="B866" s="3" t="n">
        <v>864</v>
      </c>
      <c r="C866" s="3" t="s">
        <v>117</v>
      </c>
      <c r="D866" s="3" t="n">
        <v>11</v>
      </c>
      <c r="E866" s="3" t="n">
        <v>0</v>
      </c>
      <c r="F866" s="3" t="n">
        <v>0</v>
      </c>
      <c r="G866" s="3" t="n">
        <v>0</v>
      </c>
      <c r="H866" s="24" t="n">
        <v>0.0512218028</v>
      </c>
    </row>
    <row r="867" customFormat="false" ht="15" hidden="false" customHeight="false" outlineLevel="0" collapsed="false">
      <c r="A867" s="3" t="n">
        <v>866</v>
      </c>
      <c r="B867" s="3" t="n">
        <v>865</v>
      </c>
      <c r="C867" s="3" t="s">
        <v>117</v>
      </c>
      <c r="D867" s="3" t="n">
        <v>11</v>
      </c>
      <c r="E867" s="3" t="n">
        <v>0</v>
      </c>
      <c r="F867" s="3" t="n">
        <v>0</v>
      </c>
      <c r="G867" s="3" t="n">
        <v>1</v>
      </c>
      <c r="H867" s="24" t="n">
        <v>0.0834716856</v>
      </c>
    </row>
    <row r="868" customFormat="false" ht="15" hidden="false" customHeight="false" outlineLevel="0" collapsed="false">
      <c r="A868" s="3" t="n">
        <v>867</v>
      </c>
      <c r="B868" s="3" t="n">
        <v>866</v>
      </c>
      <c r="C868" s="3" t="s">
        <v>117</v>
      </c>
      <c r="D868" s="3" t="n">
        <v>11</v>
      </c>
      <c r="E868" s="3" t="n">
        <v>0</v>
      </c>
      <c r="F868" s="3" t="n">
        <v>0</v>
      </c>
      <c r="G868" s="3" t="n">
        <v>2</v>
      </c>
      <c r="H868" s="24" t="n">
        <v>0.0444301367</v>
      </c>
    </row>
    <row r="869" customFormat="false" ht="15" hidden="false" customHeight="false" outlineLevel="0" collapsed="false">
      <c r="A869" s="3" t="n">
        <v>868</v>
      </c>
      <c r="B869" s="3" t="n">
        <v>867</v>
      </c>
      <c r="C869" s="3" t="s">
        <v>117</v>
      </c>
      <c r="D869" s="3" t="n">
        <v>11</v>
      </c>
      <c r="E869" s="3" t="n">
        <v>0</v>
      </c>
      <c r="F869" s="3" t="n">
        <v>1</v>
      </c>
      <c r="G869" s="3" t="n">
        <v>0</v>
      </c>
      <c r="H869" s="24" t="n">
        <v>-0.0986691639</v>
      </c>
    </row>
    <row r="870" customFormat="false" ht="15" hidden="false" customHeight="false" outlineLevel="0" collapsed="false">
      <c r="A870" s="3" t="n">
        <v>869</v>
      </c>
      <c r="B870" s="3" t="n">
        <v>868</v>
      </c>
      <c r="C870" s="3" t="s">
        <v>117</v>
      </c>
      <c r="D870" s="3" t="n">
        <v>11</v>
      </c>
      <c r="E870" s="3" t="n">
        <v>0</v>
      </c>
      <c r="F870" s="3" t="n">
        <v>1</v>
      </c>
      <c r="G870" s="3" t="n">
        <v>1</v>
      </c>
      <c r="H870" s="24" t="n">
        <v>0.104177855</v>
      </c>
    </row>
    <row r="871" customFormat="false" ht="15" hidden="false" customHeight="false" outlineLevel="0" collapsed="false">
      <c r="A871" s="3" t="n">
        <v>870</v>
      </c>
      <c r="B871" s="3" t="n">
        <v>869</v>
      </c>
      <c r="C871" s="3" t="s">
        <v>117</v>
      </c>
      <c r="D871" s="3" t="n">
        <v>11</v>
      </c>
      <c r="E871" s="3" t="n">
        <v>0</v>
      </c>
      <c r="F871" s="3" t="n">
        <v>1</v>
      </c>
      <c r="G871" s="3" t="n">
        <v>2</v>
      </c>
      <c r="H871" s="24" t="n">
        <v>0.0224650595</v>
      </c>
    </row>
    <row r="872" customFormat="false" ht="15" hidden="false" customHeight="false" outlineLevel="0" collapsed="false">
      <c r="A872" s="3" t="n">
        <v>871</v>
      </c>
      <c r="B872" s="3" t="n">
        <v>870</v>
      </c>
      <c r="C872" s="3" t="s">
        <v>117</v>
      </c>
      <c r="D872" s="3" t="n">
        <v>11</v>
      </c>
      <c r="E872" s="3" t="n">
        <v>0</v>
      </c>
      <c r="F872" s="3" t="n">
        <v>2</v>
      </c>
      <c r="G872" s="3" t="n">
        <v>0</v>
      </c>
      <c r="H872" s="24" t="n">
        <v>0.170866594</v>
      </c>
    </row>
    <row r="873" customFormat="false" ht="15" hidden="false" customHeight="false" outlineLevel="0" collapsed="false">
      <c r="A873" s="3" t="n">
        <v>872</v>
      </c>
      <c r="B873" s="3" t="n">
        <v>871</v>
      </c>
      <c r="C873" s="3" t="s">
        <v>117</v>
      </c>
      <c r="D873" s="3" t="n">
        <v>11</v>
      </c>
      <c r="E873" s="3" t="n">
        <v>0</v>
      </c>
      <c r="F873" s="3" t="n">
        <v>2</v>
      </c>
      <c r="G873" s="3" t="n">
        <v>1</v>
      </c>
      <c r="H873" s="24" t="n">
        <v>-0.0530178547</v>
      </c>
    </row>
    <row r="874" customFormat="false" ht="15" hidden="false" customHeight="false" outlineLevel="0" collapsed="false">
      <c r="A874" s="3" t="n">
        <v>873</v>
      </c>
      <c r="B874" s="3" t="n">
        <v>872</v>
      </c>
      <c r="C874" s="3" t="s">
        <v>117</v>
      </c>
      <c r="D874" s="3" t="n">
        <v>11</v>
      </c>
      <c r="E874" s="3" t="n">
        <v>0</v>
      </c>
      <c r="F874" s="3" t="n">
        <v>2</v>
      </c>
      <c r="G874" s="3" t="n">
        <v>2</v>
      </c>
      <c r="H874" s="24" t="n">
        <v>0.0283193532</v>
      </c>
    </row>
    <row r="875" customFormat="false" ht="15" hidden="false" customHeight="false" outlineLevel="0" collapsed="false">
      <c r="A875" s="3" t="n">
        <v>874</v>
      </c>
      <c r="B875" s="3" t="n">
        <v>873</v>
      </c>
      <c r="C875" s="3" t="s">
        <v>117</v>
      </c>
      <c r="D875" s="3" t="n">
        <v>11</v>
      </c>
      <c r="E875" s="3" t="n">
        <v>1</v>
      </c>
      <c r="F875" s="3" t="n">
        <v>0</v>
      </c>
      <c r="G875" s="3" t="n">
        <v>0</v>
      </c>
      <c r="H875" s="24" t="n">
        <v>0.148016006</v>
      </c>
    </row>
    <row r="876" customFormat="false" ht="15" hidden="false" customHeight="false" outlineLevel="0" collapsed="false">
      <c r="A876" s="3" t="n">
        <v>875</v>
      </c>
      <c r="B876" s="3" t="n">
        <v>874</v>
      </c>
      <c r="C876" s="3" t="s">
        <v>117</v>
      </c>
      <c r="D876" s="3" t="n">
        <v>11</v>
      </c>
      <c r="E876" s="3" t="n">
        <v>1</v>
      </c>
      <c r="F876" s="3" t="n">
        <v>0</v>
      </c>
      <c r="G876" s="3" t="n">
        <v>1</v>
      </c>
      <c r="H876" s="24" t="n">
        <v>-0.0366394296</v>
      </c>
    </row>
    <row r="877" customFormat="false" ht="15" hidden="false" customHeight="false" outlineLevel="0" collapsed="false">
      <c r="A877" s="3" t="n">
        <v>876</v>
      </c>
      <c r="B877" s="3" t="n">
        <v>875</v>
      </c>
      <c r="C877" s="3" t="s">
        <v>117</v>
      </c>
      <c r="D877" s="3" t="n">
        <v>11</v>
      </c>
      <c r="E877" s="3" t="n">
        <v>1</v>
      </c>
      <c r="F877" s="3" t="n">
        <v>0</v>
      </c>
      <c r="G877" s="3" t="n">
        <v>2</v>
      </c>
      <c r="H877" s="24" t="n">
        <v>0.268355846</v>
      </c>
    </row>
    <row r="878" customFormat="false" ht="15" hidden="false" customHeight="false" outlineLevel="0" collapsed="false">
      <c r="A878" s="3" t="n">
        <v>877</v>
      </c>
      <c r="B878" s="3" t="n">
        <v>876</v>
      </c>
      <c r="C878" s="3" t="s">
        <v>117</v>
      </c>
      <c r="D878" s="3" t="n">
        <v>11</v>
      </c>
      <c r="E878" s="3" t="n">
        <v>1</v>
      </c>
      <c r="F878" s="3" t="n">
        <v>1</v>
      </c>
      <c r="G878" s="3" t="n">
        <v>0</v>
      </c>
      <c r="H878" s="24" t="n">
        <v>0.0410686806</v>
      </c>
    </row>
    <row r="879" customFormat="false" ht="15" hidden="false" customHeight="false" outlineLevel="0" collapsed="false">
      <c r="A879" s="3" t="n">
        <v>878</v>
      </c>
      <c r="B879" s="3" t="n">
        <v>877</v>
      </c>
      <c r="C879" s="3" t="s">
        <v>117</v>
      </c>
      <c r="D879" s="3" t="n">
        <v>11</v>
      </c>
      <c r="E879" s="3" t="n">
        <v>1</v>
      </c>
      <c r="F879" s="3" t="n">
        <v>1</v>
      </c>
      <c r="G879" s="3" t="n">
        <v>1</v>
      </c>
      <c r="H879" s="24" t="n">
        <v>0.0930189341</v>
      </c>
    </row>
    <row r="880" customFormat="false" ht="15" hidden="false" customHeight="false" outlineLevel="0" collapsed="false">
      <c r="A880" s="3" t="n">
        <v>879</v>
      </c>
      <c r="B880" s="3" t="n">
        <v>878</v>
      </c>
      <c r="C880" s="3" t="s">
        <v>117</v>
      </c>
      <c r="D880" s="3" t="n">
        <v>11</v>
      </c>
      <c r="E880" s="3" t="n">
        <v>1</v>
      </c>
      <c r="F880" s="3" t="n">
        <v>1</v>
      </c>
      <c r="G880" s="3" t="n">
        <v>2</v>
      </c>
      <c r="H880" s="24" t="n">
        <v>0.101150781</v>
      </c>
    </row>
    <row r="881" customFormat="false" ht="15" hidden="false" customHeight="false" outlineLevel="0" collapsed="false">
      <c r="A881" s="3" t="n">
        <v>880</v>
      </c>
      <c r="B881" s="3" t="n">
        <v>879</v>
      </c>
      <c r="C881" s="3" t="s">
        <v>117</v>
      </c>
      <c r="D881" s="3" t="n">
        <v>11</v>
      </c>
      <c r="E881" s="3" t="n">
        <v>1</v>
      </c>
      <c r="F881" s="3" t="n">
        <v>2</v>
      </c>
      <c r="G881" s="3" t="n">
        <v>0</v>
      </c>
      <c r="H881" s="24" t="n">
        <v>-0.0960449949</v>
      </c>
    </row>
    <row r="882" customFormat="false" ht="15" hidden="false" customHeight="false" outlineLevel="0" collapsed="false">
      <c r="A882" s="3" t="n">
        <v>881</v>
      </c>
      <c r="B882" s="3" t="n">
        <v>880</v>
      </c>
      <c r="C882" s="3" t="s">
        <v>117</v>
      </c>
      <c r="D882" s="3" t="n">
        <v>11</v>
      </c>
      <c r="E882" s="3" t="n">
        <v>1</v>
      </c>
      <c r="F882" s="3" t="n">
        <v>2</v>
      </c>
      <c r="G882" s="3" t="n">
        <v>1</v>
      </c>
      <c r="H882" s="24" t="n">
        <v>-0.119281694</v>
      </c>
    </row>
    <row r="883" customFormat="false" ht="15" hidden="false" customHeight="false" outlineLevel="0" collapsed="false">
      <c r="A883" s="3" t="n">
        <v>882</v>
      </c>
      <c r="B883" s="3" t="n">
        <v>881</v>
      </c>
      <c r="C883" s="3" t="s">
        <v>117</v>
      </c>
      <c r="D883" s="3" t="n">
        <v>11</v>
      </c>
      <c r="E883" s="3" t="n">
        <v>1</v>
      </c>
      <c r="F883" s="3" t="n">
        <v>2</v>
      </c>
      <c r="G883" s="3" t="n">
        <v>2</v>
      </c>
      <c r="H883" s="24" t="n">
        <v>-0.28361702</v>
      </c>
    </row>
    <row r="884" customFormat="false" ht="15" hidden="false" customHeight="false" outlineLevel="0" collapsed="false">
      <c r="A884" s="3" t="n">
        <v>883</v>
      </c>
      <c r="B884" s="3" t="n">
        <v>882</v>
      </c>
      <c r="C884" s="3" t="s">
        <v>117</v>
      </c>
      <c r="D884" s="3" t="n">
        <v>11</v>
      </c>
      <c r="E884" s="3" t="n">
        <v>2</v>
      </c>
      <c r="F884" s="3" t="n">
        <v>0</v>
      </c>
      <c r="G884" s="3" t="n">
        <v>0</v>
      </c>
      <c r="H884" s="24" t="n">
        <v>0.0164196771</v>
      </c>
    </row>
    <row r="885" customFormat="false" ht="15" hidden="false" customHeight="false" outlineLevel="0" collapsed="false">
      <c r="A885" s="3" t="n">
        <v>884</v>
      </c>
      <c r="B885" s="3" t="n">
        <v>883</v>
      </c>
      <c r="C885" s="3" t="s">
        <v>117</v>
      </c>
      <c r="D885" s="3" t="n">
        <v>11</v>
      </c>
      <c r="E885" s="3" t="n">
        <v>2</v>
      </c>
      <c r="F885" s="3" t="n">
        <v>0</v>
      </c>
      <c r="G885" s="3" t="n">
        <v>1</v>
      </c>
      <c r="H885" s="24" t="n">
        <v>-0.182664469</v>
      </c>
    </row>
    <row r="886" customFormat="false" ht="15" hidden="false" customHeight="false" outlineLevel="0" collapsed="false">
      <c r="A886" s="3" t="n">
        <v>885</v>
      </c>
      <c r="B886" s="3" t="n">
        <v>884</v>
      </c>
      <c r="C886" s="3" t="s">
        <v>117</v>
      </c>
      <c r="D886" s="3" t="n">
        <v>11</v>
      </c>
      <c r="E886" s="3" t="n">
        <v>2</v>
      </c>
      <c r="F886" s="3" t="n">
        <v>0</v>
      </c>
      <c r="G886" s="3" t="n">
        <v>2</v>
      </c>
      <c r="H886" s="24" t="n">
        <v>0.195143759</v>
      </c>
    </row>
    <row r="887" customFormat="false" ht="15" hidden="false" customHeight="false" outlineLevel="0" collapsed="false">
      <c r="A887" s="3" t="n">
        <v>886</v>
      </c>
      <c r="B887" s="3" t="n">
        <v>885</v>
      </c>
      <c r="C887" s="3" t="s">
        <v>117</v>
      </c>
      <c r="D887" s="3" t="n">
        <v>11</v>
      </c>
      <c r="E887" s="3" t="n">
        <v>2</v>
      </c>
      <c r="F887" s="3" t="n">
        <v>1</v>
      </c>
      <c r="G887" s="3" t="n">
        <v>0</v>
      </c>
      <c r="H887" s="24" t="n">
        <v>-0.131243065</v>
      </c>
    </row>
    <row r="888" customFormat="false" ht="15" hidden="false" customHeight="false" outlineLevel="0" collapsed="false">
      <c r="A888" s="3" t="n">
        <v>887</v>
      </c>
      <c r="B888" s="3" t="n">
        <v>886</v>
      </c>
      <c r="C888" s="3" t="s">
        <v>117</v>
      </c>
      <c r="D888" s="3" t="n">
        <v>11</v>
      </c>
      <c r="E888" s="3" t="n">
        <v>2</v>
      </c>
      <c r="F888" s="3" t="n">
        <v>1</v>
      </c>
      <c r="G888" s="3" t="n">
        <v>1</v>
      </c>
      <c r="H888" s="24" t="n">
        <v>-0.0787991434</v>
      </c>
    </row>
    <row r="889" customFormat="false" ht="15" hidden="false" customHeight="false" outlineLevel="0" collapsed="false">
      <c r="A889" s="3" t="n">
        <v>888</v>
      </c>
      <c r="B889" s="3" t="n">
        <v>887</v>
      </c>
      <c r="C889" s="3" t="s">
        <v>117</v>
      </c>
      <c r="D889" s="3" t="n">
        <v>11</v>
      </c>
      <c r="E889" s="3" t="n">
        <v>2</v>
      </c>
      <c r="F889" s="3" t="n">
        <v>1</v>
      </c>
      <c r="G889" s="3" t="n">
        <v>2</v>
      </c>
      <c r="H889" s="24" t="n">
        <v>0.0745834336</v>
      </c>
    </row>
    <row r="890" customFormat="false" ht="15" hidden="false" customHeight="false" outlineLevel="0" collapsed="false">
      <c r="A890" s="3" t="n">
        <v>889</v>
      </c>
      <c r="B890" s="3" t="n">
        <v>888</v>
      </c>
      <c r="C890" s="3" t="s">
        <v>117</v>
      </c>
      <c r="D890" s="3" t="n">
        <v>11</v>
      </c>
      <c r="E890" s="3" t="n">
        <v>2</v>
      </c>
      <c r="F890" s="3" t="n">
        <v>2</v>
      </c>
      <c r="G890" s="3" t="n">
        <v>0</v>
      </c>
      <c r="H890" s="24" t="n">
        <v>0.00553558627</v>
      </c>
    </row>
    <row r="891" customFormat="false" ht="15" hidden="false" customHeight="false" outlineLevel="0" collapsed="false">
      <c r="A891" s="3" t="n">
        <v>890</v>
      </c>
      <c r="B891" s="3" t="n">
        <v>889</v>
      </c>
      <c r="C891" s="3" t="s">
        <v>117</v>
      </c>
      <c r="D891" s="3" t="n">
        <v>11</v>
      </c>
      <c r="E891" s="3" t="n">
        <v>2</v>
      </c>
      <c r="F891" s="3" t="n">
        <v>2</v>
      </c>
      <c r="G891" s="3" t="n">
        <v>1</v>
      </c>
      <c r="H891" s="24" t="n">
        <v>-0.0887093619</v>
      </c>
    </row>
    <row r="892" customFormat="false" ht="15" hidden="false" customHeight="false" outlineLevel="0" collapsed="false">
      <c r="A892" s="3" t="n">
        <v>891</v>
      </c>
      <c r="B892" s="3" t="n">
        <v>890</v>
      </c>
      <c r="C892" s="3" t="s">
        <v>117</v>
      </c>
      <c r="D892" s="3" t="n">
        <v>11</v>
      </c>
      <c r="E892" s="3" t="n">
        <v>2</v>
      </c>
      <c r="F892" s="3" t="n">
        <v>2</v>
      </c>
      <c r="G892" s="3" t="n">
        <v>2</v>
      </c>
      <c r="H892" s="24" t="n">
        <v>-0.259180903</v>
      </c>
    </row>
    <row r="893" customFormat="false" ht="15" hidden="false" customHeight="false" outlineLevel="0" collapsed="false">
      <c r="A893" s="3" t="n">
        <v>892</v>
      </c>
      <c r="B893" s="3" t="n">
        <v>891</v>
      </c>
      <c r="C893" s="3" t="s">
        <v>117</v>
      </c>
      <c r="D893" s="3" t="n">
        <v>11</v>
      </c>
      <c r="E893" s="3" t="n">
        <v>3</v>
      </c>
      <c r="F893" s="3" t="n">
        <v>0</v>
      </c>
      <c r="G893" s="3" t="n">
        <v>0</v>
      </c>
      <c r="H893" s="24" t="n">
        <v>-0.163918585</v>
      </c>
    </row>
    <row r="894" customFormat="false" ht="15" hidden="false" customHeight="false" outlineLevel="0" collapsed="false">
      <c r="A894" s="3" t="n">
        <v>893</v>
      </c>
      <c r="B894" s="3" t="n">
        <v>892</v>
      </c>
      <c r="C894" s="3" t="s">
        <v>117</v>
      </c>
      <c r="D894" s="3" t="n">
        <v>11</v>
      </c>
      <c r="E894" s="3" t="n">
        <v>3</v>
      </c>
      <c r="F894" s="3" t="n">
        <v>0</v>
      </c>
      <c r="G894" s="3" t="n">
        <v>1</v>
      </c>
      <c r="H894" s="24" t="n">
        <v>0.126597926</v>
      </c>
    </row>
    <row r="895" customFormat="false" ht="15" hidden="false" customHeight="false" outlineLevel="0" collapsed="false">
      <c r="A895" s="3" t="n">
        <v>894</v>
      </c>
      <c r="B895" s="3" t="n">
        <v>893</v>
      </c>
      <c r="C895" s="3" t="s">
        <v>117</v>
      </c>
      <c r="D895" s="3" t="n">
        <v>11</v>
      </c>
      <c r="E895" s="3" t="n">
        <v>3</v>
      </c>
      <c r="F895" s="3" t="n">
        <v>0</v>
      </c>
      <c r="G895" s="3" t="n">
        <v>2</v>
      </c>
      <c r="H895" s="24" t="n">
        <v>-0.0104460698</v>
      </c>
    </row>
    <row r="896" customFormat="false" ht="15" hidden="false" customHeight="false" outlineLevel="0" collapsed="false">
      <c r="A896" s="3" t="n">
        <v>895</v>
      </c>
      <c r="B896" s="3" t="n">
        <v>894</v>
      </c>
      <c r="C896" s="3" t="s">
        <v>117</v>
      </c>
      <c r="D896" s="3" t="n">
        <v>11</v>
      </c>
      <c r="E896" s="3" t="n">
        <v>3</v>
      </c>
      <c r="F896" s="3" t="n">
        <v>1</v>
      </c>
      <c r="G896" s="3" t="n">
        <v>0</v>
      </c>
      <c r="H896" s="24" t="n">
        <v>0.0178840011</v>
      </c>
    </row>
    <row r="897" customFormat="false" ht="15" hidden="false" customHeight="false" outlineLevel="0" collapsed="false">
      <c r="A897" s="3" t="n">
        <v>896</v>
      </c>
      <c r="B897" s="3" t="n">
        <v>895</v>
      </c>
      <c r="C897" s="3" t="s">
        <v>117</v>
      </c>
      <c r="D897" s="3" t="n">
        <v>11</v>
      </c>
      <c r="E897" s="3" t="n">
        <v>3</v>
      </c>
      <c r="F897" s="3" t="n">
        <v>1</v>
      </c>
      <c r="G897" s="3" t="n">
        <v>1</v>
      </c>
      <c r="H897" s="24" t="n">
        <v>-0.052021727</v>
      </c>
    </row>
    <row r="898" customFormat="false" ht="15" hidden="false" customHeight="false" outlineLevel="0" collapsed="false">
      <c r="A898" s="3" t="n">
        <v>897</v>
      </c>
      <c r="B898" s="3" t="n">
        <v>896</v>
      </c>
      <c r="C898" s="3" t="s">
        <v>117</v>
      </c>
      <c r="D898" s="3" t="n">
        <v>11</v>
      </c>
      <c r="E898" s="3" t="n">
        <v>3</v>
      </c>
      <c r="F898" s="3" t="n">
        <v>1</v>
      </c>
      <c r="G898" s="3" t="n">
        <v>2</v>
      </c>
      <c r="H898" s="24" t="n">
        <v>0.0742951334</v>
      </c>
    </row>
    <row r="899" customFormat="false" ht="15" hidden="false" customHeight="false" outlineLevel="0" collapsed="false">
      <c r="A899" s="3" t="n">
        <v>898</v>
      </c>
      <c r="B899" s="3" t="n">
        <v>897</v>
      </c>
      <c r="C899" s="3" t="s">
        <v>117</v>
      </c>
      <c r="D899" s="3" t="n">
        <v>11</v>
      </c>
      <c r="E899" s="3" t="n">
        <v>3</v>
      </c>
      <c r="F899" s="3" t="n">
        <v>2</v>
      </c>
      <c r="G899" s="3" t="n">
        <v>0</v>
      </c>
      <c r="H899" s="24" t="n">
        <v>0.0317579433</v>
      </c>
    </row>
    <row r="900" customFormat="false" ht="15" hidden="false" customHeight="false" outlineLevel="0" collapsed="false">
      <c r="A900" s="3" t="n">
        <v>899</v>
      </c>
      <c r="B900" s="3" t="n">
        <v>898</v>
      </c>
      <c r="C900" s="3" t="s">
        <v>117</v>
      </c>
      <c r="D900" s="3" t="n">
        <v>11</v>
      </c>
      <c r="E900" s="3" t="n">
        <v>3</v>
      </c>
      <c r="F900" s="3" t="n">
        <v>2</v>
      </c>
      <c r="G900" s="3" t="n">
        <v>1</v>
      </c>
      <c r="H900" s="24" t="n">
        <v>-0.159386948</v>
      </c>
    </row>
    <row r="901" customFormat="false" ht="15" hidden="false" customHeight="false" outlineLevel="0" collapsed="false">
      <c r="A901" s="3" t="n">
        <v>900</v>
      </c>
      <c r="B901" s="3" t="n">
        <v>899</v>
      </c>
      <c r="C901" s="3" t="s">
        <v>117</v>
      </c>
      <c r="D901" s="3" t="n">
        <v>11</v>
      </c>
      <c r="E901" s="3" t="n">
        <v>3</v>
      </c>
      <c r="F901" s="3" t="n">
        <v>2</v>
      </c>
      <c r="G901" s="3" t="n">
        <v>2</v>
      </c>
      <c r="H901" s="24" t="n">
        <v>-0.094838053</v>
      </c>
    </row>
    <row r="902" customFormat="false" ht="15" hidden="false" customHeight="false" outlineLevel="0" collapsed="false">
      <c r="A902" s="3" t="n">
        <v>901</v>
      </c>
      <c r="B902" s="3" t="n">
        <v>900</v>
      </c>
      <c r="C902" s="3" t="s">
        <v>117</v>
      </c>
      <c r="D902" s="3" t="n">
        <v>11</v>
      </c>
      <c r="E902" s="3" t="n">
        <v>4</v>
      </c>
      <c r="F902" s="3" t="n">
        <v>0</v>
      </c>
      <c r="G902" s="3" t="n">
        <v>0</v>
      </c>
      <c r="H902" s="24" t="n">
        <v>0.0350102484</v>
      </c>
    </row>
    <row r="903" customFormat="false" ht="15" hidden="false" customHeight="false" outlineLevel="0" collapsed="false">
      <c r="A903" s="3" t="n">
        <v>902</v>
      </c>
      <c r="B903" s="3" t="n">
        <v>901</v>
      </c>
      <c r="C903" s="3" t="s">
        <v>117</v>
      </c>
      <c r="D903" s="3" t="n">
        <v>11</v>
      </c>
      <c r="E903" s="3" t="n">
        <v>4</v>
      </c>
      <c r="F903" s="3" t="n">
        <v>0</v>
      </c>
      <c r="G903" s="3" t="n">
        <v>1</v>
      </c>
      <c r="H903" s="24" t="n">
        <v>-0.0876822025</v>
      </c>
    </row>
    <row r="904" customFormat="false" ht="15" hidden="false" customHeight="false" outlineLevel="0" collapsed="false">
      <c r="A904" s="3" t="n">
        <v>903</v>
      </c>
      <c r="B904" s="3" t="n">
        <v>902</v>
      </c>
      <c r="C904" s="3" t="s">
        <v>117</v>
      </c>
      <c r="D904" s="3" t="n">
        <v>11</v>
      </c>
      <c r="E904" s="3" t="n">
        <v>4</v>
      </c>
      <c r="F904" s="3" t="n">
        <v>0</v>
      </c>
      <c r="G904" s="3" t="n">
        <v>2</v>
      </c>
      <c r="H904" s="24" t="n">
        <v>0.0926173478</v>
      </c>
    </row>
    <row r="905" customFormat="false" ht="15" hidden="false" customHeight="false" outlineLevel="0" collapsed="false">
      <c r="A905" s="3" t="n">
        <v>904</v>
      </c>
      <c r="B905" s="3" t="n">
        <v>903</v>
      </c>
      <c r="C905" s="3" t="s">
        <v>117</v>
      </c>
      <c r="D905" s="3" t="n">
        <v>11</v>
      </c>
      <c r="E905" s="3" t="n">
        <v>4</v>
      </c>
      <c r="F905" s="3" t="n">
        <v>1</v>
      </c>
      <c r="G905" s="3" t="n">
        <v>0</v>
      </c>
      <c r="H905" s="24" t="n">
        <v>0.112092562</v>
      </c>
    </row>
    <row r="906" customFormat="false" ht="15" hidden="false" customHeight="false" outlineLevel="0" collapsed="false">
      <c r="A906" s="3" t="n">
        <v>905</v>
      </c>
      <c r="B906" s="3" t="n">
        <v>904</v>
      </c>
      <c r="C906" s="3" t="s">
        <v>117</v>
      </c>
      <c r="D906" s="3" t="n">
        <v>11</v>
      </c>
      <c r="E906" s="3" t="n">
        <v>4</v>
      </c>
      <c r="F906" s="3" t="n">
        <v>1</v>
      </c>
      <c r="G906" s="3" t="n">
        <v>1</v>
      </c>
      <c r="H906" s="24" t="n">
        <v>0.0341513529</v>
      </c>
    </row>
    <row r="907" customFormat="false" ht="15" hidden="false" customHeight="false" outlineLevel="0" collapsed="false">
      <c r="A907" s="3" t="n">
        <v>906</v>
      </c>
      <c r="B907" s="3" t="n">
        <v>905</v>
      </c>
      <c r="C907" s="3" t="s">
        <v>117</v>
      </c>
      <c r="D907" s="3" t="n">
        <v>11</v>
      </c>
      <c r="E907" s="3" t="n">
        <v>4</v>
      </c>
      <c r="F907" s="3" t="n">
        <v>1</v>
      </c>
      <c r="G907" s="3" t="n">
        <v>2</v>
      </c>
      <c r="H907" s="24" t="n">
        <v>0.0705948472</v>
      </c>
    </row>
    <row r="908" customFormat="false" ht="15" hidden="false" customHeight="false" outlineLevel="0" collapsed="false">
      <c r="A908" s="3" t="n">
        <v>907</v>
      </c>
      <c r="B908" s="3" t="n">
        <v>906</v>
      </c>
      <c r="C908" s="3" t="s">
        <v>117</v>
      </c>
      <c r="D908" s="3" t="n">
        <v>11</v>
      </c>
      <c r="E908" s="3" t="n">
        <v>4</v>
      </c>
      <c r="F908" s="3" t="n">
        <v>2</v>
      </c>
      <c r="G908" s="3" t="n">
        <v>0</v>
      </c>
      <c r="H908" s="24" t="n">
        <v>-0.0702882856</v>
      </c>
    </row>
    <row r="909" customFormat="false" ht="15" hidden="false" customHeight="false" outlineLevel="0" collapsed="false">
      <c r="A909" s="3" t="n">
        <v>908</v>
      </c>
      <c r="B909" s="3" t="n">
        <v>907</v>
      </c>
      <c r="C909" s="3" t="s">
        <v>117</v>
      </c>
      <c r="D909" s="3" t="n">
        <v>11</v>
      </c>
      <c r="E909" s="3" t="n">
        <v>4</v>
      </c>
      <c r="F909" s="3" t="n">
        <v>2</v>
      </c>
      <c r="G909" s="3" t="n">
        <v>1</v>
      </c>
      <c r="H909" s="24" t="n">
        <v>-0.0152022596</v>
      </c>
    </row>
    <row r="910" customFormat="false" ht="15" hidden="false" customHeight="false" outlineLevel="0" collapsed="false">
      <c r="A910" s="3" t="n">
        <v>909</v>
      </c>
      <c r="B910" s="3" t="n">
        <v>908</v>
      </c>
      <c r="C910" s="3" t="s">
        <v>117</v>
      </c>
      <c r="D910" s="3" t="n">
        <v>11</v>
      </c>
      <c r="E910" s="3" t="n">
        <v>4</v>
      </c>
      <c r="F910" s="3" t="n">
        <v>2</v>
      </c>
      <c r="G910" s="3" t="n">
        <v>2</v>
      </c>
      <c r="H910" s="24" t="n">
        <v>-0.273310274</v>
      </c>
    </row>
    <row r="911" customFormat="false" ht="15" hidden="false" customHeight="false" outlineLevel="0" collapsed="false">
      <c r="A911" s="3" t="n">
        <v>910</v>
      </c>
      <c r="B911" s="3" t="n">
        <v>909</v>
      </c>
      <c r="C911" s="3" t="s">
        <v>117</v>
      </c>
      <c r="D911" s="3" t="n">
        <v>11</v>
      </c>
      <c r="E911" s="3" t="n">
        <v>5</v>
      </c>
      <c r="F911" s="3" t="n">
        <v>0</v>
      </c>
      <c r="G911" s="3" t="n">
        <v>0</v>
      </c>
      <c r="H911" s="24" t="n">
        <v>-0.0494243614</v>
      </c>
    </row>
    <row r="912" customFormat="false" ht="15" hidden="false" customHeight="false" outlineLevel="0" collapsed="false">
      <c r="A912" s="3" t="n">
        <v>911</v>
      </c>
      <c r="B912" s="3" t="n">
        <v>910</v>
      </c>
      <c r="C912" s="3" t="s">
        <v>117</v>
      </c>
      <c r="D912" s="3" t="n">
        <v>11</v>
      </c>
      <c r="E912" s="3" t="n">
        <v>5</v>
      </c>
      <c r="F912" s="3" t="n">
        <v>0</v>
      </c>
      <c r="G912" s="3" t="n">
        <v>1</v>
      </c>
      <c r="H912" s="24" t="n">
        <v>0.0908104628</v>
      </c>
    </row>
    <row r="913" customFormat="false" ht="15" hidden="false" customHeight="false" outlineLevel="0" collapsed="false">
      <c r="A913" s="3" t="n">
        <v>912</v>
      </c>
      <c r="B913" s="3" t="n">
        <v>911</v>
      </c>
      <c r="C913" s="3" t="s">
        <v>117</v>
      </c>
      <c r="D913" s="3" t="n">
        <v>11</v>
      </c>
      <c r="E913" s="3" t="n">
        <v>5</v>
      </c>
      <c r="F913" s="3" t="n">
        <v>0</v>
      </c>
      <c r="G913" s="3" t="n">
        <v>2</v>
      </c>
      <c r="H913" s="24" t="n">
        <v>-0.109949715</v>
      </c>
    </row>
    <row r="914" customFormat="false" ht="15" hidden="false" customHeight="false" outlineLevel="0" collapsed="false">
      <c r="A914" s="3" t="n">
        <v>913</v>
      </c>
      <c r="B914" s="3" t="n">
        <v>912</v>
      </c>
      <c r="C914" s="3" t="s">
        <v>117</v>
      </c>
      <c r="D914" s="3" t="n">
        <v>11</v>
      </c>
      <c r="E914" s="3" t="n">
        <v>5</v>
      </c>
      <c r="F914" s="3" t="n">
        <v>1</v>
      </c>
      <c r="G914" s="3" t="n">
        <v>0</v>
      </c>
      <c r="H914" s="24" t="n">
        <v>-0.00848499313</v>
      </c>
    </row>
    <row r="915" customFormat="false" ht="15" hidden="false" customHeight="false" outlineLevel="0" collapsed="false">
      <c r="A915" s="3" t="n">
        <v>914</v>
      </c>
      <c r="B915" s="3" t="n">
        <v>913</v>
      </c>
      <c r="C915" s="3" t="s">
        <v>117</v>
      </c>
      <c r="D915" s="3" t="n">
        <v>11</v>
      </c>
      <c r="E915" s="3" t="n">
        <v>5</v>
      </c>
      <c r="F915" s="3" t="n">
        <v>1</v>
      </c>
      <c r="G915" s="3" t="n">
        <v>1</v>
      </c>
      <c r="H915" s="24" t="n">
        <v>0.0185205247</v>
      </c>
    </row>
    <row r="916" customFormat="false" ht="15" hidden="false" customHeight="false" outlineLevel="0" collapsed="false">
      <c r="A916" s="3" t="n">
        <v>915</v>
      </c>
      <c r="B916" s="3" t="n">
        <v>914</v>
      </c>
      <c r="C916" s="3" t="s">
        <v>117</v>
      </c>
      <c r="D916" s="3" t="n">
        <v>11</v>
      </c>
      <c r="E916" s="3" t="n">
        <v>5</v>
      </c>
      <c r="F916" s="3" t="n">
        <v>1</v>
      </c>
      <c r="G916" s="3" t="n">
        <v>2</v>
      </c>
      <c r="H916" s="24" t="n">
        <v>0.0558127388</v>
      </c>
    </row>
    <row r="917" customFormat="false" ht="15" hidden="false" customHeight="false" outlineLevel="0" collapsed="false">
      <c r="A917" s="3" t="n">
        <v>916</v>
      </c>
      <c r="B917" s="3" t="n">
        <v>915</v>
      </c>
      <c r="C917" s="3" t="s">
        <v>117</v>
      </c>
      <c r="D917" s="3" t="n">
        <v>11</v>
      </c>
      <c r="E917" s="3" t="n">
        <v>5</v>
      </c>
      <c r="F917" s="3" t="n">
        <v>2</v>
      </c>
      <c r="G917" s="3" t="n">
        <v>0</v>
      </c>
      <c r="H917" s="24" t="n">
        <v>0.232306793</v>
      </c>
    </row>
    <row r="918" customFormat="false" ht="15" hidden="false" customHeight="false" outlineLevel="0" collapsed="false">
      <c r="A918" s="3" t="n">
        <v>917</v>
      </c>
      <c r="B918" s="3" t="n">
        <v>916</v>
      </c>
      <c r="C918" s="3" t="s">
        <v>117</v>
      </c>
      <c r="D918" s="3" t="n">
        <v>11</v>
      </c>
      <c r="E918" s="3" t="n">
        <v>5</v>
      </c>
      <c r="F918" s="3" t="n">
        <v>2</v>
      </c>
      <c r="G918" s="3" t="n">
        <v>1</v>
      </c>
      <c r="H918" s="24" t="n">
        <v>0.299424499</v>
      </c>
    </row>
    <row r="919" customFormat="false" ht="15" hidden="false" customHeight="false" outlineLevel="0" collapsed="false">
      <c r="A919" s="3" t="n">
        <v>918</v>
      </c>
      <c r="B919" s="3" t="n">
        <v>917</v>
      </c>
      <c r="C919" s="3" t="s">
        <v>117</v>
      </c>
      <c r="D919" s="3" t="n">
        <v>11</v>
      </c>
      <c r="E919" s="3" t="n">
        <v>5</v>
      </c>
      <c r="F919" s="3" t="n">
        <v>2</v>
      </c>
      <c r="G919" s="3" t="n">
        <v>2</v>
      </c>
      <c r="H919" s="24" t="n">
        <v>0.370941997</v>
      </c>
    </row>
    <row r="920" customFormat="false" ht="15" hidden="false" customHeight="false" outlineLevel="0" collapsed="false">
      <c r="A920" s="3" t="n">
        <v>919</v>
      </c>
      <c r="B920" s="3" t="n">
        <v>918</v>
      </c>
      <c r="C920" s="3" t="s">
        <v>117</v>
      </c>
      <c r="D920" s="3" t="n">
        <v>11</v>
      </c>
      <c r="E920" s="3" t="n">
        <v>6</v>
      </c>
      <c r="F920" s="3" t="n">
        <v>0</v>
      </c>
      <c r="G920" s="3" t="n">
        <v>0</v>
      </c>
      <c r="H920" s="24" t="n">
        <v>0.0696821511</v>
      </c>
    </row>
    <row r="921" customFormat="false" ht="15" hidden="false" customHeight="false" outlineLevel="0" collapsed="false">
      <c r="A921" s="3" t="n">
        <v>920</v>
      </c>
      <c r="B921" s="3" t="n">
        <v>919</v>
      </c>
      <c r="C921" s="3" t="s">
        <v>117</v>
      </c>
      <c r="D921" s="3" t="n">
        <v>11</v>
      </c>
      <c r="E921" s="3" t="n">
        <v>6</v>
      </c>
      <c r="F921" s="3" t="n">
        <v>0</v>
      </c>
      <c r="G921" s="3" t="n">
        <v>1</v>
      </c>
      <c r="H921" s="24" t="n">
        <v>0.0969320983</v>
      </c>
    </row>
    <row r="922" customFormat="false" ht="15" hidden="false" customHeight="false" outlineLevel="0" collapsed="false">
      <c r="A922" s="3" t="n">
        <v>921</v>
      </c>
      <c r="B922" s="3" t="n">
        <v>920</v>
      </c>
      <c r="C922" s="3" t="s">
        <v>117</v>
      </c>
      <c r="D922" s="3" t="n">
        <v>11</v>
      </c>
      <c r="E922" s="3" t="n">
        <v>6</v>
      </c>
      <c r="F922" s="3" t="n">
        <v>0</v>
      </c>
      <c r="G922" s="3" t="n">
        <v>2</v>
      </c>
      <c r="H922" s="24" t="n">
        <v>0.0620963126</v>
      </c>
    </row>
    <row r="923" customFormat="false" ht="15" hidden="false" customHeight="false" outlineLevel="0" collapsed="false">
      <c r="A923" s="3" t="n">
        <v>922</v>
      </c>
      <c r="B923" s="3" t="n">
        <v>921</v>
      </c>
      <c r="C923" s="3" t="s">
        <v>117</v>
      </c>
      <c r="D923" s="3" t="n">
        <v>11</v>
      </c>
      <c r="E923" s="3" t="n">
        <v>6</v>
      </c>
      <c r="F923" s="3" t="n">
        <v>1</v>
      </c>
      <c r="G923" s="3" t="n">
        <v>0</v>
      </c>
      <c r="H923" s="24" t="n">
        <v>0.0691496655</v>
      </c>
    </row>
    <row r="924" customFormat="false" ht="15" hidden="false" customHeight="false" outlineLevel="0" collapsed="false">
      <c r="A924" s="3" t="n">
        <v>923</v>
      </c>
      <c r="B924" s="3" t="n">
        <v>922</v>
      </c>
      <c r="C924" s="3" t="s">
        <v>117</v>
      </c>
      <c r="D924" s="3" t="n">
        <v>11</v>
      </c>
      <c r="E924" s="3" t="n">
        <v>6</v>
      </c>
      <c r="F924" s="3" t="n">
        <v>1</v>
      </c>
      <c r="G924" s="3" t="n">
        <v>1</v>
      </c>
      <c r="H924" s="24" t="n">
        <v>0.145247564</v>
      </c>
    </row>
    <row r="925" customFormat="false" ht="15" hidden="false" customHeight="false" outlineLevel="0" collapsed="false">
      <c r="A925" s="3" t="n">
        <v>924</v>
      </c>
      <c r="B925" s="3" t="n">
        <v>923</v>
      </c>
      <c r="C925" s="3" t="s">
        <v>117</v>
      </c>
      <c r="D925" s="3" t="n">
        <v>11</v>
      </c>
      <c r="E925" s="3" t="n">
        <v>6</v>
      </c>
      <c r="F925" s="3" t="n">
        <v>1</v>
      </c>
      <c r="G925" s="3" t="n">
        <v>2</v>
      </c>
      <c r="H925" s="24" t="n">
        <v>0.0401238613</v>
      </c>
    </row>
    <row r="926" customFormat="false" ht="15" hidden="false" customHeight="false" outlineLevel="0" collapsed="false">
      <c r="A926" s="3" t="n">
        <v>925</v>
      </c>
      <c r="B926" s="3" t="n">
        <v>924</v>
      </c>
      <c r="C926" s="3" t="s">
        <v>117</v>
      </c>
      <c r="D926" s="3" t="n">
        <v>11</v>
      </c>
      <c r="E926" s="3" t="n">
        <v>6</v>
      </c>
      <c r="F926" s="3" t="n">
        <v>2</v>
      </c>
      <c r="G926" s="3" t="n">
        <v>0</v>
      </c>
      <c r="H926" s="24" t="n">
        <v>0.0449225307</v>
      </c>
    </row>
    <row r="927" customFormat="false" ht="15" hidden="false" customHeight="false" outlineLevel="0" collapsed="false">
      <c r="A927" s="3" t="n">
        <v>926</v>
      </c>
      <c r="B927" s="3" t="n">
        <v>925</v>
      </c>
      <c r="C927" s="3" t="s">
        <v>117</v>
      </c>
      <c r="D927" s="3" t="n">
        <v>11</v>
      </c>
      <c r="E927" s="3" t="n">
        <v>6</v>
      </c>
      <c r="F927" s="3" t="n">
        <v>2</v>
      </c>
      <c r="G927" s="3" t="n">
        <v>1</v>
      </c>
      <c r="H927" s="24" t="n">
        <v>0.0209556986</v>
      </c>
    </row>
    <row r="928" customFormat="false" ht="15" hidden="false" customHeight="false" outlineLevel="0" collapsed="false">
      <c r="A928" s="3" t="n">
        <v>927</v>
      </c>
      <c r="B928" s="3" t="n">
        <v>926</v>
      </c>
      <c r="C928" s="3" t="s">
        <v>117</v>
      </c>
      <c r="D928" s="3" t="n">
        <v>11</v>
      </c>
      <c r="E928" s="3" t="n">
        <v>6</v>
      </c>
      <c r="F928" s="3" t="n">
        <v>2</v>
      </c>
      <c r="G928" s="3" t="n">
        <v>2</v>
      </c>
      <c r="H928" s="24" t="n">
        <v>-0.00614356715</v>
      </c>
    </row>
    <row r="929" customFormat="false" ht="15" hidden="false" customHeight="false" outlineLevel="0" collapsed="false">
      <c r="A929" s="3" t="n">
        <v>928</v>
      </c>
      <c r="B929" s="3" t="n">
        <v>927</v>
      </c>
      <c r="C929" s="3" t="s">
        <v>117</v>
      </c>
      <c r="D929" s="3" t="n">
        <v>11</v>
      </c>
      <c r="E929" s="3" t="n">
        <v>7</v>
      </c>
      <c r="F929" s="3" t="n">
        <v>0</v>
      </c>
      <c r="G929" s="3" t="n">
        <v>0</v>
      </c>
      <c r="H929" s="24" t="n">
        <v>-0.0746013075</v>
      </c>
    </row>
    <row r="930" customFormat="false" ht="15" hidden="false" customHeight="false" outlineLevel="0" collapsed="false">
      <c r="A930" s="3" t="n">
        <v>929</v>
      </c>
      <c r="B930" s="3" t="n">
        <v>928</v>
      </c>
      <c r="C930" s="3" t="s">
        <v>117</v>
      </c>
      <c r="D930" s="3" t="n">
        <v>11</v>
      </c>
      <c r="E930" s="3" t="n">
        <v>7</v>
      </c>
      <c r="F930" s="3" t="n">
        <v>0</v>
      </c>
      <c r="G930" s="3" t="n">
        <v>1</v>
      </c>
      <c r="H930" s="24" t="n">
        <v>-0.14311637</v>
      </c>
    </row>
    <row r="931" customFormat="false" ht="15" hidden="false" customHeight="false" outlineLevel="0" collapsed="false">
      <c r="A931" s="3" t="n">
        <v>930</v>
      </c>
      <c r="B931" s="3" t="n">
        <v>929</v>
      </c>
      <c r="C931" s="3" t="s">
        <v>117</v>
      </c>
      <c r="D931" s="3" t="n">
        <v>11</v>
      </c>
      <c r="E931" s="3" t="n">
        <v>7</v>
      </c>
      <c r="F931" s="3" t="n">
        <v>0</v>
      </c>
      <c r="G931" s="3" t="n">
        <v>2</v>
      </c>
      <c r="H931" s="24" t="n">
        <v>0.0580605231</v>
      </c>
    </row>
    <row r="932" customFormat="false" ht="15" hidden="false" customHeight="false" outlineLevel="0" collapsed="false">
      <c r="A932" s="3" t="n">
        <v>931</v>
      </c>
      <c r="B932" s="3" t="n">
        <v>930</v>
      </c>
      <c r="C932" s="3" t="s">
        <v>117</v>
      </c>
      <c r="D932" s="3" t="n">
        <v>11</v>
      </c>
      <c r="E932" s="3" t="n">
        <v>7</v>
      </c>
      <c r="F932" s="3" t="n">
        <v>1</v>
      </c>
      <c r="G932" s="3" t="n">
        <v>0</v>
      </c>
      <c r="H932" s="24" t="n">
        <v>0.0771632865</v>
      </c>
    </row>
    <row r="933" customFormat="false" ht="15" hidden="false" customHeight="false" outlineLevel="0" collapsed="false">
      <c r="A933" s="3" t="n">
        <v>932</v>
      </c>
      <c r="B933" s="3" t="n">
        <v>931</v>
      </c>
      <c r="C933" s="3" t="s">
        <v>117</v>
      </c>
      <c r="D933" s="3" t="n">
        <v>11</v>
      </c>
      <c r="E933" s="3" t="n">
        <v>7</v>
      </c>
      <c r="F933" s="3" t="n">
        <v>1</v>
      </c>
      <c r="G933" s="3" t="n">
        <v>1</v>
      </c>
      <c r="H933" s="24" t="n">
        <v>0.0577180721</v>
      </c>
    </row>
    <row r="934" customFormat="false" ht="15" hidden="false" customHeight="false" outlineLevel="0" collapsed="false">
      <c r="A934" s="3" t="n">
        <v>933</v>
      </c>
      <c r="B934" s="3" t="n">
        <v>932</v>
      </c>
      <c r="C934" s="3" t="s">
        <v>117</v>
      </c>
      <c r="D934" s="3" t="n">
        <v>11</v>
      </c>
      <c r="E934" s="3" t="n">
        <v>7</v>
      </c>
      <c r="F934" s="3" t="n">
        <v>1</v>
      </c>
      <c r="G934" s="3" t="n">
        <v>2</v>
      </c>
      <c r="H934" s="24" t="n">
        <v>-0.0454053134</v>
      </c>
    </row>
    <row r="935" customFormat="false" ht="15" hidden="false" customHeight="false" outlineLevel="0" collapsed="false">
      <c r="A935" s="3" t="n">
        <v>934</v>
      </c>
      <c r="B935" s="3" t="n">
        <v>933</v>
      </c>
      <c r="C935" s="3" t="s">
        <v>117</v>
      </c>
      <c r="D935" s="3" t="n">
        <v>11</v>
      </c>
      <c r="E935" s="3" t="n">
        <v>7</v>
      </c>
      <c r="F935" s="3" t="n">
        <v>2</v>
      </c>
      <c r="G935" s="3" t="n">
        <v>0</v>
      </c>
      <c r="H935" s="24" t="n">
        <v>-0.248887762</v>
      </c>
    </row>
    <row r="936" customFormat="false" ht="15" hidden="false" customHeight="false" outlineLevel="0" collapsed="false">
      <c r="A936" s="3" t="n">
        <v>935</v>
      </c>
      <c r="B936" s="3" t="n">
        <v>934</v>
      </c>
      <c r="C936" s="3" t="s">
        <v>117</v>
      </c>
      <c r="D936" s="3" t="n">
        <v>11</v>
      </c>
      <c r="E936" s="3" t="n">
        <v>7</v>
      </c>
      <c r="F936" s="3" t="n">
        <v>2</v>
      </c>
      <c r="G936" s="3" t="n">
        <v>1</v>
      </c>
      <c r="H936" s="24" t="n">
        <v>-0.131933674</v>
      </c>
    </row>
    <row r="937" customFormat="false" ht="15" hidden="false" customHeight="false" outlineLevel="0" collapsed="false">
      <c r="A937" s="3" t="n">
        <v>936</v>
      </c>
      <c r="B937" s="3" t="n">
        <v>935</v>
      </c>
      <c r="C937" s="3" t="s">
        <v>117</v>
      </c>
      <c r="D937" s="3" t="n">
        <v>11</v>
      </c>
      <c r="E937" s="3" t="n">
        <v>7</v>
      </c>
      <c r="F937" s="3" t="n">
        <v>2</v>
      </c>
      <c r="G937" s="3" t="n">
        <v>2</v>
      </c>
      <c r="H937" s="24" t="n">
        <v>-0.232817203</v>
      </c>
    </row>
    <row r="938" customFormat="false" ht="15" hidden="false" customHeight="false" outlineLevel="0" collapsed="false">
      <c r="A938" s="3" t="n">
        <v>937</v>
      </c>
      <c r="B938" s="3" t="n">
        <v>936</v>
      </c>
      <c r="C938" s="3" t="s">
        <v>117</v>
      </c>
      <c r="D938" s="3" t="n">
        <v>12</v>
      </c>
      <c r="E938" s="3" t="n">
        <v>0</v>
      </c>
      <c r="F938" s="3" t="n">
        <v>0</v>
      </c>
      <c r="G938" s="3" t="n">
        <v>0</v>
      </c>
      <c r="H938" s="24" t="n">
        <v>0.0477941744</v>
      </c>
    </row>
    <row r="939" customFormat="false" ht="15" hidden="false" customHeight="false" outlineLevel="0" collapsed="false">
      <c r="A939" s="3" t="n">
        <v>938</v>
      </c>
      <c r="B939" s="3" t="n">
        <v>937</v>
      </c>
      <c r="C939" s="3" t="s">
        <v>117</v>
      </c>
      <c r="D939" s="3" t="n">
        <v>12</v>
      </c>
      <c r="E939" s="3" t="n">
        <v>0</v>
      </c>
      <c r="F939" s="3" t="n">
        <v>0</v>
      </c>
      <c r="G939" s="3" t="n">
        <v>1</v>
      </c>
      <c r="H939" s="24" t="n">
        <v>-0.349223852</v>
      </c>
    </row>
    <row r="940" customFormat="false" ht="15" hidden="false" customHeight="false" outlineLevel="0" collapsed="false">
      <c r="A940" s="3" t="n">
        <v>939</v>
      </c>
      <c r="B940" s="3" t="n">
        <v>938</v>
      </c>
      <c r="C940" s="3" t="s">
        <v>117</v>
      </c>
      <c r="D940" s="3" t="n">
        <v>12</v>
      </c>
      <c r="E940" s="3" t="n">
        <v>0</v>
      </c>
      <c r="F940" s="3" t="n">
        <v>0</v>
      </c>
      <c r="G940" s="3" t="n">
        <v>2</v>
      </c>
      <c r="H940" s="24" t="n">
        <v>-0.31077823</v>
      </c>
    </row>
    <row r="941" customFormat="false" ht="15" hidden="false" customHeight="false" outlineLevel="0" collapsed="false">
      <c r="A941" s="3" t="n">
        <v>940</v>
      </c>
      <c r="B941" s="3" t="n">
        <v>939</v>
      </c>
      <c r="C941" s="3" t="s">
        <v>117</v>
      </c>
      <c r="D941" s="3" t="n">
        <v>12</v>
      </c>
      <c r="E941" s="3" t="n">
        <v>0</v>
      </c>
      <c r="F941" s="3" t="n">
        <v>1</v>
      </c>
      <c r="G941" s="3" t="n">
        <v>0</v>
      </c>
      <c r="H941" s="24" t="n">
        <v>-0.0947569162</v>
      </c>
    </row>
    <row r="942" customFormat="false" ht="15" hidden="false" customHeight="false" outlineLevel="0" collapsed="false">
      <c r="A942" s="3" t="n">
        <v>941</v>
      </c>
      <c r="B942" s="3" t="n">
        <v>940</v>
      </c>
      <c r="C942" s="3" t="s">
        <v>117</v>
      </c>
      <c r="D942" s="3" t="n">
        <v>12</v>
      </c>
      <c r="E942" s="3" t="n">
        <v>0</v>
      </c>
      <c r="F942" s="3" t="n">
        <v>1</v>
      </c>
      <c r="G942" s="3" t="n">
        <v>1</v>
      </c>
      <c r="H942" s="24" t="n">
        <v>-0.302579492</v>
      </c>
    </row>
    <row r="943" customFormat="false" ht="15" hidden="false" customHeight="false" outlineLevel="0" collapsed="false">
      <c r="A943" s="3" t="n">
        <v>942</v>
      </c>
      <c r="B943" s="3" t="n">
        <v>941</v>
      </c>
      <c r="C943" s="3" t="s">
        <v>117</v>
      </c>
      <c r="D943" s="3" t="n">
        <v>12</v>
      </c>
      <c r="E943" s="3" t="n">
        <v>0</v>
      </c>
      <c r="F943" s="3" t="n">
        <v>1</v>
      </c>
      <c r="G943" s="3" t="n">
        <v>2</v>
      </c>
      <c r="H943" s="24" t="n">
        <v>0.292022079</v>
      </c>
    </row>
    <row r="944" customFormat="false" ht="15" hidden="false" customHeight="false" outlineLevel="0" collapsed="false">
      <c r="A944" s="3" t="n">
        <v>943</v>
      </c>
      <c r="B944" s="3" t="n">
        <v>942</v>
      </c>
      <c r="C944" s="3" t="s">
        <v>117</v>
      </c>
      <c r="D944" s="3" t="n">
        <v>12</v>
      </c>
      <c r="E944" s="3" t="n">
        <v>0</v>
      </c>
      <c r="F944" s="3" t="n">
        <v>2</v>
      </c>
      <c r="G944" s="3" t="n">
        <v>0</v>
      </c>
      <c r="H944" s="24" t="n">
        <v>-0.107642166</v>
      </c>
    </row>
    <row r="945" customFormat="false" ht="15" hidden="false" customHeight="false" outlineLevel="0" collapsed="false">
      <c r="A945" s="3" t="n">
        <v>944</v>
      </c>
      <c r="B945" s="3" t="n">
        <v>943</v>
      </c>
      <c r="C945" s="3" t="s">
        <v>117</v>
      </c>
      <c r="D945" s="3" t="n">
        <v>12</v>
      </c>
      <c r="E945" s="3" t="n">
        <v>0</v>
      </c>
      <c r="F945" s="3" t="n">
        <v>2</v>
      </c>
      <c r="G945" s="3" t="n">
        <v>1</v>
      </c>
      <c r="H945" s="24" t="n">
        <v>0.0410434827</v>
      </c>
    </row>
    <row r="946" customFormat="false" ht="15" hidden="false" customHeight="false" outlineLevel="0" collapsed="false">
      <c r="A946" s="3" t="n">
        <v>945</v>
      </c>
      <c r="B946" s="3" t="n">
        <v>944</v>
      </c>
      <c r="C946" s="3" t="s">
        <v>117</v>
      </c>
      <c r="D946" s="3" t="n">
        <v>12</v>
      </c>
      <c r="E946" s="3" t="n">
        <v>0</v>
      </c>
      <c r="F946" s="3" t="n">
        <v>2</v>
      </c>
      <c r="G946" s="3" t="n">
        <v>2</v>
      </c>
      <c r="H946" s="24" t="n">
        <v>0.0547777303</v>
      </c>
    </row>
    <row r="947" customFormat="false" ht="15" hidden="false" customHeight="false" outlineLevel="0" collapsed="false">
      <c r="A947" s="3" t="n">
        <v>946</v>
      </c>
      <c r="B947" s="3" t="n">
        <v>945</v>
      </c>
      <c r="C947" s="3" t="s">
        <v>117</v>
      </c>
      <c r="D947" s="3" t="n">
        <v>12</v>
      </c>
      <c r="E947" s="3" t="n">
        <v>1</v>
      </c>
      <c r="F947" s="3" t="n">
        <v>0</v>
      </c>
      <c r="G947" s="3" t="n">
        <v>0</v>
      </c>
      <c r="H947" s="24" t="n">
        <v>0.0114356745</v>
      </c>
    </row>
    <row r="948" customFormat="false" ht="15" hidden="false" customHeight="false" outlineLevel="0" collapsed="false">
      <c r="A948" s="3" t="n">
        <v>947</v>
      </c>
      <c r="B948" s="3" t="n">
        <v>946</v>
      </c>
      <c r="C948" s="3" t="s">
        <v>117</v>
      </c>
      <c r="D948" s="3" t="n">
        <v>12</v>
      </c>
      <c r="E948" s="3" t="n">
        <v>1</v>
      </c>
      <c r="F948" s="3" t="n">
        <v>0</v>
      </c>
      <c r="G948" s="3" t="n">
        <v>1</v>
      </c>
      <c r="H948" s="24" t="n">
        <v>-0.47176531</v>
      </c>
    </row>
    <row r="949" customFormat="false" ht="15" hidden="false" customHeight="false" outlineLevel="0" collapsed="false">
      <c r="A949" s="3" t="n">
        <v>948</v>
      </c>
      <c r="B949" s="3" t="n">
        <v>947</v>
      </c>
      <c r="C949" s="3" t="s">
        <v>117</v>
      </c>
      <c r="D949" s="3" t="n">
        <v>12</v>
      </c>
      <c r="E949" s="3" t="n">
        <v>1</v>
      </c>
      <c r="F949" s="3" t="n">
        <v>0</v>
      </c>
      <c r="G949" s="3" t="n">
        <v>2</v>
      </c>
      <c r="H949" s="24" t="n">
        <v>-0.247638136</v>
      </c>
    </row>
    <row r="950" customFormat="false" ht="15" hidden="false" customHeight="false" outlineLevel="0" collapsed="false">
      <c r="A950" s="3" t="n">
        <v>949</v>
      </c>
      <c r="B950" s="3" t="n">
        <v>948</v>
      </c>
      <c r="C950" s="3" t="s">
        <v>117</v>
      </c>
      <c r="D950" s="3" t="n">
        <v>12</v>
      </c>
      <c r="E950" s="3" t="n">
        <v>1</v>
      </c>
      <c r="F950" s="3" t="n">
        <v>1</v>
      </c>
      <c r="G950" s="3" t="n">
        <v>0</v>
      </c>
      <c r="H950" s="24" t="n">
        <v>-0.144387051</v>
      </c>
    </row>
    <row r="951" customFormat="false" ht="15" hidden="false" customHeight="false" outlineLevel="0" collapsed="false">
      <c r="A951" s="3" t="n">
        <v>950</v>
      </c>
      <c r="B951" s="3" t="n">
        <v>949</v>
      </c>
      <c r="C951" s="3" t="s">
        <v>117</v>
      </c>
      <c r="D951" s="3" t="n">
        <v>12</v>
      </c>
      <c r="E951" s="3" t="n">
        <v>1</v>
      </c>
      <c r="F951" s="3" t="n">
        <v>1</v>
      </c>
      <c r="G951" s="3" t="n">
        <v>1</v>
      </c>
      <c r="H951" s="24" t="n">
        <v>-0.170525521</v>
      </c>
    </row>
    <row r="952" customFormat="false" ht="15" hidden="false" customHeight="false" outlineLevel="0" collapsed="false">
      <c r="A952" s="3" t="n">
        <v>951</v>
      </c>
      <c r="B952" s="3" t="n">
        <v>950</v>
      </c>
      <c r="C952" s="3" t="s">
        <v>117</v>
      </c>
      <c r="D952" s="3" t="n">
        <v>12</v>
      </c>
      <c r="E952" s="3" t="n">
        <v>1</v>
      </c>
      <c r="F952" s="3" t="n">
        <v>1</v>
      </c>
      <c r="G952" s="3" t="n">
        <v>2</v>
      </c>
      <c r="H952" s="24" t="n">
        <v>0.298656195</v>
      </c>
    </row>
    <row r="953" customFormat="false" ht="15" hidden="false" customHeight="false" outlineLevel="0" collapsed="false">
      <c r="A953" s="3" t="n">
        <v>952</v>
      </c>
      <c r="B953" s="3" t="n">
        <v>951</v>
      </c>
      <c r="C953" s="3" t="s">
        <v>117</v>
      </c>
      <c r="D953" s="3" t="n">
        <v>12</v>
      </c>
      <c r="E953" s="3" t="n">
        <v>1</v>
      </c>
      <c r="F953" s="3" t="n">
        <v>2</v>
      </c>
      <c r="G953" s="3" t="n">
        <v>0</v>
      </c>
      <c r="H953" s="24" t="n">
        <v>-0.254947007</v>
      </c>
    </row>
    <row r="954" customFormat="false" ht="15" hidden="false" customHeight="false" outlineLevel="0" collapsed="false">
      <c r="A954" s="3" t="n">
        <v>953</v>
      </c>
      <c r="B954" s="3" t="n">
        <v>952</v>
      </c>
      <c r="C954" s="3" t="s">
        <v>117</v>
      </c>
      <c r="D954" s="3" t="n">
        <v>12</v>
      </c>
      <c r="E954" s="3" t="n">
        <v>1</v>
      </c>
      <c r="F954" s="3" t="n">
        <v>2</v>
      </c>
      <c r="G954" s="3" t="n">
        <v>1</v>
      </c>
      <c r="H954" s="24" t="n">
        <v>-0.00680551445</v>
      </c>
    </row>
    <row r="955" customFormat="false" ht="15" hidden="false" customHeight="false" outlineLevel="0" collapsed="false">
      <c r="A955" s="3" t="n">
        <v>954</v>
      </c>
      <c r="B955" s="3" t="n">
        <v>953</v>
      </c>
      <c r="C955" s="3" t="s">
        <v>117</v>
      </c>
      <c r="D955" s="3" t="n">
        <v>12</v>
      </c>
      <c r="E955" s="3" t="n">
        <v>1</v>
      </c>
      <c r="F955" s="3" t="n">
        <v>2</v>
      </c>
      <c r="G955" s="3" t="n">
        <v>2</v>
      </c>
      <c r="H955" s="24" t="n">
        <v>0.198458225</v>
      </c>
    </row>
    <row r="956" customFormat="false" ht="15" hidden="false" customHeight="false" outlineLevel="0" collapsed="false">
      <c r="A956" s="3" t="n">
        <v>955</v>
      </c>
      <c r="B956" s="3" t="n">
        <v>954</v>
      </c>
      <c r="C956" s="3" t="s">
        <v>117</v>
      </c>
      <c r="D956" s="3" t="n">
        <v>12</v>
      </c>
      <c r="E956" s="3" t="n">
        <v>2</v>
      </c>
      <c r="F956" s="3" t="n">
        <v>0</v>
      </c>
      <c r="G956" s="3" t="n">
        <v>0</v>
      </c>
      <c r="H956" s="24" t="n">
        <v>0.131630749</v>
      </c>
    </row>
    <row r="957" customFormat="false" ht="15" hidden="false" customHeight="false" outlineLevel="0" collapsed="false">
      <c r="A957" s="3" t="n">
        <v>956</v>
      </c>
      <c r="B957" s="3" t="n">
        <v>955</v>
      </c>
      <c r="C957" s="3" t="s">
        <v>117</v>
      </c>
      <c r="D957" s="3" t="n">
        <v>12</v>
      </c>
      <c r="E957" s="3" t="n">
        <v>2</v>
      </c>
      <c r="F957" s="3" t="n">
        <v>0</v>
      </c>
      <c r="G957" s="3" t="n">
        <v>1</v>
      </c>
      <c r="H957" s="24" t="n">
        <v>-0.367038697</v>
      </c>
    </row>
    <row r="958" customFormat="false" ht="15" hidden="false" customHeight="false" outlineLevel="0" collapsed="false">
      <c r="A958" s="3" t="n">
        <v>957</v>
      </c>
      <c r="B958" s="3" t="n">
        <v>956</v>
      </c>
      <c r="C958" s="3" t="s">
        <v>117</v>
      </c>
      <c r="D958" s="3" t="n">
        <v>12</v>
      </c>
      <c r="E958" s="3" t="n">
        <v>2</v>
      </c>
      <c r="F958" s="3" t="n">
        <v>0</v>
      </c>
      <c r="G958" s="3" t="n">
        <v>2</v>
      </c>
      <c r="H958" s="24" t="n">
        <v>0.0529471375</v>
      </c>
    </row>
    <row r="959" customFormat="false" ht="15" hidden="false" customHeight="false" outlineLevel="0" collapsed="false">
      <c r="A959" s="3" t="n">
        <v>958</v>
      </c>
      <c r="B959" s="3" t="n">
        <v>957</v>
      </c>
      <c r="C959" s="3" t="s">
        <v>117</v>
      </c>
      <c r="D959" s="3" t="n">
        <v>12</v>
      </c>
      <c r="E959" s="3" t="n">
        <v>2</v>
      </c>
      <c r="F959" s="3" t="n">
        <v>1</v>
      </c>
      <c r="G959" s="3" t="n">
        <v>0</v>
      </c>
      <c r="H959" s="24" t="n">
        <v>-0.0490402356</v>
      </c>
    </row>
    <row r="960" customFormat="false" ht="15" hidden="false" customHeight="false" outlineLevel="0" collapsed="false">
      <c r="A960" s="3" t="n">
        <v>959</v>
      </c>
      <c r="B960" s="3" t="n">
        <v>958</v>
      </c>
      <c r="C960" s="3" t="s">
        <v>117</v>
      </c>
      <c r="D960" s="3" t="n">
        <v>12</v>
      </c>
      <c r="E960" s="3" t="n">
        <v>2</v>
      </c>
      <c r="F960" s="3" t="n">
        <v>1</v>
      </c>
      <c r="G960" s="3" t="n">
        <v>1</v>
      </c>
      <c r="H960" s="24" t="n">
        <v>0.00972859561</v>
      </c>
    </row>
    <row r="961" customFormat="false" ht="15" hidden="false" customHeight="false" outlineLevel="0" collapsed="false">
      <c r="A961" s="3" t="n">
        <v>960</v>
      </c>
      <c r="B961" s="3" t="n">
        <v>959</v>
      </c>
      <c r="C961" s="3" t="s">
        <v>117</v>
      </c>
      <c r="D961" s="3" t="n">
        <v>12</v>
      </c>
      <c r="E961" s="3" t="n">
        <v>2</v>
      </c>
      <c r="F961" s="3" t="n">
        <v>1</v>
      </c>
      <c r="G961" s="3" t="n">
        <v>2</v>
      </c>
      <c r="H961" s="24" t="n">
        <v>0.27705425</v>
      </c>
    </row>
    <row r="962" customFormat="false" ht="15" hidden="false" customHeight="false" outlineLevel="0" collapsed="false">
      <c r="A962" s="3" t="n">
        <v>961</v>
      </c>
      <c r="B962" s="3" t="n">
        <v>960</v>
      </c>
      <c r="C962" s="3" t="s">
        <v>117</v>
      </c>
      <c r="D962" s="3" t="n">
        <v>12</v>
      </c>
      <c r="E962" s="3" t="n">
        <v>2</v>
      </c>
      <c r="F962" s="3" t="n">
        <v>2</v>
      </c>
      <c r="G962" s="3" t="n">
        <v>0</v>
      </c>
      <c r="H962" s="24" t="n">
        <v>-0.212449715</v>
      </c>
    </row>
    <row r="963" customFormat="false" ht="15" hidden="false" customHeight="false" outlineLevel="0" collapsed="false">
      <c r="A963" s="3" t="n">
        <v>962</v>
      </c>
      <c r="B963" s="3" t="n">
        <v>961</v>
      </c>
      <c r="C963" s="3" t="s">
        <v>117</v>
      </c>
      <c r="D963" s="3" t="n">
        <v>12</v>
      </c>
      <c r="E963" s="3" t="n">
        <v>2</v>
      </c>
      <c r="F963" s="3" t="n">
        <v>2</v>
      </c>
      <c r="G963" s="3" t="n">
        <v>1</v>
      </c>
      <c r="H963" s="24" t="n">
        <v>0.299324542</v>
      </c>
    </row>
    <row r="964" customFormat="false" ht="15" hidden="false" customHeight="false" outlineLevel="0" collapsed="false">
      <c r="A964" s="3" t="n">
        <v>963</v>
      </c>
      <c r="B964" s="3" t="n">
        <v>962</v>
      </c>
      <c r="C964" s="3" t="s">
        <v>117</v>
      </c>
      <c r="D964" s="3" t="n">
        <v>12</v>
      </c>
      <c r="E964" s="3" t="n">
        <v>2</v>
      </c>
      <c r="F964" s="3" t="n">
        <v>2</v>
      </c>
      <c r="G964" s="3" t="n">
        <v>2</v>
      </c>
      <c r="H964" s="24" t="n">
        <v>0.390393883</v>
      </c>
    </row>
    <row r="965" customFormat="false" ht="15" hidden="false" customHeight="false" outlineLevel="0" collapsed="false">
      <c r="A965" s="3" t="n">
        <v>964</v>
      </c>
      <c r="B965" s="3" t="n">
        <v>963</v>
      </c>
      <c r="C965" s="3" t="s">
        <v>117</v>
      </c>
      <c r="D965" s="3" t="n">
        <v>12</v>
      </c>
      <c r="E965" s="3" t="n">
        <v>3</v>
      </c>
      <c r="F965" s="3" t="n">
        <v>0</v>
      </c>
      <c r="G965" s="3" t="n">
        <v>0</v>
      </c>
      <c r="H965" s="24" t="n">
        <v>0.137181267</v>
      </c>
    </row>
    <row r="966" customFormat="false" ht="15" hidden="false" customHeight="false" outlineLevel="0" collapsed="false">
      <c r="A966" s="3" t="n">
        <v>965</v>
      </c>
      <c r="B966" s="3" t="n">
        <v>964</v>
      </c>
      <c r="C966" s="3" t="s">
        <v>117</v>
      </c>
      <c r="D966" s="3" t="n">
        <v>12</v>
      </c>
      <c r="E966" s="3" t="n">
        <v>3</v>
      </c>
      <c r="F966" s="3" t="n">
        <v>0</v>
      </c>
      <c r="G966" s="3" t="n">
        <v>1</v>
      </c>
      <c r="H966" s="24" t="n">
        <v>-0.0249864329</v>
      </c>
    </row>
    <row r="967" customFormat="false" ht="15" hidden="false" customHeight="false" outlineLevel="0" collapsed="false">
      <c r="A967" s="3" t="n">
        <v>966</v>
      </c>
      <c r="B967" s="3" t="n">
        <v>965</v>
      </c>
      <c r="C967" s="3" t="s">
        <v>117</v>
      </c>
      <c r="D967" s="3" t="n">
        <v>12</v>
      </c>
      <c r="E967" s="3" t="n">
        <v>3</v>
      </c>
      <c r="F967" s="3" t="n">
        <v>0</v>
      </c>
      <c r="G967" s="3" t="n">
        <v>2</v>
      </c>
      <c r="H967" s="24" t="n">
        <v>0.0092046205</v>
      </c>
    </row>
    <row r="968" customFormat="false" ht="15" hidden="false" customHeight="false" outlineLevel="0" collapsed="false">
      <c r="A968" s="3" t="n">
        <v>967</v>
      </c>
      <c r="B968" s="3" t="n">
        <v>966</v>
      </c>
      <c r="C968" s="3" t="s">
        <v>117</v>
      </c>
      <c r="D968" s="3" t="n">
        <v>12</v>
      </c>
      <c r="E968" s="3" t="n">
        <v>3</v>
      </c>
      <c r="F968" s="3" t="n">
        <v>1</v>
      </c>
      <c r="G968" s="3" t="n">
        <v>0</v>
      </c>
      <c r="H968" s="24" t="n">
        <v>-0.104736559</v>
      </c>
    </row>
    <row r="969" customFormat="false" ht="15" hidden="false" customHeight="false" outlineLevel="0" collapsed="false">
      <c r="A969" s="3" t="n">
        <v>968</v>
      </c>
      <c r="B969" s="3" t="n">
        <v>967</v>
      </c>
      <c r="C969" s="3" t="s">
        <v>117</v>
      </c>
      <c r="D969" s="3" t="n">
        <v>12</v>
      </c>
      <c r="E969" s="3" t="n">
        <v>3</v>
      </c>
      <c r="F969" s="3" t="n">
        <v>1</v>
      </c>
      <c r="G969" s="3" t="n">
        <v>1</v>
      </c>
      <c r="H969" s="24" t="n">
        <v>-0.0632098392</v>
      </c>
    </row>
    <row r="970" customFormat="false" ht="15" hidden="false" customHeight="false" outlineLevel="0" collapsed="false">
      <c r="A970" s="3" t="n">
        <v>969</v>
      </c>
      <c r="B970" s="3" t="n">
        <v>968</v>
      </c>
      <c r="C970" s="3" t="s">
        <v>117</v>
      </c>
      <c r="D970" s="3" t="n">
        <v>12</v>
      </c>
      <c r="E970" s="3" t="n">
        <v>3</v>
      </c>
      <c r="F970" s="3" t="n">
        <v>1</v>
      </c>
      <c r="G970" s="3" t="n">
        <v>2</v>
      </c>
      <c r="H970" s="24" t="n">
        <v>0.0520329885</v>
      </c>
    </row>
    <row r="971" customFormat="false" ht="15" hidden="false" customHeight="false" outlineLevel="0" collapsed="false">
      <c r="A971" s="3" t="n">
        <v>970</v>
      </c>
      <c r="B971" s="3" t="n">
        <v>969</v>
      </c>
      <c r="C971" s="3" t="s">
        <v>117</v>
      </c>
      <c r="D971" s="3" t="n">
        <v>12</v>
      </c>
      <c r="E971" s="3" t="n">
        <v>3</v>
      </c>
      <c r="F971" s="3" t="n">
        <v>2</v>
      </c>
      <c r="G971" s="3" t="n">
        <v>0</v>
      </c>
      <c r="H971" s="24" t="n">
        <v>0.0812471285</v>
      </c>
    </row>
    <row r="972" customFormat="false" ht="15" hidden="false" customHeight="false" outlineLevel="0" collapsed="false">
      <c r="A972" s="3" t="n">
        <v>971</v>
      </c>
      <c r="B972" s="3" t="n">
        <v>970</v>
      </c>
      <c r="C972" s="3" t="s">
        <v>117</v>
      </c>
      <c r="D972" s="3" t="n">
        <v>12</v>
      </c>
      <c r="E972" s="3" t="n">
        <v>3</v>
      </c>
      <c r="F972" s="3" t="n">
        <v>2</v>
      </c>
      <c r="G972" s="3" t="n">
        <v>1</v>
      </c>
      <c r="H972" s="24" t="n">
        <v>0.308123171</v>
      </c>
    </row>
    <row r="973" customFormat="false" ht="15" hidden="false" customHeight="false" outlineLevel="0" collapsed="false">
      <c r="A973" s="3" t="n">
        <v>972</v>
      </c>
      <c r="B973" s="3" t="n">
        <v>971</v>
      </c>
      <c r="C973" s="3" t="s">
        <v>117</v>
      </c>
      <c r="D973" s="3" t="n">
        <v>12</v>
      </c>
      <c r="E973" s="3" t="n">
        <v>3</v>
      </c>
      <c r="F973" s="3" t="n">
        <v>2</v>
      </c>
      <c r="G973" s="3" t="n">
        <v>2</v>
      </c>
      <c r="H973" s="24" t="n">
        <v>0.101124689</v>
      </c>
    </row>
    <row r="974" customFormat="false" ht="15" hidden="false" customHeight="false" outlineLevel="0" collapsed="false">
      <c r="A974" s="3" t="n">
        <v>973</v>
      </c>
      <c r="B974" s="3" t="n">
        <v>972</v>
      </c>
      <c r="C974" s="3" t="s">
        <v>117</v>
      </c>
      <c r="D974" s="3" t="n">
        <v>12</v>
      </c>
      <c r="E974" s="3" t="n">
        <v>4</v>
      </c>
      <c r="F974" s="3" t="n">
        <v>0</v>
      </c>
      <c r="G974" s="3" t="n">
        <v>0</v>
      </c>
      <c r="H974" s="24" t="n">
        <v>0.0233018026</v>
      </c>
    </row>
    <row r="975" customFormat="false" ht="15" hidden="false" customHeight="false" outlineLevel="0" collapsed="false">
      <c r="A975" s="3" t="n">
        <v>974</v>
      </c>
      <c r="B975" s="3" t="n">
        <v>973</v>
      </c>
      <c r="C975" s="3" t="s">
        <v>117</v>
      </c>
      <c r="D975" s="3" t="n">
        <v>12</v>
      </c>
      <c r="E975" s="3" t="n">
        <v>4</v>
      </c>
      <c r="F975" s="3" t="n">
        <v>0</v>
      </c>
      <c r="G975" s="3" t="n">
        <v>1</v>
      </c>
      <c r="H975" s="24" t="n">
        <v>-0.495734036</v>
      </c>
    </row>
    <row r="976" customFormat="false" ht="15" hidden="false" customHeight="false" outlineLevel="0" collapsed="false">
      <c r="A976" s="3" t="n">
        <v>975</v>
      </c>
      <c r="B976" s="3" t="n">
        <v>974</v>
      </c>
      <c r="C976" s="3" t="s">
        <v>117</v>
      </c>
      <c r="D976" s="3" t="n">
        <v>12</v>
      </c>
      <c r="E976" s="3" t="n">
        <v>4</v>
      </c>
      <c r="F976" s="3" t="n">
        <v>0</v>
      </c>
      <c r="G976" s="3" t="n">
        <v>2</v>
      </c>
      <c r="H976" s="24" t="n">
        <v>-0.0167424008</v>
      </c>
    </row>
    <row r="977" customFormat="false" ht="15" hidden="false" customHeight="false" outlineLevel="0" collapsed="false">
      <c r="A977" s="3" t="n">
        <v>976</v>
      </c>
      <c r="B977" s="3" t="n">
        <v>975</v>
      </c>
      <c r="C977" s="3" t="s">
        <v>117</v>
      </c>
      <c r="D977" s="3" t="n">
        <v>12</v>
      </c>
      <c r="E977" s="3" t="n">
        <v>4</v>
      </c>
      <c r="F977" s="3" t="n">
        <v>1</v>
      </c>
      <c r="G977" s="3" t="n">
        <v>0</v>
      </c>
      <c r="H977" s="24" t="n">
        <v>-0.0444484279</v>
      </c>
    </row>
    <row r="978" customFormat="false" ht="15" hidden="false" customHeight="false" outlineLevel="0" collapsed="false">
      <c r="A978" s="3" t="n">
        <v>977</v>
      </c>
      <c r="B978" s="3" t="n">
        <v>976</v>
      </c>
      <c r="C978" s="3" t="s">
        <v>117</v>
      </c>
      <c r="D978" s="3" t="n">
        <v>12</v>
      </c>
      <c r="E978" s="3" t="n">
        <v>4</v>
      </c>
      <c r="F978" s="3" t="n">
        <v>1</v>
      </c>
      <c r="G978" s="3" t="n">
        <v>1</v>
      </c>
      <c r="H978" s="24" t="n">
        <v>-0.306438088</v>
      </c>
    </row>
    <row r="979" customFormat="false" ht="15" hidden="false" customHeight="false" outlineLevel="0" collapsed="false">
      <c r="A979" s="3" t="n">
        <v>978</v>
      </c>
      <c r="B979" s="3" t="n">
        <v>977</v>
      </c>
      <c r="C979" s="3" t="s">
        <v>117</v>
      </c>
      <c r="D979" s="3" t="n">
        <v>12</v>
      </c>
      <c r="E979" s="3" t="n">
        <v>4</v>
      </c>
      <c r="F979" s="3" t="n">
        <v>1</v>
      </c>
      <c r="G979" s="3" t="n">
        <v>2</v>
      </c>
      <c r="H979" s="24" t="n">
        <v>0.1072134</v>
      </c>
    </row>
    <row r="980" customFormat="false" ht="15" hidden="false" customHeight="false" outlineLevel="0" collapsed="false">
      <c r="A980" s="3" t="n">
        <v>979</v>
      </c>
      <c r="B980" s="3" t="n">
        <v>978</v>
      </c>
      <c r="C980" s="3" t="s">
        <v>117</v>
      </c>
      <c r="D980" s="3" t="n">
        <v>12</v>
      </c>
      <c r="E980" s="3" t="n">
        <v>4</v>
      </c>
      <c r="F980" s="3" t="n">
        <v>2</v>
      </c>
      <c r="G980" s="3" t="n">
        <v>0</v>
      </c>
      <c r="H980" s="24" t="n">
        <v>-0.237638682</v>
      </c>
    </row>
    <row r="981" customFormat="false" ht="15" hidden="false" customHeight="false" outlineLevel="0" collapsed="false">
      <c r="A981" s="3" t="n">
        <v>980</v>
      </c>
      <c r="B981" s="3" t="n">
        <v>979</v>
      </c>
      <c r="C981" s="3" t="s">
        <v>117</v>
      </c>
      <c r="D981" s="3" t="n">
        <v>12</v>
      </c>
      <c r="E981" s="3" t="n">
        <v>4</v>
      </c>
      <c r="F981" s="3" t="n">
        <v>2</v>
      </c>
      <c r="G981" s="3" t="n">
        <v>1</v>
      </c>
      <c r="H981" s="24" t="n">
        <v>0.168857813</v>
      </c>
    </row>
    <row r="982" customFormat="false" ht="15" hidden="false" customHeight="false" outlineLevel="0" collapsed="false">
      <c r="A982" s="3" t="n">
        <v>981</v>
      </c>
      <c r="B982" s="3" t="n">
        <v>980</v>
      </c>
      <c r="C982" s="3" t="s">
        <v>117</v>
      </c>
      <c r="D982" s="3" t="n">
        <v>12</v>
      </c>
      <c r="E982" s="3" t="n">
        <v>4</v>
      </c>
      <c r="F982" s="3" t="n">
        <v>2</v>
      </c>
      <c r="G982" s="3" t="n">
        <v>2</v>
      </c>
      <c r="H982" s="24" t="n">
        <v>0.264422715</v>
      </c>
    </row>
    <row r="983" customFormat="false" ht="15" hidden="false" customHeight="false" outlineLevel="0" collapsed="false">
      <c r="A983" s="3" t="n">
        <v>982</v>
      </c>
      <c r="B983" s="3" t="n">
        <v>981</v>
      </c>
      <c r="C983" s="3" t="s">
        <v>117</v>
      </c>
      <c r="D983" s="3" t="n">
        <v>12</v>
      </c>
      <c r="E983" s="3" t="n">
        <v>5</v>
      </c>
      <c r="F983" s="3" t="n">
        <v>0</v>
      </c>
      <c r="G983" s="3" t="n">
        <v>0</v>
      </c>
      <c r="H983" s="24" t="n">
        <v>-0.0935675278</v>
      </c>
    </row>
    <row r="984" customFormat="false" ht="15" hidden="false" customHeight="false" outlineLevel="0" collapsed="false">
      <c r="A984" s="3" t="n">
        <v>983</v>
      </c>
      <c r="B984" s="3" t="n">
        <v>982</v>
      </c>
      <c r="C984" s="3" t="s">
        <v>117</v>
      </c>
      <c r="D984" s="3" t="n">
        <v>12</v>
      </c>
      <c r="E984" s="3" t="n">
        <v>5</v>
      </c>
      <c r="F984" s="3" t="n">
        <v>0</v>
      </c>
      <c r="G984" s="3" t="n">
        <v>1</v>
      </c>
      <c r="H984" s="24" t="n">
        <v>-0.0344529562</v>
      </c>
    </row>
    <row r="985" customFormat="false" ht="15" hidden="false" customHeight="false" outlineLevel="0" collapsed="false">
      <c r="A985" s="3" t="n">
        <v>984</v>
      </c>
      <c r="B985" s="3" t="n">
        <v>983</v>
      </c>
      <c r="C985" s="3" t="s">
        <v>117</v>
      </c>
      <c r="D985" s="3" t="n">
        <v>12</v>
      </c>
      <c r="E985" s="3" t="n">
        <v>5</v>
      </c>
      <c r="F985" s="3" t="n">
        <v>0</v>
      </c>
      <c r="G985" s="3" t="n">
        <v>2</v>
      </c>
      <c r="H985" s="24" t="n">
        <v>0.27201426</v>
      </c>
    </row>
    <row r="986" customFormat="false" ht="15" hidden="false" customHeight="false" outlineLevel="0" collapsed="false">
      <c r="A986" s="3" t="n">
        <v>985</v>
      </c>
      <c r="B986" s="3" t="n">
        <v>984</v>
      </c>
      <c r="C986" s="3" t="s">
        <v>117</v>
      </c>
      <c r="D986" s="3" t="n">
        <v>12</v>
      </c>
      <c r="E986" s="3" t="n">
        <v>5</v>
      </c>
      <c r="F986" s="3" t="n">
        <v>1</v>
      </c>
      <c r="G986" s="3" t="n">
        <v>0</v>
      </c>
      <c r="H986" s="24" t="n">
        <v>-0.00694372552</v>
      </c>
    </row>
    <row r="987" customFormat="false" ht="15" hidden="false" customHeight="false" outlineLevel="0" collapsed="false">
      <c r="A987" s="3" t="n">
        <v>986</v>
      </c>
      <c r="B987" s="3" t="n">
        <v>985</v>
      </c>
      <c r="C987" s="3" t="s">
        <v>117</v>
      </c>
      <c r="D987" s="3" t="n">
        <v>12</v>
      </c>
      <c r="E987" s="3" t="n">
        <v>5</v>
      </c>
      <c r="F987" s="3" t="n">
        <v>1</v>
      </c>
      <c r="G987" s="3" t="n">
        <v>1</v>
      </c>
      <c r="H987" s="24" t="n">
        <v>-0.179566741</v>
      </c>
    </row>
    <row r="988" customFormat="false" ht="15" hidden="false" customHeight="false" outlineLevel="0" collapsed="false">
      <c r="A988" s="3" t="n">
        <v>987</v>
      </c>
      <c r="B988" s="3" t="n">
        <v>986</v>
      </c>
      <c r="C988" s="3" t="s">
        <v>117</v>
      </c>
      <c r="D988" s="3" t="n">
        <v>12</v>
      </c>
      <c r="E988" s="3" t="n">
        <v>5</v>
      </c>
      <c r="F988" s="3" t="n">
        <v>1</v>
      </c>
      <c r="G988" s="3" t="n">
        <v>2</v>
      </c>
      <c r="H988" s="24" t="n">
        <v>-0.297424614</v>
      </c>
    </row>
    <row r="989" customFormat="false" ht="15" hidden="false" customHeight="false" outlineLevel="0" collapsed="false">
      <c r="A989" s="3" t="n">
        <v>988</v>
      </c>
      <c r="B989" s="3" t="n">
        <v>987</v>
      </c>
      <c r="C989" s="3" t="s">
        <v>117</v>
      </c>
      <c r="D989" s="3" t="n">
        <v>12</v>
      </c>
      <c r="E989" s="3" t="n">
        <v>5</v>
      </c>
      <c r="F989" s="3" t="n">
        <v>2</v>
      </c>
      <c r="G989" s="3" t="n">
        <v>0</v>
      </c>
      <c r="H989" s="24" t="n">
        <v>-0.101258099</v>
      </c>
    </row>
    <row r="990" customFormat="false" ht="15" hidden="false" customHeight="false" outlineLevel="0" collapsed="false">
      <c r="A990" s="3" t="n">
        <v>989</v>
      </c>
      <c r="B990" s="3" t="n">
        <v>988</v>
      </c>
      <c r="C990" s="3" t="s">
        <v>117</v>
      </c>
      <c r="D990" s="3" t="n">
        <v>12</v>
      </c>
      <c r="E990" s="3" t="n">
        <v>5</v>
      </c>
      <c r="F990" s="3" t="n">
        <v>2</v>
      </c>
      <c r="G990" s="3" t="n">
        <v>1</v>
      </c>
      <c r="H990" s="24" t="n">
        <v>0.0760738403</v>
      </c>
    </row>
    <row r="991" customFormat="false" ht="15" hidden="false" customHeight="false" outlineLevel="0" collapsed="false">
      <c r="A991" s="3" t="n">
        <v>990</v>
      </c>
      <c r="B991" s="3" t="n">
        <v>989</v>
      </c>
      <c r="C991" s="3" t="s">
        <v>117</v>
      </c>
      <c r="D991" s="3" t="n">
        <v>12</v>
      </c>
      <c r="E991" s="3" t="n">
        <v>5</v>
      </c>
      <c r="F991" s="3" t="n">
        <v>2</v>
      </c>
      <c r="G991" s="3" t="n">
        <v>2</v>
      </c>
      <c r="H991" s="24" t="n">
        <v>0.0721044019</v>
      </c>
    </row>
    <row r="992" customFormat="false" ht="15" hidden="false" customHeight="false" outlineLevel="0" collapsed="false">
      <c r="A992" s="3" t="n">
        <v>991</v>
      </c>
      <c r="B992" s="3" t="n">
        <v>990</v>
      </c>
      <c r="C992" s="3" t="s">
        <v>117</v>
      </c>
      <c r="D992" s="3" t="n">
        <v>12</v>
      </c>
      <c r="E992" s="3" t="n">
        <v>6</v>
      </c>
      <c r="F992" s="3" t="n">
        <v>0</v>
      </c>
      <c r="G992" s="3" t="n">
        <v>0</v>
      </c>
      <c r="H992" s="24" t="n">
        <v>-0.00930111669</v>
      </c>
    </row>
    <row r="993" customFormat="false" ht="15" hidden="false" customHeight="false" outlineLevel="0" collapsed="false">
      <c r="A993" s="3" t="n">
        <v>992</v>
      </c>
      <c r="B993" s="3" t="n">
        <v>991</v>
      </c>
      <c r="C993" s="3" t="s">
        <v>117</v>
      </c>
      <c r="D993" s="3" t="n">
        <v>12</v>
      </c>
      <c r="E993" s="3" t="n">
        <v>6</v>
      </c>
      <c r="F993" s="3" t="n">
        <v>0</v>
      </c>
      <c r="G993" s="3" t="n">
        <v>1</v>
      </c>
      <c r="H993" s="24" t="n">
        <v>-0.560337543</v>
      </c>
    </row>
    <row r="994" customFormat="false" ht="15" hidden="false" customHeight="false" outlineLevel="0" collapsed="false">
      <c r="A994" s="3" t="n">
        <v>993</v>
      </c>
      <c r="B994" s="3" t="n">
        <v>992</v>
      </c>
      <c r="C994" s="3" t="s">
        <v>117</v>
      </c>
      <c r="D994" s="3" t="n">
        <v>12</v>
      </c>
      <c r="E994" s="3" t="n">
        <v>6</v>
      </c>
      <c r="F994" s="3" t="n">
        <v>0</v>
      </c>
      <c r="G994" s="3" t="n">
        <v>2</v>
      </c>
      <c r="H994" s="24" t="n">
        <v>-0.18192479</v>
      </c>
    </row>
    <row r="995" customFormat="false" ht="15" hidden="false" customHeight="false" outlineLevel="0" collapsed="false">
      <c r="A995" s="3" t="n">
        <v>994</v>
      </c>
      <c r="B995" s="3" t="n">
        <v>993</v>
      </c>
      <c r="C995" s="3" t="s">
        <v>117</v>
      </c>
      <c r="D995" s="3" t="n">
        <v>12</v>
      </c>
      <c r="E995" s="3" t="n">
        <v>6</v>
      </c>
      <c r="F995" s="3" t="n">
        <v>1</v>
      </c>
      <c r="G995" s="3" t="n">
        <v>0</v>
      </c>
      <c r="H995" s="24" t="n">
        <v>0.276940137</v>
      </c>
    </row>
    <row r="996" customFormat="false" ht="15" hidden="false" customHeight="false" outlineLevel="0" collapsed="false">
      <c r="A996" s="3" t="n">
        <v>995</v>
      </c>
      <c r="B996" s="3" t="n">
        <v>994</v>
      </c>
      <c r="C996" s="3" t="s">
        <v>117</v>
      </c>
      <c r="D996" s="3" t="n">
        <v>12</v>
      </c>
      <c r="E996" s="3" t="n">
        <v>6</v>
      </c>
      <c r="F996" s="3" t="n">
        <v>1</v>
      </c>
      <c r="G996" s="3" t="n">
        <v>1</v>
      </c>
      <c r="H996" s="24" t="n">
        <v>-0.157858729</v>
      </c>
    </row>
    <row r="997" customFormat="false" ht="15" hidden="false" customHeight="false" outlineLevel="0" collapsed="false">
      <c r="A997" s="3" t="n">
        <v>996</v>
      </c>
      <c r="B997" s="3" t="n">
        <v>995</v>
      </c>
      <c r="C997" s="3" t="s">
        <v>117</v>
      </c>
      <c r="D997" s="3" t="n">
        <v>12</v>
      </c>
      <c r="E997" s="3" t="n">
        <v>6</v>
      </c>
      <c r="F997" s="3" t="n">
        <v>1</v>
      </c>
      <c r="G997" s="3" t="n">
        <v>2</v>
      </c>
      <c r="H997" s="24" t="n">
        <v>-0.0337327383</v>
      </c>
    </row>
    <row r="998" customFormat="false" ht="15" hidden="false" customHeight="false" outlineLevel="0" collapsed="false">
      <c r="A998" s="3" t="n">
        <v>997</v>
      </c>
      <c r="B998" s="3" t="n">
        <v>996</v>
      </c>
      <c r="C998" s="3" t="s">
        <v>117</v>
      </c>
      <c r="D998" s="3" t="n">
        <v>12</v>
      </c>
      <c r="E998" s="3" t="n">
        <v>6</v>
      </c>
      <c r="F998" s="3" t="n">
        <v>2</v>
      </c>
      <c r="G998" s="3" t="n">
        <v>0</v>
      </c>
      <c r="H998" s="24" t="n">
        <v>-0.135452539</v>
      </c>
    </row>
    <row r="999" customFormat="false" ht="15" hidden="false" customHeight="false" outlineLevel="0" collapsed="false">
      <c r="A999" s="3" t="n">
        <v>998</v>
      </c>
      <c r="B999" s="3" t="n">
        <v>997</v>
      </c>
      <c r="C999" s="3" t="s">
        <v>117</v>
      </c>
      <c r="D999" s="3" t="n">
        <v>12</v>
      </c>
      <c r="E999" s="3" t="n">
        <v>6</v>
      </c>
      <c r="F999" s="3" t="n">
        <v>2</v>
      </c>
      <c r="G999" s="3" t="n">
        <v>1</v>
      </c>
      <c r="H999" s="24" t="n">
        <v>-0.156075463</v>
      </c>
    </row>
    <row r="1000" customFormat="false" ht="15" hidden="false" customHeight="false" outlineLevel="0" collapsed="false">
      <c r="A1000" s="3" t="n">
        <v>999</v>
      </c>
      <c r="B1000" s="3" t="n">
        <v>998</v>
      </c>
      <c r="C1000" s="3" t="s">
        <v>117</v>
      </c>
      <c r="D1000" s="3" t="n">
        <v>12</v>
      </c>
      <c r="E1000" s="3" t="n">
        <v>6</v>
      </c>
      <c r="F1000" s="3" t="n">
        <v>2</v>
      </c>
      <c r="G1000" s="3" t="n">
        <v>2</v>
      </c>
      <c r="H1000" s="24" t="n">
        <v>0.194606528</v>
      </c>
    </row>
    <row r="1001" customFormat="false" ht="15" hidden="false" customHeight="false" outlineLevel="0" collapsed="false">
      <c r="A1001" s="3" t="n">
        <v>1000</v>
      </c>
      <c r="B1001" s="3" t="n">
        <v>999</v>
      </c>
      <c r="C1001" s="3" t="s">
        <v>117</v>
      </c>
      <c r="D1001" s="3" t="n">
        <v>12</v>
      </c>
      <c r="E1001" s="3" t="n">
        <v>7</v>
      </c>
      <c r="F1001" s="3" t="n">
        <v>0</v>
      </c>
      <c r="G1001" s="3" t="n">
        <v>0</v>
      </c>
      <c r="H1001" s="24" t="n">
        <v>0.39855364</v>
      </c>
    </row>
    <row r="1002" customFormat="false" ht="15" hidden="false" customHeight="false" outlineLevel="0" collapsed="false">
      <c r="A1002" s="3" t="n">
        <v>1001</v>
      </c>
      <c r="B1002" s="3" t="n">
        <v>1000</v>
      </c>
      <c r="C1002" s="3" t="s">
        <v>117</v>
      </c>
      <c r="D1002" s="3" t="n">
        <v>12</v>
      </c>
      <c r="E1002" s="3" t="n">
        <v>7</v>
      </c>
      <c r="F1002" s="3" t="n">
        <v>0</v>
      </c>
      <c r="G1002" s="3" t="n">
        <v>1</v>
      </c>
      <c r="H1002" s="24" t="n">
        <v>-0.181935936</v>
      </c>
    </row>
    <row r="1003" customFormat="false" ht="15" hidden="false" customHeight="false" outlineLevel="0" collapsed="false">
      <c r="A1003" s="3" t="n">
        <v>1002</v>
      </c>
      <c r="B1003" s="3" t="n">
        <v>1001</v>
      </c>
      <c r="C1003" s="3" t="s">
        <v>117</v>
      </c>
      <c r="D1003" s="3" t="n">
        <v>12</v>
      </c>
      <c r="E1003" s="3" t="n">
        <v>7</v>
      </c>
      <c r="F1003" s="3" t="n">
        <v>0</v>
      </c>
      <c r="G1003" s="3" t="n">
        <v>2</v>
      </c>
      <c r="H1003" s="24" t="n">
        <v>-0.271408528</v>
      </c>
    </row>
    <row r="1004" customFormat="false" ht="15" hidden="false" customHeight="false" outlineLevel="0" collapsed="false">
      <c r="A1004" s="3" t="n">
        <v>1003</v>
      </c>
      <c r="B1004" s="3" t="n">
        <v>1002</v>
      </c>
      <c r="C1004" s="3" t="s">
        <v>117</v>
      </c>
      <c r="D1004" s="3" t="n">
        <v>12</v>
      </c>
      <c r="E1004" s="3" t="n">
        <v>7</v>
      </c>
      <c r="F1004" s="3" t="n">
        <v>1</v>
      </c>
      <c r="G1004" s="3" t="n">
        <v>0</v>
      </c>
      <c r="H1004" s="24" t="n">
        <v>0.0580728762</v>
      </c>
    </row>
    <row r="1005" customFormat="false" ht="15" hidden="false" customHeight="false" outlineLevel="0" collapsed="false">
      <c r="A1005" s="3" t="n">
        <v>1004</v>
      </c>
      <c r="B1005" s="3" t="n">
        <v>1003</v>
      </c>
      <c r="C1005" s="3" t="s">
        <v>117</v>
      </c>
      <c r="D1005" s="3" t="n">
        <v>12</v>
      </c>
      <c r="E1005" s="3" t="n">
        <v>7</v>
      </c>
      <c r="F1005" s="3" t="n">
        <v>1</v>
      </c>
      <c r="G1005" s="3" t="n">
        <v>1</v>
      </c>
      <c r="H1005" s="24" t="n">
        <v>-0.135947317</v>
      </c>
    </row>
    <row r="1006" customFormat="false" ht="15" hidden="false" customHeight="false" outlineLevel="0" collapsed="false">
      <c r="A1006" s="3" t="n">
        <v>1005</v>
      </c>
      <c r="B1006" s="3" t="n">
        <v>1004</v>
      </c>
      <c r="C1006" s="3" t="s">
        <v>117</v>
      </c>
      <c r="D1006" s="3" t="n">
        <v>12</v>
      </c>
      <c r="E1006" s="3" t="n">
        <v>7</v>
      </c>
      <c r="F1006" s="3" t="n">
        <v>1</v>
      </c>
      <c r="G1006" s="3" t="n">
        <v>2</v>
      </c>
      <c r="H1006" s="24" t="n">
        <v>-0.0826098844</v>
      </c>
    </row>
    <row r="1007" customFormat="false" ht="15" hidden="false" customHeight="false" outlineLevel="0" collapsed="false">
      <c r="A1007" s="3" t="n">
        <v>1006</v>
      </c>
      <c r="B1007" s="3" t="n">
        <v>1005</v>
      </c>
      <c r="C1007" s="3" t="s">
        <v>117</v>
      </c>
      <c r="D1007" s="3" t="n">
        <v>12</v>
      </c>
      <c r="E1007" s="3" t="n">
        <v>7</v>
      </c>
      <c r="F1007" s="3" t="n">
        <v>2</v>
      </c>
      <c r="G1007" s="3" t="n">
        <v>0</v>
      </c>
      <c r="H1007" s="24" t="n">
        <v>0.140514582</v>
      </c>
    </row>
    <row r="1008" customFormat="false" ht="15" hidden="false" customHeight="false" outlineLevel="0" collapsed="false">
      <c r="A1008" s="3" t="n">
        <v>1007</v>
      </c>
      <c r="B1008" s="3" t="n">
        <v>1006</v>
      </c>
      <c r="C1008" s="3" t="s">
        <v>117</v>
      </c>
      <c r="D1008" s="3" t="n">
        <v>12</v>
      </c>
      <c r="E1008" s="3" t="n">
        <v>7</v>
      </c>
      <c r="F1008" s="3" t="n">
        <v>2</v>
      </c>
      <c r="G1008" s="3" t="n">
        <v>1</v>
      </c>
      <c r="H1008" s="24" t="n">
        <v>-0.0238519646</v>
      </c>
    </row>
    <row r="1009" customFormat="false" ht="15" hidden="false" customHeight="false" outlineLevel="0" collapsed="false">
      <c r="A1009" s="3" t="n">
        <v>1008</v>
      </c>
      <c r="B1009" s="3" t="n">
        <v>1007</v>
      </c>
      <c r="C1009" s="3" t="s">
        <v>117</v>
      </c>
      <c r="D1009" s="3" t="n">
        <v>12</v>
      </c>
      <c r="E1009" s="3" t="n">
        <v>7</v>
      </c>
      <c r="F1009" s="3" t="n">
        <v>2</v>
      </c>
      <c r="G1009" s="3" t="n">
        <v>2</v>
      </c>
      <c r="H1009" s="24" t="n">
        <v>-0.0919807106</v>
      </c>
    </row>
    <row r="1010" customFormat="false" ht="15" hidden="false" customHeight="false" outlineLevel="0" collapsed="false">
      <c r="A1010" s="3" t="n">
        <v>1009</v>
      </c>
      <c r="B1010" s="3" t="n">
        <v>1008</v>
      </c>
      <c r="C1010" s="3" t="s">
        <v>117</v>
      </c>
      <c r="D1010" s="3" t="n">
        <v>13</v>
      </c>
      <c r="E1010" s="3" t="n">
        <v>0</v>
      </c>
      <c r="F1010" s="3" t="n">
        <v>0</v>
      </c>
      <c r="G1010" s="3" t="n">
        <v>0</v>
      </c>
      <c r="H1010" s="24" t="n">
        <v>0.101426199</v>
      </c>
    </row>
    <row r="1011" customFormat="false" ht="15" hidden="false" customHeight="false" outlineLevel="0" collapsed="false">
      <c r="A1011" s="3" t="n">
        <v>1010</v>
      </c>
      <c r="B1011" s="3" t="n">
        <v>1009</v>
      </c>
      <c r="C1011" s="3" t="s">
        <v>117</v>
      </c>
      <c r="D1011" s="3" t="n">
        <v>13</v>
      </c>
      <c r="E1011" s="3" t="n">
        <v>0</v>
      </c>
      <c r="F1011" s="3" t="n">
        <v>0</v>
      </c>
      <c r="G1011" s="3" t="n">
        <v>1</v>
      </c>
      <c r="H1011" s="24" t="n">
        <v>0.100752279</v>
      </c>
    </row>
    <row r="1012" customFormat="false" ht="15" hidden="false" customHeight="false" outlineLevel="0" collapsed="false">
      <c r="A1012" s="3" t="n">
        <v>1011</v>
      </c>
      <c r="B1012" s="3" t="n">
        <v>1010</v>
      </c>
      <c r="C1012" s="3" t="s">
        <v>117</v>
      </c>
      <c r="D1012" s="3" t="n">
        <v>13</v>
      </c>
      <c r="E1012" s="3" t="n">
        <v>0</v>
      </c>
      <c r="F1012" s="3" t="n">
        <v>0</v>
      </c>
      <c r="G1012" s="3" t="n">
        <v>2</v>
      </c>
      <c r="H1012" s="24" t="n">
        <v>-0.106377833</v>
      </c>
    </row>
    <row r="1013" customFormat="false" ht="15" hidden="false" customHeight="false" outlineLevel="0" collapsed="false">
      <c r="A1013" s="3" t="n">
        <v>1012</v>
      </c>
      <c r="B1013" s="3" t="n">
        <v>1011</v>
      </c>
      <c r="C1013" s="3" t="s">
        <v>117</v>
      </c>
      <c r="D1013" s="3" t="n">
        <v>13</v>
      </c>
      <c r="E1013" s="3" t="n">
        <v>0</v>
      </c>
      <c r="F1013" s="3" t="n">
        <v>1</v>
      </c>
      <c r="G1013" s="3" t="n">
        <v>0</v>
      </c>
      <c r="H1013" s="24" t="n">
        <v>0.124814101</v>
      </c>
    </row>
    <row r="1014" customFormat="false" ht="15" hidden="false" customHeight="false" outlineLevel="0" collapsed="false">
      <c r="A1014" s="3" t="n">
        <v>1013</v>
      </c>
      <c r="B1014" s="3" t="n">
        <v>1012</v>
      </c>
      <c r="C1014" s="3" t="s">
        <v>117</v>
      </c>
      <c r="D1014" s="3" t="n">
        <v>13</v>
      </c>
      <c r="E1014" s="3" t="n">
        <v>0</v>
      </c>
      <c r="F1014" s="3" t="n">
        <v>1</v>
      </c>
      <c r="G1014" s="3" t="n">
        <v>1</v>
      </c>
      <c r="H1014" s="24" t="n">
        <v>-0.204282865</v>
      </c>
    </row>
    <row r="1015" customFormat="false" ht="15" hidden="false" customHeight="false" outlineLevel="0" collapsed="false">
      <c r="A1015" s="3" t="n">
        <v>1014</v>
      </c>
      <c r="B1015" s="3" t="n">
        <v>1013</v>
      </c>
      <c r="C1015" s="3" t="s">
        <v>117</v>
      </c>
      <c r="D1015" s="3" t="n">
        <v>13</v>
      </c>
      <c r="E1015" s="3" t="n">
        <v>0</v>
      </c>
      <c r="F1015" s="3" t="n">
        <v>1</v>
      </c>
      <c r="G1015" s="3" t="n">
        <v>2</v>
      </c>
      <c r="H1015" s="24" t="n">
        <v>-0.276512027</v>
      </c>
    </row>
    <row r="1016" customFormat="false" ht="15" hidden="false" customHeight="false" outlineLevel="0" collapsed="false">
      <c r="A1016" s="3" t="n">
        <v>1015</v>
      </c>
      <c r="B1016" s="3" t="n">
        <v>1014</v>
      </c>
      <c r="C1016" s="3" t="s">
        <v>117</v>
      </c>
      <c r="D1016" s="3" t="n">
        <v>13</v>
      </c>
      <c r="E1016" s="3" t="n">
        <v>0</v>
      </c>
      <c r="F1016" s="3" t="n">
        <v>2</v>
      </c>
      <c r="G1016" s="3" t="n">
        <v>0</v>
      </c>
      <c r="H1016" s="24" t="n">
        <v>0.0242856909</v>
      </c>
    </row>
    <row r="1017" customFormat="false" ht="15" hidden="false" customHeight="false" outlineLevel="0" collapsed="false">
      <c r="A1017" s="3" t="n">
        <v>1016</v>
      </c>
      <c r="B1017" s="3" t="n">
        <v>1015</v>
      </c>
      <c r="C1017" s="3" t="s">
        <v>117</v>
      </c>
      <c r="D1017" s="3" t="n">
        <v>13</v>
      </c>
      <c r="E1017" s="3" t="n">
        <v>0</v>
      </c>
      <c r="F1017" s="3" t="n">
        <v>2</v>
      </c>
      <c r="G1017" s="3" t="n">
        <v>1</v>
      </c>
      <c r="H1017" s="24" t="n">
        <v>-0.296779692</v>
      </c>
    </row>
    <row r="1018" customFormat="false" ht="15" hidden="false" customHeight="false" outlineLevel="0" collapsed="false">
      <c r="A1018" s="3" t="n">
        <v>1017</v>
      </c>
      <c r="B1018" s="3" t="n">
        <v>1016</v>
      </c>
      <c r="C1018" s="3" t="s">
        <v>117</v>
      </c>
      <c r="D1018" s="3" t="n">
        <v>13</v>
      </c>
      <c r="E1018" s="3" t="n">
        <v>0</v>
      </c>
      <c r="F1018" s="3" t="n">
        <v>2</v>
      </c>
      <c r="G1018" s="3" t="n">
        <v>2</v>
      </c>
      <c r="H1018" s="24" t="n">
        <v>0.0346069299</v>
      </c>
    </row>
    <row r="1019" customFormat="false" ht="15" hidden="false" customHeight="false" outlineLevel="0" collapsed="false">
      <c r="A1019" s="3" t="n">
        <v>1018</v>
      </c>
      <c r="B1019" s="3" t="n">
        <v>1017</v>
      </c>
      <c r="C1019" s="3" t="s">
        <v>117</v>
      </c>
      <c r="D1019" s="3" t="n">
        <v>13</v>
      </c>
      <c r="E1019" s="3" t="n">
        <v>1</v>
      </c>
      <c r="F1019" s="3" t="n">
        <v>0</v>
      </c>
      <c r="G1019" s="3" t="n">
        <v>0</v>
      </c>
      <c r="H1019" s="24" t="n">
        <v>0.232249975</v>
      </c>
    </row>
    <row r="1020" customFormat="false" ht="15" hidden="false" customHeight="false" outlineLevel="0" collapsed="false">
      <c r="A1020" s="3" t="n">
        <v>1019</v>
      </c>
      <c r="B1020" s="3" t="n">
        <v>1018</v>
      </c>
      <c r="C1020" s="3" t="s">
        <v>117</v>
      </c>
      <c r="D1020" s="3" t="n">
        <v>13</v>
      </c>
      <c r="E1020" s="3" t="n">
        <v>1</v>
      </c>
      <c r="F1020" s="3" t="n">
        <v>0</v>
      </c>
      <c r="G1020" s="3" t="n">
        <v>1</v>
      </c>
      <c r="H1020" s="24" t="n">
        <v>0.0512807705</v>
      </c>
    </row>
    <row r="1021" customFormat="false" ht="15" hidden="false" customHeight="false" outlineLevel="0" collapsed="false">
      <c r="A1021" s="3" t="n">
        <v>1020</v>
      </c>
      <c r="B1021" s="3" t="n">
        <v>1019</v>
      </c>
      <c r="C1021" s="3" t="s">
        <v>117</v>
      </c>
      <c r="D1021" s="3" t="n">
        <v>13</v>
      </c>
      <c r="E1021" s="3" t="n">
        <v>1</v>
      </c>
      <c r="F1021" s="3" t="n">
        <v>0</v>
      </c>
      <c r="G1021" s="3" t="n">
        <v>2</v>
      </c>
      <c r="H1021" s="24" t="n">
        <v>-0.14346835</v>
      </c>
    </row>
    <row r="1022" customFormat="false" ht="15" hidden="false" customHeight="false" outlineLevel="0" collapsed="false">
      <c r="A1022" s="3" t="n">
        <v>1021</v>
      </c>
      <c r="B1022" s="3" t="n">
        <v>1020</v>
      </c>
      <c r="C1022" s="3" t="s">
        <v>117</v>
      </c>
      <c r="D1022" s="3" t="n">
        <v>13</v>
      </c>
      <c r="E1022" s="3" t="n">
        <v>1</v>
      </c>
      <c r="F1022" s="3" t="n">
        <v>1</v>
      </c>
      <c r="G1022" s="3" t="n">
        <v>0</v>
      </c>
      <c r="H1022" s="24" t="n">
        <v>0.266113728</v>
      </c>
    </row>
    <row r="1023" customFormat="false" ht="15" hidden="false" customHeight="false" outlineLevel="0" collapsed="false">
      <c r="A1023" s="3" t="n">
        <v>1022</v>
      </c>
      <c r="B1023" s="3" t="n">
        <v>1021</v>
      </c>
      <c r="C1023" s="3" t="s">
        <v>117</v>
      </c>
      <c r="D1023" s="3" t="n">
        <v>13</v>
      </c>
      <c r="E1023" s="3" t="n">
        <v>1</v>
      </c>
      <c r="F1023" s="3" t="n">
        <v>1</v>
      </c>
      <c r="G1023" s="3" t="n">
        <v>1</v>
      </c>
      <c r="H1023" s="24" t="n">
        <v>-0.228334174</v>
      </c>
    </row>
    <row r="1024" customFormat="false" ht="15" hidden="false" customHeight="false" outlineLevel="0" collapsed="false">
      <c r="A1024" s="3" t="n">
        <v>1023</v>
      </c>
      <c r="B1024" s="3" t="n">
        <v>1022</v>
      </c>
      <c r="C1024" s="3" t="s">
        <v>117</v>
      </c>
      <c r="D1024" s="3" t="n">
        <v>13</v>
      </c>
      <c r="E1024" s="3" t="n">
        <v>1</v>
      </c>
      <c r="F1024" s="3" t="n">
        <v>1</v>
      </c>
      <c r="G1024" s="3" t="n">
        <v>2</v>
      </c>
      <c r="H1024" s="24" t="n">
        <v>-0.0380400009</v>
      </c>
    </row>
    <row r="1025" customFormat="false" ht="15" hidden="false" customHeight="false" outlineLevel="0" collapsed="false">
      <c r="A1025" s="3" t="n">
        <v>1024</v>
      </c>
      <c r="B1025" s="3" t="n">
        <v>1023</v>
      </c>
      <c r="C1025" s="3" t="s">
        <v>117</v>
      </c>
      <c r="D1025" s="3" t="n">
        <v>13</v>
      </c>
      <c r="E1025" s="3" t="n">
        <v>1</v>
      </c>
      <c r="F1025" s="3" t="n">
        <v>2</v>
      </c>
      <c r="G1025" s="3" t="n">
        <v>0</v>
      </c>
      <c r="H1025" s="24" t="n">
        <v>-0.0494714044</v>
      </c>
    </row>
    <row r="1026" customFormat="false" ht="15" hidden="false" customHeight="false" outlineLevel="0" collapsed="false">
      <c r="A1026" s="3" t="n">
        <v>1025</v>
      </c>
      <c r="B1026" s="3" t="n">
        <v>1024</v>
      </c>
      <c r="C1026" s="3" t="s">
        <v>117</v>
      </c>
      <c r="D1026" s="3" t="n">
        <v>13</v>
      </c>
      <c r="E1026" s="3" t="n">
        <v>1</v>
      </c>
      <c r="F1026" s="3" t="n">
        <v>2</v>
      </c>
      <c r="G1026" s="3" t="n">
        <v>1</v>
      </c>
      <c r="H1026" s="24" t="n">
        <v>-0.241833746</v>
      </c>
    </row>
    <row r="1027" customFormat="false" ht="15" hidden="false" customHeight="false" outlineLevel="0" collapsed="false">
      <c r="A1027" s="3" t="n">
        <v>1026</v>
      </c>
      <c r="B1027" s="3" t="n">
        <v>1025</v>
      </c>
      <c r="C1027" s="3" t="s">
        <v>117</v>
      </c>
      <c r="D1027" s="3" t="n">
        <v>13</v>
      </c>
      <c r="E1027" s="3" t="n">
        <v>1</v>
      </c>
      <c r="F1027" s="3" t="n">
        <v>2</v>
      </c>
      <c r="G1027" s="3" t="n">
        <v>2</v>
      </c>
      <c r="H1027" s="24" t="n">
        <v>0.0594561994</v>
      </c>
    </row>
    <row r="1028" customFormat="false" ht="15" hidden="false" customHeight="false" outlineLevel="0" collapsed="false">
      <c r="A1028" s="3" t="n">
        <v>1027</v>
      </c>
      <c r="B1028" s="3" t="n">
        <v>1026</v>
      </c>
      <c r="C1028" s="3" t="s">
        <v>117</v>
      </c>
      <c r="D1028" s="3" t="n">
        <v>13</v>
      </c>
      <c r="E1028" s="3" t="n">
        <v>2</v>
      </c>
      <c r="F1028" s="3" t="n">
        <v>0</v>
      </c>
      <c r="G1028" s="3" t="n">
        <v>0</v>
      </c>
      <c r="H1028" s="24" t="n">
        <v>0.282089472</v>
      </c>
    </row>
    <row r="1029" customFormat="false" ht="15" hidden="false" customHeight="false" outlineLevel="0" collapsed="false">
      <c r="A1029" s="3" t="n">
        <v>1028</v>
      </c>
      <c r="B1029" s="3" t="n">
        <v>1027</v>
      </c>
      <c r="C1029" s="3" t="s">
        <v>117</v>
      </c>
      <c r="D1029" s="3" t="n">
        <v>13</v>
      </c>
      <c r="E1029" s="3" t="n">
        <v>2</v>
      </c>
      <c r="F1029" s="3" t="n">
        <v>0</v>
      </c>
      <c r="G1029" s="3" t="n">
        <v>1</v>
      </c>
      <c r="H1029" s="24" t="n">
        <v>0.246080279</v>
      </c>
    </row>
    <row r="1030" customFormat="false" ht="15" hidden="false" customHeight="false" outlineLevel="0" collapsed="false">
      <c r="A1030" s="3" t="n">
        <v>1029</v>
      </c>
      <c r="B1030" s="3" t="n">
        <v>1028</v>
      </c>
      <c r="C1030" s="3" t="s">
        <v>117</v>
      </c>
      <c r="D1030" s="3" t="n">
        <v>13</v>
      </c>
      <c r="E1030" s="3" t="n">
        <v>2</v>
      </c>
      <c r="F1030" s="3" t="n">
        <v>0</v>
      </c>
      <c r="G1030" s="3" t="n">
        <v>2</v>
      </c>
      <c r="H1030" s="24" t="n">
        <v>0.0537157245</v>
      </c>
    </row>
    <row r="1031" customFormat="false" ht="15" hidden="false" customHeight="false" outlineLevel="0" collapsed="false">
      <c r="A1031" s="3" t="n">
        <v>1030</v>
      </c>
      <c r="B1031" s="3" t="n">
        <v>1029</v>
      </c>
      <c r="C1031" s="3" t="s">
        <v>117</v>
      </c>
      <c r="D1031" s="3" t="n">
        <v>13</v>
      </c>
      <c r="E1031" s="3" t="n">
        <v>2</v>
      </c>
      <c r="F1031" s="3" t="n">
        <v>1</v>
      </c>
      <c r="G1031" s="3" t="n">
        <v>0</v>
      </c>
      <c r="H1031" s="24" t="n">
        <v>-0.0258866549</v>
      </c>
    </row>
    <row r="1032" customFormat="false" ht="15" hidden="false" customHeight="false" outlineLevel="0" collapsed="false">
      <c r="A1032" s="3" t="n">
        <v>1031</v>
      </c>
      <c r="B1032" s="3" t="n">
        <v>1030</v>
      </c>
      <c r="C1032" s="3" t="s">
        <v>117</v>
      </c>
      <c r="D1032" s="3" t="n">
        <v>13</v>
      </c>
      <c r="E1032" s="3" t="n">
        <v>2</v>
      </c>
      <c r="F1032" s="3" t="n">
        <v>1</v>
      </c>
      <c r="G1032" s="3" t="n">
        <v>1</v>
      </c>
      <c r="H1032" s="24" t="n">
        <v>0.28402546</v>
      </c>
    </row>
    <row r="1033" customFormat="false" ht="15" hidden="false" customHeight="false" outlineLevel="0" collapsed="false">
      <c r="A1033" s="3" t="n">
        <v>1032</v>
      </c>
      <c r="B1033" s="3" t="n">
        <v>1031</v>
      </c>
      <c r="C1033" s="3" t="s">
        <v>117</v>
      </c>
      <c r="D1033" s="3" t="n">
        <v>13</v>
      </c>
      <c r="E1033" s="3" t="n">
        <v>2</v>
      </c>
      <c r="F1033" s="3" t="n">
        <v>1</v>
      </c>
      <c r="G1033" s="3" t="n">
        <v>2</v>
      </c>
      <c r="H1033" s="24" t="n">
        <v>0.109452136</v>
      </c>
    </row>
    <row r="1034" customFormat="false" ht="15" hidden="false" customHeight="false" outlineLevel="0" collapsed="false">
      <c r="A1034" s="3" t="n">
        <v>1033</v>
      </c>
      <c r="B1034" s="3" t="n">
        <v>1032</v>
      </c>
      <c r="C1034" s="3" t="s">
        <v>117</v>
      </c>
      <c r="D1034" s="3" t="n">
        <v>13</v>
      </c>
      <c r="E1034" s="3" t="n">
        <v>2</v>
      </c>
      <c r="F1034" s="3" t="n">
        <v>2</v>
      </c>
      <c r="G1034" s="3" t="n">
        <v>0</v>
      </c>
      <c r="H1034" s="24" t="n">
        <v>-0.604011178</v>
      </c>
    </row>
    <row r="1035" customFormat="false" ht="15" hidden="false" customHeight="false" outlineLevel="0" collapsed="false">
      <c r="A1035" s="3" t="n">
        <v>1034</v>
      </c>
      <c r="B1035" s="3" t="n">
        <v>1033</v>
      </c>
      <c r="C1035" s="3" t="s">
        <v>117</v>
      </c>
      <c r="D1035" s="3" t="n">
        <v>13</v>
      </c>
      <c r="E1035" s="3" t="n">
        <v>2</v>
      </c>
      <c r="F1035" s="3" t="n">
        <v>2</v>
      </c>
      <c r="G1035" s="3" t="n">
        <v>1</v>
      </c>
      <c r="H1035" s="24" t="n">
        <v>0.506063223</v>
      </c>
    </row>
    <row r="1036" customFormat="false" ht="15" hidden="false" customHeight="false" outlineLevel="0" collapsed="false">
      <c r="A1036" s="3" t="n">
        <v>1035</v>
      </c>
      <c r="B1036" s="3" t="n">
        <v>1034</v>
      </c>
      <c r="C1036" s="3" t="s">
        <v>117</v>
      </c>
      <c r="D1036" s="3" t="n">
        <v>13</v>
      </c>
      <c r="E1036" s="3" t="n">
        <v>2</v>
      </c>
      <c r="F1036" s="3" t="n">
        <v>2</v>
      </c>
      <c r="G1036" s="3" t="n">
        <v>2</v>
      </c>
      <c r="H1036" s="24" t="n">
        <v>0.150341496</v>
      </c>
    </row>
    <row r="1037" customFormat="false" ht="15" hidden="false" customHeight="false" outlineLevel="0" collapsed="false">
      <c r="A1037" s="3" t="n">
        <v>1036</v>
      </c>
      <c r="B1037" s="3" t="n">
        <v>1035</v>
      </c>
      <c r="C1037" s="3" t="s">
        <v>117</v>
      </c>
      <c r="D1037" s="3" t="n">
        <v>13</v>
      </c>
      <c r="E1037" s="3" t="n">
        <v>3</v>
      </c>
      <c r="F1037" s="3" t="n">
        <v>0</v>
      </c>
      <c r="G1037" s="3" t="n">
        <v>0</v>
      </c>
      <c r="H1037" s="24" t="n">
        <v>-0.27737695</v>
      </c>
    </row>
    <row r="1038" customFormat="false" ht="15" hidden="false" customHeight="false" outlineLevel="0" collapsed="false">
      <c r="A1038" s="3" t="n">
        <v>1037</v>
      </c>
      <c r="B1038" s="3" t="n">
        <v>1036</v>
      </c>
      <c r="C1038" s="3" t="s">
        <v>117</v>
      </c>
      <c r="D1038" s="3" t="n">
        <v>13</v>
      </c>
      <c r="E1038" s="3" t="n">
        <v>3</v>
      </c>
      <c r="F1038" s="3" t="n">
        <v>0</v>
      </c>
      <c r="G1038" s="3" t="n">
        <v>1</v>
      </c>
      <c r="H1038" s="24" t="n">
        <v>-0.514708459</v>
      </c>
    </row>
    <row r="1039" customFormat="false" ht="15" hidden="false" customHeight="false" outlineLevel="0" collapsed="false">
      <c r="A1039" s="3" t="n">
        <v>1038</v>
      </c>
      <c r="B1039" s="3" t="n">
        <v>1037</v>
      </c>
      <c r="C1039" s="3" t="s">
        <v>117</v>
      </c>
      <c r="D1039" s="3" t="n">
        <v>13</v>
      </c>
      <c r="E1039" s="3" t="n">
        <v>3</v>
      </c>
      <c r="F1039" s="3" t="n">
        <v>0</v>
      </c>
      <c r="G1039" s="3" t="n">
        <v>2</v>
      </c>
      <c r="H1039" s="24" t="n">
        <v>-0.594309449</v>
      </c>
    </row>
    <row r="1040" customFormat="false" ht="15" hidden="false" customHeight="false" outlineLevel="0" collapsed="false">
      <c r="A1040" s="3" t="n">
        <v>1039</v>
      </c>
      <c r="B1040" s="3" t="n">
        <v>1038</v>
      </c>
      <c r="C1040" s="3" t="s">
        <v>117</v>
      </c>
      <c r="D1040" s="3" t="n">
        <v>13</v>
      </c>
      <c r="E1040" s="3" t="n">
        <v>3</v>
      </c>
      <c r="F1040" s="3" t="n">
        <v>1</v>
      </c>
      <c r="G1040" s="3" t="n">
        <v>0</v>
      </c>
      <c r="H1040" s="24" t="n">
        <v>-0.507799745</v>
      </c>
    </row>
    <row r="1041" customFormat="false" ht="15" hidden="false" customHeight="false" outlineLevel="0" collapsed="false">
      <c r="A1041" s="3" t="n">
        <v>1040</v>
      </c>
      <c r="B1041" s="3" t="n">
        <v>1039</v>
      </c>
      <c r="C1041" s="3" t="s">
        <v>117</v>
      </c>
      <c r="D1041" s="3" t="n">
        <v>13</v>
      </c>
      <c r="E1041" s="3" t="n">
        <v>3</v>
      </c>
      <c r="F1041" s="3" t="n">
        <v>1</v>
      </c>
      <c r="G1041" s="3" t="n">
        <v>1</v>
      </c>
      <c r="H1041" s="24" t="n">
        <v>-0.604533136</v>
      </c>
    </row>
    <row r="1042" customFormat="false" ht="15" hidden="false" customHeight="false" outlineLevel="0" collapsed="false">
      <c r="A1042" s="3" t="n">
        <v>1041</v>
      </c>
      <c r="B1042" s="3" t="n">
        <v>1040</v>
      </c>
      <c r="C1042" s="3" t="s">
        <v>117</v>
      </c>
      <c r="D1042" s="3" t="n">
        <v>13</v>
      </c>
      <c r="E1042" s="3" t="n">
        <v>3</v>
      </c>
      <c r="F1042" s="3" t="n">
        <v>1</v>
      </c>
      <c r="G1042" s="3" t="n">
        <v>2</v>
      </c>
      <c r="H1042" s="24" t="n">
        <v>-0.0151051711</v>
      </c>
    </row>
    <row r="1043" customFormat="false" ht="15" hidden="false" customHeight="false" outlineLevel="0" collapsed="false">
      <c r="A1043" s="3" t="n">
        <v>1042</v>
      </c>
      <c r="B1043" s="3" t="n">
        <v>1041</v>
      </c>
      <c r="C1043" s="3" t="s">
        <v>117</v>
      </c>
      <c r="D1043" s="3" t="n">
        <v>13</v>
      </c>
      <c r="E1043" s="3" t="n">
        <v>3</v>
      </c>
      <c r="F1043" s="3" t="n">
        <v>2</v>
      </c>
      <c r="G1043" s="3" t="n">
        <v>0</v>
      </c>
      <c r="H1043" s="24" t="n">
        <v>-0.385511309</v>
      </c>
    </row>
    <row r="1044" customFormat="false" ht="15" hidden="false" customHeight="false" outlineLevel="0" collapsed="false">
      <c r="A1044" s="3" t="n">
        <v>1043</v>
      </c>
      <c r="B1044" s="3" t="n">
        <v>1042</v>
      </c>
      <c r="C1044" s="3" t="s">
        <v>117</v>
      </c>
      <c r="D1044" s="3" t="n">
        <v>13</v>
      </c>
      <c r="E1044" s="3" t="n">
        <v>3</v>
      </c>
      <c r="F1044" s="3" t="n">
        <v>2</v>
      </c>
      <c r="G1044" s="3" t="n">
        <v>1</v>
      </c>
      <c r="H1044" s="24" t="n">
        <v>0.153136373</v>
      </c>
    </row>
    <row r="1045" customFormat="false" ht="15" hidden="false" customHeight="false" outlineLevel="0" collapsed="false">
      <c r="A1045" s="3" t="n">
        <v>1044</v>
      </c>
      <c r="B1045" s="3" t="n">
        <v>1043</v>
      </c>
      <c r="C1045" s="3" t="s">
        <v>117</v>
      </c>
      <c r="D1045" s="3" t="n">
        <v>13</v>
      </c>
      <c r="E1045" s="3" t="n">
        <v>3</v>
      </c>
      <c r="F1045" s="3" t="n">
        <v>2</v>
      </c>
      <c r="G1045" s="3" t="n">
        <v>2</v>
      </c>
      <c r="H1045" s="24" t="n">
        <v>0.102563135</v>
      </c>
    </row>
    <row r="1046" customFormat="false" ht="15" hidden="false" customHeight="false" outlineLevel="0" collapsed="false">
      <c r="A1046" s="3" t="n">
        <v>1045</v>
      </c>
      <c r="B1046" s="3" t="n">
        <v>1044</v>
      </c>
      <c r="C1046" s="3" t="s">
        <v>117</v>
      </c>
      <c r="D1046" s="3" t="n">
        <v>13</v>
      </c>
      <c r="E1046" s="3" t="n">
        <v>4</v>
      </c>
      <c r="F1046" s="3" t="n">
        <v>0</v>
      </c>
      <c r="G1046" s="3" t="n">
        <v>0</v>
      </c>
      <c r="H1046" s="24" t="n">
        <v>0.157501861</v>
      </c>
    </row>
    <row r="1047" customFormat="false" ht="15" hidden="false" customHeight="false" outlineLevel="0" collapsed="false">
      <c r="A1047" s="3" t="n">
        <v>1046</v>
      </c>
      <c r="B1047" s="3" t="n">
        <v>1045</v>
      </c>
      <c r="C1047" s="3" t="s">
        <v>117</v>
      </c>
      <c r="D1047" s="3" t="n">
        <v>13</v>
      </c>
      <c r="E1047" s="3" t="n">
        <v>4</v>
      </c>
      <c r="F1047" s="3" t="n">
        <v>0</v>
      </c>
      <c r="G1047" s="3" t="n">
        <v>1</v>
      </c>
      <c r="H1047" s="24" t="n">
        <v>-0.0277232509</v>
      </c>
    </row>
    <row r="1048" customFormat="false" ht="15" hidden="false" customHeight="false" outlineLevel="0" collapsed="false">
      <c r="A1048" s="3" t="n">
        <v>1047</v>
      </c>
      <c r="B1048" s="3" t="n">
        <v>1046</v>
      </c>
      <c r="C1048" s="3" t="s">
        <v>117</v>
      </c>
      <c r="D1048" s="3" t="n">
        <v>13</v>
      </c>
      <c r="E1048" s="3" t="n">
        <v>4</v>
      </c>
      <c r="F1048" s="3" t="n">
        <v>0</v>
      </c>
      <c r="G1048" s="3" t="n">
        <v>2</v>
      </c>
      <c r="H1048" s="24" t="n">
        <v>0.0491491519</v>
      </c>
    </row>
    <row r="1049" customFormat="false" ht="15" hidden="false" customHeight="false" outlineLevel="0" collapsed="false">
      <c r="A1049" s="3" t="n">
        <v>1048</v>
      </c>
      <c r="B1049" s="3" t="n">
        <v>1047</v>
      </c>
      <c r="C1049" s="3" t="s">
        <v>117</v>
      </c>
      <c r="D1049" s="3" t="n">
        <v>13</v>
      </c>
      <c r="E1049" s="3" t="n">
        <v>4</v>
      </c>
      <c r="F1049" s="3" t="n">
        <v>1</v>
      </c>
      <c r="G1049" s="3" t="n">
        <v>0</v>
      </c>
      <c r="H1049" s="24" t="n">
        <v>0.20780392</v>
      </c>
    </row>
    <row r="1050" customFormat="false" ht="15" hidden="false" customHeight="false" outlineLevel="0" collapsed="false">
      <c r="A1050" s="3" t="n">
        <v>1049</v>
      </c>
      <c r="B1050" s="3" t="n">
        <v>1048</v>
      </c>
      <c r="C1050" s="3" t="s">
        <v>117</v>
      </c>
      <c r="D1050" s="3" t="n">
        <v>13</v>
      </c>
      <c r="E1050" s="3" t="n">
        <v>4</v>
      </c>
      <c r="F1050" s="3" t="n">
        <v>1</v>
      </c>
      <c r="G1050" s="3" t="n">
        <v>1</v>
      </c>
      <c r="H1050" s="24" t="n">
        <v>-0.138682231</v>
      </c>
    </row>
    <row r="1051" customFormat="false" ht="15" hidden="false" customHeight="false" outlineLevel="0" collapsed="false">
      <c r="A1051" s="3" t="n">
        <v>1050</v>
      </c>
      <c r="B1051" s="3" t="n">
        <v>1049</v>
      </c>
      <c r="C1051" s="3" t="s">
        <v>117</v>
      </c>
      <c r="D1051" s="3" t="n">
        <v>13</v>
      </c>
      <c r="E1051" s="3" t="n">
        <v>4</v>
      </c>
      <c r="F1051" s="3" t="n">
        <v>1</v>
      </c>
      <c r="G1051" s="3" t="n">
        <v>2</v>
      </c>
      <c r="H1051" s="24" t="n">
        <v>-0.101318285</v>
      </c>
    </row>
    <row r="1052" customFormat="false" ht="15" hidden="false" customHeight="false" outlineLevel="0" collapsed="false">
      <c r="A1052" s="3" t="n">
        <v>1051</v>
      </c>
      <c r="B1052" s="3" t="n">
        <v>1050</v>
      </c>
      <c r="C1052" s="3" t="s">
        <v>117</v>
      </c>
      <c r="D1052" s="3" t="n">
        <v>13</v>
      </c>
      <c r="E1052" s="3" t="n">
        <v>4</v>
      </c>
      <c r="F1052" s="3" t="n">
        <v>2</v>
      </c>
      <c r="G1052" s="3" t="n">
        <v>0</v>
      </c>
      <c r="H1052" s="24" t="n">
        <v>-0.150292367</v>
      </c>
    </row>
    <row r="1053" customFormat="false" ht="15" hidden="false" customHeight="false" outlineLevel="0" collapsed="false">
      <c r="A1053" s="3" t="n">
        <v>1052</v>
      </c>
      <c r="B1053" s="3" t="n">
        <v>1051</v>
      </c>
      <c r="C1053" s="3" t="s">
        <v>117</v>
      </c>
      <c r="D1053" s="3" t="n">
        <v>13</v>
      </c>
      <c r="E1053" s="3" t="n">
        <v>4</v>
      </c>
      <c r="F1053" s="3" t="n">
        <v>2</v>
      </c>
      <c r="G1053" s="3" t="n">
        <v>1</v>
      </c>
      <c r="H1053" s="24" t="n">
        <v>-0.327614278</v>
      </c>
    </row>
    <row r="1054" customFormat="false" ht="15" hidden="false" customHeight="false" outlineLevel="0" collapsed="false">
      <c r="A1054" s="3" t="n">
        <v>1053</v>
      </c>
      <c r="B1054" s="3" t="n">
        <v>1052</v>
      </c>
      <c r="C1054" s="3" t="s">
        <v>117</v>
      </c>
      <c r="D1054" s="3" t="n">
        <v>13</v>
      </c>
      <c r="E1054" s="3" t="n">
        <v>4</v>
      </c>
      <c r="F1054" s="3" t="n">
        <v>2</v>
      </c>
      <c r="G1054" s="3" t="n">
        <v>2</v>
      </c>
      <c r="H1054" s="24" t="n">
        <v>0.0522588827</v>
      </c>
    </row>
    <row r="1055" customFormat="false" ht="15" hidden="false" customHeight="false" outlineLevel="0" collapsed="false">
      <c r="A1055" s="3" t="n">
        <v>1054</v>
      </c>
      <c r="B1055" s="3" t="n">
        <v>1053</v>
      </c>
      <c r="C1055" s="3" t="s">
        <v>117</v>
      </c>
      <c r="D1055" s="3" t="n">
        <v>13</v>
      </c>
      <c r="E1055" s="3" t="n">
        <v>5</v>
      </c>
      <c r="F1055" s="3" t="n">
        <v>0</v>
      </c>
      <c r="G1055" s="3" t="n">
        <v>0</v>
      </c>
      <c r="H1055" s="24" t="n">
        <v>-0.112035617</v>
      </c>
    </row>
    <row r="1056" customFormat="false" ht="15" hidden="false" customHeight="false" outlineLevel="0" collapsed="false">
      <c r="A1056" s="3" t="n">
        <v>1055</v>
      </c>
      <c r="B1056" s="3" t="n">
        <v>1054</v>
      </c>
      <c r="C1056" s="3" t="s">
        <v>117</v>
      </c>
      <c r="D1056" s="3" t="n">
        <v>13</v>
      </c>
      <c r="E1056" s="3" t="n">
        <v>5</v>
      </c>
      <c r="F1056" s="3" t="n">
        <v>0</v>
      </c>
      <c r="G1056" s="3" t="n">
        <v>1</v>
      </c>
      <c r="H1056" s="24" t="n">
        <v>-0.162536427</v>
      </c>
    </row>
    <row r="1057" customFormat="false" ht="15" hidden="false" customHeight="false" outlineLevel="0" collapsed="false">
      <c r="A1057" s="3" t="n">
        <v>1056</v>
      </c>
      <c r="B1057" s="3" t="n">
        <v>1055</v>
      </c>
      <c r="C1057" s="3" t="s">
        <v>117</v>
      </c>
      <c r="D1057" s="3" t="n">
        <v>13</v>
      </c>
      <c r="E1057" s="3" t="n">
        <v>5</v>
      </c>
      <c r="F1057" s="3" t="n">
        <v>0</v>
      </c>
      <c r="G1057" s="3" t="n">
        <v>2</v>
      </c>
      <c r="H1057" s="24" t="n">
        <v>0.11014802</v>
      </c>
    </row>
    <row r="1058" customFormat="false" ht="15" hidden="false" customHeight="false" outlineLevel="0" collapsed="false">
      <c r="A1058" s="3" t="n">
        <v>1057</v>
      </c>
      <c r="B1058" s="3" t="n">
        <v>1056</v>
      </c>
      <c r="C1058" s="3" t="s">
        <v>117</v>
      </c>
      <c r="D1058" s="3" t="n">
        <v>13</v>
      </c>
      <c r="E1058" s="3" t="n">
        <v>5</v>
      </c>
      <c r="F1058" s="3" t="n">
        <v>1</v>
      </c>
      <c r="G1058" s="3" t="n">
        <v>0</v>
      </c>
      <c r="H1058" s="24" t="n">
        <v>-0.219106779</v>
      </c>
    </row>
    <row r="1059" customFormat="false" ht="15" hidden="false" customHeight="false" outlineLevel="0" collapsed="false">
      <c r="A1059" s="3" t="n">
        <v>1058</v>
      </c>
      <c r="B1059" s="3" t="n">
        <v>1057</v>
      </c>
      <c r="C1059" s="3" t="s">
        <v>117</v>
      </c>
      <c r="D1059" s="3" t="n">
        <v>13</v>
      </c>
      <c r="E1059" s="3" t="n">
        <v>5</v>
      </c>
      <c r="F1059" s="3" t="n">
        <v>1</v>
      </c>
      <c r="G1059" s="3" t="n">
        <v>1</v>
      </c>
      <c r="H1059" s="24" t="n">
        <v>0.223892301</v>
      </c>
    </row>
    <row r="1060" customFormat="false" ht="15" hidden="false" customHeight="false" outlineLevel="0" collapsed="false">
      <c r="A1060" s="3" t="n">
        <v>1059</v>
      </c>
      <c r="B1060" s="3" t="n">
        <v>1058</v>
      </c>
      <c r="C1060" s="3" t="s">
        <v>117</v>
      </c>
      <c r="D1060" s="3" t="n">
        <v>13</v>
      </c>
      <c r="E1060" s="3" t="n">
        <v>5</v>
      </c>
      <c r="F1060" s="3" t="n">
        <v>1</v>
      </c>
      <c r="G1060" s="3" t="n">
        <v>2</v>
      </c>
      <c r="H1060" s="24" t="n">
        <v>-0.0114596533</v>
      </c>
    </row>
    <row r="1061" customFormat="false" ht="15" hidden="false" customHeight="false" outlineLevel="0" collapsed="false">
      <c r="A1061" s="3" t="n">
        <v>1060</v>
      </c>
      <c r="B1061" s="3" t="n">
        <v>1059</v>
      </c>
      <c r="C1061" s="3" t="s">
        <v>117</v>
      </c>
      <c r="D1061" s="3" t="n">
        <v>13</v>
      </c>
      <c r="E1061" s="3" t="n">
        <v>5</v>
      </c>
      <c r="F1061" s="3" t="n">
        <v>2</v>
      </c>
      <c r="G1061" s="3" t="n">
        <v>0</v>
      </c>
      <c r="H1061" s="24" t="n">
        <v>0.664102376</v>
      </c>
    </row>
    <row r="1062" customFormat="false" ht="15" hidden="false" customHeight="false" outlineLevel="0" collapsed="false">
      <c r="A1062" s="3" t="n">
        <v>1061</v>
      </c>
      <c r="B1062" s="3" t="n">
        <v>1060</v>
      </c>
      <c r="C1062" s="3" t="s">
        <v>117</v>
      </c>
      <c r="D1062" s="3" t="n">
        <v>13</v>
      </c>
      <c r="E1062" s="3" t="n">
        <v>5</v>
      </c>
      <c r="F1062" s="3" t="n">
        <v>2</v>
      </c>
      <c r="G1062" s="3" t="n">
        <v>1</v>
      </c>
      <c r="H1062" s="24" t="n">
        <v>0.0363847502</v>
      </c>
    </row>
    <row r="1063" customFormat="false" ht="15" hidden="false" customHeight="false" outlineLevel="0" collapsed="false">
      <c r="A1063" s="3" t="n">
        <v>1062</v>
      </c>
      <c r="B1063" s="3" t="n">
        <v>1061</v>
      </c>
      <c r="C1063" s="3" t="s">
        <v>117</v>
      </c>
      <c r="D1063" s="3" t="n">
        <v>13</v>
      </c>
      <c r="E1063" s="3" t="n">
        <v>5</v>
      </c>
      <c r="F1063" s="3" t="n">
        <v>2</v>
      </c>
      <c r="G1063" s="3" t="n">
        <v>2</v>
      </c>
      <c r="H1063" s="24" t="n">
        <v>0.0499465391</v>
      </c>
    </row>
    <row r="1064" customFormat="false" ht="15" hidden="false" customHeight="false" outlineLevel="0" collapsed="false">
      <c r="A1064" s="3" t="n">
        <v>1063</v>
      </c>
      <c r="B1064" s="3" t="n">
        <v>1062</v>
      </c>
      <c r="C1064" s="3" t="s">
        <v>117</v>
      </c>
      <c r="D1064" s="3" t="n">
        <v>13</v>
      </c>
      <c r="E1064" s="3" t="n">
        <v>6</v>
      </c>
      <c r="F1064" s="3" t="n">
        <v>0</v>
      </c>
      <c r="G1064" s="3" t="n">
        <v>0</v>
      </c>
      <c r="H1064" s="24" t="n">
        <v>0.237271309</v>
      </c>
    </row>
    <row r="1065" customFormat="false" ht="15" hidden="false" customHeight="false" outlineLevel="0" collapsed="false">
      <c r="A1065" s="3" t="n">
        <v>1064</v>
      </c>
      <c r="B1065" s="3" t="n">
        <v>1063</v>
      </c>
      <c r="C1065" s="3" t="s">
        <v>117</v>
      </c>
      <c r="D1065" s="3" t="n">
        <v>13</v>
      </c>
      <c r="E1065" s="3" t="n">
        <v>6</v>
      </c>
      <c r="F1065" s="3" t="n">
        <v>0</v>
      </c>
      <c r="G1065" s="3" t="n">
        <v>1</v>
      </c>
      <c r="H1065" s="24" t="n">
        <v>0.177214533</v>
      </c>
    </row>
    <row r="1066" customFormat="false" ht="15" hidden="false" customHeight="false" outlineLevel="0" collapsed="false">
      <c r="A1066" s="3" t="n">
        <v>1065</v>
      </c>
      <c r="B1066" s="3" t="n">
        <v>1064</v>
      </c>
      <c r="C1066" s="3" t="s">
        <v>117</v>
      </c>
      <c r="D1066" s="3" t="n">
        <v>13</v>
      </c>
      <c r="E1066" s="3" t="n">
        <v>6</v>
      </c>
      <c r="F1066" s="3" t="n">
        <v>0</v>
      </c>
      <c r="G1066" s="3" t="n">
        <v>2</v>
      </c>
      <c r="H1066" s="24" t="n">
        <v>-0.060837321</v>
      </c>
    </row>
    <row r="1067" customFormat="false" ht="15" hidden="false" customHeight="false" outlineLevel="0" collapsed="false">
      <c r="A1067" s="3" t="n">
        <v>1066</v>
      </c>
      <c r="B1067" s="3" t="n">
        <v>1065</v>
      </c>
      <c r="C1067" s="3" t="s">
        <v>117</v>
      </c>
      <c r="D1067" s="3" t="n">
        <v>13</v>
      </c>
      <c r="E1067" s="3" t="n">
        <v>6</v>
      </c>
      <c r="F1067" s="3" t="n">
        <v>1</v>
      </c>
      <c r="G1067" s="3" t="n">
        <v>0</v>
      </c>
      <c r="H1067" s="24" t="n">
        <v>0.232917935</v>
      </c>
    </row>
    <row r="1068" customFormat="false" ht="15" hidden="false" customHeight="false" outlineLevel="0" collapsed="false">
      <c r="A1068" s="3" t="n">
        <v>1067</v>
      </c>
      <c r="B1068" s="3" t="n">
        <v>1066</v>
      </c>
      <c r="C1068" s="3" t="s">
        <v>117</v>
      </c>
      <c r="D1068" s="3" t="n">
        <v>13</v>
      </c>
      <c r="E1068" s="3" t="n">
        <v>6</v>
      </c>
      <c r="F1068" s="3" t="n">
        <v>1</v>
      </c>
      <c r="G1068" s="3" t="n">
        <v>1</v>
      </c>
      <c r="H1068" s="24" t="n">
        <v>0.107734486</v>
      </c>
    </row>
    <row r="1069" customFormat="false" ht="15" hidden="false" customHeight="false" outlineLevel="0" collapsed="false">
      <c r="A1069" s="3" t="n">
        <v>1068</v>
      </c>
      <c r="B1069" s="3" t="n">
        <v>1067</v>
      </c>
      <c r="C1069" s="3" t="s">
        <v>117</v>
      </c>
      <c r="D1069" s="3" t="n">
        <v>13</v>
      </c>
      <c r="E1069" s="3" t="n">
        <v>6</v>
      </c>
      <c r="F1069" s="3" t="n">
        <v>1</v>
      </c>
      <c r="G1069" s="3" t="n">
        <v>2</v>
      </c>
      <c r="H1069" s="24" t="n">
        <v>-0.0570667349</v>
      </c>
    </row>
    <row r="1070" customFormat="false" ht="15" hidden="false" customHeight="false" outlineLevel="0" collapsed="false">
      <c r="A1070" s="3" t="n">
        <v>1069</v>
      </c>
      <c r="B1070" s="3" t="n">
        <v>1068</v>
      </c>
      <c r="C1070" s="3" t="s">
        <v>117</v>
      </c>
      <c r="D1070" s="3" t="n">
        <v>13</v>
      </c>
      <c r="E1070" s="3" t="n">
        <v>6</v>
      </c>
      <c r="F1070" s="3" t="n">
        <v>2</v>
      </c>
      <c r="G1070" s="3" t="n">
        <v>0</v>
      </c>
      <c r="H1070" s="24" t="n">
        <v>0.218809664</v>
      </c>
    </row>
    <row r="1071" customFormat="false" ht="15" hidden="false" customHeight="false" outlineLevel="0" collapsed="false">
      <c r="A1071" s="3" t="n">
        <v>1070</v>
      </c>
      <c r="B1071" s="3" t="n">
        <v>1069</v>
      </c>
      <c r="C1071" s="3" t="s">
        <v>117</v>
      </c>
      <c r="D1071" s="3" t="n">
        <v>13</v>
      </c>
      <c r="E1071" s="3" t="n">
        <v>6</v>
      </c>
      <c r="F1071" s="3" t="n">
        <v>2</v>
      </c>
      <c r="G1071" s="3" t="n">
        <v>1</v>
      </c>
      <c r="H1071" s="24" t="n">
        <v>-0.289138883</v>
      </c>
    </row>
    <row r="1072" customFormat="false" ht="15" hidden="false" customHeight="false" outlineLevel="0" collapsed="false">
      <c r="A1072" s="3" t="n">
        <v>1071</v>
      </c>
      <c r="B1072" s="3" t="n">
        <v>1070</v>
      </c>
      <c r="C1072" s="3" t="s">
        <v>117</v>
      </c>
      <c r="D1072" s="3" t="n">
        <v>13</v>
      </c>
      <c r="E1072" s="3" t="n">
        <v>6</v>
      </c>
      <c r="F1072" s="3" t="n">
        <v>2</v>
      </c>
      <c r="G1072" s="3" t="n">
        <v>2</v>
      </c>
      <c r="H1072" s="24" t="n">
        <v>-0.0856958404</v>
      </c>
    </row>
    <row r="1073" customFormat="false" ht="15" hidden="false" customHeight="false" outlineLevel="0" collapsed="false">
      <c r="A1073" s="3" t="n">
        <v>1072</v>
      </c>
      <c r="B1073" s="3" t="n">
        <v>1071</v>
      </c>
      <c r="C1073" s="3" t="s">
        <v>117</v>
      </c>
      <c r="D1073" s="3" t="n">
        <v>13</v>
      </c>
      <c r="E1073" s="3" t="n">
        <v>7</v>
      </c>
      <c r="F1073" s="3" t="n">
        <v>0</v>
      </c>
      <c r="G1073" s="3" t="n">
        <v>0</v>
      </c>
      <c r="H1073" s="24" t="n">
        <v>0.109855562</v>
      </c>
    </row>
    <row r="1074" customFormat="false" ht="15" hidden="false" customHeight="false" outlineLevel="0" collapsed="false">
      <c r="A1074" s="3" t="n">
        <v>1073</v>
      </c>
      <c r="B1074" s="3" t="n">
        <v>1072</v>
      </c>
      <c r="C1074" s="3" t="s">
        <v>117</v>
      </c>
      <c r="D1074" s="3" t="n">
        <v>13</v>
      </c>
      <c r="E1074" s="3" t="n">
        <v>7</v>
      </c>
      <c r="F1074" s="3" t="n">
        <v>0</v>
      </c>
      <c r="G1074" s="3" t="n">
        <v>1</v>
      </c>
      <c r="H1074" s="24" t="n">
        <v>0.0586682111</v>
      </c>
    </row>
    <row r="1075" customFormat="false" ht="15" hidden="false" customHeight="false" outlineLevel="0" collapsed="false">
      <c r="A1075" s="3" t="n">
        <v>1074</v>
      </c>
      <c r="B1075" s="3" t="n">
        <v>1073</v>
      </c>
      <c r="C1075" s="3" t="s">
        <v>117</v>
      </c>
      <c r="D1075" s="3" t="n">
        <v>13</v>
      </c>
      <c r="E1075" s="3" t="n">
        <v>7</v>
      </c>
      <c r="F1075" s="3" t="n">
        <v>0</v>
      </c>
      <c r="G1075" s="3" t="n">
        <v>2</v>
      </c>
      <c r="H1075" s="24" t="n">
        <v>-0.135842934</v>
      </c>
    </row>
    <row r="1076" customFormat="false" ht="15" hidden="false" customHeight="false" outlineLevel="0" collapsed="false">
      <c r="A1076" s="3" t="n">
        <v>1075</v>
      </c>
      <c r="B1076" s="3" t="n">
        <v>1074</v>
      </c>
      <c r="C1076" s="3" t="s">
        <v>117</v>
      </c>
      <c r="D1076" s="3" t="n">
        <v>13</v>
      </c>
      <c r="E1076" s="3" t="n">
        <v>7</v>
      </c>
      <c r="F1076" s="3" t="n">
        <v>1</v>
      </c>
      <c r="G1076" s="3" t="n">
        <v>0</v>
      </c>
      <c r="H1076" s="24" t="n">
        <v>0.0429415181</v>
      </c>
    </row>
    <row r="1077" customFormat="false" ht="15" hidden="false" customHeight="false" outlineLevel="0" collapsed="false">
      <c r="A1077" s="3" t="n">
        <v>1076</v>
      </c>
      <c r="B1077" s="3" t="n">
        <v>1075</v>
      </c>
      <c r="C1077" s="3" t="s">
        <v>117</v>
      </c>
      <c r="D1077" s="3" t="n">
        <v>13</v>
      </c>
      <c r="E1077" s="3" t="n">
        <v>7</v>
      </c>
      <c r="F1077" s="3" t="n">
        <v>1</v>
      </c>
      <c r="G1077" s="3" t="n">
        <v>1</v>
      </c>
      <c r="H1077" s="24" t="n">
        <v>-0.0324871279</v>
      </c>
    </row>
    <row r="1078" customFormat="false" ht="15" hidden="false" customHeight="false" outlineLevel="0" collapsed="false">
      <c r="A1078" s="3" t="n">
        <v>1077</v>
      </c>
      <c r="B1078" s="3" t="n">
        <v>1076</v>
      </c>
      <c r="C1078" s="3" t="s">
        <v>117</v>
      </c>
      <c r="D1078" s="3" t="n">
        <v>13</v>
      </c>
      <c r="E1078" s="3" t="n">
        <v>7</v>
      </c>
      <c r="F1078" s="3" t="n">
        <v>1</v>
      </c>
      <c r="G1078" s="3" t="n">
        <v>2</v>
      </c>
      <c r="H1078" s="24" t="n">
        <v>-0.106591851</v>
      </c>
    </row>
    <row r="1079" customFormat="false" ht="15" hidden="false" customHeight="false" outlineLevel="0" collapsed="false">
      <c r="A1079" s="3" t="n">
        <v>1078</v>
      </c>
      <c r="B1079" s="3" t="n">
        <v>1077</v>
      </c>
      <c r="C1079" s="3" t="s">
        <v>117</v>
      </c>
      <c r="D1079" s="3" t="n">
        <v>13</v>
      </c>
      <c r="E1079" s="3" t="n">
        <v>7</v>
      </c>
      <c r="F1079" s="3" t="n">
        <v>2</v>
      </c>
      <c r="G1079" s="3" t="n">
        <v>0</v>
      </c>
      <c r="H1079" s="24" t="n">
        <v>0.0731369182</v>
      </c>
    </row>
    <row r="1080" customFormat="false" ht="15" hidden="false" customHeight="false" outlineLevel="0" collapsed="false">
      <c r="A1080" s="3" t="n">
        <v>1079</v>
      </c>
      <c r="B1080" s="3" t="n">
        <v>1078</v>
      </c>
      <c r="C1080" s="3" t="s">
        <v>117</v>
      </c>
      <c r="D1080" s="3" t="n">
        <v>13</v>
      </c>
      <c r="E1080" s="3" t="n">
        <v>7</v>
      </c>
      <c r="F1080" s="3" t="n">
        <v>2</v>
      </c>
      <c r="G1080" s="3" t="n">
        <v>1</v>
      </c>
      <c r="H1080" s="24" t="n">
        <v>0.173704863</v>
      </c>
    </row>
    <row r="1081" customFormat="false" ht="15" hidden="false" customHeight="false" outlineLevel="0" collapsed="false">
      <c r="A1081" s="3" t="n">
        <v>1080</v>
      </c>
      <c r="B1081" s="3" t="n">
        <v>1079</v>
      </c>
      <c r="C1081" s="3" t="s">
        <v>117</v>
      </c>
      <c r="D1081" s="3" t="n">
        <v>13</v>
      </c>
      <c r="E1081" s="3" t="n">
        <v>7</v>
      </c>
      <c r="F1081" s="3" t="n">
        <v>2</v>
      </c>
      <c r="G1081" s="3" t="n">
        <v>2</v>
      </c>
      <c r="H1081" s="24" t="n">
        <v>0.0859543309</v>
      </c>
    </row>
    <row r="1082" customFormat="false" ht="15" hidden="false" customHeight="false" outlineLevel="0" collapsed="false">
      <c r="A1082" s="3" t="n">
        <v>1081</v>
      </c>
      <c r="B1082" s="3" t="n">
        <v>1080</v>
      </c>
      <c r="C1082" s="3" t="s">
        <v>117</v>
      </c>
      <c r="D1082" s="3" t="n">
        <v>14</v>
      </c>
      <c r="E1082" s="3" t="n">
        <v>0</v>
      </c>
      <c r="F1082" s="3" t="n">
        <v>0</v>
      </c>
      <c r="G1082" s="3" t="n">
        <v>0</v>
      </c>
      <c r="H1082" s="24" t="n">
        <v>-0.0813172162</v>
      </c>
    </row>
    <row r="1083" customFormat="false" ht="15" hidden="false" customHeight="false" outlineLevel="0" collapsed="false">
      <c r="A1083" s="3" t="n">
        <v>1082</v>
      </c>
      <c r="B1083" s="3" t="n">
        <v>1081</v>
      </c>
      <c r="C1083" s="3" t="s">
        <v>117</v>
      </c>
      <c r="D1083" s="3" t="n">
        <v>14</v>
      </c>
      <c r="E1083" s="3" t="n">
        <v>0</v>
      </c>
      <c r="F1083" s="3" t="n">
        <v>0</v>
      </c>
      <c r="G1083" s="3" t="n">
        <v>1</v>
      </c>
      <c r="H1083" s="24" t="n">
        <v>-0.0558985397</v>
      </c>
    </row>
    <row r="1084" customFormat="false" ht="15" hidden="false" customHeight="false" outlineLevel="0" collapsed="false">
      <c r="A1084" s="3" t="n">
        <v>1083</v>
      </c>
      <c r="B1084" s="3" t="n">
        <v>1082</v>
      </c>
      <c r="C1084" s="3" t="s">
        <v>117</v>
      </c>
      <c r="D1084" s="3" t="n">
        <v>14</v>
      </c>
      <c r="E1084" s="3" t="n">
        <v>0</v>
      </c>
      <c r="F1084" s="3" t="n">
        <v>0</v>
      </c>
      <c r="G1084" s="3" t="n">
        <v>2</v>
      </c>
      <c r="H1084" s="24" t="n">
        <v>0.133421883</v>
      </c>
    </row>
    <row r="1085" customFormat="false" ht="15" hidden="false" customHeight="false" outlineLevel="0" collapsed="false">
      <c r="A1085" s="3" t="n">
        <v>1084</v>
      </c>
      <c r="B1085" s="3" t="n">
        <v>1083</v>
      </c>
      <c r="C1085" s="3" t="s">
        <v>117</v>
      </c>
      <c r="D1085" s="3" t="n">
        <v>14</v>
      </c>
      <c r="E1085" s="3" t="n">
        <v>0</v>
      </c>
      <c r="F1085" s="3" t="n">
        <v>1</v>
      </c>
      <c r="G1085" s="3" t="n">
        <v>0</v>
      </c>
      <c r="H1085" s="24" t="n">
        <v>-0.0496118963</v>
      </c>
    </row>
    <row r="1086" customFormat="false" ht="15" hidden="false" customHeight="false" outlineLevel="0" collapsed="false">
      <c r="A1086" s="3" t="n">
        <v>1085</v>
      </c>
      <c r="B1086" s="3" t="n">
        <v>1084</v>
      </c>
      <c r="C1086" s="3" t="s">
        <v>117</v>
      </c>
      <c r="D1086" s="3" t="n">
        <v>14</v>
      </c>
      <c r="E1086" s="3" t="n">
        <v>0</v>
      </c>
      <c r="F1086" s="3" t="n">
        <v>1</v>
      </c>
      <c r="G1086" s="3" t="n">
        <v>1</v>
      </c>
      <c r="H1086" s="24" t="n">
        <v>-0.0130926706</v>
      </c>
    </row>
    <row r="1087" customFormat="false" ht="15" hidden="false" customHeight="false" outlineLevel="0" collapsed="false">
      <c r="A1087" s="3" t="n">
        <v>1086</v>
      </c>
      <c r="B1087" s="3" t="n">
        <v>1085</v>
      </c>
      <c r="C1087" s="3" t="s">
        <v>117</v>
      </c>
      <c r="D1087" s="3" t="n">
        <v>14</v>
      </c>
      <c r="E1087" s="3" t="n">
        <v>0</v>
      </c>
      <c r="F1087" s="3" t="n">
        <v>1</v>
      </c>
      <c r="G1087" s="3" t="n">
        <v>2</v>
      </c>
      <c r="H1087" s="24" t="n">
        <v>0.130652145</v>
      </c>
    </row>
    <row r="1088" customFormat="false" ht="15" hidden="false" customHeight="false" outlineLevel="0" collapsed="false">
      <c r="A1088" s="3" t="n">
        <v>1087</v>
      </c>
      <c r="B1088" s="3" t="n">
        <v>1086</v>
      </c>
      <c r="C1088" s="3" t="s">
        <v>117</v>
      </c>
      <c r="D1088" s="3" t="n">
        <v>14</v>
      </c>
      <c r="E1088" s="3" t="n">
        <v>0</v>
      </c>
      <c r="F1088" s="3" t="n">
        <v>2</v>
      </c>
      <c r="G1088" s="3" t="n">
        <v>0</v>
      </c>
      <c r="H1088" s="24" t="n">
        <v>0.017878674</v>
      </c>
    </row>
    <row r="1089" customFormat="false" ht="15" hidden="false" customHeight="false" outlineLevel="0" collapsed="false">
      <c r="A1089" s="3" t="n">
        <v>1088</v>
      </c>
      <c r="B1089" s="3" t="n">
        <v>1087</v>
      </c>
      <c r="C1089" s="3" t="s">
        <v>117</v>
      </c>
      <c r="D1089" s="3" t="n">
        <v>14</v>
      </c>
      <c r="E1089" s="3" t="n">
        <v>0</v>
      </c>
      <c r="F1089" s="3" t="n">
        <v>2</v>
      </c>
      <c r="G1089" s="3" t="n">
        <v>1</v>
      </c>
      <c r="H1089" s="24" t="n">
        <v>0.0142962504</v>
      </c>
    </row>
    <row r="1090" customFormat="false" ht="15" hidden="false" customHeight="false" outlineLevel="0" collapsed="false">
      <c r="A1090" s="3" t="n">
        <v>1089</v>
      </c>
      <c r="B1090" s="3" t="n">
        <v>1088</v>
      </c>
      <c r="C1090" s="3" t="s">
        <v>117</v>
      </c>
      <c r="D1090" s="3" t="n">
        <v>14</v>
      </c>
      <c r="E1090" s="3" t="n">
        <v>0</v>
      </c>
      <c r="F1090" s="3" t="n">
        <v>2</v>
      </c>
      <c r="G1090" s="3" t="n">
        <v>2</v>
      </c>
      <c r="H1090" s="24" t="n">
        <v>-0.0599985123</v>
      </c>
    </row>
    <row r="1091" customFormat="false" ht="15" hidden="false" customHeight="false" outlineLevel="0" collapsed="false">
      <c r="A1091" s="3" t="n">
        <v>1090</v>
      </c>
      <c r="B1091" s="3" t="n">
        <v>1089</v>
      </c>
      <c r="C1091" s="3" t="s">
        <v>117</v>
      </c>
      <c r="D1091" s="3" t="n">
        <v>14</v>
      </c>
      <c r="E1091" s="3" t="n">
        <v>1</v>
      </c>
      <c r="F1091" s="3" t="n">
        <v>0</v>
      </c>
      <c r="G1091" s="3" t="n">
        <v>0</v>
      </c>
      <c r="H1091" s="24" t="n">
        <v>0.0583443157</v>
      </c>
    </row>
    <row r="1092" customFormat="false" ht="15" hidden="false" customHeight="false" outlineLevel="0" collapsed="false">
      <c r="A1092" s="3" t="n">
        <v>1091</v>
      </c>
      <c r="B1092" s="3" t="n">
        <v>1090</v>
      </c>
      <c r="C1092" s="3" t="s">
        <v>117</v>
      </c>
      <c r="D1092" s="3" t="n">
        <v>14</v>
      </c>
      <c r="E1092" s="3" t="n">
        <v>1</v>
      </c>
      <c r="F1092" s="3" t="n">
        <v>0</v>
      </c>
      <c r="G1092" s="3" t="n">
        <v>1</v>
      </c>
      <c r="H1092" s="24" t="n">
        <v>0.275750786</v>
      </c>
    </row>
    <row r="1093" customFormat="false" ht="15" hidden="false" customHeight="false" outlineLevel="0" collapsed="false">
      <c r="A1093" s="3" t="n">
        <v>1092</v>
      </c>
      <c r="B1093" s="3" t="n">
        <v>1091</v>
      </c>
      <c r="C1093" s="3" t="s">
        <v>117</v>
      </c>
      <c r="D1093" s="3" t="n">
        <v>14</v>
      </c>
      <c r="E1093" s="3" t="n">
        <v>1</v>
      </c>
      <c r="F1093" s="3" t="n">
        <v>0</v>
      </c>
      <c r="G1093" s="3" t="n">
        <v>2</v>
      </c>
      <c r="H1093" s="24" t="n">
        <v>0.151485071</v>
      </c>
    </row>
    <row r="1094" customFormat="false" ht="15" hidden="false" customHeight="false" outlineLevel="0" collapsed="false">
      <c r="A1094" s="3" t="n">
        <v>1093</v>
      </c>
      <c r="B1094" s="3" t="n">
        <v>1092</v>
      </c>
      <c r="C1094" s="3" t="s">
        <v>117</v>
      </c>
      <c r="D1094" s="3" t="n">
        <v>14</v>
      </c>
      <c r="E1094" s="3" t="n">
        <v>1</v>
      </c>
      <c r="F1094" s="3" t="n">
        <v>1</v>
      </c>
      <c r="G1094" s="3" t="n">
        <v>0</v>
      </c>
      <c r="H1094" s="24" t="n">
        <v>-0.105020858</v>
      </c>
    </row>
    <row r="1095" customFormat="false" ht="15" hidden="false" customHeight="false" outlineLevel="0" collapsed="false">
      <c r="A1095" s="3" t="n">
        <v>1094</v>
      </c>
      <c r="B1095" s="3" t="n">
        <v>1093</v>
      </c>
      <c r="C1095" s="3" t="s">
        <v>117</v>
      </c>
      <c r="D1095" s="3" t="n">
        <v>14</v>
      </c>
      <c r="E1095" s="3" t="n">
        <v>1</v>
      </c>
      <c r="F1095" s="3" t="n">
        <v>1</v>
      </c>
      <c r="G1095" s="3" t="n">
        <v>1</v>
      </c>
      <c r="H1095" s="24" t="n">
        <v>0.10575214</v>
      </c>
    </row>
    <row r="1096" customFormat="false" ht="15" hidden="false" customHeight="false" outlineLevel="0" collapsed="false">
      <c r="A1096" s="3" t="n">
        <v>1095</v>
      </c>
      <c r="B1096" s="3" t="n">
        <v>1094</v>
      </c>
      <c r="C1096" s="3" t="s">
        <v>117</v>
      </c>
      <c r="D1096" s="3" t="n">
        <v>14</v>
      </c>
      <c r="E1096" s="3" t="n">
        <v>1</v>
      </c>
      <c r="F1096" s="3" t="n">
        <v>1</v>
      </c>
      <c r="G1096" s="3" t="n">
        <v>2</v>
      </c>
      <c r="H1096" s="24" t="n">
        <v>-0.0772458166</v>
      </c>
    </row>
    <row r="1097" customFormat="false" ht="15" hidden="false" customHeight="false" outlineLevel="0" collapsed="false">
      <c r="A1097" s="3" t="n">
        <v>1096</v>
      </c>
      <c r="B1097" s="3" t="n">
        <v>1095</v>
      </c>
      <c r="C1097" s="3" t="s">
        <v>117</v>
      </c>
      <c r="D1097" s="3" t="n">
        <v>14</v>
      </c>
      <c r="E1097" s="3" t="n">
        <v>1</v>
      </c>
      <c r="F1097" s="3" t="n">
        <v>2</v>
      </c>
      <c r="G1097" s="3" t="n">
        <v>0</v>
      </c>
      <c r="H1097" s="24" t="n">
        <v>0.140306085</v>
      </c>
    </row>
    <row r="1098" customFormat="false" ht="15" hidden="false" customHeight="false" outlineLevel="0" collapsed="false">
      <c r="A1098" s="3" t="n">
        <v>1097</v>
      </c>
      <c r="B1098" s="3" t="n">
        <v>1096</v>
      </c>
      <c r="C1098" s="3" t="s">
        <v>117</v>
      </c>
      <c r="D1098" s="3" t="n">
        <v>14</v>
      </c>
      <c r="E1098" s="3" t="n">
        <v>1</v>
      </c>
      <c r="F1098" s="3" t="n">
        <v>2</v>
      </c>
      <c r="G1098" s="3" t="n">
        <v>1</v>
      </c>
      <c r="H1098" s="24" t="n">
        <v>0.079781957</v>
      </c>
    </row>
    <row r="1099" customFormat="false" ht="15" hidden="false" customHeight="false" outlineLevel="0" collapsed="false">
      <c r="A1099" s="3" t="n">
        <v>1098</v>
      </c>
      <c r="B1099" s="3" t="n">
        <v>1097</v>
      </c>
      <c r="C1099" s="3" t="s">
        <v>117</v>
      </c>
      <c r="D1099" s="3" t="n">
        <v>14</v>
      </c>
      <c r="E1099" s="3" t="n">
        <v>1</v>
      </c>
      <c r="F1099" s="3" t="n">
        <v>2</v>
      </c>
      <c r="G1099" s="3" t="n">
        <v>2</v>
      </c>
      <c r="H1099" s="24" t="n">
        <v>0.0951668099</v>
      </c>
    </row>
    <row r="1100" customFormat="false" ht="15" hidden="false" customHeight="false" outlineLevel="0" collapsed="false">
      <c r="A1100" s="3" t="n">
        <v>1099</v>
      </c>
      <c r="B1100" s="3" t="n">
        <v>1098</v>
      </c>
      <c r="C1100" s="3" t="s">
        <v>117</v>
      </c>
      <c r="D1100" s="3" t="n">
        <v>14</v>
      </c>
      <c r="E1100" s="3" t="n">
        <v>2</v>
      </c>
      <c r="F1100" s="3" t="n">
        <v>0</v>
      </c>
      <c r="G1100" s="3" t="n">
        <v>0</v>
      </c>
      <c r="H1100" s="24" t="n">
        <v>0.451845646</v>
      </c>
    </row>
    <row r="1101" customFormat="false" ht="15" hidden="false" customHeight="false" outlineLevel="0" collapsed="false">
      <c r="A1101" s="3" t="n">
        <v>1100</v>
      </c>
      <c r="B1101" s="3" t="n">
        <v>1099</v>
      </c>
      <c r="C1101" s="3" t="s">
        <v>117</v>
      </c>
      <c r="D1101" s="3" t="n">
        <v>14</v>
      </c>
      <c r="E1101" s="3" t="n">
        <v>2</v>
      </c>
      <c r="F1101" s="3" t="n">
        <v>0</v>
      </c>
      <c r="G1101" s="3" t="n">
        <v>1</v>
      </c>
      <c r="H1101" s="24" t="n">
        <v>-0.0517889522</v>
      </c>
    </row>
    <row r="1102" customFormat="false" ht="15" hidden="false" customHeight="false" outlineLevel="0" collapsed="false">
      <c r="A1102" s="3" t="n">
        <v>1101</v>
      </c>
      <c r="B1102" s="3" t="n">
        <v>1100</v>
      </c>
      <c r="C1102" s="3" t="s">
        <v>117</v>
      </c>
      <c r="D1102" s="3" t="n">
        <v>14</v>
      </c>
      <c r="E1102" s="3" t="n">
        <v>2</v>
      </c>
      <c r="F1102" s="3" t="n">
        <v>0</v>
      </c>
      <c r="G1102" s="3" t="n">
        <v>2</v>
      </c>
      <c r="H1102" s="24" t="n">
        <v>-0.392541677</v>
      </c>
    </row>
    <row r="1103" customFormat="false" ht="15" hidden="false" customHeight="false" outlineLevel="0" collapsed="false">
      <c r="A1103" s="3" t="n">
        <v>1102</v>
      </c>
      <c r="B1103" s="3" t="n">
        <v>1101</v>
      </c>
      <c r="C1103" s="3" t="s">
        <v>117</v>
      </c>
      <c r="D1103" s="3" t="n">
        <v>14</v>
      </c>
      <c r="E1103" s="3" t="n">
        <v>2</v>
      </c>
      <c r="F1103" s="3" t="n">
        <v>1</v>
      </c>
      <c r="G1103" s="3" t="n">
        <v>0</v>
      </c>
      <c r="H1103" s="24" t="n">
        <v>0.116932146</v>
      </c>
    </row>
    <row r="1104" customFormat="false" ht="15" hidden="false" customHeight="false" outlineLevel="0" collapsed="false">
      <c r="A1104" s="3" t="n">
        <v>1103</v>
      </c>
      <c r="B1104" s="3" t="n">
        <v>1102</v>
      </c>
      <c r="C1104" s="3" t="s">
        <v>117</v>
      </c>
      <c r="D1104" s="3" t="n">
        <v>14</v>
      </c>
      <c r="E1104" s="3" t="n">
        <v>2</v>
      </c>
      <c r="F1104" s="3" t="n">
        <v>1</v>
      </c>
      <c r="G1104" s="3" t="n">
        <v>1</v>
      </c>
      <c r="H1104" s="24" t="n">
        <v>-0.185454577</v>
      </c>
    </row>
    <row r="1105" customFormat="false" ht="15" hidden="false" customHeight="false" outlineLevel="0" collapsed="false">
      <c r="A1105" s="3" t="n">
        <v>1104</v>
      </c>
      <c r="B1105" s="3" t="n">
        <v>1103</v>
      </c>
      <c r="C1105" s="3" t="s">
        <v>117</v>
      </c>
      <c r="D1105" s="3" t="n">
        <v>14</v>
      </c>
      <c r="E1105" s="3" t="n">
        <v>2</v>
      </c>
      <c r="F1105" s="3" t="n">
        <v>1</v>
      </c>
      <c r="G1105" s="3" t="n">
        <v>2</v>
      </c>
      <c r="H1105" s="24" t="n">
        <v>-0.332582384</v>
      </c>
    </row>
    <row r="1106" customFormat="false" ht="15" hidden="false" customHeight="false" outlineLevel="0" collapsed="false">
      <c r="A1106" s="3" t="n">
        <v>1105</v>
      </c>
      <c r="B1106" s="3" t="n">
        <v>1104</v>
      </c>
      <c r="C1106" s="3" t="s">
        <v>117</v>
      </c>
      <c r="D1106" s="3" t="n">
        <v>14</v>
      </c>
      <c r="E1106" s="3" t="n">
        <v>2</v>
      </c>
      <c r="F1106" s="3" t="n">
        <v>2</v>
      </c>
      <c r="G1106" s="3" t="n">
        <v>0</v>
      </c>
      <c r="H1106" s="24" t="n">
        <v>0.0549946427</v>
      </c>
    </row>
    <row r="1107" customFormat="false" ht="15" hidden="false" customHeight="false" outlineLevel="0" collapsed="false">
      <c r="A1107" s="3" t="n">
        <v>1106</v>
      </c>
      <c r="B1107" s="3" t="n">
        <v>1105</v>
      </c>
      <c r="C1107" s="3" t="s">
        <v>117</v>
      </c>
      <c r="D1107" s="3" t="n">
        <v>14</v>
      </c>
      <c r="E1107" s="3" t="n">
        <v>2</v>
      </c>
      <c r="F1107" s="3" t="n">
        <v>2</v>
      </c>
      <c r="G1107" s="3" t="n">
        <v>1</v>
      </c>
      <c r="H1107" s="24" t="n">
        <v>0.177005067</v>
      </c>
    </row>
    <row r="1108" customFormat="false" ht="15" hidden="false" customHeight="false" outlineLevel="0" collapsed="false">
      <c r="A1108" s="3" t="n">
        <v>1107</v>
      </c>
      <c r="B1108" s="3" t="n">
        <v>1106</v>
      </c>
      <c r="C1108" s="3" t="s">
        <v>117</v>
      </c>
      <c r="D1108" s="3" t="n">
        <v>14</v>
      </c>
      <c r="E1108" s="3" t="n">
        <v>2</v>
      </c>
      <c r="F1108" s="3" t="n">
        <v>2</v>
      </c>
      <c r="G1108" s="3" t="n">
        <v>2</v>
      </c>
      <c r="H1108" s="24" t="n">
        <v>-0.300774664</v>
      </c>
    </row>
    <row r="1109" customFormat="false" ht="15" hidden="false" customHeight="false" outlineLevel="0" collapsed="false">
      <c r="A1109" s="3" t="n">
        <v>1108</v>
      </c>
      <c r="B1109" s="3" t="n">
        <v>1107</v>
      </c>
      <c r="C1109" s="3" t="s">
        <v>117</v>
      </c>
      <c r="D1109" s="3" t="n">
        <v>14</v>
      </c>
      <c r="E1109" s="3" t="n">
        <v>3</v>
      </c>
      <c r="F1109" s="3" t="n">
        <v>0</v>
      </c>
      <c r="G1109" s="3" t="n">
        <v>0</v>
      </c>
      <c r="H1109" s="24" t="n">
        <v>0.323781043</v>
      </c>
    </row>
    <row r="1110" customFormat="false" ht="15" hidden="false" customHeight="false" outlineLevel="0" collapsed="false">
      <c r="A1110" s="3" t="n">
        <v>1109</v>
      </c>
      <c r="B1110" s="3" t="n">
        <v>1108</v>
      </c>
      <c r="C1110" s="3" t="s">
        <v>117</v>
      </c>
      <c r="D1110" s="3" t="n">
        <v>14</v>
      </c>
      <c r="E1110" s="3" t="n">
        <v>3</v>
      </c>
      <c r="F1110" s="3" t="n">
        <v>0</v>
      </c>
      <c r="G1110" s="3" t="n">
        <v>1</v>
      </c>
      <c r="H1110" s="24" t="n">
        <v>-0.179508895</v>
      </c>
    </row>
    <row r="1111" customFormat="false" ht="15" hidden="false" customHeight="false" outlineLevel="0" collapsed="false">
      <c r="A1111" s="3" t="n">
        <v>1110</v>
      </c>
      <c r="B1111" s="3" t="n">
        <v>1109</v>
      </c>
      <c r="C1111" s="3" t="s">
        <v>117</v>
      </c>
      <c r="D1111" s="3" t="n">
        <v>14</v>
      </c>
      <c r="E1111" s="3" t="n">
        <v>3</v>
      </c>
      <c r="F1111" s="3" t="n">
        <v>0</v>
      </c>
      <c r="G1111" s="3" t="n">
        <v>2</v>
      </c>
      <c r="H1111" s="24" t="n">
        <v>-0.104685687</v>
      </c>
    </row>
    <row r="1112" customFormat="false" ht="15" hidden="false" customHeight="false" outlineLevel="0" collapsed="false">
      <c r="A1112" s="3" t="n">
        <v>1111</v>
      </c>
      <c r="B1112" s="3" t="n">
        <v>1110</v>
      </c>
      <c r="C1112" s="3" t="s">
        <v>117</v>
      </c>
      <c r="D1112" s="3" t="n">
        <v>14</v>
      </c>
      <c r="E1112" s="3" t="n">
        <v>3</v>
      </c>
      <c r="F1112" s="3" t="n">
        <v>1</v>
      </c>
      <c r="G1112" s="3" t="n">
        <v>0</v>
      </c>
      <c r="H1112" s="24" t="n">
        <v>0.122369699</v>
      </c>
    </row>
    <row r="1113" customFormat="false" ht="15" hidden="false" customHeight="false" outlineLevel="0" collapsed="false">
      <c r="A1113" s="3" t="n">
        <v>1112</v>
      </c>
      <c r="B1113" s="3" t="n">
        <v>1111</v>
      </c>
      <c r="C1113" s="3" t="s">
        <v>117</v>
      </c>
      <c r="D1113" s="3" t="n">
        <v>14</v>
      </c>
      <c r="E1113" s="3" t="n">
        <v>3</v>
      </c>
      <c r="F1113" s="3" t="n">
        <v>1</v>
      </c>
      <c r="G1113" s="3" t="n">
        <v>1</v>
      </c>
      <c r="H1113" s="24" t="n">
        <v>-0.269518793</v>
      </c>
    </row>
    <row r="1114" customFormat="false" ht="15" hidden="false" customHeight="false" outlineLevel="0" collapsed="false">
      <c r="A1114" s="3" t="n">
        <v>1113</v>
      </c>
      <c r="B1114" s="3" t="n">
        <v>1112</v>
      </c>
      <c r="C1114" s="3" t="s">
        <v>117</v>
      </c>
      <c r="D1114" s="3" t="n">
        <v>14</v>
      </c>
      <c r="E1114" s="3" t="n">
        <v>3</v>
      </c>
      <c r="F1114" s="3" t="n">
        <v>1</v>
      </c>
      <c r="G1114" s="3" t="n">
        <v>2</v>
      </c>
      <c r="H1114" s="24" t="n">
        <v>-0.470438063</v>
      </c>
    </row>
    <row r="1115" customFormat="false" ht="15" hidden="false" customHeight="false" outlineLevel="0" collapsed="false">
      <c r="A1115" s="3" t="n">
        <v>1114</v>
      </c>
      <c r="B1115" s="3" t="n">
        <v>1113</v>
      </c>
      <c r="C1115" s="3" t="s">
        <v>117</v>
      </c>
      <c r="D1115" s="3" t="n">
        <v>14</v>
      </c>
      <c r="E1115" s="3" t="n">
        <v>3</v>
      </c>
      <c r="F1115" s="3" t="n">
        <v>2</v>
      </c>
      <c r="G1115" s="3" t="n">
        <v>0</v>
      </c>
      <c r="H1115" s="24" t="n">
        <v>-0.0636551306</v>
      </c>
    </row>
    <row r="1116" customFormat="false" ht="15" hidden="false" customHeight="false" outlineLevel="0" collapsed="false">
      <c r="A1116" s="3" t="n">
        <v>1115</v>
      </c>
      <c r="B1116" s="3" t="n">
        <v>1114</v>
      </c>
      <c r="C1116" s="3" t="s">
        <v>117</v>
      </c>
      <c r="D1116" s="3" t="n">
        <v>14</v>
      </c>
      <c r="E1116" s="3" t="n">
        <v>3</v>
      </c>
      <c r="F1116" s="3" t="n">
        <v>2</v>
      </c>
      <c r="G1116" s="3" t="n">
        <v>1</v>
      </c>
      <c r="H1116" s="24" t="n">
        <v>-0.680862963</v>
      </c>
    </row>
    <row r="1117" customFormat="false" ht="15" hidden="false" customHeight="false" outlineLevel="0" collapsed="false">
      <c r="A1117" s="3" t="n">
        <v>1116</v>
      </c>
      <c r="B1117" s="3" t="n">
        <v>1115</v>
      </c>
      <c r="C1117" s="3" t="s">
        <v>117</v>
      </c>
      <c r="D1117" s="3" t="n">
        <v>14</v>
      </c>
      <c r="E1117" s="3" t="n">
        <v>3</v>
      </c>
      <c r="F1117" s="3" t="n">
        <v>2</v>
      </c>
      <c r="G1117" s="3" t="n">
        <v>2</v>
      </c>
      <c r="H1117" s="24" t="n">
        <v>-0.63361311</v>
      </c>
    </row>
    <row r="1118" customFormat="false" ht="15" hidden="false" customHeight="false" outlineLevel="0" collapsed="false">
      <c r="A1118" s="3" t="n">
        <v>1117</v>
      </c>
      <c r="B1118" s="3" t="n">
        <v>1116</v>
      </c>
      <c r="C1118" s="3" t="s">
        <v>117</v>
      </c>
      <c r="D1118" s="3" t="n">
        <v>14</v>
      </c>
      <c r="E1118" s="3" t="n">
        <v>4</v>
      </c>
      <c r="F1118" s="3" t="n">
        <v>0</v>
      </c>
      <c r="G1118" s="3" t="n">
        <v>0</v>
      </c>
      <c r="H1118" s="24" t="n">
        <v>0.0300060697</v>
      </c>
    </row>
    <row r="1119" customFormat="false" ht="15" hidden="false" customHeight="false" outlineLevel="0" collapsed="false">
      <c r="A1119" s="3" t="n">
        <v>1118</v>
      </c>
      <c r="B1119" s="3" t="n">
        <v>1117</v>
      </c>
      <c r="C1119" s="3" t="s">
        <v>117</v>
      </c>
      <c r="D1119" s="3" t="n">
        <v>14</v>
      </c>
      <c r="E1119" s="3" t="n">
        <v>4</v>
      </c>
      <c r="F1119" s="3" t="n">
        <v>0</v>
      </c>
      <c r="G1119" s="3" t="n">
        <v>1</v>
      </c>
      <c r="H1119" s="24" t="n">
        <v>0.0463310592</v>
      </c>
    </row>
    <row r="1120" customFormat="false" ht="15" hidden="false" customHeight="false" outlineLevel="0" collapsed="false">
      <c r="A1120" s="3" t="n">
        <v>1119</v>
      </c>
      <c r="B1120" s="3" t="n">
        <v>1118</v>
      </c>
      <c r="C1120" s="3" t="s">
        <v>117</v>
      </c>
      <c r="D1120" s="3" t="n">
        <v>14</v>
      </c>
      <c r="E1120" s="3" t="n">
        <v>4</v>
      </c>
      <c r="F1120" s="3" t="n">
        <v>0</v>
      </c>
      <c r="G1120" s="3" t="n">
        <v>2</v>
      </c>
      <c r="H1120" s="24" t="n">
        <v>0.166292667</v>
      </c>
    </row>
    <row r="1121" customFormat="false" ht="15" hidden="false" customHeight="false" outlineLevel="0" collapsed="false">
      <c r="A1121" s="3" t="n">
        <v>1120</v>
      </c>
      <c r="B1121" s="3" t="n">
        <v>1119</v>
      </c>
      <c r="C1121" s="3" t="s">
        <v>117</v>
      </c>
      <c r="D1121" s="3" t="n">
        <v>14</v>
      </c>
      <c r="E1121" s="3" t="n">
        <v>4</v>
      </c>
      <c r="F1121" s="3" t="n">
        <v>1</v>
      </c>
      <c r="G1121" s="3" t="n">
        <v>0</v>
      </c>
      <c r="H1121" s="24" t="n">
        <v>0.0494944602</v>
      </c>
    </row>
    <row r="1122" customFormat="false" ht="15" hidden="false" customHeight="false" outlineLevel="0" collapsed="false">
      <c r="A1122" s="3" t="n">
        <v>1121</v>
      </c>
      <c r="B1122" s="3" t="n">
        <v>1120</v>
      </c>
      <c r="C1122" s="3" t="s">
        <v>117</v>
      </c>
      <c r="D1122" s="3" t="n">
        <v>14</v>
      </c>
      <c r="E1122" s="3" t="n">
        <v>4</v>
      </c>
      <c r="F1122" s="3" t="n">
        <v>1</v>
      </c>
      <c r="G1122" s="3" t="n">
        <v>1</v>
      </c>
      <c r="H1122" s="24" t="n">
        <v>0.105220199</v>
      </c>
    </row>
    <row r="1123" customFormat="false" ht="15" hidden="false" customHeight="false" outlineLevel="0" collapsed="false">
      <c r="A1123" s="3" t="n">
        <v>1122</v>
      </c>
      <c r="B1123" s="3" t="n">
        <v>1121</v>
      </c>
      <c r="C1123" s="3" t="s">
        <v>117</v>
      </c>
      <c r="D1123" s="3" t="n">
        <v>14</v>
      </c>
      <c r="E1123" s="3" t="n">
        <v>4</v>
      </c>
      <c r="F1123" s="3" t="n">
        <v>1</v>
      </c>
      <c r="G1123" s="3" t="n">
        <v>2</v>
      </c>
      <c r="H1123" s="24" t="n">
        <v>0.110553801</v>
      </c>
    </row>
    <row r="1124" customFormat="false" ht="15" hidden="false" customHeight="false" outlineLevel="0" collapsed="false">
      <c r="A1124" s="3" t="n">
        <v>1123</v>
      </c>
      <c r="B1124" s="3" t="n">
        <v>1122</v>
      </c>
      <c r="C1124" s="3" t="s">
        <v>117</v>
      </c>
      <c r="D1124" s="3" t="n">
        <v>14</v>
      </c>
      <c r="E1124" s="3" t="n">
        <v>4</v>
      </c>
      <c r="F1124" s="3" t="n">
        <v>2</v>
      </c>
      <c r="G1124" s="3" t="n">
        <v>0</v>
      </c>
      <c r="H1124" s="24" t="n">
        <v>-0.16963324</v>
      </c>
    </row>
    <row r="1125" customFormat="false" ht="15" hidden="false" customHeight="false" outlineLevel="0" collapsed="false">
      <c r="A1125" s="3" t="n">
        <v>1124</v>
      </c>
      <c r="B1125" s="3" t="n">
        <v>1123</v>
      </c>
      <c r="C1125" s="3" t="s">
        <v>117</v>
      </c>
      <c r="D1125" s="3" t="n">
        <v>14</v>
      </c>
      <c r="E1125" s="3" t="n">
        <v>4</v>
      </c>
      <c r="F1125" s="3" t="n">
        <v>2</v>
      </c>
      <c r="G1125" s="3" t="n">
        <v>1</v>
      </c>
      <c r="H1125" s="24" t="n">
        <v>0.186394185</v>
      </c>
    </row>
    <row r="1126" customFormat="false" ht="15" hidden="false" customHeight="false" outlineLevel="0" collapsed="false">
      <c r="A1126" s="3" t="n">
        <v>1125</v>
      </c>
      <c r="B1126" s="3" t="n">
        <v>1124</v>
      </c>
      <c r="C1126" s="3" t="s">
        <v>117</v>
      </c>
      <c r="D1126" s="3" t="n">
        <v>14</v>
      </c>
      <c r="E1126" s="3" t="n">
        <v>4</v>
      </c>
      <c r="F1126" s="3" t="n">
        <v>2</v>
      </c>
      <c r="G1126" s="3" t="n">
        <v>2</v>
      </c>
      <c r="H1126" s="24" t="n">
        <v>0.0617014579</v>
      </c>
    </row>
    <row r="1127" customFormat="false" ht="15" hidden="false" customHeight="false" outlineLevel="0" collapsed="false">
      <c r="A1127" s="3" t="n">
        <v>1126</v>
      </c>
      <c r="B1127" s="3" t="n">
        <v>1125</v>
      </c>
      <c r="C1127" s="3" t="s">
        <v>117</v>
      </c>
      <c r="D1127" s="3" t="n">
        <v>14</v>
      </c>
      <c r="E1127" s="3" t="n">
        <v>5</v>
      </c>
      <c r="F1127" s="3" t="n">
        <v>0</v>
      </c>
      <c r="G1127" s="3" t="n">
        <v>0</v>
      </c>
      <c r="H1127" s="24" t="n">
        <v>0.0530257784</v>
      </c>
    </row>
    <row r="1128" customFormat="false" ht="15" hidden="false" customHeight="false" outlineLevel="0" collapsed="false">
      <c r="A1128" s="3" t="n">
        <v>1127</v>
      </c>
      <c r="B1128" s="3" t="n">
        <v>1126</v>
      </c>
      <c r="C1128" s="3" t="s">
        <v>117</v>
      </c>
      <c r="D1128" s="3" t="n">
        <v>14</v>
      </c>
      <c r="E1128" s="3" t="n">
        <v>5</v>
      </c>
      <c r="F1128" s="3" t="n">
        <v>0</v>
      </c>
      <c r="G1128" s="3" t="n">
        <v>1</v>
      </c>
      <c r="H1128" s="24" t="n">
        <v>-0.0235766619</v>
      </c>
    </row>
    <row r="1129" customFormat="false" ht="15" hidden="false" customHeight="false" outlineLevel="0" collapsed="false">
      <c r="A1129" s="3" t="n">
        <v>1128</v>
      </c>
      <c r="B1129" s="3" t="n">
        <v>1127</v>
      </c>
      <c r="C1129" s="3" t="s">
        <v>117</v>
      </c>
      <c r="D1129" s="3" t="n">
        <v>14</v>
      </c>
      <c r="E1129" s="3" t="n">
        <v>5</v>
      </c>
      <c r="F1129" s="3" t="n">
        <v>0</v>
      </c>
      <c r="G1129" s="3" t="n">
        <v>2</v>
      </c>
      <c r="H1129" s="24" t="n">
        <v>-0.0359063037</v>
      </c>
    </row>
    <row r="1130" customFormat="false" ht="15" hidden="false" customHeight="false" outlineLevel="0" collapsed="false">
      <c r="A1130" s="3" t="n">
        <v>1129</v>
      </c>
      <c r="B1130" s="3" t="n">
        <v>1128</v>
      </c>
      <c r="C1130" s="3" t="s">
        <v>117</v>
      </c>
      <c r="D1130" s="3" t="n">
        <v>14</v>
      </c>
      <c r="E1130" s="3" t="n">
        <v>5</v>
      </c>
      <c r="F1130" s="3" t="n">
        <v>1</v>
      </c>
      <c r="G1130" s="3" t="n">
        <v>0</v>
      </c>
      <c r="H1130" s="24" t="n">
        <v>0.362182498</v>
      </c>
    </row>
    <row r="1131" customFormat="false" ht="15" hidden="false" customHeight="false" outlineLevel="0" collapsed="false">
      <c r="A1131" s="3" t="n">
        <v>1130</v>
      </c>
      <c r="B1131" s="3" t="n">
        <v>1129</v>
      </c>
      <c r="C1131" s="3" t="s">
        <v>117</v>
      </c>
      <c r="D1131" s="3" t="n">
        <v>14</v>
      </c>
      <c r="E1131" s="3" t="n">
        <v>5</v>
      </c>
      <c r="F1131" s="3" t="n">
        <v>1</v>
      </c>
      <c r="G1131" s="3" t="n">
        <v>1</v>
      </c>
      <c r="H1131" s="24" t="n">
        <v>0.107156314</v>
      </c>
    </row>
    <row r="1132" customFormat="false" ht="15" hidden="false" customHeight="false" outlineLevel="0" collapsed="false">
      <c r="A1132" s="3" t="n">
        <v>1131</v>
      </c>
      <c r="B1132" s="3" t="n">
        <v>1130</v>
      </c>
      <c r="C1132" s="3" t="s">
        <v>117</v>
      </c>
      <c r="D1132" s="3" t="n">
        <v>14</v>
      </c>
      <c r="E1132" s="3" t="n">
        <v>5</v>
      </c>
      <c r="F1132" s="3" t="n">
        <v>1</v>
      </c>
      <c r="G1132" s="3" t="n">
        <v>2</v>
      </c>
      <c r="H1132" s="24" t="n">
        <v>-0.52572298</v>
      </c>
    </row>
    <row r="1133" customFormat="false" ht="15" hidden="false" customHeight="false" outlineLevel="0" collapsed="false">
      <c r="A1133" s="3" t="n">
        <v>1132</v>
      </c>
      <c r="B1133" s="3" t="n">
        <v>1131</v>
      </c>
      <c r="C1133" s="3" t="s">
        <v>117</v>
      </c>
      <c r="D1133" s="3" t="n">
        <v>14</v>
      </c>
      <c r="E1133" s="3" t="n">
        <v>5</v>
      </c>
      <c r="F1133" s="3" t="n">
        <v>2</v>
      </c>
      <c r="G1133" s="3" t="n">
        <v>0</v>
      </c>
      <c r="H1133" s="24" t="n">
        <v>0.154984146</v>
      </c>
    </row>
    <row r="1134" customFormat="false" ht="15" hidden="false" customHeight="false" outlineLevel="0" collapsed="false">
      <c r="A1134" s="3" t="n">
        <v>1133</v>
      </c>
      <c r="B1134" s="3" t="n">
        <v>1132</v>
      </c>
      <c r="C1134" s="3" t="s">
        <v>117</v>
      </c>
      <c r="D1134" s="3" t="n">
        <v>14</v>
      </c>
      <c r="E1134" s="3" t="n">
        <v>5</v>
      </c>
      <c r="F1134" s="3" t="n">
        <v>2</v>
      </c>
      <c r="G1134" s="3" t="n">
        <v>1</v>
      </c>
      <c r="H1134" s="24" t="n">
        <v>-0.153122082</v>
      </c>
    </row>
    <row r="1135" customFormat="false" ht="15" hidden="false" customHeight="false" outlineLevel="0" collapsed="false">
      <c r="A1135" s="3" t="n">
        <v>1134</v>
      </c>
      <c r="B1135" s="3" t="n">
        <v>1133</v>
      </c>
      <c r="C1135" s="3" t="s">
        <v>117</v>
      </c>
      <c r="D1135" s="3" t="n">
        <v>14</v>
      </c>
      <c r="E1135" s="3" t="n">
        <v>5</v>
      </c>
      <c r="F1135" s="3" t="n">
        <v>2</v>
      </c>
      <c r="G1135" s="3" t="n">
        <v>2</v>
      </c>
      <c r="H1135" s="24" t="n">
        <v>-0.490089148</v>
      </c>
    </row>
    <row r="1136" customFormat="false" ht="15" hidden="false" customHeight="false" outlineLevel="0" collapsed="false">
      <c r="A1136" s="3" t="n">
        <v>1135</v>
      </c>
      <c r="B1136" s="3" t="n">
        <v>1134</v>
      </c>
      <c r="C1136" s="3" t="s">
        <v>117</v>
      </c>
      <c r="D1136" s="3" t="n">
        <v>14</v>
      </c>
      <c r="E1136" s="3" t="n">
        <v>6</v>
      </c>
      <c r="F1136" s="3" t="n">
        <v>0</v>
      </c>
      <c r="G1136" s="3" t="n">
        <v>0</v>
      </c>
      <c r="H1136" s="24" t="n">
        <v>-0.155775815</v>
      </c>
    </row>
    <row r="1137" customFormat="false" ht="15" hidden="false" customHeight="false" outlineLevel="0" collapsed="false">
      <c r="A1137" s="3" t="n">
        <v>1136</v>
      </c>
      <c r="B1137" s="3" t="n">
        <v>1135</v>
      </c>
      <c r="C1137" s="3" t="s">
        <v>117</v>
      </c>
      <c r="D1137" s="3" t="n">
        <v>14</v>
      </c>
      <c r="E1137" s="3" t="n">
        <v>6</v>
      </c>
      <c r="F1137" s="3" t="n">
        <v>0</v>
      </c>
      <c r="G1137" s="3" t="n">
        <v>1</v>
      </c>
      <c r="H1137" s="24" t="n">
        <v>0.0688489154</v>
      </c>
    </row>
    <row r="1138" customFormat="false" ht="15" hidden="false" customHeight="false" outlineLevel="0" collapsed="false">
      <c r="A1138" s="3" t="n">
        <v>1137</v>
      </c>
      <c r="B1138" s="3" t="n">
        <v>1136</v>
      </c>
      <c r="C1138" s="3" t="s">
        <v>117</v>
      </c>
      <c r="D1138" s="3" t="n">
        <v>14</v>
      </c>
      <c r="E1138" s="3" t="n">
        <v>6</v>
      </c>
      <c r="F1138" s="3" t="n">
        <v>0</v>
      </c>
      <c r="G1138" s="3" t="n">
        <v>2</v>
      </c>
      <c r="H1138" s="24" t="n">
        <v>0.0347872078</v>
      </c>
    </row>
    <row r="1139" customFormat="false" ht="15" hidden="false" customHeight="false" outlineLevel="0" collapsed="false">
      <c r="A1139" s="3" t="n">
        <v>1138</v>
      </c>
      <c r="B1139" s="3" t="n">
        <v>1137</v>
      </c>
      <c r="C1139" s="3" t="s">
        <v>117</v>
      </c>
      <c r="D1139" s="3" t="n">
        <v>14</v>
      </c>
      <c r="E1139" s="3" t="n">
        <v>6</v>
      </c>
      <c r="F1139" s="3" t="n">
        <v>1</v>
      </c>
      <c r="G1139" s="3" t="n">
        <v>0</v>
      </c>
      <c r="H1139" s="24" t="n">
        <v>0.0122017711</v>
      </c>
    </row>
    <row r="1140" customFormat="false" ht="15" hidden="false" customHeight="false" outlineLevel="0" collapsed="false">
      <c r="A1140" s="3" t="n">
        <v>1139</v>
      </c>
      <c r="B1140" s="3" t="n">
        <v>1138</v>
      </c>
      <c r="C1140" s="3" t="s">
        <v>117</v>
      </c>
      <c r="D1140" s="3" t="n">
        <v>14</v>
      </c>
      <c r="E1140" s="3" t="n">
        <v>6</v>
      </c>
      <c r="F1140" s="3" t="n">
        <v>1</v>
      </c>
      <c r="G1140" s="3" t="n">
        <v>1</v>
      </c>
      <c r="H1140" s="24" t="n">
        <v>-0.0199745167</v>
      </c>
    </row>
    <row r="1141" customFormat="false" ht="15" hidden="false" customHeight="false" outlineLevel="0" collapsed="false">
      <c r="A1141" s="3" t="n">
        <v>1140</v>
      </c>
      <c r="B1141" s="3" t="n">
        <v>1139</v>
      </c>
      <c r="C1141" s="3" t="s">
        <v>117</v>
      </c>
      <c r="D1141" s="3" t="n">
        <v>14</v>
      </c>
      <c r="E1141" s="3" t="n">
        <v>6</v>
      </c>
      <c r="F1141" s="3" t="n">
        <v>1</v>
      </c>
      <c r="G1141" s="3" t="n">
        <v>2</v>
      </c>
      <c r="H1141" s="24" t="n">
        <v>-0.0718366951</v>
      </c>
    </row>
    <row r="1142" customFormat="false" ht="15" hidden="false" customHeight="false" outlineLevel="0" collapsed="false">
      <c r="A1142" s="3" t="n">
        <v>1141</v>
      </c>
      <c r="B1142" s="3" t="n">
        <v>1140</v>
      </c>
      <c r="C1142" s="3" t="s">
        <v>117</v>
      </c>
      <c r="D1142" s="3" t="n">
        <v>14</v>
      </c>
      <c r="E1142" s="3" t="n">
        <v>6</v>
      </c>
      <c r="F1142" s="3" t="n">
        <v>2</v>
      </c>
      <c r="G1142" s="3" t="n">
        <v>0</v>
      </c>
      <c r="H1142" s="24" t="n">
        <v>0.0748421997</v>
      </c>
    </row>
    <row r="1143" customFormat="false" ht="15" hidden="false" customHeight="false" outlineLevel="0" collapsed="false">
      <c r="A1143" s="3" t="n">
        <v>1142</v>
      </c>
      <c r="B1143" s="3" t="n">
        <v>1141</v>
      </c>
      <c r="C1143" s="3" t="s">
        <v>117</v>
      </c>
      <c r="D1143" s="3" t="n">
        <v>14</v>
      </c>
      <c r="E1143" s="3" t="n">
        <v>6</v>
      </c>
      <c r="F1143" s="3" t="n">
        <v>2</v>
      </c>
      <c r="G1143" s="3" t="n">
        <v>1</v>
      </c>
      <c r="H1143" s="24" t="n">
        <v>0.00484174304</v>
      </c>
    </row>
    <row r="1144" customFormat="false" ht="15" hidden="false" customHeight="false" outlineLevel="0" collapsed="false">
      <c r="A1144" s="3" t="n">
        <v>1143</v>
      </c>
      <c r="B1144" s="3" t="n">
        <v>1142</v>
      </c>
      <c r="C1144" s="3" t="s">
        <v>117</v>
      </c>
      <c r="D1144" s="3" t="n">
        <v>14</v>
      </c>
      <c r="E1144" s="3" t="n">
        <v>6</v>
      </c>
      <c r="F1144" s="3" t="n">
        <v>2</v>
      </c>
      <c r="G1144" s="3" t="n">
        <v>2</v>
      </c>
      <c r="H1144" s="24" t="n">
        <v>-0.0429475121</v>
      </c>
    </row>
    <row r="1145" customFormat="false" ht="15" hidden="false" customHeight="false" outlineLevel="0" collapsed="false">
      <c r="A1145" s="3" t="n">
        <v>1144</v>
      </c>
      <c r="B1145" s="3" t="n">
        <v>1143</v>
      </c>
      <c r="C1145" s="3" t="s">
        <v>117</v>
      </c>
      <c r="D1145" s="3" t="n">
        <v>14</v>
      </c>
      <c r="E1145" s="3" t="n">
        <v>7</v>
      </c>
      <c r="F1145" s="3" t="n">
        <v>0</v>
      </c>
      <c r="G1145" s="3" t="n">
        <v>0</v>
      </c>
      <c r="H1145" s="24" t="n">
        <v>0.174345613</v>
      </c>
    </row>
    <row r="1146" customFormat="false" ht="15" hidden="false" customHeight="false" outlineLevel="0" collapsed="false">
      <c r="A1146" s="3" t="n">
        <v>1145</v>
      </c>
      <c r="B1146" s="3" t="n">
        <v>1144</v>
      </c>
      <c r="C1146" s="3" t="s">
        <v>117</v>
      </c>
      <c r="D1146" s="3" t="n">
        <v>14</v>
      </c>
      <c r="E1146" s="3" t="n">
        <v>7</v>
      </c>
      <c r="F1146" s="3" t="n">
        <v>0</v>
      </c>
      <c r="G1146" s="3" t="n">
        <v>1</v>
      </c>
      <c r="H1146" s="24" t="n">
        <v>-0.0877009109</v>
      </c>
    </row>
    <row r="1147" customFormat="false" ht="15" hidden="false" customHeight="false" outlineLevel="0" collapsed="false">
      <c r="A1147" s="3" t="n">
        <v>1146</v>
      </c>
      <c r="B1147" s="3" t="n">
        <v>1145</v>
      </c>
      <c r="C1147" s="3" t="s">
        <v>117</v>
      </c>
      <c r="D1147" s="3" t="n">
        <v>14</v>
      </c>
      <c r="E1147" s="3" t="n">
        <v>7</v>
      </c>
      <c r="F1147" s="3" t="n">
        <v>0</v>
      </c>
      <c r="G1147" s="3" t="n">
        <v>2</v>
      </c>
      <c r="H1147" s="24" t="n">
        <v>0.0417906791</v>
      </c>
    </row>
    <row r="1148" customFormat="false" ht="15" hidden="false" customHeight="false" outlineLevel="0" collapsed="false">
      <c r="A1148" s="3" t="n">
        <v>1147</v>
      </c>
      <c r="B1148" s="3" t="n">
        <v>1146</v>
      </c>
      <c r="C1148" s="3" t="s">
        <v>117</v>
      </c>
      <c r="D1148" s="3" t="n">
        <v>14</v>
      </c>
      <c r="E1148" s="3" t="n">
        <v>7</v>
      </c>
      <c r="F1148" s="3" t="n">
        <v>1</v>
      </c>
      <c r="G1148" s="3" t="n">
        <v>0</v>
      </c>
      <c r="H1148" s="24" t="n">
        <v>-0.364029288</v>
      </c>
    </row>
    <row r="1149" customFormat="false" ht="15" hidden="false" customHeight="false" outlineLevel="0" collapsed="false">
      <c r="A1149" s="3" t="n">
        <v>1148</v>
      </c>
      <c r="B1149" s="3" t="n">
        <v>1147</v>
      </c>
      <c r="C1149" s="3" t="s">
        <v>117</v>
      </c>
      <c r="D1149" s="3" t="n">
        <v>14</v>
      </c>
      <c r="E1149" s="3" t="n">
        <v>7</v>
      </c>
      <c r="F1149" s="3" t="n">
        <v>1</v>
      </c>
      <c r="G1149" s="3" t="n">
        <v>1</v>
      </c>
      <c r="H1149" s="24" t="n">
        <v>-0.00167158048</v>
      </c>
    </row>
    <row r="1150" customFormat="false" ht="15" hidden="false" customHeight="false" outlineLevel="0" collapsed="false">
      <c r="A1150" s="3" t="n">
        <v>1149</v>
      </c>
      <c r="B1150" s="3" t="n">
        <v>1148</v>
      </c>
      <c r="C1150" s="3" t="s">
        <v>117</v>
      </c>
      <c r="D1150" s="3" t="n">
        <v>14</v>
      </c>
      <c r="E1150" s="3" t="n">
        <v>7</v>
      </c>
      <c r="F1150" s="3" t="n">
        <v>1</v>
      </c>
      <c r="G1150" s="3" t="n">
        <v>2</v>
      </c>
      <c r="H1150" s="24" t="n">
        <v>0.045737762</v>
      </c>
    </row>
    <row r="1151" customFormat="false" ht="15" hidden="false" customHeight="false" outlineLevel="0" collapsed="false">
      <c r="A1151" s="3" t="n">
        <v>1150</v>
      </c>
      <c r="B1151" s="3" t="n">
        <v>1149</v>
      </c>
      <c r="C1151" s="3" t="s">
        <v>117</v>
      </c>
      <c r="D1151" s="3" t="n">
        <v>14</v>
      </c>
      <c r="E1151" s="3" t="n">
        <v>7</v>
      </c>
      <c r="F1151" s="3" t="n">
        <v>2</v>
      </c>
      <c r="G1151" s="3" t="n">
        <v>0</v>
      </c>
      <c r="H1151" s="24" t="n">
        <v>-0.309121519</v>
      </c>
    </row>
    <row r="1152" customFormat="false" ht="15" hidden="false" customHeight="false" outlineLevel="0" collapsed="false">
      <c r="A1152" s="3" t="n">
        <v>1151</v>
      </c>
      <c r="B1152" s="3" t="n">
        <v>1150</v>
      </c>
      <c r="C1152" s="3" t="s">
        <v>117</v>
      </c>
      <c r="D1152" s="3" t="n">
        <v>14</v>
      </c>
      <c r="E1152" s="3" t="n">
        <v>7</v>
      </c>
      <c r="F1152" s="3" t="n">
        <v>2</v>
      </c>
      <c r="G1152" s="3" t="n">
        <v>1</v>
      </c>
      <c r="H1152" s="24" t="n">
        <v>-0.288209319</v>
      </c>
    </row>
    <row r="1153" customFormat="false" ht="15" hidden="false" customHeight="false" outlineLevel="0" collapsed="false">
      <c r="A1153" s="3" t="n">
        <v>1152</v>
      </c>
      <c r="B1153" s="3" t="n">
        <v>1151</v>
      </c>
      <c r="C1153" s="3" t="s">
        <v>117</v>
      </c>
      <c r="D1153" s="3" t="n">
        <v>14</v>
      </c>
      <c r="E1153" s="3" t="n">
        <v>7</v>
      </c>
      <c r="F1153" s="3" t="n">
        <v>2</v>
      </c>
      <c r="G1153" s="3" t="n">
        <v>2</v>
      </c>
      <c r="H1153" s="24" t="n">
        <v>0.160779491</v>
      </c>
    </row>
    <row r="1154" customFormat="false" ht="15" hidden="false" customHeight="false" outlineLevel="0" collapsed="false">
      <c r="A1154" s="3" t="n">
        <v>1153</v>
      </c>
      <c r="B1154" s="3" t="n">
        <v>1152</v>
      </c>
      <c r="C1154" s="3" t="s">
        <v>117</v>
      </c>
      <c r="D1154" s="3" t="n">
        <v>15</v>
      </c>
      <c r="E1154" s="3" t="n">
        <v>0</v>
      </c>
      <c r="F1154" s="3" t="n">
        <v>0</v>
      </c>
      <c r="G1154" s="3" t="n">
        <v>0</v>
      </c>
      <c r="H1154" s="24" t="n">
        <v>-0.0112063307</v>
      </c>
    </row>
    <row r="1155" customFormat="false" ht="15" hidden="false" customHeight="false" outlineLevel="0" collapsed="false">
      <c r="A1155" s="3" t="n">
        <v>1154</v>
      </c>
      <c r="B1155" s="3" t="n">
        <v>1153</v>
      </c>
      <c r="C1155" s="3" t="s">
        <v>117</v>
      </c>
      <c r="D1155" s="3" t="n">
        <v>15</v>
      </c>
      <c r="E1155" s="3" t="n">
        <v>0</v>
      </c>
      <c r="F1155" s="3" t="n">
        <v>0</v>
      </c>
      <c r="G1155" s="3" t="n">
        <v>1</v>
      </c>
      <c r="H1155" s="24" t="n">
        <v>-0.0845526382</v>
      </c>
    </row>
    <row r="1156" customFormat="false" ht="15" hidden="false" customHeight="false" outlineLevel="0" collapsed="false">
      <c r="A1156" s="3" t="n">
        <v>1155</v>
      </c>
      <c r="B1156" s="3" t="n">
        <v>1154</v>
      </c>
      <c r="C1156" s="3" t="s">
        <v>117</v>
      </c>
      <c r="D1156" s="3" t="n">
        <v>15</v>
      </c>
      <c r="E1156" s="3" t="n">
        <v>0</v>
      </c>
      <c r="F1156" s="3" t="n">
        <v>0</v>
      </c>
      <c r="G1156" s="3" t="n">
        <v>2</v>
      </c>
      <c r="H1156" s="24" t="n">
        <v>0.0637228042</v>
      </c>
    </row>
    <row r="1157" customFormat="false" ht="15" hidden="false" customHeight="false" outlineLevel="0" collapsed="false">
      <c r="A1157" s="3" t="n">
        <v>1156</v>
      </c>
      <c r="B1157" s="3" t="n">
        <v>1155</v>
      </c>
      <c r="C1157" s="3" t="s">
        <v>117</v>
      </c>
      <c r="D1157" s="3" t="n">
        <v>15</v>
      </c>
      <c r="E1157" s="3" t="n">
        <v>0</v>
      </c>
      <c r="F1157" s="3" t="n">
        <v>1</v>
      </c>
      <c r="G1157" s="3" t="n">
        <v>0</v>
      </c>
      <c r="H1157" s="24" t="n">
        <v>0.184770182</v>
      </c>
    </row>
    <row r="1158" customFormat="false" ht="15" hidden="false" customHeight="false" outlineLevel="0" collapsed="false">
      <c r="A1158" s="3" t="n">
        <v>1157</v>
      </c>
      <c r="B1158" s="3" t="n">
        <v>1156</v>
      </c>
      <c r="C1158" s="3" t="s">
        <v>117</v>
      </c>
      <c r="D1158" s="3" t="n">
        <v>15</v>
      </c>
      <c r="E1158" s="3" t="n">
        <v>0</v>
      </c>
      <c r="F1158" s="3" t="n">
        <v>1</v>
      </c>
      <c r="G1158" s="3" t="n">
        <v>1</v>
      </c>
      <c r="H1158" s="24" t="n">
        <v>0.0231746659</v>
      </c>
    </row>
    <row r="1159" customFormat="false" ht="15" hidden="false" customHeight="false" outlineLevel="0" collapsed="false">
      <c r="A1159" s="3" t="n">
        <v>1158</v>
      </c>
      <c r="B1159" s="3" t="n">
        <v>1157</v>
      </c>
      <c r="C1159" s="3" t="s">
        <v>117</v>
      </c>
      <c r="D1159" s="3" t="n">
        <v>15</v>
      </c>
      <c r="E1159" s="3" t="n">
        <v>0</v>
      </c>
      <c r="F1159" s="3" t="n">
        <v>1</v>
      </c>
      <c r="G1159" s="3" t="n">
        <v>2</v>
      </c>
      <c r="H1159" s="24" t="n">
        <v>0.212781489</v>
      </c>
    </row>
    <row r="1160" customFormat="false" ht="15" hidden="false" customHeight="false" outlineLevel="0" collapsed="false">
      <c r="A1160" s="3" t="n">
        <v>1159</v>
      </c>
      <c r="B1160" s="3" t="n">
        <v>1158</v>
      </c>
      <c r="C1160" s="3" t="s">
        <v>117</v>
      </c>
      <c r="D1160" s="3" t="n">
        <v>15</v>
      </c>
      <c r="E1160" s="3" t="n">
        <v>0</v>
      </c>
      <c r="F1160" s="3" t="n">
        <v>2</v>
      </c>
      <c r="G1160" s="3" t="n">
        <v>0</v>
      </c>
      <c r="H1160" s="24" t="n">
        <v>-0.0748011768</v>
      </c>
    </row>
    <row r="1161" customFormat="false" ht="15" hidden="false" customHeight="false" outlineLevel="0" collapsed="false">
      <c r="A1161" s="3" t="n">
        <v>1160</v>
      </c>
      <c r="B1161" s="3" t="n">
        <v>1159</v>
      </c>
      <c r="C1161" s="3" t="s">
        <v>117</v>
      </c>
      <c r="D1161" s="3" t="n">
        <v>15</v>
      </c>
      <c r="E1161" s="3" t="n">
        <v>0</v>
      </c>
      <c r="F1161" s="3" t="n">
        <v>2</v>
      </c>
      <c r="G1161" s="3" t="n">
        <v>1</v>
      </c>
      <c r="H1161" s="24" t="n">
        <v>-0.0388914086</v>
      </c>
    </row>
    <row r="1162" customFormat="false" ht="15" hidden="false" customHeight="false" outlineLevel="0" collapsed="false">
      <c r="A1162" s="3" t="n">
        <v>1161</v>
      </c>
      <c r="B1162" s="3" t="n">
        <v>1160</v>
      </c>
      <c r="C1162" s="3" t="s">
        <v>117</v>
      </c>
      <c r="D1162" s="3" t="n">
        <v>15</v>
      </c>
      <c r="E1162" s="3" t="n">
        <v>0</v>
      </c>
      <c r="F1162" s="3" t="n">
        <v>2</v>
      </c>
      <c r="G1162" s="3" t="n">
        <v>2</v>
      </c>
      <c r="H1162" s="24" t="n">
        <v>0.00677685486</v>
      </c>
    </row>
    <row r="1163" customFormat="false" ht="15" hidden="false" customHeight="false" outlineLevel="0" collapsed="false">
      <c r="A1163" s="3" t="n">
        <v>1162</v>
      </c>
      <c r="B1163" s="3" t="n">
        <v>1161</v>
      </c>
      <c r="C1163" s="3" t="s">
        <v>117</v>
      </c>
      <c r="D1163" s="3" t="n">
        <v>15</v>
      </c>
      <c r="E1163" s="3" t="n">
        <v>1</v>
      </c>
      <c r="F1163" s="3" t="n">
        <v>0</v>
      </c>
      <c r="G1163" s="3" t="n">
        <v>0</v>
      </c>
      <c r="H1163" s="24" t="n">
        <v>-0.153213069</v>
      </c>
    </row>
    <row r="1164" customFormat="false" ht="15" hidden="false" customHeight="false" outlineLevel="0" collapsed="false">
      <c r="A1164" s="3" t="n">
        <v>1163</v>
      </c>
      <c r="B1164" s="3" t="n">
        <v>1162</v>
      </c>
      <c r="C1164" s="3" t="s">
        <v>117</v>
      </c>
      <c r="D1164" s="3" t="n">
        <v>15</v>
      </c>
      <c r="E1164" s="3" t="n">
        <v>1</v>
      </c>
      <c r="F1164" s="3" t="n">
        <v>0</v>
      </c>
      <c r="G1164" s="3" t="n">
        <v>1</v>
      </c>
      <c r="H1164" s="24" t="n">
        <v>-0.130971715</v>
      </c>
    </row>
    <row r="1165" customFormat="false" ht="15" hidden="false" customHeight="false" outlineLevel="0" collapsed="false">
      <c r="A1165" s="3" t="n">
        <v>1164</v>
      </c>
      <c r="B1165" s="3" t="n">
        <v>1163</v>
      </c>
      <c r="C1165" s="3" t="s">
        <v>117</v>
      </c>
      <c r="D1165" s="3" t="n">
        <v>15</v>
      </c>
      <c r="E1165" s="3" t="n">
        <v>1</v>
      </c>
      <c r="F1165" s="3" t="n">
        <v>0</v>
      </c>
      <c r="G1165" s="3" t="n">
        <v>2</v>
      </c>
      <c r="H1165" s="24" t="n">
        <v>0.0488431342</v>
      </c>
    </row>
    <row r="1166" customFormat="false" ht="15" hidden="false" customHeight="false" outlineLevel="0" collapsed="false">
      <c r="A1166" s="3" t="n">
        <v>1165</v>
      </c>
      <c r="B1166" s="3" t="n">
        <v>1164</v>
      </c>
      <c r="C1166" s="3" t="s">
        <v>117</v>
      </c>
      <c r="D1166" s="3" t="n">
        <v>15</v>
      </c>
      <c r="E1166" s="3" t="n">
        <v>1</v>
      </c>
      <c r="F1166" s="3" t="n">
        <v>1</v>
      </c>
      <c r="G1166" s="3" t="n">
        <v>0</v>
      </c>
      <c r="H1166" s="24" t="n">
        <v>0.0847198144</v>
      </c>
    </row>
    <row r="1167" customFormat="false" ht="15" hidden="false" customHeight="false" outlineLevel="0" collapsed="false">
      <c r="A1167" s="3" t="n">
        <v>1166</v>
      </c>
      <c r="B1167" s="3" t="n">
        <v>1165</v>
      </c>
      <c r="C1167" s="3" t="s">
        <v>117</v>
      </c>
      <c r="D1167" s="3" t="n">
        <v>15</v>
      </c>
      <c r="E1167" s="3" t="n">
        <v>1</v>
      </c>
      <c r="F1167" s="3" t="n">
        <v>1</v>
      </c>
      <c r="G1167" s="3" t="n">
        <v>1</v>
      </c>
      <c r="H1167" s="24" t="n">
        <v>0.050106518</v>
      </c>
    </row>
    <row r="1168" customFormat="false" ht="15" hidden="false" customHeight="false" outlineLevel="0" collapsed="false">
      <c r="A1168" s="3" t="n">
        <v>1167</v>
      </c>
      <c r="B1168" s="3" t="n">
        <v>1166</v>
      </c>
      <c r="C1168" s="3" t="s">
        <v>117</v>
      </c>
      <c r="D1168" s="3" t="n">
        <v>15</v>
      </c>
      <c r="E1168" s="3" t="n">
        <v>1</v>
      </c>
      <c r="F1168" s="3" t="n">
        <v>1</v>
      </c>
      <c r="G1168" s="3" t="n">
        <v>2</v>
      </c>
      <c r="H1168" s="24" t="n">
        <v>0.263083607</v>
      </c>
    </row>
    <row r="1169" customFormat="false" ht="15" hidden="false" customHeight="false" outlineLevel="0" collapsed="false">
      <c r="A1169" s="3" t="n">
        <v>1168</v>
      </c>
      <c r="B1169" s="3" t="n">
        <v>1167</v>
      </c>
      <c r="C1169" s="3" t="s">
        <v>117</v>
      </c>
      <c r="D1169" s="3" t="n">
        <v>15</v>
      </c>
      <c r="E1169" s="3" t="n">
        <v>1</v>
      </c>
      <c r="F1169" s="3" t="n">
        <v>2</v>
      </c>
      <c r="G1169" s="3" t="n">
        <v>0</v>
      </c>
      <c r="H1169" s="24" t="n">
        <v>0.010603264</v>
      </c>
    </row>
    <row r="1170" customFormat="false" ht="15" hidden="false" customHeight="false" outlineLevel="0" collapsed="false">
      <c r="A1170" s="3" t="n">
        <v>1169</v>
      </c>
      <c r="B1170" s="3" t="n">
        <v>1168</v>
      </c>
      <c r="C1170" s="3" t="s">
        <v>117</v>
      </c>
      <c r="D1170" s="3" t="n">
        <v>15</v>
      </c>
      <c r="E1170" s="3" t="n">
        <v>1</v>
      </c>
      <c r="F1170" s="3" t="n">
        <v>2</v>
      </c>
      <c r="G1170" s="3" t="n">
        <v>1</v>
      </c>
      <c r="H1170" s="24" t="n">
        <v>0.0135097103</v>
      </c>
    </row>
    <row r="1171" customFormat="false" ht="15" hidden="false" customHeight="false" outlineLevel="0" collapsed="false">
      <c r="A1171" s="3" t="n">
        <v>1170</v>
      </c>
      <c r="B1171" s="3" t="n">
        <v>1169</v>
      </c>
      <c r="C1171" s="3" t="s">
        <v>117</v>
      </c>
      <c r="D1171" s="3" t="n">
        <v>15</v>
      </c>
      <c r="E1171" s="3" t="n">
        <v>1</v>
      </c>
      <c r="F1171" s="3" t="n">
        <v>2</v>
      </c>
      <c r="G1171" s="3" t="n">
        <v>2</v>
      </c>
      <c r="H1171" s="24" t="n">
        <v>0.233521998</v>
      </c>
    </row>
    <row r="1172" customFormat="false" ht="15" hidden="false" customHeight="false" outlineLevel="0" collapsed="false">
      <c r="A1172" s="3" t="n">
        <v>1171</v>
      </c>
      <c r="B1172" s="3" t="n">
        <v>1170</v>
      </c>
      <c r="C1172" s="3" t="s">
        <v>117</v>
      </c>
      <c r="D1172" s="3" t="n">
        <v>15</v>
      </c>
      <c r="E1172" s="3" t="n">
        <v>2</v>
      </c>
      <c r="F1172" s="3" t="n">
        <v>0</v>
      </c>
      <c r="G1172" s="3" t="n">
        <v>0</v>
      </c>
      <c r="H1172" s="24" t="n">
        <v>0.164420843</v>
      </c>
    </row>
    <row r="1173" customFormat="false" ht="15" hidden="false" customHeight="false" outlineLevel="0" collapsed="false">
      <c r="A1173" s="3" t="n">
        <v>1172</v>
      </c>
      <c r="B1173" s="3" t="n">
        <v>1171</v>
      </c>
      <c r="C1173" s="3" t="s">
        <v>117</v>
      </c>
      <c r="D1173" s="3" t="n">
        <v>15</v>
      </c>
      <c r="E1173" s="3" t="n">
        <v>2</v>
      </c>
      <c r="F1173" s="3" t="n">
        <v>0</v>
      </c>
      <c r="G1173" s="3" t="n">
        <v>1</v>
      </c>
      <c r="H1173" s="24" t="n">
        <v>-0.360409886</v>
      </c>
    </row>
    <row r="1174" customFormat="false" ht="15" hidden="false" customHeight="false" outlineLevel="0" collapsed="false">
      <c r="A1174" s="3" t="n">
        <v>1173</v>
      </c>
      <c r="B1174" s="3" t="n">
        <v>1172</v>
      </c>
      <c r="C1174" s="3" t="s">
        <v>117</v>
      </c>
      <c r="D1174" s="3" t="n">
        <v>15</v>
      </c>
      <c r="E1174" s="3" t="n">
        <v>2</v>
      </c>
      <c r="F1174" s="3" t="n">
        <v>0</v>
      </c>
      <c r="G1174" s="3" t="n">
        <v>2</v>
      </c>
      <c r="H1174" s="24" t="n">
        <v>-0.14316532</v>
      </c>
    </row>
    <row r="1175" customFormat="false" ht="15" hidden="false" customHeight="false" outlineLevel="0" collapsed="false">
      <c r="A1175" s="3" t="n">
        <v>1174</v>
      </c>
      <c r="B1175" s="3" t="n">
        <v>1173</v>
      </c>
      <c r="C1175" s="3" t="s">
        <v>117</v>
      </c>
      <c r="D1175" s="3" t="n">
        <v>15</v>
      </c>
      <c r="E1175" s="3" t="n">
        <v>2</v>
      </c>
      <c r="F1175" s="3" t="n">
        <v>1</v>
      </c>
      <c r="G1175" s="3" t="n">
        <v>0</v>
      </c>
      <c r="H1175" s="24" t="n">
        <v>-0.244003654</v>
      </c>
    </row>
    <row r="1176" customFormat="false" ht="15" hidden="false" customHeight="false" outlineLevel="0" collapsed="false">
      <c r="A1176" s="3" t="n">
        <v>1175</v>
      </c>
      <c r="B1176" s="3" t="n">
        <v>1174</v>
      </c>
      <c r="C1176" s="3" t="s">
        <v>117</v>
      </c>
      <c r="D1176" s="3" t="n">
        <v>15</v>
      </c>
      <c r="E1176" s="3" t="n">
        <v>2</v>
      </c>
      <c r="F1176" s="3" t="n">
        <v>1</v>
      </c>
      <c r="G1176" s="3" t="n">
        <v>1</v>
      </c>
      <c r="H1176" s="24" t="n">
        <v>-0.530925035</v>
      </c>
    </row>
    <row r="1177" customFormat="false" ht="15" hidden="false" customHeight="false" outlineLevel="0" collapsed="false">
      <c r="A1177" s="3" t="n">
        <v>1176</v>
      </c>
      <c r="B1177" s="3" t="n">
        <v>1175</v>
      </c>
      <c r="C1177" s="3" t="s">
        <v>117</v>
      </c>
      <c r="D1177" s="3" t="n">
        <v>15</v>
      </c>
      <c r="E1177" s="3" t="n">
        <v>2</v>
      </c>
      <c r="F1177" s="3" t="n">
        <v>1</v>
      </c>
      <c r="G1177" s="3" t="n">
        <v>2</v>
      </c>
      <c r="H1177" s="24" t="n">
        <v>-0.521318376</v>
      </c>
    </row>
    <row r="1178" customFormat="false" ht="15" hidden="false" customHeight="false" outlineLevel="0" collapsed="false">
      <c r="A1178" s="3" t="n">
        <v>1177</v>
      </c>
      <c r="B1178" s="3" t="n">
        <v>1176</v>
      </c>
      <c r="C1178" s="3" t="s">
        <v>117</v>
      </c>
      <c r="D1178" s="3" t="n">
        <v>15</v>
      </c>
      <c r="E1178" s="3" t="n">
        <v>2</v>
      </c>
      <c r="F1178" s="3" t="n">
        <v>2</v>
      </c>
      <c r="G1178" s="3" t="n">
        <v>0</v>
      </c>
      <c r="H1178" s="24" t="n">
        <v>-0.050420776</v>
      </c>
    </row>
    <row r="1179" customFormat="false" ht="15" hidden="false" customHeight="false" outlineLevel="0" collapsed="false">
      <c r="A1179" s="3" t="n">
        <v>1178</v>
      </c>
      <c r="B1179" s="3" t="n">
        <v>1177</v>
      </c>
      <c r="C1179" s="3" t="s">
        <v>117</v>
      </c>
      <c r="D1179" s="3" t="n">
        <v>15</v>
      </c>
      <c r="E1179" s="3" t="n">
        <v>2</v>
      </c>
      <c r="F1179" s="3" t="n">
        <v>2</v>
      </c>
      <c r="G1179" s="3" t="n">
        <v>1</v>
      </c>
      <c r="H1179" s="24" t="n">
        <v>-0.0530490242</v>
      </c>
    </row>
    <row r="1180" customFormat="false" ht="15" hidden="false" customHeight="false" outlineLevel="0" collapsed="false">
      <c r="A1180" s="3" t="n">
        <v>1179</v>
      </c>
      <c r="B1180" s="3" t="n">
        <v>1178</v>
      </c>
      <c r="C1180" s="3" t="s">
        <v>117</v>
      </c>
      <c r="D1180" s="3" t="n">
        <v>15</v>
      </c>
      <c r="E1180" s="3" t="n">
        <v>2</v>
      </c>
      <c r="F1180" s="3" t="n">
        <v>2</v>
      </c>
      <c r="G1180" s="3" t="n">
        <v>2</v>
      </c>
      <c r="H1180" s="24" t="n">
        <v>-0.0491997004</v>
      </c>
    </row>
    <row r="1181" customFormat="false" ht="15" hidden="false" customHeight="false" outlineLevel="0" collapsed="false">
      <c r="A1181" s="3" t="n">
        <v>1180</v>
      </c>
      <c r="B1181" s="3" t="n">
        <v>1179</v>
      </c>
      <c r="C1181" s="3" t="s">
        <v>117</v>
      </c>
      <c r="D1181" s="3" t="n">
        <v>15</v>
      </c>
      <c r="E1181" s="3" t="n">
        <v>3</v>
      </c>
      <c r="F1181" s="3" t="n">
        <v>0</v>
      </c>
      <c r="G1181" s="3" t="n">
        <v>0</v>
      </c>
      <c r="H1181" s="24" t="n">
        <v>-0.017504923</v>
      </c>
    </row>
    <row r="1182" customFormat="false" ht="15" hidden="false" customHeight="false" outlineLevel="0" collapsed="false">
      <c r="A1182" s="3" t="n">
        <v>1181</v>
      </c>
      <c r="B1182" s="3" t="n">
        <v>1180</v>
      </c>
      <c r="C1182" s="3" t="s">
        <v>117</v>
      </c>
      <c r="D1182" s="3" t="n">
        <v>15</v>
      </c>
      <c r="E1182" s="3" t="n">
        <v>3</v>
      </c>
      <c r="F1182" s="3" t="n">
        <v>0</v>
      </c>
      <c r="G1182" s="3" t="n">
        <v>1</v>
      </c>
      <c r="H1182" s="24" t="n">
        <v>0.142753407</v>
      </c>
    </row>
    <row r="1183" customFormat="false" ht="15" hidden="false" customHeight="false" outlineLevel="0" collapsed="false">
      <c r="A1183" s="3" t="n">
        <v>1182</v>
      </c>
      <c r="B1183" s="3" t="n">
        <v>1181</v>
      </c>
      <c r="C1183" s="3" t="s">
        <v>117</v>
      </c>
      <c r="D1183" s="3" t="n">
        <v>15</v>
      </c>
      <c r="E1183" s="3" t="n">
        <v>3</v>
      </c>
      <c r="F1183" s="3" t="n">
        <v>0</v>
      </c>
      <c r="G1183" s="3" t="n">
        <v>2</v>
      </c>
      <c r="H1183" s="24" t="n">
        <v>0.283658624</v>
      </c>
    </row>
    <row r="1184" customFormat="false" ht="15" hidden="false" customHeight="false" outlineLevel="0" collapsed="false">
      <c r="A1184" s="3" t="n">
        <v>1183</v>
      </c>
      <c r="B1184" s="3" t="n">
        <v>1182</v>
      </c>
      <c r="C1184" s="3" t="s">
        <v>117</v>
      </c>
      <c r="D1184" s="3" t="n">
        <v>15</v>
      </c>
      <c r="E1184" s="3" t="n">
        <v>3</v>
      </c>
      <c r="F1184" s="3" t="n">
        <v>1</v>
      </c>
      <c r="G1184" s="3" t="n">
        <v>0</v>
      </c>
      <c r="H1184" s="24" t="n">
        <v>0.257325053</v>
      </c>
    </row>
    <row r="1185" customFormat="false" ht="15" hidden="false" customHeight="false" outlineLevel="0" collapsed="false">
      <c r="A1185" s="3" t="n">
        <v>1184</v>
      </c>
      <c r="B1185" s="3" t="n">
        <v>1183</v>
      </c>
      <c r="C1185" s="3" t="s">
        <v>117</v>
      </c>
      <c r="D1185" s="3" t="n">
        <v>15</v>
      </c>
      <c r="E1185" s="3" t="n">
        <v>3</v>
      </c>
      <c r="F1185" s="3" t="n">
        <v>1</v>
      </c>
      <c r="G1185" s="3" t="n">
        <v>1</v>
      </c>
      <c r="H1185" s="24" t="n">
        <v>0.325107783</v>
      </c>
    </row>
    <row r="1186" customFormat="false" ht="15" hidden="false" customHeight="false" outlineLevel="0" collapsed="false">
      <c r="A1186" s="3" t="n">
        <v>1185</v>
      </c>
      <c r="B1186" s="3" t="n">
        <v>1184</v>
      </c>
      <c r="C1186" s="3" t="s">
        <v>117</v>
      </c>
      <c r="D1186" s="3" t="n">
        <v>15</v>
      </c>
      <c r="E1186" s="3" t="n">
        <v>3</v>
      </c>
      <c r="F1186" s="3" t="n">
        <v>1</v>
      </c>
      <c r="G1186" s="3" t="n">
        <v>2</v>
      </c>
      <c r="H1186" s="24" t="n">
        <v>0.293150306</v>
      </c>
    </row>
    <row r="1187" customFormat="false" ht="15" hidden="false" customHeight="false" outlineLevel="0" collapsed="false">
      <c r="A1187" s="3" t="n">
        <v>1186</v>
      </c>
      <c r="B1187" s="3" t="n">
        <v>1185</v>
      </c>
      <c r="C1187" s="3" t="s">
        <v>117</v>
      </c>
      <c r="D1187" s="3" t="n">
        <v>15</v>
      </c>
      <c r="E1187" s="3" t="n">
        <v>3</v>
      </c>
      <c r="F1187" s="3" t="n">
        <v>2</v>
      </c>
      <c r="G1187" s="3" t="n">
        <v>0</v>
      </c>
      <c r="H1187" s="24" t="n">
        <v>-0.207180738</v>
      </c>
    </row>
    <row r="1188" customFormat="false" ht="15" hidden="false" customHeight="false" outlineLevel="0" collapsed="false">
      <c r="A1188" s="3" t="n">
        <v>1187</v>
      </c>
      <c r="B1188" s="3" t="n">
        <v>1186</v>
      </c>
      <c r="C1188" s="3" t="s">
        <v>117</v>
      </c>
      <c r="D1188" s="3" t="n">
        <v>15</v>
      </c>
      <c r="E1188" s="3" t="n">
        <v>3</v>
      </c>
      <c r="F1188" s="3" t="n">
        <v>2</v>
      </c>
      <c r="G1188" s="3" t="n">
        <v>1</v>
      </c>
      <c r="H1188" s="24" t="n">
        <v>-0.43414557</v>
      </c>
    </row>
    <row r="1189" customFormat="false" ht="15" hidden="false" customHeight="false" outlineLevel="0" collapsed="false">
      <c r="A1189" s="3" t="n">
        <v>1188</v>
      </c>
      <c r="B1189" s="3" t="n">
        <v>1187</v>
      </c>
      <c r="C1189" s="3" t="s">
        <v>117</v>
      </c>
      <c r="D1189" s="3" t="n">
        <v>15</v>
      </c>
      <c r="E1189" s="3" t="n">
        <v>3</v>
      </c>
      <c r="F1189" s="3" t="n">
        <v>2</v>
      </c>
      <c r="G1189" s="3" t="n">
        <v>2</v>
      </c>
      <c r="H1189" s="24" t="n">
        <v>-0.507699013</v>
      </c>
    </row>
    <row r="1190" customFormat="false" ht="15" hidden="false" customHeight="false" outlineLevel="0" collapsed="false">
      <c r="A1190" s="3" t="n">
        <v>1189</v>
      </c>
      <c r="B1190" s="3" t="n">
        <v>1188</v>
      </c>
      <c r="C1190" s="3" t="s">
        <v>117</v>
      </c>
      <c r="D1190" s="3" t="n">
        <v>15</v>
      </c>
      <c r="E1190" s="3" t="n">
        <v>4</v>
      </c>
      <c r="F1190" s="3" t="n">
        <v>0</v>
      </c>
      <c r="G1190" s="3" t="n">
        <v>0</v>
      </c>
      <c r="H1190" s="24" t="n">
        <v>-0.0613450557</v>
      </c>
    </row>
    <row r="1191" customFormat="false" ht="15" hidden="false" customHeight="false" outlineLevel="0" collapsed="false">
      <c r="A1191" s="3" t="n">
        <v>1190</v>
      </c>
      <c r="B1191" s="3" t="n">
        <v>1189</v>
      </c>
      <c r="C1191" s="3" t="s">
        <v>117</v>
      </c>
      <c r="D1191" s="3" t="n">
        <v>15</v>
      </c>
      <c r="E1191" s="3" t="n">
        <v>4</v>
      </c>
      <c r="F1191" s="3" t="n">
        <v>0</v>
      </c>
      <c r="G1191" s="3" t="n">
        <v>1</v>
      </c>
      <c r="H1191" s="24" t="n">
        <v>-0.0330663659</v>
      </c>
    </row>
    <row r="1192" customFormat="false" ht="15" hidden="false" customHeight="false" outlineLevel="0" collapsed="false">
      <c r="A1192" s="3" t="n">
        <v>1191</v>
      </c>
      <c r="B1192" s="3" t="n">
        <v>1190</v>
      </c>
      <c r="C1192" s="3" t="s">
        <v>117</v>
      </c>
      <c r="D1192" s="3" t="n">
        <v>15</v>
      </c>
      <c r="E1192" s="3" t="n">
        <v>4</v>
      </c>
      <c r="F1192" s="3" t="n">
        <v>0</v>
      </c>
      <c r="G1192" s="3" t="n">
        <v>2</v>
      </c>
      <c r="H1192" s="24" t="n">
        <v>0.082995072</v>
      </c>
    </row>
    <row r="1193" customFormat="false" ht="15" hidden="false" customHeight="false" outlineLevel="0" collapsed="false">
      <c r="A1193" s="3" t="n">
        <v>1192</v>
      </c>
      <c r="B1193" s="3" t="n">
        <v>1191</v>
      </c>
      <c r="C1193" s="3" t="s">
        <v>117</v>
      </c>
      <c r="D1193" s="3" t="n">
        <v>15</v>
      </c>
      <c r="E1193" s="3" t="n">
        <v>4</v>
      </c>
      <c r="F1193" s="3" t="n">
        <v>1</v>
      </c>
      <c r="G1193" s="3" t="n">
        <v>0</v>
      </c>
      <c r="H1193" s="24" t="n">
        <v>-0.0405092649</v>
      </c>
    </row>
    <row r="1194" customFormat="false" ht="15" hidden="false" customHeight="false" outlineLevel="0" collapsed="false">
      <c r="A1194" s="3" t="n">
        <v>1193</v>
      </c>
      <c r="B1194" s="3" t="n">
        <v>1192</v>
      </c>
      <c r="C1194" s="3" t="s">
        <v>117</v>
      </c>
      <c r="D1194" s="3" t="n">
        <v>15</v>
      </c>
      <c r="E1194" s="3" t="n">
        <v>4</v>
      </c>
      <c r="F1194" s="3" t="n">
        <v>1</v>
      </c>
      <c r="G1194" s="3" t="n">
        <v>1</v>
      </c>
      <c r="H1194" s="24" t="n">
        <v>-0.149886906</v>
      </c>
    </row>
    <row r="1195" customFormat="false" ht="15" hidden="false" customHeight="false" outlineLevel="0" collapsed="false">
      <c r="A1195" s="3" t="n">
        <v>1194</v>
      </c>
      <c r="B1195" s="3" t="n">
        <v>1193</v>
      </c>
      <c r="C1195" s="3" t="s">
        <v>117</v>
      </c>
      <c r="D1195" s="3" t="n">
        <v>15</v>
      </c>
      <c r="E1195" s="3" t="n">
        <v>4</v>
      </c>
      <c r="F1195" s="3" t="n">
        <v>1</v>
      </c>
      <c r="G1195" s="3" t="n">
        <v>2</v>
      </c>
      <c r="H1195" s="24" t="n">
        <v>0.0340522788</v>
      </c>
    </row>
    <row r="1196" customFormat="false" ht="15" hidden="false" customHeight="false" outlineLevel="0" collapsed="false">
      <c r="A1196" s="3" t="n">
        <v>1195</v>
      </c>
      <c r="B1196" s="3" t="n">
        <v>1194</v>
      </c>
      <c r="C1196" s="3" t="s">
        <v>117</v>
      </c>
      <c r="D1196" s="3" t="n">
        <v>15</v>
      </c>
      <c r="E1196" s="3" t="n">
        <v>4</v>
      </c>
      <c r="F1196" s="3" t="n">
        <v>2</v>
      </c>
      <c r="G1196" s="3" t="n">
        <v>0</v>
      </c>
      <c r="H1196" s="24" t="n">
        <v>-0.0979703069</v>
      </c>
    </row>
    <row r="1197" customFormat="false" ht="15" hidden="false" customHeight="false" outlineLevel="0" collapsed="false">
      <c r="A1197" s="3" t="n">
        <v>1196</v>
      </c>
      <c r="B1197" s="3" t="n">
        <v>1195</v>
      </c>
      <c r="C1197" s="3" t="s">
        <v>117</v>
      </c>
      <c r="D1197" s="3" t="n">
        <v>15</v>
      </c>
      <c r="E1197" s="3" t="n">
        <v>4</v>
      </c>
      <c r="F1197" s="3" t="n">
        <v>2</v>
      </c>
      <c r="G1197" s="3" t="n">
        <v>1</v>
      </c>
      <c r="H1197" s="24" t="n">
        <v>0.0376476459</v>
      </c>
    </row>
    <row r="1198" customFormat="false" ht="15" hidden="false" customHeight="false" outlineLevel="0" collapsed="false">
      <c r="A1198" s="3" t="n">
        <v>1197</v>
      </c>
      <c r="B1198" s="3" t="n">
        <v>1196</v>
      </c>
      <c r="C1198" s="3" t="s">
        <v>117</v>
      </c>
      <c r="D1198" s="3" t="n">
        <v>15</v>
      </c>
      <c r="E1198" s="3" t="n">
        <v>4</v>
      </c>
      <c r="F1198" s="3" t="n">
        <v>2</v>
      </c>
      <c r="G1198" s="3" t="n">
        <v>2</v>
      </c>
      <c r="H1198" s="24" t="n">
        <v>0.0868506581</v>
      </c>
    </row>
    <row r="1199" customFormat="false" ht="15" hidden="false" customHeight="false" outlineLevel="0" collapsed="false">
      <c r="A1199" s="3" t="n">
        <v>1198</v>
      </c>
      <c r="B1199" s="3" t="n">
        <v>1197</v>
      </c>
      <c r="C1199" s="3" t="s">
        <v>117</v>
      </c>
      <c r="D1199" s="3" t="n">
        <v>15</v>
      </c>
      <c r="E1199" s="3" t="n">
        <v>5</v>
      </c>
      <c r="F1199" s="3" t="n">
        <v>0</v>
      </c>
      <c r="G1199" s="3" t="n">
        <v>0</v>
      </c>
      <c r="H1199" s="24" t="n">
        <v>-0.268269211</v>
      </c>
    </row>
    <row r="1200" customFormat="false" ht="15" hidden="false" customHeight="false" outlineLevel="0" collapsed="false">
      <c r="A1200" s="3" t="n">
        <v>1199</v>
      </c>
      <c r="B1200" s="3" t="n">
        <v>1198</v>
      </c>
      <c r="C1200" s="3" t="s">
        <v>117</v>
      </c>
      <c r="D1200" s="3" t="n">
        <v>15</v>
      </c>
      <c r="E1200" s="3" t="n">
        <v>5</v>
      </c>
      <c r="F1200" s="3" t="n">
        <v>0</v>
      </c>
      <c r="G1200" s="3" t="n">
        <v>1</v>
      </c>
      <c r="H1200" s="24" t="n">
        <v>-0.235708594</v>
      </c>
    </row>
    <row r="1201" customFormat="false" ht="15" hidden="false" customHeight="false" outlineLevel="0" collapsed="false">
      <c r="A1201" s="3" t="n">
        <v>1200</v>
      </c>
      <c r="B1201" s="3" t="n">
        <v>1199</v>
      </c>
      <c r="C1201" s="3" t="s">
        <v>117</v>
      </c>
      <c r="D1201" s="3" t="n">
        <v>15</v>
      </c>
      <c r="E1201" s="3" t="n">
        <v>5</v>
      </c>
      <c r="F1201" s="3" t="n">
        <v>0</v>
      </c>
      <c r="G1201" s="3" t="n">
        <v>2</v>
      </c>
      <c r="H1201" s="24" t="n">
        <v>-0.20649913</v>
      </c>
    </row>
    <row r="1202" customFormat="false" ht="15" hidden="false" customHeight="false" outlineLevel="0" collapsed="false">
      <c r="A1202" s="3" t="n">
        <v>1201</v>
      </c>
      <c r="B1202" s="3" t="n">
        <v>1200</v>
      </c>
      <c r="C1202" s="3" t="s">
        <v>117</v>
      </c>
      <c r="D1202" s="3" t="n">
        <v>15</v>
      </c>
      <c r="E1202" s="3" t="n">
        <v>5</v>
      </c>
      <c r="F1202" s="3" t="n">
        <v>1</v>
      </c>
      <c r="G1202" s="3" t="n">
        <v>0</v>
      </c>
      <c r="H1202" s="24" t="n">
        <v>0.193066895</v>
      </c>
    </row>
    <row r="1203" customFormat="false" ht="15" hidden="false" customHeight="false" outlineLevel="0" collapsed="false">
      <c r="A1203" s="3" t="n">
        <v>1202</v>
      </c>
      <c r="B1203" s="3" t="n">
        <v>1201</v>
      </c>
      <c r="C1203" s="3" t="s">
        <v>117</v>
      </c>
      <c r="D1203" s="3" t="n">
        <v>15</v>
      </c>
      <c r="E1203" s="3" t="n">
        <v>5</v>
      </c>
      <c r="F1203" s="3" t="n">
        <v>1</v>
      </c>
      <c r="G1203" s="3" t="n">
        <v>1</v>
      </c>
      <c r="H1203" s="24" t="n">
        <v>0.466028184</v>
      </c>
    </row>
    <row r="1204" customFormat="false" ht="15" hidden="false" customHeight="false" outlineLevel="0" collapsed="false">
      <c r="A1204" s="3" t="n">
        <v>1203</v>
      </c>
      <c r="B1204" s="3" t="n">
        <v>1202</v>
      </c>
      <c r="C1204" s="3" t="s">
        <v>117</v>
      </c>
      <c r="D1204" s="3" t="n">
        <v>15</v>
      </c>
      <c r="E1204" s="3" t="n">
        <v>5</v>
      </c>
      <c r="F1204" s="3" t="n">
        <v>1</v>
      </c>
      <c r="G1204" s="3" t="n">
        <v>2</v>
      </c>
      <c r="H1204" s="24" t="n">
        <v>0.106727809</v>
      </c>
    </row>
    <row r="1205" customFormat="false" ht="15" hidden="false" customHeight="false" outlineLevel="0" collapsed="false">
      <c r="A1205" s="3" t="n">
        <v>1204</v>
      </c>
      <c r="B1205" s="3" t="n">
        <v>1203</v>
      </c>
      <c r="C1205" s="3" t="s">
        <v>117</v>
      </c>
      <c r="D1205" s="3" t="n">
        <v>15</v>
      </c>
      <c r="E1205" s="3" t="n">
        <v>5</v>
      </c>
      <c r="F1205" s="3" t="n">
        <v>2</v>
      </c>
      <c r="G1205" s="3" t="n">
        <v>0</v>
      </c>
      <c r="H1205" s="24" t="n">
        <v>-0.295440912</v>
      </c>
    </row>
    <row r="1206" customFormat="false" ht="15" hidden="false" customHeight="false" outlineLevel="0" collapsed="false">
      <c r="A1206" s="3" t="n">
        <v>1205</v>
      </c>
      <c r="B1206" s="3" t="n">
        <v>1204</v>
      </c>
      <c r="C1206" s="3" t="s">
        <v>117</v>
      </c>
      <c r="D1206" s="3" t="n">
        <v>15</v>
      </c>
      <c r="E1206" s="3" t="n">
        <v>5</v>
      </c>
      <c r="F1206" s="3" t="n">
        <v>2</v>
      </c>
      <c r="G1206" s="3" t="n">
        <v>1</v>
      </c>
      <c r="H1206" s="24" t="n">
        <v>0.13378717</v>
      </c>
    </row>
    <row r="1207" customFormat="false" ht="15" hidden="false" customHeight="false" outlineLevel="0" collapsed="false">
      <c r="A1207" s="3" t="n">
        <v>1206</v>
      </c>
      <c r="B1207" s="3" t="n">
        <v>1205</v>
      </c>
      <c r="C1207" s="3" t="s">
        <v>117</v>
      </c>
      <c r="D1207" s="3" t="n">
        <v>15</v>
      </c>
      <c r="E1207" s="3" t="n">
        <v>5</v>
      </c>
      <c r="F1207" s="3" t="n">
        <v>2</v>
      </c>
      <c r="G1207" s="3" t="n">
        <v>2</v>
      </c>
      <c r="H1207" s="24" t="n">
        <v>0.324202389</v>
      </c>
    </row>
    <row r="1208" customFormat="false" ht="15" hidden="false" customHeight="false" outlineLevel="0" collapsed="false">
      <c r="A1208" s="3" t="n">
        <v>1207</v>
      </c>
      <c r="B1208" s="3" t="n">
        <v>1206</v>
      </c>
      <c r="C1208" s="3" t="s">
        <v>117</v>
      </c>
      <c r="D1208" s="3" t="n">
        <v>15</v>
      </c>
      <c r="E1208" s="3" t="n">
        <v>6</v>
      </c>
      <c r="F1208" s="3" t="n">
        <v>0</v>
      </c>
      <c r="G1208" s="3" t="n">
        <v>0</v>
      </c>
      <c r="H1208" s="24" t="n">
        <v>-0.166661978</v>
      </c>
    </row>
    <row r="1209" customFormat="false" ht="15" hidden="false" customHeight="false" outlineLevel="0" collapsed="false">
      <c r="A1209" s="3" t="n">
        <v>1208</v>
      </c>
      <c r="B1209" s="3" t="n">
        <v>1207</v>
      </c>
      <c r="C1209" s="3" t="s">
        <v>117</v>
      </c>
      <c r="D1209" s="3" t="n">
        <v>15</v>
      </c>
      <c r="E1209" s="3" t="n">
        <v>6</v>
      </c>
      <c r="F1209" s="3" t="n">
        <v>0</v>
      </c>
      <c r="G1209" s="3" t="n">
        <v>1</v>
      </c>
      <c r="H1209" s="24" t="n">
        <v>-0.016888408</v>
      </c>
    </row>
    <row r="1210" customFormat="false" ht="15" hidden="false" customHeight="false" outlineLevel="0" collapsed="false">
      <c r="A1210" s="3" t="n">
        <v>1209</v>
      </c>
      <c r="B1210" s="3" t="n">
        <v>1208</v>
      </c>
      <c r="C1210" s="3" t="s">
        <v>117</v>
      </c>
      <c r="D1210" s="3" t="n">
        <v>15</v>
      </c>
      <c r="E1210" s="3" t="n">
        <v>6</v>
      </c>
      <c r="F1210" s="3" t="n">
        <v>0</v>
      </c>
      <c r="G1210" s="3" t="n">
        <v>2</v>
      </c>
      <c r="H1210" s="24" t="n">
        <v>-0.192612514</v>
      </c>
    </row>
    <row r="1211" customFormat="false" ht="15" hidden="false" customHeight="false" outlineLevel="0" collapsed="false">
      <c r="A1211" s="3" t="n">
        <v>1210</v>
      </c>
      <c r="B1211" s="3" t="n">
        <v>1209</v>
      </c>
      <c r="C1211" s="3" t="s">
        <v>117</v>
      </c>
      <c r="D1211" s="3" t="n">
        <v>15</v>
      </c>
      <c r="E1211" s="3" t="n">
        <v>6</v>
      </c>
      <c r="F1211" s="3" t="n">
        <v>1</v>
      </c>
      <c r="G1211" s="3" t="n">
        <v>0</v>
      </c>
      <c r="H1211" s="24" t="n">
        <v>0.0429091156</v>
      </c>
    </row>
    <row r="1212" customFormat="false" ht="15" hidden="false" customHeight="false" outlineLevel="0" collapsed="false">
      <c r="A1212" s="3" t="n">
        <v>1211</v>
      </c>
      <c r="B1212" s="3" t="n">
        <v>1210</v>
      </c>
      <c r="C1212" s="3" t="s">
        <v>117</v>
      </c>
      <c r="D1212" s="3" t="n">
        <v>15</v>
      </c>
      <c r="E1212" s="3" t="n">
        <v>6</v>
      </c>
      <c r="F1212" s="3" t="n">
        <v>1</v>
      </c>
      <c r="G1212" s="3" t="n">
        <v>1</v>
      </c>
      <c r="H1212" s="24" t="n">
        <v>0.209940821</v>
      </c>
    </row>
    <row r="1213" customFormat="false" ht="15" hidden="false" customHeight="false" outlineLevel="0" collapsed="false">
      <c r="A1213" s="3" t="n">
        <v>1212</v>
      </c>
      <c r="B1213" s="3" t="n">
        <v>1211</v>
      </c>
      <c r="C1213" s="3" t="s">
        <v>117</v>
      </c>
      <c r="D1213" s="3" t="n">
        <v>15</v>
      </c>
      <c r="E1213" s="3" t="n">
        <v>6</v>
      </c>
      <c r="F1213" s="3" t="n">
        <v>1</v>
      </c>
      <c r="G1213" s="3" t="n">
        <v>2</v>
      </c>
      <c r="H1213" s="24" t="n">
        <v>0.066721499</v>
      </c>
    </row>
    <row r="1214" customFormat="false" ht="15" hidden="false" customHeight="false" outlineLevel="0" collapsed="false">
      <c r="A1214" s="3" t="n">
        <v>1213</v>
      </c>
      <c r="B1214" s="3" t="n">
        <v>1212</v>
      </c>
      <c r="C1214" s="3" t="s">
        <v>117</v>
      </c>
      <c r="D1214" s="3" t="n">
        <v>15</v>
      </c>
      <c r="E1214" s="3" t="n">
        <v>6</v>
      </c>
      <c r="F1214" s="3" t="n">
        <v>2</v>
      </c>
      <c r="G1214" s="3" t="n">
        <v>0</v>
      </c>
      <c r="H1214" s="24" t="n">
        <v>-0.106569648</v>
      </c>
    </row>
    <row r="1215" customFormat="false" ht="15" hidden="false" customHeight="false" outlineLevel="0" collapsed="false">
      <c r="A1215" s="3" t="n">
        <v>1214</v>
      </c>
      <c r="B1215" s="3" t="n">
        <v>1213</v>
      </c>
      <c r="C1215" s="3" t="s">
        <v>117</v>
      </c>
      <c r="D1215" s="3" t="n">
        <v>15</v>
      </c>
      <c r="E1215" s="3" t="n">
        <v>6</v>
      </c>
      <c r="F1215" s="3" t="n">
        <v>2</v>
      </c>
      <c r="G1215" s="3" t="n">
        <v>1</v>
      </c>
      <c r="H1215" s="24" t="n">
        <v>0.0541398637</v>
      </c>
    </row>
    <row r="1216" customFormat="false" ht="15" hidden="false" customHeight="false" outlineLevel="0" collapsed="false">
      <c r="A1216" s="3" t="n">
        <v>1215</v>
      </c>
      <c r="B1216" s="3" t="n">
        <v>1214</v>
      </c>
      <c r="C1216" s="3" t="s">
        <v>117</v>
      </c>
      <c r="D1216" s="3" t="n">
        <v>15</v>
      </c>
      <c r="E1216" s="3" t="n">
        <v>6</v>
      </c>
      <c r="F1216" s="3" t="n">
        <v>2</v>
      </c>
      <c r="G1216" s="3" t="n">
        <v>2</v>
      </c>
      <c r="H1216" s="24" t="n">
        <v>0.0869375169</v>
      </c>
    </row>
    <row r="1217" customFormat="false" ht="15" hidden="false" customHeight="false" outlineLevel="0" collapsed="false">
      <c r="A1217" s="3" t="n">
        <v>1216</v>
      </c>
      <c r="B1217" s="3" t="n">
        <v>1215</v>
      </c>
      <c r="C1217" s="3" t="s">
        <v>117</v>
      </c>
      <c r="D1217" s="3" t="n">
        <v>15</v>
      </c>
      <c r="E1217" s="3" t="n">
        <v>7</v>
      </c>
      <c r="F1217" s="3" t="n">
        <v>0</v>
      </c>
      <c r="G1217" s="3" t="n">
        <v>0</v>
      </c>
      <c r="H1217" s="24" t="n">
        <v>-0.0425746106</v>
      </c>
    </row>
    <row r="1218" customFormat="false" ht="15" hidden="false" customHeight="false" outlineLevel="0" collapsed="false">
      <c r="A1218" s="3" t="n">
        <v>1217</v>
      </c>
      <c r="B1218" s="3" t="n">
        <v>1216</v>
      </c>
      <c r="C1218" s="3" t="s">
        <v>117</v>
      </c>
      <c r="D1218" s="3" t="n">
        <v>15</v>
      </c>
      <c r="E1218" s="3" t="n">
        <v>7</v>
      </c>
      <c r="F1218" s="3" t="n">
        <v>0</v>
      </c>
      <c r="G1218" s="3" t="n">
        <v>1</v>
      </c>
      <c r="H1218" s="24" t="n">
        <v>0.058688771</v>
      </c>
    </row>
    <row r="1219" customFormat="false" ht="15" hidden="false" customHeight="false" outlineLevel="0" collapsed="false">
      <c r="A1219" s="3" t="n">
        <v>1218</v>
      </c>
      <c r="B1219" s="3" t="n">
        <v>1217</v>
      </c>
      <c r="C1219" s="3" t="s">
        <v>117</v>
      </c>
      <c r="D1219" s="3" t="n">
        <v>15</v>
      </c>
      <c r="E1219" s="3" t="n">
        <v>7</v>
      </c>
      <c r="F1219" s="3" t="n">
        <v>0</v>
      </c>
      <c r="G1219" s="3" t="n">
        <v>2</v>
      </c>
      <c r="H1219" s="24" t="n">
        <v>0.11207357</v>
      </c>
    </row>
    <row r="1220" customFormat="false" ht="15" hidden="false" customHeight="false" outlineLevel="0" collapsed="false">
      <c r="A1220" s="3" t="n">
        <v>1219</v>
      </c>
      <c r="B1220" s="3" t="n">
        <v>1218</v>
      </c>
      <c r="C1220" s="3" t="s">
        <v>117</v>
      </c>
      <c r="D1220" s="3" t="n">
        <v>15</v>
      </c>
      <c r="E1220" s="3" t="n">
        <v>7</v>
      </c>
      <c r="F1220" s="3" t="n">
        <v>1</v>
      </c>
      <c r="G1220" s="3" t="n">
        <v>0</v>
      </c>
      <c r="H1220" s="24" t="n">
        <v>0.145186022</v>
      </c>
    </row>
    <row r="1221" customFormat="false" ht="15" hidden="false" customHeight="false" outlineLevel="0" collapsed="false">
      <c r="A1221" s="3" t="n">
        <v>1220</v>
      </c>
      <c r="B1221" s="3" t="n">
        <v>1219</v>
      </c>
      <c r="C1221" s="3" t="s">
        <v>117</v>
      </c>
      <c r="D1221" s="3" t="n">
        <v>15</v>
      </c>
      <c r="E1221" s="3" t="n">
        <v>7</v>
      </c>
      <c r="F1221" s="3" t="n">
        <v>1</v>
      </c>
      <c r="G1221" s="3" t="n">
        <v>1</v>
      </c>
      <c r="H1221" s="24" t="n">
        <v>0.0827687085</v>
      </c>
    </row>
    <row r="1222" customFormat="false" ht="15" hidden="false" customHeight="false" outlineLevel="0" collapsed="false">
      <c r="A1222" s="3" t="n">
        <v>1221</v>
      </c>
      <c r="B1222" s="3" t="n">
        <v>1220</v>
      </c>
      <c r="C1222" s="3" t="s">
        <v>117</v>
      </c>
      <c r="D1222" s="3" t="n">
        <v>15</v>
      </c>
      <c r="E1222" s="3" t="n">
        <v>7</v>
      </c>
      <c r="F1222" s="3" t="n">
        <v>1</v>
      </c>
      <c r="G1222" s="3" t="n">
        <v>2</v>
      </c>
      <c r="H1222" s="24" t="n">
        <v>-0.0832866207</v>
      </c>
    </row>
    <row r="1223" customFormat="false" ht="15" hidden="false" customHeight="false" outlineLevel="0" collapsed="false">
      <c r="A1223" s="3" t="n">
        <v>1222</v>
      </c>
      <c r="B1223" s="3" t="n">
        <v>1221</v>
      </c>
      <c r="C1223" s="3" t="s">
        <v>117</v>
      </c>
      <c r="D1223" s="3" t="n">
        <v>15</v>
      </c>
      <c r="E1223" s="3" t="n">
        <v>7</v>
      </c>
      <c r="F1223" s="3" t="n">
        <v>2</v>
      </c>
      <c r="G1223" s="3" t="n">
        <v>0</v>
      </c>
      <c r="H1223" s="24" t="n">
        <v>-0.0949763581</v>
      </c>
    </row>
    <row r="1224" customFormat="false" ht="15" hidden="false" customHeight="false" outlineLevel="0" collapsed="false">
      <c r="A1224" s="3" t="n">
        <v>1223</v>
      </c>
      <c r="B1224" s="3" t="n">
        <v>1222</v>
      </c>
      <c r="C1224" s="3" t="s">
        <v>117</v>
      </c>
      <c r="D1224" s="3" t="n">
        <v>15</v>
      </c>
      <c r="E1224" s="3" t="n">
        <v>7</v>
      </c>
      <c r="F1224" s="3" t="n">
        <v>2</v>
      </c>
      <c r="G1224" s="3" t="n">
        <v>1</v>
      </c>
      <c r="H1224" s="24" t="n">
        <v>-0.201609373</v>
      </c>
    </row>
    <row r="1225" customFormat="false" ht="15" hidden="false" customHeight="false" outlineLevel="0" collapsed="false">
      <c r="A1225" s="3" t="n">
        <v>1224</v>
      </c>
      <c r="B1225" s="3" t="n">
        <v>1223</v>
      </c>
      <c r="C1225" s="3" t="s">
        <v>117</v>
      </c>
      <c r="D1225" s="3" t="n">
        <v>15</v>
      </c>
      <c r="E1225" s="3" t="n">
        <v>7</v>
      </c>
      <c r="F1225" s="3" t="n">
        <v>2</v>
      </c>
      <c r="G1225" s="3" t="n">
        <v>2</v>
      </c>
      <c r="H1225" s="24" t="n">
        <v>-0.25745666</v>
      </c>
    </row>
    <row r="1226" customFormat="false" ht="15" hidden="false" customHeight="false" outlineLevel="0" collapsed="false">
      <c r="A1226" s="3" t="n">
        <v>1225</v>
      </c>
      <c r="B1226" s="3" t="n">
        <v>1224</v>
      </c>
      <c r="C1226" s="3" t="s">
        <v>118</v>
      </c>
      <c r="D1226" s="3" t="n">
        <v>0</v>
      </c>
      <c r="E1226" s="3" t="n">
        <v>0</v>
      </c>
      <c r="F1226" s="3" t="n">
        <v>0</v>
      </c>
      <c r="G1226" s="3" t="n">
        <v>0</v>
      </c>
      <c r="H1226" s="24" t="n">
        <v>-0.488012224</v>
      </c>
    </row>
    <row r="1227" customFormat="false" ht="15" hidden="false" customHeight="false" outlineLevel="0" collapsed="false">
      <c r="A1227" s="3" t="n">
        <v>1226</v>
      </c>
      <c r="B1227" s="3" t="n">
        <v>1225</v>
      </c>
      <c r="C1227" s="3" t="s">
        <v>118</v>
      </c>
      <c r="D1227" s="3" t="n">
        <v>0</v>
      </c>
      <c r="E1227" s="3" t="n">
        <v>0</v>
      </c>
      <c r="F1227" s="3" t="n">
        <v>0</v>
      </c>
      <c r="G1227" s="3" t="n">
        <v>1</v>
      </c>
      <c r="H1227" s="24" t="n">
        <v>-0.0950214416</v>
      </c>
    </row>
    <row r="1228" customFormat="false" ht="15" hidden="false" customHeight="false" outlineLevel="0" collapsed="false">
      <c r="A1228" s="3" t="n">
        <v>1227</v>
      </c>
      <c r="B1228" s="3" t="n">
        <v>1226</v>
      </c>
      <c r="C1228" s="3" t="s">
        <v>118</v>
      </c>
      <c r="D1228" s="3" t="n">
        <v>0</v>
      </c>
      <c r="E1228" s="3" t="n">
        <v>0</v>
      </c>
      <c r="F1228" s="3" t="n">
        <v>0</v>
      </c>
      <c r="G1228" s="3" t="n">
        <v>2</v>
      </c>
      <c r="H1228" s="24" t="n">
        <v>-0.119385011</v>
      </c>
    </row>
    <row r="1229" customFormat="false" ht="15" hidden="false" customHeight="false" outlineLevel="0" collapsed="false">
      <c r="A1229" s="3" t="n">
        <v>1228</v>
      </c>
      <c r="B1229" s="3" t="n">
        <v>1227</v>
      </c>
      <c r="C1229" s="3" t="s">
        <v>118</v>
      </c>
      <c r="D1229" s="3" t="n">
        <v>0</v>
      </c>
      <c r="E1229" s="3" t="n">
        <v>0</v>
      </c>
      <c r="F1229" s="3" t="n">
        <v>1</v>
      </c>
      <c r="G1229" s="3" t="n">
        <v>0</v>
      </c>
      <c r="H1229" s="24" t="n">
        <v>-0.0854761899</v>
      </c>
    </row>
    <row r="1230" customFormat="false" ht="15" hidden="false" customHeight="false" outlineLevel="0" collapsed="false">
      <c r="A1230" s="3" t="n">
        <v>1229</v>
      </c>
      <c r="B1230" s="3" t="n">
        <v>1228</v>
      </c>
      <c r="C1230" s="3" t="s">
        <v>118</v>
      </c>
      <c r="D1230" s="3" t="n">
        <v>0</v>
      </c>
      <c r="E1230" s="3" t="n">
        <v>0</v>
      </c>
      <c r="F1230" s="3" t="n">
        <v>1</v>
      </c>
      <c r="G1230" s="3" t="n">
        <v>1</v>
      </c>
      <c r="H1230" s="24" t="n">
        <v>0.0791961402</v>
      </c>
    </row>
    <row r="1231" customFormat="false" ht="15" hidden="false" customHeight="false" outlineLevel="0" collapsed="false">
      <c r="A1231" s="3" t="n">
        <v>1230</v>
      </c>
      <c r="B1231" s="3" t="n">
        <v>1229</v>
      </c>
      <c r="C1231" s="3" t="s">
        <v>118</v>
      </c>
      <c r="D1231" s="3" t="n">
        <v>0</v>
      </c>
      <c r="E1231" s="3" t="n">
        <v>0</v>
      </c>
      <c r="F1231" s="3" t="n">
        <v>1</v>
      </c>
      <c r="G1231" s="3" t="n">
        <v>2</v>
      </c>
      <c r="H1231" s="24" t="n">
        <v>-0.280917197</v>
      </c>
    </row>
    <row r="1232" customFormat="false" ht="15" hidden="false" customHeight="false" outlineLevel="0" collapsed="false">
      <c r="A1232" s="3" t="n">
        <v>1231</v>
      </c>
      <c r="B1232" s="3" t="n">
        <v>1230</v>
      </c>
      <c r="C1232" s="3" t="s">
        <v>118</v>
      </c>
      <c r="D1232" s="3" t="n">
        <v>0</v>
      </c>
      <c r="E1232" s="3" t="n">
        <v>0</v>
      </c>
      <c r="F1232" s="3" t="n">
        <v>2</v>
      </c>
      <c r="G1232" s="3" t="n">
        <v>0</v>
      </c>
      <c r="H1232" s="24" t="n">
        <v>0.246637151</v>
      </c>
    </row>
    <row r="1233" customFormat="false" ht="15" hidden="false" customHeight="false" outlineLevel="0" collapsed="false">
      <c r="A1233" s="3" t="n">
        <v>1232</v>
      </c>
      <c r="B1233" s="3" t="n">
        <v>1231</v>
      </c>
      <c r="C1233" s="3" t="s">
        <v>118</v>
      </c>
      <c r="D1233" s="3" t="n">
        <v>0</v>
      </c>
      <c r="E1233" s="3" t="n">
        <v>0</v>
      </c>
      <c r="F1233" s="3" t="n">
        <v>2</v>
      </c>
      <c r="G1233" s="3" t="n">
        <v>1</v>
      </c>
      <c r="H1233" s="24" t="n">
        <v>0.0134330494</v>
      </c>
    </row>
    <row r="1234" customFormat="false" ht="15" hidden="false" customHeight="false" outlineLevel="0" collapsed="false">
      <c r="A1234" s="3" t="n">
        <v>1233</v>
      </c>
      <c r="B1234" s="3" t="n">
        <v>1232</v>
      </c>
      <c r="C1234" s="3" t="s">
        <v>118</v>
      </c>
      <c r="D1234" s="3" t="n">
        <v>0</v>
      </c>
      <c r="E1234" s="3" t="n">
        <v>0</v>
      </c>
      <c r="F1234" s="3" t="n">
        <v>2</v>
      </c>
      <c r="G1234" s="3" t="n">
        <v>2</v>
      </c>
      <c r="H1234" s="24" t="n">
        <v>-0.558733523</v>
      </c>
    </row>
    <row r="1235" customFormat="false" ht="15" hidden="false" customHeight="false" outlineLevel="0" collapsed="false">
      <c r="A1235" s="3" t="n">
        <v>1234</v>
      </c>
      <c r="B1235" s="3" t="n">
        <v>1233</v>
      </c>
      <c r="C1235" s="3" t="s">
        <v>118</v>
      </c>
      <c r="D1235" s="3" t="n">
        <v>0</v>
      </c>
      <c r="E1235" s="3" t="n">
        <v>1</v>
      </c>
      <c r="F1235" s="3" t="n">
        <v>0</v>
      </c>
      <c r="G1235" s="3" t="n">
        <v>0</v>
      </c>
      <c r="H1235" s="24" t="n">
        <v>-0.263477147</v>
      </c>
    </row>
    <row r="1236" customFormat="false" ht="15" hidden="false" customHeight="false" outlineLevel="0" collapsed="false">
      <c r="A1236" s="3" t="n">
        <v>1235</v>
      </c>
      <c r="B1236" s="3" t="n">
        <v>1234</v>
      </c>
      <c r="C1236" s="3" t="s">
        <v>118</v>
      </c>
      <c r="D1236" s="3" t="n">
        <v>0</v>
      </c>
      <c r="E1236" s="3" t="n">
        <v>1</v>
      </c>
      <c r="F1236" s="3" t="n">
        <v>0</v>
      </c>
      <c r="G1236" s="3" t="n">
        <v>1</v>
      </c>
      <c r="H1236" s="24" t="n">
        <v>0.137430593</v>
      </c>
    </row>
    <row r="1237" customFormat="false" ht="15" hidden="false" customHeight="false" outlineLevel="0" collapsed="false">
      <c r="A1237" s="3" t="n">
        <v>1236</v>
      </c>
      <c r="B1237" s="3" t="n">
        <v>1235</v>
      </c>
      <c r="C1237" s="3" t="s">
        <v>118</v>
      </c>
      <c r="D1237" s="3" t="n">
        <v>0</v>
      </c>
      <c r="E1237" s="3" t="n">
        <v>1</v>
      </c>
      <c r="F1237" s="3" t="n">
        <v>0</v>
      </c>
      <c r="G1237" s="3" t="n">
        <v>2</v>
      </c>
      <c r="H1237" s="24" t="n">
        <v>0.132464275</v>
      </c>
    </row>
    <row r="1238" customFormat="false" ht="15" hidden="false" customHeight="false" outlineLevel="0" collapsed="false">
      <c r="A1238" s="3" t="n">
        <v>1237</v>
      </c>
      <c r="B1238" s="3" t="n">
        <v>1236</v>
      </c>
      <c r="C1238" s="3" t="s">
        <v>118</v>
      </c>
      <c r="D1238" s="3" t="n">
        <v>0</v>
      </c>
      <c r="E1238" s="3" t="n">
        <v>1</v>
      </c>
      <c r="F1238" s="3" t="n">
        <v>1</v>
      </c>
      <c r="G1238" s="3" t="n">
        <v>0</v>
      </c>
      <c r="H1238" s="24" t="n">
        <v>0.0864209756</v>
      </c>
    </row>
    <row r="1239" customFormat="false" ht="15" hidden="false" customHeight="false" outlineLevel="0" collapsed="false">
      <c r="A1239" s="3" t="n">
        <v>1238</v>
      </c>
      <c r="B1239" s="3" t="n">
        <v>1237</v>
      </c>
      <c r="C1239" s="3" t="s">
        <v>118</v>
      </c>
      <c r="D1239" s="3" t="n">
        <v>0</v>
      </c>
      <c r="E1239" s="3" t="n">
        <v>1</v>
      </c>
      <c r="F1239" s="3" t="n">
        <v>1</v>
      </c>
      <c r="G1239" s="3" t="n">
        <v>1</v>
      </c>
      <c r="H1239" s="24" t="n">
        <v>0.187351167</v>
      </c>
    </row>
    <row r="1240" customFormat="false" ht="15" hidden="false" customHeight="false" outlineLevel="0" collapsed="false">
      <c r="A1240" s="3" t="n">
        <v>1239</v>
      </c>
      <c r="B1240" s="3" t="n">
        <v>1238</v>
      </c>
      <c r="C1240" s="3" t="s">
        <v>118</v>
      </c>
      <c r="D1240" s="3" t="n">
        <v>0</v>
      </c>
      <c r="E1240" s="3" t="n">
        <v>1</v>
      </c>
      <c r="F1240" s="3" t="n">
        <v>1</v>
      </c>
      <c r="G1240" s="3" t="n">
        <v>2</v>
      </c>
      <c r="H1240" s="24" t="n">
        <v>-0.146591261</v>
      </c>
    </row>
    <row r="1241" customFormat="false" ht="15" hidden="false" customHeight="false" outlineLevel="0" collapsed="false">
      <c r="A1241" s="3" t="n">
        <v>1240</v>
      </c>
      <c r="B1241" s="3" t="n">
        <v>1239</v>
      </c>
      <c r="C1241" s="3" t="s">
        <v>118</v>
      </c>
      <c r="D1241" s="3" t="n">
        <v>0</v>
      </c>
      <c r="E1241" s="3" t="n">
        <v>1</v>
      </c>
      <c r="F1241" s="3" t="n">
        <v>2</v>
      </c>
      <c r="G1241" s="3" t="n">
        <v>0</v>
      </c>
      <c r="H1241" s="24" t="n">
        <v>-0.0930319503</v>
      </c>
    </row>
    <row r="1242" customFormat="false" ht="15" hidden="false" customHeight="false" outlineLevel="0" collapsed="false">
      <c r="A1242" s="3" t="n">
        <v>1241</v>
      </c>
      <c r="B1242" s="3" t="n">
        <v>1240</v>
      </c>
      <c r="C1242" s="3" t="s">
        <v>118</v>
      </c>
      <c r="D1242" s="3" t="n">
        <v>0</v>
      </c>
      <c r="E1242" s="3" t="n">
        <v>1</v>
      </c>
      <c r="F1242" s="3" t="n">
        <v>2</v>
      </c>
      <c r="G1242" s="3" t="n">
        <v>1</v>
      </c>
      <c r="H1242" s="24" t="n">
        <v>-0.303253561</v>
      </c>
    </row>
    <row r="1243" customFormat="false" ht="15" hidden="false" customHeight="false" outlineLevel="0" collapsed="false">
      <c r="A1243" s="3" t="n">
        <v>1242</v>
      </c>
      <c r="B1243" s="3" t="n">
        <v>1241</v>
      </c>
      <c r="C1243" s="3" t="s">
        <v>118</v>
      </c>
      <c r="D1243" s="3" t="n">
        <v>0</v>
      </c>
      <c r="E1243" s="3" t="n">
        <v>1</v>
      </c>
      <c r="F1243" s="3" t="n">
        <v>2</v>
      </c>
      <c r="G1243" s="3" t="n">
        <v>2</v>
      </c>
      <c r="H1243" s="24" t="n">
        <v>0.112702087</v>
      </c>
    </row>
    <row r="1244" customFormat="false" ht="15" hidden="false" customHeight="false" outlineLevel="0" collapsed="false">
      <c r="A1244" s="3" t="n">
        <v>1243</v>
      </c>
      <c r="B1244" s="3" t="n">
        <v>1242</v>
      </c>
      <c r="C1244" s="3" t="s">
        <v>118</v>
      </c>
      <c r="D1244" s="3" t="n">
        <v>0</v>
      </c>
      <c r="E1244" s="3" t="n">
        <v>2</v>
      </c>
      <c r="F1244" s="3" t="n">
        <v>0</v>
      </c>
      <c r="G1244" s="3" t="n">
        <v>0</v>
      </c>
      <c r="H1244" s="24" t="n">
        <v>-0.272894263</v>
      </c>
    </row>
    <row r="1245" customFormat="false" ht="15" hidden="false" customHeight="false" outlineLevel="0" collapsed="false">
      <c r="A1245" s="3" t="n">
        <v>1244</v>
      </c>
      <c r="B1245" s="3" t="n">
        <v>1243</v>
      </c>
      <c r="C1245" s="3" t="s">
        <v>118</v>
      </c>
      <c r="D1245" s="3" t="n">
        <v>0</v>
      </c>
      <c r="E1245" s="3" t="n">
        <v>2</v>
      </c>
      <c r="F1245" s="3" t="n">
        <v>0</v>
      </c>
      <c r="G1245" s="3" t="n">
        <v>1</v>
      </c>
      <c r="H1245" s="24" t="n">
        <v>0.00545055745</v>
      </c>
    </row>
    <row r="1246" customFormat="false" ht="15" hidden="false" customHeight="false" outlineLevel="0" collapsed="false">
      <c r="A1246" s="3" t="n">
        <v>1245</v>
      </c>
      <c r="B1246" s="3" t="n">
        <v>1244</v>
      </c>
      <c r="C1246" s="3" t="s">
        <v>118</v>
      </c>
      <c r="D1246" s="3" t="n">
        <v>0</v>
      </c>
      <c r="E1246" s="3" t="n">
        <v>2</v>
      </c>
      <c r="F1246" s="3" t="n">
        <v>0</v>
      </c>
      <c r="G1246" s="3" t="n">
        <v>2</v>
      </c>
      <c r="H1246" s="24" t="n">
        <v>0.0275648255</v>
      </c>
    </row>
    <row r="1247" customFormat="false" ht="15" hidden="false" customHeight="false" outlineLevel="0" collapsed="false">
      <c r="A1247" s="3" t="n">
        <v>1246</v>
      </c>
      <c r="B1247" s="3" t="n">
        <v>1245</v>
      </c>
      <c r="C1247" s="3" t="s">
        <v>118</v>
      </c>
      <c r="D1247" s="3" t="n">
        <v>0</v>
      </c>
      <c r="E1247" s="3" t="n">
        <v>2</v>
      </c>
      <c r="F1247" s="3" t="n">
        <v>1</v>
      </c>
      <c r="G1247" s="3" t="n">
        <v>0</v>
      </c>
      <c r="H1247" s="24" t="n">
        <v>0.0594838448</v>
      </c>
    </row>
    <row r="1248" customFormat="false" ht="15" hidden="false" customHeight="false" outlineLevel="0" collapsed="false">
      <c r="A1248" s="3" t="n">
        <v>1247</v>
      </c>
      <c r="B1248" s="3" t="n">
        <v>1246</v>
      </c>
      <c r="C1248" s="3" t="s">
        <v>118</v>
      </c>
      <c r="D1248" s="3" t="n">
        <v>0</v>
      </c>
      <c r="E1248" s="3" t="n">
        <v>2</v>
      </c>
      <c r="F1248" s="3" t="n">
        <v>1</v>
      </c>
      <c r="G1248" s="3" t="n">
        <v>1</v>
      </c>
      <c r="H1248" s="24" t="n">
        <v>0.145891696</v>
      </c>
    </row>
    <row r="1249" customFormat="false" ht="15" hidden="false" customHeight="false" outlineLevel="0" collapsed="false">
      <c r="A1249" s="3" t="n">
        <v>1248</v>
      </c>
      <c r="B1249" s="3" t="n">
        <v>1247</v>
      </c>
      <c r="C1249" s="3" t="s">
        <v>118</v>
      </c>
      <c r="D1249" s="3" t="n">
        <v>0</v>
      </c>
      <c r="E1249" s="3" t="n">
        <v>2</v>
      </c>
      <c r="F1249" s="3" t="n">
        <v>1</v>
      </c>
      <c r="G1249" s="3" t="n">
        <v>2</v>
      </c>
      <c r="H1249" s="24" t="n">
        <v>0.167040899</v>
      </c>
    </row>
    <row r="1250" customFormat="false" ht="15" hidden="false" customHeight="false" outlineLevel="0" collapsed="false">
      <c r="A1250" s="3" t="n">
        <v>1249</v>
      </c>
      <c r="B1250" s="3" t="n">
        <v>1248</v>
      </c>
      <c r="C1250" s="3" t="s">
        <v>118</v>
      </c>
      <c r="D1250" s="3" t="n">
        <v>0</v>
      </c>
      <c r="E1250" s="3" t="n">
        <v>2</v>
      </c>
      <c r="F1250" s="3" t="n">
        <v>2</v>
      </c>
      <c r="G1250" s="3" t="n">
        <v>0</v>
      </c>
      <c r="H1250" s="24" t="n">
        <v>-0.0817746073</v>
      </c>
    </row>
    <row r="1251" customFormat="false" ht="15" hidden="false" customHeight="false" outlineLevel="0" collapsed="false">
      <c r="A1251" s="3" t="n">
        <v>1250</v>
      </c>
      <c r="B1251" s="3" t="n">
        <v>1249</v>
      </c>
      <c r="C1251" s="3" t="s">
        <v>118</v>
      </c>
      <c r="D1251" s="3" t="n">
        <v>0</v>
      </c>
      <c r="E1251" s="3" t="n">
        <v>2</v>
      </c>
      <c r="F1251" s="3" t="n">
        <v>2</v>
      </c>
      <c r="G1251" s="3" t="n">
        <v>1</v>
      </c>
      <c r="H1251" s="24" t="n">
        <v>0.0111707477</v>
      </c>
    </row>
    <row r="1252" customFormat="false" ht="15" hidden="false" customHeight="false" outlineLevel="0" collapsed="false">
      <c r="A1252" s="3" t="n">
        <v>1251</v>
      </c>
      <c r="B1252" s="3" t="n">
        <v>1250</v>
      </c>
      <c r="C1252" s="3" t="s">
        <v>118</v>
      </c>
      <c r="D1252" s="3" t="n">
        <v>0</v>
      </c>
      <c r="E1252" s="3" t="n">
        <v>2</v>
      </c>
      <c r="F1252" s="3" t="n">
        <v>2</v>
      </c>
      <c r="G1252" s="3" t="n">
        <v>2</v>
      </c>
      <c r="H1252" s="24" t="n">
        <v>-0.0829655975</v>
      </c>
    </row>
    <row r="1253" customFormat="false" ht="15" hidden="false" customHeight="false" outlineLevel="0" collapsed="false">
      <c r="A1253" s="3" t="n">
        <v>1252</v>
      </c>
      <c r="B1253" s="3" t="n">
        <v>1251</v>
      </c>
      <c r="C1253" s="3" t="s">
        <v>118</v>
      </c>
      <c r="D1253" s="3" t="n">
        <v>0</v>
      </c>
      <c r="E1253" s="3" t="n">
        <v>3</v>
      </c>
      <c r="F1253" s="3" t="n">
        <v>0</v>
      </c>
      <c r="G1253" s="3" t="n">
        <v>0</v>
      </c>
      <c r="H1253" s="24" t="n">
        <v>0.202600971</v>
      </c>
    </row>
    <row r="1254" customFormat="false" ht="15" hidden="false" customHeight="false" outlineLevel="0" collapsed="false">
      <c r="A1254" s="3" t="n">
        <v>1253</v>
      </c>
      <c r="B1254" s="3" t="n">
        <v>1252</v>
      </c>
      <c r="C1254" s="3" t="s">
        <v>118</v>
      </c>
      <c r="D1254" s="3" t="n">
        <v>0</v>
      </c>
      <c r="E1254" s="3" t="n">
        <v>3</v>
      </c>
      <c r="F1254" s="3" t="n">
        <v>0</v>
      </c>
      <c r="G1254" s="3" t="n">
        <v>1</v>
      </c>
      <c r="H1254" s="24" t="n">
        <v>0.0461344011</v>
      </c>
    </row>
    <row r="1255" customFormat="false" ht="15" hidden="false" customHeight="false" outlineLevel="0" collapsed="false">
      <c r="A1255" s="3" t="n">
        <v>1254</v>
      </c>
      <c r="B1255" s="3" t="n">
        <v>1253</v>
      </c>
      <c r="C1255" s="3" t="s">
        <v>118</v>
      </c>
      <c r="D1255" s="3" t="n">
        <v>0</v>
      </c>
      <c r="E1255" s="3" t="n">
        <v>3</v>
      </c>
      <c r="F1255" s="3" t="n">
        <v>0</v>
      </c>
      <c r="G1255" s="3" t="n">
        <v>2</v>
      </c>
      <c r="H1255" s="24" t="n">
        <v>-0.019078603</v>
      </c>
    </row>
    <row r="1256" customFormat="false" ht="15" hidden="false" customHeight="false" outlineLevel="0" collapsed="false">
      <c r="A1256" s="3" t="n">
        <v>1255</v>
      </c>
      <c r="B1256" s="3" t="n">
        <v>1254</v>
      </c>
      <c r="C1256" s="3" t="s">
        <v>118</v>
      </c>
      <c r="D1256" s="3" t="n">
        <v>0</v>
      </c>
      <c r="E1256" s="3" t="n">
        <v>3</v>
      </c>
      <c r="F1256" s="3" t="n">
        <v>1</v>
      </c>
      <c r="G1256" s="3" t="n">
        <v>0</v>
      </c>
      <c r="H1256" s="24" t="n">
        <v>0.22506316</v>
      </c>
    </row>
    <row r="1257" customFormat="false" ht="15" hidden="false" customHeight="false" outlineLevel="0" collapsed="false">
      <c r="A1257" s="3" t="n">
        <v>1256</v>
      </c>
      <c r="B1257" s="3" t="n">
        <v>1255</v>
      </c>
      <c r="C1257" s="3" t="s">
        <v>118</v>
      </c>
      <c r="D1257" s="3" t="n">
        <v>0</v>
      </c>
      <c r="E1257" s="3" t="n">
        <v>3</v>
      </c>
      <c r="F1257" s="3" t="n">
        <v>1</v>
      </c>
      <c r="G1257" s="3" t="n">
        <v>1</v>
      </c>
      <c r="H1257" s="24" t="n">
        <v>0.0142313316</v>
      </c>
    </row>
    <row r="1258" customFormat="false" ht="15" hidden="false" customHeight="false" outlineLevel="0" collapsed="false">
      <c r="A1258" s="3" t="n">
        <v>1257</v>
      </c>
      <c r="B1258" s="3" t="n">
        <v>1256</v>
      </c>
      <c r="C1258" s="3" t="s">
        <v>118</v>
      </c>
      <c r="D1258" s="3" t="n">
        <v>0</v>
      </c>
      <c r="E1258" s="3" t="n">
        <v>3</v>
      </c>
      <c r="F1258" s="3" t="n">
        <v>1</v>
      </c>
      <c r="G1258" s="3" t="n">
        <v>2</v>
      </c>
      <c r="H1258" s="24" t="n">
        <v>-0.15474692</v>
      </c>
    </row>
    <row r="1259" customFormat="false" ht="15" hidden="false" customHeight="false" outlineLevel="0" collapsed="false">
      <c r="A1259" s="3" t="n">
        <v>1258</v>
      </c>
      <c r="B1259" s="3" t="n">
        <v>1257</v>
      </c>
      <c r="C1259" s="3" t="s">
        <v>118</v>
      </c>
      <c r="D1259" s="3" t="n">
        <v>0</v>
      </c>
      <c r="E1259" s="3" t="n">
        <v>3</v>
      </c>
      <c r="F1259" s="3" t="n">
        <v>2</v>
      </c>
      <c r="G1259" s="3" t="n">
        <v>0</v>
      </c>
      <c r="H1259" s="24" t="n">
        <v>-0.329080492</v>
      </c>
    </row>
    <row r="1260" customFormat="false" ht="15" hidden="false" customHeight="false" outlineLevel="0" collapsed="false">
      <c r="A1260" s="3" t="n">
        <v>1259</v>
      </c>
      <c r="B1260" s="3" t="n">
        <v>1258</v>
      </c>
      <c r="C1260" s="3" t="s">
        <v>118</v>
      </c>
      <c r="D1260" s="3" t="n">
        <v>0</v>
      </c>
      <c r="E1260" s="3" t="n">
        <v>3</v>
      </c>
      <c r="F1260" s="3" t="n">
        <v>2</v>
      </c>
      <c r="G1260" s="3" t="n">
        <v>1</v>
      </c>
      <c r="H1260" s="24" t="n">
        <v>-0.0220668949</v>
      </c>
    </row>
    <row r="1261" customFormat="false" ht="15" hidden="false" customHeight="false" outlineLevel="0" collapsed="false">
      <c r="A1261" s="3" t="n">
        <v>1260</v>
      </c>
      <c r="B1261" s="3" t="n">
        <v>1259</v>
      </c>
      <c r="C1261" s="3" t="s">
        <v>118</v>
      </c>
      <c r="D1261" s="3" t="n">
        <v>0</v>
      </c>
      <c r="E1261" s="3" t="n">
        <v>3</v>
      </c>
      <c r="F1261" s="3" t="n">
        <v>2</v>
      </c>
      <c r="G1261" s="3" t="n">
        <v>2</v>
      </c>
      <c r="H1261" s="24" t="n">
        <v>-0.287690312</v>
      </c>
    </row>
    <row r="1262" customFormat="false" ht="15" hidden="false" customHeight="false" outlineLevel="0" collapsed="false">
      <c r="A1262" s="3" t="n">
        <v>1261</v>
      </c>
      <c r="B1262" s="3" t="n">
        <v>1260</v>
      </c>
      <c r="C1262" s="3" t="s">
        <v>118</v>
      </c>
      <c r="D1262" s="3" t="n">
        <v>0</v>
      </c>
      <c r="E1262" s="3" t="n">
        <v>4</v>
      </c>
      <c r="F1262" s="3" t="n">
        <v>0</v>
      </c>
      <c r="G1262" s="3" t="n">
        <v>0</v>
      </c>
      <c r="H1262" s="24" t="n">
        <v>-0.199129</v>
      </c>
    </row>
    <row r="1263" customFormat="false" ht="15" hidden="false" customHeight="false" outlineLevel="0" collapsed="false">
      <c r="A1263" s="3" t="n">
        <v>1262</v>
      </c>
      <c r="B1263" s="3" t="n">
        <v>1261</v>
      </c>
      <c r="C1263" s="3" t="s">
        <v>118</v>
      </c>
      <c r="D1263" s="3" t="n">
        <v>0</v>
      </c>
      <c r="E1263" s="3" t="n">
        <v>4</v>
      </c>
      <c r="F1263" s="3" t="n">
        <v>0</v>
      </c>
      <c r="G1263" s="3" t="n">
        <v>1</v>
      </c>
      <c r="H1263" s="24" t="n">
        <v>0.173129767</v>
      </c>
    </row>
    <row r="1264" customFormat="false" ht="15" hidden="false" customHeight="false" outlineLevel="0" collapsed="false">
      <c r="A1264" s="3" t="n">
        <v>1263</v>
      </c>
      <c r="B1264" s="3" t="n">
        <v>1262</v>
      </c>
      <c r="C1264" s="3" t="s">
        <v>118</v>
      </c>
      <c r="D1264" s="3" t="n">
        <v>0</v>
      </c>
      <c r="E1264" s="3" t="n">
        <v>4</v>
      </c>
      <c r="F1264" s="3" t="n">
        <v>0</v>
      </c>
      <c r="G1264" s="3" t="n">
        <v>2</v>
      </c>
      <c r="H1264" s="24" t="n">
        <v>0.250363916</v>
      </c>
    </row>
    <row r="1265" customFormat="false" ht="15" hidden="false" customHeight="false" outlineLevel="0" collapsed="false">
      <c r="A1265" s="3" t="n">
        <v>1264</v>
      </c>
      <c r="B1265" s="3" t="n">
        <v>1263</v>
      </c>
      <c r="C1265" s="3" t="s">
        <v>118</v>
      </c>
      <c r="D1265" s="3" t="n">
        <v>0</v>
      </c>
      <c r="E1265" s="3" t="n">
        <v>4</v>
      </c>
      <c r="F1265" s="3" t="n">
        <v>1</v>
      </c>
      <c r="G1265" s="3" t="n">
        <v>0</v>
      </c>
      <c r="H1265" s="24" t="n">
        <v>0.129915655</v>
      </c>
    </row>
    <row r="1266" customFormat="false" ht="15" hidden="false" customHeight="false" outlineLevel="0" collapsed="false">
      <c r="A1266" s="3" t="n">
        <v>1265</v>
      </c>
      <c r="B1266" s="3" t="n">
        <v>1264</v>
      </c>
      <c r="C1266" s="3" t="s">
        <v>118</v>
      </c>
      <c r="D1266" s="3" t="n">
        <v>0</v>
      </c>
      <c r="E1266" s="3" t="n">
        <v>4</v>
      </c>
      <c r="F1266" s="3" t="n">
        <v>1</v>
      </c>
      <c r="G1266" s="3" t="n">
        <v>1</v>
      </c>
      <c r="H1266" s="24" t="n">
        <v>0.1211318</v>
      </c>
    </row>
    <row r="1267" customFormat="false" ht="15" hidden="false" customHeight="false" outlineLevel="0" collapsed="false">
      <c r="A1267" s="3" t="n">
        <v>1266</v>
      </c>
      <c r="B1267" s="3" t="n">
        <v>1265</v>
      </c>
      <c r="C1267" s="3" t="s">
        <v>118</v>
      </c>
      <c r="D1267" s="3" t="n">
        <v>0</v>
      </c>
      <c r="E1267" s="3" t="n">
        <v>4</v>
      </c>
      <c r="F1267" s="3" t="n">
        <v>1</v>
      </c>
      <c r="G1267" s="3" t="n">
        <v>2</v>
      </c>
      <c r="H1267" s="24" t="n">
        <v>0.0752384886</v>
      </c>
    </row>
    <row r="1268" customFormat="false" ht="15" hidden="false" customHeight="false" outlineLevel="0" collapsed="false">
      <c r="A1268" s="3" t="n">
        <v>1267</v>
      </c>
      <c r="B1268" s="3" t="n">
        <v>1266</v>
      </c>
      <c r="C1268" s="3" t="s">
        <v>118</v>
      </c>
      <c r="D1268" s="3" t="n">
        <v>0</v>
      </c>
      <c r="E1268" s="3" t="n">
        <v>4</v>
      </c>
      <c r="F1268" s="3" t="n">
        <v>2</v>
      </c>
      <c r="G1268" s="3" t="n">
        <v>0</v>
      </c>
      <c r="H1268" s="24" t="n">
        <v>0.0706612468</v>
      </c>
    </row>
    <row r="1269" customFormat="false" ht="15" hidden="false" customHeight="false" outlineLevel="0" collapsed="false">
      <c r="A1269" s="3" t="n">
        <v>1268</v>
      </c>
      <c r="B1269" s="3" t="n">
        <v>1267</v>
      </c>
      <c r="C1269" s="3" t="s">
        <v>118</v>
      </c>
      <c r="D1269" s="3" t="n">
        <v>0</v>
      </c>
      <c r="E1269" s="3" t="n">
        <v>4</v>
      </c>
      <c r="F1269" s="3" t="n">
        <v>2</v>
      </c>
      <c r="G1269" s="3" t="n">
        <v>1</v>
      </c>
      <c r="H1269" s="24" t="n">
        <v>-0.11458008</v>
      </c>
    </row>
    <row r="1270" customFormat="false" ht="15" hidden="false" customHeight="false" outlineLevel="0" collapsed="false">
      <c r="A1270" s="3" t="n">
        <v>1269</v>
      </c>
      <c r="B1270" s="3" t="n">
        <v>1268</v>
      </c>
      <c r="C1270" s="3" t="s">
        <v>118</v>
      </c>
      <c r="D1270" s="3" t="n">
        <v>0</v>
      </c>
      <c r="E1270" s="3" t="n">
        <v>4</v>
      </c>
      <c r="F1270" s="3" t="n">
        <v>2</v>
      </c>
      <c r="G1270" s="3" t="n">
        <v>2</v>
      </c>
      <c r="H1270" s="24" t="n">
        <v>-0.0170100126</v>
      </c>
    </row>
    <row r="1271" customFormat="false" ht="15" hidden="false" customHeight="false" outlineLevel="0" collapsed="false">
      <c r="A1271" s="3" t="n">
        <v>1270</v>
      </c>
      <c r="B1271" s="3" t="n">
        <v>1269</v>
      </c>
      <c r="C1271" s="3" t="s">
        <v>118</v>
      </c>
      <c r="D1271" s="3" t="n">
        <v>0</v>
      </c>
      <c r="E1271" s="3" t="n">
        <v>5</v>
      </c>
      <c r="F1271" s="3" t="n">
        <v>0</v>
      </c>
      <c r="G1271" s="3" t="n">
        <v>0</v>
      </c>
      <c r="H1271" s="24" t="n">
        <v>0.0797530562</v>
      </c>
    </row>
    <row r="1272" customFormat="false" ht="15" hidden="false" customHeight="false" outlineLevel="0" collapsed="false">
      <c r="A1272" s="3" t="n">
        <v>1271</v>
      </c>
      <c r="B1272" s="3" t="n">
        <v>1270</v>
      </c>
      <c r="C1272" s="3" t="s">
        <v>118</v>
      </c>
      <c r="D1272" s="3" t="n">
        <v>0</v>
      </c>
      <c r="E1272" s="3" t="n">
        <v>5</v>
      </c>
      <c r="F1272" s="3" t="n">
        <v>0</v>
      </c>
      <c r="G1272" s="3" t="n">
        <v>1</v>
      </c>
      <c r="H1272" s="24" t="n">
        <v>-0.00916386768</v>
      </c>
    </row>
    <row r="1273" customFormat="false" ht="15" hidden="false" customHeight="false" outlineLevel="0" collapsed="false">
      <c r="A1273" s="3" t="n">
        <v>1272</v>
      </c>
      <c r="B1273" s="3" t="n">
        <v>1271</v>
      </c>
      <c r="C1273" s="3" t="s">
        <v>118</v>
      </c>
      <c r="D1273" s="3" t="n">
        <v>0</v>
      </c>
      <c r="E1273" s="3" t="n">
        <v>5</v>
      </c>
      <c r="F1273" s="3" t="n">
        <v>0</v>
      </c>
      <c r="G1273" s="3" t="n">
        <v>2</v>
      </c>
      <c r="H1273" s="24" t="n">
        <v>0.189732403</v>
      </c>
    </row>
    <row r="1274" customFormat="false" ht="15" hidden="false" customHeight="false" outlineLevel="0" collapsed="false">
      <c r="A1274" s="3" t="n">
        <v>1273</v>
      </c>
      <c r="B1274" s="3" t="n">
        <v>1272</v>
      </c>
      <c r="C1274" s="3" t="s">
        <v>118</v>
      </c>
      <c r="D1274" s="3" t="n">
        <v>0</v>
      </c>
      <c r="E1274" s="3" t="n">
        <v>5</v>
      </c>
      <c r="F1274" s="3" t="n">
        <v>1</v>
      </c>
      <c r="G1274" s="3" t="n">
        <v>0</v>
      </c>
      <c r="H1274" s="24" t="n">
        <v>0.112921923</v>
      </c>
    </row>
    <row r="1275" customFormat="false" ht="15" hidden="false" customHeight="false" outlineLevel="0" collapsed="false">
      <c r="A1275" s="3" t="n">
        <v>1274</v>
      </c>
      <c r="B1275" s="3" t="n">
        <v>1273</v>
      </c>
      <c r="C1275" s="3" t="s">
        <v>118</v>
      </c>
      <c r="D1275" s="3" t="n">
        <v>0</v>
      </c>
      <c r="E1275" s="3" t="n">
        <v>5</v>
      </c>
      <c r="F1275" s="3" t="n">
        <v>1</v>
      </c>
      <c r="G1275" s="3" t="n">
        <v>1</v>
      </c>
      <c r="H1275" s="24" t="n">
        <v>-0.292021513</v>
      </c>
    </row>
    <row r="1276" customFormat="false" ht="15" hidden="false" customHeight="false" outlineLevel="0" collapsed="false">
      <c r="A1276" s="3" t="n">
        <v>1275</v>
      </c>
      <c r="B1276" s="3" t="n">
        <v>1274</v>
      </c>
      <c r="C1276" s="3" t="s">
        <v>118</v>
      </c>
      <c r="D1276" s="3" t="n">
        <v>0</v>
      </c>
      <c r="E1276" s="3" t="n">
        <v>5</v>
      </c>
      <c r="F1276" s="3" t="n">
        <v>1</v>
      </c>
      <c r="G1276" s="3" t="n">
        <v>2</v>
      </c>
      <c r="H1276" s="24" t="n">
        <v>-0.283401877</v>
      </c>
    </row>
    <row r="1277" customFormat="false" ht="15" hidden="false" customHeight="false" outlineLevel="0" collapsed="false">
      <c r="A1277" s="3" t="n">
        <v>1276</v>
      </c>
      <c r="B1277" s="3" t="n">
        <v>1275</v>
      </c>
      <c r="C1277" s="3" t="s">
        <v>118</v>
      </c>
      <c r="D1277" s="3" t="n">
        <v>0</v>
      </c>
      <c r="E1277" s="3" t="n">
        <v>5</v>
      </c>
      <c r="F1277" s="3" t="n">
        <v>2</v>
      </c>
      <c r="G1277" s="3" t="n">
        <v>0</v>
      </c>
      <c r="H1277" s="24" t="n">
        <v>0.0515695438</v>
      </c>
    </row>
    <row r="1278" customFormat="false" ht="15" hidden="false" customHeight="false" outlineLevel="0" collapsed="false">
      <c r="A1278" s="3" t="n">
        <v>1277</v>
      </c>
      <c r="B1278" s="3" t="n">
        <v>1276</v>
      </c>
      <c r="C1278" s="3" t="s">
        <v>118</v>
      </c>
      <c r="D1278" s="3" t="n">
        <v>0</v>
      </c>
      <c r="E1278" s="3" t="n">
        <v>5</v>
      </c>
      <c r="F1278" s="3" t="n">
        <v>2</v>
      </c>
      <c r="G1278" s="3" t="n">
        <v>1</v>
      </c>
      <c r="H1278" s="24" t="n">
        <v>-0.424731463</v>
      </c>
    </row>
    <row r="1279" customFormat="false" ht="15" hidden="false" customHeight="false" outlineLevel="0" collapsed="false">
      <c r="A1279" s="3" t="n">
        <v>1278</v>
      </c>
      <c r="B1279" s="3" t="n">
        <v>1277</v>
      </c>
      <c r="C1279" s="3" t="s">
        <v>118</v>
      </c>
      <c r="D1279" s="3" t="n">
        <v>0</v>
      </c>
      <c r="E1279" s="3" t="n">
        <v>5</v>
      </c>
      <c r="F1279" s="3" t="n">
        <v>2</v>
      </c>
      <c r="G1279" s="3" t="n">
        <v>2</v>
      </c>
      <c r="H1279" s="24" t="n">
        <v>-0.187197655</v>
      </c>
    </row>
    <row r="1280" customFormat="false" ht="15" hidden="false" customHeight="false" outlineLevel="0" collapsed="false">
      <c r="A1280" s="3" t="n">
        <v>1279</v>
      </c>
      <c r="B1280" s="3" t="n">
        <v>1278</v>
      </c>
      <c r="C1280" s="3" t="s">
        <v>118</v>
      </c>
      <c r="D1280" s="3" t="n">
        <v>0</v>
      </c>
      <c r="E1280" s="3" t="n">
        <v>6</v>
      </c>
      <c r="F1280" s="3" t="n">
        <v>0</v>
      </c>
      <c r="G1280" s="3" t="n">
        <v>0</v>
      </c>
      <c r="H1280" s="24" t="n">
        <v>-0.144680053</v>
      </c>
    </row>
    <row r="1281" customFormat="false" ht="15" hidden="false" customHeight="false" outlineLevel="0" collapsed="false">
      <c r="A1281" s="3" t="n">
        <v>1280</v>
      </c>
      <c r="B1281" s="3" t="n">
        <v>1279</v>
      </c>
      <c r="C1281" s="3" t="s">
        <v>118</v>
      </c>
      <c r="D1281" s="3" t="n">
        <v>0</v>
      </c>
      <c r="E1281" s="3" t="n">
        <v>6</v>
      </c>
      <c r="F1281" s="3" t="n">
        <v>0</v>
      </c>
      <c r="G1281" s="3" t="n">
        <v>1</v>
      </c>
      <c r="H1281" s="24" t="n">
        <v>-0.250591964</v>
      </c>
    </row>
    <row r="1282" customFormat="false" ht="15" hidden="false" customHeight="false" outlineLevel="0" collapsed="false">
      <c r="A1282" s="3" t="n">
        <v>1281</v>
      </c>
      <c r="B1282" s="3" t="n">
        <v>1280</v>
      </c>
      <c r="C1282" s="3" t="s">
        <v>118</v>
      </c>
      <c r="D1282" s="3" t="n">
        <v>0</v>
      </c>
      <c r="E1282" s="3" t="n">
        <v>6</v>
      </c>
      <c r="F1282" s="3" t="n">
        <v>0</v>
      </c>
      <c r="G1282" s="3" t="n">
        <v>2</v>
      </c>
      <c r="H1282" s="24" t="n">
        <v>0.112182908</v>
      </c>
    </row>
    <row r="1283" customFormat="false" ht="15" hidden="false" customHeight="false" outlineLevel="0" collapsed="false">
      <c r="A1283" s="3" t="n">
        <v>1282</v>
      </c>
      <c r="B1283" s="3" t="n">
        <v>1281</v>
      </c>
      <c r="C1283" s="3" t="s">
        <v>118</v>
      </c>
      <c r="D1283" s="3" t="n">
        <v>0</v>
      </c>
      <c r="E1283" s="3" t="n">
        <v>6</v>
      </c>
      <c r="F1283" s="3" t="n">
        <v>1</v>
      </c>
      <c r="G1283" s="3" t="n">
        <v>0</v>
      </c>
      <c r="H1283" s="24" t="n">
        <v>0.231402293</v>
      </c>
    </row>
    <row r="1284" customFormat="false" ht="15" hidden="false" customHeight="false" outlineLevel="0" collapsed="false">
      <c r="A1284" s="3" t="n">
        <v>1283</v>
      </c>
      <c r="B1284" s="3" t="n">
        <v>1282</v>
      </c>
      <c r="C1284" s="3" t="s">
        <v>118</v>
      </c>
      <c r="D1284" s="3" t="n">
        <v>0</v>
      </c>
      <c r="E1284" s="3" t="n">
        <v>6</v>
      </c>
      <c r="F1284" s="3" t="n">
        <v>1</v>
      </c>
      <c r="G1284" s="3" t="n">
        <v>1</v>
      </c>
      <c r="H1284" s="24" t="n">
        <v>-0.221569702</v>
      </c>
    </row>
    <row r="1285" customFormat="false" ht="15" hidden="false" customHeight="false" outlineLevel="0" collapsed="false">
      <c r="A1285" s="3" t="n">
        <v>1284</v>
      </c>
      <c r="B1285" s="3" t="n">
        <v>1283</v>
      </c>
      <c r="C1285" s="3" t="s">
        <v>118</v>
      </c>
      <c r="D1285" s="3" t="n">
        <v>0</v>
      </c>
      <c r="E1285" s="3" t="n">
        <v>6</v>
      </c>
      <c r="F1285" s="3" t="n">
        <v>1</v>
      </c>
      <c r="G1285" s="3" t="n">
        <v>2</v>
      </c>
      <c r="H1285" s="24" t="n">
        <v>-0.311260223</v>
      </c>
    </row>
    <row r="1286" customFormat="false" ht="15" hidden="false" customHeight="false" outlineLevel="0" collapsed="false">
      <c r="A1286" s="3" t="n">
        <v>1285</v>
      </c>
      <c r="B1286" s="3" t="n">
        <v>1284</v>
      </c>
      <c r="C1286" s="3" t="s">
        <v>118</v>
      </c>
      <c r="D1286" s="3" t="n">
        <v>0</v>
      </c>
      <c r="E1286" s="3" t="n">
        <v>6</v>
      </c>
      <c r="F1286" s="3" t="n">
        <v>2</v>
      </c>
      <c r="G1286" s="3" t="n">
        <v>0</v>
      </c>
      <c r="H1286" s="24" t="n">
        <v>-0.198597178</v>
      </c>
    </row>
    <row r="1287" customFormat="false" ht="15" hidden="false" customHeight="false" outlineLevel="0" collapsed="false">
      <c r="A1287" s="3" t="n">
        <v>1286</v>
      </c>
      <c r="B1287" s="3" t="n">
        <v>1285</v>
      </c>
      <c r="C1287" s="3" t="s">
        <v>118</v>
      </c>
      <c r="D1287" s="3" t="n">
        <v>0</v>
      </c>
      <c r="E1287" s="3" t="n">
        <v>6</v>
      </c>
      <c r="F1287" s="3" t="n">
        <v>2</v>
      </c>
      <c r="G1287" s="3" t="n">
        <v>1</v>
      </c>
      <c r="H1287" s="24" t="n">
        <v>-0.492500961</v>
      </c>
    </row>
    <row r="1288" customFormat="false" ht="15" hidden="false" customHeight="false" outlineLevel="0" collapsed="false">
      <c r="A1288" s="3" t="n">
        <v>1287</v>
      </c>
      <c r="B1288" s="3" t="n">
        <v>1286</v>
      </c>
      <c r="C1288" s="3" t="s">
        <v>118</v>
      </c>
      <c r="D1288" s="3" t="n">
        <v>0</v>
      </c>
      <c r="E1288" s="3" t="n">
        <v>6</v>
      </c>
      <c r="F1288" s="3" t="n">
        <v>2</v>
      </c>
      <c r="G1288" s="3" t="n">
        <v>2</v>
      </c>
      <c r="H1288" s="24" t="n">
        <v>0.151224732</v>
      </c>
    </row>
    <row r="1289" customFormat="false" ht="15" hidden="false" customHeight="false" outlineLevel="0" collapsed="false">
      <c r="A1289" s="3" t="n">
        <v>1288</v>
      </c>
      <c r="B1289" s="3" t="n">
        <v>1287</v>
      </c>
      <c r="C1289" s="3" t="s">
        <v>118</v>
      </c>
      <c r="D1289" s="3" t="n">
        <v>0</v>
      </c>
      <c r="E1289" s="3" t="n">
        <v>7</v>
      </c>
      <c r="F1289" s="3" t="n">
        <v>0</v>
      </c>
      <c r="G1289" s="3" t="n">
        <v>0</v>
      </c>
      <c r="H1289" s="24" t="n">
        <v>0.0586858727</v>
      </c>
    </row>
    <row r="1290" customFormat="false" ht="15" hidden="false" customHeight="false" outlineLevel="0" collapsed="false">
      <c r="A1290" s="3" t="n">
        <v>1289</v>
      </c>
      <c r="B1290" s="3" t="n">
        <v>1288</v>
      </c>
      <c r="C1290" s="3" t="s">
        <v>118</v>
      </c>
      <c r="D1290" s="3" t="n">
        <v>0</v>
      </c>
      <c r="E1290" s="3" t="n">
        <v>7</v>
      </c>
      <c r="F1290" s="3" t="n">
        <v>0</v>
      </c>
      <c r="G1290" s="3" t="n">
        <v>1</v>
      </c>
      <c r="H1290" s="24" t="n">
        <v>-0.15625903</v>
      </c>
    </row>
    <row r="1291" customFormat="false" ht="15" hidden="false" customHeight="false" outlineLevel="0" collapsed="false">
      <c r="A1291" s="3" t="n">
        <v>1290</v>
      </c>
      <c r="B1291" s="3" t="n">
        <v>1289</v>
      </c>
      <c r="C1291" s="3" t="s">
        <v>118</v>
      </c>
      <c r="D1291" s="3" t="n">
        <v>0</v>
      </c>
      <c r="E1291" s="3" t="n">
        <v>7</v>
      </c>
      <c r="F1291" s="3" t="n">
        <v>0</v>
      </c>
      <c r="G1291" s="3" t="n">
        <v>2</v>
      </c>
      <c r="H1291" s="24" t="n">
        <v>0.0910482183</v>
      </c>
    </row>
    <row r="1292" customFormat="false" ht="15" hidden="false" customHeight="false" outlineLevel="0" collapsed="false">
      <c r="A1292" s="3" t="n">
        <v>1291</v>
      </c>
      <c r="B1292" s="3" t="n">
        <v>1290</v>
      </c>
      <c r="C1292" s="3" t="s">
        <v>118</v>
      </c>
      <c r="D1292" s="3" t="n">
        <v>0</v>
      </c>
      <c r="E1292" s="3" t="n">
        <v>7</v>
      </c>
      <c r="F1292" s="3" t="n">
        <v>1</v>
      </c>
      <c r="G1292" s="3" t="n">
        <v>0</v>
      </c>
      <c r="H1292" s="24" t="n">
        <v>-0.0404968001</v>
      </c>
    </row>
    <row r="1293" customFormat="false" ht="15" hidden="false" customHeight="false" outlineLevel="0" collapsed="false">
      <c r="A1293" s="3" t="n">
        <v>1292</v>
      </c>
      <c r="B1293" s="3" t="n">
        <v>1291</v>
      </c>
      <c r="C1293" s="3" t="s">
        <v>118</v>
      </c>
      <c r="D1293" s="3" t="n">
        <v>0</v>
      </c>
      <c r="E1293" s="3" t="n">
        <v>7</v>
      </c>
      <c r="F1293" s="3" t="n">
        <v>1</v>
      </c>
      <c r="G1293" s="3" t="n">
        <v>1</v>
      </c>
      <c r="H1293" s="24" t="n">
        <v>0.155761823</v>
      </c>
    </row>
    <row r="1294" customFormat="false" ht="15" hidden="false" customHeight="false" outlineLevel="0" collapsed="false">
      <c r="A1294" s="3" t="n">
        <v>1293</v>
      </c>
      <c r="B1294" s="3" t="n">
        <v>1292</v>
      </c>
      <c r="C1294" s="3" t="s">
        <v>118</v>
      </c>
      <c r="D1294" s="3" t="n">
        <v>0</v>
      </c>
      <c r="E1294" s="3" t="n">
        <v>7</v>
      </c>
      <c r="F1294" s="3" t="n">
        <v>1</v>
      </c>
      <c r="G1294" s="3" t="n">
        <v>2</v>
      </c>
      <c r="H1294" s="24" t="n">
        <v>-0.154337212</v>
      </c>
    </row>
    <row r="1295" customFormat="false" ht="15" hidden="false" customHeight="false" outlineLevel="0" collapsed="false">
      <c r="A1295" s="3" t="n">
        <v>1294</v>
      </c>
      <c r="B1295" s="3" t="n">
        <v>1293</v>
      </c>
      <c r="C1295" s="3" t="s">
        <v>118</v>
      </c>
      <c r="D1295" s="3" t="n">
        <v>0</v>
      </c>
      <c r="E1295" s="3" t="n">
        <v>7</v>
      </c>
      <c r="F1295" s="3" t="n">
        <v>2</v>
      </c>
      <c r="G1295" s="3" t="n">
        <v>0</v>
      </c>
      <c r="H1295" s="24" t="n">
        <v>-0.119295493</v>
      </c>
    </row>
    <row r="1296" customFormat="false" ht="15" hidden="false" customHeight="false" outlineLevel="0" collapsed="false">
      <c r="A1296" s="3" t="n">
        <v>1295</v>
      </c>
      <c r="B1296" s="3" t="n">
        <v>1294</v>
      </c>
      <c r="C1296" s="3" t="s">
        <v>118</v>
      </c>
      <c r="D1296" s="3" t="n">
        <v>0</v>
      </c>
      <c r="E1296" s="3" t="n">
        <v>7</v>
      </c>
      <c r="F1296" s="3" t="n">
        <v>2</v>
      </c>
      <c r="G1296" s="3" t="n">
        <v>1</v>
      </c>
      <c r="H1296" s="24" t="n">
        <v>-0.733687937</v>
      </c>
    </row>
    <row r="1297" customFormat="false" ht="15" hidden="false" customHeight="false" outlineLevel="0" collapsed="false">
      <c r="A1297" s="3" t="n">
        <v>1296</v>
      </c>
      <c r="B1297" s="3" t="n">
        <v>1295</v>
      </c>
      <c r="C1297" s="3" t="s">
        <v>118</v>
      </c>
      <c r="D1297" s="3" t="n">
        <v>0</v>
      </c>
      <c r="E1297" s="3" t="n">
        <v>7</v>
      </c>
      <c r="F1297" s="3" t="n">
        <v>2</v>
      </c>
      <c r="G1297" s="3" t="n">
        <v>2</v>
      </c>
      <c r="H1297" s="24" t="n">
        <v>0.184015587</v>
      </c>
    </row>
    <row r="1298" customFormat="false" ht="15" hidden="false" customHeight="false" outlineLevel="0" collapsed="false">
      <c r="A1298" s="3" t="n">
        <v>1297</v>
      </c>
      <c r="B1298" s="3" t="n">
        <v>1296</v>
      </c>
      <c r="C1298" s="3" t="s">
        <v>118</v>
      </c>
      <c r="D1298" s="3" t="n">
        <v>0</v>
      </c>
      <c r="E1298" s="3" t="n">
        <v>8</v>
      </c>
      <c r="F1298" s="3" t="n">
        <v>0</v>
      </c>
      <c r="G1298" s="3" t="n">
        <v>0</v>
      </c>
      <c r="H1298" s="24" t="n">
        <v>0.0841699541</v>
      </c>
    </row>
    <row r="1299" customFormat="false" ht="15" hidden="false" customHeight="false" outlineLevel="0" collapsed="false">
      <c r="A1299" s="3" t="n">
        <v>1298</v>
      </c>
      <c r="B1299" s="3" t="n">
        <v>1297</v>
      </c>
      <c r="C1299" s="3" t="s">
        <v>118</v>
      </c>
      <c r="D1299" s="3" t="n">
        <v>0</v>
      </c>
      <c r="E1299" s="3" t="n">
        <v>8</v>
      </c>
      <c r="F1299" s="3" t="n">
        <v>0</v>
      </c>
      <c r="G1299" s="3" t="n">
        <v>1</v>
      </c>
      <c r="H1299" s="24" t="n">
        <v>0.00674963975</v>
      </c>
    </row>
    <row r="1300" customFormat="false" ht="15" hidden="false" customHeight="false" outlineLevel="0" collapsed="false">
      <c r="A1300" s="3" t="n">
        <v>1299</v>
      </c>
      <c r="B1300" s="3" t="n">
        <v>1298</v>
      </c>
      <c r="C1300" s="3" t="s">
        <v>118</v>
      </c>
      <c r="D1300" s="3" t="n">
        <v>0</v>
      </c>
      <c r="E1300" s="3" t="n">
        <v>8</v>
      </c>
      <c r="F1300" s="3" t="n">
        <v>0</v>
      </c>
      <c r="G1300" s="3" t="n">
        <v>2</v>
      </c>
      <c r="H1300" s="24" t="n">
        <v>0.0969849676</v>
      </c>
    </row>
    <row r="1301" customFormat="false" ht="15" hidden="false" customHeight="false" outlineLevel="0" collapsed="false">
      <c r="A1301" s="3" t="n">
        <v>1300</v>
      </c>
      <c r="B1301" s="3" t="n">
        <v>1299</v>
      </c>
      <c r="C1301" s="3" t="s">
        <v>118</v>
      </c>
      <c r="D1301" s="3" t="n">
        <v>0</v>
      </c>
      <c r="E1301" s="3" t="n">
        <v>8</v>
      </c>
      <c r="F1301" s="3" t="n">
        <v>1</v>
      </c>
      <c r="G1301" s="3" t="n">
        <v>0</v>
      </c>
      <c r="H1301" s="24" t="n">
        <v>0.122748308</v>
      </c>
    </row>
    <row r="1302" customFormat="false" ht="15" hidden="false" customHeight="false" outlineLevel="0" collapsed="false">
      <c r="A1302" s="3" t="n">
        <v>1301</v>
      </c>
      <c r="B1302" s="3" t="n">
        <v>1300</v>
      </c>
      <c r="C1302" s="3" t="s">
        <v>118</v>
      </c>
      <c r="D1302" s="3" t="n">
        <v>0</v>
      </c>
      <c r="E1302" s="3" t="n">
        <v>8</v>
      </c>
      <c r="F1302" s="3" t="n">
        <v>1</v>
      </c>
      <c r="G1302" s="3" t="n">
        <v>1</v>
      </c>
      <c r="H1302" s="24" t="n">
        <v>-0.0211883038</v>
      </c>
    </row>
    <row r="1303" customFormat="false" ht="15" hidden="false" customHeight="false" outlineLevel="0" collapsed="false">
      <c r="A1303" s="3" t="n">
        <v>1302</v>
      </c>
      <c r="B1303" s="3" t="n">
        <v>1301</v>
      </c>
      <c r="C1303" s="3" t="s">
        <v>118</v>
      </c>
      <c r="D1303" s="3" t="n">
        <v>0</v>
      </c>
      <c r="E1303" s="3" t="n">
        <v>8</v>
      </c>
      <c r="F1303" s="3" t="n">
        <v>1</v>
      </c>
      <c r="G1303" s="3" t="n">
        <v>2</v>
      </c>
      <c r="H1303" s="24" t="n">
        <v>0.0281657483</v>
      </c>
    </row>
    <row r="1304" customFormat="false" ht="15" hidden="false" customHeight="false" outlineLevel="0" collapsed="false">
      <c r="A1304" s="3" t="n">
        <v>1303</v>
      </c>
      <c r="B1304" s="3" t="n">
        <v>1302</v>
      </c>
      <c r="C1304" s="3" t="s">
        <v>118</v>
      </c>
      <c r="D1304" s="3" t="n">
        <v>0</v>
      </c>
      <c r="E1304" s="3" t="n">
        <v>8</v>
      </c>
      <c r="F1304" s="3" t="n">
        <v>2</v>
      </c>
      <c r="G1304" s="3" t="n">
        <v>0</v>
      </c>
      <c r="H1304" s="24" t="n">
        <v>-0.0458134636</v>
      </c>
    </row>
    <row r="1305" customFormat="false" ht="15" hidden="false" customHeight="false" outlineLevel="0" collapsed="false">
      <c r="A1305" s="3" t="n">
        <v>1304</v>
      </c>
      <c r="B1305" s="3" t="n">
        <v>1303</v>
      </c>
      <c r="C1305" s="3" t="s">
        <v>118</v>
      </c>
      <c r="D1305" s="3" t="n">
        <v>0</v>
      </c>
      <c r="E1305" s="3" t="n">
        <v>8</v>
      </c>
      <c r="F1305" s="3" t="n">
        <v>2</v>
      </c>
      <c r="G1305" s="3" t="n">
        <v>1</v>
      </c>
      <c r="H1305" s="24" t="n">
        <v>-0.0144153098</v>
      </c>
    </row>
    <row r="1306" customFormat="false" ht="15" hidden="false" customHeight="false" outlineLevel="0" collapsed="false">
      <c r="A1306" s="3" t="n">
        <v>1305</v>
      </c>
      <c r="B1306" s="3" t="n">
        <v>1304</v>
      </c>
      <c r="C1306" s="3" t="s">
        <v>118</v>
      </c>
      <c r="D1306" s="3" t="n">
        <v>0</v>
      </c>
      <c r="E1306" s="3" t="n">
        <v>8</v>
      </c>
      <c r="F1306" s="3" t="n">
        <v>2</v>
      </c>
      <c r="G1306" s="3" t="n">
        <v>2</v>
      </c>
      <c r="H1306" s="24" t="n">
        <v>-0.266646534</v>
      </c>
    </row>
    <row r="1307" customFormat="false" ht="15" hidden="false" customHeight="false" outlineLevel="0" collapsed="false">
      <c r="A1307" s="3" t="n">
        <v>1306</v>
      </c>
      <c r="B1307" s="3" t="n">
        <v>1305</v>
      </c>
      <c r="C1307" s="3" t="s">
        <v>118</v>
      </c>
      <c r="D1307" s="3" t="n">
        <v>0</v>
      </c>
      <c r="E1307" s="3" t="n">
        <v>9</v>
      </c>
      <c r="F1307" s="3" t="n">
        <v>0</v>
      </c>
      <c r="G1307" s="3" t="n">
        <v>0</v>
      </c>
      <c r="H1307" s="24" t="n">
        <v>-0.0774073526</v>
      </c>
    </row>
    <row r="1308" customFormat="false" ht="15" hidden="false" customHeight="false" outlineLevel="0" collapsed="false">
      <c r="A1308" s="3" t="n">
        <v>1307</v>
      </c>
      <c r="B1308" s="3" t="n">
        <v>1306</v>
      </c>
      <c r="C1308" s="3" t="s">
        <v>118</v>
      </c>
      <c r="D1308" s="3" t="n">
        <v>0</v>
      </c>
      <c r="E1308" s="3" t="n">
        <v>9</v>
      </c>
      <c r="F1308" s="3" t="n">
        <v>0</v>
      </c>
      <c r="G1308" s="3" t="n">
        <v>1</v>
      </c>
      <c r="H1308" s="24" t="n">
        <v>-0.0176446103</v>
      </c>
    </row>
    <row r="1309" customFormat="false" ht="15" hidden="false" customHeight="false" outlineLevel="0" collapsed="false">
      <c r="A1309" s="3" t="n">
        <v>1308</v>
      </c>
      <c r="B1309" s="3" t="n">
        <v>1307</v>
      </c>
      <c r="C1309" s="3" t="s">
        <v>118</v>
      </c>
      <c r="D1309" s="3" t="n">
        <v>0</v>
      </c>
      <c r="E1309" s="3" t="n">
        <v>9</v>
      </c>
      <c r="F1309" s="3" t="n">
        <v>0</v>
      </c>
      <c r="G1309" s="3" t="n">
        <v>2</v>
      </c>
      <c r="H1309" s="24" t="n">
        <v>0.0831548646</v>
      </c>
    </row>
    <row r="1310" customFormat="false" ht="15" hidden="false" customHeight="false" outlineLevel="0" collapsed="false">
      <c r="A1310" s="3" t="n">
        <v>1309</v>
      </c>
      <c r="B1310" s="3" t="n">
        <v>1308</v>
      </c>
      <c r="C1310" s="3" t="s">
        <v>118</v>
      </c>
      <c r="D1310" s="3" t="n">
        <v>0</v>
      </c>
      <c r="E1310" s="3" t="n">
        <v>9</v>
      </c>
      <c r="F1310" s="3" t="n">
        <v>1</v>
      </c>
      <c r="G1310" s="3" t="n">
        <v>0</v>
      </c>
      <c r="H1310" s="24" t="n">
        <v>0.184903726</v>
      </c>
    </row>
    <row r="1311" customFormat="false" ht="15" hidden="false" customHeight="false" outlineLevel="0" collapsed="false">
      <c r="A1311" s="3" t="n">
        <v>1310</v>
      </c>
      <c r="B1311" s="3" t="n">
        <v>1309</v>
      </c>
      <c r="C1311" s="3" t="s">
        <v>118</v>
      </c>
      <c r="D1311" s="3" t="n">
        <v>0</v>
      </c>
      <c r="E1311" s="3" t="n">
        <v>9</v>
      </c>
      <c r="F1311" s="3" t="n">
        <v>1</v>
      </c>
      <c r="G1311" s="3" t="n">
        <v>1</v>
      </c>
      <c r="H1311" s="24" t="n">
        <v>0.195454553</v>
      </c>
    </row>
    <row r="1312" customFormat="false" ht="15" hidden="false" customHeight="false" outlineLevel="0" collapsed="false">
      <c r="A1312" s="3" t="n">
        <v>1311</v>
      </c>
      <c r="B1312" s="3" t="n">
        <v>1310</v>
      </c>
      <c r="C1312" s="3" t="s">
        <v>118</v>
      </c>
      <c r="D1312" s="3" t="n">
        <v>0</v>
      </c>
      <c r="E1312" s="3" t="n">
        <v>9</v>
      </c>
      <c r="F1312" s="3" t="n">
        <v>1</v>
      </c>
      <c r="G1312" s="3" t="n">
        <v>2</v>
      </c>
      <c r="H1312" s="24" t="n">
        <v>0.0826861262</v>
      </c>
    </row>
    <row r="1313" customFormat="false" ht="15" hidden="false" customHeight="false" outlineLevel="0" collapsed="false">
      <c r="A1313" s="3" t="n">
        <v>1312</v>
      </c>
      <c r="B1313" s="3" t="n">
        <v>1311</v>
      </c>
      <c r="C1313" s="3" t="s">
        <v>118</v>
      </c>
      <c r="D1313" s="3" t="n">
        <v>0</v>
      </c>
      <c r="E1313" s="3" t="n">
        <v>9</v>
      </c>
      <c r="F1313" s="3" t="n">
        <v>2</v>
      </c>
      <c r="G1313" s="3" t="n">
        <v>0</v>
      </c>
      <c r="H1313" s="24" t="n">
        <v>0.226324499</v>
      </c>
    </row>
    <row r="1314" customFormat="false" ht="15" hidden="false" customHeight="false" outlineLevel="0" collapsed="false">
      <c r="A1314" s="3" t="n">
        <v>1313</v>
      </c>
      <c r="B1314" s="3" t="n">
        <v>1312</v>
      </c>
      <c r="C1314" s="3" t="s">
        <v>118</v>
      </c>
      <c r="D1314" s="3" t="n">
        <v>0</v>
      </c>
      <c r="E1314" s="3" t="n">
        <v>9</v>
      </c>
      <c r="F1314" s="3" t="n">
        <v>2</v>
      </c>
      <c r="G1314" s="3" t="n">
        <v>1</v>
      </c>
      <c r="H1314" s="24" t="n">
        <v>-0.115548708</v>
      </c>
    </row>
    <row r="1315" customFormat="false" ht="15" hidden="false" customHeight="false" outlineLevel="0" collapsed="false">
      <c r="A1315" s="3" t="n">
        <v>1314</v>
      </c>
      <c r="B1315" s="3" t="n">
        <v>1313</v>
      </c>
      <c r="C1315" s="3" t="s">
        <v>118</v>
      </c>
      <c r="D1315" s="3" t="n">
        <v>0</v>
      </c>
      <c r="E1315" s="3" t="n">
        <v>9</v>
      </c>
      <c r="F1315" s="3" t="n">
        <v>2</v>
      </c>
      <c r="G1315" s="3" t="n">
        <v>2</v>
      </c>
      <c r="H1315" s="24" t="n">
        <v>-0.0203377306</v>
      </c>
    </row>
    <row r="1316" customFormat="false" ht="15" hidden="false" customHeight="false" outlineLevel="0" collapsed="false">
      <c r="A1316" s="3" t="n">
        <v>1315</v>
      </c>
      <c r="B1316" s="3" t="n">
        <v>1314</v>
      </c>
      <c r="C1316" s="3" t="s">
        <v>118</v>
      </c>
      <c r="D1316" s="3" t="n">
        <v>0</v>
      </c>
      <c r="E1316" s="3" t="n">
        <v>10</v>
      </c>
      <c r="F1316" s="3" t="n">
        <v>0</v>
      </c>
      <c r="G1316" s="3" t="n">
        <v>0</v>
      </c>
      <c r="H1316" s="24" t="n">
        <v>0.113876998</v>
      </c>
    </row>
    <row r="1317" customFormat="false" ht="15" hidden="false" customHeight="false" outlineLevel="0" collapsed="false">
      <c r="A1317" s="3" t="n">
        <v>1316</v>
      </c>
      <c r="B1317" s="3" t="n">
        <v>1315</v>
      </c>
      <c r="C1317" s="3" t="s">
        <v>118</v>
      </c>
      <c r="D1317" s="3" t="n">
        <v>0</v>
      </c>
      <c r="E1317" s="3" t="n">
        <v>10</v>
      </c>
      <c r="F1317" s="3" t="n">
        <v>0</v>
      </c>
      <c r="G1317" s="3" t="n">
        <v>1</v>
      </c>
      <c r="H1317" s="24" t="n">
        <v>-0.130630389</v>
      </c>
    </row>
    <row r="1318" customFormat="false" ht="15" hidden="false" customHeight="false" outlineLevel="0" collapsed="false">
      <c r="A1318" s="3" t="n">
        <v>1317</v>
      </c>
      <c r="B1318" s="3" t="n">
        <v>1316</v>
      </c>
      <c r="C1318" s="3" t="s">
        <v>118</v>
      </c>
      <c r="D1318" s="3" t="n">
        <v>0</v>
      </c>
      <c r="E1318" s="3" t="n">
        <v>10</v>
      </c>
      <c r="F1318" s="3" t="n">
        <v>0</v>
      </c>
      <c r="G1318" s="3" t="n">
        <v>2</v>
      </c>
      <c r="H1318" s="24" t="n">
        <v>0.0519728325</v>
      </c>
    </row>
    <row r="1319" customFormat="false" ht="15" hidden="false" customHeight="false" outlineLevel="0" collapsed="false">
      <c r="A1319" s="3" t="n">
        <v>1318</v>
      </c>
      <c r="B1319" s="3" t="n">
        <v>1317</v>
      </c>
      <c r="C1319" s="3" t="s">
        <v>118</v>
      </c>
      <c r="D1319" s="3" t="n">
        <v>0</v>
      </c>
      <c r="E1319" s="3" t="n">
        <v>10</v>
      </c>
      <c r="F1319" s="3" t="n">
        <v>1</v>
      </c>
      <c r="G1319" s="3" t="n">
        <v>0</v>
      </c>
      <c r="H1319" s="24" t="n">
        <v>-0.0215626005</v>
      </c>
    </row>
    <row r="1320" customFormat="false" ht="15" hidden="false" customHeight="false" outlineLevel="0" collapsed="false">
      <c r="A1320" s="3" t="n">
        <v>1319</v>
      </c>
      <c r="B1320" s="3" t="n">
        <v>1318</v>
      </c>
      <c r="C1320" s="3" t="s">
        <v>118</v>
      </c>
      <c r="D1320" s="3" t="n">
        <v>0</v>
      </c>
      <c r="E1320" s="3" t="n">
        <v>10</v>
      </c>
      <c r="F1320" s="3" t="n">
        <v>1</v>
      </c>
      <c r="G1320" s="3" t="n">
        <v>1</v>
      </c>
      <c r="H1320" s="24" t="n">
        <v>-0.023001194</v>
      </c>
    </row>
    <row r="1321" customFormat="false" ht="15" hidden="false" customHeight="false" outlineLevel="0" collapsed="false">
      <c r="A1321" s="3" t="n">
        <v>1320</v>
      </c>
      <c r="B1321" s="3" t="n">
        <v>1319</v>
      </c>
      <c r="C1321" s="3" t="s">
        <v>118</v>
      </c>
      <c r="D1321" s="3" t="n">
        <v>0</v>
      </c>
      <c r="E1321" s="3" t="n">
        <v>10</v>
      </c>
      <c r="F1321" s="3" t="n">
        <v>1</v>
      </c>
      <c r="G1321" s="3" t="n">
        <v>2</v>
      </c>
      <c r="H1321" s="24" t="n">
        <v>0.095538862</v>
      </c>
    </row>
    <row r="1322" customFormat="false" ht="15" hidden="false" customHeight="false" outlineLevel="0" collapsed="false">
      <c r="A1322" s="3" t="n">
        <v>1321</v>
      </c>
      <c r="B1322" s="3" t="n">
        <v>1320</v>
      </c>
      <c r="C1322" s="3" t="s">
        <v>118</v>
      </c>
      <c r="D1322" s="3" t="n">
        <v>0</v>
      </c>
      <c r="E1322" s="3" t="n">
        <v>10</v>
      </c>
      <c r="F1322" s="3" t="n">
        <v>2</v>
      </c>
      <c r="G1322" s="3" t="n">
        <v>0</v>
      </c>
      <c r="H1322" s="24" t="n">
        <v>0.00248311041</v>
      </c>
    </row>
    <row r="1323" customFormat="false" ht="15" hidden="false" customHeight="false" outlineLevel="0" collapsed="false">
      <c r="A1323" s="3" t="n">
        <v>1322</v>
      </c>
      <c r="B1323" s="3" t="n">
        <v>1321</v>
      </c>
      <c r="C1323" s="3" t="s">
        <v>118</v>
      </c>
      <c r="D1323" s="3" t="n">
        <v>0</v>
      </c>
      <c r="E1323" s="3" t="n">
        <v>10</v>
      </c>
      <c r="F1323" s="3" t="n">
        <v>2</v>
      </c>
      <c r="G1323" s="3" t="n">
        <v>1</v>
      </c>
      <c r="H1323" s="24" t="n">
        <v>-0.188010976</v>
      </c>
    </row>
    <row r="1324" customFormat="false" ht="15" hidden="false" customHeight="false" outlineLevel="0" collapsed="false">
      <c r="A1324" s="3" t="n">
        <v>1323</v>
      </c>
      <c r="B1324" s="3" t="n">
        <v>1322</v>
      </c>
      <c r="C1324" s="3" t="s">
        <v>118</v>
      </c>
      <c r="D1324" s="3" t="n">
        <v>0</v>
      </c>
      <c r="E1324" s="3" t="n">
        <v>10</v>
      </c>
      <c r="F1324" s="3" t="n">
        <v>2</v>
      </c>
      <c r="G1324" s="3" t="n">
        <v>2</v>
      </c>
      <c r="H1324" s="24" t="n">
        <v>-0.0820198655</v>
      </c>
    </row>
    <row r="1325" customFormat="false" ht="15" hidden="false" customHeight="false" outlineLevel="0" collapsed="false">
      <c r="A1325" s="3" t="n">
        <v>1324</v>
      </c>
      <c r="B1325" s="3" t="n">
        <v>1323</v>
      </c>
      <c r="C1325" s="3" t="s">
        <v>118</v>
      </c>
      <c r="D1325" s="3" t="n">
        <v>0</v>
      </c>
      <c r="E1325" s="3" t="n">
        <v>11</v>
      </c>
      <c r="F1325" s="3" t="n">
        <v>0</v>
      </c>
      <c r="G1325" s="3" t="n">
        <v>0</v>
      </c>
      <c r="H1325" s="24" t="n">
        <v>0.0555690788</v>
      </c>
    </row>
    <row r="1326" customFormat="false" ht="15" hidden="false" customHeight="false" outlineLevel="0" collapsed="false">
      <c r="A1326" s="3" t="n">
        <v>1325</v>
      </c>
      <c r="B1326" s="3" t="n">
        <v>1324</v>
      </c>
      <c r="C1326" s="3" t="s">
        <v>118</v>
      </c>
      <c r="D1326" s="3" t="n">
        <v>0</v>
      </c>
      <c r="E1326" s="3" t="n">
        <v>11</v>
      </c>
      <c r="F1326" s="3" t="n">
        <v>0</v>
      </c>
      <c r="G1326" s="3" t="n">
        <v>1</v>
      </c>
      <c r="H1326" s="24" t="n">
        <v>-0.146643743</v>
      </c>
    </row>
    <row r="1327" customFormat="false" ht="15" hidden="false" customHeight="false" outlineLevel="0" collapsed="false">
      <c r="A1327" s="3" t="n">
        <v>1326</v>
      </c>
      <c r="B1327" s="3" t="n">
        <v>1325</v>
      </c>
      <c r="C1327" s="3" t="s">
        <v>118</v>
      </c>
      <c r="D1327" s="3" t="n">
        <v>0</v>
      </c>
      <c r="E1327" s="3" t="n">
        <v>11</v>
      </c>
      <c r="F1327" s="3" t="n">
        <v>0</v>
      </c>
      <c r="G1327" s="3" t="n">
        <v>2</v>
      </c>
      <c r="H1327" s="24" t="n">
        <v>0.219651997</v>
      </c>
    </row>
    <row r="1328" customFormat="false" ht="15" hidden="false" customHeight="false" outlineLevel="0" collapsed="false">
      <c r="A1328" s="3" t="n">
        <v>1327</v>
      </c>
      <c r="B1328" s="3" t="n">
        <v>1326</v>
      </c>
      <c r="C1328" s="3" t="s">
        <v>118</v>
      </c>
      <c r="D1328" s="3" t="n">
        <v>0</v>
      </c>
      <c r="E1328" s="3" t="n">
        <v>11</v>
      </c>
      <c r="F1328" s="3" t="n">
        <v>1</v>
      </c>
      <c r="G1328" s="3" t="n">
        <v>0</v>
      </c>
      <c r="H1328" s="24" t="n">
        <v>0.00424702652</v>
      </c>
    </row>
    <row r="1329" customFormat="false" ht="15" hidden="false" customHeight="false" outlineLevel="0" collapsed="false">
      <c r="A1329" s="3" t="n">
        <v>1328</v>
      </c>
      <c r="B1329" s="3" t="n">
        <v>1327</v>
      </c>
      <c r="C1329" s="3" t="s">
        <v>118</v>
      </c>
      <c r="D1329" s="3" t="n">
        <v>0</v>
      </c>
      <c r="E1329" s="3" t="n">
        <v>11</v>
      </c>
      <c r="F1329" s="3" t="n">
        <v>1</v>
      </c>
      <c r="G1329" s="3" t="n">
        <v>1</v>
      </c>
      <c r="H1329" s="24" t="n">
        <v>0.00752566662</v>
      </c>
    </row>
    <row r="1330" customFormat="false" ht="15" hidden="false" customHeight="false" outlineLevel="0" collapsed="false">
      <c r="A1330" s="3" t="n">
        <v>1329</v>
      </c>
      <c r="B1330" s="3" t="n">
        <v>1328</v>
      </c>
      <c r="C1330" s="3" t="s">
        <v>118</v>
      </c>
      <c r="D1330" s="3" t="n">
        <v>0</v>
      </c>
      <c r="E1330" s="3" t="n">
        <v>11</v>
      </c>
      <c r="F1330" s="3" t="n">
        <v>1</v>
      </c>
      <c r="G1330" s="3" t="n">
        <v>2</v>
      </c>
      <c r="H1330" s="24" t="n">
        <v>0.152055934</v>
      </c>
    </row>
    <row r="1331" customFormat="false" ht="15" hidden="false" customHeight="false" outlineLevel="0" collapsed="false">
      <c r="A1331" s="3" t="n">
        <v>1330</v>
      </c>
      <c r="B1331" s="3" t="n">
        <v>1329</v>
      </c>
      <c r="C1331" s="3" t="s">
        <v>118</v>
      </c>
      <c r="D1331" s="3" t="n">
        <v>0</v>
      </c>
      <c r="E1331" s="3" t="n">
        <v>11</v>
      </c>
      <c r="F1331" s="3" t="n">
        <v>2</v>
      </c>
      <c r="G1331" s="3" t="n">
        <v>0</v>
      </c>
      <c r="H1331" s="24" t="n">
        <v>0.157102406</v>
      </c>
    </row>
    <row r="1332" customFormat="false" ht="15" hidden="false" customHeight="false" outlineLevel="0" collapsed="false">
      <c r="A1332" s="3" t="n">
        <v>1331</v>
      </c>
      <c r="B1332" s="3" t="n">
        <v>1330</v>
      </c>
      <c r="C1332" s="3" t="s">
        <v>118</v>
      </c>
      <c r="D1332" s="3" t="n">
        <v>0</v>
      </c>
      <c r="E1332" s="3" t="n">
        <v>11</v>
      </c>
      <c r="F1332" s="3" t="n">
        <v>2</v>
      </c>
      <c r="G1332" s="3" t="n">
        <v>1</v>
      </c>
      <c r="H1332" s="24" t="n">
        <v>-0.097685039</v>
      </c>
    </row>
    <row r="1333" customFormat="false" ht="15" hidden="false" customHeight="false" outlineLevel="0" collapsed="false">
      <c r="A1333" s="3" t="n">
        <v>1332</v>
      </c>
      <c r="B1333" s="3" t="n">
        <v>1331</v>
      </c>
      <c r="C1333" s="3" t="s">
        <v>118</v>
      </c>
      <c r="D1333" s="3" t="n">
        <v>0</v>
      </c>
      <c r="E1333" s="3" t="n">
        <v>11</v>
      </c>
      <c r="F1333" s="3" t="n">
        <v>2</v>
      </c>
      <c r="G1333" s="3" t="n">
        <v>2</v>
      </c>
      <c r="H1333" s="24" t="n">
        <v>0.0140917096</v>
      </c>
    </row>
    <row r="1334" customFormat="false" ht="15" hidden="false" customHeight="false" outlineLevel="0" collapsed="false">
      <c r="A1334" s="3" t="n">
        <v>1333</v>
      </c>
      <c r="B1334" s="3" t="n">
        <v>1332</v>
      </c>
      <c r="C1334" s="3" t="s">
        <v>118</v>
      </c>
      <c r="D1334" s="3" t="n">
        <v>0</v>
      </c>
      <c r="E1334" s="3" t="n">
        <v>12</v>
      </c>
      <c r="F1334" s="3" t="n">
        <v>0</v>
      </c>
      <c r="G1334" s="3" t="n">
        <v>0</v>
      </c>
      <c r="H1334" s="24" t="n">
        <v>-0.225356728</v>
      </c>
    </row>
    <row r="1335" customFormat="false" ht="15" hidden="false" customHeight="false" outlineLevel="0" collapsed="false">
      <c r="A1335" s="3" t="n">
        <v>1334</v>
      </c>
      <c r="B1335" s="3" t="n">
        <v>1333</v>
      </c>
      <c r="C1335" s="3" t="s">
        <v>118</v>
      </c>
      <c r="D1335" s="3" t="n">
        <v>0</v>
      </c>
      <c r="E1335" s="3" t="n">
        <v>12</v>
      </c>
      <c r="F1335" s="3" t="n">
        <v>0</v>
      </c>
      <c r="G1335" s="3" t="n">
        <v>1</v>
      </c>
      <c r="H1335" s="24" t="n">
        <v>0.0134671042</v>
      </c>
    </row>
    <row r="1336" customFormat="false" ht="15" hidden="false" customHeight="false" outlineLevel="0" collapsed="false">
      <c r="A1336" s="3" t="n">
        <v>1335</v>
      </c>
      <c r="B1336" s="3" t="n">
        <v>1334</v>
      </c>
      <c r="C1336" s="3" t="s">
        <v>118</v>
      </c>
      <c r="D1336" s="3" t="n">
        <v>0</v>
      </c>
      <c r="E1336" s="3" t="n">
        <v>12</v>
      </c>
      <c r="F1336" s="3" t="n">
        <v>0</v>
      </c>
      <c r="G1336" s="3" t="n">
        <v>2</v>
      </c>
      <c r="H1336" s="24" t="n">
        <v>0.00906735193</v>
      </c>
    </row>
    <row r="1337" customFormat="false" ht="15" hidden="false" customHeight="false" outlineLevel="0" collapsed="false">
      <c r="A1337" s="3" t="n">
        <v>1336</v>
      </c>
      <c r="B1337" s="3" t="n">
        <v>1335</v>
      </c>
      <c r="C1337" s="3" t="s">
        <v>118</v>
      </c>
      <c r="D1337" s="3" t="n">
        <v>0</v>
      </c>
      <c r="E1337" s="3" t="n">
        <v>12</v>
      </c>
      <c r="F1337" s="3" t="n">
        <v>1</v>
      </c>
      <c r="G1337" s="3" t="n">
        <v>0</v>
      </c>
      <c r="H1337" s="24" t="n">
        <v>0.0865239203</v>
      </c>
    </row>
    <row r="1338" customFormat="false" ht="15" hidden="false" customHeight="false" outlineLevel="0" collapsed="false">
      <c r="A1338" s="3" t="n">
        <v>1337</v>
      </c>
      <c r="B1338" s="3" t="n">
        <v>1336</v>
      </c>
      <c r="C1338" s="3" t="s">
        <v>118</v>
      </c>
      <c r="D1338" s="3" t="n">
        <v>0</v>
      </c>
      <c r="E1338" s="3" t="n">
        <v>12</v>
      </c>
      <c r="F1338" s="3" t="n">
        <v>1</v>
      </c>
      <c r="G1338" s="3" t="n">
        <v>1</v>
      </c>
      <c r="H1338" s="24" t="n">
        <v>-0.0511041135</v>
      </c>
    </row>
    <row r="1339" customFormat="false" ht="15" hidden="false" customHeight="false" outlineLevel="0" collapsed="false">
      <c r="A1339" s="3" t="n">
        <v>1338</v>
      </c>
      <c r="B1339" s="3" t="n">
        <v>1337</v>
      </c>
      <c r="C1339" s="3" t="s">
        <v>118</v>
      </c>
      <c r="D1339" s="3" t="n">
        <v>0</v>
      </c>
      <c r="E1339" s="3" t="n">
        <v>12</v>
      </c>
      <c r="F1339" s="3" t="n">
        <v>1</v>
      </c>
      <c r="G1339" s="3" t="n">
        <v>2</v>
      </c>
      <c r="H1339" s="24" t="n">
        <v>-0.0826530978</v>
      </c>
    </row>
    <row r="1340" customFormat="false" ht="15" hidden="false" customHeight="false" outlineLevel="0" collapsed="false">
      <c r="A1340" s="3" t="n">
        <v>1339</v>
      </c>
      <c r="B1340" s="3" t="n">
        <v>1338</v>
      </c>
      <c r="C1340" s="3" t="s">
        <v>118</v>
      </c>
      <c r="D1340" s="3" t="n">
        <v>0</v>
      </c>
      <c r="E1340" s="3" t="n">
        <v>12</v>
      </c>
      <c r="F1340" s="3" t="n">
        <v>2</v>
      </c>
      <c r="G1340" s="3" t="n">
        <v>0</v>
      </c>
      <c r="H1340" s="24" t="n">
        <v>-0.283321947</v>
      </c>
    </row>
    <row r="1341" customFormat="false" ht="15" hidden="false" customHeight="false" outlineLevel="0" collapsed="false">
      <c r="A1341" s="3" t="n">
        <v>1340</v>
      </c>
      <c r="B1341" s="3" t="n">
        <v>1339</v>
      </c>
      <c r="C1341" s="3" t="s">
        <v>118</v>
      </c>
      <c r="D1341" s="3" t="n">
        <v>0</v>
      </c>
      <c r="E1341" s="3" t="n">
        <v>12</v>
      </c>
      <c r="F1341" s="3" t="n">
        <v>2</v>
      </c>
      <c r="G1341" s="3" t="n">
        <v>1</v>
      </c>
      <c r="H1341" s="24" t="n">
        <v>0.136006638</v>
      </c>
    </row>
    <row r="1342" customFormat="false" ht="15" hidden="false" customHeight="false" outlineLevel="0" collapsed="false">
      <c r="A1342" s="3" t="n">
        <v>1341</v>
      </c>
      <c r="B1342" s="3" t="n">
        <v>1340</v>
      </c>
      <c r="C1342" s="3" t="s">
        <v>118</v>
      </c>
      <c r="D1342" s="3" t="n">
        <v>0</v>
      </c>
      <c r="E1342" s="3" t="n">
        <v>12</v>
      </c>
      <c r="F1342" s="3" t="n">
        <v>2</v>
      </c>
      <c r="G1342" s="3" t="n">
        <v>2</v>
      </c>
      <c r="H1342" s="24" t="n">
        <v>0.187190443</v>
      </c>
    </row>
    <row r="1343" customFormat="false" ht="15" hidden="false" customHeight="false" outlineLevel="0" collapsed="false">
      <c r="A1343" s="3" t="n">
        <v>1342</v>
      </c>
      <c r="B1343" s="3" t="n">
        <v>1341</v>
      </c>
      <c r="C1343" s="3" t="s">
        <v>118</v>
      </c>
      <c r="D1343" s="3" t="n">
        <v>0</v>
      </c>
      <c r="E1343" s="3" t="n">
        <v>13</v>
      </c>
      <c r="F1343" s="3" t="n">
        <v>0</v>
      </c>
      <c r="G1343" s="3" t="n">
        <v>0</v>
      </c>
      <c r="H1343" s="24" t="n">
        <v>-0.31471321</v>
      </c>
    </row>
    <row r="1344" customFormat="false" ht="15" hidden="false" customHeight="false" outlineLevel="0" collapsed="false">
      <c r="A1344" s="3" t="n">
        <v>1343</v>
      </c>
      <c r="B1344" s="3" t="n">
        <v>1342</v>
      </c>
      <c r="C1344" s="3" t="s">
        <v>118</v>
      </c>
      <c r="D1344" s="3" t="n">
        <v>0</v>
      </c>
      <c r="E1344" s="3" t="n">
        <v>13</v>
      </c>
      <c r="F1344" s="3" t="n">
        <v>0</v>
      </c>
      <c r="G1344" s="3" t="n">
        <v>1</v>
      </c>
      <c r="H1344" s="24" t="n">
        <v>-0.343143046</v>
      </c>
    </row>
    <row r="1345" customFormat="false" ht="15" hidden="false" customHeight="false" outlineLevel="0" collapsed="false">
      <c r="A1345" s="3" t="n">
        <v>1344</v>
      </c>
      <c r="B1345" s="3" t="n">
        <v>1343</v>
      </c>
      <c r="C1345" s="3" t="s">
        <v>118</v>
      </c>
      <c r="D1345" s="3" t="n">
        <v>0</v>
      </c>
      <c r="E1345" s="3" t="n">
        <v>13</v>
      </c>
      <c r="F1345" s="3" t="n">
        <v>0</v>
      </c>
      <c r="G1345" s="3" t="n">
        <v>2</v>
      </c>
      <c r="H1345" s="24" t="n">
        <v>0.0768886805</v>
      </c>
    </row>
    <row r="1346" customFormat="false" ht="15" hidden="false" customHeight="false" outlineLevel="0" collapsed="false">
      <c r="A1346" s="3" t="n">
        <v>1345</v>
      </c>
      <c r="B1346" s="3" t="n">
        <v>1344</v>
      </c>
      <c r="C1346" s="3" t="s">
        <v>118</v>
      </c>
      <c r="D1346" s="3" t="n">
        <v>0</v>
      </c>
      <c r="E1346" s="3" t="n">
        <v>13</v>
      </c>
      <c r="F1346" s="3" t="n">
        <v>1</v>
      </c>
      <c r="G1346" s="3" t="n">
        <v>0</v>
      </c>
      <c r="H1346" s="24" t="n">
        <v>-0.0773717389</v>
      </c>
    </row>
    <row r="1347" customFormat="false" ht="15" hidden="false" customHeight="false" outlineLevel="0" collapsed="false">
      <c r="A1347" s="3" t="n">
        <v>1346</v>
      </c>
      <c r="B1347" s="3" t="n">
        <v>1345</v>
      </c>
      <c r="C1347" s="3" t="s">
        <v>118</v>
      </c>
      <c r="D1347" s="3" t="n">
        <v>0</v>
      </c>
      <c r="E1347" s="3" t="n">
        <v>13</v>
      </c>
      <c r="F1347" s="3" t="n">
        <v>1</v>
      </c>
      <c r="G1347" s="3" t="n">
        <v>1</v>
      </c>
      <c r="H1347" s="24" t="n">
        <v>-0.0129741421</v>
      </c>
    </row>
    <row r="1348" customFormat="false" ht="15" hidden="false" customHeight="false" outlineLevel="0" collapsed="false">
      <c r="A1348" s="3" t="n">
        <v>1347</v>
      </c>
      <c r="B1348" s="3" t="n">
        <v>1346</v>
      </c>
      <c r="C1348" s="3" t="s">
        <v>118</v>
      </c>
      <c r="D1348" s="3" t="n">
        <v>0</v>
      </c>
      <c r="E1348" s="3" t="n">
        <v>13</v>
      </c>
      <c r="F1348" s="3" t="n">
        <v>1</v>
      </c>
      <c r="G1348" s="3" t="n">
        <v>2</v>
      </c>
      <c r="H1348" s="24" t="n">
        <v>0.163854018</v>
      </c>
    </row>
    <row r="1349" customFormat="false" ht="15" hidden="false" customHeight="false" outlineLevel="0" collapsed="false">
      <c r="A1349" s="3" t="n">
        <v>1348</v>
      </c>
      <c r="B1349" s="3" t="n">
        <v>1347</v>
      </c>
      <c r="C1349" s="3" t="s">
        <v>118</v>
      </c>
      <c r="D1349" s="3" t="n">
        <v>0</v>
      </c>
      <c r="E1349" s="3" t="n">
        <v>13</v>
      </c>
      <c r="F1349" s="3" t="n">
        <v>2</v>
      </c>
      <c r="G1349" s="3" t="n">
        <v>0</v>
      </c>
      <c r="H1349" s="24" t="n">
        <v>0.337699115</v>
      </c>
    </row>
    <row r="1350" customFormat="false" ht="15" hidden="false" customHeight="false" outlineLevel="0" collapsed="false">
      <c r="A1350" s="3" t="n">
        <v>1349</v>
      </c>
      <c r="B1350" s="3" t="n">
        <v>1348</v>
      </c>
      <c r="C1350" s="3" t="s">
        <v>118</v>
      </c>
      <c r="D1350" s="3" t="n">
        <v>0</v>
      </c>
      <c r="E1350" s="3" t="n">
        <v>13</v>
      </c>
      <c r="F1350" s="3" t="n">
        <v>2</v>
      </c>
      <c r="G1350" s="3" t="n">
        <v>1</v>
      </c>
      <c r="H1350" s="24" t="n">
        <v>0.0831161961</v>
      </c>
    </row>
    <row r="1351" customFormat="false" ht="15" hidden="false" customHeight="false" outlineLevel="0" collapsed="false">
      <c r="A1351" s="3" t="n">
        <v>1350</v>
      </c>
      <c r="B1351" s="3" t="n">
        <v>1349</v>
      </c>
      <c r="C1351" s="3" t="s">
        <v>118</v>
      </c>
      <c r="D1351" s="3" t="n">
        <v>0</v>
      </c>
      <c r="E1351" s="3" t="n">
        <v>13</v>
      </c>
      <c r="F1351" s="3" t="n">
        <v>2</v>
      </c>
      <c r="G1351" s="3" t="n">
        <v>2</v>
      </c>
      <c r="H1351" s="24" t="n">
        <v>0.190120399</v>
      </c>
    </row>
    <row r="1352" customFormat="false" ht="15" hidden="false" customHeight="false" outlineLevel="0" collapsed="false">
      <c r="A1352" s="3" t="n">
        <v>1351</v>
      </c>
      <c r="B1352" s="3" t="n">
        <v>1350</v>
      </c>
      <c r="C1352" s="3" t="s">
        <v>118</v>
      </c>
      <c r="D1352" s="3" t="n">
        <v>0</v>
      </c>
      <c r="E1352" s="3" t="n">
        <v>14</v>
      </c>
      <c r="F1352" s="3" t="n">
        <v>0</v>
      </c>
      <c r="G1352" s="3" t="n">
        <v>0</v>
      </c>
      <c r="H1352" s="24" t="n">
        <v>-0.130119532</v>
      </c>
    </row>
    <row r="1353" customFormat="false" ht="15" hidden="false" customHeight="false" outlineLevel="0" collapsed="false">
      <c r="A1353" s="3" t="n">
        <v>1352</v>
      </c>
      <c r="B1353" s="3" t="n">
        <v>1351</v>
      </c>
      <c r="C1353" s="3" t="s">
        <v>118</v>
      </c>
      <c r="D1353" s="3" t="n">
        <v>0</v>
      </c>
      <c r="E1353" s="3" t="n">
        <v>14</v>
      </c>
      <c r="F1353" s="3" t="n">
        <v>0</v>
      </c>
      <c r="G1353" s="3" t="n">
        <v>1</v>
      </c>
      <c r="H1353" s="24" t="n">
        <v>0.144597754</v>
      </c>
    </row>
    <row r="1354" customFormat="false" ht="15" hidden="false" customHeight="false" outlineLevel="0" collapsed="false">
      <c r="A1354" s="3" t="n">
        <v>1353</v>
      </c>
      <c r="B1354" s="3" t="n">
        <v>1352</v>
      </c>
      <c r="C1354" s="3" t="s">
        <v>118</v>
      </c>
      <c r="D1354" s="3" t="n">
        <v>0</v>
      </c>
      <c r="E1354" s="3" t="n">
        <v>14</v>
      </c>
      <c r="F1354" s="3" t="n">
        <v>0</v>
      </c>
      <c r="G1354" s="3" t="n">
        <v>2</v>
      </c>
      <c r="H1354" s="24" t="n">
        <v>0.138087422</v>
      </c>
    </row>
    <row r="1355" customFormat="false" ht="15" hidden="false" customHeight="false" outlineLevel="0" collapsed="false">
      <c r="A1355" s="3" t="n">
        <v>1354</v>
      </c>
      <c r="B1355" s="3" t="n">
        <v>1353</v>
      </c>
      <c r="C1355" s="3" t="s">
        <v>118</v>
      </c>
      <c r="D1355" s="3" t="n">
        <v>0</v>
      </c>
      <c r="E1355" s="3" t="n">
        <v>14</v>
      </c>
      <c r="F1355" s="3" t="n">
        <v>1</v>
      </c>
      <c r="G1355" s="3" t="n">
        <v>0</v>
      </c>
      <c r="H1355" s="24" t="n">
        <v>0.0834346563</v>
      </c>
    </row>
    <row r="1356" customFormat="false" ht="15" hidden="false" customHeight="false" outlineLevel="0" collapsed="false">
      <c r="A1356" s="3" t="n">
        <v>1355</v>
      </c>
      <c r="B1356" s="3" t="n">
        <v>1354</v>
      </c>
      <c r="C1356" s="3" t="s">
        <v>118</v>
      </c>
      <c r="D1356" s="3" t="n">
        <v>0</v>
      </c>
      <c r="E1356" s="3" t="n">
        <v>14</v>
      </c>
      <c r="F1356" s="3" t="n">
        <v>1</v>
      </c>
      <c r="G1356" s="3" t="n">
        <v>1</v>
      </c>
      <c r="H1356" s="24" t="n">
        <v>0.291918486</v>
      </c>
    </row>
    <row r="1357" customFormat="false" ht="15" hidden="false" customHeight="false" outlineLevel="0" collapsed="false">
      <c r="A1357" s="3" t="n">
        <v>1356</v>
      </c>
      <c r="B1357" s="3" t="n">
        <v>1355</v>
      </c>
      <c r="C1357" s="3" t="s">
        <v>118</v>
      </c>
      <c r="D1357" s="3" t="n">
        <v>0</v>
      </c>
      <c r="E1357" s="3" t="n">
        <v>14</v>
      </c>
      <c r="F1357" s="3" t="n">
        <v>1</v>
      </c>
      <c r="G1357" s="3" t="n">
        <v>2</v>
      </c>
      <c r="H1357" s="24" t="n">
        <v>0.00340191531</v>
      </c>
    </row>
    <row r="1358" customFormat="false" ht="15" hidden="false" customHeight="false" outlineLevel="0" collapsed="false">
      <c r="A1358" s="3" t="n">
        <v>1357</v>
      </c>
      <c r="B1358" s="3" t="n">
        <v>1356</v>
      </c>
      <c r="C1358" s="3" t="s">
        <v>118</v>
      </c>
      <c r="D1358" s="3" t="n">
        <v>0</v>
      </c>
      <c r="E1358" s="3" t="n">
        <v>14</v>
      </c>
      <c r="F1358" s="3" t="n">
        <v>2</v>
      </c>
      <c r="G1358" s="3" t="n">
        <v>0</v>
      </c>
      <c r="H1358" s="24" t="n">
        <v>0.240180418</v>
      </c>
    </row>
    <row r="1359" customFormat="false" ht="15" hidden="false" customHeight="false" outlineLevel="0" collapsed="false">
      <c r="A1359" s="3" t="n">
        <v>1358</v>
      </c>
      <c r="B1359" s="3" t="n">
        <v>1357</v>
      </c>
      <c r="C1359" s="3" t="s">
        <v>118</v>
      </c>
      <c r="D1359" s="3" t="n">
        <v>0</v>
      </c>
      <c r="E1359" s="3" t="n">
        <v>14</v>
      </c>
      <c r="F1359" s="3" t="n">
        <v>2</v>
      </c>
      <c r="G1359" s="3" t="n">
        <v>1</v>
      </c>
      <c r="H1359" s="24" t="n">
        <v>-0.243710443</v>
      </c>
    </row>
    <row r="1360" customFormat="false" ht="15" hidden="false" customHeight="false" outlineLevel="0" collapsed="false">
      <c r="A1360" s="3" t="n">
        <v>1359</v>
      </c>
      <c r="B1360" s="3" t="n">
        <v>1358</v>
      </c>
      <c r="C1360" s="3" t="s">
        <v>118</v>
      </c>
      <c r="D1360" s="3" t="n">
        <v>0</v>
      </c>
      <c r="E1360" s="3" t="n">
        <v>14</v>
      </c>
      <c r="F1360" s="3" t="n">
        <v>2</v>
      </c>
      <c r="G1360" s="3" t="n">
        <v>2</v>
      </c>
      <c r="H1360" s="24" t="n">
        <v>-0.0349528566</v>
      </c>
    </row>
    <row r="1361" customFormat="false" ht="15" hidden="false" customHeight="false" outlineLevel="0" collapsed="false">
      <c r="A1361" s="3" t="n">
        <v>1360</v>
      </c>
      <c r="B1361" s="3" t="n">
        <v>1359</v>
      </c>
      <c r="C1361" s="3" t="s">
        <v>118</v>
      </c>
      <c r="D1361" s="3" t="n">
        <v>0</v>
      </c>
      <c r="E1361" s="3" t="n">
        <v>15</v>
      </c>
      <c r="F1361" s="3" t="n">
        <v>0</v>
      </c>
      <c r="G1361" s="3" t="n">
        <v>0</v>
      </c>
      <c r="H1361" s="24" t="n">
        <v>-0.190833911</v>
      </c>
    </row>
    <row r="1362" customFormat="false" ht="15" hidden="false" customHeight="false" outlineLevel="0" collapsed="false">
      <c r="A1362" s="3" t="n">
        <v>1361</v>
      </c>
      <c r="B1362" s="3" t="n">
        <v>1360</v>
      </c>
      <c r="C1362" s="3" t="s">
        <v>118</v>
      </c>
      <c r="D1362" s="3" t="n">
        <v>0</v>
      </c>
      <c r="E1362" s="3" t="n">
        <v>15</v>
      </c>
      <c r="F1362" s="3" t="n">
        <v>0</v>
      </c>
      <c r="G1362" s="3" t="n">
        <v>1</v>
      </c>
      <c r="H1362" s="24" t="n">
        <v>-0.0446915329</v>
      </c>
    </row>
    <row r="1363" customFormat="false" ht="15" hidden="false" customHeight="false" outlineLevel="0" collapsed="false">
      <c r="A1363" s="3" t="n">
        <v>1362</v>
      </c>
      <c r="B1363" s="3" t="n">
        <v>1361</v>
      </c>
      <c r="C1363" s="3" t="s">
        <v>118</v>
      </c>
      <c r="D1363" s="3" t="n">
        <v>0</v>
      </c>
      <c r="E1363" s="3" t="n">
        <v>15</v>
      </c>
      <c r="F1363" s="3" t="n">
        <v>0</v>
      </c>
      <c r="G1363" s="3" t="n">
        <v>2</v>
      </c>
      <c r="H1363" s="24" t="n">
        <v>0.104721755</v>
      </c>
    </row>
    <row r="1364" customFormat="false" ht="15" hidden="false" customHeight="false" outlineLevel="0" collapsed="false">
      <c r="A1364" s="3" t="n">
        <v>1363</v>
      </c>
      <c r="B1364" s="3" t="n">
        <v>1362</v>
      </c>
      <c r="C1364" s="3" t="s">
        <v>118</v>
      </c>
      <c r="D1364" s="3" t="n">
        <v>0</v>
      </c>
      <c r="E1364" s="3" t="n">
        <v>15</v>
      </c>
      <c r="F1364" s="3" t="n">
        <v>1</v>
      </c>
      <c r="G1364" s="3" t="n">
        <v>0</v>
      </c>
      <c r="H1364" s="24" t="n">
        <v>0.108399175</v>
      </c>
    </row>
    <row r="1365" customFormat="false" ht="15" hidden="false" customHeight="false" outlineLevel="0" collapsed="false">
      <c r="A1365" s="3" t="n">
        <v>1364</v>
      </c>
      <c r="B1365" s="3" t="n">
        <v>1363</v>
      </c>
      <c r="C1365" s="3" t="s">
        <v>118</v>
      </c>
      <c r="D1365" s="3" t="n">
        <v>0</v>
      </c>
      <c r="E1365" s="3" t="n">
        <v>15</v>
      </c>
      <c r="F1365" s="3" t="n">
        <v>1</v>
      </c>
      <c r="G1365" s="3" t="n">
        <v>1</v>
      </c>
      <c r="H1365" s="24" t="n">
        <v>-0.00071386015</v>
      </c>
    </row>
    <row r="1366" customFormat="false" ht="15" hidden="false" customHeight="false" outlineLevel="0" collapsed="false">
      <c r="A1366" s="3" t="n">
        <v>1365</v>
      </c>
      <c r="B1366" s="3" t="n">
        <v>1364</v>
      </c>
      <c r="C1366" s="3" t="s">
        <v>118</v>
      </c>
      <c r="D1366" s="3" t="n">
        <v>0</v>
      </c>
      <c r="E1366" s="3" t="n">
        <v>15</v>
      </c>
      <c r="F1366" s="3" t="n">
        <v>1</v>
      </c>
      <c r="G1366" s="3" t="n">
        <v>2</v>
      </c>
      <c r="H1366" s="24" t="n">
        <v>-0.108581141</v>
      </c>
    </row>
    <row r="1367" customFormat="false" ht="15" hidden="false" customHeight="false" outlineLevel="0" collapsed="false">
      <c r="A1367" s="3" t="n">
        <v>1366</v>
      </c>
      <c r="B1367" s="3" t="n">
        <v>1365</v>
      </c>
      <c r="C1367" s="3" t="s">
        <v>118</v>
      </c>
      <c r="D1367" s="3" t="n">
        <v>0</v>
      </c>
      <c r="E1367" s="3" t="n">
        <v>15</v>
      </c>
      <c r="F1367" s="3" t="n">
        <v>2</v>
      </c>
      <c r="G1367" s="3" t="n">
        <v>0</v>
      </c>
      <c r="H1367" s="24" t="n">
        <v>0.111431837</v>
      </c>
    </row>
    <row r="1368" customFormat="false" ht="15" hidden="false" customHeight="false" outlineLevel="0" collapsed="false">
      <c r="A1368" s="3" t="n">
        <v>1367</v>
      </c>
      <c r="B1368" s="3" t="n">
        <v>1366</v>
      </c>
      <c r="C1368" s="3" t="s">
        <v>118</v>
      </c>
      <c r="D1368" s="3" t="n">
        <v>0</v>
      </c>
      <c r="E1368" s="3" t="n">
        <v>15</v>
      </c>
      <c r="F1368" s="3" t="n">
        <v>2</v>
      </c>
      <c r="G1368" s="3" t="n">
        <v>1</v>
      </c>
      <c r="H1368" s="24" t="n">
        <v>-0.124323748</v>
      </c>
    </row>
    <row r="1369" customFormat="false" ht="15" hidden="false" customHeight="false" outlineLevel="0" collapsed="false">
      <c r="A1369" s="3" t="n">
        <v>1368</v>
      </c>
      <c r="B1369" s="3" t="n">
        <v>1367</v>
      </c>
      <c r="C1369" s="3" t="s">
        <v>118</v>
      </c>
      <c r="D1369" s="3" t="n">
        <v>0</v>
      </c>
      <c r="E1369" s="3" t="n">
        <v>15</v>
      </c>
      <c r="F1369" s="3" t="n">
        <v>2</v>
      </c>
      <c r="G1369" s="3" t="n">
        <v>2</v>
      </c>
      <c r="H1369" s="24" t="n">
        <v>-0.152655676</v>
      </c>
    </row>
    <row r="1370" customFormat="false" ht="15" hidden="false" customHeight="false" outlineLevel="0" collapsed="false">
      <c r="A1370" s="3" t="n">
        <v>1369</v>
      </c>
      <c r="B1370" s="3" t="n">
        <v>1368</v>
      </c>
      <c r="C1370" s="3" t="s">
        <v>118</v>
      </c>
      <c r="D1370" s="3" t="n">
        <v>1</v>
      </c>
      <c r="E1370" s="3" t="n">
        <v>0</v>
      </c>
      <c r="F1370" s="3" t="n">
        <v>0</v>
      </c>
      <c r="G1370" s="3" t="n">
        <v>0</v>
      </c>
      <c r="H1370" s="24" t="n">
        <v>-0.0836255997</v>
      </c>
    </row>
    <row r="1371" customFormat="false" ht="15" hidden="false" customHeight="false" outlineLevel="0" collapsed="false">
      <c r="A1371" s="3" t="n">
        <v>1370</v>
      </c>
      <c r="B1371" s="3" t="n">
        <v>1369</v>
      </c>
      <c r="C1371" s="3" t="s">
        <v>118</v>
      </c>
      <c r="D1371" s="3" t="n">
        <v>1</v>
      </c>
      <c r="E1371" s="3" t="n">
        <v>0</v>
      </c>
      <c r="F1371" s="3" t="n">
        <v>0</v>
      </c>
      <c r="G1371" s="3" t="n">
        <v>1</v>
      </c>
      <c r="H1371" s="24" t="n">
        <v>0.158959135</v>
      </c>
    </row>
    <row r="1372" customFormat="false" ht="15" hidden="false" customHeight="false" outlineLevel="0" collapsed="false">
      <c r="A1372" s="3" t="n">
        <v>1371</v>
      </c>
      <c r="B1372" s="3" t="n">
        <v>1370</v>
      </c>
      <c r="C1372" s="3" t="s">
        <v>118</v>
      </c>
      <c r="D1372" s="3" t="n">
        <v>1</v>
      </c>
      <c r="E1372" s="3" t="n">
        <v>0</v>
      </c>
      <c r="F1372" s="3" t="n">
        <v>0</v>
      </c>
      <c r="G1372" s="3" t="n">
        <v>2</v>
      </c>
      <c r="H1372" s="24" t="n">
        <v>-0.112220973</v>
      </c>
    </row>
    <row r="1373" customFormat="false" ht="15" hidden="false" customHeight="false" outlineLevel="0" collapsed="false">
      <c r="A1373" s="3" t="n">
        <v>1372</v>
      </c>
      <c r="B1373" s="3" t="n">
        <v>1371</v>
      </c>
      <c r="C1373" s="3" t="s">
        <v>118</v>
      </c>
      <c r="D1373" s="3" t="n">
        <v>1</v>
      </c>
      <c r="E1373" s="3" t="n">
        <v>0</v>
      </c>
      <c r="F1373" s="3" t="n">
        <v>1</v>
      </c>
      <c r="G1373" s="3" t="n">
        <v>0</v>
      </c>
      <c r="H1373" s="24" t="n">
        <v>-0.0438230671</v>
      </c>
    </row>
    <row r="1374" customFormat="false" ht="15" hidden="false" customHeight="false" outlineLevel="0" collapsed="false">
      <c r="A1374" s="3" t="n">
        <v>1373</v>
      </c>
      <c r="B1374" s="3" t="n">
        <v>1372</v>
      </c>
      <c r="C1374" s="3" t="s">
        <v>118</v>
      </c>
      <c r="D1374" s="3" t="n">
        <v>1</v>
      </c>
      <c r="E1374" s="3" t="n">
        <v>0</v>
      </c>
      <c r="F1374" s="3" t="n">
        <v>1</v>
      </c>
      <c r="G1374" s="3" t="n">
        <v>1</v>
      </c>
      <c r="H1374" s="24" t="n">
        <v>-0.0153796384</v>
      </c>
    </row>
    <row r="1375" customFormat="false" ht="15" hidden="false" customHeight="false" outlineLevel="0" collapsed="false">
      <c r="A1375" s="3" t="n">
        <v>1374</v>
      </c>
      <c r="B1375" s="3" t="n">
        <v>1373</v>
      </c>
      <c r="C1375" s="3" t="s">
        <v>118</v>
      </c>
      <c r="D1375" s="3" t="n">
        <v>1</v>
      </c>
      <c r="E1375" s="3" t="n">
        <v>0</v>
      </c>
      <c r="F1375" s="3" t="n">
        <v>1</v>
      </c>
      <c r="G1375" s="3" t="n">
        <v>2</v>
      </c>
      <c r="H1375" s="24" t="n">
        <v>0.0279224813</v>
      </c>
    </row>
    <row r="1376" customFormat="false" ht="15" hidden="false" customHeight="false" outlineLevel="0" collapsed="false">
      <c r="A1376" s="3" t="n">
        <v>1375</v>
      </c>
      <c r="B1376" s="3" t="n">
        <v>1374</v>
      </c>
      <c r="C1376" s="3" t="s">
        <v>118</v>
      </c>
      <c r="D1376" s="3" t="n">
        <v>1</v>
      </c>
      <c r="E1376" s="3" t="n">
        <v>0</v>
      </c>
      <c r="F1376" s="3" t="n">
        <v>2</v>
      </c>
      <c r="G1376" s="3" t="n">
        <v>0</v>
      </c>
      <c r="H1376" s="24" t="n">
        <v>-0.00974237174</v>
      </c>
    </row>
    <row r="1377" customFormat="false" ht="15" hidden="false" customHeight="false" outlineLevel="0" collapsed="false">
      <c r="A1377" s="3" t="n">
        <v>1376</v>
      </c>
      <c r="B1377" s="3" t="n">
        <v>1375</v>
      </c>
      <c r="C1377" s="3" t="s">
        <v>118</v>
      </c>
      <c r="D1377" s="3" t="n">
        <v>1</v>
      </c>
      <c r="E1377" s="3" t="n">
        <v>0</v>
      </c>
      <c r="F1377" s="3" t="n">
        <v>2</v>
      </c>
      <c r="G1377" s="3" t="n">
        <v>1</v>
      </c>
      <c r="H1377" s="24" t="n">
        <v>-0.0425198115</v>
      </c>
    </row>
    <row r="1378" customFormat="false" ht="15" hidden="false" customHeight="false" outlineLevel="0" collapsed="false">
      <c r="A1378" s="3" t="n">
        <v>1377</v>
      </c>
      <c r="B1378" s="3" t="n">
        <v>1376</v>
      </c>
      <c r="C1378" s="3" t="s">
        <v>118</v>
      </c>
      <c r="D1378" s="3" t="n">
        <v>1</v>
      </c>
      <c r="E1378" s="3" t="n">
        <v>0</v>
      </c>
      <c r="F1378" s="3" t="n">
        <v>2</v>
      </c>
      <c r="G1378" s="3" t="n">
        <v>2</v>
      </c>
      <c r="H1378" s="24" t="n">
        <v>-0.0816630796</v>
      </c>
    </row>
    <row r="1379" customFormat="false" ht="15" hidden="false" customHeight="false" outlineLevel="0" collapsed="false">
      <c r="A1379" s="3" t="n">
        <v>1378</v>
      </c>
      <c r="B1379" s="3" t="n">
        <v>1377</v>
      </c>
      <c r="C1379" s="3" t="s">
        <v>118</v>
      </c>
      <c r="D1379" s="3" t="n">
        <v>1</v>
      </c>
      <c r="E1379" s="3" t="n">
        <v>1</v>
      </c>
      <c r="F1379" s="3" t="n">
        <v>0</v>
      </c>
      <c r="G1379" s="3" t="n">
        <v>0</v>
      </c>
      <c r="H1379" s="24" t="n">
        <v>-0.257350683</v>
      </c>
    </row>
    <row r="1380" customFormat="false" ht="15" hidden="false" customHeight="false" outlineLevel="0" collapsed="false">
      <c r="A1380" s="3" t="n">
        <v>1379</v>
      </c>
      <c r="B1380" s="3" t="n">
        <v>1378</v>
      </c>
      <c r="C1380" s="3" t="s">
        <v>118</v>
      </c>
      <c r="D1380" s="3" t="n">
        <v>1</v>
      </c>
      <c r="E1380" s="3" t="n">
        <v>1</v>
      </c>
      <c r="F1380" s="3" t="n">
        <v>0</v>
      </c>
      <c r="G1380" s="3" t="n">
        <v>1</v>
      </c>
      <c r="H1380" s="24" t="n">
        <v>-0.0905885771</v>
      </c>
    </row>
    <row r="1381" customFormat="false" ht="15" hidden="false" customHeight="false" outlineLevel="0" collapsed="false">
      <c r="A1381" s="3" t="n">
        <v>1380</v>
      </c>
      <c r="B1381" s="3" t="n">
        <v>1379</v>
      </c>
      <c r="C1381" s="3" t="s">
        <v>118</v>
      </c>
      <c r="D1381" s="3" t="n">
        <v>1</v>
      </c>
      <c r="E1381" s="3" t="n">
        <v>1</v>
      </c>
      <c r="F1381" s="3" t="n">
        <v>0</v>
      </c>
      <c r="G1381" s="3" t="n">
        <v>2</v>
      </c>
      <c r="H1381" s="24" t="n">
        <v>0.244858563</v>
      </c>
    </row>
    <row r="1382" customFormat="false" ht="15" hidden="false" customHeight="false" outlineLevel="0" collapsed="false">
      <c r="A1382" s="3" t="n">
        <v>1381</v>
      </c>
      <c r="B1382" s="3" t="n">
        <v>1380</v>
      </c>
      <c r="C1382" s="3" t="s">
        <v>118</v>
      </c>
      <c r="D1382" s="3" t="n">
        <v>1</v>
      </c>
      <c r="E1382" s="3" t="n">
        <v>1</v>
      </c>
      <c r="F1382" s="3" t="n">
        <v>1</v>
      </c>
      <c r="G1382" s="3" t="n">
        <v>0</v>
      </c>
      <c r="H1382" s="24" t="n">
        <v>0.0203224514</v>
      </c>
    </row>
    <row r="1383" customFormat="false" ht="15" hidden="false" customHeight="false" outlineLevel="0" collapsed="false">
      <c r="A1383" s="3" t="n">
        <v>1382</v>
      </c>
      <c r="B1383" s="3" t="n">
        <v>1381</v>
      </c>
      <c r="C1383" s="3" t="s">
        <v>118</v>
      </c>
      <c r="D1383" s="3" t="n">
        <v>1</v>
      </c>
      <c r="E1383" s="3" t="n">
        <v>1</v>
      </c>
      <c r="F1383" s="3" t="n">
        <v>1</v>
      </c>
      <c r="G1383" s="3" t="n">
        <v>1</v>
      </c>
      <c r="H1383" s="24" t="n">
        <v>-0.234111592</v>
      </c>
    </row>
    <row r="1384" customFormat="false" ht="15" hidden="false" customHeight="false" outlineLevel="0" collapsed="false">
      <c r="A1384" s="3" t="n">
        <v>1383</v>
      </c>
      <c r="B1384" s="3" t="n">
        <v>1382</v>
      </c>
      <c r="C1384" s="3" t="s">
        <v>118</v>
      </c>
      <c r="D1384" s="3" t="n">
        <v>1</v>
      </c>
      <c r="E1384" s="3" t="n">
        <v>1</v>
      </c>
      <c r="F1384" s="3" t="n">
        <v>1</v>
      </c>
      <c r="G1384" s="3" t="n">
        <v>2</v>
      </c>
      <c r="H1384" s="24" t="n">
        <v>-0.0114410166</v>
      </c>
    </row>
    <row r="1385" customFormat="false" ht="15" hidden="false" customHeight="false" outlineLevel="0" collapsed="false">
      <c r="A1385" s="3" t="n">
        <v>1384</v>
      </c>
      <c r="B1385" s="3" t="n">
        <v>1383</v>
      </c>
      <c r="C1385" s="3" t="s">
        <v>118</v>
      </c>
      <c r="D1385" s="3" t="n">
        <v>1</v>
      </c>
      <c r="E1385" s="3" t="n">
        <v>1</v>
      </c>
      <c r="F1385" s="3" t="n">
        <v>2</v>
      </c>
      <c r="G1385" s="3" t="n">
        <v>0</v>
      </c>
      <c r="H1385" s="24" t="n">
        <v>-0.0514843352</v>
      </c>
    </row>
    <row r="1386" customFormat="false" ht="15" hidden="false" customHeight="false" outlineLevel="0" collapsed="false">
      <c r="A1386" s="3" t="n">
        <v>1385</v>
      </c>
      <c r="B1386" s="3" t="n">
        <v>1384</v>
      </c>
      <c r="C1386" s="3" t="s">
        <v>118</v>
      </c>
      <c r="D1386" s="3" t="n">
        <v>1</v>
      </c>
      <c r="E1386" s="3" t="n">
        <v>1</v>
      </c>
      <c r="F1386" s="3" t="n">
        <v>2</v>
      </c>
      <c r="G1386" s="3" t="n">
        <v>1</v>
      </c>
      <c r="H1386" s="24" t="n">
        <v>0.149925306</v>
      </c>
    </row>
    <row r="1387" customFormat="false" ht="15" hidden="false" customHeight="false" outlineLevel="0" collapsed="false">
      <c r="A1387" s="3" t="n">
        <v>1386</v>
      </c>
      <c r="B1387" s="3" t="n">
        <v>1385</v>
      </c>
      <c r="C1387" s="3" t="s">
        <v>118</v>
      </c>
      <c r="D1387" s="3" t="n">
        <v>1</v>
      </c>
      <c r="E1387" s="3" t="n">
        <v>1</v>
      </c>
      <c r="F1387" s="3" t="n">
        <v>2</v>
      </c>
      <c r="G1387" s="3" t="n">
        <v>2</v>
      </c>
      <c r="H1387" s="24" t="n">
        <v>0.132772505</v>
      </c>
    </row>
    <row r="1388" customFormat="false" ht="15" hidden="false" customHeight="false" outlineLevel="0" collapsed="false">
      <c r="A1388" s="3" t="n">
        <v>1387</v>
      </c>
      <c r="B1388" s="3" t="n">
        <v>1386</v>
      </c>
      <c r="C1388" s="3" t="s">
        <v>118</v>
      </c>
      <c r="D1388" s="3" t="n">
        <v>1</v>
      </c>
      <c r="E1388" s="3" t="n">
        <v>2</v>
      </c>
      <c r="F1388" s="3" t="n">
        <v>0</v>
      </c>
      <c r="G1388" s="3" t="n">
        <v>0</v>
      </c>
      <c r="H1388" s="24" t="n">
        <v>0.0695186481</v>
      </c>
    </row>
    <row r="1389" customFormat="false" ht="15" hidden="false" customHeight="false" outlineLevel="0" collapsed="false">
      <c r="A1389" s="3" t="n">
        <v>1388</v>
      </c>
      <c r="B1389" s="3" t="n">
        <v>1387</v>
      </c>
      <c r="C1389" s="3" t="s">
        <v>118</v>
      </c>
      <c r="D1389" s="3" t="n">
        <v>1</v>
      </c>
      <c r="E1389" s="3" t="n">
        <v>2</v>
      </c>
      <c r="F1389" s="3" t="n">
        <v>0</v>
      </c>
      <c r="G1389" s="3" t="n">
        <v>1</v>
      </c>
      <c r="H1389" s="24" t="n">
        <v>0.108232282</v>
      </c>
    </row>
    <row r="1390" customFormat="false" ht="15" hidden="false" customHeight="false" outlineLevel="0" collapsed="false">
      <c r="A1390" s="3" t="n">
        <v>1389</v>
      </c>
      <c r="B1390" s="3" t="n">
        <v>1388</v>
      </c>
      <c r="C1390" s="3" t="s">
        <v>118</v>
      </c>
      <c r="D1390" s="3" t="n">
        <v>1</v>
      </c>
      <c r="E1390" s="3" t="n">
        <v>2</v>
      </c>
      <c r="F1390" s="3" t="n">
        <v>0</v>
      </c>
      <c r="G1390" s="3" t="n">
        <v>2</v>
      </c>
      <c r="H1390" s="24" t="n">
        <v>-0.15273425</v>
      </c>
    </row>
    <row r="1391" customFormat="false" ht="15" hidden="false" customHeight="false" outlineLevel="0" collapsed="false">
      <c r="A1391" s="3" t="n">
        <v>1390</v>
      </c>
      <c r="B1391" s="3" t="n">
        <v>1389</v>
      </c>
      <c r="C1391" s="3" t="s">
        <v>118</v>
      </c>
      <c r="D1391" s="3" t="n">
        <v>1</v>
      </c>
      <c r="E1391" s="3" t="n">
        <v>2</v>
      </c>
      <c r="F1391" s="3" t="n">
        <v>1</v>
      </c>
      <c r="G1391" s="3" t="n">
        <v>0</v>
      </c>
      <c r="H1391" s="24" t="n">
        <v>-0.0128347408</v>
      </c>
    </row>
    <row r="1392" customFormat="false" ht="15" hidden="false" customHeight="false" outlineLevel="0" collapsed="false">
      <c r="A1392" s="3" t="n">
        <v>1391</v>
      </c>
      <c r="B1392" s="3" t="n">
        <v>1390</v>
      </c>
      <c r="C1392" s="3" t="s">
        <v>118</v>
      </c>
      <c r="D1392" s="3" t="n">
        <v>1</v>
      </c>
      <c r="E1392" s="3" t="n">
        <v>2</v>
      </c>
      <c r="F1392" s="3" t="n">
        <v>1</v>
      </c>
      <c r="G1392" s="3" t="n">
        <v>1</v>
      </c>
      <c r="H1392" s="24" t="n">
        <v>-0.226701543</v>
      </c>
    </row>
    <row r="1393" customFormat="false" ht="15" hidden="false" customHeight="false" outlineLevel="0" collapsed="false">
      <c r="A1393" s="3" t="n">
        <v>1392</v>
      </c>
      <c r="B1393" s="3" t="n">
        <v>1391</v>
      </c>
      <c r="C1393" s="3" t="s">
        <v>118</v>
      </c>
      <c r="D1393" s="3" t="n">
        <v>1</v>
      </c>
      <c r="E1393" s="3" t="n">
        <v>2</v>
      </c>
      <c r="F1393" s="3" t="n">
        <v>1</v>
      </c>
      <c r="G1393" s="3" t="n">
        <v>2</v>
      </c>
      <c r="H1393" s="24" t="n">
        <v>-0.0833693072</v>
      </c>
    </row>
    <row r="1394" customFormat="false" ht="15" hidden="false" customHeight="false" outlineLevel="0" collapsed="false">
      <c r="A1394" s="3" t="n">
        <v>1393</v>
      </c>
      <c r="B1394" s="3" t="n">
        <v>1392</v>
      </c>
      <c r="C1394" s="3" t="s">
        <v>118</v>
      </c>
      <c r="D1394" s="3" t="n">
        <v>1</v>
      </c>
      <c r="E1394" s="3" t="n">
        <v>2</v>
      </c>
      <c r="F1394" s="3" t="n">
        <v>2</v>
      </c>
      <c r="G1394" s="3" t="n">
        <v>0</v>
      </c>
      <c r="H1394" s="24" t="n">
        <v>-0.164754853</v>
      </c>
    </row>
    <row r="1395" customFormat="false" ht="15" hidden="false" customHeight="false" outlineLevel="0" collapsed="false">
      <c r="A1395" s="3" t="n">
        <v>1394</v>
      </c>
      <c r="B1395" s="3" t="n">
        <v>1393</v>
      </c>
      <c r="C1395" s="3" t="s">
        <v>118</v>
      </c>
      <c r="D1395" s="3" t="n">
        <v>1</v>
      </c>
      <c r="E1395" s="3" t="n">
        <v>2</v>
      </c>
      <c r="F1395" s="3" t="n">
        <v>2</v>
      </c>
      <c r="G1395" s="3" t="n">
        <v>1</v>
      </c>
      <c r="H1395" s="24" t="n">
        <v>-0.166374072</v>
      </c>
    </row>
    <row r="1396" customFormat="false" ht="15" hidden="false" customHeight="false" outlineLevel="0" collapsed="false">
      <c r="A1396" s="3" t="n">
        <v>1395</v>
      </c>
      <c r="B1396" s="3" t="n">
        <v>1394</v>
      </c>
      <c r="C1396" s="3" t="s">
        <v>118</v>
      </c>
      <c r="D1396" s="3" t="n">
        <v>1</v>
      </c>
      <c r="E1396" s="3" t="n">
        <v>2</v>
      </c>
      <c r="F1396" s="3" t="n">
        <v>2</v>
      </c>
      <c r="G1396" s="3" t="n">
        <v>2</v>
      </c>
      <c r="H1396" s="24" t="n">
        <v>-0.281910777</v>
      </c>
    </row>
    <row r="1397" customFormat="false" ht="15" hidden="false" customHeight="false" outlineLevel="0" collapsed="false">
      <c r="A1397" s="3" t="n">
        <v>1396</v>
      </c>
      <c r="B1397" s="3" t="n">
        <v>1395</v>
      </c>
      <c r="C1397" s="3" t="s">
        <v>118</v>
      </c>
      <c r="D1397" s="3" t="n">
        <v>1</v>
      </c>
      <c r="E1397" s="3" t="n">
        <v>3</v>
      </c>
      <c r="F1397" s="3" t="n">
        <v>0</v>
      </c>
      <c r="G1397" s="3" t="n">
        <v>0</v>
      </c>
      <c r="H1397" s="24" t="n">
        <v>0.234145761</v>
      </c>
    </row>
    <row r="1398" customFormat="false" ht="15" hidden="false" customHeight="false" outlineLevel="0" collapsed="false">
      <c r="A1398" s="3" t="n">
        <v>1397</v>
      </c>
      <c r="B1398" s="3" t="n">
        <v>1396</v>
      </c>
      <c r="C1398" s="3" t="s">
        <v>118</v>
      </c>
      <c r="D1398" s="3" t="n">
        <v>1</v>
      </c>
      <c r="E1398" s="3" t="n">
        <v>3</v>
      </c>
      <c r="F1398" s="3" t="n">
        <v>0</v>
      </c>
      <c r="G1398" s="3" t="n">
        <v>1</v>
      </c>
      <c r="H1398" s="24" t="n">
        <v>0.0810500532</v>
      </c>
    </row>
    <row r="1399" customFormat="false" ht="15" hidden="false" customHeight="false" outlineLevel="0" collapsed="false">
      <c r="A1399" s="3" t="n">
        <v>1398</v>
      </c>
      <c r="B1399" s="3" t="n">
        <v>1397</v>
      </c>
      <c r="C1399" s="3" t="s">
        <v>118</v>
      </c>
      <c r="D1399" s="3" t="n">
        <v>1</v>
      </c>
      <c r="E1399" s="3" t="n">
        <v>3</v>
      </c>
      <c r="F1399" s="3" t="n">
        <v>0</v>
      </c>
      <c r="G1399" s="3" t="n">
        <v>2</v>
      </c>
      <c r="H1399" s="24" t="n">
        <v>0.0371248424</v>
      </c>
    </row>
    <row r="1400" customFormat="false" ht="15" hidden="false" customHeight="false" outlineLevel="0" collapsed="false">
      <c r="A1400" s="3" t="n">
        <v>1399</v>
      </c>
      <c r="B1400" s="3" t="n">
        <v>1398</v>
      </c>
      <c r="C1400" s="3" t="s">
        <v>118</v>
      </c>
      <c r="D1400" s="3" t="n">
        <v>1</v>
      </c>
      <c r="E1400" s="3" t="n">
        <v>3</v>
      </c>
      <c r="F1400" s="3" t="n">
        <v>1</v>
      </c>
      <c r="G1400" s="3" t="n">
        <v>0</v>
      </c>
      <c r="H1400" s="24" t="n">
        <v>-0.0181767531</v>
      </c>
    </row>
    <row r="1401" customFormat="false" ht="15" hidden="false" customHeight="false" outlineLevel="0" collapsed="false">
      <c r="A1401" s="3" t="n">
        <v>1400</v>
      </c>
      <c r="B1401" s="3" t="n">
        <v>1399</v>
      </c>
      <c r="C1401" s="3" t="s">
        <v>118</v>
      </c>
      <c r="D1401" s="3" t="n">
        <v>1</v>
      </c>
      <c r="E1401" s="3" t="n">
        <v>3</v>
      </c>
      <c r="F1401" s="3" t="n">
        <v>1</v>
      </c>
      <c r="G1401" s="3" t="n">
        <v>1</v>
      </c>
      <c r="H1401" s="24" t="n">
        <v>-0.0189133026</v>
      </c>
    </row>
    <row r="1402" customFormat="false" ht="15" hidden="false" customHeight="false" outlineLevel="0" collapsed="false">
      <c r="A1402" s="3" t="n">
        <v>1401</v>
      </c>
      <c r="B1402" s="3" t="n">
        <v>1400</v>
      </c>
      <c r="C1402" s="3" t="s">
        <v>118</v>
      </c>
      <c r="D1402" s="3" t="n">
        <v>1</v>
      </c>
      <c r="E1402" s="3" t="n">
        <v>3</v>
      </c>
      <c r="F1402" s="3" t="n">
        <v>1</v>
      </c>
      <c r="G1402" s="3" t="n">
        <v>2</v>
      </c>
      <c r="H1402" s="24" t="n">
        <v>0.140075415</v>
      </c>
    </row>
    <row r="1403" customFormat="false" ht="15" hidden="false" customHeight="false" outlineLevel="0" collapsed="false">
      <c r="A1403" s="3" t="n">
        <v>1402</v>
      </c>
      <c r="B1403" s="3" t="n">
        <v>1401</v>
      </c>
      <c r="C1403" s="3" t="s">
        <v>118</v>
      </c>
      <c r="D1403" s="3" t="n">
        <v>1</v>
      </c>
      <c r="E1403" s="3" t="n">
        <v>3</v>
      </c>
      <c r="F1403" s="3" t="n">
        <v>2</v>
      </c>
      <c r="G1403" s="3" t="n">
        <v>0</v>
      </c>
      <c r="H1403" s="24" t="n">
        <v>-0.167026848</v>
      </c>
    </row>
    <row r="1404" customFormat="false" ht="15" hidden="false" customHeight="false" outlineLevel="0" collapsed="false">
      <c r="A1404" s="3" t="n">
        <v>1403</v>
      </c>
      <c r="B1404" s="3" t="n">
        <v>1402</v>
      </c>
      <c r="C1404" s="3" t="s">
        <v>118</v>
      </c>
      <c r="D1404" s="3" t="n">
        <v>1</v>
      </c>
      <c r="E1404" s="3" t="n">
        <v>3</v>
      </c>
      <c r="F1404" s="3" t="n">
        <v>2</v>
      </c>
      <c r="G1404" s="3" t="n">
        <v>1</v>
      </c>
      <c r="H1404" s="24" t="n">
        <v>-0.0472561531</v>
      </c>
    </row>
    <row r="1405" customFormat="false" ht="15" hidden="false" customHeight="false" outlineLevel="0" collapsed="false">
      <c r="A1405" s="3" t="n">
        <v>1404</v>
      </c>
      <c r="B1405" s="3" t="n">
        <v>1403</v>
      </c>
      <c r="C1405" s="3" t="s">
        <v>118</v>
      </c>
      <c r="D1405" s="3" t="n">
        <v>1</v>
      </c>
      <c r="E1405" s="3" t="n">
        <v>3</v>
      </c>
      <c r="F1405" s="3" t="n">
        <v>2</v>
      </c>
      <c r="G1405" s="3" t="n">
        <v>2</v>
      </c>
      <c r="H1405" s="24" t="n">
        <v>-0.0798608661</v>
      </c>
    </row>
    <row r="1406" customFormat="false" ht="15" hidden="false" customHeight="false" outlineLevel="0" collapsed="false">
      <c r="A1406" s="3" t="n">
        <v>1405</v>
      </c>
      <c r="B1406" s="3" t="n">
        <v>1404</v>
      </c>
      <c r="C1406" s="3" t="s">
        <v>118</v>
      </c>
      <c r="D1406" s="3" t="n">
        <v>1</v>
      </c>
      <c r="E1406" s="3" t="n">
        <v>4</v>
      </c>
      <c r="F1406" s="3" t="n">
        <v>0</v>
      </c>
      <c r="G1406" s="3" t="n">
        <v>0</v>
      </c>
      <c r="H1406" s="24" t="n">
        <v>0.0298563149</v>
      </c>
    </row>
    <row r="1407" customFormat="false" ht="15" hidden="false" customHeight="false" outlineLevel="0" collapsed="false">
      <c r="A1407" s="3" t="n">
        <v>1406</v>
      </c>
      <c r="B1407" s="3" t="n">
        <v>1405</v>
      </c>
      <c r="C1407" s="3" t="s">
        <v>118</v>
      </c>
      <c r="D1407" s="3" t="n">
        <v>1</v>
      </c>
      <c r="E1407" s="3" t="n">
        <v>4</v>
      </c>
      <c r="F1407" s="3" t="n">
        <v>0</v>
      </c>
      <c r="G1407" s="3" t="n">
        <v>1</v>
      </c>
      <c r="H1407" s="24" t="n">
        <v>-0.0754029825</v>
      </c>
    </row>
    <row r="1408" customFormat="false" ht="15" hidden="false" customHeight="false" outlineLevel="0" collapsed="false">
      <c r="A1408" s="3" t="n">
        <v>1407</v>
      </c>
      <c r="B1408" s="3" t="n">
        <v>1406</v>
      </c>
      <c r="C1408" s="3" t="s">
        <v>118</v>
      </c>
      <c r="D1408" s="3" t="n">
        <v>1</v>
      </c>
      <c r="E1408" s="3" t="n">
        <v>4</v>
      </c>
      <c r="F1408" s="3" t="n">
        <v>0</v>
      </c>
      <c r="G1408" s="3" t="n">
        <v>2</v>
      </c>
      <c r="H1408" s="24" t="n">
        <v>0.25099954</v>
      </c>
    </row>
    <row r="1409" customFormat="false" ht="15" hidden="false" customHeight="false" outlineLevel="0" collapsed="false">
      <c r="A1409" s="3" t="n">
        <v>1408</v>
      </c>
      <c r="B1409" s="3" t="n">
        <v>1407</v>
      </c>
      <c r="C1409" s="3" t="s">
        <v>118</v>
      </c>
      <c r="D1409" s="3" t="n">
        <v>1</v>
      </c>
      <c r="E1409" s="3" t="n">
        <v>4</v>
      </c>
      <c r="F1409" s="3" t="n">
        <v>1</v>
      </c>
      <c r="G1409" s="3" t="n">
        <v>0</v>
      </c>
      <c r="H1409" s="24" t="n">
        <v>-0.0305235237</v>
      </c>
    </row>
    <row r="1410" customFormat="false" ht="15" hidden="false" customHeight="false" outlineLevel="0" collapsed="false">
      <c r="A1410" s="3" t="n">
        <v>1409</v>
      </c>
      <c r="B1410" s="3" t="n">
        <v>1408</v>
      </c>
      <c r="C1410" s="3" t="s">
        <v>118</v>
      </c>
      <c r="D1410" s="3" t="n">
        <v>1</v>
      </c>
      <c r="E1410" s="3" t="n">
        <v>4</v>
      </c>
      <c r="F1410" s="3" t="n">
        <v>1</v>
      </c>
      <c r="G1410" s="3" t="n">
        <v>1</v>
      </c>
      <c r="H1410" s="24" t="n">
        <v>0.03675396</v>
      </c>
    </row>
    <row r="1411" customFormat="false" ht="15" hidden="false" customHeight="false" outlineLevel="0" collapsed="false">
      <c r="A1411" s="3" t="n">
        <v>1410</v>
      </c>
      <c r="B1411" s="3" t="n">
        <v>1409</v>
      </c>
      <c r="C1411" s="3" t="s">
        <v>118</v>
      </c>
      <c r="D1411" s="3" t="n">
        <v>1</v>
      </c>
      <c r="E1411" s="3" t="n">
        <v>4</v>
      </c>
      <c r="F1411" s="3" t="n">
        <v>1</v>
      </c>
      <c r="G1411" s="3" t="n">
        <v>2</v>
      </c>
      <c r="H1411" s="24" t="n">
        <v>0.340054631</v>
      </c>
    </row>
    <row r="1412" customFormat="false" ht="15" hidden="false" customHeight="false" outlineLevel="0" collapsed="false">
      <c r="A1412" s="3" t="n">
        <v>1411</v>
      </c>
      <c r="B1412" s="3" t="n">
        <v>1410</v>
      </c>
      <c r="C1412" s="3" t="s">
        <v>118</v>
      </c>
      <c r="D1412" s="3" t="n">
        <v>1</v>
      </c>
      <c r="E1412" s="3" t="n">
        <v>4</v>
      </c>
      <c r="F1412" s="3" t="n">
        <v>2</v>
      </c>
      <c r="G1412" s="3" t="n">
        <v>0</v>
      </c>
      <c r="H1412" s="24" t="n">
        <v>-0.0680821091</v>
      </c>
    </row>
    <row r="1413" customFormat="false" ht="15" hidden="false" customHeight="false" outlineLevel="0" collapsed="false">
      <c r="A1413" s="3" t="n">
        <v>1412</v>
      </c>
      <c r="B1413" s="3" t="n">
        <v>1411</v>
      </c>
      <c r="C1413" s="3" t="s">
        <v>118</v>
      </c>
      <c r="D1413" s="3" t="n">
        <v>1</v>
      </c>
      <c r="E1413" s="3" t="n">
        <v>4</v>
      </c>
      <c r="F1413" s="3" t="n">
        <v>2</v>
      </c>
      <c r="G1413" s="3" t="n">
        <v>1</v>
      </c>
      <c r="H1413" s="24" t="n">
        <v>-0.048811689</v>
      </c>
    </row>
    <row r="1414" customFormat="false" ht="15" hidden="false" customHeight="false" outlineLevel="0" collapsed="false">
      <c r="A1414" s="3" t="n">
        <v>1413</v>
      </c>
      <c r="B1414" s="3" t="n">
        <v>1412</v>
      </c>
      <c r="C1414" s="3" t="s">
        <v>118</v>
      </c>
      <c r="D1414" s="3" t="n">
        <v>1</v>
      </c>
      <c r="E1414" s="3" t="n">
        <v>4</v>
      </c>
      <c r="F1414" s="3" t="n">
        <v>2</v>
      </c>
      <c r="G1414" s="3" t="n">
        <v>2</v>
      </c>
      <c r="H1414" s="24" t="n">
        <v>-0.0645663962</v>
      </c>
    </row>
    <row r="1415" customFormat="false" ht="15" hidden="false" customHeight="false" outlineLevel="0" collapsed="false">
      <c r="A1415" s="3" t="n">
        <v>1414</v>
      </c>
      <c r="B1415" s="3" t="n">
        <v>1413</v>
      </c>
      <c r="C1415" s="3" t="s">
        <v>118</v>
      </c>
      <c r="D1415" s="3" t="n">
        <v>1</v>
      </c>
      <c r="E1415" s="3" t="n">
        <v>5</v>
      </c>
      <c r="F1415" s="3" t="n">
        <v>0</v>
      </c>
      <c r="G1415" s="3" t="n">
        <v>0</v>
      </c>
      <c r="H1415" s="24" t="n">
        <v>0.106790707</v>
      </c>
    </row>
    <row r="1416" customFormat="false" ht="15" hidden="false" customHeight="false" outlineLevel="0" collapsed="false">
      <c r="A1416" s="3" t="n">
        <v>1415</v>
      </c>
      <c r="B1416" s="3" t="n">
        <v>1414</v>
      </c>
      <c r="C1416" s="3" t="s">
        <v>118</v>
      </c>
      <c r="D1416" s="3" t="n">
        <v>1</v>
      </c>
      <c r="E1416" s="3" t="n">
        <v>5</v>
      </c>
      <c r="F1416" s="3" t="n">
        <v>0</v>
      </c>
      <c r="G1416" s="3" t="n">
        <v>1</v>
      </c>
      <c r="H1416" s="24" t="n">
        <v>0.232979923</v>
      </c>
    </row>
    <row r="1417" customFormat="false" ht="15" hidden="false" customHeight="false" outlineLevel="0" collapsed="false">
      <c r="A1417" s="3" t="n">
        <v>1416</v>
      </c>
      <c r="B1417" s="3" t="n">
        <v>1415</v>
      </c>
      <c r="C1417" s="3" t="s">
        <v>118</v>
      </c>
      <c r="D1417" s="3" t="n">
        <v>1</v>
      </c>
      <c r="E1417" s="3" t="n">
        <v>5</v>
      </c>
      <c r="F1417" s="3" t="n">
        <v>0</v>
      </c>
      <c r="G1417" s="3" t="n">
        <v>2</v>
      </c>
      <c r="H1417" s="24" t="n">
        <v>0.0471421145</v>
      </c>
    </row>
    <row r="1418" customFormat="false" ht="15" hidden="false" customHeight="false" outlineLevel="0" collapsed="false">
      <c r="A1418" s="3" t="n">
        <v>1417</v>
      </c>
      <c r="B1418" s="3" t="n">
        <v>1416</v>
      </c>
      <c r="C1418" s="3" t="s">
        <v>118</v>
      </c>
      <c r="D1418" s="3" t="n">
        <v>1</v>
      </c>
      <c r="E1418" s="3" t="n">
        <v>5</v>
      </c>
      <c r="F1418" s="3" t="n">
        <v>1</v>
      </c>
      <c r="G1418" s="3" t="n">
        <v>0</v>
      </c>
      <c r="H1418" s="24" t="n">
        <v>0.128897905</v>
      </c>
    </row>
    <row r="1419" customFormat="false" ht="15" hidden="false" customHeight="false" outlineLevel="0" collapsed="false">
      <c r="A1419" s="3" t="n">
        <v>1418</v>
      </c>
      <c r="B1419" s="3" t="n">
        <v>1417</v>
      </c>
      <c r="C1419" s="3" t="s">
        <v>118</v>
      </c>
      <c r="D1419" s="3" t="n">
        <v>1</v>
      </c>
      <c r="E1419" s="3" t="n">
        <v>5</v>
      </c>
      <c r="F1419" s="3" t="n">
        <v>1</v>
      </c>
      <c r="G1419" s="3" t="n">
        <v>1</v>
      </c>
      <c r="H1419" s="24" t="n">
        <v>-0.177339807</v>
      </c>
    </row>
    <row r="1420" customFormat="false" ht="15" hidden="false" customHeight="false" outlineLevel="0" collapsed="false">
      <c r="A1420" s="3" t="n">
        <v>1419</v>
      </c>
      <c r="B1420" s="3" t="n">
        <v>1418</v>
      </c>
      <c r="C1420" s="3" t="s">
        <v>118</v>
      </c>
      <c r="D1420" s="3" t="n">
        <v>1</v>
      </c>
      <c r="E1420" s="3" t="n">
        <v>5</v>
      </c>
      <c r="F1420" s="3" t="n">
        <v>1</v>
      </c>
      <c r="G1420" s="3" t="n">
        <v>2</v>
      </c>
      <c r="H1420" s="24" t="n">
        <v>0.06571953</v>
      </c>
    </row>
    <row r="1421" customFormat="false" ht="15" hidden="false" customHeight="false" outlineLevel="0" collapsed="false">
      <c r="A1421" s="3" t="n">
        <v>1420</v>
      </c>
      <c r="B1421" s="3" t="n">
        <v>1419</v>
      </c>
      <c r="C1421" s="3" t="s">
        <v>118</v>
      </c>
      <c r="D1421" s="3" t="n">
        <v>1</v>
      </c>
      <c r="E1421" s="3" t="n">
        <v>5</v>
      </c>
      <c r="F1421" s="3" t="n">
        <v>2</v>
      </c>
      <c r="G1421" s="3" t="n">
        <v>0</v>
      </c>
      <c r="H1421" s="24" t="n">
        <v>-0.313459277</v>
      </c>
    </row>
    <row r="1422" customFormat="false" ht="15" hidden="false" customHeight="false" outlineLevel="0" collapsed="false">
      <c r="A1422" s="3" t="n">
        <v>1421</v>
      </c>
      <c r="B1422" s="3" t="n">
        <v>1420</v>
      </c>
      <c r="C1422" s="3" t="s">
        <v>118</v>
      </c>
      <c r="D1422" s="3" t="n">
        <v>1</v>
      </c>
      <c r="E1422" s="3" t="n">
        <v>5</v>
      </c>
      <c r="F1422" s="3" t="n">
        <v>2</v>
      </c>
      <c r="G1422" s="3" t="n">
        <v>1</v>
      </c>
      <c r="H1422" s="24" t="n">
        <v>-0.268086433</v>
      </c>
    </row>
    <row r="1423" customFormat="false" ht="15" hidden="false" customHeight="false" outlineLevel="0" collapsed="false">
      <c r="A1423" s="3" t="n">
        <v>1422</v>
      </c>
      <c r="B1423" s="3" t="n">
        <v>1421</v>
      </c>
      <c r="C1423" s="3" t="s">
        <v>118</v>
      </c>
      <c r="D1423" s="3" t="n">
        <v>1</v>
      </c>
      <c r="E1423" s="3" t="n">
        <v>5</v>
      </c>
      <c r="F1423" s="3" t="n">
        <v>2</v>
      </c>
      <c r="G1423" s="3" t="n">
        <v>2</v>
      </c>
      <c r="H1423" s="24" t="n">
        <v>-0.0391217321</v>
      </c>
    </row>
    <row r="1424" customFormat="false" ht="15" hidden="false" customHeight="false" outlineLevel="0" collapsed="false">
      <c r="A1424" s="3" t="n">
        <v>1423</v>
      </c>
      <c r="B1424" s="3" t="n">
        <v>1422</v>
      </c>
      <c r="C1424" s="3" t="s">
        <v>118</v>
      </c>
      <c r="D1424" s="3" t="n">
        <v>1</v>
      </c>
      <c r="E1424" s="3" t="n">
        <v>6</v>
      </c>
      <c r="F1424" s="3" t="n">
        <v>0</v>
      </c>
      <c r="G1424" s="3" t="n">
        <v>0</v>
      </c>
      <c r="H1424" s="24" t="n">
        <v>0.0411662981</v>
      </c>
    </row>
    <row r="1425" customFormat="false" ht="15" hidden="false" customHeight="false" outlineLevel="0" collapsed="false">
      <c r="A1425" s="3" t="n">
        <v>1424</v>
      </c>
      <c r="B1425" s="3" t="n">
        <v>1423</v>
      </c>
      <c r="C1425" s="3" t="s">
        <v>118</v>
      </c>
      <c r="D1425" s="3" t="n">
        <v>1</v>
      </c>
      <c r="E1425" s="3" t="n">
        <v>6</v>
      </c>
      <c r="F1425" s="3" t="n">
        <v>0</v>
      </c>
      <c r="G1425" s="3" t="n">
        <v>1</v>
      </c>
      <c r="H1425" s="24" t="n">
        <v>0.248285279</v>
      </c>
    </row>
    <row r="1426" customFormat="false" ht="15" hidden="false" customHeight="false" outlineLevel="0" collapsed="false">
      <c r="A1426" s="3" t="n">
        <v>1425</v>
      </c>
      <c r="B1426" s="3" t="n">
        <v>1424</v>
      </c>
      <c r="C1426" s="3" t="s">
        <v>118</v>
      </c>
      <c r="D1426" s="3" t="n">
        <v>1</v>
      </c>
      <c r="E1426" s="3" t="n">
        <v>6</v>
      </c>
      <c r="F1426" s="3" t="n">
        <v>0</v>
      </c>
      <c r="G1426" s="3" t="n">
        <v>2</v>
      </c>
      <c r="H1426" s="24" t="n">
        <v>-0.0307216644</v>
      </c>
    </row>
    <row r="1427" customFormat="false" ht="15" hidden="false" customHeight="false" outlineLevel="0" collapsed="false">
      <c r="A1427" s="3" t="n">
        <v>1426</v>
      </c>
      <c r="B1427" s="3" t="n">
        <v>1425</v>
      </c>
      <c r="C1427" s="3" t="s">
        <v>118</v>
      </c>
      <c r="D1427" s="3" t="n">
        <v>1</v>
      </c>
      <c r="E1427" s="3" t="n">
        <v>6</v>
      </c>
      <c r="F1427" s="3" t="n">
        <v>1</v>
      </c>
      <c r="G1427" s="3" t="n">
        <v>0</v>
      </c>
      <c r="H1427" s="24" t="n">
        <v>0.150404811</v>
      </c>
    </row>
    <row r="1428" customFormat="false" ht="15" hidden="false" customHeight="false" outlineLevel="0" collapsed="false">
      <c r="A1428" s="3" t="n">
        <v>1427</v>
      </c>
      <c r="B1428" s="3" t="n">
        <v>1426</v>
      </c>
      <c r="C1428" s="3" t="s">
        <v>118</v>
      </c>
      <c r="D1428" s="3" t="n">
        <v>1</v>
      </c>
      <c r="E1428" s="3" t="n">
        <v>6</v>
      </c>
      <c r="F1428" s="3" t="n">
        <v>1</v>
      </c>
      <c r="G1428" s="3" t="n">
        <v>1</v>
      </c>
      <c r="H1428" s="24" t="n">
        <v>-0.172006845</v>
      </c>
    </row>
    <row r="1429" customFormat="false" ht="15" hidden="false" customHeight="false" outlineLevel="0" collapsed="false">
      <c r="A1429" s="3" t="n">
        <v>1428</v>
      </c>
      <c r="B1429" s="3" t="n">
        <v>1427</v>
      </c>
      <c r="C1429" s="3" t="s">
        <v>118</v>
      </c>
      <c r="D1429" s="3" t="n">
        <v>1</v>
      </c>
      <c r="E1429" s="3" t="n">
        <v>6</v>
      </c>
      <c r="F1429" s="3" t="n">
        <v>1</v>
      </c>
      <c r="G1429" s="3" t="n">
        <v>2</v>
      </c>
      <c r="H1429" s="24" t="n">
        <v>-0.213710278</v>
      </c>
    </row>
    <row r="1430" customFormat="false" ht="15" hidden="false" customHeight="false" outlineLevel="0" collapsed="false">
      <c r="A1430" s="3" t="n">
        <v>1429</v>
      </c>
      <c r="B1430" s="3" t="n">
        <v>1428</v>
      </c>
      <c r="C1430" s="3" t="s">
        <v>118</v>
      </c>
      <c r="D1430" s="3" t="n">
        <v>1</v>
      </c>
      <c r="E1430" s="3" t="n">
        <v>6</v>
      </c>
      <c r="F1430" s="3" t="n">
        <v>2</v>
      </c>
      <c r="G1430" s="3" t="n">
        <v>0</v>
      </c>
      <c r="H1430" s="24" t="n">
        <v>0.0692093149</v>
      </c>
    </row>
    <row r="1431" customFormat="false" ht="15" hidden="false" customHeight="false" outlineLevel="0" collapsed="false">
      <c r="A1431" s="3" t="n">
        <v>1430</v>
      </c>
      <c r="B1431" s="3" t="n">
        <v>1429</v>
      </c>
      <c r="C1431" s="3" t="s">
        <v>118</v>
      </c>
      <c r="D1431" s="3" t="n">
        <v>1</v>
      </c>
      <c r="E1431" s="3" t="n">
        <v>6</v>
      </c>
      <c r="F1431" s="3" t="n">
        <v>2</v>
      </c>
      <c r="G1431" s="3" t="n">
        <v>1</v>
      </c>
      <c r="H1431" s="24" t="n">
        <v>0.143769458</v>
      </c>
    </row>
    <row r="1432" customFormat="false" ht="15" hidden="false" customHeight="false" outlineLevel="0" collapsed="false">
      <c r="A1432" s="3" t="n">
        <v>1431</v>
      </c>
      <c r="B1432" s="3" t="n">
        <v>1430</v>
      </c>
      <c r="C1432" s="3" t="s">
        <v>118</v>
      </c>
      <c r="D1432" s="3" t="n">
        <v>1</v>
      </c>
      <c r="E1432" s="3" t="n">
        <v>6</v>
      </c>
      <c r="F1432" s="3" t="n">
        <v>2</v>
      </c>
      <c r="G1432" s="3" t="n">
        <v>2</v>
      </c>
      <c r="H1432" s="24" t="n">
        <v>-0.0668061748</v>
      </c>
    </row>
    <row r="1433" customFormat="false" ht="15" hidden="false" customHeight="false" outlineLevel="0" collapsed="false">
      <c r="A1433" s="3" t="n">
        <v>1432</v>
      </c>
      <c r="B1433" s="3" t="n">
        <v>1431</v>
      </c>
      <c r="C1433" s="3" t="s">
        <v>118</v>
      </c>
      <c r="D1433" s="3" t="n">
        <v>1</v>
      </c>
      <c r="E1433" s="3" t="n">
        <v>7</v>
      </c>
      <c r="F1433" s="3" t="n">
        <v>0</v>
      </c>
      <c r="G1433" s="3" t="n">
        <v>0</v>
      </c>
      <c r="H1433" s="24" t="n">
        <v>0.0683643892</v>
      </c>
    </row>
    <row r="1434" customFormat="false" ht="15" hidden="false" customHeight="false" outlineLevel="0" collapsed="false">
      <c r="A1434" s="3" t="n">
        <v>1433</v>
      </c>
      <c r="B1434" s="3" t="n">
        <v>1432</v>
      </c>
      <c r="C1434" s="3" t="s">
        <v>118</v>
      </c>
      <c r="D1434" s="3" t="n">
        <v>1</v>
      </c>
      <c r="E1434" s="3" t="n">
        <v>7</v>
      </c>
      <c r="F1434" s="3" t="n">
        <v>0</v>
      </c>
      <c r="G1434" s="3" t="n">
        <v>1</v>
      </c>
      <c r="H1434" s="24" t="n">
        <v>0.163760498</v>
      </c>
    </row>
    <row r="1435" customFormat="false" ht="15" hidden="false" customHeight="false" outlineLevel="0" collapsed="false">
      <c r="A1435" s="3" t="n">
        <v>1434</v>
      </c>
      <c r="B1435" s="3" t="n">
        <v>1433</v>
      </c>
      <c r="C1435" s="3" t="s">
        <v>118</v>
      </c>
      <c r="D1435" s="3" t="n">
        <v>1</v>
      </c>
      <c r="E1435" s="3" t="n">
        <v>7</v>
      </c>
      <c r="F1435" s="3" t="n">
        <v>0</v>
      </c>
      <c r="G1435" s="3" t="n">
        <v>2</v>
      </c>
      <c r="H1435" s="24" t="n">
        <v>0.0984259918</v>
      </c>
    </row>
    <row r="1436" customFormat="false" ht="15" hidden="false" customHeight="false" outlineLevel="0" collapsed="false">
      <c r="A1436" s="3" t="n">
        <v>1435</v>
      </c>
      <c r="B1436" s="3" t="n">
        <v>1434</v>
      </c>
      <c r="C1436" s="3" t="s">
        <v>118</v>
      </c>
      <c r="D1436" s="3" t="n">
        <v>1</v>
      </c>
      <c r="E1436" s="3" t="n">
        <v>7</v>
      </c>
      <c r="F1436" s="3" t="n">
        <v>1</v>
      </c>
      <c r="G1436" s="3" t="n">
        <v>0</v>
      </c>
      <c r="H1436" s="24" t="n">
        <v>-0.002273391</v>
      </c>
    </row>
    <row r="1437" customFormat="false" ht="15" hidden="false" customHeight="false" outlineLevel="0" collapsed="false">
      <c r="A1437" s="3" t="n">
        <v>1436</v>
      </c>
      <c r="B1437" s="3" t="n">
        <v>1435</v>
      </c>
      <c r="C1437" s="3" t="s">
        <v>118</v>
      </c>
      <c r="D1437" s="3" t="n">
        <v>1</v>
      </c>
      <c r="E1437" s="3" t="n">
        <v>7</v>
      </c>
      <c r="F1437" s="3" t="n">
        <v>1</v>
      </c>
      <c r="G1437" s="3" t="n">
        <v>1</v>
      </c>
      <c r="H1437" s="24" t="n">
        <v>-0.199291781</v>
      </c>
    </row>
    <row r="1438" customFormat="false" ht="15" hidden="false" customHeight="false" outlineLevel="0" collapsed="false">
      <c r="A1438" s="3" t="n">
        <v>1437</v>
      </c>
      <c r="B1438" s="3" t="n">
        <v>1436</v>
      </c>
      <c r="C1438" s="3" t="s">
        <v>118</v>
      </c>
      <c r="D1438" s="3" t="n">
        <v>1</v>
      </c>
      <c r="E1438" s="3" t="n">
        <v>7</v>
      </c>
      <c r="F1438" s="3" t="n">
        <v>1</v>
      </c>
      <c r="G1438" s="3" t="n">
        <v>2</v>
      </c>
      <c r="H1438" s="24" t="n">
        <v>-0.401866496</v>
      </c>
    </row>
    <row r="1439" customFormat="false" ht="15" hidden="false" customHeight="false" outlineLevel="0" collapsed="false">
      <c r="A1439" s="3" t="n">
        <v>1438</v>
      </c>
      <c r="B1439" s="3" t="n">
        <v>1437</v>
      </c>
      <c r="C1439" s="3" t="s">
        <v>118</v>
      </c>
      <c r="D1439" s="3" t="n">
        <v>1</v>
      </c>
      <c r="E1439" s="3" t="n">
        <v>7</v>
      </c>
      <c r="F1439" s="3" t="n">
        <v>2</v>
      </c>
      <c r="G1439" s="3" t="n">
        <v>0</v>
      </c>
      <c r="H1439" s="24" t="n">
        <v>0.0469980016</v>
      </c>
    </row>
    <row r="1440" customFormat="false" ht="15" hidden="false" customHeight="false" outlineLevel="0" collapsed="false">
      <c r="A1440" s="3" t="n">
        <v>1439</v>
      </c>
      <c r="B1440" s="3" t="n">
        <v>1438</v>
      </c>
      <c r="C1440" s="3" t="s">
        <v>118</v>
      </c>
      <c r="D1440" s="3" t="n">
        <v>1</v>
      </c>
      <c r="E1440" s="3" t="n">
        <v>7</v>
      </c>
      <c r="F1440" s="3" t="n">
        <v>2</v>
      </c>
      <c r="G1440" s="3" t="n">
        <v>1</v>
      </c>
      <c r="H1440" s="24" t="n">
        <v>-0.0848805159</v>
      </c>
    </row>
    <row r="1441" customFormat="false" ht="15" hidden="false" customHeight="false" outlineLevel="0" collapsed="false">
      <c r="A1441" s="3" t="n">
        <v>1440</v>
      </c>
      <c r="B1441" s="3" t="n">
        <v>1439</v>
      </c>
      <c r="C1441" s="3" t="s">
        <v>118</v>
      </c>
      <c r="D1441" s="3" t="n">
        <v>1</v>
      </c>
      <c r="E1441" s="3" t="n">
        <v>7</v>
      </c>
      <c r="F1441" s="3" t="n">
        <v>2</v>
      </c>
      <c r="G1441" s="3" t="n">
        <v>2</v>
      </c>
      <c r="H1441" s="24" t="n">
        <v>-0.0204551239</v>
      </c>
    </row>
    <row r="1442" customFormat="false" ht="15" hidden="false" customHeight="false" outlineLevel="0" collapsed="false">
      <c r="A1442" s="3" t="n">
        <v>1441</v>
      </c>
      <c r="B1442" s="3" t="n">
        <v>1440</v>
      </c>
      <c r="C1442" s="3" t="s">
        <v>118</v>
      </c>
      <c r="D1442" s="3" t="n">
        <v>1</v>
      </c>
      <c r="E1442" s="3" t="n">
        <v>8</v>
      </c>
      <c r="F1442" s="3" t="n">
        <v>0</v>
      </c>
      <c r="G1442" s="3" t="n">
        <v>0</v>
      </c>
      <c r="H1442" s="24" t="n">
        <v>-0.0201343503</v>
      </c>
    </row>
    <row r="1443" customFormat="false" ht="15" hidden="false" customHeight="false" outlineLevel="0" collapsed="false">
      <c r="A1443" s="3" t="n">
        <v>1442</v>
      </c>
      <c r="B1443" s="3" t="n">
        <v>1441</v>
      </c>
      <c r="C1443" s="3" t="s">
        <v>118</v>
      </c>
      <c r="D1443" s="3" t="n">
        <v>1</v>
      </c>
      <c r="E1443" s="3" t="n">
        <v>8</v>
      </c>
      <c r="F1443" s="3" t="n">
        <v>0</v>
      </c>
      <c r="G1443" s="3" t="n">
        <v>1</v>
      </c>
      <c r="H1443" s="24" t="n">
        <v>0.0522918366</v>
      </c>
    </row>
    <row r="1444" customFormat="false" ht="15" hidden="false" customHeight="false" outlineLevel="0" collapsed="false">
      <c r="A1444" s="3" t="n">
        <v>1443</v>
      </c>
      <c r="B1444" s="3" t="n">
        <v>1442</v>
      </c>
      <c r="C1444" s="3" t="s">
        <v>118</v>
      </c>
      <c r="D1444" s="3" t="n">
        <v>1</v>
      </c>
      <c r="E1444" s="3" t="n">
        <v>8</v>
      </c>
      <c r="F1444" s="3" t="n">
        <v>0</v>
      </c>
      <c r="G1444" s="3" t="n">
        <v>2</v>
      </c>
      <c r="H1444" s="24" t="n">
        <v>0.322600663</v>
      </c>
    </row>
    <row r="1445" customFormat="false" ht="15" hidden="false" customHeight="false" outlineLevel="0" collapsed="false">
      <c r="A1445" s="3" t="n">
        <v>1444</v>
      </c>
      <c r="B1445" s="3" t="n">
        <v>1443</v>
      </c>
      <c r="C1445" s="3" t="s">
        <v>118</v>
      </c>
      <c r="D1445" s="3" t="n">
        <v>1</v>
      </c>
      <c r="E1445" s="3" t="n">
        <v>8</v>
      </c>
      <c r="F1445" s="3" t="n">
        <v>1</v>
      </c>
      <c r="G1445" s="3" t="n">
        <v>0</v>
      </c>
      <c r="H1445" s="24" t="n">
        <v>-0.188448578</v>
      </c>
    </row>
    <row r="1446" customFormat="false" ht="15" hidden="false" customHeight="false" outlineLevel="0" collapsed="false">
      <c r="A1446" s="3" t="n">
        <v>1445</v>
      </c>
      <c r="B1446" s="3" t="n">
        <v>1444</v>
      </c>
      <c r="C1446" s="3" t="s">
        <v>118</v>
      </c>
      <c r="D1446" s="3" t="n">
        <v>1</v>
      </c>
      <c r="E1446" s="3" t="n">
        <v>8</v>
      </c>
      <c r="F1446" s="3" t="n">
        <v>1</v>
      </c>
      <c r="G1446" s="3" t="n">
        <v>1</v>
      </c>
      <c r="H1446" s="24" t="n">
        <v>0.0667238161</v>
      </c>
    </row>
    <row r="1447" customFormat="false" ht="15" hidden="false" customHeight="false" outlineLevel="0" collapsed="false">
      <c r="A1447" s="3" t="n">
        <v>1446</v>
      </c>
      <c r="B1447" s="3" t="n">
        <v>1445</v>
      </c>
      <c r="C1447" s="3" t="s">
        <v>118</v>
      </c>
      <c r="D1447" s="3" t="n">
        <v>1</v>
      </c>
      <c r="E1447" s="3" t="n">
        <v>8</v>
      </c>
      <c r="F1447" s="3" t="n">
        <v>1</v>
      </c>
      <c r="G1447" s="3" t="n">
        <v>2</v>
      </c>
      <c r="H1447" s="24" t="n">
        <v>0.215149954</v>
      </c>
    </row>
    <row r="1448" customFormat="false" ht="15" hidden="false" customHeight="false" outlineLevel="0" collapsed="false">
      <c r="A1448" s="3" t="n">
        <v>1447</v>
      </c>
      <c r="B1448" s="3" t="n">
        <v>1446</v>
      </c>
      <c r="C1448" s="3" t="s">
        <v>118</v>
      </c>
      <c r="D1448" s="3" t="n">
        <v>1</v>
      </c>
      <c r="E1448" s="3" t="n">
        <v>8</v>
      </c>
      <c r="F1448" s="3" t="n">
        <v>2</v>
      </c>
      <c r="G1448" s="3" t="n">
        <v>0</v>
      </c>
      <c r="H1448" s="24" t="n">
        <v>-0.257312804</v>
      </c>
    </row>
    <row r="1449" customFormat="false" ht="15" hidden="false" customHeight="false" outlineLevel="0" collapsed="false">
      <c r="A1449" s="3" t="n">
        <v>1448</v>
      </c>
      <c r="B1449" s="3" t="n">
        <v>1447</v>
      </c>
      <c r="C1449" s="3" t="s">
        <v>118</v>
      </c>
      <c r="D1449" s="3" t="n">
        <v>1</v>
      </c>
      <c r="E1449" s="3" t="n">
        <v>8</v>
      </c>
      <c r="F1449" s="3" t="n">
        <v>2</v>
      </c>
      <c r="G1449" s="3" t="n">
        <v>1</v>
      </c>
      <c r="H1449" s="24" t="n">
        <v>-0.0367308222</v>
      </c>
    </row>
    <row r="1450" customFormat="false" ht="15" hidden="false" customHeight="false" outlineLevel="0" collapsed="false">
      <c r="A1450" s="3" t="n">
        <v>1449</v>
      </c>
      <c r="B1450" s="3" t="n">
        <v>1448</v>
      </c>
      <c r="C1450" s="3" t="s">
        <v>118</v>
      </c>
      <c r="D1450" s="3" t="n">
        <v>1</v>
      </c>
      <c r="E1450" s="3" t="n">
        <v>8</v>
      </c>
      <c r="F1450" s="3" t="n">
        <v>2</v>
      </c>
      <c r="G1450" s="3" t="n">
        <v>2</v>
      </c>
      <c r="H1450" s="24" t="n">
        <v>0.0497609638</v>
      </c>
    </row>
    <row r="1451" customFormat="false" ht="15" hidden="false" customHeight="false" outlineLevel="0" collapsed="false">
      <c r="A1451" s="3" t="n">
        <v>1450</v>
      </c>
      <c r="B1451" s="3" t="n">
        <v>1449</v>
      </c>
      <c r="C1451" s="3" t="s">
        <v>118</v>
      </c>
      <c r="D1451" s="3" t="n">
        <v>1</v>
      </c>
      <c r="E1451" s="3" t="n">
        <v>9</v>
      </c>
      <c r="F1451" s="3" t="n">
        <v>0</v>
      </c>
      <c r="G1451" s="3" t="n">
        <v>0</v>
      </c>
      <c r="H1451" s="24" t="n">
        <v>-0.24636215</v>
      </c>
    </row>
    <row r="1452" customFormat="false" ht="15" hidden="false" customHeight="false" outlineLevel="0" collapsed="false">
      <c r="A1452" s="3" t="n">
        <v>1451</v>
      </c>
      <c r="B1452" s="3" t="n">
        <v>1450</v>
      </c>
      <c r="C1452" s="3" t="s">
        <v>118</v>
      </c>
      <c r="D1452" s="3" t="n">
        <v>1</v>
      </c>
      <c r="E1452" s="3" t="n">
        <v>9</v>
      </c>
      <c r="F1452" s="3" t="n">
        <v>0</v>
      </c>
      <c r="G1452" s="3" t="n">
        <v>1</v>
      </c>
      <c r="H1452" s="24" t="n">
        <v>-0.142690822</v>
      </c>
    </row>
    <row r="1453" customFormat="false" ht="15" hidden="false" customHeight="false" outlineLevel="0" collapsed="false">
      <c r="A1453" s="3" t="n">
        <v>1452</v>
      </c>
      <c r="B1453" s="3" t="n">
        <v>1451</v>
      </c>
      <c r="C1453" s="3" t="s">
        <v>118</v>
      </c>
      <c r="D1453" s="3" t="n">
        <v>1</v>
      </c>
      <c r="E1453" s="3" t="n">
        <v>9</v>
      </c>
      <c r="F1453" s="3" t="n">
        <v>0</v>
      </c>
      <c r="G1453" s="3" t="n">
        <v>2</v>
      </c>
      <c r="H1453" s="24" t="n">
        <v>0.250550508</v>
      </c>
    </row>
    <row r="1454" customFormat="false" ht="15" hidden="false" customHeight="false" outlineLevel="0" collapsed="false">
      <c r="A1454" s="3" t="n">
        <v>1453</v>
      </c>
      <c r="B1454" s="3" t="n">
        <v>1452</v>
      </c>
      <c r="C1454" s="3" t="s">
        <v>118</v>
      </c>
      <c r="D1454" s="3" t="n">
        <v>1</v>
      </c>
      <c r="E1454" s="3" t="n">
        <v>9</v>
      </c>
      <c r="F1454" s="3" t="n">
        <v>1</v>
      </c>
      <c r="G1454" s="3" t="n">
        <v>0</v>
      </c>
      <c r="H1454" s="24" t="n">
        <v>-0.257724106</v>
      </c>
    </row>
    <row r="1455" customFormat="false" ht="15" hidden="false" customHeight="false" outlineLevel="0" collapsed="false">
      <c r="A1455" s="3" t="n">
        <v>1454</v>
      </c>
      <c r="B1455" s="3" t="n">
        <v>1453</v>
      </c>
      <c r="C1455" s="3" t="s">
        <v>118</v>
      </c>
      <c r="D1455" s="3" t="n">
        <v>1</v>
      </c>
      <c r="E1455" s="3" t="n">
        <v>9</v>
      </c>
      <c r="F1455" s="3" t="n">
        <v>1</v>
      </c>
      <c r="G1455" s="3" t="n">
        <v>1</v>
      </c>
      <c r="H1455" s="24" t="n">
        <v>0.0810112283</v>
      </c>
    </row>
    <row r="1456" customFormat="false" ht="15" hidden="false" customHeight="false" outlineLevel="0" collapsed="false">
      <c r="A1456" s="3" t="n">
        <v>1455</v>
      </c>
      <c r="B1456" s="3" t="n">
        <v>1454</v>
      </c>
      <c r="C1456" s="3" t="s">
        <v>118</v>
      </c>
      <c r="D1456" s="3" t="n">
        <v>1</v>
      </c>
      <c r="E1456" s="3" t="n">
        <v>9</v>
      </c>
      <c r="F1456" s="3" t="n">
        <v>1</v>
      </c>
      <c r="G1456" s="3" t="n">
        <v>2</v>
      </c>
      <c r="H1456" s="24" t="n">
        <v>0.0761116371</v>
      </c>
    </row>
    <row r="1457" customFormat="false" ht="15" hidden="false" customHeight="false" outlineLevel="0" collapsed="false">
      <c r="A1457" s="3" t="n">
        <v>1456</v>
      </c>
      <c r="B1457" s="3" t="n">
        <v>1455</v>
      </c>
      <c r="C1457" s="3" t="s">
        <v>118</v>
      </c>
      <c r="D1457" s="3" t="n">
        <v>1</v>
      </c>
      <c r="E1457" s="3" t="n">
        <v>9</v>
      </c>
      <c r="F1457" s="3" t="n">
        <v>2</v>
      </c>
      <c r="G1457" s="3" t="n">
        <v>0</v>
      </c>
      <c r="H1457" s="24" t="n">
        <v>-0.0735181868</v>
      </c>
    </row>
    <row r="1458" customFormat="false" ht="15" hidden="false" customHeight="false" outlineLevel="0" collapsed="false">
      <c r="A1458" s="3" t="n">
        <v>1457</v>
      </c>
      <c r="B1458" s="3" t="n">
        <v>1456</v>
      </c>
      <c r="C1458" s="3" t="s">
        <v>118</v>
      </c>
      <c r="D1458" s="3" t="n">
        <v>1</v>
      </c>
      <c r="E1458" s="3" t="n">
        <v>9</v>
      </c>
      <c r="F1458" s="3" t="n">
        <v>2</v>
      </c>
      <c r="G1458" s="3" t="n">
        <v>1</v>
      </c>
      <c r="H1458" s="24" t="n">
        <v>0.204481632</v>
      </c>
    </row>
    <row r="1459" customFormat="false" ht="15" hidden="false" customHeight="false" outlineLevel="0" collapsed="false">
      <c r="A1459" s="3" t="n">
        <v>1458</v>
      </c>
      <c r="B1459" s="3" t="n">
        <v>1457</v>
      </c>
      <c r="C1459" s="3" t="s">
        <v>118</v>
      </c>
      <c r="D1459" s="3" t="n">
        <v>1</v>
      </c>
      <c r="E1459" s="3" t="n">
        <v>9</v>
      </c>
      <c r="F1459" s="3" t="n">
        <v>2</v>
      </c>
      <c r="G1459" s="3" t="n">
        <v>2</v>
      </c>
      <c r="H1459" s="24" t="n">
        <v>0.172075689</v>
      </c>
    </row>
    <row r="1460" customFormat="false" ht="15" hidden="false" customHeight="false" outlineLevel="0" collapsed="false">
      <c r="A1460" s="3" t="n">
        <v>1459</v>
      </c>
      <c r="B1460" s="3" t="n">
        <v>1458</v>
      </c>
      <c r="C1460" s="3" t="s">
        <v>118</v>
      </c>
      <c r="D1460" s="3" t="n">
        <v>1</v>
      </c>
      <c r="E1460" s="3" t="n">
        <v>10</v>
      </c>
      <c r="F1460" s="3" t="n">
        <v>0</v>
      </c>
      <c r="G1460" s="3" t="n">
        <v>0</v>
      </c>
      <c r="H1460" s="24" t="n">
        <v>-0.301550359</v>
      </c>
    </row>
    <row r="1461" customFormat="false" ht="15" hidden="false" customHeight="false" outlineLevel="0" collapsed="false">
      <c r="A1461" s="3" t="n">
        <v>1460</v>
      </c>
      <c r="B1461" s="3" t="n">
        <v>1459</v>
      </c>
      <c r="C1461" s="3" t="s">
        <v>118</v>
      </c>
      <c r="D1461" s="3" t="n">
        <v>1</v>
      </c>
      <c r="E1461" s="3" t="n">
        <v>10</v>
      </c>
      <c r="F1461" s="3" t="n">
        <v>0</v>
      </c>
      <c r="G1461" s="3" t="n">
        <v>1</v>
      </c>
      <c r="H1461" s="24" t="n">
        <v>0.157147363</v>
      </c>
    </row>
    <row r="1462" customFormat="false" ht="15" hidden="false" customHeight="false" outlineLevel="0" collapsed="false">
      <c r="A1462" s="3" t="n">
        <v>1461</v>
      </c>
      <c r="B1462" s="3" t="n">
        <v>1460</v>
      </c>
      <c r="C1462" s="3" t="s">
        <v>118</v>
      </c>
      <c r="D1462" s="3" t="n">
        <v>1</v>
      </c>
      <c r="E1462" s="3" t="n">
        <v>10</v>
      </c>
      <c r="F1462" s="3" t="n">
        <v>0</v>
      </c>
      <c r="G1462" s="3" t="n">
        <v>2</v>
      </c>
      <c r="H1462" s="24" t="n">
        <v>0.06617219</v>
      </c>
    </row>
    <row r="1463" customFormat="false" ht="15" hidden="false" customHeight="false" outlineLevel="0" collapsed="false">
      <c r="A1463" s="3" t="n">
        <v>1462</v>
      </c>
      <c r="B1463" s="3" t="n">
        <v>1461</v>
      </c>
      <c r="C1463" s="3" t="s">
        <v>118</v>
      </c>
      <c r="D1463" s="3" t="n">
        <v>1</v>
      </c>
      <c r="E1463" s="3" t="n">
        <v>10</v>
      </c>
      <c r="F1463" s="3" t="n">
        <v>1</v>
      </c>
      <c r="G1463" s="3" t="n">
        <v>0</v>
      </c>
      <c r="H1463" s="24" t="n">
        <v>-0.0647692159</v>
      </c>
    </row>
    <row r="1464" customFormat="false" ht="15" hidden="false" customHeight="false" outlineLevel="0" collapsed="false">
      <c r="A1464" s="3" t="n">
        <v>1463</v>
      </c>
      <c r="B1464" s="3" t="n">
        <v>1462</v>
      </c>
      <c r="C1464" s="3" t="s">
        <v>118</v>
      </c>
      <c r="D1464" s="3" t="n">
        <v>1</v>
      </c>
      <c r="E1464" s="3" t="n">
        <v>10</v>
      </c>
      <c r="F1464" s="3" t="n">
        <v>1</v>
      </c>
      <c r="G1464" s="3" t="n">
        <v>1</v>
      </c>
      <c r="H1464" s="24" t="n">
        <v>0.0391861238</v>
      </c>
    </row>
    <row r="1465" customFormat="false" ht="15" hidden="false" customHeight="false" outlineLevel="0" collapsed="false">
      <c r="A1465" s="3" t="n">
        <v>1464</v>
      </c>
      <c r="B1465" s="3" t="n">
        <v>1463</v>
      </c>
      <c r="C1465" s="3" t="s">
        <v>118</v>
      </c>
      <c r="D1465" s="3" t="n">
        <v>1</v>
      </c>
      <c r="E1465" s="3" t="n">
        <v>10</v>
      </c>
      <c r="F1465" s="3" t="n">
        <v>1</v>
      </c>
      <c r="G1465" s="3" t="n">
        <v>2</v>
      </c>
      <c r="H1465" s="24" t="n">
        <v>0.101453163</v>
      </c>
    </row>
    <row r="1466" customFormat="false" ht="15" hidden="false" customHeight="false" outlineLevel="0" collapsed="false">
      <c r="A1466" s="3" t="n">
        <v>1465</v>
      </c>
      <c r="B1466" s="3" t="n">
        <v>1464</v>
      </c>
      <c r="C1466" s="3" t="s">
        <v>118</v>
      </c>
      <c r="D1466" s="3" t="n">
        <v>1</v>
      </c>
      <c r="E1466" s="3" t="n">
        <v>10</v>
      </c>
      <c r="F1466" s="3" t="n">
        <v>2</v>
      </c>
      <c r="G1466" s="3" t="n">
        <v>0</v>
      </c>
      <c r="H1466" s="24" t="n">
        <v>-0.0702412426</v>
      </c>
    </row>
    <row r="1467" customFormat="false" ht="15" hidden="false" customHeight="false" outlineLevel="0" collapsed="false">
      <c r="A1467" s="3" t="n">
        <v>1466</v>
      </c>
      <c r="B1467" s="3" t="n">
        <v>1465</v>
      </c>
      <c r="C1467" s="3" t="s">
        <v>118</v>
      </c>
      <c r="D1467" s="3" t="n">
        <v>1</v>
      </c>
      <c r="E1467" s="3" t="n">
        <v>10</v>
      </c>
      <c r="F1467" s="3" t="n">
        <v>2</v>
      </c>
      <c r="G1467" s="3" t="n">
        <v>1</v>
      </c>
      <c r="H1467" s="24" t="n">
        <v>0.22414349</v>
      </c>
    </row>
    <row r="1468" customFormat="false" ht="15" hidden="false" customHeight="false" outlineLevel="0" collapsed="false">
      <c r="A1468" s="3" t="n">
        <v>1467</v>
      </c>
      <c r="B1468" s="3" t="n">
        <v>1466</v>
      </c>
      <c r="C1468" s="3" t="s">
        <v>118</v>
      </c>
      <c r="D1468" s="3" t="n">
        <v>1</v>
      </c>
      <c r="E1468" s="3" t="n">
        <v>10</v>
      </c>
      <c r="F1468" s="3" t="n">
        <v>2</v>
      </c>
      <c r="G1468" s="3" t="n">
        <v>2</v>
      </c>
      <c r="H1468" s="24" t="n">
        <v>0.0315133519</v>
      </c>
    </row>
    <row r="1469" customFormat="false" ht="15" hidden="false" customHeight="false" outlineLevel="0" collapsed="false">
      <c r="A1469" s="3" t="n">
        <v>1468</v>
      </c>
      <c r="B1469" s="3" t="n">
        <v>1467</v>
      </c>
      <c r="C1469" s="3" t="s">
        <v>118</v>
      </c>
      <c r="D1469" s="3" t="n">
        <v>1</v>
      </c>
      <c r="E1469" s="3" t="n">
        <v>11</v>
      </c>
      <c r="F1469" s="3" t="n">
        <v>0</v>
      </c>
      <c r="G1469" s="3" t="n">
        <v>0</v>
      </c>
      <c r="H1469" s="24" t="n">
        <v>-0.106470309</v>
      </c>
    </row>
    <row r="1470" customFormat="false" ht="15" hidden="false" customHeight="false" outlineLevel="0" collapsed="false">
      <c r="A1470" s="3" t="n">
        <v>1469</v>
      </c>
      <c r="B1470" s="3" t="n">
        <v>1468</v>
      </c>
      <c r="C1470" s="3" t="s">
        <v>118</v>
      </c>
      <c r="D1470" s="3" t="n">
        <v>1</v>
      </c>
      <c r="E1470" s="3" t="n">
        <v>11</v>
      </c>
      <c r="F1470" s="3" t="n">
        <v>0</v>
      </c>
      <c r="G1470" s="3" t="n">
        <v>1</v>
      </c>
      <c r="H1470" s="24" t="n">
        <v>-0.0053452896</v>
      </c>
    </row>
    <row r="1471" customFormat="false" ht="15" hidden="false" customHeight="false" outlineLevel="0" collapsed="false">
      <c r="A1471" s="3" t="n">
        <v>1470</v>
      </c>
      <c r="B1471" s="3" t="n">
        <v>1469</v>
      </c>
      <c r="C1471" s="3" t="s">
        <v>118</v>
      </c>
      <c r="D1471" s="3" t="n">
        <v>1</v>
      </c>
      <c r="E1471" s="3" t="n">
        <v>11</v>
      </c>
      <c r="F1471" s="3" t="n">
        <v>0</v>
      </c>
      <c r="G1471" s="3" t="n">
        <v>2</v>
      </c>
      <c r="H1471" s="24" t="n">
        <v>-0.0197548512</v>
      </c>
    </row>
    <row r="1472" customFormat="false" ht="15" hidden="false" customHeight="false" outlineLevel="0" collapsed="false">
      <c r="A1472" s="3" t="n">
        <v>1471</v>
      </c>
      <c r="B1472" s="3" t="n">
        <v>1470</v>
      </c>
      <c r="C1472" s="3" t="s">
        <v>118</v>
      </c>
      <c r="D1472" s="3" t="n">
        <v>1</v>
      </c>
      <c r="E1472" s="3" t="n">
        <v>11</v>
      </c>
      <c r="F1472" s="3" t="n">
        <v>1</v>
      </c>
      <c r="G1472" s="3" t="n">
        <v>0</v>
      </c>
      <c r="H1472" s="24" t="n">
        <v>-0.254026592</v>
      </c>
    </row>
    <row r="1473" customFormat="false" ht="15" hidden="false" customHeight="false" outlineLevel="0" collapsed="false">
      <c r="A1473" s="3" t="n">
        <v>1472</v>
      </c>
      <c r="B1473" s="3" t="n">
        <v>1471</v>
      </c>
      <c r="C1473" s="3" t="s">
        <v>118</v>
      </c>
      <c r="D1473" s="3" t="n">
        <v>1</v>
      </c>
      <c r="E1473" s="3" t="n">
        <v>11</v>
      </c>
      <c r="F1473" s="3" t="n">
        <v>1</v>
      </c>
      <c r="G1473" s="3" t="n">
        <v>1</v>
      </c>
      <c r="H1473" s="24" t="n">
        <v>-0.0817970335</v>
      </c>
    </row>
    <row r="1474" customFormat="false" ht="15" hidden="false" customHeight="false" outlineLevel="0" collapsed="false">
      <c r="A1474" s="3" t="n">
        <v>1473</v>
      </c>
      <c r="B1474" s="3" t="n">
        <v>1472</v>
      </c>
      <c r="C1474" s="3" t="s">
        <v>118</v>
      </c>
      <c r="D1474" s="3" t="n">
        <v>1</v>
      </c>
      <c r="E1474" s="3" t="n">
        <v>11</v>
      </c>
      <c r="F1474" s="3" t="n">
        <v>1</v>
      </c>
      <c r="G1474" s="3" t="n">
        <v>2</v>
      </c>
      <c r="H1474" s="24" t="n">
        <v>-0.0173862297</v>
      </c>
    </row>
    <row r="1475" customFormat="false" ht="15" hidden="false" customHeight="false" outlineLevel="0" collapsed="false">
      <c r="A1475" s="3" t="n">
        <v>1474</v>
      </c>
      <c r="B1475" s="3" t="n">
        <v>1473</v>
      </c>
      <c r="C1475" s="3" t="s">
        <v>118</v>
      </c>
      <c r="D1475" s="3" t="n">
        <v>1</v>
      </c>
      <c r="E1475" s="3" t="n">
        <v>11</v>
      </c>
      <c r="F1475" s="3" t="n">
        <v>2</v>
      </c>
      <c r="G1475" s="3" t="n">
        <v>0</v>
      </c>
      <c r="H1475" s="24" t="n">
        <v>-0.0662179887</v>
      </c>
    </row>
    <row r="1476" customFormat="false" ht="15" hidden="false" customHeight="false" outlineLevel="0" collapsed="false">
      <c r="A1476" s="3" t="n">
        <v>1475</v>
      </c>
      <c r="B1476" s="3" t="n">
        <v>1474</v>
      </c>
      <c r="C1476" s="3" t="s">
        <v>118</v>
      </c>
      <c r="D1476" s="3" t="n">
        <v>1</v>
      </c>
      <c r="E1476" s="3" t="n">
        <v>11</v>
      </c>
      <c r="F1476" s="3" t="n">
        <v>2</v>
      </c>
      <c r="G1476" s="3" t="n">
        <v>1</v>
      </c>
      <c r="H1476" s="24" t="n">
        <v>0.129135817</v>
      </c>
    </row>
    <row r="1477" customFormat="false" ht="15" hidden="false" customHeight="false" outlineLevel="0" collapsed="false">
      <c r="A1477" s="3" t="n">
        <v>1476</v>
      </c>
      <c r="B1477" s="3" t="n">
        <v>1475</v>
      </c>
      <c r="C1477" s="3" t="s">
        <v>118</v>
      </c>
      <c r="D1477" s="3" t="n">
        <v>1</v>
      </c>
      <c r="E1477" s="3" t="n">
        <v>11</v>
      </c>
      <c r="F1477" s="3" t="n">
        <v>2</v>
      </c>
      <c r="G1477" s="3" t="n">
        <v>2</v>
      </c>
      <c r="H1477" s="24" t="n">
        <v>0.204664916</v>
      </c>
    </row>
    <row r="1478" customFormat="false" ht="15" hidden="false" customHeight="false" outlineLevel="0" collapsed="false">
      <c r="A1478" s="3" t="n">
        <v>1477</v>
      </c>
      <c r="B1478" s="3" t="n">
        <v>1476</v>
      </c>
      <c r="C1478" s="3" t="s">
        <v>118</v>
      </c>
      <c r="D1478" s="3" t="n">
        <v>1</v>
      </c>
      <c r="E1478" s="3" t="n">
        <v>12</v>
      </c>
      <c r="F1478" s="3" t="n">
        <v>0</v>
      </c>
      <c r="G1478" s="3" t="n">
        <v>0</v>
      </c>
      <c r="H1478" s="24" t="n">
        <v>0.0283731427</v>
      </c>
    </row>
    <row r="1479" customFormat="false" ht="15" hidden="false" customHeight="false" outlineLevel="0" collapsed="false">
      <c r="A1479" s="3" t="n">
        <v>1478</v>
      </c>
      <c r="B1479" s="3" t="n">
        <v>1477</v>
      </c>
      <c r="C1479" s="3" t="s">
        <v>118</v>
      </c>
      <c r="D1479" s="3" t="n">
        <v>1</v>
      </c>
      <c r="E1479" s="3" t="n">
        <v>12</v>
      </c>
      <c r="F1479" s="3" t="n">
        <v>0</v>
      </c>
      <c r="G1479" s="3" t="n">
        <v>1</v>
      </c>
      <c r="H1479" s="24" t="n">
        <v>-0.267801613</v>
      </c>
    </row>
    <row r="1480" customFormat="false" ht="15" hidden="false" customHeight="false" outlineLevel="0" collapsed="false">
      <c r="A1480" s="3" t="n">
        <v>1479</v>
      </c>
      <c r="B1480" s="3" t="n">
        <v>1478</v>
      </c>
      <c r="C1480" s="3" t="s">
        <v>118</v>
      </c>
      <c r="D1480" s="3" t="n">
        <v>1</v>
      </c>
      <c r="E1480" s="3" t="n">
        <v>12</v>
      </c>
      <c r="F1480" s="3" t="n">
        <v>0</v>
      </c>
      <c r="G1480" s="3" t="n">
        <v>2</v>
      </c>
      <c r="H1480" s="24" t="n">
        <v>-0.144905597</v>
      </c>
    </row>
    <row r="1481" customFormat="false" ht="15" hidden="false" customHeight="false" outlineLevel="0" collapsed="false">
      <c r="A1481" s="3" t="n">
        <v>1480</v>
      </c>
      <c r="B1481" s="3" t="n">
        <v>1479</v>
      </c>
      <c r="C1481" s="3" t="s">
        <v>118</v>
      </c>
      <c r="D1481" s="3" t="n">
        <v>1</v>
      </c>
      <c r="E1481" s="3" t="n">
        <v>12</v>
      </c>
      <c r="F1481" s="3" t="n">
        <v>1</v>
      </c>
      <c r="G1481" s="3" t="n">
        <v>0</v>
      </c>
      <c r="H1481" s="24" t="n">
        <v>-0.0465468541</v>
      </c>
    </row>
    <row r="1482" customFormat="false" ht="15" hidden="false" customHeight="false" outlineLevel="0" collapsed="false">
      <c r="A1482" s="3" t="n">
        <v>1481</v>
      </c>
      <c r="B1482" s="3" t="n">
        <v>1480</v>
      </c>
      <c r="C1482" s="3" t="s">
        <v>118</v>
      </c>
      <c r="D1482" s="3" t="n">
        <v>1</v>
      </c>
      <c r="E1482" s="3" t="n">
        <v>12</v>
      </c>
      <c r="F1482" s="3" t="n">
        <v>1</v>
      </c>
      <c r="G1482" s="3" t="n">
        <v>1</v>
      </c>
      <c r="H1482" s="24" t="n">
        <v>-0.14466095</v>
      </c>
    </row>
    <row r="1483" customFormat="false" ht="15" hidden="false" customHeight="false" outlineLevel="0" collapsed="false">
      <c r="A1483" s="3" t="n">
        <v>1482</v>
      </c>
      <c r="B1483" s="3" t="n">
        <v>1481</v>
      </c>
      <c r="C1483" s="3" t="s">
        <v>118</v>
      </c>
      <c r="D1483" s="3" t="n">
        <v>1</v>
      </c>
      <c r="E1483" s="3" t="n">
        <v>12</v>
      </c>
      <c r="F1483" s="3" t="n">
        <v>1</v>
      </c>
      <c r="G1483" s="3" t="n">
        <v>2</v>
      </c>
      <c r="H1483" s="24" t="n">
        <v>0.068902269</v>
      </c>
    </row>
    <row r="1484" customFormat="false" ht="15" hidden="false" customHeight="false" outlineLevel="0" collapsed="false">
      <c r="A1484" s="3" t="n">
        <v>1483</v>
      </c>
      <c r="B1484" s="3" t="n">
        <v>1482</v>
      </c>
      <c r="C1484" s="3" t="s">
        <v>118</v>
      </c>
      <c r="D1484" s="3" t="n">
        <v>1</v>
      </c>
      <c r="E1484" s="3" t="n">
        <v>12</v>
      </c>
      <c r="F1484" s="3" t="n">
        <v>2</v>
      </c>
      <c r="G1484" s="3" t="n">
        <v>0</v>
      </c>
      <c r="H1484" s="24" t="n">
        <v>0.250626862</v>
      </c>
    </row>
    <row r="1485" customFormat="false" ht="15" hidden="false" customHeight="false" outlineLevel="0" collapsed="false">
      <c r="A1485" s="3" t="n">
        <v>1484</v>
      </c>
      <c r="B1485" s="3" t="n">
        <v>1483</v>
      </c>
      <c r="C1485" s="3" t="s">
        <v>118</v>
      </c>
      <c r="D1485" s="3" t="n">
        <v>1</v>
      </c>
      <c r="E1485" s="3" t="n">
        <v>12</v>
      </c>
      <c r="F1485" s="3" t="n">
        <v>2</v>
      </c>
      <c r="G1485" s="3" t="n">
        <v>1</v>
      </c>
      <c r="H1485" s="24" t="n">
        <v>0.166924745</v>
      </c>
    </row>
    <row r="1486" customFormat="false" ht="15" hidden="false" customHeight="false" outlineLevel="0" collapsed="false">
      <c r="A1486" s="3" t="n">
        <v>1485</v>
      </c>
      <c r="B1486" s="3" t="n">
        <v>1484</v>
      </c>
      <c r="C1486" s="3" t="s">
        <v>118</v>
      </c>
      <c r="D1486" s="3" t="n">
        <v>1</v>
      </c>
      <c r="E1486" s="3" t="n">
        <v>12</v>
      </c>
      <c r="F1486" s="3" t="n">
        <v>2</v>
      </c>
      <c r="G1486" s="3" t="n">
        <v>2</v>
      </c>
      <c r="H1486" s="24" t="n">
        <v>-0.203067154</v>
      </c>
    </row>
    <row r="1487" customFormat="false" ht="15" hidden="false" customHeight="false" outlineLevel="0" collapsed="false">
      <c r="A1487" s="3" t="n">
        <v>1486</v>
      </c>
      <c r="B1487" s="3" t="n">
        <v>1485</v>
      </c>
      <c r="C1487" s="3" t="s">
        <v>118</v>
      </c>
      <c r="D1487" s="3" t="n">
        <v>1</v>
      </c>
      <c r="E1487" s="3" t="n">
        <v>13</v>
      </c>
      <c r="F1487" s="3" t="n">
        <v>0</v>
      </c>
      <c r="G1487" s="3" t="n">
        <v>0</v>
      </c>
      <c r="H1487" s="24" t="n">
        <v>-0.0272161514</v>
      </c>
    </row>
    <row r="1488" customFormat="false" ht="15" hidden="false" customHeight="false" outlineLevel="0" collapsed="false">
      <c r="A1488" s="3" t="n">
        <v>1487</v>
      </c>
      <c r="B1488" s="3" t="n">
        <v>1486</v>
      </c>
      <c r="C1488" s="3" t="s">
        <v>118</v>
      </c>
      <c r="D1488" s="3" t="n">
        <v>1</v>
      </c>
      <c r="E1488" s="3" t="n">
        <v>13</v>
      </c>
      <c r="F1488" s="3" t="n">
        <v>0</v>
      </c>
      <c r="G1488" s="3" t="n">
        <v>1</v>
      </c>
      <c r="H1488" s="24" t="n">
        <v>-0.159793586</v>
      </c>
    </row>
    <row r="1489" customFormat="false" ht="15" hidden="false" customHeight="false" outlineLevel="0" collapsed="false">
      <c r="A1489" s="3" t="n">
        <v>1488</v>
      </c>
      <c r="B1489" s="3" t="n">
        <v>1487</v>
      </c>
      <c r="C1489" s="3" t="s">
        <v>118</v>
      </c>
      <c r="D1489" s="3" t="n">
        <v>1</v>
      </c>
      <c r="E1489" s="3" t="n">
        <v>13</v>
      </c>
      <c r="F1489" s="3" t="n">
        <v>0</v>
      </c>
      <c r="G1489" s="3" t="n">
        <v>2</v>
      </c>
      <c r="H1489" s="24" t="n">
        <v>-0.375921249</v>
      </c>
    </row>
    <row r="1490" customFormat="false" ht="15" hidden="false" customHeight="false" outlineLevel="0" collapsed="false">
      <c r="A1490" s="3" t="n">
        <v>1489</v>
      </c>
      <c r="B1490" s="3" t="n">
        <v>1488</v>
      </c>
      <c r="C1490" s="3" t="s">
        <v>118</v>
      </c>
      <c r="D1490" s="3" t="n">
        <v>1</v>
      </c>
      <c r="E1490" s="3" t="n">
        <v>13</v>
      </c>
      <c r="F1490" s="3" t="n">
        <v>1</v>
      </c>
      <c r="G1490" s="3" t="n">
        <v>0</v>
      </c>
      <c r="H1490" s="24" t="n">
        <v>-0.171297893</v>
      </c>
    </row>
    <row r="1491" customFormat="false" ht="15" hidden="false" customHeight="false" outlineLevel="0" collapsed="false">
      <c r="A1491" s="3" t="n">
        <v>1490</v>
      </c>
      <c r="B1491" s="3" t="n">
        <v>1489</v>
      </c>
      <c r="C1491" s="3" t="s">
        <v>118</v>
      </c>
      <c r="D1491" s="3" t="n">
        <v>1</v>
      </c>
      <c r="E1491" s="3" t="n">
        <v>13</v>
      </c>
      <c r="F1491" s="3" t="n">
        <v>1</v>
      </c>
      <c r="G1491" s="3" t="n">
        <v>1</v>
      </c>
      <c r="H1491" s="24" t="n">
        <v>-0.156238839</v>
      </c>
    </row>
    <row r="1492" customFormat="false" ht="15" hidden="false" customHeight="false" outlineLevel="0" collapsed="false">
      <c r="A1492" s="3" t="n">
        <v>1491</v>
      </c>
      <c r="B1492" s="3" t="n">
        <v>1490</v>
      </c>
      <c r="C1492" s="3" t="s">
        <v>118</v>
      </c>
      <c r="D1492" s="3" t="n">
        <v>1</v>
      </c>
      <c r="E1492" s="3" t="n">
        <v>13</v>
      </c>
      <c r="F1492" s="3" t="n">
        <v>1</v>
      </c>
      <c r="G1492" s="3" t="n">
        <v>2</v>
      </c>
      <c r="H1492" s="24" t="n">
        <v>0.0875857025</v>
      </c>
    </row>
    <row r="1493" customFormat="false" ht="15" hidden="false" customHeight="false" outlineLevel="0" collapsed="false">
      <c r="A1493" s="3" t="n">
        <v>1492</v>
      </c>
      <c r="B1493" s="3" t="n">
        <v>1491</v>
      </c>
      <c r="C1493" s="3" t="s">
        <v>118</v>
      </c>
      <c r="D1493" s="3" t="n">
        <v>1</v>
      </c>
      <c r="E1493" s="3" t="n">
        <v>13</v>
      </c>
      <c r="F1493" s="3" t="n">
        <v>2</v>
      </c>
      <c r="G1493" s="3" t="n">
        <v>0</v>
      </c>
      <c r="H1493" s="24" t="n">
        <v>0.188735202</v>
      </c>
    </row>
    <row r="1494" customFormat="false" ht="15" hidden="false" customHeight="false" outlineLevel="0" collapsed="false">
      <c r="A1494" s="3" t="n">
        <v>1493</v>
      </c>
      <c r="B1494" s="3" t="n">
        <v>1492</v>
      </c>
      <c r="C1494" s="3" t="s">
        <v>118</v>
      </c>
      <c r="D1494" s="3" t="n">
        <v>1</v>
      </c>
      <c r="E1494" s="3" t="n">
        <v>13</v>
      </c>
      <c r="F1494" s="3" t="n">
        <v>2</v>
      </c>
      <c r="G1494" s="3" t="n">
        <v>1</v>
      </c>
      <c r="H1494" s="24" t="n">
        <v>0.101859629</v>
      </c>
    </row>
    <row r="1495" customFormat="false" ht="15" hidden="false" customHeight="false" outlineLevel="0" collapsed="false">
      <c r="A1495" s="3" t="n">
        <v>1494</v>
      </c>
      <c r="B1495" s="3" t="n">
        <v>1493</v>
      </c>
      <c r="C1495" s="3" t="s">
        <v>118</v>
      </c>
      <c r="D1495" s="3" t="n">
        <v>1</v>
      </c>
      <c r="E1495" s="3" t="n">
        <v>13</v>
      </c>
      <c r="F1495" s="3" t="n">
        <v>2</v>
      </c>
      <c r="G1495" s="3" t="n">
        <v>2</v>
      </c>
      <c r="H1495" s="24" t="n">
        <v>0.0996837839</v>
      </c>
    </row>
    <row r="1496" customFormat="false" ht="15" hidden="false" customHeight="false" outlineLevel="0" collapsed="false">
      <c r="A1496" s="3" t="n">
        <v>1495</v>
      </c>
      <c r="B1496" s="3" t="n">
        <v>1494</v>
      </c>
      <c r="C1496" s="3" t="s">
        <v>118</v>
      </c>
      <c r="D1496" s="3" t="n">
        <v>1</v>
      </c>
      <c r="E1496" s="3" t="n">
        <v>14</v>
      </c>
      <c r="F1496" s="3" t="n">
        <v>0</v>
      </c>
      <c r="G1496" s="3" t="n">
        <v>0</v>
      </c>
      <c r="H1496" s="24" t="n">
        <v>0.0398019217</v>
      </c>
    </row>
    <row r="1497" customFormat="false" ht="15" hidden="false" customHeight="false" outlineLevel="0" collapsed="false">
      <c r="A1497" s="3" t="n">
        <v>1496</v>
      </c>
      <c r="B1497" s="3" t="n">
        <v>1495</v>
      </c>
      <c r="C1497" s="3" t="s">
        <v>118</v>
      </c>
      <c r="D1497" s="3" t="n">
        <v>1</v>
      </c>
      <c r="E1497" s="3" t="n">
        <v>14</v>
      </c>
      <c r="F1497" s="3" t="n">
        <v>0</v>
      </c>
      <c r="G1497" s="3" t="n">
        <v>1</v>
      </c>
      <c r="H1497" s="24" t="n">
        <v>-0.0922782794</v>
      </c>
    </row>
    <row r="1498" customFormat="false" ht="15" hidden="false" customHeight="false" outlineLevel="0" collapsed="false">
      <c r="A1498" s="3" t="n">
        <v>1497</v>
      </c>
      <c r="B1498" s="3" t="n">
        <v>1496</v>
      </c>
      <c r="C1498" s="3" t="s">
        <v>118</v>
      </c>
      <c r="D1498" s="3" t="n">
        <v>1</v>
      </c>
      <c r="E1498" s="3" t="n">
        <v>14</v>
      </c>
      <c r="F1498" s="3" t="n">
        <v>0</v>
      </c>
      <c r="G1498" s="3" t="n">
        <v>2</v>
      </c>
      <c r="H1498" s="24" t="n">
        <v>0.259768635</v>
      </c>
    </row>
    <row r="1499" customFormat="false" ht="15" hidden="false" customHeight="false" outlineLevel="0" collapsed="false">
      <c r="A1499" s="3" t="n">
        <v>1498</v>
      </c>
      <c r="B1499" s="3" t="n">
        <v>1497</v>
      </c>
      <c r="C1499" s="3" t="s">
        <v>118</v>
      </c>
      <c r="D1499" s="3" t="n">
        <v>1</v>
      </c>
      <c r="E1499" s="3" t="n">
        <v>14</v>
      </c>
      <c r="F1499" s="3" t="n">
        <v>1</v>
      </c>
      <c r="G1499" s="3" t="n">
        <v>0</v>
      </c>
      <c r="H1499" s="24" t="n">
        <v>-0.173374593</v>
      </c>
    </row>
    <row r="1500" customFormat="false" ht="15" hidden="false" customHeight="false" outlineLevel="0" collapsed="false">
      <c r="A1500" s="3" t="n">
        <v>1499</v>
      </c>
      <c r="B1500" s="3" t="n">
        <v>1498</v>
      </c>
      <c r="C1500" s="3" t="s">
        <v>118</v>
      </c>
      <c r="D1500" s="3" t="n">
        <v>1</v>
      </c>
      <c r="E1500" s="3" t="n">
        <v>14</v>
      </c>
      <c r="F1500" s="3" t="n">
        <v>1</v>
      </c>
      <c r="G1500" s="3" t="n">
        <v>1</v>
      </c>
      <c r="H1500" s="24" t="n">
        <v>-0.0052188905</v>
      </c>
    </row>
    <row r="1501" customFormat="false" ht="15" hidden="false" customHeight="false" outlineLevel="0" collapsed="false">
      <c r="A1501" s="3" t="n">
        <v>1500</v>
      </c>
      <c r="B1501" s="3" t="n">
        <v>1499</v>
      </c>
      <c r="C1501" s="3" t="s">
        <v>118</v>
      </c>
      <c r="D1501" s="3" t="n">
        <v>1</v>
      </c>
      <c r="E1501" s="3" t="n">
        <v>14</v>
      </c>
      <c r="F1501" s="3" t="n">
        <v>1</v>
      </c>
      <c r="G1501" s="3" t="n">
        <v>2</v>
      </c>
      <c r="H1501" s="24" t="n">
        <v>0.36779958</v>
      </c>
    </row>
    <row r="1502" customFormat="false" ht="15" hidden="false" customHeight="false" outlineLevel="0" collapsed="false">
      <c r="A1502" s="3" t="n">
        <v>1501</v>
      </c>
      <c r="B1502" s="3" t="n">
        <v>1500</v>
      </c>
      <c r="C1502" s="3" t="s">
        <v>118</v>
      </c>
      <c r="D1502" s="3" t="n">
        <v>1</v>
      </c>
      <c r="E1502" s="3" t="n">
        <v>14</v>
      </c>
      <c r="F1502" s="3" t="n">
        <v>2</v>
      </c>
      <c r="G1502" s="3" t="n">
        <v>0</v>
      </c>
      <c r="H1502" s="24" t="n">
        <v>-0.0387706943</v>
      </c>
    </row>
    <row r="1503" customFormat="false" ht="15" hidden="false" customHeight="false" outlineLevel="0" collapsed="false">
      <c r="A1503" s="3" t="n">
        <v>1502</v>
      </c>
      <c r="B1503" s="3" t="n">
        <v>1501</v>
      </c>
      <c r="C1503" s="3" t="s">
        <v>118</v>
      </c>
      <c r="D1503" s="3" t="n">
        <v>1</v>
      </c>
      <c r="E1503" s="3" t="n">
        <v>14</v>
      </c>
      <c r="F1503" s="3" t="n">
        <v>2</v>
      </c>
      <c r="G1503" s="3" t="n">
        <v>1</v>
      </c>
      <c r="H1503" s="24" t="n">
        <v>-0.122484982</v>
      </c>
    </row>
    <row r="1504" customFormat="false" ht="15" hidden="false" customHeight="false" outlineLevel="0" collapsed="false">
      <c r="A1504" s="3" t="n">
        <v>1503</v>
      </c>
      <c r="B1504" s="3" t="n">
        <v>1502</v>
      </c>
      <c r="C1504" s="3" t="s">
        <v>118</v>
      </c>
      <c r="D1504" s="3" t="n">
        <v>1</v>
      </c>
      <c r="E1504" s="3" t="n">
        <v>14</v>
      </c>
      <c r="F1504" s="3" t="n">
        <v>2</v>
      </c>
      <c r="G1504" s="3" t="n">
        <v>2</v>
      </c>
      <c r="H1504" s="24" t="n">
        <v>-0.0184834506</v>
      </c>
    </row>
    <row r="1505" customFormat="false" ht="15" hidden="false" customHeight="false" outlineLevel="0" collapsed="false">
      <c r="A1505" s="3" t="n">
        <v>1504</v>
      </c>
      <c r="B1505" s="3" t="n">
        <v>1503</v>
      </c>
      <c r="C1505" s="3" t="s">
        <v>118</v>
      </c>
      <c r="D1505" s="3" t="n">
        <v>1</v>
      </c>
      <c r="E1505" s="3" t="n">
        <v>15</v>
      </c>
      <c r="F1505" s="3" t="n">
        <v>0</v>
      </c>
      <c r="G1505" s="3" t="n">
        <v>0</v>
      </c>
      <c r="H1505" s="24" t="n">
        <v>0.0389571376</v>
      </c>
    </row>
    <row r="1506" customFormat="false" ht="15" hidden="false" customHeight="false" outlineLevel="0" collapsed="false">
      <c r="A1506" s="3" t="n">
        <v>1505</v>
      </c>
      <c r="B1506" s="3" t="n">
        <v>1504</v>
      </c>
      <c r="C1506" s="3" t="s">
        <v>118</v>
      </c>
      <c r="D1506" s="3" t="n">
        <v>1</v>
      </c>
      <c r="E1506" s="3" t="n">
        <v>15</v>
      </c>
      <c r="F1506" s="3" t="n">
        <v>0</v>
      </c>
      <c r="G1506" s="3" t="n">
        <v>1</v>
      </c>
      <c r="H1506" s="24" t="n">
        <v>0.117856473</v>
      </c>
    </row>
    <row r="1507" customFormat="false" ht="15" hidden="false" customHeight="false" outlineLevel="0" collapsed="false">
      <c r="A1507" s="3" t="n">
        <v>1506</v>
      </c>
      <c r="B1507" s="3" t="n">
        <v>1505</v>
      </c>
      <c r="C1507" s="3" t="s">
        <v>118</v>
      </c>
      <c r="D1507" s="3" t="n">
        <v>1</v>
      </c>
      <c r="E1507" s="3" t="n">
        <v>15</v>
      </c>
      <c r="F1507" s="3" t="n">
        <v>0</v>
      </c>
      <c r="G1507" s="3" t="n">
        <v>2</v>
      </c>
      <c r="H1507" s="24" t="n">
        <v>0.0481273606</v>
      </c>
    </row>
    <row r="1508" customFormat="false" ht="15" hidden="false" customHeight="false" outlineLevel="0" collapsed="false">
      <c r="A1508" s="3" t="n">
        <v>1507</v>
      </c>
      <c r="B1508" s="3" t="n">
        <v>1506</v>
      </c>
      <c r="C1508" s="3" t="s">
        <v>118</v>
      </c>
      <c r="D1508" s="3" t="n">
        <v>1</v>
      </c>
      <c r="E1508" s="3" t="n">
        <v>15</v>
      </c>
      <c r="F1508" s="3" t="n">
        <v>1</v>
      </c>
      <c r="G1508" s="3" t="n">
        <v>0</v>
      </c>
      <c r="H1508" s="24" t="n">
        <v>0.0198509134</v>
      </c>
    </row>
    <row r="1509" customFormat="false" ht="15" hidden="false" customHeight="false" outlineLevel="0" collapsed="false">
      <c r="A1509" s="3" t="n">
        <v>1508</v>
      </c>
      <c r="B1509" s="3" t="n">
        <v>1507</v>
      </c>
      <c r="C1509" s="3" t="s">
        <v>118</v>
      </c>
      <c r="D1509" s="3" t="n">
        <v>1</v>
      </c>
      <c r="E1509" s="3" t="n">
        <v>15</v>
      </c>
      <c r="F1509" s="3" t="n">
        <v>1</v>
      </c>
      <c r="G1509" s="3" t="n">
        <v>1</v>
      </c>
      <c r="H1509" s="24" t="n">
        <v>0.178395674</v>
      </c>
    </row>
    <row r="1510" customFormat="false" ht="15" hidden="false" customHeight="false" outlineLevel="0" collapsed="false">
      <c r="A1510" s="3" t="n">
        <v>1509</v>
      </c>
      <c r="B1510" s="3" t="n">
        <v>1508</v>
      </c>
      <c r="C1510" s="3" t="s">
        <v>118</v>
      </c>
      <c r="D1510" s="3" t="n">
        <v>1</v>
      </c>
      <c r="E1510" s="3" t="n">
        <v>15</v>
      </c>
      <c r="F1510" s="3" t="n">
        <v>1</v>
      </c>
      <c r="G1510" s="3" t="n">
        <v>2</v>
      </c>
      <c r="H1510" s="24" t="n">
        <v>-0.129980311</v>
      </c>
    </row>
    <row r="1511" customFormat="false" ht="15" hidden="false" customHeight="false" outlineLevel="0" collapsed="false">
      <c r="A1511" s="3" t="n">
        <v>1510</v>
      </c>
      <c r="B1511" s="3" t="n">
        <v>1509</v>
      </c>
      <c r="C1511" s="3" t="s">
        <v>118</v>
      </c>
      <c r="D1511" s="3" t="n">
        <v>1</v>
      </c>
      <c r="E1511" s="3" t="n">
        <v>15</v>
      </c>
      <c r="F1511" s="3" t="n">
        <v>2</v>
      </c>
      <c r="G1511" s="3" t="n">
        <v>0</v>
      </c>
      <c r="H1511" s="24" t="n">
        <v>-0.301815391</v>
      </c>
    </row>
    <row r="1512" customFormat="false" ht="15" hidden="false" customHeight="false" outlineLevel="0" collapsed="false">
      <c r="A1512" s="3" t="n">
        <v>1511</v>
      </c>
      <c r="B1512" s="3" t="n">
        <v>1510</v>
      </c>
      <c r="C1512" s="3" t="s">
        <v>118</v>
      </c>
      <c r="D1512" s="3" t="n">
        <v>1</v>
      </c>
      <c r="E1512" s="3" t="n">
        <v>15</v>
      </c>
      <c r="F1512" s="3" t="n">
        <v>2</v>
      </c>
      <c r="G1512" s="3" t="n">
        <v>1</v>
      </c>
      <c r="H1512" s="24" t="n">
        <v>-0.20699954</v>
      </c>
    </row>
    <row r="1513" customFormat="false" ht="15" hidden="false" customHeight="false" outlineLevel="0" collapsed="false">
      <c r="A1513" s="3" t="n">
        <v>1512</v>
      </c>
      <c r="B1513" s="3" t="n">
        <v>1511</v>
      </c>
      <c r="C1513" s="3" t="s">
        <v>118</v>
      </c>
      <c r="D1513" s="3" t="n">
        <v>1</v>
      </c>
      <c r="E1513" s="3" t="n">
        <v>15</v>
      </c>
      <c r="F1513" s="3" t="n">
        <v>2</v>
      </c>
      <c r="G1513" s="3" t="n">
        <v>2</v>
      </c>
      <c r="H1513" s="24" t="n">
        <v>0.0241796374</v>
      </c>
    </row>
    <row r="1514" customFormat="false" ht="15" hidden="false" customHeight="false" outlineLevel="0" collapsed="false">
      <c r="A1514" s="3" t="n">
        <v>1513</v>
      </c>
      <c r="B1514" s="3" t="n">
        <v>1512</v>
      </c>
      <c r="C1514" s="3" t="s">
        <v>118</v>
      </c>
      <c r="D1514" s="3" t="n">
        <v>2</v>
      </c>
      <c r="E1514" s="3" t="n">
        <v>0</v>
      </c>
      <c r="F1514" s="3" t="n">
        <v>0</v>
      </c>
      <c r="G1514" s="3" t="n">
        <v>0</v>
      </c>
      <c r="H1514" s="24" t="n">
        <v>0.12685667</v>
      </c>
    </row>
    <row r="1515" customFormat="false" ht="15" hidden="false" customHeight="false" outlineLevel="0" collapsed="false">
      <c r="A1515" s="3" t="n">
        <v>1514</v>
      </c>
      <c r="B1515" s="3" t="n">
        <v>1513</v>
      </c>
      <c r="C1515" s="3" t="s">
        <v>118</v>
      </c>
      <c r="D1515" s="3" t="n">
        <v>2</v>
      </c>
      <c r="E1515" s="3" t="n">
        <v>0</v>
      </c>
      <c r="F1515" s="3" t="n">
        <v>0</v>
      </c>
      <c r="G1515" s="3" t="n">
        <v>1</v>
      </c>
      <c r="H1515" s="24" t="n">
        <v>-0.0635789186</v>
      </c>
    </row>
    <row r="1516" customFormat="false" ht="15" hidden="false" customHeight="false" outlineLevel="0" collapsed="false">
      <c r="A1516" s="3" t="n">
        <v>1515</v>
      </c>
      <c r="B1516" s="3" t="n">
        <v>1514</v>
      </c>
      <c r="C1516" s="3" t="s">
        <v>118</v>
      </c>
      <c r="D1516" s="3" t="n">
        <v>2</v>
      </c>
      <c r="E1516" s="3" t="n">
        <v>0</v>
      </c>
      <c r="F1516" s="3" t="n">
        <v>0</v>
      </c>
      <c r="G1516" s="3" t="n">
        <v>2</v>
      </c>
      <c r="H1516" s="24" t="n">
        <v>0.202073723</v>
      </c>
    </row>
    <row r="1517" customFormat="false" ht="15" hidden="false" customHeight="false" outlineLevel="0" collapsed="false">
      <c r="A1517" s="3" t="n">
        <v>1516</v>
      </c>
      <c r="B1517" s="3" t="n">
        <v>1515</v>
      </c>
      <c r="C1517" s="3" t="s">
        <v>118</v>
      </c>
      <c r="D1517" s="3" t="n">
        <v>2</v>
      </c>
      <c r="E1517" s="3" t="n">
        <v>0</v>
      </c>
      <c r="F1517" s="3" t="n">
        <v>1</v>
      </c>
      <c r="G1517" s="3" t="n">
        <v>0</v>
      </c>
      <c r="H1517" s="24" t="n">
        <v>-0.199474961</v>
      </c>
    </row>
    <row r="1518" customFormat="false" ht="15" hidden="false" customHeight="false" outlineLevel="0" collapsed="false">
      <c r="A1518" s="3" t="n">
        <v>1517</v>
      </c>
      <c r="B1518" s="3" t="n">
        <v>1516</v>
      </c>
      <c r="C1518" s="3" t="s">
        <v>118</v>
      </c>
      <c r="D1518" s="3" t="n">
        <v>2</v>
      </c>
      <c r="E1518" s="3" t="n">
        <v>0</v>
      </c>
      <c r="F1518" s="3" t="n">
        <v>1</v>
      </c>
      <c r="G1518" s="3" t="n">
        <v>1</v>
      </c>
      <c r="H1518" s="24" t="n">
        <v>-0.341343403</v>
      </c>
    </row>
    <row r="1519" customFormat="false" ht="15" hidden="false" customHeight="false" outlineLevel="0" collapsed="false">
      <c r="A1519" s="3" t="n">
        <v>1518</v>
      </c>
      <c r="B1519" s="3" t="n">
        <v>1517</v>
      </c>
      <c r="C1519" s="3" t="s">
        <v>118</v>
      </c>
      <c r="D1519" s="3" t="n">
        <v>2</v>
      </c>
      <c r="E1519" s="3" t="n">
        <v>0</v>
      </c>
      <c r="F1519" s="3" t="n">
        <v>1</v>
      </c>
      <c r="G1519" s="3" t="n">
        <v>2</v>
      </c>
      <c r="H1519" s="24" t="n">
        <v>-0.00595013425</v>
      </c>
    </row>
    <row r="1520" customFormat="false" ht="15" hidden="false" customHeight="false" outlineLevel="0" collapsed="false">
      <c r="A1520" s="3" t="n">
        <v>1519</v>
      </c>
      <c r="B1520" s="3" t="n">
        <v>1518</v>
      </c>
      <c r="C1520" s="3" t="s">
        <v>118</v>
      </c>
      <c r="D1520" s="3" t="n">
        <v>2</v>
      </c>
      <c r="E1520" s="3" t="n">
        <v>0</v>
      </c>
      <c r="F1520" s="3" t="n">
        <v>2</v>
      </c>
      <c r="G1520" s="3" t="n">
        <v>0</v>
      </c>
      <c r="H1520" s="24" t="n">
        <v>-0.118728749</v>
      </c>
    </row>
    <row r="1521" customFormat="false" ht="15" hidden="false" customHeight="false" outlineLevel="0" collapsed="false">
      <c r="A1521" s="3" t="n">
        <v>1520</v>
      </c>
      <c r="B1521" s="3" t="n">
        <v>1519</v>
      </c>
      <c r="C1521" s="3" t="s">
        <v>118</v>
      </c>
      <c r="D1521" s="3" t="n">
        <v>2</v>
      </c>
      <c r="E1521" s="3" t="n">
        <v>0</v>
      </c>
      <c r="F1521" s="3" t="n">
        <v>2</v>
      </c>
      <c r="G1521" s="3" t="n">
        <v>1</v>
      </c>
      <c r="H1521" s="24" t="n">
        <v>-0.307140291</v>
      </c>
    </row>
    <row r="1522" customFormat="false" ht="15" hidden="false" customHeight="false" outlineLevel="0" collapsed="false">
      <c r="A1522" s="3" t="n">
        <v>1521</v>
      </c>
      <c r="B1522" s="3" t="n">
        <v>1520</v>
      </c>
      <c r="C1522" s="3" t="s">
        <v>118</v>
      </c>
      <c r="D1522" s="3" t="n">
        <v>2</v>
      </c>
      <c r="E1522" s="3" t="n">
        <v>0</v>
      </c>
      <c r="F1522" s="3" t="n">
        <v>2</v>
      </c>
      <c r="G1522" s="3" t="n">
        <v>2</v>
      </c>
      <c r="H1522" s="24" t="n">
        <v>0.126022264</v>
      </c>
    </row>
    <row r="1523" customFormat="false" ht="15" hidden="false" customHeight="false" outlineLevel="0" collapsed="false">
      <c r="A1523" s="3" t="n">
        <v>1522</v>
      </c>
      <c r="B1523" s="3" t="n">
        <v>1521</v>
      </c>
      <c r="C1523" s="3" t="s">
        <v>118</v>
      </c>
      <c r="D1523" s="3" t="n">
        <v>2</v>
      </c>
      <c r="E1523" s="3" t="n">
        <v>1</v>
      </c>
      <c r="F1523" s="3" t="n">
        <v>0</v>
      </c>
      <c r="G1523" s="3" t="n">
        <v>0</v>
      </c>
      <c r="H1523" s="24" t="n">
        <v>0.0105846198</v>
      </c>
    </row>
    <row r="1524" customFormat="false" ht="15" hidden="false" customHeight="false" outlineLevel="0" collapsed="false">
      <c r="A1524" s="3" t="n">
        <v>1523</v>
      </c>
      <c r="B1524" s="3" t="n">
        <v>1522</v>
      </c>
      <c r="C1524" s="3" t="s">
        <v>118</v>
      </c>
      <c r="D1524" s="3" t="n">
        <v>2</v>
      </c>
      <c r="E1524" s="3" t="n">
        <v>1</v>
      </c>
      <c r="F1524" s="3" t="n">
        <v>0</v>
      </c>
      <c r="G1524" s="3" t="n">
        <v>1</v>
      </c>
      <c r="H1524" s="24" t="n">
        <v>0.0738419667</v>
      </c>
    </row>
    <row r="1525" customFormat="false" ht="15" hidden="false" customHeight="false" outlineLevel="0" collapsed="false">
      <c r="A1525" s="3" t="n">
        <v>1524</v>
      </c>
      <c r="B1525" s="3" t="n">
        <v>1523</v>
      </c>
      <c r="C1525" s="3" t="s">
        <v>118</v>
      </c>
      <c r="D1525" s="3" t="n">
        <v>2</v>
      </c>
      <c r="E1525" s="3" t="n">
        <v>1</v>
      </c>
      <c r="F1525" s="3" t="n">
        <v>0</v>
      </c>
      <c r="G1525" s="3" t="n">
        <v>2</v>
      </c>
      <c r="H1525" s="24" t="n">
        <v>0.0585486069</v>
      </c>
    </row>
    <row r="1526" customFormat="false" ht="15" hidden="false" customHeight="false" outlineLevel="0" collapsed="false">
      <c r="A1526" s="3" t="n">
        <v>1525</v>
      </c>
      <c r="B1526" s="3" t="n">
        <v>1524</v>
      </c>
      <c r="C1526" s="3" t="s">
        <v>118</v>
      </c>
      <c r="D1526" s="3" t="n">
        <v>2</v>
      </c>
      <c r="E1526" s="3" t="n">
        <v>1</v>
      </c>
      <c r="F1526" s="3" t="n">
        <v>1</v>
      </c>
      <c r="G1526" s="3" t="n">
        <v>0</v>
      </c>
      <c r="H1526" s="24" t="n">
        <v>0.0457265265</v>
      </c>
    </row>
    <row r="1527" customFormat="false" ht="15" hidden="false" customHeight="false" outlineLevel="0" collapsed="false">
      <c r="A1527" s="3" t="n">
        <v>1526</v>
      </c>
      <c r="B1527" s="3" t="n">
        <v>1525</v>
      </c>
      <c r="C1527" s="3" t="s">
        <v>118</v>
      </c>
      <c r="D1527" s="3" t="n">
        <v>2</v>
      </c>
      <c r="E1527" s="3" t="n">
        <v>1</v>
      </c>
      <c r="F1527" s="3" t="n">
        <v>1</v>
      </c>
      <c r="G1527" s="3" t="n">
        <v>1</v>
      </c>
      <c r="H1527" s="24" t="n">
        <v>0.0372331291</v>
      </c>
    </row>
    <row r="1528" customFormat="false" ht="15" hidden="false" customHeight="false" outlineLevel="0" collapsed="false">
      <c r="A1528" s="3" t="n">
        <v>1527</v>
      </c>
      <c r="B1528" s="3" t="n">
        <v>1526</v>
      </c>
      <c r="C1528" s="3" t="s">
        <v>118</v>
      </c>
      <c r="D1528" s="3" t="n">
        <v>2</v>
      </c>
      <c r="E1528" s="3" t="n">
        <v>1</v>
      </c>
      <c r="F1528" s="3" t="n">
        <v>1</v>
      </c>
      <c r="G1528" s="3" t="n">
        <v>2</v>
      </c>
      <c r="H1528" s="24" t="n">
        <v>0.0430372059</v>
      </c>
    </row>
    <row r="1529" customFormat="false" ht="15" hidden="false" customHeight="false" outlineLevel="0" collapsed="false">
      <c r="A1529" s="3" t="n">
        <v>1528</v>
      </c>
      <c r="B1529" s="3" t="n">
        <v>1527</v>
      </c>
      <c r="C1529" s="3" t="s">
        <v>118</v>
      </c>
      <c r="D1529" s="3" t="n">
        <v>2</v>
      </c>
      <c r="E1529" s="3" t="n">
        <v>1</v>
      </c>
      <c r="F1529" s="3" t="n">
        <v>2</v>
      </c>
      <c r="G1529" s="3" t="n">
        <v>0</v>
      </c>
      <c r="H1529" s="24" t="n">
        <v>-0.116076864</v>
      </c>
    </row>
    <row r="1530" customFormat="false" ht="15" hidden="false" customHeight="false" outlineLevel="0" collapsed="false">
      <c r="A1530" s="3" t="n">
        <v>1529</v>
      </c>
      <c r="B1530" s="3" t="n">
        <v>1528</v>
      </c>
      <c r="C1530" s="3" t="s">
        <v>118</v>
      </c>
      <c r="D1530" s="3" t="n">
        <v>2</v>
      </c>
      <c r="E1530" s="3" t="n">
        <v>1</v>
      </c>
      <c r="F1530" s="3" t="n">
        <v>2</v>
      </c>
      <c r="G1530" s="3" t="n">
        <v>1</v>
      </c>
      <c r="H1530" s="24" t="n">
        <v>-0.180936664</v>
      </c>
    </row>
    <row r="1531" customFormat="false" ht="15" hidden="false" customHeight="false" outlineLevel="0" collapsed="false">
      <c r="A1531" s="3" t="n">
        <v>1530</v>
      </c>
      <c r="B1531" s="3" t="n">
        <v>1529</v>
      </c>
      <c r="C1531" s="3" t="s">
        <v>118</v>
      </c>
      <c r="D1531" s="3" t="n">
        <v>2</v>
      </c>
      <c r="E1531" s="3" t="n">
        <v>1</v>
      </c>
      <c r="F1531" s="3" t="n">
        <v>2</v>
      </c>
      <c r="G1531" s="3" t="n">
        <v>2</v>
      </c>
      <c r="H1531" s="24" t="n">
        <v>0.0644515902</v>
      </c>
    </row>
    <row r="1532" customFormat="false" ht="15" hidden="false" customHeight="false" outlineLevel="0" collapsed="false">
      <c r="A1532" s="3" t="n">
        <v>1531</v>
      </c>
      <c r="B1532" s="3" t="n">
        <v>1530</v>
      </c>
      <c r="C1532" s="3" t="s">
        <v>118</v>
      </c>
      <c r="D1532" s="3" t="n">
        <v>2</v>
      </c>
      <c r="E1532" s="3" t="n">
        <v>2</v>
      </c>
      <c r="F1532" s="3" t="n">
        <v>0</v>
      </c>
      <c r="G1532" s="3" t="n">
        <v>0</v>
      </c>
      <c r="H1532" s="24" t="n">
        <v>0.09806481</v>
      </c>
    </row>
    <row r="1533" customFormat="false" ht="15" hidden="false" customHeight="false" outlineLevel="0" collapsed="false">
      <c r="A1533" s="3" t="n">
        <v>1532</v>
      </c>
      <c r="B1533" s="3" t="n">
        <v>1531</v>
      </c>
      <c r="C1533" s="3" t="s">
        <v>118</v>
      </c>
      <c r="D1533" s="3" t="n">
        <v>2</v>
      </c>
      <c r="E1533" s="3" t="n">
        <v>2</v>
      </c>
      <c r="F1533" s="3" t="n">
        <v>0</v>
      </c>
      <c r="G1533" s="3" t="n">
        <v>1</v>
      </c>
      <c r="H1533" s="24" t="n">
        <v>-0.0927794352</v>
      </c>
    </row>
    <row r="1534" customFormat="false" ht="15" hidden="false" customHeight="false" outlineLevel="0" collapsed="false">
      <c r="A1534" s="3" t="n">
        <v>1533</v>
      </c>
      <c r="B1534" s="3" t="n">
        <v>1532</v>
      </c>
      <c r="C1534" s="3" t="s">
        <v>118</v>
      </c>
      <c r="D1534" s="3" t="n">
        <v>2</v>
      </c>
      <c r="E1534" s="3" t="n">
        <v>2</v>
      </c>
      <c r="F1534" s="3" t="n">
        <v>0</v>
      </c>
      <c r="G1534" s="3" t="n">
        <v>2</v>
      </c>
      <c r="H1534" s="24" t="n">
        <v>-0.0674528331</v>
      </c>
    </row>
    <row r="1535" customFormat="false" ht="15" hidden="false" customHeight="false" outlineLevel="0" collapsed="false">
      <c r="A1535" s="3" t="n">
        <v>1534</v>
      </c>
      <c r="B1535" s="3" t="n">
        <v>1533</v>
      </c>
      <c r="C1535" s="3" t="s">
        <v>118</v>
      </c>
      <c r="D1535" s="3" t="n">
        <v>2</v>
      </c>
      <c r="E1535" s="3" t="n">
        <v>2</v>
      </c>
      <c r="F1535" s="3" t="n">
        <v>1</v>
      </c>
      <c r="G1535" s="3" t="n">
        <v>0</v>
      </c>
      <c r="H1535" s="24" t="n">
        <v>-0.0193407703</v>
      </c>
    </row>
    <row r="1536" customFormat="false" ht="15" hidden="false" customHeight="false" outlineLevel="0" collapsed="false">
      <c r="A1536" s="3" t="n">
        <v>1535</v>
      </c>
      <c r="B1536" s="3" t="n">
        <v>1534</v>
      </c>
      <c r="C1536" s="3" t="s">
        <v>118</v>
      </c>
      <c r="D1536" s="3" t="n">
        <v>2</v>
      </c>
      <c r="E1536" s="3" t="n">
        <v>2</v>
      </c>
      <c r="F1536" s="3" t="n">
        <v>1</v>
      </c>
      <c r="G1536" s="3" t="n">
        <v>1</v>
      </c>
      <c r="H1536" s="24" t="n">
        <v>-0.0943908095</v>
      </c>
    </row>
    <row r="1537" customFormat="false" ht="15" hidden="false" customHeight="false" outlineLevel="0" collapsed="false">
      <c r="A1537" s="3" t="n">
        <v>1536</v>
      </c>
      <c r="B1537" s="3" t="n">
        <v>1535</v>
      </c>
      <c r="C1537" s="3" t="s">
        <v>118</v>
      </c>
      <c r="D1537" s="3" t="n">
        <v>2</v>
      </c>
      <c r="E1537" s="3" t="n">
        <v>2</v>
      </c>
      <c r="F1537" s="3" t="n">
        <v>1</v>
      </c>
      <c r="G1537" s="3" t="n">
        <v>2</v>
      </c>
      <c r="H1537" s="24" t="n">
        <v>0.207400456</v>
      </c>
    </row>
    <row r="1538" customFormat="false" ht="15" hidden="false" customHeight="false" outlineLevel="0" collapsed="false">
      <c r="A1538" s="3" t="n">
        <v>1537</v>
      </c>
      <c r="B1538" s="3" t="n">
        <v>1536</v>
      </c>
      <c r="C1538" s="3" t="s">
        <v>118</v>
      </c>
      <c r="D1538" s="3" t="n">
        <v>2</v>
      </c>
      <c r="E1538" s="3" t="n">
        <v>2</v>
      </c>
      <c r="F1538" s="3" t="n">
        <v>2</v>
      </c>
      <c r="G1538" s="3" t="n">
        <v>0</v>
      </c>
      <c r="H1538" s="24" t="n">
        <v>0.137675032</v>
      </c>
    </row>
    <row r="1539" customFormat="false" ht="15" hidden="false" customHeight="false" outlineLevel="0" collapsed="false">
      <c r="A1539" s="3" t="n">
        <v>1538</v>
      </c>
      <c r="B1539" s="3" t="n">
        <v>1537</v>
      </c>
      <c r="C1539" s="3" t="s">
        <v>118</v>
      </c>
      <c r="D1539" s="3" t="n">
        <v>2</v>
      </c>
      <c r="E1539" s="3" t="n">
        <v>2</v>
      </c>
      <c r="F1539" s="3" t="n">
        <v>2</v>
      </c>
      <c r="G1539" s="3" t="n">
        <v>1</v>
      </c>
      <c r="H1539" s="24" t="n">
        <v>0.0970752537</v>
      </c>
    </row>
    <row r="1540" customFormat="false" ht="15" hidden="false" customHeight="false" outlineLevel="0" collapsed="false">
      <c r="A1540" s="3" t="n">
        <v>1539</v>
      </c>
      <c r="B1540" s="3" t="n">
        <v>1538</v>
      </c>
      <c r="C1540" s="3" t="s">
        <v>118</v>
      </c>
      <c r="D1540" s="3" t="n">
        <v>2</v>
      </c>
      <c r="E1540" s="3" t="n">
        <v>2</v>
      </c>
      <c r="F1540" s="3" t="n">
        <v>2</v>
      </c>
      <c r="G1540" s="3" t="n">
        <v>2</v>
      </c>
      <c r="H1540" s="24" t="n">
        <v>0.185827672</v>
      </c>
    </row>
    <row r="1541" customFormat="false" ht="15" hidden="false" customHeight="false" outlineLevel="0" collapsed="false">
      <c r="A1541" s="3" t="n">
        <v>1540</v>
      </c>
      <c r="B1541" s="3" t="n">
        <v>1539</v>
      </c>
      <c r="C1541" s="3" t="s">
        <v>118</v>
      </c>
      <c r="D1541" s="3" t="n">
        <v>2</v>
      </c>
      <c r="E1541" s="3" t="n">
        <v>3</v>
      </c>
      <c r="F1541" s="3" t="n">
        <v>0</v>
      </c>
      <c r="G1541" s="3" t="n">
        <v>0</v>
      </c>
      <c r="H1541" s="24" t="n">
        <v>-0.207521796</v>
      </c>
    </row>
    <row r="1542" customFormat="false" ht="15" hidden="false" customHeight="false" outlineLevel="0" collapsed="false">
      <c r="A1542" s="3" t="n">
        <v>1541</v>
      </c>
      <c r="B1542" s="3" t="n">
        <v>1540</v>
      </c>
      <c r="C1542" s="3" t="s">
        <v>118</v>
      </c>
      <c r="D1542" s="3" t="n">
        <v>2</v>
      </c>
      <c r="E1542" s="3" t="n">
        <v>3</v>
      </c>
      <c r="F1542" s="3" t="n">
        <v>0</v>
      </c>
      <c r="G1542" s="3" t="n">
        <v>1</v>
      </c>
      <c r="H1542" s="24" t="n">
        <v>-0.338578045</v>
      </c>
    </row>
    <row r="1543" customFormat="false" ht="15" hidden="false" customHeight="false" outlineLevel="0" collapsed="false">
      <c r="A1543" s="3" t="n">
        <v>1542</v>
      </c>
      <c r="B1543" s="3" t="n">
        <v>1541</v>
      </c>
      <c r="C1543" s="3" t="s">
        <v>118</v>
      </c>
      <c r="D1543" s="3" t="n">
        <v>2</v>
      </c>
      <c r="E1543" s="3" t="n">
        <v>3</v>
      </c>
      <c r="F1543" s="3" t="n">
        <v>0</v>
      </c>
      <c r="G1543" s="3" t="n">
        <v>2</v>
      </c>
      <c r="H1543" s="24" t="n">
        <v>-0.305566251</v>
      </c>
    </row>
    <row r="1544" customFormat="false" ht="15" hidden="false" customHeight="false" outlineLevel="0" collapsed="false">
      <c r="A1544" s="3" t="n">
        <v>1543</v>
      </c>
      <c r="B1544" s="3" t="n">
        <v>1542</v>
      </c>
      <c r="C1544" s="3" t="s">
        <v>118</v>
      </c>
      <c r="D1544" s="3" t="n">
        <v>2</v>
      </c>
      <c r="E1544" s="3" t="n">
        <v>3</v>
      </c>
      <c r="F1544" s="3" t="n">
        <v>1</v>
      </c>
      <c r="G1544" s="3" t="n">
        <v>0</v>
      </c>
      <c r="H1544" s="24" t="n">
        <v>0.241235927</v>
      </c>
    </row>
    <row r="1545" customFormat="false" ht="15" hidden="false" customHeight="false" outlineLevel="0" collapsed="false">
      <c r="A1545" s="3" t="n">
        <v>1544</v>
      </c>
      <c r="B1545" s="3" t="n">
        <v>1543</v>
      </c>
      <c r="C1545" s="3" t="s">
        <v>118</v>
      </c>
      <c r="D1545" s="3" t="n">
        <v>2</v>
      </c>
      <c r="E1545" s="3" t="n">
        <v>3</v>
      </c>
      <c r="F1545" s="3" t="n">
        <v>1</v>
      </c>
      <c r="G1545" s="3" t="n">
        <v>1</v>
      </c>
      <c r="H1545" s="24" t="n">
        <v>0.154795438</v>
      </c>
    </row>
    <row r="1546" customFormat="false" ht="15" hidden="false" customHeight="false" outlineLevel="0" collapsed="false">
      <c r="A1546" s="3" t="n">
        <v>1545</v>
      </c>
      <c r="B1546" s="3" t="n">
        <v>1544</v>
      </c>
      <c r="C1546" s="3" t="s">
        <v>118</v>
      </c>
      <c r="D1546" s="3" t="n">
        <v>2</v>
      </c>
      <c r="E1546" s="3" t="n">
        <v>3</v>
      </c>
      <c r="F1546" s="3" t="n">
        <v>1</v>
      </c>
      <c r="G1546" s="3" t="n">
        <v>2</v>
      </c>
      <c r="H1546" s="24" t="n">
        <v>0.0369523987</v>
      </c>
    </row>
    <row r="1547" customFormat="false" ht="15" hidden="false" customHeight="false" outlineLevel="0" collapsed="false">
      <c r="A1547" s="3" t="n">
        <v>1546</v>
      </c>
      <c r="B1547" s="3" t="n">
        <v>1545</v>
      </c>
      <c r="C1547" s="3" t="s">
        <v>118</v>
      </c>
      <c r="D1547" s="3" t="n">
        <v>2</v>
      </c>
      <c r="E1547" s="3" t="n">
        <v>3</v>
      </c>
      <c r="F1547" s="3" t="n">
        <v>2</v>
      </c>
      <c r="G1547" s="3" t="n">
        <v>0</v>
      </c>
      <c r="H1547" s="24" t="n">
        <v>-0.064614743</v>
      </c>
    </row>
    <row r="1548" customFormat="false" ht="15" hidden="false" customHeight="false" outlineLevel="0" collapsed="false">
      <c r="A1548" s="3" t="n">
        <v>1547</v>
      </c>
      <c r="B1548" s="3" t="n">
        <v>1546</v>
      </c>
      <c r="C1548" s="3" t="s">
        <v>118</v>
      </c>
      <c r="D1548" s="3" t="n">
        <v>2</v>
      </c>
      <c r="E1548" s="3" t="n">
        <v>3</v>
      </c>
      <c r="F1548" s="3" t="n">
        <v>2</v>
      </c>
      <c r="G1548" s="3" t="n">
        <v>1</v>
      </c>
      <c r="H1548" s="24" t="n">
        <v>-0.00212055934</v>
      </c>
    </row>
    <row r="1549" customFormat="false" ht="15" hidden="false" customHeight="false" outlineLevel="0" collapsed="false">
      <c r="A1549" s="3" t="n">
        <v>1548</v>
      </c>
      <c r="B1549" s="3" t="n">
        <v>1547</v>
      </c>
      <c r="C1549" s="3" t="s">
        <v>118</v>
      </c>
      <c r="D1549" s="3" t="n">
        <v>2</v>
      </c>
      <c r="E1549" s="3" t="n">
        <v>3</v>
      </c>
      <c r="F1549" s="3" t="n">
        <v>2</v>
      </c>
      <c r="G1549" s="3" t="n">
        <v>2</v>
      </c>
      <c r="H1549" s="24" t="n">
        <v>0.0293457489</v>
      </c>
    </row>
    <row r="1550" customFormat="false" ht="15" hidden="false" customHeight="false" outlineLevel="0" collapsed="false">
      <c r="A1550" s="3" t="n">
        <v>1549</v>
      </c>
      <c r="B1550" s="3" t="n">
        <v>1548</v>
      </c>
      <c r="C1550" s="3" t="s">
        <v>118</v>
      </c>
      <c r="D1550" s="3" t="n">
        <v>2</v>
      </c>
      <c r="E1550" s="3" t="n">
        <v>4</v>
      </c>
      <c r="F1550" s="3" t="n">
        <v>0</v>
      </c>
      <c r="G1550" s="3" t="n">
        <v>0</v>
      </c>
      <c r="H1550" s="24" t="n">
        <v>0.0122880209</v>
      </c>
    </row>
    <row r="1551" customFormat="false" ht="15" hidden="false" customHeight="false" outlineLevel="0" collapsed="false">
      <c r="A1551" s="3" t="n">
        <v>1550</v>
      </c>
      <c r="B1551" s="3" t="n">
        <v>1549</v>
      </c>
      <c r="C1551" s="3" t="s">
        <v>118</v>
      </c>
      <c r="D1551" s="3" t="n">
        <v>2</v>
      </c>
      <c r="E1551" s="3" t="n">
        <v>4</v>
      </c>
      <c r="F1551" s="3" t="n">
        <v>0</v>
      </c>
      <c r="G1551" s="3" t="n">
        <v>1</v>
      </c>
      <c r="H1551" s="24" t="n">
        <v>-0.151343897</v>
      </c>
    </row>
    <row r="1552" customFormat="false" ht="15" hidden="false" customHeight="false" outlineLevel="0" collapsed="false">
      <c r="A1552" s="3" t="n">
        <v>1551</v>
      </c>
      <c r="B1552" s="3" t="n">
        <v>1550</v>
      </c>
      <c r="C1552" s="3" t="s">
        <v>118</v>
      </c>
      <c r="D1552" s="3" t="n">
        <v>2</v>
      </c>
      <c r="E1552" s="3" t="n">
        <v>4</v>
      </c>
      <c r="F1552" s="3" t="n">
        <v>0</v>
      </c>
      <c r="G1552" s="3" t="n">
        <v>2</v>
      </c>
      <c r="H1552" s="24" t="n">
        <v>0.0160492659</v>
      </c>
    </row>
    <row r="1553" customFormat="false" ht="15" hidden="false" customHeight="false" outlineLevel="0" collapsed="false">
      <c r="A1553" s="3" t="n">
        <v>1552</v>
      </c>
      <c r="B1553" s="3" t="n">
        <v>1551</v>
      </c>
      <c r="C1553" s="3" t="s">
        <v>118</v>
      </c>
      <c r="D1553" s="3" t="n">
        <v>2</v>
      </c>
      <c r="E1553" s="3" t="n">
        <v>4</v>
      </c>
      <c r="F1553" s="3" t="n">
        <v>1</v>
      </c>
      <c r="G1553" s="3" t="n">
        <v>0</v>
      </c>
      <c r="H1553" s="24" t="n">
        <v>0.261001915</v>
      </c>
    </row>
    <row r="1554" customFormat="false" ht="15" hidden="false" customHeight="false" outlineLevel="0" collapsed="false">
      <c r="A1554" s="3" t="n">
        <v>1553</v>
      </c>
      <c r="B1554" s="3" t="n">
        <v>1552</v>
      </c>
      <c r="C1554" s="3" t="s">
        <v>118</v>
      </c>
      <c r="D1554" s="3" t="n">
        <v>2</v>
      </c>
      <c r="E1554" s="3" t="n">
        <v>4</v>
      </c>
      <c r="F1554" s="3" t="n">
        <v>1</v>
      </c>
      <c r="G1554" s="3" t="n">
        <v>1</v>
      </c>
      <c r="H1554" s="24" t="n">
        <v>-0.0721870661</v>
      </c>
    </row>
    <row r="1555" customFormat="false" ht="15" hidden="false" customHeight="false" outlineLevel="0" collapsed="false">
      <c r="A1555" s="3" t="n">
        <v>1554</v>
      </c>
      <c r="B1555" s="3" t="n">
        <v>1553</v>
      </c>
      <c r="C1555" s="3" t="s">
        <v>118</v>
      </c>
      <c r="D1555" s="3" t="n">
        <v>2</v>
      </c>
      <c r="E1555" s="3" t="n">
        <v>4</v>
      </c>
      <c r="F1555" s="3" t="n">
        <v>1</v>
      </c>
      <c r="G1555" s="3" t="n">
        <v>2</v>
      </c>
      <c r="H1555" s="24" t="n">
        <v>-0.0607973412</v>
      </c>
    </row>
    <row r="1556" customFormat="false" ht="15" hidden="false" customHeight="false" outlineLevel="0" collapsed="false">
      <c r="A1556" s="3" t="n">
        <v>1555</v>
      </c>
      <c r="B1556" s="3" t="n">
        <v>1554</v>
      </c>
      <c r="C1556" s="3" t="s">
        <v>118</v>
      </c>
      <c r="D1556" s="3" t="n">
        <v>2</v>
      </c>
      <c r="E1556" s="3" t="n">
        <v>4</v>
      </c>
      <c r="F1556" s="3" t="n">
        <v>2</v>
      </c>
      <c r="G1556" s="3" t="n">
        <v>0</v>
      </c>
      <c r="H1556" s="24" t="n">
        <v>0.00677737966</v>
      </c>
    </row>
    <row r="1557" customFormat="false" ht="15" hidden="false" customHeight="false" outlineLevel="0" collapsed="false">
      <c r="A1557" s="3" t="n">
        <v>1556</v>
      </c>
      <c r="B1557" s="3" t="n">
        <v>1555</v>
      </c>
      <c r="C1557" s="3" t="s">
        <v>118</v>
      </c>
      <c r="D1557" s="3" t="n">
        <v>2</v>
      </c>
      <c r="E1557" s="3" t="n">
        <v>4</v>
      </c>
      <c r="F1557" s="3" t="n">
        <v>2</v>
      </c>
      <c r="G1557" s="3" t="n">
        <v>1</v>
      </c>
      <c r="H1557" s="24" t="n">
        <v>-0.276850313</v>
      </c>
    </row>
    <row r="1558" customFormat="false" ht="15" hidden="false" customHeight="false" outlineLevel="0" collapsed="false">
      <c r="A1558" s="3" t="n">
        <v>1557</v>
      </c>
      <c r="B1558" s="3" t="n">
        <v>1556</v>
      </c>
      <c r="C1558" s="3" t="s">
        <v>118</v>
      </c>
      <c r="D1558" s="3" t="n">
        <v>2</v>
      </c>
      <c r="E1558" s="3" t="n">
        <v>4</v>
      </c>
      <c r="F1558" s="3" t="n">
        <v>2</v>
      </c>
      <c r="G1558" s="3" t="n">
        <v>2</v>
      </c>
      <c r="H1558" s="24" t="n">
        <v>-0.296152651</v>
      </c>
    </row>
    <row r="1559" customFormat="false" ht="15" hidden="false" customHeight="false" outlineLevel="0" collapsed="false">
      <c r="A1559" s="3" t="n">
        <v>1558</v>
      </c>
      <c r="B1559" s="3" t="n">
        <v>1557</v>
      </c>
      <c r="C1559" s="3" t="s">
        <v>118</v>
      </c>
      <c r="D1559" s="3" t="n">
        <v>2</v>
      </c>
      <c r="E1559" s="3" t="n">
        <v>5</v>
      </c>
      <c r="F1559" s="3" t="n">
        <v>0</v>
      </c>
      <c r="G1559" s="3" t="n">
        <v>0</v>
      </c>
      <c r="H1559" s="24" t="n">
        <v>-0.00276503898</v>
      </c>
    </row>
    <row r="1560" customFormat="false" ht="15" hidden="false" customHeight="false" outlineLevel="0" collapsed="false">
      <c r="A1560" s="3" t="n">
        <v>1559</v>
      </c>
      <c r="B1560" s="3" t="n">
        <v>1558</v>
      </c>
      <c r="C1560" s="3" t="s">
        <v>118</v>
      </c>
      <c r="D1560" s="3" t="n">
        <v>2</v>
      </c>
      <c r="E1560" s="3" t="n">
        <v>5</v>
      </c>
      <c r="F1560" s="3" t="n">
        <v>0</v>
      </c>
      <c r="G1560" s="3" t="n">
        <v>1</v>
      </c>
      <c r="H1560" s="24" t="n">
        <v>-0.130624548</v>
      </c>
    </row>
    <row r="1561" customFormat="false" ht="15" hidden="false" customHeight="false" outlineLevel="0" collapsed="false">
      <c r="A1561" s="3" t="n">
        <v>1560</v>
      </c>
      <c r="B1561" s="3" t="n">
        <v>1559</v>
      </c>
      <c r="C1561" s="3" t="s">
        <v>118</v>
      </c>
      <c r="D1561" s="3" t="n">
        <v>2</v>
      </c>
      <c r="E1561" s="3" t="n">
        <v>5</v>
      </c>
      <c r="F1561" s="3" t="n">
        <v>0</v>
      </c>
      <c r="G1561" s="3" t="n">
        <v>2</v>
      </c>
      <c r="H1561" s="24" t="n">
        <v>0.267758042</v>
      </c>
    </row>
    <row r="1562" customFormat="false" ht="15" hidden="false" customHeight="false" outlineLevel="0" collapsed="false">
      <c r="A1562" s="3" t="n">
        <v>1561</v>
      </c>
      <c r="B1562" s="3" t="n">
        <v>1560</v>
      </c>
      <c r="C1562" s="3" t="s">
        <v>118</v>
      </c>
      <c r="D1562" s="3" t="n">
        <v>2</v>
      </c>
      <c r="E1562" s="3" t="n">
        <v>5</v>
      </c>
      <c r="F1562" s="3" t="n">
        <v>1</v>
      </c>
      <c r="G1562" s="3" t="n">
        <v>0</v>
      </c>
      <c r="H1562" s="24" t="n">
        <v>0.190014109</v>
      </c>
    </row>
    <row r="1563" customFormat="false" ht="15" hidden="false" customHeight="false" outlineLevel="0" collapsed="false">
      <c r="A1563" s="3" t="n">
        <v>1562</v>
      </c>
      <c r="B1563" s="3" t="n">
        <v>1561</v>
      </c>
      <c r="C1563" s="3" t="s">
        <v>118</v>
      </c>
      <c r="D1563" s="3" t="n">
        <v>2</v>
      </c>
      <c r="E1563" s="3" t="n">
        <v>5</v>
      </c>
      <c r="F1563" s="3" t="n">
        <v>1</v>
      </c>
      <c r="G1563" s="3" t="n">
        <v>1</v>
      </c>
      <c r="H1563" s="24" t="n">
        <v>0.174542665</v>
      </c>
    </row>
    <row r="1564" customFormat="false" ht="15" hidden="false" customHeight="false" outlineLevel="0" collapsed="false">
      <c r="A1564" s="3" t="n">
        <v>1563</v>
      </c>
      <c r="B1564" s="3" t="n">
        <v>1562</v>
      </c>
      <c r="C1564" s="3" t="s">
        <v>118</v>
      </c>
      <c r="D1564" s="3" t="n">
        <v>2</v>
      </c>
      <c r="E1564" s="3" t="n">
        <v>5</v>
      </c>
      <c r="F1564" s="3" t="n">
        <v>1</v>
      </c>
      <c r="G1564" s="3" t="n">
        <v>2</v>
      </c>
      <c r="H1564" s="24" t="n">
        <v>-0.0787514299</v>
      </c>
    </row>
    <row r="1565" customFormat="false" ht="15" hidden="false" customHeight="false" outlineLevel="0" collapsed="false">
      <c r="A1565" s="3" t="n">
        <v>1564</v>
      </c>
      <c r="B1565" s="3" t="n">
        <v>1563</v>
      </c>
      <c r="C1565" s="3" t="s">
        <v>118</v>
      </c>
      <c r="D1565" s="3" t="n">
        <v>2</v>
      </c>
      <c r="E1565" s="3" t="n">
        <v>5</v>
      </c>
      <c r="F1565" s="3" t="n">
        <v>2</v>
      </c>
      <c r="G1565" s="3" t="n">
        <v>0</v>
      </c>
      <c r="H1565" s="24" t="n">
        <v>0.0980532467</v>
      </c>
    </row>
    <row r="1566" customFormat="false" ht="15" hidden="false" customHeight="false" outlineLevel="0" collapsed="false">
      <c r="A1566" s="3" t="n">
        <v>1565</v>
      </c>
      <c r="B1566" s="3" t="n">
        <v>1564</v>
      </c>
      <c r="C1566" s="3" t="s">
        <v>118</v>
      </c>
      <c r="D1566" s="3" t="n">
        <v>2</v>
      </c>
      <c r="E1566" s="3" t="n">
        <v>5</v>
      </c>
      <c r="F1566" s="3" t="n">
        <v>2</v>
      </c>
      <c r="G1566" s="3" t="n">
        <v>1</v>
      </c>
      <c r="H1566" s="24" t="n">
        <v>-0.233913168</v>
      </c>
    </row>
    <row r="1567" customFormat="false" ht="15" hidden="false" customHeight="false" outlineLevel="0" collapsed="false">
      <c r="A1567" s="3" t="n">
        <v>1566</v>
      </c>
      <c r="B1567" s="3" t="n">
        <v>1565</v>
      </c>
      <c r="C1567" s="3" t="s">
        <v>118</v>
      </c>
      <c r="D1567" s="3" t="n">
        <v>2</v>
      </c>
      <c r="E1567" s="3" t="n">
        <v>5</v>
      </c>
      <c r="F1567" s="3" t="n">
        <v>2</v>
      </c>
      <c r="G1567" s="3" t="n">
        <v>2</v>
      </c>
      <c r="H1567" s="24" t="n">
        <v>0.0883359388</v>
      </c>
    </row>
    <row r="1568" customFormat="false" ht="15" hidden="false" customHeight="false" outlineLevel="0" collapsed="false">
      <c r="A1568" s="3" t="n">
        <v>1567</v>
      </c>
      <c r="B1568" s="3" t="n">
        <v>1566</v>
      </c>
      <c r="C1568" s="3" t="s">
        <v>118</v>
      </c>
      <c r="D1568" s="3" t="n">
        <v>2</v>
      </c>
      <c r="E1568" s="3" t="n">
        <v>6</v>
      </c>
      <c r="F1568" s="3" t="n">
        <v>0</v>
      </c>
      <c r="G1568" s="3" t="n">
        <v>0</v>
      </c>
      <c r="H1568" s="24" t="n">
        <v>0.0753191486</v>
      </c>
    </row>
    <row r="1569" customFormat="false" ht="15" hidden="false" customHeight="false" outlineLevel="0" collapsed="false">
      <c r="A1569" s="3" t="n">
        <v>1568</v>
      </c>
      <c r="B1569" s="3" t="n">
        <v>1567</v>
      </c>
      <c r="C1569" s="3" t="s">
        <v>118</v>
      </c>
      <c r="D1569" s="3" t="n">
        <v>2</v>
      </c>
      <c r="E1569" s="3" t="n">
        <v>6</v>
      </c>
      <c r="F1569" s="3" t="n">
        <v>0</v>
      </c>
      <c r="G1569" s="3" t="n">
        <v>1</v>
      </c>
      <c r="H1569" s="24" t="n">
        <v>0.0358226225</v>
      </c>
    </row>
    <row r="1570" customFormat="false" ht="15" hidden="false" customHeight="false" outlineLevel="0" collapsed="false">
      <c r="A1570" s="3" t="n">
        <v>1569</v>
      </c>
      <c r="B1570" s="3" t="n">
        <v>1568</v>
      </c>
      <c r="C1570" s="3" t="s">
        <v>118</v>
      </c>
      <c r="D1570" s="3" t="n">
        <v>2</v>
      </c>
      <c r="E1570" s="3" t="n">
        <v>6</v>
      </c>
      <c r="F1570" s="3" t="n">
        <v>0</v>
      </c>
      <c r="G1570" s="3" t="n">
        <v>2</v>
      </c>
      <c r="H1570" s="24" t="n">
        <v>0.0520725101</v>
      </c>
    </row>
    <row r="1571" customFormat="false" ht="15" hidden="false" customHeight="false" outlineLevel="0" collapsed="false">
      <c r="A1571" s="3" t="n">
        <v>1570</v>
      </c>
      <c r="B1571" s="3" t="n">
        <v>1569</v>
      </c>
      <c r="C1571" s="3" t="s">
        <v>118</v>
      </c>
      <c r="D1571" s="3" t="n">
        <v>2</v>
      </c>
      <c r="E1571" s="3" t="n">
        <v>6</v>
      </c>
      <c r="F1571" s="3" t="n">
        <v>1</v>
      </c>
      <c r="G1571" s="3" t="n">
        <v>0</v>
      </c>
      <c r="H1571" s="24" t="n">
        <v>-0.0573715717</v>
      </c>
    </row>
    <row r="1572" customFormat="false" ht="15" hidden="false" customHeight="false" outlineLevel="0" collapsed="false">
      <c r="A1572" s="3" t="n">
        <v>1571</v>
      </c>
      <c r="B1572" s="3" t="n">
        <v>1570</v>
      </c>
      <c r="C1572" s="3" t="s">
        <v>118</v>
      </c>
      <c r="D1572" s="3" t="n">
        <v>2</v>
      </c>
      <c r="E1572" s="3" t="n">
        <v>6</v>
      </c>
      <c r="F1572" s="3" t="n">
        <v>1</v>
      </c>
      <c r="G1572" s="3" t="n">
        <v>1</v>
      </c>
      <c r="H1572" s="24" t="n">
        <v>0.116100304</v>
      </c>
    </row>
    <row r="1573" customFormat="false" ht="15" hidden="false" customHeight="false" outlineLevel="0" collapsed="false">
      <c r="A1573" s="3" t="n">
        <v>1572</v>
      </c>
      <c r="B1573" s="3" t="n">
        <v>1571</v>
      </c>
      <c r="C1573" s="3" t="s">
        <v>118</v>
      </c>
      <c r="D1573" s="3" t="n">
        <v>2</v>
      </c>
      <c r="E1573" s="3" t="n">
        <v>6</v>
      </c>
      <c r="F1573" s="3" t="n">
        <v>1</v>
      </c>
      <c r="G1573" s="3" t="n">
        <v>2</v>
      </c>
      <c r="H1573" s="24" t="n">
        <v>-0.012997807</v>
      </c>
    </row>
    <row r="1574" customFormat="false" ht="15" hidden="false" customHeight="false" outlineLevel="0" collapsed="false">
      <c r="A1574" s="3" t="n">
        <v>1573</v>
      </c>
      <c r="B1574" s="3" t="n">
        <v>1572</v>
      </c>
      <c r="C1574" s="3" t="s">
        <v>118</v>
      </c>
      <c r="D1574" s="3" t="n">
        <v>2</v>
      </c>
      <c r="E1574" s="3" t="n">
        <v>6</v>
      </c>
      <c r="F1574" s="3" t="n">
        <v>2</v>
      </c>
      <c r="G1574" s="3" t="n">
        <v>0</v>
      </c>
      <c r="H1574" s="24" t="n">
        <v>0.0553592183</v>
      </c>
    </row>
    <row r="1575" customFormat="false" ht="15" hidden="false" customHeight="false" outlineLevel="0" collapsed="false">
      <c r="A1575" s="3" t="n">
        <v>1574</v>
      </c>
      <c r="B1575" s="3" t="n">
        <v>1573</v>
      </c>
      <c r="C1575" s="3" t="s">
        <v>118</v>
      </c>
      <c r="D1575" s="3" t="n">
        <v>2</v>
      </c>
      <c r="E1575" s="3" t="n">
        <v>6</v>
      </c>
      <c r="F1575" s="3" t="n">
        <v>2</v>
      </c>
      <c r="G1575" s="3" t="n">
        <v>1</v>
      </c>
      <c r="H1575" s="24" t="n">
        <v>-0.162740141</v>
      </c>
    </row>
    <row r="1576" customFormat="false" ht="15" hidden="false" customHeight="false" outlineLevel="0" collapsed="false">
      <c r="A1576" s="3" t="n">
        <v>1575</v>
      </c>
      <c r="B1576" s="3" t="n">
        <v>1574</v>
      </c>
      <c r="C1576" s="3" t="s">
        <v>118</v>
      </c>
      <c r="D1576" s="3" t="n">
        <v>2</v>
      </c>
      <c r="E1576" s="3" t="n">
        <v>6</v>
      </c>
      <c r="F1576" s="3" t="n">
        <v>2</v>
      </c>
      <c r="G1576" s="3" t="n">
        <v>2</v>
      </c>
      <c r="H1576" s="24" t="n">
        <v>0.16177766</v>
      </c>
    </row>
    <row r="1577" customFormat="false" ht="15" hidden="false" customHeight="false" outlineLevel="0" collapsed="false">
      <c r="A1577" s="3" t="n">
        <v>1576</v>
      </c>
      <c r="B1577" s="3" t="n">
        <v>1575</v>
      </c>
      <c r="C1577" s="3" t="s">
        <v>118</v>
      </c>
      <c r="D1577" s="3" t="n">
        <v>2</v>
      </c>
      <c r="E1577" s="3" t="n">
        <v>7</v>
      </c>
      <c r="F1577" s="3" t="n">
        <v>0</v>
      </c>
      <c r="G1577" s="3" t="n">
        <v>0</v>
      </c>
      <c r="H1577" s="24" t="n">
        <v>0.212396115</v>
      </c>
    </row>
    <row r="1578" customFormat="false" ht="15" hidden="false" customHeight="false" outlineLevel="0" collapsed="false">
      <c r="A1578" s="3" t="n">
        <v>1577</v>
      </c>
      <c r="B1578" s="3" t="n">
        <v>1576</v>
      </c>
      <c r="C1578" s="3" t="s">
        <v>118</v>
      </c>
      <c r="D1578" s="3" t="n">
        <v>2</v>
      </c>
      <c r="E1578" s="3" t="n">
        <v>7</v>
      </c>
      <c r="F1578" s="3" t="n">
        <v>0</v>
      </c>
      <c r="G1578" s="3" t="n">
        <v>1</v>
      </c>
      <c r="H1578" s="24" t="n">
        <v>-0.0210604891</v>
      </c>
    </row>
    <row r="1579" customFormat="false" ht="15" hidden="false" customHeight="false" outlineLevel="0" collapsed="false">
      <c r="A1579" s="3" t="n">
        <v>1578</v>
      </c>
      <c r="B1579" s="3" t="n">
        <v>1577</v>
      </c>
      <c r="C1579" s="3" t="s">
        <v>118</v>
      </c>
      <c r="D1579" s="3" t="n">
        <v>2</v>
      </c>
      <c r="E1579" s="3" t="n">
        <v>7</v>
      </c>
      <c r="F1579" s="3" t="n">
        <v>0</v>
      </c>
      <c r="G1579" s="3" t="n">
        <v>2</v>
      </c>
      <c r="H1579" s="24" t="n">
        <v>0.154665992</v>
      </c>
    </row>
    <row r="1580" customFormat="false" ht="15" hidden="false" customHeight="false" outlineLevel="0" collapsed="false">
      <c r="A1580" s="3" t="n">
        <v>1579</v>
      </c>
      <c r="B1580" s="3" t="n">
        <v>1578</v>
      </c>
      <c r="C1580" s="3" t="s">
        <v>118</v>
      </c>
      <c r="D1580" s="3" t="n">
        <v>2</v>
      </c>
      <c r="E1580" s="3" t="n">
        <v>7</v>
      </c>
      <c r="F1580" s="3" t="n">
        <v>1</v>
      </c>
      <c r="G1580" s="3" t="n">
        <v>0</v>
      </c>
      <c r="H1580" s="24" t="n">
        <v>0.0661102906</v>
      </c>
    </row>
    <row r="1581" customFormat="false" ht="15" hidden="false" customHeight="false" outlineLevel="0" collapsed="false">
      <c r="A1581" s="3" t="n">
        <v>1580</v>
      </c>
      <c r="B1581" s="3" t="n">
        <v>1579</v>
      </c>
      <c r="C1581" s="3" t="s">
        <v>118</v>
      </c>
      <c r="D1581" s="3" t="n">
        <v>2</v>
      </c>
      <c r="E1581" s="3" t="n">
        <v>7</v>
      </c>
      <c r="F1581" s="3" t="n">
        <v>1</v>
      </c>
      <c r="G1581" s="3" t="n">
        <v>1</v>
      </c>
      <c r="H1581" s="24" t="n">
        <v>0.0653556213</v>
      </c>
    </row>
    <row r="1582" customFormat="false" ht="15" hidden="false" customHeight="false" outlineLevel="0" collapsed="false">
      <c r="A1582" s="3" t="n">
        <v>1581</v>
      </c>
      <c r="B1582" s="3" t="n">
        <v>1580</v>
      </c>
      <c r="C1582" s="3" t="s">
        <v>118</v>
      </c>
      <c r="D1582" s="3" t="n">
        <v>2</v>
      </c>
      <c r="E1582" s="3" t="n">
        <v>7</v>
      </c>
      <c r="F1582" s="3" t="n">
        <v>1</v>
      </c>
      <c r="G1582" s="3" t="n">
        <v>2</v>
      </c>
      <c r="H1582" s="24" t="n">
        <v>-0.0203983001</v>
      </c>
    </row>
    <row r="1583" customFormat="false" ht="15" hidden="false" customHeight="false" outlineLevel="0" collapsed="false">
      <c r="A1583" s="3" t="n">
        <v>1582</v>
      </c>
      <c r="B1583" s="3" t="n">
        <v>1581</v>
      </c>
      <c r="C1583" s="3" t="s">
        <v>118</v>
      </c>
      <c r="D1583" s="3" t="n">
        <v>2</v>
      </c>
      <c r="E1583" s="3" t="n">
        <v>7</v>
      </c>
      <c r="F1583" s="3" t="n">
        <v>2</v>
      </c>
      <c r="G1583" s="3" t="n">
        <v>0</v>
      </c>
      <c r="H1583" s="24" t="n">
        <v>0.16708003</v>
      </c>
    </row>
    <row r="1584" customFormat="false" ht="15" hidden="false" customHeight="false" outlineLevel="0" collapsed="false">
      <c r="A1584" s="3" t="n">
        <v>1583</v>
      </c>
      <c r="B1584" s="3" t="n">
        <v>1582</v>
      </c>
      <c r="C1584" s="3" t="s">
        <v>118</v>
      </c>
      <c r="D1584" s="3" t="n">
        <v>2</v>
      </c>
      <c r="E1584" s="3" t="n">
        <v>7</v>
      </c>
      <c r="F1584" s="3" t="n">
        <v>2</v>
      </c>
      <c r="G1584" s="3" t="n">
        <v>1</v>
      </c>
      <c r="H1584" s="24" t="n">
        <v>0.209067225</v>
      </c>
    </row>
    <row r="1585" customFormat="false" ht="15" hidden="false" customHeight="false" outlineLevel="0" collapsed="false">
      <c r="A1585" s="3" t="n">
        <v>1584</v>
      </c>
      <c r="B1585" s="3" t="n">
        <v>1583</v>
      </c>
      <c r="C1585" s="3" t="s">
        <v>118</v>
      </c>
      <c r="D1585" s="3" t="n">
        <v>2</v>
      </c>
      <c r="E1585" s="3" t="n">
        <v>7</v>
      </c>
      <c r="F1585" s="3" t="n">
        <v>2</v>
      </c>
      <c r="G1585" s="3" t="n">
        <v>2</v>
      </c>
      <c r="H1585" s="24" t="n">
        <v>0.243336722</v>
      </c>
    </row>
    <row r="1586" customFormat="false" ht="15" hidden="false" customHeight="false" outlineLevel="0" collapsed="false">
      <c r="A1586" s="3" t="n">
        <v>1585</v>
      </c>
      <c r="B1586" s="3" t="n">
        <v>1584</v>
      </c>
      <c r="C1586" s="3" t="s">
        <v>118</v>
      </c>
      <c r="D1586" s="3" t="n">
        <v>2</v>
      </c>
      <c r="E1586" s="3" t="n">
        <v>8</v>
      </c>
      <c r="F1586" s="3" t="n">
        <v>0</v>
      </c>
      <c r="G1586" s="3" t="n">
        <v>0</v>
      </c>
      <c r="H1586" s="24" t="n">
        <v>0.0378122069</v>
      </c>
    </row>
    <row r="1587" customFormat="false" ht="15" hidden="false" customHeight="false" outlineLevel="0" collapsed="false">
      <c r="A1587" s="3" t="n">
        <v>1586</v>
      </c>
      <c r="B1587" s="3" t="n">
        <v>1585</v>
      </c>
      <c r="C1587" s="3" t="s">
        <v>118</v>
      </c>
      <c r="D1587" s="3" t="n">
        <v>2</v>
      </c>
      <c r="E1587" s="3" t="n">
        <v>8</v>
      </c>
      <c r="F1587" s="3" t="n">
        <v>0</v>
      </c>
      <c r="G1587" s="3" t="n">
        <v>1</v>
      </c>
      <c r="H1587" s="24" t="n">
        <v>-0.0652151331</v>
      </c>
    </row>
    <row r="1588" customFormat="false" ht="15" hidden="false" customHeight="false" outlineLevel="0" collapsed="false">
      <c r="A1588" s="3" t="n">
        <v>1587</v>
      </c>
      <c r="B1588" s="3" t="n">
        <v>1586</v>
      </c>
      <c r="C1588" s="3" t="s">
        <v>118</v>
      </c>
      <c r="D1588" s="3" t="n">
        <v>2</v>
      </c>
      <c r="E1588" s="3" t="n">
        <v>8</v>
      </c>
      <c r="F1588" s="3" t="n">
        <v>0</v>
      </c>
      <c r="G1588" s="3" t="n">
        <v>2</v>
      </c>
      <c r="H1588" s="24" t="n">
        <v>0.106020495</v>
      </c>
    </row>
    <row r="1589" customFormat="false" ht="15" hidden="false" customHeight="false" outlineLevel="0" collapsed="false">
      <c r="A1589" s="3" t="n">
        <v>1588</v>
      </c>
      <c r="B1589" s="3" t="n">
        <v>1587</v>
      </c>
      <c r="C1589" s="3" t="s">
        <v>118</v>
      </c>
      <c r="D1589" s="3" t="n">
        <v>2</v>
      </c>
      <c r="E1589" s="3" t="n">
        <v>8</v>
      </c>
      <c r="F1589" s="3" t="n">
        <v>1</v>
      </c>
      <c r="G1589" s="3" t="n">
        <v>0</v>
      </c>
      <c r="H1589" s="24" t="n">
        <v>0.202511176</v>
      </c>
    </row>
    <row r="1590" customFormat="false" ht="15" hidden="false" customHeight="false" outlineLevel="0" collapsed="false">
      <c r="A1590" s="3" t="n">
        <v>1589</v>
      </c>
      <c r="B1590" s="3" t="n">
        <v>1588</v>
      </c>
      <c r="C1590" s="3" t="s">
        <v>118</v>
      </c>
      <c r="D1590" s="3" t="n">
        <v>2</v>
      </c>
      <c r="E1590" s="3" t="n">
        <v>8</v>
      </c>
      <c r="F1590" s="3" t="n">
        <v>1</v>
      </c>
      <c r="G1590" s="3" t="n">
        <v>1</v>
      </c>
      <c r="H1590" s="24" t="n">
        <v>-0.00903265364</v>
      </c>
    </row>
    <row r="1591" customFormat="false" ht="15" hidden="false" customHeight="false" outlineLevel="0" collapsed="false">
      <c r="A1591" s="3" t="n">
        <v>1590</v>
      </c>
      <c r="B1591" s="3" t="n">
        <v>1589</v>
      </c>
      <c r="C1591" s="3" t="s">
        <v>118</v>
      </c>
      <c r="D1591" s="3" t="n">
        <v>2</v>
      </c>
      <c r="E1591" s="3" t="n">
        <v>8</v>
      </c>
      <c r="F1591" s="3" t="n">
        <v>1</v>
      </c>
      <c r="G1591" s="3" t="n">
        <v>2</v>
      </c>
      <c r="H1591" s="24" t="n">
        <v>0.0473476499</v>
      </c>
    </row>
    <row r="1592" customFormat="false" ht="15" hidden="false" customHeight="false" outlineLevel="0" collapsed="false">
      <c r="A1592" s="3" t="n">
        <v>1591</v>
      </c>
      <c r="B1592" s="3" t="n">
        <v>1590</v>
      </c>
      <c r="C1592" s="3" t="s">
        <v>118</v>
      </c>
      <c r="D1592" s="3" t="n">
        <v>2</v>
      </c>
      <c r="E1592" s="3" t="n">
        <v>8</v>
      </c>
      <c r="F1592" s="3" t="n">
        <v>2</v>
      </c>
      <c r="G1592" s="3" t="n">
        <v>0</v>
      </c>
      <c r="H1592" s="24" t="n">
        <v>0.077953577</v>
      </c>
    </row>
    <row r="1593" customFormat="false" ht="15" hidden="false" customHeight="false" outlineLevel="0" collapsed="false">
      <c r="A1593" s="3" t="n">
        <v>1592</v>
      </c>
      <c r="B1593" s="3" t="n">
        <v>1591</v>
      </c>
      <c r="C1593" s="3" t="s">
        <v>118</v>
      </c>
      <c r="D1593" s="3" t="n">
        <v>2</v>
      </c>
      <c r="E1593" s="3" t="n">
        <v>8</v>
      </c>
      <c r="F1593" s="3" t="n">
        <v>2</v>
      </c>
      <c r="G1593" s="3" t="n">
        <v>1</v>
      </c>
      <c r="H1593" s="24" t="n">
        <v>-0.179315627</v>
      </c>
    </row>
    <row r="1594" customFormat="false" ht="15" hidden="false" customHeight="false" outlineLevel="0" collapsed="false">
      <c r="A1594" s="3" t="n">
        <v>1593</v>
      </c>
      <c r="B1594" s="3" t="n">
        <v>1592</v>
      </c>
      <c r="C1594" s="3" t="s">
        <v>118</v>
      </c>
      <c r="D1594" s="3" t="n">
        <v>2</v>
      </c>
      <c r="E1594" s="3" t="n">
        <v>8</v>
      </c>
      <c r="F1594" s="3" t="n">
        <v>2</v>
      </c>
      <c r="G1594" s="3" t="n">
        <v>2</v>
      </c>
      <c r="H1594" s="24" t="n">
        <v>-0.203530177</v>
      </c>
    </row>
    <row r="1595" customFormat="false" ht="15" hidden="false" customHeight="false" outlineLevel="0" collapsed="false">
      <c r="A1595" s="3" t="n">
        <v>1594</v>
      </c>
      <c r="B1595" s="3" t="n">
        <v>1593</v>
      </c>
      <c r="C1595" s="3" t="s">
        <v>118</v>
      </c>
      <c r="D1595" s="3" t="n">
        <v>2</v>
      </c>
      <c r="E1595" s="3" t="n">
        <v>9</v>
      </c>
      <c r="F1595" s="3" t="n">
        <v>0</v>
      </c>
      <c r="G1595" s="3" t="n">
        <v>0</v>
      </c>
      <c r="H1595" s="24" t="n">
        <v>-0.0293032527</v>
      </c>
    </row>
    <row r="1596" customFormat="false" ht="15" hidden="false" customHeight="false" outlineLevel="0" collapsed="false">
      <c r="A1596" s="3" t="n">
        <v>1595</v>
      </c>
      <c r="B1596" s="3" t="n">
        <v>1594</v>
      </c>
      <c r="C1596" s="3" t="s">
        <v>118</v>
      </c>
      <c r="D1596" s="3" t="n">
        <v>2</v>
      </c>
      <c r="E1596" s="3" t="n">
        <v>9</v>
      </c>
      <c r="F1596" s="3" t="n">
        <v>0</v>
      </c>
      <c r="G1596" s="3" t="n">
        <v>1</v>
      </c>
      <c r="H1596" s="24" t="n">
        <v>0.142219469</v>
      </c>
    </row>
    <row r="1597" customFormat="false" ht="15" hidden="false" customHeight="false" outlineLevel="0" collapsed="false">
      <c r="A1597" s="3" t="n">
        <v>1596</v>
      </c>
      <c r="B1597" s="3" t="n">
        <v>1595</v>
      </c>
      <c r="C1597" s="3" t="s">
        <v>118</v>
      </c>
      <c r="D1597" s="3" t="n">
        <v>2</v>
      </c>
      <c r="E1597" s="3" t="n">
        <v>9</v>
      </c>
      <c r="F1597" s="3" t="n">
        <v>0</v>
      </c>
      <c r="G1597" s="3" t="n">
        <v>2</v>
      </c>
      <c r="H1597" s="24" t="n">
        <v>-0.114094585</v>
      </c>
    </row>
    <row r="1598" customFormat="false" ht="15" hidden="false" customHeight="false" outlineLevel="0" collapsed="false">
      <c r="A1598" s="3" t="n">
        <v>1597</v>
      </c>
      <c r="B1598" s="3" t="n">
        <v>1596</v>
      </c>
      <c r="C1598" s="3" t="s">
        <v>118</v>
      </c>
      <c r="D1598" s="3" t="n">
        <v>2</v>
      </c>
      <c r="E1598" s="3" t="n">
        <v>9</v>
      </c>
      <c r="F1598" s="3" t="n">
        <v>1</v>
      </c>
      <c r="G1598" s="3" t="n">
        <v>0</v>
      </c>
      <c r="H1598" s="24" t="n">
        <v>-0.0028138929</v>
      </c>
    </row>
    <row r="1599" customFormat="false" ht="15" hidden="false" customHeight="false" outlineLevel="0" collapsed="false">
      <c r="A1599" s="3" t="n">
        <v>1598</v>
      </c>
      <c r="B1599" s="3" t="n">
        <v>1597</v>
      </c>
      <c r="C1599" s="3" t="s">
        <v>118</v>
      </c>
      <c r="D1599" s="3" t="n">
        <v>2</v>
      </c>
      <c r="E1599" s="3" t="n">
        <v>9</v>
      </c>
      <c r="F1599" s="3" t="n">
        <v>1</v>
      </c>
      <c r="G1599" s="3" t="n">
        <v>1</v>
      </c>
      <c r="H1599" s="24" t="n">
        <v>-0.13060832</v>
      </c>
    </row>
    <row r="1600" customFormat="false" ht="15" hidden="false" customHeight="false" outlineLevel="0" collapsed="false">
      <c r="A1600" s="3" t="n">
        <v>1599</v>
      </c>
      <c r="B1600" s="3" t="n">
        <v>1598</v>
      </c>
      <c r="C1600" s="3" t="s">
        <v>118</v>
      </c>
      <c r="D1600" s="3" t="n">
        <v>2</v>
      </c>
      <c r="E1600" s="3" t="n">
        <v>9</v>
      </c>
      <c r="F1600" s="3" t="n">
        <v>1</v>
      </c>
      <c r="G1600" s="3" t="n">
        <v>2</v>
      </c>
      <c r="H1600" s="24" t="n">
        <v>0.204824269</v>
      </c>
    </row>
    <row r="1601" customFormat="false" ht="15" hidden="false" customHeight="false" outlineLevel="0" collapsed="false">
      <c r="A1601" s="3" t="n">
        <v>1600</v>
      </c>
      <c r="B1601" s="3" t="n">
        <v>1599</v>
      </c>
      <c r="C1601" s="3" t="s">
        <v>118</v>
      </c>
      <c r="D1601" s="3" t="n">
        <v>2</v>
      </c>
      <c r="E1601" s="3" t="n">
        <v>9</v>
      </c>
      <c r="F1601" s="3" t="n">
        <v>2</v>
      </c>
      <c r="G1601" s="3" t="n">
        <v>0</v>
      </c>
      <c r="H1601" s="24" t="n">
        <v>-0.130588397</v>
      </c>
    </row>
    <row r="1602" customFormat="false" ht="15" hidden="false" customHeight="false" outlineLevel="0" collapsed="false">
      <c r="A1602" s="3" t="n">
        <v>1601</v>
      </c>
      <c r="B1602" s="3" t="n">
        <v>1600</v>
      </c>
      <c r="C1602" s="3" t="s">
        <v>118</v>
      </c>
      <c r="D1602" s="3" t="n">
        <v>2</v>
      </c>
      <c r="E1602" s="3" t="n">
        <v>9</v>
      </c>
      <c r="F1602" s="3" t="n">
        <v>2</v>
      </c>
      <c r="G1602" s="3" t="n">
        <v>1</v>
      </c>
      <c r="H1602" s="24" t="n">
        <v>0.0825392678</v>
      </c>
    </row>
    <row r="1603" customFormat="false" ht="15" hidden="false" customHeight="false" outlineLevel="0" collapsed="false">
      <c r="A1603" s="3" t="n">
        <v>1602</v>
      </c>
      <c r="B1603" s="3" t="n">
        <v>1601</v>
      </c>
      <c r="C1603" s="3" t="s">
        <v>118</v>
      </c>
      <c r="D1603" s="3" t="n">
        <v>2</v>
      </c>
      <c r="E1603" s="3" t="n">
        <v>9</v>
      </c>
      <c r="F1603" s="3" t="n">
        <v>2</v>
      </c>
      <c r="G1603" s="3" t="n">
        <v>2</v>
      </c>
      <c r="H1603" s="24" t="n">
        <v>-0.17954272</v>
      </c>
    </row>
    <row r="1604" customFormat="false" ht="15" hidden="false" customHeight="false" outlineLevel="0" collapsed="false">
      <c r="A1604" s="3" t="n">
        <v>1603</v>
      </c>
      <c r="B1604" s="3" t="n">
        <v>1602</v>
      </c>
      <c r="C1604" s="3" t="s">
        <v>118</v>
      </c>
      <c r="D1604" s="3" t="n">
        <v>2</v>
      </c>
      <c r="E1604" s="3" t="n">
        <v>10</v>
      </c>
      <c r="F1604" s="3" t="n">
        <v>0</v>
      </c>
      <c r="G1604" s="3" t="n">
        <v>0</v>
      </c>
      <c r="H1604" s="24" t="n">
        <v>0.273697257</v>
      </c>
    </row>
    <row r="1605" customFormat="false" ht="15" hidden="false" customHeight="false" outlineLevel="0" collapsed="false">
      <c r="A1605" s="3" t="n">
        <v>1604</v>
      </c>
      <c r="B1605" s="3" t="n">
        <v>1603</v>
      </c>
      <c r="C1605" s="3" t="s">
        <v>118</v>
      </c>
      <c r="D1605" s="3" t="n">
        <v>2</v>
      </c>
      <c r="E1605" s="3" t="n">
        <v>10</v>
      </c>
      <c r="F1605" s="3" t="n">
        <v>0</v>
      </c>
      <c r="G1605" s="3" t="n">
        <v>1</v>
      </c>
      <c r="H1605" s="24" t="n">
        <v>0.0129301241</v>
      </c>
    </row>
    <row r="1606" customFormat="false" ht="15" hidden="false" customHeight="false" outlineLevel="0" collapsed="false">
      <c r="A1606" s="3" t="n">
        <v>1605</v>
      </c>
      <c r="B1606" s="3" t="n">
        <v>1604</v>
      </c>
      <c r="C1606" s="3" t="s">
        <v>118</v>
      </c>
      <c r="D1606" s="3" t="n">
        <v>2</v>
      </c>
      <c r="E1606" s="3" t="n">
        <v>10</v>
      </c>
      <c r="F1606" s="3" t="n">
        <v>0</v>
      </c>
      <c r="G1606" s="3" t="n">
        <v>2</v>
      </c>
      <c r="H1606" s="24" t="n">
        <v>0.14786844</v>
      </c>
    </row>
    <row r="1607" customFormat="false" ht="15" hidden="false" customHeight="false" outlineLevel="0" collapsed="false">
      <c r="A1607" s="3" t="n">
        <v>1606</v>
      </c>
      <c r="B1607" s="3" t="n">
        <v>1605</v>
      </c>
      <c r="C1607" s="3" t="s">
        <v>118</v>
      </c>
      <c r="D1607" s="3" t="n">
        <v>2</v>
      </c>
      <c r="E1607" s="3" t="n">
        <v>10</v>
      </c>
      <c r="F1607" s="3" t="n">
        <v>1</v>
      </c>
      <c r="G1607" s="3" t="n">
        <v>0</v>
      </c>
      <c r="H1607" s="24" t="n">
        <v>0.225887194</v>
      </c>
    </row>
    <row r="1608" customFormat="false" ht="15" hidden="false" customHeight="false" outlineLevel="0" collapsed="false">
      <c r="A1608" s="3" t="n">
        <v>1607</v>
      </c>
      <c r="B1608" s="3" t="n">
        <v>1606</v>
      </c>
      <c r="C1608" s="3" t="s">
        <v>118</v>
      </c>
      <c r="D1608" s="3" t="n">
        <v>2</v>
      </c>
      <c r="E1608" s="3" t="n">
        <v>10</v>
      </c>
      <c r="F1608" s="3" t="n">
        <v>1</v>
      </c>
      <c r="G1608" s="3" t="n">
        <v>1</v>
      </c>
      <c r="H1608" s="24" t="n">
        <v>-0.0188014023</v>
      </c>
    </row>
    <row r="1609" customFormat="false" ht="15" hidden="false" customHeight="false" outlineLevel="0" collapsed="false">
      <c r="A1609" s="3" t="n">
        <v>1608</v>
      </c>
      <c r="B1609" s="3" t="n">
        <v>1607</v>
      </c>
      <c r="C1609" s="3" t="s">
        <v>118</v>
      </c>
      <c r="D1609" s="3" t="n">
        <v>2</v>
      </c>
      <c r="E1609" s="3" t="n">
        <v>10</v>
      </c>
      <c r="F1609" s="3" t="n">
        <v>1</v>
      </c>
      <c r="G1609" s="3" t="n">
        <v>2</v>
      </c>
      <c r="H1609" s="24" t="n">
        <v>-0.0285000298</v>
      </c>
    </row>
    <row r="1610" customFormat="false" ht="15" hidden="false" customHeight="false" outlineLevel="0" collapsed="false">
      <c r="A1610" s="3" t="n">
        <v>1609</v>
      </c>
      <c r="B1610" s="3" t="n">
        <v>1608</v>
      </c>
      <c r="C1610" s="3" t="s">
        <v>118</v>
      </c>
      <c r="D1610" s="3" t="n">
        <v>2</v>
      </c>
      <c r="E1610" s="3" t="n">
        <v>10</v>
      </c>
      <c r="F1610" s="3" t="n">
        <v>2</v>
      </c>
      <c r="G1610" s="3" t="n">
        <v>0</v>
      </c>
      <c r="H1610" s="24" t="n">
        <v>-0.199329674</v>
      </c>
    </row>
    <row r="1611" customFormat="false" ht="15" hidden="false" customHeight="false" outlineLevel="0" collapsed="false">
      <c r="A1611" s="3" t="n">
        <v>1610</v>
      </c>
      <c r="B1611" s="3" t="n">
        <v>1609</v>
      </c>
      <c r="C1611" s="3" t="s">
        <v>118</v>
      </c>
      <c r="D1611" s="3" t="n">
        <v>2</v>
      </c>
      <c r="E1611" s="3" t="n">
        <v>10</v>
      </c>
      <c r="F1611" s="3" t="n">
        <v>2</v>
      </c>
      <c r="G1611" s="3" t="n">
        <v>1</v>
      </c>
      <c r="H1611" s="24" t="n">
        <v>-0.162506491</v>
      </c>
    </row>
    <row r="1612" customFormat="false" ht="15" hidden="false" customHeight="false" outlineLevel="0" collapsed="false">
      <c r="A1612" s="3" t="n">
        <v>1611</v>
      </c>
      <c r="B1612" s="3" t="n">
        <v>1610</v>
      </c>
      <c r="C1612" s="3" t="s">
        <v>118</v>
      </c>
      <c r="D1612" s="3" t="n">
        <v>2</v>
      </c>
      <c r="E1612" s="3" t="n">
        <v>10</v>
      </c>
      <c r="F1612" s="3" t="n">
        <v>2</v>
      </c>
      <c r="G1612" s="3" t="n">
        <v>2</v>
      </c>
      <c r="H1612" s="24" t="n">
        <v>-0.217195004</v>
      </c>
    </row>
    <row r="1613" customFormat="false" ht="15" hidden="false" customHeight="false" outlineLevel="0" collapsed="false">
      <c r="A1613" s="3" t="n">
        <v>1612</v>
      </c>
      <c r="B1613" s="3" t="n">
        <v>1611</v>
      </c>
      <c r="C1613" s="3" t="s">
        <v>118</v>
      </c>
      <c r="D1613" s="3" t="n">
        <v>2</v>
      </c>
      <c r="E1613" s="3" t="n">
        <v>11</v>
      </c>
      <c r="F1613" s="3" t="n">
        <v>0</v>
      </c>
      <c r="G1613" s="3" t="n">
        <v>0</v>
      </c>
      <c r="H1613" s="24" t="n">
        <v>-0.108866096</v>
      </c>
    </row>
    <row r="1614" customFormat="false" ht="15" hidden="false" customHeight="false" outlineLevel="0" collapsed="false">
      <c r="A1614" s="3" t="n">
        <v>1613</v>
      </c>
      <c r="B1614" s="3" t="n">
        <v>1612</v>
      </c>
      <c r="C1614" s="3" t="s">
        <v>118</v>
      </c>
      <c r="D1614" s="3" t="n">
        <v>2</v>
      </c>
      <c r="E1614" s="3" t="n">
        <v>11</v>
      </c>
      <c r="F1614" s="3" t="n">
        <v>0</v>
      </c>
      <c r="G1614" s="3" t="n">
        <v>1</v>
      </c>
      <c r="H1614" s="24" t="n">
        <v>-0.112652726</v>
      </c>
    </row>
    <row r="1615" customFormat="false" ht="15" hidden="false" customHeight="false" outlineLevel="0" collapsed="false">
      <c r="A1615" s="3" t="n">
        <v>1614</v>
      </c>
      <c r="B1615" s="3" t="n">
        <v>1613</v>
      </c>
      <c r="C1615" s="3" t="s">
        <v>118</v>
      </c>
      <c r="D1615" s="3" t="n">
        <v>2</v>
      </c>
      <c r="E1615" s="3" t="n">
        <v>11</v>
      </c>
      <c r="F1615" s="3" t="n">
        <v>0</v>
      </c>
      <c r="G1615" s="3" t="n">
        <v>2</v>
      </c>
      <c r="H1615" s="24" t="n">
        <v>-0.227437407</v>
      </c>
    </row>
    <row r="1616" customFormat="false" ht="15" hidden="false" customHeight="false" outlineLevel="0" collapsed="false">
      <c r="A1616" s="3" t="n">
        <v>1615</v>
      </c>
      <c r="B1616" s="3" t="n">
        <v>1614</v>
      </c>
      <c r="C1616" s="3" t="s">
        <v>118</v>
      </c>
      <c r="D1616" s="3" t="n">
        <v>2</v>
      </c>
      <c r="E1616" s="3" t="n">
        <v>11</v>
      </c>
      <c r="F1616" s="3" t="n">
        <v>1</v>
      </c>
      <c r="G1616" s="3" t="n">
        <v>0</v>
      </c>
      <c r="H1616" s="24" t="n">
        <v>0.276327223</v>
      </c>
    </row>
    <row r="1617" customFormat="false" ht="15" hidden="false" customHeight="false" outlineLevel="0" collapsed="false">
      <c r="A1617" s="3" t="n">
        <v>1616</v>
      </c>
      <c r="B1617" s="3" t="n">
        <v>1615</v>
      </c>
      <c r="C1617" s="3" t="s">
        <v>118</v>
      </c>
      <c r="D1617" s="3" t="n">
        <v>2</v>
      </c>
      <c r="E1617" s="3" t="n">
        <v>11</v>
      </c>
      <c r="F1617" s="3" t="n">
        <v>1</v>
      </c>
      <c r="G1617" s="3" t="n">
        <v>1</v>
      </c>
      <c r="H1617" s="24" t="n">
        <v>0.17621927</v>
      </c>
    </row>
    <row r="1618" customFormat="false" ht="15" hidden="false" customHeight="false" outlineLevel="0" collapsed="false">
      <c r="A1618" s="3" t="n">
        <v>1617</v>
      </c>
      <c r="B1618" s="3" t="n">
        <v>1616</v>
      </c>
      <c r="C1618" s="3" t="s">
        <v>118</v>
      </c>
      <c r="D1618" s="3" t="n">
        <v>2</v>
      </c>
      <c r="E1618" s="3" t="n">
        <v>11</v>
      </c>
      <c r="F1618" s="3" t="n">
        <v>1</v>
      </c>
      <c r="G1618" s="3" t="n">
        <v>2</v>
      </c>
      <c r="H1618" s="24" t="n">
        <v>0.272126138</v>
      </c>
    </row>
    <row r="1619" customFormat="false" ht="15" hidden="false" customHeight="false" outlineLevel="0" collapsed="false">
      <c r="A1619" s="3" t="n">
        <v>1618</v>
      </c>
      <c r="B1619" s="3" t="n">
        <v>1617</v>
      </c>
      <c r="C1619" s="3" t="s">
        <v>118</v>
      </c>
      <c r="D1619" s="3" t="n">
        <v>2</v>
      </c>
      <c r="E1619" s="3" t="n">
        <v>11</v>
      </c>
      <c r="F1619" s="3" t="n">
        <v>2</v>
      </c>
      <c r="G1619" s="3" t="n">
        <v>0</v>
      </c>
      <c r="H1619" s="24" t="n">
        <v>-0.0586549453</v>
      </c>
    </row>
    <row r="1620" customFormat="false" ht="15" hidden="false" customHeight="false" outlineLevel="0" collapsed="false">
      <c r="A1620" s="3" t="n">
        <v>1619</v>
      </c>
      <c r="B1620" s="3" t="n">
        <v>1618</v>
      </c>
      <c r="C1620" s="3" t="s">
        <v>118</v>
      </c>
      <c r="D1620" s="3" t="n">
        <v>2</v>
      </c>
      <c r="E1620" s="3" t="n">
        <v>11</v>
      </c>
      <c r="F1620" s="3" t="n">
        <v>2</v>
      </c>
      <c r="G1620" s="3" t="n">
        <v>1</v>
      </c>
      <c r="H1620" s="24" t="n">
        <v>0.0121874008</v>
      </c>
    </row>
    <row r="1621" customFormat="false" ht="15" hidden="false" customHeight="false" outlineLevel="0" collapsed="false">
      <c r="A1621" s="3" t="n">
        <v>1620</v>
      </c>
      <c r="B1621" s="3" t="n">
        <v>1619</v>
      </c>
      <c r="C1621" s="3" t="s">
        <v>118</v>
      </c>
      <c r="D1621" s="3" t="n">
        <v>2</v>
      </c>
      <c r="E1621" s="3" t="n">
        <v>11</v>
      </c>
      <c r="F1621" s="3" t="n">
        <v>2</v>
      </c>
      <c r="G1621" s="3" t="n">
        <v>2</v>
      </c>
      <c r="H1621" s="24" t="n">
        <v>0.0491648912</v>
      </c>
    </row>
    <row r="1622" customFormat="false" ht="15" hidden="false" customHeight="false" outlineLevel="0" collapsed="false">
      <c r="A1622" s="3" t="n">
        <v>1621</v>
      </c>
      <c r="B1622" s="3" t="n">
        <v>1620</v>
      </c>
      <c r="C1622" s="3" t="s">
        <v>118</v>
      </c>
      <c r="D1622" s="3" t="n">
        <v>2</v>
      </c>
      <c r="E1622" s="3" t="n">
        <v>12</v>
      </c>
      <c r="F1622" s="3" t="n">
        <v>0</v>
      </c>
      <c r="G1622" s="3" t="n">
        <v>0</v>
      </c>
      <c r="H1622" s="24" t="n">
        <v>0.128163457</v>
      </c>
    </row>
    <row r="1623" customFormat="false" ht="15" hidden="false" customHeight="false" outlineLevel="0" collapsed="false">
      <c r="A1623" s="3" t="n">
        <v>1622</v>
      </c>
      <c r="B1623" s="3" t="n">
        <v>1621</v>
      </c>
      <c r="C1623" s="3" t="s">
        <v>118</v>
      </c>
      <c r="D1623" s="3" t="n">
        <v>2</v>
      </c>
      <c r="E1623" s="3" t="n">
        <v>12</v>
      </c>
      <c r="F1623" s="3" t="n">
        <v>0</v>
      </c>
      <c r="G1623" s="3" t="n">
        <v>1</v>
      </c>
      <c r="H1623" s="24" t="n">
        <v>-0.119490623</v>
      </c>
    </row>
    <row r="1624" customFormat="false" ht="15" hidden="false" customHeight="false" outlineLevel="0" collapsed="false">
      <c r="A1624" s="3" t="n">
        <v>1623</v>
      </c>
      <c r="B1624" s="3" t="n">
        <v>1622</v>
      </c>
      <c r="C1624" s="3" t="s">
        <v>118</v>
      </c>
      <c r="D1624" s="3" t="n">
        <v>2</v>
      </c>
      <c r="E1624" s="3" t="n">
        <v>12</v>
      </c>
      <c r="F1624" s="3" t="n">
        <v>0</v>
      </c>
      <c r="G1624" s="3" t="n">
        <v>2</v>
      </c>
      <c r="H1624" s="24" t="n">
        <v>-0.046204824</v>
      </c>
    </row>
    <row r="1625" customFormat="false" ht="15" hidden="false" customHeight="false" outlineLevel="0" collapsed="false">
      <c r="A1625" s="3" t="n">
        <v>1624</v>
      </c>
      <c r="B1625" s="3" t="n">
        <v>1623</v>
      </c>
      <c r="C1625" s="3" t="s">
        <v>118</v>
      </c>
      <c r="D1625" s="3" t="n">
        <v>2</v>
      </c>
      <c r="E1625" s="3" t="n">
        <v>12</v>
      </c>
      <c r="F1625" s="3" t="n">
        <v>1</v>
      </c>
      <c r="G1625" s="3" t="n">
        <v>0</v>
      </c>
      <c r="H1625" s="24" t="n">
        <v>-0.11878036</v>
      </c>
    </row>
    <row r="1626" customFormat="false" ht="15" hidden="false" customHeight="false" outlineLevel="0" collapsed="false">
      <c r="A1626" s="3" t="n">
        <v>1625</v>
      </c>
      <c r="B1626" s="3" t="n">
        <v>1624</v>
      </c>
      <c r="C1626" s="3" t="s">
        <v>118</v>
      </c>
      <c r="D1626" s="3" t="n">
        <v>2</v>
      </c>
      <c r="E1626" s="3" t="n">
        <v>12</v>
      </c>
      <c r="F1626" s="3" t="n">
        <v>1</v>
      </c>
      <c r="G1626" s="3" t="n">
        <v>1</v>
      </c>
      <c r="H1626" s="24" t="n">
        <v>-0.0650267676</v>
      </c>
    </row>
    <row r="1627" customFormat="false" ht="15" hidden="false" customHeight="false" outlineLevel="0" collapsed="false">
      <c r="A1627" s="3" t="n">
        <v>1626</v>
      </c>
      <c r="B1627" s="3" t="n">
        <v>1625</v>
      </c>
      <c r="C1627" s="3" t="s">
        <v>118</v>
      </c>
      <c r="D1627" s="3" t="n">
        <v>2</v>
      </c>
      <c r="E1627" s="3" t="n">
        <v>12</v>
      </c>
      <c r="F1627" s="3" t="n">
        <v>1</v>
      </c>
      <c r="G1627" s="3" t="n">
        <v>2</v>
      </c>
      <c r="H1627" s="24" t="n">
        <v>-0.0421326049</v>
      </c>
    </row>
    <row r="1628" customFormat="false" ht="15" hidden="false" customHeight="false" outlineLevel="0" collapsed="false">
      <c r="A1628" s="3" t="n">
        <v>1627</v>
      </c>
      <c r="B1628" s="3" t="n">
        <v>1626</v>
      </c>
      <c r="C1628" s="3" t="s">
        <v>118</v>
      </c>
      <c r="D1628" s="3" t="n">
        <v>2</v>
      </c>
      <c r="E1628" s="3" t="n">
        <v>12</v>
      </c>
      <c r="F1628" s="3" t="n">
        <v>2</v>
      </c>
      <c r="G1628" s="3" t="n">
        <v>0</v>
      </c>
      <c r="H1628" s="24" t="n">
        <v>-0.125264704</v>
      </c>
    </row>
    <row r="1629" customFormat="false" ht="15" hidden="false" customHeight="false" outlineLevel="0" collapsed="false">
      <c r="A1629" s="3" t="n">
        <v>1628</v>
      </c>
      <c r="B1629" s="3" t="n">
        <v>1627</v>
      </c>
      <c r="C1629" s="3" t="s">
        <v>118</v>
      </c>
      <c r="D1629" s="3" t="n">
        <v>2</v>
      </c>
      <c r="E1629" s="3" t="n">
        <v>12</v>
      </c>
      <c r="F1629" s="3" t="n">
        <v>2</v>
      </c>
      <c r="G1629" s="3" t="n">
        <v>1</v>
      </c>
      <c r="H1629" s="24" t="n">
        <v>0.0742672235</v>
      </c>
    </row>
    <row r="1630" customFormat="false" ht="15" hidden="false" customHeight="false" outlineLevel="0" collapsed="false">
      <c r="A1630" s="3" t="n">
        <v>1629</v>
      </c>
      <c r="B1630" s="3" t="n">
        <v>1628</v>
      </c>
      <c r="C1630" s="3" t="s">
        <v>118</v>
      </c>
      <c r="D1630" s="3" t="n">
        <v>2</v>
      </c>
      <c r="E1630" s="3" t="n">
        <v>12</v>
      </c>
      <c r="F1630" s="3" t="n">
        <v>2</v>
      </c>
      <c r="G1630" s="3" t="n">
        <v>2</v>
      </c>
      <c r="H1630" s="24" t="n">
        <v>0.113316678</v>
      </c>
    </row>
    <row r="1631" customFormat="false" ht="15" hidden="false" customHeight="false" outlineLevel="0" collapsed="false">
      <c r="A1631" s="3" t="n">
        <v>1630</v>
      </c>
      <c r="B1631" s="3" t="n">
        <v>1629</v>
      </c>
      <c r="C1631" s="3" t="s">
        <v>118</v>
      </c>
      <c r="D1631" s="3" t="n">
        <v>2</v>
      </c>
      <c r="E1631" s="3" t="n">
        <v>13</v>
      </c>
      <c r="F1631" s="3" t="n">
        <v>0</v>
      </c>
      <c r="G1631" s="3" t="n">
        <v>0</v>
      </c>
      <c r="H1631" s="24" t="n">
        <v>-0.032577686</v>
      </c>
    </row>
    <row r="1632" customFormat="false" ht="15" hidden="false" customHeight="false" outlineLevel="0" collapsed="false">
      <c r="A1632" s="3" t="n">
        <v>1631</v>
      </c>
      <c r="B1632" s="3" t="n">
        <v>1630</v>
      </c>
      <c r="C1632" s="3" t="s">
        <v>118</v>
      </c>
      <c r="D1632" s="3" t="n">
        <v>2</v>
      </c>
      <c r="E1632" s="3" t="n">
        <v>13</v>
      </c>
      <c r="F1632" s="3" t="n">
        <v>0</v>
      </c>
      <c r="G1632" s="3" t="n">
        <v>1</v>
      </c>
      <c r="H1632" s="24" t="n">
        <v>-0.136512309</v>
      </c>
    </row>
    <row r="1633" customFormat="false" ht="15" hidden="false" customHeight="false" outlineLevel="0" collapsed="false">
      <c r="A1633" s="3" t="n">
        <v>1632</v>
      </c>
      <c r="B1633" s="3" t="n">
        <v>1631</v>
      </c>
      <c r="C1633" s="3" t="s">
        <v>118</v>
      </c>
      <c r="D1633" s="3" t="n">
        <v>2</v>
      </c>
      <c r="E1633" s="3" t="n">
        <v>13</v>
      </c>
      <c r="F1633" s="3" t="n">
        <v>0</v>
      </c>
      <c r="G1633" s="3" t="n">
        <v>2</v>
      </c>
      <c r="H1633" s="24" t="n">
        <v>-0.0594223998</v>
      </c>
    </row>
    <row r="1634" customFormat="false" ht="15" hidden="false" customHeight="false" outlineLevel="0" collapsed="false">
      <c r="A1634" s="3" t="n">
        <v>1633</v>
      </c>
      <c r="B1634" s="3" t="n">
        <v>1632</v>
      </c>
      <c r="C1634" s="3" t="s">
        <v>118</v>
      </c>
      <c r="D1634" s="3" t="n">
        <v>2</v>
      </c>
      <c r="E1634" s="3" t="n">
        <v>13</v>
      </c>
      <c r="F1634" s="3" t="n">
        <v>1</v>
      </c>
      <c r="G1634" s="3" t="n">
        <v>0</v>
      </c>
      <c r="H1634" s="24" t="n">
        <v>0.0674056709</v>
      </c>
    </row>
    <row r="1635" customFormat="false" ht="15" hidden="false" customHeight="false" outlineLevel="0" collapsed="false">
      <c r="A1635" s="3" t="n">
        <v>1634</v>
      </c>
      <c r="B1635" s="3" t="n">
        <v>1633</v>
      </c>
      <c r="C1635" s="3" t="s">
        <v>118</v>
      </c>
      <c r="D1635" s="3" t="n">
        <v>2</v>
      </c>
      <c r="E1635" s="3" t="n">
        <v>13</v>
      </c>
      <c r="F1635" s="3" t="n">
        <v>1</v>
      </c>
      <c r="G1635" s="3" t="n">
        <v>1</v>
      </c>
      <c r="H1635" s="24" t="n">
        <v>-0.00288933609</v>
      </c>
    </row>
    <row r="1636" customFormat="false" ht="15" hidden="false" customHeight="false" outlineLevel="0" collapsed="false">
      <c r="A1636" s="3" t="n">
        <v>1635</v>
      </c>
      <c r="B1636" s="3" t="n">
        <v>1634</v>
      </c>
      <c r="C1636" s="3" t="s">
        <v>118</v>
      </c>
      <c r="D1636" s="3" t="n">
        <v>2</v>
      </c>
      <c r="E1636" s="3" t="n">
        <v>13</v>
      </c>
      <c r="F1636" s="3" t="n">
        <v>1</v>
      </c>
      <c r="G1636" s="3" t="n">
        <v>2</v>
      </c>
      <c r="H1636" s="24" t="n">
        <v>0.0639866292</v>
      </c>
    </row>
    <row r="1637" customFormat="false" ht="15" hidden="false" customHeight="false" outlineLevel="0" collapsed="false">
      <c r="A1637" s="3" t="n">
        <v>1636</v>
      </c>
      <c r="B1637" s="3" t="n">
        <v>1635</v>
      </c>
      <c r="C1637" s="3" t="s">
        <v>118</v>
      </c>
      <c r="D1637" s="3" t="n">
        <v>2</v>
      </c>
      <c r="E1637" s="3" t="n">
        <v>13</v>
      </c>
      <c r="F1637" s="3" t="n">
        <v>2</v>
      </c>
      <c r="G1637" s="3" t="n">
        <v>0</v>
      </c>
      <c r="H1637" s="24" t="n">
        <v>-0.25658226</v>
      </c>
    </row>
    <row r="1638" customFormat="false" ht="15" hidden="false" customHeight="false" outlineLevel="0" collapsed="false">
      <c r="A1638" s="3" t="n">
        <v>1637</v>
      </c>
      <c r="B1638" s="3" t="n">
        <v>1636</v>
      </c>
      <c r="C1638" s="3" t="s">
        <v>118</v>
      </c>
      <c r="D1638" s="3" t="n">
        <v>2</v>
      </c>
      <c r="E1638" s="3" t="n">
        <v>13</v>
      </c>
      <c r="F1638" s="3" t="n">
        <v>2</v>
      </c>
      <c r="G1638" s="3" t="n">
        <v>1</v>
      </c>
      <c r="H1638" s="24" t="n">
        <v>-0.344671965</v>
      </c>
    </row>
    <row r="1639" customFormat="false" ht="15" hidden="false" customHeight="false" outlineLevel="0" collapsed="false">
      <c r="A1639" s="3" t="n">
        <v>1638</v>
      </c>
      <c r="B1639" s="3" t="n">
        <v>1637</v>
      </c>
      <c r="C1639" s="3" t="s">
        <v>118</v>
      </c>
      <c r="D1639" s="3" t="n">
        <v>2</v>
      </c>
      <c r="E1639" s="3" t="n">
        <v>13</v>
      </c>
      <c r="F1639" s="3" t="n">
        <v>2</v>
      </c>
      <c r="G1639" s="3" t="n">
        <v>2</v>
      </c>
      <c r="H1639" s="24" t="n">
        <v>0.10468103</v>
      </c>
    </row>
    <row r="1640" customFormat="false" ht="15" hidden="false" customHeight="false" outlineLevel="0" collapsed="false">
      <c r="A1640" s="3" t="n">
        <v>1639</v>
      </c>
      <c r="B1640" s="3" t="n">
        <v>1638</v>
      </c>
      <c r="C1640" s="3" t="s">
        <v>118</v>
      </c>
      <c r="D1640" s="3" t="n">
        <v>2</v>
      </c>
      <c r="E1640" s="3" t="n">
        <v>14</v>
      </c>
      <c r="F1640" s="3" t="n">
        <v>0</v>
      </c>
      <c r="G1640" s="3" t="n">
        <v>0</v>
      </c>
      <c r="H1640" s="24" t="n">
        <v>0.0535701625</v>
      </c>
    </row>
    <row r="1641" customFormat="false" ht="15" hidden="false" customHeight="false" outlineLevel="0" collapsed="false">
      <c r="A1641" s="3" t="n">
        <v>1640</v>
      </c>
      <c r="B1641" s="3" t="n">
        <v>1639</v>
      </c>
      <c r="C1641" s="3" t="s">
        <v>118</v>
      </c>
      <c r="D1641" s="3" t="n">
        <v>2</v>
      </c>
      <c r="E1641" s="3" t="n">
        <v>14</v>
      </c>
      <c r="F1641" s="3" t="n">
        <v>0</v>
      </c>
      <c r="G1641" s="3" t="n">
        <v>1</v>
      </c>
      <c r="H1641" s="24" t="n">
        <v>-0.267503381</v>
      </c>
    </row>
    <row r="1642" customFormat="false" ht="15" hidden="false" customHeight="false" outlineLevel="0" collapsed="false">
      <c r="A1642" s="3" t="n">
        <v>1641</v>
      </c>
      <c r="B1642" s="3" t="n">
        <v>1640</v>
      </c>
      <c r="C1642" s="3" t="s">
        <v>118</v>
      </c>
      <c r="D1642" s="3" t="n">
        <v>2</v>
      </c>
      <c r="E1642" s="3" t="n">
        <v>14</v>
      </c>
      <c r="F1642" s="3" t="n">
        <v>0</v>
      </c>
      <c r="G1642" s="3" t="n">
        <v>2</v>
      </c>
      <c r="H1642" s="24" t="n">
        <v>-0.165000767</v>
      </c>
    </row>
    <row r="1643" customFormat="false" ht="15" hidden="false" customHeight="false" outlineLevel="0" collapsed="false">
      <c r="A1643" s="3" t="n">
        <v>1642</v>
      </c>
      <c r="B1643" s="3" t="n">
        <v>1641</v>
      </c>
      <c r="C1643" s="3" t="s">
        <v>118</v>
      </c>
      <c r="D1643" s="3" t="n">
        <v>2</v>
      </c>
      <c r="E1643" s="3" t="n">
        <v>14</v>
      </c>
      <c r="F1643" s="3" t="n">
        <v>1</v>
      </c>
      <c r="G1643" s="3" t="n">
        <v>0</v>
      </c>
      <c r="H1643" s="24" t="n">
        <v>-0.0943969041</v>
      </c>
    </row>
    <row r="1644" customFormat="false" ht="15" hidden="false" customHeight="false" outlineLevel="0" collapsed="false">
      <c r="A1644" s="3" t="n">
        <v>1643</v>
      </c>
      <c r="B1644" s="3" t="n">
        <v>1642</v>
      </c>
      <c r="C1644" s="3" t="s">
        <v>118</v>
      </c>
      <c r="D1644" s="3" t="n">
        <v>2</v>
      </c>
      <c r="E1644" s="3" t="n">
        <v>14</v>
      </c>
      <c r="F1644" s="3" t="n">
        <v>1</v>
      </c>
      <c r="G1644" s="3" t="n">
        <v>1</v>
      </c>
      <c r="H1644" s="24" t="n">
        <v>0.0631682053</v>
      </c>
    </row>
    <row r="1645" customFormat="false" ht="15" hidden="false" customHeight="false" outlineLevel="0" collapsed="false">
      <c r="A1645" s="3" t="n">
        <v>1644</v>
      </c>
      <c r="B1645" s="3" t="n">
        <v>1643</v>
      </c>
      <c r="C1645" s="3" t="s">
        <v>118</v>
      </c>
      <c r="D1645" s="3" t="n">
        <v>2</v>
      </c>
      <c r="E1645" s="3" t="n">
        <v>14</v>
      </c>
      <c r="F1645" s="3" t="n">
        <v>1</v>
      </c>
      <c r="G1645" s="3" t="n">
        <v>2</v>
      </c>
      <c r="H1645" s="24" t="n">
        <v>0.0779400766</v>
      </c>
    </row>
    <row r="1646" customFormat="false" ht="15" hidden="false" customHeight="false" outlineLevel="0" collapsed="false">
      <c r="A1646" s="3" t="n">
        <v>1645</v>
      </c>
      <c r="B1646" s="3" t="n">
        <v>1644</v>
      </c>
      <c r="C1646" s="3" t="s">
        <v>118</v>
      </c>
      <c r="D1646" s="3" t="n">
        <v>2</v>
      </c>
      <c r="E1646" s="3" t="n">
        <v>14</v>
      </c>
      <c r="F1646" s="3" t="n">
        <v>2</v>
      </c>
      <c r="G1646" s="3" t="n">
        <v>0</v>
      </c>
      <c r="H1646" s="24" t="n">
        <v>-0.189537868</v>
      </c>
    </row>
    <row r="1647" customFormat="false" ht="15" hidden="false" customHeight="false" outlineLevel="0" collapsed="false">
      <c r="A1647" s="3" t="n">
        <v>1646</v>
      </c>
      <c r="B1647" s="3" t="n">
        <v>1645</v>
      </c>
      <c r="C1647" s="3" t="s">
        <v>118</v>
      </c>
      <c r="D1647" s="3" t="n">
        <v>2</v>
      </c>
      <c r="E1647" s="3" t="n">
        <v>14</v>
      </c>
      <c r="F1647" s="3" t="n">
        <v>2</v>
      </c>
      <c r="G1647" s="3" t="n">
        <v>1</v>
      </c>
      <c r="H1647" s="24" t="n">
        <v>0.0852909535</v>
      </c>
    </row>
    <row r="1648" customFormat="false" ht="15" hidden="false" customHeight="false" outlineLevel="0" collapsed="false">
      <c r="A1648" s="3" t="n">
        <v>1647</v>
      </c>
      <c r="B1648" s="3" t="n">
        <v>1646</v>
      </c>
      <c r="C1648" s="3" t="s">
        <v>118</v>
      </c>
      <c r="D1648" s="3" t="n">
        <v>2</v>
      </c>
      <c r="E1648" s="3" t="n">
        <v>14</v>
      </c>
      <c r="F1648" s="3" t="n">
        <v>2</v>
      </c>
      <c r="G1648" s="3" t="n">
        <v>2</v>
      </c>
      <c r="H1648" s="24" t="n">
        <v>-0.198481485</v>
      </c>
    </row>
    <row r="1649" customFormat="false" ht="15" hidden="false" customHeight="false" outlineLevel="0" collapsed="false">
      <c r="A1649" s="3" t="n">
        <v>1648</v>
      </c>
      <c r="B1649" s="3" t="n">
        <v>1647</v>
      </c>
      <c r="C1649" s="3" t="s">
        <v>118</v>
      </c>
      <c r="D1649" s="3" t="n">
        <v>2</v>
      </c>
      <c r="E1649" s="3" t="n">
        <v>15</v>
      </c>
      <c r="F1649" s="3" t="n">
        <v>0</v>
      </c>
      <c r="G1649" s="3" t="n">
        <v>0</v>
      </c>
      <c r="H1649" s="24" t="n">
        <v>0.112375282</v>
      </c>
    </row>
    <row r="1650" customFormat="false" ht="15" hidden="false" customHeight="false" outlineLevel="0" collapsed="false">
      <c r="A1650" s="3" t="n">
        <v>1649</v>
      </c>
      <c r="B1650" s="3" t="n">
        <v>1648</v>
      </c>
      <c r="C1650" s="3" t="s">
        <v>118</v>
      </c>
      <c r="D1650" s="3" t="n">
        <v>2</v>
      </c>
      <c r="E1650" s="3" t="n">
        <v>15</v>
      </c>
      <c r="F1650" s="3" t="n">
        <v>0</v>
      </c>
      <c r="G1650" s="3" t="n">
        <v>1</v>
      </c>
      <c r="H1650" s="24" t="n">
        <v>-0.00245654373</v>
      </c>
    </row>
    <row r="1651" customFormat="false" ht="15" hidden="false" customHeight="false" outlineLevel="0" collapsed="false">
      <c r="A1651" s="3" t="n">
        <v>1650</v>
      </c>
      <c r="B1651" s="3" t="n">
        <v>1649</v>
      </c>
      <c r="C1651" s="3" t="s">
        <v>118</v>
      </c>
      <c r="D1651" s="3" t="n">
        <v>2</v>
      </c>
      <c r="E1651" s="3" t="n">
        <v>15</v>
      </c>
      <c r="F1651" s="3" t="n">
        <v>0</v>
      </c>
      <c r="G1651" s="3" t="n">
        <v>2</v>
      </c>
      <c r="H1651" s="24" t="n">
        <v>-0.0890218019</v>
      </c>
    </row>
    <row r="1652" customFormat="false" ht="15" hidden="false" customHeight="false" outlineLevel="0" collapsed="false">
      <c r="A1652" s="3" t="n">
        <v>1651</v>
      </c>
      <c r="B1652" s="3" t="n">
        <v>1650</v>
      </c>
      <c r="C1652" s="3" t="s">
        <v>118</v>
      </c>
      <c r="D1652" s="3" t="n">
        <v>2</v>
      </c>
      <c r="E1652" s="3" t="n">
        <v>15</v>
      </c>
      <c r="F1652" s="3" t="n">
        <v>1</v>
      </c>
      <c r="G1652" s="3" t="n">
        <v>0</v>
      </c>
      <c r="H1652" s="24" t="n">
        <v>0.0556268245</v>
      </c>
    </row>
    <row r="1653" customFormat="false" ht="15" hidden="false" customHeight="false" outlineLevel="0" collapsed="false">
      <c r="A1653" s="3" t="n">
        <v>1652</v>
      </c>
      <c r="B1653" s="3" t="n">
        <v>1651</v>
      </c>
      <c r="C1653" s="3" t="s">
        <v>118</v>
      </c>
      <c r="D1653" s="3" t="n">
        <v>2</v>
      </c>
      <c r="E1653" s="3" t="n">
        <v>15</v>
      </c>
      <c r="F1653" s="3" t="n">
        <v>1</v>
      </c>
      <c r="G1653" s="3" t="n">
        <v>1</v>
      </c>
      <c r="H1653" s="24" t="n">
        <v>0.126427978</v>
      </c>
    </row>
    <row r="1654" customFormat="false" ht="15" hidden="false" customHeight="false" outlineLevel="0" collapsed="false">
      <c r="A1654" s="3" t="n">
        <v>1653</v>
      </c>
      <c r="B1654" s="3" t="n">
        <v>1652</v>
      </c>
      <c r="C1654" s="3" t="s">
        <v>118</v>
      </c>
      <c r="D1654" s="3" t="n">
        <v>2</v>
      </c>
      <c r="E1654" s="3" t="n">
        <v>15</v>
      </c>
      <c r="F1654" s="3" t="n">
        <v>1</v>
      </c>
      <c r="G1654" s="3" t="n">
        <v>2</v>
      </c>
      <c r="H1654" s="24" t="n">
        <v>0.0683359802</v>
      </c>
    </row>
    <row r="1655" customFormat="false" ht="15" hidden="false" customHeight="false" outlineLevel="0" collapsed="false">
      <c r="A1655" s="3" t="n">
        <v>1654</v>
      </c>
      <c r="B1655" s="3" t="n">
        <v>1653</v>
      </c>
      <c r="C1655" s="3" t="s">
        <v>118</v>
      </c>
      <c r="D1655" s="3" t="n">
        <v>2</v>
      </c>
      <c r="E1655" s="3" t="n">
        <v>15</v>
      </c>
      <c r="F1655" s="3" t="n">
        <v>2</v>
      </c>
      <c r="G1655" s="3" t="n">
        <v>0</v>
      </c>
      <c r="H1655" s="24" t="n">
        <v>-0.060285937</v>
      </c>
    </row>
    <row r="1656" customFormat="false" ht="15" hidden="false" customHeight="false" outlineLevel="0" collapsed="false">
      <c r="A1656" s="3" t="n">
        <v>1655</v>
      </c>
      <c r="B1656" s="3" t="n">
        <v>1654</v>
      </c>
      <c r="C1656" s="3" t="s">
        <v>118</v>
      </c>
      <c r="D1656" s="3" t="n">
        <v>2</v>
      </c>
      <c r="E1656" s="3" t="n">
        <v>15</v>
      </c>
      <c r="F1656" s="3" t="n">
        <v>2</v>
      </c>
      <c r="G1656" s="3" t="n">
        <v>1</v>
      </c>
      <c r="H1656" s="24" t="n">
        <v>0.215513244</v>
      </c>
    </row>
    <row r="1657" customFormat="false" ht="15" hidden="false" customHeight="false" outlineLevel="0" collapsed="false">
      <c r="A1657" s="3" t="n">
        <v>1656</v>
      </c>
      <c r="B1657" s="3" t="n">
        <v>1655</v>
      </c>
      <c r="C1657" s="3" t="s">
        <v>118</v>
      </c>
      <c r="D1657" s="3" t="n">
        <v>2</v>
      </c>
      <c r="E1657" s="3" t="n">
        <v>15</v>
      </c>
      <c r="F1657" s="3" t="n">
        <v>2</v>
      </c>
      <c r="G1657" s="3" t="n">
        <v>2</v>
      </c>
      <c r="H1657" s="24" t="n">
        <v>0.165551111</v>
      </c>
    </row>
    <row r="1658" customFormat="false" ht="15" hidden="false" customHeight="false" outlineLevel="0" collapsed="false">
      <c r="A1658" s="3" t="n">
        <v>1657</v>
      </c>
      <c r="B1658" s="3" t="n">
        <v>1656</v>
      </c>
      <c r="C1658" s="3" t="s">
        <v>118</v>
      </c>
      <c r="D1658" s="3" t="n">
        <v>3</v>
      </c>
      <c r="E1658" s="3" t="n">
        <v>0</v>
      </c>
      <c r="F1658" s="3" t="n">
        <v>0</v>
      </c>
      <c r="G1658" s="3" t="n">
        <v>0</v>
      </c>
      <c r="H1658" s="24" t="n">
        <v>-0.278449953</v>
      </c>
    </row>
    <row r="1659" customFormat="false" ht="15" hidden="false" customHeight="false" outlineLevel="0" collapsed="false">
      <c r="A1659" s="3" t="n">
        <v>1658</v>
      </c>
      <c r="B1659" s="3" t="n">
        <v>1657</v>
      </c>
      <c r="C1659" s="3" t="s">
        <v>118</v>
      </c>
      <c r="D1659" s="3" t="n">
        <v>3</v>
      </c>
      <c r="E1659" s="3" t="n">
        <v>0</v>
      </c>
      <c r="F1659" s="3" t="n">
        <v>0</v>
      </c>
      <c r="G1659" s="3" t="n">
        <v>1</v>
      </c>
      <c r="H1659" s="24" t="n">
        <v>0.296248406</v>
      </c>
    </row>
    <row r="1660" customFormat="false" ht="15" hidden="false" customHeight="false" outlineLevel="0" collapsed="false">
      <c r="A1660" s="3" t="n">
        <v>1659</v>
      </c>
      <c r="B1660" s="3" t="n">
        <v>1658</v>
      </c>
      <c r="C1660" s="3" t="s">
        <v>118</v>
      </c>
      <c r="D1660" s="3" t="n">
        <v>3</v>
      </c>
      <c r="E1660" s="3" t="n">
        <v>0</v>
      </c>
      <c r="F1660" s="3" t="n">
        <v>0</v>
      </c>
      <c r="G1660" s="3" t="n">
        <v>2</v>
      </c>
      <c r="H1660" s="24" t="n">
        <v>0.220236987</v>
      </c>
    </row>
    <row r="1661" customFormat="false" ht="15" hidden="false" customHeight="false" outlineLevel="0" collapsed="false">
      <c r="A1661" s="3" t="n">
        <v>1660</v>
      </c>
      <c r="B1661" s="3" t="n">
        <v>1659</v>
      </c>
      <c r="C1661" s="3" t="s">
        <v>118</v>
      </c>
      <c r="D1661" s="3" t="n">
        <v>3</v>
      </c>
      <c r="E1661" s="3" t="n">
        <v>0</v>
      </c>
      <c r="F1661" s="3" t="n">
        <v>1</v>
      </c>
      <c r="G1661" s="3" t="n">
        <v>0</v>
      </c>
      <c r="H1661" s="24" t="n">
        <v>-0.355621725</v>
      </c>
    </row>
    <row r="1662" customFormat="false" ht="15" hidden="false" customHeight="false" outlineLevel="0" collapsed="false">
      <c r="A1662" s="3" t="n">
        <v>1661</v>
      </c>
      <c r="B1662" s="3" t="n">
        <v>1660</v>
      </c>
      <c r="C1662" s="3" t="s">
        <v>118</v>
      </c>
      <c r="D1662" s="3" t="n">
        <v>3</v>
      </c>
      <c r="E1662" s="3" t="n">
        <v>0</v>
      </c>
      <c r="F1662" s="3" t="n">
        <v>1</v>
      </c>
      <c r="G1662" s="3" t="n">
        <v>1</v>
      </c>
      <c r="H1662" s="24" t="n">
        <v>-0.341025442</v>
      </c>
    </row>
    <row r="1663" customFormat="false" ht="15" hidden="false" customHeight="false" outlineLevel="0" collapsed="false">
      <c r="A1663" s="3" t="n">
        <v>1662</v>
      </c>
      <c r="B1663" s="3" t="n">
        <v>1661</v>
      </c>
      <c r="C1663" s="3" t="s">
        <v>118</v>
      </c>
      <c r="D1663" s="3" t="n">
        <v>3</v>
      </c>
      <c r="E1663" s="3" t="n">
        <v>0</v>
      </c>
      <c r="F1663" s="3" t="n">
        <v>1</v>
      </c>
      <c r="G1663" s="3" t="n">
        <v>2</v>
      </c>
      <c r="H1663" s="24" t="n">
        <v>0.134313166</v>
      </c>
    </row>
    <row r="1664" customFormat="false" ht="15" hidden="false" customHeight="false" outlineLevel="0" collapsed="false">
      <c r="A1664" s="3" t="n">
        <v>1663</v>
      </c>
      <c r="B1664" s="3" t="n">
        <v>1662</v>
      </c>
      <c r="C1664" s="3" t="s">
        <v>118</v>
      </c>
      <c r="D1664" s="3" t="n">
        <v>3</v>
      </c>
      <c r="E1664" s="3" t="n">
        <v>0</v>
      </c>
      <c r="F1664" s="3" t="n">
        <v>2</v>
      </c>
      <c r="G1664" s="3" t="n">
        <v>0</v>
      </c>
      <c r="H1664" s="24" t="n">
        <v>-0.0882234871</v>
      </c>
    </row>
    <row r="1665" customFormat="false" ht="15" hidden="false" customHeight="false" outlineLevel="0" collapsed="false">
      <c r="A1665" s="3" t="n">
        <v>1664</v>
      </c>
      <c r="B1665" s="3" t="n">
        <v>1663</v>
      </c>
      <c r="C1665" s="3" t="s">
        <v>118</v>
      </c>
      <c r="D1665" s="3" t="n">
        <v>3</v>
      </c>
      <c r="E1665" s="3" t="n">
        <v>0</v>
      </c>
      <c r="F1665" s="3" t="n">
        <v>2</v>
      </c>
      <c r="G1665" s="3" t="n">
        <v>1</v>
      </c>
      <c r="H1665" s="24" t="n">
        <v>-0.0773607269</v>
      </c>
    </row>
    <row r="1666" customFormat="false" ht="15" hidden="false" customHeight="false" outlineLevel="0" collapsed="false">
      <c r="A1666" s="3" t="n">
        <v>1665</v>
      </c>
      <c r="B1666" s="3" t="n">
        <v>1664</v>
      </c>
      <c r="C1666" s="3" t="s">
        <v>118</v>
      </c>
      <c r="D1666" s="3" t="n">
        <v>3</v>
      </c>
      <c r="E1666" s="3" t="n">
        <v>0</v>
      </c>
      <c r="F1666" s="3" t="n">
        <v>2</v>
      </c>
      <c r="G1666" s="3" t="n">
        <v>2</v>
      </c>
      <c r="H1666" s="24" t="n">
        <v>-0.174824372</v>
      </c>
    </row>
    <row r="1667" customFormat="false" ht="15" hidden="false" customHeight="false" outlineLevel="0" collapsed="false">
      <c r="A1667" s="3" t="n">
        <v>1666</v>
      </c>
      <c r="B1667" s="3" t="n">
        <v>1665</v>
      </c>
      <c r="C1667" s="3" t="s">
        <v>118</v>
      </c>
      <c r="D1667" s="3" t="n">
        <v>3</v>
      </c>
      <c r="E1667" s="3" t="n">
        <v>1</v>
      </c>
      <c r="F1667" s="3" t="n">
        <v>0</v>
      </c>
      <c r="G1667" s="3" t="n">
        <v>0</v>
      </c>
      <c r="H1667" s="24" t="n">
        <v>-0.0548499338</v>
      </c>
    </row>
    <row r="1668" customFormat="false" ht="15" hidden="false" customHeight="false" outlineLevel="0" collapsed="false">
      <c r="A1668" s="3" t="n">
        <v>1667</v>
      </c>
      <c r="B1668" s="3" t="n">
        <v>1666</v>
      </c>
      <c r="C1668" s="3" t="s">
        <v>118</v>
      </c>
      <c r="D1668" s="3" t="n">
        <v>3</v>
      </c>
      <c r="E1668" s="3" t="n">
        <v>1</v>
      </c>
      <c r="F1668" s="3" t="n">
        <v>0</v>
      </c>
      <c r="G1668" s="3" t="n">
        <v>1</v>
      </c>
      <c r="H1668" s="24" t="n">
        <v>-0.125116974</v>
      </c>
    </row>
    <row r="1669" customFormat="false" ht="15" hidden="false" customHeight="false" outlineLevel="0" collapsed="false">
      <c r="A1669" s="3" t="n">
        <v>1668</v>
      </c>
      <c r="B1669" s="3" t="n">
        <v>1667</v>
      </c>
      <c r="C1669" s="3" t="s">
        <v>118</v>
      </c>
      <c r="D1669" s="3" t="n">
        <v>3</v>
      </c>
      <c r="E1669" s="3" t="n">
        <v>1</v>
      </c>
      <c r="F1669" s="3" t="n">
        <v>0</v>
      </c>
      <c r="G1669" s="3" t="n">
        <v>2</v>
      </c>
      <c r="H1669" s="24" t="n">
        <v>0.0274374615</v>
      </c>
    </row>
    <row r="1670" customFormat="false" ht="15" hidden="false" customHeight="false" outlineLevel="0" collapsed="false">
      <c r="A1670" s="3" t="n">
        <v>1669</v>
      </c>
      <c r="B1670" s="3" t="n">
        <v>1668</v>
      </c>
      <c r="C1670" s="3" t="s">
        <v>118</v>
      </c>
      <c r="D1670" s="3" t="n">
        <v>3</v>
      </c>
      <c r="E1670" s="3" t="n">
        <v>1</v>
      </c>
      <c r="F1670" s="3" t="n">
        <v>1</v>
      </c>
      <c r="G1670" s="3" t="n">
        <v>0</v>
      </c>
      <c r="H1670" s="24" t="n">
        <v>0.172323138</v>
      </c>
    </row>
    <row r="1671" customFormat="false" ht="15" hidden="false" customHeight="false" outlineLevel="0" collapsed="false">
      <c r="A1671" s="3" t="n">
        <v>1670</v>
      </c>
      <c r="B1671" s="3" t="n">
        <v>1669</v>
      </c>
      <c r="C1671" s="3" t="s">
        <v>118</v>
      </c>
      <c r="D1671" s="3" t="n">
        <v>3</v>
      </c>
      <c r="E1671" s="3" t="n">
        <v>1</v>
      </c>
      <c r="F1671" s="3" t="n">
        <v>1</v>
      </c>
      <c r="G1671" s="3" t="n">
        <v>1</v>
      </c>
      <c r="H1671" s="24" t="n">
        <v>0.012191453</v>
      </c>
    </row>
    <row r="1672" customFormat="false" ht="15" hidden="false" customHeight="false" outlineLevel="0" collapsed="false">
      <c r="A1672" s="3" t="n">
        <v>1671</v>
      </c>
      <c r="B1672" s="3" t="n">
        <v>1670</v>
      </c>
      <c r="C1672" s="3" t="s">
        <v>118</v>
      </c>
      <c r="D1672" s="3" t="n">
        <v>3</v>
      </c>
      <c r="E1672" s="3" t="n">
        <v>1</v>
      </c>
      <c r="F1672" s="3" t="n">
        <v>1</v>
      </c>
      <c r="G1672" s="3" t="n">
        <v>2</v>
      </c>
      <c r="H1672" s="24" t="n">
        <v>0.019500602</v>
      </c>
    </row>
    <row r="1673" customFormat="false" ht="15" hidden="false" customHeight="false" outlineLevel="0" collapsed="false">
      <c r="A1673" s="3" t="n">
        <v>1672</v>
      </c>
      <c r="B1673" s="3" t="n">
        <v>1671</v>
      </c>
      <c r="C1673" s="3" t="s">
        <v>118</v>
      </c>
      <c r="D1673" s="3" t="n">
        <v>3</v>
      </c>
      <c r="E1673" s="3" t="n">
        <v>1</v>
      </c>
      <c r="F1673" s="3" t="n">
        <v>2</v>
      </c>
      <c r="G1673" s="3" t="n">
        <v>0</v>
      </c>
      <c r="H1673" s="24" t="n">
        <v>-0.0127275456</v>
      </c>
    </row>
    <row r="1674" customFormat="false" ht="15" hidden="false" customHeight="false" outlineLevel="0" collapsed="false">
      <c r="A1674" s="3" t="n">
        <v>1673</v>
      </c>
      <c r="B1674" s="3" t="n">
        <v>1672</v>
      </c>
      <c r="C1674" s="3" t="s">
        <v>118</v>
      </c>
      <c r="D1674" s="3" t="n">
        <v>3</v>
      </c>
      <c r="E1674" s="3" t="n">
        <v>1</v>
      </c>
      <c r="F1674" s="3" t="n">
        <v>2</v>
      </c>
      <c r="G1674" s="3" t="n">
        <v>1</v>
      </c>
      <c r="H1674" s="24" t="n">
        <v>-0.0440986566</v>
      </c>
    </row>
    <row r="1675" customFormat="false" ht="15" hidden="false" customHeight="false" outlineLevel="0" collapsed="false">
      <c r="A1675" s="3" t="n">
        <v>1674</v>
      </c>
      <c r="B1675" s="3" t="n">
        <v>1673</v>
      </c>
      <c r="C1675" s="3" t="s">
        <v>118</v>
      </c>
      <c r="D1675" s="3" t="n">
        <v>3</v>
      </c>
      <c r="E1675" s="3" t="n">
        <v>1</v>
      </c>
      <c r="F1675" s="3" t="n">
        <v>2</v>
      </c>
      <c r="G1675" s="3" t="n">
        <v>2</v>
      </c>
      <c r="H1675" s="24" t="n">
        <v>0.108111061</v>
      </c>
    </row>
    <row r="1676" customFormat="false" ht="15" hidden="false" customHeight="false" outlineLevel="0" collapsed="false">
      <c r="A1676" s="3" t="n">
        <v>1675</v>
      </c>
      <c r="B1676" s="3" t="n">
        <v>1674</v>
      </c>
      <c r="C1676" s="3" t="s">
        <v>118</v>
      </c>
      <c r="D1676" s="3" t="n">
        <v>3</v>
      </c>
      <c r="E1676" s="3" t="n">
        <v>2</v>
      </c>
      <c r="F1676" s="3" t="n">
        <v>0</v>
      </c>
      <c r="G1676" s="3" t="n">
        <v>0</v>
      </c>
      <c r="H1676" s="24" t="n">
        <v>-0.0280387513</v>
      </c>
    </row>
    <row r="1677" customFormat="false" ht="15" hidden="false" customHeight="false" outlineLevel="0" collapsed="false">
      <c r="A1677" s="3" t="n">
        <v>1676</v>
      </c>
      <c r="B1677" s="3" t="n">
        <v>1675</v>
      </c>
      <c r="C1677" s="3" t="s">
        <v>118</v>
      </c>
      <c r="D1677" s="3" t="n">
        <v>3</v>
      </c>
      <c r="E1677" s="3" t="n">
        <v>2</v>
      </c>
      <c r="F1677" s="3" t="n">
        <v>0</v>
      </c>
      <c r="G1677" s="3" t="n">
        <v>1</v>
      </c>
      <c r="H1677" s="24" t="n">
        <v>-0.334263295</v>
      </c>
    </row>
    <row r="1678" customFormat="false" ht="15" hidden="false" customHeight="false" outlineLevel="0" collapsed="false">
      <c r="A1678" s="3" t="n">
        <v>1677</v>
      </c>
      <c r="B1678" s="3" t="n">
        <v>1676</v>
      </c>
      <c r="C1678" s="3" t="s">
        <v>118</v>
      </c>
      <c r="D1678" s="3" t="n">
        <v>3</v>
      </c>
      <c r="E1678" s="3" t="n">
        <v>2</v>
      </c>
      <c r="F1678" s="3" t="n">
        <v>0</v>
      </c>
      <c r="G1678" s="3" t="n">
        <v>2</v>
      </c>
      <c r="H1678" s="24" t="n">
        <v>-0.398609757</v>
      </c>
    </row>
    <row r="1679" customFormat="false" ht="15" hidden="false" customHeight="false" outlineLevel="0" collapsed="false">
      <c r="A1679" s="3" t="n">
        <v>1678</v>
      </c>
      <c r="B1679" s="3" t="n">
        <v>1677</v>
      </c>
      <c r="C1679" s="3" t="s">
        <v>118</v>
      </c>
      <c r="D1679" s="3" t="n">
        <v>3</v>
      </c>
      <c r="E1679" s="3" t="n">
        <v>2</v>
      </c>
      <c r="F1679" s="3" t="n">
        <v>1</v>
      </c>
      <c r="G1679" s="3" t="n">
        <v>0</v>
      </c>
      <c r="H1679" s="24" t="n">
        <v>0.0724550039</v>
      </c>
    </row>
    <row r="1680" customFormat="false" ht="15" hidden="false" customHeight="false" outlineLevel="0" collapsed="false">
      <c r="A1680" s="3" t="n">
        <v>1679</v>
      </c>
      <c r="B1680" s="3" t="n">
        <v>1678</v>
      </c>
      <c r="C1680" s="3" t="s">
        <v>118</v>
      </c>
      <c r="D1680" s="3" t="n">
        <v>3</v>
      </c>
      <c r="E1680" s="3" t="n">
        <v>2</v>
      </c>
      <c r="F1680" s="3" t="n">
        <v>1</v>
      </c>
      <c r="G1680" s="3" t="n">
        <v>1</v>
      </c>
      <c r="H1680" s="24" t="n">
        <v>-0.161066219</v>
      </c>
    </row>
    <row r="1681" customFormat="false" ht="15" hidden="false" customHeight="false" outlineLevel="0" collapsed="false">
      <c r="A1681" s="3" t="n">
        <v>1680</v>
      </c>
      <c r="B1681" s="3" t="n">
        <v>1679</v>
      </c>
      <c r="C1681" s="3" t="s">
        <v>118</v>
      </c>
      <c r="D1681" s="3" t="n">
        <v>3</v>
      </c>
      <c r="E1681" s="3" t="n">
        <v>2</v>
      </c>
      <c r="F1681" s="3" t="n">
        <v>1</v>
      </c>
      <c r="G1681" s="3" t="n">
        <v>2</v>
      </c>
      <c r="H1681" s="24" t="n">
        <v>-0.365016967</v>
      </c>
    </row>
    <row r="1682" customFormat="false" ht="15" hidden="false" customHeight="false" outlineLevel="0" collapsed="false">
      <c r="A1682" s="3" t="n">
        <v>1681</v>
      </c>
      <c r="B1682" s="3" t="n">
        <v>1680</v>
      </c>
      <c r="C1682" s="3" t="s">
        <v>118</v>
      </c>
      <c r="D1682" s="3" t="n">
        <v>3</v>
      </c>
      <c r="E1682" s="3" t="n">
        <v>2</v>
      </c>
      <c r="F1682" s="3" t="n">
        <v>2</v>
      </c>
      <c r="G1682" s="3" t="n">
        <v>0</v>
      </c>
      <c r="H1682" s="24" t="n">
        <v>0.162515774</v>
      </c>
    </row>
    <row r="1683" customFormat="false" ht="15" hidden="false" customHeight="false" outlineLevel="0" collapsed="false">
      <c r="A1683" s="3" t="n">
        <v>1682</v>
      </c>
      <c r="B1683" s="3" t="n">
        <v>1681</v>
      </c>
      <c r="C1683" s="3" t="s">
        <v>118</v>
      </c>
      <c r="D1683" s="3" t="n">
        <v>3</v>
      </c>
      <c r="E1683" s="3" t="n">
        <v>2</v>
      </c>
      <c r="F1683" s="3" t="n">
        <v>2</v>
      </c>
      <c r="G1683" s="3" t="n">
        <v>1</v>
      </c>
      <c r="H1683" s="24" t="n">
        <v>0.291765124</v>
      </c>
    </row>
    <row r="1684" customFormat="false" ht="15" hidden="false" customHeight="false" outlineLevel="0" collapsed="false">
      <c r="A1684" s="3" t="n">
        <v>1683</v>
      </c>
      <c r="B1684" s="3" t="n">
        <v>1682</v>
      </c>
      <c r="C1684" s="3" t="s">
        <v>118</v>
      </c>
      <c r="D1684" s="3" t="n">
        <v>3</v>
      </c>
      <c r="E1684" s="3" t="n">
        <v>2</v>
      </c>
      <c r="F1684" s="3" t="n">
        <v>2</v>
      </c>
      <c r="G1684" s="3" t="n">
        <v>2</v>
      </c>
      <c r="H1684" s="24" t="n">
        <v>0.160071746</v>
      </c>
    </row>
    <row r="1685" customFormat="false" ht="15" hidden="false" customHeight="false" outlineLevel="0" collapsed="false">
      <c r="A1685" s="3" t="n">
        <v>1684</v>
      </c>
      <c r="B1685" s="3" t="n">
        <v>1683</v>
      </c>
      <c r="C1685" s="3" t="s">
        <v>118</v>
      </c>
      <c r="D1685" s="3" t="n">
        <v>3</v>
      </c>
      <c r="E1685" s="3" t="n">
        <v>3</v>
      </c>
      <c r="F1685" s="3" t="n">
        <v>0</v>
      </c>
      <c r="G1685" s="3" t="n">
        <v>0</v>
      </c>
      <c r="H1685" s="24" t="n">
        <v>0.070358865</v>
      </c>
    </row>
    <row r="1686" customFormat="false" ht="15" hidden="false" customHeight="false" outlineLevel="0" collapsed="false">
      <c r="A1686" s="3" t="n">
        <v>1685</v>
      </c>
      <c r="B1686" s="3" t="n">
        <v>1684</v>
      </c>
      <c r="C1686" s="3" t="s">
        <v>118</v>
      </c>
      <c r="D1686" s="3" t="n">
        <v>3</v>
      </c>
      <c r="E1686" s="3" t="n">
        <v>3</v>
      </c>
      <c r="F1686" s="3" t="n">
        <v>0</v>
      </c>
      <c r="G1686" s="3" t="n">
        <v>1</v>
      </c>
      <c r="H1686" s="24" t="n">
        <v>0.0243502203</v>
      </c>
    </row>
    <row r="1687" customFormat="false" ht="15" hidden="false" customHeight="false" outlineLevel="0" collapsed="false">
      <c r="A1687" s="3" t="n">
        <v>1686</v>
      </c>
      <c r="B1687" s="3" t="n">
        <v>1685</v>
      </c>
      <c r="C1687" s="3" t="s">
        <v>118</v>
      </c>
      <c r="D1687" s="3" t="n">
        <v>3</v>
      </c>
      <c r="E1687" s="3" t="n">
        <v>3</v>
      </c>
      <c r="F1687" s="3" t="n">
        <v>0</v>
      </c>
      <c r="G1687" s="3" t="n">
        <v>2</v>
      </c>
      <c r="H1687" s="24" t="n">
        <v>0.193771273</v>
      </c>
    </row>
    <row r="1688" customFormat="false" ht="15" hidden="false" customHeight="false" outlineLevel="0" collapsed="false">
      <c r="A1688" s="3" t="n">
        <v>1687</v>
      </c>
      <c r="B1688" s="3" t="n">
        <v>1686</v>
      </c>
      <c r="C1688" s="3" t="s">
        <v>118</v>
      </c>
      <c r="D1688" s="3" t="n">
        <v>3</v>
      </c>
      <c r="E1688" s="3" t="n">
        <v>3</v>
      </c>
      <c r="F1688" s="3" t="n">
        <v>1</v>
      </c>
      <c r="G1688" s="3" t="n">
        <v>0</v>
      </c>
      <c r="H1688" s="24" t="n">
        <v>-0.173501283</v>
      </c>
    </row>
    <row r="1689" customFormat="false" ht="15" hidden="false" customHeight="false" outlineLevel="0" collapsed="false">
      <c r="A1689" s="3" t="n">
        <v>1688</v>
      </c>
      <c r="B1689" s="3" t="n">
        <v>1687</v>
      </c>
      <c r="C1689" s="3" t="s">
        <v>118</v>
      </c>
      <c r="D1689" s="3" t="n">
        <v>3</v>
      </c>
      <c r="E1689" s="3" t="n">
        <v>3</v>
      </c>
      <c r="F1689" s="3" t="n">
        <v>1</v>
      </c>
      <c r="G1689" s="3" t="n">
        <v>1</v>
      </c>
      <c r="H1689" s="24" t="n">
        <v>-0.154371113</v>
      </c>
    </row>
    <row r="1690" customFormat="false" ht="15" hidden="false" customHeight="false" outlineLevel="0" collapsed="false">
      <c r="A1690" s="3" t="n">
        <v>1689</v>
      </c>
      <c r="B1690" s="3" t="n">
        <v>1688</v>
      </c>
      <c r="C1690" s="3" t="s">
        <v>118</v>
      </c>
      <c r="D1690" s="3" t="n">
        <v>3</v>
      </c>
      <c r="E1690" s="3" t="n">
        <v>3</v>
      </c>
      <c r="F1690" s="3" t="n">
        <v>1</v>
      </c>
      <c r="G1690" s="3" t="n">
        <v>2</v>
      </c>
      <c r="H1690" s="24" t="n">
        <v>-0.240761191</v>
      </c>
    </row>
    <row r="1691" customFormat="false" ht="15" hidden="false" customHeight="false" outlineLevel="0" collapsed="false">
      <c r="A1691" s="3" t="n">
        <v>1690</v>
      </c>
      <c r="B1691" s="3" t="n">
        <v>1689</v>
      </c>
      <c r="C1691" s="3" t="s">
        <v>118</v>
      </c>
      <c r="D1691" s="3" t="n">
        <v>3</v>
      </c>
      <c r="E1691" s="3" t="n">
        <v>3</v>
      </c>
      <c r="F1691" s="3" t="n">
        <v>2</v>
      </c>
      <c r="G1691" s="3" t="n">
        <v>0</v>
      </c>
      <c r="H1691" s="24" t="n">
        <v>0.192001253</v>
      </c>
    </row>
    <row r="1692" customFormat="false" ht="15" hidden="false" customHeight="false" outlineLevel="0" collapsed="false">
      <c r="A1692" s="3" t="n">
        <v>1691</v>
      </c>
      <c r="B1692" s="3" t="n">
        <v>1690</v>
      </c>
      <c r="C1692" s="3" t="s">
        <v>118</v>
      </c>
      <c r="D1692" s="3" t="n">
        <v>3</v>
      </c>
      <c r="E1692" s="3" t="n">
        <v>3</v>
      </c>
      <c r="F1692" s="3" t="n">
        <v>2</v>
      </c>
      <c r="G1692" s="3" t="n">
        <v>1</v>
      </c>
      <c r="H1692" s="24" t="n">
        <v>0.0872280076</v>
      </c>
    </row>
    <row r="1693" customFormat="false" ht="15" hidden="false" customHeight="false" outlineLevel="0" collapsed="false">
      <c r="A1693" s="3" t="n">
        <v>1692</v>
      </c>
      <c r="B1693" s="3" t="n">
        <v>1691</v>
      </c>
      <c r="C1693" s="3" t="s">
        <v>118</v>
      </c>
      <c r="D1693" s="3" t="n">
        <v>3</v>
      </c>
      <c r="E1693" s="3" t="n">
        <v>3</v>
      </c>
      <c r="F1693" s="3" t="n">
        <v>2</v>
      </c>
      <c r="G1693" s="3" t="n">
        <v>2</v>
      </c>
      <c r="H1693" s="24" t="n">
        <v>-0.0617757514</v>
      </c>
    </row>
    <row r="1694" customFormat="false" ht="15" hidden="false" customHeight="false" outlineLevel="0" collapsed="false">
      <c r="A1694" s="3" t="n">
        <v>1693</v>
      </c>
      <c r="B1694" s="3" t="n">
        <v>1692</v>
      </c>
      <c r="C1694" s="3" t="s">
        <v>118</v>
      </c>
      <c r="D1694" s="3" t="n">
        <v>3</v>
      </c>
      <c r="E1694" s="3" t="n">
        <v>4</v>
      </c>
      <c r="F1694" s="3" t="n">
        <v>0</v>
      </c>
      <c r="G1694" s="3" t="n">
        <v>0</v>
      </c>
      <c r="H1694" s="24" t="n">
        <v>-0.0953460261</v>
      </c>
    </row>
    <row r="1695" customFormat="false" ht="15" hidden="false" customHeight="false" outlineLevel="0" collapsed="false">
      <c r="A1695" s="3" t="n">
        <v>1694</v>
      </c>
      <c r="B1695" s="3" t="n">
        <v>1693</v>
      </c>
      <c r="C1695" s="3" t="s">
        <v>118</v>
      </c>
      <c r="D1695" s="3" t="n">
        <v>3</v>
      </c>
      <c r="E1695" s="3" t="n">
        <v>4</v>
      </c>
      <c r="F1695" s="3" t="n">
        <v>0</v>
      </c>
      <c r="G1695" s="3" t="n">
        <v>1</v>
      </c>
      <c r="H1695" s="24" t="n">
        <v>-0.0409926474</v>
      </c>
    </row>
    <row r="1696" customFormat="false" ht="15" hidden="false" customHeight="false" outlineLevel="0" collapsed="false">
      <c r="A1696" s="3" t="n">
        <v>1695</v>
      </c>
      <c r="B1696" s="3" t="n">
        <v>1694</v>
      </c>
      <c r="C1696" s="3" t="s">
        <v>118</v>
      </c>
      <c r="D1696" s="3" t="n">
        <v>3</v>
      </c>
      <c r="E1696" s="3" t="n">
        <v>4</v>
      </c>
      <c r="F1696" s="3" t="n">
        <v>0</v>
      </c>
      <c r="G1696" s="3" t="n">
        <v>2</v>
      </c>
      <c r="H1696" s="24" t="n">
        <v>0.215499118</v>
      </c>
    </row>
    <row r="1697" customFormat="false" ht="15" hidden="false" customHeight="false" outlineLevel="0" collapsed="false">
      <c r="A1697" s="3" t="n">
        <v>1696</v>
      </c>
      <c r="B1697" s="3" t="n">
        <v>1695</v>
      </c>
      <c r="C1697" s="3" t="s">
        <v>118</v>
      </c>
      <c r="D1697" s="3" t="n">
        <v>3</v>
      </c>
      <c r="E1697" s="3" t="n">
        <v>4</v>
      </c>
      <c r="F1697" s="3" t="n">
        <v>1</v>
      </c>
      <c r="G1697" s="3" t="n">
        <v>0</v>
      </c>
      <c r="H1697" s="24" t="n">
        <v>0.0346243605</v>
      </c>
    </row>
    <row r="1698" customFormat="false" ht="15" hidden="false" customHeight="false" outlineLevel="0" collapsed="false">
      <c r="A1698" s="3" t="n">
        <v>1697</v>
      </c>
      <c r="B1698" s="3" t="n">
        <v>1696</v>
      </c>
      <c r="C1698" s="3" t="s">
        <v>118</v>
      </c>
      <c r="D1698" s="3" t="n">
        <v>3</v>
      </c>
      <c r="E1698" s="3" t="n">
        <v>4</v>
      </c>
      <c r="F1698" s="3" t="n">
        <v>1</v>
      </c>
      <c r="G1698" s="3" t="n">
        <v>1</v>
      </c>
      <c r="H1698" s="24" t="n">
        <v>-0.00956261531</v>
      </c>
    </row>
    <row r="1699" customFormat="false" ht="15" hidden="false" customHeight="false" outlineLevel="0" collapsed="false">
      <c r="A1699" s="3" t="n">
        <v>1698</v>
      </c>
      <c r="B1699" s="3" t="n">
        <v>1697</v>
      </c>
      <c r="C1699" s="3" t="s">
        <v>118</v>
      </c>
      <c r="D1699" s="3" t="n">
        <v>3</v>
      </c>
      <c r="E1699" s="3" t="n">
        <v>4</v>
      </c>
      <c r="F1699" s="3" t="n">
        <v>1</v>
      </c>
      <c r="G1699" s="3" t="n">
        <v>2</v>
      </c>
      <c r="H1699" s="24" t="n">
        <v>0.175586984</v>
      </c>
    </row>
    <row r="1700" customFormat="false" ht="15" hidden="false" customHeight="false" outlineLevel="0" collapsed="false">
      <c r="A1700" s="3" t="n">
        <v>1699</v>
      </c>
      <c r="B1700" s="3" t="n">
        <v>1698</v>
      </c>
      <c r="C1700" s="3" t="s">
        <v>118</v>
      </c>
      <c r="D1700" s="3" t="n">
        <v>3</v>
      </c>
      <c r="E1700" s="3" t="n">
        <v>4</v>
      </c>
      <c r="F1700" s="3" t="n">
        <v>2</v>
      </c>
      <c r="G1700" s="3" t="n">
        <v>0</v>
      </c>
      <c r="H1700" s="24" t="n">
        <v>-0.198460817</v>
      </c>
    </row>
    <row r="1701" customFormat="false" ht="15" hidden="false" customHeight="false" outlineLevel="0" collapsed="false">
      <c r="A1701" s="3" t="n">
        <v>1700</v>
      </c>
      <c r="B1701" s="3" t="n">
        <v>1699</v>
      </c>
      <c r="C1701" s="3" t="s">
        <v>118</v>
      </c>
      <c r="D1701" s="3" t="n">
        <v>3</v>
      </c>
      <c r="E1701" s="3" t="n">
        <v>4</v>
      </c>
      <c r="F1701" s="3" t="n">
        <v>2</v>
      </c>
      <c r="G1701" s="3" t="n">
        <v>1</v>
      </c>
      <c r="H1701" s="24" t="n">
        <v>-0.430410028</v>
      </c>
    </row>
    <row r="1702" customFormat="false" ht="15" hidden="false" customHeight="false" outlineLevel="0" collapsed="false">
      <c r="A1702" s="3" t="n">
        <v>1701</v>
      </c>
      <c r="B1702" s="3" t="n">
        <v>1700</v>
      </c>
      <c r="C1702" s="3" t="s">
        <v>118</v>
      </c>
      <c r="D1702" s="3" t="n">
        <v>3</v>
      </c>
      <c r="E1702" s="3" t="n">
        <v>4</v>
      </c>
      <c r="F1702" s="3" t="n">
        <v>2</v>
      </c>
      <c r="G1702" s="3" t="n">
        <v>2</v>
      </c>
      <c r="H1702" s="24" t="n">
        <v>-0.272546083</v>
      </c>
    </row>
    <row r="1703" customFormat="false" ht="15" hidden="false" customHeight="false" outlineLevel="0" collapsed="false">
      <c r="A1703" s="3" t="n">
        <v>1702</v>
      </c>
      <c r="B1703" s="3" t="n">
        <v>1701</v>
      </c>
      <c r="C1703" s="3" t="s">
        <v>118</v>
      </c>
      <c r="D1703" s="3" t="n">
        <v>3</v>
      </c>
      <c r="E1703" s="3" t="n">
        <v>5</v>
      </c>
      <c r="F1703" s="3" t="n">
        <v>0</v>
      </c>
      <c r="G1703" s="3" t="n">
        <v>0</v>
      </c>
      <c r="H1703" s="24" t="n">
        <v>0.127641514</v>
      </c>
    </row>
    <row r="1704" customFormat="false" ht="15" hidden="false" customHeight="false" outlineLevel="0" collapsed="false">
      <c r="A1704" s="3" t="n">
        <v>1703</v>
      </c>
      <c r="B1704" s="3" t="n">
        <v>1702</v>
      </c>
      <c r="C1704" s="3" t="s">
        <v>118</v>
      </c>
      <c r="D1704" s="3" t="n">
        <v>3</v>
      </c>
      <c r="E1704" s="3" t="n">
        <v>5</v>
      </c>
      <c r="F1704" s="3" t="n">
        <v>0</v>
      </c>
      <c r="G1704" s="3" t="n">
        <v>1</v>
      </c>
      <c r="H1704" s="24" t="n">
        <v>0.271704316</v>
      </c>
    </row>
    <row r="1705" customFormat="false" ht="15" hidden="false" customHeight="false" outlineLevel="0" collapsed="false">
      <c r="A1705" s="3" t="n">
        <v>1704</v>
      </c>
      <c r="B1705" s="3" t="n">
        <v>1703</v>
      </c>
      <c r="C1705" s="3" t="s">
        <v>118</v>
      </c>
      <c r="D1705" s="3" t="n">
        <v>3</v>
      </c>
      <c r="E1705" s="3" t="n">
        <v>5</v>
      </c>
      <c r="F1705" s="3" t="n">
        <v>0</v>
      </c>
      <c r="G1705" s="3" t="n">
        <v>2</v>
      </c>
      <c r="H1705" s="24" t="n">
        <v>-0.0838669091</v>
      </c>
    </row>
    <row r="1706" customFormat="false" ht="15" hidden="false" customHeight="false" outlineLevel="0" collapsed="false">
      <c r="A1706" s="3" t="n">
        <v>1705</v>
      </c>
      <c r="B1706" s="3" t="n">
        <v>1704</v>
      </c>
      <c r="C1706" s="3" t="s">
        <v>118</v>
      </c>
      <c r="D1706" s="3" t="n">
        <v>3</v>
      </c>
      <c r="E1706" s="3" t="n">
        <v>5</v>
      </c>
      <c r="F1706" s="3" t="n">
        <v>1</v>
      </c>
      <c r="G1706" s="3" t="n">
        <v>0</v>
      </c>
      <c r="H1706" s="24" t="n">
        <v>-0.132137269</v>
      </c>
    </row>
    <row r="1707" customFormat="false" ht="15" hidden="false" customHeight="false" outlineLevel="0" collapsed="false">
      <c r="A1707" s="3" t="n">
        <v>1706</v>
      </c>
      <c r="B1707" s="3" t="n">
        <v>1705</v>
      </c>
      <c r="C1707" s="3" t="s">
        <v>118</v>
      </c>
      <c r="D1707" s="3" t="n">
        <v>3</v>
      </c>
      <c r="E1707" s="3" t="n">
        <v>5</v>
      </c>
      <c r="F1707" s="3" t="n">
        <v>1</v>
      </c>
      <c r="G1707" s="3" t="n">
        <v>1</v>
      </c>
      <c r="H1707" s="24" t="n">
        <v>-0.0830535218</v>
      </c>
    </row>
    <row r="1708" customFormat="false" ht="15" hidden="false" customHeight="false" outlineLevel="0" collapsed="false">
      <c r="A1708" s="3" t="n">
        <v>1707</v>
      </c>
      <c r="B1708" s="3" t="n">
        <v>1706</v>
      </c>
      <c r="C1708" s="3" t="s">
        <v>118</v>
      </c>
      <c r="D1708" s="3" t="n">
        <v>3</v>
      </c>
      <c r="E1708" s="3" t="n">
        <v>5</v>
      </c>
      <c r="F1708" s="3" t="n">
        <v>1</v>
      </c>
      <c r="G1708" s="3" t="n">
        <v>2</v>
      </c>
      <c r="H1708" s="24" t="n">
        <v>-0.0416977853</v>
      </c>
    </row>
    <row r="1709" customFormat="false" ht="15" hidden="false" customHeight="false" outlineLevel="0" collapsed="false">
      <c r="A1709" s="3" t="n">
        <v>1708</v>
      </c>
      <c r="B1709" s="3" t="n">
        <v>1707</v>
      </c>
      <c r="C1709" s="3" t="s">
        <v>118</v>
      </c>
      <c r="D1709" s="3" t="n">
        <v>3</v>
      </c>
      <c r="E1709" s="3" t="n">
        <v>5</v>
      </c>
      <c r="F1709" s="3" t="n">
        <v>2</v>
      </c>
      <c r="G1709" s="3" t="n">
        <v>0</v>
      </c>
      <c r="H1709" s="24" t="n">
        <v>0.166053385</v>
      </c>
    </row>
    <row r="1710" customFormat="false" ht="15" hidden="false" customHeight="false" outlineLevel="0" collapsed="false">
      <c r="A1710" s="3" t="n">
        <v>1709</v>
      </c>
      <c r="B1710" s="3" t="n">
        <v>1708</v>
      </c>
      <c r="C1710" s="3" t="s">
        <v>118</v>
      </c>
      <c r="D1710" s="3" t="n">
        <v>3</v>
      </c>
      <c r="E1710" s="3" t="n">
        <v>5</v>
      </c>
      <c r="F1710" s="3" t="n">
        <v>2</v>
      </c>
      <c r="G1710" s="3" t="n">
        <v>1</v>
      </c>
      <c r="H1710" s="24" t="n">
        <v>0.142690256</v>
      </c>
    </row>
    <row r="1711" customFormat="false" ht="15" hidden="false" customHeight="false" outlineLevel="0" collapsed="false">
      <c r="A1711" s="3" t="n">
        <v>1710</v>
      </c>
      <c r="B1711" s="3" t="n">
        <v>1709</v>
      </c>
      <c r="C1711" s="3" t="s">
        <v>118</v>
      </c>
      <c r="D1711" s="3" t="n">
        <v>3</v>
      </c>
      <c r="E1711" s="3" t="n">
        <v>5</v>
      </c>
      <c r="F1711" s="3" t="n">
        <v>2</v>
      </c>
      <c r="G1711" s="3" t="n">
        <v>2</v>
      </c>
      <c r="H1711" s="24" t="n">
        <v>-0.0679340959</v>
      </c>
    </row>
    <row r="1712" customFormat="false" ht="15" hidden="false" customHeight="false" outlineLevel="0" collapsed="false">
      <c r="A1712" s="3" t="n">
        <v>1711</v>
      </c>
      <c r="B1712" s="3" t="n">
        <v>1710</v>
      </c>
      <c r="C1712" s="3" t="s">
        <v>118</v>
      </c>
      <c r="D1712" s="3" t="n">
        <v>3</v>
      </c>
      <c r="E1712" s="3" t="n">
        <v>6</v>
      </c>
      <c r="F1712" s="3" t="n">
        <v>0</v>
      </c>
      <c r="G1712" s="3" t="n">
        <v>0</v>
      </c>
      <c r="H1712" s="24" t="n">
        <v>0.0789808333</v>
      </c>
    </row>
    <row r="1713" customFormat="false" ht="15" hidden="false" customHeight="false" outlineLevel="0" collapsed="false">
      <c r="A1713" s="3" t="n">
        <v>1712</v>
      </c>
      <c r="B1713" s="3" t="n">
        <v>1711</v>
      </c>
      <c r="C1713" s="3" t="s">
        <v>118</v>
      </c>
      <c r="D1713" s="3" t="n">
        <v>3</v>
      </c>
      <c r="E1713" s="3" t="n">
        <v>6</v>
      </c>
      <c r="F1713" s="3" t="n">
        <v>0</v>
      </c>
      <c r="G1713" s="3" t="n">
        <v>1</v>
      </c>
      <c r="H1713" s="24" t="n">
        <v>0.154913366</v>
      </c>
    </row>
    <row r="1714" customFormat="false" ht="15" hidden="false" customHeight="false" outlineLevel="0" collapsed="false">
      <c r="A1714" s="3" t="n">
        <v>1713</v>
      </c>
      <c r="B1714" s="3" t="n">
        <v>1712</v>
      </c>
      <c r="C1714" s="3" t="s">
        <v>118</v>
      </c>
      <c r="D1714" s="3" t="n">
        <v>3</v>
      </c>
      <c r="E1714" s="3" t="n">
        <v>6</v>
      </c>
      <c r="F1714" s="3" t="n">
        <v>0</v>
      </c>
      <c r="G1714" s="3" t="n">
        <v>2</v>
      </c>
      <c r="H1714" s="24" t="n">
        <v>0.131725997</v>
      </c>
    </row>
    <row r="1715" customFormat="false" ht="15" hidden="false" customHeight="false" outlineLevel="0" collapsed="false">
      <c r="A1715" s="3" t="n">
        <v>1714</v>
      </c>
      <c r="B1715" s="3" t="n">
        <v>1713</v>
      </c>
      <c r="C1715" s="3" t="s">
        <v>118</v>
      </c>
      <c r="D1715" s="3" t="n">
        <v>3</v>
      </c>
      <c r="E1715" s="3" t="n">
        <v>6</v>
      </c>
      <c r="F1715" s="3" t="n">
        <v>1</v>
      </c>
      <c r="G1715" s="3" t="n">
        <v>0</v>
      </c>
      <c r="H1715" s="24" t="n">
        <v>-0.0175895561</v>
      </c>
    </row>
    <row r="1716" customFormat="false" ht="15" hidden="false" customHeight="false" outlineLevel="0" collapsed="false">
      <c r="A1716" s="3" t="n">
        <v>1715</v>
      </c>
      <c r="B1716" s="3" t="n">
        <v>1714</v>
      </c>
      <c r="C1716" s="3" t="s">
        <v>118</v>
      </c>
      <c r="D1716" s="3" t="n">
        <v>3</v>
      </c>
      <c r="E1716" s="3" t="n">
        <v>6</v>
      </c>
      <c r="F1716" s="3" t="n">
        <v>1</v>
      </c>
      <c r="G1716" s="3" t="n">
        <v>1</v>
      </c>
      <c r="H1716" s="24" t="n">
        <v>-0.155473977</v>
      </c>
    </row>
    <row r="1717" customFormat="false" ht="15" hidden="false" customHeight="false" outlineLevel="0" collapsed="false">
      <c r="A1717" s="3" t="n">
        <v>1716</v>
      </c>
      <c r="B1717" s="3" t="n">
        <v>1715</v>
      </c>
      <c r="C1717" s="3" t="s">
        <v>118</v>
      </c>
      <c r="D1717" s="3" t="n">
        <v>3</v>
      </c>
      <c r="E1717" s="3" t="n">
        <v>6</v>
      </c>
      <c r="F1717" s="3" t="n">
        <v>1</v>
      </c>
      <c r="G1717" s="3" t="n">
        <v>2</v>
      </c>
      <c r="H1717" s="24" t="n">
        <v>-0.0297934767</v>
      </c>
    </row>
    <row r="1718" customFormat="false" ht="15" hidden="false" customHeight="false" outlineLevel="0" collapsed="false">
      <c r="A1718" s="3" t="n">
        <v>1717</v>
      </c>
      <c r="B1718" s="3" t="n">
        <v>1716</v>
      </c>
      <c r="C1718" s="3" t="s">
        <v>118</v>
      </c>
      <c r="D1718" s="3" t="n">
        <v>3</v>
      </c>
      <c r="E1718" s="3" t="n">
        <v>6</v>
      </c>
      <c r="F1718" s="3" t="n">
        <v>2</v>
      </c>
      <c r="G1718" s="3" t="n">
        <v>0</v>
      </c>
      <c r="H1718" s="24" t="n">
        <v>-0.0297344606</v>
      </c>
    </row>
    <row r="1719" customFormat="false" ht="15" hidden="false" customHeight="false" outlineLevel="0" collapsed="false">
      <c r="A1719" s="3" t="n">
        <v>1718</v>
      </c>
      <c r="B1719" s="3" t="n">
        <v>1717</v>
      </c>
      <c r="C1719" s="3" t="s">
        <v>118</v>
      </c>
      <c r="D1719" s="3" t="n">
        <v>3</v>
      </c>
      <c r="E1719" s="3" t="n">
        <v>6</v>
      </c>
      <c r="F1719" s="3" t="n">
        <v>2</v>
      </c>
      <c r="G1719" s="3" t="n">
        <v>1</v>
      </c>
      <c r="H1719" s="24" t="n">
        <v>0.173629731</v>
      </c>
    </row>
    <row r="1720" customFormat="false" ht="15" hidden="false" customHeight="false" outlineLevel="0" collapsed="false">
      <c r="A1720" s="3" t="n">
        <v>1719</v>
      </c>
      <c r="B1720" s="3" t="n">
        <v>1718</v>
      </c>
      <c r="C1720" s="3" t="s">
        <v>118</v>
      </c>
      <c r="D1720" s="3" t="n">
        <v>3</v>
      </c>
      <c r="E1720" s="3" t="n">
        <v>6</v>
      </c>
      <c r="F1720" s="3" t="n">
        <v>2</v>
      </c>
      <c r="G1720" s="3" t="n">
        <v>2</v>
      </c>
      <c r="H1720" s="24" t="n">
        <v>0.0830725878</v>
      </c>
    </row>
    <row r="1721" customFormat="false" ht="15" hidden="false" customHeight="false" outlineLevel="0" collapsed="false">
      <c r="A1721" s="3" t="n">
        <v>1720</v>
      </c>
      <c r="B1721" s="3" t="n">
        <v>1719</v>
      </c>
      <c r="C1721" s="3" t="s">
        <v>118</v>
      </c>
      <c r="D1721" s="3" t="n">
        <v>3</v>
      </c>
      <c r="E1721" s="3" t="n">
        <v>7</v>
      </c>
      <c r="F1721" s="3" t="n">
        <v>0</v>
      </c>
      <c r="G1721" s="3" t="n">
        <v>0</v>
      </c>
      <c r="H1721" s="24" t="n">
        <v>-0.085454829</v>
      </c>
    </row>
    <row r="1722" customFormat="false" ht="15" hidden="false" customHeight="false" outlineLevel="0" collapsed="false">
      <c r="A1722" s="3" t="n">
        <v>1721</v>
      </c>
      <c r="B1722" s="3" t="n">
        <v>1720</v>
      </c>
      <c r="C1722" s="3" t="s">
        <v>118</v>
      </c>
      <c r="D1722" s="3" t="n">
        <v>3</v>
      </c>
      <c r="E1722" s="3" t="n">
        <v>7</v>
      </c>
      <c r="F1722" s="3" t="n">
        <v>0</v>
      </c>
      <c r="G1722" s="3" t="n">
        <v>1</v>
      </c>
      <c r="H1722" s="24" t="n">
        <v>0.266253144</v>
      </c>
    </row>
    <row r="1723" customFormat="false" ht="15" hidden="false" customHeight="false" outlineLevel="0" collapsed="false">
      <c r="A1723" s="3" t="n">
        <v>1722</v>
      </c>
      <c r="B1723" s="3" t="n">
        <v>1721</v>
      </c>
      <c r="C1723" s="3" t="s">
        <v>118</v>
      </c>
      <c r="D1723" s="3" t="n">
        <v>3</v>
      </c>
      <c r="E1723" s="3" t="n">
        <v>7</v>
      </c>
      <c r="F1723" s="3" t="n">
        <v>0</v>
      </c>
      <c r="G1723" s="3" t="n">
        <v>2</v>
      </c>
      <c r="H1723" s="24" t="n">
        <v>0.247988775</v>
      </c>
    </row>
    <row r="1724" customFormat="false" ht="15" hidden="false" customHeight="false" outlineLevel="0" collapsed="false">
      <c r="A1724" s="3" t="n">
        <v>1723</v>
      </c>
      <c r="B1724" s="3" t="n">
        <v>1722</v>
      </c>
      <c r="C1724" s="3" t="s">
        <v>118</v>
      </c>
      <c r="D1724" s="3" t="n">
        <v>3</v>
      </c>
      <c r="E1724" s="3" t="n">
        <v>7</v>
      </c>
      <c r="F1724" s="3" t="n">
        <v>1</v>
      </c>
      <c r="G1724" s="3" t="n">
        <v>0</v>
      </c>
      <c r="H1724" s="24" t="n">
        <v>-0.163517341</v>
      </c>
    </row>
    <row r="1725" customFormat="false" ht="15" hidden="false" customHeight="false" outlineLevel="0" collapsed="false">
      <c r="A1725" s="3" t="n">
        <v>1724</v>
      </c>
      <c r="B1725" s="3" t="n">
        <v>1723</v>
      </c>
      <c r="C1725" s="3" t="s">
        <v>118</v>
      </c>
      <c r="D1725" s="3" t="n">
        <v>3</v>
      </c>
      <c r="E1725" s="3" t="n">
        <v>7</v>
      </c>
      <c r="F1725" s="3" t="n">
        <v>1</v>
      </c>
      <c r="G1725" s="3" t="n">
        <v>1</v>
      </c>
      <c r="H1725" s="24" t="n">
        <v>-0.322267741</v>
      </c>
    </row>
    <row r="1726" customFormat="false" ht="15" hidden="false" customHeight="false" outlineLevel="0" collapsed="false">
      <c r="A1726" s="3" t="n">
        <v>1725</v>
      </c>
      <c r="B1726" s="3" t="n">
        <v>1724</v>
      </c>
      <c r="C1726" s="3" t="s">
        <v>118</v>
      </c>
      <c r="D1726" s="3" t="n">
        <v>3</v>
      </c>
      <c r="E1726" s="3" t="n">
        <v>7</v>
      </c>
      <c r="F1726" s="3" t="n">
        <v>1</v>
      </c>
      <c r="G1726" s="3" t="n">
        <v>2</v>
      </c>
      <c r="H1726" s="24" t="n">
        <v>-0.042498149</v>
      </c>
    </row>
    <row r="1727" customFormat="false" ht="15" hidden="false" customHeight="false" outlineLevel="0" collapsed="false">
      <c r="A1727" s="3" t="n">
        <v>1726</v>
      </c>
      <c r="B1727" s="3" t="n">
        <v>1725</v>
      </c>
      <c r="C1727" s="3" t="s">
        <v>118</v>
      </c>
      <c r="D1727" s="3" t="n">
        <v>3</v>
      </c>
      <c r="E1727" s="3" t="n">
        <v>7</v>
      </c>
      <c r="F1727" s="3" t="n">
        <v>2</v>
      </c>
      <c r="G1727" s="3" t="n">
        <v>0</v>
      </c>
      <c r="H1727" s="24" t="n">
        <v>-0.183643207</v>
      </c>
    </row>
    <row r="1728" customFormat="false" ht="15" hidden="false" customHeight="false" outlineLevel="0" collapsed="false">
      <c r="A1728" s="3" t="n">
        <v>1727</v>
      </c>
      <c r="B1728" s="3" t="n">
        <v>1726</v>
      </c>
      <c r="C1728" s="3" t="s">
        <v>118</v>
      </c>
      <c r="D1728" s="3" t="n">
        <v>3</v>
      </c>
      <c r="E1728" s="3" t="n">
        <v>7</v>
      </c>
      <c r="F1728" s="3" t="n">
        <v>2</v>
      </c>
      <c r="G1728" s="3" t="n">
        <v>1</v>
      </c>
      <c r="H1728" s="24" t="n">
        <v>0.148360327</v>
      </c>
    </row>
    <row r="1729" customFormat="false" ht="15" hidden="false" customHeight="false" outlineLevel="0" collapsed="false">
      <c r="A1729" s="3" t="n">
        <v>1728</v>
      </c>
      <c r="B1729" s="3" t="n">
        <v>1727</v>
      </c>
      <c r="C1729" s="3" t="s">
        <v>118</v>
      </c>
      <c r="D1729" s="3" t="n">
        <v>3</v>
      </c>
      <c r="E1729" s="3" t="n">
        <v>7</v>
      </c>
      <c r="F1729" s="3" t="n">
        <v>2</v>
      </c>
      <c r="G1729" s="3" t="n">
        <v>2</v>
      </c>
      <c r="H1729" s="24" t="n">
        <v>0.1666352</v>
      </c>
    </row>
    <row r="1730" customFormat="false" ht="15" hidden="false" customHeight="false" outlineLevel="0" collapsed="false">
      <c r="A1730" s="3" t="n">
        <v>1729</v>
      </c>
      <c r="B1730" s="3" t="n">
        <v>1728</v>
      </c>
      <c r="C1730" s="3" t="s">
        <v>118</v>
      </c>
      <c r="D1730" s="3" t="n">
        <v>3</v>
      </c>
      <c r="E1730" s="3" t="n">
        <v>8</v>
      </c>
      <c r="F1730" s="3" t="n">
        <v>0</v>
      </c>
      <c r="G1730" s="3" t="n">
        <v>0</v>
      </c>
      <c r="H1730" s="24" t="n">
        <v>-0.132536054</v>
      </c>
    </row>
    <row r="1731" customFormat="false" ht="15" hidden="false" customHeight="false" outlineLevel="0" collapsed="false">
      <c r="A1731" s="3" t="n">
        <v>1730</v>
      </c>
      <c r="B1731" s="3" t="n">
        <v>1729</v>
      </c>
      <c r="C1731" s="3" t="s">
        <v>118</v>
      </c>
      <c r="D1731" s="3" t="n">
        <v>3</v>
      </c>
      <c r="E1731" s="3" t="n">
        <v>8</v>
      </c>
      <c r="F1731" s="3" t="n">
        <v>0</v>
      </c>
      <c r="G1731" s="3" t="n">
        <v>1</v>
      </c>
      <c r="H1731" s="24" t="n">
        <v>0.219534144</v>
      </c>
    </row>
    <row r="1732" customFormat="false" ht="15" hidden="false" customHeight="false" outlineLevel="0" collapsed="false">
      <c r="A1732" s="3" t="n">
        <v>1731</v>
      </c>
      <c r="B1732" s="3" t="n">
        <v>1730</v>
      </c>
      <c r="C1732" s="3" t="s">
        <v>118</v>
      </c>
      <c r="D1732" s="3" t="n">
        <v>3</v>
      </c>
      <c r="E1732" s="3" t="n">
        <v>8</v>
      </c>
      <c r="F1732" s="3" t="n">
        <v>0</v>
      </c>
      <c r="G1732" s="3" t="n">
        <v>2</v>
      </c>
      <c r="H1732" s="24" t="n">
        <v>0.0649374798</v>
      </c>
    </row>
    <row r="1733" customFormat="false" ht="15" hidden="false" customHeight="false" outlineLevel="0" collapsed="false">
      <c r="A1733" s="3" t="n">
        <v>1732</v>
      </c>
      <c r="B1733" s="3" t="n">
        <v>1731</v>
      </c>
      <c r="C1733" s="3" t="s">
        <v>118</v>
      </c>
      <c r="D1733" s="3" t="n">
        <v>3</v>
      </c>
      <c r="E1733" s="3" t="n">
        <v>8</v>
      </c>
      <c r="F1733" s="3" t="n">
        <v>1</v>
      </c>
      <c r="G1733" s="3" t="n">
        <v>0</v>
      </c>
      <c r="H1733" s="24" t="n">
        <v>0.0168988407</v>
      </c>
    </row>
    <row r="1734" customFormat="false" ht="15" hidden="false" customHeight="false" outlineLevel="0" collapsed="false">
      <c r="A1734" s="3" t="n">
        <v>1733</v>
      </c>
      <c r="B1734" s="3" t="n">
        <v>1732</v>
      </c>
      <c r="C1734" s="3" t="s">
        <v>118</v>
      </c>
      <c r="D1734" s="3" t="n">
        <v>3</v>
      </c>
      <c r="E1734" s="3" t="n">
        <v>8</v>
      </c>
      <c r="F1734" s="3" t="n">
        <v>1</v>
      </c>
      <c r="G1734" s="3" t="n">
        <v>1</v>
      </c>
      <c r="H1734" s="24" t="n">
        <v>0.0571055077</v>
      </c>
    </row>
    <row r="1735" customFormat="false" ht="15" hidden="false" customHeight="false" outlineLevel="0" collapsed="false">
      <c r="A1735" s="3" t="n">
        <v>1734</v>
      </c>
      <c r="B1735" s="3" t="n">
        <v>1733</v>
      </c>
      <c r="C1735" s="3" t="s">
        <v>118</v>
      </c>
      <c r="D1735" s="3" t="n">
        <v>3</v>
      </c>
      <c r="E1735" s="3" t="n">
        <v>8</v>
      </c>
      <c r="F1735" s="3" t="n">
        <v>1</v>
      </c>
      <c r="G1735" s="3" t="n">
        <v>2</v>
      </c>
      <c r="H1735" s="24" t="n">
        <v>0.097018756</v>
      </c>
    </row>
    <row r="1736" customFormat="false" ht="15" hidden="false" customHeight="false" outlineLevel="0" collapsed="false">
      <c r="A1736" s="3" t="n">
        <v>1735</v>
      </c>
      <c r="B1736" s="3" t="n">
        <v>1734</v>
      </c>
      <c r="C1736" s="3" t="s">
        <v>118</v>
      </c>
      <c r="D1736" s="3" t="n">
        <v>3</v>
      </c>
      <c r="E1736" s="3" t="n">
        <v>8</v>
      </c>
      <c r="F1736" s="3" t="n">
        <v>2</v>
      </c>
      <c r="G1736" s="3" t="n">
        <v>0</v>
      </c>
      <c r="H1736" s="24" t="n">
        <v>0.153912157</v>
      </c>
    </row>
    <row r="1737" customFormat="false" ht="15" hidden="false" customHeight="false" outlineLevel="0" collapsed="false">
      <c r="A1737" s="3" t="n">
        <v>1736</v>
      </c>
      <c r="B1737" s="3" t="n">
        <v>1735</v>
      </c>
      <c r="C1737" s="3" t="s">
        <v>118</v>
      </c>
      <c r="D1737" s="3" t="n">
        <v>3</v>
      </c>
      <c r="E1737" s="3" t="n">
        <v>8</v>
      </c>
      <c r="F1737" s="3" t="n">
        <v>2</v>
      </c>
      <c r="G1737" s="3" t="n">
        <v>1</v>
      </c>
      <c r="H1737" s="24" t="n">
        <v>-0.113835029</v>
      </c>
    </row>
    <row r="1738" customFormat="false" ht="15" hidden="false" customHeight="false" outlineLevel="0" collapsed="false">
      <c r="A1738" s="3" t="n">
        <v>1737</v>
      </c>
      <c r="B1738" s="3" t="n">
        <v>1736</v>
      </c>
      <c r="C1738" s="3" t="s">
        <v>118</v>
      </c>
      <c r="D1738" s="3" t="n">
        <v>3</v>
      </c>
      <c r="E1738" s="3" t="n">
        <v>8</v>
      </c>
      <c r="F1738" s="3" t="n">
        <v>2</v>
      </c>
      <c r="G1738" s="3" t="n">
        <v>2</v>
      </c>
      <c r="H1738" s="24" t="n">
        <v>-0.0685444847</v>
      </c>
    </row>
    <row r="1739" customFormat="false" ht="15" hidden="false" customHeight="false" outlineLevel="0" collapsed="false">
      <c r="A1739" s="3" t="n">
        <v>1738</v>
      </c>
      <c r="B1739" s="3" t="n">
        <v>1737</v>
      </c>
      <c r="C1739" s="3" t="s">
        <v>118</v>
      </c>
      <c r="D1739" s="3" t="n">
        <v>3</v>
      </c>
      <c r="E1739" s="3" t="n">
        <v>9</v>
      </c>
      <c r="F1739" s="3" t="n">
        <v>0</v>
      </c>
      <c r="G1739" s="3" t="n">
        <v>0</v>
      </c>
      <c r="H1739" s="24" t="n">
        <v>-0.0772519857</v>
      </c>
    </row>
    <row r="1740" customFormat="false" ht="15" hidden="false" customHeight="false" outlineLevel="0" collapsed="false">
      <c r="A1740" s="3" t="n">
        <v>1739</v>
      </c>
      <c r="B1740" s="3" t="n">
        <v>1738</v>
      </c>
      <c r="C1740" s="3" t="s">
        <v>118</v>
      </c>
      <c r="D1740" s="3" t="n">
        <v>3</v>
      </c>
      <c r="E1740" s="3" t="n">
        <v>9</v>
      </c>
      <c r="F1740" s="3" t="n">
        <v>0</v>
      </c>
      <c r="G1740" s="3" t="n">
        <v>1</v>
      </c>
      <c r="H1740" s="24" t="n">
        <v>-0.185199693</v>
      </c>
    </row>
    <row r="1741" customFormat="false" ht="15" hidden="false" customHeight="false" outlineLevel="0" collapsed="false">
      <c r="A1741" s="3" t="n">
        <v>1740</v>
      </c>
      <c r="B1741" s="3" t="n">
        <v>1739</v>
      </c>
      <c r="C1741" s="3" t="s">
        <v>118</v>
      </c>
      <c r="D1741" s="3" t="n">
        <v>3</v>
      </c>
      <c r="E1741" s="3" t="n">
        <v>9</v>
      </c>
      <c r="F1741" s="3" t="n">
        <v>0</v>
      </c>
      <c r="G1741" s="3" t="n">
        <v>2</v>
      </c>
      <c r="H1741" s="24" t="n">
        <v>-0.0476589687</v>
      </c>
    </row>
    <row r="1742" customFormat="false" ht="15" hidden="false" customHeight="false" outlineLevel="0" collapsed="false">
      <c r="A1742" s="3" t="n">
        <v>1741</v>
      </c>
      <c r="B1742" s="3" t="n">
        <v>1740</v>
      </c>
      <c r="C1742" s="3" t="s">
        <v>118</v>
      </c>
      <c r="D1742" s="3" t="n">
        <v>3</v>
      </c>
      <c r="E1742" s="3" t="n">
        <v>9</v>
      </c>
      <c r="F1742" s="3" t="n">
        <v>1</v>
      </c>
      <c r="G1742" s="3" t="n">
        <v>0</v>
      </c>
      <c r="H1742" s="24" t="n">
        <v>0.0200817827</v>
      </c>
    </row>
    <row r="1743" customFormat="false" ht="15" hidden="false" customHeight="false" outlineLevel="0" collapsed="false">
      <c r="A1743" s="3" t="n">
        <v>1742</v>
      </c>
      <c r="B1743" s="3" t="n">
        <v>1741</v>
      </c>
      <c r="C1743" s="3" t="s">
        <v>118</v>
      </c>
      <c r="D1743" s="3" t="n">
        <v>3</v>
      </c>
      <c r="E1743" s="3" t="n">
        <v>9</v>
      </c>
      <c r="F1743" s="3" t="n">
        <v>1</v>
      </c>
      <c r="G1743" s="3" t="n">
        <v>1</v>
      </c>
      <c r="H1743" s="24" t="n">
        <v>0.000599375577</v>
      </c>
    </row>
    <row r="1744" customFormat="false" ht="15" hidden="false" customHeight="false" outlineLevel="0" collapsed="false">
      <c r="A1744" s="3" t="n">
        <v>1743</v>
      </c>
      <c r="B1744" s="3" t="n">
        <v>1742</v>
      </c>
      <c r="C1744" s="3" t="s">
        <v>118</v>
      </c>
      <c r="D1744" s="3" t="n">
        <v>3</v>
      </c>
      <c r="E1744" s="3" t="n">
        <v>9</v>
      </c>
      <c r="F1744" s="3" t="n">
        <v>1</v>
      </c>
      <c r="G1744" s="3" t="n">
        <v>2</v>
      </c>
      <c r="H1744" s="24" t="n">
        <v>0.0120943086</v>
      </c>
    </row>
    <row r="1745" customFormat="false" ht="15" hidden="false" customHeight="false" outlineLevel="0" collapsed="false">
      <c r="A1745" s="3" t="n">
        <v>1744</v>
      </c>
      <c r="B1745" s="3" t="n">
        <v>1743</v>
      </c>
      <c r="C1745" s="3" t="s">
        <v>118</v>
      </c>
      <c r="D1745" s="3" t="n">
        <v>3</v>
      </c>
      <c r="E1745" s="3" t="n">
        <v>9</v>
      </c>
      <c r="F1745" s="3" t="n">
        <v>2</v>
      </c>
      <c r="G1745" s="3" t="n">
        <v>0</v>
      </c>
      <c r="H1745" s="24" t="n">
        <v>0.0917727128</v>
      </c>
    </row>
    <row r="1746" customFormat="false" ht="15" hidden="false" customHeight="false" outlineLevel="0" collapsed="false">
      <c r="A1746" s="3" t="n">
        <v>1745</v>
      </c>
      <c r="B1746" s="3" t="n">
        <v>1744</v>
      </c>
      <c r="C1746" s="3" t="s">
        <v>118</v>
      </c>
      <c r="D1746" s="3" t="n">
        <v>3</v>
      </c>
      <c r="E1746" s="3" t="n">
        <v>9</v>
      </c>
      <c r="F1746" s="3" t="n">
        <v>2</v>
      </c>
      <c r="G1746" s="3" t="n">
        <v>1</v>
      </c>
      <c r="H1746" s="24" t="n">
        <v>-0.0207379498</v>
      </c>
    </row>
    <row r="1747" customFormat="false" ht="15" hidden="false" customHeight="false" outlineLevel="0" collapsed="false">
      <c r="A1747" s="3" t="n">
        <v>1746</v>
      </c>
      <c r="B1747" s="3" t="n">
        <v>1745</v>
      </c>
      <c r="C1747" s="3" t="s">
        <v>118</v>
      </c>
      <c r="D1747" s="3" t="n">
        <v>3</v>
      </c>
      <c r="E1747" s="3" t="n">
        <v>9</v>
      </c>
      <c r="F1747" s="3" t="n">
        <v>2</v>
      </c>
      <c r="G1747" s="3" t="n">
        <v>2</v>
      </c>
      <c r="H1747" s="24" t="n">
        <v>0.249373004</v>
      </c>
    </row>
    <row r="1748" customFormat="false" ht="15" hidden="false" customHeight="false" outlineLevel="0" collapsed="false">
      <c r="A1748" s="3" t="n">
        <v>1747</v>
      </c>
      <c r="B1748" s="3" t="n">
        <v>1746</v>
      </c>
      <c r="C1748" s="3" t="s">
        <v>118</v>
      </c>
      <c r="D1748" s="3" t="n">
        <v>3</v>
      </c>
      <c r="E1748" s="3" t="n">
        <v>10</v>
      </c>
      <c r="F1748" s="3" t="n">
        <v>0</v>
      </c>
      <c r="G1748" s="3" t="n">
        <v>0</v>
      </c>
      <c r="H1748" s="24" t="n">
        <v>0.0289164949</v>
      </c>
    </row>
    <row r="1749" customFormat="false" ht="15" hidden="false" customHeight="false" outlineLevel="0" collapsed="false">
      <c r="A1749" s="3" t="n">
        <v>1748</v>
      </c>
      <c r="B1749" s="3" t="n">
        <v>1747</v>
      </c>
      <c r="C1749" s="3" t="s">
        <v>118</v>
      </c>
      <c r="D1749" s="3" t="n">
        <v>3</v>
      </c>
      <c r="E1749" s="3" t="n">
        <v>10</v>
      </c>
      <c r="F1749" s="3" t="n">
        <v>0</v>
      </c>
      <c r="G1749" s="3" t="n">
        <v>1</v>
      </c>
      <c r="H1749" s="24" t="n">
        <v>0.149230301</v>
      </c>
    </row>
    <row r="1750" customFormat="false" ht="15" hidden="false" customHeight="false" outlineLevel="0" collapsed="false">
      <c r="A1750" s="3" t="n">
        <v>1749</v>
      </c>
      <c r="B1750" s="3" t="n">
        <v>1748</v>
      </c>
      <c r="C1750" s="3" t="s">
        <v>118</v>
      </c>
      <c r="D1750" s="3" t="n">
        <v>3</v>
      </c>
      <c r="E1750" s="3" t="n">
        <v>10</v>
      </c>
      <c r="F1750" s="3" t="n">
        <v>0</v>
      </c>
      <c r="G1750" s="3" t="n">
        <v>2</v>
      </c>
      <c r="H1750" s="24" t="n">
        <v>-0.147113577</v>
      </c>
    </row>
    <row r="1751" customFormat="false" ht="15" hidden="false" customHeight="false" outlineLevel="0" collapsed="false">
      <c r="A1751" s="3" t="n">
        <v>1750</v>
      </c>
      <c r="B1751" s="3" t="n">
        <v>1749</v>
      </c>
      <c r="C1751" s="3" t="s">
        <v>118</v>
      </c>
      <c r="D1751" s="3" t="n">
        <v>3</v>
      </c>
      <c r="E1751" s="3" t="n">
        <v>10</v>
      </c>
      <c r="F1751" s="3" t="n">
        <v>1</v>
      </c>
      <c r="G1751" s="3" t="n">
        <v>0</v>
      </c>
      <c r="H1751" s="24" t="n">
        <v>0.013572623</v>
      </c>
    </row>
    <row r="1752" customFormat="false" ht="15" hidden="false" customHeight="false" outlineLevel="0" collapsed="false">
      <c r="A1752" s="3" t="n">
        <v>1751</v>
      </c>
      <c r="B1752" s="3" t="n">
        <v>1750</v>
      </c>
      <c r="C1752" s="3" t="s">
        <v>118</v>
      </c>
      <c r="D1752" s="3" t="n">
        <v>3</v>
      </c>
      <c r="E1752" s="3" t="n">
        <v>10</v>
      </c>
      <c r="F1752" s="3" t="n">
        <v>1</v>
      </c>
      <c r="G1752" s="3" t="n">
        <v>1</v>
      </c>
      <c r="H1752" s="24" t="n">
        <v>0.0155436015</v>
      </c>
    </row>
    <row r="1753" customFormat="false" ht="15" hidden="false" customHeight="false" outlineLevel="0" collapsed="false">
      <c r="A1753" s="3" t="n">
        <v>1752</v>
      </c>
      <c r="B1753" s="3" t="n">
        <v>1751</v>
      </c>
      <c r="C1753" s="3" t="s">
        <v>118</v>
      </c>
      <c r="D1753" s="3" t="n">
        <v>3</v>
      </c>
      <c r="E1753" s="3" t="n">
        <v>10</v>
      </c>
      <c r="F1753" s="3" t="n">
        <v>1</v>
      </c>
      <c r="G1753" s="3" t="n">
        <v>2</v>
      </c>
      <c r="H1753" s="24" t="n">
        <v>-0.0394888483</v>
      </c>
    </row>
    <row r="1754" customFormat="false" ht="15" hidden="false" customHeight="false" outlineLevel="0" collapsed="false">
      <c r="A1754" s="3" t="n">
        <v>1753</v>
      </c>
      <c r="B1754" s="3" t="n">
        <v>1752</v>
      </c>
      <c r="C1754" s="3" t="s">
        <v>118</v>
      </c>
      <c r="D1754" s="3" t="n">
        <v>3</v>
      </c>
      <c r="E1754" s="3" t="n">
        <v>10</v>
      </c>
      <c r="F1754" s="3" t="n">
        <v>2</v>
      </c>
      <c r="G1754" s="3" t="n">
        <v>0</v>
      </c>
      <c r="H1754" s="24" t="n">
        <v>0.171827242</v>
      </c>
    </row>
    <row r="1755" customFormat="false" ht="15" hidden="false" customHeight="false" outlineLevel="0" collapsed="false">
      <c r="A1755" s="3" t="n">
        <v>1754</v>
      </c>
      <c r="B1755" s="3" t="n">
        <v>1753</v>
      </c>
      <c r="C1755" s="3" t="s">
        <v>118</v>
      </c>
      <c r="D1755" s="3" t="n">
        <v>3</v>
      </c>
      <c r="E1755" s="3" t="n">
        <v>10</v>
      </c>
      <c r="F1755" s="3" t="n">
        <v>2</v>
      </c>
      <c r="G1755" s="3" t="n">
        <v>1</v>
      </c>
      <c r="H1755" s="24" t="n">
        <v>-0.0573391803</v>
      </c>
    </row>
    <row r="1756" customFormat="false" ht="15" hidden="false" customHeight="false" outlineLevel="0" collapsed="false">
      <c r="A1756" s="3" t="n">
        <v>1755</v>
      </c>
      <c r="B1756" s="3" t="n">
        <v>1754</v>
      </c>
      <c r="C1756" s="3" t="s">
        <v>118</v>
      </c>
      <c r="D1756" s="3" t="n">
        <v>3</v>
      </c>
      <c r="E1756" s="3" t="n">
        <v>10</v>
      </c>
      <c r="F1756" s="3" t="n">
        <v>2</v>
      </c>
      <c r="G1756" s="3" t="n">
        <v>2</v>
      </c>
      <c r="H1756" s="24" t="n">
        <v>-0.0952948853</v>
      </c>
    </row>
    <row r="1757" customFormat="false" ht="15" hidden="false" customHeight="false" outlineLevel="0" collapsed="false">
      <c r="A1757" s="3" t="n">
        <v>1756</v>
      </c>
      <c r="B1757" s="3" t="n">
        <v>1755</v>
      </c>
      <c r="C1757" s="3" t="s">
        <v>118</v>
      </c>
      <c r="D1757" s="3" t="n">
        <v>3</v>
      </c>
      <c r="E1757" s="3" t="n">
        <v>11</v>
      </c>
      <c r="F1757" s="3" t="n">
        <v>0</v>
      </c>
      <c r="G1757" s="3" t="n">
        <v>0</v>
      </c>
      <c r="H1757" s="24" t="n">
        <v>0.0603871159</v>
      </c>
    </row>
    <row r="1758" customFormat="false" ht="15" hidden="false" customHeight="false" outlineLevel="0" collapsed="false">
      <c r="A1758" s="3" t="n">
        <v>1757</v>
      </c>
      <c r="B1758" s="3" t="n">
        <v>1756</v>
      </c>
      <c r="C1758" s="3" t="s">
        <v>118</v>
      </c>
      <c r="D1758" s="3" t="n">
        <v>3</v>
      </c>
      <c r="E1758" s="3" t="n">
        <v>11</v>
      </c>
      <c r="F1758" s="3" t="n">
        <v>0</v>
      </c>
      <c r="G1758" s="3" t="n">
        <v>1</v>
      </c>
      <c r="H1758" s="24" t="n">
        <v>-0.0648092031</v>
      </c>
    </row>
    <row r="1759" customFormat="false" ht="15" hidden="false" customHeight="false" outlineLevel="0" collapsed="false">
      <c r="A1759" s="3" t="n">
        <v>1758</v>
      </c>
      <c r="B1759" s="3" t="n">
        <v>1757</v>
      </c>
      <c r="C1759" s="3" t="s">
        <v>118</v>
      </c>
      <c r="D1759" s="3" t="n">
        <v>3</v>
      </c>
      <c r="E1759" s="3" t="n">
        <v>11</v>
      </c>
      <c r="F1759" s="3" t="n">
        <v>0</v>
      </c>
      <c r="G1759" s="3" t="n">
        <v>2</v>
      </c>
      <c r="H1759" s="24" t="n">
        <v>-0.248449668</v>
      </c>
    </row>
    <row r="1760" customFormat="false" ht="15" hidden="false" customHeight="false" outlineLevel="0" collapsed="false">
      <c r="A1760" s="3" t="n">
        <v>1759</v>
      </c>
      <c r="B1760" s="3" t="n">
        <v>1758</v>
      </c>
      <c r="C1760" s="3" t="s">
        <v>118</v>
      </c>
      <c r="D1760" s="3" t="n">
        <v>3</v>
      </c>
      <c r="E1760" s="3" t="n">
        <v>11</v>
      </c>
      <c r="F1760" s="3" t="n">
        <v>1</v>
      </c>
      <c r="G1760" s="3" t="n">
        <v>0</v>
      </c>
      <c r="H1760" s="24" t="n">
        <v>-0.121789448</v>
      </c>
    </row>
    <row r="1761" customFormat="false" ht="15" hidden="false" customHeight="false" outlineLevel="0" collapsed="false">
      <c r="A1761" s="3" t="n">
        <v>1760</v>
      </c>
      <c r="B1761" s="3" t="n">
        <v>1759</v>
      </c>
      <c r="C1761" s="3" t="s">
        <v>118</v>
      </c>
      <c r="D1761" s="3" t="n">
        <v>3</v>
      </c>
      <c r="E1761" s="3" t="n">
        <v>11</v>
      </c>
      <c r="F1761" s="3" t="n">
        <v>1</v>
      </c>
      <c r="G1761" s="3" t="n">
        <v>1</v>
      </c>
      <c r="H1761" s="24" t="n">
        <v>0.052199699</v>
      </c>
    </row>
    <row r="1762" customFormat="false" ht="15" hidden="false" customHeight="false" outlineLevel="0" collapsed="false">
      <c r="A1762" s="3" t="n">
        <v>1761</v>
      </c>
      <c r="B1762" s="3" t="n">
        <v>1760</v>
      </c>
      <c r="C1762" s="3" t="s">
        <v>118</v>
      </c>
      <c r="D1762" s="3" t="n">
        <v>3</v>
      </c>
      <c r="E1762" s="3" t="n">
        <v>11</v>
      </c>
      <c r="F1762" s="3" t="n">
        <v>1</v>
      </c>
      <c r="G1762" s="3" t="n">
        <v>2</v>
      </c>
      <c r="H1762" s="24" t="n">
        <v>-0.0959249064</v>
      </c>
    </row>
    <row r="1763" customFormat="false" ht="15" hidden="false" customHeight="false" outlineLevel="0" collapsed="false">
      <c r="A1763" s="3" t="n">
        <v>1762</v>
      </c>
      <c r="B1763" s="3" t="n">
        <v>1761</v>
      </c>
      <c r="C1763" s="3" t="s">
        <v>118</v>
      </c>
      <c r="D1763" s="3" t="n">
        <v>3</v>
      </c>
      <c r="E1763" s="3" t="n">
        <v>11</v>
      </c>
      <c r="F1763" s="3" t="n">
        <v>2</v>
      </c>
      <c r="G1763" s="3" t="n">
        <v>0</v>
      </c>
      <c r="H1763" s="24" t="n">
        <v>0.129856661</v>
      </c>
    </row>
    <row r="1764" customFormat="false" ht="15" hidden="false" customHeight="false" outlineLevel="0" collapsed="false">
      <c r="A1764" s="3" t="n">
        <v>1763</v>
      </c>
      <c r="B1764" s="3" t="n">
        <v>1762</v>
      </c>
      <c r="C1764" s="3" t="s">
        <v>118</v>
      </c>
      <c r="D1764" s="3" t="n">
        <v>3</v>
      </c>
      <c r="E1764" s="3" t="n">
        <v>11</v>
      </c>
      <c r="F1764" s="3" t="n">
        <v>2</v>
      </c>
      <c r="G1764" s="3" t="n">
        <v>1</v>
      </c>
      <c r="H1764" s="24" t="n">
        <v>0.2933065</v>
      </c>
    </row>
    <row r="1765" customFormat="false" ht="15" hidden="false" customHeight="false" outlineLevel="0" collapsed="false">
      <c r="A1765" s="3" t="n">
        <v>1764</v>
      </c>
      <c r="B1765" s="3" t="n">
        <v>1763</v>
      </c>
      <c r="C1765" s="3" t="s">
        <v>118</v>
      </c>
      <c r="D1765" s="3" t="n">
        <v>3</v>
      </c>
      <c r="E1765" s="3" t="n">
        <v>11</v>
      </c>
      <c r="F1765" s="3" t="n">
        <v>2</v>
      </c>
      <c r="G1765" s="3" t="n">
        <v>2</v>
      </c>
      <c r="H1765" s="24" t="n">
        <v>0.228006095</v>
      </c>
    </row>
    <row r="1766" customFormat="false" ht="15" hidden="false" customHeight="false" outlineLevel="0" collapsed="false">
      <c r="A1766" s="3" t="n">
        <v>1765</v>
      </c>
      <c r="B1766" s="3" t="n">
        <v>1764</v>
      </c>
      <c r="C1766" s="3" t="s">
        <v>118</v>
      </c>
      <c r="D1766" s="3" t="n">
        <v>3</v>
      </c>
      <c r="E1766" s="3" t="n">
        <v>12</v>
      </c>
      <c r="F1766" s="3" t="n">
        <v>0</v>
      </c>
      <c r="G1766" s="3" t="n">
        <v>0</v>
      </c>
      <c r="H1766" s="24" t="n">
        <v>-0.242655277</v>
      </c>
    </row>
    <row r="1767" customFormat="false" ht="15" hidden="false" customHeight="false" outlineLevel="0" collapsed="false">
      <c r="A1767" s="3" t="n">
        <v>1766</v>
      </c>
      <c r="B1767" s="3" t="n">
        <v>1765</v>
      </c>
      <c r="C1767" s="3" t="s">
        <v>118</v>
      </c>
      <c r="D1767" s="3" t="n">
        <v>3</v>
      </c>
      <c r="E1767" s="3" t="n">
        <v>12</v>
      </c>
      <c r="F1767" s="3" t="n">
        <v>0</v>
      </c>
      <c r="G1767" s="3" t="n">
        <v>1</v>
      </c>
      <c r="H1767" s="24" t="n">
        <v>-0.292039692</v>
      </c>
    </row>
    <row r="1768" customFormat="false" ht="15" hidden="false" customHeight="false" outlineLevel="0" collapsed="false">
      <c r="A1768" s="3" t="n">
        <v>1767</v>
      </c>
      <c r="B1768" s="3" t="n">
        <v>1766</v>
      </c>
      <c r="C1768" s="3" t="s">
        <v>118</v>
      </c>
      <c r="D1768" s="3" t="n">
        <v>3</v>
      </c>
      <c r="E1768" s="3" t="n">
        <v>12</v>
      </c>
      <c r="F1768" s="3" t="n">
        <v>0</v>
      </c>
      <c r="G1768" s="3" t="n">
        <v>2</v>
      </c>
      <c r="H1768" s="24" t="n">
        <v>-0.0559773073</v>
      </c>
    </row>
    <row r="1769" customFormat="false" ht="15" hidden="false" customHeight="false" outlineLevel="0" collapsed="false">
      <c r="A1769" s="3" t="n">
        <v>1768</v>
      </c>
      <c r="B1769" s="3" t="n">
        <v>1767</v>
      </c>
      <c r="C1769" s="3" t="s">
        <v>118</v>
      </c>
      <c r="D1769" s="3" t="n">
        <v>3</v>
      </c>
      <c r="E1769" s="3" t="n">
        <v>12</v>
      </c>
      <c r="F1769" s="3" t="n">
        <v>1</v>
      </c>
      <c r="G1769" s="3" t="n">
        <v>0</v>
      </c>
      <c r="H1769" s="24" t="n">
        <v>-0.045374088</v>
      </c>
    </row>
    <row r="1770" customFormat="false" ht="15" hidden="false" customHeight="false" outlineLevel="0" collapsed="false">
      <c r="A1770" s="3" t="n">
        <v>1769</v>
      </c>
      <c r="B1770" s="3" t="n">
        <v>1768</v>
      </c>
      <c r="C1770" s="3" t="s">
        <v>118</v>
      </c>
      <c r="D1770" s="3" t="n">
        <v>3</v>
      </c>
      <c r="E1770" s="3" t="n">
        <v>12</v>
      </c>
      <c r="F1770" s="3" t="n">
        <v>1</v>
      </c>
      <c r="G1770" s="3" t="n">
        <v>1</v>
      </c>
      <c r="H1770" s="24" t="n">
        <v>-0.278314263</v>
      </c>
    </row>
    <row r="1771" customFormat="false" ht="15" hidden="false" customHeight="false" outlineLevel="0" collapsed="false">
      <c r="A1771" s="3" t="n">
        <v>1770</v>
      </c>
      <c r="B1771" s="3" t="n">
        <v>1769</v>
      </c>
      <c r="C1771" s="3" t="s">
        <v>118</v>
      </c>
      <c r="D1771" s="3" t="n">
        <v>3</v>
      </c>
      <c r="E1771" s="3" t="n">
        <v>12</v>
      </c>
      <c r="F1771" s="3" t="n">
        <v>1</v>
      </c>
      <c r="G1771" s="3" t="n">
        <v>2</v>
      </c>
      <c r="H1771" s="24" t="n">
        <v>0.0573896095</v>
      </c>
    </row>
    <row r="1772" customFormat="false" ht="15" hidden="false" customHeight="false" outlineLevel="0" collapsed="false">
      <c r="A1772" s="3" t="n">
        <v>1771</v>
      </c>
      <c r="B1772" s="3" t="n">
        <v>1770</v>
      </c>
      <c r="C1772" s="3" t="s">
        <v>118</v>
      </c>
      <c r="D1772" s="3" t="n">
        <v>3</v>
      </c>
      <c r="E1772" s="3" t="n">
        <v>12</v>
      </c>
      <c r="F1772" s="3" t="n">
        <v>2</v>
      </c>
      <c r="G1772" s="3" t="n">
        <v>0</v>
      </c>
      <c r="H1772" s="24" t="n">
        <v>-0.0671469495</v>
      </c>
    </row>
    <row r="1773" customFormat="false" ht="15" hidden="false" customHeight="false" outlineLevel="0" collapsed="false">
      <c r="A1773" s="3" t="n">
        <v>1772</v>
      </c>
      <c r="B1773" s="3" t="n">
        <v>1771</v>
      </c>
      <c r="C1773" s="3" t="s">
        <v>118</v>
      </c>
      <c r="D1773" s="3" t="n">
        <v>3</v>
      </c>
      <c r="E1773" s="3" t="n">
        <v>12</v>
      </c>
      <c r="F1773" s="3" t="n">
        <v>2</v>
      </c>
      <c r="G1773" s="3" t="n">
        <v>1</v>
      </c>
      <c r="H1773" s="24" t="n">
        <v>-0.174360856</v>
      </c>
    </row>
    <row r="1774" customFormat="false" ht="15" hidden="false" customHeight="false" outlineLevel="0" collapsed="false">
      <c r="A1774" s="3" t="n">
        <v>1773</v>
      </c>
      <c r="B1774" s="3" t="n">
        <v>1772</v>
      </c>
      <c r="C1774" s="3" t="s">
        <v>118</v>
      </c>
      <c r="D1774" s="3" t="n">
        <v>3</v>
      </c>
      <c r="E1774" s="3" t="n">
        <v>12</v>
      </c>
      <c r="F1774" s="3" t="n">
        <v>2</v>
      </c>
      <c r="G1774" s="3" t="n">
        <v>2</v>
      </c>
      <c r="H1774" s="24" t="n">
        <v>0.0207627099</v>
      </c>
    </row>
    <row r="1775" customFormat="false" ht="15" hidden="false" customHeight="false" outlineLevel="0" collapsed="false">
      <c r="A1775" s="3" t="n">
        <v>1774</v>
      </c>
      <c r="B1775" s="3" t="n">
        <v>1773</v>
      </c>
      <c r="C1775" s="3" t="s">
        <v>118</v>
      </c>
      <c r="D1775" s="3" t="n">
        <v>3</v>
      </c>
      <c r="E1775" s="3" t="n">
        <v>13</v>
      </c>
      <c r="F1775" s="3" t="n">
        <v>0</v>
      </c>
      <c r="G1775" s="3" t="n">
        <v>0</v>
      </c>
      <c r="H1775" s="24" t="n">
        <v>-0.348156393</v>
      </c>
    </row>
    <row r="1776" customFormat="false" ht="15" hidden="false" customHeight="false" outlineLevel="0" collapsed="false">
      <c r="A1776" s="3" t="n">
        <v>1775</v>
      </c>
      <c r="B1776" s="3" t="n">
        <v>1774</v>
      </c>
      <c r="C1776" s="3" t="s">
        <v>118</v>
      </c>
      <c r="D1776" s="3" t="n">
        <v>3</v>
      </c>
      <c r="E1776" s="3" t="n">
        <v>13</v>
      </c>
      <c r="F1776" s="3" t="n">
        <v>0</v>
      </c>
      <c r="G1776" s="3" t="n">
        <v>1</v>
      </c>
      <c r="H1776" s="24" t="n">
        <v>-0.133106917</v>
      </c>
    </row>
    <row r="1777" customFormat="false" ht="15" hidden="false" customHeight="false" outlineLevel="0" collapsed="false">
      <c r="A1777" s="3" t="n">
        <v>1776</v>
      </c>
      <c r="B1777" s="3" t="n">
        <v>1775</v>
      </c>
      <c r="C1777" s="3" t="s">
        <v>118</v>
      </c>
      <c r="D1777" s="3" t="n">
        <v>3</v>
      </c>
      <c r="E1777" s="3" t="n">
        <v>13</v>
      </c>
      <c r="F1777" s="3" t="n">
        <v>0</v>
      </c>
      <c r="G1777" s="3" t="n">
        <v>2</v>
      </c>
      <c r="H1777" s="24" t="n">
        <v>-0.04785081</v>
      </c>
    </row>
    <row r="1778" customFormat="false" ht="15" hidden="false" customHeight="false" outlineLevel="0" collapsed="false">
      <c r="A1778" s="3" t="n">
        <v>1777</v>
      </c>
      <c r="B1778" s="3" t="n">
        <v>1776</v>
      </c>
      <c r="C1778" s="3" t="s">
        <v>118</v>
      </c>
      <c r="D1778" s="3" t="n">
        <v>3</v>
      </c>
      <c r="E1778" s="3" t="n">
        <v>13</v>
      </c>
      <c r="F1778" s="3" t="n">
        <v>1</v>
      </c>
      <c r="G1778" s="3" t="n">
        <v>0</v>
      </c>
      <c r="H1778" s="24" t="n">
        <v>-0.0564184152</v>
      </c>
    </row>
    <row r="1779" customFormat="false" ht="15" hidden="false" customHeight="false" outlineLevel="0" collapsed="false">
      <c r="A1779" s="3" t="n">
        <v>1778</v>
      </c>
      <c r="B1779" s="3" t="n">
        <v>1777</v>
      </c>
      <c r="C1779" s="3" t="s">
        <v>118</v>
      </c>
      <c r="D1779" s="3" t="n">
        <v>3</v>
      </c>
      <c r="E1779" s="3" t="n">
        <v>13</v>
      </c>
      <c r="F1779" s="3" t="n">
        <v>1</v>
      </c>
      <c r="G1779" s="3" t="n">
        <v>1</v>
      </c>
      <c r="H1779" s="24" t="n">
        <v>0.0160895232</v>
      </c>
    </row>
    <row r="1780" customFormat="false" ht="15" hidden="false" customHeight="false" outlineLevel="0" collapsed="false">
      <c r="A1780" s="3" t="n">
        <v>1779</v>
      </c>
      <c r="B1780" s="3" t="n">
        <v>1778</v>
      </c>
      <c r="C1780" s="3" t="s">
        <v>118</v>
      </c>
      <c r="D1780" s="3" t="n">
        <v>3</v>
      </c>
      <c r="E1780" s="3" t="n">
        <v>13</v>
      </c>
      <c r="F1780" s="3" t="n">
        <v>1</v>
      </c>
      <c r="G1780" s="3" t="n">
        <v>2</v>
      </c>
      <c r="H1780" s="24" t="n">
        <v>0.187442183</v>
      </c>
    </row>
    <row r="1781" customFormat="false" ht="15" hidden="false" customHeight="false" outlineLevel="0" collapsed="false">
      <c r="A1781" s="3" t="n">
        <v>1780</v>
      </c>
      <c r="B1781" s="3" t="n">
        <v>1779</v>
      </c>
      <c r="C1781" s="3" t="s">
        <v>118</v>
      </c>
      <c r="D1781" s="3" t="n">
        <v>3</v>
      </c>
      <c r="E1781" s="3" t="n">
        <v>13</v>
      </c>
      <c r="F1781" s="3" t="n">
        <v>2</v>
      </c>
      <c r="G1781" s="3" t="n">
        <v>0</v>
      </c>
      <c r="H1781" s="24" t="n">
        <v>-0.133662999</v>
      </c>
    </row>
    <row r="1782" customFormat="false" ht="15" hidden="false" customHeight="false" outlineLevel="0" collapsed="false">
      <c r="A1782" s="3" t="n">
        <v>1781</v>
      </c>
      <c r="B1782" s="3" t="n">
        <v>1780</v>
      </c>
      <c r="C1782" s="3" t="s">
        <v>118</v>
      </c>
      <c r="D1782" s="3" t="n">
        <v>3</v>
      </c>
      <c r="E1782" s="3" t="n">
        <v>13</v>
      </c>
      <c r="F1782" s="3" t="n">
        <v>2</v>
      </c>
      <c r="G1782" s="3" t="n">
        <v>1</v>
      </c>
      <c r="H1782" s="24" t="n">
        <v>0.00641365256</v>
      </c>
    </row>
    <row r="1783" customFormat="false" ht="15" hidden="false" customHeight="false" outlineLevel="0" collapsed="false">
      <c r="A1783" s="3" t="n">
        <v>1782</v>
      </c>
      <c r="B1783" s="3" t="n">
        <v>1781</v>
      </c>
      <c r="C1783" s="3" t="s">
        <v>118</v>
      </c>
      <c r="D1783" s="3" t="n">
        <v>3</v>
      </c>
      <c r="E1783" s="3" t="n">
        <v>13</v>
      </c>
      <c r="F1783" s="3" t="n">
        <v>2</v>
      </c>
      <c r="G1783" s="3" t="n">
        <v>2</v>
      </c>
      <c r="H1783" s="24" t="n">
        <v>0.149929792</v>
      </c>
    </row>
    <row r="1784" customFormat="false" ht="15" hidden="false" customHeight="false" outlineLevel="0" collapsed="false">
      <c r="A1784" s="3" t="n">
        <v>1783</v>
      </c>
      <c r="B1784" s="3" t="n">
        <v>1782</v>
      </c>
      <c r="C1784" s="3" t="s">
        <v>118</v>
      </c>
      <c r="D1784" s="3" t="n">
        <v>3</v>
      </c>
      <c r="E1784" s="3" t="n">
        <v>14</v>
      </c>
      <c r="F1784" s="3" t="n">
        <v>0</v>
      </c>
      <c r="G1784" s="3" t="n">
        <v>0</v>
      </c>
      <c r="H1784" s="24" t="n">
        <v>-0.016272461</v>
      </c>
    </row>
    <row r="1785" customFormat="false" ht="15" hidden="false" customHeight="false" outlineLevel="0" collapsed="false">
      <c r="A1785" s="3" t="n">
        <v>1784</v>
      </c>
      <c r="B1785" s="3" t="n">
        <v>1783</v>
      </c>
      <c r="C1785" s="3" t="s">
        <v>118</v>
      </c>
      <c r="D1785" s="3" t="n">
        <v>3</v>
      </c>
      <c r="E1785" s="3" t="n">
        <v>14</v>
      </c>
      <c r="F1785" s="3" t="n">
        <v>0</v>
      </c>
      <c r="G1785" s="3" t="n">
        <v>1</v>
      </c>
      <c r="H1785" s="24" t="n">
        <v>-0.0332713388</v>
      </c>
    </row>
    <row r="1786" customFormat="false" ht="15" hidden="false" customHeight="false" outlineLevel="0" collapsed="false">
      <c r="A1786" s="3" t="n">
        <v>1785</v>
      </c>
      <c r="B1786" s="3" t="n">
        <v>1784</v>
      </c>
      <c r="C1786" s="3" t="s">
        <v>118</v>
      </c>
      <c r="D1786" s="3" t="n">
        <v>3</v>
      </c>
      <c r="E1786" s="3" t="n">
        <v>14</v>
      </c>
      <c r="F1786" s="3" t="n">
        <v>0</v>
      </c>
      <c r="G1786" s="3" t="n">
        <v>2</v>
      </c>
      <c r="H1786" s="24" t="n">
        <v>-0.0301374868</v>
      </c>
    </row>
    <row r="1787" customFormat="false" ht="15" hidden="false" customHeight="false" outlineLevel="0" collapsed="false">
      <c r="A1787" s="3" t="n">
        <v>1786</v>
      </c>
      <c r="B1787" s="3" t="n">
        <v>1785</v>
      </c>
      <c r="C1787" s="3" t="s">
        <v>118</v>
      </c>
      <c r="D1787" s="3" t="n">
        <v>3</v>
      </c>
      <c r="E1787" s="3" t="n">
        <v>14</v>
      </c>
      <c r="F1787" s="3" t="n">
        <v>1</v>
      </c>
      <c r="G1787" s="3" t="n">
        <v>0</v>
      </c>
      <c r="H1787" s="24" t="n">
        <v>-0.19951801</v>
      </c>
    </row>
    <row r="1788" customFormat="false" ht="15" hidden="false" customHeight="false" outlineLevel="0" collapsed="false">
      <c r="A1788" s="3" t="n">
        <v>1787</v>
      </c>
      <c r="B1788" s="3" t="n">
        <v>1786</v>
      </c>
      <c r="C1788" s="3" t="s">
        <v>118</v>
      </c>
      <c r="D1788" s="3" t="n">
        <v>3</v>
      </c>
      <c r="E1788" s="3" t="n">
        <v>14</v>
      </c>
      <c r="F1788" s="3" t="n">
        <v>1</v>
      </c>
      <c r="G1788" s="3" t="n">
        <v>1</v>
      </c>
      <c r="H1788" s="24" t="n">
        <v>0.0309363287</v>
      </c>
    </row>
    <row r="1789" customFormat="false" ht="15" hidden="false" customHeight="false" outlineLevel="0" collapsed="false">
      <c r="A1789" s="3" t="n">
        <v>1788</v>
      </c>
      <c r="B1789" s="3" t="n">
        <v>1787</v>
      </c>
      <c r="C1789" s="3" t="s">
        <v>118</v>
      </c>
      <c r="D1789" s="3" t="n">
        <v>3</v>
      </c>
      <c r="E1789" s="3" t="n">
        <v>14</v>
      </c>
      <c r="F1789" s="3" t="n">
        <v>1</v>
      </c>
      <c r="G1789" s="3" t="n">
        <v>2</v>
      </c>
      <c r="H1789" s="24" t="n">
        <v>-0.152092114</v>
      </c>
    </row>
    <row r="1790" customFormat="false" ht="15" hidden="false" customHeight="false" outlineLevel="0" collapsed="false">
      <c r="A1790" s="3" t="n">
        <v>1789</v>
      </c>
      <c r="B1790" s="3" t="n">
        <v>1788</v>
      </c>
      <c r="C1790" s="3" t="s">
        <v>118</v>
      </c>
      <c r="D1790" s="3" t="n">
        <v>3</v>
      </c>
      <c r="E1790" s="3" t="n">
        <v>14</v>
      </c>
      <c r="F1790" s="3" t="n">
        <v>2</v>
      </c>
      <c r="G1790" s="3" t="n">
        <v>0</v>
      </c>
      <c r="H1790" s="24" t="n">
        <v>-0.115870073</v>
      </c>
    </row>
    <row r="1791" customFormat="false" ht="15" hidden="false" customHeight="false" outlineLevel="0" collapsed="false">
      <c r="A1791" s="3" t="n">
        <v>1790</v>
      </c>
      <c r="B1791" s="3" t="n">
        <v>1789</v>
      </c>
      <c r="C1791" s="3" t="s">
        <v>118</v>
      </c>
      <c r="D1791" s="3" t="n">
        <v>3</v>
      </c>
      <c r="E1791" s="3" t="n">
        <v>14</v>
      </c>
      <c r="F1791" s="3" t="n">
        <v>2</v>
      </c>
      <c r="G1791" s="3" t="n">
        <v>1</v>
      </c>
      <c r="H1791" s="24" t="n">
        <v>0.0647658929</v>
      </c>
    </row>
    <row r="1792" customFormat="false" ht="15" hidden="false" customHeight="false" outlineLevel="0" collapsed="false">
      <c r="A1792" s="3" t="n">
        <v>1791</v>
      </c>
      <c r="B1792" s="3" t="n">
        <v>1790</v>
      </c>
      <c r="C1792" s="3" t="s">
        <v>118</v>
      </c>
      <c r="D1792" s="3" t="n">
        <v>3</v>
      </c>
      <c r="E1792" s="3" t="n">
        <v>14</v>
      </c>
      <c r="F1792" s="3" t="n">
        <v>2</v>
      </c>
      <c r="G1792" s="3" t="n">
        <v>2</v>
      </c>
      <c r="H1792" s="24" t="n">
        <v>0.247174188</v>
      </c>
    </row>
    <row r="1793" customFormat="false" ht="15" hidden="false" customHeight="false" outlineLevel="0" collapsed="false">
      <c r="A1793" s="3" t="n">
        <v>1792</v>
      </c>
      <c r="B1793" s="3" t="n">
        <v>1791</v>
      </c>
      <c r="C1793" s="3" t="s">
        <v>118</v>
      </c>
      <c r="D1793" s="3" t="n">
        <v>3</v>
      </c>
      <c r="E1793" s="3" t="n">
        <v>15</v>
      </c>
      <c r="F1793" s="3" t="n">
        <v>0</v>
      </c>
      <c r="G1793" s="3" t="n">
        <v>0</v>
      </c>
      <c r="H1793" s="24" t="n">
        <v>0.172442883</v>
      </c>
    </row>
    <row r="1794" customFormat="false" ht="15" hidden="false" customHeight="false" outlineLevel="0" collapsed="false">
      <c r="A1794" s="3" t="n">
        <v>1793</v>
      </c>
      <c r="B1794" s="3" t="n">
        <v>1792</v>
      </c>
      <c r="C1794" s="3" t="s">
        <v>118</v>
      </c>
      <c r="D1794" s="3" t="n">
        <v>3</v>
      </c>
      <c r="E1794" s="3" t="n">
        <v>15</v>
      </c>
      <c r="F1794" s="3" t="n">
        <v>0</v>
      </c>
      <c r="G1794" s="3" t="n">
        <v>1</v>
      </c>
      <c r="H1794" s="24" t="n">
        <v>-0.112552047</v>
      </c>
    </row>
    <row r="1795" customFormat="false" ht="15" hidden="false" customHeight="false" outlineLevel="0" collapsed="false">
      <c r="A1795" s="3" t="n">
        <v>1794</v>
      </c>
      <c r="B1795" s="3" t="n">
        <v>1793</v>
      </c>
      <c r="C1795" s="3" t="s">
        <v>118</v>
      </c>
      <c r="D1795" s="3" t="n">
        <v>3</v>
      </c>
      <c r="E1795" s="3" t="n">
        <v>15</v>
      </c>
      <c r="F1795" s="3" t="n">
        <v>0</v>
      </c>
      <c r="G1795" s="3" t="n">
        <v>2</v>
      </c>
      <c r="H1795" s="24" t="n">
        <v>-0.299713969</v>
      </c>
    </row>
    <row r="1796" customFormat="false" ht="15" hidden="false" customHeight="false" outlineLevel="0" collapsed="false">
      <c r="A1796" s="3" t="n">
        <v>1795</v>
      </c>
      <c r="B1796" s="3" t="n">
        <v>1794</v>
      </c>
      <c r="C1796" s="3" t="s">
        <v>118</v>
      </c>
      <c r="D1796" s="3" t="n">
        <v>3</v>
      </c>
      <c r="E1796" s="3" t="n">
        <v>15</v>
      </c>
      <c r="F1796" s="3" t="n">
        <v>1</v>
      </c>
      <c r="G1796" s="3" t="n">
        <v>0</v>
      </c>
      <c r="H1796" s="24" t="n">
        <v>-0.0915014893</v>
      </c>
    </row>
    <row r="1797" customFormat="false" ht="15" hidden="false" customHeight="false" outlineLevel="0" collapsed="false">
      <c r="A1797" s="3" t="n">
        <v>1796</v>
      </c>
      <c r="B1797" s="3" t="n">
        <v>1795</v>
      </c>
      <c r="C1797" s="3" t="s">
        <v>118</v>
      </c>
      <c r="D1797" s="3" t="n">
        <v>3</v>
      </c>
      <c r="E1797" s="3" t="n">
        <v>15</v>
      </c>
      <c r="F1797" s="3" t="n">
        <v>1</v>
      </c>
      <c r="G1797" s="3" t="n">
        <v>1</v>
      </c>
      <c r="H1797" s="24" t="n">
        <v>-0.0514272563</v>
      </c>
    </row>
    <row r="1798" customFormat="false" ht="15" hidden="false" customHeight="false" outlineLevel="0" collapsed="false">
      <c r="A1798" s="3" t="n">
        <v>1797</v>
      </c>
      <c r="B1798" s="3" t="n">
        <v>1796</v>
      </c>
      <c r="C1798" s="3" t="s">
        <v>118</v>
      </c>
      <c r="D1798" s="3" t="n">
        <v>3</v>
      </c>
      <c r="E1798" s="3" t="n">
        <v>15</v>
      </c>
      <c r="F1798" s="3" t="n">
        <v>1</v>
      </c>
      <c r="G1798" s="3" t="n">
        <v>2</v>
      </c>
      <c r="H1798" s="24" t="n">
        <v>-0.33228144</v>
      </c>
    </row>
    <row r="1799" customFormat="false" ht="15" hidden="false" customHeight="false" outlineLevel="0" collapsed="false">
      <c r="A1799" s="3" t="n">
        <v>1798</v>
      </c>
      <c r="B1799" s="3" t="n">
        <v>1797</v>
      </c>
      <c r="C1799" s="3" t="s">
        <v>118</v>
      </c>
      <c r="D1799" s="3" t="n">
        <v>3</v>
      </c>
      <c r="E1799" s="3" t="n">
        <v>15</v>
      </c>
      <c r="F1799" s="3" t="n">
        <v>2</v>
      </c>
      <c r="G1799" s="3" t="n">
        <v>0</v>
      </c>
      <c r="H1799" s="24" t="n">
        <v>0.111194037</v>
      </c>
    </row>
    <row r="1800" customFormat="false" ht="15" hidden="false" customHeight="false" outlineLevel="0" collapsed="false">
      <c r="A1800" s="3" t="n">
        <v>1799</v>
      </c>
      <c r="B1800" s="3" t="n">
        <v>1798</v>
      </c>
      <c r="C1800" s="3" t="s">
        <v>118</v>
      </c>
      <c r="D1800" s="3" t="n">
        <v>3</v>
      </c>
      <c r="E1800" s="3" t="n">
        <v>15</v>
      </c>
      <c r="F1800" s="3" t="n">
        <v>2</v>
      </c>
      <c r="G1800" s="3" t="n">
        <v>1</v>
      </c>
      <c r="H1800" s="24" t="n">
        <v>0.0992779061</v>
      </c>
    </row>
    <row r="1801" customFormat="false" ht="15" hidden="false" customHeight="false" outlineLevel="0" collapsed="false">
      <c r="A1801" s="3" t="n">
        <v>1800</v>
      </c>
      <c r="B1801" s="3" t="n">
        <v>1799</v>
      </c>
      <c r="C1801" s="3" t="s">
        <v>118</v>
      </c>
      <c r="D1801" s="3" t="n">
        <v>3</v>
      </c>
      <c r="E1801" s="3" t="n">
        <v>15</v>
      </c>
      <c r="F1801" s="3" t="n">
        <v>2</v>
      </c>
      <c r="G1801" s="3" t="n">
        <v>2</v>
      </c>
      <c r="H1801" s="24" t="n">
        <v>0.125946403</v>
      </c>
    </row>
    <row r="1802" customFormat="false" ht="15" hidden="false" customHeight="false" outlineLevel="0" collapsed="false">
      <c r="A1802" s="3" t="n">
        <v>1801</v>
      </c>
      <c r="B1802" s="3" t="n">
        <v>1800</v>
      </c>
      <c r="C1802" s="3" t="s">
        <v>118</v>
      </c>
      <c r="D1802" s="3" t="n">
        <v>4</v>
      </c>
      <c r="E1802" s="3" t="n">
        <v>0</v>
      </c>
      <c r="F1802" s="3" t="n">
        <v>0</v>
      </c>
      <c r="G1802" s="3" t="n">
        <v>0</v>
      </c>
      <c r="H1802" s="24" t="n">
        <v>-0.00926511083</v>
      </c>
    </row>
    <row r="1803" customFormat="false" ht="15" hidden="false" customHeight="false" outlineLevel="0" collapsed="false">
      <c r="A1803" s="3" t="n">
        <v>1802</v>
      </c>
      <c r="B1803" s="3" t="n">
        <v>1801</v>
      </c>
      <c r="C1803" s="3" t="s">
        <v>118</v>
      </c>
      <c r="D1803" s="3" t="n">
        <v>4</v>
      </c>
      <c r="E1803" s="3" t="n">
        <v>0</v>
      </c>
      <c r="F1803" s="3" t="n">
        <v>0</v>
      </c>
      <c r="G1803" s="3" t="n">
        <v>1</v>
      </c>
      <c r="H1803" s="24" t="n">
        <v>0.0898817256</v>
      </c>
    </row>
    <row r="1804" customFormat="false" ht="15" hidden="false" customHeight="false" outlineLevel="0" collapsed="false">
      <c r="A1804" s="3" t="n">
        <v>1803</v>
      </c>
      <c r="B1804" s="3" t="n">
        <v>1802</v>
      </c>
      <c r="C1804" s="3" t="s">
        <v>118</v>
      </c>
      <c r="D1804" s="3" t="n">
        <v>4</v>
      </c>
      <c r="E1804" s="3" t="n">
        <v>0</v>
      </c>
      <c r="F1804" s="3" t="n">
        <v>0</v>
      </c>
      <c r="G1804" s="3" t="n">
        <v>2</v>
      </c>
      <c r="H1804" s="24" t="n">
        <v>0.218980372</v>
      </c>
    </row>
    <row r="1805" customFormat="false" ht="15" hidden="false" customHeight="false" outlineLevel="0" collapsed="false">
      <c r="A1805" s="3" t="n">
        <v>1804</v>
      </c>
      <c r="B1805" s="3" t="n">
        <v>1803</v>
      </c>
      <c r="C1805" s="3" t="s">
        <v>118</v>
      </c>
      <c r="D1805" s="3" t="n">
        <v>4</v>
      </c>
      <c r="E1805" s="3" t="n">
        <v>0</v>
      </c>
      <c r="F1805" s="3" t="n">
        <v>1</v>
      </c>
      <c r="G1805" s="3" t="n">
        <v>0</v>
      </c>
      <c r="H1805" s="24" t="n">
        <v>0.219731182</v>
      </c>
    </row>
    <row r="1806" customFormat="false" ht="15" hidden="false" customHeight="false" outlineLevel="0" collapsed="false">
      <c r="A1806" s="3" t="n">
        <v>1805</v>
      </c>
      <c r="B1806" s="3" t="n">
        <v>1804</v>
      </c>
      <c r="C1806" s="3" t="s">
        <v>118</v>
      </c>
      <c r="D1806" s="3" t="n">
        <v>4</v>
      </c>
      <c r="E1806" s="3" t="n">
        <v>0</v>
      </c>
      <c r="F1806" s="3" t="n">
        <v>1</v>
      </c>
      <c r="G1806" s="3" t="n">
        <v>1</v>
      </c>
      <c r="H1806" s="24" t="n">
        <v>-0.106846899</v>
      </c>
    </row>
    <row r="1807" customFormat="false" ht="15" hidden="false" customHeight="false" outlineLevel="0" collapsed="false">
      <c r="A1807" s="3" t="n">
        <v>1806</v>
      </c>
      <c r="B1807" s="3" t="n">
        <v>1805</v>
      </c>
      <c r="C1807" s="3" t="s">
        <v>118</v>
      </c>
      <c r="D1807" s="3" t="n">
        <v>4</v>
      </c>
      <c r="E1807" s="3" t="n">
        <v>0</v>
      </c>
      <c r="F1807" s="3" t="n">
        <v>1</v>
      </c>
      <c r="G1807" s="3" t="n">
        <v>2</v>
      </c>
      <c r="H1807" s="24" t="n">
        <v>0.4165093</v>
      </c>
    </row>
    <row r="1808" customFormat="false" ht="15" hidden="false" customHeight="false" outlineLevel="0" collapsed="false">
      <c r="A1808" s="3" t="n">
        <v>1807</v>
      </c>
      <c r="B1808" s="3" t="n">
        <v>1806</v>
      </c>
      <c r="C1808" s="3" t="s">
        <v>118</v>
      </c>
      <c r="D1808" s="3" t="n">
        <v>4</v>
      </c>
      <c r="E1808" s="3" t="n">
        <v>0</v>
      </c>
      <c r="F1808" s="3" t="n">
        <v>2</v>
      </c>
      <c r="G1808" s="3" t="n">
        <v>0</v>
      </c>
      <c r="H1808" s="24" t="n">
        <v>0.245776564</v>
      </c>
    </row>
    <row r="1809" customFormat="false" ht="15" hidden="false" customHeight="false" outlineLevel="0" collapsed="false">
      <c r="A1809" s="3" t="n">
        <v>1808</v>
      </c>
      <c r="B1809" s="3" t="n">
        <v>1807</v>
      </c>
      <c r="C1809" s="3" t="s">
        <v>118</v>
      </c>
      <c r="D1809" s="3" t="n">
        <v>4</v>
      </c>
      <c r="E1809" s="3" t="n">
        <v>0</v>
      </c>
      <c r="F1809" s="3" t="n">
        <v>2</v>
      </c>
      <c r="G1809" s="3" t="n">
        <v>1</v>
      </c>
      <c r="H1809" s="24" t="n">
        <v>-0.0422142036</v>
      </c>
    </row>
    <row r="1810" customFormat="false" ht="15" hidden="false" customHeight="false" outlineLevel="0" collapsed="false">
      <c r="A1810" s="3" t="n">
        <v>1809</v>
      </c>
      <c r="B1810" s="3" t="n">
        <v>1808</v>
      </c>
      <c r="C1810" s="3" t="s">
        <v>118</v>
      </c>
      <c r="D1810" s="3" t="n">
        <v>4</v>
      </c>
      <c r="E1810" s="3" t="n">
        <v>0</v>
      </c>
      <c r="F1810" s="3" t="n">
        <v>2</v>
      </c>
      <c r="G1810" s="3" t="n">
        <v>2</v>
      </c>
      <c r="H1810" s="24" t="n">
        <v>0.0212853067</v>
      </c>
    </row>
    <row r="1811" customFormat="false" ht="15" hidden="false" customHeight="false" outlineLevel="0" collapsed="false">
      <c r="A1811" s="3" t="n">
        <v>1810</v>
      </c>
      <c r="B1811" s="3" t="n">
        <v>1809</v>
      </c>
      <c r="C1811" s="3" t="s">
        <v>118</v>
      </c>
      <c r="D1811" s="3" t="n">
        <v>4</v>
      </c>
      <c r="E1811" s="3" t="n">
        <v>1</v>
      </c>
      <c r="F1811" s="3" t="n">
        <v>0</v>
      </c>
      <c r="G1811" s="3" t="n">
        <v>0</v>
      </c>
      <c r="H1811" s="24" t="n">
        <v>0.075117439</v>
      </c>
    </row>
    <row r="1812" customFormat="false" ht="15" hidden="false" customHeight="false" outlineLevel="0" collapsed="false">
      <c r="A1812" s="3" t="n">
        <v>1811</v>
      </c>
      <c r="B1812" s="3" t="n">
        <v>1810</v>
      </c>
      <c r="C1812" s="3" t="s">
        <v>118</v>
      </c>
      <c r="D1812" s="3" t="n">
        <v>4</v>
      </c>
      <c r="E1812" s="3" t="n">
        <v>1</v>
      </c>
      <c r="F1812" s="3" t="n">
        <v>0</v>
      </c>
      <c r="G1812" s="3" t="n">
        <v>1</v>
      </c>
      <c r="H1812" s="24" t="n">
        <v>0.280400753</v>
      </c>
    </row>
    <row r="1813" customFormat="false" ht="15" hidden="false" customHeight="false" outlineLevel="0" collapsed="false">
      <c r="A1813" s="3" t="n">
        <v>1812</v>
      </c>
      <c r="B1813" s="3" t="n">
        <v>1811</v>
      </c>
      <c r="C1813" s="3" t="s">
        <v>118</v>
      </c>
      <c r="D1813" s="3" t="n">
        <v>4</v>
      </c>
      <c r="E1813" s="3" t="n">
        <v>1</v>
      </c>
      <c r="F1813" s="3" t="n">
        <v>0</v>
      </c>
      <c r="G1813" s="3" t="n">
        <v>2</v>
      </c>
      <c r="H1813" s="24" t="n">
        <v>-0.0408385433</v>
      </c>
    </row>
    <row r="1814" customFormat="false" ht="15" hidden="false" customHeight="false" outlineLevel="0" collapsed="false">
      <c r="A1814" s="3" t="n">
        <v>1813</v>
      </c>
      <c r="B1814" s="3" t="n">
        <v>1812</v>
      </c>
      <c r="C1814" s="3" t="s">
        <v>118</v>
      </c>
      <c r="D1814" s="3" t="n">
        <v>4</v>
      </c>
      <c r="E1814" s="3" t="n">
        <v>1</v>
      </c>
      <c r="F1814" s="3" t="n">
        <v>1</v>
      </c>
      <c r="G1814" s="3" t="n">
        <v>0</v>
      </c>
      <c r="H1814" s="24" t="n">
        <v>-0.097513631</v>
      </c>
    </row>
    <row r="1815" customFormat="false" ht="15" hidden="false" customHeight="false" outlineLevel="0" collapsed="false">
      <c r="A1815" s="3" t="n">
        <v>1814</v>
      </c>
      <c r="B1815" s="3" t="n">
        <v>1813</v>
      </c>
      <c r="C1815" s="3" t="s">
        <v>118</v>
      </c>
      <c r="D1815" s="3" t="n">
        <v>4</v>
      </c>
      <c r="E1815" s="3" t="n">
        <v>1</v>
      </c>
      <c r="F1815" s="3" t="n">
        <v>1</v>
      </c>
      <c r="G1815" s="3" t="n">
        <v>1</v>
      </c>
      <c r="H1815" s="24" t="n">
        <v>-0.139132321</v>
      </c>
    </row>
    <row r="1816" customFormat="false" ht="15" hidden="false" customHeight="false" outlineLevel="0" collapsed="false">
      <c r="A1816" s="3" t="n">
        <v>1815</v>
      </c>
      <c r="B1816" s="3" t="n">
        <v>1814</v>
      </c>
      <c r="C1816" s="3" t="s">
        <v>118</v>
      </c>
      <c r="D1816" s="3" t="n">
        <v>4</v>
      </c>
      <c r="E1816" s="3" t="n">
        <v>1</v>
      </c>
      <c r="F1816" s="3" t="n">
        <v>1</v>
      </c>
      <c r="G1816" s="3" t="n">
        <v>2</v>
      </c>
      <c r="H1816" s="24" t="n">
        <v>0.160738766</v>
      </c>
    </row>
    <row r="1817" customFormat="false" ht="15" hidden="false" customHeight="false" outlineLevel="0" collapsed="false">
      <c r="A1817" s="3" t="n">
        <v>1816</v>
      </c>
      <c r="B1817" s="3" t="n">
        <v>1815</v>
      </c>
      <c r="C1817" s="3" t="s">
        <v>118</v>
      </c>
      <c r="D1817" s="3" t="n">
        <v>4</v>
      </c>
      <c r="E1817" s="3" t="n">
        <v>1</v>
      </c>
      <c r="F1817" s="3" t="n">
        <v>2</v>
      </c>
      <c r="G1817" s="3" t="n">
        <v>0</v>
      </c>
      <c r="H1817" s="24" t="n">
        <v>-0.190579996</v>
      </c>
    </row>
    <row r="1818" customFormat="false" ht="15" hidden="false" customHeight="false" outlineLevel="0" collapsed="false">
      <c r="A1818" s="3" t="n">
        <v>1817</v>
      </c>
      <c r="B1818" s="3" t="n">
        <v>1816</v>
      </c>
      <c r="C1818" s="3" t="s">
        <v>118</v>
      </c>
      <c r="D1818" s="3" t="n">
        <v>4</v>
      </c>
      <c r="E1818" s="3" t="n">
        <v>1</v>
      </c>
      <c r="F1818" s="3" t="n">
        <v>2</v>
      </c>
      <c r="G1818" s="3" t="n">
        <v>1</v>
      </c>
      <c r="H1818" s="24" t="n">
        <v>0.0737608746</v>
      </c>
    </row>
    <row r="1819" customFormat="false" ht="15" hidden="false" customHeight="false" outlineLevel="0" collapsed="false">
      <c r="A1819" s="3" t="n">
        <v>1818</v>
      </c>
      <c r="B1819" s="3" t="n">
        <v>1817</v>
      </c>
      <c r="C1819" s="3" t="s">
        <v>118</v>
      </c>
      <c r="D1819" s="3" t="n">
        <v>4</v>
      </c>
      <c r="E1819" s="3" t="n">
        <v>1</v>
      </c>
      <c r="F1819" s="3" t="n">
        <v>2</v>
      </c>
      <c r="G1819" s="3" t="n">
        <v>2</v>
      </c>
      <c r="H1819" s="24" t="n">
        <v>-0.0971642435</v>
      </c>
    </row>
    <row r="1820" customFormat="false" ht="15" hidden="false" customHeight="false" outlineLevel="0" collapsed="false">
      <c r="A1820" s="3" t="n">
        <v>1819</v>
      </c>
      <c r="B1820" s="3" t="n">
        <v>1818</v>
      </c>
      <c r="C1820" s="3" t="s">
        <v>118</v>
      </c>
      <c r="D1820" s="3" t="n">
        <v>4</v>
      </c>
      <c r="E1820" s="3" t="n">
        <v>2</v>
      </c>
      <c r="F1820" s="3" t="n">
        <v>0</v>
      </c>
      <c r="G1820" s="3" t="n">
        <v>0</v>
      </c>
      <c r="H1820" s="24" t="n">
        <v>0.0464088283</v>
      </c>
    </row>
    <row r="1821" customFormat="false" ht="15" hidden="false" customHeight="false" outlineLevel="0" collapsed="false">
      <c r="A1821" s="3" t="n">
        <v>1820</v>
      </c>
      <c r="B1821" s="3" t="n">
        <v>1819</v>
      </c>
      <c r="C1821" s="3" t="s">
        <v>118</v>
      </c>
      <c r="D1821" s="3" t="n">
        <v>4</v>
      </c>
      <c r="E1821" s="3" t="n">
        <v>2</v>
      </c>
      <c r="F1821" s="3" t="n">
        <v>0</v>
      </c>
      <c r="G1821" s="3" t="n">
        <v>1</v>
      </c>
      <c r="H1821" s="24" t="n">
        <v>-0.0184285175</v>
      </c>
    </row>
    <row r="1822" customFormat="false" ht="15" hidden="false" customHeight="false" outlineLevel="0" collapsed="false">
      <c r="A1822" s="3" t="n">
        <v>1821</v>
      </c>
      <c r="B1822" s="3" t="n">
        <v>1820</v>
      </c>
      <c r="C1822" s="3" t="s">
        <v>118</v>
      </c>
      <c r="D1822" s="3" t="n">
        <v>4</v>
      </c>
      <c r="E1822" s="3" t="n">
        <v>2</v>
      </c>
      <c r="F1822" s="3" t="n">
        <v>0</v>
      </c>
      <c r="G1822" s="3" t="n">
        <v>2</v>
      </c>
      <c r="H1822" s="24" t="n">
        <v>0.0856227726</v>
      </c>
    </row>
    <row r="1823" customFormat="false" ht="15" hidden="false" customHeight="false" outlineLevel="0" collapsed="false">
      <c r="A1823" s="3" t="n">
        <v>1822</v>
      </c>
      <c r="B1823" s="3" t="n">
        <v>1821</v>
      </c>
      <c r="C1823" s="3" t="s">
        <v>118</v>
      </c>
      <c r="D1823" s="3" t="n">
        <v>4</v>
      </c>
      <c r="E1823" s="3" t="n">
        <v>2</v>
      </c>
      <c r="F1823" s="3" t="n">
        <v>1</v>
      </c>
      <c r="G1823" s="3" t="n">
        <v>0</v>
      </c>
      <c r="H1823" s="24" t="n">
        <v>0.273097157</v>
      </c>
    </row>
    <row r="1824" customFormat="false" ht="15" hidden="false" customHeight="false" outlineLevel="0" collapsed="false">
      <c r="A1824" s="3" t="n">
        <v>1823</v>
      </c>
      <c r="B1824" s="3" t="n">
        <v>1822</v>
      </c>
      <c r="C1824" s="3" t="s">
        <v>118</v>
      </c>
      <c r="D1824" s="3" t="n">
        <v>4</v>
      </c>
      <c r="E1824" s="3" t="n">
        <v>2</v>
      </c>
      <c r="F1824" s="3" t="n">
        <v>1</v>
      </c>
      <c r="G1824" s="3" t="n">
        <v>1</v>
      </c>
      <c r="H1824" s="24" t="n">
        <v>0.0353221595</v>
      </c>
    </row>
    <row r="1825" customFormat="false" ht="15" hidden="false" customHeight="false" outlineLevel="0" collapsed="false">
      <c r="A1825" s="3" t="n">
        <v>1824</v>
      </c>
      <c r="B1825" s="3" t="n">
        <v>1823</v>
      </c>
      <c r="C1825" s="3" t="s">
        <v>118</v>
      </c>
      <c r="D1825" s="3" t="n">
        <v>4</v>
      </c>
      <c r="E1825" s="3" t="n">
        <v>2</v>
      </c>
      <c r="F1825" s="3" t="n">
        <v>1</v>
      </c>
      <c r="G1825" s="3" t="n">
        <v>2</v>
      </c>
      <c r="H1825" s="24" t="n">
        <v>-0.0861451998</v>
      </c>
    </row>
    <row r="1826" customFormat="false" ht="15" hidden="false" customHeight="false" outlineLevel="0" collapsed="false">
      <c r="A1826" s="3" t="n">
        <v>1825</v>
      </c>
      <c r="B1826" s="3" t="n">
        <v>1824</v>
      </c>
      <c r="C1826" s="3" t="s">
        <v>118</v>
      </c>
      <c r="D1826" s="3" t="n">
        <v>4</v>
      </c>
      <c r="E1826" s="3" t="n">
        <v>2</v>
      </c>
      <c r="F1826" s="3" t="n">
        <v>2</v>
      </c>
      <c r="G1826" s="3" t="n">
        <v>0</v>
      </c>
      <c r="H1826" s="24" t="n">
        <v>0.297046572</v>
      </c>
    </row>
    <row r="1827" customFormat="false" ht="15" hidden="false" customHeight="false" outlineLevel="0" collapsed="false">
      <c r="A1827" s="3" t="n">
        <v>1826</v>
      </c>
      <c r="B1827" s="3" t="n">
        <v>1825</v>
      </c>
      <c r="C1827" s="3" t="s">
        <v>118</v>
      </c>
      <c r="D1827" s="3" t="n">
        <v>4</v>
      </c>
      <c r="E1827" s="3" t="n">
        <v>2</v>
      </c>
      <c r="F1827" s="3" t="n">
        <v>2</v>
      </c>
      <c r="G1827" s="3" t="n">
        <v>1</v>
      </c>
      <c r="H1827" s="24" t="n">
        <v>-0.146792322</v>
      </c>
    </row>
    <row r="1828" customFormat="false" ht="15" hidden="false" customHeight="false" outlineLevel="0" collapsed="false">
      <c r="A1828" s="3" t="n">
        <v>1827</v>
      </c>
      <c r="B1828" s="3" t="n">
        <v>1826</v>
      </c>
      <c r="C1828" s="3" t="s">
        <v>118</v>
      </c>
      <c r="D1828" s="3" t="n">
        <v>4</v>
      </c>
      <c r="E1828" s="3" t="n">
        <v>2</v>
      </c>
      <c r="F1828" s="3" t="n">
        <v>2</v>
      </c>
      <c r="G1828" s="3" t="n">
        <v>2</v>
      </c>
      <c r="H1828" s="24" t="n">
        <v>-0.0282424856</v>
      </c>
    </row>
    <row r="1829" customFormat="false" ht="15" hidden="false" customHeight="false" outlineLevel="0" collapsed="false">
      <c r="A1829" s="3" t="n">
        <v>1828</v>
      </c>
      <c r="B1829" s="3" t="n">
        <v>1827</v>
      </c>
      <c r="C1829" s="3" t="s">
        <v>118</v>
      </c>
      <c r="D1829" s="3" t="n">
        <v>4</v>
      </c>
      <c r="E1829" s="3" t="n">
        <v>3</v>
      </c>
      <c r="F1829" s="3" t="n">
        <v>0</v>
      </c>
      <c r="G1829" s="3" t="n">
        <v>0</v>
      </c>
      <c r="H1829" s="24" t="n">
        <v>-0.049070131</v>
      </c>
    </row>
    <row r="1830" customFormat="false" ht="15" hidden="false" customHeight="false" outlineLevel="0" collapsed="false">
      <c r="A1830" s="3" t="n">
        <v>1829</v>
      </c>
      <c r="B1830" s="3" t="n">
        <v>1828</v>
      </c>
      <c r="C1830" s="3" t="s">
        <v>118</v>
      </c>
      <c r="D1830" s="3" t="n">
        <v>4</v>
      </c>
      <c r="E1830" s="3" t="n">
        <v>3</v>
      </c>
      <c r="F1830" s="3" t="n">
        <v>0</v>
      </c>
      <c r="G1830" s="3" t="n">
        <v>1</v>
      </c>
      <c r="H1830" s="24" t="n">
        <v>-0.00331942737</v>
      </c>
    </row>
    <row r="1831" customFormat="false" ht="15" hidden="false" customHeight="false" outlineLevel="0" collapsed="false">
      <c r="A1831" s="3" t="n">
        <v>1830</v>
      </c>
      <c r="B1831" s="3" t="n">
        <v>1829</v>
      </c>
      <c r="C1831" s="3" t="s">
        <v>118</v>
      </c>
      <c r="D1831" s="3" t="n">
        <v>4</v>
      </c>
      <c r="E1831" s="3" t="n">
        <v>3</v>
      </c>
      <c r="F1831" s="3" t="n">
        <v>0</v>
      </c>
      <c r="G1831" s="3" t="n">
        <v>2</v>
      </c>
      <c r="H1831" s="24" t="n">
        <v>0.237436801</v>
      </c>
    </row>
    <row r="1832" customFormat="false" ht="15" hidden="false" customHeight="false" outlineLevel="0" collapsed="false">
      <c r="A1832" s="3" t="n">
        <v>1831</v>
      </c>
      <c r="B1832" s="3" t="n">
        <v>1830</v>
      </c>
      <c r="C1832" s="3" t="s">
        <v>118</v>
      </c>
      <c r="D1832" s="3" t="n">
        <v>4</v>
      </c>
      <c r="E1832" s="3" t="n">
        <v>3</v>
      </c>
      <c r="F1832" s="3" t="n">
        <v>1</v>
      </c>
      <c r="G1832" s="3" t="n">
        <v>0</v>
      </c>
      <c r="H1832" s="24" t="n">
        <v>-0.0109215835</v>
      </c>
    </row>
    <row r="1833" customFormat="false" ht="15" hidden="false" customHeight="false" outlineLevel="0" collapsed="false">
      <c r="A1833" s="3" t="n">
        <v>1832</v>
      </c>
      <c r="B1833" s="3" t="n">
        <v>1831</v>
      </c>
      <c r="C1833" s="3" t="s">
        <v>118</v>
      </c>
      <c r="D1833" s="3" t="n">
        <v>4</v>
      </c>
      <c r="E1833" s="3" t="n">
        <v>3</v>
      </c>
      <c r="F1833" s="3" t="n">
        <v>1</v>
      </c>
      <c r="G1833" s="3" t="n">
        <v>1</v>
      </c>
      <c r="H1833" s="24" t="n">
        <v>0.211454436</v>
      </c>
    </row>
    <row r="1834" customFormat="false" ht="15" hidden="false" customHeight="false" outlineLevel="0" collapsed="false">
      <c r="A1834" s="3" t="n">
        <v>1833</v>
      </c>
      <c r="B1834" s="3" t="n">
        <v>1832</v>
      </c>
      <c r="C1834" s="3" t="s">
        <v>118</v>
      </c>
      <c r="D1834" s="3" t="n">
        <v>4</v>
      </c>
      <c r="E1834" s="3" t="n">
        <v>3</v>
      </c>
      <c r="F1834" s="3" t="n">
        <v>1</v>
      </c>
      <c r="G1834" s="3" t="n">
        <v>2</v>
      </c>
      <c r="H1834" s="24" t="n">
        <v>-0.376197487</v>
      </c>
    </row>
    <row r="1835" customFormat="false" ht="15" hidden="false" customHeight="false" outlineLevel="0" collapsed="false">
      <c r="A1835" s="3" t="n">
        <v>1834</v>
      </c>
      <c r="B1835" s="3" t="n">
        <v>1833</v>
      </c>
      <c r="C1835" s="3" t="s">
        <v>118</v>
      </c>
      <c r="D1835" s="3" t="n">
        <v>4</v>
      </c>
      <c r="E1835" s="3" t="n">
        <v>3</v>
      </c>
      <c r="F1835" s="3" t="n">
        <v>2</v>
      </c>
      <c r="G1835" s="3" t="n">
        <v>0</v>
      </c>
      <c r="H1835" s="24" t="n">
        <v>-0.356872886</v>
      </c>
    </row>
    <row r="1836" customFormat="false" ht="15" hidden="false" customHeight="false" outlineLevel="0" collapsed="false">
      <c r="A1836" s="3" t="n">
        <v>1835</v>
      </c>
      <c r="B1836" s="3" t="n">
        <v>1834</v>
      </c>
      <c r="C1836" s="3" t="s">
        <v>118</v>
      </c>
      <c r="D1836" s="3" t="n">
        <v>4</v>
      </c>
      <c r="E1836" s="3" t="n">
        <v>3</v>
      </c>
      <c r="F1836" s="3" t="n">
        <v>2</v>
      </c>
      <c r="G1836" s="3" t="n">
        <v>1</v>
      </c>
      <c r="H1836" s="24" t="n">
        <v>-0.121064842</v>
      </c>
    </row>
    <row r="1837" customFormat="false" ht="15" hidden="false" customHeight="false" outlineLevel="0" collapsed="false">
      <c r="A1837" s="3" t="n">
        <v>1836</v>
      </c>
      <c r="B1837" s="3" t="n">
        <v>1835</v>
      </c>
      <c r="C1837" s="3" t="s">
        <v>118</v>
      </c>
      <c r="D1837" s="3" t="n">
        <v>4</v>
      </c>
      <c r="E1837" s="3" t="n">
        <v>3</v>
      </c>
      <c r="F1837" s="3" t="n">
        <v>2</v>
      </c>
      <c r="G1837" s="3" t="n">
        <v>2</v>
      </c>
      <c r="H1837" s="24" t="n">
        <v>0.144671336</v>
      </c>
    </row>
    <row r="1838" customFormat="false" ht="15" hidden="false" customHeight="false" outlineLevel="0" collapsed="false">
      <c r="A1838" s="3" t="n">
        <v>1837</v>
      </c>
      <c r="B1838" s="3" t="n">
        <v>1836</v>
      </c>
      <c r="C1838" s="3" t="s">
        <v>118</v>
      </c>
      <c r="D1838" s="3" t="n">
        <v>4</v>
      </c>
      <c r="E1838" s="3" t="n">
        <v>4</v>
      </c>
      <c r="F1838" s="3" t="n">
        <v>0</v>
      </c>
      <c r="G1838" s="3" t="n">
        <v>0</v>
      </c>
      <c r="H1838" s="24" t="n">
        <v>-0.02451488</v>
      </c>
    </row>
    <row r="1839" customFormat="false" ht="15" hidden="false" customHeight="false" outlineLevel="0" collapsed="false">
      <c r="A1839" s="3" t="n">
        <v>1838</v>
      </c>
      <c r="B1839" s="3" t="n">
        <v>1837</v>
      </c>
      <c r="C1839" s="3" t="s">
        <v>118</v>
      </c>
      <c r="D1839" s="3" t="n">
        <v>4</v>
      </c>
      <c r="E1839" s="3" t="n">
        <v>4</v>
      </c>
      <c r="F1839" s="3" t="n">
        <v>0</v>
      </c>
      <c r="G1839" s="3" t="n">
        <v>1</v>
      </c>
      <c r="H1839" s="24" t="n">
        <v>-0.158121958</v>
      </c>
    </row>
    <row r="1840" customFormat="false" ht="15" hidden="false" customHeight="false" outlineLevel="0" collapsed="false">
      <c r="A1840" s="3" t="n">
        <v>1839</v>
      </c>
      <c r="B1840" s="3" t="n">
        <v>1838</v>
      </c>
      <c r="C1840" s="3" t="s">
        <v>118</v>
      </c>
      <c r="D1840" s="3" t="n">
        <v>4</v>
      </c>
      <c r="E1840" s="3" t="n">
        <v>4</v>
      </c>
      <c r="F1840" s="3" t="n">
        <v>0</v>
      </c>
      <c r="G1840" s="3" t="n">
        <v>2</v>
      </c>
      <c r="H1840" s="24" t="n">
        <v>-0.288845062</v>
      </c>
    </row>
    <row r="1841" customFormat="false" ht="15" hidden="false" customHeight="false" outlineLevel="0" collapsed="false">
      <c r="A1841" s="3" t="n">
        <v>1840</v>
      </c>
      <c r="B1841" s="3" t="n">
        <v>1839</v>
      </c>
      <c r="C1841" s="3" t="s">
        <v>118</v>
      </c>
      <c r="D1841" s="3" t="n">
        <v>4</v>
      </c>
      <c r="E1841" s="3" t="n">
        <v>4</v>
      </c>
      <c r="F1841" s="3" t="n">
        <v>1</v>
      </c>
      <c r="G1841" s="3" t="n">
        <v>0</v>
      </c>
      <c r="H1841" s="24" t="n">
        <v>0.114856392</v>
      </c>
    </row>
    <row r="1842" customFormat="false" ht="15" hidden="false" customHeight="false" outlineLevel="0" collapsed="false">
      <c r="A1842" s="3" t="n">
        <v>1841</v>
      </c>
      <c r="B1842" s="3" t="n">
        <v>1840</v>
      </c>
      <c r="C1842" s="3" t="s">
        <v>118</v>
      </c>
      <c r="D1842" s="3" t="n">
        <v>4</v>
      </c>
      <c r="E1842" s="3" t="n">
        <v>4</v>
      </c>
      <c r="F1842" s="3" t="n">
        <v>1</v>
      </c>
      <c r="G1842" s="3" t="n">
        <v>1</v>
      </c>
      <c r="H1842" s="24" t="n">
        <v>0.276430786</v>
      </c>
    </row>
    <row r="1843" customFormat="false" ht="15" hidden="false" customHeight="false" outlineLevel="0" collapsed="false">
      <c r="A1843" s="3" t="n">
        <v>1842</v>
      </c>
      <c r="B1843" s="3" t="n">
        <v>1841</v>
      </c>
      <c r="C1843" s="3" t="s">
        <v>118</v>
      </c>
      <c r="D1843" s="3" t="n">
        <v>4</v>
      </c>
      <c r="E1843" s="3" t="n">
        <v>4</v>
      </c>
      <c r="F1843" s="3" t="n">
        <v>1</v>
      </c>
      <c r="G1843" s="3" t="n">
        <v>2</v>
      </c>
      <c r="H1843" s="24" t="n">
        <v>-0.16341643</v>
      </c>
    </row>
    <row r="1844" customFormat="false" ht="15" hidden="false" customHeight="false" outlineLevel="0" collapsed="false">
      <c r="A1844" s="3" t="n">
        <v>1843</v>
      </c>
      <c r="B1844" s="3" t="n">
        <v>1842</v>
      </c>
      <c r="C1844" s="3" t="s">
        <v>118</v>
      </c>
      <c r="D1844" s="3" t="n">
        <v>4</v>
      </c>
      <c r="E1844" s="3" t="n">
        <v>4</v>
      </c>
      <c r="F1844" s="3" t="n">
        <v>2</v>
      </c>
      <c r="G1844" s="3" t="n">
        <v>0</v>
      </c>
      <c r="H1844" s="24" t="n">
        <v>-0.423416227</v>
      </c>
    </row>
    <row r="1845" customFormat="false" ht="15" hidden="false" customHeight="false" outlineLevel="0" collapsed="false">
      <c r="A1845" s="3" t="n">
        <v>1844</v>
      </c>
      <c r="B1845" s="3" t="n">
        <v>1843</v>
      </c>
      <c r="C1845" s="3" t="s">
        <v>118</v>
      </c>
      <c r="D1845" s="3" t="n">
        <v>4</v>
      </c>
      <c r="E1845" s="3" t="n">
        <v>4</v>
      </c>
      <c r="F1845" s="3" t="n">
        <v>2</v>
      </c>
      <c r="G1845" s="3" t="n">
        <v>1</v>
      </c>
      <c r="H1845" s="24" t="n">
        <v>0.304419905</v>
      </c>
    </row>
    <row r="1846" customFormat="false" ht="15" hidden="false" customHeight="false" outlineLevel="0" collapsed="false">
      <c r="A1846" s="3" t="n">
        <v>1845</v>
      </c>
      <c r="B1846" s="3" t="n">
        <v>1844</v>
      </c>
      <c r="C1846" s="3" t="s">
        <v>118</v>
      </c>
      <c r="D1846" s="3" t="n">
        <v>4</v>
      </c>
      <c r="E1846" s="3" t="n">
        <v>4</v>
      </c>
      <c r="F1846" s="3" t="n">
        <v>2</v>
      </c>
      <c r="G1846" s="3" t="n">
        <v>2</v>
      </c>
      <c r="H1846" s="24" t="n">
        <v>0.299011946</v>
      </c>
    </row>
    <row r="1847" customFormat="false" ht="15" hidden="false" customHeight="false" outlineLevel="0" collapsed="false">
      <c r="A1847" s="3" t="n">
        <v>1846</v>
      </c>
      <c r="B1847" s="3" t="n">
        <v>1845</v>
      </c>
      <c r="C1847" s="3" t="s">
        <v>118</v>
      </c>
      <c r="D1847" s="3" t="n">
        <v>4</v>
      </c>
      <c r="E1847" s="3" t="n">
        <v>5</v>
      </c>
      <c r="F1847" s="3" t="n">
        <v>0</v>
      </c>
      <c r="G1847" s="3" t="n">
        <v>0</v>
      </c>
      <c r="H1847" s="24" t="n">
        <v>-0.0890563205</v>
      </c>
    </row>
    <row r="1848" customFormat="false" ht="15" hidden="false" customHeight="false" outlineLevel="0" collapsed="false">
      <c r="A1848" s="3" t="n">
        <v>1847</v>
      </c>
      <c r="B1848" s="3" t="n">
        <v>1846</v>
      </c>
      <c r="C1848" s="3" t="s">
        <v>118</v>
      </c>
      <c r="D1848" s="3" t="n">
        <v>4</v>
      </c>
      <c r="E1848" s="3" t="n">
        <v>5</v>
      </c>
      <c r="F1848" s="3" t="n">
        <v>0</v>
      </c>
      <c r="G1848" s="3" t="n">
        <v>1</v>
      </c>
      <c r="H1848" s="24" t="n">
        <v>0.190558776</v>
      </c>
    </row>
    <row r="1849" customFormat="false" ht="15" hidden="false" customHeight="false" outlineLevel="0" collapsed="false">
      <c r="A1849" s="3" t="n">
        <v>1848</v>
      </c>
      <c r="B1849" s="3" t="n">
        <v>1847</v>
      </c>
      <c r="C1849" s="3" t="s">
        <v>118</v>
      </c>
      <c r="D1849" s="3" t="n">
        <v>4</v>
      </c>
      <c r="E1849" s="3" t="n">
        <v>5</v>
      </c>
      <c r="F1849" s="3" t="n">
        <v>0</v>
      </c>
      <c r="G1849" s="3" t="n">
        <v>2</v>
      </c>
      <c r="H1849" s="24" t="n">
        <v>0.0616341904</v>
      </c>
    </row>
    <row r="1850" customFormat="false" ht="15" hidden="false" customHeight="false" outlineLevel="0" collapsed="false">
      <c r="A1850" s="3" t="n">
        <v>1849</v>
      </c>
      <c r="B1850" s="3" t="n">
        <v>1848</v>
      </c>
      <c r="C1850" s="3" t="s">
        <v>118</v>
      </c>
      <c r="D1850" s="3" t="n">
        <v>4</v>
      </c>
      <c r="E1850" s="3" t="n">
        <v>5</v>
      </c>
      <c r="F1850" s="3" t="n">
        <v>1</v>
      </c>
      <c r="G1850" s="3" t="n">
        <v>0</v>
      </c>
      <c r="H1850" s="24" t="n">
        <v>0.0913215727</v>
      </c>
    </row>
    <row r="1851" customFormat="false" ht="15" hidden="false" customHeight="false" outlineLevel="0" collapsed="false">
      <c r="A1851" s="3" t="n">
        <v>1850</v>
      </c>
      <c r="B1851" s="3" t="n">
        <v>1849</v>
      </c>
      <c r="C1851" s="3" t="s">
        <v>118</v>
      </c>
      <c r="D1851" s="3" t="n">
        <v>4</v>
      </c>
      <c r="E1851" s="3" t="n">
        <v>5</v>
      </c>
      <c r="F1851" s="3" t="n">
        <v>1</v>
      </c>
      <c r="G1851" s="3" t="n">
        <v>1</v>
      </c>
      <c r="H1851" s="24" t="n">
        <v>0.233871087</v>
      </c>
    </row>
    <row r="1852" customFormat="false" ht="15" hidden="false" customHeight="false" outlineLevel="0" collapsed="false">
      <c r="A1852" s="3" t="n">
        <v>1851</v>
      </c>
      <c r="B1852" s="3" t="n">
        <v>1850</v>
      </c>
      <c r="C1852" s="3" t="s">
        <v>118</v>
      </c>
      <c r="D1852" s="3" t="n">
        <v>4</v>
      </c>
      <c r="E1852" s="3" t="n">
        <v>5</v>
      </c>
      <c r="F1852" s="3" t="n">
        <v>1</v>
      </c>
      <c r="G1852" s="3" t="n">
        <v>2</v>
      </c>
      <c r="H1852" s="24" t="n">
        <v>-0.0411121175</v>
      </c>
    </row>
    <row r="1853" customFormat="false" ht="15" hidden="false" customHeight="false" outlineLevel="0" collapsed="false">
      <c r="A1853" s="3" t="n">
        <v>1852</v>
      </c>
      <c r="B1853" s="3" t="n">
        <v>1851</v>
      </c>
      <c r="C1853" s="3" t="s">
        <v>118</v>
      </c>
      <c r="D1853" s="3" t="n">
        <v>4</v>
      </c>
      <c r="E1853" s="3" t="n">
        <v>5</v>
      </c>
      <c r="F1853" s="3" t="n">
        <v>2</v>
      </c>
      <c r="G1853" s="3" t="n">
        <v>0</v>
      </c>
      <c r="H1853" s="24" t="n">
        <v>0.131498128</v>
      </c>
    </row>
    <row r="1854" customFormat="false" ht="15" hidden="false" customHeight="false" outlineLevel="0" collapsed="false">
      <c r="A1854" s="3" t="n">
        <v>1853</v>
      </c>
      <c r="B1854" s="3" t="n">
        <v>1852</v>
      </c>
      <c r="C1854" s="3" t="s">
        <v>118</v>
      </c>
      <c r="D1854" s="3" t="n">
        <v>4</v>
      </c>
      <c r="E1854" s="3" t="n">
        <v>5</v>
      </c>
      <c r="F1854" s="3" t="n">
        <v>2</v>
      </c>
      <c r="G1854" s="3" t="n">
        <v>1</v>
      </c>
      <c r="H1854" s="24" t="n">
        <v>-0.29881534</v>
      </c>
    </row>
    <row r="1855" customFormat="false" ht="15" hidden="false" customHeight="false" outlineLevel="0" collapsed="false">
      <c r="A1855" s="3" t="n">
        <v>1854</v>
      </c>
      <c r="B1855" s="3" t="n">
        <v>1853</v>
      </c>
      <c r="C1855" s="3" t="s">
        <v>118</v>
      </c>
      <c r="D1855" s="3" t="n">
        <v>4</v>
      </c>
      <c r="E1855" s="3" t="n">
        <v>5</v>
      </c>
      <c r="F1855" s="3" t="n">
        <v>2</v>
      </c>
      <c r="G1855" s="3" t="n">
        <v>2</v>
      </c>
      <c r="H1855" s="24" t="n">
        <v>0.0930951089</v>
      </c>
    </row>
    <row r="1856" customFormat="false" ht="15" hidden="false" customHeight="false" outlineLevel="0" collapsed="false">
      <c r="A1856" s="3" t="n">
        <v>1855</v>
      </c>
      <c r="B1856" s="3" t="n">
        <v>1854</v>
      </c>
      <c r="C1856" s="3" t="s">
        <v>118</v>
      </c>
      <c r="D1856" s="3" t="n">
        <v>4</v>
      </c>
      <c r="E1856" s="3" t="n">
        <v>6</v>
      </c>
      <c r="F1856" s="3" t="n">
        <v>0</v>
      </c>
      <c r="G1856" s="3" t="n">
        <v>0</v>
      </c>
      <c r="H1856" s="24" t="n">
        <v>-0.15925242</v>
      </c>
    </row>
    <row r="1857" customFormat="false" ht="15" hidden="false" customHeight="false" outlineLevel="0" collapsed="false">
      <c r="A1857" s="3" t="n">
        <v>1856</v>
      </c>
      <c r="B1857" s="3" t="n">
        <v>1855</v>
      </c>
      <c r="C1857" s="3" t="s">
        <v>118</v>
      </c>
      <c r="D1857" s="3" t="n">
        <v>4</v>
      </c>
      <c r="E1857" s="3" t="n">
        <v>6</v>
      </c>
      <c r="F1857" s="3" t="n">
        <v>0</v>
      </c>
      <c r="G1857" s="3" t="n">
        <v>1</v>
      </c>
      <c r="H1857" s="24" t="n">
        <v>-0.0335060991</v>
      </c>
    </row>
    <row r="1858" customFormat="false" ht="15" hidden="false" customHeight="false" outlineLevel="0" collapsed="false">
      <c r="A1858" s="3" t="n">
        <v>1857</v>
      </c>
      <c r="B1858" s="3" t="n">
        <v>1856</v>
      </c>
      <c r="C1858" s="3" t="s">
        <v>118</v>
      </c>
      <c r="D1858" s="3" t="n">
        <v>4</v>
      </c>
      <c r="E1858" s="3" t="n">
        <v>6</v>
      </c>
      <c r="F1858" s="3" t="n">
        <v>0</v>
      </c>
      <c r="G1858" s="3" t="n">
        <v>2</v>
      </c>
      <c r="H1858" s="24" t="n">
        <v>0.148578078</v>
      </c>
    </row>
    <row r="1859" customFormat="false" ht="15" hidden="false" customHeight="false" outlineLevel="0" collapsed="false">
      <c r="A1859" s="3" t="n">
        <v>1858</v>
      </c>
      <c r="B1859" s="3" t="n">
        <v>1857</v>
      </c>
      <c r="C1859" s="3" t="s">
        <v>118</v>
      </c>
      <c r="D1859" s="3" t="n">
        <v>4</v>
      </c>
      <c r="E1859" s="3" t="n">
        <v>6</v>
      </c>
      <c r="F1859" s="3" t="n">
        <v>1</v>
      </c>
      <c r="G1859" s="3" t="n">
        <v>0</v>
      </c>
      <c r="H1859" s="24" t="n">
        <v>-0.0294576846</v>
      </c>
    </row>
    <row r="1860" customFormat="false" ht="15" hidden="false" customHeight="false" outlineLevel="0" collapsed="false">
      <c r="A1860" s="3" t="n">
        <v>1859</v>
      </c>
      <c r="B1860" s="3" t="n">
        <v>1858</v>
      </c>
      <c r="C1860" s="3" t="s">
        <v>118</v>
      </c>
      <c r="D1860" s="3" t="n">
        <v>4</v>
      </c>
      <c r="E1860" s="3" t="n">
        <v>6</v>
      </c>
      <c r="F1860" s="3" t="n">
        <v>1</v>
      </c>
      <c r="G1860" s="3" t="n">
        <v>1</v>
      </c>
      <c r="H1860" s="24" t="n">
        <v>-0.0144197056</v>
      </c>
    </row>
    <row r="1861" customFormat="false" ht="15" hidden="false" customHeight="false" outlineLevel="0" collapsed="false">
      <c r="A1861" s="3" t="n">
        <v>1860</v>
      </c>
      <c r="B1861" s="3" t="n">
        <v>1859</v>
      </c>
      <c r="C1861" s="3" t="s">
        <v>118</v>
      </c>
      <c r="D1861" s="3" t="n">
        <v>4</v>
      </c>
      <c r="E1861" s="3" t="n">
        <v>6</v>
      </c>
      <c r="F1861" s="3" t="n">
        <v>1</v>
      </c>
      <c r="G1861" s="3" t="n">
        <v>2</v>
      </c>
      <c r="H1861" s="24" t="n">
        <v>0.00980403088</v>
      </c>
    </row>
    <row r="1862" customFormat="false" ht="15" hidden="false" customHeight="false" outlineLevel="0" collapsed="false">
      <c r="A1862" s="3" t="n">
        <v>1861</v>
      </c>
      <c r="B1862" s="3" t="n">
        <v>1860</v>
      </c>
      <c r="C1862" s="3" t="s">
        <v>118</v>
      </c>
      <c r="D1862" s="3" t="n">
        <v>4</v>
      </c>
      <c r="E1862" s="3" t="n">
        <v>6</v>
      </c>
      <c r="F1862" s="3" t="n">
        <v>2</v>
      </c>
      <c r="G1862" s="3" t="n">
        <v>0</v>
      </c>
      <c r="H1862" s="24" t="n">
        <v>0.186754242</v>
      </c>
    </row>
    <row r="1863" customFormat="false" ht="15" hidden="false" customHeight="false" outlineLevel="0" collapsed="false">
      <c r="A1863" s="3" t="n">
        <v>1862</v>
      </c>
      <c r="B1863" s="3" t="n">
        <v>1861</v>
      </c>
      <c r="C1863" s="3" t="s">
        <v>118</v>
      </c>
      <c r="D1863" s="3" t="n">
        <v>4</v>
      </c>
      <c r="E1863" s="3" t="n">
        <v>6</v>
      </c>
      <c r="F1863" s="3" t="n">
        <v>2</v>
      </c>
      <c r="G1863" s="3" t="n">
        <v>1</v>
      </c>
      <c r="H1863" s="24" t="n">
        <v>-0.152189985</v>
      </c>
    </row>
    <row r="1864" customFormat="false" ht="15" hidden="false" customHeight="false" outlineLevel="0" collapsed="false">
      <c r="A1864" s="3" t="n">
        <v>1863</v>
      </c>
      <c r="B1864" s="3" t="n">
        <v>1862</v>
      </c>
      <c r="C1864" s="3" t="s">
        <v>118</v>
      </c>
      <c r="D1864" s="3" t="n">
        <v>4</v>
      </c>
      <c r="E1864" s="3" t="n">
        <v>6</v>
      </c>
      <c r="F1864" s="3" t="n">
        <v>2</v>
      </c>
      <c r="G1864" s="3" t="n">
        <v>2</v>
      </c>
      <c r="H1864" s="24" t="n">
        <v>-0.00136370352</v>
      </c>
    </row>
    <row r="1865" customFormat="false" ht="15" hidden="false" customHeight="false" outlineLevel="0" collapsed="false">
      <c r="A1865" s="3" t="n">
        <v>1864</v>
      </c>
      <c r="B1865" s="3" t="n">
        <v>1863</v>
      </c>
      <c r="C1865" s="3" t="s">
        <v>118</v>
      </c>
      <c r="D1865" s="3" t="n">
        <v>4</v>
      </c>
      <c r="E1865" s="3" t="n">
        <v>7</v>
      </c>
      <c r="F1865" s="3" t="n">
        <v>0</v>
      </c>
      <c r="G1865" s="3" t="n">
        <v>0</v>
      </c>
      <c r="H1865" s="24" t="n">
        <v>-0.252827436</v>
      </c>
    </row>
    <row r="1866" customFormat="false" ht="15" hidden="false" customHeight="false" outlineLevel="0" collapsed="false">
      <c r="A1866" s="3" t="n">
        <v>1865</v>
      </c>
      <c r="B1866" s="3" t="n">
        <v>1864</v>
      </c>
      <c r="C1866" s="3" t="s">
        <v>118</v>
      </c>
      <c r="D1866" s="3" t="n">
        <v>4</v>
      </c>
      <c r="E1866" s="3" t="n">
        <v>7</v>
      </c>
      <c r="F1866" s="3" t="n">
        <v>0</v>
      </c>
      <c r="G1866" s="3" t="n">
        <v>1</v>
      </c>
      <c r="H1866" s="24" t="n">
        <v>-0.0609716587</v>
      </c>
    </row>
    <row r="1867" customFormat="false" ht="15" hidden="false" customHeight="false" outlineLevel="0" collapsed="false">
      <c r="A1867" s="3" t="n">
        <v>1866</v>
      </c>
      <c r="B1867" s="3" t="n">
        <v>1865</v>
      </c>
      <c r="C1867" s="3" t="s">
        <v>118</v>
      </c>
      <c r="D1867" s="3" t="n">
        <v>4</v>
      </c>
      <c r="E1867" s="3" t="n">
        <v>7</v>
      </c>
      <c r="F1867" s="3" t="n">
        <v>0</v>
      </c>
      <c r="G1867" s="3" t="n">
        <v>2</v>
      </c>
      <c r="H1867" s="24" t="n">
        <v>-0.0372990705</v>
      </c>
    </row>
    <row r="1868" customFormat="false" ht="15" hidden="false" customHeight="false" outlineLevel="0" collapsed="false">
      <c r="A1868" s="3" t="n">
        <v>1867</v>
      </c>
      <c r="B1868" s="3" t="n">
        <v>1866</v>
      </c>
      <c r="C1868" s="3" t="s">
        <v>118</v>
      </c>
      <c r="D1868" s="3" t="n">
        <v>4</v>
      </c>
      <c r="E1868" s="3" t="n">
        <v>7</v>
      </c>
      <c r="F1868" s="3" t="n">
        <v>1</v>
      </c>
      <c r="G1868" s="3" t="n">
        <v>0</v>
      </c>
      <c r="H1868" s="24" t="n">
        <v>-0.0772566721</v>
      </c>
    </row>
    <row r="1869" customFormat="false" ht="15" hidden="false" customHeight="false" outlineLevel="0" collapsed="false">
      <c r="A1869" s="3" t="n">
        <v>1868</v>
      </c>
      <c r="B1869" s="3" t="n">
        <v>1867</v>
      </c>
      <c r="C1869" s="3" t="s">
        <v>118</v>
      </c>
      <c r="D1869" s="3" t="n">
        <v>4</v>
      </c>
      <c r="E1869" s="3" t="n">
        <v>7</v>
      </c>
      <c r="F1869" s="3" t="n">
        <v>1</v>
      </c>
      <c r="G1869" s="3" t="n">
        <v>1</v>
      </c>
      <c r="H1869" s="24" t="n">
        <v>-0.0921335593</v>
      </c>
    </row>
    <row r="1870" customFormat="false" ht="15" hidden="false" customHeight="false" outlineLevel="0" collapsed="false">
      <c r="A1870" s="3" t="n">
        <v>1869</v>
      </c>
      <c r="B1870" s="3" t="n">
        <v>1868</v>
      </c>
      <c r="C1870" s="3" t="s">
        <v>118</v>
      </c>
      <c r="D1870" s="3" t="n">
        <v>4</v>
      </c>
      <c r="E1870" s="3" t="n">
        <v>7</v>
      </c>
      <c r="F1870" s="3" t="n">
        <v>1</v>
      </c>
      <c r="G1870" s="3" t="n">
        <v>2</v>
      </c>
      <c r="H1870" s="24" t="n">
        <v>0.133551762</v>
      </c>
    </row>
    <row r="1871" customFormat="false" ht="15" hidden="false" customHeight="false" outlineLevel="0" collapsed="false">
      <c r="A1871" s="3" t="n">
        <v>1870</v>
      </c>
      <c r="B1871" s="3" t="n">
        <v>1869</v>
      </c>
      <c r="C1871" s="3" t="s">
        <v>118</v>
      </c>
      <c r="D1871" s="3" t="n">
        <v>4</v>
      </c>
      <c r="E1871" s="3" t="n">
        <v>7</v>
      </c>
      <c r="F1871" s="3" t="n">
        <v>2</v>
      </c>
      <c r="G1871" s="3" t="n">
        <v>0</v>
      </c>
      <c r="H1871" s="24" t="n">
        <v>0.169152185</v>
      </c>
    </row>
    <row r="1872" customFormat="false" ht="15" hidden="false" customHeight="false" outlineLevel="0" collapsed="false">
      <c r="A1872" s="3" t="n">
        <v>1871</v>
      </c>
      <c r="B1872" s="3" t="n">
        <v>1870</v>
      </c>
      <c r="C1872" s="3" t="s">
        <v>118</v>
      </c>
      <c r="D1872" s="3" t="n">
        <v>4</v>
      </c>
      <c r="E1872" s="3" t="n">
        <v>7</v>
      </c>
      <c r="F1872" s="3" t="n">
        <v>2</v>
      </c>
      <c r="G1872" s="3" t="n">
        <v>1</v>
      </c>
      <c r="H1872" s="24" t="n">
        <v>-0.214648888</v>
      </c>
    </row>
    <row r="1873" customFormat="false" ht="15" hidden="false" customHeight="false" outlineLevel="0" collapsed="false">
      <c r="A1873" s="3" t="n">
        <v>1872</v>
      </c>
      <c r="B1873" s="3" t="n">
        <v>1871</v>
      </c>
      <c r="C1873" s="3" t="s">
        <v>118</v>
      </c>
      <c r="D1873" s="3" t="n">
        <v>4</v>
      </c>
      <c r="E1873" s="3" t="n">
        <v>7</v>
      </c>
      <c r="F1873" s="3" t="n">
        <v>2</v>
      </c>
      <c r="G1873" s="3" t="n">
        <v>2</v>
      </c>
      <c r="H1873" s="24" t="n">
        <v>-0.0746156499</v>
      </c>
    </row>
    <row r="1874" customFormat="false" ht="15" hidden="false" customHeight="false" outlineLevel="0" collapsed="false">
      <c r="A1874" s="3" t="n">
        <v>1873</v>
      </c>
      <c r="B1874" s="3" t="n">
        <v>1872</v>
      </c>
      <c r="C1874" s="3" t="s">
        <v>118</v>
      </c>
      <c r="D1874" s="3" t="n">
        <v>4</v>
      </c>
      <c r="E1874" s="3" t="n">
        <v>8</v>
      </c>
      <c r="F1874" s="3" t="n">
        <v>0</v>
      </c>
      <c r="G1874" s="3" t="n">
        <v>0</v>
      </c>
      <c r="H1874" s="24" t="n">
        <v>0.06514927</v>
      </c>
    </row>
    <row r="1875" customFormat="false" ht="15" hidden="false" customHeight="false" outlineLevel="0" collapsed="false">
      <c r="A1875" s="3" t="n">
        <v>1874</v>
      </c>
      <c r="B1875" s="3" t="n">
        <v>1873</v>
      </c>
      <c r="C1875" s="3" t="s">
        <v>118</v>
      </c>
      <c r="D1875" s="3" t="n">
        <v>4</v>
      </c>
      <c r="E1875" s="3" t="n">
        <v>8</v>
      </c>
      <c r="F1875" s="3" t="n">
        <v>0</v>
      </c>
      <c r="G1875" s="3" t="n">
        <v>1</v>
      </c>
      <c r="H1875" s="24" t="n">
        <v>0.0219886843</v>
      </c>
    </row>
    <row r="1876" customFormat="false" ht="15" hidden="false" customHeight="false" outlineLevel="0" collapsed="false">
      <c r="A1876" s="3" t="n">
        <v>1875</v>
      </c>
      <c r="B1876" s="3" t="n">
        <v>1874</v>
      </c>
      <c r="C1876" s="3" t="s">
        <v>118</v>
      </c>
      <c r="D1876" s="3" t="n">
        <v>4</v>
      </c>
      <c r="E1876" s="3" t="n">
        <v>8</v>
      </c>
      <c r="F1876" s="3" t="n">
        <v>0</v>
      </c>
      <c r="G1876" s="3" t="n">
        <v>2</v>
      </c>
      <c r="H1876" s="24" t="n">
        <v>-0.0632931218</v>
      </c>
    </row>
    <row r="1877" customFormat="false" ht="15" hidden="false" customHeight="false" outlineLevel="0" collapsed="false">
      <c r="A1877" s="3" t="n">
        <v>1876</v>
      </c>
      <c r="B1877" s="3" t="n">
        <v>1875</v>
      </c>
      <c r="C1877" s="3" t="s">
        <v>118</v>
      </c>
      <c r="D1877" s="3" t="n">
        <v>4</v>
      </c>
      <c r="E1877" s="3" t="n">
        <v>8</v>
      </c>
      <c r="F1877" s="3" t="n">
        <v>1</v>
      </c>
      <c r="G1877" s="3" t="n">
        <v>0</v>
      </c>
      <c r="H1877" s="24" t="n">
        <v>0.0551374145</v>
      </c>
    </row>
    <row r="1878" customFormat="false" ht="15" hidden="false" customHeight="false" outlineLevel="0" collapsed="false">
      <c r="A1878" s="3" t="n">
        <v>1877</v>
      </c>
      <c r="B1878" s="3" t="n">
        <v>1876</v>
      </c>
      <c r="C1878" s="3" t="s">
        <v>118</v>
      </c>
      <c r="D1878" s="3" t="n">
        <v>4</v>
      </c>
      <c r="E1878" s="3" t="n">
        <v>8</v>
      </c>
      <c r="F1878" s="3" t="n">
        <v>1</v>
      </c>
      <c r="G1878" s="3" t="n">
        <v>1</v>
      </c>
      <c r="H1878" s="24" t="n">
        <v>0.112679623</v>
      </c>
    </row>
    <row r="1879" customFormat="false" ht="15" hidden="false" customHeight="false" outlineLevel="0" collapsed="false">
      <c r="A1879" s="3" t="n">
        <v>1878</v>
      </c>
      <c r="B1879" s="3" t="n">
        <v>1877</v>
      </c>
      <c r="C1879" s="3" t="s">
        <v>118</v>
      </c>
      <c r="D1879" s="3" t="n">
        <v>4</v>
      </c>
      <c r="E1879" s="3" t="n">
        <v>8</v>
      </c>
      <c r="F1879" s="3" t="n">
        <v>1</v>
      </c>
      <c r="G1879" s="3" t="n">
        <v>2</v>
      </c>
      <c r="H1879" s="24" t="n">
        <v>-0.115284026</v>
      </c>
    </row>
    <row r="1880" customFormat="false" ht="15" hidden="false" customHeight="false" outlineLevel="0" collapsed="false">
      <c r="A1880" s="3" t="n">
        <v>1879</v>
      </c>
      <c r="B1880" s="3" t="n">
        <v>1878</v>
      </c>
      <c r="C1880" s="3" t="s">
        <v>118</v>
      </c>
      <c r="D1880" s="3" t="n">
        <v>4</v>
      </c>
      <c r="E1880" s="3" t="n">
        <v>8</v>
      </c>
      <c r="F1880" s="3" t="n">
        <v>2</v>
      </c>
      <c r="G1880" s="3" t="n">
        <v>0</v>
      </c>
      <c r="H1880" s="24" t="n">
        <v>-0.0707165971</v>
      </c>
    </row>
    <row r="1881" customFormat="false" ht="15" hidden="false" customHeight="false" outlineLevel="0" collapsed="false">
      <c r="A1881" s="3" t="n">
        <v>1880</v>
      </c>
      <c r="B1881" s="3" t="n">
        <v>1879</v>
      </c>
      <c r="C1881" s="3" t="s">
        <v>118</v>
      </c>
      <c r="D1881" s="3" t="n">
        <v>4</v>
      </c>
      <c r="E1881" s="3" t="n">
        <v>8</v>
      </c>
      <c r="F1881" s="3" t="n">
        <v>2</v>
      </c>
      <c r="G1881" s="3" t="n">
        <v>1</v>
      </c>
      <c r="H1881" s="24" t="n">
        <v>-0.0751910955</v>
      </c>
    </row>
    <row r="1882" customFormat="false" ht="15" hidden="false" customHeight="false" outlineLevel="0" collapsed="false">
      <c r="A1882" s="3" t="n">
        <v>1881</v>
      </c>
      <c r="B1882" s="3" t="n">
        <v>1880</v>
      </c>
      <c r="C1882" s="3" t="s">
        <v>118</v>
      </c>
      <c r="D1882" s="3" t="n">
        <v>4</v>
      </c>
      <c r="E1882" s="3" t="n">
        <v>8</v>
      </c>
      <c r="F1882" s="3" t="n">
        <v>2</v>
      </c>
      <c r="G1882" s="3" t="n">
        <v>2</v>
      </c>
      <c r="H1882" s="24" t="n">
        <v>-0.00570991728</v>
      </c>
    </row>
    <row r="1883" customFormat="false" ht="15" hidden="false" customHeight="false" outlineLevel="0" collapsed="false">
      <c r="A1883" s="3" t="n">
        <v>1882</v>
      </c>
      <c r="B1883" s="3" t="n">
        <v>1881</v>
      </c>
      <c r="C1883" s="3" t="s">
        <v>118</v>
      </c>
      <c r="D1883" s="3" t="n">
        <v>4</v>
      </c>
      <c r="E1883" s="3" t="n">
        <v>9</v>
      </c>
      <c r="F1883" s="3" t="n">
        <v>0</v>
      </c>
      <c r="G1883" s="3" t="n">
        <v>0</v>
      </c>
      <c r="H1883" s="24" t="n">
        <v>0.0419434458</v>
      </c>
    </row>
    <row r="1884" customFormat="false" ht="15" hidden="false" customHeight="false" outlineLevel="0" collapsed="false">
      <c r="A1884" s="3" t="n">
        <v>1883</v>
      </c>
      <c r="B1884" s="3" t="n">
        <v>1882</v>
      </c>
      <c r="C1884" s="3" t="s">
        <v>118</v>
      </c>
      <c r="D1884" s="3" t="n">
        <v>4</v>
      </c>
      <c r="E1884" s="3" t="n">
        <v>9</v>
      </c>
      <c r="F1884" s="3" t="n">
        <v>0</v>
      </c>
      <c r="G1884" s="3" t="n">
        <v>1</v>
      </c>
      <c r="H1884" s="24" t="n">
        <v>-0.0736023262</v>
      </c>
    </row>
    <row r="1885" customFormat="false" ht="15" hidden="false" customHeight="false" outlineLevel="0" collapsed="false">
      <c r="A1885" s="3" t="n">
        <v>1884</v>
      </c>
      <c r="B1885" s="3" t="n">
        <v>1883</v>
      </c>
      <c r="C1885" s="3" t="s">
        <v>118</v>
      </c>
      <c r="D1885" s="3" t="n">
        <v>4</v>
      </c>
      <c r="E1885" s="3" t="n">
        <v>9</v>
      </c>
      <c r="F1885" s="3" t="n">
        <v>0</v>
      </c>
      <c r="G1885" s="3" t="n">
        <v>2</v>
      </c>
      <c r="H1885" s="24" t="n">
        <v>-0.132307529</v>
      </c>
    </row>
    <row r="1886" customFormat="false" ht="15" hidden="false" customHeight="false" outlineLevel="0" collapsed="false">
      <c r="A1886" s="3" t="n">
        <v>1885</v>
      </c>
      <c r="B1886" s="3" t="n">
        <v>1884</v>
      </c>
      <c r="C1886" s="3" t="s">
        <v>118</v>
      </c>
      <c r="D1886" s="3" t="n">
        <v>4</v>
      </c>
      <c r="E1886" s="3" t="n">
        <v>9</v>
      </c>
      <c r="F1886" s="3" t="n">
        <v>1</v>
      </c>
      <c r="G1886" s="3" t="n">
        <v>0</v>
      </c>
      <c r="H1886" s="24" t="n">
        <v>-0.039056126</v>
      </c>
    </row>
    <row r="1887" customFormat="false" ht="15" hidden="false" customHeight="false" outlineLevel="0" collapsed="false">
      <c r="A1887" s="3" t="n">
        <v>1886</v>
      </c>
      <c r="B1887" s="3" t="n">
        <v>1885</v>
      </c>
      <c r="C1887" s="3" t="s">
        <v>118</v>
      </c>
      <c r="D1887" s="3" t="n">
        <v>4</v>
      </c>
      <c r="E1887" s="3" t="n">
        <v>9</v>
      </c>
      <c r="F1887" s="3" t="n">
        <v>1</v>
      </c>
      <c r="G1887" s="3" t="n">
        <v>1</v>
      </c>
      <c r="H1887" s="24" t="n">
        <v>0.026199853</v>
      </c>
    </row>
    <row r="1888" customFormat="false" ht="15" hidden="false" customHeight="false" outlineLevel="0" collapsed="false">
      <c r="A1888" s="3" t="n">
        <v>1887</v>
      </c>
      <c r="B1888" s="3" t="n">
        <v>1886</v>
      </c>
      <c r="C1888" s="3" t="s">
        <v>118</v>
      </c>
      <c r="D1888" s="3" t="n">
        <v>4</v>
      </c>
      <c r="E1888" s="3" t="n">
        <v>9</v>
      </c>
      <c r="F1888" s="3" t="n">
        <v>1</v>
      </c>
      <c r="G1888" s="3" t="n">
        <v>2</v>
      </c>
      <c r="H1888" s="24" t="n">
        <v>-0.0897151753</v>
      </c>
    </row>
    <row r="1889" customFormat="false" ht="15" hidden="false" customHeight="false" outlineLevel="0" collapsed="false">
      <c r="A1889" s="3" t="n">
        <v>1888</v>
      </c>
      <c r="B1889" s="3" t="n">
        <v>1887</v>
      </c>
      <c r="C1889" s="3" t="s">
        <v>118</v>
      </c>
      <c r="D1889" s="3" t="n">
        <v>4</v>
      </c>
      <c r="E1889" s="3" t="n">
        <v>9</v>
      </c>
      <c r="F1889" s="3" t="n">
        <v>2</v>
      </c>
      <c r="G1889" s="3" t="n">
        <v>0</v>
      </c>
      <c r="H1889" s="24" t="n">
        <v>0.032021299</v>
      </c>
    </row>
    <row r="1890" customFormat="false" ht="15" hidden="false" customHeight="false" outlineLevel="0" collapsed="false">
      <c r="A1890" s="3" t="n">
        <v>1889</v>
      </c>
      <c r="B1890" s="3" t="n">
        <v>1888</v>
      </c>
      <c r="C1890" s="3" t="s">
        <v>118</v>
      </c>
      <c r="D1890" s="3" t="n">
        <v>4</v>
      </c>
      <c r="E1890" s="3" t="n">
        <v>9</v>
      </c>
      <c r="F1890" s="3" t="n">
        <v>2</v>
      </c>
      <c r="G1890" s="3" t="n">
        <v>1</v>
      </c>
      <c r="H1890" s="24" t="n">
        <v>0.185310319</v>
      </c>
    </row>
    <row r="1891" customFormat="false" ht="15" hidden="false" customHeight="false" outlineLevel="0" collapsed="false">
      <c r="A1891" s="3" t="n">
        <v>1890</v>
      </c>
      <c r="B1891" s="3" t="n">
        <v>1889</v>
      </c>
      <c r="C1891" s="3" t="s">
        <v>118</v>
      </c>
      <c r="D1891" s="3" t="n">
        <v>4</v>
      </c>
      <c r="E1891" s="3" t="n">
        <v>9</v>
      </c>
      <c r="F1891" s="3" t="n">
        <v>2</v>
      </c>
      <c r="G1891" s="3" t="n">
        <v>2</v>
      </c>
      <c r="H1891" s="24" t="n">
        <v>-0.229200751</v>
      </c>
    </row>
    <row r="1892" customFormat="false" ht="15" hidden="false" customHeight="false" outlineLevel="0" collapsed="false">
      <c r="A1892" s="3" t="n">
        <v>1891</v>
      </c>
      <c r="B1892" s="3" t="n">
        <v>1890</v>
      </c>
      <c r="C1892" s="3" t="s">
        <v>118</v>
      </c>
      <c r="D1892" s="3" t="n">
        <v>4</v>
      </c>
      <c r="E1892" s="3" t="n">
        <v>10</v>
      </c>
      <c r="F1892" s="3" t="n">
        <v>0</v>
      </c>
      <c r="G1892" s="3" t="n">
        <v>0</v>
      </c>
      <c r="H1892" s="24" t="n">
        <v>0.0739715248</v>
      </c>
    </row>
    <row r="1893" customFormat="false" ht="15" hidden="false" customHeight="false" outlineLevel="0" collapsed="false">
      <c r="A1893" s="3" t="n">
        <v>1892</v>
      </c>
      <c r="B1893" s="3" t="n">
        <v>1891</v>
      </c>
      <c r="C1893" s="3" t="s">
        <v>118</v>
      </c>
      <c r="D1893" s="3" t="n">
        <v>4</v>
      </c>
      <c r="E1893" s="3" t="n">
        <v>10</v>
      </c>
      <c r="F1893" s="3" t="n">
        <v>0</v>
      </c>
      <c r="G1893" s="3" t="n">
        <v>1</v>
      </c>
      <c r="H1893" s="24" t="n">
        <v>0.211523771</v>
      </c>
    </row>
    <row r="1894" customFormat="false" ht="15" hidden="false" customHeight="false" outlineLevel="0" collapsed="false">
      <c r="A1894" s="3" t="n">
        <v>1893</v>
      </c>
      <c r="B1894" s="3" t="n">
        <v>1892</v>
      </c>
      <c r="C1894" s="3" t="s">
        <v>118</v>
      </c>
      <c r="D1894" s="3" t="n">
        <v>4</v>
      </c>
      <c r="E1894" s="3" t="n">
        <v>10</v>
      </c>
      <c r="F1894" s="3" t="n">
        <v>0</v>
      </c>
      <c r="G1894" s="3" t="n">
        <v>2</v>
      </c>
      <c r="H1894" s="24" t="n">
        <v>-0.0412479788</v>
      </c>
    </row>
    <row r="1895" customFormat="false" ht="15" hidden="false" customHeight="false" outlineLevel="0" collapsed="false">
      <c r="A1895" s="3" t="n">
        <v>1894</v>
      </c>
      <c r="B1895" s="3" t="n">
        <v>1893</v>
      </c>
      <c r="C1895" s="3" t="s">
        <v>118</v>
      </c>
      <c r="D1895" s="3" t="n">
        <v>4</v>
      </c>
      <c r="E1895" s="3" t="n">
        <v>10</v>
      </c>
      <c r="F1895" s="3" t="n">
        <v>1</v>
      </c>
      <c r="G1895" s="3" t="n">
        <v>0</v>
      </c>
      <c r="H1895" s="24" t="n">
        <v>-0.0676885694</v>
      </c>
    </row>
    <row r="1896" customFormat="false" ht="15" hidden="false" customHeight="false" outlineLevel="0" collapsed="false">
      <c r="A1896" s="3" t="n">
        <v>1895</v>
      </c>
      <c r="B1896" s="3" t="n">
        <v>1894</v>
      </c>
      <c r="C1896" s="3" t="s">
        <v>118</v>
      </c>
      <c r="D1896" s="3" t="n">
        <v>4</v>
      </c>
      <c r="E1896" s="3" t="n">
        <v>10</v>
      </c>
      <c r="F1896" s="3" t="n">
        <v>1</v>
      </c>
      <c r="G1896" s="3" t="n">
        <v>1</v>
      </c>
      <c r="H1896" s="24" t="n">
        <v>0.189347342</v>
      </c>
    </row>
    <row r="1897" customFormat="false" ht="15" hidden="false" customHeight="false" outlineLevel="0" collapsed="false">
      <c r="A1897" s="3" t="n">
        <v>1896</v>
      </c>
      <c r="B1897" s="3" t="n">
        <v>1895</v>
      </c>
      <c r="C1897" s="3" t="s">
        <v>118</v>
      </c>
      <c r="D1897" s="3" t="n">
        <v>4</v>
      </c>
      <c r="E1897" s="3" t="n">
        <v>10</v>
      </c>
      <c r="F1897" s="3" t="n">
        <v>1</v>
      </c>
      <c r="G1897" s="3" t="n">
        <v>2</v>
      </c>
      <c r="H1897" s="24" t="n">
        <v>-0.114560574</v>
      </c>
    </row>
    <row r="1898" customFormat="false" ht="15" hidden="false" customHeight="false" outlineLevel="0" collapsed="false">
      <c r="A1898" s="3" t="n">
        <v>1897</v>
      </c>
      <c r="B1898" s="3" t="n">
        <v>1896</v>
      </c>
      <c r="C1898" s="3" t="s">
        <v>118</v>
      </c>
      <c r="D1898" s="3" t="n">
        <v>4</v>
      </c>
      <c r="E1898" s="3" t="n">
        <v>10</v>
      </c>
      <c r="F1898" s="3" t="n">
        <v>2</v>
      </c>
      <c r="G1898" s="3" t="n">
        <v>0</v>
      </c>
      <c r="H1898" s="24" t="n">
        <v>-0.125194401</v>
      </c>
    </row>
    <row r="1899" customFormat="false" ht="15" hidden="false" customHeight="false" outlineLevel="0" collapsed="false">
      <c r="A1899" s="3" t="n">
        <v>1898</v>
      </c>
      <c r="B1899" s="3" t="n">
        <v>1897</v>
      </c>
      <c r="C1899" s="3" t="s">
        <v>118</v>
      </c>
      <c r="D1899" s="3" t="n">
        <v>4</v>
      </c>
      <c r="E1899" s="3" t="n">
        <v>10</v>
      </c>
      <c r="F1899" s="3" t="n">
        <v>2</v>
      </c>
      <c r="G1899" s="3" t="n">
        <v>1</v>
      </c>
      <c r="H1899" s="24" t="n">
        <v>-0.0221666861</v>
      </c>
    </row>
    <row r="1900" customFormat="false" ht="15" hidden="false" customHeight="false" outlineLevel="0" collapsed="false">
      <c r="A1900" s="3" t="n">
        <v>1899</v>
      </c>
      <c r="B1900" s="3" t="n">
        <v>1898</v>
      </c>
      <c r="C1900" s="3" t="s">
        <v>118</v>
      </c>
      <c r="D1900" s="3" t="n">
        <v>4</v>
      </c>
      <c r="E1900" s="3" t="n">
        <v>10</v>
      </c>
      <c r="F1900" s="3" t="n">
        <v>2</v>
      </c>
      <c r="G1900" s="3" t="n">
        <v>2</v>
      </c>
      <c r="H1900" s="24" t="n">
        <v>-0.0041708257</v>
      </c>
    </row>
    <row r="1901" customFormat="false" ht="15" hidden="false" customHeight="false" outlineLevel="0" collapsed="false">
      <c r="A1901" s="3" t="n">
        <v>1900</v>
      </c>
      <c r="B1901" s="3" t="n">
        <v>1899</v>
      </c>
      <c r="C1901" s="3" t="s">
        <v>118</v>
      </c>
      <c r="D1901" s="3" t="n">
        <v>4</v>
      </c>
      <c r="E1901" s="3" t="n">
        <v>11</v>
      </c>
      <c r="F1901" s="3" t="n">
        <v>0</v>
      </c>
      <c r="G1901" s="3" t="n">
        <v>0</v>
      </c>
      <c r="H1901" s="24" t="n">
        <v>-0.0799867809</v>
      </c>
    </row>
    <row r="1902" customFormat="false" ht="15" hidden="false" customHeight="false" outlineLevel="0" collapsed="false">
      <c r="A1902" s="3" t="n">
        <v>1901</v>
      </c>
      <c r="B1902" s="3" t="n">
        <v>1900</v>
      </c>
      <c r="C1902" s="3" t="s">
        <v>118</v>
      </c>
      <c r="D1902" s="3" t="n">
        <v>4</v>
      </c>
      <c r="E1902" s="3" t="n">
        <v>11</v>
      </c>
      <c r="F1902" s="3" t="n">
        <v>0</v>
      </c>
      <c r="G1902" s="3" t="n">
        <v>1</v>
      </c>
      <c r="H1902" s="24" t="n">
        <v>-0.0254624467</v>
      </c>
    </row>
    <row r="1903" customFormat="false" ht="15" hidden="false" customHeight="false" outlineLevel="0" collapsed="false">
      <c r="A1903" s="3" t="n">
        <v>1902</v>
      </c>
      <c r="B1903" s="3" t="n">
        <v>1901</v>
      </c>
      <c r="C1903" s="3" t="s">
        <v>118</v>
      </c>
      <c r="D1903" s="3" t="n">
        <v>4</v>
      </c>
      <c r="E1903" s="3" t="n">
        <v>11</v>
      </c>
      <c r="F1903" s="3" t="n">
        <v>0</v>
      </c>
      <c r="G1903" s="3" t="n">
        <v>2</v>
      </c>
      <c r="H1903" s="24" t="n">
        <v>-0.0213889871</v>
      </c>
    </row>
    <row r="1904" customFormat="false" ht="15" hidden="false" customHeight="false" outlineLevel="0" collapsed="false">
      <c r="A1904" s="3" t="n">
        <v>1903</v>
      </c>
      <c r="B1904" s="3" t="n">
        <v>1902</v>
      </c>
      <c r="C1904" s="3" t="s">
        <v>118</v>
      </c>
      <c r="D1904" s="3" t="n">
        <v>4</v>
      </c>
      <c r="E1904" s="3" t="n">
        <v>11</v>
      </c>
      <c r="F1904" s="3" t="n">
        <v>1</v>
      </c>
      <c r="G1904" s="3" t="n">
        <v>0</v>
      </c>
      <c r="H1904" s="24" t="n">
        <v>-0.0040341951</v>
      </c>
    </row>
    <row r="1905" customFormat="false" ht="15" hidden="false" customHeight="false" outlineLevel="0" collapsed="false">
      <c r="A1905" s="3" t="n">
        <v>1904</v>
      </c>
      <c r="B1905" s="3" t="n">
        <v>1903</v>
      </c>
      <c r="C1905" s="3" t="s">
        <v>118</v>
      </c>
      <c r="D1905" s="3" t="n">
        <v>4</v>
      </c>
      <c r="E1905" s="3" t="n">
        <v>11</v>
      </c>
      <c r="F1905" s="3" t="n">
        <v>1</v>
      </c>
      <c r="G1905" s="3" t="n">
        <v>1</v>
      </c>
      <c r="H1905" s="24" t="n">
        <v>-0.0822698772</v>
      </c>
    </row>
    <row r="1906" customFormat="false" ht="15" hidden="false" customHeight="false" outlineLevel="0" collapsed="false">
      <c r="A1906" s="3" t="n">
        <v>1905</v>
      </c>
      <c r="B1906" s="3" t="n">
        <v>1904</v>
      </c>
      <c r="C1906" s="3" t="s">
        <v>118</v>
      </c>
      <c r="D1906" s="3" t="n">
        <v>4</v>
      </c>
      <c r="E1906" s="3" t="n">
        <v>11</v>
      </c>
      <c r="F1906" s="3" t="n">
        <v>1</v>
      </c>
      <c r="G1906" s="3" t="n">
        <v>2</v>
      </c>
      <c r="H1906" s="24" t="n">
        <v>0.168726876</v>
      </c>
    </row>
    <row r="1907" customFormat="false" ht="15" hidden="false" customHeight="false" outlineLevel="0" collapsed="false">
      <c r="A1907" s="3" t="n">
        <v>1906</v>
      </c>
      <c r="B1907" s="3" t="n">
        <v>1905</v>
      </c>
      <c r="C1907" s="3" t="s">
        <v>118</v>
      </c>
      <c r="D1907" s="3" t="n">
        <v>4</v>
      </c>
      <c r="E1907" s="3" t="n">
        <v>11</v>
      </c>
      <c r="F1907" s="3" t="n">
        <v>2</v>
      </c>
      <c r="G1907" s="3" t="n">
        <v>0</v>
      </c>
      <c r="H1907" s="24" t="n">
        <v>0.0286528543</v>
      </c>
    </row>
    <row r="1908" customFormat="false" ht="15" hidden="false" customHeight="false" outlineLevel="0" collapsed="false">
      <c r="A1908" s="3" t="n">
        <v>1907</v>
      </c>
      <c r="B1908" s="3" t="n">
        <v>1906</v>
      </c>
      <c r="C1908" s="3" t="s">
        <v>118</v>
      </c>
      <c r="D1908" s="3" t="n">
        <v>4</v>
      </c>
      <c r="E1908" s="3" t="n">
        <v>11</v>
      </c>
      <c r="F1908" s="3" t="n">
        <v>2</v>
      </c>
      <c r="G1908" s="3" t="n">
        <v>1</v>
      </c>
      <c r="H1908" s="24" t="n">
        <v>-0.127574489</v>
      </c>
    </row>
    <row r="1909" customFormat="false" ht="15" hidden="false" customHeight="false" outlineLevel="0" collapsed="false">
      <c r="A1909" s="3" t="n">
        <v>1908</v>
      </c>
      <c r="B1909" s="3" t="n">
        <v>1907</v>
      </c>
      <c r="C1909" s="3" t="s">
        <v>118</v>
      </c>
      <c r="D1909" s="3" t="n">
        <v>4</v>
      </c>
      <c r="E1909" s="3" t="n">
        <v>11</v>
      </c>
      <c r="F1909" s="3" t="n">
        <v>2</v>
      </c>
      <c r="G1909" s="3" t="n">
        <v>2</v>
      </c>
      <c r="H1909" s="24" t="n">
        <v>0.0498008803</v>
      </c>
    </row>
    <row r="1910" customFormat="false" ht="15" hidden="false" customHeight="false" outlineLevel="0" collapsed="false">
      <c r="A1910" s="3" t="n">
        <v>1909</v>
      </c>
      <c r="B1910" s="3" t="n">
        <v>1908</v>
      </c>
      <c r="C1910" s="3" t="s">
        <v>118</v>
      </c>
      <c r="D1910" s="3" t="n">
        <v>4</v>
      </c>
      <c r="E1910" s="3" t="n">
        <v>12</v>
      </c>
      <c r="F1910" s="3" t="n">
        <v>0</v>
      </c>
      <c r="G1910" s="3" t="n">
        <v>0</v>
      </c>
      <c r="H1910" s="24" t="n">
        <v>-0.0189907122</v>
      </c>
    </row>
    <row r="1911" customFormat="false" ht="15" hidden="false" customHeight="false" outlineLevel="0" collapsed="false">
      <c r="A1911" s="3" t="n">
        <v>1910</v>
      </c>
      <c r="B1911" s="3" t="n">
        <v>1909</v>
      </c>
      <c r="C1911" s="3" t="s">
        <v>118</v>
      </c>
      <c r="D1911" s="3" t="n">
        <v>4</v>
      </c>
      <c r="E1911" s="3" t="n">
        <v>12</v>
      </c>
      <c r="F1911" s="3" t="n">
        <v>0</v>
      </c>
      <c r="G1911" s="3" t="n">
        <v>1</v>
      </c>
      <c r="H1911" s="24" t="n">
        <v>0.154307023</v>
      </c>
    </row>
    <row r="1912" customFormat="false" ht="15" hidden="false" customHeight="false" outlineLevel="0" collapsed="false">
      <c r="A1912" s="3" t="n">
        <v>1911</v>
      </c>
      <c r="B1912" s="3" t="n">
        <v>1910</v>
      </c>
      <c r="C1912" s="3" t="s">
        <v>118</v>
      </c>
      <c r="D1912" s="3" t="n">
        <v>4</v>
      </c>
      <c r="E1912" s="3" t="n">
        <v>12</v>
      </c>
      <c r="F1912" s="3" t="n">
        <v>0</v>
      </c>
      <c r="G1912" s="3" t="n">
        <v>2</v>
      </c>
      <c r="H1912" s="24" t="n">
        <v>-0.150518149</v>
      </c>
    </row>
    <row r="1913" customFormat="false" ht="15" hidden="false" customHeight="false" outlineLevel="0" collapsed="false">
      <c r="A1913" s="3" t="n">
        <v>1912</v>
      </c>
      <c r="B1913" s="3" t="n">
        <v>1911</v>
      </c>
      <c r="C1913" s="3" t="s">
        <v>118</v>
      </c>
      <c r="D1913" s="3" t="n">
        <v>4</v>
      </c>
      <c r="E1913" s="3" t="n">
        <v>12</v>
      </c>
      <c r="F1913" s="3" t="n">
        <v>1</v>
      </c>
      <c r="G1913" s="3" t="n">
        <v>0</v>
      </c>
      <c r="H1913" s="24" t="n">
        <v>-0.291538775</v>
      </c>
    </row>
    <row r="1914" customFormat="false" ht="15" hidden="false" customHeight="false" outlineLevel="0" collapsed="false">
      <c r="A1914" s="3" t="n">
        <v>1913</v>
      </c>
      <c r="B1914" s="3" t="n">
        <v>1912</v>
      </c>
      <c r="C1914" s="3" t="s">
        <v>118</v>
      </c>
      <c r="D1914" s="3" t="n">
        <v>4</v>
      </c>
      <c r="E1914" s="3" t="n">
        <v>12</v>
      </c>
      <c r="F1914" s="3" t="n">
        <v>1</v>
      </c>
      <c r="G1914" s="3" t="n">
        <v>1</v>
      </c>
      <c r="H1914" s="24" t="n">
        <v>-0.0102730552</v>
      </c>
    </row>
    <row r="1915" customFormat="false" ht="15" hidden="false" customHeight="false" outlineLevel="0" collapsed="false">
      <c r="A1915" s="3" t="n">
        <v>1914</v>
      </c>
      <c r="B1915" s="3" t="n">
        <v>1913</v>
      </c>
      <c r="C1915" s="3" t="s">
        <v>118</v>
      </c>
      <c r="D1915" s="3" t="n">
        <v>4</v>
      </c>
      <c r="E1915" s="3" t="n">
        <v>12</v>
      </c>
      <c r="F1915" s="3" t="n">
        <v>1</v>
      </c>
      <c r="G1915" s="3" t="n">
        <v>2</v>
      </c>
      <c r="H1915" s="24" t="n">
        <v>-0.112435684</v>
      </c>
    </row>
    <row r="1916" customFormat="false" ht="15" hidden="false" customHeight="false" outlineLevel="0" collapsed="false">
      <c r="A1916" s="3" t="n">
        <v>1915</v>
      </c>
      <c r="B1916" s="3" t="n">
        <v>1914</v>
      </c>
      <c r="C1916" s="3" t="s">
        <v>118</v>
      </c>
      <c r="D1916" s="3" t="n">
        <v>4</v>
      </c>
      <c r="E1916" s="3" t="n">
        <v>12</v>
      </c>
      <c r="F1916" s="3" t="n">
        <v>2</v>
      </c>
      <c r="G1916" s="3" t="n">
        <v>0</v>
      </c>
      <c r="H1916" s="24" t="n">
        <v>0.0580893606</v>
      </c>
    </row>
    <row r="1917" customFormat="false" ht="15" hidden="false" customHeight="false" outlineLevel="0" collapsed="false">
      <c r="A1917" s="3" t="n">
        <v>1916</v>
      </c>
      <c r="B1917" s="3" t="n">
        <v>1915</v>
      </c>
      <c r="C1917" s="3" t="s">
        <v>118</v>
      </c>
      <c r="D1917" s="3" t="n">
        <v>4</v>
      </c>
      <c r="E1917" s="3" t="n">
        <v>12</v>
      </c>
      <c r="F1917" s="3" t="n">
        <v>2</v>
      </c>
      <c r="G1917" s="3" t="n">
        <v>1</v>
      </c>
      <c r="H1917" s="24" t="n">
        <v>0.0392849445</v>
      </c>
    </row>
    <row r="1918" customFormat="false" ht="15" hidden="false" customHeight="false" outlineLevel="0" collapsed="false">
      <c r="A1918" s="3" t="n">
        <v>1917</v>
      </c>
      <c r="B1918" s="3" t="n">
        <v>1916</v>
      </c>
      <c r="C1918" s="3" t="s">
        <v>118</v>
      </c>
      <c r="D1918" s="3" t="n">
        <v>4</v>
      </c>
      <c r="E1918" s="3" t="n">
        <v>12</v>
      </c>
      <c r="F1918" s="3" t="n">
        <v>2</v>
      </c>
      <c r="G1918" s="3" t="n">
        <v>2</v>
      </c>
      <c r="H1918" s="24" t="n">
        <v>0.0367772877</v>
      </c>
    </row>
    <row r="1919" customFormat="false" ht="15" hidden="false" customHeight="false" outlineLevel="0" collapsed="false">
      <c r="A1919" s="3" t="n">
        <v>1918</v>
      </c>
      <c r="B1919" s="3" t="n">
        <v>1917</v>
      </c>
      <c r="C1919" s="3" t="s">
        <v>118</v>
      </c>
      <c r="D1919" s="3" t="n">
        <v>4</v>
      </c>
      <c r="E1919" s="3" t="n">
        <v>13</v>
      </c>
      <c r="F1919" s="3" t="n">
        <v>0</v>
      </c>
      <c r="G1919" s="3" t="n">
        <v>0</v>
      </c>
      <c r="H1919" s="24" t="n">
        <v>0.0985270813</v>
      </c>
    </row>
    <row r="1920" customFormat="false" ht="15" hidden="false" customHeight="false" outlineLevel="0" collapsed="false">
      <c r="A1920" s="3" t="n">
        <v>1919</v>
      </c>
      <c r="B1920" s="3" t="n">
        <v>1918</v>
      </c>
      <c r="C1920" s="3" t="s">
        <v>118</v>
      </c>
      <c r="D1920" s="3" t="n">
        <v>4</v>
      </c>
      <c r="E1920" s="3" t="n">
        <v>13</v>
      </c>
      <c r="F1920" s="3" t="n">
        <v>0</v>
      </c>
      <c r="G1920" s="3" t="n">
        <v>1</v>
      </c>
      <c r="H1920" s="24" t="n">
        <v>0.0189356729</v>
      </c>
    </row>
    <row r="1921" customFormat="false" ht="15" hidden="false" customHeight="false" outlineLevel="0" collapsed="false">
      <c r="A1921" s="3" t="n">
        <v>1920</v>
      </c>
      <c r="B1921" s="3" t="n">
        <v>1919</v>
      </c>
      <c r="C1921" s="3" t="s">
        <v>118</v>
      </c>
      <c r="D1921" s="3" t="n">
        <v>4</v>
      </c>
      <c r="E1921" s="3" t="n">
        <v>13</v>
      </c>
      <c r="F1921" s="3" t="n">
        <v>0</v>
      </c>
      <c r="G1921" s="3" t="n">
        <v>2</v>
      </c>
      <c r="H1921" s="24" t="n">
        <v>-0.508643448</v>
      </c>
    </row>
    <row r="1922" customFormat="false" ht="15" hidden="false" customHeight="false" outlineLevel="0" collapsed="false">
      <c r="A1922" s="3" t="n">
        <v>1921</v>
      </c>
      <c r="B1922" s="3" t="n">
        <v>1920</v>
      </c>
      <c r="C1922" s="3" t="s">
        <v>118</v>
      </c>
      <c r="D1922" s="3" t="n">
        <v>4</v>
      </c>
      <c r="E1922" s="3" t="n">
        <v>13</v>
      </c>
      <c r="F1922" s="3" t="n">
        <v>1</v>
      </c>
      <c r="G1922" s="3" t="n">
        <v>0</v>
      </c>
      <c r="H1922" s="24" t="n">
        <v>-0.171791449</v>
      </c>
    </row>
    <row r="1923" customFormat="false" ht="15" hidden="false" customHeight="false" outlineLevel="0" collapsed="false">
      <c r="A1923" s="3" t="n">
        <v>1922</v>
      </c>
      <c r="B1923" s="3" t="n">
        <v>1921</v>
      </c>
      <c r="C1923" s="3" t="s">
        <v>118</v>
      </c>
      <c r="D1923" s="3" t="n">
        <v>4</v>
      </c>
      <c r="E1923" s="3" t="n">
        <v>13</v>
      </c>
      <c r="F1923" s="3" t="n">
        <v>1</v>
      </c>
      <c r="G1923" s="3" t="n">
        <v>1</v>
      </c>
      <c r="H1923" s="24" t="n">
        <v>-0.482292861</v>
      </c>
    </row>
    <row r="1924" customFormat="false" ht="15" hidden="false" customHeight="false" outlineLevel="0" collapsed="false">
      <c r="A1924" s="3" t="n">
        <v>1923</v>
      </c>
      <c r="B1924" s="3" t="n">
        <v>1922</v>
      </c>
      <c r="C1924" s="3" t="s">
        <v>118</v>
      </c>
      <c r="D1924" s="3" t="n">
        <v>4</v>
      </c>
      <c r="E1924" s="3" t="n">
        <v>13</v>
      </c>
      <c r="F1924" s="3" t="n">
        <v>1</v>
      </c>
      <c r="G1924" s="3" t="n">
        <v>2</v>
      </c>
      <c r="H1924" s="24" t="n">
        <v>-0.130918935</v>
      </c>
    </row>
    <row r="1925" customFormat="false" ht="15" hidden="false" customHeight="false" outlineLevel="0" collapsed="false">
      <c r="A1925" s="3" t="n">
        <v>1924</v>
      </c>
      <c r="B1925" s="3" t="n">
        <v>1923</v>
      </c>
      <c r="C1925" s="3" t="s">
        <v>118</v>
      </c>
      <c r="D1925" s="3" t="n">
        <v>4</v>
      </c>
      <c r="E1925" s="3" t="n">
        <v>13</v>
      </c>
      <c r="F1925" s="3" t="n">
        <v>2</v>
      </c>
      <c r="G1925" s="3" t="n">
        <v>0</v>
      </c>
      <c r="H1925" s="24" t="n">
        <v>0.212278277</v>
      </c>
    </row>
    <row r="1926" customFormat="false" ht="15" hidden="false" customHeight="false" outlineLevel="0" collapsed="false">
      <c r="A1926" s="3" t="n">
        <v>1925</v>
      </c>
      <c r="B1926" s="3" t="n">
        <v>1924</v>
      </c>
      <c r="C1926" s="3" t="s">
        <v>118</v>
      </c>
      <c r="D1926" s="3" t="n">
        <v>4</v>
      </c>
      <c r="E1926" s="3" t="n">
        <v>13</v>
      </c>
      <c r="F1926" s="3" t="n">
        <v>2</v>
      </c>
      <c r="G1926" s="3" t="n">
        <v>1</v>
      </c>
      <c r="H1926" s="24" t="n">
        <v>0.147320837</v>
      </c>
    </row>
    <row r="1927" customFormat="false" ht="15" hidden="false" customHeight="false" outlineLevel="0" collapsed="false">
      <c r="A1927" s="3" t="n">
        <v>1926</v>
      </c>
      <c r="B1927" s="3" t="n">
        <v>1925</v>
      </c>
      <c r="C1927" s="3" t="s">
        <v>118</v>
      </c>
      <c r="D1927" s="3" t="n">
        <v>4</v>
      </c>
      <c r="E1927" s="3" t="n">
        <v>13</v>
      </c>
      <c r="F1927" s="3" t="n">
        <v>2</v>
      </c>
      <c r="G1927" s="3" t="n">
        <v>2</v>
      </c>
      <c r="H1927" s="24" t="n">
        <v>0.206391886</v>
      </c>
    </row>
    <row r="1928" customFormat="false" ht="15" hidden="false" customHeight="false" outlineLevel="0" collapsed="false">
      <c r="A1928" s="3" t="n">
        <v>1927</v>
      </c>
      <c r="B1928" s="3" t="n">
        <v>1926</v>
      </c>
      <c r="C1928" s="3" t="s">
        <v>118</v>
      </c>
      <c r="D1928" s="3" t="n">
        <v>4</v>
      </c>
      <c r="E1928" s="3" t="n">
        <v>14</v>
      </c>
      <c r="F1928" s="3" t="n">
        <v>0</v>
      </c>
      <c r="G1928" s="3" t="n">
        <v>0</v>
      </c>
      <c r="H1928" s="24" t="n">
        <v>0.137681767</v>
      </c>
    </row>
    <row r="1929" customFormat="false" ht="15" hidden="false" customHeight="false" outlineLevel="0" collapsed="false">
      <c r="A1929" s="3" t="n">
        <v>1928</v>
      </c>
      <c r="B1929" s="3" t="n">
        <v>1927</v>
      </c>
      <c r="C1929" s="3" t="s">
        <v>118</v>
      </c>
      <c r="D1929" s="3" t="n">
        <v>4</v>
      </c>
      <c r="E1929" s="3" t="n">
        <v>14</v>
      </c>
      <c r="F1929" s="3" t="n">
        <v>0</v>
      </c>
      <c r="G1929" s="3" t="n">
        <v>1</v>
      </c>
      <c r="H1929" s="24" t="n">
        <v>0.0208787192</v>
      </c>
    </row>
    <row r="1930" customFormat="false" ht="15" hidden="false" customHeight="false" outlineLevel="0" collapsed="false">
      <c r="A1930" s="3" t="n">
        <v>1929</v>
      </c>
      <c r="B1930" s="3" t="n">
        <v>1928</v>
      </c>
      <c r="C1930" s="3" t="s">
        <v>118</v>
      </c>
      <c r="D1930" s="3" t="n">
        <v>4</v>
      </c>
      <c r="E1930" s="3" t="n">
        <v>14</v>
      </c>
      <c r="F1930" s="3" t="n">
        <v>0</v>
      </c>
      <c r="G1930" s="3" t="n">
        <v>2</v>
      </c>
      <c r="H1930" s="24" t="n">
        <v>-0.440592229</v>
      </c>
    </row>
    <row r="1931" customFormat="false" ht="15" hidden="false" customHeight="false" outlineLevel="0" collapsed="false">
      <c r="A1931" s="3" t="n">
        <v>1930</v>
      </c>
      <c r="B1931" s="3" t="n">
        <v>1929</v>
      </c>
      <c r="C1931" s="3" t="s">
        <v>118</v>
      </c>
      <c r="D1931" s="3" t="n">
        <v>4</v>
      </c>
      <c r="E1931" s="3" t="n">
        <v>14</v>
      </c>
      <c r="F1931" s="3" t="n">
        <v>1</v>
      </c>
      <c r="G1931" s="3" t="n">
        <v>0</v>
      </c>
      <c r="H1931" s="24" t="n">
        <v>-0.235728621</v>
      </c>
    </row>
    <row r="1932" customFormat="false" ht="15" hidden="false" customHeight="false" outlineLevel="0" collapsed="false">
      <c r="A1932" s="3" t="n">
        <v>1931</v>
      </c>
      <c r="B1932" s="3" t="n">
        <v>1930</v>
      </c>
      <c r="C1932" s="3" t="s">
        <v>118</v>
      </c>
      <c r="D1932" s="3" t="n">
        <v>4</v>
      </c>
      <c r="E1932" s="3" t="n">
        <v>14</v>
      </c>
      <c r="F1932" s="3" t="n">
        <v>1</v>
      </c>
      <c r="G1932" s="3" t="n">
        <v>1</v>
      </c>
      <c r="H1932" s="24" t="n">
        <v>-0.0968513787</v>
      </c>
    </row>
    <row r="1933" customFormat="false" ht="15" hidden="false" customHeight="false" outlineLevel="0" collapsed="false">
      <c r="A1933" s="3" t="n">
        <v>1932</v>
      </c>
      <c r="B1933" s="3" t="n">
        <v>1931</v>
      </c>
      <c r="C1933" s="3" t="s">
        <v>118</v>
      </c>
      <c r="D1933" s="3" t="n">
        <v>4</v>
      </c>
      <c r="E1933" s="3" t="n">
        <v>14</v>
      </c>
      <c r="F1933" s="3" t="n">
        <v>1</v>
      </c>
      <c r="G1933" s="3" t="n">
        <v>2</v>
      </c>
      <c r="H1933" s="24" t="n">
        <v>0.050370343</v>
      </c>
    </row>
    <row r="1934" customFormat="false" ht="15" hidden="false" customHeight="false" outlineLevel="0" collapsed="false">
      <c r="A1934" s="3" t="n">
        <v>1933</v>
      </c>
      <c r="B1934" s="3" t="n">
        <v>1932</v>
      </c>
      <c r="C1934" s="3" t="s">
        <v>118</v>
      </c>
      <c r="D1934" s="3" t="n">
        <v>4</v>
      </c>
      <c r="E1934" s="3" t="n">
        <v>14</v>
      </c>
      <c r="F1934" s="3" t="n">
        <v>2</v>
      </c>
      <c r="G1934" s="3" t="n">
        <v>0</v>
      </c>
      <c r="H1934" s="24" t="n">
        <v>-0.176469594</v>
      </c>
    </row>
    <row r="1935" customFormat="false" ht="15" hidden="false" customHeight="false" outlineLevel="0" collapsed="false">
      <c r="A1935" s="3" t="n">
        <v>1934</v>
      </c>
      <c r="B1935" s="3" t="n">
        <v>1933</v>
      </c>
      <c r="C1935" s="3" t="s">
        <v>118</v>
      </c>
      <c r="D1935" s="3" t="n">
        <v>4</v>
      </c>
      <c r="E1935" s="3" t="n">
        <v>14</v>
      </c>
      <c r="F1935" s="3" t="n">
        <v>2</v>
      </c>
      <c r="G1935" s="3" t="n">
        <v>1</v>
      </c>
      <c r="H1935" s="24" t="n">
        <v>-0.0266527236</v>
      </c>
    </row>
    <row r="1936" customFormat="false" ht="15" hidden="false" customHeight="false" outlineLevel="0" collapsed="false">
      <c r="A1936" s="3" t="n">
        <v>1935</v>
      </c>
      <c r="B1936" s="3" t="n">
        <v>1934</v>
      </c>
      <c r="C1936" s="3" t="s">
        <v>118</v>
      </c>
      <c r="D1936" s="3" t="n">
        <v>4</v>
      </c>
      <c r="E1936" s="3" t="n">
        <v>14</v>
      </c>
      <c r="F1936" s="3" t="n">
        <v>2</v>
      </c>
      <c r="G1936" s="3" t="n">
        <v>2</v>
      </c>
      <c r="H1936" s="24" t="n">
        <v>-0.0363376588</v>
      </c>
    </row>
    <row r="1937" customFormat="false" ht="15" hidden="false" customHeight="false" outlineLevel="0" collapsed="false">
      <c r="A1937" s="3" t="n">
        <v>1936</v>
      </c>
      <c r="B1937" s="3" t="n">
        <v>1935</v>
      </c>
      <c r="C1937" s="3" t="s">
        <v>118</v>
      </c>
      <c r="D1937" s="3" t="n">
        <v>4</v>
      </c>
      <c r="E1937" s="3" t="n">
        <v>15</v>
      </c>
      <c r="F1937" s="3" t="n">
        <v>0</v>
      </c>
      <c r="G1937" s="3" t="n">
        <v>0</v>
      </c>
      <c r="H1937" s="24" t="n">
        <v>-0.118923165</v>
      </c>
    </row>
    <row r="1938" customFormat="false" ht="15" hidden="false" customHeight="false" outlineLevel="0" collapsed="false">
      <c r="A1938" s="3" t="n">
        <v>1937</v>
      </c>
      <c r="B1938" s="3" t="n">
        <v>1936</v>
      </c>
      <c r="C1938" s="3" t="s">
        <v>118</v>
      </c>
      <c r="D1938" s="3" t="n">
        <v>4</v>
      </c>
      <c r="E1938" s="3" t="n">
        <v>15</v>
      </c>
      <c r="F1938" s="3" t="n">
        <v>0</v>
      </c>
      <c r="G1938" s="3" t="n">
        <v>1</v>
      </c>
      <c r="H1938" s="24" t="n">
        <v>0.0675758645</v>
      </c>
    </row>
    <row r="1939" customFormat="false" ht="15" hidden="false" customHeight="false" outlineLevel="0" collapsed="false">
      <c r="A1939" s="3" t="n">
        <v>1938</v>
      </c>
      <c r="B1939" s="3" t="n">
        <v>1937</v>
      </c>
      <c r="C1939" s="3" t="s">
        <v>118</v>
      </c>
      <c r="D1939" s="3" t="n">
        <v>4</v>
      </c>
      <c r="E1939" s="3" t="n">
        <v>15</v>
      </c>
      <c r="F1939" s="3" t="n">
        <v>0</v>
      </c>
      <c r="G1939" s="3" t="n">
        <v>2</v>
      </c>
      <c r="H1939" s="24" t="n">
        <v>0.224770173</v>
      </c>
    </row>
    <row r="1940" customFormat="false" ht="15" hidden="false" customHeight="false" outlineLevel="0" collapsed="false">
      <c r="A1940" s="3" t="n">
        <v>1939</v>
      </c>
      <c r="B1940" s="3" t="n">
        <v>1938</v>
      </c>
      <c r="C1940" s="3" t="s">
        <v>118</v>
      </c>
      <c r="D1940" s="3" t="n">
        <v>4</v>
      </c>
      <c r="E1940" s="3" t="n">
        <v>15</v>
      </c>
      <c r="F1940" s="3" t="n">
        <v>1</v>
      </c>
      <c r="G1940" s="3" t="n">
        <v>0</v>
      </c>
      <c r="H1940" s="24" t="n">
        <v>-0.220084548</v>
      </c>
    </row>
    <row r="1941" customFormat="false" ht="15" hidden="false" customHeight="false" outlineLevel="0" collapsed="false">
      <c r="A1941" s="3" t="n">
        <v>1940</v>
      </c>
      <c r="B1941" s="3" t="n">
        <v>1939</v>
      </c>
      <c r="C1941" s="3" t="s">
        <v>118</v>
      </c>
      <c r="D1941" s="3" t="n">
        <v>4</v>
      </c>
      <c r="E1941" s="3" t="n">
        <v>15</v>
      </c>
      <c r="F1941" s="3" t="n">
        <v>1</v>
      </c>
      <c r="G1941" s="3" t="n">
        <v>1</v>
      </c>
      <c r="H1941" s="24" t="n">
        <v>0.00562707428</v>
      </c>
    </row>
    <row r="1942" customFormat="false" ht="15" hidden="false" customHeight="false" outlineLevel="0" collapsed="false">
      <c r="A1942" s="3" t="n">
        <v>1941</v>
      </c>
      <c r="B1942" s="3" t="n">
        <v>1940</v>
      </c>
      <c r="C1942" s="3" t="s">
        <v>118</v>
      </c>
      <c r="D1942" s="3" t="n">
        <v>4</v>
      </c>
      <c r="E1942" s="3" t="n">
        <v>15</v>
      </c>
      <c r="F1942" s="3" t="n">
        <v>1</v>
      </c>
      <c r="G1942" s="3" t="n">
        <v>2</v>
      </c>
      <c r="H1942" s="24" t="n">
        <v>-0.0640743747</v>
      </c>
    </row>
    <row r="1943" customFormat="false" ht="15" hidden="false" customHeight="false" outlineLevel="0" collapsed="false">
      <c r="A1943" s="3" t="n">
        <v>1942</v>
      </c>
      <c r="B1943" s="3" t="n">
        <v>1941</v>
      </c>
      <c r="C1943" s="3" t="s">
        <v>118</v>
      </c>
      <c r="D1943" s="3" t="n">
        <v>4</v>
      </c>
      <c r="E1943" s="3" t="n">
        <v>15</v>
      </c>
      <c r="F1943" s="3" t="n">
        <v>2</v>
      </c>
      <c r="G1943" s="3" t="n">
        <v>0</v>
      </c>
      <c r="H1943" s="24" t="n">
        <v>-0.031219054</v>
      </c>
    </row>
    <row r="1944" customFormat="false" ht="15" hidden="false" customHeight="false" outlineLevel="0" collapsed="false">
      <c r="A1944" s="3" t="n">
        <v>1943</v>
      </c>
      <c r="B1944" s="3" t="n">
        <v>1942</v>
      </c>
      <c r="C1944" s="3" t="s">
        <v>118</v>
      </c>
      <c r="D1944" s="3" t="n">
        <v>4</v>
      </c>
      <c r="E1944" s="3" t="n">
        <v>15</v>
      </c>
      <c r="F1944" s="3" t="n">
        <v>2</v>
      </c>
      <c r="G1944" s="3" t="n">
        <v>1</v>
      </c>
      <c r="H1944" s="24" t="n">
        <v>-0.215732053</v>
      </c>
    </row>
    <row r="1945" customFormat="false" ht="15" hidden="false" customHeight="false" outlineLevel="0" collapsed="false">
      <c r="A1945" s="3" t="n">
        <v>1944</v>
      </c>
      <c r="B1945" s="3" t="n">
        <v>1943</v>
      </c>
      <c r="C1945" s="3" t="s">
        <v>118</v>
      </c>
      <c r="D1945" s="3" t="n">
        <v>4</v>
      </c>
      <c r="E1945" s="3" t="n">
        <v>15</v>
      </c>
      <c r="F1945" s="3" t="n">
        <v>2</v>
      </c>
      <c r="G1945" s="3" t="n">
        <v>2</v>
      </c>
      <c r="H1945" s="24" t="n">
        <v>0.0686667636</v>
      </c>
    </row>
    <row r="1946" customFormat="false" ht="15" hidden="false" customHeight="false" outlineLevel="0" collapsed="false">
      <c r="A1946" s="3" t="n">
        <v>1945</v>
      </c>
      <c r="B1946" s="3" t="n">
        <v>1944</v>
      </c>
      <c r="C1946" s="3" t="s">
        <v>118</v>
      </c>
      <c r="D1946" s="3" t="n">
        <v>5</v>
      </c>
      <c r="E1946" s="3" t="n">
        <v>0</v>
      </c>
      <c r="F1946" s="3" t="n">
        <v>0</v>
      </c>
      <c r="G1946" s="3" t="n">
        <v>0</v>
      </c>
      <c r="H1946" s="24" t="n">
        <v>-0.123915888</v>
      </c>
    </row>
    <row r="1947" customFormat="false" ht="15" hidden="false" customHeight="false" outlineLevel="0" collapsed="false">
      <c r="A1947" s="3" t="n">
        <v>1946</v>
      </c>
      <c r="B1947" s="3" t="n">
        <v>1945</v>
      </c>
      <c r="C1947" s="3" t="s">
        <v>118</v>
      </c>
      <c r="D1947" s="3" t="n">
        <v>5</v>
      </c>
      <c r="E1947" s="3" t="n">
        <v>0</v>
      </c>
      <c r="F1947" s="3" t="n">
        <v>0</v>
      </c>
      <c r="G1947" s="3" t="n">
        <v>1</v>
      </c>
      <c r="H1947" s="24" t="n">
        <v>0.0921512544</v>
      </c>
    </row>
    <row r="1948" customFormat="false" ht="15" hidden="false" customHeight="false" outlineLevel="0" collapsed="false">
      <c r="A1948" s="3" t="n">
        <v>1947</v>
      </c>
      <c r="B1948" s="3" t="n">
        <v>1946</v>
      </c>
      <c r="C1948" s="3" t="s">
        <v>118</v>
      </c>
      <c r="D1948" s="3" t="n">
        <v>5</v>
      </c>
      <c r="E1948" s="3" t="n">
        <v>0</v>
      </c>
      <c r="F1948" s="3" t="n">
        <v>0</v>
      </c>
      <c r="G1948" s="3" t="n">
        <v>2</v>
      </c>
      <c r="H1948" s="24" t="n">
        <v>-0.0418119021</v>
      </c>
    </row>
    <row r="1949" customFormat="false" ht="15" hidden="false" customHeight="false" outlineLevel="0" collapsed="false">
      <c r="A1949" s="3" t="n">
        <v>1948</v>
      </c>
      <c r="B1949" s="3" t="n">
        <v>1947</v>
      </c>
      <c r="C1949" s="3" t="s">
        <v>118</v>
      </c>
      <c r="D1949" s="3" t="n">
        <v>5</v>
      </c>
      <c r="E1949" s="3" t="n">
        <v>0</v>
      </c>
      <c r="F1949" s="3" t="n">
        <v>1</v>
      </c>
      <c r="G1949" s="3" t="n">
        <v>0</v>
      </c>
      <c r="H1949" s="24" t="n">
        <v>0.166416138</v>
      </c>
    </row>
    <row r="1950" customFormat="false" ht="15" hidden="false" customHeight="false" outlineLevel="0" collapsed="false">
      <c r="A1950" s="3" t="n">
        <v>1949</v>
      </c>
      <c r="B1950" s="3" t="n">
        <v>1948</v>
      </c>
      <c r="C1950" s="3" t="s">
        <v>118</v>
      </c>
      <c r="D1950" s="3" t="n">
        <v>5</v>
      </c>
      <c r="E1950" s="3" t="n">
        <v>0</v>
      </c>
      <c r="F1950" s="3" t="n">
        <v>1</v>
      </c>
      <c r="G1950" s="3" t="n">
        <v>1</v>
      </c>
      <c r="H1950" s="24" t="n">
        <v>0.275918514</v>
      </c>
    </row>
    <row r="1951" customFormat="false" ht="15" hidden="false" customHeight="false" outlineLevel="0" collapsed="false">
      <c r="A1951" s="3" t="n">
        <v>1950</v>
      </c>
      <c r="B1951" s="3" t="n">
        <v>1949</v>
      </c>
      <c r="C1951" s="3" t="s">
        <v>118</v>
      </c>
      <c r="D1951" s="3" t="n">
        <v>5</v>
      </c>
      <c r="E1951" s="3" t="n">
        <v>0</v>
      </c>
      <c r="F1951" s="3" t="n">
        <v>1</v>
      </c>
      <c r="G1951" s="3" t="n">
        <v>2</v>
      </c>
      <c r="H1951" s="24" t="n">
        <v>0.109535262</v>
      </c>
    </row>
    <row r="1952" customFormat="false" ht="15" hidden="false" customHeight="false" outlineLevel="0" collapsed="false">
      <c r="A1952" s="3" t="n">
        <v>1951</v>
      </c>
      <c r="B1952" s="3" t="n">
        <v>1950</v>
      </c>
      <c r="C1952" s="3" t="s">
        <v>118</v>
      </c>
      <c r="D1952" s="3" t="n">
        <v>5</v>
      </c>
      <c r="E1952" s="3" t="n">
        <v>0</v>
      </c>
      <c r="F1952" s="3" t="n">
        <v>2</v>
      </c>
      <c r="G1952" s="3" t="n">
        <v>0</v>
      </c>
      <c r="H1952" s="24" t="n">
        <v>0.115509897</v>
      </c>
    </row>
    <row r="1953" customFormat="false" ht="15" hidden="false" customHeight="false" outlineLevel="0" collapsed="false">
      <c r="A1953" s="3" t="n">
        <v>1952</v>
      </c>
      <c r="B1953" s="3" t="n">
        <v>1951</v>
      </c>
      <c r="C1953" s="3" t="s">
        <v>118</v>
      </c>
      <c r="D1953" s="3" t="n">
        <v>5</v>
      </c>
      <c r="E1953" s="3" t="n">
        <v>0</v>
      </c>
      <c r="F1953" s="3" t="n">
        <v>2</v>
      </c>
      <c r="G1953" s="3" t="n">
        <v>1</v>
      </c>
      <c r="H1953" s="24" t="n">
        <v>0.142763406</v>
      </c>
    </row>
    <row r="1954" customFormat="false" ht="15" hidden="false" customHeight="false" outlineLevel="0" collapsed="false">
      <c r="A1954" s="3" t="n">
        <v>1953</v>
      </c>
      <c r="B1954" s="3" t="n">
        <v>1952</v>
      </c>
      <c r="C1954" s="3" t="s">
        <v>118</v>
      </c>
      <c r="D1954" s="3" t="n">
        <v>5</v>
      </c>
      <c r="E1954" s="3" t="n">
        <v>0</v>
      </c>
      <c r="F1954" s="3" t="n">
        <v>2</v>
      </c>
      <c r="G1954" s="3" t="n">
        <v>2</v>
      </c>
      <c r="H1954" s="24" t="n">
        <v>-0.293877989</v>
      </c>
    </row>
    <row r="1955" customFormat="false" ht="15" hidden="false" customHeight="false" outlineLevel="0" collapsed="false">
      <c r="A1955" s="3" t="n">
        <v>1954</v>
      </c>
      <c r="B1955" s="3" t="n">
        <v>1953</v>
      </c>
      <c r="C1955" s="3" t="s">
        <v>118</v>
      </c>
      <c r="D1955" s="3" t="n">
        <v>5</v>
      </c>
      <c r="E1955" s="3" t="n">
        <v>1</v>
      </c>
      <c r="F1955" s="3" t="n">
        <v>0</v>
      </c>
      <c r="G1955" s="3" t="n">
        <v>0</v>
      </c>
      <c r="H1955" s="24" t="n">
        <v>0.223666996</v>
      </c>
    </row>
    <row r="1956" customFormat="false" ht="15" hidden="false" customHeight="false" outlineLevel="0" collapsed="false">
      <c r="A1956" s="3" t="n">
        <v>1955</v>
      </c>
      <c r="B1956" s="3" t="n">
        <v>1954</v>
      </c>
      <c r="C1956" s="3" t="s">
        <v>118</v>
      </c>
      <c r="D1956" s="3" t="n">
        <v>5</v>
      </c>
      <c r="E1956" s="3" t="n">
        <v>1</v>
      </c>
      <c r="F1956" s="3" t="n">
        <v>0</v>
      </c>
      <c r="G1956" s="3" t="n">
        <v>1</v>
      </c>
      <c r="H1956" s="24" t="n">
        <v>0.1328547</v>
      </c>
    </row>
    <row r="1957" customFormat="false" ht="15" hidden="false" customHeight="false" outlineLevel="0" collapsed="false">
      <c r="A1957" s="3" t="n">
        <v>1956</v>
      </c>
      <c r="B1957" s="3" t="n">
        <v>1955</v>
      </c>
      <c r="C1957" s="3" t="s">
        <v>118</v>
      </c>
      <c r="D1957" s="3" t="n">
        <v>5</v>
      </c>
      <c r="E1957" s="3" t="n">
        <v>1</v>
      </c>
      <c r="F1957" s="3" t="n">
        <v>0</v>
      </c>
      <c r="G1957" s="3" t="n">
        <v>2</v>
      </c>
      <c r="H1957" s="24" t="n">
        <v>0.327704042</v>
      </c>
    </row>
    <row r="1958" customFormat="false" ht="15" hidden="false" customHeight="false" outlineLevel="0" collapsed="false">
      <c r="A1958" s="3" t="n">
        <v>1957</v>
      </c>
      <c r="B1958" s="3" t="n">
        <v>1956</v>
      </c>
      <c r="C1958" s="3" t="s">
        <v>118</v>
      </c>
      <c r="D1958" s="3" t="n">
        <v>5</v>
      </c>
      <c r="E1958" s="3" t="n">
        <v>1</v>
      </c>
      <c r="F1958" s="3" t="n">
        <v>1</v>
      </c>
      <c r="G1958" s="3" t="n">
        <v>0</v>
      </c>
      <c r="H1958" s="24" t="n">
        <v>0.15125075</v>
      </c>
    </row>
    <row r="1959" customFormat="false" ht="15" hidden="false" customHeight="false" outlineLevel="0" collapsed="false">
      <c r="A1959" s="3" t="n">
        <v>1958</v>
      </c>
      <c r="B1959" s="3" t="n">
        <v>1957</v>
      </c>
      <c r="C1959" s="3" t="s">
        <v>118</v>
      </c>
      <c r="D1959" s="3" t="n">
        <v>5</v>
      </c>
      <c r="E1959" s="3" t="n">
        <v>1</v>
      </c>
      <c r="F1959" s="3" t="n">
        <v>1</v>
      </c>
      <c r="G1959" s="3" t="n">
        <v>1</v>
      </c>
      <c r="H1959" s="24" t="n">
        <v>0.0375712402</v>
      </c>
    </row>
    <row r="1960" customFormat="false" ht="15" hidden="false" customHeight="false" outlineLevel="0" collapsed="false">
      <c r="A1960" s="3" t="n">
        <v>1959</v>
      </c>
      <c r="B1960" s="3" t="n">
        <v>1958</v>
      </c>
      <c r="C1960" s="3" t="s">
        <v>118</v>
      </c>
      <c r="D1960" s="3" t="n">
        <v>5</v>
      </c>
      <c r="E1960" s="3" t="n">
        <v>1</v>
      </c>
      <c r="F1960" s="3" t="n">
        <v>1</v>
      </c>
      <c r="G1960" s="3" t="n">
        <v>2</v>
      </c>
      <c r="H1960" s="24" t="n">
        <v>-0.123659194</v>
      </c>
    </row>
    <row r="1961" customFormat="false" ht="15" hidden="false" customHeight="false" outlineLevel="0" collapsed="false">
      <c r="A1961" s="3" t="n">
        <v>1960</v>
      </c>
      <c r="B1961" s="3" t="n">
        <v>1959</v>
      </c>
      <c r="C1961" s="3" t="s">
        <v>118</v>
      </c>
      <c r="D1961" s="3" t="n">
        <v>5</v>
      </c>
      <c r="E1961" s="3" t="n">
        <v>1</v>
      </c>
      <c r="F1961" s="3" t="n">
        <v>2</v>
      </c>
      <c r="G1961" s="3" t="n">
        <v>0</v>
      </c>
      <c r="H1961" s="24" t="n">
        <v>0.0588062257</v>
      </c>
    </row>
    <row r="1962" customFormat="false" ht="15" hidden="false" customHeight="false" outlineLevel="0" collapsed="false">
      <c r="A1962" s="3" t="n">
        <v>1961</v>
      </c>
      <c r="B1962" s="3" t="n">
        <v>1960</v>
      </c>
      <c r="C1962" s="3" t="s">
        <v>118</v>
      </c>
      <c r="D1962" s="3" t="n">
        <v>5</v>
      </c>
      <c r="E1962" s="3" t="n">
        <v>1</v>
      </c>
      <c r="F1962" s="3" t="n">
        <v>2</v>
      </c>
      <c r="G1962" s="3" t="n">
        <v>1</v>
      </c>
      <c r="H1962" s="24" t="n">
        <v>0.013952272</v>
      </c>
    </row>
    <row r="1963" customFormat="false" ht="15" hidden="false" customHeight="false" outlineLevel="0" collapsed="false">
      <c r="A1963" s="3" t="n">
        <v>1962</v>
      </c>
      <c r="B1963" s="3" t="n">
        <v>1961</v>
      </c>
      <c r="C1963" s="3" t="s">
        <v>118</v>
      </c>
      <c r="D1963" s="3" t="n">
        <v>5</v>
      </c>
      <c r="E1963" s="3" t="n">
        <v>1</v>
      </c>
      <c r="F1963" s="3" t="n">
        <v>2</v>
      </c>
      <c r="G1963" s="3" t="n">
        <v>2</v>
      </c>
      <c r="H1963" s="24" t="n">
        <v>-0.0681044161</v>
      </c>
    </row>
    <row r="1964" customFormat="false" ht="15" hidden="false" customHeight="false" outlineLevel="0" collapsed="false">
      <c r="A1964" s="3" t="n">
        <v>1963</v>
      </c>
      <c r="B1964" s="3" t="n">
        <v>1962</v>
      </c>
      <c r="C1964" s="3" t="s">
        <v>118</v>
      </c>
      <c r="D1964" s="3" t="n">
        <v>5</v>
      </c>
      <c r="E1964" s="3" t="n">
        <v>2</v>
      </c>
      <c r="F1964" s="3" t="n">
        <v>0</v>
      </c>
      <c r="G1964" s="3" t="n">
        <v>0</v>
      </c>
      <c r="H1964" s="24" t="n">
        <v>0.101321019</v>
      </c>
    </row>
    <row r="1965" customFormat="false" ht="15" hidden="false" customHeight="false" outlineLevel="0" collapsed="false">
      <c r="A1965" s="3" t="n">
        <v>1964</v>
      </c>
      <c r="B1965" s="3" t="n">
        <v>1963</v>
      </c>
      <c r="C1965" s="3" t="s">
        <v>118</v>
      </c>
      <c r="D1965" s="3" t="n">
        <v>5</v>
      </c>
      <c r="E1965" s="3" t="n">
        <v>2</v>
      </c>
      <c r="F1965" s="3" t="n">
        <v>0</v>
      </c>
      <c r="G1965" s="3" t="n">
        <v>1</v>
      </c>
      <c r="H1965" s="24" t="n">
        <v>0.203598931</v>
      </c>
    </row>
    <row r="1966" customFormat="false" ht="15" hidden="false" customHeight="false" outlineLevel="0" collapsed="false">
      <c r="A1966" s="3" t="n">
        <v>1965</v>
      </c>
      <c r="B1966" s="3" t="n">
        <v>1964</v>
      </c>
      <c r="C1966" s="3" t="s">
        <v>118</v>
      </c>
      <c r="D1966" s="3" t="n">
        <v>5</v>
      </c>
      <c r="E1966" s="3" t="n">
        <v>2</v>
      </c>
      <c r="F1966" s="3" t="n">
        <v>0</v>
      </c>
      <c r="G1966" s="3" t="n">
        <v>2</v>
      </c>
      <c r="H1966" s="24" t="n">
        <v>-0.0459864847</v>
      </c>
    </row>
    <row r="1967" customFormat="false" ht="15" hidden="false" customHeight="false" outlineLevel="0" collapsed="false">
      <c r="A1967" s="3" t="n">
        <v>1966</v>
      </c>
      <c r="B1967" s="3" t="n">
        <v>1965</v>
      </c>
      <c r="C1967" s="3" t="s">
        <v>118</v>
      </c>
      <c r="D1967" s="3" t="n">
        <v>5</v>
      </c>
      <c r="E1967" s="3" t="n">
        <v>2</v>
      </c>
      <c r="F1967" s="3" t="n">
        <v>1</v>
      </c>
      <c r="G1967" s="3" t="n">
        <v>0</v>
      </c>
      <c r="H1967" s="24" t="n">
        <v>-0.150694266</v>
      </c>
    </row>
    <row r="1968" customFormat="false" ht="15" hidden="false" customHeight="false" outlineLevel="0" collapsed="false">
      <c r="A1968" s="3" t="n">
        <v>1967</v>
      </c>
      <c r="B1968" s="3" t="n">
        <v>1966</v>
      </c>
      <c r="C1968" s="3" t="s">
        <v>118</v>
      </c>
      <c r="D1968" s="3" t="n">
        <v>5</v>
      </c>
      <c r="E1968" s="3" t="n">
        <v>2</v>
      </c>
      <c r="F1968" s="3" t="n">
        <v>1</v>
      </c>
      <c r="G1968" s="3" t="n">
        <v>1</v>
      </c>
      <c r="H1968" s="24" t="n">
        <v>-0.309644967</v>
      </c>
    </row>
    <row r="1969" customFormat="false" ht="15" hidden="false" customHeight="false" outlineLevel="0" collapsed="false">
      <c r="A1969" s="3" t="n">
        <v>1968</v>
      </c>
      <c r="B1969" s="3" t="n">
        <v>1967</v>
      </c>
      <c r="C1969" s="3" t="s">
        <v>118</v>
      </c>
      <c r="D1969" s="3" t="n">
        <v>5</v>
      </c>
      <c r="E1969" s="3" t="n">
        <v>2</v>
      </c>
      <c r="F1969" s="3" t="n">
        <v>1</v>
      </c>
      <c r="G1969" s="3" t="n">
        <v>2</v>
      </c>
      <c r="H1969" s="24" t="n">
        <v>-0.132825911</v>
      </c>
    </row>
    <row r="1970" customFormat="false" ht="15" hidden="false" customHeight="false" outlineLevel="0" collapsed="false">
      <c r="A1970" s="3" t="n">
        <v>1969</v>
      </c>
      <c r="B1970" s="3" t="n">
        <v>1968</v>
      </c>
      <c r="C1970" s="3" t="s">
        <v>118</v>
      </c>
      <c r="D1970" s="3" t="n">
        <v>5</v>
      </c>
      <c r="E1970" s="3" t="n">
        <v>2</v>
      </c>
      <c r="F1970" s="3" t="n">
        <v>2</v>
      </c>
      <c r="G1970" s="3" t="n">
        <v>0</v>
      </c>
      <c r="H1970" s="24" t="n">
        <v>0.0686815456</v>
      </c>
    </row>
    <row r="1971" customFormat="false" ht="15" hidden="false" customHeight="false" outlineLevel="0" collapsed="false">
      <c r="A1971" s="3" t="n">
        <v>1970</v>
      </c>
      <c r="B1971" s="3" t="n">
        <v>1969</v>
      </c>
      <c r="C1971" s="3" t="s">
        <v>118</v>
      </c>
      <c r="D1971" s="3" t="n">
        <v>5</v>
      </c>
      <c r="E1971" s="3" t="n">
        <v>2</v>
      </c>
      <c r="F1971" s="3" t="n">
        <v>2</v>
      </c>
      <c r="G1971" s="3" t="n">
        <v>1</v>
      </c>
      <c r="H1971" s="24" t="n">
        <v>-0.209450036</v>
      </c>
    </row>
    <row r="1972" customFormat="false" ht="15" hidden="false" customHeight="false" outlineLevel="0" collapsed="false">
      <c r="A1972" s="3" t="n">
        <v>1971</v>
      </c>
      <c r="B1972" s="3" t="n">
        <v>1970</v>
      </c>
      <c r="C1972" s="3" t="s">
        <v>118</v>
      </c>
      <c r="D1972" s="3" t="n">
        <v>5</v>
      </c>
      <c r="E1972" s="3" t="n">
        <v>2</v>
      </c>
      <c r="F1972" s="3" t="n">
        <v>2</v>
      </c>
      <c r="G1972" s="3" t="n">
        <v>2</v>
      </c>
      <c r="H1972" s="24" t="n">
        <v>-0.399133503</v>
      </c>
    </row>
    <row r="1973" customFormat="false" ht="15" hidden="false" customHeight="false" outlineLevel="0" collapsed="false">
      <c r="A1973" s="3" t="n">
        <v>1972</v>
      </c>
      <c r="B1973" s="3" t="n">
        <v>1971</v>
      </c>
      <c r="C1973" s="3" t="s">
        <v>118</v>
      </c>
      <c r="D1973" s="3" t="n">
        <v>5</v>
      </c>
      <c r="E1973" s="3" t="n">
        <v>3</v>
      </c>
      <c r="F1973" s="3" t="n">
        <v>0</v>
      </c>
      <c r="G1973" s="3" t="n">
        <v>0</v>
      </c>
      <c r="H1973" s="24" t="n">
        <v>-0.259227097</v>
      </c>
    </row>
    <row r="1974" customFormat="false" ht="15" hidden="false" customHeight="false" outlineLevel="0" collapsed="false">
      <c r="A1974" s="3" t="n">
        <v>1973</v>
      </c>
      <c r="B1974" s="3" t="n">
        <v>1972</v>
      </c>
      <c r="C1974" s="3" t="s">
        <v>118</v>
      </c>
      <c r="D1974" s="3" t="n">
        <v>5</v>
      </c>
      <c r="E1974" s="3" t="n">
        <v>3</v>
      </c>
      <c r="F1974" s="3" t="n">
        <v>0</v>
      </c>
      <c r="G1974" s="3" t="n">
        <v>1</v>
      </c>
      <c r="H1974" s="24" t="n">
        <v>0.0809876397</v>
      </c>
    </row>
    <row r="1975" customFormat="false" ht="15" hidden="false" customHeight="false" outlineLevel="0" collapsed="false">
      <c r="A1975" s="3" t="n">
        <v>1974</v>
      </c>
      <c r="B1975" s="3" t="n">
        <v>1973</v>
      </c>
      <c r="C1975" s="3" t="s">
        <v>118</v>
      </c>
      <c r="D1975" s="3" t="n">
        <v>5</v>
      </c>
      <c r="E1975" s="3" t="n">
        <v>3</v>
      </c>
      <c r="F1975" s="3" t="n">
        <v>0</v>
      </c>
      <c r="G1975" s="3" t="n">
        <v>2</v>
      </c>
      <c r="H1975" s="24" t="n">
        <v>0.308743149</v>
      </c>
    </row>
    <row r="1976" customFormat="false" ht="15" hidden="false" customHeight="false" outlineLevel="0" collapsed="false">
      <c r="A1976" s="3" t="n">
        <v>1975</v>
      </c>
      <c r="B1976" s="3" t="n">
        <v>1974</v>
      </c>
      <c r="C1976" s="3" t="s">
        <v>118</v>
      </c>
      <c r="D1976" s="3" t="n">
        <v>5</v>
      </c>
      <c r="E1976" s="3" t="n">
        <v>3</v>
      </c>
      <c r="F1976" s="3" t="n">
        <v>1</v>
      </c>
      <c r="G1976" s="3" t="n">
        <v>0</v>
      </c>
      <c r="H1976" s="24" t="n">
        <v>-0.346667081</v>
      </c>
    </row>
    <row r="1977" customFormat="false" ht="15" hidden="false" customHeight="false" outlineLevel="0" collapsed="false">
      <c r="A1977" s="3" t="n">
        <v>1976</v>
      </c>
      <c r="B1977" s="3" t="n">
        <v>1975</v>
      </c>
      <c r="C1977" s="3" t="s">
        <v>118</v>
      </c>
      <c r="D1977" s="3" t="n">
        <v>5</v>
      </c>
      <c r="E1977" s="3" t="n">
        <v>3</v>
      </c>
      <c r="F1977" s="3" t="n">
        <v>1</v>
      </c>
      <c r="G1977" s="3" t="n">
        <v>1</v>
      </c>
      <c r="H1977" s="24" t="n">
        <v>0.068307668</v>
      </c>
    </row>
    <row r="1978" customFormat="false" ht="15" hidden="false" customHeight="false" outlineLevel="0" collapsed="false">
      <c r="A1978" s="3" t="n">
        <v>1977</v>
      </c>
      <c r="B1978" s="3" t="n">
        <v>1976</v>
      </c>
      <c r="C1978" s="3" t="s">
        <v>118</v>
      </c>
      <c r="D1978" s="3" t="n">
        <v>5</v>
      </c>
      <c r="E1978" s="3" t="n">
        <v>3</v>
      </c>
      <c r="F1978" s="3" t="n">
        <v>1</v>
      </c>
      <c r="G1978" s="3" t="n">
        <v>2</v>
      </c>
      <c r="H1978" s="24" t="n">
        <v>-0.210138574</v>
      </c>
    </row>
    <row r="1979" customFormat="false" ht="15" hidden="false" customHeight="false" outlineLevel="0" collapsed="false">
      <c r="A1979" s="3" t="n">
        <v>1978</v>
      </c>
      <c r="B1979" s="3" t="n">
        <v>1977</v>
      </c>
      <c r="C1979" s="3" t="s">
        <v>118</v>
      </c>
      <c r="D1979" s="3" t="n">
        <v>5</v>
      </c>
      <c r="E1979" s="3" t="n">
        <v>3</v>
      </c>
      <c r="F1979" s="3" t="n">
        <v>2</v>
      </c>
      <c r="G1979" s="3" t="n">
        <v>0</v>
      </c>
      <c r="H1979" s="24" t="n">
        <v>-0.341662556</v>
      </c>
    </row>
    <row r="1980" customFormat="false" ht="15" hidden="false" customHeight="false" outlineLevel="0" collapsed="false">
      <c r="A1980" s="3" t="n">
        <v>1979</v>
      </c>
      <c r="B1980" s="3" t="n">
        <v>1978</v>
      </c>
      <c r="C1980" s="3" t="s">
        <v>118</v>
      </c>
      <c r="D1980" s="3" t="n">
        <v>5</v>
      </c>
      <c r="E1980" s="3" t="n">
        <v>3</v>
      </c>
      <c r="F1980" s="3" t="n">
        <v>2</v>
      </c>
      <c r="G1980" s="3" t="n">
        <v>1</v>
      </c>
      <c r="H1980" s="24" t="n">
        <v>0.200497001</v>
      </c>
    </row>
    <row r="1981" customFormat="false" ht="15" hidden="false" customHeight="false" outlineLevel="0" collapsed="false">
      <c r="A1981" s="3" t="n">
        <v>1980</v>
      </c>
      <c r="B1981" s="3" t="n">
        <v>1979</v>
      </c>
      <c r="C1981" s="3" t="s">
        <v>118</v>
      </c>
      <c r="D1981" s="3" t="n">
        <v>5</v>
      </c>
      <c r="E1981" s="3" t="n">
        <v>3</v>
      </c>
      <c r="F1981" s="3" t="n">
        <v>2</v>
      </c>
      <c r="G1981" s="3" t="n">
        <v>2</v>
      </c>
      <c r="H1981" s="24" t="n">
        <v>-0.0367900692</v>
      </c>
    </row>
    <row r="1982" customFormat="false" ht="15" hidden="false" customHeight="false" outlineLevel="0" collapsed="false">
      <c r="A1982" s="3" t="n">
        <v>1981</v>
      </c>
      <c r="B1982" s="3" t="n">
        <v>1980</v>
      </c>
      <c r="C1982" s="3" t="s">
        <v>118</v>
      </c>
      <c r="D1982" s="3" t="n">
        <v>5</v>
      </c>
      <c r="E1982" s="3" t="n">
        <v>4</v>
      </c>
      <c r="F1982" s="3" t="n">
        <v>0</v>
      </c>
      <c r="G1982" s="3" t="n">
        <v>0</v>
      </c>
      <c r="H1982" s="24" t="n">
        <v>-0.0428374372</v>
      </c>
    </row>
    <row r="1983" customFormat="false" ht="15" hidden="false" customHeight="false" outlineLevel="0" collapsed="false">
      <c r="A1983" s="3" t="n">
        <v>1982</v>
      </c>
      <c r="B1983" s="3" t="n">
        <v>1981</v>
      </c>
      <c r="C1983" s="3" t="s">
        <v>118</v>
      </c>
      <c r="D1983" s="3" t="n">
        <v>5</v>
      </c>
      <c r="E1983" s="3" t="n">
        <v>4</v>
      </c>
      <c r="F1983" s="3" t="n">
        <v>0</v>
      </c>
      <c r="G1983" s="3" t="n">
        <v>1</v>
      </c>
      <c r="H1983" s="24" t="n">
        <v>-0.161446407</v>
      </c>
    </row>
    <row r="1984" customFormat="false" ht="15" hidden="false" customHeight="false" outlineLevel="0" collapsed="false">
      <c r="A1984" s="3" t="n">
        <v>1983</v>
      </c>
      <c r="B1984" s="3" t="n">
        <v>1982</v>
      </c>
      <c r="C1984" s="3" t="s">
        <v>118</v>
      </c>
      <c r="D1984" s="3" t="n">
        <v>5</v>
      </c>
      <c r="E1984" s="3" t="n">
        <v>4</v>
      </c>
      <c r="F1984" s="3" t="n">
        <v>0</v>
      </c>
      <c r="G1984" s="3" t="n">
        <v>2</v>
      </c>
      <c r="H1984" s="24" t="n">
        <v>0.156774625</v>
      </c>
    </row>
    <row r="1985" customFormat="false" ht="15" hidden="false" customHeight="false" outlineLevel="0" collapsed="false">
      <c r="A1985" s="3" t="n">
        <v>1984</v>
      </c>
      <c r="B1985" s="3" t="n">
        <v>1983</v>
      </c>
      <c r="C1985" s="3" t="s">
        <v>118</v>
      </c>
      <c r="D1985" s="3" t="n">
        <v>5</v>
      </c>
      <c r="E1985" s="3" t="n">
        <v>4</v>
      </c>
      <c r="F1985" s="3" t="n">
        <v>1</v>
      </c>
      <c r="G1985" s="3" t="n">
        <v>0</v>
      </c>
      <c r="H1985" s="24" t="n">
        <v>-0.1059184</v>
      </c>
    </row>
    <row r="1986" customFormat="false" ht="15" hidden="false" customHeight="false" outlineLevel="0" collapsed="false">
      <c r="A1986" s="3" t="n">
        <v>1985</v>
      </c>
      <c r="B1986" s="3" t="n">
        <v>1984</v>
      </c>
      <c r="C1986" s="3" t="s">
        <v>118</v>
      </c>
      <c r="D1986" s="3" t="n">
        <v>5</v>
      </c>
      <c r="E1986" s="3" t="n">
        <v>4</v>
      </c>
      <c r="F1986" s="3" t="n">
        <v>1</v>
      </c>
      <c r="G1986" s="3" t="n">
        <v>1</v>
      </c>
      <c r="H1986" s="24" t="n">
        <v>0.116617329</v>
      </c>
    </row>
    <row r="1987" customFormat="false" ht="15" hidden="false" customHeight="false" outlineLevel="0" collapsed="false">
      <c r="A1987" s="3" t="n">
        <v>1986</v>
      </c>
      <c r="B1987" s="3" t="n">
        <v>1985</v>
      </c>
      <c r="C1987" s="3" t="s">
        <v>118</v>
      </c>
      <c r="D1987" s="3" t="n">
        <v>5</v>
      </c>
      <c r="E1987" s="3" t="n">
        <v>4</v>
      </c>
      <c r="F1987" s="3" t="n">
        <v>1</v>
      </c>
      <c r="G1987" s="3" t="n">
        <v>2</v>
      </c>
      <c r="H1987" s="24" t="n">
        <v>-0.096262686</v>
      </c>
    </row>
    <row r="1988" customFormat="false" ht="15" hidden="false" customHeight="false" outlineLevel="0" collapsed="false">
      <c r="A1988" s="3" t="n">
        <v>1987</v>
      </c>
      <c r="B1988" s="3" t="n">
        <v>1986</v>
      </c>
      <c r="C1988" s="3" t="s">
        <v>118</v>
      </c>
      <c r="D1988" s="3" t="n">
        <v>5</v>
      </c>
      <c r="E1988" s="3" t="n">
        <v>4</v>
      </c>
      <c r="F1988" s="3" t="n">
        <v>2</v>
      </c>
      <c r="G1988" s="3" t="n">
        <v>0</v>
      </c>
      <c r="H1988" s="24" t="n">
        <v>-0.149818614</v>
      </c>
    </row>
    <row r="1989" customFormat="false" ht="15" hidden="false" customHeight="false" outlineLevel="0" collapsed="false">
      <c r="A1989" s="3" t="n">
        <v>1988</v>
      </c>
      <c r="B1989" s="3" t="n">
        <v>1987</v>
      </c>
      <c r="C1989" s="3" t="s">
        <v>118</v>
      </c>
      <c r="D1989" s="3" t="n">
        <v>5</v>
      </c>
      <c r="E1989" s="3" t="n">
        <v>4</v>
      </c>
      <c r="F1989" s="3" t="n">
        <v>2</v>
      </c>
      <c r="G1989" s="3" t="n">
        <v>1</v>
      </c>
      <c r="H1989" s="24" t="n">
        <v>0.0825662911</v>
      </c>
    </row>
    <row r="1990" customFormat="false" ht="15" hidden="false" customHeight="false" outlineLevel="0" collapsed="false">
      <c r="A1990" s="3" t="n">
        <v>1989</v>
      </c>
      <c r="B1990" s="3" t="n">
        <v>1988</v>
      </c>
      <c r="C1990" s="3" t="s">
        <v>118</v>
      </c>
      <c r="D1990" s="3" t="n">
        <v>5</v>
      </c>
      <c r="E1990" s="3" t="n">
        <v>4</v>
      </c>
      <c r="F1990" s="3" t="n">
        <v>2</v>
      </c>
      <c r="G1990" s="3" t="n">
        <v>2</v>
      </c>
      <c r="H1990" s="24" t="n">
        <v>0.0531090423</v>
      </c>
    </row>
    <row r="1991" customFormat="false" ht="15" hidden="false" customHeight="false" outlineLevel="0" collapsed="false">
      <c r="A1991" s="3" t="n">
        <v>1990</v>
      </c>
      <c r="B1991" s="3" t="n">
        <v>1989</v>
      </c>
      <c r="C1991" s="3" t="s">
        <v>118</v>
      </c>
      <c r="D1991" s="3" t="n">
        <v>5</v>
      </c>
      <c r="E1991" s="3" t="n">
        <v>5</v>
      </c>
      <c r="F1991" s="3" t="n">
        <v>0</v>
      </c>
      <c r="G1991" s="3" t="n">
        <v>0</v>
      </c>
      <c r="H1991" s="24" t="n">
        <v>0.0350530967</v>
      </c>
    </row>
    <row r="1992" customFormat="false" ht="15" hidden="false" customHeight="false" outlineLevel="0" collapsed="false">
      <c r="A1992" s="3" t="n">
        <v>1991</v>
      </c>
      <c r="B1992" s="3" t="n">
        <v>1990</v>
      </c>
      <c r="C1992" s="3" t="s">
        <v>118</v>
      </c>
      <c r="D1992" s="3" t="n">
        <v>5</v>
      </c>
      <c r="E1992" s="3" t="n">
        <v>5</v>
      </c>
      <c r="F1992" s="3" t="n">
        <v>0</v>
      </c>
      <c r="G1992" s="3" t="n">
        <v>1</v>
      </c>
      <c r="H1992" s="24" t="n">
        <v>0.0466672629</v>
      </c>
    </row>
    <row r="1993" customFormat="false" ht="15" hidden="false" customHeight="false" outlineLevel="0" collapsed="false">
      <c r="A1993" s="3" t="n">
        <v>1992</v>
      </c>
      <c r="B1993" s="3" t="n">
        <v>1991</v>
      </c>
      <c r="C1993" s="3" t="s">
        <v>118</v>
      </c>
      <c r="D1993" s="3" t="n">
        <v>5</v>
      </c>
      <c r="E1993" s="3" t="n">
        <v>5</v>
      </c>
      <c r="F1993" s="3" t="n">
        <v>0</v>
      </c>
      <c r="G1993" s="3" t="n">
        <v>2</v>
      </c>
      <c r="H1993" s="24" t="n">
        <v>-0.227267087</v>
      </c>
    </row>
    <row r="1994" customFormat="false" ht="15" hidden="false" customHeight="false" outlineLevel="0" collapsed="false">
      <c r="A1994" s="3" t="n">
        <v>1993</v>
      </c>
      <c r="B1994" s="3" t="n">
        <v>1992</v>
      </c>
      <c r="C1994" s="3" t="s">
        <v>118</v>
      </c>
      <c r="D1994" s="3" t="n">
        <v>5</v>
      </c>
      <c r="E1994" s="3" t="n">
        <v>5</v>
      </c>
      <c r="F1994" s="3" t="n">
        <v>1</v>
      </c>
      <c r="G1994" s="3" t="n">
        <v>0</v>
      </c>
      <c r="H1994" s="24" t="n">
        <v>0.183060318</v>
      </c>
    </row>
    <row r="1995" customFormat="false" ht="15" hidden="false" customHeight="false" outlineLevel="0" collapsed="false">
      <c r="A1995" s="3" t="n">
        <v>1994</v>
      </c>
      <c r="B1995" s="3" t="n">
        <v>1993</v>
      </c>
      <c r="C1995" s="3" t="s">
        <v>118</v>
      </c>
      <c r="D1995" s="3" t="n">
        <v>5</v>
      </c>
      <c r="E1995" s="3" t="n">
        <v>5</v>
      </c>
      <c r="F1995" s="3" t="n">
        <v>1</v>
      </c>
      <c r="G1995" s="3" t="n">
        <v>1</v>
      </c>
      <c r="H1995" s="24" t="n">
        <v>0.0371340662</v>
      </c>
    </row>
    <row r="1996" customFormat="false" ht="15" hidden="false" customHeight="false" outlineLevel="0" collapsed="false">
      <c r="A1996" s="3" t="n">
        <v>1995</v>
      </c>
      <c r="B1996" s="3" t="n">
        <v>1994</v>
      </c>
      <c r="C1996" s="3" t="s">
        <v>118</v>
      </c>
      <c r="D1996" s="3" t="n">
        <v>5</v>
      </c>
      <c r="E1996" s="3" t="n">
        <v>5</v>
      </c>
      <c r="F1996" s="3" t="n">
        <v>1</v>
      </c>
      <c r="G1996" s="3" t="n">
        <v>2</v>
      </c>
      <c r="H1996" s="24" t="n">
        <v>-0.189013675</v>
      </c>
    </row>
    <row r="1997" customFormat="false" ht="15" hidden="false" customHeight="false" outlineLevel="0" collapsed="false">
      <c r="A1997" s="3" t="n">
        <v>1996</v>
      </c>
      <c r="B1997" s="3" t="n">
        <v>1995</v>
      </c>
      <c r="C1997" s="3" t="s">
        <v>118</v>
      </c>
      <c r="D1997" s="3" t="n">
        <v>5</v>
      </c>
      <c r="E1997" s="3" t="n">
        <v>5</v>
      </c>
      <c r="F1997" s="3" t="n">
        <v>2</v>
      </c>
      <c r="G1997" s="3" t="n">
        <v>0</v>
      </c>
      <c r="H1997" s="24" t="n">
        <v>0.147751302</v>
      </c>
    </row>
    <row r="1998" customFormat="false" ht="15" hidden="false" customHeight="false" outlineLevel="0" collapsed="false">
      <c r="A1998" s="3" t="n">
        <v>1997</v>
      </c>
      <c r="B1998" s="3" t="n">
        <v>1996</v>
      </c>
      <c r="C1998" s="3" t="s">
        <v>118</v>
      </c>
      <c r="D1998" s="3" t="n">
        <v>5</v>
      </c>
      <c r="E1998" s="3" t="n">
        <v>5</v>
      </c>
      <c r="F1998" s="3" t="n">
        <v>2</v>
      </c>
      <c r="G1998" s="3" t="n">
        <v>1</v>
      </c>
      <c r="H1998" s="24" t="n">
        <v>0.149464682</v>
      </c>
    </row>
    <row r="1999" customFormat="false" ht="15" hidden="false" customHeight="false" outlineLevel="0" collapsed="false">
      <c r="A1999" s="3" t="n">
        <v>1998</v>
      </c>
      <c r="B1999" s="3" t="n">
        <v>1997</v>
      </c>
      <c r="C1999" s="3" t="s">
        <v>118</v>
      </c>
      <c r="D1999" s="3" t="n">
        <v>5</v>
      </c>
      <c r="E1999" s="3" t="n">
        <v>5</v>
      </c>
      <c r="F1999" s="3" t="n">
        <v>2</v>
      </c>
      <c r="G1999" s="3" t="n">
        <v>2</v>
      </c>
      <c r="H1999" s="24" t="n">
        <v>0.0704408661</v>
      </c>
    </row>
    <row r="2000" customFormat="false" ht="15" hidden="false" customHeight="false" outlineLevel="0" collapsed="false">
      <c r="A2000" s="3" t="n">
        <v>1999</v>
      </c>
      <c r="B2000" s="3" t="n">
        <v>1998</v>
      </c>
      <c r="C2000" s="3" t="s">
        <v>118</v>
      </c>
      <c r="D2000" s="3" t="n">
        <v>5</v>
      </c>
      <c r="E2000" s="3" t="n">
        <v>6</v>
      </c>
      <c r="F2000" s="3" t="n">
        <v>0</v>
      </c>
      <c r="G2000" s="3" t="n">
        <v>0</v>
      </c>
      <c r="H2000" s="24" t="n">
        <v>0.14790158</v>
      </c>
    </row>
    <row r="2001" customFormat="false" ht="15" hidden="false" customHeight="false" outlineLevel="0" collapsed="false">
      <c r="A2001" s="3" t="n">
        <v>2000</v>
      </c>
      <c r="B2001" s="3" t="n">
        <v>1999</v>
      </c>
      <c r="C2001" s="3" t="s">
        <v>118</v>
      </c>
      <c r="D2001" s="3" t="n">
        <v>5</v>
      </c>
      <c r="E2001" s="3" t="n">
        <v>6</v>
      </c>
      <c r="F2001" s="3" t="n">
        <v>0</v>
      </c>
      <c r="G2001" s="3" t="n">
        <v>1</v>
      </c>
      <c r="H2001" s="24" t="n">
        <v>-0.0117485141</v>
      </c>
    </row>
    <row r="2002" customFormat="false" ht="15" hidden="false" customHeight="false" outlineLevel="0" collapsed="false">
      <c r="A2002" s="3" t="n">
        <v>2001</v>
      </c>
      <c r="B2002" s="3" t="n">
        <v>2000</v>
      </c>
      <c r="C2002" s="3" t="s">
        <v>118</v>
      </c>
      <c r="D2002" s="3" t="n">
        <v>5</v>
      </c>
      <c r="E2002" s="3" t="n">
        <v>6</v>
      </c>
      <c r="F2002" s="3" t="n">
        <v>0</v>
      </c>
      <c r="G2002" s="3" t="n">
        <v>2</v>
      </c>
      <c r="H2002" s="24" t="n">
        <v>0.0218900125</v>
      </c>
    </row>
    <row r="2003" customFormat="false" ht="15" hidden="false" customHeight="false" outlineLevel="0" collapsed="false">
      <c r="A2003" s="3" t="n">
        <v>2002</v>
      </c>
      <c r="B2003" s="3" t="n">
        <v>2001</v>
      </c>
      <c r="C2003" s="3" t="s">
        <v>118</v>
      </c>
      <c r="D2003" s="3" t="n">
        <v>5</v>
      </c>
      <c r="E2003" s="3" t="n">
        <v>6</v>
      </c>
      <c r="F2003" s="3" t="n">
        <v>1</v>
      </c>
      <c r="G2003" s="3" t="n">
        <v>0</v>
      </c>
      <c r="H2003" s="24" t="n">
        <v>-0.0427549146</v>
      </c>
    </row>
    <row r="2004" customFormat="false" ht="15" hidden="false" customHeight="false" outlineLevel="0" collapsed="false">
      <c r="A2004" s="3" t="n">
        <v>2003</v>
      </c>
      <c r="B2004" s="3" t="n">
        <v>2002</v>
      </c>
      <c r="C2004" s="3" t="s">
        <v>118</v>
      </c>
      <c r="D2004" s="3" t="n">
        <v>5</v>
      </c>
      <c r="E2004" s="3" t="n">
        <v>6</v>
      </c>
      <c r="F2004" s="3" t="n">
        <v>1</v>
      </c>
      <c r="G2004" s="3" t="n">
        <v>1</v>
      </c>
      <c r="H2004" s="24" t="n">
        <v>-0.041767817</v>
      </c>
    </row>
    <row r="2005" customFormat="false" ht="15" hidden="false" customHeight="false" outlineLevel="0" collapsed="false">
      <c r="A2005" s="3" t="n">
        <v>2004</v>
      </c>
      <c r="B2005" s="3" t="n">
        <v>2003</v>
      </c>
      <c r="C2005" s="3" t="s">
        <v>118</v>
      </c>
      <c r="D2005" s="3" t="n">
        <v>5</v>
      </c>
      <c r="E2005" s="3" t="n">
        <v>6</v>
      </c>
      <c r="F2005" s="3" t="n">
        <v>1</v>
      </c>
      <c r="G2005" s="3" t="n">
        <v>2</v>
      </c>
      <c r="H2005" s="24" t="n">
        <v>-0.194310248</v>
      </c>
    </row>
    <row r="2006" customFormat="false" ht="15" hidden="false" customHeight="false" outlineLevel="0" collapsed="false">
      <c r="A2006" s="3" t="n">
        <v>2005</v>
      </c>
      <c r="B2006" s="3" t="n">
        <v>2004</v>
      </c>
      <c r="C2006" s="3" t="s">
        <v>118</v>
      </c>
      <c r="D2006" s="3" t="n">
        <v>5</v>
      </c>
      <c r="E2006" s="3" t="n">
        <v>6</v>
      </c>
      <c r="F2006" s="3" t="n">
        <v>2</v>
      </c>
      <c r="G2006" s="3" t="n">
        <v>0</v>
      </c>
      <c r="H2006" s="24" t="n">
        <v>0.128598645</v>
      </c>
    </row>
    <row r="2007" customFormat="false" ht="15" hidden="false" customHeight="false" outlineLevel="0" collapsed="false">
      <c r="A2007" s="3" t="n">
        <v>2006</v>
      </c>
      <c r="B2007" s="3" t="n">
        <v>2005</v>
      </c>
      <c r="C2007" s="3" t="s">
        <v>118</v>
      </c>
      <c r="D2007" s="3" t="n">
        <v>5</v>
      </c>
      <c r="E2007" s="3" t="n">
        <v>6</v>
      </c>
      <c r="F2007" s="3" t="n">
        <v>2</v>
      </c>
      <c r="G2007" s="3" t="n">
        <v>1</v>
      </c>
      <c r="H2007" s="24" t="n">
        <v>0.0711250082</v>
      </c>
    </row>
    <row r="2008" customFormat="false" ht="15" hidden="false" customHeight="false" outlineLevel="0" collapsed="false">
      <c r="A2008" s="3" t="n">
        <v>2007</v>
      </c>
      <c r="B2008" s="3" t="n">
        <v>2006</v>
      </c>
      <c r="C2008" s="3" t="s">
        <v>118</v>
      </c>
      <c r="D2008" s="3" t="n">
        <v>5</v>
      </c>
      <c r="E2008" s="3" t="n">
        <v>6</v>
      </c>
      <c r="F2008" s="3" t="n">
        <v>2</v>
      </c>
      <c r="G2008" s="3" t="n">
        <v>2</v>
      </c>
      <c r="H2008" s="24" t="n">
        <v>0.250293583</v>
      </c>
    </row>
    <row r="2009" customFormat="false" ht="15" hidden="false" customHeight="false" outlineLevel="0" collapsed="false">
      <c r="A2009" s="3" t="n">
        <v>2008</v>
      </c>
      <c r="B2009" s="3" t="n">
        <v>2007</v>
      </c>
      <c r="C2009" s="3" t="s">
        <v>118</v>
      </c>
      <c r="D2009" s="3" t="n">
        <v>5</v>
      </c>
      <c r="E2009" s="3" t="n">
        <v>7</v>
      </c>
      <c r="F2009" s="3" t="n">
        <v>0</v>
      </c>
      <c r="G2009" s="3" t="n">
        <v>0</v>
      </c>
      <c r="H2009" s="24" t="n">
        <v>0.259765983</v>
      </c>
    </row>
    <row r="2010" customFormat="false" ht="15" hidden="false" customHeight="false" outlineLevel="0" collapsed="false">
      <c r="A2010" s="3" t="n">
        <v>2009</v>
      </c>
      <c r="B2010" s="3" t="n">
        <v>2008</v>
      </c>
      <c r="C2010" s="3" t="s">
        <v>118</v>
      </c>
      <c r="D2010" s="3" t="n">
        <v>5</v>
      </c>
      <c r="E2010" s="3" t="n">
        <v>7</v>
      </c>
      <c r="F2010" s="3" t="n">
        <v>0</v>
      </c>
      <c r="G2010" s="3" t="n">
        <v>1</v>
      </c>
      <c r="H2010" s="24" t="n">
        <v>0.0883011073</v>
      </c>
    </row>
    <row r="2011" customFormat="false" ht="15" hidden="false" customHeight="false" outlineLevel="0" collapsed="false">
      <c r="A2011" s="3" t="n">
        <v>2010</v>
      </c>
      <c r="B2011" s="3" t="n">
        <v>2009</v>
      </c>
      <c r="C2011" s="3" t="s">
        <v>118</v>
      </c>
      <c r="D2011" s="3" t="n">
        <v>5</v>
      </c>
      <c r="E2011" s="3" t="n">
        <v>7</v>
      </c>
      <c r="F2011" s="3" t="n">
        <v>0</v>
      </c>
      <c r="G2011" s="3" t="n">
        <v>2</v>
      </c>
      <c r="H2011" s="24" t="n">
        <v>-0.08771047</v>
      </c>
    </row>
    <row r="2012" customFormat="false" ht="15" hidden="false" customHeight="false" outlineLevel="0" collapsed="false">
      <c r="A2012" s="3" t="n">
        <v>2011</v>
      </c>
      <c r="B2012" s="3" t="n">
        <v>2010</v>
      </c>
      <c r="C2012" s="3" t="s">
        <v>118</v>
      </c>
      <c r="D2012" s="3" t="n">
        <v>5</v>
      </c>
      <c r="E2012" s="3" t="n">
        <v>7</v>
      </c>
      <c r="F2012" s="3" t="n">
        <v>1</v>
      </c>
      <c r="G2012" s="3" t="n">
        <v>0</v>
      </c>
      <c r="H2012" s="24" t="n">
        <v>0.0113345683</v>
      </c>
    </row>
    <row r="2013" customFormat="false" ht="15" hidden="false" customHeight="false" outlineLevel="0" collapsed="false">
      <c r="A2013" s="3" t="n">
        <v>2012</v>
      </c>
      <c r="B2013" s="3" t="n">
        <v>2011</v>
      </c>
      <c r="C2013" s="3" t="s">
        <v>118</v>
      </c>
      <c r="D2013" s="3" t="n">
        <v>5</v>
      </c>
      <c r="E2013" s="3" t="n">
        <v>7</v>
      </c>
      <c r="F2013" s="3" t="n">
        <v>1</v>
      </c>
      <c r="G2013" s="3" t="n">
        <v>1</v>
      </c>
      <c r="H2013" s="24" t="n">
        <v>0.11315269</v>
      </c>
    </row>
    <row r="2014" customFormat="false" ht="15" hidden="false" customHeight="false" outlineLevel="0" collapsed="false">
      <c r="A2014" s="3" t="n">
        <v>2013</v>
      </c>
      <c r="B2014" s="3" t="n">
        <v>2012</v>
      </c>
      <c r="C2014" s="3" t="s">
        <v>118</v>
      </c>
      <c r="D2014" s="3" t="n">
        <v>5</v>
      </c>
      <c r="E2014" s="3" t="n">
        <v>7</v>
      </c>
      <c r="F2014" s="3" t="n">
        <v>1</v>
      </c>
      <c r="G2014" s="3" t="n">
        <v>2</v>
      </c>
      <c r="H2014" s="24" t="n">
        <v>0.0359646156</v>
      </c>
    </row>
    <row r="2015" customFormat="false" ht="15" hidden="false" customHeight="false" outlineLevel="0" collapsed="false">
      <c r="A2015" s="3" t="n">
        <v>2014</v>
      </c>
      <c r="B2015" s="3" t="n">
        <v>2013</v>
      </c>
      <c r="C2015" s="3" t="s">
        <v>118</v>
      </c>
      <c r="D2015" s="3" t="n">
        <v>5</v>
      </c>
      <c r="E2015" s="3" t="n">
        <v>7</v>
      </c>
      <c r="F2015" s="3" t="n">
        <v>2</v>
      </c>
      <c r="G2015" s="3" t="n">
        <v>0</v>
      </c>
      <c r="H2015" s="24" t="n">
        <v>-0.244504258</v>
      </c>
    </row>
    <row r="2016" customFormat="false" ht="15" hidden="false" customHeight="false" outlineLevel="0" collapsed="false">
      <c r="A2016" s="3" t="n">
        <v>2015</v>
      </c>
      <c r="B2016" s="3" t="n">
        <v>2014</v>
      </c>
      <c r="C2016" s="3" t="s">
        <v>118</v>
      </c>
      <c r="D2016" s="3" t="n">
        <v>5</v>
      </c>
      <c r="E2016" s="3" t="n">
        <v>7</v>
      </c>
      <c r="F2016" s="3" t="n">
        <v>2</v>
      </c>
      <c r="G2016" s="3" t="n">
        <v>1</v>
      </c>
      <c r="H2016" s="24" t="n">
        <v>-0.0415815711</v>
      </c>
    </row>
    <row r="2017" customFormat="false" ht="15" hidden="false" customHeight="false" outlineLevel="0" collapsed="false">
      <c r="A2017" s="3" t="n">
        <v>2016</v>
      </c>
      <c r="B2017" s="3" t="n">
        <v>2015</v>
      </c>
      <c r="C2017" s="3" t="s">
        <v>118</v>
      </c>
      <c r="D2017" s="3" t="n">
        <v>5</v>
      </c>
      <c r="E2017" s="3" t="n">
        <v>7</v>
      </c>
      <c r="F2017" s="3" t="n">
        <v>2</v>
      </c>
      <c r="G2017" s="3" t="n">
        <v>2</v>
      </c>
      <c r="H2017" s="24" t="n">
        <v>-0.15531294</v>
      </c>
    </row>
    <row r="2018" customFormat="false" ht="15" hidden="false" customHeight="false" outlineLevel="0" collapsed="false">
      <c r="A2018" s="3" t="n">
        <v>2017</v>
      </c>
      <c r="B2018" s="3" t="n">
        <v>2016</v>
      </c>
      <c r="C2018" s="3" t="s">
        <v>118</v>
      </c>
      <c r="D2018" s="3" t="n">
        <v>5</v>
      </c>
      <c r="E2018" s="3" t="n">
        <v>8</v>
      </c>
      <c r="F2018" s="3" t="n">
        <v>0</v>
      </c>
      <c r="G2018" s="3" t="n">
        <v>0</v>
      </c>
      <c r="H2018" s="24" t="n">
        <v>-0.244897529</v>
      </c>
    </row>
    <row r="2019" customFormat="false" ht="15" hidden="false" customHeight="false" outlineLevel="0" collapsed="false">
      <c r="A2019" s="3" t="n">
        <v>2018</v>
      </c>
      <c r="B2019" s="3" t="n">
        <v>2017</v>
      </c>
      <c r="C2019" s="3" t="s">
        <v>118</v>
      </c>
      <c r="D2019" s="3" t="n">
        <v>5</v>
      </c>
      <c r="E2019" s="3" t="n">
        <v>8</v>
      </c>
      <c r="F2019" s="3" t="n">
        <v>0</v>
      </c>
      <c r="G2019" s="3" t="n">
        <v>1</v>
      </c>
      <c r="H2019" s="24" t="n">
        <v>-0.181045815</v>
      </c>
    </row>
    <row r="2020" customFormat="false" ht="15" hidden="false" customHeight="false" outlineLevel="0" collapsed="false">
      <c r="A2020" s="3" t="n">
        <v>2019</v>
      </c>
      <c r="B2020" s="3" t="n">
        <v>2018</v>
      </c>
      <c r="C2020" s="3" t="s">
        <v>118</v>
      </c>
      <c r="D2020" s="3" t="n">
        <v>5</v>
      </c>
      <c r="E2020" s="3" t="n">
        <v>8</v>
      </c>
      <c r="F2020" s="3" t="n">
        <v>0</v>
      </c>
      <c r="G2020" s="3" t="n">
        <v>2</v>
      </c>
      <c r="H2020" s="24" t="n">
        <v>-0.0869156718</v>
      </c>
    </row>
    <row r="2021" customFormat="false" ht="15" hidden="false" customHeight="false" outlineLevel="0" collapsed="false">
      <c r="A2021" s="3" t="n">
        <v>2020</v>
      </c>
      <c r="B2021" s="3" t="n">
        <v>2019</v>
      </c>
      <c r="C2021" s="3" t="s">
        <v>118</v>
      </c>
      <c r="D2021" s="3" t="n">
        <v>5</v>
      </c>
      <c r="E2021" s="3" t="n">
        <v>8</v>
      </c>
      <c r="F2021" s="3" t="n">
        <v>1</v>
      </c>
      <c r="G2021" s="3" t="n">
        <v>0</v>
      </c>
      <c r="H2021" s="24" t="n">
        <v>-0.0162488054</v>
      </c>
    </row>
    <row r="2022" customFormat="false" ht="15" hidden="false" customHeight="false" outlineLevel="0" collapsed="false">
      <c r="A2022" s="3" t="n">
        <v>2021</v>
      </c>
      <c r="B2022" s="3" t="n">
        <v>2020</v>
      </c>
      <c r="C2022" s="3" t="s">
        <v>118</v>
      </c>
      <c r="D2022" s="3" t="n">
        <v>5</v>
      </c>
      <c r="E2022" s="3" t="n">
        <v>8</v>
      </c>
      <c r="F2022" s="3" t="n">
        <v>1</v>
      </c>
      <c r="G2022" s="3" t="n">
        <v>1</v>
      </c>
      <c r="H2022" s="24" t="n">
        <v>0.181302443</v>
      </c>
    </row>
    <row r="2023" customFormat="false" ht="15" hidden="false" customHeight="false" outlineLevel="0" collapsed="false">
      <c r="A2023" s="3" t="n">
        <v>2022</v>
      </c>
      <c r="B2023" s="3" t="n">
        <v>2021</v>
      </c>
      <c r="C2023" s="3" t="s">
        <v>118</v>
      </c>
      <c r="D2023" s="3" t="n">
        <v>5</v>
      </c>
      <c r="E2023" s="3" t="n">
        <v>8</v>
      </c>
      <c r="F2023" s="3" t="n">
        <v>1</v>
      </c>
      <c r="G2023" s="3" t="n">
        <v>2</v>
      </c>
      <c r="H2023" s="24" t="n">
        <v>-0.12154749</v>
      </c>
    </row>
    <row r="2024" customFormat="false" ht="15" hidden="false" customHeight="false" outlineLevel="0" collapsed="false">
      <c r="A2024" s="3" t="n">
        <v>2023</v>
      </c>
      <c r="B2024" s="3" t="n">
        <v>2022</v>
      </c>
      <c r="C2024" s="3" t="s">
        <v>118</v>
      </c>
      <c r="D2024" s="3" t="n">
        <v>5</v>
      </c>
      <c r="E2024" s="3" t="n">
        <v>8</v>
      </c>
      <c r="F2024" s="3" t="n">
        <v>2</v>
      </c>
      <c r="G2024" s="3" t="n">
        <v>0</v>
      </c>
      <c r="H2024" s="24" t="n">
        <v>0.193147257</v>
      </c>
    </row>
    <row r="2025" customFormat="false" ht="15" hidden="false" customHeight="false" outlineLevel="0" collapsed="false">
      <c r="A2025" s="3" t="n">
        <v>2024</v>
      </c>
      <c r="B2025" s="3" t="n">
        <v>2023</v>
      </c>
      <c r="C2025" s="3" t="s">
        <v>118</v>
      </c>
      <c r="D2025" s="3" t="n">
        <v>5</v>
      </c>
      <c r="E2025" s="3" t="n">
        <v>8</v>
      </c>
      <c r="F2025" s="3" t="n">
        <v>2</v>
      </c>
      <c r="G2025" s="3" t="n">
        <v>1</v>
      </c>
      <c r="H2025" s="24" t="n">
        <v>0.39441976</v>
      </c>
    </row>
    <row r="2026" customFormat="false" ht="15" hidden="false" customHeight="false" outlineLevel="0" collapsed="false">
      <c r="A2026" s="3" t="n">
        <v>2025</v>
      </c>
      <c r="B2026" s="3" t="n">
        <v>2024</v>
      </c>
      <c r="C2026" s="3" t="s">
        <v>118</v>
      </c>
      <c r="D2026" s="3" t="n">
        <v>5</v>
      </c>
      <c r="E2026" s="3" t="n">
        <v>8</v>
      </c>
      <c r="F2026" s="3" t="n">
        <v>2</v>
      </c>
      <c r="G2026" s="3" t="n">
        <v>2</v>
      </c>
      <c r="H2026" s="24" t="n">
        <v>0.149717465</v>
      </c>
    </row>
    <row r="2027" customFormat="false" ht="15" hidden="false" customHeight="false" outlineLevel="0" collapsed="false">
      <c r="A2027" s="3" t="n">
        <v>2026</v>
      </c>
      <c r="B2027" s="3" t="n">
        <v>2025</v>
      </c>
      <c r="C2027" s="3" t="s">
        <v>118</v>
      </c>
      <c r="D2027" s="3" t="n">
        <v>5</v>
      </c>
      <c r="E2027" s="3" t="n">
        <v>9</v>
      </c>
      <c r="F2027" s="3" t="n">
        <v>0</v>
      </c>
      <c r="G2027" s="3" t="n">
        <v>0</v>
      </c>
      <c r="H2027" s="24" t="n">
        <v>-0.0389229096</v>
      </c>
    </row>
    <row r="2028" customFormat="false" ht="15" hidden="false" customHeight="false" outlineLevel="0" collapsed="false">
      <c r="A2028" s="3" t="n">
        <v>2027</v>
      </c>
      <c r="B2028" s="3" t="n">
        <v>2026</v>
      </c>
      <c r="C2028" s="3" t="s">
        <v>118</v>
      </c>
      <c r="D2028" s="3" t="n">
        <v>5</v>
      </c>
      <c r="E2028" s="3" t="n">
        <v>9</v>
      </c>
      <c r="F2028" s="3" t="n">
        <v>0</v>
      </c>
      <c r="G2028" s="3" t="n">
        <v>1</v>
      </c>
      <c r="H2028" s="24" t="n">
        <v>0.0247035325</v>
      </c>
    </row>
    <row r="2029" customFormat="false" ht="15" hidden="false" customHeight="false" outlineLevel="0" collapsed="false">
      <c r="A2029" s="3" t="n">
        <v>2028</v>
      </c>
      <c r="B2029" s="3" t="n">
        <v>2027</v>
      </c>
      <c r="C2029" s="3" t="s">
        <v>118</v>
      </c>
      <c r="D2029" s="3" t="n">
        <v>5</v>
      </c>
      <c r="E2029" s="3" t="n">
        <v>9</v>
      </c>
      <c r="F2029" s="3" t="n">
        <v>0</v>
      </c>
      <c r="G2029" s="3" t="n">
        <v>2</v>
      </c>
      <c r="H2029" s="24" t="n">
        <v>-0.00199137675</v>
      </c>
    </row>
    <row r="2030" customFormat="false" ht="15" hidden="false" customHeight="false" outlineLevel="0" collapsed="false">
      <c r="A2030" s="3" t="n">
        <v>2029</v>
      </c>
      <c r="B2030" s="3" t="n">
        <v>2028</v>
      </c>
      <c r="C2030" s="3" t="s">
        <v>118</v>
      </c>
      <c r="D2030" s="3" t="n">
        <v>5</v>
      </c>
      <c r="E2030" s="3" t="n">
        <v>9</v>
      </c>
      <c r="F2030" s="3" t="n">
        <v>1</v>
      </c>
      <c r="G2030" s="3" t="n">
        <v>0</v>
      </c>
      <c r="H2030" s="24" t="n">
        <v>-0.0800152123</v>
      </c>
    </row>
    <row r="2031" customFormat="false" ht="15" hidden="false" customHeight="false" outlineLevel="0" collapsed="false">
      <c r="A2031" s="3" t="n">
        <v>2030</v>
      </c>
      <c r="B2031" s="3" t="n">
        <v>2029</v>
      </c>
      <c r="C2031" s="3" t="s">
        <v>118</v>
      </c>
      <c r="D2031" s="3" t="n">
        <v>5</v>
      </c>
      <c r="E2031" s="3" t="n">
        <v>9</v>
      </c>
      <c r="F2031" s="3" t="n">
        <v>1</v>
      </c>
      <c r="G2031" s="3" t="n">
        <v>1</v>
      </c>
      <c r="H2031" s="24" t="n">
        <v>-0.139024302</v>
      </c>
    </row>
    <row r="2032" customFormat="false" ht="15" hidden="false" customHeight="false" outlineLevel="0" collapsed="false">
      <c r="A2032" s="3" t="n">
        <v>2031</v>
      </c>
      <c r="B2032" s="3" t="n">
        <v>2030</v>
      </c>
      <c r="C2032" s="3" t="s">
        <v>118</v>
      </c>
      <c r="D2032" s="3" t="n">
        <v>5</v>
      </c>
      <c r="E2032" s="3" t="n">
        <v>9</v>
      </c>
      <c r="F2032" s="3" t="n">
        <v>1</v>
      </c>
      <c r="G2032" s="3" t="n">
        <v>2</v>
      </c>
      <c r="H2032" s="24" t="n">
        <v>-0.0481735878</v>
      </c>
    </row>
    <row r="2033" customFormat="false" ht="15" hidden="false" customHeight="false" outlineLevel="0" collapsed="false">
      <c r="A2033" s="3" t="n">
        <v>2032</v>
      </c>
      <c r="B2033" s="3" t="n">
        <v>2031</v>
      </c>
      <c r="C2033" s="3" t="s">
        <v>118</v>
      </c>
      <c r="D2033" s="3" t="n">
        <v>5</v>
      </c>
      <c r="E2033" s="3" t="n">
        <v>9</v>
      </c>
      <c r="F2033" s="3" t="n">
        <v>2</v>
      </c>
      <c r="G2033" s="3" t="n">
        <v>0</v>
      </c>
      <c r="H2033" s="24" t="n">
        <v>0.251914263</v>
      </c>
    </row>
    <row r="2034" customFormat="false" ht="15" hidden="false" customHeight="false" outlineLevel="0" collapsed="false">
      <c r="A2034" s="3" t="n">
        <v>2033</v>
      </c>
      <c r="B2034" s="3" t="n">
        <v>2032</v>
      </c>
      <c r="C2034" s="3" t="s">
        <v>118</v>
      </c>
      <c r="D2034" s="3" t="n">
        <v>5</v>
      </c>
      <c r="E2034" s="3" t="n">
        <v>9</v>
      </c>
      <c r="F2034" s="3" t="n">
        <v>2</v>
      </c>
      <c r="G2034" s="3" t="n">
        <v>1</v>
      </c>
      <c r="H2034" s="24" t="n">
        <v>-0.0762382895</v>
      </c>
    </row>
    <row r="2035" customFormat="false" ht="15" hidden="false" customHeight="false" outlineLevel="0" collapsed="false">
      <c r="A2035" s="3" t="n">
        <v>2034</v>
      </c>
      <c r="B2035" s="3" t="n">
        <v>2033</v>
      </c>
      <c r="C2035" s="3" t="s">
        <v>118</v>
      </c>
      <c r="D2035" s="3" t="n">
        <v>5</v>
      </c>
      <c r="E2035" s="3" t="n">
        <v>9</v>
      </c>
      <c r="F2035" s="3" t="n">
        <v>2</v>
      </c>
      <c r="G2035" s="3" t="n">
        <v>2</v>
      </c>
      <c r="H2035" s="24" t="n">
        <v>-0.0359960049</v>
      </c>
    </row>
    <row r="2036" customFormat="false" ht="15" hidden="false" customHeight="false" outlineLevel="0" collapsed="false">
      <c r="A2036" s="3" t="n">
        <v>2035</v>
      </c>
      <c r="B2036" s="3" t="n">
        <v>2034</v>
      </c>
      <c r="C2036" s="3" t="s">
        <v>118</v>
      </c>
      <c r="D2036" s="3" t="n">
        <v>5</v>
      </c>
      <c r="E2036" s="3" t="n">
        <v>10</v>
      </c>
      <c r="F2036" s="3" t="n">
        <v>0</v>
      </c>
      <c r="G2036" s="3" t="n">
        <v>0</v>
      </c>
      <c r="H2036" s="24" t="n">
        <v>-0.210512355</v>
      </c>
    </row>
    <row r="2037" customFormat="false" ht="15" hidden="false" customHeight="false" outlineLevel="0" collapsed="false">
      <c r="A2037" s="3" t="n">
        <v>2036</v>
      </c>
      <c r="B2037" s="3" t="n">
        <v>2035</v>
      </c>
      <c r="C2037" s="3" t="s">
        <v>118</v>
      </c>
      <c r="D2037" s="3" t="n">
        <v>5</v>
      </c>
      <c r="E2037" s="3" t="n">
        <v>10</v>
      </c>
      <c r="F2037" s="3" t="n">
        <v>0</v>
      </c>
      <c r="G2037" s="3" t="n">
        <v>1</v>
      </c>
      <c r="H2037" s="24" t="n">
        <v>-0.0331051424</v>
      </c>
    </row>
    <row r="2038" customFormat="false" ht="15" hidden="false" customHeight="false" outlineLevel="0" collapsed="false">
      <c r="A2038" s="3" t="n">
        <v>2037</v>
      </c>
      <c r="B2038" s="3" t="n">
        <v>2036</v>
      </c>
      <c r="C2038" s="3" t="s">
        <v>118</v>
      </c>
      <c r="D2038" s="3" t="n">
        <v>5</v>
      </c>
      <c r="E2038" s="3" t="n">
        <v>10</v>
      </c>
      <c r="F2038" s="3" t="n">
        <v>0</v>
      </c>
      <c r="G2038" s="3" t="n">
        <v>2</v>
      </c>
      <c r="H2038" s="24" t="n">
        <v>-0.0184705798</v>
      </c>
    </row>
    <row r="2039" customFormat="false" ht="15" hidden="false" customHeight="false" outlineLevel="0" collapsed="false">
      <c r="A2039" s="3" t="n">
        <v>2038</v>
      </c>
      <c r="B2039" s="3" t="n">
        <v>2037</v>
      </c>
      <c r="C2039" s="3" t="s">
        <v>118</v>
      </c>
      <c r="D2039" s="3" t="n">
        <v>5</v>
      </c>
      <c r="E2039" s="3" t="n">
        <v>10</v>
      </c>
      <c r="F2039" s="3" t="n">
        <v>1</v>
      </c>
      <c r="G2039" s="3" t="n">
        <v>0</v>
      </c>
      <c r="H2039" s="24" t="n">
        <v>-0.178612217</v>
      </c>
    </row>
    <row r="2040" customFormat="false" ht="15" hidden="false" customHeight="false" outlineLevel="0" collapsed="false">
      <c r="A2040" s="3" t="n">
        <v>2039</v>
      </c>
      <c r="B2040" s="3" t="n">
        <v>2038</v>
      </c>
      <c r="C2040" s="3" t="s">
        <v>118</v>
      </c>
      <c r="D2040" s="3" t="n">
        <v>5</v>
      </c>
      <c r="E2040" s="3" t="n">
        <v>10</v>
      </c>
      <c r="F2040" s="3" t="n">
        <v>1</v>
      </c>
      <c r="G2040" s="3" t="n">
        <v>1</v>
      </c>
      <c r="H2040" s="24" t="n">
        <v>0.0703479424</v>
      </c>
    </row>
    <row r="2041" customFormat="false" ht="15" hidden="false" customHeight="false" outlineLevel="0" collapsed="false">
      <c r="A2041" s="3" t="n">
        <v>2040</v>
      </c>
      <c r="B2041" s="3" t="n">
        <v>2039</v>
      </c>
      <c r="C2041" s="3" t="s">
        <v>118</v>
      </c>
      <c r="D2041" s="3" t="n">
        <v>5</v>
      </c>
      <c r="E2041" s="3" t="n">
        <v>10</v>
      </c>
      <c r="F2041" s="3" t="n">
        <v>1</v>
      </c>
      <c r="G2041" s="3" t="n">
        <v>2</v>
      </c>
      <c r="H2041" s="24" t="n">
        <v>-0.0285268035</v>
      </c>
    </row>
    <row r="2042" customFormat="false" ht="15" hidden="false" customHeight="false" outlineLevel="0" collapsed="false">
      <c r="A2042" s="3" t="n">
        <v>2041</v>
      </c>
      <c r="B2042" s="3" t="n">
        <v>2040</v>
      </c>
      <c r="C2042" s="3" t="s">
        <v>118</v>
      </c>
      <c r="D2042" s="3" t="n">
        <v>5</v>
      </c>
      <c r="E2042" s="3" t="n">
        <v>10</v>
      </c>
      <c r="F2042" s="3" t="n">
        <v>2</v>
      </c>
      <c r="G2042" s="3" t="n">
        <v>0</v>
      </c>
      <c r="H2042" s="24" t="n">
        <v>-0.0277042519</v>
      </c>
    </row>
    <row r="2043" customFormat="false" ht="15" hidden="false" customHeight="false" outlineLevel="0" collapsed="false">
      <c r="A2043" s="3" t="n">
        <v>2042</v>
      </c>
      <c r="B2043" s="3" t="n">
        <v>2041</v>
      </c>
      <c r="C2043" s="3" t="s">
        <v>118</v>
      </c>
      <c r="D2043" s="3" t="n">
        <v>5</v>
      </c>
      <c r="E2043" s="3" t="n">
        <v>10</v>
      </c>
      <c r="F2043" s="3" t="n">
        <v>2</v>
      </c>
      <c r="G2043" s="3" t="n">
        <v>1</v>
      </c>
      <c r="H2043" s="24" t="n">
        <v>-0.0255784858</v>
      </c>
    </row>
    <row r="2044" customFormat="false" ht="15" hidden="false" customHeight="false" outlineLevel="0" collapsed="false">
      <c r="A2044" s="3" t="n">
        <v>2043</v>
      </c>
      <c r="B2044" s="3" t="n">
        <v>2042</v>
      </c>
      <c r="C2044" s="3" t="s">
        <v>118</v>
      </c>
      <c r="D2044" s="3" t="n">
        <v>5</v>
      </c>
      <c r="E2044" s="3" t="n">
        <v>10</v>
      </c>
      <c r="F2044" s="3" t="n">
        <v>2</v>
      </c>
      <c r="G2044" s="3" t="n">
        <v>2</v>
      </c>
      <c r="H2044" s="24" t="n">
        <v>0.263713151</v>
      </c>
    </row>
    <row r="2045" customFormat="false" ht="15" hidden="false" customHeight="false" outlineLevel="0" collapsed="false">
      <c r="A2045" s="3" t="n">
        <v>2044</v>
      </c>
      <c r="B2045" s="3" t="n">
        <v>2043</v>
      </c>
      <c r="C2045" s="3" t="s">
        <v>118</v>
      </c>
      <c r="D2045" s="3" t="n">
        <v>5</v>
      </c>
      <c r="E2045" s="3" t="n">
        <v>11</v>
      </c>
      <c r="F2045" s="3" t="n">
        <v>0</v>
      </c>
      <c r="G2045" s="3" t="n">
        <v>0</v>
      </c>
      <c r="H2045" s="24" t="n">
        <v>0.0561828725</v>
      </c>
    </row>
    <row r="2046" customFormat="false" ht="15" hidden="false" customHeight="false" outlineLevel="0" collapsed="false">
      <c r="A2046" s="3" t="n">
        <v>2045</v>
      </c>
      <c r="B2046" s="3" t="n">
        <v>2044</v>
      </c>
      <c r="C2046" s="3" t="s">
        <v>118</v>
      </c>
      <c r="D2046" s="3" t="n">
        <v>5</v>
      </c>
      <c r="E2046" s="3" t="n">
        <v>11</v>
      </c>
      <c r="F2046" s="3" t="n">
        <v>0</v>
      </c>
      <c r="G2046" s="3" t="n">
        <v>1</v>
      </c>
      <c r="H2046" s="24" t="n">
        <v>-0.142784119</v>
      </c>
    </row>
    <row r="2047" customFormat="false" ht="15" hidden="false" customHeight="false" outlineLevel="0" collapsed="false">
      <c r="A2047" s="3" t="n">
        <v>2046</v>
      </c>
      <c r="B2047" s="3" t="n">
        <v>2045</v>
      </c>
      <c r="C2047" s="3" t="s">
        <v>118</v>
      </c>
      <c r="D2047" s="3" t="n">
        <v>5</v>
      </c>
      <c r="E2047" s="3" t="n">
        <v>11</v>
      </c>
      <c r="F2047" s="3" t="n">
        <v>0</v>
      </c>
      <c r="G2047" s="3" t="n">
        <v>2</v>
      </c>
      <c r="H2047" s="24" t="n">
        <v>0.094517976</v>
      </c>
    </row>
    <row r="2048" customFormat="false" ht="15" hidden="false" customHeight="false" outlineLevel="0" collapsed="false">
      <c r="A2048" s="3" t="n">
        <v>2047</v>
      </c>
      <c r="B2048" s="3" t="n">
        <v>2046</v>
      </c>
      <c r="C2048" s="3" t="s">
        <v>118</v>
      </c>
      <c r="D2048" s="3" t="n">
        <v>5</v>
      </c>
      <c r="E2048" s="3" t="n">
        <v>11</v>
      </c>
      <c r="F2048" s="3" t="n">
        <v>1</v>
      </c>
      <c r="G2048" s="3" t="n">
        <v>0</v>
      </c>
      <c r="H2048" s="24" t="n">
        <v>-0.262962729</v>
      </c>
    </row>
    <row r="2049" customFormat="false" ht="15" hidden="false" customHeight="false" outlineLevel="0" collapsed="false">
      <c r="A2049" s="3" t="n">
        <v>2048</v>
      </c>
      <c r="B2049" s="3" t="n">
        <v>2047</v>
      </c>
      <c r="C2049" s="3" t="s">
        <v>118</v>
      </c>
      <c r="D2049" s="3" t="n">
        <v>5</v>
      </c>
      <c r="E2049" s="3" t="n">
        <v>11</v>
      </c>
      <c r="F2049" s="3" t="n">
        <v>1</v>
      </c>
      <c r="G2049" s="3" t="n">
        <v>1</v>
      </c>
      <c r="H2049" s="24" t="n">
        <v>-0.0635054857</v>
      </c>
    </row>
    <row r="2050" customFormat="false" ht="15" hidden="false" customHeight="false" outlineLevel="0" collapsed="false">
      <c r="A2050" s="3" t="n">
        <v>2049</v>
      </c>
      <c r="B2050" s="3" t="n">
        <v>2048</v>
      </c>
      <c r="C2050" s="3" t="s">
        <v>118</v>
      </c>
      <c r="D2050" s="3" t="n">
        <v>5</v>
      </c>
      <c r="E2050" s="3" t="n">
        <v>11</v>
      </c>
      <c r="F2050" s="3" t="n">
        <v>1</v>
      </c>
      <c r="G2050" s="3" t="n">
        <v>2</v>
      </c>
      <c r="H2050" s="24" t="n">
        <v>-0.423338264</v>
      </c>
    </row>
    <row r="2051" customFormat="false" ht="15" hidden="false" customHeight="false" outlineLevel="0" collapsed="false">
      <c r="A2051" s="3" t="n">
        <v>2050</v>
      </c>
      <c r="B2051" s="3" t="n">
        <v>2049</v>
      </c>
      <c r="C2051" s="3" t="s">
        <v>118</v>
      </c>
      <c r="D2051" s="3" t="n">
        <v>5</v>
      </c>
      <c r="E2051" s="3" t="n">
        <v>11</v>
      </c>
      <c r="F2051" s="3" t="n">
        <v>2</v>
      </c>
      <c r="G2051" s="3" t="n">
        <v>0</v>
      </c>
      <c r="H2051" s="24" t="n">
        <v>0.291106582</v>
      </c>
    </row>
    <row r="2052" customFormat="false" ht="15" hidden="false" customHeight="false" outlineLevel="0" collapsed="false">
      <c r="A2052" s="3" t="n">
        <v>2051</v>
      </c>
      <c r="B2052" s="3" t="n">
        <v>2050</v>
      </c>
      <c r="C2052" s="3" t="s">
        <v>118</v>
      </c>
      <c r="D2052" s="3" t="n">
        <v>5</v>
      </c>
      <c r="E2052" s="3" t="n">
        <v>11</v>
      </c>
      <c r="F2052" s="3" t="n">
        <v>2</v>
      </c>
      <c r="G2052" s="3" t="n">
        <v>1</v>
      </c>
      <c r="H2052" s="24" t="n">
        <v>0.094631657</v>
      </c>
    </row>
    <row r="2053" customFormat="false" ht="15" hidden="false" customHeight="false" outlineLevel="0" collapsed="false">
      <c r="A2053" s="3" t="n">
        <v>2052</v>
      </c>
      <c r="B2053" s="3" t="n">
        <v>2051</v>
      </c>
      <c r="C2053" s="3" t="s">
        <v>118</v>
      </c>
      <c r="D2053" s="3" t="n">
        <v>5</v>
      </c>
      <c r="E2053" s="3" t="n">
        <v>11</v>
      </c>
      <c r="F2053" s="3" t="n">
        <v>2</v>
      </c>
      <c r="G2053" s="3" t="n">
        <v>2</v>
      </c>
      <c r="H2053" s="24" t="n">
        <v>0.00125205063</v>
      </c>
    </row>
    <row r="2054" customFormat="false" ht="15" hidden="false" customHeight="false" outlineLevel="0" collapsed="false">
      <c r="A2054" s="3" t="n">
        <v>2053</v>
      </c>
      <c r="B2054" s="3" t="n">
        <v>2052</v>
      </c>
      <c r="C2054" s="3" t="s">
        <v>118</v>
      </c>
      <c r="D2054" s="3" t="n">
        <v>5</v>
      </c>
      <c r="E2054" s="3" t="n">
        <v>12</v>
      </c>
      <c r="F2054" s="3" t="n">
        <v>0</v>
      </c>
      <c r="G2054" s="3" t="n">
        <v>0</v>
      </c>
      <c r="H2054" s="24" t="n">
        <v>0.0726636574</v>
      </c>
    </row>
    <row r="2055" customFormat="false" ht="15" hidden="false" customHeight="false" outlineLevel="0" collapsed="false">
      <c r="A2055" s="3" t="n">
        <v>2054</v>
      </c>
      <c r="B2055" s="3" t="n">
        <v>2053</v>
      </c>
      <c r="C2055" s="3" t="s">
        <v>118</v>
      </c>
      <c r="D2055" s="3" t="n">
        <v>5</v>
      </c>
      <c r="E2055" s="3" t="n">
        <v>12</v>
      </c>
      <c r="F2055" s="3" t="n">
        <v>0</v>
      </c>
      <c r="G2055" s="3" t="n">
        <v>1</v>
      </c>
      <c r="H2055" s="24" t="n">
        <v>-0.0140128322</v>
      </c>
    </row>
    <row r="2056" customFormat="false" ht="15" hidden="false" customHeight="false" outlineLevel="0" collapsed="false">
      <c r="A2056" s="3" t="n">
        <v>2055</v>
      </c>
      <c r="B2056" s="3" t="n">
        <v>2054</v>
      </c>
      <c r="C2056" s="3" t="s">
        <v>118</v>
      </c>
      <c r="D2056" s="3" t="n">
        <v>5</v>
      </c>
      <c r="E2056" s="3" t="n">
        <v>12</v>
      </c>
      <c r="F2056" s="3" t="n">
        <v>0</v>
      </c>
      <c r="G2056" s="3" t="n">
        <v>2</v>
      </c>
      <c r="H2056" s="24" t="n">
        <v>0.272673041</v>
      </c>
    </row>
    <row r="2057" customFormat="false" ht="15" hidden="false" customHeight="false" outlineLevel="0" collapsed="false">
      <c r="A2057" s="3" t="n">
        <v>2056</v>
      </c>
      <c r="B2057" s="3" t="n">
        <v>2055</v>
      </c>
      <c r="C2057" s="3" t="s">
        <v>118</v>
      </c>
      <c r="D2057" s="3" t="n">
        <v>5</v>
      </c>
      <c r="E2057" s="3" t="n">
        <v>12</v>
      </c>
      <c r="F2057" s="3" t="n">
        <v>1</v>
      </c>
      <c r="G2057" s="3" t="n">
        <v>0</v>
      </c>
      <c r="H2057" s="24" t="n">
        <v>0.032188002</v>
      </c>
    </row>
    <row r="2058" customFormat="false" ht="15" hidden="false" customHeight="false" outlineLevel="0" collapsed="false">
      <c r="A2058" s="3" t="n">
        <v>2057</v>
      </c>
      <c r="B2058" s="3" t="n">
        <v>2056</v>
      </c>
      <c r="C2058" s="3" t="s">
        <v>118</v>
      </c>
      <c r="D2058" s="3" t="n">
        <v>5</v>
      </c>
      <c r="E2058" s="3" t="n">
        <v>12</v>
      </c>
      <c r="F2058" s="3" t="n">
        <v>1</v>
      </c>
      <c r="G2058" s="3" t="n">
        <v>1</v>
      </c>
      <c r="H2058" s="24" t="n">
        <v>-0.130623758</v>
      </c>
    </row>
    <row r="2059" customFormat="false" ht="15" hidden="false" customHeight="false" outlineLevel="0" collapsed="false">
      <c r="A2059" s="3" t="n">
        <v>2058</v>
      </c>
      <c r="B2059" s="3" t="n">
        <v>2057</v>
      </c>
      <c r="C2059" s="3" t="s">
        <v>118</v>
      </c>
      <c r="D2059" s="3" t="n">
        <v>5</v>
      </c>
      <c r="E2059" s="3" t="n">
        <v>12</v>
      </c>
      <c r="F2059" s="3" t="n">
        <v>1</v>
      </c>
      <c r="G2059" s="3" t="n">
        <v>2</v>
      </c>
      <c r="H2059" s="24" t="n">
        <v>0.0541963764</v>
      </c>
    </row>
    <row r="2060" customFormat="false" ht="15" hidden="false" customHeight="false" outlineLevel="0" collapsed="false">
      <c r="A2060" s="3" t="n">
        <v>2059</v>
      </c>
      <c r="B2060" s="3" t="n">
        <v>2058</v>
      </c>
      <c r="C2060" s="3" t="s">
        <v>118</v>
      </c>
      <c r="D2060" s="3" t="n">
        <v>5</v>
      </c>
      <c r="E2060" s="3" t="n">
        <v>12</v>
      </c>
      <c r="F2060" s="3" t="n">
        <v>2</v>
      </c>
      <c r="G2060" s="3" t="n">
        <v>0</v>
      </c>
      <c r="H2060" s="24" t="n">
        <v>0.0918547735</v>
      </c>
    </row>
    <row r="2061" customFormat="false" ht="15" hidden="false" customHeight="false" outlineLevel="0" collapsed="false">
      <c r="A2061" s="3" t="n">
        <v>2060</v>
      </c>
      <c r="B2061" s="3" t="n">
        <v>2059</v>
      </c>
      <c r="C2061" s="3" t="s">
        <v>118</v>
      </c>
      <c r="D2061" s="3" t="n">
        <v>5</v>
      </c>
      <c r="E2061" s="3" t="n">
        <v>12</v>
      </c>
      <c r="F2061" s="3" t="n">
        <v>2</v>
      </c>
      <c r="G2061" s="3" t="n">
        <v>1</v>
      </c>
      <c r="H2061" s="24" t="n">
        <v>-0.161933988</v>
      </c>
    </row>
    <row r="2062" customFormat="false" ht="15" hidden="false" customHeight="false" outlineLevel="0" collapsed="false">
      <c r="A2062" s="3" t="n">
        <v>2061</v>
      </c>
      <c r="B2062" s="3" t="n">
        <v>2060</v>
      </c>
      <c r="C2062" s="3" t="s">
        <v>118</v>
      </c>
      <c r="D2062" s="3" t="n">
        <v>5</v>
      </c>
      <c r="E2062" s="3" t="n">
        <v>12</v>
      </c>
      <c r="F2062" s="3" t="n">
        <v>2</v>
      </c>
      <c r="G2062" s="3" t="n">
        <v>2</v>
      </c>
      <c r="H2062" s="24" t="n">
        <v>-0.0731108338</v>
      </c>
    </row>
    <row r="2063" customFormat="false" ht="15" hidden="false" customHeight="false" outlineLevel="0" collapsed="false">
      <c r="A2063" s="3" t="n">
        <v>2062</v>
      </c>
      <c r="B2063" s="3" t="n">
        <v>2061</v>
      </c>
      <c r="C2063" s="3" t="s">
        <v>118</v>
      </c>
      <c r="D2063" s="3" t="n">
        <v>5</v>
      </c>
      <c r="E2063" s="3" t="n">
        <v>13</v>
      </c>
      <c r="F2063" s="3" t="n">
        <v>0</v>
      </c>
      <c r="G2063" s="3" t="n">
        <v>0</v>
      </c>
      <c r="H2063" s="24" t="n">
        <v>-0.00466517918</v>
      </c>
    </row>
    <row r="2064" customFormat="false" ht="15" hidden="false" customHeight="false" outlineLevel="0" collapsed="false">
      <c r="A2064" s="3" t="n">
        <v>2063</v>
      </c>
      <c r="B2064" s="3" t="n">
        <v>2062</v>
      </c>
      <c r="C2064" s="3" t="s">
        <v>118</v>
      </c>
      <c r="D2064" s="3" t="n">
        <v>5</v>
      </c>
      <c r="E2064" s="3" t="n">
        <v>13</v>
      </c>
      <c r="F2064" s="3" t="n">
        <v>0</v>
      </c>
      <c r="G2064" s="3" t="n">
        <v>1</v>
      </c>
      <c r="H2064" s="24" t="n">
        <v>0.170936599</v>
      </c>
    </row>
    <row r="2065" customFormat="false" ht="15" hidden="false" customHeight="false" outlineLevel="0" collapsed="false">
      <c r="A2065" s="3" t="n">
        <v>2064</v>
      </c>
      <c r="B2065" s="3" t="n">
        <v>2063</v>
      </c>
      <c r="C2065" s="3" t="s">
        <v>118</v>
      </c>
      <c r="D2065" s="3" t="n">
        <v>5</v>
      </c>
      <c r="E2065" s="3" t="n">
        <v>13</v>
      </c>
      <c r="F2065" s="3" t="n">
        <v>0</v>
      </c>
      <c r="G2065" s="3" t="n">
        <v>2</v>
      </c>
      <c r="H2065" s="24" t="n">
        <v>-0.024279898</v>
      </c>
    </row>
    <row r="2066" customFormat="false" ht="15" hidden="false" customHeight="false" outlineLevel="0" collapsed="false">
      <c r="A2066" s="3" t="n">
        <v>2065</v>
      </c>
      <c r="B2066" s="3" t="n">
        <v>2064</v>
      </c>
      <c r="C2066" s="3" t="s">
        <v>118</v>
      </c>
      <c r="D2066" s="3" t="n">
        <v>5</v>
      </c>
      <c r="E2066" s="3" t="n">
        <v>13</v>
      </c>
      <c r="F2066" s="3" t="n">
        <v>1</v>
      </c>
      <c r="G2066" s="3" t="n">
        <v>0</v>
      </c>
      <c r="H2066" s="24" t="n">
        <v>-0.360061318</v>
      </c>
    </row>
    <row r="2067" customFormat="false" ht="15" hidden="false" customHeight="false" outlineLevel="0" collapsed="false">
      <c r="A2067" s="3" t="n">
        <v>2066</v>
      </c>
      <c r="B2067" s="3" t="n">
        <v>2065</v>
      </c>
      <c r="C2067" s="3" t="s">
        <v>118</v>
      </c>
      <c r="D2067" s="3" t="n">
        <v>5</v>
      </c>
      <c r="E2067" s="3" t="n">
        <v>13</v>
      </c>
      <c r="F2067" s="3" t="n">
        <v>1</v>
      </c>
      <c r="G2067" s="3" t="n">
        <v>1</v>
      </c>
      <c r="H2067" s="24" t="n">
        <v>0.0381826013</v>
      </c>
    </row>
    <row r="2068" customFormat="false" ht="15" hidden="false" customHeight="false" outlineLevel="0" collapsed="false">
      <c r="A2068" s="3" t="n">
        <v>2067</v>
      </c>
      <c r="B2068" s="3" t="n">
        <v>2066</v>
      </c>
      <c r="C2068" s="3" t="s">
        <v>118</v>
      </c>
      <c r="D2068" s="3" t="n">
        <v>5</v>
      </c>
      <c r="E2068" s="3" t="n">
        <v>13</v>
      </c>
      <c r="F2068" s="3" t="n">
        <v>1</v>
      </c>
      <c r="G2068" s="3" t="n">
        <v>2</v>
      </c>
      <c r="H2068" s="24" t="n">
        <v>0.0412027538</v>
      </c>
    </row>
    <row r="2069" customFormat="false" ht="15" hidden="false" customHeight="false" outlineLevel="0" collapsed="false">
      <c r="A2069" s="3" t="n">
        <v>2068</v>
      </c>
      <c r="B2069" s="3" t="n">
        <v>2067</v>
      </c>
      <c r="C2069" s="3" t="s">
        <v>118</v>
      </c>
      <c r="D2069" s="3" t="n">
        <v>5</v>
      </c>
      <c r="E2069" s="3" t="n">
        <v>13</v>
      </c>
      <c r="F2069" s="3" t="n">
        <v>2</v>
      </c>
      <c r="G2069" s="3" t="n">
        <v>0</v>
      </c>
      <c r="H2069" s="24" t="n">
        <v>-0.106845759</v>
      </c>
    </row>
    <row r="2070" customFormat="false" ht="15" hidden="false" customHeight="false" outlineLevel="0" collapsed="false">
      <c r="A2070" s="3" t="n">
        <v>2069</v>
      </c>
      <c r="B2070" s="3" t="n">
        <v>2068</v>
      </c>
      <c r="C2070" s="3" t="s">
        <v>118</v>
      </c>
      <c r="D2070" s="3" t="n">
        <v>5</v>
      </c>
      <c r="E2070" s="3" t="n">
        <v>13</v>
      </c>
      <c r="F2070" s="3" t="n">
        <v>2</v>
      </c>
      <c r="G2070" s="3" t="n">
        <v>1</v>
      </c>
      <c r="H2070" s="24" t="n">
        <v>0.0606215224</v>
      </c>
    </row>
    <row r="2071" customFormat="false" ht="15" hidden="false" customHeight="false" outlineLevel="0" collapsed="false">
      <c r="A2071" s="3" t="n">
        <v>2070</v>
      </c>
      <c r="B2071" s="3" t="n">
        <v>2069</v>
      </c>
      <c r="C2071" s="3" t="s">
        <v>118</v>
      </c>
      <c r="D2071" s="3" t="n">
        <v>5</v>
      </c>
      <c r="E2071" s="3" t="n">
        <v>13</v>
      </c>
      <c r="F2071" s="3" t="n">
        <v>2</v>
      </c>
      <c r="G2071" s="3" t="n">
        <v>2</v>
      </c>
      <c r="H2071" s="24" t="n">
        <v>-0.110024288</v>
      </c>
    </row>
    <row r="2072" customFormat="false" ht="15" hidden="false" customHeight="false" outlineLevel="0" collapsed="false">
      <c r="A2072" s="3" t="n">
        <v>2071</v>
      </c>
      <c r="B2072" s="3" t="n">
        <v>2070</v>
      </c>
      <c r="C2072" s="3" t="s">
        <v>118</v>
      </c>
      <c r="D2072" s="3" t="n">
        <v>5</v>
      </c>
      <c r="E2072" s="3" t="n">
        <v>14</v>
      </c>
      <c r="F2072" s="3" t="n">
        <v>0</v>
      </c>
      <c r="G2072" s="3" t="n">
        <v>0</v>
      </c>
      <c r="H2072" s="24" t="n">
        <v>-0.0988463908</v>
      </c>
    </row>
    <row r="2073" customFormat="false" ht="15" hidden="false" customHeight="false" outlineLevel="0" collapsed="false">
      <c r="A2073" s="3" t="n">
        <v>2072</v>
      </c>
      <c r="B2073" s="3" t="n">
        <v>2071</v>
      </c>
      <c r="C2073" s="3" t="s">
        <v>118</v>
      </c>
      <c r="D2073" s="3" t="n">
        <v>5</v>
      </c>
      <c r="E2073" s="3" t="n">
        <v>14</v>
      </c>
      <c r="F2073" s="3" t="n">
        <v>0</v>
      </c>
      <c r="G2073" s="3" t="n">
        <v>1</v>
      </c>
      <c r="H2073" s="24" t="n">
        <v>0.0184748191</v>
      </c>
    </row>
    <row r="2074" customFormat="false" ht="15" hidden="false" customHeight="false" outlineLevel="0" collapsed="false">
      <c r="A2074" s="3" t="n">
        <v>2073</v>
      </c>
      <c r="B2074" s="3" t="n">
        <v>2072</v>
      </c>
      <c r="C2074" s="3" t="s">
        <v>118</v>
      </c>
      <c r="D2074" s="3" t="n">
        <v>5</v>
      </c>
      <c r="E2074" s="3" t="n">
        <v>14</v>
      </c>
      <c r="F2074" s="3" t="n">
        <v>0</v>
      </c>
      <c r="G2074" s="3" t="n">
        <v>2</v>
      </c>
      <c r="H2074" s="24" t="n">
        <v>0.0456995964</v>
      </c>
    </row>
    <row r="2075" customFormat="false" ht="15" hidden="false" customHeight="false" outlineLevel="0" collapsed="false">
      <c r="A2075" s="3" t="n">
        <v>2074</v>
      </c>
      <c r="B2075" s="3" t="n">
        <v>2073</v>
      </c>
      <c r="C2075" s="3" t="s">
        <v>118</v>
      </c>
      <c r="D2075" s="3" t="n">
        <v>5</v>
      </c>
      <c r="E2075" s="3" t="n">
        <v>14</v>
      </c>
      <c r="F2075" s="3" t="n">
        <v>1</v>
      </c>
      <c r="G2075" s="3" t="n">
        <v>0</v>
      </c>
      <c r="H2075" s="24" t="n">
        <v>0.124878682</v>
      </c>
    </row>
    <row r="2076" customFormat="false" ht="15" hidden="false" customHeight="false" outlineLevel="0" collapsed="false">
      <c r="A2076" s="3" t="n">
        <v>2075</v>
      </c>
      <c r="B2076" s="3" t="n">
        <v>2074</v>
      </c>
      <c r="C2076" s="3" t="s">
        <v>118</v>
      </c>
      <c r="D2076" s="3" t="n">
        <v>5</v>
      </c>
      <c r="E2076" s="3" t="n">
        <v>14</v>
      </c>
      <c r="F2076" s="3" t="n">
        <v>1</v>
      </c>
      <c r="G2076" s="3" t="n">
        <v>1</v>
      </c>
      <c r="H2076" s="24" t="n">
        <v>-0.0979031771</v>
      </c>
    </row>
    <row r="2077" customFormat="false" ht="15" hidden="false" customHeight="false" outlineLevel="0" collapsed="false">
      <c r="A2077" s="3" t="n">
        <v>2076</v>
      </c>
      <c r="B2077" s="3" t="n">
        <v>2075</v>
      </c>
      <c r="C2077" s="3" t="s">
        <v>118</v>
      </c>
      <c r="D2077" s="3" t="n">
        <v>5</v>
      </c>
      <c r="E2077" s="3" t="n">
        <v>14</v>
      </c>
      <c r="F2077" s="3" t="n">
        <v>1</v>
      </c>
      <c r="G2077" s="3" t="n">
        <v>2</v>
      </c>
      <c r="H2077" s="24" t="n">
        <v>-0.302279294</v>
      </c>
    </row>
    <row r="2078" customFormat="false" ht="15" hidden="false" customHeight="false" outlineLevel="0" collapsed="false">
      <c r="A2078" s="3" t="n">
        <v>2077</v>
      </c>
      <c r="B2078" s="3" t="n">
        <v>2076</v>
      </c>
      <c r="C2078" s="3" t="s">
        <v>118</v>
      </c>
      <c r="D2078" s="3" t="n">
        <v>5</v>
      </c>
      <c r="E2078" s="3" t="n">
        <v>14</v>
      </c>
      <c r="F2078" s="3" t="n">
        <v>2</v>
      </c>
      <c r="G2078" s="3" t="n">
        <v>0</v>
      </c>
      <c r="H2078" s="24" t="n">
        <v>0.162648901</v>
      </c>
    </row>
    <row r="2079" customFormat="false" ht="15" hidden="false" customHeight="false" outlineLevel="0" collapsed="false">
      <c r="A2079" s="3" t="n">
        <v>2078</v>
      </c>
      <c r="B2079" s="3" t="n">
        <v>2077</v>
      </c>
      <c r="C2079" s="3" t="s">
        <v>118</v>
      </c>
      <c r="D2079" s="3" t="n">
        <v>5</v>
      </c>
      <c r="E2079" s="3" t="n">
        <v>14</v>
      </c>
      <c r="F2079" s="3" t="n">
        <v>2</v>
      </c>
      <c r="G2079" s="3" t="n">
        <v>1</v>
      </c>
      <c r="H2079" s="24" t="n">
        <v>-0.00948081259</v>
      </c>
    </row>
    <row r="2080" customFormat="false" ht="15" hidden="false" customHeight="false" outlineLevel="0" collapsed="false">
      <c r="A2080" s="3" t="n">
        <v>2079</v>
      </c>
      <c r="B2080" s="3" t="n">
        <v>2078</v>
      </c>
      <c r="C2080" s="3" t="s">
        <v>118</v>
      </c>
      <c r="D2080" s="3" t="n">
        <v>5</v>
      </c>
      <c r="E2080" s="3" t="n">
        <v>14</v>
      </c>
      <c r="F2080" s="3" t="n">
        <v>2</v>
      </c>
      <c r="G2080" s="3" t="n">
        <v>2</v>
      </c>
      <c r="H2080" s="24" t="n">
        <v>-0.209644496</v>
      </c>
    </row>
    <row r="2081" customFormat="false" ht="15" hidden="false" customHeight="false" outlineLevel="0" collapsed="false">
      <c r="A2081" s="3" t="n">
        <v>2080</v>
      </c>
      <c r="B2081" s="3" t="n">
        <v>2079</v>
      </c>
      <c r="C2081" s="3" t="s">
        <v>118</v>
      </c>
      <c r="D2081" s="3" t="n">
        <v>5</v>
      </c>
      <c r="E2081" s="3" t="n">
        <v>15</v>
      </c>
      <c r="F2081" s="3" t="n">
        <v>0</v>
      </c>
      <c r="G2081" s="3" t="n">
        <v>0</v>
      </c>
      <c r="H2081" s="24" t="n">
        <v>-0.0518965945</v>
      </c>
    </row>
    <row r="2082" customFormat="false" ht="15" hidden="false" customHeight="false" outlineLevel="0" collapsed="false">
      <c r="A2082" s="3" t="n">
        <v>2081</v>
      </c>
      <c r="B2082" s="3" t="n">
        <v>2080</v>
      </c>
      <c r="C2082" s="3" t="s">
        <v>118</v>
      </c>
      <c r="D2082" s="3" t="n">
        <v>5</v>
      </c>
      <c r="E2082" s="3" t="n">
        <v>15</v>
      </c>
      <c r="F2082" s="3" t="n">
        <v>0</v>
      </c>
      <c r="G2082" s="3" t="n">
        <v>1</v>
      </c>
      <c r="H2082" s="24" t="n">
        <v>-0.0707663819</v>
      </c>
    </row>
    <row r="2083" customFormat="false" ht="15" hidden="false" customHeight="false" outlineLevel="0" collapsed="false">
      <c r="A2083" s="3" t="n">
        <v>2082</v>
      </c>
      <c r="B2083" s="3" t="n">
        <v>2081</v>
      </c>
      <c r="C2083" s="3" t="s">
        <v>118</v>
      </c>
      <c r="D2083" s="3" t="n">
        <v>5</v>
      </c>
      <c r="E2083" s="3" t="n">
        <v>15</v>
      </c>
      <c r="F2083" s="3" t="n">
        <v>0</v>
      </c>
      <c r="G2083" s="3" t="n">
        <v>2</v>
      </c>
      <c r="H2083" s="24" t="n">
        <v>-0.0966401771</v>
      </c>
    </row>
    <row r="2084" customFormat="false" ht="15" hidden="false" customHeight="false" outlineLevel="0" collapsed="false">
      <c r="A2084" s="3" t="n">
        <v>2083</v>
      </c>
      <c r="B2084" s="3" t="n">
        <v>2082</v>
      </c>
      <c r="C2084" s="3" t="s">
        <v>118</v>
      </c>
      <c r="D2084" s="3" t="n">
        <v>5</v>
      </c>
      <c r="E2084" s="3" t="n">
        <v>15</v>
      </c>
      <c r="F2084" s="3" t="n">
        <v>1</v>
      </c>
      <c r="G2084" s="3" t="n">
        <v>0</v>
      </c>
      <c r="H2084" s="24" t="n">
        <v>-0.0143043501</v>
      </c>
    </row>
    <row r="2085" customFormat="false" ht="15" hidden="false" customHeight="false" outlineLevel="0" collapsed="false">
      <c r="A2085" s="3" t="n">
        <v>2084</v>
      </c>
      <c r="B2085" s="3" t="n">
        <v>2083</v>
      </c>
      <c r="C2085" s="3" t="s">
        <v>118</v>
      </c>
      <c r="D2085" s="3" t="n">
        <v>5</v>
      </c>
      <c r="E2085" s="3" t="n">
        <v>15</v>
      </c>
      <c r="F2085" s="3" t="n">
        <v>1</v>
      </c>
      <c r="G2085" s="3" t="n">
        <v>1</v>
      </c>
      <c r="H2085" s="24" t="n">
        <v>0.00312184542</v>
      </c>
    </row>
    <row r="2086" customFormat="false" ht="15" hidden="false" customHeight="false" outlineLevel="0" collapsed="false">
      <c r="A2086" s="3" t="n">
        <v>2085</v>
      </c>
      <c r="B2086" s="3" t="n">
        <v>2084</v>
      </c>
      <c r="C2086" s="3" t="s">
        <v>118</v>
      </c>
      <c r="D2086" s="3" t="n">
        <v>5</v>
      </c>
      <c r="E2086" s="3" t="n">
        <v>15</v>
      </c>
      <c r="F2086" s="3" t="n">
        <v>1</v>
      </c>
      <c r="G2086" s="3" t="n">
        <v>2</v>
      </c>
      <c r="H2086" s="24" t="n">
        <v>-0.376245946</v>
      </c>
    </row>
    <row r="2087" customFormat="false" ht="15" hidden="false" customHeight="false" outlineLevel="0" collapsed="false">
      <c r="A2087" s="3" t="n">
        <v>2086</v>
      </c>
      <c r="B2087" s="3" t="n">
        <v>2085</v>
      </c>
      <c r="C2087" s="3" t="s">
        <v>118</v>
      </c>
      <c r="D2087" s="3" t="n">
        <v>5</v>
      </c>
      <c r="E2087" s="3" t="n">
        <v>15</v>
      </c>
      <c r="F2087" s="3" t="n">
        <v>2</v>
      </c>
      <c r="G2087" s="3" t="n">
        <v>0</v>
      </c>
      <c r="H2087" s="24" t="n">
        <v>0.23528561</v>
      </c>
    </row>
    <row r="2088" customFormat="false" ht="15" hidden="false" customHeight="false" outlineLevel="0" collapsed="false">
      <c r="A2088" s="3" t="n">
        <v>2087</v>
      </c>
      <c r="B2088" s="3" t="n">
        <v>2086</v>
      </c>
      <c r="C2088" s="3" t="s">
        <v>118</v>
      </c>
      <c r="D2088" s="3" t="n">
        <v>5</v>
      </c>
      <c r="E2088" s="3" t="n">
        <v>15</v>
      </c>
      <c r="F2088" s="3" t="n">
        <v>2</v>
      </c>
      <c r="G2088" s="3" t="n">
        <v>1</v>
      </c>
      <c r="H2088" s="24" t="n">
        <v>0.0682050362</v>
      </c>
    </row>
    <row r="2089" customFormat="false" ht="15" hidden="false" customHeight="false" outlineLevel="0" collapsed="false">
      <c r="A2089" s="3" t="n">
        <v>2088</v>
      </c>
      <c r="B2089" s="3" t="n">
        <v>2087</v>
      </c>
      <c r="C2089" s="3" t="s">
        <v>118</v>
      </c>
      <c r="D2089" s="3" t="n">
        <v>5</v>
      </c>
      <c r="E2089" s="3" t="n">
        <v>15</v>
      </c>
      <c r="F2089" s="3" t="n">
        <v>2</v>
      </c>
      <c r="G2089" s="3" t="n">
        <v>2</v>
      </c>
      <c r="H2089" s="24" t="n">
        <v>-0.0278114863</v>
      </c>
    </row>
    <row r="2090" customFormat="false" ht="15" hidden="false" customHeight="false" outlineLevel="0" collapsed="false">
      <c r="A2090" s="3" t="n">
        <v>2089</v>
      </c>
      <c r="B2090" s="3" t="n">
        <v>2088</v>
      </c>
      <c r="C2090" s="3" t="s">
        <v>118</v>
      </c>
      <c r="D2090" s="3" t="n">
        <v>6</v>
      </c>
      <c r="E2090" s="3" t="n">
        <v>0</v>
      </c>
      <c r="F2090" s="3" t="n">
        <v>0</v>
      </c>
      <c r="G2090" s="3" t="n">
        <v>0</v>
      </c>
      <c r="H2090" s="24" t="n">
        <v>-0.012668658</v>
      </c>
    </row>
    <row r="2091" customFormat="false" ht="15" hidden="false" customHeight="false" outlineLevel="0" collapsed="false">
      <c r="A2091" s="3" t="n">
        <v>2090</v>
      </c>
      <c r="B2091" s="3" t="n">
        <v>2089</v>
      </c>
      <c r="C2091" s="3" t="s">
        <v>118</v>
      </c>
      <c r="D2091" s="3" t="n">
        <v>6</v>
      </c>
      <c r="E2091" s="3" t="n">
        <v>0</v>
      </c>
      <c r="F2091" s="3" t="n">
        <v>0</v>
      </c>
      <c r="G2091" s="3" t="n">
        <v>1</v>
      </c>
      <c r="H2091" s="24" t="n">
        <v>0.315279156</v>
      </c>
    </row>
    <row r="2092" customFormat="false" ht="15" hidden="false" customHeight="false" outlineLevel="0" collapsed="false">
      <c r="A2092" s="3" t="n">
        <v>2091</v>
      </c>
      <c r="B2092" s="3" t="n">
        <v>2090</v>
      </c>
      <c r="C2092" s="3" t="s">
        <v>118</v>
      </c>
      <c r="D2092" s="3" t="n">
        <v>6</v>
      </c>
      <c r="E2092" s="3" t="n">
        <v>0</v>
      </c>
      <c r="F2092" s="3" t="n">
        <v>0</v>
      </c>
      <c r="G2092" s="3" t="n">
        <v>2</v>
      </c>
      <c r="H2092" s="24" t="n">
        <v>0.29276824</v>
      </c>
    </row>
    <row r="2093" customFormat="false" ht="15" hidden="false" customHeight="false" outlineLevel="0" collapsed="false">
      <c r="A2093" s="3" t="n">
        <v>2092</v>
      </c>
      <c r="B2093" s="3" t="n">
        <v>2091</v>
      </c>
      <c r="C2093" s="3" t="s">
        <v>118</v>
      </c>
      <c r="D2093" s="3" t="n">
        <v>6</v>
      </c>
      <c r="E2093" s="3" t="n">
        <v>0</v>
      </c>
      <c r="F2093" s="3" t="n">
        <v>1</v>
      </c>
      <c r="G2093" s="3" t="n">
        <v>0</v>
      </c>
      <c r="H2093" s="24" t="n">
        <v>0.0993195698</v>
      </c>
    </row>
    <row r="2094" customFormat="false" ht="15" hidden="false" customHeight="false" outlineLevel="0" collapsed="false">
      <c r="A2094" s="3" t="n">
        <v>2093</v>
      </c>
      <c r="B2094" s="3" t="n">
        <v>2092</v>
      </c>
      <c r="C2094" s="3" t="s">
        <v>118</v>
      </c>
      <c r="D2094" s="3" t="n">
        <v>6</v>
      </c>
      <c r="E2094" s="3" t="n">
        <v>0</v>
      </c>
      <c r="F2094" s="3" t="n">
        <v>1</v>
      </c>
      <c r="G2094" s="3" t="n">
        <v>1</v>
      </c>
      <c r="H2094" s="24" t="n">
        <v>0.069244422</v>
      </c>
    </row>
    <row r="2095" customFormat="false" ht="15" hidden="false" customHeight="false" outlineLevel="0" collapsed="false">
      <c r="A2095" s="3" t="n">
        <v>2094</v>
      </c>
      <c r="B2095" s="3" t="n">
        <v>2093</v>
      </c>
      <c r="C2095" s="3" t="s">
        <v>118</v>
      </c>
      <c r="D2095" s="3" t="n">
        <v>6</v>
      </c>
      <c r="E2095" s="3" t="n">
        <v>0</v>
      </c>
      <c r="F2095" s="3" t="n">
        <v>1</v>
      </c>
      <c r="G2095" s="3" t="n">
        <v>2</v>
      </c>
      <c r="H2095" s="24" t="n">
        <v>-0.151836008</v>
      </c>
    </row>
    <row r="2096" customFormat="false" ht="15" hidden="false" customHeight="false" outlineLevel="0" collapsed="false">
      <c r="A2096" s="3" t="n">
        <v>2095</v>
      </c>
      <c r="B2096" s="3" t="n">
        <v>2094</v>
      </c>
      <c r="C2096" s="3" t="s">
        <v>118</v>
      </c>
      <c r="D2096" s="3" t="n">
        <v>6</v>
      </c>
      <c r="E2096" s="3" t="n">
        <v>0</v>
      </c>
      <c r="F2096" s="3" t="n">
        <v>2</v>
      </c>
      <c r="G2096" s="3" t="n">
        <v>0</v>
      </c>
      <c r="H2096" s="24" t="n">
        <v>-0.120075934</v>
      </c>
    </row>
    <row r="2097" customFormat="false" ht="15" hidden="false" customHeight="false" outlineLevel="0" collapsed="false">
      <c r="A2097" s="3" t="n">
        <v>2096</v>
      </c>
      <c r="B2097" s="3" t="n">
        <v>2095</v>
      </c>
      <c r="C2097" s="3" t="s">
        <v>118</v>
      </c>
      <c r="D2097" s="3" t="n">
        <v>6</v>
      </c>
      <c r="E2097" s="3" t="n">
        <v>0</v>
      </c>
      <c r="F2097" s="3" t="n">
        <v>2</v>
      </c>
      <c r="G2097" s="3" t="n">
        <v>1</v>
      </c>
      <c r="H2097" s="24" t="n">
        <v>0.00954332668</v>
      </c>
    </row>
    <row r="2098" customFormat="false" ht="15" hidden="false" customHeight="false" outlineLevel="0" collapsed="false">
      <c r="A2098" s="3" t="n">
        <v>2097</v>
      </c>
      <c r="B2098" s="3" t="n">
        <v>2096</v>
      </c>
      <c r="C2098" s="3" t="s">
        <v>118</v>
      </c>
      <c r="D2098" s="3" t="n">
        <v>6</v>
      </c>
      <c r="E2098" s="3" t="n">
        <v>0</v>
      </c>
      <c r="F2098" s="3" t="n">
        <v>2</v>
      </c>
      <c r="G2098" s="3" t="n">
        <v>2</v>
      </c>
      <c r="H2098" s="24" t="n">
        <v>-0.277993739</v>
      </c>
    </row>
    <row r="2099" customFormat="false" ht="15" hidden="false" customHeight="false" outlineLevel="0" collapsed="false">
      <c r="A2099" s="3" t="n">
        <v>2098</v>
      </c>
      <c r="B2099" s="3" t="n">
        <v>2097</v>
      </c>
      <c r="C2099" s="3" t="s">
        <v>118</v>
      </c>
      <c r="D2099" s="3" t="n">
        <v>6</v>
      </c>
      <c r="E2099" s="3" t="n">
        <v>1</v>
      </c>
      <c r="F2099" s="3" t="n">
        <v>0</v>
      </c>
      <c r="G2099" s="3" t="n">
        <v>0</v>
      </c>
      <c r="H2099" s="24" t="n">
        <v>0.211415485</v>
      </c>
    </row>
    <row r="2100" customFormat="false" ht="15" hidden="false" customHeight="false" outlineLevel="0" collapsed="false">
      <c r="A2100" s="3" t="n">
        <v>2099</v>
      </c>
      <c r="B2100" s="3" t="n">
        <v>2098</v>
      </c>
      <c r="C2100" s="3" t="s">
        <v>118</v>
      </c>
      <c r="D2100" s="3" t="n">
        <v>6</v>
      </c>
      <c r="E2100" s="3" t="n">
        <v>1</v>
      </c>
      <c r="F2100" s="3" t="n">
        <v>0</v>
      </c>
      <c r="G2100" s="3" t="n">
        <v>1</v>
      </c>
      <c r="H2100" s="24" t="n">
        <v>0.129301697</v>
      </c>
    </row>
    <row r="2101" customFormat="false" ht="15" hidden="false" customHeight="false" outlineLevel="0" collapsed="false">
      <c r="A2101" s="3" t="n">
        <v>2100</v>
      </c>
      <c r="B2101" s="3" t="n">
        <v>2099</v>
      </c>
      <c r="C2101" s="3" t="s">
        <v>118</v>
      </c>
      <c r="D2101" s="3" t="n">
        <v>6</v>
      </c>
      <c r="E2101" s="3" t="n">
        <v>1</v>
      </c>
      <c r="F2101" s="3" t="n">
        <v>0</v>
      </c>
      <c r="G2101" s="3" t="n">
        <v>2</v>
      </c>
      <c r="H2101" s="24" t="n">
        <v>-0.252953947</v>
      </c>
    </row>
    <row r="2102" customFormat="false" ht="15" hidden="false" customHeight="false" outlineLevel="0" collapsed="false">
      <c r="A2102" s="3" t="n">
        <v>2101</v>
      </c>
      <c r="B2102" s="3" t="n">
        <v>2100</v>
      </c>
      <c r="C2102" s="3" t="s">
        <v>118</v>
      </c>
      <c r="D2102" s="3" t="n">
        <v>6</v>
      </c>
      <c r="E2102" s="3" t="n">
        <v>1</v>
      </c>
      <c r="F2102" s="3" t="n">
        <v>1</v>
      </c>
      <c r="G2102" s="3" t="n">
        <v>0</v>
      </c>
      <c r="H2102" s="24" t="n">
        <v>0.0650254935</v>
      </c>
    </row>
    <row r="2103" customFormat="false" ht="15" hidden="false" customHeight="false" outlineLevel="0" collapsed="false">
      <c r="A2103" s="3" t="n">
        <v>2102</v>
      </c>
      <c r="B2103" s="3" t="n">
        <v>2101</v>
      </c>
      <c r="C2103" s="3" t="s">
        <v>118</v>
      </c>
      <c r="D2103" s="3" t="n">
        <v>6</v>
      </c>
      <c r="E2103" s="3" t="n">
        <v>1</v>
      </c>
      <c r="F2103" s="3" t="n">
        <v>1</v>
      </c>
      <c r="G2103" s="3" t="n">
        <v>1</v>
      </c>
      <c r="H2103" s="24" t="n">
        <v>0.154189855</v>
      </c>
    </row>
    <row r="2104" customFormat="false" ht="15" hidden="false" customHeight="false" outlineLevel="0" collapsed="false">
      <c r="A2104" s="3" t="n">
        <v>2103</v>
      </c>
      <c r="B2104" s="3" t="n">
        <v>2102</v>
      </c>
      <c r="C2104" s="3" t="s">
        <v>118</v>
      </c>
      <c r="D2104" s="3" t="n">
        <v>6</v>
      </c>
      <c r="E2104" s="3" t="n">
        <v>1</v>
      </c>
      <c r="F2104" s="3" t="n">
        <v>1</v>
      </c>
      <c r="G2104" s="3" t="n">
        <v>2</v>
      </c>
      <c r="H2104" s="24" t="n">
        <v>0.154819623</v>
      </c>
    </row>
    <row r="2105" customFormat="false" ht="15" hidden="false" customHeight="false" outlineLevel="0" collapsed="false">
      <c r="A2105" s="3" t="n">
        <v>2104</v>
      </c>
      <c r="B2105" s="3" t="n">
        <v>2103</v>
      </c>
      <c r="C2105" s="3" t="s">
        <v>118</v>
      </c>
      <c r="D2105" s="3" t="n">
        <v>6</v>
      </c>
      <c r="E2105" s="3" t="n">
        <v>1</v>
      </c>
      <c r="F2105" s="3" t="n">
        <v>2</v>
      </c>
      <c r="G2105" s="3" t="n">
        <v>0</v>
      </c>
      <c r="H2105" s="24" t="n">
        <v>-0.127489448</v>
      </c>
    </row>
    <row r="2106" customFormat="false" ht="15" hidden="false" customHeight="false" outlineLevel="0" collapsed="false">
      <c r="A2106" s="3" t="n">
        <v>2105</v>
      </c>
      <c r="B2106" s="3" t="n">
        <v>2104</v>
      </c>
      <c r="C2106" s="3" t="s">
        <v>118</v>
      </c>
      <c r="D2106" s="3" t="n">
        <v>6</v>
      </c>
      <c r="E2106" s="3" t="n">
        <v>1</v>
      </c>
      <c r="F2106" s="3" t="n">
        <v>2</v>
      </c>
      <c r="G2106" s="3" t="n">
        <v>1</v>
      </c>
      <c r="H2106" s="24" t="n">
        <v>0.116640486</v>
      </c>
    </row>
    <row r="2107" customFormat="false" ht="15" hidden="false" customHeight="false" outlineLevel="0" collapsed="false">
      <c r="A2107" s="3" t="n">
        <v>2106</v>
      </c>
      <c r="B2107" s="3" t="n">
        <v>2105</v>
      </c>
      <c r="C2107" s="3" t="s">
        <v>118</v>
      </c>
      <c r="D2107" s="3" t="n">
        <v>6</v>
      </c>
      <c r="E2107" s="3" t="n">
        <v>1</v>
      </c>
      <c r="F2107" s="3" t="n">
        <v>2</v>
      </c>
      <c r="G2107" s="3" t="n">
        <v>2</v>
      </c>
      <c r="H2107" s="24" t="n">
        <v>0.164026082</v>
      </c>
    </row>
    <row r="2108" customFormat="false" ht="15" hidden="false" customHeight="false" outlineLevel="0" collapsed="false">
      <c r="A2108" s="3" t="n">
        <v>2107</v>
      </c>
      <c r="B2108" s="3" t="n">
        <v>2106</v>
      </c>
      <c r="C2108" s="3" t="s">
        <v>118</v>
      </c>
      <c r="D2108" s="3" t="n">
        <v>6</v>
      </c>
      <c r="E2108" s="3" t="n">
        <v>2</v>
      </c>
      <c r="F2108" s="3" t="n">
        <v>0</v>
      </c>
      <c r="G2108" s="3" t="n">
        <v>0</v>
      </c>
      <c r="H2108" s="24" t="n">
        <v>-0.105185919</v>
      </c>
    </row>
    <row r="2109" customFormat="false" ht="15" hidden="false" customHeight="false" outlineLevel="0" collapsed="false">
      <c r="A2109" s="3" t="n">
        <v>2108</v>
      </c>
      <c r="B2109" s="3" t="n">
        <v>2107</v>
      </c>
      <c r="C2109" s="3" t="s">
        <v>118</v>
      </c>
      <c r="D2109" s="3" t="n">
        <v>6</v>
      </c>
      <c r="E2109" s="3" t="n">
        <v>2</v>
      </c>
      <c r="F2109" s="3" t="n">
        <v>0</v>
      </c>
      <c r="G2109" s="3" t="n">
        <v>1</v>
      </c>
      <c r="H2109" s="24" t="n">
        <v>0.117173769</v>
      </c>
    </row>
    <row r="2110" customFormat="false" ht="15" hidden="false" customHeight="false" outlineLevel="0" collapsed="false">
      <c r="A2110" s="3" t="n">
        <v>2109</v>
      </c>
      <c r="B2110" s="3" t="n">
        <v>2108</v>
      </c>
      <c r="C2110" s="3" t="s">
        <v>118</v>
      </c>
      <c r="D2110" s="3" t="n">
        <v>6</v>
      </c>
      <c r="E2110" s="3" t="n">
        <v>2</v>
      </c>
      <c r="F2110" s="3" t="n">
        <v>0</v>
      </c>
      <c r="G2110" s="3" t="n">
        <v>2</v>
      </c>
      <c r="H2110" s="24" t="n">
        <v>-0.0186356474</v>
      </c>
    </row>
    <row r="2111" customFormat="false" ht="15" hidden="false" customHeight="false" outlineLevel="0" collapsed="false">
      <c r="A2111" s="3" t="n">
        <v>2110</v>
      </c>
      <c r="B2111" s="3" t="n">
        <v>2109</v>
      </c>
      <c r="C2111" s="3" t="s">
        <v>118</v>
      </c>
      <c r="D2111" s="3" t="n">
        <v>6</v>
      </c>
      <c r="E2111" s="3" t="n">
        <v>2</v>
      </c>
      <c r="F2111" s="3" t="n">
        <v>1</v>
      </c>
      <c r="G2111" s="3" t="n">
        <v>0</v>
      </c>
      <c r="H2111" s="24" t="n">
        <v>-0.0213298239</v>
      </c>
    </row>
    <row r="2112" customFormat="false" ht="15" hidden="false" customHeight="false" outlineLevel="0" collapsed="false">
      <c r="A2112" s="3" t="n">
        <v>2111</v>
      </c>
      <c r="B2112" s="3" t="n">
        <v>2110</v>
      </c>
      <c r="C2112" s="3" t="s">
        <v>118</v>
      </c>
      <c r="D2112" s="3" t="n">
        <v>6</v>
      </c>
      <c r="E2112" s="3" t="n">
        <v>2</v>
      </c>
      <c r="F2112" s="3" t="n">
        <v>1</v>
      </c>
      <c r="G2112" s="3" t="n">
        <v>1</v>
      </c>
      <c r="H2112" s="24" t="n">
        <v>-0.158047691</v>
      </c>
    </row>
    <row r="2113" customFormat="false" ht="15" hidden="false" customHeight="false" outlineLevel="0" collapsed="false">
      <c r="A2113" s="3" t="n">
        <v>2112</v>
      </c>
      <c r="B2113" s="3" t="n">
        <v>2111</v>
      </c>
      <c r="C2113" s="3" t="s">
        <v>118</v>
      </c>
      <c r="D2113" s="3" t="n">
        <v>6</v>
      </c>
      <c r="E2113" s="3" t="n">
        <v>2</v>
      </c>
      <c r="F2113" s="3" t="n">
        <v>1</v>
      </c>
      <c r="G2113" s="3" t="n">
        <v>2</v>
      </c>
      <c r="H2113" s="24" t="n">
        <v>-0.239630759</v>
      </c>
    </row>
    <row r="2114" customFormat="false" ht="15" hidden="false" customHeight="false" outlineLevel="0" collapsed="false">
      <c r="A2114" s="3" t="n">
        <v>2113</v>
      </c>
      <c r="B2114" s="3" t="n">
        <v>2112</v>
      </c>
      <c r="C2114" s="3" t="s">
        <v>118</v>
      </c>
      <c r="D2114" s="3" t="n">
        <v>6</v>
      </c>
      <c r="E2114" s="3" t="n">
        <v>2</v>
      </c>
      <c r="F2114" s="3" t="n">
        <v>2</v>
      </c>
      <c r="G2114" s="3" t="n">
        <v>0</v>
      </c>
      <c r="H2114" s="24" t="n">
        <v>0.274528563</v>
      </c>
    </row>
    <row r="2115" customFormat="false" ht="15" hidden="false" customHeight="false" outlineLevel="0" collapsed="false">
      <c r="A2115" s="3" t="n">
        <v>2114</v>
      </c>
      <c r="B2115" s="3" t="n">
        <v>2113</v>
      </c>
      <c r="C2115" s="3" t="s">
        <v>118</v>
      </c>
      <c r="D2115" s="3" t="n">
        <v>6</v>
      </c>
      <c r="E2115" s="3" t="n">
        <v>2</v>
      </c>
      <c r="F2115" s="3" t="n">
        <v>2</v>
      </c>
      <c r="G2115" s="3" t="n">
        <v>1</v>
      </c>
      <c r="H2115" s="24" t="n">
        <v>-0.13227576</v>
      </c>
    </row>
    <row r="2116" customFormat="false" ht="15" hidden="false" customHeight="false" outlineLevel="0" collapsed="false">
      <c r="A2116" s="3" t="n">
        <v>2115</v>
      </c>
      <c r="B2116" s="3" t="n">
        <v>2114</v>
      </c>
      <c r="C2116" s="3" t="s">
        <v>118</v>
      </c>
      <c r="D2116" s="3" t="n">
        <v>6</v>
      </c>
      <c r="E2116" s="3" t="n">
        <v>2</v>
      </c>
      <c r="F2116" s="3" t="n">
        <v>2</v>
      </c>
      <c r="G2116" s="3" t="n">
        <v>2</v>
      </c>
      <c r="H2116" s="24" t="n">
        <v>-0.384043217</v>
      </c>
    </row>
    <row r="2117" customFormat="false" ht="15" hidden="false" customHeight="false" outlineLevel="0" collapsed="false">
      <c r="A2117" s="3" t="n">
        <v>2116</v>
      </c>
      <c r="B2117" s="3" t="n">
        <v>2115</v>
      </c>
      <c r="C2117" s="3" t="s">
        <v>118</v>
      </c>
      <c r="D2117" s="3" t="n">
        <v>6</v>
      </c>
      <c r="E2117" s="3" t="n">
        <v>3</v>
      </c>
      <c r="F2117" s="3" t="n">
        <v>0</v>
      </c>
      <c r="G2117" s="3" t="n">
        <v>0</v>
      </c>
      <c r="H2117" s="24" t="n">
        <v>-0.0710865036</v>
      </c>
    </row>
    <row r="2118" customFormat="false" ht="15" hidden="false" customHeight="false" outlineLevel="0" collapsed="false">
      <c r="A2118" s="3" t="n">
        <v>2117</v>
      </c>
      <c r="B2118" s="3" t="n">
        <v>2116</v>
      </c>
      <c r="C2118" s="3" t="s">
        <v>118</v>
      </c>
      <c r="D2118" s="3" t="n">
        <v>6</v>
      </c>
      <c r="E2118" s="3" t="n">
        <v>3</v>
      </c>
      <c r="F2118" s="3" t="n">
        <v>0</v>
      </c>
      <c r="G2118" s="3" t="n">
        <v>1</v>
      </c>
      <c r="H2118" s="24" t="n">
        <v>-0.0447885282</v>
      </c>
    </row>
    <row r="2119" customFormat="false" ht="15" hidden="false" customHeight="false" outlineLevel="0" collapsed="false">
      <c r="A2119" s="3" t="n">
        <v>2118</v>
      </c>
      <c r="B2119" s="3" t="n">
        <v>2117</v>
      </c>
      <c r="C2119" s="3" t="s">
        <v>118</v>
      </c>
      <c r="D2119" s="3" t="n">
        <v>6</v>
      </c>
      <c r="E2119" s="3" t="n">
        <v>3</v>
      </c>
      <c r="F2119" s="3" t="n">
        <v>0</v>
      </c>
      <c r="G2119" s="3" t="n">
        <v>2</v>
      </c>
      <c r="H2119" s="24" t="n">
        <v>-0.0542791821</v>
      </c>
    </row>
    <row r="2120" customFormat="false" ht="15" hidden="false" customHeight="false" outlineLevel="0" collapsed="false">
      <c r="A2120" s="3" t="n">
        <v>2119</v>
      </c>
      <c r="B2120" s="3" t="n">
        <v>2118</v>
      </c>
      <c r="C2120" s="3" t="s">
        <v>118</v>
      </c>
      <c r="D2120" s="3" t="n">
        <v>6</v>
      </c>
      <c r="E2120" s="3" t="n">
        <v>3</v>
      </c>
      <c r="F2120" s="3" t="n">
        <v>1</v>
      </c>
      <c r="G2120" s="3" t="n">
        <v>0</v>
      </c>
      <c r="H2120" s="24" t="n">
        <v>-0.035114605</v>
      </c>
    </row>
    <row r="2121" customFormat="false" ht="15" hidden="false" customHeight="false" outlineLevel="0" collapsed="false">
      <c r="A2121" s="3" t="n">
        <v>2120</v>
      </c>
      <c r="B2121" s="3" t="n">
        <v>2119</v>
      </c>
      <c r="C2121" s="3" t="s">
        <v>118</v>
      </c>
      <c r="D2121" s="3" t="n">
        <v>6</v>
      </c>
      <c r="E2121" s="3" t="n">
        <v>3</v>
      </c>
      <c r="F2121" s="3" t="n">
        <v>1</v>
      </c>
      <c r="G2121" s="3" t="n">
        <v>1</v>
      </c>
      <c r="H2121" s="24" t="n">
        <v>-0.278205514</v>
      </c>
    </row>
    <row r="2122" customFormat="false" ht="15" hidden="false" customHeight="false" outlineLevel="0" collapsed="false">
      <c r="A2122" s="3" t="n">
        <v>2121</v>
      </c>
      <c r="B2122" s="3" t="n">
        <v>2120</v>
      </c>
      <c r="C2122" s="3" t="s">
        <v>118</v>
      </c>
      <c r="D2122" s="3" t="n">
        <v>6</v>
      </c>
      <c r="E2122" s="3" t="n">
        <v>3</v>
      </c>
      <c r="F2122" s="3" t="n">
        <v>1</v>
      </c>
      <c r="G2122" s="3" t="n">
        <v>2</v>
      </c>
      <c r="H2122" s="24" t="n">
        <v>-0.13574402</v>
      </c>
    </row>
    <row r="2123" customFormat="false" ht="15" hidden="false" customHeight="false" outlineLevel="0" collapsed="false">
      <c r="A2123" s="3" t="n">
        <v>2122</v>
      </c>
      <c r="B2123" s="3" t="n">
        <v>2121</v>
      </c>
      <c r="C2123" s="3" t="s">
        <v>118</v>
      </c>
      <c r="D2123" s="3" t="n">
        <v>6</v>
      </c>
      <c r="E2123" s="3" t="n">
        <v>3</v>
      </c>
      <c r="F2123" s="3" t="n">
        <v>2</v>
      </c>
      <c r="G2123" s="3" t="n">
        <v>0</v>
      </c>
      <c r="H2123" s="24" t="n">
        <v>0.169378832</v>
      </c>
    </row>
    <row r="2124" customFormat="false" ht="15" hidden="false" customHeight="false" outlineLevel="0" collapsed="false">
      <c r="A2124" s="3" t="n">
        <v>2123</v>
      </c>
      <c r="B2124" s="3" t="n">
        <v>2122</v>
      </c>
      <c r="C2124" s="3" t="s">
        <v>118</v>
      </c>
      <c r="D2124" s="3" t="n">
        <v>6</v>
      </c>
      <c r="E2124" s="3" t="n">
        <v>3</v>
      </c>
      <c r="F2124" s="3" t="n">
        <v>2</v>
      </c>
      <c r="G2124" s="3" t="n">
        <v>1</v>
      </c>
      <c r="H2124" s="24" t="n">
        <v>-0.0778747872</v>
      </c>
    </row>
    <row r="2125" customFormat="false" ht="15" hidden="false" customHeight="false" outlineLevel="0" collapsed="false">
      <c r="A2125" s="3" t="n">
        <v>2124</v>
      </c>
      <c r="B2125" s="3" t="n">
        <v>2123</v>
      </c>
      <c r="C2125" s="3" t="s">
        <v>118</v>
      </c>
      <c r="D2125" s="3" t="n">
        <v>6</v>
      </c>
      <c r="E2125" s="3" t="n">
        <v>3</v>
      </c>
      <c r="F2125" s="3" t="n">
        <v>2</v>
      </c>
      <c r="G2125" s="3" t="n">
        <v>2</v>
      </c>
      <c r="H2125" s="24" t="n">
        <v>-0.0365365185</v>
      </c>
    </row>
    <row r="2126" customFormat="false" ht="15" hidden="false" customHeight="false" outlineLevel="0" collapsed="false">
      <c r="A2126" s="3" t="n">
        <v>2125</v>
      </c>
      <c r="B2126" s="3" t="n">
        <v>2124</v>
      </c>
      <c r="C2126" s="3" t="s">
        <v>118</v>
      </c>
      <c r="D2126" s="3" t="n">
        <v>6</v>
      </c>
      <c r="E2126" s="3" t="n">
        <v>4</v>
      </c>
      <c r="F2126" s="3" t="n">
        <v>0</v>
      </c>
      <c r="G2126" s="3" t="n">
        <v>0</v>
      </c>
      <c r="H2126" s="24" t="n">
        <v>0.267901808</v>
      </c>
    </row>
    <row r="2127" customFormat="false" ht="15" hidden="false" customHeight="false" outlineLevel="0" collapsed="false">
      <c r="A2127" s="3" t="n">
        <v>2126</v>
      </c>
      <c r="B2127" s="3" t="n">
        <v>2125</v>
      </c>
      <c r="C2127" s="3" t="s">
        <v>118</v>
      </c>
      <c r="D2127" s="3" t="n">
        <v>6</v>
      </c>
      <c r="E2127" s="3" t="n">
        <v>4</v>
      </c>
      <c r="F2127" s="3" t="n">
        <v>0</v>
      </c>
      <c r="G2127" s="3" t="n">
        <v>1</v>
      </c>
      <c r="H2127" s="24" t="n">
        <v>0.2325591</v>
      </c>
    </row>
    <row r="2128" customFormat="false" ht="15" hidden="false" customHeight="false" outlineLevel="0" collapsed="false">
      <c r="A2128" s="3" t="n">
        <v>2127</v>
      </c>
      <c r="B2128" s="3" t="n">
        <v>2126</v>
      </c>
      <c r="C2128" s="3" t="s">
        <v>118</v>
      </c>
      <c r="D2128" s="3" t="n">
        <v>6</v>
      </c>
      <c r="E2128" s="3" t="n">
        <v>4</v>
      </c>
      <c r="F2128" s="3" t="n">
        <v>0</v>
      </c>
      <c r="G2128" s="3" t="n">
        <v>2</v>
      </c>
      <c r="H2128" s="24" t="n">
        <v>0.0899455473</v>
      </c>
    </row>
    <row r="2129" customFormat="false" ht="15" hidden="false" customHeight="false" outlineLevel="0" collapsed="false">
      <c r="A2129" s="3" t="n">
        <v>2128</v>
      </c>
      <c r="B2129" s="3" t="n">
        <v>2127</v>
      </c>
      <c r="C2129" s="3" t="s">
        <v>118</v>
      </c>
      <c r="D2129" s="3" t="n">
        <v>6</v>
      </c>
      <c r="E2129" s="3" t="n">
        <v>4</v>
      </c>
      <c r="F2129" s="3" t="n">
        <v>1</v>
      </c>
      <c r="G2129" s="3" t="n">
        <v>0</v>
      </c>
      <c r="H2129" s="24" t="n">
        <v>-0.036354024</v>
      </c>
    </row>
    <row r="2130" customFormat="false" ht="15" hidden="false" customHeight="false" outlineLevel="0" collapsed="false">
      <c r="A2130" s="3" t="n">
        <v>2129</v>
      </c>
      <c r="B2130" s="3" t="n">
        <v>2128</v>
      </c>
      <c r="C2130" s="3" t="s">
        <v>118</v>
      </c>
      <c r="D2130" s="3" t="n">
        <v>6</v>
      </c>
      <c r="E2130" s="3" t="n">
        <v>4</v>
      </c>
      <c r="F2130" s="3" t="n">
        <v>1</v>
      </c>
      <c r="G2130" s="3" t="n">
        <v>1</v>
      </c>
      <c r="H2130" s="24" t="n">
        <v>-0.103304163</v>
      </c>
    </row>
    <row r="2131" customFormat="false" ht="15" hidden="false" customHeight="false" outlineLevel="0" collapsed="false">
      <c r="A2131" s="3" t="n">
        <v>2130</v>
      </c>
      <c r="B2131" s="3" t="n">
        <v>2129</v>
      </c>
      <c r="C2131" s="3" t="s">
        <v>118</v>
      </c>
      <c r="D2131" s="3" t="n">
        <v>6</v>
      </c>
      <c r="E2131" s="3" t="n">
        <v>4</v>
      </c>
      <c r="F2131" s="3" t="n">
        <v>1</v>
      </c>
      <c r="G2131" s="3" t="n">
        <v>2</v>
      </c>
      <c r="H2131" s="24" t="n">
        <v>0.0562622808</v>
      </c>
    </row>
    <row r="2132" customFormat="false" ht="15" hidden="false" customHeight="false" outlineLevel="0" collapsed="false">
      <c r="A2132" s="3" t="n">
        <v>2131</v>
      </c>
      <c r="B2132" s="3" t="n">
        <v>2130</v>
      </c>
      <c r="C2132" s="3" t="s">
        <v>118</v>
      </c>
      <c r="D2132" s="3" t="n">
        <v>6</v>
      </c>
      <c r="E2132" s="3" t="n">
        <v>4</v>
      </c>
      <c r="F2132" s="3" t="n">
        <v>2</v>
      </c>
      <c r="G2132" s="3" t="n">
        <v>0</v>
      </c>
      <c r="H2132" s="24" t="n">
        <v>0.171324641</v>
      </c>
    </row>
    <row r="2133" customFormat="false" ht="15" hidden="false" customHeight="false" outlineLevel="0" collapsed="false">
      <c r="A2133" s="3" t="n">
        <v>2132</v>
      </c>
      <c r="B2133" s="3" t="n">
        <v>2131</v>
      </c>
      <c r="C2133" s="3" t="s">
        <v>118</v>
      </c>
      <c r="D2133" s="3" t="n">
        <v>6</v>
      </c>
      <c r="E2133" s="3" t="n">
        <v>4</v>
      </c>
      <c r="F2133" s="3" t="n">
        <v>2</v>
      </c>
      <c r="G2133" s="3" t="n">
        <v>1</v>
      </c>
      <c r="H2133" s="24" t="n">
        <v>-0.104218334</v>
      </c>
    </row>
    <row r="2134" customFormat="false" ht="15" hidden="false" customHeight="false" outlineLevel="0" collapsed="false">
      <c r="A2134" s="3" t="n">
        <v>2133</v>
      </c>
      <c r="B2134" s="3" t="n">
        <v>2132</v>
      </c>
      <c r="C2134" s="3" t="s">
        <v>118</v>
      </c>
      <c r="D2134" s="3" t="n">
        <v>6</v>
      </c>
      <c r="E2134" s="3" t="n">
        <v>4</v>
      </c>
      <c r="F2134" s="3" t="n">
        <v>2</v>
      </c>
      <c r="G2134" s="3" t="n">
        <v>2</v>
      </c>
      <c r="H2134" s="24" t="n">
        <v>0.154503942</v>
      </c>
    </row>
    <row r="2135" customFormat="false" ht="15" hidden="false" customHeight="false" outlineLevel="0" collapsed="false">
      <c r="A2135" s="3" t="n">
        <v>2134</v>
      </c>
      <c r="B2135" s="3" t="n">
        <v>2133</v>
      </c>
      <c r="C2135" s="3" t="s">
        <v>118</v>
      </c>
      <c r="D2135" s="3" t="n">
        <v>6</v>
      </c>
      <c r="E2135" s="3" t="n">
        <v>5</v>
      </c>
      <c r="F2135" s="3" t="n">
        <v>0</v>
      </c>
      <c r="G2135" s="3" t="n">
        <v>0</v>
      </c>
      <c r="H2135" s="24" t="n">
        <v>0.104147106</v>
      </c>
    </row>
    <row r="2136" customFormat="false" ht="15" hidden="false" customHeight="false" outlineLevel="0" collapsed="false">
      <c r="A2136" s="3" t="n">
        <v>2135</v>
      </c>
      <c r="B2136" s="3" t="n">
        <v>2134</v>
      </c>
      <c r="C2136" s="3" t="s">
        <v>118</v>
      </c>
      <c r="D2136" s="3" t="n">
        <v>6</v>
      </c>
      <c r="E2136" s="3" t="n">
        <v>5</v>
      </c>
      <c r="F2136" s="3" t="n">
        <v>0</v>
      </c>
      <c r="G2136" s="3" t="n">
        <v>1</v>
      </c>
      <c r="H2136" s="24" t="n">
        <v>-0.0860306174</v>
      </c>
    </row>
    <row r="2137" customFormat="false" ht="15" hidden="false" customHeight="false" outlineLevel="0" collapsed="false">
      <c r="A2137" s="3" t="n">
        <v>2136</v>
      </c>
      <c r="B2137" s="3" t="n">
        <v>2135</v>
      </c>
      <c r="C2137" s="3" t="s">
        <v>118</v>
      </c>
      <c r="D2137" s="3" t="n">
        <v>6</v>
      </c>
      <c r="E2137" s="3" t="n">
        <v>5</v>
      </c>
      <c r="F2137" s="3" t="n">
        <v>0</v>
      </c>
      <c r="G2137" s="3" t="n">
        <v>2</v>
      </c>
      <c r="H2137" s="24" t="n">
        <v>0.0349340625</v>
      </c>
    </row>
    <row r="2138" customFormat="false" ht="15" hidden="false" customHeight="false" outlineLevel="0" collapsed="false">
      <c r="A2138" s="3" t="n">
        <v>2137</v>
      </c>
      <c r="B2138" s="3" t="n">
        <v>2136</v>
      </c>
      <c r="C2138" s="3" t="s">
        <v>118</v>
      </c>
      <c r="D2138" s="3" t="n">
        <v>6</v>
      </c>
      <c r="E2138" s="3" t="n">
        <v>5</v>
      </c>
      <c r="F2138" s="3" t="n">
        <v>1</v>
      </c>
      <c r="G2138" s="3" t="n">
        <v>0</v>
      </c>
      <c r="H2138" s="24" t="n">
        <v>-0.100724563</v>
      </c>
    </row>
    <row r="2139" customFormat="false" ht="15" hidden="false" customHeight="false" outlineLevel="0" collapsed="false">
      <c r="A2139" s="3" t="n">
        <v>2138</v>
      </c>
      <c r="B2139" s="3" t="n">
        <v>2137</v>
      </c>
      <c r="C2139" s="3" t="s">
        <v>118</v>
      </c>
      <c r="D2139" s="3" t="n">
        <v>6</v>
      </c>
      <c r="E2139" s="3" t="n">
        <v>5</v>
      </c>
      <c r="F2139" s="3" t="n">
        <v>1</v>
      </c>
      <c r="G2139" s="3" t="n">
        <v>1</v>
      </c>
      <c r="H2139" s="24" t="n">
        <v>-0.32101965</v>
      </c>
    </row>
    <row r="2140" customFormat="false" ht="15" hidden="false" customHeight="false" outlineLevel="0" collapsed="false">
      <c r="A2140" s="3" t="n">
        <v>2139</v>
      </c>
      <c r="B2140" s="3" t="n">
        <v>2138</v>
      </c>
      <c r="C2140" s="3" t="s">
        <v>118</v>
      </c>
      <c r="D2140" s="3" t="n">
        <v>6</v>
      </c>
      <c r="E2140" s="3" t="n">
        <v>5</v>
      </c>
      <c r="F2140" s="3" t="n">
        <v>1</v>
      </c>
      <c r="G2140" s="3" t="n">
        <v>2</v>
      </c>
      <c r="H2140" s="24" t="n">
        <v>0.189050481</v>
      </c>
    </row>
    <row r="2141" customFormat="false" ht="15" hidden="false" customHeight="false" outlineLevel="0" collapsed="false">
      <c r="A2141" s="3" t="n">
        <v>2140</v>
      </c>
      <c r="B2141" s="3" t="n">
        <v>2139</v>
      </c>
      <c r="C2141" s="3" t="s">
        <v>118</v>
      </c>
      <c r="D2141" s="3" t="n">
        <v>6</v>
      </c>
      <c r="E2141" s="3" t="n">
        <v>5</v>
      </c>
      <c r="F2141" s="3" t="n">
        <v>2</v>
      </c>
      <c r="G2141" s="3" t="n">
        <v>0</v>
      </c>
      <c r="H2141" s="24" t="n">
        <v>-0.129497245</v>
      </c>
    </row>
    <row r="2142" customFormat="false" ht="15" hidden="false" customHeight="false" outlineLevel="0" collapsed="false">
      <c r="A2142" s="3" t="n">
        <v>2141</v>
      </c>
      <c r="B2142" s="3" t="n">
        <v>2140</v>
      </c>
      <c r="C2142" s="3" t="s">
        <v>118</v>
      </c>
      <c r="D2142" s="3" t="n">
        <v>6</v>
      </c>
      <c r="E2142" s="3" t="n">
        <v>5</v>
      </c>
      <c r="F2142" s="3" t="n">
        <v>2</v>
      </c>
      <c r="G2142" s="3" t="n">
        <v>1</v>
      </c>
      <c r="H2142" s="24" t="n">
        <v>-0.280514777</v>
      </c>
    </row>
    <row r="2143" customFormat="false" ht="15" hidden="false" customHeight="false" outlineLevel="0" collapsed="false">
      <c r="A2143" s="3" t="n">
        <v>2142</v>
      </c>
      <c r="B2143" s="3" t="n">
        <v>2141</v>
      </c>
      <c r="C2143" s="3" t="s">
        <v>118</v>
      </c>
      <c r="D2143" s="3" t="n">
        <v>6</v>
      </c>
      <c r="E2143" s="3" t="n">
        <v>5</v>
      </c>
      <c r="F2143" s="3" t="n">
        <v>2</v>
      </c>
      <c r="G2143" s="3" t="n">
        <v>2</v>
      </c>
      <c r="H2143" s="24" t="n">
        <v>0.0269759335</v>
      </c>
    </row>
    <row r="2144" customFormat="false" ht="15" hidden="false" customHeight="false" outlineLevel="0" collapsed="false">
      <c r="A2144" s="3" t="n">
        <v>2143</v>
      </c>
      <c r="B2144" s="3" t="n">
        <v>2142</v>
      </c>
      <c r="C2144" s="3" t="s">
        <v>118</v>
      </c>
      <c r="D2144" s="3" t="n">
        <v>6</v>
      </c>
      <c r="E2144" s="3" t="n">
        <v>6</v>
      </c>
      <c r="F2144" s="3" t="n">
        <v>0</v>
      </c>
      <c r="G2144" s="3" t="n">
        <v>0</v>
      </c>
      <c r="H2144" s="24" t="n">
        <v>0.0576409213</v>
      </c>
    </row>
    <row r="2145" customFormat="false" ht="15" hidden="false" customHeight="false" outlineLevel="0" collapsed="false">
      <c r="A2145" s="3" t="n">
        <v>2144</v>
      </c>
      <c r="B2145" s="3" t="n">
        <v>2143</v>
      </c>
      <c r="C2145" s="3" t="s">
        <v>118</v>
      </c>
      <c r="D2145" s="3" t="n">
        <v>6</v>
      </c>
      <c r="E2145" s="3" t="n">
        <v>6</v>
      </c>
      <c r="F2145" s="3" t="n">
        <v>0</v>
      </c>
      <c r="G2145" s="3" t="n">
        <v>1</v>
      </c>
      <c r="H2145" s="24" t="n">
        <v>-0.120737709</v>
      </c>
    </row>
    <row r="2146" customFormat="false" ht="15" hidden="false" customHeight="false" outlineLevel="0" collapsed="false">
      <c r="A2146" s="3" t="n">
        <v>2145</v>
      </c>
      <c r="B2146" s="3" t="n">
        <v>2144</v>
      </c>
      <c r="C2146" s="3" t="s">
        <v>118</v>
      </c>
      <c r="D2146" s="3" t="n">
        <v>6</v>
      </c>
      <c r="E2146" s="3" t="n">
        <v>6</v>
      </c>
      <c r="F2146" s="3" t="n">
        <v>0</v>
      </c>
      <c r="G2146" s="3" t="n">
        <v>2</v>
      </c>
      <c r="H2146" s="24" t="n">
        <v>-0.0782637671</v>
      </c>
    </row>
    <row r="2147" customFormat="false" ht="15" hidden="false" customHeight="false" outlineLevel="0" collapsed="false">
      <c r="A2147" s="3" t="n">
        <v>2146</v>
      </c>
      <c r="B2147" s="3" t="n">
        <v>2145</v>
      </c>
      <c r="C2147" s="3" t="s">
        <v>118</v>
      </c>
      <c r="D2147" s="3" t="n">
        <v>6</v>
      </c>
      <c r="E2147" s="3" t="n">
        <v>6</v>
      </c>
      <c r="F2147" s="3" t="n">
        <v>1</v>
      </c>
      <c r="G2147" s="3" t="n">
        <v>0</v>
      </c>
      <c r="H2147" s="24" t="n">
        <v>-0.173111781</v>
      </c>
    </row>
    <row r="2148" customFormat="false" ht="15" hidden="false" customHeight="false" outlineLevel="0" collapsed="false">
      <c r="A2148" s="3" t="n">
        <v>2147</v>
      </c>
      <c r="B2148" s="3" t="n">
        <v>2146</v>
      </c>
      <c r="C2148" s="3" t="s">
        <v>118</v>
      </c>
      <c r="D2148" s="3" t="n">
        <v>6</v>
      </c>
      <c r="E2148" s="3" t="n">
        <v>6</v>
      </c>
      <c r="F2148" s="3" t="n">
        <v>1</v>
      </c>
      <c r="G2148" s="3" t="n">
        <v>1</v>
      </c>
      <c r="H2148" s="24" t="n">
        <v>-0.139463678</v>
      </c>
    </row>
    <row r="2149" customFormat="false" ht="15" hidden="false" customHeight="false" outlineLevel="0" collapsed="false">
      <c r="A2149" s="3" t="n">
        <v>2148</v>
      </c>
      <c r="B2149" s="3" t="n">
        <v>2147</v>
      </c>
      <c r="C2149" s="3" t="s">
        <v>118</v>
      </c>
      <c r="D2149" s="3" t="n">
        <v>6</v>
      </c>
      <c r="E2149" s="3" t="n">
        <v>6</v>
      </c>
      <c r="F2149" s="3" t="n">
        <v>1</v>
      </c>
      <c r="G2149" s="3" t="n">
        <v>2</v>
      </c>
      <c r="H2149" s="24" t="n">
        <v>0.145033479</v>
      </c>
    </row>
    <row r="2150" customFormat="false" ht="15" hidden="false" customHeight="false" outlineLevel="0" collapsed="false">
      <c r="A2150" s="3" t="n">
        <v>2149</v>
      </c>
      <c r="B2150" s="3" t="n">
        <v>2148</v>
      </c>
      <c r="C2150" s="3" t="s">
        <v>118</v>
      </c>
      <c r="D2150" s="3" t="n">
        <v>6</v>
      </c>
      <c r="E2150" s="3" t="n">
        <v>6</v>
      </c>
      <c r="F2150" s="3" t="n">
        <v>2</v>
      </c>
      <c r="G2150" s="3" t="n">
        <v>0</v>
      </c>
      <c r="H2150" s="24" t="n">
        <v>-0.477663279</v>
      </c>
    </row>
    <row r="2151" customFormat="false" ht="15" hidden="false" customHeight="false" outlineLevel="0" collapsed="false">
      <c r="A2151" s="3" t="n">
        <v>2150</v>
      </c>
      <c r="B2151" s="3" t="n">
        <v>2149</v>
      </c>
      <c r="C2151" s="3" t="s">
        <v>118</v>
      </c>
      <c r="D2151" s="3" t="n">
        <v>6</v>
      </c>
      <c r="E2151" s="3" t="n">
        <v>6</v>
      </c>
      <c r="F2151" s="3" t="n">
        <v>2</v>
      </c>
      <c r="G2151" s="3" t="n">
        <v>1</v>
      </c>
      <c r="H2151" s="24" t="n">
        <v>-0.100555494</v>
      </c>
    </row>
    <row r="2152" customFormat="false" ht="15" hidden="false" customHeight="false" outlineLevel="0" collapsed="false">
      <c r="A2152" s="3" t="n">
        <v>2151</v>
      </c>
      <c r="B2152" s="3" t="n">
        <v>2150</v>
      </c>
      <c r="C2152" s="3" t="s">
        <v>118</v>
      </c>
      <c r="D2152" s="3" t="n">
        <v>6</v>
      </c>
      <c r="E2152" s="3" t="n">
        <v>6</v>
      </c>
      <c r="F2152" s="3" t="n">
        <v>2</v>
      </c>
      <c r="G2152" s="3" t="n">
        <v>2</v>
      </c>
      <c r="H2152" s="24" t="n">
        <v>-0.0717522427</v>
      </c>
    </row>
    <row r="2153" customFormat="false" ht="15" hidden="false" customHeight="false" outlineLevel="0" collapsed="false">
      <c r="A2153" s="3" t="n">
        <v>2152</v>
      </c>
      <c r="B2153" s="3" t="n">
        <v>2151</v>
      </c>
      <c r="C2153" s="3" t="s">
        <v>118</v>
      </c>
      <c r="D2153" s="3" t="n">
        <v>6</v>
      </c>
      <c r="E2153" s="3" t="n">
        <v>7</v>
      </c>
      <c r="F2153" s="3" t="n">
        <v>0</v>
      </c>
      <c r="G2153" s="3" t="n">
        <v>0</v>
      </c>
      <c r="H2153" s="24" t="n">
        <v>-0.0644655898</v>
      </c>
    </row>
    <row r="2154" customFormat="false" ht="15" hidden="false" customHeight="false" outlineLevel="0" collapsed="false">
      <c r="A2154" s="3" t="n">
        <v>2153</v>
      </c>
      <c r="B2154" s="3" t="n">
        <v>2152</v>
      </c>
      <c r="C2154" s="3" t="s">
        <v>118</v>
      </c>
      <c r="D2154" s="3" t="n">
        <v>6</v>
      </c>
      <c r="E2154" s="3" t="n">
        <v>7</v>
      </c>
      <c r="F2154" s="3" t="n">
        <v>0</v>
      </c>
      <c r="G2154" s="3" t="n">
        <v>1</v>
      </c>
      <c r="H2154" s="24" t="n">
        <v>0.125283629</v>
      </c>
    </row>
    <row r="2155" customFormat="false" ht="15" hidden="false" customHeight="false" outlineLevel="0" collapsed="false">
      <c r="A2155" s="3" t="n">
        <v>2154</v>
      </c>
      <c r="B2155" s="3" t="n">
        <v>2153</v>
      </c>
      <c r="C2155" s="3" t="s">
        <v>118</v>
      </c>
      <c r="D2155" s="3" t="n">
        <v>6</v>
      </c>
      <c r="E2155" s="3" t="n">
        <v>7</v>
      </c>
      <c r="F2155" s="3" t="n">
        <v>0</v>
      </c>
      <c r="G2155" s="3" t="n">
        <v>2</v>
      </c>
      <c r="H2155" s="24" t="n">
        <v>0.115395352</v>
      </c>
    </row>
    <row r="2156" customFormat="false" ht="15" hidden="false" customHeight="false" outlineLevel="0" collapsed="false">
      <c r="A2156" s="3" t="n">
        <v>2155</v>
      </c>
      <c r="B2156" s="3" t="n">
        <v>2154</v>
      </c>
      <c r="C2156" s="3" t="s">
        <v>118</v>
      </c>
      <c r="D2156" s="3" t="n">
        <v>6</v>
      </c>
      <c r="E2156" s="3" t="n">
        <v>7</v>
      </c>
      <c r="F2156" s="3" t="n">
        <v>1</v>
      </c>
      <c r="G2156" s="3" t="n">
        <v>0</v>
      </c>
      <c r="H2156" s="24" t="n">
        <v>-0.303065032</v>
      </c>
    </row>
    <row r="2157" customFormat="false" ht="15" hidden="false" customHeight="false" outlineLevel="0" collapsed="false">
      <c r="A2157" s="3" t="n">
        <v>2156</v>
      </c>
      <c r="B2157" s="3" t="n">
        <v>2155</v>
      </c>
      <c r="C2157" s="3" t="s">
        <v>118</v>
      </c>
      <c r="D2157" s="3" t="n">
        <v>6</v>
      </c>
      <c r="E2157" s="3" t="n">
        <v>7</v>
      </c>
      <c r="F2157" s="3" t="n">
        <v>1</v>
      </c>
      <c r="G2157" s="3" t="n">
        <v>1</v>
      </c>
      <c r="H2157" s="24" t="n">
        <v>0.0869523808</v>
      </c>
    </row>
    <row r="2158" customFormat="false" ht="15" hidden="false" customHeight="false" outlineLevel="0" collapsed="false">
      <c r="A2158" s="3" t="n">
        <v>2157</v>
      </c>
      <c r="B2158" s="3" t="n">
        <v>2156</v>
      </c>
      <c r="C2158" s="3" t="s">
        <v>118</v>
      </c>
      <c r="D2158" s="3" t="n">
        <v>6</v>
      </c>
      <c r="E2158" s="3" t="n">
        <v>7</v>
      </c>
      <c r="F2158" s="3" t="n">
        <v>1</v>
      </c>
      <c r="G2158" s="3" t="n">
        <v>2</v>
      </c>
      <c r="H2158" s="24" t="n">
        <v>0.0471366197</v>
      </c>
    </row>
    <row r="2159" customFormat="false" ht="15" hidden="false" customHeight="false" outlineLevel="0" collapsed="false">
      <c r="A2159" s="3" t="n">
        <v>2158</v>
      </c>
      <c r="B2159" s="3" t="n">
        <v>2157</v>
      </c>
      <c r="C2159" s="3" t="s">
        <v>118</v>
      </c>
      <c r="D2159" s="3" t="n">
        <v>6</v>
      </c>
      <c r="E2159" s="3" t="n">
        <v>7</v>
      </c>
      <c r="F2159" s="3" t="n">
        <v>2</v>
      </c>
      <c r="G2159" s="3" t="n">
        <v>0</v>
      </c>
      <c r="H2159" s="24" t="n">
        <v>-0.664174855</v>
      </c>
    </row>
    <row r="2160" customFormat="false" ht="15" hidden="false" customHeight="false" outlineLevel="0" collapsed="false">
      <c r="A2160" s="3" t="n">
        <v>2159</v>
      </c>
      <c r="B2160" s="3" t="n">
        <v>2158</v>
      </c>
      <c r="C2160" s="3" t="s">
        <v>118</v>
      </c>
      <c r="D2160" s="3" t="n">
        <v>6</v>
      </c>
      <c r="E2160" s="3" t="n">
        <v>7</v>
      </c>
      <c r="F2160" s="3" t="n">
        <v>2</v>
      </c>
      <c r="G2160" s="3" t="n">
        <v>1</v>
      </c>
      <c r="H2160" s="24" t="n">
        <v>-0.354245901</v>
      </c>
    </row>
    <row r="2161" customFormat="false" ht="15" hidden="false" customHeight="false" outlineLevel="0" collapsed="false">
      <c r="A2161" s="3" t="n">
        <v>2160</v>
      </c>
      <c r="B2161" s="3" t="n">
        <v>2159</v>
      </c>
      <c r="C2161" s="3" t="s">
        <v>118</v>
      </c>
      <c r="D2161" s="3" t="n">
        <v>6</v>
      </c>
      <c r="E2161" s="3" t="n">
        <v>7</v>
      </c>
      <c r="F2161" s="3" t="n">
        <v>2</v>
      </c>
      <c r="G2161" s="3" t="n">
        <v>2</v>
      </c>
      <c r="H2161" s="24" t="n">
        <v>-0.0494568534</v>
      </c>
    </row>
    <row r="2162" customFormat="false" ht="15" hidden="false" customHeight="false" outlineLevel="0" collapsed="false">
      <c r="A2162" s="3" t="n">
        <v>2161</v>
      </c>
      <c r="B2162" s="3" t="n">
        <v>2160</v>
      </c>
      <c r="C2162" s="3" t="s">
        <v>118</v>
      </c>
      <c r="D2162" s="3" t="n">
        <v>6</v>
      </c>
      <c r="E2162" s="3" t="n">
        <v>8</v>
      </c>
      <c r="F2162" s="3" t="n">
        <v>0</v>
      </c>
      <c r="G2162" s="3" t="n">
        <v>0</v>
      </c>
      <c r="H2162" s="24" t="n">
        <v>0.140891373</v>
      </c>
    </row>
    <row r="2163" customFormat="false" ht="15" hidden="false" customHeight="false" outlineLevel="0" collapsed="false">
      <c r="A2163" s="3" t="n">
        <v>2162</v>
      </c>
      <c r="B2163" s="3" t="n">
        <v>2161</v>
      </c>
      <c r="C2163" s="3" t="s">
        <v>118</v>
      </c>
      <c r="D2163" s="3" t="n">
        <v>6</v>
      </c>
      <c r="E2163" s="3" t="n">
        <v>8</v>
      </c>
      <c r="F2163" s="3" t="n">
        <v>0</v>
      </c>
      <c r="G2163" s="3" t="n">
        <v>1</v>
      </c>
      <c r="H2163" s="24" t="n">
        <v>0.10674423</v>
      </c>
    </row>
    <row r="2164" customFormat="false" ht="15" hidden="false" customHeight="false" outlineLevel="0" collapsed="false">
      <c r="A2164" s="3" t="n">
        <v>2163</v>
      </c>
      <c r="B2164" s="3" t="n">
        <v>2162</v>
      </c>
      <c r="C2164" s="3" t="s">
        <v>118</v>
      </c>
      <c r="D2164" s="3" t="n">
        <v>6</v>
      </c>
      <c r="E2164" s="3" t="n">
        <v>8</v>
      </c>
      <c r="F2164" s="3" t="n">
        <v>0</v>
      </c>
      <c r="G2164" s="3" t="n">
        <v>2</v>
      </c>
      <c r="H2164" s="24" t="n">
        <v>0.0613997281</v>
      </c>
    </row>
    <row r="2165" customFormat="false" ht="15" hidden="false" customHeight="false" outlineLevel="0" collapsed="false">
      <c r="A2165" s="3" t="n">
        <v>2164</v>
      </c>
      <c r="B2165" s="3" t="n">
        <v>2163</v>
      </c>
      <c r="C2165" s="3" t="s">
        <v>118</v>
      </c>
      <c r="D2165" s="3" t="n">
        <v>6</v>
      </c>
      <c r="E2165" s="3" t="n">
        <v>8</v>
      </c>
      <c r="F2165" s="3" t="n">
        <v>1</v>
      </c>
      <c r="G2165" s="3" t="n">
        <v>0</v>
      </c>
      <c r="H2165" s="24" t="n">
        <v>0.113747448</v>
      </c>
    </row>
    <row r="2166" customFormat="false" ht="15" hidden="false" customHeight="false" outlineLevel="0" collapsed="false">
      <c r="A2166" s="3" t="n">
        <v>2165</v>
      </c>
      <c r="B2166" s="3" t="n">
        <v>2164</v>
      </c>
      <c r="C2166" s="3" t="s">
        <v>118</v>
      </c>
      <c r="D2166" s="3" t="n">
        <v>6</v>
      </c>
      <c r="E2166" s="3" t="n">
        <v>8</v>
      </c>
      <c r="F2166" s="3" t="n">
        <v>1</v>
      </c>
      <c r="G2166" s="3" t="n">
        <v>1</v>
      </c>
      <c r="H2166" s="24" t="n">
        <v>-0.231916919</v>
      </c>
    </row>
    <row r="2167" customFormat="false" ht="15" hidden="false" customHeight="false" outlineLevel="0" collapsed="false">
      <c r="A2167" s="3" t="n">
        <v>2166</v>
      </c>
      <c r="B2167" s="3" t="n">
        <v>2165</v>
      </c>
      <c r="C2167" s="3" t="s">
        <v>118</v>
      </c>
      <c r="D2167" s="3" t="n">
        <v>6</v>
      </c>
      <c r="E2167" s="3" t="n">
        <v>8</v>
      </c>
      <c r="F2167" s="3" t="n">
        <v>1</v>
      </c>
      <c r="G2167" s="3" t="n">
        <v>2</v>
      </c>
      <c r="H2167" s="24" t="n">
        <v>-0.227821335</v>
      </c>
    </row>
    <row r="2168" customFormat="false" ht="15" hidden="false" customHeight="false" outlineLevel="0" collapsed="false">
      <c r="A2168" s="3" t="n">
        <v>2167</v>
      </c>
      <c r="B2168" s="3" t="n">
        <v>2166</v>
      </c>
      <c r="C2168" s="3" t="s">
        <v>118</v>
      </c>
      <c r="D2168" s="3" t="n">
        <v>6</v>
      </c>
      <c r="E2168" s="3" t="n">
        <v>8</v>
      </c>
      <c r="F2168" s="3" t="n">
        <v>2</v>
      </c>
      <c r="G2168" s="3" t="n">
        <v>0</v>
      </c>
      <c r="H2168" s="24" t="n">
        <v>-0.249255985</v>
      </c>
    </row>
    <row r="2169" customFormat="false" ht="15" hidden="false" customHeight="false" outlineLevel="0" collapsed="false">
      <c r="A2169" s="3" t="n">
        <v>2168</v>
      </c>
      <c r="B2169" s="3" t="n">
        <v>2167</v>
      </c>
      <c r="C2169" s="3" t="s">
        <v>118</v>
      </c>
      <c r="D2169" s="3" t="n">
        <v>6</v>
      </c>
      <c r="E2169" s="3" t="n">
        <v>8</v>
      </c>
      <c r="F2169" s="3" t="n">
        <v>2</v>
      </c>
      <c r="G2169" s="3" t="n">
        <v>1</v>
      </c>
      <c r="H2169" s="24" t="n">
        <v>-0.188884541</v>
      </c>
    </row>
    <row r="2170" customFormat="false" ht="15" hidden="false" customHeight="false" outlineLevel="0" collapsed="false">
      <c r="A2170" s="3" t="n">
        <v>2169</v>
      </c>
      <c r="B2170" s="3" t="n">
        <v>2168</v>
      </c>
      <c r="C2170" s="3" t="s">
        <v>118</v>
      </c>
      <c r="D2170" s="3" t="n">
        <v>6</v>
      </c>
      <c r="E2170" s="3" t="n">
        <v>8</v>
      </c>
      <c r="F2170" s="3" t="n">
        <v>2</v>
      </c>
      <c r="G2170" s="3" t="n">
        <v>2</v>
      </c>
      <c r="H2170" s="24" t="n">
        <v>0.138247669</v>
      </c>
    </row>
    <row r="2171" customFormat="false" ht="15" hidden="false" customHeight="false" outlineLevel="0" collapsed="false">
      <c r="A2171" s="3" t="n">
        <v>2170</v>
      </c>
      <c r="B2171" s="3" t="n">
        <v>2169</v>
      </c>
      <c r="C2171" s="3" t="s">
        <v>118</v>
      </c>
      <c r="D2171" s="3" t="n">
        <v>6</v>
      </c>
      <c r="E2171" s="3" t="n">
        <v>9</v>
      </c>
      <c r="F2171" s="3" t="n">
        <v>0</v>
      </c>
      <c r="G2171" s="3" t="n">
        <v>0</v>
      </c>
      <c r="H2171" s="24" t="n">
        <v>0.155555665</v>
      </c>
    </row>
    <row r="2172" customFormat="false" ht="15" hidden="false" customHeight="false" outlineLevel="0" collapsed="false">
      <c r="A2172" s="3" t="n">
        <v>2171</v>
      </c>
      <c r="B2172" s="3" t="n">
        <v>2170</v>
      </c>
      <c r="C2172" s="3" t="s">
        <v>118</v>
      </c>
      <c r="D2172" s="3" t="n">
        <v>6</v>
      </c>
      <c r="E2172" s="3" t="n">
        <v>9</v>
      </c>
      <c r="F2172" s="3" t="n">
        <v>0</v>
      </c>
      <c r="G2172" s="3" t="n">
        <v>1</v>
      </c>
      <c r="H2172" s="24" t="n">
        <v>0.0607197732</v>
      </c>
    </row>
    <row r="2173" customFormat="false" ht="15" hidden="false" customHeight="false" outlineLevel="0" collapsed="false">
      <c r="A2173" s="3" t="n">
        <v>2172</v>
      </c>
      <c r="B2173" s="3" t="n">
        <v>2171</v>
      </c>
      <c r="C2173" s="3" t="s">
        <v>118</v>
      </c>
      <c r="D2173" s="3" t="n">
        <v>6</v>
      </c>
      <c r="E2173" s="3" t="n">
        <v>9</v>
      </c>
      <c r="F2173" s="3" t="n">
        <v>0</v>
      </c>
      <c r="G2173" s="3" t="n">
        <v>2</v>
      </c>
      <c r="H2173" s="24" t="n">
        <v>-0.441090018</v>
      </c>
    </row>
    <row r="2174" customFormat="false" ht="15" hidden="false" customHeight="false" outlineLevel="0" collapsed="false">
      <c r="A2174" s="3" t="n">
        <v>2173</v>
      </c>
      <c r="B2174" s="3" t="n">
        <v>2172</v>
      </c>
      <c r="C2174" s="3" t="s">
        <v>118</v>
      </c>
      <c r="D2174" s="3" t="n">
        <v>6</v>
      </c>
      <c r="E2174" s="3" t="n">
        <v>9</v>
      </c>
      <c r="F2174" s="3" t="n">
        <v>1</v>
      </c>
      <c r="G2174" s="3" t="n">
        <v>0</v>
      </c>
      <c r="H2174" s="24" t="n">
        <v>0.185907289</v>
      </c>
    </row>
    <row r="2175" customFormat="false" ht="15" hidden="false" customHeight="false" outlineLevel="0" collapsed="false">
      <c r="A2175" s="3" t="n">
        <v>2174</v>
      </c>
      <c r="B2175" s="3" t="n">
        <v>2173</v>
      </c>
      <c r="C2175" s="3" t="s">
        <v>118</v>
      </c>
      <c r="D2175" s="3" t="n">
        <v>6</v>
      </c>
      <c r="E2175" s="3" t="n">
        <v>9</v>
      </c>
      <c r="F2175" s="3" t="n">
        <v>1</v>
      </c>
      <c r="G2175" s="3" t="n">
        <v>1</v>
      </c>
      <c r="H2175" s="24" t="n">
        <v>-0.218335539</v>
      </c>
    </row>
    <row r="2176" customFormat="false" ht="15" hidden="false" customHeight="false" outlineLevel="0" collapsed="false">
      <c r="A2176" s="3" t="n">
        <v>2175</v>
      </c>
      <c r="B2176" s="3" t="n">
        <v>2174</v>
      </c>
      <c r="C2176" s="3" t="s">
        <v>118</v>
      </c>
      <c r="D2176" s="3" t="n">
        <v>6</v>
      </c>
      <c r="E2176" s="3" t="n">
        <v>9</v>
      </c>
      <c r="F2176" s="3" t="n">
        <v>1</v>
      </c>
      <c r="G2176" s="3" t="n">
        <v>2</v>
      </c>
      <c r="H2176" s="24" t="n">
        <v>0.111920558</v>
      </c>
    </row>
    <row r="2177" customFormat="false" ht="15" hidden="false" customHeight="false" outlineLevel="0" collapsed="false">
      <c r="A2177" s="3" t="n">
        <v>2176</v>
      </c>
      <c r="B2177" s="3" t="n">
        <v>2175</v>
      </c>
      <c r="C2177" s="3" t="s">
        <v>118</v>
      </c>
      <c r="D2177" s="3" t="n">
        <v>6</v>
      </c>
      <c r="E2177" s="3" t="n">
        <v>9</v>
      </c>
      <c r="F2177" s="3" t="n">
        <v>2</v>
      </c>
      <c r="G2177" s="3" t="n">
        <v>0</v>
      </c>
      <c r="H2177" s="24" t="n">
        <v>-0.122647129</v>
      </c>
    </row>
    <row r="2178" customFormat="false" ht="15" hidden="false" customHeight="false" outlineLevel="0" collapsed="false">
      <c r="A2178" s="3" t="n">
        <v>2177</v>
      </c>
      <c r="B2178" s="3" t="n">
        <v>2176</v>
      </c>
      <c r="C2178" s="3" t="s">
        <v>118</v>
      </c>
      <c r="D2178" s="3" t="n">
        <v>6</v>
      </c>
      <c r="E2178" s="3" t="n">
        <v>9</v>
      </c>
      <c r="F2178" s="3" t="n">
        <v>2</v>
      </c>
      <c r="G2178" s="3" t="n">
        <v>1</v>
      </c>
      <c r="H2178" s="24" t="n">
        <v>0.104413912</v>
      </c>
    </row>
    <row r="2179" customFormat="false" ht="15" hidden="false" customHeight="false" outlineLevel="0" collapsed="false">
      <c r="A2179" s="3" t="n">
        <v>2178</v>
      </c>
      <c r="B2179" s="3" t="n">
        <v>2177</v>
      </c>
      <c r="C2179" s="3" t="s">
        <v>118</v>
      </c>
      <c r="D2179" s="3" t="n">
        <v>6</v>
      </c>
      <c r="E2179" s="3" t="n">
        <v>9</v>
      </c>
      <c r="F2179" s="3" t="n">
        <v>2</v>
      </c>
      <c r="G2179" s="3" t="n">
        <v>2</v>
      </c>
      <c r="H2179" s="24" t="n">
        <v>0.0841096863</v>
      </c>
    </row>
    <row r="2180" customFormat="false" ht="15" hidden="false" customHeight="false" outlineLevel="0" collapsed="false">
      <c r="A2180" s="3" t="n">
        <v>2179</v>
      </c>
      <c r="B2180" s="3" t="n">
        <v>2178</v>
      </c>
      <c r="C2180" s="3" t="s">
        <v>118</v>
      </c>
      <c r="D2180" s="3" t="n">
        <v>6</v>
      </c>
      <c r="E2180" s="3" t="n">
        <v>10</v>
      </c>
      <c r="F2180" s="3" t="n">
        <v>0</v>
      </c>
      <c r="G2180" s="3" t="n">
        <v>0</v>
      </c>
      <c r="H2180" s="24" t="n">
        <v>0.0364428945</v>
      </c>
    </row>
    <row r="2181" customFormat="false" ht="15" hidden="false" customHeight="false" outlineLevel="0" collapsed="false">
      <c r="A2181" s="3" t="n">
        <v>2180</v>
      </c>
      <c r="B2181" s="3" t="n">
        <v>2179</v>
      </c>
      <c r="C2181" s="3" t="s">
        <v>118</v>
      </c>
      <c r="D2181" s="3" t="n">
        <v>6</v>
      </c>
      <c r="E2181" s="3" t="n">
        <v>10</v>
      </c>
      <c r="F2181" s="3" t="n">
        <v>0</v>
      </c>
      <c r="G2181" s="3" t="n">
        <v>1</v>
      </c>
      <c r="H2181" s="24" t="n">
        <v>0.0442976095</v>
      </c>
    </row>
    <row r="2182" customFormat="false" ht="15" hidden="false" customHeight="false" outlineLevel="0" collapsed="false">
      <c r="A2182" s="3" t="n">
        <v>2181</v>
      </c>
      <c r="B2182" s="3" t="n">
        <v>2180</v>
      </c>
      <c r="C2182" s="3" t="s">
        <v>118</v>
      </c>
      <c r="D2182" s="3" t="n">
        <v>6</v>
      </c>
      <c r="E2182" s="3" t="n">
        <v>10</v>
      </c>
      <c r="F2182" s="3" t="n">
        <v>0</v>
      </c>
      <c r="G2182" s="3" t="n">
        <v>2</v>
      </c>
      <c r="H2182" s="24" t="n">
        <v>0.17844595</v>
      </c>
    </row>
    <row r="2183" customFormat="false" ht="15" hidden="false" customHeight="false" outlineLevel="0" collapsed="false">
      <c r="A2183" s="3" t="n">
        <v>2182</v>
      </c>
      <c r="B2183" s="3" t="n">
        <v>2181</v>
      </c>
      <c r="C2183" s="3" t="s">
        <v>118</v>
      </c>
      <c r="D2183" s="3" t="n">
        <v>6</v>
      </c>
      <c r="E2183" s="3" t="n">
        <v>10</v>
      </c>
      <c r="F2183" s="3" t="n">
        <v>1</v>
      </c>
      <c r="G2183" s="3" t="n">
        <v>0</v>
      </c>
      <c r="H2183" s="24" t="n">
        <v>0.156451613</v>
      </c>
    </row>
    <row r="2184" customFormat="false" ht="15" hidden="false" customHeight="false" outlineLevel="0" collapsed="false">
      <c r="A2184" s="3" t="n">
        <v>2183</v>
      </c>
      <c r="B2184" s="3" t="n">
        <v>2182</v>
      </c>
      <c r="C2184" s="3" t="s">
        <v>118</v>
      </c>
      <c r="D2184" s="3" t="n">
        <v>6</v>
      </c>
      <c r="E2184" s="3" t="n">
        <v>10</v>
      </c>
      <c r="F2184" s="3" t="n">
        <v>1</v>
      </c>
      <c r="G2184" s="3" t="n">
        <v>1</v>
      </c>
      <c r="H2184" s="24" t="n">
        <v>-0.219867185</v>
      </c>
    </row>
    <row r="2185" customFormat="false" ht="15" hidden="false" customHeight="false" outlineLevel="0" collapsed="false">
      <c r="A2185" s="3" t="n">
        <v>2184</v>
      </c>
      <c r="B2185" s="3" t="n">
        <v>2183</v>
      </c>
      <c r="C2185" s="3" t="s">
        <v>118</v>
      </c>
      <c r="D2185" s="3" t="n">
        <v>6</v>
      </c>
      <c r="E2185" s="3" t="n">
        <v>10</v>
      </c>
      <c r="F2185" s="3" t="n">
        <v>1</v>
      </c>
      <c r="G2185" s="3" t="n">
        <v>2</v>
      </c>
      <c r="H2185" s="24" t="n">
        <v>0.0826370344</v>
      </c>
    </row>
    <row r="2186" customFormat="false" ht="15" hidden="false" customHeight="false" outlineLevel="0" collapsed="false">
      <c r="A2186" s="3" t="n">
        <v>2185</v>
      </c>
      <c r="B2186" s="3" t="n">
        <v>2184</v>
      </c>
      <c r="C2186" s="3" t="s">
        <v>118</v>
      </c>
      <c r="D2186" s="3" t="n">
        <v>6</v>
      </c>
      <c r="E2186" s="3" t="n">
        <v>10</v>
      </c>
      <c r="F2186" s="3" t="n">
        <v>2</v>
      </c>
      <c r="G2186" s="3" t="n">
        <v>0</v>
      </c>
      <c r="H2186" s="24" t="n">
        <v>-0.0762724727</v>
      </c>
    </row>
    <row r="2187" customFormat="false" ht="15" hidden="false" customHeight="false" outlineLevel="0" collapsed="false">
      <c r="A2187" s="3" t="n">
        <v>2186</v>
      </c>
      <c r="B2187" s="3" t="n">
        <v>2185</v>
      </c>
      <c r="C2187" s="3" t="s">
        <v>118</v>
      </c>
      <c r="D2187" s="3" t="n">
        <v>6</v>
      </c>
      <c r="E2187" s="3" t="n">
        <v>10</v>
      </c>
      <c r="F2187" s="3" t="n">
        <v>2</v>
      </c>
      <c r="G2187" s="3" t="n">
        <v>1</v>
      </c>
      <c r="H2187" s="24" t="n">
        <v>-0.0911212713</v>
      </c>
    </row>
    <row r="2188" customFormat="false" ht="15" hidden="false" customHeight="false" outlineLevel="0" collapsed="false">
      <c r="A2188" s="3" t="n">
        <v>2187</v>
      </c>
      <c r="B2188" s="3" t="n">
        <v>2186</v>
      </c>
      <c r="C2188" s="3" t="s">
        <v>118</v>
      </c>
      <c r="D2188" s="3" t="n">
        <v>6</v>
      </c>
      <c r="E2188" s="3" t="n">
        <v>10</v>
      </c>
      <c r="F2188" s="3" t="n">
        <v>2</v>
      </c>
      <c r="G2188" s="3" t="n">
        <v>2</v>
      </c>
      <c r="H2188" s="24" t="n">
        <v>0.258502722</v>
      </c>
    </row>
    <row r="2189" customFormat="false" ht="15" hidden="false" customHeight="false" outlineLevel="0" collapsed="false">
      <c r="A2189" s="3" t="n">
        <v>2188</v>
      </c>
      <c r="B2189" s="3" t="n">
        <v>2187</v>
      </c>
      <c r="C2189" s="3" t="s">
        <v>118</v>
      </c>
      <c r="D2189" s="3" t="n">
        <v>6</v>
      </c>
      <c r="E2189" s="3" t="n">
        <v>11</v>
      </c>
      <c r="F2189" s="3" t="n">
        <v>0</v>
      </c>
      <c r="G2189" s="3" t="n">
        <v>0</v>
      </c>
      <c r="H2189" s="24" t="n">
        <v>0.0465832613</v>
      </c>
    </row>
    <row r="2190" customFormat="false" ht="15" hidden="false" customHeight="false" outlineLevel="0" collapsed="false">
      <c r="A2190" s="3" t="n">
        <v>2189</v>
      </c>
      <c r="B2190" s="3" t="n">
        <v>2188</v>
      </c>
      <c r="C2190" s="3" t="s">
        <v>118</v>
      </c>
      <c r="D2190" s="3" t="n">
        <v>6</v>
      </c>
      <c r="E2190" s="3" t="n">
        <v>11</v>
      </c>
      <c r="F2190" s="3" t="n">
        <v>0</v>
      </c>
      <c r="G2190" s="3" t="n">
        <v>1</v>
      </c>
      <c r="H2190" s="24" t="n">
        <v>0.102682181</v>
      </c>
    </row>
    <row r="2191" customFormat="false" ht="15" hidden="false" customHeight="false" outlineLevel="0" collapsed="false">
      <c r="A2191" s="3" t="n">
        <v>2190</v>
      </c>
      <c r="B2191" s="3" t="n">
        <v>2189</v>
      </c>
      <c r="C2191" s="3" t="s">
        <v>118</v>
      </c>
      <c r="D2191" s="3" t="n">
        <v>6</v>
      </c>
      <c r="E2191" s="3" t="n">
        <v>11</v>
      </c>
      <c r="F2191" s="3" t="n">
        <v>0</v>
      </c>
      <c r="G2191" s="3" t="n">
        <v>2</v>
      </c>
      <c r="H2191" s="24" t="n">
        <v>-0.0369432718</v>
      </c>
    </row>
    <row r="2192" customFormat="false" ht="15" hidden="false" customHeight="false" outlineLevel="0" collapsed="false">
      <c r="A2192" s="3" t="n">
        <v>2191</v>
      </c>
      <c r="B2192" s="3" t="n">
        <v>2190</v>
      </c>
      <c r="C2192" s="3" t="s">
        <v>118</v>
      </c>
      <c r="D2192" s="3" t="n">
        <v>6</v>
      </c>
      <c r="E2192" s="3" t="n">
        <v>11</v>
      </c>
      <c r="F2192" s="3" t="n">
        <v>1</v>
      </c>
      <c r="G2192" s="3" t="n">
        <v>0</v>
      </c>
      <c r="H2192" s="24" t="n">
        <v>0.0545506887</v>
      </c>
    </row>
    <row r="2193" customFormat="false" ht="15" hidden="false" customHeight="false" outlineLevel="0" collapsed="false">
      <c r="A2193" s="3" t="n">
        <v>2192</v>
      </c>
      <c r="B2193" s="3" t="n">
        <v>2191</v>
      </c>
      <c r="C2193" s="3" t="s">
        <v>118</v>
      </c>
      <c r="D2193" s="3" t="n">
        <v>6</v>
      </c>
      <c r="E2193" s="3" t="n">
        <v>11</v>
      </c>
      <c r="F2193" s="3" t="n">
        <v>1</v>
      </c>
      <c r="G2193" s="3" t="n">
        <v>1</v>
      </c>
      <c r="H2193" s="24" t="n">
        <v>-0.111797571</v>
      </c>
    </row>
    <row r="2194" customFormat="false" ht="15" hidden="false" customHeight="false" outlineLevel="0" collapsed="false">
      <c r="A2194" s="3" t="n">
        <v>2193</v>
      </c>
      <c r="B2194" s="3" t="n">
        <v>2192</v>
      </c>
      <c r="C2194" s="3" t="s">
        <v>118</v>
      </c>
      <c r="D2194" s="3" t="n">
        <v>6</v>
      </c>
      <c r="E2194" s="3" t="n">
        <v>11</v>
      </c>
      <c r="F2194" s="3" t="n">
        <v>1</v>
      </c>
      <c r="G2194" s="3" t="n">
        <v>2</v>
      </c>
      <c r="H2194" s="24" t="n">
        <v>-0.0851822868</v>
      </c>
    </row>
    <row r="2195" customFormat="false" ht="15" hidden="false" customHeight="false" outlineLevel="0" collapsed="false">
      <c r="A2195" s="3" t="n">
        <v>2194</v>
      </c>
      <c r="B2195" s="3" t="n">
        <v>2193</v>
      </c>
      <c r="C2195" s="3" t="s">
        <v>118</v>
      </c>
      <c r="D2195" s="3" t="n">
        <v>6</v>
      </c>
      <c r="E2195" s="3" t="n">
        <v>11</v>
      </c>
      <c r="F2195" s="3" t="n">
        <v>2</v>
      </c>
      <c r="G2195" s="3" t="n">
        <v>0</v>
      </c>
      <c r="H2195" s="24" t="n">
        <v>0.0257228445</v>
      </c>
    </row>
    <row r="2196" customFormat="false" ht="15" hidden="false" customHeight="false" outlineLevel="0" collapsed="false">
      <c r="A2196" s="3" t="n">
        <v>2195</v>
      </c>
      <c r="B2196" s="3" t="n">
        <v>2194</v>
      </c>
      <c r="C2196" s="3" t="s">
        <v>118</v>
      </c>
      <c r="D2196" s="3" t="n">
        <v>6</v>
      </c>
      <c r="E2196" s="3" t="n">
        <v>11</v>
      </c>
      <c r="F2196" s="3" t="n">
        <v>2</v>
      </c>
      <c r="G2196" s="3" t="n">
        <v>1</v>
      </c>
      <c r="H2196" s="24" t="n">
        <v>-0.13140218</v>
      </c>
    </row>
    <row r="2197" customFormat="false" ht="15" hidden="false" customHeight="false" outlineLevel="0" collapsed="false">
      <c r="A2197" s="3" t="n">
        <v>2196</v>
      </c>
      <c r="B2197" s="3" t="n">
        <v>2195</v>
      </c>
      <c r="C2197" s="3" t="s">
        <v>118</v>
      </c>
      <c r="D2197" s="3" t="n">
        <v>6</v>
      </c>
      <c r="E2197" s="3" t="n">
        <v>11</v>
      </c>
      <c r="F2197" s="3" t="n">
        <v>2</v>
      </c>
      <c r="G2197" s="3" t="n">
        <v>2</v>
      </c>
      <c r="H2197" s="24" t="n">
        <v>0.110802352</v>
      </c>
    </row>
    <row r="2198" customFormat="false" ht="15" hidden="false" customHeight="false" outlineLevel="0" collapsed="false">
      <c r="A2198" s="3" t="n">
        <v>2197</v>
      </c>
      <c r="B2198" s="3" t="n">
        <v>2196</v>
      </c>
      <c r="C2198" s="3" t="s">
        <v>118</v>
      </c>
      <c r="D2198" s="3" t="n">
        <v>6</v>
      </c>
      <c r="E2198" s="3" t="n">
        <v>12</v>
      </c>
      <c r="F2198" s="3" t="n">
        <v>0</v>
      </c>
      <c r="G2198" s="3" t="n">
        <v>0</v>
      </c>
      <c r="H2198" s="24" t="n">
        <v>0.211305544</v>
      </c>
    </row>
    <row r="2199" customFormat="false" ht="15" hidden="false" customHeight="false" outlineLevel="0" collapsed="false">
      <c r="A2199" s="3" t="n">
        <v>2198</v>
      </c>
      <c r="B2199" s="3" t="n">
        <v>2197</v>
      </c>
      <c r="C2199" s="3" t="s">
        <v>118</v>
      </c>
      <c r="D2199" s="3" t="n">
        <v>6</v>
      </c>
      <c r="E2199" s="3" t="n">
        <v>12</v>
      </c>
      <c r="F2199" s="3" t="n">
        <v>0</v>
      </c>
      <c r="G2199" s="3" t="n">
        <v>1</v>
      </c>
      <c r="H2199" s="24" t="n">
        <v>0.0759351552</v>
      </c>
    </row>
    <row r="2200" customFormat="false" ht="15" hidden="false" customHeight="false" outlineLevel="0" collapsed="false">
      <c r="A2200" s="3" t="n">
        <v>2199</v>
      </c>
      <c r="B2200" s="3" t="n">
        <v>2198</v>
      </c>
      <c r="C2200" s="3" t="s">
        <v>118</v>
      </c>
      <c r="D2200" s="3" t="n">
        <v>6</v>
      </c>
      <c r="E2200" s="3" t="n">
        <v>12</v>
      </c>
      <c r="F2200" s="3" t="n">
        <v>0</v>
      </c>
      <c r="G2200" s="3" t="n">
        <v>2</v>
      </c>
      <c r="H2200" s="24" t="n">
        <v>-0.201334894</v>
      </c>
    </row>
    <row r="2201" customFormat="false" ht="15" hidden="false" customHeight="false" outlineLevel="0" collapsed="false">
      <c r="A2201" s="3" t="n">
        <v>2200</v>
      </c>
      <c r="B2201" s="3" t="n">
        <v>2199</v>
      </c>
      <c r="C2201" s="3" t="s">
        <v>118</v>
      </c>
      <c r="D2201" s="3" t="n">
        <v>6</v>
      </c>
      <c r="E2201" s="3" t="n">
        <v>12</v>
      </c>
      <c r="F2201" s="3" t="n">
        <v>1</v>
      </c>
      <c r="G2201" s="3" t="n">
        <v>0</v>
      </c>
      <c r="H2201" s="24" t="n">
        <v>0.133718655</v>
      </c>
    </row>
    <row r="2202" customFormat="false" ht="15" hidden="false" customHeight="false" outlineLevel="0" collapsed="false">
      <c r="A2202" s="3" t="n">
        <v>2201</v>
      </c>
      <c r="B2202" s="3" t="n">
        <v>2200</v>
      </c>
      <c r="C2202" s="3" t="s">
        <v>118</v>
      </c>
      <c r="D2202" s="3" t="n">
        <v>6</v>
      </c>
      <c r="E2202" s="3" t="n">
        <v>12</v>
      </c>
      <c r="F2202" s="3" t="n">
        <v>1</v>
      </c>
      <c r="G2202" s="3" t="n">
        <v>1</v>
      </c>
      <c r="H2202" s="24" t="n">
        <v>0.0406875573</v>
      </c>
    </row>
    <row r="2203" customFormat="false" ht="15" hidden="false" customHeight="false" outlineLevel="0" collapsed="false">
      <c r="A2203" s="3" t="n">
        <v>2202</v>
      </c>
      <c r="B2203" s="3" t="n">
        <v>2201</v>
      </c>
      <c r="C2203" s="3" t="s">
        <v>118</v>
      </c>
      <c r="D2203" s="3" t="n">
        <v>6</v>
      </c>
      <c r="E2203" s="3" t="n">
        <v>12</v>
      </c>
      <c r="F2203" s="3" t="n">
        <v>1</v>
      </c>
      <c r="G2203" s="3" t="n">
        <v>2</v>
      </c>
      <c r="H2203" s="24" t="n">
        <v>0.24540171</v>
      </c>
    </row>
    <row r="2204" customFormat="false" ht="15" hidden="false" customHeight="false" outlineLevel="0" collapsed="false">
      <c r="A2204" s="3" t="n">
        <v>2203</v>
      </c>
      <c r="B2204" s="3" t="n">
        <v>2202</v>
      </c>
      <c r="C2204" s="3" t="s">
        <v>118</v>
      </c>
      <c r="D2204" s="3" t="n">
        <v>6</v>
      </c>
      <c r="E2204" s="3" t="n">
        <v>12</v>
      </c>
      <c r="F2204" s="3" t="n">
        <v>2</v>
      </c>
      <c r="G2204" s="3" t="n">
        <v>0</v>
      </c>
      <c r="H2204" s="24" t="n">
        <v>-0.0437934063</v>
      </c>
    </row>
    <row r="2205" customFormat="false" ht="15" hidden="false" customHeight="false" outlineLevel="0" collapsed="false">
      <c r="A2205" s="3" t="n">
        <v>2204</v>
      </c>
      <c r="B2205" s="3" t="n">
        <v>2203</v>
      </c>
      <c r="C2205" s="3" t="s">
        <v>118</v>
      </c>
      <c r="D2205" s="3" t="n">
        <v>6</v>
      </c>
      <c r="E2205" s="3" t="n">
        <v>12</v>
      </c>
      <c r="F2205" s="3" t="n">
        <v>2</v>
      </c>
      <c r="G2205" s="3" t="n">
        <v>1</v>
      </c>
      <c r="H2205" s="24" t="n">
        <v>0.0221277047</v>
      </c>
    </row>
    <row r="2206" customFormat="false" ht="15" hidden="false" customHeight="false" outlineLevel="0" collapsed="false">
      <c r="A2206" s="3" t="n">
        <v>2205</v>
      </c>
      <c r="B2206" s="3" t="n">
        <v>2204</v>
      </c>
      <c r="C2206" s="3" t="s">
        <v>118</v>
      </c>
      <c r="D2206" s="3" t="n">
        <v>6</v>
      </c>
      <c r="E2206" s="3" t="n">
        <v>12</v>
      </c>
      <c r="F2206" s="3" t="n">
        <v>2</v>
      </c>
      <c r="G2206" s="3" t="n">
        <v>2</v>
      </c>
      <c r="H2206" s="24" t="n">
        <v>0.0448167101</v>
      </c>
    </row>
    <row r="2207" customFormat="false" ht="15" hidden="false" customHeight="false" outlineLevel="0" collapsed="false">
      <c r="A2207" s="3" t="n">
        <v>2206</v>
      </c>
      <c r="B2207" s="3" t="n">
        <v>2205</v>
      </c>
      <c r="C2207" s="3" t="s">
        <v>118</v>
      </c>
      <c r="D2207" s="3" t="n">
        <v>6</v>
      </c>
      <c r="E2207" s="3" t="n">
        <v>13</v>
      </c>
      <c r="F2207" s="3" t="n">
        <v>0</v>
      </c>
      <c r="G2207" s="3" t="n">
        <v>0</v>
      </c>
      <c r="H2207" s="24" t="n">
        <v>-0.109702133</v>
      </c>
    </row>
    <row r="2208" customFormat="false" ht="15" hidden="false" customHeight="false" outlineLevel="0" collapsed="false">
      <c r="A2208" s="3" t="n">
        <v>2207</v>
      </c>
      <c r="B2208" s="3" t="n">
        <v>2206</v>
      </c>
      <c r="C2208" s="3" t="s">
        <v>118</v>
      </c>
      <c r="D2208" s="3" t="n">
        <v>6</v>
      </c>
      <c r="E2208" s="3" t="n">
        <v>13</v>
      </c>
      <c r="F2208" s="3" t="n">
        <v>0</v>
      </c>
      <c r="G2208" s="3" t="n">
        <v>1</v>
      </c>
      <c r="H2208" s="24" t="n">
        <v>0.234488979</v>
      </c>
    </row>
    <row r="2209" customFormat="false" ht="15" hidden="false" customHeight="false" outlineLevel="0" collapsed="false">
      <c r="A2209" s="3" t="n">
        <v>2208</v>
      </c>
      <c r="B2209" s="3" t="n">
        <v>2207</v>
      </c>
      <c r="C2209" s="3" t="s">
        <v>118</v>
      </c>
      <c r="D2209" s="3" t="n">
        <v>6</v>
      </c>
      <c r="E2209" s="3" t="n">
        <v>13</v>
      </c>
      <c r="F2209" s="3" t="n">
        <v>0</v>
      </c>
      <c r="G2209" s="3" t="n">
        <v>2</v>
      </c>
      <c r="H2209" s="24" t="n">
        <v>0.145837277</v>
      </c>
    </row>
    <row r="2210" customFormat="false" ht="15" hidden="false" customHeight="false" outlineLevel="0" collapsed="false">
      <c r="A2210" s="3" t="n">
        <v>2209</v>
      </c>
      <c r="B2210" s="3" t="n">
        <v>2208</v>
      </c>
      <c r="C2210" s="3" t="s">
        <v>118</v>
      </c>
      <c r="D2210" s="3" t="n">
        <v>6</v>
      </c>
      <c r="E2210" s="3" t="n">
        <v>13</v>
      </c>
      <c r="F2210" s="3" t="n">
        <v>1</v>
      </c>
      <c r="G2210" s="3" t="n">
        <v>0</v>
      </c>
      <c r="H2210" s="24" t="n">
        <v>0.0300114118</v>
      </c>
    </row>
    <row r="2211" customFormat="false" ht="15" hidden="false" customHeight="false" outlineLevel="0" collapsed="false">
      <c r="A2211" s="3" t="n">
        <v>2210</v>
      </c>
      <c r="B2211" s="3" t="n">
        <v>2209</v>
      </c>
      <c r="C2211" s="3" t="s">
        <v>118</v>
      </c>
      <c r="D2211" s="3" t="n">
        <v>6</v>
      </c>
      <c r="E2211" s="3" t="n">
        <v>13</v>
      </c>
      <c r="F2211" s="3" t="n">
        <v>1</v>
      </c>
      <c r="G2211" s="3" t="n">
        <v>1</v>
      </c>
      <c r="H2211" s="24" t="n">
        <v>0.193216607</v>
      </c>
    </row>
    <row r="2212" customFormat="false" ht="15" hidden="false" customHeight="false" outlineLevel="0" collapsed="false">
      <c r="A2212" s="3" t="n">
        <v>2211</v>
      </c>
      <c r="B2212" s="3" t="n">
        <v>2210</v>
      </c>
      <c r="C2212" s="3" t="s">
        <v>118</v>
      </c>
      <c r="D2212" s="3" t="n">
        <v>6</v>
      </c>
      <c r="E2212" s="3" t="n">
        <v>13</v>
      </c>
      <c r="F2212" s="3" t="n">
        <v>1</v>
      </c>
      <c r="G2212" s="3" t="n">
        <v>2</v>
      </c>
      <c r="H2212" s="24" t="n">
        <v>0.206586674</v>
      </c>
    </row>
    <row r="2213" customFormat="false" ht="15" hidden="false" customHeight="false" outlineLevel="0" collapsed="false">
      <c r="A2213" s="3" t="n">
        <v>2212</v>
      </c>
      <c r="B2213" s="3" t="n">
        <v>2211</v>
      </c>
      <c r="C2213" s="3" t="s">
        <v>118</v>
      </c>
      <c r="D2213" s="3" t="n">
        <v>6</v>
      </c>
      <c r="E2213" s="3" t="n">
        <v>13</v>
      </c>
      <c r="F2213" s="3" t="n">
        <v>2</v>
      </c>
      <c r="G2213" s="3" t="n">
        <v>0</v>
      </c>
      <c r="H2213" s="24" t="n">
        <v>-0.0559943691</v>
      </c>
    </row>
    <row r="2214" customFormat="false" ht="15" hidden="false" customHeight="false" outlineLevel="0" collapsed="false">
      <c r="A2214" s="3" t="n">
        <v>2213</v>
      </c>
      <c r="B2214" s="3" t="n">
        <v>2212</v>
      </c>
      <c r="C2214" s="3" t="s">
        <v>118</v>
      </c>
      <c r="D2214" s="3" t="n">
        <v>6</v>
      </c>
      <c r="E2214" s="3" t="n">
        <v>13</v>
      </c>
      <c r="F2214" s="3" t="n">
        <v>2</v>
      </c>
      <c r="G2214" s="3" t="n">
        <v>1</v>
      </c>
      <c r="H2214" s="24" t="n">
        <v>0.0787467584</v>
      </c>
    </row>
    <row r="2215" customFormat="false" ht="15" hidden="false" customHeight="false" outlineLevel="0" collapsed="false">
      <c r="A2215" s="3" t="n">
        <v>2214</v>
      </c>
      <c r="B2215" s="3" t="n">
        <v>2213</v>
      </c>
      <c r="C2215" s="3" t="s">
        <v>118</v>
      </c>
      <c r="D2215" s="3" t="n">
        <v>6</v>
      </c>
      <c r="E2215" s="3" t="n">
        <v>13</v>
      </c>
      <c r="F2215" s="3" t="n">
        <v>2</v>
      </c>
      <c r="G2215" s="3" t="n">
        <v>2</v>
      </c>
      <c r="H2215" s="24" t="n">
        <v>-0.180802763</v>
      </c>
    </row>
    <row r="2216" customFormat="false" ht="15" hidden="false" customHeight="false" outlineLevel="0" collapsed="false">
      <c r="A2216" s="3" t="n">
        <v>2215</v>
      </c>
      <c r="B2216" s="3" t="n">
        <v>2214</v>
      </c>
      <c r="C2216" s="3" t="s">
        <v>118</v>
      </c>
      <c r="D2216" s="3" t="n">
        <v>6</v>
      </c>
      <c r="E2216" s="3" t="n">
        <v>14</v>
      </c>
      <c r="F2216" s="3" t="n">
        <v>0</v>
      </c>
      <c r="G2216" s="3" t="n">
        <v>0</v>
      </c>
      <c r="H2216" s="24" t="n">
        <v>0.111866504</v>
      </c>
    </row>
    <row r="2217" customFormat="false" ht="15" hidden="false" customHeight="false" outlineLevel="0" collapsed="false">
      <c r="A2217" s="3" t="n">
        <v>2216</v>
      </c>
      <c r="B2217" s="3" t="n">
        <v>2215</v>
      </c>
      <c r="C2217" s="3" t="s">
        <v>118</v>
      </c>
      <c r="D2217" s="3" t="n">
        <v>6</v>
      </c>
      <c r="E2217" s="3" t="n">
        <v>14</v>
      </c>
      <c r="F2217" s="3" t="n">
        <v>0</v>
      </c>
      <c r="G2217" s="3" t="n">
        <v>1</v>
      </c>
      <c r="H2217" s="24" t="n">
        <v>0.0366443656</v>
      </c>
    </row>
    <row r="2218" customFormat="false" ht="15" hidden="false" customHeight="false" outlineLevel="0" collapsed="false">
      <c r="A2218" s="3" t="n">
        <v>2217</v>
      </c>
      <c r="B2218" s="3" t="n">
        <v>2216</v>
      </c>
      <c r="C2218" s="3" t="s">
        <v>118</v>
      </c>
      <c r="D2218" s="3" t="n">
        <v>6</v>
      </c>
      <c r="E2218" s="3" t="n">
        <v>14</v>
      </c>
      <c r="F2218" s="3" t="n">
        <v>0</v>
      </c>
      <c r="G2218" s="3" t="n">
        <v>2</v>
      </c>
      <c r="H2218" s="24" t="n">
        <v>0.00339747965</v>
      </c>
    </row>
    <row r="2219" customFormat="false" ht="15" hidden="false" customHeight="false" outlineLevel="0" collapsed="false">
      <c r="A2219" s="3" t="n">
        <v>2218</v>
      </c>
      <c r="B2219" s="3" t="n">
        <v>2217</v>
      </c>
      <c r="C2219" s="3" t="s">
        <v>118</v>
      </c>
      <c r="D2219" s="3" t="n">
        <v>6</v>
      </c>
      <c r="E2219" s="3" t="n">
        <v>14</v>
      </c>
      <c r="F2219" s="3" t="n">
        <v>1</v>
      </c>
      <c r="G2219" s="3" t="n">
        <v>0</v>
      </c>
      <c r="H2219" s="24" t="n">
        <v>0.0232116263</v>
      </c>
    </row>
    <row r="2220" customFormat="false" ht="15" hidden="false" customHeight="false" outlineLevel="0" collapsed="false">
      <c r="A2220" s="3" t="n">
        <v>2219</v>
      </c>
      <c r="B2220" s="3" t="n">
        <v>2218</v>
      </c>
      <c r="C2220" s="3" t="s">
        <v>118</v>
      </c>
      <c r="D2220" s="3" t="n">
        <v>6</v>
      </c>
      <c r="E2220" s="3" t="n">
        <v>14</v>
      </c>
      <c r="F2220" s="3" t="n">
        <v>1</v>
      </c>
      <c r="G2220" s="3" t="n">
        <v>1</v>
      </c>
      <c r="H2220" s="24" t="n">
        <v>-0.377314448</v>
      </c>
    </row>
    <row r="2221" customFormat="false" ht="15" hidden="false" customHeight="false" outlineLevel="0" collapsed="false">
      <c r="A2221" s="3" t="n">
        <v>2220</v>
      </c>
      <c r="B2221" s="3" t="n">
        <v>2219</v>
      </c>
      <c r="C2221" s="3" t="s">
        <v>118</v>
      </c>
      <c r="D2221" s="3" t="n">
        <v>6</v>
      </c>
      <c r="E2221" s="3" t="n">
        <v>14</v>
      </c>
      <c r="F2221" s="3" t="n">
        <v>1</v>
      </c>
      <c r="G2221" s="3" t="n">
        <v>2</v>
      </c>
      <c r="H2221" s="24" t="n">
        <v>-0.172402173</v>
      </c>
    </row>
    <row r="2222" customFormat="false" ht="15" hidden="false" customHeight="false" outlineLevel="0" collapsed="false">
      <c r="A2222" s="3" t="n">
        <v>2221</v>
      </c>
      <c r="B2222" s="3" t="n">
        <v>2220</v>
      </c>
      <c r="C2222" s="3" t="s">
        <v>118</v>
      </c>
      <c r="D2222" s="3" t="n">
        <v>6</v>
      </c>
      <c r="E2222" s="3" t="n">
        <v>14</v>
      </c>
      <c r="F2222" s="3" t="n">
        <v>2</v>
      </c>
      <c r="G2222" s="3" t="n">
        <v>0</v>
      </c>
      <c r="H2222" s="24" t="n">
        <v>-0.0739556476</v>
      </c>
    </row>
    <row r="2223" customFormat="false" ht="15" hidden="false" customHeight="false" outlineLevel="0" collapsed="false">
      <c r="A2223" s="3" t="n">
        <v>2222</v>
      </c>
      <c r="B2223" s="3" t="n">
        <v>2221</v>
      </c>
      <c r="C2223" s="3" t="s">
        <v>118</v>
      </c>
      <c r="D2223" s="3" t="n">
        <v>6</v>
      </c>
      <c r="E2223" s="3" t="n">
        <v>14</v>
      </c>
      <c r="F2223" s="3" t="n">
        <v>2</v>
      </c>
      <c r="G2223" s="3" t="n">
        <v>1</v>
      </c>
      <c r="H2223" s="24" t="n">
        <v>-0.25546506</v>
      </c>
    </row>
    <row r="2224" customFormat="false" ht="15" hidden="false" customHeight="false" outlineLevel="0" collapsed="false">
      <c r="A2224" s="3" t="n">
        <v>2223</v>
      </c>
      <c r="B2224" s="3" t="n">
        <v>2222</v>
      </c>
      <c r="C2224" s="3" t="s">
        <v>118</v>
      </c>
      <c r="D2224" s="3" t="n">
        <v>6</v>
      </c>
      <c r="E2224" s="3" t="n">
        <v>14</v>
      </c>
      <c r="F2224" s="3" t="n">
        <v>2</v>
      </c>
      <c r="G2224" s="3" t="n">
        <v>2</v>
      </c>
      <c r="H2224" s="24" t="n">
        <v>0.0136695318</v>
      </c>
    </row>
    <row r="2225" customFormat="false" ht="15" hidden="false" customHeight="false" outlineLevel="0" collapsed="false">
      <c r="A2225" s="3" t="n">
        <v>2224</v>
      </c>
      <c r="B2225" s="3" t="n">
        <v>2223</v>
      </c>
      <c r="C2225" s="3" t="s">
        <v>118</v>
      </c>
      <c r="D2225" s="3" t="n">
        <v>6</v>
      </c>
      <c r="E2225" s="3" t="n">
        <v>15</v>
      </c>
      <c r="F2225" s="3" t="n">
        <v>0</v>
      </c>
      <c r="G2225" s="3" t="n">
        <v>0</v>
      </c>
      <c r="H2225" s="24" t="n">
        <v>0.170265377</v>
      </c>
    </row>
    <row r="2226" customFormat="false" ht="15" hidden="false" customHeight="false" outlineLevel="0" collapsed="false">
      <c r="A2226" s="3" t="n">
        <v>2225</v>
      </c>
      <c r="B2226" s="3" t="n">
        <v>2224</v>
      </c>
      <c r="C2226" s="3" t="s">
        <v>118</v>
      </c>
      <c r="D2226" s="3" t="n">
        <v>6</v>
      </c>
      <c r="E2226" s="3" t="n">
        <v>15</v>
      </c>
      <c r="F2226" s="3" t="n">
        <v>0</v>
      </c>
      <c r="G2226" s="3" t="n">
        <v>1</v>
      </c>
      <c r="H2226" s="24" t="n">
        <v>0.270219862</v>
      </c>
    </row>
    <row r="2227" customFormat="false" ht="15" hidden="false" customHeight="false" outlineLevel="0" collapsed="false">
      <c r="A2227" s="3" t="n">
        <v>2226</v>
      </c>
      <c r="B2227" s="3" t="n">
        <v>2225</v>
      </c>
      <c r="C2227" s="3" t="s">
        <v>118</v>
      </c>
      <c r="D2227" s="3" t="n">
        <v>6</v>
      </c>
      <c r="E2227" s="3" t="n">
        <v>15</v>
      </c>
      <c r="F2227" s="3" t="n">
        <v>0</v>
      </c>
      <c r="G2227" s="3" t="n">
        <v>2</v>
      </c>
      <c r="H2227" s="24" t="n">
        <v>-0.0386834182</v>
      </c>
    </row>
    <row r="2228" customFormat="false" ht="15" hidden="false" customHeight="false" outlineLevel="0" collapsed="false">
      <c r="A2228" s="3" t="n">
        <v>2227</v>
      </c>
      <c r="B2228" s="3" t="n">
        <v>2226</v>
      </c>
      <c r="C2228" s="3" t="s">
        <v>118</v>
      </c>
      <c r="D2228" s="3" t="n">
        <v>6</v>
      </c>
      <c r="E2228" s="3" t="n">
        <v>15</v>
      </c>
      <c r="F2228" s="3" t="n">
        <v>1</v>
      </c>
      <c r="G2228" s="3" t="n">
        <v>0</v>
      </c>
      <c r="H2228" s="24" t="n">
        <v>0.0119936261</v>
      </c>
    </row>
    <row r="2229" customFormat="false" ht="15" hidden="false" customHeight="false" outlineLevel="0" collapsed="false">
      <c r="A2229" s="3" t="n">
        <v>2228</v>
      </c>
      <c r="B2229" s="3" t="n">
        <v>2227</v>
      </c>
      <c r="C2229" s="3" t="s">
        <v>118</v>
      </c>
      <c r="D2229" s="3" t="n">
        <v>6</v>
      </c>
      <c r="E2229" s="3" t="n">
        <v>15</v>
      </c>
      <c r="F2229" s="3" t="n">
        <v>1</v>
      </c>
      <c r="G2229" s="3" t="n">
        <v>1</v>
      </c>
      <c r="H2229" s="24" t="n">
        <v>-0.420071393</v>
      </c>
    </row>
    <row r="2230" customFormat="false" ht="15" hidden="false" customHeight="false" outlineLevel="0" collapsed="false">
      <c r="A2230" s="3" t="n">
        <v>2229</v>
      </c>
      <c r="B2230" s="3" t="n">
        <v>2228</v>
      </c>
      <c r="C2230" s="3" t="s">
        <v>118</v>
      </c>
      <c r="D2230" s="3" t="n">
        <v>6</v>
      </c>
      <c r="E2230" s="3" t="n">
        <v>15</v>
      </c>
      <c r="F2230" s="3" t="n">
        <v>1</v>
      </c>
      <c r="G2230" s="3" t="n">
        <v>2</v>
      </c>
      <c r="H2230" s="24" t="n">
        <v>-0.0269064344</v>
      </c>
    </row>
    <row r="2231" customFormat="false" ht="15" hidden="false" customHeight="false" outlineLevel="0" collapsed="false">
      <c r="A2231" s="3" t="n">
        <v>2230</v>
      </c>
      <c r="B2231" s="3" t="n">
        <v>2229</v>
      </c>
      <c r="C2231" s="3" t="s">
        <v>118</v>
      </c>
      <c r="D2231" s="3" t="n">
        <v>6</v>
      </c>
      <c r="E2231" s="3" t="n">
        <v>15</v>
      </c>
      <c r="F2231" s="3" t="n">
        <v>2</v>
      </c>
      <c r="G2231" s="3" t="n">
        <v>0</v>
      </c>
      <c r="H2231" s="24" t="n">
        <v>-0.207501486</v>
      </c>
    </row>
    <row r="2232" customFormat="false" ht="15" hidden="false" customHeight="false" outlineLevel="0" collapsed="false">
      <c r="A2232" s="3" t="n">
        <v>2231</v>
      </c>
      <c r="B2232" s="3" t="n">
        <v>2230</v>
      </c>
      <c r="C2232" s="3" t="s">
        <v>118</v>
      </c>
      <c r="D2232" s="3" t="n">
        <v>6</v>
      </c>
      <c r="E2232" s="3" t="n">
        <v>15</v>
      </c>
      <c r="F2232" s="3" t="n">
        <v>2</v>
      </c>
      <c r="G2232" s="3" t="n">
        <v>1</v>
      </c>
      <c r="H2232" s="24" t="n">
        <v>-0.404017746</v>
      </c>
    </row>
    <row r="2233" customFormat="false" ht="15" hidden="false" customHeight="false" outlineLevel="0" collapsed="false">
      <c r="A2233" s="3" t="n">
        <v>2232</v>
      </c>
      <c r="B2233" s="3" t="n">
        <v>2231</v>
      </c>
      <c r="C2233" s="3" t="s">
        <v>118</v>
      </c>
      <c r="D2233" s="3" t="n">
        <v>6</v>
      </c>
      <c r="E2233" s="3" t="n">
        <v>15</v>
      </c>
      <c r="F2233" s="3" t="n">
        <v>2</v>
      </c>
      <c r="G2233" s="3" t="n">
        <v>2</v>
      </c>
      <c r="H2233" s="24" t="n">
        <v>0.0177044924</v>
      </c>
    </row>
    <row r="2234" customFormat="false" ht="15" hidden="false" customHeight="false" outlineLevel="0" collapsed="false">
      <c r="A2234" s="3" t="n">
        <v>2233</v>
      </c>
      <c r="B2234" s="3" t="n">
        <v>2232</v>
      </c>
      <c r="C2234" s="3" t="s">
        <v>118</v>
      </c>
      <c r="D2234" s="3" t="n">
        <v>7</v>
      </c>
      <c r="E2234" s="3" t="n">
        <v>0</v>
      </c>
      <c r="F2234" s="3" t="n">
        <v>0</v>
      </c>
      <c r="G2234" s="3" t="n">
        <v>0</v>
      </c>
      <c r="H2234" s="24" t="n">
        <v>-0.00813147146</v>
      </c>
    </row>
    <row r="2235" customFormat="false" ht="15" hidden="false" customHeight="false" outlineLevel="0" collapsed="false">
      <c r="A2235" s="3" t="n">
        <v>2234</v>
      </c>
      <c r="B2235" s="3" t="n">
        <v>2233</v>
      </c>
      <c r="C2235" s="3" t="s">
        <v>118</v>
      </c>
      <c r="D2235" s="3" t="n">
        <v>7</v>
      </c>
      <c r="E2235" s="3" t="n">
        <v>0</v>
      </c>
      <c r="F2235" s="3" t="n">
        <v>0</v>
      </c>
      <c r="G2235" s="3" t="n">
        <v>1</v>
      </c>
      <c r="H2235" s="24" t="n">
        <v>-0.0555774719</v>
      </c>
    </row>
    <row r="2236" customFormat="false" ht="15" hidden="false" customHeight="false" outlineLevel="0" collapsed="false">
      <c r="A2236" s="3" t="n">
        <v>2235</v>
      </c>
      <c r="B2236" s="3" t="n">
        <v>2234</v>
      </c>
      <c r="C2236" s="3" t="s">
        <v>118</v>
      </c>
      <c r="D2236" s="3" t="n">
        <v>7</v>
      </c>
      <c r="E2236" s="3" t="n">
        <v>0</v>
      </c>
      <c r="F2236" s="3" t="n">
        <v>0</v>
      </c>
      <c r="G2236" s="3" t="n">
        <v>2</v>
      </c>
      <c r="H2236" s="24" t="n">
        <v>-0.0210734736</v>
      </c>
    </row>
    <row r="2237" customFormat="false" ht="15" hidden="false" customHeight="false" outlineLevel="0" collapsed="false">
      <c r="A2237" s="3" t="n">
        <v>2236</v>
      </c>
      <c r="B2237" s="3" t="n">
        <v>2235</v>
      </c>
      <c r="C2237" s="3" t="s">
        <v>118</v>
      </c>
      <c r="D2237" s="3" t="n">
        <v>7</v>
      </c>
      <c r="E2237" s="3" t="n">
        <v>0</v>
      </c>
      <c r="F2237" s="3" t="n">
        <v>1</v>
      </c>
      <c r="G2237" s="3" t="n">
        <v>0</v>
      </c>
      <c r="H2237" s="24" t="n">
        <v>-0.0795522928</v>
      </c>
    </row>
    <row r="2238" customFormat="false" ht="15" hidden="false" customHeight="false" outlineLevel="0" collapsed="false">
      <c r="A2238" s="3" t="n">
        <v>2237</v>
      </c>
      <c r="B2238" s="3" t="n">
        <v>2236</v>
      </c>
      <c r="C2238" s="3" t="s">
        <v>118</v>
      </c>
      <c r="D2238" s="3" t="n">
        <v>7</v>
      </c>
      <c r="E2238" s="3" t="n">
        <v>0</v>
      </c>
      <c r="F2238" s="3" t="n">
        <v>1</v>
      </c>
      <c r="G2238" s="3" t="n">
        <v>1</v>
      </c>
      <c r="H2238" s="24" t="n">
        <v>-0.0771679878</v>
      </c>
    </row>
    <row r="2239" customFormat="false" ht="15" hidden="false" customHeight="false" outlineLevel="0" collapsed="false">
      <c r="A2239" s="3" t="n">
        <v>2238</v>
      </c>
      <c r="B2239" s="3" t="n">
        <v>2237</v>
      </c>
      <c r="C2239" s="3" t="s">
        <v>118</v>
      </c>
      <c r="D2239" s="3" t="n">
        <v>7</v>
      </c>
      <c r="E2239" s="3" t="n">
        <v>0</v>
      </c>
      <c r="F2239" s="3" t="n">
        <v>1</v>
      </c>
      <c r="G2239" s="3" t="n">
        <v>2</v>
      </c>
      <c r="H2239" s="24" t="n">
        <v>-0.0277071968</v>
      </c>
    </row>
    <row r="2240" customFormat="false" ht="15" hidden="false" customHeight="false" outlineLevel="0" collapsed="false">
      <c r="A2240" s="3" t="n">
        <v>2239</v>
      </c>
      <c r="B2240" s="3" t="n">
        <v>2238</v>
      </c>
      <c r="C2240" s="3" t="s">
        <v>118</v>
      </c>
      <c r="D2240" s="3" t="n">
        <v>7</v>
      </c>
      <c r="E2240" s="3" t="n">
        <v>0</v>
      </c>
      <c r="F2240" s="3" t="n">
        <v>2</v>
      </c>
      <c r="G2240" s="3" t="n">
        <v>0</v>
      </c>
      <c r="H2240" s="24" t="n">
        <v>0.033126343</v>
      </c>
    </row>
    <row r="2241" customFormat="false" ht="15" hidden="false" customHeight="false" outlineLevel="0" collapsed="false">
      <c r="A2241" s="3" t="n">
        <v>2240</v>
      </c>
      <c r="B2241" s="3" t="n">
        <v>2239</v>
      </c>
      <c r="C2241" s="3" t="s">
        <v>118</v>
      </c>
      <c r="D2241" s="3" t="n">
        <v>7</v>
      </c>
      <c r="E2241" s="3" t="n">
        <v>0</v>
      </c>
      <c r="F2241" s="3" t="n">
        <v>2</v>
      </c>
      <c r="G2241" s="3" t="n">
        <v>1</v>
      </c>
      <c r="H2241" s="24" t="n">
        <v>-0.0573661812</v>
      </c>
    </row>
    <row r="2242" customFormat="false" ht="15" hidden="false" customHeight="false" outlineLevel="0" collapsed="false">
      <c r="A2242" s="3" t="n">
        <v>2241</v>
      </c>
      <c r="B2242" s="3" t="n">
        <v>2240</v>
      </c>
      <c r="C2242" s="3" t="s">
        <v>118</v>
      </c>
      <c r="D2242" s="3" t="n">
        <v>7</v>
      </c>
      <c r="E2242" s="3" t="n">
        <v>0</v>
      </c>
      <c r="F2242" s="3" t="n">
        <v>2</v>
      </c>
      <c r="G2242" s="3" t="n">
        <v>2</v>
      </c>
      <c r="H2242" s="24" t="n">
        <v>0.026118895</v>
      </c>
    </row>
    <row r="2243" customFormat="false" ht="15" hidden="false" customHeight="false" outlineLevel="0" collapsed="false">
      <c r="A2243" s="3" t="n">
        <v>2242</v>
      </c>
      <c r="B2243" s="3" t="n">
        <v>2241</v>
      </c>
      <c r="C2243" s="3" t="s">
        <v>118</v>
      </c>
      <c r="D2243" s="3" t="n">
        <v>7</v>
      </c>
      <c r="E2243" s="3" t="n">
        <v>1</v>
      </c>
      <c r="F2243" s="3" t="n">
        <v>0</v>
      </c>
      <c r="G2243" s="3" t="n">
        <v>0</v>
      </c>
      <c r="H2243" s="24" t="n">
        <v>-0.0434624366</v>
      </c>
    </row>
    <row r="2244" customFormat="false" ht="15" hidden="false" customHeight="false" outlineLevel="0" collapsed="false">
      <c r="A2244" s="3" t="n">
        <v>2243</v>
      </c>
      <c r="B2244" s="3" t="n">
        <v>2242</v>
      </c>
      <c r="C2244" s="3" t="s">
        <v>118</v>
      </c>
      <c r="D2244" s="3" t="n">
        <v>7</v>
      </c>
      <c r="E2244" s="3" t="n">
        <v>1</v>
      </c>
      <c r="F2244" s="3" t="n">
        <v>0</v>
      </c>
      <c r="G2244" s="3" t="n">
        <v>1</v>
      </c>
      <c r="H2244" s="24" t="n">
        <v>-0.037126746</v>
      </c>
    </row>
    <row r="2245" customFormat="false" ht="15" hidden="false" customHeight="false" outlineLevel="0" collapsed="false">
      <c r="A2245" s="3" t="n">
        <v>2244</v>
      </c>
      <c r="B2245" s="3" t="n">
        <v>2243</v>
      </c>
      <c r="C2245" s="3" t="s">
        <v>118</v>
      </c>
      <c r="D2245" s="3" t="n">
        <v>7</v>
      </c>
      <c r="E2245" s="3" t="n">
        <v>1</v>
      </c>
      <c r="F2245" s="3" t="n">
        <v>0</v>
      </c>
      <c r="G2245" s="3" t="n">
        <v>2</v>
      </c>
      <c r="H2245" s="24" t="n">
        <v>-0.0780505016</v>
      </c>
    </row>
    <row r="2246" customFormat="false" ht="15" hidden="false" customHeight="false" outlineLevel="0" collapsed="false">
      <c r="A2246" s="3" t="n">
        <v>2245</v>
      </c>
      <c r="B2246" s="3" t="n">
        <v>2244</v>
      </c>
      <c r="C2246" s="3" t="s">
        <v>118</v>
      </c>
      <c r="D2246" s="3" t="n">
        <v>7</v>
      </c>
      <c r="E2246" s="3" t="n">
        <v>1</v>
      </c>
      <c r="F2246" s="3" t="n">
        <v>1</v>
      </c>
      <c r="G2246" s="3" t="n">
        <v>0</v>
      </c>
      <c r="H2246" s="24" t="n">
        <v>0.0468908027</v>
      </c>
    </row>
    <row r="2247" customFormat="false" ht="15" hidden="false" customHeight="false" outlineLevel="0" collapsed="false">
      <c r="A2247" s="3" t="n">
        <v>2246</v>
      </c>
      <c r="B2247" s="3" t="n">
        <v>2245</v>
      </c>
      <c r="C2247" s="3" t="s">
        <v>118</v>
      </c>
      <c r="D2247" s="3" t="n">
        <v>7</v>
      </c>
      <c r="E2247" s="3" t="n">
        <v>1</v>
      </c>
      <c r="F2247" s="3" t="n">
        <v>1</v>
      </c>
      <c r="G2247" s="3" t="n">
        <v>1</v>
      </c>
      <c r="H2247" s="24" t="n">
        <v>0.0720658749</v>
      </c>
    </row>
    <row r="2248" customFormat="false" ht="15" hidden="false" customHeight="false" outlineLevel="0" collapsed="false">
      <c r="A2248" s="3" t="n">
        <v>2247</v>
      </c>
      <c r="B2248" s="3" t="n">
        <v>2246</v>
      </c>
      <c r="C2248" s="3" t="s">
        <v>118</v>
      </c>
      <c r="D2248" s="3" t="n">
        <v>7</v>
      </c>
      <c r="E2248" s="3" t="n">
        <v>1</v>
      </c>
      <c r="F2248" s="3" t="n">
        <v>1</v>
      </c>
      <c r="G2248" s="3" t="n">
        <v>2</v>
      </c>
      <c r="H2248" s="24" t="n">
        <v>-0.00772185437</v>
      </c>
    </row>
    <row r="2249" customFormat="false" ht="15" hidden="false" customHeight="false" outlineLevel="0" collapsed="false">
      <c r="A2249" s="3" t="n">
        <v>2248</v>
      </c>
      <c r="B2249" s="3" t="n">
        <v>2247</v>
      </c>
      <c r="C2249" s="3" t="s">
        <v>118</v>
      </c>
      <c r="D2249" s="3" t="n">
        <v>7</v>
      </c>
      <c r="E2249" s="3" t="n">
        <v>1</v>
      </c>
      <c r="F2249" s="3" t="n">
        <v>2</v>
      </c>
      <c r="G2249" s="3" t="n">
        <v>0</v>
      </c>
      <c r="H2249" s="24" t="n">
        <v>0.0320645198</v>
      </c>
    </row>
    <row r="2250" customFormat="false" ht="15" hidden="false" customHeight="false" outlineLevel="0" collapsed="false">
      <c r="A2250" s="3" t="n">
        <v>2249</v>
      </c>
      <c r="B2250" s="3" t="n">
        <v>2248</v>
      </c>
      <c r="C2250" s="3" t="s">
        <v>118</v>
      </c>
      <c r="D2250" s="3" t="n">
        <v>7</v>
      </c>
      <c r="E2250" s="3" t="n">
        <v>1</v>
      </c>
      <c r="F2250" s="3" t="n">
        <v>2</v>
      </c>
      <c r="G2250" s="3" t="n">
        <v>1</v>
      </c>
      <c r="H2250" s="24" t="n">
        <v>0.0598123781</v>
      </c>
    </row>
    <row r="2251" customFormat="false" ht="15" hidden="false" customHeight="false" outlineLevel="0" collapsed="false">
      <c r="A2251" s="3" t="n">
        <v>2250</v>
      </c>
      <c r="B2251" s="3" t="n">
        <v>2249</v>
      </c>
      <c r="C2251" s="3" t="s">
        <v>118</v>
      </c>
      <c r="D2251" s="3" t="n">
        <v>7</v>
      </c>
      <c r="E2251" s="3" t="n">
        <v>1</v>
      </c>
      <c r="F2251" s="3" t="n">
        <v>2</v>
      </c>
      <c r="G2251" s="3" t="n">
        <v>2</v>
      </c>
      <c r="H2251" s="24" t="n">
        <v>0.0333720073</v>
      </c>
    </row>
    <row r="2252" customFormat="false" ht="15" hidden="false" customHeight="false" outlineLevel="0" collapsed="false">
      <c r="A2252" s="3" t="n">
        <v>2251</v>
      </c>
      <c r="B2252" s="3" t="n">
        <v>2250</v>
      </c>
      <c r="C2252" s="3" t="s">
        <v>118</v>
      </c>
      <c r="D2252" s="3" t="n">
        <v>7</v>
      </c>
      <c r="E2252" s="3" t="n">
        <v>2</v>
      </c>
      <c r="F2252" s="3" t="n">
        <v>0</v>
      </c>
      <c r="G2252" s="3" t="n">
        <v>0</v>
      </c>
      <c r="H2252" s="24" t="n">
        <v>0.0243303683</v>
      </c>
    </row>
    <row r="2253" customFormat="false" ht="15" hidden="false" customHeight="false" outlineLevel="0" collapsed="false">
      <c r="A2253" s="3" t="n">
        <v>2252</v>
      </c>
      <c r="B2253" s="3" t="n">
        <v>2251</v>
      </c>
      <c r="C2253" s="3" t="s">
        <v>118</v>
      </c>
      <c r="D2253" s="3" t="n">
        <v>7</v>
      </c>
      <c r="E2253" s="3" t="n">
        <v>2</v>
      </c>
      <c r="F2253" s="3" t="n">
        <v>0</v>
      </c>
      <c r="G2253" s="3" t="n">
        <v>1</v>
      </c>
      <c r="H2253" s="24" t="n">
        <v>-0.0990515873</v>
      </c>
    </row>
    <row r="2254" customFormat="false" ht="15" hidden="false" customHeight="false" outlineLevel="0" collapsed="false">
      <c r="A2254" s="3" t="n">
        <v>2253</v>
      </c>
      <c r="B2254" s="3" t="n">
        <v>2252</v>
      </c>
      <c r="C2254" s="3" t="s">
        <v>118</v>
      </c>
      <c r="D2254" s="3" t="n">
        <v>7</v>
      </c>
      <c r="E2254" s="3" t="n">
        <v>2</v>
      </c>
      <c r="F2254" s="3" t="n">
        <v>0</v>
      </c>
      <c r="G2254" s="3" t="n">
        <v>2</v>
      </c>
      <c r="H2254" s="24" t="n">
        <v>-0.0921374261</v>
      </c>
    </row>
    <row r="2255" customFormat="false" ht="15" hidden="false" customHeight="false" outlineLevel="0" collapsed="false">
      <c r="A2255" s="3" t="n">
        <v>2254</v>
      </c>
      <c r="B2255" s="3" t="n">
        <v>2253</v>
      </c>
      <c r="C2255" s="3" t="s">
        <v>118</v>
      </c>
      <c r="D2255" s="3" t="n">
        <v>7</v>
      </c>
      <c r="E2255" s="3" t="n">
        <v>2</v>
      </c>
      <c r="F2255" s="3" t="n">
        <v>1</v>
      </c>
      <c r="G2255" s="3" t="n">
        <v>0</v>
      </c>
      <c r="H2255" s="24" t="n">
        <v>-0.0653448924</v>
      </c>
    </row>
    <row r="2256" customFormat="false" ht="15" hidden="false" customHeight="false" outlineLevel="0" collapsed="false">
      <c r="A2256" s="3" t="n">
        <v>2255</v>
      </c>
      <c r="B2256" s="3" t="n">
        <v>2254</v>
      </c>
      <c r="C2256" s="3" t="s">
        <v>118</v>
      </c>
      <c r="D2256" s="3" t="n">
        <v>7</v>
      </c>
      <c r="E2256" s="3" t="n">
        <v>2</v>
      </c>
      <c r="F2256" s="3" t="n">
        <v>1</v>
      </c>
      <c r="G2256" s="3" t="n">
        <v>1</v>
      </c>
      <c r="H2256" s="24" t="n">
        <v>-0.0162139218</v>
      </c>
    </row>
    <row r="2257" customFormat="false" ht="15" hidden="false" customHeight="false" outlineLevel="0" collapsed="false">
      <c r="A2257" s="3" t="n">
        <v>2256</v>
      </c>
      <c r="B2257" s="3" t="n">
        <v>2255</v>
      </c>
      <c r="C2257" s="3" t="s">
        <v>118</v>
      </c>
      <c r="D2257" s="3" t="n">
        <v>7</v>
      </c>
      <c r="E2257" s="3" t="n">
        <v>2</v>
      </c>
      <c r="F2257" s="3" t="n">
        <v>1</v>
      </c>
      <c r="G2257" s="3" t="n">
        <v>2</v>
      </c>
      <c r="H2257" s="24" t="n">
        <v>-0.100994326</v>
      </c>
    </row>
    <row r="2258" customFormat="false" ht="15" hidden="false" customHeight="false" outlineLevel="0" collapsed="false">
      <c r="A2258" s="3" t="n">
        <v>2257</v>
      </c>
      <c r="B2258" s="3" t="n">
        <v>2256</v>
      </c>
      <c r="C2258" s="3" t="s">
        <v>118</v>
      </c>
      <c r="D2258" s="3" t="n">
        <v>7</v>
      </c>
      <c r="E2258" s="3" t="n">
        <v>2</v>
      </c>
      <c r="F2258" s="3" t="n">
        <v>2</v>
      </c>
      <c r="G2258" s="3" t="n">
        <v>0</v>
      </c>
      <c r="H2258" s="24" t="n">
        <v>-0.0822698176</v>
      </c>
    </row>
    <row r="2259" customFormat="false" ht="15" hidden="false" customHeight="false" outlineLevel="0" collapsed="false">
      <c r="A2259" s="3" t="n">
        <v>2258</v>
      </c>
      <c r="B2259" s="3" t="n">
        <v>2257</v>
      </c>
      <c r="C2259" s="3" t="s">
        <v>118</v>
      </c>
      <c r="D2259" s="3" t="n">
        <v>7</v>
      </c>
      <c r="E2259" s="3" t="n">
        <v>2</v>
      </c>
      <c r="F2259" s="3" t="n">
        <v>2</v>
      </c>
      <c r="G2259" s="3" t="n">
        <v>1</v>
      </c>
      <c r="H2259" s="24" t="n">
        <v>-0.0858940259</v>
      </c>
    </row>
    <row r="2260" customFormat="false" ht="15" hidden="false" customHeight="false" outlineLevel="0" collapsed="false">
      <c r="A2260" s="3" t="n">
        <v>2259</v>
      </c>
      <c r="B2260" s="3" t="n">
        <v>2258</v>
      </c>
      <c r="C2260" s="3" t="s">
        <v>118</v>
      </c>
      <c r="D2260" s="3" t="n">
        <v>7</v>
      </c>
      <c r="E2260" s="3" t="n">
        <v>2</v>
      </c>
      <c r="F2260" s="3" t="n">
        <v>2</v>
      </c>
      <c r="G2260" s="3" t="n">
        <v>2</v>
      </c>
      <c r="H2260" s="24" t="n">
        <v>-0.0925159305</v>
      </c>
    </row>
    <row r="2261" customFormat="false" ht="15" hidden="false" customHeight="false" outlineLevel="0" collapsed="false">
      <c r="A2261" s="3" t="n">
        <v>2260</v>
      </c>
      <c r="B2261" s="3" t="n">
        <v>2259</v>
      </c>
      <c r="C2261" s="3" t="s">
        <v>118</v>
      </c>
      <c r="D2261" s="3" t="n">
        <v>7</v>
      </c>
      <c r="E2261" s="3" t="n">
        <v>3</v>
      </c>
      <c r="F2261" s="3" t="n">
        <v>0</v>
      </c>
      <c r="G2261" s="3" t="n">
        <v>0</v>
      </c>
      <c r="H2261" s="24" t="n">
        <v>-0.0307534784</v>
      </c>
    </row>
    <row r="2262" customFormat="false" ht="15" hidden="false" customHeight="false" outlineLevel="0" collapsed="false">
      <c r="A2262" s="3" t="n">
        <v>2261</v>
      </c>
      <c r="B2262" s="3" t="n">
        <v>2260</v>
      </c>
      <c r="C2262" s="3" t="s">
        <v>118</v>
      </c>
      <c r="D2262" s="3" t="n">
        <v>7</v>
      </c>
      <c r="E2262" s="3" t="n">
        <v>3</v>
      </c>
      <c r="F2262" s="3" t="n">
        <v>0</v>
      </c>
      <c r="G2262" s="3" t="n">
        <v>1</v>
      </c>
      <c r="H2262" s="24" t="n">
        <v>0.0120223463</v>
      </c>
    </row>
    <row r="2263" customFormat="false" ht="15" hidden="false" customHeight="false" outlineLevel="0" collapsed="false">
      <c r="A2263" s="3" t="n">
        <v>2262</v>
      </c>
      <c r="B2263" s="3" t="n">
        <v>2261</v>
      </c>
      <c r="C2263" s="3" t="s">
        <v>118</v>
      </c>
      <c r="D2263" s="3" t="n">
        <v>7</v>
      </c>
      <c r="E2263" s="3" t="n">
        <v>3</v>
      </c>
      <c r="F2263" s="3" t="n">
        <v>0</v>
      </c>
      <c r="G2263" s="3" t="n">
        <v>2</v>
      </c>
      <c r="H2263" s="24" t="n">
        <v>-0.0764189884</v>
      </c>
    </row>
    <row r="2264" customFormat="false" ht="15" hidden="false" customHeight="false" outlineLevel="0" collapsed="false">
      <c r="A2264" s="3" t="n">
        <v>2263</v>
      </c>
      <c r="B2264" s="3" t="n">
        <v>2262</v>
      </c>
      <c r="C2264" s="3" t="s">
        <v>118</v>
      </c>
      <c r="D2264" s="3" t="n">
        <v>7</v>
      </c>
      <c r="E2264" s="3" t="n">
        <v>3</v>
      </c>
      <c r="F2264" s="3" t="n">
        <v>1</v>
      </c>
      <c r="G2264" s="3" t="n">
        <v>0</v>
      </c>
      <c r="H2264" s="24" t="n">
        <v>0.00731830532</v>
      </c>
    </row>
    <row r="2265" customFormat="false" ht="15" hidden="false" customHeight="false" outlineLevel="0" collapsed="false">
      <c r="A2265" s="3" t="n">
        <v>2264</v>
      </c>
      <c r="B2265" s="3" t="n">
        <v>2263</v>
      </c>
      <c r="C2265" s="3" t="s">
        <v>118</v>
      </c>
      <c r="D2265" s="3" t="n">
        <v>7</v>
      </c>
      <c r="E2265" s="3" t="n">
        <v>3</v>
      </c>
      <c r="F2265" s="3" t="n">
        <v>1</v>
      </c>
      <c r="G2265" s="3" t="n">
        <v>1</v>
      </c>
      <c r="H2265" s="24" t="n">
        <v>-0.0787288696</v>
      </c>
    </row>
    <row r="2266" customFormat="false" ht="15" hidden="false" customHeight="false" outlineLevel="0" collapsed="false">
      <c r="A2266" s="3" t="n">
        <v>2265</v>
      </c>
      <c r="B2266" s="3" t="n">
        <v>2264</v>
      </c>
      <c r="C2266" s="3" t="s">
        <v>118</v>
      </c>
      <c r="D2266" s="3" t="n">
        <v>7</v>
      </c>
      <c r="E2266" s="3" t="n">
        <v>3</v>
      </c>
      <c r="F2266" s="3" t="n">
        <v>1</v>
      </c>
      <c r="G2266" s="3" t="n">
        <v>2</v>
      </c>
      <c r="H2266" s="24" t="n">
        <v>-0.0706911385</v>
      </c>
    </row>
    <row r="2267" customFormat="false" ht="15" hidden="false" customHeight="false" outlineLevel="0" collapsed="false">
      <c r="A2267" s="3" t="n">
        <v>2266</v>
      </c>
      <c r="B2267" s="3" t="n">
        <v>2265</v>
      </c>
      <c r="C2267" s="3" t="s">
        <v>118</v>
      </c>
      <c r="D2267" s="3" t="n">
        <v>7</v>
      </c>
      <c r="E2267" s="3" t="n">
        <v>3</v>
      </c>
      <c r="F2267" s="3" t="n">
        <v>2</v>
      </c>
      <c r="G2267" s="3" t="n">
        <v>0</v>
      </c>
      <c r="H2267" s="24" t="n">
        <v>0.0258611683</v>
      </c>
    </row>
    <row r="2268" customFormat="false" ht="15" hidden="false" customHeight="false" outlineLevel="0" collapsed="false">
      <c r="A2268" s="3" t="n">
        <v>2267</v>
      </c>
      <c r="B2268" s="3" t="n">
        <v>2266</v>
      </c>
      <c r="C2268" s="3" t="s">
        <v>118</v>
      </c>
      <c r="D2268" s="3" t="n">
        <v>7</v>
      </c>
      <c r="E2268" s="3" t="n">
        <v>3</v>
      </c>
      <c r="F2268" s="3" t="n">
        <v>2</v>
      </c>
      <c r="G2268" s="3" t="n">
        <v>1</v>
      </c>
      <c r="H2268" s="24" t="n">
        <v>0.0341368243</v>
      </c>
    </row>
    <row r="2269" customFormat="false" ht="15" hidden="false" customHeight="false" outlineLevel="0" collapsed="false">
      <c r="A2269" s="3" t="n">
        <v>2268</v>
      </c>
      <c r="B2269" s="3" t="n">
        <v>2267</v>
      </c>
      <c r="C2269" s="3" t="s">
        <v>118</v>
      </c>
      <c r="D2269" s="3" t="n">
        <v>7</v>
      </c>
      <c r="E2269" s="3" t="n">
        <v>3</v>
      </c>
      <c r="F2269" s="3" t="n">
        <v>2</v>
      </c>
      <c r="G2269" s="3" t="n">
        <v>2</v>
      </c>
      <c r="H2269" s="24" t="n">
        <v>-0.0283582266</v>
      </c>
    </row>
    <row r="2270" customFormat="false" ht="15" hidden="false" customHeight="false" outlineLevel="0" collapsed="false">
      <c r="A2270" s="3" t="n">
        <v>2269</v>
      </c>
      <c r="B2270" s="3" t="n">
        <v>2268</v>
      </c>
      <c r="C2270" s="3" t="s">
        <v>118</v>
      </c>
      <c r="D2270" s="3" t="n">
        <v>7</v>
      </c>
      <c r="E2270" s="3" t="n">
        <v>4</v>
      </c>
      <c r="F2270" s="3" t="n">
        <v>0</v>
      </c>
      <c r="G2270" s="3" t="n">
        <v>0</v>
      </c>
      <c r="H2270" s="24" t="n">
        <v>-0.0917383507</v>
      </c>
    </row>
    <row r="2271" customFormat="false" ht="15" hidden="false" customHeight="false" outlineLevel="0" collapsed="false">
      <c r="A2271" s="3" t="n">
        <v>2270</v>
      </c>
      <c r="B2271" s="3" t="n">
        <v>2269</v>
      </c>
      <c r="C2271" s="3" t="s">
        <v>118</v>
      </c>
      <c r="D2271" s="3" t="n">
        <v>7</v>
      </c>
      <c r="E2271" s="3" t="n">
        <v>4</v>
      </c>
      <c r="F2271" s="3" t="n">
        <v>0</v>
      </c>
      <c r="G2271" s="3" t="n">
        <v>1</v>
      </c>
      <c r="H2271" s="24" t="n">
        <v>-0.0418057553</v>
      </c>
    </row>
    <row r="2272" customFormat="false" ht="15" hidden="false" customHeight="false" outlineLevel="0" collapsed="false">
      <c r="A2272" s="3" t="n">
        <v>2271</v>
      </c>
      <c r="B2272" s="3" t="n">
        <v>2270</v>
      </c>
      <c r="C2272" s="3" t="s">
        <v>118</v>
      </c>
      <c r="D2272" s="3" t="n">
        <v>7</v>
      </c>
      <c r="E2272" s="3" t="n">
        <v>4</v>
      </c>
      <c r="F2272" s="3" t="n">
        <v>0</v>
      </c>
      <c r="G2272" s="3" t="n">
        <v>2</v>
      </c>
      <c r="H2272" s="24" t="n">
        <v>0.010611604</v>
      </c>
    </row>
    <row r="2273" customFormat="false" ht="15" hidden="false" customHeight="false" outlineLevel="0" collapsed="false">
      <c r="A2273" s="3" t="n">
        <v>2272</v>
      </c>
      <c r="B2273" s="3" t="n">
        <v>2271</v>
      </c>
      <c r="C2273" s="3" t="s">
        <v>118</v>
      </c>
      <c r="D2273" s="3" t="n">
        <v>7</v>
      </c>
      <c r="E2273" s="3" t="n">
        <v>4</v>
      </c>
      <c r="F2273" s="3" t="n">
        <v>1</v>
      </c>
      <c r="G2273" s="3" t="n">
        <v>0</v>
      </c>
      <c r="H2273" s="24" t="n">
        <v>0.0292459782</v>
      </c>
    </row>
    <row r="2274" customFormat="false" ht="15" hidden="false" customHeight="false" outlineLevel="0" collapsed="false">
      <c r="A2274" s="3" t="n">
        <v>2273</v>
      </c>
      <c r="B2274" s="3" t="n">
        <v>2272</v>
      </c>
      <c r="C2274" s="3" t="s">
        <v>118</v>
      </c>
      <c r="D2274" s="3" t="n">
        <v>7</v>
      </c>
      <c r="E2274" s="3" t="n">
        <v>4</v>
      </c>
      <c r="F2274" s="3" t="n">
        <v>1</v>
      </c>
      <c r="G2274" s="3" t="n">
        <v>1</v>
      </c>
      <c r="H2274" s="24" t="n">
        <v>0.0414870605</v>
      </c>
    </row>
    <row r="2275" customFormat="false" ht="15" hidden="false" customHeight="false" outlineLevel="0" collapsed="false">
      <c r="A2275" s="3" t="n">
        <v>2274</v>
      </c>
      <c r="B2275" s="3" t="n">
        <v>2273</v>
      </c>
      <c r="C2275" s="3" t="s">
        <v>118</v>
      </c>
      <c r="D2275" s="3" t="n">
        <v>7</v>
      </c>
      <c r="E2275" s="3" t="n">
        <v>4</v>
      </c>
      <c r="F2275" s="3" t="n">
        <v>1</v>
      </c>
      <c r="G2275" s="3" t="n">
        <v>2</v>
      </c>
      <c r="H2275" s="24" t="n">
        <v>-0.0367985368</v>
      </c>
    </row>
    <row r="2276" customFormat="false" ht="15" hidden="false" customHeight="false" outlineLevel="0" collapsed="false">
      <c r="A2276" s="3" t="n">
        <v>2275</v>
      </c>
      <c r="B2276" s="3" t="n">
        <v>2274</v>
      </c>
      <c r="C2276" s="3" t="s">
        <v>118</v>
      </c>
      <c r="D2276" s="3" t="n">
        <v>7</v>
      </c>
      <c r="E2276" s="3" t="n">
        <v>4</v>
      </c>
      <c r="F2276" s="3" t="n">
        <v>2</v>
      </c>
      <c r="G2276" s="3" t="n">
        <v>0</v>
      </c>
      <c r="H2276" s="24" t="n">
        <v>-0.0987522975</v>
      </c>
    </row>
    <row r="2277" customFormat="false" ht="15" hidden="false" customHeight="false" outlineLevel="0" collapsed="false">
      <c r="A2277" s="3" t="n">
        <v>2276</v>
      </c>
      <c r="B2277" s="3" t="n">
        <v>2275</v>
      </c>
      <c r="C2277" s="3" t="s">
        <v>118</v>
      </c>
      <c r="D2277" s="3" t="n">
        <v>7</v>
      </c>
      <c r="E2277" s="3" t="n">
        <v>4</v>
      </c>
      <c r="F2277" s="3" t="n">
        <v>2</v>
      </c>
      <c r="G2277" s="3" t="n">
        <v>1</v>
      </c>
      <c r="H2277" s="24" t="n">
        <v>-0.0729289204</v>
      </c>
    </row>
    <row r="2278" customFormat="false" ht="15" hidden="false" customHeight="false" outlineLevel="0" collapsed="false">
      <c r="A2278" s="3" t="n">
        <v>2277</v>
      </c>
      <c r="B2278" s="3" t="n">
        <v>2276</v>
      </c>
      <c r="C2278" s="3" t="s">
        <v>118</v>
      </c>
      <c r="D2278" s="3" t="n">
        <v>7</v>
      </c>
      <c r="E2278" s="3" t="n">
        <v>4</v>
      </c>
      <c r="F2278" s="3" t="n">
        <v>2</v>
      </c>
      <c r="G2278" s="3" t="n">
        <v>2</v>
      </c>
      <c r="H2278" s="24" t="n">
        <v>-0.0265130214</v>
      </c>
    </row>
    <row r="2279" customFormat="false" ht="15" hidden="false" customHeight="false" outlineLevel="0" collapsed="false">
      <c r="A2279" s="3" t="n">
        <v>2278</v>
      </c>
      <c r="B2279" s="3" t="n">
        <v>2277</v>
      </c>
      <c r="C2279" s="3" t="s">
        <v>118</v>
      </c>
      <c r="D2279" s="3" t="n">
        <v>7</v>
      </c>
      <c r="E2279" s="3" t="n">
        <v>5</v>
      </c>
      <c r="F2279" s="3" t="n">
        <v>0</v>
      </c>
      <c r="G2279" s="3" t="n">
        <v>0</v>
      </c>
      <c r="H2279" s="24" t="n">
        <v>-0.0223577209</v>
      </c>
    </row>
    <row r="2280" customFormat="false" ht="15" hidden="false" customHeight="false" outlineLevel="0" collapsed="false">
      <c r="A2280" s="3" t="n">
        <v>2279</v>
      </c>
      <c r="B2280" s="3" t="n">
        <v>2278</v>
      </c>
      <c r="C2280" s="3" t="s">
        <v>118</v>
      </c>
      <c r="D2280" s="3" t="n">
        <v>7</v>
      </c>
      <c r="E2280" s="3" t="n">
        <v>5</v>
      </c>
      <c r="F2280" s="3" t="n">
        <v>0</v>
      </c>
      <c r="G2280" s="3" t="n">
        <v>1</v>
      </c>
      <c r="H2280" s="24" t="n">
        <v>-0.0612471327</v>
      </c>
    </row>
    <row r="2281" customFormat="false" ht="15" hidden="false" customHeight="false" outlineLevel="0" collapsed="false">
      <c r="A2281" s="3" t="n">
        <v>2280</v>
      </c>
      <c r="B2281" s="3" t="n">
        <v>2279</v>
      </c>
      <c r="C2281" s="3" t="s">
        <v>118</v>
      </c>
      <c r="D2281" s="3" t="n">
        <v>7</v>
      </c>
      <c r="E2281" s="3" t="n">
        <v>5</v>
      </c>
      <c r="F2281" s="3" t="n">
        <v>0</v>
      </c>
      <c r="G2281" s="3" t="n">
        <v>2</v>
      </c>
      <c r="H2281" s="24" t="n">
        <v>-0.0655153692</v>
      </c>
    </row>
    <row r="2282" customFormat="false" ht="15" hidden="false" customHeight="false" outlineLevel="0" collapsed="false">
      <c r="A2282" s="3" t="n">
        <v>2281</v>
      </c>
      <c r="B2282" s="3" t="n">
        <v>2280</v>
      </c>
      <c r="C2282" s="3" t="s">
        <v>118</v>
      </c>
      <c r="D2282" s="3" t="n">
        <v>7</v>
      </c>
      <c r="E2282" s="3" t="n">
        <v>5</v>
      </c>
      <c r="F2282" s="3" t="n">
        <v>1</v>
      </c>
      <c r="G2282" s="3" t="n">
        <v>0</v>
      </c>
      <c r="H2282" s="24" t="n">
        <v>0.00169867836</v>
      </c>
    </row>
    <row r="2283" customFormat="false" ht="15" hidden="false" customHeight="false" outlineLevel="0" collapsed="false">
      <c r="A2283" s="3" t="n">
        <v>2282</v>
      </c>
      <c r="B2283" s="3" t="n">
        <v>2281</v>
      </c>
      <c r="C2283" s="3" t="s">
        <v>118</v>
      </c>
      <c r="D2283" s="3" t="n">
        <v>7</v>
      </c>
      <c r="E2283" s="3" t="n">
        <v>5</v>
      </c>
      <c r="F2283" s="3" t="n">
        <v>1</v>
      </c>
      <c r="G2283" s="3" t="n">
        <v>1</v>
      </c>
      <c r="H2283" s="24" t="n">
        <v>-0.0992646217</v>
      </c>
    </row>
    <row r="2284" customFormat="false" ht="15" hidden="false" customHeight="false" outlineLevel="0" collapsed="false">
      <c r="A2284" s="3" t="n">
        <v>2283</v>
      </c>
      <c r="B2284" s="3" t="n">
        <v>2282</v>
      </c>
      <c r="C2284" s="3" t="s">
        <v>118</v>
      </c>
      <c r="D2284" s="3" t="n">
        <v>7</v>
      </c>
      <c r="E2284" s="3" t="n">
        <v>5</v>
      </c>
      <c r="F2284" s="3" t="n">
        <v>1</v>
      </c>
      <c r="G2284" s="3" t="n">
        <v>2</v>
      </c>
      <c r="H2284" s="24" t="n">
        <v>-0.0830257088</v>
      </c>
    </row>
    <row r="2285" customFormat="false" ht="15" hidden="false" customHeight="false" outlineLevel="0" collapsed="false">
      <c r="A2285" s="3" t="n">
        <v>2284</v>
      </c>
      <c r="B2285" s="3" t="n">
        <v>2283</v>
      </c>
      <c r="C2285" s="3" t="s">
        <v>118</v>
      </c>
      <c r="D2285" s="3" t="n">
        <v>7</v>
      </c>
      <c r="E2285" s="3" t="n">
        <v>5</v>
      </c>
      <c r="F2285" s="3" t="n">
        <v>2</v>
      </c>
      <c r="G2285" s="3" t="n">
        <v>0</v>
      </c>
      <c r="H2285" s="24" t="n">
        <v>-0.0777261779</v>
      </c>
    </row>
    <row r="2286" customFormat="false" ht="15" hidden="false" customHeight="false" outlineLevel="0" collapsed="false">
      <c r="A2286" s="3" t="n">
        <v>2285</v>
      </c>
      <c r="B2286" s="3" t="n">
        <v>2284</v>
      </c>
      <c r="C2286" s="3" t="s">
        <v>118</v>
      </c>
      <c r="D2286" s="3" t="n">
        <v>7</v>
      </c>
      <c r="E2286" s="3" t="n">
        <v>5</v>
      </c>
      <c r="F2286" s="3" t="n">
        <v>2</v>
      </c>
      <c r="G2286" s="3" t="n">
        <v>1</v>
      </c>
      <c r="H2286" s="24" t="n">
        <v>-0.0318845436</v>
      </c>
    </row>
    <row r="2287" customFormat="false" ht="15" hidden="false" customHeight="false" outlineLevel="0" collapsed="false">
      <c r="A2287" s="3" t="n">
        <v>2286</v>
      </c>
      <c r="B2287" s="3" t="n">
        <v>2285</v>
      </c>
      <c r="C2287" s="3" t="s">
        <v>118</v>
      </c>
      <c r="D2287" s="3" t="n">
        <v>7</v>
      </c>
      <c r="E2287" s="3" t="n">
        <v>5</v>
      </c>
      <c r="F2287" s="3" t="n">
        <v>2</v>
      </c>
      <c r="G2287" s="3" t="n">
        <v>2</v>
      </c>
      <c r="H2287" s="24" t="n">
        <v>0.0648036972</v>
      </c>
    </row>
    <row r="2288" customFormat="false" ht="15" hidden="false" customHeight="false" outlineLevel="0" collapsed="false">
      <c r="A2288" s="3" t="n">
        <v>2287</v>
      </c>
      <c r="B2288" s="3" t="n">
        <v>2286</v>
      </c>
      <c r="C2288" s="3" t="s">
        <v>118</v>
      </c>
      <c r="D2288" s="3" t="n">
        <v>7</v>
      </c>
      <c r="E2288" s="3" t="n">
        <v>6</v>
      </c>
      <c r="F2288" s="3" t="n">
        <v>0</v>
      </c>
      <c r="G2288" s="3" t="n">
        <v>0</v>
      </c>
      <c r="H2288" s="24" t="n">
        <v>0.00211659609</v>
      </c>
    </row>
    <row r="2289" customFormat="false" ht="15" hidden="false" customHeight="false" outlineLevel="0" collapsed="false">
      <c r="A2289" s="3" t="n">
        <v>2288</v>
      </c>
      <c r="B2289" s="3" t="n">
        <v>2287</v>
      </c>
      <c r="C2289" s="3" t="s">
        <v>118</v>
      </c>
      <c r="D2289" s="3" t="n">
        <v>7</v>
      </c>
      <c r="E2289" s="3" t="n">
        <v>6</v>
      </c>
      <c r="F2289" s="3" t="n">
        <v>0</v>
      </c>
      <c r="G2289" s="3" t="n">
        <v>1</v>
      </c>
      <c r="H2289" s="24" t="n">
        <v>-0.0464476496</v>
      </c>
    </row>
    <row r="2290" customFormat="false" ht="15" hidden="false" customHeight="false" outlineLevel="0" collapsed="false">
      <c r="A2290" s="3" t="n">
        <v>2289</v>
      </c>
      <c r="B2290" s="3" t="n">
        <v>2288</v>
      </c>
      <c r="C2290" s="3" t="s">
        <v>118</v>
      </c>
      <c r="D2290" s="3" t="n">
        <v>7</v>
      </c>
      <c r="E2290" s="3" t="n">
        <v>6</v>
      </c>
      <c r="F2290" s="3" t="n">
        <v>0</v>
      </c>
      <c r="G2290" s="3" t="n">
        <v>2</v>
      </c>
      <c r="H2290" s="24" t="n">
        <v>-0.0150620239</v>
      </c>
    </row>
    <row r="2291" customFormat="false" ht="15" hidden="false" customHeight="false" outlineLevel="0" collapsed="false">
      <c r="A2291" s="3" t="n">
        <v>2290</v>
      </c>
      <c r="B2291" s="3" t="n">
        <v>2289</v>
      </c>
      <c r="C2291" s="3" t="s">
        <v>118</v>
      </c>
      <c r="D2291" s="3" t="n">
        <v>7</v>
      </c>
      <c r="E2291" s="3" t="n">
        <v>6</v>
      </c>
      <c r="F2291" s="3" t="n">
        <v>1</v>
      </c>
      <c r="G2291" s="3" t="n">
        <v>0</v>
      </c>
      <c r="H2291" s="24" t="n">
        <v>0.0145363081</v>
      </c>
    </row>
    <row r="2292" customFormat="false" ht="15" hidden="false" customHeight="false" outlineLevel="0" collapsed="false">
      <c r="A2292" s="3" t="n">
        <v>2291</v>
      </c>
      <c r="B2292" s="3" t="n">
        <v>2290</v>
      </c>
      <c r="C2292" s="3" t="s">
        <v>118</v>
      </c>
      <c r="D2292" s="3" t="n">
        <v>7</v>
      </c>
      <c r="E2292" s="3" t="n">
        <v>6</v>
      </c>
      <c r="F2292" s="3" t="n">
        <v>1</v>
      </c>
      <c r="G2292" s="3" t="n">
        <v>1</v>
      </c>
      <c r="H2292" s="24" t="n">
        <v>-0.0145589076</v>
      </c>
    </row>
    <row r="2293" customFormat="false" ht="15" hidden="false" customHeight="false" outlineLevel="0" collapsed="false">
      <c r="A2293" s="3" t="n">
        <v>2292</v>
      </c>
      <c r="B2293" s="3" t="n">
        <v>2291</v>
      </c>
      <c r="C2293" s="3" t="s">
        <v>118</v>
      </c>
      <c r="D2293" s="3" t="n">
        <v>7</v>
      </c>
      <c r="E2293" s="3" t="n">
        <v>6</v>
      </c>
      <c r="F2293" s="3" t="n">
        <v>1</v>
      </c>
      <c r="G2293" s="3" t="n">
        <v>2</v>
      </c>
      <c r="H2293" s="24" t="n">
        <v>-0.084420234</v>
      </c>
    </row>
    <row r="2294" customFormat="false" ht="15" hidden="false" customHeight="false" outlineLevel="0" collapsed="false">
      <c r="A2294" s="3" t="n">
        <v>2293</v>
      </c>
      <c r="B2294" s="3" t="n">
        <v>2292</v>
      </c>
      <c r="C2294" s="3" t="s">
        <v>118</v>
      </c>
      <c r="D2294" s="3" t="n">
        <v>7</v>
      </c>
      <c r="E2294" s="3" t="n">
        <v>6</v>
      </c>
      <c r="F2294" s="3" t="n">
        <v>2</v>
      </c>
      <c r="G2294" s="3" t="n">
        <v>0</v>
      </c>
      <c r="H2294" s="24" t="n">
        <v>-0.0670087188</v>
      </c>
    </row>
    <row r="2295" customFormat="false" ht="15" hidden="false" customHeight="false" outlineLevel="0" collapsed="false">
      <c r="A2295" s="3" t="n">
        <v>2294</v>
      </c>
      <c r="B2295" s="3" t="n">
        <v>2293</v>
      </c>
      <c r="C2295" s="3" t="s">
        <v>118</v>
      </c>
      <c r="D2295" s="3" t="n">
        <v>7</v>
      </c>
      <c r="E2295" s="3" t="n">
        <v>6</v>
      </c>
      <c r="F2295" s="3" t="n">
        <v>2</v>
      </c>
      <c r="G2295" s="3" t="n">
        <v>1</v>
      </c>
      <c r="H2295" s="24" t="n">
        <v>-0.0667937994</v>
      </c>
    </row>
    <row r="2296" customFormat="false" ht="15" hidden="false" customHeight="false" outlineLevel="0" collapsed="false">
      <c r="A2296" s="3" t="n">
        <v>2295</v>
      </c>
      <c r="B2296" s="3" t="n">
        <v>2294</v>
      </c>
      <c r="C2296" s="3" t="s">
        <v>118</v>
      </c>
      <c r="D2296" s="3" t="n">
        <v>7</v>
      </c>
      <c r="E2296" s="3" t="n">
        <v>6</v>
      </c>
      <c r="F2296" s="3" t="n">
        <v>2</v>
      </c>
      <c r="G2296" s="3" t="n">
        <v>2</v>
      </c>
      <c r="H2296" s="24" t="n">
        <v>-0.0139517011</v>
      </c>
    </row>
    <row r="2297" customFormat="false" ht="15" hidden="false" customHeight="false" outlineLevel="0" collapsed="false">
      <c r="A2297" s="3" t="n">
        <v>2296</v>
      </c>
      <c r="B2297" s="3" t="n">
        <v>2295</v>
      </c>
      <c r="C2297" s="3" t="s">
        <v>118</v>
      </c>
      <c r="D2297" s="3" t="n">
        <v>7</v>
      </c>
      <c r="E2297" s="3" t="n">
        <v>7</v>
      </c>
      <c r="F2297" s="3" t="n">
        <v>0</v>
      </c>
      <c r="G2297" s="3" t="n">
        <v>0</v>
      </c>
      <c r="H2297" s="24" t="n">
        <v>-0.0897635967</v>
      </c>
    </row>
    <row r="2298" customFormat="false" ht="15" hidden="false" customHeight="false" outlineLevel="0" collapsed="false">
      <c r="A2298" s="3" t="n">
        <v>2297</v>
      </c>
      <c r="B2298" s="3" t="n">
        <v>2296</v>
      </c>
      <c r="C2298" s="3" t="s">
        <v>118</v>
      </c>
      <c r="D2298" s="3" t="n">
        <v>7</v>
      </c>
      <c r="E2298" s="3" t="n">
        <v>7</v>
      </c>
      <c r="F2298" s="3" t="n">
        <v>0</v>
      </c>
      <c r="G2298" s="3" t="n">
        <v>1</v>
      </c>
      <c r="H2298" s="24" t="n">
        <v>-0.035661649</v>
      </c>
    </row>
    <row r="2299" customFormat="false" ht="15" hidden="false" customHeight="false" outlineLevel="0" collapsed="false">
      <c r="A2299" s="3" t="n">
        <v>2298</v>
      </c>
      <c r="B2299" s="3" t="n">
        <v>2297</v>
      </c>
      <c r="C2299" s="3" t="s">
        <v>118</v>
      </c>
      <c r="D2299" s="3" t="n">
        <v>7</v>
      </c>
      <c r="E2299" s="3" t="n">
        <v>7</v>
      </c>
      <c r="F2299" s="3" t="n">
        <v>0</v>
      </c>
      <c r="G2299" s="3" t="n">
        <v>2</v>
      </c>
      <c r="H2299" s="24" t="n">
        <v>-0.0454058237</v>
      </c>
    </row>
    <row r="2300" customFormat="false" ht="15" hidden="false" customHeight="false" outlineLevel="0" collapsed="false">
      <c r="A2300" s="3" t="n">
        <v>2299</v>
      </c>
      <c r="B2300" s="3" t="n">
        <v>2298</v>
      </c>
      <c r="C2300" s="3" t="s">
        <v>118</v>
      </c>
      <c r="D2300" s="3" t="n">
        <v>7</v>
      </c>
      <c r="E2300" s="3" t="n">
        <v>7</v>
      </c>
      <c r="F2300" s="3" t="n">
        <v>1</v>
      </c>
      <c r="G2300" s="3" t="n">
        <v>0</v>
      </c>
      <c r="H2300" s="24" t="n">
        <v>0.0701530054</v>
      </c>
    </row>
    <row r="2301" customFormat="false" ht="15" hidden="false" customHeight="false" outlineLevel="0" collapsed="false">
      <c r="A2301" s="3" t="n">
        <v>2300</v>
      </c>
      <c r="B2301" s="3" t="n">
        <v>2299</v>
      </c>
      <c r="C2301" s="3" t="s">
        <v>118</v>
      </c>
      <c r="D2301" s="3" t="n">
        <v>7</v>
      </c>
      <c r="E2301" s="3" t="n">
        <v>7</v>
      </c>
      <c r="F2301" s="3" t="n">
        <v>1</v>
      </c>
      <c r="G2301" s="3" t="n">
        <v>1</v>
      </c>
      <c r="H2301" s="24" t="n">
        <v>0.0593502559</v>
      </c>
    </row>
    <row r="2302" customFormat="false" ht="15" hidden="false" customHeight="false" outlineLevel="0" collapsed="false">
      <c r="A2302" s="3" t="n">
        <v>2301</v>
      </c>
      <c r="B2302" s="3" t="n">
        <v>2300</v>
      </c>
      <c r="C2302" s="3" t="s">
        <v>118</v>
      </c>
      <c r="D2302" s="3" t="n">
        <v>7</v>
      </c>
      <c r="E2302" s="3" t="n">
        <v>7</v>
      </c>
      <c r="F2302" s="3" t="n">
        <v>1</v>
      </c>
      <c r="G2302" s="3" t="n">
        <v>2</v>
      </c>
      <c r="H2302" s="24" t="n">
        <v>0.0377360731</v>
      </c>
    </row>
    <row r="2303" customFormat="false" ht="15" hidden="false" customHeight="false" outlineLevel="0" collapsed="false">
      <c r="A2303" s="3" t="n">
        <v>2302</v>
      </c>
      <c r="B2303" s="3" t="n">
        <v>2301</v>
      </c>
      <c r="C2303" s="3" t="s">
        <v>118</v>
      </c>
      <c r="D2303" s="3" t="n">
        <v>7</v>
      </c>
      <c r="E2303" s="3" t="n">
        <v>7</v>
      </c>
      <c r="F2303" s="3" t="n">
        <v>2</v>
      </c>
      <c r="G2303" s="3" t="n">
        <v>0</v>
      </c>
      <c r="H2303" s="24" t="n">
        <v>-0.00813902076</v>
      </c>
    </row>
    <row r="2304" customFormat="false" ht="15" hidden="false" customHeight="false" outlineLevel="0" collapsed="false">
      <c r="A2304" s="3" t="n">
        <v>2303</v>
      </c>
      <c r="B2304" s="3" t="n">
        <v>2302</v>
      </c>
      <c r="C2304" s="3" t="s">
        <v>118</v>
      </c>
      <c r="D2304" s="3" t="n">
        <v>7</v>
      </c>
      <c r="E2304" s="3" t="n">
        <v>7</v>
      </c>
      <c r="F2304" s="3" t="n">
        <v>2</v>
      </c>
      <c r="G2304" s="3" t="n">
        <v>1</v>
      </c>
      <c r="H2304" s="24" t="n">
        <v>-0.0391672142</v>
      </c>
    </row>
    <row r="2305" customFormat="false" ht="15" hidden="false" customHeight="false" outlineLevel="0" collapsed="false">
      <c r="A2305" s="3" t="n">
        <v>2304</v>
      </c>
      <c r="B2305" s="3" t="n">
        <v>2303</v>
      </c>
      <c r="C2305" s="3" t="s">
        <v>118</v>
      </c>
      <c r="D2305" s="3" t="n">
        <v>7</v>
      </c>
      <c r="E2305" s="3" t="n">
        <v>7</v>
      </c>
      <c r="F2305" s="3" t="n">
        <v>2</v>
      </c>
      <c r="G2305" s="3" t="n">
        <v>2</v>
      </c>
      <c r="H2305" s="24" t="n">
        <v>0.0127642509</v>
      </c>
    </row>
    <row r="2306" customFormat="false" ht="15" hidden="false" customHeight="false" outlineLevel="0" collapsed="false">
      <c r="A2306" s="3" t="n">
        <v>2305</v>
      </c>
      <c r="B2306" s="3" t="n">
        <v>2304</v>
      </c>
      <c r="C2306" s="3" t="s">
        <v>118</v>
      </c>
      <c r="D2306" s="3" t="n">
        <v>7</v>
      </c>
      <c r="E2306" s="3" t="n">
        <v>8</v>
      </c>
      <c r="F2306" s="3" t="n">
        <v>0</v>
      </c>
      <c r="G2306" s="3" t="n">
        <v>0</v>
      </c>
      <c r="H2306" s="24" t="n">
        <v>-0.060747195</v>
      </c>
    </row>
    <row r="2307" customFormat="false" ht="15" hidden="false" customHeight="false" outlineLevel="0" collapsed="false">
      <c r="A2307" s="3" t="n">
        <v>2306</v>
      </c>
      <c r="B2307" s="3" t="n">
        <v>2305</v>
      </c>
      <c r="C2307" s="3" t="s">
        <v>118</v>
      </c>
      <c r="D2307" s="3" t="n">
        <v>7</v>
      </c>
      <c r="E2307" s="3" t="n">
        <v>8</v>
      </c>
      <c r="F2307" s="3" t="n">
        <v>0</v>
      </c>
      <c r="G2307" s="3" t="n">
        <v>1</v>
      </c>
      <c r="H2307" s="24" t="n">
        <v>-0.0355420038</v>
      </c>
    </row>
    <row r="2308" customFormat="false" ht="15" hidden="false" customHeight="false" outlineLevel="0" collapsed="false">
      <c r="A2308" s="3" t="n">
        <v>2307</v>
      </c>
      <c r="B2308" s="3" t="n">
        <v>2306</v>
      </c>
      <c r="C2308" s="3" t="s">
        <v>118</v>
      </c>
      <c r="D2308" s="3" t="n">
        <v>7</v>
      </c>
      <c r="E2308" s="3" t="n">
        <v>8</v>
      </c>
      <c r="F2308" s="3" t="n">
        <v>0</v>
      </c>
      <c r="G2308" s="3" t="n">
        <v>2</v>
      </c>
      <c r="H2308" s="24" t="n">
        <v>-0.0167404525</v>
      </c>
    </row>
    <row r="2309" customFormat="false" ht="15" hidden="false" customHeight="false" outlineLevel="0" collapsed="false">
      <c r="A2309" s="3" t="n">
        <v>2308</v>
      </c>
      <c r="B2309" s="3" t="n">
        <v>2307</v>
      </c>
      <c r="C2309" s="3" t="s">
        <v>118</v>
      </c>
      <c r="D2309" s="3" t="n">
        <v>7</v>
      </c>
      <c r="E2309" s="3" t="n">
        <v>8</v>
      </c>
      <c r="F2309" s="3" t="n">
        <v>1</v>
      </c>
      <c r="G2309" s="3" t="n">
        <v>0</v>
      </c>
      <c r="H2309" s="24" t="n">
        <v>-0.0313751325</v>
      </c>
    </row>
    <row r="2310" customFormat="false" ht="15" hidden="false" customHeight="false" outlineLevel="0" collapsed="false">
      <c r="A2310" s="3" t="n">
        <v>2309</v>
      </c>
      <c r="B2310" s="3" t="n">
        <v>2308</v>
      </c>
      <c r="C2310" s="3" t="s">
        <v>118</v>
      </c>
      <c r="D2310" s="3" t="n">
        <v>7</v>
      </c>
      <c r="E2310" s="3" t="n">
        <v>8</v>
      </c>
      <c r="F2310" s="3" t="n">
        <v>1</v>
      </c>
      <c r="G2310" s="3" t="n">
        <v>1</v>
      </c>
      <c r="H2310" s="24" t="n">
        <v>-0.0946885198</v>
      </c>
    </row>
    <row r="2311" customFormat="false" ht="15" hidden="false" customHeight="false" outlineLevel="0" collapsed="false">
      <c r="A2311" s="3" t="n">
        <v>2310</v>
      </c>
      <c r="B2311" s="3" t="n">
        <v>2309</v>
      </c>
      <c r="C2311" s="3" t="s">
        <v>118</v>
      </c>
      <c r="D2311" s="3" t="n">
        <v>7</v>
      </c>
      <c r="E2311" s="3" t="n">
        <v>8</v>
      </c>
      <c r="F2311" s="3" t="n">
        <v>1</v>
      </c>
      <c r="G2311" s="3" t="n">
        <v>2</v>
      </c>
      <c r="H2311" s="24" t="n">
        <v>0.0331275873</v>
      </c>
    </row>
    <row r="2312" customFormat="false" ht="15" hidden="false" customHeight="false" outlineLevel="0" collapsed="false">
      <c r="A2312" s="3" t="n">
        <v>2311</v>
      </c>
      <c r="B2312" s="3" t="n">
        <v>2310</v>
      </c>
      <c r="C2312" s="3" t="s">
        <v>118</v>
      </c>
      <c r="D2312" s="3" t="n">
        <v>7</v>
      </c>
      <c r="E2312" s="3" t="n">
        <v>8</v>
      </c>
      <c r="F2312" s="3" t="n">
        <v>2</v>
      </c>
      <c r="G2312" s="3" t="n">
        <v>0</v>
      </c>
      <c r="H2312" s="24" t="n">
        <v>0.0564764515</v>
      </c>
    </row>
    <row r="2313" customFormat="false" ht="15" hidden="false" customHeight="false" outlineLevel="0" collapsed="false">
      <c r="A2313" s="3" t="n">
        <v>2312</v>
      </c>
      <c r="B2313" s="3" t="n">
        <v>2311</v>
      </c>
      <c r="C2313" s="3" t="s">
        <v>118</v>
      </c>
      <c r="D2313" s="3" t="n">
        <v>7</v>
      </c>
      <c r="E2313" s="3" t="n">
        <v>8</v>
      </c>
      <c r="F2313" s="3" t="n">
        <v>2</v>
      </c>
      <c r="G2313" s="3" t="n">
        <v>1</v>
      </c>
      <c r="H2313" s="24" t="n">
        <v>-0.0530096963</v>
      </c>
    </row>
    <row r="2314" customFormat="false" ht="15" hidden="false" customHeight="false" outlineLevel="0" collapsed="false">
      <c r="A2314" s="3" t="n">
        <v>2313</v>
      </c>
      <c r="B2314" s="3" t="n">
        <v>2312</v>
      </c>
      <c r="C2314" s="3" t="s">
        <v>118</v>
      </c>
      <c r="D2314" s="3" t="n">
        <v>7</v>
      </c>
      <c r="E2314" s="3" t="n">
        <v>8</v>
      </c>
      <c r="F2314" s="3" t="n">
        <v>2</v>
      </c>
      <c r="G2314" s="3" t="n">
        <v>2</v>
      </c>
      <c r="H2314" s="24" t="n">
        <v>0.0150326164</v>
      </c>
    </row>
    <row r="2315" customFormat="false" ht="15" hidden="false" customHeight="false" outlineLevel="0" collapsed="false">
      <c r="A2315" s="3" t="n">
        <v>2314</v>
      </c>
      <c r="B2315" s="3" t="n">
        <v>2313</v>
      </c>
      <c r="C2315" s="3" t="s">
        <v>118</v>
      </c>
      <c r="D2315" s="3" t="n">
        <v>7</v>
      </c>
      <c r="E2315" s="3" t="n">
        <v>9</v>
      </c>
      <c r="F2315" s="3" t="n">
        <v>0</v>
      </c>
      <c r="G2315" s="3" t="n">
        <v>0</v>
      </c>
      <c r="H2315" s="24" t="n">
        <v>-0.0231490117</v>
      </c>
    </row>
    <row r="2316" customFormat="false" ht="15" hidden="false" customHeight="false" outlineLevel="0" collapsed="false">
      <c r="A2316" s="3" t="n">
        <v>2315</v>
      </c>
      <c r="B2316" s="3" t="n">
        <v>2314</v>
      </c>
      <c r="C2316" s="3" t="s">
        <v>118</v>
      </c>
      <c r="D2316" s="3" t="n">
        <v>7</v>
      </c>
      <c r="E2316" s="3" t="n">
        <v>9</v>
      </c>
      <c r="F2316" s="3" t="n">
        <v>0</v>
      </c>
      <c r="G2316" s="3" t="n">
        <v>1</v>
      </c>
      <c r="H2316" s="24" t="n">
        <v>-0.0369240977</v>
      </c>
    </row>
    <row r="2317" customFormat="false" ht="15" hidden="false" customHeight="false" outlineLevel="0" collapsed="false">
      <c r="A2317" s="3" t="n">
        <v>2316</v>
      </c>
      <c r="B2317" s="3" t="n">
        <v>2315</v>
      </c>
      <c r="C2317" s="3" t="s">
        <v>118</v>
      </c>
      <c r="D2317" s="3" t="n">
        <v>7</v>
      </c>
      <c r="E2317" s="3" t="n">
        <v>9</v>
      </c>
      <c r="F2317" s="3" t="n">
        <v>0</v>
      </c>
      <c r="G2317" s="3" t="n">
        <v>2</v>
      </c>
      <c r="H2317" s="24" t="n">
        <v>-0.0259632729</v>
      </c>
    </row>
    <row r="2318" customFormat="false" ht="15" hidden="false" customHeight="false" outlineLevel="0" collapsed="false">
      <c r="A2318" s="3" t="n">
        <v>2317</v>
      </c>
      <c r="B2318" s="3" t="n">
        <v>2316</v>
      </c>
      <c r="C2318" s="3" t="s">
        <v>118</v>
      </c>
      <c r="D2318" s="3" t="n">
        <v>7</v>
      </c>
      <c r="E2318" s="3" t="n">
        <v>9</v>
      </c>
      <c r="F2318" s="3" t="n">
        <v>1</v>
      </c>
      <c r="G2318" s="3" t="n">
        <v>0</v>
      </c>
      <c r="H2318" s="24" t="n">
        <v>0.0420603156</v>
      </c>
    </row>
    <row r="2319" customFormat="false" ht="15" hidden="false" customHeight="false" outlineLevel="0" collapsed="false">
      <c r="A2319" s="3" t="n">
        <v>2318</v>
      </c>
      <c r="B2319" s="3" t="n">
        <v>2317</v>
      </c>
      <c r="C2319" s="3" t="s">
        <v>118</v>
      </c>
      <c r="D2319" s="3" t="n">
        <v>7</v>
      </c>
      <c r="E2319" s="3" t="n">
        <v>9</v>
      </c>
      <c r="F2319" s="3" t="n">
        <v>1</v>
      </c>
      <c r="G2319" s="3" t="n">
        <v>1</v>
      </c>
      <c r="H2319" s="24" t="n">
        <v>-0.00916322134</v>
      </c>
    </row>
    <row r="2320" customFormat="false" ht="15" hidden="false" customHeight="false" outlineLevel="0" collapsed="false">
      <c r="A2320" s="3" t="n">
        <v>2319</v>
      </c>
      <c r="B2320" s="3" t="n">
        <v>2318</v>
      </c>
      <c r="C2320" s="3" t="s">
        <v>118</v>
      </c>
      <c r="D2320" s="3" t="n">
        <v>7</v>
      </c>
      <c r="E2320" s="3" t="n">
        <v>9</v>
      </c>
      <c r="F2320" s="3" t="n">
        <v>1</v>
      </c>
      <c r="G2320" s="3" t="n">
        <v>2</v>
      </c>
      <c r="H2320" s="24" t="n">
        <v>-0.0723758116</v>
      </c>
    </row>
    <row r="2321" customFormat="false" ht="15" hidden="false" customHeight="false" outlineLevel="0" collapsed="false">
      <c r="A2321" s="3" t="n">
        <v>2320</v>
      </c>
      <c r="B2321" s="3" t="n">
        <v>2319</v>
      </c>
      <c r="C2321" s="3" t="s">
        <v>118</v>
      </c>
      <c r="D2321" s="3" t="n">
        <v>7</v>
      </c>
      <c r="E2321" s="3" t="n">
        <v>9</v>
      </c>
      <c r="F2321" s="3" t="n">
        <v>2</v>
      </c>
      <c r="G2321" s="3" t="n">
        <v>0</v>
      </c>
      <c r="H2321" s="24" t="n">
        <v>-0.0604453795</v>
      </c>
    </row>
    <row r="2322" customFormat="false" ht="15" hidden="false" customHeight="false" outlineLevel="0" collapsed="false">
      <c r="A2322" s="3" t="n">
        <v>2321</v>
      </c>
      <c r="B2322" s="3" t="n">
        <v>2320</v>
      </c>
      <c r="C2322" s="3" t="s">
        <v>118</v>
      </c>
      <c r="D2322" s="3" t="n">
        <v>7</v>
      </c>
      <c r="E2322" s="3" t="n">
        <v>9</v>
      </c>
      <c r="F2322" s="3" t="n">
        <v>2</v>
      </c>
      <c r="G2322" s="3" t="n">
        <v>1</v>
      </c>
      <c r="H2322" s="24" t="n">
        <v>0.0299497824</v>
      </c>
    </row>
    <row r="2323" customFormat="false" ht="15" hidden="false" customHeight="false" outlineLevel="0" collapsed="false">
      <c r="A2323" s="3" t="n">
        <v>2322</v>
      </c>
      <c r="B2323" s="3" t="n">
        <v>2321</v>
      </c>
      <c r="C2323" s="3" t="s">
        <v>118</v>
      </c>
      <c r="D2323" s="3" t="n">
        <v>7</v>
      </c>
      <c r="E2323" s="3" t="n">
        <v>9</v>
      </c>
      <c r="F2323" s="3" t="n">
        <v>2</v>
      </c>
      <c r="G2323" s="3" t="n">
        <v>2</v>
      </c>
      <c r="H2323" s="24" t="n">
        <v>0.0125973849</v>
      </c>
    </row>
    <row r="2324" customFormat="false" ht="15" hidden="false" customHeight="false" outlineLevel="0" collapsed="false">
      <c r="A2324" s="3" t="n">
        <v>2323</v>
      </c>
      <c r="B2324" s="3" t="n">
        <v>2322</v>
      </c>
      <c r="C2324" s="3" t="s">
        <v>118</v>
      </c>
      <c r="D2324" s="3" t="n">
        <v>7</v>
      </c>
      <c r="E2324" s="3" t="n">
        <v>10</v>
      </c>
      <c r="F2324" s="3" t="n">
        <v>0</v>
      </c>
      <c r="G2324" s="3" t="n">
        <v>0</v>
      </c>
      <c r="H2324" s="24" t="n">
        <v>-0.0129689723</v>
      </c>
    </row>
    <row r="2325" customFormat="false" ht="15" hidden="false" customHeight="false" outlineLevel="0" collapsed="false">
      <c r="A2325" s="3" t="n">
        <v>2324</v>
      </c>
      <c r="B2325" s="3" t="n">
        <v>2323</v>
      </c>
      <c r="C2325" s="3" t="s">
        <v>118</v>
      </c>
      <c r="D2325" s="3" t="n">
        <v>7</v>
      </c>
      <c r="E2325" s="3" t="n">
        <v>10</v>
      </c>
      <c r="F2325" s="3" t="n">
        <v>0</v>
      </c>
      <c r="G2325" s="3" t="n">
        <v>1</v>
      </c>
      <c r="H2325" s="24" t="n">
        <v>-0.0180273484</v>
      </c>
    </row>
    <row r="2326" customFormat="false" ht="15" hidden="false" customHeight="false" outlineLevel="0" collapsed="false">
      <c r="A2326" s="3" t="n">
        <v>2325</v>
      </c>
      <c r="B2326" s="3" t="n">
        <v>2324</v>
      </c>
      <c r="C2326" s="3" t="s">
        <v>118</v>
      </c>
      <c r="D2326" s="3" t="n">
        <v>7</v>
      </c>
      <c r="E2326" s="3" t="n">
        <v>10</v>
      </c>
      <c r="F2326" s="3" t="n">
        <v>0</v>
      </c>
      <c r="G2326" s="3" t="n">
        <v>2</v>
      </c>
      <c r="H2326" s="24" t="n">
        <v>-0.0268878825</v>
      </c>
    </row>
    <row r="2327" customFormat="false" ht="15" hidden="false" customHeight="false" outlineLevel="0" collapsed="false">
      <c r="A2327" s="3" t="n">
        <v>2326</v>
      </c>
      <c r="B2327" s="3" t="n">
        <v>2325</v>
      </c>
      <c r="C2327" s="3" t="s">
        <v>118</v>
      </c>
      <c r="D2327" s="3" t="n">
        <v>7</v>
      </c>
      <c r="E2327" s="3" t="n">
        <v>10</v>
      </c>
      <c r="F2327" s="3" t="n">
        <v>1</v>
      </c>
      <c r="G2327" s="3" t="n">
        <v>0</v>
      </c>
      <c r="H2327" s="24" t="n">
        <v>-0.0430519693</v>
      </c>
    </row>
    <row r="2328" customFormat="false" ht="15" hidden="false" customHeight="false" outlineLevel="0" collapsed="false">
      <c r="A2328" s="3" t="n">
        <v>2327</v>
      </c>
      <c r="B2328" s="3" t="n">
        <v>2326</v>
      </c>
      <c r="C2328" s="3" t="s">
        <v>118</v>
      </c>
      <c r="D2328" s="3" t="n">
        <v>7</v>
      </c>
      <c r="E2328" s="3" t="n">
        <v>10</v>
      </c>
      <c r="F2328" s="3" t="n">
        <v>1</v>
      </c>
      <c r="G2328" s="3" t="n">
        <v>1</v>
      </c>
      <c r="H2328" s="24" t="n">
        <v>-0.0557221025</v>
      </c>
    </row>
    <row r="2329" customFormat="false" ht="15" hidden="false" customHeight="false" outlineLevel="0" collapsed="false">
      <c r="A2329" s="3" t="n">
        <v>2328</v>
      </c>
      <c r="B2329" s="3" t="n">
        <v>2327</v>
      </c>
      <c r="C2329" s="3" t="s">
        <v>118</v>
      </c>
      <c r="D2329" s="3" t="n">
        <v>7</v>
      </c>
      <c r="E2329" s="3" t="n">
        <v>10</v>
      </c>
      <c r="F2329" s="3" t="n">
        <v>1</v>
      </c>
      <c r="G2329" s="3" t="n">
        <v>2</v>
      </c>
      <c r="H2329" s="24" t="n">
        <v>0.0045758849</v>
      </c>
    </row>
    <row r="2330" customFormat="false" ht="15" hidden="false" customHeight="false" outlineLevel="0" collapsed="false">
      <c r="A2330" s="3" t="n">
        <v>2329</v>
      </c>
      <c r="B2330" s="3" t="n">
        <v>2328</v>
      </c>
      <c r="C2330" s="3" t="s">
        <v>118</v>
      </c>
      <c r="D2330" s="3" t="n">
        <v>7</v>
      </c>
      <c r="E2330" s="3" t="n">
        <v>10</v>
      </c>
      <c r="F2330" s="3" t="n">
        <v>2</v>
      </c>
      <c r="G2330" s="3" t="n">
        <v>0</v>
      </c>
      <c r="H2330" s="24" t="n">
        <v>0.00664018001</v>
      </c>
    </row>
    <row r="2331" customFormat="false" ht="15" hidden="false" customHeight="false" outlineLevel="0" collapsed="false">
      <c r="A2331" s="3" t="n">
        <v>2330</v>
      </c>
      <c r="B2331" s="3" t="n">
        <v>2329</v>
      </c>
      <c r="C2331" s="3" t="s">
        <v>118</v>
      </c>
      <c r="D2331" s="3" t="n">
        <v>7</v>
      </c>
      <c r="E2331" s="3" t="n">
        <v>10</v>
      </c>
      <c r="F2331" s="3" t="n">
        <v>2</v>
      </c>
      <c r="G2331" s="3" t="n">
        <v>1</v>
      </c>
      <c r="H2331" s="24" t="n">
        <v>0.0548044592</v>
      </c>
    </row>
    <row r="2332" customFormat="false" ht="15" hidden="false" customHeight="false" outlineLevel="0" collapsed="false">
      <c r="A2332" s="3" t="n">
        <v>2331</v>
      </c>
      <c r="B2332" s="3" t="n">
        <v>2330</v>
      </c>
      <c r="C2332" s="3" t="s">
        <v>118</v>
      </c>
      <c r="D2332" s="3" t="n">
        <v>7</v>
      </c>
      <c r="E2332" s="3" t="n">
        <v>10</v>
      </c>
      <c r="F2332" s="3" t="n">
        <v>2</v>
      </c>
      <c r="G2332" s="3" t="n">
        <v>2</v>
      </c>
      <c r="H2332" s="24" t="n">
        <v>-0.0265862737</v>
      </c>
    </row>
    <row r="2333" customFormat="false" ht="15" hidden="false" customHeight="false" outlineLevel="0" collapsed="false">
      <c r="A2333" s="3" t="n">
        <v>2332</v>
      </c>
      <c r="B2333" s="3" t="n">
        <v>2331</v>
      </c>
      <c r="C2333" s="3" t="s">
        <v>118</v>
      </c>
      <c r="D2333" s="3" t="n">
        <v>7</v>
      </c>
      <c r="E2333" s="3" t="n">
        <v>11</v>
      </c>
      <c r="F2333" s="3" t="n">
        <v>0</v>
      </c>
      <c r="G2333" s="3" t="n">
        <v>0</v>
      </c>
      <c r="H2333" s="24" t="n">
        <v>-0.000819731387</v>
      </c>
    </row>
    <row r="2334" customFormat="false" ht="15" hidden="false" customHeight="false" outlineLevel="0" collapsed="false">
      <c r="A2334" s="3" t="n">
        <v>2333</v>
      </c>
      <c r="B2334" s="3" t="n">
        <v>2332</v>
      </c>
      <c r="C2334" s="3" t="s">
        <v>118</v>
      </c>
      <c r="D2334" s="3" t="n">
        <v>7</v>
      </c>
      <c r="E2334" s="3" t="n">
        <v>11</v>
      </c>
      <c r="F2334" s="3" t="n">
        <v>0</v>
      </c>
      <c r="G2334" s="3" t="n">
        <v>1</v>
      </c>
      <c r="H2334" s="24" t="n">
        <v>0.0306076203</v>
      </c>
    </row>
    <row r="2335" customFormat="false" ht="15" hidden="false" customHeight="false" outlineLevel="0" collapsed="false">
      <c r="A2335" s="3" t="n">
        <v>2334</v>
      </c>
      <c r="B2335" s="3" t="n">
        <v>2333</v>
      </c>
      <c r="C2335" s="3" t="s">
        <v>118</v>
      </c>
      <c r="D2335" s="3" t="n">
        <v>7</v>
      </c>
      <c r="E2335" s="3" t="n">
        <v>11</v>
      </c>
      <c r="F2335" s="3" t="n">
        <v>0</v>
      </c>
      <c r="G2335" s="3" t="n">
        <v>2</v>
      </c>
      <c r="H2335" s="24" t="n">
        <v>0.0053419834</v>
      </c>
    </row>
    <row r="2336" customFormat="false" ht="15" hidden="false" customHeight="false" outlineLevel="0" collapsed="false">
      <c r="A2336" s="3" t="n">
        <v>2335</v>
      </c>
      <c r="B2336" s="3" t="n">
        <v>2334</v>
      </c>
      <c r="C2336" s="3" t="s">
        <v>118</v>
      </c>
      <c r="D2336" s="3" t="n">
        <v>7</v>
      </c>
      <c r="E2336" s="3" t="n">
        <v>11</v>
      </c>
      <c r="F2336" s="3" t="n">
        <v>1</v>
      </c>
      <c r="G2336" s="3" t="n">
        <v>0</v>
      </c>
      <c r="H2336" s="24" t="n">
        <v>6.635522E-005</v>
      </c>
    </row>
    <row r="2337" customFormat="false" ht="15" hidden="false" customHeight="false" outlineLevel="0" collapsed="false">
      <c r="A2337" s="3" t="n">
        <v>2336</v>
      </c>
      <c r="B2337" s="3" t="n">
        <v>2335</v>
      </c>
      <c r="C2337" s="3" t="s">
        <v>118</v>
      </c>
      <c r="D2337" s="3" t="n">
        <v>7</v>
      </c>
      <c r="E2337" s="3" t="n">
        <v>11</v>
      </c>
      <c r="F2337" s="3" t="n">
        <v>1</v>
      </c>
      <c r="G2337" s="3" t="n">
        <v>1</v>
      </c>
      <c r="H2337" s="24" t="n">
        <v>0.00571702234</v>
      </c>
    </row>
    <row r="2338" customFormat="false" ht="15" hidden="false" customHeight="false" outlineLevel="0" collapsed="false">
      <c r="A2338" s="3" t="n">
        <v>2337</v>
      </c>
      <c r="B2338" s="3" t="n">
        <v>2336</v>
      </c>
      <c r="C2338" s="3" t="s">
        <v>118</v>
      </c>
      <c r="D2338" s="3" t="n">
        <v>7</v>
      </c>
      <c r="E2338" s="3" t="n">
        <v>11</v>
      </c>
      <c r="F2338" s="3" t="n">
        <v>1</v>
      </c>
      <c r="G2338" s="3" t="n">
        <v>2</v>
      </c>
      <c r="H2338" s="24" t="n">
        <v>-0.0470216349</v>
      </c>
    </row>
    <row r="2339" customFormat="false" ht="15" hidden="false" customHeight="false" outlineLevel="0" collapsed="false">
      <c r="A2339" s="3" t="n">
        <v>2338</v>
      </c>
      <c r="B2339" s="3" t="n">
        <v>2337</v>
      </c>
      <c r="C2339" s="3" t="s">
        <v>118</v>
      </c>
      <c r="D2339" s="3" t="n">
        <v>7</v>
      </c>
      <c r="E2339" s="3" t="n">
        <v>11</v>
      </c>
      <c r="F2339" s="3" t="n">
        <v>2</v>
      </c>
      <c r="G2339" s="3" t="n">
        <v>0</v>
      </c>
      <c r="H2339" s="24" t="n">
        <v>-0.083550632</v>
      </c>
    </row>
    <row r="2340" customFormat="false" ht="15" hidden="false" customHeight="false" outlineLevel="0" collapsed="false">
      <c r="A2340" s="3" t="n">
        <v>2339</v>
      </c>
      <c r="B2340" s="3" t="n">
        <v>2338</v>
      </c>
      <c r="C2340" s="3" t="s">
        <v>118</v>
      </c>
      <c r="D2340" s="3" t="n">
        <v>7</v>
      </c>
      <c r="E2340" s="3" t="n">
        <v>11</v>
      </c>
      <c r="F2340" s="3" t="n">
        <v>2</v>
      </c>
      <c r="G2340" s="3" t="n">
        <v>1</v>
      </c>
      <c r="H2340" s="24" t="n">
        <v>-0.00688184379</v>
      </c>
    </row>
    <row r="2341" customFormat="false" ht="15" hidden="false" customHeight="false" outlineLevel="0" collapsed="false">
      <c r="A2341" s="3" t="n">
        <v>2340</v>
      </c>
      <c r="B2341" s="3" t="n">
        <v>2339</v>
      </c>
      <c r="C2341" s="3" t="s">
        <v>118</v>
      </c>
      <c r="D2341" s="3" t="n">
        <v>7</v>
      </c>
      <c r="E2341" s="3" t="n">
        <v>11</v>
      </c>
      <c r="F2341" s="3" t="n">
        <v>2</v>
      </c>
      <c r="G2341" s="3" t="n">
        <v>2</v>
      </c>
      <c r="H2341" s="24" t="n">
        <v>-0.0441787466</v>
      </c>
    </row>
    <row r="2342" customFormat="false" ht="15" hidden="false" customHeight="false" outlineLevel="0" collapsed="false">
      <c r="A2342" s="3" t="n">
        <v>2341</v>
      </c>
      <c r="B2342" s="3" t="n">
        <v>2340</v>
      </c>
      <c r="C2342" s="3" t="s">
        <v>118</v>
      </c>
      <c r="D2342" s="3" t="n">
        <v>7</v>
      </c>
      <c r="E2342" s="3" t="n">
        <v>12</v>
      </c>
      <c r="F2342" s="3" t="n">
        <v>0</v>
      </c>
      <c r="G2342" s="3" t="n">
        <v>0</v>
      </c>
      <c r="H2342" s="24" t="n">
        <v>0.0525799654</v>
      </c>
    </row>
    <row r="2343" customFormat="false" ht="15" hidden="false" customHeight="false" outlineLevel="0" collapsed="false">
      <c r="A2343" s="3" t="n">
        <v>2342</v>
      </c>
      <c r="B2343" s="3" t="n">
        <v>2341</v>
      </c>
      <c r="C2343" s="3" t="s">
        <v>118</v>
      </c>
      <c r="D2343" s="3" t="n">
        <v>7</v>
      </c>
      <c r="E2343" s="3" t="n">
        <v>12</v>
      </c>
      <c r="F2343" s="3" t="n">
        <v>0</v>
      </c>
      <c r="G2343" s="3" t="n">
        <v>1</v>
      </c>
      <c r="H2343" s="24" t="n">
        <v>0.0467260741</v>
      </c>
    </row>
    <row r="2344" customFormat="false" ht="15" hidden="false" customHeight="false" outlineLevel="0" collapsed="false">
      <c r="A2344" s="3" t="n">
        <v>2343</v>
      </c>
      <c r="B2344" s="3" t="n">
        <v>2342</v>
      </c>
      <c r="C2344" s="3" t="s">
        <v>118</v>
      </c>
      <c r="D2344" s="3" t="n">
        <v>7</v>
      </c>
      <c r="E2344" s="3" t="n">
        <v>12</v>
      </c>
      <c r="F2344" s="3" t="n">
        <v>0</v>
      </c>
      <c r="G2344" s="3" t="n">
        <v>2</v>
      </c>
      <c r="H2344" s="24" t="n">
        <v>0.00701196166</v>
      </c>
    </row>
    <row r="2345" customFormat="false" ht="15" hidden="false" customHeight="false" outlineLevel="0" collapsed="false">
      <c r="A2345" s="3" t="n">
        <v>2344</v>
      </c>
      <c r="B2345" s="3" t="n">
        <v>2343</v>
      </c>
      <c r="C2345" s="3" t="s">
        <v>118</v>
      </c>
      <c r="D2345" s="3" t="n">
        <v>7</v>
      </c>
      <c r="E2345" s="3" t="n">
        <v>12</v>
      </c>
      <c r="F2345" s="3" t="n">
        <v>1</v>
      </c>
      <c r="G2345" s="3" t="n">
        <v>0</v>
      </c>
      <c r="H2345" s="24" t="n">
        <v>0.0474157371</v>
      </c>
    </row>
    <row r="2346" customFormat="false" ht="15" hidden="false" customHeight="false" outlineLevel="0" collapsed="false">
      <c r="A2346" s="3" t="n">
        <v>2345</v>
      </c>
      <c r="B2346" s="3" t="n">
        <v>2344</v>
      </c>
      <c r="C2346" s="3" t="s">
        <v>118</v>
      </c>
      <c r="D2346" s="3" t="n">
        <v>7</v>
      </c>
      <c r="E2346" s="3" t="n">
        <v>12</v>
      </c>
      <c r="F2346" s="3" t="n">
        <v>1</v>
      </c>
      <c r="G2346" s="3" t="n">
        <v>1</v>
      </c>
      <c r="H2346" s="24" t="n">
        <v>-0.0580261834</v>
      </c>
    </row>
    <row r="2347" customFormat="false" ht="15" hidden="false" customHeight="false" outlineLevel="0" collapsed="false">
      <c r="A2347" s="3" t="n">
        <v>2346</v>
      </c>
      <c r="B2347" s="3" t="n">
        <v>2345</v>
      </c>
      <c r="C2347" s="3" t="s">
        <v>118</v>
      </c>
      <c r="D2347" s="3" t="n">
        <v>7</v>
      </c>
      <c r="E2347" s="3" t="n">
        <v>12</v>
      </c>
      <c r="F2347" s="3" t="n">
        <v>1</v>
      </c>
      <c r="G2347" s="3" t="n">
        <v>2</v>
      </c>
      <c r="H2347" s="24" t="n">
        <v>0.0523700006</v>
      </c>
    </row>
    <row r="2348" customFormat="false" ht="15" hidden="false" customHeight="false" outlineLevel="0" collapsed="false">
      <c r="A2348" s="3" t="n">
        <v>2347</v>
      </c>
      <c r="B2348" s="3" t="n">
        <v>2346</v>
      </c>
      <c r="C2348" s="3" t="s">
        <v>118</v>
      </c>
      <c r="D2348" s="3" t="n">
        <v>7</v>
      </c>
      <c r="E2348" s="3" t="n">
        <v>12</v>
      </c>
      <c r="F2348" s="3" t="n">
        <v>2</v>
      </c>
      <c r="G2348" s="3" t="n">
        <v>0</v>
      </c>
      <c r="H2348" s="24" t="n">
        <v>0.0778340623</v>
      </c>
    </row>
    <row r="2349" customFormat="false" ht="15" hidden="false" customHeight="false" outlineLevel="0" collapsed="false">
      <c r="A2349" s="3" t="n">
        <v>2348</v>
      </c>
      <c r="B2349" s="3" t="n">
        <v>2347</v>
      </c>
      <c r="C2349" s="3" t="s">
        <v>118</v>
      </c>
      <c r="D2349" s="3" t="n">
        <v>7</v>
      </c>
      <c r="E2349" s="3" t="n">
        <v>12</v>
      </c>
      <c r="F2349" s="3" t="n">
        <v>2</v>
      </c>
      <c r="G2349" s="3" t="n">
        <v>1</v>
      </c>
      <c r="H2349" s="24" t="n">
        <v>-0.0219935142</v>
      </c>
    </row>
    <row r="2350" customFormat="false" ht="15" hidden="false" customHeight="false" outlineLevel="0" collapsed="false">
      <c r="A2350" s="3" t="n">
        <v>2349</v>
      </c>
      <c r="B2350" s="3" t="n">
        <v>2348</v>
      </c>
      <c r="C2350" s="3" t="s">
        <v>118</v>
      </c>
      <c r="D2350" s="3" t="n">
        <v>7</v>
      </c>
      <c r="E2350" s="3" t="n">
        <v>12</v>
      </c>
      <c r="F2350" s="3" t="n">
        <v>2</v>
      </c>
      <c r="G2350" s="3" t="n">
        <v>2</v>
      </c>
      <c r="H2350" s="24" t="n">
        <v>-0.0847251117</v>
      </c>
    </row>
    <row r="2351" customFormat="false" ht="15" hidden="false" customHeight="false" outlineLevel="0" collapsed="false">
      <c r="A2351" s="3" t="n">
        <v>2350</v>
      </c>
      <c r="B2351" s="3" t="n">
        <v>2349</v>
      </c>
      <c r="C2351" s="3" t="s">
        <v>118</v>
      </c>
      <c r="D2351" s="3" t="n">
        <v>7</v>
      </c>
      <c r="E2351" s="3" t="n">
        <v>13</v>
      </c>
      <c r="F2351" s="3" t="n">
        <v>0</v>
      </c>
      <c r="G2351" s="3" t="n">
        <v>0</v>
      </c>
      <c r="H2351" s="24" t="n">
        <v>-0.0415018685</v>
      </c>
    </row>
    <row r="2352" customFormat="false" ht="15" hidden="false" customHeight="false" outlineLevel="0" collapsed="false">
      <c r="A2352" s="3" t="n">
        <v>2351</v>
      </c>
      <c r="B2352" s="3" t="n">
        <v>2350</v>
      </c>
      <c r="C2352" s="3" t="s">
        <v>118</v>
      </c>
      <c r="D2352" s="3" t="n">
        <v>7</v>
      </c>
      <c r="E2352" s="3" t="n">
        <v>13</v>
      </c>
      <c r="F2352" s="3" t="n">
        <v>0</v>
      </c>
      <c r="G2352" s="3" t="n">
        <v>1</v>
      </c>
      <c r="H2352" s="24" t="n">
        <v>-0.0184455793</v>
      </c>
    </row>
    <row r="2353" customFormat="false" ht="15" hidden="false" customHeight="false" outlineLevel="0" collapsed="false">
      <c r="A2353" s="3" t="n">
        <v>2352</v>
      </c>
      <c r="B2353" s="3" t="n">
        <v>2351</v>
      </c>
      <c r="C2353" s="3" t="s">
        <v>118</v>
      </c>
      <c r="D2353" s="3" t="n">
        <v>7</v>
      </c>
      <c r="E2353" s="3" t="n">
        <v>13</v>
      </c>
      <c r="F2353" s="3" t="n">
        <v>0</v>
      </c>
      <c r="G2353" s="3" t="n">
        <v>2</v>
      </c>
      <c r="H2353" s="24" t="n">
        <v>-0.0124824876</v>
      </c>
    </row>
    <row r="2354" customFormat="false" ht="15" hidden="false" customHeight="false" outlineLevel="0" collapsed="false">
      <c r="A2354" s="3" t="n">
        <v>2353</v>
      </c>
      <c r="B2354" s="3" t="n">
        <v>2352</v>
      </c>
      <c r="C2354" s="3" t="s">
        <v>118</v>
      </c>
      <c r="D2354" s="3" t="n">
        <v>7</v>
      </c>
      <c r="E2354" s="3" t="n">
        <v>13</v>
      </c>
      <c r="F2354" s="3" t="n">
        <v>1</v>
      </c>
      <c r="G2354" s="3" t="n">
        <v>0</v>
      </c>
      <c r="H2354" s="24" t="n">
        <v>-0.0808163956</v>
      </c>
    </row>
    <row r="2355" customFormat="false" ht="15" hidden="false" customHeight="false" outlineLevel="0" collapsed="false">
      <c r="A2355" s="3" t="n">
        <v>2354</v>
      </c>
      <c r="B2355" s="3" t="n">
        <v>2353</v>
      </c>
      <c r="C2355" s="3" t="s">
        <v>118</v>
      </c>
      <c r="D2355" s="3" t="n">
        <v>7</v>
      </c>
      <c r="E2355" s="3" t="n">
        <v>13</v>
      </c>
      <c r="F2355" s="3" t="n">
        <v>1</v>
      </c>
      <c r="G2355" s="3" t="n">
        <v>1</v>
      </c>
      <c r="H2355" s="24" t="n">
        <v>-0.0180280916</v>
      </c>
    </row>
    <row r="2356" customFormat="false" ht="15" hidden="false" customHeight="false" outlineLevel="0" collapsed="false">
      <c r="A2356" s="3" t="n">
        <v>2355</v>
      </c>
      <c r="B2356" s="3" t="n">
        <v>2354</v>
      </c>
      <c r="C2356" s="3" t="s">
        <v>118</v>
      </c>
      <c r="D2356" s="3" t="n">
        <v>7</v>
      </c>
      <c r="E2356" s="3" t="n">
        <v>13</v>
      </c>
      <c r="F2356" s="3" t="n">
        <v>1</v>
      </c>
      <c r="G2356" s="3" t="n">
        <v>2</v>
      </c>
      <c r="H2356" s="24" t="n">
        <v>-0.0564897023</v>
      </c>
    </row>
    <row r="2357" customFormat="false" ht="15" hidden="false" customHeight="false" outlineLevel="0" collapsed="false">
      <c r="A2357" s="3" t="n">
        <v>2356</v>
      </c>
      <c r="B2357" s="3" t="n">
        <v>2355</v>
      </c>
      <c r="C2357" s="3" t="s">
        <v>118</v>
      </c>
      <c r="D2357" s="3" t="n">
        <v>7</v>
      </c>
      <c r="E2357" s="3" t="n">
        <v>13</v>
      </c>
      <c r="F2357" s="3" t="n">
        <v>2</v>
      </c>
      <c r="G2357" s="3" t="n">
        <v>0</v>
      </c>
      <c r="H2357" s="24" t="n">
        <v>-0.0601960644</v>
      </c>
    </row>
    <row r="2358" customFormat="false" ht="15" hidden="false" customHeight="false" outlineLevel="0" collapsed="false">
      <c r="A2358" s="3" t="n">
        <v>2357</v>
      </c>
      <c r="B2358" s="3" t="n">
        <v>2356</v>
      </c>
      <c r="C2358" s="3" t="s">
        <v>118</v>
      </c>
      <c r="D2358" s="3" t="n">
        <v>7</v>
      </c>
      <c r="E2358" s="3" t="n">
        <v>13</v>
      </c>
      <c r="F2358" s="3" t="n">
        <v>2</v>
      </c>
      <c r="G2358" s="3" t="n">
        <v>1</v>
      </c>
      <c r="H2358" s="24" t="n">
        <v>-0.0793566033</v>
      </c>
    </row>
    <row r="2359" customFormat="false" ht="15" hidden="false" customHeight="false" outlineLevel="0" collapsed="false">
      <c r="A2359" s="3" t="n">
        <v>2358</v>
      </c>
      <c r="B2359" s="3" t="n">
        <v>2357</v>
      </c>
      <c r="C2359" s="3" t="s">
        <v>118</v>
      </c>
      <c r="D2359" s="3" t="n">
        <v>7</v>
      </c>
      <c r="E2359" s="3" t="n">
        <v>13</v>
      </c>
      <c r="F2359" s="3" t="n">
        <v>2</v>
      </c>
      <c r="G2359" s="3" t="n">
        <v>2</v>
      </c>
      <c r="H2359" s="24" t="n">
        <v>-0.0314944312</v>
      </c>
    </row>
    <row r="2360" customFormat="false" ht="15" hidden="false" customHeight="false" outlineLevel="0" collapsed="false">
      <c r="A2360" s="3" t="n">
        <v>2359</v>
      </c>
      <c r="B2360" s="3" t="n">
        <v>2358</v>
      </c>
      <c r="C2360" s="3" t="s">
        <v>118</v>
      </c>
      <c r="D2360" s="3" t="n">
        <v>7</v>
      </c>
      <c r="E2360" s="3" t="n">
        <v>14</v>
      </c>
      <c r="F2360" s="3" t="n">
        <v>0</v>
      </c>
      <c r="G2360" s="3" t="n">
        <v>0</v>
      </c>
      <c r="H2360" s="24" t="n">
        <v>-0.0803644881</v>
      </c>
    </row>
    <row r="2361" customFormat="false" ht="15" hidden="false" customHeight="false" outlineLevel="0" collapsed="false">
      <c r="A2361" s="3" t="n">
        <v>2360</v>
      </c>
      <c r="B2361" s="3" t="n">
        <v>2359</v>
      </c>
      <c r="C2361" s="3" t="s">
        <v>118</v>
      </c>
      <c r="D2361" s="3" t="n">
        <v>7</v>
      </c>
      <c r="E2361" s="3" t="n">
        <v>14</v>
      </c>
      <c r="F2361" s="3" t="n">
        <v>0</v>
      </c>
      <c r="G2361" s="3" t="n">
        <v>1</v>
      </c>
      <c r="H2361" s="24" t="n">
        <v>-0.0743261576</v>
      </c>
    </row>
    <row r="2362" customFormat="false" ht="15" hidden="false" customHeight="false" outlineLevel="0" collapsed="false">
      <c r="A2362" s="3" t="n">
        <v>2361</v>
      </c>
      <c r="B2362" s="3" t="n">
        <v>2360</v>
      </c>
      <c r="C2362" s="3" t="s">
        <v>118</v>
      </c>
      <c r="D2362" s="3" t="n">
        <v>7</v>
      </c>
      <c r="E2362" s="3" t="n">
        <v>14</v>
      </c>
      <c r="F2362" s="3" t="n">
        <v>0</v>
      </c>
      <c r="G2362" s="3" t="n">
        <v>2</v>
      </c>
      <c r="H2362" s="24" t="n">
        <v>-0.0228514075</v>
      </c>
    </row>
    <row r="2363" customFormat="false" ht="15" hidden="false" customHeight="false" outlineLevel="0" collapsed="false">
      <c r="A2363" s="3" t="n">
        <v>2362</v>
      </c>
      <c r="B2363" s="3" t="n">
        <v>2361</v>
      </c>
      <c r="C2363" s="3" t="s">
        <v>118</v>
      </c>
      <c r="D2363" s="3" t="n">
        <v>7</v>
      </c>
      <c r="E2363" s="3" t="n">
        <v>14</v>
      </c>
      <c r="F2363" s="3" t="n">
        <v>1</v>
      </c>
      <c r="G2363" s="3" t="n">
        <v>0</v>
      </c>
      <c r="H2363" s="24" t="n">
        <v>0.0367156863</v>
      </c>
    </row>
    <row r="2364" customFormat="false" ht="15" hidden="false" customHeight="false" outlineLevel="0" collapsed="false">
      <c r="A2364" s="3" t="n">
        <v>2363</v>
      </c>
      <c r="B2364" s="3" t="n">
        <v>2362</v>
      </c>
      <c r="C2364" s="3" t="s">
        <v>118</v>
      </c>
      <c r="D2364" s="3" t="n">
        <v>7</v>
      </c>
      <c r="E2364" s="3" t="n">
        <v>14</v>
      </c>
      <c r="F2364" s="3" t="n">
        <v>1</v>
      </c>
      <c r="G2364" s="3" t="n">
        <v>1</v>
      </c>
      <c r="H2364" s="24" t="n">
        <v>0.0675185919</v>
      </c>
    </row>
    <row r="2365" customFormat="false" ht="15" hidden="false" customHeight="false" outlineLevel="0" collapsed="false">
      <c r="A2365" s="3" t="n">
        <v>2364</v>
      </c>
      <c r="B2365" s="3" t="n">
        <v>2363</v>
      </c>
      <c r="C2365" s="3" t="s">
        <v>118</v>
      </c>
      <c r="D2365" s="3" t="n">
        <v>7</v>
      </c>
      <c r="E2365" s="3" t="n">
        <v>14</v>
      </c>
      <c r="F2365" s="3" t="n">
        <v>1</v>
      </c>
      <c r="G2365" s="3" t="n">
        <v>2</v>
      </c>
      <c r="H2365" s="24" t="n">
        <v>-0.0752637833</v>
      </c>
    </row>
    <row r="2366" customFormat="false" ht="15" hidden="false" customHeight="false" outlineLevel="0" collapsed="false">
      <c r="A2366" s="3" t="n">
        <v>2365</v>
      </c>
      <c r="B2366" s="3" t="n">
        <v>2364</v>
      </c>
      <c r="C2366" s="3" t="s">
        <v>118</v>
      </c>
      <c r="D2366" s="3" t="n">
        <v>7</v>
      </c>
      <c r="E2366" s="3" t="n">
        <v>14</v>
      </c>
      <c r="F2366" s="3" t="n">
        <v>2</v>
      </c>
      <c r="G2366" s="3" t="n">
        <v>0</v>
      </c>
      <c r="H2366" s="24" t="n">
        <v>0.0196562577</v>
      </c>
    </row>
    <row r="2367" customFormat="false" ht="15" hidden="false" customHeight="false" outlineLevel="0" collapsed="false">
      <c r="A2367" s="3" t="n">
        <v>2366</v>
      </c>
      <c r="B2367" s="3" t="n">
        <v>2365</v>
      </c>
      <c r="C2367" s="3" t="s">
        <v>118</v>
      </c>
      <c r="D2367" s="3" t="n">
        <v>7</v>
      </c>
      <c r="E2367" s="3" t="n">
        <v>14</v>
      </c>
      <c r="F2367" s="3" t="n">
        <v>2</v>
      </c>
      <c r="G2367" s="3" t="n">
        <v>1</v>
      </c>
      <c r="H2367" s="24" t="n">
        <v>-0.0579024106</v>
      </c>
    </row>
    <row r="2368" customFormat="false" ht="15" hidden="false" customHeight="false" outlineLevel="0" collapsed="false">
      <c r="A2368" s="3" t="n">
        <v>2367</v>
      </c>
      <c r="B2368" s="3" t="n">
        <v>2366</v>
      </c>
      <c r="C2368" s="3" t="s">
        <v>118</v>
      </c>
      <c r="D2368" s="3" t="n">
        <v>7</v>
      </c>
      <c r="E2368" s="3" t="n">
        <v>14</v>
      </c>
      <c r="F2368" s="3" t="n">
        <v>2</v>
      </c>
      <c r="G2368" s="3" t="n">
        <v>2</v>
      </c>
      <c r="H2368" s="24" t="n">
        <v>-0.0705478117</v>
      </c>
    </row>
    <row r="2369" customFormat="false" ht="15" hidden="false" customHeight="false" outlineLevel="0" collapsed="false">
      <c r="A2369" s="3" t="n">
        <v>2368</v>
      </c>
      <c r="B2369" s="3" t="n">
        <v>2367</v>
      </c>
      <c r="C2369" s="3" t="s">
        <v>118</v>
      </c>
      <c r="D2369" s="3" t="n">
        <v>7</v>
      </c>
      <c r="E2369" s="3" t="n">
        <v>15</v>
      </c>
      <c r="F2369" s="3" t="n">
        <v>0</v>
      </c>
      <c r="G2369" s="3" t="n">
        <v>0</v>
      </c>
      <c r="H2369" s="24" t="n">
        <v>-0.0118167941</v>
      </c>
    </row>
    <row r="2370" customFormat="false" ht="15" hidden="false" customHeight="false" outlineLevel="0" collapsed="false">
      <c r="A2370" s="3" t="n">
        <v>2369</v>
      </c>
      <c r="B2370" s="3" t="n">
        <v>2368</v>
      </c>
      <c r="C2370" s="3" t="s">
        <v>118</v>
      </c>
      <c r="D2370" s="3" t="n">
        <v>7</v>
      </c>
      <c r="E2370" s="3" t="n">
        <v>15</v>
      </c>
      <c r="F2370" s="3" t="n">
        <v>0</v>
      </c>
      <c r="G2370" s="3" t="n">
        <v>1</v>
      </c>
      <c r="H2370" s="24" t="n">
        <v>-0.0611255877</v>
      </c>
    </row>
    <row r="2371" customFormat="false" ht="15" hidden="false" customHeight="false" outlineLevel="0" collapsed="false">
      <c r="A2371" s="3" t="n">
        <v>2370</v>
      </c>
      <c r="B2371" s="3" t="n">
        <v>2369</v>
      </c>
      <c r="C2371" s="3" t="s">
        <v>118</v>
      </c>
      <c r="D2371" s="3" t="n">
        <v>7</v>
      </c>
      <c r="E2371" s="3" t="n">
        <v>15</v>
      </c>
      <c r="F2371" s="3" t="n">
        <v>0</v>
      </c>
      <c r="G2371" s="3" t="n">
        <v>2</v>
      </c>
      <c r="H2371" s="24" t="n">
        <v>-0.0705984086</v>
      </c>
    </row>
    <row r="2372" customFormat="false" ht="15" hidden="false" customHeight="false" outlineLevel="0" collapsed="false">
      <c r="A2372" s="3" t="n">
        <v>2371</v>
      </c>
      <c r="B2372" s="3" t="n">
        <v>2370</v>
      </c>
      <c r="C2372" s="3" t="s">
        <v>118</v>
      </c>
      <c r="D2372" s="3" t="n">
        <v>7</v>
      </c>
      <c r="E2372" s="3" t="n">
        <v>15</v>
      </c>
      <c r="F2372" s="3" t="n">
        <v>1</v>
      </c>
      <c r="G2372" s="3" t="n">
        <v>0</v>
      </c>
      <c r="H2372" s="24" t="n">
        <v>-0.0869418085</v>
      </c>
    </row>
    <row r="2373" customFormat="false" ht="15" hidden="false" customHeight="false" outlineLevel="0" collapsed="false">
      <c r="A2373" s="3" t="n">
        <v>2372</v>
      </c>
      <c r="B2373" s="3" t="n">
        <v>2371</v>
      </c>
      <c r="C2373" s="3" t="s">
        <v>118</v>
      </c>
      <c r="D2373" s="3" t="n">
        <v>7</v>
      </c>
      <c r="E2373" s="3" t="n">
        <v>15</v>
      </c>
      <c r="F2373" s="3" t="n">
        <v>1</v>
      </c>
      <c r="G2373" s="3" t="n">
        <v>1</v>
      </c>
      <c r="H2373" s="24" t="n">
        <v>-0.0775241107</v>
      </c>
    </row>
    <row r="2374" customFormat="false" ht="15" hidden="false" customHeight="false" outlineLevel="0" collapsed="false">
      <c r="A2374" s="3" t="n">
        <v>2373</v>
      </c>
      <c r="B2374" s="3" t="n">
        <v>2372</v>
      </c>
      <c r="C2374" s="3" t="s">
        <v>118</v>
      </c>
      <c r="D2374" s="3" t="n">
        <v>7</v>
      </c>
      <c r="E2374" s="3" t="n">
        <v>15</v>
      </c>
      <c r="F2374" s="3" t="n">
        <v>1</v>
      </c>
      <c r="G2374" s="3" t="n">
        <v>2</v>
      </c>
      <c r="H2374" s="24" t="n">
        <v>0.0541519895</v>
      </c>
    </row>
    <row r="2375" customFormat="false" ht="15" hidden="false" customHeight="false" outlineLevel="0" collapsed="false">
      <c r="A2375" s="3" t="n">
        <v>2374</v>
      </c>
      <c r="B2375" s="3" t="n">
        <v>2373</v>
      </c>
      <c r="C2375" s="3" t="s">
        <v>118</v>
      </c>
      <c r="D2375" s="3" t="n">
        <v>7</v>
      </c>
      <c r="E2375" s="3" t="n">
        <v>15</v>
      </c>
      <c r="F2375" s="3" t="n">
        <v>2</v>
      </c>
      <c r="G2375" s="3" t="n">
        <v>0</v>
      </c>
      <c r="H2375" s="24" t="n">
        <v>0.0376723781</v>
      </c>
    </row>
    <row r="2376" customFormat="false" ht="15" hidden="false" customHeight="false" outlineLevel="0" collapsed="false">
      <c r="A2376" s="3" t="n">
        <v>2375</v>
      </c>
      <c r="B2376" s="3" t="n">
        <v>2374</v>
      </c>
      <c r="C2376" s="3" t="s">
        <v>118</v>
      </c>
      <c r="D2376" s="3" t="n">
        <v>7</v>
      </c>
      <c r="E2376" s="3" t="n">
        <v>15</v>
      </c>
      <c r="F2376" s="3" t="n">
        <v>2</v>
      </c>
      <c r="G2376" s="3" t="n">
        <v>1</v>
      </c>
      <c r="H2376" s="24" t="n">
        <v>-0.0428609662</v>
      </c>
    </row>
    <row r="2377" customFormat="false" ht="15" hidden="false" customHeight="false" outlineLevel="0" collapsed="false">
      <c r="A2377" s="3" t="n">
        <v>2376</v>
      </c>
      <c r="B2377" s="3" t="n">
        <v>2375</v>
      </c>
      <c r="C2377" s="3" t="s">
        <v>118</v>
      </c>
      <c r="D2377" s="3" t="n">
        <v>7</v>
      </c>
      <c r="E2377" s="3" t="n">
        <v>15</v>
      </c>
      <c r="F2377" s="3" t="n">
        <v>2</v>
      </c>
      <c r="G2377" s="3" t="n">
        <v>2</v>
      </c>
      <c r="H2377" s="24" t="n">
        <v>-0.0645534694</v>
      </c>
    </row>
    <row r="2378" customFormat="false" ht="15" hidden="false" customHeight="false" outlineLevel="0" collapsed="false">
      <c r="A2378" s="3" t="n">
        <v>2377</v>
      </c>
      <c r="B2378" s="3" t="n">
        <v>2376</v>
      </c>
      <c r="C2378" s="3" t="s">
        <v>118</v>
      </c>
      <c r="D2378" s="3" t="n">
        <v>8</v>
      </c>
      <c r="E2378" s="3" t="n">
        <v>0</v>
      </c>
      <c r="F2378" s="3" t="n">
        <v>0</v>
      </c>
      <c r="G2378" s="3" t="n">
        <v>0</v>
      </c>
      <c r="H2378" s="24" t="n">
        <v>-0.0430184156</v>
      </c>
    </row>
    <row r="2379" customFormat="false" ht="15" hidden="false" customHeight="false" outlineLevel="0" collapsed="false">
      <c r="A2379" s="3" t="n">
        <v>2378</v>
      </c>
      <c r="B2379" s="3" t="n">
        <v>2377</v>
      </c>
      <c r="C2379" s="3" t="s">
        <v>118</v>
      </c>
      <c r="D2379" s="3" t="n">
        <v>8</v>
      </c>
      <c r="E2379" s="3" t="n">
        <v>0</v>
      </c>
      <c r="F2379" s="3" t="n">
        <v>0</v>
      </c>
      <c r="G2379" s="3" t="n">
        <v>1</v>
      </c>
      <c r="H2379" s="24" t="n">
        <v>-0.396333396</v>
      </c>
    </row>
    <row r="2380" customFormat="false" ht="15" hidden="false" customHeight="false" outlineLevel="0" collapsed="false">
      <c r="A2380" s="3" t="n">
        <v>2379</v>
      </c>
      <c r="B2380" s="3" t="n">
        <v>2378</v>
      </c>
      <c r="C2380" s="3" t="s">
        <v>118</v>
      </c>
      <c r="D2380" s="3" t="n">
        <v>8</v>
      </c>
      <c r="E2380" s="3" t="n">
        <v>0</v>
      </c>
      <c r="F2380" s="3" t="n">
        <v>0</v>
      </c>
      <c r="G2380" s="3" t="n">
        <v>2</v>
      </c>
      <c r="H2380" s="24" t="n">
        <v>-0.0377866141</v>
      </c>
    </row>
    <row r="2381" customFormat="false" ht="15" hidden="false" customHeight="false" outlineLevel="0" collapsed="false">
      <c r="A2381" s="3" t="n">
        <v>2380</v>
      </c>
      <c r="B2381" s="3" t="n">
        <v>2379</v>
      </c>
      <c r="C2381" s="3" t="s">
        <v>118</v>
      </c>
      <c r="D2381" s="3" t="n">
        <v>8</v>
      </c>
      <c r="E2381" s="3" t="n">
        <v>0</v>
      </c>
      <c r="F2381" s="3" t="n">
        <v>1</v>
      </c>
      <c r="G2381" s="3" t="n">
        <v>0</v>
      </c>
      <c r="H2381" s="24" t="n">
        <v>0.379928589</v>
      </c>
    </row>
    <row r="2382" customFormat="false" ht="15" hidden="false" customHeight="false" outlineLevel="0" collapsed="false">
      <c r="A2382" s="3" t="n">
        <v>2381</v>
      </c>
      <c r="B2382" s="3" t="n">
        <v>2380</v>
      </c>
      <c r="C2382" s="3" t="s">
        <v>118</v>
      </c>
      <c r="D2382" s="3" t="n">
        <v>8</v>
      </c>
      <c r="E2382" s="3" t="n">
        <v>0</v>
      </c>
      <c r="F2382" s="3" t="n">
        <v>1</v>
      </c>
      <c r="G2382" s="3" t="n">
        <v>1</v>
      </c>
      <c r="H2382" s="24" t="n">
        <v>0.245538488</v>
      </c>
    </row>
    <row r="2383" customFormat="false" ht="15" hidden="false" customHeight="false" outlineLevel="0" collapsed="false">
      <c r="A2383" s="3" t="n">
        <v>2382</v>
      </c>
      <c r="B2383" s="3" t="n">
        <v>2381</v>
      </c>
      <c r="C2383" s="3" t="s">
        <v>118</v>
      </c>
      <c r="D2383" s="3" t="n">
        <v>8</v>
      </c>
      <c r="E2383" s="3" t="n">
        <v>0</v>
      </c>
      <c r="F2383" s="3" t="n">
        <v>1</v>
      </c>
      <c r="G2383" s="3" t="n">
        <v>2</v>
      </c>
      <c r="H2383" s="24" t="n">
        <v>-0.0231242403</v>
      </c>
    </row>
    <row r="2384" customFormat="false" ht="15" hidden="false" customHeight="false" outlineLevel="0" collapsed="false">
      <c r="A2384" s="3" t="n">
        <v>2383</v>
      </c>
      <c r="B2384" s="3" t="n">
        <v>2382</v>
      </c>
      <c r="C2384" s="3" t="s">
        <v>118</v>
      </c>
      <c r="D2384" s="3" t="n">
        <v>8</v>
      </c>
      <c r="E2384" s="3" t="n">
        <v>0</v>
      </c>
      <c r="F2384" s="3" t="n">
        <v>2</v>
      </c>
      <c r="G2384" s="3" t="n">
        <v>0</v>
      </c>
      <c r="H2384" s="24" t="n">
        <v>0.00762204826</v>
      </c>
    </row>
    <row r="2385" customFormat="false" ht="15" hidden="false" customHeight="false" outlineLevel="0" collapsed="false">
      <c r="A2385" s="3" t="n">
        <v>2384</v>
      </c>
      <c r="B2385" s="3" t="n">
        <v>2383</v>
      </c>
      <c r="C2385" s="3" t="s">
        <v>118</v>
      </c>
      <c r="D2385" s="3" t="n">
        <v>8</v>
      </c>
      <c r="E2385" s="3" t="n">
        <v>0</v>
      </c>
      <c r="F2385" s="3" t="n">
        <v>2</v>
      </c>
      <c r="G2385" s="3" t="n">
        <v>1</v>
      </c>
      <c r="H2385" s="24" t="n">
        <v>-0.367195755</v>
      </c>
    </row>
    <row r="2386" customFormat="false" ht="15" hidden="false" customHeight="false" outlineLevel="0" collapsed="false">
      <c r="A2386" s="3" t="n">
        <v>2385</v>
      </c>
      <c r="B2386" s="3" t="n">
        <v>2384</v>
      </c>
      <c r="C2386" s="3" t="s">
        <v>118</v>
      </c>
      <c r="D2386" s="3" t="n">
        <v>8</v>
      </c>
      <c r="E2386" s="3" t="n">
        <v>0</v>
      </c>
      <c r="F2386" s="3" t="n">
        <v>2</v>
      </c>
      <c r="G2386" s="3" t="n">
        <v>2</v>
      </c>
      <c r="H2386" s="24" t="n">
        <v>-0.28708294</v>
      </c>
    </row>
    <row r="2387" customFormat="false" ht="15" hidden="false" customHeight="false" outlineLevel="0" collapsed="false">
      <c r="A2387" s="3" t="n">
        <v>2386</v>
      </c>
      <c r="B2387" s="3" t="n">
        <v>2385</v>
      </c>
      <c r="C2387" s="3" t="s">
        <v>118</v>
      </c>
      <c r="D2387" s="3" t="n">
        <v>8</v>
      </c>
      <c r="E2387" s="3" t="n">
        <v>1</v>
      </c>
      <c r="F2387" s="3" t="n">
        <v>0</v>
      </c>
      <c r="G2387" s="3" t="n">
        <v>0</v>
      </c>
      <c r="H2387" s="24" t="n">
        <v>-0.141869172</v>
      </c>
    </row>
    <row r="2388" customFormat="false" ht="15" hidden="false" customHeight="false" outlineLevel="0" collapsed="false">
      <c r="A2388" s="3" t="n">
        <v>2387</v>
      </c>
      <c r="B2388" s="3" t="n">
        <v>2386</v>
      </c>
      <c r="C2388" s="3" t="s">
        <v>118</v>
      </c>
      <c r="D2388" s="3" t="n">
        <v>8</v>
      </c>
      <c r="E2388" s="3" t="n">
        <v>1</v>
      </c>
      <c r="F2388" s="3" t="n">
        <v>0</v>
      </c>
      <c r="G2388" s="3" t="n">
        <v>1</v>
      </c>
      <c r="H2388" s="24" t="n">
        <v>-0.0586990714</v>
      </c>
    </row>
    <row r="2389" customFormat="false" ht="15" hidden="false" customHeight="false" outlineLevel="0" collapsed="false">
      <c r="A2389" s="3" t="n">
        <v>2388</v>
      </c>
      <c r="B2389" s="3" t="n">
        <v>2387</v>
      </c>
      <c r="C2389" s="3" t="s">
        <v>118</v>
      </c>
      <c r="D2389" s="3" t="n">
        <v>8</v>
      </c>
      <c r="E2389" s="3" t="n">
        <v>1</v>
      </c>
      <c r="F2389" s="3" t="n">
        <v>0</v>
      </c>
      <c r="G2389" s="3" t="n">
        <v>2</v>
      </c>
      <c r="H2389" s="24" t="n">
        <v>-0.0280605741</v>
      </c>
    </row>
    <row r="2390" customFormat="false" ht="15" hidden="false" customHeight="false" outlineLevel="0" collapsed="false">
      <c r="A2390" s="3" t="n">
        <v>2389</v>
      </c>
      <c r="B2390" s="3" t="n">
        <v>2388</v>
      </c>
      <c r="C2390" s="3" t="s">
        <v>118</v>
      </c>
      <c r="D2390" s="3" t="n">
        <v>8</v>
      </c>
      <c r="E2390" s="3" t="n">
        <v>1</v>
      </c>
      <c r="F2390" s="3" t="n">
        <v>1</v>
      </c>
      <c r="G2390" s="3" t="n">
        <v>0</v>
      </c>
      <c r="H2390" s="24" t="n">
        <v>-0.359491318</v>
      </c>
    </row>
    <row r="2391" customFormat="false" ht="15" hidden="false" customHeight="false" outlineLevel="0" collapsed="false">
      <c r="A2391" s="3" t="n">
        <v>2390</v>
      </c>
      <c r="B2391" s="3" t="n">
        <v>2389</v>
      </c>
      <c r="C2391" s="3" t="s">
        <v>118</v>
      </c>
      <c r="D2391" s="3" t="n">
        <v>8</v>
      </c>
      <c r="E2391" s="3" t="n">
        <v>1</v>
      </c>
      <c r="F2391" s="3" t="n">
        <v>1</v>
      </c>
      <c r="G2391" s="3" t="n">
        <v>1</v>
      </c>
      <c r="H2391" s="24" t="n">
        <v>-0.308905989</v>
      </c>
    </row>
    <row r="2392" customFormat="false" ht="15" hidden="false" customHeight="false" outlineLevel="0" collapsed="false">
      <c r="A2392" s="3" t="n">
        <v>2391</v>
      </c>
      <c r="B2392" s="3" t="n">
        <v>2390</v>
      </c>
      <c r="C2392" s="3" t="s">
        <v>118</v>
      </c>
      <c r="D2392" s="3" t="n">
        <v>8</v>
      </c>
      <c r="E2392" s="3" t="n">
        <v>1</v>
      </c>
      <c r="F2392" s="3" t="n">
        <v>1</v>
      </c>
      <c r="G2392" s="3" t="n">
        <v>2</v>
      </c>
      <c r="H2392" s="24" t="n">
        <v>-0.141282558</v>
      </c>
    </row>
    <row r="2393" customFormat="false" ht="15" hidden="false" customHeight="false" outlineLevel="0" collapsed="false">
      <c r="A2393" s="3" t="n">
        <v>2392</v>
      </c>
      <c r="B2393" s="3" t="n">
        <v>2391</v>
      </c>
      <c r="C2393" s="3" t="s">
        <v>118</v>
      </c>
      <c r="D2393" s="3" t="n">
        <v>8</v>
      </c>
      <c r="E2393" s="3" t="n">
        <v>1</v>
      </c>
      <c r="F2393" s="3" t="n">
        <v>2</v>
      </c>
      <c r="G2393" s="3" t="n">
        <v>0</v>
      </c>
      <c r="H2393" s="24" t="n">
        <v>0.00247975765</v>
      </c>
    </row>
    <row r="2394" customFormat="false" ht="15" hidden="false" customHeight="false" outlineLevel="0" collapsed="false">
      <c r="A2394" s="3" t="n">
        <v>2393</v>
      </c>
      <c r="B2394" s="3" t="n">
        <v>2392</v>
      </c>
      <c r="C2394" s="3" t="s">
        <v>118</v>
      </c>
      <c r="D2394" s="3" t="n">
        <v>8</v>
      </c>
      <c r="E2394" s="3" t="n">
        <v>1</v>
      </c>
      <c r="F2394" s="3" t="n">
        <v>2</v>
      </c>
      <c r="G2394" s="3" t="n">
        <v>1</v>
      </c>
      <c r="H2394" s="24" t="n">
        <v>-0.0167019516</v>
      </c>
    </row>
    <row r="2395" customFormat="false" ht="15" hidden="false" customHeight="false" outlineLevel="0" collapsed="false">
      <c r="A2395" s="3" t="n">
        <v>2394</v>
      </c>
      <c r="B2395" s="3" t="n">
        <v>2393</v>
      </c>
      <c r="C2395" s="3" t="s">
        <v>118</v>
      </c>
      <c r="D2395" s="3" t="n">
        <v>8</v>
      </c>
      <c r="E2395" s="3" t="n">
        <v>1</v>
      </c>
      <c r="F2395" s="3" t="n">
        <v>2</v>
      </c>
      <c r="G2395" s="3" t="n">
        <v>2</v>
      </c>
      <c r="H2395" s="24" t="n">
        <v>0.294055074</v>
      </c>
    </row>
    <row r="2396" customFormat="false" ht="15" hidden="false" customHeight="false" outlineLevel="0" collapsed="false">
      <c r="A2396" s="3" t="n">
        <v>2395</v>
      </c>
      <c r="B2396" s="3" t="n">
        <v>2394</v>
      </c>
      <c r="C2396" s="3" t="s">
        <v>118</v>
      </c>
      <c r="D2396" s="3" t="n">
        <v>8</v>
      </c>
      <c r="E2396" s="3" t="n">
        <v>2</v>
      </c>
      <c r="F2396" s="3" t="n">
        <v>0</v>
      </c>
      <c r="G2396" s="3" t="n">
        <v>0</v>
      </c>
      <c r="H2396" s="24" t="n">
        <v>-0.00837779604</v>
      </c>
    </row>
    <row r="2397" customFormat="false" ht="15" hidden="false" customHeight="false" outlineLevel="0" collapsed="false">
      <c r="A2397" s="3" t="n">
        <v>2396</v>
      </c>
      <c r="B2397" s="3" t="n">
        <v>2395</v>
      </c>
      <c r="C2397" s="3" t="s">
        <v>118</v>
      </c>
      <c r="D2397" s="3" t="n">
        <v>8</v>
      </c>
      <c r="E2397" s="3" t="n">
        <v>2</v>
      </c>
      <c r="F2397" s="3" t="n">
        <v>0</v>
      </c>
      <c r="G2397" s="3" t="n">
        <v>1</v>
      </c>
      <c r="H2397" s="24" t="n">
        <v>0.0514154099</v>
      </c>
    </row>
    <row r="2398" customFormat="false" ht="15" hidden="false" customHeight="false" outlineLevel="0" collapsed="false">
      <c r="A2398" s="3" t="n">
        <v>2397</v>
      </c>
      <c r="B2398" s="3" t="n">
        <v>2396</v>
      </c>
      <c r="C2398" s="3" t="s">
        <v>118</v>
      </c>
      <c r="D2398" s="3" t="n">
        <v>8</v>
      </c>
      <c r="E2398" s="3" t="n">
        <v>2</v>
      </c>
      <c r="F2398" s="3" t="n">
        <v>0</v>
      </c>
      <c r="G2398" s="3" t="n">
        <v>2</v>
      </c>
      <c r="H2398" s="24" t="n">
        <v>0.0579906031</v>
      </c>
    </row>
    <row r="2399" customFormat="false" ht="15" hidden="false" customHeight="false" outlineLevel="0" collapsed="false">
      <c r="A2399" s="3" t="n">
        <v>2398</v>
      </c>
      <c r="B2399" s="3" t="n">
        <v>2397</v>
      </c>
      <c r="C2399" s="3" t="s">
        <v>118</v>
      </c>
      <c r="D2399" s="3" t="n">
        <v>8</v>
      </c>
      <c r="E2399" s="3" t="n">
        <v>2</v>
      </c>
      <c r="F2399" s="3" t="n">
        <v>1</v>
      </c>
      <c r="G2399" s="3" t="n">
        <v>0</v>
      </c>
      <c r="H2399" s="24" t="n">
        <v>-0.0817445144</v>
      </c>
    </row>
    <row r="2400" customFormat="false" ht="15" hidden="false" customHeight="false" outlineLevel="0" collapsed="false">
      <c r="A2400" s="3" t="n">
        <v>2399</v>
      </c>
      <c r="B2400" s="3" t="n">
        <v>2398</v>
      </c>
      <c r="C2400" s="3" t="s">
        <v>118</v>
      </c>
      <c r="D2400" s="3" t="n">
        <v>8</v>
      </c>
      <c r="E2400" s="3" t="n">
        <v>2</v>
      </c>
      <c r="F2400" s="3" t="n">
        <v>1</v>
      </c>
      <c r="G2400" s="3" t="n">
        <v>1</v>
      </c>
      <c r="H2400" s="24" t="n">
        <v>0.350719869</v>
      </c>
    </row>
    <row r="2401" customFormat="false" ht="15" hidden="false" customHeight="false" outlineLevel="0" collapsed="false">
      <c r="A2401" s="3" t="n">
        <v>2400</v>
      </c>
      <c r="B2401" s="3" t="n">
        <v>2399</v>
      </c>
      <c r="C2401" s="3" t="s">
        <v>118</v>
      </c>
      <c r="D2401" s="3" t="n">
        <v>8</v>
      </c>
      <c r="E2401" s="3" t="n">
        <v>2</v>
      </c>
      <c r="F2401" s="3" t="n">
        <v>1</v>
      </c>
      <c r="G2401" s="3" t="n">
        <v>2</v>
      </c>
      <c r="H2401" s="24" t="n">
        <v>0.251982749</v>
      </c>
    </row>
    <row r="2402" customFormat="false" ht="15" hidden="false" customHeight="false" outlineLevel="0" collapsed="false">
      <c r="A2402" s="3" t="n">
        <v>2401</v>
      </c>
      <c r="B2402" s="3" t="n">
        <v>2400</v>
      </c>
      <c r="C2402" s="3" t="s">
        <v>118</v>
      </c>
      <c r="D2402" s="3" t="n">
        <v>8</v>
      </c>
      <c r="E2402" s="3" t="n">
        <v>2</v>
      </c>
      <c r="F2402" s="3" t="n">
        <v>2</v>
      </c>
      <c r="G2402" s="3" t="n">
        <v>0</v>
      </c>
      <c r="H2402" s="24" t="n">
        <v>-0.0213444643</v>
      </c>
    </row>
    <row r="2403" customFormat="false" ht="15" hidden="false" customHeight="false" outlineLevel="0" collapsed="false">
      <c r="A2403" s="3" t="n">
        <v>2402</v>
      </c>
      <c r="B2403" s="3" t="n">
        <v>2401</v>
      </c>
      <c r="C2403" s="3" t="s">
        <v>118</v>
      </c>
      <c r="D2403" s="3" t="n">
        <v>8</v>
      </c>
      <c r="E2403" s="3" t="n">
        <v>2</v>
      </c>
      <c r="F2403" s="3" t="n">
        <v>2</v>
      </c>
      <c r="G2403" s="3" t="n">
        <v>1</v>
      </c>
      <c r="H2403" s="24" t="n">
        <v>-0.203955829</v>
      </c>
    </row>
    <row r="2404" customFormat="false" ht="15" hidden="false" customHeight="false" outlineLevel="0" collapsed="false">
      <c r="A2404" s="3" t="n">
        <v>2403</v>
      </c>
      <c r="B2404" s="3" t="n">
        <v>2402</v>
      </c>
      <c r="C2404" s="3" t="s">
        <v>118</v>
      </c>
      <c r="D2404" s="3" t="n">
        <v>8</v>
      </c>
      <c r="E2404" s="3" t="n">
        <v>2</v>
      </c>
      <c r="F2404" s="3" t="n">
        <v>2</v>
      </c>
      <c r="G2404" s="3" t="n">
        <v>2</v>
      </c>
      <c r="H2404" s="24" t="n">
        <v>0.0817884579</v>
      </c>
    </row>
    <row r="2405" customFormat="false" ht="15" hidden="false" customHeight="false" outlineLevel="0" collapsed="false">
      <c r="A2405" s="3" t="n">
        <v>2404</v>
      </c>
      <c r="B2405" s="3" t="n">
        <v>2403</v>
      </c>
      <c r="C2405" s="3" t="s">
        <v>118</v>
      </c>
      <c r="D2405" s="3" t="n">
        <v>8</v>
      </c>
      <c r="E2405" s="3" t="n">
        <v>3</v>
      </c>
      <c r="F2405" s="3" t="n">
        <v>0</v>
      </c>
      <c r="G2405" s="3" t="n">
        <v>0</v>
      </c>
      <c r="H2405" s="24" t="n">
        <v>0.313612103</v>
      </c>
    </row>
    <row r="2406" customFormat="false" ht="15" hidden="false" customHeight="false" outlineLevel="0" collapsed="false">
      <c r="A2406" s="3" t="n">
        <v>2405</v>
      </c>
      <c r="B2406" s="3" t="n">
        <v>2404</v>
      </c>
      <c r="C2406" s="3" t="s">
        <v>118</v>
      </c>
      <c r="D2406" s="3" t="n">
        <v>8</v>
      </c>
      <c r="E2406" s="3" t="n">
        <v>3</v>
      </c>
      <c r="F2406" s="3" t="n">
        <v>0</v>
      </c>
      <c r="G2406" s="3" t="n">
        <v>1</v>
      </c>
      <c r="H2406" s="24" t="n">
        <v>0.0527060218</v>
      </c>
    </row>
    <row r="2407" customFormat="false" ht="15" hidden="false" customHeight="false" outlineLevel="0" collapsed="false">
      <c r="A2407" s="3" t="n">
        <v>2406</v>
      </c>
      <c r="B2407" s="3" t="n">
        <v>2405</v>
      </c>
      <c r="C2407" s="3" t="s">
        <v>118</v>
      </c>
      <c r="D2407" s="3" t="n">
        <v>8</v>
      </c>
      <c r="E2407" s="3" t="n">
        <v>3</v>
      </c>
      <c r="F2407" s="3" t="n">
        <v>0</v>
      </c>
      <c r="G2407" s="3" t="n">
        <v>2</v>
      </c>
      <c r="H2407" s="24" t="n">
        <v>0.0187537987</v>
      </c>
    </row>
    <row r="2408" customFormat="false" ht="15" hidden="false" customHeight="false" outlineLevel="0" collapsed="false">
      <c r="A2408" s="3" t="n">
        <v>2407</v>
      </c>
      <c r="B2408" s="3" t="n">
        <v>2406</v>
      </c>
      <c r="C2408" s="3" t="s">
        <v>118</v>
      </c>
      <c r="D2408" s="3" t="n">
        <v>8</v>
      </c>
      <c r="E2408" s="3" t="n">
        <v>3</v>
      </c>
      <c r="F2408" s="3" t="n">
        <v>1</v>
      </c>
      <c r="G2408" s="3" t="n">
        <v>0</v>
      </c>
      <c r="H2408" s="24" t="n">
        <v>-0.0552776307</v>
      </c>
    </row>
    <row r="2409" customFormat="false" ht="15" hidden="false" customHeight="false" outlineLevel="0" collapsed="false">
      <c r="A2409" s="3" t="n">
        <v>2408</v>
      </c>
      <c r="B2409" s="3" t="n">
        <v>2407</v>
      </c>
      <c r="C2409" s="3" t="s">
        <v>118</v>
      </c>
      <c r="D2409" s="3" t="n">
        <v>8</v>
      </c>
      <c r="E2409" s="3" t="n">
        <v>3</v>
      </c>
      <c r="F2409" s="3" t="n">
        <v>1</v>
      </c>
      <c r="G2409" s="3" t="n">
        <v>1</v>
      </c>
      <c r="H2409" s="24" t="n">
        <v>0.224337161</v>
      </c>
    </row>
    <row r="2410" customFormat="false" ht="15" hidden="false" customHeight="false" outlineLevel="0" collapsed="false">
      <c r="A2410" s="3" t="n">
        <v>2409</v>
      </c>
      <c r="B2410" s="3" t="n">
        <v>2408</v>
      </c>
      <c r="C2410" s="3" t="s">
        <v>118</v>
      </c>
      <c r="D2410" s="3" t="n">
        <v>8</v>
      </c>
      <c r="E2410" s="3" t="n">
        <v>3</v>
      </c>
      <c r="F2410" s="3" t="n">
        <v>1</v>
      </c>
      <c r="G2410" s="3" t="n">
        <v>2</v>
      </c>
      <c r="H2410" s="24" t="n">
        <v>-0.172268152</v>
      </c>
    </row>
    <row r="2411" customFormat="false" ht="15" hidden="false" customHeight="false" outlineLevel="0" collapsed="false">
      <c r="A2411" s="3" t="n">
        <v>2410</v>
      </c>
      <c r="B2411" s="3" t="n">
        <v>2409</v>
      </c>
      <c r="C2411" s="3" t="s">
        <v>118</v>
      </c>
      <c r="D2411" s="3" t="n">
        <v>8</v>
      </c>
      <c r="E2411" s="3" t="n">
        <v>3</v>
      </c>
      <c r="F2411" s="3" t="n">
        <v>2</v>
      </c>
      <c r="G2411" s="3" t="n">
        <v>0</v>
      </c>
      <c r="H2411" s="24" t="n">
        <v>0.018055696</v>
      </c>
    </row>
    <row r="2412" customFormat="false" ht="15" hidden="false" customHeight="false" outlineLevel="0" collapsed="false">
      <c r="A2412" s="3" t="n">
        <v>2411</v>
      </c>
      <c r="B2412" s="3" t="n">
        <v>2410</v>
      </c>
      <c r="C2412" s="3" t="s">
        <v>118</v>
      </c>
      <c r="D2412" s="3" t="n">
        <v>8</v>
      </c>
      <c r="E2412" s="3" t="n">
        <v>3</v>
      </c>
      <c r="F2412" s="3" t="n">
        <v>2</v>
      </c>
      <c r="G2412" s="3" t="n">
        <v>1</v>
      </c>
      <c r="H2412" s="24" t="n">
        <v>-0.18344149</v>
      </c>
    </row>
    <row r="2413" customFormat="false" ht="15" hidden="false" customHeight="false" outlineLevel="0" collapsed="false">
      <c r="A2413" s="3" t="n">
        <v>2412</v>
      </c>
      <c r="B2413" s="3" t="n">
        <v>2411</v>
      </c>
      <c r="C2413" s="3" t="s">
        <v>118</v>
      </c>
      <c r="D2413" s="3" t="n">
        <v>8</v>
      </c>
      <c r="E2413" s="3" t="n">
        <v>3</v>
      </c>
      <c r="F2413" s="3" t="n">
        <v>2</v>
      </c>
      <c r="G2413" s="3" t="n">
        <v>2</v>
      </c>
      <c r="H2413" s="24" t="n">
        <v>0.0613491237</v>
      </c>
    </row>
    <row r="2414" customFormat="false" ht="15" hidden="false" customHeight="false" outlineLevel="0" collapsed="false">
      <c r="A2414" s="3" t="n">
        <v>2413</v>
      </c>
      <c r="B2414" s="3" t="n">
        <v>2412</v>
      </c>
      <c r="C2414" s="3" t="s">
        <v>118</v>
      </c>
      <c r="D2414" s="3" t="n">
        <v>8</v>
      </c>
      <c r="E2414" s="3" t="n">
        <v>4</v>
      </c>
      <c r="F2414" s="3" t="n">
        <v>0</v>
      </c>
      <c r="G2414" s="3" t="n">
        <v>0</v>
      </c>
      <c r="H2414" s="24" t="n">
        <v>0.153774247</v>
      </c>
    </row>
    <row r="2415" customFormat="false" ht="15" hidden="false" customHeight="false" outlineLevel="0" collapsed="false">
      <c r="A2415" s="3" t="n">
        <v>2414</v>
      </c>
      <c r="B2415" s="3" t="n">
        <v>2413</v>
      </c>
      <c r="C2415" s="3" t="s">
        <v>118</v>
      </c>
      <c r="D2415" s="3" t="n">
        <v>8</v>
      </c>
      <c r="E2415" s="3" t="n">
        <v>4</v>
      </c>
      <c r="F2415" s="3" t="n">
        <v>0</v>
      </c>
      <c r="G2415" s="3" t="n">
        <v>1</v>
      </c>
      <c r="H2415" s="24" t="n">
        <v>-0.00359818526</v>
      </c>
    </row>
    <row r="2416" customFormat="false" ht="15" hidden="false" customHeight="false" outlineLevel="0" collapsed="false">
      <c r="A2416" s="3" t="n">
        <v>2415</v>
      </c>
      <c r="B2416" s="3" t="n">
        <v>2414</v>
      </c>
      <c r="C2416" s="3" t="s">
        <v>118</v>
      </c>
      <c r="D2416" s="3" t="n">
        <v>8</v>
      </c>
      <c r="E2416" s="3" t="n">
        <v>4</v>
      </c>
      <c r="F2416" s="3" t="n">
        <v>0</v>
      </c>
      <c r="G2416" s="3" t="n">
        <v>2</v>
      </c>
      <c r="H2416" s="24" t="n">
        <v>-0.097817108</v>
      </c>
    </row>
    <row r="2417" customFormat="false" ht="15" hidden="false" customHeight="false" outlineLevel="0" collapsed="false">
      <c r="A2417" s="3" t="n">
        <v>2416</v>
      </c>
      <c r="B2417" s="3" t="n">
        <v>2415</v>
      </c>
      <c r="C2417" s="3" t="s">
        <v>118</v>
      </c>
      <c r="D2417" s="3" t="n">
        <v>8</v>
      </c>
      <c r="E2417" s="3" t="n">
        <v>4</v>
      </c>
      <c r="F2417" s="3" t="n">
        <v>1</v>
      </c>
      <c r="G2417" s="3" t="n">
        <v>0</v>
      </c>
      <c r="H2417" s="24" t="n">
        <v>-0.259571552</v>
      </c>
    </row>
    <row r="2418" customFormat="false" ht="15" hidden="false" customHeight="false" outlineLevel="0" collapsed="false">
      <c r="A2418" s="3" t="n">
        <v>2417</v>
      </c>
      <c r="B2418" s="3" t="n">
        <v>2416</v>
      </c>
      <c r="C2418" s="3" t="s">
        <v>118</v>
      </c>
      <c r="D2418" s="3" t="n">
        <v>8</v>
      </c>
      <c r="E2418" s="3" t="n">
        <v>4</v>
      </c>
      <c r="F2418" s="3" t="n">
        <v>1</v>
      </c>
      <c r="G2418" s="3" t="n">
        <v>1</v>
      </c>
      <c r="H2418" s="24" t="n">
        <v>-0.130059436</v>
      </c>
    </row>
    <row r="2419" customFormat="false" ht="15" hidden="false" customHeight="false" outlineLevel="0" collapsed="false">
      <c r="A2419" s="3" t="n">
        <v>2418</v>
      </c>
      <c r="B2419" s="3" t="n">
        <v>2417</v>
      </c>
      <c r="C2419" s="3" t="s">
        <v>118</v>
      </c>
      <c r="D2419" s="3" t="n">
        <v>8</v>
      </c>
      <c r="E2419" s="3" t="n">
        <v>4</v>
      </c>
      <c r="F2419" s="3" t="n">
        <v>1</v>
      </c>
      <c r="G2419" s="3" t="n">
        <v>2</v>
      </c>
      <c r="H2419" s="24" t="n">
        <v>-0.114048839</v>
      </c>
    </row>
    <row r="2420" customFormat="false" ht="15" hidden="false" customHeight="false" outlineLevel="0" collapsed="false">
      <c r="A2420" s="3" t="n">
        <v>2419</v>
      </c>
      <c r="B2420" s="3" t="n">
        <v>2418</v>
      </c>
      <c r="C2420" s="3" t="s">
        <v>118</v>
      </c>
      <c r="D2420" s="3" t="n">
        <v>8</v>
      </c>
      <c r="E2420" s="3" t="n">
        <v>4</v>
      </c>
      <c r="F2420" s="3" t="n">
        <v>2</v>
      </c>
      <c r="G2420" s="3" t="n">
        <v>0</v>
      </c>
      <c r="H2420" s="24" t="n">
        <v>-0.249910593</v>
      </c>
    </row>
    <row r="2421" customFormat="false" ht="15" hidden="false" customHeight="false" outlineLevel="0" collapsed="false">
      <c r="A2421" s="3" t="n">
        <v>2420</v>
      </c>
      <c r="B2421" s="3" t="n">
        <v>2419</v>
      </c>
      <c r="C2421" s="3" t="s">
        <v>118</v>
      </c>
      <c r="D2421" s="3" t="n">
        <v>8</v>
      </c>
      <c r="E2421" s="3" t="n">
        <v>4</v>
      </c>
      <c r="F2421" s="3" t="n">
        <v>2</v>
      </c>
      <c r="G2421" s="3" t="n">
        <v>1</v>
      </c>
      <c r="H2421" s="24" t="n">
        <v>-0.0937497541</v>
      </c>
    </row>
    <row r="2422" customFormat="false" ht="15" hidden="false" customHeight="false" outlineLevel="0" collapsed="false">
      <c r="A2422" s="3" t="n">
        <v>2421</v>
      </c>
      <c r="B2422" s="3" t="n">
        <v>2420</v>
      </c>
      <c r="C2422" s="3" t="s">
        <v>118</v>
      </c>
      <c r="D2422" s="3" t="n">
        <v>8</v>
      </c>
      <c r="E2422" s="3" t="n">
        <v>4</v>
      </c>
      <c r="F2422" s="3" t="n">
        <v>2</v>
      </c>
      <c r="G2422" s="3" t="n">
        <v>2</v>
      </c>
      <c r="H2422" s="24" t="n">
        <v>0.0259017479</v>
      </c>
    </row>
    <row r="2423" customFormat="false" ht="15" hidden="false" customHeight="false" outlineLevel="0" collapsed="false">
      <c r="A2423" s="3" t="n">
        <v>2422</v>
      </c>
      <c r="B2423" s="3" t="n">
        <v>2421</v>
      </c>
      <c r="C2423" s="3" t="s">
        <v>118</v>
      </c>
      <c r="D2423" s="3" t="n">
        <v>8</v>
      </c>
      <c r="E2423" s="3" t="n">
        <v>5</v>
      </c>
      <c r="F2423" s="3" t="n">
        <v>0</v>
      </c>
      <c r="G2423" s="3" t="n">
        <v>0</v>
      </c>
      <c r="H2423" s="24" t="n">
        <v>-0.218405977</v>
      </c>
    </row>
    <row r="2424" customFormat="false" ht="15" hidden="false" customHeight="false" outlineLevel="0" collapsed="false">
      <c r="A2424" s="3" t="n">
        <v>2423</v>
      </c>
      <c r="B2424" s="3" t="n">
        <v>2422</v>
      </c>
      <c r="C2424" s="3" t="s">
        <v>118</v>
      </c>
      <c r="D2424" s="3" t="n">
        <v>8</v>
      </c>
      <c r="E2424" s="3" t="n">
        <v>5</v>
      </c>
      <c r="F2424" s="3" t="n">
        <v>0</v>
      </c>
      <c r="G2424" s="3" t="n">
        <v>1</v>
      </c>
      <c r="H2424" s="24" t="n">
        <v>-0.0909359232</v>
      </c>
    </row>
    <row r="2425" customFormat="false" ht="15" hidden="false" customHeight="false" outlineLevel="0" collapsed="false">
      <c r="A2425" s="3" t="n">
        <v>2424</v>
      </c>
      <c r="B2425" s="3" t="n">
        <v>2423</v>
      </c>
      <c r="C2425" s="3" t="s">
        <v>118</v>
      </c>
      <c r="D2425" s="3" t="n">
        <v>8</v>
      </c>
      <c r="E2425" s="3" t="n">
        <v>5</v>
      </c>
      <c r="F2425" s="3" t="n">
        <v>0</v>
      </c>
      <c r="G2425" s="3" t="n">
        <v>2</v>
      </c>
      <c r="H2425" s="24" t="n">
        <v>0.0777896717</v>
      </c>
    </row>
    <row r="2426" customFormat="false" ht="15" hidden="false" customHeight="false" outlineLevel="0" collapsed="false">
      <c r="A2426" s="3" t="n">
        <v>2425</v>
      </c>
      <c r="B2426" s="3" t="n">
        <v>2424</v>
      </c>
      <c r="C2426" s="3" t="s">
        <v>118</v>
      </c>
      <c r="D2426" s="3" t="n">
        <v>8</v>
      </c>
      <c r="E2426" s="3" t="n">
        <v>5</v>
      </c>
      <c r="F2426" s="3" t="n">
        <v>1</v>
      </c>
      <c r="G2426" s="3" t="n">
        <v>0</v>
      </c>
      <c r="H2426" s="24" t="n">
        <v>-0.0295209382</v>
      </c>
    </row>
    <row r="2427" customFormat="false" ht="15" hidden="false" customHeight="false" outlineLevel="0" collapsed="false">
      <c r="A2427" s="3" t="n">
        <v>2426</v>
      </c>
      <c r="B2427" s="3" t="n">
        <v>2425</v>
      </c>
      <c r="C2427" s="3" t="s">
        <v>118</v>
      </c>
      <c r="D2427" s="3" t="n">
        <v>8</v>
      </c>
      <c r="E2427" s="3" t="n">
        <v>5</v>
      </c>
      <c r="F2427" s="3" t="n">
        <v>1</v>
      </c>
      <c r="G2427" s="3" t="n">
        <v>1</v>
      </c>
      <c r="H2427" s="24" t="n">
        <v>-0.104192205</v>
      </c>
    </row>
    <row r="2428" customFormat="false" ht="15" hidden="false" customHeight="false" outlineLevel="0" collapsed="false">
      <c r="A2428" s="3" t="n">
        <v>2427</v>
      </c>
      <c r="B2428" s="3" t="n">
        <v>2426</v>
      </c>
      <c r="C2428" s="3" t="s">
        <v>118</v>
      </c>
      <c r="D2428" s="3" t="n">
        <v>8</v>
      </c>
      <c r="E2428" s="3" t="n">
        <v>5</v>
      </c>
      <c r="F2428" s="3" t="n">
        <v>1</v>
      </c>
      <c r="G2428" s="3" t="n">
        <v>2</v>
      </c>
      <c r="H2428" s="24" t="n">
        <v>0.00992364902</v>
      </c>
    </row>
    <row r="2429" customFormat="false" ht="15" hidden="false" customHeight="false" outlineLevel="0" collapsed="false">
      <c r="A2429" s="3" t="n">
        <v>2428</v>
      </c>
      <c r="B2429" s="3" t="n">
        <v>2427</v>
      </c>
      <c r="C2429" s="3" t="s">
        <v>118</v>
      </c>
      <c r="D2429" s="3" t="n">
        <v>8</v>
      </c>
      <c r="E2429" s="3" t="n">
        <v>5</v>
      </c>
      <c r="F2429" s="3" t="n">
        <v>2</v>
      </c>
      <c r="G2429" s="3" t="n">
        <v>0</v>
      </c>
      <c r="H2429" s="24" t="n">
        <v>0.0557525828</v>
      </c>
    </row>
    <row r="2430" customFormat="false" ht="15" hidden="false" customHeight="false" outlineLevel="0" collapsed="false">
      <c r="A2430" s="3" t="n">
        <v>2429</v>
      </c>
      <c r="B2430" s="3" t="n">
        <v>2428</v>
      </c>
      <c r="C2430" s="3" t="s">
        <v>118</v>
      </c>
      <c r="D2430" s="3" t="n">
        <v>8</v>
      </c>
      <c r="E2430" s="3" t="n">
        <v>5</v>
      </c>
      <c r="F2430" s="3" t="n">
        <v>2</v>
      </c>
      <c r="G2430" s="3" t="n">
        <v>1</v>
      </c>
      <c r="H2430" s="24" t="n">
        <v>0.0405426137</v>
      </c>
    </row>
    <row r="2431" customFormat="false" ht="15" hidden="false" customHeight="false" outlineLevel="0" collapsed="false">
      <c r="A2431" s="3" t="n">
        <v>2430</v>
      </c>
      <c r="B2431" s="3" t="n">
        <v>2429</v>
      </c>
      <c r="C2431" s="3" t="s">
        <v>118</v>
      </c>
      <c r="D2431" s="3" t="n">
        <v>8</v>
      </c>
      <c r="E2431" s="3" t="n">
        <v>5</v>
      </c>
      <c r="F2431" s="3" t="n">
        <v>2</v>
      </c>
      <c r="G2431" s="3" t="n">
        <v>2</v>
      </c>
      <c r="H2431" s="24" t="n">
        <v>0.114308551</v>
      </c>
    </row>
    <row r="2432" customFormat="false" ht="15" hidden="false" customHeight="false" outlineLevel="0" collapsed="false">
      <c r="A2432" s="3" t="n">
        <v>2431</v>
      </c>
      <c r="B2432" s="3" t="n">
        <v>2430</v>
      </c>
      <c r="C2432" s="3" t="s">
        <v>118</v>
      </c>
      <c r="D2432" s="3" t="n">
        <v>8</v>
      </c>
      <c r="E2432" s="3" t="n">
        <v>6</v>
      </c>
      <c r="F2432" s="3" t="n">
        <v>0</v>
      </c>
      <c r="G2432" s="3" t="n">
        <v>0</v>
      </c>
      <c r="H2432" s="24" t="n">
        <v>-0.417216003</v>
      </c>
    </row>
    <row r="2433" customFormat="false" ht="15" hidden="false" customHeight="false" outlineLevel="0" collapsed="false">
      <c r="A2433" s="3" t="n">
        <v>2432</v>
      </c>
      <c r="B2433" s="3" t="n">
        <v>2431</v>
      </c>
      <c r="C2433" s="3" t="s">
        <v>118</v>
      </c>
      <c r="D2433" s="3" t="n">
        <v>8</v>
      </c>
      <c r="E2433" s="3" t="n">
        <v>6</v>
      </c>
      <c r="F2433" s="3" t="n">
        <v>0</v>
      </c>
      <c r="G2433" s="3" t="n">
        <v>1</v>
      </c>
      <c r="H2433" s="24" t="n">
        <v>-0.0635485575</v>
      </c>
    </row>
    <row r="2434" customFormat="false" ht="15" hidden="false" customHeight="false" outlineLevel="0" collapsed="false">
      <c r="A2434" s="3" t="n">
        <v>2433</v>
      </c>
      <c r="B2434" s="3" t="n">
        <v>2432</v>
      </c>
      <c r="C2434" s="3" t="s">
        <v>118</v>
      </c>
      <c r="D2434" s="3" t="n">
        <v>8</v>
      </c>
      <c r="E2434" s="3" t="n">
        <v>6</v>
      </c>
      <c r="F2434" s="3" t="n">
        <v>0</v>
      </c>
      <c r="G2434" s="3" t="n">
        <v>2</v>
      </c>
      <c r="H2434" s="24" t="n">
        <v>0.127691343</v>
      </c>
    </row>
    <row r="2435" customFormat="false" ht="15" hidden="false" customHeight="false" outlineLevel="0" collapsed="false">
      <c r="A2435" s="3" t="n">
        <v>2434</v>
      </c>
      <c r="B2435" s="3" t="n">
        <v>2433</v>
      </c>
      <c r="C2435" s="3" t="s">
        <v>118</v>
      </c>
      <c r="D2435" s="3" t="n">
        <v>8</v>
      </c>
      <c r="E2435" s="3" t="n">
        <v>6</v>
      </c>
      <c r="F2435" s="3" t="n">
        <v>1</v>
      </c>
      <c r="G2435" s="3" t="n">
        <v>0</v>
      </c>
      <c r="H2435" s="24" t="n">
        <v>0.0915120393</v>
      </c>
    </row>
    <row r="2436" customFormat="false" ht="15" hidden="false" customHeight="false" outlineLevel="0" collapsed="false">
      <c r="A2436" s="3" t="n">
        <v>2435</v>
      </c>
      <c r="B2436" s="3" t="n">
        <v>2434</v>
      </c>
      <c r="C2436" s="3" t="s">
        <v>118</v>
      </c>
      <c r="D2436" s="3" t="n">
        <v>8</v>
      </c>
      <c r="E2436" s="3" t="n">
        <v>6</v>
      </c>
      <c r="F2436" s="3" t="n">
        <v>1</v>
      </c>
      <c r="G2436" s="3" t="n">
        <v>1</v>
      </c>
      <c r="H2436" s="24" t="n">
        <v>0.129527733</v>
      </c>
    </row>
    <row r="2437" customFormat="false" ht="15" hidden="false" customHeight="false" outlineLevel="0" collapsed="false">
      <c r="A2437" s="3" t="n">
        <v>2436</v>
      </c>
      <c r="B2437" s="3" t="n">
        <v>2435</v>
      </c>
      <c r="C2437" s="3" t="s">
        <v>118</v>
      </c>
      <c r="D2437" s="3" t="n">
        <v>8</v>
      </c>
      <c r="E2437" s="3" t="n">
        <v>6</v>
      </c>
      <c r="F2437" s="3" t="n">
        <v>1</v>
      </c>
      <c r="G2437" s="3" t="n">
        <v>2</v>
      </c>
      <c r="H2437" s="24" t="n">
        <v>-0.274731338</v>
      </c>
    </row>
    <row r="2438" customFormat="false" ht="15" hidden="false" customHeight="false" outlineLevel="0" collapsed="false">
      <c r="A2438" s="3" t="n">
        <v>2437</v>
      </c>
      <c r="B2438" s="3" t="n">
        <v>2436</v>
      </c>
      <c r="C2438" s="3" t="s">
        <v>118</v>
      </c>
      <c r="D2438" s="3" t="n">
        <v>8</v>
      </c>
      <c r="E2438" s="3" t="n">
        <v>6</v>
      </c>
      <c r="F2438" s="3" t="n">
        <v>2</v>
      </c>
      <c r="G2438" s="3" t="n">
        <v>0</v>
      </c>
      <c r="H2438" s="24" t="n">
        <v>-0.0098055359</v>
      </c>
    </row>
    <row r="2439" customFormat="false" ht="15" hidden="false" customHeight="false" outlineLevel="0" collapsed="false">
      <c r="A2439" s="3" t="n">
        <v>2438</v>
      </c>
      <c r="B2439" s="3" t="n">
        <v>2437</v>
      </c>
      <c r="C2439" s="3" t="s">
        <v>118</v>
      </c>
      <c r="D2439" s="3" t="n">
        <v>8</v>
      </c>
      <c r="E2439" s="3" t="n">
        <v>6</v>
      </c>
      <c r="F2439" s="3" t="n">
        <v>2</v>
      </c>
      <c r="G2439" s="3" t="n">
        <v>1</v>
      </c>
      <c r="H2439" s="24" t="n">
        <v>0.214214593</v>
      </c>
    </row>
    <row r="2440" customFormat="false" ht="15" hidden="false" customHeight="false" outlineLevel="0" collapsed="false">
      <c r="A2440" s="3" t="n">
        <v>2439</v>
      </c>
      <c r="B2440" s="3" t="n">
        <v>2438</v>
      </c>
      <c r="C2440" s="3" t="s">
        <v>118</v>
      </c>
      <c r="D2440" s="3" t="n">
        <v>8</v>
      </c>
      <c r="E2440" s="3" t="n">
        <v>6</v>
      </c>
      <c r="F2440" s="3" t="n">
        <v>2</v>
      </c>
      <c r="G2440" s="3" t="n">
        <v>2</v>
      </c>
      <c r="H2440" s="24" t="n">
        <v>0.179994598</v>
      </c>
    </row>
    <row r="2441" customFormat="false" ht="15" hidden="false" customHeight="false" outlineLevel="0" collapsed="false">
      <c r="A2441" s="3" t="n">
        <v>2440</v>
      </c>
      <c r="B2441" s="3" t="n">
        <v>2439</v>
      </c>
      <c r="C2441" s="3" t="s">
        <v>118</v>
      </c>
      <c r="D2441" s="3" t="n">
        <v>8</v>
      </c>
      <c r="E2441" s="3" t="n">
        <v>7</v>
      </c>
      <c r="F2441" s="3" t="n">
        <v>0</v>
      </c>
      <c r="G2441" s="3" t="n">
        <v>0</v>
      </c>
      <c r="H2441" s="24" t="n">
        <v>-0.00906539708</v>
      </c>
    </row>
    <row r="2442" customFormat="false" ht="15" hidden="false" customHeight="false" outlineLevel="0" collapsed="false">
      <c r="A2442" s="3" t="n">
        <v>2441</v>
      </c>
      <c r="B2442" s="3" t="n">
        <v>2440</v>
      </c>
      <c r="C2442" s="3" t="s">
        <v>118</v>
      </c>
      <c r="D2442" s="3" t="n">
        <v>8</v>
      </c>
      <c r="E2442" s="3" t="n">
        <v>7</v>
      </c>
      <c r="F2442" s="3" t="n">
        <v>0</v>
      </c>
      <c r="G2442" s="3" t="n">
        <v>1</v>
      </c>
      <c r="H2442" s="24" t="n">
        <v>-0.176073372</v>
      </c>
    </row>
    <row r="2443" customFormat="false" ht="15" hidden="false" customHeight="false" outlineLevel="0" collapsed="false">
      <c r="A2443" s="3" t="n">
        <v>2442</v>
      </c>
      <c r="B2443" s="3" t="n">
        <v>2441</v>
      </c>
      <c r="C2443" s="3" t="s">
        <v>118</v>
      </c>
      <c r="D2443" s="3" t="n">
        <v>8</v>
      </c>
      <c r="E2443" s="3" t="n">
        <v>7</v>
      </c>
      <c r="F2443" s="3" t="n">
        <v>0</v>
      </c>
      <c r="G2443" s="3" t="n">
        <v>2</v>
      </c>
      <c r="H2443" s="24" t="n">
        <v>-0.0643517449</v>
      </c>
    </row>
    <row r="2444" customFormat="false" ht="15" hidden="false" customHeight="false" outlineLevel="0" collapsed="false">
      <c r="A2444" s="3" t="n">
        <v>2443</v>
      </c>
      <c r="B2444" s="3" t="n">
        <v>2442</v>
      </c>
      <c r="C2444" s="3" t="s">
        <v>118</v>
      </c>
      <c r="D2444" s="3" t="n">
        <v>8</v>
      </c>
      <c r="E2444" s="3" t="n">
        <v>7</v>
      </c>
      <c r="F2444" s="3" t="n">
        <v>1</v>
      </c>
      <c r="G2444" s="3" t="n">
        <v>0</v>
      </c>
      <c r="H2444" s="24" t="n">
        <v>0.395076662</v>
      </c>
    </row>
    <row r="2445" customFormat="false" ht="15" hidden="false" customHeight="false" outlineLevel="0" collapsed="false">
      <c r="A2445" s="3" t="n">
        <v>2444</v>
      </c>
      <c r="B2445" s="3" t="n">
        <v>2443</v>
      </c>
      <c r="C2445" s="3" t="s">
        <v>118</v>
      </c>
      <c r="D2445" s="3" t="n">
        <v>8</v>
      </c>
      <c r="E2445" s="3" t="n">
        <v>7</v>
      </c>
      <c r="F2445" s="3" t="n">
        <v>1</v>
      </c>
      <c r="G2445" s="3" t="n">
        <v>1</v>
      </c>
      <c r="H2445" s="24" t="n">
        <v>0.271535188</v>
      </c>
    </row>
    <row r="2446" customFormat="false" ht="15" hidden="false" customHeight="false" outlineLevel="0" collapsed="false">
      <c r="A2446" s="3" t="n">
        <v>2445</v>
      </c>
      <c r="B2446" s="3" t="n">
        <v>2444</v>
      </c>
      <c r="C2446" s="3" t="s">
        <v>118</v>
      </c>
      <c r="D2446" s="3" t="n">
        <v>8</v>
      </c>
      <c r="E2446" s="3" t="n">
        <v>7</v>
      </c>
      <c r="F2446" s="3" t="n">
        <v>1</v>
      </c>
      <c r="G2446" s="3" t="n">
        <v>2</v>
      </c>
      <c r="H2446" s="24" t="n">
        <v>0.310348839</v>
      </c>
    </row>
    <row r="2447" customFormat="false" ht="15" hidden="false" customHeight="false" outlineLevel="0" collapsed="false">
      <c r="A2447" s="3" t="n">
        <v>2446</v>
      </c>
      <c r="B2447" s="3" t="n">
        <v>2445</v>
      </c>
      <c r="C2447" s="3" t="s">
        <v>118</v>
      </c>
      <c r="D2447" s="3" t="n">
        <v>8</v>
      </c>
      <c r="E2447" s="3" t="n">
        <v>7</v>
      </c>
      <c r="F2447" s="3" t="n">
        <v>2</v>
      </c>
      <c r="G2447" s="3" t="n">
        <v>0</v>
      </c>
      <c r="H2447" s="24" t="n">
        <v>-0.091801621</v>
      </c>
    </row>
    <row r="2448" customFormat="false" ht="15" hidden="false" customHeight="false" outlineLevel="0" collapsed="false">
      <c r="A2448" s="3" t="n">
        <v>2447</v>
      </c>
      <c r="B2448" s="3" t="n">
        <v>2446</v>
      </c>
      <c r="C2448" s="3" t="s">
        <v>118</v>
      </c>
      <c r="D2448" s="3" t="n">
        <v>8</v>
      </c>
      <c r="E2448" s="3" t="n">
        <v>7</v>
      </c>
      <c r="F2448" s="3" t="n">
        <v>2</v>
      </c>
      <c r="G2448" s="3" t="n">
        <v>1</v>
      </c>
      <c r="H2448" s="24" t="n">
        <v>0.0741123185</v>
      </c>
    </row>
    <row r="2449" customFormat="false" ht="15" hidden="false" customHeight="false" outlineLevel="0" collapsed="false">
      <c r="A2449" s="3" t="n">
        <v>2448</v>
      </c>
      <c r="B2449" s="3" t="n">
        <v>2447</v>
      </c>
      <c r="C2449" s="3" t="s">
        <v>118</v>
      </c>
      <c r="D2449" s="3" t="n">
        <v>8</v>
      </c>
      <c r="E2449" s="3" t="n">
        <v>7</v>
      </c>
      <c r="F2449" s="3" t="n">
        <v>2</v>
      </c>
      <c r="G2449" s="3" t="n">
        <v>2</v>
      </c>
      <c r="H2449" s="24" t="n">
        <v>-0.0262544714</v>
      </c>
    </row>
    <row r="2450" customFormat="false" ht="15" hidden="false" customHeight="false" outlineLevel="0" collapsed="false">
      <c r="A2450" s="3" t="n">
        <v>2449</v>
      </c>
      <c r="B2450" s="3" t="n">
        <v>2448</v>
      </c>
      <c r="C2450" s="3" t="s">
        <v>118</v>
      </c>
      <c r="D2450" s="3" t="n">
        <v>8</v>
      </c>
      <c r="E2450" s="3" t="n">
        <v>8</v>
      </c>
      <c r="F2450" s="3" t="n">
        <v>0</v>
      </c>
      <c r="G2450" s="3" t="n">
        <v>0</v>
      </c>
      <c r="H2450" s="24" t="n">
        <v>-0.0471563227</v>
      </c>
    </row>
    <row r="2451" customFormat="false" ht="15" hidden="false" customHeight="false" outlineLevel="0" collapsed="false">
      <c r="A2451" s="3" t="n">
        <v>2450</v>
      </c>
      <c r="B2451" s="3" t="n">
        <v>2449</v>
      </c>
      <c r="C2451" s="3" t="s">
        <v>118</v>
      </c>
      <c r="D2451" s="3" t="n">
        <v>8</v>
      </c>
      <c r="E2451" s="3" t="n">
        <v>8</v>
      </c>
      <c r="F2451" s="3" t="n">
        <v>0</v>
      </c>
      <c r="G2451" s="3" t="n">
        <v>1</v>
      </c>
      <c r="H2451" s="24" t="n">
        <v>0.0817730352</v>
      </c>
    </row>
    <row r="2452" customFormat="false" ht="15" hidden="false" customHeight="false" outlineLevel="0" collapsed="false">
      <c r="A2452" s="3" t="n">
        <v>2451</v>
      </c>
      <c r="B2452" s="3" t="n">
        <v>2450</v>
      </c>
      <c r="C2452" s="3" t="s">
        <v>118</v>
      </c>
      <c r="D2452" s="3" t="n">
        <v>8</v>
      </c>
      <c r="E2452" s="3" t="n">
        <v>8</v>
      </c>
      <c r="F2452" s="3" t="n">
        <v>0</v>
      </c>
      <c r="G2452" s="3" t="n">
        <v>2</v>
      </c>
      <c r="H2452" s="24" t="n">
        <v>0.0399734341</v>
      </c>
    </row>
    <row r="2453" customFormat="false" ht="15" hidden="false" customHeight="false" outlineLevel="0" collapsed="false">
      <c r="A2453" s="3" t="n">
        <v>2452</v>
      </c>
      <c r="B2453" s="3" t="n">
        <v>2451</v>
      </c>
      <c r="C2453" s="3" t="s">
        <v>118</v>
      </c>
      <c r="D2453" s="3" t="n">
        <v>8</v>
      </c>
      <c r="E2453" s="3" t="n">
        <v>8</v>
      </c>
      <c r="F2453" s="3" t="n">
        <v>1</v>
      </c>
      <c r="G2453" s="3" t="n">
        <v>0</v>
      </c>
      <c r="H2453" s="24" t="n">
        <v>-0.253597885</v>
      </c>
    </row>
    <row r="2454" customFormat="false" ht="15" hidden="false" customHeight="false" outlineLevel="0" collapsed="false">
      <c r="A2454" s="3" t="n">
        <v>2453</v>
      </c>
      <c r="B2454" s="3" t="n">
        <v>2452</v>
      </c>
      <c r="C2454" s="3" t="s">
        <v>118</v>
      </c>
      <c r="D2454" s="3" t="n">
        <v>8</v>
      </c>
      <c r="E2454" s="3" t="n">
        <v>8</v>
      </c>
      <c r="F2454" s="3" t="n">
        <v>1</v>
      </c>
      <c r="G2454" s="3" t="n">
        <v>1</v>
      </c>
      <c r="H2454" s="24" t="n">
        <v>-0.123121098</v>
      </c>
    </row>
    <row r="2455" customFormat="false" ht="15" hidden="false" customHeight="false" outlineLevel="0" collapsed="false">
      <c r="A2455" s="3" t="n">
        <v>2454</v>
      </c>
      <c r="B2455" s="3" t="n">
        <v>2453</v>
      </c>
      <c r="C2455" s="3" t="s">
        <v>118</v>
      </c>
      <c r="D2455" s="3" t="n">
        <v>8</v>
      </c>
      <c r="E2455" s="3" t="n">
        <v>8</v>
      </c>
      <c r="F2455" s="3" t="n">
        <v>1</v>
      </c>
      <c r="G2455" s="3" t="n">
        <v>2</v>
      </c>
      <c r="H2455" s="24" t="n">
        <v>0.0199713167</v>
      </c>
    </row>
    <row r="2456" customFormat="false" ht="15" hidden="false" customHeight="false" outlineLevel="0" collapsed="false">
      <c r="A2456" s="3" t="n">
        <v>2455</v>
      </c>
      <c r="B2456" s="3" t="n">
        <v>2454</v>
      </c>
      <c r="C2456" s="3" t="s">
        <v>118</v>
      </c>
      <c r="D2456" s="3" t="n">
        <v>8</v>
      </c>
      <c r="E2456" s="3" t="n">
        <v>8</v>
      </c>
      <c r="F2456" s="3" t="n">
        <v>2</v>
      </c>
      <c r="G2456" s="3" t="n">
        <v>0</v>
      </c>
      <c r="H2456" s="24" t="n">
        <v>0.0699781626</v>
      </c>
    </row>
    <row r="2457" customFormat="false" ht="15" hidden="false" customHeight="false" outlineLevel="0" collapsed="false">
      <c r="A2457" s="3" t="n">
        <v>2456</v>
      </c>
      <c r="B2457" s="3" t="n">
        <v>2455</v>
      </c>
      <c r="C2457" s="3" t="s">
        <v>118</v>
      </c>
      <c r="D2457" s="3" t="n">
        <v>8</v>
      </c>
      <c r="E2457" s="3" t="n">
        <v>8</v>
      </c>
      <c r="F2457" s="3" t="n">
        <v>2</v>
      </c>
      <c r="G2457" s="3" t="n">
        <v>1</v>
      </c>
      <c r="H2457" s="24" t="n">
        <v>-0.131270871</v>
      </c>
    </row>
    <row r="2458" customFormat="false" ht="15" hidden="false" customHeight="false" outlineLevel="0" collapsed="false">
      <c r="A2458" s="3" t="n">
        <v>2457</v>
      </c>
      <c r="B2458" s="3" t="n">
        <v>2456</v>
      </c>
      <c r="C2458" s="3" t="s">
        <v>118</v>
      </c>
      <c r="D2458" s="3" t="n">
        <v>8</v>
      </c>
      <c r="E2458" s="3" t="n">
        <v>8</v>
      </c>
      <c r="F2458" s="3" t="n">
        <v>2</v>
      </c>
      <c r="G2458" s="3" t="n">
        <v>2</v>
      </c>
      <c r="H2458" s="24" t="n">
        <v>-0.0354291499</v>
      </c>
    </row>
    <row r="2459" customFormat="false" ht="15" hidden="false" customHeight="false" outlineLevel="0" collapsed="false">
      <c r="A2459" s="3" t="n">
        <v>2458</v>
      </c>
      <c r="B2459" s="3" t="n">
        <v>2457</v>
      </c>
      <c r="C2459" s="3" t="s">
        <v>118</v>
      </c>
      <c r="D2459" s="3" t="n">
        <v>8</v>
      </c>
      <c r="E2459" s="3" t="n">
        <v>9</v>
      </c>
      <c r="F2459" s="3" t="n">
        <v>0</v>
      </c>
      <c r="G2459" s="3" t="n">
        <v>0</v>
      </c>
      <c r="H2459" s="24" t="n">
        <v>-0.223394275</v>
      </c>
    </row>
    <row r="2460" customFormat="false" ht="15" hidden="false" customHeight="false" outlineLevel="0" collapsed="false">
      <c r="A2460" s="3" t="n">
        <v>2459</v>
      </c>
      <c r="B2460" s="3" t="n">
        <v>2458</v>
      </c>
      <c r="C2460" s="3" t="s">
        <v>118</v>
      </c>
      <c r="D2460" s="3" t="n">
        <v>8</v>
      </c>
      <c r="E2460" s="3" t="n">
        <v>9</v>
      </c>
      <c r="F2460" s="3" t="n">
        <v>0</v>
      </c>
      <c r="G2460" s="3" t="n">
        <v>1</v>
      </c>
      <c r="H2460" s="24" t="n">
        <v>-0.0293360092</v>
      </c>
    </row>
    <row r="2461" customFormat="false" ht="15" hidden="false" customHeight="false" outlineLevel="0" collapsed="false">
      <c r="A2461" s="3" t="n">
        <v>2460</v>
      </c>
      <c r="B2461" s="3" t="n">
        <v>2459</v>
      </c>
      <c r="C2461" s="3" t="s">
        <v>118</v>
      </c>
      <c r="D2461" s="3" t="n">
        <v>8</v>
      </c>
      <c r="E2461" s="3" t="n">
        <v>9</v>
      </c>
      <c r="F2461" s="3" t="n">
        <v>0</v>
      </c>
      <c r="G2461" s="3" t="n">
        <v>2</v>
      </c>
      <c r="H2461" s="24" t="n">
        <v>0.276428312</v>
      </c>
    </row>
    <row r="2462" customFormat="false" ht="15" hidden="false" customHeight="false" outlineLevel="0" collapsed="false">
      <c r="A2462" s="3" t="n">
        <v>2461</v>
      </c>
      <c r="B2462" s="3" t="n">
        <v>2460</v>
      </c>
      <c r="C2462" s="3" t="s">
        <v>118</v>
      </c>
      <c r="D2462" s="3" t="n">
        <v>8</v>
      </c>
      <c r="E2462" s="3" t="n">
        <v>9</v>
      </c>
      <c r="F2462" s="3" t="n">
        <v>1</v>
      </c>
      <c r="G2462" s="3" t="n">
        <v>0</v>
      </c>
      <c r="H2462" s="24" t="n">
        <v>-0.531619072</v>
      </c>
    </row>
    <row r="2463" customFormat="false" ht="15" hidden="false" customHeight="false" outlineLevel="0" collapsed="false">
      <c r="A2463" s="3" t="n">
        <v>2462</v>
      </c>
      <c r="B2463" s="3" t="n">
        <v>2461</v>
      </c>
      <c r="C2463" s="3" t="s">
        <v>118</v>
      </c>
      <c r="D2463" s="3" t="n">
        <v>8</v>
      </c>
      <c r="E2463" s="3" t="n">
        <v>9</v>
      </c>
      <c r="F2463" s="3" t="n">
        <v>1</v>
      </c>
      <c r="G2463" s="3" t="n">
        <v>1</v>
      </c>
      <c r="H2463" s="24" t="n">
        <v>-0.162368476</v>
      </c>
    </row>
    <row r="2464" customFormat="false" ht="15" hidden="false" customHeight="false" outlineLevel="0" collapsed="false">
      <c r="A2464" s="3" t="n">
        <v>2463</v>
      </c>
      <c r="B2464" s="3" t="n">
        <v>2462</v>
      </c>
      <c r="C2464" s="3" t="s">
        <v>118</v>
      </c>
      <c r="D2464" s="3" t="n">
        <v>8</v>
      </c>
      <c r="E2464" s="3" t="n">
        <v>9</v>
      </c>
      <c r="F2464" s="3" t="n">
        <v>1</v>
      </c>
      <c r="G2464" s="3" t="n">
        <v>2</v>
      </c>
      <c r="H2464" s="24" t="n">
        <v>-0.116994523</v>
      </c>
    </row>
    <row r="2465" customFormat="false" ht="15" hidden="false" customHeight="false" outlineLevel="0" collapsed="false">
      <c r="A2465" s="3" t="n">
        <v>2464</v>
      </c>
      <c r="B2465" s="3" t="n">
        <v>2463</v>
      </c>
      <c r="C2465" s="3" t="s">
        <v>118</v>
      </c>
      <c r="D2465" s="3" t="n">
        <v>8</v>
      </c>
      <c r="E2465" s="3" t="n">
        <v>9</v>
      </c>
      <c r="F2465" s="3" t="n">
        <v>2</v>
      </c>
      <c r="G2465" s="3" t="n">
        <v>0</v>
      </c>
      <c r="H2465" s="24" t="n">
        <v>-0.174013317</v>
      </c>
    </row>
    <row r="2466" customFormat="false" ht="15" hidden="false" customHeight="false" outlineLevel="0" collapsed="false">
      <c r="A2466" s="3" t="n">
        <v>2465</v>
      </c>
      <c r="B2466" s="3" t="n">
        <v>2464</v>
      </c>
      <c r="C2466" s="3" t="s">
        <v>118</v>
      </c>
      <c r="D2466" s="3" t="n">
        <v>8</v>
      </c>
      <c r="E2466" s="3" t="n">
        <v>9</v>
      </c>
      <c r="F2466" s="3" t="n">
        <v>2</v>
      </c>
      <c r="G2466" s="3" t="n">
        <v>1</v>
      </c>
      <c r="H2466" s="24" t="n">
        <v>0.0876382664</v>
      </c>
    </row>
    <row r="2467" customFormat="false" ht="15" hidden="false" customHeight="false" outlineLevel="0" collapsed="false">
      <c r="A2467" s="3" t="n">
        <v>2466</v>
      </c>
      <c r="B2467" s="3" t="n">
        <v>2465</v>
      </c>
      <c r="C2467" s="3" t="s">
        <v>118</v>
      </c>
      <c r="D2467" s="3" t="n">
        <v>8</v>
      </c>
      <c r="E2467" s="3" t="n">
        <v>9</v>
      </c>
      <c r="F2467" s="3" t="n">
        <v>2</v>
      </c>
      <c r="G2467" s="3" t="n">
        <v>2</v>
      </c>
      <c r="H2467" s="24" t="n">
        <v>0.237248167</v>
      </c>
    </row>
    <row r="2468" customFormat="false" ht="15" hidden="false" customHeight="false" outlineLevel="0" collapsed="false">
      <c r="A2468" s="3" t="n">
        <v>2467</v>
      </c>
      <c r="B2468" s="3" t="n">
        <v>2466</v>
      </c>
      <c r="C2468" s="3" t="s">
        <v>118</v>
      </c>
      <c r="D2468" s="3" t="n">
        <v>8</v>
      </c>
      <c r="E2468" s="3" t="n">
        <v>10</v>
      </c>
      <c r="F2468" s="3" t="n">
        <v>0</v>
      </c>
      <c r="G2468" s="3" t="n">
        <v>0</v>
      </c>
      <c r="H2468" s="24" t="n">
        <v>0.00572636398</v>
      </c>
    </row>
    <row r="2469" customFormat="false" ht="15" hidden="false" customHeight="false" outlineLevel="0" collapsed="false">
      <c r="A2469" s="3" t="n">
        <v>2468</v>
      </c>
      <c r="B2469" s="3" t="n">
        <v>2467</v>
      </c>
      <c r="C2469" s="3" t="s">
        <v>118</v>
      </c>
      <c r="D2469" s="3" t="n">
        <v>8</v>
      </c>
      <c r="E2469" s="3" t="n">
        <v>10</v>
      </c>
      <c r="F2469" s="3" t="n">
        <v>0</v>
      </c>
      <c r="G2469" s="3" t="n">
        <v>1</v>
      </c>
      <c r="H2469" s="24" t="n">
        <v>-0.00895895902</v>
      </c>
    </row>
    <row r="2470" customFormat="false" ht="15" hidden="false" customHeight="false" outlineLevel="0" collapsed="false">
      <c r="A2470" s="3" t="n">
        <v>2469</v>
      </c>
      <c r="B2470" s="3" t="n">
        <v>2468</v>
      </c>
      <c r="C2470" s="3" t="s">
        <v>118</v>
      </c>
      <c r="D2470" s="3" t="n">
        <v>8</v>
      </c>
      <c r="E2470" s="3" t="n">
        <v>10</v>
      </c>
      <c r="F2470" s="3" t="n">
        <v>0</v>
      </c>
      <c r="G2470" s="3" t="n">
        <v>2</v>
      </c>
      <c r="H2470" s="24" t="n">
        <v>0.0856271312</v>
      </c>
    </row>
    <row r="2471" customFormat="false" ht="15" hidden="false" customHeight="false" outlineLevel="0" collapsed="false">
      <c r="A2471" s="3" t="n">
        <v>2470</v>
      </c>
      <c r="B2471" s="3" t="n">
        <v>2469</v>
      </c>
      <c r="C2471" s="3" t="s">
        <v>118</v>
      </c>
      <c r="D2471" s="3" t="n">
        <v>8</v>
      </c>
      <c r="E2471" s="3" t="n">
        <v>10</v>
      </c>
      <c r="F2471" s="3" t="n">
        <v>1</v>
      </c>
      <c r="G2471" s="3" t="n">
        <v>0</v>
      </c>
      <c r="H2471" s="24" t="n">
        <v>-0.30619067</v>
      </c>
    </row>
    <row r="2472" customFormat="false" ht="15" hidden="false" customHeight="false" outlineLevel="0" collapsed="false">
      <c r="A2472" s="3" t="n">
        <v>2471</v>
      </c>
      <c r="B2472" s="3" t="n">
        <v>2470</v>
      </c>
      <c r="C2472" s="3" t="s">
        <v>118</v>
      </c>
      <c r="D2472" s="3" t="n">
        <v>8</v>
      </c>
      <c r="E2472" s="3" t="n">
        <v>10</v>
      </c>
      <c r="F2472" s="3" t="n">
        <v>1</v>
      </c>
      <c r="G2472" s="3" t="n">
        <v>1</v>
      </c>
      <c r="H2472" s="24" t="n">
        <v>-0.0220010616</v>
      </c>
    </row>
    <row r="2473" customFormat="false" ht="15" hidden="false" customHeight="false" outlineLevel="0" collapsed="false">
      <c r="A2473" s="3" t="n">
        <v>2472</v>
      </c>
      <c r="B2473" s="3" t="n">
        <v>2471</v>
      </c>
      <c r="C2473" s="3" t="s">
        <v>118</v>
      </c>
      <c r="D2473" s="3" t="n">
        <v>8</v>
      </c>
      <c r="E2473" s="3" t="n">
        <v>10</v>
      </c>
      <c r="F2473" s="3" t="n">
        <v>1</v>
      </c>
      <c r="G2473" s="3" t="n">
        <v>2</v>
      </c>
      <c r="H2473" s="24" t="n">
        <v>-0.0467769206</v>
      </c>
    </row>
    <row r="2474" customFormat="false" ht="15" hidden="false" customHeight="false" outlineLevel="0" collapsed="false">
      <c r="A2474" s="3" t="n">
        <v>2473</v>
      </c>
      <c r="B2474" s="3" t="n">
        <v>2472</v>
      </c>
      <c r="C2474" s="3" t="s">
        <v>118</v>
      </c>
      <c r="D2474" s="3" t="n">
        <v>8</v>
      </c>
      <c r="E2474" s="3" t="n">
        <v>10</v>
      </c>
      <c r="F2474" s="3" t="n">
        <v>2</v>
      </c>
      <c r="G2474" s="3" t="n">
        <v>0</v>
      </c>
      <c r="H2474" s="24" t="n">
        <v>-0.0548298024</v>
      </c>
    </row>
    <row r="2475" customFormat="false" ht="15" hidden="false" customHeight="false" outlineLevel="0" collapsed="false">
      <c r="A2475" s="3" t="n">
        <v>2474</v>
      </c>
      <c r="B2475" s="3" t="n">
        <v>2473</v>
      </c>
      <c r="C2475" s="3" t="s">
        <v>118</v>
      </c>
      <c r="D2475" s="3" t="n">
        <v>8</v>
      </c>
      <c r="E2475" s="3" t="n">
        <v>10</v>
      </c>
      <c r="F2475" s="3" t="n">
        <v>2</v>
      </c>
      <c r="G2475" s="3" t="n">
        <v>1</v>
      </c>
      <c r="H2475" s="24" t="n">
        <v>0.00784480385</v>
      </c>
    </row>
    <row r="2476" customFormat="false" ht="15" hidden="false" customHeight="false" outlineLevel="0" collapsed="false">
      <c r="A2476" s="3" t="n">
        <v>2475</v>
      </c>
      <c r="B2476" s="3" t="n">
        <v>2474</v>
      </c>
      <c r="C2476" s="3" t="s">
        <v>118</v>
      </c>
      <c r="D2476" s="3" t="n">
        <v>8</v>
      </c>
      <c r="E2476" s="3" t="n">
        <v>10</v>
      </c>
      <c r="F2476" s="3" t="n">
        <v>2</v>
      </c>
      <c r="G2476" s="3" t="n">
        <v>2</v>
      </c>
      <c r="H2476" s="24" t="n">
        <v>0.192280665</v>
      </c>
    </row>
    <row r="2477" customFormat="false" ht="15" hidden="false" customHeight="false" outlineLevel="0" collapsed="false">
      <c r="A2477" s="3" t="n">
        <v>2476</v>
      </c>
      <c r="B2477" s="3" t="n">
        <v>2475</v>
      </c>
      <c r="C2477" s="3" t="s">
        <v>118</v>
      </c>
      <c r="D2477" s="3" t="n">
        <v>8</v>
      </c>
      <c r="E2477" s="3" t="n">
        <v>11</v>
      </c>
      <c r="F2477" s="3" t="n">
        <v>0</v>
      </c>
      <c r="G2477" s="3" t="n">
        <v>0</v>
      </c>
      <c r="H2477" s="24" t="n">
        <v>-0.0936604589</v>
      </c>
    </row>
    <row r="2478" customFormat="false" ht="15" hidden="false" customHeight="false" outlineLevel="0" collapsed="false">
      <c r="A2478" s="3" t="n">
        <v>2477</v>
      </c>
      <c r="B2478" s="3" t="n">
        <v>2476</v>
      </c>
      <c r="C2478" s="3" t="s">
        <v>118</v>
      </c>
      <c r="D2478" s="3" t="n">
        <v>8</v>
      </c>
      <c r="E2478" s="3" t="n">
        <v>11</v>
      </c>
      <c r="F2478" s="3" t="n">
        <v>0</v>
      </c>
      <c r="G2478" s="3" t="n">
        <v>1</v>
      </c>
      <c r="H2478" s="24" t="n">
        <v>0.053493347</v>
      </c>
    </row>
    <row r="2479" customFormat="false" ht="15" hidden="false" customHeight="false" outlineLevel="0" collapsed="false">
      <c r="A2479" s="3" t="n">
        <v>2478</v>
      </c>
      <c r="B2479" s="3" t="n">
        <v>2477</v>
      </c>
      <c r="C2479" s="3" t="s">
        <v>118</v>
      </c>
      <c r="D2479" s="3" t="n">
        <v>8</v>
      </c>
      <c r="E2479" s="3" t="n">
        <v>11</v>
      </c>
      <c r="F2479" s="3" t="n">
        <v>0</v>
      </c>
      <c r="G2479" s="3" t="n">
        <v>2</v>
      </c>
      <c r="H2479" s="24" t="n">
        <v>0.232797086</v>
      </c>
    </row>
    <row r="2480" customFormat="false" ht="15" hidden="false" customHeight="false" outlineLevel="0" collapsed="false">
      <c r="A2480" s="3" t="n">
        <v>2479</v>
      </c>
      <c r="B2480" s="3" t="n">
        <v>2478</v>
      </c>
      <c r="C2480" s="3" t="s">
        <v>118</v>
      </c>
      <c r="D2480" s="3" t="n">
        <v>8</v>
      </c>
      <c r="E2480" s="3" t="n">
        <v>11</v>
      </c>
      <c r="F2480" s="3" t="n">
        <v>1</v>
      </c>
      <c r="G2480" s="3" t="n">
        <v>0</v>
      </c>
      <c r="H2480" s="24" t="n">
        <v>-0.324982375</v>
      </c>
    </row>
    <row r="2481" customFormat="false" ht="15" hidden="false" customHeight="false" outlineLevel="0" collapsed="false">
      <c r="A2481" s="3" t="n">
        <v>2480</v>
      </c>
      <c r="B2481" s="3" t="n">
        <v>2479</v>
      </c>
      <c r="C2481" s="3" t="s">
        <v>118</v>
      </c>
      <c r="D2481" s="3" t="n">
        <v>8</v>
      </c>
      <c r="E2481" s="3" t="n">
        <v>11</v>
      </c>
      <c r="F2481" s="3" t="n">
        <v>1</v>
      </c>
      <c r="G2481" s="3" t="n">
        <v>1</v>
      </c>
      <c r="H2481" s="24" t="n">
        <v>-0.00394839747</v>
      </c>
    </row>
    <row r="2482" customFormat="false" ht="15" hidden="false" customHeight="false" outlineLevel="0" collapsed="false">
      <c r="A2482" s="3" t="n">
        <v>2481</v>
      </c>
      <c r="B2482" s="3" t="n">
        <v>2480</v>
      </c>
      <c r="C2482" s="3" t="s">
        <v>118</v>
      </c>
      <c r="D2482" s="3" t="n">
        <v>8</v>
      </c>
      <c r="E2482" s="3" t="n">
        <v>11</v>
      </c>
      <c r="F2482" s="3" t="n">
        <v>1</v>
      </c>
      <c r="G2482" s="3" t="n">
        <v>2</v>
      </c>
      <c r="H2482" s="24" t="n">
        <v>-0.261614412</v>
      </c>
    </row>
    <row r="2483" customFormat="false" ht="15" hidden="false" customHeight="false" outlineLevel="0" collapsed="false">
      <c r="A2483" s="3" t="n">
        <v>2482</v>
      </c>
      <c r="B2483" s="3" t="n">
        <v>2481</v>
      </c>
      <c r="C2483" s="3" t="s">
        <v>118</v>
      </c>
      <c r="D2483" s="3" t="n">
        <v>8</v>
      </c>
      <c r="E2483" s="3" t="n">
        <v>11</v>
      </c>
      <c r="F2483" s="3" t="n">
        <v>2</v>
      </c>
      <c r="G2483" s="3" t="n">
        <v>0</v>
      </c>
      <c r="H2483" s="24" t="n">
        <v>-0.0454104319</v>
      </c>
    </row>
    <row r="2484" customFormat="false" ht="15" hidden="false" customHeight="false" outlineLevel="0" collapsed="false">
      <c r="A2484" s="3" t="n">
        <v>2483</v>
      </c>
      <c r="B2484" s="3" t="n">
        <v>2482</v>
      </c>
      <c r="C2484" s="3" t="s">
        <v>118</v>
      </c>
      <c r="D2484" s="3" t="n">
        <v>8</v>
      </c>
      <c r="E2484" s="3" t="n">
        <v>11</v>
      </c>
      <c r="F2484" s="3" t="n">
        <v>2</v>
      </c>
      <c r="G2484" s="3" t="n">
        <v>1</v>
      </c>
      <c r="H2484" s="24" t="n">
        <v>0.049625203</v>
      </c>
    </row>
    <row r="2485" customFormat="false" ht="15" hidden="false" customHeight="false" outlineLevel="0" collapsed="false">
      <c r="A2485" s="3" t="n">
        <v>2484</v>
      </c>
      <c r="B2485" s="3" t="n">
        <v>2483</v>
      </c>
      <c r="C2485" s="3" t="s">
        <v>118</v>
      </c>
      <c r="D2485" s="3" t="n">
        <v>8</v>
      </c>
      <c r="E2485" s="3" t="n">
        <v>11</v>
      </c>
      <c r="F2485" s="3" t="n">
        <v>2</v>
      </c>
      <c r="G2485" s="3" t="n">
        <v>2</v>
      </c>
      <c r="H2485" s="24" t="n">
        <v>0.10207615</v>
      </c>
    </row>
    <row r="2486" customFormat="false" ht="15" hidden="false" customHeight="false" outlineLevel="0" collapsed="false">
      <c r="A2486" s="3" t="n">
        <v>2485</v>
      </c>
      <c r="B2486" s="3" t="n">
        <v>2484</v>
      </c>
      <c r="C2486" s="3" t="s">
        <v>118</v>
      </c>
      <c r="D2486" s="3" t="n">
        <v>8</v>
      </c>
      <c r="E2486" s="3" t="n">
        <v>12</v>
      </c>
      <c r="F2486" s="3" t="n">
        <v>0</v>
      </c>
      <c r="G2486" s="3" t="n">
        <v>0</v>
      </c>
      <c r="H2486" s="24" t="n">
        <v>-0.175544932</v>
      </c>
    </row>
    <row r="2487" customFormat="false" ht="15" hidden="false" customHeight="false" outlineLevel="0" collapsed="false">
      <c r="A2487" s="3" t="n">
        <v>2486</v>
      </c>
      <c r="B2487" s="3" t="n">
        <v>2485</v>
      </c>
      <c r="C2487" s="3" t="s">
        <v>118</v>
      </c>
      <c r="D2487" s="3" t="n">
        <v>8</v>
      </c>
      <c r="E2487" s="3" t="n">
        <v>12</v>
      </c>
      <c r="F2487" s="3" t="n">
        <v>0</v>
      </c>
      <c r="G2487" s="3" t="n">
        <v>1</v>
      </c>
      <c r="H2487" s="24" t="n">
        <v>0.103826776</v>
      </c>
    </row>
    <row r="2488" customFormat="false" ht="15" hidden="false" customHeight="false" outlineLevel="0" collapsed="false">
      <c r="A2488" s="3" t="n">
        <v>2487</v>
      </c>
      <c r="B2488" s="3" t="n">
        <v>2486</v>
      </c>
      <c r="C2488" s="3" t="s">
        <v>118</v>
      </c>
      <c r="D2488" s="3" t="n">
        <v>8</v>
      </c>
      <c r="E2488" s="3" t="n">
        <v>12</v>
      </c>
      <c r="F2488" s="3" t="n">
        <v>0</v>
      </c>
      <c r="G2488" s="3" t="n">
        <v>2</v>
      </c>
      <c r="H2488" s="24" t="n">
        <v>0.0577379838</v>
      </c>
    </row>
    <row r="2489" customFormat="false" ht="15" hidden="false" customHeight="false" outlineLevel="0" collapsed="false">
      <c r="A2489" s="3" t="n">
        <v>2488</v>
      </c>
      <c r="B2489" s="3" t="n">
        <v>2487</v>
      </c>
      <c r="C2489" s="3" t="s">
        <v>118</v>
      </c>
      <c r="D2489" s="3" t="n">
        <v>8</v>
      </c>
      <c r="E2489" s="3" t="n">
        <v>12</v>
      </c>
      <c r="F2489" s="3" t="n">
        <v>1</v>
      </c>
      <c r="G2489" s="3" t="n">
        <v>0</v>
      </c>
      <c r="H2489" s="24" t="n">
        <v>0.0268835481</v>
      </c>
    </row>
    <row r="2490" customFormat="false" ht="15" hidden="false" customHeight="false" outlineLevel="0" collapsed="false">
      <c r="A2490" s="3" t="n">
        <v>2489</v>
      </c>
      <c r="B2490" s="3" t="n">
        <v>2488</v>
      </c>
      <c r="C2490" s="3" t="s">
        <v>118</v>
      </c>
      <c r="D2490" s="3" t="n">
        <v>8</v>
      </c>
      <c r="E2490" s="3" t="n">
        <v>12</v>
      </c>
      <c r="F2490" s="3" t="n">
        <v>1</v>
      </c>
      <c r="G2490" s="3" t="n">
        <v>1</v>
      </c>
      <c r="H2490" s="24" t="n">
        <v>-0.0395361371</v>
      </c>
    </row>
    <row r="2491" customFormat="false" ht="15" hidden="false" customHeight="false" outlineLevel="0" collapsed="false">
      <c r="A2491" s="3" t="n">
        <v>2490</v>
      </c>
      <c r="B2491" s="3" t="n">
        <v>2489</v>
      </c>
      <c r="C2491" s="3" t="s">
        <v>118</v>
      </c>
      <c r="D2491" s="3" t="n">
        <v>8</v>
      </c>
      <c r="E2491" s="3" t="n">
        <v>12</v>
      </c>
      <c r="F2491" s="3" t="n">
        <v>1</v>
      </c>
      <c r="G2491" s="3" t="n">
        <v>2</v>
      </c>
      <c r="H2491" s="24" t="n">
        <v>-0.397769213</v>
      </c>
    </row>
    <row r="2492" customFormat="false" ht="15" hidden="false" customHeight="false" outlineLevel="0" collapsed="false">
      <c r="A2492" s="3" t="n">
        <v>2491</v>
      </c>
      <c r="B2492" s="3" t="n">
        <v>2490</v>
      </c>
      <c r="C2492" s="3" t="s">
        <v>118</v>
      </c>
      <c r="D2492" s="3" t="n">
        <v>8</v>
      </c>
      <c r="E2492" s="3" t="n">
        <v>12</v>
      </c>
      <c r="F2492" s="3" t="n">
        <v>2</v>
      </c>
      <c r="G2492" s="3" t="n">
        <v>0</v>
      </c>
      <c r="H2492" s="24" t="n">
        <v>0.212437764</v>
      </c>
    </row>
    <row r="2493" customFormat="false" ht="15" hidden="false" customHeight="false" outlineLevel="0" collapsed="false">
      <c r="A2493" s="3" t="n">
        <v>2492</v>
      </c>
      <c r="B2493" s="3" t="n">
        <v>2491</v>
      </c>
      <c r="C2493" s="3" t="s">
        <v>118</v>
      </c>
      <c r="D2493" s="3" t="n">
        <v>8</v>
      </c>
      <c r="E2493" s="3" t="n">
        <v>12</v>
      </c>
      <c r="F2493" s="3" t="n">
        <v>2</v>
      </c>
      <c r="G2493" s="3" t="n">
        <v>1</v>
      </c>
      <c r="H2493" s="24" t="n">
        <v>0.217202187</v>
      </c>
    </row>
    <row r="2494" customFormat="false" ht="15" hidden="false" customHeight="false" outlineLevel="0" collapsed="false">
      <c r="A2494" s="3" t="n">
        <v>2493</v>
      </c>
      <c r="B2494" s="3" t="n">
        <v>2492</v>
      </c>
      <c r="C2494" s="3" t="s">
        <v>118</v>
      </c>
      <c r="D2494" s="3" t="n">
        <v>8</v>
      </c>
      <c r="E2494" s="3" t="n">
        <v>12</v>
      </c>
      <c r="F2494" s="3" t="n">
        <v>2</v>
      </c>
      <c r="G2494" s="3" t="n">
        <v>2</v>
      </c>
      <c r="H2494" s="24" t="n">
        <v>-0.0951933563</v>
      </c>
    </row>
    <row r="2495" customFormat="false" ht="15" hidden="false" customHeight="false" outlineLevel="0" collapsed="false">
      <c r="A2495" s="3" t="n">
        <v>2494</v>
      </c>
      <c r="B2495" s="3" t="n">
        <v>2493</v>
      </c>
      <c r="C2495" s="3" t="s">
        <v>118</v>
      </c>
      <c r="D2495" s="3" t="n">
        <v>8</v>
      </c>
      <c r="E2495" s="3" t="n">
        <v>13</v>
      </c>
      <c r="F2495" s="3" t="n">
        <v>0</v>
      </c>
      <c r="G2495" s="3" t="n">
        <v>0</v>
      </c>
      <c r="H2495" s="24" t="n">
        <v>0.0302287042</v>
      </c>
    </row>
    <row r="2496" customFormat="false" ht="15" hidden="false" customHeight="false" outlineLevel="0" collapsed="false">
      <c r="A2496" s="3" t="n">
        <v>2495</v>
      </c>
      <c r="B2496" s="3" t="n">
        <v>2494</v>
      </c>
      <c r="C2496" s="3" t="s">
        <v>118</v>
      </c>
      <c r="D2496" s="3" t="n">
        <v>8</v>
      </c>
      <c r="E2496" s="3" t="n">
        <v>13</v>
      </c>
      <c r="F2496" s="3" t="n">
        <v>0</v>
      </c>
      <c r="G2496" s="3" t="n">
        <v>1</v>
      </c>
      <c r="H2496" s="24" t="n">
        <v>0.290308774</v>
      </c>
    </row>
    <row r="2497" customFormat="false" ht="15" hidden="false" customHeight="false" outlineLevel="0" collapsed="false">
      <c r="A2497" s="3" t="n">
        <v>2496</v>
      </c>
      <c r="B2497" s="3" t="n">
        <v>2495</v>
      </c>
      <c r="C2497" s="3" t="s">
        <v>118</v>
      </c>
      <c r="D2497" s="3" t="n">
        <v>8</v>
      </c>
      <c r="E2497" s="3" t="n">
        <v>13</v>
      </c>
      <c r="F2497" s="3" t="n">
        <v>0</v>
      </c>
      <c r="G2497" s="3" t="n">
        <v>2</v>
      </c>
      <c r="H2497" s="24" t="n">
        <v>0.0869104192</v>
      </c>
    </row>
    <row r="2498" customFormat="false" ht="15" hidden="false" customHeight="false" outlineLevel="0" collapsed="false">
      <c r="A2498" s="3" t="n">
        <v>2497</v>
      </c>
      <c r="B2498" s="3" t="n">
        <v>2496</v>
      </c>
      <c r="C2498" s="3" t="s">
        <v>118</v>
      </c>
      <c r="D2498" s="3" t="n">
        <v>8</v>
      </c>
      <c r="E2498" s="3" t="n">
        <v>13</v>
      </c>
      <c r="F2498" s="3" t="n">
        <v>1</v>
      </c>
      <c r="G2498" s="3" t="n">
        <v>0</v>
      </c>
      <c r="H2498" s="24" t="n">
        <v>-0.235256314</v>
      </c>
    </row>
    <row r="2499" customFormat="false" ht="15" hidden="false" customHeight="false" outlineLevel="0" collapsed="false">
      <c r="A2499" s="3" t="n">
        <v>2498</v>
      </c>
      <c r="B2499" s="3" t="n">
        <v>2497</v>
      </c>
      <c r="C2499" s="3" t="s">
        <v>118</v>
      </c>
      <c r="D2499" s="3" t="n">
        <v>8</v>
      </c>
      <c r="E2499" s="3" t="n">
        <v>13</v>
      </c>
      <c r="F2499" s="3" t="n">
        <v>1</v>
      </c>
      <c r="G2499" s="3" t="n">
        <v>1</v>
      </c>
      <c r="H2499" s="24" t="n">
        <v>0.0429774337</v>
      </c>
    </row>
    <row r="2500" customFormat="false" ht="15" hidden="false" customHeight="false" outlineLevel="0" collapsed="false">
      <c r="A2500" s="3" t="n">
        <v>2499</v>
      </c>
      <c r="B2500" s="3" t="n">
        <v>2498</v>
      </c>
      <c r="C2500" s="3" t="s">
        <v>118</v>
      </c>
      <c r="D2500" s="3" t="n">
        <v>8</v>
      </c>
      <c r="E2500" s="3" t="n">
        <v>13</v>
      </c>
      <c r="F2500" s="3" t="n">
        <v>1</v>
      </c>
      <c r="G2500" s="3" t="n">
        <v>2</v>
      </c>
      <c r="H2500" s="24" t="n">
        <v>-0.257421851</v>
      </c>
    </row>
    <row r="2501" customFormat="false" ht="15" hidden="false" customHeight="false" outlineLevel="0" collapsed="false">
      <c r="A2501" s="3" t="n">
        <v>2500</v>
      </c>
      <c r="B2501" s="3" t="n">
        <v>2499</v>
      </c>
      <c r="C2501" s="3" t="s">
        <v>118</v>
      </c>
      <c r="D2501" s="3" t="n">
        <v>8</v>
      </c>
      <c r="E2501" s="3" t="n">
        <v>13</v>
      </c>
      <c r="F2501" s="3" t="n">
        <v>2</v>
      </c>
      <c r="G2501" s="3" t="n">
        <v>0</v>
      </c>
      <c r="H2501" s="24" t="n">
        <v>0.1750907</v>
      </c>
    </row>
    <row r="2502" customFormat="false" ht="15" hidden="false" customHeight="false" outlineLevel="0" collapsed="false">
      <c r="A2502" s="3" t="n">
        <v>2501</v>
      </c>
      <c r="B2502" s="3" t="n">
        <v>2500</v>
      </c>
      <c r="C2502" s="3" t="s">
        <v>118</v>
      </c>
      <c r="D2502" s="3" t="n">
        <v>8</v>
      </c>
      <c r="E2502" s="3" t="n">
        <v>13</v>
      </c>
      <c r="F2502" s="3" t="n">
        <v>2</v>
      </c>
      <c r="G2502" s="3" t="n">
        <v>1</v>
      </c>
      <c r="H2502" s="24" t="n">
        <v>0.306649268</v>
      </c>
    </row>
    <row r="2503" customFormat="false" ht="15" hidden="false" customHeight="false" outlineLevel="0" collapsed="false">
      <c r="A2503" s="3" t="n">
        <v>2502</v>
      </c>
      <c r="B2503" s="3" t="n">
        <v>2501</v>
      </c>
      <c r="C2503" s="3" t="s">
        <v>118</v>
      </c>
      <c r="D2503" s="3" t="n">
        <v>8</v>
      </c>
      <c r="E2503" s="3" t="n">
        <v>13</v>
      </c>
      <c r="F2503" s="3" t="n">
        <v>2</v>
      </c>
      <c r="G2503" s="3" t="n">
        <v>2</v>
      </c>
      <c r="H2503" s="24" t="n">
        <v>-0.292994648</v>
      </c>
    </row>
    <row r="2504" customFormat="false" ht="15" hidden="false" customHeight="false" outlineLevel="0" collapsed="false">
      <c r="A2504" s="3" t="n">
        <v>2503</v>
      </c>
      <c r="B2504" s="3" t="n">
        <v>2502</v>
      </c>
      <c r="C2504" s="3" t="s">
        <v>118</v>
      </c>
      <c r="D2504" s="3" t="n">
        <v>8</v>
      </c>
      <c r="E2504" s="3" t="n">
        <v>14</v>
      </c>
      <c r="F2504" s="3" t="n">
        <v>0</v>
      </c>
      <c r="G2504" s="3" t="n">
        <v>0</v>
      </c>
      <c r="H2504" s="24" t="n">
        <v>0.150565416</v>
      </c>
    </row>
    <row r="2505" customFormat="false" ht="15" hidden="false" customHeight="false" outlineLevel="0" collapsed="false">
      <c r="A2505" s="3" t="n">
        <v>2504</v>
      </c>
      <c r="B2505" s="3" t="n">
        <v>2503</v>
      </c>
      <c r="C2505" s="3" t="s">
        <v>118</v>
      </c>
      <c r="D2505" s="3" t="n">
        <v>8</v>
      </c>
      <c r="E2505" s="3" t="n">
        <v>14</v>
      </c>
      <c r="F2505" s="3" t="n">
        <v>0</v>
      </c>
      <c r="G2505" s="3" t="n">
        <v>1</v>
      </c>
      <c r="H2505" s="24" t="n">
        <v>0.0689676404</v>
      </c>
    </row>
    <row r="2506" customFormat="false" ht="15" hidden="false" customHeight="false" outlineLevel="0" collapsed="false">
      <c r="A2506" s="3" t="n">
        <v>2505</v>
      </c>
      <c r="B2506" s="3" t="n">
        <v>2504</v>
      </c>
      <c r="C2506" s="3" t="s">
        <v>118</v>
      </c>
      <c r="D2506" s="3" t="n">
        <v>8</v>
      </c>
      <c r="E2506" s="3" t="n">
        <v>14</v>
      </c>
      <c r="F2506" s="3" t="n">
        <v>0</v>
      </c>
      <c r="G2506" s="3" t="n">
        <v>2</v>
      </c>
      <c r="H2506" s="24" t="n">
        <v>0.345654547</v>
      </c>
    </row>
    <row r="2507" customFormat="false" ht="15" hidden="false" customHeight="false" outlineLevel="0" collapsed="false">
      <c r="A2507" s="3" t="n">
        <v>2506</v>
      </c>
      <c r="B2507" s="3" t="n">
        <v>2505</v>
      </c>
      <c r="C2507" s="3" t="s">
        <v>118</v>
      </c>
      <c r="D2507" s="3" t="n">
        <v>8</v>
      </c>
      <c r="E2507" s="3" t="n">
        <v>14</v>
      </c>
      <c r="F2507" s="3" t="n">
        <v>1</v>
      </c>
      <c r="G2507" s="3" t="n">
        <v>0</v>
      </c>
      <c r="H2507" s="24" t="n">
        <v>-0.410699636</v>
      </c>
    </row>
    <row r="2508" customFormat="false" ht="15" hidden="false" customHeight="false" outlineLevel="0" collapsed="false">
      <c r="A2508" s="3" t="n">
        <v>2507</v>
      </c>
      <c r="B2508" s="3" t="n">
        <v>2506</v>
      </c>
      <c r="C2508" s="3" t="s">
        <v>118</v>
      </c>
      <c r="D2508" s="3" t="n">
        <v>8</v>
      </c>
      <c r="E2508" s="3" t="n">
        <v>14</v>
      </c>
      <c r="F2508" s="3" t="n">
        <v>1</v>
      </c>
      <c r="G2508" s="3" t="n">
        <v>1</v>
      </c>
      <c r="H2508" s="24" t="n">
        <v>-0.197273865</v>
      </c>
    </row>
    <row r="2509" customFormat="false" ht="15" hidden="false" customHeight="false" outlineLevel="0" collapsed="false">
      <c r="A2509" s="3" t="n">
        <v>2508</v>
      </c>
      <c r="B2509" s="3" t="n">
        <v>2507</v>
      </c>
      <c r="C2509" s="3" t="s">
        <v>118</v>
      </c>
      <c r="D2509" s="3" t="n">
        <v>8</v>
      </c>
      <c r="E2509" s="3" t="n">
        <v>14</v>
      </c>
      <c r="F2509" s="3" t="n">
        <v>1</v>
      </c>
      <c r="G2509" s="3" t="n">
        <v>2</v>
      </c>
      <c r="H2509" s="24" t="n">
        <v>-0.288512558</v>
      </c>
    </row>
    <row r="2510" customFormat="false" ht="15" hidden="false" customHeight="false" outlineLevel="0" collapsed="false">
      <c r="A2510" s="3" t="n">
        <v>2509</v>
      </c>
      <c r="B2510" s="3" t="n">
        <v>2508</v>
      </c>
      <c r="C2510" s="3" t="s">
        <v>118</v>
      </c>
      <c r="D2510" s="3" t="n">
        <v>8</v>
      </c>
      <c r="E2510" s="3" t="n">
        <v>14</v>
      </c>
      <c r="F2510" s="3" t="n">
        <v>2</v>
      </c>
      <c r="G2510" s="3" t="n">
        <v>0</v>
      </c>
      <c r="H2510" s="24" t="n">
        <v>-0.11740984</v>
      </c>
    </row>
    <row r="2511" customFormat="false" ht="15" hidden="false" customHeight="false" outlineLevel="0" collapsed="false">
      <c r="A2511" s="3" t="n">
        <v>2510</v>
      </c>
      <c r="B2511" s="3" t="n">
        <v>2509</v>
      </c>
      <c r="C2511" s="3" t="s">
        <v>118</v>
      </c>
      <c r="D2511" s="3" t="n">
        <v>8</v>
      </c>
      <c r="E2511" s="3" t="n">
        <v>14</v>
      </c>
      <c r="F2511" s="3" t="n">
        <v>2</v>
      </c>
      <c r="G2511" s="3" t="n">
        <v>1</v>
      </c>
      <c r="H2511" s="24" t="n">
        <v>-0.176539794</v>
      </c>
    </row>
    <row r="2512" customFormat="false" ht="15" hidden="false" customHeight="false" outlineLevel="0" collapsed="false">
      <c r="A2512" s="3" t="n">
        <v>2511</v>
      </c>
      <c r="B2512" s="3" t="n">
        <v>2510</v>
      </c>
      <c r="C2512" s="3" t="s">
        <v>118</v>
      </c>
      <c r="D2512" s="3" t="n">
        <v>8</v>
      </c>
      <c r="E2512" s="3" t="n">
        <v>14</v>
      </c>
      <c r="F2512" s="3" t="n">
        <v>2</v>
      </c>
      <c r="G2512" s="3" t="n">
        <v>2</v>
      </c>
      <c r="H2512" s="24" t="n">
        <v>0.0960875228</v>
      </c>
    </row>
    <row r="2513" customFormat="false" ht="15" hidden="false" customHeight="false" outlineLevel="0" collapsed="false">
      <c r="A2513" s="3" t="n">
        <v>2512</v>
      </c>
      <c r="B2513" s="3" t="n">
        <v>2511</v>
      </c>
      <c r="C2513" s="3" t="s">
        <v>118</v>
      </c>
      <c r="D2513" s="3" t="n">
        <v>8</v>
      </c>
      <c r="E2513" s="3" t="n">
        <v>15</v>
      </c>
      <c r="F2513" s="3" t="n">
        <v>0</v>
      </c>
      <c r="G2513" s="3" t="n">
        <v>0</v>
      </c>
      <c r="H2513" s="24" t="n">
        <v>-0.211106762</v>
      </c>
    </row>
    <row r="2514" customFormat="false" ht="15" hidden="false" customHeight="false" outlineLevel="0" collapsed="false">
      <c r="A2514" s="3" t="n">
        <v>2513</v>
      </c>
      <c r="B2514" s="3" t="n">
        <v>2512</v>
      </c>
      <c r="C2514" s="3" t="s">
        <v>118</v>
      </c>
      <c r="D2514" s="3" t="n">
        <v>8</v>
      </c>
      <c r="E2514" s="3" t="n">
        <v>15</v>
      </c>
      <c r="F2514" s="3" t="n">
        <v>0</v>
      </c>
      <c r="G2514" s="3" t="n">
        <v>1</v>
      </c>
      <c r="H2514" s="24" t="n">
        <v>-0.0305106789</v>
      </c>
    </row>
    <row r="2515" customFormat="false" ht="15" hidden="false" customHeight="false" outlineLevel="0" collapsed="false">
      <c r="A2515" s="3" t="n">
        <v>2514</v>
      </c>
      <c r="B2515" s="3" t="n">
        <v>2513</v>
      </c>
      <c r="C2515" s="3" t="s">
        <v>118</v>
      </c>
      <c r="D2515" s="3" t="n">
        <v>8</v>
      </c>
      <c r="E2515" s="3" t="n">
        <v>15</v>
      </c>
      <c r="F2515" s="3" t="n">
        <v>0</v>
      </c>
      <c r="G2515" s="3" t="n">
        <v>2</v>
      </c>
      <c r="H2515" s="24" t="n">
        <v>0.122397922</v>
      </c>
    </row>
    <row r="2516" customFormat="false" ht="15" hidden="false" customHeight="false" outlineLevel="0" collapsed="false">
      <c r="A2516" s="3" t="n">
        <v>2515</v>
      </c>
      <c r="B2516" s="3" t="n">
        <v>2514</v>
      </c>
      <c r="C2516" s="3" t="s">
        <v>118</v>
      </c>
      <c r="D2516" s="3" t="n">
        <v>8</v>
      </c>
      <c r="E2516" s="3" t="n">
        <v>15</v>
      </c>
      <c r="F2516" s="3" t="n">
        <v>1</v>
      </c>
      <c r="G2516" s="3" t="n">
        <v>0</v>
      </c>
      <c r="H2516" s="24" t="n">
        <v>-0.0994645357</v>
      </c>
    </row>
    <row r="2517" customFormat="false" ht="15" hidden="false" customHeight="false" outlineLevel="0" collapsed="false">
      <c r="A2517" s="3" t="n">
        <v>2516</v>
      </c>
      <c r="B2517" s="3" t="n">
        <v>2515</v>
      </c>
      <c r="C2517" s="3" t="s">
        <v>118</v>
      </c>
      <c r="D2517" s="3" t="n">
        <v>8</v>
      </c>
      <c r="E2517" s="3" t="n">
        <v>15</v>
      </c>
      <c r="F2517" s="3" t="n">
        <v>1</v>
      </c>
      <c r="G2517" s="3" t="n">
        <v>1</v>
      </c>
      <c r="H2517" s="24" t="n">
        <v>-0.0676405877</v>
      </c>
    </row>
    <row r="2518" customFormat="false" ht="15" hidden="false" customHeight="false" outlineLevel="0" collapsed="false">
      <c r="A2518" s="3" t="n">
        <v>2517</v>
      </c>
      <c r="B2518" s="3" t="n">
        <v>2516</v>
      </c>
      <c r="C2518" s="3" t="s">
        <v>118</v>
      </c>
      <c r="D2518" s="3" t="n">
        <v>8</v>
      </c>
      <c r="E2518" s="3" t="n">
        <v>15</v>
      </c>
      <c r="F2518" s="3" t="n">
        <v>1</v>
      </c>
      <c r="G2518" s="3" t="n">
        <v>2</v>
      </c>
      <c r="H2518" s="24" t="n">
        <v>-0.0968486667</v>
      </c>
    </row>
    <row r="2519" customFormat="false" ht="15" hidden="false" customHeight="false" outlineLevel="0" collapsed="false">
      <c r="A2519" s="3" t="n">
        <v>2518</v>
      </c>
      <c r="B2519" s="3" t="n">
        <v>2517</v>
      </c>
      <c r="C2519" s="3" t="s">
        <v>118</v>
      </c>
      <c r="D2519" s="3" t="n">
        <v>8</v>
      </c>
      <c r="E2519" s="3" t="n">
        <v>15</v>
      </c>
      <c r="F2519" s="3" t="n">
        <v>2</v>
      </c>
      <c r="G2519" s="3" t="n">
        <v>0</v>
      </c>
      <c r="H2519" s="24" t="n">
        <v>-0.0042744549</v>
      </c>
    </row>
    <row r="2520" customFormat="false" ht="15" hidden="false" customHeight="false" outlineLevel="0" collapsed="false">
      <c r="A2520" s="3" t="n">
        <v>2519</v>
      </c>
      <c r="B2520" s="3" t="n">
        <v>2518</v>
      </c>
      <c r="C2520" s="3" t="s">
        <v>118</v>
      </c>
      <c r="D2520" s="3" t="n">
        <v>8</v>
      </c>
      <c r="E2520" s="3" t="n">
        <v>15</v>
      </c>
      <c r="F2520" s="3" t="n">
        <v>2</v>
      </c>
      <c r="G2520" s="3" t="n">
        <v>1</v>
      </c>
      <c r="H2520" s="24" t="n">
        <v>0.143677831</v>
      </c>
    </row>
    <row r="2521" customFormat="false" ht="15" hidden="false" customHeight="false" outlineLevel="0" collapsed="false">
      <c r="A2521" s="3" t="n">
        <v>2520</v>
      </c>
      <c r="B2521" s="3" t="n">
        <v>2519</v>
      </c>
      <c r="C2521" s="3" t="s">
        <v>118</v>
      </c>
      <c r="D2521" s="3" t="n">
        <v>8</v>
      </c>
      <c r="E2521" s="3" t="n">
        <v>15</v>
      </c>
      <c r="F2521" s="3" t="n">
        <v>2</v>
      </c>
      <c r="G2521" s="3" t="n">
        <v>2</v>
      </c>
      <c r="H2521" s="24" t="n">
        <v>0.22431697</v>
      </c>
    </row>
    <row r="2522" customFormat="false" ht="15" hidden="false" customHeight="false" outlineLevel="0" collapsed="false">
      <c r="A2522" s="3" t="n">
        <v>2521</v>
      </c>
      <c r="B2522" s="3" t="n">
        <v>2520</v>
      </c>
      <c r="C2522" s="3" t="s">
        <v>118</v>
      </c>
      <c r="D2522" s="3" t="n">
        <v>9</v>
      </c>
      <c r="E2522" s="3" t="n">
        <v>0</v>
      </c>
      <c r="F2522" s="3" t="n">
        <v>0</v>
      </c>
      <c r="G2522" s="3" t="n">
        <v>0</v>
      </c>
      <c r="H2522" s="24" t="n">
        <v>0.257450432</v>
      </c>
    </row>
    <row r="2523" customFormat="false" ht="15" hidden="false" customHeight="false" outlineLevel="0" collapsed="false">
      <c r="A2523" s="3" t="n">
        <v>2522</v>
      </c>
      <c r="B2523" s="3" t="n">
        <v>2521</v>
      </c>
      <c r="C2523" s="3" t="s">
        <v>118</v>
      </c>
      <c r="D2523" s="3" t="n">
        <v>9</v>
      </c>
      <c r="E2523" s="3" t="n">
        <v>0</v>
      </c>
      <c r="F2523" s="3" t="n">
        <v>0</v>
      </c>
      <c r="G2523" s="3" t="n">
        <v>1</v>
      </c>
      <c r="H2523" s="24" t="n">
        <v>-0.273639768</v>
      </c>
    </row>
    <row r="2524" customFormat="false" ht="15" hidden="false" customHeight="false" outlineLevel="0" collapsed="false">
      <c r="A2524" s="3" t="n">
        <v>2523</v>
      </c>
      <c r="B2524" s="3" t="n">
        <v>2522</v>
      </c>
      <c r="C2524" s="3" t="s">
        <v>118</v>
      </c>
      <c r="D2524" s="3" t="n">
        <v>9</v>
      </c>
      <c r="E2524" s="3" t="n">
        <v>0</v>
      </c>
      <c r="F2524" s="3" t="n">
        <v>0</v>
      </c>
      <c r="G2524" s="3" t="n">
        <v>2</v>
      </c>
      <c r="H2524" s="24" t="n">
        <v>0.0389846154</v>
      </c>
    </row>
    <row r="2525" customFormat="false" ht="15" hidden="false" customHeight="false" outlineLevel="0" collapsed="false">
      <c r="A2525" s="3" t="n">
        <v>2524</v>
      </c>
      <c r="B2525" s="3" t="n">
        <v>2523</v>
      </c>
      <c r="C2525" s="3" t="s">
        <v>118</v>
      </c>
      <c r="D2525" s="3" t="n">
        <v>9</v>
      </c>
      <c r="E2525" s="3" t="n">
        <v>0</v>
      </c>
      <c r="F2525" s="3" t="n">
        <v>1</v>
      </c>
      <c r="G2525" s="3" t="n">
        <v>0</v>
      </c>
      <c r="H2525" s="24" t="n">
        <v>0.0871460885</v>
      </c>
    </row>
    <row r="2526" customFormat="false" ht="15" hidden="false" customHeight="false" outlineLevel="0" collapsed="false">
      <c r="A2526" s="3" t="n">
        <v>2525</v>
      </c>
      <c r="B2526" s="3" t="n">
        <v>2524</v>
      </c>
      <c r="C2526" s="3" t="s">
        <v>118</v>
      </c>
      <c r="D2526" s="3" t="n">
        <v>9</v>
      </c>
      <c r="E2526" s="3" t="n">
        <v>0</v>
      </c>
      <c r="F2526" s="3" t="n">
        <v>1</v>
      </c>
      <c r="G2526" s="3" t="n">
        <v>1</v>
      </c>
      <c r="H2526" s="24" t="n">
        <v>-0.0862266272</v>
      </c>
    </row>
    <row r="2527" customFormat="false" ht="15" hidden="false" customHeight="false" outlineLevel="0" collapsed="false">
      <c r="A2527" s="3" t="n">
        <v>2526</v>
      </c>
      <c r="B2527" s="3" t="n">
        <v>2525</v>
      </c>
      <c r="C2527" s="3" t="s">
        <v>118</v>
      </c>
      <c r="D2527" s="3" t="n">
        <v>9</v>
      </c>
      <c r="E2527" s="3" t="n">
        <v>0</v>
      </c>
      <c r="F2527" s="3" t="n">
        <v>1</v>
      </c>
      <c r="G2527" s="3" t="n">
        <v>2</v>
      </c>
      <c r="H2527" s="24" t="n">
        <v>-0.179787964</v>
      </c>
    </row>
    <row r="2528" customFormat="false" ht="15" hidden="false" customHeight="false" outlineLevel="0" collapsed="false">
      <c r="A2528" s="3" t="n">
        <v>2527</v>
      </c>
      <c r="B2528" s="3" t="n">
        <v>2526</v>
      </c>
      <c r="C2528" s="3" t="s">
        <v>118</v>
      </c>
      <c r="D2528" s="3" t="n">
        <v>9</v>
      </c>
      <c r="E2528" s="3" t="n">
        <v>0</v>
      </c>
      <c r="F2528" s="3" t="n">
        <v>2</v>
      </c>
      <c r="G2528" s="3" t="n">
        <v>0</v>
      </c>
      <c r="H2528" s="24" t="n">
        <v>-0.270020217</v>
      </c>
    </row>
    <row r="2529" customFormat="false" ht="15" hidden="false" customHeight="false" outlineLevel="0" collapsed="false">
      <c r="A2529" s="3" t="n">
        <v>2528</v>
      </c>
      <c r="B2529" s="3" t="n">
        <v>2527</v>
      </c>
      <c r="C2529" s="3" t="s">
        <v>118</v>
      </c>
      <c r="D2529" s="3" t="n">
        <v>9</v>
      </c>
      <c r="E2529" s="3" t="n">
        <v>0</v>
      </c>
      <c r="F2529" s="3" t="n">
        <v>2</v>
      </c>
      <c r="G2529" s="3" t="n">
        <v>1</v>
      </c>
      <c r="H2529" s="24" t="n">
        <v>-0.0275069028</v>
      </c>
    </row>
    <row r="2530" customFormat="false" ht="15" hidden="false" customHeight="false" outlineLevel="0" collapsed="false">
      <c r="A2530" s="3" t="n">
        <v>2529</v>
      </c>
      <c r="B2530" s="3" t="n">
        <v>2528</v>
      </c>
      <c r="C2530" s="3" t="s">
        <v>118</v>
      </c>
      <c r="D2530" s="3" t="n">
        <v>9</v>
      </c>
      <c r="E2530" s="3" t="n">
        <v>0</v>
      </c>
      <c r="F2530" s="3" t="n">
        <v>2</v>
      </c>
      <c r="G2530" s="3" t="n">
        <v>2</v>
      </c>
      <c r="H2530" s="24" t="n">
        <v>-0.119251974</v>
      </c>
    </row>
    <row r="2531" customFormat="false" ht="15" hidden="false" customHeight="false" outlineLevel="0" collapsed="false">
      <c r="A2531" s="3" t="n">
        <v>2530</v>
      </c>
      <c r="B2531" s="3" t="n">
        <v>2529</v>
      </c>
      <c r="C2531" s="3" t="s">
        <v>118</v>
      </c>
      <c r="D2531" s="3" t="n">
        <v>9</v>
      </c>
      <c r="E2531" s="3" t="n">
        <v>1</v>
      </c>
      <c r="F2531" s="3" t="n">
        <v>0</v>
      </c>
      <c r="G2531" s="3" t="n">
        <v>0</v>
      </c>
      <c r="H2531" s="24" t="n">
        <v>-0.277312875</v>
      </c>
    </row>
    <row r="2532" customFormat="false" ht="15" hidden="false" customHeight="false" outlineLevel="0" collapsed="false">
      <c r="A2532" s="3" t="n">
        <v>2531</v>
      </c>
      <c r="B2532" s="3" t="n">
        <v>2530</v>
      </c>
      <c r="C2532" s="3" t="s">
        <v>118</v>
      </c>
      <c r="D2532" s="3" t="n">
        <v>9</v>
      </c>
      <c r="E2532" s="3" t="n">
        <v>1</v>
      </c>
      <c r="F2532" s="3" t="n">
        <v>0</v>
      </c>
      <c r="G2532" s="3" t="n">
        <v>1</v>
      </c>
      <c r="H2532" s="24" t="n">
        <v>-0.229632512</v>
      </c>
    </row>
    <row r="2533" customFormat="false" ht="15" hidden="false" customHeight="false" outlineLevel="0" collapsed="false">
      <c r="A2533" s="3" t="n">
        <v>2532</v>
      </c>
      <c r="B2533" s="3" t="n">
        <v>2531</v>
      </c>
      <c r="C2533" s="3" t="s">
        <v>118</v>
      </c>
      <c r="D2533" s="3" t="n">
        <v>9</v>
      </c>
      <c r="E2533" s="3" t="n">
        <v>1</v>
      </c>
      <c r="F2533" s="3" t="n">
        <v>0</v>
      </c>
      <c r="G2533" s="3" t="n">
        <v>2</v>
      </c>
      <c r="H2533" s="24" t="n">
        <v>-0.244742393</v>
      </c>
    </row>
    <row r="2534" customFormat="false" ht="15" hidden="false" customHeight="false" outlineLevel="0" collapsed="false">
      <c r="A2534" s="3" t="n">
        <v>2533</v>
      </c>
      <c r="B2534" s="3" t="n">
        <v>2532</v>
      </c>
      <c r="C2534" s="3" t="s">
        <v>118</v>
      </c>
      <c r="D2534" s="3" t="n">
        <v>9</v>
      </c>
      <c r="E2534" s="3" t="n">
        <v>1</v>
      </c>
      <c r="F2534" s="3" t="n">
        <v>1</v>
      </c>
      <c r="G2534" s="3" t="n">
        <v>0</v>
      </c>
      <c r="H2534" s="24" t="n">
        <v>0.0173638929</v>
      </c>
    </row>
    <row r="2535" customFormat="false" ht="15" hidden="false" customHeight="false" outlineLevel="0" collapsed="false">
      <c r="A2535" s="3" t="n">
        <v>2534</v>
      </c>
      <c r="B2535" s="3" t="n">
        <v>2533</v>
      </c>
      <c r="C2535" s="3" t="s">
        <v>118</v>
      </c>
      <c r="D2535" s="3" t="n">
        <v>9</v>
      </c>
      <c r="E2535" s="3" t="n">
        <v>1</v>
      </c>
      <c r="F2535" s="3" t="n">
        <v>1</v>
      </c>
      <c r="G2535" s="3" t="n">
        <v>1</v>
      </c>
      <c r="H2535" s="24" t="n">
        <v>-0.109096907</v>
      </c>
    </row>
    <row r="2536" customFormat="false" ht="15" hidden="false" customHeight="false" outlineLevel="0" collapsed="false">
      <c r="A2536" s="3" t="n">
        <v>2535</v>
      </c>
      <c r="B2536" s="3" t="n">
        <v>2534</v>
      </c>
      <c r="C2536" s="3" t="s">
        <v>118</v>
      </c>
      <c r="D2536" s="3" t="n">
        <v>9</v>
      </c>
      <c r="E2536" s="3" t="n">
        <v>1</v>
      </c>
      <c r="F2536" s="3" t="n">
        <v>1</v>
      </c>
      <c r="G2536" s="3" t="n">
        <v>2</v>
      </c>
      <c r="H2536" s="24" t="n">
        <v>0.020607654</v>
      </c>
    </row>
    <row r="2537" customFormat="false" ht="15" hidden="false" customHeight="false" outlineLevel="0" collapsed="false">
      <c r="A2537" s="3" t="n">
        <v>2536</v>
      </c>
      <c r="B2537" s="3" t="n">
        <v>2535</v>
      </c>
      <c r="C2537" s="3" t="s">
        <v>118</v>
      </c>
      <c r="D2537" s="3" t="n">
        <v>9</v>
      </c>
      <c r="E2537" s="3" t="n">
        <v>1</v>
      </c>
      <c r="F2537" s="3" t="n">
        <v>2</v>
      </c>
      <c r="G2537" s="3" t="n">
        <v>0</v>
      </c>
      <c r="H2537" s="24" t="n">
        <v>0.151497558</v>
      </c>
    </row>
    <row r="2538" customFormat="false" ht="15" hidden="false" customHeight="false" outlineLevel="0" collapsed="false">
      <c r="A2538" s="3" t="n">
        <v>2537</v>
      </c>
      <c r="B2538" s="3" t="n">
        <v>2536</v>
      </c>
      <c r="C2538" s="3" t="s">
        <v>118</v>
      </c>
      <c r="D2538" s="3" t="n">
        <v>9</v>
      </c>
      <c r="E2538" s="3" t="n">
        <v>1</v>
      </c>
      <c r="F2538" s="3" t="n">
        <v>2</v>
      </c>
      <c r="G2538" s="3" t="n">
        <v>1</v>
      </c>
      <c r="H2538" s="24" t="n">
        <v>0.264831752</v>
      </c>
    </row>
    <row r="2539" customFormat="false" ht="15" hidden="false" customHeight="false" outlineLevel="0" collapsed="false">
      <c r="A2539" s="3" t="n">
        <v>2538</v>
      </c>
      <c r="B2539" s="3" t="n">
        <v>2537</v>
      </c>
      <c r="C2539" s="3" t="s">
        <v>118</v>
      </c>
      <c r="D2539" s="3" t="n">
        <v>9</v>
      </c>
      <c r="E2539" s="3" t="n">
        <v>1</v>
      </c>
      <c r="F2539" s="3" t="n">
        <v>2</v>
      </c>
      <c r="G2539" s="3" t="n">
        <v>2</v>
      </c>
      <c r="H2539" s="24" t="n">
        <v>0.0134787643</v>
      </c>
    </row>
    <row r="2540" customFormat="false" ht="15" hidden="false" customHeight="false" outlineLevel="0" collapsed="false">
      <c r="A2540" s="3" t="n">
        <v>2539</v>
      </c>
      <c r="B2540" s="3" t="n">
        <v>2538</v>
      </c>
      <c r="C2540" s="3" t="s">
        <v>118</v>
      </c>
      <c r="D2540" s="3" t="n">
        <v>9</v>
      </c>
      <c r="E2540" s="3" t="n">
        <v>2</v>
      </c>
      <c r="F2540" s="3" t="n">
        <v>0</v>
      </c>
      <c r="G2540" s="3" t="n">
        <v>0</v>
      </c>
      <c r="H2540" s="24" t="n">
        <v>0.178390026</v>
      </c>
    </row>
    <row r="2541" customFormat="false" ht="15" hidden="false" customHeight="false" outlineLevel="0" collapsed="false">
      <c r="A2541" s="3" t="n">
        <v>2540</v>
      </c>
      <c r="B2541" s="3" t="n">
        <v>2539</v>
      </c>
      <c r="C2541" s="3" t="s">
        <v>118</v>
      </c>
      <c r="D2541" s="3" t="n">
        <v>9</v>
      </c>
      <c r="E2541" s="3" t="n">
        <v>2</v>
      </c>
      <c r="F2541" s="3" t="n">
        <v>0</v>
      </c>
      <c r="G2541" s="3" t="n">
        <v>1</v>
      </c>
      <c r="H2541" s="24" t="n">
        <v>0.205647245</v>
      </c>
    </row>
    <row r="2542" customFormat="false" ht="15" hidden="false" customHeight="false" outlineLevel="0" collapsed="false">
      <c r="A2542" s="3" t="n">
        <v>2541</v>
      </c>
      <c r="B2542" s="3" t="n">
        <v>2540</v>
      </c>
      <c r="C2542" s="3" t="s">
        <v>118</v>
      </c>
      <c r="D2542" s="3" t="n">
        <v>9</v>
      </c>
      <c r="E2542" s="3" t="n">
        <v>2</v>
      </c>
      <c r="F2542" s="3" t="n">
        <v>0</v>
      </c>
      <c r="G2542" s="3" t="n">
        <v>2</v>
      </c>
      <c r="H2542" s="24" t="n">
        <v>0.274237663</v>
      </c>
    </row>
    <row r="2543" customFormat="false" ht="15" hidden="false" customHeight="false" outlineLevel="0" collapsed="false">
      <c r="A2543" s="3" t="n">
        <v>2542</v>
      </c>
      <c r="B2543" s="3" t="n">
        <v>2541</v>
      </c>
      <c r="C2543" s="3" t="s">
        <v>118</v>
      </c>
      <c r="D2543" s="3" t="n">
        <v>9</v>
      </c>
      <c r="E2543" s="3" t="n">
        <v>2</v>
      </c>
      <c r="F2543" s="3" t="n">
        <v>1</v>
      </c>
      <c r="G2543" s="3" t="n">
        <v>0</v>
      </c>
      <c r="H2543" s="24" t="n">
        <v>-0.00125037471</v>
      </c>
    </row>
    <row r="2544" customFormat="false" ht="15" hidden="false" customHeight="false" outlineLevel="0" collapsed="false">
      <c r="A2544" s="3" t="n">
        <v>2543</v>
      </c>
      <c r="B2544" s="3" t="n">
        <v>2542</v>
      </c>
      <c r="C2544" s="3" t="s">
        <v>118</v>
      </c>
      <c r="D2544" s="3" t="n">
        <v>9</v>
      </c>
      <c r="E2544" s="3" t="n">
        <v>2</v>
      </c>
      <c r="F2544" s="3" t="n">
        <v>1</v>
      </c>
      <c r="G2544" s="3" t="n">
        <v>1</v>
      </c>
      <c r="H2544" s="24" t="n">
        <v>-0.0407276861</v>
      </c>
    </row>
    <row r="2545" customFormat="false" ht="15" hidden="false" customHeight="false" outlineLevel="0" collapsed="false">
      <c r="A2545" s="3" t="n">
        <v>2544</v>
      </c>
      <c r="B2545" s="3" t="n">
        <v>2543</v>
      </c>
      <c r="C2545" s="3" t="s">
        <v>118</v>
      </c>
      <c r="D2545" s="3" t="n">
        <v>9</v>
      </c>
      <c r="E2545" s="3" t="n">
        <v>2</v>
      </c>
      <c r="F2545" s="3" t="n">
        <v>1</v>
      </c>
      <c r="G2545" s="3" t="n">
        <v>2</v>
      </c>
      <c r="H2545" s="24" t="n">
        <v>-0.143397927</v>
      </c>
    </row>
    <row r="2546" customFormat="false" ht="15" hidden="false" customHeight="false" outlineLevel="0" collapsed="false">
      <c r="A2546" s="3" t="n">
        <v>2545</v>
      </c>
      <c r="B2546" s="3" t="n">
        <v>2544</v>
      </c>
      <c r="C2546" s="3" t="s">
        <v>118</v>
      </c>
      <c r="D2546" s="3" t="n">
        <v>9</v>
      </c>
      <c r="E2546" s="3" t="n">
        <v>2</v>
      </c>
      <c r="F2546" s="3" t="n">
        <v>2</v>
      </c>
      <c r="G2546" s="3" t="n">
        <v>0</v>
      </c>
      <c r="H2546" s="24" t="n">
        <v>0.0957631543</v>
      </c>
    </row>
    <row r="2547" customFormat="false" ht="15" hidden="false" customHeight="false" outlineLevel="0" collapsed="false">
      <c r="A2547" s="3" t="n">
        <v>2546</v>
      </c>
      <c r="B2547" s="3" t="n">
        <v>2545</v>
      </c>
      <c r="C2547" s="3" t="s">
        <v>118</v>
      </c>
      <c r="D2547" s="3" t="n">
        <v>9</v>
      </c>
      <c r="E2547" s="3" t="n">
        <v>2</v>
      </c>
      <c r="F2547" s="3" t="n">
        <v>2</v>
      </c>
      <c r="G2547" s="3" t="n">
        <v>1</v>
      </c>
      <c r="H2547" s="24" t="n">
        <v>-0.101373903</v>
      </c>
    </row>
    <row r="2548" customFormat="false" ht="15" hidden="false" customHeight="false" outlineLevel="0" collapsed="false">
      <c r="A2548" s="3" t="n">
        <v>2547</v>
      </c>
      <c r="B2548" s="3" t="n">
        <v>2546</v>
      </c>
      <c r="C2548" s="3" t="s">
        <v>118</v>
      </c>
      <c r="D2548" s="3" t="n">
        <v>9</v>
      </c>
      <c r="E2548" s="3" t="n">
        <v>2</v>
      </c>
      <c r="F2548" s="3" t="n">
        <v>2</v>
      </c>
      <c r="G2548" s="3" t="n">
        <v>2</v>
      </c>
      <c r="H2548" s="24" t="n">
        <v>-0.196343064</v>
      </c>
    </row>
    <row r="2549" customFormat="false" ht="15" hidden="false" customHeight="false" outlineLevel="0" collapsed="false">
      <c r="A2549" s="3" t="n">
        <v>2548</v>
      </c>
      <c r="B2549" s="3" t="n">
        <v>2547</v>
      </c>
      <c r="C2549" s="3" t="s">
        <v>118</v>
      </c>
      <c r="D2549" s="3" t="n">
        <v>9</v>
      </c>
      <c r="E2549" s="3" t="n">
        <v>3</v>
      </c>
      <c r="F2549" s="3" t="n">
        <v>0</v>
      </c>
      <c r="G2549" s="3" t="n">
        <v>0</v>
      </c>
      <c r="H2549" s="24" t="n">
        <v>0.100118153</v>
      </c>
    </row>
    <row r="2550" customFormat="false" ht="15" hidden="false" customHeight="false" outlineLevel="0" collapsed="false">
      <c r="A2550" s="3" t="n">
        <v>2549</v>
      </c>
      <c r="B2550" s="3" t="n">
        <v>2548</v>
      </c>
      <c r="C2550" s="3" t="s">
        <v>118</v>
      </c>
      <c r="D2550" s="3" t="n">
        <v>9</v>
      </c>
      <c r="E2550" s="3" t="n">
        <v>3</v>
      </c>
      <c r="F2550" s="3" t="n">
        <v>0</v>
      </c>
      <c r="G2550" s="3" t="n">
        <v>1</v>
      </c>
      <c r="H2550" s="24" t="n">
        <v>0.118181013</v>
      </c>
    </row>
    <row r="2551" customFormat="false" ht="15" hidden="false" customHeight="false" outlineLevel="0" collapsed="false">
      <c r="A2551" s="3" t="n">
        <v>2550</v>
      </c>
      <c r="B2551" s="3" t="n">
        <v>2549</v>
      </c>
      <c r="C2551" s="3" t="s">
        <v>118</v>
      </c>
      <c r="D2551" s="3" t="n">
        <v>9</v>
      </c>
      <c r="E2551" s="3" t="n">
        <v>3</v>
      </c>
      <c r="F2551" s="3" t="n">
        <v>0</v>
      </c>
      <c r="G2551" s="3" t="n">
        <v>2</v>
      </c>
      <c r="H2551" s="24" t="n">
        <v>0.26039508</v>
      </c>
    </row>
    <row r="2552" customFormat="false" ht="15" hidden="false" customHeight="false" outlineLevel="0" collapsed="false">
      <c r="A2552" s="3" t="n">
        <v>2551</v>
      </c>
      <c r="B2552" s="3" t="n">
        <v>2550</v>
      </c>
      <c r="C2552" s="3" t="s">
        <v>118</v>
      </c>
      <c r="D2552" s="3" t="n">
        <v>9</v>
      </c>
      <c r="E2552" s="3" t="n">
        <v>3</v>
      </c>
      <c r="F2552" s="3" t="n">
        <v>1</v>
      </c>
      <c r="G2552" s="3" t="n">
        <v>0</v>
      </c>
      <c r="H2552" s="24" t="n">
        <v>-0.0584536158</v>
      </c>
    </row>
    <row r="2553" customFormat="false" ht="15" hidden="false" customHeight="false" outlineLevel="0" collapsed="false">
      <c r="A2553" s="3" t="n">
        <v>2552</v>
      </c>
      <c r="B2553" s="3" t="n">
        <v>2551</v>
      </c>
      <c r="C2553" s="3" t="s">
        <v>118</v>
      </c>
      <c r="D2553" s="3" t="n">
        <v>9</v>
      </c>
      <c r="E2553" s="3" t="n">
        <v>3</v>
      </c>
      <c r="F2553" s="3" t="n">
        <v>1</v>
      </c>
      <c r="G2553" s="3" t="n">
        <v>1</v>
      </c>
      <c r="H2553" s="24" t="n">
        <v>-0.20985949</v>
      </c>
    </row>
    <row r="2554" customFormat="false" ht="15" hidden="false" customHeight="false" outlineLevel="0" collapsed="false">
      <c r="A2554" s="3" t="n">
        <v>2553</v>
      </c>
      <c r="B2554" s="3" t="n">
        <v>2552</v>
      </c>
      <c r="C2554" s="3" t="s">
        <v>118</v>
      </c>
      <c r="D2554" s="3" t="n">
        <v>9</v>
      </c>
      <c r="E2554" s="3" t="n">
        <v>3</v>
      </c>
      <c r="F2554" s="3" t="n">
        <v>1</v>
      </c>
      <c r="G2554" s="3" t="n">
        <v>2</v>
      </c>
      <c r="H2554" s="24" t="n">
        <v>-0.288335532</v>
      </c>
    </row>
    <row r="2555" customFormat="false" ht="15" hidden="false" customHeight="false" outlineLevel="0" collapsed="false">
      <c r="A2555" s="3" t="n">
        <v>2554</v>
      </c>
      <c r="B2555" s="3" t="n">
        <v>2553</v>
      </c>
      <c r="C2555" s="3" t="s">
        <v>118</v>
      </c>
      <c r="D2555" s="3" t="n">
        <v>9</v>
      </c>
      <c r="E2555" s="3" t="n">
        <v>3</v>
      </c>
      <c r="F2555" s="3" t="n">
        <v>2</v>
      </c>
      <c r="G2555" s="3" t="n">
        <v>0</v>
      </c>
      <c r="H2555" s="24" t="n">
        <v>-0.282228619</v>
      </c>
    </row>
    <row r="2556" customFormat="false" ht="15" hidden="false" customHeight="false" outlineLevel="0" collapsed="false">
      <c r="A2556" s="3" t="n">
        <v>2555</v>
      </c>
      <c r="B2556" s="3" t="n">
        <v>2554</v>
      </c>
      <c r="C2556" s="3" t="s">
        <v>118</v>
      </c>
      <c r="D2556" s="3" t="n">
        <v>9</v>
      </c>
      <c r="E2556" s="3" t="n">
        <v>3</v>
      </c>
      <c r="F2556" s="3" t="n">
        <v>2</v>
      </c>
      <c r="G2556" s="3" t="n">
        <v>1</v>
      </c>
      <c r="H2556" s="24" t="n">
        <v>0.102801688</v>
      </c>
    </row>
    <row r="2557" customFormat="false" ht="15" hidden="false" customHeight="false" outlineLevel="0" collapsed="false">
      <c r="A2557" s="3" t="n">
        <v>2556</v>
      </c>
      <c r="B2557" s="3" t="n">
        <v>2555</v>
      </c>
      <c r="C2557" s="3" t="s">
        <v>118</v>
      </c>
      <c r="D2557" s="3" t="n">
        <v>9</v>
      </c>
      <c r="E2557" s="3" t="n">
        <v>3</v>
      </c>
      <c r="F2557" s="3" t="n">
        <v>2</v>
      </c>
      <c r="G2557" s="3" t="n">
        <v>2</v>
      </c>
      <c r="H2557" s="24" t="n">
        <v>0.278637052</v>
      </c>
    </row>
    <row r="2558" customFormat="false" ht="15" hidden="false" customHeight="false" outlineLevel="0" collapsed="false">
      <c r="A2558" s="3" t="n">
        <v>2557</v>
      </c>
      <c r="B2558" s="3" t="n">
        <v>2556</v>
      </c>
      <c r="C2558" s="3" t="s">
        <v>118</v>
      </c>
      <c r="D2558" s="3" t="n">
        <v>9</v>
      </c>
      <c r="E2558" s="3" t="n">
        <v>4</v>
      </c>
      <c r="F2558" s="3" t="n">
        <v>0</v>
      </c>
      <c r="G2558" s="3" t="n">
        <v>0</v>
      </c>
      <c r="H2558" s="24" t="n">
        <v>0.0537129939</v>
      </c>
    </row>
    <row r="2559" customFormat="false" ht="15" hidden="false" customHeight="false" outlineLevel="0" collapsed="false">
      <c r="A2559" s="3" t="n">
        <v>2558</v>
      </c>
      <c r="B2559" s="3" t="n">
        <v>2557</v>
      </c>
      <c r="C2559" s="3" t="s">
        <v>118</v>
      </c>
      <c r="D2559" s="3" t="n">
        <v>9</v>
      </c>
      <c r="E2559" s="3" t="n">
        <v>4</v>
      </c>
      <c r="F2559" s="3" t="n">
        <v>0</v>
      </c>
      <c r="G2559" s="3" t="n">
        <v>1</v>
      </c>
      <c r="H2559" s="24" t="n">
        <v>-0.0983430222</v>
      </c>
    </row>
    <row r="2560" customFormat="false" ht="15" hidden="false" customHeight="false" outlineLevel="0" collapsed="false">
      <c r="A2560" s="3" t="n">
        <v>2559</v>
      </c>
      <c r="B2560" s="3" t="n">
        <v>2558</v>
      </c>
      <c r="C2560" s="3" t="s">
        <v>118</v>
      </c>
      <c r="D2560" s="3" t="n">
        <v>9</v>
      </c>
      <c r="E2560" s="3" t="n">
        <v>4</v>
      </c>
      <c r="F2560" s="3" t="n">
        <v>0</v>
      </c>
      <c r="G2560" s="3" t="n">
        <v>2</v>
      </c>
      <c r="H2560" s="24" t="n">
        <v>0.194571003</v>
      </c>
    </row>
    <row r="2561" customFormat="false" ht="15" hidden="false" customHeight="false" outlineLevel="0" collapsed="false">
      <c r="A2561" s="3" t="n">
        <v>2560</v>
      </c>
      <c r="B2561" s="3" t="n">
        <v>2559</v>
      </c>
      <c r="C2561" s="3" t="s">
        <v>118</v>
      </c>
      <c r="D2561" s="3" t="n">
        <v>9</v>
      </c>
      <c r="E2561" s="3" t="n">
        <v>4</v>
      </c>
      <c r="F2561" s="3" t="n">
        <v>1</v>
      </c>
      <c r="G2561" s="3" t="n">
        <v>0</v>
      </c>
      <c r="H2561" s="24" t="n">
        <v>-0.113483079</v>
      </c>
    </row>
    <row r="2562" customFormat="false" ht="15" hidden="false" customHeight="false" outlineLevel="0" collapsed="false">
      <c r="A2562" s="3" t="n">
        <v>2561</v>
      </c>
      <c r="B2562" s="3" t="n">
        <v>2560</v>
      </c>
      <c r="C2562" s="3" t="s">
        <v>118</v>
      </c>
      <c r="D2562" s="3" t="n">
        <v>9</v>
      </c>
      <c r="E2562" s="3" t="n">
        <v>4</v>
      </c>
      <c r="F2562" s="3" t="n">
        <v>1</v>
      </c>
      <c r="G2562" s="3" t="n">
        <v>1</v>
      </c>
      <c r="H2562" s="24" t="n">
        <v>-0.143535823</v>
      </c>
    </row>
    <row r="2563" customFormat="false" ht="15" hidden="false" customHeight="false" outlineLevel="0" collapsed="false">
      <c r="A2563" s="3" t="n">
        <v>2562</v>
      </c>
      <c r="B2563" s="3" t="n">
        <v>2561</v>
      </c>
      <c r="C2563" s="3" t="s">
        <v>118</v>
      </c>
      <c r="D2563" s="3" t="n">
        <v>9</v>
      </c>
      <c r="E2563" s="3" t="n">
        <v>4</v>
      </c>
      <c r="F2563" s="3" t="n">
        <v>1</v>
      </c>
      <c r="G2563" s="3" t="n">
        <v>2</v>
      </c>
      <c r="H2563" s="24" t="n">
        <v>0.0528786406</v>
      </c>
    </row>
    <row r="2564" customFormat="false" ht="15" hidden="false" customHeight="false" outlineLevel="0" collapsed="false">
      <c r="A2564" s="3" t="n">
        <v>2563</v>
      </c>
      <c r="B2564" s="3" t="n">
        <v>2562</v>
      </c>
      <c r="C2564" s="3" t="s">
        <v>118</v>
      </c>
      <c r="D2564" s="3" t="n">
        <v>9</v>
      </c>
      <c r="E2564" s="3" t="n">
        <v>4</v>
      </c>
      <c r="F2564" s="3" t="n">
        <v>2</v>
      </c>
      <c r="G2564" s="3" t="n">
        <v>0</v>
      </c>
      <c r="H2564" s="24" t="n">
        <v>-0.18477717</v>
      </c>
    </row>
    <row r="2565" customFormat="false" ht="15" hidden="false" customHeight="false" outlineLevel="0" collapsed="false">
      <c r="A2565" s="3" t="n">
        <v>2564</v>
      </c>
      <c r="B2565" s="3" t="n">
        <v>2563</v>
      </c>
      <c r="C2565" s="3" t="s">
        <v>118</v>
      </c>
      <c r="D2565" s="3" t="n">
        <v>9</v>
      </c>
      <c r="E2565" s="3" t="n">
        <v>4</v>
      </c>
      <c r="F2565" s="3" t="n">
        <v>2</v>
      </c>
      <c r="G2565" s="3" t="n">
        <v>1</v>
      </c>
      <c r="H2565" s="24" t="n">
        <v>-0.203268602</v>
      </c>
    </row>
    <row r="2566" customFormat="false" ht="15" hidden="false" customHeight="false" outlineLevel="0" collapsed="false">
      <c r="A2566" s="3" t="n">
        <v>2565</v>
      </c>
      <c r="B2566" s="3" t="n">
        <v>2564</v>
      </c>
      <c r="C2566" s="3" t="s">
        <v>118</v>
      </c>
      <c r="D2566" s="3" t="n">
        <v>9</v>
      </c>
      <c r="E2566" s="3" t="n">
        <v>4</v>
      </c>
      <c r="F2566" s="3" t="n">
        <v>2</v>
      </c>
      <c r="G2566" s="3" t="n">
        <v>2</v>
      </c>
      <c r="H2566" s="24" t="n">
        <v>-0.00550027378</v>
      </c>
    </row>
    <row r="2567" customFormat="false" ht="15" hidden="false" customHeight="false" outlineLevel="0" collapsed="false">
      <c r="A2567" s="3" t="n">
        <v>2566</v>
      </c>
      <c r="B2567" s="3" t="n">
        <v>2565</v>
      </c>
      <c r="C2567" s="3" t="s">
        <v>118</v>
      </c>
      <c r="D2567" s="3" t="n">
        <v>9</v>
      </c>
      <c r="E2567" s="3" t="n">
        <v>5</v>
      </c>
      <c r="F2567" s="3" t="n">
        <v>0</v>
      </c>
      <c r="G2567" s="3" t="n">
        <v>0</v>
      </c>
      <c r="H2567" s="24" t="n">
        <v>-0.107751019</v>
      </c>
    </row>
    <row r="2568" customFormat="false" ht="15" hidden="false" customHeight="false" outlineLevel="0" collapsed="false">
      <c r="A2568" s="3" t="n">
        <v>2567</v>
      </c>
      <c r="B2568" s="3" t="n">
        <v>2566</v>
      </c>
      <c r="C2568" s="3" t="s">
        <v>118</v>
      </c>
      <c r="D2568" s="3" t="n">
        <v>9</v>
      </c>
      <c r="E2568" s="3" t="n">
        <v>5</v>
      </c>
      <c r="F2568" s="3" t="n">
        <v>0</v>
      </c>
      <c r="G2568" s="3" t="n">
        <v>1</v>
      </c>
      <c r="H2568" s="24" t="n">
        <v>0.154366255</v>
      </c>
    </row>
    <row r="2569" customFormat="false" ht="15" hidden="false" customHeight="false" outlineLevel="0" collapsed="false">
      <c r="A2569" s="3" t="n">
        <v>2568</v>
      </c>
      <c r="B2569" s="3" t="n">
        <v>2567</v>
      </c>
      <c r="C2569" s="3" t="s">
        <v>118</v>
      </c>
      <c r="D2569" s="3" t="n">
        <v>9</v>
      </c>
      <c r="E2569" s="3" t="n">
        <v>5</v>
      </c>
      <c r="F2569" s="3" t="n">
        <v>0</v>
      </c>
      <c r="G2569" s="3" t="n">
        <v>2</v>
      </c>
      <c r="H2569" s="24" t="n">
        <v>0.112774745</v>
      </c>
    </row>
    <row r="2570" customFormat="false" ht="15" hidden="false" customHeight="false" outlineLevel="0" collapsed="false">
      <c r="A2570" s="3" t="n">
        <v>2569</v>
      </c>
      <c r="B2570" s="3" t="n">
        <v>2568</v>
      </c>
      <c r="C2570" s="3" t="s">
        <v>118</v>
      </c>
      <c r="D2570" s="3" t="n">
        <v>9</v>
      </c>
      <c r="E2570" s="3" t="n">
        <v>5</v>
      </c>
      <c r="F2570" s="3" t="n">
        <v>1</v>
      </c>
      <c r="G2570" s="3" t="n">
        <v>0</v>
      </c>
      <c r="H2570" s="24" t="n">
        <v>0.15480268</v>
      </c>
    </row>
    <row r="2571" customFormat="false" ht="15" hidden="false" customHeight="false" outlineLevel="0" collapsed="false">
      <c r="A2571" s="3" t="n">
        <v>2570</v>
      </c>
      <c r="B2571" s="3" t="n">
        <v>2569</v>
      </c>
      <c r="C2571" s="3" t="s">
        <v>118</v>
      </c>
      <c r="D2571" s="3" t="n">
        <v>9</v>
      </c>
      <c r="E2571" s="3" t="n">
        <v>5</v>
      </c>
      <c r="F2571" s="3" t="n">
        <v>1</v>
      </c>
      <c r="G2571" s="3" t="n">
        <v>1</v>
      </c>
      <c r="H2571" s="24" t="n">
        <v>0.191599116</v>
      </c>
    </row>
    <row r="2572" customFormat="false" ht="15" hidden="false" customHeight="false" outlineLevel="0" collapsed="false">
      <c r="A2572" s="3" t="n">
        <v>2571</v>
      </c>
      <c r="B2572" s="3" t="n">
        <v>2570</v>
      </c>
      <c r="C2572" s="3" t="s">
        <v>118</v>
      </c>
      <c r="D2572" s="3" t="n">
        <v>9</v>
      </c>
      <c r="E2572" s="3" t="n">
        <v>5</v>
      </c>
      <c r="F2572" s="3" t="n">
        <v>1</v>
      </c>
      <c r="G2572" s="3" t="n">
        <v>2</v>
      </c>
      <c r="H2572" s="24" t="n">
        <v>-0.377461642</v>
      </c>
    </row>
    <row r="2573" customFormat="false" ht="15" hidden="false" customHeight="false" outlineLevel="0" collapsed="false">
      <c r="A2573" s="3" t="n">
        <v>2572</v>
      </c>
      <c r="B2573" s="3" t="n">
        <v>2571</v>
      </c>
      <c r="C2573" s="3" t="s">
        <v>118</v>
      </c>
      <c r="D2573" s="3" t="n">
        <v>9</v>
      </c>
      <c r="E2573" s="3" t="n">
        <v>5</v>
      </c>
      <c r="F2573" s="3" t="n">
        <v>2</v>
      </c>
      <c r="G2573" s="3" t="n">
        <v>0</v>
      </c>
      <c r="H2573" s="24" t="n">
        <v>-0.0392608345</v>
      </c>
    </row>
    <row r="2574" customFormat="false" ht="15" hidden="false" customHeight="false" outlineLevel="0" collapsed="false">
      <c r="A2574" s="3" t="n">
        <v>2573</v>
      </c>
      <c r="B2574" s="3" t="n">
        <v>2572</v>
      </c>
      <c r="C2574" s="3" t="s">
        <v>118</v>
      </c>
      <c r="D2574" s="3" t="n">
        <v>9</v>
      </c>
      <c r="E2574" s="3" t="n">
        <v>5</v>
      </c>
      <c r="F2574" s="3" t="n">
        <v>2</v>
      </c>
      <c r="G2574" s="3" t="n">
        <v>1</v>
      </c>
      <c r="H2574" s="24" t="n">
        <v>0.012463578</v>
      </c>
    </row>
    <row r="2575" customFormat="false" ht="15" hidden="false" customHeight="false" outlineLevel="0" collapsed="false">
      <c r="A2575" s="3" t="n">
        <v>2574</v>
      </c>
      <c r="B2575" s="3" t="n">
        <v>2573</v>
      </c>
      <c r="C2575" s="3" t="s">
        <v>118</v>
      </c>
      <c r="D2575" s="3" t="n">
        <v>9</v>
      </c>
      <c r="E2575" s="3" t="n">
        <v>5</v>
      </c>
      <c r="F2575" s="3" t="n">
        <v>2</v>
      </c>
      <c r="G2575" s="3" t="n">
        <v>2</v>
      </c>
      <c r="H2575" s="24" t="n">
        <v>0.14250803</v>
      </c>
    </row>
    <row r="2576" customFormat="false" ht="15" hidden="false" customHeight="false" outlineLevel="0" collapsed="false">
      <c r="A2576" s="3" t="n">
        <v>2575</v>
      </c>
      <c r="B2576" s="3" t="n">
        <v>2574</v>
      </c>
      <c r="C2576" s="3" t="s">
        <v>118</v>
      </c>
      <c r="D2576" s="3" t="n">
        <v>9</v>
      </c>
      <c r="E2576" s="3" t="n">
        <v>6</v>
      </c>
      <c r="F2576" s="3" t="n">
        <v>0</v>
      </c>
      <c r="G2576" s="3" t="n">
        <v>0</v>
      </c>
      <c r="H2576" s="24" t="n">
        <v>-0.0916179419</v>
      </c>
    </row>
    <row r="2577" customFormat="false" ht="15" hidden="false" customHeight="false" outlineLevel="0" collapsed="false">
      <c r="A2577" s="3" t="n">
        <v>2576</v>
      </c>
      <c r="B2577" s="3" t="n">
        <v>2575</v>
      </c>
      <c r="C2577" s="3" t="s">
        <v>118</v>
      </c>
      <c r="D2577" s="3" t="n">
        <v>9</v>
      </c>
      <c r="E2577" s="3" t="n">
        <v>6</v>
      </c>
      <c r="F2577" s="3" t="n">
        <v>0</v>
      </c>
      <c r="G2577" s="3" t="n">
        <v>1</v>
      </c>
      <c r="H2577" s="24" t="n">
        <v>-0.0861011818</v>
      </c>
    </row>
    <row r="2578" customFormat="false" ht="15" hidden="false" customHeight="false" outlineLevel="0" collapsed="false">
      <c r="A2578" s="3" t="n">
        <v>2577</v>
      </c>
      <c r="B2578" s="3" t="n">
        <v>2576</v>
      </c>
      <c r="C2578" s="3" t="s">
        <v>118</v>
      </c>
      <c r="D2578" s="3" t="n">
        <v>9</v>
      </c>
      <c r="E2578" s="3" t="n">
        <v>6</v>
      </c>
      <c r="F2578" s="3" t="n">
        <v>0</v>
      </c>
      <c r="G2578" s="3" t="n">
        <v>2</v>
      </c>
      <c r="H2578" s="24" t="n">
        <v>-0.16959618</v>
      </c>
    </row>
    <row r="2579" customFormat="false" ht="15" hidden="false" customHeight="false" outlineLevel="0" collapsed="false">
      <c r="A2579" s="3" t="n">
        <v>2578</v>
      </c>
      <c r="B2579" s="3" t="n">
        <v>2577</v>
      </c>
      <c r="C2579" s="3" t="s">
        <v>118</v>
      </c>
      <c r="D2579" s="3" t="n">
        <v>9</v>
      </c>
      <c r="E2579" s="3" t="n">
        <v>6</v>
      </c>
      <c r="F2579" s="3" t="n">
        <v>1</v>
      </c>
      <c r="G2579" s="3" t="n">
        <v>0</v>
      </c>
      <c r="H2579" s="24" t="n">
        <v>-0.122990981</v>
      </c>
    </row>
    <row r="2580" customFormat="false" ht="15" hidden="false" customHeight="false" outlineLevel="0" collapsed="false">
      <c r="A2580" s="3" t="n">
        <v>2579</v>
      </c>
      <c r="B2580" s="3" t="n">
        <v>2578</v>
      </c>
      <c r="C2580" s="3" t="s">
        <v>118</v>
      </c>
      <c r="D2580" s="3" t="n">
        <v>9</v>
      </c>
      <c r="E2580" s="3" t="n">
        <v>6</v>
      </c>
      <c r="F2580" s="3" t="n">
        <v>1</v>
      </c>
      <c r="G2580" s="3" t="n">
        <v>1</v>
      </c>
      <c r="H2580" s="24" t="n">
        <v>0.0749238729</v>
      </c>
    </row>
    <row r="2581" customFormat="false" ht="15" hidden="false" customHeight="false" outlineLevel="0" collapsed="false">
      <c r="A2581" s="3" t="n">
        <v>2580</v>
      </c>
      <c r="B2581" s="3" t="n">
        <v>2579</v>
      </c>
      <c r="C2581" s="3" t="s">
        <v>118</v>
      </c>
      <c r="D2581" s="3" t="n">
        <v>9</v>
      </c>
      <c r="E2581" s="3" t="n">
        <v>6</v>
      </c>
      <c r="F2581" s="3" t="n">
        <v>1</v>
      </c>
      <c r="G2581" s="3" t="n">
        <v>2</v>
      </c>
      <c r="H2581" s="24" t="n">
        <v>-0.0904514268</v>
      </c>
    </row>
    <row r="2582" customFormat="false" ht="15" hidden="false" customHeight="false" outlineLevel="0" collapsed="false">
      <c r="A2582" s="3" t="n">
        <v>2581</v>
      </c>
      <c r="B2582" s="3" t="n">
        <v>2580</v>
      </c>
      <c r="C2582" s="3" t="s">
        <v>118</v>
      </c>
      <c r="D2582" s="3" t="n">
        <v>9</v>
      </c>
      <c r="E2582" s="3" t="n">
        <v>6</v>
      </c>
      <c r="F2582" s="3" t="n">
        <v>2</v>
      </c>
      <c r="G2582" s="3" t="n">
        <v>0</v>
      </c>
      <c r="H2582" s="24" t="n">
        <v>0.0471098796</v>
      </c>
    </row>
    <row r="2583" customFormat="false" ht="15" hidden="false" customHeight="false" outlineLevel="0" collapsed="false">
      <c r="A2583" s="3" t="n">
        <v>2582</v>
      </c>
      <c r="B2583" s="3" t="n">
        <v>2581</v>
      </c>
      <c r="C2583" s="3" t="s">
        <v>118</v>
      </c>
      <c r="D2583" s="3" t="n">
        <v>9</v>
      </c>
      <c r="E2583" s="3" t="n">
        <v>6</v>
      </c>
      <c r="F2583" s="3" t="n">
        <v>2</v>
      </c>
      <c r="G2583" s="3" t="n">
        <v>1</v>
      </c>
      <c r="H2583" s="24" t="n">
        <v>0.213507503</v>
      </c>
    </row>
    <row r="2584" customFormat="false" ht="15" hidden="false" customHeight="false" outlineLevel="0" collapsed="false">
      <c r="A2584" s="3" t="n">
        <v>2583</v>
      </c>
      <c r="B2584" s="3" t="n">
        <v>2582</v>
      </c>
      <c r="C2584" s="3" t="s">
        <v>118</v>
      </c>
      <c r="D2584" s="3" t="n">
        <v>9</v>
      </c>
      <c r="E2584" s="3" t="n">
        <v>6</v>
      </c>
      <c r="F2584" s="3" t="n">
        <v>2</v>
      </c>
      <c r="G2584" s="3" t="n">
        <v>2</v>
      </c>
      <c r="H2584" s="24" t="n">
        <v>-0.109228782</v>
      </c>
    </row>
    <row r="2585" customFormat="false" ht="15" hidden="false" customHeight="false" outlineLevel="0" collapsed="false">
      <c r="A2585" s="3" t="n">
        <v>2584</v>
      </c>
      <c r="B2585" s="3" t="n">
        <v>2583</v>
      </c>
      <c r="C2585" s="3" t="s">
        <v>118</v>
      </c>
      <c r="D2585" s="3" t="n">
        <v>9</v>
      </c>
      <c r="E2585" s="3" t="n">
        <v>7</v>
      </c>
      <c r="F2585" s="3" t="n">
        <v>0</v>
      </c>
      <c r="G2585" s="3" t="n">
        <v>0</v>
      </c>
      <c r="H2585" s="24" t="n">
        <v>0.0966819078</v>
      </c>
    </row>
    <row r="2586" customFormat="false" ht="15" hidden="false" customHeight="false" outlineLevel="0" collapsed="false">
      <c r="A2586" s="3" t="n">
        <v>2585</v>
      </c>
      <c r="B2586" s="3" t="n">
        <v>2584</v>
      </c>
      <c r="C2586" s="3" t="s">
        <v>118</v>
      </c>
      <c r="D2586" s="3" t="n">
        <v>9</v>
      </c>
      <c r="E2586" s="3" t="n">
        <v>7</v>
      </c>
      <c r="F2586" s="3" t="n">
        <v>0</v>
      </c>
      <c r="G2586" s="3" t="n">
        <v>1</v>
      </c>
      <c r="H2586" s="24" t="n">
        <v>0.00616014982</v>
      </c>
    </row>
    <row r="2587" customFormat="false" ht="15" hidden="false" customHeight="false" outlineLevel="0" collapsed="false">
      <c r="A2587" s="3" t="n">
        <v>2586</v>
      </c>
      <c r="B2587" s="3" t="n">
        <v>2585</v>
      </c>
      <c r="C2587" s="3" t="s">
        <v>118</v>
      </c>
      <c r="D2587" s="3" t="n">
        <v>9</v>
      </c>
      <c r="E2587" s="3" t="n">
        <v>7</v>
      </c>
      <c r="F2587" s="3" t="n">
        <v>0</v>
      </c>
      <c r="G2587" s="3" t="n">
        <v>2</v>
      </c>
      <c r="H2587" s="24" t="n">
        <v>-0.0841104016</v>
      </c>
    </row>
    <row r="2588" customFormat="false" ht="15" hidden="false" customHeight="false" outlineLevel="0" collapsed="false">
      <c r="A2588" s="3" t="n">
        <v>2587</v>
      </c>
      <c r="B2588" s="3" t="n">
        <v>2586</v>
      </c>
      <c r="C2588" s="3" t="s">
        <v>118</v>
      </c>
      <c r="D2588" s="3" t="n">
        <v>9</v>
      </c>
      <c r="E2588" s="3" t="n">
        <v>7</v>
      </c>
      <c r="F2588" s="3" t="n">
        <v>1</v>
      </c>
      <c r="G2588" s="3" t="n">
        <v>0</v>
      </c>
      <c r="H2588" s="24" t="n">
        <v>0.0144235138</v>
      </c>
    </row>
    <row r="2589" customFormat="false" ht="15" hidden="false" customHeight="false" outlineLevel="0" collapsed="false">
      <c r="A2589" s="3" t="n">
        <v>2588</v>
      </c>
      <c r="B2589" s="3" t="n">
        <v>2587</v>
      </c>
      <c r="C2589" s="3" t="s">
        <v>118</v>
      </c>
      <c r="D2589" s="3" t="n">
        <v>9</v>
      </c>
      <c r="E2589" s="3" t="n">
        <v>7</v>
      </c>
      <c r="F2589" s="3" t="n">
        <v>1</v>
      </c>
      <c r="G2589" s="3" t="n">
        <v>1</v>
      </c>
      <c r="H2589" s="24" t="n">
        <v>0.109360382</v>
      </c>
    </row>
    <row r="2590" customFormat="false" ht="15" hidden="false" customHeight="false" outlineLevel="0" collapsed="false">
      <c r="A2590" s="3" t="n">
        <v>2589</v>
      </c>
      <c r="B2590" s="3" t="n">
        <v>2588</v>
      </c>
      <c r="C2590" s="3" t="s">
        <v>118</v>
      </c>
      <c r="D2590" s="3" t="n">
        <v>9</v>
      </c>
      <c r="E2590" s="3" t="n">
        <v>7</v>
      </c>
      <c r="F2590" s="3" t="n">
        <v>1</v>
      </c>
      <c r="G2590" s="3" t="n">
        <v>2</v>
      </c>
      <c r="H2590" s="24" t="n">
        <v>-0.278614998</v>
      </c>
    </row>
    <row r="2591" customFormat="false" ht="15" hidden="false" customHeight="false" outlineLevel="0" collapsed="false">
      <c r="A2591" s="3" t="n">
        <v>2590</v>
      </c>
      <c r="B2591" s="3" t="n">
        <v>2589</v>
      </c>
      <c r="C2591" s="3" t="s">
        <v>118</v>
      </c>
      <c r="D2591" s="3" t="n">
        <v>9</v>
      </c>
      <c r="E2591" s="3" t="n">
        <v>7</v>
      </c>
      <c r="F2591" s="3" t="n">
        <v>2</v>
      </c>
      <c r="G2591" s="3" t="n">
        <v>0</v>
      </c>
      <c r="H2591" s="24" t="n">
        <v>0.137756139</v>
      </c>
    </row>
    <row r="2592" customFormat="false" ht="15" hidden="false" customHeight="false" outlineLevel="0" collapsed="false">
      <c r="A2592" s="3" t="n">
        <v>2591</v>
      </c>
      <c r="B2592" s="3" t="n">
        <v>2590</v>
      </c>
      <c r="C2592" s="3" t="s">
        <v>118</v>
      </c>
      <c r="D2592" s="3" t="n">
        <v>9</v>
      </c>
      <c r="E2592" s="3" t="n">
        <v>7</v>
      </c>
      <c r="F2592" s="3" t="n">
        <v>2</v>
      </c>
      <c r="G2592" s="3" t="n">
        <v>1</v>
      </c>
      <c r="H2592" s="24" t="n">
        <v>-0.0471310169</v>
      </c>
    </row>
    <row r="2593" customFormat="false" ht="15" hidden="false" customHeight="false" outlineLevel="0" collapsed="false">
      <c r="A2593" s="3" t="n">
        <v>2592</v>
      </c>
      <c r="B2593" s="3" t="n">
        <v>2591</v>
      </c>
      <c r="C2593" s="3" t="s">
        <v>118</v>
      </c>
      <c r="D2593" s="3" t="n">
        <v>9</v>
      </c>
      <c r="E2593" s="3" t="n">
        <v>7</v>
      </c>
      <c r="F2593" s="3" t="n">
        <v>2</v>
      </c>
      <c r="G2593" s="3" t="n">
        <v>2</v>
      </c>
      <c r="H2593" s="24" t="n">
        <v>-0.0199325681</v>
      </c>
    </row>
    <row r="2594" customFormat="false" ht="15" hidden="false" customHeight="false" outlineLevel="0" collapsed="false">
      <c r="A2594" s="3" t="n">
        <v>2593</v>
      </c>
      <c r="B2594" s="3" t="n">
        <v>2592</v>
      </c>
      <c r="C2594" s="3" t="s">
        <v>118</v>
      </c>
      <c r="D2594" s="3" t="n">
        <v>9</v>
      </c>
      <c r="E2594" s="3" t="n">
        <v>8</v>
      </c>
      <c r="F2594" s="3" t="n">
        <v>0</v>
      </c>
      <c r="G2594" s="3" t="n">
        <v>0</v>
      </c>
      <c r="H2594" s="24" t="n">
        <v>0.179437712</v>
      </c>
    </row>
    <row r="2595" customFormat="false" ht="15" hidden="false" customHeight="false" outlineLevel="0" collapsed="false">
      <c r="A2595" s="3" t="n">
        <v>2594</v>
      </c>
      <c r="B2595" s="3" t="n">
        <v>2593</v>
      </c>
      <c r="C2595" s="3" t="s">
        <v>118</v>
      </c>
      <c r="D2595" s="3" t="n">
        <v>9</v>
      </c>
      <c r="E2595" s="3" t="n">
        <v>8</v>
      </c>
      <c r="F2595" s="3" t="n">
        <v>0</v>
      </c>
      <c r="G2595" s="3" t="n">
        <v>1</v>
      </c>
      <c r="H2595" s="24" t="n">
        <v>0.183515266</v>
      </c>
    </row>
    <row r="2596" customFormat="false" ht="15" hidden="false" customHeight="false" outlineLevel="0" collapsed="false">
      <c r="A2596" s="3" t="n">
        <v>2595</v>
      </c>
      <c r="B2596" s="3" t="n">
        <v>2594</v>
      </c>
      <c r="C2596" s="3" t="s">
        <v>118</v>
      </c>
      <c r="D2596" s="3" t="n">
        <v>9</v>
      </c>
      <c r="E2596" s="3" t="n">
        <v>8</v>
      </c>
      <c r="F2596" s="3" t="n">
        <v>0</v>
      </c>
      <c r="G2596" s="3" t="n">
        <v>2</v>
      </c>
      <c r="H2596" s="24" t="n">
        <v>0.106291801</v>
      </c>
    </row>
    <row r="2597" customFormat="false" ht="15" hidden="false" customHeight="false" outlineLevel="0" collapsed="false">
      <c r="A2597" s="3" t="n">
        <v>2596</v>
      </c>
      <c r="B2597" s="3" t="n">
        <v>2595</v>
      </c>
      <c r="C2597" s="3" t="s">
        <v>118</v>
      </c>
      <c r="D2597" s="3" t="n">
        <v>9</v>
      </c>
      <c r="E2597" s="3" t="n">
        <v>8</v>
      </c>
      <c r="F2597" s="3" t="n">
        <v>1</v>
      </c>
      <c r="G2597" s="3" t="n">
        <v>0</v>
      </c>
      <c r="H2597" s="24" t="n">
        <v>-0.00207530265</v>
      </c>
    </row>
    <row r="2598" customFormat="false" ht="15" hidden="false" customHeight="false" outlineLevel="0" collapsed="false">
      <c r="A2598" s="3" t="n">
        <v>2597</v>
      </c>
      <c r="B2598" s="3" t="n">
        <v>2596</v>
      </c>
      <c r="C2598" s="3" t="s">
        <v>118</v>
      </c>
      <c r="D2598" s="3" t="n">
        <v>9</v>
      </c>
      <c r="E2598" s="3" t="n">
        <v>8</v>
      </c>
      <c r="F2598" s="3" t="n">
        <v>1</v>
      </c>
      <c r="G2598" s="3" t="n">
        <v>1</v>
      </c>
      <c r="H2598" s="24" t="n">
        <v>0.111644208</v>
      </c>
    </row>
    <row r="2599" customFormat="false" ht="15" hidden="false" customHeight="false" outlineLevel="0" collapsed="false">
      <c r="A2599" s="3" t="n">
        <v>2598</v>
      </c>
      <c r="B2599" s="3" t="n">
        <v>2597</v>
      </c>
      <c r="C2599" s="3" t="s">
        <v>118</v>
      </c>
      <c r="D2599" s="3" t="n">
        <v>9</v>
      </c>
      <c r="E2599" s="3" t="n">
        <v>8</v>
      </c>
      <c r="F2599" s="3" t="n">
        <v>1</v>
      </c>
      <c r="G2599" s="3" t="n">
        <v>2</v>
      </c>
      <c r="H2599" s="24" t="n">
        <v>-0.196329832</v>
      </c>
    </row>
    <row r="2600" customFormat="false" ht="15" hidden="false" customHeight="false" outlineLevel="0" collapsed="false">
      <c r="A2600" s="3" t="n">
        <v>2599</v>
      </c>
      <c r="B2600" s="3" t="n">
        <v>2598</v>
      </c>
      <c r="C2600" s="3" t="s">
        <v>118</v>
      </c>
      <c r="D2600" s="3" t="n">
        <v>9</v>
      </c>
      <c r="E2600" s="3" t="n">
        <v>8</v>
      </c>
      <c r="F2600" s="3" t="n">
        <v>2</v>
      </c>
      <c r="G2600" s="3" t="n">
        <v>0</v>
      </c>
      <c r="H2600" s="24" t="n">
        <v>-0.156846628</v>
      </c>
    </row>
    <row r="2601" customFormat="false" ht="15" hidden="false" customHeight="false" outlineLevel="0" collapsed="false">
      <c r="A2601" s="3" t="n">
        <v>2600</v>
      </c>
      <c r="B2601" s="3" t="n">
        <v>2599</v>
      </c>
      <c r="C2601" s="3" t="s">
        <v>118</v>
      </c>
      <c r="D2601" s="3" t="n">
        <v>9</v>
      </c>
      <c r="E2601" s="3" t="n">
        <v>8</v>
      </c>
      <c r="F2601" s="3" t="n">
        <v>2</v>
      </c>
      <c r="G2601" s="3" t="n">
        <v>1</v>
      </c>
      <c r="H2601" s="24" t="n">
        <v>-0.0638273954</v>
      </c>
    </row>
    <row r="2602" customFormat="false" ht="15" hidden="false" customHeight="false" outlineLevel="0" collapsed="false">
      <c r="A2602" s="3" t="n">
        <v>2601</v>
      </c>
      <c r="B2602" s="3" t="n">
        <v>2600</v>
      </c>
      <c r="C2602" s="3" t="s">
        <v>118</v>
      </c>
      <c r="D2602" s="3" t="n">
        <v>9</v>
      </c>
      <c r="E2602" s="3" t="n">
        <v>8</v>
      </c>
      <c r="F2602" s="3" t="n">
        <v>2</v>
      </c>
      <c r="G2602" s="3" t="n">
        <v>2</v>
      </c>
      <c r="H2602" s="24" t="n">
        <v>-0.0621171072</v>
      </c>
    </row>
    <row r="2603" customFormat="false" ht="15" hidden="false" customHeight="false" outlineLevel="0" collapsed="false">
      <c r="A2603" s="3" t="n">
        <v>2602</v>
      </c>
      <c r="B2603" s="3" t="n">
        <v>2601</v>
      </c>
      <c r="C2603" s="3" t="s">
        <v>118</v>
      </c>
      <c r="D2603" s="3" t="n">
        <v>9</v>
      </c>
      <c r="E2603" s="3" t="n">
        <v>9</v>
      </c>
      <c r="F2603" s="3" t="n">
        <v>0</v>
      </c>
      <c r="G2603" s="3" t="n">
        <v>0</v>
      </c>
      <c r="H2603" s="24" t="n">
        <v>0.0246340744</v>
      </c>
    </row>
    <row r="2604" customFormat="false" ht="15" hidden="false" customHeight="false" outlineLevel="0" collapsed="false">
      <c r="A2604" s="3" t="n">
        <v>2603</v>
      </c>
      <c r="B2604" s="3" t="n">
        <v>2602</v>
      </c>
      <c r="C2604" s="3" t="s">
        <v>118</v>
      </c>
      <c r="D2604" s="3" t="n">
        <v>9</v>
      </c>
      <c r="E2604" s="3" t="n">
        <v>9</v>
      </c>
      <c r="F2604" s="3" t="n">
        <v>0</v>
      </c>
      <c r="G2604" s="3" t="n">
        <v>1</v>
      </c>
      <c r="H2604" s="24" t="n">
        <v>-0.164564818</v>
      </c>
    </row>
    <row r="2605" customFormat="false" ht="15" hidden="false" customHeight="false" outlineLevel="0" collapsed="false">
      <c r="A2605" s="3" t="n">
        <v>2604</v>
      </c>
      <c r="B2605" s="3" t="n">
        <v>2603</v>
      </c>
      <c r="C2605" s="3" t="s">
        <v>118</v>
      </c>
      <c r="D2605" s="3" t="n">
        <v>9</v>
      </c>
      <c r="E2605" s="3" t="n">
        <v>9</v>
      </c>
      <c r="F2605" s="3" t="n">
        <v>0</v>
      </c>
      <c r="G2605" s="3" t="n">
        <v>2</v>
      </c>
      <c r="H2605" s="24" t="n">
        <v>-0.0784205198</v>
      </c>
    </row>
    <row r="2606" customFormat="false" ht="15" hidden="false" customHeight="false" outlineLevel="0" collapsed="false">
      <c r="A2606" s="3" t="n">
        <v>2605</v>
      </c>
      <c r="B2606" s="3" t="n">
        <v>2604</v>
      </c>
      <c r="C2606" s="3" t="s">
        <v>118</v>
      </c>
      <c r="D2606" s="3" t="n">
        <v>9</v>
      </c>
      <c r="E2606" s="3" t="n">
        <v>9</v>
      </c>
      <c r="F2606" s="3" t="n">
        <v>1</v>
      </c>
      <c r="G2606" s="3" t="n">
        <v>0</v>
      </c>
      <c r="H2606" s="24" t="n">
        <v>0.04656104</v>
      </c>
    </row>
    <row r="2607" customFormat="false" ht="15" hidden="false" customHeight="false" outlineLevel="0" collapsed="false">
      <c r="A2607" s="3" t="n">
        <v>2606</v>
      </c>
      <c r="B2607" s="3" t="n">
        <v>2605</v>
      </c>
      <c r="C2607" s="3" t="s">
        <v>118</v>
      </c>
      <c r="D2607" s="3" t="n">
        <v>9</v>
      </c>
      <c r="E2607" s="3" t="n">
        <v>9</v>
      </c>
      <c r="F2607" s="3" t="n">
        <v>1</v>
      </c>
      <c r="G2607" s="3" t="n">
        <v>1</v>
      </c>
      <c r="H2607" s="24" t="n">
        <v>0.0462296344</v>
      </c>
    </row>
    <row r="2608" customFormat="false" ht="15" hidden="false" customHeight="false" outlineLevel="0" collapsed="false">
      <c r="A2608" s="3" t="n">
        <v>2607</v>
      </c>
      <c r="B2608" s="3" t="n">
        <v>2606</v>
      </c>
      <c r="C2608" s="3" t="s">
        <v>118</v>
      </c>
      <c r="D2608" s="3" t="n">
        <v>9</v>
      </c>
      <c r="E2608" s="3" t="n">
        <v>9</v>
      </c>
      <c r="F2608" s="3" t="n">
        <v>1</v>
      </c>
      <c r="G2608" s="3" t="n">
        <v>2</v>
      </c>
      <c r="H2608" s="24" t="n">
        <v>0.385153562</v>
      </c>
    </row>
    <row r="2609" customFormat="false" ht="15" hidden="false" customHeight="false" outlineLevel="0" collapsed="false">
      <c r="A2609" s="3" t="n">
        <v>2608</v>
      </c>
      <c r="B2609" s="3" t="n">
        <v>2607</v>
      </c>
      <c r="C2609" s="3" t="s">
        <v>118</v>
      </c>
      <c r="D2609" s="3" t="n">
        <v>9</v>
      </c>
      <c r="E2609" s="3" t="n">
        <v>9</v>
      </c>
      <c r="F2609" s="3" t="n">
        <v>2</v>
      </c>
      <c r="G2609" s="3" t="n">
        <v>0</v>
      </c>
      <c r="H2609" s="24" t="n">
        <v>0.0632939637</v>
      </c>
    </row>
    <row r="2610" customFormat="false" ht="15" hidden="false" customHeight="false" outlineLevel="0" collapsed="false">
      <c r="A2610" s="3" t="n">
        <v>2609</v>
      </c>
      <c r="B2610" s="3" t="n">
        <v>2608</v>
      </c>
      <c r="C2610" s="3" t="s">
        <v>118</v>
      </c>
      <c r="D2610" s="3" t="n">
        <v>9</v>
      </c>
      <c r="E2610" s="3" t="n">
        <v>9</v>
      </c>
      <c r="F2610" s="3" t="n">
        <v>2</v>
      </c>
      <c r="G2610" s="3" t="n">
        <v>1</v>
      </c>
      <c r="H2610" s="24" t="n">
        <v>0.392652482</v>
      </c>
    </row>
    <row r="2611" customFormat="false" ht="15" hidden="false" customHeight="false" outlineLevel="0" collapsed="false">
      <c r="A2611" s="3" t="n">
        <v>2610</v>
      </c>
      <c r="B2611" s="3" t="n">
        <v>2609</v>
      </c>
      <c r="C2611" s="3" t="s">
        <v>118</v>
      </c>
      <c r="D2611" s="3" t="n">
        <v>9</v>
      </c>
      <c r="E2611" s="3" t="n">
        <v>9</v>
      </c>
      <c r="F2611" s="3" t="n">
        <v>2</v>
      </c>
      <c r="G2611" s="3" t="n">
        <v>2</v>
      </c>
      <c r="H2611" s="24" t="n">
        <v>0.0418751538</v>
      </c>
    </row>
    <row r="2612" customFormat="false" ht="15" hidden="false" customHeight="false" outlineLevel="0" collapsed="false">
      <c r="A2612" s="3" t="n">
        <v>2611</v>
      </c>
      <c r="B2612" s="3" t="n">
        <v>2610</v>
      </c>
      <c r="C2612" s="3" t="s">
        <v>118</v>
      </c>
      <c r="D2612" s="3" t="n">
        <v>9</v>
      </c>
      <c r="E2612" s="3" t="n">
        <v>10</v>
      </c>
      <c r="F2612" s="3" t="n">
        <v>0</v>
      </c>
      <c r="G2612" s="3" t="n">
        <v>0</v>
      </c>
      <c r="H2612" s="24" t="n">
        <v>-0.104857445</v>
      </c>
    </row>
    <row r="2613" customFormat="false" ht="15" hidden="false" customHeight="false" outlineLevel="0" collapsed="false">
      <c r="A2613" s="3" t="n">
        <v>2612</v>
      </c>
      <c r="B2613" s="3" t="n">
        <v>2611</v>
      </c>
      <c r="C2613" s="3" t="s">
        <v>118</v>
      </c>
      <c r="D2613" s="3" t="n">
        <v>9</v>
      </c>
      <c r="E2613" s="3" t="n">
        <v>10</v>
      </c>
      <c r="F2613" s="3" t="n">
        <v>0</v>
      </c>
      <c r="G2613" s="3" t="n">
        <v>1</v>
      </c>
      <c r="H2613" s="24" t="n">
        <v>-0.00840770546</v>
      </c>
    </row>
    <row r="2614" customFormat="false" ht="15" hidden="false" customHeight="false" outlineLevel="0" collapsed="false">
      <c r="A2614" s="3" t="n">
        <v>2613</v>
      </c>
      <c r="B2614" s="3" t="n">
        <v>2612</v>
      </c>
      <c r="C2614" s="3" t="s">
        <v>118</v>
      </c>
      <c r="D2614" s="3" t="n">
        <v>9</v>
      </c>
      <c r="E2614" s="3" t="n">
        <v>10</v>
      </c>
      <c r="F2614" s="3" t="n">
        <v>0</v>
      </c>
      <c r="G2614" s="3" t="n">
        <v>2</v>
      </c>
      <c r="H2614" s="24" t="n">
        <v>0.166050151</v>
      </c>
    </row>
    <row r="2615" customFormat="false" ht="15" hidden="false" customHeight="false" outlineLevel="0" collapsed="false">
      <c r="A2615" s="3" t="n">
        <v>2614</v>
      </c>
      <c r="B2615" s="3" t="n">
        <v>2613</v>
      </c>
      <c r="C2615" s="3" t="s">
        <v>118</v>
      </c>
      <c r="D2615" s="3" t="n">
        <v>9</v>
      </c>
      <c r="E2615" s="3" t="n">
        <v>10</v>
      </c>
      <c r="F2615" s="3" t="n">
        <v>1</v>
      </c>
      <c r="G2615" s="3" t="n">
        <v>0</v>
      </c>
      <c r="H2615" s="24" t="n">
        <v>0.0765983313</v>
      </c>
    </row>
    <row r="2616" customFormat="false" ht="15" hidden="false" customHeight="false" outlineLevel="0" collapsed="false">
      <c r="A2616" s="3" t="n">
        <v>2615</v>
      </c>
      <c r="B2616" s="3" t="n">
        <v>2614</v>
      </c>
      <c r="C2616" s="3" t="s">
        <v>118</v>
      </c>
      <c r="D2616" s="3" t="n">
        <v>9</v>
      </c>
      <c r="E2616" s="3" t="n">
        <v>10</v>
      </c>
      <c r="F2616" s="3" t="n">
        <v>1</v>
      </c>
      <c r="G2616" s="3" t="n">
        <v>1</v>
      </c>
      <c r="H2616" s="24" t="n">
        <v>0.0470213704</v>
      </c>
    </row>
    <row r="2617" customFormat="false" ht="15" hidden="false" customHeight="false" outlineLevel="0" collapsed="false">
      <c r="A2617" s="3" t="n">
        <v>2616</v>
      </c>
      <c r="B2617" s="3" t="n">
        <v>2615</v>
      </c>
      <c r="C2617" s="3" t="s">
        <v>118</v>
      </c>
      <c r="D2617" s="3" t="n">
        <v>9</v>
      </c>
      <c r="E2617" s="3" t="n">
        <v>10</v>
      </c>
      <c r="F2617" s="3" t="n">
        <v>1</v>
      </c>
      <c r="G2617" s="3" t="n">
        <v>2</v>
      </c>
      <c r="H2617" s="24" t="n">
        <v>0.0884734392</v>
      </c>
    </row>
    <row r="2618" customFormat="false" ht="15" hidden="false" customHeight="false" outlineLevel="0" collapsed="false">
      <c r="A2618" s="3" t="n">
        <v>2617</v>
      </c>
      <c r="B2618" s="3" t="n">
        <v>2616</v>
      </c>
      <c r="C2618" s="3" t="s">
        <v>118</v>
      </c>
      <c r="D2618" s="3" t="n">
        <v>9</v>
      </c>
      <c r="E2618" s="3" t="n">
        <v>10</v>
      </c>
      <c r="F2618" s="3" t="n">
        <v>2</v>
      </c>
      <c r="G2618" s="3" t="n">
        <v>0</v>
      </c>
      <c r="H2618" s="24" t="n">
        <v>0.115856662</v>
      </c>
    </row>
    <row r="2619" customFormat="false" ht="15" hidden="false" customHeight="false" outlineLevel="0" collapsed="false">
      <c r="A2619" s="3" t="n">
        <v>2618</v>
      </c>
      <c r="B2619" s="3" t="n">
        <v>2617</v>
      </c>
      <c r="C2619" s="3" t="s">
        <v>118</v>
      </c>
      <c r="D2619" s="3" t="n">
        <v>9</v>
      </c>
      <c r="E2619" s="3" t="n">
        <v>10</v>
      </c>
      <c r="F2619" s="3" t="n">
        <v>2</v>
      </c>
      <c r="G2619" s="3" t="n">
        <v>1</v>
      </c>
      <c r="H2619" s="24" t="n">
        <v>0.0507122912</v>
      </c>
    </row>
    <row r="2620" customFormat="false" ht="15" hidden="false" customHeight="false" outlineLevel="0" collapsed="false">
      <c r="A2620" s="3" t="n">
        <v>2619</v>
      </c>
      <c r="B2620" s="3" t="n">
        <v>2618</v>
      </c>
      <c r="C2620" s="3" t="s">
        <v>118</v>
      </c>
      <c r="D2620" s="3" t="n">
        <v>9</v>
      </c>
      <c r="E2620" s="3" t="n">
        <v>10</v>
      </c>
      <c r="F2620" s="3" t="n">
        <v>2</v>
      </c>
      <c r="G2620" s="3" t="n">
        <v>2</v>
      </c>
      <c r="H2620" s="24" t="n">
        <v>-0.0238883886</v>
      </c>
    </row>
    <row r="2621" customFormat="false" ht="15" hidden="false" customHeight="false" outlineLevel="0" collapsed="false">
      <c r="A2621" s="3" t="n">
        <v>2620</v>
      </c>
      <c r="B2621" s="3" t="n">
        <v>2619</v>
      </c>
      <c r="C2621" s="3" t="s">
        <v>118</v>
      </c>
      <c r="D2621" s="3" t="n">
        <v>9</v>
      </c>
      <c r="E2621" s="3" t="n">
        <v>11</v>
      </c>
      <c r="F2621" s="3" t="n">
        <v>0</v>
      </c>
      <c r="G2621" s="3" t="n">
        <v>0</v>
      </c>
      <c r="H2621" s="24" t="n">
        <v>0.0342781655</v>
      </c>
    </row>
    <row r="2622" customFormat="false" ht="15" hidden="false" customHeight="false" outlineLevel="0" collapsed="false">
      <c r="A2622" s="3" t="n">
        <v>2621</v>
      </c>
      <c r="B2622" s="3" t="n">
        <v>2620</v>
      </c>
      <c r="C2622" s="3" t="s">
        <v>118</v>
      </c>
      <c r="D2622" s="3" t="n">
        <v>9</v>
      </c>
      <c r="E2622" s="3" t="n">
        <v>11</v>
      </c>
      <c r="F2622" s="3" t="n">
        <v>0</v>
      </c>
      <c r="G2622" s="3" t="n">
        <v>1</v>
      </c>
      <c r="H2622" s="24" t="n">
        <v>0.0455870628</v>
      </c>
    </row>
    <row r="2623" customFormat="false" ht="15" hidden="false" customHeight="false" outlineLevel="0" collapsed="false">
      <c r="A2623" s="3" t="n">
        <v>2622</v>
      </c>
      <c r="B2623" s="3" t="n">
        <v>2621</v>
      </c>
      <c r="C2623" s="3" t="s">
        <v>118</v>
      </c>
      <c r="D2623" s="3" t="n">
        <v>9</v>
      </c>
      <c r="E2623" s="3" t="n">
        <v>11</v>
      </c>
      <c r="F2623" s="3" t="n">
        <v>0</v>
      </c>
      <c r="G2623" s="3" t="n">
        <v>2</v>
      </c>
      <c r="H2623" s="24" t="n">
        <v>-0.149980083</v>
      </c>
    </row>
    <row r="2624" customFormat="false" ht="15" hidden="false" customHeight="false" outlineLevel="0" collapsed="false">
      <c r="A2624" s="3" t="n">
        <v>2623</v>
      </c>
      <c r="B2624" s="3" t="n">
        <v>2622</v>
      </c>
      <c r="C2624" s="3" t="s">
        <v>118</v>
      </c>
      <c r="D2624" s="3" t="n">
        <v>9</v>
      </c>
      <c r="E2624" s="3" t="n">
        <v>11</v>
      </c>
      <c r="F2624" s="3" t="n">
        <v>1</v>
      </c>
      <c r="G2624" s="3" t="n">
        <v>0</v>
      </c>
      <c r="H2624" s="24" t="n">
        <v>-0.0033094387</v>
      </c>
    </row>
    <row r="2625" customFormat="false" ht="15" hidden="false" customHeight="false" outlineLevel="0" collapsed="false">
      <c r="A2625" s="3" t="n">
        <v>2624</v>
      </c>
      <c r="B2625" s="3" t="n">
        <v>2623</v>
      </c>
      <c r="C2625" s="3" t="s">
        <v>118</v>
      </c>
      <c r="D2625" s="3" t="n">
        <v>9</v>
      </c>
      <c r="E2625" s="3" t="n">
        <v>11</v>
      </c>
      <c r="F2625" s="3" t="n">
        <v>1</v>
      </c>
      <c r="G2625" s="3" t="n">
        <v>1</v>
      </c>
      <c r="H2625" s="24" t="n">
        <v>-0.111393623</v>
      </c>
    </row>
    <row r="2626" customFormat="false" ht="15" hidden="false" customHeight="false" outlineLevel="0" collapsed="false">
      <c r="A2626" s="3" t="n">
        <v>2625</v>
      </c>
      <c r="B2626" s="3" t="n">
        <v>2624</v>
      </c>
      <c r="C2626" s="3" t="s">
        <v>118</v>
      </c>
      <c r="D2626" s="3" t="n">
        <v>9</v>
      </c>
      <c r="E2626" s="3" t="n">
        <v>11</v>
      </c>
      <c r="F2626" s="3" t="n">
        <v>1</v>
      </c>
      <c r="G2626" s="3" t="n">
        <v>2</v>
      </c>
      <c r="H2626" s="24" t="n">
        <v>0.133234411</v>
      </c>
    </row>
    <row r="2627" customFormat="false" ht="15" hidden="false" customHeight="false" outlineLevel="0" collapsed="false">
      <c r="A2627" s="3" t="n">
        <v>2626</v>
      </c>
      <c r="B2627" s="3" t="n">
        <v>2625</v>
      </c>
      <c r="C2627" s="3" t="s">
        <v>118</v>
      </c>
      <c r="D2627" s="3" t="n">
        <v>9</v>
      </c>
      <c r="E2627" s="3" t="n">
        <v>11</v>
      </c>
      <c r="F2627" s="3" t="n">
        <v>2</v>
      </c>
      <c r="G2627" s="3" t="n">
        <v>0</v>
      </c>
      <c r="H2627" s="24" t="n">
        <v>-0.123706728</v>
      </c>
    </row>
    <row r="2628" customFormat="false" ht="15" hidden="false" customHeight="false" outlineLevel="0" collapsed="false">
      <c r="A2628" s="3" t="n">
        <v>2627</v>
      </c>
      <c r="B2628" s="3" t="n">
        <v>2626</v>
      </c>
      <c r="C2628" s="3" t="s">
        <v>118</v>
      </c>
      <c r="D2628" s="3" t="n">
        <v>9</v>
      </c>
      <c r="E2628" s="3" t="n">
        <v>11</v>
      </c>
      <c r="F2628" s="3" t="n">
        <v>2</v>
      </c>
      <c r="G2628" s="3" t="n">
        <v>1</v>
      </c>
      <c r="H2628" s="24" t="n">
        <v>0.0535253175</v>
      </c>
    </row>
    <row r="2629" customFormat="false" ht="15" hidden="false" customHeight="false" outlineLevel="0" collapsed="false">
      <c r="A2629" s="3" t="n">
        <v>2628</v>
      </c>
      <c r="B2629" s="3" t="n">
        <v>2627</v>
      </c>
      <c r="C2629" s="3" t="s">
        <v>118</v>
      </c>
      <c r="D2629" s="3" t="n">
        <v>9</v>
      </c>
      <c r="E2629" s="3" t="n">
        <v>11</v>
      </c>
      <c r="F2629" s="3" t="n">
        <v>2</v>
      </c>
      <c r="G2629" s="3" t="n">
        <v>2</v>
      </c>
      <c r="H2629" s="24" t="n">
        <v>-0.0449713878</v>
      </c>
    </row>
    <row r="2630" customFormat="false" ht="15" hidden="false" customHeight="false" outlineLevel="0" collapsed="false">
      <c r="A2630" s="3" t="n">
        <v>2629</v>
      </c>
      <c r="B2630" s="3" t="n">
        <v>2628</v>
      </c>
      <c r="C2630" s="3" t="s">
        <v>118</v>
      </c>
      <c r="D2630" s="3" t="n">
        <v>9</v>
      </c>
      <c r="E2630" s="3" t="n">
        <v>12</v>
      </c>
      <c r="F2630" s="3" t="n">
        <v>0</v>
      </c>
      <c r="G2630" s="3" t="n">
        <v>0</v>
      </c>
      <c r="H2630" s="24" t="n">
        <v>-0.0316028967</v>
      </c>
    </row>
    <row r="2631" customFormat="false" ht="15" hidden="false" customHeight="false" outlineLevel="0" collapsed="false">
      <c r="A2631" s="3" t="n">
        <v>2630</v>
      </c>
      <c r="B2631" s="3" t="n">
        <v>2629</v>
      </c>
      <c r="C2631" s="3" t="s">
        <v>118</v>
      </c>
      <c r="D2631" s="3" t="n">
        <v>9</v>
      </c>
      <c r="E2631" s="3" t="n">
        <v>12</v>
      </c>
      <c r="F2631" s="3" t="n">
        <v>0</v>
      </c>
      <c r="G2631" s="3" t="n">
        <v>1</v>
      </c>
      <c r="H2631" s="24" t="n">
        <v>-0.234082475</v>
      </c>
    </row>
    <row r="2632" customFormat="false" ht="15" hidden="false" customHeight="false" outlineLevel="0" collapsed="false">
      <c r="A2632" s="3" t="n">
        <v>2631</v>
      </c>
      <c r="B2632" s="3" t="n">
        <v>2630</v>
      </c>
      <c r="C2632" s="3" t="s">
        <v>118</v>
      </c>
      <c r="D2632" s="3" t="n">
        <v>9</v>
      </c>
      <c r="E2632" s="3" t="n">
        <v>12</v>
      </c>
      <c r="F2632" s="3" t="n">
        <v>0</v>
      </c>
      <c r="G2632" s="3" t="n">
        <v>2</v>
      </c>
      <c r="H2632" s="24" t="n">
        <v>-0.262610584</v>
      </c>
    </row>
    <row r="2633" customFormat="false" ht="15" hidden="false" customHeight="false" outlineLevel="0" collapsed="false">
      <c r="A2633" s="3" t="n">
        <v>2632</v>
      </c>
      <c r="B2633" s="3" t="n">
        <v>2631</v>
      </c>
      <c r="C2633" s="3" t="s">
        <v>118</v>
      </c>
      <c r="D2633" s="3" t="n">
        <v>9</v>
      </c>
      <c r="E2633" s="3" t="n">
        <v>12</v>
      </c>
      <c r="F2633" s="3" t="n">
        <v>1</v>
      </c>
      <c r="G2633" s="3" t="n">
        <v>0</v>
      </c>
      <c r="H2633" s="24" t="n">
        <v>-0.0277177785</v>
      </c>
    </row>
    <row r="2634" customFormat="false" ht="15" hidden="false" customHeight="false" outlineLevel="0" collapsed="false">
      <c r="A2634" s="3" t="n">
        <v>2633</v>
      </c>
      <c r="B2634" s="3" t="n">
        <v>2632</v>
      </c>
      <c r="C2634" s="3" t="s">
        <v>118</v>
      </c>
      <c r="D2634" s="3" t="n">
        <v>9</v>
      </c>
      <c r="E2634" s="3" t="n">
        <v>12</v>
      </c>
      <c r="F2634" s="3" t="n">
        <v>1</v>
      </c>
      <c r="G2634" s="3" t="n">
        <v>1</v>
      </c>
      <c r="H2634" s="24" t="n">
        <v>-0.133512437</v>
      </c>
    </row>
    <row r="2635" customFormat="false" ht="15" hidden="false" customHeight="false" outlineLevel="0" collapsed="false">
      <c r="A2635" s="3" t="n">
        <v>2634</v>
      </c>
      <c r="B2635" s="3" t="n">
        <v>2633</v>
      </c>
      <c r="C2635" s="3" t="s">
        <v>118</v>
      </c>
      <c r="D2635" s="3" t="n">
        <v>9</v>
      </c>
      <c r="E2635" s="3" t="n">
        <v>12</v>
      </c>
      <c r="F2635" s="3" t="n">
        <v>1</v>
      </c>
      <c r="G2635" s="3" t="n">
        <v>2</v>
      </c>
      <c r="H2635" s="24" t="n">
        <v>0.185727909</v>
      </c>
    </row>
    <row r="2636" customFormat="false" ht="15" hidden="false" customHeight="false" outlineLevel="0" collapsed="false">
      <c r="A2636" s="3" t="n">
        <v>2635</v>
      </c>
      <c r="B2636" s="3" t="n">
        <v>2634</v>
      </c>
      <c r="C2636" s="3" t="s">
        <v>118</v>
      </c>
      <c r="D2636" s="3" t="n">
        <v>9</v>
      </c>
      <c r="E2636" s="3" t="n">
        <v>12</v>
      </c>
      <c r="F2636" s="3" t="n">
        <v>2</v>
      </c>
      <c r="G2636" s="3" t="n">
        <v>0</v>
      </c>
      <c r="H2636" s="24" t="n">
        <v>0.115992084</v>
      </c>
    </row>
    <row r="2637" customFormat="false" ht="15" hidden="false" customHeight="false" outlineLevel="0" collapsed="false">
      <c r="A2637" s="3" t="n">
        <v>2636</v>
      </c>
      <c r="B2637" s="3" t="n">
        <v>2635</v>
      </c>
      <c r="C2637" s="3" t="s">
        <v>118</v>
      </c>
      <c r="D2637" s="3" t="n">
        <v>9</v>
      </c>
      <c r="E2637" s="3" t="n">
        <v>12</v>
      </c>
      <c r="F2637" s="3" t="n">
        <v>2</v>
      </c>
      <c r="G2637" s="3" t="n">
        <v>1</v>
      </c>
      <c r="H2637" s="24" t="n">
        <v>0.105822928</v>
      </c>
    </row>
    <row r="2638" customFormat="false" ht="15" hidden="false" customHeight="false" outlineLevel="0" collapsed="false">
      <c r="A2638" s="3" t="n">
        <v>2637</v>
      </c>
      <c r="B2638" s="3" t="n">
        <v>2636</v>
      </c>
      <c r="C2638" s="3" t="s">
        <v>118</v>
      </c>
      <c r="D2638" s="3" t="n">
        <v>9</v>
      </c>
      <c r="E2638" s="3" t="n">
        <v>12</v>
      </c>
      <c r="F2638" s="3" t="n">
        <v>2</v>
      </c>
      <c r="G2638" s="3" t="n">
        <v>2</v>
      </c>
      <c r="H2638" s="24" t="n">
        <v>-0.0576051548</v>
      </c>
    </row>
    <row r="2639" customFormat="false" ht="15" hidden="false" customHeight="false" outlineLevel="0" collapsed="false">
      <c r="A2639" s="3" t="n">
        <v>2638</v>
      </c>
      <c r="B2639" s="3" t="n">
        <v>2637</v>
      </c>
      <c r="C2639" s="3" t="s">
        <v>118</v>
      </c>
      <c r="D2639" s="3" t="n">
        <v>9</v>
      </c>
      <c r="E2639" s="3" t="n">
        <v>13</v>
      </c>
      <c r="F2639" s="3" t="n">
        <v>0</v>
      </c>
      <c r="G2639" s="3" t="n">
        <v>0</v>
      </c>
      <c r="H2639" s="24" t="n">
        <v>-0.0151419174</v>
      </c>
    </row>
    <row r="2640" customFormat="false" ht="15" hidden="false" customHeight="false" outlineLevel="0" collapsed="false">
      <c r="A2640" s="3" t="n">
        <v>2639</v>
      </c>
      <c r="B2640" s="3" t="n">
        <v>2638</v>
      </c>
      <c r="C2640" s="3" t="s">
        <v>118</v>
      </c>
      <c r="D2640" s="3" t="n">
        <v>9</v>
      </c>
      <c r="E2640" s="3" t="n">
        <v>13</v>
      </c>
      <c r="F2640" s="3" t="n">
        <v>0</v>
      </c>
      <c r="G2640" s="3" t="n">
        <v>1</v>
      </c>
      <c r="H2640" s="24" t="n">
        <v>-0.178520605</v>
      </c>
    </row>
    <row r="2641" customFormat="false" ht="15" hidden="false" customHeight="false" outlineLevel="0" collapsed="false">
      <c r="A2641" s="3" t="n">
        <v>2640</v>
      </c>
      <c r="B2641" s="3" t="n">
        <v>2639</v>
      </c>
      <c r="C2641" s="3" t="s">
        <v>118</v>
      </c>
      <c r="D2641" s="3" t="n">
        <v>9</v>
      </c>
      <c r="E2641" s="3" t="n">
        <v>13</v>
      </c>
      <c r="F2641" s="3" t="n">
        <v>0</v>
      </c>
      <c r="G2641" s="3" t="n">
        <v>2</v>
      </c>
      <c r="H2641" s="24" t="n">
        <v>-0.520891547</v>
      </c>
    </row>
    <row r="2642" customFormat="false" ht="15" hidden="false" customHeight="false" outlineLevel="0" collapsed="false">
      <c r="A2642" s="3" t="n">
        <v>2641</v>
      </c>
      <c r="B2642" s="3" t="n">
        <v>2640</v>
      </c>
      <c r="C2642" s="3" t="s">
        <v>118</v>
      </c>
      <c r="D2642" s="3" t="n">
        <v>9</v>
      </c>
      <c r="E2642" s="3" t="n">
        <v>13</v>
      </c>
      <c r="F2642" s="3" t="n">
        <v>1</v>
      </c>
      <c r="G2642" s="3" t="n">
        <v>0</v>
      </c>
      <c r="H2642" s="24" t="n">
        <v>0.119998626</v>
      </c>
    </row>
    <row r="2643" customFormat="false" ht="15" hidden="false" customHeight="false" outlineLevel="0" collapsed="false">
      <c r="A2643" s="3" t="n">
        <v>2642</v>
      </c>
      <c r="B2643" s="3" t="n">
        <v>2641</v>
      </c>
      <c r="C2643" s="3" t="s">
        <v>118</v>
      </c>
      <c r="D2643" s="3" t="n">
        <v>9</v>
      </c>
      <c r="E2643" s="3" t="n">
        <v>13</v>
      </c>
      <c r="F2643" s="3" t="n">
        <v>1</v>
      </c>
      <c r="G2643" s="3" t="n">
        <v>1</v>
      </c>
      <c r="H2643" s="24" t="n">
        <v>-0.0220002029</v>
      </c>
    </row>
    <row r="2644" customFormat="false" ht="15" hidden="false" customHeight="false" outlineLevel="0" collapsed="false">
      <c r="A2644" s="3" t="n">
        <v>2643</v>
      </c>
      <c r="B2644" s="3" t="n">
        <v>2642</v>
      </c>
      <c r="C2644" s="3" t="s">
        <v>118</v>
      </c>
      <c r="D2644" s="3" t="n">
        <v>9</v>
      </c>
      <c r="E2644" s="3" t="n">
        <v>13</v>
      </c>
      <c r="F2644" s="3" t="n">
        <v>1</v>
      </c>
      <c r="G2644" s="3" t="n">
        <v>2</v>
      </c>
      <c r="H2644" s="24" t="n">
        <v>0.0768691227</v>
      </c>
    </row>
    <row r="2645" customFormat="false" ht="15" hidden="false" customHeight="false" outlineLevel="0" collapsed="false">
      <c r="A2645" s="3" t="n">
        <v>2644</v>
      </c>
      <c r="B2645" s="3" t="n">
        <v>2643</v>
      </c>
      <c r="C2645" s="3" t="s">
        <v>118</v>
      </c>
      <c r="D2645" s="3" t="n">
        <v>9</v>
      </c>
      <c r="E2645" s="3" t="n">
        <v>13</v>
      </c>
      <c r="F2645" s="3" t="n">
        <v>2</v>
      </c>
      <c r="G2645" s="3" t="n">
        <v>0</v>
      </c>
      <c r="H2645" s="24" t="n">
        <v>0.360496491</v>
      </c>
    </row>
    <row r="2646" customFormat="false" ht="15" hidden="false" customHeight="false" outlineLevel="0" collapsed="false">
      <c r="A2646" s="3" t="n">
        <v>2645</v>
      </c>
      <c r="B2646" s="3" t="n">
        <v>2644</v>
      </c>
      <c r="C2646" s="3" t="s">
        <v>118</v>
      </c>
      <c r="D2646" s="3" t="n">
        <v>9</v>
      </c>
      <c r="E2646" s="3" t="n">
        <v>13</v>
      </c>
      <c r="F2646" s="3" t="n">
        <v>2</v>
      </c>
      <c r="G2646" s="3" t="n">
        <v>1</v>
      </c>
      <c r="H2646" s="24" t="n">
        <v>0.00103836635</v>
      </c>
    </row>
    <row r="2647" customFormat="false" ht="15" hidden="false" customHeight="false" outlineLevel="0" collapsed="false">
      <c r="A2647" s="3" t="n">
        <v>2646</v>
      </c>
      <c r="B2647" s="3" t="n">
        <v>2645</v>
      </c>
      <c r="C2647" s="3" t="s">
        <v>118</v>
      </c>
      <c r="D2647" s="3" t="n">
        <v>9</v>
      </c>
      <c r="E2647" s="3" t="n">
        <v>13</v>
      </c>
      <c r="F2647" s="3" t="n">
        <v>2</v>
      </c>
      <c r="G2647" s="3" t="n">
        <v>2</v>
      </c>
      <c r="H2647" s="24" t="n">
        <v>0.141181931</v>
      </c>
    </row>
    <row r="2648" customFormat="false" ht="15" hidden="false" customHeight="false" outlineLevel="0" collapsed="false">
      <c r="A2648" s="3" t="n">
        <v>2647</v>
      </c>
      <c r="B2648" s="3" t="n">
        <v>2646</v>
      </c>
      <c r="C2648" s="3" t="s">
        <v>118</v>
      </c>
      <c r="D2648" s="3" t="n">
        <v>9</v>
      </c>
      <c r="E2648" s="3" t="n">
        <v>14</v>
      </c>
      <c r="F2648" s="3" t="n">
        <v>0</v>
      </c>
      <c r="G2648" s="3" t="n">
        <v>0</v>
      </c>
      <c r="H2648" s="24" t="n">
        <v>0.047063645</v>
      </c>
    </row>
    <row r="2649" customFormat="false" ht="15" hidden="false" customHeight="false" outlineLevel="0" collapsed="false">
      <c r="A2649" s="3" t="n">
        <v>2648</v>
      </c>
      <c r="B2649" s="3" t="n">
        <v>2647</v>
      </c>
      <c r="C2649" s="3" t="s">
        <v>118</v>
      </c>
      <c r="D2649" s="3" t="n">
        <v>9</v>
      </c>
      <c r="E2649" s="3" t="n">
        <v>14</v>
      </c>
      <c r="F2649" s="3" t="n">
        <v>0</v>
      </c>
      <c r="G2649" s="3" t="n">
        <v>1</v>
      </c>
      <c r="H2649" s="24" t="n">
        <v>0.0611293614</v>
      </c>
    </row>
    <row r="2650" customFormat="false" ht="15" hidden="false" customHeight="false" outlineLevel="0" collapsed="false">
      <c r="A2650" s="3" t="n">
        <v>2649</v>
      </c>
      <c r="B2650" s="3" t="n">
        <v>2648</v>
      </c>
      <c r="C2650" s="3" t="s">
        <v>118</v>
      </c>
      <c r="D2650" s="3" t="n">
        <v>9</v>
      </c>
      <c r="E2650" s="3" t="n">
        <v>14</v>
      </c>
      <c r="F2650" s="3" t="n">
        <v>0</v>
      </c>
      <c r="G2650" s="3" t="n">
        <v>2</v>
      </c>
      <c r="H2650" s="24" t="n">
        <v>0.0967489034</v>
      </c>
    </row>
    <row r="2651" customFormat="false" ht="15" hidden="false" customHeight="false" outlineLevel="0" collapsed="false">
      <c r="A2651" s="3" t="n">
        <v>2650</v>
      </c>
      <c r="B2651" s="3" t="n">
        <v>2649</v>
      </c>
      <c r="C2651" s="3" t="s">
        <v>118</v>
      </c>
      <c r="D2651" s="3" t="n">
        <v>9</v>
      </c>
      <c r="E2651" s="3" t="n">
        <v>14</v>
      </c>
      <c r="F2651" s="3" t="n">
        <v>1</v>
      </c>
      <c r="G2651" s="3" t="n">
        <v>0</v>
      </c>
      <c r="H2651" s="24" t="n">
        <v>-0.221507043</v>
      </c>
    </row>
    <row r="2652" customFormat="false" ht="15" hidden="false" customHeight="false" outlineLevel="0" collapsed="false">
      <c r="A2652" s="3" t="n">
        <v>2651</v>
      </c>
      <c r="B2652" s="3" t="n">
        <v>2650</v>
      </c>
      <c r="C2652" s="3" t="s">
        <v>118</v>
      </c>
      <c r="D2652" s="3" t="n">
        <v>9</v>
      </c>
      <c r="E2652" s="3" t="n">
        <v>14</v>
      </c>
      <c r="F2652" s="3" t="n">
        <v>1</v>
      </c>
      <c r="G2652" s="3" t="n">
        <v>1</v>
      </c>
      <c r="H2652" s="24" t="n">
        <v>-0.0867845044</v>
      </c>
    </row>
    <row r="2653" customFormat="false" ht="15" hidden="false" customHeight="false" outlineLevel="0" collapsed="false">
      <c r="A2653" s="3" t="n">
        <v>2652</v>
      </c>
      <c r="B2653" s="3" t="n">
        <v>2651</v>
      </c>
      <c r="C2653" s="3" t="s">
        <v>118</v>
      </c>
      <c r="D2653" s="3" t="n">
        <v>9</v>
      </c>
      <c r="E2653" s="3" t="n">
        <v>14</v>
      </c>
      <c r="F2653" s="3" t="n">
        <v>1</v>
      </c>
      <c r="G2653" s="3" t="n">
        <v>2</v>
      </c>
      <c r="H2653" s="24" t="n">
        <v>0.0858934894</v>
      </c>
    </row>
    <row r="2654" customFormat="false" ht="15" hidden="false" customHeight="false" outlineLevel="0" collapsed="false">
      <c r="A2654" s="3" t="n">
        <v>2653</v>
      </c>
      <c r="B2654" s="3" t="n">
        <v>2652</v>
      </c>
      <c r="C2654" s="3" t="s">
        <v>118</v>
      </c>
      <c r="D2654" s="3" t="n">
        <v>9</v>
      </c>
      <c r="E2654" s="3" t="n">
        <v>14</v>
      </c>
      <c r="F2654" s="3" t="n">
        <v>2</v>
      </c>
      <c r="G2654" s="3" t="n">
        <v>0</v>
      </c>
      <c r="H2654" s="24" t="n">
        <v>-0.119920813</v>
      </c>
    </row>
    <row r="2655" customFormat="false" ht="15" hidden="false" customHeight="false" outlineLevel="0" collapsed="false">
      <c r="A2655" s="3" t="n">
        <v>2654</v>
      </c>
      <c r="B2655" s="3" t="n">
        <v>2653</v>
      </c>
      <c r="C2655" s="3" t="s">
        <v>118</v>
      </c>
      <c r="D2655" s="3" t="n">
        <v>9</v>
      </c>
      <c r="E2655" s="3" t="n">
        <v>14</v>
      </c>
      <c r="F2655" s="3" t="n">
        <v>2</v>
      </c>
      <c r="G2655" s="3" t="n">
        <v>1</v>
      </c>
      <c r="H2655" s="24" t="n">
        <v>-0.17484501</v>
      </c>
    </row>
    <row r="2656" customFormat="false" ht="15" hidden="false" customHeight="false" outlineLevel="0" collapsed="false">
      <c r="A2656" s="3" t="n">
        <v>2655</v>
      </c>
      <c r="B2656" s="3" t="n">
        <v>2654</v>
      </c>
      <c r="C2656" s="3" t="s">
        <v>118</v>
      </c>
      <c r="D2656" s="3" t="n">
        <v>9</v>
      </c>
      <c r="E2656" s="3" t="n">
        <v>14</v>
      </c>
      <c r="F2656" s="3" t="n">
        <v>2</v>
      </c>
      <c r="G2656" s="3" t="n">
        <v>2</v>
      </c>
      <c r="H2656" s="24" t="n">
        <v>0.0123588778</v>
      </c>
    </row>
    <row r="2657" customFormat="false" ht="15" hidden="false" customHeight="false" outlineLevel="0" collapsed="false">
      <c r="A2657" s="3" t="n">
        <v>2656</v>
      </c>
      <c r="B2657" s="3" t="n">
        <v>2655</v>
      </c>
      <c r="C2657" s="3" t="s">
        <v>118</v>
      </c>
      <c r="D2657" s="3" t="n">
        <v>9</v>
      </c>
      <c r="E2657" s="3" t="n">
        <v>15</v>
      </c>
      <c r="F2657" s="3" t="n">
        <v>0</v>
      </c>
      <c r="G2657" s="3" t="n">
        <v>0</v>
      </c>
      <c r="H2657" s="24" t="n">
        <v>-0.194246471</v>
      </c>
    </row>
    <row r="2658" customFormat="false" ht="15" hidden="false" customHeight="false" outlineLevel="0" collapsed="false">
      <c r="A2658" s="3" t="n">
        <v>2657</v>
      </c>
      <c r="B2658" s="3" t="n">
        <v>2656</v>
      </c>
      <c r="C2658" s="3" t="s">
        <v>118</v>
      </c>
      <c r="D2658" s="3" t="n">
        <v>9</v>
      </c>
      <c r="E2658" s="3" t="n">
        <v>15</v>
      </c>
      <c r="F2658" s="3" t="n">
        <v>0</v>
      </c>
      <c r="G2658" s="3" t="n">
        <v>1</v>
      </c>
      <c r="H2658" s="24" t="n">
        <v>0.23929508</v>
      </c>
    </row>
    <row r="2659" customFormat="false" ht="15" hidden="false" customHeight="false" outlineLevel="0" collapsed="false">
      <c r="A2659" s="3" t="n">
        <v>2658</v>
      </c>
      <c r="B2659" s="3" t="n">
        <v>2657</v>
      </c>
      <c r="C2659" s="3" t="s">
        <v>118</v>
      </c>
      <c r="D2659" s="3" t="n">
        <v>9</v>
      </c>
      <c r="E2659" s="3" t="n">
        <v>15</v>
      </c>
      <c r="F2659" s="3" t="n">
        <v>0</v>
      </c>
      <c r="G2659" s="3" t="n">
        <v>2</v>
      </c>
      <c r="H2659" s="24" t="n">
        <v>0.194763213</v>
      </c>
    </row>
    <row r="2660" customFormat="false" ht="15" hidden="false" customHeight="false" outlineLevel="0" collapsed="false">
      <c r="A2660" s="3" t="n">
        <v>2659</v>
      </c>
      <c r="B2660" s="3" t="n">
        <v>2658</v>
      </c>
      <c r="C2660" s="3" t="s">
        <v>118</v>
      </c>
      <c r="D2660" s="3" t="n">
        <v>9</v>
      </c>
      <c r="E2660" s="3" t="n">
        <v>15</v>
      </c>
      <c r="F2660" s="3" t="n">
        <v>1</v>
      </c>
      <c r="G2660" s="3" t="n">
        <v>0</v>
      </c>
      <c r="H2660" s="24" t="n">
        <v>0.0940091312</v>
      </c>
    </row>
    <row r="2661" customFormat="false" ht="15" hidden="false" customHeight="false" outlineLevel="0" collapsed="false">
      <c r="A2661" s="3" t="n">
        <v>2660</v>
      </c>
      <c r="B2661" s="3" t="n">
        <v>2659</v>
      </c>
      <c r="C2661" s="3" t="s">
        <v>118</v>
      </c>
      <c r="D2661" s="3" t="n">
        <v>9</v>
      </c>
      <c r="E2661" s="3" t="n">
        <v>15</v>
      </c>
      <c r="F2661" s="3" t="n">
        <v>1</v>
      </c>
      <c r="G2661" s="3" t="n">
        <v>1</v>
      </c>
      <c r="H2661" s="24" t="n">
        <v>-0.0372310914</v>
      </c>
    </row>
    <row r="2662" customFormat="false" ht="15" hidden="false" customHeight="false" outlineLevel="0" collapsed="false">
      <c r="A2662" s="3" t="n">
        <v>2661</v>
      </c>
      <c r="B2662" s="3" t="n">
        <v>2660</v>
      </c>
      <c r="C2662" s="3" t="s">
        <v>118</v>
      </c>
      <c r="D2662" s="3" t="n">
        <v>9</v>
      </c>
      <c r="E2662" s="3" t="n">
        <v>15</v>
      </c>
      <c r="F2662" s="3" t="n">
        <v>1</v>
      </c>
      <c r="G2662" s="3" t="n">
        <v>2</v>
      </c>
      <c r="H2662" s="24" t="n">
        <v>-0.35114947</v>
      </c>
    </row>
    <row r="2663" customFormat="false" ht="15" hidden="false" customHeight="false" outlineLevel="0" collapsed="false">
      <c r="A2663" s="3" t="n">
        <v>2662</v>
      </c>
      <c r="B2663" s="3" t="n">
        <v>2661</v>
      </c>
      <c r="C2663" s="3" t="s">
        <v>118</v>
      </c>
      <c r="D2663" s="3" t="n">
        <v>9</v>
      </c>
      <c r="E2663" s="3" t="n">
        <v>15</v>
      </c>
      <c r="F2663" s="3" t="n">
        <v>2</v>
      </c>
      <c r="G2663" s="3" t="n">
        <v>0</v>
      </c>
      <c r="H2663" s="24" t="n">
        <v>3.06464353E-005</v>
      </c>
    </row>
    <row r="2664" customFormat="false" ht="15" hidden="false" customHeight="false" outlineLevel="0" collapsed="false">
      <c r="A2664" s="3" t="n">
        <v>2663</v>
      </c>
      <c r="B2664" s="3" t="n">
        <v>2662</v>
      </c>
      <c r="C2664" s="3" t="s">
        <v>118</v>
      </c>
      <c r="D2664" s="3" t="n">
        <v>9</v>
      </c>
      <c r="E2664" s="3" t="n">
        <v>15</v>
      </c>
      <c r="F2664" s="3" t="n">
        <v>2</v>
      </c>
      <c r="G2664" s="3" t="n">
        <v>1</v>
      </c>
      <c r="H2664" s="24" t="n">
        <v>-0.146599099</v>
      </c>
    </row>
    <row r="2665" customFormat="false" ht="15" hidden="false" customHeight="false" outlineLevel="0" collapsed="false">
      <c r="A2665" s="3" t="n">
        <v>2664</v>
      </c>
      <c r="B2665" s="3" t="n">
        <v>2663</v>
      </c>
      <c r="C2665" s="3" t="s">
        <v>118</v>
      </c>
      <c r="D2665" s="3" t="n">
        <v>9</v>
      </c>
      <c r="E2665" s="3" t="n">
        <v>15</v>
      </c>
      <c r="F2665" s="3" t="n">
        <v>2</v>
      </c>
      <c r="G2665" s="3" t="n">
        <v>2</v>
      </c>
      <c r="H2665" s="24" t="n">
        <v>-0.117628425</v>
      </c>
    </row>
    <row r="2666" customFormat="false" ht="15" hidden="false" customHeight="false" outlineLevel="0" collapsed="false">
      <c r="A2666" s="3" t="n">
        <v>2665</v>
      </c>
      <c r="B2666" s="3" t="n">
        <v>2664</v>
      </c>
      <c r="C2666" s="3" t="s">
        <v>118</v>
      </c>
      <c r="D2666" s="3" t="n">
        <v>10</v>
      </c>
      <c r="E2666" s="3" t="n">
        <v>0</v>
      </c>
      <c r="F2666" s="3" t="n">
        <v>0</v>
      </c>
      <c r="G2666" s="3" t="n">
        <v>0</v>
      </c>
      <c r="H2666" s="24" t="n">
        <v>-0.355833262</v>
      </c>
    </row>
    <row r="2667" customFormat="false" ht="15" hidden="false" customHeight="false" outlineLevel="0" collapsed="false">
      <c r="A2667" s="3" t="n">
        <v>2666</v>
      </c>
      <c r="B2667" s="3" t="n">
        <v>2665</v>
      </c>
      <c r="C2667" s="3" t="s">
        <v>118</v>
      </c>
      <c r="D2667" s="3" t="n">
        <v>10</v>
      </c>
      <c r="E2667" s="3" t="n">
        <v>0</v>
      </c>
      <c r="F2667" s="3" t="n">
        <v>0</v>
      </c>
      <c r="G2667" s="3" t="n">
        <v>1</v>
      </c>
      <c r="H2667" s="24" t="n">
        <v>-0.0220812093</v>
      </c>
    </row>
    <row r="2668" customFormat="false" ht="15" hidden="false" customHeight="false" outlineLevel="0" collapsed="false">
      <c r="A2668" s="3" t="n">
        <v>2667</v>
      </c>
      <c r="B2668" s="3" t="n">
        <v>2666</v>
      </c>
      <c r="C2668" s="3" t="s">
        <v>118</v>
      </c>
      <c r="D2668" s="3" t="n">
        <v>10</v>
      </c>
      <c r="E2668" s="3" t="n">
        <v>0</v>
      </c>
      <c r="F2668" s="3" t="n">
        <v>0</v>
      </c>
      <c r="G2668" s="3" t="n">
        <v>2</v>
      </c>
      <c r="H2668" s="24" t="n">
        <v>0.262355</v>
      </c>
    </row>
    <row r="2669" customFormat="false" ht="15" hidden="false" customHeight="false" outlineLevel="0" collapsed="false">
      <c r="A2669" s="3" t="n">
        <v>2668</v>
      </c>
      <c r="B2669" s="3" t="n">
        <v>2667</v>
      </c>
      <c r="C2669" s="3" t="s">
        <v>118</v>
      </c>
      <c r="D2669" s="3" t="n">
        <v>10</v>
      </c>
      <c r="E2669" s="3" t="n">
        <v>0</v>
      </c>
      <c r="F2669" s="3" t="n">
        <v>1</v>
      </c>
      <c r="G2669" s="3" t="n">
        <v>0</v>
      </c>
      <c r="H2669" s="24" t="n">
        <v>-0.185941726</v>
      </c>
    </row>
    <row r="2670" customFormat="false" ht="15" hidden="false" customHeight="false" outlineLevel="0" collapsed="false">
      <c r="A2670" s="3" t="n">
        <v>2669</v>
      </c>
      <c r="B2670" s="3" t="n">
        <v>2668</v>
      </c>
      <c r="C2670" s="3" t="s">
        <v>118</v>
      </c>
      <c r="D2670" s="3" t="n">
        <v>10</v>
      </c>
      <c r="E2670" s="3" t="n">
        <v>0</v>
      </c>
      <c r="F2670" s="3" t="n">
        <v>1</v>
      </c>
      <c r="G2670" s="3" t="n">
        <v>1</v>
      </c>
      <c r="H2670" s="24" t="n">
        <v>0.316252828</v>
      </c>
    </row>
    <row r="2671" customFormat="false" ht="15" hidden="false" customHeight="false" outlineLevel="0" collapsed="false">
      <c r="A2671" s="3" t="n">
        <v>2670</v>
      </c>
      <c r="B2671" s="3" t="n">
        <v>2669</v>
      </c>
      <c r="C2671" s="3" t="s">
        <v>118</v>
      </c>
      <c r="D2671" s="3" t="n">
        <v>10</v>
      </c>
      <c r="E2671" s="3" t="n">
        <v>0</v>
      </c>
      <c r="F2671" s="3" t="n">
        <v>1</v>
      </c>
      <c r="G2671" s="3" t="n">
        <v>2</v>
      </c>
      <c r="H2671" s="24" t="n">
        <v>0.0733669251</v>
      </c>
    </row>
    <row r="2672" customFormat="false" ht="15" hidden="false" customHeight="false" outlineLevel="0" collapsed="false">
      <c r="A2672" s="3" t="n">
        <v>2671</v>
      </c>
      <c r="B2672" s="3" t="n">
        <v>2670</v>
      </c>
      <c r="C2672" s="3" t="s">
        <v>118</v>
      </c>
      <c r="D2672" s="3" t="n">
        <v>10</v>
      </c>
      <c r="E2672" s="3" t="n">
        <v>0</v>
      </c>
      <c r="F2672" s="3" t="n">
        <v>2</v>
      </c>
      <c r="G2672" s="3" t="n">
        <v>0</v>
      </c>
      <c r="H2672" s="24" t="n">
        <v>0.265928239</v>
      </c>
    </row>
    <row r="2673" customFormat="false" ht="15" hidden="false" customHeight="false" outlineLevel="0" collapsed="false">
      <c r="A2673" s="3" t="n">
        <v>2672</v>
      </c>
      <c r="B2673" s="3" t="n">
        <v>2671</v>
      </c>
      <c r="C2673" s="3" t="s">
        <v>118</v>
      </c>
      <c r="D2673" s="3" t="n">
        <v>10</v>
      </c>
      <c r="E2673" s="3" t="n">
        <v>0</v>
      </c>
      <c r="F2673" s="3" t="n">
        <v>2</v>
      </c>
      <c r="G2673" s="3" t="n">
        <v>1</v>
      </c>
      <c r="H2673" s="24" t="n">
        <v>0.030188797</v>
      </c>
    </row>
    <row r="2674" customFormat="false" ht="15" hidden="false" customHeight="false" outlineLevel="0" collapsed="false">
      <c r="A2674" s="3" t="n">
        <v>2673</v>
      </c>
      <c r="B2674" s="3" t="n">
        <v>2672</v>
      </c>
      <c r="C2674" s="3" t="s">
        <v>118</v>
      </c>
      <c r="D2674" s="3" t="n">
        <v>10</v>
      </c>
      <c r="E2674" s="3" t="n">
        <v>0</v>
      </c>
      <c r="F2674" s="3" t="n">
        <v>2</v>
      </c>
      <c r="G2674" s="3" t="n">
        <v>2</v>
      </c>
      <c r="H2674" s="24" t="n">
        <v>0.171875939</v>
      </c>
    </row>
    <row r="2675" customFormat="false" ht="15" hidden="false" customHeight="false" outlineLevel="0" collapsed="false">
      <c r="A2675" s="3" t="n">
        <v>2674</v>
      </c>
      <c r="B2675" s="3" t="n">
        <v>2673</v>
      </c>
      <c r="C2675" s="3" t="s">
        <v>118</v>
      </c>
      <c r="D2675" s="3" t="n">
        <v>10</v>
      </c>
      <c r="E2675" s="3" t="n">
        <v>1</v>
      </c>
      <c r="F2675" s="3" t="n">
        <v>0</v>
      </c>
      <c r="G2675" s="3" t="n">
        <v>0</v>
      </c>
      <c r="H2675" s="24" t="n">
        <v>0.000315803773</v>
      </c>
    </row>
    <row r="2676" customFormat="false" ht="15" hidden="false" customHeight="false" outlineLevel="0" collapsed="false">
      <c r="A2676" s="3" t="n">
        <v>2675</v>
      </c>
      <c r="B2676" s="3" t="n">
        <v>2674</v>
      </c>
      <c r="C2676" s="3" t="s">
        <v>118</v>
      </c>
      <c r="D2676" s="3" t="n">
        <v>10</v>
      </c>
      <c r="E2676" s="3" t="n">
        <v>1</v>
      </c>
      <c r="F2676" s="3" t="n">
        <v>0</v>
      </c>
      <c r="G2676" s="3" t="n">
        <v>1</v>
      </c>
      <c r="H2676" s="24" t="n">
        <v>-0.164587706</v>
      </c>
    </row>
    <row r="2677" customFormat="false" ht="15" hidden="false" customHeight="false" outlineLevel="0" collapsed="false">
      <c r="A2677" s="3" t="n">
        <v>2676</v>
      </c>
      <c r="B2677" s="3" t="n">
        <v>2675</v>
      </c>
      <c r="C2677" s="3" t="s">
        <v>118</v>
      </c>
      <c r="D2677" s="3" t="n">
        <v>10</v>
      </c>
      <c r="E2677" s="3" t="n">
        <v>1</v>
      </c>
      <c r="F2677" s="3" t="n">
        <v>0</v>
      </c>
      <c r="G2677" s="3" t="n">
        <v>2</v>
      </c>
      <c r="H2677" s="24" t="n">
        <v>0.020464737</v>
      </c>
    </row>
    <row r="2678" customFormat="false" ht="15" hidden="false" customHeight="false" outlineLevel="0" collapsed="false">
      <c r="A2678" s="3" t="n">
        <v>2677</v>
      </c>
      <c r="B2678" s="3" t="n">
        <v>2676</v>
      </c>
      <c r="C2678" s="3" t="s">
        <v>118</v>
      </c>
      <c r="D2678" s="3" t="n">
        <v>10</v>
      </c>
      <c r="E2678" s="3" t="n">
        <v>1</v>
      </c>
      <c r="F2678" s="3" t="n">
        <v>1</v>
      </c>
      <c r="G2678" s="3" t="n">
        <v>0</v>
      </c>
      <c r="H2678" s="24" t="n">
        <v>0.192410976</v>
      </c>
    </row>
    <row r="2679" customFormat="false" ht="15" hidden="false" customHeight="false" outlineLevel="0" collapsed="false">
      <c r="A2679" s="3" t="n">
        <v>2678</v>
      </c>
      <c r="B2679" s="3" t="n">
        <v>2677</v>
      </c>
      <c r="C2679" s="3" t="s">
        <v>118</v>
      </c>
      <c r="D2679" s="3" t="n">
        <v>10</v>
      </c>
      <c r="E2679" s="3" t="n">
        <v>1</v>
      </c>
      <c r="F2679" s="3" t="n">
        <v>1</v>
      </c>
      <c r="G2679" s="3" t="n">
        <v>1</v>
      </c>
      <c r="H2679" s="24" t="n">
        <v>-0.0475402251</v>
      </c>
    </row>
    <row r="2680" customFormat="false" ht="15" hidden="false" customHeight="false" outlineLevel="0" collapsed="false">
      <c r="A2680" s="3" t="n">
        <v>2679</v>
      </c>
      <c r="B2680" s="3" t="n">
        <v>2678</v>
      </c>
      <c r="C2680" s="3" t="s">
        <v>118</v>
      </c>
      <c r="D2680" s="3" t="n">
        <v>10</v>
      </c>
      <c r="E2680" s="3" t="n">
        <v>1</v>
      </c>
      <c r="F2680" s="3" t="n">
        <v>1</v>
      </c>
      <c r="G2680" s="3" t="n">
        <v>2</v>
      </c>
      <c r="H2680" s="24" t="n">
        <v>-0.111865133</v>
      </c>
    </row>
    <row r="2681" customFormat="false" ht="15" hidden="false" customHeight="false" outlineLevel="0" collapsed="false">
      <c r="A2681" s="3" t="n">
        <v>2680</v>
      </c>
      <c r="B2681" s="3" t="n">
        <v>2679</v>
      </c>
      <c r="C2681" s="3" t="s">
        <v>118</v>
      </c>
      <c r="D2681" s="3" t="n">
        <v>10</v>
      </c>
      <c r="E2681" s="3" t="n">
        <v>1</v>
      </c>
      <c r="F2681" s="3" t="n">
        <v>2</v>
      </c>
      <c r="G2681" s="3" t="n">
        <v>0</v>
      </c>
      <c r="H2681" s="24" t="n">
        <v>0.0323573984</v>
      </c>
    </row>
    <row r="2682" customFormat="false" ht="15" hidden="false" customHeight="false" outlineLevel="0" collapsed="false">
      <c r="A2682" s="3" t="n">
        <v>2681</v>
      </c>
      <c r="B2682" s="3" t="n">
        <v>2680</v>
      </c>
      <c r="C2682" s="3" t="s">
        <v>118</v>
      </c>
      <c r="D2682" s="3" t="n">
        <v>10</v>
      </c>
      <c r="E2682" s="3" t="n">
        <v>1</v>
      </c>
      <c r="F2682" s="3" t="n">
        <v>2</v>
      </c>
      <c r="G2682" s="3" t="n">
        <v>1</v>
      </c>
      <c r="H2682" s="24" t="n">
        <v>-0.210738569</v>
      </c>
    </row>
    <row r="2683" customFormat="false" ht="15" hidden="false" customHeight="false" outlineLevel="0" collapsed="false">
      <c r="A2683" s="3" t="n">
        <v>2682</v>
      </c>
      <c r="B2683" s="3" t="n">
        <v>2681</v>
      </c>
      <c r="C2683" s="3" t="s">
        <v>118</v>
      </c>
      <c r="D2683" s="3" t="n">
        <v>10</v>
      </c>
      <c r="E2683" s="3" t="n">
        <v>1</v>
      </c>
      <c r="F2683" s="3" t="n">
        <v>2</v>
      </c>
      <c r="G2683" s="3" t="n">
        <v>2</v>
      </c>
      <c r="H2683" s="24" t="n">
        <v>0.136179939</v>
      </c>
    </row>
    <row r="2684" customFormat="false" ht="15" hidden="false" customHeight="false" outlineLevel="0" collapsed="false">
      <c r="A2684" s="3" t="n">
        <v>2683</v>
      </c>
      <c r="B2684" s="3" t="n">
        <v>2682</v>
      </c>
      <c r="C2684" s="3" t="s">
        <v>118</v>
      </c>
      <c r="D2684" s="3" t="n">
        <v>10</v>
      </c>
      <c r="E2684" s="3" t="n">
        <v>2</v>
      </c>
      <c r="F2684" s="3" t="n">
        <v>0</v>
      </c>
      <c r="G2684" s="3" t="n">
        <v>0</v>
      </c>
      <c r="H2684" s="24" t="n">
        <v>0.0109019624</v>
      </c>
    </row>
    <row r="2685" customFormat="false" ht="15" hidden="false" customHeight="false" outlineLevel="0" collapsed="false">
      <c r="A2685" s="3" t="n">
        <v>2684</v>
      </c>
      <c r="B2685" s="3" t="n">
        <v>2683</v>
      </c>
      <c r="C2685" s="3" t="s">
        <v>118</v>
      </c>
      <c r="D2685" s="3" t="n">
        <v>10</v>
      </c>
      <c r="E2685" s="3" t="n">
        <v>2</v>
      </c>
      <c r="F2685" s="3" t="n">
        <v>0</v>
      </c>
      <c r="G2685" s="3" t="n">
        <v>1</v>
      </c>
      <c r="H2685" s="24" t="n">
        <v>0.17095229</v>
      </c>
    </row>
    <row r="2686" customFormat="false" ht="15" hidden="false" customHeight="false" outlineLevel="0" collapsed="false">
      <c r="A2686" s="3" t="n">
        <v>2685</v>
      </c>
      <c r="B2686" s="3" t="n">
        <v>2684</v>
      </c>
      <c r="C2686" s="3" t="s">
        <v>118</v>
      </c>
      <c r="D2686" s="3" t="n">
        <v>10</v>
      </c>
      <c r="E2686" s="3" t="n">
        <v>2</v>
      </c>
      <c r="F2686" s="3" t="n">
        <v>0</v>
      </c>
      <c r="G2686" s="3" t="n">
        <v>2</v>
      </c>
      <c r="H2686" s="24" t="n">
        <v>0.370444775</v>
      </c>
    </row>
    <row r="2687" customFormat="false" ht="15" hidden="false" customHeight="false" outlineLevel="0" collapsed="false">
      <c r="A2687" s="3" t="n">
        <v>2686</v>
      </c>
      <c r="B2687" s="3" t="n">
        <v>2685</v>
      </c>
      <c r="C2687" s="3" t="s">
        <v>118</v>
      </c>
      <c r="D2687" s="3" t="n">
        <v>10</v>
      </c>
      <c r="E2687" s="3" t="n">
        <v>2</v>
      </c>
      <c r="F2687" s="3" t="n">
        <v>1</v>
      </c>
      <c r="G2687" s="3" t="n">
        <v>0</v>
      </c>
      <c r="H2687" s="24" t="n">
        <v>0.161727116</v>
      </c>
    </row>
    <row r="2688" customFormat="false" ht="15" hidden="false" customHeight="false" outlineLevel="0" collapsed="false">
      <c r="A2688" s="3" t="n">
        <v>2687</v>
      </c>
      <c r="B2688" s="3" t="n">
        <v>2686</v>
      </c>
      <c r="C2688" s="3" t="s">
        <v>118</v>
      </c>
      <c r="D2688" s="3" t="n">
        <v>10</v>
      </c>
      <c r="E2688" s="3" t="n">
        <v>2</v>
      </c>
      <c r="F2688" s="3" t="n">
        <v>1</v>
      </c>
      <c r="G2688" s="3" t="n">
        <v>1</v>
      </c>
      <c r="H2688" s="24" t="n">
        <v>0.0918490589</v>
      </c>
    </row>
    <row r="2689" customFormat="false" ht="15" hidden="false" customHeight="false" outlineLevel="0" collapsed="false">
      <c r="A2689" s="3" t="n">
        <v>2688</v>
      </c>
      <c r="B2689" s="3" t="n">
        <v>2687</v>
      </c>
      <c r="C2689" s="3" t="s">
        <v>118</v>
      </c>
      <c r="D2689" s="3" t="n">
        <v>10</v>
      </c>
      <c r="E2689" s="3" t="n">
        <v>2</v>
      </c>
      <c r="F2689" s="3" t="n">
        <v>1</v>
      </c>
      <c r="G2689" s="3" t="n">
        <v>2</v>
      </c>
      <c r="H2689" s="24" t="n">
        <v>-0.181623578</v>
      </c>
    </row>
    <row r="2690" customFormat="false" ht="15" hidden="false" customHeight="false" outlineLevel="0" collapsed="false">
      <c r="A2690" s="3" t="n">
        <v>2689</v>
      </c>
      <c r="B2690" s="3" t="n">
        <v>2688</v>
      </c>
      <c r="C2690" s="3" t="s">
        <v>118</v>
      </c>
      <c r="D2690" s="3" t="n">
        <v>10</v>
      </c>
      <c r="E2690" s="3" t="n">
        <v>2</v>
      </c>
      <c r="F2690" s="3" t="n">
        <v>2</v>
      </c>
      <c r="G2690" s="3" t="n">
        <v>0</v>
      </c>
      <c r="H2690" s="24" t="n">
        <v>0.0266545173</v>
      </c>
    </row>
    <row r="2691" customFormat="false" ht="15" hidden="false" customHeight="false" outlineLevel="0" collapsed="false">
      <c r="A2691" s="3" t="n">
        <v>2690</v>
      </c>
      <c r="B2691" s="3" t="n">
        <v>2689</v>
      </c>
      <c r="C2691" s="3" t="s">
        <v>118</v>
      </c>
      <c r="D2691" s="3" t="n">
        <v>10</v>
      </c>
      <c r="E2691" s="3" t="n">
        <v>2</v>
      </c>
      <c r="F2691" s="3" t="n">
        <v>2</v>
      </c>
      <c r="G2691" s="3" t="n">
        <v>1</v>
      </c>
      <c r="H2691" s="24" t="n">
        <v>-0.0593292788</v>
      </c>
    </row>
    <row r="2692" customFormat="false" ht="15" hidden="false" customHeight="false" outlineLevel="0" collapsed="false">
      <c r="A2692" s="3" t="n">
        <v>2691</v>
      </c>
      <c r="B2692" s="3" t="n">
        <v>2690</v>
      </c>
      <c r="C2692" s="3" t="s">
        <v>118</v>
      </c>
      <c r="D2692" s="3" t="n">
        <v>10</v>
      </c>
      <c r="E2692" s="3" t="n">
        <v>2</v>
      </c>
      <c r="F2692" s="3" t="n">
        <v>2</v>
      </c>
      <c r="G2692" s="3" t="n">
        <v>2</v>
      </c>
      <c r="H2692" s="24" t="n">
        <v>0.112518981</v>
      </c>
    </row>
    <row r="2693" customFormat="false" ht="15" hidden="false" customHeight="false" outlineLevel="0" collapsed="false">
      <c r="A2693" s="3" t="n">
        <v>2692</v>
      </c>
      <c r="B2693" s="3" t="n">
        <v>2691</v>
      </c>
      <c r="C2693" s="3" t="s">
        <v>118</v>
      </c>
      <c r="D2693" s="3" t="n">
        <v>10</v>
      </c>
      <c r="E2693" s="3" t="n">
        <v>3</v>
      </c>
      <c r="F2693" s="3" t="n">
        <v>0</v>
      </c>
      <c r="G2693" s="3" t="n">
        <v>0</v>
      </c>
      <c r="H2693" s="24" t="n">
        <v>-0.141545683</v>
      </c>
    </row>
    <row r="2694" customFormat="false" ht="15" hidden="false" customHeight="false" outlineLevel="0" collapsed="false">
      <c r="A2694" s="3" t="n">
        <v>2693</v>
      </c>
      <c r="B2694" s="3" t="n">
        <v>2692</v>
      </c>
      <c r="C2694" s="3" t="s">
        <v>118</v>
      </c>
      <c r="D2694" s="3" t="n">
        <v>10</v>
      </c>
      <c r="E2694" s="3" t="n">
        <v>3</v>
      </c>
      <c r="F2694" s="3" t="n">
        <v>0</v>
      </c>
      <c r="G2694" s="3" t="n">
        <v>1</v>
      </c>
      <c r="H2694" s="24" t="n">
        <v>0.442053407</v>
      </c>
    </row>
    <row r="2695" customFormat="false" ht="15" hidden="false" customHeight="false" outlineLevel="0" collapsed="false">
      <c r="A2695" s="3" t="n">
        <v>2694</v>
      </c>
      <c r="B2695" s="3" t="n">
        <v>2693</v>
      </c>
      <c r="C2695" s="3" t="s">
        <v>118</v>
      </c>
      <c r="D2695" s="3" t="n">
        <v>10</v>
      </c>
      <c r="E2695" s="3" t="n">
        <v>3</v>
      </c>
      <c r="F2695" s="3" t="n">
        <v>0</v>
      </c>
      <c r="G2695" s="3" t="n">
        <v>2</v>
      </c>
      <c r="H2695" s="24" t="n">
        <v>0.188984409</v>
      </c>
    </row>
    <row r="2696" customFormat="false" ht="15" hidden="false" customHeight="false" outlineLevel="0" collapsed="false">
      <c r="A2696" s="3" t="n">
        <v>2695</v>
      </c>
      <c r="B2696" s="3" t="n">
        <v>2694</v>
      </c>
      <c r="C2696" s="3" t="s">
        <v>118</v>
      </c>
      <c r="D2696" s="3" t="n">
        <v>10</v>
      </c>
      <c r="E2696" s="3" t="n">
        <v>3</v>
      </c>
      <c r="F2696" s="3" t="n">
        <v>1</v>
      </c>
      <c r="G2696" s="3" t="n">
        <v>0</v>
      </c>
      <c r="H2696" s="24" t="n">
        <v>-0.223264709</v>
      </c>
    </row>
    <row r="2697" customFormat="false" ht="15" hidden="false" customHeight="false" outlineLevel="0" collapsed="false">
      <c r="A2697" s="3" t="n">
        <v>2696</v>
      </c>
      <c r="B2697" s="3" t="n">
        <v>2695</v>
      </c>
      <c r="C2697" s="3" t="s">
        <v>118</v>
      </c>
      <c r="D2697" s="3" t="n">
        <v>10</v>
      </c>
      <c r="E2697" s="3" t="n">
        <v>3</v>
      </c>
      <c r="F2697" s="3" t="n">
        <v>1</v>
      </c>
      <c r="G2697" s="3" t="n">
        <v>1</v>
      </c>
      <c r="H2697" s="24" t="n">
        <v>-0.0438082963</v>
      </c>
    </row>
    <row r="2698" customFormat="false" ht="15" hidden="false" customHeight="false" outlineLevel="0" collapsed="false">
      <c r="A2698" s="3" t="n">
        <v>2697</v>
      </c>
      <c r="B2698" s="3" t="n">
        <v>2696</v>
      </c>
      <c r="C2698" s="3" t="s">
        <v>118</v>
      </c>
      <c r="D2698" s="3" t="n">
        <v>10</v>
      </c>
      <c r="E2698" s="3" t="n">
        <v>3</v>
      </c>
      <c r="F2698" s="3" t="n">
        <v>1</v>
      </c>
      <c r="G2698" s="3" t="n">
        <v>2</v>
      </c>
      <c r="H2698" s="24" t="n">
        <v>0.0967872217</v>
      </c>
    </row>
    <row r="2699" customFormat="false" ht="15" hidden="false" customHeight="false" outlineLevel="0" collapsed="false">
      <c r="A2699" s="3" t="n">
        <v>2698</v>
      </c>
      <c r="B2699" s="3" t="n">
        <v>2697</v>
      </c>
      <c r="C2699" s="3" t="s">
        <v>118</v>
      </c>
      <c r="D2699" s="3" t="n">
        <v>10</v>
      </c>
      <c r="E2699" s="3" t="n">
        <v>3</v>
      </c>
      <c r="F2699" s="3" t="n">
        <v>2</v>
      </c>
      <c r="G2699" s="3" t="n">
        <v>0</v>
      </c>
      <c r="H2699" s="24" t="n">
        <v>0.0951771364</v>
      </c>
    </row>
    <row r="2700" customFormat="false" ht="15" hidden="false" customHeight="false" outlineLevel="0" collapsed="false">
      <c r="A2700" s="3" t="n">
        <v>2699</v>
      </c>
      <c r="B2700" s="3" t="n">
        <v>2698</v>
      </c>
      <c r="C2700" s="3" t="s">
        <v>118</v>
      </c>
      <c r="D2700" s="3" t="n">
        <v>10</v>
      </c>
      <c r="E2700" s="3" t="n">
        <v>3</v>
      </c>
      <c r="F2700" s="3" t="n">
        <v>2</v>
      </c>
      <c r="G2700" s="3" t="n">
        <v>1</v>
      </c>
      <c r="H2700" s="24" t="n">
        <v>0.213330612</v>
      </c>
    </row>
    <row r="2701" customFormat="false" ht="15" hidden="false" customHeight="false" outlineLevel="0" collapsed="false">
      <c r="A2701" s="3" t="n">
        <v>2700</v>
      </c>
      <c r="B2701" s="3" t="n">
        <v>2699</v>
      </c>
      <c r="C2701" s="3" t="s">
        <v>118</v>
      </c>
      <c r="D2701" s="3" t="n">
        <v>10</v>
      </c>
      <c r="E2701" s="3" t="n">
        <v>3</v>
      </c>
      <c r="F2701" s="3" t="n">
        <v>2</v>
      </c>
      <c r="G2701" s="3" t="n">
        <v>2</v>
      </c>
      <c r="H2701" s="24" t="n">
        <v>-0.00979488343</v>
      </c>
    </row>
    <row r="2702" customFormat="false" ht="15" hidden="false" customHeight="false" outlineLevel="0" collapsed="false">
      <c r="A2702" s="3" t="n">
        <v>2701</v>
      </c>
      <c r="B2702" s="3" t="n">
        <v>2700</v>
      </c>
      <c r="C2702" s="3" t="s">
        <v>118</v>
      </c>
      <c r="D2702" s="3" t="n">
        <v>10</v>
      </c>
      <c r="E2702" s="3" t="n">
        <v>4</v>
      </c>
      <c r="F2702" s="3" t="n">
        <v>0</v>
      </c>
      <c r="G2702" s="3" t="n">
        <v>0</v>
      </c>
      <c r="H2702" s="24" t="n">
        <v>-0.535426855</v>
      </c>
    </row>
    <row r="2703" customFormat="false" ht="15" hidden="false" customHeight="false" outlineLevel="0" collapsed="false">
      <c r="A2703" s="3" t="n">
        <v>2702</v>
      </c>
      <c r="B2703" s="3" t="n">
        <v>2701</v>
      </c>
      <c r="C2703" s="3" t="s">
        <v>118</v>
      </c>
      <c r="D2703" s="3" t="n">
        <v>10</v>
      </c>
      <c r="E2703" s="3" t="n">
        <v>4</v>
      </c>
      <c r="F2703" s="3" t="n">
        <v>0</v>
      </c>
      <c r="G2703" s="3" t="n">
        <v>1</v>
      </c>
      <c r="H2703" s="24" t="n">
        <v>-0.241728604</v>
      </c>
    </row>
    <row r="2704" customFormat="false" ht="15" hidden="false" customHeight="false" outlineLevel="0" collapsed="false">
      <c r="A2704" s="3" t="n">
        <v>2703</v>
      </c>
      <c r="B2704" s="3" t="n">
        <v>2702</v>
      </c>
      <c r="C2704" s="3" t="s">
        <v>118</v>
      </c>
      <c r="D2704" s="3" t="n">
        <v>10</v>
      </c>
      <c r="E2704" s="3" t="n">
        <v>4</v>
      </c>
      <c r="F2704" s="3" t="n">
        <v>0</v>
      </c>
      <c r="G2704" s="3" t="n">
        <v>2</v>
      </c>
      <c r="H2704" s="24" t="n">
        <v>0.0634197295</v>
      </c>
    </row>
    <row r="2705" customFormat="false" ht="15" hidden="false" customHeight="false" outlineLevel="0" collapsed="false">
      <c r="A2705" s="3" t="n">
        <v>2704</v>
      </c>
      <c r="B2705" s="3" t="n">
        <v>2703</v>
      </c>
      <c r="C2705" s="3" t="s">
        <v>118</v>
      </c>
      <c r="D2705" s="3" t="n">
        <v>10</v>
      </c>
      <c r="E2705" s="3" t="n">
        <v>4</v>
      </c>
      <c r="F2705" s="3" t="n">
        <v>1</v>
      </c>
      <c r="G2705" s="3" t="n">
        <v>0</v>
      </c>
      <c r="H2705" s="24" t="n">
        <v>-0.338344783</v>
      </c>
    </row>
    <row r="2706" customFormat="false" ht="15" hidden="false" customHeight="false" outlineLevel="0" collapsed="false">
      <c r="A2706" s="3" t="n">
        <v>2705</v>
      </c>
      <c r="B2706" s="3" t="n">
        <v>2704</v>
      </c>
      <c r="C2706" s="3" t="s">
        <v>118</v>
      </c>
      <c r="D2706" s="3" t="n">
        <v>10</v>
      </c>
      <c r="E2706" s="3" t="n">
        <v>4</v>
      </c>
      <c r="F2706" s="3" t="n">
        <v>1</v>
      </c>
      <c r="G2706" s="3" t="n">
        <v>1</v>
      </c>
      <c r="H2706" s="24" t="n">
        <v>-0.0863518864</v>
      </c>
    </row>
    <row r="2707" customFormat="false" ht="15" hidden="false" customHeight="false" outlineLevel="0" collapsed="false">
      <c r="A2707" s="3" t="n">
        <v>2706</v>
      </c>
      <c r="B2707" s="3" t="n">
        <v>2705</v>
      </c>
      <c r="C2707" s="3" t="s">
        <v>118</v>
      </c>
      <c r="D2707" s="3" t="n">
        <v>10</v>
      </c>
      <c r="E2707" s="3" t="n">
        <v>4</v>
      </c>
      <c r="F2707" s="3" t="n">
        <v>1</v>
      </c>
      <c r="G2707" s="3" t="n">
        <v>2</v>
      </c>
      <c r="H2707" s="24" t="n">
        <v>0.183626786</v>
      </c>
    </row>
    <row r="2708" customFormat="false" ht="15" hidden="false" customHeight="false" outlineLevel="0" collapsed="false">
      <c r="A2708" s="3" t="n">
        <v>2707</v>
      </c>
      <c r="B2708" s="3" t="n">
        <v>2706</v>
      </c>
      <c r="C2708" s="3" t="s">
        <v>118</v>
      </c>
      <c r="D2708" s="3" t="n">
        <v>10</v>
      </c>
      <c r="E2708" s="3" t="n">
        <v>4</v>
      </c>
      <c r="F2708" s="3" t="n">
        <v>2</v>
      </c>
      <c r="G2708" s="3" t="n">
        <v>0</v>
      </c>
      <c r="H2708" s="24" t="n">
        <v>-0.115803033</v>
      </c>
    </row>
    <row r="2709" customFormat="false" ht="15" hidden="false" customHeight="false" outlineLevel="0" collapsed="false">
      <c r="A2709" s="3" t="n">
        <v>2708</v>
      </c>
      <c r="B2709" s="3" t="n">
        <v>2707</v>
      </c>
      <c r="C2709" s="3" t="s">
        <v>118</v>
      </c>
      <c r="D2709" s="3" t="n">
        <v>10</v>
      </c>
      <c r="E2709" s="3" t="n">
        <v>4</v>
      </c>
      <c r="F2709" s="3" t="n">
        <v>2</v>
      </c>
      <c r="G2709" s="3" t="n">
        <v>1</v>
      </c>
      <c r="H2709" s="24" t="n">
        <v>0.165218875</v>
      </c>
    </row>
    <row r="2710" customFormat="false" ht="15" hidden="false" customHeight="false" outlineLevel="0" collapsed="false">
      <c r="A2710" s="3" t="n">
        <v>2709</v>
      </c>
      <c r="B2710" s="3" t="n">
        <v>2708</v>
      </c>
      <c r="C2710" s="3" t="s">
        <v>118</v>
      </c>
      <c r="D2710" s="3" t="n">
        <v>10</v>
      </c>
      <c r="E2710" s="3" t="n">
        <v>4</v>
      </c>
      <c r="F2710" s="3" t="n">
        <v>2</v>
      </c>
      <c r="G2710" s="3" t="n">
        <v>2</v>
      </c>
      <c r="H2710" s="24" t="n">
        <v>-0.177351847</v>
      </c>
    </row>
    <row r="2711" customFormat="false" ht="15" hidden="false" customHeight="false" outlineLevel="0" collapsed="false">
      <c r="A2711" s="3" t="n">
        <v>2710</v>
      </c>
      <c r="B2711" s="3" t="n">
        <v>2709</v>
      </c>
      <c r="C2711" s="3" t="s">
        <v>118</v>
      </c>
      <c r="D2711" s="3" t="n">
        <v>10</v>
      </c>
      <c r="E2711" s="3" t="n">
        <v>5</v>
      </c>
      <c r="F2711" s="3" t="n">
        <v>0</v>
      </c>
      <c r="G2711" s="3" t="n">
        <v>0</v>
      </c>
      <c r="H2711" s="24" t="n">
        <v>-0.00493805017</v>
      </c>
    </row>
    <row r="2712" customFormat="false" ht="15" hidden="false" customHeight="false" outlineLevel="0" collapsed="false">
      <c r="A2712" s="3" t="n">
        <v>2711</v>
      </c>
      <c r="B2712" s="3" t="n">
        <v>2710</v>
      </c>
      <c r="C2712" s="3" t="s">
        <v>118</v>
      </c>
      <c r="D2712" s="3" t="n">
        <v>10</v>
      </c>
      <c r="E2712" s="3" t="n">
        <v>5</v>
      </c>
      <c r="F2712" s="3" t="n">
        <v>0</v>
      </c>
      <c r="G2712" s="3" t="n">
        <v>1</v>
      </c>
      <c r="H2712" s="24" t="n">
        <v>-0.143239826</v>
      </c>
    </row>
    <row r="2713" customFormat="false" ht="15" hidden="false" customHeight="false" outlineLevel="0" collapsed="false">
      <c r="A2713" s="3" t="n">
        <v>2712</v>
      </c>
      <c r="B2713" s="3" t="n">
        <v>2711</v>
      </c>
      <c r="C2713" s="3" t="s">
        <v>118</v>
      </c>
      <c r="D2713" s="3" t="n">
        <v>10</v>
      </c>
      <c r="E2713" s="3" t="n">
        <v>5</v>
      </c>
      <c r="F2713" s="3" t="n">
        <v>0</v>
      </c>
      <c r="G2713" s="3" t="n">
        <v>2</v>
      </c>
      <c r="H2713" s="24" t="n">
        <v>-0.272332758</v>
      </c>
    </row>
    <row r="2714" customFormat="false" ht="15" hidden="false" customHeight="false" outlineLevel="0" collapsed="false">
      <c r="A2714" s="3" t="n">
        <v>2713</v>
      </c>
      <c r="B2714" s="3" t="n">
        <v>2712</v>
      </c>
      <c r="C2714" s="3" t="s">
        <v>118</v>
      </c>
      <c r="D2714" s="3" t="n">
        <v>10</v>
      </c>
      <c r="E2714" s="3" t="n">
        <v>5</v>
      </c>
      <c r="F2714" s="3" t="n">
        <v>1</v>
      </c>
      <c r="G2714" s="3" t="n">
        <v>0</v>
      </c>
      <c r="H2714" s="24" t="n">
        <v>0.148608059</v>
      </c>
    </row>
    <row r="2715" customFormat="false" ht="15" hidden="false" customHeight="false" outlineLevel="0" collapsed="false">
      <c r="A2715" s="3" t="n">
        <v>2714</v>
      </c>
      <c r="B2715" s="3" t="n">
        <v>2713</v>
      </c>
      <c r="C2715" s="3" t="s">
        <v>118</v>
      </c>
      <c r="D2715" s="3" t="n">
        <v>10</v>
      </c>
      <c r="E2715" s="3" t="n">
        <v>5</v>
      </c>
      <c r="F2715" s="3" t="n">
        <v>1</v>
      </c>
      <c r="G2715" s="3" t="n">
        <v>1</v>
      </c>
      <c r="H2715" s="24" t="n">
        <v>0.308832079</v>
      </c>
    </row>
    <row r="2716" customFormat="false" ht="15" hidden="false" customHeight="false" outlineLevel="0" collapsed="false">
      <c r="A2716" s="3" t="n">
        <v>2715</v>
      </c>
      <c r="B2716" s="3" t="n">
        <v>2714</v>
      </c>
      <c r="C2716" s="3" t="s">
        <v>118</v>
      </c>
      <c r="D2716" s="3" t="n">
        <v>10</v>
      </c>
      <c r="E2716" s="3" t="n">
        <v>5</v>
      </c>
      <c r="F2716" s="3" t="n">
        <v>1</v>
      </c>
      <c r="G2716" s="3" t="n">
        <v>2</v>
      </c>
      <c r="H2716" s="24" t="n">
        <v>0.143276617</v>
      </c>
    </row>
    <row r="2717" customFormat="false" ht="15" hidden="false" customHeight="false" outlineLevel="0" collapsed="false">
      <c r="A2717" s="3" t="n">
        <v>2716</v>
      </c>
      <c r="B2717" s="3" t="n">
        <v>2715</v>
      </c>
      <c r="C2717" s="3" t="s">
        <v>118</v>
      </c>
      <c r="D2717" s="3" t="n">
        <v>10</v>
      </c>
      <c r="E2717" s="3" t="n">
        <v>5</v>
      </c>
      <c r="F2717" s="3" t="n">
        <v>2</v>
      </c>
      <c r="G2717" s="3" t="n">
        <v>0</v>
      </c>
      <c r="H2717" s="24" t="n">
        <v>-0.302739263</v>
      </c>
    </row>
    <row r="2718" customFormat="false" ht="15" hidden="false" customHeight="false" outlineLevel="0" collapsed="false">
      <c r="A2718" s="3" t="n">
        <v>2717</v>
      </c>
      <c r="B2718" s="3" t="n">
        <v>2716</v>
      </c>
      <c r="C2718" s="3" t="s">
        <v>118</v>
      </c>
      <c r="D2718" s="3" t="n">
        <v>10</v>
      </c>
      <c r="E2718" s="3" t="n">
        <v>5</v>
      </c>
      <c r="F2718" s="3" t="n">
        <v>2</v>
      </c>
      <c r="G2718" s="3" t="n">
        <v>1</v>
      </c>
      <c r="H2718" s="24" t="n">
        <v>0.0631449893</v>
      </c>
    </row>
    <row r="2719" customFormat="false" ht="15" hidden="false" customHeight="false" outlineLevel="0" collapsed="false">
      <c r="A2719" s="3" t="n">
        <v>2718</v>
      </c>
      <c r="B2719" s="3" t="n">
        <v>2717</v>
      </c>
      <c r="C2719" s="3" t="s">
        <v>118</v>
      </c>
      <c r="D2719" s="3" t="n">
        <v>10</v>
      </c>
      <c r="E2719" s="3" t="n">
        <v>5</v>
      </c>
      <c r="F2719" s="3" t="n">
        <v>2</v>
      </c>
      <c r="G2719" s="3" t="n">
        <v>2</v>
      </c>
      <c r="H2719" s="24" t="n">
        <v>-0.00995560363</v>
      </c>
    </row>
    <row r="2720" customFormat="false" ht="15" hidden="false" customHeight="false" outlineLevel="0" collapsed="false">
      <c r="A2720" s="3" t="n">
        <v>2719</v>
      </c>
      <c r="B2720" s="3" t="n">
        <v>2718</v>
      </c>
      <c r="C2720" s="3" t="s">
        <v>118</v>
      </c>
      <c r="D2720" s="3" t="n">
        <v>10</v>
      </c>
      <c r="E2720" s="3" t="n">
        <v>6</v>
      </c>
      <c r="F2720" s="3" t="n">
        <v>0</v>
      </c>
      <c r="G2720" s="3" t="n">
        <v>0</v>
      </c>
      <c r="H2720" s="24" t="n">
        <v>-0.10922426</v>
      </c>
    </row>
    <row r="2721" customFormat="false" ht="15" hidden="false" customHeight="false" outlineLevel="0" collapsed="false">
      <c r="A2721" s="3" t="n">
        <v>2720</v>
      </c>
      <c r="B2721" s="3" t="n">
        <v>2719</v>
      </c>
      <c r="C2721" s="3" t="s">
        <v>118</v>
      </c>
      <c r="D2721" s="3" t="n">
        <v>10</v>
      </c>
      <c r="E2721" s="3" t="n">
        <v>6</v>
      </c>
      <c r="F2721" s="3" t="n">
        <v>0</v>
      </c>
      <c r="G2721" s="3" t="n">
        <v>1</v>
      </c>
      <c r="H2721" s="24" t="n">
        <v>-0.0654076412</v>
      </c>
    </row>
    <row r="2722" customFormat="false" ht="15" hidden="false" customHeight="false" outlineLevel="0" collapsed="false">
      <c r="A2722" s="3" t="n">
        <v>2721</v>
      </c>
      <c r="B2722" s="3" t="n">
        <v>2720</v>
      </c>
      <c r="C2722" s="3" t="s">
        <v>118</v>
      </c>
      <c r="D2722" s="3" t="n">
        <v>10</v>
      </c>
      <c r="E2722" s="3" t="n">
        <v>6</v>
      </c>
      <c r="F2722" s="3" t="n">
        <v>0</v>
      </c>
      <c r="G2722" s="3" t="n">
        <v>2</v>
      </c>
      <c r="H2722" s="24" t="n">
        <v>-0.272995383</v>
      </c>
    </row>
    <row r="2723" customFormat="false" ht="15" hidden="false" customHeight="false" outlineLevel="0" collapsed="false">
      <c r="A2723" s="3" t="n">
        <v>2722</v>
      </c>
      <c r="B2723" s="3" t="n">
        <v>2721</v>
      </c>
      <c r="C2723" s="3" t="s">
        <v>118</v>
      </c>
      <c r="D2723" s="3" t="n">
        <v>10</v>
      </c>
      <c r="E2723" s="3" t="n">
        <v>6</v>
      </c>
      <c r="F2723" s="3" t="n">
        <v>1</v>
      </c>
      <c r="G2723" s="3" t="n">
        <v>0</v>
      </c>
      <c r="H2723" s="24" t="n">
        <v>0.23876372</v>
      </c>
    </row>
    <row r="2724" customFormat="false" ht="15" hidden="false" customHeight="false" outlineLevel="0" collapsed="false">
      <c r="A2724" s="3" t="n">
        <v>2723</v>
      </c>
      <c r="B2724" s="3" t="n">
        <v>2722</v>
      </c>
      <c r="C2724" s="3" t="s">
        <v>118</v>
      </c>
      <c r="D2724" s="3" t="n">
        <v>10</v>
      </c>
      <c r="E2724" s="3" t="n">
        <v>6</v>
      </c>
      <c r="F2724" s="3" t="n">
        <v>1</v>
      </c>
      <c r="G2724" s="3" t="n">
        <v>1</v>
      </c>
      <c r="H2724" s="24" t="n">
        <v>0.119677149</v>
      </c>
    </row>
    <row r="2725" customFormat="false" ht="15" hidden="false" customHeight="false" outlineLevel="0" collapsed="false">
      <c r="A2725" s="3" t="n">
        <v>2724</v>
      </c>
      <c r="B2725" s="3" t="n">
        <v>2723</v>
      </c>
      <c r="C2725" s="3" t="s">
        <v>118</v>
      </c>
      <c r="D2725" s="3" t="n">
        <v>10</v>
      </c>
      <c r="E2725" s="3" t="n">
        <v>6</v>
      </c>
      <c r="F2725" s="3" t="n">
        <v>1</v>
      </c>
      <c r="G2725" s="3" t="n">
        <v>2</v>
      </c>
      <c r="H2725" s="24" t="n">
        <v>0.16866</v>
      </c>
    </row>
    <row r="2726" customFormat="false" ht="15" hidden="false" customHeight="false" outlineLevel="0" collapsed="false">
      <c r="A2726" s="3" t="n">
        <v>2725</v>
      </c>
      <c r="B2726" s="3" t="n">
        <v>2724</v>
      </c>
      <c r="C2726" s="3" t="s">
        <v>118</v>
      </c>
      <c r="D2726" s="3" t="n">
        <v>10</v>
      </c>
      <c r="E2726" s="3" t="n">
        <v>6</v>
      </c>
      <c r="F2726" s="3" t="n">
        <v>2</v>
      </c>
      <c r="G2726" s="3" t="n">
        <v>0</v>
      </c>
      <c r="H2726" s="24" t="n">
        <v>-0.178494811</v>
      </c>
    </row>
    <row r="2727" customFormat="false" ht="15" hidden="false" customHeight="false" outlineLevel="0" collapsed="false">
      <c r="A2727" s="3" t="n">
        <v>2726</v>
      </c>
      <c r="B2727" s="3" t="n">
        <v>2725</v>
      </c>
      <c r="C2727" s="3" t="s">
        <v>118</v>
      </c>
      <c r="D2727" s="3" t="n">
        <v>10</v>
      </c>
      <c r="E2727" s="3" t="n">
        <v>6</v>
      </c>
      <c r="F2727" s="3" t="n">
        <v>2</v>
      </c>
      <c r="G2727" s="3" t="n">
        <v>1</v>
      </c>
      <c r="H2727" s="24" t="n">
        <v>0.0605459511</v>
      </c>
    </row>
    <row r="2728" customFormat="false" ht="15" hidden="false" customHeight="false" outlineLevel="0" collapsed="false">
      <c r="A2728" s="3" t="n">
        <v>2727</v>
      </c>
      <c r="B2728" s="3" t="n">
        <v>2726</v>
      </c>
      <c r="C2728" s="3" t="s">
        <v>118</v>
      </c>
      <c r="D2728" s="3" t="n">
        <v>10</v>
      </c>
      <c r="E2728" s="3" t="n">
        <v>6</v>
      </c>
      <c r="F2728" s="3" t="n">
        <v>2</v>
      </c>
      <c r="G2728" s="3" t="n">
        <v>2</v>
      </c>
      <c r="H2728" s="24" t="n">
        <v>0.0384108946</v>
      </c>
    </row>
    <row r="2729" customFormat="false" ht="15" hidden="false" customHeight="false" outlineLevel="0" collapsed="false">
      <c r="A2729" s="3" t="n">
        <v>2728</v>
      </c>
      <c r="B2729" s="3" t="n">
        <v>2727</v>
      </c>
      <c r="C2729" s="3" t="s">
        <v>118</v>
      </c>
      <c r="D2729" s="3" t="n">
        <v>10</v>
      </c>
      <c r="E2729" s="3" t="n">
        <v>7</v>
      </c>
      <c r="F2729" s="3" t="n">
        <v>0</v>
      </c>
      <c r="G2729" s="3" t="n">
        <v>0</v>
      </c>
      <c r="H2729" s="24" t="n">
        <v>0.109109595</v>
      </c>
    </row>
    <row r="2730" customFormat="false" ht="15" hidden="false" customHeight="false" outlineLevel="0" collapsed="false">
      <c r="A2730" s="3" t="n">
        <v>2729</v>
      </c>
      <c r="B2730" s="3" t="n">
        <v>2728</v>
      </c>
      <c r="C2730" s="3" t="s">
        <v>118</v>
      </c>
      <c r="D2730" s="3" t="n">
        <v>10</v>
      </c>
      <c r="E2730" s="3" t="n">
        <v>7</v>
      </c>
      <c r="F2730" s="3" t="n">
        <v>0</v>
      </c>
      <c r="G2730" s="3" t="n">
        <v>1</v>
      </c>
      <c r="H2730" s="24" t="n">
        <v>0.181954414</v>
      </c>
    </row>
    <row r="2731" customFormat="false" ht="15" hidden="false" customHeight="false" outlineLevel="0" collapsed="false">
      <c r="A2731" s="3" t="n">
        <v>2730</v>
      </c>
      <c r="B2731" s="3" t="n">
        <v>2729</v>
      </c>
      <c r="C2731" s="3" t="s">
        <v>118</v>
      </c>
      <c r="D2731" s="3" t="n">
        <v>10</v>
      </c>
      <c r="E2731" s="3" t="n">
        <v>7</v>
      </c>
      <c r="F2731" s="3" t="n">
        <v>0</v>
      </c>
      <c r="G2731" s="3" t="n">
        <v>2</v>
      </c>
      <c r="H2731" s="24" t="n">
        <v>0.180993095</v>
      </c>
    </row>
    <row r="2732" customFormat="false" ht="15" hidden="false" customHeight="false" outlineLevel="0" collapsed="false">
      <c r="A2732" s="3" t="n">
        <v>2731</v>
      </c>
      <c r="B2732" s="3" t="n">
        <v>2730</v>
      </c>
      <c r="C2732" s="3" t="s">
        <v>118</v>
      </c>
      <c r="D2732" s="3" t="n">
        <v>10</v>
      </c>
      <c r="E2732" s="3" t="n">
        <v>7</v>
      </c>
      <c r="F2732" s="3" t="n">
        <v>1</v>
      </c>
      <c r="G2732" s="3" t="n">
        <v>0</v>
      </c>
      <c r="H2732" s="24" t="n">
        <v>0.314985573</v>
      </c>
    </row>
    <row r="2733" customFormat="false" ht="15" hidden="false" customHeight="false" outlineLevel="0" collapsed="false">
      <c r="A2733" s="3" t="n">
        <v>2732</v>
      </c>
      <c r="B2733" s="3" t="n">
        <v>2731</v>
      </c>
      <c r="C2733" s="3" t="s">
        <v>118</v>
      </c>
      <c r="D2733" s="3" t="n">
        <v>10</v>
      </c>
      <c r="E2733" s="3" t="n">
        <v>7</v>
      </c>
      <c r="F2733" s="3" t="n">
        <v>1</v>
      </c>
      <c r="G2733" s="3" t="n">
        <v>1</v>
      </c>
      <c r="H2733" s="24" t="n">
        <v>0.286934972</v>
      </c>
    </row>
    <row r="2734" customFormat="false" ht="15" hidden="false" customHeight="false" outlineLevel="0" collapsed="false">
      <c r="A2734" s="3" t="n">
        <v>2733</v>
      </c>
      <c r="B2734" s="3" t="n">
        <v>2732</v>
      </c>
      <c r="C2734" s="3" t="s">
        <v>118</v>
      </c>
      <c r="D2734" s="3" t="n">
        <v>10</v>
      </c>
      <c r="E2734" s="3" t="n">
        <v>7</v>
      </c>
      <c r="F2734" s="3" t="n">
        <v>1</v>
      </c>
      <c r="G2734" s="3" t="n">
        <v>2</v>
      </c>
      <c r="H2734" s="24" t="n">
        <v>0.517468512</v>
      </c>
    </row>
    <row r="2735" customFormat="false" ht="15" hidden="false" customHeight="false" outlineLevel="0" collapsed="false">
      <c r="A2735" s="3" t="n">
        <v>2734</v>
      </c>
      <c r="B2735" s="3" t="n">
        <v>2733</v>
      </c>
      <c r="C2735" s="3" t="s">
        <v>118</v>
      </c>
      <c r="D2735" s="3" t="n">
        <v>10</v>
      </c>
      <c r="E2735" s="3" t="n">
        <v>7</v>
      </c>
      <c r="F2735" s="3" t="n">
        <v>2</v>
      </c>
      <c r="G2735" s="3" t="n">
        <v>0</v>
      </c>
      <c r="H2735" s="24" t="n">
        <v>-0.204987407</v>
      </c>
    </row>
    <row r="2736" customFormat="false" ht="15" hidden="false" customHeight="false" outlineLevel="0" collapsed="false">
      <c r="A2736" s="3" t="n">
        <v>2735</v>
      </c>
      <c r="B2736" s="3" t="n">
        <v>2734</v>
      </c>
      <c r="C2736" s="3" t="s">
        <v>118</v>
      </c>
      <c r="D2736" s="3" t="n">
        <v>10</v>
      </c>
      <c r="E2736" s="3" t="n">
        <v>7</v>
      </c>
      <c r="F2736" s="3" t="n">
        <v>2</v>
      </c>
      <c r="G2736" s="3" t="n">
        <v>1</v>
      </c>
      <c r="H2736" s="24" t="n">
        <v>-0.336015552</v>
      </c>
    </row>
    <row r="2737" customFormat="false" ht="15" hidden="false" customHeight="false" outlineLevel="0" collapsed="false">
      <c r="A2737" s="3" t="n">
        <v>2736</v>
      </c>
      <c r="B2737" s="3" t="n">
        <v>2735</v>
      </c>
      <c r="C2737" s="3" t="s">
        <v>118</v>
      </c>
      <c r="D2737" s="3" t="n">
        <v>10</v>
      </c>
      <c r="E2737" s="3" t="n">
        <v>7</v>
      </c>
      <c r="F2737" s="3" t="n">
        <v>2</v>
      </c>
      <c r="G2737" s="3" t="n">
        <v>2</v>
      </c>
      <c r="H2737" s="24" t="n">
        <v>0.0014959469</v>
      </c>
    </row>
    <row r="2738" customFormat="false" ht="15" hidden="false" customHeight="false" outlineLevel="0" collapsed="false">
      <c r="A2738" s="3" t="n">
        <v>2737</v>
      </c>
      <c r="B2738" s="3" t="n">
        <v>2736</v>
      </c>
      <c r="C2738" s="3" t="s">
        <v>118</v>
      </c>
      <c r="D2738" s="3" t="n">
        <v>10</v>
      </c>
      <c r="E2738" s="3" t="n">
        <v>8</v>
      </c>
      <c r="F2738" s="3" t="n">
        <v>0</v>
      </c>
      <c r="G2738" s="3" t="n">
        <v>0</v>
      </c>
      <c r="H2738" s="24" t="n">
        <v>-0.314854592</v>
      </c>
    </row>
    <row r="2739" customFormat="false" ht="15" hidden="false" customHeight="false" outlineLevel="0" collapsed="false">
      <c r="A2739" s="3" t="n">
        <v>2738</v>
      </c>
      <c r="B2739" s="3" t="n">
        <v>2737</v>
      </c>
      <c r="C2739" s="3" t="s">
        <v>118</v>
      </c>
      <c r="D2739" s="3" t="n">
        <v>10</v>
      </c>
      <c r="E2739" s="3" t="n">
        <v>8</v>
      </c>
      <c r="F2739" s="3" t="n">
        <v>0</v>
      </c>
      <c r="G2739" s="3" t="n">
        <v>1</v>
      </c>
      <c r="H2739" s="24" t="n">
        <v>-0.314330965</v>
      </c>
    </row>
    <row r="2740" customFormat="false" ht="15" hidden="false" customHeight="false" outlineLevel="0" collapsed="false">
      <c r="A2740" s="3" t="n">
        <v>2739</v>
      </c>
      <c r="B2740" s="3" t="n">
        <v>2738</v>
      </c>
      <c r="C2740" s="3" t="s">
        <v>118</v>
      </c>
      <c r="D2740" s="3" t="n">
        <v>10</v>
      </c>
      <c r="E2740" s="3" t="n">
        <v>8</v>
      </c>
      <c r="F2740" s="3" t="n">
        <v>0</v>
      </c>
      <c r="G2740" s="3" t="n">
        <v>2</v>
      </c>
      <c r="H2740" s="24" t="n">
        <v>-0.0797896311</v>
      </c>
    </row>
    <row r="2741" customFormat="false" ht="15" hidden="false" customHeight="false" outlineLevel="0" collapsed="false">
      <c r="A2741" s="3" t="n">
        <v>2740</v>
      </c>
      <c r="B2741" s="3" t="n">
        <v>2739</v>
      </c>
      <c r="C2741" s="3" t="s">
        <v>118</v>
      </c>
      <c r="D2741" s="3" t="n">
        <v>10</v>
      </c>
      <c r="E2741" s="3" t="n">
        <v>8</v>
      </c>
      <c r="F2741" s="3" t="n">
        <v>1</v>
      </c>
      <c r="G2741" s="3" t="n">
        <v>0</v>
      </c>
      <c r="H2741" s="24" t="n">
        <v>-0.135334119</v>
      </c>
    </row>
    <row r="2742" customFormat="false" ht="15" hidden="false" customHeight="false" outlineLevel="0" collapsed="false">
      <c r="A2742" s="3" t="n">
        <v>2741</v>
      </c>
      <c r="B2742" s="3" t="n">
        <v>2740</v>
      </c>
      <c r="C2742" s="3" t="s">
        <v>118</v>
      </c>
      <c r="D2742" s="3" t="n">
        <v>10</v>
      </c>
      <c r="E2742" s="3" t="n">
        <v>8</v>
      </c>
      <c r="F2742" s="3" t="n">
        <v>1</v>
      </c>
      <c r="G2742" s="3" t="n">
        <v>1</v>
      </c>
      <c r="H2742" s="24" t="n">
        <v>-0.102221593</v>
      </c>
    </row>
    <row r="2743" customFormat="false" ht="15" hidden="false" customHeight="false" outlineLevel="0" collapsed="false">
      <c r="A2743" s="3" t="n">
        <v>2742</v>
      </c>
      <c r="B2743" s="3" t="n">
        <v>2741</v>
      </c>
      <c r="C2743" s="3" t="s">
        <v>118</v>
      </c>
      <c r="D2743" s="3" t="n">
        <v>10</v>
      </c>
      <c r="E2743" s="3" t="n">
        <v>8</v>
      </c>
      <c r="F2743" s="3" t="n">
        <v>1</v>
      </c>
      <c r="G2743" s="3" t="n">
        <v>2</v>
      </c>
      <c r="H2743" s="24" t="n">
        <v>-0.031337481</v>
      </c>
    </row>
    <row r="2744" customFormat="false" ht="15" hidden="false" customHeight="false" outlineLevel="0" collapsed="false">
      <c r="A2744" s="3" t="n">
        <v>2743</v>
      </c>
      <c r="B2744" s="3" t="n">
        <v>2742</v>
      </c>
      <c r="C2744" s="3" t="s">
        <v>118</v>
      </c>
      <c r="D2744" s="3" t="n">
        <v>10</v>
      </c>
      <c r="E2744" s="3" t="n">
        <v>8</v>
      </c>
      <c r="F2744" s="3" t="n">
        <v>2</v>
      </c>
      <c r="G2744" s="3" t="n">
        <v>0</v>
      </c>
      <c r="H2744" s="24" t="n">
        <v>-0.140598848</v>
      </c>
    </row>
    <row r="2745" customFormat="false" ht="15" hidden="false" customHeight="false" outlineLevel="0" collapsed="false">
      <c r="A2745" s="3" t="n">
        <v>2744</v>
      </c>
      <c r="B2745" s="3" t="n">
        <v>2743</v>
      </c>
      <c r="C2745" s="3" t="s">
        <v>118</v>
      </c>
      <c r="D2745" s="3" t="n">
        <v>10</v>
      </c>
      <c r="E2745" s="3" t="n">
        <v>8</v>
      </c>
      <c r="F2745" s="3" t="n">
        <v>2</v>
      </c>
      <c r="G2745" s="3" t="n">
        <v>1</v>
      </c>
      <c r="H2745" s="24" t="n">
        <v>0.177103728</v>
      </c>
    </row>
    <row r="2746" customFormat="false" ht="15" hidden="false" customHeight="false" outlineLevel="0" collapsed="false">
      <c r="A2746" s="3" t="n">
        <v>2745</v>
      </c>
      <c r="B2746" s="3" t="n">
        <v>2744</v>
      </c>
      <c r="C2746" s="3" t="s">
        <v>118</v>
      </c>
      <c r="D2746" s="3" t="n">
        <v>10</v>
      </c>
      <c r="E2746" s="3" t="n">
        <v>8</v>
      </c>
      <c r="F2746" s="3" t="n">
        <v>2</v>
      </c>
      <c r="G2746" s="3" t="n">
        <v>2</v>
      </c>
      <c r="H2746" s="24" t="n">
        <v>0.16822654</v>
      </c>
    </row>
    <row r="2747" customFormat="false" ht="15" hidden="false" customHeight="false" outlineLevel="0" collapsed="false">
      <c r="A2747" s="3" t="n">
        <v>2746</v>
      </c>
      <c r="B2747" s="3" t="n">
        <v>2745</v>
      </c>
      <c r="C2747" s="3" t="s">
        <v>118</v>
      </c>
      <c r="D2747" s="3" t="n">
        <v>10</v>
      </c>
      <c r="E2747" s="3" t="n">
        <v>9</v>
      </c>
      <c r="F2747" s="3" t="n">
        <v>0</v>
      </c>
      <c r="G2747" s="3" t="n">
        <v>0</v>
      </c>
      <c r="H2747" s="24" t="n">
        <v>-0.0770282522</v>
      </c>
    </row>
    <row r="2748" customFormat="false" ht="15" hidden="false" customHeight="false" outlineLevel="0" collapsed="false">
      <c r="A2748" s="3" t="n">
        <v>2747</v>
      </c>
      <c r="B2748" s="3" t="n">
        <v>2746</v>
      </c>
      <c r="C2748" s="3" t="s">
        <v>118</v>
      </c>
      <c r="D2748" s="3" t="n">
        <v>10</v>
      </c>
      <c r="E2748" s="3" t="n">
        <v>9</v>
      </c>
      <c r="F2748" s="3" t="n">
        <v>0</v>
      </c>
      <c r="G2748" s="3" t="n">
        <v>1</v>
      </c>
      <c r="H2748" s="24" t="n">
        <v>-0.224732667</v>
      </c>
    </row>
    <row r="2749" customFormat="false" ht="15" hidden="false" customHeight="false" outlineLevel="0" collapsed="false">
      <c r="A2749" s="3" t="n">
        <v>2748</v>
      </c>
      <c r="B2749" s="3" t="n">
        <v>2747</v>
      </c>
      <c r="C2749" s="3" t="s">
        <v>118</v>
      </c>
      <c r="D2749" s="3" t="n">
        <v>10</v>
      </c>
      <c r="E2749" s="3" t="n">
        <v>9</v>
      </c>
      <c r="F2749" s="3" t="n">
        <v>0</v>
      </c>
      <c r="G2749" s="3" t="n">
        <v>2</v>
      </c>
      <c r="H2749" s="24" t="n">
        <v>-0.0435180143</v>
      </c>
    </row>
    <row r="2750" customFormat="false" ht="15" hidden="false" customHeight="false" outlineLevel="0" collapsed="false">
      <c r="A2750" s="3" t="n">
        <v>2749</v>
      </c>
      <c r="B2750" s="3" t="n">
        <v>2748</v>
      </c>
      <c r="C2750" s="3" t="s">
        <v>118</v>
      </c>
      <c r="D2750" s="3" t="n">
        <v>10</v>
      </c>
      <c r="E2750" s="3" t="n">
        <v>9</v>
      </c>
      <c r="F2750" s="3" t="n">
        <v>1</v>
      </c>
      <c r="G2750" s="3" t="n">
        <v>0</v>
      </c>
      <c r="H2750" s="24" t="n">
        <v>-0.138446331</v>
      </c>
    </row>
    <row r="2751" customFormat="false" ht="15" hidden="false" customHeight="false" outlineLevel="0" collapsed="false">
      <c r="A2751" s="3" t="n">
        <v>2750</v>
      </c>
      <c r="B2751" s="3" t="n">
        <v>2749</v>
      </c>
      <c r="C2751" s="3" t="s">
        <v>118</v>
      </c>
      <c r="D2751" s="3" t="n">
        <v>10</v>
      </c>
      <c r="E2751" s="3" t="n">
        <v>9</v>
      </c>
      <c r="F2751" s="3" t="n">
        <v>1</v>
      </c>
      <c r="G2751" s="3" t="n">
        <v>1</v>
      </c>
      <c r="H2751" s="24" t="n">
        <v>-0.248573199</v>
      </c>
    </row>
    <row r="2752" customFormat="false" ht="15" hidden="false" customHeight="false" outlineLevel="0" collapsed="false">
      <c r="A2752" s="3" t="n">
        <v>2751</v>
      </c>
      <c r="B2752" s="3" t="n">
        <v>2750</v>
      </c>
      <c r="C2752" s="3" t="s">
        <v>118</v>
      </c>
      <c r="D2752" s="3" t="n">
        <v>10</v>
      </c>
      <c r="E2752" s="3" t="n">
        <v>9</v>
      </c>
      <c r="F2752" s="3" t="n">
        <v>1</v>
      </c>
      <c r="G2752" s="3" t="n">
        <v>2</v>
      </c>
      <c r="H2752" s="24" t="n">
        <v>-0.233404592</v>
      </c>
    </row>
    <row r="2753" customFormat="false" ht="15" hidden="false" customHeight="false" outlineLevel="0" collapsed="false">
      <c r="A2753" s="3" t="n">
        <v>2752</v>
      </c>
      <c r="B2753" s="3" t="n">
        <v>2751</v>
      </c>
      <c r="C2753" s="3" t="s">
        <v>118</v>
      </c>
      <c r="D2753" s="3" t="n">
        <v>10</v>
      </c>
      <c r="E2753" s="3" t="n">
        <v>9</v>
      </c>
      <c r="F2753" s="3" t="n">
        <v>2</v>
      </c>
      <c r="G2753" s="3" t="n">
        <v>0</v>
      </c>
      <c r="H2753" s="24" t="n">
        <v>-0.0531267039</v>
      </c>
    </row>
    <row r="2754" customFormat="false" ht="15" hidden="false" customHeight="false" outlineLevel="0" collapsed="false">
      <c r="A2754" s="3" t="n">
        <v>2753</v>
      </c>
      <c r="B2754" s="3" t="n">
        <v>2752</v>
      </c>
      <c r="C2754" s="3" t="s">
        <v>118</v>
      </c>
      <c r="D2754" s="3" t="n">
        <v>10</v>
      </c>
      <c r="E2754" s="3" t="n">
        <v>9</v>
      </c>
      <c r="F2754" s="3" t="n">
        <v>2</v>
      </c>
      <c r="G2754" s="3" t="n">
        <v>1</v>
      </c>
      <c r="H2754" s="24" t="n">
        <v>-0.170841992</v>
      </c>
    </row>
    <row r="2755" customFormat="false" ht="15" hidden="false" customHeight="false" outlineLevel="0" collapsed="false">
      <c r="A2755" s="3" t="n">
        <v>2754</v>
      </c>
      <c r="B2755" s="3" t="n">
        <v>2753</v>
      </c>
      <c r="C2755" s="3" t="s">
        <v>118</v>
      </c>
      <c r="D2755" s="3" t="n">
        <v>10</v>
      </c>
      <c r="E2755" s="3" t="n">
        <v>9</v>
      </c>
      <c r="F2755" s="3" t="n">
        <v>2</v>
      </c>
      <c r="G2755" s="3" t="n">
        <v>2</v>
      </c>
      <c r="H2755" s="24" t="n">
        <v>0.116643965</v>
      </c>
    </row>
    <row r="2756" customFormat="false" ht="15" hidden="false" customHeight="false" outlineLevel="0" collapsed="false">
      <c r="A2756" s="3" t="n">
        <v>2755</v>
      </c>
      <c r="B2756" s="3" t="n">
        <v>2754</v>
      </c>
      <c r="C2756" s="3" t="s">
        <v>118</v>
      </c>
      <c r="D2756" s="3" t="n">
        <v>10</v>
      </c>
      <c r="E2756" s="3" t="n">
        <v>10</v>
      </c>
      <c r="F2756" s="3" t="n">
        <v>0</v>
      </c>
      <c r="G2756" s="3" t="n">
        <v>0</v>
      </c>
      <c r="H2756" s="24" t="n">
        <v>-0.341791809</v>
      </c>
    </row>
    <row r="2757" customFormat="false" ht="15" hidden="false" customHeight="false" outlineLevel="0" collapsed="false">
      <c r="A2757" s="3" t="n">
        <v>2756</v>
      </c>
      <c r="B2757" s="3" t="n">
        <v>2755</v>
      </c>
      <c r="C2757" s="3" t="s">
        <v>118</v>
      </c>
      <c r="D2757" s="3" t="n">
        <v>10</v>
      </c>
      <c r="E2757" s="3" t="n">
        <v>10</v>
      </c>
      <c r="F2757" s="3" t="n">
        <v>0</v>
      </c>
      <c r="G2757" s="3" t="n">
        <v>1</v>
      </c>
      <c r="H2757" s="24" t="n">
        <v>-0.0850047246</v>
      </c>
    </row>
    <row r="2758" customFormat="false" ht="15" hidden="false" customHeight="false" outlineLevel="0" collapsed="false">
      <c r="A2758" s="3" t="n">
        <v>2757</v>
      </c>
      <c r="B2758" s="3" t="n">
        <v>2756</v>
      </c>
      <c r="C2758" s="3" t="s">
        <v>118</v>
      </c>
      <c r="D2758" s="3" t="n">
        <v>10</v>
      </c>
      <c r="E2758" s="3" t="n">
        <v>10</v>
      </c>
      <c r="F2758" s="3" t="n">
        <v>0</v>
      </c>
      <c r="G2758" s="3" t="n">
        <v>2</v>
      </c>
      <c r="H2758" s="24" t="n">
        <v>-0.038110625</v>
      </c>
    </row>
    <row r="2759" customFormat="false" ht="15" hidden="false" customHeight="false" outlineLevel="0" collapsed="false">
      <c r="A2759" s="3" t="n">
        <v>2758</v>
      </c>
      <c r="B2759" s="3" t="n">
        <v>2757</v>
      </c>
      <c r="C2759" s="3" t="s">
        <v>118</v>
      </c>
      <c r="D2759" s="3" t="n">
        <v>10</v>
      </c>
      <c r="E2759" s="3" t="n">
        <v>10</v>
      </c>
      <c r="F2759" s="3" t="n">
        <v>1</v>
      </c>
      <c r="G2759" s="3" t="n">
        <v>0</v>
      </c>
      <c r="H2759" s="24" t="n">
        <v>-0.214820921</v>
      </c>
    </row>
    <row r="2760" customFormat="false" ht="15" hidden="false" customHeight="false" outlineLevel="0" collapsed="false">
      <c r="A2760" s="3" t="n">
        <v>2759</v>
      </c>
      <c r="B2760" s="3" t="n">
        <v>2758</v>
      </c>
      <c r="C2760" s="3" t="s">
        <v>118</v>
      </c>
      <c r="D2760" s="3" t="n">
        <v>10</v>
      </c>
      <c r="E2760" s="3" t="n">
        <v>10</v>
      </c>
      <c r="F2760" s="3" t="n">
        <v>1</v>
      </c>
      <c r="G2760" s="3" t="n">
        <v>1</v>
      </c>
      <c r="H2760" s="24" t="n">
        <v>0.085791938</v>
      </c>
    </row>
    <row r="2761" customFormat="false" ht="15" hidden="false" customHeight="false" outlineLevel="0" collapsed="false">
      <c r="A2761" s="3" t="n">
        <v>2760</v>
      </c>
      <c r="B2761" s="3" t="n">
        <v>2759</v>
      </c>
      <c r="C2761" s="3" t="s">
        <v>118</v>
      </c>
      <c r="D2761" s="3" t="n">
        <v>10</v>
      </c>
      <c r="E2761" s="3" t="n">
        <v>10</v>
      </c>
      <c r="F2761" s="3" t="n">
        <v>1</v>
      </c>
      <c r="G2761" s="3" t="n">
        <v>2</v>
      </c>
      <c r="H2761" s="24" t="n">
        <v>-0.0132368607</v>
      </c>
    </row>
    <row r="2762" customFormat="false" ht="15" hidden="false" customHeight="false" outlineLevel="0" collapsed="false">
      <c r="A2762" s="3" t="n">
        <v>2761</v>
      </c>
      <c r="B2762" s="3" t="n">
        <v>2760</v>
      </c>
      <c r="C2762" s="3" t="s">
        <v>118</v>
      </c>
      <c r="D2762" s="3" t="n">
        <v>10</v>
      </c>
      <c r="E2762" s="3" t="n">
        <v>10</v>
      </c>
      <c r="F2762" s="3" t="n">
        <v>2</v>
      </c>
      <c r="G2762" s="3" t="n">
        <v>0</v>
      </c>
      <c r="H2762" s="24" t="n">
        <v>-0.120935313</v>
      </c>
    </row>
    <row r="2763" customFormat="false" ht="15" hidden="false" customHeight="false" outlineLevel="0" collapsed="false">
      <c r="A2763" s="3" t="n">
        <v>2762</v>
      </c>
      <c r="B2763" s="3" t="n">
        <v>2761</v>
      </c>
      <c r="C2763" s="3" t="s">
        <v>118</v>
      </c>
      <c r="D2763" s="3" t="n">
        <v>10</v>
      </c>
      <c r="E2763" s="3" t="n">
        <v>10</v>
      </c>
      <c r="F2763" s="3" t="n">
        <v>2</v>
      </c>
      <c r="G2763" s="3" t="n">
        <v>1</v>
      </c>
      <c r="H2763" s="24" t="n">
        <v>0.0897781774</v>
      </c>
    </row>
    <row r="2764" customFormat="false" ht="15" hidden="false" customHeight="false" outlineLevel="0" collapsed="false">
      <c r="A2764" s="3" t="n">
        <v>2763</v>
      </c>
      <c r="B2764" s="3" t="n">
        <v>2762</v>
      </c>
      <c r="C2764" s="3" t="s">
        <v>118</v>
      </c>
      <c r="D2764" s="3" t="n">
        <v>10</v>
      </c>
      <c r="E2764" s="3" t="n">
        <v>10</v>
      </c>
      <c r="F2764" s="3" t="n">
        <v>2</v>
      </c>
      <c r="G2764" s="3" t="n">
        <v>2</v>
      </c>
      <c r="H2764" s="24" t="n">
        <v>-0.15182434</v>
      </c>
    </row>
    <row r="2765" customFormat="false" ht="15" hidden="false" customHeight="false" outlineLevel="0" collapsed="false">
      <c r="A2765" s="3" t="n">
        <v>2764</v>
      </c>
      <c r="B2765" s="3" t="n">
        <v>2763</v>
      </c>
      <c r="C2765" s="3" t="s">
        <v>118</v>
      </c>
      <c r="D2765" s="3" t="n">
        <v>10</v>
      </c>
      <c r="E2765" s="3" t="n">
        <v>11</v>
      </c>
      <c r="F2765" s="3" t="n">
        <v>0</v>
      </c>
      <c r="G2765" s="3" t="n">
        <v>0</v>
      </c>
      <c r="H2765" s="24" t="n">
        <v>0.102404512</v>
      </c>
    </row>
    <row r="2766" customFormat="false" ht="15" hidden="false" customHeight="false" outlineLevel="0" collapsed="false">
      <c r="A2766" s="3" t="n">
        <v>2765</v>
      </c>
      <c r="B2766" s="3" t="n">
        <v>2764</v>
      </c>
      <c r="C2766" s="3" t="s">
        <v>118</v>
      </c>
      <c r="D2766" s="3" t="n">
        <v>10</v>
      </c>
      <c r="E2766" s="3" t="n">
        <v>11</v>
      </c>
      <c r="F2766" s="3" t="n">
        <v>0</v>
      </c>
      <c r="G2766" s="3" t="n">
        <v>1</v>
      </c>
      <c r="H2766" s="24" t="n">
        <v>-0.0484420583</v>
      </c>
    </row>
    <row r="2767" customFormat="false" ht="15" hidden="false" customHeight="false" outlineLevel="0" collapsed="false">
      <c r="A2767" s="3" t="n">
        <v>2766</v>
      </c>
      <c r="B2767" s="3" t="n">
        <v>2765</v>
      </c>
      <c r="C2767" s="3" t="s">
        <v>118</v>
      </c>
      <c r="D2767" s="3" t="n">
        <v>10</v>
      </c>
      <c r="E2767" s="3" t="n">
        <v>11</v>
      </c>
      <c r="F2767" s="3" t="n">
        <v>0</v>
      </c>
      <c r="G2767" s="3" t="n">
        <v>2</v>
      </c>
      <c r="H2767" s="24" t="n">
        <v>0.0256881379</v>
      </c>
    </row>
    <row r="2768" customFormat="false" ht="15" hidden="false" customHeight="false" outlineLevel="0" collapsed="false">
      <c r="A2768" s="3" t="n">
        <v>2767</v>
      </c>
      <c r="B2768" s="3" t="n">
        <v>2766</v>
      </c>
      <c r="C2768" s="3" t="s">
        <v>118</v>
      </c>
      <c r="D2768" s="3" t="n">
        <v>10</v>
      </c>
      <c r="E2768" s="3" t="n">
        <v>11</v>
      </c>
      <c r="F2768" s="3" t="n">
        <v>1</v>
      </c>
      <c r="G2768" s="3" t="n">
        <v>0</v>
      </c>
      <c r="H2768" s="24" t="n">
        <v>0.090900518</v>
      </c>
    </row>
    <row r="2769" customFormat="false" ht="15" hidden="false" customHeight="false" outlineLevel="0" collapsed="false">
      <c r="A2769" s="3" t="n">
        <v>2768</v>
      </c>
      <c r="B2769" s="3" t="n">
        <v>2767</v>
      </c>
      <c r="C2769" s="3" t="s">
        <v>118</v>
      </c>
      <c r="D2769" s="3" t="n">
        <v>10</v>
      </c>
      <c r="E2769" s="3" t="n">
        <v>11</v>
      </c>
      <c r="F2769" s="3" t="n">
        <v>1</v>
      </c>
      <c r="G2769" s="3" t="n">
        <v>1</v>
      </c>
      <c r="H2769" s="24" t="n">
        <v>-0.0705129653</v>
      </c>
    </row>
    <row r="2770" customFormat="false" ht="15" hidden="false" customHeight="false" outlineLevel="0" collapsed="false">
      <c r="A2770" s="3" t="n">
        <v>2769</v>
      </c>
      <c r="B2770" s="3" t="n">
        <v>2768</v>
      </c>
      <c r="C2770" s="3" t="s">
        <v>118</v>
      </c>
      <c r="D2770" s="3" t="n">
        <v>10</v>
      </c>
      <c r="E2770" s="3" t="n">
        <v>11</v>
      </c>
      <c r="F2770" s="3" t="n">
        <v>1</v>
      </c>
      <c r="G2770" s="3" t="n">
        <v>2</v>
      </c>
      <c r="H2770" s="24" t="n">
        <v>-0.157694072</v>
      </c>
    </row>
    <row r="2771" customFormat="false" ht="15" hidden="false" customHeight="false" outlineLevel="0" collapsed="false">
      <c r="A2771" s="3" t="n">
        <v>2770</v>
      </c>
      <c r="B2771" s="3" t="n">
        <v>2769</v>
      </c>
      <c r="C2771" s="3" t="s">
        <v>118</v>
      </c>
      <c r="D2771" s="3" t="n">
        <v>10</v>
      </c>
      <c r="E2771" s="3" t="n">
        <v>11</v>
      </c>
      <c r="F2771" s="3" t="n">
        <v>2</v>
      </c>
      <c r="G2771" s="3" t="n">
        <v>0</v>
      </c>
      <c r="H2771" s="24" t="n">
        <v>0.0546027832</v>
      </c>
    </row>
    <row r="2772" customFormat="false" ht="15" hidden="false" customHeight="false" outlineLevel="0" collapsed="false">
      <c r="A2772" s="3" t="n">
        <v>2771</v>
      </c>
      <c r="B2772" s="3" t="n">
        <v>2770</v>
      </c>
      <c r="C2772" s="3" t="s">
        <v>118</v>
      </c>
      <c r="D2772" s="3" t="n">
        <v>10</v>
      </c>
      <c r="E2772" s="3" t="n">
        <v>11</v>
      </c>
      <c r="F2772" s="3" t="n">
        <v>2</v>
      </c>
      <c r="G2772" s="3" t="n">
        <v>1</v>
      </c>
      <c r="H2772" s="24" t="n">
        <v>-0.113657959</v>
      </c>
    </row>
    <row r="2773" customFormat="false" ht="15" hidden="false" customHeight="false" outlineLevel="0" collapsed="false">
      <c r="A2773" s="3" t="n">
        <v>2772</v>
      </c>
      <c r="B2773" s="3" t="n">
        <v>2771</v>
      </c>
      <c r="C2773" s="3" t="s">
        <v>118</v>
      </c>
      <c r="D2773" s="3" t="n">
        <v>10</v>
      </c>
      <c r="E2773" s="3" t="n">
        <v>11</v>
      </c>
      <c r="F2773" s="3" t="n">
        <v>2</v>
      </c>
      <c r="G2773" s="3" t="n">
        <v>2</v>
      </c>
      <c r="H2773" s="24" t="n">
        <v>0.0859162658</v>
      </c>
    </row>
    <row r="2774" customFormat="false" ht="15" hidden="false" customHeight="false" outlineLevel="0" collapsed="false">
      <c r="A2774" s="3" t="n">
        <v>2773</v>
      </c>
      <c r="B2774" s="3" t="n">
        <v>2772</v>
      </c>
      <c r="C2774" s="3" t="s">
        <v>118</v>
      </c>
      <c r="D2774" s="3" t="n">
        <v>10</v>
      </c>
      <c r="E2774" s="3" t="n">
        <v>12</v>
      </c>
      <c r="F2774" s="3" t="n">
        <v>0</v>
      </c>
      <c r="G2774" s="3" t="n">
        <v>0</v>
      </c>
      <c r="H2774" s="24" t="n">
        <v>0.296361387</v>
      </c>
    </row>
    <row r="2775" customFormat="false" ht="15" hidden="false" customHeight="false" outlineLevel="0" collapsed="false">
      <c r="A2775" s="3" t="n">
        <v>2774</v>
      </c>
      <c r="B2775" s="3" t="n">
        <v>2773</v>
      </c>
      <c r="C2775" s="3" t="s">
        <v>118</v>
      </c>
      <c r="D2775" s="3" t="n">
        <v>10</v>
      </c>
      <c r="E2775" s="3" t="n">
        <v>12</v>
      </c>
      <c r="F2775" s="3" t="n">
        <v>0</v>
      </c>
      <c r="G2775" s="3" t="n">
        <v>1</v>
      </c>
      <c r="H2775" s="24" t="n">
        <v>-0.055383198</v>
      </c>
    </row>
    <row r="2776" customFormat="false" ht="15" hidden="false" customHeight="false" outlineLevel="0" collapsed="false">
      <c r="A2776" s="3" t="n">
        <v>2775</v>
      </c>
      <c r="B2776" s="3" t="n">
        <v>2774</v>
      </c>
      <c r="C2776" s="3" t="s">
        <v>118</v>
      </c>
      <c r="D2776" s="3" t="n">
        <v>10</v>
      </c>
      <c r="E2776" s="3" t="n">
        <v>12</v>
      </c>
      <c r="F2776" s="3" t="n">
        <v>0</v>
      </c>
      <c r="G2776" s="3" t="n">
        <v>2</v>
      </c>
      <c r="H2776" s="24" t="n">
        <v>0.0052493508</v>
      </c>
    </row>
    <row r="2777" customFormat="false" ht="15" hidden="false" customHeight="false" outlineLevel="0" collapsed="false">
      <c r="A2777" s="3" t="n">
        <v>2776</v>
      </c>
      <c r="B2777" s="3" t="n">
        <v>2775</v>
      </c>
      <c r="C2777" s="3" t="s">
        <v>118</v>
      </c>
      <c r="D2777" s="3" t="n">
        <v>10</v>
      </c>
      <c r="E2777" s="3" t="n">
        <v>12</v>
      </c>
      <c r="F2777" s="3" t="n">
        <v>1</v>
      </c>
      <c r="G2777" s="3" t="n">
        <v>0</v>
      </c>
      <c r="H2777" s="24" t="n">
        <v>-0.0155505305</v>
      </c>
    </row>
    <row r="2778" customFormat="false" ht="15" hidden="false" customHeight="false" outlineLevel="0" collapsed="false">
      <c r="A2778" s="3" t="n">
        <v>2777</v>
      </c>
      <c r="B2778" s="3" t="n">
        <v>2776</v>
      </c>
      <c r="C2778" s="3" t="s">
        <v>118</v>
      </c>
      <c r="D2778" s="3" t="n">
        <v>10</v>
      </c>
      <c r="E2778" s="3" t="n">
        <v>12</v>
      </c>
      <c r="F2778" s="3" t="n">
        <v>1</v>
      </c>
      <c r="G2778" s="3" t="n">
        <v>1</v>
      </c>
      <c r="H2778" s="24" t="n">
        <v>0.072404623</v>
      </c>
    </row>
    <row r="2779" customFormat="false" ht="15" hidden="false" customHeight="false" outlineLevel="0" collapsed="false">
      <c r="A2779" s="3" t="n">
        <v>2778</v>
      </c>
      <c r="B2779" s="3" t="n">
        <v>2777</v>
      </c>
      <c r="C2779" s="3" t="s">
        <v>118</v>
      </c>
      <c r="D2779" s="3" t="n">
        <v>10</v>
      </c>
      <c r="E2779" s="3" t="n">
        <v>12</v>
      </c>
      <c r="F2779" s="3" t="n">
        <v>1</v>
      </c>
      <c r="G2779" s="3" t="n">
        <v>2</v>
      </c>
      <c r="H2779" s="24" t="n">
        <v>0.129032001</v>
      </c>
    </row>
    <row r="2780" customFormat="false" ht="15" hidden="false" customHeight="false" outlineLevel="0" collapsed="false">
      <c r="A2780" s="3" t="n">
        <v>2779</v>
      </c>
      <c r="B2780" s="3" t="n">
        <v>2778</v>
      </c>
      <c r="C2780" s="3" t="s">
        <v>118</v>
      </c>
      <c r="D2780" s="3" t="n">
        <v>10</v>
      </c>
      <c r="E2780" s="3" t="n">
        <v>12</v>
      </c>
      <c r="F2780" s="3" t="n">
        <v>2</v>
      </c>
      <c r="G2780" s="3" t="n">
        <v>0</v>
      </c>
      <c r="H2780" s="24" t="n">
        <v>-0.0866387188</v>
      </c>
    </row>
    <row r="2781" customFormat="false" ht="15" hidden="false" customHeight="false" outlineLevel="0" collapsed="false">
      <c r="A2781" s="3" t="n">
        <v>2780</v>
      </c>
      <c r="B2781" s="3" t="n">
        <v>2779</v>
      </c>
      <c r="C2781" s="3" t="s">
        <v>118</v>
      </c>
      <c r="D2781" s="3" t="n">
        <v>10</v>
      </c>
      <c r="E2781" s="3" t="n">
        <v>12</v>
      </c>
      <c r="F2781" s="3" t="n">
        <v>2</v>
      </c>
      <c r="G2781" s="3" t="n">
        <v>1</v>
      </c>
      <c r="H2781" s="24" t="n">
        <v>-0.427915245</v>
      </c>
    </row>
    <row r="2782" customFormat="false" ht="15" hidden="false" customHeight="false" outlineLevel="0" collapsed="false">
      <c r="A2782" s="3" t="n">
        <v>2781</v>
      </c>
      <c r="B2782" s="3" t="n">
        <v>2780</v>
      </c>
      <c r="C2782" s="3" t="s">
        <v>118</v>
      </c>
      <c r="D2782" s="3" t="n">
        <v>10</v>
      </c>
      <c r="E2782" s="3" t="n">
        <v>12</v>
      </c>
      <c r="F2782" s="3" t="n">
        <v>2</v>
      </c>
      <c r="G2782" s="3" t="n">
        <v>2</v>
      </c>
      <c r="H2782" s="24" t="n">
        <v>-0.3465195</v>
      </c>
    </row>
    <row r="2783" customFormat="false" ht="15" hidden="false" customHeight="false" outlineLevel="0" collapsed="false">
      <c r="A2783" s="3" t="n">
        <v>2782</v>
      </c>
      <c r="B2783" s="3" t="n">
        <v>2781</v>
      </c>
      <c r="C2783" s="3" t="s">
        <v>118</v>
      </c>
      <c r="D2783" s="3" t="n">
        <v>10</v>
      </c>
      <c r="E2783" s="3" t="n">
        <v>13</v>
      </c>
      <c r="F2783" s="3" t="n">
        <v>0</v>
      </c>
      <c r="G2783" s="3" t="n">
        <v>0</v>
      </c>
      <c r="H2783" s="24" t="n">
        <v>0.10750863</v>
      </c>
    </row>
    <row r="2784" customFormat="false" ht="15" hidden="false" customHeight="false" outlineLevel="0" collapsed="false">
      <c r="A2784" s="3" t="n">
        <v>2783</v>
      </c>
      <c r="B2784" s="3" t="n">
        <v>2782</v>
      </c>
      <c r="C2784" s="3" t="s">
        <v>118</v>
      </c>
      <c r="D2784" s="3" t="n">
        <v>10</v>
      </c>
      <c r="E2784" s="3" t="n">
        <v>13</v>
      </c>
      <c r="F2784" s="3" t="n">
        <v>0</v>
      </c>
      <c r="G2784" s="3" t="n">
        <v>1</v>
      </c>
      <c r="H2784" s="24" t="n">
        <v>0.0891331211</v>
      </c>
    </row>
    <row r="2785" customFormat="false" ht="15" hidden="false" customHeight="false" outlineLevel="0" collapsed="false">
      <c r="A2785" s="3" t="n">
        <v>2784</v>
      </c>
      <c r="B2785" s="3" t="n">
        <v>2783</v>
      </c>
      <c r="C2785" s="3" t="s">
        <v>118</v>
      </c>
      <c r="D2785" s="3" t="n">
        <v>10</v>
      </c>
      <c r="E2785" s="3" t="n">
        <v>13</v>
      </c>
      <c r="F2785" s="3" t="n">
        <v>0</v>
      </c>
      <c r="G2785" s="3" t="n">
        <v>2</v>
      </c>
      <c r="H2785" s="24" t="n">
        <v>-0.182962716</v>
      </c>
    </row>
    <row r="2786" customFormat="false" ht="15" hidden="false" customHeight="false" outlineLevel="0" collapsed="false">
      <c r="A2786" s="3" t="n">
        <v>2785</v>
      </c>
      <c r="B2786" s="3" t="n">
        <v>2784</v>
      </c>
      <c r="C2786" s="3" t="s">
        <v>118</v>
      </c>
      <c r="D2786" s="3" t="n">
        <v>10</v>
      </c>
      <c r="E2786" s="3" t="n">
        <v>13</v>
      </c>
      <c r="F2786" s="3" t="n">
        <v>1</v>
      </c>
      <c r="G2786" s="3" t="n">
        <v>0</v>
      </c>
      <c r="H2786" s="24" t="n">
        <v>-0.144746065</v>
      </c>
    </row>
    <row r="2787" customFormat="false" ht="15" hidden="false" customHeight="false" outlineLevel="0" collapsed="false">
      <c r="A2787" s="3" t="n">
        <v>2786</v>
      </c>
      <c r="B2787" s="3" t="n">
        <v>2785</v>
      </c>
      <c r="C2787" s="3" t="s">
        <v>118</v>
      </c>
      <c r="D2787" s="3" t="n">
        <v>10</v>
      </c>
      <c r="E2787" s="3" t="n">
        <v>13</v>
      </c>
      <c r="F2787" s="3" t="n">
        <v>1</v>
      </c>
      <c r="G2787" s="3" t="n">
        <v>1</v>
      </c>
      <c r="H2787" s="24" t="n">
        <v>-0.438297153</v>
      </c>
    </row>
    <row r="2788" customFormat="false" ht="15" hidden="false" customHeight="false" outlineLevel="0" collapsed="false">
      <c r="A2788" s="3" t="n">
        <v>2787</v>
      </c>
      <c r="B2788" s="3" t="n">
        <v>2786</v>
      </c>
      <c r="C2788" s="3" t="s">
        <v>118</v>
      </c>
      <c r="D2788" s="3" t="n">
        <v>10</v>
      </c>
      <c r="E2788" s="3" t="n">
        <v>13</v>
      </c>
      <c r="F2788" s="3" t="n">
        <v>1</v>
      </c>
      <c r="G2788" s="3" t="n">
        <v>2</v>
      </c>
      <c r="H2788" s="24" t="n">
        <v>-0.193670318</v>
      </c>
    </row>
    <row r="2789" customFormat="false" ht="15" hidden="false" customHeight="false" outlineLevel="0" collapsed="false">
      <c r="A2789" s="3" t="n">
        <v>2788</v>
      </c>
      <c r="B2789" s="3" t="n">
        <v>2787</v>
      </c>
      <c r="C2789" s="3" t="s">
        <v>118</v>
      </c>
      <c r="D2789" s="3" t="n">
        <v>10</v>
      </c>
      <c r="E2789" s="3" t="n">
        <v>13</v>
      </c>
      <c r="F2789" s="3" t="n">
        <v>2</v>
      </c>
      <c r="G2789" s="3" t="n">
        <v>0</v>
      </c>
      <c r="H2789" s="24" t="n">
        <v>0.262000799</v>
      </c>
    </row>
    <row r="2790" customFormat="false" ht="15" hidden="false" customHeight="false" outlineLevel="0" collapsed="false">
      <c r="A2790" s="3" t="n">
        <v>2789</v>
      </c>
      <c r="B2790" s="3" t="n">
        <v>2788</v>
      </c>
      <c r="C2790" s="3" t="s">
        <v>118</v>
      </c>
      <c r="D2790" s="3" t="n">
        <v>10</v>
      </c>
      <c r="E2790" s="3" t="n">
        <v>13</v>
      </c>
      <c r="F2790" s="3" t="n">
        <v>2</v>
      </c>
      <c r="G2790" s="3" t="n">
        <v>1</v>
      </c>
      <c r="H2790" s="24" t="n">
        <v>-0.306033522</v>
      </c>
    </row>
    <row r="2791" customFormat="false" ht="15" hidden="false" customHeight="false" outlineLevel="0" collapsed="false">
      <c r="A2791" s="3" t="n">
        <v>2790</v>
      </c>
      <c r="B2791" s="3" t="n">
        <v>2789</v>
      </c>
      <c r="C2791" s="3" t="s">
        <v>118</v>
      </c>
      <c r="D2791" s="3" t="n">
        <v>10</v>
      </c>
      <c r="E2791" s="3" t="n">
        <v>13</v>
      </c>
      <c r="F2791" s="3" t="n">
        <v>2</v>
      </c>
      <c r="G2791" s="3" t="n">
        <v>2</v>
      </c>
      <c r="H2791" s="24" t="n">
        <v>-0.20494698</v>
      </c>
    </row>
    <row r="2792" customFormat="false" ht="15" hidden="false" customHeight="false" outlineLevel="0" collapsed="false">
      <c r="A2792" s="3" t="n">
        <v>2791</v>
      </c>
      <c r="B2792" s="3" t="n">
        <v>2790</v>
      </c>
      <c r="C2792" s="3" t="s">
        <v>118</v>
      </c>
      <c r="D2792" s="3" t="n">
        <v>10</v>
      </c>
      <c r="E2792" s="3" t="n">
        <v>14</v>
      </c>
      <c r="F2792" s="3" t="n">
        <v>0</v>
      </c>
      <c r="G2792" s="3" t="n">
        <v>0</v>
      </c>
      <c r="H2792" s="24" t="n">
        <v>-0.331140846</v>
      </c>
    </row>
    <row r="2793" customFormat="false" ht="15" hidden="false" customHeight="false" outlineLevel="0" collapsed="false">
      <c r="A2793" s="3" t="n">
        <v>2792</v>
      </c>
      <c r="B2793" s="3" t="n">
        <v>2791</v>
      </c>
      <c r="C2793" s="3" t="s">
        <v>118</v>
      </c>
      <c r="D2793" s="3" t="n">
        <v>10</v>
      </c>
      <c r="E2793" s="3" t="n">
        <v>14</v>
      </c>
      <c r="F2793" s="3" t="n">
        <v>0</v>
      </c>
      <c r="G2793" s="3" t="n">
        <v>1</v>
      </c>
      <c r="H2793" s="24" t="n">
        <v>-0.162371233</v>
      </c>
    </row>
    <row r="2794" customFormat="false" ht="15" hidden="false" customHeight="false" outlineLevel="0" collapsed="false">
      <c r="A2794" s="3" t="n">
        <v>2793</v>
      </c>
      <c r="B2794" s="3" t="n">
        <v>2792</v>
      </c>
      <c r="C2794" s="3" t="s">
        <v>118</v>
      </c>
      <c r="D2794" s="3" t="n">
        <v>10</v>
      </c>
      <c r="E2794" s="3" t="n">
        <v>14</v>
      </c>
      <c r="F2794" s="3" t="n">
        <v>0</v>
      </c>
      <c r="G2794" s="3" t="n">
        <v>2</v>
      </c>
      <c r="H2794" s="24" t="n">
        <v>0.0035392323</v>
      </c>
    </row>
    <row r="2795" customFormat="false" ht="15" hidden="false" customHeight="false" outlineLevel="0" collapsed="false">
      <c r="A2795" s="3" t="n">
        <v>2794</v>
      </c>
      <c r="B2795" s="3" t="n">
        <v>2793</v>
      </c>
      <c r="C2795" s="3" t="s">
        <v>118</v>
      </c>
      <c r="D2795" s="3" t="n">
        <v>10</v>
      </c>
      <c r="E2795" s="3" t="n">
        <v>14</v>
      </c>
      <c r="F2795" s="3" t="n">
        <v>1</v>
      </c>
      <c r="G2795" s="3" t="n">
        <v>0</v>
      </c>
      <c r="H2795" s="24" t="n">
        <v>-0.212728888</v>
      </c>
    </row>
    <row r="2796" customFormat="false" ht="15" hidden="false" customHeight="false" outlineLevel="0" collapsed="false">
      <c r="A2796" s="3" t="n">
        <v>2795</v>
      </c>
      <c r="B2796" s="3" t="n">
        <v>2794</v>
      </c>
      <c r="C2796" s="3" t="s">
        <v>118</v>
      </c>
      <c r="D2796" s="3" t="n">
        <v>10</v>
      </c>
      <c r="E2796" s="3" t="n">
        <v>14</v>
      </c>
      <c r="F2796" s="3" t="n">
        <v>1</v>
      </c>
      <c r="G2796" s="3" t="n">
        <v>1</v>
      </c>
      <c r="H2796" s="24" t="n">
        <v>0.0871888101</v>
      </c>
    </row>
    <row r="2797" customFormat="false" ht="15" hidden="false" customHeight="false" outlineLevel="0" collapsed="false">
      <c r="A2797" s="3" t="n">
        <v>2796</v>
      </c>
      <c r="B2797" s="3" t="n">
        <v>2795</v>
      </c>
      <c r="C2797" s="3" t="s">
        <v>118</v>
      </c>
      <c r="D2797" s="3" t="n">
        <v>10</v>
      </c>
      <c r="E2797" s="3" t="n">
        <v>14</v>
      </c>
      <c r="F2797" s="3" t="n">
        <v>1</v>
      </c>
      <c r="G2797" s="3" t="n">
        <v>2</v>
      </c>
      <c r="H2797" s="24" t="n">
        <v>0.206218615</v>
      </c>
    </row>
    <row r="2798" customFormat="false" ht="15" hidden="false" customHeight="false" outlineLevel="0" collapsed="false">
      <c r="A2798" s="3" t="n">
        <v>2797</v>
      </c>
      <c r="B2798" s="3" t="n">
        <v>2796</v>
      </c>
      <c r="C2798" s="3" t="s">
        <v>118</v>
      </c>
      <c r="D2798" s="3" t="n">
        <v>10</v>
      </c>
      <c r="E2798" s="3" t="n">
        <v>14</v>
      </c>
      <c r="F2798" s="3" t="n">
        <v>2</v>
      </c>
      <c r="G2798" s="3" t="n">
        <v>0</v>
      </c>
      <c r="H2798" s="24" t="n">
        <v>-0.277825892</v>
      </c>
    </row>
    <row r="2799" customFormat="false" ht="15" hidden="false" customHeight="false" outlineLevel="0" collapsed="false">
      <c r="A2799" s="3" t="n">
        <v>2798</v>
      </c>
      <c r="B2799" s="3" t="n">
        <v>2797</v>
      </c>
      <c r="C2799" s="3" t="s">
        <v>118</v>
      </c>
      <c r="D2799" s="3" t="n">
        <v>10</v>
      </c>
      <c r="E2799" s="3" t="n">
        <v>14</v>
      </c>
      <c r="F2799" s="3" t="n">
        <v>2</v>
      </c>
      <c r="G2799" s="3" t="n">
        <v>1</v>
      </c>
      <c r="H2799" s="24" t="n">
        <v>-0.118339285</v>
      </c>
    </row>
    <row r="2800" customFormat="false" ht="15" hidden="false" customHeight="false" outlineLevel="0" collapsed="false">
      <c r="A2800" s="3" t="n">
        <v>2799</v>
      </c>
      <c r="B2800" s="3" t="n">
        <v>2798</v>
      </c>
      <c r="C2800" s="3" t="s">
        <v>118</v>
      </c>
      <c r="D2800" s="3" t="n">
        <v>10</v>
      </c>
      <c r="E2800" s="3" t="n">
        <v>14</v>
      </c>
      <c r="F2800" s="3" t="n">
        <v>2</v>
      </c>
      <c r="G2800" s="3" t="n">
        <v>2</v>
      </c>
      <c r="H2800" s="24" t="n">
        <v>-0.0113969641</v>
      </c>
    </row>
    <row r="2801" customFormat="false" ht="15" hidden="false" customHeight="false" outlineLevel="0" collapsed="false">
      <c r="A2801" s="3" t="n">
        <v>2800</v>
      </c>
      <c r="B2801" s="3" t="n">
        <v>2799</v>
      </c>
      <c r="C2801" s="3" t="s">
        <v>118</v>
      </c>
      <c r="D2801" s="3" t="n">
        <v>10</v>
      </c>
      <c r="E2801" s="3" t="n">
        <v>15</v>
      </c>
      <c r="F2801" s="3" t="n">
        <v>0</v>
      </c>
      <c r="G2801" s="3" t="n">
        <v>0</v>
      </c>
      <c r="H2801" s="24" t="n">
        <v>0.0229499303</v>
      </c>
    </row>
    <row r="2802" customFormat="false" ht="15" hidden="false" customHeight="false" outlineLevel="0" collapsed="false">
      <c r="A2802" s="3" t="n">
        <v>2801</v>
      </c>
      <c r="B2802" s="3" t="n">
        <v>2800</v>
      </c>
      <c r="C2802" s="3" t="s">
        <v>118</v>
      </c>
      <c r="D2802" s="3" t="n">
        <v>10</v>
      </c>
      <c r="E2802" s="3" t="n">
        <v>15</v>
      </c>
      <c r="F2802" s="3" t="n">
        <v>0</v>
      </c>
      <c r="G2802" s="3" t="n">
        <v>1</v>
      </c>
      <c r="H2802" s="24" t="n">
        <v>-0.0266221855</v>
      </c>
    </row>
    <row r="2803" customFormat="false" ht="15" hidden="false" customHeight="false" outlineLevel="0" collapsed="false">
      <c r="A2803" s="3" t="n">
        <v>2802</v>
      </c>
      <c r="B2803" s="3" t="n">
        <v>2801</v>
      </c>
      <c r="C2803" s="3" t="s">
        <v>118</v>
      </c>
      <c r="D2803" s="3" t="n">
        <v>10</v>
      </c>
      <c r="E2803" s="3" t="n">
        <v>15</v>
      </c>
      <c r="F2803" s="3" t="n">
        <v>0</v>
      </c>
      <c r="G2803" s="3" t="n">
        <v>2</v>
      </c>
      <c r="H2803" s="24" t="n">
        <v>-0.140756339</v>
      </c>
    </row>
    <row r="2804" customFormat="false" ht="15" hidden="false" customHeight="false" outlineLevel="0" collapsed="false">
      <c r="A2804" s="3" t="n">
        <v>2803</v>
      </c>
      <c r="B2804" s="3" t="n">
        <v>2802</v>
      </c>
      <c r="C2804" s="3" t="s">
        <v>118</v>
      </c>
      <c r="D2804" s="3" t="n">
        <v>10</v>
      </c>
      <c r="E2804" s="3" t="n">
        <v>15</v>
      </c>
      <c r="F2804" s="3" t="n">
        <v>1</v>
      </c>
      <c r="G2804" s="3" t="n">
        <v>0</v>
      </c>
      <c r="H2804" s="24" t="n">
        <v>0.112030104</v>
      </c>
    </row>
    <row r="2805" customFormat="false" ht="15" hidden="false" customHeight="false" outlineLevel="0" collapsed="false">
      <c r="A2805" s="3" t="n">
        <v>2804</v>
      </c>
      <c r="B2805" s="3" t="n">
        <v>2803</v>
      </c>
      <c r="C2805" s="3" t="s">
        <v>118</v>
      </c>
      <c r="D2805" s="3" t="n">
        <v>10</v>
      </c>
      <c r="E2805" s="3" t="n">
        <v>15</v>
      </c>
      <c r="F2805" s="3" t="n">
        <v>1</v>
      </c>
      <c r="G2805" s="3" t="n">
        <v>1</v>
      </c>
      <c r="H2805" s="24" t="n">
        <v>0.000923094398</v>
      </c>
    </row>
    <row r="2806" customFormat="false" ht="15" hidden="false" customHeight="false" outlineLevel="0" collapsed="false">
      <c r="A2806" s="3" t="n">
        <v>2805</v>
      </c>
      <c r="B2806" s="3" t="n">
        <v>2804</v>
      </c>
      <c r="C2806" s="3" t="s">
        <v>118</v>
      </c>
      <c r="D2806" s="3" t="n">
        <v>10</v>
      </c>
      <c r="E2806" s="3" t="n">
        <v>15</v>
      </c>
      <c r="F2806" s="3" t="n">
        <v>1</v>
      </c>
      <c r="G2806" s="3" t="n">
        <v>2</v>
      </c>
      <c r="H2806" s="24" t="n">
        <v>0.258762479</v>
      </c>
    </row>
    <row r="2807" customFormat="false" ht="15" hidden="false" customHeight="false" outlineLevel="0" collapsed="false">
      <c r="A2807" s="3" t="n">
        <v>2806</v>
      </c>
      <c r="B2807" s="3" t="n">
        <v>2805</v>
      </c>
      <c r="C2807" s="3" t="s">
        <v>118</v>
      </c>
      <c r="D2807" s="3" t="n">
        <v>10</v>
      </c>
      <c r="E2807" s="3" t="n">
        <v>15</v>
      </c>
      <c r="F2807" s="3" t="n">
        <v>2</v>
      </c>
      <c r="G2807" s="3" t="n">
        <v>0</v>
      </c>
      <c r="H2807" s="24" t="n">
        <v>-0.0211765431</v>
      </c>
    </row>
    <row r="2808" customFormat="false" ht="15" hidden="false" customHeight="false" outlineLevel="0" collapsed="false">
      <c r="A2808" s="3" t="n">
        <v>2807</v>
      </c>
      <c r="B2808" s="3" t="n">
        <v>2806</v>
      </c>
      <c r="C2808" s="3" t="s">
        <v>118</v>
      </c>
      <c r="D2808" s="3" t="n">
        <v>10</v>
      </c>
      <c r="E2808" s="3" t="n">
        <v>15</v>
      </c>
      <c r="F2808" s="3" t="n">
        <v>2</v>
      </c>
      <c r="G2808" s="3" t="n">
        <v>1</v>
      </c>
      <c r="H2808" s="24" t="n">
        <v>-0.0560113266</v>
      </c>
    </row>
    <row r="2809" customFormat="false" ht="15" hidden="false" customHeight="false" outlineLevel="0" collapsed="false">
      <c r="A2809" s="3" t="n">
        <v>2808</v>
      </c>
      <c r="B2809" s="3" t="n">
        <v>2807</v>
      </c>
      <c r="C2809" s="3" t="s">
        <v>118</v>
      </c>
      <c r="D2809" s="3" t="n">
        <v>10</v>
      </c>
      <c r="E2809" s="3" t="n">
        <v>15</v>
      </c>
      <c r="F2809" s="3" t="n">
        <v>2</v>
      </c>
      <c r="G2809" s="3" t="n">
        <v>2</v>
      </c>
      <c r="H2809" s="24" t="n">
        <v>0.0569835119</v>
      </c>
    </row>
    <row r="2810" customFormat="false" ht="15" hidden="false" customHeight="false" outlineLevel="0" collapsed="false">
      <c r="A2810" s="3" t="n">
        <v>2809</v>
      </c>
      <c r="B2810" s="3" t="n">
        <v>2808</v>
      </c>
      <c r="C2810" s="3" t="s">
        <v>118</v>
      </c>
      <c r="D2810" s="3" t="n">
        <v>11</v>
      </c>
      <c r="E2810" s="3" t="n">
        <v>0</v>
      </c>
      <c r="F2810" s="3" t="n">
        <v>0</v>
      </c>
      <c r="G2810" s="3" t="n">
        <v>0</v>
      </c>
      <c r="H2810" s="24" t="n">
        <v>0.0996672288</v>
      </c>
    </row>
    <row r="2811" customFormat="false" ht="15" hidden="false" customHeight="false" outlineLevel="0" collapsed="false">
      <c r="A2811" s="3" t="n">
        <v>2810</v>
      </c>
      <c r="B2811" s="3" t="n">
        <v>2809</v>
      </c>
      <c r="C2811" s="3" t="s">
        <v>118</v>
      </c>
      <c r="D2811" s="3" t="n">
        <v>11</v>
      </c>
      <c r="E2811" s="3" t="n">
        <v>0</v>
      </c>
      <c r="F2811" s="3" t="n">
        <v>0</v>
      </c>
      <c r="G2811" s="3" t="n">
        <v>1</v>
      </c>
      <c r="H2811" s="24" t="n">
        <v>0.267751604</v>
      </c>
    </row>
    <row r="2812" customFormat="false" ht="15" hidden="false" customHeight="false" outlineLevel="0" collapsed="false">
      <c r="A2812" s="3" t="n">
        <v>2811</v>
      </c>
      <c r="B2812" s="3" t="n">
        <v>2810</v>
      </c>
      <c r="C2812" s="3" t="s">
        <v>118</v>
      </c>
      <c r="D2812" s="3" t="n">
        <v>11</v>
      </c>
      <c r="E2812" s="3" t="n">
        <v>0</v>
      </c>
      <c r="F2812" s="3" t="n">
        <v>0</v>
      </c>
      <c r="G2812" s="3" t="n">
        <v>2</v>
      </c>
      <c r="H2812" s="24" t="n">
        <v>-0.0529194623</v>
      </c>
    </row>
    <row r="2813" customFormat="false" ht="15" hidden="false" customHeight="false" outlineLevel="0" collapsed="false">
      <c r="A2813" s="3" t="n">
        <v>2812</v>
      </c>
      <c r="B2813" s="3" t="n">
        <v>2811</v>
      </c>
      <c r="C2813" s="3" t="s">
        <v>118</v>
      </c>
      <c r="D2813" s="3" t="n">
        <v>11</v>
      </c>
      <c r="E2813" s="3" t="n">
        <v>0</v>
      </c>
      <c r="F2813" s="3" t="n">
        <v>1</v>
      </c>
      <c r="G2813" s="3" t="n">
        <v>0</v>
      </c>
      <c r="H2813" s="24" t="n">
        <v>-0.262235671</v>
      </c>
    </row>
    <row r="2814" customFormat="false" ht="15" hidden="false" customHeight="false" outlineLevel="0" collapsed="false">
      <c r="A2814" s="3" t="n">
        <v>2813</v>
      </c>
      <c r="B2814" s="3" t="n">
        <v>2812</v>
      </c>
      <c r="C2814" s="3" t="s">
        <v>118</v>
      </c>
      <c r="D2814" s="3" t="n">
        <v>11</v>
      </c>
      <c r="E2814" s="3" t="n">
        <v>0</v>
      </c>
      <c r="F2814" s="3" t="n">
        <v>1</v>
      </c>
      <c r="G2814" s="3" t="n">
        <v>1</v>
      </c>
      <c r="H2814" s="24" t="n">
        <v>0.232659295</v>
      </c>
    </row>
    <row r="2815" customFormat="false" ht="15" hidden="false" customHeight="false" outlineLevel="0" collapsed="false">
      <c r="A2815" s="3" t="n">
        <v>2814</v>
      </c>
      <c r="B2815" s="3" t="n">
        <v>2813</v>
      </c>
      <c r="C2815" s="3" t="s">
        <v>118</v>
      </c>
      <c r="D2815" s="3" t="n">
        <v>11</v>
      </c>
      <c r="E2815" s="3" t="n">
        <v>0</v>
      </c>
      <c r="F2815" s="3" t="n">
        <v>1</v>
      </c>
      <c r="G2815" s="3" t="n">
        <v>2</v>
      </c>
      <c r="H2815" s="24" t="n">
        <v>0.0665889904</v>
      </c>
    </row>
    <row r="2816" customFormat="false" ht="15" hidden="false" customHeight="false" outlineLevel="0" collapsed="false">
      <c r="A2816" s="3" t="n">
        <v>2815</v>
      </c>
      <c r="B2816" s="3" t="n">
        <v>2814</v>
      </c>
      <c r="C2816" s="3" t="s">
        <v>118</v>
      </c>
      <c r="D2816" s="3" t="n">
        <v>11</v>
      </c>
      <c r="E2816" s="3" t="n">
        <v>0</v>
      </c>
      <c r="F2816" s="3" t="n">
        <v>2</v>
      </c>
      <c r="G2816" s="3" t="n">
        <v>0</v>
      </c>
      <c r="H2816" s="24" t="n">
        <v>-0.185485706</v>
      </c>
    </row>
    <row r="2817" customFormat="false" ht="15" hidden="false" customHeight="false" outlineLevel="0" collapsed="false">
      <c r="A2817" s="3" t="n">
        <v>2816</v>
      </c>
      <c r="B2817" s="3" t="n">
        <v>2815</v>
      </c>
      <c r="C2817" s="3" t="s">
        <v>118</v>
      </c>
      <c r="D2817" s="3" t="n">
        <v>11</v>
      </c>
      <c r="E2817" s="3" t="n">
        <v>0</v>
      </c>
      <c r="F2817" s="3" t="n">
        <v>2</v>
      </c>
      <c r="G2817" s="3" t="n">
        <v>1</v>
      </c>
      <c r="H2817" s="24" t="n">
        <v>-0.0236102864</v>
      </c>
    </row>
    <row r="2818" customFormat="false" ht="15" hidden="false" customHeight="false" outlineLevel="0" collapsed="false">
      <c r="A2818" s="3" t="n">
        <v>2817</v>
      </c>
      <c r="B2818" s="3" t="n">
        <v>2816</v>
      </c>
      <c r="C2818" s="3" t="s">
        <v>118</v>
      </c>
      <c r="D2818" s="3" t="n">
        <v>11</v>
      </c>
      <c r="E2818" s="3" t="n">
        <v>0</v>
      </c>
      <c r="F2818" s="3" t="n">
        <v>2</v>
      </c>
      <c r="G2818" s="3" t="n">
        <v>2</v>
      </c>
      <c r="H2818" s="24" t="n">
        <v>0.140602648</v>
      </c>
    </row>
    <row r="2819" customFormat="false" ht="15" hidden="false" customHeight="false" outlineLevel="0" collapsed="false">
      <c r="A2819" s="3" t="n">
        <v>2818</v>
      </c>
      <c r="B2819" s="3" t="n">
        <v>2817</v>
      </c>
      <c r="C2819" s="3" t="s">
        <v>118</v>
      </c>
      <c r="D2819" s="3" t="n">
        <v>11</v>
      </c>
      <c r="E2819" s="3" t="n">
        <v>1</v>
      </c>
      <c r="F2819" s="3" t="n">
        <v>0</v>
      </c>
      <c r="G2819" s="3" t="n">
        <v>0</v>
      </c>
      <c r="H2819" s="24" t="n">
        <v>0.0174599942</v>
      </c>
    </row>
    <row r="2820" customFormat="false" ht="15" hidden="false" customHeight="false" outlineLevel="0" collapsed="false">
      <c r="A2820" s="3" t="n">
        <v>2819</v>
      </c>
      <c r="B2820" s="3" t="n">
        <v>2818</v>
      </c>
      <c r="C2820" s="3" t="s">
        <v>118</v>
      </c>
      <c r="D2820" s="3" t="n">
        <v>11</v>
      </c>
      <c r="E2820" s="3" t="n">
        <v>1</v>
      </c>
      <c r="F2820" s="3" t="n">
        <v>0</v>
      </c>
      <c r="G2820" s="3" t="n">
        <v>1</v>
      </c>
      <c r="H2820" s="24" t="n">
        <v>-0.00596745545</v>
      </c>
    </row>
    <row r="2821" customFormat="false" ht="15" hidden="false" customHeight="false" outlineLevel="0" collapsed="false">
      <c r="A2821" s="3" t="n">
        <v>2820</v>
      </c>
      <c r="B2821" s="3" t="n">
        <v>2819</v>
      </c>
      <c r="C2821" s="3" t="s">
        <v>118</v>
      </c>
      <c r="D2821" s="3" t="n">
        <v>11</v>
      </c>
      <c r="E2821" s="3" t="n">
        <v>1</v>
      </c>
      <c r="F2821" s="3" t="n">
        <v>0</v>
      </c>
      <c r="G2821" s="3" t="n">
        <v>2</v>
      </c>
      <c r="H2821" s="24" t="n">
        <v>0.0388432257</v>
      </c>
    </row>
    <row r="2822" customFormat="false" ht="15" hidden="false" customHeight="false" outlineLevel="0" collapsed="false">
      <c r="A2822" s="3" t="n">
        <v>2821</v>
      </c>
      <c r="B2822" s="3" t="n">
        <v>2820</v>
      </c>
      <c r="C2822" s="3" t="s">
        <v>118</v>
      </c>
      <c r="D2822" s="3" t="n">
        <v>11</v>
      </c>
      <c r="E2822" s="3" t="n">
        <v>1</v>
      </c>
      <c r="F2822" s="3" t="n">
        <v>1</v>
      </c>
      <c r="G2822" s="3" t="n">
        <v>0</v>
      </c>
      <c r="H2822" s="24" t="n">
        <v>-0.136373371</v>
      </c>
    </row>
    <row r="2823" customFormat="false" ht="15" hidden="false" customHeight="false" outlineLevel="0" collapsed="false">
      <c r="A2823" s="3" t="n">
        <v>2822</v>
      </c>
      <c r="B2823" s="3" t="n">
        <v>2821</v>
      </c>
      <c r="C2823" s="3" t="s">
        <v>118</v>
      </c>
      <c r="D2823" s="3" t="n">
        <v>11</v>
      </c>
      <c r="E2823" s="3" t="n">
        <v>1</v>
      </c>
      <c r="F2823" s="3" t="n">
        <v>1</v>
      </c>
      <c r="G2823" s="3" t="n">
        <v>1</v>
      </c>
      <c r="H2823" s="24" t="n">
        <v>0.00574754225</v>
      </c>
    </row>
    <row r="2824" customFormat="false" ht="15" hidden="false" customHeight="false" outlineLevel="0" collapsed="false">
      <c r="A2824" s="3" t="n">
        <v>2823</v>
      </c>
      <c r="B2824" s="3" t="n">
        <v>2822</v>
      </c>
      <c r="C2824" s="3" t="s">
        <v>118</v>
      </c>
      <c r="D2824" s="3" t="n">
        <v>11</v>
      </c>
      <c r="E2824" s="3" t="n">
        <v>1</v>
      </c>
      <c r="F2824" s="3" t="n">
        <v>1</v>
      </c>
      <c r="G2824" s="3" t="n">
        <v>2</v>
      </c>
      <c r="H2824" s="24" t="n">
        <v>0.191303179</v>
      </c>
    </row>
    <row r="2825" customFormat="false" ht="15" hidden="false" customHeight="false" outlineLevel="0" collapsed="false">
      <c r="A2825" s="3" t="n">
        <v>2824</v>
      </c>
      <c r="B2825" s="3" t="n">
        <v>2823</v>
      </c>
      <c r="C2825" s="3" t="s">
        <v>118</v>
      </c>
      <c r="D2825" s="3" t="n">
        <v>11</v>
      </c>
      <c r="E2825" s="3" t="n">
        <v>1</v>
      </c>
      <c r="F2825" s="3" t="n">
        <v>2</v>
      </c>
      <c r="G2825" s="3" t="n">
        <v>0</v>
      </c>
      <c r="H2825" s="24" t="n">
        <v>0.111732326</v>
      </c>
    </row>
    <row r="2826" customFormat="false" ht="15" hidden="false" customHeight="false" outlineLevel="0" collapsed="false">
      <c r="A2826" s="3" t="n">
        <v>2825</v>
      </c>
      <c r="B2826" s="3" t="n">
        <v>2824</v>
      </c>
      <c r="C2826" s="3" t="s">
        <v>118</v>
      </c>
      <c r="D2826" s="3" t="n">
        <v>11</v>
      </c>
      <c r="E2826" s="3" t="n">
        <v>1</v>
      </c>
      <c r="F2826" s="3" t="n">
        <v>2</v>
      </c>
      <c r="G2826" s="3" t="n">
        <v>1</v>
      </c>
      <c r="H2826" s="24" t="n">
        <v>0.0143292984</v>
      </c>
    </row>
    <row r="2827" customFormat="false" ht="15" hidden="false" customHeight="false" outlineLevel="0" collapsed="false">
      <c r="A2827" s="3" t="n">
        <v>2826</v>
      </c>
      <c r="B2827" s="3" t="n">
        <v>2825</v>
      </c>
      <c r="C2827" s="3" t="s">
        <v>118</v>
      </c>
      <c r="D2827" s="3" t="n">
        <v>11</v>
      </c>
      <c r="E2827" s="3" t="n">
        <v>1</v>
      </c>
      <c r="F2827" s="3" t="n">
        <v>2</v>
      </c>
      <c r="G2827" s="3" t="n">
        <v>2</v>
      </c>
      <c r="H2827" s="24" t="n">
        <v>0.0751877353</v>
      </c>
    </row>
    <row r="2828" customFormat="false" ht="15" hidden="false" customHeight="false" outlineLevel="0" collapsed="false">
      <c r="A2828" s="3" t="n">
        <v>2827</v>
      </c>
      <c r="B2828" s="3" t="n">
        <v>2826</v>
      </c>
      <c r="C2828" s="3" t="s">
        <v>118</v>
      </c>
      <c r="D2828" s="3" t="n">
        <v>11</v>
      </c>
      <c r="E2828" s="3" t="n">
        <v>2</v>
      </c>
      <c r="F2828" s="3" t="n">
        <v>0</v>
      </c>
      <c r="G2828" s="3" t="n">
        <v>0</v>
      </c>
      <c r="H2828" s="24" t="n">
        <v>-0.126554787</v>
      </c>
    </row>
    <row r="2829" customFormat="false" ht="15" hidden="false" customHeight="false" outlineLevel="0" collapsed="false">
      <c r="A2829" s="3" t="n">
        <v>2828</v>
      </c>
      <c r="B2829" s="3" t="n">
        <v>2827</v>
      </c>
      <c r="C2829" s="3" t="s">
        <v>118</v>
      </c>
      <c r="D2829" s="3" t="n">
        <v>11</v>
      </c>
      <c r="E2829" s="3" t="n">
        <v>2</v>
      </c>
      <c r="F2829" s="3" t="n">
        <v>0</v>
      </c>
      <c r="G2829" s="3" t="n">
        <v>1</v>
      </c>
      <c r="H2829" s="24" t="n">
        <v>-0.110551313</v>
      </c>
    </row>
    <row r="2830" customFormat="false" ht="15" hidden="false" customHeight="false" outlineLevel="0" collapsed="false">
      <c r="A2830" s="3" t="n">
        <v>2829</v>
      </c>
      <c r="B2830" s="3" t="n">
        <v>2828</v>
      </c>
      <c r="C2830" s="3" t="s">
        <v>118</v>
      </c>
      <c r="D2830" s="3" t="n">
        <v>11</v>
      </c>
      <c r="E2830" s="3" t="n">
        <v>2</v>
      </c>
      <c r="F2830" s="3" t="n">
        <v>0</v>
      </c>
      <c r="G2830" s="3" t="n">
        <v>2</v>
      </c>
      <c r="H2830" s="24" t="n">
        <v>-0.437490612</v>
      </c>
    </row>
    <row r="2831" customFormat="false" ht="15" hidden="false" customHeight="false" outlineLevel="0" collapsed="false">
      <c r="A2831" s="3" t="n">
        <v>2830</v>
      </c>
      <c r="B2831" s="3" t="n">
        <v>2829</v>
      </c>
      <c r="C2831" s="3" t="s">
        <v>118</v>
      </c>
      <c r="D2831" s="3" t="n">
        <v>11</v>
      </c>
      <c r="E2831" s="3" t="n">
        <v>2</v>
      </c>
      <c r="F2831" s="3" t="n">
        <v>1</v>
      </c>
      <c r="G2831" s="3" t="n">
        <v>0</v>
      </c>
      <c r="H2831" s="24" t="n">
        <v>-0.00161599298</v>
      </c>
    </row>
    <row r="2832" customFormat="false" ht="15" hidden="false" customHeight="false" outlineLevel="0" collapsed="false">
      <c r="A2832" s="3" t="n">
        <v>2831</v>
      </c>
      <c r="B2832" s="3" t="n">
        <v>2830</v>
      </c>
      <c r="C2832" s="3" t="s">
        <v>118</v>
      </c>
      <c r="D2832" s="3" t="n">
        <v>11</v>
      </c>
      <c r="E2832" s="3" t="n">
        <v>2</v>
      </c>
      <c r="F2832" s="3" t="n">
        <v>1</v>
      </c>
      <c r="G2832" s="3" t="n">
        <v>1</v>
      </c>
      <c r="H2832" s="24" t="n">
        <v>-0.40150699</v>
      </c>
    </row>
    <row r="2833" customFormat="false" ht="15" hidden="false" customHeight="false" outlineLevel="0" collapsed="false">
      <c r="A2833" s="3" t="n">
        <v>2832</v>
      </c>
      <c r="B2833" s="3" t="n">
        <v>2831</v>
      </c>
      <c r="C2833" s="3" t="s">
        <v>118</v>
      </c>
      <c r="D2833" s="3" t="n">
        <v>11</v>
      </c>
      <c r="E2833" s="3" t="n">
        <v>2</v>
      </c>
      <c r="F2833" s="3" t="n">
        <v>1</v>
      </c>
      <c r="G2833" s="3" t="n">
        <v>2</v>
      </c>
      <c r="H2833" s="24" t="n">
        <v>-0.400756985</v>
      </c>
    </row>
    <row r="2834" customFormat="false" ht="15" hidden="false" customHeight="false" outlineLevel="0" collapsed="false">
      <c r="A2834" s="3" t="n">
        <v>2833</v>
      </c>
      <c r="B2834" s="3" t="n">
        <v>2832</v>
      </c>
      <c r="C2834" s="3" t="s">
        <v>118</v>
      </c>
      <c r="D2834" s="3" t="n">
        <v>11</v>
      </c>
      <c r="E2834" s="3" t="n">
        <v>2</v>
      </c>
      <c r="F2834" s="3" t="n">
        <v>2</v>
      </c>
      <c r="G2834" s="3" t="n">
        <v>0</v>
      </c>
      <c r="H2834" s="24" t="n">
        <v>0.0143540977</v>
      </c>
    </row>
    <row r="2835" customFormat="false" ht="15" hidden="false" customHeight="false" outlineLevel="0" collapsed="false">
      <c r="A2835" s="3" t="n">
        <v>2834</v>
      </c>
      <c r="B2835" s="3" t="n">
        <v>2833</v>
      </c>
      <c r="C2835" s="3" t="s">
        <v>118</v>
      </c>
      <c r="D2835" s="3" t="n">
        <v>11</v>
      </c>
      <c r="E2835" s="3" t="n">
        <v>2</v>
      </c>
      <c r="F2835" s="3" t="n">
        <v>2</v>
      </c>
      <c r="G2835" s="3" t="n">
        <v>1</v>
      </c>
      <c r="H2835" s="24" t="n">
        <v>-0.33464548</v>
      </c>
    </row>
    <row r="2836" customFormat="false" ht="15" hidden="false" customHeight="false" outlineLevel="0" collapsed="false">
      <c r="A2836" s="3" t="n">
        <v>2835</v>
      </c>
      <c r="B2836" s="3" t="n">
        <v>2834</v>
      </c>
      <c r="C2836" s="3" t="s">
        <v>118</v>
      </c>
      <c r="D2836" s="3" t="n">
        <v>11</v>
      </c>
      <c r="E2836" s="3" t="n">
        <v>2</v>
      </c>
      <c r="F2836" s="3" t="n">
        <v>2</v>
      </c>
      <c r="G2836" s="3" t="n">
        <v>2</v>
      </c>
      <c r="H2836" s="24" t="n">
        <v>-0.0370833091</v>
      </c>
    </row>
    <row r="2837" customFormat="false" ht="15" hidden="false" customHeight="false" outlineLevel="0" collapsed="false">
      <c r="A2837" s="3" t="n">
        <v>2836</v>
      </c>
      <c r="B2837" s="3" t="n">
        <v>2835</v>
      </c>
      <c r="C2837" s="3" t="s">
        <v>118</v>
      </c>
      <c r="D2837" s="3" t="n">
        <v>11</v>
      </c>
      <c r="E2837" s="3" t="n">
        <v>3</v>
      </c>
      <c r="F2837" s="3" t="n">
        <v>0</v>
      </c>
      <c r="G2837" s="3" t="n">
        <v>0</v>
      </c>
      <c r="H2837" s="24" t="n">
        <v>-0.175779685</v>
      </c>
    </row>
    <row r="2838" customFormat="false" ht="15" hidden="false" customHeight="false" outlineLevel="0" collapsed="false">
      <c r="A2838" s="3" t="n">
        <v>2837</v>
      </c>
      <c r="B2838" s="3" t="n">
        <v>2836</v>
      </c>
      <c r="C2838" s="3" t="s">
        <v>118</v>
      </c>
      <c r="D2838" s="3" t="n">
        <v>11</v>
      </c>
      <c r="E2838" s="3" t="n">
        <v>3</v>
      </c>
      <c r="F2838" s="3" t="n">
        <v>0</v>
      </c>
      <c r="G2838" s="3" t="n">
        <v>1</v>
      </c>
      <c r="H2838" s="24" t="n">
        <v>-0.0744508654</v>
      </c>
    </row>
    <row r="2839" customFormat="false" ht="15" hidden="false" customHeight="false" outlineLevel="0" collapsed="false">
      <c r="A2839" s="3" t="n">
        <v>2838</v>
      </c>
      <c r="B2839" s="3" t="n">
        <v>2837</v>
      </c>
      <c r="C2839" s="3" t="s">
        <v>118</v>
      </c>
      <c r="D2839" s="3" t="n">
        <v>11</v>
      </c>
      <c r="E2839" s="3" t="n">
        <v>3</v>
      </c>
      <c r="F2839" s="3" t="n">
        <v>0</v>
      </c>
      <c r="G2839" s="3" t="n">
        <v>2</v>
      </c>
      <c r="H2839" s="24" t="n">
        <v>-0.274738669</v>
      </c>
    </row>
    <row r="2840" customFormat="false" ht="15" hidden="false" customHeight="false" outlineLevel="0" collapsed="false">
      <c r="A2840" s="3" t="n">
        <v>2839</v>
      </c>
      <c r="B2840" s="3" t="n">
        <v>2838</v>
      </c>
      <c r="C2840" s="3" t="s">
        <v>118</v>
      </c>
      <c r="D2840" s="3" t="n">
        <v>11</v>
      </c>
      <c r="E2840" s="3" t="n">
        <v>3</v>
      </c>
      <c r="F2840" s="3" t="n">
        <v>1</v>
      </c>
      <c r="G2840" s="3" t="n">
        <v>0</v>
      </c>
      <c r="H2840" s="24" t="n">
        <v>0.135262087</v>
      </c>
    </row>
    <row r="2841" customFormat="false" ht="15" hidden="false" customHeight="false" outlineLevel="0" collapsed="false">
      <c r="A2841" s="3" t="n">
        <v>2840</v>
      </c>
      <c r="B2841" s="3" t="n">
        <v>2839</v>
      </c>
      <c r="C2841" s="3" t="s">
        <v>118</v>
      </c>
      <c r="D2841" s="3" t="n">
        <v>11</v>
      </c>
      <c r="E2841" s="3" t="n">
        <v>3</v>
      </c>
      <c r="F2841" s="3" t="n">
        <v>1</v>
      </c>
      <c r="G2841" s="3" t="n">
        <v>1</v>
      </c>
      <c r="H2841" s="24" t="n">
        <v>-0.172123075</v>
      </c>
    </row>
    <row r="2842" customFormat="false" ht="15" hidden="false" customHeight="false" outlineLevel="0" collapsed="false">
      <c r="A2842" s="3" t="n">
        <v>2841</v>
      </c>
      <c r="B2842" s="3" t="n">
        <v>2840</v>
      </c>
      <c r="C2842" s="3" t="s">
        <v>118</v>
      </c>
      <c r="D2842" s="3" t="n">
        <v>11</v>
      </c>
      <c r="E2842" s="3" t="n">
        <v>3</v>
      </c>
      <c r="F2842" s="3" t="n">
        <v>1</v>
      </c>
      <c r="G2842" s="3" t="n">
        <v>2</v>
      </c>
      <c r="H2842" s="24" t="n">
        <v>-0.349100471</v>
      </c>
    </row>
    <row r="2843" customFormat="false" ht="15" hidden="false" customHeight="false" outlineLevel="0" collapsed="false">
      <c r="A2843" s="3" t="n">
        <v>2842</v>
      </c>
      <c r="B2843" s="3" t="n">
        <v>2841</v>
      </c>
      <c r="C2843" s="3" t="s">
        <v>118</v>
      </c>
      <c r="D2843" s="3" t="n">
        <v>11</v>
      </c>
      <c r="E2843" s="3" t="n">
        <v>3</v>
      </c>
      <c r="F2843" s="3" t="n">
        <v>2</v>
      </c>
      <c r="G2843" s="3" t="n">
        <v>0</v>
      </c>
      <c r="H2843" s="24" t="n">
        <v>0.00183607219</v>
      </c>
    </row>
    <row r="2844" customFormat="false" ht="15" hidden="false" customHeight="false" outlineLevel="0" collapsed="false">
      <c r="A2844" s="3" t="n">
        <v>2843</v>
      </c>
      <c r="B2844" s="3" t="n">
        <v>2842</v>
      </c>
      <c r="C2844" s="3" t="s">
        <v>118</v>
      </c>
      <c r="D2844" s="3" t="n">
        <v>11</v>
      </c>
      <c r="E2844" s="3" t="n">
        <v>3</v>
      </c>
      <c r="F2844" s="3" t="n">
        <v>2</v>
      </c>
      <c r="G2844" s="3" t="n">
        <v>1</v>
      </c>
      <c r="H2844" s="24" t="n">
        <v>0.0139939245</v>
      </c>
    </row>
    <row r="2845" customFormat="false" ht="15" hidden="false" customHeight="false" outlineLevel="0" collapsed="false">
      <c r="A2845" s="3" t="n">
        <v>2844</v>
      </c>
      <c r="B2845" s="3" t="n">
        <v>2843</v>
      </c>
      <c r="C2845" s="3" t="s">
        <v>118</v>
      </c>
      <c r="D2845" s="3" t="n">
        <v>11</v>
      </c>
      <c r="E2845" s="3" t="n">
        <v>3</v>
      </c>
      <c r="F2845" s="3" t="n">
        <v>2</v>
      </c>
      <c r="G2845" s="3" t="n">
        <v>2</v>
      </c>
      <c r="H2845" s="24" t="n">
        <v>0.319239199</v>
      </c>
    </row>
    <row r="2846" customFormat="false" ht="15" hidden="false" customHeight="false" outlineLevel="0" collapsed="false">
      <c r="A2846" s="3" t="n">
        <v>2845</v>
      </c>
      <c r="B2846" s="3" t="n">
        <v>2844</v>
      </c>
      <c r="C2846" s="3" t="s">
        <v>118</v>
      </c>
      <c r="D2846" s="3" t="n">
        <v>11</v>
      </c>
      <c r="E2846" s="3" t="n">
        <v>4</v>
      </c>
      <c r="F2846" s="3" t="n">
        <v>0</v>
      </c>
      <c r="G2846" s="3" t="n">
        <v>0</v>
      </c>
      <c r="H2846" s="24" t="n">
        <v>0.00128346647</v>
      </c>
    </row>
    <row r="2847" customFormat="false" ht="15" hidden="false" customHeight="false" outlineLevel="0" collapsed="false">
      <c r="A2847" s="3" t="n">
        <v>2846</v>
      </c>
      <c r="B2847" s="3" t="n">
        <v>2845</v>
      </c>
      <c r="C2847" s="3" t="s">
        <v>118</v>
      </c>
      <c r="D2847" s="3" t="n">
        <v>11</v>
      </c>
      <c r="E2847" s="3" t="n">
        <v>4</v>
      </c>
      <c r="F2847" s="3" t="n">
        <v>0</v>
      </c>
      <c r="G2847" s="3" t="n">
        <v>1</v>
      </c>
      <c r="H2847" s="24" t="n">
        <v>0.0668397844</v>
      </c>
    </row>
    <row r="2848" customFormat="false" ht="15" hidden="false" customHeight="false" outlineLevel="0" collapsed="false">
      <c r="A2848" s="3" t="n">
        <v>2847</v>
      </c>
      <c r="B2848" s="3" t="n">
        <v>2846</v>
      </c>
      <c r="C2848" s="3" t="s">
        <v>118</v>
      </c>
      <c r="D2848" s="3" t="n">
        <v>11</v>
      </c>
      <c r="E2848" s="3" t="n">
        <v>4</v>
      </c>
      <c r="F2848" s="3" t="n">
        <v>0</v>
      </c>
      <c r="G2848" s="3" t="n">
        <v>2</v>
      </c>
      <c r="H2848" s="24" t="n">
        <v>0.099462755</v>
      </c>
    </row>
    <row r="2849" customFormat="false" ht="15" hidden="false" customHeight="false" outlineLevel="0" collapsed="false">
      <c r="A2849" s="3" t="n">
        <v>2848</v>
      </c>
      <c r="B2849" s="3" t="n">
        <v>2847</v>
      </c>
      <c r="C2849" s="3" t="s">
        <v>118</v>
      </c>
      <c r="D2849" s="3" t="n">
        <v>11</v>
      </c>
      <c r="E2849" s="3" t="n">
        <v>4</v>
      </c>
      <c r="F2849" s="3" t="n">
        <v>1</v>
      </c>
      <c r="G2849" s="3" t="n">
        <v>0</v>
      </c>
      <c r="H2849" s="24" t="n">
        <v>0.127380177</v>
      </c>
    </row>
    <row r="2850" customFormat="false" ht="15" hidden="false" customHeight="false" outlineLevel="0" collapsed="false">
      <c r="A2850" s="3" t="n">
        <v>2849</v>
      </c>
      <c r="B2850" s="3" t="n">
        <v>2848</v>
      </c>
      <c r="C2850" s="3" t="s">
        <v>118</v>
      </c>
      <c r="D2850" s="3" t="n">
        <v>11</v>
      </c>
      <c r="E2850" s="3" t="n">
        <v>4</v>
      </c>
      <c r="F2850" s="3" t="n">
        <v>1</v>
      </c>
      <c r="G2850" s="3" t="n">
        <v>1</v>
      </c>
      <c r="H2850" s="24" t="n">
        <v>0.133483231</v>
      </c>
    </row>
    <row r="2851" customFormat="false" ht="15" hidden="false" customHeight="false" outlineLevel="0" collapsed="false">
      <c r="A2851" s="3" t="n">
        <v>2850</v>
      </c>
      <c r="B2851" s="3" t="n">
        <v>2849</v>
      </c>
      <c r="C2851" s="3" t="s">
        <v>118</v>
      </c>
      <c r="D2851" s="3" t="n">
        <v>11</v>
      </c>
      <c r="E2851" s="3" t="n">
        <v>4</v>
      </c>
      <c r="F2851" s="3" t="n">
        <v>1</v>
      </c>
      <c r="G2851" s="3" t="n">
        <v>2</v>
      </c>
      <c r="H2851" s="24" t="n">
        <v>-0.0184471682</v>
      </c>
    </row>
    <row r="2852" customFormat="false" ht="15" hidden="false" customHeight="false" outlineLevel="0" collapsed="false">
      <c r="A2852" s="3" t="n">
        <v>2851</v>
      </c>
      <c r="B2852" s="3" t="n">
        <v>2850</v>
      </c>
      <c r="C2852" s="3" t="s">
        <v>118</v>
      </c>
      <c r="D2852" s="3" t="n">
        <v>11</v>
      </c>
      <c r="E2852" s="3" t="n">
        <v>4</v>
      </c>
      <c r="F2852" s="3" t="n">
        <v>2</v>
      </c>
      <c r="G2852" s="3" t="n">
        <v>0</v>
      </c>
      <c r="H2852" s="24" t="n">
        <v>0.00434720796</v>
      </c>
    </row>
    <row r="2853" customFormat="false" ht="15" hidden="false" customHeight="false" outlineLevel="0" collapsed="false">
      <c r="A2853" s="3" t="n">
        <v>2852</v>
      </c>
      <c r="B2853" s="3" t="n">
        <v>2851</v>
      </c>
      <c r="C2853" s="3" t="s">
        <v>118</v>
      </c>
      <c r="D2853" s="3" t="n">
        <v>11</v>
      </c>
      <c r="E2853" s="3" t="n">
        <v>4</v>
      </c>
      <c r="F2853" s="3" t="n">
        <v>2</v>
      </c>
      <c r="G2853" s="3" t="n">
        <v>1</v>
      </c>
      <c r="H2853" s="24" t="n">
        <v>0.00821451657</v>
      </c>
    </row>
    <row r="2854" customFormat="false" ht="15" hidden="false" customHeight="false" outlineLevel="0" collapsed="false">
      <c r="A2854" s="3" t="n">
        <v>2853</v>
      </c>
      <c r="B2854" s="3" t="n">
        <v>2852</v>
      </c>
      <c r="C2854" s="3" t="s">
        <v>118</v>
      </c>
      <c r="D2854" s="3" t="n">
        <v>11</v>
      </c>
      <c r="E2854" s="3" t="n">
        <v>4</v>
      </c>
      <c r="F2854" s="3" t="n">
        <v>2</v>
      </c>
      <c r="G2854" s="3" t="n">
        <v>2</v>
      </c>
      <c r="H2854" s="24" t="n">
        <v>0.13679111</v>
      </c>
    </row>
    <row r="2855" customFormat="false" ht="15" hidden="false" customHeight="false" outlineLevel="0" collapsed="false">
      <c r="A2855" s="3" t="n">
        <v>2854</v>
      </c>
      <c r="B2855" s="3" t="n">
        <v>2853</v>
      </c>
      <c r="C2855" s="3" t="s">
        <v>118</v>
      </c>
      <c r="D2855" s="3" t="n">
        <v>11</v>
      </c>
      <c r="E2855" s="3" t="n">
        <v>5</v>
      </c>
      <c r="F2855" s="3" t="n">
        <v>0</v>
      </c>
      <c r="G2855" s="3" t="n">
        <v>0</v>
      </c>
      <c r="H2855" s="24" t="n">
        <v>-0.108784884</v>
      </c>
    </row>
    <row r="2856" customFormat="false" ht="15" hidden="false" customHeight="false" outlineLevel="0" collapsed="false">
      <c r="A2856" s="3" t="n">
        <v>2855</v>
      </c>
      <c r="B2856" s="3" t="n">
        <v>2854</v>
      </c>
      <c r="C2856" s="3" t="s">
        <v>118</v>
      </c>
      <c r="D2856" s="3" t="n">
        <v>11</v>
      </c>
      <c r="E2856" s="3" t="n">
        <v>5</v>
      </c>
      <c r="F2856" s="3" t="n">
        <v>0</v>
      </c>
      <c r="G2856" s="3" t="n">
        <v>1</v>
      </c>
      <c r="H2856" s="24" t="n">
        <v>0.076580815</v>
      </c>
    </row>
    <row r="2857" customFormat="false" ht="15" hidden="false" customHeight="false" outlineLevel="0" collapsed="false">
      <c r="A2857" s="3" t="n">
        <v>2856</v>
      </c>
      <c r="B2857" s="3" t="n">
        <v>2855</v>
      </c>
      <c r="C2857" s="3" t="s">
        <v>118</v>
      </c>
      <c r="D2857" s="3" t="n">
        <v>11</v>
      </c>
      <c r="E2857" s="3" t="n">
        <v>5</v>
      </c>
      <c r="F2857" s="3" t="n">
        <v>0</v>
      </c>
      <c r="G2857" s="3" t="n">
        <v>2</v>
      </c>
      <c r="H2857" s="24" t="n">
        <v>-0.186875865</v>
      </c>
    </row>
    <row r="2858" customFormat="false" ht="15" hidden="false" customHeight="false" outlineLevel="0" collapsed="false">
      <c r="A2858" s="3" t="n">
        <v>2857</v>
      </c>
      <c r="B2858" s="3" t="n">
        <v>2856</v>
      </c>
      <c r="C2858" s="3" t="s">
        <v>118</v>
      </c>
      <c r="D2858" s="3" t="n">
        <v>11</v>
      </c>
      <c r="E2858" s="3" t="n">
        <v>5</v>
      </c>
      <c r="F2858" s="3" t="n">
        <v>1</v>
      </c>
      <c r="G2858" s="3" t="n">
        <v>0</v>
      </c>
      <c r="H2858" s="24" t="n">
        <v>-0.146529913</v>
      </c>
    </row>
    <row r="2859" customFormat="false" ht="15" hidden="false" customHeight="false" outlineLevel="0" collapsed="false">
      <c r="A2859" s="3" t="n">
        <v>2858</v>
      </c>
      <c r="B2859" s="3" t="n">
        <v>2857</v>
      </c>
      <c r="C2859" s="3" t="s">
        <v>118</v>
      </c>
      <c r="D2859" s="3" t="n">
        <v>11</v>
      </c>
      <c r="E2859" s="3" t="n">
        <v>5</v>
      </c>
      <c r="F2859" s="3" t="n">
        <v>1</v>
      </c>
      <c r="G2859" s="3" t="n">
        <v>1</v>
      </c>
      <c r="H2859" s="24" t="n">
        <v>-0.0825019106</v>
      </c>
    </row>
    <row r="2860" customFormat="false" ht="15" hidden="false" customHeight="false" outlineLevel="0" collapsed="false">
      <c r="A2860" s="3" t="n">
        <v>2859</v>
      </c>
      <c r="B2860" s="3" t="n">
        <v>2858</v>
      </c>
      <c r="C2860" s="3" t="s">
        <v>118</v>
      </c>
      <c r="D2860" s="3" t="n">
        <v>11</v>
      </c>
      <c r="E2860" s="3" t="n">
        <v>5</v>
      </c>
      <c r="F2860" s="3" t="n">
        <v>1</v>
      </c>
      <c r="G2860" s="3" t="n">
        <v>2</v>
      </c>
      <c r="H2860" s="24" t="n">
        <v>-0.206138045</v>
      </c>
    </row>
    <row r="2861" customFormat="false" ht="15" hidden="false" customHeight="false" outlineLevel="0" collapsed="false">
      <c r="A2861" s="3" t="n">
        <v>2860</v>
      </c>
      <c r="B2861" s="3" t="n">
        <v>2859</v>
      </c>
      <c r="C2861" s="3" t="s">
        <v>118</v>
      </c>
      <c r="D2861" s="3" t="n">
        <v>11</v>
      </c>
      <c r="E2861" s="3" t="n">
        <v>5</v>
      </c>
      <c r="F2861" s="3" t="n">
        <v>2</v>
      </c>
      <c r="G2861" s="3" t="n">
        <v>0</v>
      </c>
      <c r="H2861" s="24" t="n">
        <v>-0.0759518296</v>
      </c>
    </row>
    <row r="2862" customFormat="false" ht="15" hidden="false" customHeight="false" outlineLevel="0" collapsed="false">
      <c r="A2862" s="3" t="n">
        <v>2861</v>
      </c>
      <c r="B2862" s="3" t="n">
        <v>2860</v>
      </c>
      <c r="C2862" s="3" t="s">
        <v>118</v>
      </c>
      <c r="D2862" s="3" t="n">
        <v>11</v>
      </c>
      <c r="E2862" s="3" t="n">
        <v>5</v>
      </c>
      <c r="F2862" s="3" t="n">
        <v>2</v>
      </c>
      <c r="G2862" s="3" t="n">
        <v>1</v>
      </c>
      <c r="H2862" s="24" t="n">
        <v>-0.219139755</v>
      </c>
    </row>
    <row r="2863" customFormat="false" ht="15" hidden="false" customHeight="false" outlineLevel="0" collapsed="false">
      <c r="A2863" s="3" t="n">
        <v>2862</v>
      </c>
      <c r="B2863" s="3" t="n">
        <v>2861</v>
      </c>
      <c r="C2863" s="3" t="s">
        <v>118</v>
      </c>
      <c r="D2863" s="3" t="n">
        <v>11</v>
      </c>
      <c r="E2863" s="3" t="n">
        <v>5</v>
      </c>
      <c r="F2863" s="3" t="n">
        <v>2</v>
      </c>
      <c r="G2863" s="3" t="n">
        <v>2</v>
      </c>
      <c r="H2863" s="24" t="n">
        <v>0.160213545</v>
      </c>
    </row>
    <row r="2864" customFormat="false" ht="15" hidden="false" customHeight="false" outlineLevel="0" collapsed="false">
      <c r="A2864" s="3" t="n">
        <v>2863</v>
      </c>
      <c r="B2864" s="3" t="n">
        <v>2862</v>
      </c>
      <c r="C2864" s="3" t="s">
        <v>118</v>
      </c>
      <c r="D2864" s="3" t="n">
        <v>11</v>
      </c>
      <c r="E2864" s="3" t="n">
        <v>6</v>
      </c>
      <c r="F2864" s="3" t="n">
        <v>0</v>
      </c>
      <c r="G2864" s="3" t="n">
        <v>0</v>
      </c>
      <c r="H2864" s="24" t="n">
        <v>0.0650726333</v>
      </c>
    </row>
    <row r="2865" customFormat="false" ht="15" hidden="false" customHeight="false" outlineLevel="0" collapsed="false">
      <c r="A2865" s="3" t="n">
        <v>2864</v>
      </c>
      <c r="B2865" s="3" t="n">
        <v>2863</v>
      </c>
      <c r="C2865" s="3" t="s">
        <v>118</v>
      </c>
      <c r="D2865" s="3" t="n">
        <v>11</v>
      </c>
      <c r="E2865" s="3" t="n">
        <v>6</v>
      </c>
      <c r="F2865" s="3" t="n">
        <v>0</v>
      </c>
      <c r="G2865" s="3" t="n">
        <v>1</v>
      </c>
      <c r="H2865" s="24" t="n">
        <v>-0.301366776</v>
      </c>
    </row>
    <row r="2866" customFormat="false" ht="15" hidden="false" customHeight="false" outlineLevel="0" collapsed="false">
      <c r="A2866" s="3" t="n">
        <v>2865</v>
      </c>
      <c r="B2866" s="3" t="n">
        <v>2864</v>
      </c>
      <c r="C2866" s="3" t="s">
        <v>118</v>
      </c>
      <c r="D2866" s="3" t="n">
        <v>11</v>
      </c>
      <c r="E2866" s="3" t="n">
        <v>6</v>
      </c>
      <c r="F2866" s="3" t="n">
        <v>0</v>
      </c>
      <c r="G2866" s="3" t="n">
        <v>2</v>
      </c>
      <c r="H2866" s="24" t="n">
        <v>-0.0548147596</v>
      </c>
    </row>
    <row r="2867" customFormat="false" ht="15" hidden="false" customHeight="false" outlineLevel="0" collapsed="false">
      <c r="A2867" s="3" t="n">
        <v>2866</v>
      </c>
      <c r="B2867" s="3" t="n">
        <v>2865</v>
      </c>
      <c r="C2867" s="3" t="s">
        <v>118</v>
      </c>
      <c r="D2867" s="3" t="n">
        <v>11</v>
      </c>
      <c r="E2867" s="3" t="n">
        <v>6</v>
      </c>
      <c r="F2867" s="3" t="n">
        <v>1</v>
      </c>
      <c r="G2867" s="3" t="n">
        <v>0</v>
      </c>
      <c r="H2867" s="24" t="n">
        <v>0.133617729</v>
      </c>
    </row>
    <row r="2868" customFormat="false" ht="15" hidden="false" customHeight="false" outlineLevel="0" collapsed="false">
      <c r="A2868" s="3" t="n">
        <v>2867</v>
      </c>
      <c r="B2868" s="3" t="n">
        <v>2866</v>
      </c>
      <c r="C2868" s="3" t="s">
        <v>118</v>
      </c>
      <c r="D2868" s="3" t="n">
        <v>11</v>
      </c>
      <c r="E2868" s="3" t="n">
        <v>6</v>
      </c>
      <c r="F2868" s="3" t="n">
        <v>1</v>
      </c>
      <c r="G2868" s="3" t="n">
        <v>1</v>
      </c>
      <c r="H2868" s="24" t="n">
        <v>0.0304678325</v>
      </c>
    </row>
    <row r="2869" customFormat="false" ht="15" hidden="false" customHeight="false" outlineLevel="0" collapsed="false">
      <c r="A2869" s="3" t="n">
        <v>2868</v>
      </c>
      <c r="B2869" s="3" t="n">
        <v>2867</v>
      </c>
      <c r="C2869" s="3" t="s">
        <v>118</v>
      </c>
      <c r="D2869" s="3" t="n">
        <v>11</v>
      </c>
      <c r="E2869" s="3" t="n">
        <v>6</v>
      </c>
      <c r="F2869" s="3" t="n">
        <v>1</v>
      </c>
      <c r="G2869" s="3" t="n">
        <v>2</v>
      </c>
      <c r="H2869" s="24" t="n">
        <v>0.0763400346</v>
      </c>
    </row>
    <row r="2870" customFormat="false" ht="15" hidden="false" customHeight="false" outlineLevel="0" collapsed="false">
      <c r="A2870" s="3" t="n">
        <v>2869</v>
      </c>
      <c r="B2870" s="3" t="n">
        <v>2868</v>
      </c>
      <c r="C2870" s="3" t="s">
        <v>118</v>
      </c>
      <c r="D2870" s="3" t="n">
        <v>11</v>
      </c>
      <c r="E2870" s="3" t="n">
        <v>6</v>
      </c>
      <c r="F2870" s="3" t="n">
        <v>2</v>
      </c>
      <c r="G2870" s="3" t="n">
        <v>0</v>
      </c>
      <c r="H2870" s="24" t="n">
        <v>0.122397386</v>
      </c>
    </row>
    <row r="2871" customFormat="false" ht="15" hidden="false" customHeight="false" outlineLevel="0" collapsed="false">
      <c r="A2871" s="3" t="n">
        <v>2870</v>
      </c>
      <c r="B2871" s="3" t="n">
        <v>2869</v>
      </c>
      <c r="C2871" s="3" t="s">
        <v>118</v>
      </c>
      <c r="D2871" s="3" t="n">
        <v>11</v>
      </c>
      <c r="E2871" s="3" t="n">
        <v>6</v>
      </c>
      <c r="F2871" s="3" t="n">
        <v>2</v>
      </c>
      <c r="G2871" s="3" t="n">
        <v>1</v>
      </c>
      <c r="H2871" s="24" t="n">
        <v>0.128913969</v>
      </c>
    </row>
    <row r="2872" customFormat="false" ht="15" hidden="false" customHeight="false" outlineLevel="0" collapsed="false">
      <c r="A2872" s="3" t="n">
        <v>2871</v>
      </c>
      <c r="B2872" s="3" t="n">
        <v>2870</v>
      </c>
      <c r="C2872" s="3" t="s">
        <v>118</v>
      </c>
      <c r="D2872" s="3" t="n">
        <v>11</v>
      </c>
      <c r="E2872" s="3" t="n">
        <v>6</v>
      </c>
      <c r="F2872" s="3" t="n">
        <v>2</v>
      </c>
      <c r="G2872" s="3" t="n">
        <v>2</v>
      </c>
      <c r="H2872" s="24" t="n">
        <v>0.023195859</v>
      </c>
    </row>
    <row r="2873" customFormat="false" ht="15" hidden="false" customHeight="false" outlineLevel="0" collapsed="false">
      <c r="A2873" s="3" t="n">
        <v>2872</v>
      </c>
      <c r="B2873" s="3" t="n">
        <v>2871</v>
      </c>
      <c r="C2873" s="3" t="s">
        <v>118</v>
      </c>
      <c r="D2873" s="3" t="n">
        <v>11</v>
      </c>
      <c r="E2873" s="3" t="n">
        <v>7</v>
      </c>
      <c r="F2873" s="3" t="n">
        <v>0</v>
      </c>
      <c r="G2873" s="3" t="n">
        <v>0</v>
      </c>
      <c r="H2873" s="24" t="n">
        <v>-0.0138307353</v>
      </c>
    </row>
    <row r="2874" customFormat="false" ht="15" hidden="false" customHeight="false" outlineLevel="0" collapsed="false">
      <c r="A2874" s="3" t="n">
        <v>2873</v>
      </c>
      <c r="B2874" s="3" t="n">
        <v>2872</v>
      </c>
      <c r="C2874" s="3" t="s">
        <v>118</v>
      </c>
      <c r="D2874" s="3" t="n">
        <v>11</v>
      </c>
      <c r="E2874" s="3" t="n">
        <v>7</v>
      </c>
      <c r="F2874" s="3" t="n">
        <v>0</v>
      </c>
      <c r="G2874" s="3" t="n">
        <v>1</v>
      </c>
      <c r="H2874" s="24" t="n">
        <v>-0.180284023</v>
      </c>
    </row>
    <row r="2875" customFormat="false" ht="15" hidden="false" customHeight="false" outlineLevel="0" collapsed="false">
      <c r="A2875" s="3" t="n">
        <v>2874</v>
      </c>
      <c r="B2875" s="3" t="n">
        <v>2873</v>
      </c>
      <c r="C2875" s="3" t="s">
        <v>118</v>
      </c>
      <c r="D2875" s="3" t="n">
        <v>11</v>
      </c>
      <c r="E2875" s="3" t="n">
        <v>7</v>
      </c>
      <c r="F2875" s="3" t="n">
        <v>0</v>
      </c>
      <c r="G2875" s="3" t="n">
        <v>2</v>
      </c>
      <c r="H2875" s="24" t="n">
        <v>-0.222153082</v>
      </c>
    </row>
    <row r="2876" customFormat="false" ht="15" hidden="false" customHeight="false" outlineLevel="0" collapsed="false">
      <c r="A2876" s="3" t="n">
        <v>2875</v>
      </c>
      <c r="B2876" s="3" t="n">
        <v>2874</v>
      </c>
      <c r="C2876" s="3" t="s">
        <v>118</v>
      </c>
      <c r="D2876" s="3" t="n">
        <v>11</v>
      </c>
      <c r="E2876" s="3" t="n">
        <v>7</v>
      </c>
      <c r="F2876" s="3" t="n">
        <v>1</v>
      </c>
      <c r="G2876" s="3" t="n">
        <v>0</v>
      </c>
      <c r="H2876" s="24" t="n">
        <v>0.199424386</v>
      </c>
    </row>
    <row r="2877" customFormat="false" ht="15" hidden="false" customHeight="false" outlineLevel="0" collapsed="false">
      <c r="A2877" s="3" t="n">
        <v>2876</v>
      </c>
      <c r="B2877" s="3" t="n">
        <v>2875</v>
      </c>
      <c r="C2877" s="3" t="s">
        <v>118</v>
      </c>
      <c r="D2877" s="3" t="n">
        <v>11</v>
      </c>
      <c r="E2877" s="3" t="n">
        <v>7</v>
      </c>
      <c r="F2877" s="3" t="n">
        <v>1</v>
      </c>
      <c r="G2877" s="3" t="n">
        <v>1</v>
      </c>
      <c r="H2877" s="24" t="n">
        <v>-0.120288558</v>
      </c>
    </row>
    <row r="2878" customFormat="false" ht="15" hidden="false" customHeight="false" outlineLevel="0" collapsed="false">
      <c r="A2878" s="3" t="n">
        <v>2877</v>
      </c>
      <c r="B2878" s="3" t="n">
        <v>2876</v>
      </c>
      <c r="C2878" s="3" t="s">
        <v>118</v>
      </c>
      <c r="D2878" s="3" t="n">
        <v>11</v>
      </c>
      <c r="E2878" s="3" t="n">
        <v>7</v>
      </c>
      <c r="F2878" s="3" t="n">
        <v>1</v>
      </c>
      <c r="G2878" s="3" t="n">
        <v>2</v>
      </c>
      <c r="H2878" s="24" t="n">
        <v>-0.286516666</v>
      </c>
    </row>
    <row r="2879" customFormat="false" ht="15" hidden="false" customHeight="false" outlineLevel="0" collapsed="false">
      <c r="A2879" s="3" t="n">
        <v>2878</v>
      </c>
      <c r="B2879" s="3" t="n">
        <v>2877</v>
      </c>
      <c r="C2879" s="3" t="s">
        <v>118</v>
      </c>
      <c r="D2879" s="3" t="n">
        <v>11</v>
      </c>
      <c r="E2879" s="3" t="n">
        <v>7</v>
      </c>
      <c r="F2879" s="3" t="n">
        <v>2</v>
      </c>
      <c r="G2879" s="3" t="n">
        <v>0</v>
      </c>
      <c r="H2879" s="24" t="n">
        <v>0.445983946</v>
      </c>
    </row>
    <row r="2880" customFormat="false" ht="15" hidden="false" customHeight="false" outlineLevel="0" collapsed="false">
      <c r="A2880" s="3" t="n">
        <v>2879</v>
      </c>
      <c r="B2880" s="3" t="n">
        <v>2878</v>
      </c>
      <c r="C2880" s="3" t="s">
        <v>118</v>
      </c>
      <c r="D2880" s="3" t="n">
        <v>11</v>
      </c>
      <c r="E2880" s="3" t="n">
        <v>7</v>
      </c>
      <c r="F2880" s="3" t="n">
        <v>2</v>
      </c>
      <c r="G2880" s="3" t="n">
        <v>1</v>
      </c>
      <c r="H2880" s="24" t="n">
        <v>-0.137667671</v>
      </c>
    </row>
    <row r="2881" customFormat="false" ht="15" hidden="false" customHeight="false" outlineLevel="0" collapsed="false">
      <c r="A2881" s="3" t="n">
        <v>2880</v>
      </c>
      <c r="B2881" s="3" t="n">
        <v>2879</v>
      </c>
      <c r="C2881" s="3" t="s">
        <v>118</v>
      </c>
      <c r="D2881" s="3" t="n">
        <v>11</v>
      </c>
      <c r="E2881" s="3" t="n">
        <v>7</v>
      </c>
      <c r="F2881" s="3" t="n">
        <v>2</v>
      </c>
      <c r="G2881" s="3" t="n">
        <v>2</v>
      </c>
      <c r="H2881" s="24" t="n">
        <v>-0.301008672</v>
      </c>
    </row>
    <row r="2882" customFormat="false" ht="15" hidden="false" customHeight="false" outlineLevel="0" collapsed="false">
      <c r="A2882" s="3" t="n">
        <v>2881</v>
      </c>
      <c r="B2882" s="3" t="n">
        <v>2880</v>
      </c>
      <c r="C2882" s="3" t="s">
        <v>118</v>
      </c>
      <c r="D2882" s="3" t="n">
        <v>11</v>
      </c>
      <c r="E2882" s="3" t="n">
        <v>8</v>
      </c>
      <c r="F2882" s="3" t="n">
        <v>0</v>
      </c>
      <c r="G2882" s="3" t="n">
        <v>0</v>
      </c>
      <c r="H2882" s="24" t="n">
        <v>-0.00660951622</v>
      </c>
    </row>
    <row r="2883" customFormat="false" ht="15" hidden="false" customHeight="false" outlineLevel="0" collapsed="false">
      <c r="A2883" s="3" t="n">
        <v>2882</v>
      </c>
      <c r="B2883" s="3" t="n">
        <v>2881</v>
      </c>
      <c r="C2883" s="3" t="s">
        <v>118</v>
      </c>
      <c r="D2883" s="3" t="n">
        <v>11</v>
      </c>
      <c r="E2883" s="3" t="n">
        <v>8</v>
      </c>
      <c r="F2883" s="3" t="n">
        <v>0</v>
      </c>
      <c r="G2883" s="3" t="n">
        <v>1</v>
      </c>
      <c r="H2883" s="24" t="n">
        <v>0.143992111</v>
      </c>
    </row>
    <row r="2884" customFormat="false" ht="15" hidden="false" customHeight="false" outlineLevel="0" collapsed="false">
      <c r="A2884" s="3" t="n">
        <v>2883</v>
      </c>
      <c r="B2884" s="3" t="n">
        <v>2882</v>
      </c>
      <c r="C2884" s="3" t="s">
        <v>118</v>
      </c>
      <c r="D2884" s="3" t="n">
        <v>11</v>
      </c>
      <c r="E2884" s="3" t="n">
        <v>8</v>
      </c>
      <c r="F2884" s="3" t="n">
        <v>0</v>
      </c>
      <c r="G2884" s="3" t="n">
        <v>2</v>
      </c>
      <c r="H2884" s="24" t="n">
        <v>-0.111341484</v>
      </c>
    </row>
    <row r="2885" customFormat="false" ht="15" hidden="false" customHeight="false" outlineLevel="0" collapsed="false">
      <c r="A2885" s="3" t="n">
        <v>2884</v>
      </c>
      <c r="B2885" s="3" t="n">
        <v>2883</v>
      </c>
      <c r="C2885" s="3" t="s">
        <v>118</v>
      </c>
      <c r="D2885" s="3" t="n">
        <v>11</v>
      </c>
      <c r="E2885" s="3" t="n">
        <v>8</v>
      </c>
      <c r="F2885" s="3" t="n">
        <v>1</v>
      </c>
      <c r="G2885" s="3" t="n">
        <v>0</v>
      </c>
      <c r="H2885" s="24" t="n">
        <v>0.153951153</v>
      </c>
    </row>
    <row r="2886" customFormat="false" ht="15" hidden="false" customHeight="false" outlineLevel="0" collapsed="false">
      <c r="A2886" s="3" t="n">
        <v>2885</v>
      </c>
      <c r="B2886" s="3" t="n">
        <v>2884</v>
      </c>
      <c r="C2886" s="3" t="s">
        <v>118</v>
      </c>
      <c r="D2886" s="3" t="n">
        <v>11</v>
      </c>
      <c r="E2886" s="3" t="n">
        <v>8</v>
      </c>
      <c r="F2886" s="3" t="n">
        <v>1</v>
      </c>
      <c r="G2886" s="3" t="n">
        <v>1</v>
      </c>
      <c r="H2886" s="24" t="n">
        <v>0.13572301</v>
      </c>
    </row>
    <row r="2887" customFormat="false" ht="15" hidden="false" customHeight="false" outlineLevel="0" collapsed="false">
      <c r="A2887" s="3" t="n">
        <v>2886</v>
      </c>
      <c r="B2887" s="3" t="n">
        <v>2885</v>
      </c>
      <c r="C2887" s="3" t="s">
        <v>118</v>
      </c>
      <c r="D2887" s="3" t="n">
        <v>11</v>
      </c>
      <c r="E2887" s="3" t="n">
        <v>8</v>
      </c>
      <c r="F2887" s="3" t="n">
        <v>1</v>
      </c>
      <c r="G2887" s="3" t="n">
        <v>2</v>
      </c>
      <c r="H2887" s="24" t="n">
        <v>0.127493978</v>
      </c>
    </row>
    <row r="2888" customFormat="false" ht="15" hidden="false" customHeight="false" outlineLevel="0" collapsed="false">
      <c r="A2888" s="3" t="n">
        <v>2887</v>
      </c>
      <c r="B2888" s="3" t="n">
        <v>2886</v>
      </c>
      <c r="C2888" s="3" t="s">
        <v>118</v>
      </c>
      <c r="D2888" s="3" t="n">
        <v>11</v>
      </c>
      <c r="E2888" s="3" t="n">
        <v>8</v>
      </c>
      <c r="F2888" s="3" t="n">
        <v>2</v>
      </c>
      <c r="G2888" s="3" t="n">
        <v>0</v>
      </c>
      <c r="H2888" s="24" t="n">
        <v>-0.0306198467</v>
      </c>
    </row>
    <row r="2889" customFormat="false" ht="15" hidden="false" customHeight="false" outlineLevel="0" collapsed="false">
      <c r="A2889" s="3" t="n">
        <v>2888</v>
      </c>
      <c r="B2889" s="3" t="n">
        <v>2887</v>
      </c>
      <c r="C2889" s="3" t="s">
        <v>118</v>
      </c>
      <c r="D2889" s="3" t="n">
        <v>11</v>
      </c>
      <c r="E2889" s="3" t="n">
        <v>8</v>
      </c>
      <c r="F2889" s="3" t="n">
        <v>2</v>
      </c>
      <c r="G2889" s="3" t="n">
        <v>1</v>
      </c>
      <c r="H2889" s="24" t="n">
        <v>-0.0636415854</v>
      </c>
    </row>
    <row r="2890" customFormat="false" ht="15" hidden="false" customHeight="false" outlineLevel="0" collapsed="false">
      <c r="A2890" s="3" t="n">
        <v>2889</v>
      </c>
      <c r="B2890" s="3" t="n">
        <v>2888</v>
      </c>
      <c r="C2890" s="3" t="s">
        <v>118</v>
      </c>
      <c r="D2890" s="3" t="n">
        <v>11</v>
      </c>
      <c r="E2890" s="3" t="n">
        <v>8</v>
      </c>
      <c r="F2890" s="3" t="n">
        <v>2</v>
      </c>
      <c r="G2890" s="3" t="n">
        <v>2</v>
      </c>
      <c r="H2890" s="24" t="n">
        <v>0.0357811376</v>
      </c>
    </row>
    <row r="2891" customFormat="false" ht="15" hidden="false" customHeight="false" outlineLevel="0" collapsed="false">
      <c r="A2891" s="3" t="n">
        <v>2890</v>
      </c>
      <c r="B2891" s="3" t="n">
        <v>2889</v>
      </c>
      <c r="C2891" s="3" t="s">
        <v>118</v>
      </c>
      <c r="D2891" s="3" t="n">
        <v>11</v>
      </c>
      <c r="E2891" s="3" t="n">
        <v>9</v>
      </c>
      <c r="F2891" s="3" t="n">
        <v>0</v>
      </c>
      <c r="G2891" s="3" t="n">
        <v>0</v>
      </c>
      <c r="H2891" s="24" t="n">
        <v>0.11530856</v>
      </c>
    </row>
    <row r="2892" customFormat="false" ht="15" hidden="false" customHeight="false" outlineLevel="0" collapsed="false">
      <c r="A2892" s="3" t="n">
        <v>2891</v>
      </c>
      <c r="B2892" s="3" t="n">
        <v>2890</v>
      </c>
      <c r="C2892" s="3" t="s">
        <v>118</v>
      </c>
      <c r="D2892" s="3" t="n">
        <v>11</v>
      </c>
      <c r="E2892" s="3" t="n">
        <v>9</v>
      </c>
      <c r="F2892" s="3" t="n">
        <v>0</v>
      </c>
      <c r="G2892" s="3" t="n">
        <v>1</v>
      </c>
      <c r="H2892" s="24" t="n">
        <v>-0.00147193111</v>
      </c>
    </row>
    <row r="2893" customFormat="false" ht="15" hidden="false" customHeight="false" outlineLevel="0" collapsed="false">
      <c r="A2893" s="3" t="n">
        <v>2892</v>
      </c>
      <c r="B2893" s="3" t="n">
        <v>2891</v>
      </c>
      <c r="C2893" s="3" t="s">
        <v>118</v>
      </c>
      <c r="D2893" s="3" t="n">
        <v>11</v>
      </c>
      <c r="E2893" s="3" t="n">
        <v>9</v>
      </c>
      <c r="F2893" s="3" t="n">
        <v>0</v>
      </c>
      <c r="G2893" s="3" t="n">
        <v>2</v>
      </c>
      <c r="H2893" s="24" t="n">
        <v>0.136584356</v>
      </c>
    </row>
    <row r="2894" customFormat="false" ht="15" hidden="false" customHeight="false" outlineLevel="0" collapsed="false">
      <c r="A2894" s="3" t="n">
        <v>2893</v>
      </c>
      <c r="B2894" s="3" t="n">
        <v>2892</v>
      </c>
      <c r="C2894" s="3" t="s">
        <v>118</v>
      </c>
      <c r="D2894" s="3" t="n">
        <v>11</v>
      </c>
      <c r="E2894" s="3" t="n">
        <v>9</v>
      </c>
      <c r="F2894" s="3" t="n">
        <v>1</v>
      </c>
      <c r="G2894" s="3" t="n">
        <v>0</v>
      </c>
      <c r="H2894" s="24" t="n">
        <v>-0.162426665</v>
      </c>
    </row>
    <row r="2895" customFormat="false" ht="15" hidden="false" customHeight="false" outlineLevel="0" collapsed="false">
      <c r="A2895" s="3" t="n">
        <v>2894</v>
      </c>
      <c r="B2895" s="3" t="n">
        <v>2893</v>
      </c>
      <c r="C2895" s="3" t="s">
        <v>118</v>
      </c>
      <c r="D2895" s="3" t="n">
        <v>11</v>
      </c>
      <c r="E2895" s="3" t="n">
        <v>9</v>
      </c>
      <c r="F2895" s="3" t="n">
        <v>1</v>
      </c>
      <c r="G2895" s="3" t="n">
        <v>1</v>
      </c>
      <c r="H2895" s="24" t="n">
        <v>0.121051118</v>
      </c>
    </row>
    <row r="2896" customFormat="false" ht="15" hidden="false" customHeight="false" outlineLevel="0" collapsed="false">
      <c r="A2896" s="3" t="n">
        <v>2895</v>
      </c>
      <c r="B2896" s="3" t="n">
        <v>2894</v>
      </c>
      <c r="C2896" s="3" t="s">
        <v>118</v>
      </c>
      <c r="D2896" s="3" t="n">
        <v>11</v>
      </c>
      <c r="E2896" s="3" t="n">
        <v>9</v>
      </c>
      <c r="F2896" s="3" t="n">
        <v>1</v>
      </c>
      <c r="G2896" s="3" t="n">
        <v>2</v>
      </c>
      <c r="H2896" s="24" t="n">
        <v>0.0817662552</v>
      </c>
    </row>
    <row r="2897" customFormat="false" ht="15" hidden="false" customHeight="false" outlineLevel="0" collapsed="false">
      <c r="A2897" s="3" t="n">
        <v>2896</v>
      </c>
      <c r="B2897" s="3" t="n">
        <v>2895</v>
      </c>
      <c r="C2897" s="3" t="s">
        <v>118</v>
      </c>
      <c r="D2897" s="3" t="n">
        <v>11</v>
      </c>
      <c r="E2897" s="3" t="n">
        <v>9</v>
      </c>
      <c r="F2897" s="3" t="n">
        <v>2</v>
      </c>
      <c r="G2897" s="3" t="n">
        <v>0</v>
      </c>
      <c r="H2897" s="24" t="n">
        <v>0.0302611999</v>
      </c>
    </row>
    <row r="2898" customFormat="false" ht="15" hidden="false" customHeight="false" outlineLevel="0" collapsed="false">
      <c r="A2898" s="3" t="n">
        <v>2897</v>
      </c>
      <c r="B2898" s="3" t="n">
        <v>2896</v>
      </c>
      <c r="C2898" s="3" t="s">
        <v>118</v>
      </c>
      <c r="D2898" s="3" t="n">
        <v>11</v>
      </c>
      <c r="E2898" s="3" t="n">
        <v>9</v>
      </c>
      <c r="F2898" s="3" t="n">
        <v>2</v>
      </c>
      <c r="G2898" s="3" t="n">
        <v>1</v>
      </c>
      <c r="H2898" s="24" t="n">
        <v>0.123322479</v>
      </c>
    </row>
    <row r="2899" customFormat="false" ht="15" hidden="false" customHeight="false" outlineLevel="0" collapsed="false">
      <c r="A2899" s="3" t="n">
        <v>2898</v>
      </c>
      <c r="B2899" s="3" t="n">
        <v>2897</v>
      </c>
      <c r="C2899" s="3" t="s">
        <v>118</v>
      </c>
      <c r="D2899" s="3" t="n">
        <v>11</v>
      </c>
      <c r="E2899" s="3" t="n">
        <v>9</v>
      </c>
      <c r="F2899" s="3" t="n">
        <v>2</v>
      </c>
      <c r="G2899" s="3" t="n">
        <v>2</v>
      </c>
      <c r="H2899" s="24" t="n">
        <v>0.0191821512</v>
      </c>
    </row>
    <row r="2900" customFormat="false" ht="15" hidden="false" customHeight="false" outlineLevel="0" collapsed="false">
      <c r="A2900" s="3" t="n">
        <v>2899</v>
      </c>
      <c r="B2900" s="3" t="n">
        <v>2898</v>
      </c>
      <c r="C2900" s="3" t="s">
        <v>118</v>
      </c>
      <c r="D2900" s="3" t="n">
        <v>11</v>
      </c>
      <c r="E2900" s="3" t="n">
        <v>10</v>
      </c>
      <c r="F2900" s="3" t="n">
        <v>0</v>
      </c>
      <c r="G2900" s="3" t="n">
        <v>0</v>
      </c>
      <c r="H2900" s="24" t="n">
        <v>0.128973365</v>
      </c>
    </row>
    <row r="2901" customFormat="false" ht="15" hidden="false" customHeight="false" outlineLevel="0" collapsed="false">
      <c r="A2901" s="3" t="n">
        <v>2900</v>
      </c>
      <c r="B2901" s="3" t="n">
        <v>2899</v>
      </c>
      <c r="C2901" s="3" t="s">
        <v>118</v>
      </c>
      <c r="D2901" s="3" t="n">
        <v>11</v>
      </c>
      <c r="E2901" s="3" t="n">
        <v>10</v>
      </c>
      <c r="F2901" s="3" t="n">
        <v>0</v>
      </c>
      <c r="G2901" s="3" t="n">
        <v>1</v>
      </c>
      <c r="H2901" s="24" t="n">
        <v>-0.0440278091</v>
      </c>
    </row>
    <row r="2902" customFormat="false" ht="15" hidden="false" customHeight="false" outlineLevel="0" collapsed="false">
      <c r="A2902" s="3" t="n">
        <v>2901</v>
      </c>
      <c r="B2902" s="3" t="n">
        <v>2900</v>
      </c>
      <c r="C2902" s="3" t="s">
        <v>118</v>
      </c>
      <c r="D2902" s="3" t="n">
        <v>11</v>
      </c>
      <c r="E2902" s="3" t="n">
        <v>10</v>
      </c>
      <c r="F2902" s="3" t="n">
        <v>0</v>
      </c>
      <c r="G2902" s="3" t="n">
        <v>2</v>
      </c>
      <c r="H2902" s="24" t="n">
        <v>-0.0833739489</v>
      </c>
    </row>
    <row r="2903" customFormat="false" ht="15" hidden="false" customHeight="false" outlineLevel="0" collapsed="false">
      <c r="A2903" s="3" t="n">
        <v>2902</v>
      </c>
      <c r="B2903" s="3" t="n">
        <v>2901</v>
      </c>
      <c r="C2903" s="3" t="s">
        <v>118</v>
      </c>
      <c r="D2903" s="3" t="n">
        <v>11</v>
      </c>
      <c r="E2903" s="3" t="n">
        <v>10</v>
      </c>
      <c r="F2903" s="3" t="n">
        <v>1</v>
      </c>
      <c r="G2903" s="3" t="n">
        <v>0</v>
      </c>
      <c r="H2903" s="24" t="n">
        <v>-0.137157917</v>
      </c>
    </row>
    <row r="2904" customFormat="false" ht="15" hidden="false" customHeight="false" outlineLevel="0" collapsed="false">
      <c r="A2904" s="3" t="n">
        <v>2903</v>
      </c>
      <c r="B2904" s="3" t="n">
        <v>2902</v>
      </c>
      <c r="C2904" s="3" t="s">
        <v>118</v>
      </c>
      <c r="D2904" s="3" t="n">
        <v>11</v>
      </c>
      <c r="E2904" s="3" t="n">
        <v>10</v>
      </c>
      <c r="F2904" s="3" t="n">
        <v>1</v>
      </c>
      <c r="G2904" s="3" t="n">
        <v>1</v>
      </c>
      <c r="H2904" s="24" t="n">
        <v>0.106583595</v>
      </c>
    </row>
    <row r="2905" customFormat="false" ht="15" hidden="false" customHeight="false" outlineLevel="0" collapsed="false">
      <c r="A2905" s="3" t="n">
        <v>2904</v>
      </c>
      <c r="B2905" s="3" t="n">
        <v>2903</v>
      </c>
      <c r="C2905" s="3" t="s">
        <v>118</v>
      </c>
      <c r="D2905" s="3" t="n">
        <v>11</v>
      </c>
      <c r="E2905" s="3" t="n">
        <v>10</v>
      </c>
      <c r="F2905" s="3" t="n">
        <v>1</v>
      </c>
      <c r="G2905" s="3" t="n">
        <v>2</v>
      </c>
      <c r="H2905" s="24" t="n">
        <v>0.214254305</v>
      </c>
    </row>
    <row r="2906" customFormat="false" ht="15" hidden="false" customHeight="false" outlineLevel="0" collapsed="false">
      <c r="A2906" s="3" t="n">
        <v>2905</v>
      </c>
      <c r="B2906" s="3" t="n">
        <v>2904</v>
      </c>
      <c r="C2906" s="3" t="s">
        <v>118</v>
      </c>
      <c r="D2906" s="3" t="n">
        <v>11</v>
      </c>
      <c r="E2906" s="3" t="n">
        <v>10</v>
      </c>
      <c r="F2906" s="3" t="n">
        <v>2</v>
      </c>
      <c r="G2906" s="3" t="n">
        <v>0</v>
      </c>
      <c r="H2906" s="24" t="n">
        <v>0.203194439</v>
      </c>
    </row>
    <row r="2907" customFormat="false" ht="15" hidden="false" customHeight="false" outlineLevel="0" collapsed="false">
      <c r="A2907" s="3" t="n">
        <v>2906</v>
      </c>
      <c r="B2907" s="3" t="n">
        <v>2905</v>
      </c>
      <c r="C2907" s="3" t="s">
        <v>118</v>
      </c>
      <c r="D2907" s="3" t="n">
        <v>11</v>
      </c>
      <c r="E2907" s="3" t="n">
        <v>10</v>
      </c>
      <c r="F2907" s="3" t="n">
        <v>2</v>
      </c>
      <c r="G2907" s="3" t="n">
        <v>1</v>
      </c>
      <c r="H2907" s="24" t="n">
        <v>0.120877102</v>
      </c>
    </row>
    <row r="2908" customFormat="false" ht="15" hidden="false" customHeight="false" outlineLevel="0" collapsed="false">
      <c r="A2908" s="3" t="n">
        <v>2907</v>
      </c>
      <c r="B2908" s="3" t="n">
        <v>2906</v>
      </c>
      <c r="C2908" s="3" t="s">
        <v>118</v>
      </c>
      <c r="D2908" s="3" t="n">
        <v>11</v>
      </c>
      <c r="E2908" s="3" t="n">
        <v>10</v>
      </c>
      <c r="F2908" s="3" t="n">
        <v>2</v>
      </c>
      <c r="G2908" s="3" t="n">
        <v>2</v>
      </c>
      <c r="H2908" s="24" t="n">
        <v>0.159547091</v>
      </c>
    </row>
    <row r="2909" customFormat="false" ht="15" hidden="false" customHeight="false" outlineLevel="0" collapsed="false">
      <c r="A2909" s="3" t="n">
        <v>2908</v>
      </c>
      <c r="B2909" s="3" t="n">
        <v>2907</v>
      </c>
      <c r="C2909" s="3" t="s">
        <v>118</v>
      </c>
      <c r="D2909" s="3" t="n">
        <v>11</v>
      </c>
      <c r="E2909" s="3" t="n">
        <v>11</v>
      </c>
      <c r="F2909" s="3" t="n">
        <v>0</v>
      </c>
      <c r="G2909" s="3" t="n">
        <v>0</v>
      </c>
      <c r="H2909" s="24" t="n">
        <v>0.215979278</v>
      </c>
    </row>
    <row r="2910" customFormat="false" ht="15" hidden="false" customHeight="false" outlineLevel="0" collapsed="false">
      <c r="A2910" s="3" t="n">
        <v>2909</v>
      </c>
      <c r="B2910" s="3" t="n">
        <v>2908</v>
      </c>
      <c r="C2910" s="3" t="s">
        <v>118</v>
      </c>
      <c r="D2910" s="3" t="n">
        <v>11</v>
      </c>
      <c r="E2910" s="3" t="n">
        <v>11</v>
      </c>
      <c r="F2910" s="3" t="n">
        <v>0</v>
      </c>
      <c r="G2910" s="3" t="n">
        <v>1</v>
      </c>
      <c r="H2910" s="24" t="n">
        <v>-0.139399782</v>
      </c>
    </row>
    <row r="2911" customFormat="false" ht="15" hidden="false" customHeight="false" outlineLevel="0" collapsed="false">
      <c r="A2911" s="3" t="n">
        <v>2910</v>
      </c>
      <c r="B2911" s="3" t="n">
        <v>2909</v>
      </c>
      <c r="C2911" s="3" t="s">
        <v>118</v>
      </c>
      <c r="D2911" s="3" t="n">
        <v>11</v>
      </c>
      <c r="E2911" s="3" t="n">
        <v>11</v>
      </c>
      <c r="F2911" s="3" t="n">
        <v>0</v>
      </c>
      <c r="G2911" s="3" t="n">
        <v>2</v>
      </c>
      <c r="H2911" s="24" t="n">
        <v>0.0295008961</v>
      </c>
    </row>
    <row r="2912" customFormat="false" ht="15" hidden="false" customHeight="false" outlineLevel="0" collapsed="false">
      <c r="A2912" s="3" t="n">
        <v>2911</v>
      </c>
      <c r="B2912" s="3" t="n">
        <v>2910</v>
      </c>
      <c r="C2912" s="3" t="s">
        <v>118</v>
      </c>
      <c r="D2912" s="3" t="n">
        <v>11</v>
      </c>
      <c r="E2912" s="3" t="n">
        <v>11</v>
      </c>
      <c r="F2912" s="3" t="n">
        <v>1</v>
      </c>
      <c r="G2912" s="3" t="n">
        <v>0</v>
      </c>
      <c r="H2912" s="24" t="n">
        <v>-0.119162068</v>
      </c>
    </row>
    <row r="2913" customFormat="false" ht="15" hidden="false" customHeight="false" outlineLevel="0" collapsed="false">
      <c r="A2913" s="3" t="n">
        <v>2912</v>
      </c>
      <c r="B2913" s="3" t="n">
        <v>2911</v>
      </c>
      <c r="C2913" s="3" t="s">
        <v>118</v>
      </c>
      <c r="D2913" s="3" t="n">
        <v>11</v>
      </c>
      <c r="E2913" s="3" t="n">
        <v>11</v>
      </c>
      <c r="F2913" s="3" t="n">
        <v>1</v>
      </c>
      <c r="G2913" s="3" t="n">
        <v>1</v>
      </c>
      <c r="H2913" s="24" t="n">
        <v>-0.139411062</v>
      </c>
    </row>
    <row r="2914" customFormat="false" ht="15" hidden="false" customHeight="false" outlineLevel="0" collapsed="false">
      <c r="A2914" s="3" t="n">
        <v>2913</v>
      </c>
      <c r="B2914" s="3" t="n">
        <v>2912</v>
      </c>
      <c r="C2914" s="3" t="s">
        <v>118</v>
      </c>
      <c r="D2914" s="3" t="n">
        <v>11</v>
      </c>
      <c r="E2914" s="3" t="n">
        <v>11</v>
      </c>
      <c r="F2914" s="3" t="n">
        <v>1</v>
      </c>
      <c r="G2914" s="3" t="n">
        <v>2</v>
      </c>
      <c r="H2914" s="24" t="n">
        <v>0.0560036004</v>
      </c>
    </row>
    <row r="2915" customFormat="false" ht="15" hidden="false" customHeight="false" outlineLevel="0" collapsed="false">
      <c r="A2915" s="3" t="n">
        <v>2914</v>
      </c>
      <c r="B2915" s="3" t="n">
        <v>2913</v>
      </c>
      <c r="C2915" s="3" t="s">
        <v>118</v>
      </c>
      <c r="D2915" s="3" t="n">
        <v>11</v>
      </c>
      <c r="E2915" s="3" t="n">
        <v>11</v>
      </c>
      <c r="F2915" s="3" t="n">
        <v>2</v>
      </c>
      <c r="G2915" s="3" t="n">
        <v>0</v>
      </c>
      <c r="H2915" s="24" t="n">
        <v>-0.167918593</v>
      </c>
    </row>
    <row r="2916" customFormat="false" ht="15" hidden="false" customHeight="false" outlineLevel="0" collapsed="false">
      <c r="A2916" s="3" t="n">
        <v>2915</v>
      </c>
      <c r="B2916" s="3" t="n">
        <v>2914</v>
      </c>
      <c r="C2916" s="3" t="s">
        <v>118</v>
      </c>
      <c r="D2916" s="3" t="n">
        <v>11</v>
      </c>
      <c r="E2916" s="3" t="n">
        <v>11</v>
      </c>
      <c r="F2916" s="3" t="n">
        <v>2</v>
      </c>
      <c r="G2916" s="3" t="n">
        <v>1</v>
      </c>
      <c r="H2916" s="24" t="n">
        <v>-0.0534079857</v>
      </c>
    </row>
    <row r="2917" customFormat="false" ht="15" hidden="false" customHeight="false" outlineLevel="0" collapsed="false">
      <c r="A2917" s="3" t="n">
        <v>2916</v>
      </c>
      <c r="B2917" s="3" t="n">
        <v>2915</v>
      </c>
      <c r="C2917" s="3" t="s">
        <v>118</v>
      </c>
      <c r="D2917" s="3" t="n">
        <v>11</v>
      </c>
      <c r="E2917" s="3" t="n">
        <v>11</v>
      </c>
      <c r="F2917" s="3" t="n">
        <v>2</v>
      </c>
      <c r="G2917" s="3" t="n">
        <v>2</v>
      </c>
      <c r="H2917" s="24" t="n">
        <v>0.0536031574</v>
      </c>
    </row>
    <row r="2918" customFormat="false" ht="15" hidden="false" customHeight="false" outlineLevel="0" collapsed="false">
      <c r="A2918" s="3" t="n">
        <v>2917</v>
      </c>
      <c r="B2918" s="3" t="n">
        <v>2916</v>
      </c>
      <c r="C2918" s="3" t="s">
        <v>118</v>
      </c>
      <c r="D2918" s="3" t="n">
        <v>11</v>
      </c>
      <c r="E2918" s="3" t="n">
        <v>12</v>
      </c>
      <c r="F2918" s="3" t="n">
        <v>0</v>
      </c>
      <c r="G2918" s="3" t="n">
        <v>0</v>
      </c>
      <c r="H2918" s="24" t="n">
        <v>-0.213562608</v>
      </c>
    </row>
    <row r="2919" customFormat="false" ht="15" hidden="false" customHeight="false" outlineLevel="0" collapsed="false">
      <c r="A2919" s="3" t="n">
        <v>2918</v>
      </c>
      <c r="B2919" s="3" t="n">
        <v>2917</v>
      </c>
      <c r="C2919" s="3" t="s">
        <v>118</v>
      </c>
      <c r="D2919" s="3" t="n">
        <v>11</v>
      </c>
      <c r="E2919" s="3" t="n">
        <v>12</v>
      </c>
      <c r="F2919" s="3" t="n">
        <v>0</v>
      </c>
      <c r="G2919" s="3" t="n">
        <v>1</v>
      </c>
      <c r="H2919" s="24" t="n">
        <v>0.120538458</v>
      </c>
    </row>
    <row r="2920" customFormat="false" ht="15" hidden="false" customHeight="false" outlineLevel="0" collapsed="false">
      <c r="A2920" s="3" t="n">
        <v>2919</v>
      </c>
      <c r="B2920" s="3" t="n">
        <v>2918</v>
      </c>
      <c r="C2920" s="3" t="s">
        <v>118</v>
      </c>
      <c r="D2920" s="3" t="n">
        <v>11</v>
      </c>
      <c r="E2920" s="3" t="n">
        <v>12</v>
      </c>
      <c r="F2920" s="3" t="n">
        <v>0</v>
      </c>
      <c r="G2920" s="3" t="n">
        <v>2</v>
      </c>
      <c r="H2920" s="24" t="n">
        <v>0.0703456029</v>
      </c>
    </row>
    <row r="2921" customFormat="false" ht="15" hidden="false" customHeight="false" outlineLevel="0" collapsed="false">
      <c r="A2921" s="3" t="n">
        <v>2920</v>
      </c>
      <c r="B2921" s="3" t="n">
        <v>2919</v>
      </c>
      <c r="C2921" s="3" t="s">
        <v>118</v>
      </c>
      <c r="D2921" s="3" t="n">
        <v>11</v>
      </c>
      <c r="E2921" s="3" t="n">
        <v>12</v>
      </c>
      <c r="F2921" s="3" t="n">
        <v>1</v>
      </c>
      <c r="G2921" s="3" t="n">
        <v>0</v>
      </c>
      <c r="H2921" s="24" t="n">
        <v>0.248722836</v>
      </c>
    </row>
    <row r="2922" customFormat="false" ht="15" hidden="false" customHeight="false" outlineLevel="0" collapsed="false">
      <c r="A2922" s="3" t="n">
        <v>2921</v>
      </c>
      <c r="B2922" s="3" t="n">
        <v>2920</v>
      </c>
      <c r="C2922" s="3" t="s">
        <v>118</v>
      </c>
      <c r="D2922" s="3" t="n">
        <v>11</v>
      </c>
      <c r="E2922" s="3" t="n">
        <v>12</v>
      </c>
      <c r="F2922" s="3" t="n">
        <v>1</v>
      </c>
      <c r="G2922" s="3" t="n">
        <v>1</v>
      </c>
      <c r="H2922" s="24" t="n">
        <v>0.0593980439</v>
      </c>
    </row>
    <row r="2923" customFormat="false" ht="15" hidden="false" customHeight="false" outlineLevel="0" collapsed="false">
      <c r="A2923" s="3" t="n">
        <v>2922</v>
      </c>
      <c r="B2923" s="3" t="n">
        <v>2921</v>
      </c>
      <c r="C2923" s="3" t="s">
        <v>118</v>
      </c>
      <c r="D2923" s="3" t="n">
        <v>11</v>
      </c>
      <c r="E2923" s="3" t="n">
        <v>12</v>
      </c>
      <c r="F2923" s="3" t="n">
        <v>1</v>
      </c>
      <c r="G2923" s="3" t="n">
        <v>2</v>
      </c>
      <c r="H2923" s="24" t="n">
        <v>0.233417735</v>
      </c>
    </row>
    <row r="2924" customFormat="false" ht="15" hidden="false" customHeight="false" outlineLevel="0" collapsed="false">
      <c r="A2924" s="3" t="n">
        <v>2923</v>
      </c>
      <c r="B2924" s="3" t="n">
        <v>2922</v>
      </c>
      <c r="C2924" s="3" t="s">
        <v>118</v>
      </c>
      <c r="D2924" s="3" t="n">
        <v>11</v>
      </c>
      <c r="E2924" s="3" t="n">
        <v>12</v>
      </c>
      <c r="F2924" s="3" t="n">
        <v>2</v>
      </c>
      <c r="G2924" s="3" t="n">
        <v>0</v>
      </c>
      <c r="H2924" s="24" t="n">
        <v>-0.102966562</v>
      </c>
    </row>
    <row r="2925" customFormat="false" ht="15" hidden="false" customHeight="false" outlineLevel="0" collapsed="false">
      <c r="A2925" s="3" t="n">
        <v>2924</v>
      </c>
      <c r="B2925" s="3" t="n">
        <v>2923</v>
      </c>
      <c r="C2925" s="3" t="s">
        <v>118</v>
      </c>
      <c r="D2925" s="3" t="n">
        <v>11</v>
      </c>
      <c r="E2925" s="3" t="n">
        <v>12</v>
      </c>
      <c r="F2925" s="3" t="n">
        <v>2</v>
      </c>
      <c r="G2925" s="3" t="n">
        <v>1</v>
      </c>
      <c r="H2925" s="24" t="n">
        <v>0.0709260032</v>
      </c>
    </row>
    <row r="2926" customFormat="false" ht="15" hidden="false" customHeight="false" outlineLevel="0" collapsed="false">
      <c r="A2926" s="3" t="n">
        <v>2925</v>
      </c>
      <c r="B2926" s="3" t="n">
        <v>2924</v>
      </c>
      <c r="C2926" s="3" t="s">
        <v>118</v>
      </c>
      <c r="D2926" s="3" t="n">
        <v>11</v>
      </c>
      <c r="E2926" s="3" t="n">
        <v>12</v>
      </c>
      <c r="F2926" s="3" t="n">
        <v>2</v>
      </c>
      <c r="G2926" s="3" t="n">
        <v>2</v>
      </c>
      <c r="H2926" s="24" t="n">
        <v>-0.159708112</v>
      </c>
    </row>
    <row r="2927" customFormat="false" ht="15" hidden="false" customHeight="false" outlineLevel="0" collapsed="false">
      <c r="A2927" s="3" t="n">
        <v>2926</v>
      </c>
      <c r="B2927" s="3" t="n">
        <v>2925</v>
      </c>
      <c r="C2927" s="3" t="s">
        <v>118</v>
      </c>
      <c r="D2927" s="3" t="n">
        <v>11</v>
      </c>
      <c r="E2927" s="3" t="n">
        <v>13</v>
      </c>
      <c r="F2927" s="3" t="n">
        <v>0</v>
      </c>
      <c r="G2927" s="3" t="n">
        <v>0</v>
      </c>
      <c r="H2927" s="24" t="n">
        <v>0.161315426</v>
      </c>
    </row>
    <row r="2928" customFormat="false" ht="15" hidden="false" customHeight="false" outlineLevel="0" collapsed="false">
      <c r="A2928" s="3" t="n">
        <v>2927</v>
      </c>
      <c r="B2928" s="3" t="n">
        <v>2926</v>
      </c>
      <c r="C2928" s="3" t="s">
        <v>118</v>
      </c>
      <c r="D2928" s="3" t="n">
        <v>11</v>
      </c>
      <c r="E2928" s="3" t="n">
        <v>13</v>
      </c>
      <c r="F2928" s="3" t="n">
        <v>0</v>
      </c>
      <c r="G2928" s="3" t="n">
        <v>1</v>
      </c>
      <c r="H2928" s="24" t="n">
        <v>0.176021963</v>
      </c>
    </row>
    <row r="2929" customFormat="false" ht="15" hidden="false" customHeight="false" outlineLevel="0" collapsed="false">
      <c r="A2929" s="3" t="n">
        <v>2928</v>
      </c>
      <c r="B2929" s="3" t="n">
        <v>2927</v>
      </c>
      <c r="C2929" s="3" t="s">
        <v>118</v>
      </c>
      <c r="D2929" s="3" t="n">
        <v>11</v>
      </c>
      <c r="E2929" s="3" t="n">
        <v>13</v>
      </c>
      <c r="F2929" s="3" t="n">
        <v>0</v>
      </c>
      <c r="G2929" s="3" t="n">
        <v>2</v>
      </c>
      <c r="H2929" s="24" t="n">
        <v>0.0505076014</v>
      </c>
    </row>
    <row r="2930" customFormat="false" ht="15" hidden="false" customHeight="false" outlineLevel="0" collapsed="false">
      <c r="A2930" s="3" t="n">
        <v>2929</v>
      </c>
      <c r="B2930" s="3" t="n">
        <v>2928</v>
      </c>
      <c r="C2930" s="3" t="s">
        <v>118</v>
      </c>
      <c r="D2930" s="3" t="n">
        <v>11</v>
      </c>
      <c r="E2930" s="3" t="n">
        <v>13</v>
      </c>
      <c r="F2930" s="3" t="n">
        <v>1</v>
      </c>
      <c r="G2930" s="3" t="n">
        <v>0</v>
      </c>
      <c r="H2930" s="24" t="n">
        <v>0.179556563</v>
      </c>
    </row>
    <row r="2931" customFormat="false" ht="15" hidden="false" customHeight="false" outlineLevel="0" collapsed="false">
      <c r="A2931" s="3" t="n">
        <v>2930</v>
      </c>
      <c r="B2931" s="3" t="n">
        <v>2929</v>
      </c>
      <c r="C2931" s="3" t="s">
        <v>118</v>
      </c>
      <c r="D2931" s="3" t="n">
        <v>11</v>
      </c>
      <c r="E2931" s="3" t="n">
        <v>13</v>
      </c>
      <c r="F2931" s="3" t="n">
        <v>1</v>
      </c>
      <c r="G2931" s="3" t="n">
        <v>1</v>
      </c>
      <c r="H2931" s="24" t="n">
        <v>-0.112278745</v>
      </c>
    </row>
    <row r="2932" customFormat="false" ht="15" hidden="false" customHeight="false" outlineLevel="0" collapsed="false">
      <c r="A2932" s="3" t="n">
        <v>2931</v>
      </c>
      <c r="B2932" s="3" t="n">
        <v>2930</v>
      </c>
      <c r="C2932" s="3" t="s">
        <v>118</v>
      </c>
      <c r="D2932" s="3" t="n">
        <v>11</v>
      </c>
      <c r="E2932" s="3" t="n">
        <v>13</v>
      </c>
      <c r="F2932" s="3" t="n">
        <v>1</v>
      </c>
      <c r="G2932" s="3" t="n">
        <v>2</v>
      </c>
      <c r="H2932" s="24" t="n">
        <v>-0.0405127518</v>
      </c>
    </row>
    <row r="2933" customFormat="false" ht="15" hidden="false" customHeight="false" outlineLevel="0" collapsed="false">
      <c r="A2933" s="3" t="n">
        <v>2932</v>
      </c>
      <c r="B2933" s="3" t="n">
        <v>2931</v>
      </c>
      <c r="C2933" s="3" t="s">
        <v>118</v>
      </c>
      <c r="D2933" s="3" t="n">
        <v>11</v>
      </c>
      <c r="E2933" s="3" t="n">
        <v>13</v>
      </c>
      <c r="F2933" s="3" t="n">
        <v>2</v>
      </c>
      <c r="G2933" s="3" t="n">
        <v>0</v>
      </c>
      <c r="H2933" s="24" t="n">
        <v>-0.0669351667</v>
      </c>
    </row>
    <row r="2934" customFormat="false" ht="15" hidden="false" customHeight="false" outlineLevel="0" collapsed="false">
      <c r="A2934" s="3" t="n">
        <v>2933</v>
      </c>
      <c r="B2934" s="3" t="n">
        <v>2932</v>
      </c>
      <c r="C2934" s="3" t="s">
        <v>118</v>
      </c>
      <c r="D2934" s="3" t="n">
        <v>11</v>
      </c>
      <c r="E2934" s="3" t="n">
        <v>13</v>
      </c>
      <c r="F2934" s="3" t="n">
        <v>2</v>
      </c>
      <c r="G2934" s="3" t="n">
        <v>1</v>
      </c>
      <c r="H2934" s="24" t="n">
        <v>-0.282963067</v>
      </c>
    </row>
    <row r="2935" customFormat="false" ht="15" hidden="false" customHeight="false" outlineLevel="0" collapsed="false">
      <c r="A2935" s="3" t="n">
        <v>2934</v>
      </c>
      <c r="B2935" s="3" t="n">
        <v>2933</v>
      </c>
      <c r="C2935" s="3" t="s">
        <v>118</v>
      </c>
      <c r="D2935" s="3" t="n">
        <v>11</v>
      </c>
      <c r="E2935" s="3" t="n">
        <v>13</v>
      </c>
      <c r="F2935" s="3" t="n">
        <v>2</v>
      </c>
      <c r="G2935" s="3" t="n">
        <v>2</v>
      </c>
      <c r="H2935" s="24" t="n">
        <v>-0.104736388</v>
      </c>
    </row>
    <row r="2936" customFormat="false" ht="15" hidden="false" customHeight="false" outlineLevel="0" collapsed="false">
      <c r="A2936" s="3" t="n">
        <v>2935</v>
      </c>
      <c r="B2936" s="3" t="n">
        <v>2934</v>
      </c>
      <c r="C2936" s="3" t="s">
        <v>118</v>
      </c>
      <c r="D2936" s="3" t="n">
        <v>11</v>
      </c>
      <c r="E2936" s="3" t="n">
        <v>14</v>
      </c>
      <c r="F2936" s="3" t="n">
        <v>0</v>
      </c>
      <c r="G2936" s="3" t="n">
        <v>0</v>
      </c>
      <c r="H2936" s="24" t="n">
        <v>0.0460478514</v>
      </c>
    </row>
    <row r="2937" customFormat="false" ht="15" hidden="false" customHeight="false" outlineLevel="0" collapsed="false">
      <c r="A2937" s="3" t="n">
        <v>2936</v>
      </c>
      <c r="B2937" s="3" t="n">
        <v>2935</v>
      </c>
      <c r="C2937" s="3" t="s">
        <v>118</v>
      </c>
      <c r="D2937" s="3" t="n">
        <v>11</v>
      </c>
      <c r="E2937" s="3" t="n">
        <v>14</v>
      </c>
      <c r="F2937" s="3" t="n">
        <v>0</v>
      </c>
      <c r="G2937" s="3" t="n">
        <v>1</v>
      </c>
      <c r="H2937" s="24" t="n">
        <v>-0.0334919952</v>
      </c>
    </row>
    <row r="2938" customFormat="false" ht="15" hidden="false" customHeight="false" outlineLevel="0" collapsed="false">
      <c r="A2938" s="3" t="n">
        <v>2937</v>
      </c>
      <c r="B2938" s="3" t="n">
        <v>2936</v>
      </c>
      <c r="C2938" s="3" t="s">
        <v>118</v>
      </c>
      <c r="D2938" s="3" t="n">
        <v>11</v>
      </c>
      <c r="E2938" s="3" t="n">
        <v>14</v>
      </c>
      <c r="F2938" s="3" t="n">
        <v>0</v>
      </c>
      <c r="G2938" s="3" t="n">
        <v>2</v>
      </c>
      <c r="H2938" s="24" t="n">
        <v>0.0365946628</v>
      </c>
    </row>
    <row r="2939" customFormat="false" ht="15" hidden="false" customHeight="false" outlineLevel="0" collapsed="false">
      <c r="A2939" s="3" t="n">
        <v>2938</v>
      </c>
      <c r="B2939" s="3" t="n">
        <v>2937</v>
      </c>
      <c r="C2939" s="3" t="s">
        <v>118</v>
      </c>
      <c r="D2939" s="3" t="n">
        <v>11</v>
      </c>
      <c r="E2939" s="3" t="n">
        <v>14</v>
      </c>
      <c r="F2939" s="3" t="n">
        <v>1</v>
      </c>
      <c r="G2939" s="3" t="n">
        <v>0</v>
      </c>
      <c r="H2939" s="24" t="n">
        <v>-0.052091103</v>
      </c>
    </row>
    <row r="2940" customFormat="false" ht="15" hidden="false" customHeight="false" outlineLevel="0" collapsed="false">
      <c r="A2940" s="3" t="n">
        <v>2939</v>
      </c>
      <c r="B2940" s="3" t="n">
        <v>2938</v>
      </c>
      <c r="C2940" s="3" t="s">
        <v>118</v>
      </c>
      <c r="D2940" s="3" t="n">
        <v>11</v>
      </c>
      <c r="E2940" s="3" t="n">
        <v>14</v>
      </c>
      <c r="F2940" s="3" t="n">
        <v>1</v>
      </c>
      <c r="G2940" s="3" t="n">
        <v>1</v>
      </c>
      <c r="H2940" s="24" t="n">
        <v>0.138301834</v>
      </c>
    </row>
    <row r="2941" customFormat="false" ht="15" hidden="false" customHeight="false" outlineLevel="0" collapsed="false">
      <c r="A2941" s="3" t="n">
        <v>2940</v>
      </c>
      <c r="B2941" s="3" t="n">
        <v>2939</v>
      </c>
      <c r="C2941" s="3" t="s">
        <v>118</v>
      </c>
      <c r="D2941" s="3" t="n">
        <v>11</v>
      </c>
      <c r="E2941" s="3" t="n">
        <v>14</v>
      </c>
      <c r="F2941" s="3" t="n">
        <v>1</v>
      </c>
      <c r="G2941" s="3" t="n">
        <v>2</v>
      </c>
      <c r="H2941" s="24" t="n">
        <v>0.107028238</v>
      </c>
    </row>
    <row r="2942" customFormat="false" ht="15" hidden="false" customHeight="false" outlineLevel="0" collapsed="false">
      <c r="A2942" s="3" t="n">
        <v>2941</v>
      </c>
      <c r="B2942" s="3" t="n">
        <v>2940</v>
      </c>
      <c r="C2942" s="3" t="s">
        <v>118</v>
      </c>
      <c r="D2942" s="3" t="n">
        <v>11</v>
      </c>
      <c r="E2942" s="3" t="n">
        <v>14</v>
      </c>
      <c r="F2942" s="3" t="n">
        <v>2</v>
      </c>
      <c r="G2942" s="3" t="n">
        <v>0</v>
      </c>
      <c r="H2942" s="24" t="n">
        <v>-0.00180555671</v>
      </c>
    </row>
    <row r="2943" customFormat="false" ht="15" hidden="false" customHeight="false" outlineLevel="0" collapsed="false">
      <c r="A2943" s="3" t="n">
        <v>2942</v>
      </c>
      <c r="B2943" s="3" t="n">
        <v>2941</v>
      </c>
      <c r="C2943" s="3" t="s">
        <v>118</v>
      </c>
      <c r="D2943" s="3" t="n">
        <v>11</v>
      </c>
      <c r="E2943" s="3" t="n">
        <v>14</v>
      </c>
      <c r="F2943" s="3" t="n">
        <v>2</v>
      </c>
      <c r="G2943" s="3" t="n">
        <v>1</v>
      </c>
      <c r="H2943" s="24" t="n">
        <v>-0.0137292389</v>
      </c>
    </row>
    <row r="2944" customFormat="false" ht="15" hidden="false" customHeight="false" outlineLevel="0" collapsed="false">
      <c r="A2944" s="3" t="n">
        <v>2943</v>
      </c>
      <c r="B2944" s="3" t="n">
        <v>2942</v>
      </c>
      <c r="C2944" s="3" t="s">
        <v>118</v>
      </c>
      <c r="D2944" s="3" t="n">
        <v>11</v>
      </c>
      <c r="E2944" s="3" t="n">
        <v>14</v>
      </c>
      <c r="F2944" s="3" t="n">
        <v>2</v>
      </c>
      <c r="G2944" s="3" t="n">
        <v>2</v>
      </c>
      <c r="H2944" s="24" t="n">
        <v>-0.0930603594</v>
      </c>
    </row>
    <row r="2945" customFormat="false" ht="15" hidden="false" customHeight="false" outlineLevel="0" collapsed="false">
      <c r="A2945" s="3" t="n">
        <v>2944</v>
      </c>
      <c r="B2945" s="3" t="n">
        <v>2943</v>
      </c>
      <c r="C2945" s="3" t="s">
        <v>118</v>
      </c>
      <c r="D2945" s="3" t="n">
        <v>11</v>
      </c>
      <c r="E2945" s="3" t="n">
        <v>15</v>
      </c>
      <c r="F2945" s="3" t="n">
        <v>0</v>
      </c>
      <c r="G2945" s="3" t="n">
        <v>0</v>
      </c>
      <c r="H2945" s="24" t="n">
        <v>0.0829757079</v>
      </c>
    </row>
    <row r="2946" customFormat="false" ht="15" hidden="false" customHeight="false" outlineLevel="0" collapsed="false">
      <c r="A2946" s="3" t="n">
        <v>2945</v>
      </c>
      <c r="B2946" s="3" t="n">
        <v>2944</v>
      </c>
      <c r="C2946" s="3" t="s">
        <v>118</v>
      </c>
      <c r="D2946" s="3" t="n">
        <v>11</v>
      </c>
      <c r="E2946" s="3" t="n">
        <v>15</v>
      </c>
      <c r="F2946" s="3" t="n">
        <v>0</v>
      </c>
      <c r="G2946" s="3" t="n">
        <v>1</v>
      </c>
      <c r="H2946" s="24" t="n">
        <v>-0.128869399</v>
      </c>
    </row>
    <row r="2947" customFormat="false" ht="15" hidden="false" customHeight="false" outlineLevel="0" collapsed="false">
      <c r="A2947" s="3" t="n">
        <v>2946</v>
      </c>
      <c r="B2947" s="3" t="n">
        <v>2945</v>
      </c>
      <c r="C2947" s="3" t="s">
        <v>118</v>
      </c>
      <c r="D2947" s="3" t="n">
        <v>11</v>
      </c>
      <c r="E2947" s="3" t="n">
        <v>15</v>
      </c>
      <c r="F2947" s="3" t="n">
        <v>0</v>
      </c>
      <c r="G2947" s="3" t="n">
        <v>2</v>
      </c>
      <c r="H2947" s="24" t="n">
        <v>-0.177407369</v>
      </c>
    </row>
    <row r="2948" customFormat="false" ht="15" hidden="false" customHeight="false" outlineLevel="0" collapsed="false">
      <c r="A2948" s="3" t="n">
        <v>2947</v>
      </c>
      <c r="B2948" s="3" t="n">
        <v>2946</v>
      </c>
      <c r="C2948" s="3" t="s">
        <v>118</v>
      </c>
      <c r="D2948" s="3" t="n">
        <v>11</v>
      </c>
      <c r="E2948" s="3" t="n">
        <v>15</v>
      </c>
      <c r="F2948" s="3" t="n">
        <v>1</v>
      </c>
      <c r="G2948" s="3" t="n">
        <v>0</v>
      </c>
      <c r="H2948" s="24" t="n">
        <v>-0.0260988623</v>
      </c>
    </row>
    <row r="2949" customFormat="false" ht="15" hidden="false" customHeight="false" outlineLevel="0" collapsed="false">
      <c r="A2949" s="3" t="n">
        <v>2948</v>
      </c>
      <c r="B2949" s="3" t="n">
        <v>2947</v>
      </c>
      <c r="C2949" s="3" t="s">
        <v>118</v>
      </c>
      <c r="D2949" s="3" t="n">
        <v>11</v>
      </c>
      <c r="E2949" s="3" t="n">
        <v>15</v>
      </c>
      <c r="F2949" s="3" t="n">
        <v>1</v>
      </c>
      <c r="G2949" s="3" t="n">
        <v>1</v>
      </c>
      <c r="H2949" s="24" t="n">
        <v>-0.374545634</v>
      </c>
    </row>
    <row r="2950" customFormat="false" ht="15" hidden="false" customHeight="false" outlineLevel="0" collapsed="false">
      <c r="A2950" s="3" t="n">
        <v>2949</v>
      </c>
      <c r="B2950" s="3" t="n">
        <v>2948</v>
      </c>
      <c r="C2950" s="3" t="s">
        <v>118</v>
      </c>
      <c r="D2950" s="3" t="n">
        <v>11</v>
      </c>
      <c r="E2950" s="3" t="n">
        <v>15</v>
      </c>
      <c r="F2950" s="3" t="n">
        <v>1</v>
      </c>
      <c r="G2950" s="3" t="n">
        <v>2</v>
      </c>
      <c r="H2950" s="24" t="n">
        <v>-0.179535121</v>
      </c>
    </row>
    <row r="2951" customFormat="false" ht="15" hidden="false" customHeight="false" outlineLevel="0" collapsed="false">
      <c r="A2951" s="3" t="n">
        <v>2950</v>
      </c>
      <c r="B2951" s="3" t="n">
        <v>2949</v>
      </c>
      <c r="C2951" s="3" t="s">
        <v>118</v>
      </c>
      <c r="D2951" s="3" t="n">
        <v>11</v>
      </c>
      <c r="E2951" s="3" t="n">
        <v>15</v>
      </c>
      <c r="F2951" s="3" t="n">
        <v>2</v>
      </c>
      <c r="G2951" s="3" t="n">
        <v>0</v>
      </c>
      <c r="H2951" s="24" t="n">
        <v>0.220662817</v>
      </c>
    </row>
    <row r="2952" customFormat="false" ht="15" hidden="false" customHeight="false" outlineLevel="0" collapsed="false">
      <c r="A2952" s="3" t="n">
        <v>2951</v>
      </c>
      <c r="B2952" s="3" t="n">
        <v>2950</v>
      </c>
      <c r="C2952" s="3" t="s">
        <v>118</v>
      </c>
      <c r="D2952" s="3" t="n">
        <v>11</v>
      </c>
      <c r="E2952" s="3" t="n">
        <v>15</v>
      </c>
      <c r="F2952" s="3" t="n">
        <v>2</v>
      </c>
      <c r="G2952" s="3" t="n">
        <v>1</v>
      </c>
      <c r="H2952" s="24" t="n">
        <v>-0.00227666018</v>
      </c>
    </row>
    <row r="2953" customFormat="false" ht="15" hidden="false" customHeight="false" outlineLevel="0" collapsed="false">
      <c r="A2953" s="3" t="n">
        <v>2952</v>
      </c>
      <c r="B2953" s="3" t="n">
        <v>2951</v>
      </c>
      <c r="C2953" s="3" t="s">
        <v>118</v>
      </c>
      <c r="D2953" s="3" t="n">
        <v>11</v>
      </c>
      <c r="E2953" s="3" t="n">
        <v>15</v>
      </c>
      <c r="F2953" s="3" t="n">
        <v>2</v>
      </c>
      <c r="G2953" s="3" t="n">
        <v>2</v>
      </c>
      <c r="H2953" s="24" t="n">
        <v>0.0161899105</v>
      </c>
    </row>
    <row r="2954" customFormat="false" ht="15" hidden="false" customHeight="false" outlineLevel="0" collapsed="false">
      <c r="A2954" s="3" t="n">
        <v>2953</v>
      </c>
      <c r="B2954" s="3" t="n">
        <v>2952</v>
      </c>
      <c r="C2954" s="3" t="s">
        <v>118</v>
      </c>
      <c r="D2954" s="3" t="n">
        <v>12</v>
      </c>
      <c r="E2954" s="3" t="n">
        <v>0</v>
      </c>
      <c r="F2954" s="3" t="n">
        <v>0</v>
      </c>
      <c r="G2954" s="3" t="n">
        <v>0</v>
      </c>
      <c r="H2954" s="24" t="n">
        <v>-0.126497254</v>
      </c>
    </row>
    <row r="2955" customFormat="false" ht="15" hidden="false" customHeight="false" outlineLevel="0" collapsed="false">
      <c r="A2955" s="3" t="n">
        <v>2954</v>
      </c>
      <c r="B2955" s="3" t="n">
        <v>2953</v>
      </c>
      <c r="C2955" s="3" t="s">
        <v>118</v>
      </c>
      <c r="D2955" s="3" t="n">
        <v>12</v>
      </c>
      <c r="E2955" s="3" t="n">
        <v>0</v>
      </c>
      <c r="F2955" s="3" t="n">
        <v>0</v>
      </c>
      <c r="G2955" s="3" t="n">
        <v>1</v>
      </c>
      <c r="H2955" s="24" t="n">
        <v>-0.0920538753</v>
      </c>
    </row>
    <row r="2956" customFormat="false" ht="15" hidden="false" customHeight="false" outlineLevel="0" collapsed="false">
      <c r="A2956" s="3" t="n">
        <v>2955</v>
      </c>
      <c r="B2956" s="3" t="n">
        <v>2954</v>
      </c>
      <c r="C2956" s="3" t="s">
        <v>118</v>
      </c>
      <c r="D2956" s="3" t="n">
        <v>12</v>
      </c>
      <c r="E2956" s="3" t="n">
        <v>0</v>
      </c>
      <c r="F2956" s="3" t="n">
        <v>0</v>
      </c>
      <c r="G2956" s="3" t="n">
        <v>2</v>
      </c>
      <c r="H2956" s="24" t="n">
        <v>-0.464923561</v>
      </c>
    </row>
    <row r="2957" customFormat="false" ht="15" hidden="false" customHeight="false" outlineLevel="0" collapsed="false">
      <c r="A2957" s="3" t="n">
        <v>2956</v>
      </c>
      <c r="B2957" s="3" t="n">
        <v>2955</v>
      </c>
      <c r="C2957" s="3" t="s">
        <v>118</v>
      </c>
      <c r="D2957" s="3" t="n">
        <v>12</v>
      </c>
      <c r="E2957" s="3" t="n">
        <v>0</v>
      </c>
      <c r="F2957" s="3" t="n">
        <v>1</v>
      </c>
      <c r="G2957" s="3" t="n">
        <v>0</v>
      </c>
      <c r="H2957" s="24" t="n">
        <v>0.08519122</v>
      </c>
    </row>
    <row r="2958" customFormat="false" ht="15" hidden="false" customHeight="false" outlineLevel="0" collapsed="false">
      <c r="A2958" s="3" t="n">
        <v>2957</v>
      </c>
      <c r="B2958" s="3" t="n">
        <v>2956</v>
      </c>
      <c r="C2958" s="3" t="s">
        <v>118</v>
      </c>
      <c r="D2958" s="3" t="n">
        <v>12</v>
      </c>
      <c r="E2958" s="3" t="n">
        <v>0</v>
      </c>
      <c r="F2958" s="3" t="n">
        <v>1</v>
      </c>
      <c r="G2958" s="3" t="n">
        <v>1</v>
      </c>
      <c r="H2958" s="24" t="n">
        <v>-0.208510906</v>
      </c>
    </row>
    <row r="2959" customFormat="false" ht="15" hidden="false" customHeight="false" outlineLevel="0" collapsed="false">
      <c r="A2959" s="3" t="n">
        <v>2958</v>
      </c>
      <c r="B2959" s="3" t="n">
        <v>2957</v>
      </c>
      <c r="C2959" s="3" t="s">
        <v>118</v>
      </c>
      <c r="D2959" s="3" t="n">
        <v>12</v>
      </c>
      <c r="E2959" s="3" t="n">
        <v>0</v>
      </c>
      <c r="F2959" s="3" t="n">
        <v>1</v>
      </c>
      <c r="G2959" s="3" t="n">
        <v>2</v>
      </c>
      <c r="H2959" s="24" t="n">
        <v>0.134424597</v>
      </c>
    </row>
    <row r="2960" customFormat="false" ht="15" hidden="false" customHeight="false" outlineLevel="0" collapsed="false">
      <c r="A2960" s="3" t="n">
        <v>2959</v>
      </c>
      <c r="B2960" s="3" t="n">
        <v>2958</v>
      </c>
      <c r="C2960" s="3" t="s">
        <v>118</v>
      </c>
      <c r="D2960" s="3" t="n">
        <v>12</v>
      </c>
      <c r="E2960" s="3" t="n">
        <v>0</v>
      </c>
      <c r="F2960" s="3" t="n">
        <v>2</v>
      </c>
      <c r="G2960" s="3" t="n">
        <v>0</v>
      </c>
      <c r="H2960" s="24" t="n">
        <v>0.146770746</v>
      </c>
    </row>
    <row r="2961" customFormat="false" ht="15" hidden="false" customHeight="false" outlineLevel="0" collapsed="false">
      <c r="A2961" s="3" t="n">
        <v>2960</v>
      </c>
      <c r="B2961" s="3" t="n">
        <v>2959</v>
      </c>
      <c r="C2961" s="3" t="s">
        <v>118</v>
      </c>
      <c r="D2961" s="3" t="n">
        <v>12</v>
      </c>
      <c r="E2961" s="3" t="n">
        <v>0</v>
      </c>
      <c r="F2961" s="3" t="n">
        <v>2</v>
      </c>
      <c r="G2961" s="3" t="n">
        <v>1</v>
      </c>
      <c r="H2961" s="24" t="n">
        <v>-0.00794020388</v>
      </c>
    </row>
    <row r="2962" customFormat="false" ht="15" hidden="false" customHeight="false" outlineLevel="0" collapsed="false">
      <c r="A2962" s="3" t="n">
        <v>2961</v>
      </c>
      <c r="B2962" s="3" t="n">
        <v>2960</v>
      </c>
      <c r="C2962" s="3" t="s">
        <v>118</v>
      </c>
      <c r="D2962" s="3" t="n">
        <v>12</v>
      </c>
      <c r="E2962" s="3" t="n">
        <v>0</v>
      </c>
      <c r="F2962" s="3" t="n">
        <v>2</v>
      </c>
      <c r="G2962" s="3" t="n">
        <v>2</v>
      </c>
      <c r="H2962" s="24" t="n">
        <v>0.0118745379</v>
      </c>
    </row>
    <row r="2963" customFormat="false" ht="15" hidden="false" customHeight="false" outlineLevel="0" collapsed="false">
      <c r="A2963" s="3" t="n">
        <v>2962</v>
      </c>
      <c r="B2963" s="3" t="n">
        <v>2961</v>
      </c>
      <c r="C2963" s="3" t="s">
        <v>118</v>
      </c>
      <c r="D2963" s="3" t="n">
        <v>12</v>
      </c>
      <c r="E2963" s="3" t="n">
        <v>1</v>
      </c>
      <c r="F2963" s="3" t="n">
        <v>0</v>
      </c>
      <c r="G2963" s="3" t="n">
        <v>0</v>
      </c>
      <c r="H2963" s="24" t="n">
        <v>0.137279719</v>
      </c>
    </row>
    <row r="2964" customFormat="false" ht="15" hidden="false" customHeight="false" outlineLevel="0" collapsed="false">
      <c r="A2964" s="3" t="n">
        <v>2963</v>
      </c>
      <c r="B2964" s="3" t="n">
        <v>2962</v>
      </c>
      <c r="C2964" s="3" t="s">
        <v>118</v>
      </c>
      <c r="D2964" s="3" t="n">
        <v>12</v>
      </c>
      <c r="E2964" s="3" t="n">
        <v>1</v>
      </c>
      <c r="F2964" s="3" t="n">
        <v>0</v>
      </c>
      <c r="G2964" s="3" t="n">
        <v>1</v>
      </c>
      <c r="H2964" s="24" t="n">
        <v>0.09079808</v>
      </c>
    </row>
    <row r="2965" customFormat="false" ht="15" hidden="false" customHeight="false" outlineLevel="0" collapsed="false">
      <c r="A2965" s="3" t="n">
        <v>2964</v>
      </c>
      <c r="B2965" s="3" t="n">
        <v>2963</v>
      </c>
      <c r="C2965" s="3" t="s">
        <v>118</v>
      </c>
      <c r="D2965" s="3" t="n">
        <v>12</v>
      </c>
      <c r="E2965" s="3" t="n">
        <v>1</v>
      </c>
      <c r="F2965" s="3" t="n">
        <v>0</v>
      </c>
      <c r="G2965" s="3" t="n">
        <v>2</v>
      </c>
      <c r="H2965" s="24" t="n">
        <v>0.285826802</v>
      </c>
    </row>
    <row r="2966" customFormat="false" ht="15" hidden="false" customHeight="false" outlineLevel="0" collapsed="false">
      <c r="A2966" s="3" t="n">
        <v>2965</v>
      </c>
      <c r="B2966" s="3" t="n">
        <v>2964</v>
      </c>
      <c r="C2966" s="3" t="s">
        <v>118</v>
      </c>
      <c r="D2966" s="3" t="n">
        <v>12</v>
      </c>
      <c r="E2966" s="3" t="n">
        <v>1</v>
      </c>
      <c r="F2966" s="3" t="n">
        <v>1</v>
      </c>
      <c r="G2966" s="3" t="n">
        <v>0</v>
      </c>
      <c r="H2966" s="24" t="n">
        <v>0.191788778</v>
      </c>
    </row>
    <row r="2967" customFormat="false" ht="15" hidden="false" customHeight="false" outlineLevel="0" collapsed="false">
      <c r="A2967" s="3" t="n">
        <v>2966</v>
      </c>
      <c r="B2967" s="3" t="n">
        <v>2965</v>
      </c>
      <c r="C2967" s="3" t="s">
        <v>118</v>
      </c>
      <c r="D2967" s="3" t="n">
        <v>12</v>
      </c>
      <c r="E2967" s="3" t="n">
        <v>1</v>
      </c>
      <c r="F2967" s="3" t="n">
        <v>1</v>
      </c>
      <c r="G2967" s="3" t="n">
        <v>1</v>
      </c>
      <c r="H2967" s="24" t="n">
        <v>0.0716984719</v>
      </c>
    </row>
    <row r="2968" customFormat="false" ht="15" hidden="false" customHeight="false" outlineLevel="0" collapsed="false">
      <c r="A2968" s="3" t="n">
        <v>2967</v>
      </c>
      <c r="B2968" s="3" t="n">
        <v>2966</v>
      </c>
      <c r="C2968" s="3" t="s">
        <v>118</v>
      </c>
      <c r="D2968" s="3" t="n">
        <v>12</v>
      </c>
      <c r="E2968" s="3" t="n">
        <v>1</v>
      </c>
      <c r="F2968" s="3" t="n">
        <v>1</v>
      </c>
      <c r="G2968" s="3" t="n">
        <v>2</v>
      </c>
      <c r="H2968" s="24" t="n">
        <v>-0.0642312318</v>
      </c>
    </row>
    <row r="2969" customFormat="false" ht="15" hidden="false" customHeight="false" outlineLevel="0" collapsed="false">
      <c r="A2969" s="3" t="n">
        <v>2968</v>
      </c>
      <c r="B2969" s="3" t="n">
        <v>2967</v>
      </c>
      <c r="C2969" s="3" t="s">
        <v>118</v>
      </c>
      <c r="D2969" s="3" t="n">
        <v>12</v>
      </c>
      <c r="E2969" s="3" t="n">
        <v>1</v>
      </c>
      <c r="F2969" s="3" t="n">
        <v>2</v>
      </c>
      <c r="G2969" s="3" t="n">
        <v>0</v>
      </c>
      <c r="H2969" s="24" t="n">
        <v>0.00789910462</v>
      </c>
    </row>
    <row r="2970" customFormat="false" ht="15" hidden="false" customHeight="false" outlineLevel="0" collapsed="false">
      <c r="A2970" s="3" t="n">
        <v>2969</v>
      </c>
      <c r="B2970" s="3" t="n">
        <v>2968</v>
      </c>
      <c r="C2970" s="3" t="s">
        <v>118</v>
      </c>
      <c r="D2970" s="3" t="n">
        <v>12</v>
      </c>
      <c r="E2970" s="3" t="n">
        <v>1</v>
      </c>
      <c r="F2970" s="3" t="n">
        <v>2</v>
      </c>
      <c r="G2970" s="3" t="n">
        <v>1</v>
      </c>
      <c r="H2970" s="24" t="n">
        <v>-0.0497409888</v>
      </c>
    </row>
    <row r="2971" customFormat="false" ht="15" hidden="false" customHeight="false" outlineLevel="0" collapsed="false">
      <c r="A2971" s="3" t="n">
        <v>2970</v>
      </c>
      <c r="B2971" s="3" t="n">
        <v>2969</v>
      </c>
      <c r="C2971" s="3" t="s">
        <v>118</v>
      </c>
      <c r="D2971" s="3" t="n">
        <v>12</v>
      </c>
      <c r="E2971" s="3" t="n">
        <v>1</v>
      </c>
      <c r="F2971" s="3" t="n">
        <v>2</v>
      </c>
      <c r="G2971" s="3" t="n">
        <v>2</v>
      </c>
      <c r="H2971" s="24" t="n">
        <v>-0.512152791</v>
      </c>
    </row>
    <row r="2972" customFormat="false" ht="15" hidden="false" customHeight="false" outlineLevel="0" collapsed="false">
      <c r="A2972" s="3" t="n">
        <v>2971</v>
      </c>
      <c r="B2972" s="3" t="n">
        <v>2970</v>
      </c>
      <c r="C2972" s="3" t="s">
        <v>118</v>
      </c>
      <c r="D2972" s="3" t="n">
        <v>12</v>
      </c>
      <c r="E2972" s="3" t="n">
        <v>2</v>
      </c>
      <c r="F2972" s="3" t="n">
        <v>0</v>
      </c>
      <c r="G2972" s="3" t="n">
        <v>0</v>
      </c>
      <c r="H2972" s="24" t="n">
        <v>-0.334363014</v>
      </c>
    </row>
    <row r="2973" customFormat="false" ht="15" hidden="false" customHeight="false" outlineLevel="0" collapsed="false">
      <c r="A2973" s="3" t="n">
        <v>2972</v>
      </c>
      <c r="B2973" s="3" t="n">
        <v>2971</v>
      </c>
      <c r="C2973" s="3" t="s">
        <v>118</v>
      </c>
      <c r="D2973" s="3" t="n">
        <v>12</v>
      </c>
      <c r="E2973" s="3" t="n">
        <v>2</v>
      </c>
      <c r="F2973" s="3" t="n">
        <v>0</v>
      </c>
      <c r="G2973" s="3" t="n">
        <v>1</v>
      </c>
      <c r="H2973" s="24" t="n">
        <v>-0.213868409</v>
      </c>
    </row>
    <row r="2974" customFormat="false" ht="15" hidden="false" customHeight="false" outlineLevel="0" collapsed="false">
      <c r="A2974" s="3" t="n">
        <v>2973</v>
      </c>
      <c r="B2974" s="3" t="n">
        <v>2972</v>
      </c>
      <c r="C2974" s="3" t="s">
        <v>118</v>
      </c>
      <c r="D2974" s="3" t="n">
        <v>12</v>
      </c>
      <c r="E2974" s="3" t="n">
        <v>2</v>
      </c>
      <c r="F2974" s="3" t="n">
        <v>0</v>
      </c>
      <c r="G2974" s="3" t="n">
        <v>2</v>
      </c>
      <c r="H2974" s="24" t="n">
        <v>-0.25865978</v>
      </c>
    </row>
    <row r="2975" customFormat="false" ht="15" hidden="false" customHeight="false" outlineLevel="0" collapsed="false">
      <c r="A2975" s="3" t="n">
        <v>2974</v>
      </c>
      <c r="B2975" s="3" t="n">
        <v>2973</v>
      </c>
      <c r="C2975" s="3" t="s">
        <v>118</v>
      </c>
      <c r="D2975" s="3" t="n">
        <v>12</v>
      </c>
      <c r="E2975" s="3" t="n">
        <v>2</v>
      </c>
      <c r="F2975" s="3" t="n">
        <v>1</v>
      </c>
      <c r="G2975" s="3" t="n">
        <v>0</v>
      </c>
      <c r="H2975" s="24" t="n">
        <v>0.130817294</v>
      </c>
    </row>
    <row r="2976" customFormat="false" ht="15" hidden="false" customHeight="false" outlineLevel="0" collapsed="false">
      <c r="A2976" s="3" t="n">
        <v>2975</v>
      </c>
      <c r="B2976" s="3" t="n">
        <v>2974</v>
      </c>
      <c r="C2976" s="3" t="s">
        <v>118</v>
      </c>
      <c r="D2976" s="3" t="n">
        <v>12</v>
      </c>
      <c r="E2976" s="3" t="n">
        <v>2</v>
      </c>
      <c r="F2976" s="3" t="n">
        <v>1</v>
      </c>
      <c r="G2976" s="3" t="n">
        <v>1</v>
      </c>
      <c r="H2976" s="24" t="n">
        <v>0.217832923</v>
      </c>
    </row>
    <row r="2977" customFormat="false" ht="15" hidden="false" customHeight="false" outlineLevel="0" collapsed="false">
      <c r="A2977" s="3" t="n">
        <v>2976</v>
      </c>
      <c r="B2977" s="3" t="n">
        <v>2975</v>
      </c>
      <c r="C2977" s="3" t="s">
        <v>118</v>
      </c>
      <c r="D2977" s="3" t="n">
        <v>12</v>
      </c>
      <c r="E2977" s="3" t="n">
        <v>2</v>
      </c>
      <c r="F2977" s="3" t="n">
        <v>1</v>
      </c>
      <c r="G2977" s="3" t="n">
        <v>2</v>
      </c>
      <c r="H2977" s="24" t="n">
        <v>0.223276228</v>
      </c>
    </row>
    <row r="2978" customFormat="false" ht="15" hidden="false" customHeight="false" outlineLevel="0" collapsed="false">
      <c r="A2978" s="3" t="n">
        <v>2977</v>
      </c>
      <c r="B2978" s="3" t="n">
        <v>2976</v>
      </c>
      <c r="C2978" s="3" t="s">
        <v>118</v>
      </c>
      <c r="D2978" s="3" t="n">
        <v>12</v>
      </c>
      <c r="E2978" s="3" t="n">
        <v>2</v>
      </c>
      <c r="F2978" s="3" t="n">
        <v>2</v>
      </c>
      <c r="G2978" s="3" t="n">
        <v>0</v>
      </c>
      <c r="H2978" s="24" t="n">
        <v>0.158139408</v>
      </c>
    </row>
    <row r="2979" customFormat="false" ht="15" hidden="false" customHeight="false" outlineLevel="0" collapsed="false">
      <c r="A2979" s="3" t="n">
        <v>2978</v>
      </c>
      <c r="B2979" s="3" t="n">
        <v>2977</v>
      </c>
      <c r="C2979" s="3" t="s">
        <v>118</v>
      </c>
      <c r="D2979" s="3" t="n">
        <v>12</v>
      </c>
      <c r="E2979" s="3" t="n">
        <v>2</v>
      </c>
      <c r="F2979" s="3" t="n">
        <v>2</v>
      </c>
      <c r="G2979" s="3" t="n">
        <v>1</v>
      </c>
      <c r="H2979" s="24" t="n">
        <v>0.0821069553</v>
      </c>
    </row>
    <row r="2980" customFormat="false" ht="15" hidden="false" customHeight="false" outlineLevel="0" collapsed="false">
      <c r="A2980" s="3" t="n">
        <v>2979</v>
      </c>
      <c r="B2980" s="3" t="n">
        <v>2978</v>
      </c>
      <c r="C2980" s="3" t="s">
        <v>118</v>
      </c>
      <c r="D2980" s="3" t="n">
        <v>12</v>
      </c>
      <c r="E2980" s="3" t="n">
        <v>2</v>
      </c>
      <c r="F2980" s="3" t="n">
        <v>2</v>
      </c>
      <c r="G2980" s="3" t="n">
        <v>2</v>
      </c>
      <c r="H2980" s="24" t="n">
        <v>0.157162666</v>
      </c>
    </row>
    <row r="2981" customFormat="false" ht="15" hidden="false" customHeight="false" outlineLevel="0" collapsed="false">
      <c r="A2981" s="3" t="n">
        <v>2980</v>
      </c>
      <c r="B2981" s="3" t="n">
        <v>2979</v>
      </c>
      <c r="C2981" s="3" t="s">
        <v>118</v>
      </c>
      <c r="D2981" s="3" t="n">
        <v>12</v>
      </c>
      <c r="E2981" s="3" t="n">
        <v>3</v>
      </c>
      <c r="F2981" s="3" t="n">
        <v>0</v>
      </c>
      <c r="G2981" s="3" t="n">
        <v>0</v>
      </c>
      <c r="H2981" s="24" t="n">
        <v>-0.255582958</v>
      </c>
    </row>
    <row r="2982" customFormat="false" ht="15" hidden="false" customHeight="false" outlineLevel="0" collapsed="false">
      <c r="A2982" s="3" t="n">
        <v>2981</v>
      </c>
      <c r="B2982" s="3" t="n">
        <v>2980</v>
      </c>
      <c r="C2982" s="3" t="s">
        <v>118</v>
      </c>
      <c r="D2982" s="3" t="n">
        <v>12</v>
      </c>
      <c r="E2982" s="3" t="n">
        <v>3</v>
      </c>
      <c r="F2982" s="3" t="n">
        <v>0</v>
      </c>
      <c r="G2982" s="3" t="n">
        <v>1</v>
      </c>
      <c r="H2982" s="24" t="n">
        <v>-0.299924195</v>
      </c>
    </row>
    <row r="2983" customFormat="false" ht="15" hidden="false" customHeight="false" outlineLevel="0" collapsed="false">
      <c r="A2983" s="3" t="n">
        <v>2982</v>
      </c>
      <c r="B2983" s="3" t="n">
        <v>2981</v>
      </c>
      <c r="C2983" s="3" t="s">
        <v>118</v>
      </c>
      <c r="D2983" s="3" t="n">
        <v>12</v>
      </c>
      <c r="E2983" s="3" t="n">
        <v>3</v>
      </c>
      <c r="F2983" s="3" t="n">
        <v>0</v>
      </c>
      <c r="G2983" s="3" t="n">
        <v>2</v>
      </c>
      <c r="H2983" s="24" t="n">
        <v>-0.116010867</v>
      </c>
    </row>
    <row r="2984" customFormat="false" ht="15" hidden="false" customHeight="false" outlineLevel="0" collapsed="false">
      <c r="A2984" s="3" t="n">
        <v>2983</v>
      </c>
      <c r="B2984" s="3" t="n">
        <v>2982</v>
      </c>
      <c r="C2984" s="3" t="s">
        <v>118</v>
      </c>
      <c r="D2984" s="3" t="n">
        <v>12</v>
      </c>
      <c r="E2984" s="3" t="n">
        <v>3</v>
      </c>
      <c r="F2984" s="3" t="n">
        <v>1</v>
      </c>
      <c r="G2984" s="3" t="n">
        <v>0</v>
      </c>
      <c r="H2984" s="24" t="n">
        <v>0.00840805192</v>
      </c>
    </row>
    <row r="2985" customFormat="false" ht="15" hidden="false" customHeight="false" outlineLevel="0" collapsed="false">
      <c r="A2985" s="3" t="n">
        <v>2984</v>
      </c>
      <c r="B2985" s="3" t="n">
        <v>2983</v>
      </c>
      <c r="C2985" s="3" t="s">
        <v>118</v>
      </c>
      <c r="D2985" s="3" t="n">
        <v>12</v>
      </c>
      <c r="E2985" s="3" t="n">
        <v>3</v>
      </c>
      <c r="F2985" s="3" t="n">
        <v>1</v>
      </c>
      <c r="G2985" s="3" t="n">
        <v>1</v>
      </c>
      <c r="H2985" s="24" t="n">
        <v>0.168881118</v>
      </c>
    </row>
    <row r="2986" customFormat="false" ht="15" hidden="false" customHeight="false" outlineLevel="0" collapsed="false">
      <c r="A2986" s="3" t="n">
        <v>2985</v>
      </c>
      <c r="B2986" s="3" t="n">
        <v>2984</v>
      </c>
      <c r="C2986" s="3" t="s">
        <v>118</v>
      </c>
      <c r="D2986" s="3" t="n">
        <v>12</v>
      </c>
      <c r="E2986" s="3" t="n">
        <v>3</v>
      </c>
      <c r="F2986" s="3" t="n">
        <v>1</v>
      </c>
      <c r="G2986" s="3" t="n">
        <v>2</v>
      </c>
      <c r="H2986" s="24" t="n">
        <v>0.114419922</v>
      </c>
    </row>
    <row r="2987" customFormat="false" ht="15" hidden="false" customHeight="false" outlineLevel="0" collapsed="false">
      <c r="A2987" s="3" t="n">
        <v>2986</v>
      </c>
      <c r="B2987" s="3" t="n">
        <v>2985</v>
      </c>
      <c r="C2987" s="3" t="s">
        <v>118</v>
      </c>
      <c r="D2987" s="3" t="n">
        <v>12</v>
      </c>
      <c r="E2987" s="3" t="n">
        <v>3</v>
      </c>
      <c r="F2987" s="3" t="n">
        <v>2</v>
      </c>
      <c r="G2987" s="3" t="n">
        <v>0</v>
      </c>
      <c r="H2987" s="24" t="n">
        <v>-0.0594508424</v>
      </c>
    </row>
    <row r="2988" customFormat="false" ht="15" hidden="false" customHeight="false" outlineLevel="0" collapsed="false">
      <c r="A2988" s="3" t="n">
        <v>2987</v>
      </c>
      <c r="B2988" s="3" t="n">
        <v>2986</v>
      </c>
      <c r="C2988" s="3" t="s">
        <v>118</v>
      </c>
      <c r="D2988" s="3" t="n">
        <v>12</v>
      </c>
      <c r="E2988" s="3" t="n">
        <v>3</v>
      </c>
      <c r="F2988" s="3" t="n">
        <v>2</v>
      </c>
      <c r="G2988" s="3" t="n">
        <v>1</v>
      </c>
      <c r="H2988" s="24" t="n">
        <v>-0.220647484</v>
      </c>
    </row>
    <row r="2989" customFormat="false" ht="15" hidden="false" customHeight="false" outlineLevel="0" collapsed="false">
      <c r="A2989" s="3" t="n">
        <v>2988</v>
      </c>
      <c r="B2989" s="3" t="n">
        <v>2987</v>
      </c>
      <c r="C2989" s="3" t="s">
        <v>118</v>
      </c>
      <c r="D2989" s="3" t="n">
        <v>12</v>
      </c>
      <c r="E2989" s="3" t="n">
        <v>3</v>
      </c>
      <c r="F2989" s="3" t="n">
        <v>2</v>
      </c>
      <c r="G2989" s="3" t="n">
        <v>2</v>
      </c>
      <c r="H2989" s="24" t="n">
        <v>0.22761789</v>
      </c>
    </row>
    <row r="2990" customFormat="false" ht="15" hidden="false" customHeight="false" outlineLevel="0" collapsed="false">
      <c r="A2990" s="3" t="n">
        <v>2989</v>
      </c>
      <c r="B2990" s="3" t="n">
        <v>2988</v>
      </c>
      <c r="C2990" s="3" t="s">
        <v>118</v>
      </c>
      <c r="D2990" s="3" t="n">
        <v>12</v>
      </c>
      <c r="E2990" s="3" t="n">
        <v>4</v>
      </c>
      <c r="F2990" s="3" t="n">
        <v>0</v>
      </c>
      <c r="G2990" s="3" t="n">
        <v>0</v>
      </c>
      <c r="H2990" s="24" t="n">
        <v>0.0572878942</v>
      </c>
    </row>
    <row r="2991" customFormat="false" ht="15" hidden="false" customHeight="false" outlineLevel="0" collapsed="false">
      <c r="A2991" s="3" t="n">
        <v>2990</v>
      </c>
      <c r="B2991" s="3" t="n">
        <v>2989</v>
      </c>
      <c r="C2991" s="3" t="s">
        <v>118</v>
      </c>
      <c r="D2991" s="3" t="n">
        <v>12</v>
      </c>
      <c r="E2991" s="3" t="n">
        <v>4</v>
      </c>
      <c r="F2991" s="3" t="n">
        <v>0</v>
      </c>
      <c r="G2991" s="3" t="n">
        <v>1</v>
      </c>
      <c r="H2991" s="24" t="n">
        <v>-0.0311433431</v>
      </c>
    </row>
    <row r="2992" customFormat="false" ht="15" hidden="false" customHeight="false" outlineLevel="0" collapsed="false">
      <c r="A2992" s="3" t="n">
        <v>2991</v>
      </c>
      <c r="B2992" s="3" t="n">
        <v>2990</v>
      </c>
      <c r="C2992" s="3" t="s">
        <v>118</v>
      </c>
      <c r="D2992" s="3" t="n">
        <v>12</v>
      </c>
      <c r="E2992" s="3" t="n">
        <v>4</v>
      </c>
      <c r="F2992" s="3" t="n">
        <v>0</v>
      </c>
      <c r="G2992" s="3" t="n">
        <v>2</v>
      </c>
      <c r="H2992" s="24" t="n">
        <v>0.0661947578</v>
      </c>
    </row>
    <row r="2993" customFormat="false" ht="15" hidden="false" customHeight="false" outlineLevel="0" collapsed="false">
      <c r="A2993" s="3" t="n">
        <v>2992</v>
      </c>
      <c r="B2993" s="3" t="n">
        <v>2991</v>
      </c>
      <c r="C2993" s="3" t="s">
        <v>118</v>
      </c>
      <c r="D2993" s="3" t="n">
        <v>12</v>
      </c>
      <c r="E2993" s="3" t="n">
        <v>4</v>
      </c>
      <c r="F2993" s="3" t="n">
        <v>1</v>
      </c>
      <c r="G2993" s="3" t="n">
        <v>0</v>
      </c>
      <c r="H2993" s="24" t="n">
        <v>0.00570383342</v>
      </c>
    </row>
    <row r="2994" customFormat="false" ht="15" hidden="false" customHeight="false" outlineLevel="0" collapsed="false">
      <c r="A2994" s="3" t="n">
        <v>2993</v>
      </c>
      <c r="B2994" s="3" t="n">
        <v>2992</v>
      </c>
      <c r="C2994" s="3" t="s">
        <v>118</v>
      </c>
      <c r="D2994" s="3" t="n">
        <v>12</v>
      </c>
      <c r="E2994" s="3" t="n">
        <v>4</v>
      </c>
      <c r="F2994" s="3" t="n">
        <v>1</v>
      </c>
      <c r="G2994" s="3" t="n">
        <v>1</v>
      </c>
      <c r="H2994" s="24" t="n">
        <v>0.211954549</v>
      </c>
    </row>
    <row r="2995" customFormat="false" ht="15" hidden="false" customHeight="false" outlineLevel="0" collapsed="false">
      <c r="A2995" s="3" t="n">
        <v>2994</v>
      </c>
      <c r="B2995" s="3" t="n">
        <v>2993</v>
      </c>
      <c r="C2995" s="3" t="s">
        <v>118</v>
      </c>
      <c r="D2995" s="3" t="n">
        <v>12</v>
      </c>
      <c r="E2995" s="3" t="n">
        <v>4</v>
      </c>
      <c r="F2995" s="3" t="n">
        <v>1</v>
      </c>
      <c r="G2995" s="3" t="n">
        <v>2</v>
      </c>
      <c r="H2995" s="24" t="n">
        <v>0.174582273</v>
      </c>
    </row>
    <row r="2996" customFormat="false" ht="15" hidden="false" customHeight="false" outlineLevel="0" collapsed="false">
      <c r="A2996" s="3" t="n">
        <v>2995</v>
      </c>
      <c r="B2996" s="3" t="n">
        <v>2994</v>
      </c>
      <c r="C2996" s="3" t="s">
        <v>118</v>
      </c>
      <c r="D2996" s="3" t="n">
        <v>12</v>
      </c>
      <c r="E2996" s="3" t="n">
        <v>4</v>
      </c>
      <c r="F2996" s="3" t="n">
        <v>2</v>
      </c>
      <c r="G2996" s="3" t="n">
        <v>0</v>
      </c>
      <c r="H2996" s="24" t="n">
        <v>0.335387379</v>
      </c>
    </row>
    <row r="2997" customFormat="false" ht="15" hidden="false" customHeight="false" outlineLevel="0" collapsed="false">
      <c r="A2997" s="3" t="n">
        <v>2996</v>
      </c>
      <c r="B2997" s="3" t="n">
        <v>2995</v>
      </c>
      <c r="C2997" s="3" t="s">
        <v>118</v>
      </c>
      <c r="D2997" s="3" t="n">
        <v>12</v>
      </c>
      <c r="E2997" s="3" t="n">
        <v>4</v>
      </c>
      <c r="F2997" s="3" t="n">
        <v>2</v>
      </c>
      <c r="G2997" s="3" t="n">
        <v>1</v>
      </c>
      <c r="H2997" s="24" t="n">
        <v>-0.0133603336</v>
      </c>
    </row>
    <row r="2998" customFormat="false" ht="15" hidden="false" customHeight="false" outlineLevel="0" collapsed="false">
      <c r="A2998" s="3" t="n">
        <v>2997</v>
      </c>
      <c r="B2998" s="3" t="n">
        <v>2996</v>
      </c>
      <c r="C2998" s="3" t="s">
        <v>118</v>
      </c>
      <c r="D2998" s="3" t="n">
        <v>12</v>
      </c>
      <c r="E2998" s="3" t="n">
        <v>4</v>
      </c>
      <c r="F2998" s="3" t="n">
        <v>2</v>
      </c>
      <c r="G2998" s="3" t="n">
        <v>2</v>
      </c>
      <c r="H2998" s="24" t="n">
        <v>-0.286149621</v>
      </c>
    </row>
    <row r="2999" customFormat="false" ht="15" hidden="false" customHeight="false" outlineLevel="0" collapsed="false">
      <c r="A2999" s="3" t="n">
        <v>2998</v>
      </c>
      <c r="B2999" s="3" t="n">
        <v>2997</v>
      </c>
      <c r="C2999" s="3" t="s">
        <v>118</v>
      </c>
      <c r="D2999" s="3" t="n">
        <v>12</v>
      </c>
      <c r="E2999" s="3" t="n">
        <v>5</v>
      </c>
      <c r="F2999" s="3" t="n">
        <v>0</v>
      </c>
      <c r="G2999" s="3" t="n">
        <v>0</v>
      </c>
      <c r="H2999" s="24" t="n">
        <v>-0.0162167568</v>
      </c>
    </row>
    <row r="3000" customFormat="false" ht="15" hidden="false" customHeight="false" outlineLevel="0" collapsed="false">
      <c r="A3000" s="3" t="n">
        <v>2999</v>
      </c>
      <c r="B3000" s="3" t="n">
        <v>2998</v>
      </c>
      <c r="C3000" s="3" t="s">
        <v>118</v>
      </c>
      <c r="D3000" s="3" t="n">
        <v>12</v>
      </c>
      <c r="E3000" s="3" t="n">
        <v>5</v>
      </c>
      <c r="F3000" s="3" t="n">
        <v>0</v>
      </c>
      <c r="G3000" s="3" t="n">
        <v>1</v>
      </c>
      <c r="H3000" s="24" t="n">
        <v>0.00591706717</v>
      </c>
    </row>
    <row r="3001" customFormat="false" ht="15" hidden="false" customHeight="false" outlineLevel="0" collapsed="false">
      <c r="A3001" s="3" t="n">
        <v>3000</v>
      </c>
      <c r="B3001" s="3" t="n">
        <v>2999</v>
      </c>
      <c r="C3001" s="3" t="s">
        <v>118</v>
      </c>
      <c r="D3001" s="3" t="n">
        <v>12</v>
      </c>
      <c r="E3001" s="3" t="n">
        <v>5</v>
      </c>
      <c r="F3001" s="3" t="n">
        <v>0</v>
      </c>
      <c r="G3001" s="3" t="n">
        <v>2</v>
      </c>
      <c r="H3001" s="24" t="n">
        <v>-0.221706331</v>
      </c>
    </row>
    <row r="3002" customFormat="false" ht="15" hidden="false" customHeight="false" outlineLevel="0" collapsed="false">
      <c r="A3002" s="3" t="n">
        <v>3001</v>
      </c>
      <c r="B3002" s="3" t="n">
        <v>3000</v>
      </c>
      <c r="C3002" s="3" t="s">
        <v>118</v>
      </c>
      <c r="D3002" s="3" t="n">
        <v>12</v>
      </c>
      <c r="E3002" s="3" t="n">
        <v>5</v>
      </c>
      <c r="F3002" s="3" t="n">
        <v>1</v>
      </c>
      <c r="G3002" s="3" t="n">
        <v>0</v>
      </c>
      <c r="H3002" s="24" t="n">
        <v>0.0080556348</v>
      </c>
    </row>
    <row r="3003" customFormat="false" ht="15" hidden="false" customHeight="false" outlineLevel="0" collapsed="false">
      <c r="A3003" s="3" t="n">
        <v>3002</v>
      </c>
      <c r="B3003" s="3" t="n">
        <v>3001</v>
      </c>
      <c r="C3003" s="3" t="s">
        <v>118</v>
      </c>
      <c r="D3003" s="3" t="n">
        <v>12</v>
      </c>
      <c r="E3003" s="3" t="n">
        <v>5</v>
      </c>
      <c r="F3003" s="3" t="n">
        <v>1</v>
      </c>
      <c r="G3003" s="3" t="n">
        <v>1</v>
      </c>
      <c r="H3003" s="24" t="n">
        <v>0.0225637071</v>
      </c>
    </row>
    <row r="3004" customFormat="false" ht="15" hidden="false" customHeight="false" outlineLevel="0" collapsed="false">
      <c r="A3004" s="3" t="n">
        <v>3003</v>
      </c>
      <c r="B3004" s="3" t="n">
        <v>3002</v>
      </c>
      <c r="C3004" s="3" t="s">
        <v>118</v>
      </c>
      <c r="D3004" s="3" t="n">
        <v>12</v>
      </c>
      <c r="E3004" s="3" t="n">
        <v>5</v>
      </c>
      <c r="F3004" s="3" t="n">
        <v>1</v>
      </c>
      <c r="G3004" s="3" t="n">
        <v>2</v>
      </c>
      <c r="H3004" s="24" t="n">
        <v>0.163382187</v>
      </c>
    </row>
    <row r="3005" customFormat="false" ht="15" hidden="false" customHeight="false" outlineLevel="0" collapsed="false">
      <c r="A3005" s="3" t="n">
        <v>3004</v>
      </c>
      <c r="B3005" s="3" t="n">
        <v>3003</v>
      </c>
      <c r="C3005" s="3" t="s">
        <v>118</v>
      </c>
      <c r="D3005" s="3" t="n">
        <v>12</v>
      </c>
      <c r="E3005" s="3" t="n">
        <v>5</v>
      </c>
      <c r="F3005" s="3" t="n">
        <v>2</v>
      </c>
      <c r="G3005" s="3" t="n">
        <v>0</v>
      </c>
      <c r="H3005" s="24" t="n">
        <v>0.0136753786</v>
      </c>
    </row>
    <row r="3006" customFormat="false" ht="15" hidden="false" customHeight="false" outlineLevel="0" collapsed="false">
      <c r="A3006" s="3" t="n">
        <v>3005</v>
      </c>
      <c r="B3006" s="3" t="n">
        <v>3004</v>
      </c>
      <c r="C3006" s="3" t="s">
        <v>118</v>
      </c>
      <c r="D3006" s="3" t="n">
        <v>12</v>
      </c>
      <c r="E3006" s="3" t="n">
        <v>5</v>
      </c>
      <c r="F3006" s="3" t="n">
        <v>2</v>
      </c>
      <c r="G3006" s="3" t="n">
        <v>1</v>
      </c>
      <c r="H3006" s="24" t="n">
        <v>-0.141641721</v>
      </c>
    </row>
    <row r="3007" customFormat="false" ht="15" hidden="false" customHeight="false" outlineLevel="0" collapsed="false">
      <c r="A3007" s="3" t="n">
        <v>3006</v>
      </c>
      <c r="B3007" s="3" t="n">
        <v>3005</v>
      </c>
      <c r="C3007" s="3" t="s">
        <v>118</v>
      </c>
      <c r="D3007" s="3" t="n">
        <v>12</v>
      </c>
      <c r="E3007" s="3" t="n">
        <v>5</v>
      </c>
      <c r="F3007" s="3" t="n">
        <v>2</v>
      </c>
      <c r="G3007" s="3" t="n">
        <v>2</v>
      </c>
      <c r="H3007" s="24" t="n">
        <v>0.032514587</v>
      </c>
    </row>
    <row r="3008" customFormat="false" ht="15" hidden="false" customHeight="false" outlineLevel="0" collapsed="false">
      <c r="A3008" s="3" t="n">
        <v>3007</v>
      </c>
      <c r="B3008" s="3" t="n">
        <v>3006</v>
      </c>
      <c r="C3008" s="3" t="s">
        <v>118</v>
      </c>
      <c r="D3008" s="3" t="n">
        <v>12</v>
      </c>
      <c r="E3008" s="3" t="n">
        <v>6</v>
      </c>
      <c r="F3008" s="3" t="n">
        <v>0</v>
      </c>
      <c r="G3008" s="3" t="n">
        <v>0</v>
      </c>
      <c r="H3008" s="24" t="n">
        <v>0.0058735339</v>
      </c>
    </row>
    <row r="3009" customFormat="false" ht="15" hidden="false" customHeight="false" outlineLevel="0" collapsed="false">
      <c r="A3009" s="3" t="n">
        <v>3008</v>
      </c>
      <c r="B3009" s="3" t="n">
        <v>3007</v>
      </c>
      <c r="C3009" s="3" t="s">
        <v>118</v>
      </c>
      <c r="D3009" s="3" t="n">
        <v>12</v>
      </c>
      <c r="E3009" s="3" t="n">
        <v>6</v>
      </c>
      <c r="F3009" s="3" t="n">
        <v>0</v>
      </c>
      <c r="G3009" s="3" t="n">
        <v>1</v>
      </c>
      <c r="H3009" s="24" t="n">
        <v>0.0468566976</v>
      </c>
    </row>
    <row r="3010" customFormat="false" ht="15" hidden="false" customHeight="false" outlineLevel="0" collapsed="false">
      <c r="A3010" s="3" t="n">
        <v>3009</v>
      </c>
      <c r="B3010" s="3" t="n">
        <v>3008</v>
      </c>
      <c r="C3010" s="3" t="s">
        <v>118</v>
      </c>
      <c r="D3010" s="3" t="n">
        <v>12</v>
      </c>
      <c r="E3010" s="3" t="n">
        <v>6</v>
      </c>
      <c r="F3010" s="3" t="n">
        <v>0</v>
      </c>
      <c r="G3010" s="3" t="n">
        <v>2</v>
      </c>
      <c r="H3010" s="24" t="n">
        <v>-0.0529921912</v>
      </c>
    </row>
    <row r="3011" customFormat="false" ht="15" hidden="false" customHeight="false" outlineLevel="0" collapsed="false">
      <c r="A3011" s="3" t="n">
        <v>3010</v>
      </c>
      <c r="B3011" s="3" t="n">
        <v>3009</v>
      </c>
      <c r="C3011" s="3" t="s">
        <v>118</v>
      </c>
      <c r="D3011" s="3" t="n">
        <v>12</v>
      </c>
      <c r="E3011" s="3" t="n">
        <v>6</v>
      </c>
      <c r="F3011" s="3" t="n">
        <v>1</v>
      </c>
      <c r="G3011" s="3" t="n">
        <v>0</v>
      </c>
      <c r="H3011" s="24" t="n">
        <v>0.00713494234</v>
      </c>
    </row>
    <row r="3012" customFormat="false" ht="15" hidden="false" customHeight="false" outlineLevel="0" collapsed="false">
      <c r="A3012" s="3" t="n">
        <v>3011</v>
      </c>
      <c r="B3012" s="3" t="n">
        <v>3010</v>
      </c>
      <c r="C3012" s="3" t="s">
        <v>118</v>
      </c>
      <c r="D3012" s="3" t="n">
        <v>12</v>
      </c>
      <c r="E3012" s="3" t="n">
        <v>6</v>
      </c>
      <c r="F3012" s="3" t="n">
        <v>1</v>
      </c>
      <c r="G3012" s="3" t="n">
        <v>1</v>
      </c>
      <c r="H3012" s="24" t="n">
        <v>-0.0182948653</v>
      </c>
    </row>
    <row r="3013" customFormat="false" ht="15" hidden="false" customHeight="false" outlineLevel="0" collapsed="false">
      <c r="A3013" s="3" t="n">
        <v>3012</v>
      </c>
      <c r="B3013" s="3" t="n">
        <v>3011</v>
      </c>
      <c r="C3013" s="3" t="s">
        <v>118</v>
      </c>
      <c r="D3013" s="3" t="n">
        <v>12</v>
      </c>
      <c r="E3013" s="3" t="n">
        <v>6</v>
      </c>
      <c r="F3013" s="3" t="n">
        <v>1</v>
      </c>
      <c r="G3013" s="3" t="n">
        <v>2</v>
      </c>
      <c r="H3013" s="24" t="n">
        <v>-0.0154559864</v>
      </c>
    </row>
    <row r="3014" customFormat="false" ht="15" hidden="false" customHeight="false" outlineLevel="0" collapsed="false">
      <c r="A3014" s="3" t="n">
        <v>3013</v>
      </c>
      <c r="B3014" s="3" t="n">
        <v>3012</v>
      </c>
      <c r="C3014" s="3" t="s">
        <v>118</v>
      </c>
      <c r="D3014" s="3" t="n">
        <v>12</v>
      </c>
      <c r="E3014" s="3" t="n">
        <v>6</v>
      </c>
      <c r="F3014" s="3" t="n">
        <v>2</v>
      </c>
      <c r="G3014" s="3" t="n">
        <v>0</v>
      </c>
      <c r="H3014" s="24" t="n">
        <v>-0.196248263</v>
      </c>
    </row>
    <row r="3015" customFormat="false" ht="15" hidden="false" customHeight="false" outlineLevel="0" collapsed="false">
      <c r="A3015" s="3" t="n">
        <v>3014</v>
      </c>
      <c r="B3015" s="3" t="n">
        <v>3013</v>
      </c>
      <c r="C3015" s="3" t="s">
        <v>118</v>
      </c>
      <c r="D3015" s="3" t="n">
        <v>12</v>
      </c>
      <c r="E3015" s="3" t="n">
        <v>6</v>
      </c>
      <c r="F3015" s="3" t="n">
        <v>2</v>
      </c>
      <c r="G3015" s="3" t="n">
        <v>1</v>
      </c>
      <c r="H3015" s="24" t="n">
        <v>-0.0672623664</v>
      </c>
    </row>
    <row r="3016" customFormat="false" ht="15" hidden="false" customHeight="false" outlineLevel="0" collapsed="false">
      <c r="A3016" s="3" t="n">
        <v>3015</v>
      </c>
      <c r="B3016" s="3" t="n">
        <v>3014</v>
      </c>
      <c r="C3016" s="3" t="s">
        <v>118</v>
      </c>
      <c r="D3016" s="3" t="n">
        <v>12</v>
      </c>
      <c r="E3016" s="3" t="n">
        <v>6</v>
      </c>
      <c r="F3016" s="3" t="n">
        <v>2</v>
      </c>
      <c r="G3016" s="3" t="n">
        <v>2</v>
      </c>
      <c r="H3016" s="24" t="n">
        <v>-0.372411638</v>
      </c>
    </row>
    <row r="3017" customFormat="false" ht="15" hidden="false" customHeight="false" outlineLevel="0" collapsed="false">
      <c r="A3017" s="3" t="n">
        <v>3016</v>
      </c>
      <c r="B3017" s="3" t="n">
        <v>3015</v>
      </c>
      <c r="C3017" s="3" t="s">
        <v>118</v>
      </c>
      <c r="D3017" s="3" t="n">
        <v>12</v>
      </c>
      <c r="E3017" s="3" t="n">
        <v>7</v>
      </c>
      <c r="F3017" s="3" t="n">
        <v>0</v>
      </c>
      <c r="G3017" s="3" t="n">
        <v>0</v>
      </c>
      <c r="H3017" s="24" t="n">
        <v>-0.18965815</v>
      </c>
    </row>
    <row r="3018" customFormat="false" ht="15" hidden="false" customHeight="false" outlineLevel="0" collapsed="false">
      <c r="A3018" s="3" t="n">
        <v>3017</v>
      </c>
      <c r="B3018" s="3" t="n">
        <v>3016</v>
      </c>
      <c r="C3018" s="3" t="s">
        <v>118</v>
      </c>
      <c r="D3018" s="3" t="n">
        <v>12</v>
      </c>
      <c r="E3018" s="3" t="n">
        <v>7</v>
      </c>
      <c r="F3018" s="3" t="n">
        <v>0</v>
      </c>
      <c r="G3018" s="3" t="n">
        <v>1</v>
      </c>
      <c r="H3018" s="24" t="n">
        <v>-0.046059221</v>
      </c>
    </row>
    <row r="3019" customFormat="false" ht="15" hidden="false" customHeight="false" outlineLevel="0" collapsed="false">
      <c r="A3019" s="3" t="n">
        <v>3018</v>
      </c>
      <c r="B3019" s="3" t="n">
        <v>3017</v>
      </c>
      <c r="C3019" s="3" t="s">
        <v>118</v>
      </c>
      <c r="D3019" s="3" t="n">
        <v>12</v>
      </c>
      <c r="E3019" s="3" t="n">
        <v>7</v>
      </c>
      <c r="F3019" s="3" t="n">
        <v>0</v>
      </c>
      <c r="G3019" s="3" t="n">
        <v>2</v>
      </c>
      <c r="H3019" s="24" t="n">
        <v>-0.293990046</v>
      </c>
    </row>
    <row r="3020" customFormat="false" ht="15" hidden="false" customHeight="false" outlineLevel="0" collapsed="false">
      <c r="A3020" s="3" t="n">
        <v>3019</v>
      </c>
      <c r="B3020" s="3" t="n">
        <v>3018</v>
      </c>
      <c r="C3020" s="3" t="s">
        <v>118</v>
      </c>
      <c r="D3020" s="3" t="n">
        <v>12</v>
      </c>
      <c r="E3020" s="3" t="n">
        <v>7</v>
      </c>
      <c r="F3020" s="3" t="n">
        <v>1</v>
      </c>
      <c r="G3020" s="3" t="n">
        <v>0</v>
      </c>
      <c r="H3020" s="24" t="n">
        <v>-0.164342687</v>
      </c>
    </row>
    <row r="3021" customFormat="false" ht="15" hidden="false" customHeight="false" outlineLevel="0" collapsed="false">
      <c r="A3021" s="3" t="n">
        <v>3020</v>
      </c>
      <c r="B3021" s="3" t="n">
        <v>3019</v>
      </c>
      <c r="C3021" s="3" t="s">
        <v>118</v>
      </c>
      <c r="D3021" s="3" t="n">
        <v>12</v>
      </c>
      <c r="E3021" s="3" t="n">
        <v>7</v>
      </c>
      <c r="F3021" s="3" t="n">
        <v>1</v>
      </c>
      <c r="G3021" s="3" t="n">
        <v>1</v>
      </c>
      <c r="H3021" s="24" t="n">
        <v>-0.0737641007</v>
      </c>
    </row>
    <row r="3022" customFormat="false" ht="15" hidden="false" customHeight="false" outlineLevel="0" collapsed="false">
      <c r="A3022" s="3" t="n">
        <v>3021</v>
      </c>
      <c r="B3022" s="3" t="n">
        <v>3020</v>
      </c>
      <c r="C3022" s="3" t="s">
        <v>118</v>
      </c>
      <c r="D3022" s="3" t="n">
        <v>12</v>
      </c>
      <c r="E3022" s="3" t="n">
        <v>7</v>
      </c>
      <c r="F3022" s="3" t="n">
        <v>1</v>
      </c>
      <c r="G3022" s="3" t="n">
        <v>2</v>
      </c>
      <c r="H3022" s="24" t="n">
        <v>-0.0402903818</v>
      </c>
    </row>
    <row r="3023" customFormat="false" ht="15" hidden="false" customHeight="false" outlineLevel="0" collapsed="false">
      <c r="A3023" s="3" t="n">
        <v>3022</v>
      </c>
      <c r="B3023" s="3" t="n">
        <v>3021</v>
      </c>
      <c r="C3023" s="3" t="s">
        <v>118</v>
      </c>
      <c r="D3023" s="3" t="n">
        <v>12</v>
      </c>
      <c r="E3023" s="3" t="n">
        <v>7</v>
      </c>
      <c r="F3023" s="3" t="n">
        <v>2</v>
      </c>
      <c r="G3023" s="3" t="n">
        <v>0</v>
      </c>
      <c r="H3023" s="24" t="n">
        <v>-0.221497089</v>
      </c>
    </row>
    <row r="3024" customFormat="false" ht="15" hidden="false" customHeight="false" outlineLevel="0" collapsed="false">
      <c r="A3024" s="3" t="n">
        <v>3023</v>
      </c>
      <c r="B3024" s="3" t="n">
        <v>3022</v>
      </c>
      <c r="C3024" s="3" t="s">
        <v>118</v>
      </c>
      <c r="D3024" s="3" t="n">
        <v>12</v>
      </c>
      <c r="E3024" s="3" t="n">
        <v>7</v>
      </c>
      <c r="F3024" s="3" t="n">
        <v>2</v>
      </c>
      <c r="G3024" s="3" t="n">
        <v>1</v>
      </c>
      <c r="H3024" s="24" t="n">
        <v>0.0113686966</v>
      </c>
    </row>
    <row r="3025" customFormat="false" ht="15" hidden="false" customHeight="false" outlineLevel="0" collapsed="false">
      <c r="A3025" s="3" t="n">
        <v>3024</v>
      </c>
      <c r="B3025" s="3" t="n">
        <v>3023</v>
      </c>
      <c r="C3025" s="3" t="s">
        <v>118</v>
      </c>
      <c r="D3025" s="3" t="n">
        <v>12</v>
      </c>
      <c r="E3025" s="3" t="n">
        <v>7</v>
      </c>
      <c r="F3025" s="3" t="n">
        <v>2</v>
      </c>
      <c r="G3025" s="3" t="n">
        <v>2</v>
      </c>
      <c r="H3025" s="24" t="n">
        <v>0.162994087</v>
      </c>
    </row>
    <row r="3026" customFormat="false" ht="15" hidden="false" customHeight="false" outlineLevel="0" collapsed="false">
      <c r="A3026" s="3" t="n">
        <v>3025</v>
      </c>
      <c r="B3026" s="3" t="n">
        <v>3024</v>
      </c>
      <c r="C3026" s="3" t="s">
        <v>118</v>
      </c>
      <c r="D3026" s="3" t="n">
        <v>12</v>
      </c>
      <c r="E3026" s="3" t="n">
        <v>8</v>
      </c>
      <c r="F3026" s="3" t="n">
        <v>0</v>
      </c>
      <c r="G3026" s="3" t="n">
        <v>0</v>
      </c>
      <c r="H3026" s="24" t="n">
        <v>0.15604797</v>
      </c>
    </row>
    <row r="3027" customFormat="false" ht="15" hidden="false" customHeight="false" outlineLevel="0" collapsed="false">
      <c r="A3027" s="3" t="n">
        <v>3026</v>
      </c>
      <c r="B3027" s="3" t="n">
        <v>3025</v>
      </c>
      <c r="C3027" s="3" t="s">
        <v>118</v>
      </c>
      <c r="D3027" s="3" t="n">
        <v>12</v>
      </c>
      <c r="E3027" s="3" t="n">
        <v>8</v>
      </c>
      <c r="F3027" s="3" t="n">
        <v>0</v>
      </c>
      <c r="G3027" s="3" t="n">
        <v>1</v>
      </c>
      <c r="H3027" s="24" t="n">
        <v>-0.098493956</v>
      </c>
    </row>
    <row r="3028" customFormat="false" ht="15" hidden="false" customHeight="false" outlineLevel="0" collapsed="false">
      <c r="A3028" s="3" t="n">
        <v>3027</v>
      </c>
      <c r="B3028" s="3" t="n">
        <v>3026</v>
      </c>
      <c r="C3028" s="3" t="s">
        <v>118</v>
      </c>
      <c r="D3028" s="3" t="n">
        <v>12</v>
      </c>
      <c r="E3028" s="3" t="n">
        <v>8</v>
      </c>
      <c r="F3028" s="3" t="n">
        <v>0</v>
      </c>
      <c r="G3028" s="3" t="n">
        <v>2</v>
      </c>
      <c r="H3028" s="24" t="n">
        <v>-0.0745899826</v>
      </c>
    </row>
    <row r="3029" customFormat="false" ht="15" hidden="false" customHeight="false" outlineLevel="0" collapsed="false">
      <c r="A3029" s="3" t="n">
        <v>3028</v>
      </c>
      <c r="B3029" s="3" t="n">
        <v>3027</v>
      </c>
      <c r="C3029" s="3" t="s">
        <v>118</v>
      </c>
      <c r="D3029" s="3" t="n">
        <v>12</v>
      </c>
      <c r="E3029" s="3" t="n">
        <v>8</v>
      </c>
      <c r="F3029" s="3" t="n">
        <v>1</v>
      </c>
      <c r="G3029" s="3" t="n">
        <v>0</v>
      </c>
      <c r="H3029" s="24" t="n">
        <v>0.169403642</v>
      </c>
    </row>
    <row r="3030" customFormat="false" ht="15" hidden="false" customHeight="false" outlineLevel="0" collapsed="false">
      <c r="A3030" s="3" t="n">
        <v>3029</v>
      </c>
      <c r="B3030" s="3" t="n">
        <v>3028</v>
      </c>
      <c r="C3030" s="3" t="s">
        <v>118</v>
      </c>
      <c r="D3030" s="3" t="n">
        <v>12</v>
      </c>
      <c r="E3030" s="3" t="n">
        <v>8</v>
      </c>
      <c r="F3030" s="3" t="n">
        <v>1</v>
      </c>
      <c r="G3030" s="3" t="n">
        <v>1</v>
      </c>
      <c r="H3030" s="24" t="n">
        <v>0.0736782998</v>
      </c>
    </row>
    <row r="3031" customFormat="false" ht="15" hidden="false" customHeight="false" outlineLevel="0" collapsed="false">
      <c r="A3031" s="3" t="n">
        <v>3030</v>
      </c>
      <c r="B3031" s="3" t="n">
        <v>3029</v>
      </c>
      <c r="C3031" s="3" t="s">
        <v>118</v>
      </c>
      <c r="D3031" s="3" t="n">
        <v>12</v>
      </c>
      <c r="E3031" s="3" t="n">
        <v>8</v>
      </c>
      <c r="F3031" s="3" t="n">
        <v>1</v>
      </c>
      <c r="G3031" s="3" t="n">
        <v>2</v>
      </c>
      <c r="H3031" s="24" t="n">
        <v>0.0346793085</v>
      </c>
    </row>
    <row r="3032" customFormat="false" ht="15" hidden="false" customHeight="false" outlineLevel="0" collapsed="false">
      <c r="A3032" s="3" t="n">
        <v>3031</v>
      </c>
      <c r="B3032" s="3" t="n">
        <v>3030</v>
      </c>
      <c r="C3032" s="3" t="s">
        <v>118</v>
      </c>
      <c r="D3032" s="3" t="n">
        <v>12</v>
      </c>
      <c r="E3032" s="3" t="n">
        <v>8</v>
      </c>
      <c r="F3032" s="3" t="n">
        <v>2</v>
      </c>
      <c r="G3032" s="3" t="n">
        <v>0</v>
      </c>
      <c r="H3032" s="24" t="n">
        <v>0.030567782</v>
      </c>
    </row>
    <row r="3033" customFormat="false" ht="15" hidden="false" customHeight="false" outlineLevel="0" collapsed="false">
      <c r="A3033" s="3" t="n">
        <v>3032</v>
      </c>
      <c r="B3033" s="3" t="n">
        <v>3031</v>
      </c>
      <c r="C3033" s="3" t="s">
        <v>118</v>
      </c>
      <c r="D3033" s="3" t="n">
        <v>12</v>
      </c>
      <c r="E3033" s="3" t="n">
        <v>8</v>
      </c>
      <c r="F3033" s="3" t="n">
        <v>2</v>
      </c>
      <c r="G3033" s="3" t="n">
        <v>1</v>
      </c>
      <c r="H3033" s="24" t="n">
        <v>0.0690596029</v>
      </c>
    </row>
    <row r="3034" customFormat="false" ht="15" hidden="false" customHeight="false" outlineLevel="0" collapsed="false">
      <c r="A3034" s="3" t="n">
        <v>3033</v>
      </c>
      <c r="B3034" s="3" t="n">
        <v>3032</v>
      </c>
      <c r="C3034" s="3" t="s">
        <v>118</v>
      </c>
      <c r="D3034" s="3" t="n">
        <v>12</v>
      </c>
      <c r="E3034" s="3" t="n">
        <v>8</v>
      </c>
      <c r="F3034" s="3" t="n">
        <v>2</v>
      </c>
      <c r="G3034" s="3" t="n">
        <v>2</v>
      </c>
      <c r="H3034" s="24" t="n">
        <v>-0.125797108</v>
      </c>
    </row>
    <row r="3035" customFormat="false" ht="15" hidden="false" customHeight="false" outlineLevel="0" collapsed="false">
      <c r="A3035" s="3" t="n">
        <v>3034</v>
      </c>
      <c r="B3035" s="3" t="n">
        <v>3033</v>
      </c>
      <c r="C3035" s="3" t="s">
        <v>118</v>
      </c>
      <c r="D3035" s="3" t="n">
        <v>12</v>
      </c>
      <c r="E3035" s="3" t="n">
        <v>9</v>
      </c>
      <c r="F3035" s="3" t="n">
        <v>0</v>
      </c>
      <c r="G3035" s="3" t="n">
        <v>0</v>
      </c>
      <c r="H3035" s="24" t="n">
        <v>0.0126037812</v>
      </c>
    </row>
    <row r="3036" customFormat="false" ht="15" hidden="false" customHeight="false" outlineLevel="0" collapsed="false">
      <c r="A3036" s="3" t="n">
        <v>3035</v>
      </c>
      <c r="B3036" s="3" t="n">
        <v>3034</v>
      </c>
      <c r="C3036" s="3" t="s">
        <v>118</v>
      </c>
      <c r="D3036" s="3" t="n">
        <v>12</v>
      </c>
      <c r="E3036" s="3" t="n">
        <v>9</v>
      </c>
      <c r="F3036" s="3" t="n">
        <v>0</v>
      </c>
      <c r="G3036" s="3" t="n">
        <v>1</v>
      </c>
      <c r="H3036" s="24" t="n">
        <v>0.0542337857</v>
      </c>
    </row>
    <row r="3037" customFormat="false" ht="15" hidden="false" customHeight="false" outlineLevel="0" collapsed="false">
      <c r="A3037" s="3" t="n">
        <v>3036</v>
      </c>
      <c r="B3037" s="3" t="n">
        <v>3035</v>
      </c>
      <c r="C3037" s="3" t="s">
        <v>118</v>
      </c>
      <c r="D3037" s="3" t="n">
        <v>12</v>
      </c>
      <c r="E3037" s="3" t="n">
        <v>9</v>
      </c>
      <c r="F3037" s="3" t="n">
        <v>0</v>
      </c>
      <c r="G3037" s="3" t="n">
        <v>2</v>
      </c>
      <c r="H3037" s="24" t="n">
        <v>0.39857322</v>
      </c>
    </row>
    <row r="3038" customFormat="false" ht="15" hidden="false" customHeight="false" outlineLevel="0" collapsed="false">
      <c r="A3038" s="3" t="n">
        <v>3037</v>
      </c>
      <c r="B3038" s="3" t="n">
        <v>3036</v>
      </c>
      <c r="C3038" s="3" t="s">
        <v>118</v>
      </c>
      <c r="D3038" s="3" t="n">
        <v>12</v>
      </c>
      <c r="E3038" s="3" t="n">
        <v>9</v>
      </c>
      <c r="F3038" s="3" t="n">
        <v>1</v>
      </c>
      <c r="G3038" s="3" t="n">
        <v>0</v>
      </c>
      <c r="H3038" s="24" t="n">
        <v>0.119885705</v>
      </c>
    </row>
    <row r="3039" customFormat="false" ht="15" hidden="false" customHeight="false" outlineLevel="0" collapsed="false">
      <c r="A3039" s="3" t="n">
        <v>3038</v>
      </c>
      <c r="B3039" s="3" t="n">
        <v>3037</v>
      </c>
      <c r="C3039" s="3" t="s">
        <v>118</v>
      </c>
      <c r="D3039" s="3" t="n">
        <v>12</v>
      </c>
      <c r="E3039" s="3" t="n">
        <v>9</v>
      </c>
      <c r="F3039" s="3" t="n">
        <v>1</v>
      </c>
      <c r="G3039" s="3" t="n">
        <v>1</v>
      </c>
      <c r="H3039" s="24" t="n">
        <v>0.0813356638</v>
      </c>
    </row>
    <row r="3040" customFormat="false" ht="15" hidden="false" customHeight="false" outlineLevel="0" collapsed="false">
      <c r="A3040" s="3" t="n">
        <v>3039</v>
      </c>
      <c r="B3040" s="3" t="n">
        <v>3038</v>
      </c>
      <c r="C3040" s="3" t="s">
        <v>118</v>
      </c>
      <c r="D3040" s="3" t="n">
        <v>12</v>
      </c>
      <c r="E3040" s="3" t="n">
        <v>9</v>
      </c>
      <c r="F3040" s="3" t="n">
        <v>1</v>
      </c>
      <c r="G3040" s="3" t="n">
        <v>2</v>
      </c>
      <c r="H3040" s="24" t="n">
        <v>-0.15243946</v>
      </c>
    </row>
    <row r="3041" customFormat="false" ht="15" hidden="false" customHeight="false" outlineLevel="0" collapsed="false">
      <c r="A3041" s="3" t="n">
        <v>3040</v>
      </c>
      <c r="B3041" s="3" t="n">
        <v>3039</v>
      </c>
      <c r="C3041" s="3" t="s">
        <v>118</v>
      </c>
      <c r="D3041" s="3" t="n">
        <v>12</v>
      </c>
      <c r="E3041" s="3" t="n">
        <v>9</v>
      </c>
      <c r="F3041" s="3" t="n">
        <v>2</v>
      </c>
      <c r="G3041" s="3" t="n">
        <v>0</v>
      </c>
      <c r="H3041" s="24" t="n">
        <v>0.0537513532</v>
      </c>
    </row>
    <row r="3042" customFormat="false" ht="15" hidden="false" customHeight="false" outlineLevel="0" collapsed="false">
      <c r="A3042" s="3" t="n">
        <v>3041</v>
      </c>
      <c r="B3042" s="3" t="n">
        <v>3040</v>
      </c>
      <c r="C3042" s="3" t="s">
        <v>118</v>
      </c>
      <c r="D3042" s="3" t="n">
        <v>12</v>
      </c>
      <c r="E3042" s="3" t="n">
        <v>9</v>
      </c>
      <c r="F3042" s="3" t="n">
        <v>2</v>
      </c>
      <c r="G3042" s="3" t="n">
        <v>1</v>
      </c>
      <c r="H3042" s="24" t="n">
        <v>-0.186758801</v>
      </c>
    </row>
    <row r="3043" customFormat="false" ht="15" hidden="false" customHeight="false" outlineLevel="0" collapsed="false">
      <c r="A3043" s="3" t="n">
        <v>3042</v>
      </c>
      <c r="B3043" s="3" t="n">
        <v>3041</v>
      </c>
      <c r="C3043" s="3" t="s">
        <v>118</v>
      </c>
      <c r="D3043" s="3" t="n">
        <v>12</v>
      </c>
      <c r="E3043" s="3" t="n">
        <v>9</v>
      </c>
      <c r="F3043" s="3" t="n">
        <v>2</v>
      </c>
      <c r="G3043" s="3" t="n">
        <v>2</v>
      </c>
      <c r="H3043" s="24" t="n">
        <v>-0.292153865</v>
      </c>
    </row>
    <row r="3044" customFormat="false" ht="15" hidden="false" customHeight="false" outlineLevel="0" collapsed="false">
      <c r="A3044" s="3" t="n">
        <v>3043</v>
      </c>
      <c r="B3044" s="3" t="n">
        <v>3042</v>
      </c>
      <c r="C3044" s="3" t="s">
        <v>118</v>
      </c>
      <c r="D3044" s="3" t="n">
        <v>12</v>
      </c>
      <c r="E3044" s="3" t="n">
        <v>10</v>
      </c>
      <c r="F3044" s="3" t="n">
        <v>0</v>
      </c>
      <c r="G3044" s="3" t="n">
        <v>0</v>
      </c>
      <c r="H3044" s="24" t="n">
        <v>0.176119894</v>
      </c>
    </row>
    <row r="3045" customFormat="false" ht="15" hidden="false" customHeight="false" outlineLevel="0" collapsed="false">
      <c r="A3045" s="3" t="n">
        <v>3044</v>
      </c>
      <c r="B3045" s="3" t="n">
        <v>3043</v>
      </c>
      <c r="C3045" s="3" t="s">
        <v>118</v>
      </c>
      <c r="D3045" s="3" t="n">
        <v>12</v>
      </c>
      <c r="E3045" s="3" t="n">
        <v>10</v>
      </c>
      <c r="F3045" s="3" t="n">
        <v>0</v>
      </c>
      <c r="G3045" s="3" t="n">
        <v>1</v>
      </c>
      <c r="H3045" s="24" t="n">
        <v>-0.177610397</v>
      </c>
    </row>
    <row r="3046" customFormat="false" ht="15" hidden="false" customHeight="false" outlineLevel="0" collapsed="false">
      <c r="A3046" s="3" t="n">
        <v>3045</v>
      </c>
      <c r="B3046" s="3" t="n">
        <v>3044</v>
      </c>
      <c r="C3046" s="3" t="s">
        <v>118</v>
      </c>
      <c r="D3046" s="3" t="n">
        <v>12</v>
      </c>
      <c r="E3046" s="3" t="n">
        <v>10</v>
      </c>
      <c r="F3046" s="3" t="n">
        <v>0</v>
      </c>
      <c r="G3046" s="3" t="n">
        <v>2</v>
      </c>
      <c r="H3046" s="24" t="n">
        <v>0.12578772</v>
      </c>
    </row>
    <row r="3047" customFormat="false" ht="15" hidden="false" customHeight="false" outlineLevel="0" collapsed="false">
      <c r="A3047" s="3" t="n">
        <v>3046</v>
      </c>
      <c r="B3047" s="3" t="n">
        <v>3045</v>
      </c>
      <c r="C3047" s="3" t="s">
        <v>118</v>
      </c>
      <c r="D3047" s="3" t="n">
        <v>12</v>
      </c>
      <c r="E3047" s="3" t="n">
        <v>10</v>
      </c>
      <c r="F3047" s="3" t="n">
        <v>1</v>
      </c>
      <c r="G3047" s="3" t="n">
        <v>0</v>
      </c>
      <c r="H3047" s="24" t="n">
        <v>0.124581426</v>
      </c>
    </row>
    <row r="3048" customFormat="false" ht="15" hidden="false" customHeight="false" outlineLevel="0" collapsed="false">
      <c r="A3048" s="3" t="n">
        <v>3047</v>
      </c>
      <c r="B3048" s="3" t="n">
        <v>3046</v>
      </c>
      <c r="C3048" s="3" t="s">
        <v>118</v>
      </c>
      <c r="D3048" s="3" t="n">
        <v>12</v>
      </c>
      <c r="E3048" s="3" t="n">
        <v>10</v>
      </c>
      <c r="F3048" s="3" t="n">
        <v>1</v>
      </c>
      <c r="G3048" s="3" t="n">
        <v>1</v>
      </c>
      <c r="H3048" s="24" t="n">
        <v>-0.0946522281</v>
      </c>
    </row>
    <row r="3049" customFormat="false" ht="15" hidden="false" customHeight="false" outlineLevel="0" collapsed="false">
      <c r="A3049" s="3" t="n">
        <v>3048</v>
      </c>
      <c r="B3049" s="3" t="n">
        <v>3047</v>
      </c>
      <c r="C3049" s="3" t="s">
        <v>118</v>
      </c>
      <c r="D3049" s="3" t="n">
        <v>12</v>
      </c>
      <c r="E3049" s="3" t="n">
        <v>10</v>
      </c>
      <c r="F3049" s="3" t="n">
        <v>1</v>
      </c>
      <c r="G3049" s="3" t="n">
        <v>2</v>
      </c>
      <c r="H3049" s="24" t="n">
        <v>-0.0227451809</v>
      </c>
    </row>
    <row r="3050" customFormat="false" ht="15" hidden="false" customHeight="false" outlineLevel="0" collapsed="false">
      <c r="A3050" s="3" t="n">
        <v>3049</v>
      </c>
      <c r="B3050" s="3" t="n">
        <v>3048</v>
      </c>
      <c r="C3050" s="3" t="s">
        <v>118</v>
      </c>
      <c r="D3050" s="3" t="n">
        <v>12</v>
      </c>
      <c r="E3050" s="3" t="n">
        <v>10</v>
      </c>
      <c r="F3050" s="3" t="n">
        <v>2</v>
      </c>
      <c r="G3050" s="3" t="n">
        <v>0</v>
      </c>
      <c r="H3050" s="24" t="n">
        <v>0.149976194</v>
      </c>
    </row>
    <row r="3051" customFormat="false" ht="15" hidden="false" customHeight="false" outlineLevel="0" collapsed="false">
      <c r="A3051" s="3" t="n">
        <v>3050</v>
      </c>
      <c r="B3051" s="3" t="n">
        <v>3049</v>
      </c>
      <c r="C3051" s="3" t="s">
        <v>118</v>
      </c>
      <c r="D3051" s="3" t="n">
        <v>12</v>
      </c>
      <c r="E3051" s="3" t="n">
        <v>10</v>
      </c>
      <c r="F3051" s="3" t="n">
        <v>2</v>
      </c>
      <c r="G3051" s="3" t="n">
        <v>1</v>
      </c>
      <c r="H3051" s="24" t="n">
        <v>-0.0829341263</v>
      </c>
    </row>
    <row r="3052" customFormat="false" ht="15" hidden="false" customHeight="false" outlineLevel="0" collapsed="false">
      <c r="A3052" s="3" t="n">
        <v>3051</v>
      </c>
      <c r="B3052" s="3" t="n">
        <v>3050</v>
      </c>
      <c r="C3052" s="3" t="s">
        <v>118</v>
      </c>
      <c r="D3052" s="3" t="n">
        <v>12</v>
      </c>
      <c r="E3052" s="3" t="n">
        <v>10</v>
      </c>
      <c r="F3052" s="3" t="n">
        <v>2</v>
      </c>
      <c r="G3052" s="3" t="n">
        <v>2</v>
      </c>
      <c r="H3052" s="24" t="n">
        <v>-0.065475449</v>
      </c>
    </row>
    <row r="3053" customFormat="false" ht="15" hidden="false" customHeight="false" outlineLevel="0" collapsed="false">
      <c r="A3053" s="3" t="n">
        <v>3052</v>
      </c>
      <c r="B3053" s="3" t="n">
        <v>3051</v>
      </c>
      <c r="C3053" s="3" t="s">
        <v>118</v>
      </c>
      <c r="D3053" s="3" t="n">
        <v>12</v>
      </c>
      <c r="E3053" s="3" t="n">
        <v>11</v>
      </c>
      <c r="F3053" s="3" t="n">
        <v>0</v>
      </c>
      <c r="G3053" s="3" t="n">
        <v>0</v>
      </c>
      <c r="H3053" s="24" t="n">
        <v>-0.00730000716</v>
      </c>
    </row>
    <row r="3054" customFormat="false" ht="15" hidden="false" customHeight="false" outlineLevel="0" collapsed="false">
      <c r="A3054" s="3" t="n">
        <v>3053</v>
      </c>
      <c r="B3054" s="3" t="n">
        <v>3052</v>
      </c>
      <c r="C3054" s="3" t="s">
        <v>118</v>
      </c>
      <c r="D3054" s="3" t="n">
        <v>12</v>
      </c>
      <c r="E3054" s="3" t="n">
        <v>11</v>
      </c>
      <c r="F3054" s="3" t="n">
        <v>0</v>
      </c>
      <c r="G3054" s="3" t="n">
        <v>1</v>
      </c>
      <c r="H3054" s="24" t="n">
        <v>0.098495394</v>
      </c>
    </row>
    <row r="3055" customFormat="false" ht="15" hidden="false" customHeight="false" outlineLevel="0" collapsed="false">
      <c r="A3055" s="3" t="n">
        <v>3054</v>
      </c>
      <c r="B3055" s="3" t="n">
        <v>3053</v>
      </c>
      <c r="C3055" s="3" t="s">
        <v>118</v>
      </c>
      <c r="D3055" s="3" t="n">
        <v>12</v>
      </c>
      <c r="E3055" s="3" t="n">
        <v>11</v>
      </c>
      <c r="F3055" s="3" t="n">
        <v>0</v>
      </c>
      <c r="G3055" s="3" t="n">
        <v>2</v>
      </c>
      <c r="H3055" s="24" t="n">
        <v>0.161216184</v>
      </c>
    </row>
    <row r="3056" customFormat="false" ht="15" hidden="false" customHeight="false" outlineLevel="0" collapsed="false">
      <c r="A3056" s="3" t="n">
        <v>3055</v>
      </c>
      <c r="B3056" s="3" t="n">
        <v>3054</v>
      </c>
      <c r="C3056" s="3" t="s">
        <v>118</v>
      </c>
      <c r="D3056" s="3" t="n">
        <v>12</v>
      </c>
      <c r="E3056" s="3" t="n">
        <v>11</v>
      </c>
      <c r="F3056" s="3" t="n">
        <v>1</v>
      </c>
      <c r="G3056" s="3" t="n">
        <v>0</v>
      </c>
      <c r="H3056" s="24" t="n">
        <v>0.110705383</v>
      </c>
    </row>
    <row r="3057" customFormat="false" ht="15" hidden="false" customHeight="false" outlineLevel="0" collapsed="false">
      <c r="A3057" s="3" t="n">
        <v>3056</v>
      </c>
      <c r="B3057" s="3" t="n">
        <v>3055</v>
      </c>
      <c r="C3057" s="3" t="s">
        <v>118</v>
      </c>
      <c r="D3057" s="3" t="n">
        <v>12</v>
      </c>
      <c r="E3057" s="3" t="n">
        <v>11</v>
      </c>
      <c r="F3057" s="3" t="n">
        <v>1</v>
      </c>
      <c r="G3057" s="3" t="n">
        <v>1</v>
      </c>
      <c r="H3057" s="24" t="n">
        <v>0.101407446</v>
      </c>
    </row>
    <row r="3058" customFormat="false" ht="15" hidden="false" customHeight="false" outlineLevel="0" collapsed="false">
      <c r="A3058" s="3" t="n">
        <v>3057</v>
      </c>
      <c r="B3058" s="3" t="n">
        <v>3056</v>
      </c>
      <c r="C3058" s="3" t="s">
        <v>118</v>
      </c>
      <c r="D3058" s="3" t="n">
        <v>12</v>
      </c>
      <c r="E3058" s="3" t="n">
        <v>11</v>
      </c>
      <c r="F3058" s="3" t="n">
        <v>1</v>
      </c>
      <c r="G3058" s="3" t="n">
        <v>2</v>
      </c>
      <c r="H3058" s="24" t="n">
        <v>0.128519177</v>
      </c>
    </row>
    <row r="3059" customFormat="false" ht="15" hidden="false" customHeight="false" outlineLevel="0" collapsed="false">
      <c r="A3059" s="3" t="n">
        <v>3058</v>
      </c>
      <c r="B3059" s="3" t="n">
        <v>3057</v>
      </c>
      <c r="C3059" s="3" t="s">
        <v>118</v>
      </c>
      <c r="D3059" s="3" t="n">
        <v>12</v>
      </c>
      <c r="E3059" s="3" t="n">
        <v>11</v>
      </c>
      <c r="F3059" s="3" t="n">
        <v>2</v>
      </c>
      <c r="G3059" s="3" t="n">
        <v>0</v>
      </c>
      <c r="H3059" s="24" t="n">
        <v>-0.154056311</v>
      </c>
    </row>
    <row r="3060" customFormat="false" ht="15" hidden="false" customHeight="false" outlineLevel="0" collapsed="false">
      <c r="A3060" s="3" t="n">
        <v>3059</v>
      </c>
      <c r="B3060" s="3" t="n">
        <v>3058</v>
      </c>
      <c r="C3060" s="3" t="s">
        <v>118</v>
      </c>
      <c r="D3060" s="3" t="n">
        <v>12</v>
      </c>
      <c r="E3060" s="3" t="n">
        <v>11</v>
      </c>
      <c r="F3060" s="3" t="n">
        <v>2</v>
      </c>
      <c r="G3060" s="3" t="n">
        <v>1</v>
      </c>
      <c r="H3060" s="24" t="n">
        <v>-0.104966894</v>
      </c>
    </row>
    <row r="3061" customFormat="false" ht="15" hidden="false" customHeight="false" outlineLevel="0" collapsed="false">
      <c r="A3061" s="3" t="n">
        <v>3060</v>
      </c>
      <c r="B3061" s="3" t="n">
        <v>3059</v>
      </c>
      <c r="C3061" s="3" t="s">
        <v>118</v>
      </c>
      <c r="D3061" s="3" t="n">
        <v>12</v>
      </c>
      <c r="E3061" s="3" t="n">
        <v>11</v>
      </c>
      <c r="F3061" s="3" t="n">
        <v>2</v>
      </c>
      <c r="G3061" s="3" t="n">
        <v>2</v>
      </c>
      <c r="H3061" s="24" t="n">
        <v>-0.129397526</v>
      </c>
    </row>
    <row r="3062" customFormat="false" ht="15" hidden="false" customHeight="false" outlineLevel="0" collapsed="false">
      <c r="A3062" s="3" t="n">
        <v>3061</v>
      </c>
      <c r="B3062" s="3" t="n">
        <v>3060</v>
      </c>
      <c r="C3062" s="3" t="s">
        <v>118</v>
      </c>
      <c r="D3062" s="3" t="n">
        <v>12</v>
      </c>
      <c r="E3062" s="3" t="n">
        <v>12</v>
      </c>
      <c r="F3062" s="3" t="n">
        <v>0</v>
      </c>
      <c r="G3062" s="3" t="n">
        <v>0</v>
      </c>
      <c r="H3062" s="24" t="n">
        <v>0.00604192307</v>
      </c>
    </row>
    <row r="3063" customFormat="false" ht="15" hidden="false" customHeight="false" outlineLevel="0" collapsed="false">
      <c r="A3063" s="3" t="n">
        <v>3062</v>
      </c>
      <c r="B3063" s="3" t="n">
        <v>3061</v>
      </c>
      <c r="C3063" s="3" t="s">
        <v>118</v>
      </c>
      <c r="D3063" s="3" t="n">
        <v>12</v>
      </c>
      <c r="E3063" s="3" t="n">
        <v>12</v>
      </c>
      <c r="F3063" s="3" t="n">
        <v>0</v>
      </c>
      <c r="G3063" s="3" t="n">
        <v>1</v>
      </c>
      <c r="H3063" s="24" t="n">
        <v>0.0867450759</v>
      </c>
    </row>
    <row r="3064" customFormat="false" ht="15" hidden="false" customHeight="false" outlineLevel="0" collapsed="false">
      <c r="A3064" s="3" t="n">
        <v>3063</v>
      </c>
      <c r="B3064" s="3" t="n">
        <v>3062</v>
      </c>
      <c r="C3064" s="3" t="s">
        <v>118</v>
      </c>
      <c r="D3064" s="3" t="n">
        <v>12</v>
      </c>
      <c r="E3064" s="3" t="n">
        <v>12</v>
      </c>
      <c r="F3064" s="3" t="n">
        <v>0</v>
      </c>
      <c r="G3064" s="3" t="n">
        <v>2</v>
      </c>
      <c r="H3064" s="24" t="n">
        <v>0.148270175</v>
      </c>
    </row>
    <row r="3065" customFormat="false" ht="15" hidden="false" customHeight="false" outlineLevel="0" collapsed="false">
      <c r="A3065" s="3" t="n">
        <v>3064</v>
      </c>
      <c r="B3065" s="3" t="n">
        <v>3063</v>
      </c>
      <c r="C3065" s="3" t="s">
        <v>118</v>
      </c>
      <c r="D3065" s="3" t="n">
        <v>12</v>
      </c>
      <c r="E3065" s="3" t="n">
        <v>12</v>
      </c>
      <c r="F3065" s="3" t="n">
        <v>1</v>
      </c>
      <c r="G3065" s="3" t="n">
        <v>0</v>
      </c>
      <c r="H3065" s="24" t="n">
        <v>0.335661143</v>
      </c>
    </row>
    <row r="3066" customFormat="false" ht="15" hidden="false" customHeight="false" outlineLevel="0" collapsed="false">
      <c r="A3066" s="3" t="n">
        <v>3065</v>
      </c>
      <c r="B3066" s="3" t="n">
        <v>3064</v>
      </c>
      <c r="C3066" s="3" t="s">
        <v>118</v>
      </c>
      <c r="D3066" s="3" t="n">
        <v>12</v>
      </c>
      <c r="E3066" s="3" t="n">
        <v>12</v>
      </c>
      <c r="F3066" s="3" t="n">
        <v>1</v>
      </c>
      <c r="G3066" s="3" t="n">
        <v>1</v>
      </c>
      <c r="H3066" s="24" t="n">
        <v>-0.252997607</v>
      </c>
    </row>
    <row r="3067" customFormat="false" ht="15" hidden="false" customHeight="false" outlineLevel="0" collapsed="false">
      <c r="A3067" s="3" t="n">
        <v>3066</v>
      </c>
      <c r="B3067" s="3" t="n">
        <v>3065</v>
      </c>
      <c r="C3067" s="3" t="s">
        <v>118</v>
      </c>
      <c r="D3067" s="3" t="n">
        <v>12</v>
      </c>
      <c r="E3067" s="3" t="n">
        <v>12</v>
      </c>
      <c r="F3067" s="3" t="n">
        <v>1</v>
      </c>
      <c r="G3067" s="3" t="n">
        <v>2</v>
      </c>
      <c r="H3067" s="24" t="n">
        <v>0.101963192</v>
      </c>
    </row>
    <row r="3068" customFormat="false" ht="15" hidden="false" customHeight="false" outlineLevel="0" collapsed="false">
      <c r="A3068" s="3" t="n">
        <v>3067</v>
      </c>
      <c r="B3068" s="3" t="n">
        <v>3066</v>
      </c>
      <c r="C3068" s="3" t="s">
        <v>118</v>
      </c>
      <c r="D3068" s="3" t="n">
        <v>12</v>
      </c>
      <c r="E3068" s="3" t="n">
        <v>12</v>
      </c>
      <c r="F3068" s="3" t="n">
        <v>2</v>
      </c>
      <c r="G3068" s="3" t="n">
        <v>0</v>
      </c>
      <c r="H3068" s="24" t="n">
        <v>0.40720427</v>
      </c>
    </row>
    <row r="3069" customFormat="false" ht="15" hidden="false" customHeight="false" outlineLevel="0" collapsed="false">
      <c r="A3069" s="3" t="n">
        <v>3068</v>
      </c>
      <c r="B3069" s="3" t="n">
        <v>3067</v>
      </c>
      <c r="C3069" s="3" t="s">
        <v>118</v>
      </c>
      <c r="D3069" s="3" t="n">
        <v>12</v>
      </c>
      <c r="E3069" s="3" t="n">
        <v>12</v>
      </c>
      <c r="F3069" s="3" t="n">
        <v>2</v>
      </c>
      <c r="G3069" s="3" t="n">
        <v>1</v>
      </c>
      <c r="H3069" s="24" t="n">
        <v>-0.0770765245</v>
      </c>
    </row>
    <row r="3070" customFormat="false" ht="15" hidden="false" customHeight="false" outlineLevel="0" collapsed="false">
      <c r="A3070" s="3" t="n">
        <v>3069</v>
      </c>
      <c r="B3070" s="3" t="n">
        <v>3068</v>
      </c>
      <c r="C3070" s="3" t="s">
        <v>118</v>
      </c>
      <c r="D3070" s="3" t="n">
        <v>12</v>
      </c>
      <c r="E3070" s="3" t="n">
        <v>12</v>
      </c>
      <c r="F3070" s="3" t="n">
        <v>2</v>
      </c>
      <c r="G3070" s="3" t="n">
        <v>2</v>
      </c>
      <c r="H3070" s="24" t="n">
        <v>-0.788030446</v>
      </c>
    </row>
    <row r="3071" customFormat="false" ht="15" hidden="false" customHeight="false" outlineLevel="0" collapsed="false">
      <c r="A3071" s="3" t="n">
        <v>3070</v>
      </c>
      <c r="B3071" s="3" t="n">
        <v>3069</v>
      </c>
      <c r="C3071" s="3" t="s">
        <v>118</v>
      </c>
      <c r="D3071" s="3" t="n">
        <v>12</v>
      </c>
      <c r="E3071" s="3" t="n">
        <v>13</v>
      </c>
      <c r="F3071" s="3" t="n">
        <v>0</v>
      </c>
      <c r="G3071" s="3" t="n">
        <v>0</v>
      </c>
      <c r="H3071" s="24" t="n">
        <v>-0.0309430547</v>
      </c>
    </row>
    <row r="3072" customFormat="false" ht="15" hidden="false" customHeight="false" outlineLevel="0" collapsed="false">
      <c r="A3072" s="3" t="n">
        <v>3071</v>
      </c>
      <c r="B3072" s="3" t="n">
        <v>3070</v>
      </c>
      <c r="C3072" s="3" t="s">
        <v>118</v>
      </c>
      <c r="D3072" s="3" t="n">
        <v>12</v>
      </c>
      <c r="E3072" s="3" t="n">
        <v>13</v>
      </c>
      <c r="F3072" s="3" t="n">
        <v>0</v>
      </c>
      <c r="G3072" s="3" t="n">
        <v>1</v>
      </c>
      <c r="H3072" s="24" t="n">
        <v>-0.268455505</v>
      </c>
    </row>
    <row r="3073" customFormat="false" ht="15" hidden="false" customHeight="false" outlineLevel="0" collapsed="false">
      <c r="A3073" s="3" t="n">
        <v>3072</v>
      </c>
      <c r="B3073" s="3" t="n">
        <v>3071</v>
      </c>
      <c r="C3073" s="3" t="s">
        <v>118</v>
      </c>
      <c r="D3073" s="3" t="n">
        <v>12</v>
      </c>
      <c r="E3073" s="3" t="n">
        <v>13</v>
      </c>
      <c r="F3073" s="3" t="n">
        <v>0</v>
      </c>
      <c r="G3073" s="3" t="n">
        <v>2</v>
      </c>
      <c r="H3073" s="24" t="n">
        <v>0.0988611355</v>
      </c>
    </row>
    <row r="3074" customFormat="false" ht="15" hidden="false" customHeight="false" outlineLevel="0" collapsed="false">
      <c r="A3074" s="3" t="n">
        <v>3073</v>
      </c>
      <c r="B3074" s="3" t="n">
        <v>3072</v>
      </c>
      <c r="C3074" s="3" t="s">
        <v>118</v>
      </c>
      <c r="D3074" s="3" t="n">
        <v>12</v>
      </c>
      <c r="E3074" s="3" t="n">
        <v>13</v>
      </c>
      <c r="F3074" s="3" t="n">
        <v>1</v>
      </c>
      <c r="G3074" s="3" t="n">
        <v>0</v>
      </c>
      <c r="H3074" s="24" t="n">
        <v>-0.206111923</v>
      </c>
    </row>
    <row r="3075" customFormat="false" ht="15" hidden="false" customHeight="false" outlineLevel="0" collapsed="false">
      <c r="A3075" s="3" t="n">
        <v>3074</v>
      </c>
      <c r="B3075" s="3" t="n">
        <v>3073</v>
      </c>
      <c r="C3075" s="3" t="s">
        <v>118</v>
      </c>
      <c r="D3075" s="3" t="n">
        <v>12</v>
      </c>
      <c r="E3075" s="3" t="n">
        <v>13</v>
      </c>
      <c r="F3075" s="3" t="n">
        <v>1</v>
      </c>
      <c r="G3075" s="3" t="n">
        <v>1</v>
      </c>
      <c r="H3075" s="24" t="n">
        <v>-0.17948392</v>
      </c>
    </row>
    <row r="3076" customFormat="false" ht="15" hidden="false" customHeight="false" outlineLevel="0" collapsed="false">
      <c r="A3076" s="3" t="n">
        <v>3075</v>
      </c>
      <c r="B3076" s="3" t="n">
        <v>3074</v>
      </c>
      <c r="C3076" s="3" t="s">
        <v>118</v>
      </c>
      <c r="D3076" s="3" t="n">
        <v>12</v>
      </c>
      <c r="E3076" s="3" t="n">
        <v>13</v>
      </c>
      <c r="F3076" s="3" t="n">
        <v>1</v>
      </c>
      <c r="G3076" s="3" t="n">
        <v>2</v>
      </c>
      <c r="H3076" s="24" t="n">
        <v>0.0299169067</v>
      </c>
    </row>
    <row r="3077" customFormat="false" ht="15" hidden="false" customHeight="false" outlineLevel="0" collapsed="false">
      <c r="A3077" s="3" t="n">
        <v>3076</v>
      </c>
      <c r="B3077" s="3" t="n">
        <v>3075</v>
      </c>
      <c r="C3077" s="3" t="s">
        <v>118</v>
      </c>
      <c r="D3077" s="3" t="n">
        <v>12</v>
      </c>
      <c r="E3077" s="3" t="n">
        <v>13</v>
      </c>
      <c r="F3077" s="3" t="n">
        <v>2</v>
      </c>
      <c r="G3077" s="3" t="n">
        <v>0</v>
      </c>
      <c r="H3077" s="24" t="n">
        <v>0.0131329587</v>
      </c>
    </row>
    <row r="3078" customFormat="false" ht="15" hidden="false" customHeight="false" outlineLevel="0" collapsed="false">
      <c r="A3078" s="3" t="n">
        <v>3077</v>
      </c>
      <c r="B3078" s="3" t="n">
        <v>3076</v>
      </c>
      <c r="C3078" s="3" t="s">
        <v>118</v>
      </c>
      <c r="D3078" s="3" t="n">
        <v>12</v>
      </c>
      <c r="E3078" s="3" t="n">
        <v>13</v>
      </c>
      <c r="F3078" s="3" t="n">
        <v>2</v>
      </c>
      <c r="G3078" s="3" t="n">
        <v>1</v>
      </c>
      <c r="H3078" s="24" t="n">
        <v>-0.0565559939</v>
      </c>
    </row>
    <row r="3079" customFormat="false" ht="15" hidden="false" customHeight="false" outlineLevel="0" collapsed="false">
      <c r="A3079" s="3" t="n">
        <v>3078</v>
      </c>
      <c r="B3079" s="3" t="n">
        <v>3077</v>
      </c>
      <c r="C3079" s="3" t="s">
        <v>118</v>
      </c>
      <c r="D3079" s="3" t="n">
        <v>12</v>
      </c>
      <c r="E3079" s="3" t="n">
        <v>13</v>
      </c>
      <c r="F3079" s="3" t="n">
        <v>2</v>
      </c>
      <c r="G3079" s="3" t="n">
        <v>2</v>
      </c>
      <c r="H3079" s="24" t="n">
        <v>-0.0794186071</v>
      </c>
    </row>
    <row r="3080" customFormat="false" ht="15" hidden="false" customHeight="false" outlineLevel="0" collapsed="false">
      <c r="A3080" s="3" t="n">
        <v>3079</v>
      </c>
      <c r="B3080" s="3" t="n">
        <v>3078</v>
      </c>
      <c r="C3080" s="3" t="s">
        <v>118</v>
      </c>
      <c r="D3080" s="3" t="n">
        <v>12</v>
      </c>
      <c r="E3080" s="3" t="n">
        <v>14</v>
      </c>
      <c r="F3080" s="3" t="n">
        <v>0</v>
      </c>
      <c r="G3080" s="3" t="n">
        <v>0</v>
      </c>
      <c r="H3080" s="24" t="n">
        <v>0.0683755204</v>
      </c>
    </row>
    <row r="3081" customFormat="false" ht="15" hidden="false" customHeight="false" outlineLevel="0" collapsed="false">
      <c r="A3081" s="3" t="n">
        <v>3080</v>
      </c>
      <c r="B3081" s="3" t="n">
        <v>3079</v>
      </c>
      <c r="C3081" s="3" t="s">
        <v>118</v>
      </c>
      <c r="D3081" s="3" t="n">
        <v>12</v>
      </c>
      <c r="E3081" s="3" t="n">
        <v>14</v>
      </c>
      <c r="F3081" s="3" t="n">
        <v>0</v>
      </c>
      <c r="G3081" s="3" t="n">
        <v>1</v>
      </c>
      <c r="H3081" s="24" t="n">
        <v>-0.120003983</v>
      </c>
    </row>
    <row r="3082" customFormat="false" ht="15" hidden="false" customHeight="false" outlineLevel="0" collapsed="false">
      <c r="A3082" s="3" t="n">
        <v>3081</v>
      </c>
      <c r="B3082" s="3" t="n">
        <v>3080</v>
      </c>
      <c r="C3082" s="3" t="s">
        <v>118</v>
      </c>
      <c r="D3082" s="3" t="n">
        <v>12</v>
      </c>
      <c r="E3082" s="3" t="n">
        <v>14</v>
      </c>
      <c r="F3082" s="3" t="n">
        <v>0</v>
      </c>
      <c r="G3082" s="3" t="n">
        <v>2</v>
      </c>
      <c r="H3082" s="24" t="n">
        <v>-0.190814525</v>
      </c>
    </row>
    <row r="3083" customFormat="false" ht="15" hidden="false" customHeight="false" outlineLevel="0" collapsed="false">
      <c r="A3083" s="3" t="n">
        <v>3082</v>
      </c>
      <c r="B3083" s="3" t="n">
        <v>3081</v>
      </c>
      <c r="C3083" s="3" t="s">
        <v>118</v>
      </c>
      <c r="D3083" s="3" t="n">
        <v>12</v>
      </c>
      <c r="E3083" s="3" t="n">
        <v>14</v>
      </c>
      <c r="F3083" s="3" t="n">
        <v>1</v>
      </c>
      <c r="G3083" s="3" t="n">
        <v>0</v>
      </c>
      <c r="H3083" s="24" t="n">
        <v>0.0695782229</v>
      </c>
    </row>
    <row r="3084" customFormat="false" ht="15" hidden="false" customHeight="false" outlineLevel="0" collapsed="false">
      <c r="A3084" s="3" t="n">
        <v>3083</v>
      </c>
      <c r="B3084" s="3" t="n">
        <v>3082</v>
      </c>
      <c r="C3084" s="3" t="s">
        <v>118</v>
      </c>
      <c r="D3084" s="3" t="n">
        <v>12</v>
      </c>
      <c r="E3084" s="3" t="n">
        <v>14</v>
      </c>
      <c r="F3084" s="3" t="n">
        <v>1</v>
      </c>
      <c r="G3084" s="3" t="n">
        <v>1</v>
      </c>
      <c r="H3084" s="24" t="n">
        <v>0.0472597592</v>
      </c>
    </row>
    <row r="3085" customFormat="false" ht="15" hidden="false" customHeight="false" outlineLevel="0" collapsed="false">
      <c r="A3085" s="3" t="n">
        <v>3084</v>
      </c>
      <c r="B3085" s="3" t="n">
        <v>3083</v>
      </c>
      <c r="C3085" s="3" t="s">
        <v>118</v>
      </c>
      <c r="D3085" s="3" t="n">
        <v>12</v>
      </c>
      <c r="E3085" s="3" t="n">
        <v>14</v>
      </c>
      <c r="F3085" s="3" t="n">
        <v>1</v>
      </c>
      <c r="G3085" s="3" t="n">
        <v>2</v>
      </c>
      <c r="H3085" s="24" t="n">
        <v>-0.0739612058</v>
      </c>
    </row>
    <row r="3086" customFormat="false" ht="15" hidden="false" customHeight="false" outlineLevel="0" collapsed="false">
      <c r="A3086" s="3" t="n">
        <v>3085</v>
      </c>
      <c r="B3086" s="3" t="n">
        <v>3084</v>
      </c>
      <c r="C3086" s="3" t="s">
        <v>118</v>
      </c>
      <c r="D3086" s="3" t="n">
        <v>12</v>
      </c>
      <c r="E3086" s="3" t="n">
        <v>14</v>
      </c>
      <c r="F3086" s="3" t="n">
        <v>2</v>
      </c>
      <c r="G3086" s="3" t="n">
        <v>0</v>
      </c>
      <c r="H3086" s="24" t="n">
        <v>0.173163146</v>
      </c>
    </row>
    <row r="3087" customFormat="false" ht="15" hidden="false" customHeight="false" outlineLevel="0" collapsed="false">
      <c r="A3087" s="3" t="n">
        <v>3086</v>
      </c>
      <c r="B3087" s="3" t="n">
        <v>3085</v>
      </c>
      <c r="C3087" s="3" t="s">
        <v>118</v>
      </c>
      <c r="D3087" s="3" t="n">
        <v>12</v>
      </c>
      <c r="E3087" s="3" t="n">
        <v>14</v>
      </c>
      <c r="F3087" s="3" t="n">
        <v>2</v>
      </c>
      <c r="G3087" s="3" t="n">
        <v>1</v>
      </c>
      <c r="H3087" s="24" t="n">
        <v>-0.078113094</v>
      </c>
    </row>
    <row r="3088" customFormat="false" ht="15" hidden="false" customHeight="false" outlineLevel="0" collapsed="false">
      <c r="A3088" s="3" t="n">
        <v>3087</v>
      </c>
      <c r="B3088" s="3" t="n">
        <v>3086</v>
      </c>
      <c r="C3088" s="3" t="s">
        <v>118</v>
      </c>
      <c r="D3088" s="3" t="n">
        <v>12</v>
      </c>
      <c r="E3088" s="3" t="n">
        <v>14</v>
      </c>
      <c r="F3088" s="3" t="n">
        <v>2</v>
      </c>
      <c r="G3088" s="3" t="n">
        <v>2</v>
      </c>
      <c r="H3088" s="24" t="n">
        <v>-0.199937552</v>
      </c>
    </row>
    <row r="3089" customFormat="false" ht="15" hidden="false" customHeight="false" outlineLevel="0" collapsed="false">
      <c r="A3089" s="3" t="n">
        <v>3088</v>
      </c>
      <c r="B3089" s="3" t="n">
        <v>3087</v>
      </c>
      <c r="C3089" s="3" t="s">
        <v>118</v>
      </c>
      <c r="D3089" s="3" t="n">
        <v>12</v>
      </c>
      <c r="E3089" s="3" t="n">
        <v>15</v>
      </c>
      <c r="F3089" s="3" t="n">
        <v>0</v>
      </c>
      <c r="G3089" s="3" t="n">
        <v>0</v>
      </c>
      <c r="H3089" s="24" t="n">
        <v>0.188609868</v>
      </c>
    </row>
    <row r="3090" customFormat="false" ht="15" hidden="false" customHeight="false" outlineLevel="0" collapsed="false">
      <c r="A3090" s="3" t="n">
        <v>3089</v>
      </c>
      <c r="B3090" s="3" t="n">
        <v>3088</v>
      </c>
      <c r="C3090" s="3" t="s">
        <v>118</v>
      </c>
      <c r="D3090" s="3" t="n">
        <v>12</v>
      </c>
      <c r="E3090" s="3" t="n">
        <v>15</v>
      </c>
      <c r="F3090" s="3" t="n">
        <v>0</v>
      </c>
      <c r="G3090" s="3" t="n">
        <v>1</v>
      </c>
      <c r="H3090" s="24" t="n">
        <v>-0.101392046</v>
      </c>
    </row>
    <row r="3091" customFormat="false" ht="15" hidden="false" customHeight="false" outlineLevel="0" collapsed="false">
      <c r="A3091" s="3" t="n">
        <v>3090</v>
      </c>
      <c r="B3091" s="3" t="n">
        <v>3089</v>
      </c>
      <c r="C3091" s="3" t="s">
        <v>118</v>
      </c>
      <c r="D3091" s="3" t="n">
        <v>12</v>
      </c>
      <c r="E3091" s="3" t="n">
        <v>15</v>
      </c>
      <c r="F3091" s="3" t="n">
        <v>0</v>
      </c>
      <c r="G3091" s="3" t="n">
        <v>2</v>
      </c>
      <c r="H3091" s="24" t="n">
        <v>0.215538755</v>
      </c>
    </row>
    <row r="3092" customFormat="false" ht="15" hidden="false" customHeight="false" outlineLevel="0" collapsed="false">
      <c r="A3092" s="3" t="n">
        <v>3091</v>
      </c>
      <c r="B3092" s="3" t="n">
        <v>3090</v>
      </c>
      <c r="C3092" s="3" t="s">
        <v>118</v>
      </c>
      <c r="D3092" s="3" t="n">
        <v>12</v>
      </c>
      <c r="E3092" s="3" t="n">
        <v>15</v>
      </c>
      <c r="F3092" s="3" t="n">
        <v>1</v>
      </c>
      <c r="G3092" s="3" t="n">
        <v>0</v>
      </c>
      <c r="H3092" s="24" t="n">
        <v>-0.030769838</v>
      </c>
    </row>
    <row r="3093" customFormat="false" ht="15" hidden="false" customHeight="false" outlineLevel="0" collapsed="false">
      <c r="A3093" s="3" t="n">
        <v>3092</v>
      </c>
      <c r="B3093" s="3" t="n">
        <v>3091</v>
      </c>
      <c r="C3093" s="3" t="s">
        <v>118</v>
      </c>
      <c r="D3093" s="3" t="n">
        <v>12</v>
      </c>
      <c r="E3093" s="3" t="n">
        <v>15</v>
      </c>
      <c r="F3093" s="3" t="n">
        <v>1</v>
      </c>
      <c r="G3093" s="3" t="n">
        <v>1</v>
      </c>
      <c r="H3093" s="24" t="n">
        <v>0.224249244</v>
      </c>
    </row>
    <row r="3094" customFormat="false" ht="15" hidden="false" customHeight="false" outlineLevel="0" collapsed="false">
      <c r="A3094" s="3" t="n">
        <v>3093</v>
      </c>
      <c r="B3094" s="3" t="n">
        <v>3092</v>
      </c>
      <c r="C3094" s="3" t="s">
        <v>118</v>
      </c>
      <c r="D3094" s="3" t="n">
        <v>12</v>
      </c>
      <c r="E3094" s="3" t="n">
        <v>15</v>
      </c>
      <c r="F3094" s="3" t="n">
        <v>1</v>
      </c>
      <c r="G3094" s="3" t="n">
        <v>2</v>
      </c>
      <c r="H3094" s="24" t="n">
        <v>-0.0406053737</v>
      </c>
    </row>
    <row r="3095" customFormat="false" ht="15" hidden="false" customHeight="false" outlineLevel="0" collapsed="false">
      <c r="A3095" s="3" t="n">
        <v>3094</v>
      </c>
      <c r="B3095" s="3" t="n">
        <v>3093</v>
      </c>
      <c r="C3095" s="3" t="s">
        <v>118</v>
      </c>
      <c r="D3095" s="3" t="n">
        <v>12</v>
      </c>
      <c r="E3095" s="3" t="n">
        <v>15</v>
      </c>
      <c r="F3095" s="3" t="n">
        <v>2</v>
      </c>
      <c r="G3095" s="3" t="n">
        <v>0</v>
      </c>
      <c r="H3095" s="24" t="n">
        <v>0.0247719847</v>
      </c>
    </row>
    <row r="3096" customFormat="false" ht="15" hidden="false" customHeight="false" outlineLevel="0" collapsed="false">
      <c r="A3096" s="3" t="n">
        <v>3095</v>
      </c>
      <c r="B3096" s="3" t="n">
        <v>3094</v>
      </c>
      <c r="C3096" s="3" t="s">
        <v>118</v>
      </c>
      <c r="D3096" s="3" t="n">
        <v>12</v>
      </c>
      <c r="E3096" s="3" t="n">
        <v>15</v>
      </c>
      <c r="F3096" s="3" t="n">
        <v>2</v>
      </c>
      <c r="G3096" s="3" t="n">
        <v>1</v>
      </c>
      <c r="H3096" s="24" t="n">
        <v>-0.00709271757</v>
      </c>
    </row>
    <row r="3097" customFormat="false" ht="15" hidden="false" customHeight="false" outlineLevel="0" collapsed="false">
      <c r="A3097" s="3" t="n">
        <v>3096</v>
      </c>
      <c r="B3097" s="3" t="n">
        <v>3095</v>
      </c>
      <c r="C3097" s="3" t="s">
        <v>118</v>
      </c>
      <c r="D3097" s="3" t="n">
        <v>12</v>
      </c>
      <c r="E3097" s="3" t="n">
        <v>15</v>
      </c>
      <c r="F3097" s="3" t="n">
        <v>2</v>
      </c>
      <c r="G3097" s="3" t="n">
        <v>2</v>
      </c>
      <c r="H3097" s="24" t="n">
        <v>0.178413138</v>
      </c>
    </row>
    <row r="3098" customFormat="false" ht="15" hidden="false" customHeight="false" outlineLevel="0" collapsed="false">
      <c r="A3098" s="3" t="n">
        <v>3097</v>
      </c>
      <c r="B3098" s="3" t="n">
        <v>3096</v>
      </c>
      <c r="C3098" s="3" t="s">
        <v>118</v>
      </c>
      <c r="D3098" s="3" t="n">
        <v>13</v>
      </c>
      <c r="E3098" s="3" t="n">
        <v>0</v>
      </c>
      <c r="F3098" s="3" t="n">
        <v>0</v>
      </c>
      <c r="G3098" s="3" t="n">
        <v>0</v>
      </c>
      <c r="H3098" s="24" t="n">
        <v>-0.187120095</v>
      </c>
    </row>
    <row r="3099" customFormat="false" ht="15" hidden="false" customHeight="false" outlineLevel="0" collapsed="false">
      <c r="A3099" s="3" t="n">
        <v>3098</v>
      </c>
      <c r="B3099" s="3" t="n">
        <v>3097</v>
      </c>
      <c r="C3099" s="3" t="s">
        <v>118</v>
      </c>
      <c r="D3099" s="3" t="n">
        <v>13</v>
      </c>
      <c r="E3099" s="3" t="n">
        <v>0</v>
      </c>
      <c r="F3099" s="3" t="n">
        <v>0</v>
      </c>
      <c r="G3099" s="3" t="n">
        <v>1</v>
      </c>
      <c r="H3099" s="24" t="n">
        <v>-0.0865545943</v>
      </c>
    </row>
    <row r="3100" customFormat="false" ht="15" hidden="false" customHeight="false" outlineLevel="0" collapsed="false">
      <c r="A3100" s="3" t="n">
        <v>3099</v>
      </c>
      <c r="B3100" s="3" t="n">
        <v>3098</v>
      </c>
      <c r="C3100" s="3" t="s">
        <v>118</v>
      </c>
      <c r="D3100" s="3" t="n">
        <v>13</v>
      </c>
      <c r="E3100" s="3" t="n">
        <v>0</v>
      </c>
      <c r="F3100" s="3" t="n">
        <v>0</v>
      </c>
      <c r="G3100" s="3" t="n">
        <v>2</v>
      </c>
      <c r="H3100" s="24" t="n">
        <v>0.423728734</v>
      </c>
    </row>
    <row r="3101" customFormat="false" ht="15" hidden="false" customHeight="false" outlineLevel="0" collapsed="false">
      <c r="A3101" s="3" t="n">
        <v>3100</v>
      </c>
      <c r="B3101" s="3" t="n">
        <v>3099</v>
      </c>
      <c r="C3101" s="3" t="s">
        <v>118</v>
      </c>
      <c r="D3101" s="3" t="n">
        <v>13</v>
      </c>
      <c r="E3101" s="3" t="n">
        <v>0</v>
      </c>
      <c r="F3101" s="3" t="n">
        <v>1</v>
      </c>
      <c r="G3101" s="3" t="n">
        <v>0</v>
      </c>
      <c r="H3101" s="24" t="n">
        <v>0.193132937</v>
      </c>
    </row>
    <row r="3102" customFormat="false" ht="15" hidden="false" customHeight="false" outlineLevel="0" collapsed="false">
      <c r="A3102" s="3" t="n">
        <v>3101</v>
      </c>
      <c r="B3102" s="3" t="n">
        <v>3100</v>
      </c>
      <c r="C3102" s="3" t="s">
        <v>118</v>
      </c>
      <c r="D3102" s="3" t="n">
        <v>13</v>
      </c>
      <c r="E3102" s="3" t="n">
        <v>0</v>
      </c>
      <c r="F3102" s="3" t="n">
        <v>1</v>
      </c>
      <c r="G3102" s="3" t="n">
        <v>1</v>
      </c>
      <c r="H3102" s="24" t="n">
        <v>0.0628597811</v>
      </c>
    </row>
    <row r="3103" customFormat="false" ht="15" hidden="false" customHeight="false" outlineLevel="0" collapsed="false">
      <c r="A3103" s="3" t="n">
        <v>3102</v>
      </c>
      <c r="B3103" s="3" t="n">
        <v>3101</v>
      </c>
      <c r="C3103" s="3" t="s">
        <v>118</v>
      </c>
      <c r="D3103" s="3" t="n">
        <v>13</v>
      </c>
      <c r="E3103" s="3" t="n">
        <v>0</v>
      </c>
      <c r="F3103" s="3" t="n">
        <v>1</v>
      </c>
      <c r="G3103" s="3" t="n">
        <v>2</v>
      </c>
      <c r="H3103" s="24" t="n">
        <v>0.0391866155</v>
      </c>
    </row>
    <row r="3104" customFormat="false" ht="15" hidden="false" customHeight="false" outlineLevel="0" collapsed="false">
      <c r="A3104" s="3" t="n">
        <v>3103</v>
      </c>
      <c r="B3104" s="3" t="n">
        <v>3102</v>
      </c>
      <c r="C3104" s="3" t="s">
        <v>118</v>
      </c>
      <c r="D3104" s="3" t="n">
        <v>13</v>
      </c>
      <c r="E3104" s="3" t="n">
        <v>0</v>
      </c>
      <c r="F3104" s="3" t="n">
        <v>2</v>
      </c>
      <c r="G3104" s="3" t="n">
        <v>0</v>
      </c>
      <c r="H3104" s="24" t="n">
        <v>0.0578514859</v>
      </c>
    </row>
    <row r="3105" customFormat="false" ht="15" hidden="false" customHeight="false" outlineLevel="0" collapsed="false">
      <c r="A3105" s="3" t="n">
        <v>3104</v>
      </c>
      <c r="B3105" s="3" t="n">
        <v>3103</v>
      </c>
      <c r="C3105" s="3" t="s">
        <v>118</v>
      </c>
      <c r="D3105" s="3" t="n">
        <v>13</v>
      </c>
      <c r="E3105" s="3" t="n">
        <v>0</v>
      </c>
      <c r="F3105" s="3" t="n">
        <v>2</v>
      </c>
      <c r="G3105" s="3" t="n">
        <v>1</v>
      </c>
      <c r="H3105" s="24" t="n">
        <v>0.00150381355</v>
      </c>
    </row>
    <row r="3106" customFormat="false" ht="15" hidden="false" customHeight="false" outlineLevel="0" collapsed="false">
      <c r="A3106" s="3" t="n">
        <v>3105</v>
      </c>
      <c r="B3106" s="3" t="n">
        <v>3104</v>
      </c>
      <c r="C3106" s="3" t="s">
        <v>118</v>
      </c>
      <c r="D3106" s="3" t="n">
        <v>13</v>
      </c>
      <c r="E3106" s="3" t="n">
        <v>0</v>
      </c>
      <c r="F3106" s="3" t="n">
        <v>2</v>
      </c>
      <c r="G3106" s="3" t="n">
        <v>2</v>
      </c>
      <c r="H3106" s="24" t="n">
        <v>-0.153019369</v>
      </c>
    </row>
    <row r="3107" customFormat="false" ht="15" hidden="false" customHeight="false" outlineLevel="0" collapsed="false">
      <c r="A3107" s="3" t="n">
        <v>3106</v>
      </c>
      <c r="B3107" s="3" t="n">
        <v>3105</v>
      </c>
      <c r="C3107" s="3" t="s">
        <v>118</v>
      </c>
      <c r="D3107" s="3" t="n">
        <v>13</v>
      </c>
      <c r="E3107" s="3" t="n">
        <v>1</v>
      </c>
      <c r="F3107" s="3" t="n">
        <v>0</v>
      </c>
      <c r="G3107" s="3" t="n">
        <v>0</v>
      </c>
      <c r="H3107" s="24" t="n">
        <v>0.194661409</v>
      </c>
    </row>
    <row r="3108" customFormat="false" ht="15" hidden="false" customHeight="false" outlineLevel="0" collapsed="false">
      <c r="A3108" s="3" t="n">
        <v>3107</v>
      </c>
      <c r="B3108" s="3" t="n">
        <v>3106</v>
      </c>
      <c r="C3108" s="3" t="s">
        <v>118</v>
      </c>
      <c r="D3108" s="3" t="n">
        <v>13</v>
      </c>
      <c r="E3108" s="3" t="n">
        <v>1</v>
      </c>
      <c r="F3108" s="3" t="n">
        <v>0</v>
      </c>
      <c r="G3108" s="3" t="n">
        <v>1</v>
      </c>
      <c r="H3108" s="24" t="n">
        <v>-0.150499031</v>
      </c>
    </row>
    <row r="3109" customFormat="false" ht="15" hidden="false" customHeight="false" outlineLevel="0" collapsed="false">
      <c r="A3109" s="3" t="n">
        <v>3108</v>
      </c>
      <c r="B3109" s="3" t="n">
        <v>3107</v>
      </c>
      <c r="C3109" s="3" t="s">
        <v>118</v>
      </c>
      <c r="D3109" s="3" t="n">
        <v>13</v>
      </c>
      <c r="E3109" s="3" t="n">
        <v>1</v>
      </c>
      <c r="F3109" s="3" t="n">
        <v>0</v>
      </c>
      <c r="G3109" s="3" t="n">
        <v>2</v>
      </c>
      <c r="H3109" s="24" t="n">
        <v>0.171944976</v>
      </c>
    </row>
    <row r="3110" customFormat="false" ht="15" hidden="false" customHeight="false" outlineLevel="0" collapsed="false">
      <c r="A3110" s="3" t="n">
        <v>3109</v>
      </c>
      <c r="B3110" s="3" t="n">
        <v>3108</v>
      </c>
      <c r="C3110" s="3" t="s">
        <v>118</v>
      </c>
      <c r="D3110" s="3" t="n">
        <v>13</v>
      </c>
      <c r="E3110" s="3" t="n">
        <v>1</v>
      </c>
      <c r="F3110" s="3" t="n">
        <v>1</v>
      </c>
      <c r="G3110" s="3" t="n">
        <v>0</v>
      </c>
      <c r="H3110" s="24" t="n">
        <v>0.160776541</v>
      </c>
    </row>
    <row r="3111" customFormat="false" ht="15" hidden="false" customHeight="false" outlineLevel="0" collapsed="false">
      <c r="A3111" s="3" t="n">
        <v>3110</v>
      </c>
      <c r="B3111" s="3" t="n">
        <v>3109</v>
      </c>
      <c r="C3111" s="3" t="s">
        <v>118</v>
      </c>
      <c r="D3111" s="3" t="n">
        <v>13</v>
      </c>
      <c r="E3111" s="3" t="n">
        <v>1</v>
      </c>
      <c r="F3111" s="3" t="n">
        <v>1</v>
      </c>
      <c r="G3111" s="3" t="n">
        <v>1</v>
      </c>
      <c r="H3111" s="24" t="n">
        <v>-0.0154353045</v>
      </c>
    </row>
    <row r="3112" customFormat="false" ht="15" hidden="false" customHeight="false" outlineLevel="0" collapsed="false">
      <c r="A3112" s="3" t="n">
        <v>3111</v>
      </c>
      <c r="B3112" s="3" t="n">
        <v>3110</v>
      </c>
      <c r="C3112" s="3" t="s">
        <v>118</v>
      </c>
      <c r="D3112" s="3" t="n">
        <v>13</v>
      </c>
      <c r="E3112" s="3" t="n">
        <v>1</v>
      </c>
      <c r="F3112" s="3" t="n">
        <v>1</v>
      </c>
      <c r="G3112" s="3" t="n">
        <v>2</v>
      </c>
      <c r="H3112" s="24" t="n">
        <v>0.0686218143</v>
      </c>
    </row>
    <row r="3113" customFormat="false" ht="15" hidden="false" customHeight="false" outlineLevel="0" collapsed="false">
      <c r="A3113" s="3" t="n">
        <v>3112</v>
      </c>
      <c r="B3113" s="3" t="n">
        <v>3111</v>
      </c>
      <c r="C3113" s="3" t="s">
        <v>118</v>
      </c>
      <c r="D3113" s="3" t="n">
        <v>13</v>
      </c>
      <c r="E3113" s="3" t="n">
        <v>1</v>
      </c>
      <c r="F3113" s="3" t="n">
        <v>2</v>
      </c>
      <c r="G3113" s="3" t="n">
        <v>0</v>
      </c>
      <c r="H3113" s="24" t="n">
        <v>-0.254825354</v>
      </c>
    </row>
    <row r="3114" customFormat="false" ht="15" hidden="false" customHeight="false" outlineLevel="0" collapsed="false">
      <c r="A3114" s="3" t="n">
        <v>3113</v>
      </c>
      <c r="B3114" s="3" t="n">
        <v>3112</v>
      </c>
      <c r="C3114" s="3" t="s">
        <v>118</v>
      </c>
      <c r="D3114" s="3" t="n">
        <v>13</v>
      </c>
      <c r="E3114" s="3" t="n">
        <v>1</v>
      </c>
      <c r="F3114" s="3" t="n">
        <v>2</v>
      </c>
      <c r="G3114" s="3" t="n">
        <v>1</v>
      </c>
      <c r="H3114" s="24" t="n">
        <v>-0.0232580882</v>
      </c>
    </row>
    <row r="3115" customFormat="false" ht="15" hidden="false" customHeight="false" outlineLevel="0" collapsed="false">
      <c r="A3115" s="3" t="n">
        <v>3114</v>
      </c>
      <c r="B3115" s="3" t="n">
        <v>3113</v>
      </c>
      <c r="C3115" s="3" t="s">
        <v>118</v>
      </c>
      <c r="D3115" s="3" t="n">
        <v>13</v>
      </c>
      <c r="E3115" s="3" t="n">
        <v>1</v>
      </c>
      <c r="F3115" s="3" t="n">
        <v>2</v>
      </c>
      <c r="G3115" s="3" t="n">
        <v>2</v>
      </c>
      <c r="H3115" s="24" t="n">
        <v>-0.0181106795</v>
      </c>
    </row>
    <row r="3116" customFormat="false" ht="15" hidden="false" customHeight="false" outlineLevel="0" collapsed="false">
      <c r="A3116" s="3" t="n">
        <v>3115</v>
      </c>
      <c r="B3116" s="3" t="n">
        <v>3114</v>
      </c>
      <c r="C3116" s="3" t="s">
        <v>118</v>
      </c>
      <c r="D3116" s="3" t="n">
        <v>13</v>
      </c>
      <c r="E3116" s="3" t="n">
        <v>2</v>
      </c>
      <c r="F3116" s="3" t="n">
        <v>0</v>
      </c>
      <c r="G3116" s="3" t="n">
        <v>0</v>
      </c>
      <c r="H3116" s="24" t="n">
        <v>-0.120281406</v>
      </c>
    </row>
    <row r="3117" customFormat="false" ht="15" hidden="false" customHeight="false" outlineLevel="0" collapsed="false">
      <c r="A3117" s="3" t="n">
        <v>3116</v>
      </c>
      <c r="B3117" s="3" t="n">
        <v>3115</v>
      </c>
      <c r="C3117" s="3" t="s">
        <v>118</v>
      </c>
      <c r="D3117" s="3" t="n">
        <v>13</v>
      </c>
      <c r="E3117" s="3" t="n">
        <v>2</v>
      </c>
      <c r="F3117" s="3" t="n">
        <v>0</v>
      </c>
      <c r="G3117" s="3" t="n">
        <v>1</v>
      </c>
      <c r="H3117" s="24" t="n">
        <v>-0.139082983</v>
      </c>
    </row>
    <row r="3118" customFormat="false" ht="15" hidden="false" customHeight="false" outlineLevel="0" collapsed="false">
      <c r="A3118" s="3" t="n">
        <v>3117</v>
      </c>
      <c r="B3118" s="3" t="n">
        <v>3116</v>
      </c>
      <c r="C3118" s="3" t="s">
        <v>118</v>
      </c>
      <c r="D3118" s="3" t="n">
        <v>13</v>
      </c>
      <c r="E3118" s="3" t="n">
        <v>2</v>
      </c>
      <c r="F3118" s="3" t="n">
        <v>0</v>
      </c>
      <c r="G3118" s="3" t="n">
        <v>2</v>
      </c>
      <c r="H3118" s="24" t="n">
        <v>0.123554178</v>
      </c>
    </row>
    <row r="3119" customFormat="false" ht="15" hidden="false" customHeight="false" outlineLevel="0" collapsed="false">
      <c r="A3119" s="3" t="n">
        <v>3118</v>
      </c>
      <c r="B3119" s="3" t="n">
        <v>3117</v>
      </c>
      <c r="C3119" s="3" t="s">
        <v>118</v>
      </c>
      <c r="D3119" s="3" t="n">
        <v>13</v>
      </c>
      <c r="E3119" s="3" t="n">
        <v>2</v>
      </c>
      <c r="F3119" s="3" t="n">
        <v>1</v>
      </c>
      <c r="G3119" s="3" t="n">
        <v>0</v>
      </c>
      <c r="H3119" s="24" t="n">
        <v>-0.24925229</v>
      </c>
    </row>
    <row r="3120" customFormat="false" ht="15" hidden="false" customHeight="false" outlineLevel="0" collapsed="false">
      <c r="A3120" s="3" t="n">
        <v>3119</v>
      </c>
      <c r="B3120" s="3" t="n">
        <v>3118</v>
      </c>
      <c r="C3120" s="3" t="s">
        <v>118</v>
      </c>
      <c r="D3120" s="3" t="n">
        <v>13</v>
      </c>
      <c r="E3120" s="3" t="n">
        <v>2</v>
      </c>
      <c r="F3120" s="3" t="n">
        <v>1</v>
      </c>
      <c r="G3120" s="3" t="n">
        <v>1</v>
      </c>
      <c r="H3120" s="24" t="n">
        <v>-0.21822916</v>
      </c>
    </row>
    <row r="3121" customFormat="false" ht="15" hidden="false" customHeight="false" outlineLevel="0" collapsed="false">
      <c r="A3121" s="3" t="n">
        <v>3120</v>
      </c>
      <c r="B3121" s="3" t="n">
        <v>3119</v>
      </c>
      <c r="C3121" s="3" t="s">
        <v>118</v>
      </c>
      <c r="D3121" s="3" t="n">
        <v>13</v>
      </c>
      <c r="E3121" s="3" t="n">
        <v>2</v>
      </c>
      <c r="F3121" s="3" t="n">
        <v>1</v>
      </c>
      <c r="G3121" s="3" t="n">
        <v>2</v>
      </c>
      <c r="H3121" s="24" t="n">
        <v>-0.159346044</v>
      </c>
    </row>
    <row r="3122" customFormat="false" ht="15" hidden="false" customHeight="false" outlineLevel="0" collapsed="false">
      <c r="A3122" s="3" t="n">
        <v>3121</v>
      </c>
      <c r="B3122" s="3" t="n">
        <v>3120</v>
      </c>
      <c r="C3122" s="3" t="s">
        <v>118</v>
      </c>
      <c r="D3122" s="3" t="n">
        <v>13</v>
      </c>
      <c r="E3122" s="3" t="n">
        <v>2</v>
      </c>
      <c r="F3122" s="3" t="n">
        <v>2</v>
      </c>
      <c r="G3122" s="3" t="n">
        <v>0</v>
      </c>
      <c r="H3122" s="24" t="n">
        <v>0.130314454</v>
      </c>
    </row>
    <row r="3123" customFormat="false" ht="15" hidden="false" customHeight="false" outlineLevel="0" collapsed="false">
      <c r="A3123" s="3" t="n">
        <v>3122</v>
      </c>
      <c r="B3123" s="3" t="n">
        <v>3121</v>
      </c>
      <c r="C3123" s="3" t="s">
        <v>118</v>
      </c>
      <c r="D3123" s="3" t="n">
        <v>13</v>
      </c>
      <c r="E3123" s="3" t="n">
        <v>2</v>
      </c>
      <c r="F3123" s="3" t="n">
        <v>2</v>
      </c>
      <c r="G3123" s="3" t="n">
        <v>1</v>
      </c>
      <c r="H3123" s="24" t="n">
        <v>-0.0043408866</v>
      </c>
    </row>
    <row r="3124" customFormat="false" ht="15" hidden="false" customHeight="false" outlineLevel="0" collapsed="false">
      <c r="A3124" s="3" t="n">
        <v>3123</v>
      </c>
      <c r="B3124" s="3" t="n">
        <v>3122</v>
      </c>
      <c r="C3124" s="3" t="s">
        <v>118</v>
      </c>
      <c r="D3124" s="3" t="n">
        <v>13</v>
      </c>
      <c r="E3124" s="3" t="n">
        <v>2</v>
      </c>
      <c r="F3124" s="3" t="n">
        <v>2</v>
      </c>
      <c r="G3124" s="3" t="n">
        <v>2</v>
      </c>
      <c r="H3124" s="24" t="n">
        <v>0.308082342</v>
      </c>
    </row>
    <row r="3125" customFormat="false" ht="15" hidden="false" customHeight="false" outlineLevel="0" collapsed="false">
      <c r="A3125" s="3" t="n">
        <v>3124</v>
      </c>
      <c r="B3125" s="3" t="n">
        <v>3123</v>
      </c>
      <c r="C3125" s="3" t="s">
        <v>118</v>
      </c>
      <c r="D3125" s="3" t="n">
        <v>13</v>
      </c>
      <c r="E3125" s="3" t="n">
        <v>3</v>
      </c>
      <c r="F3125" s="3" t="n">
        <v>0</v>
      </c>
      <c r="G3125" s="3" t="n">
        <v>0</v>
      </c>
      <c r="H3125" s="24" t="n">
        <v>-0.284103721</v>
      </c>
    </row>
    <row r="3126" customFormat="false" ht="15" hidden="false" customHeight="false" outlineLevel="0" collapsed="false">
      <c r="A3126" s="3" t="n">
        <v>3125</v>
      </c>
      <c r="B3126" s="3" t="n">
        <v>3124</v>
      </c>
      <c r="C3126" s="3" t="s">
        <v>118</v>
      </c>
      <c r="D3126" s="3" t="n">
        <v>13</v>
      </c>
      <c r="E3126" s="3" t="n">
        <v>3</v>
      </c>
      <c r="F3126" s="3" t="n">
        <v>0</v>
      </c>
      <c r="G3126" s="3" t="n">
        <v>1</v>
      </c>
      <c r="H3126" s="24" t="n">
        <v>-0.267393351</v>
      </c>
    </row>
    <row r="3127" customFormat="false" ht="15" hidden="false" customHeight="false" outlineLevel="0" collapsed="false">
      <c r="A3127" s="3" t="n">
        <v>3126</v>
      </c>
      <c r="B3127" s="3" t="n">
        <v>3125</v>
      </c>
      <c r="C3127" s="3" t="s">
        <v>118</v>
      </c>
      <c r="D3127" s="3" t="n">
        <v>13</v>
      </c>
      <c r="E3127" s="3" t="n">
        <v>3</v>
      </c>
      <c r="F3127" s="3" t="n">
        <v>0</v>
      </c>
      <c r="G3127" s="3" t="n">
        <v>2</v>
      </c>
      <c r="H3127" s="24" t="n">
        <v>0.157472521</v>
      </c>
    </row>
    <row r="3128" customFormat="false" ht="15" hidden="false" customHeight="false" outlineLevel="0" collapsed="false">
      <c r="A3128" s="3" t="n">
        <v>3127</v>
      </c>
      <c r="B3128" s="3" t="n">
        <v>3126</v>
      </c>
      <c r="C3128" s="3" t="s">
        <v>118</v>
      </c>
      <c r="D3128" s="3" t="n">
        <v>13</v>
      </c>
      <c r="E3128" s="3" t="n">
        <v>3</v>
      </c>
      <c r="F3128" s="3" t="n">
        <v>1</v>
      </c>
      <c r="G3128" s="3" t="n">
        <v>0</v>
      </c>
      <c r="H3128" s="24" t="n">
        <v>0.153877556</v>
      </c>
    </row>
    <row r="3129" customFormat="false" ht="15" hidden="false" customHeight="false" outlineLevel="0" collapsed="false">
      <c r="A3129" s="3" t="n">
        <v>3128</v>
      </c>
      <c r="B3129" s="3" t="n">
        <v>3127</v>
      </c>
      <c r="C3129" s="3" t="s">
        <v>118</v>
      </c>
      <c r="D3129" s="3" t="n">
        <v>13</v>
      </c>
      <c r="E3129" s="3" t="n">
        <v>3</v>
      </c>
      <c r="F3129" s="3" t="n">
        <v>1</v>
      </c>
      <c r="G3129" s="3" t="n">
        <v>1</v>
      </c>
      <c r="H3129" s="24" t="n">
        <v>-0.280553877</v>
      </c>
    </row>
    <row r="3130" customFormat="false" ht="15" hidden="false" customHeight="false" outlineLevel="0" collapsed="false">
      <c r="A3130" s="3" t="n">
        <v>3129</v>
      </c>
      <c r="B3130" s="3" t="n">
        <v>3128</v>
      </c>
      <c r="C3130" s="3" t="s">
        <v>118</v>
      </c>
      <c r="D3130" s="3" t="n">
        <v>13</v>
      </c>
      <c r="E3130" s="3" t="n">
        <v>3</v>
      </c>
      <c r="F3130" s="3" t="n">
        <v>1</v>
      </c>
      <c r="G3130" s="3" t="n">
        <v>2</v>
      </c>
      <c r="H3130" s="24" t="n">
        <v>-0.243439749</v>
      </c>
    </row>
    <row r="3131" customFormat="false" ht="15" hidden="false" customHeight="false" outlineLevel="0" collapsed="false">
      <c r="A3131" s="3" t="n">
        <v>3130</v>
      </c>
      <c r="B3131" s="3" t="n">
        <v>3129</v>
      </c>
      <c r="C3131" s="3" t="s">
        <v>118</v>
      </c>
      <c r="D3131" s="3" t="n">
        <v>13</v>
      </c>
      <c r="E3131" s="3" t="n">
        <v>3</v>
      </c>
      <c r="F3131" s="3" t="n">
        <v>2</v>
      </c>
      <c r="G3131" s="3" t="n">
        <v>0</v>
      </c>
      <c r="H3131" s="24" t="n">
        <v>0.204613894</v>
      </c>
    </row>
    <row r="3132" customFormat="false" ht="15" hidden="false" customHeight="false" outlineLevel="0" collapsed="false">
      <c r="A3132" s="3" t="n">
        <v>3131</v>
      </c>
      <c r="B3132" s="3" t="n">
        <v>3130</v>
      </c>
      <c r="C3132" s="3" t="s">
        <v>118</v>
      </c>
      <c r="D3132" s="3" t="n">
        <v>13</v>
      </c>
      <c r="E3132" s="3" t="n">
        <v>3</v>
      </c>
      <c r="F3132" s="3" t="n">
        <v>2</v>
      </c>
      <c r="G3132" s="3" t="n">
        <v>1</v>
      </c>
      <c r="H3132" s="24" t="n">
        <v>-0.042171482</v>
      </c>
    </row>
    <row r="3133" customFormat="false" ht="15" hidden="false" customHeight="false" outlineLevel="0" collapsed="false">
      <c r="A3133" s="3" t="n">
        <v>3132</v>
      </c>
      <c r="B3133" s="3" t="n">
        <v>3131</v>
      </c>
      <c r="C3133" s="3" t="s">
        <v>118</v>
      </c>
      <c r="D3133" s="3" t="n">
        <v>13</v>
      </c>
      <c r="E3133" s="3" t="n">
        <v>3</v>
      </c>
      <c r="F3133" s="3" t="n">
        <v>2</v>
      </c>
      <c r="G3133" s="3" t="n">
        <v>2</v>
      </c>
      <c r="H3133" s="24" t="n">
        <v>-0.0368722565</v>
      </c>
    </row>
    <row r="3134" customFormat="false" ht="15" hidden="false" customHeight="false" outlineLevel="0" collapsed="false">
      <c r="A3134" s="3" t="n">
        <v>3133</v>
      </c>
      <c r="B3134" s="3" t="n">
        <v>3132</v>
      </c>
      <c r="C3134" s="3" t="s">
        <v>118</v>
      </c>
      <c r="D3134" s="3" t="n">
        <v>13</v>
      </c>
      <c r="E3134" s="3" t="n">
        <v>4</v>
      </c>
      <c r="F3134" s="3" t="n">
        <v>0</v>
      </c>
      <c r="G3134" s="3" t="n">
        <v>0</v>
      </c>
      <c r="H3134" s="24" t="n">
        <v>-0.148018315</v>
      </c>
    </row>
    <row r="3135" customFormat="false" ht="15" hidden="false" customHeight="false" outlineLevel="0" collapsed="false">
      <c r="A3135" s="3" t="n">
        <v>3134</v>
      </c>
      <c r="B3135" s="3" t="n">
        <v>3133</v>
      </c>
      <c r="C3135" s="3" t="s">
        <v>118</v>
      </c>
      <c r="D3135" s="3" t="n">
        <v>13</v>
      </c>
      <c r="E3135" s="3" t="n">
        <v>4</v>
      </c>
      <c r="F3135" s="3" t="n">
        <v>0</v>
      </c>
      <c r="G3135" s="3" t="n">
        <v>1</v>
      </c>
      <c r="H3135" s="24" t="n">
        <v>-0.237674028</v>
      </c>
    </row>
    <row r="3136" customFormat="false" ht="15" hidden="false" customHeight="false" outlineLevel="0" collapsed="false">
      <c r="A3136" s="3" t="n">
        <v>3135</v>
      </c>
      <c r="B3136" s="3" t="n">
        <v>3134</v>
      </c>
      <c r="C3136" s="3" t="s">
        <v>118</v>
      </c>
      <c r="D3136" s="3" t="n">
        <v>13</v>
      </c>
      <c r="E3136" s="3" t="n">
        <v>4</v>
      </c>
      <c r="F3136" s="3" t="n">
        <v>0</v>
      </c>
      <c r="G3136" s="3" t="n">
        <v>2</v>
      </c>
      <c r="H3136" s="24" t="n">
        <v>0.0589823276</v>
      </c>
    </row>
    <row r="3137" customFormat="false" ht="15" hidden="false" customHeight="false" outlineLevel="0" collapsed="false">
      <c r="A3137" s="3" t="n">
        <v>3136</v>
      </c>
      <c r="B3137" s="3" t="n">
        <v>3135</v>
      </c>
      <c r="C3137" s="3" t="s">
        <v>118</v>
      </c>
      <c r="D3137" s="3" t="n">
        <v>13</v>
      </c>
      <c r="E3137" s="3" t="n">
        <v>4</v>
      </c>
      <c r="F3137" s="3" t="n">
        <v>1</v>
      </c>
      <c r="G3137" s="3" t="n">
        <v>0</v>
      </c>
      <c r="H3137" s="24" t="n">
        <v>-0.0954013318</v>
      </c>
    </row>
    <row r="3138" customFormat="false" ht="15" hidden="false" customHeight="false" outlineLevel="0" collapsed="false">
      <c r="A3138" s="3" t="n">
        <v>3137</v>
      </c>
      <c r="B3138" s="3" t="n">
        <v>3136</v>
      </c>
      <c r="C3138" s="3" t="s">
        <v>118</v>
      </c>
      <c r="D3138" s="3" t="n">
        <v>13</v>
      </c>
      <c r="E3138" s="3" t="n">
        <v>4</v>
      </c>
      <c r="F3138" s="3" t="n">
        <v>1</v>
      </c>
      <c r="G3138" s="3" t="n">
        <v>1</v>
      </c>
      <c r="H3138" s="24" t="n">
        <v>-0.298255235</v>
      </c>
    </row>
    <row r="3139" customFormat="false" ht="15" hidden="false" customHeight="false" outlineLevel="0" collapsed="false">
      <c r="A3139" s="3" t="n">
        <v>3138</v>
      </c>
      <c r="B3139" s="3" t="n">
        <v>3137</v>
      </c>
      <c r="C3139" s="3" t="s">
        <v>118</v>
      </c>
      <c r="D3139" s="3" t="n">
        <v>13</v>
      </c>
      <c r="E3139" s="3" t="n">
        <v>4</v>
      </c>
      <c r="F3139" s="3" t="n">
        <v>1</v>
      </c>
      <c r="G3139" s="3" t="n">
        <v>2</v>
      </c>
      <c r="H3139" s="24" t="n">
        <v>-0.044911854</v>
      </c>
    </row>
    <row r="3140" customFormat="false" ht="15" hidden="false" customHeight="false" outlineLevel="0" collapsed="false">
      <c r="A3140" s="3" t="n">
        <v>3139</v>
      </c>
      <c r="B3140" s="3" t="n">
        <v>3138</v>
      </c>
      <c r="C3140" s="3" t="s">
        <v>118</v>
      </c>
      <c r="D3140" s="3" t="n">
        <v>13</v>
      </c>
      <c r="E3140" s="3" t="n">
        <v>4</v>
      </c>
      <c r="F3140" s="3" t="n">
        <v>2</v>
      </c>
      <c r="G3140" s="3" t="n">
        <v>0</v>
      </c>
      <c r="H3140" s="24" t="n">
        <v>-0.0275480747</v>
      </c>
    </row>
    <row r="3141" customFormat="false" ht="15" hidden="false" customHeight="false" outlineLevel="0" collapsed="false">
      <c r="A3141" s="3" t="n">
        <v>3140</v>
      </c>
      <c r="B3141" s="3" t="n">
        <v>3139</v>
      </c>
      <c r="C3141" s="3" t="s">
        <v>118</v>
      </c>
      <c r="D3141" s="3" t="n">
        <v>13</v>
      </c>
      <c r="E3141" s="3" t="n">
        <v>4</v>
      </c>
      <c r="F3141" s="3" t="n">
        <v>2</v>
      </c>
      <c r="G3141" s="3" t="n">
        <v>1</v>
      </c>
      <c r="H3141" s="24" t="n">
        <v>0.383944005</v>
      </c>
    </row>
    <row r="3142" customFormat="false" ht="15" hidden="false" customHeight="false" outlineLevel="0" collapsed="false">
      <c r="A3142" s="3" t="n">
        <v>3141</v>
      </c>
      <c r="B3142" s="3" t="n">
        <v>3140</v>
      </c>
      <c r="C3142" s="3" t="s">
        <v>118</v>
      </c>
      <c r="D3142" s="3" t="n">
        <v>13</v>
      </c>
      <c r="E3142" s="3" t="n">
        <v>4</v>
      </c>
      <c r="F3142" s="3" t="n">
        <v>2</v>
      </c>
      <c r="G3142" s="3" t="n">
        <v>2</v>
      </c>
      <c r="H3142" s="24" t="n">
        <v>-0.165034294</v>
      </c>
    </row>
    <row r="3143" customFormat="false" ht="15" hidden="false" customHeight="false" outlineLevel="0" collapsed="false">
      <c r="A3143" s="3" t="n">
        <v>3142</v>
      </c>
      <c r="B3143" s="3" t="n">
        <v>3141</v>
      </c>
      <c r="C3143" s="3" t="s">
        <v>118</v>
      </c>
      <c r="D3143" s="3" t="n">
        <v>13</v>
      </c>
      <c r="E3143" s="3" t="n">
        <v>5</v>
      </c>
      <c r="F3143" s="3" t="n">
        <v>0</v>
      </c>
      <c r="G3143" s="3" t="n">
        <v>0</v>
      </c>
      <c r="H3143" s="24" t="n">
        <v>0.151041076</v>
      </c>
    </row>
    <row r="3144" customFormat="false" ht="15" hidden="false" customHeight="false" outlineLevel="0" collapsed="false">
      <c r="A3144" s="3" t="n">
        <v>3143</v>
      </c>
      <c r="B3144" s="3" t="n">
        <v>3142</v>
      </c>
      <c r="C3144" s="3" t="s">
        <v>118</v>
      </c>
      <c r="D3144" s="3" t="n">
        <v>13</v>
      </c>
      <c r="E3144" s="3" t="n">
        <v>5</v>
      </c>
      <c r="F3144" s="3" t="n">
        <v>0</v>
      </c>
      <c r="G3144" s="3" t="n">
        <v>1</v>
      </c>
      <c r="H3144" s="24" t="n">
        <v>-0.158852816</v>
      </c>
    </row>
    <row r="3145" customFormat="false" ht="15" hidden="false" customHeight="false" outlineLevel="0" collapsed="false">
      <c r="A3145" s="3" t="n">
        <v>3144</v>
      </c>
      <c r="B3145" s="3" t="n">
        <v>3143</v>
      </c>
      <c r="C3145" s="3" t="s">
        <v>118</v>
      </c>
      <c r="D3145" s="3" t="n">
        <v>13</v>
      </c>
      <c r="E3145" s="3" t="n">
        <v>5</v>
      </c>
      <c r="F3145" s="3" t="n">
        <v>0</v>
      </c>
      <c r="G3145" s="3" t="n">
        <v>2</v>
      </c>
      <c r="H3145" s="24" t="n">
        <v>0.0223980807</v>
      </c>
    </row>
    <row r="3146" customFormat="false" ht="15" hidden="false" customHeight="false" outlineLevel="0" collapsed="false">
      <c r="A3146" s="3" t="n">
        <v>3145</v>
      </c>
      <c r="B3146" s="3" t="n">
        <v>3144</v>
      </c>
      <c r="C3146" s="3" t="s">
        <v>118</v>
      </c>
      <c r="D3146" s="3" t="n">
        <v>13</v>
      </c>
      <c r="E3146" s="3" t="n">
        <v>5</v>
      </c>
      <c r="F3146" s="3" t="n">
        <v>1</v>
      </c>
      <c r="G3146" s="3" t="n">
        <v>0</v>
      </c>
      <c r="H3146" s="24" t="n">
        <v>0.0741033182</v>
      </c>
    </row>
    <row r="3147" customFormat="false" ht="15" hidden="false" customHeight="false" outlineLevel="0" collapsed="false">
      <c r="A3147" s="3" t="n">
        <v>3146</v>
      </c>
      <c r="B3147" s="3" t="n">
        <v>3145</v>
      </c>
      <c r="C3147" s="3" t="s">
        <v>118</v>
      </c>
      <c r="D3147" s="3" t="n">
        <v>13</v>
      </c>
      <c r="E3147" s="3" t="n">
        <v>5</v>
      </c>
      <c r="F3147" s="3" t="n">
        <v>1</v>
      </c>
      <c r="G3147" s="3" t="n">
        <v>1</v>
      </c>
      <c r="H3147" s="24" t="n">
        <v>0.0955551639</v>
      </c>
    </row>
    <row r="3148" customFormat="false" ht="15" hidden="false" customHeight="false" outlineLevel="0" collapsed="false">
      <c r="A3148" s="3" t="n">
        <v>3147</v>
      </c>
      <c r="B3148" s="3" t="n">
        <v>3146</v>
      </c>
      <c r="C3148" s="3" t="s">
        <v>118</v>
      </c>
      <c r="D3148" s="3" t="n">
        <v>13</v>
      </c>
      <c r="E3148" s="3" t="n">
        <v>5</v>
      </c>
      <c r="F3148" s="3" t="n">
        <v>1</v>
      </c>
      <c r="G3148" s="3" t="n">
        <v>2</v>
      </c>
      <c r="H3148" s="24" t="n">
        <v>0.101132624</v>
      </c>
    </row>
    <row r="3149" customFormat="false" ht="15" hidden="false" customHeight="false" outlineLevel="0" collapsed="false">
      <c r="A3149" s="3" t="n">
        <v>3148</v>
      </c>
      <c r="B3149" s="3" t="n">
        <v>3147</v>
      </c>
      <c r="C3149" s="3" t="s">
        <v>118</v>
      </c>
      <c r="D3149" s="3" t="n">
        <v>13</v>
      </c>
      <c r="E3149" s="3" t="n">
        <v>5</v>
      </c>
      <c r="F3149" s="3" t="n">
        <v>2</v>
      </c>
      <c r="G3149" s="3" t="n">
        <v>0</v>
      </c>
      <c r="H3149" s="24" t="n">
        <v>0.0906423479</v>
      </c>
    </row>
    <row r="3150" customFormat="false" ht="15" hidden="false" customHeight="false" outlineLevel="0" collapsed="false">
      <c r="A3150" s="3" t="n">
        <v>3149</v>
      </c>
      <c r="B3150" s="3" t="n">
        <v>3148</v>
      </c>
      <c r="C3150" s="3" t="s">
        <v>118</v>
      </c>
      <c r="D3150" s="3" t="n">
        <v>13</v>
      </c>
      <c r="E3150" s="3" t="n">
        <v>5</v>
      </c>
      <c r="F3150" s="3" t="n">
        <v>2</v>
      </c>
      <c r="G3150" s="3" t="n">
        <v>1</v>
      </c>
      <c r="H3150" s="24" t="n">
        <v>0.0581677407</v>
      </c>
    </row>
    <row r="3151" customFormat="false" ht="15" hidden="false" customHeight="false" outlineLevel="0" collapsed="false">
      <c r="A3151" s="3" t="n">
        <v>3150</v>
      </c>
      <c r="B3151" s="3" t="n">
        <v>3149</v>
      </c>
      <c r="C3151" s="3" t="s">
        <v>118</v>
      </c>
      <c r="D3151" s="3" t="n">
        <v>13</v>
      </c>
      <c r="E3151" s="3" t="n">
        <v>5</v>
      </c>
      <c r="F3151" s="3" t="n">
        <v>2</v>
      </c>
      <c r="G3151" s="3" t="n">
        <v>2</v>
      </c>
      <c r="H3151" s="24" t="n">
        <v>-0.128172949</v>
      </c>
    </row>
    <row r="3152" customFormat="false" ht="15" hidden="false" customHeight="false" outlineLevel="0" collapsed="false">
      <c r="A3152" s="3" t="n">
        <v>3151</v>
      </c>
      <c r="B3152" s="3" t="n">
        <v>3150</v>
      </c>
      <c r="C3152" s="3" t="s">
        <v>118</v>
      </c>
      <c r="D3152" s="3" t="n">
        <v>13</v>
      </c>
      <c r="E3152" s="3" t="n">
        <v>6</v>
      </c>
      <c r="F3152" s="3" t="n">
        <v>0</v>
      </c>
      <c r="G3152" s="3" t="n">
        <v>0</v>
      </c>
      <c r="H3152" s="24" t="n">
        <v>0.207447797</v>
      </c>
    </row>
    <row r="3153" customFormat="false" ht="15" hidden="false" customHeight="false" outlineLevel="0" collapsed="false">
      <c r="A3153" s="3" t="n">
        <v>3152</v>
      </c>
      <c r="B3153" s="3" t="n">
        <v>3151</v>
      </c>
      <c r="C3153" s="3" t="s">
        <v>118</v>
      </c>
      <c r="D3153" s="3" t="n">
        <v>13</v>
      </c>
      <c r="E3153" s="3" t="n">
        <v>6</v>
      </c>
      <c r="F3153" s="3" t="n">
        <v>0</v>
      </c>
      <c r="G3153" s="3" t="n">
        <v>1</v>
      </c>
      <c r="H3153" s="24" t="n">
        <v>-0.0030830591</v>
      </c>
    </row>
    <row r="3154" customFormat="false" ht="15" hidden="false" customHeight="false" outlineLevel="0" collapsed="false">
      <c r="A3154" s="3" t="n">
        <v>3153</v>
      </c>
      <c r="B3154" s="3" t="n">
        <v>3152</v>
      </c>
      <c r="C3154" s="3" t="s">
        <v>118</v>
      </c>
      <c r="D3154" s="3" t="n">
        <v>13</v>
      </c>
      <c r="E3154" s="3" t="n">
        <v>6</v>
      </c>
      <c r="F3154" s="3" t="n">
        <v>0</v>
      </c>
      <c r="G3154" s="3" t="n">
        <v>2</v>
      </c>
      <c r="H3154" s="24" t="n">
        <v>0.0204663668</v>
      </c>
    </row>
    <row r="3155" customFormat="false" ht="15" hidden="false" customHeight="false" outlineLevel="0" collapsed="false">
      <c r="A3155" s="3" t="n">
        <v>3154</v>
      </c>
      <c r="B3155" s="3" t="n">
        <v>3153</v>
      </c>
      <c r="C3155" s="3" t="s">
        <v>118</v>
      </c>
      <c r="D3155" s="3" t="n">
        <v>13</v>
      </c>
      <c r="E3155" s="3" t="n">
        <v>6</v>
      </c>
      <c r="F3155" s="3" t="n">
        <v>1</v>
      </c>
      <c r="G3155" s="3" t="n">
        <v>0</v>
      </c>
      <c r="H3155" s="24" t="n">
        <v>-0.191131711</v>
      </c>
    </row>
    <row r="3156" customFormat="false" ht="15" hidden="false" customHeight="false" outlineLevel="0" collapsed="false">
      <c r="A3156" s="3" t="n">
        <v>3155</v>
      </c>
      <c r="B3156" s="3" t="n">
        <v>3154</v>
      </c>
      <c r="C3156" s="3" t="s">
        <v>118</v>
      </c>
      <c r="D3156" s="3" t="n">
        <v>13</v>
      </c>
      <c r="E3156" s="3" t="n">
        <v>6</v>
      </c>
      <c r="F3156" s="3" t="n">
        <v>1</v>
      </c>
      <c r="G3156" s="3" t="n">
        <v>1</v>
      </c>
      <c r="H3156" s="24" t="n">
        <v>0.146995366</v>
      </c>
    </row>
    <row r="3157" customFormat="false" ht="15" hidden="false" customHeight="false" outlineLevel="0" collapsed="false">
      <c r="A3157" s="3" t="n">
        <v>3156</v>
      </c>
      <c r="B3157" s="3" t="n">
        <v>3155</v>
      </c>
      <c r="C3157" s="3" t="s">
        <v>118</v>
      </c>
      <c r="D3157" s="3" t="n">
        <v>13</v>
      </c>
      <c r="E3157" s="3" t="n">
        <v>6</v>
      </c>
      <c r="F3157" s="3" t="n">
        <v>1</v>
      </c>
      <c r="G3157" s="3" t="n">
        <v>2</v>
      </c>
      <c r="H3157" s="24" t="n">
        <v>0.227348238</v>
      </c>
    </row>
    <row r="3158" customFormat="false" ht="15" hidden="false" customHeight="false" outlineLevel="0" collapsed="false">
      <c r="A3158" s="3" t="n">
        <v>3157</v>
      </c>
      <c r="B3158" s="3" t="n">
        <v>3156</v>
      </c>
      <c r="C3158" s="3" t="s">
        <v>118</v>
      </c>
      <c r="D3158" s="3" t="n">
        <v>13</v>
      </c>
      <c r="E3158" s="3" t="n">
        <v>6</v>
      </c>
      <c r="F3158" s="3" t="n">
        <v>2</v>
      </c>
      <c r="G3158" s="3" t="n">
        <v>0</v>
      </c>
      <c r="H3158" s="24" t="n">
        <v>-0.170333877</v>
      </c>
    </row>
    <row r="3159" customFormat="false" ht="15" hidden="false" customHeight="false" outlineLevel="0" collapsed="false">
      <c r="A3159" s="3" t="n">
        <v>3158</v>
      </c>
      <c r="B3159" s="3" t="n">
        <v>3157</v>
      </c>
      <c r="C3159" s="3" t="s">
        <v>118</v>
      </c>
      <c r="D3159" s="3" t="n">
        <v>13</v>
      </c>
      <c r="E3159" s="3" t="n">
        <v>6</v>
      </c>
      <c r="F3159" s="3" t="n">
        <v>2</v>
      </c>
      <c r="G3159" s="3" t="n">
        <v>1</v>
      </c>
      <c r="H3159" s="24" t="n">
        <v>-0.30149895</v>
      </c>
    </row>
    <row r="3160" customFormat="false" ht="15" hidden="false" customHeight="false" outlineLevel="0" collapsed="false">
      <c r="A3160" s="3" t="n">
        <v>3159</v>
      </c>
      <c r="B3160" s="3" t="n">
        <v>3158</v>
      </c>
      <c r="C3160" s="3" t="s">
        <v>118</v>
      </c>
      <c r="D3160" s="3" t="n">
        <v>13</v>
      </c>
      <c r="E3160" s="3" t="n">
        <v>6</v>
      </c>
      <c r="F3160" s="3" t="n">
        <v>2</v>
      </c>
      <c r="G3160" s="3" t="n">
        <v>2</v>
      </c>
      <c r="H3160" s="24" t="n">
        <v>0.0153979165</v>
      </c>
    </row>
    <row r="3161" customFormat="false" ht="15" hidden="false" customHeight="false" outlineLevel="0" collapsed="false">
      <c r="A3161" s="3" t="n">
        <v>3160</v>
      </c>
      <c r="B3161" s="3" t="n">
        <v>3159</v>
      </c>
      <c r="C3161" s="3" t="s">
        <v>118</v>
      </c>
      <c r="D3161" s="3" t="n">
        <v>13</v>
      </c>
      <c r="E3161" s="3" t="n">
        <v>7</v>
      </c>
      <c r="F3161" s="3" t="n">
        <v>0</v>
      </c>
      <c r="G3161" s="3" t="n">
        <v>0</v>
      </c>
      <c r="H3161" s="24" t="n">
        <v>0.192356303</v>
      </c>
    </row>
    <row r="3162" customFormat="false" ht="15" hidden="false" customHeight="false" outlineLevel="0" collapsed="false">
      <c r="A3162" s="3" t="n">
        <v>3161</v>
      </c>
      <c r="B3162" s="3" t="n">
        <v>3160</v>
      </c>
      <c r="C3162" s="3" t="s">
        <v>118</v>
      </c>
      <c r="D3162" s="3" t="n">
        <v>13</v>
      </c>
      <c r="E3162" s="3" t="n">
        <v>7</v>
      </c>
      <c r="F3162" s="3" t="n">
        <v>0</v>
      </c>
      <c r="G3162" s="3" t="n">
        <v>1</v>
      </c>
      <c r="H3162" s="24" t="n">
        <v>-0.0903365761</v>
      </c>
    </row>
    <row r="3163" customFormat="false" ht="15" hidden="false" customHeight="false" outlineLevel="0" collapsed="false">
      <c r="A3163" s="3" t="n">
        <v>3162</v>
      </c>
      <c r="B3163" s="3" t="n">
        <v>3161</v>
      </c>
      <c r="C3163" s="3" t="s">
        <v>118</v>
      </c>
      <c r="D3163" s="3" t="n">
        <v>13</v>
      </c>
      <c r="E3163" s="3" t="n">
        <v>7</v>
      </c>
      <c r="F3163" s="3" t="n">
        <v>0</v>
      </c>
      <c r="G3163" s="3" t="n">
        <v>2</v>
      </c>
      <c r="H3163" s="24" t="n">
        <v>0.164051726</v>
      </c>
    </row>
    <row r="3164" customFormat="false" ht="15" hidden="false" customHeight="false" outlineLevel="0" collapsed="false">
      <c r="A3164" s="3" t="n">
        <v>3163</v>
      </c>
      <c r="B3164" s="3" t="n">
        <v>3162</v>
      </c>
      <c r="C3164" s="3" t="s">
        <v>118</v>
      </c>
      <c r="D3164" s="3" t="n">
        <v>13</v>
      </c>
      <c r="E3164" s="3" t="n">
        <v>7</v>
      </c>
      <c r="F3164" s="3" t="n">
        <v>1</v>
      </c>
      <c r="G3164" s="3" t="n">
        <v>0</v>
      </c>
      <c r="H3164" s="24" t="n">
        <v>-0.100774616</v>
      </c>
    </row>
    <row r="3165" customFormat="false" ht="15" hidden="false" customHeight="false" outlineLevel="0" collapsed="false">
      <c r="A3165" s="3" t="n">
        <v>3164</v>
      </c>
      <c r="B3165" s="3" t="n">
        <v>3163</v>
      </c>
      <c r="C3165" s="3" t="s">
        <v>118</v>
      </c>
      <c r="D3165" s="3" t="n">
        <v>13</v>
      </c>
      <c r="E3165" s="3" t="n">
        <v>7</v>
      </c>
      <c r="F3165" s="3" t="n">
        <v>1</v>
      </c>
      <c r="G3165" s="3" t="n">
        <v>1</v>
      </c>
      <c r="H3165" s="24" t="n">
        <v>-0.219433203</v>
      </c>
    </row>
    <row r="3166" customFormat="false" ht="15" hidden="false" customHeight="false" outlineLevel="0" collapsed="false">
      <c r="A3166" s="3" t="n">
        <v>3165</v>
      </c>
      <c r="B3166" s="3" t="n">
        <v>3164</v>
      </c>
      <c r="C3166" s="3" t="s">
        <v>118</v>
      </c>
      <c r="D3166" s="3" t="n">
        <v>13</v>
      </c>
      <c r="E3166" s="3" t="n">
        <v>7</v>
      </c>
      <c r="F3166" s="3" t="n">
        <v>1</v>
      </c>
      <c r="G3166" s="3" t="n">
        <v>2</v>
      </c>
      <c r="H3166" s="24" t="n">
        <v>0.112179808</v>
      </c>
    </row>
    <row r="3167" customFormat="false" ht="15" hidden="false" customHeight="false" outlineLevel="0" collapsed="false">
      <c r="A3167" s="3" t="n">
        <v>3166</v>
      </c>
      <c r="B3167" s="3" t="n">
        <v>3165</v>
      </c>
      <c r="C3167" s="3" t="s">
        <v>118</v>
      </c>
      <c r="D3167" s="3" t="n">
        <v>13</v>
      </c>
      <c r="E3167" s="3" t="n">
        <v>7</v>
      </c>
      <c r="F3167" s="3" t="n">
        <v>2</v>
      </c>
      <c r="G3167" s="3" t="n">
        <v>0</v>
      </c>
      <c r="H3167" s="24" t="n">
        <v>-0.310616285</v>
      </c>
    </row>
    <row r="3168" customFormat="false" ht="15" hidden="false" customHeight="false" outlineLevel="0" collapsed="false">
      <c r="A3168" s="3" t="n">
        <v>3167</v>
      </c>
      <c r="B3168" s="3" t="n">
        <v>3166</v>
      </c>
      <c r="C3168" s="3" t="s">
        <v>118</v>
      </c>
      <c r="D3168" s="3" t="n">
        <v>13</v>
      </c>
      <c r="E3168" s="3" t="n">
        <v>7</v>
      </c>
      <c r="F3168" s="3" t="n">
        <v>2</v>
      </c>
      <c r="G3168" s="3" t="n">
        <v>1</v>
      </c>
      <c r="H3168" s="24" t="n">
        <v>-0.138967946</v>
      </c>
    </row>
    <row r="3169" customFormat="false" ht="15" hidden="false" customHeight="false" outlineLevel="0" collapsed="false">
      <c r="A3169" s="3" t="n">
        <v>3168</v>
      </c>
      <c r="B3169" s="3" t="n">
        <v>3167</v>
      </c>
      <c r="C3169" s="3" t="s">
        <v>118</v>
      </c>
      <c r="D3169" s="3" t="n">
        <v>13</v>
      </c>
      <c r="E3169" s="3" t="n">
        <v>7</v>
      </c>
      <c r="F3169" s="3" t="n">
        <v>2</v>
      </c>
      <c r="G3169" s="3" t="n">
        <v>2</v>
      </c>
      <c r="H3169" s="24" t="n">
        <v>-0.141411304</v>
      </c>
    </row>
    <row r="3170" customFormat="false" ht="15" hidden="false" customHeight="false" outlineLevel="0" collapsed="false">
      <c r="A3170" s="3" t="n">
        <v>3169</v>
      </c>
      <c r="B3170" s="3" t="n">
        <v>3168</v>
      </c>
      <c r="C3170" s="3" t="s">
        <v>118</v>
      </c>
      <c r="D3170" s="3" t="n">
        <v>13</v>
      </c>
      <c r="E3170" s="3" t="n">
        <v>8</v>
      </c>
      <c r="F3170" s="3" t="n">
        <v>0</v>
      </c>
      <c r="G3170" s="3" t="n">
        <v>0</v>
      </c>
      <c r="H3170" s="24" t="n">
        <v>-0.029412413</v>
      </c>
    </row>
    <row r="3171" customFormat="false" ht="15" hidden="false" customHeight="false" outlineLevel="0" collapsed="false">
      <c r="A3171" s="3" t="n">
        <v>3170</v>
      </c>
      <c r="B3171" s="3" t="n">
        <v>3169</v>
      </c>
      <c r="C3171" s="3" t="s">
        <v>118</v>
      </c>
      <c r="D3171" s="3" t="n">
        <v>13</v>
      </c>
      <c r="E3171" s="3" t="n">
        <v>8</v>
      </c>
      <c r="F3171" s="3" t="n">
        <v>0</v>
      </c>
      <c r="G3171" s="3" t="n">
        <v>1</v>
      </c>
      <c r="H3171" s="24" t="n">
        <v>-0.181335703</v>
      </c>
    </row>
    <row r="3172" customFormat="false" ht="15" hidden="false" customHeight="false" outlineLevel="0" collapsed="false">
      <c r="A3172" s="3" t="n">
        <v>3171</v>
      </c>
      <c r="B3172" s="3" t="n">
        <v>3170</v>
      </c>
      <c r="C3172" s="3" t="s">
        <v>118</v>
      </c>
      <c r="D3172" s="3" t="n">
        <v>13</v>
      </c>
      <c r="E3172" s="3" t="n">
        <v>8</v>
      </c>
      <c r="F3172" s="3" t="n">
        <v>0</v>
      </c>
      <c r="G3172" s="3" t="n">
        <v>2</v>
      </c>
      <c r="H3172" s="24" t="n">
        <v>-0.362630039</v>
      </c>
    </row>
    <row r="3173" customFormat="false" ht="15" hidden="false" customHeight="false" outlineLevel="0" collapsed="false">
      <c r="A3173" s="3" t="n">
        <v>3172</v>
      </c>
      <c r="B3173" s="3" t="n">
        <v>3171</v>
      </c>
      <c r="C3173" s="3" t="s">
        <v>118</v>
      </c>
      <c r="D3173" s="3" t="n">
        <v>13</v>
      </c>
      <c r="E3173" s="3" t="n">
        <v>8</v>
      </c>
      <c r="F3173" s="3" t="n">
        <v>1</v>
      </c>
      <c r="G3173" s="3" t="n">
        <v>0</v>
      </c>
      <c r="H3173" s="24" t="n">
        <v>0.311928779</v>
      </c>
    </row>
    <row r="3174" customFormat="false" ht="15" hidden="false" customHeight="false" outlineLevel="0" collapsed="false">
      <c r="A3174" s="3" t="n">
        <v>3173</v>
      </c>
      <c r="B3174" s="3" t="n">
        <v>3172</v>
      </c>
      <c r="C3174" s="3" t="s">
        <v>118</v>
      </c>
      <c r="D3174" s="3" t="n">
        <v>13</v>
      </c>
      <c r="E3174" s="3" t="n">
        <v>8</v>
      </c>
      <c r="F3174" s="3" t="n">
        <v>1</v>
      </c>
      <c r="G3174" s="3" t="n">
        <v>1</v>
      </c>
      <c r="H3174" s="24" t="n">
        <v>0.0599283017</v>
      </c>
    </row>
    <row r="3175" customFormat="false" ht="15" hidden="false" customHeight="false" outlineLevel="0" collapsed="false">
      <c r="A3175" s="3" t="n">
        <v>3174</v>
      </c>
      <c r="B3175" s="3" t="n">
        <v>3173</v>
      </c>
      <c r="C3175" s="3" t="s">
        <v>118</v>
      </c>
      <c r="D3175" s="3" t="n">
        <v>13</v>
      </c>
      <c r="E3175" s="3" t="n">
        <v>8</v>
      </c>
      <c r="F3175" s="3" t="n">
        <v>1</v>
      </c>
      <c r="G3175" s="3" t="n">
        <v>2</v>
      </c>
      <c r="H3175" s="24" t="n">
        <v>0.0206536036</v>
      </c>
    </row>
    <row r="3176" customFormat="false" ht="15" hidden="false" customHeight="false" outlineLevel="0" collapsed="false">
      <c r="A3176" s="3" t="n">
        <v>3175</v>
      </c>
      <c r="B3176" s="3" t="n">
        <v>3174</v>
      </c>
      <c r="C3176" s="3" t="s">
        <v>118</v>
      </c>
      <c r="D3176" s="3" t="n">
        <v>13</v>
      </c>
      <c r="E3176" s="3" t="n">
        <v>8</v>
      </c>
      <c r="F3176" s="3" t="n">
        <v>2</v>
      </c>
      <c r="G3176" s="3" t="n">
        <v>0</v>
      </c>
      <c r="H3176" s="24" t="n">
        <v>0.0147869866</v>
      </c>
    </row>
    <row r="3177" customFormat="false" ht="15" hidden="false" customHeight="false" outlineLevel="0" collapsed="false">
      <c r="A3177" s="3" t="n">
        <v>3176</v>
      </c>
      <c r="B3177" s="3" t="n">
        <v>3175</v>
      </c>
      <c r="C3177" s="3" t="s">
        <v>118</v>
      </c>
      <c r="D3177" s="3" t="n">
        <v>13</v>
      </c>
      <c r="E3177" s="3" t="n">
        <v>8</v>
      </c>
      <c r="F3177" s="3" t="n">
        <v>2</v>
      </c>
      <c r="G3177" s="3" t="n">
        <v>1</v>
      </c>
      <c r="H3177" s="24" t="n">
        <v>0.180345044</v>
      </c>
    </row>
    <row r="3178" customFormat="false" ht="15" hidden="false" customHeight="false" outlineLevel="0" collapsed="false">
      <c r="A3178" s="3" t="n">
        <v>3177</v>
      </c>
      <c r="B3178" s="3" t="n">
        <v>3176</v>
      </c>
      <c r="C3178" s="3" t="s">
        <v>118</v>
      </c>
      <c r="D3178" s="3" t="n">
        <v>13</v>
      </c>
      <c r="E3178" s="3" t="n">
        <v>8</v>
      </c>
      <c r="F3178" s="3" t="n">
        <v>2</v>
      </c>
      <c r="G3178" s="3" t="n">
        <v>2</v>
      </c>
      <c r="H3178" s="24" t="n">
        <v>-0.300219208</v>
      </c>
    </row>
    <row r="3179" customFormat="false" ht="15" hidden="false" customHeight="false" outlineLevel="0" collapsed="false">
      <c r="A3179" s="3" t="n">
        <v>3178</v>
      </c>
      <c r="B3179" s="3" t="n">
        <v>3177</v>
      </c>
      <c r="C3179" s="3" t="s">
        <v>118</v>
      </c>
      <c r="D3179" s="3" t="n">
        <v>13</v>
      </c>
      <c r="E3179" s="3" t="n">
        <v>9</v>
      </c>
      <c r="F3179" s="3" t="n">
        <v>0</v>
      </c>
      <c r="G3179" s="3" t="n">
        <v>0</v>
      </c>
      <c r="H3179" s="24" t="n">
        <v>0.152719647</v>
      </c>
    </row>
    <row r="3180" customFormat="false" ht="15" hidden="false" customHeight="false" outlineLevel="0" collapsed="false">
      <c r="A3180" s="3" t="n">
        <v>3179</v>
      </c>
      <c r="B3180" s="3" t="n">
        <v>3178</v>
      </c>
      <c r="C3180" s="3" t="s">
        <v>118</v>
      </c>
      <c r="D3180" s="3" t="n">
        <v>13</v>
      </c>
      <c r="E3180" s="3" t="n">
        <v>9</v>
      </c>
      <c r="F3180" s="3" t="n">
        <v>0</v>
      </c>
      <c r="G3180" s="3" t="n">
        <v>1</v>
      </c>
      <c r="H3180" s="24" t="n">
        <v>0.0704515725</v>
      </c>
    </row>
    <row r="3181" customFormat="false" ht="15" hidden="false" customHeight="false" outlineLevel="0" collapsed="false">
      <c r="A3181" s="3" t="n">
        <v>3180</v>
      </c>
      <c r="B3181" s="3" t="n">
        <v>3179</v>
      </c>
      <c r="C3181" s="3" t="s">
        <v>118</v>
      </c>
      <c r="D3181" s="3" t="n">
        <v>13</v>
      </c>
      <c r="E3181" s="3" t="n">
        <v>9</v>
      </c>
      <c r="F3181" s="3" t="n">
        <v>0</v>
      </c>
      <c r="G3181" s="3" t="n">
        <v>2</v>
      </c>
      <c r="H3181" s="24" t="n">
        <v>0.0377046391</v>
      </c>
    </row>
    <row r="3182" customFormat="false" ht="15" hidden="false" customHeight="false" outlineLevel="0" collapsed="false">
      <c r="A3182" s="3" t="n">
        <v>3181</v>
      </c>
      <c r="B3182" s="3" t="n">
        <v>3180</v>
      </c>
      <c r="C3182" s="3" t="s">
        <v>118</v>
      </c>
      <c r="D3182" s="3" t="n">
        <v>13</v>
      </c>
      <c r="E3182" s="3" t="n">
        <v>9</v>
      </c>
      <c r="F3182" s="3" t="n">
        <v>1</v>
      </c>
      <c r="G3182" s="3" t="n">
        <v>0</v>
      </c>
      <c r="H3182" s="24" t="n">
        <v>-0.228953898</v>
      </c>
    </row>
    <row r="3183" customFormat="false" ht="15" hidden="false" customHeight="false" outlineLevel="0" collapsed="false">
      <c r="A3183" s="3" t="n">
        <v>3182</v>
      </c>
      <c r="B3183" s="3" t="n">
        <v>3181</v>
      </c>
      <c r="C3183" s="3" t="s">
        <v>118</v>
      </c>
      <c r="D3183" s="3" t="n">
        <v>13</v>
      </c>
      <c r="E3183" s="3" t="n">
        <v>9</v>
      </c>
      <c r="F3183" s="3" t="n">
        <v>1</v>
      </c>
      <c r="G3183" s="3" t="n">
        <v>1</v>
      </c>
      <c r="H3183" s="24" t="n">
        <v>0.0619170703</v>
      </c>
    </row>
    <row r="3184" customFormat="false" ht="15" hidden="false" customHeight="false" outlineLevel="0" collapsed="false">
      <c r="A3184" s="3" t="n">
        <v>3183</v>
      </c>
      <c r="B3184" s="3" t="n">
        <v>3182</v>
      </c>
      <c r="C3184" s="3" t="s">
        <v>118</v>
      </c>
      <c r="D3184" s="3" t="n">
        <v>13</v>
      </c>
      <c r="E3184" s="3" t="n">
        <v>9</v>
      </c>
      <c r="F3184" s="3" t="n">
        <v>1</v>
      </c>
      <c r="G3184" s="3" t="n">
        <v>2</v>
      </c>
      <c r="H3184" s="24" t="n">
        <v>0.0145643577</v>
      </c>
    </row>
    <row r="3185" customFormat="false" ht="15" hidden="false" customHeight="false" outlineLevel="0" collapsed="false">
      <c r="A3185" s="3" t="n">
        <v>3184</v>
      </c>
      <c r="B3185" s="3" t="n">
        <v>3183</v>
      </c>
      <c r="C3185" s="3" t="s">
        <v>118</v>
      </c>
      <c r="D3185" s="3" t="n">
        <v>13</v>
      </c>
      <c r="E3185" s="3" t="n">
        <v>9</v>
      </c>
      <c r="F3185" s="3" t="n">
        <v>2</v>
      </c>
      <c r="G3185" s="3" t="n">
        <v>0</v>
      </c>
      <c r="H3185" s="24" t="n">
        <v>0.119340882</v>
      </c>
    </row>
    <row r="3186" customFormat="false" ht="15" hidden="false" customHeight="false" outlineLevel="0" collapsed="false">
      <c r="A3186" s="3" t="n">
        <v>3185</v>
      </c>
      <c r="B3186" s="3" t="n">
        <v>3184</v>
      </c>
      <c r="C3186" s="3" t="s">
        <v>118</v>
      </c>
      <c r="D3186" s="3" t="n">
        <v>13</v>
      </c>
      <c r="E3186" s="3" t="n">
        <v>9</v>
      </c>
      <c r="F3186" s="3" t="n">
        <v>2</v>
      </c>
      <c r="G3186" s="3" t="n">
        <v>1</v>
      </c>
      <c r="H3186" s="24" t="n">
        <v>0.0105224373</v>
      </c>
    </row>
    <row r="3187" customFormat="false" ht="15" hidden="false" customHeight="false" outlineLevel="0" collapsed="false">
      <c r="A3187" s="3" t="n">
        <v>3186</v>
      </c>
      <c r="B3187" s="3" t="n">
        <v>3185</v>
      </c>
      <c r="C3187" s="3" t="s">
        <v>118</v>
      </c>
      <c r="D3187" s="3" t="n">
        <v>13</v>
      </c>
      <c r="E3187" s="3" t="n">
        <v>9</v>
      </c>
      <c r="F3187" s="3" t="n">
        <v>2</v>
      </c>
      <c r="G3187" s="3" t="n">
        <v>2</v>
      </c>
      <c r="H3187" s="24" t="n">
        <v>0.0380453393</v>
      </c>
    </row>
    <row r="3188" customFormat="false" ht="15" hidden="false" customHeight="false" outlineLevel="0" collapsed="false">
      <c r="A3188" s="3" t="n">
        <v>3187</v>
      </c>
      <c r="B3188" s="3" t="n">
        <v>3186</v>
      </c>
      <c r="C3188" s="3" t="s">
        <v>118</v>
      </c>
      <c r="D3188" s="3" t="n">
        <v>13</v>
      </c>
      <c r="E3188" s="3" t="n">
        <v>10</v>
      </c>
      <c r="F3188" s="3" t="n">
        <v>0</v>
      </c>
      <c r="G3188" s="3" t="n">
        <v>0</v>
      </c>
      <c r="H3188" s="24" t="n">
        <v>0.105458245</v>
      </c>
    </row>
    <row r="3189" customFormat="false" ht="15" hidden="false" customHeight="false" outlineLevel="0" collapsed="false">
      <c r="A3189" s="3" t="n">
        <v>3188</v>
      </c>
      <c r="B3189" s="3" t="n">
        <v>3187</v>
      </c>
      <c r="C3189" s="3" t="s">
        <v>118</v>
      </c>
      <c r="D3189" s="3" t="n">
        <v>13</v>
      </c>
      <c r="E3189" s="3" t="n">
        <v>10</v>
      </c>
      <c r="F3189" s="3" t="n">
        <v>0</v>
      </c>
      <c r="G3189" s="3" t="n">
        <v>1</v>
      </c>
      <c r="H3189" s="24" t="n">
        <v>0.00685006985</v>
      </c>
    </row>
    <row r="3190" customFormat="false" ht="15" hidden="false" customHeight="false" outlineLevel="0" collapsed="false">
      <c r="A3190" s="3" t="n">
        <v>3189</v>
      </c>
      <c r="B3190" s="3" t="n">
        <v>3188</v>
      </c>
      <c r="C3190" s="3" t="s">
        <v>118</v>
      </c>
      <c r="D3190" s="3" t="n">
        <v>13</v>
      </c>
      <c r="E3190" s="3" t="n">
        <v>10</v>
      </c>
      <c r="F3190" s="3" t="n">
        <v>0</v>
      </c>
      <c r="G3190" s="3" t="n">
        <v>2</v>
      </c>
      <c r="H3190" s="24" t="n">
        <v>-0.253627211</v>
      </c>
    </row>
    <row r="3191" customFormat="false" ht="15" hidden="false" customHeight="false" outlineLevel="0" collapsed="false">
      <c r="A3191" s="3" t="n">
        <v>3190</v>
      </c>
      <c r="B3191" s="3" t="n">
        <v>3189</v>
      </c>
      <c r="C3191" s="3" t="s">
        <v>118</v>
      </c>
      <c r="D3191" s="3" t="n">
        <v>13</v>
      </c>
      <c r="E3191" s="3" t="n">
        <v>10</v>
      </c>
      <c r="F3191" s="3" t="n">
        <v>1</v>
      </c>
      <c r="G3191" s="3" t="n">
        <v>0</v>
      </c>
      <c r="H3191" s="24" t="n">
        <v>-0.00650781533</v>
      </c>
    </row>
    <row r="3192" customFormat="false" ht="15" hidden="false" customHeight="false" outlineLevel="0" collapsed="false">
      <c r="A3192" s="3" t="n">
        <v>3191</v>
      </c>
      <c r="B3192" s="3" t="n">
        <v>3190</v>
      </c>
      <c r="C3192" s="3" t="s">
        <v>118</v>
      </c>
      <c r="D3192" s="3" t="n">
        <v>13</v>
      </c>
      <c r="E3192" s="3" t="n">
        <v>10</v>
      </c>
      <c r="F3192" s="3" t="n">
        <v>1</v>
      </c>
      <c r="G3192" s="3" t="n">
        <v>1</v>
      </c>
      <c r="H3192" s="24" t="n">
        <v>-0.0268799309</v>
      </c>
    </row>
    <row r="3193" customFormat="false" ht="15" hidden="false" customHeight="false" outlineLevel="0" collapsed="false">
      <c r="A3193" s="3" t="n">
        <v>3192</v>
      </c>
      <c r="B3193" s="3" t="n">
        <v>3191</v>
      </c>
      <c r="C3193" s="3" t="s">
        <v>118</v>
      </c>
      <c r="D3193" s="3" t="n">
        <v>13</v>
      </c>
      <c r="E3193" s="3" t="n">
        <v>10</v>
      </c>
      <c r="F3193" s="3" t="n">
        <v>1</v>
      </c>
      <c r="G3193" s="3" t="n">
        <v>2</v>
      </c>
      <c r="H3193" s="24" t="n">
        <v>0.105485238</v>
      </c>
    </row>
    <row r="3194" customFormat="false" ht="15" hidden="false" customHeight="false" outlineLevel="0" collapsed="false">
      <c r="A3194" s="3" t="n">
        <v>3193</v>
      </c>
      <c r="B3194" s="3" t="n">
        <v>3192</v>
      </c>
      <c r="C3194" s="3" t="s">
        <v>118</v>
      </c>
      <c r="D3194" s="3" t="n">
        <v>13</v>
      </c>
      <c r="E3194" s="3" t="n">
        <v>10</v>
      </c>
      <c r="F3194" s="3" t="n">
        <v>2</v>
      </c>
      <c r="G3194" s="3" t="n">
        <v>0</v>
      </c>
      <c r="H3194" s="24" t="n">
        <v>-0.123119496</v>
      </c>
    </row>
    <row r="3195" customFormat="false" ht="15" hidden="false" customHeight="false" outlineLevel="0" collapsed="false">
      <c r="A3195" s="3" t="n">
        <v>3194</v>
      </c>
      <c r="B3195" s="3" t="n">
        <v>3193</v>
      </c>
      <c r="C3195" s="3" t="s">
        <v>118</v>
      </c>
      <c r="D3195" s="3" t="n">
        <v>13</v>
      </c>
      <c r="E3195" s="3" t="n">
        <v>10</v>
      </c>
      <c r="F3195" s="3" t="n">
        <v>2</v>
      </c>
      <c r="G3195" s="3" t="n">
        <v>1</v>
      </c>
      <c r="H3195" s="24" t="n">
        <v>0.0983804688</v>
      </c>
    </row>
    <row r="3196" customFormat="false" ht="15" hidden="false" customHeight="false" outlineLevel="0" collapsed="false">
      <c r="A3196" s="3" t="n">
        <v>3195</v>
      </c>
      <c r="B3196" s="3" t="n">
        <v>3194</v>
      </c>
      <c r="C3196" s="3" t="s">
        <v>118</v>
      </c>
      <c r="D3196" s="3" t="n">
        <v>13</v>
      </c>
      <c r="E3196" s="3" t="n">
        <v>10</v>
      </c>
      <c r="F3196" s="3" t="n">
        <v>2</v>
      </c>
      <c r="G3196" s="3" t="n">
        <v>2</v>
      </c>
      <c r="H3196" s="24" t="n">
        <v>-0.172815338</v>
      </c>
    </row>
    <row r="3197" customFormat="false" ht="15" hidden="false" customHeight="false" outlineLevel="0" collapsed="false">
      <c r="A3197" s="3" t="n">
        <v>3196</v>
      </c>
      <c r="B3197" s="3" t="n">
        <v>3195</v>
      </c>
      <c r="C3197" s="3" t="s">
        <v>118</v>
      </c>
      <c r="D3197" s="3" t="n">
        <v>13</v>
      </c>
      <c r="E3197" s="3" t="n">
        <v>11</v>
      </c>
      <c r="F3197" s="3" t="n">
        <v>0</v>
      </c>
      <c r="G3197" s="3" t="n">
        <v>0</v>
      </c>
      <c r="H3197" s="24" t="n">
        <v>0.0175789166</v>
      </c>
    </row>
    <row r="3198" customFormat="false" ht="15" hidden="false" customHeight="false" outlineLevel="0" collapsed="false">
      <c r="A3198" s="3" t="n">
        <v>3197</v>
      </c>
      <c r="B3198" s="3" t="n">
        <v>3196</v>
      </c>
      <c r="C3198" s="3" t="s">
        <v>118</v>
      </c>
      <c r="D3198" s="3" t="n">
        <v>13</v>
      </c>
      <c r="E3198" s="3" t="n">
        <v>11</v>
      </c>
      <c r="F3198" s="3" t="n">
        <v>0</v>
      </c>
      <c r="G3198" s="3" t="n">
        <v>1</v>
      </c>
      <c r="H3198" s="24" t="n">
        <v>-0.0813677907</v>
      </c>
    </row>
    <row r="3199" customFormat="false" ht="15" hidden="false" customHeight="false" outlineLevel="0" collapsed="false">
      <c r="A3199" s="3" t="n">
        <v>3198</v>
      </c>
      <c r="B3199" s="3" t="n">
        <v>3197</v>
      </c>
      <c r="C3199" s="3" t="s">
        <v>118</v>
      </c>
      <c r="D3199" s="3" t="n">
        <v>13</v>
      </c>
      <c r="E3199" s="3" t="n">
        <v>11</v>
      </c>
      <c r="F3199" s="3" t="n">
        <v>0</v>
      </c>
      <c r="G3199" s="3" t="n">
        <v>2</v>
      </c>
      <c r="H3199" s="24" t="n">
        <v>0.0124980323</v>
      </c>
    </row>
    <row r="3200" customFormat="false" ht="15" hidden="false" customHeight="false" outlineLevel="0" collapsed="false">
      <c r="A3200" s="3" t="n">
        <v>3199</v>
      </c>
      <c r="B3200" s="3" t="n">
        <v>3198</v>
      </c>
      <c r="C3200" s="3" t="s">
        <v>118</v>
      </c>
      <c r="D3200" s="3" t="n">
        <v>13</v>
      </c>
      <c r="E3200" s="3" t="n">
        <v>11</v>
      </c>
      <c r="F3200" s="3" t="n">
        <v>1</v>
      </c>
      <c r="G3200" s="3" t="n">
        <v>0</v>
      </c>
      <c r="H3200" s="24" t="n">
        <v>0.116153166</v>
      </c>
    </row>
    <row r="3201" customFormat="false" ht="15" hidden="false" customHeight="false" outlineLevel="0" collapsed="false">
      <c r="A3201" s="3" t="n">
        <v>3200</v>
      </c>
      <c r="B3201" s="3" t="n">
        <v>3199</v>
      </c>
      <c r="C3201" s="3" t="s">
        <v>118</v>
      </c>
      <c r="D3201" s="3" t="n">
        <v>13</v>
      </c>
      <c r="E3201" s="3" t="n">
        <v>11</v>
      </c>
      <c r="F3201" s="3" t="n">
        <v>1</v>
      </c>
      <c r="G3201" s="3" t="n">
        <v>1</v>
      </c>
      <c r="H3201" s="24" t="n">
        <v>-0.158930108</v>
      </c>
    </row>
    <row r="3202" customFormat="false" ht="15" hidden="false" customHeight="false" outlineLevel="0" collapsed="false">
      <c r="A3202" s="3" t="n">
        <v>3201</v>
      </c>
      <c r="B3202" s="3" t="n">
        <v>3200</v>
      </c>
      <c r="C3202" s="3" t="s">
        <v>118</v>
      </c>
      <c r="D3202" s="3" t="n">
        <v>13</v>
      </c>
      <c r="E3202" s="3" t="n">
        <v>11</v>
      </c>
      <c r="F3202" s="3" t="n">
        <v>1</v>
      </c>
      <c r="G3202" s="3" t="n">
        <v>2</v>
      </c>
      <c r="H3202" s="24" t="n">
        <v>-0.0189551562</v>
      </c>
    </row>
    <row r="3203" customFormat="false" ht="15" hidden="false" customHeight="false" outlineLevel="0" collapsed="false">
      <c r="A3203" s="3" t="n">
        <v>3202</v>
      </c>
      <c r="B3203" s="3" t="n">
        <v>3201</v>
      </c>
      <c r="C3203" s="3" t="s">
        <v>118</v>
      </c>
      <c r="D3203" s="3" t="n">
        <v>13</v>
      </c>
      <c r="E3203" s="3" t="n">
        <v>11</v>
      </c>
      <c r="F3203" s="3" t="n">
        <v>2</v>
      </c>
      <c r="G3203" s="3" t="n">
        <v>0</v>
      </c>
      <c r="H3203" s="24" t="n">
        <v>0.075717628</v>
      </c>
    </row>
    <row r="3204" customFormat="false" ht="15" hidden="false" customHeight="false" outlineLevel="0" collapsed="false">
      <c r="A3204" s="3" t="n">
        <v>3203</v>
      </c>
      <c r="B3204" s="3" t="n">
        <v>3202</v>
      </c>
      <c r="C3204" s="3" t="s">
        <v>118</v>
      </c>
      <c r="D3204" s="3" t="n">
        <v>13</v>
      </c>
      <c r="E3204" s="3" t="n">
        <v>11</v>
      </c>
      <c r="F3204" s="3" t="n">
        <v>2</v>
      </c>
      <c r="G3204" s="3" t="n">
        <v>1</v>
      </c>
      <c r="H3204" s="24" t="n">
        <v>-0.0139619242</v>
      </c>
    </row>
    <row r="3205" customFormat="false" ht="15" hidden="false" customHeight="false" outlineLevel="0" collapsed="false">
      <c r="A3205" s="3" t="n">
        <v>3204</v>
      </c>
      <c r="B3205" s="3" t="n">
        <v>3203</v>
      </c>
      <c r="C3205" s="3" t="s">
        <v>118</v>
      </c>
      <c r="D3205" s="3" t="n">
        <v>13</v>
      </c>
      <c r="E3205" s="3" t="n">
        <v>11</v>
      </c>
      <c r="F3205" s="3" t="n">
        <v>2</v>
      </c>
      <c r="G3205" s="3" t="n">
        <v>2</v>
      </c>
      <c r="H3205" s="24" t="n">
        <v>0.184779406</v>
      </c>
    </row>
    <row r="3206" customFormat="false" ht="15" hidden="false" customHeight="false" outlineLevel="0" collapsed="false">
      <c r="A3206" s="3" t="n">
        <v>3205</v>
      </c>
      <c r="B3206" s="3" t="n">
        <v>3204</v>
      </c>
      <c r="C3206" s="3" t="s">
        <v>118</v>
      </c>
      <c r="D3206" s="3" t="n">
        <v>13</v>
      </c>
      <c r="E3206" s="3" t="n">
        <v>12</v>
      </c>
      <c r="F3206" s="3" t="n">
        <v>0</v>
      </c>
      <c r="G3206" s="3" t="n">
        <v>0</v>
      </c>
      <c r="H3206" s="24" t="n">
        <v>0.083783932</v>
      </c>
    </row>
    <row r="3207" customFormat="false" ht="15" hidden="false" customHeight="false" outlineLevel="0" collapsed="false">
      <c r="A3207" s="3" t="n">
        <v>3206</v>
      </c>
      <c r="B3207" s="3" t="n">
        <v>3205</v>
      </c>
      <c r="C3207" s="3" t="s">
        <v>118</v>
      </c>
      <c r="D3207" s="3" t="n">
        <v>13</v>
      </c>
      <c r="E3207" s="3" t="n">
        <v>12</v>
      </c>
      <c r="F3207" s="3" t="n">
        <v>0</v>
      </c>
      <c r="G3207" s="3" t="n">
        <v>1</v>
      </c>
      <c r="H3207" s="24" t="n">
        <v>-0.0964652449</v>
      </c>
    </row>
    <row r="3208" customFormat="false" ht="15" hidden="false" customHeight="false" outlineLevel="0" collapsed="false">
      <c r="A3208" s="3" t="n">
        <v>3207</v>
      </c>
      <c r="B3208" s="3" t="n">
        <v>3206</v>
      </c>
      <c r="C3208" s="3" t="s">
        <v>118</v>
      </c>
      <c r="D3208" s="3" t="n">
        <v>13</v>
      </c>
      <c r="E3208" s="3" t="n">
        <v>12</v>
      </c>
      <c r="F3208" s="3" t="n">
        <v>0</v>
      </c>
      <c r="G3208" s="3" t="n">
        <v>2</v>
      </c>
      <c r="H3208" s="24" t="n">
        <v>-0.0792454556</v>
      </c>
    </row>
    <row r="3209" customFormat="false" ht="15" hidden="false" customHeight="false" outlineLevel="0" collapsed="false">
      <c r="A3209" s="3" t="n">
        <v>3208</v>
      </c>
      <c r="B3209" s="3" t="n">
        <v>3207</v>
      </c>
      <c r="C3209" s="3" t="s">
        <v>118</v>
      </c>
      <c r="D3209" s="3" t="n">
        <v>13</v>
      </c>
      <c r="E3209" s="3" t="n">
        <v>12</v>
      </c>
      <c r="F3209" s="3" t="n">
        <v>1</v>
      </c>
      <c r="G3209" s="3" t="n">
        <v>0</v>
      </c>
      <c r="H3209" s="24" t="n">
        <v>0.0617016256</v>
      </c>
    </row>
    <row r="3210" customFormat="false" ht="15" hidden="false" customHeight="false" outlineLevel="0" collapsed="false">
      <c r="A3210" s="3" t="n">
        <v>3209</v>
      </c>
      <c r="B3210" s="3" t="n">
        <v>3208</v>
      </c>
      <c r="C3210" s="3" t="s">
        <v>118</v>
      </c>
      <c r="D3210" s="3" t="n">
        <v>13</v>
      </c>
      <c r="E3210" s="3" t="n">
        <v>12</v>
      </c>
      <c r="F3210" s="3" t="n">
        <v>1</v>
      </c>
      <c r="G3210" s="3" t="n">
        <v>1</v>
      </c>
      <c r="H3210" s="24" t="n">
        <v>0.0829091892</v>
      </c>
    </row>
    <row r="3211" customFormat="false" ht="15" hidden="false" customHeight="false" outlineLevel="0" collapsed="false">
      <c r="A3211" s="3" t="n">
        <v>3210</v>
      </c>
      <c r="B3211" s="3" t="n">
        <v>3209</v>
      </c>
      <c r="C3211" s="3" t="s">
        <v>118</v>
      </c>
      <c r="D3211" s="3" t="n">
        <v>13</v>
      </c>
      <c r="E3211" s="3" t="n">
        <v>12</v>
      </c>
      <c r="F3211" s="3" t="n">
        <v>1</v>
      </c>
      <c r="G3211" s="3" t="n">
        <v>2</v>
      </c>
      <c r="H3211" s="24" t="n">
        <v>0.215759724</v>
      </c>
    </row>
    <row r="3212" customFormat="false" ht="15" hidden="false" customHeight="false" outlineLevel="0" collapsed="false">
      <c r="A3212" s="3" t="n">
        <v>3211</v>
      </c>
      <c r="B3212" s="3" t="n">
        <v>3210</v>
      </c>
      <c r="C3212" s="3" t="s">
        <v>118</v>
      </c>
      <c r="D3212" s="3" t="n">
        <v>13</v>
      </c>
      <c r="E3212" s="3" t="n">
        <v>12</v>
      </c>
      <c r="F3212" s="3" t="n">
        <v>2</v>
      </c>
      <c r="G3212" s="3" t="n">
        <v>0</v>
      </c>
      <c r="H3212" s="24" t="n">
        <v>-0.307022393</v>
      </c>
    </row>
    <row r="3213" customFormat="false" ht="15" hidden="false" customHeight="false" outlineLevel="0" collapsed="false">
      <c r="A3213" s="3" t="n">
        <v>3212</v>
      </c>
      <c r="B3213" s="3" t="n">
        <v>3211</v>
      </c>
      <c r="C3213" s="3" t="s">
        <v>118</v>
      </c>
      <c r="D3213" s="3" t="n">
        <v>13</v>
      </c>
      <c r="E3213" s="3" t="n">
        <v>12</v>
      </c>
      <c r="F3213" s="3" t="n">
        <v>2</v>
      </c>
      <c r="G3213" s="3" t="n">
        <v>1</v>
      </c>
      <c r="H3213" s="24" t="n">
        <v>-0.0710190684</v>
      </c>
    </row>
    <row r="3214" customFormat="false" ht="15" hidden="false" customHeight="false" outlineLevel="0" collapsed="false">
      <c r="A3214" s="3" t="n">
        <v>3213</v>
      </c>
      <c r="B3214" s="3" t="n">
        <v>3212</v>
      </c>
      <c r="C3214" s="3" t="s">
        <v>118</v>
      </c>
      <c r="D3214" s="3" t="n">
        <v>13</v>
      </c>
      <c r="E3214" s="3" t="n">
        <v>12</v>
      </c>
      <c r="F3214" s="3" t="n">
        <v>2</v>
      </c>
      <c r="G3214" s="3" t="n">
        <v>2</v>
      </c>
      <c r="H3214" s="24" t="n">
        <v>0.0610441528</v>
      </c>
    </row>
    <row r="3215" customFormat="false" ht="15" hidden="false" customHeight="false" outlineLevel="0" collapsed="false">
      <c r="A3215" s="3" t="n">
        <v>3214</v>
      </c>
      <c r="B3215" s="3" t="n">
        <v>3213</v>
      </c>
      <c r="C3215" s="3" t="s">
        <v>118</v>
      </c>
      <c r="D3215" s="3" t="n">
        <v>13</v>
      </c>
      <c r="E3215" s="3" t="n">
        <v>13</v>
      </c>
      <c r="F3215" s="3" t="n">
        <v>0</v>
      </c>
      <c r="G3215" s="3" t="n">
        <v>0</v>
      </c>
      <c r="H3215" s="24" t="n">
        <v>0.0093274042</v>
      </c>
    </row>
    <row r="3216" customFormat="false" ht="15" hidden="false" customHeight="false" outlineLevel="0" collapsed="false">
      <c r="A3216" s="3" t="n">
        <v>3215</v>
      </c>
      <c r="B3216" s="3" t="n">
        <v>3214</v>
      </c>
      <c r="C3216" s="3" t="s">
        <v>118</v>
      </c>
      <c r="D3216" s="3" t="n">
        <v>13</v>
      </c>
      <c r="E3216" s="3" t="n">
        <v>13</v>
      </c>
      <c r="F3216" s="3" t="n">
        <v>0</v>
      </c>
      <c r="G3216" s="3" t="n">
        <v>1</v>
      </c>
      <c r="H3216" s="24" t="n">
        <v>0.132327661</v>
      </c>
    </row>
    <row r="3217" customFormat="false" ht="15" hidden="false" customHeight="false" outlineLevel="0" collapsed="false">
      <c r="A3217" s="3" t="n">
        <v>3216</v>
      </c>
      <c r="B3217" s="3" t="n">
        <v>3215</v>
      </c>
      <c r="C3217" s="3" t="s">
        <v>118</v>
      </c>
      <c r="D3217" s="3" t="n">
        <v>13</v>
      </c>
      <c r="E3217" s="3" t="n">
        <v>13</v>
      </c>
      <c r="F3217" s="3" t="n">
        <v>0</v>
      </c>
      <c r="G3217" s="3" t="n">
        <v>2</v>
      </c>
      <c r="H3217" s="24" t="n">
        <v>0.195842117</v>
      </c>
    </row>
    <row r="3218" customFormat="false" ht="15" hidden="false" customHeight="false" outlineLevel="0" collapsed="false">
      <c r="A3218" s="3" t="n">
        <v>3217</v>
      </c>
      <c r="B3218" s="3" t="n">
        <v>3216</v>
      </c>
      <c r="C3218" s="3" t="s">
        <v>118</v>
      </c>
      <c r="D3218" s="3" t="n">
        <v>13</v>
      </c>
      <c r="E3218" s="3" t="n">
        <v>13</v>
      </c>
      <c r="F3218" s="3" t="n">
        <v>1</v>
      </c>
      <c r="G3218" s="3" t="n">
        <v>0</v>
      </c>
      <c r="H3218" s="24" t="n">
        <v>-0.0645856857</v>
      </c>
    </row>
    <row r="3219" customFormat="false" ht="15" hidden="false" customHeight="false" outlineLevel="0" collapsed="false">
      <c r="A3219" s="3" t="n">
        <v>3218</v>
      </c>
      <c r="B3219" s="3" t="n">
        <v>3217</v>
      </c>
      <c r="C3219" s="3" t="s">
        <v>118</v>
      </c>
      <c r="D3219" s="3" t="n">
        <v>13</v>
      </c>
      <c r="E3219" s="3" t="n">
        <v>13</v>
      </c>
      <c r="F3219" s="3" t="n">
        <v>1</v>
      </c>
      <c r="G3219" s="3" t="n">
        <v>1</v>
      </c>
      <c r="H3219" s="24" t="n">
        <v>-0.0964398086</v>
      </c>
    </row>
    <row r="3220" customFormat="false" ht="15" hidden="false" customHeight="false" outlineLevel="0" collapsed="false">
      <c r="A3220" s="3" t="n">
        <v>3219</v>
      </c>
      <c r="B3220" s="3" t="n">
        <v>3218</v>
      </c>
      <c r="C3220" s="3" t="s">
        <v>118</v>
      </c>
      <c r="D3220" s="3" t="n">
        <v>13</v>
      </c>
      <c r="E3220" s="3" t="n">
        <v>13</v>
      </c>
      <c r="F3220" s="3" t="n">
        <v>1</v>
      </c>
      <c r="G3220" s="3" t="n">
        <v>2</v>
      </c>
      <c r="H3220" s="24" t="n">
        <v>0.0831188262</v>
      </c>
    </row>
    <row r="3221" customFormat="false" ht="15" hidden="false" customHeight="false" outlineLevel="0" collapsed="false">
      <c r="A3221" s="3" t="n">
        <v>3220</v>
      </c>
      <c r="B3221" s="3" t="n">
        <v>3219</v>
      </c>
      <c r="C3221" s="3" t="s">
        <v>118</v>
      </c>
      <c r="D3221" s="3" t="n">
        <v>13</v>
      </c>
      <c r="E3221" s="3" t="n">
        <v>13</v>
      </c>
      <c r="F3221" s="3" t="n">
        <v>2</v>
      </c>
      <c r="G3221" s="3" t="n">
        <v>0</v>
      </c>
      <c r="H3221" s="24" t="n">
        <v>-0.133679792</v>
      </c>
    </row>
    <row r="3222" customFormat="false" ht="15" hidden="false" customHeight="false" outlineLevel="0" collapsed="false">
      <c r="A3222" s="3" t="n">
        <v>3221</v>
      </c>
      <c r="B3222" s="3" t="n">
        <v>3220</v>
      </c>
      <c r="C3222" s="3" t="s">
        <v>118</v>
      </c>
      <c r="D3222" s="3" t="n">
        <v>13</v>
      </c>
      <c r="E3222" s="3" t="n">
        <v>13</v>
      </c>
      <c r="F3222" s="3" t="n">
        <v>2</v>
      </c>
      <c r="G3222" s="3" t="n">
        <v>1</v>
      </c>
      <c r="H3222" s="24" t="n">
        <v>-0.274641544</v>
      </c>
    </row>
    <row r="3223" customFormat="false" ht="15" hidden="false" customHeight="false" outlineLevel="0" collapsed="false">
      <c r="A3223" s="3" t="n">
        <v>3222</v>
      </c>
      <c r="B3223" s="3" t="n">
        <v>3221</v>
      </c>
      <c r="C3223" s="3" t="s">
        <v>118</v>
      </c>
      <c r="D3223" s="3" t="n">
        <v>13</v>
      </c>
      <c r="E3223" s="3" t="n">
        <v>13</v>
      </c>
      <c r="F3223" s="3" t="n">
        <v>2</v>
      </c>
      <c r="G3223" s="3" t="n">
        <v>2</v>
      </c>
      <c r="H3223" s="24" t="n">
        <v>0.166743696</v>
      </c>
    </row>
    <row r="3224" customFormat="false" ht="15" hidden="false" customHeight="false" outlineLevel="0" collapsed="false">
      <c r="A3224" s="3" t="n">
        <v>3223</v>
      </c>
      <c r="B3224" s="3" t="n">
        <v>3222</v>
      </c>
      <c r="C3224" s="3" t="s">
        <v>118</v>
      </c>
      <c r="D3224" s="3" t="n">
        <v>13</v>
      </c>
      <c r="E3224" s="3" t="n">
        <v>14</v>
      </c>
      <c r="F3224" s="3" t="n">
        <v>0</v>
      </c>
      <c r="G3224" s="3" t="n">
        <v>0</v>
      </c>
      <c r="H3224" s="24" t="n">
        <v>-0.132606059</v>
      </c>
    </row>
    <row r="3225" customFormat="false" ht="15" hidden="false" customHeight="false" outlineLevel="0" collapsed="false">
      <c r="A3225" s="3" t="n">
        <v>3224</v>
      </c>
      <c r="B3225" s="3" t="n">
        <v>3223</v>
      </c>
      <c r="C3225" s="3" t="s">
        <v>118</v>
      </c>
      <c r="D3225" s="3" t="n">
        <v>13</v>
      </c>
      <c r="E3225" s="3" t="n">
        <v>14</v>
      </c>
      <c r="F3225" s="3" t="n">
        <v>0</v>
      </c>
      <c r="G3225" s="3" t="n">
        <v>1</v>
      </c>
      <c r="H3225" s="24" t="n">
        <v>-0.234543651</v>
      </c>
    </row>
    <row r="3226" customFormat="false" ht="15" hidden="false" customHeight="false" outlineLevel="0" collapsed="false">
      <c r="A3226" s="3" t="n">
        <v>3225</v>
      </c>
      <c r="B3226" s="3" t="n">
        <v>3224</v>
      </c>
      <c r="C3226" s="3" t="s">
        <v>118</v>
      </c>
      <c r="D3226" s="3" t="n">
        <v>13</v>
      </c>
      <c r="E3226" s="3" t="n">
        <v>14</v>
      </c>
      <c r="F3226" s="3" t="n">
        <v>0</v>
      </c>
      <c r="G3226" s="3" t="n">
        <v>2</v>
      </c>
      <c r="H3226" s="24" t="n">
        <v>-0.0807654485</v>
      </c>
    </row>
    <row r="3227" customFormat="false" ht="15" hidden="false" customHeight="false" outlineLevel="0" collapsed="false">
      <c r="A3227" s="3" t="n">
        <v>3226</v>
      </c>
      <c r="B3227" s="3" t="n">
        <v>3225</v>
      </c>
      <c r="C3227" s="3" t="s">
        <v>118</v>
      </c>
      <c r="D3227" s="3" t="n">
        <v>13</v>
      </c>
      <c r="E3227" s="3" t="n">
        <v>14</v>
      </c>
      <c r="F3227" s="3" t="n">
        <v>1</v>
      </c>
      <c r="G3227" s="3" t="n">
        <v>0</v>
      </c>
      <c r="H3227" s="24" t="n">
        <v>-0.0428010114</v>
      </c>
    </row>
    <row r="3228" customFormat="false" ht="15" hidden="false" customHeight="false" outlineLevel="0" collapsed="false">
      <c r="A3228" s="3" t="n">
        <v>3227</v>
      </c>
      <c r="B3228" s="3" t="n">
        <v>3226</v>
      </c>
      <c r="C3228" s="3" t="s">
        <v>118</v>
      </c>
      <c r="D3228" s="3" t="n">
        <v>13</v>
      </c>
      <c r="E3228" s="3" t="n">
        <v>14</v>
      </c>
      <c r="F3228" s="3" t="n">
        <v>1</v>
      </c>
      <c r="G3228" s="3" t="n">
        <v>1</v>
      </c>
      <c r="H3228" s="24" t="n">
        <v>-0.261319309</v>
      </c>
    </row>
    <row r="3229" customFormat="false" ht="15" hidden="false" customHeight="false" outlineLevel="0" collapsed="false">
      <c r="A3229" s="3" t="n">
        <v>3228</v>
      </c>
      <c r="B3229" s="3" t="n">
        <v>3227</v>
      </c>
      <c r="C3229" s="3" t="s">
        <v>118</v>
      </c>
      <c r="D3229" s="3" t="n">
        <v>13</v>
      </c>
      <c r="E3229" s="3" t="n">
        <v>14</v>
      </c>
      <c r="F3229" s="3" t="n">
        <v>1</v>
      </c>
      <c r="G3229" s="3" t="n">
        <v>2</v>
      </c>
      <c r="H3229" s="24" t="n">
        <v>-0.0790978596</v>
      </c>
    </row>
    <row r="3230" customFormat="false" ht="15" hidden="false" customHeight="false" outlineLevel="0" collapsed="false">
      <c r="A3230" s="3" t="n">
        <v>3229</v>
      </c>
      <c r="B3230" s="3" t="n">
        <v>3228</v>
      </c>
      <c r="C3230" s="3" t="s">
        <v>118</v>
      </c>
      <c r="D3230" s="3" t="n">
        <v>13</v>
      </c>
      <c r="E3230" s="3" t="n">
        <v>14</v>
      </c>
      <c r="F3230" s="3" t="n">
        <v>2</v>
      </c>
      <c r="G3230" s="3" t="n">
        <v>0</v>
      </c>
      <c r="H3230" s="24" t="n">
        <v>-0.00774805993</v>
      </c>
    </row>
    <row r="3231" customFormat="false" ht="15" hidden="false" customHeight="false" outlineLevel="0" collapsed="false">
      <c r="A3231" s="3" t="n">
        <v>3230</v>
      </c>
      <c r="B3231" s="3" t="n">
        <v>3229</v>
      </c>
      <c r="C3231" s="3" t="s">
        <v>118</v>
      </c>
      <c r="D3231" s="3" t="n">
        <v>13</v>
      </c>
      <c r="E3231" s="3" t="n">
        <v>14</v>
      </c>
      <c r="F3231" s="3" t="n">
        <v>2</v>
      </c>
      <c r="G3231" s="3" t="n">
        <v>1</v>
      </c>
      <c r="H3231" s="24" t="n">
        <v>0.413219929</v>
      </c>
    </row>
    <row r="3232" customFormat="false" ht="15" hidden="false" customHeight="false" outlineLevel="0" collapsed="false">
      <c r="A3232" s="3" t="n">
        <v>3231</v>
      </c>
      <c r="B3232" s="3" t="n">
        <v>3230</v>
      </c>
      <c r="C3232" s="3" t="s">
        <v>118</v>
      </c>
      <c r="D3232" s="3" t="n">
        <v>13</v>
      </c>
      <c r="E3232" s="3" t="n">
        <v>14</v>
      </c>
      <c r="F3232" s="3" t="n">
        <v>2</v>
      </c>
      <c r="G3232" s="3" t="n">
        <v>2</v>
      </c>
      <c r="H3232" s="24" t="n">
        <v>-0.135522678</v>
      </c>
    </row>
    <row r="3233" customFormat="false" ht="15" hidden="false" customHeight="false" outlineLevel="0" collapsed="false">
      <c r="A3233" s="3" t="n">
        <v>3232</v>
      </c>
      <c r="B3233" s="3" t="n">
        <v>3231</v>
      </c>
      <c r="C3233" s="3" t="s">
        <v>118</v>
      </c>
      <c r="D3233" s="3" t="n">
        <v>13</v>
      </c>
      <c r="E3233" s="3" t="n">
        <v>15</v>
      </c>
      <c r="F3233" s="3" t="n">
        <v>0</v>
      </c>
      <c r="G3233" s="3" t="n">
        <v>0</v>
      </c>
      <c r="H3233" s="24" t="n">
        <v>0.237669811</v>
      </c>
    </row>
    <row r="3234" customFormat="false" ht="15" hidden="false" customHeight="false" outlineLevel="0" collapsed="false">
      <c r="A3234" s="3" t="n">
        <v>3233</v>
      </c>
      <c r="B3234" s="3" t="n">
        <v>3232</v>
      </c>
      <c r="C3234" s="3" t="s">
        <v>118</v>
      </c>
      <c r="D3234" s="3" t="n">
        <v>13</v>
      </c>
      <c r="E3234" s="3" t="n">
        <v>15</v>
      </c>
      <c r="F3234" s="3" t="n">
        <v>0</v>
      </c>
      <c r="G3234" s="3" t="n">
        <v>1</v>
      </c>
      <c r="H3234" s="24" t="n">
        <v>-0.0154470447</v>
      </c>
    </row>
    <row r="3235" customFormat="false" ht="15" hidden="false" customHeight="false" outlineLevel="0" collapsed="false">
      <c r="A3235" s="3" t="n">
        <v>3234</v>
      </c>
      <c r="B3235" s="3" t="n">
        <v>3233</v>
      </c>
      <c r="C3235" s="3" t="s">
        <v>118</v>
      </c>
      <c r="D3235" s="3" t="n">
        <v>13</v>
      </c>
      <c r="E3235" s="3" t="n">
        <v>15</v>
      </c>
      <c r="F3235" s="3" t="n">
        <v>0</v>
      </c>
      <c r="G3235" s="3" t="n">
        <v>2</v>
      </c>
      <c r="H3235" s="24" t="n">
        <v>-0.141018763</v>
      </c>
    </row>
    <row r="3236" customFormat="false" ht="15" hidden="false" customHeight="false" outlineLevel="0" collapsed="false">
      <c r="A3236" s="3" t="n">
        <v>3235</v>
      </c>
      <c r="B3236" s="3" t="n">
        <v>3234</v>
      </c>
      <c r="C3236" s="3" t="s">
        <v>118</v>
      </c>
      <c r="D3236" s="3" t="n">
        <v>13</v>
      </c>
      <c r="E3236" s="3" t="n">
        <v>15</v>
      </c>
      <c r="F3236" s="3" t="n">
        <v>1</v>
      </c>
      <c r="G3236" s="3" t="n">
        <v>0</v>
      </c>
      <c r="H3236" s="24" t="n">
        <v>-0.162729204</v>
      </c>
    </row>
    <row r="3237" customFormat="false" ht="15" hidden="false" customHeight="false" outlineLevel="0" collapsed="false">
      <c r="A3237" s="3" t="n">
        <v>3236</v>
      </c>
      <c r="B3237" s="3" t="n">
        <v>3235</v>
      </c>
      <c r="C3237" s="3" t="s">
        <v>118</v>
      </c>
      <c r="D3237" s="3" t="n">
        <v>13</v>
      </c>
      <c r="E3237" s="3" t="n">
        <v>15</v>
      </c>
      <c r="F3237" s="3" t="n">
        <v>1</v>
      </c>
      <c r="G3237" s="3" t="n">
        <v>1</v>
      </c>
      <c r="H3237" s="24" t="n">
        <v>-0.249393046</v>
      </c>
    </row>
    <row r="3238" customFormat="false" ht="15" hidden="false" customHeight="false" outlineLevel="0" collapsed="false">
      <c r="A3238" s="3" t="n">
        <v>3237</v>
      </c>
      <c r="B3238" s="3" t="n">
        <v>3236</v>
      </c>
      <c r="C3238" s="3" t="s">
        <v>118</v>
      </c>
      <c r="D3238" s="3" t="n">
        <v>13</v>
      </c>
      <c r="E3238" s="3" t="n">
        <v>15</v>
      </c>
      <c r="F3238" s="3" t="n">
        <v>1</v>
      </c>
      <c r="G3238" s="3" t="n">
        <v>2</v>
      </c>
      <c r="H3238" s="24" t="n">
        <v>-0.0706060678</v>
      </c>
    </row>
    <row r="3239" customFormat="false" ht="15" hidden="false" customHeight="false" outlineLevel="0" collapsed="false">
      <c r="A3239" s="3" t="n">
        <v>3238</v>
      </c>
      <c r="B3239" s="3" t="n">
        <v>3237</v>
      </c>
      <c r="C3239" s="3" t="s">
        <v>118</v>
      </c>
      <c r="D3239" s="3" t="n">
        <v>13</v>
      </c>
      <c r="E3239" s="3" t="n">
        <v>15</v>
      </c>
      <c r="F3239" s="3" t="n">
        <v>2</v>
      </c>
      <c r="G3239" s="3" t="n">
        <v>0</v>
      </c>
      <c r="H3239" s="24" t="n">
        <v>0.0703866407</v>
      </c>
    </row>
    <row r="3240" customFormat="false" ht="15" hidden="false" customHeight="false" outlineLevel="0" collapsed="false">
      <c r="A3240" s="3" t="n">
        <v>3239</v>
      </c>
      <c r="B3240" s="3" t="n">
        <v>3238</v>
      </c>
      <c r="C3240" s="3" t="s">
        <v>118</v>
      </c>
      <c r="D3240" s="3" t="n">
        <v>13</v>
      </c>
      <c r="E3240" s="3" t="n">
        <v>15</v>
      </c>
      <c r="F3240" s="3" t="n">
        <v>2</v>
      </c>
      <c r="G3240" s="3" t="n">
        <v>1</v>
      </c>
      <c r="H3240" s="24" t="n">
        <v>0.346409172</v>
      </c>
    </row>
    <row r="3241" customFormat="false" ht="15" hidden="false" customHeight="false" outlineLevel="0" collapsed="false">
      <c r="A3241" s="3" t="n">
        <v>3240</v>
      </c>
      <c r="B3241" s="3" t="n">
        <v>3239</v>
      </c>
      <c r="C3241" s="3" t="s">
        <v>118</v>
      </c>
      <c r="D3241" s="3" t="n">
        <v>13</v>
      </c>
      <c r="E3241" s="3" t="n">
        <v>15</v>
      </c>
      <c r="F3241" s="3" t="n">
        <v>2</v>
      </c>
      <c r="G3241" s="3" t="n">
        <v>2</v>
      </c>
      <c r="H3241" s="24" t="n">
        <v>-0.0322773419</v>
      </c>
    </row>
    <row r="3242" customFormat="false" ht="15" hidden="false" customHeight="false" outlineLevel="0" collapsed="false">
      <c r="A3242" s="3" t="n">
        <v>3241</v>
      </c>
      <c r="B3242" s="3" t="n">
        <v>3240</v>
      </c>
      <c r="C3242" s="3" t="s">
        <v>118</v>
      </c>
      <c r="D3242" s="3" t="n">
        <v>14</v>
      </c>
      <c r="E3242" s="3" t="n">
        <v>0</v>
      </c>
      <c r="F3242" s="3" t="n">
        <v>0</v>
      </c>
      <c r="G3242" s="3" t="n">
        <v>0</v>
      </c>
      <c r="H3242" s="24" t="n">
        <v>-0.315808028</v>
      </c>
    </row>
    <row r="3243" customFormat="false" ht="15" hidden="false" customHeight="false" outlineLevel="0" collapsed="false">
      <c r="A3243" s="3" t="n">
        <v>3242</v>
      </c>
      <c r="B3243" s="3" t="n">
        <v>3241</v>
      </c>
      <c r="C3243" s="3" t="s">
        <v>118</v>
      </c>
      <c r="D3243" s="3" t="n">
        <v>14</v>
      </c>
      <c r="E3243" s="3" t="n">
        <v>0</v>
      </c>
      <c r="F3243" s="3" t="n">
        <v>0</v>
      </c>
      <c r="G3243" s="3" t="n">
        <v>1</v>
      </c>
      <c r="H3243" s="24" t="n">
        <v>0.0410341807</v>
      </c>
    </row>
    <row r="3244" customFormat="false" ht="15" hidden="false" customHeight="false" outlineLevel="0" collapsed="false">
      <c r="A3244" s="3" t="n">
        <v>3243</v>
      </c>
      <c r="B3244" s="3" t="n">
        <v>3242</v>
      </c>
      <c r="C3244" s="3" t="s">
        <v>118</v>
      </c>
      <c r="D3244" s="3" t="n">
        <v>14</v>
      </c>
      <c r="E3244" s="3" t="n">
        <v>0</v>
      </c>
      <c r="F3244" s="3" t="n">
        <v>0</v>
      </c>
      <c r="G3244" s="3" t="n">
        <v>2</v>
      </c>
      <c r="H3244" s="24" t="n">
        <v>0.391019821</v>
      </c>
    </row>
    <row r="3245" customFormat="false" ht="15" hidden="false" customHeight="false" outlineLevel="0" collapsed="false">
      <c r="A3245" s="3" t="n">
        <v>3244</v>
      </c>
      <c r="B3245" s="3" t="n">
        <v>3243</v>
      </c>
      <c r="C3245" s="3" t="s">
        <v>118</v>
      </c>
      <c r="D3245" s="3" t="n">
        <v>14</v>
      </c>
      <c r="E3245" s="3" t="n">
        <v>0</v>
      </c>
      <c r="F3245" s="3" t="n">
        <v>1</v>
      </c>
      <c r="G3245" s="3" t="n">
        <v>0</v>
      </c>
      <c r="H3245" s="24" t="n">
        <v>-0.327030957</v>
      </c>
    </row>
    <row r="3246" customFormat="false" ht="15" hidden="false" customHeight="false" outlineLevel="0" collapsed="false">
      <c r="A3246" s="3" t="n">
        <v>3245</v>
      </c>
      <c r="B3246" s="3" t="n">
        <v>3244</v>
      </c>
      <c r="C3246" s="3" t="s">
        <v>118</v>
      </c>
      <c r="D3246" s="3" t="n">
        <v>14</v>
      </c>
      <c r="E3246" s="3" t="n">
        <v>0</v>
      </c>
      <c r="F3246" s="3" t="n">
        <v>1</v>
      </c>
      <c r="G3246" s="3" t="n">
        <v>1</v>
      </c>
      <c r="H3246" s="24" t="n">
        <v>-0.20234479</v>
      </c>
    </row>
    <row r="3247" customFormat="false" ht="15" hidden="false" customHeight="false" outlineLevel="0" collapsed="false">
      <c r="A3247" s="3" t="n">
        <v>3246</v>
      </c>
      <c r="B3247" s="3" t="n">
        <v>3245</v>
      </c>
      <c r="C3247" s="3" t="s">
        <v>118</v>
      </c>
      <c r="D3247" s="3" t="n">
        <v>14</v>
      </c>
      <c r="E3247" s="3" t="n">
        <v>0</v>
      </c>
      <c r="F3247" s="3" t="n">
        <v>1</v>
      </c>
      <c r="G3247" s="3" t="n">
        <v>2</v>
      </c>
      <c r="H3247" s="24" t="n">
        <v>0.156458512</v>
      </c>
    </row>
    <row r="3248" customFormat="false" ht="15" hidden="false" customHeight="false" outlineLevel="0" collapsed="false">
      <c r="A3248" s="3" t="n">
        <v>3247</v>
      </c>
      <c r="B3248" s="3" t="n">
        <v>3246</v>
      </c>
      <c r="C3248" s="3" t="s">
        <v>118</v>
      </c>
      <c r="D3248" s="3" t="n">
        <v>14</v>
      </c>
      <c r="E3248" s="3" t="n">
        <v>0</v>
      </c>
      <c r="F3248" s="3" t="n">
        <v>2</v>
      </c>
      <c r="G3248" s="3" t="n">
        <v>0</v>
      </c>
      <c r="H3248" s="24" t="n">
        <v>-0.137557745</v>
      </c>
    </row>
    <row r="3249" customFormat="false" ht="15" hidden="false" customHeight="false" outlineLevel="0" collapsed="false">
      <c r="A3249" s="3" t="n">
        <v>3248</v>
      </c>
      <c r="B3249" s="3" t="n">
        <v>3247</v>
      </c>
      <c r="C3249" s="3" t="s">
        <v>118</v>
      </c>
      <c r="D3249" s="3" t="n">
        <v>14</v>
      </c>
      <c r="E3249" s="3" t="n">
        <v>0</v>
      </c>
      <c r="F3249" s="3" t="n">
        <v>2</v>
      </c>
      <c r="G3249" s="3" t="n">
        <v>1</v>
      </c>
      <c r="H3249" s="24" t="n">
        <v>-0.00970215257</v>
      </c>
    </row>
    <row r="3250" customFormat="false" ht="15" hidden="false" customHeight="false" outlineLevel="0" collapsed="false">
      <c r="A3250" s="3" t="n">
        <v>3249</v>
      </c>
      <c r="B3250" s="3" t="n">
        <v>3248</v>
      </c>
      <c r="C3250" s="3" t="s">
        <v>118</v>
      </c>
      <c r="D3250" s="3" t="n">
        <v>14</v>
      </c>
      <c r="E3250" s="3" t="n">
        <v>0</v>
      </c>
      <c r="F3250" s="3" t="n">
        <v>2</v>
      </c>
      <c r="G3250" s="3" t="n">
        <v>2</v>
      </c>
      <c r="H3250" s="24" t="n">
        <v>-0.0721562654</v>
      </c>
    </row>
    <row r="3251" customFormat="false" ht="15" hidden="false" customHeight="false" outlineLevel="0" collapsed="false">
      <c r="A3251" s="3" t="n">
        <v>3250</v>
      </c>
      <c r="B3251" s="3" t="n">
        <v>3249</v>
      </c>
      <c r="C3251" s="3" t="s">
        <v>118</v>
      </c>
      <c r="D3251" s="3" t="n">
        <v>14</v>
      </c>
      <c r="E3251" s="3" t="n">
        <v>1</v>
      </c>
      <c r="F3251" s="3" t="n">
        <v>0</v>
      </c>
      <c r="G3251" s="3" t="n">
        <v>0</v>
      </c>
      <c r="H3251" s="24" t="n">
        <v>0.0205439329</v>
      </c>
    </row>
    <row r="3252" customFormat="false" ht="15" hidden="false" customHeight="false" outlineLevel="0" collapsed="false">
      <c r="A3252" s="3" t="n">
        <v>3251</v>
      </c>
      <c r="B3252" s="3" t="n">
        <v>3250</v>
      </c>
      <c r="C3252" s="3" t="s">
        <v>118</v>
      </c>
      <c r="D3252" s="3" t="n">
        <v>14</v>
      </c>
      <c r="E3252" s="3" t="n">
        <v>1</v>
      </c>
      <c r="F3252" s="3" t="n">
        <v>0</v>
      </c>
      <c r="G3252" s="3" t="n">
        <v>1</v>
      </c>
      <c r="H3252" s="24" t="n">
        <v>-0.440517932</v>
      </c>
    </row>
    <row r="3253" customFormat="false" ht="15" hidden="false" customHeight="false" outlineLevel="0" collapsed="false">
      <c r="A3253" s="3" t="n">
        <v>3252</v>
      </c>
      <c r="B3253" s="3" t="n">
        <v>3251</v>
      </c>
      <c r="C3253" s="3" t="s">
        <v>118</v>
      </c>
      <c r="D3253" s="3" t="n">
        <v>14</v>
      </c>
      <c r="E3253" s="3" t="n">
        <v>1</v>
      </c>
      <c r="F3253" s="3" t="n">
        <v>0</v>
      </c>
      <c r="G3253" s="3" t="n">
        <v>2</v>
      </c>
      <c r="H3253" s="24" t="n">
        <v>-0.275592327</v>
      </c>
    </row>
    <row r="3254" customFormat="false" ht="15" hidden="false" customHeight="false" outlineLevel="0" collapsed="false">
      <c r="A3254" s="3" t="n">
        <v>3253</v>
      </c>
      <c r="B3254" s="3" t="n">
        <v>3252</v>
      </c>
      <c r="C3254" s="3" t="s">
        <v>118</v>
      </c>
      <c r="D3254" s="3" t="n">
        <v>14</v>
      </c>
      <c r="E3254" s="3" t="n">
        <v>1</v>
      </c>
      <c r="F3254" s="3" t="n">
        <v>1</v>
      </c>
      <c r="G3254" s="3" t="n">
        <v>0</v>
      </c>
      <c r="H3254" s="24" t="n">
        <v>-0.0841711387</v>
      </c>
    </row>
    <row r="3255" customFormat="false" ht="15" hidden="false" customHeight="false" outlineLevel="0" collapsed="false">
      <c r="A3255" s="3" t="n">
        <v>3254</v>
      </c>
      <c r="B3255" s="3" t="n">
        <v>3253</v>
      </c>
      <c r="C3255" s="3" t="s">
        <v>118</v>
      </c>
      <c r="D3255" s="3" t="n">
        <v>14</v>
      </c>
      <c r="E3255" s="3" t="n">
        <v>1</v>
      </c>
      <c r="F3255" s="3" t="n">
        <v>1</v>
      </c>
      <c r="G3255" s="3" t="n">
        <v>1</v>
      </c>
      <c r="H3255" s="24" t="n">
        <v>0.172678754</v>
      </c>
    </row>
    <row r="3256" customFormat="false" ht="15" hidden="false" customHeight="false" outlineLevel="0" collapsed="false">
      <c r="A3256" s="3" t="n">
        <v>3255</v>
      </c>
      <c r="B3256" s="3" t="n">
        <v>3254</v>
      </c>
      <c r="C3256" s="3" t="s">
        <v>118</v>
      </c>
      <c r="D3256" s="3" t="n">
        <v>14</v>
      </c>
      <c r="E3256" s="3" t="n">
        <v>1</v>
      </c>
      <c r="F3256" s="3" t="n">
        <v>1</v>
      </c>
      <c r="G3256" s="3" t="n">
        <v>2</v>
      </c>
      <c r="H3256" s="24" t="n">
        <v>0.064527072</v>
      </c>
    </row>
    <row r="3257" customFormat="false" ht="15" hidden="false" customHeight="false" outlineLevel="0" collapsed="false">
      <c r="A3257" s="3" t="n">
        <v>3256</v>
      </c>
      <c r="B3257" s="3" t="n">
        <v>3255</v>
      </c>
      <c r="C3257" s="3" t="s">
        <v>118</v>
      </c>
      <c r="D3257" s="3" t="n">
        <v>14</v>
      </c>
      <c r="E3257" s="3" t="n">
        <v>1</v>
      </c>
      <c r="F3257" s="3" t="n">
        <v>2</v>
      </c>
      <c r="G3257" s="3" t="n">
        <v>0</v>
      </c>
      <c r="H3257" s="24" t="n">
        <v>-0.000752936408</v>
      </c>
    </row>
    <row r="3258" customFormat="false" ht="15" hidden="false" customHeight="false" outlineLevel="0" collapsed="false">
      <c r="A3258" s="3" t="n">
        <v>3257</v>
      </c>
      <c r="B3258" s="3" t="n">
        <v>3256</v>
      </c>
      <c r="C3258" s="3" t="s">
        <v>118</v>
      </c>
      <c r="D3258" s="3" t="n">
        <v>14</v>
      </c>
      <c r="E3258" s="3" t="n">
        <v>1</v>
      </c>
      <c r="F3258" s="3" t="n">
        <v>2</v>
      </c>
      <c r="G3258" s="3" t="n">
        <v>1</v>
      </c>
      <c r="H3258" s="24" t="n">
        <v>-0.212473541</v>
      </c>
    </row>
    <row r="3259" customFormat="false" ht="15" hidden="false" customHeight="false" outlineLevel="0" collapsed="false">
      <c r="A3259" s="3" t="n">
        <v>3258</v>
      </c>
      <c r="B3259" s="3" t="n">
        <v>3257</v>
      </c>
      <c r="C3259" s="3" t="s">
        <v>118</v>
      </c>
      <c r="D3259" s="3" t="n">
        <v>14</v>
      </c>
      <c r="E3259" s="3" t="n">
        <v>1</v>
      </c>
      <c r="F3259" s="3" t="n">
        <v>2</v>
      </c>
      <c r="G3259" s="3" t="n">
        <v>2</v>
      </c>
      <c r="H3259" s="24" t="n">
        <v>-0.0919843987</v>
      </c>
    </row>
    <row r="3260" customFormat="false" ht="15" hidden="false" customHeight="false" outlineLevel="0" collapsed="false">
      <c r="A3260" s="3" t="n">
        <v>3259</v>
      </c>
      <c r="B3260" s="3" t="n">
        <v>3258</v>
      </c>
      <c r="C3260" s="3" t="s">
        <v>118</v>
      </c>
      <c r="D3260" s="3" t="n">
        <v>14</v>
      </c>
      <c r="E3260" s="3" t="n">
        <v>2</v>
      </c>
      <c r="F3260" s="3" t="n">
        <v>0</v>
      </c>
      <c r="G3260" s="3" t="n">
        <v>0</v>
      </c>
      <c r="H3260" s="24" t="n">
        <v>-0.103584751</v>
      </c>
    </row>
    <row r="3261" customFormat="false" ht="15" hidden="false" customHeight="false" outlineLevel="0" collapsed="false">
      <c r="A3261" s="3" t="n">
        <v>3260</v>
      </c>
      <c r="B3261" s="3" t="n">
        <v>3259</v>
      </c>
      <c r="C3261" s="3" t="s">
        <v>118</v>
      </c>
      <c r="D3261" s="3" t="n">
        <v>14</v>
      </c>
      <c r="E3261" s="3" t="n">
        <v>2</v>
      </c>
      <c r="F3261" s="3" t="n">
        <v>0</v>
      </c>
      <c r="G3261" s="3" t="n">
        <v>1</v>
      </c>
      <c r="H3261" s="24" t="n">
        <v>0.324612826</v>
      </c>
    </row>
    <row r="3262" customFormat="false" ht="15" hidden="false" customHeight="false" outlineLevel="0" collapsed="false">
      <c r="A3262" s="3" t="n">
        <v>3261</v>
      </c>
      <c r="B3262" s="3" t="n">
        <v>3260</v>
      </c>
      <c r="C3262" s="3" t="s">
        <v>118</v>
      </c>
      <c r="D3262" s="3" t="n">
        <v>14</v>
      </c>
      <c r="E3262" s="3" t="n">
        <v>2</v>
      </c>
      <c r="F3262" s="3" t="n">
        <v>0</v>
      </c>
      <c r="G3262" s="3" t="n">
        <v>2</v>
      </c>
      <c r="H3262" s="24" t="n">
        <v>-0.0798844621</v>
      </c>
    </row>
    <row r="3263" customFormat="false" ht="15" hidden="false" customHeight="false" outlineLevel="0" collapsed="false">
      <c r="A3263" s="3" t="n">
        <v>3262</v>
      </c>
      <c r="B3263" s="3" t="n">
        <v>3261</v>
      </c>
      <c r="C3263" s="3" t="s">
        <v>118</v>
      </c>
      <c r="D3263" s="3" t="n">
        <v>14</v>
      </c>
      <c r="E3263" s="3" t="n">
        <v>2</v>
      </c>
      <c r="F3263" s="3" t="n">
        <v>1</v>
      </c>
      <c r="G3263" s="3" t="n">
        <v>0</v>
      </c>
      <c r="H3263" s="24" t="n">
        <v>-0.12687096</v>
      </c>
    </row>
    <row r="3264" customFormat="false" ht="15" hidden="false" customHeight="false" outlineLevel="0" collapsed="false">
      <c r="A3264" s="3" t="n">
        <v>3263</v>
      </c>
      <c r="B3264" s="3" t="n">
        <v>3262</v>
      </c>
      <c r="C3264" s="3" t="s">
        <v>118</v>
      </c>
      <c r="D3264" s="3" t="n">
        <v>14</v>
      </c>
      <c r="E3264" s="3" t="n">
        <v>2</v>
      </c>
      <c r="F3264" s="3" t="n">
        <v>1</v>
      </c>
      <c r="G3264" s="3" t="n">
        <v>1</v>
      </c>
      <c r="H3264" s="24" t="n">
        <v>0.153091207</v>
      </c>
    </row>
    <row r="3265" customFormat="false" ht="15" hidden="false" customHeight="false" outlineLevel="0" collapsed="false">
      <c r="A3265" s="3" t="n">
        <v>3264</v>
      </c>
      <c r="B3265" s="3" t="n">
        <v>3263</v>
      </c>
      <c r="C3265" s="3" t="s">
        <v>118</v>
      </c>
      <c r="D3265" s="3" t="n">
        <v>14</v>
      </c>
      <c r="E3265" s="3" t="n">
        <v>2</v>
      </c>
      <c r="F3265" s="3" t="n">
        <v>1</v>
      </c>
      <c r="G3265" s="3" t="n">
        <v>2</v>
      </c>
      <c r="H3265" s="24" t="n">
        <v>-0.019034164</v>
      </c>
    </row>
    <row r="3266" customFormat="false" ht="15" hidden="false" customHeight="false" outlineLevel="0" collapsed="false">
      <c r="A3266" s="3" t="n">
        <v>3265</v>
      </c>
      <c r="B3266" s="3" t="n">
        <v>3264</v>
      </c>
      <c r="C3266" s="3" t="s">
        <v>118</v>
      </c>
      <c r="D3266" s="3" t="n">
        <v>14</v>
      </c>
      <c r="E3266" s="3" t="n">
        <v>2</v>
      </c>
      <c r="F3266" s="3" t="n">
        <v>2</v>
      </c>
      <c r="G3266" s="3" t="n">
        <v>0</v>
      </c>
      <c r="H3266" s="24" t="n">
        <v>0.346538931</v>
      </c>
    </row>
    <row r="3267" customFormat="false" ht="15" hidden="false" customHeight="false" outlineLevel="0" collapsed="false">
      <c r="A3267" s="3" t="n">
        <v>3266</v>
      </c>
      <c r="B3267" s="3" t="n">
        <v>3265</v>
      </c>
      <c r="C3267" s="3" t="s">
        <v>118</v>
      </c>
      <c r="D3267" s="3" t="n">
        <v>14</v>
      </c>
      <c r="E3267" s="3" t="n">
        <v>2</v>
      </c>
      <c r="F3267" s="3" t="n">
        <v>2</v>
      </c>
      <c r="G3267" s="3" t="n">
        <v>1</v>
      </c>
      <c r="H3267" s="24" t="n">
        <v>0.317568302</v>
      </c>
    </row>
    <row r="3268" customFormat="false" ht="15" hidden="false" customHeight="false" outlineLevel="0" collapsed="false">
      <c r="A3268" s="3" t="n">
        <v>3267</v>
      </c>
      <c r="B3268" s="3" t="n">
        <v>3266</v>
      </c>
      <c r="C3268" s="3" t="s">
        <v>118</v>
      </c>
      <c r="D3268" s="3" t="n">
        <v>14</v>
      </c>
      <c r="E3268" s="3" t="n">
        <v>2</v>
      </c>
      <c r="F3268" s="3" t="n">
        <v>2</v>
      </c>
      <c r="G3268" s="3" t="n">
        <v>2</v>
      </c>
      <c r="H3268" s="24" t="n">
        <v>0.0399485826</v>
      </c>
    </row>
    <row r="3269" customFormat="false" ht="15" hidden="false" customHeight="false" outlineLevel="0" collapsed="false">
      <c r="A3269" s="3" t="n">
        <v>3268</v>
      </c>
      <c r="B3269" s="3" t="n">
        <v>3267</v>
      </c>
      <c r="C3269" s="3" t="s">
        <v>118</v>
      </c>
      <c r="D3269" s="3" t="n">
        <v>14</v>
      </c>
      <c r="E3269" s="3" t="n">
        <v>3</v>
      </c>
      <c r="F3269" s="3" t="n">
        <v>0</v>
      </c>
      <c r="G3269" s="3" t="n">
        <v>0</v>
      </c>
      <c r="H3269" s="24" t="n">
        <v>0.174157456</v>
      </c>
    </row>
    <row r="3270" customFormat="false" ht="15" hidden="false" customHeight="false" outlineLevel="0" collapsed="false">
      <c r="A3270" s="3" t="n">
        <v>3269</v>
      </c>
      <c r="B3270" s="3" t="n">
        <v>3268</v>
      </c>
      <c r="C3270" s="3" t="s">
        <v>118</v>
      </c>
      <c r="D3270" s="3" t="n">
        <v>14</v>
      </c>
      <c r="E3270" s="3" t="n">
        <v>3</v>
      </c>
      <c r="F3270" s="3" t="n">
        <v>0</v>
      </c>
      <c r="G3270" s="3" t="n">
        <v>1</v>
      </c>
      <c r="H3270" s="24" t="n">
        <v>0.117356762</v>
      </c>
    </row>
    <row r="3271" customFormat="false" ht="15" hidden="false" customHeight="false" outlineLevel="0" collapsed="false">
      <c r="A3271" s="3" t="n">
        <v>3270</v>
      </c>
      <c r="B3271" s="3" t="n">
        <v>3269</v>
      </c>
      <c r="C3271" s="3" t="s">
        <v>118</v>
      </c>
      <c r="D3271" s="3" t="n">
        <v>14</v>
      </c>
      <c r="E3271" s="3" t="n">
        <v>3</v>
      </c>
      <c r="F3271" s="3" t="n">
        <v>0</v>
      </c>
      <c r="G3271" s="3" t="n">
        <v>2</v>
      </c>
      <c r="H3271" s="24" t="n">
        <v>0.255238801</v>
      </c>
    </row>
    <row r="3272" customFormat="false" ht="15" hidden="false" customHeight="false" outlineLevel="0" collapsed="false">
      <c r="A3272" s="3" t="n">
        <v>3271</v>
      </c>
      <c r="B3272" s="3" t="n">
        <v>3270</v>
      </c>
      <c r="C3272" s="3" t="s">
        <v>118</v>
      </c>
      <c r="D3272" s="3" t="n">
        <v>14</v>
      </c>
      <c r="E3272" s="3" t="n">
        <v>3</v>
      </c>
      <c r="F3272" s="3" t="n">
        <v>1</v>
      </c>
      <c r="G3272" s="3" t="n">
        <v>0</v>
      </c>
      <c r="H3272" s="24" t="n">
        <v>0.0138498787</v>
      </c>
    </row>
    <row r="3273" customFormat="false" ht="15" hidden="false" customHeight="false" outlineLevel="0" collapsed="false">
      <c r="A3273" s="3" t="n">
        <v>3272</v>
      </c>
      <c r="B3273" s="3" t="n">
        <v>3271</v>
      </c>
      <c r="C3273" s="3" t="s">
        <v>118</v>
      </c>
      <c r="D3273" s="3" t="n">
        <v>14</v>
      </c>
      <c r="E3273" s="3" t="n">
        <v>3</v>
      </c>
      <c r="F3273" s="3" t="n">
        <v>1</v>
      </c>
      <c r="G3273" s="3" t="n">
        <v>1</v>
      </c>
      <c r="H3273" s="24" t="n">
        <v>-0.0791054368</v>
      </c>
    </row>
    <row r="3274" customFormat="false" ht="15" hidden="false" customHeight="false" outlineLevel="0" collapsed="false">
      <c r="A3274" s="3" t="n">
        <v>3273</v>
      </c>
      <c r="B3274" s="3" t="n">
        <v>3272</v>
      </c>
      <c r="C3274" s="3" t="s">
        <v>118</v>
      </c>
      <c r="D3274" s="3" t="n">
        <v>14</v>
      </c>
      <c r="E3274" s="3" t="n">
        <v>3</v>
      </c>
      <c r="F3274" s="3" t="n">
        <v>1</v>
      </c>
      <c r="G3274" s="3" t="n">
        <v>2</v>
      </c>
      <c r="H3274" s="24" t="n">
        <v>-0.0932534486</v>
      </c>
    </row>
    <row r="3275" customFormat="false" ht="15" hidden="false" customHeight="false" outlineLevel="0" collapsed="false">
      <c r="A3275" s="3" t="n">
        <v>3274</v>
      </c>
      <c r="B3275" s="3" t="n">
        <v>3273</v>
      </c>
      <c r="C3275" s="3" t="s">
        <v>118</v>
      </c>
      <c r="D3275" s="3" t="n">
        <v>14</v>
      </c>
      <c r="E3275" s="3" t="n">
        <v>3</v>
      </c>
      <c r="F3275" s="3" t="n">
        <v>2</v>
      </c>
      <c r="G3275" s="3" t="n">
        <v>0</v>
      </c>
      <c r="H3275" s="24" t="n">
        <v>0.200998768</v>
      </c>
    </row>
    <row r="3276" customFormat="false" ht="15" hidden="false" customHeight="false" outlineLevel="0" collapsed="false">
      <c r="A3276" s="3" t="n">
        <v>3275</v>
      </c>
      <c r="B3276" s="3" t="n">
        <v>3274</v>
      </c>
      <c r="C3276" s="3" t="s">
        <v>118</v>
      </c>
      <c r="D3276" s="3" t="n">
        <v>14</v>
      </c>
      <c r="E3276" s="3" t="n">
        <v>3</v>
      </c>
      <c r="F3276" s="3" t="n">
        <v>2</v>
      </c>
      <c r="G3276" s="3" t="n">
        <v>1</v>
      </c>
      <c r="H3276" s="24" t="n">
        <v>-0.226110712</v>
      </c>
    </row>
    <row r="3277" customFormat="false" ht="15" hidden="false" customHeight="false" outlineLevel="0" collapsed="false">
      <c r="A3277" s="3" t="n">
        <v>3276</v>
      </c>
      <c r="B3277" s="3" t="n">
        <v>3275</v>
      </c>
      <c r="C3277" s="3" t="s">
        <v>118</v>
      </c>
      <c r="D3277" s="3" t="n">
        <v>14</v>
      </c>
      <c r="E3277" s="3" t="n">
        <v>3</v>
      </c>
      <c r="F3277" s="3" t="n">
        <v>2</v>
      </c>
      <c r="G3277" s="3" t="n">
        <v>2</v>
      </c>
      <c r="H3277" s="24" t="n">
        <v>-0.140760541</v>
      </c>
    </row>
    <row r="3278" customFormat="false" ht="15" hidden="false" customHeight="false" outlineLevel="0" collapsed="false">
      <c r="A3278" s="3" t="n">
        <v>3277</v>
      </c>
      <c r="B3278" s="3" t="n">
        <v>3276</v>
      </c>
      <c r="C3278" s="3" t="s">
        <v>118</v>
      </c>
      <c r="D3278" s="3" t="n">
        <v>14</v>
      </c>
      <c r="E3278" s="3" t="n">
        <v>4</v>
      </c>
      <c r="F3278" s="3" t="n">
        <v>0</v>
      </c>
      <c r="G3278" s="3" t="n">
        <v>0</v>
      </c>
      <c r="H3278" s="24" t="n">
        <v>-0.178139523</v>
      </c>
    </row>
    <row r="3279" customFormat="false" ht="15" hidden="false" customHeight="false" outlineLevel="0" collapsed="false">
      <c r="A3279" s="3" t="n">
        <v>3278</v>
      </c>
      <c r="B3279" s="3" t="n">
        <v>3277</v>
      </c>
      <c r="C3279" s="3" t="s">
        <v>118</v>
      </c>
      <c r="D3279" s="3" t="n">
        <v>14</v>
      </c>
      <c r="E3279" s="3" t="n">
        <v>4</v>
      </c>
      <c r="F3279" s="3" t="n">
        <v>0</v>
      </c>
      <c r="G3279" s="3" t="n">
        <v>1</v>
      </c>
      <c r="H3279" s="24" t="n">
        <v>-0.158493906</v>
      </c>
    </row>
    <row r="3280" customFormat="false" ht="15" hidden="false" customHeight="false" outlineLevel="0" collapsed="false">
      <c r="A3280" s="3" t="n">
        <v>3279</v>
      </c>
      <c r="B3280" s="3" t="n">
        <v>3278</v>
      </c>
      <c r="C3280" s="3" t="s">
        <v>118</v>
      </c>
      <c r="D3280" s="3" t="n">
        <v>14</v>
      </c>
      <c r="E3280" s="3" t="n">
        <v>4</v>
      </c>
      <c r="F3280" s="3" t="n">
        <v>0</v>
      </c>
      <c r="G3280" s="3" t="n">
        <v>2</v>
      </c>
      <c r="H3280" s="24" t="n">
        <v>0.186227307</v>
      </c>
    </row>
    <row r="3281" customFormat="false" ht="15" hidden="false" customHeight="false" outlineLevel="0" collapsed="false">
      <c r="A3281" s="3" t="n">
        <v>3280</v>
      </c>
      <c r="B3281" s="3" t="n">
        <v>3279</v>
      </c>
      <c r="C3281" s="3" t="s">
        <v>118</v>
      </c>
      <c r="D3281" s="3" t="n">
        <v>14</v>
      </c>
      <c r="E3281" s="3" t="n">
        <v>4</v>
      </c>
      <c r="F3281" s="3" t="n">
        <v>1</v>
      </c>
      <c r="G3281" s="3" t="n">
        <v>0</v>
      </c>
      <c r="H3281" s="24" t="n">
        <v>-0.215772614</v>
      </c>
    </row>
    <row r="3282" customFormat="false" ht="15" hidden="false" customHeight="false" outlineLevel="0" collapsed="false">
      <c r="A3282" s="3" t="n">
        <v>3281</v>
      </c>
      <c r="B3282" s="3" t="n">
        <v>3280</v>
      </c>
      <c r="C3282" s="3" t="s">
        <v>118</v>
      </c>
      <c r="D3282" s="3" t="n">
        <v>14</v>
      </c>
      <c r="E3282" s="3" t="n">
        <v>4</v>
      </c>
      <c r="F3282" s="3" t="n">
        <v>1</v>
      </c>
      <c r="G3282" s="3" t="n">
        <v>1</v>
      </c>
      <c r="H3282" s="24" t="n">
        <v>-0.339854062</v>
      </c>
    </row>
    <row r="3283" customFormat="false" ht="15" hidden="false" customHeight="false" outlineLevel="0" collapsed="false">
      <c r="A3283" s="3" t="n">
        <v>3282</v>
      </c>
      <c r="B3283" s="3" t="n">
        <v>3281</v>
      </c>
      <c r="C3283" s="3" t="s">
        <v>118</v>
      </c>
      <c r="D3283" s="3" t="n">
        <v>14</v>
      </c>
      <c r="E3283" s="3" t="n">
        <v>4</v>
      </c>
      <c r="F3283" s="3" t="n">
        <v>1</v>
      </c>
      <c r="G3283" s="3" t="n">
        <v>2</v>
      </c>
      <c r="H3283" s="24" t="n">
        <v>0.0973754302</v>
      </c>
    </row>
    <row r="3284" customFormat="false" ht="15" hidden="false" customHeight="false" outlineLevel="0" collapsed="false">
      <c r="A3284" s="3" t="n">
        <v>3283</v>
      </c>
      <c r="B3284" s="3" t="n">
        <v>3282</v>
      </c>
      <c r="C3284" s="3" t="s">
        <v>118</v>
      </c>
      <c r="D3284" s="3" t="n">
        <v>14</v>
      </c>
      <c r="E3284" s="3" t="n">
        <v>4</v>
      </c>
      <c r="F3284" s="3" t="n">
        <v>2</v>
      </c>
      <c r="G3284" s="3" t="n">
        <v>0</v>
      </c>
      <c r="H3284" s="24" t="n">
        <v>0.0393391028</v>
      </c>
    </row>
    <row r="3285" customFormat="false" ht="15" hidden="false" customHeight="false" outlineLevel="0" collapsed="false">
      <c r="A3285" s="3" t="n">
        <v>3284</v>
      </c>
      <c r="B3285" s="3" t="n">
        <v>3283</v>
      </c>
      <c r="C3285" s="3" t="s">
        <v>118</v>
      </c>
      <c r="D3285" s="3" t="n">
        <v>14</v>
      </c>
      <c r="E3285" s="3" t="n">
        <v>4</v>
      </c>
      <c r="F3285" s="3" t="n">
        <v>2</v>
      </c>
      <c r="G3285" s="3" t="n">
        <v>1</v>
      </c>
      <c r="H3285" s="24" t="n">
        <v>-0.186439693</v>
      </c>
    </row>
    <row r="3286" customFormat="false" ht="15" hidden="false" customHeight="false" outlineLevel="0" collapsed="false">
      <c r="A3286" s="3" t="n">
        <v>3285</v>
      </c>
      <c r="B3286" s="3" t="n">
        <v>3284</v>
      </c>
      <c r="C3286" s="3" t="s">
        <v>118</v>
      </c>
      <c r="D3286" s="3" t="n">
        <v>14</v>
      </c>
      <c r="E3286" s="3" t="n">
        <v>4</v>
      </c>
      <c r="F3286" s="3" t="n">
        <v>2</v>
      </c>
      <c r="G3286" s="3" t="n">
        <v>2</v>
      </c>
      <c r="H3286" s="24" t="n">
        <v>0.269024342</v>
      </c>
    </row>
    <row r="3287" customFormat="false" ht="15" hidden="false" customHeight="false" outlineLevel="0" collapsed="false">
      <c r="A3287" s="3" t="n">
        <v>3286</v>
      </c>
      <c r="B3287" s="3" t="n">
        <v>3285</v>
      </c>
      <c r="C3287" s="3" t="s">
        <v>118</v>
      </c>
      <c r="D3287" s="3" t="n">
        <v>14</v>
      </c>
      <c r="E3287" s="3" t="n">
        <v>5</v>
      </c>
      <c r="F3287" s="3" t="n">
        <v>0</v>
      </c>
      <c r="G3287" s="3" t="n">
        <v>0</v>
      </c>
      <c r="H3287" s="24" t="n">
        <v>-0.0459245816</v>
      </c>
    </row>
    <row r="3288" customFormat="false" ht="15" hidden="false" customHeight="false" outlineLevel="0" collapsed="false">
      <c r="A3288" s="3" t="n">
        <v>3287</v>
      </c>
      <c r="B3288" s="3" t="n">
        <v>3286</v>
      </c>
      <c r="C3288" s="3" t="s">
        <v>118</v>
      </c>
      <c r="D3288" s="3" t="n">
        <v>14</v>
      </c>
      <c r="E3288" s="3" t="n">
        <v>5</v>
      </c>
      <c r="F3288" s="3" t="n">
        <v>0</v>
      </c>
      <c r="G3288" s="3" t="n">
        <v>1</v>
      </c>
      <c r="H3288" s="24" t="n">
        <v>0.246258765</v>
      </c>
    </row>
    <row r="3289" customFormat="false" ht="15" hidden="false" customHeight="false" outlineLevel="0" collapsed="false">
      <c r="A3289" s="3" t="n">
        <v>3288</v>
      </c>
      <c r="B3289" s="3" t="n">
        <v>3287</v>
      </c>
      <c r="C3289" s="3" t="s">
        <v>118</v>
      </c>
      <c r="D3289" s="3" t="n">
        <v>14</v>
      </c>
      <c r="E3289" s="3" t="n">
        <v>5</v>
      </c>
      <c r="F3289" s="3" t="n">
        <v>0</v>
      </c>
      <c r="G3289" s="3" t="n">
        <v>2</v>
      </c>
      <c r="H3289" s="24" t="n">
        <v>0.100718908</v>
      </c>
    </row>
    <row r="3290" customFormat="false" ht="15" hidden="false" customHeight="false" outlineLevel="0" collapsed="false">
      <c r="A3290" s="3" t="n">
        <v>3289</v>
      </c>
      <c r="B3290" s="3" t="n">
        <v>3288</v>
      </c>
      <c r="C3290" s="3" t="s">
        <v>118</v>
      </c>
      <c r="D3290" s="3" t="n">
        <v>14</v>
      </c>
      <c r="E3290" s="3" t="n">
        <v>5</v>
      </c>
      <c r="F3290" s="3" t="n">
        <v>1</v>
      </c>
      <c r="G3290" s="3" t="n">
        <v>0</v>
      </c>
      <c r="H3290" s="24" t="n">
        <v>0.174560413</v>
      </c>
    </row>
    <row r="3291" customFormat="false" ht="15" hidden="false" customHeight="false" outlineLevel="0" collapsed="false">
      <c r="A3291" s="3" t="n">
        <v>3290</v>
      </c>
      <c r="B3291" s="3" t="n">
        <v>3289</v>
      </c>
      <c r="C3291" s="3" t="s">
        <v>118</v>
      </c>
      <c r="D3291" s="3" t="n">
        <v>14</v>
      </c>
      <c r="E3291" s="3" t="n">
        <v>5</v>
      </c>
      <c r="F3291" s="3" t="n">
        <v>1</v>
      </c>
      <c r="G3291" s="3" t="n">
        <v>1</v>
      </c>
      <c r="H3291" s="24" t="n">
        <v>-0.127086625</v>
      </c>
    </row>
    <row r="3292" customFormat="false" ht="15" hidden="false" customHeight="false" outlineLevel="0" collapsed="false">
      <c r="A3292" s="3" t="n">
        <v>3291</v>
      </c>
      <c r="B3292" s="3" t="n">
        <v>3290</v>
      </c>
      <c r="C3292" s="3" t="s">
        <v>118</v>
      </c>
      <c r="D3292" s="3" t="n">
        <v>14</v>
      </c>
      <c r="E3292" s="3" t="n">
        <v>5</v>
      </c>
      <c r="F3292" s="3" t="n">
        <v>1</v>
      </c>
      <c r="G3292" s="3" t="n">
        <v>2</v>
      </c>
      <c r="H3292" s="24" t="n">
        <v>-0.293921441</v>
      </c>
    </row>
    <row r="3293" customFormat="false" ht="15" hidden="false" customHeight="false" outlineLevel="0" collapsed="false">
      <c r="A3293" s="3" t="n">
        <v>3292</v>
      </c>
      <c r="B3293" s="3" t="n">
        <v>3291</v>
      </c>
      <c r="C3293" s="3" t="s">
        <v>118</v>
      </c>
      <c r="D3293" s="3" t="n">
        <v>14</v>
      </c>
      <c r="E3293" s="3" t="n">
        <v>5</v>
      </c>
      <c r="F3293" s="3" t="n">
        <v>2</v>
      </c>
      <c r="G3293" s="3" t="n">
        <v>0</v>
      </c>
      <c r="H3293" s="24" t="n">
        <v>0.0970168486</v>
      </c>
    </row>
    <row r="3294" customFormat="false" ht="15" hidden="false" customHeight="false" outlineLevel="0" collapsed="false">
      <c r="A3294" s="3" t="n">
        <v>3293</v>
      </c>
      <c r="B3294" s="3" t="n">
        <v>3292</v>
      </c>
      <c r="C3294" s="3" t="s">
        <v>118</v>
      </c>
      <c r="D3294" s="3" t="n">
        <v>14</v>
      </c>
      <c r="E3294" s="3" t="n">
        <v>5</v>
      </c>
      <c r="F3294" s="3" t="n">
        <v>2</v>
      </c>
      <c r="G3294" s="3" t="n">
        <v>1</v>
      </c>
      <c r="H3294" s="24" t="n">
        <v>-0.242527843</v>
      </c>
    </row>
    <row r="3295" customFormat="false" ht="15" hidden="false" customHeight="false" outlineLevel="0" collapsed="false">
      <c r="A3295" s="3" t="n">
        <v>3294</v>
      </c>
      <c r="B3295" s="3" t="n">
        <v>3293</v>
      </c>
      <c r="C3295" s="3" t="s">
        <v>118</v>
      </c>
      <c r="D3295" s="3" t="n">
        <v>14</v>
      </c>
      <c r="E3295" s="3" t="n">
        <v>5</v>
      </c>
      <c r="F3295" s="3" t="n">
        <v>2</v>
      </c>
      <c r="G3295" s="3" t="n">
        <v>2</v>
      </c>
      <c r="H3295" s="24" t="n">
        <v>-0.0829297155</v>
      </c>
    </row>
    <row r="3296" customFormat="false" ht="15" hidden="false" customHeight="false" outlineLevel="0" collapsed="false">
      <c r="A3296" s="3" t="n">
        <v>3295</v>
      </c>
      <c r="B3296" s="3" t="n">
        <v>3294</v>
      </c>
      <c r="C3296" s="3" t="s">
        <v>118</v>
      </c>
      <c r="D3296" s="3" t="n">
        <v>14</v>
      </c>
      <c r="E3296" s="3" t="n">
        <v>6</v>
      </c>
      <c r="F3296" s="3" t="n">
        <v>0</v>
      </c>
      <c r="G3296" s="3" t="n">
        <v>0</v>
      </c>
      <c r="H3296" s="24" t="n">
        <v>0.0948028713</v>
      </c>
    </row>
    <row r="3297" customFormat="false" ht="15" hidden="false" customHeight="false" outlineLevel="0" collapsed="false">
      <c r="A3297" s="3" t="n">
        <v>3296</v>
      </c>
      <c r="B3297" s="3" t="n">
        <v>3295</v>
      </c>
      <c r="C3297" s="3" t="s">
        <v>118</v>
      </c>
      <c r="D3297" s="3" t="n">
        <v>14</v>
      </c>
      <c r="E3297" s="3" t="n">
        <v>6</v>
      </c>
      <c r="F3297" s="3" t="n">
        <v>0</v>
      </c>
      <c r="G3297" s="3" t="n">
        <v>1</v>
      </c>
      <c r="H3297" s="24" t="n">
        <v>-0.214415982</v>
      </c>
    </row>
    <row r="3298" customFormat="false" ht="15" hidden="false" customHeight="false" outlineLevel="0" collapsed="false">
      <c r="A3298" s="3" t="n">
        <v>3297</v>
      </c>
      <c r="B3298" s="3" t="n">
        <v>3296</v>
      </c>
      <c r="C3298" s="3" t="s">
        <v>118</v>
      </c>
      <c r="D3298" s="3" t="n">
        <v>14</v>
      </c>
      <c r="E3298" s="3" t="n">
        <v>6</v>
      </c>
      <c r="F3298" s="3" t="n">
        <v>0</v>
      </c>
      <c r="G3298" s="3" t="n">
        <v>2</v>
      </c>
      <c r="H3298" s="24" t="n">
        <v>-0.145759791</v>
      </c>
    </row>
    <row r="3299" customFormat="false" ht="15" hidden="false" customHeight="false" outlineLevel="0" collapsed="false">
      <c r="A3299" s="3" t="n">
        <v>3298</v>
      </c>
      <c r="B3299" s="3" t="n">
        <v>3297</v>
      </c>
      <c r="C3299" s="3" t="s">
        <v>118</v>
      </c>
      <c r="D3299" s="3" t="n">
        <v>14</v>
      </c>
      <c r="E3299" s="3" t="n">
        <v>6</v>
      </c>
      <c r="F3299" s="3" t="n">
        <v>1</v>
      </c>
      <c r="G3299" s="3" t="n">
        <v>0</v>
      </c>
      <c r="H3299" s="24" t="n">
        <v>0.273177534</v>
      </c>
    </row>
    <row r="3300" customFormat="false" ht="15" hidden="false" customHeight="false" outlineLevel="0" collapsed="false">
      <c r="A3300" s="3" t="n">
        <v>3299</v>
      </c>
      <c r="B3300" s="3" t="n">
        <v>3298</v>
      </c>
      <c r="C3300" s="3" t="s">
        <v>118</v>
      </c>
      <c r="D3300" s="3" t="n">
        <v>14</v>
      </c>
      <c r="E3300" s="3" t="n">
        <v>6</v>
      </c>
      <c r="F3300" s="3" t="n">
        <v>1</v>
      </c>
      <c r="G3300" s="3" t="n">
        <v>1</v>
      </c>
      <c r="H3300" s="24" t="n">
        <v>0.0269053634</v>
      </c>
    </row>
    <row r="3301" customFormat="false" ht="15" hidden="false" customHeight="false" outlineLevel="0" collapsed="false">
      <c r="A3301" s="3" t="n">
        <v>3300</v>
      </c>
      <c r="B3301" s="3" t="n">
        <v>3299</v>
      </c>
      <c r="C3301" s="3" t="s">
        <v>118</v>
      </c>
      <c r="D3301" s="3" t="n">
        <v>14</v>
      </c>
      <c r="E3301" s="3" t="n">
        <v>6</v>
      </c>
      <c r="F3301" s="3" t="n">
        <v>1</v>
      </c>
      <c r="G3301" s="3" t="n">
        <v>2</v>
      </c>
      <c r="H3301" s="24" t="n">
        <v>-0.358367532</v>
      </c>
    </row>
    <row r="3302" customFormat="false" ht="15" hidden="false" customHeight="false" outlineLevel="0" collapsed="false">
      <c r="A3302" s="3" t="n">
        <v>3301</v>
      </c>
      <c r="B3302" s="3" t="n">
        <v>3300</v>
      </c>
      <c r="C3302" s="3" t="s">
        <v>118</v>
      </c>
      <c r="D3302" s="3" t="n">
        <v>14</v>
      </c>
      <c r="E3302" s="3" t="n">
        <v>6</v>
      </c>
      <c r="F3302" s="3" t="n">
        <v>2</v>
      </c>
      <c r="G3302" s="3" t="n">
        <v>0</v>
      </c>
      <c r="H3302" s="24" t="n">
        <v>-0.00742801651</v>
      </c>
    </row>
    <row r="3303" customFormat="false" ht="15" hidden="false" customHeight="false" outlineLevel="0" collapsed="false">
      <c r="A3303" s="3" t="n">
        <v>3302</v>
      </c>
      <c r="B3303" s="3" t="n">
        <v>3301</v>
      </c>
      <c r="C3303" s="3" t="s">
        <v>118</v>
      </c>
      <c r="D3303" s="3" t="n">
        <v>14</v>
      </c>
      <c r="E3303" s="3" t="n">
        <v>6</v>
      </c>
      <c r="F3303" s="3" t="n">
        <v>2</v>
      </c>
      <c r="G3303" s="3" t="n">
        <v>1</v>
      </c>
      <c r="H3303" s="24" t="n">
        <v>-0.0608182549</v>
      </c>
    </row>
    <row r="3304" customFormat="false" ht="15" hidden="false" customHeight="false" outlineLevel="0" collapsed="false">
      <c r="A3304" s="3" t="n">
        <v>3303</v>
      </c>
      <c r="B3304" s="3" t="n">
        <v>3302</v>
      </c>
      <c r="C3304" s="3" t="s">
        <v>118</v>
      </c>
      <c r="D3304" s="3" t="n">
        <v>14</v>
      </c>
      <c r="E3304" s="3" t="n">
        <v>6</v>
      </c>
      <c r="F3304" s="3" t="n">
        <v>2</v>
      </c>
      <c r="G3304" s="3" t="n">
        <v>2</v>
      </c>
      <c r="H3304" s="24" t="n">
        <v>-0.495451123</v>
      </c>
    </row>
    <row r="3305" customFormat="false" ht="15" hidden="false" customHeight="false" outlineLevel="0" collapsed="false">
      <c r="A3305" s="3" t="n">
        <v>3304</v>
      </c>
      <c r="B3305" s="3" t="n">
        <v>3303</v>
      </c>
      <c r="C3305" s="3" t="s">
        <v>118</v>
      </c>
      <c r="D3305" s="3" t="n">
        <v>14</v>
      </c>
      <c r="E3305" s="3" t="n">
        <v>7</v>
      </c>
      <c r="F3305" s="3" t="n">
        <v>0</v>
      </c>
      <c r="G3305" s="3" t="n">
        <v>0</v>
      </c>
      <c r="H3305" s="24" t="n">
        <v>-0.0309640672</v>
      </c>
    </row>
    <row r="3306" customFormat="false" ht="15" hidden="false" customHeight="false" outlineLevel="0" collapsed="false">
      <c r="A3306" s="3" t="n">
        <v>3305</v>
      </c>
      <c r="B3306" s="3" t="n">
        <v>3304</v>
      </c>
      <c r="C3306" s="3" t="s">
        <v>118</v>
      </c>
      <c r="D3306" s="3" t="n">
        <v>14</v>
      </c>
      <c r="E3306" s="3" t="n">
        <v>7</v>
      </c>
      <c r="F3306" s="3" t="n">
        <v>0</v>
      </c>
      <c r="G3306" s="3" t="n">
        <v>1</v>
      </c>
      <c r="H3306" s="24" t="n">
        <v>0.0320385471</v>
      </c>
    </row>
    <row r="3307" customFormat="false" ht="15" hidden="false" customHeight="false" outlineLevel="0" collapsed="false">
      <c r="A3307" s="3" t="n">
        <v>3306</v>
      </c>
      <c r="B3307" s="3" t="n">
        <v>3305</v>
      </c>
      <c r="C3307" s="3" t="s">
        <v>118</v>
      </c>
      <c r="D3307" s="3" t="n">
        <v>14</v>
      </c>
      <c r="E3307" s="3" t="n">
        <v>7</v>
      </c>
      <c r="F3307" s="3" t="n">
        <v>0</v>
      </c>
      <c r="G3307" s="3" t="n">
        <v>2</v>
      </c>
      <c r="H3307" s="24" t="n">
        <v>0.0772243813</v>
      </c>
    </row>
    <row r="3308" customFormat="false" ht="15" hidden="false" customHeight="false" outlineLevel="0" collapsed="false">
      <c r="A3308" s="3" t="n">
        <v>3307</v>
      </c>
      <c r="B3308" s="3" t="n">
        <v>3306</v>
      </c>
      <c r="C3308" s="3" t="s">
        <v>118</v>
      </c>
      <c r="D3308" s="3" t="n">
        <v>14</v>
      </c>
      <c r="E3308" s="3" t="n">
        <v>7</v>
      </c>
      <c r="F3308" s="3" t="n">
        <v>1</v>
      </c>
      <c r="G3308" s="3" t="n">
        <v>0</v>
      </c>
      <c r="H3308" s="24" t="n">
        <v>0.00578476349</v>
      </c>
    </row>
    <row r="3309" customFormat="false" ht="15" hidden="false" customHeight="false" outlineLevel="0" collapsed="false">
      <c r="A3309" s="3" t="n">
        <v>3308</v>
      </c>
      <c r="B3309" s="3" t="n">
        <v>3307</v>
      </c>
      <c r="C3309" s="3" t="s">
        <v>118</v>
      </c>
      <c r="D3309" s="3" t="n">
        <v>14</v>
      </c>
      <c r="E3309" s="3" t="n">
        <v>7</v>
      </c>
      <c r="F3309" s="3" t="n">
        <v>1</v>
      </c>
      <c r="G3309" s="3" t="n">
        <v>1</v>
      </c>
      <c r="H3309" s="24" t="n">
        <v>-0.429749191</v>
      </c>
    </row>
    <row r="3310" customFormat="false" ht="15" hidden="false" customHeight="false" outlineLevel="0" collapsed="false">
      <c r="A3310" s="3" t="n">
        <v>3309</v>
      </c>
      <c r="B3310" s="3" t="n">
        <v>3308</v>
      </c>
      <c r="C3310" s="3" t="s">
        <v>118</v>
      </c>
      <c r="D3310" s="3" t="n">
        <v>14</v>
      </c>
      <c r="E3310" s="3" t="n">
        <v>7</v>
      </c>
      <c r="F3310" s="3" t="n">
        <v>1</v>
      </c>
      <c r="G3310" s="3" t="n">
        <v>2</v>
      </c>
      <c r="H3310" s="24" t="n">
        <v>-0.241871059</v>
      </c>
    </row>
    <row r="3311" customFormat="false" ht="15" hidden="false" customHeight="false" outlineLevel="0" collapsed="false">
      <c r="A3311" s="3" t="n">
        <v>3310</v>
      </c>
      <c r="B3311" s="3" t="n">
        <v>3309</v>
      </c>
      <c r="C3311" s="3" t="s">
        <v>118</v>
      </c>
      <c r="D3311" s="3" t="n">
        <v>14</v>
      </c>
      <c r="E3311" s="3" t="n">
        <v>7</v>
      </c>
      <c r="F3311" s="3" t="n">
        <v>2</v>
      </c>
      <c r="G3311" s="3" t="n">
        <v>0</v>
      </c>
      <c r="H3311" s="24" t="n">
        <v>0.0704595372</v>
      </c>
    </row>
    <row r="3312" customFormat="false" ht="15" hidden="false" customHeight="false" outlineLevel="0" collapsed="false">
      <c r="A3312" s="3" t="n">
        <v>3311</v>
      </c>
      <c r="B3312" s="3" t="n">
        <v>3310</v>
      </c>
      <c r="C3312" s="3" t="s">
        <v>118</v>
      </c>
      <c r="D3312" s="3" t="n">
        <v>14</v>
      </c>
      <c r="E3312" s="3" t="n">
        <v>7</v>
      </c>
      <c r="F3312" s="3" t="n">
        <v>2</v>
      </c>
      <c r="G3312" s="3" t="n">
        <v>1</v>
      </c>
      <c r="H3312" s="24" t="n">
        <v>-0.000639834558</v>
      </c>
    </row>
    <row r="3313" customFormat="false" ht="15" hidden="false" customHeight="false" outlineLevel="0" collapsed="false">
      <c r="A3313" s="3" t="n">
        <v>3312</v>
      </c>
      <c r="B3313" s="3" t="n">
        <v>3311</v>
      </c>
      <c r="C3313" s="3" t="s">
        <v>118</v>
      </c>
      <c r="D3313" s="3" t="n">
        <v>14</v>
      </c>
      <c r="E3313" s="3" t="n">
        <v>7</v>
      </c>
      <c r="F3313" s="3" t="n">
        <v>2</v>
      </c>
      <c r="G3313" s="3" t="n">
        <v>2</v>
      </c>
      <c r="H3313" s="24" t="n">
        <v>-0.0979085416</v>
      </c>
    </row>
    <row r="3314" customFormat="false" ht="15" hidden="false" customHeight="false" outlineLevel="0" collapsed="false">
      <c r="A3314" s="3" t="n">
        <v>3313</v>
      </c>
      <c r="B3314" s="3" t="n">
        <v>3312</v>
      </c>
      <c r="C3314" s="3" t="s">
        <v>118</v>
      </c>
      <c r="D3314" s="3" t="n">
        <v>14</v>
      </c>
      <c r="E3314" s="3" t="n">
        <v>8</v>
      </c>
      <c r="F3314" s="3" t="n">
        <v>0</v>
      </c>
      <c r="G3314" s="3" t="n">
        <v>0</v>
      </c>
      <c r="H3314" s="24" t="n">
        <v>-0.0899424776</v>
      </c>
    </row>
    <row r="3315" customFormat="false" ht="15" hidden="false" customHeight="false" outlineLevel="0" collapsed="false">
      <c r="A3315" s="3" t="n">
        <v>3314</v>
      </c>
      <c r="B3315" s="3" t="n">
        <v>3313</v>
      </c>
      <c r="C3315" s="3" t="s">
        <v>118</v>
      </c>
      <c r="D3315" s="3" t="n">
        <v>14</v>
      </c>
      <c r="E3315" s="3" t="n">
        <v>8</v>
      </c>
      <c r="F3315" s="3" t="n">
        <v>0</v>
      </c>
      <c r="G3315" s="3" t="n">
        <v>1</v>
      </c>
      <c r="H3315" s="24" t="n">
        <v>0.0135031156</v>
      </c>
    </row>
    <row r="3316" customFormat="false" ht="15" hidden="false" customHeight="false" outlineLevel="0" collapsed="false">
      <c r="A3316" s="3" t="n">
        <v>3315</v>
      </c>
      <c r="B3316" s="3" t="n">
        <v>3314</v>
      </c>
      <c r="C3316" s="3" t="s">
        <v>118</v>
      </c>
      <c r="D3316" s="3" t="n">
        <v>14</v>
      </c>
      <c r="E3316" s="3" t="n">
        <v>8</v>
      </c>
      <c r="F3316" s="3" t="n">
        <v>0</v>
      </c>
      <c r="G3316" s="3" t="n">
        <v>2</v>
      </c>
      <c r="H3316" s="24" t="n">
        <v>0.18398276</v>
      </c>
    </row>
    <row r="3317" customFormat="false" ht="15" hidden="false" customHeight="false" outlineLevel="0" collapsed="false">
      <c r="A3317" s="3" t="n">
        <v>3316</v>
      </c>
      <c r="B3317" s="3" t="n">
        <v>3315</v>
      </c>
      <c r="C3317" s="3" t="s">
        <v>118</v>
      </c>
      <c r="D3317" s="3" t="n">
        <v>14</v>
      </c>
      <c r="E3317" s="3" t="n">
        <v>8</v>
      </c>
      <c r="F3317" s="3" t="n">
        <v>1</v>
      </c>
      <c r="G3317" s="3" t="n">
        <v>0</v>
      </c>
      <c r="H3317" s="24" t="n">
        <v>0.0889123902</v>
      </c>
    </row>
    <row r="3318" customFormat="false" ht="15" hidden="false" customHeight="false" outlineLevel="0" collapsed="false">
      <c r="A3318" s="3" t="n">
        <v>3317</v>
      </c>
      <c r="B3318" s="3" t="n">
        <v>3316</v>
      </c>
      <c r="C3318" s="3" t="s">
        <v>118</v>
      </c>
      <c r="D3318" s="3" t="n">
        <v>14</v>
      </c>
      <c r="E3318" s="3" t="n">
        <v>8</v>
      </c>
      <c r="F3318" s="3" t="n">
        <v>1</v>
      </c>
      <c r="G3318" s="3" t="n">
        <v>1</v>
      </c>
      <c r="H3318" s="24" t="n">
        <v>-0.0285166409</v>
      </c>
    </row>
    <row r="3319" customFormat="false" ht="15" hidden="false" customHeight="false" outlineLevel="0" collapsed="false">
      <c r="A3319" s="3" t="n">
        <v>3318</v>
      </c>
      <c r="B3319" s="3" t="n">
        <v>3317</v>
      </c>
      <c r="C3319" s="3" t="s">
        <v>118</v>
      </c>
      <c r="D3319" s="3" t="n">
        <v>14</v>
      </c>
      <c r="E3319" s="3" t="n">
        <v>8</v>
      </c>
      <c r="F3319" s="3" t="n">
        <v>1</v>
      </c>
      <c r="G3319" s="3" t="n">
        <v>2</v>
      </c>
      <c r="H3319" s="24" t="n">
        <v>0.12175297</v>
      </c>
    </row>
    <row r="3320" customFormat="false" ht="15" hidden="false" customHeight="false" outlineLevel="0" collapsed="false">
      <c r="A3320" s="3" t="n">
        <v>3319</v>
      </c>
      <c r="B3320" s="3" t="n">
        <v>3318</v>
      </c>
      <c r="C3320" s="3" t="s">
        <v>118</v>
      </c>
      <c r="D3320" s="3" t="n">
        <v>14</v>
      </c>
      <c r="E3320" s="3" t="n">
        <v>8</v>
      </c>
      <c r="F3320" s="3" t="n">
        <v>2</v>
      </c>
      <c r="G3320" s="3" t="n">
        <v>0</v>
      </c>
      <c r="H3320" s="24" t="n">
        <v>0.298325032</v>
      </c>
    </row>
    <row r="3321" customFormat="false" ht="15" hidden="false" customHeight="false" outlineLevel="0" collapsed="false">
      <c r="A3321" s="3" t="n">
        <v>3320</v>
      </c>
      <c r="B3321" s="3" t="n">
        <v>3319</v>
      </c>
      <c r="C3321" s="3" t="s">
        <v>118</v>
      </c>
      <c r="D3321" s="3" t="n">
        <v>14</v>
      </c>
      <c r="E3321" s="3" t="n">
        <v>8</v>
      </c>
      <c r="F3321" s="3" t="n">
        <v>2</v>
      </c>
      <c r="G3321" s="3" t="n">
        <v>1</v>
      </c>
      <c r="H3321" s="24" t="n">
        <v>-0.135829151</v>
      </c>
    </row>
    <row r="3322" customFormat="false" ht="15" hidden="false" customHeight="false" outlineLevel="0" collapsed="false">
      <c r="A3322" s="3" t="n">
        <v>3321</v>
      </c>
      <c r="B3322" s="3" t="n">
        <v>3320</v>
      </c>
      <c r="C3322" s="3" t="s">
        <v>118</v>
      </c>
      <c r="D3322" s="3" t="n">
        <v>14</v>
      </c>
      <c r="E3322" s="3" t="n">
        <v>8</v>
      </c>
      <c r="F3322" s="3" t="n">
        <v>2</v>
      </c>
      <c r="G3322" s="3" t="n">
        <v>2</v>
      </c>
      <c r="H3322" s="24" t="n">
        <v>-0.0255642291</v>
      </c>
    </row>
    <row r="3323" customFormat="false" ht="15" hidden="false" customHeight="false" outlineLevel="0" collapsed="false">
      <c r="A3323" s="3" t="n">
        <v>3322</v>
      </c>
      <c r="B3323" s="3" t="n">
        <v>3321</v>
      </c>
      <c r="C3323" s="3" t="s">
        <v>118</v>
      </c>
      <c r="D3323" s="3" t="n">
        <v>14</v>
      </c>
      <c r="E3323" s="3" t="n">
        <v>9</v>
      </c>
      <c r="F3323" s="3" t="n">
        <v>0</v>
      </c>
      <c r="G3323" s="3" t="n">
        <v>0</v>
      </c>
      <c r="H3323" s="24" t="n">
        <v>0.121684588</v>
      </c>
    </row>
    <row r="3324" customFormat="false" ht="15" hidden="false" customHeight="false" outlineLevel="0" collapsed="false">
      <c r="A3324" s="3" t="n">
        <v>3323</v>
      </c>
      <c r="B3324" s="3" t="n">
        <v>3322</v>
      </c>
      <c r="C3324" s="3" t="s">
        <v>118</v>
      </c>
      <c r="D3324" s="3" t="n">
        <v>14</v>
      </c>
      <c r="E3324" s="3" t="n">
        <v>9</v>
      </c>
      <c r="F3324" s="3" t="n">
        <v>0</v>
      </c>
      <c r="G3324" s="3" t="n">
        <v>1</v>
      </c>
      <c r="H3324" s="24" t="n">
        <v>0.0626608878</v>
      </c>
    </row>
    <row r="3325" customFormat="false" ht="15" hidden="false" customHeight="false" outlineLevel="0" collapsed="false">
      <c r="A3325" s="3" t="n">
        <v>3324</v>
      </c>
      <c r="B3325" s="3" t="n">
        <v>3323</v>
      </c>
      <c r="C3325" s="3" t="s">
        <v>118</v>
      </c>
      <c r="D3325" s="3" t="n">
        <v>14</v>
      </c>
      <c r="E3325" s="3" t="n">
        <v>9</v>
      </c>
      <c r="F3325" s="3" t="n">
        <v>0</v>
      </c>
      <c r="G3325" s="3" t="n">
        <v>2</v>
      </c>
      <c r="H3325" s="24" t="n">
        <v>-0.244304419</v>
      </c>
    </row>
    <row r="3326" customFormat="false" ht="15" hidden="false" customHeight="false" outlineLevel="0" collapsed="false">
      <c r="A3326" s="3" t="n">
        <v>3325</v>
      </c>
      <c r="B3326" s="3" t="n">
        <v>3324</v>
      </c>
      <c r="C3326" s="3" t="s">
        <v>118</v>
      </c>
      <c r="D3326" s="3" t="n">
        <v>14</v>
      </c>
      <c r="E3326" s="3" t="n">
        <v>9</v>
      </c>
      <c r="F3326" s="3" t="n">
        <v>1</v>
      </c>
      <c r="G3326" s="3" t="n">
        <v>0</v>
      </c>
      <c r="H3326" s="24" t="n">
        <v>0.0122276749</v>
      </c>
    </row>
    <row r="3327" customFormat="false" ht="15" hidden="false" customHeight="false" outlineLevel="0" collapsed="false">
      <c r="A3327" s="3" t="n">
        <v>3326</v>
      </c>
      <c r="B3327" s="3" t="n">
        <v>3325</v>
      </c>
      <c r="C3327" s="3" t="s">
        <v>118</v>
      </c>
      <c r="D3327" s="3" t="n">
        <v>14</v>
      </c>
      <c r="E3327" s="3" t="n">
        <v>9</v>
      </c>
      <c r="F3327" s="3" t="n">
        <v>1</v>
      </c>
      <c r="G3327" s="3" t="n">
        <v>1</v>
      </c>
      <c r="H3327" s="24" t="n">
        <v>0.0913851112</v>
      </c>
    </row>
    <row r="3328" customFormat="false" ht="15" hidden="false" customHeight="false" outlineLevel="0" collapsed="false">
      <c r="A3328" s="3" t="n">
        <v>3327</v>
      </c>
      <c r="B3328" s="3" t="n">
        <v>3326</v>
      </c>
      <c r="C3328" s="3" t="s">
        <v>118</v>
      </c>
      <c r="D3328" s="3" t="n">
        <v>14</v>
      </c>
      <c r="E3328" s="3" t="n">
        <v>9</v>
      </c>
      <c r="F3328" s="3" t="n">
        <v>1</v>
      </c>
      <c r="G3328" s="3" t="n">
        <v>2</v>
      </c>
      <c r="H3328" s="24" t="n">
        <v>0.269287139</v>
      </c>
    </row>
    <row r="3329" customFormat="false" ht="15" hidden="false" customHeight="false" outlineLevel="0" collapsed="false">
      <c r="A3329" s="3" t="n">
        <v>3328</v>
      </c>
      <c r="B3329" s="3" t="n">
        <v>3327</v>
      </c>
      <c r="C3329" s="3" t="s">
        <v>118</v>
      </c>
      <c r="D3329" s="3" t="n">
        <v>14</v>
      </c>
      <c r="E3329" s="3" t="n">
        <v>9</v>
      </c>
      <c r="F3329" s="3" t="n">
        <v>2</v>
      </c>
      <c r="G3329" s="3" t="n">
        <v>0</v>
      </c>
      <c r="H3329" s="24" t="n">
        <v>-0.0585879721</v>
      </c>
    </row>
    <row r="3330" customFormat="false" ht="15" hidden="false" customHeight="false" outlineLevel="0" collapsed="false">
      <c r="A3330" s="3" t="n">
        <v>3329</v>
      </c>
      <c r="B3330" s="3" t="n">
        <v>3328</v>
      </c>
      <c r="C3330" s="3" t="s">
        <v>118</v>
      </c>
      <c r="D3330" s="3" t="n">
        <v>14</v>
      </c>
      <c r="E3330" s="3" t="n">
        <v>9</v>
      </c>
      <c r="F3330" s="3" t="n">
        <v>2</v>
      </c>
      <c r="G3330" s="3" t="n">
        <v>1</v>
      </c>
      <c r="H3330" s="24" t="n">
        <v>0.0488056093</v>
      </c>
    </row>
    <row r="3331" customFormat="false" ht="15" hidden="false" customHeight="false" outlineLevel="0" collapsed="false">
      <c r="A3331" s="3" t="n">
        <v>3330</v>
      </c>
      <c r="B3331" s="3" t="n">
        <v>3329</v>
      </c>
      <c r="C3331" s="3" t="s">
        <v>118</v>
      </c>
      <c r="D3331" s="3" t="n">
        <v>14</v>
      </c>
      <c r="E3331" s="3" t="n">
        <v>9</v>
      </c>
      <c r="F3331" s="3" t="n">
        <v>2</v>
      </c>
      <c r="G3331" s="3" t="n">
        <v>2</v>
      </c>
      <c r="H3331" s="24" t="n">
        <v>-0.0424047858</v>
      </c>
    </row>
    <row r="3332" customFormat="false" ht="15" hidden="false" customHeight="false" outlineLevel="0" collapsed="false">
      <c r="A3332" s="3" t="n">
        <v>3331</v>
      </c>
      <c r="B3332" s="3" t="n">
        <v>3330</v>
      </c>
      <c r="C3332" s="3" t="s">
        <v>118</v>
      </c>
      <c r="D3332" s="3" t="n">
        <v>14</v>
      </c>
      <c r="E3332" s="3" t="n">
        <v>10</v>
      </c>
      <c r="F3332" s="3" t="n">
        <v>0</v>
      </c>
      <c r="G3332" s="3" t="n">
        <v>0</v>
      </c>
      <c r="H3332" s="24" t="n">
        <v>0.0799313262</v>
      </c>
    </row>
    <row r="3333" customFormat="false" ht="15" hidden="false" customHeight="false" outlineLevel="0" collapsed="false">
      <c r="A3333" s="3" t="n">
        <v>3332</v>
      </c>
      <c r="B3333" s="3" t="n">
        <v>3331</v>
      </c>
      <c r="C3333" s="3" t="s">
        <v>118</v>
      </c>
      <c r="D3333" s="3" t="n">
        <v>14</v>
      </c>
      <c r="E3333" s="3" t="n">
        <v>10</v>
      </c>
      <c r="F3333" s="3" t="n">
        <v>0</v>
      </c>
      <c r="G3333" s="3" t="n">
        <v>1</v>
      </c>
      <c r="H3333" s="24" t="n">
        <v>-0.127965808</v>
      </c>
    </row>
    <row r="3334" customFormat="false" ht="15" hidden="false" customHeight="false" outlineLevel="0" collapsed="false">
      <c r="A3334" s="3" t="n">
        <v>3333</v>
      </c>
      <c r="B3334" s="3" t="n">
        <v>3332</v>
      </c>
      <c r="C3334" s="3" t="s">
        <v>118</v>
      </c>
      <c r="D3334" s="3" t="n">
        <v>14</v>
      </c>
      <c r="E3334" s="3" t="n">
        <v>10</v>
      </c>
      <c r="F3334" s="3" t="n">
        <v>0</v>
      </c>
      <c r="G3334" s="3" t="n">
        <v>2</v>
      </c>
      <c r="H3334" s="24" t="n">
        <v>-0.251617461</v>
      </c>
    </row>
    <row r="3335" customFormat="false" ht="15" hidden="false" customHeight="false" outlineLevel="0" collapsed="false">
      <c r="A3335" s="3" t="n">
        <v>3334</v>
      </c>
      <c r="B3335" s="3" t="n">
        <v>3333</v>
      </c>
      <c r="C3335" s="3" t="s">
        <v>118</v>
      </c>
      <c r="D3335" s="3" t="n">
        <v>14</v>
      </c>
      <c r="E3335" s="3" t="n">
        <v>10</v>
      </c>
      <c r="F3335" s="3" t="n">
        <v>1</v>
      </c>
      <c r="G3335" s="3" t="n">
        <v>0</v>
      </c>
      <c r="H3335" s="24" t="n">
        <v>0.0539566241</v>
      </c>
    </row>
    <row r="3336" customFormat="false" ht="15" hidden="false" customHeight="false" outlineLevel="0" collapsed="false">
      <c r="A3336" s="3" t="n">
        <v>3335</v>
      </c>
      <c r="B3336" s="3" t="n">
        <v>3334</v>
      </c>
      <c r="C3336" s="3" t="s">
        <v>118</v>
      </c>
      <c r="D3336" s="3" t="n">
        <v>14</v>
      </c>
      <c r="E3336" s="3" t="n">
        <v>10</v>
      </c>
      <c r="F3336" s="3" t="n">
        <v>1</v>
      </c>
      <c r="G3336" s="3" t="n">
        <v>1</v>
      </c>
      <c r="H3336" s="24" t="n">
        <v>0.0435606465</v>
      </c>
    </row>
    <row r="3337" customFormat="false" ht="15" hidden="false" customHeight="false" outlineLevel="0" collapsed="false">
      <c r="A3337" s="3" t="n">
        <v>3336</v>
      </c>
      <c r="B3337" s="3" t="n">
        <v>3335</v>
      </c>
      <c r="C3337" s="3" t="s">
        <v>118</v>
      </c>
      <c r="D3337" s="3" t="n">
        <v>14</v>
      </c>
      <c r="E3337" s="3" t="n">
        <v>10</v>
      </c>
      <c r="F3337" s="3" t="n">
        <v>1</v>
      </c>
      <c r="G3337" s="3" t="n">
        <v>2</v>
      </c>
      <c r="H3337" s="24" t="n">
        <v>0.00920832809</v>
      </c>
    </row>
    <row r="3338" customFormat="false" ht="15" hidden="false" customHeight="false" outlineLevel="0" collapsed="false">
      <c r="A3338" s="3" t="n">
        <v>3337</v>
      </c>
      <c r="B3338" s="3" t="n">
        <v>3336</v>
      </c>
      <c r="C3338" s="3" t="s">
        <v>118</v>
      </c>
      <c r="D3338" s="3" t="n">
        <v>14</v>
      </c>
      <c r="E3338" s="3" t="n">
        <v>10</v>
      </c>
      <c r="F3338" s="3" t="n">
        <v>2</v>
      </c>
      <c r="G3338" s="3" t="n">
        <v>0</v>
      </c>
      <c r="H3338" s="24" t="n">
        <v>0.164466307</v>
      </c>
    </row>
    <row r="3339" customFormat="false" ht="15" hidden="false" customHeight="false" outlineLevel="0" collapsed="false">
      <c r="A3339" s="3" t="n">
        <v>3338</v>
      </c>
      <c r="B3339" s="3" t="n">
        <v>3337</v>
      </c>
      <c r="C3339" s="3" t="s">
        <v>118</v>
      </c>
      <c r="D3339" s="3" t="n">
        <v>14</v>
      </c>
      <c r="E3339" s="3" t="n">
        <v>10</v>
      </c>
      <c r="F3339" s="3" t="n">
        <v>2</v>
      </c>
      <c r="G3339" s="3" t="n">
        <v>1</v>
      </c>
      <c r="H3339" s="24" t="n">
        <v>-0.0854443759</v>
      </c>
    </row>
    <row r="3340" customFormat="false" ht="15" hidden="false" customHeight="false" outlineLevel="0" collapsed="false">
      <c r="A3340" s="3" t="n">
        <v>3339</v>
      </c>
      <c r="B3340" s="3" t="n">
        <v>3338</v>
      </c>
      <c r="C3340" s="3" t="s">
        <v>118</v>
      </c>
      <c r="D3340" s="3" t="n">
        <v>14</v>
      </c>
      <c r="E3340" s="3" t="n">
        <v>10</v>
      </c>
      <c r="F3340" s="3" t="n">
        <v>2</v>
      </c>
      <c r="G3340" s="3" t="n">
        <v>2</v>
      </c>
      <c r="H3340" s="24" t="n">
        <v>0.0445821658</v>
      </c>
    </row>
    <row r="3341" customFormat="false" ht="15" hidden="false" customHeight="false" outlineLevel="0" collapsed="false">
      <c r="A3341" s="3" t="n">
        <v>3340</v>
      </c>
      <c r="B3341" s="3" t="n">
        <v>3339</v>
      </c>
      <c r="C3341" s="3" t="s">
        <v>118</v>
      </c>
      <c r="D3341" s="3" t="n">
        <v>14</v>
      </c>
      <c r="E3341" s="3" t="n">
        <v>11</v>
      </c>
      <c r="F3341" s="3" t="n">
        <v>0</v>
      </c>
      <c r="G3341" s="3" t="n">
        <v>0</v>
      </c>
      <c r="H3341" s="24" t="n">
        <v>-0.0239962656</v>
      </c>
    </row>
    <row r="3342" customFormat="false" ht="15" hidden="false" customHeight="false" outlineLevel="0" collapsed="false">
      <c r="A3342" s="3" t="n">
        <v>3341</v>
      </c>
      <c r="B3342" s="3" t="n">
        <v>3340</v>
      </c>
      <c r="C3342" s="3" t="s">
        <v>118</v>
      </c>
      <c r="D3342" s="3" t="n">
        <v>14</v>
      </c>
      <c r="E3342" s="3" t="n">
        <v>11</v>
      </c>
      <c r="F3342" s="3" t="n">
        <v>0</v>
      </c>
      <c r="G3342" s="3" t="n">
        <v>1</v>
      </c>
      <c r="H3342" s="24" t="n">
        <v>-0.0557860173</v>
      </c>
    </row>
    <row r="3343" customFormat="false" ht="15" hidden="false" customHeight="false" outlineLevel="0" collapsed="false">
      <c r="A3343" s="3" t="n">
        <v>3342</v>
      </c>
      <c r="B3343" s="3" t="n">
        <v>3341</v>
      </c>
      <c r="C3343" s="3" t="s">
        <v>118</v>
      </c>
      <c r="D3343" s="3" t="n">
        <v>14</v>
      </c>
      <c r="E3343" s="3" t="n">
        <v>11</v>
      </c>
      <c r="F3343" s="3" t="n">
        <v>0</v>
      </c>
      <c r="G3343" s="3" t="n">
        <v>2</v>
      </c>
      <c r="H3343" s="24" t="n">
        <v>0.00778295193</v>
      </c>
    </row>
    <row r="3344" customFormat="false" ht="15" hidden="false" customHeight="false" outlineLevel="0" collapsed="false">
      <c r="A3344" s="3" t="n">
        <v>3343</v>
      </c>
      <c r="B3344" s="3" t="n">
        <v>3342</v>
      </c>
      <c r="C3344" s="3" t="s">
        <v>118</v>
      </c>
      <c r="D3344" s="3" t="n">
        <v>14</v>
      </c>
      <c r="E3344" s="3" t="n">
        <v>11</v>
      </c>
      <c r="F3344" s="3" t="n">
        <v>1</v>
      </c>
      <c r="G3344" s="3" t="n">
        <v>0</v>
      </c>
      <c r="H3344" s="24" t="n">
        <v>0.0180219375</v>
      </c>
    </row>
    <row r="3345" customFormat="false" ht="15" hidden="false" customHeight="false" outlineLevel="0" collapsed="false">
      <c r="A3345" s="3" t="n">
        <v>3344</v>
      </c>
      <c r="B3345" s="3" t="n">
        <v>3343</v>
      </c>
      <c r="C3345" s="3" t="s">
        <v>118</v>
      </c>
      <c r="D3345" s="3" t="n">
        <v>14</v>
      </c>
      <c r="E3345" s="3" t="n">
        <v>11</v>
      </c>
      <c r="F3345" s="3" t="n">
        <v>1</v>
      </c>
      <c r="G3345" s="3" t="n">
        <v>1</v>
      </c>
      <c r="H3345" s="24" t="n">
        <v>0.0547148287</v>
      </c>
    </row>
    <row r="3346" customFormat="false" ht="15" hidden="false" customHeight="false" outlineLevel="0" collapsed="false">
      <c r="A3346" s="3" t="n">
        <v>3345</v>
      </c>
      <c r="B3346" s="3" t="n">
        <v>3344</v>
      </c>
      <c r="C3346" s="3" t="s">
        <v>118</v>
      </c>
      <c r="D3346" s="3" t="n">
        <v>14</v>
      </c>
      <c r="E3346" s="3" t="n">
        <v>11</v>
      </c>
      <c r="F3346" s="3" t="n">
        <v>1</v>
      </c>
      <c r="G3346" s="3" t="n">
        <v>2</v>
      </c>
      <c r="H3346" s="24" t="n">
        <v>0.247360483</v>
      </c>
    </row>
    <row r="3347" customFormat="false" ht="15" hidden="false" customHeight="false" outlineLevel="0" collapsed="false">
      <c r="A3347" s="3" t="n">
        <v>3346</v>
      </c>
      <c r="B3347" s="3" t="n">
        <v>3345</v>
      </c>
      <c r="C3347" s="3" t="s">
        <v>118</v>
      </c>
      <c r="D3347" s="3" t="n">
        <v>14</v>
      </c>
      <c r="E3347" s="3" t="n">
        <v>11</v>
      </c>
      <c r="F3347" s="3" t="n">
        <v>2</v>
      </c>
      <c r="G3347" s="3" t="n">
        <v>0</v>
      </c>
      <c r="H3347" s="24" t="n">
        <v>0.170078903</v>
      </c>
    </row>
    <row r="3348" customFormat="false" ht="15" hidden="false" customHeight="false" outlineLevel="0" collapsed="false">
      <c r="A3348" s="3" t="n">
        <v>3347</v>
      </c>
      <c r="B3348" s="3" t="n">
        <v>3346</v>
      </c>
      <c r="C3348" s="3" t="s">
        <v>118</v>
      </c>
      <c r="D3348" s="3" t="n">
        <v>14</v>
      </c>
      <c r="E3348" s="3" t="n">
        <v>11</v>
      </c>
      <c r="F3348" s="3" t="n">
        <v>2</v>
      </c>
      <c r="G3348" s="3" t="n">
        <v>1</v>
      </c>
      <c r="H3348" s="24" t="n">
        <v>0.0304998327</v>
      </c>
    </row>
    <row r="3349" customFormat="false" ht="15" hidden="false" customHeight="false" outlineLevel="0" collapsed="false">
      <c r="A3349" s="3" t="n">
        <v>3348</v>
      </c>
      <c r="B3349" s="3" t="n">
        <v>3347</v>
      </c>
      <c r="C3349" s="3" t="s">
        <v>118</v>
      </c>
      <c r="D3349" s="3" t="n">
        <v>14</v>
      </c>
      <c r="E3349" s="3" t="n">
        <v>11</v>
      </c>
      <c r="F3349" s="3" t="n">
        <v>2</v>
      </c>
      <c r="G3349" s="3" t="n">
        <v>2</v>
      </c>
      <c r="H3349" s="24" t="n">
        <v>-0.217337593</v>
      </c>
    </row>
    <row r="3350" customFormat="false" ht="15" hidden="false" customHeight="false" outlineLevel="0" collapsed="false">
      <c r="A3350" s="3" t="n">
        <v>3349</v>
      </c>
      <c r="B3350" s="3" t="n">
        <v>3348</v>
      </c>
      <c r="C3350" s="3" t="s">
        <v>118</v>
      </c>
      <c r="D3350" s="3" t="n">
        <v>14</v>
      </c>
      <c r="E3350" s="3" t="n">
        <v>12</v>
      </c>
      <c r="F3350" s="3" t="n">
        <v>0</v>
      </c>
      <c r="G3350" s="3" t="n">
        <v>0</v>
      </c>
      <c r="H3350" s="24" t="n">
        <v>-0.0222501475</v>
      </c>
    </row>
    <row r="3351" customFormat="false" ht="15" hidden="false" customHeight="false" outlineLevel="0" collapsed="false">
      <c r="A3351" s="3" t="n">
        <v>3350</v>
      </c>
      <c r="B3351" s="3" t="n">
        <v>3349</v>
      </c>
      <c r="C3351" s="3" t="s">
        <v>118</v>
      </c>
      <c r="D3351" s="3" t="n">
        <v>14</v>
      </c>
      <c r="E3351" s="3" t="n">
        <v>12</v>
      </c>
      <c r="F3351" s="3" t="n">
        <v>0</v>
      </c>
      <c r="G3351" s="3" t="n">
        <v>1</v>
      </c>
      <c r="H3351" s="24" t="n">
        <v>-0.562697351</v>
      </c>
    </row>
    <row r="3352" customFormat="false" ht="15" hidden="false" customHeight="false" outlineLevel="0" collapsed="false">
      <c r="A3352" s="3" t="n">
        <v>3351</v>
      </c>
      <c r="B3352" s="3" t="n">
        <v>3350</v>
      </c>
      <c r="C3352" s="3" t="s">
        <v>118</v>
      </c>
      <c r="D3352" s="3" t="n">
        <v>14</v>
      </c>
      <c r="E3352" s="3" t="n">
        <v>12</v>
      </c>
      <c r="F3352" s="3" t="n">
        <v>0</v>
      </c>
      <c r="G3352" s="3" t="n">
        <v>2</v>
      </c>
      <c r="H3352" s="24" t="n">
        <v>-0.31513536</v>
      </c>
    </row>
    <row r="3353" customFormat="false" ht="15" hidden="false" customHeight="false" outlineLevel="0" collapsed="false">
      <c r="A3353" s="3" t="n">
        <v>3352</v>
      </c>
      <c r="B3353" s="3" t="n">
        <v>3351</v>
      </c>
      <c r="C3353" s="3" t="s">
        <v>118</v>
      </c>
      <c r="D3353" s="3" t="n">
        <v>14</v>
      </c>
      <c r="E3353" s="3" t="n">
        <v>12</v>
      </c>
      <c r="F3353" s="3" t="n">
        <v>1</v>
      </c>
      <c r="G3353" s="3" t="n">
        <v>0</v>
      </c>
      <c r="H3353" s="24" t="n">
        <v>-0.105657786</v>
      </c>
    </row>
    <row r="3354" customFormat="false" ht="15" hidden="false" customHeight="false" outlineLevel="0" collapsed="false">
      <c r="A3354" s="3" t="n">
        <v>3353</v>
      </c>
      <c r="B3354" s="3" t="n">
        <v>3352</v>
      </c>
      <c r="C3354" s="3" t="s">
        <v>118</v>
      </c>
      <c r="D3354" s="3" t="n">
        <v>14</v>
      </c>
      <c r="E3354" s="3" t="n">
        <v>12</v>
      </c>
      <c r="F3354" s="3" t="n">
        <v>1</v>
      </c>
      <c r="G3354" s="3" t="n">
        <v>1</v>
      </c>
      <c r="H3354" s="24" t="n">
        <v>0.202207714</v>
      </c>
    </row>
    <row r="3355" customFormat="false" ht="15" hidden="false" customHeight="false" outlineLevel="0" collapsed="false">
      <c r="A3355" s="3" t="n">
        <v>3354</v>
      </c>
      <c r="B3355" s="3" t="n">
        <v>3353</v>
      </c>
      <c r="C3355" s="3" t="s">
        <v>118</v>
      </c>
      <c r="D3355" s="3" t="n">
        <v>14</v>
      </c>
      <c r="E3355" s="3" t="n">
        <v>12</v>
      </c>
      <c r="F3355" s="3" t="n">
        <v>1</v>
      </c>
      <c r="G3355" s="3" t="n">
        <v>2</v>
      </c>
      <c r="H3355" s="24" t="n">
        <v>0.355592817</v>
      </c>
    </row>
    <row r="3356" customFormat="false" ht="15" hidden="false" customHeight="false" outlineLevel="0" collapsed="false">
      <c r="A3356" s="3" t="n">
        <v>3355</v>
      </c>
      <c r="B3356" s="3" t="n">
        <v>3354</v>
      </c>
      <c r="C3356" s="3" t="s">
        <v>118</v>
      </c>
      <c r="D3356" s="3" t="n">
        <v>14</v>
      </c>
      <c r="E3356" s="3" t="n">
        <v>12</v>
      </c>
      <c r="F3356" s="3" t="n">
        <v>2</v>
      </c>
      <c r="G3356" s="3" t="n">
        <v>0</v>
      </c>
      <c r="H3356" s="24" t="n">
        <v>0.168461815</v>
      </c>
    </row>
    <row r="3357" customFormat="false" ht="15" hidden="false" customHeight="false" outlineLevel="0" collapsed="false">
      <c r="A3357" s="3" t="n">
        <v>3356</v>
      </c>
      <c r="B3357" s="3" t="n">
        <v>3355</v>
      </c>
      <c r="C3357" s="3" t="s">
        <v>118</v>
      </c>
      <c r="D3357" s="3" t="n">
        <v>14</v>
      </c>
      <c r="E3357" s="3" t="n">
        <v>12</v>
      </c>
      <c r="F3357" s="3" t="n">
        <v>2</v>
      </c>
      <c r="G3357" s="3" t="n">
        <v>1</v>
      </c>
      <c r="H3357" s="24" t="n">
        <v>-0.0749336481</v>
      </c>
    </row>
    <row r="3358" customFormat="false" ht="15" hidden="false" customHeight="false" outlineLevel="0" collapsed="false">
      <c r="A3358" s="3" t="n">
        <v>3357</v>
      </c>
      <c r="B3358" s="3" t="n">
        <v>3356</v>
      </c>
      <c r="C3358" s="3" t="s">
        <v>118</v>
      </c>
      <c r="D3358" s="3" t="n">
        <v>14</v>
      </c>
      <c r="E3358" s="3" t="n">
        <v>12</v>
      </c>
      <c r="F3358" s="3" t="n">
        <v>2</v>
      </c>
      <c r="G3358" s="3" t="n">
        <v>2</v>
      </c>
      <c r="H3358" s="24" t="n">
        <v>-0.0306908544</v>
      </c>
    </row>
    <row r="3359" customFormat="false" ht="15" hidden="false" customHeight="false" outlineLevel="0" collapsed="false">
      <c r="A3359" s="3" t="n">
        <v>3358</v>
      </c>
      <c r="B3359" s="3" t="n">
        <v>3357</v>
      </c>
      <c r="C3359" s="3" t="s">
        <v>118</v>
      </c>
      <c r="D3359" s="3" t="n">
        <v>14</v>
      </c>
      <c r="E3359" s="3" t="n">
        <v>13</v>
      </c>
      <c r="F3359" s="3" t="n">
        <v>0</v>
      </c>
      <c r="G3359" s="3" t="n">
        <v>0</v>
      </c>
      <c r="H3359" s="24" t="n">
        <v>-0.185702592</v>
      </c>
    </row>
    <row r="3360" customFormat="false" ht="15" hidden="false" customHeight="false" outlineLevel="0" collapsed="false">
      <c r="A3360" s="3" t="n">
        <v>3359</v>
      </c>
      <c r="B3360" s="3" t="n">
        <v>3358</v>
      </c>
      <c r="C3360" s="3" t="s">
        <v>118</v>
      </c>
      <c r="D3360" s="3" t="n">
        <v>14</v>
      </c>
      <c r="E3360" s="3" t="n">
        <v>13</v>
      </c>
      <c r="F3360" s="3" t="n">
        <v>0</v>
      </c>
      <c r="G3360" s="3" t="n">
        <v>1</v>
      </c>
      <c r="H3360" s="24" t="n">
        <v>-0.0693945214</v>
      </c>
    </row>
    <row r="3361" customFormat="false" ht="15" hidden="false" customHeight="false" outlineLevel="0" collapsed="false">
      <c r="A3361" s="3" t="n">
        <v>3360</v>
      </c>
      <c r="B3361" s="3" t="n">
        <v>3359</v>
      </c>
      <c r="C3361" s="3" t="s">
        <v>118</v>
      </c>
      <c r="D3361" s="3" t="n">
        <v>14</v>
      </c>
      <c r="E3361" s="3" t="n">
        <v>13</v>
      </c>
      <c r="F3361" s="3" t="n">
        <v>0</v>
      </c>
      <c r="G3361" s="3" t="n">
        <v>2</v>
      </c>
      <c r="H3361" s="24" t="n">
        <v>-0.117592707</v>
      </c>
    </row>
    <row r="3362" customFormat="false" ht="15" hidden="false" customHeight="false" outlineLevel="0" collapsed="false">
      <c r="A3362" s="3" t="n">
        <v>3361</v>
      </c>
      <c r="B3362" s="3" t="n">
        <v>3360</v>
      </c>
      <c r="C3362" s="3" t="s">
        <v>118</v>
      </c>
      <c r="D3362" s="3" t="n">
        <v>14</v>
      </c>
      <c r="E3362" s="3" t="n">
        <v>13</v>
      </c>
      <c r="F3362" s="3" t="n">
        <v>1</v>
      </c>
      <c r="G3362" s="3" t="n">
        <v>0</v>
      </c>
      <c r="H3362" s="24" t="n">
        <v>-0.265868992</v>
      </c>
    </row>
    <row r="3363" customFormat="false" ht="15" hidden="false" customHeight="false" outlineLevel="0" collapsed="false">
      <c r="A3363" s="3" t="n">
        <v>3362</v>
      </c>
      <c r="B3363" s="3" t="n">
        <v>3361</v>
      </c>
      <c r="C3363" s="3" t="s">
        <v>118</v>
      </c>
      <c r="D3363" s="3" t="n">
        <v>14</v>
      </c>
      <c r="E3363" s="3" t="n">
        <v>13</v>
      </c>
      <c r="F3363" s="3" t="n">
        <v>1</v>
      </c>
      <c r="G3363" s="3" t="n">
        <v>1</v>
      </c>
      <c r="H3363" s="24" t="n">
        <v>-0.00462390948</v>
      </c>
    </row>
    <row r="3364" customFormat="false" ht="15" hidden="false" customHeight="false" outlineLevel="0" collapsed="false">
      <c r="A3364" s="3" t="n">
        <v>3363</v>
      </c>
      <c r="B3364" s="3" t="n">
        <v>3362</v>
      </c>
      <c r="C3364" s="3" t="s">
        <v>118</v>
      </c>
      <c r="D3364" s="3" t="n">
        <v>14</v>
      </c>
      <c r="E3364" s="3" t="n">
        <v>13</v>
      </c>
      <c r="F3364" s="3" t="n">
        <v>1</v>
      </c>
      <c r="G3364" s="3" t="n">
        <v>2</v>
      </c>
      <c r="H3364" s="24" t="n">
        <v>0.159439087</v>
      </c>
    </row>
    <row r="3365" customFormat="false" ht="15" hidden="false" customHeight="false" outlineLevel="0" collapsed="false">
      <c r="A3365" s="3" t="n">
        <v>3364</v>
      </c>
      <c r="B3365" s="3" t="n">
        <v>3363</v>
      </c>
      <c r="C3365" s="3" t="s">
        <v>118</v>
      </c>
      <c r="D3365" s="3" t="n">
        <v>14</v>
      </c>
      <c r="E3365" s="3" t="n">
        <v>13</v>
      </c>
      <c r="F3365" s="3" t="n">
        <v>2</v>
      </c>
      <c r="G3365" s="3" t="n">
        <v>0</v>
      </c>
      <c r="H3365" s="24" t="n">
        <v>-0.00785695575</v>
      </c>
    </row>
    <row r="3366" customFormat="false" ht="15" hidden="false" customHeight="false" outlineLevel="0" collapsed="false">
      <c r="A3366" s="3" t="n">
        <v>3365</v>
      </c>
      <c r="B3366" s="3" t="n">
        <v>3364</v>
      </c>
      <c r="C3366" s="3" t="s">
        <v>118</v>
      </c>
      <c r="D3366" s="3" t="n">
        <v>14</v>
      </c>
      <c r="E3366" s="3" t="n">
        <v>13</v>
      </c>
      <c r="F3366" s="3" t="n">
        <v>2</v>
      </c>
      <c r="G3366" s="3" t="n">
        <v>1</v>
      </c>
      <c r="H3366" s="24" t="n">
        <v>-0.199108258</v>
      </c>
    </row>
    <row r="3367" customFormat="false" ht="15" hidden="false" customHeight="false" outlineLevel="0" collapsed="false">
      <c r="A3367" s="3" t="n">
        <v>3366</v>
      </c>
      <c r="B3367" s="3" t="n">
        <v>3365</v>
      </c>
      <c r="C3367" s="3" t="s">
        <v>118</v>
      </c>
      <c r="D3367" s="3" t="n">
        <v>14</v>
      </c>
      <c r="E3367" s="3" t="n">
        <v>13</v>
      </c>
      <c r="F3367" s="3" t="n">
        <v>2</v>
      </c>
      <c r="G3367" s="3" t="n">
        <v>2</v>
      </c>
      <c r="H3367" s="24" t="n">
        <v>0.0121085923</v>
      </c>
    </row>
    <row r="3368" customFormat="false" ht="15" hidden="false" customHeight="false" outlineLevel="0" collapsed="false">
      <c r="A3368" s="3" t="n">
        <v>3367</v>
      </c>
      <c r="B3368" s="3" t="n">
        <v>3366</v>
      </c>
      <c r="C3368" s="3" t="s">
        <v>118</v>
      </c>
      <c r="D3368" s="3" t="n">
        <v>14</v>
      </c>
      <c r="E3368" s="3" t="n">
        <v>14</v>
      </c>
      <c r="F3368" s="3" t="n">
        <v>0</v>
      </c>
      <c r="G3368" s="3" t="n">
        <v>0</v>
      </c>
      <c r="H3368" s="24" t="n">
        <v>-0.141000047</v>
      </c>
    </row>
    <row r="3369" customFormat="false" ht="15" hidden="false" customHeight="false" outlineLevel="0" collapsed="false">
      <c r="A3369" s="3" t="n">
        <v>3368</v>
      </c>
      <c r="B3369" s="3" t="n">
        <v>3367</v>
      </c>
      <c r="C3369" s="3" t="s">
        <v>118</v>
      </c>
      <c r="D3369" s="3" t="n">
        <v>14</v>
      </c>
      <c r="E3369" s="3" t="n">
        <v>14</v>
      </c>
      <c r="F3369" s="3" t="n">
        <v>0</v>
      </c>
      <c r="G3369" s="3" t="n">
        <v>1</v>
      </c>
      <c r="H3369" s="24" t="n">
        <v>-0.0449107699</v>
      </c>
    </row>
    <row r="3370" customFormat="false" ht="15" hidden="false" customHeight="false" outlineLevel="0" collapsed="false">
      <c r="A3370" s="3" t="n">
        <v>3369</v>
      </c>
      <c r="B3370" s="3" t="n">
        <v>3368</v>
      </c>
      <c r="C3370" s="3" t="s">
        <v>118</v>
      </c>
      <c r="D3370" s="3" t="n">
        <v>14</v>
      </c>
      <c r="E3370" s="3" t="n">
        <v>14</v>
      </c>
      <c r="F3370" s="3" t="n">
        <v>0</v>
      </c>
      <c r="G3370" s="3" t="n">
        <v>2</v>
      </c>
      <c r="H3370" s="24" t="n">
        <v>0.00368456845</v>
      </c>
    </row>
    <row r="3371" customFormat="false" ht="15" hidden="false" customHeight="false" outlineLevel="0" collapsed="false">
      <c r="A3371" s="3" t="n">
        <v>3370</v>
      </c>
      <c r="B3371" s="3" t="n">
        <v>3369</v>
      </c>
      <c r="C3371" s="3" t="s">
        <v>118</v>
      </c>
      <c r="D3371" s="3" t="n">
        <v>14</v>
      </c>
      <c r="E3371" s="3" t="n">
        <v>14</v>
      </c>
      <c r="F3371" s="3" t="n">
        <v>1</v>
      </c>
      <c r="G3371" s="3" t="n">
        <v>0</v>
      </c>
      <c r="H3371" s="24" t="n">
        <v>-0.0937923566</v>
      </c>
    </row>
    <row r="3372" customFormat="false" ht="15" hidden="false" customHeight="false" outlineLevel="0" collapsed="false">
      <c r="A3372" s="3" t="n">
        <v>3371</v>
      </c>
      <c r="B3372" s="3" t="n">
        <v>3370</v>
      </c>
      <c r="C3372" s="3" t="s">
        <v>118</v>
      </c>
      <c r="D3372" s="3" t="n">
        <v>14</v>
      </c>
      <c r="E3372" s="3" t="n">
        <v>14</v>
      </c>
      <c r="F3372" s="3" t="n">
        <v>1</v>
      </c>
      <c r="G3372" s="3" t="n">
        <v>1</v>
      </c>
      <c r="H3372" s="24" t="n">
        <v>0.200270116</v>
      </c>
    </row>
    <row r="3373" customFormat="false" ht="15" hidden="false" customHeight="false" outlineLevel="0" collapsed="false">
      <c r="A3373" s="3" t="n">
        <v>3372</v>
      </c>
      <c r="B3373" s="3" t="n">
        <v>3371</v>
      </c>
      <c r="C3373" s="3" t="s">
        <v>118</v>
      </c>
      <c r="D3373" s="3" t="n">
        <v>14</v>
      </c>
      <c r="E3373" s="3" t="n">
        <v>14</v>
      </c>
      <c r="F3373" s="3" t="n">
        <v>1</v>
      </c>
      <c r="G3373" s="3" t="n">
        <v>2</v>
      </c>
      <c r="H3373" s="24" t="n">
        <v>0.184047192</v>
      </c>
    </row>
    <row r="3374" customFormat="false" ht="15" hidden="false" customHeight="false" outlineLevel="0" collapsed="false">
      <c r="A3374" s="3" t="n">
        <v>3373</v>
      </c>
      <c r="B3374" s="3" t="n">
        <v>3372</v>
      </c>
      <c r="C3374" s="3" t="s">
        <v>118</v>
      </c>
      <c r="D3374" s="3" t="n">
        <v>14</v>
      </c>
      <c r="E3374" s="3" t="n">
        <v>14</v>
      </c>
      <c r="F3374" s="3" t="n">
        <v>2</v>
      </c>
      <c r="G3374" s="3" t="n">
        <v>0</v>
      </c>
      <c r="H3374" s="24" t="n">
        <v>-0.0131834242</v>
      </c>
    </row>
    <row r="3375" customFormat="false" ht="15" hidden="false" customHeight="false" outlineLevel="0" collapsed="false">
      <c r="A3375" s="3" t="n">
        <v>3374</v>
      </c>
      <c r="B3375" s="3" t="n">
        <v>3373</v>
      </c>
      <c r="C3375" s="3" t="s">
        <v>118</v>
      </c>
      <c r="D3375" s="3" t="n">
        <v>14</v>
      </c>
      <c r="E3375" s="3" t="n">
        <v>14</v>
      </c>
      <c r="F3375" s="3" t="n">
        <v>2</v>
      </c>
      <c r="G3375" s="3" t="n">
        <v>1</v>
      </c>
      <c r="H3375" s="24" t="n">
        <v>-0.0207857657</v>
      </c>
    </row>
    <row r="3376" customFormat="false" ht="15" hidden="false" customHeight="false" outlineLevel="0" collapsed="false">
      <c r="A3376" s="3" t="n">
        <v>3375</v>
      </c>
      <c r="B3376" s="3" t="n">
        <v>3374</v>
      </c>
      <c r="C3376" s="3" t="s">
        <v>118</v>
      </c>
      <c r="D3376" s="3" t="n">
        <v>14</v>
      </c>
      <c r="E3376" s="3" t="n">
        <v>14</v>
      </c>
      <c r="F3376" s="3" t="n">
        <v>2</v>
      </c>
      <c r="G3376" s="3" t="n">
        <v>2</v>
      </c>
      <c r="H3376" s="24" t="n">
        <v>-0.0106074587</v>
      </c>
    </row>
    <row r="3377" customFormat="false" ht="15" hidden="false" customHeight="false" outlineLevel="0" collapsed="false">
      <c r="A3377" s="3" t="n">
        <v>3376</v>
      </c>
      <c r="B3377" s="3" t="n">
        <v>3375</v>
      </c>
      <c r="C3377" s="3" t="s">
        <v>118</v>
      </c>
      <c r="D3377" s="3" t="n">
        <v>14</v>
      </c>
      <c r="E3377" s="3" t="n">
        <v>15</v>
      </c>
      <c r="F3377" s="3" t="n">
        <v>0</v>
      </c>
      <c r="G3377" s="3" t="n">
        <v>0</v>
      </c>
      <c r="H3377" s="24" t="n">
        <v>-0.054944355</v>
      </c>
    </row>
    <row r="3378" customFormat="false" ht="15" hidden="false" customHeight="false" outlineLevel="0" collapsed="false">
      <c r="A3378" s="3" t="n">
        <v>3377</v>
      </c>
      <c r="B3378" s="3" t="n">
        <v>3376</v>
      </c>
      <c r="C3378" s="3" t="s">
        <v>118</v>
      </c>
      <c r="D3378" s="3" t="n">
        <v>14</v>
      </c>
      <c r="E3378" s="3" t="n">
        <v>15</v>
      </c>
      <c r="F3378" s="3" t="n">
        <v>0</v>
      </c>
      <c r="G3378" s="3" t="n">
        <v>1</v>
      </c>
      <c r="H3378" s="24" t="n">
        <v>0.0931457654</v>
      </c>
    </row>
    <row r="3379" customFormat="false" ht="15" hidden="false" customHeight="false" outlineLevel="0" collapsed="false">
      <c r="A3379" s="3" t="n">
        <v>3378</v>
      </c>
      <c r="B3379" s="3" t="n">
        <v>3377</v>
      </c>
      <c r="C3379" s="3" t="s">
        <v>118</v>
      </c>
      <c r="D3379" s="3" t="n">
        <v>14</v>
      </c>
      <c r="E3379" s="3" t="n">
        <v>15</v>
      </c>
      <c r="F3379" s="3" t="n">
        <v>0</v>
      </c>
      <c r="G3379" s="3" t="n">
        <v>2</v>
      </c>
      <c r="H3379" s="24" t="n">
        <v>-0.159695327</v>
      </c>
    </row>
    <row r="3380" customFormat="false" ht="15" hidden="false" customHeight="false" outlineLevel="0" collapsed="false">
      <c r="A3380" s="3" t="n">
        <v>3379</v>
      </c>
      <c r="B3380" s="3" t="n">
        <v>3378</v>
      </c>
      <c r="C3380" s="3" t="s">
        <v>118</v>
      </c>
      <c r="D3380" s="3" t="n">
        <v>14</v>
      </c>
      <c r="E3380" s="3" t="n">
        <v>15</v>
      </c>
      <c r="F3380" s="3" t="n">
        <v>1</v>
      </c>
      <c r="G3380" s="3" t="n">
        <v>0</v>
      </c>
      <c r="H3380" s="24" t="n">
        <v>0.0151051814</v>
      </c>
    </row>
    <row r="3381" customFormat="false" ht="15" hidden="false" customHeight="false" outlineLevel="0" collapsed="false">
      <c r="A3381" s="3" t="n">
        <v>3380</v>
      </c>
      <c r="B3381" s="3" t="n">
        <v>3379</v>
      </c>
      <c r="C3381" s="3" t="s">
        <v>118</v>
      </c>
      <c r="D3381" s="3" t="n">
        <v>14</v>
      </c>
      <c r="E3381" s="3" t="n">
        <v>15</v>
      </c>
      <c r="F3381" s="3" t="n">
        <v>1</v>
      </c>
      <c r="G3381" s="3" t="n">
        <v>1</v>
      </c>
      <c r="H3381" s="24" t="n">
        <v>-0.0911308676</v>
      </c>
    </row>
    <row r="3382" customFormat="false" ht="15" hidden="false" customHeight="false" outlineLevel="0" collapsed="false">
      <c r="A3382" s="3" t="n">
        <v>3381</v>
      </c>
      <c r="B3382" s="3" t="n">
        <v>3380</v>
      </c>
      <c r="C3382" s="3" t="s">
        <v>118</v>
      </c>
      <c r="D3382" s="3" t="n">
        <v>14</v>
      </c>
      <c r="E3382" s="3" t="n">
        <v>15</v>
      </c>
      <c r="F3382" s="3" t="n">
        <v>1</v>
      </c>
      <c r="G3382" s="3" t="n">
        <v>2</v>
      </c>
      <c r="H3382" s="24" t="n">
        <v>-0.095476523</v>
      </c>
    </row>
    <row r="3383" customFormat="false" ht="15" hidden="false" customHeight="false" outlineLevel="0" collapsed="false">
      <c r="A3383" s="3" t="n">
        <v>3382</v>
      </c>
      <c r="B3383" s="3" t="n">
        <v>3381</v>
      </c>
      <c r="C3383" s="3" t="s">
        <v>118</v>
      </c>
      <c r="D3383" s="3" t="n">
        <v>14</v>
      </c>
      <c r="E3383" s="3" t="n">
        <v>15</v>
      </c>
      <c r="F3383" s="3" t="n">
        <v>2</v>
      </c>
      <c r="G3383" s="3" t="n">
        <v>0</v>
      </c>
      <c r="H3383" s="24" t="n">
        <v>0.140770257</v>
      </c>
    </row>
    <row r="3384" customFormat="false" ht="15" hidden="false" customHeight="false" outlineLevel="0" collapsed="false">
      <c r="A3384" s="3" t="n">
        <v>3383</v>
      </c>
      <c r="B3384" s="3" t="n">
        <v>3382</v>
      </c>
      <c r="C3384" s="3" t="s">
        <v>118</v>
      </c>
      <c r="D3384" s="3" t="n">
        <v>14</v>
      </c>
      <c r="E3384" s="3" t="n">
        <v>15</v>
      </c>
      <c r="F3384" s="3" t="n">
        <v>2</v>
      </c>
      <c r="G3384" s="3" t="n">
        <v>1</v>
      </c>
      <c r="H3384" s="24" t="n">
        <v>0.0156506617</v>
      </c>
    </row>
    <row r="3385" customFormat="false" ht="15" hidden="false" customHeight="false" outlineLevel="0" collapsed="false">
      <c r="A3385" s="3" t="n">
        <v>3384</v>
      </c>
      <c r="B3385" s="3" t="n">
        <v>3383</v>
      </c>
      <c r="C3385" s="3" t="s">
        <v>118</v>
      </c>
      <c r="D3385" s="3" t="n">
        <v>14</v>
      </c>
      <c r="E3385" s="3" t="n">
        <v>15</v>
      </c>
      <c r="F3385" s="3" t="n">
        <v>2</v>
      </c>
      <c r="G3385" s="3" t="n">
        <v>2</v>
      </c>
      <c r="H3385" s="24" t="n">
        <v>-0.353459746</v>
      </c>
    </row>
    <row r="3386" customFormat="false" ht="15" hidden="false" customHeight="false" outlineLevel="0" collapsed="false">
      <c r="A3386" s="3" t="n">
        <v>3385</v>
      </c>
      <c r="B3386" s="3" t="n">
        <v>3384</v>
      </c>
      <c r="C3386" s="3" t="s">
        <v>118</v>
      </c>
      <c r="D3386" s="3" t="n">
        <v>15</v>
      </c>
      <c r="E3386" s="3" t="n">
        <v>0</v>
      </c>
      <c r="F3386" s="3" t="n">
        <v>0</v>
      </c>
      <c r="G3386" s="3" t="n">
        <v>0</v>
      </c>
      <c r="H3386" s="24" t="n">
        <v>0.142339945</v>
      </c>
    </row>
    <row r="3387" customFormat="false" ht="15" hidden="false" customHeight="false" outlineLevel="0" collapsed="false">
      <c r="A3387" s="3" t="n">
        <v>3386</v>
      </c>
      <c r="B3387" s="3" t="n">
        <v>3385</v>
      </c>
      <c r="C3387" s="3" t="s">
        <v>118</v>
      </c>
      <c r="D3387" s="3" t="n">
        <v>15</v>
      </c>
      <c r="E3387" s="3" t="n">
        <v>0</v>
      </c>
      <c r="F3387" s="3" t="n">
        <v>0</v>
      </c>
      <c r="G3387" s="3" t="n">
        <v>1</v>
      </c>
      <c r="H3387" s="24" t="n">
        <v>0.238026246</v>
      </c>
    </row>
    <row r="3388" customFormat="false" ht="15" hidden="false" customHeight="false" outlineLevel="0" collapsed="false">
      <c r="A3388" s="3" t="n">
        <v>3387</v>
      </c>
      <c r="B3388" s="3" t="n">
        <v>3386</v>
      </c>
      <c r="C3388" s="3" t="s">
        <v>118</v>
      </c>
      <c r="D3388" s="3" t="n">
        <v>15</v>
      </c>
      <c r="E3388" s="3" t="n">
        <v>0</v>
      </c>
      <c r="F3388" s="3" t="n">
        <v>0</v>
      </c>
      <c r="G3388" s="3" t="n">
        <v>2</v>
      </c>
      <c r="H3388" s="24" t="n">
        <v>-0.202875927</v>
      </c>
    </row>
    <row r="3389" customFormat="false" ht="15" hidden="false" customHeight="false" outlineLevel="0" collapsed="false">
      <c r="A3389" s="3" t="n">
        <v>3388</v>
      </c>
      <c r="B3389" s="3" t="n">
        <v>3387</v>
      </c>
      <c r="C3389" s="3" t="s">
        <v>118</v>
      </c>
      <c r="D3389" s="3" t="n">
        <v>15</v>
      </c>
      <c r="E3389" s="3" t="n">
        <v>0</v>
      </c>
      <c r="F3389" s="3" t="n">
        <v>1</v>
      </c>
      <c r="G3389" s="3" t="n">
        <v>0</v>
      </c>
      <c r="H3389" s="24" t="n">
        <v>-0.0307474062</v>
      </c>
    </row>
    <row r="3390" customFormat="false" ht="15" hidden="false" customHeight="false" outlineLevel="0" collapsed="false">
      <c r="A3390" s="3" t="n">
        <v>3389</v>
      </c>
      <c r="B3390" s="3" t="n">
        <v>3388</v>
      </c>
      <c r="C3390" s="3" t="s">
        <v>118</v>
      </c>
      <c r="D3390" s="3" t="n">
        <v>15</v>
      </c>
      <c r="E3390" s="3" t="n">
        <v>0</v>
      </c>
      <c r="F3390" s="3" t="n">
        <v>1</v>
      </c>
      <c r="G3390" s="3" t="n">
        <v>1</v>
      </c>
      <c r="H3390" s="24" t="n">
        <v>-0.291307837</v>
      </c>
    </row>
    <row r="3391" customFormat="false" ht="15" hidden="false" customHeight="false" outlineLevel="0" collapsed="false">
      <c r="A3391" s="3" t="n">
        <v>3390</v>
      </c>
      <c r="B3391" s="3" t="n">
        <v>3389</v>
      </c>
      <c r="C3391" s="3" t="s">
        <v>118</v>
      </c>
      <c r="D3391" s="3" t="n">
        <v>15</v>
      </c>
      <c r="E3391" s="3" t="n">
        <v>0</v>
      </c>
      <c r="F3391" s="3" t="n">
        <v>1</v>
      </c>
      <c r="G3391" s="3" t="n">
        <v>2</v>
      </c>
      <c r="H3391" s="24" t="n">
        <v>-0.434115499</v>
      </c>
    </row>
    <row r="3392" customFormat="false" ht="15" hidden="false" customHeight="false" outlineLevel="0" collapsed="false">
      <c r="A3392" s="3" t="n">
        <v>3391</v>
      </c>
      <c r="B3392" s="3" t="n">
        <v>3390</v>
      </c>
      <c r="C3392" s="3" t="s">
        <v>118</v>
      </c>
      <c r="D3392" s="3" t="n">
        <v>15</v>
      </c>
      <c r="E3392" s="3" t="n">
        <v>0</v>
      </c>
      <c r="F3392" s="3" t="n">
        <v>2</v>
      </c>
      <c r="G3392" s="3" t="n">
        <v>0</v>
      </c>
      <c r="H3392" s="24" t="n">
        <v>0.0538304709</v>
      </c>
    </row>
    <row r="3393" customFormat="false" ht="15" hidden="false" customHeight="false" outlineLevel="0" collapsed="false">
      <c r="A3393" s="3" t="n">
        <v>3392</v>
      </c>
      <c r="B3393" s="3" t="n">
        <v>3391</v>
      </c>
      <c r="C3393" s="3" t="s">
        <v>118</v>
      </c>
      <c r="D3393" s="3" t="n">
        <v>15</v>
      </c>
      <c r="E3393" s="3" t="n">
        <v>0</v>
      </c>
      <c r="F3393" s="3" t="n">
        <v>2</v>
      </c>
      <c r="G3393" s="3" t="n">
        <v>1</v>
      </c>
      <c r="H3393" s="24" t="n">
        <v>-0.254810423</v>
      </c>
    </row>
    <row r="3394" customFormat="false" ht="15" hidden="false" customHeight="false" outlineLevel="0" collapsed="false">
      <c r="A3394" s="3" t="n">
        <v>3393</v>
      </c>
      <c r="B3394" s="3" t="n">
        <v>3392</v>
      </c>
      <c r="C3394" s="3" t="s">
        <v>118</v>
      </c>
      <c r="D3394" s="3" t="n">
        <v>15</v>
      </c>
      <c r="E3394" s="3" t="n">
        <v>0</v>
      </c>
      <c r="F3394" s="3" t="n">
        <v>2</v>
      </c>
      <c r="G3394" s="3" t="n">
        <v>2</v>
      </c>
      <c r="H3394" s="24" t="n">
        <v>-0.337694943</v>
      </c>
    </row>
    <row r="3395" customFormat="false" ht="15" hidden="false" customHeight="false" outlineLevel="0" collapsed="false">
      <c r="A3395" s="3" t="n">
        <v>3394</v>
      </c>
      <c r="B3395" s="3" t="n">
        <v>3393</v>
      </c>
      <c r="C3395" s="3" t="s">
        <v>118</v>
      </c>
      <c r="D3395" s="3" t="n">
        <v>15</v>
      </c>
      <c r="E3395" s="3" t="n">
        <v>1</v>
      </c>
      <c r="F3395" s="3" t="n">
        <v>0</v>
      </c>
      <c r="G3395" s="3" t="n">
        <v>0</v>
      </c>
      <c r="H3395" s="24" t="n">
        <v>-0.14970234</v>
      </c>
    </row>
    <row r="3396" customFormat="false" ht="15" hidden="false" customHeight="false" outlineLevel="0" collapsed="false">
      <c r="A3396" s="3" t="n">
        <v>3395</v>
      </c>
      <c r="B3396" s="3" t="n">
        <v>3394</v>
      </c>
      <c r="C3396" s="3" t="s">
        <v>118</v>
      </c>
      <c r="D3396" s="3" t="n">
        <v>15</v>
      </c>
      <c r="E3396" s="3" t="n">
        <v>1</v>
      </c>
      <c r="F3396" s="3" t="n">
        <v>0</v>
      </c>
      <c r="G3396" s="3" t="n">
        <v>1</v>
      </c>
      <c r="H3396" s="24" t="n">
        <v>0.0365553871</v>
      </c>
    </row>
    <row r="3397" customFormat="false" ht="15" hidden="false" customHeight="false" outlineLevel="0" collapsed="false">
      <c r="A3397" s="3" t="n">
        <v>3396</v>
      </c>
      <c r="B3397" s="3" t="n">
        <v>3395</v>
      </c>
      <c r="C3397" s="3" t="s">
        <v>118</v>
      </c>
      <c r="D3397" s="3" t="n">
        <v>15</v>
      </c>
      <c r="E3397" s="3" t="n">
        <v>1</v>
      </c>
      <c r="F3397" s="3" t="n">
        <v>0</v>
      </c>
      <c r="G3397" s="3" t="n">
        <v>2</v>
      </c>
      <c r="H3397" s="24" t="n">
        <v>-0.00801839586</v>
      </c>
    </row>
    <row r="3398" customFormat="false" ht="15" hidden="false" customHeight="false" outlineLevel="0" collapsed="false">
      <c r="A3398" s="3" t="n">
        <v>3397</v>
      </c>
      <c r="B3398" s="3" t="n">
        <v>3396</v>
      </c>
      <c r="C3398" s="3" t="s">
        <v>118</v>
      </c>
      <c r="D3398" s="3" t="n">
        <v>15</v>
      </c>
      <c r="E3398" s="3" t="n">
        <v>1</v>
      </c>
      <c r="F3398" s="3" t="n">
        <v>1</v>
      </c>
      <c r="G3398" s="3" t="n">
        <v>0</v>
      </c>
      <c r="H3398" s="24" t="n">
        <v>0.0302688293</v>
      </c>
    </row>
    <row r="3399" customFormat="false" ht="15" hidden="false" customHeight="false" outlineLevel="0" collapsed="false">
      <c r="A3399" s="3" t="n">
        <v>3398</v>
      </c>
      <c r="B3399" s="3" t="n">
        <v>3397</v>
      </c>
      <c r="C3399" s="3" t="s">
        <v>118</v>
      </c>
      <c r="D3399" s="3" t="n">
        <v>15</v>
      </c>
      <c r="E3399" s="3" t="n">
        <v>1</v>
      </c>
      <c r="F3399" s="3" t="n">
        <v>1</v>
      </c>
      <c r="G3399" s="3" t="n">
        <v>1</v>
      </c>
      <c r="H3399" s="24" t="n">
        <v>0.250001222</v>
      </c>
    </row>
    <row r="3400" customFormat="false" ht="15" hidden="false" customHeight="false" outlineLevel="0" collapsed="false">
      <c r="A3400" s="3" t="n">
        <v>3399</v>
      </c>
      <c r="B3400" s="3" t="n">
        <v>3398</v>
      </c>
      <c r="C3400" s="3" t="s">
        <v>118</v>
      </c>
      <c r="D3400" s="3" t="n">
        <v>15</v>
      </c>
      <c r="E3400" s="3" t="n">
        <v>1</v>
      </c>
      <c r="F3400" s="3" t="n">
        <v>1</v>
      </c>
      <c r="G3400" s="3" t="n">
        <v>2</v>
      </c>
      <c r="H3400" s="24" t="n">
        <v>-0.0838551894</v>
      </c>
    </row>
    <row r="3401" customFormat="false" ht="15" hidden="false" customHeight="false" outlineLevel="0" collapsed="false">
      <c r="A3401" s="3" t="n">
        <v>3400</v>
      </c>
      <c r="B3401" s="3" t="n">
        <v>3399</v>
      </c>
      <c r="C3401" s="3" t="s">
        <v>118</v>
      </c>
      <c r="D3401" s="3" t="n">
        <v>15</v>
      </c>
      <c r="E3401" s="3" t="n">
        <v>1</v>
      </c>
      <c r="F3401" s="3" t="n">
        <v>2</v>
      </c>
      <c r="G3401" s="3" t="n">
        <v>0</v>
      </c>
      <c r="H3401" s="24" t="n">
        <v>0.00469001755</v>
      </c>
    </row>
    <row r="3402" customFormat="false" ht="15" hidden="false" customHeight="false" outlineLevel="0" collapsed="false">
      <c r="A3402" s="3" t="n">
        <v>3401</v>
      </c>
      <c r="B3402" s="3" t="n">
        <v>3400</v>
      </c>
      <c r="C3402" s="3" t="s">
        <v>118</v>
      </c>
      <c r="D3402" s="3" t="n">
        <v>15</v>
      </c>
      <c r="E3402" s="3" t="n">
        <v>1</v>
      </c>
      <c r="F3402" s="3" t="n">
        <v>2</v>
      </c>
      <c r="G3402" s="3" t="n">
        <v>1</v>
      </c>
      <c r="H3402" s="24" t="n">
        <v>0.239241198</v>
      </c>
    </row>
    <row r="3403" customFormat="false" ht="15" hidden="false" customHeight="false" outlineLevel="0" collapsed="false">
      <c r="A3403" s="3" t="n">
        <v>3402</v>
      </c>
      <c r="B3403" s="3" t="n">
        <v>3401</v>
      </c>
      <c r="C3403" s="3" t="s">
        <v>118</v>
      </c>
      <c r="D3403" s="3" t="n">
        <v>15</v>
      </c>
      <c r="E3403" s="3" t="n">
        <v>1</v>
      </c>
      <c r="F3403" s="3" t="n">
        <v>2</v>
      </c>
      <c r="G3403" s="3" t="n">
        <v>2</v>
      </c>
      <c r="H3403" s="24" t="n">
        <v>-0.164118618</v>
      </c>
    </row>
    <row r="3404" customFormat="false" ht="15" hidden="false" customHeight="false" outlineLevel="0" collapsed="false">
      <c r="A3404" s="3" t="n">
        <v>3403</v>
      </c>
      <c r="B3404" s="3" t="n">
        <v>3402</v>
      </c>
      <c r="C3404" s="3" t="s">
        <v>118</v>
      </c>
      <c r="D3404" s="3" t="n">
        <v>15</v>
      </c>
      <c r="E3404" s="3" t="n">
        <v>2</v>
      </c>
      <c r="F3404" s="3" t="n">
        <v>0</v>
      </c>
      <c r="G3404" s="3" t="n">
        <v>0</v>
      </c>
      <c r="H3404" s="24" t="n">
        <v>-0.00819527823</v>
      </c>
    </row>
    <row r="3405" customFormat="false" ht="15" hidden="false" customHeight="false" outlineLevel="0" collapsed="false">
      <c r="A3405" s="3" t="n">
        <v>3404</v>
      </c>
      <c r="B3405" s="3" t="n">
        <v>3403</v>
      </c>
      <c r="C3405" s="3" t="s">
        <v>118</v>
      </c>
      <c r="D3405" s="3" t="n">
        <v>15</v>
      </c>
      <c r="E3405" s="3" t="n">
        <v>2</v>
      </c>
      <c r="F3405" s="3" t="n">
        <v>0</v>
      </c>
      <c r="G3405" s="3" t="n">
        <v>1</v>
      </c>
      <c r="H3405" s="24" t="n">
        <v>-0.425706506</v>
      </c>
    </row>
    <row r="3406" customFormat="false" ht="15" hidden="false" customHeight="false" outlineLevel="0" collapsed="false">
      <c r="A3406" s="3" t="n">
        <v>3405</v>
      </c>
      <c r="B3406" s="3" t="n">
        <v>3404</v>
      </c>
      <c r="C3406" s="3" t="s">
        <v>118</v>
      </c>
      <c r="D3406" s="3" t="n">
        <v>15</v>
      </c>
      <c r="E3406" s="3" t="n">
        <v>2</v>
      </c>
      <c r="F3406" s="3" t="n">
        <v>0</v>
      </c>
      <c r="G3406" s="3" t="n">
        <v>2</v>
      </c>
      <c r="H3406" s="24" t="n">
        <v>-0.0679346994</v>
      </c>
    </row>
    <row r="3407" customFormat="false" ht="15" hidden="false" customHeight="false" outlineLevel="0" collapsed="false">
      <c r="A3407" s="3" t="n">
        <v>3406</v>
      </c>
      <c r="B3407" s="3" t="n">
        <v>3405</v>
      </c>
      <c r="C3407" s="3" t="s">
        <v>118</v>
      </c>
      <c r="D3407" s="3" t="n">
        <v>15</v>
      </c>
      <c r="E3407" s="3" t="n">
        <v>2</v>
      </c>
      <c r="F3407" s="3" t="n">
        <v>1</v>
      </c>
      <c r="G3407" s="3" t="n">
        <v>0</v>
      </c>
      <c r="H3407" s="24" t="n">
        <v>0.0549412295</v>
      </c>
    </row>
    <row r="3408" customFormat="false" ht="15" hidden="false" customHeight="false" outlineLevel="0" collapsed="false">
      <c r="A3408" s="3" t="n">
        <v>3407</v>
      </c>
      <c r="B3408" s="3" t="n">
        <v>3406</v>
      </c>
      <c r="C3408" s="3" t="s">
        <v>118</v>
      </c>
      <c r="D3408" s="3" t="n">
        <v>15</v>
      </c>
      <c r="E3408" s="3" t="n">
        <v>2</v>
      </c>
      <c r="F3408" s="3" t="n">
        <v>1</v>
      </c>
      <c r="G3408" s="3" t="n">
        <v>1</v>
      </c>
      <c r="H3408" s="24" t="n">
        <v>-0.439620346</v>
      </c>
    </row>
    <row r="3409" customFormat="false" ht="15" hidden="false" customHeight="false" outlineLevel="0" collapsed="false">
      <c r="A3409" s="3" t="n">
        <v>3408</v>
      </c>
      <c r="B3409" s="3" t="n">
        <v>3407</v>
      </c>
      <c r="C3409" s="3" t="s">
        <v>118</v>
      </c>
      <c r="D3409" s="3" t="n">
        <v>15</v>
      </c>
      <c r="E3409" s="3" t="n">
        <v>2</v>
      </c>
      <c r="F3409" s="3" t="n">
        <v>1</v>
      </c>
      <c r="G3409" s="3" t="n">
        <v>2</v>
      </c>
      <c r="H3409" s="24" t="n">
        <v>-0.262177259</v>
      </c>
    </row>
    <row r="3410" customFormat="false" ht="15" hidden="false" customHeight="false" outlineLevel="0" collapsed="false">
      <c r="A3410" s="3" t="n">
        <v>3409</v>
      </c>
      <c r="B3410" s="3" t="n">
        <v>3408</v>
      </c>
      <c r="C3410" s="3" t="s">
        <v>118</v>
      </c>
      <c r="D3410" s="3" t="n">
        <v>15</v>
      </c>
      <c r="E3410" s="3" t="n">
        <v>2</v>
      </c>
      <c r="F3410" s="3" t="n">
        <v>2</v>
      </c>
      <c r="G3410" s="3" t="n">
        <v>0</v>
      </c>
      <c r="H3410" s="24" t="n">
        <v>0.00166271173</v>
      </c>
    </row>
    <row r="3411" customFormat="false" ht="15" hidden="false" customHeight="false" outlineLevel="0" collapsed="false">
      <c r="A3411" s="3" t="n">
        <v>3410</v>
      </c>
      <c r="B3411" s="3" t="n">
        <v>3409</v>
      </c>
      <c r="C3411" s="3" t="s">
        <v>118</v>
      </c>
      <c r="D3411" s="3" t="n">
        <v>15</v>
      </c>
      <c r="E3411" s="3" t="n">
        <v>2</v>
      </c>
      <c r="F3411" s="3" t="n">
        <v>2</v>
      </c>
      <c r="G3411" s="3" t="n">
        <v>1</v>
      </c>
      <c r="H3411" s="24" t="n">
        <v>-0.131564632</v>
      </c>
    </row>
    <row r="3412" customFormat="false" ht="15" hidden="false" customHeight="false" outlineLevel="0" collapsed="false">
      <c r="A3412" s="3" t="n">
        <v>3411</v>
      </c>
      <c r="B3412" s="3" t="n">
        <v>3410</v>
      </c>
      <c r="C3412" s="3" t="s">
        <v>118</v>
      </c>
      <c r="D3412" s="3" t="n">
        <v>15</v>
      </c>
      <c r="E3412" s="3" t="n">
        <v>2</v>
      </c>
      <c r="F3412" s="3" t="n">
        <v>2</v>
      </c>
      <c r="G3412" s="3" t="n">
        <v>2</v>
      </c>
      <c r="H3412" s="24" t="n">
        <v>0.037378598</v>
      </c>
    </row>
    <row r="3413" customFormat="false" ht="15" hidden="false" customHeight="false" outlineLevel="0" collapsed="false">
      <c r="A3413" s="3" t="n">
        <v>3412</v>
      </c>
      <c r="B3413" s="3" t="n">
        <v>3411</v>
      </c>
      <c r="C3413" s="3" t="s">
        <v>118</v>
      </c>
      <c r="D3413" s="3" t="n">
        <v>15</v>
      </c>
      <c r="E3413" s="3" t="n">
        <v>3</v>
      </c>
      <c r="F3413" s="3" t="n">
        <v>0</v>
      </c>
      <c r="G3413" s="3" t="n">
        <v>0</v>
      </c>
      <c r="H3413" s="24" t="n">
        <v>-0.143389165</v>
      </c>
    </row>
    <row r="3414" customFormat="false" ht="15" hidden="false" customHeight="false" outlineLevel="0" collapsed="false">
      <c r="A3414" s="3" t="n">
        <v>3413</v>
      </c>
      <c r="B3414" s="3" t="n">
        <v>3412</v>
      </c>
      <c r="C3414" s="3" t="s">
        <v>118</v>
      </c>
      <c r="D3414" s="3" t="n">
        <v>15</v>
      </c>
      <c r="E3414" s="3" t="n">
        <v>3</v>
      </c>
      <c r="F3414" s="3" t="n">
        <v>0</v>
      </c>
      <c r="G3414" s="3" t="n">
        <v>1</v>
      </c>
      <c r="H3414" s="24" t="n">
        <v>-0.162425578</v>
      </c>
    </row>
    <row r="3415" customFormat="false" ht="15" hidden="false" customHeight="false" outlineLevel="0" collapsed="false">
      <c r="A3415" s="3" t="n">
        <v>3414</v>
      </c>
      <c r="B3415" s="3" t="n">
        <v>3413</v>
      </c>
      <c r="C3415" s="3" t="s">
        <v>118</v>
      </c>
      <c r="D3415" s="3" t="n">
        <v>15</v>
      </c>
      <c r="E3415" s="3" t="n">
        <v>3</v>
      </c>
      <c r="F3415" s="3" t="n">
        <v>0</v>
      </c>
      <c r="G3415" s="3" t="n">
        <v>2</v>
      </c>
      <c r="H3415" s="24" t="n">
        <v>-0.287350804</v>
      </c>
    </row>
    <row r="3416" customFormat="false" ht="15" hidden="false" customHeight="false" outlineLevel="0" collapsed="false">
      <c r="A3416" s="3" t="n">
        <v>3415</v>
      </c>
      <c r="B3416" s="3" t="n">
        <v>3414</v>
      </c>
      <c r="C3416" s="3" t="s">
        <v>118</v>
      </c>
      <c r="D3416" s="3" t="n">
        <v>15</v>
      </c>
      <c r="E3416" s="3" t="n">
        <v>3</v>
      </c>
      <c r="F3416" s="3" t="n">
        <v>1</v>
      </c>
      <c r="G3416" s="3" t="n">
        <v>0</v>
      </c>
      <c r="H3416" s="24" t="n">
        <v>-0.0581246316</v>
      </c>
    </row>
    <row r="3417" customFormat="false" ht="15" hidden="false" customHeight="false" outlineLevel="0" collapsed="false">
      <c r="A3417" s="3" t="n">
        <v>3416</v>
      </c>
      <c r="B3417" s="3" t="n">
        <v>3415</v>
      </c>
      <c r="C3417" s="3" t="s">
        <v>118</v>
      </c>
      <c r="D3417" s="3" t="n">
        <v>15</v>
      </c>
      <c r="E3417" s="3" t="n">
        <v>3</v>
      </c>
      <c r="F3417" s="3" t="n">
        <v>1</v>
      </c>
      <c r="G3417" s="3" t="n">
        <v>1</v>
      </c>
      <c r="H3417" s="24" t="n">
        <v>0.0397545695</v>
      </c>
    </row>
    <row r="3418" customFormat="false" ht="15" hidden="false" customHeight="false" outlineLevel="0" collapsed="false">
      <c r="A3418" s="3" t="n">
        <v>3417</v>
      </c>
      <c r="B3418" s="3" t="n">
        <v>3416</v>
      </c>
      <c r="C3418" s="3" t="s">
        <v>118</v>
      </c>
      <c r="D3418" s="3" t="n">
        <v>15</v>
      </c>
      <c r="E3418" s="3" t="n">
        <v>3</v>
      </c>
      <c r="F3418" s="3" t="n">
        <v>1</v>
      </c>
      <c r="G3418" s="3" t="n">
        <v>2</v>
      </c>
      <c r="H3418" s="24" t="n">
        <v>-0.316770464</v>
      </c>
    </row>
    <row r="3419" customFormat="false" ht="15" hidden="false" customHeight="false" outlineLevel="0" collapsed="false">
      <c r="A3419" s="3" t="n">
        <v>3418</v>
      </c>
      <c r="B3419" s="3" t="n">
        <v>3417</v>
      </c>
      <c r="C3419" s="3" t="s">
        <v>118</v>
      </c>
      <c r="D3419" s="3" t="n">
        <v>15</v>
      </c>
      <c r="E3419" s="3" t="n">
        <v>3</v>
      </c>
      <c r="F3419" s="3" t="n">
        <v>2</v>
      </c>
      <c r="G3419" s="3" t="n">
        <v>0</v>
      </c>
      <c r="H3419" s="24" t="n">
        <v>-0.127448663</v>
      </c>
    </row>
    <row r="3420" customFormat="false" ht="15" hidden="false" customHeight="false" outlineLevel="0" collapsed="false">
      <c r="A3420" s="3" t="n">
        <v>3419</v>
      </c>
      <c r="B3420" s="3" t="n">
        <v>3418</v>
      </c>
      <c r="C3420" s="3" t="s">
        <v>118</v>
      </c>
      <c r="D3420" s="3" t="n">
        <v>15</v>
      </c>
      <c r="E3420" s="3" t="n">
        <v>3</v>
      </c>
      <c r="F3420" s="3" t="n">
        <v>2</v>
      </c>
      <c r="G3420" s="3" t="n">
        <v>1</v>
      </c>
      <c r="H3420" s="24" t="n">
        <v>0.0672741681</v>
      </c>
    </row>
    <row r="3421" customFormat="false" ht="15" hidden="false" customHeight="false" outlineLevel="0" collapsed="false">
      <c r="A3421" s="3" t="n">
        <v>3420</v>
      </c>
      <c r="B3421" s="3" t="n">
        <v>3419</v>
      </c>
      <c r="C3421" s="3" t="s">
        <v>118</v>
      </c>
      <c r="D3421" s="3" t="n">
        <v>15</v>
      </c>
      <c r="E3421" s="3" t="n">
        <v>3</v>
      </c>
      <c r="F3421" s="3" t="n">
        <v>2</v>
      </c>
      <c r="G3421" s="3" t="n">
        <v>2</v>
      </c>
      <c r="H3421" s="24" t="n">
        <v>0.150954679</v>
      </c>
    </row>
    <row r="3422" customFormat="false" ht="15" hidden="false" customHeight="false" outlineLevel="0" collapsed="false">
      <c r="A3422" s="3" t="n">
        <v>3421</v>
      </c>
      <c r="B3422" s="3" t="n">
        <v>3420</v>
      </c>
      <c r="C3422" s="3" t="s">
        <v>118</v>
      </c>
      <c r="D3422" s="3" t="n">
        <v>15</v>
      </c>
      <c r="E3422" s="3" t="n">
        <v>4</v>
      </c>
      <c r="F3422" s="3" t="n">
        <v>0</v>
      </c>
      <c r="G3422" s="3" t="n">
        <v>0</v>
      </c>
      <c r="H3422" s="24" t="n">
        <v>0.176984176</v>
      </c>
    </row>
    <row r="3423" customFormat="false" ht="15" hidden="false" customHeight="false" outlineLevel="0" collapsed="false">
      <c r="A3423" s="3" t="n">
        <v>3422</v>
      </c>
      <c r="B3423" s="3" t="n">
        <v>3421</v>
      </c>
      <c r="C3423" s="3" t="s">
        <v>118</v>
      </c>
      <c r="D3423" s="3" t="n">
        <v>15</v>
      </c>
      <c r="E3423" s="3" t="n">
        <v>4</v>
      </c>
      <c r="F3423" s="3" t="n">
        <v>0</v>
      </c>
      <c r="G3423" s="3" t="n">
        <v>1</v>
      </c>
      <c r="H3423" s="24" t="n">
        <v>0.050175067</v>
      </c>
    </row>
    <row r="3424" customFormat="false" ht="15" hidden="false" customHeight="false" outlineLevel="0" collapsed="false">
      <c r="A3424" s="3" t="n">
        <v>3423</v>
      </c>
      <c r="B3424" s="3" t="n">
        <v>3422</v>
      </c>
      <c r="C3424" s="3" t="s">
        <v>118</v>
      </c>
      <c r="D3424" s="3" t="n">
        <v>15</v>
      </c>
      <c r="E3424" s="3" t="n">
        <v>4</v>
      </c>
      <c r="F3424" s="3" t="n">
        <v>0</v>
      </c>
      <c r="G3424" s="3" t="n">
        <v>2</v>
      </c>
      <c r="H3424" s="24" t="n">
        <v>-0.167160258</v>
      </c>
    </row>
    <row r="3425" customFormat="false" ht="15" hidden="false" customHeight="false" outlineLevel="0" collapsed="false">
      <c r="A3425" s="3" t="n">
        <v>3424</v>
      </c>
      <c r="B3425" s="3" t="n">
        <v>3423</v>
      </c>
      <c r="C3425" s="3" t="s">
        <v>118</v>
      </c>
      <c r="D3425" s="3" t="n">
        <v>15</v>
      </c>
      <c r="E3425" s="3" t="n">
        <v>4</v>
      </c>
      <c r="F3425" s="3" t="n">
        <v>1</v>
      </c>
      <c r="G3425" s="3" t="n">
        <v>0</v>
      </c>
      <c r="H3425" s="24" t="n">
        <v>-0.0224732365</v>
      </c>
    </row>
    <row r="3426" customFormat="false" ht="15" hidden="false" customHeight="false" outlineLevel="0" collapsed="false">
      <c r="A3426" s="3" t="n">
        <v>3425</v>
      </c>
      <c r="B3426" s="3" t="n">
        <v>3424</v>
      </c>
      <c r="C3426" s="3" t="s">
        <v>118</v>
      </c>
      <c r="D3426" s="3" t="n">
        <v>15</v>
      </c>
      <c r="E3426" s="3" t="n">
        <v>4</v>
      </c>
      <c r="F3426" s="3" t="n">
        <v>1</v>
      </c>
      <c r="G3426" s="3" t="n">
        <v>1</v>
      </c>
      <c r="H3426" s="24" t="n">
        <v>-0.0375561491</v>
      </c>
    </row>
    <row r="3427" customFormat="false" ht="15" hidden="false" customHeight="false" outlineLevel="0" collapsed="false">
      <c r="A3427" s="3" t="n">
        <v>3426</v>
      </c>
      <c r="B3427" s="3" t="n">
        <v>3425</v>
      </c>
      <c r="C3427" s="3" t="s">
        <v>118</v>
      </c>
      <c r="D3427" s="3" t="n">
        <v>15</v>
      </c>
      <c r="E3427" s="3" t="n">
        <v>4</v>
      </c>
      <c r="F3427" s="3" t="n">
        <v>1</v>
      </c>
      <c r="G3427" s="3" t="n">
        <v>2</v>
      </c>
      <c r="H3427" s="24" t="n">
        <v>-0.0461403504</v>
      </c>
    </row>
    <row r="3428" customFormat="false" ht="15" hidden="false" customHeight="false" outlineLevel="0" collapsed="false">
      <c r="A3428" s="3" t="n">
        <v>3427</v>
      </c>
      <c r="B3428" s="3" t="n">
        <v>3426</v>
      </c>
      <c r="C3428" s="3" t="s">
        <v>118</v>
      </c>
      <c r="D3428" s="3" t="n">
        <v>15</v>
      </c>
      <c r="E3428" s="3" t="n">
        <v>4</v>
      </c>
      <c r="F3428" s="3" t="n">
        <v>2</v>
      </c>
      <c r="G3428" s="3" t="n">
        <v>0</v>
      </c>
      <c r="H3428" s="24" t="n">
        <v>0.115219735</v>
      </c>
    </row>
    <row r="3429" customFormat="false" ht="15" hidden="false" customHeight="false" outlineLevel="0" collapsed="false">
      <c r="A3429" s="3" t="n">
        <v>3428</v>
      </c>
      <c r="B3429" s="3" t="n">
        <v>3427</v>
      </c>
      <c r="C3429" s="3" t="s">
        <v>118</v>
      </c>
      <c r="D3429" s="3" t="n">
        <v>15</v>
      </c>
      <c r="E3429" s="3" t="n">
        <v>4</v>
      </c>
      <c r="F3429" s="3" t="n">
        <v>2</v>
      </c>
      <c r="G3429" s="3" t="n">
        <v>1</v>
      </c>
      <c r="H3429" s="24" t="n">
        <v>0.0663796589</v>
      </c>
    </row>
    <row r="3430" customFormat="false" ht="15" hidden="false" customHeight="false" outlineLevel="0" collapsed="false">
      <c r="A3430" s="3" t="n">
        <v>3429</v>
      </c>
      <c r="B3430" s="3" t="n">
        <v>3428</v>
      </c>
      <c r="C3430" s="3" t="s">
        <v>118</v>
      </c>
      <c r="D3430" s="3" t="n">
        <v>15</v>
      </c>
      <c r="E3430" s="3" t="n">
        <v>4</v>
      </c>
      <c r="F3430" s="3" t="n">
        <v>2</v>
      </c>
      <c r="G3430" s="3" t="n">
        <v>2</v>
      </c>
      <c r="H3430" s="24" t="n">
        <v>-0.407364666</v>
      </c>
    </row>
    <row r="3431" customFormat="false" ht="15" hidden="false" customHeight="false" outlineLevel="0" collapsed="false">
      <c r="A3431" s="3" t="n">
        <v>3430</v>
      </c>
      <c r="B3431" s="3" t="n">
        <v>3429</v>
      </c>
      <c r="C3431" s="3" t="s">
        <v>118</v>
      </c>
      <c r="D3431" s="3" t="n">
        <v>15</v>
      </c>
      <c r="E3431" s="3" t="n">
        <v>5</v>
      </c>
      <c r="F3431" s="3" t="n">
        <v>0</v>
      </c>
      <c r="G3431" s="3" t="n">
        <v>0</v>
      </c>
      <c r="H3431" s="24" t="n">
        <v>-0.291789144</v>
      </c>
    </row>
    <row r="3432" customFormat="false" ht="15" hidden="false" customHeight="false" outlineLevel="0" collapsed="false">
      <c r="A3432" s="3" t="n">
        <v>3431</v>
      </c>
      <c r="B3432" s="3" t="n">
        <v>3430</v>
      </c>
      <c r="C3432" s="3" t="s">
        <v>118</v>
      </c>
      <c r="D3432" s="3" t="n">
        <v>15</v>
      </c>
      <c r="E3432" s="3" t="n">
        <v>5</v>
      </c>
      <c r="F3432" s="3" t="n">
        <v>0</v>
      </c>
      <c r="G3432" s="3" t="n">
        <v>1</v>
      </c>
      <c r="H3432" s="24" t="n">
        <v>0.0624284334</v>
      </c>
    </row>
    <row r="3433" customFormat="false" ht="15" hidden="false" customHeight="false" outlineLevel="0" collapsed="false">
      <c r="A3433" s="3" t="n">
        <v>3432</v>
      </c>
      <c r="B3433" s="3" t="n">
        <v>3431</v>
      </c>
      <c r="C3433" s="3" t="s">
        <v>118</v>
      </c>
      <c r="D3433" s="3" t="n">
        <v>15</v>
      </c>
      <c r="E3433" s="3" t="n">
        <v>5</v>
      </c>
      <c r="F3433" s="3" t="n">
        <v>0</v>
      </c>
      <c r="G3433" s="3" t="n">
        <v>2</v>
      </c>
      <c r="H3433" s="24" t="n">
        <v>-0.110948384</v>
      </c>
    </row>
    <row r="3434" customFormat="false" ht="15" hidden="false" customHeight="false" outlineLevel="0" collapsed="false">
      <c r="A3434" s="3" t="n">
        <v>3433</v>
      </c>
      <c r="B3434" s="3" t="n">
        <v>3432</v>
      </c>
      <c r="C3434" s="3" t="s">
        <v>118</v>
      </c>
      <c r="D3434" s="3" t="n">
        <v>15</v>
      </c>
      <c r="E3434" s="3" t="n">
        <v>5</v>
      </c>
      <c r="F3434" s="3" t="n">
        <v>1</v>
      </c>
      <c r="G3434" s="3" t="n">
        <v>0</v>
      </c>
      <c r="H3434" s="24" t="n">
        <v>0.175017267</v>
      </c>
    </row>
    <row r="3435" customFormat="false" ht="15" hidden="false" customHeight="false" outlineLevel="0" collapsed="false">
      <c r="A3435" s="3" t="n">
        <v>3434</v>
      </c>
      <c r="B3435" s="3" t="n">
        <v>3433</v>
      </c>
      <c r="C3435" s="3" t="s">
        <v>118</v>
      </c>
      <c r="D3435" s="3" t="n">
        <v>15</v>
      </c>
      <c r="E3435" s="3" t="n">
        <v>5</v>
      </c>
      <c r="F3435" s="3" t="n">
        <v>1</v>
      </c>
      <c r="G3435" s="3" t="n">
        <v>1</v>
      </c>
      <c r="H3435" s="24" t="n">
        <v>-0.173306137</v>
      </c>
    </row>
    <row r="3436" customFormat="false" ht="15" hidden="false" customHeight="false" outlineLevel="0" collapsed="false">
      <c r="A3436" s="3" t="n">
        <v>3435</v>
      </c>
      <c r="B3436" s="3" t="n">
        <v>3434</v>
      </c>
      <c r="C3436" s="3" t="s">
        <v>118</v>
      </c>
      <c r="D3436" s="3" t="n">
        <v>15</v>
      </c>
      <c r="E3436" s="3" t="n">
        <v>5</v>
      </c>
      <c r="F3436" s="3" t="n">
        <v>1</v>
      </c>
      <c r="G3436" s="3" t="n">
        <v>2</v>
      </c>
      <c r="H3436" s="24" t="n">
        <v>0.0577730425</v>
      </c>
    </row>
    <row r="3437" customFormat="false" ht="15" hidden="false" customHeight="false" outlineLevel="0" collapsed="false">
      <c r="A3437" s="3" t="n">
        <v>3436</v>
      </c>
      <c r="B3437" s="3" t="n">
        <v>3435</v>
      </c>
      <c r="C3437" s="3" t="s">
        <v>118</v>
      </c>
      <c r="D3437" s="3" t="n">
        <v>15</v>
      </c>
      <c r="E3437" s="3" t="n">
        <v>5</v>
      </c>
      <c r="F3437" s="3" t="n">
        <v>2</v>
      </c>
      <c r="G3437" s="3" t="n">
        <v>0</v>
      </c>
      <c r="H3437" s="24" t="n">
        <v>0.0311401244</v>
      </c>
    </row>
    <row r="3438" customFormat="false" ht="15" hidden="false" customHeight="false" outlineLevel="0" collapsed="false">
      <c r="A3438" s="3" t="n">
        <v>3437</v>
      </c>
      <c r="B3438" s="3" t="n">
        <v>3436</v>
      </c>
      <c r="C3438" s="3" t="s">
        <v>118</v>
      </c>
      <c r="D3438" s="3" t="n">
        <v>15</v>
      </c>
      <c r="E3438" s="3" t="n">
        <v>5</v>
      </c>
      <c r="F3438" s="3" t="n">
        <v>2</v>
      </c>
      <c r="G3438" s="3" t="n">
        <v>1</v>
      </c>
      <c r="H3438" s="24" t="n">
        <v>0.18325904</v>
      </c>
    </row>
    <row r="3439" customFormat="false" ht="15" hidden="false" customHeight="false" outlineLevel="0" collapsed="false">
      <c r="A3439" s="3" t="n">
        <v>3438</v>
      </c>
      <c r="B3439" s="3" t="n">
        <v>3437</v>
      </c>
      <c r="C3439" s="3" t="s">
        <v>118</v>
      </c>
      <c r="D3439" s="3" t="n">
        <v>15</v>
      </c>
      <c r="E3439" s="3" t="n">
        <v>5</v>
      </c>
      <c r="F3439" s="3" t="n">
        <v>2</v>
      </c>
      <c r="G3439" s="3" t="n">
        <v>2</v>
      </c>
      <c r="H3439" s="24" t="n">
        <v>0.106252253</v>
      </c>
    </row>
    <row r="3440" customFormat="false" ht="15" hidden="false" customHeight="false" outlineLevel="0" collapsed="false">
      <c r="A3440" s="3" t="n">
        <v>3439</v>
      </c>
      <c r="B3440" s="3" t="n">
        <v>3438</v>
      </c>
      <c r="C3440" s="3" t="s">
        <v>118</v>
      </c>
      <c r="D3440" s="3" t="n">
        <v>15</v>
      </c>
      <c r="E3440" s="3" t="n">
        <v>6</v>
      </c>
      <c r="F3440" s="3" t="n">
        <v>0</v>
      </c>
      <c r="G3440" s="3" t="n">
        <v>0</v>
      </c>
      <c r="H3440" s="24" t="n">
        <v>-0.0462012999</v>
      </c>
    </row>
    <row r="3441" customFormat="false" ht="15" hidden="false" customHeight="false" outlineLevel="0" collapsed="false">
      <c r="A3441" s="3" t="n">
        <v>3440</v>
      </c>
      <c r="B3441" s="3" t="n">
        <v>3439</v>
      </c>
      <c r="C3441" s="3" t="s">
        <v>118</v>
      </c>
      <c r="D3441" s="3" t="n">
        <v>15</v>
      </c>
      <c r="E3441" s="3" t="n">
        <v>6</v>
      </c>
      <c r="F3441" s="3" t="n">
        <v>0</v>
      </c>
      <c r="G3441" s="3" t="n">
        <v>1</v>
      </c>
      <c r="H3441" s="24" t="n">
        <v>0.0382137634</v>
      </c>
    </row>
    <row r="3442" customFormat="false" ht="15" hidden="false" customHeight="false" outlineLevel="0" collapsed="false">
      <c r="A3442" s="3" t="n">
        <v>3441</v>
      </c>
      <c r="B3442" s="3" t="n">
        <v>3440</v>
      </c>
      <c r="C3442" s="3" t="s">
        <v>118</v>
      </c>
      <c r="D3442" s="3" t="n">
        <v>15</v>
      </c>
      <c r="E3442" s="3" t="n">
        <v>6</v>
      </c>
      <c r="F3442" s="3" t="n">
        <v>0</v>
      </c>
      <c r="G3442" s="3" t="n">
        <v>2</v>
      </c>
      <c r="H3442" s="24" t="n">
        <v>0.276795626</v>
      </c>
    </row>
    <row r="3443" customFormat="false" ht="15" hidden="false" customHeight="false" outlineLevel="0" collapsed="false">
      <c r="A3443" s="3" t="n">
        <v>3442</v>
      </c>
      <c r="B3443" s="3" t="n">
        <v>3441</v>
      </c>
      <c r="C3443" s="3" t="s">
        <v>118</v>
      </c>
      <c r="D3443" s="3" t="n">
        <v>15</v>
      </c>
      <c r="E3443" s="3" t="n">
        <v>6</v>
      </c>
      <c r="F3443" s="3" t="n">
        <v>1</v>
      </c>
      <c r="G3443" s="3" t="n">
        <v>0</v>
      </c>
      <c r="H3443" s="24" t="n">
        <v>-0.0797557682</v>
      </c>
    </row>
    <row r="3444" customFormat="false" ht="15" hidden="false" customHeight="false" outlineLevel="0" collapsed="false">
      <c r="A3444" s="3" t="n">
        <v>3443</v>
      </c>
      <c r="B3444" s="3" t="n">
        <v>3442</v>
      </c>
      <c r="C3444" s="3" t="s">
        <v>118</v>
      </c>
      <c r="D3444" s="3" t="n">
        <v>15</v>
      </c>
      <c r="E3444" s="3" t="n">
        <v>6</v>
      </c>
      <c r="F3444" s="3" t="n">
        <v>1</v>
      </c>
      <c r="G3444" s="3" t="n">
        <v>1</v>
      </c>
      <c r="H3444" s="24" t="n">
        <v>-0.0585793629</v>
      </c>
    </row>
    <row r="3445" customFormat="false" ht="15" hidden="false" customHeight="false" outlineLevel="0" collapsed="false">
      <c r="A3445" s="3" t="n">
        <v>3444</v>
      </c>
      <c r="B3445" s="3" t="n">
        <v>3443</v>
      </c>
      <c r="C3445" s="3" t="s">
        <v>118</v>
      </c>
      <c r="D3445" s="3" t="n">
        <v>15</v>
      </c>
      <c r="E3445" s="3" t="n">
        <v>6</v>
      </c>
      <c r="F3445" s="3" t="n">
        <v>1</v>
      </c>
      <c r="G3445" s="3" t="n">
        <v>2</v>
      </c>
      <c r="H3445" s="24" t="n">
        <v>0.0906556249</v>
      </c>
    </row>
    <row r="3446" customFormat="false" ht="15" hidden="false" customHeight="false" outlineLevel="0" collapsed="false">
      <c r="A3446" s="3" t="n">
        <v>3445</v>
      </c>
      <c r="B3446" s="3" t="n">
        <v>3444</v>
      </c>
      <c r="C3446" s="3" t="s">
        <v>118</v>
      </c>
      <c r="D3446" s="3" t="n">
        <v>15</v>
      </c>
      <c r="E3446" s="3" t="n">
        <v>6</v>
      </c>
      <c r="F3446" s="3" t="n">
        <v>2</v>
      </c>
      <c r="G3446" s="3" t="n">
        <v>0</v>
      </c>
      <c r="H3446" s="24" t="n">
        <v>0.106400304</v>
      </c>
    </row>
    <row r="3447" customFormat="false" ht="15" hidden="false" customHeight="false" outlineLevel="0" collapsed="false">
      <c r="A3447" s="3" t="n">
        <v>3446</v>
      </c>
      <c r="B3447" s="3" t="n">
        <v>3445</v>
      </c>
      <c r="C3447" s="3" t="s">
        <v>118</v>
      </c>
      <c r="D3447" s="3" t="n">
        <v>15</v>
      </c>
      <c r="E3447" s="3" t="n">
        <v>6</v>
      </c>
      <c r="F3447" s="3" t="n">
        <v>2</v>
      </c>
      <c r="G3447" s="3" t="n">
        <v>1</v>
      </c>
      <c r="H3447" s="24" t="n">
        <v>0.125959054</v>
      </c>
    </row>
    <row r="3448" customFormat="false" ht="15" hidden="false" customHeight="false" outlineLevel="0" collapsed="false">
      <c r="A3448" s="3" t="n">
        <v>3447</v>
      </c>
      <c r="B3448" s="3" t="n">
        <v>3446</v>
      </c>
      <c r="C3448" s="3" t="s">
        <v>118</v>
      </c>
      <c r="D3448" s="3" t="n">
        <v>15</v>
      </c>
      <c r="E3448" s="3" t="n">
        <v>6</v>
      </c>
      <c r="F3448" s="3" t="n">
        <v>2</v>
      </c>
      <c r="G3448" s="3" t="n">
        <v>2</v>
      </c>
      <c r="H3448" s="24" t="n">
        <v>0.148959026</v>
      </c>
    </row>
    <row r="3449" customFormat="false" ht="15" hidden="false" customHeight="false" outlineLevel="0" collapsed="false">
      <c r="A3449" s="3" t="n">
        <v>3448</v>
      </c>
      <c r="B3449" s="3" t="n">
        <v>3447</v>
      </c>
      <c r="C3449" s="3" t="s">
        <v>118</v>
      </c>
      <c r="D3449" s="3" t="n">
        <v>15</v>
      </c>
      <c r="E3449" s="3" t="n">
        <v>7</v>
      </c>
      <c r="F3449" s="3" t="n">
        <v>0</v>
      </c>
      <c r="G3449" s="3" t="n">
        <v>0</v>
      </c>
      <c r="H3449" s="24" t="n">
        <v>-0.0120499544</v>
      </c>
    </row>
    <row r="3450" customFormat="false" ht="15" hidden="false" customHeight="false" outlineLevel="0" collapsed="false">
      <c r="A3450" s="3" t="n">
        <v>3449</v>
      </c>
      <c r="B3450" s="3" t="n">
        <v>3448</v>
      </c>
      <c r="C3450" s="3" t="s">
        <v>118</v>
      </c>
      <c r="D3450" s="3" t="n">
        <v>15</v>
      </c>
      <c r="E3450" s="3" t="n">
        <v>7</v>
      </c>
      <c r="F3450" s="3" t="n">
        <v>0</v>
      </c>
      <c r="G3450" s="3" t="n">
        <v>1</v>
      </c>
      <c r="H3450" s="24" t="n">
        <v>-0.149041072</v>
      </c>
    </row>
    <row r="3451" customFormat="false" ht="15" hidden="false" customHeight="false" outlineLevel="0" collapsed="false">
      <c r="A3451" s="3" t="n">
        <v>3450</v>
      </c>
      <c r="B3451" s="3" t="n">
        <v>3449</v>
      </c>
      <c r="C3451" s="3" t="s">
        <v>118</v>
      </c>
      <c r="D3451" s="3" t="n">
        <v>15</v>
      </c>
      <c r="E3451" s="3" t="n">
        <v>7</v>
      </c>
      <c r="F3451" s="3" t="n">
        <v>0</v>
      </c>
      <c r="G3451" s="3" t="n">
        <v>2</v>
      </c>
      <c r="H3451" s="24" t="n">
        <v>-0.0363503881</v>
      </c>
    </row>
    <row r="3452" customFormat="false" ht="15" hidden="false" customHeight="false" outlineLevel="0" collapsed="false">
      <c r="A3452" s="3" t="n">
        <v>3451</v>
      </c>
      <c r="B3452" s="3" t="n">
        <v>3450</v>
      </c>
      <c r="C3452" s="3" t="s">
        <v>118</v>
      </c>
      <c r="D3452" s="3" t="n">
        <v>15</v>
      </c>
      <c r="E3452" s="3" t="n">
        <v>7</v>
      </c>
      <c r="F3452" s="3" t="n">
        <v>1</v>
      </c>
      <c r="G3452" s="3" t="n">
        <v>0</v>
      </c>
      <c r="H3452" s="24" t="n">
        <v>0.288257241</v>
      </c>
    </row>
    <row r="3453" customFormat="false" ht="15" hidden="false" customHeight="false" outlineLevel="0" collapsed="false">
      <c r="A3453" s="3" t="n">
        <v>3452</v>
      </c>
      <c r="B3453" s="3" t="n">
        <v>3451</v>
      </c>
      <c r="C3453" s="3" t="s">
        <v>118</v>
      </c>
      <c r="D3453" s="3" t="n">
        <v>15</v>
      </c>
      <c r="E3453" s="3" t="n">
        <v>7</v>
      </c>
      <c r="F3453" s="3" t="n">
        <v>1</v>
      </c>
      <c r="G3453" s="3" t="n">
        <v>1</v>
      </c>
      <c r="H3453" s="24" t="n">
        <v>-0.0494456366</v>
      </c>
    </row>
    <row r="3454" customFormat="false" ht="15" hidden="false" customHeight="false" outlineLevel="0" collapsed="false">
      <c r="A3454" s="3" t="n">
        <v>3453</v>
      </c>
      <c r="B3454" s="3" t="n">
        <v>3452</v>
      </c>
      <c r="C3454" s="3" t="s">
        <v>118</v>
      </c>
      <c r="D3454" s="3" t="n">
        <v>15</v>
      </c>
      <c r="E3454" s="3" t="n">
        <v>7</v>
      </c>
      <c r="F3454" s="3" t="n">
        <v>1</v>
      </c>
      <c r="G3454" s="3" t="n">
        <v>2</v>
      </c>
      <c r="H3454" s="24" t="n">
        <v>-0.0466014408</v>
      </c>
    </row>
    <row r="3455" customFormat="false" ht="15" hidden="false" customHeight="false" outlineLevel="0" collapsed="false">
      <c r="A3455" s="3" t="n">
        <v>3454</v>
      </c>
      <c r="B3455" s="3" t="n">
        <v>3453</v>
      </c>
      <c r="C3455" s="3" t="s">
        <v>118</v>
      </c>
      <c r="D3455" s="3" t="n">
        <v>15</v>
      </c>
      <c r="E3455" s="3" t="n">
        <v>7</v>
      </c>
      <c r="F3455" s="3" t="n">
        <v>2</v>
      </c>
      <c r="G3455" s="3" t="n">
        <v>0</v>
      </c>
      <c r="H3455" s="24" t="n">
        <v>0.0882090554</v>
      </c>
    </row>
    <row r="3456" customFormat="false" ht="15" hidden="false" customHeight="false" outlineLevel="0" collapsed="false">
      <c r="A3456" s="3" t="n">
        <v>3455</v>
      </c>
      <c r="B3456" s="3" t="n">
        <v>3454</v>
      </c>
      <c r="C3456" s="3" t="s">
        <v>118</v>
      </c>
      <c r="D3456" s="3" t="n">
        <v>15</v>
      </c>
      <c r="E3456" s="3" t="n">
        <v>7</v>
      </c>
      <c r="F3456" s="3" t="n">
        <v>2</v>
      </c>
      <c r="G3456" s="3" t="n">
        <v>1</v>
      </c>
      <c r="H3456" s="24" t="n">
        <v>-0.283463657</v>
      </c>
    </row>
    <row r="3457" customFormat="false" ht="15" hidden="false" customHeight="false" outlineLevel="0" collapsed="false">
      <c r="A3457" s="3" t="n">
        <v>3456</v>
      </c>
      <c r="B3457" s="3" t="n">
        <v>3455</v>
      </c>
      <c r="C3457" s="3" t="s">
        <v>118</v>
      </c>
      <c r="D3457" s="3" t="n">
        <v>15</v>
      </c>
      <c r="E3457" s="3" t="n">
        <v>7</v>
      </c>
      <c r="F3457" s="3" t="n">
        <v>2</v>
      </c>
      <c r="G3457" s="3" t="n">
        <v>2</v>
      </c>
      <c r="H3457" s="24" t="n">
        <v>0.0782469064</v>
      </c>
    </row>
    <row r="3458" customFormat="false" ht="15" hidden="false" customHeight="false" outlineLevel="0" collapsed="false">
      <c r="A3458" s="3" t="n">
        <v>3457</v>
      </c>
      <c r="B3458" s="3" t="n">
        <v>3456</v>
      </c>
      <c r="C3458" s="3" t="s">
        <v>118</v>
      </c>
      <c r="D3458" s="3" t="n">
        <v>15</v>
      </c>
      <c r="E3458" s="3" t="n">
        <v>8</v>
      </c>
      <c r="F3458" s="3" t="n">
        <v>0</v>
      </c>
      <c r="G3458" s="3" t="n">
        <v>0</v>
      </c>
      <c r="H3458" s="24" t="n">
        <v>-0.0233451407</v>
      </c>
    </row>
    <row r="3459" customFormat="false" ht="15" hidden="false" customHeight="false" outlineLevel="0" collapsed="false">
      <c r="A3459" s="3" t="n">
        <v>3458</v>
      </c>
      <c r="B3459" s="3" t="n">
        <v>3457</v>
      </c>
      <c r="C3459" s="3" t="s">
        <v>118</v>
      </c>
      <c r="D3459" s="3" t="n">
        <v>15</v>
      </c>
      <c r="E3459" s="3" t="n">
        <v>8</v>
      </c>
      <c r="F3459" s="3" t="n">
        <v>0</v>
      </c>
      <c r="G3459" s="3" t="n">
        <v>1</v>
      </c>
      <c r="H3459" s="24" t="n">
        <v>0.220082209</v>
      </c>
    </row>
    <row r="3460" customFormat="false" ht="15" hidden="false" customHeight="false" outlineLevel="0" collapsed="false">
      <c r="A3460" s="3" t="n">
        <v>3459</v>
      </c>
      <c r="B3460" s="3" t="n">
        <v>3458</v>
      </c>
      <c r="C3460" s="3" t="s">
        <v>118</v>
      </c>
      <c r="D3460" s="3" t="n">
        <v>15</v>
      </c>
      <c r="E3460" s="3" t="n">
        <v>8</v>
      </c>
      <c r="F3460" s="3" t="n">
        <v>0</v>
      </c>
      <c r="G3460" s="3" t="n">
        <v>2</v>
      </c>
      <c r="H3460" s="24" t="n">
        <v>-0.10561128</v>
      </c>
    </row>
    <row r="3461" customFormat="false" ht="15" hidden="false" customHeight="false" outlineLevel="0" collapsed="false">
      <c r="A3461" s="3" t="n">
        <v>3460</v>
      </c>
      <c r="B3461" s="3" t="n">
        <v>3459</v>
      </c>
      <c r="C3461" s="3" t="s">
        <v>118</v>
      </c>
      <c r="D3461" s="3" t="n">
        <v>15</v>
      </c>
      <c r="E3461" s="3" t="n">
        <v>8</v>
      </c>
      <c r="F3461" s="3" t="n">
        <v>1</v>
      </c>
      <c r="G3461" s="3" t="n">
        <v>0</v>
      </c>
      <c r="H3461" s="24" t="n">
        <v>-0.073249653</v>
      </c>
    </row>
    <row r="3462" customFormat="false" ht="15" hidden="false" customHeight="false" outlineLevel="0" collapsed="false">
      <c r="A3462" s="3" t="n">
        <v>3461</v>
      </c>
      <c r="B3462" s="3" t="n">
        <v>3460</v>
      </c>
      <c r="C3462" s="3" t="s">
        <v>118</v>
      </c>
      <c r="D3462" s="3" t="n">
        <v>15</v>
      </c>
      <c r="E3462" s="3" t="n">
        <v>8</v>
      </c>
      <c r="F3462" s="3" t="n">
        <v>1</v>
      </c>
      <c r="G3462" s="3" t="n">
        <v>1</v>
      </c>
      <c r="H3462" s="24" t="n">
        <v>0.228585109</v>
      </c>
    </row>
    <row r="3463" customFormat="false" ht="15" hidden="false" customHeight="false" outlineLevel="0" collapsed="false">
      <c r="A3463" s="3" t="n">
        <v>3462</v>
      </c>
      <c r="B3463" s="3" t="n">
        <v>3461</v>
      </c>
      <c r="C3463" s="3" t="s">
        <v>118</v>
      </c>
      <c r="D3463" s="3" t="n">
        <v>15</v>
      </c>
      <c r="E3463" s="3" t="n">
        <v>8</v>
      </c>
      <c r="F3463" s="3" t="n">
        <v>1</v>
      </c>
      <c r="G3463" s="3" t="n">
        <v>2</v>
      </c>
      <c r="H3463" s="24" t="n">
        <v>-0.00742126163</v>
      </c>
    </row>
    <row r="3464" customFormat="false" ht="15" hidden="false" customHeight="false" outlineLevel="0" collapsed="false">
      <c r="A3464" s="3" t="n">
        <v>3463</v>
      </c>
      <c r="B3464" s="3" t="n">
        <v>3462</v>
      </c>
      <c r="C3464" s="3" t="s">
        <v>118</v>
      </c>
      <c r="D3464" s="3" t="n">
        <v>15</v>
      </c>
      <c r="E3464" s="3" t="n">
        <v>8</v>
      </c>
      <c r="F3464" s="3" t="n">
        <v>2</v>
      </c>
      <c r="G3464" s="3" t="n">
        <v>0</v>
      </c>
      <c r="H3464" s="24" t="n">
        <v>0.0620409623</v>
      </c>
    </row>
    <row r="3465" customFormat="false" ht="15" hidden="false" customHeight="false" outlineLevel="0" collapsed="false">
      <c r="A3465" s="3" t="n">
        <v>3464</v>
      </c>
      <c r="B3465" s="3" t="n">
        <v>3463</v>
      </c>
      <c r="C3465" s="3" t="s">
        <v>118</v>
      </c>
      <c r="D3465" s="3" t="n">
        <v>15</v>
      </c>
      <c r="E3465" s="3" t="n">
        <v>8</v>
      </c>
      <c r="F3465" s="3" t="n">
        <v>2</v>
      </c>
      <c r="G3465" s="3" t="n">
        <v>1</v>
      </c>
      <c r="H3465" s="24" t="n">
        <v>0.253073454</v>
      </c>
    </row>
    <row r="3466" customFormat="false" ht="15" hidden="false" customHeight="false" outlineLevel="0" collapsed="false">
      <c r="A3466" s="3" t="n">
        <v>3465</v>
      </c>
      <c r="B3466" s="3" t="n">
        <v>3464</v>
      </c>
      <c r="C3466" s="3" t="s">
        <v>118</v>
      </c>
      <c r="D3466" s="3" t="n">
        <v>15</v>
      </c>
      <c r="E3466" s="3" t="n">
        <v>8</v>
      </c>
      <c r="F3466" s="3" t="n">
        <v>2</v>
      </c>
      <c r="G3466" s="3" t="n">
        <v>2</v>
      </c>
      <c r="H3466" s="24" t="n">
        <v>0.0582371093</v>
      </c>
    </row>
    <row r="3467" customFormat="false" ht="15" hidden="false" customHeight="false" outlineLevel="0" collapsed="false">
      <c r="A3467" s="3" t="n">
        <v>3466</v>
      </c>
      <c r="B3467" s="3" t="n">
        <v>3465</v>
      </c>
      <c r="C3467" s="3" t="s">
        <v>118</v>
      </c>
      <c r="D3467" s="3" t="n">
        <v>15</v>
      </c>
      <c r="E3467" s="3" t="n">
        <v>9</v>
      </c>
      <c r="F3467" s="3" t="n">
        <v>0</v>
      </c>
      <c r="G3467" s="3" t="n">
        <v>0</v>
      </c>
      <c r="H3467" s="24" t="n">
        <v>0.164899692</v>
      </c>
    </row>
    <row r="3468" customFormat="false" ht="15" hidden="false" customHeight="false" outlineLevel="0" collapsed="false">
      <c r="A3468" s="3" t="n">
        <v>3467</v>
      </c>
      <c r="B3468" s="3" t="n">
        <v>3466</v>
      </c>
      <c r="C3468" s="3" t="s">
        <v>118</v>
      </c>
      <c r="D3468" s="3" t="n">
        <v>15</v>
      </c>
      <c r="E3468" s="3" t="n">
        <v>9</v>
      </c>
      <c r="F3468" s="3" t="n">
        <v>0</v>
      </c>
      <c r="G3468" s="3" t="n">
        <v>1</v>
      </c>
      <c r="H3468" s="24" t="n">
        <v>0.0708114579</v>
      </c>
    </row>
    <row r="3469" customFormat="false" ht="15" hidden="false" customHeight="false" outlineLevel="0" collapsed="false">
      <c r="A3469" s="3" t="n">
        <v>3468</v>
      </c>
      <c r="B3469" s="3" t="n">
        <v>3467</v>
      </c>
      <c r="C3469" s="3" t="s">
        <v>118</v>
      </c>
      <c r="D3469" s="3" t="n">
        <v>15</v>
      </c>
      <c r="E3469" s="3" t="n">
        <v>9</v>
      </c>
      <c r="F3469" s="3" t="n">
        <v>0</v>
      </c>
      <c r="G3469" s="3" t="n">
        <v>2</v>
      </c>
      <c r="H3469" s="24" t="n">
        <v>0.0383434631</v>
      </c>
    </row>
    <row r="3470" customFormat="false" ht="15" hidden="false" customHeight="false" outlineLevel="0" collapsed="false">
      <c r="A3470" s="3" t="n">
        <v>3469</v>
      </c>
      <c r="B3470" s="3" t="n">
        <v>3468</v>
      </c>
      <c r="C3470" s="3" t="s">
        <v>118</v>
      </c>
      <c r="D3470" s="3" t="n">
        <v>15</v>
      </c>
      <c r="E3470" s="3" t="n">
        <v>9</v>
      </c>
      <c r="F3470" s="3" t="n">
        <v>1</v>
      </c>
      <c r="G3470" s="3" t="n">
        <v>0</v>
      </c>
      <c r="H3470" s="24" t="n">
        <v>0.126184016</v>
      </c>
    </row>
    <row r="3471" customFormat="false" ht="15" hidden="false" customHeight="false" outlineLevel="0" collapsed="false">
      <c r="A3471" s="3" t="n">
        <v>3470</v>
      </c>
      <c r="B3471" s="3" t="n">
        <v>3469</v>
      </c>
      <c r="C3471" s="3" t="s">
        <v>118</v>
      </c>
      <c r="D3471" s="3" t="n">
        <v>15</v>
      </c>
      <c r="E3471" s="3" t="n">
        <v>9</v>
      </c>
      <c r="F3471" s="3" t="n">
        <v>1</v>
      </c>
      <c r="G3471" s="3" t="n">
        <v>1</v>
      </c>
      <c r="H3471" s="24" t="n">
        <v>0.00940530561</v>
      </c>
    </row>
    <row r="3472" customFormat="false" ht="15" hidden="false" customHeight="false" outlineLevel="0" collapsed="false">
      <c r="A3472" s="3" t="n">
        <v>3471</v>
      </c>
      <c r="B3472" s="3" t="n">
        <v>3470</v>
      </c>
      <c r="C3472" s="3" t="s">
        <v>118</v>
      </c>
      <c r="D3472" s="3" t="n">
        <v>15</v>
      </c>
      <c r="E3472" s="3" t="n">
        <v>9</v>
      </c>
      <c r="F3472" s="3" t="n">
        <v>1</v>
      </c>
      <c r="G3472" s="3" t="n">
        <v>2</v>
      </c>
      <c r="H3472" s="24" t="n">
        <v>0.196417645</v>
      </c>
    </row>
    <row r="3473" customFormat="false" ht="15" hidden="false" customHeight="false" outlineLevel="0" collapsed="false">
      <c r="A3473" s="3" t="n">
        <v>3472</v>
      </c>
      <c r="B3473" s="3" t="n">
        <v>3471</v>
      </c>
      <c r="C3473" s="3" t="s">
        <v>118</v>
      </c>
      <c r="D3473" s="3" t="n">
        <v>15</v>
      </c>
      <c r="E3473" s="3" t="n">
        <v>9</v>
      </c>
      <c r="F3473" s="3" t="n">
        <v>2</v>
      </c>
      <c r="G3473" s="3" t="n">
        <v>0</v>
      </c>
      <c r="H3473" s="24" t="n">
        <v>-0.0585161746</v>
      </c>
    </row>
    <row r="3474" customFormat="false" ht="15" hidden="false" customHeight="false" outlineLevel="0" collapsed="false">
      <c r="A3474" s="3" t="n">
        <v>3473</v>
      </c>
      <c r="B3474" s="3" t="n">
        <v>3472</v>
      </c>
      <c r="C3474" s="3" t="s">
        <v>118</v>
      </c>
      <c r="D3474" s="3" t="n">
        <v>15</v>
      </c>
      <c r="E3474" s="3" t="n">
        <v>9</v>
      </c>
      <c r="F3474" s="3" t="n">
        <v>2</v>
      </c>
      <c r="G3474" s="3" t="n">
        <v>1</v>
      </c>
      <c r="H3474" s="24" t="n">
        <v>0.229077324</v>
      </c>
    </row>
    <row r="3475" customFormat="false" ht="15" hidden="false" customHeight="false" outlineLevel="0" collapsed="false">
      <c r="A3475" s="3" t="n">
        <v>3474</v>
      </c>
      <c r="B3475" s="3" t="n">
        <v>3473</v>
      </c>
      <c r="C3475" s="3" t="s">
        <v>118</v>
      </c>
      <c r="D3475" s="3" t="n">
        <v>15</v>
      </c>
      <c r="E3475" s="3" t="n">
        <v>9</v>
      </c>
      <c r="F3475" s="3" t="n">
        <v>2</v>
      </c>
      <c r="G3475" s="3" t="n">
        <v>2</v>
      </c>
      <c r="H3475" s="24" t="n">
        <v>-0.0640346855</v>
      </c>
    </row>
    <row r="3476" customFormat="false" ht="15" hidden="false" customHeight="false" outlineLevel="0" collapsed="false">
      <c r="A3476" s="3" t="n">
        <v>3475</v>
      </c>
      <c r="B3476" s="3" t="n">
        <v>3474</v>
      </c>
      <c r="C3476" s="3" t="s">
        <v>118</v>
      </c>
      <c r="D3476" s="3" t="n">
        <v>15</v>
      </c>
      <c r="E3476" s="3" t="n">
        <v>10</v>
      </c>
      <c r="F3476" s="3" t="n">
        <v>0</v>
      </c>
      <c r="G3476" s="3" t="n">
        <v>0</v>
      </c>
      <c r="H3476" s="24" t="n">
        <v>-0.0941116959</v>
      </c>
    </row>
    <row r="3477" customFormat="false" ht="15" hidden="false" customHeight="false" outlineLevel="0" collapsed="false">
      <c r="A3477" s="3" t="n">
        <v>3476</v>
      </c>
      <c r="B3477" s="3" t="n">
        <v>3475</v>
      </c>
      <c r="C3477" s="3" t="s">
        <v>118</v>
      </c>
      <c r="D3477" s="3" t="n">
        <v>15</v>
      </c>
      <c r="E3477" s="3" t="n">
        <v>10</v>
      </c>
      <c r="F3477" s="3" t="n">
        <v>0</v>
      </c>
      <c r="G3477" s="3" t="n">
        <v>1</v>
      </c>
      <c r="H3477" s="24" t="n">
        <v>0.112435371</v>
      </c>
    </row>
    <row r="3478" customFormat="false" ht="15" hidden="false" customHeight="false" outlineLevel="0" collapsed="false">
      <c r="A3478" s="3" t="n">
        <v>3477</v>
      </c>
      <c r="B3478" s="3" t="n">
        <v>3476</v>
      </c>
      <c r="C3478" s="3" t="s">
        <v>118</v>
      </c>
      <c r="D3478" s="3" t="n">
        <v>15</v>
      </c>
      <c r="E3478" s="3" t="n">
        <v>10</v>
      </c>
      <c r="F3478" s="3" t="n">
        <v>0</v>
      </c>
      <c r="G3478" s="3" t="n">
        <v>2</v>
      </c>
      <c r="H3478" s="24" t="n">
        <v>-0.482755691</v>
      </c>
    </row>
    <row r="3479" customFormat="false" ht="15" hidden="false" customHeight="false" outlineLevel="0" collapsed="false">
      <c r="A3479" s="3" t="n">
        <v>3478</v>
      </c>
      <c r="B3479" s="3" t="n">
        <v>3477</v>
      </c>
      <c r="C3479" s="3" t="s">
        <v>118</v>
      </c>
      <c r="D3479" s="3" t="n">
        <v>15</v>
      </c>
      <c r="E3479" s="3" t="n">
        <v>10</v>
      </c>
      <c r="F3479" s="3" t="n">
        <v>1</v>
      </c>
      <c r="G3479" s="3" t="n">
        <v>0</v>
      </c>
      <c r="H3479" s="24" t="n">
        <v>-0.102874704</v>
      </c>
    </row>
    <row r="3480" customFormat="false" ht="15" hidden="false" customHeight="false" outlineLevel="0" collapsed="false">
      <c r="A3480" s="3" t="n">
        <v>3479</v>
      </c>
      <c r="B3480" s="3" t="n">
        <v>3478</v>
      </c>
      <c r="C3480" s="3" t="s">
        <v>118</v>
      </c>
      <c r="D3480" s="3" t="n">
        <v>15</v>
      </c>
      <c r="E3480" s="3" t="n">
        <v>10</v>
      </c>
      <c r="F3480" s="3" t="n">
        <v>1</v>
      </c>
      <c r="G3480" s="3" t="n">
        <v>1</v>
      </c>
      <c r="H3480" s="24" t="n">
        <v>0.231329948</v>
      </c>
    </row>
    <row r="3481" customFormat="false" ht="15" hidden="false" customHeight="false" outlineLevel="0" collapsed="false">
      <c r="A3481" s="3" t="n">
        <v>3480</v>
      </c>
      <c r="B3481" s="3" t="n">
        <v>3479</v>
      </c>
      <c r="C3481" s="3" t="s">
        <v>118</v>
      </c>
      <c r="D3481" s="3" t="n">
        <v>15</v>
      </c>
      <c r="E3481" s="3" t="n">
        <v>10</v>
      </c>
      <c r="F3481" s="3" t="n">
        <v>1</v>
      </c>
      <c r="G3481" s="3" t="n">
        <v>2</v>
      </c>
      <c r="H3481" s="24" t="n">
        <v>-0.0284607448</v>
      </c>
    </row>
    <row r="3482" customFormat="false" ht="15" hidden="false" customHeight="false" outlineLevel="0" collapsed="false">
      <c r="A3482" s="3" t="n">
        <v>3481</v>
      </c>
      <c r="B3482" s="3" t="n">
        <v>3480</v>
      </c>
      <c r="C3482" s="3" t="s">
        <v>118</v>
      </c>
      <c r="D3482" s="3" t="n">
        <v>15</v>
      </c>
      <c r="E3482" s="3" t="n">
        <v>10</v>
      </c>
      <c r="F3482" s="3" t="n">
        <v>2</v>
      </c>
      <c r="G3482" s="3" t="n">
        <v>0</v>
      </c>
      <c r="H3482" s="24" t="n">
        <v>0.0743051842</v>
      </c>
    </row>
    <row r="3483" customFormat="false" ht="15" hidden="false" customHeight="false" outlineLevel="0" collapsed="false">
      <c r="A3483" s="3" t="n">
        <v>3482</v>
      </c>
      <c r="B3483" s="3" t="n">
        <v>3481</v>
      </c>
      <c r="C3483" s="3" t="s">
        <v>118</v>
      </c>
      <c r="D3483" s="3" t="n">
        <v>15</v>
      </c>
      <c r="E3483" s="3" t="n">
        <v>10</v>
      </c>
      <c r="F3483" s="3" t="n">
        <v>2</v>
      </c>
      <c r="G3483" s="3" t="n">
        <v>1</v>
      </c>
      <c r="H3483" s="24" t="n">
        <v>0.0343494639</v>
      </c>
    </row>
    <row r="3484" customFormat="false" ht="15" hidden="false" customHeight="false" outlineLevel="0" collapsed="false">
      <c r="A3484" s="3" t="n">
        <v>3483</v>
      </c>
      <c r="B3484" s="3" t="n">
        <v>3482</v>
      </c>
      <c r="C3484" s="3" t="s">
        <v>118</v>
      </c>
      <c r="D3484" s="3" t="n">
        <v>15</v>
      </c>
      <c r="E3484" s="3" t="n">
        <v>10</v>
      </c>
      <c r="F3484" s="3" t="n">
        <v>2</v>
      </c>
      <c r="G3484" s="3" t="n">
        <v>2</v>
      </c>
      <c r="H3484" s="24" t="n">
        <v>-0.0252175387</v>
      </c>
    </row>
    <row r="3485" customFormat="false" ht="15" hidden="false" customHeight="false" outlineLevel="0" collapsed="false">
      <c r="A3485" s="3" t="n">
        <v>3484</v>
      </c>
      <c r="B3485" s="3" t="n">
        <v>3483</v>
      </c>
      <c r="C3485" s="3" t="s">
        <v>118</v>
      </c>
      <c r="D3485" s="3" t="n">
        <v>15</v>
      </c>
      <c r="E3485" s="3" t="n">
        <v>11</v>
      </c>
      <c r="F3485" s="3" t="n">
        <v>0</v>
      </c>
      <c r="G3485" s="3" t="n">
        <v>0</v>
      </c>
      <c r="H3485" s="24" t="n">
        <v>0.0977532044</v>
      </c>
    </row>
    <row r="3486" customFormat="false" ht="15" hidden="false" customHeight="false" outlineLevel="0" collapsed="false">
      <c r="A3486" s="3" t="n">
        <v>3485</v>
      </c>
      <c r="B3486" s="3" t="n">
        <v>3484</v>
      </c>
      <c r="C3486" s="3" t="s">
        <v>118</v>
      </c>
      <c r="D3486" s="3" t="n">
        <v>15</v>
      </c>
      <c r="E3486" s="3" t="n">
        <v>11</v>
      </c>
      <c r="F3486" s="3" t="n">
        <v>0</v>
      </c>
      <c r="G3486" s="3" t="n">
        <v>1</v>
      </c>
      <c r="H3486" s="24" t="n">
        <v>0.223653629</v>
      </c>
    </row>
    <row r="3487" customFormat="false" ht="15" hidden="false" customHeight="false" outlineLevel="0" collapsed="false">
      <c r="A3487" s="3" t="n">
        <v>3486</v>
      </c>
      <c r="B3487" s="3" t="n">
        <v>3485</v>
      </c>
      <c r="C3487" s="3" t="s">
        <v>118</v>
      </c>
      <c r="D3487" s="3" t="n">
        <v>15</v>
      </c>
      <c r="E3487" s="3" t="n">
        <v>11</v>
      </c>
      <c r="F3487" s="3" t="n">
        <v>0</v>
      </c>
      <c r="G3487" s="3" t="n">
        <v>2</v>
      </c>
      <c r="H3487" s="24" t="n">
        <v>0.177173674</v>
      </c>
    </row>
    <row r="3488" customFormat="false" ht="15" hidden="false" customHeight="false" outlineLevel="0" collapsed="false">
      <c r="A3488" s="3" t="n">
        <v>3487</v>
      </c>
      <c r="B3488" s="3" t="n">
        <v>3486</v>
      </c>
      <c r="C3488" s="3" t="s">
        <v>118</v>
      </c>
      <c r="D3488" s="3" t="n">
        <v>15</v>
      </c>
      <c r="E3488" s="3" t="n">
        <v>11</v>
      </c>
      <c r="F3488" s="3" t="n">
        <v>1</v>
      </c>
      <c r="G3488" s="3" t="n">
        <v>0</v>
      </c>
      <c r="H3488" s="24" t="n">
        <v>-0.145795435</v>
      </c>
    </row>
    <row r="3489" customFormat="false" ht="15" hidden="false" customHeight="false" outlineLevel="0" collapsed="false">
      <c r="A3489" s="3" t="n">
        <v>3488</v>
      </c>
      <c r="B3489" s="3" t="n">
        <v>3487</v>
      </c>
      <c r="C3489" s="3" t="s">
        <v>118</v>
      </c>
      <c r="D3489" s="3" t="n">
        <v>15</v>
      </c>
      <c r="E3489" s="3" t="n">
        <v>11</v>
      </c>
      <c r="F3489" s="3" t="n">
        <v>1</v>
      </c>
      <c r="G3489" s="3" t="n">
        <v>1</v>
      </c>
      <c r="H3489" s="24" t="n">
        <v>-0.103797816</v>
      </c>
    </row>
    <row r="3490" customFormat="false" ht="15" hidden="false" customHeight="false" outlineLevel="0" collapsed="false">
      <c r="A3490" s="3" t="n">
        <v>3489</v>
      </c>
      <c r="B3490" s="3" t="n">
        <v>3488</v>
      </c>
      <c r="C3490" s="3" t="s">
        <v>118</v>
      </c>
      <c r="D3490" s="3" t="n">
        <v>15</v>
      </c>
      <c r="E3490" s="3" t="n">
        <v>11</v>
      </c>
      <c r="F3490" s="3" t="n">
        <v>1</v>
      </c>
      <c r="G3490" s="3" t="n">
        <v>2</v>
      </c>
      <c r="H3490" s="24" t="n">
        <v>0.1316223</v>
      </c>
    </row>
    <row r="3491" customFormat="false" ht="15" hidden="false" customHeight="false" outlineLevel="0" collapsed="false">
      <c r="A3491" s="3" t="n">
        <v>3490</v>
      </c>
      <c r="B3491" s="3" t="n">
        <v>3489</v>
      </c>
      <c r="C3491" s="3" t="s">
        <v>118</v>
      </c>
      <c r="D3491" s="3" t="n">
        <v>15</v>
      </c>
      <c r="E3491" s="3" t="n">
        <v>11</v>
      </c>
      <c r="F3491" s="3" t="n">
        <v>2</v>
      </c>
      <c r="G3491" s="3" t="n">
        <v>0</v>
      </c>
      <c r="H3491" s="24" t="n">
        <v>0.103577219</v>
      </c>
    </row>
    <row r="3492" customFormat="false" ht="15" hidden="false" customHeight="false" outlineLevel="0" collapsed="false">
      <c r="A3492" s="3" t="n">
        <v>3491</v>
      </c>
      <c r="B3492" s="3" t="n">
        <v>3490</v>
      </c>
      <c r="C3492" s="3" t="s">
        <v>118</v>
      </c>
      <c r="D3492" s="3" t="n">
        <v>15</v>
      </c>
      <c r="E3492" s="3" t="n">
        <v>11</v>
      </c>
      <c r="F3492" s="3" t="n">
        <v>2</v>
      </c>
      <c r="G3492" s="3" t="n">
        <v>1</v>
      </c>
      <c r="H3492" s="24" t="n">
        <v>0.159739032</v>
      </c>
    </row>
    <row r="3493" customFormat="false" ht="15" hidden="false" customHeight="false" outlineLevel="0" collapsed="false">
      <c r="A3493" s="3" t="n">
        <v>3492</v>
      </c>
      <c r="B3493" s="3" t="n">
        <v>3491</v>
      </c>
      <c r="C3493" s="3" t="s">
        <v>118</v>
      </c>
      <c r="D3493" s="3" t="n">
        <v>15</v>
      </c>
      <c r="E3493" s="3" t="n">
        <v>11</v>
      </c>
      <c r="F3493" s="3" t="n">
        <v>2</v>
      </c>
      <c r="G3493" s="3" t="n">
        <v>2</v>
      </c>
      <c r="H3493" s="24" t="n">
        <v>0.0621279925</v>
      </c>
    </row>
    <row r="3494" customFormat="false" ht="15" hidden="false" customHeight="false" outlineLevel="0" collapsed="false">
      <c r="A3494" s="3" t="n">
        <v>3493</v>
      </c>
      <c r="B3494" s="3" t="n">
        <v>3492</v>
      </c>
      <c r="C3494" s="3" t="s">
        <v>118</v>
      </c>
      <c r="D3494" s="3" t="n">
        <v>15</v>
      </c>
      <c r="E3494" s="3" t="n">
        <v>12</v>
      </c>
      <c r="F3494" s="3" t="n">
        <v>0</v>
      </c>
      <c r="G3494" s="3" t="n">
        <v>0</v>
      </c>
      <c r="H3494" s="24" t="n">
        <v>0.0840430781</v>
      </c>
    </row>
    <row r="3495" customFormat="false" ht="15" hidden="false" customHeight="false" outlineLevel="0" collapsed="false">
      <c r="A3495" s="3" t="n">
        <v>3494</v>
      </c>
      <c r="B3495" s="3" t="n">
        <v>3493</v>
      </c>
      <c r="C3495" s="3" t="s">
        <v>118</v>
      </c>
      <c r="D3495" s="3" t="n">
        <v>15</v>
      </c>
      <c r="E3495" s="3" t="n">
        <v>12</v>
      </c>
      <c r="F3495" s="3" t="n">
        <v>0</v>
      </c>
      <c r="G3495" s="3" t="n">
        <v>1</v>
      </c>
      <c r="H3495" s="24" t="n">
        <v>-0.131096706</v>
      </c>
    </row>
    <row r="3496" customFormat="false" ht="15" hidden="false" customHeight="false" outlineLevel="0" collapsed="false">
      <c r="A3496" s="3" t="n">
        <v>3495</v>
      </c>
      <c r="B3496" s="3" t="n">
        <v>3494</v>
      </c>
      <c r="C3496" s="3" t="s">
        <v>118</v>
      </c>
      <c r="D3496" s="3" t="n">
        <v>15</v>
      </c>
      <c r="E3496" s="3" t="n">
        <v>12</v>
      </c>
      <c r="F3496" s="3" t="n">
        <v>0</v>
      </c>
      <c r="G3496" s="3" t="n">
        <v>2</v>
      </c>
      <c r="H3496" s="24" t="n">
        <v>0.105038412</v>
      </c>
    </row>
    <row r="3497" customFormat="false" ht="15" hidden="false" customHeight="false" outlineLevel="0" collapsed="false">
      <c r="A3497" s="3" t="n">
        <v>3496</v>
      </c>
      <c r="B3497" s="3" t="n">
        <v>3495</v>
      </c>
      <c r="C3497" s="3" t="s">
        <v>118</v>
      </c>
      <c r="D3497" s="3" t="n">
        <v>15</v>
      </c>
      <c r="E3497" s="3" t="n">
        <v>12</v>
      </c>
      <c r="F3497" s="3" t="n">
        <v>1</v>
      </c>
      <c r="G3497" s="3" t="n">
        <v>0</v>
      </c>
      <c r="H3497" s="24" t="n">
        <v>-0.376976281</v>
      </c>
    </row>
    <row r="3498" customFormat="false" ht="15" hidden="false" customHeight="false" outlineLevel="0" collapsed="false">
      <c r="A3498" s="3" t="n">
        <v>3497</v>
      </c>
      <c r="B3498" s="3" t="n">
        <v>3496</v>
      </c>
      <c r="C3498" s="3" t="s">
        <v>118</v>
      </c>
      <c r="D3498" s="3" t="n">
        <v>15</v>
      </c>
      <c r="E3498" s="3" t="n">
        <v>12</v>
      </c>
      <c r="F3498" s="3" t="n">
        <v>1</v>
      </c>
      <c r="G3498" s="3" t="n">
        <v>1</v>
      </c>
      <c r="H3498" s="24" t="n">
        <v>-0.0376446769</v>
      </c>
    </row>
    <row r="3499" customFormat="false" ht="15" hidden="false" customHeight="false" outlineLevel="0" collapsed="false">
      <c r="A3499" s="3" t="n">
        <v>3498</v>
      </c>
      <c r="B3499" s="3" t="n">
        <v>3497</v>
      </c>
      <c r="C3499" s="3" t="s">
        <v>118</v>
      </c>
      <c r="D3499" s="3" t="n">
        <v>15</v>
      </c>
      <c r="E3499" s="3" t="n">
        <v>12</v>
      </c>
      <c r="F3499" s="3" t="n">
        <v>1</v>
      </c>
      <c r="G3499" s="3" t="n">
        <v>2</v>
      </c>
      <c r="H3499" s="24" t="n">
        <v>0.0676330924</v>
      </c>
    </row>
    <row r="3500" customFormat="false" ht="15" hidden="false" customHeight="false" outlineLevel="0" collapsed="false">
      <c r="A3500" s="3" t="n">
        <v>3499</v>
      </c>
      <c r="B3500" s="3" t="n">
        <v>3498</v>
      </c>
      <c r="C3500" s="3" t="s">
        <v>118</v>
      </c>
      <c r="D3500" s="3" t="n">
        <v>15</v>
      </c>
      <c r="E3500" s="3" t="n">
        <v>12</v>
      </c>
      <c r="F3500" s="3" t="n">
        <v>2</v>
      </c>
      <c r="G3500" s="3" t="n">
        <v>0</v>
      </c>
      <c r="H3500" s="24" t="n">
        <v>-0.183419958</v>
      </c>
    </row>
    <row r="3501" customFormat="false" ht="15" hidden="false" customHeight="false" outlineLevel="0" collapsed="false">
      <c r="A3501" s="3" t="n">
        <v>3500</v>
      </c>
      <c r="B3501" s="3" t="n">
        <v>3499</v>
      </c>
      <c r="C3501" s="3" t="s">
        <v>118</v>
      </c>
      <c r="D3501" s="3" t="n">
        <v>15</v>
      </c>
      <c r="E3501" s="3" t="n">
        <v>12</v>
      </c>
      <c r="F3501" s="3" t="n">
        <v>2</v>
      </c>
      <c r="G3501" s="3" t="n">
        <v>1</v>
      </c>
      <c r="H3501" s="24" t="n">
        <v>-0.124042153</v>
      </c>
    </row>
    <row r="3502" customFormat="false" ht="15" hidden="false" customHeight="false" outlineLevel="0" collapsed="false">
      <c r="A3502" s="3" t="n">
        <v>3501</v>
      </c>
      <c r="B3502" s="3" t="n">
        <v>3500</v>
      </c>
      <c r="C3502" s="3" t="s">
        <v>118</v>
      </c>
      <c r="D3502" s="3" t="n">
        <v>15</v>
      </c>
      <c r="E3502" s="3" t="n">
        <v>12</v>
      </c>
      <c r="F3502" s="3" t="n">
        <v>2</v>
      </c>
      <c r="G3502" s="3" t="n">
        <v>2</v>
      </c>
      <c r="H3502" s="24" t="n">
        <v>-0.335255474</v>
      </c>
    </row>
    <row r="3503" customFormat="false" ht="15" hidden="false" customHeight="false" outlineLevel="0" collapsed="false">
      <c r="A3503" s="3" t="n">
        <v>3502</v>
      </c>
      <c r="B3503" s="3" t="n">
        <v>3501</v>
      </c>
      <c r="C3503" s="3" t="s">
        <v>118</v>
      </c>
      <c r="D3503" s="3" t="n">
        <v>15</v>
      </c>
      <c r="E3503" s="3" t="n">
        <v>13</v>
      </c>
      <c r="F3503" s="3" t="n">
        <v>0</v>
      </c>
      <c r="G3503" s="3" t="n">
        <v>0</v>
      </c>
      <c r="H3503" s="24" t="n">
        <v>0.14440994</v>
      </c>
    </row>
    <row r="3504" customFormat="false" ht="15" hidden="false" customHeight="false" outlineLevel="0" collapsed="false">
      <c r="A3504" s="3" t="n">
        <v>3503</v>
      </c>
      <c r="B3504" s="3" t="n">
        <v>3502</v>
      </c>
      <c r="C3504" s="3" t="s">
        <v>118</v>
      </c>
      <c r="D3504" s="3" t="n">
        <v>15</v>
      </c>
      <c r="E3504" s="3" t="n">
        <v>13</v>
      </c>
      <c r="F3504" s="3" t="n">
        <v>0</v>
      </c>
      <c r="G3504" s="3" t="n">
        <v>1</v>
      </c>
      <c r="H3504" s="24" t="n">
        <v>0.158999518</v>
      </c>
    </row>
    <row r="3505" customFormat="false" ht="15" hidden="false" customHeight="false" outlineLevel="0" collapsed="false">
      <c r="A3505" s="3" t="n">
        <v>3504</v>
      </c>
      <c r="B3505" s="3" t="n">
        <v>3503</v>
      </c>
      <c r="C3505" s="3" t="s">
        <v>118</v>
      </c>
      <c r="D3505" s="3" t="n">
        <v>15</v>
      </c>
      <c r="E3505" s="3" t="n">
        <v>13</v>
      </c>
      <c r="F3505" s="3" t="n">
        <v>0</v>
      </c>
      <c r="G3505" s="3" t="n">
        <v>2</v>
      </c>
      <c r="H3505" s="24" t="n">
        <v>0.191278353</v>
      </c>
    </row>
    <row r="3506" customFormat="false" ht="15" hidden="false" customHeight="false" outlineLevel="0" collapsed="false">
      <c r="A3506" s="3" t="n">
        <v>3505</v>
      </c>
      <c r="B3506" s="3" t="n">
        <v>3504</v>
      </c>
      <c r="C3506" s="3" t="s">
        <v>118</v>
      </c>
      <c r="D3506" s="3" t="n">
        <v>15</v>
      </c>
      <c r="E3506" s="3" t="n">
        <v>13</v>
      </c>
      <c r="F3506" s="3" t="n">
        <v>1</v>
      </c>
      <c r="G3506" s="3" t="n">
        <v>0</v>
      </c>
      <c r="H3506" s="24" t="n">
        <v>-0.22297509</v>
      </c>
    </row>
    <row r="3507" customFormat="false" ht="15" hidden="false" customHeight="false" outlineLevel="0" collapsed="false">
      <c r="A3507" s="3" t="n">
        <v>3506</v>
      </c>
      <c r="B3507" s="3" t="n">
        <v>3505</v>
      </c>
      <c r="C3507" s="3" t="s">
        <v>118</v>
      </c>
      <c r="D3507" s="3" t="n">
        <v>15</v>
      </c>
      <c r="E3507" s="3" t="n">
        <v>13</v>
      </c>
      <c r="F3507" s="3" t="n">
        <v>1</v>
      </c>
      <c r="G3507" s="3" t="n">
        <v>1</v>
      </c>
      <c r="H3507" s="24" t="n">
        <v>-0.232525989</v>
      </c>
    </row>
    <row r="3508" customFormat="false" ht="15" hidden="false" customHeight="false" outlineLevel="0" collapsed="false">
      <c r="A3508" s="3" t="n">
        <v>3507</v>
      </c>
      <c r="B3508" s="3" t="n">
        <v>3506</v>
      </c>
      <c r="C3508" s="3" t="s">
        <v>118</v>
      </c>
      <c r="D3508" s="3" t="n">
        <v>15</v>
      </c>
      <c r="E3508" s="3" t="n">
        <v>13</v>
      </c>
      <c r="F3508" s="3" t="n">
        <v>1</v>
      </c>
      <c r="G3508" s="3" t="n">
        <v>2</v>
      </c>
      <c r="H3508" s="24" t="n">
        <v>-0.294433475</v>
      </c>
    </row>
    <row r="3509" customFormat="false" ht="15" hidden="false" customHeight="false" outlineLevel="0" collapsed="false">
      <c r="A3509" s="3" t="n">
        <v>3508</v>
      </c>
      <c r="B3509" s="3" t="n">
        <v>3507</v>
      </c>
      <c r="C3509" s="3" t="s">
        <v>118</v>
      </c>
      <c r="D3509" s="3" t="n">
        <v>15</v>
      </c>
      <c r="E3509" s="3" t="n">
        <v>13</v>
      </c>
      <c r="F3509" s="3" t="n">
        <v>2</v>
      </c>
      <c r="G3509" s="3" t="n">
        <v>0</v>
      </c>
      <c r="H3509" s="24" t="n">
        <v>-0.00486405613</v>
      </c>
    </row>
    <row r="3510" customFormat="false" ht="15" hidden="false" customHeight="false" outlineLevel="0" collapsed="false">
      <c r="A3510" s="3" t="n">
        <v>3509</v>
      </c>
      <c r="B3510" s="3" t="n">
        <v>3508</v>
      </c>
      <c r="C3510" s="3" t="s">
        <v>118</v>
      </c>
      <c r="D3510" s="3" t="n">
        <v>15</v>
      </c>
      <c r="E3510" s="3" t="n">
        <v>13</v>
      </c>
      <c r="F3510" s="3" t="n">
        <v>2</v>
      </c>
      <c r="G3510" s="3" t="n">
        <v>1</v>
      </c>
      <c r="H3510" s="24" t="n">
        <v>-0.0606613383</v>
      </c>
    </row>
    <row r="3511" customFormat="false" ht="15" hidden="false" customHeight="false" outlineLevel="0" collapsed="false">
      <c r="A3511" s="3" t="n">
        <v>3510</v>
      </c>
      <c r="B3511" s="3" t="n">
        <v>3509</v>
      </c>
      <c r="C3511" s="3" t="s">
        <v>118</v>
      </c>
      <c r="D3511" s="3" t="n">
        <v>15</v>
      </c>
      <c r="E3511" s="3" t="n">
        <v>13</v>
      </c>
      <c r="F3511" s="3" t="n">
        <v>2</v>
      </c>
      <c r="G3511" s="3" t="n">
        <v>2</v>
      </c>
      <c r="H3511" s="24" t="n">
        <v>-0.468049467</v>
      </c>
    </row>
    <row r="3512" customFormat="false" ht="15" hidden="false" customHeight="false" outlineLevel="0" collapsed="false">
      <c r="A3512" s="3" t="n">
        <v>3511</v>
      </c>
      <c r="B3512" s="3" t="n">
        <v>3510</v>
      </c>
      <c r="C3512" s="3" t="s">
        <v>118</v>
      </c>
      <c r="D3512" s="3" t="n">
        <v>15</v>
      </c>
      <c r="E3512" s="3" t="n">
        <v>14</v>
      </c>
      <c r="F3512" s="3" t="n">
        <v>0</v>
      </c>
      <c r="G3512" s="3" t="n">
        <v>0</v>
      </c>
      <c r="H3512" s="24" t="n">
        <v>0.27553615</v>
      </c>
    </row>
    <row r="3513" customFormat="false" ht="15" hidden="false" customHeight="false" outlineLevel="0" collapsed="false">
      <c r="A3513" s="3" t="n">
        <v>3512</v>
      </c>
      <c r="B3513" s="3" t="n">
        <v>3511</v>
      </c>
      <c r="C3513" s="3" t="s">
        <v>118</v>
      </c>
      <c r="D3513" s="3" t="n">
        <v>15</v>
      </c>
      <c r="E3513" s="3" t="n">
        <v>14</v>
      </c>
      <c r="F3513" s="3" t="n">
        <v>0</v>
      </c>
      <c r="G3513" s="3" t="n">
        <v>1</v>
      </c>
      <c r="H3513" s="24" t="n">
        <v>-0.0106899096</v>
      </c>
    </row>
    <row r="3514" customFormat="false" ht="15" hidden="false" customHeight="false" outlineLevel="0" collapsed="false">
      <c r="A3514" s="3" t="n">
        <v>3513</v>
      </c>
      <c r="B3514" s="3" t="n">
        <v>3512</v>
      </c>
      <c r="C3514" s="3" t="s">
        <v>118</v>
      </c>
      <c r="D3514" s="3" t="n">
        <v>15</v>
      </c>
      <c r="E3514" s="3" t="n">
        <v>14</v>
      </c>
      <c r="F3514" s="3" t="n">
        <v>0</v>
      </c>
      <c r="G3514" s="3" t="n">
        <v>2</v>
      </c>
      <c r="H3514" s="24" t="n">
        <v>-0.273857653</v>
      </c>
    </row>
    <row r="3515" customFormat="false" ht="15" hidden="false" customHeight="false" outlineLevel="0" collapsed="false">
      <c r="A3515" s="3" t="n">
        <v>3514</v>
      </c>
      <c r="B3515" s="3" t="n">
        <v>3513</v>
      </c>
      <c r="C3515" s="3" t="s">
        <v>118</v>
      </c>
      <c r="D3515" s="3" t="n">
        <v>15</v>
      </c>
      <c r="E3515" s="3" t="n">
        <v>14</v>
      </c>
      <c r="F3515" s="3" t="n">
        <v>1</v>
      </c>
      <c r="G3515" s="3" t="n">
        <v>0</v>
      </c>
      <c r="H3515" s="24" t="n">
        <v>-0.0921237618</v>
      </c>
    </row>
    <row r="3516" customFormat="false" ht="15" hidden="false" customHeight="false" outlineLevel="0" collapsed="false">
      <c r="A3516" s="3" t="n">
        <v>3515</v>
      </c>
      <c r="B3516" s="3" t="n">
        <v>3514</v>
      </c>
      <c r="C3516" s="3" t="s">
        <v>118</v>
      </c>
      <c r="D3516" s="3" t="n">
        <v>15</v>
      </c>
      <c r="E3516" s="3" t="n">
        <v>14</v>
      </c>
      <c r="F3516" s="3" t="n">
        <v>1</v>
      </c>
      <c r="G3516" s="3" t="n">
        <v>1</v>
      </c>
      <c r="H3516" s="24" t="n">
        <v>0.00395242777</v>
      </c>
    </row>
    <row r="3517" customFormat="false" ht="15" hidden="false" customHeight="false" outlineLevel="0" collapsed="false">
      <c r="A3517" s="3" t="n">
        <v>3516</v>
      </c>
      <c r="B3517" s="3" t="n">
        <v>3515</v>
      </c>
      <c r="C3517" s="3" t="s">
        <v>118</v>
      </c>
      <c r="D3517" s="3" t="n">
        <v>15</v>
      </c>
      <c r="E3517" s="3" t="n">
        <v>14</v>
      </c>
      <c r="F3517" s="3" t="n">
        <v>1</v>
      </c>
      <c r="G3517" s="3" t="n">
        <v>2</v>
      </c>
      <c r="H3517" s="24" t="n">
        <v>-0.0216911621</v>
      </c>
    </row>
    <row r="3518" customFormat="false" ht="15" hidden="false" customHeight="false" outlineLevel="0" collapsed="false">
      <c r="A3518" s="3" t="n">
        <v>3517</v>
      </c>
      <c r="B3518" s="3" t="n">
        <v>3516</v>
      </c>
      <c r="C3518" s="3" t="s">
        <v>118</v>
      </c>
      <c r="D3518" s="3" t="n">
        <v>15</v>
      </c>
      <c r="E3518" s="3" t="n">
        <v>14</v>
      </c>
      <c r="F3518" s="3" t="n">
        <v>2</v>
      </c>
      <c r="G3518" s="3" t="n">
        <v>0</v>
      </c>
      <c r="H3518" s="24" t="n">
        <v>0.112064049</v>
      </c>
    </row>
    <row r="3519" customFormat="false" ht="15" hidden="false" customHeight="false" outlineLevel="0" collapsed="false">
      <c r="A3519" s="3" t="n">
        <v>3518</v>
      </c>
      <c r="B3519" s="3" t="n">
        <v>3517</v>
      </c>
      <c r="C3519" s="3" t="s">
        <v>118</v>
      </c>
      <c r="D3519" s="3" t="n">
        <v>15</v>
      </c>
      <c r="E3519" s="3" t="n">
        <v>14</v>
      </c>
      <c r="F3519" s="3" t="n">
        <v>2</v>
      </c>
      <c r="G3519" s="3" t="n">
        <v>1</v>
      </c>
      <c r="H3519" s="24" t="n">
        <v>-0.0513489544</v>
      </c>
    </row>
    <row r="3520" customFormat="false" ht="15" hidden="false" customHeight="false" outlineLevel="0" collapsed="false">
      <c r="A3520" s="3" t="n">
        <v>3519</v>
      </c>
      <c r="B3520" s="3" t="n">
        <v>3518</v>
      </c>
      <c r="C3520" s="3" t="s">
        <v>118</v>
      </c>
      <c r="D3520" s="3" t="n">
        <v>15</v>
      </c>
      <c r="E3520" s="3" t="n">
        <v>14</v>
      </c>
      <c r="F3520" s="3" t="n">
        <v>2</v>
      </c>
      <c r="G3520" s="3" t="n">
        <v>2</v>
      </c>
      <c r="H3520" s="24" t="n">
        <v>0.0691866428</v>
      </c>
    </row>
    <row r="3521" customFormat="false" ht="15" hidden="false" customHeight="false" outlineLevel="0" collapsed="false">
      <c r="A3521" s="3" t="n">
        <v>3520</v>
      </c>
      <c r="B3521" s="3" t="n">
        <v>3519</v>
      </c>
      <c r="C3521" s="3" t="s">
        <v>118</v>
      </c>
      <c r="D3521" s="3" t="n">
        <v>15</v>
      </c>
      <c r="E3521" s="3" t="n">
        <v>15</v>
      </c>
      <c r="F3521" s="3" t="n">
        <v>0</v>
      </c>
      <c r="G3521" s="3" t="n">
        <v>0</v>
      </c>
      <c r="H3521" s="24" t="n">
        <v>0.126531929</v>
      </c>
    </row>
    <row r="3522" customFormat="false" ht="15" hidden="false" customHeight="false" outlineLevel="0" collapsed="false">
      <c r="A3522" s="3" t="n">
        <v>3521</v>
      </c>
      <c r="B3522" s="3" t="n">
        <v>3520</v>
      </c>
      <c r="C3522" s="3" t="s">
        <v>118</v>
      </c>
      <c r="D3522" s="3" t="n">
        <v>15</v>
      </c>
      <c r="E3522" s="3" t="n">
        <v>15</v>
      </c>
      <c r="F3522" s="3" t="n">
        <v>0</v>
      </c>
      <c r="G3522" s="3" t="n">
        <v>1</v>
      </c>
      <c r="H3522" s="24" t="n">
        <v>0.102888279</v>
      </c>
    </row>
    <row r="3523" customFormat="false" ht="15" hidden="false" customHeight="false" outlineLevel="0" collapsed="false">
      <c r="A3523" s="3" t="n">
        <v>3522</v>
      </c>
      <c r="B3523" s="3" t="n">
        <v>3521</v>
      </c>
      <c r="C3523" s="3" t="s">
        <v>118</v>
      </c>
      <c r="D3523" s="3" t="n">
        <v>15</v>
      </c>
      <c r="E3523" s="3" t="n">
        <v>15</v>
      </c>
      <c r="F3523" s="3" t="n">
        <v>0</v>
      </c>
      <c r="G3523" s="3" t="n">
        <v>2</v>
      </c>
      <c r="H3523" s="24" t="n">
        <v>0.0798755661</v>
      </c>
    </row>
    <row r="3524" customFormat="false" ht="15" hidden="false" customHeight="false" outlineLevel="0" collapsed="false">
      <c r="A3524" s="3" t="n">
        <v>3523</v>
      </c>
      <c r="B3524" s="3" t="n">
        <v>3522</v>
      </c>
      <c r="C3524" s="3" t="s">
        <v>118</v>
      </c>
      <c r="D3524" s="3" t="n">
        <v>15</v>
      </c>
      <c r="E3524" s="3" t="n">
        <v>15</v>
      </c>
      <c r="F3524" s="3" t="n">
        <v>1</v>
      </c>
      <c r="G3524" s="3" t="n">
        <v>0</v>
      </c>
      <c r="H3524" s="24" t="n">
        <v>0.0539991334</v>
      </c>
    </row>
    <row r="3525" customFormat="false" ht="15" hidden="false" customHeight="false" outlineLevel="0" collapsed="false">
      <c r="A3525" s="3" t="n">
        <v>3524</v>
      </c>
      <c r="B3525" s="3" t="n">
        <v>3523</v>
      </c>
      <c r="C3525" s="3" t="s">
        <v>118</v>
      </c>
      <c r="D3525" s="3" t="n">
        <v>15</v>
      </c>
      <c r="E3525" s="3" t="n">
        <v>15</v>
      </c>
      <c r="F3525" s="3" t="n">
        <v>1</v>
      </c>
      <c r="G3525" s="3" t="n">
        <v>1</v>
      </c>
      <c r="H3525" s="24" t="n">
        <v>-0.135254353</v>
      </c>
    </row>
    <row r="3526" customFormat="false" ht="15" hidden="false" customHeight="false" outlineLevel="0" collapsed="false">
      <c r="A3526" s="3" t="n">
        <v>3525</v>
      </c>
      <c r="B3526" s="3" t="n">
        <v>3524</v>
      </c>
      <c r="C3526" s="3" t="s">
        <v>118</v>
      </c>
      <c r="D3526" s="3" t="n">
        <v>15</v>
      </c>
      <c r="E3526" s="3" t="n">
        <v>15</v>
      </c>
      <c r="F3526" s="3" t="n">
        <v>1</v>
      </c>
      <c r="G3526" s="3" t="n">
        <v>2</v>
      </c>
      <c r="H3526" s="24" t="n">
        <v>0.193313152</v>
      </c>
    </row>
    <row r="3527" customFormat="false" ht="15" hidden="false" customHeight="false" outlineLevel="0" collapsed="false">
      <c r="A3527" s="3" t="n">
        <v>3526</v>
      </c>
      <c r="B3527" s="3" t="n">
        <v>3525</v>
      </c>
      <c r="C3527" s="3" t="s">
        <v>118</v>
      </c>
      <c r="D3527" s="3" t="n">
        <v>15</v>
      </c>
      <c r="E3527" s="3" t="n">
        <v>15</v>
      </c>
      <c r="F3527" s="3" t="n">
        <v>2</v>
      </c>
      <c r="G3527" s="3" t="n">
        <v>0</v>
      </c>
      <c r="H3527" s="24" t="n">
        <v>0.171853423</v>
      </c>
    </row>
    <row r="3528" customFormat="false" ht="15" hidden="false" customHeight="false" outlineLevel="0" collapsed="false">
      <c r="A3528" s="3" t="n">
        <v>3527</v>
      </c>
      <c r="B3528" s="3" t="n">
        <v>3526</v>
      </c>
      <c r="C3528" s="3" t="s">
        <v>118</v>
      </c>
      <c r="D3528" s="3" t="n">
        <v>15</v>
      </c>
      <c r="E3528" s="3" t="n">
        <v>15</v>
      </c>
      <c r="F3528" s="3" t="n">
        <v>2</v>
      </c>
      <c r="G3528" s="3" t="n">
        <v>1</v>
      </c>
      <c r="H3528" s="24" t="n">
        <v>0.156209528</v>
      </c>
    </row>
    <row r="3529" customFormat="false" ht="15" hidden="false" customHeight="false" outlineLevel="0" collapsed="false">
      <c r="A3529" s="3" t="n">
        <v>3528</v>
      </c>
      <c r="B3529" s="3" t="n">
        <v>3527</v>
      </c>
      <c r="C3529" s="3" t="s">
        <v>118</v>
      </c>
      <c r="D3529" s="3" t="n">
        <v>15</v>
      </c>
      <c r="E3529" s="3" t="n">
        <v>15</v>
      </c>
      <c r="F3529" s="3" t="n">
        <v>2</v>
      </c>
      <c r="G3529" s="3" t="n">
        <v>2</v>
      </c>
      <c r="H3529" s="24" t="n">
        <v>0.0954330638</v>
      </c>
    </row>
    <row r="3530" customFormat="false" ht="15" hidden="false" customHeight="false" outlineLevel="0" collapsed="false">
      <c r="A3530" s="3" t="n">
        <v>3529</v>
      </c>
      <c r="B3530" s="3" t="n">
        <v>3528</v>
      </c>
      <c r="C3530" s="3" t="s">
        <v>119</v>
      </c>
      <c r="D3530" s="3" t="n">
        <v>0</v>
      </c>
      <c r="E3530" s="3" t="n">
        <v>0</v>
      </c>
      <c r="F3530" s="3"/>
      <c r="G3530" s="3"/>
      <c r="H3530" s="24" t="n">
        <v>0.126855403</v>
      </c>
    </row>
    <row r="3531" customFormat="false" ht="15" hidden="false" customHeight="false" outlineLevel="0" collapsed="false">
      <c r="A3531" s="3" t="n">
        <v>3530</v>
      </c>
      <c r="B3531" s="3" t="n">
        <v>3529</v>
      </c>
      <c r="C3531" s="3" t="s">
        <v>119</v>
      </c>
      <c r="D3531" s="3" t="n">
        <v>0</v>
      </c>
      <c r="E3531" s="3" t="n">
        <v>1</v>
      </c>
      <c r="F3531" s="3"/>
      <c r="G3531" s="3"/>
      <c r="H3531" s="24" t="n">
        <v>0.0541974865</v>
      </c>
    </row>
    <row r="3532" customFormat="false" ht="15" hidden="false" customHeight="false" outlineLevel="0" collapsed="false">
      <c r="A3532" s="3" t="n">
        <v>3531</v>
      </c>
      <c r="B3532" s="3" t="n">
        <v>3530</v>
      </c>
      <c r="C3532" s="3" t="s">
        <v>119</v>
      </c>
      <c r="D3532" s="3" t="n">
        <v>0</v>
      </c>
      <c r="E3532" s="3" t="n">
        <v>2</v>
      </c>
      <c r="F3532" s="3"/>
      <c r="G3532" s="3"/>
      <c r="H3532" s="24" t="n">
        <v>-0.112648718</v>
      </c>
    </row>
    <row r="3533" customFormat="false" ht="15" hidden="false" customHeight="false" outlineLevel="0" collapsed="false">
      <c r="A3533" s="3" t="n">
        <v>3532</v>
      </c>
      <c r="B3533" s="3" t="n">
        <v>3531</v>
      </c>
      <c r="C3533" s="3" t="s">
        <v>119</v>
      </c>
      <c r="D3533" s="3" t="n">
        <v>0</v>
      </c>
      <c r="E3533" s="3" t="n">
        <v>3</v>
      </c>
      <c r="F3533" s="3"/>
      <c r="G3533" s="3"/>
      <c r="H3533" s="24" t="n">
        <v>-0.413091689</v>
      </c>
    </row>
    <row r="3534" customFormat="false" ht="15" hidden="false" customHeight="false" outlineLevel="0" collapsed="false">
      <c r="A3534" s="3" t="n">
        <v>3533</v>
      </c>
      <c r="B3534" s="3" t="n">
        <v>3532</v>
      </c>
      <c r="C3534" s="3" t="s">
        <v>119</v>
      </c>
      <c r="D3534" s="3" t="n">
        <v>0</v>
      </c>
      <c r="E3534" s="3" t="n">
        <v>4</v>
      </c>
      <c r="F3534" s="3"/>
      <c r="G3534" s="3"/>
      <c r="H3534" s="24" t="n">
        <v>-0.0341813564</v>
      </c>
    </row>
    <row r="3535" customFormat="false" ht="15" hidden="false" customHeight="false" outlineLevel="0" collapsed="false">
      <c r="A3535" s="3" t="n">
        <v>3534</v>
      </c>
      <c r="B3535" s="3" t="n">
        <v>3533</v>
      </c>
      <c r="C3535" s="3" t="s">
        <v>119</v>
      </c>
      <c r="D3535" s="3" t="n">
        <v>0</v>
      </c>
      <c r="E3535" s="3" t="n">
        <v>5</v>
      </c>
      <c r="F3535" s="3"/>
      <c r="G3535" s="3"/>
      <c r="H3535" s="24" t="n">
        <v>0.00780494977</v>
      </c>
    </row>
    <row r="3536" customFormat="false" ht="15" hidden="false" customHeight="false" outlineLevel="0" collapsed="false">
      <c r="A3536" s="3" t="n">
        <v>3535</v>
      </c>
      <c r="B3536" s="3" t="n">
        <v>3534</v>
      </c>
      <c r="C3536" s="3" t="s">
        <v>119</v>
      </c>
      <c r="D3536" s="3" t="n">
        <v>0</v>
      </c>
      <c r="E3536" s="3" t="n">
        <v>6</v>
      </c>
      <c r="F3536" s="3"/>
      <c r="G3536" s="3"/>
      <c r="H3536" s="24" t="n">
        <v>-0.0741564855</v>
      </c>
    </row>
    <row r="3537" customFormat="false" ht="15" hidden="false" customHeight="false" outlineLevel="0" collapsed="false">
      <c r="A3537" s="3" t="n">
        <v>3536</v>
      </c>
      <c r="B3537" s="3" t="n">
        <v>3535</v>
      </c>
      <c r="C3537" s="3" t="s">
        <v>119</v>
      </c>
      <c r="D3537" s="3" t="n">
        <v>0</v>
      </c>
      <c r="E3537" s="3" t="n">
        <v>7</v>
      </c>
      <c r="F3537" s="3"/>
      <c r="G3537" s="3"/>
      <c r="H3537" s="24" t="n">
        <v>0.043328166</v>
      </c>
    </row>
    <row r="3538" customFormat="false" ht="15" hidden="false" customHeight="false" outlineLevel="0" collapsed="false">
      <c r="A3538" s="3" t="n">
        <v>3537</v>
      </c>
      <c r="B3538" s="3" t="n">
        <v>3536</v>
      </c>
      <c r="C3538" s="3" t="s">
        <v>119</v>
      </c>
      <c r="D3538" s="3" t="n">
        <v>0</v>
      </c>
      <c r="E3538" s="3" t="n">
        <v>8</v>
      </c>
      <c r="F3538" s="3"/>
      <c r="G3538" s="3"/>
      <c r="H3538" s="24" t="n">
        <v>0.110354863</v>
      </c>
    </row>
    <row r="3539" customFormat="false" ht="15" hidden="false" customHeight="false" outlineLevel="0" collapsed="false">
      <c r="A3539" s="3" t="n">
        <v>3538</v>
      </c>
      <c r="B3539" s="3" t="n">
        <v>3537</v>
      </c>
      <c r="C3539" s="3" t="s">
        <v>119</v>
      </c>
      <c r="D3539" s="3" t="n">
        <v>0</v>
      </c>
      <c r="E3539" s="3" t="n">
        <v>9</v>
      </c>
      <c r="F3539" s="3"/>
      <c r="G3539" s="3"/>
      <c r="H3539" s="24" t="n">
        <v>-0.146958768</v>
      </c>
    </row>
    <row r="3540" customFormat="false" ht="15" hidden="false" customHeight="false" outlineLevel="0" collapsed="false">
      <c r="A3540" s="3" t="n">
        <v>3539</v>
      </c>
      <c r="B3540" s="3" t="n">
        <v>3538</v>
      </c>
      <c r="C3540" s="3" t="s">
        <v>119</v>
      </c>
      <c r="D3540" s="3" t="n">
        <v>0</v>
      </c>
      <c r="E3540" s="3" t="n">
        <v>10</v>
      </c>
      <c r="F3540" s="3"/>
      <c r="G3540" s="3"/>
      <c r="H3540" s="24" t="n">
        <v>-0.0524435639</v>
      </c>
    </row>
    <row r="3541" customFormat="false" ht="15" hidden="false" customHeight="false" outlineLevel="0" collapsed="false">
      <c r="A3541" s="3" t="n">
        <v>3540</v>
      </c>
      <c r="B3541" s="3" t="n">
        <v>3539</v>
      </c>
      <c r="C3541" s="3" t="s">
        <v>119</v>
      </c>
      <c r="D3541" s="3" t="n">
        <v>0</v>
      </c>
      <c r="E3541" s="3" t="n">
        <v>11</v>
      </c>
      <c r="F3541" s="3"/>
      <c r="G3541" s="3"/>
      <c r="H3541" s="24" t="n">
        <v>0.0793546587</v>
      </c>
    </row>
    <row r="3542" customFormat="false" ht="15" hidden="false" customHeight="false" outlineLevel="0" collapsed="false">
      <c r="A3542" s="3" t="n">
        <v>3541</v>
      </c>
      <c r="B3542" s="3" t="n">
        <v>3540</v>
      </c>
      <c r="C3542" s="3" t="s">
        <v>119</v>
      </c>
      <c r="D3542" s="3" t="n">
        <v>0</v>
      </c>
      <c r="E3542" s="3" t="n">
        <v>12</v>
      </c>
      <c r="F3542" s="3"/>
      <c r="G3542" s="3"/>
      <c r="H3542" s="24" t="n">
        <v>0.0488253646</v>
      </c>
    </row>
    <row r="3543" customFormat="false" ht="15" hidden="false" customHeight="false" outlineLevel="0" collapsed="false">
      <c r="A3543" s="3" t="n">
        <v>3542</v>
      </c>
      <c r="B3543" s="3" t="n">
        <v>3541</v>
      </c>
      <c r="C3543" s="3" t="s">
        <v>119</v>
      </c>
      <c r="D3543" s="3" t="n">
        <v>0</v>
      </c>
      <c r="E3543" s="3" t="n">
        <v>13</v>
      </c>
      <c r="F3543" s="3"/>
      <c r="G3543" s="3"/>
      <c r="H3543" s="24" t="n">
        <v>-0.153669238</v>
      </c>
    </row>
    <row r="3544" customFormat="false" ht="15" hidden="false" customHeight="false" outlineLevel="0" collapsed="false">
      <c r="A3544" s="3" t="n">
        <v>3543</v>
      </c>
      <c r="B3544" s="3" t="n">
        <v>3542</v>
      </c>
      <c r="C3544" s="3" t="s">
        <v>119</v>
      </c>
      <c r="D3544" s="3" t="n">
        <v>0</v>
      </c>
      <c r="E3544" s="3" t="n">
        <v>14</v>
      </c>
      <c r="F3544" s="3"/>
      <c r="G3544" s="3"/>
      <c r="H3544" s="24" t="n">
        <v>0.230913475</v>
      </c>
    </row>
    <row r="3545" customFormat="false" ht="15" hidden="false" customHeight="false" outlineLevel="0" collapsed="false">
      <c r="A3545" s="3" t="n">
        <v>3544</v>
      </c>
      <c r="B3545" s="3" t="n">
        <v>3543</v>
      </c>
      <c r="C3545" s="3" t="s">
        <v>119</v>
      </c>
      <c r="D3545" s="3" t="n">
        <v>0</v>
      </c>
      <c r="E3545" s="3" t="n">
        <v>15</v>
      </c>
      <c r="F3545" s="3"/>
      <c r="G3545" s="3"/>
      <c r="H3545" s="24" t="n">
        <v>0.195681795</v>
      </c>
    </row>
    <row r="3546" customFormat="false" ht="15" hidden="false" customHeight="false" outlineLevel="0" collapsed="false">
      <c r="A3546" s="3" t="n">
        <v>3545</v>
      </c>
      <c r="B3546" s="3" t="n">
        <v>3544</v>
      </c>
      <c r="C3546" s="3" t="s">
        <v>119</v>
      </c>
      <c r="D3546" s="3" t="n">
        <v>0</v>
      </c>
      <c r="E3546" s="3" t="n">
        <v>16</v>
      </c>
      <c r="F3546" s="3"/>
      <c r="G3546" s="3"/>
      <c r="H3546" s="24" t="n">
        <v>-0.373377293</v>
      </c>
    </row>
    <row r="3547" customFormat="false" ht="15" hidden="false" customHeight="false" outlineLevel="0" collapsed="false">
      <c r="A3547" s="3" t="n">
        <v>3546</v>
      </c>
      <c r="B3547" s="3" t="n">
        <v>3545</v>
      </c>
      <c r="C3547" s="3" t="s">
        <v>119</v>
      </c>
      <c r="D3547" s="3" t="n">
        <v>0</v>
      </c>
      <c r="E3547" s="3" t="n">
        <v>17</v>
      </c>
      <c r="F3547" s="3"/>
      <c r="G3547" s="3"/>
      <c r="H3547" s="24" t="n">
        <v>0.0797822773</v>
      </c>
    </row>
    <row r="3548" customFormat="false" ht="15" hidden="false" customHeight="false" outlineLevel="0" collapsed="false">
      <c r="A3548" s="3" t="n">
        <v>3547</v>
      </c>
      <c r="B3548" s="3" t="n">
        <v>3546</v>
      </c>
      <c r="C3548" s="3" t="s">
        <v>119</v>
      </c>
      <c r="D3548" s="3" t="n">
        <v>0</v>
      </c>
      <c r="E3548" s="3" t="n">
        <v>18</v>
      </c>
      <c r="F3548" s="3"/>
      <c r="G3548" s="3"/>
      <c r="H3548" s="24" t="n">
        <v>-0.234394923</v>
      </c>
    </row>
    <row r="3549" customFormat="false" ht="15" hidden="false" customHeight="false" outlineLevel="0" collapsed="false">
      <c r="A3549" s="3" t="n">
        <v>3548</v>
      </c>
      <c r="B3549" s="3" t="n">
        <v>3547</v>
      </c>
      <c r="C3549" s="3" t="s">
        <v>119</v>
      </c>
      <c r="D3549" s="3" t="n">
        <v>0</v>
      </c>
      <c r="E3549" s="3" t="n">
        <v>19</v>
      </c>
      <c r="F3549" s="3"/>
      <c r="G3549" s="3"/>
      <c r="H3549" s="24" t="n">
        <v>-0.264244378</v>
      </c>
    </row>
    <row r="3550" customFormat="false" ht="15" hidden="false" customHeight="false" outlineLevel="0" collapsed="false">
      <c r="A3550" s="3" t="n">
        <v>3549</v>
      </c>
      <c r="B3550" s="3" t="n">
        <v>3548</v>
      </c>
      <c r="C3550" s="3" t="s">
        <v>119</v>
      </c>
      <c r="D3550" s="3" t="n">
        <v>0</v>
      </c>
      <c r="E3550" s="3" t="n">
        <v>20</v>
      </c>
      <c r="F3550" s="3"/>
      <c r="G3550" s="3"/>
      <c r="H3550" s="24" t="n">
        <v>-0.338168263</v>
      </c>
    </row>
    <row r="3551" customFormat="false" ht="15" hidden="false" customHeight="false" outlineLevel="0" collapsed="false">
      <c r="A3551" s="3" t="n">
        <v>3550</v>
      </c>
      <c r="B3551" s="3" t="n">
        <v>3549</v>
      </c>
      <c r="C3551" s="3" t="s">
        <v>119</v>
      </c>
      <c r="D3551" s="3" t="n">
        <v>0</v>
      </c>
      <c r="E3551" s="3" t="n">
        <v>21</v>
      </c>
      <c r="F3551" s="3"/>
      <c r="G3551" s="3"/>
      <c r="H3551" s="24" t="n">
        <v>-0.0507055521</v>
      </c>
    </row>
    <row r="3552" customFormat="false" ht="15" hidden="false" customHeight="false" outlineLevel="0" collapsed="false">
      <c r="A3552" s="3" t="n">
        <v>3551</v>
      </c>
      <c r="B3552" s="3" t="n">
        <v>3550</v>
      </c>
      <c r="C3552" s="3" t="s">
        <v>119</v>
      </c>
      <c r="D3552" s="3" t="n">
        <v>0</v>
      </c>
      <c r="E3552" s="3" t="n">
        <v>22</v>
      </c>
      <c r="F3552" s="3"/>
      <c r="G3552" s="3"/>
      <c r="H3552" s="24" t="n">
        <v>-0.106529124</v>
      </c>
    </row>
    <row r="3553" customFormat="false" ht="15" hidden="false" customHeight="false" outlineLevel="0" collapsed="false">
      <c r="A3553" s="3" t="n">
        <v>3552</v>
      </c>
      <c r="B3553" s="3" t="n">
        <v>3551</v>
      </c>
      <c r="C3553" s="3" t="s">
        <v>119</v>
      </c>
      <c r="D3553" s="3" t="n">
        <v>0</v>
      </c>
      <c r="E3553" s="3" t="n">
        <v>23</v>
      </c>
      <c r="F3553" s="3"/>
      <c r="G3553" s="3"/>
      <c r="H3553" s="24" t="n">
        <v>-0.105160162</v>
      </c>
    </row>
    <row r="3554" customFormat="false" ht="15" hidden="false" customHeight="false" outlineLevel="0" collapsed="false">
      <c r="A3554" s="3" t="n">
        <v>3553</v>
      </c>
      <c r="B3554" s="3" t="n">
        <v>3552</v>
      </c>
      <c r="C3554" s="3" t="s">
        <v>119</v>
      </c>
      <c r="D3554" s="3" t="n">
        <v>0</v>
      </c>
      <c r="E3554" s="3" t="n">
        <v>24</v>
      </c>
      <c r="F3554" s="3"/>
      <c r="G3554" s="3"/>
      <c r="H3554" s="24" t="n">
        <v>-0.0351358727</v>
      </c>
    </row>
    <row r="3555" customFormat="false" ht="15" hidden="false" customHeight="false" outlineLevel="0" collapsed="false">
      <c r="A3555" s="3" t="n">
        <v>3554</v>
      </c>
      <c r="B3555" s="3" t="n">
        <v>3553</v>
      </c>
      <c r="C3555" s="3" t="s">
        <v>119</v>
      </c>
      <c r="D3555" s="3" t="n">
        <v>0</v>
      </c>
      <c r="E3555" s="3" t="n">
        <v>25</v>
      </c>
      <c r="F3555" s="3"/>
      <c r="G3555" s="3"/>
      <c r="H3555" s="24" t="n">
        <v>0.209972605</v>
      </c>
    </row>
    <row r="3556" customFormat="false" ht="15" hidden="false" customHeight="false" outlineLevel="0" collapsed="false">
      <c r="A3556" s="3" t="n">
        <v>3555</v>
      </c>
      <c r="B3556" s="3" t="n">
        <v>3554</v>
      </c>
      <c r="C3556" s="3" t="s">
        <v>119</v>
      </c>
      <c r="D3556" s="3" t="n">
        <v>0</v>
      </c>
      <c r="E3556" s="3" t="n">
        <v>26</v>
      </c>
      <c r="F3556" s="3"/>
      <c r="G3556" s="3"/>
      <c r="H3556" s="24" t="n">
        <v>-0.0201808959</v>
      </c>
    </row>
    <row r="3557" customFormat="false" ht="15" hidden="false" customHeight="false" outlineLevel="0" collapsed="false">
      <c r="A3557" s="3" t="n">
        <v>3556</v>
      </c>
      <c r="B3557" s="3" t="n">
        <v>3555</v>
      </c>
      <c r="C3557" s="3" t="s">
        <v>119</v>
      </c>
      <c r="D3557" s="3" t="n">
        <v>0</v>
      </c>
      <c r="E3557" s="3" t="n">
        <v>27</v>
      </c>
      <c r="F3557" s="3"/>
      <c r="G3557" s="3"/>
      <c r="H3557" s="24" t="n">
        <v>0.120469883</v>
      </c>
    </row>
    <row r="3558" customFormat="false" ht="15" hidden="false" customHeight="false" outlineLevel="0" collapsed="false">
      <c r="A3558" s="3" t="n">
        <v>3557</v>
      </c>
      <c r="B3558" s="3" t="n">
        <v>3556</v>
      </c>
      <c r="C3558" s="3" t="s">
        <v>119</v>
      </c>
      <c r="D3558" s="3" t="n">
        <v>0</v>
      </c>
      <c r="E3558" s="3" t="n">
        <v>28</v>
      </c>
      <c r="F3558" s="3"/>
      <c r="G3558" s="3"/>
      <c r="H3558" s="24" t="n">
        <v>-0.211761311</v>
      </c>
    </row>
    <row r="3559" customFormat="false" ht="15" hidden="false" customHeight="false" outlineLevel="0" collapsed="false">
      <c r="A3559" s="3" t="n">
        <v>3558</v>
      </c>
      <c r="B3559" s="3" t="n">
        <v>3557</v>
      </c>
      <c r="C3559" s="3" t="s">
        <v>119</v>
      </c>
      <c r="D3559" s="3" t="n">
        <v>0</v>
      </c>
      <c r="E3559" s="3" t="n">
        <v>29</v>
      </c>
      <c r="F3559" s="3"/>
      <c r="G3559" s="3"/>
      <c r="H3559" s="24" t="n">
        <v>-0.125128776</v>
      </c>
    </row>
    <row r="3560" customFormat="false" ht="15" hidden="false" customHeight="false" outlineLevel="0" collapsed="false">
      <c r="A3560" s="3" t="n">
        <v>3559</v>
      </c>
      <c r="B3560" s="3" t="n">
        <v>3558</v>
      </c>
      <c r="C3560" s="3" t="s">
        <v>119</v>
      </c>
      <c r="D3560" s="3" t="n">
        <v>0</v>
      </c>
      <c r="E3560" s="3" t="n">
        <v>30</v>
      </c>
      <c r="F3560" s="3"/>
      <c r="G3560" s="3"/>
      <c r="H3560" s="24" t="n">
        <v>-0.108556442</v>
      </c>
    </row>
    <row r="3561" customFormat="false" ht="15" hidden="false" customHeight="false" outlineLevel="0" collapsed="false">
      <c r="A3561" s="3" t="n">
        <v>3560</v>
      </c>
      <c r="B3561" s="3" t="n">
        <v>3559</v>
      </c>
      <c r="C3561" s="3" t="s">
        <v>119</v>
      </c>
      <c r="D3561" s="3" t="n">
        <v>0</v>
      </c>
      <c r="E3561" s="3" t="n">
        <v>31</v>
      </c>
      <c r="F3561" s="3"/>
      <c r="G3561" s="3"/>
      <c r="H3561" s="24" t="n">
        <v>-0.0681348816</v>
      </c>
    </row>
    <row r="3562" customFormat="false" ht="15" hidden="false" customHeight="false" outlineLevel="0" collapsed="false">
      <c r="A3562" s="3" t="n">
        <v>3561</v>
      </c>
      <c r="B3562" s="3" t="n">
        <v>3560</v>
      </c>
      <c r="C3562" s="3" t="s">
        <v>119</v>
      </c>
      <c r="D3562" s="3" t="n">
        <v>0</v>
      </c>
      <c r="E3562" s="3" t="n">
        <v>32</v>
      </c>
      <c r="F3562" s="3"/>
      <c r="G3562" s="3"/>
      <c r="H3562" s="24" t="n">
        <v>0.139561877</v>
      </c>
    </row>
    <row r="3563" customFormat="false" ht="15" hidden="false" customHeight="false" outlineLevel="0" collapsed="false">
      <c r="A3563" s="3" t="n">
        <v>3562</v>
      </c>
      <c r="B3563" s="3" t="n">
        <v>3561</v>
      </c>
      <c r="C3563" s="3" t="s">
        <v>119</v>
      </c>
      <c r="D3563" s="3" t="n">
        <v>0</v>
      </c>
      <c r="E3563" s="3" t="n">
        <v>33</v>
      </c>
      <c r="F3563" s="3"/>
      <c r="G3563" s="3"/>
      <c r="H3563" s="24" t="n">
        <v>-0.0836069286</v>
      </c>
    </row>
    <row r="3564" customFormat="false" ht="15" hidden="false" customHeight="false" outlineLevel="0" collapsed="false">
      <c r="A3564" s="3" t="n">
        <v>3563</v>
      </c>
      <c r="B3564" s="3" t="n">
        <v>3562</v>
      </c>
      <c r="C3564" s="3" t="s">
        <v>119</v>
      </c>
      <c r="D3564" s="3" t="n">
        <v>0</v>
      </c>
      <c r="E3564" s="3" t="n">
        <v>34</v>
      </c>
      <c r="F3564" s="3"/>
      <c r="G3564" s="3"/>
      <c r="H3564" s="24" t="n">
        <v>0.141179964</v>
      </c>
    </row>
    <row r="3565" customFormat="false" ht="15" hidden="false" customHeight="false" outlineLevel="0" collapsed="false">
      <c r="A3565" s="3" t="n">
        <v>3564</v>
      </c>
      <c r="B3565" s="3" t="n">
        <v>3563</v>
      </c>
      <c r="C3565" s="3" t="s">
        <v>119</v>
      </c>
      <c r="D3565" s="3" t="n">
        <v>0</v>
      </c>
      <c r="E3565" s="3" t="n">
        <v>35</v>
      </c>
      <c r="F3565" s="3"/>
      <c r="G3565" s="3"/>
      <c r="H3565" s="24" t="n">
        <v>-0.182761535</v>
      </c>
    </row>
    <row r="3566" customFormat="false" ht="15" hidden="false" customHeight="false" outlineLevel="0" collapsed="false">
      <c r="A3566" s="3" t="n">
        <v>3565</v>
      </c>
      <c r="B3566" s="3" t="n">
        <v>3564</v>
      </c>
      <c r="C3566" s="3" t="s">
        <v>119</v>
      </c>
      <c r="D3566" s="3" t="n">
        <v>0</v>
      </c>
      <c r="E3566" s="3" t="n">
        <v>36</v>
      </c>
      <c r="F3566" s="3"/>
      <c r="G3566" s="3"/>
      <c r="H3566" s="24" t="n">
        <v>-0.202766061</v>
      </c>
    </row>
    <row r="3567" customFormat="false" ht="15" hidden="false" customHeight="false" outlineLevel="0" collapsed="false">
      <c r="A3567" s="3" t="n">
        <v>3566</v>
      </c>
      <c r="B3567" s="3" t="n">
        <v>3565</v>
      </c>
      <c r="C3567" s="3" t="s">
        <v>119</v>
      </c>
      <c r="D3567" s="3" t="n">
        <v>0</v>
      </c>
      <c r="E3567" s="3" t="n">
        <v>37</v>
      </c>
      <c r="F3567" s="3"/>
      <c r="G3567" s="3"/>
      <c r="H3567" s="24" t="n">
        <v>-0.15051575</v>
      </c>
    </row>
    <row r="3568" customFormat="false" ht="15" hidden="false" customHeight="false" outlineLevel="0" collapsed="false">
      <c r="A3568" s="3" t="n">
        <v>3567</v>
      </c>
      <c r="B3568" s="3" t="n">
        <v>3566</v>
      </c>
      <c r="C3568" s="3" t="s">
        <v>119</v>
      </c>
      <c r="D3568" s="3" t="n">
        <v>0</v>
      </c>
      <c r="E3568" s="3" t="n">
        <v>38</v>
      </c>
      <c r="F3568" s="3"/>
      <c r="G3568" s="3"/>
      <c r="H3568" s="24" t="n">
        <v>-0.0398183465</v>
      </c>
    </row>
    <row r="3569" customFormat="false" ht="15" hidden="false" customHeight="false" outlineLevel="0" collapsed="false">
      <c r="A3569" s="3" t="n">
        <v>3568</v>
      </c>
      <c r="B3569" s="3" t="n">
        <v>3567</v>
      </c>
      <c r="C3569" s="3" t="s">
        <v>119</v>
      </c>
      <c r="D3569" s="3" t="n">
        <v>0</v>
      </c>
      <c r="E3569" s="3" t="n">
        <v>39</v>
      </c>
      <c r="F3569" s="3"/>
      <c r="G3569" s="3"/>
      <c r="H3569" s="24" t="n">
        <v>-0.0248764213</v>
      </c>
    </row>
    <row r="3570" customFormat="false" ht="15" hidden="false" customHeight="false" outlineLevel="0" collapsed="false">
      <c r="A3570" s="3" t="n">
        <v>3569</v>
      </c>
      <c r="B3570" s="3" t="n">
        <v>3568</v>
      </c>
      <c r="C3570" s="3" t="s">
        <v>119</v>
      </c>
      <c r="D3570" s="3" t="n">
        <v>0</v>
      </c>
      <c r="E3570" s="3" t="n">
        <v>40</v>
      </c>
      <c r="F3570" s="3"/>
      <c r="G3570" s="3"/>
      <c r="H3570" s="24" t="n">
        <v>-0.0460879542</v>
      </c>
    </row>
    <row r="3571" customFormat="false" ht="15" hidden="false" customHeight="false" outlineLevel="0" collapsed="false">
      <c r="A3571" s="3" t="n">
        <v>3570</v>
      </c>
      <c r="B3571" s="3" t="n">
        <v>3569</v>
      </c>
      <c r="C3571" s="3" t="s">
        <v>119</v>
      </c>
      <c r="D3571" s="3" t="n">
        <v>0</v>
      </c>
      <c r="E3571" s="3" t="n">
        <v>41</v>
      </c>
      <c r="F3571" s="3"/>
      <c r="G3571" s="3"/>
      <c r="H3571" s="24" t="n">
        <v>0.0812020525</v>
      </c>
    </row>
    <row r="3572" customFormat="false" ht="15" hidden="false" customHeight="false" outlineLevel="0" collapsed="false">
      <c r="A3572" s="3" t="n">
        <v>3571</v>
      </c>
      <c r="B3572" s="3" t="n">
        <v>3570</v>
      </c>
      <c r="C3572" s="3" t="s">
        <v>119</v>
      </c>
      <c r="D3572" s="3" t="n">
        <v>0</v>
      </c>
      <c r="E3572" s="3" t="n">
        <v>42</v>
      </c>
      <c r="F3572" s="3"/>
      <c r="G3572" s="3"/>
      <c r="H3572" s="24" t="n">
        <v>-0.118741065</v>
      </c>
    </row>
    <row r="3573" customFormat="false" ht="15" hidden="false" customHeight="false" outlineLevel="0" collapsed="false">
      <c r="A3573" s="3" t="n">
        <v>3572</v>
      </c>
      <c r="B3573" s="3" t="n">
        <v>3571</v>
      </c>
      <c r="C3573" s="3" t="s">
        <v>119</v>
      </c>
      <c r="D3573" s="3" t="n">
        <v>0</v>
      </c>
      <c r="E3573" s="3" t="n">
        <v>43</v>
      </c>
      <c r="F3573" s="3"/>
      <c r="G3573" s="3"/>
      <c r="H3573" s="24" t="n">
        <v>0.152747527</v>
      </c>
    </row>
    <row r="3574" customFormat="false" ht="15" hidden="false" customHeight="false" outlineLevel="0" collapsed="false">
      <c r="A3574" s="3" t="n">
        <v>3573</v>
      </c>
      <c r="B3574" s="3" t="n">
        <v>3572</v>
      </c>
      <c r="C3574" s="3" t="s">
        <v>119</v>
      </c>
      <c r="D3574" s="3" t="n">
        <v>0</v>
      </c>
      <c r="E3574" s="3" t="n">
        <v>44</v>
      </c>
      <c r="F3574" s="3"/>
      <c r="G3574" s="3"/>
      <c r="H3574" s="24" t="n">
        <v>-0.275239378</v>
      </c>
    </row>
    <row r="3575" customFormat="false" ht="15" hidden="false" customHeight="false" outlineLevel="0" collapsed="false">
      <c r="A3575" s="3" t="n">
        <v>3574</v>
      </c>
      <c r="B3575" s="3" t="n">
        <v>3573</v>
      </c>
      <c r="C3575" s="3" t="s">
        <v>119</v>
      </c>
      <c r="D3575" s="3" t="n">
        <v>0</v>
      </c>
      <c r="E3575" s="3" t="n">
        <v>45</v>
      </c>
      <c r="F3575" s="3"/>
      <c r="G3575" s="3"/>
      <c r="H3575" s="24" t="n">
        <v>0.0457484908</v>
      </c>
    </row>
    <row r="3576" customFormat="false" ht="15" hidden="false" customHeight="false" outlineLevel="0" collapsed="false">
      <c r="A3576" s="3" t="n">
        <v>3575</v>
      </c>
      <c r="B3576" s="3" t="n">
        <v>3574</v>
      </c>
      <c r="C3576" s="3" t="s">
        <v>119</v>
      </c>
      <c r="D3576" s="3" t="n">
        <v>0</v>
      </c>
      <c r="E3576" s="3" t="n">
        <v>46</v>
      </c>
      <c r="F3576" s="3"/>
      <c r="G3576" s="3"/>
      <c r="H3576" s="24" t="n">
        <v>0.0838290602</v>
      </c>
    </row>
    <row r="3577" customFormat="false" ht="15" hidden="false" customHeight="false" outlineLevel="0" collapsed="false">
      <c r="A3577" s="3" t="n">
        <v>3576</v>
      </c>
      <c r="B3577" s="3" t="n">
        <v>3575</v>
      </c>
      <c r="C3577" s="3" t="s">
        <v>119</v>
      </c>
      <c r="D3577" s="3" t="n">
        <v>0</v>
      </c>
      <c r="E3577" s="3" t="n">
        <v>47</v>
      </c>
      <c r="F3577" s="3"/>
      <c r="G3577" s="3"/>
      <c r="H3577" s="24" t="n">
        <v>0.0663761646</v>
      </c>
    </row>
    <row r="3578" customFormat="false" ht="15" hidden="false" customHeight="false" outlineLevel="0" collapsed="false">
      <c r="A3578" s="3" t="n">
        <v>3577</v>
      </c>
      <c r="B3578" s="3" t="n">
        <v>3576</v>
      </c>
      <c r="C3578" s="3" t="s">
        <v>119</v>
      </c>
      <c r="D3578" s="3" t="n">
        <v>0</v>
      </c>
      <c r="E3578" s="3" t="n">
        <v>48</v>
      </c>
      <c r="F3578" s="3"/>
      <c r="G3578" s="3"/>
      <c r="H3578" s="24" t="n">
        <v>-0.163297221</v>
      </c>
    </row>
    <row r="3579" customFormat="false" ht="15" hidden="false" customHeight="false" outlineLevel="0" collapsed="false">
      <c r="A3579" s="3" t="n">
        <v>3578</v>
      </c>
      <c r="B3579" s="3" t="n">
        <v>3577</v>
      </c>
      <c r="C3579" s="3" t="s">
        <v>119</v>
      </c>
      <c r="D3579" s="3" t="n">
        <v>0</v>
      </c>
      <c r="E3579" s="3" t="n">
        <v>49</v>
      </c>
      <c r="F3579" s="3"/>
      <c r="G3579" s="3"/>
      <c r="H3579" s="24" t="n">
        <v>0.129883036</v>
      </c>
    </row>
    <row r="3580" customFormat="false" ht="15" hidden="false" customHeight="false" outlineLevel="0" collapsed="false">
      <c r="A3580" s="3" t="n">
        <v>3579</v>
      </c>
      <c r="B3580" s="3" t="n">
        <v>3578</v>
      </c>
      <c r="C3580" s="3" t="s">
        <v>119</v>
      </c>
      <c r="D3580" s="3" t="n">
        <v>0</v>
      </c>
      <c r="E3580" s="3" t="n">
        <v>50</v>
      </c>
      <c r="F3580" s="3"/>
      <c r="G3580" s="3"/>
      <c r="H3580" s="24" t="n">
        <v>-0.136635035</v>
      </c>
    </row>
    <row r="3581" customFormat="false" ht="15" hidden="false" customHeight="false" outlineLevel="0" collapsed="false">
      <c r="A3581" s="3" t="n">
        <v>3580</v>
      </c>
      <c r="B3581" s="3" t="n">
        <v>3579</v>
      </c>
      <c r="C3581" s="3" t="s">
        <v>119</v>
      </c>
      <c r="D3581" s="3" t="n">
        <v>0</v>
      </c>
      <c r="E3581" s="3" t="n">
        <v>51</v>
      </c>
      <c r="F3581" s="3"/>
      <c r="G3581" s="3"/>
      <c r="H3581" s="24" t="n">
        <v>0.0868787095</v>
      </c>
    </row>
    <row r="3582" customFormat="false" ht="15" hidden="false" customHeight="false" outlineLevel="0" collapsed="false">
      <c r="A3582" s="3" t="n">
        <v>3581</v>
      </c>
      <c r="B3582" s="3" t="n">
        <v>3580</v>
      </c>
      <c r="C3582" s="3" t="s">
        <v>119</v>
      </c>
      <c r="D3582" s="3" t="n">
        <v>0</v>
      </c>
      <c r="E3582" s="3" t="n">
        <v>52</v>
      </c>
      <c r="F3582" s="3"/>
      <c r="G3582" s="3"/>
      <c r="H3582" s="24" t="n">
        <v>0.090134263</v>
      </c>
    </row>
    <row r="3583" customFormat="false" ht="15" hidden="false" customHeight="false" outlineLevel="0" collapsed="false">
      <c r="A3583" s="3" t="n">
        <v>3582</v>
      </c>
      <c r="B3583" s="3" t="n">
        <v>3581</v>
      </c>
      <c r="C3583" s="3" t="s">
        <v>119</v>
      </c>
      <c r="D3583" s="3" t="n">
        <v>0</v>
      </c>
      <c r="E3583" s="3" t="n">
        <v>53</v>
      </c>
      <c r="F3583" s="3"/>
      <c r="G3583" s="3"/>
      <c r="H3583" s="24" t="n">
        <v>-0.373872429</v>
      </c>
    </row>
    <row r="3584" customFormat="false" ht="15" hidden="false" customHeight="false" outlineLevel="0" collapsed="false">
      <c r="A3584" s="3" t="n">
        <v>3583</v>
      </c>
      <c r="B3584" s="3" t="n">
        <v>3582</v>
      </c>
      <c r="C3584" s="3" t="s">
        <v>119</v>
      </c>
      <c r="D3584" s="3" t="n">
        <v>0</v>
      </c>
      <c r="E3584" s="3" t="n">
        <v>54</v>
      </c>
      <c r="F3584" s="3"/>
      <c r="G3584" s="3"/>
      <c r="H3584" s="24" t="n">
        <v>-0.0773561373</v>
      </c>
    </row>
    <row r="3585" customFormat="false" ht="15" hidden="false" customHeight="false" outlineLevel="0" collapsed="false">
      <c r="A3585" s="3" t="n">
        <v>3584</v>
      </c>
      <c r="B3585" s="3" t="n">
        <v>3583</v>
      </c>
      <c r="C3585" s="3" t="s">
        <v>119</v>
      </c>
      <c r="D3585" s="3" t="n">
        <v>0</v>
      </c>
      <c r="E3585" s="3" t="n">
        <v>55</v>
      </c>
      <c r="F3585" s="3"/>
      <c r="G3585" s="3"/>
      <c r="H3585" s="24" t="n">
        <v>0.0381304175</v>
      </c>
    </row>
    <row r="3586" customFormat="false" ht="15" hidden="false" customHeight="false" outlineLevel="0" collapsed="false">
      <c r="A3586" s="3" t="n">
        <v>3585</v>
      </c>
      <c r="B3586" s="3" t="n">
        <v>3584</v>
      </c>
      <c r="C3586" s="3" t="s">
        <v>119</v>
      </c>
      <c r="D3586" s="3" t="n">
        <v>0</v>
      </c>
      <c r="E3586" s="3" t="n">
        <v>56</v>
      </c>
      <c r="F3586" s="3"/>
      <c r="G3586" s="3"/>
      <c r="H3586" s="24" t="n">
        <v>-0.170367062</v>
      </c>
    </row>
    <row r="3587" customFormat="false" ht="15" hidden="false" customHeight="false" outlineLevel="0" collapsed="false">
      <c r="A3587" s="3" t="n">
        <v>3586</v>
      </c>
      <c r="B3587" s="3" t="n">
        <v>3585</v>
      </c>
      <c r="C3587" s="3" t="s">
        <v>119</v>
      </c>
      <c r="D3587" s="3" t="n">
        <v>0</v>
      </c>
      <c r="E3587" s="3" t="n">
        <v>57</v>
      </c>
      <c r="F3587" s="3"/>
      <c r="G3587" s="3"/>
      <c r="H3587" s="24" t="n">
        <v>0.0623991601</v>
      </c>
    </row>
    <row r="3588" customFormat="false" ht="15" hidden="false" customHeight="false" outlineLevel="0" collapsed="false">
      <c r="A3588" s="3" t="n">
        <v>3587</v>
      </c>
      <c r="B3588" s="3" t="n">
        <v>3586</v>
      </c>
      <c r="C3588" s="3" t="s">
        <v>119</v>
      </c>
      <c r="D3588" s="3" t="n">
        <v>0</v>
      </c>
      <c r="E3588" s="3" t="n">
        <v>58</v>
      </c>
      <c r="F3588" s="3"/>
      <c r="G3588" s="3"/>
      <c r="H3588" s="24" t="n">
        <v>-0.0617336407</v>
      </c>
    </row>
    <row r="3589" customFormat="false" ht="15" hidden="false" customHeight="false" outlineLevel="0" collapsed="false">
      <c r="A3589" s="3" t="n">
        <v>3588</v>
      </c>
      <c r="B3589" s="3" t="n">
        <v>3587</v>
      </c>
      <c r="C3589" s="3" t="s">
        <v>119</v>
      </c>
      <c r="D3589" s="3" t="n">
        <v>0</v>
      </c>
      <c r="E3589" s="3" t="n">
        <v>59</v>
      </c>
      <c r="F3589" s="3"/>
      <c r="G3589" s="3"/>
      <c r="H3589" s="24" t="n">
        <v>0.061631266</v>
      </c>
    </row>
    <row r="3590" customFormat="false" ht="15" hidden="false" customHeight="false" outlineLevel="0" collapsed="false">
      <c r="A3590" s="3" t="n">
        <v>3589</v>
      </c>
      <c r="B3590" s="3" t="n">
        <v>3588</v>
      </c>
      <c r="C3590" s="3" t="s">
        <v>119</v>
      </c>
      <c r="D3590" s="3" t="n">
        <v>0</v>
      </c>
      <c r="E3590" s="3" t="n">
        <v>60</v>
      </c>
      <c r="F3590" s="3"/>
      <c r="G3590" s="3"/>
      <c r="H3590" s="24" t="n">
        <v>-0.286135674</v>
      </c>
    </row>
    <row r="3591" customFormat="false" ht="15" hidden="false" customHeight="false" outlineLevel="0" collapsed="false">
      <c r="A3591" s="3" t="n">
        <v>3590</v>
      </c>
      <c r="B3591" s="3" t="n">
        <v>3589</v>
      </c>
      <c r="C3591" s="3" t="s">
        <v>119</v>
      </c>
      <c r="D3591" s="3" t="n">
        <v>0</v>
      </c>
      <c r="E3591" s="3" t="n">
        <v>61</v>
      </c>
      <c r="F3591" s="3"/>
      <c r="G3591" s="3"/>
      <c r="H3591" s="24" t="n">
        <v>-0.343303263</v>
      </c>
    </row>
    <row r="3592" customFormat="false" ht="15" hidden="false" customHeight="false" outlineLevel="0" collapsed="false">
      <c r="A3592" s="3" t="n">
        <v>3591</v>
      </c>
      <c r="B3592" s="3" t="n">
        <v>3590</v>
      </c>
      <c r="C3592" s="3" t="s">
        <v>119</v>
      </c>
      <c r="D3592" s="3" t="n">
        <v>0</v>
      </c>
      <c r="E3592" s="3" t="n">
        <v>62</v>
      </c>
      <c r="F3592" s="3"/>
      <c r="G3592" s="3"/>
      <c r="H3592" s="24" t="n">
        <v>0.176591933</v>
      </c>
    </row>
    <row r="3593" customFormat="false" ht="15" hidden="false" customHeight="false" outlineLevel="0" collapsed="false">
      <c r="A3593" s="3" t="n">
        <v>3592</v>
      </c>
      <c r="B3593" s="3" t="n">
        <v>3591</v>
      </c>
      <c r="C3593" s="3" t="s">
        <v>119</v>
      </c>
      <c r="D3593" s="3" t="n">
        <v>0</v>
      </c>
      <c r="E3593" s="3" t="n">
        <v>63</v>
      </c>
      <c r="F3593" s="3"/>
      <c r="G3593" s="3"/>
      <c r="H3593" s="24" t="n">
        <v>-0.0635647774</v>
      </c>
    </row>
    <row r="3594" customFormat="false" ht="15" hidden="false" customHeight="false" outlineLevel="0" collapsed="false">
      <c r="A3594" s="3" t="n">
        <v>3593</v>
      </c>
      <c r="B3594" s="3" t="n">
        <v>3592</v>
      </c>
      <c r="C3594" s="3" t="s">
        <v>119</v>
      </c>
      <c r="D3594" s="3" t="n">
        <v>0</v>
      </c>
      <c r="E3594" s="3" t="n">
        <v>64</v>
      </c>
      <c r="F3594" s="3"/>
      <c r="G3594" s="3"/>
      <c r="H3594" s="24" t="n">
        <v>0.0171505753</v>
      </c>
    </row>
    <row r="3595" customFormat="false" ht="15" hidden="false" customHeight="false" outlineLevel="0" collapsed="false">
      <c r="A3595" s="3" t="n">
        <v>3594</v>
      </c>
      <c r="B3595" s="3" t="n">
        <v>3593</v>
      </c>
      <c r="C3595" s="3" t="s">
        <v>119</v>
      </c>
      <c r="D3595" s="3" t="n">
        <v>0</v>
      </c>
      <c r="E3595" s="3" t="n">
        <v>65</v>
      </c>
      <c r="F3595" s="3"/>
      <c r="G3595" s="3"/>
      <c r="H3595" s="24" t="n">
        <v>-0.0281963591</v>
      </c>
    </row>
    <row r="3596" customFormat="false" ht="15" hidden="false" customHeight="false" outlineLevel="0" collapsed="false">
      <c r="A3596" s="3" t="n">
        <v>3595</v>
      </c>
      <c r="B3596" s="3" t="n">
        <v>3594</v>
      </c>
      <c r="C3596" s="3" t="s">
        <v>119</v>
      </c>
      <c r="D3596" s="3" t="n">
        <v>0</v>
      </c>
      <c r="E3596" s="3" t="n">
        <v>66</v>
      </c>
      <c r="F3596" s="3"/>
      <c r="G3596" s="3"/>
      <c r="H3596" s="24" t="n">
        <v>0.0701878816</v>
      </c>
    </row>
    <row r="3597" customFormat="false" ht="15" hidden="false" customHeight="false" outlineLevel="0" collapsed="false">
      <c r="A3597" s="3" t="n">
        <v>3596</v>
      </c>
      <c r="B3597" s="3" t="n">
        <v>3595</v>
      </c>
      <c r="C3597" s="3" t="s">
        <v>119</v>
      </c>
      <c r="D3597" s="3" t="n">
        <v>0</v>
      </c>
      <c r="E3597" s="3" t="n">
        <v>67</v>
      </c>
      <c r="F3597" s="3"/>
      <c r="G3597" s="3"/>
      <c r="H3597" s="24" t="n">
        <v>-0.0287236478</v>
      </c>
    </row>
    <row r="3598" customFormat="false" ht="15" hidden="false" customHeight="false" outlineLevel="0" collapsed="false">
      <c r="A3598" s="3" t="n">
        <v>3597</v>
      </c>
      <c r="B3598" s="3" t="n">
        <v>3596</v>
      </c>
      <c r="C3598" s="3" t="s">
        <v>119</v>
      </c>
      <c r="D3598" s="3" t="n">
        <v>0</v>
      </c>
      <c r="E3598" s="3" t="n">
        <v>68</v>
      </c>
      <c r="F3598" s="3"/>
      <c r="G3598" s="3"/>
      <c r="H3598" s="24" t="n">
        <v>0.0602495782</v>
      </c>
    </row>
    <row r="3599" customFormat="false" ht="15" hidden="false" customHeight="false" outlineLevel="0" collapsed="false">
      <c r="A3599" s="3" t="n">
        <v>3598</v>
      </c>
      <c r="B3599" s="3" t="n">
        <v>3597</v>
      </c>
      <c r="C3599" s="3" t="s">
        <v>119</v>
      </c>
      <c r="D3599" s="3" t="n">
        <v>0</v>
      </c>
      <c r="E3599" s="3" t="n">
        <v>69</v>
      </c>
      <c r="F3599" s="3"/>
      <c r="G3599" s="3"/>
      <c r="H3599" s="24" t="n">
        <v>0.0589428768</v>
      </c>
    </row>
    <row r="3600" customFormat="false" ht="15" hidden="false" customHeight="false" outlineLevel="0" collapsed="false">
      <c r="A3600" s="3" t="n">
        <v>3599</v>
      </c>
      <c r="B3600" s="3" t="n">
        <v>3598</v>
      </c>
      <c r="C3600" s="3" t="s">
        <v>119</v>
      </c>
      <c r="D3600" s="3" t="n">
        <v>0</v>
      </c>
      <c r="E3600" s="3" t="n">
        <v>70</v>
      </c>
      <c r="F3600" s="3"/>
      <c r="G3600" s="3"/>
      <c r="H3600" s="24" t="n">
        <v>0.0460910909</v>
      </c>
    </row>
    <row r="3601" customFormat="false" ht="15" hidden="false" customHeight="false" outlineLevel="0" collapsed="false">
      <c r="A3601" s="3" t="n">
        <v>3600</v>
      </c>
      <c r="B3601" s="3" t="n">
        <v>3599</v>
      </c>
      <c r="C3601" s="3" t="s">
        <v>119</v>
      </c>
      <c r="D3601" s="3" t="n">
        <v>0</v>
      </c>
      <c r="E3601" s="3" t="n">
        <v>71</v>
      </c>
      <c r="F3601" s="3"/>
      <c r="G3601" s="3"/>
      <c r="H3601" s="24" t="n">
        <v>0.0569503903</v>
      </c>
    </row>
    <row r="3602" customFormat="false" ht="15" hidden="false" customHeight="false" outlineLevel="0" collapsed="false">
      <c r="A3602" s="3" t="n">
        <v>3601</v>
      </c>
      <c r="B3602" s="3" t="n">
        <v>3600</v>
      </c>
      <c r="C3602" s="3" t="s">
        <v>119</v>
      </c>
      <c r="D3602" s="3" t="n">
        <v>0</v>
      </c>
      <c r="E3602" s="3" t="n">
        <v>72</v>
      </c>
      <c r="F3602" s="3"/>
      <c r="G3602" s="3"/>
      <c r="H3602" s="24" t="n">
        <v>0.0821450129</v>
      </c>
    </row>
    <row r="3603" customFormat="false" ht="15" hidden="false" customHeight="false" outlineLevel="0" collapsed="false">
      <c r="A3603" s="3" t="n">
        <v>3602</v>
      </c>
      <c r="B3603" s="3" t="n">
        <v>3601</v>
      </c>
      <c r="C3603" s="3" t="s">
        <v>119</v>
      </c>
      <c r="D3603" s="3" t="n">
        <v>0</v>
      </c>
      <c r="E3603" s="3" t="n">
        <v>73</v>
      </c>
      <c r="F3603" s="3"/>
      <c r="G3603" s="3"/>
      <c r="H3603" s="24" t="n">
        <v>0.00618274789</v>
      </c>
    </row>
    <row r="3604" customFormat="false" ht="15" hidden="false" customHeight="false" outlineLevel="0" collapsed="false">
      <c r="A3604" s="3" t="n">
        <v>3603</v>
      </c>
      <c r="B3604" s="3" t="n">
        <v>3602</v>
      </c>
      <c r="C3604" s="3" t="s">
        <v>119</v>
      </c>
      <c r="D3604" s="3" t="n">
        <v>0</v>
      </c>
      <c r="E3604" s="3" t="n">
        <v>74</v>
      </c>
      <c r="F3604" s="3"/>
      <c r="G3604" s="3"/>
      <c r="H3604" s="24" t="n">
        <v>0.0186691266</v>
      </c>
    </row>
    <row r="3605" customFormat="false" ht="15" hidden="false" customHeight="false" outlineLevel="0" collapsed="false">
      <c r="A3605" s="3" t="n">
        <v>3604</v>
      </c>
      <c r="B3605" s="3" t="n">
        <v>3603</v>
      </c>
      <c r="C3605" s="3" t="s">
        <v>119</v>
      </c>
      <c r="D3605" s="3" t="n">
        <v>0</v>
      </c>
      <c r="E3605" s="3" t="n">
        <v>75</v>
      </c>
      <c r="F3605" s="3"/>
      <c r="G3605" s="3"/>
      <c r="H3605" s="24" t="n">
        <v>-0.291498333</v>
      </c>
    </row>
    <row r="3606" customFormat="false" ht="15" hidden="false" customHeight="false" outlineLevel="0" collapsed="false">
      <c r="A3606" s="3" t="n">
        <v>3605</v>
      </c>
      <c r="B3606" s="3" t="n">
        <v>3604</v>
      </c>
      <c r="C3606" s="3" t="s">
        <v>119</v>
      </c>
      <c r="D3606" s="3" t="n">
        <v>0</v>
      </c>
      <c r="E3606" s="3" t="n">
        <v>76</v>
      </c>
      <c r="F3606" s="3"/>
      <c r="G3606" s="3"/>
      <c r="H3606" s="24" t="n">
        <v>-0.184330672</v>
      </c>
    </row>
    <row r="3607" customFormat="false" ht="15" hidden="false" customHeight="false" outlineLevel="0" collapsed="false">
      <c r="A3607" s="3" t="n">
        <v>3606</v>
      </c>
      <c r="B3607" s="3" t="n">
        <v>3605</v>
      </c>
      <c r="C3607" s="3" t="s">
        <v>119</v>
      </c>
      <c r="D3607" s="3" t="n">
        <v>0</v>
      </c>
      <c r="E3607" s="3" t="n">
        <v>77</v>
      </c>
      <c r="F3607" s="3"/>
      <c r="G3607" s="3"/>
      <c r="H3607" s="24" t="n">
        <v>0.11487937</v>
      </c>
    </row>
    <row r="3608" customFormat="false" ht="15" hidden="false" customHeight="false" outlineLevel="0" collapsed="false">
      <c r="A3608" s="3" t="n">
        <v>3607</v>
      </c>
      <c r="B3608" s="3" t="n">
        <v>3606</v>
      </c>
      <c r="C3608" s="3" t="s">
        <v>119</v>
      </c>
      <c r="D3608" s="3" t="n">
        <v>0</v>
      </c>
      <c r="E3608" s="3" t="n">
        <v>78</v>
      </c>
      <c r="F3608" s="3"/>
      <c r="G3608" s="3"/>
      <c r="H3608" s="24" t="n">
        <v>-0.242970556</v>
      </c>
    </row>
    <row r="3609" customFormat="false" ht="15" hidden="false" customHeight="false" outlineLevel="0" collapsed="false">
      <c r="A3609" s="3" t="n">
        <v>3608</v>
      </c>
      <c r="B3609" s="3" t="n">
        <v>3607</v>
      </c>
      <c r="C3609" s="3" t="s">
        <v>119</v>
      </c>
      <c r="D3609" s="3" t="n">
        <v>0</v>
      </c>
      <c r="E3609" s="3" t="n">
        <v>79</v>
      </c>
      <c r="F3609" s="3"/>
      <c r="G3609" s="3"/>
      <c r="H3609" s="24" t="n">
        <v>0.0676910654</v>
      </c>
    </row>
    <row r="3610" customFormat="false" ht="15" hidden="false" customHeight="false" outlineLevel="0" collapsed="false">
      <c r="A3610" s="3" t="n">
        <v>3609</v>
      </c>
      <c r="B3610" s="3" t="n">
        <v>3608</v>
      </c>
      <c r="C3610" s="3" t="s">
        <v>119</v>
      </c>
      <c r="D3610" s="3" t="n">
        <v>0</v>
      </c>
      <c r="E3610" s="3" t="n">
        <v>80</v>
      </c>
      <c r="F3610" s="3"/>
      <c r="G3610" s="3"/>
      <c r="H3610" s="24" t="n">
        <v>0.396744281</v>
      </c>
    </row>
    <row r="3611" customFormat="false" ht="15" hidden="false" customHeight="false" outlineLevel="0" collapsed="false">
      <c r="A3611" s="3" t="n">
        <v>3610</v>
      </c>
      <c r="B3611" s="3" t="n">
        <v>3609</v>
      </c>
      <c r="C3611" s="3" t="s">
        <v>119</v>
      </c>
      <c r="D3611" s="3" t="n">
        <v>0</v>
      </c>
      <c r="E3611" s="3" t="n">
        <v>81</v>
      </c>
      <c r="F3611" s="3"/>
      <c r="G3611" s="3"/>
      <c r="H3611" s="24" t="n">
        <v>-0.0938698053</v>
      </c>
    </row>
    <row r="3612" customFormat="false" ht="15" hidden="false" customHeight="false" outlineLevel="0" collapsed="false">
      <c r="A3612" s="3" t="n">
        <v>3611</v>
      </c>
      <c r="B3612" s="3" t="n">
        <v>3610</v>
      </c>
      <c r="C3612" s="3" t="s">
        <v>119</v>
      </c>
      <c r="D3612" s="3" t="n">
        <v>0</v>
      </c>
      <c r="E3612" s="3" t="n">
        <v>82</v>
      </c>
      <c r="F3612" s="3"/>
      <c r="G3612" s="3"/>
      <c r="H3612" s="24" t="n">
        <v>0.174932405</v>
      </c>
    </row>
    <row r="3613" customFormat="false" ht="15" hidden="false" customHeight="false" outlineLevel="0" collapsed="false">
      <c r="A3613" s="3" t="n">
        <v>3612</v>
      </c>
      <c r="B3613" s="3" t="n">
        <v>3611</v>
      </c>
      <c r="C3613" s="3" t="s">
        <v>119</v>
      </c>
      <c r="D3613" s="3" t="n">
        <v>0</v>
      </c>
      <c r="E3613" s="3" t="n">
        <v>83</v>
      </c>
      <c r="F3613" s="3"/>
      <c r="G3613" s="3"/>
      <c r="H3613" s="24" t="n">
        <v>-0.273175776</v>
      </c>
    </row>
    <row r="3614" customFormat="false" ht="15" hidden="false" customHeight="false" outlineLevel="0" collapsed="false">
      <c r="A3614" s="3" t="n">
        <v>3613</v>
      </c>
      <c r="B3614" s="3" t="n">
        <v>3612</v>
      </c>
      <c r="C3614" s="3" t="s">
        <v>119</v>
      </c>
      <c r="D3614" s="3" t="n">
        <v>0</v>
      </c>
      <c r="E3614" s="3" t="n">
        <v>84</v>
      </c>
      <c r="F3614" s="3"/>
      <c r="G3614" s="3"/>
      <c r="H3614" s="24" t="n">
        <v>0.123593405</v>
      </c>
    </row>
    <row r="3615" customFormat="false" ht="15" hidden="false" customHeight="false" outlineLevel="0" collapsed="false">
      <c r="A3615" s="3" t="n">
        <v>3614</v>
      </c>
      <c r="B3615" s="3" t="n">
        <v>3613</v>
      </c>
      <c r="C3615" s="3" t="s">
        <v>119</v>
      </c>
      <c r="D3615" s="3" t="n">
        <v>0</v>
      </c>
      <c r="E3615" s="3" t="n">
        <v>85</v>
      </c>
      <c r="F3615" s="3"/>
      <c r="G3615" s="3"/>
      <c r="H3615" s="24" t="n">
        <v>-0.00537853548</v>
      </c>
    </row>
    <row r="3616" customFormat="false" ht="15" hidden="false" customHeight="false" outlineLevel="0" collapsed="false">
      <c r="A3616" s="3" t="n">
        <v>3615</v>
      </c>
      <c r="B3616" s="3" t="n">
        <v>3614</v>
      </c>
      <c r="C3616" s="3" t="s">
        <v>119</v>
      </c>
      <c r="D3616" s="3" t="n">
        <v>0</v>
      </c>
      <c r="E3616" s="3" t="n">
        <v>86</v>
      </c>
      <c r="F3616" s="3"/>
      <c r="G3616" s="3"/>
      <c r="H3616" s="24" t="n">
        <v>0.115147524</v>
      </c>
    </row>
    <row r="3617" customFormat="false" ht="15" hidden="false" customHeight="false" outlineLevel="0" collapsed="false">
      <c r="A3617" s="3" t="n">
        <v>3616</v>
      </c>
      <c r="B3617" s="3" t="n">
        <v>3615</v>
      </c>
      <c r="C3617" s="3" t="s">
        <v>119</v>
      </c>
      <c r="D3617" s="3" t="n">
        <v>0</v>
      </c>
      <c r="E3617" s="3" t="n">
        <v>87</v>
      </c>
      <c r="F3617" s="3"/>
      <c r="G3617" s="3"/>
      <c r="H3617" s="24" t="n">
        <v>0.0332493186</v>
      </c>
    </row>
    <row r="3618" customFormat="false" ht="15" hidden="false" customHeight="false" outlineLevel="0" collapsed="false">
      <c r="A3618" s="3" t="n">
        <v>3617</v>
      </c>
      <c r="B3618" s="3" t="n">
        <v>3616</v>
      </c>
      <c r="C3618" s="3" t="s">
        <v>119</v>
      </c>
      <c r="D3618" s="3" t="n">
        <v>0</v>
      </c>
      <c r="E3618" s="3" t="n">
        <v>88</v>
      </c>
      <c r="F3618" s="3"/>
      <c r="G3618" s="3"/>
      <c r="H3618" s="24" t="n">
        <v>-0.30025214</v>
      </c>
    </row>
    <row r="3619" customFormat="false" ht="15" hidden="false" customHeight="false" outlineLevel="0" collapsed="false">
      <c r="A3619" s="3" t="n">
        <v>3618</v>
      </c>
      <c r="B3619" s="3" t="n">
        <v>3617</v>
      </c>
      <c r="C3619" s="3" t="s">
        <v>119</v>
      </c>
      <c r="D3619" s="3" t="n">
        <v>0</v>
      </c>
      <c r="E3619" s="3" t="n">
        <v>89</v>
      </c>
      <c r="F3619" s="3"/>
      <c r="G3619" s="3"/>
      <c r="H3619" s="24" t="n">
        <v>-0.102821074</v>
      </c>
    </row>
    <row r="3620" customFormat="false" ht="15" hidden="false" customHeight="false" outlineLevel="0" collapsed="false">
      <c r="A3620" s="3" t="n">
        <v>3619</v>
      </c>
      <c r="B3620" s="3" t="n">
        <v>3618</v>
      </c>
      <c r="C3620" s="3" t="s">
        <v>119</v>
      </c>
      <c r="D3620" s="3" t="n">
        <v>0</v>
      </c>
      <c r="E3620" s="3" t="n">
        <v>90</v>
      </c>
      <c r="F3620" s="3"/>
      <c r="G3620" s="3"/>
      <c r="H3620" s="24" t="n">
        <v>-0.0747404471</v>
      </c>
    </row>
    <row r="3621" customFormat="false" ht="15" hidden="false" customHeight="false" outlineLevel="0" collapsed="false">
      <c r="A3621" s="3" t="n">
        <v>3620</v>
      </c>
      <c r="B3621" s="3" t="n">
        <v>3619</v>
      </c>
      <c r="C3621" s="3" t="s">
        <v>119</v>
      </c>
      <c r="D3621" s="3" t="n">
        <v>0</v>
      </c>
      <c r="E3621" s="3" t="n">
        <v>91</v>
      </c>
      <c r="F3621" s="3"/>
      <c r="G3621" s="3"/>
      <c r="H3621" s="24" t="n">
        <v>0.091449514</v>
      </c>
    </row>
    <row r="3622" customFormat="false" ht="15" hidden="false" customHeight="false" outlineLevel="0" collapsed="false">
      <c r="A3622" s="3" t="n">
        <v>3621</v>
      </c>
      <c r="B3622" s="3" t="n">
        <v>3620</v>
      </c>
      <c r="C3622" s="3" t="s">
        <v>119</v>
      </c>
      <c r="D3622" s="3" t="n">
        <v>0</v>
      </c>
      <c r="E3622" s="3" t="n">
        <v>92</v>
      </c>
      <c r="F3622" s="3"/>
      <c r="G3622" s="3"/>
      <c r="H3622" s="24" t="n">
        <v>0.117620505</v>
      </c>
    </row>
    <row r="3623" customFormat="false" ht="15" hidden="false" customHeight="false" outlineLevel="0" collapsed="false">
      <c r="A3623" s="3" t="n">
        <v>3622</v>
      </c>
      <c r="B3623" s="3" t="n">
        <v>3621</v>
      </c>
      <c r="C3623" s="3" t="s">
        <v>119</v>
      </c>
      <c r="D3623" s="3" t="n">
        <v>0</v>
      </c>
      <c r="E3623" s="3" t="n">
        <v>93</v>
      </c>
      <c r="F3623" s="3"/>
      <c r="G3623" s="3"/>
      <c r="H3623" s="24" t="n">
        <v>-0.23087813</v>
      </c>
    </row>
    <row r="3624" customFormat="false" ht="15" hidden="false" customHeight="false" outlineLevel="0" collapsed="false">
      <c r="A3624" s="3" t="n">
        <v>3623</v>
      </c>
      <c r="B3624" s="3" t="n">
        <v>3622</v>
      </c>
      <c r="C3624" s="3" t="s">
        <v>119</v>
      </c>
      <c r="D3624" s="3" t="n">
        <v>0</v>
      </c>
      <c r="E3624" s="3" t="n">
        <v>94</v>
      </c>
      <c r="F3624" s="3"/>
      <c r="G3624" s="3"/>
      <c r="H3624" s="24" t="n">
        <v>-0.0657515004</v>
      </c>
    </row>
    <row r="3625" customFormat="false" ht="15" hidden="false" customHeight="false" outlineLevel="0" collapsed="false">
      <c r="A3625" s="3" t="n">
        <v>3624</v>
      </c>
      <c r="B3625" s="3" t="n">
        <v>3623</v>
      </c>
      <c r="C3625" s="3" t="s">
        <v>119</v>
      </c>
      <c r="D3625" s="3" t="n">
        <v>0</v>
      </c>
      <c r="E3625" s="3" t="n">
        <v>95</v>
      </c>
      <c r="F3625" s="3"/>
      <c r="G3625" s="3"/>
      <c r="H3625" s="24" t="n">
        <v>0.260512471</v>
      </c>
    </row>
    <row r="3626" customFormat="false" ht="15" hidden="false" customHeight="false" outlineLevel="0" collapsed="false">
      <c r="A3626" s="3" t="n">
        <v>3625</v>
      </c>
      <c r="B3626" s="3" t="n">
        <v>3624</v>
      </c>
      <c r="C3626" s="3" t="s">
        <v>119</v>
      </c>
      <c r="D3626" s="3" t="n">
        <v>0</v>
      </c>
      <c r="E3626" s="3" t="n">
        <v>96</v>
      </c>
      <c r="F3626" s="3"/>
      <c r="G3626" s="3"/>
      <c r="H3626" s="24" t="n">
        <v>-0.588335395</v>
      </c>
    </row>
    <row r="3627" customFormat="false" ht="15" hidden="false" customHeight="false" outlineLevel="0" collapsed="false">
      <c r="A3627" s="3" t="n">
        <v>3626</v>
      </c>
      <c r="B3627" s="3" t="n">
        <v>3625</v>
      </c>
      <c r="C3627" s="3" t="s">
        <v>119</v>
      </c>
      <c r="D3627" s="3" t="n">
        <v>0</v>
      </c>
      <c r="E3627" s="3" t="n">
        <v>97</v>
      </c>
      <c r="F3627" s="3"/>
      <c r="G3627" s="3"/>
      <c r="H3627" s="24" t="n">
        <v>0.224849612</v>
      </c>
    </row>
    <row r="3628" customFormat="false" ht="15" hidden="false" customHeight="false" outlineLevel="0" collapsed="false">
      <c r="A3628" s="3" t="n">
        <v>3627</v>
      </c>
      <c r="B3628" s="3" t="n">
        <v>3626</v>
      </c>
      <c r="C3628" s="3" t="s">
        <v>119</v>
      </c>
      <c r="D3628" s="3" t="n">
        <v>0</v>
      </c>
      <c r="E3628" s="3" t="n">
        <v>98</v>
      </c>
      <c r="F3628" s="3"/>
      <c r="G3628" s="3"/>
      <c r="H3628" s="24" t="n">
        <v>-0.0656592697</v>
      </c>
    </row>
    <row r="3629" customFormat="false" ht="15" hidden="false" customHeight="false" outlineLevel="0" collapsed="false">
      <c r="A3629" s="3" t="n">
        <v>3628</v>
      </c>
      <c r="B3629" s="3" t="n">
        <v>3627</v>
      </c>
      <c r="C3629" s="3" t="s">
        <v>119</v>
      </c>
      <c r="D3629" s="3" t="n">
        <v>0</v>
      </c>
      <c r="E3629" s="3" t="n">
        <v>99</v>
      </c>
      <c r="F3629" s="3"/>
      <c r="G3629" s="3"/>
      <c r="H3629" s="24" t="n">
        <v>-0.22228919</v>
      </c>
    </row>
    <row r="3630" customFormat="false" ht="15" hidden="false" customHeight="false" outlineLevel="0" collapsed="false">
      <c r="A3630" s="3" t="n">
        <v>3629</v>
      </c>
      <c r="B3630" s="3" t="n">
        <v>3628</v>
      </c>
      <c r="C3630" s="3" t="s">
        <v>119</v>
      </c>
      <c r="D3630" s="3" t="n">
        <v>0</v>
      </c>
      <c r="E3630" s="3" t="n">
        <v>100</v>
      </c>
      <c r="F3630" s="3"/>
      <c r="G3630" s="3"/>
      <c r="H3630" s="24" t="n">
        <v>0.0677116662</v>
      </c>
    </row>
    <row r="3631" customFormat="false" ht="15" hidden="false" customHeight="false" outlineLevel="0" collapsed="false">
      <c r="A3631" s="3" t="n">
        <v>3630</v>
      </c>
      <c r="B3631" s="3" t="n">
        <v>3629</v>
      </c>
      <c r="C3631" s="3" t="s">
        <v>119</v>
      </c>
      <c r="D3631" s="3" t="n">
        <v>0</v>
      </c>
      <c r="E3631" s="3" t="n">
        <v>101</v>
      </c>
      <c r="F3631" s="3"/>
      <c r="G3631" s="3"/>
      <c r="H3631" s="24" t="n">
        <v>0.0308424551</v>
      </c>
    </row>
    <row r="3632" customFormat="false" ht="15" hidden="false" customHeight="false" outlineLevel="0" collapsed="false">
      <c r="A3632" s="3" t="n">
        <v>3631</v>
      </c>
      <c r="B3632" s="3" t="n">
        <v>3630</v>
      </c>
      <c r="C3632" s="3" t="s">
        <v>119</v>
      </c>
      <c r="D3632" s="3" t="n">
        <v>0</v>
      </c>
      <c r="E3632" s="3" t="n">
        <v>102</v>
      </c>
      <c r="F3632" s="3"/>
      <c r="G3632" s="3"/>
      <c r="H3632" s="24" t="n">
        <v>0.0977218747</v>
      </c>
    </row>
    <row r="3633" customFormat="false" ht="15" hidden="false" customHeight="false" outlineLevel="0" collapsed="false">
      <c r="A3633" s="3" t="n">
        <v>3632</v>
      </c>
      <c r="B3633" s="3" t="n">
        <v>3631</v>
      </c>
      <c r="C3633" s="3" t="s">
        <v>119</v>
      </c>
      <c r="D3633" s="3" t="n">
        <v>0</v>
      </c>
      <c r="E3633" s="3" t="n">
        <v>103</v>
      </c>
      <c r="F3633" s="3"/>
      <c r="G3633" s="3"/>
      <c r="H3633" s="24" t="n">
        <v>-0.142346427</v>
      </c>
    </row>
    <row r="3634" customFormat="false" ht="15" hidden="false" customHeight="false" outlineLevel="0" collapsed="false">
      <c r="A3634" s="3" t="n">
        <v>3633</v>
      </c>
      <c r="B3634" s="3" t="n">
        <v>3632</v>
      </c>
      <c r="C3634" s="3" t="s">
        <v>119</v>
      </c>
      <c r="D3634" s="3" t="n">
        <v>0</v>
      </c>
      <c r="E3634" s="3" t="n">
        <v>104</v>
      </c>
      <c r="F3634" s="3"/>
      <c r="G3634" s="3"/>
      <c r="H3634" s="24" t="n">
        <v>0.124675095</v>
      </c>
    </row>
    <row r="3635" customFormat="false" ht="15" hidden="false" customHeight="false" outlineLevel="0" collapsed="false">
      <c r="A3635" s="3" t="n">
        <v>3634</v>
      </c>
      <c r="B3635" s="3" t="n">
        <v>3633</v>
      </c>
      <c r="C3635" s="3" t="s">
        <v>119</v>
      </c>
      <c r="D3635" s="3" t="n">
        <v>0</v>
      </c>
      <c r="E3635" s="3" t="n">
        <v>105</v>
      </c>
      <c r="F3635" s="3"/>
      <c r="G3635" s="3"/>
      <c r="H3635" s="24" t="n">
        <v>0.0535149798</v>
      </c>
    </row>
    <row r="3636" customFormat="false" ht="15" hidden="false" customHeight="false" outlineLevel="0" collapsed="false">
      <c r="A3636" s="3" t="n">
        <v>3635</v>
      </c>
      <c r="B3636" s="3" t="n">
        <v>3634</v>
      </c>
      <c r="C3636" s="3" t="s">
        <v>119</v>
      </c>
      <c r="D3636" s="3" t="n">
        <v>0</v>
      </c>
      <c r="E3636" s="3" t="n">
        <v>106</v>
      </c>
      <c r="F3636" s="3"/>
      <c r="G3636" s="3"/>
      <c r="H3636" s="24" t="n">
        <v>0.113395795</v>
      </c>
    </row>
    <row r="3637" customFormat="false" ht="15" hidden="false" customHeight="false" outlineLevel="0" collapsed="false">
      <c r="A3637" s="3" t="n">
        <v>3636</v>
      </c>
      <c r="B3637" s="3" t="n">
        <v>3635</v>
      </c>
      <c r="C3637" s="3" t="s">
        <v>119</v>
      </c>
      <c r="D3637" s="3" t="n">
        <v>0</v>
      </c>
      <c r="E3637" s="3" t="n">
        <v>107</v>
      </c>
      <c r="F3637" s="3"/>
      <c r="G3637" s="3"/>
      <c r="H3637" s="24" t="n">
        <v>-0.263643712</v>
      </c>
    </row>
    <row r="3638" customFormat="false" ht="15" hidden="false" customHeight="false" outlineLevel="0" collapsed="false">
      <c r="A3638" s="3" t="n">
        <v>3637</v>
      </c>
      <c r="B3638" s="3" t="n">
        <v>3636</v>
      </c>
      <c r="C3638" s="3" t="s">
        <v>119</v>
      </c>
      <c r="D3638" s="3" t="n">
        <v>0</v>
      </c>
      <c r="E3638" s="3" t="n">
        <v>108</v>
      </c>
      <c r="F3638" s="3"/>
      <c r="G3638" s="3"/>
      <c r="H3638" s="24" t="n">
        <v>0.0985959545</v>
      </c>
    </row>
    <row r="3639" customFormat="false" ht="15" hidden="false" customHeight="false" outlineLevel="0" collapsed="false">
      <c r="A3639" s="3" t="n">
        <v>3638</v>
      </c>
      <c r="B3639" s="3" t="n">
        <v>3637</v>
      </c>
      <c r="C3639" s="3" t="s">
        <v>119</v>
      </c>
      <c r="D3639" s="3" t="n">
        <v>0</v>
      </c>
      <c r="E3639" s="3" t="n">
        <v>109</v>
      </c>
      <c r="F3639" s="3"/>
      <c r="G3639" s="3"/>
      <c r="H3639" s="24" t="n">
        <v>0.00194216217</v>
      </c>
    </row>
    <row r="3640" customFormat="false" ht="15" hidden="false" customHeight="false" outlineLevel="0" collapsed="false">
      <c r="A3640" s="3" t="n">
        <v>3639</v>
      </c>
      <c r="B3640" s="3" t="n">
        <v>3638</v>
      </c>
      <c r="C3640" s="3" t="s">
        <v>119</v>
      </c>
      <c r="D3640" s="3" t="n">
        <v>0</v>
      </c>
      <c r="E3640" s="3" t="n">
        <v>110</v>
      </c>
      <c r="F3640" s="3"/>
      <c r="G3640" s="3"/>
      <c r="H3640" s="24" t="n">
        <v>-0.143684879</v>
      </c>
    </row>
    <row r="3641" customFormat="false" ht="15" hidden="false" customHeight="false" outlineLevel="0" collapsed="false">
      <c r="A3641" s="3" t="n">
        <v>3640</v>
      </c>
      <c r="B3641" s="3" t="n">
        <v>3639</v>
      </c>
      <c r="C3641" s="3" t="s">
        <v>119</v>
      </c>
      <c r="D3641" s="3" t="n">
        <v>0</v>
      </c>
      <c r="E3641" s="3" t="n">
        <v>111</v>
      </c>
      <c r="F3641" s="3"/>
      <c r="G3641" s="3"/>
      <c r="H3641" s="24" t="n">
        <v>-0.0203692187</v>
      </c>
    </row>
    <row r="3642" customFormat="false" ht="15" hidden="false" customHeight="false" outlineLevel="0" collapsed="false">
      <c r="A3642" s="3" t="n">
        <v>3641</v>
      </c>
      <c r="B3642" s="3" t="n">
        <v>3640</v>
      </c>
      <c r="C3642" s="3" t="s">
        <v>119</v>
      </c>
      <c r="D3642" s="3" t="n">
        <v>0</v>
      </c>
      <c r="E3642" s="3" t="n">
        <v>112</v>
      </c>
      <c r="F3642" s="3"/>
      <c r="G3642" s="3"/>
      <c r="H3642" s="24" t="n">
        <v>-0.0156585667</v>
      </c>
    </row>
    <row r="3643" customFormat="false" ht="15" hidden="false" customHeight="false" outlineLevel="0" collapsed="false">
      <c r="A3643" s="3" t="n">
        <v>3642</v>
      </c>
      <c r="B3643" s="3" t="n">
        <v>3641</v>
      </c>
      <c r="C3643" s="3" t="s">
        <v>119</v>
      </c>
      <c r="D3643" s="3" t="n">
        <v>0</v>
      </c>
      <c r="E3643" s="3" t="n">
        <v>113</v>
      </c>
      <c r="F3643" s="3"/>
      <c r="G3643" s="3"/>
      <c r="H3643" s="24" t="n">
        <v>-0.294159383</v>
      </c>
    </row>
    <row r="3644" customFormat="false" ht="15" hidden="false" customHeight="false" outlineLevel="0" collapsed="false">
      <c r="A3644" s="3" t="n">
        <v>3643</v>
      </c>
      <c r="B3644" s="3" t="n">
        <v>3642</v>
      </c>
      <c r="C3644" s="3" t="s">
        <v>119</v>
      </c>
      <c r="D3644" s="3" t="n">
        <v>0</v>
      </c>
      <c r="E3644" s="3" t="n">
        <v>114</v>
      </c>
      <c r="F3644" s="3"/>
      <c r="G3644" s="3"/>
      <c r="H3644" s="24" t="n">
        <v>0.116309889</v>
      </c>
    </row>
    <row r="3645" customFormat="false" ht="15" hidden="false" customHeight="false" outlineLevel="0" collapsed="false">
      <c r="A3645" s="3" t="n">
        <v>3644</v>
      </c>
      <c r="B3645" s="3" t="n">
        <v>3643</v>
      </c>
      <c r="C3645" s="3" t="s">
        <v>119</v>
      </c>
      <c r="D3645" s="3" t="n">
        <v>0</v>
      </c>
      <c r="E3645" s="3" t="n">
        <v>115</v>
      </c>
      <c r="F3645" s="3"/>
      <c r="G3645" s="3"/>
      <c r="H3645" s="24" t="n">
        <v>0.163142309</v>
      </c>
    </row>
    <row r="3646" customFormat="false" ht="15" hidden="false" customHeight="false" outlineLevel="0" collapsed="false">
      <c r="A3646" s="3" t="n">
        <v>3645</v>
      </c>
      <c r="B3646" s="3" t="n">
        <v>3644</v>
      </c>
      <c r="C3646" s="3" t="s">
        <v>119</v>
      </c>
      <c r="D3646" s="3" t="n">
        <v>0</v>
      </c>
      <c r="E3646" s="3" t="n">
        <v>116</v>
      </c>
      <c r="F3646" s="3"/>
      <c r="G3646" s="3"/>
      <c r="H3646" s="24" t="n">
        <v>0.199937463</v>
      </c>
    </row>
    <row r="3647" customFormat="false" ht="15" hidden="false" customHeight="false" outlineLevel="0" collapsed="false">
      <c r="A3647" s="3" t="n">
        <v>3646</v>
      </c>
      <c r="B3647" s="3" t="n">
        <v>3645</v>
      </c>
      <c r="C3647" s="3" t="s">
        <v>119</v>
      </c>
      <c r="D3647" s="3" t="n">
        <v>0</v>
      </c>
      <c r="E3647" s="3" t="n">
        <v>117</v>
      </c>
      <c r="F3647" s="3"/>
      <c r="G3647" s="3"/>
      <c r="H3647" s="24" t="n">
        <v>-0.141494781</v>
      </c>
    </row>
    <row r="3648" customFormat="false" ht="15" hidden="false" customHeight="false" outlineLevel="0" collapsed="false">
      <c r="A3648" s="3" t="n">
        <v>3647</v>
      </c>
      <c r="B3648" s="3" t="n">
        <v>3646</v>
      </c>
      <c r="C3648" s="3" t="s">
        <v>119</v>
      </c>
      <c r="D3648" s="3" t="n">
        <v>0</v>
      </c>
      <c r="E3648" s="3" t="n">
        <v>118</v>
      </c>
      <c r="F3648" s="3"/>
      <c r="G3648" s="3"/>
      <c r="H3648" s="24" t="n">
        <v>-0.0667542145</v>
      </c>
    </row>
    <row r="3649" customFormat="false" ht="15" hidden="false" customHeight="false" outlineLevel="0" collapsed="false">
      <c r="A3649" s="3" t="n">
        <v>3648</v>
      </c>
      <c r="B3649" s="3" t="n">
        <v>3647</v>
      </c>
      <c r="C3649" s="3" t="s">
        <v>119</v>
      </c>
      <c r="D3649" s="3" t="n">
        <v>0</v>
      </c>
      <c r="E3649" s="3" t="n">
        <v>119</v>
      </c>
      <c r="F3649" s="3"/>
      <c r="G3649" s="3"/>
      <c r="H3649" s="24" t="n">
        <v>0.285175622</v>
      </c>
    </row>
    <row r="3650" customFormat="false" ht="15" hidden="false" customHeight="false" outlineLevel="0" collapsed="false">
      <c r="A3650" s="3" t="n">
        <v>3649</v>
      </c>
      <c r="B3650" s="3" t="n">
        <v>3648</v>
      </c>
      <c r="C3650" s="3" t="s">
        <v>119</v>
      </c>
      <c r="D3650" s="3" t="n">
        <v>0</v>
      </c>
      <c r="E3650" s="3" t="n">
        <v>120</v>
      </c>
      <c r="F3650" s="3"/>
      <c r="G3650" s="3"/>
      <c r="H3650" s="24" t="n">
        <v>0.0613052249</v>
      </c>
    </row>
    <row r="3651" customFormat="false" ht="15" hidden="false" customHeight="false" outlineLevel="0" collapsed="false">
      <c r="A3651" s="3" t="n">
        <v>3650</v>
      </c>
      <c r="B3651" s="3" t="n">
        <v>3649</v>
      </c>
      <c r="C3651" s="3" t="s">
        <v>119</v>
      </c>
      <c r="D3651" s="3" t="n">
        <v>0</v>
      </c>
      <c r="E3651" s="3" t="n">
        <v>121</v>
      </c>
      <c r="F3651" s="3"/>
      <c r="G3651" s="3"/>
      <c r="H3651" s="24" t="n">
        <v>-0.421995938</v>
      </c>
    </row>
    <row r="3652" customFormat="false" ht="15" hidden="false" customHeight="false" outlineLevel="0" collapsed="false">
      <c r="A3652" s="3" t="n">
        <v>3651</v>
      </c>
      <c r="B3652" s="3" t="n">
        <v>3650</v>
      </c>
      <c r="C3652" s="3" t="s">
        <v>119</v>
      </c>
      <c r="D3652" s="3" t="n">
        <v>0</v>
      </c>
      <c r="E3652" s="3" t="n">
        <v>122</v>
      </c>
      <c r="F3652" s="3"/>
      <c r="G3652" s="3"/>
      <c r="H3652" s="24" t="n">
        <v>0.0646320507</v>
      </c>
    </row>
    <row r="3653" customFormat="false" ht="15" hidden="false" customHeight="false" outlineLevel="0" collapsed="false">
      <c r="A3653" s="3" t="n">
        <v>3652</v>
      </c>
      <c r="B3653" s="3" t="n">
        <v>3651</v>
      </c>
      <c r="C3653" s="3" t="s">
        <v>119</v>
      </c>
      <c r="D3653" s="3" t="n">
        <v>0</v>
      </c>
      <c r="E3653" s="3" t="n">
        <v>123</v>
      </c>
      <c r="F3653" s="3"/>
      <c r="G3653" s="3"/>
      <c r="H3653" s="24" t="n">
        <v>0.0725848824</v>
      </c>
    </row>
    <row r="3654" customFormat="false" ht="15" hidden="false" customHeight="false" outlineLevel="0" collapsed="false">
      <c r="A3654" s="3" t="n">
        <v>3653</v>
      </c>
      <c r="B3654" s="3" t="n">
        <v>3652</v>
      </c>
      <c r="C3654" s="3" t="s">
        <v>119</v>
      </c>
      <c r="D3654" s="3" t="n">
        <v>0</v>
      </c>
      <c r="E3654" s="3" t="n">
        <v>124</v>
      </c>
      <c r="F3654" s="3"/>
      <c r="G3654" s="3"/>
      <c r="H3654" s="24" t="n">
        <v>0.0835259035</v>
      </c>
    </row>
    <row r="3655" customFormat="false" ht="15" hidden="false" customHeight="false" outlineLevel="0" collapsed="false">
      <c r="A3655" s="3" t="n">
        <v>3654</v>
      </c>
      <c r="B3655" s="3" t="n">
        <v>3653</v>
      </c>
      <c r="C3655" s="3" t="s">
        <v>119</v>
      </c>
      <c r="D3655" s="3" t="n">
        <v>0</v>
      </c>
      <c r="E3655" s="3" t="n">
        <v>125</v>
      </c>
      <c r="F3655" s="3"/>
      <c r="G3655" s="3"/>
      <c r="H3655" s="24" t="n">
        <v>-0.719403267</v>
      </c>
    </row>
    <row r="3656" customFormat="false" ht="15" hidden="false" customHeight="false" outlineLevel="0" collapsed="false">
      <c r="A3656" s="3" t="n">
        <v>3655</v>
      </c>
      <c r="B3656" s="3" t="n">
        <v>3654</v>
      </c>
      <c r="C3656" s="3" t="s">
        <v>119</v>
      </c>
      <c r="D3656" s="3" t="n">
        <v>0</v>
      </c>
      <c r="E3656" s="3" t="n">
        <v>126</v>
      </c>
      <c r="F3656" s="3"/>
      <c r="G3656" s="3"/>
      <c r="H3656" s="24" t="n">
        <v>-0.0580199845</v>
      </c>
    </row>
    <row r="3657" customFormat="false" ht="15" hidden="false" customHeight="false" outlineLevel="0" collapsed="false">
      <c r="A3657" s="3" t="n">
        <v>3656</v>
      </c>
      <c r="B3657" s="3" t="n">
        <v>3655</v>
      </c>
      <c r="C3657" s="3" t="s">
        <v>119</v>
      </c>
      <c r="D3657" s="3" t="n">
        <v>0</v>
      </c>
      <c r="E3657" s="3" t="n">
        <v>127</v>
      </c>
      <c r="F3657" s="3"/>
      <c r="G3657" s="3"/>
      <c r="H3657" s="24" t="n">
        <v>-0.188935533</v>
      </c>
    </row>
    <row r="3658" customFormat="false" ht="15" hidden="false" customHeight="false" outlineLevel="0" collapsed="false">
      <c r="A3658" s="3" t="n">
        <v>3657</v>
      </c>
      <c r="B3658" s="3" t="n">
        <v>3656</v>
      </c>
      <c r="C3658" s="3" t="s">
        <v>119</v>
      </c>
      <c r="D3658" s="3" t="n">
        <v>0</v>
      </c>
      <c r="E3658" s="3" t="n">
        <v>128</v>
      </c>
      <c r="F3658" s="3"/>
      <c r="G3658" s="3"/>
      <c r="H3658" s="24" t="n">
        <v>-0.1727947</v>
      </c>
    </row>
    <row r="3659" customFormat="false" ht="15" hidden="false" customHeight="false" outlineLevel="0" collapsed="false">
      <c r="A3659" s="3" t="n">
        <v>3658</v>
      </c>
      <c r="B3659" s="3" t="n">
        <v>3657</v>
      </c>
      <c r="C3659" s="3" t="s">
        <v>119</v>
      </c>
      <c r="D3659" s="3" t="n">
        <v>0</v>
      </c>
      <c r="E3659" s="3" t="n">
        <v>129</v>
      </c>
      <c r="F3659" s="3"/>
      <c r="G3659" s="3"/>
      <c r="H3659" s="24" t="n">
        <v>0.176488712</v>
      </c>
    </row>
    <row r="3660" customFormat="false" ht="15" hidden="false" customHeight="false" outlineLevel="0" collapsed="false">
      <c r="A3660" s="3" t="n">
        <v>3659</v>
      </c>
      <c r="B3660" s="3" t="n">
        <v>3658</v>
      </c>
      <c r="C3660" s="3" t="s">
        <v>119</v>
      </c>
      <c r="D3660" s="3" t="n">
        <v>0</v>
      </c>
      <c r="E3660" s="3" t="n">
        <v>130</v>
      </c>
      <c r="F3660" s="3"/>
      <c r="G3660" s="3"/>
      <c r="H3660" s="24" t="n">
        <v>-0.217357859</v>
      </c>
    </row>
    <row r="3661" customFormat="false" ht="15" hidden="false" customHeight="false" outlineLevel="0" collapsed="false">
      <c r="A3661" s="3" t="n">
        <v>3660</v>
      </c>
      <c r="B3661" s="3" t="n">
        <v>3659</v>
      </c>
      <c r="C3661" s="3" t="s">
        <v>119</v>
      </c>
      <c r="D3661" s="3" t="n">
        <v>0</v>
      </c>
      <c r="E3661" s="3" t="n">
        <v>131</v>
      </c>
      <c r="F3661" s="3"/>
      <c r="G3661" s="3"/>
      <c r="H3661" s="24" t="n">
        <v>-0.15487282</v>
      </c>
    </row>
    <row r="3662" customFormat="false" ht="15" hidden="false" customHeight="false" outlineLevel="0" collapsed="false">
      <c r="A3662" s="3" t="n">
        <v>3661</v>
      </c>
      <c r="B3662" s="3" t="n">
        <v>3660</v>
      </c>
      <c r="C3662" s="3" t="s">
        <v>119</v>
      </c>
      <c r="D3662" s="3" t="n">
        <v>0</v>
      </c>
      <c r="E3662" s="3" t="n">
        <v>132</v>
      </c>
      <c r="F3662" s="3"/>
      <c r="G3662" s="3"/>
      <c r="H3662" s="24" t="n">
        <v>0.35298261</v>
      </c>
    </row>
    <row r="3663" customFormat="false" ht="15" hidden="false" customHeight="false" outlineLevel="0" collapsed="false">
      <c r="A3663" s="3" t="n">
        <v>3662</v>
      </c>
      <c r="B3663" s="3" t="n">
        <v>3661</v>
      </c>
      <c r="C3663" s="3" t="s">
        <v>119</v>
      </c>
      <c r="D3663" s="3" t="n">
        <v>0</v>
      </c>
      <c r="E3663" s="3" t="n">
        <v>133</v>
      </c>
      <c r="F3663" s="3"/>
      <c r="G3663" s="3"/>
      <c r="H3663" s="24" t="n">
        <v>0.0647234544</v>
      </c>
    </row>
    <row r="3664" customFormat="false" ht="15" hidden="false" customHeight="false" outlineLevel="0" collapsed="false">
      <c r="A3664" s="3" t="n">
        <v>3663</v>
      </c>
      <c r="B3664" s="3" t="n">
        <v>3662</v>
      </c>
      <c r="C3664" s="3" t="s">
        <v>119</v>
      </c>
      <c r="D3664" s="3" t="n">
        <v>0</v>
      </c>
      <c r="E3664" s="3" t="n">
        <v>134</v>
      </c>
      <c r="F3664" s="3"/>
      <c r="G3664" s="3"/>
      <c r="H3664" s="24" t="n">
        <v>0.098505266</v>
      </c>
    </row>
    <row r="3665" customFormat="false" ht="15" hidden="false" customHeight="false" outlineLevel="0" collapsed="false">
      <c r="A3665" s="3" t="n">
        <v>3664</v>
      </c>
      <c r="B3665" s="3" t="n">
        <v>3663</v>
      </c>
      <c r="C3665" s="3" t="s">
        <v>119</v>
      </c>
      <c r="D3665" s="3" t="n">
        <v>0</v>
      </c>
      <c r="E3665" s="3" t="n">
        <v>135</v>
      </c>
      <c r="F3665" s="3"/>
      <c r="G3665" s="3"/>
      <c r="H3665" s="24" t="n">
        <v>-0.0747644827</v>
      </c>
    </row>
    <row r="3666" customFormat="false" ht="15" hidden="false" customHeight="false" outlineLevel="0" collapsed="false">
      <c r="A3666" s="3" t="n">
        <v>3665</v>
      </c>
      <c r="B3666" s="3" t="n">
        <v>3664</v>
      </c>
      <c r="C3666" s="3" t="s">
        <v>119</v>
      </c>
      <c r="D3666" s="3" t="n">
        <v>0</v>
      </c>
      <c r="E3666" s="3" t="n">
        <v>136</v>
      </c>
      <c r="F3666" s="3"/>
      <c r="G3666" s="3"/>
      <c r="H3666" s="24" t="n">
        <v>0.0222447682</v>
      </c>
    </row>
    <row r="3667" customFormat="false" ht="15" hidden="false" customHeight="false" outlineLevel="0" collapsed="false">
      <c r="A3667" s="3" t="n">
        <v>3666</v>
      </c>
      <c r="B3667" s="3" t="n">
        <v>3665</v>
      </c>
      <c r="C3667" s="3" t="s">
        <v>119</v>
      </c>
      <c r="D3667" s="3" t="n">
        <v>0</v>
      </c>
      <c r="E3667" s="3" t="n">
        <v>137</v>
      </c>
      <c r="F3667" s="3"/>
      <c r="G3667" s="3"/>
      <c r="H3667" s="24" t="n">
        <v>0.151437566</v>
      </c>
    </row>
    <row r="3668" customFormat="false" ht="15" hidden="false" customHeight="false" outlineLevel="0" collapsed="false">
      <c r="A3668" s="3" t="n">
        <v>3667</v>
      </c>
      <c r="B3668" s="3" t="n">
        <v>3666</v>
      </c>
      <c r="C3668" s="3" t="s">
        <v>119</v>
      </c>
      <c r="D3668" s="3" t="n">
        <v>0</v>
      </c>
      <c r="E3668" s="3" t="n">
        <v>138</v>
      </c>
      <c r="F3668" s="3"/>
      <c r="G3668" s="3"/>
      <c r="H3668" s="24" t="n">
        <v>0.123640656</v>
      </c>
    </row>
    <row r="3669" customFormat="false" ht="15" hidden="false" customHeight="false" outlineLevel="0" collapsed="false">
      <c r="A3669" s="3" t="n">
        <v>3668</v>
      </c>
      <c r="B3669" s="3" t="n">
        <v>3667</v>
      </c>
      <c r="C3669" s="3" t="s">
        <v>119</v>
      </c>
      <c r="D3669" s="3" t="n">
        <v>0</v>
      </c>
      <c r="E3669" s="3" t="n">
        <v>139</v>
      </c>
      <c r="F3669" s="3"/>
      <c r="G3669" s="3"/>
      <c r="H3669" s="24" t="n">
        <v>-0.257349133</v>
      </c>
    </row>
    <row r="3670" customFormat="false" ht="15" hidden="false" customHeight="false" outlineLevel="0" collapsed="false">
      <c r="A3670" s="3" t="n">
        <v>3669</v>
      </c>
      <c r="B3670" s="3" t="n">
        <v>3668</v>
      </c>
      <c r="C3670" s="3" t="s">
        <v>119</v>
      </c>
      <c r="D3670" s="3" t="n">
        <v>0</v>
      </c>
      <c r="E3670" s="3" t="n">
        <v>140</v>
      </c>
      <c r="F3670" s="3"/>
      <c r="G3670" s="3"/>
      <c r="H3670" s="24" t="n">
        <v>-0.137068421</v>
      </c>
    </row>
    <row r="3671" customFormat="false" ht="15" hidden="false" customHeight="false" outlineLevel="0" collapsed="false">
      <c r="A3671" s="3" t="n">
        <v>3670</v>
      </c>
      <c r="B3671" s="3" t="n">
        <v>3669</v>
      </c>
      <c r="C3671" s="3" t="s">
        <v>119</v>
      </c>
      <c r="D3671" s="3" t="n">
        <v>0</v>
      </c>
      <c r="E3671" s="3" t="n">
        <v>141</v>
      </c>
      <c r="F3671" s="3"/>
      <c r="G3671" s="3"/>
      <c r="H3671" s="24" t="n">
        <v>-0.0875619948</v>
      </c>
    </row>
    <row r="3672" customFormat="false" ht="15" hidden="false" customHeight="false" outlineLevel="0" collapsed="false">
      <c r="A3672" s="3" t="n">
        <v>3671</v>
      </c>
      <c r="B3672" s="3" t="n">
        <v>3670</v>
      </c>
      <c r="C3672" s="3" t="s">
        <v>119</v>
      </c>
      <c r="D3672" s="3" t="n">
        <v>0</v>
      </c>
      <c r="E3672" s="3" t="n">
        <v>142</v>
      </c>
      <c r="F3672" s="3"/>
      <c r="G3672" s="3"/>
      <c r="H3672" s="24" t="n">
        <v>0.0555644408</v>
      </c>
    </row>
    <row r="3673" customFormat="false" ht="15" hidden="false" customHeight="false" outlineLevel="0" collapsed="false">
      <c r="A3673" s="3" t="n">
        <v>3672</v>
      </c>
      <c r="B3673" s="3" t="n">
        <v>3671</v>
      </c>
      <c r="C3673" s="3" t="s">
        <v>119</v>
      </c>
      <c r="D3673" s="3" t="n">
        <v>0</v>
      </c>
      <c r="E3673" s="3" t="n">
        <v>143</v>
      </c>
      <c r="F3673" s="3"/>
      <c r="G3673" s="3"/>
      <c r="H3673" s="24" t="n">
        <v>-0.000878755294</v>
      </c>
    </row>
    <row r="3674" customFormat="false" ht="15" hidden="false" customHeight="false" outlineLevel="0" collapsed="false">
      <c r="A3674" s="3" t="n">
        <v>3673</v>
      </c>
      <c r="B3674" s="3" t="n">
        <v>3672</v>
      </c>
      <c r="C3674" s="3" t="s">
        <v>119</v>
      </c>
      <c r="D3674" s="3" t="n">
        <v>1</v>
      </c>
      <c r="E3674" s="3" t="n">
        <v>0</v>
      </c>
      <c r="F3674" s="3"/>
      <c r="G3674" s="3"/>
      <c r="H3674" s="24" t="n">
        <v>-0.316874415</v>
      </c>
    </row>
    <row r="3675" customFormat="false" ht="15" hidden="false" customHeight="false" outlineLevel="0" collapsed="false">
      <c r="A3675" s="3" t="n">
        <v>3674</v>
      </c>
      <c r="B3675" s="3" t="n">
        <v>3673</v>
      </c>
      <c r="C3675" s="3" t="s">
        <v>119</v>
      </c>
      <c r="D3675" s="3" t="n">
        <v>1</v>
      </c>
      <c r="E3675" s="3" t="n">
        <v>1</v>
      </c>
      <c r="F3675" s="3"/>
      <c r="G3675" s="3"/>
      <c r="H3675" s="24" t="n">
        <v>0.35837248</v>
      </c>
    </row>
    <row r="3676" customFormat="false" ht="15" hidden="false" customHeight="false" outlineLevel="0" collapsed="false">
      <c r="A3676" s="3" t="n">
        <v>3675</v>
      </c>
      <c r="B3676" s="3" t="n">
        <v>3674</v>
      </c>
      <c r="C3676" s="3" t="s">
        <v>119</v>
      </c>
      <c r="D3676" s="3" t="n">
        <v>1</v>
      </c>
      <c r="E3676" s="3" t="n">
        <v>2</v>
      </c>
      <c r="F3676" s="3"/>
      <c r="G3676" s="3"/>
      <c r="H3676" s="24" t="n">
        <v>0.00379558327</v>
      </c>
    </row>
    <row r="3677" customFormat="false" ht="15" hidden="false" customHeight="false" outlineLevel="0" collapsed="false">
      <c r="A3677" s="3" t="n">
        <v>3676</v>
      </c>
      <c r="B3677" s="3" t="n">
        <v>3675</v>
      </c>
      <c r="C3677" s="3" t="s">
        <v>119</v>
      </c>
      <c r="D3677" s="3" t="n">
        <v>1</v>
      </c>
      <c r="E3677" s="3" t="n">
        <v>3</v>
      </c>
      <c r="F3677" s="3"/>
      <c r="G3677" s="3"/>
      <c r="H3677" s="24" t="n">
        <v>-0.161376745</v>
      </c>
    </row>
    <row r="3678" customFormat="false" ht="15" hidden="false" customHeight="false" outlineLevel="0" collapsed="false">
      <c r="A3678" s="3" t="n">
        <v>3677</v>
      </c>
      <c r="B3678" s="3" t="n">
        <v>3676</v>
      </c>
      <c r="C3678" s="3" t="s">
        <v>119</v>
      </c>
      <c r="D3678" s="3" t="n">
        <v>1</v>
      </c>
      <c r="E3678" s="3" t="n">
        <v>4</v>
      </c>
      <c r="F3678" s="3"/>
      <c r="G3678" s="3"/>
      <c r="H3678" s="24" t="n">
        <v>0.261459798</v>
      </c>
    </row>
    <row r="3679" customFormat="false" ht="15" hidden="false" customHeight="false" outlineLevel="0" collapsed="false">
      <c r="A3679" s="3" t="n">
        <v>3678</v>
      </c>
      <c r="B3679" s="3" t="n">
        <v>3677</v>
      </c>
      <c r="C3679" s="3" t="s">
        <v>119</v>
      </c>
      <c r="D3679" s="3" t="n">
        <v>1</v>
      </c>
      <c r="E3679" s="3" t="n">
        <v>5</v>
      </c>
      <c r="F3679" s="3"/>
      <c r="G3679" s="3"/>
      <c r="H3679" s="24" t="n">
        <v>-0.0234132838</v>
      </c>
    </row>
    <row r="3680" customFormat="false" ht="15" hidden="false" customHeight="false" outlineLevel="0" collapsed="false">
      <c r="A3680" s="3" t="n">
        <v>3679</v>
      </c>
      <c r="B3680" s="3" t="n">
        <v>3678</v>
      </c>
      <c r="C3680" s="3" t="s">
        <v>119</v>
      </c>
      <c r="D3680" s="3" t="n">
        <v>1</v>
      </c>
      <c r="E3680" s="3" t="n">
        <v>6</v>
      </c>
      <c r="F3680" s="3"/>
      <c r="G3680" s="3"/>
      <c r="H3680" s="24" t="n">
        <v>-0.123444773</v>
      </c>
    </row>
    <row r="3681" customFormat="false" ht="15" hidden="false" customHeight="false" outlineLevel="0" collapsed="false">
      <c r="A3681" s="3" t="n">
        <v>3680</v>
      </c>
      <c r="B3681" s="3" t="n">
        <v>3679</v>
      </c>
      <c r="C3681" s="3" t="s">
        <v>119</v>
      </c>
      <c r="D3681" s="3" t="n">
        <v>1</v>
      </c>
      <c r="E3681" s="3" t="n">
        <v>7</v>
      </c>
      <c r="F3681" s="3"/>
      <c r="G3681" s="3"/>
      <c r="H3681" s="24" t="n">
        <v>0.164200336</v>
      </c>
    </row>
    <row r="3682" customFormat="false" ht="15" hidden="false" customHeight="false" outlineLevel="0" collapsed="false">
      <c r="A3682" s="3" t="n">
        <v>3681</v>
      </c>
      <c r="B3682" s="3" t="n">
        <v>3680</v>
      </c>
      <c r="C3682" s="3" t="s">
        <v>119</v>
      </c>
      <c r="D3682" s="3" t="n">
        <v>1</v>
      </c>
      <c r="E3682" s="3" t="n">
        <v>8</v>
      </c>
      <c r="F3682" s="3"/>
      <c r="G3682" s="3"/>
      <c r="H3682" s="24" t="n">
        <v>-0.292468756</v>
      </c>
    </row>
    <row r="3683" customFormat="false" ht="15" hidden="false" customHeight="false" outlineLevel="0" collapsed="false">
      <c r="A3683" s="3" t="n">
        <v>3682</v>
      </c>
      <c r="B3683" s="3" t="n">
        <v>3681</v>
      </c>
      <c r="C3683" s="3" t="s">
        <v>119</v>
      </c>
      <c r="D3683" s="3" t="n">
        <v>1</v>
      </c>
      <c r="E3683" s="3" t="n">
        <v>9</v>
      </c>
      <c r="F3683" s="3"/>
      <c r="G3683" s="3"/>
      <c r="H3683" s="24" t="n">
        <v>0.0275419094</v>
      </c>
    </row>
    <row r="3684" customFormat="false" ht="15" hidden="false" customHeight="false" outlineLevel="0" collapsed="false">
      <c r="A3684" s="3" t="n">
        <v>3683</v>
      </c>
      <c r="B3684" s="3" t="n">
        <v>3682</v>
      </c>
      <c r="C3684" s="3" t="s">
        <v>119</v>
      </c>
      <c r="D3684" s="3" t="n">
        <v>1</v>
      </c>
      <c r="E3684" s="3" t="n">
        <v>10</v>
      </c>
      <c r="F3684" s="3"/>
      <c r="G3684" s="3"/>
      <c r="H3684" s="24" t="n">
        <v>0.0895237029</v>
      </c>
    </row>
    <row r="3685" customFormat="false" ht="15" hidden="false" customHeight="false" outlineLevel="0" collapsed="false">
      <c r="A3685" s="3" t="n">
        <v>3684</v>
      </c>
      <c r="B3685" s="3" t="n">
        <v>3683</v>
      </c>
      <c r="C3685" s="3" t="s">
        <v>119</v>
      </c>
      <c r="D3685" s="3" t="n">
        <v>1</v>
      </c>
      <c r="E3685" s="3" t="n">
        <v>11</v>
      </c>
      <c r="F3685" s="3"/>
      <c r="G3685" s="3"/>
      <c r="H3685" s="24" t="n">
        <v>0.0513915308</v>
      </c>
    </row>
    <row r="3686" customFormat="false" ht="15" hidden="false" customHeight="false" outlineLevel="0" collapsed="false">
      <c r="A3686" s="3" t="n">
        <v>3685</v>
      </c>
      <c r="B3686" s="3" t="n">
        <v>3684</v>
      </c>
      <c r="C3686" s="3" t="s">
        <v>119</v>
      </c>
      <c r="D3686" s="3" t="n">
        <v>1</v>
      </c>
      <c r="E3686" s="3" t="n">
        <v>12</v>
      </c>
      <c r="F3686" s="3"/>
      <c r="G3686" s="3"/>
      <c r="H3686" s="24" t="n">
        <v>-0.0373693816</v>
      </c>
    </row>
    <row r="3687" customFormat="false" ht="15" hidden="false" customHeight="false" outlineLevel="0" collapsed="false">
      <c r="A3687" s="3" t="n">
        <v>3686</v>
      </c>
      <c r="B3687" s="3" t="n">
        <v>3685</v>
      </c>
      <c r="C3687" s="3" t="s">
        <v>119</v>
      </c>
      <c r="D3687" s="3" t="n">
        <v>1</v>
      </c>
      <c r="E3687" s="3" t="n">
        <v>13</v>
      </c>
      <c r="F3687" s="3"/>
      <c r="G3687" s="3"/>
      <c r="H3687" s="24" t="n">
        <v>0.160803527</v>
      </c>
    </row>
    <row r="3688" customFormat="false" ht="15" hidden="false" customHeight="false" outlineLevel="0" collapsed="false">
      <c r="A3688" s="3" t="n">
        <v>3687</v>
      </c>
      <c r="B3688" s="3" t="n">
        <v>3686</v>
      </c>
      <c r="C3688" s="3" t="s">
        <v>119</v>
      </c>
      <c r="D3688" s="3" t="n">
        <v>1</v>
      </c>
      <c r="E3688" s="3" t="n">
        <v>14</v>
      </c>
      <c r="F3688" s="3"/>
      <c r="G3688" s="3"/>
      <c r="H3688" s="24" t="n">
        <v>-0.405537337</v>
      </c>
    </row>
    <row r="3689" customFormat="false" ht="15" hidden="false" customHeight="false" outlineLevel="0" collapsed="false">
      <c r="A3689" s="3" t="n">
        <v>3688</v>
      </c>
      <c r="B3689" s="3" t="n">
        <v>3687</v>
      </c>
      <c r="C3689" s="3" t="s">
        <v>119</v>
      </c>
      <c r="D3689" s="3" t="n">
        <v>1</v>
      </c>
      <c r="E3689" s="3" t="n">
        <v>15</v>
      </c>
      <c r="F3689" s="3"/>
      <c r="G3689" s="3"/>
      <c r="H3689" s="24" t="n">
        <v>0.0981225669</v>
      </c>
    </row>
    <row r="3690" customFormat="false" ht="15" hidden="false" customHeight="false" outlineLevel="0" collapsed="false">
      <c r="A3690" s="3" t="n">
        <v>3689</v>
      </c>
      <c r="B3690" s="3" t="n">
        <v>3688</v>
      </c>
      <c r="C3690" s="3" t="s">
        <v>119</v>
      </c>
      <c r="D3690" s="3" t="n">
        <v>1</v>
      </c>
      <c r="E3690" s="3" t="n">
        <v>16</v>
      </c>
      <c r="F3690" s="3"/>
      <c r="G3690" s="3"/>
      <c r="H3690" s="24" t="n">
        <v>0.00540307537</v>
      </c>
    </row>
    <row r="3691" customFormat="false" ht="15" hidden="false" customHeight="false" outlineLevel="0" collapsed="false">
      <c r="A3691" s="3" t="n">
        <v>3690</v>
      </c>
      <c r="B3691" s="3" t="n">
        <v>3689</v>
      </c>
      <c r="C3691" s="3" t="s">
        <v>119</v>
      </c>
      <c r="D3691" s="3" t="n">
        <v>1</v>
      </c>
      <c r="E3691" s="3" t="n">
        <v>17</v>
      </c>
      <c r="F3691" s="3"/>
      <c r="G3691" s="3"/>
      <c r="H3691" s="24" t="n">
        <v>-0.127359018</v>
      </c>
    </row>
    <row r="3692" customFormat="false" ht="15" hidden="false" customHeight="false" outlineLevel="0" collapsed="false">
      <c r="A3692" s="3" t="n">
        <v>3691</v>
      </c>
      <c r="B3692" s="3" t="n">
        <v>3690</v>
      </c>
      <c r="C3692" s="3" t="s">
        <v>119</v>
      </c>
      <c r="D3692" s="3" t="n">
        <v>1</v>
      </c>
      <c r="E3692" s="3" t="n">
        <v>18</v>
      </c>
      <c r="F3692" s="3"/>
      <c r="G3692" s="3"/>
      <c r="H3692" s="24" t="n">
        <v>0.178060681</v>
      </c>
    </row>
    <row r="3693" customFormat="false" ht="15" hidden="false" customHeight="false" outlineLevel="0" collapsed="false">
      <c r="A3693" s="3" t="n">
        <v>3692</v>
      </c>
      <c r="B3693" s="3" t="n">
        <v>3691</v>
      </c>
      <c r="C3693" s="3" t="s">
        <v>119</v>
      </c>
      <c r="D3693" s="3" t="n">
        <v>1</v>
      </c>
      <c r="E3693" s="3" t="n">
        <v>19</v>
      </c>
      <c r="F3693" s="3"/>
      <c r="G3693" s="3"/>
      <c r="H3693" s="24" t="n">
        <v>0.0289844032</v>
      </c>
    </row>
    <row r="3694" customFormat="false" ht="15" hidden="false" customHeight="false" outlineLevel="0" collapsed="false">
      <c r="A3694" s="3" t="n">
        <v>3693</v>
      </c>
      <c r="B3694" s="3" t="n">
        <v>3692</v>
      </c>
      <c r="C3694" s="3" t="s">
        <v>119</v>
      </c>
      <c r="D3694" s="3" t="n">
        <v>1</v>
      </c>
      <c r="E3694" s="3" t="n">
        <v>20</v>
      </c>
      <c r="F3694" s="3"/>
      <c r="G3694" s="3"/>
      <c r="H3694" s="24" t="n">
        <v>-0.158316836</v>
      </c>
    </row>
    <row r="3695" customFormat="false" ht="15" hidden="false" customHeight="false" outlineLevel="0" collapsed="false">
      <c r="A3695" s="3" t="n">
        <v>3694</v>
      </c>
      <c r="B3695" s="3" t="n">
        <v>3693</v>
      </c>
      <c r="C3695" s="3" t="s">
        <v>119</v>
      </c>
      <c r="D3695" s="3" t="n">
        <v>1</v>
      </c>
      <c r="E3695" s="3" t="n">
        <v>21</v>
      </c>
      <c r="F3695" s="3"/>
      <c r="G3695" s="3"/>
      <c r="H3695" s="24" t="n">
        <v>0.0200861804</v>
      </c>
    </row>
    <row r="3696" customFormat="false" ht="15" hidden="false" customHeight="false" outlineLevel="0" collapsed="false">
      <c r="A3696" s="3" t="n">
        <v>3695</v>
      </c>
      <c r="B3696" s="3" t="n">
        <v>3694</v>
      </c>
      <c r="C3696" s="3" t="s">
        <v>119</v>
      </c>
      <c r="D3696" s="3" t="n">
        <v>1</v>
      </c>
      <c r="E3696" s="3" t="n">
        <v>22</v>
      </c>
      <c r="F3696" s="3"/>
      <c r="G3696" s="3"/>
      <c r="H3696" s="24" t="n">
        <v>-0.290059507</v>
      </c>
    </row>
    <row r="3697" customFormat="false" ht="15" hidden="false" customHeight="false" outlineLevel="0" collapsed="false">
      <c r="A3697" s="3" t="n">
        <v>3696</v>
      </c>
      <c r="B3697" s="3" t="n">
        <v>3695</v>
      </c>
      <c r="C3697" s="3" t="s">
        <v>119</v>
      </c>
      <c r="D3697" s="3" t="n">
        <v>1</v>
      </c>
      <c r="E3697" s="3" t="n">
        <v>23</v>
      </c>
      <c r="F3697" s="3"/>
      <c r="G3697" s="3"/>
      <c r="H3697" s="24" t="n">
        <v>0.012015407</v>
      </c>
    </row>
    <row r="3698" customFormat="false" ht="15" hidden="false" customHeight="false" outlineLevel="0" collapsed="false">
      <c r="A3698" s="3" t="n">
        <v>3697</v>
      </c>
      <c r="B3698" s="3" t="n">
        <v>3696</v>
      </c>
      <c r="C3698" s="3" t="s">
        <v>119</v>
      </c>
      <c r="D3698" s="3" t="n">
        <v>1</v>
      </c>
      <c r="E3698" s="3" t="n">
        <v>24</v>
      </c>
      <c r="F3698" s="3"/>
      <c r="G3698" s="3"/>
      <c r="H3698" s="24" t="n">
        <v>0.26006189</v>
      </c>
    </row>
    <row r="3699" customFormat="false" ht="15" hidden="false" customHeight="false" outlineLevel="0" collapsed="false">
      <c r="A3699" s="3" t="n">
        <v>3698</v>
      </c>
      <c r="B3699" s="3" t="n">
        <v>3697</v>
      </c>
      <c r="C3699" s="3" t="s">
        <v>119</v>
      </c>
      <c r="D3699" s="3" t="n">
        <v>1</v>
      </c>
      <c r="E3699" s="3" t="n">
        <v>25</v>
      </c>
      <c r="F3699" s="3"/>
      <c r="G3699" s="3"/>
      <c r="H3699" s="24" t="n">
        <v>-0.196899056</v>
      </c>
    </row>
    <row r="3700" customFormat="false" ht="15" hidden="false" customHeight="false" outlineLevel="0" collapsed="false">
      <c r="A3700" s="3" t="n">
        <v>3699</v>
      </c>
      <c r="B3700" s="3" t="n">
        <v>3698</v>
      </c>
      <c r="C3700" s="3" t="s">
        <v>119</v>
      </c>
      <c r="D3700" s="3" t="n">
        <v>1</v>
      </c>
      <c r="E3700" s="3" t="n">
        <v>26</v>
      </c>
      <c r="F3700" s="3"/>
      <c r="G3700" s="3"/>
      <c r="H3700" s="24" t="n">
        <v>0.149656475</v>
      </c>
    </row>
    <row r="3701" customFormat="false" ht="15" hidden="false" customHeight="false" outlineLevel="0" collapsed="false">
      <c r="A3701" s="3" t="n">
        <v>3700</v>
      </c>
      <c r="B3701" s="3" t="n">
        <v>3699</v>
      </c>
      <c r="C3701" s="3" t="s">
        <v>119</v>
      </c>
      <c r="D3701" s="3" t="n">
        <v>1</v>
      </c>
      <c r="E3701" s="3" t="n">
        <v>27</v>
      </c>
      <c r="F3701" s="3"/>
      <c r="G3701" s="3"/>
      <c r="H3701" s="24" t="n">
        <v>0.0624331385</v>
      </c>
    </row>
    <row r="3702" customFormat="false" ht="15" hidden="false" customHeight="false" outlineLevel="0" collapsed="false">
      <c r="A3702" s="3" t="n">
        <v>3701</v>
      </c>
      <c r="B3702" s="3" t="n">
        <v>3700</v>
      </c>
      <c r="C3702" s="3" t="s">
        <v>119</v>
      </c>
      <c r="D3702" s="3" t="n">
        <v>1</v>
      </c>
      <c r="E3702" s="3" t="n">
        <v>28</v>
      </c>
      <c r="F3702" s="3"/>
      <c r="G3702" s="3"/>
      <c r="H3702" s="24" t="n">
        <v>0.0167103186</v>
      </c>
    </row>
    <row r="3703" customFormat="false" ht="15" hidden="false" customHeight="false" outlineLevel="0" collapsed="false">
      <c r="A3703" s="3" t="n">
        <v>3702</v>
      </c>
      <c r="B3703" s="3" t="n">
        <v>3701</v>
      </c>
      <c r="C3703" s="3" t="s">
        <v>119</v>
      </c>
      <c r="D3703" s="3" t="n">
        <v>1</v>
      </c>
      <c r="E3703" s="3" t="n">
        <v>29</v>
      </c>
      <c r="F3703" s="3"/>
      <c r="G3703" s="3"/>
      <c r="H3703" s="24" t="n">
        <v>-0.376023859</v>
      </c>
    </row>
    <row r="3704" customFormat="false" ht="15" hidden="false" customHeight="false" outlineLevel="0" collapsed="false">
      <c r="A3704" s="3" t="n">
        <v>3703</v>
      </c>
      <c r="B3704" s="3" t="n">
        <v>3702</v>
      </c>
      <c r="C3704" s="3" t="s">
        <v>119</v>
      </c>
      <c r="D3704" s="3" t="n">
        <v>1</v>
      </c>
      <c r="E3704" s="3" t="n">
        <v>30</v>
      </c>
      <c r="F3704" s="3"/>
      <c r="G3704" s="3"/>
      <c r="H3704" s="24" t="n">
        <v>0.0501852445</v>
      </c>
    </row>
    <row r="3705" customFormat="false" ht="15" hidden="false" customHeight="false" outlineLevel="0" collapsed="false">
      <c r="A3705" s="3" t="n">
        <v>3704</v>
      </c>
      <c r="B3705" s="3" t="n">
        <v>3703</v>
      </c>
      <c r="C3705" s="3" t="s">
        <v>119</v>
      </c>
      <c r="D3705" s="3" t="n">
        <v>1</v>
      </c>
      <c r="E3705" s="3" t="n">
        <v>31</v>
      </c>
      <c r="F3705" s="3"/>
      <c r="G3705" s="3"/>
      <c r="H3705" s="24" t="n">
        <v>-0.111411393</v>
      </c>
    </row>
    <row r="3706" customFormat="false" ht="15" hidden="false" customHeight="false" outlineLevel="0" collapsed="false">
      <c r="A3706" s="3" t="n">
        <v>3705</v>
      </c>
      <c r="B3706" s="3" t="n">
        <v>3704</v>
      </c>
      <c r="C3706" s="3" t="s">
        <v>119</v>
      </c>
      <c r="D3706" s="3" t="n">
        <v>1</v>
      </c>
      <c r="E3706" s="3" t="n">
        <v>32</v>
      </c>
      <c r="F3706" s="3"/>
      <c r="G3706" s="3"/>
      <c r="H3706" s="24" t="n">
        <v>-0.080517076</v>
      </c>
    </row>
    <row r="3707" customFormat="false" ht="15" hidden="false" customHeight="false" outlineLevel="0" collapsed="false">
      <c r="A3707" s="3" t="n">
        <v>3706</v>
      </c>
      <c r="B3707" s="3" t="n">
        <v>3705</v>
      </c>
      <c r="C3707" s="3" t="s">
        <v>119</v>
      </c>
      <c r="D3707" s="3" t="n">
        <v>1</v>
      </c>
      <c r="E3707" s="3" t="n">
        <v>33</v>
      </c>
      <c r="F3707" s="3"/>
      <c r="G3707" s="3"/>
      <c r="H3707" s="24" t="n">
        <v>0.0448707454</v>
      </c>
    </row>
    <row r="3708" customFormat="false" ht="15" hidden="false" customHeight="false" outlineLevel="0" collapsed="false">
      <c r="A3708" s="3" t="n">
        <v>3707</v>
      </c>
      <c r="B3708" s="3" t="n">
        <v>3706</v>
      </c>
      <c r="C3708" s="3" t="s">
        <v>119</v>
      </c>
      <c r="D3708" s="3" t="n">
        <v>1</v>
      </c>
      <c r="E3708" s="3" t="n">
        <v>34</v>
      </c>
      <c r="F3708" s="3"/>
      <c r="G3708" s="3"/>
      <c r="H3708" s="24" t="n">
        <v>0.0240653139</v>
      </c>
    </row>
    <row r="3709" customFormat="false" ht="15" hidden="false" customHeight="false" outlineLevel="0" collapsed="false">
      <c r="A3709" s="3" t="n">
        <v>3708</v>
      </c>
      <c r="B3709" s="3" t="n">
        <v>3707</v>
      </c>
      <c r="C3709" s="3" t="s">
        <v>119</v>
      </c>
      <c r="D3709" s="3" t="n">
        <v>1</v>
      </c>
      <c r="E3709" s="3" t="n">
        <v>35</v>
      </c>
      <c r="F3709" s="3"/>
      <c r="G3709" s="3"/>
      <c r="H3709" s="24" t="n">
        <v>0.0312934443</v>
      </c>
    </row>
    <row r="3710" customFormat="false" ht="15" hidden="false" customHeight="false" outlineLevel="0" collapsed="false">
      <c r="A3710" s="3" t="n">
        <v>3709</v>
      </c>
      <c r="B3710" s="3" t="n">
        <v>3708</v>
      </c>
      <c r="C3710" s="3" t="s">
        <v>119</v>
      </c>
      <c r="D3710" s="3" t="n">
        <v>1</v>
      </c>
      <c r="E3710" s="3" t="n">
        <v>36</v>
      </c>
      <c r="F3710" s="3"/>
      <c r="G3710" s="3"/>
      <c r="H3710" s="24" t="n">
        <v>0.124700196</v>
      </c>
    </row>
    <row r="3711" customFormat="false" ht="15" hidden="false" customHeight="false" outlineLevel="0" collapsed="false">
      <c r="A3711" s="3" t="n">
        <v>3710</v>
      </c>
      <c r="B3711" s="3" t="n">
        <v>3709</v>
      </c>
      <c r="C3711" s="3" t="s">
        <v>119</v>
      </c>
      <c r="D3711" s="3" t="n">
        <v>1</v>
      </c>
      <c r="E3711" s="3" t="n">
        <v>37</v>
      </c>
      <c r="F3711" s="3"/>
      <c r="G3711" s="3"/>
      <c r="H3711" s="24" t="n">
        <v>0.195471317</v>
      </c>
    </row>
    <row r="3712" customFormat="false" ht="15" hidden="false" customHeight="false" outlineLevel="0" collapsed="false">
      <c r="A3712" s="3" t="n">
        <v>3711</v>
      </c>
      <c r="B3712" s="3" t="n">
        <v>3710</v>
      </c>
      <c r="C3712" s="3" t="s">
        <v>119</v>
      </c>
      <c r="D3712" s="3" t="n">
        <v>1</v>
      </c>
      <c r="E3712" s="3" t="n">
        <v>38</v>
      </c>
      <c r="F3712" s="3"/>
      <c r="G3712" s="3"/>
      <c r="H3712" s="24" t="n">
        <v>0.131810904</v>
      </c>
    </row>
    <row r="3713" customFormat="false" ht="15" hidden="false" customHeight="false" outlineLevel="0" collapsed="false">
      <c r="A3713" s="3" t="n">
        <v>3712</v>
      </c>
      <c r="B3713" s="3" t="n">
        <v>3711</v>
      </c>
      <c r="C3713" s="3" t="s">
        <v>119</v>
      </c>
      <c r="D3713" s="3" t="n">
        <v>1</v>
      </c>
      <c r="E3713" s="3" t="n">
        <v>39</v>
      </c>
      <c r="F3713" s="3"/>
      <c r="G3713" s="3"/>
      <c r="H3713" s="24" t="n">
        <v>-0.391612321</v>
      </c>
    </row>
    <row r="3714" customFormat="false" ht="15" hidden="false" customHeight="false" outlineLevel="0" collapsed="false">
      <c r="A3714" s="3" t="n">
        <v>3713</v>
      </c>
      <c r="B3714" s="3" t="n">
        <v>3712</v>
      </c>
      <c r="C3714" s="3" t="s">
        <v>119</v>
      </c>
      <c r="D3714" s="3" t="n">
        <v>1</v>
      </c>
      <c r="E3714" s="3" t="n">
        <v>40</v>
      </c>
      <c r="F3714" s="3"/>
      <c r="G3714" s="3"/>
      <c r="H3714" s="24" t="n">
        <v>-0.00244574691</v>
      </c>
    </row>
    <row r="3715" customFormat="false" ht="15" hidden="false" customHeight="false" outlineLevel="0" collapsed="false">
      <c r="A3715" s="3" t="n">
        <v>3714</v>
      </c>
      <c r="B3715" s="3" t="n">
        <v>3713</v>
      </c>
      <c r="C3715" s="3" t="s">
        <v>119</v>
      </c>
      <c r="D3715" s="3" t="n">
        <v>1</v>
      </c>
      <c r="E3715" s="3" t="n">
        <v>41</v>
      </c>
      <c r="F3715" s="3"/>
      <c r="G3715" s="3"/>
      <c r="H3715" s="24" t="n">
        <v>-0.164923504</v>
      </c>
    </row>
    <row r="3716" customFormat="false" ht="15" hidden="false" customHeight="false" outlineLevel="0" collapsed="false">
      <c r="A3716" s="3" t="n">
        <v>3715</v>
      </c>
      <c r="B3716" s="3" t="n">
        <v>3714</v>
      </c>
      <c r="C3716" s="3" t="s">
        <v>119</v>
      </c>
      <c r="D3716" s="3" t="n">
        <v>1</v>
      </c>
      <c r="E3716" s="3" t="n">
        <v>42</v>
      </c>
      <c r="F3716" s="3"/>
      <c r="G3716" s="3"/>
      <c r="H3716" s="24" t="n">
        <v>-0.397809565</v>
      </c>
    </row>
    <row r="3717" customFormat="false" ht="15" hidden="false" customHeight="false" outlineLevel="0" collapsed="false">
      <c r="A3717" s="3" t="n">
        <v>3716</v>
      </c>
      <c r="B3717" s="3" t="n">
        <v>3715</v>
      </c>
      <c r="C3717" s="3" t="s">
        <v>119</v>
      </c>
      <c r="D3717" s="3" t="n">
        <v>1</v>
      </c>
      <c r="E3717" s="3" t="n">
        <v>43</v>
      </c>
      <c r="F3717" s="3"/>
      <c r="G3717" s="3"/>
      <c r="H3717" s="24" t="n">
        <v>0.0863523185</v>
      </c>
    </row>
    <row r="3718" customFormat="false" ht="15" hidden="false" customHeight="false" outlineLevel="0" collapsed="false">
      <c r="A3718" s="3" t="n">
        <v>3717</v>
      </c>
      <c r="B3718" s="3" t="n">
        <v>3716</v>
      </c>
      <c r="C3718" s="3" t="s">
        <v>119</v>
      </c>
      <c r="D3718" s="3" t="n">
        <v>1</v>
      </c>
      <c r="E3718" s="3" t="n">
        <v>44</v>
      </c>
      <c r="F3718" s="3"/>
      <c r="G3718" s="3"/>
      <c r="H3718" s="24" t="n">
        <v>0.138408855</v>
      </c>
    </row>
    <row r="3719" customFormat="false" ht="15" hidden="false" customHeight="false" outlineLevel="0" collapsed="false">
      <c r="A3719" s="3" t="n">
        <v>3718</v>
      </c>
      <c r="B3719" s="3" t="n">
        <v>3717</v>
      </c>
      <c r="C3719" s="3" t="s">
        <v>119</v>
      </c>
      <c r="D3719" s="3" t="n">
        <v>1</v>
      </c>
      <c r="E3719" s="3" t="n">
        <v>45</v>
      </c>
      <c r="F3719" s="3"/>
      <c r="G3719" s="3"/>
      <c r="H3719" s="24" t="n">
        <v>0.117635079</v>
      </c>
    </row>
    <row r="3720" customFormat="false" ht="15" hidden="false" customHeight="false" outlineLevel="0" collapsed="false">
      <c r="A3720" s="3" t="n">
        <v>3719</v>
      </c>
      <c r="B3720" s="3" t="n">
        <v>3718</v>
      </c>
      <c r="C3720" s="3" t="s">
        <v>119</v>
      </c>
      <c r="D3720" s="3" t="n">
        <v>1</v>
      </c>
      <c r="E3720" s="3" t="n">
        <v>46</v>
      </c>
      <c r="F3720" s="3"/>
      <c r="G3720" s="3"/>
      <c r="H3720" s="24" t="n">
        <v>0.0418038554</v>
      </c>
    </row>
    <row r="3721" customFormat="false" ht="15" hidden="false" customHeight="false" outlineLevel="0" collapsed="false">
      <c r="A3721" s="3" t="n">
        <v>3720</v>
      </c>
      <c r="B3721" s="3" t="n">
        <v>3719</v>
      </c>
      <c r="C3721" s="3" t="s">
        <v>119</v>
      </c>
      <c r="D3721" s="3" t="n">
        <v>1</v>
      </c>
      <c r="E3721" s="3" t="n">
        <v>47</v>
      </c>
      <c r="F3721" s="3"/>
      <c r="G3721" s="3"/>
      <c r="H3721" s="24" t="n">
        <v>0.12006247</v>
      </c>
    </row>
    <row r="3722" customFormat="false" ht="15" hidden="false" customHeight="false" outlineLevel="0" collapsed="false">
      <c r="A3722" s="3" t="n">
        <v>3721</v>
      </c>
      <c r="B3722" s="3" t="n">
        <v>3720</v>
      </c>
      <c r="C3722" s="3" t="s">
        <v>119</v>
      </c>
      <c r="D3722" s="3" t="n">
        <v>1</v>
      </c>
      <c r="E3722" s="3" t="n">
        <v>48</v>
      </c>
      <c r="F3722" s="3"/>
      <c r="G3722" s="3"/>
      <c r="H3722" s="24" t="n">
        <v>-0.162085265</v>
      </c>
    </row>
    <row r="3723" customFormat="false" ht="15" hidden="false" customHeight="false" outlineLevel="0" collapsed="false">
      <c r="A3723" s="3" t="n">
        <v>3722</v>
      </c>
      <c r="B3723" s="3" t="n">
        <v>3721</v>
      </c>
      <c r="C3723" s="3" t="s">
        <v>119</v>
      </c>
      <c r="D3723" s="3" t="n">
        <v>1</v>
      </c>
      <c r="E3723" s="3" t="n">
        <v>49</v>
      </c>
      <c r="F3723" s="3"/>
      <c r="G3723" s="3"/>
      <c r="H3723" s="24" t="n">
        <v>-0.128129184</v>
      </c>
    </row>
    <row r="3724" customFormat="false" ht="15" hidden="false" customHeight="false" outlineLevel="0" collapsed="false">
      <c r="A3724" s="3" t="n">
        <v>3723</v>
      </c>
      <c r="B3724" s="3" t="n">
        <v>3722</v>
      </c>
      <c r="C3724" s="3" t="s">
        <v>119</v>
      </c>
      <c r="D3724" s="3" t="n">
        <v>1</v>
      </c>
      <c r="E3724" s="3" t="n">
        <v>50</v>
      </c>
      <c r="F3724" s="3"/>
      <c r="G3724" s="3"/>
      <c r="H3724" s="24" t="n">
        <v>0.0283360966</v>
      </c>
    </row>
    <row r="3725" customFormat="false" ht="15" hidden="false" customHeight="false" outlineLevel="0" collapsed="false">
      <c r="A3725" s="3" t="n">
        <v>3724</v>
      </c>
      <c r="B3725" s="3" t="n">
        <v>3723</v>
      </c>
      <c r="C3725" s="3" t="s">
        <v>119</v>
      </c>
      <c r="D3725" s="3" t="n">
        <v>1</v>
      </c>
      <c r="E3725" s="3" t="n">
        <v>51</v>
      </c>
      <c r="F3725" s="3"/>
      <c r="G3725" s="3"/>
      <c r="H3725" s="24" t="n">
        <v>-0.107822746</v>
      </c>
    </row>
    <row r="3726" customFormat="false" ht="15" hidden="false" customHeight="false" outlineLevel="0" collapsed="false">
      <c r="A3726" s="3" t="n">
        <v>3725</v>
      </c>
      <c r="B3726" s="3" t="n">
        <v>3724</v>
      </c>
      <c r="C3726" s="3" t="s">
        <v>119</v>
      </c>
      <c r="D3726" s="3" t="n">
        <v>1</v>
      </c>
      <c r="E3726" s="3" t="n">
        <v>52</v>
      </c>
      <c r="F3726" s="3"/>
      <c r="G3726" s="3"/>
      <c r="H3726" s="24" t="n">
        <v>-0.199596062</v>
      </c>
    </row>
    <row r="3727" customFormat="false" ht="15" hidden="false" customHeight="false" outlineLevel="0" collapsed="false">
      <c r="A3727" s="3" t="n">
        <v>3726</v>
      </c>
      <c r="B3727" s="3" t="n">
        <v>3725</v>
      </c>
      <c r="C3727" s="3" t="s">
        <v>119</v>
      </c>
      <c r="D3727" s="3" t="n">
        <v>1</v>
      </c>
      <c r="E3727" s="3" t="n">
        <v>53</v>
      </c>
      <c r="F3727" s="3"/>
      <c r="G3727" s="3"/>
      <c r="H3727" s="24" t="n">
        <v>0.00765767414</v>
      </c>
    </row>
    <row r="3728" customFormat="false" ht="15" hidden="false" customHeight="false" outlineLevel="0" collapsed="false">
      <c r="A3728" s="3" t="n">
        <v>3727</v>
      </c>
      <c r="B3728" s="3" t="n">
        <v>3726</v>
      </c>
      <c r="C3728" s="3" t="s">
        <v>119</v>
      </c>
      <c r="D3728" s="3" t="n">
        <v>1</v>
      </c>
      <c r="E3728" s="3" t="n">
        <v>54</v>
      </c>
      <c r="F3728" s="3"/>
      <c r="G3728" s="3"/>
      <c r="H3728" s="24" t="n">
        <v>-0.0472605303</v>
      </c>
    </row>
    <row r="3729" customFormat="false" ht="15" hidden="false" customHeight="false" outlineLevel="0" collapsed="false">
      <c r="A3729" s="3" t="n">
        <v>3728</v>
      </c>
      <c r="B3729" s="3" t="n">
        <v>3727</v>
      </c>
      <c r="C3729" s="3" t="s">
        <v>119</v>
      </c>
      <c r="D3729" s="3" t="n">
        <v>1</v>
      </c>
      <c r="E3729" s="3" t="n">
        <v>55</v>
      </c>
      <c r="F3729" s="3"/>
      <c r="G3729" s="3"/>
      <c r="H3729" s="24" t="n">
        <v>0.0889921561</v>
      </c>
    </row>
    <row r="3730" customFormat="false" ht="15" hidden="false" customHeight="false" outlineLevel="0" collapsed="false">
      <c r="A3730" s="3" t="n">
        <v>3729</v>
      </c>
      <c r="B3730" s="3" t="n">
        <v>3728</v>
      </c>
      <c r="C3730" s="3" t="s">
        <v>119</v>
      </c>
      <c r="D3730" s="3" t="n">
        <v>1</v>
      </c>
      <c r="E3730" s="3" t="n">
        <v>56</v>
      </c>
      <c r="F3730" s="3"/>
      <c r="G3730" s="3"/>
      <c r="H3730" s="24" t="n">
        <v>0.351249754</v>
      </c>
    </row>
    <row r="3731" customFormat="false" ht="15" hidden="false" customHeight="false" outlineLevel="0" collapsed="false">
      <c r="A3731" s="3" t="n">
        <v>3730</v>
      </c>
      <c r="B3731" s="3" t="n">
        <v>3729</v>
      </c>
      <c r="C3731" s="3" t="s">
        <v>119</v>
      </c>
      <c r="D3731" s="3" t="n">
        <v>1</v>
      </c>
      <c r="E3731" s="3" t="n">
        <v>57</v>
      </c>
      <c r="F3731" s="3"/>
      <c r="G3731" s="3"/>
      <c r="H3731" s="24" t="n">
        <v>-0.291256547</v>
      </c>
    </row>
    <row r="3732" customFormat="false" ht="15" hidden="false" customHeight="false" outlineLevel="0" collapsed="false">
      <c r="A3732" s="3" t="n">
        <v>3731</v>
      </c>
      <c r="B3732" s="3" t="n">
        <v>3730</v>
      </c>
      <c r="C3732" s="3" t="s">
        <v>119</v>
      </c>
      <c r="D3732" s="3" t="n">
        <v>1</v>
      </c>
      <c r="E3732" s="3" t="n">
        <v>58</v>
      </c>
      <c r="F3732" s="3"/>
      <c r="G3732" s="3"/>
      <c r="H3732" s="24" t="n">
        <v>0.0347237326</v>
      </c>
    </row>
    <row r="3733" customFormat="false" ht="15" hidden="false" customHeight="false" outlineLevel="0" collapsed="false">
      <c r="A3733" s="3" t="n">
        <v>3732</v>
      </c>
      <c r="B3733" s="3" t="n">
        <v>3731</v>
      </c>
      <c r="C3733" s="3" t="s">
        <v>119</v>
      </c>
      <c r="D3733" s="3" t="n">
        <v>1</v>
      </c>
      <c r="E3733" s="3" t="n">
        <v>59</v>
      </c>
      <c r="F3733" s="3"/>
      <c r="G3733" s="3"/>
      <c r="H3733" s="24" t="n">
        <v>0.365030497</v>
      </c>
    </row>
    <row r="3734" customFormat="false" ht="15" hidden="false" customHeight="false" outlineLevel="0" collapsed="false">
      <c r="A3734" s="3" t="n">
        <v>3733</v>
      </c>
      <c r="B3734" s="3" t="n">
        <v>3732</v>
      </c>
      <c r="C3734" s="3" t="s">
        <v>119</v>
      </c>
      <c r="D3734" s="3" t="n">
        <v>1</v>
      </c>
      <c r="E3734" s="3" t="n">
        <v>60</v>
      </c>
      <c r="F3734" s="3"/>
      <c r="G3734" s="3"/>
      <c r="H3734" s="24" t="n">
        <v>-0.0683513805</v>
      </c>
    </row>
    <row r="3735" customFormat="false" ht="15" hidden="false" customHeight="false" outlineLevel="0" collapsed="false">
      <c r="A3735" s="3" t="n">
        <v>3734</v>
      </c>
      <c r="B3735" s="3" t="n">
        <v>3733</v>
      </c>
      <c r="C3735" s="3" t="s">
        <v>119</v>
      </c>
      <c r="D3735" s="3" t="n">
        <v>1</v>
      </c>
      <c r="E3735" s="3" t="n">
        <v>61</v>
      </c>
      <c r="F3735" s="3"/>
      <c r="G3735" s="3"/>
      <c r="H3735" s="24" t="n">
        <v>0.151970372</v>
      </c>
    </row>
    <row r="3736" customFormat="false" ht="15" hidden="false" customHeight="false" outlineLevel="0" collapsed="false">
      <c r="A3736" s="3" t="n">
        <v>3735</v>
      </c>
      <c r="B3736" s="3" t="n">
        <v>3734</v>
      </c>
      <c r="C3736" s="3" t="s">
        <v>119</v>
      </c>
      <c r="D3736" s="3" t="n">
        <v>1</v>
      </c>
      <c r="E3736" s="3" t="n">
        <v>62</v>
      </c>
      <c r="F3736" s="3"/>
      <c r="G3736" s="3"/>
      <c r="H3736" s="24" t="n">
        <v>-0.098594293</v>
      </c>
    </row>
    <row r="3737" customFormat="false" ht="15" hidden="false" customHeight="false" outlineLevel="0" collapsed="false">
      <c r="A3737" s="3" t="n">
        <v>3736</v>
      </c>
      <c r="B3737" s="3" t="n">
        <v>3735</v>
      </c>
      <c r="C3737" s="3" t="s">
        <v>119</v>
      </c>
      <c r="D3737" s="3" t="n">
        <v>1</v>
      </c>
      <c r="E3737" s="3" t="n">
        <v>63</v>
      </c>
      <c r="F3737" s="3"/>
      <c r="G3737" s="3"/>
      <c r="H3737" s="24" t="n">
        <v>0.0630478412</v>
      </c>
    </row>
    <row r="3738" customFormat="false" ht="15" hidden="false" customHeight="false" outlineLevel="0" collapsed="false">
      <c r="A3738" s="3" t="n">
        <v>3737</v>
      </c>
      <c r="B3738" s="3" t="n">
        <v>3736</v>
      </c>
      <c r="C3738" s="3" t="s">
        <v>119</v>
      </c>
      <c r="D3738" s="3" t="n">
        <v>1</v>
      </c>
      <c r="E3738" s="3" t="n">
        <v>64</v>
      </c>
      <c r="F3738" s="3"/>
      <c r="G3738" s="3"/>
      <c r="H3738" s="24" t="n">
        <v>0.0738731027</v>
      </c>
    </row>
    <row r="3739" customFormat="false" ht="15" hidden="false" customHeight="false" outlineLevel="0" collapsed="false">
      <c r="A3739" s="3" t="n">
        <v>3738</v>
      </c>
      <c r="B3739" s="3" t="n">
        <v>3737</v>
      </c>
      <c r="C3739" s="3" t="s">
        <v>119</v>
      </c>
      <c r="D3739" s="3" t="n">
        <v>1</v>
      </c>
      <c r="E3739" s="3" t="n">
        <v>65</v>
      </c>
      <c r="F3739" s="3"/>
      <c r="G3739" s="3"/>
      <c r="H3739" s="24" t="n">
        <v>0.0225748122</v>
      </c>
    </row>
    <row r="3740" customFormat="false" ht="15" hidden="false" customHeight="false" outlineLevel="0" collapsed="false">
      <c r="A3740" s="3" t="n">
        <v>3739</v>
      </c>
      <c r="B3740" s="3" t="n">
        <v>3738</v>
      </c>
      <c r="C3740" s="3" t="s">
        <v>119</v>
      </c>
      <c r="D3740" s="3" t="n">
        <v>1</v>
      </c>
      <c r="E3740" s="3" t="n">
        <v>66</v>
      </c>
      <c r="F3740" s="3"/>
      <c r="G3740" s="3"/>
      <c r="H3740" s="24" t="n">
        <v>0.0672245026</v>
      </c>
    </row>
    <row r="3741" customFormat="false" ht="15" hidden="false" customHeight="false" outlineLevel="0" collapsed="false">
      <c r="A3741" s="3" t="n">
        <v>3740</v>
      </c>
      <c r="B3741" s="3" t="n">
        <v>3739</v>
      </c>
      <c r="C3741" s="3" t="s">
        <v>119</v>
      </c>
      <c r="D3741" s="3" t="n">
        <v>1</v>
      </c>
      <c r="E3741" s="3" t="n">
        <v>67</v>
      </c>
      <c r="F3741" s="3"/>
      <c r="G3741" s="3"/>
      <c r="H3741" s="24" t="n">
        <v>-0.0595105216</v>
      </c>
    </row>
    <row r="3742" customFormat="false" ht="15" hidden="false" customHeight="false" outlineLevel="0" collapsed="false">
      <c r="A3742" s="3" t="n">
        <v>3741</v>
      </c>
      <c r="B3742" s="3" t="n">
        <v>3740</v>
      </c>
      <c r="C3742" s="3" t="s">
        <v>119</v>
      </c>
      <c r="D3742" s="3" t="n">
        <v>1</v>
      </c>
      <c r="E3742" s="3" t="n">
        <v>68</v>
      </c>
      <c r="F3742" s="3"/>
      <c r="G3742" s="3"/>
      <c r="H3742" s="24" t="n">
        <v>-0.0270121805</v>
      </c>
    </row>
    <row r="3743" customFormat="false" ht="15" hidden="false" customHeight="false" outlineLevel="0" collapsed="false">
      <c r="A3743" s="3" t="n">
        <v>3742</v>
      </c>
      <c r="B3743" s="3" t="n">
        <v>3741</v>
      </c>
      <c r="C3743" s="3" t="s">
        <v>119</v>
      </c>
      <c r="D3743" s="3" t="n">
        <v>1</v>
      </c>
      <c r="E3743" s="3" t="n">
        <v>69</v>
      </c>
      <c r="F3743" s="3"/>
      <c r="G3743" s="3"/>
      <c r="H3743" s="24" t="n">
        <v>0.0253648963</v>
      </c>
    </row>
    <row r="3744" customFormat="false" ht="15" hidden="false" customHeight="false" outlineLevel="0" collapsed="false">
      <c r="A3744" s="3" t="n">
        <v>3743</v>
      </c>
      <c r="B3744" s="3" t="n">
        <v>3742</v>
      </c>
      <c r="C3744" s="3" t="s">
        <v>119</v>
      </c>
      <c r="D3744" s="3" t="n">
        <v>1</v>
      </c>
      <c r="E3744" s="3" t="n">
        <v>70</v>
      </c>
      <c r="F3744" s="3"/>
      <c r="G3744" s="3"/>
      <c r="H3744" s="24" t="n">
        <v>0.0470908396</v>
      </c>
    </row>
    <row r="3745" customFormat="false" ht="15" hidden="false" customHeight="false" outlineLevel="0" collapsed="false">
      <c r="A3745" s="3" t="n">
        <v>3744</v>
      </c>
      <c r="B3745" s="3" t="n">
        <v>3743</v>
      </c>
      <c r="C3745" s="3" t="s">
        <v>119</v>
      </c>
      <c r="D3745" s="3" t="n">
        <v>1</v>
      </c>
      <c r="E3745" s="3" t="n">
        <v>71</v>
      </c>
      <c r="F3745" s="3"/>
      <c r="G3745" s="3"/>
      <c r="H3745" s="24" t="n">
        <v>-0.0444965474</v>
      </c>
    </row>
    <row r="3746" customFormat="false" ht="15" hidden="false" customHeight="false" outlineLevel="0" collapsed="false">
      <c r="A3746" s="3" t="n">
        <v>3745</v>
      </c>
      <c r="B3746" s="3" t="n">
        <v>3744</v>
      </c>
      <c r="C3746" s="3" t="s">
        <v>119</v>
      </c>
      <c r="D3746" s="3" t="n">
        <v>1</v>
      </c>
      <c r="E3746" s="3" t="n">
        <v>72</v>
      </c>
      <c r="F3746" s="3"/>
      <c r="G3746" s="3"/>
      <c r="H3746" s="24" t="n">
        <v>-0.0855226368</v>
      </c>
    </row>
    <row r="3747" customFormat="false" ht="15" hidden="false" customHeight="false" outlineLevel="0" collapsed="false">
      <c r="A3747" s="3" t="n">
        <v>3746</v>
      </c>
      <c r="B3747" s="3" t="n">
        <v>3745</v>
      </c>
      <c r="C3747" s="3" t="s">
        <v>119</v>
      </c>
      <c r="D3747" s="3" t="n">
        <v>1</v>
      </c>
      <c r="E3747" s="3" t="n">
        <v>73</v>
      </c>
      <c r="F3747" s="3"/>
      <c r="G3747" s="3"/>
      <c r="H3747" s="24" t="n">
        <v>0.0238813218</v>
      </c>
    </row>
    <row r="3748" customFormat="false" ht="15" hidden="false" customHeight="false" outlineLevel="0" collapsed="false">
      <c r="A3748" s="3" t="n">
        <v>3747</v>
      </c>
      <c r="B3748" s="3" t="n">
        <v>3746</v>
      </c>
      <c r="C3748" s="3" t="s">
        <v>119</v>
      </c>
      <c r="D3748" s="3" t="n">
        <v>1</v>
      </c>
      <c r="E3748" s="3" t="n">
        <v>74</v>
      </c>
      <c r="F3748" s="3"/>
      <c r="G3748" s="3"/>
      <c r="H3748" s="24" t="n">
        <v>0.1075489</v>
      </c>
    </row>
    <row r="3749" customFormat="false" ht="15" hidden="false" customHeight="false" outlineLevel="0" collapsed="false">
      <c r="A3749" s="3" t="n">
        <v>3748</v>
      </c>
      <c r="B3749" s="3" t="n">
        <v>3747</v>
      </c>
      <c r="C3749" s="3" t="s">
        <v>119</v>
      </c>
      <c r="D3749" s="3" t="n">
        <v>1</v>
      </c>
      <c r="E3749" s="3" t="n">
        <v>75</v>
      </c>
      <c r="F3749" s="3"/>
      <c r="G3749" s="3"/>
      <c r="H3749" s="24" t="n">
        <v>-0.00922163855</v>
      </c>
    </row>
    <row r="3750" customFormat="false" ht="15" hidden="false" customHeight="false" outlineLevel="0" collapsed="false">
      <c r="A3750" s="3" t="n">
        <v>3749</v>
      </c>
      <c r="B3750" s="3" t="n">
        <v>3748</v>
      </c>
      <c r="C3750" s="3" t="s">
        <v>119</v>
      </c>
      <c r="D3750" s="3" t="n">
        <v>1</v>
      </c>
      <c r="E3750" s="3" t="n">
        <v>76</v>
      </c>
      <c r="F3750" s="3"/>
      <c r="G3750" s="3"/>
      <c r="H3750" s="24" t="n">
        <v>-0.116435617</v>
      </c>
    </row>
    <row r="3751" customFormat="false" ht="15" hidden="false" customHeight="false" outlineLevel="0" collapsed="false">
      <c r="A3751" s="3" t="n">
        <v>3750</v>
      </c>
      <c r="B3751" s="3" t="n">
        <v>3749</v>
      </c>
      <c r="C3751" s="3" t="s">
        <v>119</v>
      </c>
      <c r="D3751" s="3" t="n">
        <v>1</v>
      </c>
      <c r="E3751" s="3" t="n">
        <v>77</v>
      </c>
      <c r="F3751" s="3"/>
      <c r="G3751" s="3"/>
      <c r="H3751" s="24" t="n">
        <v>0.226348013</v>
      </c>
    </row>
    <row r="3752" customFormat="false" ht="15" hidden="false" customHeight="false" outlineLevel="0" collapsed="false">
      <c r="A3752" s="3" t="n">
        <v>3751</v>
      </c>
      <c r="B3752" s="3" t="n">
        <v>3750</v>
      </c>
      <c r="C3752" s="3" t="s">
        <v>119</v>
      </c>
      <c r="D3752" s="3" t="n">
        <v>1</v>
      </c>
      <c r="E3752" s="3" t="n">
        <v>78</v>
      </c>
      <c r="F3752" s="3"/>
      <c r="G3752" s="3"/>
      <c r="H3752" s="24" t="n">
        <v>0.0158437509</v>
      </c>
    </row>
    <row r="3753" customFormat="false" ht="15" hidden="false" customHeight="false" outlineLevel="0" collapsed="false">
      <c r="A3753" s="3" t="n">
        <v>3752</v>
      </c>
      <c r="B3753" s="3" t="n">
        <v>3751</v>
      </c>
      <c r="C3753" s="3" t="s">
        <v>119</v>
      </c>
      <c r="D3753" s="3" t="n">
        <v>1</v>
      </c>
      <c r="E3753" s="3" t="n">
        <v>79</v>
      </c>
      <c r="F3753" s="3"/>
      <c r="G3753" s="3"/>
      <c r="H3753" s="24" t="n">
        <v>0.070971489</v>
      </c>
    </row>
    <row r="3754" customFormat="false" ht="15" hidden="false" customHeight="false" outlineLevel="0" collapsed="false">
      <c r="A3754" s="3" t="n">
        <v>3753</v>
      </c>
      <c r="B3754" s="3" t="n">
        <v>3752</v>
      </c>
      <c r="C3754" s="3" t="s">
        <v>119</v>
      </c>
      <c r="D3754" s="3" t="n">
        <v>1</v>
      </c>
      <c r="E3754" s="3" t="n">
        <v>80</v>
      </c>
      <c r="F3754" s="3"/>
      <c r="G3754" s="3"/>
      <c r="H3754" s="24" t="n">
        <v>-0.133189499</v>
      </c>
    </row>
    <row r="3755" customFormat="false" ht="15" hidden="false" customHeight="false" outlineLevel="0" collapsed="false">
      <c r="A3755" s="3" t="n">
        <v>3754</v>
      </c>
      <c r="B3755" s="3" t="n">
        <v>3753</v>
      </c>
      <c r="C3755" s="3" t="s">
        <v>119</v>
      </c>
      <c r="D3755" s="3" t="n">
        <v>1</v>
      </c>
      <c r="E3755" s="3" t="n">
        <v>81</v>
      </c>
      <c r="F3755" s="3"/>
      <c r="G3755" s="3"/>
      <c r="H3755" s="24" t="n">
        <v>-0.00019969423</v>
      </c>
    </row>
    <row r="3756" customFormat="false" ht="15" hidden="false" customHeight="false" outlineLevel="0" collapsed="false">
      <c r="A3756" s="3" t="n">
        <v>3755</v>
      </c>
      <c r="B3756" s="3" t="n">
        <v>3754</v>
      </c>
      <c r="C3756" s="3" t="s">
        <v>119</v>
      </c>
      <c r="D3756" s="3" t="n">
        <v>1</v>
      </c>
      <c r="E3756" s="3" t="n">
        <v>82</v>
      </c>
      <c r="F3756" s="3"/>
      <c r="G3756" s="3"/>
      <c r="H3756" s="24" t="n">
        <v>0.132878989</v>
      </c>
    </row>
    <row r="3757" customFormat="false" ht="15" hidden="false" customHeight="false" outlineLevel="0" collapsed="false">
      <c r="A3757" s="3" t="n">
        <v>3756</v>
      </c>
      <c r="B3757" s="3" t="n">
        <v>3755</v>
      </c>
      <c r="C3757" s="3" t="s">
        <v>119</v>
      </c>
      <c r="D3757" s="3" t="n">
        <v>1</v>
      </c>
      <c r="E3757" s="3" t="n">
        <v>83</v>
      </c>
      <c r="F3757" s="3"/>
      <c r="G3757" s="3"/>
      <c r="H3757" s="24" t="n">
        <v>-0.0377101228</v>
      </c>
    </row>
    <row r="3758" customFormat="false" ht="15" hidden="false" customHeight="false" outlineLevel="0" collapsed="false">
      <c r="A3758" s="3" t="n">
        <v>3757</v>
      </c>
      <c r="B3758" s="3" t="n">
        <v>3756</v>
      </c>
      <c r="C3758" s="3" t="s">
        <v>119</v>
      </c>
      <c r="D3758" s="3" t="n">
        <v>1</v>
      </c>
      <c r="E3758" s="3" t="n">
        <v>84</v>
      </c>
      <c r="F3758" s="3"/>
      <c r="G3758" s="3"/>
      <c r="H3758" s="24" t="n">
        <v>0.0965104327</v>
      </c>
    </row>
    <row r="3759" customFormat="false" ht="15" hidden="false" customHeight="false" outlineLevel="0" collapsed="false">
      <c r="A3759" s="3" t="n">
        <v>3758</v>
      </c>
      <c r="B3759" s="3" t="n">
        <v>3757</v>
      </c>
      <c r="C3759" s="3" t="s">
        <v>119</v>
      </c>
      <c r="D3759" s="3" t="n">
        <v>1</v>
      </c>
      <c r="E3759" s="3" t="n">
        <v>85</v>
      </c>
      <c r="F3759" s="3"/>
      <c r="G3759" s="3"/>
      <c r="H3759" s="24" t="n">
        <v>-0.0662311986</v>
      </c>
    </row>
    <row r="3760" customFormat="false" ht="15" hidden="false" customHeight="false" outlineLevel="0" collapsed="false">
      <c r="A3760" s="3" t="n">
        <v>3759</v>
      </c>
      <c r="B3760" s="3" t="n">
        <v>3758</v>
      </c>
      <c r="C3760" s="3" t="s">
        <v>119</v>
      </c>
      <c r="D3760" s="3" t="n">
        <v>1</v>
      </c>
      <c r="E3760" s="3" t="n">
        <v>86</v>
      </c>
      <c r="F3760" s="3"/>
      <c r="G3760" s="3"/>
      <c r="H3760" s="24" t="n">
        <v>-0.213209704</v>
      </c>
    </row>
    <row r="3761" customFormat="false" ht="15" hidden="false" customHeight="false" outlineLevel="0" collapsed="false">
      <c r="A3761" s="3" t="n">
        <v>3760</v>
      </c>
      <c r="B3761" s="3" t="n">
        <v>3759</v>
      </c>
      <c r="C3761" s="3" t="s">
        <v>119</v>
      </c>
      <c r="D3761" s="3" t="n">
        <v>1</v>
      </c>
      <c r="E3761" s="3" t="n">
        <v>87</v>
      </c>
      <c r="F3761" s="3"/>
      <c r="G3761" s="3"/>
      <c r="H3761" s="24" t="n">
        <v>-0.00219560857</v>
      </c>
    </row>
    <row r="3762" customFormat="false" ht="15" hidden="false" customHeight="false" outlineLevel="0" collapsed="false">
      <c r="A3762" s="3" t="n">
        <v>3761</v>
      </c>
      <c r="B3762" s="3" t="n">
        <v>3760</v>
      </c>
      <c r="C3762" s="3" t="s">
        <v>119</v>
      </c>
      <c r="D3762" s="3" t="n">
        <v>1</v>
      </c>
      <c r="E3762" s="3" t="n">
        <v>88</v>
      </c>
      <c r="F3762" s="3"/>
      <c r="G3762" s="3"/>
      <c r="H3762" s="24" t="n">
        <v>-0.066073209</v>
      </c>
    </row>
    <row r="3763" customFormat="false" ht="15" hidden="false" customHeight="false" outlineLevel="0" collapsed="false">
      <c r="A3763" s="3" t="n">
        <v>3762</v>
      </c>
      <c r="B3763" s="3" t="n">
        <v>3761</v>
      </c>
      <c r="C3763" s="3" t="s">
        <v>119</v>
      </c>
      <c r="D3763" s="3" t="n">
        <v>1</v>
      </c>
      <c r="E3763" s="3" t="n">
        <v>89</v>
      </c>
      <c r="F3763" s="3"/>
      <c r="G3763" s="3"/>
      <c r="H3763" s="24" t="n">
        <v>-0.146974325</v>
      </c>
    </row>
    <row r="3764" customFormat="false" ht="15" hidden="false" customHeight="false" outlineLevel="0" collapsed="false">
      <c r="A3764" s="3" t="n">
        <v>3763</v>
      </c>
      <c r="B3764" s="3" t="n">
        <v>3762</v>
      </c>
      <c r="C3764" s="3" t="s">
        <v>119</v>
      </c>
      <c r="D3764" s="3" t="n">
        <v>1</v>
      </c>
      <c r="E3764" s="3" t="n">
        <v>90</v>
      </c>
      <c r="F3764" s="3"/>
      <c r="G3764" s="3"/>
      <c r="H3764" s="24" t="n">
        <v>0.0834224373</v>
      </c>
    </row>
    <row r="3765" customFormat="false" ht="15" hidden="false" customHeight="false" outlineLevel="0" collapsed="false">
      <c r="A3765" s="3" t="n">
        <v>3764</v>
      </c>
      <c r="B3765" s="3" t="n">
        <v>3763</v>
      </c>
      <c r="C3765" s="3" t="s">
        <v>119</v>
      </c>
      <c r="D3765" s="3" t="n">
        <v>1</v>
      </c>
      <c r="E3765" s="3" t="n">
        <v>91</v>
      </c>
      <c r="F3765" s="3"/>
      <c r="G3765" s="3"/>
      <c r="H3765" s="24" t="n">
        <v>-0.148756444</v>
      </c>
    </row>
    <row r="3766" customFormat="false" ht="15" hidden="false" customHeight="false" outlineLevel="0" collapsed="false">
      <c r="A3766" s="3" t="n">
        <v>3765</v>
      </c>
      <c r="B3766" s="3" t="n">
        <v>3764</v>
      </c>
      <c r="C3766" s="3" t="s">
        <v>119</v>
      </c>
      <c r="D3766" s="3" t="n">
        <v>1</v>
      </c>
      <c r="E3766" s="3" t="n">
        <v>92</v>
      </c>
      <c r="F3766" s="3"/>
      <c r="G3766" s="3"/>
      <c r="H3766" s="24" t="n">
        <v>-0.285617054</v>
      </c>
    </row>
    <row r="3767" customFormat="false" ht="15" hidden="false" customHeight="false" outlineLevel="0" collapsed="false">
      <c r="A3767" s="3" t="n">
        <v>3766</v>
      </c>
      <c r="B3767" s="3" t="n">
        <v>3765</v>
      </c>
      <c r="C3767" s="3" t="s">
        <v>119</v>
      </c>
      <c r="D3767" s="3" t="n">
        <v>1</v>
      </c>
      <c r="E3767" s="3" t="n">
        <v>93</v>
      </c>
      <c r="F3767" s="3"/>
      <c r="G3767" s="3"/>
      <c r="H3767" s="24" t="n">
        <v>-0.342120856</v>
      </c>
    </row>
    <row r="3768" customFormat="false" ht="15" hidden="false" customHeight="false" outlineLevel="0" collapsed="false">
      <c r="A3768" s="3" t="n">
        <v>3767</v>
      </c>
      <c r="B3768" s="3" t="n">
        <v>3766</v>
      </c>
      <c r="C3768" s="3" t="s">
        <v>119</v>
      </c>
      <c r="D3768" s="3" t="n">
        <v>1</v>
      </c>
      <c r="E3768" s="3" t="n">
        <v>94</v>
      </c>
      <c r="F3768" s="3"/>
      <c r="G3768" s="3"/>
      <c r="H3768" s="24" t="n">
        <v>-0.0479368381</v>
      </c>
    </row>
    <row r="3769" customFormat="false" ht="15" hidden="false" customHeight="false" outlineLevel="0" collapsed="false">
      <c r="A3769" s="3" t="n">
        <v>3768</v>
      </c>
      <c r="B3769" s="3" t="n">
        <v>3767</v>
      </c>
      <c r="C3769" s="3" t="s">
        <v>119</v>
      </c>
      <c r="D3769" s="3" t="n">
        <v>1</v>
      </c>
      <c r="E3769" s="3" t="n">
        <v>95</v>
      </c>
      <c r="F3769" s="3"/>
      <c r="G3769" s="3"/>
      <c r="H3769" s="24" t="n">
        <v>-0.390424609</v>
      </c>
    </row>
    <row r="3770" customFormat="false" ht="15" hidden="false" customHeight="false" outlineLevel="0" collapsed="false">
      <c r="A3770" s="3" t="n">
        <v>3769</v>
      </c>
      <c r="B3770" s="3" t="n">
        <v>3768</v>
      </c>
      <c r="C3770" s="3" t="s">
        <v>119</v>
      </c>
      <c r="D3770" s="3" t="n">
        <v>1</v>
      </c>
      <c r="E3770" s="3" t="n">
        <v>96</v>
      </c>
      <c r="F3770" s="3"/>
      <c r="G3770" s="3"/>
      <c r="H3770" s="24" t="n">
        <v>0.390114367</v>
      </c>
    </row>
    <row r="3771" customFormat="false" ht="15" hidden="false" customHeight="false" outlineLevel="0" collapsed="false">
      <c r="A3771" s="3" t="n">
        <v>3770</v>
      </c>
      <c r="B3771" s="3" t="n">
        <v>3769</v>
      </c>
      <c r="C3771" s="3" t="s">
        <v>119</v>
      </c>
      <c r="D3771" s="3" t="n">
        <v>1</v>
      </c>
      <c r="E3771" s="3" t="n">
        <v>97</v>
      </c>
      <c r="F3771" s="3"/>
      <c r="G3771" s="3"/>
      <c r="H3771" s="24" t="n">
        <v>0.308630735</v>
      </c>
    </row>
    <row r="3772" customFormat="false" ht="15" hidden="false" customHeight="false" outlineLevel="0" collapsed="false">
      <c r="A3772" s="3" t="n">
        <v>3771</v>
      </c>
      <c r="B3772" s="3" t="n">
        <v>3770</v>
      </c>
      <c r="C3772" s="3" t="s">
        <v>119</v>
      </c>
      <c r="D3772" s="3" t="n">
        <v>1</v>
      </c>
      <c r="E3772" s="3" t="n">
        <v>98</v>
      </c>
      <c r="F3772" s="3"/>
      <c r="G3772" s="3"/>
      <c r="H3772" s="24" t="n">
        <v>0.0474012829</v>
      </c>
    </row>
    <row r="3773" customFormat="false" ht="15" hidden="false" customHeight="false" outlineLevel="0" collapsed="false">
      <c r="A3773" s="3" t="n">
        <v>3772</v>
      </c>
      <c r="B3773" s="3" t="n">
        <v>3771</v>
      </c>
      <c r="C3773" s="3" t="s">
        <v>119</v>
      </c>
      <c r="D3773" s="3" t="n">
        <v>1</v>
      </c>
      <c r="E3773" s="3" t="n">
        <v>99</v>
      </c>
      <c r="F3773" s="3"/>
      <c r="G3773" s="3"/>
      <c r="H3773" s="24" t="n">
        <v>0.0545132011</v>
      </c>
    </row>
    <row r="3774" customFormat="false" ht="15" hidden="false" customHeight="false" outlineLevel="0" collapsed="false">
      <c r="A3774" s="3" t="n">
        <v>3773</v>
      </c>
      <c r="B3774" s="3" t="n">
        <v>3772</v>
      </c>
      <c r="C3774" s="3" t="s">
        <v>119</v>
      </c>
      <c r="D3774" s="3" t="n">
        <v>1</v>
      </c>
      <c r="E3774" s="3" t="n">
        <v>100</v>
      </c>
      <c r="F3774" s="3"/>
      <c r="G3774" s="3"/>
      <c r="H3774" s="24" t="n">
        <v>0.0404515639</v>
      </c>
    </row>
    <row r="3775" customFormat="false" ht="15" hidden="false" customHeight="false" outlineLevel="0" collapsed="false">
      <c r="A3775" s="3" t="n">
        <v>3774</v>
      </c>
      <c r="B3775" s="3" t="n">
        <v>3773</v>
      </c>
      <c r="C3775" s="3" t="s">
        <v>119</v>
      </c>
      <c r="D3775" s="3" t="n">
        <v>1</v>
      </c>
      <c r="E3775" s="3" t="n">
        <v>101</v>
      </c>
      <c r="F3775" s="3"/>
      <c r="G3775" s="3"/>
      <c r="H3775" s="24" t="n">
        <v>-0.126775384</v>
      </c>
    </row>
    <row r="3776" customFormat="false" ht="15" hidden="false" customHeight="false" outlineLevel="0" collapsed="false">
      <c r="A3776" s="3" t="n">
        <v>3775</v>
      </c>
      <c r="B3776" s="3" t="n">
        <v>3774</v>
      </c>
      <c r="C3776" s="3" t="s">
        <v>119</v>
      </c>
      <c r="D3776" s="3" t="n">
        <v>1</v>
      </c>
      <c r="E3776" s="3" t="n">
        <v>102</v>
      </c>
      <c r="F3776" s="3"/>
      <c r="G3776" s="3"/>
      <c r="H3776" s="24" t="n">
        <v>-0.185565025</v>
      </c>
    </row>
    <row r="3777" customFormat="false" ht="15" hidden="false" customHeight="false" outlineLevel="0" collapsed="false">
      <c r="A3777" s="3" t="n">
        <v>3776</v>
      </c>
      <c r="B3777" s="3" t="n">
        <v>3775</v>
      </c>
      <c r="C3777" s="3" t="s">
        <v>119</v>
      </c>
      <c r="D3777" s="3" t="n">
        <v>1</v>
      </c>
      <c r="E3777" s="3" t="n">
        <v>103</v>
      </c>
      <c r="F3777" s="3"/>
      <c r="G3777" s="3"/>
      <c r="H3777" s="24" t="n">
        <v>0.0818119198</v>
      </c>
    </row>
    <row r="3778" customFormat="false" ht="15" hidden="false" customHeight="false" outlineLevel="0" collapsed="false">
      <c r="A3778" s="3" t="n">
        <v>3777</v>
      </c>
      <c r="B3778" s="3" t="n">
        <v>3776</v>
      </c>
      <c r="C3778" s="3" t="s">
        <v>119</v>
      </c>
      <c r="D3778" s="3" t="n">
        <v>1</v>
      </c>
      <c r="E3778" s="3" t="n">
        <v>104</v>
      </c>
      <c r="F3778" s="3"/>
      <c r="G3778" s="3"/>
      <c r="H3778" s="24" t="n">
        <v>-0.0101036439</v>
      </c>
    </row>
    <row r="3779" customFormat="false" ht="15" hidden="false" customHeight="false" outlineLevel="0" collapsed="false">
      <c r="A3779" s="3" t="n">
        <v>3778</v>
      </c>
      <c r="B3779" s="3" t="n">
        <v>3777</v>
      </c>
      <c r="C3779" s="3" t="s">
        <v>119</v>
      </c>
      <c r="D3779" s="3" t="n">
        <v>1</v>
      </c>
      <c r="E3779" s="3" t="n">
        <v>105</v>
      </c>
      <c r="F3779" s="3"/>
      <c r="G3779" s="3"/>
      <c r="H3779" s="24" t="n">
        <v>0.0926145166</v>
      </c>
    </row>
    <row r="3780" customFormat="false" ht="15" hidden="false" customHeight="false" outlineLevel="0" collapsed="false">
      <c r="A3780" s="3" t="n">
        <v>3779</v>
      </c>
      <c r="B3780" s="3" t="n">
        <v>3778</v>
      </c>
      <c r="C3780" s="3" t="s">
        <v>119</v>
      </c>
      <c r="D3780" s="3" t="n">
        <v>1</v>
      </c>
      <c r="E3780" s="3" t="n">
        <v>106</v>
      </c>
      <c r="F3780" s="3"/>
      <c r="G3780" s="3"/>
      <c r="H3780" s="24" t="n">
        <v>0.119483761</v>
      </c>
    </row>
    <row r="3781" customFormat="false" ht="15" hidden="false" customHeight="false" outlineLevel="0" collapsed="false">
      <c r="A3781" s="3" t="n">
        <v>3780</v>
      </c>
      <c r="B3781" s="3" t="n">
        <v>3779</v>
      </c>
      <c r="C3781" s="3" t="s">
        <v>119</v>
      </c>
      <c r="D3781" s="3" t="n">
        <v>1</v>
      </c>
      <c r="E3781" s="3" t="n">
        <v>107</v>
      </c>
      <c r="F3781" s="3"/>
      <c r="G3781" s="3"/>
      <c r="H3781" s="24" t="n">
        <v>-0.226208791</v>
      </c>
    </row>
    <row r="3782" customFormat="false" ht="15" hidden="false" customHeight="false" outlineLevel="0" collapsed="false">
      <c r="A3782" s="3" t="n">
        <v>3781</v>
      </c>
      <c r="B3782" s="3" t="n">
        <v>3780</v>
      </c>
      <c r="C3782" s="3" t="s">
        <v>119</v>
      </c>
      <c r="D3782" s="3" t="n">
        <v>1</v>
      </c>
      <c r="E3782" s="3" t="n">
        <v>108</v>
      </c>
      <c r="F3782" s="3"/>
      <c r="G3782" s="3"/>
      <c r="H3782" s="24" t="n">
        <v>0.354593426</v>
      </c>
    </row>
    <row r="3783" customFormat="false" ht="15" hidden="false" customHeight="false" outlineLevel="0" collapsed="false">
      <c r="A3783" s="3" t="n">
        <v>3782</v>
      </c>
      <c r="B3783" s="3" t="n">
        <v>3781</v>
      </c>
      <c r="C3783" s="3" t="s">
        <v>119</v>
      </c>
      <c r="D3783" s="3" t="n">
        <v>1</v>
      </c>
      <c r="E3783" s="3" t="n">
        <v>109</v>
      </c>
      <c r="F3783" s="3"/>
      <c r="G3783" s="3"/>
      <c r="H3783" s="24" t="n">
        <v>0.376286745</v>
      </c>
    </row>
    <row r="3784" customFormat="false" ht="15" hidden="false" customHeight="false" outlineLevel="0" collapsed="false">
      <c r="A3784" s="3" t="n">
        <v>3783</v>
      </c>
      <c r="B3784" s="3" t="n">
        <v>3782</v>
      </c>
      <c r="C3784" s="3" t="s">
        <v>119</v>
      </c>
      <c r="D3784" s="3" t="n">
        <v>1</v>
      </c>
      <c r="E3784" s="3" t="n">
        <v>110</v>
      </c>
      <c r="F3784" s="3"/>
      <c r="G3784" s="3"/>
      <c r="H3784" s="24" t="n">
        <v>0.0660407618</v>
      </c>
    </row>
    <row r="3785" customFormat="false" ht="15" hidden="false" customHeight="false" outlineLevel="0" collapsed="false">
      <c r="A3785" s="3" t="n">
        <v>3784</v>
      </c>
      <c r="B3785" s="3" t="n">
        <v>3783</v>
      </c>
      <c r="C3785" s="3" t="s">
        <v>119</v>
      </c>
      <c r="D3785" s="3" t="n">
        <v>1</v>
      </c>
      <c r="E3785" s="3" t="n">
        <v>111</v>
      </c>
      <c r="F3785" s="3"/>
      <c r="G3785" s="3"/>
      <c r="H3785" s="24" t="n">
        <v>-0.216945738</v>
      </c>
    </row>
    <row r="3786" customFormat="false" ht="15" hidden="false" customHeight="false" outlineLevel="0" collapsed="false">
      <c r="A3786" s="3" t="n">
        <v>3785</v>
      </c>
      <c r="B3786" s="3" t="n">
        <v>3784</v>
      </c>
      <c r="C3786" s="3" t="s">
        <v>119</v>
      </c>
      <c r="D3786" s="3" t="n">
        <v>1</v>
      </c>
      <c r="E3786" s="3" t="n">
        <v>112</v>
      </c>
      <c r="F3786" s="3"/>
      <c r="G3786" s="3"/>
      <c r="H3786" s="24" t="n">
        <v>0.0797456503</v>
      </c>
    </row>
    <row r="3787" customFormat="false" ht="15" hidden="false" customHeight="false" outlineLevel="0" collapsed="false">
      <c r="A3787" s="3" t="n">
        <v>3786</v>
      </c>
      <c r="B3787" s="3" t="n">
        <v>3785</v>
      </c>
      <c r="C3787" s="3" t="s">
        <v>119</v>
      </c>
      <c r="D3787" s="3" t="n">
        <v>1</v>
      </c>
      <c r="E3787" s="3" t="n">
        <v>113</v>
      </c>
      <c r="F3787" s="3"/>
      <c r="G3787" s="3"/>
      <c r="H3787" s="24" t="n">
        <v>0.134749189</v>
      </c>
    </row>
    <row r="3788" customFormat="false" ht="15" hidden="false" customHeight="false" outlineLevel="0" collapsed="false">
      <c r="A3788" s="3" t="n">
        <v>3787</v>
      </c>
      <c r="B3788" s="3" t="n">
        <v>3786</v>
      </c>
      <c r="C3788" s="3" t="s">
        <v>119</v>
      </c>
      <c r="D3788" s="3" t="n">
        <v>1</v>
      </c>
      <c r="E3788" s="3" t="n">
        <v>114</v>
      </c>
      <c r="F3788" s="3"/>
      <c r="G3788" s="3"/>
      <c r="H3788" s="24" t="n">
        <v>-0.120890364</v>
      </c>
    </row>
    <row r="3789" customFormat="false" ht="15" hidden="false" customHeight="false" outlineLevel="0" collapsed="false">
      <c r="A3789" s="3" t="n">
        <v>3788</v>
      </c>
      <c r="B3789" s="3" t="n">
        <v>3787</v>
      </c>
      <c r="C3789" s="3" t="s">
        <v>119</v>
      </c>
      <c r="D3789" s="3" t="n">
        <v>1</v>
      </c>
      <c r="E3789" s="3" t="n">
        <v>115</v>
      </c>
      <c r="F3789" s="3"/>
      <c r="G3789" s="3"/>
      <c r="H3789" s="24" t="n">
        <v>-0.0501162969</v>
      </c>
    </row>
    <row r="3790" customFormat="false" ht="15" hidden="false" customHeight="false" outlineLevel="0" collapsed="false">
      <c r="A3790" s="3" t="n">
        <v>3789</v>
      </c>
      <c r="B3790" s="3" t="n">
        <v>3788</v>
      </c>
      <c r="C3790" s="3" t="s">
        <v>119</v>
      </c>
      <c r="D3790" s="3" t="n">
        <v>1</v>
      </c>
      <c r="E3790" s="3" t="n">
        <v>116</v>
      </c>
      <c r="F3790" s="3"/>
      <c r="G3790" s="3"/>
      <c r="H3790" s="24" t="n">
        <v>0.0546653271</v>
      </c>
    </row>
    <row r="3791" customFormat="false" ht="15" hidden="false" customHeight="false" outlineLevel="0" collapsed="false">
      <c r="A3791" s="3" t="n">
        <v>3790</v>
      </c>
      <c r="B3791" s="3" t="n">
        <v>3789</v>
      </c>
      <c r="C3791" s="3" t="s">
        <v>119</v>
      </c>
      <c r="D3791" s="3" t="n">
        <v>1</v>
      </c>
      <c r="E3791" s="3" t="n">
        <v>117</v>
      </c>
      <c r="F3791" s="3"/>
      <c r="G3791" s="3"/>
      <c r="H3791" s="24" t="n">
        <v>0.0537483171</v>
      </c>
    </row>
    <row r="3792" customFormat="false" ht="15" hidden="false" customHeight="false" outlineLevel="0" collapsed="false">
      <c r="A3792" s="3" t="n">
        <v>3791</v>
      </c>
      <c r="B3792" s="3" t="n">
        <v>3790</v>
      </c>
      <c r="C3792" s="3" t="s">
        <v>119</v>
      </c>
      <c r="D3792" s="3" t="n">
        <v>1</v>
      </c>
      <c r="E3792" s="3" t="n">
        <v>118</v>
      </c>
      <c r="F3792" s="3"/>
      <c r="G3792" s="3"/>
      <c r="H3792" s="24" t="n">
        <v>0.187406495</v>
      </c>
    </row>
    <row r="3793" customFormat="false" ht="15" hidden="false" customHeight="false" outlineLevel="0" collapsed="false">
      <c r="A3793" s="3" t="n">
        <v>3792</v>
      </c>
      <c r="B3793" s="3" t="n">
        <v>3791</v>
      </c>
      <c r="C3793" s="3" t="s">
        <v>119</v>
      </c>
      <c r="D3793" s="3" t="n">
        <v>1</v>
      </c>
      <c r="E3793" s="3" t="n">
        <v>119</v>
      </c>
      <c r="F3793" s="3"/>
      <c r="G3793" s="3"/>
      <c r="H3793" s="24" t="n">
        <v>0.0797245204</v>
      </c>
    </row>
    <row r="3794" customFormat="false" ht="15" hidden="false" customHeight="false" outlineLevel="0" collapsed="false">
      <c r="A3794" s="3" t="n">
        <v>3793</v>
      </c>
      <c r="B3794" s="3" t="n">
        <v>3792</v>
      </c>
      <c r="C3794" s="3" t="s">
        <v>119</v>
      </c>
      <c r="D3794" s="3" t="n">
        <v>1</v>
      </c>
      <c r="E3794" s="3" t="n">
        <v>120</v>
      </c>
      <c r="F3794" s="3"/>
      <c r="G3794" s="3"/>
      <c r="H3794" s="24" t="n">
        <v>0.088350594</v>
      </c>
    </row>
    <row r="3795" customFormat="false" ht="15" hidden="false" customHeight="false" outlineLevel="0" collapsed="false">
      <c r="A3795" s="3" t="n">
        <v>3794</v>
      </c>
      <c r="B3795" s="3" t="n">
        <v>3793</v>
      </c>
      <c r="C3795" s="3" t="s">
        <v>119</v>
      </c>
      <c r="D3795" s="3" t="n">
        <v>1</v>
      </c>
      <c r="E3795" s="3" t="n">
        <v>121</v>
      </c>
      <c r="F3795" s="3"/>
      <c r="G3795" s="3"/>
      <c r="H3795" s="24" t="n">
        <v>-0.0817552507</v>
      </c>
    </row>
    <row r="3796" customFormat="false" ht="15" hidden="false" customHeight="false" outlineLevel="0" collapsed="false">
      <c r="A3796" s="3" t="n">
        <v>3795</v>
      </c>
      <c r="B3796" s="3" t="n">
        <v>3794</v>
      </c>
      <c r="C3796" s="3" t="s">
        <v>119</v>
      </c>
      <c r="D3796" s="3" t="n">
        <v>1</v>
      </c>
      <c r="E3796" s="3" t="n">
        <v>122</v>
      </c>
      <c r="F3796" s="3"/>
      <c r="G3796" s="3"/>
      <c r="H3796" s="24" t="n">
        <v>0.00882038381</v>
      </c>
    </row>
    <row r="3797" customFormat="false" ht="15" hidden="false" customHeight="false" outlineLevel="0" collapsed="false">
      <c r="A3797" s="3" t="n">
        <v>3796</v>
      </c>
      <c r="B3797" s="3" t="n">
        <v>3795</v>
      </c>
      <c r="C3797" s="3" t="s">
        <v>119</v>
      </c>
      <c r="D3797" s="3" t="n">
        <v>1</v>
      </c>
      <c r="E3797" s="3" t="n">
        <v>123</v>
      </c>
      <c r="F3797" s="3"/>
      <c r="G3797" s="3"/>
      <c r="H3797" s="24" t="n">
        <v>-0.0229002181</v>
      </c>
    </row>
    <row r="3798" customFormat="false" ht="15" hidden="false" customHeight="false" outlineLevel="0" collapsed="false">
      <c r="A3798" s="3" t="n">
        <v>3797</v>
      </c>
      <c r="B3798" s="3" t="n">
        <v>3796</v>
      </c>
      <c r="C3798" s="3" t="s">
        <v>119</v>
      </c>
      <c r="D3798" s="3" t="n">
        <v>1</v>
      </c>
      <c r="E3798" s="3" t="n">
        <v>124</v>
      </c>
      <c r="F3798" s="3"/>
      <c r="G3798" s="3"/>
      <c r="H3798" s="24" t="n">
        <v>-0.273689598</v>
      </c>
    </row>
    <row r="3799" customFormat="false" ht="15" hidden="false" customHeight="false" outlineLevel="0" collapsed="false">
      <c r="A3799" s="3" t="n">
        <v>3798</v>
      </c>
      <c r="B3799" s="3" t="n">
        <v>3797</v>
      </c>
      <c r="C3799" s="3" t="s">
        <v>119</v>
      </c>
      <c r="D3799" s="3" t="n">
        <v>1</v>
      </c>
      <c r="E3799" s="3" t="n">
        <v>125</v>
      </c>
      <c r="F3799" s="3"/>
      <c r="G3799" s="3"/>
      <c r="H3799" s="24" t="n">
        <v>0.0508215725</v>
      </c>
    </row>
    <row r="3800" customFormat="false" ht="15" hidden="false" customHeight="false" outlineLevel="0" collapsed="false">
      <c r="A3800" s="3" t="n">
        <v>3799</v>
      </c>
      <c r="B3800" s="3" t="n">
        <v>3798</v>
      </c>
      <c r="C3800" s="3" t="s">
        <v>119</v>
      </c>
      <c r="D3800" s="3" t="n">
        <v>1</v>
      </c>
      <c r="E3800" s="3" t="n">
        <v>126</v>
      </c>
      <c r="F3800" s="3"/>
      <c r="G3800" s="3"/>
      <c r="H3800" s="24" t="n">
        <v>0.152961165</v>
      </c>
    </row>
    <row r="3801" customFormat="false" ht="15" hidden="false" customHeight="false" outlineLevel="0" collapsed="false">
      <c r="A3801" s="3" t="n">
        <v>3800</v>
      </c>
      <c r="B3801" s="3" t="n">
        <v>3799</v>
      </c>
      <c r="C3801" s="3" t="s">
        <v>119</v>
      </c>
      <c r="D3801" s="3" t="n">
        <v>1</v>
      </c>
      <c r="E3801" s="3" t="n">
        <v>127</v>
      </c>
      <c r="F3801" s="3"/>
      <c r="G3801" s="3"/>
      <c r="H3801" s="24" t="n">
        <v>0.187006548</v>
      </c>
    </row>
    <row r="3802" customFormat="false" ht="15" hidden="false" customHeight="false" outlineLevel="0" collapsed="false">
      <c r="A3802" s="3" t="n">
        <v>3801</v>
      </c>
      <c r="B3802" s="3" t="n">
        <v>3800</v>
      </c>
      <c r="C3802" s="3" t="s">
        <v>119</v>
      </c>
      <c r="D3802" s="3" t="n">
        <v>1</v>
      </c>
      <c r="E3802" s="3" t="n">
        <v>128</v>
      </c>
      <c r="F3802" s="3"/>
      <c r="G3802" s="3"/>
      <c r="H3802" s="24" t="n">
        <v>0.0737664998</v>
      </c>
    </row>
    <row r="3803" customFormat="false" ht="15" hidden="false" customHeight="false" outlineLevel="0" collapsed="false">
      <c r="A3803" s="3" t="n">
        <v>3802</v>
      </c>
      <c r="B3803" s="3" t="n">
        <v>3801</v>
      </c>
      <c r="C3803" s="3" t="s">
        <v>119</v>
      </c>
      <c r="D3803" s="3" t="n">
        <v>1</v>
      </c>
      <c r="E3803" s="3" t="n">
        <v>129</v>
      </c>
      <c r="F3803" s="3"/>
      <c r="G3803" s="3"/>
      <c r="H3803" s="24" t="n">
        <v>-0.00734088989</v>
      </c>
    </row>
    <row r="3804" customFormat="false" ht="15" hidden="false" customHeight="false" outlineLevel="0" collapsed="false">
      <c r="A3804" s="3" t="n">
        <v>3803</v>
      </c>
      <c r="B3804" s="3" t="n">
        <v>3802</v>
      </c>
      <c r="C3804" s="3" t="s">
        <v>119</v>
      </c>
      <c r="D3804" s="3" t="n">
        <v>1</v>
      </c>
      <c r="E3804" s="3" t="n">
        <v>130</v>
      </c>
      <c r="F3804" s="3"/>
      <c r="G3804" s="3"/>
      <c r="H3804" s="24" t="n">
        <v>-0.218314722</v>
      </c>
    </row>
    <row r="3805" customFormat="false" ht="15" hidden="false" customHeight="false" outlineLevel="0" collapsed="false">
      <c r="A3805" s="3" t="n">
        <v>3804</v>
      </c>
      <c r="B3805" s="3" t="n">
        <v>3803</v>
      </c>
      <c r="C3805" s="3" t="s">
        <v>119</v>
      </c>
      <c r="D3805" s="3" t="n">
        <v>1</v>
      </c>
      <c r="E3805" s="3" t="n">
        <v>131</v>
      </c>
      <c r="F3805" s="3"/>
      <c r="G3805" s="3"/>
      <c r="H3805" s="24" t="n">
        <v>-0.276128918</v>
      </c>
    </row>
    <row r="3806" customFormat="false" ht="15" hidden="false" customHeight="false" outlineLevel="0" collapsed="false">
      <c r="A3806" s="3" t="n">
        <v>3805</v>
      </c>
      <c r="B3806" s="3" t="n">
        <v>3804</v>
      </c>
      <c r="C3806" s="3" t="s">
        <v>119</v>
      </c>
      <c r="D3806" s="3" t="n">
        <v>1</v>
      </c>
      <c r="E3806" s="3" t="n">
        <v>132</v>
      </c>
      <c r="F3806" s="3"/>
      <c r="G3806" s="3"/>
      <c r="H3806" s="24" t="n">
        <v>0.147204205</v>
      </c>
    </row>
    <row r="3807" customFormat="false" ht="15" hidden="false" customHeight="false" outlineLevel="0" collapsed="false">
      <c r="A3807" s="3" t="n">
        <v>3806</v>
      </c>
      <c r="B3807" s="3" t="n">
        <v>3805</v>
      </c>
      <c r="C3807" s="3" t="s">
        <v>119</v>
      </c>
      <c r="D3807" s="3" t="n">
        <v>1</v>
      </c>
      <c r="E3807" s="3" t="n">
        <v>133</v>
      </c>
      <c r="F3807" s="3"/>
      <c r="G3807" s="3"/>
      <c r="H3807" s="24" t="n">
        <v>-0.200940147</v>
      </c>
    </row>
    <row r="3808" customFormat="false" ht="15" hidden="false" customHeight="false" outlineLevel="0" collapsed="false">
      <c r="A3808" s="3" t="n">
        <v>3807</v>
      </c>
      <c r="B3808" s="3" t="n">
        <v>3806</v>
      </c>
      <c r="C3808" s="3" t="s">
        <v>119</v>
      </c>
      <c r="D3808" s="3" t="n">
        <v>1</v>
      </c>
      <c r="E3808" s="3" t="n">
        <v>134</v>
      </c>
      <c r="F3808" s="3"/>
      <c r="G3808" s="3"/>
      <c r="H3808" s="24" t="n">
        <v>-0.234974965</v>
      </c>
    </row>
    <row r="3809" customFormat="false" ht="15" hidden="false" customHeight="false" outlineLevel="0" collapsed="false">
      <c r="A3809" s="3" t="n">
        <v>3808</v>
      </c>
      <c r="B3809" s="3" t="n">
        <v>3807</v>
      </c>
      <c r="C3809" s="3" t="s">
        <v>119</v>
      </c>
      <c r="D3809" s="3" t="n">
        <v>1</v>
      </c>
      <c r="E3809" s="3" t="n">
        <v>135</v>
      </c>
      <c r="F3809" s="3"/>
      <c r="G3809" s="3"/>
      <c r="H3809" s="24" t="n">
        <v>0.039157819</v>
      </c>
    </row>
    <row r="3810" customFormat="false" ht="15" hidden="false" customHeight="false" outlineLevel="0" collapsed="false">
      <c r="A3810" s="3" t="n">
        <v>3809</v>
      </c>
      <c r="B3810" s="3" t="n">
        <v>3808</v>
      </c>
      <c r="C3810" s="3" t="s">
        <v>119</v>
      </c>
      <c r="D3810" s="3" t="n">
        <v>1</v>
      </c>
      <c r="E3810" s="3" t="n">
        <v>136</v>
      </c>
      <c r="F3810" s="3"/>
      <c r="G3810" s="3"/>
      <c r="H3810" s="24" t="n">
        <v>-0.0326787122</v>
      </c>
    </row>
    <row r="3811" customFormat="false" ht="15" hidden="false" customHeight="false" outlineLevel="0" collapsed="false">
      <c r="A3811" s="3" t="n">
        <v>3810</v>
      </c>
      <c r="B3811" s="3" t="n">
        <v>3809</v>
      </c>
      <c r="C3811" s="3" t="s">
        <v>119</v>
      </c>
      <c r="D3811" s="3" t="n">
        <v>1</v>
      </c>
      <c r="E3811" s="3" t="n">
        <v>137</v>
      </c>
      <c r="F3811" s="3"/>
      <c r="G3811" s="3"/>
      <c r="H3811" s="24" t="n">
        <v>-0.27959308</v>
      </c>
    </row>
    <row r="3812" customFormat="false" ht="15" hidden="false" customHeight="false" outlineLevel="0" collapsed="false">
      <c r="A3812" s="3" t="n">
        <v>3811</v>
      </c>
      <c r="B3812" s="3" t="n">
        <v>3810</v>
      </c>
      <c r="C3812" s="3" t="s">
        <v>119</v>
      </c>
      <c r="D3812" s="3" t="n">
        <v>1</v>
      </c>
      <c r="E3812" s="3" t="n">
        <v>138</v>
      </c>
      <c r="F3812" s="3"/>
      <c r="G3812" s="3"/>
      <c r="H3812" s="24" t="n">
        <v>-0.0348786414</v>
      </c>
    </row>
    <row r="3813" customFormat="false" ht="15" hidden="false" customHeight="false" outlineLevel="0" collapsed="false">
      <c r="A3813" s="3" t="n">
        <v>3812</v>
      </c>
      <c r="B3813" s="3" t="n">
        <v>3811</v>
      </c>
      <c r="C3813" s="3" t="s">
        <v>119</v>
      </c>
      <c r="D3813" s="3" t="n">
        <v>1</v>
      </c>
      <c r="E3813" s="3" t="n">
        <v>139</v>
      </c>
      <c r="F3813" s="3"/>
      <c r="G3813" s="3"/>
      <c r="H3813" s="24" t="n">
        <v>-0.0850727782</v>
      </c>
    </row>
    <row r="3814" customFormat="false" ht="15" hidden="false" customHeight="false" outlineLevel="0" collapsed="false">
      <c r="A3814" s="3" t="n">
        <v>3813</v>
      </c>
      <c r="B3814" s="3" t="n">
        <v>3812</v>
      </c>
      <c r="C3814" s="3" t="s">
        <v>119</v>
      </c>
      <c r="D3814" s="3" t="n">
        <v>1</v>
      </c>
      <c r="E3814" s="3" t="n">
        <v>140</v>
      </c>
      <c r="F3814" s="3"/>
      <c r="G3814" s="3"/>
      <c r="H3814" s="24" t="n">
        <v>0.0683169514</v>
      </c>
    </row>
    <row r="3815" customFormat="false" ht="15" hidden="false" customHeight="false" outlineLevel="0" collapsed="false">
      <c r="A3815" s="3" t="n">
        <v>3814</v>
      </c>
      <c r="B3815" s="3" t="n">
        <v>3813</v>
      </c>
      <c r="C3815" s="3" t="s">
        <v>119</v>
      </c>
      <c r="D3815" s="3" t="n">
        <v>1</v>
      </c>
      <c r="E3815" s="3" t="n">
        <v>141</v>
      </c>
      <c r="F3815" s="3"/>
      <c r="G3815" s="3"/>
      <c r="H3815" s="24" t="n">
        <v>0.303031385</v>
      </c>
    </row>
    <row r="3816" customFormat="false" ht="15" hidden="false" customHeight="false" outlineLevel="0" collapsed="false">
      <c r="A3816" s="3" t="n">
        <v>3815</v>
      </c>
      <c r="B3816" s="3" t="n">
        <v>3814</v>
      </c>
      <c r="C3816" s="3" t="s">
        <v>119</v>
      </c>
      <c r="D3816" s="3" t="n">
        <v>1</v>
      </c>
      <c r="E3816" s="3" t="n">
        <v>142</v>
      </c>
      <c r="F3816" s="3"/>
      <c r="G3816" s="3"/>
      <c r="H3816" s="24" t="n">
        <v>0.0617943145</v>
      </c>
    </row>
    <row r="3817" customFormat="false" ht="15" hidden="false" customHeight="false" outlineLevel="0" collapsed="false">
      <c r="A3817" s="3" t="n">
        <v>3816</v>
      </c>
      <c r="B3817" s="3" t="n">
        <v>3815</v>
      </c>
      <c r="C3817" s="3" t="s">
        <v>119</v>
      </c>
      <c r="D3817" s="3" t="n">
        <v>1</v>
      </c>
      <c r="E3817" s="3" t="n">
        <v>143</v>
      </c>
      <c r="F3817" s="3"/>
      <c r="G3817" s="3"/>
      <c r="H3817" s="24" t="n">
        <v>0.222296447</v>
      </c>
    </row>
    <row r="3818" customFormat="false" ht="15" hidden="false" customHeight="false" outlineLevel="0" collapsed="false">
      <c r="A3818" s="3" t="n">
        <v>3817</v>
      </c>
      <c r="B3818" s="3" t="n">
        <v>3816</v>
      </c>
      <c r="C3818" s="3" t="s">
        <v>119</v>
      </c>
      <c r="D3818" s="3" t="n">
        <v>2</v>
      </c>
      <c r="E3818" s="3" t="n">
        <v>0</v>
      </c>
      <c r="F3818" s="3"/>
      <c r="G3818" s="3"/>
      <c r="H3818" s="24" t="n">
        <v>0.573601782</v>
      </c>
    </row>
    <row r="3819" customFormat="false" ht="15" hidden="false" customHeight="false" outlineLevel="0" collapsed="false">
      <c r="A3819" s="3" t="n">
        <v>3818</v>
      </c>
      <c r="B3819" s="3" t="n">
        <v>3817</v>
      </c>
      <c r="C3819" s="3" t="s">
        <v>119</v>
      </c>
      <c r="D3819" s="3" t="n">
        <v>2</v>
      </c>
      <c r="E3819" s="3" t="n">
        <v>1</v>
      </c>
      <c r="F3819" s="3"/>
      <c r="G3819" s="3"/>
      <c r="H3819" s="24" t="n">
        <v>-0.0309397895</v>
      </c>
    </row>
    <row r="3820" customFormat="false" ht="15" hidden="false" customHeight="false" outlineLevel="0" collapsed="false">
      <c r="A3820" s="3" t="n">
        <v>3819</v>
      </c>
      <c r="B3820" s="3" t="n">
        <v>3818</v>
      </c>
      <c r="C3820" s="3" t="s">
        <v>119</v>
      </c>
      <c r="D3820" s="3" t="n">
        <v>2</v>
      </c>
      <c r="E3820" s="3" t="n">
        <v>2</v>
      </c>
      <c r="F3820" s="3"/>
      <c r="G3820" s="3"/>
      <c r="H3820" s="24" t="n">
        <v>-0.0169323348</v>
      </c>
    </row>
    <row r="3821" customFormat="false" ht="15" hidden="false" customHeight="false" outlineLevel="0" collapsed="false">
      <c r="A3821" s="3" t="n">
        <v>3820</v>
      </c>
      <c r="B3821" s="3" t="n">
        <v>3819</v>
      </c>
      <c r="C3821" s="3" t="s">
        <v>119</v>
      </c>
      <c r="D3821" s="3" t="n">
        <v>2</v>
      </c>
      <c r="E3821" s="3" t="n">
        <v>3</v>
      </c>
      <c r="F3821" s="3"/>
      <c r="G3821" s="3"/>
      <c r="H3821" s="24" t="n">
        <v>0.251951814</v>
      </c>
    </row>
    <row r="3822" customFormat="false" ht="15" hidden="false" customHeight="false" outlineLevel="0" collapsed="false">
      <c r="A3822" s="3" t="n">
        <v>3821</v>
      </c>
      <c r="B3822" s="3" t="n">
        <v>3820</v>
      </c>
      <c r="C3822" s="3" t="s">
        <v>119</v>
      </c>
      <c r="D3822" s="3" t="n">
        <v>2</v>
      </c>
      <c r="E3822" s="3" t="n">
        <v>4</v>
      </c>
      <c r="F3822" s="3"/>
      <c r="G3822" s="3"/>
      <c r="H3822" s="24" t="n">
        <v>-0.0800588056</v>
      </c>
    </row>
    <row r="3823" customFormat="false" ht="15" hidden="false" customHeight="false" outlineLevel="0" collapsed="false">
      <c r="A3823" s="3" t="n">
        <v>3822</v>
      </c>
      <c r="B3823" s="3" t="n">
        <v>3821</v>
      </c>
      <c r="C3823" s="3" t="s">
        <v>119</v>
      </c>
      <c r="D3823" s="3" t="n">
        <v>2</v>
      </c>
      <c r="E3823" s="3" t="n">
        <v>5</v>
      </c>
      <c r="F3823" s="3"/>
      <c r="G3823" s="3"/>
      <c r="H3823" s="24" t="n">
        <v>-0.234489426</v>
      </c>
    </row>
    <row r="3824" customFormat="false" ht="15" hidden="false" customHeight="false" outlineLevel="0" collapsed="false">
      <c r="A3824" s="3" t="n">
        <v>3823</v>
      </c>
      <c r="B3824" s="3" t="n">
        <v>3822</v>
      </c>
      <c r="C3824" s="3" t="s">
        <v>119</v>
      </c>
      <c r="D3824" s="3" t="n">
        <v>2</v>
      </c>
      <c r="E3824" s="3" t="n">
        <v>6</v>
      </c>
      <c r="F3824" s="3"/>
      <c r="G3824" s="3"/>
      <c r="H3824" s="24" t="n">
        <v>0.180938065</v>
      </c>
    </row>
    <row r="3825" customFormat="false" ht="15" hidden="false" customHeight="false" outlineLevel="0" collapsed="false">
      <c r="A3825" s="3" t="n">
        <v>3824</v>
      </c>
      <c r="B3825" s="3" t="n">
        <v>3823</v>
      </c>
      <c r="C3825" s="3" t="s">
        <v>119</v>
      </c>
      <c r="D3825" s="3" t="n">
        <v>2</v>
      </c>
      <c r="E3825" s="3" t="n">
        <v>7</v>
      </c>
      <c r="F3825" s="3"/>
      <c r="G3825" s="3"/>
      <c r="H3825" s="24" t="n">
        <v>0.115358114</v>
      </c>
    </row>
    <row r="3826" customFormat="false" ht="15" hidden="false" customHeight="false" outlineLevel="0" collapsed="false">
      <c r="A3826" s="3" t="n">
        <v>3825</v>
      </c>
      <c r="B3826" s="3" t="n">
        <v>3824</v>
      </c>
      <c r="C3826" s="3" t="s">
        <v>119</v>
      </c>
      <c r="D3826" s="3" t="n">
        <v>2</v>
      </c>
      <c r="E3826" s="3" t="n">
        <v>8</v>
      </c>
      <c r="F3826" s="3"/>
      <c r="G3826" s="3"/>
      <c r="H3826" s="24" t="n">
        <v>-0.170730606</v>
      </c>
    </row>
    <row r="3827" customFormat="false" ht="15" hidden="false" customHeight="false" outlineLevel="0" collapsed="false">
      <c r="A3827" s="3" t="n">
        <v>3826</v>
      </c>
      <c r="B3827" s="3" t="n">
        <v>3825</v>
      </c>
      <c r="C3827" s="3" t="s">
        <v>119</v>
      </c>
      <c r="D3827" s="3" t="n">
        <v>2</v>
      </c>
      <c r="E3827" s="3" t="n">
        <v>9</v>
      </c>
      <c r="F3827" s="3"/>
      <c r="G3827" s="3"/>
      <c r="H3827" s="24" t="n">
        <v>-0.108047612</v>
      </c>
    </row>
    <row r="3828" customFormat="false" ht="15" hidden="false" customHeight="false" outlineLevel="0" collapsed="false">
      <c r="A3828" s="3" t="n">
        <v>3827</v>
      </c>
      <c r="B3828" s="3" t="n">
        <v>3826</v>
      </c>
      <c r="C3828" s="3" t="s">
        <v>119</v>
      </c>
      <c r="D3828" s="3" t="n">
        <v>2</v>
      </c>
      <c r="E3828" s="3" t="n">
        <v>10</v>
      </c>
      <c r="F3828" s="3"/>
      <c r="G3828" s="3"/>
      <c r="H3828" s="24" t="n">
        <v>0.0756260231</v>
      </c>
    </row>
    <row r="3829" customFormat="false" ht="15" hidden="false" customHeight="false" outlineLevel="0" collapsed="false">
      <c r="A3829" s="3" t="n">
        <v>3828</v>
      </c>
      <c r="B3829" s="3" t="n">
        <v>3827</v>
      </c>
      <c r="C3829" s="3" t="s">
        <v>119</v>
      </c>
      <c r="D3829" s="3" t="n">
        <v>2</v>
      </c>
      <c r="E3829" s="3" t="n">
        <v>11</v>
      </c>
      <c r="F3829" s="3"/>
      <c r="G3829" s="3"/>
      <c r="H3829" s="24" t="n">
        <v>-0.036340978</v>
      </c>
    </row>
    <row r="3830" customFormat="false" ht="15" hidden="false" customHeight="false" outlineLevel="0" collapsed="false">
      <c r="A3830" s="3" t="n">
        <v>3829</v>
      </c>
      <c r="B3830" s="3" t="n">
        <v>3828</v>
      </c>
      <c r="C3830" s="3" t="s">
        <v>119</v>
      </c>
      <c r="D3830" s="3" t="n">
        <v>2</v>
      </c>
      <c r="E3830" s="3" t="n">
        <v>12</v>
      </c>
      <c r="F3830" s="3"/>
      <c r="G3830" s="3"/>
      <c r="H3830" s="24" t="n">
        <v>-0.172926515</v>
      </c>
    </row>
    <row r="3831" customFormat="false" ht="15" hidden="false" customHeight="false" outlineLevel="0" collapsed="false">
      <c r="A3831" s="3" t="n">
        <v>3830</v>
      </c>
      <c r="B3831" s="3" t="n">
        <v>3829</v>
      </c>
      <c r="C3831" s="3" t="s">
        <v>119</v>
      </c>
      <c r="D3831" s="3" t="n">
        <v>2</v>
      </c>
      <c r="E3831" s="3" t="n">
        <v>13</v>
      </c>
      <c r="F3831" s="3"/>
      <c r="G3831" s="3"/>
      <c r="H3831" s="24" t="n">
        <v>0.0965297669</v>
      </c>
    </row>
    <row r="3832" customFormat="false" ht="15" hidden="false" customHeight="false" outlineLevel="0" collapsed="false">
      <c r="A3832" s="3" t="n">
        <v>3831</v>
      </c>
      <c r="B3832" s="3" t="n">
        <v>3830</v>
      </c>
      <c r="C3832" s="3" t="s">
        <v>119</v>
      </c>
      <c r="D3832" s="3" t="n">
        <v>2</v>
      </c>
      <c r="E3832" s="3" t="n">
        <v>14</v>
      </c>
      <c r="F3832" s="3"/>
      <c r="G3832" s="3"/>
      <c r="H3832" s="24" t="n">
        <v>0.108193792</v>
      </c>
    </row>
    <row r="3833" customFormat="false" ht="15" hidden="false" customHeight="false" outlineLevel="0" collapsed="false">
      <c r="A3833" s="3" t="n">
        <v>3832</v>
      </c>
      <c r="B3833" s="3" t="n">
        <v>3831</v>
      </c>
      <c r="C3833" s="3" t="s">
        <v>119</v>
      </c>
      <c r="D3833" s="3" t="n">
        <v>2</v>
      </c>
      <c r="E3833" s="3" t="n">
        <v>15</v>
      </c>
      <c r="F3833" s="3"/>
      <c r="G3833" s="3"/>
      <c r="H3833" s="24" t="n">
        <v>0.0405210555</v>
      </c>
    </row>
    <row r="3834" customFormat="false" ht="15" hidden="false" customHeight="false" outlineLevel="0" collapsed="false">
      <c r="A3834" s="3" t="n">
        <v>3833</v>
      </c>
      <c r="B3834" s="3" t="n">
        <v>3832</v>
      </c>
      <c r="C3834" s="3" t="s">
        <v>119</v>
      </c>
      <c r="D3834" s="3" t="n">
        <v>2</v>
      </c>
      <c r="E3834" s="3" t="n">
        <v>16</v>
      </c>
      <c r="F3834" s="3"/>
      <c r="G3834" s="3"/>
      <c r="H3834" s="24" t="n">
        <v>-0.339142054</v>
      </c>
    </row>
    <row r="3835" customFormat="false" ht="15" hidden="false" customHeight="false" outlineLevel="0" collapsed="false">
      <c r="A3835" s="3" t="n">
        <v>3834</v>
      </c>
      <c r="B3835" s="3" t="n">
        <v>3833</v>
      </c>
      <c r="C3835" s="3" t="s">
        <v>119</v>
      </c>
      <c r="D3835" s="3" t="n">
        <v>2</v>
      </c>
      <c r="E3835" s="3" t="n">
        <v>17</v>
      </c>
      <c r="F3835" s="3"/>
      <c r="G3835" s="3"/>
      <c r="H3835" s="24" t="n">
        <v>-0.115202345</v>
      </c>
    </row>
    <row r="3836" customFormat="false" ht="15" hidden="false" customHeight="false" outlineLevel="0" collapsed="false">
      <c r="A3836" s="3" t="n">
        <v>3835</v>
      </c>
      <c r="B3836" s="3" t="n">
        <v>3834</v>
      </c>
      <c r="C3836" s="3" t="s">
        <v>119</v>
      </c>
      <c r="D3836" s="3" t="n">
        <v>2</v>
      </c>
      <c r="E3836" s="3" t="n">
        <v>18</v>
      </c>
      <c r="F3836" s="3"/>
      <c r="G3836" s="3"/>
      <c r="H3836" s="24" t="n">
        <v>-0.0334882066</v>
      </c>
    </row>
    <row r="3837" customFormat="false" ht="15" hidden="false" customHeight="false" outlineLevel="0" collapsed="false">
      <c r="A3837" s="3" t="n">
        <v>3836</v>
      </c>
      <c r="B3837" s="3" t="n">
        <v>3835</v>
      </c>
      <c r="C3837" s="3" t="s">
        <v>119</v>
      </c>
      <c r="D3837" s="3" t="n">
        <v>2</v>
      </c>
      <c r="E3837" s="3" t="n">
        <v>19</v>
      </c>
      <c r="F3837" s="3"/>
      <c r="G3837" s="3"/>
      <c r="H3837" s="24" t="n">
        <v>-0.0427578688</v>
      </c>
    </row>
    <row r="3838" customFormat="false" ht="15" hidden="false" customHeight="false" outlineLevel="0" collapsed="false">
      <c r="A3838" s="3" t="n">
        <v>3837</v>
      </c>
      <c r="B3838" s="3" t="n">
        <v>3836</v>
      </c>
      <c r="C3838" s="3" t="s">
        <v>119</v>
      </c>
      <c r="D3838" s="3" t="n">
        <v>2</v>
      </c>
      <c r="E3838" s="3" t="n">
        <v>20</v>
      </c>
      <c r="F3838" s="3"/>
      <c r="G3838" s="3"/>
      <c r="H3838" s="24" t="n">
        <v>-0.289460599</v>
      </c>
    </row>
    <row r="3839" customFormat="false" ht="15" hidden="false" customHeight="false" outlineLevel="0" collapsed="false">
      <c r="A3839" s="3" t="n">
        <v>3838</v>
      </c>
      <c r="B3839" s="3" t="n">
        <v>3837</v>
      </c>
      <c r="C3839" s="3" t="s">
        <v>119</v>
      </c>
      <c r="D3839" s="3" t="n">
        <v>2</v>
      </c>
      <c r="E3839" s="3" t="n">
        <v>21</v>
      </c>
      <c r="F3839" s="3"/>
      <c r="G3839" s="3"/>
      <c r="H3839" s="24" t="n">
        <v>0.0715391561</v>
      </c>
    </row>
    <row r="3840" customFormat="false" ht="15" hidden="false" customHeight="false" outlineLevel="0" collapsed="false">
      <c r="A3840" s="3" t="n">
        <v>3839</v>
      </c>
      <c r="B3840" s="3" t="n">
        <v>3838</v>
      </c>
      <c r="C3840" s="3" t="s">
        <v>119</v>
      </c>
      <c r="D3840" s="3" t="n">
        <v>2</v>
      </c>
      <c r="E3840" s="3" t="n">
        <v>22</v>
      </c>
      <c r="F3840" s="3"/>
      <c r="G3840" s="3"/>
      <c r="H3840" s="24" t="n">
        <v>-0.0595811196</v>
      </c>
    </row>
    <row r="3841" customFormat="false" ht="15" hidden="false" customHeight="false" outlineLevel="0" collapsed="false">
      <c r="A3841" s="3" t="n">
        <v>3840</v>
      </c>
      <c r="B3841" s="3" t="n">
        <v>3839</v>
      </c>
      <c r="C3841" s="3" t="s">
        <v>119</v>
      </c>
      <c r="D3841" s="3" t="n">
        <v>2</v>
      </c>
      <c r="E3841" s="3" t="n">
        <v>23</v>
      </c>
      <c r="F3841" s="3"/>
      <c r="G3841" s="3"/>
      <c r="H3841" s="24" t="n">
        <v>-0.113107577</v>
      </c>
    </row>
    <row r="3842" customFormat="false" ht="15" hidden="false" customHeight="false" outlineLevel="0" collapsed="false">
      <c r="A3842" s="3" t="n">
        <v>3841</v>
      </c>
      <c r="B3842" s="3" t="n">
        <v>3840</v>
      </c>
      <c r="C3842" s="3" t="s">
        <v>119</v>
      </c>
      <c r="D3842" s="3" t="n">
        <v>2</v>
      </c>
      <c r="E3842" s="3" t="n">
        <v>24</v>
      </c>
      <c r="F3842" s="3"/>
      <c r="G3842" s="3"/>
      <c r="H3842" s="24" t="n">
        <v>0.107123226</v>
      </c>
    </row>
    <row r="3843" customFormat="false" ht="15" hidden="false" customHeight="false" outlineLevel="0" collapsed="false">
      <c r="A3843" s="3" t="n">
        <v>3842</v>
      </c>
      <c r="B3843" s="3" t="n">
        <v>3841</v>
      </c>
      <c r="C3843" s="3" t="s">
        <v>119</v>
      </c>
      <c r="D3843" s="3" t="n">
        <v>2</v>
      </c>
      <c r="E3843" s="3" t="n">
        <v>25</v>
      </c>
      <c r="F3843" s="3"/>
      <c r="G3843" s="3"/>
      <c r="H3843" s="24" t="n">
        <v>0.0791336596</v>
      </c>
    </row>
    <row r="3844" customFormat="false" ht="15" hidden="false" customHeight="false" outlineLevel="0" collapsed="false">
      <c r="A3844" s="3" t="n">
        <v>3843</v>
      </c>
      <c r="B3844" s="3" t="n">
        <v>3842</v>
      </c>
      <c r="C3844" s="3" t="s">
        <v>119</v>
      </c>
      <c r="D3844" s="3" t="n">
        <v>2</v>
      </c>
      <c r="E3844" s="3" t="n">
        <v>26</v>
      </c>
      <c r="F3844" s="3"/>
      <c r="G3844" s="3"/>
      <c r="H3844" s="24" t="n">
        <v>0.259076744</v>
      </c>
    </row>
    <row r="3845" customFormat="false" ht="15" hidden="false" customHeight="false" outlineLevel="0" collapsed="false">
      <c r="A3845" s="3" t="n">
        <v>3844</v>
      </c>
      <c r="B3845" s="3" t="n">
        <v>3843</v>
      </c>
      <c r="C3845" s="3" t="s">
        <v>119</v>
      </c>
      <c r="D3845" s="3" t="n">
        <v>2</v>
      </c>
      <c r="E3845" s="3" t="n">
        <v>27</v>
      </c>
      <c r="F3845" s="3"/>
      <c r="G3845" s="3"/>
      <c r="H3845" s="24" t="n">
        <v>0.0550665222</v>
      </c>
    </row>
    <row r="3846" customFormat="false" ht="15" hidden="false" customHeight="false" outlineLevel="0" collapsed="false">
      <c r="A3846" s="3" t="n">
        <v>3845</v>
      </c>
      <c r="B3846" s="3" t="n">
        <v>3844</v>
      </c>
      <c r="C3846" s="3" t="s">
        <v>119</v>
      </c>
      <c r="D3846" s="3" t="n">
        <v>2</v>
      </c>
      <c r="E3846" s="3" t="n">
        <v>28</v>
      </c>
      <c r="F3846" s="3"/>
      <c r="G3846" s="3"/>
      <c r="H3846" s="24" t="n">
        <v>-0.0547439083</v>
      </c>
    </row>
    <row r="3847" customFormat="false" ht="15" hidden="false" customHeight="false" outlineLevel="0" collapsed="false">
      <c r="A3847" s="3" t="n">
        <v>3846</v>
      </c>
      <c r="B3847" s="3" t="n">
        <v>3845</v>
      </c>
      <c r="C3847" s="3" t="s">
        <v>119</v>
      </c>
      <c r="D3847" s="3" t="n">
        <v>2</v>
      </c>
      <c r="E3847" s="3" t="n">
        <v>29</v>
      </c>
      <c r="F3847" s="3"/>
      <c r="G3847" s="3"/>
      <c r="H3847" s="24" t="n">
        <v>-0.00206864625</v>
      </c>
    </row>
    <row r="3848" customFormat="false" ht="15" hidden="false" customHeight="false" outlineLevel="0" collapsed="false">
      <c r="A3848" s="3" t="n">
        <v>3847</v>
      </c>
      <c r="B3848" s="3" t="n">
        <v>3846</v>
      </c>
      <c r="C3848" s="3" t="s">
        <v>119</v>
      </c>
      <c r="D3848" s="3" t="n">
        <v>2</v>
      </c>
      <c r="E3848" s="3" t="n">
        <v>30</v>
      </c>
      <c r="F3848" s="3"/>
      <c r="G3848" s="3"/>
      <c r="H3848" s="24" t="n">
        <v>-0.139070213</v>
      </c>
    </row>
    <row r="3849" customFormat="false" ht="15" hidden="false" customHeight="false" outlineLevel="0" collapsed="false">
      <c r="A3849" s="3" t="n">
        <v>3848</v>
      </c>
      <c r="B3849" s="3" t="n">
        <v>3847</v>
      </c>
      <c r="C3849" s="3" t="s">
        <v>119</v>
      </c>
      <c r="D3849" s="3" t="n">
        <v>2</v>
      </c>
      <c r="E3849" s="3" t="n">
        <v>31</v>
      </c>
      <c r="F3849" s="3"/>
      <c r="G3849" s="3"/>
      <c r="H3849" s="24" t="n">
        <v>0.0178501997</v>
      </c>
    </row>
    <row r="3850" customFormat="false" ht="15" hidden="false" customHeight="false" outlineLevel="0" collapsed="false">
      <c r="A3850" s="3" t="n">
        <v>3849</v>
      </c>
      <c r="B3850" s="3" t="n">
        <v>3848</v>
      </c>
      <c r="C3850" s="3" t="s">
        <v>119</v>
      </c>
      <c r="D3850" s="3" t="n">
        <v>2</v>
      </c>
      <c r="E3850" s="3" t="n">
        <v>32</v>
      </c>
      <c r="F3850" s="3"/>
      <c r="G3850" s="3"/>
      <c r="H3850" s="24" t="n">
        <v>0.0733753145</v>
      </c>
    </row>
    <row r="3851" customFormat="false" ht="15" hidden="false" customHeight="false" outlineLevel="0" collapsed="false">
      <c r="A3851" s="3" t="n">
        <v>3850</v>
      </c>
      <c r="B3851" s="3" t="n">
        <v>3849</v>
      </c>
      <c r="C3851" s="3" t="s">
        <v>119</v>
      </c>
      <c r="D3851" s="3" t="n">
        <v>2</v>
      </c>
      <c r="E3851" s="3" t="n">
        <v>33</v>
      </c>
      <c r="F3851" s="3"/>
      <c r="G3851" s="3"/>
      <c r="H3851" s="24" t="n">
        <v>-0.0655855909</v>
      </c>
    </row>
    <row r="3852" customFormat="false" ht="15" hidden="false" customHeight="false" outlineLevel="0" collapsed="false">
      <c r="A3852" s="3" t="n">
        <v>3851</v>
      </c>
      <c r="B3852" s="3" t="n">
        <v>3850</v>
      </c>
      <c r="C3852" s="3" t="s">
        <v>119</v>
      </c>
      <c r="D3852" s="3" t="n">
        <v>2</v>
      </c>
      <c r="E3852" s="3" t="n">
        <v>34</v>
      </c>
      <c r="F3852" s="3"/>
      <c r="G3852" s="3"/>
      <c r="H3852" s="24" t="n">
        <v>0.0107581783</v>
      </c>
    </row>
    <row r="3853" customFormat="false" ht="15" hidden="false" customHeight="false" outlineLevel="0" collapsed="false">
      <c r="A3853" s="3" t="n">
        <v>3852</v>
      </c>
      <c r="B3853" s="3" t="n">
        <v>3851</v>
      </c>
      <c r="C3853" s="3" t="s">
        <v>119</v>
      </c>
      <c r="D3853" s="3" t="n">
        <v>2</v>
      </c>
      <c r="E3853" s="3" t="n">
        <v>35</v>
      </c>
      <c r="F3853" s="3"/>
      <c r="G3853" s="3"/>
      <c r="H3853" s="24" t="n">
        <v>-0.232251003</v>
      </c>
    </row>
    <row r="3854" customFormat="false" ht="15" hidden="false" customHeight="false" outlineLevel="0" collapsed="false">
      <c r="A3854" s="3" t="n">
        <v>3853</v>
      </c>
      <c r="B3854" s="3" t="n">
        <v>3852</v>
      </c>
      <c r="C3854" s="3" t="s">
        <v>119</v>
      </c>
      <c r="D3854" s="3" t="n">
        <v>2</v>
      </c>
      <c r="E3854" s="3" t="n">
        <v>36</v>
      </c>
      <c r="F3854" s="3"/>
      <c r="G3854" s="3"/>
      <c r="H3854" s="24" t="n">
        <v>0.0153666073</v>
      </c>
    </row>
    <row r="3855" customFormat="false" ht="15" hidden="false" customHeight="false" outlineLevel="0" collapsed="false">
      <c r="A3855" s="3" t="n">
        <v>3854</v>
      </c>
      <c r="B3855" s="3" t="n">
        <v>3853</v>
      </c>
      <c r="C3855" s="3" t="s">
        <v>119</v>
      </c>
      <c r="D3855" s="3" t="n">
        <v>2</v>
      </c>
      <c r="E3855" s="3" t="n">
        <v>37</v>
      </c>
      <c r="F3855" s="3"/>
      <c r="G3855" s="3"/>
      <c r="H3855" s="24" t="n">
        <v>0.17091161</v>
      </c>
    </row>
    <row r="3856" customFormat="false" ht="15" hidden="false" customHeight="false" outlineLevel="0" collapsed="false">
      <c r="A3856" s="3" t="n">
        <v>3855</v>
      </c>
      <c r="B3856" s="3" t="n">
        <v>3854</v>
      </c>
      <c r="C3856" s="3" t="s">
        <v>119</v>
      </c>
      <c r="D3856" s="3" t="n">
        <v>2</v>
      </c>
      <c r="E3856" s="3" t="n">
        <v>38</v>
      </c>
      <c r="F3856" s="3"/>
      <c r="G3856" s="3"/>
      <c r="H3856" s="24" t="n">
        <v>0.190126494</v>
      </c>
    </row>
    <row r="3857" customFormat="false" ht="15" hidden="false" customHeight="false" outlineLevel="0" collapsed="false">
      <c r="A3857" s="3" t="n">
        <v>3856</v>
      </c>
      <c r="B3857" s="3" t="n">
        <v>3855</v>
      </c>
      <c r="C3857" s="3" t="s">
        <v>119</v>
      </c>
      <c r="D3857" s="3" t="n">
        <v>2</v>
      </c>
      <c r="E3857" s="3" t="n">
        <v>39</v>
      </c>
      <c r="F3857" s="3"/>
      <c r="G3857" s="3"/>
      <c r="H3857" s="24" t="n">
        <v>-0.352071673</v>
      </c>
    </row>
    <row r="3858" customFormat="false" ht="15" hidden="false" customHeight="false" outlineLevel="0" collapsed="false">
      <c r="A3858" s="3" t="n">
        <v>3857</v>
      </c>
      <c r="B3858" s="3" t="n">
        <v>3856</v>
      </c>
      <c r="C3858" s="3" t="s">
        <v>119</v>
      </c>
      <c r="D3858" s="3" t="n">
        <v>2</v>
      </c>
      <c r="E3858" s="3" t="n">
        <v>40</v>
      </c>
      <c r="F3858" s="3"/>
      <c r="G3858" s="3"/>
      <c r="H3858" s="24" t="n">
        <v>-0.137108505</v>
      </c>
    </row>
    <row r="3859" customFormat="false" ht="15" hidden="false" customHeight="false" outlineLevel="0" collapsed="false">
      <c r="A3859" s="3" t="n">
        <v>3858</v>
      </c>
      <c r="B3859" s="3" t="n">
        <v>3857</v>
      </c>
      <c r="C3859" s="3" t="s">
        <v>119</v>
      </c>
      <c r="D3859" s="3" t="n">
        <v>2</v>
      </c>
      <c r="E3859" s="3" t="n">
        <v>41</v>
      </c>
      <c r="F3859" s="3"/>
      <c r="G3859" s="3"/>
      <c r="H3859" s="24" t="n">
        <v>-0.0436277986</v>
      </c>
    </row>
    <row r="3860" customFormat="false" ht="15" hidden="false" customHeight="false" outlineLevel="0" collapsed="false">
      <c r="A3860" s="3" t="n">
        <v>3859</v>
      </c>
      <c r="B3860" s="3" t="n">
        <v>3858</v>
      </c>
      <c r="C3860" s="3" t="s">
        <v>119</v>
      </c>
      <c r="D3860" s="3" t="n">
        <v>2</v>
      </c>
      <c r="E3860" s="3" t="n">
        <v>42</v>
      </c>
      <c r="F3860" s="3"/>
      <c r="G3860" s="3"/>
      <c r="H3860" s="24" t="n">
        <v>0.037285734</v>
      </c>
    </row>
    <row r="3861" customFormat="false" ht="15" hidden="false" customHeight="false" outlineLevel="0" collapsed="false">
      <c r="A3861" s="3" t="n">
        <v>3860</v>
      </c>
      <c r="B3861" s="3" t="n">
        <v>3859</v>
      </c>
      <c r="C3861" s="3" t="s">
        <v>119</v>
      </c>
      <c r="D3861" s="3" t="n">
        <v>2</v>
      </c>
      <c r="E3861" s="3" t="n">
        <v>43</v>
      </c>
      <c r="F3861" s="3"/>
      <c r="G3861" s="3"/>
      <c r="H3861" s="24" t="n">
        <v>-0.0317357816</v>
      </c>
    </row>
    <row r="3862" customFormat="false" ht="15" hidden="false" customHeight="false" outlineLevel="0" collapsed="false">
      <c r="A3862" s="3" t="n">
        <v>3861</v>
      </c>
      <c r="B3862" s="3" t="n">
        <v>3860</v>
      </c>
      <c r="C3862" s="3" t="s">
        <v>119</v>
      </c>
      <c r="D3862" s="3" t="n">
        <v>2</v>
      </c>
      <c r="E3862" s="3" t="n">
        <v>44</v>
      </c>
      <c r="F3862" s="3"/>
      <c r="G3862" s="3"/>
      <c r="H3862" s="24" t="n">
        <v>0.0310945604</v>
      </c>
    </row>
    <row r="3863" customFormat="false" ht="15" hidden="false" customHeight="false" outlineLevel="0" collapsed="false">
      <c r="A3863" s="3" t="n">
        <v>3862</v>
      </c>
      <c r="B3863" s="3" t="n">
        <v>3861</v>
      </c>
      <c r="C3863" s="3" t="s">
        <v>119</v>
      </c>
      <c r="D3863" s="3" t="n">
        <v>2</v>
      </c>
      <c r="E3863" s="3" t="n">
        <v>45</v>
      </c>
      <c r="F3863" s="3"/>
      <c r="G3863" s="3"/>
      <c r="H3863" s="24" t="n">
        <v>-0.209775358</v>
      </c>
    </row>
    <row r="3864" customFormat="false" ht="15" hidden="false" customHeight="false" outlineLevel="0" collapsed="false">
      <c r="A3864" s="3" t="n">
        <v>3863</v>
      </c>
      <c r="B3864" s="3" t="n">
        <v>3862</v>
      </c>
      <c r="C3864" s="3" t="s">
        <v>119</v>
      </c>
      <c r="D3864" s="3" t="n">
        <v>2</v>
      </c>
      <c r="E3864" s="3" t="n">
        <v>46</v>
      </c>
      <c r="F3864" s="3"/>
      <c r="G3864" s="3"/>
      <c r="H3864" s="24" t="n">
        <v>0.0448464304</v>
      </c>
    </row>
    <row r="3865" customFormat="false" ht="15" hidden="false" customHeight="false" outlineLevel="0" collapsed="false">
      <c r="A3865" s="3" t="n">
        <v>3864</v>
      </c>
      <c r="B3865" s="3" t="n">
        <v>3863</v>
      </c>
      <c r="C3865" s="3" t="s">
        <v>119</v>
      </c>
      <c r="D3865" s="3" t="n">
        <v>2</v>
      </c>
      <c r="E3865" s="3" t="n">
        <v>47</v>
      </c>
      <c r="F3865" s="3"/>
      <c r="G3865" s="3"/>
      <c r="H3865" s="24" t="n">
        <v>-0.00253430917</v>
      </c>
    </row>
    <row r="3866" customFormat="false" ht="15" hidden="false" customHeight="false" outlineLevel="0" collapsed="false">
      <c r="A3866" s="3" t="n">
        <v>3865</v>
      </c>
      <c r="B3866" s="3" t="n">
        <v>3864</v>
      </c>
      <c r="C3866" s="3" t="s">
        <v>119</v>
      </c>
      <c r="D3866" s="3" t="n">
        <v>2</v>
      </c>
      <c r="E3866" s="3" t="n">
        <v>48</v>
      </c>
      <c r="F3866" s="3"/>
      <c r="G3866" s="3"/>
      <c r="H3866" s="24" t="n">
        <v>-0.0100070508</v>
      </c>
    </row>
    <row r="3867" customFormat="false" ht="15" hidden="false" customHeight="false" outlineLevel="0" collapsed="false">
      <c r="A3867" s="3" t="n">
        <v>3866</v>
      </c>
      <c r="B3867" s="3" t="n">
        <v>3865</v>
      </c>
      <c r="C3867" s="3" t="s">
        <v>119</v>
      </c>
      <c r="D3867" s="3" t="n">
        <v>2</v>
      </c>
      <c r="E3867" s="3" t="n">
        <v>49</v>
      </c>
      <c r="F3867" s="3"/>
      <c r="G3867" s="3"/>
      <c r="H3867" s="24" t="n">
        <v>0.0235239938</v>
      </c>
    </row>
    <row r="3868" customFormat="false" ht="15" hidden="false" customHeight="false" outlineLevel="0" collapsed="false">
      <c r="A3868" s="3" t="n">
        <v>3867</v>
      </c>
      <c r="B3868" s="3" t="n">
        <v>3866</v>
      </c>
      <c r="C3868" s="3" t="s">
        <v>119</v>
      </c>
      <c r="D3868" s="3" t="n">
        <v>2</v>
      </c>
      <c r="E3868" s="3" t="n">
        <v>50</v>
      </c>
      <c r="F3868" s="3"/>
      <c r="G3868" s="3"/>
      <c r="H3868" s="24" t="n">
        <v>-0.119583517</v>
      </c>
    </row>
    <row r="3869" customFormat="false" ht="15" hidden="false" customHeight="false" outlineLevel="0" collapsed="false">
      <c r="A3869" s="3" t="n">
        <v>3868</v>
      </c>
      <c r="B3869" s="3" t="n">
        <v>3867</v>
      </c>
      <c r="C3869" s="3" t="s">
        <v>119</v>
      </c>
      <c r="D3869" s="3" t="n">
        <v>2</v>
      </c>
      <c r="E3869" s="3" t="n">
        <v>51</v>
      </c>
      <c r="F3869" s="3"/>
      <c r="G3869" s="3"/>
      <c r="H3869" s="24" t="n">
        <v>-0.121459991</v>
      </c>
    </row>
    <row r="3870" customFormat="false" ht="15" hidden="false" customHeight="false" outlineLevel="0" collapsed="false">
      <c r="A3870" s="3" t="n">
        <v>3869</v>
      </c>
      <c r="B3870" s="3" t="n">
        <v>3868</v>
      </c>
      <c r="C3870" s="3" t="s">
        <v>119</v>
      </c>
      <c r="D3870" s="3" t="n">
        <v>2</v>
      </c>
      <c r="E3870" s="3" t="n">
        <v>52</v>
      </c>
      <c r="F3870" s="3"/>
      <c r="G3870" s="3"/>
      <c r="H3870" s="24" t="n">
        <v>0.162017211</v>
      </c>
    </row>
    <row r="3871" customFormat="false" ht="15" hidden="false" customHeight="false" outlineLevel="0" collapsed="false">
      <c r="A3871" s="3" t="n">
        <v>3870</v>
      </c>
      <c r="B3871" s="3" t="n">
        <v>3869</v>
      </c>
      <c r="C3871" s="3" t="s">
        <v>119</v>
      </c>
      <c r="D3871" s="3" t="n">
        <v>2</v>
      </c>
      <c r="E3871" s="3" t="n">
        <v>53</v>
      </c>
      <c r="F3871" s="3"/>
      <c r="G3871" s="3"/>
      <c r="H3871" s="24" t="n">
        <v>0.0219358224</v>
      </c>
    </row>
    <row r="3872" customFormat="false" ht="15" hidden="false" customHeight="false" outlineLevel="0" collapsed="false">
      <c r="A3872" s="3" t="n">
        <v>3871</v>
      </c>
      <c r="B3872" s="3" t="n">
        <v>3870</v>
      </c>
      <c r="C3872" s="3" t="s">
        <v>119</v>
      </c>
      <c r="D3872" s="3" t="n">
        <v>2</v>
      </c>
      <c r="E3872" s="3" t="n">
        <v>54</v>
      </c>
      <c r="F3872" s="3"/>
      <c r="G3872" s="3"/>
      <c r="H3872" s="24" t="n">
        <v>-0.205575377</v>
      </c>
    </row>
    <row r="3873" customFormat="false" ht="15" hidden="false" customHeight="false" outlineLevel="0" collapsed="false">
      <c r="A3873" s="3" t="n">
        <v>3872</v>
      </c>
      <c r="B3873" s="3" t="n">
        <v>3871</v>
      </c>
      <c r="C3873" s="3" t="s">
        <v>119</v>
      </c>
      <c r="D3873" s="3" t="n">
        <v>2</v>
      </c>
      <c r="E3873" s="3" t="n">
        <v>55</v>
      </c>
      <c r="F3873" s="3"/>
      <c r="G3873" s="3"/>
      <c r="H3873" s="24" t="n">
        <v>-0.15094915</v>
      </c>
    </row>
    <row r="3874" customFormat="false" ht="15" hidden="false" customHeight="false" outlineLevel="0" collapsed="false">
      <c r="A3874" s="3" t="n">
        <v>3873</v>
      </c>
      <c r="B3874" s="3" t="n">
        <v>3872</v>
      </c>
      <c r="C3874" s="3" t="s">
        <v>119</v>
      </c>
      <c r="D3874" s="3" t="n">
        <v>2</v>
      </c>
      <c r="E3874" s="3" t="n">
        <v>56</v>
      </c>
      <c r="F3874" s="3"/>
      <c r="G3874" s="3"/>
      <c r="H3874" s="24" t="n">
        <v>-0.307918787</v>
      </c>
    </row>
    <row r="3875" customFormat="false" ht="15" hidden="false" customHeight="false" outlineLevel="0" collapsed="false">
      <c r="A3875" s="3" t="n">
        <v>3874</v>
      </c>
      <c r="B3875" s="3" t="n">
        <v>3873</v>
      </c>
      <c r="C3875" s="3" t="s">
        <v>119</v>
      </c>
      <c r="D3875" s="3" t="n">
        <v>2</v>
      </c>
      <c r="E3875" s="3" t="n">
        <v>57</v>
      </c>
      <c r="F3875" s="3"/>
      <c r="G3875" s="3"/>
      <c r="H3875" s="24" t="n">
        <v>0.07872881</v>
      </c>
    </row>
    <row r="3876" customFormat="false" ht="15" hidden="false" customHeight="false" outlineLevel="0" collapsed="false">
      <c r="A3876" s="3" t="n">
        <v>3875</v>
      </c>
      <c r="B3876" s="3" t="n">
        <v>3874</v>
      </c>
      <c r="C3876" s="3" t="s">
        <v>119</v>
      </c>
      <c r="D3876" s="3" t="n">
        <v>2</v>
      </c>
      <c r="E3876" s="3" t="n">
        <v>58</v>
      </c>
      <c r="F3876" s="3"/>
      <c r="G3876" s="3"/>
      <c r="H3876" s="24" t="n">
        <v>0.208444104</v>
      </c>
    </row>
    <row r="3877" customFormat="false" ht="15" hidden="false" customHeight="false" outlineLevel="0" collapsed="false">
      <c r="A3877" s="3" t="n">
        <v>3876</v>
      </c>
      <c r="B3877" s="3" t="n">
        <v>3875</v>
      </c>
      <c r="C3877" s="3" t="s">
        <v>119</v>
      </c>
      <c r="D3877" s="3" t="n">
        <v>2</v>
      </c>
      <c r="E3877" s="3" t="n">
        <v>59</v>
      </c>
      <c r="F3877" s="3"/>
      <c r="G3877" s="3"/>
      <c r="H3877" s="24" t="n">
        <v>-0.270175964</v>
      </c>
    </row>
    <row r="3878" customFormat="false" ht="15" hidden="false" customHeight="false" outlineLevel="0" collapsed="false">
      <c r="A3878" s="3" t="n">
        <v>3877</v>
      </c>
      <c r="B3878" s="3" t="n">
        <v>3876</v>
      </c>
      <c r="C3878" s="3" t="s">
        <v>119</v>
      </c>
      <c r="D3878" s="3" t="n">
        <v>2</v>
      </c>
      <c r="E3878" s="3" t="n">
        <v>60</v>
      </c>
      <c r="F3878" s="3"/>
      <c r="G3878" s="3"/>
      <c r="H3878" s="24" t="n">
        <v>0.34913224</v>
      </c>
    </row>
    <row r="3879" customFormat="false" ht="15" hidden="false" customHeight="false" outlineLevel="0" collapsed="false">
      <c r="A3879" s="3" t="n">
        <v>3878</v>
      </c>
      <c r="B3879" s="3" t="n">
        <v>3877</v>
      </c>
      <c r="C3879" s="3" t="s">
        <v>119</v>
      </c>
      <c r="D3879" s="3" t="n">
        <v>2</v>
      </c>
      <c r="E3879" s="3" t="n">
        <v>61</v>
      </c>
      <c r="F3879" s="3"/>
      <c r="G3879" s="3"/>
      <c r="H3879" s="24" t="n">
        <v>-0.0492657796</v>
      </c>
    </row>
    <row r="3880" customFormat="false" ht="15" hidden="false" customHeight="false" outlineLevel="0" collapsed="false">
      <c r="A3880" s="3" t="n">
        <v>3879</v>
      </c>
      <c r="B3880" s="3" t="n">
        <v>3878</v>
      </c>
      <c r="C3880" s="3" t="s">
        <v>119</v>
      </c>
      <c r="D3880" s="3" t="n">
        <v>2</v>
      </c>
      <c r="E3880" s="3" t="n">
        <v>62</v>
      </c>
      <c r="F3880" s="3"/>
      <c r="G3880" s="3"/>
      <c r="H3880" s="24" t="n">
        <v>-0.427598178</v>
      </c>
    </row>
    <row r="3881" customFormat="false" ht="15" hidden="false" customHeight="false" outlineLevel="0" collapsed="false">
      <c r="A3881" s="3" t="n">
        <v>3880</v>
      </c>
      <c r="B3881" s="3" t="n">
        <v>3879</v>
      </c>
      <c r="C3881" s="3" t="s">
        <v>119</v>
      </c>
      <c r="D3881" s="3" t="n">
        <v>2</v>
      </c>
      <c r="E3881" s="3" t="n">
        <v>63</v>
      </c>
      <c r="F3881" s="3"/>
      <c r="G3881" s="3"/>
      <c r="H3881" s="24" t="n">
        <v>0.0221053567</v>
      </c>
    </row>
    <row r="3882" customFormat="false" ht="15" hidden="false" customHeight="false" outlineLevel="0" collapsed="false">
      <c r="A3882" s="3" t="n">
        <v>3881</v>
      </c>
      <c r="B3882" s="3" t="n">
        <v>3880</v>
      </c>
      <c r="C3882" s="3" t="s">
        <v>119</v>
      </c>
      <c r="D3882" s="3" t="n">
        <v>2</v>
      </c>
      <c r="E3882" s="3" t="n">
        <v>64</v>
      </c>
      <c r="F3882" s="3"/>
      <c r="G3882" s="3"/>
      <c r="H3882" s="24" t="n">
        <v>-0.0394826122</v>
      </c>
    </row>
    <row r="3883" customFormat="false" ht="15" hidden="false" customHeight="false" outlineLevel="0" collapsed="false">
      <c r="A3883" s="3" t="n">
        <v>3882</v>
      </c>
      <c r="B3883" s="3" t="n">
        <v>3881</v>
      </c>
      <c r="C3883" s="3" t="s">
        <v>119</v>
      </c>
      <c r="D3883" s="3" t="n">
        <v>2</v>
      </c>
      <c r="E3883" s="3" t="n">
        <v>65</v>
      </c>
      <c r="F3883" s="3"/>
      <c r="G3883" s="3"/>
      <c r="H3883" s="24" t="n">
        <v>0.0199115817</v>
      </c>
    </row>
    <row r="3884" customFormat="false" ht="15" hidden="false" customHeight="false" outlineLevel="0" collapsed="false">
      <c r="A3884" s="3" t="n">
        <v>3883</v>
      </c>
      <c r="B3884" s="3" t="n">
        <v>3882</v>
      </c>
      <c r="C3884" s="3" t="s">
        <v>119</v>
      </c>
      <c r="D3884" s="3" t="n">
        <v>2</v>
      </c>
      <c r="E3884" s="3" t="n">
        <v>66</v>
      </c>
      <c r="F3884" s="3"/>
      <c r="G3884" s="3"/>
      <c r="H3884" s="24" t="n">
        <v>0.0726083666</v>
      </c>
    </row>
    <row r="3885" customFormat="false" ht="15" hidden="false" customHeight="false" outlineLevel="0" collapsed="false">
      <c r="A3885" s="3" t="n">
        <v>3884</v>
      </c>
      <c r="B3885" s="3" t="n">
        <v>3883</v>
      </c>
      <c r="C3885" s="3" t="s">
        <v>119</v>
      </c>
      <c r="D3885" s="3" t="n">
        <v>2</v>
      </c>
      <c r="E3885" s="3" t="n">
        <v>67</v>
      </c>
      <c r="F3885" s="3"/>
      <c r="G3885" s="3"/>
      <c r="H3885" s="24" t="n">
        <v>0.0380609632</v>
      </c>
    </row>
    <row r="3886" customFormat="false" ht="15" hidden="false" customHeight="false" outlineLevel="0" collapsed="false">
      <c r="A3886" s="3" t="n">
        <v>3885</v>
      </c>
      <c r="B3886" s="3" t="n">
        <v>3884</v>
      </c>
      <c r="C3886" s="3" t="s">
        <v>119</v>
      </c>
      <c r="D3886" s="3" t="n">
        <v>2</v>
      </c>
      <c r="E3886" s="3" t="n">
        <v>68</v>
      </c>
      <c r="F3886" s="3"/>
      <c r="G3886" s="3"/>
      <c r="H3886" s="24" t="n">
        <v>0.0731217191</v>
      </c>
    </row>
    <row r="3887" customFormat="false" ht="15" hidden="false" customHeight="false" outlineLevel="0" collapsed="false">
      <c r="A3887" s="3" t="n">
        <v>3886</v>
      </c>
      <c r="B3887" s="3" t="n">
        <v>3885</v>
      </c>
      <c r="C3887" s="3" t="s">
        <v>119</v>
      </c>
      <c r="D3887" s="3" t="n">
        <v>2</v>
      </c>
      <c r="E3887" s="3" t="n">
        <v>69</v>
      </c>
      <c r="F3887" s="3"/>
      <c r="G3887" s="3"/>
      <c r="H3887" s="24" t="n">
        <v>-0.035297446</v>
      </c>
    </row>
    <row r="3888" customFormat="false" ht="15" hidden="false" customHeight="false" outlineLevel="0" collapsed="false">
      <c r="A3888" s="3" t="n">
        <v>3887</v>
      </c>
      <c r="B3888" s="3" t="n">
        <v>3886</v>
      </c>
      <c r="C3888" s="3" t="s">
        <v>119</v>
      </c>
      <c r="D3888" s="3" t="n">
        <v>2</v>
      </c>
      <c r="E3888" s="3" t="n">
        <v>70</v>
      </c>
      <c r="F3888" s="3"/>
      <c r="G3888" s="3"/>
      <c r="H3888" s="24" t="n">
        <v>-0.039794188</v>
      </c>
    </row>
    <row r="3889" customFormat="false" ht="15" hidden="false" customHeight="false" outlineLevel="0" collapsed="false">
      <c r="A3889" s="3" t="n">
        <v>3888</v>
      </c>
      <c r="B3889" s="3" t="n">
        <v>3887</v>
      </c>
      <c r="C3889" s="3" t="s">
        <v>119</v>
      </c>
      <c r="D3889" s="3" t="n">
        <v>2</v>
      </c>
      <c r="E3889" s="3" t="n">
        <v>71</v>
      </c>
      <c r="F3889" s="3"/>
      <c r="G3889" s="3"/>
      <c r="H3889" s="24" t="n">
        <v>-0.0105809569</v>
      </c>
    </row>
    <row r="3890" customFormat="false" ht="15" hidden="false" customHeight="false" outlineLevel="0" collapsed="false">
      <c r="A3890" s="3" t="n">
        <v>3889</v>
      </c>
      <c r="B3890" s="3" t="n">
        <v>3888</v>
      </c>
      <c r="C3890" s="3" t="s">
        <v>119</v>
      </c>
      <c r="D3890" s="3" t="n">
        <v>2</v>
      </c>
      <c r="E3890" s="3" t="n">
        <v>72</v>
      </c>
      <c r="F3890" s="3"/>
      <c r="G3890" s="3"/>
      <c r="H3890" s="24" t="n">
        <v>0.044260554</v>
      </c>
    </row>
    <row r="3891" customFormat="false" ht="15" hidden="false" customHeight="false" outlineLevel="0" collapsed="false">
      <c r="A3891" s="3" t="n">
        <v>3890</v>
      </c>
      <c r="B3891" s="3" t="n">
        <v>3889</v>
      </c>
      <c r="C3891" s="3" t="s">
        <v>119</v>
      </c>
      <c r="D3891" s="3" t="n">
        <v>2</v>
      </c>
      <c r="E3891" s="3" t="n">
        <v>73</v>
      </c>
      <c r="F3891" s="3"/>
      <c r="G3891" s="3"/>
      <c r="H3891" s="24" t="n">
        <v>-0.0438550897</v>
      </c>
    </row>
    <row r="3892" customFormat="false" ht="15" hidden="false" customHeight="false" outlineLevel="0" collapsed="false">
      <c r="A3892" s="3" t="n">
        <v>3891</v>
      </c>
      <c r="B3892" s="3" t="n">
        <v>3890</v>
      </c>
      <c r="C3892" s="3" t="s">
        <v>119</v>
      </c>
      <c r="D3892" s="3" t="n">
        <v>2</v>
      </c>
      <c r="E3892" s="3" t="n">
        <v>74</v>
      </c>
      <c r="F3892" s="3"/>
      <c r="G3892" s="3"/>
      <c r="H3892" s="24" t="n">
        <v>-0.0225725472</v>
      </c>
    </row>
    <row r="3893" customFormat="false" ht="15" hidden="false" customHeight="false" outlineLevel="0" collapsed="false">
      <c r="A3893" s="3" t="n">
        <v>3892</v>
      </c>
      <c r="B3893" s="3" t="n">
        <v>3891</v>
      </c>
      <c r="C3893" s="3" t="s">
        <v>119</v>
      </c>
      <c r="D3893" s="3" t="n">
        <v>2</v>
      </c>
      <c r="E3893" s="3" t="n">
        <v>75</v>
      </c>
      <c r="F3893" s="3"/>
      <c r="G3893" s="3"/>
      <c r="H3893" s="24" t="n">
        <v>0.345267147</v>
      </c>
    </row>
    <row r="3894" customFormat="false" ht="15" hidden="false" customHeight="false" outlineLevel="0" collapsed="false">
      <c r="A3894" s="3" t="n">
        <v>3893</v>
      </c>
      <c r="B3894" s="3" t="n">
        <v>3892</v>
      </c>
      <c r="C3894" s="3" t="s">
        <v>119</v>
      </c>
      <c r="D3894" s="3" t="n">
        <v>2</v>
      </c>
      <c r="E3894" s="3" t="n">
        <v>76</v>
      </c>
      <c r="F3894" s="3"/>
      <c r="G3894" s="3"/>
      <c r="H3894" s="24" t="n">
        <v>0.113599077</v>
      </c>
    </row>
    <row r="3895" customFormat="false" ht="15" hidden="false" customHeight="false" outlineLevel="0" collapsed="false">
      <c r="A3895" s="3" t="n">
        <v>3894</v>
      </c>
      <c r="B3895" s="3" t="n">
        <v>3893</v>
      </c>
      <c r="C3895" s="3" t="s">
        <v>119</v>
      </c>
      <c r="D3895" s="3" t="n">
        <v>2</v>
      </c>
      <c r="E3895" s="3" t="n">
        <v>77</v>
      </c>
      <c r="F3895" s="3"/>
      <c r="G3895" s="3"/>
      <c r="H3895" s="24" t="n">
        <v>0.136852905</v>
      </c>
    </row>
    <row r="3896" customFormat="false" ht="15" hidden="false" customHeight="false" outlineLevel="0" collapsed="false">
      <c r="A3896" s="3" t="n">
        <v>3895</v>
      </c>
      <c r="B3896" s="3" t="n">
        <v>3894</v>
      </c>
      <c r="C3896" s="3" t="s">
        <v>119</v>
      </c>
      <c r="D3896" s="3" t="n">
        <v>2</v>
      </c>
      <c r="E3896" s="3" t="n">
        <v>78</v>
      </c>
      <c r="F3896" s="3"/>
      <c r="G3896" s="3"/>
      <c r="H3896" s="24" t="n">
        <v>-0.26485157</v>
      </c>
    </row>
    <row r="3897" customFormat="false" ht="15" hidden="false" customHeight="false" outlineLevel="0" collapsed="false">
      <c r="A3897" s="3" t="n">
        <v>3896</v>
      </c>
      <c r="B3897" s="3" t="n">
        <v>3895</v>
      </c>
      <c r="C3897" s="3" t="s">
        <v>119</v>
      </c>
      <c r="D3897" s="3" t="n">
        <v>2</v>
      </c>
      <c r="E3897" s="3" t="n">
        <v>79</v>
      </c>
      <c r="F3897" s="3"/>
      <c r="G3897" s="3"/>
      <c r="H3897" s="24" t="n">
        <v>-0.0501956753</v>
      </c>
    </row>
    <row r="3898" customFormat="false" ht="15" hidden="false" customHeight="false" outlineLevel="0" collapsed="false">
      <c r="A3898" s="3" t="n">
        <v>3897</v>
      </c>
      <c r="B3898" s="3" t="n">
        <v>3896</v>
      </c>
      <c r="C3898" s="3" t="s">
        <v>119</v>
      </c>
      <c r="D3898" s="3" t="n">
        <v>2</v>
      </c>
      <c r="E3898" s="3" t="n">
        <v>80</v>
      </c>
      <c r="F3898" s="3"/>
      <c r="G3898" s="3"/>
      <c r="H3898" s="24" t="n">
        <v>-0.105255075</v>
      </c>
    </row>
    <row r="3899" customFormat="false" ht="15" hidden="false" customHeight="false" outlineLevel="0" collapsed="false">
      <c r="A3899" s="3" t="n">
        <v>3898</v>
      </c>
      <c r="B3899" s="3" t="n">
        <v>3897</v>
      </c>
      <c r="C3899" s="3" t="s">
        <v>119</v>
      </c>
      <c r="D3899" s="3" t="n">
        <v>2</v>
      </c>
      <c r="E3899" s="3" t="n">
        <v>81</v>
      </c>
      <c r="F3899" s="3"/>
      <c r="G3899" s="3"/>
      <c r="H3899" s="24" t="n">
        <v>0.0118507221</v>
      </c>
    </row>
    <row r="3900" customFormat="false" ht="15" hidden="false" customHeight="false" outlineLevel="0" collapsed="false">
      <c r="A3900" s="3" t="n">
        <v>3899</v>
      </c>
      <c r="B3900" s="3" t="n">
        <v>3898</v>
      </c>
      <c r="C3900" s="3" t="s">
        <v>119</v>
      </c>
      <c r="D3900" s="3" t="n">
        <v>2</v>
      </c>
      <c r="E3900" s="3" t="n">
        <v>82</v>
      </c>
      <c r="F3900" s="3"/>
      <c r="G3900" s="3"/>
      <c r="H3900" s="24" t="n">
        <v>-0.0340734348</v>
      </c>
    </row>
    <row r="3901" customFormat="false" ht="15" hidden="false" customHeight="false" outlineLevel="0" collapsed="false">
      <c r="A3901" s="3" t="n">
        <v>3900</v>
      </c>
      <c r="B3901" s="3" t="n">
        <v>3899</v>
      </c>
      <c r="C3901" s="3" t="s">
        <v>119</v>
      </c>
      <c r="D3901" s="3" t="n">
        <v>2</v>
      </c>
      <c r="E3901" s="3" t="n">
        <v>83</v>
      </c>
      <c r="F3901" s="3"/>
      <c r="G3901" s="3"/>
      <c r="H3901" s="24" t="n">
        <v>-0.224784419</v>
      </c>
    </row>
    <row r="3902" customFormat="false" ht="15" hidden="false" customHeight="false" outlineLevel="0" collapsed="false">
      <c r="A3902" s="3" t="n">
        <v>3901</v>
      </c>
      <c r="B3902" s="3" t="n">
        <v>3900</v>
      </c>
      <c r="C3902" s="3" t="s">
        <v>119</v>
      </c>
      <c r="D3902" s="3" t="n">
        <v>2</v>
      </c>
      <c r="E3902" s="3" t="n">
        <v>84</v>
      </c>
      <c r="F3902" s="3"/>
      <c r="G3902" s="3"/>
      <c r="H3902" s="24" t="n">
        <v>-0.0927249566</v>
      </c>
    </row>
    <row r="3903" customFormat="false" ht="15" hidden="false" customHeight="false" outlineLevel="0" collapsed="false">
      <c r="A3903" s="3" t="n">
        <v>3902</v>
      </c>
      <c r="B3903" s="3" t="n">
        <v>3901</v>
      </c>
      <c r="C3903" s="3" t="s">
        <v>119</v>
      </c>
      <c r="D3903" s="3" t="n">
        <v>2</v>
      </c>
      <c r="E3903" s="3" t="n">
        <v>85</v>
      </c>
      <c r="F3903" s="3"/>
      <c r="G3903" s="3"/>
      <c r="H3903" s="24" t="n">
        <v>0.033767961</v>
      </c>
    </row>
    <row r="3904" customFormat="false" ht="15" hidden="false" customHeight="false" outlineLevel="0" collapsed="false">
      <c r="A3904" s="3" t="n">
        <v>3903</v>
      </c>
      <c r="B3904" s="3" t="n">
        <v>3902</v>
      </c>
      <c r="C3904" s="3" t="s">
        <v>119</v>
      </c>
      <c r="D3904" s="3" t="n">
        <v>2</v>
      </c>
      <c r="E3904" s="3" t="n">
        <v>86</v>
      </c>
      <c r="F3904" s="3"/>
      <c r="G3904" s="3"/>
      <c r="H3904" s="24" t="n">
        <v>0.08161138</v>
      </c>
    </row>
    <row r="3905" customFormat="false" ht="15" hidden="false" customHeight="false" outlineLevel="0" collapsed="false">
      <c r="A3905" s="3" t="n">
        <v>3904</v>
      </c>
      <c r="B3905" s="3" t="n">
        <v>3903</v>
      </c>
      <c r="C3905" s="3" t="s">
        <v>119</v>
      </c>
      <c r="D3905" s="3" t="n">
        <v>2</v>
      </c>
      <c r="E3905" s="3" t="n">
        <v>87</v>
      </c>
      <c r="F3905" s="3"/>
      <c r="G3905" s="3"/>
      <c r="H3905" s="24" t="n">
        <v>-0.230175838</v>
      </c>
    </row>
    <row r="3906" customFormat="false" ht="15" hidden="false" customHeight="false" outlineLevel="0" collapsed="false">
      <c r="A3906" s="3" t="n">
        <v>3905</v>
      </c>
      <c r="B3906" s="3" t="n">
        <v>3904</v>
      </c>
      <c r="C3906" s="3" t="s">
        <v>119</v>
      </c>
      <c r="D3906" s="3" t="n">
        <v>2</v>
      </c>
      <c r="E3906" s="3" t="n">
        <v>88</v>
      </c>
      <c r="F3906" s="3"/>
      <c r="G3906" s="3"/>
      <c r="H3906" s="24" t="n">
        <v>0.052777499</v>
      </c>
    </row>
    <row r="3907" customFormat="false" ht="15" hidden="false" customHeight="false" outlineLevel="0" collapsed="false">
      <c r="A3907" s="3" t="n">
        <v>3906</v>
      </c>
      <c r="B3907" s="3" t="n">
        <v>3905</v>
      </c>
      <c r="C3907" s="3" t="s">
        <v>119</v>
      </c>
      <c r="D3907" s="3" t="n">
        <v>2</v>
      </c>
      <c r="E3907" s="3" t="n">
        <v>89</v>
      </c>
      <c r="F3907" s="3"/>
      <c r="G3907" s="3"/>
      <c r="H3907" s="24" t="n">
        <v>-0.167724162</v>
      </c>
    </row>
    <row r="3908" customFormat="false" ht="15" hidden="false" customHeight="false" outlineLevel="0" collapsed="false">
      <c r="A3908" s="3" t="n">
        <v>3907</v>
      </c>
      <c r="B3908" s="3" t="n">
        <v>3906</v>
      </c>
      <c r="C3908" s="3" t="s">
        <v>119</v>
      </c>
      <c r="D3908" s="3" t="n">
        <v>2</v>
      </c>
      <c r="E3908" s="3" t="n">
        <v>90</v>
      </c>
      <c r="F3908" s="3"/>
      <c r="G3908" s="3"/>
      <c r="H3908" s="24" t="n">
        <v>-0.0762595162</v>
      </c>
    </row>
    <row r="3909" customFormat="false" ht="15" hidden="false" customHeight="false" outlineLevel="0" collapsed="false">
      <c r="A3909" s="3" t="n">
        <v>3908</v>
      </c>
      <c r="B3909" s="3" t="n">
        <v>3907</v>
      </c>
      <c r="C3909" s="3" t="s">
        <v>119</v>
      </c>
      <c r="D3909" s="3" t="n">
        <v>2</v>
      </c>
      <c r="E3909" s="3" t="n">
        <v>91</v>
      </c>
      <c r="F3909" s="3"/>
      <c r="G3909" s="3"/>
      <c r="H3909" s="24" t="n">
        <v>0.0833342299</v>
      </c>
    </row>
    <row r="3910" customFormat="false" ht="15" hidden="false" customHeight="false" outlineLevel="0" collapsed="false">
      <c r="A3910" s="3" t="n">
        <v>3909</v>
      </c>
      <c r="B3910" s="3" t="n">
        <v>3908</v>
      </c>
      <c r="C3910" s="3" t="s">
        <v>119</v>
      </c>
      <c r="D3910" s="3" t="n">
        <v>2</v>
      </c>
      <c r="E3910" s="3" t="n">
        <v>92</v>
      </c>
      <c r="F3910" s="3"/>
      <c r="G3910" s="3"/>
      <c r="H3910" s="24" t="n">
        <v>0.0378180668</v>
      </c>
    </row>
    <row r="3911" customFormat="false" ht="15" hidden="false" customHeight="false" outlineLevel="0" collapsed="false">
      <c r="A3911" s="3" t="n">
        <v>3910</v>
      </c>
      <c r="B3911" s="3" t="n">
        <v>3909</v>
      </c>
      <c r="C3911" s="3" t="s">
        <v>119</v>
      </c>
      <c r="D3911" s="3" t="n">
        <v>2</v>
      </c>
      <c r="E3911" s="3" t="n">
        <v>93</v>
      </c>
      <c r="F3911" s="3"/>
      <c r="G3911" s="3"/>
      <c r="H3911" s="24" t="n">
        <v>0.0764250159</v>
      </c>
    </row>
    <row r="3912" customFormat="false" ht="15" hidden="false" customHeight="false" outlineLevel="0" collapsed="false">
      <c r="A3912" s="3" t="n">
        <v>3911</v>
      </c>
      <c r="B3912" s="3" t="n">
        <v>3910</v>
      </c>
      <c r="C3912" s="3" t="s">
        <v>119</v>
      </c>
      <c r="D3912" s="3" t="n">
        <v>2</v>
      </c>
      <c r="E3912" s="3" t="n">
        <v>94</v>
      </c>
      <c r="F3912" s="3"/>
      <c r="G3912" s="3"/>
      <c r="H3912" s="24" t="n">
        <v>0.288454086</v>
      </c>
    </row>
    <row r="3913" customFormat="false" ht="15" hidden="false" customHeight="false" outlineLevel="0" collapsed="false">
      <c r="A3913" s="3" t="n">
        <v>3912</v>
      </c>
      <c r="B3913" s="3" t="n">
        <v>3911</v>
      </c>
      <c r="C3913" s="3" t="s">
        <v>119</v>
      </c>
      <c r="D3913" s="3" t="n">
        <v>2</v>
      </c>
      <c r="E3913" s="3" t="n">
        <v>95</v>
      </c>
      <c r="F3913" s="3"/>
      <c r="G3913" s="3"/>
      <c r="H3913" s="24" t="n">
        <v>-0.0201307312</v>
      </c>
    </row>
    <row r="3914" customFormat="false" ht="15" hidden="false" customHeight="false" outlineLevel="0" collapsed="false">
      <c r="A3914" s="3" t="n">
        <v>3913</v>
      </c>
      <c r="B3914" s="3" t="n">
        <v>3912</v>
      </c>
      <c r="C3914" s="3" t="s">
        <v>119</v>
      </c>
      <c r="D3914" s="3" t="n">
        <v>2</v>
      </c>
      <c r="E3914" s="3" t="n">
        <v>96</v>
      </c>
      <c r="F3914" s="3"/>
      <c r="G3914" s="3"/>
      <c r="H3914" s="24" t="n">
        <v>-0.091253683</v>
      </c>
    </row>
    <row r="3915" customFormat="false" ht="15" hidden="false" customHeight="false" outlineLevel="0" collapsed="false">
      <c r="A3915" s="3" t="n">
        <v>3914</v>
      </c>
      <c r="B3915" s="3" t="n">
        <v>3913</v>
      </c>
      <c r="C3915" s="3" t="s">
        <v>119</v>
      </c>
      <c r="D3915" s="3" t="n">
        <v>2</v>
      </c>
      <c r="E3915" s="3" t="n">
        <v>97</v>
      </c>
      <c r="F3915" s="3"/>
      <c r="G3915" s="3"/>
      <c r="H3915" s="24" t="n">
        <v>-0.186455235</v>
      </c>
    </row>
    <row r="3916" customFormat="false" ht="15" hidden="false" customHeight="false" outlineLevel="0" collapsed="false">
      <c r="A3916" s="3" t="n">
        <v>3915</v>
      </c>
      <c r="B3916" s="3" t="n">
        <v>3914</v>
      </c>
      <c r="C3916" s="3" t="s">
        <v>119</v>
      </c>
      <c r="D3916" s="3" t="n">
        <v>2</v>
      </c>
      <c r="E3916" s="3" t="n">
        <v>98</v>
      </c>
      <c r="F3916" s="3"/>
      <c r="G3916" s="3"/>
      <c r="H3916" s="24" t="n">
        <v>0.205238923</v>
      </c>
    </row>
    <row r="3917" customFormat="false" ht="15" hidden="false" customHeight="false" outlineLevel="0" collapsed="false">
      <c r="A3917" s="3" t="n">
        <v>3916</v>
      </c>
      <c r="B3917" s="3" t="n">
        <v>3915</v>
      </c>
      <c r="C3917" s="3" t="s">
        <v>119</v>
      </c>
      <c r="D3917" s="3" t="n">
        <v>2</v>
      </c>
      <c r="E3917" s="3" t="n">
        <v>99</v>
      </c>
      <c r="F3917" s="3"/>
      <c r="G3917" s="3"/>
      <c r="H3917" s="24" t="n">
        <v>0.0241926014</v>
      </c>
    </row>
    <row r="3918" customFormat="false" ht="15" hidden="false" customHeight="false" outlineLevel="0" collapsed="false">
      <c r="A3918" s="3" t="n">
        <v>3917</v>
      </c>
      <c r="B3918" s="3" t="n">
        <v>3916</v>
      </c>
      <c r="C3918" s="3" t="s">
        <v>119</v>
      </c>
      <c r="D3918" s="3" t="n">
        <v>2</v>
      </c>
      <c r="E3918" s="3" t="n">
        <v>100</v>
      </c>
      <c r="F3918" s="3"/>
      <c r="G3918" s="3"/>
      <c r="H3918" s="24" t="n">
        <v>0.0109408749</v>
      </c>
    </row>
    <row r="3919" customFormat="false" ht="15" hidden="false" customHeight="false" outlineLevel="0" collapsed="false">
      <c r="A3919" s="3" t="n">
        <v>3918</v>
      </c>
      <c r="B3919" s="3" t="n">
        <v>3917</v>
      </c>
      <c r="C3919" s="3" t="s">
        <v>119</v>
      </c>
      <c r="D3919" s="3" t="n">
        <v>2</v>
      </c>
      <c r="E3919" s="3" t="n">
        <v>101</v>
      </c>
      <c r="F3919" s="3"/>
      <c r="G3919" s="3"/>
      <c r="H3919" s="24" t="n">
        <v>0.0995810553</v>
      </c>
    </row>
    <row r="3920" customFormat="false" ht="15" hidden="false" customHeight="false" outlineLevel="0" collapsed="false">
      <c r="A3920" s="3" t="n">
        <v>3919</v>
      </c>
      <c r="B3920" s="3" t="n">
        <v>3918</v>
      </c>
      <c r="C3920" s="3" t="s">
        <v>119</v>
      </c>
      <c r="D3920" s="3" t="n">
        <v>2</v>
      </c>
      <c r="E3920" s="3" t="n">
        <v>102</v>
      </c>
      <c r="F3920" s="3"/>
      <c r="G3920" s="3"/>
      <c r="H3920" s="24" t="n">
        <v>-0.194117963</v>
      </c>
    </row>
    <row r="3921" customFormat="false" ht="15" hidden="false" customHeight="false" outlineLevel="0" collapsed="false">
      <c r="A3921" s="3" t="n">
        <v>3920</v>
      </c>
      <c r="B3921" s="3" t="n">
        <v>3919</v>
      </c>
      <c r="C3921" s="3" t="s">
        <v>119</v>
      </c>
      <c r="D3921" s="3" t="n">
        <v>2</v>
      </c>
      <c r="E3921" s="3" t="n">
        <v>103</v>
      </c>
      <c r="F3921" s="3"/>
      <c r="G3921" s="3"/>
      <c r="H3921" s="24" t="n">
        <v>-0.136353791</v>
      </c>
    </row>
    <row r="3922" customFormat="false" ht="15" hidden="false" customHeight="false" outlineLevel="0" collapsed="false">
      <c r="A3922" s="3" t="n">
        <v>3921</v>
      </c>
      <c r="B3922" s="3" t="n">
        <v>3920</v>
      </c>
      <c r="C3922" s="3" t="s">
        <v>119</v>
      </c>
      <c r="D3922" s="3" t="n">
        <v>2</v>
      </c>
      <c r="E3922" s="3" t="n">
        <v>104</v>
      </c>
      <c r="F3922" s="3"/>
      <c r="G3922" s="3"/>
      <c r="H3922" s="24" t="n">
        <v>0.249349281</v>
      </c>
    </row>
    <row r="3923" customFormat="false" ht="15" hidden="false" customHeight="false" outlineLevel="0" collapsed="false">
      <c r="A3923" s="3" t="n">
        <v>3922</v>
      </c>
      <c r="B3923" s="3" t="n">
        <v>3921</v>
      </c>
      <c r="C3923" s="3" t="s">
        <v>119</v>
      </c>
      <c r="D3923" s="3" t="n">
        <v>2</v>
      </c>
      <c r="E3923" s="3" t="n">
        <v>105</v>
      </c>
      <c r="F3923" s="3"/>
      <c r="G3923" s="3"/>
      <c r="H3923" s="24" t="n">
        <v>0.123527326</v>
      </c>
    </row>
    <row r="3924" customFormat="false" ht="15" hidden="false" customHeight="false" outlineLevel="0" collapsed="false">
      <c r="A3924" s="3" t="n">
        <v>3923</v>
      </c>
      <c r="B3924" s="3" t="n">
        <v>3922</v>
      </c>
      <c r="C3924" s="3" t="s">
        <v>119</v>
      </c>
      <c r="D3924" s="3" t="n">
        <v>2</v>
      </c>
      <c r="E3924" s="3" t="n">
        <v>106</v>
      </c>
      <c r="F3924" s="3"/>
      <c r="G3924" s="3"/>
      <c r="H3924" s="24" t="n">
        <v>0.0100952601</v>
      </c>
    </row>
    <row r="3925" customFormat="false" ht="15" hidden="false" customHeight="false" outlineLevel="0" collapsed="false">
      <c r="A3925" s="3" t="n">
        <v>3924</v>
      </c>
      <c r="B3925" s="3" t="n">
        <v>3923</v>
      </c>
      <c r="C3925" s="3" t="s">
        <v>119</v>
      </c>
      <c r="D3925" s="3" t="n">
        <v>2</v>
      </c>
      <c r="E3925" s="3" t="n">
        <v>107</v>
      </c>
      <c r="F3925" s="3"/>
      <c r="G3925" s="3"/>
      <c r="H3925" s="24" t="n">
        <v>-0.325956404</v>
      </c>
    </row>
    <row r="3926" customFormat="false" ht="15" hidden="false" customHeight="false" outlineLevel="0" collapsed="false">
      <c r="A3926" s="3" t="n">
        <v>3925</v>
      </c>
      <c r="B3926" s="3" t="n">
        <v>3924</v>
      </c>
      <c r="C3926" s="3" t="s">
        <v>119</v>
      </c>
      <c r="D3926" s="3" t="n">
        <v>2</v>
      </c>
      <c r="E3926" s="3" t="n">
        <v>108</v>
      </c>
      <c r="F3926" s="3"/>
      <c r="G3926" s="3"/>
      <c r="H3926" s="24" t="n">
        <v>-0.101902992</v>
      </c>
    </row>
    <row r="3927" customFormat="false" ht="15" hidden="false" customHeight="false" outlineLevel="0" collapsed="false">
      <c r="A3927" s="3" t="n">
        <v>3926</v>
      </c>
      <c r="B3927" s="3" t="n">
        <v>3925</v>
      </c>
      <c r="C3927" s="3" t="s">
        <v>119</v>
      </c>
      <c r="D3927" s="3" t="n">
        <v>2</v>
      </c>
      <c r="E3927" s="3" t="n">
        <v>109</v>
      </c>
      <c r="F3927" s="3"/>
      <c r="G3927" s="3"/>
      <c r="H3927" s="24" t="n">
        <v>0.0948331878</v>
      </c>
    </row>
    <row r="3928" customFormat="false" ht="15" hidden="false" customHeight="false" outlineLevel="0" collapsed="false">
      <c r="A3928" s="3" t="n">
        <v>3927</v>
      </c>
      <c r="B3928" s="3" t="n">
        <v>3926</v>
      </c>
      <c r="C3928" s="3" t="s">
        <v>119</v>
      </c>
      <c r="D3928" s="3" t="n">
        <v>2</v>
      </c>
      <c r="E3928" s="3" t="n">
        <v>110</v>
      </c>
      <c r="F3928" s="3"/>
      <c r="G3928" s="3"/>
      <c r="H3928" s="24" t="n">
        <v>-0.183878019</v>
      </c>
    </row>
    <row r="3929" customFormat="false" ht="15" hidden="false" customHeight="false" outlineLevel="0" collapsed="false">
      <c r="A3929" s="3" t="n">
        <v>3928</v>
      </c>
      <c r="B3929" s="3" t="n">
        <v>3927</v>
      </c>
      <c r="C3929" s="3" t="s">
        <v>119</v>
      </c>
      <c r="D3929" s="3" t="n">
        <v>2</v>
      </c>
      <c r="E3929" s="3" t="n">
        <v>111</v>
      </c>
      <c r="F3929" s="3"/>
      <c r="G3929" s="3"/>
      <c r="H3929" s="24" t="n">
        <v>0.0764701739</v>
      </c>
    </row>
    <row r="3930" customFormat="false" ht="15" hidden="false" customHeight="false" outlineLevel="0" collapsed="false">
      <c r="A3930" s="3" t="n">
        <v>3929</v>
      </c>
      <c r="B3930" s="3" t="n">
        <v>3928</v>
      </c>
      <c r="C3930" s="3" t="s">
        <v>119</v>
      </c>
      <c r="D3930" s="3" t="n">
        <v>2</v>
      </c>
      <c r="E3930" s="3" t="n">
        <v>112</v>
      </c>
      <c r="F3930" s="3"/>
      <c r="G3930" s="3"/>
      <c r="H3930" s="24" t="n">
        <v>-0.271741986</v>
      </c>
    </row>
    <row r="3931" customFormat="false" ht="15" hidden="false" customHeight="false" outlineLevel="0" collapsed="false">
      <c r="A3931" s="3" t="n">
        <v>3930</v>
      </c>
      <c r="B3931" s="3" t="n">
        <v>3929</v>
      </c>
      <c r="C3931" s="3" t="s">
        <v>119</v>
      </c>
      <c r="D3931" s="3" t="n">
        <v>2</v>
      </c>
      <c r="E3931" s="3" t="n">
        <v>113</v>
      </c>
      <c r="F3931" s="3"/>
      <c r="G3931" s="3"/>
      <c r="H3931" s="24" t="n">
        <v>-0.129913941</v>
      </c>
    </row>
    <row r="3932" customFormat="false" ht="15" hidden="false" customHeight="false" outlineLevel="0" collapsed="false">
      <c r="A3932" s="3" t="n">
        <v>3931</v>
      </c>
      <c r="B3932" s="3" t="n">
        <v>3930</v>
      </c>
      <c r="C3932" s="3" t="s">
        <v>119</v>
      </c>
      <c r="D3932" s="3" t="n">
        <v>2</v>
      </c>
      <c r="E3932" s="3" t="n">
        <v>114</v>
      </c>
      <c r="F3932" s="3"/>
      <c r="G3932" s="3"/>
      <c r="H3932" s="24" t="n">
        <v>0.227864206</v>
      </c>
    </row>
    <row r="3933" customFormat="false" ht="15" hidden="false" customHeight="false" outlineLevel="0" collapsed="false">
      <c r="A3933" s="3" t="n">
        <v>3932</v>
      </c>
      <c r="B3933" s="3" t="n">
        <v>3931</v>
      </c>
      <c r="C3933" s="3" t="s">
        <v>119</v>
      </c>
      <c r="D3933" s="3" t="n">
        <v>2</v>
      </c>
      <c r="E3933" s="3" t="n">
        <v>115</v>
      </c>
      <c r="F3933" s="3"/>
      <c r="G3933" s="3"/>
      <c r="H3933" s="24" t="n">
        <v>0.190785602</v>
      </c>
    </row>
    <row r="3934" customFormat="false" ht="15" hidden="false" customHeight="false" outlineLevel="0" collapsed="false">
      <c r="A3934" s="3" t="n">
        <v>3933</v>
      </c>
      <c r="B3934" s="3" t="n">
        <v>3932</v>
      </c>
      <c r="C3934" s="3" t="s">
        <v>119</v>
      </c>
      <c r="D3934" s="3" t="n">
        <v>2</v>
      </c>
      <c r="E3934" s="3" t="n">
        <v>116</v>
      </c>
      <c r="F3934" s="3"/>
      <c r="G3934" s="3"/>
      <c r="H3934" s="24" t="n">
        <v>0.00770842331</v>
      </c>
    </row>
    <row r="3935" customFormat="false" ht="15" hidden="false" customHeight="false" outlineLevel="0" collapsed="false">
      <c r="A3935" s="3" t="n">
        <v>3934</v>
      </c>
      <c r="B3935" s="3" t="n">
        <v>3933</v>
      </c>
      <c r="C3935" s="3" t="s">
        <v>119</v>
      </c>
      <c r="D3935" s="3" t="n">
        <v>2</v>
      </c>
      <c r="E3935" s="3" t="n">
        <v>117</v>
      </c>
      <c r="F3935" s="3"/>
      <c r="G3935" s="3"/>
      <c r="H3935" s="24" t="n">
        <v>0.00587642845</v>
      </c>
    </row>
    <row r="3936" customFormat="false" ht="15" hidden="false" customHeight="false" outlineLevel="0" collapsed="false">
      <c r="A3936" s="3" t="n">
        <v>3935</v>
      </c>
      <c r="B3936" s="3" t="n">
        <v>3934</v>
      </c>
      <c r="C3936" s="3" t="s">
        <v>119</v>
      </c>
      <c r="D3936" s="3" t="n">
        <v>2</v>
      </c>
      <c r="E3936" s="3" t="n">
        <v>118</v>
      </c>
      <c r="F3936" s="3"/>
      <c r="G3936" s="3"/>
      <c r="H3936" s="24" t="n">
        <v>-0.0256411023</v>
      </c>
    </row>
    <row r="3937" customFormat="false" ht="15" hidden="false" customHeight="false" outlineLevel="0" collapsed="false">
      <c r="A3937" s="3" t="n">
        <v>3936</v>
      </c>
      <c r="B3937" s="3" t="n">
        <v>3935</v>
      </c>
      <c r="C3937" s="3" t="s">
        <v>119</v>
      </c>
      <c r="D3937" s="3" t="n">
        <v>2</v>
      </c>
      <c r="E3937" s="3" t="n">
        <v>119</v>
      </c>
      <c r="F3937" s="3"/>
      <c r="G3937" s="3"/>
      <c r="H3937" s="24" t="n">
        <v>-0.0208601635</v>
      </c>
    </row>
    <row r="3938" customFormat="false" ht="15" hidden="false" customHeight="false" outlineLevel="0" collapsed="false">
      <c r="A3938" s="3" t="n">
        <v>3937</v>
      </c>
      <c r="B3938" s="3" t="n">
        <v>3936</v>
      </c>
      <c r="C3938" s="3" t="s">
        <v>119</v>
      </c>
      <c r="D3938" s="3" t="n">
        <v>2</v>
      </c>
      <c r="E3938" s="3" t="n">
        <v>120</v>
      </c>
      <c r="F3938" s="3"/>
      <c r="G3938" s="3"/>
      <c r="H3938" s="24" t="n">
        <v>0.0770671293</v>
      </c>
    </row>
    <row r="3939" customFormat="false" ht="15" hidden="false" customHeight="false" outlineLevel="0" collapsed="false">
      <c r="A3939" s="3" t="n">
        <v>3938</v>
      </c>
      <c r="B3939" s="3" t="n">
        <v>3937</v>
      </c>
      <c r="C3939" s="3" t="s">
        <v>119</v>
      </c>
      <c r="D3939" s="3" t="n">
        <v>2</v>
      </c>
      <c r="E3939" s="3" t="n">
        <v>121</v>
      </c>
      <c r="F3939" s="3"/>
      <c r="G3939" s="3"/>
      <c r="H3939" s="24" t="n">
        <v>-0.090490602</v>
      </c>
    </row>
    <row r="3940" customFormat="false" ht="15" hidden="false" customHeight="false" outlineLevel="0" collapsed="false">
      <c r="A3940" s="3" t="n">
        <v>3939</v>
      </c>
      <c r="B3940" s="3" t="n">
        <v>3938</v>
      </c>
      <c r="C3940" s="3" t="s">
        <v>119</v>
      </c>
      <c r="D3940" s="3" t="n">
        <v>2</v>
      </c>
      <c r="E3940" s="3" t="n">
        <v>122</v>
      </c>
      <c r="F3940" s="3"/>
      <c r="G3940" s="3"/>
      <c r="H3940" s="24" t="n">
        <v>0.0580979921</v>
      </c>
    </row>
    <row r="3941" customFormat="false" ht="15" hidden="false" customHeight="false" outlineLevel="0" collapsed="false">
      <c r="A3941" s="3" t="n">
        <v>3940</v>
      </c>
      <c r="B3941" s="3" t="n">
        <v>3939</v>
      </c>
      <c r="C3941" s="3" t="s">
        <v>119</v>
      </c>
      <c r="D3941" s="3" t="n">
        <v>2</v>
      </c>
      <c r="E3941" s="3" t="n">
        <v>123</v>
      </c>
      <c r="F3941" s="3"/>
      <c r="G3941" s="3"/>
      <c r="H3941" s="24" t="n">
        <v>-0.145602331</v>
      </c>
    </row>
    <row r="3942" customFormat="false" ht="15" hidden="false" customHeight="false" outlineLevel="0" collapsed="false">
      <c r="A3942" s="3" t="n">
        <v>3941</v>
      </c>
      <c r="B3942" s="3" t="n">
        <v>3940</v>
      </c>
      <c r="C3942" s="3" t="s">
        <v>119</v>
      </c>
      <c r="D3942" s="3" t="n">
        <v>2</v>
      </c>
      <c r="E3942" s="3" t="n">
        <v>124</v>
      </c>
      <c r="F3942" s="3"/>
      <c r="G3942" s="3"/>
      <c r="H3942" s="24" t="n">
        <v>0.0274617933</v>
      </c>
    </row>
    <row r="3943" customFormat="false" ht="15" hidden="false" customHeight="false" outlineLevel="0" collapsed="false">
      <c r="A3943" s="3" t="n">
        <v>3942</v>
      </c>
      <c r="B3943" s="3" t="n">
        <v>3941</v>
      </c>
      <c r="C3943" s="3" t="s">
        <v>119</v>
      </c>
      <c r="D3943" s="3" t="n">
        <v>2</v>
      </c>
      <c r="E3943" s="3" t="n">
        <v>125</v>
      </c>
      <c r="F3943" s="3"/>
      <c r="G3943" s="3"/>
      <c r="H3943" s="24" t="n">
        <v>0.332908839</v>
      </c>
    </row>
    <row r="3944" customFormat="false" ht="15" hidden="false" customHeight="false" outlineLevel="0" collapsed="false">
      <c r="A3944" s="3" t="n">
        <v>3943</v>
      </c>
      <c r="B3944" s="3" t="n">
        <v>3942</v>
      </c>
      <c r="C3944" s="3" t="s">
        <v>119</v>
      </c>
      <c r="D3944" s="3" t="n">
        <v>2</v>
      </c>
      <c r="E3944" s="3" t="n">
        <v>126</v>
      </c>
      <c r="F3944" s="3"/>
      <c r="G3944" s="3"/>
      <c r="H3944" s="24" t="n">
        <v>-0.194920495</v>
      </c>
    </row>
    <row r="3945" customFormat="false" ht="15" hidden="false" customHeight="false" outlineLevel="0" collapsed="false">
      <c r="A3945" s="3" t="n">
        <v>3944</v>
      </c>
      <c r="B3945" s="3" t="n">
        <v>3943</v>
      </c>
      <c r="C3945" s="3" t="s">
        <v>119</v>
      </c>
      <c r="D3945" s="3" t="n">
        <v>2</v>
      </c>
      <c r="E3945" s="3" t="n">
        <v>127</v>
      </c>
      <c r="F3945" s="3"/>
      <c r="G3945" s="3"/>
      <c r="H3945" s="24" t="n">
        <v>0.031340763</v>
      </c>
    </row>
    <row r="3946" customFormat="false" ht="15" hidden="false" customHeight="false" outlineLevel="0" collapsed="false">
      <c r="A3946" s="3" t="n">
        <v>3945</v>
      </c>
      <c r="B3946" s="3" t="n">
        <v>3944</v>
      </c>
      <c r="C3946" s="3" t="s">
        <v>119</v>
      </c>
      <c r="D3946" s="3" t="n">
        <v>2</v>
      </c>
      <c r="E3946" s="3" t="n">
        <v>128</v>
      </c>
      <c r="F3946" s="3"/>
      <c r="G3946" s="3"/>
      <c r="H3946" s="24" t="n">
        <v>-0.123662539</v>
      </c>
    </row>
    <row r="3947" customFormat="false" ht="15" hidden="false" customHeight="false" outlineLevel="0" collapsed="false">
      <c r="A3947" s="3" t="n">
        <v>3946</v>
      </c>
      <c r="B3947" s="3" t="n">
        <v>3945</v>
      </c>
      <c r="C3947" s="3" t="s">
        <v>119</v>
      </c>
      <c r="D3947" s="3" t="n">
        <v>2</v>
      </c>
      <c r="E3947" s="3" t="n">
        <v>129</v>
      </c>
      <c r="F3947" s="3"/>
      <c r="G3947" s="3"/>
      <c r="H3947" s="24" t="n">
        <v>0.210759968</v>
      </c>
    </row>
    <row r="3948" customFormat="false" ht="15" hidden="false" customHeight="false" outlineLevel="0" collapsed="false">
      <c r="A3948" s="3" t="n">
        <v>3947</v>
      </c>
      <c r="B3948" s="3" t="n">
        <v>3946</v>
      </c>
      <c r="C3948" s="3" t="s">
        <v>119</v>
      </c>
      <c r="D3948" s="3" t="n">
        <v>2</v>
      </c>
      <c r="E3948" s="3" t="n">
        <v>130</v>
      </c>
      <c r="F3948" s="3"/>
      <c r="G3948" s="3"/>
      <c r="H3948" s="24" t="n">
        <v>0.108245157</v>
      </c>
    </row>
    <row r="3949" customFormat="false" ht="15" hidden="false" customHeight="false" outlineLevel="0" collapsed="false">
      <c r="A3949" s="3" t="n">
        <v>3948</v>
      </c>
      <c r="B3949" s="3" t="n">
        <v>3947</v>
      </c>
      <c r="C3949" s="3" t="s">
        <v>119</v>
      </c>
      <c r="D3949" s="3" t="n">
        <v>2</v>
      </c>
      <c r="E3949" s="3" t="n">
        <v>131</v>
      </c>
      <c r="F3949" s="3"/>
      <c r="G3949" s="3"/>
      <c r="H3949" s="24" t="n">
        <v>-0.0318423845</v>
      </c>
    </row>
    <row r="3950" customFormat="false" ht="15" hidden="false" customHeight="false" outlineLevel="0" collapsed="false">
      <c r="A3950" s="3" t="n">
        <v>3949</v>
      </c>
      <c r="B3950" s="3" t="n">
        <v>3948</v>
      </c>
      <c r="C3950" s="3" t="s">
        <v>119</v>
      </c>
      <c r="D3950" s="3" t="n">
        <v>2</v>
      </c>
      <c r="E3950" s="3" t="n">
        <v>132</v>
      </c>
      <c r="F3950" s="3"/>
      <c r="G3950" s="3"/>
      <c r="H3950" s="24" t="n">
        <v>0.208419934</v>
      </c>
    </row>
    <row r="3951" customFormat="false" ht="15" hidden="false" customHeight="false" outlineLevel="0" collapsed="false">
      <c r="A3951" s="3" t="n">
        <v>3950</v>
      </c>
      <c r="B3951" s="3" t="n">
        <v>3949</v>
      </c>
      <c r="C3951" s="3" t="s">
        <v>119</v>
      </c>
      <c r="D3951" s="3" t="n">
        <v>2</v>
      </c>
      <c r="E3951" s="3" t="n">
        <v>133</v>
      </c>
      <c r="F3951" s="3"/>
      <c r="G3951" s="3"/>
      <c r="H3951" s="24" t="n">
        <v>0.0227956288</v>
      </c>
    </row>
    <row r="3952" customFormat="false" ht="15" hidden="false" customHeight="false" outlineLevel="0" collapsed="false">
      <c r="A3952" s="3" t="n">
        <v>3951</v>
      </c>
      <c r="B3952" s="3" t="n">
        <v>3950</v>
      </c>
      <c r="C3952" s="3" t="s">
        <v>119</v>
      </c>
      <c r="D3952" s="3" t="n">
        <v>2</v>
      </c>
      <c r="E3952" s="3" t="n">
        <v>134</v>
      </c>
      <c r="F3952" s="3"/>
      <c r="G3952" s="3"/>
      <c r="H3952" s="24" t="n">
        <v>-0.152148083</v>
      </c>
    </row>
    <row r="3953" customFormat="false" ht="15" hidden="false" customHeight="false" outlineLevel="0" collapsed="false">
      <c r="A3953" s="3" t="n">
        <v>3952</v>
      </c>
      <c r="B3953" s="3" t="n">
        <v>3951</v>
      </c>
      <c r="C3953" s="3" t="s">
        <v>119</v>
      </c>
      <c r="D3953" s="3" t="n">
        <v>2</v>
      </c>
      <c r="E3953" s="3" t="n">
        <v>135</v>
      </c>
      <c r="F3953" s="3"/>
      <c r="G3953" s="3"/>
      <c r="H3953" s="24" t="n">
        <v>0.168706179</v>
      </c>
    </row>
    <row r="3954" customFormat="false" ht="15" hidden="false" customHeight="false" outlineLevel="0" collapsed="false">
      <c r="A3954" s="3" t="n">
        <v>3953</v>
      </c>
      <c r="B3954" s="3" t="n">
        <v>3952</v>
      </c>
      <c r="C3954" s="3" t="s">
        <v>119</v>
      </c>
      <c r="D3954" s="3" t="n">
        <v>2</v>
      </c>
      <c r="E3954" s="3" t="n">
        <v>136</v>
      </c>
      <c r="F3954" s="3"/>
      <c r="G3954" s="3"/>
      <c r="H3954" s="24" t="n">
        <v>-0.0112816012</v>
      </c>
    </row>
    <row r="3955" customFormat="false" ht="15" hidden="false" customHeight="false" outlineLevel="0" collapsed="false">
      <c r="A3955" s="3" t="n">
        <v>3954</v>
      </c>
      <c r="B3955" s="3" t="n">
        <v>3953</v>
      </c>
      <c r="C3955" s="3" t="s">
        <v>119</v>
      </c>
      <c r="D3955" s="3" t="n">
        <v>2</v>
      </c>
      <c r="E3955" s="3" t="n">
        <v>137</v>
      </c>
      <c r="F3955" s="3"/>
      <c r="G3955" s="3"/>
      <c r="H3955" s="24" t="n">
        <v>-0.0995308608</v>
      </c>
    </row>
    <row r="3956" customFormat="false" ht="15" hidden="false" customHeight="false" outlineLevel="0" collapsed="false">
      <c r="A3956" s="3" t="n">
        <v>3955</v>
      </c>
      <c r="B3956" s="3" t="n">
        <v>3954</v>
      </c>
      <c r="C3956" s="3" t="s">
        <v>119</v>
      </c>
      <c r="D3956" s="3" t="n">
        <v>2</v>
      </c>
      <c r="E3956" s="3" t="n">
        <v>138</v>
      </c>
      <c r="F3956" s="3"/>
      <c r="G3956" s="3"/>
      <c r="H3956" s="24" t="n">
        <v>-0.107306406</v>
      </c>
    </row>
    <row r="3957" customFormat="false" ht="15" hidden="false" customHeight="false" outlineLevel="0" collapsed="false">
      <c r="A3957" s="3" t="n">
        <v>3956</v>
      </c>
      <c r="B3957" s="3" t="n">
        <v>3955</v>
      </c>
      <c r="C3957" s="3" t="s">
        <v>119</v>
      </c>
      <c r="D3957" s="3" t="n">
        <v>2</v>
      </c>
      <c r="E3957" s="3" t="n">
        <v>139</v>
      </c>
      <c r="F3957" s="3"/>
      <c r="G3957" s="3"/>
      <c r="H3957" s="24" t="n">
        <v>-0.165277645</v>
      </c>
    </row>
    <row r="3958" customFormat="false" ht="15" hidden="false" customHeight="false" outlineLevel="0" collapsed="false">
      <c r="A3958" s="3" t="n">
        <v>3957</v>
      </c>
      <c r="B3958" s="3" t="n">
        <v>3956</v>
      </c>
      <c r="C3958" s="3" t="s">
        <v>119</v>
      </c>
      <c r="D3958" s="3" t="n">
        <v>2</v>
      </c>
      <c r="E3958" s="3" t="n">
        <v>140</v>
      </c>
      <c r="F3958" s="3"/>
      <c r="G3958" s="3"/>
      <c r="H3958" s="24" t="n">
        <v>0.279757738</v>
      </c>
    </row>
    <row r="3959" customFormat="false" ht="15" hidden="false" customHeight="false" outlineLevel="0" collapsed="false">
      <c r="A3959" s="3" t="n">
        <v>3958</v>
      </c>
      <c r="B3959" s="3" t="n">
        <v>3957</v>
      </c>
      <c r="C3959" s="3" t="s">
        <v>119</v>
      </c>
      <c r="D3959" s="3" t="n">
        <v>2</v>
      </c>
      <c r="E3959" s="3" t="n">
        <v>141</v>
      </c>
      <c r="F3959" s="3"/>
      <c r="G3959" s="3"/>
      <c r="H3959" s="24" t="n">
        <v>0.178910822</v>
      </c>
    </row>
    <row r="3960" customFormat="false" ht="15" hidden="false" customHeight="false" outlineLevel="0" collapsed="false">
      <c r="A3960" s="3" t="n">
        <v>3959</v>
      </c>
      <c r="B3960" s="3" t="n">
        <v>3958</v>
      </c>
      <c r="C3960" s="3" t="s">
        <v>119</v>
      </c>
      <c r="D3960" s="3" t="n">
        <v>2</v>
      </c>
      <c r="E3960" s="3" t="n">
        <v>142</v>
      </c>
      <c r="F3960" s="3"/>
      <c r="G3960" s="3"/>
      <c r="H3960" s="24" t="n">
        <v>-0.0604481474</v>
      </c>
    </row>
    <row r="3961" customFormat="false" ht="15" hidden="false" customHeight="false" outlineLevel="0" collapsed="false">
      <c r="A3961" s="3" t="n">
        <v>3960</v>
      </c>
      <c r="B3961" s="3" t="n">
        <v>3959</v>
      </c>
      <c r="C3961" s="3" t="s">
        <v>119</v>
      </c>
      <c r="D3961" s="3" t="n">
        <v>2</v>
      </c>
      <c r="E3961" s="3" t="n">
        <v>143</v>
      </c>
      <c r="F3961" s="3"/>
      <c r="G3961" s="3"/>
      <c r="H3961" s="24" t="n">
        <v>-0.0416547395</v>
      </c>
    </row>
    <row r="3962" customFormat="false" ht="15" hidden="false" customHeight="false" outlineLevel="0" collapsed="false">
      <c r="A3962" s="3" t="n">
        <v>3961</v>
      </c>
      <c r="B3962" s="3" t="n">
        <v>3960</v>
      </c>
      <c r="C3962" s="3" t="s">
        <v>119</v>
      </c>
      <c r="D3962" s="3" t="n">
        <v>3</v>
      </c>
      <c r="E3962" s="3" t="n">
        <v>0</v>
      </c>
      <c r="F3962" s="3"/>
      <c r="G3962" s="3"/>
      <c r="H3962" s="24" t="n">
        <v>-0.0494659692</v>
      </c>
    </row>
    <row r="3963" customFormat="false" ht="15" hidden="false" customHeight="false" outlineLevel="0" collapsed="false">
      <c r="A3963" s="3" t="n">
        <v>3962</v>
      </c>
      <c r="B3963" s="3" t="n">
        <v>3961</v>
      </c>
      <c r="C3963" s="3" t="s">
        <v>119</v>
      </c>
      <c r="D3963" s="3" t="n">
        <v>3</v>
      </c>
      <c r="E3963" s="3" t="n">
        <v>1</v>
      </c>
      <c r="F3963" s="3"/>
      <c r="G3963" s="3"/>
      <c r="H3963" s="24" t="n">
        <v>-0.61019969</v>
      </c>
    </row>
    <row r="3964" customFormat="false" ht="15" hidden="false" customHeight="false" outlineLevel="0" collapsed="false">
      <c r="A3964" s="3" t="n">
        <v>3963</v>
      </c>
      <c r="B3964" s="3" t="n">
        <v>3962</v>
      </c>
      <c r="C3964" s="3" t="s">
        <v>119</v>
      </c>
      <c r="D3964" s="3" t="n">
        <v>3</v>
      </c>
      <c r="E3964" s="3" t="n">
        <v>2</v>
      </c>
      <c r="F3964" s="3"/>
      <c r="G3964" s="3"/>
      <c r="H3964" s="24" t="n">
        <v>0.0887488499</v>
      </c>
    </row>
    <row r="3965" customFormat="false" ht="15" hidden="false" customHeight="false" outlineLevel="0" collapsed="false">
      <c r="A3965" s="3" t="n">
        <v>3964</v>
      </c>
      <c r="B3965" s="3" t="n">
        <v>3963</v>
      </c>
      <c r="C3965" s="3" t="s">
        <v>119</v>
      </c>
      <c r="D3965" s="3" t="n">
        <v>3</v>
      </c>
      <c r="E3965" s="3" t="n">
        <v>3</v>
      </c>
      <c r="F3965" s="3"/>
      <c r="G3965" s="3"/>
      <c r="H3965" s="24" t="n">
        <v>0.0503708012</v>
      </c>
    </row>
    <row r="3966" customFormat="false" ht="15" hidden="false" customHeight="false" outlineLevel="0" collapsed="false">
      <c r="A3966" s="3" t="n">
        <v>3965</v>
      </c>
      <c r="B3966" s="3" t="n">
        <v>3964</v>
      </c>
      <c r="C3966" s="3" t="s">
        <v>119</v>
      </c>
      <c r="D3966" s="3" t="n">
        <v>3</v>
      </c>
      <c r="E3966" s="3" t="n">
        <v>4</v>
      </c>
      <c r="F3966" s="3"/>
      <c r="G3966" s="3"/>
      <c r="H3966" s="24" t="n">
        <v>-0.200347468</v>
      </c>
    </row>
    <row r="3967" customFormat="false" ht="15" hidden="false" customHeight="false" outlineLevel="0" collapsed="false">
      <c r="A3967" s="3" t="n">
        <v>3966</v>
      </c>
      <c r="B3967" s="3" t="n">
        <v>3965</v>
      </c>
      <c r="C3967" s="3" t="s">
        <v>119</v>
      </c>
      <c r="D3967" s="3" t="n">
        <v>3</v>
      </c>
      <c r="E3967" s="3" t="n">
        <v>5</v>
      </c>
      <c r="F3967" s="3"/>
      <c r="G3967" s="3"/>
      <c r="H3967" s="24" t="n">
        <v>0.0690232664</v>
      </c>
    </row>
    <row r="3968" customFormat="false" ht="15" hidden="false" customHeight="false" outlineLevel="0" collapsed="false">
      <c r="A3968" s="3" t="n">
        <v>3967</v>
      </c>
      <c r="B3968" s="3" t="n">
        <v>3966</v>
      </c>
      <c r="C3968" s="3" t="s">
        <v>119</v>
      </c>
      <c r="D3968" s="3" t="n">
        <v>3</v>
      </c>
      <c r="E3968" s="3" t="n">
        <v>6</v>
      </c>
      <c r="F3968" s="3"/>
      <c r="G3968" s="3"/>
      <c r="H3968" s="24" t="n">
        <v>0.0822823495</v>
      </c>
    </row>
    <row r="3969" customFormat="false" ht="15" hidden="false" customHeight="false" outlineLevel="0" collapsed="false">
      <c r="A3969" s="3" t="n">
        <v>3968</v>
      </c>
      <c r="B3969" s="3" t="n">
        <v>3967</v>
      </c>
      <c r="C3969" s="3" t="s">
        <v>119</v>
      </c>
      <c r="D3969" s="3" t="n">
        <v>3</v>
      </c>
      <c r="E3969" s="3" t="n">
        <v>7</v>
      </c>
      <c r="F3969" s="3"/>
      <c r="G3969" s="3"/>
      <c r="H3969" s="24" t="n">
        <v>0.0863545612</v>
      </c>
    </row>
    <row r="3970" customFormat="false" ht="15" hidden="false" customHeight="false" outlineLevel="0" collapsed="false">
      <c r="A3970" s="3" t="n">
        <v>3969</v>
      </c>
      <c r="B3970" s="3" t="n">
        <v>3968</v>
      </c>
      <c r="C3970" s="3" t="s">
        <v>119</v>
      </c>
      <c r="D3970" s="3" t="n">
        <v>3</v>
      </c>
      <c r="E3970" s="3" t="n">
        <v>8</v>
      </c>
      <c r="F3970" s="3"/>
      <c r="G3970" s="3"/>
      <c r="H3970" s="24" t="n">
        <v>0.0121087041</v>
      </c>
    </row>
    <row r="3971" customFormat="false" ht="15" hidden="false" customHeight="false" outlineLevel="0" collapsed="false">
      <c r="A3971" s="3" t="n">
        <v>3970</v>
      </c>
      <c r="B3971" s="3" t="n">
        <v>3969</v>
      </c>
      <c r="C3971" s="3" t="s">
        <v>119</v>
      </c>
      <c r="D3971" s="3" t="n">
        <v>3</v>
      </c>
      <c r="E3971" s="3" t="n">
        <v>9</v>
      </c>
      <c r="F3971" s="3"/>
      <c r="G3971" s="3"/>
      <c r="H3971" s="24" t="n">
        <v>-0.0406470671</v>
      </c>
    </row>
    <row r="3972" customFormat="false" ht="15" hidden="false" customHeight="false" outlineLevel="0" collapsed="false">
      <c r="A3972" s="3" t="n">
        <v>3971</v>
      </c>
      <c r="B3972" s="3" t="n">
        <v>3970</v>
      </c>
      <c r="C3972" s="3" t="s">
        <v>119</v>
      </c>
      <c r="D3972" s="3" t="n">
        <v>3</v>
      </c>
      <c r="E3972" s="3" t="n">
        <v>10</v>
      </c>
      <c r="F3972" s="3"/>
      <c r="G3972" s="3"/>
      <c r="H3972" s="24" t="n">
        <v>0.0884930864</v>
      </c>
    </row>
    <row r="3973" customFormat="false" ht="15" hidden="false" customHeight="false" outlineLevel="0" collapsed="false">
      <c r="A3973" s="3" t="n">
        <v>3972</v>
      </c>
      <c r="B3973" s="3" t="n">
        <v>3971</v>
      </c>
      <c r="C3973" s="3" t="s">
        <v>119</v>
      </c>
      <c r="D3973" s="3" t="n">
        <v>3</v>
      </c>
      <c r="E3973" s="3" t="n">
        <v>11</v>
      </c>
      <c r="F3973" s="3"/>
      <c r="G3973" s="3"/>
      <c r="H3973" s="24" t="n">
        <v>0.132053614</v>
      </c>
    </row>
    <row r="3974" customFormat="false" ht="15" hidden="false" customHeight="false" outlineLevel="0" collapsed="false">
      <c r="A3974" s="3" t="n">
        <v>3973</v>
      </c>
      <c r="B3974" s="3" t="n">
        <v>3972</v>
      </c>
      <c r="C3974" s="3" t="s">
        <v>119</v>
      </c>
      <c r="D3974" s="3" t="n">
        <v>3</v>
      </c>
      <c r="E3974" s="3" t="n">
        <v>12</v>
      </c>
      <c r="F3974" s="3"/>
      <c r="G3974" s="3"/>
      <c r="H3974" s="24" t="n">
        <v>-0.258353055</v>
      </c>
    </row>
    <row r="3975" customFormat="false" ht="15" hidden="false" customHeight="false" outlineLevel="0" collapsed="false">
      <c r="A3975" s="3" t="n">
        <v>3974</v>
      </c>
      <c r="B3975" s="3" t="n">
        <v>3973</v>
      </c>
      <c r="C3975" s="3" t="s">
        <v>119</v>
      </c>
      <c r="D3975" s="3" t="n">
        <v>3</v>
      </c>
      <c r="E3975" s="3" t="n">
        <v>13</v>
      </c>
      <c r="F3975" s="3"/>
      <c r="G3975" s="3"/>
      <c r="H3975" s="24" t="n">
        <v>-0.0323282965</v>
      </c>
    </row>
    <row r="3976" customFormat="false" ht="15" hidden="false" customHeight="false" outlineLevel="0" collapsed="false">
      <c r="A3976" s="3" t="n">
        <v>3975</v>
      </c>
      <c r="B3976" s="3" t="n">
        <v>3974</v>
      </c>
      <c r="C3976" s="3" t="s">
        <v>119</v>
      </c>
      <c r="D3976" s="3" t="n">
        <v>3</v>
      </c>
      <c r="E3976" s="3" t="n">
        <v>14</v>
      </c>
      <c r="F3976" s="3"/>
      <c r="G3976" s="3"/>
      <c r="H3976" s="24" t="n">
        <v>-0.423907071</v>
      </c>
    </row>
    <row r="3977" customFormat="false" ht="15" hidden="false" customHeight="false" outlineLevel="0" collapsed="false">
      <c r="A3977" s="3" t="n">
        <v>3976</v>
      </c>
      <c r="B3977" s="3" t="n">
        <v>3975</v>
      </c>
      <c r="C3977" s="3" t="s">
        <v>119</v>
      </c>
      <c r="D3977" s="3" t="n">
        <v>3</v>
      </c>
      <c r="E3977" s="3" t="n">
        <v>15</v>
      </c>
      <c r="F3977" s="3"/>
      <c r="G3977" s="3"/>
      <c r="H3977" s="24" t="n">
        <v>-0.0284850653</v>
      </c>
    </row>
    <row r="3978" customFormat="false" ht="15" hidden="false" customHeight="false" outlineLevel="0" collapsed="false">
      <c r="A3978" s="3" t="n">
        <v>3977</v>
      </c>
      <c r="B3978" s="3" t="n">
        <v>3976</v>
      </c>
      <c r="C3978" s="3" t="s">
        <v>119</v>
      </c>
      <c r="D3978" s="3" t="n">
        <v>3</v>
      </c>
      <c r="E3978" s="3" t="n">
        <v>16</v>
      </c>
      <c r="F3978" s="3"/>
      <c r="G3978" s="3"/>
      <c r="H3978" s="24" t="n">
        <v>-0.0659172088</v>
      </c>
    </row>
    <row r="3979" customFormat="false" ht="15" hidden="false" customHeight="false" outlineLevel="0" collapsed="false">
      <c r="A3979" s="3" t="n">
        <v>3978</v>
      </c>
      <c r="B3979" s="3" t="n">
        <v>3977</v>
      </c>
      <c r="C3979" s="3" t="s">
        <v>119</v>
      </c>
      <c r="D3979" s="3" t="n">
        <v>3</v>
      </c>
      <c r="E3979" s="3" t="n">
        <v>17</v>
      </c>
      <c r="F3979" s="3"/>
      <c r="G3979" s="3"/>
      <c r="H3979" s="24" t="n">
        <v>0.0929957256</v>
      </c>
    </row>
    <row r="3980" customFormat="false" ht="15" hidden="false" customHeight="false" outlineLevel="0" collapsed="false">
      <c r="A3980" s="3" t="n">
        <v>3979</v>
      </c>
      <c r="B3980" s="3" t="n">
        <v>3978</v>
      </c>
      <c r="C3980" s="3" t="s">
        <v>119</v>
      </c>
      <c r="D3980" s="3" t="n">
        <v>3</v>
      </c>
      <c r="E3980" s="3" t="n">
        <v>18</v>
      </c>
      <c r="F3980" s="3"/>
      <c r="G3980" s="3"/>
      <c r="H3980" s="24" t="n">
        <v>0.185791314</v>
      </c>
    </row>
    <row r="3981" customFormat="false" ht="15" hidden="false" customHeight="false" outlineLevel="0" collapsed="false">
      <c r="A3981" s="3" t="n">
        <v>3980</v>
      </c>
      <c r="B3981" s="3" t="n">
        <v>3979</v>
      </c>
      <c r="C3981" s="3" t="s">
        <v>119</v>
      </c>
      <c r="D3981" s="3" t="n">
        <v>3</v>
      </c>
      <c r="E3981" s="3" t="n">
        <v>19</v>
      </c>
      <c r="F3981" s="3"/>
      <c r="G3981" s="3"/>
      <c r="H3981" s="24" t="n">
        <v>0.0459691212</v>
      </c>
    </row>
    <row r="3982" customFormat="false" ht="15" hidden="false" customHeight="false" outlineLevel="0" collapsed="false">
      <c r="A3982" s="3" t="n">
        <v>3981</v>
      </c>
      <c r="B3982" s="3" t="n">
        <v>3980</v>
      </c>
      <c r="C3982" s="3" t="s">
        <v>119</v>
      </c>
      <c r="D3982" s="3" t="n">
        <v>3</v>
      </c>
      <c r="E3982" s="3" t="n">
        <v>20</v>
      </c>
      <c r="F3982" s="3"/>
      <c r="G3982" s="3"/>
      <c r="H3982" s="24" t="n">
        <v>0.118130222</v>
      </c>
    </row>
    <row r="3983" customFormat="false" ht="15" hidden="false" customHeight="false" outlineLevel="0" collapsed="false">
      <c r="A3983" s="3" t="n">
        <v>3982</v>
      </c>
      <c r="B3983" s="3" t="n">
        <v>3981</v>
      </c>
      <c r="C3983" s="3" t="s">
        <v>119</v>
      </c>
      <c r="D3983" s="3" t="n">
        <v>3</v>
      </c>
      <c r="E3983" s="3" t="n">
        <v>21</v>
      </c>
      <c r="F3983" s="3"/>
      <c r="G3983" s="3"/>
      <c r="H3983" s="24" t="n">
        <v>-0.00606242055</v>
      </c>
    </row>
    <row r="3984" customFormat="false" ht="15" hidden="false" customHeight="false" outlineLevel="0" collapsed="false">
      <c r="A3984" s="3" t="n">
        <v>3983</v>
      </c>
      <c r="B3984" s="3" t="n">
        <v>3982</v>
      </c>
      <c r="C3984" s="3" t="s">
        <v>119</v>
      </c>
      <c r="D3984" s="3" t="n">
        <v>3</v>
      </c>
      <c r="E3984" s="3" t="n">
        <v>22</v>
      </c>
      <c r="F3984" s="3"/>
      <c r="G3984" s="3"/>
      <c r="H3984" s="24" t="n">
        <v>-0.142055556</v>
      </c>
    </row>
    <row r="3985" customFormat="false" ht="15" hidden="false" customHeight="false" outlineLevel="0" collapsed="false">
      <c r="A3985" s="3" t="n">
        <v>3984</v>
      </c>
      <c r="B3985" s="3" t="n">
        <v>3983</v>
      </c>
      <c r="C3985" s="3" t="s">
        <v>119</v>
      </c>
      <c r="D3985" s="3" t="n">
        <v>3</v>
      </c>
      <c r="E3985" s="3" t="n">
        <v>23</v>
      </c>
      <c r="F3985" s="3"/>
      <c r="G3985" s="3"/>
      <c r="H3985" s="24" t="n">
        <v>-0.0813083127</v>
      </c>
    </row>
    <row r="3986" customFormat="false" ht="15" hidden="false" customHeight="false" outlineLevel="0" collapsed="false">
      <c r="A3986" s="3" t="n">
        <v>3985</v>
      </c>
      <c r="B3986" s="3" t="n">
        <v>3984</v>
      </c>
      <c r="C3986" s="3" t="s">
        <v>119</v>
      </c>
      <c r="D3986" s="3" t="n">
        <v>3</v>
      </c>
      <c r="E3986" s="3" t="n">
        <v>24</v>
      </c>
      <c r="F3986" s="3"/>
      <c r="G3986" s="3"/>
      <c r="H3986" s="24" t="n">
        <v>0.0159273725</v>
      </c>
    </row>
    <row r="3987" customFormat="false" ht="15" hidden="false" customHeight="false" outlineLevel="0" collapsed="false">
      <c r="A3987" s="3" t="n">
        <v>3986</v>
      </c>
      <c r="B3987" s="3" t="n">
        <v>3985</v>
      </c>
      <c r="C3987" s="3" t="s">
        <v>119</v>
      </c>
      <c r="D3987" s="3" t="n">
        <v>3</v>
      </c>
      <c r="E3987" s="3" t="n">
        <v>25</v>
      </c>
      <c r="F3987" s="3"/>
      <c r="G3987" s="3"/>
      <c r="H3987" s="24" t="n">
        <v>0.0108408332</v>
      </c>
    </row>
    <row r="3988" customFormat="false" ht="15" hidden="false" customHeight="false" outlineLevel="0" collapsed="false">
      <c r="A3988" s="3" t="n">
        <v>3987</v>
      </c>
      <c r="B3988" s="3" t="n">
        <v>3986</v>
      </c>
      <c r="C3988" s="3" t="s">
        <v>119</v>
      </c>
      <c r="D3988" s="3" t="n">
        <v>3</v>
      </c>
      <c r="E3988" s="3" t="n">
        <v>26</v>
      </c>
      <c r="F3988" s="3"/>
      <c r="G3988" s="3"/>
      <c r="H3988" s="24" t="n">
        <v>-0.181121096</v>
      </c>
    </row>
    <row r="3989" customFormat="false" ht="15" hidden="false" customHeight="false" outlineLevel="0" collapsed="false">
      <c r="A3989" s="3" t="n">
        <v>3988</v>
      </c>
      <c r="B3989" s="3" t="n">
        <v>3987</v>
      </c>
      <c r="C3989" s="3" t="s">
        <v>119</v>
      </c>
      <c r="D3989" s="3" t="n">
        <v>3</v>
      </c>
      <c r="E3989" s="3" t="n">
        <v>27</v>
      </c>
      <c r="F3989" s="3"/>
      <c r="G3989" s="3"/>
      <c r="H3989" s="24" t="n">
        <v>0.0754652768</v>
      </c>
    </row>
    <row r="3990" customFormat="false" ht="15" hidden="false" customHeight="false" outlineLevel="0" collapsed="false">
      <c r="A3990" s="3" t="n">
        <v>3989</v>
      </c>
      <c r="B3990" s="3" t="n">
        <v>3988</v>
      </c>
      <c r="C3990" s="3" t="s">
        <v>119</v>
      </c>
      <c r="D3990" s="3" t="n">
        <v>3</v>
      </c>
      <c r="E3990" s="3" t="n">
        <v>28</v>
      </c>
      <c r="F3990" s="3"/>
      <c r="G3990" s="3"/>
      <c r="H3990" s="24" t="n">
        <v>-0.0250728652</v>
      </c>
    </row>
    <row r="3991" customFormat="false" ht="15" hidden="false" customHeight="false" outlineLevel="0" collapsed="false">
      <c r="A3991" s="3" t="n">
        <v>3990</v>
      </c>
      <c r="B3991" s="3" t="n">
        <v>3989</v>
      </c>
      <c r="C3991" s="3" t="s">
        <v>119</v>
      </c>
      <c r="D3991" s="3" t="n">
        <v>3</v>
      </c>
      <c r="E3991" s="3" t="n">
        <v>29</v>
      </c>
      <c r="F3991" s="3"/>
      <c r="G3991" s="3"/>
      <c r="H3991" s="24" t="n">
        <v>0.327360839</v>
      </c>
    </row>
    <row r="3992" customFormat="false" ht="15" hidden="false" customHeight="false" outlineLevel="0" collapsed="false">
      <c r="A3992" s="3" t="n">
        <v>3991</v>
      </c>
      <c r="B3992" s="3" t="n">
        <v>3990</v>
      </c>
      <c r="C3992" s="3" t="s">
        <v>119</v>
      </c>
      <c r="D3992" s="3" t="n">
        <v>3</v>
      </c>
      <c r="E3992" s="3" t="n">
        <v>30</v>
      </c>
      <c r="F3992" s="3"/>
      <c r="G3992" s="3"/>
      <c r="H3992" s="24" t="n">
        <v>-0.415335834</v>
      </c>
    </row>
    <row r="3993" customFormat="false" ht="15" hidden="false" customHeight="false" outlineLevel="0" collapsed="false">
      <c r="A3993" s="3" t="n">
        <v>3992</v>
      </c>
      <c r="B3993" s="3" t="n">
        <v>3991</v>
      </c>
      <c r="C3993" s="3" t="s">
        <v>119</v>
      </c>
      <c r="D3993" s="3" t="n">
        <v>3</v>
      </c>
      <c r="E3993" s="3" t="n">
        <v>31</v>
      </c>
      <c r="F3993" s="3"/>
      <c r="G3993" s="3"/>
      <c r="H3993" s="24" t="n">
        <v>0.045713827</v>
      </c>
    </row>
    <row r="3994" customFormat="false" ht="15" hidden="false" customHeight="false" outlineLevel="0" collapsed="false">
      <c r="A3994" s="3" t="n">
        <v>3993</v>
      </c>
      <c r="B3994" s="3" t="n">
        <v>3992</v>
      </c>
      <c r="C3994" s="3" t="s">
        <v>119</v>
      </c>
      <c r="D3994" s="3" t="n">
        <v>3</v>
      </c>
      <c r="E3994" s="3" t="n">
        <v>32</v>
      </c>
      <c r="F3994" s="3"/>
      <c r="G3994" s="3"/>
      <c r="H3994" s="24" t="n">
        <v>0.158875838</v>
      </c>
    </row>
    <row r="3995" customFormat="false" ht="15" hidden="false" customHeight="false" outlineLevel="0" collapsed="false">
      <c r="A3995" s="3" t="n">
        <v>3994</v>
      </c>
      <c r="B3995" s="3" t="n">
        <v>3993</v>
      </c>
      <c r="C3995" s="3" t="s">
        <v>119</v>
      </c>
      <c r="D3995" s="3" t="n">
        <v>3</v>
      </c>
      <c r="E3995" s="3" t="n">
        <v>33</v>
      </c>
      <c r="F3995" s="3"/>
      <c r="G3995" s="3"/>
      <c r="H3995" s="24" t="n">
        <v>-0.00349604315</v>
      </c>
    </row>
    <row r="3996" customFormat="false" ht="15" hidden="false" customHeight="false" outlineLevel="0" collapsed="false">
      <c r="A3996" s="3" t="n">
        <v>3995</v>
      </c>
      <c r="B3996" s="3" t="n">
        <v>3994</v>
      </c>
      <c r="C3996" s="3" t="s">
        <v>119</v>
      </c>
      <c r="D3996" s="3" t="n">
        <v>3</v>
      </c>
      <c r="E3996" s="3" t="n">
        <v>34</v>
      </c>
      <c r="F3996" s="3"/>
      <c r="G3996" s="3"/>
      <c r="H3996" s="24" t="n">
        <v>0.00303840172</v>
      </c>
    </row>
    <row r="3997" customFormat="false" ht="15" hidden="false" customHeight="false" outlineLevel="0" collapsed="false">
      <c r="A3997" s="3" t="n">
        <v>3996</v>
      </c>
      <c r="B3997" s="3" t="n">
        <v>3995</v>
      </c>
      <c r="C3997" s="3" t="s">
        <v>119</v>
      </c>
      <c r="D3997" s="3" t="n">
        <v>3</v>
      </c>
      <c r="E3997" s="3" t="n">
        <v>35</v>
      </c>
      <c r="F3997" s="3"/>
      <c r="G3997" s="3"/>
      <c r="H3997" s="24" t="n">
        <v>0.179348856</v>
      </c>
    </row>
    <row r="3998" customFormat="false" ht="15" hidden="false" customHeight="false" outlineLevel="0" collapsed="false">
      <c r="A3998" s="3" t="n">
        <v>3997</v>
      </c>
      <c r="B3998" s="3" t="n">
        <v>3996</v>
      </c>
      <c r="C3998" s="3" t="s">
        <v>119</v>
      </c>
      <c r="D3998" s="3" t="n">
        <v>3</v>
      </c>
      <c r="E3998" s="3" t="n">
        <v>36</v>
      </c>
      <c r="F3998" s="3"/>
      <c r="G3998" s="3"/>
      <c r="H3998" s="24" t="n">
        <v>0.00563056394</v>
      </c>
    </row>
    <row r="3999" customFormat="false" ht="15" hidden="false" customHeight="false" outlineLevel="0" collapsed="false">
      <c r="A3999" s="3" t="n">
        <v>3998</v>
      </c>
      <c r="B3999" s="3" t="n">
        <v>3997</v>
      </c>
      <c r="C3999" s="3" t="s">
        <v>119</v>
      </c>
      <c r="D3999" s="3" t="n">
        <v>3</v>
      </c>
      <c r="E3999" s="3" t="n">
        <v>37</v>
      </c>
      <c r="F3999" s="3"/>
      <c r="G3999" s="3"/>
      <c r="H3999" s="24" t="n">
        <v>-0.044076588</v>
      </c>
    </row>
    <row r="4000" customFormat="false" ht="15" hidden="false" customHeight="false" outlineLevel="0" collapsed="false">
      <c r="A4000" s="3" t="n">
        <v>3999</v>
      </c>
      <c r="B4000" s="3" t="n">
        <v>3998</v>
      </c>
      <c r="C4000" s="3" t="s">
        <v>119</v>
      </c>
      <c r="D4000" s="3" t="n">
        <v>3</v>
      </c>
      <c r="E4000" s="3" t="n">
        <v>38</v>
      </c>
      <c r="F4000" s="3"/>
      <c r="G4000" s="3"/>
      <c r="H4000" s="24" t="n">
        <v>0.182924986</v>
      </c>
    </row>
    <row r="4001" customFormat="false" ht="15" hidden="false" customHeight="false" outlineLevel="0" collapsed="false">
      <c r="A4001" s="3" t="n">
        <v>4000</v>
      </c>
      <c r="B4001" s="3" t="n">
        <v>3999</v>
      </c>
      <c r="C4001" s="3" t="s">
        <v>119</v>
      </c>
      <c r="D4001" s="3" t="n">
        <v>3</v>
      </c>
      <c r="E4001" s="3" t="n">
        <v>39</v>
      </c>
      <c r="F4001" s="3"/>
      <c r="G4001" s="3"/>
      <c r="H4001" s="24" t="n">
        <v>-0.161293104</v>
      </c>
    </row>
    <row r="4002" customFormat="false" ht="15" hidden="false" customHeight="false" outlineLevel="0" collapsed="false">
      <c r="A4002" s="3" t="n">
        <v>4001</v>
      </c>
      <c r="B4002" s="3" t="n">
        <v>4000</v>
      </c>
      <c r="C4002" s="3" t="s">
        <v>119</v>
      </c>
      <c r="D4002" s="3" t="n">
        <v>3</v>
      </c>
      <c r="E4002" s="3" t="n">
        <v>40</v>
      </c>
      <c r="F4002" s="3"/>
      <c r="G4002" s="3"/>
      <c r="H4002" s="24" t="n">
        <v>-0.142962515</v>
      </c>
    </row>
    <row r="4003" customFormat="false" ht="15" hidden="false" customHeight="false" outlineLevel="0" collapsed="false">
      <c r="A4003" s="3" t="n">
        <v>4002</v>
      </c>
      <c r="B4003" s="3" t="n">
        <v>4001</v>
      </c>
      <c r="C4003" s="3" t="s">
        <v>119</v>
      </c>
      <c r="D4003" s="3" t="n">
        <v>3</v>
      </c>
      <c r="E4003" s="3" t="n">
        <v>41</v>
      </c>
      <c r="F4003" s="3"/>
      <c r="G4003" s="3"/>
      <c r="H4003" s="24" t="n">
        <v>0.0526216812</v>
      </c>
    </row>
    <row r="4004" customFormat="false" ht="15" hidden="false" customHeight="false" outlineLevel="0" collapsed="false">
      <c r="A4004" s="3" t="n">
        <v>4003</v>
      </c>
      <c r="B4004" s="3" t="n">
        <v>4002</v>
      </c>
      <c r="C4004" s="3" t="s">
        <v>119</v>
      </c>
      <c r="D4004" s="3" t="n">
        <v>3</v>
      </c>
      <c r="E4004" s="3" t="n">
        <v>42</v>
      </c>
      <c r="F4004" s="3"/>
      <c r="G4004" s="3"/>
      <c r="H4004" s="24" t="n">
        <v>-0.00717071211</v>
      </c>
    </row>
    <row r="4005" customFormat="false" ht="15" hidden="false" customHeight="false" outlineLevel="0" collapsed="false">
      <c r="A4005" s="3" t="n">
        <v>4004</v>
      </c>
      <c r="B4005" s="3" t="n">
        <v>4003</v>
      </c>
      <c r="C4005" s="3" t="s">
        <v>119</v>
      </c>
      <c r="D4005" s="3" t="n">
        <v>3</v>
      </c>
      <c r="E4005" s="3" t="n">
        <v>43</v>
      </c>
      <c r="F4005" s="3"/>
      <c r="G4005" s="3"/>
      <c r="H4005" s="24" t="n">
        <v>0.0697084591</v>
      </c>
    </row>
    <row r="4006" customFormat="false" ht="15" hidden="false" customHeight="false" outlineLevel="0" collapsed="false">
      <c r="A4006" s="3" t="n">
        <v>4005</v>
      </c>
      <c r="B4006" s="3" t="n">
        <v>4004</v>
      </c>
      <c r="C4006" s="3" t="s">
        <v>119</v>
      </c>
      <c r="D4006" s="3" t="n">
        <v>3</v>
      </c>
      <c r="E4006" s="3" t="n">
        <v>44</v>
      </c>
      <c r="F4006" s="3"/>
      <c r="G4006" s="3"/>
      <c r="H4006" s="24" t="n">
        <v>0.0698788688</v>
      </c>
    </row>
    <row r="4007" customFormat="false" ht="15" hidden="false" customHeight="false" outlineLevel="0" collapsed="false">
      <c r="A4007" s="3" t="n">
        <v>4006</v>
      </c>
      <c r="B4007" s="3" t="n">
        <v>4005</v>
      </c>
      <c r="C4007" s="3" t="s">
        <v>119</v>
      </c>
      <c r="D4007" s="3" t="n">
        <v>3</v>
      </c>
      <c r="E4007" s="3" t="n">
        <v>45</v>
      </c>
      <c r="F4007" s="3"/>
      <c r="G4007" s="3"/>
      <c r="H4007" s="24" t="n">
        <v>-0.203531191</v>
      </c>
    </row>
    <row r="4008" customFormat="false" ht="15" hidden="false" customHeight="false" outlineLevel="0" collapsed="false">
      <c r="A4008" s="3" t="n">
        <v>4007</v>
      </c>
      <c r="B4008" s="3" t="n">
        <v>4006</v>
      </c>
      <c r="C4008" s="3" t="s">
        <v>119</v>
      </c>
      <c r="D4008" s="3" t="n">
        <v>3</v>
      </c>
      <c r="E4008" s="3" t="n">
        <v>46</v>
      </c>
      <c r="F4008" s="3"/>
      <c r="G4008" s="3"/>
      <c r="H4008" s="24" t="n">
        <v>-0.0891893134</v>
      </c>
    </row>
    <row r="4009" customFormat="false" ht="15" hidden="false" customHeight="false" outlineLevel="0" collapsed="false">
      <c r="A4009" s="3" t="n">
        <v>4008</v>
      </c>
      <c r="B4009" s="3" t="n">
        <v>4007</v>
      </c>
      <c r="C4009" s="3" t="s">
        <v>119</v>
      </c>
      <c r="D4009" s="3" t="n">
        <v>3</v>
      </c>
      <c r="E4009" s="3" t="n">
        <v>47</v>
      </c>
      <c r="F4009" s="3"/>
      <c r="G4009" s="3"/>
      <c r="H4009" s="24" t="n">
        <v>0.21739839</v>
      </c>
    </row>
    <row r="4010" customFormat="false" ht="15" hidden="false" customHeight="false" outlineLevel="0" collapsed="false">
      <c r="A4010" s="3" t="n">
        <v>4009</v>
      </c>
      <c r="B4010" s="3" t="n">
        <v>4008</v>
      </c>
      <c r="C4010" s="3" t="s">
        <v>119</v>
      </c>
      <c r="D4010" s="3" t="n">
        <v>3</v>
      </c>
      <c r="E4010" s="3" t="n">
        <v>48</v>
      </c>
      <c r="F4010" s="3"/>
      <c r="G4010" s="3"/>
      <c r="H4010" s="24" t="n">
        <v>0.029149808</v>
      </c>
    </row>
    <row r="4011" customFormat="false" ht="15" hidden="false" customHeight="false" outlineLevel="0" collapsed="false">
      <c r="A4011" s="3" t="n">
        <v>4010</v>
      </c>
      <c r="B4011" s="3" t="n">
        <v>4009</v>
      </c>
      <c r="C4011" s="3" t="s">
        <v>119</v>
      </c>
      <c r="D4011" s="3" t="n">
        <v>3</v>
      </c>
      <c r="E4011" s="3" t="n">
        <v>49</v>
      </c>
      <c r="F4011" s="3"/>
      <c r="G4011" s="3"/>
      <c r="H4011" s="24" t="n">
        <v>-0.114503443</v>
      </c>
    </row>
    <row r="4012" customFormat="false" ht="15" hidden="false" customHeight="false" outlineLevel="0" collapsed="false">
      <c r="A4012" s="3" t="n">
        <v>4011</v>
      </c>
      <c r="B4012" s="3" t="n">
        <v>4010</v>
      </c>
      <c r="C4012" s="3" t="s">
        <v>119</v>
      </c>
      <c r="D4012" s="3" t="n">
        <v>3</v>
      </c>
      <c r="E4012" s="3" t="n">
        <v>50</v>
      </c>
      <c r="F4012" s="3"/>
      <c r="G4012" s="3"/>
      <c r="H4012" s="24" t="n">
        <v>-0.00840205606</v>
      </c>
    </row>
    <row r="4013" customFormat="false" ht="15" hidden="false" customHeight="false" outlineLevel="0" collapsed="false">
      <c r="A4013" s="3" t="n">
        <v>4012</v>
      </c>
      <c r="B4013" s="3" t="n">
        <v>4011</v>
      </c>
      <c r="C4013" s="3" t="s">
        <v>119</v>
      </c>
      <c r="D4013" s="3" t="n">
        <v>3</v>
      </c>
      <c r="E4013" s="3" t="n">
        <v>51</v>
      </c>
      <c r="F4013" s="3"/>
      <c r="G4013" s="3"/>
      <c r="H4013" s="24" t="n">
        <v>0.213692054</v>
      </c>
    </row>
    <row r="4014" customFormat="false" ht="15" hidden="false" customHeight="false" outlineLevel="0" collapsed="false">
      <c r="A4014" s="3" t="n">
        <v>4013</v>
      </c>
      <c r="B4014" s="3" t="n">
        <v>4012</v>
      </c>
      <c r="C4014" s="3" t="s">
        <v>119</v>
      </c>
      <c r="D4014" s="3" t="n">
        <v>3</v>
      </c>
      <c r="E4014" s="3" t="n">
        <v>52</v>
      </c>
      <c r="F4014" s="3"/>
      <c r="G4014" s="3"/>
      <c r="H4014" s="24" t="n">
        <v>0.0207850356</v>
      </c>
    </row>
    <row r="4015" customFormat="false" ht="15" hidden="false" customHeight="false" outlineLevel="0" collapsed="false">
      <c r="A4015" s="3" t="n">
        <v>4014</v>
      </c>
      <c r="B4015" s="3" t="n">
        <v>4013</v>
      </c>
      <c r="C4015" s="3" t="s">
        <v>119</v>
      </c>
      <c r="D4015" s="3" t="n">
        <v>3</v>
      </c>
      <c r="E4015" s="3" t="n">
        <v>53</v>
      </c>
      <c r="F4015" s="3"/>
      <c r="G4015" s="3"/>
      <c r="H4015" s="24" t="n">
        <v>0.168552876</v>
      </c>
    </row>
    <row r="4016" customFormat="false" ht="15" hidden="false" customHeight="false" outlineLevel="0" collapsed="false">
      <c r="A4016" s="3" t="n">
        <v>4015</v>
      </c>
      <c r="B4016" s="3" t="n">
        <v>4014</v>
      </c>
      <c r="C4016" s="3" t="s">
        <v>119</v>
      </c>
      <c r="D4016" s="3" t="n">
        <v>3</v>
      </c>
      <c r="E4016" s="3" t="n">
        <v>54</v>
      </c>
      <c r="F4016" s="3"/>
      <c r="G4016" s="3"/>
      <c r="H4016" s="24" t="n">
        <v>-0.395106554</v>
      </c>
    </row>
    <row r="4017" customFormat="false" ht="15" hidden="false" customHeight="false" outlineLevel="0" collapsed="false">
      <c r="A4017" s="3" t="n">
        <v>4016</v>
      </c>
      <c r="B4017" s="3" t="n">
        <v>4015</v>
      </c>
      <c r="C4017" s="3" t="s">
        <v>119</v>
      </c>
      <c r="D4017" s="3" t="n">
        <v>3</v>
      </c>
      <c r="E4017" s="3" t="n">
        <v>55</v>
      </c>
      <c r="F4017" s="3"/>
      <c r="G4017" s="3"/>
      <c r="H4017" s="24" t="n">
        <v>-0.0882115364</v>
      </c>
    </row>
    <row r="4018" customFormat="false" ht="15" hidden="false" customHeight="false" outlineLevel="0" collapsed="false">
      <c r="A4018" s="3" t="n">
        <v>4017</v>
      </c>
      <c r="B4018" s="3" t="n">
        <v>4016</v>
      </c>
      <c r="C4018" s="3" t="s">
        <v>119</v>
      </c>
      <c r="D4018" s="3" t="n">
        <v>3</v>
      </c>
      <c r="E4018" s="3" t="n">
        <v>56</v>
      </c>
      <c r="F4018" s="3"/>
      <c r="G4018" s="3"/>
      <c r="H4018" s="24" t="n">
        <v>-0.791785657</v>
      </c>
    </row>
    <row r="4019" customFormat="false" ht="15" hidden="false" customHeight="false" outlineLevel="0" collapsed="false">
      <c r="A4019" s="3" t="n">
        <v>4018</v>
      </c>
      <c r="B4019" s="3" t="n">
        <v>4017</v>
      </c>
      <c r="C4019" s="3" t="s">
        <v>119</v>
      </c>
      <c r="D4019" s="3" t="n">
        <v>3</v>
      </c>
      <c r="E4019" s="3" t="n">
        <v>57</v>
      </c>
      <c r="F4019" s="3"/>
      <c r="G4019" s="3"/>
      <c r="H4019" s="24" t="n">
        <v>-0.134214953</v>
      </c>
    </row>
    <row r="4020" customFormat="false" ht="15" hidden="false" customHeight="false" outlineLevel="0" collapsed="false">
      <c r="A4020" s="3" t="n">
        <v>4019</v>
      </c>
      <c r="B4020" s="3" t="n">
        <v>4018</v>
      </c>
      <c r="C4020" s="3" t="s">
        <v>119</v>
      </c>
      <c r="D4020" s="3" t="n">
        <v>3</v>
      </c>
      <c r="E4020" s="3" t="n">
        <v>58</v>
      </c>
      <c r="F4020" s="3"/>
      <c r="G4020" s="3"/>
      <c r="H4020" s="24" t="n">
        <v>0.0754988492</v>
      </c>
    </row>
    <row r="4021" customFormat="false" ht="15" hidden="false" customHeight="false" outlineLevel="0" collapsed="false">
      <c r="A4021" s="3" t="n">
        <v>4020</v>
      </c>
      <c r="B4021" s="3" t="n">
        <v>4019</v>
      </c>
      <c r="C4021" s="3" t="s">
        <v>119</v>
      </c>
      <c r="D4021" s="3" t="n">
        <v>3</v>
      </c>
      <c r="E4021" s="3" t="n">
        <v>59</v>
      </c>
      <c r="F4021" s="3"/>
      <c r="G4021" s="3"/>
      <c r="H4021" s="24" t="n">
        <v>-0.0105621507</v>
      </c>
    </row>
    <row r="4022" customFormat="false" ht="15" hidden="false" customHeight="false" outlineLevel="0" collapsed="false">
      <c r="A4022" s="3" t="n">
        <v>4021</v>
      </c>
      <c r="B4022" s="3" t="n">
        <v>4020</v>
      </c>
      <c r="C4022" s="3" t="s">
        <v>119</v>
      </c>
      <c r="D4022" s="3" t="n">
        <v>3</v>
      </c>
      <c r="E4022" s="3" t="n">
        <v>60</v>
      </c>
      <c r="F4022" s="3"/>
      <c r="G4022" s="3"/>
      <c r="H4022" s="24" t="n">
        <v>0.0154172014</v>
      </c>
    </row>
    <row r="4023" customFormat="false" ht="15" hidden="false" customHeight="false" outlineLevel="0" collapsed="false">
      <c r="A4023" s="3" t="n">
        <v>4022</v>
      </c>
      <c r="B4023" s="3" t="n">
        <v>4021</v>
      </c>
      <c r="C4023" s="3" t="s">
        <v>119</v>
      </c>
      <c r="D4023" s="3" t="n">
        <v>3</v>
      </c>
      <c r="E4023" s="3" t="n">
        <v>61</v>
      </c>
      <c r="F4023" s="3"/>
      <c r="G4023" s="3"/>
      <c r="H4023" s="24" t="n">
        <v>-0.0746493191</v>
      </c>
    </row>
    <row r="4024" customFormat="false" ht="15" hidden="false" customHeight="false" outlineLevel="0" collapsed="false">
      <c r="A4024" s="3" t="n">
        <v>4023</v>
      </c>
      <c r="B4024" s="3" t="n">
        <v>4022</v>
      </c>
      <c r="C4024" s="3" t="s">
        <v>119</v>
      </c>
      <c r="D4024" s="3" t="n">
        <v>3</v>
      </c>
      <c r="E4024" s="3" t="n">
        <v>62</v>
      </c>
      <c r="F4024" s="3"/>
      <c r="G4024" s="3"/>
      <c r="H4024" s="24" t="n">
        <v>0.0418949015</v>
      </c>
    </row>
    <row r="4025" customFormat="false" ht="15" hidden="false" customHeight="false" outlineLevel="0" collapsed="false">
      <c r="A4025" s="3" t="n">
        <v>4024</v>
      </c>
      <c r="B4025" s="3" t="n">
        <v>4023</v>
      </c>
      <c r="C4025" s="3" t="s">
        <v>119</v>
      </c>
      <c r="D4025" s="3" t="n">
        <v>3</v>
      </c>
      <c r="E4025" s="3" t="n">
        <v>63</v>
      </c>
      <c r="F4025" s="3"/>
      <c r="G4025" s="3"/>
      <c r="H4025" s="24" t="n">
        <v>0.0158925056</v>
      </c>
    </row>
    <row r="4026" customFormat="false" ht="15" hidden="false" customHeight="false" outlineLevel="0" collapsed="false">
      <c r="A4026" s="3" t="n">
        <v>4025</v>
      </c>
      <c r="B4026" s="3" t="n">
        <v>4024</v>
      </c>
      <c r="C4026" s="3" t="s">
        <v>119</v>
      </c>
      <c r="D4026" s="3" t="n">
        <v>3</v>
      </c>
      <c r="E4026" s="3" t="n">
        <v>64</v>
      </c>
      <c r="F4026" s="3"/>
      <c r="G4026" s="3"/>
      <c r="H4026" s="24" t="n">
        <v>0.0392928272</v>
      </c>
    </row>
    <row r="4027" customFormat="false" ht="15" hidden="false" customHeight="false" outlineLevel="0" collapsed="false">
      <c r="A4027" s="3" t="n">
        <v>4026</v>
      </c>
      <c r="B4027" s="3" t="n">
        <v>4025</v>
      </c>
      <c r="C4027" s="3" t="s">
        <v>119</v>
      </c>
      <c r="D4027" s="3" t="n">
        <v>3</v>
      </c>
      <c r="E4027" s="3" t="n">
        <v>65</v>
      </c>
      <c r="F4027" s="3"/>
      <c r="G4027" s="3"/>
      <c r="H4027" s="24" t="n">
        <v>-0.0658288077</v>
      </c>
    </row>
    <row r="4028" customFormat="false" ht="15" hidden="false" customHeight="false" outlineLevel="0" collapsed="false">
      <c r="A4028" s="3" t="n">
        <v>4027</v>
      </c>
      <c r="B4028" s="3" t="n">
        <v>4026</v>
      </c>
      <c r="C4028" s="3" t="s">
        <v>119</v>
      </c>
      <c r="D4028" s="3" t="n">
        <v>3</v>
      </c>
      <c r="E4028" s="3" t="n">
        <v>66</v>
      </c>
      <c r="F4028" s="3"/>
      <c r="G4028" s="3"/>
      <c r="H4028" s="24" t="n">
        <v>0.0555606708</v>
      </c>
    </row>
    <row r="4029" customFormat="false" ht="15" hidden="false" customHeight="false" outlineLevel="0" collapsed="false">
      <c r="A4029" s="3" t="n">
        <v>4028</v>
      </c>
      <c r="B4029" s="3" t="n">
        <v>4027</v>
      </c>
      <c r="C4029" s="3" t="s">
        <v>119</v>
      </c>
      <c r="D4029" s="3" t="n">
        <v>3</v>
      </c>
      <c r="E4029" s="3" t="n">
        <v>67</v>
      </c>
      <c r="F4029" s="3"/>
      <c r="G4029" s="3"/>
      <c r="H4029" s="24" t="n">
        <v>-0.00979785156</v>
      </c>
    </row>
    <row r="4030" customFormat="false" ht="15" hidden="false" customHeight="false" outlineLevel="0" collapsed="false">
      <c r="A4030" s="3" t="n">
        <v>4029</v>
      </c>
      <c r="B4030" s="3" t="n">
        <v>4028</v>
      </c>
      <c r="C4030" s="3" t="s">
        <v>119</v>
      </c>
      <c r="D4030" s="3" t="n">
        <v>3</v>
      </c>
      <c r="E4030" s="3" t="n">
        <v>68</v>
      </c>
      <c r="F4030" s="3"/>
      <c r="G4030" s="3"/>
      <c r="H4030" s="24" t="n">
        <v>0.0384293906</v>
      </c>
    </row>
    <row r="4031" customFormat="false" ht="15" hidden="false" customHeight="false" outlineLevel="0" collapsed="false">
      <c r="A4031" s="3" t="n">
        <v>4030</v>
      </c>
      <c r="B4031" s="3" t="n">
        <v>4029</v>
      </c>
      <c r="C4031" s="3" t="s">
        <v>119</v>
      </c>
      <c r="D4031" s="3" t="n">
        <v>3</v>
      </c>
      <c r="E4031" s="3" t="n">
        <v>69</v>
      </c>
      <c r="F4031" s="3"/>
      <c r="G4031" s="3"/>
      <c r="H4031" s="24" t="n">
        <v>0.0238635838</v>
      </c>
    </row>
    <row r="4032" customFormat="false" ht="15" hidden="false" customHeight="false" outlineLevel="0" collapsed="false">
      <c r="A4032" s="3" t="n">
        <v>4031</v>
      </c>
      <c r="B4032" s="3" t="n">
        <v>4030</v>
      </c>
      <c r="C4032" s="3" t="s">
        <v>119</v>
      </c>
      <c r="D4032" s="3" t="n">
        <v>3</v>
      </c>
      <c r="E4032" s="3" t="n">
        <v>70</v>
      </c>
      <c r="F4032" s="3"/>
      <c r="G4032" s="3"/>
      <c r="H4032" s="24" t="n">
        <v>-0.00439461088</v>
      </c>
    </row>
    <row r="4033" customFormat="false" ht="15" hidden="false" customHeight="false" outlineLevel="0" collapsed="false">
      <c r="A4033" s="3" t="n">
        <v>4032</v>
      </c>
      <c r="B4033" s="3" t="n">
        <v>4031</v>
      </c>
      <c r="C4033" s="3" t="s">
        <v>119</v>
      </c>
      <c r="D4033" s="3" t="n">
        <v>3</v>
      </c>
      <c r="E4033" s="3" t="n">
        <v>71</v>
      </c>
      <c r="F4033" s="3"/>
      <c r="G4033" s="3"/>
      <c r="H4033" s="24" t="n">
        <v>0.0586591959</v>
      </c>
    </row>
    <row r="4034" customFormat="false" ht="15" hidden="false" customHeight="false" outlineLevel="0" collapsed="false">
      <c r="A4034" s="3" t="n">
        <v>4033</v>
      </c>
      <c r="B4034" s="3" t="n">
        <v>4032</v>
      </c>
      <c r="C4034" s="3" t="s">
        <v>119</v>
      </c>
      <c r="D4034" s="3" t="n">
        <v>3</v>
      </c>
      <c r="E4034" s="3" t="n">
        <v>72</v>
      </c>
      <c r="F4034" s="3"/>
      <c r="G4034" s="3"/>
      <c r="H4034" s="24" t="n">
        <v>-0.00898764655</v>
      </c>
    </row>
    <row r="4035" customFormat="false" ht="15" hidden="false" customHeight="false" outlineLevel="0" collapsed="false">
      <c r="A4035" s="3" t="n">
        <v>4034</v>
      </c>
      <c r="B4035" s="3" t="n">
        <v>4033</v>
      </c>
      <c r="C4035" s="3" t="s">
        <v>119</v>
      </c>
      <c r="D4035" s="3" t="n">
        <v>3</v>
      </c>
      <c r="E4035" s="3" t="n">
        <v>73</v>
      </c>
      <c r="F4035" s="3"/>
      <c r="G4035" s="3"/>
      <c r="H4035" s="24" t="n">
        <v>0.118051991</v>
      </c>
    </row>
    <row r="4036" customFormat="false" ht="15" hidden="false" customHeight="false" outlineLevel="0" collapsed="false">
      <c r="A4036" s="3" t="n">
        <v>4035</v>
      </c>
      <c r="B4036" s="3" t="n">
        <v>4034</v>
      </c>
      <c r="C4036" s="3" t="s">
        <v>119</v>
      </c>
      <c r="D4036" s="3" t="n">
        <v>3</v>
      </c>
      <c r="E4036" s="3" t="n">
        <v>74</v>
      </c>
      <c r="F4036" s="3"/>
      <c r="G4036" s="3"/>
      <c r="H4036" s="24" t="n">
        <v>-0.0699690282</v>
      </c>
    </row>
    <row r="4037" customFormat="false" ht="15" hidden="false" customHeight="false" outlineLevel="0" collapsed="false">
      <c r="A4037" s="3" t="n">
        <v>4036</v>
      </c>
      <c r="B4037" s="3" t="n">
        <v>4035</v>
      </c>
      <c r="C4037" s="3" t="s">
        <v>119</v>
      </c>
      <c r="D4037" s="3" t="n">
        <v>3</v>
      </c>
      <c r="E4037" s="3" t="n">
        <v>75</v>
      </c>
      <c r="F4037" s="3"/>
      <c r="G4037" s="3"/>
      <c r="H4037" s="24" t="n">
        <v>-0.179384351</v>
      </c>
    </row>
    <row r="4038" customFormat="false" ht="15" hidden="false" customHeight="false" outlineLevel="0" collapsed="false">
      <c r="A4038" s="3" t="n">
        <v>4037</v>
      </c>
      <c r="B4038" s="3" t="n">
        <v>4036</v>
      </c>
      <c r="C4038" s="3" t="s">
        <v>119</v>
      </c>
      <c r="D4038" s="3" t="n">
        <v>3</v>
      </c>
      <c r="E4038" s="3" t="n">
        <v>76</v>
      </c>
      <c r="F4038" s="3"/>
      <c r="G4038" s="3"/>
      <c r="H4038" s="24" t="n">
        <v>-0.0308586657</v>
      </c>
    </row>
    <row r="4039" customFormat="false" ht="15" hidden="false" customHeight="false" outlineLevel="0" collapsed="false">
      <c r="A4039" s="3" t="n">
        <v>4038</v>
      </c>
      <c r="B4039" s="3" t="n">
        <v>4037</v>
      </c>
      <c r="C4039" s="3" t="s">
        <v>119</v>
      </c>
      <c r="D4039" s="3" t="n">
        <v>3</v>
      </c>
      <c r="E4039" s="3" t="n">
        <v>77</v>
      </c>
      <c r="F4039" s="3"/>
      <c r="G4039" s="3"/>
      <c r="H4039" s="24" t="n">
        <v>-0.00684200414</v>
      </c>
    </row>
    <row r="4040" customFormat="false" ht="15" hidden="false" customHeight="false" outlineLevel="0" collapsed="false">
      <c r="A4040" s="3" t="n">
        <v>4039</v>
      </c>
      <c r="B4040" s="3" t="n">
        <v>4038</v>
      </c>
      <c r="C4040" s="3" t="s">
        <v>119</v>
      </c>
      <c r="D4040" s="3" t="n">
        <v>3</v>
      </c>
      <c r="E4040" s="3" t="n">
        <v>78</v>
      </c>
      <c r="F4040" s="3"/>
      <c r="G4040" s="3"/>
      <c r="H4040" s="24" t="n">
        <v>-0.00392505387</v>
      </c>
    </row>
    <row r="4041" customFormat="false" ht="15" hidden="false" customHeight="false" outlineLevel="0" collapsed="false">
      <c r="A4041" s="3" t="n">
        <v>4040</v>
      </c>
      <c r="B4041" s="3" t="n">
        <v>4039</v>
      </c>
      <c r="C4041" s="3" t="s">
        <v>119</v>
      </c>
      <c r="D4041" s="3" t="n">
        <v>3</v>
      </c>
      <c r="E4041" s="3" t="n">
        <v>79</v>
      </c>
      <c r="F4041" s="3"/>
      <c r="G4041" s="3"/>
      <c r="H4041" s="24" t="n">
        <v>0.353810757</v>
      </c>
    </row>
    <row r="4042" customFormat="false" ht="15" hidden="false" customHeight="false" outlineLevel="0" collapsed="false">
      <c r="A4042" s="3" t="n">
        <v>4041</v>
      </c>
      <c r="B4042" s="3" t="n">
        <v>4040</v>
      </c>
      <c r="C4042" s="3" t="s">
        <v>119</v>
      </c>
      <c r="D4042" s="3" t="n">
        <v>3</v>
      </c>
      <c r="E4042" s="3" t="n">
        <v>80</v>
      </c>
      <c r="F4042" s="3"/>
      <c r="G4042" s="3"/>
      <c r="H4042" s="24" t="n">
        <v>0.0432880148</v>
      </c>
    </row>
    <row r="4043" customFormat="false" ht="15" hidden="false" customHeight="false" outlineLevel="0" collapsed="false">
      <c r="A4043" s="3" t="n">
        <v>4042</v>
      </c>
      <c r="B4043" s="3" t="n">
        <v>4041</v>
      </c>
      <c r="C4043" s="3" t="s">
        <v>119</v>
      </c>
      <c r="D4043" s="3" t="n">
        <v>3</v>
      </c>
      <c r="E4043" s="3" t="n">
        <v>81</v>
      </c>
      <c r="F4043" s="3"/>
      <c r="G4043" s="3"/>
      <c r="H4043" s="24" t="n">
        <v>-0.023938816</v>
      </c>
    </row>
    <row r="4044" customFormat="false" ht="15" hidden="false" customHeight="false" outlineLevel="0" collapsed="false">
      <c r="A4044" s="3" t="n">
        <v>4043</v>
      </c>
      <c r="B4044" s="3" t="n">
        <v>4042</v>
      </c>
      <c r="C4044" s="3" t="s">
        <v>119</v>
      </c>
      <c r="D4044" s="3" t="n">
        <v>3</v>
      </c>
      <c r="E4044" s="3" t="n">
        <v>82</v>
      </c>
      <c r="F4044" s="3"/>
      <c r="G4044" s="3"/>
      <c r="H4044" s="24" t="n">
        <v>-0.193917528</v>
      </c>
    </row>
    <row r="4045" customFormat="false" ht="15" hidden="false" customHeight="false" outlineLevel="0" collapsed="false">
      <c r="A4045" s="3" t="n">
        <v>4044</v>
      </c>
      <c r="B4045" s="3" t="n">
        <v>4043</v>
      </c>
      <c r="C4045" s="3" t="s">
        <v>119</v>
      </c>
      <c r="D4045" s="3" t="n">
        <v>3</v>
      </c>
      <c r="E4045" s="3" t="n">
        <v>83</v>
      </c>
      <c r="F4045" s="3"/>
      <c r="G4045" s="3"/>
      <c r="H4045" s="24" t="n">
        <v>0.184563398</v>
      </c>
    </row>
    <row r="4046" customFormat="false" ht="15" hidden="false" customHeight="false" outlineLevel="0" collapsed="false">
      <c r="A4046" s="3" t="n">
        <v>4045</v>
      </c>
      <c r="B4046" s="3" t="n">
        <v>4044</v>
      </c>
      <c r="C4046" s="3" t="s">
        <v>119</v>
      </c>
      <c r="D4046" s="3" t="n">
        <v>3</v>
      </c>
      <c r="E4046" s="3" t="n">
        <v>84</v>
      </c>
      <c r="F4046" s="3"/>
      <c r="G4046" s="3"/>
      <c r="H4046" s="24" t="n">
        <v>0.162794754</v>
      </c>
    </row>
    <row r="4047" customFormat="false" ht="15" hidden="false" customHeight="false" outlineLevel="0" collapsed="false">
      <c r="A4047" s="3" t="n">
        <v>4046</v>
      </c>
      <c r="B4047" s="3" t="n">
        <v>4045</v>
      </c>
      <c r="C4047" s="3" t="s">
        <v>119</v>
      </c>
      <c r="D4047" s="3" t="n">
        <v>3</v>
      </c>
      <c r="E4047" s="3" t="n">
        <v>85</v>
      </c>
      <c r="F4047" s="3"/>
      <c r="G4047" s="3"/>
      <c r="H4047" s="24" t="n">
        <v>-0.13239044</v>
      </c>
    </row>
    <row r="4048" customFormat="false" ht="15" hidden="false" customHeight="false" outlineLevel="0" collapsed="false">
      <c r="A4048" s="3" t="n">
        <v>4047</v>
      </c>
      <c r="B4048" s="3" t="n">
        <v>4046</v>
      </c>
      <c r="C4048" s="3" t="s">
        <v>119</v>
      </c>
      <c r="D4048" s="3" t="n">
        <v>3</v>
      </c>
      <c r="E4048" s="3" t="n">
        <v>86</v>
      </c>
      <c r="F4048" s="3"/>
      <c r="G4048" s="3"/>
      <c r="H4048" s="24" t="n">
        <v>-0.0563919544</v>
      </c>
    </row>
    <row r="4049" customFormat="false" ht="15" hidden="false" customHeight="false" outlineLevel="0" collapsed="false">
      <c r="A4049" s="3" t="n">
        <v>4048</v>
      </c>
      <c r="B4049" s="3" t="n">
        <v>4047</v>
      </c>
      <c r="C4049" s="3" t="s">
        <v>119</v>
      </c>
      <c r="D4049" s="3" t="n">
        <v>3</v>
      </c>
      <c r="E4049" s="3" t="n">
        <v>87</v>
      </c>
      <c r="F4049" s="3"/>
      <c r="G4049" s="3"/>
      <c r="H4049" s="24" t="n">
        <v>-0.346273869</v>
      </c>
    </row>
    <row r="4050" customFormat="false" ht="15" hidden="false" customHeight="false" outlineLevel="0" collapsed="false">
      <c r="A4050" s="3" t="n">
        <v>4049</v>
      </c>
      <c r="B4050" s="3" t="n">
        <v>4048</v>
      </c>
      <c r="C4050" s="3" t="s">
        <v>119</v>
      </c>
      <c r="D4050" s="3" t="n">
        <v>3</v>
      </c>
      <c r="E4050" s="3" t="n">
        <v>88</v>
      </c>
      <c r="F4050" s="3"/>
      <c r="G4050" s="3"/>
      <c r="H4050" s="24" t="n">
        <v>0.069148317</v>
      </c>
    </row>
    <row r="4051" customFormat="false" ht="15" hidden="false" customHeight="false" outlineLevel="0" collapsed="false">
      <c r="A4051" s="3" t="n">
        <v>4050</v>
      </c>
      <c r="B4051" s="3" t="n">
        <v>4049</v>
      </c>
      <c r="C4051" s="3" t="s">
        <v>119</v>
      </c>
      <c r="D4051" s="3" t="n">
        <v>3</v>
      </c>
      <c r="E4051" s="3" t="n">
        <v>89</v>
      </c>
      <c r="F4051" s="3"/>
      <c r="G4051" s="3"/>
      <c r="H4051" s="24" t="n">
        <v>0.166180044</v>
      </c>
    </row>
    <row r="4052" customFormat="false" ht="15" hidden="false" customHeight="false" outlineLevel="0" collapsed="false">
      <c r="A4052" s="3" t="n">
        <v>4051</v>
      </c>
      <c r="B4052" s="3" t="n">
        <v>4050</v>
      </c>
      <c r="C4052" s="3" t="s">
        <v>119</v>
      </c>
      <c r="D4052" s="3" t="n">
        <v>3</v>
      </c>
      <c r="E4052" s="3" t="n">
        <v>90</v>
      </c>
      <c r="F4052" s="3"/>
      <c r="G4052" s="3"/>
      <c r="H4052" s="24" t="n">
        <v>-0.169460446</v>
      </c>
    </row>
    <row r="4053" customFormat="false" ht="15" hidden="false" customHeight="false" outlineLevel="0" collapsed="false">
      <c r="A4053" s="3" t="n">
        <v>4052</v>
      </c>
      <c r="B4053" s="3" t="n">
        <v>4051</v>
      </c>
      <c r="C4053" s="3" t="s">
        <v>119</v>
      </c>
      <c r="D4053" s="3" t="n">
        <v>3</v>
      </c>
      <c r="E4053" s="3" t="n">
        <v>91</v>
      </c>
      <c r="F4053" s="3"/>
      <c r="G4053" s="3"/>
      <c r="H4053" s="24" t="n">
        <v>0.194358811</v>
      </c>
    </row>
    <row r="4054" customFormat="false" ht="15" hidden="false" customHeight="false" outlineLevel="0" collapsed="false">
      <c r="A4054" s="3" t="n">
        <v>4053</v>
      </c>
      <c r="B4054" s="3" t="n">
        <v>4052</v>
      </c>
      <c r="C4054" s="3" t="s">
        <v>119</v>
      </c>
      <c r="D4054" s="3" t="n">
        <v>3</v>
      </c>
      <c r="E4054" s="3" t="n">
        <v>92</v>
      </c>
      <c r="F4054" s="3"/>
      <c r="G4054" s="3"/>
      <c r="H4054" s="24" t="n">
        <v>-0.0699484572</v>
      </c>
    </row>
    <row r="4055" customFormat="false" ht="15" hidden="false" customHeight="false" outlineLevel="0" collapsed="false">
      <c r="A4055" s="3" t="n">
        <v>4054</v>
      </c>
      <c r="B4055" s="3" t="n">
        <v>4053</v>
      </c>
      <c r="C4055" s="3" t="s">
        <v>119</v>
      </c>
      <c r="D4055" s="3" t="n">
        <v>3</v>
      </c>
      <c r="E4055" s="3" t="n">
        <v>93</v>
      </c>
      <c r="F4055" s="3"/>
      <c r="G4055" s="3"/>
      <c r="H4055" s="24" t="n">
        <v>0.186512724</v>
      </c>
    </row>
    <row r="4056" customFormat="false" ht="15" hidden="false" customHeight="false" outlineLevel="0" collapsed="false">
      <c r="A4056" s="3" t="n">
        <v>4055</v>
      </c>
      <c r="B4056" s="3" t="n">
        <v>4054</v>
      </c>
      <c r="C4056" s="3" t="s">
        <v>119</v>
      </c>
      <c r="D4056" s="3" t="n">
        <v>3</v>
      </c>
      <c r="E4056" s="3" t="n">
        <v>94</v>
      </c>
      <c r="F4056" s="3"/>
      <c r="G4056" s="3"/>
      <c r="H4056" s="24" t="n">
        <v>-0.195289418</v>
      </c>
    </row>
    <row r="4057" customFormat="false" ht="15" hidden="false" customHeight="false" outlineLevel="0" collapsed="false">
      <c r="A4057" s="3" t="n">
        <v>4056</v>
      </c>
      <c r="B4057" s="3" t="n">
        <v>4055</v>
      </c>
      <c r="C4057" s="3" t="s">
        <v>119</v>
      </c>
      <c r="D4057" s="3" t="n">
        <v>3</v>
      </c>
      <c r="E4057" s="3" t="n">
        <v>95</v>
      </c>
      <c r="F4057" s="3"/>
      <c r="G4057" s="3"/>
      <c r="H4057" s="24" t="n">
        <v>-0.111020595</v>
      </c>
    </row>
    <row r="4058" customFormat="false" ht="15" hidden="false" customHeight="false" outlineLevel="0" collapsed="false">
      <c r="A4058" s="3" t="n">
        <v>4057</v>
      </c>
      <c r="B4058" s="3" t="n">
        <v>4056</v>
      </c>
      <c r="C4058" s="3" t="s">
        <v>119</v>
      </c>
      <c r="D4058" s="3" t="n">
        <v>3</v>
      </c>
      <c r="E4058" s="3" t="n">
        <v>96</v>
      </c>
      <c r="F4058" s="3"/>
      <c r="G4058" s="3"/>
      <c r="H4058" s="24" t="n">
        <v>0.212518677</v>
      </c>
    </row>
    <row r="4059" customFormat="false" ht="15" hidden="false" customHeight="false" outlineLevel="0" collapsed="false">
      <c r="A4059" s="3" t="n">
        <v>4058</v>
      </c>
      <c r="B4059" s="3" t="n">
        <v>4057</v>
      </c>
      <c r="C4059" s="3" t="s">
        <v>119</v>
      </c>
      <c r="D4059" s="3" t="n">
        <v>3</v>
      </c>
      <c r="E4059" s="3" t="n">
        <v>97</v>
      </c>
      <c r="F4059" s="3"/>
      <c r="G4059" s="3"/>
      <c r="H4059" s="24" t="n">
        <v>-0.0962723568</v>
      </c>
    </row>
    <row r="4060" customFormat="false" ht="15" hidden="false" customHeight="false" outlineLevel="0" collapsed="false">
      <c r="A4060" s="3" t="n">
        <v>4059</v>
      </c>
      <c r="B4060" s="3" t="n">
        <v>4058</v>
      </c>
      <c r="C4060" s="3" t="s">
        <v>119</v>
      </c>
      <c r="D4060" s="3" t="n">
        <v>3</v>
      </c>
      <c r="E4060" s="3" t="n">
        <v>98</v>
      </c>
      <c r="F4060" s="3"/>
      <c r="G4060" s="3"/>
      <c r="H4060" s="24" t="n">
        <v>-0.00467700139</v>
      </c>
    </row>
    <row r="4061" customFormat="false" ht="15" hidden="false" customHeight="false" outlineLevel="0" collapsed="false">
      <c r="A4061" s="3" t="n">
        <v>4060</v>
      </c>
      <c r="B4061" s="3" t="n">
        <v>4059</v>
      </c>
      <c r="C4061" s="3" t="s">
        <v>119</v>
      </c>
      <c r="D4061" s="3" t="n">
        <v>3</v>
      </c>
      <c r="E4061" s="3" t="n">
        <v>99</v>
      </c>
      <c r="F4061" s="3"/>
      <c r="G4061" s="3"/>
      <c r="H4061" s="24" t="n">
        <v>0.0354669727</v>
      </c>
    </row>
    <row r="4062" customFormat="false" ht="15" hidden="false" customHeight="false" outlineLevel="0" collapsed="false">
      <c r="A4062" s="3" t="n">
        <v>4061</v>
      </c>
      <c r="B4062" s="3" t="n">
        <v>4060</v>
      </c>
      <c r="C4062" s="3" t="s">
        <v>119</v>
      </c>
      <c r="D4062" s="3" t="n">
        <v>3</v>
      </c>
      <c r="E4062" s="3" t="n">
        <v>100</v>
      </c>
      <c r="F4062" s="3"/>
      <c r="G4062" s="3"/>
      <c r="H4062" s="24" t="n">
        <v>-0.237712532</v>
      </c>
    </row>
    <row r="4063" customFormat="false" ht="15" hidden="false" customHeight="false" outlineLevel="0" collapsed="false">
      <c r="A4063" s="3" t="n">
        <v>4062</v>
      </c>
      <c r="B4063" s="3" t="n">
        <v>4061</v>
      </c>
      <c r="C4063" s="3" t="s">
        <v>119</v>
      </c>
      <c r="D4063" s="3" t="n">
        <v>3</v>
      </c>
      <c r="E4063" s="3" t="n">
        <v>101</v>
      </c>
      <c r="F4063" s="3"/>
      <c r="G4063" s="3"/>
      <c r="H4063" s="24" t="n">
        <v>0.0629173368</v>
      </c>
    </row>
    <row r="4064" customFormat="false" ht="15" hidden="false" customHeight="false" outlineLevel="0" collapsed="false">
      <c r="A4064" s="3" t="n">
        <v>4063</v>
      </c>
      <c r="B4064" s="3" t="n">
        <v>4062</v>
      </c>
      <c r="C4064" s="3" t="s">
        <v>119</v>
      </c>
      <c r="D4064" s="3" t="n">
        <v>3</v>
      </c>
      <c r="E4064" s="3" t="n">
        <v>102</v>
      </c>
      <c r="F4064" s="3"/>
      <c r="G4064" s="3"/>
      <c r="H4064" s="24" t="n">
        <v>-0.449121386</v>
      </c>
    </row>
    <row r="4065" customFormat="false" ht="15" hidden="false" customHeight="false" outlineLevel="0" collapsed="false">
      <c r="A4065" s="3" t="n">
        <v>4064</v>
      </c>
      <c r="B4065" s="3" t="n">
        <v>4063</v>
      </c>
      <c r="C4065" s="3" t="s">
        <v>119</v>
      </c>
      <c r="D4065" s="3" t="n">
        <v>3</v>
      </c>
      <c r="E4065" s="3" t="n">
        <v>103</v>
      </c>
      <c r="F4065" s="3"/>
      <c r="G4065" s="3"/>
      <c r="H4065" s="24" t="n">
        <v>-0.138706446</v>
      </c>
    </row>
    <row r="4066" customFormat="false" ht="15" hidden="false" customHeight="false" outlineLevel="0" collapsed="false">
      <c r="A4066" s="3" t="n">
        <v>4065</v>
      </c>
      <c r="B4066" s="3" t="n">
        <v>4064</v>
      </c>
      <c r="C4066" s="3" t="s">
        <v>119</v>
      </c>
      <c r="D4066" s="3" t="n">
        <v>3</v>
      </c>
      <c r="E4066" s="3" t="n">
        <v>104</v>
      </c>
      <c r="F4066" s="3"/>
      <c r="G4066" s="3"/>
      <c r="H4066" s="24" t="n">
        <v>-0.107181035</v>
      </c>
    </row>
    <row r="4067" customFormat="false" ht="15" hidden="false" customHeight="false" outlineLevel="0" collapsed="false">
      <c r="A4067" s="3" t="n">
        <v>4066</v>
      </c>
      <c r="B4067" s="3" t="n">
        <v>4065</v>
      </c>
      <c r="C4067" s="3" t="s">
        <v>119</v>
      </c>
      <c r="D4067" s="3" t="n">
        <v>3</v>
      </c>
      <c r="E4067" s="3" t="n">
        <v>105</v>
      </c>
      <c r="F4067" s="3"/>
      <c r="G4067" s="3"/>
      <c r="H4067" s="24" t="n">
        <v>-0.273662835</v>
      </c>
    </row>
    <row r="4068" customFormat="false" ht="15" hidden="false" customHeight="false" outlineLevel="0" collapsed="false">
      <c r="A4068" s="3" t="n">
        <v>4067</v>
      </c>
      <c r="B4068" s="3" t="n">
        <v>4066</v>
      </c>
      <c r="C4068" s="3" t="s">
        <v>119</v>
      </c>
      <c r="D4068" s="3" t="n">
        <v>3</v>
      </c>
      <c r="E4068" s="3" t="n">
        <v>106</v>
      </c>
      <c r="F4068" s="3"/>
      <c r="G4068" s="3"/>
      <c r="H4068" s="24" t="n">
        <v>-0.289437532</v>
      </c>
    </row>
    <row r="4069" customFormat="false" ht="15" hidden="false" customHeight="false" outlineLevel="0" collapsed="false">
      <c r="A4069" s="3" t="n">
        <v>4068</v>
      </c>
      <c r="B4069" s="3" t="n">
        <v>4067</v>
      </c>
      <c r="C4069" s="3" t="s">
        <v>119</v>
      </c>
      <c r="D4069" s="3" t="n">
        <v>3</v>
      </c>
      <c r="E4069" s="3" t="n">
        <v>107</v>
      </c>
      <c r="F4069" s="3"/>
      <c r="G4069" s="3"/>
      <c r="H4069" s="24" t="n">
        <v>0.194652691</v>
      </c>
    </row>
    <row r="4070" customFormat="false" ht="15" hidden="false" customHeight="false" outlineLevel="0" collapsed="false">
      <c r="A4070" s="3" t="n">
        <v>4069</v>
      </c>
      <c r="B4070" s="3" t="n">
        <v>4068</v>
      </c>
      <c r="C4070" s="3" t="s">
        <v>119</v>
      </c>
      <c r="D4070" s="3" t="n">
        <v>3</v>
      </c>
      <c r="E4070" s="3" t="n">
        <v>108</v>
      </c>
      <c r="F4070" s="3"/>
      <c r="G4070" s="3"/>
      <c r="H4070" s="24" t="n">
        <v>-0.117700711</v>
      </c>
    </row>
    <row r="4071" customFormat="false" ht="15" hidden="false" customHeight="false" outlineLevel="0" collapsed="false">
      <c r="A4071" s="3" t="n">
        <v>4070</v>
      </c>
      <c r="B4071" s="3" t="n">
        <v>4069</v>
      </c>
      <c r="C4071" s="3" t="s">
        <v>119</v>
      </c>
      <c r="D4071" s="3" t="n">
        <v>3</v>
      </c>
      <c r="E4071" s="3" t="n">
        <v>109</v>
      </c>
      <c r="F4071" s="3"/>
      <c r="G4071" s="3"/>
      <c r="H4071" s="24" t="n">
        <v>-0.400768161</v>
      </c>
    </row>
    <row r="4072" customFormat="false" ht="15" hidden="false" customHeight="false" outlineLevel="0" collapsed="false">
      <c r="A4072" s="3" t="n">
        <v>4071</v>
      </c>
      <c r="B4072" s="3" t="n">
        <v>4070</v>
      </c>
      <c r="C4072" s="3" t="s">
        <v>119</v>
      </c>
      <c r="D4072" s="3" t="n">
        <v>3</v>
      </c>
      <c r="E4072" s="3" t="n">
        <v>110</v>
      </c>
      <c r="F4072" s="3"/>
      <c r="G4072" s="3"/>
      <c r="H4072" s="24" t="n">
        <v>-0.267847776</v>
      </c>
    </row>
    <row r="4073" customFormat="false" ht="15" hidden="false" customHeight="false" outlineLevel="0" collapsed="false">
      <c r="A4073" s="3" t="n">
        <v>4072</v>
      </c>
      <c r="B4073" s="3" t="n">
        <v>4071</v>
      </c>
      <c r="C4073" s="3" t="s">
        <v>119</v>
      </c>
      <c r="D4073" s="3" t="n">
        <v>3</v>
      </c>
      <c r="E4073" s="3" t="n">
        <v>111</v>
      </c>
      <c r="F4073" s="3"/>
      <c r="G4073" s="3"/>
      <c r="H4073" s="24" t="n">
        <v>-0.0052333232</v>
      </c>
    </row>
    <row r="4074" customFormat="false" ht="15" hidden="false" customHeight="false" outlineLevel="0" collapsed="false">
      <c r="A4074" s="3" t="n">
        <v>4073</v>
      </c>
      <c r="B4074" s="3" t="n">
        <v>4072</v>
      </c>
      <c r="C4074" s="3" t="s">
        <v>119</v>
      </c>
      <c r="D4074" s="3" t="n">
        <v>3</v>
      </c>
      <c r="E4074" s="3" t="n">
        <v>112</v>
      </c>
      <c r="F4074" s="3"/>
      <c r="G4074" s="3"/>
      <c r="H4074" s="24" t="n">
        <v>-0.106696434</v>
      </c>
    </row>
    <row r="4075" customFormat="false" ht="15" hidden="false" customHeight="false" outlineLevel="0" collapsed="false">
      <c r="A4075" s="3" t="n">
        <v>4074</v>
      </c>
      <c r="B4075" s="3" t="n">
        <v>4073</v>
      </c>
      <c r="C4075" s="3" t="s">
        <v>119</v>
      </c>
      <c r="D4075" s="3" t="n">
        <v>3</v>
      </c>
      <c r="E4075" s="3" t="n">
        <v>113</v>
      </c>
      <c r="F4075" s="3"/>
      <c r="G4075" s="3"/>
      <c r="H4075" s="24" t="n">
        <v>-0.0510282442</v>
      </c>
    </row>
    <row r="4076" customFormat="false" ht="15" hidden="false" customHeight="false" outlineLevel="0" collapsed="false">
      <c r="A4076" s="3" t="n">
        <v>4075</v>
      </c>
      <c r="B4076" s="3" t="n">
        <v>4074</v>
      </c>
      <c r="C4076" s="3" t="s">
        <v>119</v>
      </c>
      <c r="D4076" s="3" t="n">
        <v>3</v>
      </c>
      <c r="E4076" s="3" t="n">
        <v>114</v>
      </c>
      <c r="F4076" s="3"/>
      <c r="G4076" s="3"/>
      <c r="H4076" s="24" t="n">
        <v>-0.214458197</v>
      </c>
    </row>
    <row r="4077" customFormat="false" ht="15" hidden="false" customHeight="false" outlineLevel="0" collapsed="false">
      <c r="A4077" s="3" t="n">
        <v>4076</v>
      </c>
      <c r="B4077" s="3" t="n">
        <v>4075</v>
      </c>
      <c r="C4077" s="3" t="s">
        <v>119</v>
      </c>
      <c r="D4077" s="3" t="n">
        <v>3</v>
      </c>
      <c r="E4077" s="3" t="n">
        <v>115</v>
      </c>
      <c r="F4077" s="3"/>
      <c r="G4077" s="3"/>
      <c r="H4077" s="24" t="n">
        <v>0.0257641282</v>
      </c>
    </row>
    <row r="4078" customFormat="false" ht="15" hidden="false" customHeight="false" outlineLevel="0" collapsed="false">
      <c r="A4078" s="3" t="n">
        <v>4077</v>
      </c>
      <c r="B4078" s="3" t="n">
        <v>4076</v>
      </c>
      <c r="C4078" s="3" t="s">
        <v>119</v>
      </c>
      <c r="D4078" s="3" t="n">
        <v>3</v>
      </c>
      <c r="E4078" s="3" t="n">
        <v>116</v>
      </c>
      <c r="F4078" s="3"/>
      <c r="G4078" s="3"/>
      <c r="H4078" s="24" t="n">
        <v>-0.081678398</v>
      </c>
    </row>
    <row r="4079" customFormat="false" ht="15" hidden="false" customHeight="false" outlineLevel="0" collapsed="false">
      <c r="A4079" s="3" t="n">
        <v>4078</v>
      </c>
      <c r="B4079" s="3" t="n">
        <v>4077</v>
      </c>
      <c r="C4079" s="3" t="s">
        <v>119</v>
      </c>
      <c r="D4079" s="3" t="n">
        <v>3</v>
      </c>
      <c r="E4079" s="3" t="n">
        <v>117</v>
      </c>
      <c r="F4079" s="3"/>
      <c r="G4079" s="3"/>
      <c r="H4079" s="24" t="n">
        <v>0.475294381</v>
      </c>
    </row>
    <row r="4080" customFormat="false" ht="15" hidden="false" customHeight="false" outlineLevel="0" collapsed="false">
      <c r="A4080" s="3" t="n">
        <v>4079</v>
      </c>
      <c r="B4080" s="3" t="n">
        <v>4078</v>
      </c>
      <c r="C4080" s="3" t="s">
        <v>119</v>
      </c>
      <c r="D4080" s="3" t="n">
        <v>3</v>
      </c>
      <c r="E4080" s="3" t="n">
        <v>118</v>
      </c>
      <c r="F4080" s="3"/>
      <c r="G4080" s="3"/>
      <c r="H4080" s="24" t="n">
        <v>-0.0338507928</v>
      </c>
    </row>
    <row r="4081" customFormat="false" ht="15" hidden="false" customHeight="false" outlineLevel="0" collapsed="false">
      <c r="A4081" s="3" t="n">
        <v>4080</v>
      </c>
      <c r="B4081" s="3" t="n">
        <v>4079</v>
      </c>
      <c r="C4081" s="3" t="s">
        <v>119</v>
      </c>
      <c r="D4081" s="3" t="n">
        <v>3</v>
      </c>
      <c r="E4081" s="3" t="n">
        <v>119</v>
      </c>
      <c r="F4081" s="3"/>
      <c r="G4081" s="3"/>
      <c r="H4081" s="24" t="n">
        <v>-0.116295427</v>
      </c>
    </row>
    <row r="4082" customFormat="false" ht="15" hidden="false" customHeight="false" outlineLevel="0" collapsed="false">
      <c r="A4082" s="3" t="n">
        <v>4081</v>
      </c>
      <c r="B4082" s="3" t="n">
        <v>4080</v>
      </c>
      <c r="C4082" s="3" t="s">
        <v>119</v>
      </c>
      <c r="D4082" s="3" t="n">
        <v>3</v>
      </c>
      <c r="E4082" s="3" t="n">
        <v>120</v>
      </c>
      <c r="F4082" s="3"/>
      <c r="G4082" s="3"/>
      <c r="H4082" s="24" t="n">
        <v>0.0261272248</v>
      </c>
    </row>
    <row r="4083" customFormat="false" ht="15" hidden="false" customHeight="false" outlineLevel="0" collapsed="false">
      <c r="A4083" s="3" t="n">
        <v>4082</v>
      </c>
      <c r="B4083" s="3" t="n">
        <v>4081</v>
      </c>
      <c r="C4083" s="3" t="s">
        <v>119</v>
      </c>
      <c r="D4083" s="3" t="n">
        <v>3</v>
      </c>
      <c r="E4083" s="3" t="n">
        <v>121</v>
      </c>
      <c r="F4083" s="3"/>
      <c r="G4083" s="3"/>
      <c r="H4083" s="24" t="n">
        <v>-0.122015834</v>
      </c>
    </row>
    <row r="4084" customFormat="false" ht="15" hidden="false" customHeight="false" outlineLevel="0" collapsed="false">
      <c r="A4084" s="3" t="n">
        <v>4083</v>
      </c>
      <c r="B4084" s="3" t="n">
        <v>4082</v>
      </c>
      <c r="C4084" s="3" t="s">
        <v>119</v>
      </c>
      <c r="D4084" s="3" t="n">
        <v>3</v>
      </c>
      <c r="E4084" s="3" t="n">
        <v>122</v>
      </c>
      <c r="F4084" s="3"/>
      <c r="G4084" s="3"/>
      <c r="H4084" s="24" t="n">
        <v>0.00536897965</v>
      </c>
    </row>
    <row r="4085" customFormat="false" ht="15" hidden="false" customHeight="false" outlineLevel="0" collapsed="false">
      <c r="A4085" s="3" t="n">
        <v>4084</v>
      </c>
      <c r="B4085" s="3" t="n">
        <v>4083</v>
      </c>
      <c r="C4085" s="3" t="s">
        <v>119</v>
      </c>
      <c r="D4085" s="3" t="n">
        <v>3</v>
      </c>
      <c r="E4085" s="3" t="n">
        <v>123</v>
      </c>
      <c r="F4085" s="3"/>
      <c r="G4085" s="3"/>
      <c r="H4085" s="24" t="n">
        <v>0.171564355</v>
      </c>
    </row>
    <row r="4086" customFormat="false" ht="15" hidden="false" customHeight="false" outlineLevel="0" collapsed="false">
      <c r="A4086" s="3" t="n">
        <v>4085</v>
      </c>
      <c r="B4086" s="3" t="n">
        <v>4084</v>
      </c>
      <c r="C4086" s="3" t="s">
        <v>119</v>
      </c>
      <c r="D4086" s="3" t="n">
        <v>3</v>
      </c>
      <c r="E4086" s="3" t="n">
        <v>124</v>
      </c>
      <c r="F4086" s="3"/>
      <c r="G4086" s="3"/>
      <c r="H4086" s="24" t="n">
        <v>-0.0997966528</v>
      </c>
    </row>
    <row r="4087" customFormat="false" ht="15" hidden="false" customHeight="false" outlineLevel="0" collapsed="false">
      <c r="A4087" s="3" t="n">
        <v>4086</v>
      </c>
      <c r="B4087" s="3" t="n">
        <v>4085</v>
      </c>
      <c r="C4087" s="3" t="s">
        <v>119</v>
      </c>
      <c r="D4087" s="3" t="n">
        <v>3</v>
      </c>
      <c r="E4087" s="3" t="n">
        <v>125</v>
      </c>
      <c r="F4087" s="3"/>
      <c r="G4087" s="3"/>
      <c r="H4087" s="24" t="n">
        <v>0.0986659229</v>
      </c>
    </row>
    <row r="4088" customFormat="false" ht="15" hidden="false" customHeight="false" outlineLevel="0" collapsed="false">
      <c r="A4088" s="3" t="n">
        <v>4087</v>
      </c>
      <c r="B4088" s="3" t="n">
        <v>4086</v>
      </c>
      <c r="C4088" s="3" t="s">
        <v>119</v>
      </c>
      <c r="D4088" s="3" t="n">
        <v>3</v>
      </c>
      <c r="E4088" s="3" t="n">
        <v>126</v>
      </c>
      <c r="F4088" s="3"/>
      <c r="G4088" s="3"/>
      <c r="H4088" s="24" t="n">
        <v>-0.599469006</v>
      </c>
    </row>
    <row r="4089" customFormat="false" ht="15" hidden="false" customHeight="false" outlineLevel="0" collapsed="false">
      <c r="A4089" s="3" t="n">
        <v>4088</v>
      </c>
      <c r="B4089" s="3" t="n">
        <v>4087</v>
      </c>
      <c r="C4089" s="3" t="s">
        <v>119</v>
      </c>
      <c r="D4089" s="3" t="n">
        <v>3</v>
      </c>
      <c r="E4089" s="3" t="n">
        <v>127</v>
      </c>
      <c r="F4089" s="3"/>
      <c r="G4089" s="3"/>
      <c r="H4089" s="24" t="n">
        <v>-0.00197698874</v>
      </c>
    </row>
    <row r="4090" customFormat="false" ht="15" hidden="false" customHeight="false" outlineLevel="0" collapsed="false">
      <c r="A4090" s="3" t="n">
        <v>4089</v>
      </c>
      <c r="B4090" s="3" t="n">
        <v>4088</v>
      </c>
      <c r="C4090" s="3" t="s">
        <v>119</v>
      </c>
      <c r="D4090" s="3" t="n">
        <v>3</v>
      </c>
      <c r="E4090" s="3" t="n">
        <v>128</v>
      </c>
      <c r="F4090" s="3"/>
      <c r="G4090" s="3"/>
      <c r="H4090" s="24" t="n">
        <v>-0.104493089</v>
      </c>
    </row>
    <row r="4091" customFormat="false" ht="15" hidden="false" customHeight="false" outlineLevel="0" collapsed="false">
      <c r="A4091" s="3" t="n">
        <v>4090</v>
      </c>
      <c r="B4091" s="3" t="n">
        <v>4089</v>
      </c>
      <c r="C4091" s="3" t="s">
        <v>119</v>
      </c>
      <c r="D4091" s="3" t="n">
        <v>3</v>
      </c>
      <c r="E4091" s="3" t="n">
        <v>129</v>
      </c>
      <c r="F4091" s="3"/>
      <c r="G4091" s="3"/>
      <c r="H4091" s="24" t="n">
        <v>-0.208549216</v>
      </c>
    </row>
    <row r="4092" customFormat="false" ht="15" hidden="false" customHeight="false" outlineLevel="0" collapsed="false">
      <c r="A4092" s="3" t="n">
        <v>4091</v>
      </c>
      <c r="B4092" s="3" t="n">
        <v>4090</v>
      </c>
      <c r="C4092" s="3" t="s">
        <v>119</v>
      </c>
      <c r="D4092" s="3" t="n">
        <v>3</v>
      </c>
      <c r="E4092" s="3" t="n">
        <v>130</v>
      </c>
      <c r="F4092" s="3"/>
      <c r="G4092" s="3"/>
      <c r="H4092" s="24" t="n">
        <v>-0.00127663335</v>
      </c>
    </row>
    <row r="4093" customFormat="false" ht="15" hidden="false" customHeight="false" outlineLevel="0" collapsed="false">
      <c r="A4093" s="3" t="n">
        <v>4092</v>
      </c>
      <c r="B4093" s="3" t="n">
        <v>4091</v>
      </c>
      <c r="C4093" s="3" t="s">
        <v>119</v>
      </c>
      <c r="D4093" s="3" t="n">
        <v>3</v>
      </c>
      <c r="E4093" s="3" t="n">
        <v>131</v>
      </c>
      <c r="F4093" s="3"/>
      <c r="G4093" s="3"/>
      <c r="H4093" s="24" t="n">
        <v>0.120018706</v>
      </c>
    </row>
    <row r="4094" customFormat="false" ht="15" hidden="false" customHeight="false" outlineLevel="0" collapsed="false">
      <c r="A4094" s="3" t="n">
        <v>4093</v>
      </c>
      <c r="B4094" s="3" t="n">
        <v>4092</v>
      </c>
      <c r="C4094" s="3" t="s">
        <v>119</v>
      </c>
      <c r="D4094" s="3" t="n">
        <v>3</v>
      </c>
      <c r="E4094" s="3" t="n">
        <v>132</v>
      </c>
      <c r="F4094" s="3"/>
      <c r="G4094" s="3"/>
      <c r="H4094" s="24" t="n">
        <v>-0.41642043</v>
      </c>
    </row>
    <row r="4095" customFormat="false" ht="15" hidden="false" customHeight="false" outlineLevel="0" collapsed="false">
      <c r="A4095" s="3" t="n">
        <v>4094</v>
      </c>
      <c r="B4095" s="3" t="n">
        <v>4093</v>
      </c>
      <c r="C4095" s="3" t="s">
        <v>119</v>
      </c>
      <c r="D4095" s="3" t="n">
        <v>3</v>
      </c>
      <c r="E4095" s="3" t="n">
        <v>133</v>
      </c>
      <c r="F4095" s="3"/>
      <c r="G4095" s="3"/>
      <c r="H4095" s="24" t="n">
        <v>0.182110146</v>
      </c>
    </row>
    <row r="4096" customFormat="false" ht="15" hidden="false" customHeight="false" outlineLevel="0" collapsed="false">
      <c r="A4096" s="3" t="n">
        <v>4095</v>
      </c>
      <c r="B4096" s="3" t="n">
        <v>4094</v>
      </c>
      <c r="C4096" s="3" t="s">
        <v>119</v>
      </c>
      <c r="D4096" s="3" t="n">
        <v>3</v>
      </c>
      <c r="E4096" s="3" t="n">
        <v>134</v>
      </c>
      <c r="F4096" s="3"/>
      <c r="G4096" s="3"/>
      <c r="H4096" s="24" t="n">
        <v>0.160477072</v>
      </c>
    </row>
    <row r="4097" customFormat="false" ht="15" hidden="false" customHeight="false" outlineLevel="0" collapsed="false">
      <c r="A4097" s="3" t="n">
        <v>4096</v>
      </c>
      <c r="B4097" s="3" t="n">
        <v>4095</v>
      </c>
      <c r="C4097" s="3" t="s">
        <v>119</v>
      </c>
      <c r="D4097" s="3" t="n">
        <v>3</v>
      </c>
      <c r="E4097" s="3" t="n">
        <v>135</v>
      </c>
      <c r="F4097" s="3"/>
      <c r="G4097" s="3"/>
      <c r="H4097" s="24" t="n">
        <v>-0.0221915096</v>
      </c>
    </row>
    <row r="4098" customFormat="false" ht="15" hidden="false" customHeight="false" outlineLevel="0" collapsed="false">
      <c r="A4098" s="3" t="n">
        <v>4097</v>
      </c>
      <c r="B4098" s="3" t="n">
        <v>4096</v>
      </c>
      <c r="C4098" s="3" t="s">
        <v>119</v>
      </c>
      <c r="D4098" s="3" t="n">
        <v>3</v>
      </c>
      <c r="E4098" s="3" t="n">
        <v>136</v>
      </c>
      <c r="F4098" s="3"/>
      <c r="G4098" s="3"/>
      <c r="H4098" s="24" t="n">
        <v>-0.117982052</v>
      </c>
    </row>
    <row r="4099" customFormat="false" ht="15" hidden="false" customHeight="false" outlineLevel="0" collapsed="false">
      <c r="A4099" s="3" t="n">
        <v>4098</v>
      </c>
      <c r="B4099" s="3" t="n">
        <v>4097</v>
      </c>
      <c r="C4099" s="3" t="s">
        <v>119</v>
      </c>
      <c r="D4099" s="3" t="n">
        <v>3</v>
      </c>
      <c r="E4099" s="3" t="n">
        <v>137</v>
      </c>
      <c r="F4099" s="3"/>
      <c r="G4099" s="3"/>
      <c r="H4099" s="24" t="n">
        <v>0.0909119993</v>
      </c>
    </row>
    <row r="4100" customFormat="false" ht="15" hidden="false" customHeight="false" outlineLevel="0" collapsed="false">
      <c r="A4100" s="3" t="n">
        <v>4099</v>
      </c>
      <c r="B4100" s="3" t="n">
        <v>4098</v>
      </c>
      <c r="C4100" s="3" t="s">
        <v>119</v>
      </c>
      <c r="D4100" s="3" t="n">
        <v>3</v>
      </c>
      <c r="E4100" s="3" t="n">
        <v>138</v>
      </c>
      <c r="F4100" s="3"/>
      <c r="G4100" s="3"/>
      <c r="H4100" s="24" t="n">
        <v>-0.297452509</v>
      </c>
    </row>
    <row r="4101" customFormat="false" ht="15" hidden="false" customHeight="false" outlineLevel="0" collapsed="false">
      <c r="A4101" s="3" t="n">
        <v>4100</v>
      </c>
      <c r="B4101" s="3" t="n">
        <v>4099</v>
      </c>
      <c r="C4101" s="3" t="s">
        <v>119</v>
      </c>
      <c r="D4101" s="3" t="n">
        <v>3</v>
      </c>
      <c r="E4101" s="3" t="n">
        <v>139</v>
      </c>
      <c r="F4101" s="3"/>
      <c r="G4101" s="3"/>
      <c r="H4101" s="24" t="n">
        <v>-0.117355764</v>
      </c>
    </row>
    <row r="4102" customFormat="false" ht="15" hidden="false" customHeight="false" outlineLevel="0" collapsed="false">
      <c r="A4102" s="3" t="n">
        <v>4101</v>
      </c>
      <c r="B4102" s="3" t="n">
        <v>4100</v>
      </c>
      <c r="C4102" s="3" t="s">
        <v>119</v>
      </c>
      <c r="D4102" s="3" t="n">
        <v>3</v>
      </c>
      <c r="E4102" s="3" t="n">
        <v>140</v>
      </c>
      <c r="F4102" s="3"/>
      <c r="G4102" s="3"/>
      <c r="H4102" s="24" t="n">
        <v>0.00357973087</v>
      </c>
    </row>
    <row r="4103" customFormat="false" ht="15" hidden="false" customHeight="false" outlineLevel="0" collapsed="false">
      <c r="A4103" s="3" t="n">
        <v>4102</v>
      </c>
      <c r="B4103" s="3" t="n">
        <v>4101</v>
      </c>
      <c r="C4103" s="3" t="s">
        <v>119</v>
      </c>
      <c r="D4103" s="3" t="n">
        <v>3</v>
      </c>
      <c r="E4103" s="3" t="n">
        <v>141</v>
      </c>
      <c r="F4103" s="3"/>
      <c r="G4103" s="3"/>
      <c r="H4103" s="24" t="n">
        <v>-0.0370182618</v>
      </c>
    </row>
    <row r="4104" customFormat="false" ht="15" hidden="false" customHeight="false" outlineLevel="0" collapsed="false">
      <c r="A4104" s="3" t="n">
        <v>4103</v>
      </c>
      <c r="B4104" s="3" t="n">
        <v>4102</v>
      </c>
      <c r="C4104" s="3" t="s">
        <v>119</v>
      </c>
      <c r="D4104" s="3" t="n">
        <v>3</v>
      </c>
      <c r="E4104" s="3" t="n">
        <v>142</v>
      </c>
      <c r="F4104" s="3"/>
      <c r="G4104" s="3"/>
      <c r="H4104" s="24" t="n">
        <v>-0.0554036871</v>
      </c>
    </row>
    <row r="4105" customFormat="false" ht="15" hidden="false" customHeight="false" outlineLevel="0" collapsed="false">
      <c r="A4105" s="3" t="n">
        <v>4104</v>
      </c>
      <c r="B4105" s="3" t="n">
        <v>4103</v>
      </c>
      <c r="C4105" s="3" t="s">
        <v>119</v>
      </c>
      <c r="D4105" s="3" t="n">
        <v>3</v>
      </c>
      <c r="E4105" s="3" t="n">
        <v>143</v>
      </c>
      <c r="F4105" s="3"/>
      <c r="G4105" s="3"/>
      <c r="H4105" s="24" t="n">
        <v>0.0522780269</v>
      </c>
    </row>
    <row r="4106" customFormat="false" ht="15" hidden="false" customHeight="false" outlineLevel="0" collapsed="false">
      <c r="A4106" s="3" t="n">
        <v>4105</v>
      </c>
      <c r="B4106" s="3" t="n">
        <v>4104</v>
      </c>
      <c r="C4106" s="3" t="s">
        <v>119</v>
      </c>
      <c r="D4106" s="3" t="n">
        <v>4</v>
      </c>
      <c r="E4106" s="3" t="n">
        <v>0</v>
      </c>
      <c r="F4106" s="3"/>
      <c r="G4106" s="3"/>
      <c r="H4106" s="24" t="n">
        <v>-0.113547474</v>
      </c>
    </row>
    <row r="4107" customFormat="false" ht="15" hidden="false" customHeight="false" outlineLevel="0" collapsed="false">
      <c r="A4107" s="3" t="n">
        <v>4106</v>
      </c>
      <c r="B4107" s="3" t="n">
        <v>4105</v>
      </c>
      <c r="C4107" s="3" t="s">
        <v>119</v>
      </c>
      <c r="D4107" s="3" t="n">
        <v>4</v>
      </c>
      <c r="E4107" s="3" t="n">
        <v>1</v>
      </c>
      <c r="F4107" s="3"/>
      <c r="G4107" s="3"/>
      <c r="H4107" s="24" t="n">
        <v>0.0118844463</v>
      </c>
    </row>
    <row r="4108" customFormat="false" ht="15" hidden="false" customHeight="false" outlineLevel="0" collapsed="false">
      <c r="A4108" s="3" t="n">
        <v>4107</v>
      </c>
      <c r="B4108" s="3" t="n">
        <v>4106</v>
      </c>
      <c r="C4108" s="3" t="s">
        <v>119</v>
      </c>
      <c r="D4108" s="3" t="n">
        <v>4</v>
      </c>
      <c r="E4108" s="3" t="n">
        <v>2</v>
      </c>
      <c r="F4108" s="3"/>
      <c r="G4108" s="3"/>
      <c r="H4108" s="24" t="n">
        <v>-0.102771811</v>
      </c>
    </row>
    <row r="4109" customFormat="false" ht="15" hidden="false" customHeight="false" outlineLevel="0" collapsed="false">
      <c r="A4109" s="3" t="n">
        <v>4108</v>
      </c>
      <c r="B4109" s="3" t="n">
        <v>4107</v>
      </c>
      <c r="C4109" s="3" t="s">
        <v>119</v>
      </c>
      <c r="D4109" s="3" t="n">
        <v>4</v>
      </c>
      <c r="E4109" s="3" t="n">
        <v>3</v>
      </c>
      <c r="F4109" s="3"/>
      <c r="G4109" s="3"/>
      <c r="H4109" s="24" t="n">
        <v>0.0208511073</v>
      </c>
    </row>
    <row r="4110" customFormat="false" ht="15" hidden="false" customHeight="false" outlineLevel="0" collapsed="false">
      <c r="A4110" s="3" t="n">
        <v>4109</v>
      </c>
      <c r="B4110" s="3" t="n">
        <v>4108</v>
      </c>
      <c r="C4110" s="3" t="s">
        <v>119</v>
      </c>
      <c r="D4110" s="3" t="n">
        <v>4</v>
      </c>
      <c r="E4110" s="3" t="n">
        <v>4</v>
      </c>
      <c r="F4110" s="3"/>
      <c r="G4110" s="3"/>
      <c r="H4110" s="24" t="n">
        <v>-0.220693097</v>
      </c>
    </row>
    <row r="4111" customFormat="false" ht="15" hidden="false" customHeight="false" outlineLevel="0" collapsed="false">
      <c r="A4111" s="3" t="n">
        <v>4110</v>
      </c>
      <c r="B4111" s="3" t="n">
        <v>4109</v>
      </c>
      <c r="C4111" s="3" t="s">
        <v>119</v>
      </c>
      <c r="D4111" s="3" t="n">
        <v>4</v>
      </c>
      <c r="E4111" s="3" t="n">
        <v>5</v>
      </c>
      <c r="F4111" s="3"/>
      <c r="G4111" s="3"/>
      <c r="H4111" s="24" t="n">
        <v>-0.0555845983</v>
      </c>
    </row>
    <row r="4112" customFormat="false" ht="15" hidden="false" customHeight="false" outlineLevel="0" collapsed="false">
      <c r="A4112" s="3" t="n">
        <v>4111</v>
      </c>
      <c r="B4112" s="3" t="n">
        <v>4110</v>
      </c>
      <c r="C4112" s="3" t="s">
        <v>119</v>
      </c>
      <c r="D4112" s="3" t="n">
        <v>4</v>
      </c>
      <c r="E4112" s="3" t="n">
        <v>6</v>
      </c>
      <c r="F4112" s="3"/>
      <c r="G4112" s="3"/>
      <c r="H4112" s="24" t="n">
        <v>0.0985664576</v>
      </c>
    </row>
    <row r="4113" customFormat="false" ht="15" hidden="false" customHeight="false" outlineLevel="0" collapsed="false">
      <c r="A4113" s="3" t="n">
        <v>4112</v>
      </c>
      <c r="B4113" s="3" t="n">
        <v>4111</v>
      </c>
      <c r="C4113" s="3" t="s">
        <v>119</v>
      </c>
      <c r="D4113" s="3" t="n">
        <v>4</v>
      </c>
      <c r="E4113" s="3" t="n">
        <v>7</v>
      </c>
      <c r="F4113" s="3"/>
      <c r="G4113" s="3"/>
      <c r="H4113" s="24" t="n">
        <v>0.133997723</v>
      </c>
    </row>
    <row r="4114" customFormat="false" ht="15" hidden="false" customHeight="false" outlineLevel="0" collapsed="false">
      <c r="A4114" s="3" t="n">
        <v>4113</v>
      </c>
      <c r="B4114" s="3" t="n">
        <v>4112</v>
      </c>
      <c r="C4114" s="3" t="s">
        <v>119</v>
      </c>
      <c r="D4114" s="3" t="n">
        <v>4</v>
      </c>
      <c r="E4114" s="3" t="n">
        <v>8</v>
      </c>
      <c r="F4114" s="3"/>
      <c r="G4114" s="3"/>
      <c r="H4114" s="24" t="n">
        <v>-0.0157554988</v>
      </c>
    </row>
    <row r="4115" customFormat="false" ht="15" hidden="false" customHeight="false" outlineLevel="0" collapsed="false">
      <c r="A4115" s="3" t="n">
        <v>4114</v>
      </c>
      <c r="B4115" s="3" t="n">
        <v>4113</v>
      </c>
      <c r="C4115" s="3" t="s">
        <v>119</v>
      </c>
      <c r="D4115" s="3" t="n">
        <v>4</v>
      </c>
      <c r="E4115" s="3" t="n">
        <v>9</v>
      </c>
      <c r="F4115" s="3"/>
      <c r="G4115" s="3"/>
      <c r="H4115" s="24" t="n">
        <v>0.0437026694</v>
      </c>
    </row>
    <row r="4116" customFormat="false" ht="15" hidden="false" customHeight="false" outlineLevel="0" collapsed="false">
      <c r="A4116" s="3" t="n">
        <v>4115</v>
      </c>
      <c r="B4116" s="3" t="n">
        <v>4114</v>
      </c>
      <c r="C4116" s="3" t="s">
        <v>119</v>
      </c>
      <c r="D4116" s="3" t="n">
        <v>4</v>
      </c>
      <c r="E4116" s="3" t="n">
        <v>10</v>
      </c>
      <c r="F4116" s="3"/>
      <c r="G4116" s="3"/>
      <c r="H4116" s="24" t="n">
        <v>-0.0644844919</v>
      </c>
    </row>
    <row r="4117" customFormat="false" ht="15" hidden="false" customHeight="false" outlineLevel="0" collapsed="false">
      <c r="A4117" s="3" t="n">
        <v>4116</v>
      </c>
      <c r="B4117" s="3" t="n">
        <v>4115</v>
      </c>
      <c r="C4117" s="3" t="s">
        <v>119</v>
      </c>
      <c r="D4117" s="3" t="n">
        <v>4</v>
      </c>
      <c r="E4117" s="3" t="n">
        <v>11</v>
      </c>
      <c r="F4117" s="3"/>
      <c r="G4117" s="3"/>
      <c r="H4117" s="24" t="n">
        <v>-0.106546044</v>
      </c>
    </row>
    <row r="4118" customFormat="false" ht="15" hidden="false" customHeight="false" outlineLevel="0" collapsed="false">
      <c r="A4118" s="3" t="n">
        <v>4117</v>
      </c>
      <c r="B4118" s="3" t="n">
        <v>4116</v>
      </c>
      <c r="C4118" s="3" t="s">
        <v>119</v>
      </c>
      <c r="D4118" s="3" t="n">
        <v>4</v>
      </c>
      <c r="E4118" s="3" t="n">
        <v>12</v>
      </c>
      <c r="F4118" s="3"/>
      <c r="G4118" s="3"/>
      <c r="H4118" s="24" t="n">
        <v>0.0172248762</v>
      </c>
    </row>
    <row r="4119" customFormat="false" ht="15" hidden="false" customHeight="false" outlineLevel="0" collapsed="false">
      <c r="A4119" s="3" t="n">
        <v>4118</v>
      </c>
      <c r="B4119" s="3" t="n">
        <v>4117</v>
      </c>
      <c r="C4119" s="3" t="s">
        <v>119</v>
      </c>
      <c r="D4119" s="3" t="n">
        <v>4</v>
      </c>
      <c r="E4119" s="3" t="n">
        <v>13</v>
      </c>
      <c r="F4119" s="3"/>
      <c r="G4119" s="3"/>
      <c r="H4119" s="24" t="n">
        <v>-0.0167632289</v>
      </c>
    </row>
    <row r="4120" customFormat="false" ht="15" hidden="false" customHeight="false" outlineLevel="0" collapsed="false">
      <c r="A4120" s="3" t="n">
        <v>4119</v>
      </c>
      <c r="B4120" s="3" t="n">
        <v>4118</v>
      </c>
      <c r="C4120" s="3" t="s">
        <v>119</v>
      </c>
      <c r="D4120" s="3" t="n">
        <v>4</v>
      </c>
      <c r="E4120" s="3" t="n">
        <v>14</v>
      </c>
      <c r="F4120" s="3"/>
      <c r="G4120" s="3"/>
      <c r="H4120" s="24" t="n">
        <v>0.0299251601</v>
      </c>
    </row>
    <row r="4121" customFormat="false" ht="15" hidden="false" customHeight="false" outlineLevel="0" collapsed="false">
      <c r="A4121" s="3" t="n">
        <v>4120</v>
      </c>
      <c r="B4121" s="3" t="n">
        <v>4119</v>
      </c>
      <c r="C4121" s="3" t="s">
        <v>119</v>
      </c>
      <c r="D4121" s="3" t="n">
        <v>4</v>
      </c>
      <c r="E4121" s="3" t="n">
        <v>15</v>
      </c>
      <c r="F4121" s="3"/>
      <c r="G4121" s="3"/>
      <c r="H4121" s="24" t="n">
        <v>0.0266698208</v>
      </c>
    </row>
    <row r="4122" customFormat="false" ht="15" hidden="false" customHeight="false" outlineLevel="0" collapsed="false">
      <c r="A4122" s="3" t="n">
        <v>4121</v>
      </c>
      <c r="B4122" s="3" t="n">
        <v>4120</v>
      </c>
      <c r="C4122" s="3" t="s">
        <v>119</v>
      </c>
      <c r="D4122" s="3" t="n">
        <v>4</v>
      </c>
      <c r="E4122" s="3" t="n">
        <v>16</v>
      </c>
      <c r="F4122" s="3"/>
      <c r="G4122" s="3"/>
      <c r="H4122" s="24" t="n">
        <v>0.135181352</v>
      </c>
    </row>
    <row r="4123" customFormat="false" ht="15" hidden="false" customHeight="false" outlineLevel="0" collapsed="false">
      <c r="A4123" s="3" t="n">
        <v>4122</v>
      </c>
      <c r="B4123" s="3" t="n">
        <v>4121</v>
      </c>
      <c r="C4123" s="3" t="s">
        <v>119</v>
      </c>
      <c r="D4123" s="3" t="n">
        <v>4</v>
      </c>
      <c r="E4123" s="3" t="n">
        <v>17</v>
      </c>
      <c r="F4123" s="3"/>
      <c r="G4123" s="3"/>
      <c r="H4123" s="24" t="n">
        <v>-0.00713252788</v>
      </c>
    </row>
    <row r="4124" customFormat="false" ht="15" hidden="false" customHeight="false" outlineLevel="0" collapsed="false">
      <c r="A4124" s="3" t="n">
        <v>4123</v>
      </c>
      <c r="B4124" s="3" t="n">
        <v>4122</v>
      </c>
      <c r="C4124" s="3" t="s">
        <v>119</v>
      </c>
      <c r="D4124" s="3" t="n">
        <v>4</v>
      </c>
      <c r="E4124" s="3" t="n">
        <v>18</v>
      </c>
      <c r="F4124" s="3"/>
      <c r="G4124" s="3"/>
      <c r="H4124" s="24" t="n">
        <v>-0.149826795</v>
      </c>
    </row>
    <row r="4125" customFormat="false" ht="15" hidden="false" customHeight="false" outlineLevel="0" collapsed="false">
      <c r="A4125" s="3" t="n">
        <v>4124</v>
      </c>
      <c r="B4125" s="3" t="n">
        <v>4123</v>
      </c>
      <c r="C4125" s="3" t="s">
        <v>119</v>
      </c>
      <c r="D4125" s="3" t="n">
        <v>4</v>
      </c>
      <c r="E4125" s="3" t="n">
        <v>19</v>
      </c>
      <c r="F4125" s="3"/>
      <c r="G4125" s="3"/>
      <c r="H4125" s="24" t="n">
        <v>-0.495339364</v>
      </c>
    </row>
    <row r="4126" customFormat="false" ht="15" hidden="false" customHeight="false" outlineLevel="0" collapsed="false">
      <c r="A4126" s="3" t="n">
        <v>4125</v>
      </c>
      <c r="B4126" s="3" t="n">
        <v>4124</v>
      </c>
      <c r="C4126" s="3" t="s">
        <v>119</v>
      </c>
      <c r="D4126" s="3" t="n">
        <v>4</v>
      </c>
      <c r="E4126" s="3" t="n">
        <v>20</v>
      </c>
      <c r="F4126" s="3"/>
      <c r="G4126" s="3"/>
      <c r="H4126" s="24" t="n">
        <v>-0.045420453</v>
      </c>
    </row>
    <row r="4127" customFormat="false" ht="15" hidden="false" customHeight="false" outlineLevel="0" collapsed="false">
      <c r="A4127" s="3" t="n">
        <v>4126</v>
      </c>
      <c r="B4127" s="3" t="n">
        <v>4125</v>
      </c>
      <c r="C4127" s="3" t="s">
        <v>119</v>
      </c>
      <c r="D4127" s="3" t="n">
        <v>4</v>
      </c>
      <c r="E4127" s="3" t="n">
        <v>21</v>
      </c>
      <c r="F4127" s="3"/>
      <c r="G4127" s="3"/>
      <c r="H4127" s="24" t="n">
        <v>0.257151276</v>
      </c>
    </row>
    <row r="4128" customFormat="false" ht="15" hidden="false" customHeight="false" outlineLevel="0" collapsed="false">
      <c r="A4128" s="3" t="n">
        <v>4127</v>
      </c>
      <c r="B4128" s="3" t="n">
        <v>4126</v>
      </c>
      <c r="C4128" s="3" t="s">
        <v>119</v>
      </c>
      <c r="D4128" s="3" t="n">
        <v>4</v>
      </c>
      <c r="E4128" s="3" t="n">
        <v>22</v>
      </c>
      <c r="F4128" s="3"/>
      <c r="G4128" s="3"/>
      <c r="H4128" s="24" t="n">
        <v>0.183365852</v>
      </c>
    </row>
    <row r="4129" customFormat="false" ht="15" hidden="false" customHeight="false" outlineLevel="0" collapsed="false">
      <c r="A4129" s="3" t="n">
        <v>4128</v>
      </c>
      <c r="B4129" s="3" t="n">
        <v>4127</v>
      </c>
      <c r="C4129" s="3" t="s">
        <v>119</v>
      </c>
      <c r="D4129" s="3" t="n">
        <v>4</v>
      </c>
      <c r="E4129" s="3" t="n">
        <v>23</v>
      </c>
      <c r="F4129" s="3"/>
      <c r="G4129" s="3"/>
      <c r="H4129" s="24" t="n">
        <v>-0.0340152942</v>
      </c>
    </row>
    <row r="4130" customFormat="false" ht="15" hidden="false" customHeight="false" outlineLevel="0" collapsed="false">
      <c r="A4130" s="3" t="n">
        <v>4129</v>
      </c>
      <c r="B4130" s="3" t="n">
        <v>4128</v>
      </c>
      <c r="C4130" s="3" t="s">
        <v>119</v>
      </c>
      <c r="D4130" s="3" t="n">
        <v>4</v>
      </c>
      <c r="E4130" s="3" t="n">
        <v>24</v>
      </c>
      <c r="F4130" s="3"/>
      <c r="G4130" s="3"/>
      <c r="H4130" s="24" t="n">
        <v>-0.0246308111</v>
      </c>
    </row>
    <row r="4131" customFormat="false" ht="15" hidden="false" customHeight="false" outlineLevel="0" collapsed="false">
      <c r="A4131" s="3" t="n">
        <v>4130</v>
      </c>
      <c r="B4131" s="3" t="n">
        <v>4129</v>
      </c>
      <c r="C4131" s="3" t="s">
        <v>119</v>
      </c>
      <c r="D4131" s="3" t="n">
        <v>4</v>
      </c>
      <c r="E4131" s="3" t="n">
        <v>25</v>
      </c>
      <c r="F4131" s="3"/>
      <c r="G4131" s="3"/>
      <c r="H4131" s="24" t="n">
        <v>-0.22340937</v>
      </c>
    </row>
    <row r="4132" customFormat="false" ht="15" hidden="false" customHeight="false" outlineLevel="0" collapsed="false">
      <c r="A4132" s="3" t="n">
        <v>4131</v>
      </c>
      <c r="B4132" s="3" t="n">
        <v>4130</v>
      </c>
      <c r="C4132" s="3" t="s">
        <v>119</v>
      </c>
      <c r="D4132" s="3" t="n">
        <v>4</v>
      </c>
      <c r="E4132" s="3" t="n">
        <v>26</v>
      </c>
      <c r="F4132" s="3"/>
      <c r="G4132" s="3"/>
      <c r="H4132" s="24" t="n">
        <v>0.0447095074</v>
      </c>
    </row>
    <row r="4133" customFormat="false" ht="15" hidden="false" customHeight="false" outlineLevel="0" collapsed="false">
      <c r="A4133" s="3" t="n">
        <v>4132</v>
      </c>
      <c r="B4133" s="3" t="n">
        <v>4131</v>
      </c>
      <c r="C4133" s="3" t="s">
        <v>119</v>
      </c>
      <c r="D4133" s="3" t="n">
        <v>4</v>
      </c>
      <c r="E4133" s="3" t="n">
        <v>27</v>
      </c>
      <c r="F4133" s="3"/>
      <c r="G4133" s="3"/>
      <c r="H4133" s="24" t="n">
        <v>-0.0894710645</v>
      </c>
    </row>
    <row r="4134" customFormat="false" ht="15" hidden="false" customHeight="false" outlineLevel="0" collapsed="false">
      <c r="A4134" s="3" t="n">
        <v>4133</v>
      </c>
      <c r="B4134" s="3" t="n">
        <v>4132</v>
      </c>
      <c r="C4134" s="3" t="s">
        <v>119</v>
      </c>
      <c r="D4134" s="3" t="n">
        <v>4</v>
      </c>
      <c r="E4134" s="3" t="n">
        <v>28</v>
      </c>
      <c r="F4134" s="3"/>
      <c r="G4134" s="3"/>
      <c r="H4134" s="24" t="n">
        <v>-0.290237069</v>
      </c>
    </row>
    <row r="4135" customFormat="false" ht="15" hidden="false" customHeight="false" outlineLevel="0" collapsed="false">
      <c r="A4135" s="3" t="n">
        <v>4134</v>
      </c>
      <c r="B4135" s="3" t="n">
        <v>4133</v>
      </c>
      <c r="C4135" s="3" t="s">
        <v>119</v>
      </c>
      <c r="D4135" s="3" t="n">
        <v>4</v>
      </c>
      <c r="E4135" s="3" t="n">
        <v>29</v>
      </c>
      <c r="F4135" s="3"/>
      <c r="G4135" s="3"/>
      <c r="H4135" s="24" t="n">
        <v>-0.161158085</v>
      </c>
    </row>
    <row r="4136" customFormat="false" ht="15" hidden="false" customHeight="false" outlineLevel="0" collapsed="false">
      <c r="A4136" s="3" t="n">
        <v>4135</v>
      </c>
      <c r="B4136" s="3" t="n">
        <v>4134</v>
      </c>
      <c r="C4136" s="3" t="s">
        <v>119</v>
      </c>
      <c r="D4136" s="3" t="n">
        <v>4</v>
      </c>
      <c r="E4136" s="3" t="n">
        <v>30</v>
      </c>
      <c r="F4136" s="3"/>
      <c r="G4136" s="3"/>
      <c r="H4136" s="24" t="n">
        <v>0.222726375</v>
      </c>
    </row>
    <row r="4137" customFormat="false" ht="15" hidden="false" customHeight="false" outlineLevel="0" collapsed="false">
      <c r="A4137" s="3" t="n">
        <v>4136</v>
      </c>
      <c r="B4137" s="3" t="n">
        <v>4135</v>
      </c>
      <c r="C4137" s="3" t="s">
        <v>119</v>
      </c>
      <c r="D4137" s="3" t="n">
        <v>4</v>
      </c>
      <c r="E4137" s="3" t="n">
        <v>31</v>
      </c>
      <c r="F4137" s="3"/>
      <c r="G4137" s="3"/>
      <c r="H4137" s="24" t="n">
        <v>0.166793168</v>
      </c>
    </row>
    <row r="4138" customFormat="false" ht="15" hidden="false" customHeight="false" outlineLevel="0" collapsed="false">
      <c r="A4138" s="3" t="n">
        <v>4137</v>
      </c>
      <c r="B4138" s="3" t="n">
        <v>4136</v>
      </c>
      <c r="C4138" s="3" t="s">
        <v>119</v>
      </c>
      <c r="D4138" s="3" t="n">
        <v>4</v>
      </c>
      <c r="E4138" s="3" t="n">
        <v>32</v>
      </c>
      <c r="F4138" s="3"/>
      <c r="G4138" s="3"/>
      <c r="H4138" s="24" t="n">
        <v>-0.210174337</v>
      </c>
    </row>
    <row r="4139" customFormat="false" ht="15" hidden="false" customHeight="false" outlineLevel="0" collapsed="false">
      <c r="A4139" s="3" t="n">
        <v>4138</v>
      </c>
      <c r="B4139" s="3" t="n">
        <v>4137</v>
      </c>
      <c r="C4139" s="3" t="s">
        <v>119</v>
      </c>
      <c r="D4139" s="3" t="n">
        <v>4</v>
      </c>
      <c r="E4139" s="3" t="n">
        <v>33</v>
      </c>
      <c r="F4139" s="3"/>
      <c r="G4139" s="3"/>
      <c r="H4139" s="24" t="n">
        <v>-0.00312352134</v>
      </c>
    </row>
    <row r="4140" customFormat="false" ht="15" hidden="false" customHeight="false" outlineLevel="0" collapsed="false">
      <c r="A4140" s="3" t="n">
        <v>4139</v>
      </c>
      <c r="B4140" s="3" t="n">
        <v>4138</v>
      </c>
      <c r="C4140" s="3" t="s">
        <v>119</v>
      </c>
      <c r="D4140" s="3" t="n">
        <v>4</v>
      </c>
      <c r="E4140" s="3" t="n">
        <v>34</v>
      </c>
      <c r="F4140" s="3"/>
      <c r="G4140" s="3"/>
      <c r="H4140" s="24" t="n">
        <v>-0.419237226</v>
      </c>
    </row>
    <row r="4141" customFormat="false" ht="15" hidden="false" customHeight="false" outlineLevel="0" collapsed="false">
      <c r="A4141" s="3" t="n">
        <v>4140</v>
      </c>
      <c r="B4141" s="3" t="n">
        <v>4139</v>
      </c>
      <c r="C4141" s="3" t="s">
        <v>119</v>
      </c>
      <c r="D4141" s="3" t="n">
        <v>4</v>
      </c>
      <c r="E4141" s="3" t="n">
        <v>35</v>
      </c>
      <c r="F4141" s="3"/>
      <c r="G4141" s="3"/>
      <c r="H4141" s="24" t="n">
        <v>-0.180052608</v>
      </c>
    </row>
    <row r="4142" customFormat="false" ht="15" hidden="false" customHeight="false" outlineLevel="0" collapsed="false">
      <c r="A4142" s="3" t="n">
        <v>4141</v>
      </c>
      <c r="B4142" s="3" t="n">
        <v>4140</v>
      </c>
      <c r="C4142" s="3" t="s">
        <v>119</v>
      </c>
      <c r="D4142" s="3" t="n">
        <v>4</v>
      </c>
      <c r="E4142" s="3" t="n">
        <v>36</v>
      </c>
      <c r="F4142" s="3"/>
      <c r="G4142" s="3"/>
      <c r="H4142" s="24" t="n">
        <v>0.248191625</v>
      </c>
    </row>
    <row r="4143" customFormat="false" ht="15" hidden="false" customHeight="false" outlineLevel="0" collapsed="false">
      <c r="A4143" s="3" t="n">
        <v>4142</v>
      </c>
      <c r="B4143" s="3" t="n">
        <v>4141</v>
      </c>
      <c r="C4143" s="3" t="s">
        <v>119</v>
      </c>
      <c r="D4143" s="3" t="n">
        <v>4</v>
      </c>
      <c r="E4143" s="3" t="n">
        <v>37</v>
      </c>
      <c r="F4143" s="3"/>
      <c r="G4143" s="3"/>
      <c r="H4143" s="24" t="n">
        <v>0.21498917</v>
      </c>
    </row>
    <row r="4144" customFormat="false" ht="15" hidden="false" customHeight="false" outlineLevel="0" collapsed="false">
      <c r="A4144" s="3" t="n">
        <v>4143</v>
      </c>
      <c r="B4144" s="3" t="n">
        <v>4142</v>
      </c>
      <c r="C4144" s="3" t="s">
        <v>119</v>
      </c>
      <c r="D4144" s="3" t="n">
        <v>4</v>
      </c>
      <c r="E4144" s="3" t="n">
        <v>38</v>
      </c>
      <c r="F4144" s="3"/>
      <c r="G4144" s="3"/>
      <c r="H4144" s="24" t="n">
        <v>0.144176796</v>
      </c>
    </row>
    <row r="4145" customFormat="false" ht="15" hidden="false" customHeight="false" outlineLevel="0" collapsed="false">
      <c r="A4145" s="3" t="n">
        <v>4144</v>
      </c>
      <c r="B4145" s="3" t="n">
        <v>4143</v>
      </c>
      <c r="C4145" s="3" t="s">
        <v>119</v>
      </c>
      <c r="D4145" s="3" t="n">
        <v>4</v>
      </c>
      <c r="E4145" s="3" t="n">
        <v>39</v>
      </c>
      <c r="F4145" s="3"/>
      <c r="G4145" s="3"/>
      <c r="H4145" s="24" t="n">
        <v>-0.0540291965</v>
      </c>
    </row>
    <row r="4146" customFormat="false" ht="15" hidden="false" customHeight="false" outlineLevel="0" collapsed="false">
      <c r="A4146" s="3" t="n">
        <v>4145</v>
      </c>
      <c r="B4146" s="3" t="n">
        <v>4144</v>
      </c>
      <c r="C4146" s="3" t="s">
        <v>119</v>
      </c>
      <c r="D4146" s="3" t="n">
        <v>4</v>
      </c>
      <c r="E4146" s="3" t="n">
        <v>40</v>
      </c>
      <c r="F4146" s="3"/>
      <c r="G4146" s="3"/>
      <c r="H4146" s="24" t="n">
        <v>-0.119663224</v>
      </c>
    </row>
    <row r="4147" customFormat="false" ht="15" hidden="false" customHeight="false" outlineLevel="0" collapsed="false">
      <c r="A4147" s="3" t="n">
        <v>4146</v>
      </c>
      <c r="B4147" s="3" t="n">
        <v>4145</v>
      </c>
      <c r="C4147" s="3" t="s">
        <v>119</v>
      </c>
      <c r="D4147" s="3" t="n">
        <v>4</v>
      </c>
      <c r="E4147" s="3" t="n">
        <v>41</v>
      </c>
      <c r="F4147" s="3"/>
      <c r="G4147" s="3"/>
      <c r="H4147" s="24" t="n">
        <v>-0.222850978</v>
      </c>
    </row>
    <row r="4148" customFormat="false" ht="15" hidden="false" customHeight="false" outlineLevel="0" collapsed="false">
      <c r="A4148" s="3" t="n">
        <v>4147</v>
      </c>
      <c r="B4148" s="3" t="n">
        <v>4146</v>
      </c>
      <c r="C4148" s="3" t="s">
        <v>119</v>
      </c>
      <c r="D4148" s="3" t="n">
        <v>4</v>
      </c>
      <c r="E4148" s="3" t="n">
        <v>42</v>
      </c>
      <c r="F4148" s="3"/>
      <c r="G4148" s="3"/>
      <c r="H4148" s="24" t="n">
        <v>0.156831369</v>
      </c>
    </row>
    <row r="4149" customFormat="false" ht="15" hidden="false" customHeight="false" outlineLevel="0" collapsed="false">
      <c r="A4149" s="3" t="n">
        <v>4148</v>
      </c>
      <c r="B4149" s="3" t="n">
        <v>4147</v>
      </c>
      <c r="C4149" s="3" t="s">
        <v>119</v>
      </c>
      <c r="D4149" s="3" t="n">
        <v>4</v>
      </c>
      <c r="E4149" s="3" t="n">
        <v>43</v>
      </c>
      <c r="F4149" s="3"/>
      <c r="G4149" s="3"/>
      <c r="H4149" s="24" t="n">
        <v>-0.0150713306</v>
      </c>
    </row>
    <row r="4150" customFormat="false" ht="15" hidden="false" customHeight="false" outlineLevel="0" collapsed="false">
      <c r="A4150" s="3" t="n">
        <v>4149</v>
      </c>
      <c r="B4150" s="3" t="n">
        <v>4148</v>
      </c>
      <c r="C4150" s="3" t="s">
        <v>119</v>
      </c>
      <c r="D4150" s="3" t="n">
        <v>4</v>
      </c>
      <c r="E4150" s="3" t="n">
        <v>44</v>
      </c>
      <c r="F4150" s="3"/>
      <c r="G4150" s="3"/>
      <c r="H4150" s="24" t="n">
        <v>0.0838426501</v>
      </c>
    </row>
    <row r="4151" customFormat="false" ht="15" hidden="false" customHeight="false" outlineLevel="0" collapsed="false">
      <c r="A4151" s="3" t="n">
        <v>4150</v>
      </c>
      <c r="B4151" s="3" t="n">
        <v>4149</v>
      </c>
      <c r="C4151" s="3" t="s">
        <v>119</v>
      </c>
      <c r="D4151" s="3" t="n">
        <v>4</v>
      </c>
      <c r="E4151" s="3" t="n">
        <v>45</v>
      </c>
      <c r="F4151" s="3"/>
      <c r="G4151" s="3"/>
      <c r="H4151" s="24" t="n">
        <v>0.0425759032</v>
      </c>
    </row>
    <row r="4152" customFormat="false" ht="15" hidden="false" customHeight="false" outlineLevel="0" collapsed="false">
      <c r="A4152" s="3" t="n">
        <v>4151</v>
      </c>
      <c r="B4152" s="3" t="n">
        <v>4150</v>
      </c>
      <c r="C4152" s="3" t="s">
        <v>119</v>
      </c>
      <c r="D4152" s="3" t="n">
        <v>4</v>
      </c>
      <c r="E4152" s="3" t="n">
        <v>46</v>
      </c>
      <c r="F4152" s="3"/>
      <c r="G4152" s="3"/>
      <c r="H4152" s="24" t="n">
        <v>-0.0526629351</v>
      </c>
    </row>
    <row r="4153" customFormat="false" ht="15" hidden="false" customHeight="false" outlineLevel="0" collapsed="false">
      <c r="A4153" s="3" t="n">
        <v>4152</v>
      </c>
      <c r="B4153" s="3" t="n">
        <v>4151</v>
      </c>
      <c r="C4153" s="3" t="s">
        <v>119</v>
      </c>
      <c r="D4153" s="3" t="n">
        <v>4</v>
      </c>
      <c r="E4153" s="3" t="n">
        <v>47</v>
      </c>
      <c r="F4153" s="3"/>
      <c r="G4153" s="3"/>
      <c r="H4153" s="24" t="n">
        <v>-0.0178845804</v>
      </c>
    </row>
    <row r="4154" customFormat="false" ht="15" hidden="false" customHeight="false" outlineLevel="0" collapsed="false">
      <c r="A4154" s="3" t="n">
        <v>4153</v>
      </c>
      <c r="B4154" s="3" t="n">
        <v>4152</v>
      </c>
      <c r="C4154" s="3" t="s">
        <v>119</v>
      </c>
      <c r="D4154" s="3" t="n">
        <v>4</v>
      </c>
      <c r="E4154" s="3" t="n">
        <v>48</v>
      </c>
      <c r="F4154" s="3"/>
      <c r="G4154" s="3"/>
      <c r="H4154" s="24" t="n">
        <v>0.0578746386</v>
      </c>
    </row>
    <row r="4155" customFormat="false" ht="15" hidden="false" customHeight="false" outlineLevel="0" collapsed="false">
      <c r="A4155" s="3" t="n">
        <v>4154</v>
      </c>
      <c r="B4155" s="3" t="n">
        <v>4153</v>
      </c>
      <c r="C4155" s="3" t="s">
        <v>119</v>
      </c>
      <c r="D4155" s="3" t="n">
        <v>4</v>
      </c>
      <c r="E4155" s="3" t="n">
        <v>49</v>
      </c>
      <c r="F4155" s="3"/>
      <c r="G4155" s="3"/>
      <c r="H4155" s="24" t="n">
        <v>0.245728046</v>
      </c>
    </row>
    <row r="4156" customFormat="false" ht="15" hidden="false" customHeight="false" outlineLevel="0" collapsed="false">
      <c r="A4156" s="3" t="n">
        <v>4155</v>
      </c>
      <c r="B4156" s="3" t="n">
        <v>4154</v>
      </c>
      <c r="C4156" s="3" t="s">
        <v>119</v>
      </c>
      <c r="D4156" s="3" t="n">
        <v>4</v>
      </c>
      <c r="E4156" s="3" t="n">
        <v>50</v>
      </c>
      <c r="F4156" s="3"/>
      <c r="G4156" s="3"/>
      <c r="H4156" s="24" t="n">
        <v>0.0324786939</v>
      </c>
    </row>
    <row r="4157" customFormat="false" ht="15" hidden="false" customHeight="false" outlineLevel="0" collapsed="false">
      <c r="A4157" s="3" t="n">
        <v>4156</v>
      </c>
      <c r="B4157" s="3" t="n">
        <v>4155</v>
      </c>
      <c r="C4157" s="3" t="s">
        <v>119</v>
      </c>
      <c r="D4157" s="3" t="n">
        <v>4</v>
      </c>
      <c r="E4157" s="3" t="n">
        <v>51</v>
      </c>
      <c r="F4157" s="3"/>
      <c r="G4157" s="3"/>
      <c r="H4157" s="24" t="n">
        <v>-0.136835158</v>
      </c>
    </row>
    <row r="4158" customFormat="false" ht="15" hidden="false" customHeight="false" outlineLevel="0" collapsed="false">
      <c r="A4158" s="3" t="n">
        <v>4157</v>
      </c>
      <c r="B4158" s="3" t="n">
        <v>4156</v>
      </c>
      <c r="C4158" s="3" t="s">
        <v>119</v>
      </c>
      <c r="D4158" s="3" t="n">
        <v>4</v>
      </c>
      <c r="E4158" s="3" t="n">
        <v>52</v>
      </c>
      <c r="F4158" s="3"/>
      <c r="G4158" s="3"/>
      <c r="H4158" s="24" t="n">
        <v>-0.125652581</v>
      </c>
    </row>
    <row r="4159" customFormat="false" ht="15" hidden="false" customHeight="false" outlineLevel="0" collapsed="false">
      <c r="A4159" s="3" t="n">
        <v>4158</v>
      </c>
      <c r="B4159" s="3" t="n">
        <v>4157</v>
      </c>
      <c r="C4159" s="3" t="s">
        <v>119</v>
      </c>
      <c r="D4159" s="3" t="n">
        <v>4</v>
      </c>
      <c r="E4159" s="3" t="n">
        <v>53</v>
      </c>
      <c r="F4159" s="3"/>
      <c r="G4159" s="3"/>
      <c r="H4159" s="24" t="n">
        <v>-0.406690687</v>
      </c>
    </row>
    <row r="4160" customFormat="false" ht="15" hidden="false" customHeight="false" outlineLevel="0" collapsed="false">
      <c r="A4160" s="3" t="n">
        <v>4159</v>
      </c>
      <c r="B4160" s="3" t="n">
        <v>4158</v>
      </c>
      <c r="C4160" s="3" t="s">
        <v>119</v>
      </c>
      <c r="D4160" s="3" t="n">
        <v>4</v>
      </c>
      <c r="E4160" s="3" t="n">
        <v>54</v>
      </c>
      <c r="F4160" s="3"/>
      <c r="G4160" s="3"/>
      <c r="H4160" s="24" t="n">
        <v>0.0975204781</v>
      </c>
    </row>
    <row r="4161" customFormat="false" ht="15" hidden="false" customHeight="false" outlineLevel="0" collapsed="false">
      <c r="A4161" s="3" t="n">
        <v>4160</v>
      </c>
      <c r="B4161" s="3" t="n">
        <v>4159</v>
      </c>
      <c r="C4161" s="3" t="s">
        <v>119</v>
      </c>
      <c r="D4161" s="3" t="n">
        <v>4</v>
      </c>
      <c r="E4161" s="3" t="n">
        <v>55</v>
      </c>
      <c r="F4161" s="3"/>
      <c r="G4161" s="3"/>
      <c r="H4161" s="24" t="n">
        <v>-0.282497585</v>
      </c>
    </row>
    <row r="4162" customFormat="false" ht="15" hidden="false" customHeight="false" outlineLevel="0" collapsed="false">
      <c r="A4162" s="3" t="n">
        <v>4161</v>
      </c>
      <c r="B4162" s="3" t="n">
        <v>4160</v>
      </c>
      <c r="C4162" s="3" t="s">
        <v>119</v>
      </c>
      <c r="D4162" s="3" t="n">
        <v>4</v>
      </c>
      <c r="E4162" s="3" t="n">
        <v>56</v>
      </c>
      <c r="F4162" s="3"/>
      <c r="G4162" s="3"/>
      <c r="H4162" s="24" t="n">
        <v>0.137513489</v>
      </c>
    </row>
    <row r="4163" customFormat="false" ht="15" hidden="false" customHeight="false" outlineLevel="0" collapsed="false">
      <c r="A4163" s="3" t="n">
        <v>4162</v>
      </c>
      <c r="B4163" s="3" t="n">
        <v>4161</v>
      </c>
      <c r="C4163" s="3" t="s">
        <v>119</v>
      </c>
      <c r="D4163" s="3" t="n">
        <v>4</v>
      </c>
      <c r="E4163" s="3" t="n">
        <v>57</v>
      </c>
      <c r="F4163" s="3"/>
      <c r="G4163" s="3"/>
      <c r="H4163" s="24" t="n">
        <v>-0.038357418</v>
      </c>
    </row>
    <row r="4164" customFormat="false" ht="15" hidden="false" customHeight="false" outlineLevel="0" collapsed="false">
      <c r="A4164" s="3" t="n">
        <v>4163</v>
      </c>
      <c r="B4164" s="3" t="n">
        <v>4162</v>
      </c>
      <c r="C4164" s="3" t="s">
        <v>119</v>
      </c>
      <c r="D4164" s="3" t="n">
        <v>4</v>
      </c>
      <c r="E4164" s="3" t="n">
        <v>58</v>
      </c>
      <c r="F4164" s="3"/>
      <c r="G4164" s="3"/>
      <c r="H4164" s="24" t="n">
        <v>-0.0516383164</v>
      </c>
    </row>
    <row r="4165" customFormat="false" ht="15" hidden="false" customHeight="false" outlineLevel="0" collapsed="false">
      <c r="A4165" s="3" t="n">
        <v>4164</v>
      </c>
      <c r="B4165" s="3" t="n">
        <v>4163</v>
      </c>
      <c r="C4165" s="3" t="s">
        <v>119</v>
      </c>
      <c r="D4165" s="3" t="n">
        <v>4</v>
      </c>
      <c r="E4165" s="3" t="n">
        <v>59</v>
      </c>
      <c r="F4165" s="3"/>
      <c r="G4165" s="3"/>
      <c r="H4165" s="24" t="n">
        <v>-0.146003112</v>
      </c>
    </row>
    <row r="4166" customFormat="false" ht="15" hidden="false" customHeight="false" outlineLevel="0" collapsed="false">
      <c r="A4166" s="3" t="n">
        <v>4165</v>
      </c>
      <c r="B4166" s="3" t="n">
        <v>4164</v>
      </c>
      <c r="C4166" s="3" t="s">
        <v>119</v>
      </c>
      <c r="D4166" s="3" t="n">
        <v>4</v>
      </c>
      <c r="E4166" s="3" t="n">
        <v>60</v>
      </c>
      <c r="F4166" s="3"/>
      <c r="G4166" s="3"/>
      <c r="H4166" s="24" t="n">
        <v>0.0384974666</v>
      </c>
    </row>
    <row r="4167" customFormat="false" ht="15" hidden="false" customHeight="false" outlineLevel="0" collapsed="false">
      <c r="A4167" s="3" t="n">
        <v>4166</v>
      </c>
      <c r="B4167" s="3" t="n">
        <v>4165</v>
      </c>
      <c r="C4167" s="3" t="s">
        <v>119</v>
      </c>
      <c r="D4167" s="3" t="n">
        <v>4</v>
      </c>
      <c r="E4167" s="3" t="n">
        <v>61</v>
      </c>
      <c r="F4167" s="3"/>
      <c r="G4167" s="3"/>
      <c r="H4167" s="24" t="n">
        <v>-0.0387100354</v>
      </c>
    </row>
    <row r="4168" customFormat="false" ht="15" hidden="false" customHeight="false" outlineLevel="0" collapsed="false">
      <c r="A4168" s="3" t="n">
        <v>4167</v>
      </c>
      <c r="B4168" s="3" t="n">
        <v>4166</v>
      </c>
      <c r="C4168" s="3" t="s">
        <v>119</v>
      </c>
      <c r="D4168" s="3" t="n">
        <v>4</v>
      </c>
      <c r="E4168" s="3" t="n">
        <v>62</v>
      </c>
      <c r="F4168" s="3"/>
      <c r="G4168" s="3"/>
      <c r="H4168" s="24" t="n">
        <v>-0.0531508215</v>
      </c>
    </row>
    <row r="4169" customFormat="false" ht="15" hidden="false" customHeight="false" outlineLevel="0" collapsed="false">
      <c r="A4169" s="3" t="n">
        <v>4168</v>
      </c>
      <c r="B4169" s="3" t="n">
        <v>4167</v>
      </c>
      <c r="C4169" s="3" t="s">
        <v>119</v>
      </c>
      <c r="D4169" s="3" t="n">
        <v>4</v>
      </c>
      <c r="E4169" s="3" t="n">
        <v>63</v>
      </c>
      <c r="F4169" s="3"/>
      <c r="G4169" s="3"/>
      <c r="H4169" s="24" t="n">
        <v>0.0503279865</v>
      </c>
    </row>
    <row r="4170" customFormat="false" ht="15" hidden="false" customHeight="false" outlineLevel="0" collapsed="false">
      <c r="A4170" s="3" t="n">
        <v>4169</v>
      </c>
      <c r="B4170" s="3" t="n">
        <v>4168</v>
      </c>
      <c r="C4170" s="3" t="s">
        <v>119</v>
      </c>
      <c r="D4170" s="3" t="n">
        <v>4</v>
      </c>
      <c r="E4170" s="3" t="n">
        <v>64</v>
      </c>
      <c r="F4170" s="3"/>
      <c r="G4170" s="3"/>
      <c r="H4170" s="24" t="n">
        <v>-0.0760090724</v>
      </c>
    </row>
    <row r="4171" customFormat="false" ht="15" hidden="false" customHeight="false" outlineLevel="0" collapsed="false">
      <c r="A4171" s="3" t="n">
        <v>4170</v>
      </c>
      <c r="B4171" s="3" t="n">
        <v>4169</v>
      </c>
      <c r="C4171" s="3" t="s">
        <v>119</v>
      </c>
      <c r="D4171" s="3" t="n">
        <v>4</v>
      </c>
      <c r="E4171" s="3" t="n">
        <v>65</v>
      </c>
      <c r="F4171" s="3"/>
      <c r="G4171" s="3"/>
      <c r="H4171" s="24" t="n">
        <v>-0.0155144129</v>
      </c>
    </row>
    <row r="4172" customFormat="false" ht="15" hidden="false" customHeight="false" outlineLevel="0" collapsed="false">
      <c r="A4172" s="3" t="n">
        <v>4171</v>
      </c>
      <c r="B4172" s="3" t="n">
        <v>4170</v>
      </c>
      <c r="C4172" s="3" t="s">
        <v>119</v>
      </c>
      <c r="D4172" s="3" t="n">
        <v>4</v>
      </c>
      <c r="E4172" s="3" t="n">
        <v>66</v>
      </c>
      <c r="F4172" s="3"/>
      <c r="G4172" s="3"/>
      <c r="H4172" s="24" t="n">
        <v>-0.0681685805</v>
      </c>
    </row>
    <row r="4173" customFormat="false" ht="15" hidden="false" customHeight="false" outlineLevel="0" collapsed="false">
      <c r="A4173" s="3" t="n">
        <v>4172</v>
      </c>
      <c r="B4173" s="3" t="n">
        <v>4171</v>
      </c>
      <c r="C4173" s="3" t="s">
        <v>119</v>
      </c>
      <c r="D4173" s="3" t="n">
        <v>4</v>
      </c>
      <c r="E4173" s="3" t="n">
        <v>67</v>
      </c>
      <c r="F4173" s="3"/>
      <c r="G4173" s="3"/>
      <c r="H4173" s="24" t="n">
        <v>-0.0751462132</v>
      </c>
    </row>
    <row r="4174" customFormat="false" ht="15" hidden="false" customHeight="false" outlineLevel="0" collapsed="false">
      <c r="A4174" s="3" t="n">
        <v>4173</v>
      </c>
      <c r="B4174" s="3" t="n">
        <v>4172</v>
      </c>
      <c r="C4174" s="3" t="s">
        <v>119</v>
      </c>
      <c r="D4174" s="3" t="n">
        <v>4</v>
      </c>
      <c r="E4174" s="3" t="n">
        <v>68</v>
      </c>
      <c r="F4174" s="3"/>
      <c r="G4174" s="3"/>
      <c r="H4174" s="24" t="n">
        <v>-0.00552141247</v>
      </c>
    </row>
    <row r="4175" customFormat="false" ht="15" hidden="false" customHeight="false" outlineLevel="0" collapsed="false">
      <c r="A4175" s="3" t="n">
        <v>4174</v>
      </c>
      <c r="B4175" s="3" t="n">
        <v>4173</v>
      </c>
      <c r="C4175" s="3" t="s">
        <v>119</v>
      </c>
      <c r="D4175" s="3" t="n">
        <v>4</v>
      </c>
      <c r="E4175" s="3" t="n">
        <v>69</v>
      </c>
      <c r="F4175" s="3"/>
      <c r="G4175" s="3"/>
      <c r="H4175" s="24" t="n">
        <v>0.0756312609</v>
      </c>
    </row>
    <row r="4176" customFormat="false" ht="15" hidden="false" customHeight="false" outlineLevel="0" collapsed="false">
      <c r="A4176" s="3" t="n">
        <v>4175</v>
      </c>
      <c r="B4176" s="3" t="n">
        <v>4174</v>
      </c>
      <c r="C4176" s="3" t="s">
        <v>119</v>
      </c>
      <c r="D4176" s="3" t="n">
        <v>4</v>
      </c>
      <c r="E4176" s="3" t="n">
        <v>70</v>
      </c>
      <c r="F4176" s="3"/>
      <c r="G4176" s="3"/>
      <c r="H4176" s="24" t="n">
        <v>0.0787786096</v>
      </c>
    </row>
    <row r="4177" customFormat="false" ht="15" hidden="false" customHeight="false" outlineLevel="0" collapsed="false">
      <c r="A4177" s="3" t="n">
        <v>4176</v>
      </c>
      <c r="B4177" s="3" t="n">
        <v>4175</v>
      </c>
      <c r="C4177" s="3" t="s">
        <v>119</v>
      </c>
      <c r="D4177" s="3" t="n">
        <v>4</v>
      </c>
      <c r="E4177" s="3" t="n">
        <v>71</v>
      </c>
      <c r="F4177" s="3"/>
      <c r="G4177" s="3"/>
      <c r="H4177" s="24" t="n">
        <v>0.0299507193</v>
      </c>
    </row>
    <row r="4178" customFormat="false" ht="15" hidden="false" customHeight="false" outlineLevel="0" collapsed="false">
      <c r="A4178" s="3" t="n">
        <v>4177</v>
      </c>
      <c r="B4178" s="3" t="n">
        <v>4176</v>
      </c>
      <c r="C4178" s="3" t="s">
        <v>119</v>
      </c>
      <c r="D4178" s="3" t="n">
        <v>4</v>
      </c>
      <c r="E4178" s="3" t="n">
        <v>72</v>
      </c>
      <c r="F4178" s="3"/>
      <c r="G4178" s="3"/>
      <c r="H4178" s="24" t="n">
        <v>-0.0728345141</v>
      </c>
    </row>
    <row r="4179" customFormat="false" ht="15" hidden="false" customHeight="false" outlineLevel="0" collapsed="false">
      <c r="A4179" s="3" t="n">
        <v>4178</v>
      </c>
      <c r="B4179" s="3" t="n">
        <v>4177</v>
      </c>
      <c r="C4179" s="3" t="s">
        <v>119</v>
      </c>
      <c r="D4179" s="3" t="n">
        <v>4</v>
      </c>
      <c r="E4179" s="3" t="n">
        <v>73</v>
      </c>
      <c r="F4179" s="3"/>
      <c r="G4179" s="3"/>
      <c r="H4179" s="24" t="n">
        <v>-0.263890207</v>
      </c>
    </row>
    <row r="4180" customFormat="false" ht="15" hidden="false" customHeight="false" outlineLevel="0" collapsed="false">
      <c r="A4180" s="3" t="n">
        <v>4179</v>
      </c>
      <c r="B4180" s="3" t="n">
        <v>4178</v>
      </c>
      <c r="C4180" s="3" t="s">
        <v>119</v>
      </c>
      <c r="D4180" s="3" t="n">
        <v>4</v>
      </c>
      <c r="E4180" s="3" t="n">
        <v>74</v>
      </c>
      <c r="F4180" s="3"/>
      <c r="G4180" s="3"/>
      <c r="H4180" s="24" t="n">
        <v>-0.0922373608</v>
      </c>
    </row>
    <row r="4181" customFormat="false" ht="15" hidden="false" customHeight="false" outlineLevel="0" collapsed="false">
      <c r="A4181" s="3" t="n">
        <v>4180</v>
      </c>
      <c r="B4181" s="3" t="n">
        <v>4179</v>
      </c>
      <c r="C4181" s="3" t="s">
        <v>119</v>
      </c>
      <c r="D4181" s="3" t="n">
        <v>4</v>
      </c>
      <c r="E4181" s="3" t="n">
        <v>75</v>
      </c>
      <c r="F4181" s="3"/>
      <c r="G4181" s="3"/>
      <c r="H4181" s="24" t="n">
        <v>0.090568997</v>
      </c>
    </row>
    <row r="4182" customFormat="false" ht="15" hidden="false" customHeight="false" outlineLevel="0" collapsed="false">
      <c r="A4182" s="3" t="n">
        <v>4181</v>
      </c>
      <c r="B4182" s="3" t="n">
        <v>4180</v>
      </c>
      <c r="C4182" s="3" t="s">
        <v>119</v>
      </c>
      <c r="D4182" s="3" t="n">
        <v>4</v>
      </c>
      <c r="E4182" s="3" t="n">
        <v>76</v>
      </c>
      <c r="F4182" s="3"/>
      <c r="G4182" s="3"/>
      <c r="H4182" s="24" t="n">
        <v>-0.23376663</v>
      </c>
    </row>
    <row r="4183" customFormat="false" ht="15" hidden="false" customHeight="false" outlineLevel="0" collapsed="false">
      <c r="A4183" s="3" t="n">
        <v>4182</v>
      </c>
      <c r="B4183" s="3" t="n">
        <v>4181</v>
      </c>
      <c r="C4183" s="3" t="s">
        <v>119</v>
      </c>
      <c r="D4183" s="3" t="n">
        <v>4</v>
      </c>
      <c r="E4183" s="3" t="n">
        <v>77</v>
      </c>
      <c r="F4183" s="3"/>
      <c r="G4183" s="3"/>
      <c r="H4183" s="24" t="n">
        <v>-0.575525463</v>
      </c>
    </row>
    <row r="4184" customFormat="false" ht="15" hidden="false" customHeight="false" outlineLevel="0" collapsed="false">
      <c r="A4184" s="3" t="n">
        <v>4183</v>
      </c>
      <c r="B4184" s="3" t="n">
        <v>4182</v>
      </c>
      <c r="C4184" s="3" t="s">
        <v>119</v>
      </c>
      <c r="D4184" s="3" t="n">
        <v>4</v>
      </c>
      <c r="E4184" s="3" t="n">
        <v>78</v>
      </c>
      <c r="F4184" s="3"/>
      <c r="G4184" s="3"/>
      <c r="H4184" s="24" t="n">
        <v>0.223952249</v>
      </c>
    </row>
    <row r="4185" customFormat="false" ht="15" hidden="false" customHeight="false" outlineLevel="0" collapsed="false">
      <c r="A4185" s="3" t="n">
        <v>4184</v>
      </c>
      <c r="B4185" s="3" t="n">
        <v>4183</v>
      </c>
      <c r="C4185" s="3" t="s">
        <v>119</v>
      </c>
      <c r="D4185" s="3" t="n">
        <v>4</v>
      </c>
      <c r="E4185" s="3" t="n">
        <v>79</v>
      </c>
      <c r="F4185" s="3"/>
      <c r="G4185" s="3"/>
      <c r="H4185" s="24" t="n">
        <v>-0.0526311249</v>
      </c>
    </row>
    <row r="4186" customFormat="false" ht="15" hidden="false" customHeight="false" outlineLevel="0" collapsed="false">
      <c r="A4186" s="3" t="n">
        <v>4185</v>
      </c>
      <c r="B4186" s="3" t="n">
        <v>4184</v>
      </c>
      <c r="C4186" s="3" t="s">
        <v>119</v>
      </c>
      <c r="D4186" s="3" t="n">
        <v>4</v>
      </c>
      <c r="E4186" s="3" t="n">
        <v>80</v>
      </c>
      <c r="F4186" s="3"/>
      <c r="G4186" s="3"/>
      <c r="H4186" s="24" t="n">
        <v>-0.664985061</v>
      </c>
    </row>
    <row r="4187" customFormat="false" ht="15" hidden="false" customHeight="false" outlineLevel="0" collapsed="false">
      <c r="A4187" s="3" t="n">
        <v>4186</v>
      </c>
      <c r="B4187" s="3" t="n">
        <v>4185</v>
      </c>
      <c r="C4187" s="3" t="s">
        <v>119</v>
      </c>
      <c r="D4187" s="3" t="n">
        <v>4</v>
      </c>
      <c r="E4187" s="3" t="n">
        <v>81</v>
      </c>
      <c r="F4187" s="3"/>
      <c r="G4187" s="3"/>
      <c r="H4187" s="24" t="n">
        <v>-0.323081255</v>
      </c>
    </row>
    <row r="4188" customFormat="false" ht="15" hidden="false" customHeight="false" outlineLevel="0" collapsed="false">
      <c r="A4188" s="3" t="n">
        <v>4187</v>
      </c>
      <c r="B4188" s="3" t="n">
        <v>4186</v>
      </c>
      <c r="C4188" s="3" t="s">
        <v>119</v>
      </c>
      <c r="D4188" s="3" t="n">
        <v>4</v>
      </c>
      <c r="E4188" s="3" t="n">
        <v>82</v>
      </c>
      <c r="F4188" s="3"/>
      <c r="G4188" s="3"/>
      <c r="H4188" s="24" t="n">
        <v>0.0068123634</v>
      </c>
    </row>
    <row r="4189" customFormat="false" ht="15" hidden="false" customHeight="false" outlineLevel="0" collapsed="false">
      <c r="A4189" s="3" t="n">
        <v>4188</v>
      </c>
      <c r="B4189" s="3" t="n">
        <v>4187</v>
      </c>
      <c r="C4189" s="3" t="s">
        <v>119</v>
      </c>
      <c r="D4189" s="3" t="n">
        <v>4</v>
      </c>
      <c r="E4189" s="3" t="n">
        <v>83</v>
      </c>
      <c r="F4189" s="3"/>
      <c r="G4189" s="3"/>
      <c r="H4189" s="24" t="n">
        <v>0.100496091</v>
      </c>
    </row>
    <row r="4190" customFormat="false" ht="15" hidden="false" customHeight="false" outlineLevel="0" collapsed="false">
      <c r="A4190" s="3" t="n">
        <v>4189</v>
      </c>
      <c r="B4190" s="3" t="n">
        <v>4188</v>
      </c>
      <c r="C4190" s="3" t="s">
        <v>119</v>
      </c>
      <c r="D4190" s="3" t="n">
        <v>4</v>
      </c>
      <c r="E4190" s="3" t="n">
        <v>84</v>
      </c>
      <c r="F4190" s="3"/>
      <c r="G4190" s="3"/>
      <c r="H4190" s="24" t="n">
        <v>0.279821247</v>
      </c>
    </row>
    <row r="4191" customFormat="false" ht="15" hidden="false" customHeight="false" outlineLevel="0" collapsed="false">
      <c r="A4191" s="3" t="n">
        <v>4190</v>
      </c>
      <c r="B4191" s="3" t="n">
        <v>4189</v>
      </c>
      <c r="C4191" s="3" t="s">
        <v>119</v>
      </c>
      <c r="D4191" s="3" t="n">
        <v>4</v>
      </c>
      <c r="E4191" s="3" t="n">
        <v>85</v>
      </c>
      <c r="F4191" s="3"/>
      <c r="G4191" s="3"/>
      <c r="H4191" s="24" t="n">
        <v>-0.00544068683</v>
      </c>
    </row>
    <row r="4192" customFormat="false" ht="15" hidden="false" customHeight="false" outlineLevel="0" collapsed="false">
      <c r="A4192" s="3" t="n">
        <v>4191</v>
      </c>
      <c r="B4192" s="3" t="n">
        <v>4190</v>
      </c>
      <c r="C4192" s="3" t="s">
        <v>119</v>
      </c>
      <c r="D4192" s="3" t="n">
        <v>4</v>
      </c>
      <c r="E4192" s="3" t="n">
        <v>86</v>
      </c>
      <c r="F4192" s="3"/>
      <c r="G4192" s="3"/>
      <c r="H4192" s="24" t="n">
        <v>-0.141119629</v>
      </c>
    </row>
    <row r="4193" customFormat="false" ht="15" hidden="false" customHeight="false" outlineLevel="0" collapsed="false">
      <c r="A4193" s="3" t="n">
        <v>4192</v>
      </c>
      <c r="B4193" s="3" t="n">
        <v>4191</v>
      </c>
      <c r="C4193" s="3" t="s">
        <v>119</v>
      </c>
      <c r="D4193" s="3" t="n">
        <v>4</v>
      </c>
      <c r="E4193" s="3" t="n">
        <v>87</v>
      </c>
      <c r="F4193" s="3"/>
      <c r="G4193" s="3"/>
      <c r="H4193" s="24" t="n">
        <v>0.0988898352</v>
      </c>
    </row>
    <row r="4194" customFormat="false" ht="15" hidden="false" customHeight="false" outlineLevel="0" collapsed="false">
      <c r="A4194" s="3" t="n">
        <v>4193</v>
      </c>
      <c r="B4194" s="3" t="n">
        <v>4192</v>
      </c>
      <c r="C4194" s="3" t="s">
        <v>119</v>
      </c>
      <c r="D4194" s="3" t="n">
        <v>4</v>
      </c>
      <c r="E4194" s="3" t="n">
        <v>88</v>
      </c>
      <c r="F4194" s="3"/>
      <c r="G4194" s="3"/>
      <c r="H4194" s="24" t="n">
        <v>0.205421463</v>
      </c>
    </row>
    <row r="4195" customFormat="false" ht="15" hidden="false" customHeight="false" outlineLevel="0" collapsed="false">
      <c r="A4195" s="3" t="n">
        <v>4194</v>
      </c>
      <c r="B4195" s="3" t="n">
        <v>4193</v>
      </c>
      <c r="C4195" s="3" t="s">
        <v>119</v>
      </c>
      <c r="D4195" s="3" t="n">
        <v>4</v>
      </c>
      <c r="E4195" s="3" t="n">
        <v>89</v>
      </c>
      <c r="F4195" s="3"/>
      <c r="G4195" s="3"/>
      <c r="H4195" s="24" t="n">
        <v>-0.151173055</v>
      </c>
    </row>
    <row r="4196" customFormat="false" ht="15" hidden="false" customHeight="false" outlineLevel="0" collapsed="false">
      <c r="A4196" s="3" t="n">
        <v>4195</v>
      </c>
      <c r="B4196" s="3" t="n">
        <v>4194</v>
      </c>
      <c r="C4196" s="3" t="s">
        <v>119</v>
      </c>
      <c r="D4196" s="3" t="n">
        <v>4</v>
      </c>
      <c r="E4196" s="3" t="n">
        <v>90</v>
      </c>
      <c r="F4196" s="3"/>
      <c r="G4196" s="3"/>
      <c r="H4196" s="24" t="n">
        <v>0.203820065</v>
      </c>
    </row>
    <row r="4197" customFormat="false" ht="15" hidden="false" customHeight="false" outlineLevel="0" collapsed="false">
      <c r="A4197" s="3" t="n">
        <v>4196</v>
      </c>
      <c r="B4197" s="3" t="n">
        <v>4195</v>
      </c>
      <c r="C4197" s="3" t="s">
        <v>119</v>
      </c>
      <c r="D4197" s="3" t="n">
        <v>4</v>
      </c>
      <c r="E4197" s="3" t="n">
        <v>91</v>
      </c>
      <c r="F4197" s="3"/>
      <c r="G4197" s="3"/>
      <c r="H4197" s="24" t="n">
        <v>-0.16007787</v>
      </c>
    </row>
    <row r="4198" customFormat="false" ht="15" hidden="false" customHeight="false" outlineLevel="0" collapsed="false">
      <c r="A4198" s="3" t="n">
        <v>4197</v>
      </c>
      <c r="B4198" s="3" t="n">
        <v>4196</v>
      </c>
      <c r="C4198" s="3" t="s">
        <v>119</v>
      </c>
      <c r="D4198" s="3" t="n">
        <v>4</v>
      </c>
      <c r="E4198" s="3" t="n">
        <v>92</v>
      </c>
      <c r="F4198" s="3"/>
      <c r="G4198" s="3"/>
      <c r="H4198" s="24" t="n">
        <v>-0.0751516446</v>
      </c>
    </row>
    <row r="4199" customFormat="false" ht="15" hidden="false" customHeight="false" outlineLevel="0" collapsed="false">
      <c r="A4199" s="3" t="n">
        <v>4198</v>
      </c>
      <c r="B4199" s="3" t="n">
        <v>4197</v>
      </c>
      <c r="C4199" s="3" t="s">
        <v>119</v>
      </c>
      <c r="D4199" s="3" t="n">
        <v>4</v>
      </c>
      <c r="E4199" s="3" t="n">
        <v>93</v>
      </c>
      <c r="F4199" s="3"/>
      <c r="G4199" s="3"/>
      <c r="H4199" s="24" t="n">
        <v>0.0130735449</v>
      </c>
    </row>
    <row r="4200" customFormat="false" ht="15" hidden="false" customHeight="false" outlineLevel="0" collapsed="false">
      <c r="A4200" s="3" t="n">
        <v>4199</v>
      </c>
      <c r="B4200" s="3" t="n">
        <v>4198</v>
      </c>
      <c r="C4200" s="3" t="s">
        <v>119</v>
      </c>
      <c r="D4200" s="3" t="n">
        <v>4</v>
      </c>
      <c r="E4200" s="3" t="n">
        <v>94</v>
      </c>
      <c r="F4200" s="3"/>
      <c r="G4200" s="3"/>
      <c r="H4200" s="24" t="n">
        <v>0.0198549889</v>
      </c>
    </row>
    <row r="4201" customFormat="false" ht="15" hidden="false" customHeight="false" outlineLevel="0" collapsed="false">
      <c r="A4201" s="3" t="n">
        <v>4200</v>
      </c>
      <c r="B4201" s="3" t="n">
        <v>4199</v>
      </c>
      <c r="C4201" s="3" t="s">
        <v>119</v>
      </c>
      <c r="D4201" s="3" t="n">
        <v>4</v>
      </c>
      <c r="E4201" s="3" t="n">
        <v>95</v>
      </c>
      <c r="F4201" s="3"/>
      <c r="G4201" s="3"/>
      <c r="H4201" s="24" t="n">
        <v>-0.253811836</v>
      </c>
    </row>
    <row r="4202" customFormat="false" ht="15" hidden="false" customHeight="false" outlineLevel="0" collapsed="false">
      <c r="A4202" s="3" t="n">
        <v>4201</v>
      </c>
      <c r="B4202" s="3" t="n">
        <v>4200</v>
      </c>
      <c r="C4202" s="3" t="s">
        <v>119</v>
      </c>
      <c r="D4202" s="3" t="n">
        <v>4</v>
      </c>
      <c r="E4202" s="3" t="n">
        <v>96</v>
      </c>
      <c r="F4202" s="3"/>
      <c r="G4202" s="3"/>
      <c r="H4202" s="24" t="n">
        <v>-0.0813084096</v>
      </c>
    </row>
    <row r="4203" customFormat="false" ht="15" hidden="false" customHeight="false" outlineLevel="0" collapsed="false">
      <c r="A4203" s="3" t="n">
        <v>4202</v>
      </c>
      <c r="B4203" s="3" t="n">
        <v>4201</v>
      </c>
      <c r="C4203" s="3" t="s">
        <v>119</v>
      </c>
      <c r="D4203" s="3" t="n">
        <v>4</v>
      </c>
      <c r="E4203" s="3" t="n">
        <v>97</v>
      </c>
      <c r="F4203" s="3"/>
      <c r="G4203" s="3"/>
      <c r="H4203" s="24" t="n">
        <v>0.176525801</v>
      </c>
    </row>
    <row r="4204" customFormat="false" ht="15" hidden="false" customHeight="false" outlineLevel="0" collapsed="false">
      <c r="A4204" s="3" t="n">
        <v>4203</v>
      </c>
      <c r="B4204" s="3" t="n">
        <v>4202</v>
      </c>
      <c r="C4204" s="3" t="s">
        <v>119</v>
      </c>
      <c r="D4204" s="3" t="n">
        <v>4</v>
      </c>
      <c r="E4204" s="3" t="n">
        <v>98</v>
      </c>
      <c r="F4204" s="3"/>
      <c r="G4204" s="3"/>
      <c r="H4204" s="24" t="n">
        <v>0.0621325076</v>
      </c>
    </row>
    <row r="4205" customFormat="false" ht="15" hidden="false" customHeight="false" outlineLevel="0" collapsed="false">
      <c r="A4205" s="3" t="n">
        <v>4204</v>
      </c>
      <c r="B4205" s="3" t="n">
        <v>4203</v>
      </c>
      <c r="C4205" s="3" t="s">
        <v>119</v>
      </c>
      <c r="D4205" s="3" t="n">
        <v>4</v>
      </c>
      <c r="E4205" s="3" t="n">
        <v>99</v>
      </c>
      <c r="F4205" s="3"/>
      <c r="G4205" s="3"/>
      <c r="H4205" s="24" t="n">
        <v>0.0138965063</v>
      </c>
    </row>
    <row r="4206" customFormat="false" ht="15" hidden="false" customHeight="false" outlineLevel="0" collapsed="false">
      <c r="A4206" s="3" t="n">
        <v>4205</v>
      </c>
      <c r="B4206" s="3" t="n">
        <v>4204</v>
      </c>
      <c r="C4206" s="3" t="s">
        <v>119</v>
      </c>
      <c r="D4206" s="3" t="n">
        <v>4</v>
      </c>
      <c r="E4206" s="3" t="n">
        <v>100</v>
      </c>
      <c r="F4206" s="3"/>
      <c r="G4206" s="3"/>
      <c r="H4206" s="24" t="n">
        <v>0.161161795</v>
      </c>
    </row>
    <row r="4207" customFormat="false" ht="15" hidden="false" customHeight="false" outlineLevel="0" collapsed="false">
      <c r="A4207" s="3" t="n">
        <v>4206</v>
      </c>
      <c r="B4207" s="3" t="n">
        <v>4205</v>
      </c>
      <c r="C4207" s="3" t="s">
        <v>119</v>
      </c>
      <c r="D4207" s="3" t="n">
        <v>4</v>
      </c>
      <c r="E4207" s="3" t="n">
        <v>101</v>
      </c>
      <c r="F4207" s="3"/>
      <c r="G4207" s="3"/>
      <c r="H4207" s="24" t="n">
        <v>-0.103132278</v>
      </c>
    </row>
    <row r="4208" customFormat="false" ht="15" hidden="false" customHeight="false" outlineLevel="0" collapsed="false">
      <c r="A4208" s="3" t="n">
        <v>4207</v>
      </c>
      <c r="B4208" s="3" t="n">
        <v>4206</v>
      </c>
      <c r="C4208" s="3" t="s">
        <v>119</v>
      </c>
      <c r="D4208" s="3" t="n">
        <v>4</v>
      </c>
      <c r="E4208" s="3" t="n">
        <v>102</v>
      </c>
      <c r="F4208" s="3"/>
      <c r="G4208" s="3"/>
      <c r="H4208" s="24" t="n">
        <v>0.155848891</v>
      </c>
    </row>
    <row r="4209" customFormat="false" ht="15" hidden="false" customHeight="false" outlineLevel="0" collapsed="false">
      <c r="A4209" s="3" t="n">
        <v>4208</v>
      </c>
      <c r="B4209" s="3" t="n">
        <v>4207</v>
      </c>
      <c r="C4209" s="3" t="s">
        <v>119</v>
      </c>
      <c r="D4209" s="3" t="n">
        <v>4</v>
      </c>
      <c r="E4209" s="3" t="n">
        <v>103</v>
      </c>
      <c r="F4209" s="3"/>
      <c r="G4209" s="3"/>
      <c r="H4209" s="24" t="n">
        <v>0.0909192115</v>
      </c>
    </row>
    <row r="4210" customFormat="false" ht="15" hidden="false" customHeight="false" outlineLevel="0" collapsed="false">
      <c r="A4210" s="3" t="n">
        <v>4209</v>
      </c>
      <c r="B4210" s="3" t="n">
        <v>4208</v>
      </c>
      <c r="C4210" s="3" t="s">
        <v>119</v>
      </c>
      <c r="D4210" s="3" t="n">
        <v>4</v>
      </c>
      <c r="E4210" s="3" t="n">
        <v>104</v>
      </c>
      <c r="F4210" s="3"/>
      <c r="G4210" s="3"/>
      <c r="H4210" s="24" t="n">
        <v>0.188604504</v>
      </c>
    </row>
    <row r="4211" customFormat="false" ht="15" hidden="false" customHeight="false" outlineLevel="0" collapsed="false">
      <c r="A4211" s="3" t="n">
        <v>4210</v>
      </c>
      <c r="B4211" s="3" t="n">
        <v>4209</v>
      </c>
      <c r="C4211" s="3" t="s">
        <v>119</v>
      </c>
      <c r="D4211" s="3" t="n">
        <v>4</v>
      </c>
      <c r="E4211" s="3" t="n">
        <v>105</v>
      </c>
      <c r="F4211" s="3"/>
      <c r="G4211" s="3"/>
      <c r="H4211" s="24" t="n">
        <v>-0.165835142</v>
      </c>
    </row>
    <row r="4212" customFormat="false" ht="15" hidden="false" customHeight="false" outlineLevel="0" collapsed="false">
      <c r="A4212" s="3" t="n">
        <v>4211</v>
      </c>
      <c r="B4212" s="3" t="n">
        <v>4210</v>
      </c>
      <c r="C4212" s="3" t="s">
        <v>119</v>
      </c>
      <c r="D4212" s="3" t="n">
        <v>4</v>
      </c>
      <c r="E4212" s="3" t="n">
        <v>106</v>
      </c>
      <c r="F4212" s="3"/>
      <c r="G4212" s="3"/>
      <c r="H4212" s="24" t="n">
        <v>-0.0351827778</v>
      </c>
    </row>
    <row r="4213" customFormat="false" ht="15" hidden="false" customHeight="false" outlineLevel="0" collapsed="false">
      <c r="A4213" s="3" t="n">
        <v>4212</v>
      </c>
      <c r="B4213" s="3" t="n">
        <v>4211</v>
      </c>
      <c r="C4213" s="3" t="s">
        <v>119</v>
      </c>
      <c r="D4213" s="3" t="n">
        <v>4</v>
      </c>
      <c r="E4213" s="3" t="n">
        <v>107</v>
      </c>
      <c r="F4213" s="3"/>
      <c r="G4213" s="3"/>
      <c r="H4213" s="24" t="n">
        <v>-0.237712592</v>
      </c>
    </row>
    <row r="4214" customFormat="false" ht="15" hidden="false" customHeight="false" outlineLevel="0" collapsed="false">
      <c r="A4214" s="3" t="n">
        <v>4213</v>
      </c>
      <c r="B4214" s="3" t="n">
        <v>4212</v>
      </c>
      <c r="C4214" s="3" t="s">
        <v>119</v>
      </c>
      <c r="D4214" s="3" t="n">
        <v>4</v>
      </c>
      <c r="E4214" s="3" t="n">
        <v>108</v>
      </c>
      <c r="F4214" s="3"/>
      <c r="G4214" s="3"/>
      <c r="H4214" s="24" t="n">
        <v>-0.587548018</v>
      </c>
    </row>
    <row r="4215" customFormat="false" ht="15" hidden="false" customHeight="false" outlineLevel="0" collapsed="false">
      <c r="A4215" s="3" t="n">
        <v>4214</v>
      </c>
      <c r="B4215" s="3" t="n">
        <v>4213</v>
      </c>
      <c r="C4215" s="3" t="s">
        <v>119</v>
      </c>
      <c r="D4215" s="3" t="n">
        <v>4</v>
      </c>
      <c r="E4215" s="3" t="n">
        <v>109</v>
      </c>
      <c r="F4215" s="3"/>
      <c r="G4215" s="3"/>
      <c r="H4215" s="24" t="n">
        <v>-0.292913437</v>
      </c>
    </row>
    <row r="4216" customFormat="false" ht="15" hidden="false" customHeight="false" outlineLevel="0" collapsed="false">
      <c r="A4216" s="3" t="n">
        <v>4215</v>
      </c>
      <c r="B4216" s="3" t="n">
        <v>4214</v>
      </c>
      <c r="C4216" s="3" t="s">
        <v>119</v>
      </c>
      <c r="D4216" s="3" t="n">
        <v>4</v>
      </c>
      <c r="E4216" s="3" t="n">
        <v>110</v>
      </c>
      <c r="F4216" s="3"/>
      <c r="G4216" s="3"/>
      <c r="H4216" s="24" t="n">
        <v>0.13786298</v>
      </c>
    </row>
    <row r="4217" customFormat="false" ht="15" hidden="false" customHeight="false" outlineLevel="0" collapsed="false">
      <c r="A4217" s="3" t="n">
        <v>4216</v>
      </c>
      <c r="B4217" s="3" t="n">
        <v>4215</v>
      </c>
      <c r="C4217" s="3" t="s">
        <v>119</v>
      </c>
      <c r="D4217" s="3" t="n">
        <v>4</v>
      </c>
      <c r="E4217" s="3" t="n">
        <v>111</v>
      </c>
      <c r="F4217" s="3"/>
      <c r="G4217" s="3"/>
      <c r="H4217" s="24" t="n">
        <v>0.109725401</v>
      </c>
    </row>
    <row r="4218" customFormat="false" ht="15" hidden="false" customHeight="false" outlineLevel="0" collapsed="false">
      <c r="A4218" s="3" t="n">
        <v>4217</v>
      </c>
      <c r="B4218" s="3" t="n">
        <v>4216</v>
      </c>
      <c r="C4218" s="3" t="s">
        <v>119</v>
      </c>
      <c r="D4218" s="3" t="n">
        <v>4</v>
      </c>
      <c r="E4218" s="3" t="n">
        <v>112</v>
      </c>
      <c r="F4218" s="3"/>
      <c r="G4218" s="3"/>
      <c r="H4218" s="24" t="n">
        <v>0.214053467</v>
      </c>
    </row>
    <row r="4219" customFormat="false" ht="15" hidden="false" customHeight="false" outlineLevel="0" collapsed="false">
      <c r="A4219" s="3" t="n">
        <v>4218</v>
      </c>
      <c r="B4219" s="3" t="n">
        <v>4217</v>
      </c>
      <c r="C4219" s="3" t="s">
        <v>119</v>
      </c>
      <c r="D4219" s="3" t="n">
        <v>4</v>
      </c>
      <c r="E4219" s="3" t="n">
        <v>113</v>
      </c>
      <c r="F4219" s="3"/>
      <c r="G4219" s="3"/>
      <c r="H4219" s="24" t="n">
        <v>0.103190817</v>
      </c>
    </row>
    <row r="4220" customFormat="false" ht="15" hidden="false" customHeight="false" outlineLevel="0" collapsed="false">
      <c r="A4220" s="3" t="n">
        <v>4219</v>
      </c>
      <c r="B4220" s="3" t="n">
        <v>4218</v>
      </c>
      <c r="C4220" s="3" t="s">
        <v>119</v>
      </c>
      <c r="D4220" s="3" t="n">
        <v>4</v>
      </c>
      <c r="E4220" s="3" t="n">
        <v>114</v>
      </c>
      <c r="F4220" s="3"/>
      <c r="G4220" s="3"/>
      <c r="H4220" s="24" t="n">
        <v>-0.0132581228</v>
      </c>
    </row>
    <row r="4221" customFormat="false" ht="15" hidden="false" customHeight="false" outlineLevel="0" collapsed="false">
      <c r="A4221" s="3" t="n">
        <v>4220</v>
      </c>
      <c r="B4221" s="3" t="n">
        <v>4219</v>
      </c>
      <c r="C4221" s="3" t="s">
        <v>119</v>
      </c>
      <c r="D4221" s="3" t="n">
        <v>4</v>
      </c>
      <c r="E4221" s="3" t="n">
        <v>115</v>
      </c>
      <c r="F4221" s="3"/>
      <c r="G4221" s="3"/>
      <c r="H4221" s="24" t="n">
        <v>0.0780857578</v>
      </c>
    </row>
    <row r="4222" customFormat="false" ht="15" hidden="false" customHeight="false" outlineLevel="0" collapsed="false">
      <c r="A4222" s="3" t="n">
        <v>4221</v>
      </c>
      <c r="B4222" s="3" t="n">
        <v>4220</v>
      </c>
      <c r="C4222" s="3" t="s">
        <v>119</v>
      </c>
      <c r="D4222" s="3" t="n">
        <v>4</v>
      </c>
      <c r="E4222" s="3" t="n">
        <v>116</v>
      </c>
      <c r="F4222" s="3"/>
      <c r="G4222" s="3"/>
      <c r="H4222" s="24" t="n">
        <v>-0.00883384235</v>
      </c>
    </row>
    <row r="4223" customFormat="false" ht="15" hidden="false" customHeight="false" outlineLevel="0" collapsed="false">
      <c r="A4223" s="3" t="n">
        <v>4222</v>
      </c>
      <c r="B4223" s="3" t="n">
        <v>4221</v>
      </c>
      <c r="C4223" s="3" t="s">
        <v>119</v>
      </c>
      <c r="D4223" s="3" t="n">
        <v>4</v>
      </c>
      <c r="E4223" s="3" t="n">
        <v>117</v>
      </c>
      <c r="F4223" s="3"/>
      <c r="G4223" s="3"/>
      <c r="H4223" s="24" t="n">
        <v>-0.200666219</v>
      </c>
    </row>
    <row r="4224" customFormat="false" ht="15" hidden="false" customHeight="false" outlineLevel="0" collapsed="false">
      <c r="A4224" s="3" t="n">
        <v>4223</v>
      </c>
      <c r="B4224" s="3" t="n">
        <v>4222</v>
      </c>
      <c r="C4224" s="3" t="s">
        <v>119</v>
      </c>
      <c r="D4224" s="3" t="n">
        <v>4</v>
      </c>
      <c r="E4224" s="3" t="n">
        <v>118</v>
      </c>
      <c r="F4224" s="3"/>
      <c r="G4224" s="3"/>
      <c r="H4224" s="24" t="n">
        <v>-0.0549754538</v>
      </c>
    </row>
    <row r="4225" customFormat="false" ht="15" hidden="false" customHeight="false" outlineLevel="0" collapsed="false">
      <c r="A4225" s="3" t="n">
        <v>4224</v>
      </c>
      <c r="B4225" s="3" t="n">
        <v>4223</v>
      </c>
      <c r="C4225" s="3" t="s">
        <v>119</v>
      </c>
      <c r="D4225" s="3" t="n">
        <v>4</v>
      </c>
      <c r="E4225" s="3" t="n">
        <v>119</v>
      </c>
      <c r="F4225" s="3"/>
      <c r="G4225" s="3"/>
      <c r="H4225" s="24" t="n">
        <v>0.315475315</v>
      </c>
    </row>
    <row r="4226" customFormat="false" ht="15" hidden="false" customHeight="false" outlineLevel="0" collapsed="false">
      <c r="A4226" s="3" t="n">
        <v>4225</v>
      </c>
      <c r="B4226" s="3" t="n">
        <v>4224</v>
      </c>
      <c r="C4226" s="3" t="s">
        <v>119</v>
      </c>
      <c r="D4226" s="3" t="n">
        <v>4</v>
      </c>
      <c r="E4226" s="3" t="n">
        <v>120</v>
      </c>
      <c r="F4226" s="3"/>
      <c r="G4226" s="3"/>
      <c r="H4226" s="24" t="n">
        <v>-0.0615163781</v>
      </c>
    </row>
    <row r="4227" customFormat="false" ht="15" hidden="false" customHeight="false" outlineLevel="0" collapsed="false">
      <c r="A4227" s="3" t="n">
        <v>4226</v>
      </c>
      <c r="B4227" s="3" t="n">
        <v>4225</v>
      </c>
      <c r="C4227" s="3" t="s">
        <v>119</v>
      </c>
      <c r="D4227" s="3" t="n">
        <v>4</v>
      </c>
      <c r="E4227" s="3" t="n">
        <v>121</v>
      </c>
      <c r="F4227" s="3"/>
      <c r="G4227" s="3"/>
      <c r="H4227" s="24" t="n">
        <v>0.219289333</v>
      </c>
    </row>
    <row r="4228" customFormat="false" ht="15" hidden="false" customHeight="false" outlineLevel="0" collapsed="false">
      <c r="A4228" s="3" t="n">
        <v>4227</v>
      </c>
      <c r="B4228" s="3" t="n">
        <v>4226</v>
      </c>
      <c r="C4228" s="3" t="s">
        <v>119</v>
      </c>
      <c r="D4228" s="3" t="n">
        <v>4</v>
      </c>
      <c r="E4228" s="3" t="n">
        <v>122</v>
      </c>
      <c r="F4228" s="3"/>
      <c r="G4228" s="3"/>
      <c r="H4228" s="24" t="n">
        <v>-0.00758958561</v>
      </c>
    </row>
    <row r="4229" customFormat="false" ht="15" hidden="false" customHeight="false" outlineLevel="0" collapsed="false">
      <c r="A4229" s="3" t="n">
        <v>4228</v>
      </c>
      <c r="B4229" s="3" t="n">
        <v>4227</v>
      </c>
      <c r="C4229" s="3" t="s">
        <v>119</v>
      </c>
      <c r="D4229" s="3" t="n">
        <v>4</v>
      </c>
      <c r="E4229" s="3" t="n">
        <v>123</v>
      </c>
      <c r="F4229" s="3"/>
      <c r="G4229" s="3"/>
      <c r="H4229" s="24" t="n">
        <v>0.0125973066</v>
      </c>
    </row>
    <row r="4230" customFormat="false" ht="15" hidden="false" customHeight="false" outlineLevel="0" collapsed="false">
      <c r="A4230" s="3" t="n">
        <v>4229</v>
      </c>
      <c r="B4230" s="3" t="n">
        <v>4228</v>
      </c>
      <c r="C4230" s="3" t="s">
        <v>119</v>
      </c>
      <c r="D4230" s="3" t="n">
        <v>4</v>
      </c>
      <c r="E4230" s="3" t="n">
        <v>124</v>
      </c>
      <c r="F4230" s="3"/>
      <c r="G4230" s="3"/>
      <c r="H4230" s="24" t="n">
        <v>0.164410338</v>
      </c>
    </row>
    <row r="4231" customFormat="false" ht="15" hidden="false" customHeight="false" outlineLevel="0" collapsed="false">
      <c r="A4231" s="3" t="n">
        <v>4230</v>
      </c>
      <c r="B4231" s="3" t="n">
        <v>4229</v>
      </c>
      <c r="C4231" s="3" t="s">
        <v>119</v>
      </c>
      <c r="D4231" s="3" t="n">
        <v>4</v>
      </c>
      <c r="E4231" s="3" t="n">
        <v>125</v>
      </c>
      <c r="F4231" s="3"/>
      <c r="G4231" s="3"/>
      <c r="H4231" s="24" t="n">
        <v>-0.0864870474</v>
      </c>
    </row>
    <row r="4232" customFormat="false" ht="15" hidden="false" customHeight="false" outlineLevel="0" collapsed="false">
      <c r="A4232" s="3" t="n">
        <v>4231</v>
      </c>
      <c r="B4232" s="3" t="n">
        <v>4230</v>
      </c>
      <c r="C4232" s="3" t="s">
        <v>119</v>
      </c>
      <c r="D4232" s="3" t="n">
        <v>4</v>
      </c>
      <c r="E4232" s="3" t="n">
        <v>126</v>
      </c>
      <c r="F4232" s="3"/>
      <c r="G4232" s="3"/>
      <c r="H4232" s="24" t="n">
        <v>0.249528646</v>
      </c>
    </row>
    <row r="4233" customFormat="false" ht="15" hidden="false" customHeight="false" outlineLevel="0" collapsed="false">
      <c r="A4233" s="3" t="n">
        <v>4232</v>
      </c>
      <c r="B4233" s="3" t="n">
        <v>4231</v>
      </c>
      <c r="C4233" s="3" t="s">
        <v>119</v>
      </c>
      <c r="D4233" s="3" t="n">
        <v>4</v>
      </c>
      <c r="E4233" s="3" t="n">
        <v>127</v>
      </c>
      <c r="F4233" s="3"/>
      <c r="G4233" s="3"/>
      <c r="H4233" s="24" t="n">
        <v>-0.100755401</v>
      </c>
    </row>
    <row r="4234" customFormat="false" ht="15" hidden="false" customHeight="false" outlineLevel="0" collapsed="false">
      <c r="A4234" s="3" t="n">
        <v>4233</v>
      </c>
      <c r="B4234" s="3" t="n">
        <v>4232</v>
      </c>
      <c r="C4234" s="3" t="s">
        <v>119</v>
      </c>
      <c r="D4234" s="3" t="n">
        <v>4</v>
      </c>
      <c r="E4234" s="3" t="n">
        <v>128</v>
      </c>
      <c r="F4234" s="3"/>
      <c r="G4234" s="3"/>
      <c r="H4234" s="24" t="n">
        <v>-0.0357463285</v>
      </c>
    </row>
    <row r="4235" customFormat="false" ht="15" hidden="false" customHeight="false" outlineLevel="0" collapsed="false">
      <c r="A4235" s="3" t="n">
        <v>4234</v>
      </c>
      <c r="B4235" s="3" t="n">
        <v>4233</v>
      </c>
      <c r="C4235" s="3" t="s">
        <v>119</v>
      </c>
      <c r="D4235" s="3" t="n">
        <v>4</v>
      </c>
      <c r="E4235" s="3" t="n">
        <v>129</v>
      </c>
      <c r="F4235" s="3"/>
      <c r="G4235" s="3"/>
      <c r="H4235" s="24" t="n">
        <v>-0.0666711405</v>
      </c>
    </row>
    <row r="4236" customFormat="false" ht="15" hidden="false" customHeight="false" outlineLevel="0" collapsed="false">
      <c r="A4236" s="3" t="n">
        <v>4235</v>
      </c>
      <c r="B4236" s="3" t="n">
        <v>4234</v>
      </c>
      <c r="C4236" s="3" t="s">
        <v>119</v>
      </c>
      <c r="D4236" s="3" t="n">
        <v>4</v>
      </c>
      <c r="E4236" s="3" t="n">
        <v>130</v>
      </c>
      <c r="F4236" s="3"/>
      <c r="G4236" s="3"/>
      <c r="H4236" s="24" t="n">
        <v>-0.091649808</v>
      </c>
    </row>
    <row r="4237" customFormat="false" ht="15" hidden="false" customHeight="false" outlineLevel="0" collapsed="false">
      <c r="A4237" s="3" t="n">
        <v>4236</v>
      </c>
      <c r="B4237" s="3" t="n">
        <v>4235</v>
      </c>
      <c r="C4237" s="3" t="s">
        <v>119</v>
      </c>
      <c r="D4237" s="3" t="n">
        <v>4</v>
      </c>
      <c r="E4237" s="3" t="n">
        <v>131</v>
      </c>
      <c r="F4237" s="3"/>
      <c r="G4237" s="3"/>
      <c r="H4237" s="24" t="n">
        <v>-0.0352957956</v>
      </c>
    </row>
    <row r="4238" customFormat="false" ht="15" hidden="false" customHeight="false" outlineLevel="0" collapsed="false">
      <c r="A4238" s="3" t="n">
        <v>4237</v>
      </c>
      <c r="B4238" s="3" t="n">
        <v>4236</v>
      </c>
      <c r="C4238" s="3" t="s">
        <v>119</v>
      </c>
      <c r="D4238" s="3" t="n">
        <v>4</v>
      </c>
      <c r="E4238" s="3" t="n">
        <v>132</v>
      </c>
      <c r="F4238" s="3"/>
      <c r="G4238" s="3"/>
      <c r="H4238" s="24" t="n">
        <v>0.013087851</v>
      </c>
    </row>
    <row r="4239" customFormat="false" ht="15" hidden="false" customHeight="false" outlineLevel="0" collapsed="false">
      <c r="A4239" s="3" t="n">
        <v>4238</v>
      </c>
      <c r="B4239" s="3" t="n">
        <v>4237</v>
      </c>
      <c r="C4239" s="3" t="s">
        <v>119</v>
      </c>
      <c r="D4239" s="3" t="n">
        <v>4</v>
      </c>
      <c r="E4239" s="3" t="n">
        <v>133</v>
      </c>
      <c r="F4239" s="3"/>
      <c r="G4239" s="3"/>
      <c r="H4239" s="24" t="n">
        <v>-0.163391069</v>
      </c>
    </row>
    <row r="4240" customFormat="false" ht="15" hidden="false" customHeight="false" outlineLevel="0" collapsed="false">
      <c r="A4240" s="3" t="n">
        <v>4239</v>
      </c>
      <c r="B4240" s="3" t="n">
        <v>4238</v>
      </c>
      <c r="C4240" s="3" t="s">
        <v>119</v>
      </c>
      <c r="D4240" s="3" t="n">
        <v>4</v>
      </c>
      <c r="E4240" s="3" t="n">
        <v>134</v>
      </c>
      <c r="F4240" s="3"/>
      <c r="G4240" s="3"/>
      <c r="H4240" s="24" t="n">
        <v>-0.311751544</v>
      </c>
    </row>
    <row r="4241" customFormat="false" ht="15" hidden="false" customHeight="false" outlineLevel="0" collapsed="false">
      <c r="A4241" s="3" t="n">
        <v>4240</v>
      </c>
      <c r="B4241" s="3" t="n">
        <v>4239</v>
      </c>
      <c r="C4241" s="3" t="s">
        <v>119</v>
      </c>
      <c r="D4241" s="3" t="n">
        <v>4</v>
      </c>
      <c r="E4241" s="3" t="n">
        <v>135</v>
      </c>
      <c r="F4241" s="3"/>
      <c r="G4241" s="3"/>
      <c r="H4241" s="24" t="n">
        <v>-0.0921935812</v>
      </c>
    </row>
    <row r="4242" customFormat="false" ht="15" hidden="false" customHeight="false" outlineLevel="0" collapsed="false">
      <c r="A4242" s="3" t="n">
        <v>4241</v>
      </c>
      <c r="B4242" s="3" t="n">
        <v>4240</v>
      </c>
      <c r="C4242" s="3" t="s">
        <v>119</v>
      </c>
      <c r="D4242" s="3" t="n">
        <v>4</v>
      </c>
      <c r="E4242" s="3" t="n">
        <v>136</v>
      </c>
      <c r="F4242" s="3"/>
      <c r="G4242" s="3"/>
      <c r="H4242" s="24" t="n">
        <v>-0.0716991052</v>
      </c>
    </row>
    <row r="4243" customFormat="false" ht="15" hidden="false" customHeight="false" outlineLevel="0" collapsed="false">
      <c r="A4243" s="3" t="n">
        <v>4242</v>
      </c>
      <c r="B4243" s="3" t="n">
        <v>4241</v>
      </c>
      <c r="C4243" s="3" t="s">
        <v>119</v>
      </c>
      <c r="D4243" s="3" t="n">
        <v>4</v>
      </c>
      <c r="E4243" s="3" t="n">
        <v>137</v>
      </c>
      <c r="F4243" s="3"/>
      <c r="G4243" s="3"/>
      <c r="H4243" s="24" t="n">
        <v>-0.187865093</v>
      </c>
    </row>
    <row r="4244" customFormat="false" ht="15" hidden="false" customHeight="false" outlineLevel="0" collapsed="false">
      <c r="A4244" s="3" t="n">
        <v>4243</v>
      </c>
      <c r="B4244" s="3" t="n">
        <v>4242</v>
      </c>
      <c r="C4244" s="3" t="s">
        <v>119</v>
      </c>
      <c r="D4244" s="3" t="n">
        <v>4</v>
      </c>
      <c r="E4244" s="3" t="n">
        <v>138</v>
      </c>
      <c r="F4244" s="3"/>
      <c r="G4244" s="3"/>
      <c r="H4244" s="24" t="n">
        <v>0.172375724</v>
      </c>
    </row>
    <row r="4245" customFormat="false" ht="15" hidden="false" customHeight="false" outlineLevel="0" collapsed="false">
      <c r="A4245" s="3" t="n">
        <v>4244</v>
      </c>
      <c r="B4245" s="3" t="n">
        <v>4243</v>
      </c>
      <c r="C4245" s="3" t="s">
        <v>119</v>
      </c>
      <c r="D4245" s="3" t="n">
        <v>4</v>
      </c>
      <c r="E4245" s="3" t="n">
        <v>139</v>
      </c>
      <c r="F4245" s="3"/>
      <c r="G4245" s="3"/>
      <c r="H4245" s="24" t="n">
        <v>0.127922431</v>
      </c>
    </row>
    <row r="4246" customFormat="false" ht="15" hidden="false" customHeight="false" outlineLevel="0" collapsed="false">
      <c r="A4246" s="3" t="n">
        <v>4245</v>
      </c>
      <c r="B4246" s="3" t="n">
        <v>4244</v>
      </c>
      <c r="C4246" s="3" t="s">
        <v>119</v>
      </c>
      <c r="D4246" s="3" t="n">
        <v>4</v>
      </c>
      <c r="E4246" s="3" t="n">
        <v>140</v>
      </c>
      <c r="F4246" s="3"/>
      <c r="G4246" s="3"/>
      <c r="H4246" s="24" t="n">
        <v>0.23412326</v>
      </c>
    </row>
    <row r="4247" customFormat="false" ht="15" hidden="false" customHeight="false" outlineLevel="0" collapsed="false">
      <c r="A4247" s="3" t="n">
        <v>4246</v>
      </c>
      <c r="B4247" s="3" t="n">
        <v>4245</v>
      </c>
      <c r="C4247" s="3" t="s">
        <v>119</v>
      </c>
      <c r="D4247" s="3" t="n">
        <v>4</v>
      </c>
      <c r="E4247" s="3" t="n">
        <v>141</v>
      </c>
      <c r="F4247" s="3"/>
      <c r="G4247" s="3"/>
      <c r="H4247" s="24" t="n">
        <v>0.182326972</v>
      </c>
    </row>
    <row r="4248" customFormat="false" ht="15" hidden="false" customHeight="false" outlineLevel="0" collapsed="false">
      <c r="A4248" s="3" t="n">
        <v>4247</v>
      </c>
      <c r="B4248" s="3" t="n">
        <v>4246</v>
      </c>
      <c r="C4248" s="3" t="s">
        <v>119</v>
      </c>
      <c r="D4248" s="3" t="n">
        <v>4</v>
      </c>
      <c r="E4248" s="3" t="n">
        <v>142</v>
      </c>
      <c r="F4248" s="3"/>
      <c r="G4248" s="3"/>
      <c r="H4248" s="24" t="n">
        <v>-0.0210413523</v>
      </c>
    </row>
    <row r="4249" customFormat="false" ht="15" hidden="false" customHeight="false" outlineLevel="0" collapsed="false">
      <c r="A4249" s="3" t="n">
        <v>4248</v>
      </c>
      <c r="B4249" s="3" t="n">
        <v>4247</v>
      </c>
      <c r="C4249" s="3" t="s">
        <v>119</v>
      </c>
      <c r="D4249" s="3" t="n">
        <v>4</v>
      </c>
      <c r="E4249" s="3" t="n">
        <v>143</v>
      </c>
      <c r="F4249" s="3"/>
      <c r="G4249" s="3"/>
      <c r="H4249" s="24" t="n">
        <v>0.0168359727</v>
      </c>
    </row>
    <row r="4250" customFormat="false" ht="15" hidden="false" customHeight="false" outlineLevel="0" collapsed="false">
      <c r="A4250" s="3" t="n">
        <v>4249</v>
      </c>
      <c r="B4250" s="3" t="n">
        <v>4248</v>
      </c>
      <c r="C4250" s="3" t="s">
        <v>119</v>
      </c>
      <c r="D4250" s="3" t="n">
        <v>5</v>
      </c>
      <c r="E4250" s="3" t="n">
        <v>0</v>
      </c>
      <c r="F4250" s="3"/>
      <c r="G4250" s="3"/>
      <c r="H4250" s="24" t="n">
        <v>-0.274650425</v>
      </c>
    </row>
    <row r="4251" customFormat="false" ht="15" hidden="false" customHeight="false" outlineLevel="0" collapsed="false">
      <c r="A4251" s="3" t="n">
        <v>4250</v>
      </c>
      <c r="B4251" s="3" t="n">
        <v>4249</v>
      </c>
      <c r="C4251" s="3" t="s">
        <v>119</v>
      </c>
      <c r="D4251" s="3" t="n">
        <v>5</v>
      </c>
      <c r="E4251" s="3" t="n">
        <v>1</v>
      </c>
      <c r="F4251" s="3"/>
      <c r="G4251" s="3"/>
      <c r="H4251" s="24" t="n">
        <v>0.14807497</v>
      </c>
    </row>
    <row r="4252" customFormat="false" ht="15" hidden="false" customHeight="false" outlineLevel="0" collapsed="false">
      <c r="A4252" s="3" t="n">
        <v>4251</v>
      </c>
      <c r="B4252" s="3" t="n">
        <v>4250</v>
      </c>
      <c r="C4252" s="3" t="s">
        <v>119</v>
      </c>
      <c r="D4252" s="3" t="n">
        <v>5</v>
      </c>
      <c r="E4252" s="3" t="n">
        <v>2</v>
      </c>
      <c r="F4252" s="3"/>
      <c r="G4252" s="3"/>
      <c r="H4252" s="24" t="n">
        <v>-0.279398561</v>
      </c>
    </row>
    <row r="4253" customFormat="false" ht="15" hidden="false" customHeight="false" outlineLevel="0" collapsed="false">
      <c r="A4253" s="3" t="n">
        <v>4252</v>
      </c>
      <c r="B4253" s="3" t="n">
        <v>4251</v>
      </c>
      <c r="C4253" s="3" t="s">
        <v>119</v>
      </c>
      <c r="D4253" s="3" t="n">
        <v>5</v>
      </c>
      <c r="E4253" s="3" t="n">
        <v>3</v>
      </c>
      <c r="F4253" s="3"/>
      <c r="G4253" s="3"/>
      <c r="H4253" s="24" t="n">
        <v>-0.0599970073</v>
      </c>
    </row>
    <row r="4254" customFormat="false" ht="15" hidden="false" customHeight="false" outlineLevel="0" collapsed="false">
      <c r="A4254" s="3" t="n">
        <v>4253</v>
      </c>
      <c r="B4254" s="3" t="n">
        <v>4252</v>
      </c>
      <c r="C4254" s="3" t="s">
        <v>119</v>
      </c>
      <c r="D4254" s="3" t="n">
        <v>5</v>
      </c>
      <c r="E4254" s="3" t="n">
        <v>4</v>
      </c>
      <c r="F4254" s="3"/>
      <c r="G4254" s="3"/>
      <c r="H4254" s="24" t="n">
        <v>0.0236065872</v>
      </c>
    </row>
    <row r="4255" customFormat="false" ht="15" hidden="false" customHeight="false" outlineLevel="0" collapsed="false">
      <c r="A4255" s="3" t="n">
        <v>4254</v>
      </c>
      <c r="B4255" s="3" t="n">
        <v>4253</v>
      </c>
      <c r="C4255" s="3" t="s">
        <v>119</v>
      </c>
      <c r="D4255" s="3" t="n">
        <v>5</v>
      </c>
      <c r="E4255" s="3" t="n">
        <v>5</v>
      </c>
      <c r="F4255" s="3"/>
      <c r="G4255" s="3"/>
      <c r="H4255" s="24" t="n">
        <v>0.0432276949</v>
      </c>
    </row>
    <row r="4256" customFormat="false" ht="15" hidden="false" customHeight="false" outlineLevel="0" collapsed="false">
      <c r="A4256" s="3" t="n">
        <v>4255</v>
      </c>
      <c r="B4256" s="3" t="n">
        <v>4254</v>
      </c>
      <c r="C4256" s="3" t="s">
        <v>119</v>
      </c>
      <c r="D4256" s="3" t="n">
        <v>5</v>
      </c>
      <c r="E4256" s="3" t="n">
        <v>6</v>
      </c>
      <c r="F4256" s="3"/>
      <c r="G4256" s="3"/>
      <c r="H4256" s="24" t="n">
        <v>0.238152474</v>
      </c>
    </row>
    <row r="4257" customFormat="false" ht="15" hidden="false" customHeight="false" outlineLevel="0" collapsed="false">
      <c r="A4257" s="3" t="n">
        <v>4256</v>
      </c>
      <c r="B4257" s="3" t="n">
        <v>4255</v>
      </c>
      <c r="C4257" s="3" t="s">
        <v>119</v>
      </c>
      <c r="D4257" s="3" t="n">
        <v>5</v>
      </c>
      <c r="E4257" s="3" t="n">
        <v>7</v>
      </c>
      <c r="F4257" s="3"/>
      <c r="G4257" s="3"/>
      <c r="H4257" s="24" t="n">
        <v>0.0148134595</v>
      </c>
    </row>
    <row r="4258" customFormat="false" ht="15" hidden="false" customHeight="false" outlineLevel="0" collapsed="false">
      <c r="A4258" s="3" t="n">
        <v>4257</v>
      </c>
      <c r="B4258" s="3" t="n">
        <v>4256</v>
      </c>
      <c r="C4258" s="3" t="s">
        <v>119</v>
      </c>
      <c r="D4258" s="3" t="n">
        <v>5</v>
      </c>
      <c r="E4258" s="3" t="n">
        <v>8</v>
      </c>
      <c r="F4258" s="3"/>
      <c r="G4258" s="3"/>
      <c r="H4258" s="24" t="n">
        <v>0.0387626849</v>
      </c>
    </row>
    <row r="4259" customFormat="false" ht="15" hidden="false" customHeight="false" outlineLevel="0" collapsed="false">
      <c r="A4259" s="3" t="n">
        <v>4258</v>
      </c>
      <c r="B4259" s="3" t="n">
        <v>4257</v>
      </c>
      <c r="C4259" s="3" t="s">
        <v>119</v>
      </c>
      <c r="D4259" s="3" t="n">
        <v>5</v>
      </c>
      <c r="E4259" s="3" t="n">
        <v>9</v>
      </c>
      <c r="F4259" s="3"/>
      <c r="G4259" s="3"/>
      <c r="H4259" s="24" t="n">
        <v>-0.127981514</v>
      </c>
    </row>
    <row r="4260" customFormat="false" ht="15" hidden="false" customHeight="false" outlineLevel="0" collapsed="false">
      <c r="A4260" s="3" t="n">
        <v>4259</v>
      </c>
      <c r="B4260" s="3" t="n">
        <v>4258</v>
      </c>
      <c r="C4260" s="3" t="s">
        <v>119</v>
      </c>
      <c r="D4260" s="3" t="n">
        <v>5</v>
      </c>
      <c r="E4260" s="3" t="n">
        <v>10</v>
      </c>
      <c r="F4260" s="3"/>
      <c r="G4260" s="3"/>
      <c r="H4260" s="24" t="n">
        <v>-0.0195273906</v>
      </c>
    </row>
    <row r="4261" customFormat="false" ht="15" hidden="false" customHeight="false" outlineLevel="0" collapsed="false">
      <c r="A4261" s="3" t="n">
        <v>4260</v>
      </c>
      <c r="B4261" s="3" t="n">
        <v>4259</v>
      </c>
      <c r="C4261" s="3" t="s">
        <v>119</v>
      </c>
      <c r="D4261" s="3" t="n">
        <v>5</v>
      </c>
      <c r="E4261" s="3" t="n">
        <v>11</v>
      </c>
      <c r="F4261" s="3"/>
      <c r="G4261" s="3"/>
      <c r="H4261" s="24" t="n">
        <v>0.174142659</v>
      </c>
    </row>
    <row r="4262" customFormat="false" ht="15" hidden="false" customHeight="false" outlineLevel="0" collapsed="false">
      <c r="A4262" s="3" t="n">
        <v>4261</v>
      </c>
      <c r="B4262" s="3" t="n">
        <v>4260</v>
      </c>
      <c r="C4262" s="3" t="s">
        <v>119</v>
      </c>
      <c r="D4262" s="3" t="n">
        <v>5</v>
      </c>
      <c r="E4262" s="3" t="n">
        <v>12</v>
      </c>
      <c r="F4262" s="3"/>
      <c r="G4262" s="3"/>
      <c r="H4262" s="24" t="n">
        <v>0.115050741</v>
      </c>
    </row>
    <row r="4263" customFormat="false" ht="15" hidden="false" customHeight="false" outlineLevel="0" collapsed="false">
      <c r="A4263" s="3" t="n">
        <v>4262</v>
      </c>
      <c r="B4263" s="3" t="n">
        <v>4261</v>
      </c>
      <c r="C4263" s="3" t="s">
        <v>119</v>
      </c>
      <c r="D4263" s="3" t="n">
        <v>5</v>
      </c>
      <c r="E4263" s="3" t="n">
        <v>13</v>
      </c>
      <c r="F4263" s="3"/>
      <c r="G4263" s="3"/>
      <c r="H4263" s="24" t="n">
        <v>-0.01881136</v>
      </c>
    </row>
    <row r="4264" customFormat="false" ht="15" hidden="false" customHeight="false" outlineLevel="0" collapsed="false">
      <c r="A4264" s="3" t="n">
        <v>4263</v>
      </c>
      <c r="B4264" s="3" t="n">
        <v>4262</v>
      </c>
      <c r="C4264" s="3" t="s">
        <v>119</v>
      </c>
      <c r="D4264" s="3" t="n">
        <v>5</v>
      </c>
      <c r="E4264" s="3" t="n">
        <v>14</v>
      </c>
      <c r="F4264" s="3"/>
      <c r="G4264" s="3"/>
      <c r="H4264" s="24" t="n">
        <v>-0.0712617859</v>
      </c>
    </row>
    <row r="4265" customFormat="false" ht="15" hidden="false" customHeight="false" outlineLevel="0" collapsed="false">
      <c r="A4265" s="3" t="n">
        <v>4264</v>
      </c>
      <c r="B4265" s="3" t="n">
        <v>4263</v>
      </c>
      <c r="C4265" s="3" t="s">
        <v>119</v>
      </c>
      <c r="D4265" s="3" t="n">
        <v>5</v>
      </c>
      <c r="E4265" s="3" t="n">
        <v>15</v>
      </c>
      <c r="F4265" s="3"/>
      <c r="G4265" s="3"/>
      <c r="H4265" s="24" t="n">
        <v>-0.120652959</v>
      </c>
    </row>
    <row r="4266" customFormat="false" ht="15" hidden="false" customHeight="false" outlineLevel="0" collapsed="false">
      <c r="A4266" s="3" t="n">
        <v>4265</v>
      </c>
      <c r="B4266" s="3" t="n">
        <v>4264</v>
      </c>
      <c r="C4266" s="3" t="s">
        <v>119</v>
      </c>
      <c r="D4266" s="3" t="n">
        <v>5</v>
      </c>
      <c r="E4266" s="3" t="n">
        <v>16</v>
      </c>
      <c r="F4266" s="3"/>
      <c r="G4266" s="3"/>
      <c r="H4266" s="24" t="n">
        <v>-0.134636626</v>
      </c>
    </row>
    <row r="4267" customFormat="false" ht="15" hidden="false" customHeight="false" outlineLevel="0" collapsed="false">
      <c r="A4267" s="3" t="n">
        <v>4266</v>
      </c>
      <c r="B4267" s="3" t="n">
        <v>4265</v>
      </c>
      <c r="C4267" s="3" t="s">
        <v>119</v>
      </c>
      <c r="D4267" s="3" t="n">
        <v>5</v>
      </c>
      <c r="E4267" s="3" t="n">
        <v>17</v>
      </c>
      <c r="F4267" s="3"/>
      <c r="G4267" s="3"/>
      <c r="H4267" s="24" t="n">
        <v>0.0575430617</v>
      </c>
    </row>
    <row r="4268" customFormat="false" ht="15" hidden="false" customHeight="false" outlineLevel="0" collapsed="false">
      <c r="A4268" s="3" t="n">
        <v>4267</v>
      </c>
      <c r="B4268" s="3" t="n">
        <v>4266</v>
      </c>
      <c r="C4268" s="3" t="s">
        <v>119</v>
      </c>
      <c r="D4268" s="3" t="n">
        <v>5</v>
      </c>
      <c r="E4268" s="3" t="n">
        <v>18</v>
      </c>
      <c r="F4268" s="3"/>
      <c r="G4268" s="3"/>
      <c r="H4268" s="24" t="n">
        <v>-0.262443006</v>
      </c>
    </row>
    <row r="4269" customFormat="false" ht="15" hidden="false" customHeight="false" outlineLevel="0" collapsed="false">
      <c r="A4269" s="3" t="n">
        <v>4268</v>
      </c>
      <c r="B4269" s="3" t="n">
        <v>4267</v>
      </c>
      <c r="C4269" s="3" t="s">
        <v>119</v>
      </c>
      <c r="D4269" s="3" t="n">
        <v>5</v>
      </c>
      <c r="E4269" s="3" t="n">
        <v>19</v>
      </c>
      <c r="F4269" s="3"/>
      <c r="G4269" s="3"/>
      <c r="H4269" s="24" t="n">
        <v>0.0851386115</v>
      </c>
    </row>
    <row r="4270" customFormat="false" ht="15" hidden="false" customHeight="false" outlineLevel="0" collapsed="false">
      <c r="A4270" s="3" t="n">
        <v>4269</v>
      </c>
      <c r="B4270" s="3" t="n">
        <v>4268</v>
      </c>
      <c r="C4270" s="3" t="s">
        <v>119</v>
      </c>
      <c r="D4270" s="3" t="n">
        <v>5</v>
      </c>
      <c r="E4270" s="3" t="n">
        <v>20</v>
      </c>
      <c r="F4270" s="3"/>
      <c r="G4270" s="3"/>
      <c r="H4270" s="24" t="n">
        <v>0.120259553</v>
      </c>
    </row>
    <row r="4271" customFormat="false" ht="15" hidden="false" customHeight="false" outlineLevel="0" collapsed="false">
      <c r="A4271" s="3" t="n">
        <v>4270</v>
      </c>
      <c r="B4271" s="3" t="n">
        <v>4269</v>
      </c>
      <c r="C4271" s="3" t="s">
        <v>119</v>
      </c>
      <c r="D4271" s="3" t="n">
        <v>5</v>
      </c>
      <c r="E4271" s="3" t="n">
        <v>21</v>
      </c>
      <c r="F4271" s="3"/>
      <c r="G4271" s="3"/>
      <c r="H4271" s="24" t="n">
        <v>0.0275313631</v>
      </c>
    </row>
    <row r="4272" customFormat="false" ht="15" hidden="false" customHeight="false" outlineLevel="0" collapsed="false">
      <c r="A4272" s="3" t="n">
        <v>4271</v>
      </c>
      <c r="B4272" s="3" t="n">
        <v>4270</v>
      </c>
      <c r="C4272" s="3" t="s">
        <v>119</v>
      </c>
      <c r="D4272" s="3" t="n">
        <v>5</v>
      </c>
      <c r="E4272" s="3" t="n">
        <v>22</v>
      </c>
      <c r="F4272" s="3"/>
      <c r="G4272" s="3"/>
      <c r="H4272" s="24" t="n">
        <v>-0.0249233097</v>
      </c>
    </row>
    <row r="4273" customFormat="false" ht="15" hidden="false" customHeight="false" outlineLevel="0" collapsed="false">
      <c r="A4273" s="3" t="n">
        <v>4272</v>
      </c>
      <c r="B4273" s="3" t="n">
        <v>4271</v>
      </c>
      <c r="C4273" s="3" t="s">
        <v>119</v>
      </c>
      <c r="D4273" s="3" t="n">
        <v>5</v>
      </c>
      <c r="E4273" s="3" t="n">
        <v>23</v>
      </c>
      <c r="F4273" s="3"/>
      <c r="G4273" s="3"/>
      <c r="H4273" s="24" t="n">
        <v>0.155261725</v>
      </c>
    </row>
    <row r="4274" customFormat="false" ht="15" hidden="false" customHeight="false" outlineLevel="0" collapsed="false">
      <c r="A4274" s="3" t="n">
        <v>4273</v>
      </c>
      <c r="B4274" s="3" t="n">
        <v>4272</v>
      </c>
      <c r="C4274" s="3" t="s">
        <v>119</v>
      </c>
      <c r="D4274" s="3" t="n">
        <v>5</v>
      </c>
      <c r="E4274" s="3" t="n">
        <v>24</v>
      </c>
      <c r="F4274" s="3"/>
      <c r="G4274" s="3"/>
      <c r="H4274" s="24" t="n">
        <v>0.0230123289</v>
      </c>
    </row>
    <row r="4275" customFormat="false" ht="15" hidden="false" customHeight="false" outlineLevel="0" collapsed="false">
      <c r="A4275" s="3" t="n">
        <v>4274</v>
      </c>
      <c r="B4275" s="3" t="n">
        <v>4273</v>
      </c>
      <c r="C4275" s="3" t="s">
        <v>119</v>
      </c>
      <c r="D4275" s="3" t="n">
        <v>5</v>
      </c>
      <c r="E4275" s="3" t="n">
        <v>25</v>
      </c>
      <c r="F4275" s="3"/>
      <c r="G4275" s="3"/>
      <c r="H4275" s="24" t="n">
        <v>0.075050354</v>
      </c>
    </row>
    <row r="4276" customFormat="false" ht="15" hidden="false" customHeight="false" outlineLevel="0" collapsed="false">
      <c r="A4276" s="3" t="n">
        <v>4275</v>
      </c>
      <c r="B4276" s="3" t="n">
        <v>4274</v>
      </c>
      <c r="C4276" s="3" t="s">
        <v>119</v>
      </c>
      <c r="D4276" s="3" t="n">
        <v>5</v>
      </c>
      <c r="E4276" s="3" t="n">
        <v>26</v>
      </c>
      <c r="F4276" s="3"/>
      <c r="G4276" s="3"/>
      <c r="H4276" s="24" t="n">
        <v>-0.218164906</v>
      </c>
    </row>
    <row r="4277" customFormat="false" ht="15" hidden="false" customHeight="false" outlineLevel="0" collapsed="false">
      <c r="A4277" s="3" t="n">
        <v>4276</v>
      </c>
      <c r="B4277" s="3" t="n">
        <v>4275</v>
      </c>
      <c r="C4277" s="3" t="s">
        <v>119</v>
      </c>
      <c r="D4277" s="3" t="n">
        <v>5</v>
      </c>
      <c r="E4277" s="3" t="n">
        <v>27</v>
      </c>
      <c r="F4277" s="3"/>
      <c r="G4277" s="3"/>
      <c r="H4277" s="24" t="n">
        <v>-0.296267986</v>
      </c>
    </row>
    <row r="4278" customFormat="false" ht="15" hidden="false" customHeight="false" outlineLevel="0" collapsed="false">
      <c r="A4278" s="3" t="n">
        <v>4277</v>
      </c>
      <c r="B4278" s="3" t="n">
        <v>4276</v>
      </c>
      <c r="C4278" s="3" t="s">
        <v>119</v>
      </c>
      <c r="D4278" s="3" t="n">
        <v>5</v>
      </c>
      <c r="E4278" s="3" t="n">
        <v>28</v>
      </c>
      <c r="F4278" s="3"/>
      <c r="G4278" s="3"/>
      <c r="H4278" s="24" t="n">
        <v>-0.0178040192</v>
      </c>
    </row>
    <row r="4279" customFormat="false" ht="15" hidden="false" customHeight="false" outlineLevel="0" collapsed="false">
      <c r="A4279" s="3" t="n">
        <v>4278</v>
      </c>
      <c r="B4279" s="3" t="n">
        <v>4277</v>
      </c>
      <c r="C4279" s="3" t="s">
        <v>119</v>
      </c>
      <c r="D4279" s="3" t="n">
        <v>5</v>
      </c>
      <c r="E4279" s="3" t="n">
        <v>29</v>
      </c>
      <c r="F4279" s="3"/>
      <c r="G4279" s="3"/>
      <c r="H4279" s="24" t="n">
        <v>0.14071095</v>
      </c>
    </row>
    <row r="4280" customFormat="false" ht="15" hidden="false" customHeight="false" outlineLevel="0" collapsed="false">
      <c r="A4280" s="3" t="n">
        <v>4279</v>
      </c>
      <c r="B4280" s="3" t="n">
        <v>4278</v>
      </c>
      <c r="C4280" s="3" t="s">
        <v>119</v>
      </c>
      <c r="D4280" s="3" t="n">
        <v>5</v>
      </c>
      <c r="E4280" s="3" t="n">
        <v>30</v>
      </c>
      <c r="F4280" s="3"/>
      <c r="G4280" s="3"/>
      <c r="H4280" s="24" t="n">
        <v>0.224063382</v>
      </c>
    </row>
    <row r="4281" customFormat="false" ht="15" hidden="false" customHeight="false" outlineLevel="0" collapsed="false">
      <c r="A4281" s="3" t="n">
        <v>4280</v>
      </c>
      <c r="B4281" s="3" t="n">
        <v>4279</v>
      </c>
      <c r="C4281" s="3" t="s">
        <v>119</v>
      </c>
      <c r="D4281" s="3" t="n">
        <v>5</v>
      </c>
      <c r="E4281" s="3" t="n">
        <v>31</v>
      </c>
      <c r="F4281" s="3"/>
      <c r="G4281" s="3"/>
      <c r="H4281" s="24" t="n">
        <v>-0.129606456</v>
      </c>
    </row>
    <row r="4282" customFormat="false" ht="15" hidden="false" customHeight="false" outlineLevel="0" collapsed="false">
      <c r="A4282" s="3" t="n">
        <v>4281</v>
      </c>
      <c r="B4282" s="3" t="n">
        <v>4280</v>
      </c>
      <c r="C4282" s="3" t="s">
        <v>119</v>
      </c>
      <c r="D4282" s="3" t="n">
        <v>5</v>
      </c>
      <c r="E4282" s="3" t="n">
        <v>32</v>
      </c>
      <c r="F4282" s="3"/>
      <c r="G4282" s="3"/>
      <c r="H4282" s="24" t="n">
        <v>-0.199309155</v>
      </c>
    </row>
    <row r="4283" customFormat="false" ht="15" hidden="false" customHeight="false" outlineLevel="0" collapsed="false">
      <c r="A4283" s="3" t="n">
        <v>4282</v>
      </c>
      <c r="B4283" s="3" t="n">
        <v>4281</v>
      </c>
      <c r="C4283" s="3" t="s">
        <v>119</v>
      </c>
      <c r="D4283" s="3" t="n">
        <v>5</v>
      </c>
      <c r="E4283" s="3" t="n">
        <v>33</v>
      </c>
      <c r="F4283" s="3"/>
      <c r="G4283" s="3"/>
      <c r="H4283" s="24" t="n">
        <v>0.119247429</v>
      </c>
    </row>
    <row r="4284" customFormat="false" ht="15" hidden="false" customHeight="false" outlineLevel="0" collapsed="false">
      <c r="A4284" s="3" t="n">
        <v>4283</v>
      </c>
      <c r="B4284" s="3" t="n">
        <v>4282</v>
      </c>
      <c r="C4284" s="3" t="s">
        <v>119</v>
      </c>
      <c r="D4284" s="3" t="n">
        <v>5</v>
      </c>
      <c r="E4284" s="3" t="n">
        <v>34</v>
      </c>
      <c r="F4284" s="3"/>
      <c r="G4284" s="3"/>
      <c r="H4284" s="24" t="n">
        <v>0.118586056</v>
      </c>
    </row>
    <row r="4285" customFormat="false" ht="15" hidden="false" customHeight="false" outlineLevel="0" collapsed="false">
      <c r="A4285" s="3" t="n">
        <v>4284</v>
      </c>
      <c r="B4285" s="3" t="n">
        <v>4283</v>
      </c>
      <c r="C4285" s="3" t="s">
        <v>119</v>
      </c>
      <c r="D4285" s="3" t="n">
        <v>5</v>
      </c>
      <c r="E4285" s="3" t="n">
        <v>35</v>
      </c>
      <c r="F4285" s="3"/>
      <c r="G4285" s="3"/>
      <c r="H4285" s="24" t="n">
        <v>0.148805559</v>
      </c>
    </row>
    <row r="4286" customFormat="false" ht="15" hidden="false" customHeight="false" outlineLevel="0" collapsed="false">
      <c r="A4286" s="3" t="n">
        <v>4285</v>
      </c>
      <c r="B4286" s="3" t="n">
        <v>4284</v>
      </c>
      <c r="C4286" s="3" t="s">
        <v>119</v>
      </c>
      <c r="D4286" s="3" t="n">
        <v>5</v>
      </c>
      <c r="E4286" s="3" t="n">
        <v>36</v>
      </c>
      <c r="F4286" s="3"/>
      <c r="G4286" s="3"/>
      <c r="H4286" s="24" t="n">
        <v>-0.0683928356</v>
      </c>
    </row>
    <row r="4287" customFormat="false" ht="15" hidden="false" customHeight="false" outlineLevel="0" collapsed="false">
      <c r="A4287" s="3" t="n">
        <v>4286</v>
      </c>
      <c r="B4287" s="3" t="n">
        <v>4285</v>
      </c>
      <c r="C4287" s="3" t="s">
        <v>119</v>
      </c>
      <c r="D4287" s="3" t="n">
        <v>5</v>
      </c>
      <c r="E4287" s="3" t="n">
        <v>37</v>
      </c>
      <c r="F4287" s="3"/>
      <c r="G4287" s="3"/>
      <c r="H4287" s="24" t="n">
        <v>0.105519705</v>
      </c>
    </row>
    <row r="4288" customFormat="false" ht="15" hidden="false" customHeight="false" outlineLevel="0" collapsed="false">
      <c r="A4288" s="3" t="n">
        <v>4287</v>
      </c>
      <c r="B4288" s="3" t="n">
        <v>4286</v>
      </c>
      <c r="C4288" s="3" t="s">
        <v>119</v>
      </c>
      <c r="D4288" s="3" t="n">
        <v>5</v>
      </c>
      <c r="E4288" s="3" t="n">
        <v>38</v>
      </c>
      <c r="F4288" s="3"/>
      <c r="G4288" s="3"/>
      <c r="H4288" s="24" t="n">
        <v>-0.448412091</v>
      </c>
    </row>
    <row r="4289" customFormat="false" ht="15" hidden="false" customHeight="false" outlineLevel="0" collapsed="false">
      <c r="A4289" s="3" t="n">
        <v>4288</v>
      </c>
      <c r="B4289" s="3" t="n">
        <v>4287</v>
      </c>
      <c r="C4289" s="3" t="s">
        <v>119</v>
      </c>
      <c r="D4289" s="3" t="n">
        <v>5</v>
      </c>
      <c r="E4289" s="3" t="n">
        <v>39</v>
      </c>
      <c r="F4289" s="3"/>
      <c r="G4289" s="3"/>
      <c r="H4289" s="24" t="n">
        <v>0.135401219</v>
      </c>
    </row>
    <row r="4290" customFormat="false" ht="15" hidden="false" customHeight="false" outlineLevel="0" collapsed="false">
      <c r="A4290" s="3" t="n">
        <v>4289</v>
      </c>
      <c r="B4290" s="3" t="n">
        <v>4288</v>
      </c>
      <c r="C4290" s="3" t="s">
        <v>119</v>
      </c>
      <c r="D4290" s="3" t="n">
        <v>5</v>
      </c>
      <c r="E4290" s="3" t="n">
        <v>40</v>
      </c>
      <c r="F4290" s="3"/>
      <c r="G4290" s="3"/>
      <c r="H4290" s="24" t="n">
        <v>0.147851542</v>
      </c>
    </row>
    <row r="4291" customFormat="false" ht="15" hidden="false" customHeight="false" outlineLevel="0" collapsed="false">
      <c r="A4291" s="3" t="n">
        <v>4290</v>
      </c>
      <c r="B4291" s="3" t="n">
        <v>4289</v>
      </c>
      <c r="C4291" s="3" t="s">
        <v>119</v>
      </c>
      <c r="D4291" s="3" t="n">
        <v>5</v>
      </c>
      <c r="E4291" s="3" t="n">
        <v>41</v>
      </c>
      <c r="F4291" s="3"/>
      <c r="G4291" s="3"/>
      <c r="H4291" s="24" t="n">
        <v>0.181349874</v>
      </c>
    </row>
    <row r="4292" customFormat="false" ht="15" hidden="false" customHeight="false" outlineLevel="0" collapsed="false">
      <c r="A4292" s="3" t="n">
        <v>4291</v>
      </c>
      <c r="B4292" s="3" t="n">
        <v>4290</v>
      </c>
      <c r="C4292" s="3" t="s">
        <v>119</v>
      </c>
      <c r="D4292" s="3" t="n">
        <v>5</v>
      </c>
      <c r="E4292" s="3" t="n">
        <v>42</v>
      </c>
      <c r="F4292" s="3"/>
      <c r="G4292" s="3"/>
      <c r="H4292" s="24" t="n">
        <v>0.124153875</v>
      </c>
    </row>
    <row r="4293" customFormat="false" ht="15" hidden="false" customHeight="false" outlineLevel="0" collapsed="false">
      <c r="A4293" s="3" t="n">
        <v>4292</v>
      </c>
      <c r="B4293" s="3" t="n">
        <v>4291</v>
      </c>
      <c r="C4293" s="3" t="s">
        <v>119</v>
      </c>
      <c r="D4293" s="3" t="n">
        <v>5</v>
      </c>
      <c r="E4293" s="3" t="n">
        <v>43</v>
      </c>
      <c r="F4293" s="3"/>
      <c r="G4293" s="3"/>
      <c r="H4293" s="24" t="n">
        <v>-0.0800113603</v>
      </c>
    </row>
    <row r="4294" customFormat="false" ht="15" hidden="false" customHeight="false" outlineLevel="0" collapsed="false">
      <c r="A4294" s="3" t="n">
        <v>4293</v>
      </c>
      <c r="B4294" s="3" t="n">
        <v>4292</v>
      </c>
      <c r="C4294" s="3" t="s">
        <v>119</v>
      </c>
      <c r="D4294" s="3" t="n">
        <v>5</v>
      </c>
      <c r="E4294" s="3" t="n">
        <v>44</v>
      </c>
      <c r="F4294" s="3"/>
      <c r="G4294" s="3"/>
      <c r="H4294" s="24" t="n">
        <v>-0.128270492</v>
      </c>
    </row>
    <row r="4295" customFormat="false" ht="15" hidden="false" customHeight="false" outlineLevel="0" collapsed="false">
      <c r="A4295" s="3" t="n">
        <v>4294</v>
      </c>
      <c r="B4295" s="3" t="n">
        <v>4293</v>
      </c>
      <c r="C4295" s="3" t="s">
        <v>119</v>
      </c>
      <c r="D4295" s="3" t="n">
        <v>5</v>
      </c>
      <c r="E4295" s="3" t="n">
        <v>45</v>
      </c>
      <c r="F4295" s="3"/>
      <c r="G4295" s="3"/>
      <c r="H4295" s="24" t="n">
        <v>0.18074517</v>
      </c>
    </row>
    <row r="4296" customFormat="false" ht="15" hidden="false" customHeight="false" outlineLevel="0" collapsed="false">
      <c r="A4296" s="3" t="n">
        <v>4295</v>
      </c>
      <c r="B4296" s="3" t="n">
        <v>4294</v>
      </c>
      <c r="C4296" s="3" t="s">
        <v>119</v>
      </c>
      <c r="D4296" s="3" t="n">
        <v>5</v>
      </c>
      <c r="E4296" s="3" t="n">
        <v>46</v>
      </c>
      <c r="F4296" s="3"/>
      <c r="G4296" s="3"/>
      <c r="H4296" s="24" t="n">
        <v>-0.089789778</v>
      </c>
    </row>
    <row r="4297" customFormat="false" ht="15" hidden="false" customHeight="false" outlineLevel="0" collapsed="false">
      <c r="A4297" s="3" t="n">
        <v>4296</v>
      </c>
      <c r="B4297" s="3" t="n">
        <v>4295</v>
      </c>
      <c r="C4297" s="3" t="s">
        <v>119</v>
      </c>
      <c r="D4297" s="3" t="n">
        <v>5</v>
      </c>
      <c r="E4297" s="3" t="n">
        <v>47</v>
      </c>
      <c r="F4297" s="3"/>
      <c r="G4297" s="3"/>
      <c r="H4297" s="24" t="n">
        <v>-0.21700798</v>
      </c>
    </row>
    <row r="4298" customFormat="false" ht="15" hidden="false" customHeight="false" outlineLevel="0" collapsed="false">
      <c r="A4298" s="3" t="n">
        <v>4297</v>
      </c>
      <c r="B4298" s="3" t="n">
        <v>4296</v>
      </c>
      <c r="C4298" s="3" t="s">
        <v>119</v>
      </c>
      <c r="D4298" s="3" t="n">
        <v>5</v>
      </c>
      <c r="E4298" s="3" t="n">
        <v>48</v>
      </c>
      <c r="F4298" s="3"/>
      <c r="G4298" s="3"/>
      <c r="H4298" s="24" t="n">
        <v>0.0458665527</v>
      </c>
    </row>
    <row r="4299" customFormat="false" ht="15" hidden="false" customHeight="false" outlineLevel="0" collapsed="false">
      <c r="A4299" s="3" t="n">
        <v>4298</v>
      </c>
      <c r="B4299" s="3" t="n">
        <v>4297</v>
      </c>
      <c r="C4299" s="3" t="s">
        <v>119</v>
      </c>
      <c r="D4299" s="3" t="n">
        <v>5</v>
      </c>
      <c r="E4299" s="3" t="n">
        <v>49</v>
      </c>
      <c r="F4299" s="3"/>
      <c r="G4299" s="3"/>
      <c r="H4299" s="24" t="n">
        <v>-0.137861356</v>
      </c>
    </row>
    <row r="4300" customFormat="false" ht="15" hidden="false" customHeight="false" outlineLevel="0" collapsed="false">
      <c r="A4300" s="3" t="n">
        <v>4299</v>
      </c>
      <c r="B4300" s="3" t="n">
        <v>4298</v>
      </c>
      <c r="C4300" s="3" t="s">
        <v>119</v>
      </c>
      <c r="D4300" s="3" t="n">
        <v>5</v>
      </c>
      <c r="E4300" s="3" t="n">
        <v>50</v>
      </c>
      <c r="F4300" s="3"/>
      <c r="G4300" s="3"/>
      <c r="H4300" s="24" t="n">
        <v>-0.028188413</v>
      </c>
    </row>
    <row r="4301" customFormat="false" ht="15" hidden="false" customHeight="false" outlineLevel="0" collapsed="false">
      <c r="A4301" s="3" t="n">
        <v>4300</v>
      </c>
      <c r="B4301" s="3" t="n">
        <v>4299</v>
      </c>
      <c r="C4301" s="3" t="s">
        <v>119</v>
      </c>
      <c r="D4301" s="3" t="n">
        <v>5</v>
      </c>
      <c r="E4301" s="3" t="n">
        <v>51</v>
      </c>
      <c r="F4301" s="3"/>
      <c r="G4301" s="3"/>
      <c r="H4301" s="24" t="n">
        <v>0.0797751099</v>
      </c>
    </row>
    <row r="4302" customFormat="false" ht="15" hidden="false" customHeight="false" outlineLevel="0" collapsed="false">
      <c r="A4302" s="3" t="n">
        <v>4301</v>
      </c>
      <c r="B4302" s="3" t="n">
        <v>4300</v>
      </c>
      <c r="C4302" s="3" t="s">
        <v>119</v>
      </c>
      <c r="D4302" s="3" t="n">
        <v>5</v>
      </c>
      <c r="E4302" s="3" t="n">
        <v>52</v>
      </c>
      <c r="F4302" s="3"/>
      <c r="G4302" s="3"/>
      <c r="H4302" s="24" t="n">
        <v>0.201390058</v>
      </c>
    </row>
    <row r="4303" customFormat="false" ht="15" hidden="false" customHeight="false" outlineLevel="0" collapsed="false">
      <c r="A4303" s="3" t="n">
        <v>4302</v>
      </c>
      <c r="B4303" s="3" t="n">
        <v>4301</v>
      </c>
      <c r="C4303" s="3" t="s">
        <v>119</v>
      </c>
      <c r="D4303" s="3" t="n">
        <v>5</v>
      </c>
      <c r="E4303" s="3" t="n">
        <v>53</v>
      </c>
      <c r="F4303" s="3"/>
      <c r="G4303" s="3"/>
      <c r="H4303" s="24" t="n">
        <v>0.213049769</v>
      </c>
    </row>
    <row r="4304" customFormat="false" ht="15" hidden="false" customHeight="false" outlineLevel="0" collapsed="false">
      <c r="A4304" s="3" t="n">
        <v>4303</v>
      </c>
      <c r="B4304" s="3" t="n">
        <v>4302</v>
      </c>
      <c r="C4304" s="3" t="s">
        <v>119</v>
      </c>
      <c r="D4304" s="3" t="n">
        <v>5</v>
      </c>
      <c r="E4304" s="3" t="n">
        <v>54</v>
      </c>
      <c r="F4304" s="3"/>
      <c r="G4304" s="3"/>
      <c r="H4304" s="24" t="n">
        <v>0.159891993</v>
      </c>
    </row>
    <row r="4305" customFormat="false" ht="15" hidden="false" customHeight="false" outlineLevel="0" collapsed="false">
      <c r="A4305" s="3" t="n">
        <v>4304</v>
      </c>
      <c r="B4305" s="3" t="n">
        <v>4303</v>
      </c>
      <c r="C4305" s="3" t="s">
        <v>119</v>
      </c>
      <c r="D4305" s="3" t="n">
        <v>5</v>
      </c>
      <c r="E4305" s="3" t="n">
        <v>55</v>
      </c>
      <c r="F4305" s="3"/>
      <c r="G4305" s="3"/>
      <c r="H4305" s="24" t="n">
        <v>0.0490753241</v>
      </c>
    </row>
    <row r="4306" customFormat="false" ht="15" hidden="false" customHeight="false" outlineLevel="0" collapsed="false">
      <c r="A4306" s="3" t="n">
        <v>4305</v>
      </c>
      <c r="B4306" s="3" t="n">
        <v>4304</v>
      </c>
      <c r="C4306" s="3" t="s">
        <v>119</v>
      </c>
      <c r="D4306" s="3" t="n">
        <v>5</v>
      </c>
      <c r="E4306" s="3" t="n">
        <v>56</v>
      </c>
      <c r="F4306" s="3"/>
      <c r="G4306" s="3"/>
      <c r="H4306" s="24" t="n">
        <v>0.141440913</v>
      </c>
    </row>
    <row r="4307" customFormat="false" ht="15" hidden="false" customHeight="false" outlineLevel="0" collapsed="false">
      <c r="A4307" s="3" t="n">
        <v>4306</v>
      </c>
      <c r="B4307" s="3" t="n">
        <v>4305</v>
      </c>
      <c r="C4307" s="3" t="s">
        <v>119</v>
      </c>
      <c r="D4307" s="3" t="n">
        <v>5</v>
      </c>
      <c r="E4307" s="3" t="n">
        <v>57</v>
      </c>
      <c r="F4307" s="3"/>
      <c r="G4307" s="3"/>
      <c r="H4307" s="24" t="n">
        <v>0.0574374869</v>
      </c>
    </row>
    <row r="4308" customFormat="false" ht="15" hidden="false" customHeight="false" outlineLevel="0" collapsed="false">
      <c r="A4308" s="3" t="n">
        <v>4307</v>
      </c>
      <c r="B4308" s="3" t="n">
        <v>4306</v>
      </c>
      <c r="C4308" s="3" t="s">
        <v>119</v>
      </c>
      <c r="D4308" s="3" t="n">
        <v>5</v>
      </c>
      <c r="E4308" s="3" t="n">
        <v>58</v>
      </c>
      <c r="F4308" s="3"/>
      <c r="G4308" s="3"/>
      <c r="H4308" s="24" t="n">
        <v>-0.365988255</v>
      </c>
    </row>
    <row r="4309" customFormat="false" ht="15" hidden="false" customHeight="false" outlineLevel="0" collapsed="false">
      <c r="A4309" s="3" t="n">
        <v>4308</v>
      </c>
      <c r="B4309" s="3" t="n">
        <v>4307</v>
      </c>
      <c r="C4309" s="3" t="s">
        <v>119</v>
      </c>
      <c r="D4309" s="3" t="n">
        <v>5</v>
      </c>
      <c r="E4309" s="3" t="n">
        <v>59</v>
      </c>
      <c r="F4309" s="3"/>
      <c r="G4309" s="3"/>
      <c r="H4309" s="24" t="n">
        <v>0.0288757216</v>
      </c>
    </row>
    <row r="4310" customFormat="false" ht="15" hidden="false" customHeight="false" outlineLevel="0" collapsed="false">
      <c r="A4310" s="3" t="n">
        <v>4309</v>
      </c>
      <c r="B4310" s="3" t="n">
        <v>4308</v>
      </c>
      <c r="C4310" s="3" t="s">
        <v>119</v>
      </c>
      <c r="D4310" s="3" t="n">
        <v>5</v>
      </c>
      <c r="E4310" s="3" t="n">
        <v>60</v>
      </c>
      <c r="F4310" s="3"/>
      <c r="G4310" s="3"/>
      <c r="H4310" s="24" t="n">
        <v>-0.193966612</v>
      </c>
    </row>
    <row r="4311" customFormat="false" ht="15" hidden="false" customHeight="false" outlineLevel="0" collapsed="false">
      <c r="A4311" s="3" t="n">
        <v>4310</v>
      </c>
      <c r="B4311" s="3" t="n">
        <v>4309</v>
      </c>
      <c r="C4311" s="3" t="s">
        <v>119</v>
      </c>
      <c r="D4311" s="3" t="n">
        <v>5</v>
      </c>
      <c r="E4311" s="3" t="n">
        <v>61</v>
      </c>
      <c r="F4311" s="3"/>
      <c r="G4311" s="3"/>
      <c r="H4311" s="24" t="n">
        <v>-0.0530578159</v>
      </c>
    </row>
    <row r="4312" customFormat="false" ht="15" hidden="false" customHeight="false" outlineLevel="0" collapsed="false">
      <c r="A4312" s="3" t="n">
        <v>4311</v>
      </c>
      <c r="B4312" s="3" t="n">
        <v>4310</v>
      </c>
      <c r="C4312" s="3" t="s">
        <v>119</v>
      </c>
      <c r="D4312" s="3" t="n">
        <v>5</v>
      </c>
      <c r="E4312" s="3" t="n">
        <v>62</v>
      </c>
      <c r="F4312" s="3"/>
      <c r="G4312" s="3"/>
      <c r="H4312" s="24" t="n">
        <v>0.0624485463</v>
      </c>
    </row>
    <row r="4313" customFormat="false" ht="15" hidden="false" customHeight="false" outlineLevel="0" collapsed="false">
      <c r="A4313" s="3" t="n">
        <v>4312</v>
      </c>
      <c r="B4313" s="3" t="n">
        <v>4311</v>
      </c>
      <c r="C4313" s="3" t="s">
        <v>119</v>
      </c>
      <c r="D4313" s="3" t="n">
        <v>5</v>
      </c>
      <c r="E4313" s="3" t="n">
        <v>63</v>
      </c>
      <c r="F4313" s="3"/>
      <c r="G4313" s="3"/>
      <c r="H4313" s="24" t="n">
        <v>0.0172906518</v>
      </c>
    </row>
    <row r="4314" customFormat="false" ht="15" hidden="false" customHeight="false" outlineLevel="0" collapsed="false">
      <c r="A4314" s="3" t="n">
        <v>4313</v>
      </c>
      <c r="B4314" s="3" t="n">
        <v>4312</v>
      </c>
      <c r="C4314" s="3" t="s">
        <v>119</v>
      </c>
      <c r="D4314" s="3" t="n">
        <v>5</v>
      </c>
      <c r="E4314" s="3" t="n">
        <v>64</v>
      </c>
      <c r="F4314" s="3"/>
      <c r="G4314" s="3"/>
      <c r="H4314" s="24" t="n">
        <v>-0.00604658248</v>
      </c>
    </row>
    <row r="4315" customFormat="false" ht="15" hidden="false" customHeight="false" outlineLevel="0" collapsed="false">
      <c r="A4315" s="3" t="n">
        <v>4314</v>
      </c>
      <c r="B4315" s="3" t="n">
        <v>4313</v>
      </c>
      <c r="C4315" s="3" t="s">
        <v>119</v>
      </c>
      <c r="D4315" s="3" t="n">
        <v>5</v>
      </c>
      <c r="E4315" s="3" t="n">
        <v>65</v>
      </c>
      <c r="F4315" s="3"/>
      <c r="G4315" s="3"/>
      <c r="H4315" s="24" t="n">
        <v>0.0228524357</v>
      </c>
    </row>
    <row r="4316" customFormat="false" ht="15" hidden="false" customHeight="false" outlineLevel="0" collapsed="false">
      <c r="A4316" s="3" t="n">
        <v>4315</v>
      </c>
      <c r="B4316" s="3" t="n">
        <v>4314</v>
      </c>
      <c r="C4316" s="3" t="s">
        <v>119</v>
      </c>
      <c r="D4316" s="3" t="n">
        <v>5</v>
      </c>
      <c r="E4316" s="3" t="n">
        <v>66</v>
      </c>
      <c r="F4316" s="3"/>
      <c r="G4316" s="3"/>
      <c r="H4316" s="24" t="n">
        <v>0.0129616857</v>
      </c>
    </row>
    <row r="4317" customFormat="false" ht="15" hidden="false" customHeight="false" outlineLevel="0" collapsed="false">
      <c r="A4317" s="3" t="n">
        <v>4316</v>
      </c>
      <c r="B4317" s="3" t="n">
        <v>4315</v>
      </c>
      <c r="C4317" s="3" t="s">
        <v>119</v>
      </c>
      <c r="D4317" s="3" t="n">
        <v>5</v>
      </c>
      <c r="E4317" s="3" t="n">
        <v>67</v>
      </c>
      <c r="F4317" s="3"/>
      <c r="G4317" s="3"/>
      <c r="H4317" s="24" t="n">
        <v>-0.0604495816</v>
      </c>
    </row>
    <row r="4318" customFormat="false" ht="15" hidden="false" customHeight="false" outlineLevel="0" collapsed="false">
      <c r="A4318" s="3" t="n">
        <v>4317</v>
      </c>
      <c r="B4318" s="3" t="n">
        <v>4316</v>
      </c>
      <c r="C4318" s="3" t="s">
        <v>119</v>
      </c>
      <c r="D4318" s="3" t="n">
        <v>5</v>
      </c>
      <c r="E4318" s="3" t="n">
        <v>68</v>
      </c>
      <c r="F4318" s="3"/>
      <c r="G4318" s="3"/>
      <c r="H4318" s="24" t="n">
        <v>0.0251655187</v>
      </c>
    </row>
    <row r="4319" customFormat="false" ht="15" hidden="false" customHeight="false" outlineLevel="0" collapsed="false">
      <c r="A4319" s="3" t="n">
        <v>4318</v>
      </c>
      <c r="B4319" s="3" t="n">
        <v>4317</v>
      </c>
      <c r="C4319" s="3" t="s">
        <v>119</v>
      </c>
      <c r="D4319" s="3" t="n">
        <v>5</v>
      </c>
      <c r="E4319" s="3" t="n">
        <v>69</v>
      </c>
      <c r="F4319" s="3"/>
      <c r="G4319" s="3"/>
      <c r="H4319" s="24" t="n">
        <v>0.0491580293</v>
      </c>
    </row>
    <row r="4320" customFormat="false" ht="15" hidden="false" customHeight="false" outlineLevel="0" collapsed="false">
      <c r="A4320" s="3" t="n">
        <v>4319</v>
      </c>
      <c r="B4320" s="3" t="n">
        <v>4318</v>
      </c>
      <c r="C4320" s="3" t="s">
        <v>119</v>
      </c>
      <c r="D4320" s="3" t="n">
        <v>5</v>
      </c>
      <c r="E4320" s="3" t="n">
        <v>70</v>
      </c>
      <c r="F4320" s="3"/>
      <c r="G4320" s="3"/>
      <c r="H4320" s="24" t="n">
        <v>-0.0433970317</v>
      </c>
    </row>
    <row r="4321" customFormat="false" ht="15" hidden="false" customHeight="false" outlineLevel="0" collapsed="false">
      <c r="A4321" s="3" t="n">
        <v>4320</v>
      </c>
      <c r="B4321" s="3" t="n">
        <v>4319</v>
      </c>
      <c r="C4321" s="3" t="s">
        <v>119</v>
      </c>
      <c r="D4321" s="3" t="n">
        <v>5</v>
      </c>
      <c r="E4321" s="3" t="n">
        <v>71</v>
      </c>
      <c r="F4321" s="3"/>
      <c r="G4321" s="3"/>
      <c r="H4321" s="24" t="n">
        <v>-0.0540588908</v>
      </c>
    </row>
    <row r="4322" customFormat="false" ht="15" hidden="false" customHeight="false" outlineLevel="0" collapsed="false">
      <c r="A4322" s="3" t="n">
        <v>4321</v>
      </c>
      <c r="B4322" s="3" t="n">
        <v>4320</v>
      </c>
      <c r="C4322" s="3" t="s">
        <v>119</v>
      </c>
      <c r="D4322" s="3" t="n">
        <v>5</v>
      </c>
      <c r="E4322" s="3" t="n">
        <v>72</v>
      </c>
      <c r="F4322" s="3"/>
      <c r="G4322" s="3"/>
      <c r="H4322" s="24" t="n">
        <v>-0.156543434</v>
      </c>
    </row>
    <row r="4323" customFormat="false" ht="15" hidden="false" customHeight="false" outlineLevel="0" collapsed="false">
      <c r="A4323" s="3" t="n">
        <v>4322</v>
      </c>
      <c r="B4323" s="3" t="n">
        <v>4321</v>
      </c>
      <c r="C4323" s="3" t="s">
        <v>119</v>
      </c>
      <c r="D4323" s="3" t="n">
        <v>5</v>
      </c>
      <c r="E4323" s="3" t="n">
        <v>73</v>
      </c>
      <c r="F4323" s="3"/>
      <c r="G4323" s="3"/>
      <c r="H4323" s="24" t="n">
        <v>-0.0437096283</v>
      </c>
    </row>
    <row r="4324" customFormat="false" ht="15" hidden="false" customHeight="false" outlineLevel="0" collapsed="false">
      <c r="A4324" s="3" t="n">
        <v>4323</v>
      </c>
      <c r="B4324" s="3" t="n">
        <v>4322</v>
      </c>
      <c r="C4324" s="3" t="s">
        <v>119</v>
      </c>
      <c r="D4324" s="3" t="n">
        <v>5</v>
      </c>
      <c r="E4324" s="3" t="n">
        <v>74</v>
      </c>
      <c r="F4324" s="3"/>
      <c r="G4324" s="3"/>
      <c r="H4324" s="24" t="n">
        <v>0.0529479422</v>
      </c>
    </row>
    <row r="4325" customFormat="false" ht="15" hidden="false" customHeight="false" outlineLevel="0" collapsed="false">
      <c r="A4325" s="3" t="n">
        <v>4324</v>
      </c>
      <c r="B4325" s="3" t="n">
        <v>4323</v>
      </c>
      <c r="C4325" s="3" t="s">
        <v>119</v>
      </c>
      <c r="D4325" s="3" t="n">
        <v>5</v>
      </c>
      <c r="E4325" s="3" t="n">
        <v>75</v>
      </c>
      <c r="F4325" s="3"/>
      <c r="G4325" s="3"/>
      <c r="H4325" s="24" t="n">
        <v>-0.0589679331</v>
      </c>
    </row>
    <row r="4326" customFormat="false" ht="15" hidden="false" customHeight="false" outlineLevel="0" collapsed="false">
      <c r="A4326" s="3" t="n">
        <v>4325</v>
      </c>
      <c r="B4326" s="3" t="n">
        <v>4324</v>
      </c>
      <c r="C4326" s="3" t="s">
        <v>119</v>
      </c>
      <c r="D4326" s="3" t="n">
        <v>5</v>
      </c>
      <c r="E4326" s="3" t="n">
        <v>76</v>
      </c>
      <c r="F4326" s="3"/>
      <c r="G4326" s="3"/>
      <c r="H4326" s="24" t="n">
        <v>-0.177380145</v>
      </c>
    </row>
    <row r="4327" customFormat="false" ht="15" hidden="false" customHeight="false" outlineLevel="0" collapsed="false">
      <c r="A4327" s="3" t="n">
        <v>4326</v>
      </c>
      <c r="B4327" s="3" t="n">
        <v>4325</v>
      </c>
      <c r="C4327" s="3" t="s">
        <v>119</v>
      </c>
      <c r="D4327" s="3" t="n">
        <v>5</v>
      </c>
      <c r="E4327" s="3" t="n">
        <v>77</v>
      </c>
      <c r="F4327" s="3"/>
      <c r="G4327" s="3"/>
      <c r="H4327" s="24" t="n">
        <v>0.230198771</v>
      </c>
    </row>
    <row r="4328" customFormat="false" ht="15" hidden="false" customHeight="false" outlineLevel="0" collapsed="false">
      <c r="A4328" s="3" t="n">
        <v>4327</v>
      </c>
      <c r="B4328" s="3" t="n">
        <v>4326</v>
      </c>
      <c r="C4328" s="3" t="s">
        <v>119</v>
      </c>
      <c r="D4328" s="3" t="n">
        <v>5</v>
      </c>
      <c r="E4328" s="3" t="n">
        <v>78</v>
      </c>
      <c r="F4328" s="3"/>
      <c r="G4328" s="3"/>
      <c r="H4328" s="24" t="n">
        <v>0.144273043</v>
      </c>
    </row>
    <row r="4329" customFormat="false" ht="15" hidden="false" customHeight="false" outlineLevel="0" collapsed="false">
      <c r="A4329" s="3" t="n">
        <v>4328</v>
      </c>
      <c r="B4329" s="3" t="n">
        <v>4327</v>
      </c>
      <c r="C4329" s="3" t="s">
        <v>119</v>
      </c>
      <c r="D4329" s="3" t="n">
        <v>5</v>
      </c>
      <c r="E4329" s="3" t="n">
        <v>79</v>
      </c>
      <c r="F4329" s="3"/>
      <c r="G4329" s="3"/>
      <c r="H4329" s="24" t="n">
        <v>0.0349535234</v>
      </c>
    </row>
    <row r="4330" customFormat="false" ht="15" hidden="false" customHeight="false" outlineLevel="0" collapsed="false">
      <c r="A4330" s="3" t="n">
        <v>4329</v>
      </c>
      <c r="B4330" s="3" t="n">
        <v>4328</v>
      </c>
      <c r="C4330" s="3" t="s">
        <v>119</v>
      </c>
      <c r="D4330" s="3" t="n">
        <v>5</v>
      </c>
      <c r="E4330" s="3" t="n">
        <v>80</v>
      </c>
      <c r="F4330" s="3"/>
      <c r="G4330" s="3"/>
      <c r="H4330" s="24" t="n">
        <v>0.269526273</v>
      </c>
    </row>
    <row r="4331" customFormat="false" ht="15" hidden="false" customHeight="false" outlineLevel="0" collapsed="false">
      <c r="A4331" s="3" t="n">
        <v>4330</v>
      </c>
      <c r="B4331" s="3" t="n">
        <v>4329</v>
      </c>
      <c r="C4331" s="3" t="s">
        <v>119</v>
      </c>
      <c r="D4331" s="3" t="n">
        <v>5</v>
      </c>
      <c r="E4331" s="3" t="n">
        <v>81</v>
      </c>
      <c r="F4331" s="3"/>
      <c r="G4331" s="3"/>
      <c r="H4331" s="24" t="n">
        <v>-0.0162093975</v>
      </c>
    </row>
    <row r="4332" customFormat="false" ht="15" hidden="false" customHeight="false" outlineLevel="0" collapsed="false">
      <c r="A4332" s="3" t="n">
        <v>4331</v>
      </c>
      <c r="B4332" s="3" t="n">
        <v>4330</v>
      </c>
      <c r="C4332" s="3" t="s">
        <v>119</v>
      </c>
      <c r="D4332" s="3" t="n">
        <v>5</v>
      </c>
      <c r="E4332" s="3" t="n">
        <v>82</v>
      </c>
      <c r="F4332" s="3"/>
      <c r="G4332" s="3"/>
      <c r="H4332" s="24" t="n">
        <v>-0.0602164194</v>
      </c>
    </row>
    <row r="4333" customFormat="false" ht="15" hidden="false" customHeight="false" outlineLevel="0" collapsed="false">
      <c r="A4333" s="3" t="n">
        <v>4332</v>
      </c>
      <c r="B4333" s="3" t="n">
        <v>4331</v>
      </c>
      <c r="C4333" s="3" t="s">
        <v>119</v>
      </c>
      <c r="D4333" s="3" t="n">
        <v>5</v>
      </c>
      <c r="E4333" s="3" t="n">
        <v>83</v>
      </c>
      <c r="F4333" s="3"/>
      <c r="G4333" s="3"/>
      <c r="H4333" s="24" t="n">
        <v>-0.13612324</v>
      </c>
    </row>
    <row r="4334" customFormat="false" ht="15" hidden="false" customHeight="false" outlineLevel="0" collapsed="false">
      <c r="A4334" s="3" t="n">
        <v>4333</v>
      </c>
      <c r="B4334" s="3" t="n">
        <v>4332</v>
      </c>
      <c r="C4334" s="3" t="s">
        <v>119</v>
      </c>
      <c r="D4334" s="3" t="n">
        <v>5</v>
      </c>
      <c r="E4334" s="3" t="n">
        <v>84</v>
      </c>
      <c r="F4334" s="3"/>
      <c r="G4334" s="3"/>
      <c r="H4334" s="24" t="n">
        <v>-0.22210148</v>
      </c>
    </row>
    <row r="4335" customFormat="false" ht="15" hidden="false" customHeight="false" outlineLevel="0" collapsed="false">
      <c r="A4335" s="3" t="n">
        <v>4334</v>
      </c>
      <c r="B4335" s="3" t="n">
        <v>4333</v>
      </c>
      <c r="C4335" s="3" t="s">
        <v>119</v>
      </c>
      <c r="D4335" s="3" t="n">
        <v>5</v>
      </c>
      <c r="E4335" s="3" t="n">
        <v>85</v>
      </c>
      <c r="F4335" s="3"/>
      <c r="G4335" s="3"/>
      <c r="H4335" s="24" t="n">
        <v>-0.200459823</v>
      </c>
    </row>
    <row r="4336" customFormat="false" ht="15" hidden="false" customHeight="false" outlineLevel="0" collapsed="false">
      <c r="A4336" s="3" t="n">
        <v>4335</v>
      </c>
      <c r="B4336" s="3" t="n">
        <v>4334</v>
      </c>
      <c r="C4336" s="3" t="s">
        <v>119</v>
      </c>
      <c r="D4336" s="3" t="n">
        <v>5</v>
      </c>
      <c r="E4336" s="3" t="n">
        <v>86</v>
      </c>
      <c r="F4336" s="3"/>
      <c r="G4336" s="3"/>
      <c r="H4336" s="24" t="n">
        <v>0.071865879</v>
      </c>
    </row>
    <row r="4337" customFormat="false" ht="15" hidden="false" customHeight="false" outlineLevel="0" collapsed="false">
      <c r="A4337" s="3" t="n">
        <v>4336</v>
      </c>
      <c r="B4337" s="3" t="n">
        <v>4335</v>
      </c>
      <c r="C4337" s="3" t="s">
        <v>119</v>
      </c>
      <c r="D4337" s="3" t="n">
        <v>5</v>
      </c>
      <c r="E4337" s="3" t="n">
        <v>87</v>
      </c>
      <c r="F4337" s="3"/>
      <c r="G4337" s="3"/>
      <c r="H4337" s="24" t="n">
        <v>-0.212293774</v>
      </c>
    </row>
    <row r="4338" customFormat="false" ht="15" hidden="false" customHeight="false" outlineLevel="0" collapsed="false">
      <c r="A4338" s="3" t="n">
        <v>4337</v>
      </c>
      <c r="B4338" s="3" t="n">
        <v>4336</v>
      </c>
      <c r="C4338" s="3" t="s">
        <v>119</v>
      </c>
      <c r="D4338" s="3" t="n">
        <v>5</v>
      </c>
      <c r="E4338" s="3" t="n">
        <v>88</v>
      </c>
      <c r="F4338" s="3"/>
      <c r="G4338" s="3"/>
      <c r="H4338" s="24" t="n">
        <v>0.073645629</v>
      </c>
    </row>
    <row r="4339" customFormat="false" ht="15" hidden="false" customHeight="false" outlineLevel="0" collapsed="false">
      <c r="A4339" s="3" t="n">
        <v>4338</v>
      </c>
      <c r="B4339" s="3" t="n">
        <v>4337</v>
      </c>
      <c r="C4339" s="3" t="s">
        <v>119</v>
      </c>
      <c r="D4339" s="3" t="n">
        <v>5</v>
      </c>
      <c r="E4339" s="3" t="n">
        <v>89</v>
      </c>
      <c r="F4339" s="3"/>
      <c r="G4339" s="3"/>
      <c r="H4339" s="24" t="n">
        <v>0.181348115</v>
      </c>
    </row>
    <row r="4340" customFormat="false" ht="15" hidden="false" customHeight="false" outlineLevel="0" collapsed="false">
      <c r="A4340" s="3" t="n">
        <v>4339</v>
      </c>
      <c r="B4340" s="3" t="n">
        <v>4338</v>
      </c>
      <c r="C4340" s="3" t="s">
        <v>119</v>
      </c>
      <c r="D4340" s="3" t="n">
        <v>5</v>
      </c>
      <c r="E4340" s="3" t="n">
        <v>90</v>
      </c>
      <c r="F4340" s="3"/>
      <c r="G4340" s="3"/>
      <c r="H4340" s="24" t="n">
        <v>0.0249241162</v>
      </c>
    </row>
    <row r="4341" customFormat="false" ht="15" hidden="false" customHeight="false" outlineLevel="0" collapsed="false">
      <c r="A4341" s="3" t="n">
        <v>4340</v>
      </c>
      <c r="B4341" s="3" t="n">
        <v>4339</v>
      </c>
      <c r="C4341" s="3" t="s">
        <v>119</v>
      </c>
      <c r="D4341" s="3" t="n">
        <v>5</v>
      </c>
      <c r="E4341" s="3" t="n">
        <v>91</v>
      </c>
      <c r="F4341" s="3"/>
      <c r="G4341" s="3"/>
      <c r="H4341" s="24" t="n">
        <v>-0.121036179</v>
      </c>
    </row>
    <row r="4342" customFormat="false" ht="15" hidden="false" customHeight="false" outlineLevel="0" collapsed="false">
      <c r="A4342" s="3" t="n">
        <v>4341</v>
      </c>
      <c r="B4342" s="3" t="n">
        <v>4340</v>
      </c>
      <c r="C4342" s="3" t="s">
        <v>119</v>
      </c>
      <c r="D4342" s="3" t="n">
        <v>5</v>
      </c>
      <c r="E4342" s="3" t="n">
        <v>92</v>
      </c>
      <c r="F4342" s="3"/>
      <c r="G4342" s="3"/>
      <c r="H4342" s="24" t="n">
        <v>0.00682454044</v>
      </c>
    </row>
    <row r="4343" customFormat="false" ht="15" hidden="false" customHeight="false" outlineLevel="0" collapsed="false">
      <c r="A4343" s="3" t="n">
        <v>4342</v>
      </c>
      <c r="B4343" s="3" t="n">
        <v>4341</v>
      </c>
      <c r="C4343" s="3" t="s">
        <v>119</v>
      </c>
      <c r="D4343" s="3" t="n">
        <v>5</v>
      </c>
      <c r="E4343" s="3" t="n">
        <v>93</v>
      </c>
      <c r="F4343" s="3"/>
      <c r="G4343" s="3"/>
      <c r="H4343" s="24" t="n">
        <v>0.0196537822</v>
      </c>
    </row>
    <row r="4344" customFormat="false" ht="15" hidden="false" customHeight="false" outlineLevel="0" collapsed="false">
      <c r="A4344" s="3" t="n">
        <v>4343</v>
      </c>
      <c r="B4344" s="3" t="n">
        <v>4342</v>
      </c>
      <c r="C4344" s="3" t="s">
        <v>119</v>
      </c>
      <c r="D4344" s="3" t="n">
        <v>5</v>
      </c>
      <c r="E4344" s="3" t="n">
        <v>94</v>
      </c>
      <c r="F4344" s="3"/>
      <c r="G4344" s="3"/>
      <c r="H4344" s="24" t="n">
        <v>-0.0233497955</v>
      </c>
    </row>
    <row r="4345" customFormat="false" ht="15" hidden="false" customHeight="false" outlineLevel="0" collapsed="false">
      <c r="A4345" s="3" t="n">
        <v>4344</v>
      </c>
      <c r="B4345" s="3" t="n">
        <v>4343</v>
      </c>
      <c r="C4345" s="3" t="s">
        <v>119</v>
      </c>
      <c r="D4345" s="3" t="n">
        <v>5</v>
      </c>
      <c r="E4345" s="3" t="n">
        <v>95</v>
      </c>
      <c r="F4345" s="3"/>
      <c r="G4345" s="3"/>
      <c r="H4345" s="24" t="n">
        <v>0.165366292</v>
      </c>
    </row>
    <row r="4346" customFormat="false" ht="15" hidden="false" customHeight="false" outlineLevel="0" collapsed="false">
      <c r="A4346" s="3" t="n">
        <v>4345</v>
      </c>
      <c r="B4346" s="3" t="n">
        <v>4344</v>
      </c>
      <c r="C4346" s="3" t="s">
        <v>119</v>
      </c>
      <c r="D4346" s="3" t="n">
        <v>5</v>
      </c>
      <c r="E4346" s="3" t="n">
        <v>96</v>
      </c>
      <c r="F4346" s="3"/>
      <c r="G4346" s="3"/>
      <c r="H4346" s="24" t="n">
        <v>0.241198838</v>
      </c>
    </row>
    <row r="4347" customFormat="false" ht="15" hidden="false" customHeight="false" outlineLevel="0" collapsed="false">
      <c r="A4347" s="3" t="n">
        <v>4346</v>
      </c>
      <c r="B4347" s="3" t="n">
        <v>4345</v>
      </c>
      <c r="C4347" s="3" t="s">
        <v>119</v>
      </c>
      <c r="D4347" s="3" t="n">
        <v>5</v>
      </c>
      <c r="E4347" s="3" t="n">
        <v>97</v>
      </c>
      <c r="F4347" s="3"/>
      <c r="G4347" s="3"/>
      <c r="H4347" s="24" t="n">
        <v>0.0343022831</v>
      </c>
    </row>
    <row r="4348" customFormat="false" ht="15" hidden="false" customHeight="false" outlineLevel="0" collapsed="false">
      <c r="A4348" s="3" t="n">
        <v>4347</v>
      </c>
      <c r="B4348" s="3" t="n">
        <v>4346</v>
      </c>
      <c r="C4348" s="3" t="s">
        <v>119</v>
      </c>
      <c r="D4348" s="3" t="n">
        <v>5</v>
      </c>
      <c r="E4348" s="3" t="n">
        <v>98</v>
      </c>
      <c r="F4348" s="3"/>
      <c r="G4348" s="3"/>
      <c r="H4348" s="24" t="n">
        <v>0.0170019306</v>
      </c>
    </row>
    <row r="4349" customFormat="false" ht="15" hidden="false" customHeight="false" outlineLevel="0" collapsed="false">
      <c r="A4349" s="3" t="n">
        <v>4348</v>
      </c>
      <c r="B4349" s="3" t="n">
        <v>4347</v>
      </c>
      <c r="C4349" s="3" t="s">
        <v>119</v>
      </c>
      <c r="D4349" s="3" t="n">
        <v>5</v>
      </c>
      <c r="E4349" s="3" t="n">
        <v>99</v>
      </c>
      <c r="F4349" s="3"/>
      <c r="G4349" s="3"/>
      <c r="H4349" s="24" t="n">
        <v>-0.0186086372</v>
      </c>
    </row>
    <row r="4350" customFormat="false" ht="15" hidden="false" customHeight="false" outlineLevel="0" collapsed="false">
      <c r="A4350" s="3" t="n">
        <v>4349</v>
      </c>
      <c r="B4350" s="3" t="n">
        <v>4348</v>
      </c>
      <c r="C4350" s="3" t="s">
        <v>119</v>
      </c>
      <c r="D4350" s="3" t="n">
        <v>5</v>
      </c>
      <c r="E4350" s="3" t="n">
        <v>100</v>
      </c>
      <c r="F4350" s="3"/>
      <c r="G4350" s="3"/>
      <c r="H4350" s="24" t="n">
        <v>0.146667942</v>
      </c>
    </row>
    <row r="4351" customFormat="false" ht="15" hidden="false" customHeight="false" outlineLevel="0" collapsed="false">
      <c r="A4351" s="3" t="n">
        <v>4350</v>
      </c>
      <c r="B4351" s="3" t="n">
        <v>4349</v>
      </c>
      <c r="C4351" s="3" t="s">
        <v>119</v>
      </c>
      <c r="D4351" s="3" t="n">
        <v>5</v>
      </c>
      <c r="E4351" s="3" t="n">
        <v>101</v>
      </c>
      <c r="F4351" s="3"/>
      <c r="G4351" s="3"/>
      <c r="H4351" s="24" t="n">
        <v>-0.0374544524</v>
      </c>
    </row>
    <row r="4352" customFormat="false" ht="15" hidden="false" customHeight="false" outlineLevel="0" collapsed="false">
      <c r="A4352" s="3" t="n">
        <v>4351</v>
      </c>
      <c r="B4352" s="3" t="n">
        <v>4350</v>
      </c>
      <c r="C4352" s="3" t="s">
        <v>119</v>
      </c>
      <c r="D4352" s="3" t="n">
        <v>5</v>
      </c>
      <c r="E4352" s="3" t="n">
        <v>102</v>
      </c>
      <c r="F4352" s="3"/>
      <c r="G4352" s="3"/>
      <c r="H4352" s="24" t="n">
        <v>-0.0405959673</v>
      </c>
    </row>
    <row r="4353" customFormat="false" ht="15" hidden="false" customHeight="false" outlineLevel="0" collapsed="false">
      <c r="A4353" s="3" t="n">
        <v>4352</v>
      </c>
      <c r="B4353" s="3" t="n">
        <v>4351</v>
      </c>
      <c r="C4353" s="3" t="s">
        <v>119</v>
      </c>
      <c r="D4353" s="3" t="n">
        <v>5</v>
      </c>
      <c r="E4353" s="3" t="n">
        <v>103</v>
      </c>
      <c r="F4353" s="3"/>
      <c r="G4353" s="3"/>
      <c r="H4353" s="24" t="n">
        <v>-0.0414207093</v>
      </c>
    </row>
    <row r="4354" customFormat="false" ht="15" hidden="false" customHeight="false" outlineLevel="0" collapsed="false">
      <c r="A4354" s="3" t="n">
        <v>4353</v>
      </c>
      <c r="B4354" s="3" t="n">
        <v>4352</v>
      </c>
      <c r="C4354" s="3" t="s">
        <v>119</v>
      </c>
      <c r="D4354" s="3" t="n">
        <v>5</v>
      </c>
      <c r="E4354" s="3" t="n">
        <v>104</v>
      </c>
      <c r="F4354" s="3"/>
      <c r="G4354" s="3"/>
      <c r="H4354" s="24" t="n">
        <v>-0.16911307</v>
      </c>
    </row>
    <row r="4355" customFormat="false" ht="15" hidden="false" customHeight="false" outlineLevel="0" collapsed="false">
      <c r="A4355" s="3" t="n">
        <v>4354</v>
      </c>
      <c r="B4355" s="3" t="n">
        <v>4353</v>
      </c>
      <c r="C4355" s="3" t="s">
        <v>119</v>
      </c>
      <c r="D4355" s="3" t="n">
        <v>5</v>
      </c>
      <c r="E4355" s="3" t="n">
        <v>105</v>
      </c>
      <c r="F4355" s="3"/>
      <c r="G4355" s="3"/>
      <c r="H4355" s="24" t="n">
        <v>-0.366425306</v>
      </c>
    </row>
    <row r="4356" customFormat="false" ht="15" hidden="false" customHeight="false" outlineLevel="0" collapsed="false">
      <c r="A4356" s="3" t="n">
        <v>4355</v>
      </c>
      <c r="B4356" s="3" t="n">
        <v>4354</v>
      </c>
      <c r="C4356" s="3" t="s">
        <v>119</v>
      </c>
      <c r="D4356" s="3" t="n">
        <v>5</v>
      </c>
      <c r="E4356" s="3" t="n">
        <v>106</v>
      </c>
      <c r="F4356" s="3"/>
      <c r="G4356" s="3"/>
      <c r="H4356" s="24" t="n">
        <v>0.209464058</v>
      </c>
    </row>
    <row r="4357" customFormat="false" ht="15" hidden="false" customHeight="false" outlineLevel="0" collapsed="false">
      <c r="A4357" s="3" t="n">
        <v>4356</v>
      </c>
      <c r="B4357" s="3" t="n">
        <v>4355</v>
      </c>
      <c r="C4357" s="3" t="s">
        <v>119</v>
      </c>
      <c r="D4357" s="3" t="n">
        <v>5</v>
      </c>
      <c r="E4357" s="3" t="n">
        <v>107</v>
      </c>
      <c r="F4357" s="3"/>
      <c r="G4357" s="3"/>
      <c r="H4357" s="24" t="n">
        <v>0.0967978016</v>
      </c>
    </row>
    <row r="4358" customFormat="false" ht="15" hidden="false" customHeight="false" outlineLevel="0" collapsed="false">
      <c r="A4358" s="3" t="n">
        <v>4357</v>
      </c>
      <c r="B4358" s="3" t="n">
        <v>4356</v>
      </c>
      <c r="C4358" s="3" t="s">
        <v>119</v>
      </c>
      <c r="D4358" s="3" t="n">
        <v>5</v>
      </c>
      <c r="E4358" s="3" t="n">
        <v>108</v>
      </c>
      <c r="F4358" s="3"/>
      <c r="G4358" s="3"/>
      <c r="H4358" s="24" t="n">
        <v>0.049627468</v>
      </c>
    </row>
    <row r="4359" customFormat="false" ht="15" hidden="false" customHeight="false" outlineLevel="0" collapsed="false">
      <c r="A4359" s="3" t="n">
        <v>4358</v>
      </c>
      <c r="B4359" s="3" t="n">
        <v>4357</v>
      </c>
      <c r="C4359" s="3" t="s">
        <v>119</v>
      </c>
      <c r="D4359" s="3" t="n">
        <v>5</v>
      </c>
      <c r="E4359" s="3" t="n">
        <v>109</v>
      </c>
      <c r="F4359" s="3"/>
      <c r="G4359" s="3"/>
      <c r="H4359" s="24" t="n">
        <v>0.382319897</v>
      </c>
    </row>
    <row r="4360" customFormat="false" ht="15" hidden="false" customHeight="false" outlineLevel="0" collapsed="false">
      <c r="A4360" s="3" t="n">
        <v>4359</v>
      </c>
      <c r="B4360" s="3" t="n">
        <v>4358</v>
      </c>
      <c r="C4360" s="3" t="s">
        <v>119</v>
      </c>
      <c r="D4360" s="3" t="n">
        <v>5</v>
      </c>
      <c r="E4360" s="3" t="n">
        <v>110</v>
      </c>
      <c r="F4360" s="3"/>
      <c r="G4360" s="3"/>
      <c r="H4360" s="24" t="n">
        <v>0.115074784</v>
      </c>
    </row>
    <row r="4361" customFormat="false" ht="15" hidden="false" customHeight="false" outlineLevel="0" collapsed="false">
      <c r="A4361" s="3" t="n">
        <v>4360</v>
      </c>
      <c r="B4361" s="3" t="n">
        <v>4359</v>
      </c>
      <c r="C4361" s="3" t="s">
        <v>119</v>
      </c>
      <c r="D4361" s="3" t="n">
        <v>5</v>
      </c>
      <c r="E4361" s="3" t="n">
        <v>111</v>
      </c>
      <c r="F4361" s="3"/>
      <c r="G4361" s="3"/>
      <c r="H4361" s="24" t="n">
        <v>-0.00545921316</v>
      </c>
    </row>
    <row r="4362" customFormat="false" ht="15" hidden="false" customHeight="false" outlineLevel="0" collapsed="false">
      <c r="A4362" s="3" t="n">
        <v>4361</v>
      </c>
      <c r="B4362" s="3" t="n">
        <v>4360</v>
      </c>
      <c r="C4362" s="3" t="s">
        <v>119</v>
      </c>
      <c r="D4362" s="3" t="n">
        <v>5</v>
      </c>
      <c r="E4362" s="3" t="n">
        <v>112</v>
      </c>
      <c r="F4362" s="3"/>
      <c r="G4362" s="3"/>
      <c r="H4362" s="24" t="n">
        <v>-0.0149542289</v>
      </c>
    </row>
    <row r="4363" customFormat="false" ht="15" hidden="false" customHeight="false" outlineLevel="0" collapsed="false">
      <c r="A4363" s="3" t="n">
        <v>4362</v>
      </c>
      <c r="B4363" s="3" t="n">
        <v>4361</v>
      </c>
      <c r="C4363" s="3" t="s">
        <v>119</v>
      </c>
      <c r="D4363" s="3" t="n">
        <v>5</v>
      </c>
      <c r="E4363" s="3" t="n">
        <v>113</v>
      </c>
      <c r="F4363" s="3"/>
      <c r="G4363" s="3"/>
      <c r="H4363" s="24" t="n">
        <v>0.162537619</v>
      </c>
    </row>
    <row r="4364" customFormat="false" ht="15" hidden="false" customHeight="false" outlineLevel="0" collapsed="false">
      <c r="A4364" s="3" t="n">
        <v>4363</v>
      </c>
      <c r="B4364" s="3" t="n">
        <v>4362</v>
      </c>
      <c r="C4364" s="3" t="s">
        <v>119</v>
      </c>
      <c r="D4364" s="3" t="n">
        <v>5</v>
      </c>
      <c r="E4364" s="3" t="n">
        <v>114</v>
      </c>
      <c r="F4364" s="3"/>
      <c r="G4364" s="3"/>
      <c r="H4364" s="24" t="n">
        <v>-0.103509367</v>
      </c>
    </row>
    <row r="4365" customFormat="false" ht="15" hidden="false" customHeight="false" outlineLevel="0" collapsed="false">
      <c r="A4365" s="3" t="n">
        <v>4364</v>
      </c>
      <c r="B4365" s="3" t="n">
        <v>4363</v>
      </c>
      <c r="C4365" s="3" t="s">
        <v>119</v>
      </c>
      <c r="D4365" s="3" t="n">
        <v>5</v>
      </c>
      <c r="E4365" s="3" t="n">
        <v>115</v>
      </c>
      <c r="F4365" s="3"/>
      <c r="G4365" s="3"/>
      <c r="H4365" s="24" t="n">
        <v>-0.164816722</v>
      </c>
    </row>
    <row r="4366" customFormat="false" ht="15" hidden="false" customHeight="false" outlineLevel="0" collapsed="false">
      <c r="A4366" s="3" t="n">
        <v>4365</v>
      </c>
      <c r="B4366" s="3" t="n">
        <v>4364</v>
      </c>
      <c r="C4366" s="3" t="s">
        <v>119</v>
      </c>
      <c r="D4366" s="3" t="n">
        <v>5</v>
      </c>
      <c r="E4366" s="3" t="n">
        <v>116</v>
      </c>
      <c r="F4366" s="3"/>
      <c r="G4366" s="3"/>
      <c r="H4366" s="24" t="n">
        <v>-0.146591455</v>
      </c>
    </row>
    <row r="4367" customFormat="false" ht="15" hidden="false" customHeight="false" outlineLevel="0" collapsed="false">
      <c r="A4367" s="3" t="n">
        <v>4366</v>
      </c>
      <c r="B4367" s="3" t="n">
        <v>4365</v>
      </c>
      <c r="C4367" s="3" t="s">
        <v>119</v>
      </c>
      <c r="D4367" s="3" t="n">
        <v>5</v>
      </c>
      <c r="E4367" s="3" t="n">
        <v>117</v>
      </c>
      <c r="F4367" s="3"/>
      <c r="G4367" s="3"/>
      <c r="H4367" s="24" t="n">
        <v>-0.215781406</v>
      </c>
    </row>
    <row r="4368" customFormat="false" ht="15" hidden="false" customHeight="false" outlineLevel="0" collapsed="false">
      <c r="A4368" s="3" t="n">
        <v>4367</v>
      </c>
      <c r="B4368" s="3" t="n">
        <v>4366</v>
      </c>
      <c r="C4368" s="3" t="s">
        <v>119</v>
      </c>
      <c r="D4368" s="3" t="n">
        <v>5</v>
      </c>
      <c r="E4368" s="3" t="n">
        <v>118</v>
      </c>
      <c r="F4368" s="3"/>
      <c r="G4368" s="3"/>
      <c r="H4368" s="24" t="n">
        <v>0.0701427832</v>
      </c>
    </row>
    <row r="4369" customFormat="false" ht="15" hidden="false" customHeight="false" outlineLevel="0" collapsed="false">
      <c r="A4369" s="3" t="n">
        <v>4368</v>
      </c>
      <c r="B4369" s="3" t="n">
        <v>4367</v>
      </c>
      <c r="C4369" s="3" t="s">
        <v>119</v>
      </c>
      <c r="D4369" s="3" t="n">
        <v>5</v>
      </c>
      <c r="E4369" s="3" t="n">
        <v>119</v>
      </c>
      <c r="F4369" s="3"/>
      <c r="G4369" s="3"/>
      <c r="H4369" s="24" t="n">
        <v>0.0900098383</v>
      </c>
    </row>
    <row r="4370" customFormat="false" ht="15" hidden="false" customHeight="false" outlineLevel="0" collapsed="false">
      <c r="A4370" s="3" t="n">
        <v>4369</v>
      </c>
      <c r="B4370" s="3" t="n">
        <v>4368</v>
      </c>
      <c r="C4370" s="3" t="s">
        <v>119</v>
      </c>
      <c r="D4370" s="3" t="n">
        <v>5</v>
      </c>
      <c r="E4370" s="3" t="n">
        <v>120</v>
      </c>
      <c r="F4370" s="3"/>
      <c r="G4370" s="3"/>
      <c r="H4370" s="24" t="n">
        <v>0.0074553364</v>
      </c>
    </row>
    <row r="4371" customFormat="false" ht="15" hidden="false" customHeight="false" outlineLevel="0" collapsed="false">
      <c r="A4371" s="3" t="n">
        <v>4370</v>
      </c>
      <c r="B4371" s="3" t="n">
        <v>4369</v>
      </c>
      <c r="C4371" s="3" t="s">
        <v>119</v>
      </c>
      <c r="D4371" s="3" t="n">
        <v>5</v>
      </c>
      <c r="E4371" s="3" t="n">
        <v>121</v>
      </c>
      <c r="F4371" s="3"/>
      <c r="G4371" s="3"/>
      <c r="H4371" s="24" t="n">
        <v>0.0179700963</v>
      </c>
    </row>
    <row r="4372" customFormat="false" ht="15" hidden="false" customHeight="false" outlineLevel="0" collapsed="false">
      <c r="A4372" s="3" t="n">
        <v>4371</v>
      </c>
      <c r="B4372" s="3" t="n">
        <v>4370</v>
      </c>
      <c r="C4372" s="3" t="s">
        <v>119</v>
      </c>
      <c r="D4372" s="3" t="n">
        <v>5</v>
      </c>
      <c r="E4372" s="3" t="n">
        <v>122</v>
      </c>
      <c r="F4372" s="3"/>
      <c r="G4372" s="3"/>
      <c r="H4372" s="24" t="n">
        <v>-0.0861443877</v>
      </c>
    </row>
    <row r="4373" customFormat="false" ht="15" hidden="false" customHeight="false" outlineLevel="0" collapsed="false">
      <c r="A4373" s="3" t="n">
        <v>4372</v>
      </c>
      <c r="B4373" s="3" t="n">
        <v>4371</v>
      </c>
      <c r="C4373" s="3" t="s">
        <v>119</v>
      </c>
      <c r="D4373" s="3" t="n">
        <v>5</v>
      </c>
      <c r="E4373" s="3" t="n">
        <v>123</v>
      </c>
      <c r="F4373" s="3"/>
      <c r="G4373" s="3"/>
      <c r="H4373" s="24" t="n">
        <v>0.0213789549</v>
      </c>
    </row>
    <row r="4374" customFormat="false" ht="15" hidden="false" customHeight="false" outlineLevel="0" collapsed="false">
      <c r="A4374" s="3" t="n">
        <v>4373</v>
      </c>
      <c r="B4374" s="3" t="n">
        <v>4372</v>
      </c>
      <c r="C4374" s="3" t="s">
        <v>119</v>
      </c>
      <c r="D4374" s="3" t="n">
        <v>5</v>
      </c>
      <c r="E4374" s="3" t="n">
        <v>124</v>
      </c>
      <c r="F4374" s="3"/>
      <c r="G4374" s="3"/>
      <c r="H4374" s="24" t="n">
        <v>0.0612487011</v>
      </c>
    </row>
    <row r="4375" customFormat="false" ht="15" hidden="false" customHeight="false" outlineLevel="0" collapsed="false">
      <c r="A4375" s="3" t="n">
        <v>4374</v>
      </c>
      <c r="B4375" s="3" t="n">
        <v>4373</v>
      </c>
      <c r="C4375" s="3" t="s">
        <v>119</v>
      </c>
      <c r="D4375" s="3" t="n">
        <v>5</v>
      </c>
      <c r="E4375" s="3" t="n">
        <v>125</v>
      </c>
      <c r="F4375" s="3"/>
      <c r="G4375" s="3"/>
      <c r="H4375" s="24" t="n">
        <v>-0.0916013494</v>
      </c>
    </row>
    <row r="4376" customFormat="false" ht="15" hidden="false" customHeight="false" outlineLevel="0" collapsed="false">
      <c r="A4376" s="3" t="n">
        <v>4375</v>
      </c>
      <c r="B4376" s="3" t="n">
        <v>4374</v>
      </c>
      <c r="C4376" s="3" t="s">
        <v>119</v>
      </c>
      <c r="D4376" s="3" t="n">
        <v>5</v>
      </c>
      <c r="E4376" s="3" t="n">
        <v>126</v>
      </c>
      <c r="F4376" s="3"/>
      <c r="G4376" s="3"/>
      <c r="H4376" s="24" t="n">
        <v>0.211597607</v>
      </c>
    </row>
    <row r="4377" customFormat="false" ht="15" hidden="false" customHeight="false" outlineLevel="0" collapsed="false">
      <c r="A4377" s="3" t="n">
        <v>4376</v>
      </c>
      <c r="B4377" s="3" t="n">
        <v>4375</v>
      </c>
      <c r="C4377" s="3" t="s">
        <v>119</v>
      </c>
      <c r="D4377" s="3" t="n">
        <v>5</v>
      </c>
      <c r="E4377" s="3" t="n">
        <v>127</v>
      </c>
      <c r="F4377" s="3"/>
      <c r="G4377" s="3"/>
      <c r="H4377" s="24" t="n">
        <v>0.177252769</v>
      </c>
    </row>
    <row r="4378" customFormat="false" ht="15" hidden="false" customHeight="false" outlineLevel="0" collapsed="false">
      <c r="A4378" s="3" t="n">
        <v>4377</v>
      </c>
      <c r="B4378" s="3" t="n">
        <v>4376</v>
      </c>
      <c r="C4378" s="3" t="s">
        <v>119</v>
      </c>
      <c r="D4378" s="3" t="n">
        <v>5</v>
      </c>
      <c r="E4378" s="3" t="n">
        <v>128</v>
      </c>
      <c r="F4378" s="3"/>
      <c r="G4378" s="3"/>
      <c r="H4378" s="24" t="n">
        <v>0.28641817</v>
      </c>
    </row>
    <row r="4379" customFormat="false" ht="15" hidden="false" customHeight="false" outlineLevel="0" collapsed="false">
      <c r="A4379" s="3" t="n">
        <v>4378</v>
      </c>
      <c r="B4379" s="3" t="n">
        <v>4377</v>
      </c>
      <c r="C4379" s="3" t="s">
        <v>119</v>
      </c>
      <c r="D4379" s="3" t="n">
        <v>5</v>
      </c>
      <c r="E4379" s="3" t="n">
        <v>129</v>
      </c>
      <c r="F4379" s="3"/>
      <c r="G4379" s="3"/>
      <c r="H4379" s="24" t="n">
        <v>-0.0753952786</v>
      </c>
    </row>
    <row r="4380" customFormat="false" ht="15" hidden="false" customHeight="false" outlineLevel="0" collapsed="false">
      <c r="A4380" s="3" t="n">
        <v>4379</v>
      </c>
      <c r="B4380" s="3" t="n">
        <v>4378</v>
      </c>
      <c r="C4380" s="3" t="s">
        <v>119</v>
      </c>
      <c r="D4380" s="3" t="n">
        <v>5</v>
      </c>
      <c r="E4380" s="3" t="n">
        <v>130</v>
      </c>
      <c r="F4380" s="3"/>
      <c r="G4380" s="3"/>
      <c r="H4380" s="24" t="n">
        <v>-0.039685294</v>
      </c>
    </row>
    <row r="4381" customFormat="false" ht="15" hidden="false" customHeight="false" outlineLevel="0" collapsed="false">
      <c r="A4381" s="3" t="n">
        <v>4380</v>
      </c>
      <c r="B4381" s="3" t="n">
        <v>4379</v>
      </c>
      <c r="C4381" s="3" t="s">
        <v>119</v>
      </c>
      <c r="D4381" s="3" t="n">
        <v>5</v>
      </c>
      <c r="E4381" s="3" t="n">
        <v>131</v>
      </c>
      <c r="F4381" s="3"/>
      <c r="G4381" s="3"/>
      <c r="H4381" s="24" t="n">
        <v>-0.22012043</v>
      </c>
    </row>
    <row r="4382" customFormat="false" ht="15" hidden="false" customHeight="false" outlineLevel="0" collapsed="false">
      <c r="A4382" s="3" t="n">
        <v>4381</v>
      </c>
      <c r="B4382" s="3" t="n">
        <v>4380</v>
      </c>
      <c r="C4382" s="3" t="s">
        <v>119</v>
      </c>
      <c r="D4382" s="3" t="n">
        <v>5</v>
      </c>
      <c r="E4382" s="3" t="n">
        <v>132</v>
      </c>
      <c r="F4382" s="3"/>
      <c r="G4382" s="3"/>
      <c r="H4382" s="24" t="n">
        <v>-0.497444272</v>
      </c>
    </row>
    <row r="4383" customFormat="false" ht="15" hidden="false" customHeight="false" outlineLevel="0" collapsed="false">
      <c r="A4383" s="3" t="n">
        <v>4382</v>
      </c>
      <c r="B4383" s="3" t="n">
        <v>4381</v>
      </c>
      <c r="C4383" s="3" t="s">
        <v>119</v>
      </c>
      <c r="D4383" s="3" t="n">
        <v>5</v>
      </c>
      <c r="E4383" s="3" t="n">
        <v>133</v>
      </c>
      <c r="F4383" s="3"/>
      <c r="G4383" s="3"/>
      <c r="H4383" s="24" t="n">
        <v>0.113236405</v>
      </c>
    </row>
    <row r="4384" customFormat="false" ht="15" hidden="false" customHeight="false" outlineLevel="0" collapsed="false">
      <c r="A4384" s="3" t="n">
        <v>4383</v>
      </c>
      <c r="B4384" s="3" t="n">
        <v>4382</v>
      </c>
      <c r="C4384" s="3" t="s">
        <v>119</v>
      </c>
      <c r="D4384" s="3" t="n">
        <v>5</v>
      </c>
      <c r="E4384" s="3" t="n">
        <v>134</v>
      </c>
      <c r="F4384" s="3"/>
      <c r="G4384" s="3"/>
      <c r="H4384" s="24" t="n">
        <v>0.018924173</v>
      </c>
    </row>
    <row r="4385" customFormat="false" ht="15" hidden="false" customHeight="false" outlineLevel="0" collapsed="false">
      <c r="A4385" s="3" t="n">
        <v>4384</v>
      </c>
      <c r="B4385" s="3" t="n">
        <v>4383</v>
      </c>
      <c r="C4385" s="3" t="s">
        <v>119</v>
      </c>
      <c r="D4385" s="3" t="n">
        <v>5</v>
      </c>
      <c r="E4385" s="3" t="n">
        <v>135</v>
      </c>
      <c r="F4385" s="3"/>
      <c r="G4385" s="3"/>
      <c r="H4385" s="24" t="n">
        <v>0.0975657701</v>
      </c>
    </row>
    <row r="4386" customFormat="false" ht="15" hidden="false" customHeight="false" outlineLevel="0" collapsed="false">
      <c r="A4386" s="3" t="n">
        <v>4385</v>
      </c>
      <c r="B4386" s="3" t="n">
        <v>4384</v>
      </c>
      <c r="C4386" s="3" t="s">
        <v>119</v>
      </c>
      <c r="D4386" s="3" t="n">
        <v>5</v>
      </c>
      <c r="E4386" s="3" t="n">
        <v>136</v>
      </c>
      <c r="F4386" s="3"/>
      <c r="G4386" s="3"/>
      <c r="H4386" s="24" t="n">
        <v>0.2340893</v>
      </c>
    </row>
    <row r="4387" customFormat="false" ht="15" hidden="false" customHeight="false" outlineLevel="0" collapsed="false">
      <c r="A4387" s="3" t="n">
        <v>4386</v>
      </c>
      <c r="B4387" s="3" t="n">
        <v>4385</v>
      </c>
      <c r="C4387" s="3" t="s">
        <v>119</v>
      </c>
      <c r="D4387" s="3" t="n">
        <v>5</v>
      </c>
      <c r="E4387" s="3" t="n">
        <v>137</v>
      </c>
      <c r="F4387" s="3"/>
      <c r="G4387" s="3"/>
      <c r="H4387" s="24" t="n">
        <v>0.216693506</v>
      </c>
    </row>
    <row r="4388" customFormat="false" ht="15" hidden="false" customHeight="false" outlineLevel="0" collapsed="false">
      <c r="A4388" s="3" t="n">
        <v>4387</v>
      </c>
      <c r="B4388" s="3" t="n">
        <v>4386</v>
      </c>
      <c r="C4388" s="3" t="s">
        <v>119</v>
      </c>
      <c r="D4388" s="3" t="n">
        <v>5</v>
      </c>
      <c r="E4388" s="3" t="n">
        <v>138</v>
      </c>
      <c r="F4388" s="3"/>
      <c r="G4388" s="3"/>
      <c r="H4388" s="24" t="n">
        <v>-0.0411284082</v>
      </c>
    </row>
    <row r="4389" customFormat="false" ht="15" hidden="false" customHeight="false" outlineLevel="0" collapsed="false">
      <c r="A4389" s="3" t="n">
        <v>4388</v>
      </c>
      <c r="B4389" s="3" t="n">
        <v>4387</v>
      </c>
      <c r="C4389" s="3" t="s">
        <v>119</v>
      </c>
      <c r="D4389" s="3" t="n">
        <v>5</v>
      </c>
      <c r="E4389" s="3" t="n">
        <v>139</v>
      </c>
      <c r="F4389" s="3"/>
      <c r="G4389" s="3"/>
      <c r="H4389" s="24" t="n">
        <v>-0.0762638971</v>
      </c>
    </row>
    <row r="4390" customFormat="false" ht="15" hidden="false" customHeight="false" outlineLevel="0" collapsed="false">
      <c r="A4390" s="3" t="n">
        <v>4389</v>
      </c>
      <c r="B4390" s="3" t="n">
        <v>4388</v>
      </c>
      <c r="C4390" s="3" t="s">
        <v>119</v>
      </c>
      <c r="D4390" s="3" t="n">
        <v>5</v>
      </c>
      <c r="E4390" s="3" t="n">
        <v>140</v>
      </c>
      <c r="F4390" s="3"/>
      <c r="G4390" s="3"/>
      <c r="H4390" s="24" t="n">
        <v>-0.119769044</v>
      </c>
    </row>
    <row r="4391" customFormat="false" ht="15" hidden="false" customHeight="false" outlineLevel="0" collapsed="false">
      <c r="A4391" s="3" t="n">
        <v>4390</v>
      </c>
      <c r="B4391" s="3" t="n">
        <v>4389</v>
      </c>
      <c r="C4391" s="3" t="s">
        <v>119</v>
      </c>
      <c r="D4391" s="3" t="n">
        <v>5</v>
      </c>
      <c r="E4391" s="3" t="n">
        <v>141</v>
      </c>
      <c r="F4391" s="3"/>
      <c r="G4391" s="3"/>
      <c r="H4391" s="24" t="n">
        <v>-0.492474258</v>
      </c>
    </row>
    <row r="4392" customFormat="false" ht="15" hidden="false" customHeight="false" outlineLevel="0" collapsed="false">
      <c r="A4392" s="3" t="n">
        <v>4391</v>
      </c>
      <c r="B4392" s="3" t="n">
        <v>4390</v>
      </c>
      <c r="C4392" s="3" t="s">
        <v>119</v>
      </c>
      <c r="D4392" s="3" t="n">
        <v>5</v>
      </c>
      <c r="E4392" s="3" t="n">
        <v>142</v>
      </c>
      <c r="F4392" s="3"/>
      <c r="G4392" s="3"/>
      <c r="H4392" s="24" t="n">
        <v>-0.121928029</v>
      </c>
    </row>
    <row r="4393" customFormat="false" ht="15" hidden="false" customHeight="false" outlineLevel="0" collapsed="false">
      <c r="A4393" s="3" t="n">
        <v>4392</v>
      </c>
      <c r="B4393" s="3" t="n">
        <v>4391</v>
      </c>
      <c r="C4393" s="3" t="s">
        <v>119</v>
      </c>
      <c r="D4393" s="3" t="n">
        <v>5</v>
      </c>
      <c r="E4393" s="3" t="n">
        <v>143</v>
      </c>
      <c r="F4393" s="3"/>
      <c r="G4393" s="3"/>
      <c r="H4393" s="24" t="n">
        <v>0.133028269</v>
      </c>
    </row>
    <row r="4394" customFormat="false" ht="15" hidden="false" customHeight="false" outlineLevel="0" collapsed="false">
      <c r="A4394" s="3" t="n">
        <v>4393</v>
      </c>
      <c r="B4394" s="3" t="n">
        <v>4392</v>
      </c>
      <c r="C4394" s="3" t="s">
        <v>119</v>
      </c>
      <c r="D4394" s="3" t="n">
        <v>6</v>
      </c>
      <c r="E4394" s="3" t="n">
        <v>0</v>
      </c>
      <c r="F4394" s="3"/>
      <c r="G4394" s="3"/>
      <c r="H4394" s="24" t="n">
        <v>-0.11160814</v>
      </c>
    </row>
    <row r="4395" customFormat="false" ht="15" hidden="false" customHeight="false" outlineLevel="0" collapsed="false">
      <c r="A4395" s="3" t="n">
        <v>4394</v>
      </c>
      <c r="B4395" s="3" t="n">
        <v>4393</v>
      </c>
      <c r="C4395" s="3" t="s">
        <v>119</v>
      </c>
      <c r="D4395" s="3" t="n">
        <v>6</v>
      </c>
      <c r="E4395" s="3" t="n">
        <v>1</v>
      </c>
      <c r="F4395" s="3"/>
      <c r="G4395" s="3"/>
      <c r="H4395" s="24" t="n">
        <v>0.180325195</v>
      </c>
    </row>
    <row r="4396" customFormat="false" ht="15" hidden="false" customHeight="false" outlineLevel="0" collapsed="false">
      <c r="A4396" s="3" t="n">
        <v>4395</v>
      </c>
      <c r="B4396" s="3" t="n">
        <v>4394</v>
      </c>
      <c r="C4396" s="3" t="s">
        <v>119</v>
      </c>
      <c r="D4396" s="3" t="n">
        <v>6</v>
      </c>
      <c r="E4396" s="3" t="n">
        <v>2</v>
      </c>
      <c r="F4396" s="3"/>
      <c r="G4396" s="3"/>
      <c r="H4396" s="24" t="n">
        <v>0.144702524</v>
      </c>
    </row>
    <row r="4397" customFormat="false" ht="15" hidden="false" customHeight="false" outlineLevel="0" collapsed="false">
      <c r="A4397" s="3" t="n">
        <v>4396</v>
      </c>
      <c r="B4397" s="3" t="n">
        <v>4395</v>
      </c>
      <c r="C4397" s="3" t="s">
        <v>119</v>
      </c>
      <c r="D4397" s="3" t="n">
        <v>6</v>
      </c>
      <c r="E4397" s="3" t="n">
        <v>3</v>
      </c>
      <c r="F4397" s="3"/>
      <c r="G4397" s="3"/>
      <c r="H4397" s="24" t="n">
        <v>-0.334989637</v>
      </c>
    </row>
    <row r="4398" customFormat="false" ht="15" hidden="false" customHeight="false" outlineLevel="0" collapsed="false">
      <c r="A4398" s="3" t="n">
        <v>4397</v>
      </c>
      <c r="B4398" s="3" t="n">
        <v>4396</v>
      </c>
      <c r="C4398" s="3" t="s">
        <v>119</v>
      </c>
      <c r="D4398" s="3" t="n">
        <v>6</v>
      </c>
      <c r="E4398" s="3" t="n">
        <v>4</v>
      </c>
      <c r="F4398" s="3"/>
      <c r="G4398" s="3"/>
      <c r="H4398" s="24" t="n">
        <v>-0.135436371</v>
      </c>
    </row>
    <row r="4399" customFormat="false" ht="15" hidden="false" customHeight="false" outlineLevel="0" collapsed="false">
      <c r="A4399" s="3" t="n">
        <v>4398</v>
      </c>
      <c r="B4399" s="3" t="n">
        <v>4397</v>
      </c>
      <c r="C4399" s="3" t="s">
        <v>119</v>
      </c>
      <c r="D4399" s="3" t="n">
        <v>6</v>
      </c>
      <c r="E4399" s="3" t="n">
        <v>5</v>
      </c>
      <c r="F4399" s="3"/>
      <c r="G4399" s="3"/>
      <c r="H4399" s="24" t="n">
        <v>-0.0266678929</v>
      </c>
    </row>
    <row r="4400" customFormat="false" ht="15" hidden="false" customHeight="false" outlineLevel="0" collapsed="false">
      <c r="A4400" s="3" t="n">
        <v>4399</v>
      </c>
      <c r="B4400" s="3" t="n">
        <v>4398</v>
      </c>
      <c r="C4400" s="3" t="s">
        <v>119</v>
      </c>
      <c r="D4400" s="3" t="n">
        <v>6</v>
      </c>
      <c r="E4400" s="3" t="n">
        <v>6</v>
      </c>
      <c r="F4400" s="3"/>
      <c r="G4400" s="3"/>
      <c r="H4400" s="24" t="n">
        <v>-0.0402421318</v>
      </c>
    </row>
    <row r="4401" customFormat="false" ht="15" hidden="false" customHeight="false" outlineLevel="0" collapsed="false">
      <c r="A4401" s="3" t="n">
        <v>4400</v>
      </c>
      <c r="B4401" s="3" t="n">
        <v>4399</v>
      </c>
      <c r="C4401" s="3" t="s">
        <v>119</v>
      </c>
      <c r="D4401" s="3" t="n">
        <v>6</v>
      </c>
      <c r="E4401" s="3" t="n">
        <v>7</v>
      </c>
      <c r="F4401" s="3"/>
      <c r="G4401" s="3"/>
      <c r="H4401" s="24" t="n">
        <v>0.136403978</v>
      </c>
    </row>
    <row r="4402" customFormat="false" ht="15" hidden="false" customHeight="false" outlineLevel="0" collapsed="false">
      <c r="A4402" s="3" t="n">
        <v>4401</v>
      </c>
      <c r="B4402" s="3" t="n">
        <v>4400</v>
      </c>
      <c r="C4402" s="3" t="s">
        <v>119</v>
      </c>
      <c r="D4402" s="3" t="n">
        <v>6</v>
      </c>
      <c r="E4402" s="3" t="n">
        <v>8</v>
      </c>
      <c r="F4402" s="3"/>
      <c r="G4402" s="3"/>
      <c r="H4402" s="24" t="n">
        <v>-0.0769595802</v>
      </c>
    </row>
    <row r="4403" customFormat="false" ht="15" hidden="false" customHeight="false" outlineLevel="0" collapsed="false">
      <c r="A4403" s="3" t="n">
        <v>4402</v>
      </c>
      <c r="B4403" s="3" t="n">
        <v>4401</v>
      </c>
      <c r="C4403" s="3" t="s">
        <v>119</v>
      </c>
      <c r="D4403" s="3" t="n">
        <v>6</v>
      </c>
      <c r="E4403" s="3" t="n">
        <v>9</v>
      </c>
      <c r="F4403" s="3"/>
      <c r="G4403" s="3"/>
      <c r="H4403" s="24" t="n">
        <v>0.16118513</v>
      </c>
    </row>
    <row r="4404" customFormat="false" ht="15" hidden="false" customHeight="false" outlineLevel="0" collapsed="false">
      <c r="A4404" s="3" t="n">
        <v>4403</v>
      </c>
      <c r="B4404" s="3" t="n">
        <v>4402</v>
      </c>
      <c r="C4404" s="3" t="s">
        <v>119</v>
      </c>
      <c r="D4404" s="3" t="n">
        <v>6</v>
      </c>
      <c r="E4404" s="3" t="n">
        <v>10</v>
      </c>
      <c r="F4404" s="3"/>
      <c r="G4404" s="3"/>
      <c r="H4404" s="24" t="n">
        <v>0.249587983</v>
      </c>
    </row>
    <row r="4405" customFormat="false" ht="15" hidden="false" customHeight="false" outlineLevel="0" collapsed="false">
      <c r="A4405" s="3" t="n">
        <v>4404</v>
      </c>
      <c r="B4405" s="3" t="n">
        <v>4403</v>
      </c>
      <c r="C4405" s="3" t="s">
        <v>119</v>
      </c>
      <c r="D4405" s="3" t="n">
        <v>6</v>
      </c>
      <c r="E4405" s="3" t="n">
        <v>11</v>
      </c>
      <c r="F4405" s="3"/>
      <c r="G4405" s="3"/>
      <c r="H4405" s="24" t="n">
        <v>-0.139635414</v>
      </c>
    </row>
    <row r="4406" customFormat="false" ht="15" hidden="false" customHeight="false" outlineLevel="0" collapsed="false">
      <c r="A4406" s="3" t="n">
        <v>4405</v>
      </c>
      <c r="B4406" s="3" t="n">
        <v>4404</v>
      </c>
      <c r="C4406" s="3" t="s">
        <v>119</v>
      </c>
      <c r="D4406" s="3" t="n">
        <v>6</v>
      </c>
      <c r="E4406" s="3" t="n">
        <v>12</v>
      </c>
      <c r="F4406" s="3"/>
      <c r="G4406" s="3"/>
      <c r="H4406" s="24" t="n">
        <v>0.111061275</v>
      </c>
    </row>
    <row r="4407" customFormat="false" ht="15" hidden="false" customHeight="false" outlineLevel="0" collapsed="false">
      <c r="A4407" s="3" t="n">
        <v>4406</v>
      </c>
      <c r="B4407" s="3" t="n">
        <v>4405</v>
      </c>
      <c r="C4407" s="3" t="s">
        <v>119</v>
      </c>
      <c r="D4407" s="3" t="n">
        <v>6</v>
      </c>
      <c r="E4407" s="3" t="n">
        <v>13</v>
      </c>
      <c r="F4407" s="3"/>
      <c r="G4407" s="3"/>
      <c r="H4407" s="24" t="n">
        <v>-0.200519577</v>
      </c>
    </row>
    <row r="4408" customFormat="false" ht="15" hidden="false" customHeight="false" outlineLevel="0" collapsed="false">
      <c r="A4408" s="3" t="n">
        <v>4407</v>
      </c>
      <c r="B4408" s="3" t="n">
        <v>4406</v>
      </c>
      <c r="C4408" s="3" t="s">
        <v>119</v>
      </c>
      <c r="D4408" s="3" t="n">
        <v>6</v>
      </c>
      <c r="E4408" s="3" t="n">
        <v>14</v>
      </c>
      <c r="F4408" s="3"/>
      <c r="G4408" s="3"/>
      <c r="H4408" s="24" t="n">
        <v>-0.274034649</v>
      </c>
    </row>
    <row r="4409" customFormat="false" ht="15" hidden="false" customHeight="false" outlineLevel="0" collapsed="false">
      <c r="A4409" s="3" t="n">
        <v>4408</v>
      </c>
      <c r="B4409" s="3" t="n">
        <v>4407</v>
      </c>
      <c r="C4409" s="3" t="s">
        <v>119</v>
      </c>
      <c r="D4409" s="3" t="n">
        <v>6</v>
      </c>
      <c r="E4409" s="3" t="n">
        <v>15</v>
      </c>
      <c r="F4409" s="3"/>
      <c r="G4409" s="3"/>
      <c r="H4409" s="24" t="n">
        <v>0.217918977</v>
      </c>
    </row>
    <row r="4410" customFormat="false" ht="15" hidden="false" customHeight="false" outlineLevel="0" collapsed="false">
      <c r="A4410" s="3" t="n">
        <v>4409</v>
      </c>
      <c r="B4410" s="3" t="n">
        <v>4408</v>
      </c>
      <c r="C4410" s="3" t="s">
        <v>119</v>
      </c>
      <c r="D4410" s="3" t="n">
        <v>6</v>
      </c>
      <c r="E4410" s="3" t="n">
        <v>16</v>
      </c>
      <c r="F4410" s="3"/>
      <c r="G4410" s="3"/>
      <c r="H4410" s="24" t="n">
        <v>-0.179336011</v>
      </c>
    </row>
    <row r="4411" customFormat="false" ht="15" hidden="false" customHeight="false" outlineLevel="0" collapsed="false">
      <c r="A4411" s="3" t="n">
        <v>4410</v>
      </c>
      <c r="B4411" s="3" t="n">
        <v>4409</v>
      </c>
      <c r="C4411" s="3" t="s">
        <v>119</v>
      </c>
      <c r="D4411" s="3" t="n">
        <v>6</v>
      </c>
      <c r="E4411" s="3" t="n">
        <v>17</v>
      </c>
      <c r="F4411" s="3"/>
      <c r="G4411" s="3"/>
      <c r="H4411" s="24" t="n">
        <v>-0.375584781</v>
      </c>
    </row>
    <row r="4412" customFormat="false" ht="15" hidden="false" customHeight="false" outlineLevel="0" collapsed="false">
      <c r="A4412" s="3" t="n">
        <v>4411</v>
      </c>
      <c r="B4412" s="3" t="n">
        <v>4410</v>
      </c>
      <c r="C4412" s="3" t="s">
        <v>119</v>
      </c>
      <c r="D4412" s="3" t="n">
        <v>6</v>
      </c>
      <c r="E4412" s="3" t="n">
        <v>18</v>
      </c>
      <c r="F4412" s="3"/>
      <c r="G4412" s="3"/>
      <c r="H4412" s="24" t="n">
        <v>-0.218465686</v>
      </c>
    </row>
    <row r="4413" customFormat="false" ht="15" hidden="false" customHeight="false" outlineLevel="0" collapsed="false">
      <c r="A4413" s="3" t="n">
        <v>4412</v>
      </c>
      <c r="B4413" s="3" t="n">
        <v>4411</v>
      </c>
      <c r="C4413" s="3" t="s">
        <v>119</v>
      </c>
      <c r="D4413" s="3" t="n">
        <v>6</v>
      </c>
      <c r="E4413" s="3" t="n">
        <v>19</v>
      </c>
      <c r="F4413" s="3"/>
      <c r="G4413" s="3"/>
      <c r="H4413" s="24" t="n">
        <v>0.0283647943</v>
      </c>
    </row>
    <row r="4414" customFormat="false" ht="15" hidden="false" customHeight="false" outlineLevel="0" collapsed="false">
      <c r="A4414" s="3" t="n">
        <v>4413</v>
      </c>
      <c r="B4414" s="3" t="n">
        <v>4412</v>
      </c>
      <c r="C4414" s="3" t="s">
        <v>119</v>
      </c>
      <c r="D4414" s="3" t="n">
        <v>6</v>
      </c>
      <c r="E4414" s="3" t="n">
        <v>20</v>
      </c>
      <c r="F4414" s="3"/>
      <c r="G4414" s="3"/>
      <c r="H4414" s="24" t="n">
        <v>0.0338470563</v>
      </c>
    </row>
    <row r="4415" customFormat="false" ht="15" hidden="false" customHeight="false" outlineLevel="0" collapsed="false">
      <c r="A4415" s="3" t="n">
        <v>4414</v>
      </c>
      <c r="B4415" s="3" t="n">
        <v>4413</v>
      </c>
      <c r="C4415" s="3" t="s">
        <v>119</v>
      </c>
      <c r="D4415" s="3" t="n">
        <v>6</v>
      </c>
      <c r="E4415" s="3" t="n">
        <v>21</v>
      </c>
      <c r="F4415" s="3"/>
      <c r="G4415" s="3"/>
      <c r="H4415" s="24" t="n">
        <v>-0.465201676</v>
      </c>
    </row>
    <row r="4416" customFormat="false" ht="15" hidden="false" customHeight="false" outlineLevel="0" collapsed="false">
      <c r="A4416" s="3" t="n">
        <v>4415</v>
      </c>
      <c r="B4416" s="3" t="n">
        <v>4414</v>
      </c>
      <c r="C4416" s="3" t="s">
        <v>119</v>
      </c>
      <c r="D4416" s="3" t="n">
        <v>6</v>
      </c>
      <c r="E4416" s="3" t="n">
        <v>22</v>
      </c>
      <c r="F4416" s="3"/>
      <c r="G4416" s="3"/>
      <c r="H4416" s="24" t="n">
        <v>-0.180550054</v>
      </c>
    </row>
    <row r="4417" customFormat="false" ht="15" hidden="false" customHeight="false" outlineLevel="0" collapsed="false">
      <c r="A4417" s="3" t="n">
        <v>4416</v>
      </c>
      <c r="B4417" s="3" t="n">
        <v>4415</v>
      </c>
      <c r="C4417" s="3" t="s">
        <v>119</v>
      </c>
      <c r="D4417" s="3" t="n">
        <v>6</v>
      </c>
      <c r="E4417" s="3" t="n">
        <v>23</v>
      </c>
      <c r="F4417" s="3"/>
      <c r="G4417" s="3"/>
      <c r="H4417" s="24" t="n">
        <v>0.00103387795</v>
      </c>
    </row>
    <row r="4418" customFormat="false" ht="15" hidden="false" customHeight="false" outlineLevel="0" collapsed="false">
      <c r="A4418" s="3" t="n">
        <v>4417</v>
      </c>
      <c r="B4418" s="3" t="n">
        <v>4416</v>
      </c>
      <c r="C4418" s="3" t="s">
        <v>119</v>
      </c>
      <c r="D4418" s="3" t="n">
        <v>6</v>
      </c>
      <c r="E4418" s="3" t="n">
        <v>24</v>
      </c>
      <c r="F4418" s="3"/>
      <c r="G4418" s="3"/>
      <c r="H4418" s="24" t="n">
        <v>-0.16698882</v>
      </c>
    </row>
    <row r="4419" customFormat="false" ht="15" hidden="false" customHeight="false" outlineLevel="0" collapsed="false">
      <c r="A4419" s="3" t="n">
        <v>4418</v>
      </c>
      <c r="B4419" s="3" t="n">
        <v>4417</v>
      </c>
      <c r="C4419" s="3" t="s">
        <v>119</v>
      </c>
      <c r="D4419" s="3" t="n">
        <v>6</v>
      </c>
      <c r="E4419" s="3" t="n">
        <v>25</v>
      </c>
      <c r="F4419" s="3"/>
      <c r="G4419" s="3"/>
      <c r="H4419" s="24" t="n">
        <v>0.13091813</v>
      </c>
    </row>
    <row r="4420" customFormat="false" ht="15" hidden="false" customHeight="false" outlineLevel="0" collapsed="false">
      <c r="A4420" s="3" t="n">
        <v>4419</v>
      </c>
      <c r="B4420" s="3" t="n">
        <v>4418</v>
      </c>
      <c r="C4420" s="3" t="s">
        <v>119</v>
      </c>
      <c r="D4420" s="3" t="n">
        <v>6</v>
      </c>
      <c r="E4420" s="3" t="n">
        <v>26</v>
      </c>
      <c r="F4420" s="3"/>
      <c r="G4420" s="3"/>
      <c r="H4420" s="24" t="n">
        <v>0.0748587623</v>
      </c>
    </row>
    <row r="4421" customFormat="false" ht="15" hidden="false" customHeight="false" outlineLevel="0" collapsed="false">
      <c r="A4421" s="3" t="n">
        <v>4420</v>
      </c>
      <c r="B4421" s="3" t="n">
        <v>4419</v>
      </c>
      <c r="C4421" s="3" t="s">
        <v>119</v>
      </c>
      <c r="D4421" s="3" t="n">
        <v>6</v>
      </c>
      <c r="E4421" s="3" t="n">
        <v>27</v>
      </c>
      <c r="F4421" s="3"/>
      <c r="G4421" s="3"/>
      <c r="H4421" s="24" t="n">
        <v>0.0314714871</v>
      </c>
    </row>
    <row r="4422" customFormat="false" ht="15" hidden="false" customHeight="false" outlineLevel="0" collapsed="false">
      <c r="A4422" s="3" t="n">
        <v>4421</v>
      </c>
      <c r="B4422" s="3" t="n">
        <v>4420</v>
      </c>
      <c r="C4422" s="3" t="s">
        <v>119</v>
      </c>
      <c r="D4422" s="3" t="n">
        <v>6</v>
      </c>
      <c r="E4422" s="3" t="n">
        <v>28</v>
      </c>
      <c r="F4422" s="3"/>
      <c r="G4422" s="3"/>
      <c r="H4422" s="24" t="n">
        <v>-0.167746142</v>
      </c>
    </row>
    <row r="4423" customFormat="false" ht="15" hidden="false" customHeight="false" outlineLevel="0" collapsed="false">
      <c r="A4423" s="3" t="n">
        <v>4422</v>
      </c>
      <c r="B4423" s="3" t="n">
        <v>4421</v>
      </c>
      <c r="C4423" s="3" t="s">
        <v>119</v>
      </c>
      <c r="D4423" s="3" t="n">
        <v>6</v>
      </c>
      <c r="E4423" s="3" t="n">
        <v>29</v>
      </c>
      <c r="F4423" s="3"/>
      <c r="G4423" s="3"/>
      <c r="H4423" s="24" t="n">
        <v>0.156502053</v>
      </c>
    </row>
    <row r="4424" customFormat="false" ht="15" hidden="false" customHeight="false" outlineLevel="0" collapsed="false">
      <c r="A4424" s="3" t="n">
        <v>4423</v>
      </c>
      <c r="B4424" s="3" t="n">
        <v>4422</v>
      </c>
      <c r="C4424" s="3" t="s">
        <v>119</v>
      </c>
      <c r="D4424" s="3" t="n">
        <v>6</v>
      </c>
      <c r="E4424" s="3" t="n">
        <v>30</v>
      </c>
      <c r="F4424" s="3"/>
      <c r="G4424" s="3"/>
      <c r="H4424" s="24" t="n">
        <v>0.0603206903</v>
      </c>
    </row>
    <row r="4425" customFormat="false" ht="15" hidden="false" customHeight="false" outlineLevel="0" collapsed="false">
      <c r="A4425" s="3" t="n">
        <v>4424</v>
      </c>
      <c r="B4425" s="3" t="n">
        <v>4423</v>
      </c>
      <c r="C4425" s="3" t="s">
        <v>119</v>
      </c>
      <c r="D4425" s="3" t="n">
        <v>6</v>
      </c>
      <c r="E4425" s="3" t="n">
        <v>31</v>
      </c>
      <c r="F4425" s="3"/>
      <c r="G4425" s="3"/>
      <c r="H4425" s="24" t="n">
        <v>-0.0869607478</v>
      </c>
    </row>
    <row r="4426" customFormat="false" ht="15" hidden="false" customHeight="false" outlineLevel="0" collapsed="false">
      <c r="A4426" s="3" t="n">
        <v>4425</v>
      </c>
      <c r="B4426" s="3" t="n">
        <v>4424</v>
      </c>
      <c r="C4426" s="3" t="s">
        <v>119</v>
      </c>
      <c r="D4426" s="3" t="n">
        <v>6</v>
      </c>
      <c r="E4426" s="3" t="n">
        <v>32</v>
      </c>
      <c r="F4426" s="3"/>
      <c r="G4426" s="3"/>
      <c r="H4426" s="24" t="n">
        <v>0.0291917007</v>
      </c>
    </row>
    <row r="4427" customFormat="false" ht="15" hidden="false" customHeight="false" outlineLevel="0" collapsed="false">
      <c r="A4427" s="3" t="n">
        <v>4426</v>
      </c>
      <c r="B4427" s="3" t="n">
        <v>4425</v>
      </c>
      <c r="C4427" s="3" t="s">
        <v>119</v>
      </c>
      <c r="D4427" s="3" t="n">
        <v>6</v>
      </c>
      <c r="E4427" s="3" t="n">
        <v>33</v>
      </c>
      <c r="F4427" s="3"/>
      <c r="G4427" s="3"/>
      <c r="H4427" s="24" t="n">
        <v>0.0050247605</v>
      </c>
    </row>
    <row r="4428" customFormat="false" ht="15" hidden="false" customHeight="false" outlineLevel="0" collapsed="false">
      <c r="A4428" s="3" t="n">
        <v>4427</v>
      </c>
      <c r="B4428" s="3" t="n">
        <v>4426</v>
      </c>
      <c r="C4428" s="3" t="s">
        <v>119</v>
      </c>
      <c r="D4428" s="3" t="n">
        <v>6</v>
      </c>
      <c r="E4428" s="3" t="n">
        <v>34</v>
      </c>
      <c r="F4428" s="3"/>
      <c r="G4428" s="3"/>
      <c r="H4428" s="24" t="n">
        <v>0.0419875272</v>
      </c>
    </row>
    <row r="4429" customFormat="false" ht="15" hidden="false" customHeight="false" outlineLevel="0" collapsed="false">
      <c r="A4429" s="3" t="n">
        <v>4428</v>
      </c>
      <c r="B4429" s="3" t="n">
        <v>4427</v>
      </c>
      <c r="C4429" s="3" t="s">
        <v>119</v>
      </c>
      <c r="D4429" s="3" t="n">
        <v>6</v>
      </c>
      <c r="E4429" s="3" t="n">
        <v>35</v>
      </c>
      <c r="F4429" s="3"/>
      <c r="G4429" s="3"/>
      <c r="H4429" s="24" t="n">
        <v>0.0939675719</v>
      </c>
    </row>
    <row r="4430" customFormat="false" ht="15" hidden="false" customHeight="false" outlineLevel="0" collapsed="false">
      <c r="A4430" s="3" t="n">
        <v>4429</v>
      </c>
      <c r="B4430" s="3" t="n">
        <v>4428</v>
      </c>
      <c r="C4430" s="3" t="s">
        <v>119</v>
      </c>
      <c r="D4430" s="3" t="n">
        <v>6</v>
      </c>
      <c r="E4430" s="3" t="n">
        <v>36</v>
      </c>
      <c r="F4430" s="3"/>
      <c r="G4430" s="3"/>
      <c r="H4430" s="24" t="n">
        <v>0.187961951</v>
      </c>
    </row>
    <row r="4431" customFormat="false" ht="15" hidden="false" customHeight="false" outlineLevel="0" collapsed="false">
      <c r="A4431" s="3" t="n">
        <v>4430</v>
      </c>
      <c r="B4431" s="3" t="n">
        <v>4429</v>
      </c>
      <c r="C4431" s="3" t="s">
        <v>119</v>
      </c>
      <c r="D4431" s="3" t="n">
        <v>6</v>
      </c>
      <c r="E4431" s="3" t="n">
        <v>37</v>
      </c>
      <c r="F4431" s="3"/>
      <c r="G4431" s="3"/>
      <c r="H4431" s="24" t="n">
        <v>-0.0890798941</v>
      </c>
    </row>
    <row r="4432" customFormat="false" ht="15" hidden="false" customHeight="false" outlineLevel="0" collapsed="false">
      <c r="A4432" s="3" t="n">
        <v>4431</v>
      </c>
      <c r="B4432" s="3" t="n">
        <v>4430</v>
      </c>
      <c r="C4432" s="3" t="s">
        <v>119</v>
      </c>
      <c r="D4432" s="3" t="n">
        <v>6</v>
      </c>
      <c r="E4432" s="3" t="n">
        <v>38</v>
      </c>
      <c r="F4432" s="3"/>
      <c r="G4432" s="3"/>
      <c r="H4432" s="24" t="n">
        <v>0.126991048</v>
      </c>
    </row>
    <row r="4433" customFormat="false" ht="15" hidden="false" customHeight="false" outlineLevel="0" collapsed="false">
      <c r="A4433" s="3" t="n">
        <v>4432</v>
      </c>
      <c r="B4433" s="3" t="n">
        <v>4431</v>
      </c>
      <c r="C4433" s="3" t="s">
        <v>119</v>
      </c>
      <c r="D4433" s="3" t="n">
        <v>6</v>
      </c>
      <c r="E4433" s="3" t="n">
        <v>39</v>
      </c>
      <c r="F4433" s="3"/>
      <c r="G4433" s="3"/>
      <c r="H4433" s="24" t="n">
        <v>-0.0295126885</v>
      </c>
    </row>
    <row r="4434" customFormat="false" ht="15" hidden="false" customHeight="false" outlineLevel="0" collapsed="false">
      <c r="A4434" s="3" t="n">
        <v>4433</v>
      </c>
      <c r="B4434" s="3" t="n">
        <v>4432</v>
      </c>
      <c r="C4434" s="3" t="s">
        <v>119</v>
      </c>
      <c r="D4434" s="3" t="n">
        <v>6</v>
      </c>
      <c r="E4434" s="3" t="n">
        <v>40</v>
      </c>
      <c r="F4434" s="3"/>
      <c r="G4434" s="3"/>
      <c r="H4434" s="24" t="n">
        <v>-0.245493338</v>
      </c>
    </row>
    <row r="4435" customFormat="false" ht="15" hidden="false" customHeight="false" outlineLevel="0" collapsed="false">
      <c r="A4435" s="3" t="n">
        <v>4434</v>
      </c>
      <c r="B4435" s="3" t="n">
        <v>4433</v>
      </c>
      <c r="C4435" s="3" t="s">
        <v>119</v>
      </c>
      <c r="D4435" s="3" t="n">
        <v>6</v>
      </c>
      <c r="E4435" s="3" t="n">
        <v>41</v>
      </c>
      <c r="F4435" s="3"/>
      <c r="G4435" s="3"/>
      <c r="H4435" s="24" t="n">
        <v>0.0462534986</v>
      </c>
    </row>
    <row r="4436" customFormat="false" ht="15" hidden="false" customHeight="false" outlineLevel="0" collapsed="false">
      <c r="A4436" s="3" t="n">
        <v>4435</v>
      </c>
      <c r="B4436" s="3" t="n">
        <v>4434</v>
      </c>
      <c r="C4436" s="3" t="s">
        <v>119</v>
      </c>
      <c r="D4436" s="3" t="n">
        <v>6</v>
      </c>
      <c r="E4436" s="3" t="n">
        <v>42</v>
      </c>
      <c r="F4436" s="3"/>
      <c r="G4436" s="3"/>
      <c r="H4436" s="24" t="n">
        <v>0.023006171</v>
      </c>
    </row>
    <row r="4437" customFormat="false" ht="15" hidden="false" customHeight="false" outlineLevel="0" collapsed="false">
      <c r="A4437" s="3" t="n">
        <v>4436</v>
      </c>
      <c r="B4437" s="3" t="n">
        <v>4435</v>
      </c>
      <c r="C4437" s="3" t="s">
        <v>119</v>
      </c>
      <c r="D4437" s="3" t="n">
        <v>6</v>
      </c>
      <c r="E4437" s="3" t="n">
        <v>43</v>
      </c>
      <c r="F4437" s="3"/>
      <c r="G4437" s="3"/>
      <c r="H4437" s="24" t="n">
        <v>0.0918918699</v>
      </c>
    </row>
    <row r="4438" customFormat="false" ht="15" hidden="false" customHeight="false" outlineLevel="0" collapsed="false">
      <c r="A4438" s="3" t="n">
        <v>4437</v>
      </c>
      <c r="B4438" s="3" t="n">
        <v>4436</v>
      </c>
      <c r="C4438" s="3" t="s">
        <v>119</v>
      </c>
      <c r="D4438" s="3" t="n">
        <v>6</v>
      </c>
      <c r="E4438" s="3" t="n">
        <v>44</v>
      </c>
      <c r="F4438" s="3"/>
      <c r="G4438" s="3"/>
      <c r="H4438" s="24" t="n">
        <v>-0.22352545</v>
      </c>
    </row>
    <row r="4439" customFormat="false" ht="15" hidden="false" customHeight="false" outlineLevel="0" collapsed="false">
      <c r="A4439" s="3" t="n">
        <v>4438</v>
      </c>
      <c r="B4439" s="3" t="n">
        <v>4437</v>
      </c>
      <c r="C4439" s="3" t="s">
        <v>119</v>
      </c>
      <c r="D4439" s="3" t="n">
        <v>6</v>
      </c>
      <c r="E4439" s="3" t="n">
        <v>45</v>
      </c>
      <c r="F4439" s="3"/>
      <c r="G4439" s="3"/>
      <c r="H4439" s="24" t="n">
        <v>0.133711442</v>
      </c>
    </row>
    <row r="4440" customFormat="false" ht="15" hidden="false" customHeight="false" outlineLevel="0" collapsed="false">
      <c r="A4440" s="3" t="n">
        <v>4439</v>
      </c>
      <c r="B4440" s="3" t="n">
        <v>4438</v>
      </c>
      <c r="C4440" s="3" t="s">
        <v>119</v>
      </c>
      <c r="D4440" s="3" t="n">
        <v>6</v>
      </c>
      <c r="E4440" s="3" t="n">
        <v>46</v>
      </c>
      <c r="F4440" s="3"/>
      <c r="G4440" s="3"/>
      <c r="H4440" s="24" t="n">
        <v>-0.0286538079</v>
      </c>
    </row>
    <row r="4441" customFormat="false" ht="15" hidden="false" customHeight="false" outlineLevel="0" collapsed="false">
      <c r="A4441" s="3" t="n">
        <v>4440</v>
      </c>
      <c r="B4441" s="3" t="n">
        <v>4439</v>
      </c>
      <c r="C4441" s="3" t="s">
        <v>119</v>
      </c>
      <c r="D4441" s="3" t="n">
        <v>6</v>
      </c>
      <c r="E4441" s="3" t="n">
        <v>47</v>
      </c>
      <c r="F4441" s="3"/>
      <c r="G4441" s="3"/>
      <c r="H4441" s="24" t="n">
        <v>-0.17423366</v>
      </c>
    </row>
    <row r="4442" customFormat="false" ht="15" hidden="false" customHeight="false" outlineLevel="0" collapsed="false">
      <c r="A4442" s="3" t="n">
        <v>4441</v>
      </c>
      <c r="B4442" s="3" t="n">
        <v>4440</v>
      </c>
      <c r="C4442" s="3" t="s">
        <v>119</v>
      </c>
      <c r="D4442" s="3" t="n">
        <v>6</v>
      </c>
      <c r="E4442" s="3" t="n">
        <v>48</v>
      </c>
      <c r="F4442" s="3"/>
      <c r="G4442" s="3"/>
      <c r="H4442" s="24" t="n">
        <v>-0.0671256185</v>
      </c>
    </row>
    <row r="4443" customFormat="false" ht="15" hidden="false" customHeight="false" outlineLevel="0" collapsed="false">
      <c r="A4443" s="3" t="n">
        <v>4442</v>
      </c>
      <c r="B4443" s="3" t="n">
        <v>4441</v>
      </c>
      <c r="C4443" s="3" t="s">
        <v>119</v>
      </c>
      <c r="D4443" s="3" t="n">
        <v>6</v>
      </c>
      <c r="E4443" s="3" t="n">
        <v>49</v>
      </c>
      <c r="F4443" s="3"/>
      <c r="G4443" s="3"/>
      <c r="H4443" s="24" t="n">
        <v>0.0936834514</v>
      </c>
    </row>
    <row r="4444" customFormat="false" ht="15" hidden="false" customHeight="false" outlineLevel="0" collapsed="false">
      <c r="A4444" s="3" t="n">
        <v>4443</v>
      </c>
      <c r="B4444" s="3" t="n">
        <v>4442</v>
      </c>
      <c r="C4444" s="3" t="s">
        <v>119</v>
      </c>
      <c r="D4444" s="3" t="n">
        <v>6</v>
      </c>
      <c r="E4444" s="3" t="n">
        <v>50</v>
      </c>
      <c r="F4444" s="3"/>
      <c r="G4444" s="3"/>
      <c r="H4444" s="24" t="n">
        <v>0.202158958</v>
      </c>
    </row>
    <row r="4445" customFormat="false" ht="15" hidden="false" customHeight="false" outlineLevel="0" collapsed="false">
      <c r="A4445" s="3" t="n">
        <v>4444</v>
      </c>
      <c r="B4445" s="3" t="n">
        <v>4443</v>
      </c>
      <c r="C4445" s="3" t="s">
        <v>119</v>
      </c>
      <c r="D4445" s="3" t="n">
        <v>6</v>
      </c>
      <c r="E4445" s="3" t="n">
        <v>51</v>
      </c>
      <c r="F4445" s="3"/>
      <c r="G4445" s="3"/>
      <c r="H4445" s="24" t="n">
        <v>-0.302341551</v>
      </c>
    </row>
    <row r="4446" customFormat="false" ht="15" hidden="false" customHeight="false" outlineLevel="0" collapsed="false">
      <c r="A4446" s="3" t="n">
        <v>4445</v>
      </c>
      <c r="B4446" s="3" t="n">
        <v>4444</v>
      </c>
      <c r="C4446" s="3" t="s">
        <v>119</v>
      </c>
      <c r="D4446" s="3" t="n">
        <v>6</v>
      </c>
      <c r="E4446" s="3" t="n">
        <v>52</v>
      </c>
      <c r="F4446" s="3"/>
      <c r="G4446" s="3"/>
      <c r="H4446" s="24" t="n">
        <v>-0.104488522</v>
      </c>
    </row>
    <row r="4447" customFormat="false" ht="15" hidden="false" customHeight="false" outlineLevel="0" collapsed="false">
      <c r="A4447" s="3" t="n">
        <v>4446</v>
      </c>
      <c r="B4447" s="3" t="n">
        <v>4445</v>
      </c>
      <c r="C4447" s="3" t="s">
        <v>119</v>
      </c>
      <c r="D4447" s="3" t="n">
        <v>6</v>
      </c>
      <c r="E4447" s="3" t="n">
        <v>53</v>
      </c>
      <c r="F4447" s="3"/>
      <c r="G4447" s="3"/>
      <c r="H4447" s="24" t="n">
        <v>0.035169214</v>
      </c>
    </row>
    <row r="4448" customFormat="false" ht="15" hidden="false" customHeight="false" outlineLevel="0" collapsed="false">
      <c r="A4448" s="3" t="n">
        <v>4447</v>
      </c>
      <c r="B4448" s="3" t="n">
        <v>4446</v>
      </c>
      <c r="C4448" s="3" t="s">
        <v>119</v>
      </c>
      <c r="D4448" s="3" t="n">
        <v>6</v>
      </c>
      <c r="E4448" s="3" t="n">
        <v>54</v>
      </c>
      <c r="F4448" s="3"/>
      <c r="G4448" s="3"/>
      <c r="H4448" s="24" t="n">
        <v>0.0499707535</v>
      </c>
    </row>
    <row r="4449" customFormat="false" ht="15" hidden="false" customHeight="false" outlineLevel="0" collapsed="false">
      <c r="A4449" s="3" t="n">
        <v>4448</v>
      </c>
      <c r="B4449" s="3" t="n">
        <v>4447</v>
      </c>
      <c r="C4449" s="3" t="s">
        <v>119</v>
      </c>
      <c r="D4449" s="3" t="n">
        <v>6</v>
      </c>
      <c r="E4449" s="3" t="n">
        <v>55</v>
      </c>
      <c r="F4449" s="3"/>
      <c r="G4449" s="3"/>
      <c r="H4449" s="24" t="n">
        <v>0.120117903</v>
      </c>
    </row>
    <row r="4450" customFormat="false" ht="15" hidden="false" customHeight="false" outlineLevel="0" collapsed="false">
      <c r="A4450" s="3" t="n">
        <v>4449</v>
      </c>
      <c r="B4450" s="3" t="n">
        <v>4448</v>
      </c>
      <c r="C4450" s="3" t="s">
        <v>119</v>
      </c>
      <c r="D4450" s="3" t="n">
        <v>6</v>
      </c>
      <c r="E4450" s="3" t="n">
        <v>56</v>
      </c>
      <c r="F4450" s="3"/>
      <c r="G4450" s="3"/>
      <c r="H4450" s="24" t="n">
        <v>-0.00920837931</v>
      </c>
    </row>
    <row r="4451" customFormat="false" ht="15" hidden="false" customHeight="false" outlineLevel="0" collapsed="false">
      <c r="A4451" s="3" t="n">
        <v>4450</v>
      </c>
      <c r="B4451" s="3" t="n">
        <v>4449</v>
      </c>
      <c r="C4451" s="3" t="s">
        <v>119</v>
      </c>
      <c r="D4451" s="3" t="n">
        <v>6</v>
      </c>
      <c r="E4451" s="3" t="n">
        <v>57</v>
      </c>
      <c r="F4451" s="3"/>
      <c r="G4451" s="3"/>
      <c r="H4451" s="24" t="n">
        <v>-0.0179843009</v>
      </c>
    </row>
    <row r="4452" customFormat="false" ht="15" hidden="false" customHeight="false" outlineLevel="0" collapsed="false">
      <c r="A4452" s="3" t="n">
        <v>4451</v>
      </c>
      <c r="B4452" s="3" t="n">
        <v>4450</v>
      </c>
      <c r="C4452" s="3" t="s">
        <v>119</v>
      </c>
      <c r="D4452" s="3" t="n">
        <v>6</v>
      </c>
      <c r="E4452" s="3" t="n">
        <v>58</v>
      </c>
      <c r="F4452" s="3"/>
      <c r="G4452" s="3"/>
      <c r="H4452" s="24" t="n">
        <v>0.0488665439</v>
      </c>
    </row>
    <row r="4453" customFormat="false" ht="15" hidden="false" customHeight="false" outlineLevel="0" collapsed="false">
      <c r="A4453" s="3" t="n">
        <v>4452</v>
      </c>
      <c r="B4453" s="3" t="n">
        <v>4451</v>
      </c>
      <c r="C4453" s="3" t="s">
        <v>119</v>
      </c>
      <c r="D4453" s="3" t="n">
        <v>6</v>
      </c>
      <c r="E4453" s="3" t="n">
        <v>59</v>
      </c>
      <c r="F4453" s="3"/>
      <c r="G4453" s="3"/>
      <c r="H4453" s="24" t="n">
        <v>0.00624870835</v>
      </c>
    </row>
    <row r="4454" customFormat="false" ht="15" hidden="false" customHeight="false" outlineLevel="0" collapsed="false">
      <c r="A4454" s="3" t="n">
        <v>4453</v>
      </c>
      <c r="B4454" s="3" t="n">
        <v>4452</v>
      </c>
      <c r="C4454" s="3" t="s">
        <v>119</v>
      </c>
      <c r="D4454" s="3" t="n">
        <v>6</v>
      </c>
      <c r="E4454" s="3" t="n">
        <v>60</v>
      </c>
      <c r="F4454" s="3"/>
      <c r="G4454" s="3"/>
      <c r="H4454" s="24" t="n">
        <v>-0.270755857</v>
      </c>
    </row>
    <row r="4455" customFormat="false" ht="15" hidden="false" customHeight="false" outlineLevel="0" collapsed="false">
      <c r="A4455" s="3" t="n">
        <v>4454</v>
      </c>
      <c r="B4455" s="3" t="n">
        <v>4453</v>
      </c>
      <c r="C4455" s="3" t="s">
        <v>119</v>
      </c>
      <c r="D4455" s="3" t="n">
        <v>6</v>
      </c>
      <c r="E4455" s="3" t="n">
        <v>61</v>
      </c>
      <c r="F4455" s="3"/>
      <c r="G4455" s="3"/>
      <c r="H4455" s="24" t="n">
        <v>0.0850649104</v>
      </c>
    </row>
    <row r="4456" customFormat="false" ht="15" hidden="false" customHeight="false" outlineLevel="0" collapsed="false">
      <c r="A4456" s="3" t="n">
        <v>4455</v>
      </c>
      <c r="B4456" s="3" t="n">
        <v>4454</v>
      </c>
      <c r="C4456" s="3" t="s">
        <v>119</v>
      </c>
      <c r="D4456" s="3" t="n">
        <v>6</v>
      </c>
      <c r="E4456" s="3" t="n">
        <v>62</v>
      </c>
      <c r="F4456" s="3"/>
      <c r="G4456" s="3"/>
      <c r="H4456" s="24" t="n">
        <v>0.0326698273</v>
      </c>
    </row>
    <row r="4457" customFormat="false" ht="15" hidden="false" customHeight="false" outlineLevel="0" collapsed="false">
      <c r="A4457" s="3" t="n">
        <v>4456</v>
      </c>
      <c r="B4457" s="3" t="n">
        <v>4455</v>
      </c>
      <c r="C4457" s="3" t="s">
        <v>119</v>
      </c>
      <c r="D4457" s="3" t="n">
        <v>6</v>
      </c>
      <c r="E4457" s="3" t="n">
        <v>63</v>
      </c>
      <c r="F4457" s="3"/>
      <c r="G4457" s="3"/>
      <c r="H4457" s="24" t="n">
        <v>-0.0203872919</v>
      </c>
    </row>
    <row r="4458" customFormat="false" ht="15" hidden="false" customHeight="false" outlineLevel="0" collapsed="false">
      <c r="A4458" s="3" t="n">
        <v>4457</v>
      </c>
      <c r="B4458" s="3" t="n">
        <v>4456</v>
      </c>
      <c r="C4458" s="3" t="s">
        <v>119</v>
      </c>
      <c r="D4458" s="3" t="n">
        <v>6</v>
      </c>
      <c r="E4458" s="3" t="n">
        <v>64</v>
      </c>
      <c r="F4458" s="3"/>
      <c r="G4458" s="3"/>
      <c r="H4458" s="24" t="n">
        <v>-0.0217558239</v>
      </c>
    </row>
    <row r="4459" customFormat="false" ht="15" hidden="false" customHeight="false" outlineLevel="0" collapsed="false">
      <c r="A4459" s="3" t="n">
        <v>4458</v>
      </c>
      <c r="B4459" s="3" t="n">
        <v>4457</v>
      </c>
      <c r="C4459" s="3" t="s">
        <v>119</v>
      </c>
      <c r="D4459" s="3" t="n">
        <v>6</v>
      </c>
      <c r="E4459" s="3" t="n">
        <v>65</v>
      </c>
      <c r="F4459" s="3"/>
      <c r="G4459" s="3"/>
      <c r="H4459" s="24" t="n">
        <v>-0.0784548819</v>
      </c>
    </row>
    <row r="4460" customFormat="false" ht="15" hidden="false" customHeight="false" outlineLevel="0" collapsed="false">
      <c r="A4460" s="3" t="n">
        <v>4459</v>
      </c>
      <c r="B4460" s="3" t="n">
        <v>4458</v>
      </c>
      <c r="C4460" s="3" t="s">
        <v>119</v>
      </c>
      <c r="D4460" s="3" t="n">
        <v>6</v>
      </c>
      <c r="E4460" s="3" t="n">
        <v>66</v>
      </c>
      <c r="F4460" s="3"/>
      <c r="G4460" s="3"/>
      <c r="H4460" s="24" t="n">
        <v>-0.0128590269</v>
      </c>
    </row>
    <row r="4461" customFormat="false" ht="15" hidden="false" customHeight="false" outlineLevel="0" collapsed="false">
      <c r="A4461" s="3" t="n">
        <v>4460</v>
      </c>
      <c r="B4461" s="3" t="n">
        <v>4459</v>
      </c>
      <c r="C4461" s="3" t="s">
        <v>119</v>
      </c>
      <c r="D4461" s="3" t="n">
        <v>6</v>
      </c>
      <c r="E4461" s="3" t="n">
        <v>67</v>
      </c>
      <c r="F4461" s="3"/>
      <c r="G4461" s="3"/>
      <c r="H4461" s="24" t="n">
        <v>0.0528054647</v>
      </c>
    </row>
    <row r="4462" customFormat="false" ht="15" hidden="false" customHeight="false" outlineLevel="0" collapsed="false">
      <c r="A4462" s="3" t="n">
        <v>4461</v>
      </c>
      <c r="B4462" s="3" t="n">
        <v>4460</v>
      </c>
      <c r="C4462" s="3" t="s">
        <v>119</v>
      </c>
      <c r="D4462" s="3" t="n">
        <v>6</v>
      </c>
      <c r="E4462" s="3" t="n">
        <v>68</v>
      </c>
      <c r="F4462" s="3"/>
      <c r="G4462" s="3"/>
      <c r="H4462" s="24" t="n">
        <v>-0.0731426254</v>
      </c>
    </row>
    <row r="4463" customFormat="false" ht="15" hidden="false" customHeight="false" outlineLevel="0" collapsed="false">
      <c r="A4463" s="3" t="n">
        <v>4462</v>
      </c>
      <c r="B4463" s="3" t="n">
        <v>4461</v>
      </c>
      <c r="C4463" s="3" t="s">
        <v>119</v>
      </c>
      <c r="D4463" s="3" t="n">
        <v>6</v>
      </c>
      <c r="E4463" s="3" t="n">
        <v>69</v>
      </c>
      <c r="F4463" s="3"/>
      <c r="G4463" s="3"/>
      <c r="H4463" s="24" t="n">
        <v>-0.00643722247</v>
      </c>
    </row>
    <row r="4464" customFormat="false" ht="15" hidden="false" customHeight="false" outlineLevel="0" collapsed="false">
      <c r="A4464" s="3" t="n">
        <v>4463</v>
      </c>
      <c r="B4464" s="3" t="n">
        <v>4462</v>
      </c>
      <c r="C4464" s="3" t="s">
        <v>119</v>
      </c>
      <c r="D4464" s="3" t="n">
        <v>6</v>
      </c>
      <c r="E4464" s="3" t="n">
        <v>70</v>
      </c>
      <c r="F4464" s="3"/>
      <c r="G4464" s="3"/>
      <c r="H4464" s="24" t="n">
        <v>0.060744565</v>
      </c>
    </row>
    <row r="4465" customFormat="false" ht="15" hidden="false" customHeight="false" outlineLevel="0" collapsed="false">
      <c r="A4465" s="3" t="n">
        <v>4464</v>
      </c>
      <c r="B4465" s="3" t="n">
        <v>4463</v>
      </c>
      <c r="C4465" s="3" t="s">
        <v>119</v>
      </c>
      <c r="D4465" s="3" t="n">
        <v>6</v>
      </c>
      <c r="E4465" s="3" t="n">
        <v>71</v>
      </c>
      <c r="F4465" s="3"/>
      <c r="G4465" s="3"/>
      <c r="H4465" s="24" t="n">
        <v>-0.0237845592</v>
      </c>
    </row>
    <row r="4466" customFormat="false" ht="15" hidden="false" customHeight="false" outlineLevel="0" collapsed="false">
      <c r="A4466" s="3" t="n">
        <v>4465</v>
      </c>
      <c r="B4466" s="3" t="n">
        <v>4464</v>
      </c>
      <c r="C4466" s="3" t="s">
        <v>119</v>
      </c>
      <c r="D4466" s="3" t="n">
        <v>6</v>
      </c>
      <c r="E4466" s="3" t="n">
        <v>72</v>
      </c>
      <c r="F4466" s="3"/>
      <c r="G4466" s="3"/>
      <c r="H4466" s="24" t="n">
        <v>-0.13351351</v>
      </c>
    </row>
    <row r="4467" customFormat="false" ht="15" hidden="false" customHeight="false" outlineLevel="0" collapsed="false">
      <c r="A4467" s="3" t="n">
        <v>4466</v>
      </c>
      <c r="B4467" s="3" t="n">
        <v>4465</v>
      </c>
      <c r="C4467" s="3" t="s">
        <v>119</v>
      </c>
      <c r="D4467" s="3" t="n">
        <v>6</v>
      </c>
      <c r="E4467" s="3" t="n">
        <v>73</v>
      </c>
      <c r="F4467" s="3"/>
      <c r="G4467" s="3"/>
      <c r="H4467" s="24" t="n">
        <v>-0.265761673</v>
      </c>
    </row>
    <row r="4468" customFormat="false" ht="15" hidden="false" customHeight="false" outlineLevel="0" collapsed="false">
      <c r="A4468" s="3" t="n">
        <v>4467</v>
      </c>
      <c r="B4468" s="3" t="n">
        <v>4466</v>
      </c>
      <c r="C4468" s="3" t="s">
        <v>119</v>
      </c>
      <c r="D4468" s="3" t="n">
        <v>6</v>
      </c>
      <c r="E4468" s="3" t="n">
        <v>74</v>
      </c>
      <c r="F4468" s="3"/>
      <c r="G4468" s="3"/>
      <c r="H4468" s="24" t="n">
        <v>0.0839003026</v>
      </c>
    </row>
    <row r="4469" customFormat="false" ht="15" hidden="false" customHeight="false" outlineLevel="0" collapsed="false">
      <c r="A4469" s="3" t="n">
        <v>4468</v>
      </c>
      <c r="B4469" s="3" t="n">
        <v>4467</v>
      </c>
      <c r="C4469" s="3" t="s">
        <v>119</v>
      </c>
      <c r="D4469" s="3" t="n">
        <v>6</v>
      </c>
      <c r="E4469" s="3" t="n">
        <v>75</v>
      </c>
      <c r="F4469" s="3"/>
      <c r="G4469" s="3"/>
      <c r="H4469" s="24" t="n">
        <v>-0.163320631</v>
      </c>
    </row>
    <row r="4470" customFormat="false" ht="15" hidden="false" customHeight="false" outlineLevel="0" collapsed="false">
      <c r="A4470" s="3" t="n">
        <v>4469</v>
      </c>
      <c r="B4470" s="3" t="n">
        <v>4468</v>
      </c>
      <c r="C4470" s="3" t="s">
        <v>119</v>
      </c>
      <c r="D4470" s="3" t="n">
        <v>6</v>
      </c>
      <c r="E4470" s="3" t="n">
        <v>76</v>
      </c>
      <c r="F4470" s="3"/>
      <c r="G4470" s="3"/>
      <c r="H4470" s="24" t="n">
        <v>-0.0540786535</v>
      </c>
    </row>
    <row r="4471" customFormat="false" ht="15" hidden="false" customHeight="false" outlineLevel="0" collapsed="false">
      <c r="A4471" s="3" t="n">
        <v>4470</v>
      </c>
      <c r="B4471" s="3" t="n">
        <v>4469</v>
      </c>
      <c r="C4471" s="3" t="s">
        <v>119</v>
      </c>
      <c r="D4471" s="3" t="n">
        <v>6</v>
      </c>
      <c r="E4471" s="3" t="n">
        <v>77</v>
      </c>
      <c r="F4471" s="3"/>
      <c r="G4471" s="3"/>
      <c r="H4471" s="24" t="n">
        <v>0.197485715</v>
      </c>
    </row>
    <row r="4472" customFormat="false" ht="15" hidden="false" customHeight="false" outlineLevel="0" collapsed="false">
      <c r="A4472" s="3" t="n">
        <v>4471</v>
      </c>
      <c r="B4472" s="3" t="n">
        <v>4470</v>
      </c>
      <c r="C4472" s="3" t="s">
        <v>119</v>
      </c>
      <c r="D4472" s="3" t="n">
        <v>6</v>
      </c>
      <c r="E4472" s="3" t="n">
        <v>78</v>
      </c>
      <c r="F4472" s="3"/>
      <c r="G4472" s="3"/>
      <c r="H4472" s="24" t="n">
        <v>-0.133049205</v>
      </c>
    </row>
    <row r="4473" customFormat="false" ht="15" hidden="false" customHeight="false" outlineLevel="0" collapsed="false">
      <c r="A4473" s="3" t="n">
        <v>4472</v>
      </c>
      <c r="B4473" s="3" t="n">
        <v>4471</v>
      </c>
      <c r="C4473" s="3" t="s">
        <v>119</v>
      </c>
      <c r="D4473" s="3" t="n">
        <v>6</v>
      </c>
      <c r="E4473" s="3" t="n">
        <v>79</v>
      </c>
      <c r="F4473" s="3"/>
      <c r="G4473" s="3"/>
      <c r="H4473" s="24" t="n">
        <v>-0.203746945</v>
      </c>
    </row>
    <row r="4474" customFormat="false" ht="15" hidden="false" customHeight="false" outlineLevel="0" collapsed="false">
      <c r="A4474" s="3" t="n">
        <v>4473</v>
      </c>
      <c r="B4474" s="3" t="n">
        <v>4472</v>
      </c>
      <c r="C4474" s="3" t="s">
        <v>119</v>
      </c>
      <c r="D4474" s="3" t="n">
        <v>6</v>
      </c>
      <c r="E4474" s="3" t="n">
        <v>80</v>
      </c>
      <c r="F4474" s="3"/>
      <c r="G4474" s="3"/>
      <c r="H4474" s="24" t="n">
        <v>-0.00791039784</v>
      </c>
    </row>
    <row r="4475" customFormat="false" ht="15" hidden="false" customHeight="false" outlineLevel="0" collapsed="false">
      <c r="A4475" s="3" t="n">
        <v>4474</v>
      </c>
      <c r="B4475" s="3" t="n">
        <v>4473</v>
      </c>
      <c r="C4475" s="3" t="s">
        <v>119</v>
      </c>
      <c r="D4475" s="3" t="n">
        <v>6</v>
      </c>
      <c r="E4475" s="3" t="n">
        <v>81</v>
      </c>
      <c r="F4475" s="3"/>
      <c r="G4475" s="3"/>
      <c r="H4475" s="24" t="n">
        <v>0.220438927</v>
      </c>
    </row>
    <row r="4476" customFormat="false" ht="15" hidden="false" customHeight="false" outlineLevel="0" collapsed="false">
      <c r="A4476" s="3" t="n">
        <v>4475</v>
      </c>
      <c r="B4476" s="3" t="n">
        <v>4474</v>
      </c>
      <c r="C4476" s="3" t="s">
        <v>119</v>
      </c>
      <c r="D4476" s="3" t="n">
        <v>6</v>
      </c>
      <c r="E4476" s="3" t="n">
        <v>82</v>
      </c>
      <c r="F4476" s="3"/>
      <c r="G4476" s="3"/>
      <c r="H4476" s="24" t="n">
        <v>0.106838137</v>
      </c>
    </row>
    <row r="4477" customFormat="false" ht="15" hidden="false" customHeight="false" outlineLevel="0" collapsed="false">
      <c r="A4477" s="3" t="n">
        <v>4476</v>
      </c>
      <c r="B4477" s="3" t="n">
        <v>4475</v>
      </c>
      <c r="C4477" s="3" t="s">
        <v>119</v>
      </c>
      <c r="D4477" s="3" t="n">
        <v>6</v>
      </c>
      <c r="E4477" s="3" t="n">
        <v>83</v>
      </c>
      <c r="F4477" s="3"/>
      <c r="G4477" s="3"/>
      <c r="H4477" s="24" t="n">
        <v>0.0907636732</v>
      </c>
    </row>
    <row r="4478" customFormat="false" ht="15" hidden="false" customHeight="false" outlineLevel="0" collapsed="false">
      <c r="A4478" s="3" t="n">
        <v>4477</v>
      </c>
      <c r="B4478" s="3" t="n">
        <v>4476</v>
      </c>
      <c r="C4478" s="3" t="s">
        <v>119</v>
      </c>
      <c r="D4478" s="3" t="n">
        <v>6</v>
      </c>
      <c r="E4478" s="3" t="n">
        <v>84</v>
      </c>
      <c r="F4478" s="3"/>
      <c r="G4478" s="3"/>
      <c r="H4478" s="24" t="n">
        <v>-0.156194046</v>
      </c>
    </row>
    <row r="4479" customFormat="false" ht="15" hidden="false" customHeight="false" outlineLevel="0" collapsed="false">
      <c r="A4479" s="3" t="n">
        <v>4478</v>
      </c>
      <c r="B4479" s="3" t="n">
        <v>4477</v>
      </c>
      <c r="C4479" s="3" t="s">
        <v>119</v>
      </c>
      <c r="D4479" s="3" t="n">
        <v>6</v>
      </c>
      <c r="E4479" s="3" t="n">
        <v>85</v>
      </c>
      <c r="F4479" s="3"/>
      <c r="G4479" s="3"/>
      <c r="H4479" s="24" t="n">
        <v>-0.201888725</v>
      </c>
    </row>
    <row r="4480" customFormat="false" ht="15" hidden="false" customHeight="false" outlineLevel="0" collapsed="false">
      <c r="A4480" s="3" t="n">
        <v>4479</v>
      </c>
      <c r="B4480" s="3" t="n">
        <v>4478</v>
      </c>
      <c r="C4480" s="3" t="s">
        <v>119</v>
      </c>
      <c r="D4480" s="3" t="n">
        <v>6</v>
      </c>
      <c r="E4480" s="3" t="n">
        <v>86</v>
      </c>
      <c r="F4480" s="3"/>
      <c r="G4480" s="3"/>
      <c r="H4480" s="24" t="n">
        <v>-0.0722363815</v>
      </c>
    </row>
    <row r="4481" customFormat="false" ht="15" hidden="false" customHeight="false" outlineLevel="0" collapsed="false">
      <c r="A4481" s="3" t="n">
        <v>4480</v>
      </c>
      <c r="B4481" s="3" t="n">
        <v>4479</v>
      </c>
      <c r="C4481" s="3" t="s">
        <v>119</v>
      </c>
      <c r="D4481" s="3" t="n">
        <v>6</v>
      </c>
      <c r="E4481" s="3" t="n">
        <v>87</v>
      </c>
      <c r="F4481" s="3"/>
      <c r="G4481" s="3"/>
      <c r="H4481" s="24" t="n">
        <v>0.0456013642</v>
      </c>
    </row>
    <row r="4482" customFormat="false" ht="15" hidden="false" customHeight="false" outlineLevel="0" collapsed="false">
      <c r="A4482" s="3" t="n">
        <v>4481</v>
      </c>
      <c r="B4482" s="3" t="n">
        <v>4480</v>
      </c>
      <c r="C4482" s="3" t="s">
        <v>119</v>
      </c>
      <c r="D4482" s="3" t="n">
        <v>6</v>
      </c>
      <c r="E4482" s="3" t="n">
        <v>88</v>
      </c>
      <c r="F4482" s="3"/>
      <c r="G4482" s="3"/>
      <c r="H4482" s="24" t="n">
        <v>-0.224551752</v>
      </c>
    </row>
    <row r="4483" customFormat="false" ht="15" hidden="false" customHeight="false" outlineLevel="0" collapsed="false">
      <c r="A4483" s="3" t="n">
        <v>4482</v>
      </c>
      <c r="B4483" s="3" t="n">
        <v>4481</v>
      </c>
      <c r="C4483" s="3" t="s">
        <v>119</v>
      </c>
      <c r="D4483" s="3" t="n">
        <v>6</v>
      </c>
      <c r="E4483" s="3" t="n">
        <v>89</v>
      </c>
      <c r="F4483" s="3"/>
      <c r="G4483" s="3"/>
      <c r="H4483" s="24" t="n">
        <v>-0.137089387</v>
      </c>
    </row>
    <row r="4484" customFormat="false" ht="15" hidden="false" customHeight="false" outlineLevel="0" collapsed="false">
      <c r="A4484" s="3" t="n">
        <v>4483</v>
      </c>
      <c r="B4484" s="3" t="n">
        <v>4482</v>
      </c>
      <c r="C4484" s="3" t="s">
        <v>119</v>
      </c>
      <c r="D4484" s="3" t="n">
        <v>6</v>
      </c>
      <c r="E4484" s="3" t="n">
        <v>90</v>
      </c>
      <c r="F4484" s="3"/>
      <c r="G4484" s="3"/>
      <c r="H4484" s="24" t="n">
        <v>-0.0954693407</v>
      </c>
    </row>
    <row r="4485" customFormat="false" ht="15" hidden="false" customHeight="false" outlineLevel="0" collapsed="false">
      <c r="A4485" s="3" t="n">
        <v>4484</v>
      </c>
      <c r="B4485" s="3" t="n">
        <v>4483</v>
      </c>
      <c r="C4485" s="3" t="s">
        <v>119</v>
      </c>
      <c r="D4485" s="3" t="n">
        <v>6</v>
      </c>
      <c r="E4485" s="3" t="n">
        <v>91</v>
      </c>
      <c r="F4485" s="3"/>
      <c r="G4485" s="3"/>
      <c r="H4485" s="24" t="n">
        <v>-0.273355633</v>
      </c>
    </row>
    <row r="4486" customFormat="false" ht="15" hidden="false" customHeight="false" outlineLevel="0" collapsed="false">
      <c r="A4486" s="3" t="n">
        <v>4485</v>
      </c>
      <c r="B4486" s="3" t="n">
        <v>4484</v>
      </c>
      <c r="C4486" s="3" t="s">
        <v>119</v>
      </c>
      <c r="D4486" s="3" t="n">
        <v>6</v>
      </c>
      <c r="E4486" s="3" t="n">
        <v>92</v>
      </c>
      <c r="F4486" s="3"/>
      <c r="G4486" s="3"/>
      <c r="H4486" s="24" t="n">
        <v>-0.0534858555</v>
      </c>
    </row>
    <row r="4487" customFormat="false" ht="15" hidden="false" customHeight="false" outlineLevel="0" collapsed="false">
      <c r="A4487" s="3" t="n">
        <v>4486</v>
      </c>
      <c r="B4487" s="3" t="n">
        <v>4485</v>
      </c>
      <c r="C4487" s="3" t="s">
        <v>119</v>
      </c>
      <c r="D4487" s="3" t="n">
        <v>6</v>
      </c>
      <c r="E4487" s="3" t="n">
        <v>93</v>
      </c>
      <c r="F4487" s="3"/>
      <c r="G4487" s="3"/>
      <c r="H4487" s="24" t="n">
        <v>-0.190855265</v>
      </c>
    </row>
    <row r="4488" customFormat="false" ht="15" hidden="false" customHeight="false" outlineLevel="0" collapsed="false">
      <c r="A4488" s="3" t="n">
        <v>4487</v>
      </c>
      <c r="B4488" s="3" t="n">
        <v>4486</v>
      </c>
      <c r="C4488" s="3" t="s">
        <v>119</v>
      </c>
      <c r="D4488" s="3" t="n">
        <v>6</v>
      </c>
      <c r="E4488" s="3" t="n">
        <v>94</v>
      </c>
      <c r="F4488" s="3"/>
      <c r="G4488" s="3"/>
      <c r="H4488" s="24" t="n">
        <v>-0.128730699</v>
      </c>
    </row>
    <row r="4489" customFormat="false" ht="15" hidden="false" customHeight="false" outlineLevel="0" collapsed="false">
      <c r="A4489" s="3" t="n">
        <v>4488</v>
      </c>
      <c r="B4489" s="3" t="n">
        <v>4487</v>
      </c>
      <c r="C4489" s="3" t="s">
        <v>119</v>
      </c>
      <c r="D4489" s="3" t="n">
        <v>6</v>
      </c>
      <c r="E4489" s="3" t="n">
        <v>95</v>
      </c>
      <c r="F4489" s="3"/>
      <c r="G4489" s="3"/>
      <c r="H4489" s="24" t="n">
        <v>0.308662206</v>
      </c>
    </row>
    <row r="4490" customFormat="false" ht="15" hidden="false" customHeight="false" outlineLevel="0" collapsed="false">
      <c r="A4490" s="3" t="n">
        <v>4489</v>
      </c>
      <c r="B4490" s="3" t="n">
        <v>4488</v>
      </c>
      <c r="C4490" s="3" t="s">
        <v>119</v>
      </c>
      <c r="D4490" s="3" t="n">
        <v>6</v>
      </c>
      <c r="E4490" s="3" t="n">
        <v>96</v>
      </c>
      <c r="F4490" s="3"/>
      <c r="G4490" s="3"/>
      <c r="H4490" s="24" t="n">
        <v>-0.624685943</v>
      </c>
    </row>
    <row r="4491" customFormat="false" ht="15" hidden="false" customHeight="false" outlineLevel="0" collapsed="false">
      <c r="A4491" s="3" t="n">
        <v>4490</v>
      </c>
      <c r="B4491" s="3" t="n">
        <v>4489</v>
      </c>
      <c r="C4491" s="3" t="s">
        <v>119</v>
      </c>
      <c r="D4491" s="3" t="n">
        <v>6</v>
      </c>
      <c r="E4491" s="3" t="n">
        <v>97</v>
      </c>
      <c r="F4491" s="3"/>
      <c r="G4491" s="3"/>
      <c r="H4491" s="24" t="n">
        <v>-0.0489570238</v>
      </c>
    </row>
    <row r="4492" customFormat="false" ht="15" hidden="false" customHeight="false" outlineLevel="0" collapsed="false">
      <c r="A4492" s="3" t="n">
        <v>4491</v>
      </c>
      <c r="B4492" s="3" t="n">
        <v>4490</v>
      </c>
      <c r="C4492" s="3" t="s">
        <v>119</v>
      </c>
      <c r="D4492" s="3" t="n">
        <v>6</v>
      </c>
      <c r="E4492" s="3" t="n">
        <v>98</v>
      </c>
      <c r="F4492" s="3"/>
      <c r="G4492" s="3"/>
      <c r="H4492" s="24" t="n">
        <v>0.132054046</v>
      </c>
    </row>
    <row r="4493" customFormat="false" ht="15" hidden="false" customHeight="false" outlineLevel="0" collapsed="false">
      <c r="A4493" s="3" t="n">
        <v>4492</v>
      </c>
      <c r="B4493" s="3" t="n">
        <v>4491</v>
      </c>
      <c r="C4493" s="3" t="s">
        <v>119</v>
      </c>
      <c r="D4493" s="3" t="n">
        <v>6</v>
      </c>
      <c r="E4493" s="3" t="n">
        <v>99</v>
      </c>
      <c r="F4493" s="3"/>
      <c r="G4493" s="3"/>
      <c r="H4493" s="24" t="n">
        <v>-0.0272489004</v>
      </c>
    </row>
    <row r="4494" customFormat="false" ht="15" hidden="false" customHeight="false" outlineLevel="0" collapsed="false">
      <c r="A4494" s="3" t="n">
        <v>4493</v>
      </c>
      <c r="B4494" s="3" t="n">
        <v>4492</v>
      </c>
      <c r="C4494" s="3" t="s">
        <v>119</v>
      </c>
      <c r="D4494" s="3" t="n">
        <v>6</v>
      </c>
      <c r="E4494" s="3" t="n">
        <v>100</v>
      </c>
      <c r="F4494" s="3"/>
      <c r="G4494" s="3"/>
      <c r="H4494" s="24" t="n">
        <v>-0.149608105</v>
      </c>
    </row>
    <row r="4495" customFormat="false" ht="15" hidden="false" customHeight="false" outlineLevel="0" collapsed="false">
      <c r="A4495" s="3" t="n">
        <v>4494</v>
      </c>
      <c r="B4495" s="3" t="n">
        <v>4493</v>
      </c>
      <c r="C4495" s="3" t="s">
        <v>119</v>
      </c>
      <c r="D4495" s="3" t="n">
        <v>6</v>
      </c>
      <c r="E4495" s="3" t="n">
        <v>101</v>
      </c>
      <c r="F4495" s="3"/>
      <c r="G4495" s="3"/>
      <c r="H4495" s="24" t="n">
        <v>0.0890038684</v>
      </c>
    </row>
    <row r="4496" customFormat="false" ht="15" hidden="false" customHeight="false" outlineLevel="0" collapsed="false">
      <c r="A4496" s="3" t="n">
        <v>4495</v>
      </c>
      <c r="B4496" s="3" t="n">
        <v>4494</v>
      </c>
      <c r="C4496" s="3" t="s">
        <v>119</v>
      </c>
      <c r="D4496" s="3" t="n">
        <v>6</v>
      </c>
      <c r="E4496" s="3" t="n">
        <v>102</v>
      </c>
      <c r="F4496" s="3"/>
      <c r="G4496" s="3"/>
      <c r="H4496" s="24" t="n">
        <v>0.139431596</v>
      </c>
    </row>
    <row r="4497" customFormat="false" ht="15" hidden="false" customHeight="false" outlineLevel="0" collapsed="false">
      <c r="A4497" s="3" t="n">
        <v>4496</v>
      </c>
      <c r="B4497" s="3" t="n">
        <v>4495</v>
      </c>
      <c r="C4497" s="3" t="s">
        <v>119</v>
      </c>
      <c r="D4497" s="3" t="n">
        <v>6</v>
      </c>
      <c r="E4497" s="3" t="n">
        <v>103</v>
      </c>
      <c r="F4497" s="3"/>
      <c r="G4497" s="3"/>
      <c r="H4497" s="24" t="n">
        <v>0.157721475</v>
      </c>
    </row>
    <row r="4498" customFormat="false" ht="15" hidden="false" customHeight="false" outlineLevel="0" collapsed="false">
      <c r="A4498" s="3" t="n">
        <v>4497</v>
      </c>
      <c r="B4498" s="3" t="n">
        <v>4496</v>
      </c>
      <c r="C4498" s="3" t="s">
        <v>119</v>
      </c>
      <c r="D4498" s="3" t="n">
        <v>6</v>
      </c>
      <c r="E4498" s="3" t="n">
        <v>104</v>
      </c>
      <c r="F4498" s="3"/>
      <c r="G4498" s="3"/>
      <c r="H4498" s="24" t="n">
        <v>-0.126047179</v>
      </c>
    </row>
    <row r="4499" customFormat="false" ht="15" hidden="false" customHeight="false" outlineLevel="0" collapsed="false">
      <c r="A4499" s="3" t="n">
        <v>4498</v>
      </c>
      <c r="B4499" s="3" t="n">
        <v>4497</v>
      </c>
      <c r="C4499" s="3" t="s">
        <v>119</v>
      </c>
      <c r="D4499" s="3" t="n">
        <v>6</v>
      </c>
      <c r="E4499" s="3" t="n">
        <v>105</v>
      </c>
      <c r="F4499" s="3"/>
      <c r="G4499" s="3"/>
      <c r="H4499" s="24" t="n">
        <v>0.0299845487</v>
      </c>
    </row>
    <row r="4500" customFormat="false" ht="15" hidden="false" customHeight="false" outlineLevel="0" collapsed="false">
      <c r="A4500" s="3" t="n">
        <v>4499</v>
      </c>
      <c r="B4500" s="3" t="n">
        <v>4498</v>
      </c>
      <c r="C4500" s="3" t="s">
        <v>119</v>
      </c>
      <c r="D4500" s="3" t="n">
        <v>6</v>
      </c>
      <c r="E4500" s="3" t="n">
        <v>106</v>
      </c>
      <c r="F4500" s="3"/>
      <c r="G4500" s="3"/>
      <c r="H4500" s="24" t="n">
        <v>-0.158952132</v>
      </c>
    </row>
    <row r="4501" customFormat="false" ht="15" hidden="false" customHeight="false" outlineLevel="0" collapsed="false">
      <c r="A4501" s="3" t="n">
        <v>4500</v>
      </c>
      <c r="B4501" s="3" t="n">
        <v>4499</v>
      </c>
      <c r="C4501" s="3" t="s">
        <v>119</v>
      </c>
      <c r="D4501" s="3" t="n">
        <v>6</v>
      </c>
      <c r="E4501" s="3" t="n">
        <v>107</v>
      </c>
      <c r="F4501" s="3"/>
      <c r="G4501" s="3"/>
      <c r="H4501" s="24" t="n">
        <v>0.0294357855</v>
      </c>
    </row>
    <row r="4502" customFormat="false" ht="15" hidden="false" customHeight="false" outlineLevel="0" collapsed="false">
      <c r="A4502" s="3" t="n">
        <v>4501</v>
      </c>
      <c r="B4502" s="3" t="n">
        <v>4500</v>
      </c>
      <c r="C4502" s="3" t="s">
        <v>119</v>
      </c>
      <c r="D4502" s="3" t="n">
        <v>6</v>
      </c>
      <c r="E4502" s="3" t="n">
        <v>108</v>
      </c>
      <c r="F4502" s="3"/>
      <c r="G4502" s="3"/>
      <c r="H4502" s="24" t="n">
        <v>0.419319063</v>
      </c>
    </row>
    <row r="4503" customFormat="false" ht="15" hidden="false" customHeight="false" outlineLevel="0" collapsed="false">
      <c r="A4503" s="3" t="n">
        <v>4502</v>
      </c>
      <c r="B4503" s="3" t="n">
        <v>4501</v>
      </c>
      <c r="C4503" s="3" t="s">
        <v>119</v>
      </c>
      <c r="D4503" s="3" t="n">
        <v>6</v>
      </c>
      <c r="E4503" s="3" t="n">
        <v>109</v>
      </c>
      <c r="F4503" s="3"/>
      <c r="G4503" s="3"/>
      <c r="H4503" s="24" t="n">
        <v>0.225371167</v>
      </c>
    </row>
    <row r="4504" customFormat="false" ht="15" hidden="false" customHeight="false" outlineLevel="0" collapsed="false">
      <c r="A4504" s="3" t="n">
        <v>4503</v>
      </c>
      <c r="B4504" s="3" t="n">
        <v>4502</v>
      </c>
      <c r="C4504" s="3" t="s">
        <v>119</v>
      </c>
      <c r="D4504" s="3" t="n">
        <v>6</v>
      </c>
      <c r="E4504" s="3" t="n">
        <v>110</v>
      </c>
      <c r="F4504" s="3"/>
      <c r="G4504" s="3"/>
      <c r="H4504" s="24" t="n">
        <v>0.209317625</v>
      </c>
    </row>
    <row r="4505" customFormat="false" ht="15" hidden="false" customHeight="false" outlineLevel="0" collapsed="false">
      <c r="A4505" s="3" t="n">
        <v>4504</v>
      </c>
      <c r="B4505" s="3" t="n">
        <v>4503</v>
      </c>
      <c r="C4505" s="3" t="s">
        <v>119</v>
      </c>
      <c r="D4505" s="3" t="n">
        <v>6</v>
      </c>
      <c r="E4505" s="3" t="n">
        <v>111</v>
      </c>
      <c r="F4505" s="3"/>
      <c r="G4505" s="3"/>
      <c r="H4505" s="24" t="n">
        <v>-0.260731608</v>
      </c>
    </row>
    <row r="4506" customFormat="false" ht="15" hidden="false" customHeight="false" outlineLevel="0" collapsed="false">
      <c r="A4506" s="3" t="n">
        <v>4505</v>
      </c>
      <c r="B4506" s="3" t="n">
        <v>4504</v>
      </c>
      <c r="C4506" s="3" t="s">
        <v>119</v>
      </c>
      <c r="D4506" s="3" t="n">
        <v>6</v>
      </c>
      <c r="E4506" s="3" t="n">
        <v>112</v>
      </c>
      <c r="F4506" s="3"/>
      <c r="G4506" s="3"/>
      <c r="H4506" s="24" t="n">
        <v>-0.0272080265</v>
      </c>
    </row>
    <row r="4507" customFormat="false" ht="15" hidden="false" customHeight="false" outlineLevel="0" collapsed="false">
      <c r="A4507" s="3" t="n">
        <v>4506</v>
      </c>
      <c r="B4507" s="3" t="n">
        <v>4505</v>
      </c>
      <c r="C4507" s="3" t="s">
        <v>119</v>
      </c>
      <c r="D4507" s="3" t="n">
        <v>6</v>
      </c>
      <c r="E4507" s="3" t="n">
        <v>113</v>
      </c>
      <c r="F4507" s="3"/>
      <c r="G4507" s="3"/>
      <c r="H4507" s="24" t="n">
        <v>-0.253190279</v>
      </c>
    </row>
    <row r="4508" customFormat="false" ht="15" hidden="false" customHeight="false" outlineLevel="0" collapsed="false">
      <c r="A4508" s="3" t="n">
        <v>4507</v>
      </c>
      <c r="B4508" s="3" t="n">
        <v>4506</v>
      </c>
      <c r="C4508" s="3" t="s">
        <v>119</v>
      </c>
      <c r="D4508" s="3" t="n">
        <v>6</v>
      </c>
      <c r="E4508" s="3" t="n">
        <v>114</v>
      </c>
      <c r="F4508" s="3"/>
      <c r="G4508" s="3"/>
      <c r="H4508" s="24" t="n">
        <v>0.0696949288</v>
      </c>
    </row>
    <row r="4509" customFormat="false" ht="15" hidden="false" customHeight="false" outlineLevel="0" collapsed="false">
      <c r="A4509" s="3" t="n">
        <v>4508</v>
      </c>
      <c r="B4509" s="3" t="n">
        <v>4507</v>
      </c>
      <c r="C4509" s="3" t="s">
        <v>119</v>
      </c>
      <c r="D4509" s="3" t="n">
        <v>6</v>
      </c>
      <c r="E4509" s="3" t="n">
        <v>115</v>
      </c>
      <c r="F4509" s="3"/>
      <c r="G4509" s="3"/>
      <c r="H4509" s="24" t="n">
        <v>-0.0115947509</v>
      </c>
    </row>
    <row r="4510" customFormat="false" ht="15" hidden="false" customHeight="false" outlineLevel="0" collapsed="false">
      <c r="A4510" s="3" t="n">
        <v>4509</v>
      </c>
      <c r="B4510" s="3" t="n">
        <v>4508</v>
      </c>
      <c r="C4510" s="3" t="s">
        <v>119</v>
      </c>
      <c r="D4510" s="3" t="n">
        <v>6</v>
      </c>
      <c r="E4510" s="3" t="n">
        <v>116</v>
      </c>
      <c r="F4510" s="3"/>
      <c r="G4510" s="3"/>
      <c r="H4510" s="24" t="n">
        <v>0.018472774</v>
      </c>
    </row>
    <row r="4511" customFormat="false" ht="15" hidden="false" customHeight="false" outlineLevel="0" collapsed="false">
      <c r="A4511" s="3" t="n">
        <v>4510</v>
      </c>
      <c r="B4511" s="3" t="n">
        <v>4509</v>
      </c>
      <c r="C4511" s="3" t="s">
        <v>119</v>
      </c>
      <c r="D4511" s="3" t="n">
        <v>6</v>
      </c>
      <c r="E4511" s="3" t="n">
        <v>117</v>
      </c>
      <c r="F4511" s="3"/>
      <c r="G4511" s="3"/>
      <c r="H4511" s="24" t="n">
        <v>0.0398029685</v>
      </c>
    </row>
    <row r="4512" customFormat="false" ht="15" hidden="false" customHeight="false" outlineLevel="0" collapsed="false">
      <c r="A4512" s="3" t="n">
        <v>4511</v>
      </c>
      <c r="B4512" s="3" t="n">
        <v>4510</v>
      </c>
      <c r="C4512" s="3" t="s">
        <v>119</v>
      </c>
      <c r="D4512" s="3" t="n">
        <v>6</v>
      </c>
      <c r="E4512" s="3" t="n">
        <v>118</v>
      </c>
      <c r="F4512" s="3"/>
      <c r="G4512" s="3"/>
      <c r="H4512" s="24" t="n">
        <v>-0.000944438158</v>
      </c>
    </row>
    <row r="4513" customFormat="false" ht="15" hidden="false" customHeight="false" outlineLevel="0" collapsed="false">
      <c r="A4513" s="3" t="n">
        <v>4512</v>
      </c>
      <c r="B4513" s="3" t="n">
        <v>4511</v>
      </c>
      <c r="C4513" s="3" t="s">
        <v>119</v>
      </c>
      <c r="D4513" s="3" t="n">
        <v>6</v>
      </c>
      <c r="E4513" s="3" t="n">
        <v>119</v>
      </c>
      <c r="F4513" s="3"/>
      <c r="G4513" s="3"/>
      <c r="H4513" s="24" t="n">
        <v>-0.471271545</v>
      </c>
    </row>
    <row r="4514" customFormat="false" ht="15" hidden="false" customHeight="false" outlineLevel="0" collapsed="false">
      <c r="A4514" s="3" t="n">
        <v>4513</v>
      </c>
      <c r="B4514" s="3" t="n">
        <v>4512</v>
      </c>
      <c r="C4514" s="3" t="s">
        <v>119</v>
      </c>
      <c r="D4514" s="3" t="n">
        <v>6</v>
      </c>
      <c r="E4514" s="3" t="n">
        <v>120</v>
      </c>
      <c r="F4514" s="3"/>
      <c r="G4514" s="3"/>
      <c r="H4514" s="24" t="n">
        <v>0.113277853</v>
      </c>
    </row>
    <row r="4515" customFormat="false" ht="15" hidden="false" customHeight="false" outlineLevel="0" collapsed="false">
      <c r="A4515" s="3" t="n">
        <v>4514</v>
      </c>
      <c r="B4515" s="3" t="n">
        <v>4513</v>
      </c>
      <c r="C4515" s="3" t="s">
        <v>119</v>
      </c>
      <c r="D4515" s="3" t="n">
        <v>6</v>
      </c>
      <c r="E4515" s="3" t="n">
        <v>121</v>
      </c>
      <c r="F4515" s="3"/>
      <c r="G4515" s="3"/>
      <c r="H4515" s="24" t="n">
        <v>0.0666883811</v>
      </c>
    </row>
    <row r="4516" customFormat="false" ht="15" hidden="false" customHeight="false" outlineLevel="0" collapsed="false">
      <c r="A4516" s="3" t="n">
        <v>4515</v>
      </c>
      <c r="B4516" s="3" t="n">
        <v>4514</v>
      </c>
      <c r="C4516" s="3" t="s">
        <v>119</v>
      </c>
      <c r="D4516" s="3" t="n">
        <v>6</v>
      </c>
      <c r="E4516" s="3" t="n">
        <v>122</v>
      </c>
      <c r="F4516" s="3"/>
      <c r="G4516" s="3"/>
      <c r="H4516" s="24" t="n">
        <v>-0.0677561164</v>
      </c>
    </row>
    <row r="4517" customFormat="false" ht="15" hidden="false" customHeight="false" outlineLevel="0" collapsed="false">
      <c r="A4517" s="3" t="n">
        <v>4516</v>
      </c>
      <c r="B4517" s="3" t="n">
        <v>4515</v>
      </c>
      <c r="C4517" s="3" t="s">
        <v>119</v>
      </c>
      <c r="D4517" s="3" t="n">
        <v>6</v>
      </c>
      <c r="E4517" s="3" t="n">
        <v>123</v>
      </c>
      <c r="F4517" s="3"/>
      <c r="G4517" s="3"/>
      <c r="H4517" s="24" t="n">
        <v>-0.307891071</v>
      </c>
    </row>
    <row r="4518" customFormat="false" ht="15" hidden="false" customHeight="false" outlineLevel="0" collapsed="false">
      <c r="A4518" s="3" t="n">
        <v>4517</v>
      </c>
      <c r="B4518" s="3" t="n">
        <v>4516</v>
      </c>
      <c r="C4518" s="3" t="s">
        <v>119</v>
      </c>
      <c r="D4518" s="3" t="n">
        <v>6</v>
      </c>
      <c r="E4518" s="3" t="n">
        <v>124</v>
      </c>
      <c r="F4518" s="3"/>
      <c r="G4518" s="3"/>
      <c r="H4518" s="24" t="n">
        <v>0.176291764</v>
      </c>
    </row>
    <row r="4519" customFormat="false" ht="15" hidden="false" customHeight="false" outlineLevel="0" collapsed="false">
      <c r="A4519" s="3" t="n">
        <v>4518</v>
      </c>
      <c r="B4519" s="3" t="n">
        <v>4517</v>
      </c>
      <c r="C4519" s="3" t="s">
        <v>119</v>
      </c>
      <c r="D4519" s="3" t="n">
        <v>6</v>
      </c>
      <c r="E4519" s="3" t="n">
        <v>125</v>
      </c>
      <c r="F4519" s="3"/>
      <c r="G4519" s="3"/>
      <c r="H4519" s="24" t="n">
        <v>-0.106827274</v>
      </c>
    </row>
    <row r="4520" customFormat="false" ht="15" hidden="false" customHeight="false" outlineLevel="0" collapsed="false">
      <c r="A4520" s="3" t="n">
        <v>4519</v>
      </c>
      <c r="B4520" s="3" t="n">
        <v>4518</v>
      </c>
      <c r="C4520" s="3" t="s">
        <v>119</v>
      </c>
      <c r="D4520" s="3" t="n">
        <v>6</v>
      </c>
      <c r="E4520" s="3" t="n">
        <v>126</v>
      </c>
      <c r="F4520" s="3"/>
      <c r="G4520" s="3"/>
      <c r="H4520" s="24" t="n">
        <v>0.149841696</v>
      </c>
    </row>
    <row r="4521" customFormat="false" ht="15" hidden="false" customHeight="false" outlineLevel="0" collapsed="false">
      <c r="A4521" s="3" t="n">
        <v>4520</v>
      </c>
      <c r="B4521" s="3" t="n">
        <v>4519</v>
      </c>
      <c r="C4521" s="3" t="s">
        <v>119</v>
      </c>
      <c r="D4521" s="3" t="n">
        <v>6</v>
      </c>
      <c r="E4521" s="3" t="n">
        <v>127</v>
      </c>
      <c r="F4521" s="3"/>
      <c r="G4521" s="3"/>
      <c r="H4521" s="24" t="n">
        <v>-0.652227283</v>
      </c>
    </row>
    <row r="4522" customFormat="false" ht="15" hidden="false" customHeight="false" outlineLevel="0" collapsed="false">
      <c r="A4522" s="3" t="n">
        <v>4521</v>
      </c>
      <c r="B4522" s="3" t="n">
        <v>4520</v>
      </c>
      <c r="C4522" s="3" t="s">
        <v>119</v>
      </c>
      <c r="D4522" s="3" t="n">
        <v>6</v>
      </c>
      <c r="E4522" s="3" t="n">
        <v>128</v>
      </c>
      <c r="F4522" s="3"/>
      <c r="G4522" s="3"/>
      <c r="H4522" s="24" t="n">
        <v>-0.020080369</v>
      </c>
    </row>
    <row r="4523" customFormat="false" ht="15" hidden="false" customHeight="false" outlineLevel="0" collapsed="false">
      <c r="A4523" s="3" t="n">
        <v>4522</v>
      </c>
      <c r="B4523" s="3" t="n">
        <v>4521</v>
      </c>
      <c r="C4523" s="3" t="s">
        <v>119</v>
      </c>
      <c r="D4523" s="3" t="n">
        <v>6</v>
      </c>
      <c r="E4523" s="3" t="n">
        <v>129</v>
      </c>
      <c r="F4523" s="3"/>
      <c r="G4523" s="3"/>
      <c r="H4523" s="24" t="n">
        <v>-0.00864951219</v>
      </c>
    </row>
    <row r="4524" customFormat="false" ht="15" hidden="false" customHeight="false" outlineLevel="0" collapsed="false">
      <c r="A4524" s="3" t="n">
        <v>4523</v>
      </c>
      <c r="B4524" s="3" t="n">
        <v>4522</v>
      </c>
      <c r="C4524" s="3" t="s">
        <v>119</v>
      </c>
      <c r="D4524" s="3" t="n">
        <v>6</v>
      </c>
      <c r="E4524" s="3" t="n">
        <v>130</v>
      </c>
      <c r="F4524" s="3"/>
      <c r="G4524" s="3"/>
      <c r="H4524" s="24" t="n">
        <v>-0.26405108</v>
      </c>
    </row>
    <row r="4525" customFormat="false" ht="15" hidden="false" customHeight="false" outlineLevel="0" collapsed="false">
      <c r="A4525" s="3" t="n">
        <v>4524</v>
      </c>
      <c r="B4525" s="3" t="n">
        <v>4523</v>
      </c>
      <c r="C4525" s="3" t="s">
        <v>119</v>
      </c>
      <c r="D4525" s="3" t="n">
        <v>6</v>
      </c>
      <c r="E4525" s="3" t="n">
        <v>131</v>
      </c>
      <c r="F4525" s="3"/>
      <c r="G4525" s="3"/>
      <c r="H4525" s="24" t="n">
        <v>0.137963831</v>
      </c>
    </row>
    <row r="4526" customFormat="false" ht="15" hidden="false" customHeight="false" outlineLevel="0" collapsed="false">
      <c r="A4526" s="3" t="n">
        <v>4525</v>
      </c>
      <c r="B4526" s="3" t="n">
        <v>4524</v>
      </c>
      <c r="C4526" s="3" t="s">
        <v>119</v>
      </c>
      <c r="D4526" s="3" t="n">
        <v>6</v>
      </c>
      <c r="E4526" s="3" t="n">
        <v>132</v>
      </c>
      <c r="F4526" s="3"/>
      <c r="G4526" s="3"/>
      <c r="H4526" s="24" t="n">
        <v>0.152344361</v>
      </c>
    </row>
    <row r="4527" customFormat="false" ht="15" hidden="false" customHeight="false" outlineLevel="0" collapsed="false">
      <c r="A4527" s="3" t="n">
        <v>4526</v>
      </c>
      <c r="B4527" s="3" t="n">
        <v>4525</v>
      </c>
      <c r="C4527" s="3" t="s">
        <v>119</v>
      </c>
      <c r="D4527" s="3" t="n">
        <v>6</v>
      </c>
      <c r="E4527" s="3" t="n">
        <v>133</v>
      </c>
      <c r="F4527" s="3"/>
      <c r="G4527" s="3"/>
      <c r="H4527" s="24" t="n">
        <v>0.0848882496</v>
      </c>
    </row>
    <row r="4528" customFormat="false" ht="15" hidden="false" customHeight="false" outlineLevel="0" collapsed="false">
      <c r="A4528" s="3" t="n">
        <v>4527</v>
      </c>
      <c r="B4528" s="3" t="n">
        <v>4526</v>
      </c>
      <c r="C4528" s="3" t="s">
        <v>119</v>
      </c>
      <c r="D4528" s="3" t="n">
        <v>6</v>
      </c>
      <c r="E4528" s="3" t="n">
        <v>134</v>
      </c>
      <c r="F4528" s="3"/>
      <c r="G4528" s="3"/>
      <c r="H4528" s="24" t="n">
        <v>0.148400664</v>
      </c>
    </row>
    <row r="4529" customFormat="false" ht="15" hidden="false" customHeight="false" outlineLevel="0" collapsed="false">
      <c r="A4529" s="3" t="n">
        <v>4528</v>
      </c>
      <c r="B4529" s="3" t="n">
        <v>4527</v>
      </c>
      <c r="C4529" s="3" t="s">
        <v>119</v>
      </c>
      <c r="D4529" s="3" t="n">
        <v>6</v>
      </c>
      <c r="E4529" s="3" t="n">
        <v>135</v>
      </c>
      <c r="F4529" s="3"/>
      <c r="G4529" s="3"/>
      <c r="H4529" s="24" t="n">
        <v>-0.134815827</v>
      </c>
    </row>
    <row r="4530" customFormat="false" ht="15" hidden="false" customHeight="false" outlineLevel="0" collapsed="false">
      <c r="A4530" s="3" t="n">
        <v>4529</v>
      </c>
      <c r="B4530" s="3" t="n">
        <v>4528</v>
      </c>
      <c r="C4530" s="3" t="s">
        <v>119</v>
      </c>
      <c r="D4530" s="3" t="n">
        <v>6</v>
      </c>
      <c r="E4530" s="3" t="n">
        <v>136</v>
      </c>
      <c r="F4530" s="3"/>
      <c r="G4530" s="3"/>
      <c r="H4530" s="24" t="n">
        <v>-0.0288862828</v>
      </c>
    </row>
    <row r="4531" customFormat="false" ht="15" hidden="false" customHeight="false" outlineLevel="0" collapsed="false">
      <c r="A4531" s="3" t="n">
        <v>4530</v>
      </c>
      <c r="B4531" s="3" t="n">
        <v>4529</v>
      </c>
      <c r="C4531" s="3" t="s">
        <v>119</v>
      </c>
      <c r="D4531" s="3" t="n">
        <v>6</v>
      </c>
      <c r="E4531" s="3" t="n">
        <v>137</v>
      </c>
      <c r="F4531" s="3"/>
      <c r="G4531" s="3"/>
      <c r="H4531" s="24" t="n">
        <v>-0.198974475</v>
      </c>
    </row>
    <row r="4532" customFormat="false" ht="15" hidden="false" customHeight="false" outlineLevel="0" collapsed="false">
      <c r="A4532" s="3" t="n">
        <v>4531</v>
      </c>
      <c r="B4532" s="3" t="n">
        <v>4530</v>
      </c>
      <c r="C4532" s="3" t="s">
        <v>119</v>
      </c>
      <c r="D4532" s="3" t="n">
        <v>6</v>
      </c>
      <c r="E4532" s="3" t="n">
        <v>138</v>
      </c>
      <c r="F4532" s="3"/>
      <c r="G4532" s="3"/>
      <c r="H4532" s="24" t="n">
        <v>0.0585734285</v>
      </c>
    </row>
    <row r="4533" customFormat="false" ht="15" hidden="false" customHeight="false" outlineLevel="0" collapsed="false">
      <c r="A4533" s="3" t="n">
        <v>4532</v>
      </c>
      <c r="B4533" s="3" t="n">
        <v>4531</v>
      </c>
      <c r="C4533" s="3" t="s">
        <v>119</v>
      </c>
      <c r="D4533" s="3" t="n">
        <v>6</v>
      </c>
      <c r="E4533" s="3" t="n">
        <v>139</v>
      </c>
      <c r="F4533" s="3"/>
      <c r="G4533" s="3"/>
      <c r="H4533" s="24" t="n">
        <v>0.10123606</v>
      </c>
    </row>
    <row r="4534" customFormat="false" ht="15" hidden="false" customHeight="false" outlineLevel="0" collapsed="false">
      <c r="A4534" s="3" t="n">
        <v>4533</v>
      </c>
      <c r="B4534" s="3" t="n">
        <v>4532</v>
      </c>
      <c r="C4534" s="3" t="s">
        <v>119</v>
      </c>
      <c r="D4534" s="3" t="n">
        <v>6</v>
      </c>
      <c r="E4534" s="3" t="n">
        <v>140</v>
      </c>
      <c r="F4534" s="3"/>
      <c r="G4534" s="3"/>
      <c r="H4534" s="24" t="n">
        <v>-0.244308829</v>
      </c>
    </row>
    <row r="4535" customFormat="false" ht="15" hidden="false" customHeight="false" outlineLevel="0" collapsed="false">
      <c r="A4535" s="3" t="n">
        <v>4534</v>
      </c>
      <c r="B4535" s="3" t="n">
        <v>4533</v>
      </c>
      <c r="C4535" s="3" t="s">
        <v>119</v>
      </c>
      <c r="D4535" s="3" t="n">
        <v>6</v>
      </c>
      <c r="E4535" s="3" t="n">
        <v>141</v>
      </c>
      <c r="F4535" s="3"/>
      <c r="G4535" s="3"/>
      <c r="H4535" s="24" t="n">
        <v>-0.0298008248</v>
      </c>
    </row>
    <row r="4536" customFormat="false" ht="15" hidden="false" customHeight="false" outlineLevel="0" collapsed="false">
      <c r="A4536" s="3" t="n">
        <v>4535</v>
      </c>
      <c r="B4536" s="3" t="n">
        <v>4534</v>
      </c>
      <c r="C4536" s="3" t="s">
        <v>119</v>
      </c>
      <c r="D4536" s="3" t="n">
        <v>6</v>
      </c>
      <c r="E4536" s="3" t="n">
        <v>142</v>
      </c>
      <c r="F4536" s="3"/>
      <c r="G4536" s="3"/>
      <c r="H4536" s="24" t="n">
        <v>0.221391961</v>
      </c>
    </row>
    <row r="4537" customFormat="false" ht="15" hidden="false" customHeight="false" outlineLevel="0" collapsed="false">
      <c r="A4537" s="3" t="n">
        <v>4536</v>
      </c>
      <c r="B4537" s="3" t="n">
        <v>4535</v>
      </c>
      <c r="C4537" s="3" t="s">
        <v>119</v>
      </c>
      <c r="D4537" s="3" t="n">
        <v>6</v>
      </c>
      <c r="E4537" s="3" t="n">
        <v>143</v>
      </c>
      <c r="F4537" s="3"/>
      <c r="G4537" s="3"/>
      <c r="H4537" s="24" t="n">
        <v>-0.151442736</v>
      </c>
    </row>
    <row r="4538" customFormat="false" ht="15" hidden="false" customHeight="false" outlineLevel="0" collapsed="false">
      <c r="A4538" s="3" t="n">
        <v>4537</v>
      </c>
      <c r="B4538" s="3" t="n">
        <v>4536</v>
      </c>
      <c r="C4538" s="3" t="s">
        <v>119</v>
      </c>
      <c r="D4538" s="3" t="n">
        <v>7</v>
      </c>
      <c r="E4538" s="3" t="n">
        <v>0</v>
      </c>
      <c r="F4538" s="3"/>
      <c r="G4538" s="3"/>
      <c r="H4538" s="24" t="n">
        <v>-0.258421838</v>
      </c>
    </row>
    <row r="4539" customFormat="false" ht="15" hidden="false" customHeight="false" outlineLevel="0" collapsed="false">
      <c r="A4539" s="3" t="n">
        <v>4538</v>
      </c>
      <c r="B4539" s="3" t="n">
        <v>4537</v>
      </c>
      <c r="C4539" s="3" t="s">
        <v>119</v>
      </c>
      <c r="D4539" s="3" t="n">
        <v>7</v>
      </c>
      <c r="E4539" s="3" t="n">
        <v>1</v>
      </c>
      <c r="F4539" s="3"/>
      <c r="G4539" s="3"/>
      <c r="H4539" s="24" t="n">
        <v>-0.416878223</v>
      </c>
    </row>
    <row r="4540" customFormat="false" ht="15" hidden="false" customHeight="false" outlineLevel="0" collapsed="false">
      <c r="A4540" s="3" t="n">
        <v>4539</v>
      </c>
      <c r="B4540" s="3" t="n">
        <v>4538</v>
      </c>
      <c r="C4540" s="3" t="s">
        <v>119</v>
      </c>
      <c r="D4540" s="3" t="n">
        <v>7</v>
      </c>
      <c r="E4540" s="3" t="n">
        <v>2</v>
      </c>
      <c r="F4540" s="3"/>
      <c r="G4540" s="3"/>
      <c r="H4540" s="24" t="n">
        <v>0.24369064</v>
      </c>
    </row>
    <row r="4541" customFormat="false" ht="15" hidden="false" customHeight="false" outlineLevel="0" collapsed="false">
      <c r="A4541" s="3" t="n">
        <v>4540</v>
      </c>
      <c r="B4541" s="3" t="n">
        <v>4539</v>
      </c>
      <c r="C4541" s="3" t="s">
        <v>119</v>
      </c>
      <c r="D4541" s="3" t="n">
        <v>7</v>
      </c>
      <c r="E4541" s="3" t="n">
        <v>3</v>
      </c>
      <c r="F4541" s="3"/>
      <c r="G4541" s="3"/>
      <c r="H4541" s="24" t="n">
        <v>0.209751114</v>
      </c>
    </row>
    <row r="4542" customFormat="false" ht="15" hidden="false" customHeight="false" outlineLevel="0" collapsed="false">
      <c r="A4542" s="3" t="n">
        <v>4541</v>
      </c>
      <c r="B4542" s="3" t="n">
        <v>4540</v>
      </c>
      <c r="C4542" s="3" t="s">
        <v>119</v>
      </c>
      <c r="D4542" s="3" t="n">
        <v>7</v>
      </c>
      <c r="E4542" s="3" t="n">
        <v>4</v>
      </c>
      <c r="F4542" s="3"/>
      <c r="G4542" s="3"/>
      <c r="H4542" s="24" t="n">
        <v>0.139263943</v>
      </c>
    </row>
    <row r="4543" customFormat="false" ht="15" hidden="false" customHeight="false" outlineLevel="0" collapsed="false">
      <c r="A4543" s="3" t="n">
        <v>4542</v>
      </c>
      <c r="B4543" s="3" t="n">
        <v>4541</v>
      </c>
      <c r="C4543" s="3" t="s">
        <v>119</v>
      </c>
      <c r="D4543" s="3" t="n">
        <v>7</v>
      </c>
      <c r="E4543" s="3" t="n">
        <v>5</v>
      </c>
      <c r="F4543" s="3"/>
      <c r="G4543" s="3"/>
      <c r="H4543" s="24" t="n">
        <v>-0.17047739</v>
      </c>
    </row>
    <row r="4544" customFormat="false" ht="15" hidden="false" customHeight="false" outlineLevel="0" collapsed="false">
      <c r="A4544" s="3" t="n">
        <v>4543</v>
      </c>
      <c r="B4544" s="3" t="n">
        <v>4542</v>
      </c>
      <c r="C4544" s="3" t="s">
        <v>119</v>
      </c>
      <c r="D4544" s="3" t="n">
        <v>7</v>
      </c>
      <c r="E4544" s="3" t="n">
        <v>6</v>
      </c>
      <c r="F4544" s="3"/>
      <c r="G4544" s="3"/>
      <c r="H4544" s="24" t="n">
        <v>0.142565206</v>
      </c>
    </row>
    <row r="4545" customFormat="false" ht="15" hidden="false" customHeight="false" outlineLevel="0" collapsed="false">
      <c r="A4545" s="3" t="n">
        <v>4544</v>
      </c>
      <c r="B4545" s="3" t="n">
        <v>4543</v>
      </c>
      <c r="C4545" s="3" t="s">
        <v>119</v>
      </c>
      <c r="D4545" s="3" t="n">
        <v>7</v>
      </c>
      <c r="E4545" s="3" t="n">
        <v>7</v>
      </c>
      <c r="F4545" s="3"/>
      <c r="G4545" s="3"/>
      <c r="H4545" s="24" t="n">
        <v>-0.145927951</v>
      </c>
    </row>
    <row r="4546" customFormat="false" ht="15" hidden="false" customHeight="false" outlineLevel="0" collapsed="false">
      <c r="A4546" s="3" t="n">
        <v>4545</v>
      </c>
      <c r="B4546" s="3" t="n">
        <v>4544</v>
      </c>
      <c r="C4546" s="3" t="s">
        <v>119</v>
      </c>
      <c r="D4546" s="3" t="n">
        <v>7</v>
      </c>
      <c r="E4546" s="3" t="n">
        <v>8</v>
      </c>
      <c r="F4546" s="3"/>
      <c r="G4546" s="3"/>
      <c r="H4546" s="24" t="n">
        <v>0.0301051699</v>
      </c>
    </row>
    <row r="4547" customFormat="false" ht="15" hidden="false" customHeight="false" outlineLevel="0" collapsed="false">
      <c r="A4547" s="3" t="n">
        <v>4546</v>
      </c>
      <c r="B4547" s="3" t="n">
        <v>4545</v>
      </c>
      <c r="C4547" s="3" t="s">
        <v>119</v>
      </c>
      <c r="D4547" s="3" t="n">
        <v>7</v>
      </c>
      <c r="E4547" s="3" t="n">
        <v>9</v>
      </c>
      <c r="F4547" s="3"/>
      <c r="G4547" s="3"/>
      <c r="H4547" s="24" t="n">
        <v>0.0549774207</v>
      </c>
    </row>
    <row r="4548" customFormat="false" ht="15" hidden="false" customHeight="false" outlineLevel="0" collapsed="false">
      <c r="A4548" s="3" t="n">
        <v>4547</v>
      </c>
      <c r="B4548" s="3" t="n">
        <v>4546</v>
      </c>
      <c r="C4548" s="3" t="s">
        <v>119</v>
      </c>
      <c r="D4548" s="3" t="n">
        <v>7</v>
      </c>
      <c r="E4548" s="3" t="n">
        <v>10</v>
      </c>
      <c r="F4548" s="3"/>
      <c r="G4548" s="3"/>
      <c r="H4548" s="24" t="n">
        <v>-0.176476091</v>
      </c>
    </row>
    <row r="4549" customFormat="false" ht="15" hidden="false" customHeight="false" outlineLevel="0" collapsed="false">
      <c r="A4549" s="3" t="n">
        <v>4548</v>
      </c>
      <c r="B4549" s="3" t="n">
        <v>4547</v>
      </c>
      <c r="C4549" s="3" t="s">
        <v>119</v>
      </c>
      <c r="D4549" s="3" t="n">
        <v>7</v>
      </c>
      <c r="E4549" s="3" t="n">
        <v>11</v>
      </c>
      <c r="F4549" s="3"/>
      <c r="G4549" s="3"/>
      <c r="H4549" s="24" t="n">
        <v>0.331563711</v>
      </c>
    </row>
    <row r="4550" customFormat="false" ht="15" hidden="false" customHeight="false" outlineLevel="0" collapsed="false">
      <c r="A4550" s="3" t="n">
        <v>4549</v>
      </c>
      <c r="B4550" s="3" t="n">
        <v>4548</v>
      </c>
      <c r="C4550" s="3" t="s">
        <v>119</v>
      </c>
      <c r="D4550" s="3" t="n">
        <v>7</v>
      </c>
      <c r="E4550" s="3" t="n">
        <v>12</v>
      </c>
      <c r="F4550" s="3"/>
      <c r="G4550" s="3"/>
      <c r="H4550" s="24" t="n">
        <v>-0.094289273</v>
      </c>
    </row>
    <row r="4551" customFormat="false" ht="15" hidden="false" customHeight="false" outlineLevel="0" collapsed="false">
      <c r="A4551" s="3" t="n">
        <v>4550</v>
      </c>
      <c r="B4551" s="3" t="n">
        <v>4549</v>
      </c>
      <c r="C4551" s="3" t="s">
        <v>119</v>
      </c>
      <c r="D4551" s="3" t="n">
        <v>7</v>
      </c>
      <c r="E4551" s="3" t="n">
        <v>13</v>
      </c>
      <c r="F4551" s="3"/>
      <c r="G4551" s="3"/>
      <c r="H4551" s="24" t="n">
        <v>-0.0355457067</v>
      </c>
    </row>
    <row r="4552" customFormat="false" ht="15" hidden="false" customHeight="false" outlineLevel="0" collapsed="false">
      <c r="A4552" s="3" t="n">
        <v>4551</v>
      </c>
      <c r="B4552" s="3" t="n">
        <v>4550</v>
      </c>
      <c r="C4552" s="3" t="s">
        <v>119</v>
      </c>
      <c r="D4552" s="3" t="n">
        <v>7</v>
      </c>
      <c r="E4552" s="3" t="n">
        <v>14</v>
      </c>
      <c r="F4552" s="3"/>
      <c r="G4552" s="3"/>
      <c r="H4552" s="24" t="n">
        <v>0.369036376</v>
      </c>
    </row>
    <row r="4553" customFormat="false" ht="15" hidden="false" customHeight="false" outlineLevel="0" collapsed="false">
      <c r="A4553" s="3" t="n">
        <v>4552</v>
      </c>
      <c r="B4553" s="3" t="n">
        <v>4551</v>
      </c>
      <c r="C4553" s="3" t="s">
        <v>119</v>
      </c>
      <c r="D4553" s="3" t="n">
        <v>7</v>
      </c>
      <c r="E4553" s="3" t="n">
        <v>15</v>
      </c>
      <c r="F4553" s="3"/>
      <c r="G4553" s="3"/>
      <c r="H4553" s="24" t="n">
        <v>0.0532138869</v>
      </c>
    </row>
    <row r="4554" customFormat="false" ht="15" hidden="false" customHeight="false" outlineLevel="0" collapsed="false">
      <c r="A4554" s="3" t="n">
        <v>4553</v>
      </c>
      <c r="B4554" s="3" t="n">
        <v>4552</v>
      </c>
      <c r="C4554" s="3" t="s">
        <v>119</v>
      </c>
      <c r="D4554" s="3" t="n">
        <v>7</v>
      </c>
      <c r="E4554" s="3" t="n">
        <v>16</v>
      </c>
      <c r="F4554" s="3"/>
      <c r="G4554" s="3"/>
      <c r="H4554" s="24" t="n">
        <v>0.162956342</v>
      </c>
    </row>
    <row r="4555" customFormat="false" ht="15" hidden="false" customHeight="false" outlineLevel="0" collapsed="false">
      <c r="A4555" s="3" t="n">
        <v>4554</v>
      </c>
      <c r="B4555" s="3" t="n">
        <v>4553</v>
      </c>
      <c r="C4555" s="3" t="s">
        <v>119</v>
      </c>
      <c r="D4555" s="3" t="n">
        <v>7</v>
      </c>
      <c r="E4555" s="3" t="n">
        <v>17</v>
      </c>
      <c r="F4555" s="3"/>
      <c r="G4555" s="3"/>
      <c r="H4555" s="24" t="n">
        <v>0.179750964</v>
      </c>
    </row>
    <row r="4556" customFormat="false" ht="15" hidden="false" customHeight="false" outlineLevel="0" collapsed="false">
      <c r="A4556" s="3" t="n">
        <v>4555</v>
      </c>
      <c r="B4556" s="3" t="n">
        <v>4554</v>
      </c>
      <c r="C4556" s="3" t="s">
        <v>119</v>
      </c>
      <c r="D4556" s="3" t="n">
        <v>7</v>
      </c>
      <c r="E4556" s="3" t="n">
        <v>18</v>
      </c>
      <c r="F4556" s="3"/>
      <c r="G4556" s="3"/>
      <c r="H4556" s="24" t="n">
        <v>0.166635886</v>
      </c>
    </row>
    <row r="4557" customFormat="false" ht="15" hidden="false" customHeight="false" outlineLevel="0" collapsed="false">
      <c r="A4557" s="3" t="n">
        <v>4556</v>
      </c>
      <c r="B4557" s="3" t="n">
        <v>4555</v>
      </c>
      <c r="C4557" s="3" t="s">
        <v>119</v>
      </c>
      <c r="D4557" s="3" t="n">
        <v>7</v>
      </c>
      <c r="E4557" s="3" t="n">
        <v>19</v>
      </c>
      <c r="F4557" s="3"/>
      <c r="G4557" s="3"/>
      <c r="H4557" s="24" t="n">
        <v>-0.104691364</v>
      </c>
    </row>
    <row r="4558" customFormat="false" ht="15" hidden="false" customHeight="false" outlineLevel="0" collapsed="false">
      <c r="A4558" s="3" t="n">
        <v>4557</v>
      </c>
      <c r="B4558" s="3" t="n">
        <v>4556</v>
      </c>
      <c r="C4558" s="3" t="s">
        <v>119</v>
      </c>
      <c r="D4558" s="3" t="n">
        <v>7</v>
      </c>
      <c r="E4558" s="3" t="n">
        <v>20</v>
      </c>
      <c r="F4558" s="3"/>
      <c r="G4558" s="3"/>
      <c r="H4558" s="24" t="n">
        <v>0.0548320375</v>
      </c>
    </row>
    <row r="4559" customFormat="false" ht="15" hidden="false" customHeight="false" outlineLevel="0" collapsed="false">
      <c r="A4559" s="3" t="n">
        <v>4558</v>
      </c>
      <c r="B4559" s="3" t="n">
        <v>4557</v>
      </c>
      <c r="C4559" s="3" t="s">
        <v>119</v>
      </c>
      <c r="D4559" s="3" t="n">
        <v>7</v>
      </c>
      <c r="E4559" s="3" t="n">
        <v>21</v>
      </c>
      <c r="F4559" s="3"/>
      <c r="G4559" s="3"/>
      <c r="H4559" s="24" t="n">
        <v>0.187562883</v>
      </c>
    </row>
    <row r="4560" customFormat="false" ht="15" hidden="false" customHeight="false" outlineLevel="0" collapsed="false">
      <c r="A4560" s="3" t="n">
        <v>4559</v>
      </c>
      <c r="B4560" s="3" t="n">
        <v>4558</v>
      </c>
      <c r="C4560" s="3" t="s">
        <v>119</v>
      </c>
      <c r="D4560" s="3" t="n">
        <v>7</v>
      </c>
      <c r="E4560" s="3" t="n">
        <v>22</v>
      </c>
      <c r="F4560" s="3"/>
      <c r="G4560" s="3"/>
      <c r="H4560" s="24" t="n">
        <v>-0.00129157468</v>
      </c>
    </row>
    <row r="4561" customFormat="false" ht="15" hidden="false" customHeight="false" outlineLevel="0" collapsed="false">
      <c r="A4561" s="3" t="n">
        <v>4560</v>
      </c>
      <c r="B4561" s="3" t="n">
        <v>4559</v>
      </c>
      <c r="C4561" s="3" t="s">
        <v>119</v>
      </c>
      <c r="D4561" s="3" t="n">
        <v>7</v>
      </c>
      <c r="E4561" s="3" t="n">
        <v>23</v>
      </c>
      <c r="F4561" s="3"/>
      <c r="G4561" s="3"/>
      <c r="H4561" s="24" t="n">
        <v>0.0219480712</v>
      </c>
    </row>
    <row r="4562" customFormat="false" ht="15" hidden="false" customHeight="false" outlineLevel="0" collapsed="false">
      <c r="A4562" s="3" t="n">
        <v>4561</v>
      </c>
      <c r="B4562" s="3" t="n">
        <v>4560</v>
      </c>
      <c r="C4562" s="3" t="s">
        <v>119</v>
      </c>
      <c r="D4562" s="3" t="n">
        <v>7</v>
      </c>
      <c r="E4562" s="3" t="n">
        <v>24</v>
      </c>
      <c r="F4562" s="3"/>
      <c r="G4562" s="3"/>
      <c r="H4562" s="24" t="n">
        <v>-0.144001946</v>
      </c>
    </row>
    <row r="4563" customFormat="false" ht="15" hidden="false" customHeight="false" outlineLevel="0" collapsed="false">
      <c r="A4563" s="3" t="n">
        <v>4562</v>
      </c>
      <c r="B4563" s="3" t="n">
        <v>4561</v>
      </c>
      <c r="C4563" s="3" t="s">
        <v>119</v>
      </c>
      <c r="D4563" s="3" t="n">
        <v>7</v>
      </c>
      <c r="E4563" s="3" t="n">
        <v>25</v>
      </c>
      <c r="F4563" s="3"/>
      <c r="G4563" s="3"/>
      <c r="H4563" s="24" t="n">
        <v>-0.3380481</v>
      </c>
    </row>
    <row r="4564" customFormat="false" ht="15" hidden="false" customHeight="false" outlineLevel="0" collapsed="false">
      <c r="A4564" s="3" t="n">
        <v>4563</v>
      </c>
      <c r="B4564" s="3" t="n">
        <v>4562</v>
      </c>
      <c r="C4564" s="3" t="s">
        <v>119</v>
      </c>
      <c r="D4564" s="3" t="n">
        <v>7</v>
      </c>
      <c r="E4564" s="3" t="n">
        <v>26</v>
      </c>
      <c r="F4564" s="3"/>
      <c r="G4564" s="3"/>
      <c r="H4564" s="24" t="n">
        <v>0.0244068019</v>
      </c>
    </row>
    <row r="4565" customFormat="false" ht="15" hidden="false" customHeight="false" outlineLevel="0" collapsed="false">
      <c r="A4565" s="3" t="n">
        <v>4564</v>
      </c>
      <c r="B4565" s="3" t="n">
        <v>4563</v>
      </c>
      <c r="C4565" s="3" t="s">
        <v>119</v>
      </c>
      <c r="D4565" s="3" t="n">
        <v>7</v>
      </c>
      <c r="E4565" s="3" t="n">
        <v>27</v>
      </c>
      <c r="F4565" s="3"/>
      <c r="G4565" s="3"/>
      <c r="H4565" s="24" t="n">
        <v>0.19847551</v>
      </c>
    </row>
    <row r="4566" customFormat="false" ht="15" hidden="false" customHeight="false" outlineLevel="0" collapsed="false">
      <c r="A4566" s="3" t="n">
        <v>4565</v>
      </c>
      <c r="B4566" s="3" t="n">
        <v>4564</v>
      </c>
      <c r="C4566" s="3" t="s">
        <v>119</v>
      </c>
      <c r="D4566" s="3" t="n">
        <v>7</v>
      </c>
      <c r="E4566" s="3" t="n">
        <v>28</v>
      </c>
      <c r="F4566" s="3"/>
      <c r="G4566" s="3"/>
      <c r="H4566" s="24" t="n">
        <v>0.251098424</v>
      </c>
    </row>
    <row r="4567" customFormat="false" ht="15" hidden="false" customHeight="false" outlineLevel="0" collapsed="false">
      <c r="A4567" s="3" t="n">
        <v>4566</v>
      </c>
      <c r="B4567" s="3" t="n">
        <v>4565</v>
      </c>
      <c r="C4567" s="3" t="s">
        <v>119</v>
      </c>
      <c r="D4567" s="3" t="n">
        <v>7</v>
      </c>
      <c r="E4567" s="3" t="n">
        <v>29</v>
      </c>
      <c r="F4567" s="3"/>
      <c r="G4567" s="3"/>
      <c r="H4567" s="24" t="n">
        <v>-0.0458796285</v>
      </c>
    </row>
    <row r="4568" customFormat="false" ht="15" hidden="false" customHeight="false" outlineLevel="0" collapsed="false">
      <c r="A4568" s="3" t="n">
        <v>4567</v>
      </c>
      <c r="B4568" s="3" t="n">
        <v>4566</v>
      </c>
      <c r="C4568" s="3" t="s">
        <v>119</v>
      </c>
      <c r="D4568" s="3" t="n">
        <v>7</v>
      </c>
      <c r="E4568" s="3" t="n">
        <v>30</v>
      </c>
      <c r="F4568" s="3"/>
      <c r="G4568" s="3"/>
      <c r="H4568" s="24" t="n">
        <v>0.12601392</v>
      </c>
    </row>
    <row r="4569" customFormat="false" ht="15" hidden="false" customHeight="false" outlineLevel="0" collapsed="false">
      <c r="A4569" s="3" t="n">
        <v>4568</v>
      </c>
      <c r="B4569" s="3" t="n">
        <v>4567</v>
      </c>
      <c r="C4569" s="3" t="s">
        <v>119</v>
      </c>
      <c r="D4569" s="3" t="n">
        <v>7</v>
      </c>
      <c r="E4569" s="3" t="n">
        <v>31</v>
      </c>
      <c r="F4569" s="3"/>
      <c r="G4569" s="3"/>
      <c r="H4569" s="24" t="n">
        <v>-0.114517614</v>
      </c>
    </row>
    <row r="4570" customFormat="false" ht="15" hidden="false" customHeight="false" outlineLevel="0" collapsed="false">
      <c r="A4570" s="3" t="n">
        <v>4569</v>
      </c>
      <c r="B4570" s="3" t="n">
        <v>4568</v>
      </c>
      <c r="C4570" s="3" t="s">
        <v>119</v>
      </c>
      <c r="D4570" s="3" t="n">
        <v>7</v>
      </c>
      <c r="E4570" s="3" t="n">
        <v>32</v>
      </c>
      <c r="F4570" s="3"/>
      <c r="G4570" s="3"/>
      <c r="H4570" s="24" t="n">
        <v>0.0832473561</v>
      </c>
    </row>
    <row r="4571" customFormat="false" ht="15" hidden="false" customHeight="false" outlineLevel="0" collapsed="false">
      <c r="A4571" s="3" t="n">
        <v>4570</v>
      </c>
      <c r="B4571" s="3" t="n">
        <v>4569</v>
      </c>
      <c r="C4571" s="3" t="s">
        <v>119</v>
      </c>
      <c r="D4571" s="3" t="n">
        <v>7</v>
      </c>
      <c r="E4571" s="3" t="n">
        <v>33</v>
      </c>
      <c r="F4571" s="3"/>
      <c r="G4571" s="3"/>
      <c r="H4571" s="24" t="n">
        <v>0.0273267087</v>
      </c>
    </row>
    <row r="4572" customFormat="false" ht="15" hidden="false" customHeight="false" outlineLevel="0" collapsed="false">
      <c r="A4572" s="3" t="n">
        <v>4571</v>
      </c>
      <c r="B4572" s="3" t="n">
        <v>4570</v>
      </c>
      <c r="C4572" s="3" t="s">
        <v>119</v>
      </c>
      <c r="D4572" s="3" t="n">
        <v>7</v>
      </c>
      <c r="E4572" s="3" t="n">
        <v>34</v>
      </c>
      <c r="F4572" s="3"/>
      <c r="G4572" s="3"/>
      <c r="H4572" s="24" t="n">
        <v>-0.340039402</v>
      </c>
    </row>
    <row r="4573" customFormat="false" ht="15" hidden="false" customHeight="false" outlineLevel="0" collapsed="false">
      <c r="A4573" s="3" t="n">
        <v>4572</v>
      </c>
      <c r="B4573" s="3" t="n">
        <v>4571</v>
      </c>
      <c r="C4573" s="3" t="s">
        <v>119</v>
      </c>
      <c r="D4573" s="3" t="n">
        <v>7</v>
      </c>
      <c r="E4573" s="3" t="n">
        <v>35</v>
      </c>
      <c r="F4573" s="3"/>
      <c r="G4573" s="3"/>
      <c r="H4573" s="24" t="n">
        <v>-0.292380959</v>
      </c>
    </row>
    <row r="4574" customFormat="false" ht="15" hidden="false" customHeight="false" outlineLevel="0" collapsed="false">
      <c r="A4574" s="3" t="n">
        <v>4573</v>
      </c>
      <c r="B4574" s="3" t="n">
        <v>4572</v>
      </c>
      <c r="C4574" s="3" t="s">
        <v>119</v>
      </c>
      <c r="D4574" s="3" t="n">
        <v>7</v>
      </c>
      <c r="E4574" s="3" t="n">
        <v>36</v>
      </c>
      <c r="F4574" s="3"/>
      <c r="G4574" s="3"/>
      <c r="H4574" s="24" t="n">
        <v>0.160697982</v>
      </c>
    </row>
    <row r="4575" customFormat="false" ht="15" hidden="false" customHeight="false" outlineLevel="0" collapsed="false">
      <c r="A4575" s="3" t="n">
        <v>4574</v>
      </c>
      <c r="B4575" s="3" t="n">
        <v>4573</v>
      </c>
      <c r="C4575" s="3" t="s">
        <v>119</v>
      </c>
      <c r="D4575" s="3" t="n">
        <v>7</v>
      </c>
      <c r="E4575" s="3" t="n">
        <v>37</v>
      </c>
      <c r="F4575" s="3"/>
      <c r="G4575" s="3"/>
      <c r="H4575" s="24" t="n">
        <v>0.116557792</v>
      </c>
    </row>
    <row r="4576" customFormat="false" ht="15" hidden="false" customHeight="false" outlineLevel="0" collapsed="false">
      <c r="A4576" s="3" t="n">
        <v>4575</v>
      </c>
      <c r="B4576" s="3" t="n">
        <v>4574</v>
      </c>
      <c r="C4576" s="3" t="s">
        <v>119</v>
      </c>
      <c r="D4576" s="3" t="n">
        <v>7</v>
      </c>
      <c r="E4576" s="3" t="n">
        <v>38</v>
      </c>
      <c r="F4576" s="3"/>
      <c r="G4576" s="3"/>
      <c r="H4576" s="24" t="n">
        <v>-0.15115656</v>
      </c>
    </row>
    <row r="4577" customFormat="false" ht="15" hidden="false" customHeight="false" outlineLevel="0" collapsed="false">
      <c r="A4577" s="3" t="n">
        <v>4576</v>
      </c>
      <c r="B4577" s="3" t="n">
        <v>4575</v>
      </c>
      <c r="C4577" s="3" t="s">
        <v>119</v>
      </c>
      <c r="D4577" s="3" t="n">
        <v>7</v>
      </c>
      <c r="E4577" s="3" t="n">
        <v>39</v>
      </c>
      <c r="F4577" s="3"/>
      <c r="G4577" s="3"/>
      <c r="H4577" s="24" t="n">
        <v>0.0460803732</v>
      </c>
    </row>
    <row r="4578" customFormat="false" ht="15" hidden="false" customHeight="false" outlineLevel="0" collapsed="false">
      <c r="A4578" s="3" t="n">
        <v>4577</v>
      </c>
      <c r="B4578" s="3" t="n">
        <v>4576</v>
      </c>
      <c r="C4578" s="3" t="s">
        <v>119</v>
      </c>
      <c r="D4578" s="3" t="n">
        <v>7</v>
      </c>
      <c r="E4578" s="3" t="n">
        <v>40</v>
      </c>
      <c r="F4578" s="3"/>
      <c r="G4578" s="3"/>
      <c r="H4578" s="24" t="n">
        <v>-0.19386825</v>
      </c>
    </row>
    <row r="4579" customFormat="false" ht="15" hidden="false" customHeight="false" outlineLevel="0" collapsed="false">
      <c r="A4579" s="3" t="n">
        <v>4578</v>
      </c>
      <c r="B4579" s="3" t="n">
        <v>4577</v>
      </c>
      <c r="C4579" s="3" t="s">
        <v>119</v>
      </c>
      <c r="D4579" s="3" t="n">
        <v>7</v>
      </c>
      <c r="E4579" s="3" t="n">
        <v>41</v>
      </c>
      <c r="F4579" s="3"/>
      <c r="G4579" s="3"/>
      <c r="H4579" s="24" t="n">
        <v>-0.0555939004</v>
      </c>
    </row>
    <row r="4580" customFormat="false" ht="15" hidden="false" customHeight="false" outlineLevel="0" collapsed="false">
      <c r="A4580" s="3" t="n">
        <v>4579</v>
      </c>
      <c r="B4580" s="3" t="n">
        <v>4578</v>
      </c>
      <c r="C4580" s="3" t="s">
        <v>119</v>
      </c>
      <c r="D4580" s="3" t="n">
        <v>7</v>
      </c>
      <c r="E4580" s="3" t="n">
        <v>42</v>
      </c>
      <c r="F4580" s="3"/>
      <c r="G4580" s="3"/>
      <c r="H4580" s="24" t="n">
        <v>-0.302749962</v>
      </c>
    </row>
    <row r="4581" customFormat="false" ht="15" hidden="false" customHeight="false" outlineLevel="0" collapsed="false">
      <c r="A4581" s="3" t="n">
        <v>4580</v>
      </c>
      <c r="B4581" s="3" t="n">
        <v>4579</v>
      </c>
      <c r="C4581" s="3" t="s">
        <v>119</v>
      </c>
      <c r="D4581" s="3" t="n">
        <v>7</v>
      </c>
      <c r="E4581" s="3" t="n">
        <v>43</v>
      </c>
      <c r="F4581" s="3"/>
      <c r="G4581" s="3"/>
      <c r="H4581" s="24" t="n">
        <v>-0.0975487232</v>
      </c>
    </row>
    <row r="4582" customFormat="false" ht="15" hidden="false" customHeight="false" outlineLevel="0" collapsed="false">
      <c r="A4582" s="3" t="n">
        <v>4581</v>
      </c>
      <c r="B4582" s="3" t="n">
        <v>4580</v>
      </c>
      <c r="C4582" s="3" t="s">
        <v>119</v>
      </c>
      <c r="D4582" s="3" t="n">
        <v>7</v>
      </c>
      <c r="E4582" s="3" t="n">
        <v>44</v>
      </c>
      <c r="F4582" s="3"/>
      <c r="G4582" s="3"/>
      <c r="H4582" s="24" t="n">
        <v>-0.102701247</v>
      </c>
    </row>
    <row r="4583" customFormat="false" ht="15" hidden="false" customHeight="false" outlineLevel="0" collapsed="false">
      <c r="A4583" s="3" t="n">
        <v>4582</v>
      </c>
      <c r="B4583" s="3" t="n">
        <v>4581</v>
      </c>
      <c r="C4583" s="3" t="s">
        <v>119</v>
      </c>
      <c r="D4583" s="3" t="n">
        <v>7</v>
      </c>
      <c r="E4583" s="3" t="n">
        <v>45</v>
      </c>
      <c r="F4583" s="3"/>
      <c r="G4583" s="3"/>
      <c r="H4583" s="24" t="n">
        <v>0.109360993</v>
      </c>
    </row>
    <row r="4584" customFormat="false" ht="15" hidden="false" customHeight="false" outlineLevel="0" collapsed="false">
      <c r="A4584" s="3" t="n">
        <v>4583</v>
      </c>
      <c r="B4584" s="3" t="n">
        <v>4582</v>
      </c>
      <c r="C4584" s="3" t="s">
        <v>119</v>
      </c>
      <c r="D4584" s="3" t="n">
        <v>7</v>
      </c>
      <c r="E4584" s="3" t="n">
        <v>46</v>
      </c>
      <c r="F4584" s="3"/>
      <c r="G4584" s="3"/>
      <c r="H4584" s="24" t="n">
        <v>0.287795752</v>
      </c>
    </row>
    <row r="4585" customFormat="false" ht="15" hidden="false" customHeight="false" outlineLevel="0" collapsed="false">
      <c r="A4585" s="3" t="n">
        <v>4584</v>
      </c>
      <c r="B4585" s="3" t="n">
        <v>4583</v>
      </c>
      <c r="C4585" s="3" t="s">
        <v>119</v>
      </c>
      <c r="D4585" s="3" t="n">
        <v>7</v>
      </c>
      <c r="E4585" s="3" t="n">
        <v>47</v>
      </c>
      <c r="F4585" s="3"/>
      <c r="G4585" s="3"/>
      <c r="H4585" s="24" t="n">
        <v>-0.0384275652</v>
      </c>
    </row>
    <row r="4586" customFormat="false" ht="15" hidden="false" customHeight="false" outlineLevel="0" collapsed="false">
      <c r="A4586" s="3" t="n">
        <v>4585</v>
      </c>
      <c r="B4586" s="3" t="n">
        <v>4584</v>
      </c>
      <c r="C4586" s="3" t="s">
        <v>119</v>
      </c>
      <c r="D4586" s="3" t="n">
        <v>7</v>
      </c>
      <c r="E4586" s="3" t="n">
        <v>48</v>
      </c>
      <c r="F4586" s="3"/>
      <c r="G4586" s="3"/>
      <c r="H4586" s="24" t="n">
        <v>-0.504011452</v>
      </c>
    </row>
    <row r="4587" customFormat="false" ht="15" hidden="false" customHeight="false" outlineLevel="0" collapsed="false">
      <c r="A4587" s="3" t="n">
        <v>4586</v>
      </c>
      <c r="B4587" s="3" t="n">
        <v>4585</v>
      </c>
      <c r="C4587" s="3" t="s">
        <v>119</v>
      </c>
      <c r="D4587" s="3" t="n">
        <v>7</v>
      </c>
      <c r="E4587" s="3" t="n">
        <v>49</v>
      </c>
      <c r="F4587" s="3"/>
      <c r="G4587" s="3"/>
      <c r="H4587" s="24" t="n">
        <v>-0.0572235584</v>
      </c>
    </row>
    <row r="4588" customFormat="false" ht="15" hidden="false" customHeight="false" outlineLevel="0" collapsed="false">
      <c r="A4588" s="3" t="n">
        <v>4587</v>
      </c>
      <c r="B4588" s="3" t="n">
        <v>4586</v>
      </c>
      <c r="C4588" s="3" t="s">
        <v>119</v>
      </c>
      <c r="D4588" s="3" t="n">
        <v>7</v>
      </c>
      <c r="E4588" s="3" t="n">
        <v>50</v>
      </c>
      <c r="F4588" s="3"/>
      <c r="G4588" s="3"/>
      <c r="H4588" s="24" t="n">
        <v>0.0568927713</v>
      </c>
    </row>
    <row r="4589" customFormat="false" ht="15" hidden="false" customHeight="false" outlineLevel="0" collapsed="false">
      <c r="A4589" s="3" t="n">
        <v>4588</v>
      </c>
      <c r="B4589" s="3" t="n">
        <v>4587</v>
      </c>
      <c r="C4589" s="3" t="s">
        <v>119</v>
      </c>
      <c r="D4589" s="3" t="n">
        <v>7</v>
      </c>
      <c r="E4589" s="3" t="n">
        <v>51</v>
      </c>
      <c r="F4589" s="3"/>
      <c r="G4589" s="3"/>
      <c r="H4589" s="24" t="n">
        <v>0.0152012222</v>
      </c>
    </row>
    <row r="4590" customFormat="false" ht="15" hidden="false" customHeight="false" outlineLevel="0" collapsed="false">
      <c r="A4590" s="3" t="n">
        <v>4589</v>
      </c>
      <c r="B4590" s="3" t="n">
        <v>4588</v>
      </c>
      <c r="C4590" s="3" t="s">
        <v>119</v>
      </c>
      <c r="D4590" s="3" t="n">
        <v>7</v>
      </c>
      <c r="E4590" s="3" t="n">
        <v>52</v>
      </c>
      <c r="F4590" s="3"/>
      <c r="G4590" s="3"/>
      <c r="H4590" s="24" t="n">
        <v>-0.283376098</v>
      </c>
    </row>
    <row r="4591" customFormat="false" ht="15" hidden="false" customHeight="false" outlineLevel="0" collapsed="false">
      <c r="A4591" s="3" t="n">
        <v>4590</v>
      </c>
      <c r="B4591" s="3" t="n">
        <v>4589</v>
      </c>
      <c r="C4591" s="3" t="s">
        <v>119</v>
      </c>
      <c r="D4591" s="3" t="n">
        <v>7</v>
      </c>
      <c r="E4591" s="3" t="n">
        <v>53</v>
      </c>
      <c r="F4591" s="3"/>
      <c r="G4591" s="3"/>
      <c r="H4591" s="24" t="n">
        <v>-0.182685614</v>
      </c>
    </row>
    <row r="4592" customFormat="false" ht="15" hidden="false" customHeight="false" outlineLevel="0" collapsed="false">
      <c r="A4592" s="3" t="n">
        <v>4591</v>
      </c>
      <c r="B4592" s="3" t="n">
        <v>4590</v>
      </c>
      <c r="C4592" s="3" t="s">
        <v>119</v>
      </c>
      <c r="D4592" s="3" t="n">
        <v>7</v>
      </c>
      <c r="E4592" s="3" t="n">
        <v>54</v>
      </c>
      <c r="F4592" s="3"/>
      <c r="G4592" s="3"/>
      <c r="H4592" s="24" t="n">
        <v>0.128870174</v>
      </c>
    </row>
    <row r="4593" customFormat="false" ht="15" hidden="false" customHeight="false" outlineLevel="0" collapsed="false">
      <c r="A4593" s="3" t="n">
        <v>4592</v>
      </c>
      <c r="B4593" s="3" t="n">
        <v>4591</v>
      </c>
      <c r="C4593" s="3" t="s">
        <v>119</v>
      </c>
      <c r="D4593" s="3" t="n">
        <v>7</v>
      </c>
      <c r="E4593" s="3" t="n">
        <v>55</v>
      </c>
      <c r="F4593" s="3"/>
      <c r="G4593" s="3"/>
      <c r="H4593" s="24" t="n">
        <v>-0.595039666</v>
      </c>
    </row>
    <row r="4594" customFormat="false" ht="15" hidden="false" customHeight="false" outlineLevel="0" collapsed="false">
      <c r="A4594" s="3" t="n">
        <v>4593</v>
      </c>
      <c r="B4594" s="3" t="n">
        <v>4592</v>
      </c>
      <c r="C4594" s="3" t="s">
        <v>119</v>
      </c>
      <c r="D4594" s="3" t="n">
        <v>7</v>
      </c>
      <c r="E4594" s="3" t="n">
        <v>56</v>
      </c>
      <c r="F4594" s="3"/>
      <c r="G4594" s="3"/>
      <c r="H4594" s="24" t="n">
        <v>-0.96255666</v>
      </c>
    </row>
    <row r="4595" customFormat="false" ht="15" hidden="false" customHeight="false" outlineLevel="0" collapsed="false">
      <c r="A4595" s="3" t="n">
        <v>4594</v>
      </c>
      <c r="B4595" s="3" t="n">
        <v>4593</v>
      </c>
      <c r="C4595" s="3" t="s">
        <v>119</v>
      </c>
      <c r="D4595" s="3" t="n">
        <v>7</v>
      </c>
      <c r="E4595" s="3" t="n">
        <v>57</v>
      </c>
      <c r="F4595" s="3"/>
      <c r="G4595" s="3"/>
      <c r="H4595" s="24" t="n">
        <v>-0.0191106368</v>
      </c>
    </row>
    <row r="4596" customFormat="false" ht="15" hidden="false" customHeight="false" outlineLevel="0" collapsed="false">
      <c r="A4596" s="3" t="n">
        <v>4595</v>
      </c>
      <c r="B4596" s="3" t="n">
        <v>4594</v>
      </c>
      <c r="C4596" s="3" t="s">
        <v>119</v>
      </c>
      <c r="D4596" s="3" t="n">
        <v>7</v>
      </c>
      <c r="E4596" s="3" t="n">
        <v>58</v>
      </c>
      <c r="F4596" s="3"/>
      <c r="G4596" s="3"/>
      <c r="H4596" s="24" t="n">
        <v>0.0859374404</v>
      </c>
    </row>
    <row r="4597" customFormat="false" ht="15" hidden="false" customHeight="false" outlineLevel="0" collapsed="false">
      <c r="A4597" s="3" t="n">
        <v>4596</v>
      </c>
      <c r="B4597" s="3" t="n">
        <v>4595</v>
      </c>
      <c r="C4597" s="3" t="s">
        <v>119</v>
      </c>
      <c r="D4597" s="3" t="n">
        <v>7</v>
      </c>
      <c r="E4597" s="3" t="n">
        <v>59</v>
      </c>
      <c r="F4597" s="3"/>
      <c r="G4597" s="3"/>
      <c r="H4597" s="24" t="n">
        <v>0.165077001</v>
      </c>
    </row>
    <row r="4598" customFormat="false" ht="15" hidden="false" customHeight="false" outlineLevel="0" collapsed="false">
      <c r="A4598" s="3" t="n">
        <v>4597</v>
      </c>
      <c r="B4598" s="3" t="n">
        <v>4596</v>
      </c>
      <c r="C4598" s="3" t="s">
        <v>119</v>
      </c>
      <c r="D4598" s="3" t="n">
        <v>7</v>
      </c>
      <c r="E4598" s="3" t="n">
        <v>60</v>
      </c>
      <c r="F4598" s="3"/>
      <c r="G4598" s="3"/>
      <c r="H4598" s="24" t="n">
        <v>0.0656775534</v>
      </c>
    </row>
    <row r="4599" customFormat="false" ht="15" hidden="false" customHeight="false" outlineLevel="0" collapsed="false">
      <c r="A4599" s="3" t="n">
        <v>4598</v>
      </c>
      <c r="B4599" s="3" t="n">
        <v>4597</v>
      </c>
      <c r="C4599" s="3" t="s">
        <v>119</v>
      </c>
      <c r="D4599" s="3" t="n">
        <v>7</v>
      </c>
      <c r="E4599" s="3" t="n">
        <v>61</v>
      </c>
      <c r="F4599" s="3"/>
      <c r="G4599" s="3"/>
      <c r="H4599" s="24" t="n">
        <v>0.0962232426</v>
      </c>
    </row>
    <row r="4600" customFormat="false" ht="15" hidden="false" customHeight="false" outlineLevel="0" collapsed="false">
      <c r="A4600" s="3" t="n">
        <v>4599</v>
      </c>
      <c r="B4600" s="3" t="n">
        <v>4598</v>
      </c>
      <c r="C4600" s="3" t="s">
        <v>119</v>
      </c>
      <c r="D4600" s="3" t="n">
        <v>7</v>
      </c>
      <c r="E4600" s="3" t="n">
        <v>62</v>
      </c>
      <c r="F4600" s="3"/>
      <c r="G4600" s="3"/>
      <c r="H4600" s="24" t="n">
        <v>0.06957037</v>
      </c>
    </row>
    <row r="4601" customFormat="false" ht="15" hidden="false" customHeight="false" outlineLevel="0" collapsed="false">
      <c r="A4601" s="3" t="n">
        <v>4600</v>
      </c>
      <c r="B4601" s="3" t="n">
        <v>4599</v>
      </c>
      <c r="C4601" s="3" t="s">
        <v>119</v>
      </c>
      <c r="D4601" s="3" t="n">
        <v>7</v>
      </c>
      <c r="E4601" s="3" t="n">
        <v>63</v>
      </c>
      <c r="F4601" s="3"/>
      <c r="G4601" s="3"/>
      <c r="H4601" s="24" t="n">
        <v>0.0596981756</v>
      </c>
    </row>
    <row r="4602" customFormat="false" ht="15" hidden="false" customHeight="false" outlineLevel="0" collapsed="false">
      <c r="A4602" s="3" t="n">
        <v>4601</v>
      </c>
      <c r="B4602" s="3" t="n">
        <v>4600</v>
      </c>
      <c r="C4602" s="3" t="s">
        <v>119</v>
      </c>
      <c r="D4602" s="3" t="n">
        <v>7</v>
      </c>
      <c r="E4602" s="3" t="n">
        <v>64</v>
      </c>
      <c r="F4602" s="3"/>
      <c r="G4602" s="3"/>
      <c r="H4602" s="24" t="n">
        <v>-0.0304242689</v>
      </c>
    </row>
    <row r="4603" customFormat="false" ht="15" hidden="false" customHeight="false" outlineLevel="0" collapsed="false">
      <c r="A4603" s="3" t="n">
        <v>4602</v>
      </c>
      <c r="B4603" s="3" t="n">
        <v>4601</v>
      </c>
      <c r="C4603" s="3" t="s">
        <v>119</v>
      </c>
      <c r="D4603" s="3" t="n">
        <v>7</v>
      </c>
      <c r="E4603" s="3" t="n">
        <v>65</v>
      </c>
      <c r="F4603" s="3"/>
      <c r="G4603" s="3"/>
      <c r="H4603" s="24" t="n">
        <v>0.0423741639</v>
      </c>
    </row>
    <row r="4604" customFormat="false" ht="15" hidden="false" customHeight="false" outlineLevel="0" collapsed="false">
      <c r="A4604" s="3" t="n">
        <v>4603</v>
      </c>
      <c r="B4604" s="3" t="n">
        <v>4602</v>
      </c>
      <c r="C4604" s="3" t="s">
        <v>119</v>
      </c>
      <c r="D4604" s="3" t="n">
        <v>7</v>
      </c>
      <c r="E4604" s="3" t="n">
        <v>66</v>
      </c>
      <c r="F4604" s="3"/>
      <c r="G4604" s="3"/>
      <c r="H4604" s="24" t="n">
        <v>0.048726283</v>
      </c>
    </row>
    <row r="4605" customFormat="false" ht="15" hidden="false" customHeight="false" outlineLevel="0" collapsed="false">
      <c r="A4605" s="3" t="n">
        <v>4604</v>
      </c>
      <c r="B4605" s="3" t="n">
        <v>4603</v>
      </c>
      <c r="C4605" s="3" t="s">
        <v>119</v>
      </c>
      <c r="D4605" s="3" t="n">
        <v>7</v>
      </c>
      <c r="E4605" s="3" t="n">
        <v>67</v>
      </c>
      <c r="F4605" s="3"/>
      <c r="G4605" s="3"/>
      <c r="H4605" s="24" t="n">
        <v>-0.0679412335</v>
      </c>
    </row>
    <row r="4606" customFormat="false" ht="15" hidden="false" customHeight="false" outlineLevel="0" collapsed="false">
      <c r="A4606" s="3" t="n">
        <v>4605</v>
      </c>
      <c r="B4606" s="3" t="n">
        <v>4604</v>
      </c>
      <c r="C4606" s="3" t="s">
        <v>119</v>
      </c>
      <c r="D4606" s="3" t="n">
        <v>7</v>
      </c>
      <c r="E4606" s="3" t="n">
        <v>68</v>
      </c>
      <c r="F4606" s="3"/>
      <c r="G4606" s="3"/>
      <c r="H4606" s="24" t="n">
        <v>0.0120998677</v>
      </c>
    </row>
    <row r="4607" customFormat="false" ht="15" hidden="false" customHeight="false" outlineLevel="0" collapsed="false">
      <c r="A4607" s="3" t="n">
        <v>4606</v>
      </c>
      <c r="B4607" s="3" t="n">
        <v>4605</v>
      </c>
      <c r="C4607" s="3" t="s">
        <v>119</v>
      </c>
      <c r="D4607" s="3" t="n">
        <v>7</v>
      </c>
      <c r="E4607" s="3" t="n">
        <v>69</v>
      </c>
      <c r="F4607" s="3"/>
      <c r="G4607" s="3"/>
      <c r="H4607" s="24" t="n">
        <v>0.0332685709</v>
      </c>
    </row>
    <row r="4608" customFormat="false" ht="15" hidden="false" customHeight="false" outlineLevel="0" collapsed="false">
      <c r="A4608" s="3" t="n">
        <v>4607</v>
      </c>
      <c r="B4608" s="3" t="n">
        <v>4606</v>
      </c>
      <c r="C4608" s="3" t="s">
        <v>119</v>
      </c>
      <c r="D4608" s="3" t="n">
        <v>7</v>
      </c>
      <c r="E4608" s="3" t="n">
        <v>70</v>
      </c>
      <c r="F4608" s="3"/>
      <c r="G4608" s="3"/>
      <c r="H4608" s="24" t="n">
        <v>-0.0500973165</v>
      </c>
    </row>
    <row r="4609" customFormat="false" ht="15" hidden="false" customHeight="false" outlineLevel="0" collapsed="false">
      <c r="A4609" s="3" t="n">
        <v>4608</v>
      </c>
      <c r="B4609" s="3" t="n">
        <v>4607</v>
      </c>
      <c r="C4609" s="3" t="s">
        <v>119</v>
      </c>
      <c r="D4609" s="3" t="n">
        <v>7</v>
      </c>
      <c r="E4609" s="3" t="n">
        <v>71</v>
      </c>
      <c r="F4609" s="3"/>
      <c r="G4609" s="3"/>
      <c r="H4609" s="24" t="n">
        <v>0.077045761</v>
      </c>
    </row>
    <row r="4610" customFormat="false" ht="15" hidden="false" customHeight="false" outlineLevel="0" collapsed="false">
      <c r="A4610" s="3" t="n">
        <v>4609</v>
      </c>
      <c r="B4610" s="3" t="n">
        <v>4608</v>
      </c>
      <c r="C4610" s="3" t="s">
        <v>119</v>
      </c>
      <c r="D4610" s="3" t="n">
        <v>7</v>
      </c>
      <c r="E4610" s="3" t="n">
        <v>72</v>
      </c>
      <c r="F4610" s="3"/>
      <c r="G4610" s="3"/>
      <c r="H4610" s="24" t="n">
        <v>0.0697739348</v>
      </c>
    </row>
    <row r="4611" customFormat="false" ht="15" hidden="false" customHeight="false" outlineLevel="0" collapsed="false">
      <c r="A4611" s="3" t="n">
        <v>4610</v>
      </c>
      <c r="B4611" s="3" t="n">
        <v>4609</v>
      </c>
      <c r="C4611" s="3" t="s">
        <v>119</v>
      </c>
      <c r="D4611" s="3" t="n">
        <v>7</v>
      </c>
      <c r="E4611" s="3" t="n">
        <v>73</v>
      </c>
      <c r="F4611" s="3"/>
      <c r="G4611" s="3"/>
      <c r="H4611" s="24" t="n">
        <v>0.18349877</v>
      </c>
    </row>
    <row r="4612" customFormat="false" ht="15" hidden="false" customHeight="false" outlineLevel="0" collapsed="false">
      <c r="A4612" s="3" t="n">
        <v>4611</v>
      </c>
      <c r="B4612" s="3" t="n">
        <v>4610</v>
      </c>
      <c r="C4612" s="3" t="s">
        <v>119</v>
      </c>
      <c r="D4612" s="3" t="n">
        <v>7</v>
      </c>
      <c r="E4612" s="3" t="n">
        <v>74</v>
      </c>
      <c r="F4612" s="3"/>
      <c r="G4612" s="3"/>
      <c r="H4612" s="24" t="n">
        <v>0.0224500019</v>
      </c>
    </row>
    <row r="4613" customFormat="false" ht="15" hidden="false" customHeight="false" outlineLevel="0" collapsed="false">
      <c r="A4613" s="3" t="n">
        <v>4612</v>
      </c>
      <c r="B4613" s="3" t="n">
        <v>4611</v>
      </c>
      <c r="C4613" s="3" t="s">
        <v>119</v>
      </c>
      <c r="D4613" s="3" t="n">
        <v>7</v>
      </c>
      <c r="E4613" s="3" t="n">
        <v>75</v>
      </c>
      <c r="F4613" s="3"/>
      <c r="G4613" s="3"/>
      <c r="H4613" s="24" t="n">
        <v>0.127061129</v>
      </c>
    </row>
    <row r="4614" customFormat="false" ht="15" hidden="false" customHeight="false" outlineLevel="0" collapsed="false">
      <c r="A4614" s="3" t="n">
        <v>4613</v>
      </c>
      <c r="B4614" s="3" t="n">
        <v>4612</v>
      </c>
      <c r="C4614" s="3" t="s">
        <v>119</v>
      </c>
      <c r="D4614" s="3" t="n">
        <v>7</v>
      </c>
      <c r="E4614" s="3" t="n">
        <v>76</v>
      </c>
      <c r="F4614" s="3"/>
      <c r="G4614" s="3"/>
      <c r="H4614" s="24" t="n">
        <v>0.156575501</v>
      </c>
    </row>
    <row r="4615" customFormat="false" ht="15" hidden="false" customHeight="false" outlineLevel="0" collapsed="false">
      <c r="A4615" s="3" t="n">
        <v>4614</v>
      </c>
      <c r="B4615" s="3" t="n">
        <v>4613</v>
      </c>
      <c r="C4615" s="3" t="s">
        <v>119</v>
      </c>
      <c r="D4615" s="3" t="n">
        <v>7</v>
      </c>
      <c r="E4615" s="3" t="n">
        <v>77</v>
      </c>
      <c r="F4615" s="3"/>
      <c r="G4615" s="3"/>
      <c r="H4615" s="24" t="n">
        <v>-0.0593979098</v>
      </c>
    </row>
    <row r="4616" customFormat="false" ht="15" hidden="false" customHeight="false" outlineLevel="0" collapsed="false">
      <c r="A4616" s="3" t="n">
        <v>4615</v>
      </c>
      <c r="B4616" s="3" t="n">
        <v>4614</v>
      </c>
      <c r="C4616" s="3" t="s">
        <v>119</v>
      </c>
      <c r="D4616" s="3" t="n">
        <v>7</v>
      </c>
      <c r="E4616" s="3" t="n">
        <v>78</v>
      </c>
      <c r="F4616" s="3"/>
      <c r="G4616" s="3"/>
      <c r="H4616" s="24" t="n">
        <v>0.0955805853</v>
      </c>
    </row>
    <row r="4617" customFormat="false" ht="15" hidden="false" customHeight="false" outlineLevel="0" collapsed="false">
      <c r="A4617" s="3" t="n">
        <v>4616</v>
      </c>
      <c r="B4617" s="3" t="n">
        <v>4615</v>
      </c>
      <c r="C4617" s="3" t="s">
        <v>119</v>
      </c>
      <c r="D4617" s="3" t="n">
        <v>7</v>
      </c>
      <c r="E4617" s="3" t="n">
        <v>79</v>
      </c>
      <c r="F4617" s="3"/>
      <c r="G4617" s="3"/>
      <c r="H4617" s="24" t="n">
        <v>-0.216291294</v>
      </c>
    </row>
    <row r="4618" customFormat="false" ht="15" hidden="false" customHeight="false" outlineLevel="0" collapsed="false">
      <c r="A4618" s="3" t="n">
        <v>4617</v>
      </c>
      <c r="B4618" s="3" t="n">
        <v>4616</v>
      </c>
      <c r="C4618" s="3" t="s">
        <v>119</v>
      </c>
      <c r="D4618" s="3" t="n">
        <v>7</v>
      </c>
      <c r="E4618" s="3" t="n">
        <v>80</v>
      </c>
      <c r="F4618" s="3"/>
      <c r="G4618" s="3"/>
      <c r="H4618" s="24" t="n">
        <v>-0.249835372</v>
      </c>
    </row>
    <row r="4619" customFormat="false" ht="15" hidden="false" customHeight="false" outlineLevel="0" collapsed="false">
      <c r="A4619" s="3" t="n">
        <v>4618</v>
      </c>
      <c r="B4619" s="3" t="n">
        <v>4617</v>
      </c>
      <c r="C4619" s="3" t="s">
        <v>119</v>
      </c>
      <c r="D4619" s="3" t="n">
        <v>7</v>
      </c>
      <c r="E4619" s="3" t="n">
        <v>81</v>
      </c>
      <c r="F4619" s="3"/>
      <c r="G4619" s="3"/>
      <c r="H4619" s="24" t="n">
        <v>-0.123737559</v>
      </c>
    </row>
    <row r="4620" customFormat="false" ht="15" hidden="false" customHeight="false" outlineLevel="0" collapsed="false">
      <c r="A4620" s="3" t="n">
        <v>4619</v>
      </c>
      <c r="B4620" s="3" t="n">
        <v>4618</v>
      </c>
      <c r="C4620" s="3" t="s">
        <v>119</v>
      </c>
      <c r="D4620" s="3" t="n">
        <v>7</v>
      </c>
      <c r="E4620" s="3" t="n">
        <v>82</v>
      </c>
      <c r="F4620" s="3"/>
      <c r="G4620" s="3"/>
      <c r="H4620" s="24" t="n">
        <v>-0.129480332</v>
      </c>
    </row>
    <row r="4621" customFormat="false" ht="15" hidden="false" customHeight="false" outlineLevel="0" collapsed="false">
      <c r="A4621" s="3" t="n">
        <v>4620</v>
      </c>
      <c r="B4621" s="3" t="n">
        <v>4619</v>
      </c>
      <c r="C4621" s="3" t="s">
        <v>119</v>
      </c>
      <c r="D4621" s="3" t="n">
        <v>7</v>
      </c>
      <c r="E4621" s="3" t="n">
        <v>83</v>
      </c>
      <c r="F4621" s="3"/>
      <c r="G4621" s="3"/>
      <c r="H4621" s="24" t="n">
        <v>0.192791387</v>
      </c>
    </row>
    <row r="4622" customFormat="false" ht="15" hidden="false" customHeight="false" outlineLevel="0" collapsed="false">
      <c r="A4622" s="3" t="n">
        <v>4621</v>
      </c>
      <c r="B4622" s="3" t="n">
        <v>4620</v>
      </c>
      <c r="C4622" s="3" t="s">
        <v>119</v>
      </c>
      <c r="D4622" s="3" t="n">
        <v>7</v>
      </c>
      <c r="E4622" s="3" t="n">
        <v>84</v>
      </c>
      <c r="F4622" s="3"/>
      <c r="G4622" s="3"/>
      <c r="H4622" s="24" t="n">
        <v>-0.162032992</v>
      </c>
    </row>
    <row r="4623" customFormat="false" ht="15" hidden="false" customHeight="false" outlineLevel="0" collapsed="false">
      <c r="A4623" s="3" t="n">
        <v>4622</v>
      </c>
      <c r="B4623" s="3" t="n">
        <v>4621</v>
      </c>
      <c r="C4623" s="3" t="s">
        <v>119</v>
      </c>
      <c r="D4623" s="3" t="n">
        <v>7</v>
      </c>
      <c r="E4623" s="3" t="n">
        <v>85</v>
      </c>
      <c r="F4623" s="3"/>
      <c r="G4623" s="3"/>
      <c r="H4623" s="24" t="n">
        <v>0.163205147</v>
      </c>
    </row>
    <row r="4624" customFormat="false" ht="15" hidden="false" customHeight="false" outlineLevel="0" collapsed="false">
      <c r="A4624" s="3" t="n">
        <v>4623</v>
      </c>
      <c r="B4624" s="3" t="n">
        <v>4622</v>
      </c>
      <c r="C4624" s="3" t="s">
        <v>119</v>
      </c>
      <c r="D4624" s="3" t="n">
        <v>7</v>
      </c>
      <c r="E4624" s="3" t="n">
        <v>86</v>
      </c>
      <c r="F4624" s="3"/>
      <c r="G4624" s="3"/>
      <c r="H4624" s="24" t="n">
        <v>-0.198524699</v>
      </c>
    </row>
    <row r="4625" customFormat="false" ht="15" hidden="false" customHeight="false" outlineLevel="0" collapsed="false">
      <c r="A4625" s="3" t="n">
        <v>4624</v>
      </c>
      <c r="B4625" s="3" t="n">
        <v>4623</v>
      </c>
      <c r="C4625" s="3" t="s">
        <v>119</v>
      </c>
      <c r="D4625" s="3" t="n">
        <v>7</v>
      </c>
      <c r="E4625" s="3" t="n">
        <v>87</v>
      </c>
      <c r="F4625" s="3"/>
      <c r="G4625" s="3"/>
      <c r="H4625" s="24" t="n">
        <v>0.0532747358</v>
      </c>
    </row>
    <row r="4626" customFormat="false" ht="15" hidden="false" customHeight="false" outlineLevel="0" collapsed="false">
      <c r="A4626" s="3" t="n">
        <v>4625</v>
      </c>
      <c r="B4626" s="3" t="n">
        <v>4624</v>
      </c>
      <c r="C4626" s="3" t="s">
        <v>119</v>
      </c>
      <c r="D4626" s="3" t="n">
        <v>7</v>
      </c>
      <c r="E4626" s="3" t="n">
        <v>88</v>
      </c>
      <c r="F4626" s="3"/>
      <c r="G4626" s="3"/>
      <c r="H4626" s="24" t="n">
        <v>0.026612496</v>
      </c>
    </row>
    <row r="4627" customFormat="false" ht="15" hidden="false" customHeight="false" outlineLevel="0" collapsed="false">
      <c r="A4627" s="3" t="n">
        <v>4626</v>
      </c>
      <c r="B4627" s="3" t="n">
        <v>4625</v>
      </c>
      <c r="C4627" s="3" t="s">
        <v>119</v>
      </c>
      <c r="D4627" s="3" t="n">
        <v>7</v>
      </c>
      <c r="E4627" s="3" t="n">
        <v>89</v>
      </c>
      <c r="F4627" s="3"/>
      <c r="G4627" s="3"/>
      <c r="H4627" s="24" t="n">
        <v>-0.167457074</v>
      </c>
    </row>
    <row r="4628" customFormat="false" ht="15" hidden="false" customHeight="false" outlineLevel="0" collapsed="false">
      <c r="A4628" s="3" t="n">
        <v>4627</v>
      </c>
      <c r="B4628" s="3" t="n">
        <v>4626</v>
      </c>
      <c r="C4628" s="3" t="s">
        <v>119</v>
      </c>
      <c r="D4628" s="3" t="n">
        <v>7</v>
      </c>
      <c r="E4628" s="3" t="n">
        <v>90</v>
      </c>
      <c r="F4628" s="3"/>
      <c r="G4628" s="3"/>
      <c r="H4628" s="24" t="n">
        <v>0.19495894</v>
      </c>
    </row>
    <row r="4629" customFormat="false" ht="15" hidden="false" customHeight="false" outlineLevel="0" collapsed="false">
      <c r="A4629" s="3" t="n">
        <v>4628</v>
      </c>
      <c r="B4629" s="3" t="n">
        <v>4627</v>
      </c>
      <c r="C4629" s="3" t="s">
        <v>119</v>
      </c>
      <c r="D4629" s="3" t="n">
        <v>7</v>
      </c>
      <c r="E4629" s="3" t="n">
        <v>91</v>
      </c>
      <c r="F4629" s="3"/>
      <c r="G4629" s="3"/>
      <c r="H4629" s="24" t="n">
        <v>0.11844755</v>
      </c>
    </row>
    <row r="4630" customFormat="false" ht="15" hidden="false" customHeight="false" outlineLevel="0" collapsed="false">
      <c r="A4630" s="3" t="n">
        <v>4629</v>
      </c>
      <c r="B4630" s="3" t="n">
        <v>4628</v>
      </c>
      <c r="C4630" s="3" t="s">
        <v>119</v>
      </c>
      <c r="D4630" s="3" t="n">
        <v>7</v>
      </c>
      <c r="E4630" s="3" t="n">
        <v>92</v>
      </c>
      <c r="F4630" s="3"/>
      <c r="G4630" s="3"/>
      <c r="H4630" s="24" t="n">
        <v>0.0128458505</v>
      </c>
    </row>
    <row r="4631" customFormat="false" ht="15" hidden="false" customHeight="false" outlineLevel="0" collapsed="false">
      <c r="A4631" s="3" t="n">
        <v>4630</v>
      </c>
      <c r="B4631" s="3" t="n">
        <v>4629</v>
      </c>
      <c r="C4631" s="3" t="s">
        <v>119</v>
      </c>
      <c r="D4631" s="3" t="n">
        <v>7</v>
      </c>
      <c r="E4631" s="3" t="n">
        <v>93</v>
      </c>
      <c r="F4631" s="3"/>
      <c r="G4631" s="3"/>
      <c r="H4631" s="24" t="n">
        <v>0.133514732</v>
      </c>
    </row>
    <row r="4632" customFormat="false" ht="15" hidden="false" customHeight="false" outlineLevel="0" collapsed="false">
      <c r="A4632" s="3" t="n">
        <v>4631</v>
      </c>
      <c r="B4632" s="3" t="n">
        <v>4630</v>
      </c>
      <c r="C4632" s="3" t="s">
        <v>119</v>
      </c>
      <c r="D4632" s="3" t="n">
        <v>7</v>
      </c>
      <c r="E4632" s="3" t="n">
        <v>94</v>
      </c>
      <c r="F4632" s="3"/>
      <c r="G4632" s="3"/>
      <c r="H4632" s="24" t="n">
        <v>0.175030857</v>
      </c>
    </row>
    <row r="4633" customFormat="false" ht="15" hidden="false" customHeight="false" outlineLevel="0" collapsed="false">
      <c r="A4633" s="3" t="n">
        <v>4632</v>
      </c>
      <c r="B4633" s="3" t="n">
        <v>4631</v>
      </c>
      <c r="C4633" s="3" t="s">
        <v>119</v>
      </c>
      <c r="D4633" s="3" t="n">
        <v>7</v>
      </c>
      <c r="E4633" s="3" t="n">
        <v>95</v>
      </c>
      <c r="F4633" s="3"/>
      <c r="G4633" s="3"/>
      <c r="H4633" s="24" t="n">
        <v>-0.0160123538</v>
      </c>
    </row>
    <row r="4634" customFormat="false" ht="15" hidden="false" customHeight="false" outlineLevel="0" collapsed="false">
      <c r="A4634" s="3" t="n">
        <v>4633</v>
      </c>
      <c r="B4634" s="3" t="n">
        <v>4632</v>
      </c>
      <c r="C4634" s="3" t="s">
        <v>119</v>
      </c>
      <c r="D4634" s="3" t="n">
        <v>7</v>
      </c>
      <c r="E4634" s="3" t="n">
        <v>96</v>
      </c>
      <c r="F4634" s="3"/>
      <c r="G4634" s="3"/>
      <c r="H4634" s="24" t="n">
        <v>-0.227061018</v>
      </c>
    </row>
    <row r="4635" customFormat="false" ht="15" hidden="false" customHeight="false" outlineLevel="0" collapsed="false">
      <c r="A4635" s="3" t="n">
        <v>4634</v>
      </c>
      <c r="B4635" s="3" t="n">
        <v>4633</v>
      </c>
      <c r="C4635" s="3" t="s">
        <v>119</v>
      </c>
      <c r="D4635" s="3" t="n">
        <v>7</v>
      </c>
      <c r="E4635" s="3" t="n">
        <v>97</v>
      </c>
      <c r="F4635" s="3"/>
      <c r="G4635" s="3"/>
      <c r="H4635" s="24" t="n">
        <v>-0.0440404043</v>
      </c>
    </row>
    <row r="4636" customFormat="false" ht="15" hidden="false" customHeight="false" outlineLevel="0" collapsed="false">
      <c r="A4636" s="3" t="n">
        <v>4635</v>
      </c>
      <c r="B4636" s="3" t="n">
        <v>4634</v>
      </c>
      <c r="C4636" s="3" t="s">
        <v>119</v>
      </c>
      <c r="D4636" s="3" t="n">
        <v>7</v>
      </c>
      <c r="E4636" s="3" t="n">
        <v>98</v>
      </c>
      <c r="F4636" s="3"/>
      <c r="G4636" s="3"/>
      <c r="H4636" s="24" t="n">
        <v>0.0689595193</v>
      </c>
    </row>
    <row r="4637" customFormat="false" ht="15" hidden="false" customHeight="false" outlineLevel="0" collapsed="false">
      <c r="A4637" s="3" t="n">
        <v>4636</v>
      </c>
      <c r="B4637" s="3" t="n">
        <v>4635</v>
      </c>
      <c r="C4637" s="3" t="s">
        <v>119</v>
      </c>
      <c r="D4637" s="3" t="n">
        <v>7</v>
      </c>
      <c r="E4637" s="3" t="n">
        <v>99</v>
      </c>
      <c r="F4637" s="3"/>
      <c r="G4637" s="3"/>
      <c r="H4637" s="24" t="n">
        <v>0.0176473986</v>
      </c>
    </row>
    <row r="4638" customFormat="false" ht="15" hidden="false" customHeight="false" outlineLevel="0" collapsed="false">
      <c r="A4638" s="3" t="n">
        <v>4637</v>
      </c>
      <c r="B4638" s="3" t="n">
        <v>4636</v>
      </c>
      <c r="C4638" s="3" t="s">
        <v>119</v>
      </c>
      <c r="D4638" s="3" t="n">
        <v>7</v>
      </c>
      <c r="E4638" s="3" t="n">
        <v>100</v>
      </c>
      <c r="F4638" s="3"/>
      <c r="G4638" s="3"/>
      <c r="H4638" s="24" t="n">
        <v>0.210564062</v>
      </c>
    </row>
    <row r="4639" customFormat="false" ht="15" hidden="false" customHeight="false" outlineLevel="0" collapsed="false">
      <c r="A4639" s="3" t="n">
        <v>4638</v>
      </c>
      <c r="B4639" s="3" t="n">
        <v>4637</v>
      </c>
      <c r="C4639" s="3" t="s">
        <v>119</v>
      </c>
      <c r="D4639" s="3" t="n">
        <v>7</v>
      </c>
      <c r="E4639" s="3" t="n">
        <v>101</v>
      </c>
      <c r="F4639" s="3"/>
      <c r="G4639" s="3"/>
      <c r="H4639" s="24" t="n">
        <v>-0.020450484</v>
      </c>
    </row>
    <row r="4640" customFormat="false" ht="15" hidden="false" customHeight="false" outlineLevel="0" collapsed="false">
      <c r="A4640" s="3" t="n">
        <v>4639</v>
      </c>
      <c r="B4640" s="3" t="n">
        <v>4638</v>
      </c>
      <c r="C4640" s="3" t="s">
        <v>119</v>
      </c>
      <c r="D4640" s="3" t="n">
        <v>7</v>
      </c>
      <c r="E4640" s="3" t="n">
        <v>102</v>
      </c>
      <c r="F4640" s="3"/>
      <c r="G4640" s="3"/>
      <c r="H4640" s="24" t="n">
        <v>-0.04033437</v>
      </c>
    </row>
    <row r="4641" customFormat="false" ht="15" hidden="false" customHeight="false" outlineLevel="0" collapsed="false">
      <c r="A4641" s="3" t="n">
        <v>4640</v>
      </c>
      <c r="B4641" s="3" t="n">
        <v>4639</v>
      </c>
      <c r="C4641" s="3" t="s">
        <v>119</v>
      </c>
      <c r="D4641" s="3" t="n">
        <v>7</v>
      </c>
      <c r="E4641" s="3" t="n">
        <v>103</v>
      </c>
      <c r="F4641" s="3"/>
      <c r="G4641" s="3"/>
      <c r="H4641" s="24" t="n">
        <v>0.0178619847</v>
      </c>
    </row>
    <row r="4642" customFormat="false" ht="15" hidden="false" customHeight="false" outlineLevel="0" collapsed="false">
      <c r="A4642" s="3" t="n">
        <v>4641</v>
      </c>
      <c r="B4642" s="3" t="n">
        <v>4640</v>
      </c>
      <c r="C4642" s="3" t="s">
        <v>119</v>
      </c>
      <c r="D4642" s="3" t="n">
        <v>7</v>
      </c>
      <c r="E4642" s="3" t="n">
        <v>104</v>
      </c>
      <c r="F4642" s="3"/>
      <c r="G4642" s="3"/>
      <c r="H4642" s="24" t="n">
        <v>0.0275531448</v>
      </c>
    </row>
    <row r="4643" customFormat="false" ht="15" hidden="false" customHeight="false" outlineLevel="0" collapsed="false">
      <c r="A4643" s="3" t="n">
        <v>4642</v>
      </c>
      <c r="B4643" s="3" t="n">
        <v>4641</v>
      </c>
      <c r="C4643" s="3" t="s">
        <v>119</v>
      </c>
      <c r="D4643" s="3" t="n">
        <v>7</v>
      </c>
      <c r="E4643" s="3" t="n">
        <v>105</v>
      </c>
      <c r="F4643" s="3"/>
      <c r="G4643" s="3"/>
      <c r="H4643" s="24" t="n">
        <v>-0.179499522</v>
      </c>
    </row>
    <row r="4644" customFormat="false" ht="15" hidden="false" customHeight="false" outlineLevel="0" collapsed="false">
      <c r="A4644" s="3" t="n">
        <v>4643</v>
      </c>
      <c r="B4644" s="3" t="n">
        <v>4642</v>
      </c>
      <c r="C4644" s="3" t="s">
        <v>119</v>
      </c>
      <c r="D4644" s="3" t="n">
        <v>7</v>
      </c>
      <c r="E4644" s="3" t="n">
        <v>106</v>
      </c>
      <c r="F4644" s="3"/>
      <c r="G4644" s="3"/>
      <c r="H4644" s="24" t="n">
        <v>0.0485648923</v>
      </c>
    </row>
    <row r="4645" customFormat="false" ht="15" hidden="false" customHeight="false" outlineLevel="0" collapsed="false">
      <c r="A4645" s="3" t="n">
        <v>4644</v>
      </c>
      <c r="B4645" s="3" t="n">
        <v>4643</v>
      </c>
      <c r="C4645" s="3" t="s">
        <v>119</v>
      </c>
      <c r="D4645" s="3" t="n">
        <v>7</v>
      </c>
      <c r="E4645" s="3" t="n">
        <v>107</v>
      </c>
      <c r="F4645" s="3"/>
      <c r="G4645" s="3"/>
      <c r="H4645" s="24" t="n">
        <v>-0.0948695987</v>
      </c>
    </row>
    <row r="4646" customFormat="false" ht="15" hidden="false" customHeight="false" outlineLevel="0" collapsed="false">
      <c r="A4646" s="3" t="n">
        <v>4645</v>
      </c>
      <c r="B4646" s="3" t="n">
        <v>4644</v>
      </c>
      <c r="C4646" s="3" t="s">
        <v>119</v>
      </c>
      <c r="D4646" s="3" t="n">
        <v>7</v>
      </c>
      <c r="E4646" s="3" t="n">
        <v>108</v>
      </c>
      <c r="F4646" s="3"/>
      <c r="G4646" s="3"/>
      <c r="H4646" s="24" t="n">
        <v>0.242069423</v>
      </c>
    </row>
    <row r="4647" customFormat="false" ht="15" hidden="false" customHeight="false" outlineLevel="0" collapsed="false">
      <c r="A4647" s="3" t="n">
        <v>4646</v>
      </c>
      <c r="B4647" s="3" t="n">
        <v>4645</v>
      </c>
      <c r="C4647" s="3" t="s">
        <v>119</v>
      </c>
      <c r="D4647" s="3" t="n">
        <v>7</v>
      </c>
      <c r="E4647" s="3" t="n">
        <v>109</v>
      </c>
      <c r="F4647" s="3"/>
      <c r="G4647" s="3"/>
      <c r="H4647" s="24" t="n">
        <v>-0.144757241</v>
      </c>
    </row>
    <row r="4648" customFormat="false" ht="15" hidden="false" customHeight="false" outlineLevel="0" collapsed="false">
      <c r="A4648" s="3" t="n">
        <v>4647</v>
      </c>
      <c r="B4648" s="3" t="n">
        <v>4646</v>
      </c>
      <c r="C4648" s="3" t="s">
        <v>119</v>
      </c>
      <c r="D4648" s="3" t="n">
        <v>7</v>
      </c>
      <c r="E4648" s="3" t="n">
        <v>110</v>
      </c>
      <c r="F4648" s="3"/>
      <c r="G4648" s="3"/>
      <c r="H4648" s="24" t="n">
        <v>0.21602498</v>
      </c>
    </row>
    <row r="4649" customFormat="false" ht="15" hidden="false" customHeight="false" outlineLevel="0" collapsed="false">
      <c r="A4649" s="3" t="n">
        <v>4648</v>
      </c>
      <c r="B4649" s="3" t="n">
        <v>4647</v>
      </c>
      <c r="C4649" s="3" t="s">
        <v>119</v>
      </c>
      <c r="D4649" s="3" t="n">
        <v>7</v>
      </c>
      <c r="E4649" s="3" t="n">
        <v>111</v>
      </c>
      <c r="F4649" s="3"/>
      <c r="G4649" s="3"/>
      <c r="H4649" s="24" t="n">
        <v>0.00211460516</v>
      </c>
    </row>
    <row r="4650" customFormat="false" ht="15" hidden="false" customHeight="false" outlineLevel="0" collapsed="false">
      <c r="A4650" s="3" t="n">
        <v>4649</v>
      </c>
      <c r="B4650" s="3" t="n">
        <v>4648</v>
      </c>
      <c r="C4650" s="3" t="s">
        <v>119</v>
      </c>
      <c r="D4650" s="3" t="n">
        <v>7</v>
      </c>
      <c r="E4650" s="3" t="n">
        <v>112</v>
      </c>
      <c r="F4650" s="3"/>
      <c r="G4650" s="3"/>
      <c r="H4650" s="24" t="n">
        <v>-0.135640055</v>
      </c>
    </row>
    <row r="4651" customFormat="false" ht="15" hidden="false" customHeight="false" outlineLevel="0" collapsed="false">
      <c r="A4651" s="3" t="n">
        <v>4650</v>
      </c>
      <c r="B4651" s="3" t="n">
        <v>4649</v>
      </c>
      <c r="C4651" s="3" t="s">
        <v>119</v>
      </c>
      <c r="D4651" s="3" t="n">
        <v>7</v>
      </c>
      <c r="E4651" s="3" t="n">
        <v>113</v>
      </c>
      <c r="F4651" s="3"/>
      <c r="G4651" s="3"/>
      <c r="H4651" s="24" t="n">
        <v>0.0848646685</v>
      </c>
    </row>
    <row r="4652" customFormat="false" ht="15" hidden="false" customHeight="false" outlineLevel="0" collapsed="false">
      <c r="A4652" s="3" t="n">
        <v>4651</v>
      </c>
      <c r="B4652" s="3" t="n">
        <v>4650</v>
      </c>
      <c r="C4652" s="3" t="s">
        <v>119</v>
      </c>
      <c r="D4652" s="3" t="n">
        <v>7</v>
      </c>
      <c r="E4652" s="3" t="n">
        <v>114</v>
      </c>
      <c r="F4652" s="3"/>
      <c r="G4652" s="3"/>
      <c r="H4652" s="24" t="n">
        <v>-0.226137742</v>
      </c>
    </row>
    <row r="4653" customFormat="false" ht="15" hidden="false" customHeight="false" outlineLevel="0" collapsed="false">
      <c r="A4653" s="3" t="n">
        <v>4652</v>
      </c>
      <c r="B4653" s="3" t="n">
        <v>4651</v>
      </c>
      <c r="C4653" s="3" t="s">
        <v>119</v>
      </c>
      <c r="D4653" s="3" t="n">
        <v>7</v>
      </c>
      <c r="E4653" s="3" t="n">
        <v>115</v>
      </c>
      <c r="F4653" s="3"/>
      <c r="G4653" s="3"/>
      <c r="H4653" s="24" t="n">
        <v>-0.0636163205</v>
      </c>
    </row>
    <row r="4654" customFormat="false" ht="15" hidden="false" customHeight="false" outlineLevel="0" collapsed="false">
      <c r="A4654" s="3" t="n">
        <v>4653</v>
      </c>
      <c r="B4654" s="3" t="n">
        <v>4652</v>
      </c>
      <c r="C4654" s="3" t="s">
        <v>119</v>
      </c>
      <c r="D4654" s="3" t="n">
        <v>7</v>
      </c>
      <c r="E4654" s="3" t="n">
        <v>116</v>
      </c>
      <c r="F4654" s="3"/>
      <c r="G4654" s="3"/>
      <c r="H4654" s="24" t="n">
        <v>0.183230281</v>
      </c>
    </row>
    <row r="4655" customFormat="false" ht="15" hidden="false" customHeight="false" outlineLevel="0" collapsed="false">
      <c r="A4655" s="3" t="n">
        <v>4654</v>
      </c>
      <c r="B4655" s="3" t="n">
        <v>4653</v>
      </c>
      <c r="C4655" s="3" t="s">
        <v>119</v>
      </c>
      <c r="D4655" s="3" t="n">
        <v>7</v>
      </c>
      <c r="E4655" s="3" t="n">
        <v>117</v>
      </c>
      <c r="F4655" s="3"/>
      <c r="G4655" s="3"/>
      <c r="H4655" s="24" t="n">
        <v>0.0419824645</v>
      </c>
    </row>
    <row r="4656" customFormat="false" ht="15" hidden="false" customHeight="false" outlineLevel="0" collapsed="false">
      <c r="A4656" s="3" t="n">
        <v>4655</v>
      </c>
      <c r="B4656" s="3" t="n">
        <v>4654</v>
      </c>
      <c r="C4656" s="3" t="s">
        <v>119</v>
      </c>
      <c r="D4656" s="3" t="n">
        <v>7</v>
      </c>
      <c r="E4656" s="3" t="n">
        <v>118</v>
      </c>
      <c r="F4656" s="3"/>
      <c r="G4656" s="3"/>
      <c r="H4656" s="24" t="n">
        <v>-0.0569659956</v>
      </c>
    </row>
    <row r="4657" customFormat="false" ht="15" hidden="false" customHeight="false" outlineLevel="0" collapsed="false">
      <c r="A4657" s="3" t="n">
        <v>4656</v>
      </c>
      <c r="B4657" s="3" t="n">
        <v>4655</v>
      </c>
      <c r="C4657" s="3" t="s">
        <v>119</v>
      </c>
      <c r="D4657" s="3" t="n">
        <v>7</v>
      </c>
      <c r="E4657" s="3" t="n">
        <v>119</v>
      </c>
      <c r="F4657" s="3"/>
      <c r="G4657" s="3"/>
      <c r="H4657" s="24" t="n">
        <v>0.136230335</v>
      </c>
    </row>
    <row r="4658" customFormat="false" ht="15" hidden="false" customHeight="false" outlineLevel="0" collapsed="false">
      <c r="A4658" s="3" t="n">
        <v>4657</v>
      </c>
      <c r="B4658" s="3" t="n">
        <v>4656</v>
      </c>
      <c r="C4658" s="3" t="s">
        <v>119</v>
      </c>
      <c r="D4658" s="3" t="n">
        <v>7</v>
      </c>
      <c r="E4658" s="3" t="n">
        <v>120</v>
      </c>
      <c r="F4658" s="3"/>
      <c r="G4658" s="3"/>
      <c r="H4658" s="24" t="n">
        <v>0.26891464</v>
      </c>
    </row>
    <row r="4659" customFormat="false" ht="15" hidden="false" customHeight="false" outlineLevel="0" collapsed="false">
      <c r="A4659" s="3" t="n">
        <v>4658</v>
      </c>
      <c r="B4659" s="3" t="n">
        <v>4657</v>
      </c>
      <c r="C4659" s="3" t="s">
        <v>119</v>
      </c>
      <c r="D4659" s="3" t="n">
        <v>7</v>
      </c>
      <c r="E4659" s="3" t="n">
        <v>121</v>
      </c>
      <c r="F4659" s="3"/>
      <c r="G4659" s="3"/>
      <c r="H4659" s="24" t="n">
        <v>-0.0692744479</v>
      </c>
    </row>
    <row r="4660" customFormat="false" ht="15" hidden="false" customHeight="false" outlineLevel="0" collapsed="false">
      <c r="A4660" s="3" t="n">
        <v>4659</v>
      </c>
      <c r="B4660" s="3" t="n">
        <v>4658</v>
      </c>
      <c r="C4660" s="3" t="s">
        <v>119</v>
      </c>
      <c r="D4660" s="3" t="n">
        <v>7</v>
      </c>
      <c r="E4660" s="3" t="n">
        <v>122</v>
      </c>
      <c r="F4660" s="3"/>
      <c r="G4660" s="3"/>
      <c r="H4660" s="24" t="n">
        <v>-0.0094277272</v>
      </c>
    </row>
    <row r="4661" customFormat="false" ht="15" hidden="false" customHeight="false" outlineLevel="0" collapsed="false">
      <c r="A4661" s="3" t="n">
        <v>4660</v>
      </c>
      <c r="B4661" s="3" t="n">
        <v>4659</v>
      </c>
      <c r="C4661" s="3" t="s">
        <v>119</v>
      </c>
      <c r="D4661" s="3" t="n">
        <v>7</v>
      </c>
      <c r="E4661" s="3" t="n">
        <v>123</v>
      </c>
      <c r="F4661" s="3"/>
      <c r="G4661" s="3"/>
      <c r="H4661" s="24" t="n">
        <v>-0.000725993363</v>
      </c>
    </row>
    <row r="4662" customFormat="false" ht="15" hidden="false" customHeight="false" outlineLevel="0" collapsed="false">
      <c r="A4662" s="3" t="n">
        <v>4661</v>
      </c>
      <c r="B4662" s="3" t="n">
        <v>4660</v>
      </c>
      <c r="C4662" s="3" t="s">
        <v>119</v>
      </c>
      <c r="D4662" s="3" t="n">
        <v>7</v>
      </c>
      <c r="E4662" s="3" t="n">
        <v>124</v>
      </c>
      <c r="F4662" s="3"/>
      <c r="G4662" s="3"/>
      <c r="H4662" s="24" t="n">
        <v>-0.074924022</v>
      </c>
    </row>
    <row r="4663" customFormat="false" ht="15" hidden="false" customHeight="false" outlineLevel="0" collapsed="false">
      <c r="A4663" s="3" t="n">
        <v>4662</v>
      </c>
      <c r="B4663" s="3" t="n">
        <v>4661</v>
      </c>
      <c r="C4663" s="3" t="s">
        <v>119</v>
      </c>
      <c r="D4663" s="3" t="n">
        <v>7</v>
      </c>
      <c r="E4663" s="3" t="n">
        <v>125</v>
      </c>
      <c r="F4663" s="3"/>
      <c r="G4663" s="3"/>
      <c r="H4663" s="24" t="n">
        <v>-0.228322193</v>
      </c>
    </row>
    <row r="4664" customFormat="false" ht="15" hidden="false" customHeight="false" outlineLevel="0" collapsed="false">
      <c r="A4664" s="3" t="n">
        <v>4663</v>
      </c>
      <c r="B4664" s="3" t="n">
        <v>4662</v>
      </c>
      <c r="C4664" s="3" t="s">
        <v>119</v>
      </c>
      <c r="D4664" s="3" t="n">
        <v>7</v>
      </c>
      <c r="E4664" s="3" t="n">
        <v>126</v>
      </c>
      <c r="F4664" s="3"/>
      <c r="G4664" s="3"/>
      <c r="H4664" s="24" t="n">
        <v>0.0304432269</v>
      </c>
    </row>
    <row r="4665" customFormat="false" ht="15" hidden="false" customHeight="false" outlineLevel="0" collapsed="false">
      <c r="A4665" s="3" t="n">
        <v>4664</v>
      </c>
      <c r="B4665" s="3" t="n">
        <v>4663</v>
      </c>
      <c r="C4665" s="3" t="s">
        <v>119</v>
      </c>
      <c r="D4665" s="3" t="n">
        <v>7</v>
      </c>
      <c r="E4665" s="3" t="n">
        <v>127</v>
      </c>
      <c r="F4665" s="3"/>
      <c r="G4665" s="3"/>
      <c r="H4665" s="24" t="n">
        <v>0.45447728</v>
      </c>
    </row>
    <row r="4666" customFormat="false" ht="15" hidden="false" customHeight="false" outlineLevel="0" collapsed="false">
      <c r="A4666" s="3" t="n">
        <v>4665</v>
      </c>
      <c r="B4666" s="3" t="n">
        <v>4664</v>
      </c>
      <c r="C4666" s="3" t="s">
        <v>119</v>
      </c>
      <c r="D4666" s="3" t="n">
        <v>7</v>
      </c>
      <c r="E4666" s="3" t="n">
        <v>128</v>
      </c>
      <c r="F4666" s="3"/>
      <c r="G4666" s="3"/>
      <c r="H4666" s="24" t="n">
        <v>0.120425254</v>
      </c>
    </row>
    <row r="4667" customFormat="false" ht="15" hidden="false" customHeight="false" outlineLevel="0" collapsed="false">
      <c r="A4667" s="3" t="n">
        <v>4666</v>
      </c>
      <c r="B4667" s="3" t="n">
        <v>4665</v>
      </c>
      <c r="C4667" s="3" t="s">
        <v>119</v>
      </c>
      <c r="D4667" s="3" t="n">
        <v>7</v>
      </c>
      <c r="E4667" s="3" t="n">
        <v>129</v>
      </c>
      <c r="F4667" s="3"/>
      <c r="G4667" s="3"/>
      <c r="H4667" s="24" t="n">
        <v>-0.0659487993</v>
      </c>
    </row>
    <row r="4668" customFormat="false" ht="15" hidden="false" customHeight="false" outlineLevel="0" collapsed="false">
      <c r="A4668" s="3" t="n">
        <v>4667</v>
      </c>
      <c r="B4668" s="3" t="n">
        <v>4666</v>
      </c>
      <c r="C4668" s="3" t="s">
        <v>119</v>
      </c>
      <c r="D4668" s="3" t="n">
        <v>7</v>
      </c>
      <c r="E4668" s="3" t="n">
        <v>130</v>
      </c>
      <c r="F4668" s="3"/>
      <c r="G4668" s="3"/>
      <c r="H4668" s="24" t="n">
        <v>0.0445323698</v>
      </c>
    </row>
    <row r="4669" customFormat="false" ht="15" hidden="false" customHeight="false" outlineLevel="0" collapsed="false">
      <c r="A4669" s="3" t="n">
        <v>4668</v>
      </c>
      <c r="B4669" s="3" t="n">
        <v>4667</v>
      </c>
      <c r="C4669" s="3" t="s">
        <v>119</v>
      </c>
      <c r="D4669" s="3" t="n">
        <v>7</v>
      </c>
      <c r="E4669" s="3" t="n">
        <v>131</v>
      </c>
      <c r="F4669" s="3"/>
      <c r="G4669" s="3"/>
      <c r="H4669" s="24" t="n">
        <v>-0.167782441</v>
      </c>
    </row>
    <row r="4670" customFormat="false" ht="15" hidden="false" customHeight="false" outlineLevel="0" collapsed="false">
      <c r="A4670" s="3" t="n">
        <v>4669</v>
      </c>
      <c r="B4670" s="3" t="n">
        <v>4668</v>
      </c>
      <c r="C4670" s="3" t="s">
        <v>119</v>
      </c>
      <c r="D4670" s="3" t="n">
        <v>7</v>
      </c>
      <c r="E4670" s="3" t="n">
        <v>132</v>
      </c>
      <c r="F4670" s="3"/>
      <c r="G4670" s="3"/>
      <c r="H4670" s="24" t="n">
        <v>-0.0678265989</v>
      </c>
    </row>
    <row r="4671" customFormat="false" ht="15" hidden="false" customHeight="false" outlineLevel="0" collapsed="false">
      <c r="A4671" s="3" t="n">
        <v>4670</v>
      </c>
      <c r="B4671" s="3" t="n">
        <v>4669</v>
      </c>
      <c r="C4671" s="3" t="s">
        <v>119</v>
      </c>
      <c r="D4671" s="3" t="n">
        <v>7</v>
      </c>
      <c r="E4671" s="3" t="n">
        <v>133</v>
      </c>
      <c r="F4671" s="3"/>
      <c r="G4671" s="3"/>
      <c r="H4671" s="24" t="n">
        <v>-0.258861482</v>
      </c>
    </row>
    <row r="4672" customFormat="false" ht="15" hidden="false" customHeight="false" outlineLevel="0" collapsed="false">
      <c r="A4672" s="3" t="n">
        <v>4671</v>
      </c>
      <c r="B4672" s="3" t="n">
        <v>4670</v>
      </c>
      <c r="C4672" s="3" t="s">
        <v>119</v>
      </c>
      <c r="D4672" s="3" t="n">
        <v>7</v>
      </c>
      <c r="E4672" s="3" t="n">
        <v>134</v>
      </c>
      <c r="F4672" s="3"/>
      <c r="G4672" s="3"/>
      <c r="H4672" s="24" t="n">
        <v>-0.129024684</v>
      </c>
    </row>
    <row r="4673" customFormat="false" ht="15" hidden="false" customHeight="false" outlineLevel="0" collapsed="false">
      <c r="A4673" s="3" t="n">
        <v>4672</v>
      </c>
      <c r="B4673" s="3" t="n">
        <v>4671</v>
      </c>
      <c r="C4673" s="3" t="s">
        <v>119</v>
      </c>
      <c r="D4673" s="3" t="n">
        <v>7</v>
      </c>
      <c r="E4673" s="3" t="n">
        <v>135</v>
      </c>
      <c r="F4673" s="3"/>
      <c r="G4673" s="3"/>
      <c r="H4673" s="24" t="n">
        <v>-0.0822880939</v>
      </c>
    </row>
    <row r="4674" customFormat="false" ht="15" hidden="false" customHeight="false" outlineLevel="0" collapsed="false">
      <c r="A4674" s="3" t="n">
        <v>4673</v>
      </c>
      <c r="B4674" s="3" t="n">
        <v>4672</v>
      </c>
      <c r="C4674" s="3" t="s">
        <v>119</v>
      </c>
      <c r="D4674" s="3" t="n">
        <v>7</v>
      </c>
      <c r="E4674" s="3" t="n">
        <v>136</v>
      </c>
      <c r="F4674" s="3"/>
      <c r="G4674" s="3"/>
      <c r="H4674" s="24" t="n">
        <v>-0.116142698</v>
      </c>
    </row>
    <row r="4675" customFormat="false" ht="15" hidden="false" customHeight="false" outlineLevel="0" collapsed="false">
      <c r="A4675" s="3" t="n">
        <v>4674</v>
      </c>
      <c r="B4675" s="3" t="n">
        <v>4673</v>
      </c>
      <c r="C4675" s="3" t="s">
        <v>119</v>
      </c>
      <c r="D4675" s="3" t="n">
        <v>7</v>
      </c>
      <c r="E4675" s="3" t="n">
        <v>137</v>
      </c>
      <c r="F4675" s="3"/>
      <c r="G4675" s="3"/>
      <c r="H4675" s="24" t="n">
        <v>0.0966384038</v>
      </c>
    </row>
    <row r="4676" customFormat="false" ht="15" hidden="false" customHeight="false" outlineLevel="0" collapsed="false">
      <c r="A4676" s="3" t="n">
        <v>4675</v>
      </c>
      <c r="B4676" s="3" t="n">
        <v>4674</v>
      </c>
      <c r="C4676" s="3" t="s">
        <v>119</v>
      </c>
      <c r="D4676" s="3" t="n">
        <v>7</v>
      </c>
      <c r="E4676" s="3" t="n">
        <v>138</v>
      </c>
      <c r="F4676" s="3"/>
      <c r="G4676" s="3"/>
      <c r="H4676" s="24" t="n">
        <v>-0.441946089</v>
      </c>
    </row>
    <row r="4677" customFormat="false" ht="15" hidden="false" customHeight="false" outlineLevel="0" collapsed="false">
      <c r="A4677" s="3" t="n">
        <v>4676</v>
      </c>
      <c r="B4677" s="3" t="n">
        <v>4675</v>
      </c>
      <c r="C4677" s="3" t="s">
        <v>119</v>
      </c>
      <c r="D4677" s="3" t="n">
        <v>7</v>
      </c>
      <c r="E4677" s="3" t="n">
        <v>139</v>
      </c>
      <c r="F4677" s="3"/>
      <c r="G4677" s="3"/>
      <c r="H4677" s="24" t="n">
        <v>-0.0580120608</v>
      </c>
    </row>
    <row r="4678" customFormat="false" ht="15" hidden="false" customHeight="false" outlineLevel="0" collapsed="false">
      <c r="A4678" s="3" t="n">
        <v>4677</v>
      </c>
      <c r="B4678" s="3" t="n">
        <v>4676</v>
      </c>
      <c r="C4678" s="3" t="s">
        <v>119</v>
      </c>
      <c r="D4678" s="3" t="n">
        <v>7</v>
      </c>
      <c r="E4678" s="3" t="n">
        <v>140</v>
      </c>
      <c r="F4678" s="3"/>
      <c r="G4678" s="3"/>
      <c r="H4678" s="24" t="n">
        <v>0.151738644</v>
      </c>
    </row>
    <row r="4679" customFormat="false" ht="15" hidden="false" customHeight="false" outlineLevel="0" collapsed="false">
      <c r="A4679" s="3" t="n">
        <v>4678</v>
      </c>
      <c r="B4679" s="3" t="n">
        <v>4677</v>
      </c>
      <c r="C4679" s="3" t="s">
        <v>119</v>
      </c>
      <c r="D4679" s="3" t="n">
        <v>7</v>
      </c>
      <c r="E4679" s="3" t="n">
        <v>141</v>
      </c>
      <c r="F4679" s="3"/>
      <c r="G4679" s="3"/>
      <c r="H4679" s="24" t="n">
        <v>0.151101872</v>
      </c>
    </row>
    <row r="4680" customFormat="false" ht="15" hidden="false" customHeight="false" outlineLevel="0" collapsed="false">
      <c r="A4680" s="3" t="n">
        <v>4679</v>
      </c>
      <c r="B4680" s="3" t="n">
        <v>4678</v>
      </c>
      <c r="C4680" s="3" t="s">
        <v>119</v>
      </c>
      <c r="D4680" s="3" t="n">
        <v>7</v>
      </c>
      <c r="E4680" s="3" t="n">
        <v>142</v>
      </c>
      <c r="F4680" s="3"/>
      <c r="G4680" s="3"/>
      <c r="H4680" s="24" t="n">
        <v>-0.0476974249</v>
      </c>
    </row>
    <row r="4681" customFormat="false" ht="15" hidden="false" customHeight="false" outlineLevel="0" collapsed="false">
      <c r="A4681" s="3" t="n">
        <v>4680</v>
      </c>
      <c r="B4681" s="3" t="n">
        <v>4679</v>
      </c>
      <c r="C4681" s="3" t="s">
        <v>119</v>
      </c>
      <c r="D4681" s="3" t="n">
        <v>7</v>
      </c>
      <c r="E4681" s="3" t="n">
        <v>143</v>
      </c>
      <c r="F4681" s="3"/>
      <c r="G4681" s="3"/>
      <c r="H4681" s="24" t="n">
        <v>0.0328253992</v>
      </c>
    </row>
    <row r="4682" customFormat="false" ht="15" hidden="false" customHeight="false" outlineLevel="0" collapsed="false">
      <c r="A4682" s="3" t="n">
        <v>4681</v>
      </c>
      <c r="B4682" s="3" t="n">
        <v>4680</v>
      </c>
      <c r="C4682" s="3" t="s">
        <v>119</v>
      </c>
      <c r="D4682" s="3" t="n">
        <v>8</v>
      </c>
      <c r="E4682" s="3" t="n">
        <v>0</v>
      </c>
      <c r="F4682" s="3"/>
      <c r="G4682" s="3"/>
      <c r="H4682" s="24" t="n">
        <v>0.141602099</v>
      </c>
    </row>
    <row r="4683" customFormat="false" ht="15" hidden="false" customHeight="false" outlineLevel="0" collapsed="false">
      <c r="A4683" s="3" t="n">
        <v>4682</v>
      </c>
      <c r="B4683" s="3" t="n">
        <v>4681</v>
      </c>
      <c r="C4683" s="3" t="s">
        <v>119</v>
      </c>
      <c r="D4683" s="3" t="n">
        <v>8</v>
      </c>
      <c r="E4683" s="3" t="n">
        <v>1</v>
      </c>
      <c r="F4683" s="3"/>
      <c r="G4683" s="3"/>
      <c r="H4683" s="24" t="n">
        <v>-0.186675474</v>
      </c>
    </row>
    <row r="4684" customFormat="false" ht="15" hidden="false" customHeight="false" outlineLevel="0" collapsed="false">
      <c r="A4684" s="3" t="n">
        <v>4683</v>
      </c>
      <c r="B4684" s="3" t="n">
        <v>4682</v>
      </c>
      <c r="C4684" s="3" t="s">
        <v>119</v>
      </c>
      <c r="D4684" s="3" t="n">
        <v>8</v>
      </c>
      <c r="E4684" s="3" t="n">
        <v>2</v>
      </c>
      <c r="F4684" s="3"/>
      <c r="G4684" s="3"/>
      <c r="H4684" s="24" t="n">
        <v>-0.129142821</v>
      </c>
    </row>
    <row r="4685" customFormat="false" ht="15" hidden="false" customHeight="false" outlineLevel="0" collapsed="false">
      <c r="A4685" s="3" t="n">
        <v>4684</v>
      </c>
      <c r="B4685" s="3" t="n">
        <v>4683</v>
      </c>
      <c r="C4685" s="3" t="s">
        <v>119</v>
      </c>
      <c r="D4685" s="3" t="n">
        <v>8</v>
      </c>
      <c r="E4685" s="3" t="n">
        <v>3</v>
      </c>
      <c r="F4685" s="3"/>
      <c r="G4685" s="3"/>
      <c r="H4685" s="24" t="n">
        <v>0.0673135966</v>
      </c>
    </row>
    <row r="4686" customFormat="false" ht="15" hidden="false" customHeight="false" outlineLevel="0" collapsed="false">
      <c r="A4686" s="3" t="n">
        <v>4685</v>
      </c>
      <c r="B4686" s="3" t="n">
        <v>4684</v>
      </c>
      <c r="C4686" s="3" t="s">
        <v>119</v>
      </c>
      <c r="D4686" s="3" t="n">
        <v>8</v>
      </c>
      <c r="E4686" s="3" t="n">
        <v>4</v>
      </c>
      <c r="F4686" s="3"/>
      <c r="G4686" s="3"/>
      <c r="H4686" s="24" t="n">
        <v>-0.112849265</v>
      </c>
    </row>
    <row r="4687" customFormat="false" ht="15" hidden="false" customHeight="false" outlineLevel="0" collapsed="false">
      <c r="A4687" s="3" t="n">
        <v>4686</v>
      </c>
      <c r="B4687" s="3" t="n">
        <v>4685</v>
      </c>
      <c r="C4687" s="3" t="s">
        <v>119</v>
      </c>
      <c r="D4687" s="3" t="n">
        <v>8</v>
      </c>
      <c r="E4687" s="3" t="n">
        <v>5</v>
      </c>
      <c r="F4687" s="3"/>
      <c r="G4687" s="3"/>
      <c r="H4687" s="24" t="n">
        <v>0.173570052</v>
      </c>
    </row>
    <row r="4688" customFormat="false" ht="15" hidden="false" customHeight="false" outlineLevel="0" collapsed="false">
      <c r="A4688" s="3" t="n">
        <v>4687</v>
      </c>
      <c r="B4688" s="3" t="n">
        <v>4686</v>
      </c>
      <c r="C4688" s="3" t="s">
        <v>119</v>
      </c>
      <c r="D4688" s="3" t="n">
        <v>8</v>
      </c>
      <c r="E4688" s="3" t="n">
        <v>6</v>
      </c>
      <c r="F4688" s="3"/>
      <c r="G4688" s="3"/>
      <c r="H4688" s="24" t="n">
        <v>-0.342859119</v>
      </c>
    </row>
    <row r="4689" customFormat="false" ht="15" hidden="false" customHeight="false" outlineLevel="0" collapsed="false">
      <c r="A4689" s="3" t="n">
        <v>4688</v>
      </c>
      <c r="B4689" s="3" t="n">
        <v>4687</v>
      </c>
      <c r="C4689" s="3" t="s">
        <v>119</v>
      </c>
      <c r="D4689" s="3" t="n">
        <v>8</v>
      </c>
      <c r="E4689" s="3" t="n">
        <v>7</v>
      </c>
      <c r="F4689" s="3"/>
      <c r="G4689" s="3"/>
      <c r="H4689" s="24" t="n">
        <v>-0.250172824</v>
      </c>
    </row>
    <row r="4690" customFormat="false" ht="15" hidden="false" customHeight="false" outlineLevel="0" collapsed="false">
      <c r="A4690" s="3" t="n">
        <v>4689</v>
      </c>
      <c r="B4690" s="3" t="n">
        <v>4688</v>
      </c>
      <c r="C4690" s="3" t="s">
        <v>119</v>
      </c>
      <c r="D4690" s="3" t="n">
        <v>8</v>
      </c>
      <c r="E4690" s="3" t="n">
        <v>8</v>
      </c>
      <c r="F4690" s="3"/>
      <c r="G4690" s="3"/>
      <c r="H4690" s="24" t="n">
        <v>0.140261456</v>
      </c>
    </row>
    <row r="4691" customFormat="false" ht="15" hidden="false" customHeight="false" outlineLevel="0" collapsed="false">
      <c r="A4691" s="3" t="n">
        <v>4690</v>
      </c>
      <c r="B4691" s="3" t="n">
        <v>4689</v>
      </c>
      <c r="C4691" s="3" t="s">
        <v>119</v>
      </c>
      <c r="D4691" s="3" t="n">
        <v>8</v>
      </c>
      <c r="E4691" s="3" t="n">
        <v>9</v>
      </c>
      <c r="F4691" s="3"/>
      <c r="G4691" s="3"/>
      <c r="H4691" s="24" t="n">
        <v>-0.00446812902</v>
      </c>
    </row>
    <row r="4692" customFormat="false" ht="15" hidden="false" customHeight="false" outlineLevel="0" collapsed="false">
      <c r="A4692" s="3" t="n">
        <v>4691</v>
      </c>
      <c r="B4692" s="3" t="n">
        <v>4690</v>
      </c>
      <c r="C4692" s="3" t="s">
        <v>119</v>
      </c>
      <c r="D4692" s="3" t="n">
        <v>8</v>
      </c>
      <c r="E4692" s="3" t="n">
        <v>10</v>
      </c>
      <c r="F4692" s="3"/>
      <c r="G4692" s="3"/>
      <c r="H4692" s="24" t="n">
        <v>-0.287419438</v>
      </c>
    </row>
    <row r="4693" customFormat="false" ht="15" hidden="false" customHeight="false" outlineLevel="0" collapsed="false">
      <c r="A4693" s="3" t="n">
        <v>4692</v>
      </c>
      <c r="B4693" s="3" t="n">
        <v>4691</v>
      </c>
      <c r="C4693" s="3" t="s">
        <v>119</v>
      </c>
      <c r="D4693" s="3" t="n">
        <v>8</v>
      </c>
      <c r="E4693" s="3" t="n">
        <v>11</v>
      </c>
      <c r="F4693" s="3"/>
      <c r="G4693" s="3"/>
      <c r="H4693" s="24" t="n">
        <v>-0.0737976283</v>
      </c>
    </row>
    <row r="4694" customFormat="false" ht="15" hidden="false" customHeight="false" outlineLevel="0" collapsed="false">
      <c r="A4694" s="3" t="n">
        <v>4693</v>
      </c>
      <c r="B4694" s="3" t="n">
        <v>4692</v>
      </c>
      <c r="C4694" s="3" t="s">
        <v>119</v>
      </c>
      <c r="D4694" s="3" t="n">
        <v>8</v>
      </c>
      <c r="E4694" s="3" t="n">
        <v>12</v>
      </c>
      <c r="F4694" s="3"/>
      <c r="G4694" s="3"/>
      <c r="H4694" s="24" t="n">
        <v>0.106889009</v>
      </c>
    </row>
    <row r="4695" customFormat="false" ht="15" hidden="false" customHeight="false" outlineLevel="0" collapsed="false">
      <c r="A4695" s="3" t="n">
        <v>4694</v>
      </c>
      <c r="B4695" s="3" t="n">
        <v>4693</v>
      </c>
      <c r="C4695" s="3" t="s">
        <v>119</v>
      </c>
      <c r="D4695" s="3" t="n">
        <v>8</v>
      </c>
      <c r="E4695" s="3" t="n">
        <v>13</v>
      </c>
      <c r="F4695" s="3"/>
      <c r="G4695" s="3"/>
      <c r="H4695" s="24" t="n">
        <v>0.0201829281</v>
      </c>
    </row>
    <row r="4696" customFormat="false" ht="15" hidden="false" customHeight="false" outlineLevel="0" collapsed="false">
      <c r="A4696" s="3" t="n">
        <v>4695</v>
      </c>
      <c r="B4696" s="3" t="n">
        <v>4694</v>
      </c>
      <c r="C4696" s="3" t="s">
        <v>119</v>
      </c>
      <c r="D4696" s="3" t="n">
        <v>8</v>
      </c>
      <c r="E4696" s="3" t="n">
        <v>14</v>
      </c>
      <c r="F4696" s="3"/>
      <c r="G4696" s="3"/>
      <c r="H4696" s="24" t="n">
        <v>-0.109529287</v>
      </c>
    </row>
    <row r="4697" customFormat="false" ht="15" hidden="false" customHeight="false" outlineLevel="0" collapsed="false">
      <c r="A4697" s="3" t="n">
        <v>4696</v>
      </c>
      <c r="B4697" s="3" t="n">
        <v>4695</v>
      </c>
      <c r="C4697" s="3" t="s">
        <v>119</v>
      </c>
      <c r="D4697" s="3" t="n">
        <v>8</v>
      </c>
      <c r="E4697" s="3" t="n">
        <v>15</v>
      </c>
      <c r="F4697" s="3"/>
      <c r="G4697" s="3"/>
      <c r="H4697" s="24" t="n">
        <v>-0.0544166788</v>
      </c>
    </row>
    <row r="4698" customFormat="false" ht="15" hidden="false" customHeight="false" outlineLevel="0" collapsed="false">
      <c r="A4698" s="3" t="n">
        <v>4697</v>
      </c>
      <c r="B4698" s="3" t="n">
        <v>4696</v>
      </c>
      <c r="C4698" s="3" t="s">
        <v>119</v>
      </c>
      <c r="D4698" s="3" t="n">
        <v>8</v>
      </c>
      <c r="E4698" s="3" t="n">
        <v>16</v>
      </c>
      <c r="F4698" s="3"/>
      <c r="G4698" s="3"/>
      <c r="H4698" s="24" t="n">
        <v>0.0498384945</v>
      </c>
    </row>
    <row r="4699" customFormat="false" ht="15" hidden="false" customHeight="false" outlineLevel="0" collapsed="false">
      <c r="A4699" s="3" t="n">
        <v>4698</v>
      </c>
      <c r="B4699" s="3" t="n">
        <v>4697</v>
      </c>
      <c r="C4699" s="3" t="s">
        <v>119</v>
      </c>
      <c r="D4699" s="3" t="n">
        <v>8</v>
      </c>
      <c r="E4699" s="3" t="n">
        <v>17</v>
      </c>
      <c r="F4699" s="3"/>
      <c r="G4699" s="3"/>
      <c r="H4699" s="24" t="n">
        <v>-0.140365183</v>
      </c>
    </row>
    <row r="4700" customFormat="false" ht="15" hidden="false" customHeight="false" outlineLevel="0" collapsed="false">
      <c r="A4700" s="3" t="n">
        <v>4699</v>
      </c>
      <c r="B4700" s="3" t="n">
        <v>4698</v>
      </c>
      <c r="C4700" s="3" t="s">
        <v>119</v>
      </c>
      <c r="D4700" s="3" t="n">
        <v>8</v>
      </c>
      <c r="E4700" s="3" t="n">
        <v>18</v>
      </c>
      <c r="F4700" s="3"/>
      <c r="G4700" s="3"/>
      <c r="H4700" s="24" t="n">
        <v>-0.0537360869</v>
      </c>
    </row>
    <row r="4701" customFormat="false" ht="15" hidden="false" customHeight="false" outlineLevel="0" collapsed="false">
      <c r="A4701" s="3" t="n">
        <v>4700</v>
      </c>
      <c r="B4701" s="3" t="n">
        <v>4699</v>
      </c>
      <c r="C4701" s="3" t="s">
        <v>119</v>
      </c>
      <c r="D4701" s="3" t="n">
        <v>8</v>
      </c>
      <c r="E4701" s="3" t="n">
        <v>19</v>
      </c>
      <c r="F4701" s="3"/>
      <c r="G4701" s="3"/>
      <c r="H4701" s="24" t="n">
        <v>-0.0128342686</v>
      </c>
    </row>
    <row r="4702" customFormat="false" ht="15" hidden="false" customHeight="false" outlineLevel="0" collapsed="false">
      <c r="A4702" s="3" t="n">
        <v>4701</v>
      </c>
      <c r="B4702" s="3" t="n">
        <v>4700</v>
      </c>
      <c r="C4702" s="3" t="s">
        <v>119</v>
      </c>
      <c r="D4702" s="3" t="n">
        <v>8</v>
      </c>
      <c r="E4702" s="3" t="n">
        <v>20</v>
      </c>
      <c r="F4702" s="3"/>
      <c r="G4702" s="3"/>
      <c r="H4702" s="24" t="n">
        <v>0.201310024</v>
      </c>
    </row>
    <row r="4703" customFormat="false" ht="15" hidden="false" customHeight="false" outlineLevel="0" collapsed="false">
      <c r="A4703" s="3" t="n">
        <v>4702</v>
      </c>
      <c r="B4703" s="3" t="n">
        <v>4701</v>
      </c>
      <c r="C4703" s="3" t="s">
        <v>119</v>
      </c>
      <c r="D4703" s="3" t="n">
        <v>8</v>
      </c>
      <c r="E4703" s="3" t="n">
        <v>21</v>
      </c>
      <c r="F4703" s="3"/>
      <c r="G4703" s="3"/>
      <c r="H4703" s="24" t="n">
        <v>-0.17926304</v>
      </c>
    </row>
    <row r="4704" customFormat="false" ht="15" hidden="false" customHeight="false" outlineLevel="0" collapsed="false">
      <c r="A4704" s="3" t="n">
        <v>4703</v>
      </c>
      <c r="B4704" s="3" t="n">
        <v>4702</v>
      </c>
      <c r="C4704" s="3" t="s">
        <v>119</v>
      </c>
      <c r="D4704" s="3" t="n">
        <v>8</v>
      </c>
      <c r="E4704" s="3" t="n">
        <v>22</v>
      </c>
      <c r="F4704" s="3"/>
      <c r="G4704" s="3"/>
      <c r="H4704" s="24" t="n">
        <v>0.0826178938</v>
      </c>
    </row>
    <row r="4705" customFormat="false" ht="15" hidden="false" customHeight="false" outlineLevel="0" collapsed="false">
      <c r="A4705" s="3" t="n">
        <v>4704</v>
      </c>
      <c r="B4705" s="3" t="n">
        <v>4703</v>
      </c>
      <c r="C4705" s="3" t="s">
        <v>119</v>
      </c>
      <c r="D4705" s="3" t="n">
        <v>8</v>
      </c>
      <c r="E4705" s="3" t="n">
        <v>23</v>
      </c>
      <c r="F4705" s="3"/>
      <c r="G4705" s="3"/>
      <c r="H4705" s="24" t="n">
        <v>-0.00543725258</v>
      </c>
    </row>
    <row r="4706" customFormat="false" ht="15" hidden="false" customHeight="false" outlineLevel="0" collapsed="false">
      <c r="A4706" s="3" t="n">
        <v>4705</v>
      </c>
      <c r="B4706" s="3" t="n">
        <v>4704</v>
      </c>
      <c r="C4706" s="3" t="s">
        <v>119</v>
      </c>
      <c r="D4706" s="3" t="n">
        <v>8</v>
      </c>
      <c r="E4706" s="3" t="n">
        <v>24</v>
      </c>
      <c r="F4706" s="3"/>
      <c r="G4706" s="3"/>
      <c r="H4706" s="24" t="n">
        <v>-0.183919564</v>
      </c>
    </row>
    <row r="4707" customFormat="false" ht="15" hidden="false" customHeight="false" outlineLevel="0" collapsed="false">
      <c r="A4707" s="3" t="n">
        <v>4706</v>
      </c>
      <c r="B4707" s="3" t="n">
        <v>4705</v>
      </c>
      <c r="C4707" s="3" t="s">
        <v>119</v>
      </c>
      <c r="D4707" s="3" t="n">
        <v>8</v>
      </c>
      <c r="E4707" s="3" t="n">
        <v>25</v>
      </c>
      <c r="F4707" s="3"/>
      <c r="G4707" s="3"/>
      <c r="H4707" s="24" t="n">
        <v>0.0223306753</v>
      </c>
    </row>
    <row r="4708" customFormat="false" ht="15" hidden="false" customHeight="false" outlineLevel="0" collapsed="false">
      <c r="A4708" s="3" t="n">
        <v>4707</v>
      </c>
      <c r="B4708" s="3" t="n">
        <v>4706</v>
      </c>
      <c r="C4708" s="3" t="s">
        <v>119</v>
      </c>
      <c r="D4708" s="3" t="n">
        <v>8</v>
      </c>
      <c r="E4708" s="3" t="n">
        <v>26</v>
      </c>
      <c r="F4708" s="3"/>
      <c r="G4708" s="3"/>
      <c r="H4708" s="24" t="n">
        <v>-0.139318958</v>
      </c>
    </row>
    <row r="4709" customFormat="false" ht="15" hidden="false" customHeight="false" outlineLevel="0" collapsed="false">
      <c r="A4709" s="3" t="n">
        <v>4708</v>
      </c>
      <c r="B4709" s="3" t="n">
        <v>4707</v>
      </c>
      <c r="C4709" s="3" t="s">
        <v>119</v>
      </c>
      <c r="D4709" s="3" t="n">
        <v>8</v>
      </c>
      <c r="E4709" s="3" t="n">
        <v>27</v>
      </c>
      <c r="F4709" s="3"/>
      <c r="G4709" s="3"/>
      <c r="H4709" s="24" t="n">
        <v>0.0307105649</v>
      </c>
    </row>
    <row r="4710" customFormat="false" ht="15" hidden="false" customHeight="false" outlineLevel="0" collapsed="false">
      <c r="A4710" s="3" t="n">
        <v>4709</v>
      </c>
      <c r="B4710" s="3" t="n">
        <v>4708</v>
      </c>
      <c r="C4710" s="3" t="s">
        <v>119</v>
      </c>
      <c r="D4710" s="3" t="n">
        <v>8</v>
      </c>
      <c r="E4710" s="3" t="n">
        <v>28</v>
      </c>
      <c r="F4710" s="3"/>
      <c r="G4710" s="3"/>
      <c r="H4710" s="24" t="n">
        <v>-0.0884547532</v>
      </c>
    </row>
    <row r="4711" customFormat="false" ht="15" hidden="false" customHeight="false" outlineLevel="0" collapsed="false">
      <c r="A4711" s="3" t="n">
        <v>4710</v>
      </c>
      <c r="B4711" s="3" t="n">
        <v>4709</v>
      </c>
      <c r="C4711" s="3" t="s">
        <v>119</v>
      </c>
      <c r="D4711" s="3" t="n">
        <v>8</v>
      </c>
      <c r="E4711" s="3" t="n">
        <v>29</v>
      </c>
      <c r="F4711" s="3"/>
      <c r="G4711" s="3"/>
      <c r="H4711" s="24" t="n">
        <v>-0.0753244013</v>
      </c>
    </row>
    <row r="4712" customFormat="false" ht="15" hidden="false" customHeight="false" outlineLevel="0" collapsed="false">
      <c r="A4712" s="3" t="n">
        <v>4711</v>
      </c>
      <c r="B4712" s="3" t="n">
        <v>4710</v>
      </c>
      <c r="C4712" s="3" t="s">
        <v>119</v>
      </c>
      <c r="D4712" s="3" t="n">
        <v>8</v>
      </c>
      <c r="E4712" s="3" t="n">
        <v>30</v>
      </c>
      <c r="F4712" s="3"/>
      <c r="G4712" s="3"/>
      <c r="H4712" s="24" t="n">
        <v>-0.0190477148</v>
      </c>
    </row>
    <row r="4713" customFormat="false" ht="15" hidden="false" customHeight="false" outlineLevel="0" collapsed="false">
      <c r="A4713" s="3" t="n">
        <v>4712</v>
      </c>
      <c r="B4713" s="3" t="n">
        <v>4711</v>
      </c>
      <c r="C4713" s="3" t="s">
        <v>119</v>
      </c>
      <c r="D4713" s="3" t="n">
        <v>8</v>
      </c>
      <c r="E4713" s="3" t="n">
        <v>31</v>
      </c>
      <c r="F4713" s="3"/>
      <c r="G4713" s="3"/>
      <c r="H4713" s="24" t="n">
        <v>0.0859777555</v>
      </c>
    </row>
    <row r="4714" customFormat="false" ht="15" hidden="false" customHeight="false" outlineLevel="0" collapsed="false">
      <c r="A4714" s="3" t="n">
        <v>4713</v>
      </c>
      <c r="B4714" s="3" t="n">
        <v>4712</v>
      </c>
      <c r="C4714" s="3" t="s">
        <v>119</v>
      </c>
      <c r="D4714" s="3" t="n">
        <v>8</v>
      </c>
      <c r="E4714" s="3" t="n">
        <v>32</v>
      </c>
      <c r="F4714" s="3"/>
      <c r="G4714" s="3"/>
      <c r="H4714" s="24" t="n">
        <v>0.040499121</v>
      </c>
    </row>
    <row r="4715" customFormat="false" ht="15" hidden="false" customHeight="false" outlineLevel="0" collapsed="false">
      <c r="A4715" s="3" t="n">
        <v>4714</v>
      </c>
      <c r="B4715" s="3" t="n">
        <v>4713</v>
      </c>
      <c r="C4715" s="3" t="s">
        <v>119</v>
      </c>
      <c r="D4715" s="3" t="n">
        <v>8</v>
      </c>
      <c r="E4715" s="3" t="n">
        <v>33</v>
      </c>
      <c r="F4715" s="3"/>
      <c r="G4715" s="3"/>
      <c r="H4715" s="24" t="n">
        <v>-0.247369349</v>
      </c>
    </row>
    <row r="4716" customFormat="false" ht="15" hidden="false" customHeight="false" outlineLevel="0" collapsed="false">
      <c r="A4716" s="3" t="n">
        <v>4715</v>
      </c>
      <c r="B4716" s="3" t="n">
        <v>4714</v>
      </c>
      <c r="C4716" s="3" t="s">
        <v>119</v>
      </c>
      <c r="D4716" s="3" t="n">
        <v>8</v>
      </c>
      <c r="E4716" s="3" t="n">
        <v>34</v>
      </c>
      <c r="F4716" s="3"/>
      <c r="G4716" s="3"/>
      <c r="H4716" s="24" t="n">
        <v>0.261364847</v>
      </c>
    </row>
    <row r="4717" customFormat="false" ht="15" hidden="false" customHeight="false" outlineLevel="0" collapsed="false">
      <c r="A4717" s="3" t="n">
        <v>4716</v>
      </c>
      <c r="B4717" s="3" t="n">
        <v>4715</v>
      </c>
      <c r="C4717" s="3" t="s">
        <v>119</v>
      </c>
      <c r="D4717" s="3" t="n">
        <v>8</v>
      </c>
      <c r="E4717" s="3" t="n">
        <v>35</v>
      </c>
      <c r="F4717" s="3"/>
      <c r="G4717" s="3"/>
      <c r="H4717" s="24" t="n">
        <v>0.0442599207</v>
      </c>
    </row>
    <row r="4718" customFormat="false" ht="15" hidden="false" customHeight="false" outlineLevel="0" collapsed="false">
      <c r="A4718" s="3" t="n">
        <v>4717</v>
      </c>
      <c r="B4718" s="3" t="n">
        <v>4716</v>
      </c>
      <c r="C4718" s="3" t="s">
        <v>119</v>
      </c>
      <c r="D4718" s="3" t="n">
        <v>8</v>
      </c>
      <c r="E4718" s="3" t="n">
        <v>36</v>
      </c>
      <c r="F4718" s="3"/>
      <c r="G4718" s="3"/>
      <c r="H4718" s="24" t="n">
        <v>-0.239113808</v>
      </c>
    </row>
    <row r="4719" customFormat="false" ht="15" hidden="false" customHeight="false" outlineLevel="0" collapsed="false">
      <c r="A4719" s="3" t="n">
        <v>4718</v>
      </c>
      <c r="B4719" s="3" t="n">
        <v>4717</v>
      </c>
      <c r="C4719" s="3" t="s">
        <v>119</v>
      </c>
      <c r="D4719" s="3" t="n">
        <v>8</v>
      </c>
      <c r="E4719" s="3" t="n">
        <v>37</v>
      </c>
      <c r="F4719" s="3"/>
      <c r="G4719" s="3"/>
      <c r="H4719" s="24" t="n">
        <v>-0.0785769001</v>
      </c>
    </row>
    <row r="4720" customFormat="false" ht="15" hidden="false" customHeight="false" outlineLevel="0" collapsed="false">
      <c r="A4720" s="3" t="n">
        <v>4719</v>
      </c>
      <c r="B4720" s="3" t="n">
        <v>4718</v>
      </c>
      <c r="C4720" s="3" t="s">
        <v>119</v>
      </c>
      <c r="D4720" s="3" t="n">
        <v>8</v>
      </c>
      <c r="E4720" s="3" t="n">
        <v>38</v>
      </c>
      <c r="F4720" s="3"/>
      <c r="G4720" s="3"/>
      <c r="H4720" s="24" t="n">
        <v>0.0702038035</v>
      </c>
    </row>
    <row r="4721" customFormat="false" ht="15" hidden="false" customHeight="false" outlineLevel="0" collapsed="false">
      <c r="A4721" s="3" t="n">
        <v>4720</v>
      </c>
      <c r="B4721" s="3" t="n">
        <v>4719</v>
      </c>
      <c r="C4721" s="3" t="s">
        <v>119</v>
      </c>
      <c r="D4721" s="3" t="n">
        <v>8</v>
      </c>
      <c r="E4721" s="3" t="n">
        <v>39</v>
      </c>
      <c r="F4721" s="3"/>
      <c r="G4721" s="3"/>
      <c r="H4721" s="24" t="n">
        <v>0.11439734</v>
      </c>
    </row>
    <row r="4722" customFormat="false" ht="15" hidden="false" customHeight="false" outlineLevel="0" collapsed="false">
      <c r="A4722" s="3" t="n">
        <v>4721</v>
      </c>
      <c r="B4722" s="3" t="n">
        <v>4720</v>
      </c>
      <c r="C4722" s="3" t="s">
        <v>119</v>
      </c>
      <c r="D4722" s="3" t="n">
        <v>8</v>
      </c>
      <c r="E4722" s="3" t="n">
        <v>40</v>
      </c>
      <c r="F4722" s="3"/>
      <c r="G4722" s="3"/>
      <c r="H4722" s="24" t="n">
        <v>0.167197928</v>
      </c>
    </row>
    <row r="4723" customFormat="false" ht="15" hidden="false" customHeight="false" outlineLevel="0" collapsed="false">
      <c r="A4723" s="3" t="n">
        <v>4722</v>
      </c>
      <c r="B4723" s="3" t="n">
        <v>4721</v>
      </c>
      <c r="C4723" s="3" t="s">
        <v>119</v>
      </c>
      <c r="D4723" s="3" t="n">
        <v>8</v>
      </c>
      <c r="E4723" s="3" t="n">
        <v>41</v>
      </c>
      <c r="F4723" s="3"/>
      <c r="G4723" s="3"/>
      <c r="H4723" s="24" t="n">
        <v>0.0234143604</v>
      </c>
    </row>
    <row r="4724" customFormat="false" ht="15" hidden="false" customHeight="false" outlineLevel="0" collapsed="false">
      <c r="A4724" s="3" t="n">
        <v>4723</v>
      </c>
      <c r="B4724" s="3" t="n">
        <v>4722</v>
      </c>
      <c r="C4724" s="3" t="s">
        <v>119</v>
      </c>
      <c r="D4724" s="3" t="n">
        <v>8</v>
      </c>
      <c r="E4724" s="3" t="n">
        <v>42</v>
      </c>
      <c r="F4724" s="3"/>
      <c r="G4724" s="3"/>
      <c r="H4724" s="24" t="n">
        <v>0.021082513</v>
      </c>
    </row>
    <row r="4725" customFormat="false" ht="15" hidden="false" customHeight="false" outlineLevel="0" collapsed="false">
      <c r="A4725" s="3" t="n">
        <v>4724</v>
      </c>
      <c r="B4725" s="3" t="n">
        <v>4723</v>
      </c>
      <c r="C4725" s="3" t="s">
        <v>119</v>
      </c>
      <c r="D4725" s="3" t="n">
        <v>8</v>
      </c>
      <c r="E4725" s="3" t="n">
        <v>43</v>
      </c>
      <c r="F4725" s="3"/>
      <c r="G4725" s="3"/>
      <c r="H4725" s="24" t="n">
        <v>-0.197469071</v>
      </c>
    </row>
    <row r="4726" customFormat="false" ht="15" hidden="false" customHeight="false" outlineLevel="0" collapsed="false">
      <c r="A4726" s="3" t="n">
        <v>4725</v>
      </c>
      <c r="B4726" s="3" t="n">
        <v>4724</v>
      </c>
      <c r="C4726" s="3" t="s">
        <v>119</v>
      </c>
      <c r="D4726" s="3" t="n">
        <v>8</v>
      </c>
      <c r="E4726" s="3" t="n">
        <v>44</v>
      </c>
      <c r="F4726" s="3"/>
      <c r="G4726" s="3"/>
      <c r="H4726" s="24" t="n">
        <v>0.167843357</v>
      </c>
    </row>
    <row r="4727" customFormat="false" ht="15" hidden="false" customHeight="false" outlineLevel="0" collapsed="false">
      <c r="A4727" s="3" t="n">
        <v>4726</v>
      </c>
      <c r="B4727" s="3" t="n">
        <v>4725</v>
      </c>
      <c r="C4727" s="3" t="s">
        <v>119</v>
      </c>
      <c r="D4727" s="3" t="n">
        <v>8</v>
      </c>
      <c r="E4727" s="3" t="n">
        <v>45</v>
      </c>
      <c r="F4727" s="3"/>
      <c r="G4727" s="3"/>
      <c r="H4727" s="24" t="n">
        <v>-0.0435688458</v>
      </c>
    </row>
    <row r="4728" customFormat="false" ht="15" hidden="false" customHeight="false" outlineLevel="0" collapsed="false">
      <c r="A4728" s="3" t="n">
        <v>4727</v>
      </c>
      <c r="B4728" s="3" t="n">
        <v>4726</v>
      </c>
      <c r="C4728" s="3" t="s">
        <v>119</v>
      </c>
      <c r="D4728" s="3" t="n">
        <v>8</v>
      </c>
      <c r="E4728" s="3" t="n">
        <v>46</v>
      </c>
      <c r="F4728" s="3"/>
      <c r="G4728" s="3"/>
      <c r="H4728" s="24" t="n">
        <v>-0.0561144352</v>
      </c>
    </row>
    <row r="4729" customFormat="false" ht="15" hidden="false" customHeight="false" outlineLevel="0" collapsed="false">
      <c r="A4729" s="3" t="n">
        <v>4728</v>
      </c>
      <c r="B4729" s="3" t="n">
        <v>4727</v>
      </c>
      <c r="C4729" s="3" t="s">
        <v>119</v>
      </c>
      <c r="D4729" s="3" t="n">
        <v>8</v>
      </c>
      <c r="E4729" s="3" t="n">
        <v>47</v>
      </c>
      <c r="F4729" s="3"/>
      <c r="G4729" s="3"/>
      <c r="H4729" s="24" t="n">
        <v>-0.104234517</v>
      </c>
    </row>
    <row r="4730" customFormat="false" ht="15" hidden="false" customHeight="false" outlineLevel="0" collapsed="false">
      <c r="A4730" s="3" t="n">
        <v>4729</v>
      </c>
      <c r="B4730" s="3" t="n">
        <v>4728</v>
      </c>
      <c r="C4730" s="3" t="s">
        <v>119</v>
      </c>
      <c r="D4730" s="3" t="n">
        <v>8</v>
      </c>
      <c r="E4730" s="3" t="n">
        <v>48</v>
      </c>
      <c r="F4730" s="3"/>
      <c r="G4730" s="3"/>
      <c r="H4730" s="24" t="n">
        <v>0.0614221357</v>
      </c>
    </row>
    <row r="4731" customFormat="false" ht="15" hidden="false" customHeight="false" outlineLevel="0" collapsed="false">
      <c r="A4731" s="3" t="n">
        <v>4730</v>
      </c>
      <c r="B4731" s="3" t="n">
        <v>4729</v>
      </c>
      <c r="C4731" s="3" t="s">
        <v>119</v>
      </c>
      <c r="D4731" s="3" t="n">
        <v>8</v>
      </c>
      <c r="E4731" s="3" t="n">
        <v>49</v>
      </c>
      <c r="F4731" s="3"/>
      <c r="G4731" s="3"/>
      <c r="H4731" s="24" t="n">
        <v>-0.0414071046</v>
      </c>
    </row>
    <row r="4732" customFormat="false" ht="15" hidden="false" customHeight="false" outlineLevel="0" collapsed="false">
      <c r="A4732" s="3" t="n">
        <v>4731</v>
      </c>
      <c r="B4732" s="3" t="n">
        <v>4730</v>
      </c>
      <c r="C4732" s="3" t="s">
        <v>119</v>
      </c>
      <c r="D4732" s="3" t="n">
        <v>8</v>
      </c>
      <c r="E4732" s="3" t="n">
        <v>50</v>
      </c>
      <c r="F4732" s="3"/>
      <c r="G4732" s="3"/>
      <c r="H4732" s="24" t="n">
        <v>-0.243123844</v>
      </c>
    </row>
    <row r="4733" customFormat="false" ht="15" hidden="false" customHeight="false" outlineLevel="0" collapsed="false">
      <c r="A4733" s="3" t="n">
        <v>4732</v>
      </c>
      <c r="B4733" s="3" t="n">
        <v>4731</v>
      </c>
      <c r="C4733" s="3" t="s">
        <v>119</v>
      </c>
      <c r="D4733" s="3" t="n">
        <v>8</v>
      </c>
      <c r="E4733" s="3" t="n">
        <v>51</v>
      </c>
      <c r="F4733" s="3"/>
      <c r="G4733" s="3"/>
      <c r="H4733" s="24" t="n">
        <v>0.13241154</v>
      </c>
    </row>
    <row r="4734" customFormat="false" ht="15" hidden="false" customHeight="false" outlineLevel="0" collapsed="false">
      <c r="A4734" s="3" t="n">
        <v>4733</v>
      </c>
      <c r="B4734" s="3" t="n">
        <v>4732</v>
      </c>
      <c r="C4734" s="3" t="s">
        <v>119</v>
      </c>
      <c r="D4734" s="3" t="n">
        <v>8</v>
      </c>
      <c r="E4734" s="3" t="n">
        <v>52</v>
      </c>
      <c r="F4734" s="3"/>
      <c r="G4734" s="3"/>
      <c r="H4734" s="24" t="n">
        <v>-0.237016931</v>
      </c>
    </row>
    <row r="4735" customFormat="false" ht="15" hidden="false" customHeight="false" outlineLevel="0" collapsed="false">
      <c r="A4735" s="3" t="n">
        <v>4734</v>
      </c>
      <c r="B4735" s="3" t="n">
        <v>4733</v>
      </c>
      <c r="C4735" s="3" t="s">
        <v>119</v>
      </c>
      <c r="D4735" s="3" t="n">
        <v>8</v>
      </c>
      <c r="E4735" s="3" t="n">
        <v>53</v>
      </c>
      <c r="F4735" s="3"/>
      <c r="G4735" s="3"/>
      <c r="H4735" s="24" t="n">
        <v>0.295916289</v>
      </c>
    </row>
    <row r="4736" customFormat="false" ht="15" hidden="false" customHeight="false" outlineLevel="0" collapsed="false">
      <c r="A4736" s="3" t="n">
        <v>4735</v>
      </c>
      <c r="B4736" s="3" t="n">
        <v>4734</v>
      </c>
      <c r="C4736" s="3" t="s">
        <v>119</v>
      </c>
      <c r="D4736" s="3" t="n">
        <v>8</v>
      </c>
      <c r="E4736" s="3" t="n">
        <v>54</v>
      </c>
      <c r="F4736" s="3"/>
      <c r="G4736" s="3"/>
      <c r="H4736" s="24" t="n">
        <v>0.205496728</v>
      </c>
    </row>
    <row r="4737" customFormat="false" ht="15" hidden="false" customHeight="false" outlineLevel="0" collapsed="false">
      <c r="A4737" s="3" t="n">
        <v>4736</v>
      </c>
      <c r="B4737" s="3" t="n">
        <v>4735</v>
      </c>
      <c r="C4737" s="3" t="s">
        <v>119</v>
      </c>
      <c r="D4737" s="3" t="n">
        <v>8</v>
      </c>
      <c r="E4737" s="3" t="n">
        <v>55</v>
      </c>
      <c r="F4737" s="3"/>
      <c r="G4737" s="3"/>
      <c r="H4737" s="24" t="n">
        <v>0.0147945676</v>
      </c>
    </row>
    <row r="4738" customFormat="false" ht="15" hidden="false" customHeight="false" outlineLevel="0" collapsed="false">
      <c r="A4738" s="3" t="n">
        <v>4737</v>
      </c>
      <c r="B4738" s="3" t="n">
        <v>4736</v>
      </c>
      <c r="C4738" s="3" t="s">
        <v>119</v>
      </c>
      <c r="D4738" s="3" t="n">
        <v>8</v>
      </c>
      <c r="E4738" s="3" t="n">
        <v>56</v>
      </c>
      <c r="F4738" s="3"/>
      <c r="G4738" s="3"/>
      <c r="H4738" s="24" t="n">
        <v>-0.128852651</v>
      </c>
    </row>
    <row r="4739" customFormat="false" ht="15" hidden="false" customHeight="false" outlineLevel="0" collapsed="false">
      <c r="A4739" s="3" t="n">
        <v>4738</v>
      </c>
      <c r="B4739" s="3" t="n">
        <v>4737</v>
      </c>
      <c r="C4739" s="3" t="s">
        <v>119</v>
      </c>
      <c r="D4739" s="3" t="n">
        <v>8</v>
      </c>
      <c r="E4739" s="3" t="n">
        <v>57</v>
      </c>
      <c r="F4739" s="3"/>
      <c r="G4739" s="3"/>
      <c r="H4739" s="24" t="n">
        <v>0.0889540389</v>
      </c>
    </row>
    <row r="4740" customFormat="false" ht="15" hidden="false" customHeight="false" outlineLevel="0" collapsed="false">
      <c r="A4740" s="3" t="n">
        <v>4739</v>
      </c>
      <c r="B4740" s="3" t="n">
        <v>4738</v>
      </c>
      <c r="C4740" s="3" t="s">
        <v>119</v>
      </c>
      <c r="D4740" s="3" t="n">
        <v>8</v>
      </c>
      <c r="E4740" s="3" t="n">
        <v>58</v>
      </c>
      <c r="F4740" s="3"/>
      <c r="G4740" s="3"/>
      <c r="H4740" s="24" t="n">
        <v>-0.386999875</v>
      </c>
    </row>
    <row r="4741" customFormat="false" ht="15" hidden="false" customHeight="false" outlineLevel="0" collapsed="false">
      <c r="A4741" s="3" t="n">
        <v>4740</v>
      </c>
      <c r="B4741" s="3" t="n">
        <v>4739</v>
      </c>
      <c r="C4741" s="3" t="s">
        <v>119</v>
      </c>
      <c r="D4741" s="3" t="n">
        <v>8</v>
      </c>
      <c r="E4741" s="3" t="n">
        <v>59</v>
      </c>
      <c r="F4741" s="3"/>
      <c r="G4741" s="3"/>
      <c r="H4741" s="24" t="n">
        <v>-0.232409388</v>
      </c>
    </row>
    <row r="4742" customFormat="false" ht="15" hidden="false" customHeight="false" outlineLevel="0" collapsed="false">
      <c r="A4742" s="3" t="n">
        <v>4741</v>
      </c>
      <c r="B4742" s="3" t="n">
        <v>4740</v>
      </c>
      <c r="C4742" s="3" t="s">
        <v>119</v>
      </c>
      <c r="D4742" s="3" t="n">
        <v>8</v>
      </c>
      <c r="E4742" s="3" t="n">
        <v>60</v>
      </c>
      <c r="F4742" s="3"/>
      <c r="G4742" s="3"/>
      <c r="H4742" s="24" t="n">
        <v>0.245004267</v>
      </c>
    </row>
    <row r="4743" customFormat="false" ht="15" hidden="false" customHeight="false" outlineLevel="0" collapsed="false">
      <c r="A4743" s="3" t="n">
        <v>4742</v>
      </c>
      <c r="B4743" s="3" t="n">
        <v>4741</v>
      </c>
      <c r="C4743" s="3" t="s">
        <v>119</v>
      </c>
      <c r="D4743" s="3" t="n">
        <v>8</v>
      </c>
      <c r="E4743" s="3" t="n">
        <v>61</v>
      </c>
      <c r="F4743" s="3"/>
      <c r="G4743" s="3"/>
      <c r="H4743" s="24" t="n">
        <v>0.0763963163</v>
      </c>
    </row>
    <row r="4744" customFormat="false" ht="15" hidden="false" customHeight="false" outlineLevel="0" collapsed="false">
      <c r="A4744" s="3" t="n">
        <v>4743</v>
      </c>
      <c r="B4744" s="3" t="n">
        <v>4742</v>
      </c>
      <c r="C4744" s="3" t="s">
        <v>119</v>
      </c>
      <c r="D4744" s="3" t="n">
        <v>8</v>
      </c>
      <c r="E4744" s="3" t="n">
        <v>62</v>
      </c>
      <c r="F4744" s="3"/>
      <c r="G4744" s="3"/>
      <c r="H4744" s="24" t="n">
        <v>-0.0959410071</v>
      </c>
    </row>
    <row r="4745" customFormat="false" ht="15" hidden="false" customHeight="false" outlineLevel="0" collapsed="false">
      <c r="A4745" s="3" t="n">
        <v>4744</v>
      </c>
      <c r="B4745" s="3" t="n">
        <v>4743</v>
      </c>
      <c r="C4745" s="3" t="s">
        <v>119</v>
      </c>
      <c r="D4745" s="3" t="n">
        <v>8</v>
      </c>
      <c r="E4745" s="3" t="n">
        <v>63</v>
      </c>
      <c r="F4745" s="3"/>
      <c r="G4745" s="3"/>
      <c r="H4745" s="24" t="n">
        <v>-0.01652373</v>
      </c>
    </row>
    <row r="4746" customFormat="false" ht="15" hidden="false" customHeight="false" outlineLevel="0" collapsed="false">
      <c r="A4746" s="3" t="n">
        <v>4745</v>
      </c>
      <c r="B4746" s="3" t="n">
        <v>4744</v>
      </c>
      <c r="C4746" s="3" t="s">
        <v>119</v>
      </c>
      <c r="D4746" s="3" t="n">
        <v>8</v>
      </c>
      <c r="E4746" s="3" t="n">
        <v>64</v>
      </c>
      <c r="F4746" s="3"/>
      <c r="G4746" s="3"/>
      <c r="H4746" s="24" t="n">
        <v>-0.0525751188</v>
      </c>
    </row>
    <row r="4747" customFormat="false" ht="15" hidden="false" customHeight="false" outlineLevel="0" collapsed="false">
      <c r="A4747" s="3" t="n">
        <v>4746</v>
      </c>
      <c r="B4747" s="3" t="n">
        <v>4745</v>
      </c>
      <c r="C4747" s="3" t="s">
        <v>119</v>
      </c>
      <c r="D4747" s="3" t="n">
        <v>8</v>
      </c>
      <c r="E4747" s="3" t="n">
        <v>65</v>
      </c>
      <c r="F4747" s="3"/>
      <c r="G4747" s="3"/>
      <c r="H4747" s="24" t="n">
        <v>-0.0389544889</v>
      </c>
    </row>
    <row r="4748" customFormat="false" ht="15" hidden="false" customHeight="false" outlineLevel="0" collapsed="false">
      <c r="A4748" s="3" t="n">
        <v>4747</v>
      </c>
      <c r="B4748" s="3" t="n">
        <v>4746</v>
      </c>
      <c r="C4748" s="3" t="s">
        <v>119</v>
      </c>
      <c r="D4748" s="3" t="n">
        <v>8</v>
      </c>
      <c r="E4748" s="3" t="n">
        <v>66</v>
      </c>
      <c r="F4748" s="3"/>
      <c r="G4748" s="3"/>
      <c r="H4748" s="24" t="n">
        <v>0.000683496415</v>
      </c>
    </row>
    <row r="4749" customFormat="false" ht="15" hidden="false" customHeight="false" outlineLevel="0" collapsed="false">
      <c r="A4749" s="3" t="n">
        <v>4748</v>
      </c>
      <c r="B4749" s="3" t="n">
        <v>4747</v>
      </c>
      <c r="C4749" s="3" t="s">
        <v>119</v>
      </c>
      <c r="D4749" s="3" t="n">
        <v>8</v>
      </c>
      <c r="E4749" s="3" t="n">
        <v>67</v>
      </c>
      <c r="F4749" s="3"/>
      <c r="G4749" s="3"/>
      <c r="H4749" s="24" t="n">
        <v>-0.00611968851</v>
      </c>
    </row>
    <row r="4750" customFormat="false" ht="15" hidden="false" customHeight="false" outlineLevel="0" collapsed="false">
      <c r="A4750" s="3" t="n">
        <v>4749</v>
      </c>
      <c r="B4750" s="3" t="n">
        <v>4748</v>
      </c>
      <c r="C4750" s="3" t="s">
        <v>119</v>
      </c>
      <c r="D4750" s="3" t="n">
        <v>8</v>
      </c>
      <c r="E4750" s="3" t="n">
        <v>68</v>
      </c>
      <c r="F4750" s="3"/>
      <c r="G4750" s="3"/>
      <c r="H4750" s="24" t="n">
        <v>0.0522873849</v>
      </c>
    </row>
    <row r="4751" customFormat="false" ht="15" hidden="false" customHeight="false" outlineLevel="0" collapsed="false">
      <c r="A4751" s="3" t="n">
        <v>4750</v>
      </c>
      <c r="B4751" s="3" t="n">
        <v>4749</v>
      </c>
      <c r="C4751" s="3" t="s">
        <v>119</v>
      </c>
      <c r="D4751" s="3" t="n">
        <v>8</v>
      </c>
      <c r="E4751" s="3" t="n">
        <v>69</v>
      </c>
      <c r="F4751" s="3"/>
      <c r="G4751" s="3"/>
      <c r="H4751" s="24" t="n">
        <v>-0.0753091201</v>
      </c>
    </row>
    <row r="4752" customFormat="false" ht="15" hidden="false" customHeight="false" outlineLevel="0" collapsed="false">
      <c r="A4752" s="3" t="n">
        <v>4751</v>
      </c>
      <c r="B4752" s="3" t="n">
        <v>4750</v>
      </c>
      <c r="C4752" s="3" t="s">
        <v>119</v>
      </c>
      <c r="D4752" s="3" t="n">
        <v>8</v>
      </c>
      <c r="E4752" s="3" t="n">
        <v>70</v>
      </c>
      <c r="F4752" s="3"/>
      <c r="G4752" s="3"/>
      <c r="H4752" s="24" t="n">
        <v>0.00743802404</v>
      </c>
    </row>
    <row r="4753" customFormat="false" ht="15" hidden="false" customHeight="false" outlineLevel="0" collapsed="false">
      <c r="A4753" s="3" t="n">
        <v>4752</v>
      </c>
      <c r="B4753" s="3" t="n">
        <v>4751</v>
      </c>
      <c r="C4753" s="3" t="s">
        <v>119</v>
      </c>
      <c r="D4753" s="3" t="n">
        <v>8</v>
      </c>
      <c r="E4753" s="3" t="n">
        <v>71</v>
      </c>
      <c r="F4753" s="3"/>
      <c r="G4753" s="3"/>
      <c r="H4753" s="24" t="n">
        <v>-0.0265040603</v>
      </c>
    </row>
    <row r="4754" customFormat="false" ht="15" hidden="false" customHeight="false" outlineLevel="0" collapsed="false">
      <c r="A4754" s="3" t="n">
        <v>4753</v>
      </c>
      <c r="B4754" s="3" t="n">
        <v>4752</v>
      </c>
      <c r="C4754" s="3" t="s">
        <v>119</v>
      </c>
      <c r="D4754" s="3" t="n">
        <v>8</v>
      </c>
      <c r="E4754" s="3" t="n">
        <v>72</v>
      </c>
      <c r="F4754" s="3"/>
      <c r="G4754" s="3"/>
      <c r="H4754" s="24" t="n">
        <v>0.0485647134</v>
      </c>
    </row>
    <row r="4755" customFormat="false" ht="15" hidden="false" customHeight="false" outlineLevel="0" collapsed="false">
      <c r="A4755" s="3" t="n">
        <v>4754</v>
      </c>
      <c r="B4755" s="3" t="n">
        <v>4753</v>
      </c>
      <c r="C4755" s="3" t="s">
        <v>119</v>
      </c>
      <c r="D4755" s="3" t="n">
        <v>8</v>
      </c>
      <c r="E4755" s="3" t="n">
        <v>73</v>
      </c>
      <c r="F4755" s="3"/>
      <c r="G4755" s="3"/>
      <c r="H4755" s="24" t="n">
        <v>0.121635638</v>
      </c>
    </row>
    <row r="4756" customFormat="false" ht="15" hidden="false" customHeight="false" outlineLevel="0" collapsed="false">
      <c r="A4756" s="3" t="n">
        <v>4755</v>
      </c>
      <c r="B4756" s="3" t="n">
        <v>4754</v>
      </c>
      <c r="C4756" s="3" t="s">
        <v>119</v>
      </c>
      <c r="D4756" s="3" t="n">
        <v>8</v>
      </c>
      <c r="E4756" s="3" t="n">
        <v>74</v>
      </c>
      <c r="F4756" s="3"/>
      <c r="G4756" s="3"/>
      <c r="H4756" s="24" t="n">
        <v>-0.0486192852</v>
      </c>
    </row>
    <row r="4757" customFormat="false" ht="15" hidden="false" customHeight="false" outlineLevel="0" collapsed="false">
      <c r="A4757" s="3" t="n">
        <v>4756</v>
      </c>
      <c r="B4757" s="3" t="n">
        <v>4755</v>
      </c>
      <c r="C4757" s="3" t="s">
        <v>119</v>
      </c>
      <c r="D4757" s="3" t="n">
        <v>8</v>
      </c>
      <c r="E4757" s="3" t="n">
        <v>75</v>
      </c>
      <c r="F4757" s="3"/>
      <c r="G4757" s="3"/>
      <c r="H4757" s="24" t="n">
        <v>0.131606817</v>
      </c>
    </row>
    <row r="4758" customFormat="false" ht="15" hidden="false" customHeight="false" outlineLevel="0" collapsed="false">
      <c r="A4758" s="3" t="n">
        <v>4757</v>
      </c>
      <c r="B4758" s="3" t="n">
        <v>4756</v>
      </c>
      <c r="C4758" s="3" t="s">
        <v>119</v>
      </c>
      <c r="D4758" s="3" t="n">
        <v>8</v>
      </c>
      <c r="E4758" s="3" t="n">
        <v>76</v>
      </c>
      <c r="F4758" s="3"/>
      <c r="G4758" s="3"/>
      <c r="H4758" s="24" t="n">
        <v>-0.0679539517</v>
      </c>
    </row>
    <row r="4759" customFormat="false" ht="15" hidden="false" customHeight="false" outlineLevel="0" collapsed="false">
      <c r="A4759" s="3" t="n">
        <v>4758</v>
      </c>
      <c r="B4759" s="3" t="n">
        <v>4757</v>
      </c>
      <c r="C4759" s="3" t="s">
        <v>119</v>
      </c>
      <c r="D4759" s="3" t="n">
        <v>8</v>
      </c>
      <c r="E4759" s="3" t="n">
        <v>77</v>
      </c>
      <c r="F4759" s="3"/>
      <c r="G4759" s="3"/>
      <c r="H4759" s="24" t="n">
        <v>-0.41285345</v>
      </c>
    </row>
    <row r="4760" customFormat="false" ht="15" hidden="false" customHeight="false" outlineLevel="0" collapsed="false">
      <c r="A4760" s="3" t="n">
        <v>4759</v>
      </c>
      <c r="B4760" s="3" t="n">
        <v>4758</v>
      </c>
      <c r="C4760" s="3" t="s">
        <v>119</v>
      </c>
      <c r="D4760" s="3" t="n">
        <v>8</v>
      </c>
      <c r="E4760" s="3" t="n">
        <v>78</v>
      </c>
      <c r="F4760" s="3"/>
      <c r="G4760" s="3"/>
      <c r="H4760" s="24" t="n">
        <v>-0.265733391</v>
      </c>
    </row>
    <row r="4761" customFormat="false" ht="15" hidden="false" customHeight="false" outlineLevel="0" collapsed="false">
      <c r="A4761" s="3" t="n">
        <v>4760</v>
      </c>
      <c r="B4761" s="3" t="n">
        <v>4759</v>
      </c>
      <c r="C4761" s="3" t="s">
        <v>119</v>
      </c>
      <c r="D4761" s="3" t="n">
        <v>8</v>
      </c>
      <c r="E4761" s="3" t="n">
        <v>79</v>
      </c>
      <c r="F4761" s="3"/>
      <c r="G4761" s="3"/>
      <c r="H4761" s="24" t="n">
        <v>-0.225920111</v>
      </c>
    </row>
    <row r="4762" customFormat="false" ht="15" hidden="false" customHeight="false" outlineLevel="0" collapsed="false">
      <c r="A4762" s="3" t="n">
        <v>4761</v>
      </c>
      <c r="B4762" s="3" t="n">
        <v>4760</v>
      </c>
      <c r="C4762" s="3" t="s">
        <v>119</v>
      </c>
      <c r="D4762" s="3" t="n">
        <v>8</v>
      </c>
      <c r="E4762" s="3" t="n">
        <v>80</v>
      </c>
      <c r="F4762" s="3"/>
      <c r="G4762" s="3"/>
      <c r="H4762" s="24" t="n">
        <v>0.0209525134</v>
      </c>
    </row>
    <row r="4763" customFormat="false" ht="15" hidden="false" customHeight="false" outlineLevel="0" collapsed="false">
      <c r="A4763" s="3" t="n">
        <v>4762</v>
      </c>
      <c r="B4763" s="3" t="n">
        <v>4761</v>
      </c>
      <c r="C4763" s="3" t="s">
        <v>119</v>
      </c>
      <c r="D4763" s="3" t="n">
        <v>8</v>
      </c>
      <c r="E4763" s="3" t="n">
        <v>81</v>
      </c>
      <c r="F4763" s="3"/>
      <c r="G4763" s="3"/>
      <c r="H4763" s="24" t="n">
        <v>0.271214068</v>
      </c>
    </row>
    <row r="4764" customFormat="false" ht="15" hidden="false" customHeight="false" outlineLevel="0" collapsed="false">
      <c r="A4764" s="3" t="n">
        <v>4763</v>
      </c>
      <c r="B4764" s="3" t="n">
        <v>4762</v>
      </c>
      <c r="C4764" s="3" t="s">
        <v>119</v>
      </c>
      <c r="D4764" s="3" t="n">
        <v>8</v>
      </c>
      <c r="E4764" s="3" t="n">
        <v>82</v>
      </c>
      <c r="F4764" s="3"/>
      <c r="G4764" s="3"/>
      <c r="H4764" s="24" t="n">
        <v>-0.0514202304</v>
      </c>
    </row>
    <row r="4765" customFormat="false" ht="15" hidden="false" customHeight="false" outlineLevel="0" collapsed="false">
      <c r="A4765" s="3" t="n">
        <v>4764</v>
      </c>
      <c r="B4765" s="3" t="n">
        <v>4763</v>
      </c>
      <c r="C4765" s="3" t="s">
        <v>119</v>
      </c>
      <c r="D4765" s="3" t="n">
        <v>8</v>
      </c>
      <c r="E4765" s="3" t="n">
        <v>83</v>
      </c>
      <c r="F4765" s="3"/>
      <c r="G4765" s="3"/>
      <c r="H4765" s="24" t="n">
        <v>0.0538345799</v>
      </c>
    </row>
    <row r="4766" customFormat="false" ht="15" hidden="false" customHeight="false" outlineLevel="0" collapsed="false">
      <c r="A4766" s="3" t="n">
        <v>4765</v>
      </c>
      <c r="B4766" s="3" t="n">
        <v>4764</v>
      </c>
      <c r="C4766" s="3" t="s">
        <v>119</v>
      </c>
      <c r="D4766" s="3" t="n">
        <v>8</v>
      </c>
      <c r="E4766" s="3" t="n">
        <v>84</v>
      </c>
      <c r="F4766" s="3"/>
      <c r="G4766" s="3"/>
      <c r="H4766" s="24" t="n">
        <v>0.181633115</v>
      </c>
    </row>
    <row r="4767" customFormat="false" ht="15" hidden="false" customHeight="false" outlineLevel="0" collapsed="false">
      <c r="A4767" s="3" t="n">
        <v>4766</v>
      </c>
      <c r="B4767" s="3" t="n">
        <v>4765</v>
      </c>
      <c r="C4767" s="3" t="s">
        <v>119</v>
      </c>
      <c r="D4767" s="3" t="n">
        <v>8</v>
      </c>
      <c r="E4767" s="3" t="n">
        <v>85</v>
      </c>
      <c r="F4767" s="3"/>
      <c r="G4767" s="3"/>
      <c r="H4767" s="24" t="n">
        <v>-0.0273253284</v>
      </c>
    </row>
    <row r="4768" customFormat="false" ht="15" hidden="false" customHeight="false" outlineLevel="0" collapsed="false">
      <c r="A4768" s="3" t="n">
        <v>4767</v>
      </c>
      <c r="B4768" s="3" t="n">
        <v>4766</v>
      </c>
      <c r="C4768" s="3" t="s">
        <v>119</v>
      </c>
      <c r="D4768" s="3" t="n">
        <v>8</v>
      </c>
      <c r="E4768" s="3" t="n">
        <v>86</v>
      </c>
      <c r="F4768" s="3"/>
      <c r="G4768" s="3"/>
      <c r="H4768" s="24" t="n">
        <v>-0.0342785381</v>
      </c>
    </row>
    <row r="4769" customFormat="false" ht="15" hidden="false" customHeight="false" outlineLevel="0" collapsed="false">
      <c r="A4769" s="3" t="n">
        <v>4768</v>
      </c>
      <c r="B4769" s="3" t="n">
        <v>4767</v>
      </c>
      <c r="C4769" s="3" t="s">
        <v>119</v>
      </c>
      <c r="D4769" s="3" t="n">
        <v>8</v>
      </c>
      <c r="E4769" s="3" t="n">
        <v>87</v>
      </c>
      <c r="F4769" s="3"/>
      <c r="G4769" s="3"/>
      <c r="H4769" s="24" t="n">
        <v>0.180113852</v>
      </c>
    </row>
    <row r="4770" customFormat="false" ht="15" hidden="false" customHeight="false" outlineLevel="0" collapsed="false">
      <c r="A4770" s="3" t="n">
        <v>4769</v>
      </c>
      <c r="B4770" s="3" t="n">
        <v>4768</v>
      </c>
      <c r="C4770" s="3" t="s">
        <v>119</v>
      </c>
      <c r="D4770" s="3" t="n">
        <v>8</v>
      </c>
      <c r="E4770" s="3" t="n">
        <v>88</v>
      </c>
      <c r="F4770" s="3"/>
      <c r="G4770" s="3"/>
      <c r="H4770" s="24" t="n">
        <v>-0.262070209</v>
      </c>
    </row>
    <row r="4771" customFormat="false" ht="15" hidden="false" customHeight="false" outlineLevel="0" collapsed="false">
      <c r="A4771" s="3" t="n">
        <v>4770</v>
      </c>
      <c r="B4771" s="3" t="n">
        <v>4769</v>
      </c>
      <c r="C4771" s="3" t="s">
        <v>119</v>
      </c>
      <c r="D4771" s="3" t="n">
        <v>8</v>
      </c>
      <c r="E4771" s="3" t="n">
        <v>89</v>
      </c>
      <c r="F4771" s="3"/>
      <c r="G4771" s="3"/>
      <c r="H4771" s="24" t="n">
        <v>0.14449881</v>
      </c>
    </row>
    <row r="4772" customFormat="false" ht="15" hidden="false" customHeight="false" outlineLevel="0" collapsed="false">
      <c r="A4772" s="3" t="n">
        <v>4771</v>
      </c>
      <c r="B4772" s="3" t="n">
        <v>4770</v>
      </c>
      <c r="C4772" s="3" t="s">
        <v>119</v>
      </c>
      <c r="D4772" s="3" t="n">
        <v>8</v>
      </c>
      <c r="E4772" s="3" t="n">
        <v>90</v>
      </c>
      <c r="F4772" s="3"/>
      <c r="G4772" s="3"/>
      <c r="H4772" s="24" t="n">
        <v>-0.158214092</v>
      </c>
    </row>
    <row r="4773" customFormat="false" ht="15" hidden="false" customHeight="false" outlineLevel="0" collapsed="false">
      <c r="A4773" s="3" t="n">
        <v>4772</v>
      </c>
      <c r="B4773" s="3" t="n">
        <v>4771</v>
      </c>
      <c r="C4773" s="3" t="s">
        <v>119</v>
      </c>
      <c r="D4773" s="3" t="n">
        <v>8</v>
      </c>
      <c r="E4773" s="3" t="n">
        <v>91</v>
      </c>
      <c r="F4773" s="3"/>
      <c r="G4773" s="3"/>
      <c r="H4773" s="24" t="n">
        <v>0.0459162146</v>
      </c>
    </row>
    <row r="4774" customFormat="false" ht="15" hidden="false" customHeight="false" outlineLevel="0" collapsed="false">
      <c r="A4774" s="3" t="n">
        <v>4773</v>
      </c>
      <c r="B4774" s="3" t="n">
        <v>4772</v>
      </c>
      <c r="C4774" s="3" t="s">
        <v>119</v>
      </c>
      <c r="D4774" s="3" t="n">
        <v>8</v>
      </c>
      <c r="E4774" s="3" t="n">
        <v>92</v>
      </c>
      <c r="F4774" s="3"/>
      <c r="G4774" s="3"/>
      <c r="H4774" s="24" t="n">
        <v>0.0212085098</v>
      </c>
    </row>
    <row r="4775" customFormat="false" ht="15" hidden="false" customHeight="false" outlineLevel="0" collapsed="false">
      <c r="A4775" s="3" t="n">
        <v>4774</v>
      </c>
      <c r="B4775" s="3" t="n">
        <v>4773</v>
      </c>
      <c r="C4775" s="3" t="s">
        <v>119</v>
      </c>
      <c r="D4775" s="3" t="n">
        <v>8</v>
      </c>
      <c r="E4775" s="3" t="n">
        <v>93</v>
      </c>
      <c r="F4775" s="3"/>
      <c r="G4775" s="3"/>
      <c r="H4775" s="24" t="n">
        <v>0.0339240953</v>
      </c>
    </row>
    <row r="4776" customFormat="false" ht="15" hidden="false" customHeight="false" outlineLevel="0" collapsed="false">
      <c r="A4776" s="3" t="n">
        <v>4775</v>
      </c>
      <c r="B4776" s="3" t="n">
        <v>4774</v>
      </c>
      <c r="C4776" s="3" t="s">
        <v>119</v>
      </c>
      <c r="D4776" s="3" t="n">
        <v>8</v>
      </c>
      <c r="E4776" s="3" t="n">
        <v>94</v>
      </c>
      <c r="F4776" s="3"/>
      <c r="G4776" s="3"/>
      <c r="H4776" s="24" t="n">
        <v>-0.0378485769</v>
      </c>
    </row>
    <row r="4777" customFormat="false" ht="15" hidden="false" customHeight="false" outlineLevel="0" collapsed="false">
      <c r="A4777" s="3" t="n">
        <v>4776</v>
      </c>
      <c r="B4777" s="3" t="n">
        <v>4775</v>
      </c>
      <c r="C4777" s="3" t="s">
        <v>119</v>
      </c>
      <c r="D4777" s="3" t="n">
        <v>8</v>
      </c>
      <c r="E4777" s="3" t="n">
        <v>95</v>
      </c>
      <c r="F4777" s="3"/>
      <c r="G4777" s="3"/>
      <c r="H4777" s="24" t="n">
        <v>-0.194050327</v>
      </c>
    </row>
    <row r="4778" customFormat="false" ht="15" hidden="false" customHeight="false" outlineLevel="0" collapsed="false">
      <c r="A4778" s="3" t="n">
        <v>4777</v>
      </c>
      <c r="B4778" s="3" t="n">
        <v>4776</v>
      </c>
      <c r="C4778" s="3" t="s">
        <v>119</v>
      </c>
      <c r="D4778" s="3" t="n">
        <v>8</v>
      </c>
      <c r="E4778" s="3" t="n">
        <v>96</v>
      </c>
      <c r="F4778" s="3"/>
      <c r="G4778" s="3"/>
      <c r="H4778" s="24" t="n">
        <v>-0.0178404618</v>
      </c>
    </row>
    <row r="4779" customFormat="false" ht="15" hidden="false" customHeight="false" outlineLevel="0" collapsed="false">
      <c r="A4779" s="3" t="n">
        <v>4778</v>
      </c>
      <c r="B4779" s="3" t="n">
        <v>4777</v>
      </c>
      <c r="C4779" s="3" t="s">
        <v>119</v>
      </c>
      <c r="D4779" s="3" t="n">
        <v>8</v>
      </c>
      <c r="E4779" s="3" t="n">
        <v>97</v>
      </c>
      <c r="F4779" s="3"/>
      <c r="G4779" s="3"/>
      <c r="H4779" s="24" t="n">
        <v>-0.133818656</v>
      </c>
    </row>
    <row r="4780" customFormat="false" ht="15" hidden="false" customHeight="false" outlineLevel="0" collapsed="false">
      <c r="A4780" s="3" t="n">
        <v>4779</v>
      </c>
      <c r="B4780" s="3" t="n">
        <v>4778</v>
      </c>
      <c r="C4780" s="3" t="s">
        <v>119</v>
      </c>
      <c r="D4780" s="3" t="n">
        <v>8</v>
      </c>
      <c r="E4780" s="3" t="n">
        <v>98</v>
      </c>
      <c r="F4780" s="3"/>
      <c r="G4780" s="3"/>
      <c r="H4780" s="24" t="n">
        <v>-0.160589218</v>
      </c>
    </row>
    <row r="4781" customFormat="false" ht="15" hidden="false" customHeight="false" outlineLevel="0" collapsed="false">
      <c r="A4781" s="3" t="n">
        <v>4780</v>
      </c>
      <c r="B4781" s="3" t="n">
        <v>4779</v>
      </c>
      <c r="C4781" s="3" t="s">
        <v>119</v>
      </c>
      <c r="D4781" s="3" t="n">
        <v>8</v>
      </c>
      <c r="E4781" s="3" t="n">
        <v>99</v>
      </c>
      <c r="F4781" s="3"/>
      <c r="G4781" s="3"/>
      <c r="H4781" s="24" t="n">
        <v>0.245596632</v>
      </c>
    </row>
    <row r="4782" customFormat="false" ht="15" hidden="false" customHeight="false" outlineLevel="0" collapsed="false">
      <c r="A4782" s="3" t="n">
        <v>4781</v>
      </c>
      <c r="B4782" s="3" t="n">
        <v>4780</v>
      </c>
      <c r="C4782" s="3" t="s">
        <v>119</v>
      </c>
      <c r="D4782" s="3" t="n">
        <v>8</v>
      </c>
      <c r="E4782" s="3" t="n">
        <v>100</v>
      </c>
      <c r="F4782" s="3"/>
      <c r="G4782" s="3"/>
      <c r="H4782" s="24" t="n">
        <v>0.00434458954</v>
      </c>
    </row>
    <row r="4783" customFormat="false" ht="15" hidden="false" customHeight="false" outlineLevel="0" collapsed="false">
      <c r="A4783" s="3" t="n">
        <v>4782</v>
      </c>
      <c r="B4783" s="3" t="n">
        <v>4781</v>
      </c>
      <c r="C4783" s="3" t="s">
        <v>119</v>
      </c>
      <c r="D4783" s="3" t="n">
        <v>8</v>
      </c>
      <c r="E4783" s="3" t="n">
        <v>101</v>
      </c>
      <c r="F4783" s="3"/>
      <c r="G4783" s="3"/>
      <c r="H4783" s="24" t="n">
        <v>0.230266407</v>
      </c>
    </row>
    <row r="4784" customFormat="false" ht="15" hidden="false" customHeight="false" outlineLevel="0" collapsed="false">
      <c r="A4784" s="3" t="n">
        <v>4783</v>
      </c>
      <c r="B4784" s="3" t="n">
        <v>4782</v>
      </c>
      <c r="C4784" s="3" t="s">
        <v>119</v>
      </c>
      <c r="D4784" s="3" t="n">
        <v>8</v>
      </c>
      <c r="E4784" s="3" t="n">
        <v>102</v>
      </c>
      <c r="F4784" s="3"/>
      <c r="G4784" s="3"/>
      <c r="H4784" s="24" t="n">
        <v>0.0772257373</v>
      </c>
    </row>
    <row r="4785" customFormat="false" ht="15" hidden="false" customHeight="false" outlineLevel="0" collapsed="false">
      <c r="A4785" s="3" t="n">
        <v>4784</v>
      </c>
      <c r="B4785" s="3" t="n">
        <v>4783</v>
      </c>
      <c r="C4785" s="3" t="s">
        <v>119</v>
      </c>
      <c r="D4785" s="3" t="n">
        <v>8</v>
      </c>
      <c r="E4785" s="3" t="n">
        <v>103</v>
      </c>
      <c r="F4785" s="3"/>
      <c r="G4785" s="3"/>
      <c r="H4785" s="24" t="n">
        <v>0.0365412869</v>
      </c>
    </row>
    <row r="4786" customFormat="false" ht="15" hidden="false" customHeight="false" outlineLevel="0" collapsed="false">
      <c r="A4786" s="3" t="n">
        <v>4785</v>
      </c>
      <c r="B4786" s="3" t="n">
        <v>4784</v>
      </c>
      <c r="C4786" s="3" t="s">
        <v>119</v>
      </c>
      <c r="D4786" s="3" t="n">
        <v>8</v>
      </c>
      <c r="E4786" s="3" t="n">
        <v>104</v>
      </c>
      <c r="F4786" s="3"/>
      <c r="G4786" s="3"/>
      <c r="H4786" s="24" t="n">
        <v>-0.232737496</v>
      </c>
    </row>
    <row r="4787" customFormat="false" ht="15" hidden="false" customHeight="false" outlineLevel="0" collapsed="false">
      <c r="A4787" s="3" t="n">
        <v>4786</v>
      </c>
      <c r="B4787" s="3" t="n">
        <v>4785</v>
      </c>
      <c r="C4787" s="3" t="s">
        <v>119</v>
      </c>
      <c r="D4787" s="3" t="n">
        <v>8</v>
      </c>
      <c r="E4787" s="3" t="n">
        <v>105</v>
      </c>
      <c r="F4787" s="3"/>
      <c r="G4787" s="3"/>
      <c r="H4787" s="24" t="n">
        <v>0.0937573612</v>
      </c>
    </row>
    <row r="4788" customFormat="false" ht="15" hidden="false" customHeight="false" outlineLevel="0" collapsed="false">
      <c r="A4788" s="3" t="n">
        <v>4787</v>
      </c>
      <c r="B4788" s="3" t="n">
        <v>4786</v>
      </c>
      <c r="C4788" s="3" t="s">
        <v>119</v>
      </c>
      <c r="D4788" s="3" t="n">
        <v>8</v>
      </c>
      <c r="E4788" s="3" t="n">
        <v>106</v>
      </c>
      <c r="F4788" s="3"/>
      <c r="G4788" s="3"/>
      <c r="H4788" s="24" t="n">
        <v>-0.189546838</v>
      </c>
    </row>
    <row r="4789" customFormat="false" ht="15" hidden="false" customHeight="false" outlineLevel="0" collapsed="false">
      <c r="A4789" s="3" t="n">
        <v>4788</v>
      </c>
      <c r="B4789" s="3" t="n">
        <v>4787</v>
      </c>
      <c r="C4789" s="3" t="s">
        <v>119</v>
      </c>
      <c r="D4789" s="3" t="n">
        <v>8</v>
      </c>
      <c r="E4789" s="3" t="n">
        <v>107</v>
      </c>
      <c r="F4789" s="3"/>
      <c r="G4789" s="3"/>
      <c r="H4789" s="24" t="n">
        <v>-0.0280660428</v>
      </c>
    </row>
    <row r="4790" customFormat="false" ht="15" hidden="false" customHeight="false" outlineLevel="0" collapsed="false">
      <c r="A4790" s="3" t="n">
        <v>4789</v>
      </c>
      <c r="B4790" s="3" t="n">
        <v>4788</v>
      </c>
      <c r="C4790" s="3" t="s">
        <v>119</v>
      </c>
      <c r="D4790" s="3" t="n">
        <v>8</v>
      </c>
      <c r="E4790" s="3" t="n">
        <v>108</v>
      </c>
      <c r="F4790" s="3"/>
      <c r="G4790" s="3"/>
      <c r="H4790" s="24" t="n">
        <v>-0.508042157</v>
      </c>
    </row>
    <row r="4791" customFormat="false" ht="15" hidden="false" customHeight="false" outlineLevel="0" collapsed="false">
      <c r="A4791" s="3" t="n">
        <v>4790</v>
      </c>
      <c r="B4791" s="3" t="n">
        <v>4789</v>
      </c>
      <c r="C4791" s="3" t="s">
        <v>119</v>
      </c>
      <c r="D4791" s="3" t="n">
        <v>8</v>
      </c>
      <c r="E4791" s="3" t="n">
        <v>109</v>
      </c>
      <c r="F4791" s="3"/>
      <c r="G4791" s="3"/>
      <c r="H4791" s="24" t="n">
        <v>-0.233253404</v>
      </c>
    </row>
    <row r="4792" customFormat="false" ht="15" hidden="false" customHeight="false" outlineLevel="0" collapsed="false">
      <c r="A4792" s="3" t="n">
        <v>4791</v>
      </c>
      <c r="B4792" s="3" t="n">
        <v>4790</v>
      </c>
      <c r="C4792" s="3" t="s">
        <v>119</v>
      </c>
      <c r="D4792" s="3" t="n">
        <v>8</v>
      </c>
      <c r="E4792" s="3" t="n">
        <v>110</v>
      </c>
      <c r="F4792" s="3"/>
      <c r="G4792" s="3"/>
      <c r="H4792" s="24" t="n">
        <v>-0.018112421</v>
      </c>
    </row>
    <row r="4793" customFormat="false" ht="15" hidden="false" customHeight="false" outlineLevel="0" collapsed="false">
      <c r="A4793" s="3" t="n">
        <v>4792</v>
      </c>
      <c r="B4793" s="3" t="n">
        <v>4791</v>
      </c>
      <c r="C4793" s="3" t="s">
        <v>119</v>
      </c>
      <c r="D4793" s="3" t="n">
        <v>8</v>
      </c>
      <c r="E4793" s="3" t="n">
        <v>111</v>
      </c>
      <c r="F4793" s="3"/>
      <c r="G4793" s="3"/>
      <c r="H4793" s="24" t="n">
        <v>0.018646339</v>
      </c>
    </row>
    <row r="4794" customFormat="false" ht="15" hidden="false" customHeight="false" outlineLevel="0" collapsed="false">
      <c r="A4794" s="3" t="n">
        <v>4793</v>
      </c>
      <c r="B4794" s="3" t="n">
        <v>4792</v>
      </c>
      <c r="C4794" s="3" t="s">
        <v>119</v>
      </c>
      <c r="D4794" s="3" t="n">
        <v>8</v>
      </c>
      <c r="E4794" s="3" t="n">
        <v>112</v>
      </c>
      <c r="F4794" s="3"/>
      <c r="G4794" s="3"/>
      <c r="H4794" s="24" t="n">
        <v>-0.0423564576</v>
      </c>
    </row>
    <row r="4795" customFormat="false" ht="15" hidden="false" customHeight="false" outlineLevel="0" collapsed="false">
      <c r="A4795" s="3" t="n">
        <v>4794</v>
      </c>
      <c r="B4795" s="3" t="n">
        <v>4793</v>
      </c>
      <c r="C4795" s="3" t="s">
        <v>119</v>
      </c>
      <c r="D4795" s="3" t="n">
        <v>8</v>
      </c>
      <c r="E4795" s="3" t="n">
        <v>113</v>
      </c>
      <c r="F4795" s="3"/>
      <c r="G4795" s="3"/>
      <c r="H4795" s="24" t="n">
        <v>0.000107666245</v>
      </c>
    </row>
    <row r="4796" customFormat="false" ht="15" hidden="false" customHeight="false" outlineLevel="0" collapsed="false">
      <c r="A4796" s="3" t="n">
        <v>4795</v>
      </c>
      <c r="B4796" s="3" t="n">
        <v>4794</v>
      </c>
      <c r="C4796" s="3" t="s">
        <v>119</v>
      </c>
      <c r="D4796" s="3" t="n">
        <v>8</v>
      </c>
      <c r="E4796" s="3" t="n">
        <v>114</v>
      </c>
      <c r="F4796" s="3"/>
      <c r="G4796" s="3"/>
      <c r="H4796" s="24" t="n">
        <v>0.255588502</v>
      </c>
    </row>
    <row r="4797" customFormat="false" ht="15" hidden="false" customHeight="false" outlineLevel="0" collapsed="false">
      <c r="A4797" s="3" t="n">
        <v>4796</v>
      </c>
      <c r="B4797" s="3" t="n">
        <v>4795</v>
      </c>
      <c r="C4797" s="3" t="s">
        <v>119</v>
      </c>
      <c r="D4797" s="3" t="n">
        <v>8</v>
      </c>
      <c r="E4797" s="3" t="n">
        <v>115</v>
      </c>
      <c r="F4797" s="3"/>
      <c r="G4797" s="3"/>
      <c r="H4797" s="24" t="n">
        <v>-0.054031115</v>
      </c>
    </row>
    <row r="4798" customFormat="false" ht="15" hidden="false" customHeight="false" outlineLevel="0" collapsed="false">
      <c r="A4798" s="3" t="n">
        <v>4797</v>
      </c>
      <c r="B4798" s="3" t="n">
        <v>4796</v>
      </c>
      <c r="C4798" s="3" t="s">
        <v>119</v>
      </c>
      <c r="D4798" s="3" t="n">
        <v>8</v>
      </c>
      <c r="E4798" s="3" t="n">
        <v>116</v>
      </c>
      <c r="F4798" s="3"/>
      <c r="G4798" s="3"/>
      <c r="H4798" s="24" t="n">
        <v>-0.0721227005</v>
      </c>
    </row>
    <row r="4799" customFormat="false" ht="15" hidden="false" customHeight="false" outlineLevel="0" collapsed="false">
      <c r="A4799" s="3" t="n">
        <v>4798</v>
      </c>
      <c r="B4799" s="3" t="n">
        <v>4797</v>
      </c>
      <c r="C4799" s="3" t="s">
        <v>119</v>
      </c>
      <c r="D4799" s="3" t="n">
        <v>8</v>
      </c>
      <c r="E4799" s="3" t="n">
        <v>117</v>
      </c>
      <c r="F4799" s="3"/>
      <c r="G4799" s="3"/>
      <c r="H4799" s="24" t="n">
        <v>-0.0790004134</v>
      </c>
    </row>
    <row r="4800" customFormat="false" ht="15" hidden="false" customHeight="false" outlineLevel="0" collapsed="false">
      <c r="A4800" s="3" t="n">
        <v>4799</v>
      </c>
      <c r="B4800" s="3" t="n">
        <v>4798</v>
      </c>
      <c r="C4800" s="3" t="s">
        <v>119</v>
      </c>
      <c r="D4800" s="3" t="n">
        <v>8</v>
      </c>
      <c r="E4800" s="3" t="n">
        <v>118</v>
      </c>
      <c r="F4800" s="3"/>
      <c r="G4800" s="3"/>
      <c r="H4800" s="24" t="n">
        <v>-0.000698768592</v>
      </c>
    </row>
    <row r="4801" customFormat="false" ht="15" hidden="false" customHeight="false" outlineLevel="0" collapsed="false">
      <c r="A4801" s="3" t="n">
        <v>4800</v>
      </c>
      <c r="B4801" s="3" t="n">
        <v>4799</v>
      </c>
      <c r="C4801" s="3" t="s">
        <v>119</v>
      </c>
      <c r="D4801" s="3" t="n">
        <v>8</v>
      </c>
      <c r="E4801" s="3" t="n">
        <v>119</v>
      </c>
      <c r="F4801" s="3"/>
      <c r="G4801" s="3"/>
      <c r="H4801" s="24" t="n">
        <v>-0.121731929</v>
      </c>
    </row>
    <row r="4802" customFormat="false" ht="15" hidden="false" customHeight="false" outlineLevel="0" collapsed="false">
      <c r="A4802" s="3" t="n">
        <v>4801</v>
      </c>
      <c r="B4802" s="3" t="n">
        <v>4800</v>
      </c>
      <c r="C4802" s="3" t="s">
        <v>119</v>
      </c>
      <c r="D4802" s="3" t="n">
        <v>8</v>
      </c>
      <c r="E4802" s="3" t="n">
        <v>120</v>
      </c>
      <c r="F4802" s="3"/>
      <c r="G4802" s="3"/>
      <c r="H4802" s="24" t="n">
        <v>-0.215246037</v>
      </c>
    </row>
    <row r="4803" customFormat="false" ht="15" hidden="false" customHeight="false" outlineLevel="0" collapsed="false">
      <c r="A4803" s="3" t="n">
        <v>4802</v>
      </c>
      <c r="B4803" s="3" t="n">
        <v>4801</v>
      </c>
      <c r="C4803" s="3" t="s">
        <v>119</v>
      </c>
      <c r="D4803" s="3" t="n">
        <v>8</v>
      </c>
      <c r="E4803" s="3" t="n">
        <v>121</v>
      </c>
      <c r="F4803" s="3"/>
      <c r="G4803" s="3"/>
      <c r="H4803" s="24" t="n">
        <v>0.0324959457</v>
      </c>
    </row>
    <row r="4804" customFormat="false" ht="15" hidden="false" customHeight="false" outlineLevel="0" collapsed="false">
      <c r="A4804" s="3" t="n">
        <v>4803</v>
      </c>
      <c r="B4804" s="3" t="n">
        <v>4802</v>
      </c>
      <c r="C4804" s="3" t="s">
        <v>119</v>
      </c>
      <c r="D4804" s="3" t="n">
        <v>8</v>
      </c>
      <c r="E4804" s="3" t="n">
        <v>122</v>
      </c>
      <c r="F4804" s="3"/>
      <c r="G4804" s="3"/>
      <c r="H4804" s="24" t="n">
        <v>0.0155173028</v>
      </c>
    </row>
    <row r="4805" customFormat="false" ht="15" hidden="false" customHeight="false" outlineLevel="0" collapsed="false">
      <c r="A4805" s="3" t="n">
        <v>4804</v>
      </c>
      <c r="B4805" s="3" t="n">
        <v>4803</v>
      </c>
      <c r="C4805" s="3" t="s">
        <v>119</v>
      </c>
      <c r="D4805" s="3" t="n">
        <v>8</v>
      </c>
      <c r="E4805" s="3" t="n">
        <v>123</v>
      </c>
      <c r="F4805" s="3"/>
      <c r="G4805" s="3"/>
      <c r="H4805" s="24" t="n">
        <v>0.163376018</v>
      </c>
    </row>
    <row r="4806" customFormat="false" ht="15" hidden="false" customHeight="false" outlineLevel="0" collapsed="false">
      <c r="A4806" s="3" t="n">
        <v>4805</v>
      </c>
      <c r="B4806" s="3" t="n">
        <v>4804</v>
      </c>
      <c r="C4806" s="3" t="s">
        <v>119</v>
      </c>
      <c r="D4806" s="3" t="n">
        <v>8</v>
      </c>
      <c r="E4806" s="3" t="n">
        <v>124</v>
      </c>
      <c r="F4806" s="3"/>
      <c r="G4806" s="3"/>
      <c r="H4806" s="24" t="n">
        <v>-0.0606693141</v>
      </c>
    </row>
    <row r="4807" customFormat="false" ht="15" hidden="false" customHeight="false" outlineLevel="0" collapsed="false">
      <c r="A4807" s="3" t="n">
        <v>4806</v>
      </c>
      <c r="B4807" s="3" t="n">
        <v>4805</v>
      </c>
      <c r="C4807" s="3" t="s">
        <v>119</v>
      </c>
      <c r="D4807" s="3" t="n">
        <v>8</v>
      </c>
      <c r="E4807" s="3" t="n">
        <v>125</v>
      </c>
      <c r="F4807" s="3"/>
      <c r="G4807" s="3"/>
      <c r="H4807" s="24" t="n">
        <v>0.26142174</v>
      </c>
    </row>
    <row r="4808" customFormat="false" ht="15" hidden="false" customHeight="false" outlineLevel="0" collapsed="false">
      <c r="A4808" s="3" t="n">
        <v>4807</v>
      </c>
      <c r="B4808" s="3" t="n">
        <v>4806</v>
      </c>
      <c r="C4808" s="3" t="s">
        <v>119</v>
      </c>
      <c r="D4808" s="3" t="n">
        <v>8</v>
      </c>
      <c r="E4808" s="3" t="n">
        <v>126</v>
      </c>
      <c r="F4808" s="3"/>
      <c r="G4808" s="3"/>
      <c r="H4808" s="24" t="n">
        <v>-0.145533234</v>
      </c>
    </row>
    <row r="4809" customFormat="false" ht="15" hidden="false" customHeight="false" outlineLevel="0" collapsed="false">
      <c r="A4809" s="3" t="n">
        <v>4808</v>
      </c>
      <c r="B4809" s="3" t="n">
        <v>4807</v>
      </c>
      <c r="C4809" s="3" t="s">
        <v>119</v>
      </c>
      <c r="D4809" s="3" t="n">
        <v>8</v>
      </c>
      <c r="E4809" s="3" t="n">
        <v>127</v>
      </c>
      <c r="F4809" s="3"/>
      <c r="G4809" s="3"/>
      <c r="H4809" s="24" t="n">
        <v>-0.00905859098</v>
      </c>
    </row>
    <row r="4810" customFormat="false" ht="15" hidden="false" customHeight="false" outlineLevel="0" collapsed="false">
      <c r="A4810" s="3" t="n">
        <v>4809</v>
      </c>
      <c r="B4810" s="3" t="n">
        <v>4808</v>
      </c>
      <c r="C4810" s="3" t="s">
        <v>119</v>
      </c>
      <c r="D4810" s="3" t="n">
        <v>8</v>
      </c>
      <c r="E4810" s="3" t="n">
        <v>128</v>
      </c>
      <c r="F4810" s="3"/>
      <c r="G4810" s="3"/>
      <c r="H4810" s="24" t="n">
        <v>-0.322745919</v>
      </c>
    </row>
    <row r="4811" customFormat="false" ht="15" hidden="false" customHeight="false" outlineLevel="0" collapsed="false">
      <c r="A4811" s="3" t="n">
        <v>4810</v>
      </c>
      <c r="B4811" s="3" t="n">
        <v>4809</v>
      </c>
      <c r="C4811" s="3" t="s">
        <v>119</v>
      </c>
      <c r="D4811" s="3" t="n">
        <v>8</v>
      </c>
      <c r="E4811" s="3" t="n">
        <v>129</v>
      </c>
      <c r="F4811" s="3"/>
      <c r="G4811" s="3"/>
      <c r="H4811" s="24" t="n">
        <v>0.00212714379</v>
      </c>
    </row>
    <row r="4812" customFormat="false" ht="15" hidden="false" customHeight="false" outlineLevel="0" collapsed="false">
      <c r="A4812" s="3" t="n">
        <v>4811</v>
      </c>
      <c r="B4812" s="3" t="n">
        <v>4810</v>
      </c>
      <c r="C4812" s="3" t="s">
        <v>119</v>
      </c>
      <c r="D4812" s="3" t="n">
        <v>8</v>
      </c>
      <c r="E4812" s="3" t="n">
        <v>130</v>
      </c>
      <c r="F4812" s="3"/>
      <c r="G4812" s="3"/>
      <c r="H4812" s="24" t="n">
        <v>0.0333616287</v>
      </c>
    </row>
    <row r="4813" customFormat="false" ht="15" hidden="false" customHeight="false" outlineLevel="0" collapsed="false">
      <c r="A4813" s="3" t="n">
        <v>4812</v>
      </c>
      <c r="B4813" s="3" t="n">
        <v>4811</v>
      </c>
      <c r="C4813" s="3" t="s">
        <v>119</v>
      </c>
      <c r="D4813" s="3" t="n">
        <v>8</v>
      </c>
      <c r="E4813" s="3" t="n">
        <v>131</v>
      </c>
      <c r="F4813" s="3"/>
      <c r="G4813" s="3"/>
      <c r="H4813" s="24" t="n">
        <v>0.192212448</v>
      </c>
    </row>
    <row r="4814" customFormat="false" ht="15" hidden="false" customHeight="false" outlineLevel="0" collapsed="false">
      <c r="A4814" s="3" t="n">
        <v>4813</v>
      </c>
      <c r="B4814" s="3" t="n">
        <v>4812</v>
      </c>
      <c r="C4814" s="3" t="s">
        <v>119</v>
      </c>
      <c r="D4814" s="3" t="n">
        <v>8</v>
      </c>
      <c r="E4814" s="3" t="n">
        <v>132</v>
      </c>
      <c r="F4814" s="3"/>
      <c r="G4814" s="3"/>
      <c r="H4814" s="24" t="n">
        <v>0.319517612</v>
      </c>
    </row>
    <row r="4815" customFormat="false" ht="15" hidden="false" customHeight="false" outlineLevel="0" collapsed="false">
      <c r="A4815" s="3" t="n">
        <v>4814</v>
      </c>
      <c r="B4815" s="3" t="n">
        <v>4813</v>
      </c>
      <c r="C4815" s="3" t="s">
        <v>119</v>
      </c>
      <c r="D4815" s="3" t="n">
        <v>8</v>
      </c>
      <c r="E4815" s="3" t="n">
        <v>133</v>
      </c>
      <c r="F4815" s="3"/>
      <c r="G4815" s="3"/>
      <c r="H4815" s="24" t="n">
        <v>0.0317209028</v>
      </c>
    </row>
    <row r="4816" customFormat="false" ht="15" hidden="false" customHeight="false" outlineLevel="0" collapsed="false">
      <c r="A4816" s="3" t="n">
        <v>4815</v>
      </c>
      <c r="B4816" s="3" t="n">
        <v>4814</v>
      </c>
      <c r="C4816" s="3" t="s">
        <v>119</v>
      </c>
      <c r="D4816" s="3" t="n">
        <v>8</v>
      </c>
      <c r="E4816" s="3" t="n">
        <v>134</v>
      </c>
      <c r="F4816" s="3"/>
      <c r="G4816" s="3"/>
      <c r="H4816" s="24" t="n">
        <v>0.148829252</v>
      </c>
    </row>
    <row r="4817" customFormat="false" ht="15" hidden="false" customHeight="false" outlineLevel="0" collapsed="false">
      <c r="A4817" s="3" t="n">
        <v>4816</v>
      </c>
      <c r="B4817" s="3" t="n">
        <v>4815</v>
      </c>
      <c r="C4817" s="3" t="s">
        <v>119</v>
      </c>
      <c r="D4817" s="3" t="n">
        <v>8</v>
      </c>
      <c r="E4817" s="3" t="n">
        <v>135</v>
      </c>
      <c r="F4817" s="3"/>
      <c r="G4817" s="3"/>
      <c r="H4817" s="24" t="n">
        <v>0.231823474</v>
      </c>
    </row>
    <row r="4818" customFormat="false" ht="15" hidden="false" customHeight="false" outlineLevel="0" collapsed="false">
      <c r="A4818" s="3" t="n">
        <v>4817</v>
      </c>
      <c r="B4818" s="3" t="n">
        <v>4816</v>
      </c>
      <c r="C4818" s="3" t="s">
        <v>119</v>
      </c>
      <c r="D4818" s="3" t="n">
        <v>8</v>
      </c>
      <c r="E4818" s="3" t="n">
        <v>136</v>
      </c>
      <c r="F4818" s="3"/>
      <c r="G4818" s="3"/>
      <c r="H4818" s="24" t="n">
        <v>-0.0850877613</v>
      </c>
    </row>
    <row r="4819" customFormat="false" ht="15" hidden="false" customHeight="false" outlineLevel="0" collapsed="false">
      <c r="A4819" s="3" t="n">
        <v>4818</v>
      </c>
      <c r="B4819" s="3" t="n">
        <v>4817</v>
      </c>
      <c r="C4819" s="3" t="s">
        <v>119</v>
      </c>
      <c r="D4819" s="3" t="n">
        <v>8</v>
      </c>
      <c r="E4819" s="3" t="n">
        <v>137</v>
      </c>
      <c r="F4819" s="3"/>
      <c r="G4819" s="3"/>
      <c r="H4819" s="24" t="n">
        <v>-0.151363432</v>
      </c>
    </row>
    <row r="4820" customFormat="false" ht="15" hidden="false" customHeight="false" outlineLevel="0" collapsed="false">
      <c r="A4820" s="3" t="n">
        <v>4819</v>
      </c>
      <c r="B4820" s="3" t="n">
        <v>4818</v>
      </c>
      <c r="C4820" s="3" t="s">
        <v>119</v>
      </c>
      <c r="D4820" s="3" t="n">
        <v>8</v>
      </c>
      <c r="E4820" s="3" t="n">
        <v>138</v>
      </c>
      <c r="F4820" s="3"/>
      <c r="G4820" s="3"/>
      <c r="H4820" s="24" t="n">
        <v>0.0284398161</v>
      </c>
    </row>
    <row r="4821" customFormat="false" ht="15" hidden="false" customHeight="false" outlineLevel="0" collapsed="false">
      <c r="A4821" s="3" t="n">
        <v>4820</v>
      </c>
      <c r="B4821" s="3" t="n">
        <v>4819</v>
      </c>
      <c r="C4821" s="3" t="s">
        <v>119</v>
      </c>
      <c r="D4821" s="3" t="n">
        <v>8</v>
      </c>
      <c r="E4821" s="3" t="n">
        <v>139</v>
      </c>
      <c r="F4821" s="3"/>
      <c r="G4821" s="3"/>
      <c r="H4821" s="24" t="n">
        <v>0.144693837</v>
      </c>
    </row>
    <row r="4822" customFormat="false" ht="15" hidden="false" customHeight="false" outlineLevel="0" collapsed="false">
      <c r="A4822" s="3" t="n">
        <v>4821</v>
      </c>
      <c r="B4822" s="3" t="n">
        <v>4820</v>
      </c>
      <c r="C4822" s="3" t="s">
        <v>119</v>
      </c>
      <c r="D4822" s="3" t="n">
        <v>8</v>
      </c>
      <c r="E4822" s="3" t="n">
        <v>140</v>
      </c>
      <c r="F4822" s="3"/>
      <c r="G4822" s="3"/>
      <c r="H4822" s="24" t="n">
        <v>-0.0465748459</v>
      </c>
    </row>
    <row r="4823" customFormat="false" ht="15" hidden="false" customHeight="false" outlineLevel="0" collapsed="false">
      <c r="A4823" s="3" t="n">
        <v>4822</v>
      </c>
      <c r="B4823" s="3" t="n">
        <v>4821</v>
      </c>
      <c r="C4823" s="3" t="s">
        <v>119</v>
      </c>
      <c r="D4823" s="3" t="n">
        <v>8</v>
      </c>
      <c r="E4823" s="3" t="n">
        <v>141</v>
      </c>
      <c r="F4823" s="3"/>
      <c r="G4823" s="3"/>
      <c r="H4823" s="24" t="n">
        <v>-0.0245876778</v>
      </c>
    </row>
    <row r="4824" customFormat="false" ht="15" hidden="false" customHeight="false" outlineLevel="0" collapsed="false">
      <c r="A4824" s="3" t="n">
        <v>4823</v>
      </c>
      <c r="B4824" s="3" t="n">
        <v>4822</v>
      </c>
      <c r="C4824" s="3" t="s">
        <v>119</v>
      </c>
      <c r="D4824" s="3" t="n">
        <v>8</v>
      </c>
      <c r="E4824" s="3" t="n">
        <v>142</v>
      </c>
      <c r="F4824" s="3"/>
      <c r="G4824" s="3"/>
      <c r="H4824" s="24" t="n">
        <v>0.0402582698</v>
      </c>
    </row>
    <row r="4825" customFormat="false" ht="15" hidden="false" customHeight="false" outlineLevel="0" collapsed="false">
      <c r="A4825" s="3" t="n">
        <v>4824</v>
      </c>
      <c r="B4825" s="3" t="n">
        <v>4823</v>
      </c>
      <c r="C4825" s="3" t="s">
        <v>119</v>
      </c>
      <c r="D4825" s="3" t="n">
        <v>8</v>
      </c>
      <c r="E4825" s="3" t="n">
        <v>143</v>
      </c>
      <c r="F4825" s="3"/>
      <c r="G4825" s="3"/>
      <c r="H4825" s="24" t="n">
        <v>-0.294668525</v>
      </c>
    </row>
    <row r="4826" customFormat="false" ht="15" hidden="false" customHeight="false" outlineLevel="0" collapsed="false">
      <c r="A4826" s="3" t="n">
        <v>4825</v>
      </c>
      <c r="B4826" s="3" t="n">
        <v>4824</v>
      </c>
      <c r="C4826" s="3" t="s">
        <v>119</v>
      </c>
      <c r="D4826" s="3" t="n">
        <v>9</v>
      </c>
      <c r="E4826" s="3" t="n">
        <v>0</v>
      </c>
      <c r="F4826" s="3"/>
      <c r="G4826" s="3"/>
      <c r="H4826" s="24" t="n">
        <v>0.293512881</v>
      </c>
    </row>
    <row r="4827" customFormat="false" ht="15" hidden="false" customHeight="false" outlineLevel="0" collapsed="false">
      <c r="A4827" s="3" t="n">
        <v>4826</v>
      </c>
      <c r="B4827" s="3" t="n">
        <v>4825</v>
      </c>
      <c r="C4827" s="3" t="s">
        <v>119</v>
      </c>
      <c r="D4827" s="3" t="n">
        <v>9</v>
      </c>
      <c r="E4827" s="3" t="n">
        <v>1</v>
      </c>
      <c r="F4827" s="3"/>
      <c r="G4827" s="3"/>
      <c r="H4827" s="24" t="n">
        <v>-0.347171456</v>
      </c>
    </row>
    <row r="4828" customFormat="false" ht="15" hidden="false" customHeight="false" outlineLevel="0" collapsed="false">
      <c r="A4828" s="3" t="n">
        <v>4827</v>
      </c>
      <c r="B4828" s="3" t="n">
        <v>4826</v>
      </c>
      <c r="C4828" s="3" t="s">
        <v>119</v>
      </c>
      <c r="D4828" s="3" t="n">
        <v>9</v>
      </c>
      <c r="E4828" s="3" t="n">
        <v>2</v>
      </c>
      <c r="F4828" s="3"/>
      <c r="G4828" s="3"/>
      <c r="H4828" s="24" t="n">
        <v>-0.0797228888</v>
      </c>
    </row>
    <row r="4829" customFormat="false" ht="15" hidden="false" customHeight="false" outlineLevel="0" collapsed="false">
      <c r="A4829" s="3" t="n">
        <v>4828</v>
      </c>
      <c r="B4829" s="3" t="n">
        <v>4827</v>
      </c>
      <c r="C4829" s="3" t="s">
        <v>119</v>
      </c>
      <c r="D4829" s="3" t="n">
        <v>9</v>
      </c>
      <c r="E4829" s="3" t="n">
        <v>3</v>
      </c>
      <c r="F4829" s="3"/>
      <c r="G4829" s="3"/>
      <c r="H4829" s="24" t="n">
        <v>-0.32079044</v>
      </c>
    </row>
    <row r="4830" customFormat="false" ht="15" hidden="false" customHeight="false" outlineLevel="0" collapsed="false">
      <c r="A4830" s="3" t="n">
        <v>4829</v>
      </c>
      <c r="B4830" s="3" t="n">
        <v>4828</v>
      </c>
      <c r="C4830" s="3" t="s">
        <v>119</v>
      </c>
      <c r="D4830" s="3" t="n">
        <v>9</v>
      </c>
      <c r="E4830" s="3" t="n">
        <v>4</v>
      </c>
      <c r="F4830" s="3"/>
      <c r="G4830" s="3"/>
      <c r="H4830" s="24" t="n">
        <v>0.0745279565</v>
      </c>
    </row>
    <row r="4831" customFormat="false" ht="15" hidden="false" customHeight="false" outlineLevel="0" collapsed="false">
      <c r="A4831" s="3" t="n">
        <v>4830</v>
      </c>
      <c r="B4831" s="3" t="n">
        <v>4829</v>
      </c>
      <c r="C4831" s="3" t="s">
        <v>119</v>
      </c>
      <c r="D4831" s="3" t="n">
        <v>9</v>
      </c>
      <c r="E4831" s="3" t="n">
        <v>5</v>
      </c>
      <c r="F4831" s="3"/>
      <c r="G4831" s="3"/>
      <c r="H4831" s="24" t="n">
        <v>0.123829953</v>
      </c>
    </row>
    <row r="4832" customFormat="false" ht="15" hidden="false" customHeight="false" outlineLevel="0" collapsed="false">
      <c r="A4832" s="3" t="n">
        <v>4831</v>
      </c>
      <c r="B4832" s="3" t="n">
        <v>4830</v>
      </c>
      <c r="C4832" s="3" t="s">
        <v>119</v>
      </c>
      <c r="D4832" s="3" t="n">
        <v>9</v>
      </c>
      <c r="E4832" s="3" t="n">
        <v>6</v>
      </c>
      <c r="F4832" s="3"/>
      <c r="G4832" s="3"/>
      <c r="H4832" s="24" t="n">
        <v>0.0616818406</v>
      </c>
    </row>
    <row r="4833" customFormat="false" ht="15" hidden="false" customHeight="false" outlineLevel="0" collapsed="false">
      <c r="A4833" s="3" t="n">
        <v>4832</v>
      </c>
      <c r="B4833" s="3" t="n">
        <v>4831</v>
      </c>
      <c r="C4833" s="3" t="s">
        <v>119</v>
      </c>
      <c r="D4833" s="3" t="n">
        <v>9</v>
      </c>
      <c r="E4833" s="3" t="n">
        <v>7</v>
      </c>
      <c r="F4833" s="3"/>
      <c r="G4833" s="3"/>
      <c r="H4833" s="24" t="n">
        <v>0.0227469299</v>
      </c>
    </row>
    <row r="4834" customFormat="false" ht="15" hidden="false" customHeight="false" outlineLevel="0" collapsed="false">
      <c r="A4834" s="3" t="n">
        <v>4833</v>
      </c>
      <c r="B4834" s="3" t="n">
        <v>4832</v>
      </c>
      <c r="C4834" s="3" t="s">
        <v>119</v>
      </c>
      <c r="D4834" s="3" t="n">
        <v>9</v>
      </c>
      <c r="E4834" s="3" t="n">
        <v>8</v>
      </c>
      <c r="F4834" s="3"/>
      <c r="G4834" s="3"/>
      <c r="H4834" s="24" t="n">
        <v>-0.00241059205</v>
      </c>
    </row>
    <row r="4835" customFormat="false" ht="15" hidden="false" customHeight="false" outlineLevel="0" collapsed="false">
      <c r="A4835" s="3" t="n">
        <v>4834</v>
      </c>
      <c r="B4835" s="3" t="n">
        <v>4833</v>
      </c>
      <c r="C4835" s="3" t="s">
        <v>119</v>
      </c>
      <c r="D4835" s="3" t="n">
        <v>9</v>
      </c>
      <c r="E4835" s="3" t="n">
        <v>9</v>
      </c>
      <c r="F4835" s="3"/>
      <c r="G4835" s="3"/>
      <c r="H4835" s="24" t="n">
        <v>0.00393997179</v>
      </c>
    </row>
    <row r="4836" customFormat="false" ht="15" hidden="false" customHeight="false" outlineLevel="0" collapsed="false">
      <c r="A4836" s="3" t="n">
        <v>4835</v>
      </c>
      <c r="B4836" s="3" t="n">
        <v>4834</v>
      </c>
      <c r="C4836" s="3" t="s">
        <v>119</v>
      </c>
      <c r="D4836" s="3" t="n">
        <v>9</v>
      </c>
      <c r="E4836" s="3" t="n">
        <v>10</v>
      </c>
      <c r="F4836" s="3"/>
      <c r="G4836" s="3"/>
      <c r="H4836" s="24" t="n">
        <v>-0.141723007</v>
      </c>
    </row>
    <row r="4837" customFormat="false" ht="15" hidden="false" customHeight="false" outlineLevel="0" collapsed="false">
      <c r="A4837" s="3" t="n">
        <v>4836</v>
      </c>
      <c r="B4837" s="3" t="n">
        <v>4835</v>
      </c>
      <c r="C4837" s="3" t="s">
        <v>119</v>
      </c>
      <c r="D4837" s="3" t="n">
        <v>9</v>
      </c>
      <c r="E4837" s="3" t="n">
        <v>11</v>
      </c>
      <c r="F4837" s="3"/>
      <c r="G4837" s="3"/>
      <c r="H4837" s="24" t="n">
        <v>-0.435417205</v>
      </c>
    </row>
    <row r="4838" customFormat="false" ht="15" hidden="false" customHeight="false" outlineLevel="0" collapsed="false">
      <c r="A4838" s="3" t="n">
        <v>4837</v>
      </c>
      <c r="B4838" s="3" t="n">
        <v>4836</v>
      </c>
      <c r="C4838" s="3" t="s">
        <v>119</v>
      </c>
      <c r="D4838" s="3" t="n">
        <v>9</v>
      </c>
      <c r="E4838" s="3" t="n">
        <v>12</v>
      </c>
      <c r="F4838" s="3"/>
      <c r="G4838" s="3"/>
      <c r="H4838" s="24" t="n">
        <v>-0.0386254191</v>
      </c>
    </row>
    <row r="4839" customFormat="false" ht="15" hidden="false" customHeight="false" outlineLevel="0" collapsed="false">
      <c r="A4839" s="3" t="n">
        <v>4838</v>
      </c>
      <c r="B4839" s="3" t="n">
        <v>4837</v>
      </c>
      <c r="C4839" s="3" t="s">
        <v>119</v>
      </c>
      <c r="D4839" s="3" t="n">
        <v>9</v>
      </c>
      <c r="E4839" s="3" t="n">
        <v>13</v>
      </c>
      <c r="F4839" s="3"/>
      <c r="G4839" s="3"/>
      <c r="H4839" s="24" t="n">
        <v>0.0952052251</v>
      </c>
    </row>
    <row r="4840" customFormat="false" ht="15" hidden="false" customHeight="false" outlineLevel="0" collapsed="false">
      <c r="A4840" s="3" t="n">
        <v>4839</v>
      </c>
      <c r="B4840" s="3" t="n">
        <v>4838</v>
      </c>
      <c r="C4840" s="3" t="s">
        <v>119</v>
      </c>
      <c r="D4840" s="3" t="n">
        <v>9</v>
      </c>
      <c r="E4840" s="3" t="n">
        <v>14</v>
      </c>
      <c r="F4840" s="3"/>
      <c r="G4840" s="3"/>
      <c r="H4840" s="24" t="n">
        <v>-0.10556151</v>
      </c>
    </row>
    <row r="4841" customFormat="false" ht="15" hidden="false" customHeight="false" outlineLevel="0" collapsed="false">
      <c r="A4841" s="3" t="n">
        <v>4840</v>
      </c>
      <c r="B4841" s="3" t="n">
        <v>4839</v>
      </c>
      <c r="C4841" s="3" t="s">
        <v>119</v>
      </c>
      <c r="D4841" s="3" t="n">
        <v>9</v>
      </c>
      <c r="E4841" s="3" t="n">
        <v>15</v>
      </c>
      <c r="F4841" s="3"/>
      <c r="G4841" s="3"/>
      <c r="H4841" s="24" t="n">
        <v>-0.226563498</v>
      </c>
    </row>
    <row r="4842" customFormat="false" ht="15" hidden="false" customHeight="false" outlineLevel="0" collapsed="false">
      <c r="A4842" s="3" t="n">
        <v>4841</v>
      </c>
      <c r="B4842" s="3" t="n">
        <v>4840</v>
      </c>
      <c r="C4842" s="3" t="s">
        <v>119</v>
      </c>
      <c r="D4842" s="3" t="n">
        <v>9</v>
      </c>
      <c r="E4842" s="3" t="n">
        <v>16</v>
      </c>
      <c r="F4842" s="3"/>
      <c r="G4842" s="3"/>
      <c r="H4842" s="24" t="n">
        <v>0.151639536</v>
      </c>
    </row>
    <row r="4843" customFormat="false" ht="15" hidden="false" customHeight="false" outlineLevel="0" collapsed="false">
      <c r="A4843" s="3" t="n">
        <v>4842</v>
      </c>
      <c r="B4843" s="3" t="n">
        <v>4841</v>
      </c>
      <c r="C4843" s="3" t="s">
        <v>119</v>
      </c>
      <c r="D4843" s="3" t="n">
        <v>9</v>
      </c>
      <c r="E4843" s="3" t="n">
        <v>17</v>
      </c>
      <c r="F4843" s="3"/>
      <c r="G4843" s="3"/>
      <c r="H4843" s="24" t="n">
        <v>-0.0647902489</v>
      </c>
    </row>
    <row r="4844" customFormat="false" ht="15" hidden="false" customHeight="false" outlineLevel="0" collapsed="false">
      <c r="A4844" s="3" t="n">
        <v>4843</v>
      </c>
      <c r="B4844" s="3" t="n">
        <v>4842</v>
      </c>
      <c r="C4844" s="3" t="s">
        <v>119</v>
      </c>
      <c r="D4844" s="3" t="n">
        <v>9</v>
      </c>
      <c r="E4844" s="3" t="n">
        <v>18</v>
      </c>
      <c r="F4844" s="3"/>
      <c r="G4844" s="3"/>
      <c r="H4844" s="24" t="n">
        <v>-0.0992864072</v>
      </c>
    </row>
    <row r="4845" customFormat="false" ht="15" hidden="false" customHeight="false" outlineLevel="0" collapsed="false">
      <c r="A4845" s="3" t="n">
        <v>4844</v>
      </c>
      <c r="B4845" s="3" t="n">
        <v>4843</v>
      </c>
      <c r="C4845" s="3" t="s">
        <v>119</v>
      </c>
      <c r="D4845" s="3" t="n">
        <v>9</v>
      </c>
      <c r="E4845" s="3" t="n">
        <v>19</v>
      </c>
      <c r="F4845" s="3"/>
      <c r="G4845" s="3"/>
      <c r="H4845" s="24" t="n">
        <v>0.0207066573</v>
      </c>
    </row>
    <row r="4846" customFormat="false" ht="15" hidden="false" customHeight="false" outlineLevel="0" collapsed="false">
      <c r="A4846" s="3" t="n">
        <v>4845</v>
      </c>
      <c r="B4846" s="3" t="n">
        <v>4844</v>
      </c>
      <c r="C4846" s="3" t="s">
        <v>119</v>
      </c>
      <c r="D4846" s="3" t="n">
        <v>9</v>
      </c>
      <c r="E4846" s="3" t="n">
        <v>20</v>
      </c>
      <c r="F4846" s="3"/>
      <c r="G4846" s="3"/>
      <c r="H4846" s="24" t="n">
        <v>0.0236534979</v>
      </c>
    </row>
    <row r="4847" customFormat="false" ht="15" hidden="false" customHeight="false" outlineLevel="0" collapsed="false">
      <c r="A4847" s="3" t="n">
        <v>4846</v>
      </c>
      <c r="B4847" s="3" t="n">
        <v>4845</v>
      </c>
      <c r="C4847" s="3" t="s">
        <v>119</v>
      </c>
      <c r="D4847" s="3" t="n">
        <v>9</v>
      </c>
      <c r="E4847" s="3" t="n">
        <v>21</v>
      </c>
      <c r="F4847" s="3"/>
      <c r="G4847" s="3"/>
      <c r="H4847" s="24" t="n">
        <v>-0.082850568</v>
      </c>
    </row>
    <row r="4848" customFormat="false" ht="15" hidden="false" customHeight="false" outlineLevel="0" collapsed="false">
      <c r="A4848" s="3" t="n">
        <v>4847</v>
      </c>
      <c r="B4848" s="3" t="n">
        <v>4846</v>
      </c>
      <c r="C4848" s="3" t="s">
        <v>119</v>
      </c>
      <c r="D4848" s="3" t="n">
        <v>9</v>
      </c>
      <c r="E4848" s="3" t="n">
        <v>22</v>
      </c>
      <c r="F4848" s="3"/>
      <c r="G4848" s="3"/>
      <c r="H4848" s="24" t="n">
        <v>0.187117785</v>
      </c>
    </row>
    <row r="4849" customFormat="false" ht="15" hidden="false" customHeight="false" outlineLevel="0" collapsed="false">
      <c r="A4849" s="3" t="n">
        <v>4848</v>
      </c>
      <c r="B4849" s="3" t="n">
        <v>4847</v>
      </c>
      <c r="C4849" s="3" t="s">
        <v>119</v>
      </c>
      <c r="D4849" s="3" t="n">
        <v>9</v>
      </c>
      <c r="E4849" s="3" t="n">
        <v>23</v>
      </c>
      <c r="F4849" s="3"/>
      <c r="G4849" s="3"/>
      <c r="H4849" s="24" t="n">
        <v>-0.0936913788</v>
      </c>
    </row>
    <row r="4850" customFormat="false" ht="15" hidden="false" customHeight="false" outlineLevel="0" collapsed="false">
      <c r="A4850" s="3" t="n">
        <v>4849</v>
      </c>
      <c r="B4850" s="3" t="n">
        <v>4848</v>
      </c>
      <c r="C4850" s="3" t="s">
        <v>119</v>
      </c>
      <c r="D4850" s="3" t="n">
        <v>9</v>
      </c>
      <c r="E4850" s="3" t="n">
        <v>24</v>
      </c>
      <c r="F4850" s="3"/>
      <c r="G4850" s="3"/>
      <c r="H4850" s="24" t="n">
        <v>0.0764913037</v>
      </c>
    </row>
    <row r="4851" customFormat="false" ht="15" hidden="false" customHeight="false" outlineLevel="0" collapsed="false">
      <c r="A4851" s="3" t="n">
        <v>4850</v>
      </c>
      <c r="B4851" s="3" t="n">
        <v>4849</v>
      </c>
      <c r="C4851" s="3" t="s">
        <v>119</v>
      </c>
      <c r="D4851" s="3" t="n">
        <v>9</v>
      </c>
      <c r="E4851" s="3" t="n">
        <v>25</v>
      </c>
      <c r="F4851" s="3"/>
      <c r="G4851" s="3"/>
      <c r="H4851" s="24" t="n">
        <v>-0.146460205</v>
      </c>
    </row>
    <row r="4852" customFormat="false" ht="15" hidden="false" customHeight="false" outlineLevel="0" collapsed="false">
      <c r="A4852" s="3" t="n">
        <v>4851</v>
      </c>
      <c r="B4852" s="3" t="n">
        <v>4850</v>
      </c>
      <c r="C4852" s="3" t="s">
        <v>119</v>
      </c>
      <c r="D4852" s="3" t="n">
        <v>9</v>
      </c>
      <c r="E4852" s="3" t="n">
        <v>26</v>
      </c>
      <c r="F4852" s="3"/>
      <c r="G4852" s="3"/>
      <c r="H4852" s="24" t="n">
        <v>-0.0242772587</v>
      </c>
    </row>
    <row r="4853" customFormat="false" ht="15" hidden="false" customHeight="false" outlineLevel="0" collapsed="false">
      <c r="A4853" s="3" t="n">
        <v>4852</v>
      </c>
      <c r="B4853" s="3" t="n">
        <v>4851</v>
      </c>
      <c r="C4853" s="3" t="s">
        <v>119</v>
      </c>
      <c r="D4853" s="3" t="n">
        <v>9</v>
      </c>
      <c r="E4853" s="3" t="n">
        <v>27</v>
      </c>
      <c r="F4853" s="3"/>
      <c r="G4853" s="3"/>
      <c r="H4853" s="24" t="n">
        <v>-0.045084551</v>
      </c>
    </row>
    <row r="4854" customFormat="false" ht="15" hidden="false" customHeight="false" outlineLevel="0" collapsed="false">
      <c r="A4854" s="3" t="n">
        <v>4853</v>
      </c>
      <c r="B4854" s="3" t="n">
        <v>4852</v>
      </c>
      <c r="C4854" s="3" t="s">
        <v>119</v>
      </c>
      <c r="D4854" s="3" t="n">
        <v>9</v>
      </c>
      <c r="E4854" s="3" t="n">
        <v>28</v>
      </c>
      <c r="F4854" s="3"/>
      <c r="G4854" s="3"/>
      <c r="H4854" s="24" t="n">
        <v>0.123580031</v>
      </c>
    </row>
    <row r="4855" customFormat="false" ht="15" hidden="false" customHeight="false" outlineLevel="0" collapsed="false">
      <c r="A4855" s="3" t="n">
        <v>4854</v>
      </c>
      <c r="B4855" s="3" t="n">
        <v>4853</v>
      </c>
      <c r="C4855" s="3" t="s">
        <v>119</v>
      </c>
      <c r="D4855" s="3" t="n">
        <v>9</v>
      </c>
      <c r="E4855" s="3" t="n">
        <v>29</v>
      </c>
      <c r="F4855" s="3"/>
      <c r="G4855" s="3"/>
      <c r="H4855" s="24" t="n">
        <v>0.0188937001</v>
      </c>
    </row>
    <row r="4856" customFormat="false" ht="15" hidden="false" customHeight="false" outlineLevel="0" collapsed="false">
      <c r="A4856" s="3" t="n">
        <v>4855</v>
      </c>
      <c r="B4856" s="3" t="n">
        <v>4854</v>
      </c>
      <c r="C4856" s="3" t="s">
        <v>119</v>
      </c>
      <c r="D4856" s="3" t="n">
        <v>9</v>
      </c>
      <c r="E4856" s="3" t="n">
        <v>30</v>
      </c>
      <c r="F4856" s="3"/>
      <c r="G4856" s="3"/>
      <c r="H4856" s="24" t="n">
        <v>-0.332402736</v>
      </c>
    </row>
    <row r="4857" customFormat="false" ht="15" hidden="false" customHeight="false" outlineLevel="0" collapsed="false">
      <c r="A4857" s="3" t="n">
        <v>4856</v>
      </c>
      <c r="B4857" s="3" t="n">
        <v>4855</v>
      </c>
      <c r="C4857" s="3" t="s">
        <v>119</v>
      </c>
      <c r="D4857" s="3" t="n">
        <v>9</v>
      </c>
      <c r="E4857" s="3" t="n">
        <v>31</v>
      </c>
      <c r="F4857" s="3"/>
      <c r="G4857" s="3"/>
      <c r="H4857" s="24" t="n">
        <v>-0.0251221303</v>
      </c>
    </row>
    <row r="4858" customFormat="false" ht="15" hidden="false" customHeight="false" outlineLevel="0" collapsed="false">
      <c r="A4858" s="3" t="n">
        <v>4857</v>
      </c>
      <c r="B4858" s="3" t="n">
        <v>4856</v>
      </c>
      <c r="C4858" s="3" t="s">
        <v>119</v>
      </c>
      <c r="D4858" s="3" t="n">
        <v>9</v>
      </c>
      <c r="E4858" s="3" t="n">
        <v>32</v>
      </c>
      <c r="F4858" s="3"/>
      <c r="G4858" s="3"/>
      <c r="H4858" s="24" t="n">
        <v>0.0233034398</v>
      </c>
    </row>
    <row r="4859" customFormat="false" ht="15" hidden="false" customHeight="false" outlineLevel="0" collapsed="false">
      <c r="A4859" s="3" t="n">
        <v>4858</v>
      </c>
      <c r="B4859" s="3" t="n">
        <v>4857</v>
      </c>
      <c r="C4859" s="3" t="s">
        <v>119</v>
      </c>
      <c r="D4859" s="3" t="n">
        <v>9</v>
      </c>
      <c r="E4859" s="3" t="n">
        <v>33</v>
      </c>
      <c r="F4859" s="3"/>
      <c r="G4859" s="3"/>
      <c r="H4859" s="24" t="n">
        <v>0.0653125569</v>
      </c>
    </row>
    <row r="4860" customFormat="false" ht="15" hidden="false" customHeight="false" outlineLevel="0" collapsed="false">
      <c r="A4860" s="3" t="n">
        <v>4859</v>
      </c>
      <c r="B4860" s="3" t="n">
        <v>4858</v>
      </c>
      <c r="C4860" s="3" t="s">
        <v>119</v>
      </c>
      <c r="D4860" s="3" t="n">
        <v>9</v>
      </c>
      <c r="E4860" s="3" t="n">
        <v>34</v>
      </c>
      <c r="F4860" s="3"/>
      <c r="G4860" s="3"/>
      <c r="H4860" s="24" t="n">
        <v>-0.237876967</v>
      </c>
    </row>
    <row r="4861" customFormat="false" ht="15" hidden="false" customHeight="false" outlineLevel="0" collapsed="false">
      <c r="A4861" s="3" t="n">
        <v>4860</v>
      </c>
      <c r="B4861" s="3" t="n">
        <v>4859</v>
      </c>
      <c r="C4861" s="3" t="s">
        <v>119</v>
      </c>
      <c r="D4861" s="3" t="n">
        <v>9</v>
      </c>
      <c r="E4861" s="3" t="n">
        <v>35</v>
      </c>
      <c r="F4861" s="3"/>
      <c r="G4861" s="3"/>
      <c r="H4861" s="24" t="n">
        <v>-0.0830666646</v>
      </c>
    </row>
    <row r="4862" customFormat="false" ht="15" hidden="false" customHeight="false" outlineLevel="0" collapsed="false">
      <c r="A4862" s="3" t="n">
        <v>4861</v>
      </c>
      <c r="B4862" s="3" t="n">
        <v>4860</v>
      </c>
      <c r="C4862" s="3" t="s">
        <v>119</v>
      </c>
      <c r="D4862" s="3" t="n">
        <v>9</v>
      </c>
      <c r="E4862" s="3" t="n">
        <v>36</v>
      </c>
      <c r="F4862" s="3"/>
      <c r="G4862" s="3"/>
      <c r="H4862" s="24" t="n">
        <v>-0.359304994</v>
      </c>
    </row>
    <row r="4863" customFormat="false" ht="15" hidden="false" customHeight="false" outlineLevel="0" collapsed="false">
      <c r="A4863" s="3" t="n">
        <v>4862</v>
      </c>
      <c r="B4863" s="3" t="n">
        <v>4861</v>
      </c>
      <c r="C4863" s="3" t="s">
        <v>119</v>
      </c>
      <c r="D4863" s="3" t="n">
        <v>9</v>
      </c>
      <c r="E4863" s="3" t="n">
        <v>37</v>
      </c>
      <c r="F4863" s="3"/>
      <c r="G4863" s="3"/>
      <c r="H4863" s="24" t="n">
        <v>-0.288502425</v>
      </c>
    </row>
    <row r="4864" customFormat="false" ht="15" hidden="false" customHeight="false" outlineLevel="0" collapsed="false">
      <c r="A4864" s="3" t="n">
        <v>4863</v>
      </c>
      <c r="B4864" s="3" t="n">
        <v>4862</v>
      </c>
      <c r="C4864" s="3" t="s">
        <v>119</v>
      </c>
      <c r="D4864" s="3" t="n">
        <v>9</v>
      </c>
      <c r="E4864" s="3" t="n">
        <v>38</v>
      </c>
      <c r="F4864" s="3"/>
      <c r="G4864" s="3"/>
      <c r="H4864" s="24" t="n">
        <v>-0.0901602879</v>
      </c>
    </row>
    <row r="4865" customFormat="false" ht="15" hidden="false" customHeight="false" outlineLevel="0" collapsed="false">
      <c r="A4865" s="3" t="n">
        <v>4864</v>
      </c>
      <c r="B4865" s="3" t="n">
        <v>4863</v>
      </c>
      <c r="C4865" s="3" t="s">
        <v>119</v>
      </c>
      <c r="D4865" s="3" t="n">
        <v>9</v>
      </c>
      <c r="E4865" s="3" t="n">
        <v>39</v>
      </c>
      <c r="F4865" s="3"/>
      <c r="G4865" s="3"/>
      <c r="H4865" s="24" t="n">
        <v>0.157478362</v>
      </c>
    </row>
    <row r="4866" customFormat="false" ht="15" hidden="false" customHeight="false" outlineLevel="0" collapsed="false">
      <c r="A4866" s="3" t="n">
        <v>4865</v>
      </c>
      <c r="B4866" s="3" t="n">
        <v>4864</v>
      </c>
      <c r="C4866" s="3" t="s">
        <v>119</v>
      </c>
      <c r="D4866" s="3" t="n">
        <v>9</v>
      </c>
      <c r="E4866" s="3" t="n">
        <v>40</v>
      </c>
      <c r="F4866" s="3"/>
      <c r="G4866" s="3"/>
      <c r="H4866" s="24" t="n">
        <v>0.246170565</v>
      </c>
    </row>
    <row r="4867" customFormat="false" ht="15" hidden="false" customHeight="false" outlineLevel="0" collapsed="false">
      <c r="A4867" s="3" t="n">
        <v>4866</v>
      </c>
      <c r="B4867" s="3" t="n">
        <v>4865</v>
      </c>
      <c r="C4867" s="3" t="s">
        <v>119</v>
      </c>
      <c r="D4867" s="3" t="n">
        <v>9</v>
      </c>
      <c r="E4867" s="3" t="n">
        <v>41</v>
      </c>
      <c r="F4867" s="3"/>
      <c r="G4867" s="3"/>
      <c r="H4867" s="24" t="n">
        <v>-0.174907997</v>
      </c>
    </row>
    <row r="4868" customFormat="false" ht="15" hidden="false" customHeight="false" outlineLevel="0" collapsed="false">
      <c r="A4868" s="3" t="n">
        <v>4867</v>
      </c>
      <c r="B4868" s="3" t="n">
        <v>4866</v>
      </c>
      <c r="C4868" s="3" t="s">
        <v>119</v>
      </c>
      <c r="D4868" s="3" t="n">
        <v>9</v>
      </c>
      <c r="E4868" s="3" t="n">
        <v>42</v>
      </c>
      <c r="F4868" s="3"/>
      <c r="G4868" s="3"/>
      <c r="H4868" s="24" t="n">
        <v>0.0656951591</v>
      </c>
    </row>
    <row r="4869" customFormat="false" ht="15" hidden="false" customHeight="false" outlineLevel="0" collapsed="false">
      <c r="A4869" s="3" t="n">
        <v>4868</v>
      </c>
      <c r="B4869" s="3" t="n">
        <v>4867</v>
      </c>
      <c r="C4869" s="3" t="s">
        <v>119</v>
      </c>
      <c r="D4869" s="3" t="n">
        <v>9</v>
      </c>
      <c r="E4869" s="3" t="n">
        <v>43</v>
      </c>
      <c r="F4869" s="3"/>
      <c r="G4869" s="3"/>
      <c r="H4869" s="24" t="n">
        <v>-0.112624332</v>
      </c>
    </row>
    <row r="4870" customFormat="false" ht="15" hidden="false" customHeight="false" outlineLevel="0" collapsed="false">
      <c r="A4870" s="3" t="n">
        <v>4869</v>
      </c>
      <c r="B4870" s="3" t="n">
        <v>4868</v>
      </c>
      <c r="C4870" s="3" t="s">
        <v>119</v>
      </c>
      <c r="D4870" s="3" t="n">
        <v>9</v>
      </c>
      <c r="E4870" s="3" t="n">
        <v>44</v>
      </c>
      <c r="F4870" s="3"/>
      <c r="G4870" s="3"/>
      <c r="H4870" s="24" t="n">
        <v>0.120691575</v>
      </c>
    </row>
    <row r="4871" customFormat="false" ht="15" hidden="false" customHeight="false" outlineLevel="0" collapsed="false">
      <c r="A4871" s="3" t="n">
        <v>4870</v>
      </c>
      <c r="B4871" s="3" t="n">
        <v>4869</v>
      </c>
      <c r="C4871" s="3" t="s">
        <v>119</v>
      </c>
      <c r="D4871" s="3" t="n">
        <v>9</v>
      </c>
      <c r="E4871" s="3" t="n">
        <v>45</v>
      </c>
      <c r="F4871" s="3"/>
      <c r="G4871" s="3"/>
      <c r="H4871" s="24" t="n">
        <v>-0.294202954</v>
      </c>
    </row>
    <row r="4872" customFormat="false" ht="15" hidden="false" customHeight="false" outlineLevel="0" collapsed="false">
      <c r="A4872" s="3" t="n">
        <v>4871</v>
      </c>
      <c r="B4872" s="3" t="n">
        <v>4870</v>
      </c>
      <c r="C4872" s="3" t="s">
        <v>119</v>
      </c>
      <c r="D4872" s="3" t="n">
        <v>9</v>
      </c>
      <c r="E4872" s="3" t="n">
        <v>46</v>
      </c>
      <c r="F4872" s="3"/>
      <c r="G4872" s="3"/>
      <c r="H4872" s="24" t="n">
        <v>-0.0683982819</v>
      </c>
    </row>
    <row r="4873" customFormat="false" ht="15" hidden="false" customHeight="false" outlineLevel="0" collapsed="false">
      <c r="A4873" s="3" t="n">
        <v>4872</v>
      </c>
      <c r="B4873" s="3" t="n">
        <v>4871</v>
      </c>
      <c r="C4873" s="3" t="s">
        <v>119</v>
      </c>
      <c r="D4873" s="3" t="n">
        <v>9</v>
      </c>
      <c r="E4873" s="3" t="n">
        <v>47</v>
      </c>
      <c r="F4873" s="3"/>
      <c r="G4873" s="3"/>
      <c r="H4873" s="24" t="n">
        <v>0.209119231</v>
      </c>
    </row>
    <row r="4874" customFormat="false" ht="15" hidden="false" customHeight="false" outlineLevel="0" collapsed="false">
      <c r="A4874" s="3" t="n">
        <v>4873</v>
      </c>
      <c r="B4874" s="3" t="n">
        <v>4872</v>
      </c>
      <c r="C4874" s="3" t="s">
        <v>119</v>
      </c>
      <c r="D4874" s="3" t="n">
        <v>9</v>
      </c>
      <c r="E4874" s="3" t="n">
        <v>48</v>
      </c>
      <c r="F4874" s="3"/>
      <c r="G4874" s="3"/>
      <c r="H4874" s="24" t="n">
        <v>0.327655703</v>
      </c>
    </row>
    <row r="4875" customFormat="false" ht="15" hidden="false" customHeight="false" outlineLevel="0" collapsed="false">
      <c r="A4875" s="3" t="n">
        <v>4874</v>
      </c>
      <c r="B4875" s="3" t="n">
        <v>4873</v>
      </c>
      <c r="C4875" s="3" t="s">
        <v>119</v>
      </c>
      <c r="D4875" s="3" t="n">
        <v>9</v>
      </c>
      <c r="E4875" s="3" t="n">
        <v>49</v>
      </c>
      <c r="F4875" s="3"/>
      <c r="G4875" s="3"/>
      <c r="H4875" s="24" t="n">
        <v>-0.151125059</v>
      </c>
    </row>
    <row r="4876" customFormat="false" ht="15" hidden="false" customHeight="false" outlineLevel="0" collapsed="false">
      <c r="A4876" s="3" t="n">
        <v>4875</v>
      </c>
      <c r="B4876" s="3" t="n">
        <v>4874</v>
      </c>
      <c r="C4876" s="3" t="s">
        <v>119</v>
      </c>
      <c r="D4876" s="3" t="n">
        <v>9</v>
      </c>
      <c r="E4876" s="3" t="n">
        <v>50</v>
      </c>
      <c r="F4876" s="3"/>
      <c r="G4876" s="3"/>
      <c r="H4876" s="24" t="n">
        <v>0.0685708299</v>
      </c>
    </row>
    <row r="4877" customFormat="false" ht="15" hidden="false" customHeight="false" outlineLevel="0" collapsed="false">
      <c r="A4877" s="3" t="n">
        <v>4876</v>
      </c>
      <c r="B4877" s="3" t="n">
        <v>4875</v>
      </c>
      <c r="C4877" s="3" t="s">
        <v>119</v>
      </c>
      <c r="D4877" s="3" t="n">
        <v>9</v>
      </c>
      <c r="E4877" s="3" t="n">
        <v>51</v>
      </c>
      <c r="F4877" s="3"/>
      <c r="G4877" s="3"/>
      <c r="H4877" s="24" t="n">
        <v>-0.148292631</v>
      </c>
    </row>
    <row r="4878" customFormat="false" ht="15" hidden="false" customHeight="false" outlineLevel="0" collapsed="false">
      <c r="A4878" s="3" t="n">
        <v>4877</v>
      </c>
      <c r="B4878" s="3" t="n">
        <v>4876</v>
      </c>
      <c r="C4878" s="3" t="s">
        <v>119</v>
      </c>
      <c r="D4878" s="3" t="n">
        <v>9</v>
      </c>
      <c r="E4878" s="3" t="n">
        <v>52</v>
      </c>
      <c r="F4878" s="3"/>
      <c r="G4878" s="3"/>
      <c r="H4878" s="24" t="n">
        <v>-0.112007774</v>
      </c>
    </row>
    <row r="4879" customFormat="false" ht="15" hidden="false" customHeight="false" outlineLevel="0" collapsed="false">
      <c r="A4879" s="3" t="n">
        <v>4878</v>
      </c>
      <c r="B4879" s="3" t="n">
        <v>4877</v>
      </c>
      <c r="C4879" s="3" t="s">
        <v>119</v>
      </c>
      <c r="D4879" s="3" t="n">
        <v>9</v>
      </c>
      <c r="E4879" s="3" t="n">
        <v>53</v>
      </c>
      <c r="F4879" s="3"/>
      <c r="G4879" s="3"/>
      <c r="H4879" s="24" t="n">
        <v>-0.259771168</v>
      </c>
    </row>
    <row r="4880" customFormat="false" ht="15" hidden="false" customHeight="false" outlineLevel="0" collapsed="false">
      <c r="A4880" s="3" t="n">
        <v>4879</v>
      </c>
      <c r="B4880" s="3" t="n">
        <v>4878</v>
      </c>
      <c r="C4880" s="3" t="s">
        <v>119</v>
      </c>
      <c r="D4880" s="3" t="n">
        <v>9</v>
      </c>
      <c r="E4880" s="3" t="n">
        <v>54</v>
      </c>
      <c r="F4880" s="3"/>
      <c r="G4880" s="3"/>
      <c r="H4880" s="24" t="n">
        <v>0.213720843</v>
      </c>
    </row>
    <row r="4881" customFormat="false" ht="15" hidden="false" customHeight="false" outlineLevel="0" collapsed="false">
      <c r="A4881" s="3" t="n">
        <v>4880</v>
      </c>
      <c r="B4881" s="3" t="n">
        <v>4879</v>
      </c>
      <c r="C4881" s="3" t="s">
        <v>119</v>
      </c>
      <c r="D4881" s="3" t="n">
        <v>9</v>
      </c>
      <c r="E4881" s="3" t="n">
        <v>55</v>
      </c>
      <c r="F4881" s="3"/>
      <c r="G4881" s="3"/>
      <c r="H4881" s="24" t="n">
        <v>0.187496886</v>
      </c>
    </row>
    <row r="4882" customFormat="false" ht="15" hidden="false" customHeight="false" outlineLevel="0" collapsed="false">
      <c r="A4882" s="3" t="n">
        <v>4881</v>
      </c>
      <c r="B4882" s="3" t="n">
        <v>4880</v>
      </c>
      <c r="C4882" s="3" t="s">
        <v>119</v>
      </c>
      <c r="D4882" s="3" t="n">
        <v>9</v>
      </c>
      <c r="E4882" s="3" t="n">
        <v>56</v>
      </c>
      <c r="F4882" s="3"/>
      <c r="G4882" s="3"/>
      <c r="H4882" s="24" t="n">
        <v>-0.848334491</v>
      </c>
    </row>
    <row r="4883" customFormat="false" ht="15" hidden="false" customHeight="false" outlineLevel="0" collapsed="false">
      <c r="A4883" s="3" t="n">
        <v>4882</v>
      </c>
      <c r="B4883" s="3" t="n">
        <v>4881</v>
      </c>
      <c r="C4883" s="3" t="s">
        <v>119</v>
      </c>
      <c r="D4883" s="3" t="n">
        <v>9</v>
      </c>
      <c r="E4883" s="3" t="n">
        <v>57</v>
      </c>
      <c r="F4883" s="3"/>
      <c r="G4883" s="3"/>
      <c r="H4883" s="24" t="n">
        <v>0.0156725273</v>
      </c>
    </row>
    <row r="4884" customFormat="false" ht="15" hidden="false" customHeight="false" outlineLevel="0" collapsed="false">
      <c r="A4884" s="3" t="n">
        <v>4883</v>
      </c>
      <c r="B4884" s="3" t="n">
        <v>4882</v>
      </c>
      <c r="C4884" s="3" t="s">
        <v>119</v>
      </c>
      <c r="D4884" s="3" t="n">
        <v>9</v>
      </c>
      <c r="E4884" s="3" t="n">
        <v>58</v>
      </c>
      <c r="F4884" s="3"/>
      <c r="G4884" s="3"/>
      <c r="H4884" s="24" t="n">
        <v>-0.374661207</v>
      </c>
    </row>
    <row r="4885" customFormat="false" ht="15" hidden="false" customHeight="false" outlineLevel="0" collapsed="false">
      <c r="A4885" s="3" t="n">
        <v>4884</v>
      </c>
      <c r="B4885" s="3" t="n">
        <v>4883</v>
      </c>
      <c r="C4885" s="3" t="s">
        <v>119</v>
      </c>
      <c r="D4885" s="3" t="n">
        <v>9</v>
      </c>
      <c r="E4885" s="3" t="n">
        <v>59</v>
      </c>
      <c r="F4885" s="3"/>
      <c r="G4885" s="3"/>
      <c r="H4885" s="24" t="n">
        <v>-0.0460552834</v>
      </c>
    </row>
    <row r="4886" customFormat="false" ht="15" hidden="false" customHeight="false" outlineLevel="0" collapsed="false">
      <c r="A4886" s="3" t="n">
        <v>4885</v>
      </c>
      <c r="B4886" s="3" t="n">
        <v>4884</v>
      </c>
      <c r="C4886" s="3" t="s">
        <v>119</v>
      </c>
      <c r="D4886" s="3" t="n">
        <v>9</v>
      </c>
      <c r="E4886" s="3" t="n">
        <v>60</v>
      </c>
      <c r="F4886" s="3"/>
      <c r="G4886" s="3"/>
      <c r="H4886" s="24" t="n">
        <v>-0.198462144</v>
      </c>
    </row>
    <row r="4887" customFormat="false" ht="15" hidden="false" customHeight="false" outlineLevel="0" collapsed="false">
      <c r="A4887" s="3" t="n">
        <v>4886</v>
      </c>
      <c r="B4887" s="3" t="n">
        <v>4885</v>
      </c>
      <c r="C4887" s="3" t="s">
        <v>119</v>
      </c>
      <c r="D4887" s="3" t="n">
        <v>9</v>
      </c>
      <c r="E4887" s="3" t="n">
        <v>61</v>
      </c>
      <c r="F4887" s="3"/>
      <c r="G4887" s="3"/>
      <c r="H4887" s="24" t="n">
        <v>-0.0119920475</v>
      </c>
    </row>
    <row r="4888" customFormat="false" ht="15" hidden="false" customHeight="false" outlineLevel="0" collapsed="false">
      <c r="A4888" s="3" t="n">
        <v>4887</v>
      </c>
      <c r="B4888" s="3" t="n">
        <v>4886</v>
      </c>
      <c r="C4888" s="3" t="s">
        <v>119</v>
      </c>
      <c r="D4888" s="3" t="n">
        <v>9</v>
      </c>
      <c r="E4888" s="3" t="n">
        <v>62</v>
      </c>
      <c r="F4888" s="3"/>
      <c r="G4888" s="3"/>
      <c r="H4888" s="24" t="n">
        <v>0.0168597996</v>
      </c>
    </row>
    <row r="4889" customFormat="false" ht="15" hidden="false" customHeight="false" outlineLevel="0" collapsed="false">
      <c r="A4889" s="3" t="n">
        <v>4888</v>
      </c>
      <c r="B4889" s="3" t="n">
        <v>4887</v>
      </c>
      <c r="C4889" s="3" t="s">
        <v>119</v>
      </c>
      <c r="D4889" s="3" t="n">
        <v>9</v>
      </c>
      <c r="E4889" s="3" t="n">
        <v>63</v>
      </c>
      <c r="F4889" s="3"/>
      <c r="G4889" s="3"/>
      <c r="H4889" s="24" t="n">
        <v>0.0642460883</v>
      </c>
    </row>
    <row r="4890" customFormat="false" ht="15" hidden="false" customHeight="false" outlineLevel="0" collapsed="false">
      <c r="A4890" s="3" t="n">
        <v>4889</v>
      </c>
      <c r="B4890" s="3" t="n">
        <v>4888</v>
      </c>
      <c r="C4890" s="3" t="s">
        <v>119</v>
      </c>
      <c r="D4890" s="3" t="n">
        <v>9</v>
      </c>
      <c r="E4890" s="3" t="n">
        <v>64</v>
      </c>
      <c r="F4890" s="3"/>
      <c r="G4890" s="3"/>
      <c r="H4890" s="24" t="n">
        <v>0.0596871115</v>
      </c>
    </row>
    <row r="4891" customFormat="false" ht="15" hidden="false" customHeight="false" outlineLevel="0" collapsed="false">
      <c r="A4891" s="3" t="n">
        <v>4890</v>
      </c>
      <c r="B4891" s="3" t="n">
        <v>4889</v>
      </c>
      <c r="C4891" s="3" t="s">
        <v>119</v>
      </c>
      <c r="D4891" s="3" t="n">
        <v>9</v>
      </c>
      <c r="E4891" s="3" t="n">
        <v>65</v>
      </c>
      <c r="F4891" s="3"/>
      <c r="G4891" s="3"/>
      <c r="H4891" s="24" t="n">
        <v>-0.0755424872</v>
      </c>
    </row>
    <row r="4892" customFormat="false" ht="15" hidden="false" customHeight="false" outlineLevel="0" collapsed="false">
      <c r="A4892" s="3" t="n">
        <v>4891</v>
      </c>
      <c r="B4892" s="3" t="n">
        <v>4890</v>
      </c>
      <c r="C4892" s="3" t="s">
        <v>119</v>
      </c>
      <c r="D4892" s="3" t="n">
        <v>9</v>
      </c>
      <c r="E4892" s="3" t="n">
        <v>66</v>
      </c>
      <c r="F4892" s="3"/>
      <c r="G4892" s="3"/>
      <c r="H4892" s="24" t="n">
        <v>0.00598307466</v>
      </c>
    </row>
    <row r="4893" customFormat="false" ht="15" hidden="false" customHeight="false" outlineLevel="0" collapsed="false">
      <c r="A4893" s="3" t="n">
        <v>4892</v>
      </c>
      <c r="B4893" s="3" t="n">
        <v>4891</v>
      </c>
      <c r="C4893" s="3" t="s">
        <v>119</v>
      </c>
      <c r="D4893" s="3" t="n">
        <v>9</v>
      </c>
      <c r="E4893" s="3" t="n">
        <v>67</v>
      </c>
      <c r="F4893" s="3"/>
      <c r="G4893" s="3"/>
      <c r="H4893" s="24" t="n">
        <v>-0.068430841</v>
      </c>
    </row>
    <row r="4894" customFormat="false" ht="15" hidden="false" customHeight="false" outlineLevel="0" collapsed="false">
      <c r="A4894" s="3" t="n">
        <v>4893</v>
      </c>
      <c r="B4894" s="3" t="n">
        <v>4892</v>
      </c>
      <c r="C4894" s="3" t="s">
        <v>119</v>
      </c>
      <c r="D4894" s="3" t="n">
        <v>9</v>
      </c>
      <c r="E4894" s="3" t="n">
        <v>68</v>
      </c>
      <c r="F4894" s="3"/>
      <c r="G4894" s="3"/>
      <c r="H4894" s="24" t="n">
        <v>-0.0659785867</v>
      </c>
    </row>
    <row r="4895" customFormat="false" ht="15" hidden="false" customHeight="false" outlineLevel="0" collapsed="false">
      <c r="A4895" s="3" t="n">
        <v>4894</v>
      </c>
      <c r="B4895" s="3" t="n">
        <v>4893</v>
      </c>
      <c r="C4895" s="3" t="s">
        <v>119</v>
      </c>
      <c r="D4895" s="3" t="n">
        <v>9</v>
      </c>
      <c r="E4895" s="3" t="n">
        <v>69</v>
      </c>
      <c r="F4895" s="3"/>
      <c r="G4895" s="3"/>
      <c r="H4895" s="24" t="n">
        <v>0.0639903471</v>
      </c>
    </row>
    <row r="4896" customFormat="false" ht="15" hidden="false" customHeight="false" outlineLevel="0" collapsed="false">
      <c r="A4896" s="3" t="n">
        <v>4895</v>
      </c>
      <c r="B4896" s="3" t="n">
        <v>4894</v>
      </c>
      <c r="C4896" s="3" t="s">
        <v>119</v>
      </c>
      <c r="D4896" s="3" t="n">
        <v>9</v>
      </c>
      <c r="E4896" s="3" t="n">
        <v>70</v>
      </c>
      <c r="F4896" s="3"/>
      <c r="G4896" s="3"/>
      <c r="H4896" s="24" t="n">
        <v>-0.0663932711</v>
      </c>
    </row>
    <row r="4897" customFormat="false" ht="15" hidden="false" customHeight="false" outlineLevel="0" collapsed="false">
      <c r="A4897" s="3" t="n">
        <v>4896</v>
      </c>
      <c r="B4897" s="3" t="n">
        <v>4895</v>
      </c>
      <c r="C4897" s="3" t="s">
        <v>119</v>
      </c>
      <c r="D4897" s="3" t="n">
        <v>9</v>
      </c>
      <c r="E4897" s="3" t="n">
        <v>71</v>
      </c>
      <c r="F4897" s="3"/>
      <c r="G4897" s="3"/>
      <c r="H4897" s="24" t="n">
        <v>-0.0408680849</v>
      </c>
    </row>
    <row r="4898" customFormat="false" ht="15" hidden="false" customHeight="false" outlineLevel="0" collapsed="false">
      <c r="A4898" s="3" t="n">
        <v>4897</v>
      </c>
      <c r="B4898" s="3" t="n">
        <v>4896</v>
      </c>
      <c r="C4898" s="3" t="s">
        <v>119</v>
      </c>
      <c r="D4898" s="3" t="n">
        <v>9</v>
      </c>
      <c r="E4898" s="3" t="n">
        <v>72</v>
      </c>
      <c r="F4898" s="3"/>
      <c r="G4898" s="3"/>
      <c r="H4898" s="24" t="n">
        <v>0.138277471</v>
      </c>
    </row>
    <row r="4899" customFormat="false" ht="15" hidden="false" customHeight="false" outlineLevel="0" collapsed="false">
      <c r="A4899" s="3" t="n">
        <v>4898</v>
      </c>
      <c r="B4899" s="3" t="n">
        <v>4897</v>
      </c>
      <c r="C4899" s="3" t="s">
        <v>119</v>
      </c>
      <c r="D4899" s="3" t="n">
        <v>9</v>
      </c>
      <c r="E4899" s="3" t="n">
        <v>73</v>
      </c>
      <c r="F4899" s="3"/>
      <c r="G4899" s="3"/>
      <c r="H4899" s="24" t="n">
        <v>0.119316541</v>
      </c>
    </row>
    <row r="4900" customFormat="false" ht="15" hidden="false" customHeight="false" outlineLevel="0" collapsed="false">
      <c r="A4900" s="3" t="n">
        <v>4899</v>
      </c>
      <c r="B4900" s="3" t="n">
        <v>4898</v>
      </c>
      <c r="C4900" s="3" t="s">
        <v>119</v>
      </c>
      <c r="D4900" s="3" t="n">
        <v>9</v>
      </c>
      <c r="E4900" s="3" t="n">
        <v>74</v>
      </c>
      <c r="F4900" s="3"/>
      <c r="G4900" s="3"/>
      <c r="H4900" s="24" t="n">
        <v>-0.0879428461</v>
      </c>
    </row>
    <row r="4901" customFormat="false" ht="15" hidden="false" customHeight="false" outlineLevel="0" collapsed="false">
      <c r="A4901" s="3" t="n">
        <v>4900</v>
      </c>
      <c r="B4901" s="3" t="n">
        <v>4899</v>
      </c>
      <c r="C4901" s="3" t="s">
        <v>119</v>
      </c>
      <c r="D4901" s="3" t="n">
        <v>9</v>
      </c>
      <c r="E4901" s="3" t="n">
        <v>75</v>
      </c>
      <c r="F4901" s="3"/>
      <c r="G4901" s="3"/>
      <c r="H4901" s="24" t="n">
        <v>-0.423566192</v>
      </c>
    </row>
    <row r="4902" customFormat="false" ht="15" hidden="false" customHeight="false" outlineLevel="0" collapsed="false">
      <c r="A4902" s="3" t="n">
        <v>4901</v>
      </c>
      <c r="B4902" s="3" t="n">
        <v>4900</v>
      </c>
      <c r="C4902" s="3" t="s">
        <v>119</v>
      </c>
      <c r="D4902" s="3" t="n">
        <v>9</v>
      </c>
      <c r="E4902" s="3" t="n">
        <v>76</v>
      </c>
      <c r="F4902" s="3"/>
      <c r="G4902" s="3"/>
      <c r="H4902" s="24" t="n">
        <v>0.0260964762</v>
      </c>
    </row>
    <row r="4903" customFormat="false" ht="15" hidden="false" customHeight="false" outlineLevel="0" collapsed="false">
      <c r="A4903" s="3" t="n">
        <v>4902</v>
      </c>
      <c r="B4903" s="3" t="n">
        <v>4901</v>
      </c>
      <c r="C4903" s="3" t="s">
        <v>119</v>
      </c>
      <c r="D4903" s="3" t="n">
        <v>9</v>
      </c>
      <c r="E4903" s="3" t="n">
        <v>77</v>
      </c>
      <c r="F4903" s="3"/>
      <c r="G4903" s="3"/>
      <c r="H4903" s="24" t="n">
        <v>-0.192821383</v>
      </c>
    </row>
    <row r="4904" customFormat="false" ht="15" hidden="false" customHeight="false" outlineLevel="0" collapsed="false">
      <c r="A4904" s="3" t="n">
        <v>4903</v>
      </c>
      <c r="B4904" s="3" t="n">
        <v>4902</v>
      </c>
      <c r="C4904" s="3" t="s">
        <v>119</v>
      </c>
      <c r="D4904" s="3" t="n">
        <v>9</v>
      </c>
      <c r="E4904" s="3" t="n">
        <v>78</v>
      </c>
      <c r="F4904" s="3"/>
      <c r="G4904" s="3"/>
      <c r="H4904" s="24" t="n">
        <v>0.161088005</v>
      </c>
    </row>
    <row r="4905" customFormat="false" ht="15" hidden="false" customHeight="false" outlineLevel="0" collapsed="false">
      <c r="A4905" s="3" t="n">
        <v>4904</v>
      </c>
      <c r="B4905" s="3" t="n">
        <v>4903</v>
      </c>
      <c r="C4905" s="3" t="s">
        <v>119</v>
      </c>
      <c r="D4905" s="3" t="n">
        <v>9</v>
      </c>
      <c r="E4905" s="3" t="n">
        <v>79</v>
      </c>
      <c r="F4905" s="3"/>
      <c r="G4905" s="3"/>
      <c r="H4905" s="24" t="n">
        <v>0.154508755</v>
      </c>
    </row>
    <row r="4906" customFormat="false" ht="15" hidden="false" customHeight="false" outlineLevel="0" collapsed="false">
      <c r="A4906" s="3" t="n">
        <v>4905</v>
      </c>
      <c r="B4906" s="3" t="n">
        <v>4904</v>
      </c>
      <c r="C4906" s="3" t="s">
        <v>119</v>
      </c>
      <c r="D4906" s="3" t="n">
        <v>9</v>
      </c>
      <c r="E4906" s="3" t="n">
        <v>80</v>
      </c>
      <c r="F4906" s="3"/>
      <c r="G4906" s="3"/>
      <c r="H4906" s="24" t="n">
        <v>-0.260175347</v>
      </c>
    </row>
    <row r="4907" customFormat="false" ht="15" hidden="false" customHeight="false" outlineLevel="0" collapsed="false">
      <c r="A4907" s="3" t="n">
        <v>4906</v>
      </c>
      <c r="B4907" s="3" t="n">
        <v>4905</v>
      </c>
      <c r="C4907" s="3" t="s">
        <v>119</v>
      </c>
      <c r="D4907" s="3" t="n">
        <v>9</v>
      </c>
      <c r="E4907" s="3" t="n">
        <v>81</v>
      </c>
      <c r="F4907" s="3"/>
      <c r="G4907" s="3"/>
      <c r="H4907" s="24" t="n">
        <v>0.055858776</v>
      </c>
    </row>
    <row r="4908" customFormat="false" ht="15" hidden="false" customHeight="false" outlineLevel="0" collapsed="false">
      <c r="A4908" s="3" t="n">
        <v>4907</v>
      </c>
      <c r="B4908" s="3" t="n">
        <v>4906</v>
      </c>
      <c r="C4908" s="3" t="s">
        <v>119</v>
      </c>
      <c r="D4908" s="3" t="n">
        <v>9</v>
      </c>
      <c r="E4908" s="3" t="n">
        <v>82</v>
      </c>
      <c r="F4908" s="3"/>
      <c r="G4908" s="3"/>
      <c r="H4908" s="24" t="n">
        <v>0.0358758159</v>
      </c>
    </row>
    <row r="4909" customFormat="false" ht="15" hidden="false" customHeight="false" outlineLevel="0" collapsed="false">
      <c r="A4909" s="3" t="n">
        <v>4908</v>
      </c>
      <c r="B4909" s="3" t="n">
        <v>4907</v>
      </c>
      <c r="C4909" s="3" t="s">
        <v>119</v>
      </c>
      <c r="D4909" s="3" t="n">
        <v>9</v>
      </c>
      <c r="E4909" s="3" t="n">
        <v>83</v>
      </c>
      <c r="F4909" s="3"/>
      <c r="G4909" s="3"/>
      <c r="H4909" s="24" t="n">
        <v>-0.171628073</v>
      </c>
    </row>
    <row r="4910" customFormat="false" ht="15" hidden="false" customHeight="false" outlineLevel="0" collapsed="false">
      <c r="A4910" s="3" t="n">
        <v>4909</v>
      </c>
      <c r="B4910" s="3" t="n">
        <v>4908</v>
      </c>
      <c r="C4910" s="3" t="s">
        <v>119</v>
      </c>
      <c r="D4910" s="3" t="n">
        <v>9</v>
      </c>
      <c r="E4910" s="3" t="n">
        <v>84</v>
      </c>
      <c r="F4910" s="3"/>
      <c r="G4910" s="3"/>
      <c r="H4910" s="24" t="n">
        <v>-0.00687745446</v>
      </c>
    </row>
    <row r="4911" customFormat="false" ht="15" hidden="false" customHeight="false" outlineLevel="0" collapsed="false">
      <c r="A4911" s="3" t="n">
        <v>4910</v>
      </c>
      <c r="B4911" s="3" t="n">
        <v>4909</v>
      </c>
      <c r="C4911" s="3" t="s">
        <v>119</v>
      </c>
      <c r="D4911" s="3" t="n">
        <v>9</v>
      </c>
      <c r="E4911" s="3" t="n">
        <v>85</v>
      </c>
      <c r="F4911" s="3"/>
      <c r="G4911" s="3"/>
      <c r="H4911" s="24" t="n">
        <v>0.00562622212</v>
      </c>
    </row>
    <row r="4912" customFormat="false" ht="15" hidden="false" customHeight="false" outlineLevel="0" collapsed="false">
      <c r="A4912" s="3" t="n">
        <v>4911</v>
      </c>
      <c r="B4912" s="3" t="n">
        <v>4910</v>
      </c>
      <c r="C4912" s="3" t="s">
        <v>119</v>
      </c>
      <c r="D4912" s="3" t="n">
        <v>9</v>
      </c>
      <c r="E4912" s="3" t="n">
        <v>86</v>
      </c>
      <c r="F4912" s="3"/>
      <c r="G4912" s="3"/>
      <c r="H4912" s="24" t="n">
        <v>0.14362058</v>
      </c>
    </row>
    <row r="4913" customFormat="false" ht="15" hidden="false" customHeight="false" outlineLevel="0" collapsed="false">
      <c r="A4913" s="3" t="n">
        <v>4912</v>
      </c>
      <c r="B4913" s="3" t="n">
        <v>4911</v>
      </c>
      <c r="C4913" s="3" t="s">
        <v>119</v>
      </c>
      <c r="D4913" s="3" t="n">
        <v>9</v>
      </c>
      <c r="E4913" s="3" t="n">
        <v>87</v>
      </c>
      <c r="F4913" s="3"/>
      <c r="G4913" s="3"/>
      <c r="H4913" s="24" t="n">
        <v>0.146418646</v>
      </c>
    </row>
    <row r="4914" customFormat="false" ht="15" hidden="false" customHeight="false" outlineLevel="0" collapsed="false">
      <c r="A4914" s="3" t="n">
        <v>4913</v>
      </c>
      <c r="B4914" s="3" t="n">
        <v>4912</v>
      </c>
      <c r="C4914" s="3" t="s">
        <v>119</v>
      </c>
      <c r="D4914" s="3" t="n">
        <v>9</v>
      </c>
      <c r="E4914" s="3" t="n">
        <v>88</v>
      </c>
      <c r="F4914" s="3"/>
      <c r="G4914" s="3"/>
      <c r="H4914" s="24" t="n">
        <v>0.150476322</v>
      </c>
    </row>
    <row r="4915" customFormat="false" ht="15" hidden="false" customHeight="false" outlineLevel="0" collapsed="false">
      <c r="A4915" s="3" t="n">
        <v>4914</v>
      </c>
      <c r="B4915" s="3" t="n">
        <v>4913</v>
      </c>
      <c r="C4915" s="3" t="s">
        <v>119</v>
      </c>
      <c r="D4915" s="3" t="n">
        <v>9</v>
      </c>
      <c r="E4915" s="3" t="n">
        <v>89</v>
      </c>
      <c r="F4915" s="3"/>
      <c r="G4915" s="3"/>
      <c r="H4915" s="24" t="n">
        <v>-0.39322111</v>
      </c>
    </row>
    <row r="4916" customFormat="false" ht="15" hidden="false" customHeight="false" outlineLevel="0" collapsed="false">
      <c r="A4916" s="3" t="n">
        <v>4915</v>
      </c>
      <c r="B4916" s="3" t="n">
        <v>4914</v>
      </c>
      <c r="C4916" s="3" t="s">
        <v>119</v>
      </c>
      <c r="D4916" s="3" t="n">
        <v>9</v>
      </c>
      <c r="E4916" s="3" t="n">
        <v>90</v>
      </c>
      <c r="F4916" s="3"/>
      <c r="G4916" s="3"/>
      <c r="H4916" s="24" t="n">
        <v>-0.109836772</v>
      </c>
    </row>
    <row r="4917" customFormat="false" ht="15" hidden="false" customHeight="false" outlineLevel="0" collapsed="false">
      <c r="A4917" s="3" t="n">
        <v>4916</v>
      </c>
      <c r="B4917" s="3" t="n">
        <v>4915</v>
      </c>
      <c r="C4917" s="3" t="s">
        <v>119</v>
      </c>
      <c r="D4917" s="3" t="n">
        <v>9</v>
      </c>
      <c r="E4917" s="3" t="n">
        <v>91</v>
      </c>
      <c r="F4917" s="3"/>
      <c r="G4917" s="3"/>
      <c r="H4917" s="24" t="n">
        <v>0.045854535</v>
      </c>
    </row>
    <row r="4918" customFormat="false" ht="15" hidden="false" customHeight="false" outlineLevel="0" collapsed="false">
      <c r="A4918" s="3" t="n">
        <v>4917</v>
      </c>
      <c r="B4918" s="3" t="n">
        <v>4916</v>
      </c>
      <c r="C4918" s="3" t="s">
        <v>119</v>
      </c>
      <c r="D4918" s="3" t="n">
        <v>9</v>
      </c>
      <c r="E4918" s="3" t="n">
        <v>92</v>
      </c>
      <c r="F4918" s="3"/>
      <c r="G4918" s="3"/>
      <c r="H4918" s="24" t="n">
        <v>0.120903552</v>
      </c>
    </row>
    <row r="4919" customFormat="false" ht="15" hidden="false" customHeight="false" outlineLevel="0" collapsed="false">
      <c r="A4919" s="3" t="n">
        <v>4918</v>
      </c>
      <c r="B4919" s="3" t="n">
        <v>4917</v>
      </c>
      <c r="C4919" s="3" t="s">
        <v>119</v>
      </c>
      <c r="D4919" s="3" t="n">
        <v>9</v>
      </c>
      <c r="E4919" s="3" t="n">
        <v>93</v>
      </c>
      <c r="F4919" s="3"/>
      <c r="G4919" s="3"/>
      <c r="H4919" s="24" t="n">
        <v>-0.255906761</v>
      </c>
    </row>
    <row r="4920" customFormat="false" ht="15" hidden="false" customHeight="false" outlineLevel="0" collapsed="false">
      <c r="A4920" s="3" t="n">
        <v>4919</v>
      </c>
      <c r="B4920" s="3" t="n">
        <v>4918</v>
      </c>
      <c r="C4920" s="3" t="s">
        <v>119</v>
      </c>
      <c r="D4920" s="3" t="n">
        <v>9</v>
      </c>
      <c r="E4920" s="3" t="n">
        <v>94</v>
      </c>
      <c r="F4920" s="3"/>
      <c r="G4920" s="3"/>
      <c r="H4920" s="24" t="n">
        <v>-0.25521794</v>
      </c>
    </row>
    <row r="4921" customFormat="false" ht="15" hidden="false" customHeight="false" outlineLevel="0" collapsed="false">
      <c r="A4921" s="3" t="n">
        <v>4920</v>
      </c>
      <c r="B4921" s="3" t="n">
        <v>4919</v>
      </c>
      <c r="C4921" s="3" t="s">
        <v>119</v>
      </c>
      <c r="D4921" s="3" t="n">
        <v>9</v>
      </c>
      <c r="E4921" s="3" t="n">
        <v>95</v>
      </c>
      <c r="F4921" s="3"/>
      <c r="G4921" s="3"/>
      <c r="H4921" s="24" t="n">
        <v>-0.0985810533</v>
      </c>
    </row>
    <row r="4922" customFormat="false" ht="15" hidden="false" customHeight="false" outlineLevel="0" collapsed="false">
      <c r="A4922" s="3" t="n">
        <v>4921</v>
      </c>
      <c r="B4922" s="3" t="n">
        <v>4920</v>
      </c>
      <c r="C4922" s="3" t="s">
        <v>119</v>
      </c>
      <c r="D4922" s="3" t="n">
        <v>9</v>
      </c>
      <c r="E4922" s="3" t="n">
        <v>96</v>
      </c>
      <c r="F4922" s="3"/>
      <c r="G4922" s="3"/>
      <c r="H4922" s="24" t="n">
        <v>0.00896514114</v>
      </c>
    </row>
    <row r="4923" customFormat="false" ht="15" hidden="false" customHeight="false" outlineLevel="0" collapsed="false">
      <c r="A4923" s="3" t="n">
        <v>4922</v>
      </c>
      <c r="B4923" s="3" t="n">
        <v>4921</v>
      </c>
      <c r="C4923" s="3" t="s">
        <v>119</v>
      </c>
      <c r="D4923" s="3" t="n">
        <v>9</v>
      </c>
      <c r="E4923" s="3" t="n">
        <v>97</v>
      </c>
      <c r="F4923" s="3"/>
      <c r="G4923" s="3"/>
      <c r="H4923" s="24" t="n">
        <v>0.0748856366</v>
      </c>
    </row>
    <row r="4924" customFormat="false" ht="15" hidden="false" customHeight="false" outlineLevel="0" collapsed="false">
      <c r="A4924" s="3" t="n">
        <v>4923</v>
      </c>
      <c r="B4924" s="3" t="n">
        <v>4922</v>
      </c>
      <c r="C4924" s="3" t="s">
        <v>119</v>
      </c>
      <c r="D4924" s="3" t="n">
        <v>9</v>
      </c>
      <c r="E4924" s="3" t="n">
        <v>98</v>
      </c>
      <c r="F4924" s="3"/>
      <c r="G4924" s="3"/>
      <c r="H4924" s="24" t="n">
        <v>-0.145243064</v>
      </c>
    </row>
    <row r="4925" customFormat="false" ht="15" hidden="false" customHeight="false" outlineLevel="0" collapsed="false">
      <c r="A4925" s="3" t="n">
        <v>4924</v>
      </c>
      <c r="B4925" s="3" t="n">
        <v>4923</v>
      </c>
      <c r="C4925" s="3" t="s">
        <v>119</v>
      </c>
      <c r="D4925" s="3" t="n">
        <v>9</v>
      </c>
      <c r="E4925" s="3" t="n">
        <v>99</v>
      </c>
      <c r="F4925" s="3"/>
      <c r="G4925" s="3"/>
      <c r="H4925" s="24" t="n">
        <v>0.135089844</v>
      </c>
    </row>
    <row r="4926" customFormat="false" ht="15" hidden="false" customHeight="false" outlineLevel="0" collapsed="false">
      <c r="A4926" s="3" t="n">
        <v>4925</v>
      </c>
      <c r="B4926" s="3" t="n">
        <v>4924</v>
      </c>
      <c r="C4926" s="3" t="s">
        <v>119</v>
      </c>
      <c r="D4926" s="3" t="n">
        <v>9</v>
      </c>
      <c r="E4926" s="3" t="n">
        <v>100</v>
      </c>
      <c r="F4926" s="3"/>
      <c r="G4926" s="3"/>
      <c r="H4926" s="24" t="n">
        <v>-0.22498484</v>
      </c>
    </row>
    <row r="4927" customFormat="false" ht="15" hidden="false" customHeight="false" outlineLevel="0" collapsed="false">
      <c r="A4927" s="3" t="n">
        <v>4926</v>
      </c>
      <c r="B4927" s="3" t="n">
        <v>4925</v>
      </c>
      <c r="C4927" s="3" t="s">
        <v>119</v>
      </c>
      <c r="D4927" s="3" t="n">
        <v>9</v>
      </c>
      <c r="E4927" s="3" t="n">
        <v>101</v>
      </c>
      <c r="F4927" s="3"/>
      <c r="G4927" s="3"/>
      <c r="H4927" s="24" t="n">
        <v>-0.185559139</v>
      </c>
    </row>
    <row r="4928" customFormat="false" ht="15" hidden="false" customHeight="false" outlineLevel="0" collapsed="false">
      <c r="A4928" s="3" t="n">
        <v>4927</v>
      </c>
      <c r="B4928" s="3" t="n">
        <v>4926</v>
      </c>
      <c r="C4928" s="3" t="s">
        <v>119</v>
      </c>
      <c r="D4928" s="3" t="n">
        <v>9</v>
      </c>
      <c r="E4928" s="3" t="n">
        <v>102</v>
      </c>
      <c r="F4928" s="3"/>
      <c r="G4928" s="3"/>
      <c r="H4928" s="24" t="n">
        <v>0.0980242863</v>
      </c>
    </row>
    <row r="4929" customFormat="false" ht="15" hidden="false" customHeight="false" outlineLevel="0" collapsed="false">
      <c r="A4929" s="3" t="n">
        <v>4928</v>
      </c>
      <c r="B4929" s="3" t="n">
        <v>4927</v>
      </c>
      <c r="C4929" s="3" t="s">
        <v>119</v>
      </c>
      <c r="D4929" s="3" t="n">
        <v>9</v>
      </c>
      <c r="E4929" s="3" t="n">
        <v>103</v>
      </c>
      <c r="F4929" s="3"/>
      <c r="G4929" s="3"/>
      <c r="H4929" s="24" t="n">
        <v>0.000126060826</v>
      </c>
    </row>
    <row r="4930" customFormat="false" ht="15" hidden="false" customHeight="false" outlineLevel="0" collapsed="false">
      <c r="A4930" s="3" t="n">
        <v>4929</v>
      </c>
      <c r="B4930" s="3" t="n">
        <v>4928</v>
      </c>
      <c r="C4930" s="3" t="s">
        <v>119</v>
      </c>
      <c r="D4930" s="3" t="n">
        <v>9</v>
      </c>
      <c r="E4930" s="3" t="n">
        <v>104</v>
      </c>
      <c r="F4930" s="3"/>
      <c r="G4930" s="3"/>
      <c r="H4930" s="24" t="n">
        <v>0.0826275125</v>
      </c>
    </row>
    <row r="4931" customFormat="false" ht="15" hidden="false" customHeight="false" outlineLevel="0" collapsed="false">
      <c r="A4931" s="3" t="n">
        <v>4930</v>
      </c>
      <c r="B4931" s="3" t="n">
        <v>4929</v>
      </c>
      <c r="C4931" s="3" t="s">
        <v>119</v>
      </c>
      <c r="D4931" s="3" t="n">
        <v>9</v>
      </c>
      <c r="E4931" s="3" t="n">
        <v>105</v>
      </c>
      <c r="F4931" s="3"/>
      <c r="G4931" s="3"/>
      <c r="H4931" s="24" t="n">
        <v>0.0115392087</v>
      </c>
    </row>
    <row r="4932" customFormat="false" ht="15" hidden="false" customHeight="false" outlineLevel="0" collapsed="false">
      <c r="A4932" s="3" t="n">
        <v>4931</v>
      </c>
      <c r="B4932" s="3" t="n">
        <v>4930</v>
      </c>
      <c r="C4932" s="3" t="s">
        <v>119</v>
      </c>
      <c r="D4932" s="3" t="n">
        <v>9</v>
      </c>
      <c r="E4932" s="3" t="n">
        <v>106</v>
      </c>
      <c r="F4932" s="3"/>
      <c r="G4932" s="3"/>
      <c r="H4932" s="24" t="n">
        <v>-0.116206676</v>
      </c>
    </row>
    <row r="4933" customFormat="false" ht="15" hidden="false" customHeight="false" outlineLevel="0" collapsed="false">
      <c r="A4933" s="3" t="n">
        <v>4932</v>
      </c>
      <c r="B4933" s="3" t="n">
        <v>4931</v>
      </c>
      <c r="C4933" s="3" t="s">
        <v>119</v>
      </c>
      <c r="D4933" s="3" t="n">
        <v>9</v>
      </c>
      <c r="E4933" s="3" t="n">
        <v>107</v>
      </c>
      <c r="F4933" s="3"/>
      <c r="G4933" s="3"/>
      <c r="H4933" s="24" t="n">
        <v>0.365854263</v>
      </c>
    </row>
    <row r="4934" customFormat="false" ht="15" hidden="false" customHeight="false" outlineLevel="0" collapsed="false">
      <c r="A4934" s="3" t="n">
        <v>4933</v>
      </c>
      <c r="B4934" s="3" t="n">
        <v>4932</v>
      </c>
      <c r="C4934" s="3" t="s">
        <v>119</v>
      </c>
      <c r="D4934" s="3" t="n">
        <v>9</v>
      </c>
      <c r="E4934" s="3" t="n">
        <v>108</v>
      </c>
      <c r="F4934" s="3"/>
      <c r="G4934" s="3"/>
      <c r="H4934" s="24" t="n">
        <v>-0.0645188615</v>
      </c>
    </row>
    <row r="4935" customFormat="false" ht="15" hidden="false" customHeight="false" outlineLevel="0" collapsed="false">
      <c r="A4935" s="3" t="n">
        <v>4934</v>
      </c>
      <c r="B4935" s="3" t="n">
        <v>4933</v>
      </c>
      <c r="C4935" s="3" t="s">
        <v>119</v>
      </c>
      <c r="D4935" s="3" t="n">
        <v>9</v>
      </c>
      <c r="E4935" s="3" t="n">
        <v>109</v>
      </c>
      <c r="F4935" s="3"/>
      <c r="G4935" s="3"/>
      <c r="H4935" s="24" t="n">
        <v>-0.0396254249</v>
      </c>
    </row>
    <row r="4936" customFormat="false" ht="15" hidden="false" customHeight="false" outlineLevel="0" collapsed="false">
      <c r="A4936" s="3" t="n">
        <v>4935</v>
      </c>
      <c r="B4936" s="3" t="n">
        <v>4934</v>
      </c>
      <c r="C4936" s="3" t="s">
        <v>119</v>
      </c>
      <c r="D4936" s="3" t="n">
        <v>9</v>
      </c>
      <c r="E4936" s="3" t="n">
        <v>110</v>
      </c>
      <c r="F4936" s="3"/>
      <c r="G4936" s="3"/>
      <c r="H4936" s="24" t="n">
        <v>-0.266803175</v>
      </c>
    </row>
    <row r="4937" customFormat="false" ht="15" hidden="false" customHeight="false" outlineLevel="0" collapsed="false">
      <c r="A4937" s="3" t="n">
        <v>4936</v>
      </c>
      <c r="B4937" s="3" t="n">
        <v>4935</v>
      </c>
      <c r="C4937" s="3" t="s">
        <v>119</v>
      </c>
      <c r="D4937" s="3" t="n">
        <v>9</v>
      </c>
      <c r="E4937" s="3" t="n">
        <v>111</v>
      </c>
      <c r="F4937" s="3"/>
      <c r="G4937" s="3"/>
      <c r="H4937" s="24" t="n">
        <v>0.211926237</v>
      </c>
    </row>
    <row r="4938" customFormat="false" ht="15" hidden="false" customHeight="false" outlineLevel="0" collapsed="false">
      <c r="A4938" s="3" t="n">
        <v>4937</v>
      </c>
      <c r="B4938" s="3" t="n">
        <v>4936</v>
      </c>
      <c r="C4938" s="3" t="s">
        <v>119</v>
      </c>
      <c r="D4938" s="3" t="n">
        <v>9</v>
      </c>
      <c r="E4938" s="3" t="n">
        <v>112</v>
      </c>
      <c r="F4938" s="3"/>
      <c r="G4938" s="3"/>
      <c r="H4938" s="24" t="n">
        <v>-0.00182761846</v>
      </c>
    </row>
    <row r="4939" customFormat="false" ht="15" hidden="false" customHeight="false" outlineLevel="0" collapsed="false">
      <c r="A4939" s="3" t="n">
        <v>4938</v>
      </c>
      <c r="B4939" s="3" t="n">
        <v>4937</v>
      </c>
      <c r="C4939" s="3" t="s">
        <v>119</v>
      </c>
      <c r="D4939" s="3" t="n">
        <v>9</v>
      </c>
      <c r="E4939" s="3" t="n">
        <v>113</v>
      </c>
      <c r="F4939" s="3"/>
      <c r="G4939" s="3"/>
      <c r="H4939" s="24" t="n">
        <v>0.114623353</v>
      </c>
    </row>
    <row r="4940" customFormat="false" ht="15" hidden="false" customHeight="false" outlineLevel="0" collapsed="false">
      <c r="A4940" s="3" t="n">
        <v>4939</v>
      </c>
      <c r="B4940" s="3" t="n">
        <v>4938</v>
      </c>
      <c r="C4940" s="3" t="s">
        <v>119</v>
      </c>
      <c r="D4940" s="3" t="n">
        <v>9</v>
      </c>
      <c r="E4940" s="3" t="n">
        <v>114</v>
      </c>
      <c r="F4940" s="3"/>
      <c r="G4940" s="3"/>
      <c r="H4940" s="24" t="n">
        <v>-0.185409799</v>
      </c>
    </row>
    <row r="4941" customFormat="false" ht="15" hidden="false" customHeight="false" outlineLevel="0" collapsed="false">
      <c r="A4941" s="3" t="n">
        <v>4940</v>
      </c>
      <c r="B4941" s="3" t="n">
        <v>4939</v>
      </c>
      <c r="C4941" s="3" t="s">
        <v>119</v>
      </c>
      <c r="D4941" s="3" t="n">
        <v>9</v>
      </c>
      <c r="E4941" s="3" t="n">
        <v>115</v>
      </c>
      <c r="F4941" s="3"/>
      <c r="G4941" s="3"/>
      <c r="H4941" s="24" t="n">
        <v>0.120080993</v>
      </c>
    </row>
    <row r="4942" customFormat="false" ht="15" hidden="false" customHeight="false" outlineLevel="0" collapsed="false">
      <c r="A4942" s="3" t="n">
        <v>4941</v>
      </c>
      <c r="B4942" s="3" t="n">
        <v>4940</v>
      </c>
      <c r="C4942" s="3" t="s">
        <v>119</v>
      </c>
      <c r="D4942" s="3" t="n">
        <v>9</v>
      </c>
      <c r="E4942" s="3" t="n">
        <v>116</v>
      </c>
      <c r="F4942" s="3"/>
      <c r="G4942" s="3"/>
      <c r="H4942" s="24" t="n">
        <v>-0.208138838</v>
      </c>
    </row>
    <row r="4943" customFormat="false" ht="15" hidden="false" customHeight="false" outlineLevel="0" collapsed="false">
      <c r="A4943" s="3" t="n">
        <v>4942</v>
      </c>
      <c r="B4943" s="3" t="n">
        <v>4941</v>
      </c>
      <c r="C4943" s="3" t="s">
        <v>119</v>
      </c>
      <c r="D4943" s="3" t="n">
        <v>9</v>
      </c>
      <c r="E4943" s="3" t="n">
        <v>117</v>
      </c>
      <c r="F4943" s="3"/>
      <c r="G4943" s="3"/>
      <c r="H4943" s="24" t="n">
        <v>-0.076745607</v>
      </c>
    </row>
    <row r="4944" customFormat="false" ht="15" hidden="false" customHeight="false" outlineLevel="0" collapsed="false">
      <c r="A4944" s="3" t="n">
        <v>4943</v>
      </c>
      <c r="B4944" s="3" t="n">
        <v>4942</v>
      </c>
      <c r="C4944" s="3" t="s">
        <v>119</v>
      </c>
      <c r="D4944" s="3" t="n">
        <v>9</v>
      </c>
      <c r="E4944" s="3" t="n">
        <v>118</v>
      </c>
      <c r="F4944" s="3"/>
      <c r="G4944" s="3"/>
      <c r="H4944" s="24" t="n">
        <v>-0.0772478878</v>
      </c>
    </row>
    <row r="4945" customFormat="false" ht="15" hidden="false" customHeight="false" outlineLevel="0" collapsed="false">
      <c r="A4945" s="3" t="n">
        <v>4944</v>
      </c>
      <c r="B4945" s="3" t="n">
        <v>4943</v>
      </c>
      <c r="C4945" s="3" t="s">
        <v>119</v>
      </c>
      <c r="D4945" s="3" t="n">
        <v>9</v>
      </c>
      <c r="E4945" s="3" t="n">
        <v>119</v>
      </c>
      <c r="F4945" s="3"/>
      <c r="G4945" s="3"/>
      <c r="H4945" s="24" t="n">
        <v>-0.14818421</v>
      </c>
    </row>
    <row r="4946" customFormat="false" ht="15" hidden="false" customHeight="false" outlineLevel="0" collapsed="false">
      <c r="A4946" s="3" t="n">
        <v>4945</v>
      </c>
      <c r="B4946" s="3" t="n">
        <v>4944</v>
      </c>
      <c r="C4946" s="3" t="s">
        <v>119</v>
      </c>
      <c r="D4946" s="3" t="n">
        <v>9</v>
      </c>
      <c r="E4946" s="3" t="n">
        <v>120</v>
      </c>
      <c r="F4946" s="3"/>
      <c r="G4946" s="3"/>
      <c r="H4946" s="24" t="n">
        <v>-0.144610718</v>
      </c>
    </row>
    <row r="4947" customFormat="false" ht="15" hidden="false" customHeight="false" outlineLevel="0" collapsed="false">
      <c r="A4947" s="3" t="n">
        <v>4946</v>
      </c>
      <c r="B4947" s="3" t="n">
        <v>4945</v>
      </c>
      <c r="C4947" s="3" t="s">
        <v>119</v>
      </c>
      <c r="D4947" s="3" t="n">
        <v>9</v>
      </c>
      <c r="E4947" s="3" t="n">
        <v>121</v>
      </c>
      <c r="F4947" s="3"/>
      <c r="G4947" s="3"/>
      <c r="H4947" s="24" t="n">
        <v>0.187364221</v>
      </c>
    </row>
    <row r="4948" customFormat="false" ht="15" hidden="false" customHeight="false" outlineLevel="0" collapsed="false">
      <c r="A4948" s="3" t="n">
        <v>4947</v>
      </c>
      <c r="B4948" s="3" t="n">
        <v>4946</v>
      </c>
      <c r="C4948" s="3" t="s">
        <v>119</v>
      </c>
      <c r="D4948" s="3" t="n">
        <v>9</v>
      </c>
      <c r="E4948" s="3" t="n">
        <v>122</v>
      </c>
      <c r="F4948" s="3"/>
      <c r="G4948" s="3"/>
      <c r="H4948" s="24" t="n">
        <v>0.100396499</v>
      </c>
    </row>
    <row r="4949" customFormat="false" ht="15" hidden="false" customHeight="false" outlineLevel="0" collapsed="false">
      <c r="A4949" s="3" t="n">
        <v>4948</v>
      </c>
      <c r="B4949" s="3" t="n">
        <v>4947</v>
      </c>
      <c r="C4949" s="3" t="s">
        <v>119</v>
      </c>
      <c r="D4949" s="3" t="n">
        <v>9</v>
      </c>
      <c r="E4949" s="3" t="n">
        <v>123</v>
      </c>
      <c r="F4949" s="3"/>
      <c r="G4949" s="3"/>
      <c r="H4949" s="24" t="n">
        <v>-0.192561284</v>
      </c>
    </row>
    <row r="4950" customFormat="false" ht="15" hidden="false" customHeight="false" outlineLevel="0" collapsed="false">
      <c r="A4950" s="3" t="n">
        <v>4949</v>
      </c>
      <c r="B4950" s="3" t="n">
        <v>4948</v>
      </c>
      <c r="C4950" s="3" t="s">
        <v>119</v>
      </c>
      <c r="D4950" s="3" t="n">
        <v>9</v>
      </c>
      <c r="E4950" s="3" t="n">
        <v>124</v>
      </c>
      <c r="F4950" s="3"/>
      <c r="G4950" s="3"/>
      <c r="H4950" s="24" t="n">
        <v>-0.0038620776</v>
      </c>
    </row>
    <row r="4951" customFormat="false" ht="15" hidden="false" customHeight="false" outlineLevel="0" collapsed="false">
      <c r="A4951" s="3" t="n">
        <v>4950</v>
      </c>
      <c r="B4951" s="3" t="n">
        <v>4949</v>
      </c>
      <c r="C4951" s="3" t="s">
        <v>119</v>
      </c>
      <c r="D4951" s="3" t="n">
        <v>9</v>
      </c>
      <c r="E4951" s="3" t="n">
        <v>125</v>
      </c>
      <c r="F4951" s="3"/>
      <c r="G4951" s="3"/>
      <c r="H4951" s="24" t="n">
        <v>-0.209055483</v>
      </c>
    </row>
    <row r="4952" customFormat="false" ht="15" hidden="false" customHeight="false" outlineLevel="0" collapsed="false">
      <c r="A4952" s="3" t="n">
        <v>4951</v>
      </c>
      <c r="B4952" s="3" t="n">
        <v>4950</v>
      </c>
      <c r="C4952" s="3" t="s">
        <v>119</v>
      </c>
      <c r="D4952" s="3" t="n">
        <v>9</v>
      </c>
      <c r="E4952" s="3" t="n">
        <v>126</v>
      </c>
      <c r="F4952" s="3"/>
      <c r="G4952" s="3"/>
      <c r="H4952" s="24" t="n">
        <v>-0.0108481944</v>
      </c>
    </row>
    <row r="4953" customFormat="false" ht="15" hidden="false" customHeight="false" outlineLevel="0" collapsed="false">
      <c r="A4953" s="3" t="n">
        <v>4952</v>
      </c>
      <c r="B4953" s="3" t="n">
        <v>4951</v>
      </c>
      <c r="C4953" s="3" t="s">
        <v>119</v>
      </c>
      <c r="D4953" s="3" t="n">
        <v>9</v>
      </c>
      <c r="E4953" s="3" t="n">
        <v>127</v>
      </c>
      <c r="F4953" s="3"/>
      <c r="G4953" s="3"/>
      <c r="H4953" s="24" t="n">
        <v>-0.166720212</v>
      </c>
    </row>
    <row r="4954" customFormat="false" ht="15" hidden="false" customHeight="false" outlineLevel="0" collapsed="false">
      <c r="A4954" s="3" t="n">
        <v>4953</v>
      </c>
      <c r="B4954" s="3" t="n">
        <v>4952</v>
      </c>
      <c r="C4954" s="3" t="s">
        <v>119</v>
      </c>
      <c r="D4954" s="3" t="n">
        <v>9</v>
      </c>
      <c r="E4954" s="3" t="n">
        <v>128</v>
      </c>
      <c r="F4954" s="3"/>
      <c r="G4954" s="3"/>
      <c r="H4954" s="24" t="n">
        <v>0.110856779</v>
      </c>
    </row>
    <row r="4955" customFormat="false" ht="15" hidden="false" customHeight="false" outlineLevel="0" collapsed="false">
      <c r="A4955" s="3" t="n">
        <v>4954</v>
      </c>
      <c r="B4955" s="3" t="n">
        <v>4953</v>
      </c>
      <c r="C4955" s="3" t="s">
        <v>119</v>
      </c>
      <c r="D4955" s="3" t="n">
        <v>9</v>
      </c>
      <c r="E4955" s="3" t="n">
        <v>129</v>
      </c>
      <c r="F4955" s="3"/>
      <c r="G4955" s="3"/>
      <c r="H4955" s="24" t="n">
        <v>-0.0366554335</v>
      </c>
    </row>
    <row r="4956" customFormat="false" ht="15" hidden="false" customHeight="false" outlineLevel="0" collapsed="false">
      <c r="A4956" s="3" t="n">
        <v>4955</v>
      </c>
      <c r="B4956" s="3" t="n">
        <v>4954</v>
      </c>
      <c r="C4956" s="3" t="s">
        <v>119</v>
      </c>
      <c r="D4956" s="3" t="n">
        <v>9</v>
      </c>
      <c r="E4956" s="3" t="n">
        <v>130</v>
      </c>
      <c r="F4956" s="3"/>
      <c r="G4956" s="3"/>
      <c r="H4956" s="24" t="n">
        <v>0.178885847</v>
      </c>
    </row>
    <row r="4957" customFormat="false" ht="15" hidden="false" customHeight="false" outlineLevel="0" collapsed="false">
      <c r="A4957" s="3" t="n">
        <v>4956</v>
      </c>
      <c r="B4957" s="3" t="n">
        <v>4955</v>
      </c>
      <c r="C4957" s="3" t="s">
        <v>119</v>
      </c>
      <c r="D4957" s="3" t="n">
        <v>9</v>
      </c>
      <c r="E4957" s="3" t="n">
        <v>131</v>
      </c>
      <c r="F4957" s="3"/>
      <c r="G4957" s="3"/>
      <c r="H4957" s="24" t="n">
        <v>0.127323031</v>
      </c>
    </row>
    <row r="4958" customFormat="false" ht="15" hidden="false" customHeight="false" outlineLevel="0" collapsed="false">
      <c r="A4958" s="3" t="n">
        <v>4957</v>
      </c>
      <c r="B4958" s="3" t="n">
        <v>4956</v>
      </c>
      <c r="C4958" s="3" t="s">
        <v>119</v>
      </c>
      <c r="D4958" s="3" t="n">
        <v>9</v>
      </c>
      <c r="E4958" s="3" t="n">
        <v>132</v>
      </c>
      <c r="F4958" s="3"/>
      <c r="G4958" s="3"/>
      <c r="H4958" s="24" t="n">
        <v>-0.279037416</v>
      </c>
    </row>
    <row r="4959" customFormat="false" ht="15" hidden="false" customHeight="false" outlineLevel="0" collapsed="false">
      <c r="A4959" s="3" t="n">
        <v>4958</v>
      </c>
      <c r="B4959" s="3" t="n">
        <v>4957</v>
      </c>
      <c r="C4959" s="3" t="s">
        <v>119</v>
      </c>
      <c r="D4959" s="3" t="n">
        <v>9</v>
      </c>
      <c r="E4959" s="3" t="n">
        <v>133</v>
      </c>
      <c r="F4959" s="3"/>
      <c r="G4959" s="3"/>
      <c r="H4959" s="24" t="n">
        <v>-0.165126741</v>
      </c>
    </row>
    <row r="4960" customFormat="false" ht="15" hidden="false" customHeight="false" outlineLevel="0" collapsed="false">
      <c r="A4960" s="3" t="n">
        <v>4959</v>
      </c>
      <c r="B4960" s="3" t="n">
        <v>4958</v>
      </c>
      <c r="C4960" s="3" t="s">
        <v>119</v>
      </c>
      <c r="D4960" s="3" t="n">
        <v>9</v>
      </c>
      <c r="E4960" s="3" t="n">
        <v>134</v>
      </c>
      <c r="F4960" s="3"/>
      <c r="G4960" s="3"/>
      <c r="H4960" s="24" t="n">
        <v>-0.307486564</v>
      </c>
    </row>
    <row r="4961" customFormat="false" ht="15" hidden="false" customHeight="false" outlineLevel="0" collapsed="false">
      <c r="A4961" s="3" t="n">
        <v>4960</v>
      </c>
      <c r="B4961" s="3" t="n">
        <v>4959</v>
      </c>
      <c r="C4961" s="3" t="s">
        <v>119</v>
      </c>
      <c r="D4961" s="3" t="n">
        <v>9</v>
      </c>
      <c r="E4961" s="3" t="n">
        <v>135</v>
      </c>
      <c r="F4961" s="3"/>
      <c r="G4961" s="3"/>
      <c r="H4961" s="24" t="n">
        <v>-0.0821571276</v>
      </c>
    </row>
    <row r="4962" customFormat="false" ht="15" hidden="false" customHeight="false" outlineLevel="0" collapsed="false">
      <c r="A4962" s="3" t="n">
        <v>4961</v>
      </c>
      <c r="B4962" s="3" t="n">
        <v>4960</v>
      </c>
      <c r="C4962" s="3" t="s">
        <v>119</v>
      </c>
      <c r="D4962" s="3" t="n">
        <v>9</v>
      </c>
      <c r="E4962" s="3" t="n">
        <v>136</v>
      </c>
      <c r="F4962" s="3"/>
      <c r="G4962" s="3"/>
      <c r="H4962" s="24" t="n">
        <v>0.15984115</v>
      </c>
    </row>
    <row r="4963" customFormat="false" ht="15" hidden="false" customHeight="false" outlineLevel="0" collapsed="false">
      <c r="A4963" s="3" t="n">
        <v>4962</v>
      </c>
      <c r="B4963" s="3" t="n">
        <v>4961</v>
      </c>
      <c r="C4963" s="3" t="s">
        <v>119</v>
      </c>
      <c r="D4963" s="3" t="n">
        <v>9</v>
      </c>
      <c r="E4963" s="3" t="n">
        <v>137</v>
      </c>
      <c r="F4963" s="3"/>
      <c r="G4963" s="3"/>
      <c r="H4963" s="24" t="n">
        <v>-0.0932009518</v>
      </c>
    </row>
    <row r="4964" customFormat="false" ht="15" hidden="false" customHeight="false" outlineLevel="0" collapsed="false">
      <c r="A4964" s="3" t="n">
        <v>4963</v>
      </c>
      <c r="B4964" s="3" t="n">
        <v>4962</v>
      </c>
      <c r="C4964" s="3" t="s">
        <v>119</v>
      </c>
      <c r="D4964" s="3" t="n">
        <v>9</v>
      </c>
      <c r="E4964" s="3" t="n">
        <v>138</v>
      </c>
      <c r="F4964" s="3"/>
      <c r="G4964" s="3"/>
      <c r="H4964" s="24" t="n">
        <v>0.209700301</v>
      </c>
    </row>
    <row r="4965" customFormat="false" ht="15" hidden="false" customHeight="false" outlineLevel="0" collapsed="false">
      <c r="A4965" s="3" t="n">
        <v>4964</v>
      </c>
      <c r="B4965" s="3" t="n">
        <v>4963</v>
      </c>
      <c r="C4965" s="3" t="s">
        <v>119</v>
      </c>
      <c r="D4965" s="3" t="n">
        <v>9</v>
      </c>
      <c r="E4965" s="3" t="n">
        <v>139</v>
      </c>
      <c r="F4965" s="3"/>
      <c r="G4965" s="3"/>
      <c r="H4965" s="24" t="n">
        <v>-0.0536311381</v>
      </c>
    </row>
    <row r="4966" customFormat="false" ht="15" hidden="false" customHeight="false" outlineLevel="0" collapsed="false">
      <c r="A4966" s="3" t="n">
        <v>4965</v>
      </c>
      <c r="B4966" s="3" t="n">
        <v>4964</v>
      </c>
      <c r="C4966" s="3" t="s">
        <v>119</v>
      </c>
      <c r="D4966" s="3" t="n">
        <v>9</v>
      </c>
      <c r="E4966" s="3" t="n">
        <v>140</v>
      </c>
      <c r="F4966" s="3"/>
      <c r="G4966" s="3"/>
      <c r="H4966" s="24" t="n">
        <v>-0.198942184</v>
      </c>
    </row>
    <row r="4967" customFormat="false" ht="15" hidden="false" customHeight="false" outlineLevel="0" collapsed="false">
      <c r="A4967" s="3" t="n">
        <v>4966</v>
      </c>
      <c r="B4967" s="3" t="n">
        <v>4965</v>
      </c>
      <c r="C4967" s="3" t="s">
        <v>119</v>
      </c>
      <c r="D4967" s="3" t="n">
        <v>9</v>
      </c>
      <c r="E4967" s="3" t="n">
        <v>141</v>
      </c>
      <c r="F4967" s="3"/>
      <c r="G4967" s="3"/>
      <c r="H4967" s="24" t="n">
        <v>-0.0511937775</v>
      </c>
    </row>
    <row r="4968" customFormat="false" ht="15" hidden="false" customHeight="false" outlineLevel="0" collapsed="false">
      <c r="A4968" s="3" t="n">
        <v>4967</v>
      </c>
      <c r="B4968" s="3" t="n">
        <v>4966</v>
      </c>
      <c r="C4968" s="3" t="s">
        <v>119</v>
      </c>
      <c r="D4968" s="3" t="n">
        <v>9</v>
      </c>
      <c r="E4968" s="3" t="n">
        <v>142</v>
      </c>
      <c r="F4968" s="3"/>
      <c r="G4968" s="3"/>
      <c r="H4968" s="24" t="n">
        <v>-0.167084113</v>
      </c>
    </row>
    <row r="4969" customFormat="false" ht="15" hidden="false" customHeight="false" outlineLevel="0" collapsed="false">
      <c r="A4969" s="3" t="n">
        <v>4968</v>
      </c>
      <c r="B4969" s="3" t="n">
        <v>4967</v>
      </c>
      <c r="C4969" s="3" t="s">
        <v>119</v>
      </c>
      <c r="D4969" s="3" t="n">
        <v>9</v>
      </c>
      <c r="E4969" s="3" t="n">
        <v>143</v>
      </c>
      <c r="F4969" s="3"/>
      <c r="G4969" s="3"/>
      <c r="H4969" s="24" t="n">
        <v>0.244447395</v>
      </c>
    </row>
  </sheetData>
  <autoFilter ref="A1:H49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23.85" hidden="false" customHeight="false" outlineLevel="0" collapsed="false">
      <c r="A1" s="9" t="s">
        <v>109</v>
      </c>
      <c r="B1" s="9" t="s">
        <v>110</v>
      </c>
      <c r="C1" s="9" t="s">
        <v>111</v>
      </c>
      <c r="D1" s="9" t="s">
        <v>112</v>
      </c>
      <c r="E1" s="9" t="s">
        <v>114</v>
      </c>
      <c r="G1" s="4" t="s">
        <v>120</v>
      </c>
    </row>
    <row r="2" customFormat="false" ht="15" hidden="false" customHeight="false" outlineLevel="0" collapsed="false">
      <c r="A2" s="3" t="n">
        <v>1</v>
      </c>
      <c r="B2" s="3" t="n">
        <v>0</v>
      </c>
      <c r="C2" s="3" t="s">
        <v>116</v>
      </c>
      <c r="D2" s="3" t="n">
        <v>0</v>
      </c>
      <c r="E2" s="24" t="n">
        <v>0.401263237</v>
      </c>
    </row>
    <row r="3" customFormat="false" ht="15" hidden="false" customHeight="false" outlineLevel="0" collapsed="false">
      <c r="A3" s="3" t="n">
        <v>2</v>
      </c>
      <c r="B3" s="3" t="n">
        <v>1</v>
      </c>
      <c r="C3" s="3" t="s">
        <v>116</v>
      </c>
      <c r="D3" s="3" t="n">
        <v>1</v>
      </c>
      <c r="E3" s="24" t="n">
        <v>-0.146307588</v>
      </c>
    </row>
    <row r="4" customFormat="false" ht="15" hidden="false" customHeight="false" outlineLevel="0" collapsed="false">
      <c r="A4" s="3" t="n">
        <v>3</v>
      </c>
      <c r="B4" s="3" t="n">
        <v>2</v>
      </c>
      <c r="C4" s="3" t="s">
        <v>116</v>
      </c>
      <c r="D4" s="3" t="n">
        <v>2</v>
      </c>
      <c r="E4" s="24" t="n">
        <v>-0.17622003</v>
      </c>
    </row>
    <row r="5" customFormat="false" ht="15" hidden="false" customHeight="false" outlineLevel="0" collapsed="false">
      <c r="A5" s="3" t="n">
        <v>4</v>
      </c>
      <c r="B5" s="3" t="n">
        <v>3</v>
      </c>
      <c r="C5" s="3" t="s">
        <v>116</v>
      </c>
      <c r="D5" s="3" t="n">
        <v>3</v>
      </c>
      <c r="E5" s="24" t="n">
        <v>-0.0340600573</v>
      </c>
    </row>
    <row r="6" customFormat="false" ht="15" hidden="false" customHeight="false" outlineLevel="0" collapsed="false">
      <c r="A6" s="3" t="n">
        <v>5</v>
      </c>
      <c r="B6" s="3" t="n">
        <v>4</v>
      </c>
      <c r="C6" s="3" t="s">
        <v>116</v>
      </c>
      <c r="D6" s="3" t="n">
        <v>4</v>
      </c>
      <c r="E6" s="24" t="n">
        <v>-0.0385360643</v>
      </c>
    </row>
    <row r="7" customFormat="false" ht="15" hidden="false" customHeight="false" outlineLevel="0" collapsed="false">
      <c r="A7" s="3" t="n">
        <v>6</v>
      </c>
      <c r="B7" s="3" t="n">
        <v>5</v>
      </c>
      <c r="C7" s="3" t="s">
        <v>116</v>
      </c>
      <c r="D7" s="3" t="n">
        <v>5</v>
      </c>
      <c r="E7" s="24" t="n">
        <v>0.210037008</v>
      </c>
    </row>
    <row r="8" customFormat="false" ht="15" hidden="false" customHeight="false" outlineLevel="0" collapsed="false">
      <c r="A8" s="3" t="n">
        <v>7</v>
      </c>
      <c r="B8" s="3" t="n">
        <v>6</v>
      </c>
      <c r="C8" s="3" t="s">
        <v>116</v>
      </c>
      <c r="D8" s="3" t="n">
        <v>6</v>
      </c>
      <c r="E8" s="24" t="n">
        <v>0.303341299</v>
      </c>
    </row>
    <row r="9" customFormat="false" ht="15" hidden="false" customHeight="false" outlineLevel="0" collapsed="false">
      <c r="A9" s="3" t="n">
        <v>8</v>
      </c>
      <c r="B9" s="3" t="n">
        <v>7</v>
      </c>
      <c r="C9" s="3" t="s">
        <v>116</v>
      </c>
      <c r="D9" s="3" t="n">
        <v>7</v>
      </c>
      <c r="E9" s="24" t="n">
        <v>0.157783568</v>
      </c>
    </row>
    <row r="10" customFormat="false" ht="15" hidden="false" customHeight="false" outlineLevel="0" collapsed="false">
      <c r="A10" s="3" t="n">
        <v>9</v>
      </c>
      <c r="B10" s="3" t="n">
        <v>8</v>
      </c>
      <c r="C10" s="3" t="s">
        <v>117</v>
      </c>
      <c r="D10" s="3" t="n">
        <v>0</v>
      </c>
      <c r="E10" s="24" t="n">
        <v>0.428065389</v>
      </c>
    </row>
    <row r="11" customFormat="false" ht="15" hidden="false" customHeight="false" outlineLevel="0" collapsed="false">
      <c r="A11" s="3" t="n">
        <v>10</v>
      </c>
      <c r="B11" s="3" t="n">
        <v>9</v>
      </c>
      <c r="C11" s="3" t="s">
        <v>117</v>
      </c>
      <c r="D11" s="3" t="n">
        <v>1</v>
      </c>
      <c r="E11" s="24" t="n">
        <v>0.0734904036</v>
      </c>
    </row>
    <row r="12" customFormat="false" ht="15" hidden="false" customHeight="false" outlineLevel="0" collapsed="false">
      <c r="A12" s="3" t="n">
        <v>11</v>
      </c>
      <c r="B12" s="3" t="n">
        <v>10</v>
      </c>
      <c r="C12" s="3" t="s">
        <v>117</v>
      </c>
      <c r="D12" s="3" t="n">
        <v>2</v>
      </c>
      <c r="E12" s="24" t="n">
        <v>-0.0019559043</v>
      </c>
    </row>
    <row r="13" customFormat="false" ht="15" hidden="false" customHeight="false" outlineLevel="0" collapsed="false">
      <c r="A13" s="3" t="n">
        <v>12</v>
      </c>
      <c r="B13" s="3" t="n">
        <v>11</v>
      </c>
      <c r="C13" s="3" t="s">
        <v>117</v>
      </c>
      <c r="D13" s="3" t="n">
        <v>3</v>
      </c>
      <c r="E13" s="24" t="n">
        <v>-0.246163025</v>
      </c>
    </row>
    <row r="14" customFormat="false" ht="15" hidden="false" customHeight="false" outlineLevel="0" collapsed="false">
      <c r="A14" s="3" t="n">
        <v>13</v>
      </c>
      <c r="B14" s="3" t="n">
        <v>12</v>
      </c>
      <c r="C14" s="3" t="s">
        <v>117</v>
      </c>
      <c r="D14" s="3" t="n">
        <v>4</v>
      </c>
      <c r="E14" s="24" t="n">
        <v>0.0550126955</v>
      </c>
    </row>
    <row r="15" customFormat="false" ht="15" hidden="false" customHeight="false" outlineLevel="0" collapsed="false">
      <c r="A15" s="3" t="n">
        <v>14</v>
      </c>
      <c r="B15" s="3" t="n">
        <v>13</v>
      </c>
      <c r="C15" s="3" t="s">
        <v>117</v>
      </c>
      <c r="D15" s="3" t="n">
        <v>5</v>
      </c>
      <c r="E15" s="24" t="n">
        <v>-0.0725457147</v>
      </c>
    </row>
    <row r="16" customFormat="false" ht="15" hidden="false" customHeight="false" outlineLevel="0" collapsed="false">
      <c r="A16" s="3" t="n">
        <v>15</v>
      </c>
      <c r="B16" s="3" t="n">
        <v>14</v>
      </c>
      <c r="C16" s="3" t="s">
        <v>117</v>
      </c>
      <c r="D16" s="3" t="n">
        <v>6</v>
      </c>
      <c r="E16" s="24" t="n">
        <v>-0.3807064</v>
      </c>
    </row>
    <row r="17" customFormat="false" ht="15" hidden="false" customHeight="false" outlineLevel="0" collapsed="false">
      <c r="A17" s="3" t="n">
        <v>16</v>
      </c>
      <c r="B17" s="3" t="n">
        <v>15</v>
      </c>
      <c r="C17" s="3" t="s">
        <v>117</v>
      </c>
      <c r="D17" s="3" t="n">
        <v>7</v>
      </c>
      <c r="E17" s="24" t="n">
        <v>0.0954664424</v>
      </c>
    </row>
    <row r="18" customFormat="false" ht="15" hidden="false" customHeight="false" outlineLevel="0" collapsed="false">
      <c r="A18" s="3" t="n">
        <v>17</v>
      </c>
      <c r="B18" s="3" t="n">
        <v>16</v>
      </c>
      <c r="C18" s="3" t="s">
        <v>117</v>
      </c>
      <c r="D18" s="3" t="n">
        <v>8</v>
      </c>
      <c r="E18" s="24" t="n">
        <v>-0.112688236</v>
      </c>
    </row>
    <row r="19" customFormat="false" ht="15" hidden="false" customHeight="false" outlineLevel="0" collapsed="false">
      <c r="A19" s="3" t="n">
        <v>18</v>
      </c>
      <c r="B19" s="3" t="n">
        <v>17</v>
      </c>
      <c r="C19" s="3" t="s">
        <v>117</v>
      </c>
      <c r="D19" s="3" t="n">
        <v>9</v>
      </c>
      <c r="E19" s="24" t="n">
        <v>-0.265960604</v>
      </c>
    </row>
    <row r="20" customFormat="false" ht="15" hidden="false" customHeight="false" outlineLevel="0" collapsed="false">
      <c r="A20" s="3" t="n">
        <v>19</v>
      </c>
      <c r="B20" s="3" t="n">
        <v>18</v>
      </c>
      <c r="C20" s="3" t="s">
        <v>117</v>
      </c>
      <c r="D20" s="3" t="n">
        <v>10</v>
      </c>
      <c r="E20" s="24" t="n">
        <v>-0.118565172</v>
      </c>
    </row>
    <row r="21" customFormat="false" ht="15" hidden="false" customHeight="false" outlineLevel="0" collapsed="false">
      <c r="A21" s="3" t="n">
        <v>20</v>
      </c>
      <c r="B21" s="3" t="n">
        <v>19</v>
      </c>
      <c r="C21" s="3" t="s">
        <v>117</v>
      </c>
      <c r="D21" s="3" t="n">
        <v>11</v>
      </c>
      <c r="E21" s="24" t="n">
        <v>-0.312066942</v>
      </c>
    </row>
    <row r="22" customFormat="false" ht="15" hidden="false" customHeight="false" outlineLevel="0" collapsed="false">
      <c r="A22" s="3" t="n">
        <v>21</v>
      </c>
      <c r="B22" s="3" t="n">
        <v>20</v>
      </c>
      <c r="C22" s="3" t="s">
        <v>117</v>
      </c>
      <c r="D22" s="3" t="n">
        <v>12</v>
      </c>
      <c r="E22" s="24" t="n">
        <v>0.155342549</v>
      </c>
    </row>
    <row r="23" customFormat="false" ht="15" hidden="false" customHeight="false" outlineLevel="0" collapsed="false">
      <c r="A23" s="3" t="n">
        <v>22</v>
      </c>
      <c r="B23" s="3" t="n">
        <v>21</v>
      </c>
      <c r="C23" s="3" t="s">
        <v>117</v>
      </c>
      <c r="D23" s="3" t="n">
        <v>13</v>
      </c>
      <c r="E23" s="24" t="n">
        <v>0.112458885</v>
      </c>
    </row>
    <row r="24" customFormat="false" ht="15" hidden="false" customHeight="false" outlineLevel="0" collapsed="false">
      <c r="A24" s="3" t="n">
        <v>23</v>
      </c>
      <c r="B24" s="3" t="n">
        <v>22</v>
      </c>
      <c r="C24" s="3" t="s">
        <v>117</v>
      </c>
      <c r="D24" s="3" t="n">
        <v>14</v>
      </c>
      <c r="E24" s="24" t="n">
        <v>-0.0591746159</v>
      </c>
    </row>
    <row r="25" customFormat="false" ht="15" hidden="false" customHeight="false" outlineLevel="0" collapsed="false">
      <c r="A25" s="3" t="n">
        <v>24</v>
      </c>
      <c r="B25" s="3" t="n">
        <v>23</v>
      </c>
      <c r="C25" s="3" t="s">
        <v>117</v>
      </c>
      <c r="D25" s="3" t="n">
        <v>15</v>
      </c>
      <c r="E25" s="24" t="n">
        <v>-0.168601796</v>
      </c>
    </row>
    <row r="26" customFormat="false" ht="15" hidden="false" customHeight="false" outlineLevel="0" collapsed="false">
      <c r="A26" s="3" t="n">
        <v>25</v>
      </c>
      <c r="B26" s="3" t="n">
        <v>24</v>
      </c>
      <c r="C26" s="3" t="s">
        <v>118</v>
      </c>
      <c r="D26" s="3" t="n">
        <v>0</v>
      </c>
      <c r="E26" s="24" t="n">
        <v>-0.205006361</v>
      </c>
    </row>
    <row r="27" customFormat="false" ht="15" hidden="false" customHeight="false" outlineLevel="0" collapsed="false">
      <c r="A27" s="3" t="n">
        <v>26</v>
      </c>
      <c r="B27" s="3" t="n">
        <v>25</v>
      </c>
      <c r="C27" s="3" t="s">
        <v>118</v>
      </c>
      <c r="D27" s="3" t="n">
        <v>1</v>
      </c>
      <c r="E27" s="24" t="n">
        <v>-0.068233192</v>
      </c>
    </row>
    <row r="28" customFormat="false" ht="15" hidden="false" customHeight="false" outlineLevel="0" collapsed="false">
      <c r="A28" s="3" t="n">
        <v>27</v>
      </c>
      <c r="B28" s="3" t="n">
        <v>26</v>
      </c>
      <c r="C28" s="3" t="s">
        <v>118</v>
      </c>
      <c r="D28" s="3" t="n">
        <v>2</v>
      </c>
      <c r="E28" s="24" t="n">
        <v>-0.361223906</v>
      </c>
    </row>
    <row r="29" customFormat="false" ht="15" hidden="false" customHeight="false" outlineLevel="0" collapsed="false">
      <c r="A29" s="3" t="n">
        <v>28</v>
      </c>
      <c r="B29" s="3" t="n">
        <v>27</v>
      </c>
      <c r="C29" s="3" t="s">
        <v>118</v>
      </c>
      <c r="D29" s="3" t="n">
        <v>3</v>
      </c>
      <c r="E29" s="24" t="n">
        <v>0.013407479</v>
      </c>
    </row>
    <row r="30" customFormat="false" ht="15" hidden="false" customHeight="false" outlineLevel="0" collapsed="false">
      <c r="A30" s="3" t="n">
        <v>29</v>
      </c>
      <c r="B30" s="3" t="n">
        <v>28</v>
      </c>
      <c r="C30" s="3" t="s">
        <v>118</v>
      </c>
      <c r="D30" s="3" t="n">
        <v>4</v>
      </c>
      <c r="E30" s="24" t="n">
        <v>-0.110048793</v>
      </c>
    </row>
    <row r="31" customFormat="false" ht="15" hidden="false" customHeight="false" outlineLevel="0" collapsed="false">
      <c r="A31" s="3" t="n">
        <v>30</v>
      </c>
      <c r="B31" s="3" t="n">
        <v>29</v>
      </c>
      <c r="C31" s="3" t="s">
        <v>118</v>
      </c>
      <c r="D31" s="3" t="n">
        <v>5</v>
      </c>
      <c r="E31" s="24" t="n">
        <v>-0.326397479</v>
      </c>
    </row>
    <row r="32" customFormat="false" ht="15" hidden="false" customHeight="false" outlineLevel="0" collapsed="false">
      <c r="A32" s="3" t="n">
        <v>31</v>
      </c>
      <c r="B32" s="3" t="n">
        <v>30</v>
      </c>
      <c r="C32" s="3" t="s">
        <v>118</v>
      </c>
      <c r="D32" s="3" t="n">
        <v>6</v>
      </c>
      <c r="E32" s="24" t="n">
        <v>-0.0109519316</v>
      </c>
    </row>
    <row r="33" customFormat="false" ht="15" hidden="false" customHeight="false" outlineLevel="0" collapsed="false">
      <c r="A33" s="3" t="n">
        <v>32</v>
      </c>
      <c r="B33" s="3" t="n">
        <v>31</v>
      </c>
      <c r="C33" s="3" t="s">
        <v>118</v>
      </c>
      <c r="D33" s="3" t="n">
        <v>7</v>
      </c>
      <c r="E33" s="24" t="n">
        <v>-0.0661384165</v>
      </c>
    </row>
    <row r="34" customFormat="false" ht="15" hidden="false" customHeight="false" outlineLevel="0" collapsed="false">
      <c r="A34" s="3" t="n">
        <v>33</v>
      </c>
      <c r="B34" s="3" t="n">
        <v>32</v>
      </c>
      <c r="C34" s="3" t="s">
        <v>118</v>
      </c>
      <c r="D34" s="3" t="n">
        <v>8</v>
      </c>
      <c r="E34" s="24" t="n">
        <v>-0.184156746</v>
      </c>
    </row>
    <row r="35" customFormat="false" ht="15" hidden="false" customHeight="false" outlineLevel="0" collapsed="false">
      <c r="A35" s="3" t="n">
        <v>34</v>
      </c>
      <c r="B35" s="3" t="n">
        <v>33</v>
      </c>
      <c r="C35" s="3" t="s">
        <v>118</v>
      </c>
      <c r="D35" s="3" t="n">
        <v>9</v>
      </c>
      <c r="E35" s="24" t="n">
        <v>-0.0584665835</v>
      </c>
    </row>
    <row r="36" customFormat="false" ht="15" hidden="false" customHeight="false" outlineLevel="0" collapsed="false">
      <c r="A36" s="3" t="n">
        <v>35</v>
      </c>
      <c r="B36" s="3" t="n">
        <v>34</v>
      </c>
      <c r="C36" s="3" t="s">
        <v>118</v>
      </c>
      <c r="D36" s="3" t="n">
        <v>10</v>
      </c>
      <c r="E36" s="24" t="n">
        <v>-0.226794645</v>
      </c>
    </row>
    <row r="37" customFormat="false" ht="15" hidden="false" customHeight="false" outlineLevel="0" collapsed="false">
      <c r="A37" s="3" t="n">
        <v>36</v>
      </c>
      <c r="B37" s="3" t="n">
        <v>35</v>
      </c>
      <c r="C37" s="3" t="s">
        <v>118</v>
      </c>
      <c r="D37" s="3" t="n">
        <v>11</v>
      </c>
      <c r="E37" s="24" t="n">
        <v>0.0286657605</v>
      </c>
    </row>
    <row r="38" customFormat="false" ht="15" hidden="false" customHeight="false" outlineLevel="0" collapsed="false">
      <c r="A38" s="3" t="n">
        <v>37</v>
      </c>
      <c r="B38" s="3" t="n">
        <v>36</v>
      </c>
      <c r="C38" s="3" t="s">
        <v>118</v>
      </c>
      <c r="D38" s="3" t="n">
        <v>12</v>
      </c>
      <c r="E38" s="24" t="n">
        <v>0.067665793</v>
      </c>
    </row>
    <row r="39" customFormat="false" ht="15" hidden="false" customHeight="false" outlineLevel="0" collapsed="false">
      <c r="A39" s="3" t="n">
        <v>38</v>
      </c>
      <c r="B39" s="3" t="n">
        <v>37</v>
      </c>
      <c r="C39" s="3" t="s">
        <v>118</v>
      </c>
      <c r="D39" s="3" t="n">
        <v>13</v>
      </c>
      <c r="E39" s="24" t="n">
        <v>-0.295855105</v>
      </c>
    </row>
    <row r="40" customFormat="false" ht="15" hidden="false" customHeight="false" outlineLevel="0" collapsed="false">
      <c r="A40" s="3" t="n">
        <v>39</v>
      </c>
      <c r="B40" s="3" t="n">
        <v>38</v>
      </c>
      <c r="C40" s="3" t="s">
        <v>118</v>
      </c>
      <c r="D40" s="3" t="n">
        <v>14</v>
      </c>
      <c r="E40" s="24" t="n">
        <v>-0.15026699</v>
      </c>
    </row>
    <row r="41" customFormat="false" ht="15" hidden="false" customHeight="false" outlineLevel="0" collapsed="false">
      <c r="A41" s="3" t="n">
        <v>40</v>
      </c>
      <c r="B41" s="3" t="n">
        <v>39</v>
      </c>
      <c r="C41" s="3" t="s">
        <v>118</v>
      </c>
      <c r="D41" s="3" t="n">
        <v>15</v>
      </c>
      <c r="E41" s="24" t="n">
        <v>0.00947792735</v>
      </c>
    </row>
    <row r="42" customFormat="false" ht="15" hidden="false" customHeight="false" outlineLevel="0" collapsed="false">
      <c r="A42" s="3" t="n">
        <v>41</v>
      </c>
      <c r="B42" s="3" t="n">
        <v>40</v>
      </c>
      <c r="C42" s="3" t="s">
        <v>119</v>
      </c>
      <c r="D42" s="3" t="n">
        <v>0</v>
      </c>
      <c r="E42" s="24" t="n">
        <v>-0.0222912412</v>
      </c>
    </row>
    <row r="43" customFormat="false" ht="15" hidden="false" customHeight="false" outlineLevel="0" collapsed="false">
      <c r="A43" s="3" t="n">
        <v>42</v>
      </c>
      <c r="B43" s="3" t="n">
        <v>41</v>
      </c>
      <c r="C43" s="3" t="s">
        <v>119</v>
      </c>
      <c r="D43" s="3" t="n">
        <v>1</v>
      </c>
      <c r="E43" s="24" t="n">
        <v>0.0379309803</v>
      </c>
    </row>
    <row r="44" customFormat="false" ht="15" hidden="false" customHeight="false" outlineLevel="0" collapsed="false">
      <c r="A44" s="3" t="n">
        <v>43</v>
      </c>
      <c r="B44" s="3" t="n">
        <v>42</v>
      </c>
      <c r="C44" s="3" t="s">
        <v>119</v>
      </c>
      <c r="D44" s="3" t="n">
        <v>2</v>
      </c>
      <c r="E44" s="24" t="n">
        <v>-0.015353797</v>
      </c>
    </row>
    <row r="45" customFormat="false" ht="15" hidden="false" customHeight="false" outlineLevel="0" collapsed="false">
      <c r="A45" s="3" t="n">
        <v>44</v>
      </c>
      <c r="B45" s="3" t="n">
        <v>43</v>
      </c>
      <c r="C45" s="3" t="s">
        <v>119</v>
      </c>
      <c r="D45" s="3" t="n">
        <v>3</v>
      </c>
      <c r="E45" s="24" t="n">
        <v>-0.0754230022</v>
      </c>
    </row>
    <row r="46" customFormat="false" ht="15" hidden="false" customHeight="false" outlineLevel="0" collapsed="false">
      <c r="A46" s="3" t="n">
        <v>45</v>
      </c>
      <c r="B46" s="3" t="n">
        <v>44</v>
      </c>
      <c r="C46" s="3" t="s">
        <v>119</v>
      </c>
      <c r="D46" s="3" t="n">
        <v>4</v>
      </c>
      <c r="E46" s="24" t="n">
        <v>0.0194396414</v>
      </c>
    </row>
    <row r="47" customFormat="false" ht="15" hidden="false" customHeight="false" outlineLevel="0" collapsed="false">
      <c r="A47" s="3" t="n">
        <v>46</v>
      </c>
      <c r="B47" s="3" t="n">
        <v>45</v>
      </c>
      <c r="C47" s="3" t="s">
        <v>119</v>
      </c>
      <c r="D47" s="3" t="n">
        <v>5</v>
      </c>
      <c r="E47" s="24" t="n">
        <v>-0.0253708232</v>
      </c>
    </row>
    <row r="48" customFormat="false" ht="15" hidden="false" customHeight="false" outlineLevel="0" collapsed="false">
      <c r="A48" s="3" t="n">
        <v>47</v>
      </c>
      <c r="B48" s="3" t="n">
        <v>46</v>
      </c>
      <c r="C48" s="3" t="s">
        <v>119</v>
      </c>
      <c r="D48" s="3" t="n">
        <v>6</v>
      </c>
      <c r="E48" s="24" t="n">
        <v>-0.0368762612</v>
      </c>
    </row>
    <row r="49" customFormat="false" ht="15" hidden="false" customHeight="false" outlineLevel="0" collapsed="false">
      <c r="A49" s="3" t="n">
        <v>48</v>
      </c>
      <c r="B49" s="3" t="n">
        <v>47</v>
      </c>
      <c r="C49" s="3" t="s">
        <v>119</v>
      </c>
      <c r="D49" s="3" t="n">
        <v>7</v>
      </c>
      <c r="E49" s="24" t="n">
        <v>0.100205697</v>
      </c>
    </row>
    <row r="50" customFormat="false" ht="15" hidden="false" customHeight="false" outlineLevel="0" collapsed="false">
      <c r="A50" s="3" t="n">
        <v>49</v>
      </c>
      <c r="B50" s="3" t="n">
        <v>48</v>
      </c>
      <c r="C50" s="3" t="s">
        <v>119</v>
      </c>
      <c r="D50" s="3" t="n">
        <v>8</v>
      </c>
      <c r="E50" s="24" t="n">
        <v>0.139470994</v>
      </c>
    </row>
    <row r="51" customFormat="false" ht="15" hidden="false" customHeight="false" outlineLevel="0" collapsed="false">
      <c r="A51" s="3" t="n">
        <v>50</v>
      </c>
      <c r="B51" s="3" t="n">
        <v>49</v>
      </c>
      <c r="C51" s="3" t="s">
        <v>119</v>
      </c>
      <c r="D51" s="3" t="n">
        <v>9</v>
      </c>
      <c r="E51" s="24" t="n">
        <v>-0.053918682</v>
      </c>
    </row>
  </sheetData>
  <autoFilter ref="A1:E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5" min="3" style="0" width="8"/>
    <col collapsed="false" customWidth="true" hidden="false" outlineLevel="0" max="6" min="6" style="0" width="14"/>
  </cols>
  <sheetData>
    <row r="1" customFormat="false" ht="23.85" hidden="false" customHeight="false" outlineLevel="0" collapsed="false">
      <c r="A1" s="9" t="s">
        <v>109</v>
      </c>
      <c r="B1" s="9" t="s">
        <v>110</v>
      </c>
      <c r="C1" s="9" t="s">
        <v>121</v>
      </c>
      <c r="D1" s="9" t="s">
        <v>122</v>
      </c>
      <c r="E1" s="9" t="s">
        <v>123</v>
      </c>
      <c r="F1" s="9" t="s">
        <v>114</v>
      </c>
      <c r="H1" s="4" t="s">
        <v>124</v>
      </c>
    </row>
    <row r="2" customFormat="false" ht="15" hidden="false" customHeight="false" outlineLevel="0" collapsed="false">
      <c r="A2" s="3" t="n">
        <v>1</v>
      </c>
      <c r="B2" s="3" t="n">
        <v>0</v>
      </c>
      <c r="C2" s="3" t="n">
        <v>0</v>
      </c>
      <c r="D2" s="3" t="n">
        <v>0</v>
      </c>
      <c r="E2" s="3" t="n">
        <v>0</v>
      </c>
      <c r="F2" s="24" t="n">
        <v>-0.424212962</v>
      </c>
    </row>
    <row r="3" customFormat="false" ht="15" hidden="false" customHeight="false" outlineLevel="0" collapsed="false">
      <c r="A3" s="3" t="n">
        <v>2</v>
      </c>
      <c r="B3" s="3" t="n">
        <v>1</v>
      </c>
      <c r="C3" s="3" t="n">
        <v>0</v>
      </c>
      <c r="D3" s="3" t="n">
        <v>0</v>
      </c>
      <c r="E3" s="3" t="n">
        <v>1</v>
      </c>
      <c r="F3" s="24" t="n">
        <v>-0.424212962</v>
      </c>
    </row>
    <row r="4" customFormat="false" ht="15" hidden="false" customHeight="false" outlineLevel="0" collapsed="false">
      <c r="A4" s="3" t="n">
        <v>3</v>
      </c>
      <c r="B4" s="3" t="n">
        <v>2</v>
      </c>
      <c r="C4" s="3" t="n">
        <v>0</v>
      </c>
      <c r="D4" s="3" t="n">
        <v>0</v>
      </c>
      <c r="E4" s="3" t="n">
        <v>2</v>
      </c>
      <c r="F4" s="24" t="n">
        <v>-0.424212962</v>
      </c>
    </row>
    <row r="5" customFormat="false" ht="15" hidden="false" customHeight="false" outlineLevel="0" collapsed="false">
      <c r="A5" s="3" t="n">
        <v>4</v>
      </c>
      <c r="B5" s="3" t="n">
        <v>3</v>
      </c>
      <c r="C5" s="3" t="n">
        <v>0</v>
      </c>
      <c r="D5" s="3" t="n">
        <v>0</v>
      </c>
      <c r="E5" s="3" t="n">
        <v>3</v>
      </c>
      <c r="F5" s="24" t="n">
        <v>-0.424212962</v>
      </c>
    </row>
    <row r="6" customFormat="false" ht="15" hidden="false" customHeight="false" outlineLevel="0" collapsed="false">
      <c r="A6" s="3" t="n">
        <v>5</v>
      </c>
      <c r="B6" s="3" t="n">
        <v>4</v>
      </c>
      <c r="C6" s="3" t="n">
        <v>0</v>
      </c>
      <c r="D6" s="3" t="n">
        <v>0</v>
      </c>
      <c r="E6" s="3" t="n">
        <v>4</v>
      </c>
      <c r="F6" s="24" t="n">
        <v>-0.424212962</v>
      </c>
    </row>
    <row r="7" customFormat="false" ht="15" hidden="false" customHeight="false" outlineLevel="0" collapsed="false">
      <c r="A7" s="3" t="n">
        <v>6</v>
      </c>
      <c r="B7" s="3" t="n">
        <v>5</v>
      </c>
      <c r="C7" s="3" t="n">
        <v>0</v>
      </c>
      <c r="D7" s="3" t="n">
        <v>0</v>
      </c>
      <c r="E7" s="3" t="n">
        <v>5</v>
      </c>
      <c r="F7" s="24" t="n">
        <v>-0.424212962</v>
      </c>
    </row>
    <row r="8" customFormat="false" ht="15" hidden="false" customHeight="false" outlineLevel="0" collapsed="false">
      <c r="A8" s="3" t="n">
        <v>7</v>
      </c>
      <c r="B8" s="3" t="n">
        <v>6</v>
      </c>
      <c r="C8" s="3" t="n">
        <v>0</v>
      </c>
      <c r="D8" s="3" t="n">
        <v>0</v>
      </c>
      <c r="E8" s="3" t="n">
        <v>6</v>
      </c>
      <c r="F8" s="24" t="n">
        <v>-0.424212962</v>
      </c>
    </row>
    <row r="9" customFormat="false" ht="15" hidden="false" customHeight="false" outlineLevel="0" collapsed="false">
      <c r="A9" s="3" t="n">
        <v>8</v>
      </c>
      <c r="B9" s="3" t="n">
        <v>7</v>
      </c>
      <c r="C9" s="3" t="n">
        <v>0</v>
      </c>
      <c r="D9" s="3" t="n">
        <v>0</v>
      </c>
      <c r="E9" s="3" t="n">
        <v>7</v>
      </c>
      <c r="F9" s="24" t="n">
        <v>-0.424212962</v>
      </c>
    </row>
    <row r="10" customFormat="false" ht="15" hidden="false" customHeight="false" outlineLevel="0" collapsed="false">
      <c r="A10" s="3" t="n">
        <v>9</v>
      </c>
      <c r="B10" s="3" t="n">
        <v>8</v>
      </c>
      <c r="C10" s="3" t="n">
        <v>0</v>
      </c>
      <c r="D10" s="3" t="n">
        <v>0</v>
      </c>
      <c r="E10" s="3" t="n">
        <v>8</v>
      </c>
      <c r="F10" s="24" t="n">
        <v>-0.424212962</v>
      </c>
    </row>
    <row r="11" customFormat="false" ht="15" hidden="false" customHeight="false" outlineLevel="0" collapsed="false">
      <c r="A11" s="3" t="n">
        <v>10</v>
      </c>
      <c r="B11" s="3" t="n">
        <v>9</v>
      </c>
      <c r="C11" s="3" t="n">
        <v>0</v>
      </c>
      <c r="D11" s="3" t="n">
        <v>0</v>
      </c>
      <c r="E11" s="3" t="n">
        <v>9</v>
      </c>
      <c r="F11" s="24" t="n">
        <v>-0.424212962</v>
      </c>
    </row>
    <row r="12" customFormat="false" ht="15" hidden="false" customHeight="false" outlineLevel="0" collapsed="false">
      <c r="A12" s="3" t="n">
        <v>11</v>
      </c>
      <c r="B12" s="3" t="n">
        <v>10</v>
      </c>
      <c r="C12" s="3" t="n">
        <v>0</v>
      </c>
      <c r="D12" s="3" t="n">
        <v>0</v>
      </c>
      <c r="E12" s="3" t="n">
        <v>10</v>
      </c>
      <c r="F12" s="24" t="n">
        <v>-0.424212962</v>
      </c>
    </row>
    <row r="13" customFormat="false" ht="15" hidden="false" customHeight="false" outlineLevel="0" collapsed="false">
      <c r="A13" s="3" t="n">
        <v>12</v>
      </c>
      <c r="B13" s="3" t="n">
        <v>11</v>
      </c>
      <c r="C13" s="3" t="n">
        <v>0</v>
      </c>
      <c r="D13" s="3" t="n">
        <v>0</v>
      </c>
      <c r="E13" s="3" t="n">
        <v>11</v>
      </c>
      <c r="F13" s="24" t="n">
        <v>-0.424212962</v>
      </c>
    </row>
    <row r="14" customFormat="false" ht="15" hidden="false" customHeight="false" outlineLevel="0" collapsed="false">
      <c r="A14" s="3" t="n">
        <v>13</v>
      </c>
      <c r="B14" s="3" t="n">
        <v>12</v>
      </c>
      <c r="C14" s="3" t="n">
        <v>0</v>
      </c>
      <c r="D14" s="3" t="n">
        <v>0</v>
      </c>
      <c r="E14" s="3" t="n">
        <v>12</v>
      </c>
      <c r="F14" s="24" t="n">
        <v>-0.424212962</v>
      </c>
    </row>
    <row r="15" customFormat="false" ht="15" hidden="false" customHeight="false" outlineLevel="0" collapsed="false">
      <c r="A15" s="3" t="n">
        <v>14</v>
      </c>
      <c r="B15" s="3" t="n">
        <v>13</v>
      </c>
      <c r="C15" s="3" t="n">
        <v>0</v>
      </c>
      <c r="D15" s="3" t="n">
        <v>0</v>
      </c>
      <c r="E15" s="3" t="n">
        <v>13</v>
      </c>
      <c r="F15" s="24" t="n">
        <v>-0.424212962</v>
      </c>
    </row>
    <row r="16" customFormat="false" ht="15" hidden="false" customHeight="false" outlineLevel="0" collapsed="false">
      <c r="A16" s="3" t="n">
        <v>15</v>
      </c>
      <c r="B16" s="3" t="n">
        <v>14</v>
      </c>
      <c r="C16" s="3" t="n">
        <v>0</v>
      </c>
      <c r="D16" s="3" t="n">
        <v>0</v>
      </c>
      <c r="E16" s="3" t="n">
        <v>14</v>
      </c>
      <c r="F16" s="24" t="n">
        <v>-0.424212962</v>
      </c>
    </row>
    <row r="17" customFormat="false" ht="15" hidden="false" customHeight="false" outlineLevel="0" collapsed="false">
      <c r="A17" s="3" t="n">
        <v>16</v>
      </c>
      <c r="B17" s="3" t="n">
        <v>15</v>
      </c>
      <c r="C17" s="3" t="n">
        <v>0</v>
      </c>
      <c r="D17" s="3" t="n">
        <v>0</v>
      </c>
      <c r="E17" s="3" t="n">
        <v>15</v>
      </c>
      <c r="F17" s="24" t="n">
        <v>-0.424212962</v>
      </c>
    </row>
    <row r="18" customFormat="false" ht="15" hidden="false" customHeight="false" outlineLevel="0" collapsed="false">
      <c r="A18" s="3" t="n">
        <v>17</v>
      </c>
      <c r="B18" s="3" t="n">
        <v>16</v>
      </c>
      <c r="C18" s="3" t="n">
        <v>0</v>
      </c>
      <c r="D18" s="3" t="n">
        <v>0</v>
      </c>
      <c r="E18" s="3" t="n">
        <v>16</v>
      </c>
      <c r="F18" s="24" t="n">
        <v>-0.424212962</v>
      </c>
    </row>
    <row r="19" customFormat="false" ht="15" hidden="false" customHeight="false" outlineLevel="0" collapsed="false">
      <c r="A19" s="3" t="n">
        <v>18</v>
      </c>
      <c r="B19" s="3" t="n">
        <v>17</v>
      </c>
      <c r="C19" s="3" t="n">
        <v>0</v>
      </c>
      <c r="D19" s="3" t="n">
        <v>0</v>
      </c>
      <c r="E19" s="3" t="n">
        <v>17</v>
      </c>
      <c r="F19" s="24" t="n">
        <v>-0.424212962</v>
      </c>
    </row>
    <row r="20" customFormat="false" ht="15" hidden="false" customHeight="false" outlineLevel="0" collapsed="false">
      <c r="A20" s="3" t="n">
        <v>19</v>
      </c>
      <c r="B20" s="3" t="n">
        <v>18</v>
      </c>
      <c r="C20" s="3" t="n">
        <v>0</v>
      </c>
      <c r="D20" s="3" t="n">
        <v>0</v>
      </c>
      <c r="E20" s="3" t="n">
        <v>18</v>
      </c>
      <c r="F20" s="24" t="n">
        <v>-0.424212962</v>
      </c>
    </row>
    <row r="21" customFormat="false" ht="15" hidden="false" customHeight="false" outlineLevel="0" collapsed="false">
      <c r="A21" s="3" t="n">
        <v>20</v>
      </c>
      <c r="B21" s="3" t="n">
        <v>19</v>
      </c>
      <c r="C21" s="3" t="n">
        <v>0</v>
      </c>
      <c r="D21" s="3" t="n">
        <v>0</v>
      </c>
      <c r="E21" s="3" t="n">
        <v>19</v>
      </c>
      <c r="F21" s="24" t="n">
        <v>-0.424212962</v>
      </c>
    </row>
    <row r="22" customFormat="false" ht="15" hidden="false" customHeight="false" outlineLevel="0" collapsed="false">
      <c r="A22" s="3" t="n">
        <v>21</v>
      </c>
      <c r="B22" s="3" t="n">
        <v>20</v>
      </c>
      <c r="C22" s="3" t="n">
        <v>0</v>
      </c>
      <c r="D22" s="3" t="n">
        <v>0</v>
      </c>
      <c r="E22" s="3" t="n">
        <v>20</v>
      </c>
      <c r="F22" s="24" t="n">
        <v>-0.424212962</v>
      </c>
    </row>
    <row r="23" customFormat="false" ht="15" hidden="false" customHeight="false" outlineLevel="0" collapsed="false">
      <c r="A23" s="3" t="n">
        <v>22</v>
      </c>
      <c r="B23" s="3" t="n">
        <v>21</v>
      </c>
      <c r="C23" s="3" t="n">
        <v>0</v>
      </c>
      <c r="D23" s="3" t="n">
        <v>0</v>
      </c>
      <c r="E23" s="3" t="n">
        <v>21</v>
      </c>
      <c r="F23" s="24" t="n">
        <v>-0.424212962</v>
      </c>
    </row>
    <row r="24" customFormat="false" ht="15" hidden="false" customHeight="false" outlineLevel="0" collapsed="false">
      <c r="A24" s="3" t="n">
        <v>23</v>
      </c>
      <c r="B24" s="3" t="n">
        <v>22</v>
      </c>
      <c r="C24" s="3" t="n">
        <v>0</v>
      </c>
      <c r="D24" s="3" t="n">
        <v>0</v>
      </c>
      <c r="E24" s="3" t="n">
        <v>22</v>
      </c>
      <c r="F24" s="24" t="n">
        <v>-0.424212962</v>
      </c>
    </row>
    <row r="25" customFormat="false" ht="15" hidden="false" customHeight="false" outlineLevel="0" collapsed="false">
      <c r="A25" s="3" t="n">
        <v>24</v>
      </c>
      <c r="B25" s="3" t="n">
        <v>23</v>
      </c>
      <c r="C25" s="3" t="n">
        <v>0</v>
      </c>
      <c r="D25" s="3" t="n">
        <v>0</v>
      </c>
      <c r="E25" s="3" t="n">
        <v>23</v>
      </c>
      <c r="F25" s="24" t="n">
        <v>-0.424212962</v>
      </c>
    </row>
    <row r="26" customFormat="false" ht="15" hidden="false" customHeight="false" outlineLevel="0" collapsed="false">
      <c r="A26" s="3" t="n">
        <v>25</v>
      </c>
      <c r="B26" s="3" t="n">
        <v>24</v>
      </c>
      <c r="C26" s="3" t="n">
        <v>0</v>
      </c>
      <c r="D26" s="3" t="n">
        <v>0</v>
      </c>
      <c r="E26" s="3" t="n">
        <v>24</v>
      </c>
      <c r="F26" s="24" t="n">
        <v>-0.424212962</v>
      </c>
    </row>
    <row r="27" customFormat="false" ht="15" hidden="false" customHeight="false" outlineLevel="0" collapsed="false">
      <c r="A27" s="3" t="n">
        <v>26</v>
      </c>
      <c r="B27" s="3" t="n">
        <v>25</v>
      </c>
      <c r="C27" s="3" t="n">
        <v>0</v>
      </c>
      <c r="D27" s="3" t="n">
        <v>0</v>
      </c>
      <c r="E27" s="3" t="n">
        <v>25</v>
      </c>
      <c r="F27" s="24" t="n">
        <v>-0.424212962</v>
      </c>
    </row>
    <row r="28" customFormat="false" ht="15" hidden="false" customHeight="false" outlineLevel="0" collapsed="false">
      <c r="A28" s="3" t="n">
        <v>27</v>
      </c>
      <c r="B28" s="3" t="n">
        <v>26</v>
      </c>
      <c r="C28" s="3" t="n">
        <v>0</v>
      </c>
      <c r="D28" s="3" t="n">
        <v>0</v>
      </c>
      <c r="E28" s="3" t="n">
        <v>26</v>
      </c>
      <c r="F28" s="24" t="n">
        <v>-0.424212962</v>
      </c>
    </row>
    <row r="29" customFormat="false" ht="15" hidden="false" customHeight="false" outlineLevel="0" collapsed="false">
      <c r="A29" s="3" t="n">
        <v>28</v>
      </c>
      <c r="B29" s="3" t="n">
        <v>27</v>
      </c>
      <c r="C29" s="3" t="n">
        <v>0</v>
      </c>
      <c r="D29" s="3" t="n">
        <v>0</v>
      </c>
      <c r="E29" s="3" t="n">
        <v>27</v>
      </c>
      <c r="F29" s="24" t="n">
        <v>-0.424212962</v>
      </c>
    </row>
    <row r="30" customFormat="false" ht="15" hidden="false" customHeight="false" outlineLevel="0" collapsed="false">
      <c r="A30" s="3" t="n">
        <v>29</v>
      </c>
      <c r="B30" s="3" t="n">
        <v>28</v>
      </c>
      <c r="C30" s="3" t="n">
        <v>0</v>
      </c>
      <c r="D30" s="3" t="n">
        <v>1</v>
      </c>
      <c r="E30" s="3" t="n">
        <v>0</v>
      </c>
      <c r="F30" s="24" t="n">
        <v>-0.424212962</v>
      </c>
    </row>
    <row r="31" customFormat="false" ht="15" hidden="false" customHeight="false" outlineLevel="0" collapsed="false">
      <c r="A31" s="3" t="n">
        <v>30</v>
      </c>
      <c r="B31" s="3" t="n">
        <v>29</v>
      </c>
      <c r="C31" s="3" t="n">
        <v>0</v>
      </c>
      <c r="D31" s="3" t="n">
        <v>1</v>
      </c>
      <c r="E31" s="3" t="n">
        <v>1</v>
      </c>
      <c r="F31" s="24" t="n">
        <v>-0.424212962</v>
      </c>
    </row>
    <row r="32" customFormat="false" ht="15" hidden="false" customHeight="false" outlineLevel="0" collapsed="false">
      <c r="A32" s="3" t="n">
        <v>31</v>
      </c>
      <c r="B32" s="3" t="n">
        <v>30</v>
      </c>
      <c r="C32" s="3" t="n">
        <v>0</v>
      </c>
      <c r="D32" s="3" t="n">
        <v>1</v>
      </c>
      <c r="E32" s="3" t="n">
        <v>2</v>
      </c>
      <c r="F32" s="24" t="n">
        <v>-0.424212962</v>
      </c>
    </row>
    <row r="33" customFormat="false" ht="15" hidden="false" customHeight="false" outlineLevel="0" collapsed="false">
      <c r="A33" s="3" t="n">
        <v>32</v>
      </c>
      <c r="B33" s="3" t="n">
        <v>31</v>
      </c>
      <c r="C33" s="3" t="n">
        <v>0</v>
      </c>
      <c r="D33" s="3" t="n">
        <v>1</v>
      </c>
      <c r="E33" s="3" t="n">
        <v>3</v>
      </c>
      <c r="F33" s="24" t="n">
        <v>-0.424212962</v>
      </c>
    </row>
    <row r="34" customFormat="false" ht="15" hidden="false" customHeight="false" outlineLevel="0" collapsed="false">
      <c r="A34" s="3" t="n">
        <v>33</v>
      </c>
      <c r="B34" s="3" t="n">
        <v>32</v>
      </c>
      <c r="C34" s="3" t="n">
        <v>0</v>
      </c>
      <c r="D34" s="3" t="n">
        <v>1</v>
      </c>
      <c r="E34" s="3" t="n">
        <v>4</v>
      </c>
      <c r="F34" s="24" t="n">
        <v>-0.424212962</v>
      </c>
    </row>
    <row r="35" customFormat="false" ht="15" hidden="false" customHeight="false" outlineLevel="0" collapsed="false">
      <c r="A35" s="3" t="n">
        <v>34</v>
      </c>
      <c r="B35" s="3" t="n">
        <v>33</v>
      </c>
      <c r="C35" s="3" t="n">
        <v>0</v>
      </c>
      <c r="D35" s="3" t="n">
        <v>1</v>
      </c>
      <c r="E35" s="3" t="n">
        <v>5</v>
      </c>
      <c r="F35" s="24" t="n">
        <v>-0.424212962</v>
      </c>
    </row>
    <row r="36" customFormat="false" ht="15" hidden="false" customHeight="false" outlineLevel="0" collapsed="false">
      <c r="A36" s="3" t="n">
        <v>35</v>
      </c>
      <c r="B36" s="3" t="n">
        <v>34</v>
      </c>
      <c r="C36" s="3" t="n">
        <v>0</v>
      </c>
      <c r="D36" s="3" t="n">
        <v>1</v>
      </c>
      <c r="E36" s="3" t="n">
        <v>6</v>
      </c>
      <c r="F36" s="24" t="n">
        <v>-0.424212962</v>
      </c>
    </row>
    <row r="37" customFormat="false" ht="15" hidden="false" customHeight="false" outlineLevel="0" collapsed="false">
      <c r="A37" s="3" t="n">
        <v>36</v>
      </c>
      <c r="B37" s="3" t="n">
        <v>35</v>
      </c>
      <c r="C37" s="3" t="n">
        <v>0</v>
      </c>
      <c r="D37" s="3" t="n">
        <v>1</v>
      </c>
      <c r="E37" s="3" t="n">
        <v>7</v>
      </c>
      <c r="F37" s="24" t="n">
        <v>-0.424212962</v>
      </c>
    </row>
    <row r="38" customFormat="false" ht="15" hidden="false" customHeight="false" outlineLevel="0" collapsed="false">
      <c r="A38" s="3" t="n">
        <v>37</v>
      </c>
      <c r="B38" s="3" t="n">
        <v>36</v>
      </c>
      <c r="C38" s="3" t="n">
        <v>0</v>
      </c>
      <c r="D38" s="3" t="n">
        <v>1</v>
      </c>
      <c r="E38" s="3" t="n">
        <v>8</v>
      </c>
      <c r="F38" s="24" t="n">
        <v>-0.424212962</v>
      </c>
    </row>
    <row r="39" customFormat="false" ht="15" hidden="false" customHeight="false" outlineLevel="0" collapsed="false">
      <c r="A39" s="3" t="n">
        <v>38</v>
      </c>
      <c r="B39" s="3" t="n">
        <v>37</v>
      </c>
      <c r="C39" s="3" t="n">
        <v>0</v>
      </c>
      <c r="D39" s="3" t="n">
        <v>1</v>
      </c>
      <c r="E39" s="3" t="n">
        <v>9</v>
      </c>
      <c r="F39" s="24" t="n">
        <v>-0.424212962</v>
      </c>
    </row>
    <row r="40" customFormat="false" ht="15" hidden="false" customHeight="false" outlineLevel="0" collapsed="false">
      <c r="A40" s="3" t="n">
        <v>39</v>
      </c>
      <c r="B40" s="3" t="n">
        <v>38</v>
      </c>
      <c r="C40" s="3" t="n">
        <v>0</v>
      </c>
      <c r="D40" s="3" t="n">
        <v>1</v>
      </c>
      <c r="E40" s="3" t="n">
        <v>10</v>
      </c>
      <c r="F40" s="24" t="n">
        <v>-0.424212962</v>
      </c>
    </row>
    <row r="41" customFormat="false" ht="15" hidden="false" customHeight="false" outlineLevel="0" collapsed="false">
      <c r="A41" s="3" t="n">
        <v>40</v>
      </c>
      <c r="B41" s="3" t="n">
        <v>39</v>
      </c>
      <c r="C41" s="3" t="n">
        <v>0</v>
      </c>
      <c r="D41" s="3" t="n">
        <v>1</v>
      </c>
      <c r="E41" s="3" t="n">
        <v>11</v>
      </c>
      <c r="F41" s="24" t="n">
        <v>-0.424212962</v>
      </c>
    </row>
    <row r="42" customFormat="false" ht="15" hidden="false" customHeight="false" outlineLevel="0" collapsed="false">
      <c r="A42" s="3" t="n">
        <v>41</v>
      </c>
      <c r="B42" s="3" t="n">
        <v>40</v>
      </c>
      <c r="C42" s="3" t="n">
        <v>0</v>
      </c>
      <c r="D42" s="3" t="n">
        <v>1</v>
      </c>
      <c r="E42" s="3" t="n">
        <v>12</v>
      </c>
      <c r="F42" s="24" t="n">
        <v>-0.424212962</v>
      </c>
    </row>
    <row r="43" customFormat="false" ht="15" hidden="false" customHeight="false" outlineLevel="0" collapsed="false">
      <c r="A43" s="3" t="n">
        <v>42</v>
      </c>
      <c r="B43" s="3" t="n">
        <v>41</v>
      </c>
      <c r="C43" s="3" t="n">
        <v>0</v>
      </c>
      <c r="D43" s="3" t="n">
        <v>1</v>
      </c>
      <c r="E43" s="3" t="n">
        <v>13</v>
      </c>
      <c r="F43" s="24" t="n">
        <v>-0.424212962</v>
      </c>
    </row>
    <row r="44" customFormat="false" ht="15" hidden="false" customHeight="false" outlineLevel="0" collapsed="false">
      <c r="A44" s="3" t="n">
        <v>43</v>
      </c>
      <c r="B44" s="3" t="n">
        <v>42</v>
      </c>
      <c r="C44" s="3" t="n">
        <v>0</v>
      </c>
      <c r="D44" s="3" t="n">
        <v>1</v>
      </c>
      <c r="E44" s="3" t="n">
        <v>14</v>
      </c>
      <c r="F44" s="24" t="n">
        <v>-0.424212962</v>
      </c>
    </row>
    <row r="45" customFormat="false" ht="15" hidden="false" customHeight="false" outlineLevel="0" collapsed="false">
      <c r="A45" s="3" t="n">
        <v>44</v>
      </c>
      <c r="B45" s="3" t="n">
        <v>43</v>
      </c>
      <c r="C45" s="3" t="n">
        <v>0</v>
      </c>
      <c r="D45" s="3" t="n">
        <v>1</v>
      </c>
      <c r="E45" s="3" t="n">
        <v>15</v>
      </c>
      <c r="F45" s="24" t="n">
        <v>-0.424212962</v>
      </c>
    </row>
    <row r="46" customFormat="false" ht="15" hidden="false" customHeight="false" outlineLevel="0" collapsed="false">
      <c r="A46" s="3" t="n">
        <v>45</v>
      </c>
      <c r="B46" s="3" t="n">
        <v>44</v>
      </c>
      <c r="C46" s="3" t="n">
        <v>0</v>
      </c>
      <c r="D46" s="3" t="n">
        <v>1</v>
      </c>
      <c r="E46" s="3" t="n">
        <v>16</v>
      </c>
      <c r="F46" s="24" t="n">
        <v>-0.424212962</v>
      </c>
    </row>
    <row r="47" customFormat="false" ht="15" hidden="false" customHeight="false" outlineLevel="0" collapsed="false">
      <c r="A47" s="3" t="n">
        <v>46</v>
      </c>
      <c r="B47" s="3" t="n">
        <v>45</v>
      </c>
      <c r="C47" s="3" t="n">
        <v>0</v>
      </c>
      <c r="D47" s="3" t="n">
        <v>1</v>
      </c>
      <c r="E47" s="3" t="n">
        <v>17</v>
      </c>
      <c r="F47" s="24" t="n">
        <v>-0.424212962</v>
      </c>
    </row>
    <row r="48" customFormat="false" ht="15" hidden="false" customHeight="false" outlineLevel="0" collapsed="false">
      <c r="A48" s="3" t="n">
        <v>47</v>
      </c>
      <c r="B48" s="3" t="n">
        <v>46</v>
      </c>
      <c r="C48" s="3" t="n">
        <v>0</v>
      </c>
      <c r="D48" s="3" t="n">
        <v>1</v>
      </c>
      <c r="E48" s="3" t="n">
        <v>18</v>
      </c>
      <c r="F48" s="24" t="n">
        <v>-0.424212962</v>
      </c>
    </row>
    <row r="49" customFormat="false" ht="15" hidden="false" customHeight="false" outlineLevel="0" collapsed="false">
      <c r="A49" s="3" t="n">
        <v>48</v>
      </c>
      <c r="B49" s="3" t="n">
        <v>47</v>
      </c>
      <c r="C49" s="3" t="n">
        <v>0</v>
      </c>
      <c r="D49" s="3" t="n">
        <v>1</v>
      </c>
      <c r="E49" s="3" t="n">
        <v>19</v>
      </c>
      <c r="F49" s="24" t="n">
        <v>-0.424212962</v>
      </c>
    </row>
    <row r="50" customFormat="false" ht="15" hidden="false" customHeight="false" outlineLevel="0" collapsed="false">
      <c r="A50" s="3" t="n">
        <v>49</v>
      </c>
      <c r="B50" s="3" t="n">
        <v>48</v>
      </c>
      <c r="C50" s="3" t="n">
        <v>0</v>
      </c>
      <c r="D50" s="3" t="n">
        <v>1</v>
      </c>
      <c r="E50" s="3" t="n">
        <v>20</v>
      </c>
      <c r="F50" s="24" t="n">
        <v>-0.424212962</v>
      </c>
    </row>
    <row r="51" customFormat="false" ht="15" hidden="false" customHeight="false" outlineLevel="0" collapsed="false">
      <c r="A51" s="3" t="n">
        <v>50</v>
      </c>
      <c r="B51" s="3" t="n">
        <v>49</v>
      </c>
      <c r="C51" s="3" t="n">
        <v>0</v>
      </c>
      <c r="D51" s="3" t="n">
        <v>1</v>
      </c>
      <c r="E51" s="3" t="n">
        <v>21</v>
      </c>
      <c r="F51" s="24" t="n">
        <v>-0.424212962</v>
      </c>
    </row>
    <row r="52" customFormat="false" ht="15" hidden="false" customHeight="false" outlineLevel="0" collapsed="false">
      <c r="A52" s="3" t="n">
        <v>51</v>
      </c>
      <c r="B52" s="3" t="n">
        <v>50</v>
      </c>
      <c r="C52" s="3" t="n">
        <v>0</v>
      </c>
      <c r="D52" s="3" t="n">
        <v>1</v>
      </c>
      <c r="E52" s="3" t="n">
        <v>22</v>
      </c>
      <c r="F52" s="24" t="n">
        <v>-0.424212962</v>
      </c>
    </row>
    <row r="53" customFormat="false" ht="15" hidden="false" customHeight="false" outlineLevel="0" collapsed="false">
      <c r="A53" s="3" t="n">
        <v>52</v>
      </c>
      <c r="B53" s="3" t="n">
        <v>51</v>
      </c>
      <c r="C53" s="3" t="n">
        <v>0</v>
      </c>
      <c r="D53" s="3" t="n">
        <v>1</v>
      </c>
      <c r="E53" s="3" t="n">
        <v>23</v>
      </c>
      <c r="F53" s="24" t="n">
        <v>-0.424212962</v>
      </c>
    </row>
    <row r="54" customFormat="false" ht="15" hidden="false" customHeight="false" outlineLevel="0" collapsed="false">
      <c r="A54" s="3" t="n">
        <v>53</v>
      </c>
      <c r="B54" s="3" t="n">
        <v>52</v>
      </c>
      <c r="C54" s="3" t="n">
        <v>0</v>
      </c>
      <c r="D54" s="3" t="n">
        <v>1</v>
      </c>
      <c r="E54" s="3" t="n">
        <v>24</v>
      </c>
      <c r="F54" s="24" t="n">
        <v>-0.424212962</v>
      </c>
    </row>
    <row r="55" customFormat="false" ht="15" hidden="false" customHeight="false" outlineLevel="0" collapsed="false">
      <c r="A55" s="3" t="n">
        <v>54</v>
      </c>
      <c r="B55" s="3" t="n">
        <v>53</v>
      </c>
      <c r="C55" s="3" t="n">
        <v>0</v>
      </c>
      <c r="D55" s="3" t="n">
        <v>1</v>
      </c>
      <c r="E55" s="3" t="n">
        <v>25</v>
      </c>
      <c r="F55" s="24" t="n">
        <v>-0.424212962</v>
      </c>
    </row>
    <row r="56" customFormat="false" ht="15" hidden="false" customHeight="false" outlineLevel="0" collapsed="false">
      <c r="A56" s="3" t="n">
        <v>55</v>
      </c>
      <c r="B56" s="3" t="n">
        <v>54</v>
      </c>
      <c r="C56" s="3" t="n">
        <v>0</v>
      </c>
      <c r="D56" s="3" t="n">
        <v>1</v>
      </c>
      <c r="E56" s="3" t="n">
        <v>26</v>
      </c>
      <c r="F56" s="24" t="n">
        <v>-0.424212962</v>
      </c>
    </row>
    <row r="57" customFormat="false" ht="15" hidden="false" customHeight="false" outlineLevel="0" collapsed="false">
      <c r="A57" s="3" t="n">
        <v>56</v>
      </c>
      <c r="B57" s="3" t="n">
        <v>55</v>
      </c>
      <c r="C57" s="3" t="n">
        <v>0</v>
      </c>
      <c r="D57" s="3" t="n">
        <v>1</v>
      </c>
      <c r="E57" s="3" t="n">
        <v>27</v>
      </c>
      <c r="F57" s="24" t="n">
        <v>-0.424212962</v>
      </c>
    </row>
    <row r="58" customFormat="false" ht="15" hidden="false" customHeight="false" outlineLevel="0" collapsed="false">
      <c r="A58" s="3" t="n">
        <v>57</v>
      </c>
      <c r="B58" s="3" t="n">
        <v>56</v>
      </c>
      <c r="C58" s="3" t="n">
        <v>0</v>
      </c>
      <c r="D58" s="3" t="n">
        <v>2</v>
      </c>
      <c r="E58" s="3" t="n">
        <v>0</v>
      </c>
      <c r="F58" s="24" t="n">
        <v>-0.424212962</v>
      </c>
    </row>
    <row r="59" customFormat="false" ht="15" hidden="false" customHeight="false" outlineLevel="0" collapsed="false">
      <c r="A59" s="3" t="n">
        <v>58</v>
      </c>
      <c r="B59" s="3" t="n">
        <v>57</v>
      </c>
      <c r="C59" s="3" t="n">
        <v>0</v>
      </c>
      <c r="D59" s="3" t="n">
        <v>2</v>
      </c>
      <c r="E59" s="3" t="n">
        <v>1</v>
      </c>
      <c r="F59" s="24" t="n">
        <v>-0.424212962</v>
      </c>
    </row>
    <row r="60" customFormat="false" ht="15" hidden="false" customHeight="false" outlineLevel="0" collapsed="false">
      <c r="A60" s="3" t="n">
        <v>59</v>
      </c>
      <c r="B60" s="3" t="n">
        <v>58</v>
      </c>
      <c r="C60" s="3" t="n">
        <v>0</v>
      </c>
      <c r="D60" s="3" t="n">
        <v>2</v>
      </c>
      <c r="E60" s="3" t="n">
        <v>2</v>
      </c>
      <c r="F60" s="24" t="n">
        <v>-0.424212962</v>
      </c>
    </row>
    <row r="61" customFormat="false" ht="15" hidden="false" customHeight="false" outlineLevel="0" collapsed="false">
      <c r="A61" s="3" t="n">
        <v>60</v>
      </c>
      <c r="B61" s="3" t="n">
        <v>59</v>
      </c>
      <c r="C61" s="3" t="n">
        <v>0</v>
      </c>
      <c r="D61" s="3" t="n">
        <v>2</v>
      </c>
      <c r="E61" s="3" t="n">
        <v>3</v>
      </c>
      <c r="F61" s="24" t="n">
        <v>-0.424212962</v>
      </c>
    </row>
    <row r="62" customFormat="false" ht="15" hidden="false" customHeight="false" outlineLevel="0" collapsed="false">
      <c r="A62" s="3" t="n">
        <v>61</v>
      </c>
      <c r="B62" s="3" t="n">
        <v>60</v>
      </c>
      <c r="C62" s="3" t="n">
        <v>0</v>
      </c>
      <c r="D62" s="3" t="n">
        <v>2</v>
      </c>
      <c r="E62" s="3" t="n">
        <v>4</v>
      </c>
      <c r="F62" s="24" t="n">
        <v>-0.424212962</v>
      </c>
    </row>
    <row r="63" customFormat="false" ht="15" hidden="false" customHeight="false" outlineLevel="0" collapsed="false">
      <c r="A63" s="3" t="n">
        <v>62</v>
      </c>
      <c r="B63" s="3" t="n">
        <v>61</v>
      </c>
      <c r="C63" s="3" t="n">
        <v>0</v>
      </c>
      <c r="D63" s="3" t="n">
        <v>2</v>
      </c>
      <c r="E63" s="3" t="n">
        <v>5</v>
      </c>
      <c r="F63" s="24" t="n">
        <v>-0.424212962</v>
      </c>
    </row>
    <row r="64" customFormat="false" ht="15" hidden="false" customHeight="false" outlineLevel="0" collapsed="false">
      <c r="A64" s="3" t="n">
        <v>63</v>
      </c>
      <c r="B64" s="3" t="n">
        <v>62</v>
      </c>
      <c r="C64" s="3" t="n">
        <v>0</v>
      </c>
      <c r="D64" s="3" t="n">
        <v>2</v>
      </c>
      <c r="E64" s="3" t="n">
        <v>6</v>
      </c>
      <c r="F64" s="24" t="n">
        <v>-0.424212962</v>
      </c>
    </row>
    <row r="65" customFormat="false" ht="15" hidden="false" customHeight="false" outlineLevel="0" collapsed="false">
      <c r="A65" s="3" t="n">
        <v>64</v>
      </c>
      <c r="B65" s="3" t="n">
        <v>63</v>
      </c>
      <c r="C65" s="3" t="n">
        <v>0</v>
      </c>
      <c r="D65" s="3" t="n">
        <v>2</v>
      </c>
      <c r="E65" s="3" t="n">
        <v>7</v>
      </c>
      <c r="F65" s="24" t="n">
        <v>-0.424212962</v>
      </c>
    </row>
    <row r="66" customFormat="false" ht="15" hidden="false" customHeight="false" outlineLevel="0" collapsed="false">
      <c r="A66" s="3" t="n">
        <v>65</v>
      </c>
      <c r="B66" s="3" t="n">
        <v>64</v>
      </c>
      <c r="C66" s="3" t="n">
        <v>0</v>
      </c>
      <c r="D66" s="3" t="n">
        <v>2</v>
      </c>
      <c r="E66" s="3" t="n">
        <v>8</v>
      </c>
      <c r="F66" s="24" t="n">
        <v>-0.424212962</v>
      </c>
    </row>
    <row r="67" customFormat="false" ht="15" hidden="false" customHeight="false" outlineLevel="0" collapsed="false">
      <c r="A67" s="3" t="n">
        <v>66</v>
      </c>
      <c r="B67" s="3" t="n">
        <v>65</v>
      </c>
      <c r="C67" s="3" t="n">
        <v>0</v>
      </c>
      <c r="D67" s="3" t="n">
        <v>2</v>
      </c>
      <c r="E67" s="3" t="n">
        <v>9</v>
      </c>
      <c r="F67" s="24" t="n">
        <v>-0.424212962</v>
      </c>
    </row>
    <row r="68" customFormat="false" ht="15" hidden="false" customHeight="false" outlineLevel="0" collapsed="false">
      <c r="A68" s="3" t="n">
        <v>67</v>
      </c>
      <c r="B68" s="3" t="n">
        <v>66</v>
      </c>
      <c r="C68" s="3" t="n">
        <v>0</v>
      </c>
      <c r="D68" s="3" t="n">
        <v>2</v>
      </c>
      <c r="E68" s="3" t="n">
        <v>10</v>
      </c>
      <c r="F68" s="24" t="n">
        <v>-0.424212962</v>
      </c>
    </row>
    <row r="69" customFormat="false" ht="15" hidden="false" customHeight="false" outlineLevel="0" collapsed="false">
      <c r="A69" s="3" t="n">
        <v>68</v>
      </c>
      <c r="B69" s="3" t="n">
        <v>67</v>
      </c>
      <c r="C69" s="3" t="n">
        <v>0</v>
      </c>
      <c r="D69" s="3" t="n">
        <v>2</v>
      </c>
      <c r="E69" s="3" t="n">
        <v>11</v>
      </c>
      <c r="F69" s="24" t="n">
        <v>-0.424212962</v>
      </c>
    </row>
    <row r="70" customFormat="false" ht="15" hidden="false" customHeight="false" outlineLevel="0" collapsed="false">
      <c r="A70" s="3" t="n">
        <v>69</v>
      </c>
      <c r="B70" s="3" t="n">
        <v>68</v>
      </c>
      <c r="C70" s="3" t="n">
        <v>0</v>
      </c>
      <c r="D70" s="3" t="n">
        <v>2</v>
      </c>
      <c r="E70" s="3" t="n">
        <v>12</v>
      </c>
      <c r="F70" s="24" t="n">
        <v>-0.424212962</v>
      </c>
    </row>
    <row r="71" customFormat="false" ht="15" hidden="false" customHeight="false" outlineLevel="0" collapsed="false">
      <c r="A71" s="3" t="n">
        <v>70</v>
      </c>
      <c r="B71" s="3" t="n">
        <v>69</v>
      </c>
      <c r="C71" s="3" t="n">
        <v>0</v>
      </c>
      <c r="D71" s="3" t="n">
        <v>2</v>
      </c>
      <c r="E71" s="3" t="n">
        <v>13</v>
      </c>
      <c r="F71" s="24" t="n">
        <v>-0.424212962</v>
      </c>
    </row>
    <row r="72" customFormat="false" ht="15" hidden="false" customHeight="false" outlineLevel="0" collapsed="false">
      <c r="A72" s="3" t="n">
        <v>71</v>
      </c>
      <c r="B72" s="3" t="n">
        <v>70</v>
      </c>
      <c r="C72" s="3" t="n">
        <v>0</v>
      </c>
      <c r="D72" s="3" t="n">
        <v>2</v>
      </c>
      <c r="E72" s="3" t="n">
        <v>14</v>
      </c>
      <c r="F72" s="24" t="n">
        <v>-0.424212962</v>
      </c>
    </row>
    <row r="73" customFormat="false" ht="15" hidden="false" customHeight="false" outlineLevel="0" collapsed="false">
      <c r="A73" s="3" t="n">
        <v>72</v>
      </c>
      <c r="B73" s="3" t="n">
        <v>71</v>
      </c>
      <c r="C73" s="3" t="n">
        <v>0</v>
      </c>
      <c r="D73" s="3" t="n">
        <v>2</v>
      </c>
      <c r="E73" s="3" t="n">
        <v>15</v>
      </c>
      <c r="F73" s="24" t="n">
        <v>-0.424212962</v>
      </c>
    </row>
    <row r="74" customFormat="false" ht="15" hidden="false" customHeight="false" outlineLevel="0" collapsed="false">
      <c r="A74" s="3" t="n">
        <v>73</v>
      </c>
      <c r="B74" s="3" t="n">
        <v>72</v>
      </c>
      <c r="C74" s="3" t="n">
        <v>0</v>
      </c>
      <c r="D74" s="3" t="n">
        <v>2</v>
      </c>
      <c r="E74" s="3" t="n">
        <v>16</v>
      </c>
      <c r="F74" s="24" t="n">
        <v>-0.424212962</v>
      </c>
    </row>
    <row r="75" customFormat="false" ht="15" hidden="false" customHeight="false" outlineLevel="0" collapsed="false">
      <c r="A75" s="3" t="n">
        <v>74</v>
      </c>
      <c r="B75" s="3" t="n">
        <v>73</v>
      </c>
      <c r="C75" s="3" t="n">
        <v>0</v>
      </c>
      <c r="D75" s="3" t="n">
        <v>2</v>
      </c>
      <c r="E75" s="3" t="n">
        <v>17</v>
      </c>
      <c r="F75" s="24" t="n">
        <v>-0.424212962</v>
      </c>
    </row>
    <row r="76" customFormat="false" ht="15" hidden="false" customHeight="false" outlineLevel="0" collapsed="false">
      <c r="A76" s="3" t="n">
        <v>75</v>
      </c>
      <c r="B76" s="3" t="n">
        <v>74</v>
      </c>
      <c r="C76" s="3" t="n">
        <v>0</v>
      </c>
      <c r="D76" s="3" t="n">
        <v>2</v>
      </c>
      <c r="E76" s="3" t="n">
        <v>18</v>
      </c>
      <c r="F76" s="24" t="n">
        <v>-0.424212962</v>
      </c>
    </row>
    <row r="77" customFormat="false" ht="15" hidden="false" customHeight="false" outlineLevel="0" collapsed="false">
      <c r="A77" s="3" t="n">
        <v>76</v>
      </c>
      <c r="B77" s="3" t="n">
        <v>75</v>
      </c>
      <c r="C77" s="3" t="n">
        <v>0</v>
      </c>
      <c r="D77" s="3" t="n">
        <v>2</v>
      </c>
      <c r="E77" s="3" t="n">
        <v>19</v>
      </c>
      <c r="F77" s="24" t="n">
        <v>-0.424212962</v>
      </c>
    </row>
    <row r="78" customFormat="false" ht="15" hidden="false" customHeight="false" outlineLevel="0" collapsed="false">
      <c r="A78" s="3" t="n">
        <v>77</v>
      </c>
      <c r="B78" s="3" t="n">
        <v>76</v>
      </c>
      <c r="C78" s="3" t="n">
        <v>0</v>
      </c>
      <c r="D78" s="3" t="n">
        <v>2</v>
      </c>
      <c r="E78" s="3" t="n">
        <v>20</v>
      </c>
      <c r="F78" s="24" t="n">
        <v>-0.424212962</v>
      </c>
    </row>
    <row r="79" customFormat="false" ht="15" hidden="false" customHeight="false" outlineLevel="0" collapsed="false">
      <c r="A79" s="3" t="n">
        <v>78</v>
      </c>
      <c r="B79" s="3" t="n">
        <v>77</v>
      </c>
      <c r="C79" s="3" t="n">
        <v>0</v>
      </c>
      <c r="D79" s="3" t="n">
        <v>2</v>
      </c>
      <c r="E79" s="3" t="n">
        <v>21</v>
      </c>
      <c r="F79" s="24" t="n">
        <v>-0.424212962</v>
      </c>
    </row>
    <row r="80" customFormat="false" ht="15" hidden="false" customHeight="false" outlineLevel="0" collapsed="false">
      <c r="A80" s="3" t="n">
        <v>79</v>
      </c>
      <c r="B80" s="3" t="n">
        <v>78</v>
      </c>
      <c r="C80" s="3" t="n">
        <v>0</v>
      </c>
      <c r="D80" s="3" t="n">
        <v>2</v>
      </c>
      <c r="E80" s="3" t="n">
        <v>22</v>
      </c>
      <c r="F80" s="24" t="n">
        <v>-0.424212962</v>
      </c>
    </row>
    <row r="81" customFormat="false" ht="15" hidden="false" customHeight="false" outlineLevel="0" collapsed="false">
      <c r="A81" s="3" t="n">
        <v>80</v>
      </c>
      <c r="B81" s="3" t="n">
        <v>79</v>
      </c>
      <c r="C81" s="3" t="n">
        <v>0</v>
      </c>
      <c r="D81" s="3" t="n">
        <v>2</v>
      </c>
      <c r="E81" s="3" t="n">
        <v>23</v>
      </c>
      <c r="F81" s="24" t="n">
        <v>-0.424212962</v>
      </c>
    </row>
    <row r="82" customFormat="false" ht="15" hidden="false" customHeight="false" outlineLevel="0" collapsed="false">
      <c r="A82" s="3" t="n">
        <v>81</v>
      </c>
      <c r="B82" s="3" t="n">
        <v>80</v>
      </c>
      <c r="C82" s="3" t="n">
        <v>0</v>
      </c>
      <c r="D82" s="3" t="n">
        <v>2</v>
      </c>
      <c r="E82" s="3" t="n">
        <v>24</v>
      </c>
      <c r="F82" s="24" t="n">
        <v>-0.424212962</v>
      </c>
    </row>
    <row r="83" customFormat="false" ht="15" hidden="false" customHeight="false" outlineLevel="0" collapsed="false">
      <c r="A83" s="3" t="n">
        <v>82</v>
      </c>
      <c r="B83" s="3" t="n">
        <v>81</v>
      </c>
      <c r="C83" s="3" t="n">
        <v>0</v>
      </c>
      <c r="D83" s="3" t="n">
        <v>2</v>
      </c>
      <c r="E83" s="3" t="n">
        <v>25</v>
      </c>
      <c r="F83" s="24" t="n">
        <v>-0.424212962</v>
      </c>
    </row>
    <row r="84" customFormat="false" ht="15" hidden="false" customHeight="false" outlineLevel="0" collapsed="false">
      <c r="A84" s="3" t="n">
        <v>83</v>
      </c>
      <c r="B84" s="3" t="n">
        <v>82</v>
      </c>
      <c r="C84" s="3" t="n">
        <v>0</v>
      </c>
      <c r="D84" s="3" t="n">
        <v>2</v>
      </c>
      <c r="E84" s="3" t="n">
        <v>26</v>
      </c>
      <c r="F84" s="24" t="n">
        <v>-0.424212962</v>
      </c>
    </row>
    <row r="85" customFormat="false" ht="15" hidden="false" customHeight="false" outlineLevel="0" collapsed="false">
      <c r="A85" s="3" t="n">
        <v>84</v>
      </c>
      <c r="B85" s="3" t="n">
        <v>83</v>
      </c>
      <c r="C85" s="3" t="n">
        <v>0</v>
      </c>
      <c r="D85" s="3" t="n">
        <v>2</v>
      </c>
      <c r="E85" s="3" t="n">
        <v>27</v>
      </c>
      <c r="F85" s="24" t="n">
        <v>-0.424212962</v>
      </c>
    </row>
    <row r="86" customFormat="false" ht="15" hidden="false" customHeight="false" outlineLevel="0" collapsed="false">
      <c r="A86" s="3" t="n">
        <v>85</v>
      </c>
      <c r="B86" s="3" t="n">
        <v>84</v>
      </c>
      <c r="C86" s="3" t="n">
        <v>0</v>
      </c>
      <c r="D86" s="3" t="n">
        <v>3</v>
      </c>
      <c r="E86" s="3" t="n">
        <v>0</v>
      </c>
      <c r="F86" s="24" t="n">
        <v>-0.424212962</v>
      </c>
    </row>
    <row r="87" customFormat="false" ht="15" hidden="false" customHeight="false" outlineLevel="0" collapsed="false">
      <c r="A87" s="3" t="n">
        <v>86</v>
      </c>
      <c r="B87" s="3" t="n">
        <v>85</v>
      </c>
      <c r="C87" s="3" t="n">
        <v>0</v>
      </c>
      <c r="D87" s="3" t="n">
        <v>3</v>
      </c>
      <c r="E87" s="3" t="n">
        <v>1</v>
      </c>
      <c r="F87" s="24" t="n">
        <v>-0.424212962</v>
      </c>
    </row>
    <row r="88" customFormat="false" ht="15" hidden="false" customHeight="false" outlineLevel="0" collapsed="false">
      <c r="A88" s="3" t="n">
        <v>87</v>
      </c>
      <c r="B88" s="3" t="n">
        <v>86</v>
      </c>
      <c r="C88" s="3" t="n">
        <v>0</v>
      </c>
      <c r="D88" s="3" t="n">
        <v>3</v>
      </c>
      <c r="E88" s="3" t="n">
        <v>2</v>
      </c>
      <c r="F88" s="24" t="n">
        <v>-0.424212962</v>
      </c>
    </row>
    <row r="89" customFormat="false" ht="15" hidden="false" customHeight="false" outlineLevel="0" collapsed="false">
      <c r="A89" s="3" t="n">
        <v>88</v>
      </c>
      <c r="B89" s="3" t="n">
        <v>87</v>
      </c>
      <c r="C89" s="3" t="n">
        <v>0</v>
      </c>
      <c r="D89" s="3" t="n">
        <v>3</v>
      </c>
      <c r="E89" s="3" t="n">
        <v>3</v>
      </c>
      <c r="F89" s="24" t="n">
        <v>-0.424212962</v>
      </c>
    </row>
    <row r="90" customFormat="false" ht="15" hidden="false" customHeight="false" outlineLevel="0" collapsed="false">
      <c r="A90" s="3" t="n">
        <v>89</v>
      </c>
      <c r="B90" s="3" t="n">
        <v>88</v>
      </c>
      <c r="C90" s="3" t="n">
        <v>0</v>
      </c>
      <c r="D90" s="3" t="n">
        <v>3</v>
      </c>
      <c r="E90" s="3" t="n">
        <v>4</v>
      </c>
      <c r="F90" s="24" t="n">
        <v>-0.424212962</v>
      </c>
    </row>
    <row r="91" customFormat="false" ht="15" hidden="false" customHeight="false" outlineLevel="0" collapsed="false">
      <c r="A91" s="3" t="n">
        <v>90</v>
      </c>
      <c r="B91" s="3" t="n">
        <v>89</v>
      </c>
      <c r="C91" s="3" t="n">
        <v>0</v>
      </c>
      <c r="D91" s="3" t="n">
        <v>3</v>
      </c>
      <c r="E91" s="3" t="n">
        <v>5</v>
      </c>
      <c r="F91" s="24" t="n">
        <v>-0.424212962</v>
      </c>
    </row>
    <row r="92" customFormat="false" ht="15" hidden="false" customHeight="false" outlineLevel="0" collapsed="false">
      <c r="A92" s="3" t="n">
        <v>91</v>
      </c>
      <c r="B92" s="3" t="n">
        <v>90</v>
      </c>
      <c r="C92" s="3" t="n">
        <v>0</v>
      </c>
      <c r="D92" s="3" t="n">
        <v>3</v>
      </c>
      <c r="E92" s="3" t="n">
        <v>6</v>
      </c>
      <c r="F92" s="24" t="n">
        <v>-0.424212962</v>
      </c>
    </row>
    <row r="93" customFormat="false" ht="15" hidden="false" customHeight="false" outlineLevel="0" collapsed="false">
      <c r="A93" s="3" t="n">
        <v>92</v>
      </c>
      <c r="B93" s="3" t="n">
        <v>91</v>
      </c>
      <c r="C93" s="3" t="n">
        <v>0</v>
      </c>
      <c r="D93" s="3" t="n">
        <v>3</v>
      </c>
      <c r="E93" s="3" t="n">
        <v>7</v>
      </c>
      <c r="F93" s="24" t="n">
        <v>-0.424212962</v>
      </c>
    </row>
    <row r="94" customFormat="false" ht="15" hidden="false" customHeight="false" outlineLevel="0" collapsed="false">
      <c r="A94" s="3" t="n">
        <v>93</v>
      </c>
      <c r="B94" s="3" t="n">
        <v>92</v>
      </c>
      <c r="C94" s="3" t="n">
        <v>0</v>
      </c>
      <c r="D94" s="3" t="n">
        <v>3</v>
      </c>
      <c r="E94" s="3" t="n">
        <v>8</v>
      </c>
      <c r="F94" s="24" t="n">
        <v>-0.424212962</v>
      </c>
    </row>
    <row r="95" customFormat="false" ht="15" hidden="false" customHeight="false" outlineLevel="0" collapsed="false">
      <c r="A95" s="3" t="n">
        <v>94</v>
      </c>
      <c r="B95" s="3" t="n">
        <v>93</v>
      </c>
      <c r="C95" s="3" t="n">
        <v>0</v>
      </c>
      <c r="D95" s="3" t="n">
        <v>3</v>
      </c>
      <c r="E95" s="3" t="n">
        <v>9</v>
      </c>
      <c r="F95" s="24" t="n">
        <v>-0.424212962</v>
      </c>
    </row>
    <row r="96" customFormat="false" ht="15" hidden="false" customHeight="false" outlineLevel="0" collapsed="false">
      <c r="A96" s="3" t="n">
        <v>95</v>
      </c>
      <c r="B96" s="3" t="n">
        <v>94</v>
      </c>
      <c r="C96" s="3" t="n">
        <v>0</v>
      </c>
      <c r="D96" s="3" t="n">
        <v>3</v>
      </c>
      <c r="E96" s="3" t="n">
        <v>10</v>
      </c>
      <c r="F96" s="24" t="n">
        <v>-0.424212962</v>
      </c>
    </row>
    <row r="97" customFormat="false" ht="15" hidden="false" customHeight="false" outlineLevel="0" collapsed="false">
      <c r="A97" s="3" t="n">
        <v>96</v>
      </c>
      <c r="B97" s="3" t="n">
        <v>95</v>
      </c>
      <c r="C97" s="3" t="n">
        <v>0</v>
      </c>
      <c r="D97" s="3" t="n">
        <v>3</v>
      </c>
      <c r="E97" s="3" t="n">
        <v>11</v>
      </c>
      <c r="F97" s="24" t="n">
        <v>-0.424212962</v>
      </c>
    </row>
    <row r="98" customFormat="false" ht="15" hidden="false" customHeight="false" outlineLevel="0" collapsed="false">
      <c r="A98" s="3" t="n">
        <v>97</v>
      </c>
      <c r="B98" s="3" t="n">
        <v>96</v>
      </c>
      <c r="C98" s="3" t="n">
        <v>0</v>
      </c>
      <c r="D98" s="3" t="n">
        <v>3</v>
      </c>
      <c r="E98" s="3" t="n">
        <v>12</v>
      </c>
      <c r="F98" s="24" t="n">
        <v>-0.424212962</v>
      </c>
    </row>
    <row r="99" customFormat="false" ht="15" hidden="false" customHeight="false" outlineLevel="0" collapsed="false">
      <c r="A99" s="3" t="n">
        <v>98</v>
      </c>
      <c r="B99" s="3" t="n">
        <v>97</v>
      </c>
      <c r="C99" s="3" t="n">
        <v>0</v>
      </c>
      <c r="D99" s="3" t="n">
        <v>3</v>
      </c>
      <c r="E99" s="3" t="n">
        <v>13</v>
      </c>
      <c r="F99" s="24" t="n">
        <v>-0.424212962</v>
      </c>
    </row>
    <row r="100" customFormat="false" ht="15" hidden="false" customHeight="false" outlineLevel="0" collapsed="false">
      <c r="A100" s="3" t="n">
        <v>99</v>
      </c>
      <c r="B100" s="3" t="n">
        <v>98</v>
      </c>
      <c r="C100" s="3" t="n">
        <v>0</v>
      </c>
      <c r="D100" s="3" t="n">
        <v>3</v>
      </c>
      <c r="E100" s="3" t="n">
        <v>14</v>
      </c>
      <c r="F100" s="24" t="n">
        <v>-0.424212962</v>
      </c>
    </row>
    <row r="101" customFormat="false" ht="15" hidden="false" customHeight="false" outlineLevel="0" collapsed="false">
      <c r="A101" s="3" t="n">
        <v>100</v>
      </c>
      <c r="B101" s="3" t="n">
        <v>99</v>
      </c>
      <c r="C101" s="3" t="n">
        <v>0</v>
      </c>
      <c r="D101" s="3" t="n">
        <v>3</v>
      </c>
      <c r="E101" s="3" t="n">
        <v>15</v>
      </c>
      <c r="F101" s="24" t="n">
        <v>-0.424212962</v>
      </c>
    </row>
    <row r="102" customFormat="false" ht="15" hidden="false" customHeight="false" outlineLevel="0" collapsed="false">
      <c r="A102" s="3" t="n">
        <v>101</v>
      </c>
      <c r="B102" s="3" t="n">
        <v>100</v>
      </c>
      <c r="C102" s="3" t="n">
        <v>0</v>
      </c>
      <c r="D102" s="3" t="n">
        <v>3</v>
      </c>
      <c r="E102" s="3" t="n">
        <v>16</v>
      </c>
      <c r="F102" s="24" t="n">
        <v>-0.424212962</v>
      </c>
    </row>
    <row r="103" customFormat="false" ht="15" hidden="false" customHeight="false" outlineLevel="0" collapsed="false">
      <c r="A103" s="3" t="n">
        <v>102</v>
      </c>
      <c r="B103" s="3" t="n">
        <v>101</v>
      </c>
      <c r="C103" s="3" t="n">
        <v>0</v>
      </c>
      <c r="D103" s="3" t="n">
        <v>3</v>
      </c>
      <c r="E103" s="3" t="n">
        <v>17</v>
      </c>
      <c r="F103" s="24" t="n">
        <v>-0.424212962</v>
      </c>
    </row>
    <row r="104" customFormat="false" ht="15" hidden="false" customHeight="false" outlineLevel="0" collapsed="false">
      <c r="A104" s="3" t="n">
        <v>103</v>
      </c>
      <c r="B104" s="3" t="n">
        <v>102</v>
      </c>
      <c r="C104" s="3" t="n">
        <v>0</v>
      </c>
      <c r="D104" s="3" t="n">
        <v>3</v>
      </c>
      <c r="E104" s="3" t="n">
        <v>18</v>
      </c>
      <c r="F104" s="24" t="n">
        <v>-0.424212962</v>
      </c>
    </row>
    <row r="105" customFormat="false" ht="15" hidden="false" customHeight="false" outlineLevel="0" collapsed="false">
      <c r="A105" s="3" t="n">
        <v>104</v>
      </c>
      <c r="B105" s="3" t="n">
        <v>103</v>
      </c>
      <c r="C105" s="3" t="n">
        <v>0</v>
      </c>
      <c r="D105" s="3" t="n">
        <v>3</v>
      </c>
      <c r="E105" s="3" t="n">
        <v>19</v>
      </c>
      <c r="F105" s="24" t="n">
        <v>-0.424212962</v>
      </c>
    </row>
    <row r="106" customFormat="false" ht="15" hidden="false" customHeight="false" outlineLevel="0" collapsed="false">
      <c r="A106" s="3" t="n">
        <v>105</v>
      </c>
      <c r="B106" s="3" t="n">
        <v>104</v>
      </c>
      <c r="C106" s="3" t="n">
        <v>0</v>
      </c>
      <c r="D106" s="3" t="n">
        <v>3</v>
      </c>
      <c r="E106" s="3" t="n">
        <v>20</v>
      </c>
      <c r="F106" s="24" t="n">
        <v>-0.424212962</v>
      </c>
    </row>
    <row r="107" customFormat="false" ht="15" hidden="false" customHeight="false" outlineLevel="0" collapsed="false">
      <c r="A107" s="3" t="n">
        <v>106</v>
      </c>
      <c r="B107" s="3" t="n">
        <v>105</v>
      </c>
      <c r="C107" s="3" t="n">
        <v>0</v>
      </c>
      <c r="D107" s="3" t="n">
        <v>3</v>
      </c>
      <c r="E107" s="3" t="n">
        <v>21</v>
      </c>
      <c r="F107" s="24" t="n">
        <v>-0.424212962</v>
      </c>
    </row>
    <row r="108" customFormat="false" ht="15" hidden="false" customHeight="false" outlineLevel="0" collapsed="false">
      <c r="A108" s="3" t="n">
        <v>107</v>
      </c>
      <c r="B108" s="3" t="n">
        <v>106</v>
      </c>
      <c r="C108" s="3" t="n">
        <v>0</v>
      </c>
      <c r="D108" s="3" t="n">
        <v>3</v>
      </c>
      <c r="E108" s="3" t="n">
        <v>22</v>
      </c>
      <c r="F108" s="24" t="n">
        <v>-0.424212962</v>
      </c>
    </row>
    <row r="109" customFormat="false" ht="15" hidden="false" customHeight="false" outlineLevel="0" collapsed="false">
      <c r="A109" s="3" t="n">
        <v>108</v>
      </c>
      <c r="B109" s="3" t="n">
        <v>107</v>
      </c>
      <c r="C109" s="3" t="n">
        <v>0</v>
      </c>
      <c r="D109" s="3" t="n">
        <v>3</v>
      </c>
      <c r="E109" s="3" t="n">
        <v>23</v>
      </c>
      <c r="F109" s="24" t="n">
        <v>-0.424212962</v>
      </c>
    </row>
    <row r="110" customFormat="false" ht="15" hidden="false" customHeight="false" outlineLevel="0" collapsed="false">
      <c r="A110" s="3" t="n">
        <v>109</v>
      </c>
      <c r="B110" s="3" t="n">
        <v>108</v>
      </c>
      <c r="C110" s="3" t="n">
        <v>0</v>
      </c>
      <c r="D110" s="3" t="n">
        <v>3</v>
      </c>
      <c r="E110" s="3" t="n">
        <v>24</v>
      </c>
      <c r="F110" s="24" t="n">
        <v>-0.424212962</v>
      </c>
    </row>
    <row r="111" customFormat="false" ht="15" hidden="false" customHeight="false" outlineLevel="0" collapsed="false">
      <c r="A111" s="3" t="n">
        <v>110</v>
      </c>
      <c r="B111" s="3" t="n">
        <v>109</v>
      </c>
      <c r="C111" s="3" t="n">
        <v>0</v>
      </c>
      <c r="D111" s="3" t="n">
        <v>3</v>
      </c>
      <c r="E111" s="3" t="n">
        <v>25</v>
      </c>
      <c r="F111" s="24" t="n">
        <v>-0.424212962</v>
      </c>
    </row>
    <row r="112" customFormat="false" ht="15" hidden="false" customHeight="false" outlineLevel="0" collapsed="false">
      <c r="A112" s="3" t="n">
        <v>111</v>
      </c>
      <c r="B112" s="3" t="n">
        <v>110</v>
      </c>
      <c r="C112" s="3" t="n">
        <v>0</v>
      </c>
      <c r="D112" s="3" t="n">
        <v>3</v>
      </c>
      <c r="E112" s="3" t="n">
        <v>26</v>
      </c>
      <c r="F112" s="24" t="n">
        <v>-0.424212962</v>
      </c>
    </row>
    <row r="113" customFormat="false" ht="15" hidden="false" customHeight="false" outlineLevel="0" collapsed="false">
      <c r="A113" s="3" t="n">
        <v>112</v>
      </c>
      <c r="B113" s="3" t="n">
        <v>111</v>
      </c>
      <c r="C113" s="3" t="n">
        <v>0</v>
      </c>
      <c r="D113" s="3" t="n">
        <v>3</v>
      </c>
      <c r="E113" s="3" t="n">
        <v>27</v>
      </c>
      <c r="F113" s="24" t="n">
        <v>-0.424212962</v>
      </c>
    </row>
    <row r="114" customFormat="false" ht="15" hidden="false" customHeight="false" outlineLevel="0" collapsed="false">
      <c r="A114" s="3" t="n">
        <v>113</v>
      </c>
      <c r="B114" s="3" t="n">
        <v>112</v>
      </c>
      <c r="C114" s="3" t="n">
        <v>0</v>
      </c>
      <c r="D114" s="3" t="n">
        <v>4</v>
      </c>
      <c r="E114" s="3" t="n">
        <v>0</v>
      </c>
      <c r="F114" s="24" t="n">
        <v>-0.424212962</v>
      </c>
    </row>
    <row r="115" customFormat="false" ht="15" hidden="false" customHeight="false" outlineLevel="0" collapsed="false">
      <c r="A115" s="3" t="n">
        <v>114</v>
      </c>
      <c r="B115" s="3" t="n">
        <v>113</v>
      </c>
      <c r="C115" s="3" t="n">
        <v>0</v>
      </c>
      <c r="D115" s="3" t="n">
        <v>4</v>
      </c>
      <c r="E115" s="3" t="n">
        <v>1</v>
      </c>
      <c r="F115" s="24" t="n">
        <v>-0.424212962</v>
      </c>
    </row>
    <row r="116" customFormat="false" ht="15" hidden="false" customHeight="false" outlineLevel="0" collapsed="false">
      <c r="A116" s="3" t="n">
        <v>115</v>
      </c>
      <c r="B116" s="3" t="n">
        <v>114</v>
      </c>
      <c r="C116" s="3" t="n">
        <v>0</v>
      </c>
      <c r="D116" s="3" t="n">
        <v>4</v>
      </c>
      <c r="E116" s="3" t="n">
        <v>2</v>
      </c>
      <c r="F116" s="24" t="n">
        <v>-0.424212962</v>
      </c>
    </row>
    <row r="117" customFormat="false" ht="15" hidden="false" customHeight="false" outlineLevel="0" collapsed="false">
      <c r="A117" s="3" t="n">
        <v>116</v>
      </c>
      <c r="B117" s="3" t="n">
        <v>115</v>
      </c>
      <c r="C117" s="3" t="n">
        <v>0</v>
      </c>
      <c r="D117" s="3" t="n">
        <v>4</v>
      </c>
      <c r="E117" s="3" t="n">
        <v>3</v>
      </c>
      <c r="F117" s="24" t="n">
        <v>-0.424212962</v>
      </c>
    </row>
    <row r="118" customFormat="false" ht="15" hidden="false" customHeight="false" outlineLevel="0" collapsed="false">
      <c r="A118" s="3" t="n">
        <v>117</v>
      </c>
      <c r="B118" s="3" t="n">
        <v>116</v>
      </c>
      <c r="C118" s="3" t="n">
        <v>0</v>
      </c>
      <c r="D118" s="3" t="n">
        <v>4</v>
      </c>
      <c r="E118" s="3" t="n">
        <v>4</v>
      </c>
      <c r="F118" s="24" t="n">
        <v>-0.424212962</v>
      </c>
    </row>
    <row r="119" customFormat="false" ht="15" hidden="false" customHeight="false" outlineLevel="0" collapsed="false">
      <c r="A119" s="3" t="n">
        <v>118</v>
      </c>
      <c r="B119" s="3" t="n">
        <v>117</v>
      </c>
      <c r="C119" s="3" t="n">
        <v>0</v>
      </c>
      <c r="D119" s="3" t="n">
        <v>4</v>
      </c>
      <c r="E119" s="3" t="n">
        <v>5</v>
      </c>
      <c r="F119" s="24" t="n">
        <v>-0.424212962</v>
      </c>
    </row>
    <row r="120" customFormat="false" ht="15" hidden="false" customHeight="false" outlineLevel="0" collapsed="false">
      <c r="A120" s="3" t="n">
        <v>119</v>
      </c>
      <c r="B120" s="3" t="n">
        <v>118</v>
      </c>
      <c r="C120" s="3" t="n">
        <v>0</v>
      </c>
      <c r="D120" s="3" t="n">
        <v>4</v>
      </c>
      <c r="E120" s="3" t="n">
        <v>6</v>
      </c>
      <c r="F120" s="24" t="n">
        <v>-0.424212962</v>
      </c>
    </row>
    <row r="121" customFormat="false" ht="15" hidden="false" customHeight="false" outlineLevel="0" collapsed="false">
      <c r="A121" s="3" t="n">
        <v>120</v>
      </c>
      <c r="B121" s="3" t="n">
        <v>119</v>
      </c>
      <c r="C121" s="3" t="n">
        <v>0</v>
      </c>
      <c r="D121" s="3" t="n">
        <v>4</v>
      </c>
      <c r="E121" s="3" t="n">
        <v>7</v>
      </c>
      <c r="F121" s="24" t="n">
        <v>-0.424212962</v>
      </c>
    </row>
    <row r="122" customFormat="false" ht="15" hidden="false" customHeight="false" outlineLevel="0" collapsed="false">
      <c r="A122" s="3" t="n">
        <v>121</v>
      </c>
      <c r="B122" s="3" t="n">
        <v>120</v>
      </c>
      <c r="C122" s="3" t="n">
        <v>0</v>
      </c>
      <c r="D122" s="3" t="n">
        <v>4</v>
      </c>
      <c r="E122" s="3" t="n">
        <v>8</v>
      </c>
      <c r="F122" s="24" t="n">
        <v>-0.424212962</v>
      </c>
    </row>
    <row r="123" customFormat="false" ht="15" hidden="false" customHeight="false" outlineLevel="0" collapsed="false">
      <c r="A123" s="3" t="n">
        <v>122</v>
      </c>
      <c r="B123" s="3" t="n">
        <v>121</v>
      </c>
      <c r="C123" s="3" t="n">
        <v>0</v>
      </c>
      <c r="D123" s="3" t="n">
        <v>4</v>
      </c>
      <c r="E123" s="3" t="n">
        <v>9</v>
      </c>
      <c r="F123" s="24" t="n">
        <v>-0.424212962</v>
      </c>
    </row>
    <row r="124" customFormat="false" ht="15" hidden="false" customHeight="false" outlineLevel="0" collapsed="false">
      <c r="A124" s="3" t="n">
        <v>123</v>
      </c>
      <c r="B124" s="3" t="n">
        <v>122</v>
      </c>
      <c r="C124" s="3" t="n">
        <v>0</v>
      </c>
      <c r="D124" s="3" t="n">
        <v>4</v>
      </c>
      <c r="E124" s="3" t="n">
        <v>10</v>
      </c>
      <c r="F124" s="24" t="n">
        <v>-0.424212962</v>
      </c>
    </row>
    <row r="125" customFormat="false" ht="15" hidden="false" customHeight="false" outlineLevel="0" collapsed="false">
      <c r="A125" s="3" t="n">
        <v>124</v>
      </c>
      <c r="B125" s="3" t="n">
        <v>123</v>
      </c>
      <c r="C125" s="3" t="n">
        <v>0</v>
      </c>
      <c r="D125" s="3" t="n">
        <v>4</v>
      </c>
      <c r="E125" s="3" t="n">
        <v>11</v>
      </c>
      <c r="F125" s="24" t="n">
        <v>-0.424212962</v>
      </c>
    </row>
    <row r="126" customFormat="false" ht="15" hidden="false" customHeight="false" outlineLevel="0" collapsed="false">
      <c r="A126" s="3" t="n">
        <v>125</v>
      </c>
      <c r="B126" s="3" t="n">
        <v>124</v>
      </c>
      <c r="C126" s="3" t="n">
        <v>0</v>
      </c>
      <c r="D126" s="3" t="n">
        <v>4</v>
      </c>
      <c r="E126" s="3" t="n">
        <v>12</v>
      </c>
      <c r="F126" s="24" t="n">
        <v>-0.424212962</v>
      </c>
    </row>
    <row r="127" customFormat="false" ht="15" hidden="false" customHeight="false" outlineLevel="0" collapsed="false">
      <c r="A127" s="3" t="n">
        <v>126</v>
      </c>
      <c r="B127" s="3" t="n">
        <v>125</v>
      </c>
      <c r="C127" s="3" t="n">
        <v>0</v>
      </c>
      <c r="D127" s="3" t="n">
        <v>4</v>
      </c>
      <c r="E127" s="3" t="n">
        <v>13</v>
      </c>
      <c r="F127" s="24" t="n">
        <v>-0.424212962</v>
      </c>
    </row>
    <row r="128" customFormat="false" ht="15" hidden="false" customHeight="false" outlineLevel="0" collapsed="false">
      <c r="A128" s="3" t="n">
        <v>127</v>
      </c>
      <c r="B128" s="3" t="n">
        <v>126</v>
      </c>
      <c r="C128" s="3" t="n">
        <v>0</v>
      </c>
      <c r="D128" s="3" t="n">
        <v>4</v>
      </c>
      <c r="E128" s="3" t="n">
        <v>14</v>
      </c>
      <c r="F128" s="24" t="n">
        <v>-0.424212962</v>
      </c>
    </row>
    <row r="129" customFormat="false" ht="15" hidden="false" customHeight="false" outlineLevel="0" collapsed="false">
      <c r="A129" s="3" t="n">
        <v>128</v>
      </c>
      <c r="B129" s="3" t="n">
        <v>127</v>
      </c>
      <c r="C129" s="3" t="n">
        <v>0</v>
      </c>
      <c r="D129" s="3" t="n">
        <v>4</v>
      </c>
      <c r="E129" s="3" t="n">
        <v>15</v>
      </c>
      <c r="F129" s="24" t="n">
        <v>-0.424212962</v>
      </c>
    </row>
    <row r="130" customFormat="false" ht="15" hidden="false" customHeight="false" outlineLevel="0" collapsed="false">
      <c r="A130" s="3" t="n">
        <v>129</v>
      </c>
      <c r="B130" s="3" t="n">
        <v>128</v>
      </c>
      <c r="C130" s="3" t="n">
        <v>0</v>
      </c>
      <c r="D130" s="3" t="n">
        <v>4</v>
      </c>
      <c r="E130" s="3" t="n">
        <v>16</v>
      </c>
      <c r="F130" s="24" t="n">
        <v>-0.424212962</v>
      </c>
    </row>
    <row r="131" customFormat="false" ht="15" hidden="false" customHeight="false" outlineLevel="0" collapsed="false">
      <c r="A131" s="3" t="n">
        <v>130</v>
      </c>
      <c r="B131" s="3" t="n">
        <v>129</v>
      </c>
      <c r="C131" s="3" t="n">
        <v>0</v>
      </c>
      <c r="D131" s="3" t="n">
        <v>4</v>
      </c>
      <c r="E131" s="3" t="n">
        <v>17</v>
      </c>
      <c r="F131" s="24" t="n">
        <v>-0.424212962</v>
      </c>
    </row>
    <row r="132" customFormat="false" ht="15" hidden="false" customHeight="false" outlineLevel="0" collapsed="false">
      <c r="A132" s="3" t="n">
        <v>131</v>
      </c>
      <c r="B132" s="3" t="n">
        <v>130</v>
      </c>
      <c r="C132" s="3" t="n">
        <v>0</v>
      </c>
      <c r="D132" s="3" t="n">
        <v>4</v>
      </c>
      <c r="E132" s="3" t="n">
        <v>18</v>
      </c>
      <c r="F132" s="24" t="n">
        <v>-0.424212962</v>
      </c>
    </row>
    <row r="133" customFormat="false" ht="15" hidden="false" customHeight="false" outlineLevel="0" collapsed="false">
      <c r="A133" s="3" t="n">
        <v>132</v>
      </c>
      <c r="B133" s="3" t="n">
        <v>131</v>
      </c>
      <c r="C133" s="3" t="n">
        <v>0</v>
      </c>
      <c r="D133" s="3" t="n">
        <v>4</v>
      </c>
      <c r="E133" s="3" t="n">
        <v>19</v>
      </c>
      <c r="F133" s="24" t="n">
        <v>-0.424212962</v>
      </c>
    </row>
    <row r="134" customFormat="false" ht="15" hidden="false" customHeight="false" outlineLevel="0" collapsed="false">
      <c r="A134" s="3" t="n">
        <v>133</v>
      </c>
      <c r="B134" s="3" t="n">
        <v>132</v>
      </c>
      <c r="C134" s="3" t="n">
        <v>0</v>
      </c>
      <c r="D134" s="3" t="n">
        <v>4</v>
      </c>
      <c r="E134" s="3" t="n">
        <v>20</v>
      </c>
      <c r="F134" s="24" t="n">
        <v>-0.424212962</v>
      </c>
    </row>
    <row r="135" customFormat="false" ht="15" hidden="false" customHeight="false" outlineLevel="0" collapsed="false">
      <c r="A135" s="3" t="n">
        <v>134</v>
      </c>
      <c r="B135" s="3" t="n">
        <v>133</v>
      </c>
      <c r="C135" s="3" t="n">
        <v>0</v>
      </c>
      <c r="D135" s="3" t="n">
        <v>4</v>
      </c>
      <c r="E135" s="3" t="n">
        <v>21</v>
      </c>
      <c r="F135" s="24" t="n">
        <v>-0.424212962</v>
      </c>
    </row>
    <row r="136" customFormat="false" ht="15" hidden="false" customHeight="false" outlineLevel="0" collapsed="false">
      <c r="A136" s="3" t="n">
        <v>135</v>
      </c>
      <c r="B136" s="3" t="n">
        <v>134</v>
      </c>
      <c r="C136" s="3" t="n">
        <v>0</v>
      </c>
      <c r="D136" s="3" t="n">
        <v>4</v>
      </c>
      <c r="E136" s="3" t="n">
        <v>22</v>
      </c>
      <c r="F136" s="24" t="n">
        <v>-0.424212962</v>
      </c>
    </row>
    <row r="137" customFormat="false" ht="15" hidden="false" customHeight="false" outlineLevel="0" collapsed="false">
      <c r="A137" s="3" t="n">
        <v>136</v>
      </c>
      <c r="B137" s="3" t="n">
        <v>135</v>
      </c>
      <c r="C137" s="3" t="n">
        <v>0</v>
      </c>
      <c r="D137" s="3" t="n">
        <v>4</v>
      </c>
      <c r="E137" s="3" t="n">
        <v>23</v>
      </c>
      <c r="F137" s="24" t="n">
        <v>-0.424212962</v>
      </c>
    </row>
    <row r="138" customFormat="false" ht="15" hidden="false" customHeight="false" outlineLevel="0" collapsed="false">
      <c r="A138" s="3" t="n">
        <v>137</v>
      </c>
      <c r="B138" s="3" t="n">
        <v>136</v>
      </c>
      <c r="C138" s="3" t="n">
        <v>0</v>
      </c>
      <c r="D138" s="3" t="n">
        <v>4</v>
      </c>
      <c r="E138" s="3" t="n">
        <v>24</v>
      </c>
      <c r="F138" s="24" t="n">
        <v>-0.424212962</v>
      </c>
    </row>
    <row r="139" customFormat="false" ht="15" hidden="false" customHeight="false" outlineLevel="0" collapsed="false">
      <c r="A139" s="3" t="n">
        <v>138</v>
      </c>
      <c r="B139" s="3" t="n">
        <v>137</v>
      </c>
      <c r="C139" s="3" t="n">
        <v>0</v>
      </c>
      <c r="D139" s="3" t="n">
        <v>4</v>
      </c>
      <c r="E139" s="3" t="n">
        <v>25</v>
      </c>
      <c r="F139" s="24" t="n">
        <v>-0.424212962</v>
      </c>
    </row>
    <row r="140" customFormat="false" ht="15" hidden="false" customHeight="false" outlineLevel="0" collapsed="false">
      <c r="A140" s="3" t="n">
        <v>139</v>
      </c>
      <c r="B140" s="3" t="n">
        <v>138</v>
      </c>
      <c r="C140" s="3" t="n">
        <v>0</v>
      </c>
      <c r="D140" s="3" t="n">
        <v>4</v>
      </c>
      <c r="E140" s="3" t="n">
        <v>26</v>
      </c>
      <c r="F140" s="24" t="n">
        <v>-0.424212962</v>
      </c>
    </row>
    <row r="141" customFormat="false" ht="15" hidden="false" customHeight="false" outlineLevel="0" collapsed="false">
      <c r="A141" s="3" t="n">
        <v>140</v>
      </c>
      <c r="B141" s="3" t="n">
        <v>139</v>
      </c>
      <c r="C141" s="3" t="n">
        <v>0</v>
      </c>
      <c r="D141" s="3" t="n">
        <v>4</v>
      </c>
      <c r="E141" s="3" t="n">
        <v>27</v>
      </c>
      <c r="F141" s="24" t="n">
        <v>-0.424212962</v>
      </c>
    </row>
    <row r="142" customFormat="false" ht="15" hidden="false" customHeight="false" outlineLevel="0" collapsed="false">
      <c r="A142" s="3" t="n">
        <v>141</v>
      </c>
      <c r="B142" s="3" t="n">
        <v>140</v>
      </c>
      <c r="C142" s="3" t="n">
        <v>0</v>
      </c>
      <c r="D142" s="3" t="n">
        <v>5</v>
      </c>
      <c r="E142" s="3" t="n">
        <v>0</v>
      </c>
      <c r="F142" s="24" t="n">
        <v>-0.424212962</v>
      </c>
    </row>
    <row r="143" customFormat="false" ht="15" hidden="false" customHeight="false" outlineLevel="0" collapsed="false">
      <c r="A143" s="3" t="n">
        <v>142</v>
      </c>
      <c r="B143" s="3" t="n">
        <v>141</v>
      </c>
      <c r="C143" s="3" t="n">
        <v>0</v>
      </c>
      <c r="D143" s="3" t="n">
        <v>5</v>
      </c>
      <c r="E143" s="3" t="n">
        <v>1</v>
      </c>
      <c r="F143" s="24" t="n">
        <v>-0.424212962</v>
      </c>
    </row>
    <row r="144" customFormat="false" ht="15" hidden="false" customHeight="false" outlineLevel="0" collapsed="false">
      <c r="A144" s="3" t="n">
        <v>143</v>
      </c>
      <c r="B144" s="3" t="n">
        <v>142</v>
      </c>
      <c r="C144" s="3" t="n">
        <v>0</v>
      </c>
      <c r="D144" s="3" t="n">
        <v>5</v>
      </c>
      <c r="E144" s="3" t="n">
        <v>2</v>
      </c>
      <c r="F144" s="24" t="n">
        <v>-0.424212962</v>
      </c>
    </row>
    <row r="145" customFormat="false" ht="15" hidden="false" customHeight="false" outlineLevel="0" collapsed="false">
      <c r="A145" s="3" t="n">
        <v>144</v>
      </c>
      <c r="B145" s="3" t="n">
        <v>143</v>
      </c>
      <c r="C145" s="3" t="n">
        <v>0</v>
      </c>
      <c r="D145" s="3" t="n">
        <v>5</v>
      </c>
      <c r="E145" s="3" t="n">
        <v>3</v>
      </c>
      <c r="F145" s="24" t="n">
        <v>-0.424212962</v>
      </c>
    </row>
    <row r="146" customFormat="false" ht="15" hidden="false" customHeight="false" outlineLevel="0" collapsed="false">
      <c r="A146" s="3" t="n">
        <v>145</v>
      </c>
      <c r="B146" s="3" t="n">
        <v>144</v>
      </c>
      <c r="C146" s="3" t="n">
        <v>0</v>
      </c>
      <c r="D146" s="3" t="n">
        <v>5</v>
      </c>
      <c r="E146" s="3" t="n">
        <v>4</v>
      </c>
      <c r="F146" s="24" t="n">
        <v>-0.424212962</v>
      </c>
    </row>
    <row r="147" customFormat="false" ht="15" hidden="false" customHeight="false" outlineLevel="0" collapsed="false">
      <c r="A147" s="3" t="n">
        <v>146</v>
      </c>
      <c r="B147" s="3" t="n">
        <v>145</v>
      </c>
      <c r="C147" s="3" t="n">
        <v>0</v>
      </c>
      <c r="D147" s="3" t="n">
        <v>5</v>
      </c>
      <c r="E147" s="3" t="n">
        <v>5</v>
      </c>
      <c r="F147" s="24" t="n">
        <v>-0.424212962</v>
      </c>
    </row>
    <row r="148" customFormat="false" ht="15" hidden="false" customHeight="false" outlineLevel="0" collapsed="false">
      <c r="A148" s="3" t="n">
        <v>147</v>
      </c>
      <c r="B148" s="3" t="n">
        <v>146</v>
      </c>
      <c r="C148" s="3" t="n">
        <v>0</v>
      </c>
      <c r="D148" s="3" t="n">
        <v>5</v>
      </c>
      <c r="E148" s="3" t="n">
        <v>6</v>
      </c>
      <c r="F148" s="24" t="n">
        <v>-0.424212962</v>
      </c>
    </row>
    <row r="149" customFormat="false" ht="15" hidden="false" customHeight="false" outlineLevel="0" collapsed="false">
      <c r="A149" s="3" t="n">
        <v>148</v>
      </c>
      <c r="B149" s="3" t="n">
        <v>147</v>
      </c>
      <c r="C149" s="3" t="n">
        <v>0</v>
      </c>
      <c r="D149" s="3" t="n">
        <v>5</v>
      </c>
      <c r="E149" s="3" t="n">
        <v>7</v>
      </c>
      <c r="F149" s="24" t="n">
        <v>-0.424212962</v>
      </c>
    </row>
    <row r="150" customFormat="false" ht="15" hidden="false" customHeight="false" outlineLevel="0" collapsed="false">
      <c r="A150" s="3" t="n">
        <v>149</v>
      </c>
      <c r="B150" s="3" t="n">
        <v>148</v>
      </c>
      <c r="C150" s="3" t="n">
        <v>0</v>
      </c>
      <c r="D150" s="3" t="n">
        <v>5</v>
      </c>
      <c r="E150" s="3" t="n">
        <v>8</v>
      </c>
      <c r="F150" s="24" t="n">
        <v>-0.424212962</v>
      </c>
    </row>
    <row r="151" customFormat="false" ht="15" hidden="false" customHeight="false" outlineLevel="0" collapsed="false">
      <c r="A151" s="3" t="n">
        <v>150</v>
      </c>
      <c r="B151" s="3" t="n">
        <v>149</v>
      </c>
      <c r="C151" s="3" t="n">
        <v>0</v>
      </c>
      <c r="D151" s="3" t="n">
        <v>5</v>
      </c>
      <c r="E151" s="3" t="n">
        <v>9</v>
      </c>
      <c r="F151" s="24" t="n">
        <v>-0.424212962</v>
      </c>
    </row>
    <row r="152" customFormat="false" ht="15" hidden="false" customHeight="false" outlineLevel="0" collapsed="false">
      <c r="A152" s="3" t="n">
        <v>151</v>
      </c>
      <c r="B152" s="3" t="n">
        <v>150</v>
      </c>
      <c r="C152" s="3" t="n">
        <v>0</v>
      </c>
      <c r="D152" s="3" t="n">
        <v>5</v>
      </c>
      <c r="E152" s="3" t="n">
        <v>10</v>
      </c>
      <c r="F152" s="24" t="n">
        <v>-0.424212962</v>
      </c>
    </row>
    <row r="153" customFormat="false" ht="15" hidden="false" customHeight="false" outlineLevel="0" collapsed="false">
      <c r="A153" s="3" t="n">
        <v>152</v>
      </c>
      <c r="B153" s="3" t="n">
        <v>151</v>
      </c>
      <c r="C153" s="3" t="n">
        <v>0</v>
      </c>
      <c r="D153" s="3" t="n">
        <v>5</v>
      </c>
      <c r="E153" s="3" t="n">
        <v>11</v>
      </c>
      <c r="F153" s="24" t="n">
        <v>-0.424212962</v>
      </c>
    </row>
    <row r="154" customFormat="false" ht="15" hidden="false" customHeight="false" outlineLevel="0" collapsed="false">
      <c r="A154" s="3" t="n">
        <v>153</v>
      </c>
      <c r="B154" s="3" t="n">
        <v>152</v>
      </c>
      <c r="C154" s="3" t="n">
        <v>0</v>
      </c>
      <c r="D154" s="3" t="n">
        <v>5</v>
      </c>
      <c r="E154" s="3" t="n">
        <v>12</v>
      </c>
      <c r="F154" s="24" t="n">
        <v>-0.424212962</v>
      </c>
    </row>
    <row r="155" customFormat="false" ht="15" hidden="false" customHeight="false" outlineLevel="0" collapsed="false">
      <c r="A155" s="3" t="n">
        <v>154</v>
      </c>
      <c r="B155" s="3" t="n">
        <v>153</v>
      </c>
      <c r="C155" s="3" t="n">
        <v>0</v>
      </c>
      <c r="D155" s="3" t="n">
        <v>5</v>
      </c>
      <c r="E155" s="3" t="n">
        <v>13</v>
      </c>
      <c r="F155" s="24" t="n">
        <v>-0.424212962</v>
      </c>
    </row>
    <row r="156" customFormat="false" ht="15" hidden="false" customHeight="false" outlineLevel="0" collapsed="false">
      <c r="A156" s="3" t="n">
        <v>155</v>
      </c>
      <c r="B156" s="3" t="n">
        <v>154</v>
      </c>
      <c r="C156" s="3" t="n">
        <v>0</v>
      </c>
      <c r="D156" s="3" t="n">
        <v>5</v>
      </c>
      <c r="E156" s="3" t="n">
        <v>14</v>
      </c>
      <c r="F156" s="24" t="n">
        <v>-0.424212962</v>
      </c>
    </row>
    <row r="157" customFormat="false" ht="15" hidden="false" customHeight="false" outlineLevel="0" collapsed="false">
      <c r="A157" s="3" t="n">
        <v>156</v>
      </c>
      <c r="B157" s="3" t="n">
        <v>155</v>
      </c>
      <c r="C157" s="3" t="n">
        <v>0</v>
      </c>
      <c r="D157" s="3" t="n">
        <v>5</v>
      </c>
      <c r="E157" s="3" t="n">
        <v>15</v>
      </c>
      <c r="F157" s="24" t="n">
        <v>-0.424212962</v>
      </c>
    </row>
    <row r="158" customFormat="false" ht="15" hidden="false" customHeight="false" outlineLevel="0" collapsed="false">
      <c r="A158" s="3" t="n">
        <v>157</v>
      </c>
      <c r="B158" s="3" t="n">
        <v>156</v>
      </c>
      <c r="C158" s="3" t="n">
        <v>0</v>
      </c>
      <c r="D158" s="3" t="n">
        <v>5</v>
      </c>
      <c r="E158" s="3" t="n">
        <v>16</v>
      </c>
      <c r="F158" s="24" t="n">
        <v>-0.424212962</v>
      </c>
    </row>
    <row r="159" customFormat="false" ht="15" hidden="false" customHeight="false" outlineLevel="0" collapsed="false">
      <c r="A159" s="3" t="n">
        <v>158</v>
      </c>
      <c r="B159" s="3" t="n">
        <v>157</v>
      </c>
      <c r="C159" s="3" t="n">
        <v>0</v>
      </c>
      <c r="D159" s="3" t="n">
        <v>5</v>
      </c>
      <c r="E159" s="3" t="n">
        <v>17</v>
      </c>
      <c r="F159" s="24" t="n">
        <v>-0.424212962</v>
      </c>
    </row>
    <row r="160" customFormat="false" ht="15" hidden="false" customHeight="false" outlineLevel="0" collapsed="false">
      <c r="A160" s="3" t="n">
        <v>159</v>
      </c>
      <c r="B160" s="3" t="n">
        <v>158</v>
      </c>
      <c r="C160" s="3" t="n">
        <v>0</v>
      </c>
      <c r="D160" s="3" t="n">
        <v>5</v>
      </c>
      <c r="E160" s="3" t="n">
        <v>18</v>
      </c>
      <c r="F160" s="24" t="n">
        <v>-0.424212962</v>
      </c>
    </row>
    <row r="161" customFormat="false" ht="15" hidden="false" customHeight="false" outlineLevel="0" collapsed="false">
      <c r="A161" s="3" t="n">
        <v>160</v>
      </c>
      <c r="B161" s="3" t="n">
        <v>159</v>
      </c>
      <c r="C161" s="3" t="n">
        <v>0</v>
      </c>
      <c r="D161" s="3" t="n">
        <v>5</v>
      </c>
      <c r="E161" s="3" t="n">
        <v>19</v>
      </c>
      <c r="F161" s="24" t="n">
        <v>-0.424212962</v>
      </c>
    </row>
    <row r="162" customFormat="false" ht="15" hidden="false" customHeight="false" outlineLevel="0" collapsed="false">
      <c r="A162" s="3" t="n">
        <v>161</v>
      </c>
      <c r="B162" s="3" t="n">
        <v>160</v>
      </c>
      <c r="C162" s="3" t="n">
        <v>0</v>
      </c>
      <c r="D162" s="3" t="n">
        <v>5</v>
      </c>
      <c r="E162" s="3" t="n">
        <v>20</v>
      </c>
      <c r="F162" s="24" t="n">
        <v>-0.424212962</v>
      </c>
    </row>
    <row r="163" customFormat="false" ht="15" hidden="false" customHeight="false" outlineLevel="0" collapsed="false">
      <c r="A163" s="3" t="n">
        <v>162</v>
      </c>
      <c r="B163" s="3" t="n">
        <v>161</v>
      </c>
      <c r="C163" s="3" t="n">
        <v>0</v>
      </c>
      <c r="D163" s="3" t="n">
        <v>5</v>
      </c>
      <c r="E163" s="3" t="n">
        <v>21</v>
      </c>
      <c r="F163" s="24" t="n">
        <v>-0.424212962</v>
      </c>
    </row>
    <row r="164" customFormat="false" ht="15" hidden="false" customHeight="false" outlineLevel="0" collapsed="false">
      <c r="A164" s="3" t="n">
        <v>163</v>
      </c>
      <c r="B164" s="3" t="n">
        <v>162</v>
      </c>
      <c r="C164" s="3" t="n">
        <v>0</v>
      </c>
      <c r="D164" s="3" t="n">
        <v>5</v>
      </c>
      <c r="E164" s="3" t="n">
        <v>22</v>
      </c>
      <c r="F164" s="24" t="n">
        <v>-0.424212962</v>
      </c>
    </row>
    <row r="165" customFormat="false" ht="15" hidden="false" customHeight="false" outlineLevel="0" collapsed="false">
      <c r="A165" s="3" t="n">
        <v>164</v>
      </c>
      <c r="B165" s="3" t="n">
        <v>163</v>
      </c>
      <c r="C165" s="3" t="n">
        <v>0</v>
      </c>
      <c r="D165" s="3" t="n">
        <v>5</v>
      </c>
      <c r="E165" s="3" t="n">
        <v>23</v>
      </c>
      <c r="F165" s="24" t="n">
        <v>-0.424212962</v>
      </c>
    </row>
    <row r="166" customFormat="false" ht="15" hidden="false" customHeight="false" outlineLevel="0" collapsed="false">
      <c r="A166" s="3" t="n">
        <v>165</v>
      </c>
      <c r="B166" s="3" t="n">
        <v>164</v>
      </c>
      <c r="C166" s="3" t="n">
        <v>0</v>
      </c>
      <c r="D166" s="3" t="n">
        <v>5</v>
      </c>
      <c r="E166" s="3" t="n">
        <v>24</v>
      </c>
      <c r="F166" s="24" t="n">
        <v>-0.424212962</v>
      </c>
    </row>
    <row r="167" customFormat="false" ht="15" hidden="false" customHeight="false" outlineLevel="0" collapsed="false">
      <c r="A167" s="3" t="n">
        <v>166</v>
      </c>
      <c r="B167" s="3" t="n">
        <v>165</v>
      </c>
      <c r="C167" s="3" t="n">
        <v>0</v>
      </c>
      <c r="D167" s="3" t="n">
        <v>5</v>
      </c>
      <c r="E167" s="3" t="n">
        <v>25</v>
      </c>
      <c r="F167" s="24" t="n">
        <v>-0.424212962</v>
      </c>
    </row>
    <row r="168" customFormat="false" ht="15" hidden="false" customHeight="false" outlineLevel="0" collapsed="false">
      <c r="A168" s="3" t="n">
        <v>167</v>
      </c>
      <c r="B168" s="3" t="n">
        <v>166</v>
      </c>
      <c r="C168" s="3" t="n">
        <v>0</v>
      </c>
      <c r="D168" s="3" t="n">
        <v>5</v>
      </c>
      <c r="E168" s="3" t="n">
        <v>26</v>
      </c>
      <c r="F168" s="24" t="n">
        <v>-0.424212962</v>
      </c>
    </row>
    <row r="169" customFormat="false" ht="15" hidden="false" customHeight="false" outlineLevel="0" collapsed="false">
      <c r="A169" s="3" t="n">
        <v>168</v>
      </c>
      <c r="B169" s="3" t="n">
        <v>167</v>
      </c>
      <c r="C169" s="3" t="n">
        <v>0</v>
      </c>
      <c r="D169" s="3" t="n">
        <v>5</v>
      </c>
      <c r="E169" s="3" t="n">
        <v>27</v>
      </c>
      <c r="F169" s="24" t="n">
        <v>-0.424212962</v>
      </c>
    </row>
    <row r="170" customFormat="false" ht="15" hidden="false" customHeight="false" outlineLevel="0" collapsed="false">
      <c r="A170" s="3" t="n">
        <v>169</v>
      </c>
      <c r="B170" s="3" t="n">
        <v>168</v>
      </c>
      <c r="C170" s="3" t="n">
        <v>0</v>
      </c>
      <c r="D170" s="3" t="n">
        <v>6</v>
      </c>
      <c r="E170" s="3" t="n">
        <v>0</v>
      </c>
      <c r="F170" s="24" t="n">
        <v>-0.424212962</v>
      </c>
    </row>
    <row r="171" customFormat="false" ht="15" hidden="false" customHeight="false" outlineLevel="0" collapsed="false">
      <c r="A171" s="3" t="n">
        <v>170</v>
      </c>
      <c r="B171" s="3" t="n">
        <v>169</v>
      </c>
      <c r="C171" s="3" t="n">
        <v>0</v>
      </c>
      <c r="D171" s="3" t="n">
        <v>6</v>
      </c>
      <c r="E171" s="3" t="n">
        <v>1</v>
      </c>
      <c r="F171" s="24" t="n">
        <v>-0.424212962</v>
      </c>
    </row>
    <row r="172" customFormat="false" ht="15" hidden="false" customHeight="false" outlineLevel="0" collapsed="false">
      <c r="A172" s="3" t="n">
        <v>171</v>
      </c>
      <c r="B172" s="3" t="n">
        <v>170</v>
      </c>
      <c r="C172" s="3" t="n">
        <v>0</v>
      </c>
      <c r="D172" s="3" t="n">
        <v>6</v>
      </c>
      <c r="E172" s="3" t="n">
        <v>2</v>
      </c>
      <c r="F172" s="24" t="n">
        <v>-0.424212962</v>
      </c>
    </row>
    <row r="173" customFormat="false" ht="15" hidden="false" customHeight="false" outlineLevel="0" collapsed="false">
      <c r="A173" s="3" t="n">
        <v>172</v>
      </c>
      <c r="B173" s="3" t="n">
        <v>171</v>
      </c>
      <c r="C173" s="3" t="n">
        <v>0</v>
      </c>
      <c r="D173" s="3" t="n">
        <v>6</v>
      </c>
      <c r="E173" s="3" t="n">
        <v>3</v>
      </c>
      <c r="F173" s="24" t="n">
        <v>-0.424212962</v>
      </c>
    </row>
    <row r="174" customFormat="false" ht="15" hidden="false" customHeight="false" outlineLevel="0" collapsed="false">
      <c r="A174" s="3" t="n">
        <v>173</v>
      </c>
      <c r="B174" s="3" t="n">
        <v>172</v>
      </c>
      <c r="C174" s="3" t="n">
        <v>0</v>
      </c>
      <c r="D174" s="3" t="n">
        <v>6</v>
      </c>
      <c r="E174" s="3" t="n">
        <v>4</v>
      </c>
      <c r="F174" s="24" t="n">
        <v>-0.424212962</v>
      </c>
    </row>
    <row r="175" customFormat="false" ht="15" hidden="false" customHeight="false" outlineLevel="0" collapsed="false">
      <c r="A175" s="3" t="n">
        <v>174</v>
      </c>
      <c r="B175" s="3" t="n">
        <v>173</v>
      </c>
      <c r="C175" s="3" t="n">
        <v>0</v>
      </c>
      <c r="D175" s="3" t="n">
        <v>6</v>
      </c>
      <c r="E175" s="3" t="n">
        <v>5</v>
      </c>
      <c r="F175" s="24" t="n">
        <v>-0.424212962</v>
      </c>
    </row>
    <row r="176" customFormat="false" ht="15" hidden="false" customHeight="false" outlineLevel="0" collapsed="false">
      <c r="A176" s="3" t="n">
        <v>175</v>
      </c>
      <c r="B176" s="3" t="n">
        <v>174</v>
      </c>
      <c r="C176" s="3" t="n">
        <v>0</v>
      </c>
      <c r="D176" s="3" t="n">
        <v>6</v>
      </c>
      <c r="E176" s="3" t="n">
        <v>6</v>
      </c>
      <c r="F176" s="24" t="n">
        <v>-0.424212962</v>
      </c>
    </row>
    <row r="177" customFormat="false" ht="15" hidden="false" customHeight="false" outlineLevel="0" collapsed="false">
      <c r="A177" s="3" t="n">
        <v>176</v>
      </c>
      <c r="B177" s="3" t="n">
        <v>175</v>
      </c>
      <c r="C177" s="3" t="n">
        <v>0</v>
      </c>
      <c r="D177" s="3" t="n">
        <v>6</v>
      </c>
      <c r="E177" s="3" t="n">
        <v>7</v>
      </c>
      <c r="F177" s="24" t="n">
        <v>-0.424212962</v>
      </c>
    </row>
    <row r="178" customFormat="false" ht="15" hidden="false" customHeight="false" outlineLevel="0" collapsed="false">
      <c r="A178" s="3" t="n">
        <v>177</v>
      </c>
      <c r="B178" s="3" t="n">
        <v>176</v>
      </c>
      <c r="C178" s="3" t="n">
        <v>0</v>
      </c>
      <c r="D178" s="3" t="n">
        <v>6</v>
      </c>
      <c r="E178" s="3" t="n">
        <v>8</v>
      </c>
      <c r="F178" s="24" t="n">
        <v>-0.424212962</v>
      </c>
    </row>
    <row r="179" customFormat="false" ht="15" hidden="false" customHeight="false" outlineLevel="0" collapsed="false">
      <c r="A179" s="3" t="n">
        <v>178</v>
      </c>
      <c r="B179" s="3" t="n">
        <v>177</v>
      </c>
      <c r="C179" s="3" t="n">
        <v>0</v>
      </c>
      <c r="D179" s="3" t="n">
        <v>6</v>
      </c>
      <c r="E179" s="3" t="n">
        <v>9</v>
      </c>
      <c r="F179" s="24" t="n">
        <v>-0.424212962</v>
      </c>
    </row>
    <row r="180" customFormat="false" ht="15" hidden="false" customHeight="false" outlineLevel="0" collapsed="false">
      <c r="A180" s="3" t="n">
        <v>179</v>
      </c>
      <c r="B180" s="3" t="n">
        <v>178</v>
      </c>
      <c r="C180" s="3" t="n">
        <v>0</v>
      </c>
      <c r="D180" s="3" t="n">
        <v>6</v>
      </c>
      <c r="E180" s="3" t="n">
        <v>10</v>
      </c>
      <c r="F180" s="24" t="n">
        <v>-0.424212962</v>
      </c>
    </row>
    <row r="181" customFormat="false" ht="15" hidden="false" customHeight="false" outlineLevel="0" collapsed="false">
      <c r="A181" s="3" t="n">
        <v>180</v>
      </c>
      <c r="B181" s="3" t="n">
        <v>179</v>
      </c>
      <c r="C181" s="3" t="n">
        <v>0</v>
      </c>
      <c r="D181" s="3" t="n">
        <v>6</v>
      </c>
      <c r="E181" s="3" t="n">
        <v>11</v>
      </c>
      <c r="F181" s="24" t="n">
        <v>-0.424212962</v>
      </c>
    </row>
    <row r="182" customFormat="false" ht="15" hidden="false" customHeight="false" outlineLevel="0" collapsed="false">
      <c r="A182" s="3" t="n">
        <v>181</v>
      </c>
      <c r="B182" s="3" t="n">
        <v>180</v>
      </c>
      <c r="C182" s="3" t="n">
        <v>0</v>
      </c>
      <c r="D182" s="3" t="n">
        <v>6</v>
      </c>
      <c r="E182" s="3" t="n">
        <v>12</v>
      </c>
      <c r="F182" s="24" t="n">
        <v>-0.424212962</v>
      </c>
    </row>
    <row r="183" customFormat="false" ht="15" hidden="false" customHeight="false" outlineLevel="0" collapsed="false">
      <c r="A183" s="3" t="n">
        <v>182</v>
      </c>
      <c r="B183" s="3" t="n">
        <v>181</v>
      </c>
      <c r="C183" s="3" t="n">
        <v>0</v>
      </c>
      <c r="D183" s="3" t="n">
        <v>6</v>
      </c>
      <c r="E183" s="3" t="n">
        <v>13</v>
      </c>
      <c r="F183" s="24" t="n">
        <v>-0.424212962</v>
      </c>
    </row>
    <row r="184" customFormat="false" ht="15" hidden="false" customHeight="false" outlineLevel="0" collapsed="false">
      <c r="A184" s="3" t="n">
        <v>183</v>
      </c>
      <c r="B184" s="3" t="n">
        <v>182</v>
      </c>
      <c r="C184" s="3" t="n">
        <v>0</v>
      </c>
      <c r="D184" s="3" t="n">
        <v>6</v>
      </c>
      <c r="E184" s="3" t="n">
        <v>14</v>
      </c>
      <c r="F184" s="24" t="n">
        <v>-0.424212962</v>
      </c>
    </row>
    <row r="185" customFormat="false" ht="15" hidden="false" customHeight="false" outlineLevel="0" collapsed="false">
      <c r="A185" s="3" t="n">
        <v>184</v>
      </c>
      <c r="B185" s="3" t="n">
        <v>183</v>
      </c>
      <c r="C185" s="3" t="n">
        <v>0</v>
      </c>
      <c r="D185" s="3" t="n">
        <v>6</v>
      </c>
      <c r="E185" s="3" t="n">
        <v>15</v>
      </c>
      <c r="F185" s="24" t="n">
        <v>-0.424212962</v>
      </c>
    </row>
    <row r="186" customFormat="false" ht="15" hidden="false" customHeight="false" outlineLevel="0" collapsed="false">
      <c r="A186" s="3" t="n">
        <v>185</v>
      </c>
      <c r="B186" s="3" t="n">
        <v>184</v>
      </c>
      <c r="C186" s="3" t="n">
        <v>0</v>
      </c>
      <c r="D186" s="3" t="n">
        <v>6</v>
      </c>
      <c r="E186" s="3" t="n">
        <v>16</v>
      </c>
      <c r="F186" s="24" t="n">
        <v>-0.424212962</v>
      </c>
    </row>
    <row r="187" customFormat="false" ht="15" hidden="false" customHeight="false" outlineLevel="0" collapsed="false">
      <c r="A187" s="3" t="n">
        <v>186</v>
      </c>
      <c r="B187" s="3" t="n">
        <v>185</v>
      </c>
      <c r="C187" s="3" t="n">
        <v>0</v>
      </c>
      <c r="D187" s="3" t="n">
        <v>6</v>
      </c>
      <c r="E187" s="3" t="n">
        <v>17</v>
      </c>
      <c r="F187" s="24" t="n">
        <v>-0.424212962</v>
      </c>
    </row>
    <row r="188" customFormat="false" ht="15" hidden="false" customHeight="false" outlineLevel="0" collapsed="false">
      <c r="A188" s="3" t="n">
        <v>187</v>
      </c>
      <c r="B188" s="3" t="n">
        <v>186</v>
      </c>
      <c r="C188" s="3" t="n">
        <v>0</v>
      </c>
      <c r="D188" s="3" t="n">
        <v>6</v>
      </c>
      <c r="E188" s="3" t="n">
        <v>18</v>
      </c>
      <c r="F188" s="24" t="n">
        <v>-0.424212962</v>
      </c>
    </row>
    <row r="189" customFormat="false" ht="15" hidden="false" customHeight="false" outlineLevel="0" collapsed="false">
      <c r="A189" s="3" t="n">
        <v>188</v>
      </c>
      <c r="B189" s="3" t="n">
        <v>187</v>
      </c>
      <c r="C189" s="3" t="n">
        <v>0</v>
      </c>
      <c r="D189" s="3" t="n">
        <v>6</v>
      </c>
      <c r="E189" s="3" t="n">
        <v>19</v>
      </c>
      <c r="F189" s="24" t="n">
        <v>-0.424212962</v>
      </c>
    </row>
    <row r="190" customFormat="false" ht="15" hidden="false" customHeight="false" outlineLevel="0" collapsed="false">
      <c r="A190" s="3" t="n">
        <v>189</v>
      </c>
      <c r="B190" s="3" t="n">
        <v>188</v>
      </c>
      <c r="C190" s="3" t="n">
        <v>0</v>
      </c>
      <c r="D190" s="3" t="n">
        <v>6</v>
      </c>
      <c r="E190" s="3" t="n">
        <v>20</v>
      </c>
      <c r="F190" s="24" t="n">
        <v>-0.424212962</v>
      </c>
    </row>
    <row r="191" customFormat="false" ht="15" hidden="false" customHeight="false" outlineLevel="0" collapsed="false">
      <c r="A191" s="3" t="n">
        <v>190</v>
      </c>
      <c r="B191" s="3" t="n">
        <v>189</v>
      </c>
      <c r="C191" s="3" t="n">
        <v>0</v>
      </c>
      <c r="D191" s="3" t="n">
        <v>6</v>
      </c>
      <c r="E191" s="3" t="n">
        <v>21</v>
      </c>
      <c r="F191" s="24" t="n">
        <v>-0.424212962</v>
      </c>
    </row>
    <row r="192" customFormat="false" ht="15" hidden="false" customHeight="false" outlineLevel="0" collapsed="false">
      <c r="A192" s="3" t="n">
        <v>191</v>
      </c>
      <c r="B192" s="3" t="n">
        <v>190</v>
      </c>
      <c r="C192" s="3" t="n">
        <v>0</v>
      </c>
      <c r="D192" s="3" t="n">
        <v>6</v>
      </c>
      <c r="E192" s="3" t="n">
        <v>22</v>
      </c>
      <c r="F192" s="24" t="n">
        <v>-0.424212962</v>
      </c>
    </row>
    <row r="193" customFormat="false" ht="15" hidden="false" customHeight="false" outlineLevel="0" collapsed="false">
      <c r="A193" s="3" t="n">
        <v>192</v>
      </c>
      <c r="B193" s="3" t="n">
        <v>191</v>
      </c>
      <c r="C193" s="3" t="n">
        <v>0</v>
      </c>
      <c r="D193" s="3" t="n">
        <v>6</v>
      </c>
      <c r="E193" s="3" t="n">
        <v>23</v>
      </c>
      <c r="F193" s="24" t="n">
        <v>-0.424212962</v>
      </c>
    </row>
    <row r="194" customFormat="false" ht="15" hidden="false" customHeight="false" outlineLevel="0" collapsed="false">
      <c r="A194" s="3" t="n">
        <v>193</v>
      </c>
      <c r="B194" s="3" t="n">
        <v>192</v>
      </c>
      <c r="C194" s="3" t="n">
        <v>0</v>
      </c>
      <c r="D194" s="3" t="n">
        <v>6</v>
      </c>
      <c r="E194" s="3" t="n">
        <v>24</v>
      </c>
      <c r="F194" s="24" t="n">
        <v>-0.424212962</v>
      </c>
    </row>
    <row r="195" customFormat="false" ht="15" hidden="false" customHeight="false" outlineLevel="0" collapsed="false">
      <c r="A195" s="3" t="n">
        <v>194</v>
      </c>
      <c r="B195" s="3" t="n">
        <v>193</v>
      </c>
      <c r="C195" s="3" t="n">
        <v>0</v>
      </c>
      <c r="D195" s="3" t="n">
        <v>6</v>
      </c>
      <c r="E195" s="3" t="n">
        <v>25</v>
      </c>
      <c r="F195" s="24" t="n">
        <v>-0.424212962</v>
      </c>
    </row>
    <row r="196" customFormat="false" ht="15" hidden="false" customHeight="false" outlineLevel="0" collapsed="false">
      <c r="A196" s="3" t="n">
        <v>195</v>
      </c>
      <c r="B196" s="3" t="n">
        <v>194</v>
      </c>
      <c r="C196" s="3" t="n">
        <v>0</v>
      </c>
      <c r="D196" s="3" t="n">
        <v>6</v>
      </c>
      <c r="E196" s="3" t="n">
        <v>26</v>
      </c>
      <c r="F196" s="24" t="n">
        <v>-0.424212962</v>
      </c>
    </row>
    <row r="197" customFormat="false" ht="15" hidden="false" customHeight="false" outlineLevel="0" collapsed="false">
      <c r="A197" s="3" t="n">
        <v>196</v>
      </c>
      <c r="B197" s="3" t="n">
        <v>195</v>
      </c>
      <c r="C197" s="3" t="n">
        <v>0</v>
      </c>
      <c r="D197" s="3" t="n">
        <v>6</v>
      </c>
      <c r="E197" s="3" t="n">
        <v>27</v>
      </c>
      <c r="F197" s="24" t="n">
        <v>-0.424212962</v>
      </c>
    </row>
    <row r="198" customFormat="false" ht="15" hidden="false" customHeight="false" outlineLevel="0" collapsed="false">
      <c r="A198" s="3" t="n">
        <v>197</v>
      </c>
      <c r="B198" s="3" t="n">
        <v>196</v>
      </c>
      <c r="C198" s="3" t="n">
        <v>0</v>
      </c>
      <c r="D198" s="3" t="n">
        <v>7</v>
      </c>
      <c r="E198" s="3" t="n">
        <v>0</v>
      </c>
      <c r="F198" s="24" t="n">
        <v>-0.424212962</v>
      </c>
    </row>
    <row r="199" customFormat="false" ht="15" hidden="false" customHeight="false" outlineLevel="0" collapsed="false">
      <c r="A199" s="3" t="n">
        <v>198</v>
      </c>
      <c r="B199" s="3" t="n">
        <v>197</v>
      </c>
      <c r="C199" s="3" t="n">
        <v>0</v>
      </c>
      <c r="D199" s="3" t="n">
        <v>7</v>
      </c>
      <c r="E199" s="3" t="n">
        <v>1</v>
      </c>
      <c r="F199" s="24" t="n">
        <v>-0.424212962</v>
      </c>
    </row>
    <row r="200" customFormat="false" ht="15" hidden="false" customHeight="false" outlineLevel="0" collapsed="false">
      <c r="A200" s="3" t="n">
        <v>199</v>
      </c>
      <c r="B200" s="3" t="n">
        <v>198</v>
      </c>
      <c r="C200" s="3" t="n">
        <v>0</v>
      </c>
      <c r="D200" s="3" t="n">
        <v>7</v>
      </c>
      <c r="E200" s="3" t="n">
        <v>2</v>
      </c>
      <c r="F200" s="24" t="n">
        <v>-0.424212962</v>
      </c>
    </row>
    <row r="201" customFormat="false" ht="15" hidden="false" customHeight="false" outlineLevel="0" collapsed="false">
      <c r="A201" s="3" t="n">
        <v>200</v>
      </c>
      <c r="B201" s="3" t="n">
        <v>199</v>
      </c>
      <c r="C201" s="3" t="n">
        <v>0</v>
      </c>
      <c r="D201" s="3" t="n">
        <v>7</v>
      </c>
      <c r="E201" s="3" t="n">
        <v>3</v>
      </c>
      <c r="F201" s="24" t="n">
        <v>-0.424212962</v>
      </c>
    </row>
    <row r="202" customFormat="false" ht="15" hidden="false" customHeight="false" outlineLevel="0" collapsed="false">
      <c r="A202" s="3" t="n">
        <v>201</v>
      </c>
      <c r="B202" s="3" t="n">
        <v>200</v>
      </c>
      <c r="C202" s="3" t="n">
        <v>0</v>
      </c>
      <c r="D202" s="3" t="n">
        <v>7</v>
      </c>
      <c r="E202" s="3" t="n">
        <v>4</v>
      </c>
      <c r="F202" s="24" t="n">
        <v>-0.424212962</v>
      </c>
    </row>
    <row r="203" customFormat="false" ht="15" hidden="false" customHeight="false" outlineLevel="0" collapsed="false">
      <c r="A203" s="3" t="n">
        <v>202</v>
      </c>
      <c r="B203" s="3" t="n">
        <v>201</v>
      </c>
      <c r="C203" s="3" t="n">
        <v>0</v>
      </c>
      <c r="D203" s="3" t="n">
        <v>7</v>
      </c>
      <c r="E203" s="3" t="n">
        <v>5</v>
      </c>
      <c r="F203" s="24" t="n">
        <v>-0.424212962</v>
      </c>
    </row>
    <row r="204" customFormat="false" ht="15" hidden="false" customHeight="false" outlineLevel="0" collapsed="false">
      <c r="A204" s="3" t="n">
        <v>203</v>
      </c>
      <c r="B204" s="3" t="n">
        <v>202</v>
      </c>
      <c r="C204" s="3" t="n">
        <v>0</v>
      </c>
      <c r="D204" s="3" t="n">
        <v>7</v>
      </c>
      <c r="E204" s="3" t="n">
        <v>6</v>
      </c>
      <c r="F204" s="24" t="n">
        <v>0.644958735</v>
      </c>
    </row>
    <row r="205" customFormat="false" ht="15" hidden="false" customHeight="false" outlineLevel="0" collapsed="false">
      <c r="A205" s="3" t="n">
        <v>204</v>
      </c>
      <c r="B205" s="3" t="n">
        <v>203</v>
      </c>
      <c r="C205" s="3" t="n">
        <v>0</v>
      </c>
      <c r="D205" s="3" t="n">
        <v>7</v>
      </c>
      <c r="E205" s="3" t="n">
        <v>7</v>
      </c>
      <c r="F205" s="24" t="n">
        <v>1.9305104</v>
      </c>
    </row>
    <row r="206" customFormat="false" ht="15" hidden="false" customHeight="false" outlineLevel="0" collapsed="false">
      <c r="A206" s="3" t="n">
        <v>205</v>
      </c>
      <c r="B206" s="3" t="n">
        <v>204</v>
      </c>
      <c r="C206" s="3" t="n">
        <v>0</v>
      </c>
      <c r="D206" s="3" t="n">
        <v>7</v>
      </c>
      <c r="E206" s="3" t="n">
        <v>8</v>
      </c>
      <c r="F206" s="24" t="n">
        <v>1.59957635</v>
      </c>
    </row>
    <row r="207" customFormat="false" ht="15" hidden="false" customHeight="false" outlineLevel="0" collapsed="false">
      <c r="A207" s="3" t="n">
        <v>206</v>
      </c>
      <c r="B207" s="3" t="n">
        <v>205</v>
      </c>
      <c r="C207" s="3" t="n">
        <v>0</v>
      </c>
      <c r="D207" s="3" t="n">
        <v>7</v>
      </c>
      <c r="E207" s="3" t="n">
        <v>9</v>
      </c>
      <c r="F207" s="24" t="n">
        <v>1.49775052</v>
      </c>
    </row>
    <row r="208" customFormat="false" ht="15" hidden="false" customHeight="false" outlineLevel="0" collapsed="false">
      <c r="A208" s="3" t="n">
        <v>207</v>
      </c>
      <c r="B208" s="3" t="n">
        <v>206</v>
      </c>
      <c r="C208" s="3" t="n">
        <v>0</v>
      </c>
      <c r="D208" s="3" t="n">
        <v>7</v>
      </c>
      <c r="E208" s="3" t="n">
        <v>10</v>
      </c>
      <c r="F208" s="24" t="n">
        <v>0.339481056</v>
      </c>
    </row>
    <row r="209" customFormat="false" ht="15" hidden="false" customHeight="false" outlineLevel="0" collapsed="false">
      <c r="A209" s="3" t="n">
        <v>208</v>
      </c>
      <c r="B209" s="3" t="n">
        <v>207</v>
      </c>
      <c r="C209" s="3" t="n">
        <v>0</v>
      </c>
      <c r="D209" s="3" t="n">
        <v>7</v>
      </c>
      <c r="E209" s="3" t="n">
        <v>11</v>
      </c>
      <c r="F209" s="24" t="n">
        <v>0.0340034738</v>
      </c>
    </row>
    <row r="210" customFormat="false" ht="15" hidden="false" customHeight="false" outlineLevel="0" collapsed="false">
      <c r="A210" s="3" t="n">
        <v>209</v>
      </c>
      <c r="B210" s="3" t="n">
        <v>208</v>
      </c>
      <c r="C210" s="3" t="n">
        <v>0</v>
      </c>
      <c r="D210" s="3" t="n">
        <v>7</v>
      </c>
      <c r="E210" s="3" t="n">
        <v>12</v>
      </c>
      <c r="F210" s="24" t="n">
        <v>-0.424212962</v>
      </c>
    </row>
    <row r="211" customFormat="false" ht="15" hidden="false" customHeight="false" outlineLevel="0" collapsed="false">
      <c r="A211" s="3" t="n">
        <v>210</v>
      </c>
      <c r="B211" s="3" t="n">
        <v>209</v>
      </c>
      <c r="C211" s="3" t="n">
        <v>0</v>
      </c>
      <c r="D211" s="3" t="n">
        <v>7</v>
      </c>
      <c r="E211" s="3" t="n">
        <v>13</v>
      </c>
      <c r="F211" s="24" t="n">
        <v>-0.424212962</v>
      </c>
    </row>
    <row r="212" customFormat="false" ht="15" hidden="false" customHeight="false" outlineLevel="0" collapsed="false">
      <c r="A212" s="3" t="n">
        <v>211</v>
      </c>
      <c r="B212" s="3" t="n">
        <v>210</v>
      </c>
      <c r="C212" s="3" t="n">
        <v>0</v>
      </c>
      <c r="D212" s="3" t="n">
        <v>7</v>
      </c>
      <c r="E212" s="3" t="n">
        <v>14</v>
      </c>
      <c r="F212" s="24" t="n">
        <v>-0.424212962</v>
      </c>
    </row>
    <row r="213" customFormat="false" ht="15" hidden="false" customHeight="false" outlineLevel="0" collapsed="false">
      <c r="A213" s="3" t="n">
        <v>212</v>
      </c>
      <c r="B213" s="3" t="n">
        <v>211</v>
      </c>
      <c r="C213" s="3" t="n">
        <v>0</v>
      </c>
      <c r="D213" s="3" t="n">
        <v>7</v>
      </c>
      <c r="E213" s="3" t="n">
        <v>15</v>
      </c>
      <c r="F213" s="24" t="n">
        <v>-0.424212962</v>
      </c>
    </row>
    <row r="214" customFormat="false" ht="15" hidden="false" customHeight="false" outlineLevel="0" collapsed="false">
      <c r="A214" s="3" t="n">
        <v>213</v>
      </c>
      <c r="B214" s="3" t="n">
        <v>212</v>
      </c>
      <c r="C214" s="3" t="n">
        <v>0</v>
      </c>
      <c r="D214" s="3" t="n">
        <v>7</v>
      </c>
      <c r="E214" s="3" t="n">
        <v>16</v>
      </c>
      <c r="F214" s="24" t="n">
        <v>-0.424212962</v>
      </c>
    </row>
    <row r="215" customFormat="false" ht="15" hidden="false" customHeight="false" outlineLevel="0" collapsed="false">
      <c r="A215" s="3" t="n">
        <v>214</v>
      </c>
      <c r="B215" s="3" t="n">
        <v>213</v>
      </c>
      <c r="C215" s="3" t="n">
        <v>0</v>
      </c>
      <c r="D215" s="3" t="n">
        <v>7</v>
      </c>
      <c r="E215" s="3" t="n">
        <v>17</v>
      </c>
      <c r="F215" s="24" t="n">
        <v>-0.424212962</v>
      </c>
    </row>
    <row r="216" customFormat="false" ht="15" hidden="false" customHeight="false" outlineLevel="0" collapsed="false">
      <c r="A216" s="3" t="n">
        <v>215</v>
      </c>
      <c r="B216" s="3" t="n">
        <v>214</v>
      </c>
      <c r="C216" s="3" t="n">
        <v>0</v>
      </c>
      <c r="D216" s="3" t="n">
        <v>7</v>
      </c>
      <c r="E216" s="3" t="n">
        <v>18</v>
      </c>
      <c r="F216" s="24" t="n">
        <v>-0.424212962</v>
      </c>
    </row>
    <row r="217" customFormat="false" ht="15" hidden="false" customHeight="false" outlineLevel="0" collapsed="false">
      <c r="A217" s="3" t="n">
        <v>216</v>
      </c>
      <c r="B217" s="3" t="n">
        <v>215</v>
      </c>
      <c r="C217" s="3" t="n">
        <v>0</v>
      </c>
      <c r="D217" s="3" t="n">
        <v>7</v>
      </c>
      <c r="E217" s="3" t="n">
        <v>19</v>
      </c>
      <c r="F217" s="24" t="n">
        <v>-0.424212962</v>
      </c>
    </row>
    <row r="218" customFormat="false" ht="15" hidden="false" customHeight="false" outlineLevel="0" collapsed="false">
      <c r="A218" s="3" t="n">
        <v>217</v>
      </c>
      <c r="B218" s="3" t="n">
        <v>216</v>
      </c>
      <c r="C218" s="3" t="n">
        <v>0</v>
      </c>
      <c r="D218" s="3" t="n">
        <v>7</v>
      </c>
      <c r="E218" s="3" t="n">
        <v>20</v>
      </c>
      <c r="F218" s="24" t="n">
        <v>-0.424212962</v>
      </c>
    </row>
    <row r="219" customFormat="false" ht="15" hidden="false" customHeight="false" outlineLevel="0" collapsed="false">
      <c r="A219" s="3" t="n">
        <v>218</v>
      </c>
      <c r="B219" s="3" t="n">
        <v>217</v>
      </c>
      <c r="C219" s="3" t="n">
        <v>0</v>
      </c>
      <c r="D219" s="3" t="n">
        <v>7</v>
      </c>
      <c r="E219" s="3" t="n">
        <v>21</v>
      </c>
      <c r="F219" s="24" t="n">
        <v>-0.424212962</v>
      </c>
    </row>
    <row r="220" customFormat="false" ht="15" hidden="false" customHeight="false" outlineLevel="0" collapsed="false">
      <c r="A220" s="3" t="n">
        <v>219</v>
      </c>
      <c r="B220" s="3" t="n">
        <v>218</v>
      </c>
      <c r="C220" s="3" t="n">
        <v>0</v>
      </c>
      <c r="D220" s="3" t="n">
        <v>7</v>
      </c>
      <c r="E220" s="3" t="n">
        <v>22</v>
      </c>
      <c r="F220" s="24" t="n">
        <v>-0.424212962</v>
      </c>
    </row>
    <row r="221" customFormat="false" ht="15" hidden="false" customHeight="false" outlineLevel="0" collapsed="false">
      <c r="A221" s="3" t="n">
        <v>220</v>
      </c>
      <c r="B221" s="3" t="n">
        <v>219</v>
      </c>
      <c r="C221" s="3" t="n">
        <v>0</v>
      </c>
      <c r="D221" s="3" t="n">
        <v>7</v>
      </c>
      <c r="E221" s="3" t="n">
        <v>23</v>
      </c>
      <c r="F221" s="24" t="n">
        <v>-0.424212962</v>
      </c>
    </row>
    <row r="222" customFormat="false" ht="15" hidden="false" customHeight="false" outlineLevel="0" collapsed="false">
      <c r="A222" s="3" t="n">
        <v>221</v>
      </c>
      <c r="B222" s="3" t="n">
        <v>220</v>
      </c>
      <c r="C222" s="3" t="n">
        <v>0</v>
      </c>
      <c r="D222" s="3" t="n">
        <v>7</v>
      </c>
      <c r="E222" s="3" t="n">
        <v>24</v>
      </c>
      <c r="F222" s="24" t="n">
        <v>-0.424212962</v>
      </c>
    </row>
    <row r="223" customFormat="false" ht="15" hidden="false" customHeight="false" outlineLevel="0" collapsed="false">
      <c r="A223" s="3" t="n">
        <v>222</v>
      </c>
      <c r="B223" s="3" t="n">
        <v>221</v>
      </c>
      <c r="C223" s="3" t="n">
        <v>0</v>
      </c>
      <c r="D223" s="3" t="n">
        <v>7</v>
      </c>
      <c r="E223" s="3" t="n">
        <v>25</v>
      </c>
      <c r="F223" s="24" t="n">
        <v>-0.424212962</v>
      </c>
    </row>
    <row r="224" customFormat="false" ht="15" hidden="false" customHeight="false" outlineLevel="0" collapsed="false">
      <c r="A224" s="3" t="n">
        <v>223</v>
      </c>
      <c r="B224" s="3" t="n">
        <v>222</v>
      </c>
      <c r="C224" s="3" t="n">
        <v>0</v>
      </c>
      <c r="D224" s="3" t="n">
        <v>7</v>
      </c>
      <c r="E224" s="3" t="n">
        <v>26</v>
      </c>
      <c r="F224" s="24" t="n">
        <v>-0.424212962</v>
      </c>
    </row>
    <row r="225" customFormat="false" ht="15" hidden="false" customHeight="false" outlineLevel="0" collapsed="false">
      <c r="A225" s="3" t="n">
        <v>224</v>
      </c>
      <c r="B225" s="3" t="n">
        <v>223</v>
      </c>
      <c r="C225" s="3" t="n">
        <v>0</v>
      </c>
      <c r="D225" s="3" t="n">
        <v>7</v>
      </c>
      <c r="E225" s="3" t="n">
        <v>27</v>
      </c>
      <c r="F225" s="24" t="n">
        <v>-0.424212962</v>
      </c>
    </row>
    <row r="226" customFormat="false" ht="15" hidden="false" customHeight="false" outlineLevel="0" collapsed="false">
      <c r="A226" s="3" t="n">
        <v>225</v>
      </c>
      <c r="B226" s="3" t="n">
        <v>224</v>
      </c>
      <c r="C226" s="3" t="n">
        <v>0</v>
      </c>
      <c r="D226" s="3" t="n">
        <v>8</v>
      </c>
      <c r="E226" s="3" t="n">
        <v>0</v>
      </c>
      <c r="F226" s="24" t="n">
        <v>-0.424212962</v>
      </c>
    </row>
    <row r="227" customFormat="false" ht="15" hidden="false" customHeight="false" outlineLevel="0" collapsed="false">
      <c r="A227" s="3" t="n">
        <v>226</v>
      </c>
      <c r="B227" s="3" t="n">
        <v>225</v>
      </c>
      <c r="C227" s="3" t="n">
        <v>0</v>
      </c>
      <c r="D227" s="3" t="n">
        <v>8</v>
      </c>
      <c r="E227" s="3" t="n">
        <v>1</v>
      </c>
      <c r="F227" s="24" t="n">
        <v>-0.424212962</v>
      </c>
    </row>
    <row r="228" customFormat="false" ht="15" hidden="false" customHeight="false" outlineLevel="0" collapsed="false">
      <c r="A228" s="3" t="n">
        <v>227</v>
      </c>
      <c r="B228" s="3" t="n">
        <v>226</v>
      </c>
      <c r="C228" s="3" t="n">
        <v>0</v>
      </c>
      <c r="D228" s="3" t="n">
        <v>8</v>
      </c>
      <c r="E228" s="3" t="n">
        <v>2</v>
      </c>
      <c r="F228" s="24" t="n">
        <v>-0.424212962</v>
      </c>
    </row>
    <row r="229" customFormat="false" ht="15" hidden="false" customHeight="false" outlineLevel="0" collapsed="false">
      <c r="A229" s="3" t="n">
        <v>228</v>
      </c>
      <c r="B229" s="3" t="n">
        <v>227</v>
      </c>
      <c r="C229" s="3" t="n">
        <v>0</v>
      </c>
      <c r="D229" s="3" t="n">
        <v>8</v>
      </c>
      <c r="E229" s="3" t="n">
        <v>3</v>
      </c>
      <c r="F229" s="24" t="n">
        <v>-0.424212962</v>
      </c>
    </row>
    <row r="230" customFormat="false" ht="15" hidden="false" customHeight="false" outlineLevel="0" collapsed="false">
      <c r="A230" s="3" t="n">
        <v>229</v>
      </c>
      <c r="B230" s="3" t="n">
        <v>228</v>
      </c>
      <c r="C230" s="3" t="n">
        <v>0</v>
      </c>
      <c r="D230" s="3" t="n">
        <v>8</v>
      </c>
      <c r="E230" s="3" t="n">
        <v>4</v>
      </c>
      <c r="F230" s="24" t="n">
        <v>-0.424212962</v>
      </c>
    </row>
    <row r="231" customFormat="false" ht="15" hidden="false" customHeight="false" outlineLevel="0" collapsed="false">
      <c r="A231" s="3" t="n">
        <v>230</v>
      </c>
      <c r="B231" s="3" t="n">
        <v>229</v>
      </c>
      <c r="C231" s="3" t="n">
        <v>0</v>
      </c>
      <c r="D231" s="3" t="n">
        <v>8</v>
      </c>
      <c r="E231" s="3" t="n">
        <v>5</v>
      </c>
      <c r="F231" s="24" t="n">
        <v>-0.424212962</v>
      </c>
    </row>
    <row r="232" customFormat="false" ht="15" hidden="false" customHeight="false" outlineLevel="0" collapsed="false">
      <c r="A232" s="3" t="n">
        <v>231</v>
      </c>
      <c r="B232" s="3" t="n">
        <v>230</v>
      </c>
      <c r="C232" s="3" t="n">
        <v>0</v>
      </c>
      <c r="D232" s="3" t="n">
        <v>8</v>
      </c>
      <c r="E232" s="3" t="n">
        <v>6</v>
      </c>
      <c r="F232" s="24" t="n">
        <v>2.40145493</v>
      </c>
    </row>
    <row r="233" customFormat="false" ht="15" hidden="false" customHeight="false" outlineLevel="0" collapsed="false">
      <c r="A233" s="3" t="n">
        <v>232</v>
      </c>
      <c r="B233" s="3" t="n">
        <v>231</v>
      </c>
      <c r="C233" s="3" t="n">
        <v>0</v>
      </c>
      <c r="D233" s="3" t="n">
        <v>8</v>
      </c>
      <c r="E233" s="3" t="n">
        <v>7</v>
      </c>
      <c r="F233" s="24" t="n">
        <v>2.8087585</v>
      </c>
    </row>
    <row r="234" customFormat="false" ht="15" hidden="false" customHeight="false" outlineLevel="0" collapsed="false">
      <c r="A234" s="3" t="n">
        <v>233</v>
      </c>
      <c r="B234" s="3" t="n">
        <v>232</v>
      </c>
      <c r="C234" s="3" t="n">
        <v>0</v>
      </c>
      <c r="D234" s="3" t="n">
        <v>8</v>
      </c>
      <c r="E234" s="3" t="n">
        <v>8</v>
      </c>
      <c r="F234" s="24" t="n">
        <v>2.8087585</v>
      </c>
    </row>
    <row r="235" customFormat="false" ht="15" hidden="false" customHeight="false" outlineLevel="0" collapsed="false">
      <c r="A235" s="3" t="n">
        <v>234</v>
      </c>
      <c r="B235" s="3" t="n">
        <v>233</v>
      </c>
      <c r="C235" s="3" t="n">
        <v>0</v>
      </c>
      <c r="D235" s="3" t="n">
        <v>8</v>
      </c>
      <c r="E235" s="3" t="n">
        <v>9</v>
      </c>
      <c r="F235" s="24" t="n">
        <v>2.8087585</v>
      </c>
    </row>
    <row r="236" customFormat="false" ht="15" hidden="false" customHeight="false" outlineLevel="0" collapsed="false">
      <c r="A236" s="3" t="n">
        <v>235</v>
      </c>
      <c r="B236" s="3" t="n">
        <v>234</v>
      </c>
      <c r="C236" s="3" t="n">
        <v>0</v>
      </c>
      <c r="D236" s="3" t="n">
        <v>8</v>
      </c>
      <c r="E236" s="3" t="n">
        <v>10</v>
      </c>
      <c r="F236" s="24" t="n">
        <v>2.8087585</v>
      </c>
    </row>
    <row r="237" customFormat="false" ht="15" hidden="false" customHeight="false" outlineLevel="0" collapsed="false">
      <c r="A237" s="3" t="n">
        <v>236</v>
      </c>
      <c r="B237" s="3" t="n">
        <v>235</v>
      </c>
      <c r="C237" s="3" t="n">
        <v>0</v>
      </c>
      <c r="D237" s="3" t="n">
        <v>8</v>
      </c>
      <c r="E237" s="3" t="n">
        <v>11</v>
      </c>
      <c r="F237" s="24" t="n">
        <v>2.64329147</v>
      </c>
    </row>
    <row r="238" customFormat="false" ht="15" hidden="false" customHeight="false" outlineLevel="0" collapsed="false">
      <c r="A238" s="3" t="n">
        <v>237</v>
      </c>
      <c r="B238" s="3" t="n">
        <v>236</v>
      </c>
      <c r="C238" s="3" t="n">
        <v>0</v>
      </c>
      <c r="D238" s="3" t="n">
        <v>8</v>
      </c>
      <c r="E238" s="3" t="n">
        <v>12</v>
      </c>
      <c r="F238" s="24" t="n">
        <v>2.09597731</v>
      </c>
    </row>
    <row r="239" customFormat="false" ht="15" hidden="false" customHeight="false" outlineLevel="0" collapsed="false">
      <c r="A239" s="3" t="n">
        <v>238</v>
      </c>
      <c r="B239" s="3" t="n">
        <v>237</v>
      </c>
      <c r="C239" s="3" t="n">
        <v>0</v>
      </c>
      <c r="D239" s="3" t="n">
        <v>8</v>
      </c>
      <c r="E239" s="3" t="n">
        <v>13</v>
      </c>
      <c r="F239" s="24" t="n">
        <v>2.09597731</v>
      </c>
    </row>
    <row r="240" customFormat="false" ht="15" hidden="false" customHeight="false" outlineLevel="0" collapsed="false">
      <c r="A240" s="3" t="n">
        <v>239</v>
      </c>
      <c r="B240" s="3" t="n">
        <v>238</v>
      </c>
      <c r="C240" s="3" t="n">
        <v>0</v>
      </c>
      <c r="D240" s="3" t="n">
        <v>8</v>
      </c>
      <c r="E240" s="3" t="n">
        <v>14</v>
      </c>
      <c r="F240" s="24" t="n">
        <v>2.09597731</v>
      </c>
    </row>
    <row r="241" customFormat="false" ht="15" hidden="false" customHeight="false" outlineLevel="0" collapsed="false">
      <c r="A241" s="3" t="n">
        <v>240</v>
      </c>
      <c r="B241" s="3" t="n">
        <v>239</v>
      </c>
      <c r="C241" s="3" t="n">
        <v>0</v>
      </c>
      <c r="D241" s="3" t="n">
        <v>8</v>
      </c>
      <c r="E241" s="3" t="n">
        <v>15</v>
      </c>
      <c r="F241" s="24" t="n">
        <v>2.09597731</v>
      </c>
    </row>
    <row r="242" customFormat="false" ht="15" hidden="false" customHeight="false" outlineLevel="0" collapsed="false">
      <c r="A242" s="3" t="n">
        <v>241</v>
      </c>
      <c r="B242" s="3" t="n">
        <v>240</v>
      </c>
      <c r="C242" s="3" t="n">
        <v>0</v>
      </c>
      <c r="D242" s="3" t="n">
        <v>8</v>
      </c>
      <c r="E242" s="3" t="n">
        <v>16</v>
      </c>
      <c r="F242" s="24" t="n">
        <v>2.09597731</v>
      </c>
    </row>
    <row r="243" customFormat="false" ht="15" hidden="false" customHeight="false" outlineLevel="0" collapsed="false">
      <c r="A243" s="3" t="n">
        <v>242</v>
      </c>
      <c r="B243" s="3" t="n">
        <v>241</v>
      </c>
      <c r="C243" s="3" t="n">
        <v>0</v>
      </c>
      <c r="D243" s="3" t="n">
        <v>8</v>
      </c>
      <c r="E243" s="3" t="n">
        <v>17</v>
      </c>
      <c r="F243" s="24" t="n">
        <v>2.09597731</v>
      </c>
    </row>
    <row r="244" customFormat="false" ht="15" hidden="false" customHeight="false" outlineLevel="0" collapsed="false">
      <c r="A244" s="3" t="n">
        <v>243</v>
      </c>
      <c r="B244" s="3" t="n">
        <v>242</v>
      </c>
      <c r="C244" s="3" t="n">
        <v>0</v>
      </c>
      <c r="D244" s="3" t="n">
        <v>8</v>
      </c>
      <c r="E244" s="3" t="n">
        <v>18</v>
      </c>
      <c r="F244" s="24" t="n">
        <v>2.09597731</v>
      </c>
    </row>
    <row r="245" customFormat="false" ht="15" hidden="false" customHeight="false" outlineLevel="0" collapsed="false">
      <c r="A245" s="3" t="n">
        <v>244</v>
      </c>
      <c r="B245" s="3" t="n">
        <v>243</v>
      </c>
      <c r="C245" s="3" t="n">
        <v>0</v>
      </c>
      <c r="D245" s="3" t="n">
        <v>8</v>
      </c>
      <c r="E245" s="3" t="n">
        <v>19</v>
      </c>
      <c r="F245" s="24" t="n">
        <v>2.09597731</v>
      </c>
    </row>
    <row r="246" customFormat="false" ht="15" hidden="false" customHeight="false" outlineLevel="0" collapsed="false">
      <c r="A246" s="3" t="n">
        <v>245</v>
      </c>
      <c r="B246" s="3" t="n">
        <v>244</v>
      </c>
      <c r="C246" s="3" t="n">
        <v>0</v>
      </c>
      <c r="D246" s="3" t="n">
        <v>8</v>
      </c>
      <c r="E246" s="3" t="n">
        <v>20</v>
      </c>
      <c r="F246" s="24" t="n">
        <v>1.73958683</v>
      </c>
    </row>
    <row r="247" customFormat="false" ht="15" hidden="false" customHeight="false" outlineLevel="0" collapsed="false">
      <c r="A247" s="3" t="n">
        <v>246</v>
      </c>
      <c r="B247" s="3" t="n">
        <v>245</v>
      </c>
      <c r="C247" s="3" t="n">
        <v>0</v>
      </c>
      <c r="D247" s="3" t="n">
        <v>8</v>
      </c>
      <c r="E247" s="3" t="n">
        <v>21</v>
      </c>
      <c r="F247" s="24" t="n">
        <v>0.237655208</v>
      </c>
    </row>
    <row r="248" customFormat="false" ht="15" hidden="false" customHeight="false" outlineLevel="0" collapsed="false">
      <c r="A248" s="3" t="n">
        <v>247</v>
      </c>
      <c r="B248" s="3" t="n">
        <v>246</v>
      </c>
      <c r="C248" s="3" t="n">
        <v>0</v>
      </c>
      <c r="D248" s="3" t="n">
        <v>8</v>
      </c>
      <c r="E248" s="3" t="n">
        <v>22</v>
      </c>
      <c r="F248" s="24" t="n">
        <v>-0.424212962</v>
      </c>
    </row>
    <row r="249" customFormat="false" ht="15" hidden="false" customHeight="false" outlineLevel="0" collapsed="false">
      <c r="A249" s="3" t="n">
        <v>248</v>
      </c>
      <c r="B249" s="3" t="n">
        <v>247</v>
      </c>
      <c r="C249" s="3" t="n">
        <v>0</v>
      </c>
      <c r="D249" s="3" t="n">
        <v>8</v>
      </c>
      <c r="E249" s="3" t="n">
        <v>23</v>
      </c>
      <c r="F249" s="24" t="n">
        <v>-0.424212962</v>
      </c>
    </row>
    <row r="250" customFormat="false" ht="15" hidden="false" customHeight="false" outlineLevel="0" collapsed="false">
      <c r="A250" s="3" t="n">
        <v>249</v>
      </c>
      <c r="B250" s="3" t="n">
        <v>248</v>
      </c>
      <c r="C250" s="3" t="n">
        <v>0</v>
      </c>
      <c r="D250" s="3" t="n">
        <v>8</v>
      </c>
      <c r="E250" s="3" t="n">
        <v>24</v>
      </c>
      <c r="F250" s="24" t="n">
        <v>-0.424212962</v>
      </c>
    </row>
    <row r="251" customFormat="false" ht="15" hidden="false" customHeight="false" outlineLevel="0" collapsed="false">
      <c r="A251" s="3" t="n">
        <v>250</v>
      </c>
      <c r="B251" s="3" t="n">
        <v>249</v>
      </c>
      <c r="C251" s="3" t="n">
        <v>0</v>
      </c>
      <c r="D251" s="3" t="n">
        <v>8</v>
      </c>
      <c r="E251" s="3" t="n">
        <v>25</v>
      </c>
      <c r="F251" s="24" t="n">
        <v>-0.424212962</v>
      </c>
    </row>
    <row r="252" customFormat="false" ht="15" hidden="false" customHeight="false" outlineLevel="0" collapsed="false">
      <c r="A252" s="3" t="n">
        <v>251</v>
      </c>
      <c r="B252" s="3" t="n">
        <v>250</v>
      </c>
      <c r="C252" s="3" t="n">
        <v>0</v>
      </c>
      <c r="D252" s="3" t="n">
        <v>8</v>
      </c>
      <c r="E252" s="3" t="n">
        <v>26</v>
      </c>
      <c r="F252" s="24" t="n">
        <v>-0.424212962</v>
      </c>
    </row>
    <row r="253" customFormat="false" ht="15" hidden="false" customHeight="false" outlineLevel="0" collapsed="false">
      <c r="A253" s="3" t="n">
        <v>252</v>
      </c>
      <c r="B253" s="3" t="n">
        <v>251</v>
      </c>
      <c r="C253" s="3" t="n">
        <v>0</v>
      </c>
      <c r="D253" s="3" t="n">
        <v>8</v>
      </c>
      <c r="E253" s="3" t="n">
        <v>27</v>
      </c>
      <c r="F253" s="24" t="n">
        <v>-0.424212962</v>
      </c>
    </row>
    <row r="254" customFormat="false" ht="15" hidden="false" customHeight="false" outlineLevel="0" collapsed="false">
      <c r="A254" s="3" t="n">
        <v>253</v>
      </c>
      <c r="B254" s="3" t="n">
        <v>252</v>
      </c>
      <c r="C254" s="3" t="n">
        <v>0</v>
      </c>
      <c r="D254" s="3" t="n">
        <v>9</v>
      </c>
      <c r="E254" s="3" t="n">
        <v>0</v>
      </c>
      <c r="F254" s="24" t="n">
        <v>-0.424212962</v>
      </c>
    </row>
    <row r="255" customFormat="false" ht="15" hidden="false" customHeight="false" outlineLevel="0" collapsed="false">
      <c r="A255" s="3" t="n">
        <v>254</v>
      </c>
      <c r="B255" s="3" t="n">
        <v>253</v>
      </c>
      <c r="C255" s="3" t="n">
        <v>0</v>
      </c>
      <c r="D255" s="3" t="n">
        <v>9</v>
      </c>
      <c r="E255" s="3" t="n">
        <v>1</v>
      </c>
      <c r="F255" s="24" t="n">
        <v>-0.424212962</v>
      </c>
    </row>
    <row r="256" customFormat="false" ht="15" hidden="false" customHeight="false" outlineLevel="0" collapsed="false">
      <c r="A256" s="3" t="n">
        <v>255</v>
      </c>
      <c r="B256" s="3" t="n">
        <v>254</v>
      </c>
      <c r="C256" s="3" t="n">
        <v>0</v>
      </c>
      <c r="D256" s="3" t="n">
        <v>9</v>
      </c>
      <c r="E256" s="3" t="n">
        <v>2</v>
      </c>
      <c r="F256" s="24" t="n">
        <v>-0.424212962</v>
      </c>
    </row>
    <row r="257" customFormat="false" ht="15" hidden="false" customHeight="false" outlineLevel="0" collapsed="false">
      <c r="A257" s="3" t="n">
        <v>256</v>
      </c>
      <c r="B257" s="3" t="n">
        <v>255</v>
      </c>
      <c r="C257" s="3" t="n">
        <v>0</v>
      </c>
      <c r="D257" s="3" t="n">
        <v>9</v>
      </c>
      <c r="E257" s="3" t="n">
        <v>3</v>
      </c>
      <c r="F257" s="24" t="n">
        <v>-0.424212962</v>
      </c>
    </row>
    <row r="258" customFormat="false" ht="15" hidden="false" customHeight="false" outlineLevel="0" collapsed="false">
      <c r="A258" s="3" t="n">
        <v>257</v>
      </c>
      <c r="B258" s="3" t="n">
        <v>256</v>
      </c>
      <c r="C258" s="3" t="n">
        <v>0</v>
      </c>
      <c r="D258" s="3" t="n">
        <v>9</v>
      </c>
      <c r="E258" s="3" t="n">
        <v>4</v>
      </c>
      <c r="F258" s="24" t="n">
        <v>-0.424212962</v>
      </c>
    </row>
    <row r="259" customFormat="false" ht="15" hidden="false" customHeight="false" outlineLevel="0" collapsed="false">
      <c r="A259" s="3" t="n">
        <v>258</v>
      </c>
      <c r="B259" s="3" t="n">
        <v>257</v>
      </c>
      <c r="C259" s="3" t="n">
        <v>0</v>
      </c>
      <c r="D259" s="3" t="n">
        <v>9</v>
      </c>
      <c r="E259" s="3" t="n">
        <v>5</v>
      </c>
      <c r="F259" s="24" t="n">
        <v>-0.424212962</v>
      </c>
    </row>
    <row r="260" customFormat="false" ht="15" hidden="false" customHeight="false" outlineLevel="0" collapsed="false">
      <c r="A260" s="3" t="n">
        <v>259</v>
      </c>
      <c r="B260" s="3" t="n">
        <v>258</v>
      </c>
      <c r="C260" s="3" t="n">
        <v>0</v>
      </c>
      <c r="D260" s="3" t="n">
        <v>9</v>
      </c>
      <c r="E260" s="3" t="n">
        <v>6</v>
      </c>
      <c r="F260" s="24" t="n">
        <v>0.428578734</v>
      </c>
    </row>
    <row r="261" customFormat="false" ht="15" hidden="false" customHeight="false" outlineLevel="0" collapsed="false">
      <c r="A261" s="3" t="n">
        <v>260</v>
      </c>
      <c r="B261" s="3" t="n">
        <v>259</v>
      </c>
      <c r="C261" s="3" t="n">
        <v>0</v>
      </c>
      <c r="D261" s="3" t="n">
        <v>9</v>
      </c>
      <c r="E261" s="3" t="n">
        <v>7</v>
      </c>
      <c r="F261" s="24" t="n">
        <v>1.02680564</v>
      </c>
    </row>
    <row r="262" customFormat="false" ht="15" hidden="false" customHeight="false" outlineLevel="0" collapsed="false">
      <c r="A262" s="3" t="n">
        <v>261</v>
      </c>
      <c r="B262" s="3" t="n">
        <v>260</v>
      </c>
      <c r="C262" s="3" t="n">
        <v>0</v>
      </c>
      <c r="D262" s="3" t="n">
        <v>9</v>
      </c>
      <c r="E262" s="3" t="n">
        <v>8</v>
      </c>
      <c r="F262" s="24" t="n">
        <v>0.492219925</v>
      </c>
    </row>
    <row r="263" customFormat="false" ht="15" hidden="false" customHeight="false" outlineLevel="0" collapsed="false">
      <c r="A263" s="3" t="n">
        <v>262</v>
      </c>
      <c r="B263" s="3" t="n">
        <v>261</v>
      </c>
      <c r="C263" s="3" t="n">
        <v>0</v>
      </c>
      <c r="D263" s="3" t="n">
        <v>9</v>
      </c>
      <c r="E263" s="3" t="n">
        <v>9</v>
      </c>
      <c r="F263" s="24" t="n">
        <v>1.02680564</v>
      </c>
    </row>
    <row r="264" customFormat="false" ht="15" hidden="false" customHeight="false" outlineLevel="0" collapsed="false">
      <c r="A264" s="3" t="n">
        <v>263</v>
      </c>
      <c r="B264" s="3" t="n">
        <v>262</v>
      </c>
      <c r="C264" s="3" t="n">
        <v>0</v>
      </c>
      <c r="D264" s="3" t="n">
        <v>9</v>
      </c>
      <c r="E264" s="3" t="n">
        <v>10</v>
      </c>
      <c r="F264" s="24" t="n">
        <v>1.65048921</v>
      </c>
    </row>
    <row r="265" customFormat="false" ht="15" hidden="false" customHeight="false" outlineLevel="0" collapsed="false">
      <c r="A265" s="3" t="n">
        <v>264</v>
      </c>
      <c r="B265" s="3" t="n">
        <v>263</v>
      </c>
      <c r="C265" s="3" t="n">
        <v>0</v>
      </c>
      <c r="D265" s="3" t="n">
        <v>9</v>
      </c>
      <c r="E265" s="3" t="n">
        <v>11</v>
      </c>
      <c r="F265" s="24" t="n">
        <v>2.46509624</v>
      </c>
    </row>
    <row r="266" customFormat="false" ht="15" hidden="false" customHeight="false" outlineLevel="0" collapsed="false">
      <c r="A266" s="3" t="n">
        <v>265</v>
      </c>
      <c r="B266" s="3" t="n">
        <v>264</v>
      </c>
      <c r="C266" s="3" t="n">
        <v>0</v>
      </c>
      <c r="D266" s="3" t="n">
        <v>9</v>
      </c>
      <c r="E266" s="3" t="n">
        <v>12</v>
      </c>
      <c r="F266" s="24" t="n">
        <v>2.8087585</v>
      </c>
    </row>
    <row r="267" customFormat="false" ht="15" hidden="false" customHeight="false" outlineLevel="0" collapsed="false">
      <c r="A267" s="3" t="n">
        <v>266</v>
      </c>
      <c r="B267" s="3" t="n">
        <v>265</v>
      </c>
      <c r="C267" s="3" t="n">
        <v>0</v>
      </c>
      <c r="D267" s="3" t="n">
        <v>9</v>
      </c>
      <c r="E267" s="3" t="n">
        <v>13</v>
      </c>
      <c r="F267" s="24" t="n">
        <v>2.43963981</v>
      </c>
    </row>
    <row r="268" customFormat="false" ht="15" hidden="false" customHeight="false" outlineLevel="0" collapsed="false">
      <c r="A268" s="3" t="n">
        <v>267</v>
      </c>
      <c r="B268" s="3" t="n">
        <v>266</v>
      </c>
      <c r="C268" s="3" t="n">
        <v>0</v>
      </c>
      <c r="D268" s="3" t="n">
        <v>9</v>
      </c>
      <c r="E268" s="3" t="n">
        <v>14</v>
      </c>
      <c r="F268" s="24" t="n">
        <v>2.8087585</v>
      </c>
    </row>
    <row r="269" customFormat="false" ht="15" hidden="false" customHeight="false" outlineLevel="0" collapsed="false">
      <c r="A269" s="3" t="n">
        <v>268</v>
      </c>
      <c r="B269" s="3" t="n">
        <v>267</v>
      </c>
      <c r="C269" s="3" t="n">
        <v>0</v>
      </c>
      <c r="D269" s="3" t="n">
        <v>9</v>
      </c>
      <c r="E269" s="3" t="n">
        <v>15</v>
      </c>
      <c r="F269" s="24" t="n">
        <v>2.8087585</v>
      </c>
    </row>
    <row r="270" customFormat="false" ht="15" hidden="false" customHeight="false" outlineLevel="0" collapsed="false">
      <c r="A270" s="3" t="n">
        <v>269</v>
      </c>
      <c r="B270" s="3" t="n">
        <v>268</v>
      </c>
      <c r="C270" s="3" t="n">
        <v>0</v>
      </c>
      <c r="D270" s="3" t="n">
        <v>9</v>
      </c>
      <c r="E270" s="3" t="n">
        <v>16</v>
      </c>
      <c r="F270" s="24" t="n">
        <v>2.8087585</v>
      </c>
    </row>
    <row r="271" customFormat="false" ht="15" hidden="false" customHeight="false" outlineLevel="0" collapsed="false">
      <c r="A271" s="3" t="n">
        <v>270</v>
      </c>
      <c r="B271" s="3" t="n">
        <v>269</v>
      </c>
      <c r="C271" s="3" t="n">
        <v>0</v>
      </c>
      <c r="D271" s="3" t="n">
        <v>9</v>
      </c>
      <c r="E271" s="3" t="n">
        <v>17</v>
      </c>
      <c r="F271" s="24" t="n">
        <v>2.75784564</v>
      </c>
    </row>
    <row r="272" customFormat="false" ht="15" hidden="false" customHeight="false" outlineLevel="0" collapsed="false">
      <c r="A272" s="3" t="n">
        <v>271</v>
      </c>
      <c r="B272" s="3" t="n">
        <v>270</v>
      </c>
      <c r="C272" s="3" t="n">
        <v>0</v>
      </c>
      <c r="D272" s="3" t="n">
        <v>9</v>
      </c>
      <c r="E272" s="3" t="n">
        <v>18</v>
      </c>
      <c r="F272" s="24" t="n">
        <v>2.49055266</v>
      </c>
    </row>
    <row r="273" customFormat="false" ht="15" hidden="false" customHeight="false" outlineLevel="0" collapsed="false">
      <c r="A273" s="3" t="n">
        <v>272</v>
      </c>
      <c r="B273" s="3" t="n">
        <v>271</v>
      </c>
      <c r="C273" s="3" t="n">
        <v>0</v>
      </c>
      <c r="D273" s="3" t="n">
        <v>9</v>
      </c>
      <c r="E273" s="3" t="n">
        <v>19</v>
      </c>
      <c r="F273" s="24" t="n">
        <v>2.8087585</v>
      </c>
    </row>
    <row r="274" customFormat="false" ht="15" hidden="false" customHeight="false" outlineLevel="0" collapsed="false">
      <c r="A274" s="3" t="n">
        <v>273</v>
      </c>
      <c r="B274" s="3" t="n">
        <v>272</v>
      </c>
      <c r="C274" s="3" t="n">
        <v>0</v>
      </c>
      <c r="D274" s="3" t="n">
        <v>9</v>
      </c>
      <c r="E274" s="3" t="n">
        <v>20</v>
      </c>
      <c r="F274" s="24" t="n">
        <v>2.8087585</v>
      </c>
    </row>
    <row r="275" customFormat="false" ht="15" hidden="false" customHeight="false" outlineLevel="0" collapsed="false">
      <c r="A275" s="3" t="n">
        <v>274</v>
      </c>
      <c r="B275" s="3" t="n">
        <v>273</v>
      </c>
      <c r="C275" s="3" t="n">
        <v>0</v>
      </c>
      <c r="D275" s="3" t="n">
        <v>9</v>
      </c>
      <c r="E275" s="3" t="n">
        <v>21</v>
      </c>
      <c r="F275" s="24" t="n">
        <v>1.35773993</v>
      </c>
    </row>
    <row r="276" customFormat="false" ht="15" hidden="false" customHeight="false" outlineLevel="0" collapsed="false">
      <c r="A276" s="3" t="n">
        <v>275</v>
      </c>
      <c r="B276" s="3" t="n">
        <v>274</v>
      </c>
      <c r="C276" s="3" t="n">
        <v>0</v>
      </c>
      <c r="D276" s="3" t="n">
        <v>9</v>
      </c>
      <c r="E276" s="3" t="n">
        <v>22</v>
      </c>
      <c r="F276" s="24" t="n">
        <v>-0.424212962</v>
      </c>
    </row>
    <row r="277" customFormat="false" ht="15" hidden="false" customHeight="false" outlineLevel="0" collapsed="false">
      <c r="A277" s="3" t="n">
        <v>276</v>
      </c>
      <c r="B277" s="3" t="n">
        <v>275</v>
      </c>
      <c r="C277" s="3" t="n">
        <v>0</v>
      </c>
      <c r="D277" s="3" t="n">
        <v>9</v>
      </c>
      <c r="E277" s="3" t="n">
        <v>23</v>
      </c>
      <c r="F277" s="24" t="n">
        <v>-0.424212962</v>
      </c>
    </row>
    <row r="278" customFormat="false" ht="15" hidden="false" customHeight="false" outlineLevel="0" collapsed="false">
      <c r="A278" s="3" t="n">
        <v>277</v>
      </c>
      <c r="B278" s="3" t="n">
        <v>276</v>
      </c>
      <c r="C278" s="3" t="n">
        <v>0</v>
      </c>
      <c r="D278" s="3" t="n">
        <v>9</v>
      </c>
      <c r="E278" s="3" t="n">
        <v>24</v>
      </c>
      <c r="F278" s="24" t="n">
        <v>-0.424212962</v>
      </c>
    </row>
    <row r="279" customFormat="false" ht="15" hidden="false" customHeight="false" outlineLevel="0" collapsed="false">
      <c r="A279" s="3" t="n">
        <v>278</v>
      </c>
      <c r="B279" s="3" t="n">
        <v>277</v>
      </c>
      <c r="C279" s="3" t="n">
        <v>0</v>
      </c>
      <c r="D279" s="3" t="n">
        <v>9</v>
      </c>
      <c r="E279" s="3" t="n">
        <v>25</v>
      </c>
      <c r="F279" s="24" t="n">
        <v>-0.424212962</v>
      </c>
    </row>
    <row r="280" customFormat="false" ht="15" hidden="false" customHeight="false" outlineLevel="0" collapsed="false">
      <c r="A280" s="3" t="n">
        <v>279</v>
      </c>
      <c r="B280" s="3" t="n">
        <v>278</v>
      </c>
      <c r="C280" s="3" t="n">
        <v>0</v>
      </c>
      <c r="D280" s="3" t="n">
        <v>9</v>
      </c>
      <c r="E280" s="3" t="n">
        <v>26</v>
      </c>
      <c r="F280" s="24" t="n">
        <v>-0.424212962</v>
      </c>
    </row>
    <row r="281" customFormat="false" ht="15" hidden="false" customHeight="false" outlineLevel="0" collapsed="false">
      <c r="A281" s="3" t="n">
        <v>280</v>
      </c>
      <c r="B281" s="3" t="n">
        <v>279</v>
      </c>
      <c r="C281" s="3" t="n">
        <v>0</v>
      </c>
      <c r="D281" s="3" t="n">
        <v>9</v>
      </c>
      <c r="E281" s="3" t="n">
        <v>27</v>
      </c>
      <c r="F281" s="24" t="n">
        <v>-0.424212962</v>
      </c>
    </row>
    <row r="282" customFormat="false" ht="15" hidden="false" customHeight="false" outlineLevel="0" collapsed="false">
      <c r="A282" s="3" t="n">
        <v>281</v>
      </c>
      <c r="B282" s="3" t="n">
        <v>280</v>
      </c>
      <c r="C282" s="3" t="n">
        <v>0</v>
      </c>
      <c r="D282" s="3" t="n">
        <v>10</v>
      </c>
      <c r="E282" s="3" t="n">
        <v>0</v>
      </c>
      <c r="F282" s="24" t="n">
        <v>-0.424212962</v>
      </c>
    </row>
    <row r="283" customFormat="false" ht="15" hidden="false" customHeight="false" outlineLevel="0" collapsed="false">
      <c r="A283" s="3" t="n">
        <v>282</v>
      </c>
      <c r="B283" s="3" t="n">
        <v>281</v>
      </c>
      <c r="C283" s="3" t="n">
        <v>0</v>
      </c>
      <c r="D283" s="3" t="n">
        <v>10</v>
      </c>
      <c r="E283" s="3" t="n">
        <v>1</v>
      </c>
      <c r="F283" s="24" t="n">
        <v>-0.424212962</v>
      </c>
    </row>
    <row r="284" customFormat="false" ht="15" hidden="false" customHeight="false" outlineLevel="0" collapsed="false">
      <c r="A284" s="3" t="n">
        <v>283</v>
      </c>
      <c r="B284" s="3" t="n">
        <v>282</v>
      </c>
      <c r="C284" s="3" t="n">
        <v>0</v>
      </c>
      <c r="D284" s="3" t="n">
        <v>10</v>
      </c>
      <c r="E284" s="3" t="n">
        <v>2</v>
      </c>
      <c r="F284" s="24" t="n">
        <v>-0.424212962</v>
      </c>
    </row>
    <row r="285" customFormat="false" ht="15" hidden="false" customHeight="false" outlineLevel="0" collapsed="false">
      <c r="A285" s="3" t="n">
        <v>284</v>
      </c>
      <c r="B285" s="3" t="n">
        <v>283</v>
      </c>
      <c r="C285" s="3" t="n">
        <v>0</v>
      </c>
      <c r="D285" s="3" t="n">
        <v>10</v>
      </c>
      <c r="E285" s="3" t="n">
        <v>3</v>
      </c>
      <c r="F285" s="24" t="n">
        <v>-0.424212962</v>
      </c>
    </row>
    <row r="286" customFormat="false" ht="15" hidden="false" customHeight="false" outlineLevel="0" collapsed="false">
      <c r="A286" s="3" t="n">
        <v>285</v>
      </c>
      <c r="B286" s="3" t="n">
        <v>284</v>
      </c>
      <c r="C286" s="3" t="n">
        <v>0</v>
      </c>
      <c r="D286" s="3" t="n">
        <v>10</v>
      </c>
      <c r="E286" s="3" t="n">
        <v>4</v>
      </c>
      <c r="F286" s="24" t="n">
        <v>-0.424212962</v>
      </c>
    </row>
    <row r="287" customFormat="false" ht="15" hidden="false" customHeight="false" outlineLevel="0" collapsed="false">
      <c r="A287" s="3" t="n">
        <v>286</v>
      </c>
      <c r="B287" s="3" t="n">
        <v>285</v>
      </c>
      <c r="C287" s="3" t="n">
        <v>0</v>
      </c>
      <c r="D287" s="3" t="n">
        <v>10</v>
      </c>
      <c r="E287" s="3" t="n">
        <v>5</v>
      </c>
      <c r="F287" s="24" t="n">
        <v>-0.424212962</v>
      </c>
    </row>
    <row r="288" customFormat="false" ht="15" hidden="false" customHeight="false" outlineLevel="0" collapsed="false">
      <c r="A288" s="3" t="n">
        <v>287</v>
      </c>
      <c r="B288" s="3" t="n">
        <v>286</v>
      </c>
      <c r="C288" s="3" t="n">
        <v>0</v>
      </c>
      <c r="D288" s="3" t="n">
        <v>10</v>
      </c>
      <c r="E288" s="3" t="n">
        <v>6</v>
      </c>
      <c r="F288" s="24" t="n">
        <v>-0.424212962</v>
      </c>
    </row>
    <row r="289" customFormat="false" ht="15" hidden="false" customHeight="false" outlineLevel="0" collapsed="false">
      <c r="A289" s="3" t="n">
        <v>288</v>
      </c>
      <c r="B289" s="3" t="n">
        <v>287</v>
      </c>
      <c r="C289" s="3" t="n">
        <v>0</v>
      </c>
      <c r="D289" s="3" t="n">
        <v>10</v>
      </c>
      <c r="E289" s="3" t="n">
        <v>7</v>
      </c>
      <c r="F289" s="24" t="n">
        <v>-0.424212962</v>
      </c>
    </row>
    <row r="290" customFormat="false" ht="15" hidden="false" customHeight="false" outlineLevel="0" collapsed="false">
      <c r="A290" s="3" t="n">
        <v>289</v>
      </c>
      <c r="B290" s="3" t="n">
        <v>288</v>
      </c>
      <c r="C290" s="3" t="n">
        <v>0</v>
      </c>
      <c r="D290" s="3" t="n">
        <v>10</v>
      </c>
      <c r="E290" s="3" t="n">
        <v>8</v>
      </c>
      <c r="F290" s="24" t="n">
        <v>-0.424212962</v>
      </c>
    </row>
    <row r="291" customFormat="false" ht="15" hidden="false" customHeight="false" outlineLevel="0" collapsed="false">
      <c r="A291" s="3" t="n">
        <v>290</v>
      </c>
      <c r="B291" s="3" t="n">
        <v>289</v>
      </c>
      <c r="C291" s="3" t="n">
        <v>0</v>
      </c>
      <c r="D291" s="3" t="n">
        <v>10</v>
      </c>
      <c r="E291" s="3" t="n">
        <v>9</v>
      </c>
      <c r="F291" s="24" t="n">
        <v>-0.424212962</v>
      </c>
    </row>
    <row r="292" customFormat="false" ht="15" hidden="false" customHeight="false" outlineLevel="0" collapsed="false">
      <c r="A292" s="3" t="n">
        <v>291</v>
      </c>
      <c r="B292" s="3" t="n">
        <v>290</v>
      </c>
      <c r="C292" s="3" t="n">
        <v>0</v>
      </c>
      <c r="D292" s="3" t="n">
        <v>10</v>
      </c>
      <c r="E292" s="3" t="n">
        <v>10</v>
      </c>
      <c r="F292" s="24" t="n">
        <v>-0.424212962</v>
      </c>
    </row>
    <row r="293" customFormat="false" ht="15" hidden="false" customHeight="false" outlineLevel="0" collapsed="false">
      <c r="A293" s="3" t="n">
        <v>292</v>
      </c>
      <c r="B293" s="3" t="n">
        <v>291</v>
      </c>
      <c r="C293" s="3" t="n">
        <v>0</v>
      </c>
      <c r="D293" s="3" t="n">
        <v>10</v>
      </c>
      <c r="E293" s="3" t="n">
        <v>11</v>
      </c>
      <c r="F293" s="24" t="n">
        <v>-0.207832977</v>
      </c>
    </row>
    <row r="294" customFormat="false" ht="15" hidden="false" customHeight="false" outlineLevel="0" collapsed="false">
      <c r="A294" s="3" t="n">
        <v>293</v>
      </c>
      <c r="B294" s="3" t="n">
        <v>292</v>
      </c>
      <c r="C294" s="3" t="n">
        <v>0</v>
      </c>
      <c r="D294" s="3" t="n">
        <v>10</v>
      </c>
      <c r="E294" s="3" t="n">
        <v>12</v>
      </c>
      <c r="F294" s="24" t="n">
        <v>0.41585052</v>
      </c>
    </row>
    <row r="295" customFormat="false" ht="15" hidden="false" customHeight="false" outlineLevel="0" collapsed="false">
      <c r="A295" s="3" t="n">
        <v>294</v>
      </c>
      <c r="B295" s="3" t="n">
        <v>293</v>
      </c>
      <c r="C295" s="3" t="n">
        <v>0</v>
      </c>
      <c r="D295" s="3" t="n">
        <v>10</v>
      </c>
      <c r="E295" s="3" t="n">
        <v>13</v>
      </c>
      <c r="F295" s="24" t="n">
        <v>-0.246017694</v>
      </c>
    </row>
    <row r="296" customFormat="false" ht="15" hidden="false" customHeight="false" outlineLevel="0" collapsed="false">
      <c r="A296" s="3" t="n">
        <v>295</v>
      </c>
      <c r="B296" s="3" t="n">
        <v>294</v>
      </c>
      <c r="C296" s="3" t="n">
        <v>0</v>
      </c>
      <c r="D296" s="3" t="n">
        <v>10</v>
      </c>
      <c r="E296" s="3" t="n">
        <v>14</v>
      </c>
      <c r="F296" s="24" t="n">
        <v>0.428578734</v>
      </c>
    </row>
    <row r="297" customFormat="false" ht="15" hidden="false" customHeight="false" outlineLevel="0" collapsed="false">
      <c r="A297" s="3" t="n">
        <v>296</v>
      </c>
      <c r="B297" s="3" t="n">
        <v>295</v>
      </c>
      <c r="C297" s="3" t="n">
        <v>0</v>
      </c>
      <c r="D297" s="3" t="n">
        <v>10</v>
      </c>
      <c r="E297" s="3" t="n">
        <v>15</v>
      </c>
      <c r="F297" s="24" t="n">
        <v>0.428578734</v>
      </c>
    </row>
    <row r="298" customFormat="false" ht="15" hidden="false" customHeight="false" outlineLevel="0" collapsed="false">
      <c r="A298" s="3" t="n">
        <v>297</v>
      </c>
      <c r="B298" s="3" t="n">
        <v>296</v>
      </c>
      <c r="C298" s="3" t="n">
        <v>0</v>
      </c>
      <c r="D298" s="3" t="n">
        <v>10</v>
      </c>
      <c r="E298" s="3" t="n">
        <v>16</v>
      </c>
      <c r="F298" s="24" t="n">
        <v>0.428578734</v>
      </c>
    </row>
    <row r="299" customFormat="false" ht="15" hidden="false" customHeight="false" outlineLevel="0" collapsed="false">
      <c r="A299" s="3" t="n">
        <v>298</v>
      </c>
      <c r="B299" s="3" t="n">
        <v>297</v>
      </c>
      <c r="C299" s="3" t="n">
        <v>0</v>
      </c>
      <c r="D299" s="3" t="n">
        <v>10</v>
      </c>
      <c r="E299" s="3" t="n">
        <v>17</v>
      </c>
      <c r="F299" s="24" t="n">
        <v>0.326752841</v>
      </c>
    </row>
    <row r="300" customFormat="false" ht="15" hidden="false" customHeight="false" outlineLevel="0" collapsed="false">
      <c r="A300" s="3" t="n">
        <v>299</v>
      </c>
      <c r="B300" s="3" t="n">
        <v>298</v>
      </c>
      <c r="C300" s="3" t="n">
        <v>0</v>
      </c>
      <c r="D300" s="3" t="n">
        <v>10</v>
      </c>
      <c r="E300" s="3" t="n">
        <v>18</v>
      </c>
      <c r="F300" s="24" t="n">
        <v>-0.156920046</v>
      </c>
    </row>
    <row r="301" customFormat="false" ht="15" hidden="false" customHeight="false" outlineLevel="0" collapsed="false">
      <c r="A301" s="3" t="n">
        <v>300</v>
      </c>
      <c r="B301" s="3" t="n">
        <v>299</v>
      </c>
      <c r="C301" s="3" t="n">
        <v>0</v>
      </c>
      <c r="D301" s="3" t="n">
        <v>10</v>
      </c>
      <c r="E301" s="3" t="n">
        <v>19</v>
      </c>
      <c r="F301" s="24" t="n">
        <v>2.57965016</v>
      </c>
    </row>
    <row r="302" customFormat="false" ht="15" hidden="false" customHeight="false" outlineLevel="0" collapsed="false">
      <c r="A302" s="3" t="n">
        <v>301</v>
      </c>
      <c r="B302" s="3" t="n">
        <v>300</v>
      </c>
      <c r="C302" s="3" t="n">
        <v>0</v>
      </c>
      <c r="D302" s="3" t="n">
        <v>10</v>
      </c>
      <c r="E302" s="3" t="n">
        <v>20</v>
      </c>
      <c r="F302" s="24" t="n">
        <v>2.8087585</v>
      </c>
    </row>
    <row r="303" customFormat="false" ht="15" hidden="false" customHeight="false" outlineLevel="0" collapsed="false">
      <c r="A303" s="3" t="n">
        <v>302</v>
      </c>
      <c r="B303" s="3" t="n">
        <v>301</v>
      </c>
      <c r="C303" s="3" t="n">
        <v>0</v>
      </c>
      <c r="D303" s="3" t="n">
        <v>10</v>
      </c>
      <c r="E303" s="3" t="n">
        <v>21</v>
      </c>
      <c r="F303" s="24" t="n">
        <v>0.924979806</v>
      </c>
    </row>
    <row r="304" customFormat="false" ht="15" hidden="false" customHeight="false" outlineLevel="0" collapsed="false">
      <c r="A304" s="3" t="n">
        <v>303</v>
      </c>
      <c r="B304" s="3" t="n">
        <v>302</v>
      </c>
      <c r="C304" s="3" t="n">
        <v>0</v>
      </c>
      <c r="D304" s="3" t="n">
        <v>10</v>
      </c>
      <c r="E304" s="3" t="n">
        <v>22</v>
      </c>
      <c r="F304" s="24" t="n">
        <v>-0.424212962</v>
      </c>
    </row>
    <row r="305" customFormat="false" ht="15" hidden="false" customHeight="false" outlineLevel="0" collapsed="false">
      <c r="A305" s="3" t="n">
        <v>304</v>
      </c>
      <c r="B305" s="3" t="n">
        <v>303</v>
      </c>
      <c r="C305" s="3" t="n">
        <v>0</v>
      </c>
      <c r="D305" s="3" t="n">
        <v>10</v>
      </c>
      <c r="E305" s="3" t="n">
        <v>23</v>
      </c>
      <c r="F305" s="24" t="n">
        <v>-0.424212962</v>
      </c>
    </row>
    <row r="306" customFormat="false" ht="15" hidden="false" customHeight="false" outlineLevel="0" collapsed="false">
      <c r="A306" s="3" t="n">
        <v>305</v>
      </c>
      <c r="B306" s="3" t="n">
        <v>304</v>
      </c>
      <c r="C306" s="3" t="n">
        <v>0</v>
      </c>
      <c r="D306" s="3" t="n">
        <v>10</v>
      </c>
      <c r="E306" s="3" t="n">
        <v>24</v>
      </c>
      <c r="F306" s="24" t="n">
        <v>-0.424212962</v>
      </c>
    </row>
    <row r="307" customFormat="false" ht="15" hidden="false" customHeight="false" outlineLevel="0" collapsed="false">
      <c r="A307" s="3" t="n">
        <v>306</v>
      </c>
      <c r="B307" s="3" t="n">
        <v>305</v>
      </c>
      <c r="C307" s="3" t="n">
        <v>0</v>
      </c>
      <c r="D307" s="3" t="n">
        <v>10</v>
      </c>
      <c r="E307" s="3" t="n">
        <v>25</v>
      </c>
      <c r="F307" s="24" t="n">
        <v>-0.424212962</v>
      </c>
    </row>
    <row r="308" customFormat="false" ht="15" hidden="false" customHeight="false" outlineLevel="0" collapsed="false">
      <c r="A308" s="3" t="n">
        <v>307</v>
      </c>
      <c r="B308" s="3" t="n">
        <v>306</v>
      </c>
      <c r="C308" s="3" t="n">
        <v>0</v>
      </c>
      <c r="D308" s="3" t="n">
        <v>10</v>
      </c>
      <c r="E308" s="3" t="n">
        <v>26</v>
      </c>
      <c r="F308" s="24" t="n">
        <v>-0.424212962</v>
      </c>
    </row>
    <row r="309" customFormat="false" ht="15" hidden="false" customHeight="false" outlineLevel="0" collapsed="false">
      <c r="A309" s="3" t="n">
        <v>308</v>
      </c>
      <c r="B309" s="3" t="n">
        <v>307</v>
      </c>
      <c r="C309" s="3" t="n">
        <v>0</v>
      </c>
      <c r="D309" s="3" t="n">
        <v>10</v>
      </c>
      <c r="E309" s="3" t="n">
        <v>27</v>
      </c>
      <c r="F309" s="24" t="n">
        <v>-0.424212962</v>
      </c>
    </row>
    <row r="310" customFormat="false" ht="15" hidden="false" customHeight="false" outlineLevel="0" collapsed="false">
      <c r="A310" s="3" t="n">
        <v>309</v>
      </c>
      <c r="B310" s="3" t="n">
        <v>308</v>
      </c>
      <c r="C310" s="3" t="n">
        <v>0</v>
      </c>
      <c r="D310" s="3" t="n">
        <v>11</v>
      </c>
      <c r="E310" s="3" t="n">
        <v>0</v>
      </c>
      <c r="F310" s="24" t="n">
        <v>-0.424212962</v>
      </c>
    </row>
    <row r="311" customFormat="false" ht="15" hidden="false" customHeight="false" outlineLevel="0" collapsed="false">
      <c r="A311" s="3" t="n">
        <v>310</v>
      </c>
      <c r="B311" s="3" t="n">
        <v>309</v>
      </c>
      <c r="C311" s="3" t="n">
        <v>0</v>
      </c>
      <c r="D311" s="3" t="n">
        <v>11</v>
      </c>
      <c r="E311" s="3" t="n">
        <v>1</v>
      </c>
      <c r="F311" s="24" t="n">
        <v>-0.424212962</v>
      </c>
    </row>
    <row r="312" customFormat="false" ht="15" hidden="false" customHeight="false" outlineLevel="0" collapsed="false">
      <c r="A312" s="3" t="n">
        <v>311</v>
      </c>
      <c r="B312" s="3" t="n">
        <v>310</v>
      </c>
      <c r="C312" s="3" t="n">
        <v>0</v>
      </c>
      <c r="D312" s="3" t="n">
        <v>11</v>
      </c>
      <c r="E312" s="3" t="n">
        <v>2</v>
      </c>
      <c r="F312" s="24" t="n">
        <v>-0.424212962</v>
      </c>
    </row>
    <row r="313" customFormat="false" ht="15" hidden="false" customHeight="false" outlineLevel="0" collapsed="false">
      <c r="A313" s="3" t="n">
        <v>312</v>
      </c>
      <c r="B313" s="3" t="n">
        <v>311</v>
      </c>
      <c r="C313" s="3" t="n">
        <v>0</v>
      </c>
      <c r="D313" s="3" t="n">
        <v>11</v>
      </c>
      <c r="E313" s="3" t="n">
        <v>3</v>
      </c>
      <c r="F313" s="24" t="n">
        <v>-0.424212962</v>
      </c>
    </row>
    <row r="314" customFormat="false" ht="15" hidden="false" customHeight="false" outlineLevel="0" collapsed="false">
      <c r="A314" s="3" t="n">
        <v>313</v>
      </c>
      <c r="B314" s="3" t="n">
        <v>312</v>
      </c>
      <c r="C314" s="3" t="n">
        <v>0</v>
      </c>
      <c r="D314" s="3" t="n">
        <v>11</v>
      </c>
      <c r="E314" s="3" t="n">
        <v>4</v>
      </c>
      <c r="F314" s="24" t="n">
        <v>-0.424212962</v>
      </c>
    </row>
    <row r="315" customFormat="false" ht="15" hidden="false" customHeight="false" outlineLevel="0" collapsed="false">
      <c r="A315" s="3" t="n">
        <v>314</v>
      </c>
      <c r="B315" s="3" t="n">
        <v>313</v>
      </c>
      <c r="C315" s="3" t="n">
        <v>0</v>
      </c>
      <c r="D315" s="3" t="n">
        <v>11</v>
      </c>
      <c r="E315" s="3" t="n">
        <v>5</v>
      </c>
      <c r="F315" s="24" t="n">
        <v>-0.424212962</v>
      </c>
    </row>
    <row r="316" customFormat="false" ht="15" hidden="false" customHeight="false" outlineLevel="0" collapsed="false">
      <c r="A316" s="3" t="n">
        <v>315</v>
      </c>
      <c r="B316" s="3" t="n">
        <v>314</v>
      </c>
      <c r="C316" s="3" t="n">
        <v>0</v>
      </c>
      <c r="D316" s="3" t="n">
        <v>11</v>
      </c>
      <c r="E316" s="3" t="n">
        <v>6</v>
      </c>
      <c r="F316" s="24" t="n">
        <v>-0.424212962</v>
      </c>
    </row>
    <row r="317" customFormat="false" ht="15" hidden="false" customHeight="false" outlineLevel="0" collapsed="false">
      <c r="A317" s="3" t="n">
        <v>316</v>
      </c>
      <c r="B317" s="3" t="n">
        <v>315</v>
      </c>
      <c r="C317" s="3" t="n">
        <v>0</v>
      </c>
      <c r="D317" s="3" t="n">
        <v>11</v>
      </c>
      <c r="E317" s="3" t="n">
        <v>7</v>
      </c>
      <c r="F317" s="24" t="n">
        <v>-0.424212962</v>
      </c>
    </row>
    <row r="318" customFormat="false" ht="15" hidden="false" customHeight="false" outlineLevel="0" collapsed="false">
      <c r="A318" s="3" t="n">
        <v>317</v>
      </c>
      <c r="B318" s="3" t="n">
        <v>316</v>
      </c>
      <c r="C318" s="3" t="n">
        <v>0</v>
      </c>
      <c r="D318" s="3" t="n">
        <v>11</v>
      </c>
      <c r="E318" s="3" t="n">
        <v>8</v>
      </c>
      <c r="F318" s="24" t="n">
        <v>-0.424212962</v>
      </c>
    </row>
    <row r="319" customFormat="false" ht="15" hidden="false" customHeight="false" outlineLevel="0" collapsed="false">
      <c r="A319" s="3" t="n">
        <v>318</v>
      </c>
      <c r="B319" s="3" t="n">
        <v>317</v>
      </c>
      <c r="C319" s="3" t="n">
        <v>0</v>
      </c>
      <c r="D319" s="3" t="n">
        <v>11</v>
      </c>
      <c r="E319" s="3" t="n">
        <v>9</v>
      </c>
      <c r="F319" s="24" t="n">
        <v>-0.424212962</v>
      </c>
    </row>
    <row r="320" customFormat="false" ht="15" hidden="false" customHeight="false" outlineLevel="0" collapsed="false">
      <c r="A320" s="3" t="n">
        <v>319</v>
      </c>
      <c r="B320" s="3" t="n">
        <v>318</v>
      </c>
      <c r="C320" s="3" t="n">
        <v>0</v>
      </c>
      <c r="D320" s="3" t="n">
        <v>11</v>
      </c>
      <c r="E320" s="3" t="n">
        <v>10</v>
      </c>
      <c r="F320" s="24" t="n">
        <v>-0.424212962</v>
      </c>
    </row>
    <row r="321" customFormat="false" ht="15" hidden="false" customHeight="false" outlineLevel="0" collapsed="false">
      <c r="A321" s="3" t="n">
        <v>320</v>
      </c>
      <c r="B321" s="3" t="n">
        <v>319</v>
      </c>
      <c r="C321" s="3" t="n">
        <v>0</v>
      </c>
      <c r="D321" s="3" t="n">
        <v>11</v>
      </c>
      <c r="E321" s="3" t="n">
        <v>11</v>
      </c>
      <c r="F321" s="24" t="n">
        <v>-0.424212962</v>
      </c>
    </row>
    <row r="322" customFormat="false" ht="15" hidden="false" customHeight="false" outlineLevel="0" collapsed="false">
      <c r="A322" s="3" t="n">
        <v>321</v>
      </c>
      <c r="B322" s="3" t="n">
        <v>320</v>
      </c>
      <c r="C322" s="3" t="n">
        <v>0</v>
      </c>
      <c r="D322" s="3" t="n">
        <v>11</v>
      </c>
      <c r="E322" s="3" t="n">
        <v>12</v>
      </c>
      <c r="F322" s="24" t="n">
        <v>-0.424212962</v>
      </c>
    </row>
    <row r="323" customFormat="false" ht="15" hidden="false" customHeight="false" outlineLevel="0" collapsed="false">
      <c r="A323" s="3" t="n">
        <v>322</v>
      </c>
      <c r="B323" s="3" t="n">
        <v>321</v>
      </c>
      <c r="C323" s="3" t="n">
        <v>0</v>
      </c>
      <c r="D323" s="3" t="n">
        <v>11</v>
      </c>
      <c r="E323" s="3" t="n">
        <v>13</v>
      </c>
      <c r="F323" s="24" t="n">
        <v>-0.424212962</v>
      </c>
    </row>
    <row r="324" customFormat="false" ht="15" hidden="false" customHeight="false" outlineLevel="0" collapsed="false">
      <c r="A324" s="3" t="n">
        <v>323</v>
      </c>
      <c r="B324" s="3" t="n">
        <v>322</v>
      </c>
      <c r="C324" s="3" t="n">
        <v>0</v>
      </c>
      <c r="D324" s="3" t="n">
        <v>11</v>
      </c>
      <c r="E324" s="3" t="n">
        <v>14</v>
      </c>
      <c r="F324" s="24" t="n">
        <v>-0.424212962</v>
      </c>
    </row>
    <row r="325" customFormat="false" ht="15" hidden="false" customHeight="false" outlineLevel="0" collapsed="false">
      <c r="A325" s="3" t="n">
        <v>324</v>
      </c>
      <c r="B325" s="3" t="n">
        <v>323</v>
      </c>
      <c r="C325" s="3" t="n">
        <v>0</v>
      </c>
      <c r="D325" s="3" t="n">
        <v>11</v>
      </c>
      <c r="E325" s="3" t="n">
        <v>15</v>
      </c>
      <c r="F325" s="24" t="n">
        <v>-0.424212962</v>
      </c>
    </row>
    <row r="326" customFormat="false" ht="15" hidden="false" customHeight="false" outlineLevel="0" collapsed="false">
      <c r="A326" s="3" t="n">
        <v>325</v>
      </c>
      <c r="B326" s="3" t="n">
        <v>324</v>
      </c>
      <c r="C326" s="3" t="n">
        <v>0</v>
      </c>
      <c r="D326" s="3" t="n">
        <v>11</v>
      </c>
      <c r="E326" s="3" t="n">
        <v>16</v>
      </c>
      <c r="F326" s="24" t="n">
        <v>-0.424212962</v>
      </c>
    </row>
    <row r="327" customFormat="false" ht="15" hidden="false" customHeight="false" outlineLevel="0" collapsed="false">
      <c r="A327" s="3" t="n">
        <v>326</v>
      </c>
      <c r="B327" s="3" t="n">
        <v>325</v>
      </c>
      <c r="C327" s="3" t="n">
        <v>0</v>
      </c>
      <c r="D327" s="3" t="n">
        <v>11</v>
      </c>
      <c r="E327" s="3" t="n">
        <v>17</v>
      </c>
      <c r="F327" s="24" t="n">
        <v>-0.424212962</v>
      </c>
    </row>
    <row r="328" customFormat="false" ht="15" hidden="false" customHeight="false" outlineLevel="0" collapsed="false">
      <c r="A328" s="3" t="n">
        <v>327</v>
      </c>
      <c r="B328" s="3" t="n">
        <v>326</v>
      </c>
      <c r="C328" s="3" t="n">
        <v>0</v>
      </c>
      <c r="D328" s="3" t="n">
        <v>11</v>
      </c>
      <c r="E328" s="3" t="n">
        <v>18</v>
      </c>
      <c r="F328" s="24" t="n">
        <v>0.632230461</v>
      </c>
    </row>
    <row r="329" customFormat="false" ht="15" hidden="false" customHeight="false" outlineLevel="0" collapsed="false">
      <c r="A329" s="3" t="n">
        <v>328</v>
      </c>
      <c r="B329" s="3" t="n">
        <v>327</v>
      </c>
      <c r="C329" s="3" t="n">
        <v>0</v>
      </c>
      <c r="D329" s="3" t="n">
        <v>11</v>
      </c>
      <c r="E329" s="3" t="n">
        <v>19</v>
      </c>
      <c r="F329" s="24" t="n">
        <v>2.79603028</v>
      </c>
    </row>
    <row r="330" customFormat="false" ht="15" hidden="false" customHeight="false" outlineLevel="0" collapsed="false">
      <c r="A330" s="3" t="n">
        <v>329</v>
      </c>
      <c r="B330" s="3" t="n">
        <v>328</v>
      </c>
      <c r="C330" s="3" t="n">
        <v>0</v>
      </c>
      <c r="D330" s="3" t="n">
        <v>11</v>
      </c>
      <c r="E330" s="3" t="n">
        <v>20</v>
      </c>
      <c r="F330" s="24" t="n">
        <v>2.2359879</v>
      </c>
    </row>
    <row r="331" customFormat="false" ht="15" hidden="false" customHeight="false" outlineLevel="0" collapsed="false">
      <c r="A331" s="3" t="n">
        <v>330</v>
      </c>
      <c r="B331" s="3" t="n">
        <v>329</v>
      </c>
      <c r="C331" s="3" t="n">
        <v>0</v>
      </c>
      <c r="D331" s="3" t="n">
        <v>11</v>
      </c>
      <c r="E331" s="3" t="n">
        <v>21</v>
      </c>
      <c r="F331" s="24" t="n">
        <v>-0.195104748</v>
      </c>
    </row>
    <row r="332" customFormat="false" ht="15" hidden="false" customHeight="false" outlineLevel="0" collapsed="false">
      <c r="A332" s="3" t="n">
        <v>331</v>
      </c>
      <c r="B332" s="3" t="n">
        <v>330</v>
      </c>
      <c r="C332" s="3" t="n">
        <v>0</v>
      </c>
      <c r="D332" s="3" t="n">
        <v>11</v>
      </c>
      <c r="E332" s="3" t="n">
        <v>22</v>
      </c>
      <c r="F332" s="24" t="n">
        <v>-0.424212962</v>
      </c>
    </row>
    <row r="333" customFormat="false" ht="15" hidden="false" customHeight="false" outlineLevel="0" collapsed="false">
      <c r="A333" s="3" t="n">
        <v>332</v>
      </c>
      <c r="B333" s="3" t="n">
        <v>331</v>
      </c>
      <c r="C333" s="3" t="n">
        <v>0</v>
      </c>
      <c r="D333" s="3" t="n">
        <v>11</v>
      </c>
      <c r="E333" s="3" t="n">
        <v>23</v>
      </c>
      <c r="F333" s="24" t="n">
        <v>-0.424212962</v>
      </c>
    </row>
    <row r="334" customFormat="false" ht="15" hidden="false" customHeight="false" outlineLevel="0" collapsed="false">
      <c r="A334" s="3" t="n">
        <v>333</v>
      </c>
      <c r="B334" s="3" t="n">
        <v>332</v>
      </c>
      <c r="C334" s="3" t="n">
        <v>0</v>
      </c>
      <c r="D334" s="3" t="n">
        <v>11</v>
      </c>
      <c r="E334" s="3" t="n">
        <v>24</v>
      </c>
      <c r="F334" s="24" t="n">
        <v>-0.424212962</v>
      </c>
    </row>
    <row r="335" customFormat="false" ht="15" hidden="false" customHeight="false" outlineLevel="0" collapsed="false">
      <c r="A335" s="3" t="n">
        <v>334</v>
      </c>
      <c r="B335" s="3" t="n">
        <v>333</v>
      </c>
      <c r="C335" s="3" t="n">
        <v>0</v>
      </c>
      <c r="D335" s="3" t="n">
        <v>11</v>
      </c>
      <c r="E335" s="3" t="n">
        <v>25</v>
      </c>
      <c r="F335" s="24" t="n">
        <v>-0.424212962</v>
      </c>
    </row>
    <row r="336" customFormat="false" ht="15" hidden="false" customHeight="false" outlineLevel="0" collapsed="false">
      <c r="A336" s="3" t="n">
        <v>335</v>
      </c>
      <c r="B336" s="3" t="n">
        <v>334</v>
      </c>
      <c r="C336" s="3" t="n">
        <v>0</v>
      </c>
      <c r="D336" s="3" t="n">
        <v>11</v>
      </c>
      <c r="E336" s="3" t="n">
        <v>26</v>
      </c>
      <c r="F336" s="24" t="n">
        <v>-0.424212962</v>
      </c>
    </row>
    <row r="337" customFormat="false" ht="15" hidden="false" customHeight="false" outlineLevel="0" collapsed="false">
      <c r="A337" s="3" t="n">
        <v>336</v>
      </c>
      <c r="B337" s="3" t="n">
        <v>335</v>
      </c>
      <c r="C337" s="3" t="n">
        <v>0</v>
      </c>
      <c r="D337" s="3" t="n">
        <v>11</v>
      </c>
      <c r="E337" s="3" t="n">
        <v>27</v>
      </c>
      <c r="F337" s="24" t="n">
        <v>-0.424212962</v>
      </c>
    </row>
    <row r="338" customFormat="false" ht="15" hidden="false" customHeight="false" outlineLevel="0" collapsed="false">
      <c r="A338" s="3" t="n">
        <v>337</v>
      </c>
      <c r="B338" s="3" t="n">
        <v>336</v>
      </c>
      <c r="C338" s="3" t="n">
        <v>0</v>
      </c>
      <c r="D338" s="3" t="n">
        <v>12</v>
      </c>
      <c r="E338" s="3" t="n">
        <v>0</v>
      </c>
      <c r="F338" s="24" t="n">
        <v>-0.424212962</v>
      </c>
    </row>
    <row r="339" customFormat="false" ht="15" hidden="false" customHeight="false" outlineLevel="0" collapsed="false">
      <c r="A339" s="3" t="n">
        <v>338</v>
      </c>
      <c r="B339" s="3" t="n">
        <v>337</v>
      </c>
      <c r="C339" s="3" t="n">
        <v>0</v>
      </c>
      <c r="D339" s="3" t="n">
        <v>12</v>
      </c>
      <c r="E339" s="3" t="n">
        <v>1</v>
      </c>
      <c r="F339" s="24" t="n">
        <v>-0.424212962</v>
      </c>
    </row>
    <row r="340" customFormat="false" ht="15" hidden="false" customHeight="false" outlineLevel="0" collapsed="false">
      <c r="A340" s="3" t="n">
        <v>339</v>
      </c>
      <c r="B340" s="3" t="n">
        <v>338</v>
      </c>
      <c r="C340" s="3" t="n">
        <v>0</v>
      </c>
      <c r="D340" s="3" t="n">
        <v>12</v>
      </c>
      <c r="E340" s="3" t="n">
        <v>2</v>
      </c>
      <c r="F340" s="24" t="n">
        <v>-0.424212962</v>
      </c>
    </row>
    <row r="341" customFormat="false" ht="15" hidden="false" customHeight="false" outlineLevel="0" collapsed="false">
      <c r="A341" s="3" t="n">
        <v>340</v>
      </c>
      <c r="B341" s="3" t="n">
        <v>339</v>
      </c>
      <c r="C341" s="3" t="n">
        <v>0</v>
      </c>
      <c r="D341" s="3" t="n">
        <v>12</v>
      </c>
      <c r="E341" s="3" t="n">
        <v>3</v>
      </c>
      <c r="F341" s="24" t="n">
        <v>-0.424212962</v>
      </c>
    </row>
    <row r="342" customFormat="false" ht="15" hidden="false" customHeight="false" outlineLevel="0" collapsed="false">
      <c r="A342" s="3" t="n">
        <v>341</v>
      </c>
      <c r="B342" s="3" t="n">
        <v>340</v>
      </c>
      <c r="C342" s="3" t="n">
        <v>0</v>
      </c>
      <c r="D342" s="3" t="n">
        <v>12</v>
      </c>
      <c r="E342" s="3" t="n">
        <v>4</v>
      </c>
      <c r="F342" s="24" t="n">
        <v>-0.424212962</v>
      </c>
    </row>
    <row r="343" customFormat="false" ht="15" hidden="false" customHeight="false" outlineLevel="0" collapsed="false">
      <c r="A343" s="3" t="n">
        <v>342</v>
      </c>
      <c r="B343" s="3" t="n">
        <v>341</v>
      </c>
      <c r="C343" s="3" t="n">
        <v>0</v>
      </c>
      <c r="D343" s="3" t="n">
        <v>12</v>
      </c>
      <c r="E343" s="3" t="n">
        <v>5</v>
      </c>
      <c r="F343" s="24" t="n">
        <v>-0.424212962</v>
      </c>
    </row>
    <row r="344" customFormat="false" ht="15" hidden="false" customHeight="false" outlineLevel="0" collapsed="false">
      <c r="A344" s="3" t="n">
        <v>343</v>
      </c>
      <c r="B344" s="3" t="n">
        <v>342</v>
      </c>
      <c r="C344" s="3" t="n">
        <v>0</v>
      </c>
      <c r="D344" s="3" t="n">
        <v>12</v>
      </c>
      <c r="E344" s="3" t="n">
        <v>6</v>
      </c>
      <c r="F344" s="24" t="n">
        <v>-0.424212962</v>
      </c>
    </row>
    <row r="345" customFormat="false" ht="15" hidden="false" customHeight="false" outlineLevel="0" collapsed="false">
      <c r="A345" s="3" t="n">
        <v>344</v>
      </c>
      <c r="B345" s="3" t="n">
        <v>343</v>
      </c>
      <c r="C345" s="3" t="n">
        <v>0</v>
      </c>
      <c r="D345" s="3" t="n">
        <v>12</v>
      </c>
      <c r="E345" s="3" t="n">
        <v>7</v>
      </c>
      <c r="F345" s="24" t="n">
        <v>-0.424212962</v>
      </c>
    </row>
    <row r="346" customFormat="false" ht="15" hidden="false" customHeight="false" outlineLevel="0" collapsed="false">
      <c r="A346" s="3" t="n">
        <v>345</v>
      </c>
      <c r="B346" s="3" t="n">
        <v>344</v>
      </c>
      <c r="C346" s="3" t="n">
        <v>0</v>
      </c>
      <c r="D346" s="3" t="n">
        <v>12</v>
      </c>
      <c r="E346" s="3" t="n">
        <v>8</v>
      </c>
      <c r="F346" s="24" t="n">
        <v>-0.424212962</v>
      </c>
    </row>
    <row r="347" customFormat="false" ht="15" hidden="false" customHeight="false" outlineLevel="0" collapsed="false">
      <c r="A347" s="3" t="n">
        <v>346</v>
      </c>
      <c r="B347" s="3" t="n">
        <v>345</v>
      </c>
      <c r="C347" s="3" t="n">
        <v>0</v>
      </c>
      <c r="D347" s="3" t="n">
        <v>12</v>
      </c>
      <c r="E347" s="3" t="n">
        <v>9</v>
      </c>
      <c r="F347" s="24" t="n">
        <v>-0.424212962</v>
      </c>
    </row>
    <row r="348" customFormat="false" ht="15" hidden="false" customHeight="false" outlineLevel="0" collapsed="false">
      <c r="A348" s="3" t="n">
        <v>347</v>
      </c>
      <c r="B348" s="3" t="n">
        <v>346</v>
      </c>
      <c r="C348" s="3" t="n">
        <v>0</v>
      </c>
      <c r="D348" s="3" t="n">
        <v>12</v>
      </c>
      <c r="E348" s="3" t="n">
        <v>10</v>
      </c>
      <c r="F348" s="24" t="n">
        <v>-0.424212962</v>
      </c>
    </row>
    <row r="349" customFormat="false" ht="15" hidden="false" customHeight="false" outlineLevel="0" collapsed="false">
      <c r="A349" s="3" t="n">
        <v>348</v>
      </c>
      <c r="B349" s="3" t="n">
        <v>347</v>
      </c>
      <c r="C349" s="3" t="n">
        <v>0</v>
      </c>
      <c r="D349" s="3" t="n">
        <v>12</v>
      </c>
      <c r="E349" s="3" t="n">
        <v>11</v>
      </c>
      <c r="F349" s="24" t="n">
        <v>-0.424212962</v>
      </c>
    </row>
    <row r="350" customFormat="false" ht="15" hidden="false" customHeight="false" outlineLevel="0" collapsed="false">
      <c r="A350" s="3" t="n">
        <v>349</v>
      </c>
      <c r="B350" s="3" t="n">
        <v>348</v>
      </c>
      <c r="C350" s="3" t="n">
        <v>0</v>
      </c>
      <c r="D350" s="3" t="n">
        <v>12</v>
      </c>
      <c r="E350" s="3" t="n">
        <v>12</v>
      </c>
      <c r="F350" s="24" t="n">
        <v>-0.424212962</v>
      </c>
    </row>
    <row r="351" customFormat="false" ht="15" hidden="false" customHeight="false" outlineLevel="0" collapsed="false">
      <c r="A351" s="3" t="n">
        <v>350</v>
      </c>
      <c r="B351" s="3" t="n">
        <v>349</v>
      </c>
      <c r="C351" s="3" t="n">
        <v>0</v>
      </c>
      <c r="D351" s="3" t="n">
        <v>12</v>
      </c>
      <c r="E351" s="3" t="n">
        <v>13</v>
      </c>
      <c r="F351" s="24" t="n">
        <v>-0.424212962</v>
      </c>
    </row>
    <row r="352" customFormat="false" ht="15" hidden="false" customHeight="false" outlineLevel="0" collapsed="false">
      <c r="A352" s="3" t="n">
        <v>351</v>
      </c>
      <c r="B352" s="3" t="n">
        <v>350</v>
      </c>
      <c r="C352" s="3" t="n">
        <v>0</v>
      </c>
      <c r="D352" s="3" t="n">
        <v>12</v>
      </c>
      <c r="E352" s="3" t="n">
        <v>14</v>
      </c>
      <c r="F352" s="24" t="n">
        <v>-0.424212962</v>
      </c>
    </row>
    <row r="353" customFormat="false" ht="15" hidden="false" customHeight="false" outlineLevel="0" collapsed="false">
      <c r="A353" s="3" t="n">
        <v>352</v>
      </c>
      <c r="B353" s="3" t="n">
        <v>351</v>
      </c>
      <c r="C353" s="3" t="n">
        <v>0</v>
      </c>
      <c r="D353" s="3" t="n">
        <v>12</v>
      </c>
      <c r="E353" s="3" t="n">
        <v>15</v>
      </c>
      <c r="F353" s="24" t="n">
        <v>-0.424212962</v>
      </c>
    </row>
    <row r="354" customFormat="false" ht="15" hidden="false" customHeight="false" outlineLevel="0" collapsed="false">
      <c r="A354" s="3" t="n">
        <v>353</v>
      </c>
      <c r="B354" s="3" t="n">
        <v>352</v>
      </c>
      <c r="C354" s="3" t="n">
        <v>0</v>
      </c>
      <c r="D354" s="3" t="n">
        <v>12</v>
      </c>
      <c r="E354" s="3" t="n">
        <v>16</v>
      </c>
      <c r="F354" s="24" t="n">
        <v>-0.424212962</v>
      </c>
    </row>
    <row r="355" customFormat="false" ht="15" hidden="false" customHeight="false" outlineLevel="0" collapsed="false">
      <c r="A355" s="3" t="n">
        <v>354</v>
      </c>
      <c r="B355" s="3" t="n">
        <v>353</v>
      </c>
      <c r="C355" s="3" t="n">
        <v>0</v>
      </c>
      <c r="D355" s="3" t="n">
        <v>12</v>
      </c>
      <c r="E355" s="3" t="n">
        <v>17</v>
      </c>
      <c r="F355" s="24" t="n">
        <v>-0.144191816</v>
      </c>
    </row>
    <row r="356" customFormat="false" ht="15" hidden="false" customHeight="false" outlineLevel="0" collapsed="false">
      <c r="A356" s="3" t="n">
        <v>355</v>
      </c>
      <c r="B356" s="3" t="n">
        <v>354</v>
      </c>
      <c r="C356" s="3" t="n">
        <v>0</v>
      </c>
      <c r="D356" s="3" t="n">
        <v>12</v>
      </c>
      <c r="E356" s="3" t="n">
        <v>18</v>
      </c>
      <c r="F356" s="24" t="n">
        <v>2.54146552</v>
      </c>
    </row>
    <row r="357" customFormat="false" ht="15" hidden="false" customHeight="false" outlineLevel="0" collapsed="false">
      <c r="A357" s="3" t="n">
        <v>356</v>
      </c>
      <c r="B357" s="3" t="n">
        <v>355</v>
      </c>
      <c r="C357" s="3" t="n">
        <v>0</v>
      </c>
      <c r="D357" s="3" t="n">
        <v>12</v>
      </c>
      <c r="E357" s="3" t="n">
        <v>19</v>
      </c>
      <c r="F357" s="24" t="n">
        <v>2.82148671</v>
      </c>
    </row>
    <row r="358" customFormat="false" ht="15" hidden="false" customHeight="false" outlineLevel="0" collapsed="false">
      <c r="A358" s="3" t="n">
        <v>357</v>
      </c>
      <c r="B358" s="3" t="n">
        <v>356</v>
      </c>
      <c r="C358" s="3" t="n">
        <v>0</v>
      </c>
      <c r="D358" s="3" t="n">
        <v>12</v>
      </c>
      <c r="E358" s="3" t="n">
        <v>20</v>
      </c>
      <c r="F358" s="24" t="n">
        <v>0.632230461</v>
      </c>
    </row>
    <row r="359" customFormat="false" ht="15" hidden="false" customHeight="false" outlineLevel="0" collapsed="false">
      <c r="A359" s="3" t="n">
        <v>358</v>
      </c>
      <c r="B359" s="3" t="n">
        <v>357</v>
      </c>
      <c r="C359" s="3" t="n">
        <v>0</v>
      </c>
      <c r="D359" s="3" t="n">
        <v>12</v>
      </c>
      <c r="E359" s="3" t="n">
        <v>21</v>
      </c>
      <c r="F359" s="24" t="n">
        <v>-0.424212962</v>
      </c>
    </row>
    <row r="360" customFormat="false" ht="15" hidden="false" customHeight="false" outlineLevel="0" collapsed="false">
      <c r="A360" s="3" t="n">
        <v>359</v>
      </c>
      <c r="B360" s="3" t="n">
        <v>358</v>
      </c>
      <c r="C360" s="3" t="n">
        <v>0</v>
      </c>
      <c r="D360" s="3" t="n">
        <v>12</v>
      </c>
      <c r="E360" s="3" t="n">
        <v>22</v>
      </c>
      <c r="F360" s="24" t="n">
        <v>-0.424212962</v>
      </c>
    </row>
    <row r="361" customFormat="false" ht="15" hidden="false" customHeight="false" outlineLevel="0" collapsed="false">
      <c r="A361" s="3" t="n">
        <v>360</v>
      </c>
      <c r="B361" s="3" t="n">
        <v>359</v>
      </c>
      <c r="C361" s="3" t="n">
        <v>0</v>
      </c>
      <c r="D361" s="3" t="n">
        <v>12</v>
      </c>
      <c r="E361" s="3" t="n">
        <v>23</v>
      </c>
      <c r="F361" s="24" t="n">
        <v>-0.424212962</v>
      </c>
    </row>
    <row r="362" customFormat="false" ht="15" hidden="false" customHeight="false" outlineLevel="0" collapsed="false">
      <c r="A362" s="3" t="n">
        <v>361</v>
      </c>
      <c r="B362" s="3" t="n">
        <v>360</v>
      </c>
      <c r="C362" s="3" t="n">
        <v>0</v>
      </c>
      <c r="D362" s="3" t="n">
        <v>12</v>
      </c>
      <c r="E362" s="3" t="n">
        <v>24</v>
      </c>
      <c r="F362" s="24" t="n">
        <v>-0.424212962</v>
      </c>
    </row>
    <row r="363" customFormat="false" ht="15" hidden="false" customHeight="false" outlineLevel="0" collapsed="false">
      <c r="A363" s="3" t="n">
        <v>362</v>
      </c>
      <c r="B363" s="3" t="n">
        <v>361</v>
      </c>
      <c r="C363" s="3" t="n">
        <v>0</v>
      </c>
      <c r="D363" s="3" t="n">
        <v>12</v>
      </c>
      <c r="E363" s="3" t="n">
        <v>25</v>
      </c>
      <c r="F363" s="24" t="n">
        <v>-0.424212962</v>
      </c>
    </row>
    <row r="364" customFormat="false" ht="15" hidden="false" customHeight="false" outlineLevel="0" collapsed="false">
      <c r="A364" s="3" t="n">
        <v>363</v>
      </c>
      <c r="B364" s="3" t="n">
        <v>362</v>
      </c>
      <c r="C364" s="3" t="n">
        <v>0</v>
      </c>
      <c r="D364" s="3" t="n">
        <v>12</v>
      </c>
      <c r="E364" s="3" t="n">
        <v>26</v>
      </c>
      <c r="F364" s="24" t="n">
        <v>-0.424212962</v>
      </c>
    </row>
    <row r="365" customFormat="false" ht="15" hidden="false" customHeight="false" outlineLevel="0" collapsed="false">
      <c r="A365" s="3" t="n">
        <v>364</v>
      </c>
      <c r="B365" s="3" t="n">
        <v>363</v>
      </c>
      <c r="C365" s="3" t="n">
        <v>0</v>
      </c>
      <c r="D365" s="3" t="n">
        <v>12</v>
      </c>
      <c r="E365" s="3" t="n">
        <v>27</v>
      </c>
      <c r="F365" s="24" t="n">
        <v>-0.424212962</v>
      </c>
    </row>
    <row r="366" customFormat="false" ht="15" hidden="false" customHeight="false" outlineLevel="0" collapsed="false">
      <c r="A366" s="3" t="n">
        <v>365</v>
      </c>
      <c r="B366" s="3" t="n">
        <v>364</v>
      </c>
      <c r="C366" s="3" t="n">
        <v>0</v>
      </c>
      <c r="D366" s="3" t="n">
        <v>13</v>
      </c>
      <c r="E366" s="3" t="n">
        <v>0</v>
      </c>
      <c r="F366" s="24" t="n">
        <v>-0.424212962</v>
      </c>
    </row>
    <row r="367" customFormat="false" ht="15" hidden="false" customHeight="false" outlineLevel="0" collapsed="false">
      <c r="A367" s="3" t="n">
        <v>366</v>
      </c>
      <c r="B367" s="3" t="n">
        <v>365</v>
      </c>
      <c r="C367" s="3" t="n">
        <v>0</v>
      </c>
      <c r="D367" s="3" t="n">
        <v>13</v>
      </c>
      <c r="E367" s="3" t="n">
        <v>1</v>
      </c>
      <c r="F367" s="24" t="n">
        <v>-0.424212962</v>
      </c>
    </row>
    <row r="368" customFormat="false" ht="15" hidden="false" customHeight="false" outlineLevel="0" collapsed="false">
      <c r="A368" s="3" t="n">
        <v>367</v>
      </c>
      <c r="B368" s="3" t="n">
        <v>366</v>
      </c>
      <c r="C368" s="3" t="n">
        <v>0</v>
      </c>
      <c r="D368" s="3" t="n">
        <v>13</v>
      </c>
      <c r="E368" s="3" t="n">
        <v>2</v>
      </c>
      <c r="F368" s="24" t="n">
        <v>-0.424212962</v>
      </c>
    </row>
    <row r="369" customFormat="false" ht="15" hidden="false" customHeight="false" outlineLevel="0" collapsed="false">
      <c r="A369" s="3" t="n">
        <v>368</v>
      </c>
      <c r="B369" s="3" t="n">
        <v>367</v>
      </c>
      <c r="C369" s="3" t="n">
        <v>0</v>
      </c>
      <c r="D369" s="3" t="n">
        <v>13</v>
      </c>
      <c r="E369" s="3" t="n">
        <v>3</v>
      </c>
      <c r="F369" s="24" t="n">
        <v>-0.424212962</v>
      </c>
    </row>
    <row r="370" customFormat="false" ht="15" hidden="false" customHeight="false" outlineLevel="0" collapsed="false">
      <c r="A370" s="3" t="n">
        <v>369</v>
      </c>
      <c r="B370" s="3" t="n">
        <v>368</v>
      </c>
      <c r="C370" s="3" t="n">
        <v>0</v>
      </c>
      <c r="D370" s="3" t="n">
        <v>13</v>
      </c>
      <c r="E370" s="3" t="n">
        <v>4</v>
      </c>
      <c r="F370" s="24" t="n">
        <v>-0.424212962</v>
      </c>
    </row>
    <row r="371" customFormat="false" ht="15" hidden="false" customHeight="false" outlineLevel="0" collapsed="false">
      <c r="A371" s="3" t="n">
        <v>370</v>
      </c>
      <c r="B371" s="3" t="n">
        <v>369</v>
      </c>
      <c r="C371" s="3" t="n">
        <v>0</v>
      </c>
      <c r="D371" s="3" t="n">
        <v>13</v>
      </c>
      <c r="E371" s="3" t="n">
        <v>5</v>
      </c>
      <c r="F371" s="24" t="n">
        <v>-0.424212962</v>
      </c>
    </row>
    <row r="372" customFormat="false" ht="15" hidden="false" customHeight="false" outlineLevel="0" collapsed="false">
      <c r="A372" s="3" t="n">
        <v>371</v>
      </c>
      <c r="B372" s="3" t="n">
        <v>370</v>
      </c>
      <c r="C372" s="3" t="n">
        <v>0</v>
      </c>
      <c r="D372" s="3" t="n">
        <v>13</v>
      </c>
      <c r="E372" s="3" t="n">
        <v>6</v>
      </c>
      <c r="F372" s="24" t="n">
        <v>-0.424212962</v>
      </c>
    </row>
    <row r="373" customFormat="false" ht="15" hidden="false" customHeight="false" outlineLevel="0" collapsed="false">
      <c r="A373" s="3" t="n">
        <v>372</v>
      </c>
      <c r="B373" s="3" t="n">
        <v>371</v>
      </c>
      <c r="C373" s="3" t="n">
        <v>0</v>
      </c>
      <c r="D373" s="3" t="n">
        <v>13</v>
      </c>
      <c r="E373" s="3" t="n">
        <v>7</v>
      </c>
      <c r="F373" s="24" t="n">
        <v>-0.424212962</v>
      </c>
    </row>
    <row r="374" customFormat="false" ht="15" hidden="false" customHeight="false" outlineLevel="0" collapsed="false">
      <c r="A374" s="3" t="n">
        <v>373</v>
      </c>
      <c r="B374" s="3" t="n">
        <v>372</v>
      </c>
      <c r="C374" s="3" t="n">
        <v>0</v>
      </c>
      <c r="D374" s="3" t="n">
        <v>13</v>
      </c>
      <c r="E374" s="3" t="n">
        <v>8</v>
      </c>
      <c r="F374" s="24" t="n">
        <v>-0.424212962</v>
      </c>
    </row>
    <row r="375" customFormat="false" ht="15" hidden="false" customHeight="false" outlineLevel="0" collapsed="false">
      <c r="A375" s="3" t="n">
        <v>374</v>
      </c>
      <c r="B375" s="3" t="n">
        <v>373</v>
      </c>
      <c r="C375" s="3" t="n">
        <v>0</v>
      </c>
      <c r="D375" s="3" t="n">
        <v>13</v>
      </c>
      <c r="E375" s="3" t="n">
        <v>9</v>
      </c>
      <c r="F375" s="24" t="n">
        <v>-0.424212962</v>
      </c>
    </row>
    <row r="376" customFormat="false" ht="15" hidden="false" customHeight="false" outlineLevel="0" collapsed="false">
      <c r="A376" s="3" t="n">
        <v>375</v>
      </c>
      <c r="B376" s="3" t="n">
        <v>374</v>
      </c>
      <c r="C376" s="3" t="n">
        <v>0</v>
      </c>
      <c r="D376" s="3" t="n">
        <v>13</v>
      </c>
      <c r="E376" s="3" t="n">
        <v>10</v>
      </c>
      <c r="F376" s="24" t="n">
        <v>-0.424212962</v>
      </c>
    </row>
    <row r="377" customFormat="false" ht="15" hidden="false" customHeight="false" outlineLevel="0" collapsed="false">
      <c r="A377" s="3" t="n">
        <v>376</v>
      </c>
      <c r="B377" s="3" t="n">
        <v>375</v>
      </c>
      <c r="C377" s="3" t="n">
        <v>0</v>
      </c>
      <c r="D377" s="3" t="n">
        <v>13</v>
      </c>
      <c r="E377" s="3" t="n">
        <v>11</v>
      </c>
      <c r="F377" s="24" t="n">
        <v>-0.424212962</v>
      </c>
    </row>
    <row r="378" customFormat="false" ht="15" hidden="false" customHeight="false" outlineLevel="0" collapsed="false">
      <c r="A378" s="3" t="n">
        <v>377</v>
      </c>
      <c r="B378" s="3" t="n">
        <v>376</v>
      </c>
      <c r="C378" s="3" t="n">
        <v>0</v>
      </c>
      <c r="D378" s="3" t="n">
        <v>13</v>
      </c>
      <c r="E378" s="3" t="n">
        <v>12</v>
      </c>
      <c r="F378" s="24" t="n">
        <v>-0.424212962</v>
      </c>
    </row>
    <row r="379" customFormat="false" ht="15" hidden="false" customHeight="false" outlineLevel="0" collapsed="false">
      <c r="A379" s="3" t="n">
        <v>378</v>
      </c>
      <c r="B379" s="3" t="n">
        <v>377</v>
      </c>
      <c r="C379" s="3" t="n">
        <v>0</v>
      </c>
      <c r="D379" s="3" t="n">
        <v>13</v>
      </c>
      <c r="E379" s="3" t="n">
        <v>13</v>
      </c>
      <c r="F379" s="24" t="n">
        <v>-0.424212962</v>
      </c>
    </row>
    <row r="380" customFormat="false" ht="15" hidden="false" customHeight="false" outlineLevel="0" collapsed="false">
      <c r="A380" s="3" t="n">
        <v>379</v>
      </c>
      <c r="B380" s="3" t="n">
        <v>378</v>
      </c>
      <c r="C380" s="3" t="n">
        <v>0</v>
      </c>
      <c r="D380" s="3" t="n">
        <v>13</v>
      </c>
      <c r="E380" s="3" t="n">
        <v>14</v>
      </c>
      <c r="F380" s="24" t="n">
        <v>-0.424212962</v>
      </c>
    </row>
    <row r="381" customFormat="false" ht="15" hidden="false" customHeight="false" outlineLevel="0" collapsed="false">
      <c r="A381" s="3" t="n">
        <v>380</v>
      </c>
      <c r="B381" s="3" t="n">
        <v>379</v>
      </c>
      <c r="C381" s="3" t="n">
        <v>0</v>
      </c>
      <c r="D381" s="3" t="n">
        <v>13</v>
      </c>
      <c r="E381" s="3" t="n">
        <v>15</v>
      </c>
      <c r="F381" s="24" t="n">
        <v>-0.424212962</v>
      </c>
    </row>
    <row r="382" customFormat="false" ht="15" hidden="false" customHeight="false" outlineLevel="0" collapsed="false">
      <c r="A382" s="3" t="n">
        <v>381</v>
      </c>
      <c r="B382" s="3" t="n">
        <v>380</v>
      </c>
      <c r="C382" s="3" t="n">
        <v>0</v>
      </c>
      <c r="D382" s="3" t="n">
        <v>13</v>
      </c>
      <c r="E382" s="3" t="n">
        <v>16</v>
      </c>
      <c r="F382" s="24" t="n">
        <v>-0.424212962</v>
      </c>
    </row>
    <row r="383" customFormat="false" ht="15" hidden="false" customHeight="false" outlineLevel="0" collapsed="false">
      <c r="A383" s="3" t="n">
        <v>382</v>
      </c>
      <c r="B383" s="3" t="n">
        <v>381</v>
      </c>
      <c r="C383" s="3" t="n">
        <v>0</v>
      </c>
      <c r="D383" s="3" t="n">
        <v>13</v>
      </c>
      <c r="E383" s="3" t="n">
        <v>17</v>
      </c>
      <c r="F383" s="24" t="n">
        <v>1.21772933</v>
      </c>
    </row>
    <row r="384" customFormat="false" ht="15" hidden="false" customHeight="false" outlineLevel="0" collapsed="false">
      <c r="A384" s="3" t="n">
        <v>383</v>
      </c>
      <c r="B384" s="3" t="n">
        <v>382</v>
      </c>
      <c r="C384" s="3" t="n">
        <v>0</v>
      </c>
      <c r="D384" s="3" t="n">
        <v>13</v>
      </c>
      <c r="E384" s="3" t="n">
        <v>18</v>
      </c>
      <c r="F384" s="24" t="n">
        <v>2.8087585</v>
      </c>
    </row>
    <row r="385" customFormat="false" ht="15" hidden="false" customHeight="false" outlineLevel="0" collapsed="false">
      <c r="A385" s="3" t="n">
        <v>384</v>
      </c>
      <c r="B385" s="3" t="n">
        <v>383</v>
      </c>
      <c r="C385" s="3" t="n">
        <v>0</v>
      </c>
      <c r="D385" s="3" t="n">
        <v>13</v>
      </c>
      <c r="E385" s="3" t="n">
        <v>19</v>
      </c>
      <c r="F385" s="24" t="n">
        <v>2.60510683</v>
      </c>
    </row>
    <row r="386" customFormat="false" ht="15" hidden="false" customHeight="false" outlineLevel="0" collapsed="false">
      <c r="A386" s="3" t="n">
        <v>385</v>
      </c>
      <c r="B386" s="3" t="n">
        <v>384</v>
      </c>
      <c r="C386" s="3" t="n">
        <v>0</v>
      </c>
      <c r="D386" s="3" t="n">
        <v>13</v>
      </c>
      <c r="E386" s="3" t="n">
        <v>20</v>
      </c>
      <c r="F386" s="24" t="n">
        <v>0.135829344</v>
      </c>
    </row>
    <row r="387" customFormat="false" ht="15" hidden="false" customHeight="false" outlineLevel="0" collapsed="false">
      <c r="A387" s="3" t="n">
        <v>386</v>
      </c>
      <c r="B387" s="3" t="n">
        <v>385</v>
      </c>
      <c r="C387" s="3" t="n">
        <v>0</v>
      </c>
      <c r="D387" s="3" t="n">
        <v>13</v>
      </c>
      <c r="E387" s="3" t="n">
        <v>21</v>
      </c>
      <c r="F387" s="24" t="n">
        <v>-0.424212962</v>
      </c>
    </row>
    <row r="388" customFormat="false" ht="15" hidden="false" customHeight="false" outlineLevel="0" collapsed="false">
      <c r="A388" s="3" t="n">
        <v>387</v>
      </c>
      <c r="B388" s="3" t="n">
        <v>386</v>
      </c>
      <c r="C388" s="3" t="n">
        <v>0</v>
      </c>
      <c r="D388" s="3" t="n">
        <v>13</v>
      </c>
      <c r="E388" s="3" t="n">
        <v>22</v>
      </c>
      <c r="F388" s="24" t="n">
        <v>-0.424212962</v>
      </c>
    </row>
    <row r="389" customFormat="false" ht="15" hidden="false" customHeight="false" outlineLevel="0" collapsed="false">
      <c r="A389" s="3" t="n">
        <v>388</v>
      </c>
      <c r="B389" s="3" t="n">
        <v>387</v>
      </c>
      <c r="C389" s="3" t="n">
        <v>0</v>
      </c>
      <c r="D389" s="3" t="n">
        <v>13</v>
      </c>
      <c r="E389" s="3" t="n">
        <v>23</v>
      </c>
      <c r="F389" s="24" t="n">
        <v>-0.424212962</v>
      </c>
    </row>
    <row r="390" customFormat="false" ht="15" hidden="false" customHeight="false" outlineLevel="0" collapsed="false">
      <c r="A390" s="3" t="n">
        <v>389</v>
      </c>
      <c r="B390" s="3" t="n">
        <v>388</v>
      </c>
      <c r="C390" s="3" t="n">
        <v>0</v>
      </c>
      <c r="D390" s="3" t="n">
        <v>13</v>
      </c>
      <c r="E390" s="3" t="n">
        <v>24</v>
      </c>
      <c r="F390" s="24" t="n">
        <v>-0.424212962</v>
      </c>
    </row>
    <row r="391" customFormat="false" ht="15" hidden="false" customHeight="false" outlineLevel="0" collapsed="false">
      <c r="A391" s="3" t="n">
        <v>390</v>
      </c>
      <c r="B391" s="3" t="n">
        <v>389</v>
      </c>
      <c r="C391" s="3" t="n">
        <v>0</v>
      </c>
      <c r="D391" s="3" t="n">
        <v>13</v>
      </c>
      <c r="E391" s="3" t="n">
        <v>25</v>
      </c>
      <c r="F391" s="24" t="n">
        <v>-0.424212962</v>
      </c>
    </row>
    <row r="392" customFormat="false" ht="15" hidden="false" customHeight="false" outlineLevel="0" collapsed="false">
      <c r="A392" s="3" t="n">
        <v>391</v>
      </c>
      <c r="B392" s="3" t="n">
        <v>390</v>
      </c>
      <c r="C392" s="3" t="n">
        <v>0</v>
      </c>
      <c r="D392" s="3" t="n">
        <v>13</v>
      </c>
      <c r="E392" s="3" t="n">
        <v>26</v>
      </c>
      <c r="F392" s="24" t="n">
        <v>-0.424212962</v>
      </c>
    </row>
    <row r="393" customFormat="false" ht="15" hidden="false" customHeight="false" outlineLevel="0" collapsed="false">
      <c r="A393" s="3" t="n">
        <v>392</v>
      </c>
      <c r="B393" s="3" t="n">
        <v>391</v>
      </c>
      <c r="C393" s="3" t="n">
        <v>0</v>
      </c>
      <c r="D393" s="3" t="n">
        <v>13</v>
      </c>
      <c r="E393" s="3" t="n">
        <v>27</v>
      </c>
      <c r="F393" s="24" t="n">
        <v>-0.424212962</v>
      </c>
    </row>
    <row r="394" customFormat="false" ht="15" hidden="false" customHeight="false" outlineLevel="0" collapsed="false">
      <c r="A394" s="3" t="n">
        <v>393</v>
      </c>
      <c r="B394" s="3" t="n">
        <v>392</v>
      </c>
      <c r="C394" s="3" t="n">
        <v>0</v>
      </c>
      <c r="D394" s="3" t="n">
        <v>14</v>
      </c>
      <c r="E394" s="3" t="n">
        <v>0</v>
      </c>
      <c r="F394" s="24" t="n">
        <v>-0.424212962</v>
      </c>
    </row>
    <row r="395" customFormat="false" ht="15" hidden="false" customHeight="false" outlineLevel="0" collapsed="false">
      <c r="A395" s="3" t="n">
        <v>394</v>
      </c>
      <c r="B395" s="3" t="n">
        <v>393</v>
      </c>
      <c r="C395" s="3" t="n">
        <v>0</v>
      </c>
      <c r="D395" s="3" t="n">
        <v>14</v>
      </c>
      <c r="E395" s="3" t="n">
        <v>1</v>
      </c>
      <c r="F395" s="24" t="n">
        <v>-0.424212962</v>
      </c>
    </row>
    <row r="396" customFormat="false" ht="15" hidden="false" customHeight="false" outlineLevel="0" collapsed="false">
      <c r="A396" s="3" t="n">
        <v>395</v>
      </c>
      <c r="B396" s="3" t="n">
        <v>394</v>
      </c>
      <c r="C396" s="3" t="n">
        <v>0</v>
      </c>
      <c r="D396" s="3" t="n">
        <v>14</v>
      </c>
      <c r="E396" s="3" t="n">
        <v>2</v>
      </c>
      <c r="F396" s="24" t="n">
        <v>-0.424212962</v>
      </c>
    </row>
    <row r="397" customFormat="false" ht="15" hidden="false" customHeight="false" outlineLevel="0" collapsed="false">
      <c r="A397" s="3" t="n">
        <v>396</v>
      </c>
      <c r="B397" s="3" t="n">
        <v>395</v>
      </c>
      <c r="C397" s="3" t="n">
        <v>0</v>
      </c>
      <c r="D397" s="3" t="n">
        <v>14</v>
      </c>
      <c r="E397" s="3" t="n">
        <v>3</v>
      </c>
      <c r="F397" s="24" t="n">
        <v>-0.424212962</v>
      </c>
    </row>
    <row r="398" customFormat="false" ht="15" hidden="false" customHeight="false" outlineLevel="0" collapsed="false">
      <c r="A398" s="3" t="n">
        <v>397</v>
      </c>
      <c r="B398" s="3" t="n">
        <v>396</v>
      </c>
      <c r="C398" s="3" t="n">
        <v>0</v>
      </c>
      <c r="D398" s="3" t="n">
        <v>14</v>
      </c>
      <c r="E398" s="3" t="n">
        <v>4</v>
      </c>
      <c r="F398" s="24" t="n">
        <v>-0.424212962</v>
      </c>
    </row>
    <row r="399" customFormat="false" ht="15" hidden="false" customHeight="false" outlineLevel="0" collapsed="false">
      <c r="A399" s="3" t="n">
        <v>398</v>
      </c>
      <c r="B399" s="3" t="n">
        <v>397</v>
      </c>
      <c r="C399" s="3" t="n">
        <v>0</v>
      </c>
      <c r="D399" s="3" t="n">
        <v>14</v>
      </c>
      <c r="E399" s="3" t="n">
        <v>5</v>
      </c>
      <c r="F399" s="24" t="n">
        <v>-0.424212962</v>
      </c>
    </row>
    <row r="400" customFormat="false" ht="15" hidden="false" customHeight="false" outlineLevel="0" collapsed="false">
      <c r="A400" s="3" t="n">
        <v>399</v>
      </c>
      <c r="B400" s="3" t="n">
        <v>398</v>
      </c>
      <c r="C400" s="3" t="n">
        <v>0</v>
      </c>
      <c r="D400" s="3" t="n">
        <v>14</v>
      </c>
      <c r="E400" s="3" t="n">
        <v>6</v>
      </c>
      <c r="F400" s="24" t="n">
        <v>-0.424212962</v>
      </c>
    </row>
    <row r="401" customFormat="false" ht="15" hidden="false" customHeight="false" outlineLevel="0" collapsed="false">
      <c r="A401" s="3" t="n">
        <v>400</v>
      </c>
      <c r="B401" s="3" t="n">
        <v>399</v>
      </c>
      <c r="C401" s="3" t="n">
        <v>0</v>
      </c>
      <c r="D401" s="3" t="n">
        <v>14</v>
      </c>
      <c r="E401" s="3" t="n">
        <v>7</v>
      </c>
      <c r="F401" s="24" t="n">
        <v>-0.424212962</v>
      </c>
    </row>
    <row r="402" customFormat="false" ht="15" hidden="false" customHeight="false" outlineLevel="0" collapsed="false">
      <c r="A402" s="3" t="n">
        <v>401</v>
      </c>
      <c r="B402" s="3" t="n">
        <v>400</v>
      </c>
      <c r="C402" s="3" t="n">
        <v>0</v>
      </c>
      <c r="D402" s="3" t="n">
        <v>14</v>
      </c>
      <c r="E402" s="3" t="n">
        <v>8</v>
      </c>
      <c r="F402" s="24" t="n">
        <v>-0.424212962</v>
      </c>
    </row>
    <row r="403" customFormat="false" ht="15" hidden="false" customHeight="false" outlineLevel="0" collapsed="false">
      <c r="A403" s="3" t="n">
        <v>402</v>
      </c>
      <c r="B403" s="3" t="n">
        <v>401</v>
      </c>
      <c r="C403" s="3" t="n">
        <v>0</v>
      </c>
      <c r="D403" s="3" t="n">
        <v>14</v>
      </c>
      <c r="E403" s="3" t="n">
        <v>9</v>
      </c>
      <c r="F403" s="24" t="n">
        <v>-0.424212962</v>
      </c>
    </row>
    <row r="404" customFormat="false" ht="15" hidden="false" customHeight="false" outlineLevel="0" collapsed="false">
      <c r="A404" s="3" t="n">
        <v>403</v>
      </c>
      <c r="B404" s="3" t="n">
        <v>402</v>
      </c>
      <c r="C404" s="3" t="n">
        <v>0</v>
      </c>
      <c r="D404" s="3" t="n">
        <v>14</v>
      </c>
      <c r="E404" s="3" t="n">
        <v>10</v>
      </c>
      <c r="F404" s="24" t="n">
        <v>-0.424212962</v>
      </c>
    </row>
    <row r="405" customFormat="false" ht="15" hidden="false" customHeight="false" outlineLevel="0" collapsed="false">
      <c r="A405" s="3" t="n">
        <v>404</v>
      </c>
      <c r="B405" s="3" t="n">
        <v>403</v>
      </c>
      <c r="C405" s="3" t="n">
        <v>0</v>
      </c>
      <c r="D405" s="3" t="n">
        <v>14</v>
      </c>
      <c r="E405" s="3" t="n">
        <v>11</v>
      </c>
      <c r="F405" s="24" t="n">
        <v>-0.424212962</v>
      </c>
    </row>
    <row r="406" customFormat="false" ht="15" hidden="false" customHeight="false" outlineLevel="0" collapsed="false">
      <c r="A406" s="3" t="n">
        <v>405</v>
      </c>
      <c r="B406" s="3" t="n">
        <v>404</v>
      </c>
      <c r="C406" s="3" t="n">
        <v>0</v>
      </c>
      <c r="D406" s="3" t="n">
        <v>14</v>
      </c>
      <c r="E406" s="3" t="n">
        <v>12</v>
      </c>
      <c r="F406" s="24" t="n">
        <v>-0.424212962</v>
      </c>
    </row>
    <row r="407" customFormat="false" ht="15" hidden="false" customHeight="false" outlineLevel="0" collapsed="false">
      <c r="A407" s="3" t="n">
        <v>406</v>
      </c>
      <c r="B407" s="3" t="n">
        <v>405</v>
      </c>
      <c r="C407" s="3" t="n">
        <v>0</v>
      </c>
      <c r="D407" s="3" t="n">
        <v>14</v>
      </c>
      <c r="E407" s="3" t="n">
        <v>13</v>
      </c>
      <c r="F407" s="24" t="n">
        <v>-0.424212962</v>
      </c>
    </row>
    <row r="408" customFormat="false" ht="15" hidden="false" customHeight="false" outlineLevel="0" collapsed="false">
      <c r="A408" s="3" t="n">
        <v>407</v>
      </c>
      <c r="B408" s="3" t="n">
        <v>406</v>
      </c>
      <c r="C408" s="3" t="n">
        <v>0</v>
      </c>
      <c r="D408" s="3" t="n">
        <v>14</v>
      </c>
      <c r="E408" s="3" t="n">
        <v>14</v>
      </c>
      <c r="F408" s="24" t="n">
        <v>-0.424212962</v>
      </c>
    </row>
    <row r="409" customFormat="false" ht="15" hidden="false" customHeight="false" outlineLevel="0" collapsed="false">
      <c r="A409" s="3" t="n">
        <v>408</v>
      </c>
      <c r="B409" s="3" t="n">
        <v>407</v>
      </c>
      <c r="C409" s="3" t="n">
        <v>0</v>
      </c>
      <c r="D409" s="3" t="n">
        <v>14</v>
      </c>
      <c r="E409" s="3" t="n">
        <v>15</v>
      </c>
      <c r="F409" s="24" t="n">
        <v>-0.424212962</v>
      </c>
    </row>
    <row r="410" customFormat="false" ht="15" hidden="false" customHeight="false" outlineLevel="0" collapsed="false">
      <c r="A410" s="3" t="n">
        <v>409</v>
      </c>
      <c r="B410" s="3" t="n">
        <v>408</v>
      </c>
      <c r="C410" s="3" t="n">
        <v>0</v>
      </c>
      <c r="D410" s="3" t="n">
        <v>14</v>
      </c>
      <c r="E410" s="3" t="n">
        <v>16</v>
      </c>
      <c r="F410" s="24" t="n">
        <v>0.326752841</v>
      </c>
    </row>
    <row r="411" customFormat="false" ht="15" hidden="false" customHeight="false" outlineLevel="0" collapsed="false">
      <c r="A411" s="3" t="n">
        <v>410</v>
      </c>
      <c r="B411" s="3" t="n">
        <v>409</v>
      </c>
      <c r="C411" s="3" t="n">
        <v>0</v>
      </c>
      <c r="D411" s="3" t="n">
        <v>14</v>
      </c>
      <c r="E411" s="3" t="n">
        <v>17</v>
      </c>
      <c r="F411" s="24" t="n">
        <v>2.74511719</v>
      </c>
    </row>
    <row r="412" customFormat="false" ht="15" hidden="false" customHeight="false" outlineLevel="0" collapsed="false">
      <c r="A412" s="3" t="n">
        <v>411</v>
      </c>
      <c r="B412" s="3" t="n">
        <v>410</v>
      </c>
      <c r="C412" s="3" t="n">
        <v>0</v>
      </c>
      <c r="D412" s="3" t="n">
        <v>14</v>
      </c>
      <c r="E412" s="3" t="n">
        <v>18</v>
      </c>
      <c r="F412" s="24" t="n">
        <v>2.8087585</v>
      </c>
    </row>
    <row r="413" customFormat="false" ht="15" hidden="false" customHeight="false" outlineLevel="0" collapsed="false">
      <c r="A413" s="3" t="n">
        <v>412</v>
      </c>
      <c r="B413" s="3" t="n">
        <v>411</v>
      </c>
      <c r="C413" s="3" t="n">
        <v>0</v>
      </c>
      <c r="D413" s="3" t="n">
        <v>14</v>
      </c>
      <c r="E413" s="3" t="n">
        <v>19</v>
      </c>
      <c r="F413" s="24" t="n">
        <v>0.364937544</v>
      </c>
    </row>
    <row r="414" customFormat="false" ht="15" hidden="false" customHeight="false" outlineLevel="0" collapsed="false">
      <c r="A414" s="3" t="n">
        <v>413</v>
      </c>
      <c r="B414" s="3" t="n">
        <v>412</v>
      </c>
      <c r="C414" s="3" t="n">
        <v>0</v>
      </c>
      <c r="D414" s="3" t="n">
        <v>14</v>
      </c>
      <c r="E414" s="3" t="n">
        <v>20</v>
      </c>
      <c r="F414" s="24" t="n">
        <v>-0.424212962</v>
      </c>
    </row>
    <row r="415" customFormat="false" ht="15" hidden="false" customHeight="false" outlineLevel="0" collapsed="false">
      <c r="A415" s="3" t="n">
        <v>414</v>
      </c>
      <c r="B415" s="3" t="n">
        <v>413</v>
      </c>
      <c r="C415" s="3" t="n">
        <v>0</v>
      </c>
      <c r="D415" s="3" t="n">
        <v>14</v>
      </c>
      <c r="E415" s="3" t="n">
        <v>21</v>
      </c>
      <c r="F415" s="24" t="n">
        <v>-0.424212962</v>
      </c>
    </row>
    <row r="416" customFormat="false" ht="15" hidden="false" customHeight="false" outlineLevel="0" collapsed="false">
      <c r="A416" s="3" t="n">
        <v>415</v>
      </c>
      <c r="B416" s="3" t="n">
        <v>414</v>
      </c>
      <c r="C416" s="3" t="n">
        <v>0</v>
      </c>
      <c r="D416" s="3" t="n">
        <v>14</v>
      </c>
      <c r="E416" s="3" t="n">
        <v>22</v>
      </c>
      <c r="F416" s="24" t="n">
        <v>-0.424212962</v>
      </c>
    </row>
    <row r="417" customFormat="false" ht="15" hidden="false" customHeight="false" outlineLevel="0" collapsed="false">
      <c r="A417" s="3" t="n">
        <v>416</v>
      </c>
      <c r="B417" s="3" t="n">
        <v>415</v>
      </c>
      <c r="C417" s="3" t="n">
        <v>0</v>
      </c>
      <c r="D417" s="3" t="n">
        <v>14</v>
      </c>
      <c r="E417" s="3" t="n">
        <v>23</v>
      </c>
      <c r="F417" s="24" t="n">
        <v>-0.424212962</v>
      </c>
    </row>
    <row r="418" customFormat="false" ht="15" hidden="false" customHeight="false" outlineLevel="0" collapsed="false">
      <c r="A418" s="3" t="n">
        <v>417</v>
      </c>
      <c r="B418" s="3" t="n">
        <v>416</v>
      </c>
      <c r="C418" s="3" t="n">
        <v>0</v>
      </c>
      <c r="D418" s="3" t="n">
        <v>14</v>
      </c>
      <c r="E418" s="3" t="n">
        <v>24</v>
      </c>
      <c r="F418" s="24" t="n">
        <v>-0.424212962</v>
      </c>
    </row>
    <row r="419" customFormat="false" ht="15" hidden="false" customHeight="false" outlineLevel="0" collapsed="false">
      <c r="A419" s="3" t="n">
        <v>418</v>
      </c>
      <c r="B419" s="3" t="n">
        <v>417</v>
      </c>
      <c r="C419" s="3" t="n">
        <v>0</v>
      </c>
      <c r="D419" s="3" t="n">
        <v>14</v>
      </c>
      <c r="E419" s="3" t="n">
        <v>25</v>
      </c>
      <c r="F419" s="24" t="n">
        <v>-0.424212962</v>
      </c>
    </row>
    <row r="420" customFormat="false" ht="15" hidden="false" customHeight="false" outlineLevel="0" collapsed="false">
      <c r="A420" s="3" t="n">
        <v>419</v>
      </c>
      <c r="B420" s="3" t="n">
        <v>418</v>
      </c>
      <c r="C420" s="3" t="n">
        <v>0</v>
      </c>
      <c r="D420" s="3" t="n">
        <v>14</v>
      </c>
      <c r="E420" s="3" t="n">
        <v>26</v>
      </c>
      <c r="F420" s="24" t="n">
        <v>-0.424212962</v>
      </c>
    </row>
    <row r="421" customFormat="false" ht="15" hidden="false" customHeight="false" outlineLevel="0" collapsed="false">
      <c r="A421" s="3" t="n">
        <v>420</v>
      </c>
      <c r="B421" s="3" t="n">
        <v>419</v>
      </c>
      <c r="C421" s="3" t="n">
        <v>0</v>
      </c>
      <c r="D421" s="3" t="n">
        <v>14</v>
      </c>
      <c r="E421" s="3" t="n">
        <v>27</v>
      </c>
      <c r="F421" s="24" t="n">
        <v>-0.424212962</v>
      </c>
    </row>
    <row r="422" customFormat="false" ht="15" hidden="false" customHeight="false" outlineLevel="0" collapsed="false">
      <c r="A422" s="3" t="n">
        <v>421</v>
      </c>
      <c r="B422" s="3" t="n">
        <v>420</v>
      </c>
      <c r="C422" s="3" t="n">
        <v>0</v>
      </c>
      <c r="D422" s="3" t="n">
        <v>15</v>
      </c>
      <c r="E422" s="3" t="n">
        <v>0</v>
      </c>
      <c r="F422" s="24" t="n">
        <v>-0.424212962</v>
      </c>
    </row>
    <row r="423" customFormat="false" ht="15" hidden="false" customHeight="false" outlineLevel="0" collapsed="false">
      <c r="A423" s="3" t="n">
        <v>422</v>
      </c>
      <c r="B423" s="3" t="n">
        <v>421</v>
      </c>
      <c r="C423" s="3" t="n">
        <v>0</v>
      </c>
      <c r="D423" s="3" t="n">
        <v>15</v>
      </c>
      <c r="E423" s="3" t="n">
        <v>1</v>
      </c>
      <c r="F423" s="24" t="n">
        <v>-0.424212962</v>
      </c>
    </row>
    <row r="424" customFormat="false" ht="15" hidden="false" customHeight="false" outlineLevel="0" collapsed="false">
      <c r="A424" s="3" t="n">
        <v>423</v>
      </c>
      <c r="B424" s="3" t="n">
        <v>422</v>
      </c>
      <c r="C424" s="3" t="n">
        <v>0</v>
      </c>
      <c r="D424" s="3" t="n">
        <v>15</v>
      </c>
      <c r="E424" s="3" t="n">
        <v>2</v>
      </c>
      <c r="F424" s="24" t="n">
        <v>-0.424212962</v>
      </c>
    </row>
    <row r="425" customFormat="false" ht="15" hidden="false" customHeight="false" outlineLevel="0" collapsed="false">
      <c r="A425" s="3" t="n">
        <v>424</v>
      </c>
      <c r="B425" s="3" t="n">
        <v>423</v>
      </c>
      <c r="C425" s="3" t="n">
        <v>0</v>
      </c>
      <c r="D425" s="3" t="n">
        <v>15</v>
      </c>
      <c r="E425" s="3" t="n">
        <v>3</v>
      </c>
      <c r="F425" s="24" t="n">
        <v>-0.424212962</v>
      </c>
    </row>
    <row r="426" customFormat="false" ht="15" hidden="false" customHeight="false" outlineLevel="0" collapsed="false">
      <c r="A426" s="3" t="n">
        <v>425</v>
      </c>
      <c r="B426" s="3" t="n">
        <v>424</v>
      </c>
      <c r="C426" s="3" t="n">
        <v>0</v>
      </c>
      <c r="D426" s="3" t="n">
        <v>15</v>
      </c>
      <c r="E426" s="3" t="n">
        <v>4</v>
      </c>
      <c r="F426" s="24" t="n">
        <v>-0.424212962</v>
      </c>
    </row>
    <row r="427" customFormat="false" ht="15" hidden="false" customHeight="false" outlineLevel="0" collapsed="false">
      <c r="A427" s="3" t="n">
        <v>426</v>
      </c>
      <c r="B427" s="3" t="n">
        <v>425</v>
      </c>
      <c r="C427" s="3" t="n">
        <v>0</v>
      </c>
      <c r="D427" s="3" t="n">
        <v>15</v>
      </c>
      <c r="E427" s="3" t="n">
        <v>5</v>
      </c>
      <c r="F427" s="24" t="n">
        <v>-0.424212962</v>
      </c>
    </row>
    <row r="428" customFormat="false" ht="15" hidden="false" customHeight="false" outlineLevel="0" collapsed="false">
      <c r="A428" s="3" t="n">
        <v>427</v>
      </c>
      <c r="B428" s="3" t="n">
        <v>426</v>
      </c>
      <c r="C428" s="3" t="n">
        <v>0</v>
      </c>
      <c r="D428" s="3" t="n">
        <v>15</v>
      </c>
      <c r="E428" s="3" t="n">
        <v>6</v>
      </c>
      <c r="F428" s="24" t="n">
        <v>-0.424212962</v>
      </c>
    </row>
    <row r="429" customFormat="false" ht="15" hidden="false" customHeight="false" outlineLevel="0" collapsed="false">
      <c r="A429" s="3" t="n">
        <v>428</v>
      </c>
      <c r="B429" s="3" t="n">
        <v>427</v>
      </c>
      <c r="C429" s="3" t="n">
        <v>0</v>
      </c>
      <c r="D429" s="3" t="n">
        <v>15</v>
      </c>
      <c r="E429" s="3" t="n">
        <v>7</v>
      </c>
      <c r="F429" s="24" t="n">
        <v>-0.424212962</v>
      </c>
    </row>
    <row r="430" customFormat="false" ht="15" hidden="false" customHeight="false" outlineLevel="0" collapsed="false">
      <c r="A430" s="3" t="n">
        <v>429</v>
      </c>
      <c r="B430" s="3" t="n">
        <v>428</v>
      </c>
      <c r="C430" s="3" t="n">
        <v>0</v>
      </c>
      <c r="D430" s="3" t="n">
        <v>15</v>
      </c>
      <c r="E430" s="3" t="n">
        <v>8</v>
      </c>
      <c r="F430" s="24" t="n">
        <v>-0.424212962</v>
      </c>
    </row>
    <row r="431" customFormat="false" ht="15" hidden="false" customHeight="false" outlineLevel="0" collapsed="false">
      <c r="A431" s="3" t="n">
        <v>430</v>
      </c>
      <c r="B431" s="3" t="n">
        <v>429</v>
      </c>
      <c r="C431" s="3" t="n">
        <v>0</v>
      </c>
      <c r="D431" s="3" t="n">
        <v>15</v>
      </c>
      <c r="E431" s="3" t="n">
        <v>9</v>
      </c>
      <c r="F431" s="24" t="n">
        <v>-0.424212962</v>
      </c>
    </row>
    <row r="432" customFormat="false" ht="15" hidden="false" customHeight="false" outlineLevel="0" collapsed="false">
      <c r="A432" s="3" t="n">
        <v>431</v>
      </c>
      <c r="B432" s="3" t="n">
        <v>430</v>
      </c>
      <c r="C432" s="3" t="n">
        <v>0</v>
      </c>
      <c r="D432" s="3" t="n">
        <v>15</v>
      </c>
      <c r="E432" s="3" t="n">
        <v>10</v>
      </c>
      <c r="F432" s="24" t="n">
        <v>-0.424212962</v>
      </c>
    </row>
    <row r="433" customFormat="false" ht="15" hidden="false" customHeight="false" outlineLevel="0" collapsed="false">
      <c r="A433" s="3" t="n">
        <v>432</v>
      </c>
      <c r="B433" s="3" t="n">
        <v>431</v>
      </c>
      <c r="C433" s="3" t="n">
        <v>0</v>
      </c>
      <c r="D433" s="3" t="n">
        <v>15</v>
      </c>
      <c r="E433" s="3" t="n">
        <v>11</v>
      </c>
      <c r="F433" s="24" t="n">
        <v>-0.424212962</v>
      </c>
    </row>
    <row r="434" customFormat="false" ht="15" hidden="false" customHeight="false" outlineLevel="0" collapsed="false">
      <c r="A434" s="3" t="n">
        <v>433</v>
      </c>
      <c r="B434" s="3" t="n">
        <v>432</v>
      </c>
      <c r="C434" s="3" t="n">
        <v>0</v>
      </c>
      <c r="D434" s="3" t="n">
        <v>15</v>
      </c>
      <c r="E434" s="3" t="n">
        <v>12</v>
      </c>
      <c r="F434" s="24" t="n">
        <v>-0.424212962</v>
      </c>
    </row>
    <row r="435" customFormat="false" ht="15" hidden="false" customHeight="false" outlineLevel="0" collapsed="false">
      <c r="A435" s="3" t="n">
        <v>434</v>
      </c>
      <c r="B435" s="3" t="n">
        <v>433</v>
      </c>
      <c r="C435" s="3" t="n">
        <v>0</v>
      </c>
      <c r="D435" s="3" t="n">
        <v>15</v>
      </c>
      <c r="E435" s="3" t="n">
        <v>13</v>
      </c>
      <c r="F435" s="24" t="n">
        <v>-0.424212962</v>
      </c>
    </row>
    <row r="436" customFormat="false" ht="15" hidden="false" customHeight="false" outlineLevel="0" collapsed="false">
      <c r="A436" s="3" t="n">
        <v>435</v>
      </c>
      <c r="B436" s="3" t="n">
        <v>434</v>
      </c>
      <c r="C436" s="3" t="n">
        <v>0</v>
      </c>
      <c r="D436" s="3" t="n">
        <v>15</v>
      </c>
      <c r="E436" s="3" t="n">
        <v>14</v>
      </c>
      <c r="F436" s="24" t="n">
        <v>-0.424212962</v>
      </c>
    </row>
    <row r="437" customFormat="false" ht="15" hidden="false" customHeight="false" outlineLevel="0" collapsed="false">
      <c r="A437" s="3" t="n">
        <v>436</v>
      </c>
      <c r="B437" s="3" t="n">
        <v>435</v>
      </c>
      <c r="C437" s="3" t="n">
        <v>0</v>
      </c>
      <c r="D437" s="3" t="n">
        <v>15</v>
      </c>
      <c r="E437" s="3" t="n">
        <v>15</v>
      </c>
      <c r="F437" s="24" t="n">
        <v>-0.424212962</v>
      </c>
    </row>
    <row r="438" customFormat="false" ht="15" hidden="false" customHeight="false" outlineLevel="0" collapsed="false">
      <c r="A438" s="3" t="n">
        <v>437</v>
      </c>
      <c r="B438" s="3" t="n">
        <v>436</v>
      </c>
      <c r="C438" s="3" t="n">
        <v>0</v>
      </c>
      <c r="D438" s="3" t="n">
        <v>15</v>
      </c>
      <c r="E438" s="3" t="n">
        <v>16</v>
      </c>
      <c r="F438" s="24" t="n">
        <v>1.26864231</v>
      </c>
    </row>
    <row r="439" customFormat="false" ht="15" hidden="false" customHeight="false" outlineLevel="0" collapsed="false">
      <c r="A439" s="3" t="n">
        <v>438</v>
      </c>
      <c r="B439" s="3" t="n">
        <v>437</v>
      </c>
      <c r="C439" s="3" t="n">
        <v>0</v>
      </c>
      <c r="D439" s="3" t="n">
        <v>15</v>
      </c>
      <c r="E439" s="3" t="n">
        <v>17</v>
      </c>
      <c r="F439" s="24" t="n">
        <v>2.8087585</v>
      </c>
    </row>
    <row r="440" customFormat="false" ht="15" hidden="false" customHeight="false" outlineLevel="0" collapsed="false">
      <c r="A440" s="3" t="n">
        <v>439</v>
      </c>
      <c r="B440" s="3" t="n">
        <v>438</v>
      </c>
      <c r="C440" s="3" t="n">
        <v>0</v>
      </c>
      <c r="D440" s="3" t="n">
        <v>15</v>
      </c>
      <c r="E440" s="3" t="n">
        <v>18</v>
      </c>
      <c r="F440" s="24" t="n">
        <v>1.95596683</v>
      </c>
    </row>
    <row r="441" customFormat="false" ht="15" hidden="false" customHeight="false" outlineLevel="0" collapsed="false">
      <c r="A441" s="3" t="n">
        <v>440</v>
      </c>
      <c r="B441" s="3" t="n">
        <v>439</v>
      </c>
      <c r="C441" s="3" t="n">
        <v>0</v>
      </c>
      <c r="D441" s="3" t="n">
        <v>15</v>
      </c>
      <c r="E441" s="3" t="n">
        <v>19</v>
      </c>
      <c r="F441" s="24" t="n">
        <v>-0.360571802</v>
      </c>
    </row>
    <row r="442" customFormat="false" ht="15" hidden="false" customHeight="false" outlineLevel="0" collapsed="false">
      <c r="A442" s="3" t="n">
        <v>441</v>
      </c>
      <c r="B442" s="3" t="n">
        <v>440</v>
      </c>
      <c r="C442" s="3" t="n">
        <v>0</v>
      </c>
      <c r="D442" s="3" t="n">
        <v>15</v>
      </c>
      <c r="E442" s="3" t="n">
        <v>20</v>
      </c>
      <c r="F442" s="24" t="n">
        <v>-0.424212962</v>
      </c>
    </row>
    <row r="443" customFormat="false" ht="15" hidden="false" customHeight="false" outlineLevel="0" collapsed="false">
      <c r="A443" s="3" t="n">
        <v>442</v>
      </c>
      <c r="B443" s="3" t="n">
        <v>441</v>
      </c>
      <c r="C443" s="3" t="n">
        <v>0</v>
      </c>
      <c r="D443" s="3" t="n">
        <v>15</v>
      </c>
      <c r="E443" s="3" t="n">
        <v>21</v>
      </c>
      <c r="F443" s="24" t="n">
        <v>-0.424212962</v>
      </c>
    </row>
    <row r="444" customFormat="false" ht="15" hidden="false" customHeight="false" outlineLevel="0" collapsed="false">
      <c r="A444" s="3" t="n">
        <v>443</v>
      </c>
      <c r="B444" s="3" t="n">
        <v>442</v>
      </c>
      <c r="C444" s="3" t="n">
        <v>0</v>
      </c>
      <c r="D444" s="3" t="n">
        <v>15</v>
      </c>
      <c r="E444" s="3" t="n">
        <v>22</v>
      </c>
      <c r="F444" s="24" t="n">
        <v>-0.424212962</v>
      </c>
    </row>
    <row r="445" customFormat="false" ht="15" hidden="false" customHeight="false" outlineLevel="0" collapsed="false">
      <c r="A445" s="3" t="n">
        <v>444</v>
      </c>
      <c r="B445" s="3" t="n">
        <v>443</v>
      </c>
      <c r="C445" s="3" t="n">
        <v>0</v>
      </c>
      <c r="D445" s="3" t="n">
        <v>15</v>
      </c>
      <c r="E445" s="3" t="n">
        <v>23</v>
      </c>
      <c r="F445" s="24" t="n">
        <v>-0.424212962</v>
      </c>
    </row>
    <row r="446" customFormat="false" ht="15" hidden="false" customHeight="false" outlineLevel="0" collapsed="false">
      <c r="A446" s="3" t="n">
        <v>445</v>
      </c>
      <c r="B446" s="3" t="n">
        <v>444</v>
      </c>
      <c r="C446" s="3" t="n">
        <v>0</v>
      </c>
      <c r="D446" s="3" t="n">
        <v>15</v>
      </c>
      <c r="E446" s="3" t="n">
        <v>24</v>
      </c>
      <c r="F446" s="24" t="n">
        <v>-0.424212962</v>
      </c>
    </row>
    <row r="447" customFormat="false" ht="15" hidden="false" customHeight="false" outlineLevel="0" collapsed="false">
      <c r="A447" s="3" t="n">
        <v>446</v>
      </c>
      <c r="B447" s="3" t="n">
        <v>445</v>
      </c>
      <c r="C447" s="3" t="n">
        <v>0</v>
      </c>
      <c r="D447" s="3" t="n">
        <v>15</v>
      </c>
      <c r="E447" s="3" t="n">
        <v>25</v>
      </c>
      <c r="F447" s="24" t="n">
        <v>-0.424212962</v>
      </c>
    </row>
    <row r="448" customFormat="false" ht="15" hidden="false" customHeight="false" outlineLevel="0" collapsed="false">
      <c r="A448" s="3" t="n">
        <v>447</v>
      </c>
      <c r="B448" s="3" t="n">
        <v>446</v>
      </c>
      <c r="C448" s="3" t="n">
        <v>0</v>
      </c>
      <c r="D448" s="3" t="n">
        <v>15</v>
      </c>
      <c r="E448" s="3" t="n">
        <v>26</v>
      </c>
      <c r="F448" s="24" t="n">
        <v>-0.424212962</v>
      </c>
    </row>
    <row r="449" customFormat="false" ht="15" hidden="false" customHeight="false" outlineLevel="0" collapsed="false">
      <c r="A449" s="3" t="n">
        <v>448</v>
      </c>
      <c r="B449" s="3" t="n">
        <v>447</v>
      </c>
      <c r="C449" s="3" t="n">
        <v>0</v>
      </c>
      <c r="D449" s="3" t="n">
        <v>15</v>
      </c>
      <c r="E449" s="3" t="n">
        <v>27</v>
      </c>
      <c r="F449" s="24" t="n">
        <v>-0.424212962</v>
      </c>
    </row>
    <row r="450" customFormat="false" ht="15" hidden="false" customHeight="false" outlineLevel="0" collapsed="false">
      <c r="A450" s="3" t="n">
        <v>449</v>
      </c>
      <c r="B450" s="3" t="n">
        <v>448</v>
      </c>
      <c r="C450" s="3" t="n">
        <v>0</v>
      </c>
      <c r="D450" s="3" t="n">
        <v>16</v>
      </c>
      <c r="E450" s="3" t="n">
        <v>0</v>
      </c>
      <c r="F450" s="24" t="n">
        <v>-0.424212962</v>
      </c>
    </row>
    <row r="451" customFormat="false" ht="15" hidden="false" customHeight="false" outlineLevel="0" collapsed="false">
      <c r="A451" s="3" t="n">
        <v>450</v>
      </c>
      <c r="B451" s="3" t="n">
        <v>449</v>
      </c>
      <c r="C451" s="3" t="n">
        <v>0</v>
      </c>
      <c r="D451" s="3" t="n">
        <v>16</v>
      </c>
      <c r="E451" s="3" t="n">
        <v>1</v>
      </c>
      <c r="F451" s="24" t="n">
        <v>-0.424212962</v>
      </c>
    </row>
    <row r="452" customFormat="false" ht="15" hidden="false" customHeight="false" outlineLevel="0" collapsed="false">
      <c r="A452" s="3" t="n">
        <v>451</v>
      </c>
      <c r="B452" s="3" t="n">
        <v>450</v>
      </c>
      <c r="C452" s="3" t="n">
        <v>0</v>
      </c>
      <c r="D452" s="3" t="n">
        <v>16</v>
      </c>
      <c r="E452" s="3" t="n">
        <v>2</v>
      </c>
      <c r="F452" s="24" t="n">
        <v>-0.424212962</v>
      </c>
    </row>
    <row r="453" customFormat="false" ht="15" hidden="false" customHeight="false" outlineLevel="0" collapsed="false">
      <c r="A453" s="3" t="n">
        <v>452</v>
      </c>
      <c r="B453" s="3" t="n">
        <v>451</v>
      </c>
      <c r="C453" s="3" t="n">
        <v>0</v>
      </c>
      <c r="D453" s="3" t="n">
        <v>16</v>
      </c>
      <c r="E453" s="3" t="n">
        <v>3</v>
      </c>
      <c r="F453" s="24" t="n">
        <v>-0.424212962</v>
      </c>
    </row>
    <row r="454" customFormat="false" ht="15" hidden="false" customHeight="false" outlineLevel="0" collapsed="false">
      <c r="A454" s="3" t="n">
        <v>453</v>
      </c>
      <c r="B454" s="3" t="n">
        <v>452</v>
      </c>
      <c r="C454" s="3" t="n">
        <v>0</v>
      </c>
      <c r="D454" s="3" t="n">
        <v>16</v>
      </c>
      <c r="E454" s="3" t="n">
        <v>4</v>
      </c>
      <c r="F454" s="24" t="n">
        <v>-0.424212962</v>
      </c>
    </row>
    <row r="455" customFormat="false" ht="15" hidden="false" customHeight="false" outlineLevel="0" collapsed="false">
      <c r="A455" s="3" t="n">
        <v>454</v>
      </c>
      <c r="B455" s="3" t="n">
        <v>453</v>
      </c>
      <c r="C455" s="3" t="n">
        <v>0</v>
      </c>
      <c r="D455" s="3" t="n">
        <v>16</v>
      </c>
      <c r="E455" s="3" t="n">
        <v>5</v>
      </c>
      <c r="F455" s="24" t="n">
        <v>-0.424212962</v>
      </c>
    </row>
    <row r="456" customFormat="false" ht="15" hidden="false" customHeight="false" outlineLevel="0" collapsed="false">
      <c r="A456" s="3" t="n">
        <v>455</v>
      </c>
      <c r="B456" s="3" t="n">
        <v>454</v>
      </c>
      <c r="C456" s="3" t="n">
        <v>0</v>
      </c>
      <c r="D456" s="3" t="n">
        <v>16</v>
      </c>
      <c r="E456" s="3" t="n">
        <v>6</v>
      </c>
      <c r="F456" s="24" t="n">
        <v>-0.424212962</v>
      </c>
    </row>
    <row r="457" customFormat="false" ht="15" hidden="false" customHeight="false" outlineLevel="0" collapsed="false">
      <c r="A457" s="3" t="n">
        <v>456</v>
      </c>
      <c r="B457" s="3" t="n">
        <v>455</v>
      </c>
      <c r="C457" s="3" t="n">
        <v>0</v>
      </c>
      <c r="D457" s="3" t="n">
        <v>16</v>
      </c>
      <c r="E457" s="3" t="n">
        <v>7</v>
      </c>
      <c r="F457" s="24" t="n">
        <v>-0.424212962</v>
      </c>
    </row>
    <row r="458" customFormat="false" ht="15" hidden="false" customHeight="false" outlineLevel="0" collapsed="false">
      <c r="A458" s="3" t="n">
        <v>457</v>
      </c>
      <c r="B458" s="3" t="n">
        <v>456</v>
      </c>
      <c r="C458" s="3" t="n">
        <v>0</v>
      </c>
      <c r="D458" s="3" t="n">
        <v>16</v>
      </c>
      <c r="E458" s="3" t="n">
        <v>8</v>
      </c>
      <c r="F458" s="24" t="n">
        <v>-0.424212962</v>
      </c>
    </row>
    <row r="459" customFormat="false" ht="15" hidden="false" customHeight="false" outlineLevel="0" collapsed="false">
      <c r="A459" s="3" t="n">
        <v>458</v>
      </c>
      <c r="B459" s="3" t="n">
        <v>457</v>
      </c>
      <c r="C459" s="3" t="n">
        <v>0</v>
      </c>
      <c r="D459" s="3" t="n">
        <v>16</v>
      </c>
      <c r="E459" s="3" t="n">
        <v>9</v>
      </c>
      <c r="F459" s="24" t="n">
        <v>-0.424212962</v>
      </c>
    </row>
    <row r="460" customFormat="false" ht="15" hidden="false" customHeight="false" outlineLevel="0" collapsed="false">
      <c r="A460" s="3" t="n">
        <v>459</v>
      </c>
      <c r="B460" s="3" t="n">
        <v>458</v>
      </c>
      <c r="C460" s="3" t="n">
        <v>0</v>
      </c>
      <c r="D460" s="3" t="n">
        <v>16</v>
      </c>
      <c r="E460" s="3" t="n">
        <v>10</v>
      </c>
      <c r="F460" s="24" t="n">
        <v>-0.424212962</v>
      </c>
    </row>
    <row r="461" customFormat="false" ht="15" hidden="false" customHeight="false" outlineLevel="0" collapsed="false">
      <c r="A461" s="3" t="n">
        <v>460</v>
      </c>
      <c r="B461" s="3" t="n">
        <v>459</v>
      </c>
      <c r="C461" s="3" t="n">
        <v>0</v>
      </c>
      <c r="D461" s="3" t="n">
        <v>16</v>
      </c>
      <c r="E461" s="3" t="n">
        <v>11</v>
      </c>
      <c r="F461" s="24" t="n">
        <v>-0.424212962</v>
      </c>
    </row>
    <row r="462" customFormat="false" ht="15" hidden="false" customHeight="false" outlineLevel="0" collapsed="false">
      <c r="A462" s="3" t="n">
        <v>461</v>
      </c>
      <c r="B462" s="3" t="n">
        <v>460</v>
      </c>
      <c r="C462" s="3" t="n">
        <v>0</v>
      </c>
      <c r="D462" s="3" t="n">
        <v>16</v>
      </c>
      <c r="E462" s="3" t="n">
        <v>12</v>
      </c>
      <c r="F462" s="24" t="n">
        <v>-0.424212962</v>
      </c>
    </row>
    <row r="463" customFormat="false" ht="15" hidden="false" customHeight="false" outlineLevel="0" collapsed="false">
      <c r="A463" s="3" t="n">
        <v>462</v>
      </c>
      <c r="B463" s="3" t="n">
        <v>461</v>
      </c>
      <c r="C463" s="3" t="n">
        <v>0</v>
      </c>
      <c r="D463" s="3" t="n">
        <v>16</v>
      </c>
      <c r="E463" s="3" t="n">
        <v>13</v>
      </c>
      <c r="F463" s="24" t="n">
        <v>-0.424212962</v>
      </c>
    </row>
    <row r="464" customFormat="false" ht="15" hidden="false" customHeight="false" outlineLevel="0" collapsed="false">
      <c r="A464" s="3" t="n">
        <v>463</v>
      </c>
      <c r="B464" s="3" t="n">
        <v>462</v>
      </c>
      <c r="C464" s="3" t="n">
        <v>0</v>
      </c>
      <c r="D464" s="3" t="n">
        <v>16</v>
      </c>
      <c r="E464" s="3" t="n">
        <v>14</v>
      </c>
      <c r="F464" s="24" t="n">
        <v>-0.424212962</v>
      </c>
    </row>
    <row r="465" customFormat="false" ht="15" hidden="false" customHeight="false" outlineLevel="0" collapsed="false">
      <c r="A465" s="3" t="n">
        <v>464</v>
      </c>
      <c r="B465" s="3" t="n">
        <v>463</v>
      </c>
      <c r="C465" s="3" t="n">
        <v>0</v>
      </c>
      <c r="D465" s="3" t="n">
        <v>16</v>
      </c>
      <c r="E465" s="3" t="n">
        <v>15</v>
      </c>
      <c r="F465" s="24" t="n">
        <v>-0.309658855</v>
      </c>
    </row>
    <row r="466" customFormat="false" ht="15" hidden="false" customHeight="false" outlineLevel="0" collapsed="false">
      <c r="A466" s="3" t="n">
        <v>465</v>
      </c>
      <c r="B466" s="3" t="n">
        <v>464</v>
      </c>
      <c r="C466" s="3" t="n">
        <v>0</v>
      </c>
      <c r="D466" s="3" t="n">
        <v>16</v>
      </c>
      <c r="E466" s="3" t="n">
        <v>16</v>
      </c>
      <c r="F466" s="24" t="n">
        <v>2.18507504</v>
      </c>
    </row>
    <row r="467" customFormat="false" ht="15" hidden="false" customHeight="false" outlineLevel="0" collapsed="false">
      <c r="A467" s="3" t="n">
        <v>466</v>
      </c>
      <c r="B467" s="3" t="n">
        <v>465</v>
      </c>
      <c r="C467" s="3" t="n">
        <v>0</v>
      </c>
      <c r="D467" s="3" t="n">
        <v>16</v>
      </c>
      <c r="E467" s="3" t="n">
        <v>17</v>
      </c>
      <c r="F467" s="24" t="n">
        <v>2.73238897</v>
      </c>
    </row>
    <row r="468" customFormat="false" ht="15" hidden="false" customHeight="false" outlineLevel="0" collapsed="false">
      <c r="A468" s="3" t="n">
        <v>467</v>
      </c>
      <c r="B468" s="3" t="n">
        <v>466</v>
      </c>
      <c r="C468" s="3" t="n">
        <v>0</v>
      </c>
      <c r="D468" s="3" t="n">
        <v>16</v>
      </c>
      <c r="E468" s="3" t="n">
        <v>18</v>
      </c>
      <c r="F468" s="24" t="n">
        <v>0.314024597</v>
      </c>
    </row>
    <row r="469" customFormat="false" ht="15" hidden="false" customHeight="false" outlineLevel="0" collapsed="false">
      <c r="A469" s="3" t="n">
        <v>468</v>
      </c>
      <c r="B469" s="3" t="n">
        <v>467</v>
      </c>
      <c r="C469" s="3" t="n">
        <v>0</v>
      </c>
      <c r="D469" s="3" t="n">
        <v>16</v>
      </c>
      <c r="E469" s="3" t="n">
        <v>19</v>
      </c>
      <c r="F469" s="24" t="n">
        <v>-0.424212962</v>
      </c>
    </row>
    <row r="470" customFormat="false" ht="15" hidden="false" customHeight="false" outlineLevel="0" collapsed="false">
      <c r="A470" s="3" t="n">
        <v>469</v>
      </c>
      <c r="B470" s="3" t="n">
        <v>468</v>
      </c>
      <c r="C470" s="3" t="n">
        <v>0</v>
      </c>
      <c r="D470" s="3" t="n">
        <v>16</v>
      </c>
      <c r="E470" s="3" t="n">
        <v>20</v>
      </c>
      <c r="F470" s="24" t="n">
        <v>-0.424212962</v>
      </c>
    </row>
    <row r="471" customFormat="false" ht="15" hidden="false" customHeight="false" outlineLevel="0" collapsed="false">
      <c r="A471" s="3" t="n">
        <v>470</v>
      </c>
      <c r="B471" s="3" t="n">
        <v>469</v>
      </c>
      <c r="C471" s="3" t="n">
        <v>0</v>
      </c>
      <c r="D471" s="3" t="n">
        <v>16</v>
      </c>
      <c r="E471" s="3" t="n">
        <v>21</v>
      </c>
      <c r="F471" s="24" t="n">
        <v>-0.424212962</v>
      </c>
    </row>
    <row r="472" customFormat="false" ht="15" hidden="false" customHeight="false" outlineLevel="0" collapsed="false">
      <c r="A472" s="3" t="n">
        <v>471</v>
      </c>
      <c r="B472" s="3" t="n">
        <v>470</v>
      </c>
      <c r="C472" s="3" t="n">
        <v>0</v>
      </c>
      <c r="D472" s="3" t="n">
        <v>16</v>
      </c>
      <c r="E472" s="3" t="n">
        <v>22</v>
      </c>
      <c r="F472" s="24" t="n">
        <v>-0.424212962</v>
      </c>
    </row>
    <row r="473" customFormat="false" ht="15" hidden="false" customHeight="false" outlineLevel="0" collapsed="false">
      <c r="A473" s="3" t="n">
        <v>472</v>
      </c>
      <c r="B473" s="3" t="n">
        <v>471</v>
      </c>
      <c r="C473" s="3" t="n">
        <v>0</v>
      </c>
      <c r="D473" s="3" t="n">
        <v>16</v>
      </c>
      <c r="E473" s="3" t="n">
        <v>23</v>
      </c>
      <c r="F473" s="24" t="n">
        <v>-0.424212962</v>
      </c>
    </row>
    <row r="474" customFormat="false" ht="15" hidden="false" customHeight="false" outlineLevel="0" collapsed="false">
      <c r="A474" s="3" t="n">
        <v>473</v>
      </c>
      <c r="B474" s="3" t="n">
        <v>472</v>
      </c>
      <c r="C474" s="3" t="n">
        <v>0</v>
      </c>
      <c r="D474" s="3" t="n">
        <v>16</v>
      </c>
      <c r="E474" s="3" t="n">
        <v>24</v>
      </c>
      <c r="F474" s="24" t="n">
        <v>-0.424212962</v>
      </c>
    </row>
    <row r="475" customFormat="false" ht="15" hidden="false" customHeight="false" outlineLevel="0" collapsed="false">
      <c r="A475" s="3" t="n">
        <v>474</v>
      </c>
      <c r="B475" s="3" t="n">
        <v>473</v>
      </c>
      <c r="C475" s="3" t="n">
        <v>0</v>
      </c>
      <c r="D475" s="3" t="n">
        <v>16</v>
      </c>
      <c r="E475" s="3" t="n">
        <v>25</v>
      </c>
      <c r="F475" s="24" t="n">
        <v>-0.424212962</v>
      </c>
    </row>
    <row r="476" customFormat="false" ht="15" hidden="false" customHeight="false" outlineLevel="0" collapsed="false">
      <c r="A476" s="3" t="n">
        <v>475</v>
      </c>
      <c r="B476" s="3" t="n">
        <v>474</v>
      </c>
      <c r="C476" s="3" t="n">
        <v>0</v>
      </c>
      <c r="D476" s="3" t="n">
        <v>16</v>
      </c>
      <c r="E476" s="3" t="n">
        <v>26</v>
      </c>
      <c r="F476" s="24" t="n">
        <v>-0.424212962</v>
      </c>
    </row>
    <row r="477" customFormat="false" ht="15" hidden="false" customHeight="false" outlineLevel="0" collapsed="false">
      <c r="A477" s="3" t="n">
        <v>476</v>
      </c>
      <c r="B477" s="3" t="n">
        <v>475</v>
      </c>
      <c r="C477" s="3" t="n">
        <v>0</v>
      </c>
      <c r="D477" s="3" t="n">
        <v>16</v>
      </c>
      <c r="E477" s="3" t="n">
        <v>27</v>
      </c>
      <c r="F477" s="24" t="n">
        <v>-0.424212962</v>
      </c>
    </row>
    <row r="478" customFormat="false" ht="15" hidden="false" customHeight="false" outlineLevel="0" collapsed="false">
      <c r="A478" s="3" t="n">
        <v>477</v>
      </c>
      <c r="B478" s="3" t="n">
        <v>476</v>
      </c>
      <c r="C478" s="3" t="n">
        <v>0</v>
      </c>
      <c r="D478" s="3" t="n">
        <v>17</v>
      </c>
      <c r="E478" s="3" t="n">
        <v>0</v>
      </c>
      <c r="F478" s="24" t="n">
        <v>-0.424212962</v>
      </c>
    </row>
    <row r="479" customFormat="false" ht="15" hidden="false" customHeight="false" outlineLevel="0" collapsed="false">
      <c r="A479" s="3" t="n">
        <v>478</v>
      </c>
      <c r="B479" s="3" t="n">
        <v>477</v>
      </c>
      <c r="C479" s="3" t="n">
        <v>0</v>
      </c>
      <c r="D479" s="3" t="n">
        <v>17</v>
      </c>
      <c r="E479" s="3" t="n">
        <v>1</v>
      </c>
      <c r="F479" s="24" t="n">
        <v>-0.424212962</v>
      </c>
    </row>
    <row r="480" customFormat="false" ht="15" hidden="false" customHeight="false" outlineLevel="0" collapsed="false">
      <c r="A480" s="3" t="n">
        <v>479</v>
      </c>
      <c r="B480" s="3" t="n">
        <v>478</v>
      </c>
      <c r="C480" s="3" t="n">
        <v>0</v>
      </c>
      <c r="D480" s="3" t="n">
        <v>17</v>
      </c>
      <c r="E480" s="3" t="n">
        <v>2</v>
      </c>
      <c r="F480" s="24" t="n">
        <v>-0.424212962</v>
      </c>
    </row>
    <row r="481" customFormat="false" ht="15" hidden="false" customHeight="false" outlineLevel="0" collapsed="false">
      <c r="A481" s="3" t="n">
        <v>480</v>
      </c>
      <c r="B481" s="3" t="n">
        <v>479</v>
      </c>
      <c r="C481" s="3" t="n">
        <v>0</v>
      </c>
      <c r="D481" s="3" t="n">
        <v>17</v>
      </c>
      <c r="E481" s="3" t="n">
        <v>3</v>
      </c>
      <c r="F481" s="24" t="n">
        <v>-0.424212962</v>
      </c>
    </row>
    <row r="482" customFormat="false" ht="15" hidden="false" customHeight="false" outlineLevel="0" collapsed="false">
      <c r="A482" s="3" t="n">
        <v>481</v>
      </c>
      <c r="B482" s="3" t="n">
        <v>480</v>
      </c>
      <c r="C482" s="3" t="n">
        <v>0</v>
      </c>
      <c r="D482" s="3" t="n">
        <v>17</v>
      </c>
      <c r="E482" s="3" t="n">
        <v>4</v>
      </c>
      <c r="F482" s="24" t="n">
        <v>-0.424212962</v>
      </c>
    </row>
    <row r="483" customFormat="false" ht="15" hidden="false" customHeight="false" outlineLevel="0" collapsed="false">
      <c r="A483" s="3" t="n">
        <v>482</v>
      </c>
      <c r="B483" s="3" t="n">
        <v>481</v>
      </c>
      <c r="C483" s="3" t="n">
        <v>0</v>
      </c>
      <c r="D483" s="3" t="n">
        <v>17</v>
      </c>
      <c r="E483" s="3" t="n">
        <v>5</v>
      </c>
      <c r="F483" s="24" t="n">
        <v>-0.424212962</v>
      </c>
    </row>
    <row r="484" customFormat="false" ht="15" hidden="false" customHeight="false" outlineLevel="0" collapsed="false">
      <c r="A484" s="3" t="n">
        <v>483</v>
      </c>
      <c r="B484" s="3" t="n">
        <v>482</v>
      </c>
      <c r="C484" s="3" t="n">
        <v>0</v>
      </c>
      <c r="D484" s="3" t="n">
        <v>17</v>
      </c>
      <c r="E484" s="3" t="n">
        <v>6</v>
      </c>
      <c r="F484" s="24" t="n">
        <v>-0.424212962</v>
      </c>
    </row>
    <row r="485" customFormat="false" ht="15" hidden="false" customHeight="false" outlineLevel="0" collapsed="false">
      <c r="A485" s="3" t="n">
        <v>484</v>
      </c>
      <c r="B485" s="3" t="n">
        <v>483</v>
      </c>
      <c r="C485" s="3" t="n">
        <v>0</v>
      </c>
      <c r="D485" s="3" t="n">
        <v>17</v>
      </c>
      <c r="E485" s="3" t="n">
        <v>7</v>
      </c>
      <c r="F485" s="24" t="n">
        <v>-0.424212962</v>
      </c>
    </row>
    <row r="486" customFormat="false" ht="15" hidden="false" customHeight="false" outlineLevel="0" collapsed="false">
      <c r="A486" s="3" t="n">
        <v>485</v>
      </c>
      <c r="B486" s="3" t="n">
        <v>484</v>
      </c>
      <c r="C486" s="3" t="n">
        <v>0</v>
      </c>
      <c r="D486" s="3" t="n">
        <v>17</v>
      </c>
      <c r="E486" s="3" t="n">
        <v>8</v>
      </c>
      <c r="F486" s="24" t="n">
        <v>-0.424212962</v>
      </c>
    </row>
    <row r="487" customFormat="false" ht="15" hidden="false" customHeight="false" outlineLevel="0" collapsed="false">
      <c r="A487" s="3" t="n">
        <v>486</v>
      </c>
      <c r="B487" s="3" t="n">
        <v>485</v>
      </c>
      <c r="C487" s="3" t="n">
        <v>0</v>
      </c>
      <c r="D487" s="3" t="n">
        <v>17</v>
      </c>
      <c r="E487" s="3" t="n">
        <v>9</v>
      </c>
      <c r="F487" s="24" t="n">
        <v>-0.424212962</v>
      </c>
    </row>
    <row r="488" customFormat="false" ht="15" hidden="false" customHeight="false" outlineLevel="0" collapsed="false">
      <c r="A488" s="3" t="n">
        <v>487</v>
      </c>
      <c r="B488" s="3" t="n">
        <v>486</v>
      </c>
      <c r="C488" s="3" t="n">
        <v>0</v>
      </c>
      <c r="D488" s="3" t="n">
        <v>17</v>
      </c>
      <c r="E488" s="3" t="n">
        <v>10</v>
      </c>
      <c r="F488" s="24" t="n">
        <v>-0.424212962</v>
      </c>
    </row>
    <row r="489" customFormat="false" ht="15" hidden="false" customHeight="false" outlineLevel="0" collapsed="false">
      <c r="A489" s="3" t="n">
        <v>488</v>
      </c>
      <c r="B489" s="3" t="n">
        <v>487</v>
      </c>
      <c r="C489" s="3" t="n">
        <v>0</v>
      </c>
      <c r="D489" s="3" t="n">
        <v>17</v>
      </c>
      <c r="E489" s="3" t="n">
        <v>11</v>
      </c>
      <c r="F489" s="24" t="n">
        <v>-0.424212962</v>
      </c>
    </row>
    <row r="490" customFormat="false" ht="15" hidden="false" customHeight="false" outlineLevel="0" collapsed="false">
      <c r="A490" s="3" t="n">
        <v>489</v>
      </c>
      <c r="B490" s="3" t="n">
        <v>488</v>
      </c>
      <c r="C490" s="3" t="n">
        <v>0</v>
      </c>
      <c r="D490" s="3" t="n">
        <v>17</v>
      </c>
      <c r="E490" s="3" t="n">
        <v>12</v>
      </c>
      <c r="F490" s="24" t="n">
        <v>-0.424212962</v>
      </c>
    </row>
    <row r="491" customFormat="false" ht="15" hidden="false" customHeight="false" outlineLevel="0" collapsed="false">
      <c r="A491" s="3" t="n">
        <v>490</v>
      </c>
      <c r="B491" s="3" t="n">
        <v>489</v>
      </c>
      <c r="C491" s="3" t="n">
        <v>0</v>
      </c>
      <c r="D491" s="3" t="n">
        <v>17</v>
      </c>
      <c r="E491" s="3" t="n">
        <v>13</v>
      </c>
      <c r="F491" s="24" t="n">
        <v>-0.424212962</v>
      </c>
    </row>
    <row r="492" customFormat="false" ht="15" hidden="false" customHeight="false" outlineLevel="0" collapsed="false">
      <c r="A492" s="3" t="n">
        <v>491</v>
      </c>
      <c r="B492" s="3" t="n">
        <v>490</v>
      </c>
      <c r="C492" s="3" t="n">
        <v>0</v>
      </c>
      <c r="D492" s="3" t="n">
        <v>17</v>
      </c>
      <c r="E492" s="3" t="n">
        <v>14</v>
      </c>
      <c r="F492" s="24" t="n">
        <v>-0.424212962</v>
      </c>
    </row>
    <row r="493" customFormat="false" ht="15" hidden="false" customHeight="false" outlineLevel="0" collapsed="false">
      <c r="A493" s="3" t="n">
        <v>492</v>
      </c>
      <c r="B493" s="3" t="n">
        <v>491</v>
      </c>
      <c r="C493" s="3" t="n">
        <v>0</v>
      </c>
      <c r="D493" s="3" t="n">
        <v>17</v>
      </c>
      <c r="E493" s="3" t="n">
        <v>15</v>
      </c>
      <c r="F493" s="24" t="n">
        <v>1.17954445</v>
      </c>
    </row>
    <row r="494" customFormat="false" ht="15" hidden="false" customHeight="false" outlineLevel="0" collapsed="false">
      <c r="A494" s="3" t="n">
        <v>493</v>
      </c>
      <c r="B494" s="3" t="n">
        <v>492</v>
      </c>
      <c r="C494" s="3" t="n">
        <v>0</v>
      </c>
      <c r="D494" s="3" t="n">
        <v>17</v>
      </c>
      <c r="E494" s="3" t="n">
        <v>16</v>
      </c>
      <c r="F494" s="24" t="n">
        <v>2.8087585</v>
      </c>
    </row>
    <row r="495" customFormat="false" ht="15" hidden="false" customHeight="false" outlineLevel="0" collapsed="false">
      <c r="A495" s="3" t="n">
        <v>494</v>
      </c>
      <c r="B495" s="3" t="n">
        <v>493</v>
      </c>
      <c r="C495" s="3" t="n">
        <v>0</v>
      </c>
      <c r="D495" s="3" t="n">
        <v>17</v>
      </c>
      <c r="E495" s="3" t="n">
        <v>17</v>
      </c>
      <c r="F495" s="24" t="n">
        <v>1.89232564</v>
      </c>
    </row>
    <row r="496" customFormat="false" ht="15" hidden="false" customHeight="false" outlineLevel="0" collapsed="false">
      <c r="A496" s="3" t="n">
        <v>495</v>
      </c>
      <c r="B496" s="3" t="n">
        <v>494</v>
      </c>
      <c r="C496" s="3" t="n">
        <v>0</v>
      </c>
      <c r="D496" s="3" t="n">
        <v>17</v>
      </c>
      <c r="E496" s="3" t="n">
        <v>18</v>
      </c>
      <c r="F496" s="24" t="n">
        <v>-0.424212962</v>
      </c>
    </row>
    <row r="497" customFormat="false" ht="15" hidden="false" customHeight="false" outlineLevel="0" collapsed="false">
      <c r="A497" s="3" t="n">
        <v>496</v>
      </c>
      <c r="B497" s="3" t="n">
        <v>495</v>
      </c>
      <c r="C497" s="3" t="n">
        <v>0</v>
      </c>
      <c r="D497" s="3" t="n">
        <v>17</v>
      </c>
      <c r="E497" s="3" t="n">
        <v>19</v>
      </c>
      <c r="F497" s="24" t="n">
        <v>-0.424212962</v>
      </c>
    </row>
    <row r="498" customFormat="false" ht="15" hidden="false" customHeight="false" outlineLevel="0" collapsed="false">
      <c r="A498" s="3" t="n">
        <v>497</v>
      </c>
      <c r="B498" s="3" t="n">
        <v>496</v>
      </c>
      <c r="C498" s="3" t="n">
        <v>0</v>
      </c>
      <c r="D498" s="3" t="n">
        <v>17</v>
      </c>
      <c r="E498" s="3" t="n">
        <v>20</v>
      </c>
      <c r="F498" s="24" t="n">
        <v>-0.424212962</v>
      </c>
    </row>
    <row r="499" customFormat="false" ht="15" hidden="false" customHeight="false" outlineLevel="0" collapsed="false">
      <c r="A499" s="3" t="n">
        <v>498</v>
      </c>
      <c r="B499" s="3" t="n">
        <v>497</v>
      </c>
      <c r="C499" s="3" t="n">
        <v>0</v>
      </c>
      <c r="D499" s="3" t="n">
        <v>17</v>
      </c>
      <c r="E499" s="3" t="n">
        <v>21</v>
      </c>
      <c r="F499" s="24" t="n">
        <v>-0.424212962</v>
      </c>
    </row>
    <row r="500" customFormat="false" ht="15" hidden="false" customHeight="false" outlineLevel="0" collapsed="false">
      <c r="A500" s="3" t="n">
        <v>499</v>
      </c>
      <c r="B500" s="3" t="n">
        <v>498</v>
      </c>
      <c r="C500" s="3" t="n">
        <v>0</v>
      </c>
      <c r="D500" s="3" t="n">
        <v>17</v>
      </c>
      <c r="E500" s="3" t="n">
        <v>22</v>
      </c>
      <c r="F500" s="24" t="n">
        <v>-0.424212962</v>
      </c>
    </row>
    <row r="501" customFormat="false" ht="15" hidden="false" customHeight="false" outlineLevel="0" collapsed="false">
      <c r="A501" s="3" t="n">
        <v>500</v>
      </c>
      <c r="B501" s="3" t="n">
        <v>499</v>
      </c>
      <c r="C501" s="3" t="n">
        <v>0</v>
      </c>
      <c r="D501" s="3" t="n">
        <v>17</v>
      </c>
      <c r="E501" s="3" t="n">
        <v>23</v>
      </c>
      <c r="F501" s="24" t="n">
        <v>-0.424212962</v>
      </c>
    </row>
    <row r="502" customFormat="false" ht="15" hidden="false" customHeight="false" outlineLevel="0" collapsed="false">
      <c r="A502" s="3" t="n">
        <v>501</v>
      </c>
      <c r="B502" s="3" t="n">
        <v>500</v>
      </c>
      <c r="C502" s="3" t="n">
        <v>0</v>
      </c>
      <c r="D502" s="3" t="n">
        <v>17</v>
      </c>
      <c r="E502" s="3" t="n">
        <v>24</v>
      </c>
      <c r="F502" s="24" t="n">
        <v>-0.424212962</v>
      </c>
    </row>
    <row r="503" customFormat="false" ht="15" hidden="false" customHeight="false" outlineLevel="0" collapsed="false">
      <c r="A503" s="3" t="n">
        <v>502</v>
      </c>
      <c r="B503" s="3" t="n">
        <v>501</v>
      </c>
      <c r="C503" s="3" t="n">
        <v>0</v>
      </c>
      <c r="D503" s="3" t="n">
        <v>17</v>
      </c>
      <c r="E503" s="3" t="n">
        <v>25</v>
      </c>
      <c r="F503" s="24" t="n">
        <v>-0.424212962</v>
      </c>
    </row>
    <row r="504" customFormat="false" ht="15" hidden="false" customHeight="false" outlineLevel="0" collapsed="false">
      <c r="A504" s="3" t="n">
        <v>503</v>
      </c>
      <c r="B504" s="3" t="n">
        <v>502</v>
      </c>
      <c r="C504" s="3" t="n">
        <v>0</v>
      </c>
      <c r="D504" s="3" t="n">
        <v>17</v>
      </c>
      <c r="E504" s="3" t="n">
        <v>26</v>
      </c>
      <c r="F504" s="24" t="n">
        <v>-0.424212962</v>
      </c>
    </row>
    <row r="505" customFormat="false" ht="15" hidden="false" customHeight="false" outlineLevel="0" collapsed="false">
      <c r="A505" s="3" t="n">
        <v>504</v>
      </c>
      <c r="B505" s="3" t="n">
        <v>503</v>
      </c>
      <c r="C505" s="3" t="n">
        <v>0</v>
      </c>
      <c r="D505" s="3" t="n">
        <v>17</v>
      </c>
      <c r="E505" s="3" t="n">
        <v>27</v>
      </c>
      <c r="F505" s="24" t="n">
        <v>-0.424212962</v>
      </c>
    </row>
    <row r="506" customFormat="false" ht="15" hidden="false" customHeight="false" outlineLevel="0" collapsed="false">
      <c r="A506" s="3" t="n">
        <v>505</v>
      </c>
      <c r="B506" s="3" t="n">
        <v>504</v>
      </c>
      <c r="C506" s="3" t="n">
        <v>0</v>
      </c>
      <c r="D506" s="3" t="n">
        <v>18</v>
      </c>
      <c r="E506" s="3" t="n">
        <v>0</v>
      </c>
      <c r="F506" s="24" t="n">
        <v>-0.424212962</v>
      </c>
    </row>
    <row r="507" customFormat="false" ht="15" hidden="false" customHeight="false" outlineLevel="0" collapsed="false">
      <c r="A507" s="3" t="n">
        <v>506</v>
      </c>
      <c r="B507" s="3" t="n">
        <v>505</v>
      </c>
      <c r="C507" s="3" t="n">
        <v>0</v>
      </c>
      <c r="D507" s="3" t="n">
        <v>18</v>
      </c>
      <c r="E507" s="3" t="n">
        <v>1</v>
      </c>
      <c r="F507" s="24" t="n">
        <v>-0.424212962</v>
      </c>
    </row>
    <row r="508" customFormat="false" ht="15" hidden="false" customHeight="false" outlineLevel="0" collapsed="false">
      <c r="A508" s="3" t="n">
        <v>507</v>
      </c>
      <c r="B508" s="3" t="n">
        <v>506</v>
      </c>
      <c r="C508" s="3" t="n">
        <v>0</v>
      </c>
      <c r="D508" s="3" t="n">
        <v>18</v>
      </c>
      <c r="E508" s="3" t="n">
        <v>2</v>
      </c>
      <c r="F508" s="24" t="n">
        <v>-0.424212962</v>
      </c>
    </row>
    <row r="509" customFormat="false" ht="15" hidden="false" customHeight="false" outlineLevel="0" collapsed="false">
      <c r="A509" s="3" t="n">
        <v>508</v>
      </c>
      <c r="B509" s="3" t="n">
        <v>507</v>
      </c>
      <c r="C509" s="3" t="n">
        <v>0</v>
      </c>
      <c r="D509" s="3" t="n">
        <v>18</v>
      </c>
      <c r="E509" s="3" t="n">
        <v>3</v>
      </c>
      <c r="F509" s="24" t="n">
        <v>-0.424212962</v>
      </c>
    </row>
    <row r="510" customFormat="false" ht="15" hidden="false" customHeight="false" outlineLevel="0" collapsed="false">
      <c r="A510" s="3" t="n">
        <v>509</v>
      </c>
      <c r="B510" s="3" t="n">
        <v>508</v>
      </c>
      <c r="C510" s="3" t="n">
        <v>0</v>
      </c>
      <c r="D510" s="3" t="n">
        <v>18</v>
      </c>
      <c r="E510" s="3" t="n">
        <v>4</v>
      </c>
      <c r="F510" s="24" t="n">
        <v>-0.424212962</v>
      </c>
    </row>
    <row r="511" customFormat="false" ht="15" hidden="false" customHeight="false" outlineLevel="0" collapsed="false">
      <c r="A511" s="3" t="n">
        <v>510</v>
      </c>
      <c r="B511" s="3" t="n">
        <v>509</v>
      </c>
      <c r="C511" s="3" t="n">
        <v>0</v>
      </c>
      <c r="D511" s="3" t="n">
        <v>18</v>
      </c>
      <c r="E511" s="3" t="n">
        <v>5</v>
      </c>
      <c r="F511" s="24" t="n">
        <v>-0.424212962</v>
      </c>
    </row>
    <row r="512" customFormat="false" ht="15" hidden="false" customHeight="false" outlineLevel="0" collapsed="false">
      <c r="A512" s="3" t="n">
        <v>511</v>
      </c>
      <c r="B512" s="3" t="n">
        <v>510</v>
      </c>
      <c r="C512" s="3" t="n">
        <v>0</v>
      </c>
      <c r="D512" s="3" t="n">
        <v>18</v>
      </c>
      <c r="E512" s="3" t="n">
        <v>6</v>
      </c>
      <c r="F512" s="24" t="n">
        <v>-0.424212962</v>
      </c>
    </row>
    <row r="513" customFormat="false" ht="15" hidden="false" customHeight="false" outlineLevel="0" collapsed="false">
      <c r="A513" s="3" t="n">
        <v>512</v>
      </c>
      <c r="B513" s="3" t="n">
        <v>511</v>
      </c>
      <c r="C513" s="3" t="n">
        <v>0</v>
      </c>
      <c r="D513" s="3" t="n">
        <v>18</v>
      </c>
      <c r="E513" s="3" t="n">
        <v>7</v>
      </c>
      <c r="F513" s="24" t="n">
        <v>-0.424212962</v>
      </c>
    </row>
    <row r="514" customFormat="false" ht="15" hidden="false" customHeight="false" outlineLevel="0" collapsed="false">
      <c r="A514" s="3" t="n">
        <v>513</v>
      </c>
      <c r="B514" s="3" t="n">
        <v>512</v>
      </c>
      <c r="C514" s="3" t="n">
        <v>0</v>
      </c>
      <c r="D514" s="3" t="n">
        <v>18</v>
      </c>
      <c r="E514" s="3" t="n">
        <v>8</v>
      </c>
      <c r="F514" s="24" t="n">
        <v>-0.424212962</v>
      </c>
    </row>
    <row r="515" customFormat="false" ht="15" hidden="false" customHeight="false" outlineLevel="0" collapsed="false">
      <c r="A515" s="3" t="n">
        <v>514</v>
      </c>
      <c r="B515" s="3" t="n">
        <v>513</v>
      </c>
      <c r="C515" s="3" t="n">
        <v>0</v>
      </c>
      <c r="D515" s="3" t="n">
        <v>18</v>
      </c>
      <c r="E515" s="3" t="n">
        <v>9</v>
      </c>
      <c r="F515" s="24" t="n">
        <v>-0.424212962</v>
      </c>
    </row>
    <row r="516" customFormat="false" ht="15" hidden="false" customHeight="false" outlineLevel="0" collapsed="false">
      <c r="A516" s="3" t="n">
        <v>515</v>
      </c>
      <c r="B516" s="3" t="n">
        <v>514</v>
      </c>
      <c r="C516" s="3" t="n">
        <v>0</v>
      </c>
      <c r="D516" s="3" t="n">
        <v>18</v>
      </c>
      <c r="E516" s="3" t="n">
        <v>10</v>
      </c>
      <c r="F516" s="24" t="n">
        <v>-0.424212962</v>
      </c>
    </row>
    <row r="517" customFormat="false" ht="15" hidden="false" customHeight="false" outlineLevel="0" collapsed="false">
      <c r="A517" s="3" t="n">
        <v>516</v>
      </c>
      <c r="B517" s="3" t="n">
        <v>515</v>
      </c>
      <c r="C517" s="3" t="n">
        <v>0</v>
      </c>
      <c r="D517" s="3" t="n">
        <v>18</v>
      </c>
      <c r="E517" s="3" t="n">
        <v>11</v>
      </c>
      <c r="F517" s="24" t="n">
        <v>-0.424212962</v>
      </c>
    </row>
    <row r="518" customFormat="false" ht="15" hidden="false" customHeight="false" outlineLevel="0" collapsed="false">
      <c r="A518" s="3" t="n">
        <v>517</v>
      </c>
      <c r="B518" s="3" t="n">
        <v>516</v>
      </c>
      <c r="C518" s="3" t="n">
        <v>0</v>
      </c>
      <c r="D518" s="3" t="n">
        <v>18</v>
      </c>
      <c r="E518" s="3" t="n">
        <v>12</v>
      </c>
      <c r="F518" s="24" t="n">
        <v>-0.424212962</v>
      </c>
    </row>
    <row r="519" customFormat="false" ht="15" hidden="false" customHeight="false" outlineLevel="0" collapsed="false">
      <c r="A519" s="3" t="n">
        <v>518</v>
      </c>
      <c r="B519" s="3" t="n">
        <v>517</v>
      </c>
      <c r="C519" s="3" t="n">
        <v>0</v>
      </c>
      <c r="D519" s="3" t="n">
        <v>18</v>
      </c>
      <c r="E519" s="3" t="n">
        <v>13</v>
      </c>
      <c r="F519" s="24" t="n">
        <v>-0.424212962</v>
      </c>
    </row>
    <row r="520" customFormat="false" ht="15" hidden="false" customHeight="false" outlineLevel="0" collapsed="false">
      <c r="A520" s="3" t="n">
        <v>519</v>
      </c>
      <c r="B520" s="3" t="n">
        <v>518</v>
      </c>
      <c r="C520" s="3" t="n">
        <v>0</v>
      </c>
      <c r="D520" s="3" t="n">
        <v>18</v>
      </c>
      <c r="E520" s="3" t="n">
        <v>14</v>
      </c>
      <c r="F520" s="24" t="n">
        <v>0.530404627</v>
      </c>
    </row>
    <row r="521" customFormat="false" ht="15" hidden="false" customHeight="false" outlineLevel="0" collapsed="false">
      <c r="A521" s="3" t="n">
        <v>520</v>
      </c>
      <c r="B521" s="3" t="n">
        <v>519</v>
      </c>
      <c r="C521" s="3" t="n">
        <v>0</v>
      </c>
      <c r="D521" s="3" t="n">
        <v>18</v>
      </c>
      <c r="E521" s="3" t="n">
        <v>15</v>
      </c>
      <c r="F521" s="24" t="n">
        <v>2.77057385</v>
      </c>
    </row>
    <row r="522" customFormat="false" ht="15" hidden="false" customHeight="false" outlineLevel="0" collapsed="false">
      <c r="A522" s="3" t="n">
        <v>521</v>
      </c>
      <c r="B522" s="3" t="n">
        <v>520</v>
      </c>
      <c r="C522" s="3" t="n">
        <v>0</v>
      </c>
      <c r="D522" s="3" t="n">
        <v>18</v>
      </c>
      <c r="E522" s="3" t="n">
        <v>16</v>
      </c>
      <c r="F522" s="24" t="n">
        <v>2.63056326</v>
      </c>
    </row>
    <row r="523" customFormat="false" ht="15" hidden="false" customHeight="false" outlineLevel="0" collapsed="false">
      <c r="A523" s="3" t="n">
        <v>522</v>
      </c>
      <c r="B523" s="3" t="n">
        <v>521</v>
      </c>
      <c r="C523" s="3" t="n">
        <v>0</v>
      </c>
      <c r="D523" s="3" t="n">
        <v>18</v>
      </c>
      <c r="E523" s="3" t="n">
        <v>17</v>
      </c>
      <c r="F523" s="24" t="n">
        <v>0.301296353</v>
      </c>
    </row>
    <row r="524" customFormat="false" ht="15" hidden="false" customHeight="false" outlineLevel="0" collapsed="false">
      <c r="A524" s="3" t="n">
        <v>523</v>
      </c>
      <c r="B524" s="3" t="n">
        <v>522</v>
      </c>
      <c r="C524" s="3" t="n">
        <v>0</v>
      </c>
      <c r="D524" s="3" t="n">
        <v>18</v>
      </c>
      <c r="E524" s="3" t="n">
        <v>18</v>
      </c>
      <c r="F524" s="24" t="n">
        <v>-0.424212962</v>
      </c>
    </row>
    <row r="525" customFormat="false" ht="15" hidden="false" customHeight="false" outlineLevel="0" collapsed="false">
      <c r="A525" s="3" t="n">
        <v>524</v>
      </c>
      <c r="B525" s="3" t="n">
        <v>523</v>
      </c>
      <c r="C525" s="3" t="n">
        <v>0</v>
      </c>
      <c r="D525" s="3" t="n">
        <v>18</v>
      </c>
      <c r="E525" s="3" t="n">
        <v>19</v>
      </c>
      <c r="F525" s="24" t="n">
        <v>-0.424212962</v>
      </c>
    </row>
    <row r="526" customFormat="false" ht="15" hidden="false" customHeight="false" outlineLevel="0" collapsed="false">
      <c r="A526" s="3" t="n">
        <v>525</v>
      </c>
      <c r="B526" s="3" t="n">
        <v>524</v>
      </c>
      <c r="C526" s="3" t="n">
        <v>0</v>
      </c>
      <c r="D526" s="3" t="n">
        <v>18</v>
      </c>
      <c r="E526" s="3" t="n">
        <v>20</v>
      </c>
      <c r="F526" s="24" t="n">
        <v>-0.424212962</v>
      </c>
    </row>
    <row r="527" customFormat="false" ht="15" hidden="false" customHeight="false" outlineLevel="0" collapsed="false">
      <c r="A527" s="3" t="n">
        <v>526</v>
      </c>
      <c r="B527" s="3" t="n">
        <v>525</v>
      </c>
      <c r="C527" s="3" t="n">
        <v>0</v>
      </c>
      <c r="D527" s="3" t="n">
        <v>18</v>
      </c>
      <c r="E527" s="3" t="n">
        <v>21</v>
      </c>
      <c r="F527" s="24" t="n">
        <v>-0.424212962</v>
      </c>
    </row>
    <row r="528" customFormat="false" ht="15" hidden="false" customHeight="false" outlineLevel="0" collapsed="false">
      <c r="A528" s="3" t="n">
        <v>527</v>
      </c>
      <c r="B528" s="3" t="n">
        <v>526</v>
      </c>
      <c r="C528" s="3" t="n">
        <v>0</v>
      </c>
      <c r="D528" s="3" t="n">
        <v>18</v>
      </c>
      <c r="E528" s="3" t="n">
        <v>22</v>
      </c>
      <c r="F528" s="24" t="n">
        <v>-0.424212962</v>
      </c>
    </row>
    <row r="529" customFormat="false" ht="15" hidden="false" customHeight="false" outlineLevel="0" collapsed="false">
      <c r="A529" s="3" t="n">
        <v>528</v>
      </c>
      <c r="B529" s="3" t="n">
        <v>527</v>
      </c>
      <c r="C529" s="3" t="n">
        <v>0</v>
      </c>
      <c r="D529" s="3" t="n">
        <v>18</v>
      </c>
      <c r="E529" s="3" t="n">
        <v>23</v>
      </c>
      <c r="F529" s="24" t="n">
        <v>-0.424212962</v>
      </c>
    </row>
    <row r="530" customFormat="false" ht="15" hidden="false" customHeight="false" outlineLevel="0" collapsed="false">
      <c r="A530" s="3" t="n">
        <v>529</v>
      </c>
      <c r="B530" s="3" t="n">
        <v>528</v>
      </c>
      <c r="C530" s="3" t="n">
        <v>0</v>
      </c>
      <c r="D530" s="3" t="n">
        <v>18</v>
      </c>
      <c r="E530" s="3" t="n">
        <v>24</v>
      </c>
      <c r="F530" s="24" t="n">
        <v>-0.424212962</v>
      </c>
    </row>
    <row r="531" customFormat="false" ht="15" hidden="false" customHeight="false" outlineLevel="0" collapsed="false">
      <c r="A531" s="3" t="n">
        <v>530</v>
      </c>
      <c r="B531" s="3" t="n">
        <v>529</v>
      </c>
      <c r="C531" s="3" t="n">
        <v>0</v>
      </c>
      <c r="D531" s="3" t="n">
        <v>18</v>
      </c>
      <c r="E531" s="3" t="n">
        <v>25</v>
      </c>
      <c r="F531" s="24" t="n">
        <v>-0.424212962</v>
      </c>
    </row>
    <row r="532" customFormat="false" ht="15" hidden="false" customHeight="false" outlineLevel="0" collapsed="false">
      <c r="A532" s="3" t="n">
        <v>531</v>
      </c>
      <c r="B532" s="3" t="n">
        <v>530</v>
      </c>
      <c r="C532" s="3" t="n">
        <v>0</v>
      </c>
      <c r="D532" s="3" t="n">
        <v>18</v>
      </c>
      <c r="E532" s="3" t="n">
        <v>26</v>
      </c>
      <c r="F532" s="24" t="n">
        <v>-0.424212962</v>
      </c>
    </row>
    <row r="533" customFormat="false" ht="15" hidden="false" customHeight="false" outlineLevel="0" collapsed="false">
      <c r="A533" s="3" t="n">
        <v>532</v>
      </c>
      <c r="B533" s="3" t="n">
        <v>531</v>
      </c>
      <c r="C533" s="3" t="n">
        <v>0</v>
      </c>
      <c r="D533" s="3" t="n">
        <v>18</v>
      </c>
      <c r="E533" s="3" t="n">
        <v>27</v>
      </c>
      <c r="F533" s="24" t="n">
        <v>-0.424212962</v>
      </c>
    </row>
    <row r="534" customFormat="false" ht="15" hidden="false" customHeight="false" outlineLevel="0" collapsed="false">
      <c r="A534" s="3" t="n">
        <v>533</v>
      </c>
      <c r="B534" s="3" t="n">
        <v>532</v>
      </c>
      <c r="C534" s="3" t="n">
        <v>0</v>
      </c>
      <c r="D534" s="3" t="n">
        <v>19</v>
      </c>
      <c r="E534" s="3" t="n">
        <v>0</v>
      </c>
      <c r="F534" s="24" t="n">
        <v>-0.424212962</v>
      </c>
    </row>
    <row r="535" customFormat="false" ht="15" hidden="false" customHeight="false" outlineLevel="0" collapsed="false">
      <c r="A535" s="3" t="n">
        <v>534</v>
      </c>
      <c r="B535" s="3" t="n">
        <v>533</v>
      </c>
      <c r="C535" s="3" t="n">
        <v>0</v>
      </c>
      <c r="D535" s="3" t="n">
        <v>19</v>
      </c>
      <c r="E535" s="3" t="n">
        <v>1</v>
      </c>
      <c r="F535" s="24" t="n">
        <v>-0.424212962</v>
      </c>
    </row>
    <row r="536" customFormat="false" ht="15" hidden="false" customHeight="false" outlineLevel="0" collapsed="false">
      <c r="A536" s="3" t="n">
        <v>535</v>
      </c>
      <c r="B536" s="3" t="n">
        <v>534</v>
      </c>
      <c r="C536" s="3" t="n">
        <v>0</v>
      </c>
      <c r="D536" s="3" t="n">
        <v>19</v>
      </c>
      <c r="E536" s="3" t="n">
        <v>2</v>
      </c>
      <c r="F536" s="24" t="n">
        <v>-0.424212962</v>
      </c>
    </row>
    <row r="537" customFormat="false" ht="15" hidden="false" customHeight="false" outlineLevel="0" collapsed="false">
      <c r="A537" s="3" t="n">
        <v>536</v>
      </c>
      <c r="B537" s="3" t="n">
        <v>535</v>
      </c>
      <c r="C537" s="3" t="n">
        <v>0</v>
      </c>
      <c r="D537" s="3" t="n">
        <v>19</v>
      </c>
      <c r="E537" s="3" t="n">
        <v>3</v>
      </c>
      <c r="F537" s="24" t="n">
        <v>-0.424212962</v>
      </c>
    </row>
    <row r="538" customFormat="false" ht="15" hidden="false" customHeight="false" outlineLevel="0" collapsed="false">
      <c r="A538" s="3" t="n">
        <v>537</v>
      </c>
      <c r="B538" s="3" t="n">
        <v>536</v>
      </c>
      <c r="C538" s="3" t="n">
        <v>0</v>
      </c>
      <c r="D538" s="3" t="n">
        <v>19</v>
      </c>
      <c r="E538" s="3" t="n">
        <v>4</v>
      </c>
      <c r="F538" s="24" t="n">
        <v>-0.424212962</v>
      </c>
    </row>
    <row r="539" customFormat="false" ht="15" hidden="false" customHeight="false" outlineLevel="0" collapsed="false">
      <c r="A539" s="3" t="n">
        <v>538</v>
      </c>
      <c r="B539" s="3" t="n">
        <v>537</v>
      </c>
      <c r="C539" s="3" t="n">
        <v>0</v>
      </c>
      <c r="D539" s="3" t="n">
        <v>19</v>
      </c>
      <c r="E539" s="3" t="n">
        <v>5</v>
      </c>
      <c r="F539" s="24" t="n">
        <v>-0.424212962</v>
      </c>
    </row>
    <row r="540" customFormat="false" ht="15" hidden="false" customHeight="false" outlineLevel="0" collapsed="false">
      <c r="A540" s="3" t="n">
        <v>539</v>
      </c>
      <c r="B540" s="3" t="n">
        <v>538</v>
      </c>
      <c r="C540" s="3" t="n">
        <v>0</v>
      </c>
      <c r="D540" s="3" t="n">
        <v>19</v>
      </c>
      <c r="E540" s="3" t="n">
        <v>6</v>
      </c>
      <c r="F540" s="24" t="n">
        <v>-0.424212962</v>
      </c>
    </row>
    <row r="541" customFormat="false" ht="15" hidden="false" customHeight="false" outlineLevel="0" collapsed="false">
      <c r="A541" s="3" t="n">
        <v>540</v>
      </c>
      <c r="B541" s="3" t="n">
        <v>539</v>
      </c>
      <c r="C541" s="3" t="n">
        <v>0</v>
      </c>
      <c r="D541" s="3" t="n">
        <v>19</v>
      </c>
      <c r="E541" s="3" t="n">
        <v>7</v>
      </c>
      <c r="F541" s="24" t="n">
        <v>-0.424212962</v>
      </c>
    </row>
    <row r="542" customFormat="false" ht="15" hidden="false" customHeight="false" outlineLevel="0" collapsed="false">
      <c r="A542" s="3" t="n">
        <v>541</v>
      </c>
      <c r="B542" s="3" t="n">
        <v>540</v>
      </c>
      <c r="C542" s="3" t="n">
        <v>0</v>
      </c>
      <c r="D542" s="3" t="n">
        <v>19</v>
      </c>
      <c r="E542" s="3" t="n">
        <v>8</v>
      </c>
      <c r="F542" s="24" t="n">
        <v>-0.424212962</v>
      </c>
    </row>
    <row r="543" customFormat="false" ht="15" hidden="false" customHeight="false" outlineLevel="0" collapsed="false">
      <c r="A543" s="3" t="n">
        <v>542</v>
      </c>
      <c r="B543" s="3" t="n">
        <v>541</v>
      </c>
      <c r="C543" s="3" t="n">
        <v>0</v>
      </c>
      <c r="D543" s="3" t="n">
        <v>19</v>
      </c>
      <c r="E543" s="3" t="n">
        <v>9</v>
      </c>
      <c r="F543" s="24" t="n">
        <v>-0.424212962</v>
      </c>
    </row>
    <row r="544" customFormat="false" ht="15" hidden="false" customHeight="false" outlineLevel="0" collapsed="false">
      <c r="A544" s="3" t="n">
        <v>543</v>
      </c>
      <c r="B544" s="3" t="n">
        <v>542</v>
      </c>
      <c r="C544" s="3" t="n">
        <v>0</v>
      </c>
      <c r="D544" s="3" t="n">
        <v>19</v>
      </c>
      <c r="E544" s="3" t="n">
        <v>10</v>
      </c>
      <c r="F544" s="24" t="n">
        <v>-0.424212962</v>
      </c>
    </row>
    <row r="545" customFormat="false" ht="15" hidden="false" customHeight="false" outlineLevel="0" collapsed="false">
      <c r="A545" s="3" t="n">
        <v>544</v>
      </c>
      <c r="B545" s="3" t="n">
        <v>543</v>
      </c>
      <c r="C545" s="3" t="n">
        <v>0</v>
      </c>
      <c r="D545" s="3" t="n">
        <v>19</v>
      </c>
      <c r="E545" s="3" t="n">
        <v>11</v>
      </c>
      <c r="F545" s="24" t="n">
        <v>-0.424212962</v>
      </c>
    </row>
    <row r="546" customFormat="false" ht="15" hidden="false" customHeight="false" outlineLevel="0" collapsed="false">
      <c r="A546" s="3" t="n">
        <v>545</v>
      </c>
      <c r="B546" s="3" t="n">
        <v>544</v>
      </c>
      <c r="C546" s="3" t="n">
        <v>0</v>
      </c>
      <c r="D546" s="3" t="n">
        <v>19</v>
      </c>
      <c r="E546" s="3" t="n">
        <v>12</v>
      </c>
      <c r="F546" s="24" t="n">
        <v>-0.424212962</v>
      </c>
    </row>
    <row r="547" customFormat="false" ht="15" hidden="false" customHeight="false" outlineLevel="0" collapsed="false">
      <c r="A547" s="3" t="n">
        <v>546</v>
      </c>
      <c r="B547" s="3" t="n">
        <v>545</v>
      </c>
      <c r="C547" s="3" t="n">
        <v>0</v>
      </c>
      <c r="D547" s="3" t="n">
        <v>19</v>
      </c>
      <c r="E547" s="3" t="n">
        <v>13</v>
      </c>
      <c r="F547" s="24" t="n">
        <v>-0.182376504</v>
      </c>
    </row>
    <row r="548" customFormat="false" ht="15" hidden="false" customHeight="false" outlineLevel="0" collapsed="false">
      <c r="A548" s="3" t="n">
        <v>547</v>
      </c>
      <c r="B548" s="3" t="n">
        <v>546</v>
      </c>
      <c r="C548" s="3" t="n">
        <v>0</v>
      </c>
      <c r="D548" s="3" t="n">
        <v>19</v>
      </c>
      <c r="E548" s="3" t="n">
        <v>14</v>
      </c>
      <c r="F548" s="24" t="n">
        <v>2.38872671</v>
      </c>
    </row>
    <row r="549" customFormat="false" ht="15" hidden="false" customHeight="false" outlineLevel="0" collapsed="false">
      <c r="A549" s="3" t="n">
        <v>548</v>
      </c>
      <c r="B549" s="3" t="n">
        <v>547</v>
      </c>
      <c r="C549" s="3" t="n">
        <v>0</v>
      </c>
      <c r="D549" s="3" t="n">
        <v>19</v>
      </c>
      <c r="E549" s="3" t="n">
        <v>15</v>
      </c>
      <c r="F549" s="24" t="n">
        <v>2.8087585</v>
      </c>
    </row>
    <row r="550" customFormat="false" ht="15" hidden="false" customHeight="false" outlineLevel="0" collapsed="false">
      <c r="A550" s="3" t="n">
        <v>549</v>
      </c>
      <c r="B550" s="3" t="n">
        <v>548</v>
      </c>
      <c r="C550" s="3" t="n">
        <v>0</v>
      </c>
      <c r="D550" s="3" t="n">
        <v>19</v>
      </c>
      <c r="E550" s="3" t="n">
        <v>16</v>
      </c>
      <c r="F550" s="24" t="n">
        <v>1.68867397</v>
      </c>
    </row>
    <row r="551" customFormat="false" ht="15" hidden="false" customHeight="false" outlineLevel="0" collapsed="false">
      <c r="A551" s="3" t="n">
        <v>550</v>
      </c>
      <c r="B551" s="3" t="n">
        <v>549</v>
      </c>
      <c r="C551" s="3" t="n">
        <v>0</v>
      </c>
      <c r="D551" s="3" t="n">
        <v>19</v>
      </c>
      <c r="E551" s="3" t="n">
        <v>17</v>
      </c>
      <c r="F551" s="24" t="n">
        <v>-0.424212962</v>
      </c>
    </row>
    <row r="552" customFormat="false" ht="15" hidden="false" customHeight="false" outlineLevel="0" collapsed="false">
      <c r="A552" s="3" t="n">
        <v>551</v>
      </c>
      <c r="B552" s="3" t="n">
        <v>550</v>
      </c>
      <c r="C552" s="3" t="n">
        <v>0</v>
      </c>
      <c r="D552" s="3" t="n">
        <v>19</v>
      </c>
      <c r="E552" s="3" t="n">
        <v>18</v>
      </c>
      <c r="F552" s="24" t="n">
        <v>-0.424212962</v>
      </c>
    </row>
    <row r="553" customFormat="false" ht="15" hidden="false" customHeight="false" outlineLevel="0" collapsed="false">
      <c r="A553" s="3" t="n">
        <v>552</v>
      </c>
      <c r="B553" s="3" t="n">
        <v>551</v>
      </c>
      <c r="C553" s="3" t="n">
        <v>0</v>
      </c>
      <c r="D553" s="3" t="n">
        <v>19</v>
      </c>
      <c r="E553" s="3" t="n">
        <v>19</v>
      </c>
      <c r="F553" s="24" t="n">
        <v>-0.424212962</v>
      </c>
    </row>
    <row r="554" customFormat="false" ht="15" hidden="false" customHeight="false" outlineLevel="0" collapsed="false">
      <c r="A554" s="3" t="n">
        <v>553</v>
      </c>
      <c r="B554" s="3" t="n">
        <v>552</v>
      </c>
      <c r="C554" s="3" t="n">
        <v>0</v>
      </c>
      <c r="D554" s="3" t="n">
        <v>19</v>
      </c>
      <c r="E554" s="3" t="n">
        <v>20</v>
      </c>
      <c r="F554" s="24" t="n">
        <v>-0.424212962</v>
      </c>
    </row>
    <row r="555" customFormat="false" ht="15" hidden="false" customHeight="false" outlineLevel="0" collapsed="false">
      <c r="A555" s="3" t="n">
        <v>554</v>
      </c>
      <c r="B555" s="3" t="n">
        <v>553</v>
      </c>
      <c r="C555" s="3" t="n">
        <v>0</v>
      </c>
      <c r="D555" s="3" t="n">
        <v>19</v>
      </c>
      <c r="E555" s="3" t="n">
        <v>21</v>
      </c>
      <c r="F555" s="24" t="n">
        <v>-0.424212962</v>
      </c>
    </row>
    <row r="556" customFormat="false" ht="15" hidden="false" customHeight="false" outlineLevel="0" collapsed="false">
      <c r="A556" s="3" t="n">
        <v>555</v>
      </c>
      <c r="B556" s="3" t="n">
        <v>554</v>
      </c>
      <c r="C556" s="3" t="n">
        <v>0</v>
      </c>
      <c r="D556" s="3" t="n">
        <v>19</v>
      </c>
      <c r="E556" s="3" t="n">
        <v>22</v>
      </c>
      <c r="F556" s="24" t="n">
        <v>-0.424212962</v>
      </c>
    </row>
    <row r="557" customFormat="false" ht="15" hidden="false" customHeight="false" outlineLevel="0" collapsed="false">
      <c r="A557" s="3" t="n">
        <v>556</v>
      </c>
      <c r="B557" s="3" t="n">
        <v>555</v>
      </c>
      <c r="C557" s="3" t="n">
        <v>0</v>
      </c>
      <c r="D557" s="3" t="n">
        <v>19</v>
      </c>
      <c r="E557" s="3" t="n">
        <v>23</v>
      </c>
      <c r="F557" s="24" t="n">
        <v>-0.424212962</v>
      </c>
    </row>
    <row r="558" customFormat="false" ht="15" hidden="false" customHeight="false" outlineLevel="0" collapsed="false">
      <c r="A558" s="3" t="n">
        <v>557</v>
      </c>
      <c r="B558" s="3" t="n">
        <v>556</v>
      </c>
      <c r="C558" s="3" t="n">
        <v>0</v>
      </c>
      <c r="D558" s="3" t="n">
        <v>19</v>
      </c>
      <c r="E558" s="3" t="n">
        <v>24</v>
      </c>
      <c r="F558" s="24" t="n">
        <v>-0.424212962</v>
      </c>
    </row>
    <row r="559" customFormat="false" ht="15" hidden="false" customHeight="false" outlineLevel="0" collapsed="false">
      <c r="A559" s="3" t="n">
        <v>558</v>
      </c>
      <c r="B559" s="3" t="n">
        <v>557</v>
      </c>
      <c r="C559" s="3" t="n">
        <v>0</v>
      </c>
      <c r="D559" s="3" t="n">
        <v>19</v>
      </c>
      <c r="E559" s="3" t="n">
        <v>25</v>
      </c>
      <c r="F559" s="24" t="n">
        <v>-0.424212962</v>
      </c>
    </row>
    <row r="560" customFormat="false" ht="15" hidden="false" customHeight="false" outlineLevel="0" collapsed="false">
      <c r="A560" s="3" t="n">
        <v>559</v>
      </c>
      <c r="B560" s="3" t="n">
        <v>558</v>
      </c>
      <c r="C560" s="3" t="n">
        <v>0</v>
      </c>
      <c r="D560" s="3" t="n">
        <v>19</v>
      </c>
      <c r="E560" s="3" t="n">
        <v>26</v>
      </c>
      <c r="F560" s="24" t="n">
        <v>-0.424212962</v>
      </c>
    </row>
    <row r="561" customFormat="false" ht="15" hidden="false" customHeight="false" outlineLevel="0" collapsed="false">
      <c r="A561" s="3" t="n">
        <v>560</v>
      </c>
      <c r="B561" s="3" t="n">
        <v>559</v>
      </c>
      <c r="C561" s="3" t="n">
        <v>0</v>
      </c>
      <c r="D561" s="3" t="n">
        <v>19</v>
      </c>
      <c r="E561" s="3" t="n">
        <v>27</v>
      </c>
      <c r="F561" s="24" t="n">
        <v>-0.424212962</v>
      </c>
    </row>
    <row r="562" customFormat="false" ht="15" hidden="false" customHeight="false" outlineLevel="0" collapsed="false">
      <c r="A562" s="3" t="n">
        <v>561</v>
      </c>
      <c r="B562" s="3" t="n">
        <v>560</v>
      </c>
      <c r="C562" s="3" t="n">
        <v>0</v>
      </c>
      <c r="D562" s="3" t="n">
        <v>20</v>
      </c>
      <c r="E562" s="3" t="n">
        <v>0</v>
      </c>
      <c r="F562" s="24" t="n">
        <v>-0.424212962</v>
      </c>
    </row>
    <row r="563" customFormat="false" ht="15" hidden="false" customHeight="false" outlineLevel="0" collapsed="false">
      <c r="A563" s="3" t="n">
        <v>562</v>
      </c>
      <c r="B563" s="3" t="n">
        <v>561</v>
      </c>
      <c r="C563" s="3" t="n">
        <v>0</v>
      </c>
      <c r="D563" s="3" t="n">
        <v>20</v>
      </c>
      <c r="E563" s="3" t="n">
        <v>1</v>
      </c>
      <c r="F563" s="24" t="n">
        <v>-0.424212962</v>
      </c>
    </row>
    <row r="564" customFormat="false" ht="15" hidden="false" customHeight="false" outlineLevel="0" collapsed="false">
      <c r="A564" s="3" t="n">
        <v>563</v>
      </c>
      <c r="B564" s="3" t="n">
        <v>562</v>
      </c>
      <c r="C564" s="3" t="n">
        <v>0</v>
      </c>
      <c r="D564" s="3" t="n">
        <v>20</v>
      </c>
      <c r="E564" s="3" t="n">
        <v>2</v>
      </c>
      <c r="F564" s="24" t="n">
        <v>-0.424212962</v>
      </c>
    </row>
    <row r="565" customFormat="false" ht="15" hidden="false" customHeight="false" outlineLevel="0" collapsed="false">
      <c r="A565" s="3" t="n">
        <v>564</v>
      </c>
      <c r="B565" s="3" t="n">
        <v>563</v>
      </c>
      <c r="C565" s="3" t="n">
        <v>0</v>
      </c>
      <c r="D565" s="3" t="n">
        <v>20</v>
      </c>
      <c r="E565" s="3" t="n">
        <v>3</v>
      </c>
      <c r="F565" s="24" t="n">
        <v>-0.424212962</v>
      </c>
    </row>
    <row r="566" customFormat="false" ht="15" hidden="false" customHeight="false" outlineLevel="0" collapsed="false">
      <c r="A566" s="3" t="n">
        <v>565</v>
      </c>
      <c r="B566" s="3" t="n">
        <v>564</v>
      </c>
      <c r="C566" s="3" t="n">
        <v>0</v>
      </c>
      <c r="D566" s="3" t="n">
        <v>20</v>
      </c>
      <c r="E566" s="3" t="n">
        <v>4</v>
      </c>
      <c r="F566" s="24" t="n">
        <v>-0.424212962</v>
      </c>
    </row>
    <row r="567" customFormat="false" ht="15" hidden="false" customHeight="false" outlineLevel="0" collapsed="false">
      <c r="A567" s="3" t="n">
        <v>566</v>
      </c>
      <c r="B567" s="3" t="n">
        <v>565</v>
      </c>
      <c r="C567" s="3" t="n">
        <v>0</v>
      </c>
      <c r="D567" s="3" t="n">
        <v>20</v>
      </c>
      <c r="E567" s="3" t="n">
        <v>5</v>
      </c>
      <c r="F567" s="24" t="n">
        <v>-0.424212962</v>
      </c>
    </row>
    <row r="568" customFormat="false" ht="15" hidden="false" customHeight="false" outlineLevel="0" collapsed="false">
      <c r="A568" s="3" t="n">
        <v>567</v>
      </c>
      <c r="B568" s="3" t="n">
        <v>566</v>
      </c>
      <c r="C568" s="3" t="n">
        <v>0</v>
      </c>
      <c r="D568" s="3" t="n">
        <v>20</v>
      </c>
      <c r="E568" s="3" t="n">
        <v>6</v>
      </c>
      <c r="F568" s="24" t="n">
        <v>-0.424212962</v>
      </c>
    </row>
    <row r="569" customFormat="false" ht="15" hidden="false" customHeight="false" outlineLevel="0" collapsed="false">
      <c r="A569" s="3" t="n">
        <v>568</v>
      </c>
      <c r="B569" s="3" t="n">
        <v>567</v>
      </c>
      <c r="C569" s="3" t="n">
        <v>0</v>
      </c>
      <c r="D569" s="3" t="n">
        <v>20</v>
      </c>
      <c r="E569" s="3" t="n">
        <v>7</v>
      </c>
      <c r="F569" s="24" t="n">
        <v>-0.424212962</v>
      </c>
    </row>
    <row r="570" customFormat="false" ht="15" hidden="false" customHeight="false" outlineLevel="0" collapsed="false">
      <c r="A570" s="3" t="n">
        <v>569</v>
      </c>
      <c r="B570" s="3" t="n">
        <v>568</v>
      </c>
      <c r="C570" s="3" t="n">
        <v>0</v>
      </c>
      <c r="D570" s="3" t="n">
        <v>20</v>
      </c>
      <c r="E570" s="3" t="n">
        <v>8</v>
      </c>
      <c r="F570" s="24" t="n">
        <v>-0.424212962</v>
      </c>
    </row>
    <row r="571" customFormat="false" ht="15" hidden="false" customHeight="false" outlineLevel="0" collapsed="false">
      <c r="A571" s="3" t="n">
        <v>570</v>
      </c>
      <c r="B571" s="3" t="n">
        <v>569</v>
      </c>
      <c r="C571" s="3" t="n">
        <v>0</v>
      </c>
      <c r="D571" s="3" t="n">
        <v>20</v>
      </c>
      <c r="E571" s="3" t="n">
        <v>9</v>
      </c>
      <c r="F571" s="24" t="n">
        <v>-0.424212962</v>
      </c>
    </row>
    <row r="572" customFormat="false" ht="15" hidden="false" customHeight="false" outlineLevel="0" collapsed="false">
      <c r="A572" s="3" t="n">
        <v>571</v>
      </c>
      <c r="B572" s="3" t="n">
        <v>570</v>
      </c>
      <c r="C572" s="3" t="n">
        <v>0</v>
      </c>
      <c r="D572" s="3" t="n">
        <v>20</v>
      </c>
      <c r="E572" s="3" t="n">
        <v>10</v>
      </c>
      <c r="F572" s="24" t="n">
        <v>-0.424212962</v>
      </c>
    </row>
    <row r="573" customFormat="false" ht="15" hidden="false" customHeight="false" outlineLevel="0" collapsed="false">
      <c r="A573" s="3" t="n">
        <v>572</v>
      </c>
      <c r="B573" s="3" t="n">
        <v>571</v>
      </c>
      <c r="C573" s="3" t="n">
        <v>0</v>
      </c>
      <c r="D573" s="3" t="n">
        <v>20</v>
      </c>
      <c r="E573" s="3" t="n">
        <v>11</v>
      </c>
      <c r="F573" s="24" t="n">
        <v>-0.424212962</v>
      </c>
    </row>
    <row r="574" customFormat="false" ht="15" hidden="false" customHeight="false" outlineLevel="0" collapsed="false">
      <c r="A574" s="3" t="n">
        <v>573</v>
      </c>
      <c r="B574" s="3" t="n">
        <v>572</v>
      </c>
      <c r="C574" s="3" t="n">
        <v>0</v>
      </c>
      <c r="D574" s="3" t="n">
        <v>20</v>
      </c>
      <c r="E574" s="3" t="n">
        <v>12</v>
      </c>
      <c r="F574" s="24" t="n">
        <v>-0.38602826</v>
      </c>
    </row>
    <row r="575" customFormat="false" ht="15" hidden="false" customHeight="false" outlineLevel="0" collapsed="false">
      <c r="A575" s="3" t="n">
        <v>574</v>
      </c>
      <c r="B575" s="3" t="n">
        <v>573</v>
      </c>
      <c r="C575" s="3" t="n">
        <v>0</v>
      </c>
      <c r="D575" s="3" t="n">
        <v>20</v>
      </c>
      <c r="E575" s="3" t="n">
        <v>13</v>
      </c>
      <c r="F575" s="24" t="n">
        <v>2.15961862</v>
      </c>
    </row>
    <row r="576" customFormat="false" ht="15" hidden="false" customHeight="false" outlineLevel="0" collapsed="false">
      <c r="A576" s="3" t="n">
        <v>575</v>
      </c>
      <c r="B576" s="3" t="n">
        <v>574</v>
      </c>
      <c r="C576" s="3" t="n">
        <v>0</v>
      </c>
      <c r="D576" s="3" t="n">
        <v>20</v>
      </c>
      <c r="E576" s="3" t="n">
        <v>14</v>
      </c>
      <c r="F576" s="24" t="n">
        <v>2.8087585</v>
      </c>
    </row>
    <row r="577" customFormat="false" ht="15" hidden="false" customHeight="false" outlineLevel="0" collapsed="false">
      <c r="A577" s="3" t="n">
        <v>576</v>
      </c>
      <c r="B577" s="3" t="n">
        <v>575</v>
      </c>
      <c r="C577" s="3" t="n">
        <v>0</v>
      </c>
      <c r="D577" s="3" t="n">
        <v>20</v>
      </c>
      <c r="E577" s="3" t="n">
        <v>15</v>
      </c>
      <c r="F577" s="24" t="n">
        <v>2.36327028</v>
      </c>
    </row>
    <row r="578" customFormat="false" ht="15" hidden="false" customHeight="false" outlineLevel="0" collapsed="false">
      <c r="A578" s="3" t="n">
        <v>577</v>
      </c>
      <c r="B578" s="3" t="n">
        <v>576</v>
      </c>
      <c r="C578" s="3" t="n">
        <v>0</v>
      </c>
      <c r="D578" s="3" t="n">
        <v>20</v>
      </c>
      <c r="E578" s="3" t="n">
        <v>16</v>
      </c>
      <c r="F578" s="24" t="n">
        <v>0.0212752409</v>
      </c>
    </row>
    <row r="579" customFormat="false" ht="15" hidden="false" customHeight="false" outlineLevel="0" collapsed="false">
      <c r="A579" s="3" t="n">
        <v>578</v>
      </c>
      <c r="B579" s="3" t="n">
        <v>577</v>
      </c>
      <c r="C579" s="3" t="n">
        <v>0</v>
      </c>
      <c r="D579" s="3" t="n">
        <v>20</v>
      </c>
      <c r="E579" s="3" t="n">
        <v>17</v>
      </c>
      <c r="F579" s="24" t="n">
        <v>-0.424212962</v>
      </c>
    </row>
    <row r="580" customFormat="false" ht="15" hidden="false" customHeight="false" outlineLevel="0" collapsed="false">
      <c r="A580" s="3" t="n">
        <v>579</v>
      </c>
      <c r="B580" s="3" t="n">
        <v>578</v>
      </c>
      <c r="C580" s="3" t="n">
        <v>0</v>
      </c>
      <c r="D580" s="3" t="n">
        <v>20</v>
      </c>
      <c r="E580" s="3" t="n">
        <v>18</v>
      </c>
      <c r="F580" s="24" t="n">
        <v>-0.424212962</v>
      </c>
    </row>
    <row r="581" customFormat="false" ht="15" hidden="false" customHeight="false" outlineLevel="0" collapsed="false">
      <c r="A581" s="3" t="n">
        <v>580</v>
      </c>
      <c r="B581" s="3" t="n">
        <v>579</v>
      </c>
      <c r="C581" s="3" t="n">
        <v>0</v>
      </c>
      <c r="D581" s="3" t="n">
        <v>20</v>
      </c>
      <c r="E581" s="3" t="n">
        <v>19</v>
      </c>
      <c r="F581" s="24" t="n">
        <v>-0.424212962</v>
      </c>
    </row>
    <row r="582" customFormat="false" ht="15" hidden="false" customHeight="false" outlineLevel="0" collapsed="false">
      <c r="A582" s="3" t="n">
        <v>581</v>
      </c>
      <c r="B582" s="3" t="n">
        <v>580</v>
      </c>
      <c r="C582" s="3" t="n">
        <v>0</v>
      </c>
      <c r="D582" s="3" t="n">
        <v>20</v>
      </c>
      <c r="E582" s="3" t="n">
        <v>20</v>
      </c>
      <c r="F582" s="24" t="n">
        <v>-0.424212962</v>
      </c>
    </row>
    <row r="583" customFormat="false" ht="15" hidden="false" customHeight="false" outlineLevel="0" collapsed="false">
      <c r="A583" s="3" t="n">
        <v>582</v>
      </c>
      <c r="B583" s="3" t="n">
        <v>581</v>
      </c>
      <c r="C583" s="3" t="n">
        <v>0</v>
      </c>
      <c r="D583" s="3" t="n">
        <v>20</v>
      </c>
      <c r="E583" s="3" t="n">
        <v>21</v>
      </c>
      <c r="F583" s="24" t="n">
        <v>-0.424212962</v>
      </c>
    </row>
    <row r="584" customFormat="false" ht="15" hidden="false" customHeight="false" outlineLevel="0" collapsed="false">
      <c r="A584" s="3" t="n">
        <v>583</v>
      </c>
      <c r="B584" s="3" t="n">
        <v>582</v>
      </c>
      <c r="C584" s="3" t="n">
        <v>0</v>
      </c>
      <c r="D584" s="3" t="n">
        <v>20</v>
      </c>
      <c r="E584" s="3" t="n">
        <v>22</v>
      </c>
      <c r="F584" s="24" t="n">
        <v>-0.424212962</v>
      </c>
    </row>
    <row r="585" customFormat="false" ht="15" hidden="false" customHeight="false" outlineLevel="0" collapsed="false">
      <c r="A585" s="3" t="n">
        <v>584</v>
      </c>
      <c r="B585" s="3" t="n">
        <v>583</v>
      </c>
      <c r="C585" s="3" t="n">
        <v>0</v>
      </c>
      <c r="D585" s="3" t="n">
        <v>20</v>
      </c>
      <c r="E585" s="3" t="n">
        <v>23</v>
      </c>
      <c r="F585" s="24" t="n">
        <v>-0.424212962</v>
      </c>
    </row>
    <row r="586" customFormat="false" ht="15" hidden="false" customHeight="false" outlineLevel="0" collapsed="false">
      <c r="A586" s="3" t="n">
        <v>585</v>
      </c>
      <c r="B586" s="3" t="n">
        <v>584</v>
      </c>
      <c r="C586" s="3" t="n">
        <v>0</v>
      </c>
      <c r="D586" s="3" t="n">
        <v>20</v>
      </c>
      <c r="E586" s="3" t="n">
        <v>24</v>
      </c>
      <c r="F586" s="24" t="n">
        <v>-0.424212962</v>
      </c>
    </row>
    <row r="587" customFormat="false" ht="15" hidden="false" customHeight="false" outlineLevel="0" collapsed="false">
      <c r="A587" s="3" t="n">
        <v>586</v>
      </c>
      <c r="B587" s="3" t="n">
        <v>585</v>
      </c>
      <c r="C587" s="3" t="n">
        <v>0</v>
      </c>
      <c r="D587" s="3" t="n">
        <v>20</v>
      </c>
      <c r="E587" s="3" t="n">
        <v>25</v>
      </c>
      <c r="F587" s="24" t="n">
        <v>-0.424212962</v>
      </c>
    </row>
    <row r="588" customFormat="false" ht="15" hidden="false" customHeight="false" outlineLevel="0" collapsed="false">
      <c r="A588" s="3" t="n">
        <v>587</v>
      </c>
      <c r="B588" s="3" t="n">
        <v>586</v>
      </c>
      <c r="C588" s="3" t="n">
        <v>0</v>
      </c>
      <c r="D588" s="3" t="n">
        <v>20</v>
      </c>
      <c r="E588" s="3" t="n">
        <v>26</v>
      </c>
      <c r="F588" s="24" t="n">
        <v>-0.424212962</v>
      </c>
    </row>
    <row r="589" customFormat="false" ht="15" hidden="false" customHeight="false" outlineLevel="0" collapsed="false">
      <c r="A589" s="3" t="n">
        <v>588</v>
      </c>
      <c r="B589" s="3" t="n">
        <v>587</v>
      </c>
      <c r="C589" s="3" t="n">
        <v>0</v>
      </c>
      <c r="D589" s="3" t="n">
        <v>20</v>
      </c>
      <c r="E589" s="3" t="n">
        <v>27</v>
      </c>
      <c r="F589" s="24" t="n">
        <v>-0.424212962</v>
      </c>
    </row>
    <row r="590" customFormat="false" ht="15" hidden="false" customHeight="false" outlineLevel="0" collapsed="false">
      <c r="A590" s="3" t="n">
        <v>589</v>
      </c>
      <c r="B590" s="3" t="n">
        <v>588</v>
      </c>
      <c r="C590" s="3" t="n">
        <v>0</v>
      </c>
      <c r="D590" s="3" t="n">
        <v>21</v>
      </c>
      <c r="E590" s="3" t="n">
        <v>0</v>
      </c>
      <c r="F590" s="24" t="n">
        <v>-0.424212962</v>
      </c>
    </row>
    <row r="591" customFormat="false" ht="15" hidden="false" customHeight="false" outlineLevel="0" collapsed="false">
      <c r="A591" s="3" t="n">
        <v>590</v>
      </c>
      <c r="B591" s="3" t="n">
        <v>589</v>
      </c>
      <c r="C591" s="3" t="n">
        <v>0</v>
      </c>
      <c r="D591" s="3" t="n">
        <v>21</v>
      </c>
      <c r="E591" s="3" t="n">
        <v>1</v>
      </c>
      <c r="F591" s="24" t="n">
        <v>-0.424212962</v>
      </c>
    </row>
    <row r="592" customFormat="false" ht="15" hidden="false" customHeight="false" outlineLevel="0" collapsed="false">
      <c r="A592" s="3" t="n">
        <v>591</v>
      </c>
      <c r="B592" s="3" t="n">
        <v>590</v>
      </c>
      <c r="C592" s="3" t="n">
        <v>0</v>
      </c>
      <c r="D592" s="3" t="n">
        <v>21</v>
      </c>
      <c r="E592" s="3" t="n">
        <v>2</v>
      </c>
      <c r="F592" s="24" t="n">
        <v>-0.424212962</v>
      </c>
    </row>
    <row r="593" customFormat="false" ht="15" hidden="false" customHeight="false" outlineLevel="0" collapsed="false">
      <c r="A593" s="3" t="n">
        <v>592</v>
      </c>
      <c r="B593" s="3" t="n">
        <v>591</v>
      </c>
      <c r="C593" s="3" t="n">
        <v>0</v>
      </c>
      <c r="D593" s="3" t="n">
        <v>21</v>
      </c>
      <c r="E593" s="3" t="n">
        <v>3</v>
      </c>
      <c r="F593" s="24" t="n">
        <v>-0.424212962</v>
      </c>
    </row>
    <row r="594" customFormat="false" ht="15" hidden="false" customHeight="false" outlineLevel="0" collapsed="false">
      <c r="A594" s="3" t="n">
        <v>593</v>
      </c>
      <c r="B594" s="3" t="n">
        <v>592</v>
      </c>
      <c r="C594" s="3" t="n">
        <v>0</v>
      </c>
      <c r="D594" s="3" t="n">
        <v>21</v>
      </c>
      <c r="E594" s="3" t="n">
        <v>4</v>
      </c>
      <c r="F594" s="24" t="n">
        <v>-0.424212962</v>
      </c>
    </row>
    <row r="595" customFormat="false" ht="15" hidden="false" customHeight="false" outlineLevel="0" collapsed="false">
      <c r="A595" s="3" t="n">
        <v>594</v>
      </c>
      <c r="B595" s="3" t="n">
        <v>593</v>
      </c>
      <c r="C595" s="3" t="n">
        <v>0</v>
      </c>
      <c r="D595" s="3" t="n">
        <v>21</v>
      </c>
      <c r="E595" s="3" t="n">
        <v>5</v>
      </c>
      <c r="F595" s="24" t="n">
        <v>-0.424212962</v>
      </c>
    </row>
    <row r="596" customFormat="false" ht="15" hidden="false" customHeight="false" outlineLevel="0" collapsed="false">
      <c r="A596" s="3" t="n">
        <v>595</v>
      </c>
      <c r="B596" s="3" t="n">
        <v>594</v>
      </c>
      <c r="C596" s="3" t="n">
        <v>0</v>
      </c>
      <c r="D596" s="3" t="n">
        <v>21</v>
      </c>
      <c r="E596" s="3" t="n">
        <v>6</v>
      </c>
      <c r="F596" s="24" t="n">
        <v>-0.424212962</v>
      </c>
    </row>
    <row r="597" customFormat="false" ht="15" hidden="false" customHeight="false" outlineLevel="0" collapsed="false">
      <c r="A597" s="3" t="n">
        <v>596</v>
      </c>
      <c r="B597" s="3" t="n">
        <v>595</v>
      </c>
      <c r="C597" s="3" t="n">
        <v>0</v>
      </c>
      <c r="D597" s="3" t="n">
        <v>21</v>
      </c>
      <c r="E597" s="3" t="n">
        <v>7</v>
      </c>
      <c r="F597" s="24" t="n">
        <v>-0.424212962</v>
      </c>
    </row>
    <row r="598" customFormat="false" ht="15" hidden="false" customHeight="false" outlineLevel="0" collapsed="false">
      <c r="A598" s="3" t="n">
        <v>597</v>
      </c>
      <c r="B598" s="3" t="n">
        <v>596</v>
      </c>
      <c r="C598" s="3" t="n">
        <v>0</v>
      </c>
      <c r="D598" s="3" t="n">
        <v>21</v>
      </c>
      <c r="E598" s="3" t="n">
        <v>8</v>
      </c>
      <c r="F598" s="24" t="n">
        <v>-0.424212962</v>
      </c>
    </row>
    <row r="599" customFormat="false" ht="15" hidden="false" customHeight="false" outlineLevel="0" collapsed="false">
      <c r="A599" s="3" t="n">
        <v>598</v>
      </c>
      <c r="B599" s="3" t="n">
        <v>597</v>
      </c>
      <c r="C599" s="3" t="n">
        <v>0</v>
      </c>
      <c r="D599" s="3" t="n">
        <v>21</v>
      </c>
      <c r="E599" s="3" t="n">
        <v>9</v>
      </c>
      <c r="F599" s="24" t="n">
        <v>-0.424212962</v>
      </c>
    </row>
    <row r="600" customFormat="false" ht="15" hidden="false" customHeight="false" outlineLevel="0" collapsed="false">
      <c r="A600" s="3" t="n">
        <v>599</v>
      </c>
      <c r="B600" s="3" t="n">
        <v>598</v>
      </c>
      <c r="C600" s="3" t="n">
        <v>0</v>
      </c>
      <c r="D600" s="3" t="n">
        <v>21</v>
      </c>
      <c r="E600" s="3" t="n">
        <v>10</v>
      </c>
      <c r="F600" s="24" t="n">
        <v>-0.424212962</v>
      </c>
    </row>
    <row r="601" customFormat="false" ht="15" hidden="false" customHeight="false" outlineLevel="0" collapsed="false">
      <c r="A601" s="3" t="n">
        <v>600</v>
      </c>
      <c r="B601" s="3" t="n">
        <v>599</v>
      </c>
      <c r="C601" s="3" t="n">
        <v>0</v>
      </c>
      <c r="D601" s="3" t="n">
        <v>21</v>
      </c>
      <c r="E601" s="3" t="n">
        <v>11</v>
      </c>
      <c r="F601" s="24" t="n">
        <v>-0.424212962</v>
      </c>
    </row>
    <row r="602" customFormat="false" ht="15" hidden="false" customHeight="false" outlineLevel="0" collapsed="false">
      <c r="A602" s="3" t="n">
        <v>601</v>
      </c>
      <c r="B602" s="3" t="n">
        <v>600</v>
      </c>
      <c r="C602" s="3" t="n">
        <v>0</v>
      </c>
      <c r="D602" s="3" t="n">
        <v>21</v>
      </c>
      <c r="E602" s="3" t="n">
        <v>12</v>
      </c>
      <c r="F602" s="24" t="n">
        <v>0.0594599396</v>
      </c>
    </row>
    <row r="603" customFormat="false" ht="15" hidden="false" customHeight="false" outlineLevel="0" collapsed="false">
      <c r="A603" s="3" t="n">
        <v>602</v>
      </c>
      <c r="B603" s="3" t="n">
        <v>601</v>
      </c>
      <c r="C603" s="3" t="n">
        <v>0</v>
      </c>
      <c r="D603" s="3" t="n">
        <v>21</v>
      </c>
      <c r="E603" s="3" t="n">
        <v>13</v>
      </c>
      <c r="F603" s="24" t="n">
        <v>2.8087585</v>
      </c>
    </row>
    <row r="604" customFormat="false" ht="15" hidden="false" customHeight="false" outlineLevel="0" collapsed="false">
      <c r="A604" s="3" t="n">
        <v>603</v>
      </c>
      <c r="B604" s="3" t="n">
        <v>602</v>
      </c>
      <c r="C604" s="3" t="n">
        <v>0</v>
      </c>
      <c r="D604" s="3" t="n">
        <v>21</v>
      </c>
      <c r="E604" s="3" t="n">
        <v>14</v>
      </c>
      <c r="F604" s="24" t="n">
        <v>2.8087585</v>
      </c>
    </row>
    <row r="605" customFormat="false" ht="15" hidden="false" customHeight="false" outlineLevel="0" collapsed="false">
      <c r="A605" s="3" t="n">
        <v>604</v>
      </c>
      <c r="B605" s="3" t="n">
        <v>603</v>
      </c>
      <c r="C605" s="3" t="n">
        <v>0</v>
      </c>
      <c r="D605" s="3" t="n">
        <v>21</v>
      </c>
      <c r="E605" s="3" t="n">
        <v>15</v>
      </c>
      <c r="F605" s="24" t="n">
        <v>0.555861056</v>
      </c>
    </row>
    <row r="606" customFormat="false" ht="15" hidden="false" customHeight="false" outlineLevel="0" collapsed="false">
      <c r="A606" s="3" t="n">
        <v>605</v>
      </c>
      <c r="B606" s="3" t="n">
        <v>604</v>
      </c>
      <c r="C606" s="3" t="n">
        <v>0</v>
      </c>
      <c r="D606" s="3" t="n">
        <v>21</v>
      </c>
      <c r="E606" s="3" t="n">
        <v>16</v>
      </c>
      <c r="F606" s="24" t="n">
        <v>-0.424212962</v>
      </c>
    </row>
    <row r="607" customFormat="false" ht="15" hidden="false" customHeight="false" outlineLevel="0" collapsed="false">
      <c r="A607" s="3" t="n">
        <v>606</v>
      </c>
      <c r="B607" s="3" t="n">
        <v>605</v>
      </c>
      <c r="C607" s="3" t="n">
        <v>0</v>
      </c>
      <c r="D607" s="3" t="n">
        <v>21</v>
      </c>
      <c r="E607" s="3" t="n">
        <v>17</v>
      </c>
      <c r="F607" s="24" t="n">
        <v>-0.424212962</v>
      </c>
    </row>
    <row r="608" customFormat="false" ht="15" hidden="false" customHeight="false" outlineLevel="0" collapsed="false">
      <c r="A608" s="3" t="n">
        <v>607</v>
      </c>
      <c r="B608" s="3" t="n">
        <v>606</v>
      </c>
      <c r="C608" s="3" t="n">
        <v>0</v>
      </c>
      <c r="D608" s="3" t="n">
        <v>21</v>
      </c>
      <c r="E608" s="3" t="n">
        <v>18</v>
      </c>
      <c r="F608" s="24" t="n">
        <v>-0.424212962</v>
      </c>
    </row>
    <row r="609" customFormat="false" ht="15" hidden="false" customHeight="false" outlineLevel="0" collapsed="false">
      <c r="A609" s="3" t="n">
        <v>608</v>
      </c>
      <c r="B609" s="3" t="n">
        <v>607</v>
      </c>
      <c r="C609" s="3" t="n">
        <v>0</v>
      </c>
      <c r="D609" s="3" t="n">
        <v>21</v>
      </c>
      <c r="E609" s="3" t="n">
        <v>19</v>
      </c>
      <c r="F609" s="24" t="n">
        <v>-0.424212962</v>
      </c>
    </row>
    <row r="610" customFormat="false" ht="15" hidden="false" customHeight="false" outlineLevel="0" collapsed="false">
      <c r="A610" s="3" t="n">
        <v>609</v>
      </c>
      <c r="B610" s="3" t="n">
        <v>608</v>
      </c>
      <c r="C610" s="3" t="n">
        <v>0</v>
      </c>
      <c r="D610" s="3" t="n">
        <v>21</v>
      </c>
      <c r="E610" s="3" t="n">
        <v>20</v>
      </c>
      <c r="F610" s="24" t="n">
        <v>-0.424212962</v>
      </c>
    </row>
    <row r="611" customFormat="false" ht="15" hidden="false" customHeight="false" outlineLevel="0" collapsed="false">
      <c r="A611" s="3" t="n">
        <v>610</v>
      </c>
      <c r="B611" s="3" t="n">
        <v>609</v>
      </c>
      <c r="C611" s="3" t="n">
        <v>0</v>
      </c>
      <c r="D611" s="3" t="n">
        <v>21</v>
      </c>
      <c r="E611" s="3" t="n">
        <v>21</v>
      </c>
      <c r="F611" s="24" t="n">
        <v>-0.424212962</v>
      </c>
    </row>
    <row r="612" customFormat="false" ht="15" hidden="false" customHeight="false" outlineLevel="0" collapsed="false">
      <c r="A612" s="3" t="n">
        <v>611</v>
      </c>
      <c r="B612" s="3" t="n">
        <v>610</v>
      </c>
      <c r="C612" s="3" t="n">
        <v>0</v>
      </c>
      <c r="D612" s="3" t="n">
        <v>21</v>
      </c>
      <c r="E612" s="3" t="n">
        <v>22</v>
      </c>
      <c r="F612" s="24" t="n">
        <v>-0.424212962</v>
      </c>
    </row>
    <row r="613" customFormat="false" ht="15" hidden="false" customHeight="false" outlineLevel="0" collapsed="false">
      <c r="A613" s="3" t="n">
        <v>612</v>
      </c>
      <c r="B613" s="3" t="n">
        <v>611</v>
      </c>
      <c r="C613" s="3" t="n">
        <v>0</v>
      </c>
      <c r="D613" s="3" t="n">
        <v>21</v>
      </c>
      <c r="E613" s="3" t="n">
        <v>23</v>
      </c>
      <c r="F613" s="24" t="n">
        <v>-0.424212962</v>
      </c>
    </row>
    <row r="614" customFormat="false" ht="15" hidden="false" customHeight="false" outlineLevel="0" collapsed="false">
      <c r="A614" s="3" t="n">
        <v>613</v>
      </c>
      <c r="B614" s="3" t="n">
        <v>612</v>
      </c>
      <c r="C614" s="3" t="n">
        <v>0</v>
      </c>
      <c r="D614" s="3" t="n">
        <v>21</v>
      </c>
      <c r="E614" s="3" t="n">
        <v>24</v>
      </c>
      <c r="F614" s="24" t="n">
        <v>-0.424212962</v>
      </c>
    </row>
    <row r="615" customFormat="false" ht="15" hidden="false" customHeight="false" outlineLevel="0" collapsed="false">
      <c r="A615" s="3" t="n">
        <v>614</v>
      </c>
      <c r="B615" s="3" t="n">
        <v>613</v>
      </c>
      <c r="C615" s="3" t="n">
        <v>0</v>
      </c>
      <c r="D615" s="3" t="n">
        <v>21</v>
      </c>
      <c r="E615" s="3" t="n">
        <v>25</v>
      </c>
      <c r="F615" s="24" t="n">
        <v>-0.424212962</v>
      </c>
    </row>
    <row r="616" customFormat="false" ht="15" hidden="false" customHeight="false" outlineLevel="0" collapsed="false">
      <c r="A616" s="3" t="n">
        <v>615</v>
      </c>
      <c r="B616" s="3" t="n">
        <v>614</v>
      </c>
      <c r="C616" s="3" t="n">
        <v>0</v>
      </c>
      <c r="D616" s="3" t="n">
        <v>21</v>
      </c>
      <c r="E616" s="3" t="n">
        <v>26</v>
      </c>
      <c r="F616" s="24" t="n">
        <v>-0.424212962</v>
      </c>
    </row>
    <row r="617" customFormat="false" ht="15" hidden="false" customHeight="false" outlineLevel="0" collapsed="false">
      <c r="A617" s="3" t="n">
        <v>616</v>
      </c>
      <c r="B617" s="3" t="n">
        <v>615</v>
      </c>
      <c r="C617" s="3" t="n">
        <v>0</v>
      </c>
      <c r="D617" s="3" t="n">
        <v>21</v>
      </c>
      <c r="E617" s="3" t="n">
        <v>27</v>
      </c>
      <c r="F617" s="24" t="n">
        <v>-0.424212962</v>
      </c>
    </row>
    <row r="618" customFormat="false" ht="15" hidden="false" customHeight="false" outlineLevel="0" collapsed="false">
      <c r="A618" s="3" t="n">
        <v>617</v>
      </c>
      <c r="B618" s="3" t="n">
        <v>616</v>
      </c>
      <c r="C618" s="3" t="n">
        <v>0</v>
      </c>
      <c r="D618" s="3" t="n">
        <v>22</v>
      </c>
      <c r="E618" s="3" t="n">
        <v>0</v>
      </c>
      <c r="F618" s="24" t="n">
        <v>-0.424212962</v>
      </c>
    </row>
    <row r="619" customFormat="false" ht="15" hidden="false" customHeight="false" outlineLevel="0" collapsed="false">
      <c r="A619" s="3" t="n">
        <v>618</v>
      </c>
      <c r="B619" s="3" t="n">
        <v>617</v>
      </c>
      <c r="C619" s="3" t="n">
        <v>0</v>
      </c>
      <c r="D619" s="3" t="n">
        <v>22</v>
      </c>
      <c r="E619" s="3" t="n">
        <v>1</v>
      </c>
      <c r="F619" s="24" t="n">
        <v>-0.424212962</v>
      </c>
    </row>
    <row r="620" customFormat="false" ht="15" hidden="false" customHeight="false" outlineLevel="0" collapsed="false">
      <c r="A620" s="3" t="n">
        <v>619</v>
      </c>
      <c r="B620" s="3" t="n">
        <v>618</v>
      </c>
      <c r="C620" s="3" t="n">
        <v>0</v>
      </c>
      <c r="D620" s="3" t="n">
        <v>22</v>
      </c>
      <c r="E620" s="3" t="n">
        <v>2</v>
      </c>
      <c r="F620" s="24" t="n">
        <v>-0.424212962</v>
      </c>
    </row>
    <row r="621" customFormat="false" ht="15" hidden="false" customHeight="false" outlineLevel="0" collapsed="false">
      <c r="A621" s="3" t="n">
        <v>620</v>
      </c>
      <c r="B621" s="3" t="n">
        <v>619</v>
      </c>
      <c r="C621" s="3" t="n">
        <v>0</v>
      </c>
      <c r="D621" s="3" t="n">
        <v>22</v>
      </c>
      <c r="E621" s="3" t="n">
        <v>3</v>
      </c>
      <c r="F621" s="24" t="n">
        <v>-0.424212962</v>
      </c>
    </row>
    <row r="622" customFormat="false" ht="15" hidden="false" customHeight="false" outlineLevel="0" collapsed="false">
      <c r="A622" s="3" t="n">
        <v>621</v>
      </c>
      <c r="B622" s="3" t="n">
        <v>620</v>
      </c>
      <c r="C622" s="3" t="n">
        <v>0</v>
      </c>
      <c r="D622" s="3" t="n">
        <v>22</v>
      </c>
      <c r="E622" s="3" t="n">
        <v>4</v>
      </c>
      <c r="F622" s="24" t="n">
        <v>-0.424212962</v>
      </c>
    </row>
    <row r="623" customFormat="false" ht="15" hidden="false" customHeight="false" outlineLevel="0" collapsed="false">
      <c r="A623" s="3" t="n">
        <v>622</v>
      </c>
      <c r="B623" s="3" t="n">
        <v>621</v>
      </c>
      <c r="C623" s="3" t="n">
        <v>0</v>
      </c>
      <c r="D623" s="3" t="n">
        <v>22</v>
      </c>
      <c r="E623" s="3" t="n">
        <v>5</v>
      </c>
      <c r="F623" s="24" t="n">
        <v>-0.424212962</v>
      </c>
    </row>
    <row r="624" customFormat="false" ht="15" hidden="false" customHeight="false" outlineLevel="0" collapsed="false">
      <c r="A624" s="3" t="n">
        <v>623</v>
      </c>
      <c r="B624" s="3" t="n">
        <v>622</v>
      </c>
      <c r="C624" s="3" t="n">
        <v>0</v>
      </c>
      <c r="D624" s="3" t="n">
        <v>22</v>
      </c>
      <c r="E624" s="3" t="n">
        <v>6</v>
      </c>
      <c r="F624" s="24" t="n">
        <v>-0.424212962</v>
      </c>
    </row>
    <row r="625" customFormat="false" ht="15" hidden="false" customHeight="false" outlineLevel="0" collapsed="false">
      <c r="A625" s="3" t="n">
        <v>624</v>
      </c>
      <c r="B625" s="3" t="n">
        <v>623</v>
      </c>
      <c r="C625" s="3" t="n">
        <v>0</v>
      </c>
      <c r="D625" s="3" t="n">
        <v>22</v>
      </c>
      <c r="E625" s="3" t="n">
        <v>7</v>
      </c>
      <c r="F625" s="24" t="n">
        <v>-0.424212962</v>
      </c>
    </row>
    <row r="626" customFormat="false" ht="15" hidden="false" customHeight="false" outlineLevel="0" collapsed="false">
      <c r="A626" s="3" t="n">
        <v>625</v>
      </c>
      <c r="B626" s="3" t="n">
        <v>624</v>
      </c>
      <c r="C626" s="3" t="n">
        <v>0</v>
      </c>
      <c r="D626" s="3" t="n">
        <v>22</v>
      </c>
      <c r="E626" s="3" t="n">
        <v>8</v>
      </c>
      <c r="F626" s="24" t="n">
        <v>-0.424212962</v>
      </c>
    </row>
    <row r="627" customFormat="false" ht="15" hidden="false" customHeight="false" outlineLevel="0" collapsed="false">
      <c r="A627" s="3" t="n">
        <v>626</v>
      </c>
      <c r="B627" s="3" t="n">
        <v>625</v>
      </c>
      <c r="C627" s="3" t="n">
        <v>0</v>
      </c>
      <c r="D627" s="3" t="n">
        <v>22</v>
      </c>
      <c r="E627" s="3" t="n">
        <v>9</v>
      </c>
      <c r="F627" s="24" t="n">
        <v>-0.424212962</v>
      </c>
    </row>
    <row r="628" customFormat="false" ht="15" hidden="false" customHeight="false" outlineLevel="0" collapsed="false">
      <c r="A628" s="3" t="n">
        <v>627</v>
      </c>
      <c r="B628" s="3" t="n">
        <v>626</v>
      </c>
      <c r="C628" s="3" t="n">
        <v>0</v>
      </c>
      <c r="D628" s="3" t="n">
        <v>22</v>
      </c>
      <c r="E628" s="3" t="n">
        <v>10</v>
      </c>
      <c r="F628" s="24" t="n">
        <v>-0.424212962</v>
      </c>
    </row>
    <row r="629" customFormat="false" ht="15" hidden="false" customHeight="false" outlineLevel="0" collapsed="false">
      <c r="A629" s="3" t="n">
        <v>628</v>
      </c>
      <c r="B629" s="3" t="n">
        <v>627</v>
      </c>
      <c r="C629" s="3" t="n">
        <v>0</v>
      </c>
      <c r="D629" s="3" t="n">
        <v>22</v>
      </c>
      <c r="E629" s="3" t="n">
        <v>11</v>
      </c>
      <c r="F629" s="24" t="n">
        <v>-0.0296377148</v>
      </c>
    </row>
    <row r="630" customFormat="false" ht="15" hidden="false" customHeight="false" outlineLevel="0" collapsed="false">
      <c r="A630" s="3" t="n">
        <v>629</v>
      </c>
      <c r="B630" s="3" t="n">
        <v>628</v>
      </c>
      <c r="C630" s="3" t="n">
        <v>0</v>
      </c>
      <c r="D630" s="3" t="n">
        <v>22</v>
      </c>
      <c r="E630" s="3" t="n">
        <v>12</v>
      </c>
      <c r="F630" s="24" t="n">
        <v>2.42691135</v>
      </c>
    </row>
    <row r="631" customFormat="false" ht="15" hidden="false" customHeight="false" outlineLevel="0" collapsed="false">
      <c r="A631" s="3" t="n">
        <v>630</v>
      </c>
      <c r="B631" s="3" t="n">
        <v>629</v>
      </c>
      <c r="C631" s="3" t="n">
        <v>0</v>
      </c>
      <c r="D631" s="3" t="n">
        <v>22</v>
      </c>
      <c r="E631" s="3" t="n">
        <v>13</v>
      </c>
      <c r="F631" s="24" t="n">
        <v>2.8087585</v>
      </c>
    </row>
    <row r="632" customFormat="false" ht="15" hidden="false" customHeight="false" outlineLevel="0" collapsed="false">
      <c r="A632" s="3" t="n">
        <v>631</v>
      </c>
      <c r="B632" s="3" t="n">
        <v>630</v>
      </c>
      <c r="C632" s="3" t="n">
        <v>0</v>
      </c>
      <c r="D632" s="3" t="n">
        <v>22</v>
      </c>
      <c r="E632" s="3" t="n">
        <v>14</v>
      </c>
      <c r="F632" s="24" t="n">
        <v>1.03953385</v>
      </c>
    </row>
    <row r="633" customFormat="false" ht="15" hidden="false" customHeight="false" outlineLevel="0" collapsed="false">
      <c r="A633" s="3" t="n">
        <v>632</v>
      </c>
      <c r="B633" s="3" t="n">
        <v>631</v>
      </c>
      <c r="C633" s="3" t="n">
        <v>0</v>
      </c>
      <c r="D633" s="3" t="n">
        <v>22</v>
      </c>
      <c r="E633" s="3" t="n">
        <v>15</v>
      </c>
      <c r="F633" s="24" t="n">
        <v>-0.411484718</v>
      </c>
    </row>
    <row r="634" customFormat="false" ht="15" hidden="false" customHeight="false" outlineLevel="0" collapsed="false">
      <c r="A634" s="3" t="n">
        <v>633</v>
      </c>
      <c r="B634" s="3" t="n">
        <v>632</v>
      </c>
      <c r="C634" s="3" t="n">
        <v>0</v>
      </c>
      <c r="D634" s="3" t="n">
        <v>22</v>
      </c>
      <c r="E634" s="3" t="n">
        <v>16</v>
      </c>
      <c r="F634" s="24" t="n">
        <v>-0.424212962</v>
      </c>
    </row>
    <row r="635" customFormat="false" ht="15" hidden="false" customHeight="false" outlineLevel="0" collapsed="false">
      <c r="A635" s="3" t="n">
        <v>634</v>
      </c>
      <c r="B635" s="3" t="n">
        <v>633</v>
      </c>
      <c r="C635" s="3" t="n">
        <v>0</v>
      </c>
      <c r="D635" s="3" t="n">
        <v>22</v>
      </c>
      <c r="E635" s="3" t="n">
        <v>17</v>
      </c>
      <c r="F635" s="24" t="n">
        <v>-0.424212962</v>
      </c>
    </row>
    <row r="636" customFormat="false" ht="15" hidden="false" customHeight="false" outlineLevel="0" collapsed="false">
      <c r="A636" s="3" t="n">
        <v>635</v>
      </c>
      <c r="B636" s="3" t="n">
        <v>634</v>
      </c>
      <c r="C636" s="3" t="n">
        <v>0</v>
      </c>
      <c r="D636" s="3" t="n">
        <v>22</v>
      </c>
      <c r="E636" s="3" t="n">
        <v>18</v>
      </c>
      <c r="F636" s="24" t="n">
        <v>-0.424212962</v>
      </c>
    </row>
    <row r="637" customFormat="false" ht="15" hidden="false" customHeight="false" outlineLevel="0" collapsed="false">
      <c r="A637" s="3" t="n">
        <v>636</v>
      </c>
      <c r="B637" s="3" t="n">
        <v>635</v>
      </c>
      <c r="C637" s="3" t="n">
        <v>0</v>
      </c>
      <c r="D637" s="3" t="n">
        <v>22</v>
      </c>
      <c r="E637" s="3" t="n">
        <v>19</v>
      </c>
      <c r="F637" s="24" t="n">
        <v>-0.424212962</v>
      </c>
    </row>
    <row r="638" customFormat="false" ht="15" hidden="false" customHeight="false" outlineLevel="0" collapsed="false">
      <c r="A638" s="3" t="n">
        <v>637</v>
      </c>
      <c r="B638" s="3" t="n">
        <v>636</v>
      </c>
      <c r="C638" s="3" t="n">
        <v>0</v>
      </c>
      <c r="D638" s="3" t="n">
        <v>22</v>
      </c>
      <c r="E638" s="3" t="n">
        <v>20</v>
      </c>
      <c r="F638" s="24" t="n">
        <v>-0.424212962</v>
      </c>
    </row>
    <row r="639" customFormat="false" ht="15" hidden="false" customHeight="false" outlineLevel="0" collapsed="false">
      <c r="A639" s="3" t="n">
        <v>638</v>
      </c>
      <c r="B639" s="3" t="n">
        <v>637</v>
      </c>
      <c r="C639" s="3" t="n">
        <v>0</v>
      </c>
      <c r="D639" s="3" t="n">
        <v>22</v>
      </c>
      <c r="E639" s="3" t="n">
        <v>21</v>
      </c>
      <c r="F639" s="24" t="n">
        <v>-0.424212962</v>
      </c>
    </row>
    <row r="640" customFormat="false" ht="15" hidden="false" customHeight="false" outlineLevel="0" collapsed="false">
      <c r="A640" s="3" t="n">
        <v>639</v>
      </c>
      <c r="B640" s="3" t="n">
        <v>638</v>
      </c>
      <c r="C640" s="3" t="n">
        <v>0</v>
      </c>
      <c r="D640" s="3" t="n">
        <v>22</v>
      </c>
      <c r="E640" s="3" t="n">
        <v>22</v>
      </c>
      <c r="F640" s="24" t="n">
        <v>-0.424212962</v>
      </c>
    </row>
    <row r="641" customFormat="false" ht="15" hidden="false" customHeight="false" outlineLevel="0" collapsed="false">
      <c r="A641" s="3" t="n">
        <v>640</v>
      </c>
      <c r="B641" s="3" t="n">
        <v>639</v>
      </c>
      <c r="C641" s="3" t="n">
        <v>0</v>
      </c>
      <c r="D641" s="3" t="n">
        <v>22</v>
      </c>
      <c r="E641" s="3" t="n">
        <v>23</v>
      </c>
      <c r="F641" s="24" t="n">
        <v>-0.424212962</v>
      </c>
    </row>
    <row r="642" customFormat="false" ht="15" hidden="false" customHeight="false" outlineLevel="0" collapsed="false">
      <c r="A642" s="3" t="n">
        <v>641</v>
      </c>
      <c r="B642" s="3" t="n">
        <v>640</v>
      </c>
      <c r="C642" s="3" t="n">
        <v>0</v>
      </c>
      <c r="D642" s="3" t="n">
        <v>22</v>
      </c>
      <c r="E642" s="3" t="n">
        <v>24</v>
      </c>
      <c r="F642" s="24" t="n">
        <v>-0.424212962</v>
      </c>
    </row>
    <row r="643" customFormat="false" ht="15" hidden="false" customHeight="false" outlineLevel="0" collapsed="false">
      <c r="A643" s="3" t="n">
        <v>642</v>
      </c>
      <c r="B643" s="3" t="n">
        <v>641</v>
      </c>
      <c r="C643" s="3" t="n">
        <v>0</v>
      </c>
      <c r="D643" s="3" t="n">
        <v>22</v>
      </c>
      <c r="E643" s="3" t="n">
        <v>25</v>
      </c>
      <c r="F643" s="24" t="n">
        <v>-0.424212962</v>
      </c>
    </row>
    <row r="644" customFormat="false" ht="15" hidden="false" customHeight="false" outlineLevel="0" collapsed="false">
      <c r="A644" s="3" t="n">
        <v>643</v>
      </c>
      <c r="B644" s="3" t="n">
        <v>642</v>
      </c>
      <c r="C644" s="3" t="n">
        <v>0</v>
      </c>
      <c r="D644" s="3" t="n">
        <v>22</v>
      </c>
      <c r="E644" s="3" t="n">
        <v>26</v>
      </c>
      <c r="F644" s="24" t="n">
        <v>-0.424212962</v>
      </c>
    </row>
    <row r="645" customFormat="false" ht="15" hidden="false" customHeight="false" outlineLevel="0" collapsed="false">
      <c r="A645" s="3" t="n">
        <v>644</v>
      </c>
      <c r="B645" s="3" t="n">
        <v>643</v>
      </c>
      <c r="C645" s="3" t="n">
        <v>0</v>
      </c>
      <c r="D645" s="3" t="n">
        <v>22</v>
      </c>
      <c r="E645" s="3" t="n">
        <v>27</v>
      </c>
      <c r="F645" s="24" t="n">
        <v>-0.424212962</v>
      </c>
    </row>
    <row r="646" customFormat="false" ht="15" hidden="false" customHeight="false" outlineLevel="0" collapsed="false">
      <c r="A646" s="3" t="n">
        <v>645</v>
      </c>
      <c r="B646" s="3" t="n">
        <v>644</v>
      </c>
      <c r="C646" s="3" t="n">
        <v>0</v>
      </c>
      <c r="D646" s="3" t="n">
        <v>23</v>
      </c>
      <c r="E646" s="3" t="n">
        <v>0</v>
      </c>
      <c r="F646" s="24" t="n">
        <v>-0.424212962</v>
      </c>
    </row>
    <row r="647" customFormat="false" ht="15" hidden="false" customHeight="false" outlineLevel="0" collapsed="false">
      <c r="A647" s="3" t="n">
        <v>646</v>
      </c>
      <c r="B647" s="3" t="n">
        <v>645</v>
      </c>
      <c r="C647" s="3" t="n">
        <v>0</v>
      </c>
      <c r="D647" s="3" t="n">
        <v>23</v>
      </c>
      <c r="E647" s="3" t="n">
        <v>1</v>
      </c>
      <c r="F647" s="24" t="n">
        <v>-0.424212962</v>
      </c>
    </row>
    <row r="648" customFormat="false" ht="15" hidden="false" customHeight="false" outlineLevel="0" collapsed="false">
      <c r="A648" s="3" t="n">
        <v>647</v>
      </c>
      <c r="B648" s="3" t="n">
        <v>646</v>
      </c>
      <c r="C648" s="3" t="n">
        <v>0</v>
      </c>
      <c r="D648" s="3" t="n">
        <v>23</v>
      </c>
      <c r="E648" s="3" t="n">
        <v>2</v>
      </c>
      <c r="F648" s="24" t="n">
        <v>-0.424212962</v>
      </c>
    </row>
    <row r="649" customFormat="false" ht="15" hidden="false" customHeight="false" outlineLevel="0" collapsed="false">
      <c r="A649" s="3" t="n">
        <v>648</v>
      </c>
      <c r="B649" s="3" t="n">
        <v>647</v>
      </c>
      <c r="C649" s="3" t="n">
        <v>0</v>
      </c>
      <c r="D649" s="3" t="n">
        <v>23</v>
      </c>
      <c r="E649" s="3" t="n">
        <v>3</v>
      </c>
      <c r="F649" s="24" t="n">
        <v>-0.424212962</v>
      </c>
    </row>
    <row r="650" customFormat="false" ht="15" hidden="false" customHeight="false" outlineLevel="0" collapsed="false">
      <c r="A650" s="3" t="n">
        <v>649</v>
      </c>
      <c r="B650" s="3" t="n">
        <v>648</v>
      </c>
      <c r="C650" s="3" t="n">
        <v>0</v>
      </c>
      <c r="D650" s="3" t="n">
        <v>23</v>
      </c>
      <c r="E650" s="3" t="n">
        <v>4</v>
      </c>
      <c r="F650" s="24" t="n">
        <v>-0.424212962</v>
      </c>
    </row>
    <row r="651" customFormat="false" ht="15" hidden="false" customHeight="false" outlineLevel="0" collapsed="false">
      <c r="A651" s="3" t="n">
        <v>650</v>
      </c>
      <c r="B651" s="3" t="n">
        <v>649</v>
      </c>
      <c r="C651" s="3" t="n">
        <v>0</v>
      </c>
      <c r="D651" s="3" t="n">
        <v>23</v>
      </c>
      <c r="E651" s="3" t="n">
        <v>5</v>
      </c>
      <c r="F651" s="24" t="n">
        <v>-0.424212962</v>
      </c>
    </row>
    <row r="652" customFormat="false" ht="15" hidden="false" customHeight="false" outlineLevel="0" collapsed="false">
      <c r="A652" s="3" t="n">
        <v>651</v>
      </c>
      <c r="B652" s="3" t="n">
        <v>650</v>
      </c>
      <c r="C652" s="3" t="n">
        <v>0</v>
      </c>
      <c r="D652" s="3" t="n">
        <v>23</v>
      </c>
      <c r="E652" s="3" t="n">
        <v>6</v>
      </c>
      <c r="F652" s="24" t="n">
        <v>-0.424212962</v>
      </c>
    </row>
    <row r="653" customFormat="false" ht="15" hidden="false" customHeight="false" outlineLevel="0" collapsed="false">
      <c r="A653" s="3" t="n">
        <v>652</v>
      </c>
      <c r="B653" s="3" t="n">
        <v>651</v>
      </c>
      <c r="C653" s="3" t="n">
        <v>0</v>
      </c>
      <c r="D653" s="3" t="n">
        <v>23</v>
      </c>
      <c r="E653" s="3" t="n">
        <v>7</v>
      </c>
      <c r="F653" s="24" t="n">
        <v>-0.424212962</v>
      </c>
    </row>
    <row r="654" customFormat="false" ht="15" hidden="false" customHeight="false" outlineLevel="0" collapsed="false">
      <c r="A654" s="3" t="n">
        <v>653</v>
      </c>
      <c r="B654" s="3" t="n">
        <v>652</v>
      </c>
      <c r="C654" s="3" t="n">
        <v>0</v>
      </c>
      <c r="D654" s="3" t="n">
        <v>23</v>
      </c>
      <c r="E654" s="3" t="n">
        <v>8</v>
      </c>
      <c r="F654" s="24" t="n">
        <v>-0.424212962</v>
      </c>
    </row>
    <row r="655" customFormat="false" ht="15" hidden="false" customHeight="false" outlineLevel="0" collapsed="false">
      <c r="A655" s="3" t="n">
        <v>654</v>
      </c>
      <c r="B655" s="3" t="n">
        <v>653</v>
      </c>
      <c r="C655" s="3" t="n">
        <v>0</v>
      </c>
      <c r="D655" s="3" t="n">
        <v>23</v>
      </c>
      <c r="E655" s="3" t="n">
        <v>9</v>
      </c>
      <c r="F655" s="24" t="n">
        <v>-0.424212962</v>
      </c>
    </row>
    <row r="656" customFormat="false" ht="15" hidden="false" customHeight="false" outlineLevel="0" collapsed="false">
      <c r="A656" s="3" t="n">
        <v>655</v>
      </c>
      <c r="B656" s="3" t="n">
        <v>654</v>
      </c>
      <c r="C656" s="3" t="n">
        <v>0</v>
      </c>
      <c r="D656" s="3" t="n">
        <v>23</v>
      </c>
      <c r="E656" s="3" t="n">
        <v>10</v>
      </c>
      <c r="F656" s="24" t="n">
        <v>-0.424212962</v>
      </c>
    </row>
    <row r="657" customFormat="false" ht="15" hidden="false" customHeight="false" outlineLevel="0" collapsed="false">
      <c r="A657" s="3" t="n">
        <v>656</v>
      </c>
      <c r="B657" s="3" t="n">
        <v>655</v>
      </c>
      <c r="C657" s="3" t="n">
        <v>0</v>
      </c>
      <c r="D657" s="3" t="n">
        <v>23</v>
      </c>
      <c r="E657" s="3" t="n">
        <v>11</v>
      </c>
      <c r="F657" s="24" t="n">
        <v>1.26864231</v>
      </c>
    </row>
    <row r="658" customFormat="false" ht="15" hidden="false" customHeight="false" outlineLevel="0" collapsed="false">
      <c r="A658" s="3" t="n">
        <v>657</v>
      </c>
      <c r="B658" s="3" t="n">
        <v>656</v>
      </c>
      <c r="C658" s="3" t="n">
        <v>0</v>
      </c>
      <c r="D658" s="3" t="n">
        <v>23</v>
      </c>
      <c r="E658" s="3" t="n">
        <v>12</v>
      </c>
      <c r="F658" s="24" t="n">
        <v>2.8087585</v>
      </c>
    </row>
    <row r="659" customFormat="false" ht="15" hidden="false" customHeight="false" outlineLevel="0" collapsed="false">
      <c r="A659" s="3" t="n">
        <v>658</v>
      </c>
      <c r="B659" s="3" t="n">
        <v>657</v>
      </c>
      <c r="C659" s="3" t="n">
        <v>0</v>
      </c>
      <c r="D659" s="3" t="n">
        <v>23</v>
      </c>
      <c r="E659" s="3" t="n">
        <v>13</v>
      </c>
      <c r="F659" s="24" t="n">
        <v>2.8087585</v>
      </c>
    </row>
    <row r="660" customFormat="false" ht="15" hidden="false" customHeight="false" outlineLevel="0" collapsed="false">
      <c r="A660" s="3" t="n">
        <v>659</v>
      </c>
      <c r="B660" s="3" t="n">
        <v>658</v>
      </c>
      <c r="C660" s="3" t="n">
        <v>0</v>
      </c>
      <c r="D660" s="3" t="n">
        <v>23</v>
      </c>
      <c r="E660" s="3" t="n">
        <v>14</v>
      </c>
      <c r="F660" s="24" t="n">
        <v>0.237655208</v>
      </c>
    </row>
    <row r="661" customFormat="false" ht="15" hidden="false" customHeight="false" outlineLevel="0" collapsed="false">
      <c r="A661" s="3" t="n">
        <v>660</v>
      </c>
      <c r="B661" s="3" t="n">
        <v>659</v>
      </c>
      <c r="C661" s="3" t="n">
        <v>0</v>
      </c>
      <c r="D661" s="3" t="n">
        <v>23</v>
      </c>
      <c r="E661" s="3" t="n">
        <v>15</v>
      </c>
      <c r="F661" s="24" t="n">
        <v>-0.424212962</v>
      </c>
    </row>
    <row r="662" customFormat="false" ht="15" hidden="false" customHeight="false" outlineLevel="0" collapsed="false">
      <c r="A662" s="3" t="n">
        <v>661</v>
      </c>
      <c r="B662" s="3" t="n">
        <v>660</v>
      </c>
      <c r="C662" s="3" t="n">
        <v>0</v>
      </c>
      <c r="D662" s="3" t="n">
        <v>23</v>
      </c>
      <c r="E662" s="3" t="n">
        <v>16</v>
      </c>
      <c r="F662" s="24" t="n">
        <v>-0.424212962</v>
      </c>
    </row>
    <row r="663" customFormat="false" ht="15" hidden="false" customHeight="false" outlineLevel="0" collapsed="false">
      <c r="A663" s="3" t="n">
        <v>662</v>
      </c>
      <c r="B663" s="3" t="n">
        <v>661</v>
      </c>
      <c r="C663" s="3" t="n">
        <v>0</v>
      </c>
      <c r="D663" s="3" t="n">
        <v>23</v>
      </c>
      <c r="E663" s="3" t="n">
        <v>17</v>
      </c>
      <c r="F663" s="24" t="n">
        <v>-0.424212962</v>
      </c>
    </row>
    <row r="664" customFormat="false" ht="15" hidden="false" customHeight="false" outlineLevel="0" collapsed="false">
      <c r="A664" s="3" t="n">
        <v>663</v>
      </c>
      <c r="B664" s="3" t="n">
        <v>662</v>
      </c>
      <c r="C664" s="3" t="n">
        <v>0</v>
      </c>
      <c r="D664" s="3" t="n">
        <v>23</v>
      </c>
      <c r="E664" s="3" t="n">
        <v>18</v>
      </c>
      <c r="F664" s="24" t="n">
        <v>-0.424212962</v>
      </c>
    </row>
    <row r="665" customFormat="false" ht="15" hidden="false" customHeight="false" outlineLevel="0" collapsed="false">
      <c r="A665" s="3" t="n">
        <v>664</v>
      </c>
      <c r="B665" s="3" t="n">
        <v>663</v>
      </c>
      <c r="C665" s="3" t="n">
        <v>0</v>
      </c>
      <c r="D665" s="3" t="n">
        <v>23</v>
      </c>
      <c r="E665" s="3" t="n">
        <v>19</v>
      </c>
      <c r="F665" s="24" t="n">
        <v>-0.424212962</v>
      </c>
    </row>
    <row r="666" customFormat="false" ht="15" hidden="false" customHeight="false" outlineLevel="0" collapsed="false">
      <c r="A666" s="3" t="n">
        <v>665</v>
      </c>
      <c r="B666" s="3" t="n">
        <v>664</v>
      </c>
      <c r="C666" s="3" t="n">
        <v>0</v>
      </c>
      <c r="D666" s="3" t="n">
        <v>23</v>
      </c>
      <c r="E666" s="3" t="n">
        <v>20</v>
      </c>
      <c r="F666" s="24" t="n">
        <v>-0.424212962</v>
      </c>
    </row>
    <row r="667" customFormat="false" ht="15" hidden="false" customHeight="false" outlineLevel="0" collapsed="false">
      <c r="A667" s="3" t="n">
        <v>666</v>
      </c>
      <c r="B667" s="3" t="n">
        <v>665</v>
      </c>
      <c r="C667" s="3" t="n">
        <v>0</v>
      </c>
      <c r="D667" s="3" t="n">
        <v>23</v>
      </c>
      <c r="E667" s="3" t="n">
        <v>21</v>
      </c>
      <c r="F667" s="24" t="n">
        <v>-0.424212962</v>
      </c>
    </row>
    <row r="668" customFormat="false" ht="15" hidden="false" customHeight="false" outlineLevel="0" collapsed="false">
      <c r="A668" s="3" t="n">
        <v>667</v>
      </c>
      <c r="B668" s="3" t="n">
        <v>666</v>
      </c>
      <c r="C668" s="3" t="n">
        <v>0</v>
      </c>
      <c r="D668" s="3" t="n">
        <v>23</v>
      </c>
      <c r="E668" s="3" t="n">
        <v>22</v>
      </c>
      <c r="F668" s="24" t="n">
        <v>-0.424212962</v>
      </c>
    </row>
    <row r="669" customFormat="false" ht="15" hidden="false" customHeight="false" outlineLevel="0" collapsed="false">
      <c r="A669" s="3" t="n">
        <v>668</v>
      </c>
      <c r="B669" s="3" t="n">
        <v>667</v>
      </c>
      <c r="C669" s="3" t="n">
        <v>0</v>
      </c>
      <c r="D669" s="3" t="n">
        <v>23</v>
      </c>
      <c r="E669" s="3" t="n">
        <v>23</v>
      </c>
      <c r="F669" s="24" t="n">
        <v>-0.424212962</v>
      </c>
    </row>
    <row r="670" customFormat="false" ht="15" hidden="false" customHeight="false" outlineLevel="0" collapsed="false">
      <c r="A670" s="3" t="n">
        <v>669</v>
      </c>
      <c r="B670" s="3" t="n">
        <v>668</v>
      </c>
      <c r="C670" s="3" t="n">
        <v>0</v>
      </c>
      <c r="D670" s="3" t="n">
        <v>23</v>
      </c>
      <c r="E670" s="3" t="n">
        <v>24</v>
      </c>
      <c r="F670" s="24" t="n">
        <v>-0.424212962</v>
      </c>
    </row>
    <row r="671" customFormat="false" ht="15" hidden="false" customHeight="false" outlineLevel="0" collapsed="false">
      <c r="A671" s="3" t="n">
        <v>670</v>
      </c>
      <c r="B671" s="3" t="n">
        <v>669</v>
      </c>
      <c r="C671" s="3" t="n">
        <v>0</v>
      </c>
      <c r="D671" s="3" t="n">
        <v>23</v>
      </c>
      <c r="E671" s="3" t="n">
        <v>25</v>
      </c>
      <c r="F671" s="24" t="n">
        <v>-0.424212962</v>
      </c>
    </row>
    <row r="672" customFormat="false" ht="15" hidden="false" customHeight="false" outlineLevel="0" collapsed="false">
      <c r="A672" s="3" t="n">
        <v>671</v>
      </c>
      <c r="B672" s="3" t="n">
        <v>670</v>
      </c>
      <c r="C672" s="3" t="n">
        <v>0</v>
      </c>
      <c r="D672" s="3" t="n">
        <v>23</v>
      </c>
      <c r="E672" s="3" t="n">
        <v>26</v>
      </c>
      <c r="F672" s="24" t="n">
        <v>-0.424212962</v>
      </c>
    </row>
    <row r="673" customFormat="false" ht="15" hidden="false" customHeight="false" outlineLevel="0" collapsed="false">
      <c r="A673" s="3" t="n">
        <v>672</v>
      </c>
      <c r="B673" s="3" t="n">
        <v>671</v>
      </c>
      <c r="C673" s="3" t="n">
        <v>0</v>
      </c>
      <c r="D673" s="3" t="n">
        <v>23</v>
      </c>
      <c r="E673" s="3" t="n">
        <v>27</v>
      </c>
      <c r="F673" s="24" t="n">
        <v>-0.424212962</v>
      </c>
    </row>
    <row r="674" customFormat="false" ht="15" hidden="false" customHeight="false" outlineLevel="0" collapsed="false">
      <c r="A674" s="3" t="n">
        <v>673</v>
      </c>
      <c r="B674" s="3" t="n">
        <v>672</v>
      </c>
      <c r="C674" s="3" t="n">
        <v>0</v>
      </c>
      <c r="D674" s="3" t="n">
        <v>24</v>
      </c>
      <c r="E674" s="3" t="n">
        <v>0</v>
      </c>
      <c r="F674" s="24" t="n">
        <v>-0.424212962</v>
      </c>
    </row>
    <row r="675" customFormat="false" ht="15" hidden="false" customHeight="false" outlineLevel="0" collapsed="false">
      <c r="A675" s="3" t="n">
        <v>674</v>
      </c>
      <c r="B675" s="3" t="n">
        <v>673</v>
      </c>
      <c r="C675" s="3" t="n">
        <v>0</v>
      </c>
      <c r="D675" s="3" t="n">
        <v>24</v>
      </c>
      <c r="E675" s="3" t="n">
        <v>1</v>
      </c>
      <c r="F675" s="24" t="n">
        <v>-0.424212962</v>
      </c>
    </row>
    <row r="676" customFormat="false" ht="15" hidden="false" customHeight="false" outlineLevel="0" collapsed="false">
      <c r="A676" s="3" t="n">
        <v>675</v>
      </c>
      <c r="B676" s="3" t="n">
        <v>674</v>
      </c>
      <c r="C676" s="3" t="n">
        <v>0</v>
      </c>
      <c r="D676" s="3" t="n">
        <v>24</v>
      </c>
      <c r="E676" s="3" t="n">
        <v>2</v>
      </c>
      <c r="F676" s="24" t="n">
        <v>-0.424212962</v>
      </c>
    </row>
    <row r="677" customFormat="false" ht="15" hidden="false" customHeight="false" outlineLevel="0" collapsed="false">
      <c r="A677" s="3" t="n">
        <v>676</v>
      </c>
      <c r="B677" s="3" t="n">
        <v>675</v>
      </c>
      <c r="C677" s="3" t="n">
        <v>0</v>
      </c>
      <c r="D677" s="3" t="n">
        <v>24</v>
      </c>
      <c r="E677" s="3" t="n">
        <v>3</v>
      </c>
      <c r="F677" s="24" t="n">
        <v>-0.424212962</v>
      </c>
    </row>
    <row r="678" customFormat="false" ht="15" hidden="false" customHeight="false" outlineLevel="0" collapsed="false">
      <c r="A678" s="3" t="n">
        <v>677</v>
      </c>
      <c r="B678" s="3" t="n">
        <v>676</v>
      </c>
      <c r="C678" s="3" t="n">
        <v>0</v>
      </c>
      <c r="D678" s="3" t="n">
        <v>24</v>
      </c>
      <c r="E678" s="3" t="n">
        <v>4</v>
      </c>
      <c r="F678" s="24" t="n">
        <v>-0.424212962</v>
      </c>
    </row>
    <row r="679" customFormat="false" ht="15" hidden="false" customHeight="false" outlineLevel="0" collapsed="false">
      <c r="A679" s="3" t="n">
        <v>678</v>
      </c>
      <c r="B679" s="3" t="n">
        <v>677</v>
      </c>
      <c r="C679" s="3" t="n">
        <v>0</v>
      </c>
      <c r="D679" s="3" t="n">
        <v>24</v>
      </c>
      <c r="E679" s="3" t="n">
        <v>5</v>
      </c>
      <c r="F679" s="24" t="n">
        <v>-0.424212962</v>
      </c>
    </row>
    <row r="680" customFormat="false" ht="15" hidden="false" customHeight="false" outlineLevel="0" collapsed="false">
      <c r="A680" s="3" t="n">
        <v>679</v>
      </c>
      <c r="B680" s="3" t="n">
        <v>678</v>
      </c>
      <c r="C680" s="3" t="n">
        <v>0</v>
      </c>
      <c r="D680" s="3" t="n">
        <v>24</v>
      </c>
      <c r="E680" s="3" t="n">
        <v>6</v>
      </c>
      <c r="F680" s="24" t="n">
        <v>-0.424212962</v>
      </c>
    </row>
    <row r="681" customFormat="false" ht="15" hidden="false" customHeight="false" outlineLevel="0" collapsed="false">
      <c r="A681" s="3" t="n">
        <v>680</v>
      </c>
      <c r="B681" s="3" t="n">
        <v>679</v>
      </c>
      <c r="C681" s="3" t="n">
        <v>0</v>
      </c>
      <c r="D681" s="3" t="n">
        <v>24</v>
      </c>
      <c r="E681" s="3" t="n">
        <v>7</v>
      </c>
      <c r="F681" s="24" t="n">
        <v>-0.424212962</v>
      </c>
    </row>
    <row r="682" customFormat="false" ht="15" hidden="false" customHeight="false" outlineLevel="0" collapsed="false">
      <c r="A682" s="3" t="n">
        <v>681</v>
      </c>
      <c r="B682" s="3" t="n">
        <v>680</v>
      </c>
      <c r="C682" s="3" t="n">
        <v>0</v>
      </c>
      <c r="D682" s="3" t="n">
        <v>24</v>
      </c>
      <c r="E682" s="3" t="n">
        <v>8</v>
      </c>
      <c r="F682" s="24" t="n">
        <v>-0.424212962</v>
      </c>
    </row>
    <row r="683" customFormat="false" ht="15" hidden="false" customHeight="false" outlineLevel="0" collapsed="false">
      <c r="A683" s="3" t="n">
        <v>682</v>
      </c>
      <c r="B683" s="3" t="n">
        <v>681</v>
      </c>
      <c r="C683" s="3" t="n">
        <v>0</v>
      </c>
      <c r="D683" s="3" t="n">
        <v>24</v>
      </c>
      <c r="E683" s="3" t="n">
        <v>9</v>
      </c>
      <c r="F683" s="24" t="n">
        <v>-0.424212962</v>
      </c>
    </row>
    <row r="684" customFormat="false" ht="15" hidden="false" customHeight="false" outlineLevel="0" collapsed="false">
      <c r="A684" s="3" t="n">
        <v>683</v>
      </c>
      <c r="B684" s="3" t="n">
        <v>682</v>
      </c>
      <c r="C684" s="3" t="n">
        <v>0</v>
      </c>
      <c r="D684" s="3" t="n">
        <v>24</v>
      </c>
      <c r="E684" s="3" t="n">
        <v>10</v>
      </c>
      <c r="F684" s="24" t="n">
        <v>0.3522093</v>
      </c>
    </row>
    <row r="685" customFormat="false" ht="15" hidden="false" customHeight="false" outlineLevel="0" collapsed="false">
      <c r="A685" s="3" t="n">
        <v>684</v>
      </c>
      <c r="B685" s="3" t="n">
        <v>683</v>
      </c>
      <c r="C685" s="3" t="n">
        <v>0</v>
      </c>
      <c r="D685" s="3" t="n">
        <v>24</v>
      </c>
      <c r="E685" s="3" t="n">
        <v>11</v>
      </c>
      <c r="F685" s="24" t="n">
        <v>2.65601969</v>
      </c>
    </row>
    <row r="686" customFormat="false" ht="15" hidden="false" customHeight="false" outlineLevel="0" collapsed="false">
      <c r="A686" s="3" t="n">
        <v>685</v>
      </c>
      <c r="B686" s="3" t="n">
        <v>684</v>
      </c>
      <c r="C686" s="3" t="n">
        <v>0</v>
      </c>
      <c r="D686" s="3" t="n">
        <v>24</v>
      </c>
      <c r="E686" s="3" t="n">
        <v>12</v>
      </c>
      <c r="F686" s="24" t="n">
        <v>2.8087585</v>
      </c>
    </row>
    <row r="687" customFormat="false" ht="15" hidden="false" customHeight="false" outlineLevel="0" collapsed="false">
      <c r="A687" s="3" t="n">
        <v>686</v>
      </c>
      <c r="B687" s="3" t="n">
        <v>685</v>
      </c>
      <c r="C687" s="3" t="n">
        <v>0</v>
      </c>
      <c r="D687" s="3" t="n">
        <v>24</v>
      </c>
      <c r="E687" s="3" t="n">
        <v>13</v>
      </c>
      <c r="F687" s="24" t="n">
        <v>2.8087585</v>
      </c>
    </row>
    <row r="688" customFormat="false" ht="15" hidden="false" customHeight="false" outlineLevel="0" collapsed="false">
      <c r="A688" s="3" t="n">
        <v>687</v>
      </c>
      <c r="B688" s="3" t="n">
        <v>686</v>
      </c>
      <c r="C688" s="3" t="n">
        <v>0</v>
      </c>
      <c r="D688" s="3" t="n">
        <v>24</v>
      </c>
      <c r="E688" s="3" t="n">
        <v>14</v>
      </c>
      <c r="F688" s="24" t="n">
        <v>0.237655208</v>
      </c>
    </row>
    <row r="689" customFormat="false" ht="15" hidden="false" customHeight="false" outlineLevel="0" collapsed="false">
      <c r="A689" s="3" t="n">
        <v>688</v>
      </c>
      <c r="B689" s="3" t="n">
        <v>687</v>
      </c>
      <c r="C689" s="3" t="n">
        <v>0</v>
      </c>
      <c r="D689" s="3" t="n">
        <v>24</v>
      </c>
      <c r="E689" s="3" t="n">
        <v>15</v>
      </c>
      <c r="F689" s="24" t="n">
        <v>-0.424212962</v>
      </c>
    </row>
    <row r="690" customFormat="false" ht="15" hidden="false" customHeight="false" outlineLevel="0" collapsed="false">
      <c r="A690" s="3" t="n">
        <v>689</v>
      </c>
      <c r="B690" s="3" t="n">
        <v>688</v>
      </c>
      <c r="C690" s="3" t="n">
        <v>0</v>
      </c>
      <c r="D690" s="3" t="n">
        <v>24</v>
      </c>
      <c r="E690" s="3" t="n">
        <v>16</v>
      </c>
      <c r="F690" s="24" t="n">
        <v>-0.424212962</v>
      </c>
    </row>
    <row r="691" customFormat="false" ht="15" hidden="false" customHeight="false" outlineLevel="0" collapsed="false">
      <c r="A691" s="3" t="n">
        <v>690</v>
      </c>
      <c r="B691" s="3" t="n">
        <v>689</v>
      </c>
      <c r="C691" s="3" t="n">
        <v>0</v>
      </c>
      <c r="D691" s="3" t="n">
        <v>24</v>
      </c>
      <c r="E691" s="3" t="n">
        <v>17</v>
      </c>
      <c r="F691" s="24" t="n">
        <v>-0.424212962</v>
      </c>
    </row>
    <row r="692" customFormat="false" ht="15" hidden="false" customHeight="false" outlineLevel="0" collapsed="false">
      <c r="A692" s="3" t="n">
        <v>691</v>
      </c>
      <c r="B692" s="3" t="n">
        <v>690</v>
      </c>
      <c r="C692" s="3" t="n">
        <v>0</v>
      </c>
      <c r="D692" s="3" t="n">
        <v>24</v>
      </c>
      <c r="E692" s="3" t="n">
        <v>18</v>
      </c>
      <c r="F692" s="24" t="n">
        <v>-0.424212962</v>
      </c>
    </row>
    <row r="693" customFormat="false" ht="15" hidden="false" customHeight="false" outlineLevel="0" collapsed="false">
      <c r="A693" s="3" t="n">
        <v>692</v>
      </c>
      <c r="B693" s="3" t="n">
        <v>691</v>
      </c>
      <c r="C693" s="3" t="n">
        <v>0</v>
      </c>
      <c r="D693" s="3" t="n">
        <v>24</v>
      </c>
      <c r="E693" s="3" t="n">
        <v>19</v>
      </c>
      <c r="F693" s="24" t="n">
        <v>-0.424212962</v>
      </c>
    </row>
    <row r="694" customFormat="false" ht="15" hidden="false" customHeight="false" outlineLevel="0" collapsed="false">
      <c r="A694" s="3" t="n">
        <v>693</v>
      </c>
      <c r="B694" s="3" t="n">
        <v>692</v>
      </c>
      <c r="C694" s="3" t="n">
        <v>0</v>
      </c>
      <c r="D694" s="3" t="n">
        <v>24</v>
      </c>
      <c r="E694" s="3" t="n">
        <v>20</v>
      </c>
      <c r="F694" s="24" t="n">
        <v>-0.424212962</v>
      </c>
    </row>
    <row r="695" customFormat="false" ht="15" hidden="false" customHeight="false" outlineLevel="0" collapsed="false">
      <c r="A695" s="3" t="n">
        <v>694</v>
      </c>
      <c r="B695" s="3" t="n">
        <v>693</v>
      </c>
      <c r="C695" s="3" t="n">
        <v>0</v>
      </c>
      <c r="D695" s="3" t="n">
        <v>24</v>
      </c>
      <c r="E695" s="3" t="n">
        <v>21</v>
      </c>
      <c r="F695" s="24" t="n">
        <v>-0.424212962</v>
      </c>
    </row>
    <row r="696" customFormat="false" ht="15" hidden="false" customHeight="false" outlineLevel="0" collapsed="false">
      <c r="A696" s="3" t="n">
        <v>695</v>
      </c>
      <c r="B696" s="3" t="n">
        <v>694</v>
      </c>
      <c r="C696" s="3" t="n">
        <v>0</v>
      </c>
      <c r="D696" s="3" t="n">
        <v>24</v>
      </c>
      <c r="E696" s="3" t="n">
        <v>22</v>
      </c>
      <c r="F696" s="24" t="n">
        <v>-0.424212962</v>
      </c>
    </row>
    <row r="697" customFormat="false" ht="15" hidden="false" customHeight="false" outlineLevel="0" collapsed="false">
      <c r="A697" s="3" t="n">
        <v>696</v>
      </c>
      <c r="B697" s="3" t="n">
        <v>695</v>
      </c>
      <c r="C697" s="3" t="n">
        <v>0</v>
      </c>
      <c r="D697" s="3" t="n">
        <v>24</v>
      </c>
      <c r="E697" s="3" t="n">
        <v>23</v>
      </c>
      <c r="F697" s="24" t="n">
        <v>-0.424212962</v>
      </c>
    </row>
    <row r="698" customFormat="false" ht="15" hidden="false" customHeight="false" outlineLevel="0" collapsed="false">
      <c r="A698" s="3" t="n">
        <v>697</v>
      </c>
      <c r="B698" s="3" t="n">
        <v>696</v>
      </c>
      <c r="C698" s="3" t="n">
        <v>0</v>
      </c>
      <c r="D698" s="3" t="n">
        <v>24</v>
      </c>
      <c r="E698" s="3" t="n">
        <v>24</v>
      </c>
      <c r="F698" s="24" t="n">
        <v>-0.424212962</v>
      </c>
    </row>
    <row r="699" customFormat="false" ht="15" hidden="false" customHeight="false" outlineLevel="0" collapsed="false">
      <c r="A699" s="3" t="n">
        <v>698</v>
      </c>
      <c r="B699" s="3" t="n">
        <v>697</v>
      </c>
      <c r="C699" s="3" t="n">
        <v>0</v>
      </c>
      <c r="D699" s="3" t="n">
        <v>24</v>
      </c>
      <c r="E699" s="3" t="n">
        <v>25</v>
      </c>
      <c r="F699" s="24" t="n">
        <v>-0.424212962</v>
      </c>
    </row>
    <row r="700" customFormat="false" ht="15" hidden="false" customHeight="false" outlineLevel="0" collapsed="false">
      <c r="A700" s="3" t="n">
        <v>699</v>
      </c>
      <c r="B700" s="3" t="n">
        <v>698</v>
      </c>
      <c r="C700" s="3" t="n">
        <v>0</v>
      </c>
      <c r="D700" s="3" t="n">
        <v>24</v>
      </c>
      <c r="E700" s="3" t="n">
        <v>26</v>
      </c>
      <c r="F700" s="24" t="n">
        <v>-0.424212962</v>
      </c>
    </row>
    <row r="701" customFormat="false" ht="15" hidden="false" customHeight="false" outlineLevel="0" collapsed="false">
      <c r="A701" s="3" t="n">
        <v>700</v>
      </c>
      <c r="B701" s="3" t="n">
        <v>699</v>
      </c>
      <c r="C701" s="3" t="n">
        <v>0</v>
      </c>
      <c r="D701" s="3" t="n">
        <v>24</v>
      </c>
      <c r="E701" s="3" t="n">
        <v>27</v>
      </c>
      <c r="F701" s="24" t="n">
        <v>-0.424212962</v>
      </c>
    </row>
    <row r="702" customFormat="false" ht="15" hidden="false" customHeight="false" outlineLevel="0" collapsed="false">
      <c r="A702" s="3" t="n">
        <v>701</v>
      </c>
      <c r="B702" s="3" t="n">
        <v>700</v>
      </c>
      <c r="C702" s="3" t="n">
        <v>0</v>
      </c>
      <c r="D702" s="3" t="n">
        <v>25</v>
      </c>
      <c r="E702" s="3" t="n">
        <v>0</v>
      </c>
      <c r="F702" s="24" t="n">
        <v>-0.424212962</v>
      </c>
    </row>
    <row r="703" customFormat="false" ht="15" hidden="false" customHeight="false" outlineLevel="0" collapsed="false">
      <c r="A703" s="3" t="n">
        <v>702</v>
      </c>
      <c r="B703" s="3" t="n">
        <v>701</v>
      </c>
      <c r="C703" s="3" t="n">
        <v>0</v>
      </c>
      <c r="D703" s="3" t="n">
        <v>25</v>
      </c>
      <c r="E703" s="3" t="n">
        <v>1</v>
      </c>
      <c r="F703" s="24" t="n">
        <v>-0.424212962</v>
      </c>
    </row>
    <row r="704" customFormat="false" ht="15" hidden="false" customHeight="false" outlineLevel="0" collapsed="false">
      <c r="A704" s="3" t="n">
        <v>703</v>
      </c>
      <c r="B704" s="3" t="n">
        <v>702</v>
      </c>
      <c r="C704" s="3" t="n">
        <v>0</v>
      </c>
      <c r="D704" s="3" t="n">
        <v>25</v>
      </c>
      <c r="E704" s="3" t="n">
        <v>2</v>
      </c>
      <c r="F704" s="24" t="n">
        <v>-0.424212962</v>
      </c>
    </row>
    <row r="705" customFormat="false" ht="15" hidden="false" customHeight="false" outlineLevel="0" collapsed="false">
      <c r="A705" s="3" t="n">
        <v>704</v>
      </c>
      <c r="B705" s="3" t="n">
        <v>703</v>
      </c>
      <c r="C705" s="3" t="n">
        <v>0</v>
      </c>
      <c r="D705" s="3" t="n">
        <v>25</v>
      </c>
      <c r="E705" s="3" t="n">
        <v>3</v>
      </c>
      <c r="F705" s="24" t="n">
        <v>-0.424212962</v>
      </c>
    </row>
    <row r="706" customFormat="false" ht="15" hidden="false" customHeight="false" outlineLevel="0" collapsed="false">
      <c r="A706" s="3" t="n">
        <v>705</v>
      </c>
      <c r="B706" s="3" t="n">
        <v>704</v>
      </c>
      <c r="C706" s="3" t="n">
        <v>0</v>
      </c>
      <c r="D706" s="3" t="n">
        <v>25</v>
      </c>
      <c r="E706" s="3" t="n">
        <v>4</v>
      </c>
      <c r="F706" s="24" t="n">
        <v>-0.424212962</v>
      </c>
    </row>
    <row r="707" customFormat="false" ht="15" hidden="false" customHeight="false" outlineLevel="0" collapsed="false">
      <c r="A707" s="3" t="n">
        <v>706</v>
      </c>
      <c r="B707" s="3" t="n">
        <v>705</v>
      </c>
      <c r="C707" s="3" t="n">
        <v>0</v>
      </c>
      <c r="D707" s="3" t="n">
        <v>25</v>
      </c>
      <c r="E707" s="3" t="n">
        <v>5</v>
      </c>
      <c r="F707" s="24" t="n">
        <v>-0.424212962</v>
      </c>
    </row>
    <row r="708" customFormat="false" ht="15" hidden="false" customHeight="false" outlineLevel="0" collapsed="false">
      <c r="A708" s="3" t="n">
        <v>707</v>
      </c>
      <c r="B708" s="3" t="n">
        <v>706</v>
      </c>
      <c r="C708" s="3" t="n">
        <v>0</v>
      </c>
      <c r="D708" s="3" t="n">
        <v>25</v>
      </c>
      <c r="E708" s="3" t="n">
        <v>6</v>
      </c>
      <c r="F708" s="24" t="n">
        <v>-0.424212962</v>
      </c>
    </row>
    <row r="709" customFormat="false" ht="15" hidden="false" customHeight="false" outlineLevel="0" collapsed="false">
      <c r="A709" s="3" t="n">
        <v>708</v>
      </c>
      <c r="B709" s="3" t="n">
        <v>707</v>
      </c>
      <c r="C709" s="3" t="n">
        <v>0</v>
      </c>
      <c r="D709" s="3" t="n">
        <v>25</v>
      </c>
      <c r="E709" s="3" t="n">
        <v>7</v>
      </c>
      <c r="F709" s="24" t="n">
        <v>-0.424212962</v>
      </c>
    </row>
    <row r="710" customFormat="false" ht="15" hidden="false" customHeight="false" outlineLevel="0" collapsed="false">
      <c r="A710" s="3" t="n">
        <v>709</v>
      </c>
      <c r="B710" s="3" t="n">
        <v>708</v>
      </c>
      <c r="C710" s="3" t="n">
        <v>0</v>
      </c>
      <c r="D710" s="3" t="n">
        <v>25</v>
      </c>
      <c r="E710" s="3" t="n">
        <v>8</v>
      </c>
      <c r="F710" s="24" t="n">
        <v>-0.424212962</v>
      </c>
    </row>
    <row r="711" customFormat="false" ht="15" hidden="false" customHeight="false" outlineLevel="0" collapsed="false">
      <c r="A711" s="3" t="n">
        <v>710</v>
      </c>
      <c r="B711" s="3" t="n">
        <v>709</v>
      </c>
      <c r="C711" s="3" t="n">
        <v>0</v>
      </c>
      <c r="D711" s="3" t="n">
        <v>25</v>
      </c>
      <c r="E711" s="3" t="n">
        <v>9</v>
      </c>
      <c r="F711" s="24" t="n">
        <v>-0.424212962</v>
      </c>
    </row>
    <row r="712" customFormat="false" ht="15" hidden="false" customHeight="false" outlineLevel="0" collapsed="false">
      <c r="A712" s="3" t="n">
        <v>711</v>
      </c>
      <c r="B712" s="3" t="n">
        <v>710</v>
      </c>
      <c r="C712" s="3" t="n">
        <v>0</v>
      </c>
      <c r="D712" s="3" t="n">
        <v>25</v>
      </c>
      <c r="E712" s="3" t="n">
        <v>10</v>
      </c>
      <c r="F712" s="24" t="n">
        <v>1.11590326</v>
      </c>
    </row>
    <row r="713" customFormat="false" ht="15" hidden="false" customHeight="false" outlineLevel="0" collapsed="false">
      <c r="A713" s="3" t="n">
        <v>712</v>
      </c>
      <c r="B713" s="3" t="n">
        <v>711</v>
      </c>
      <c r="C713" s="3" t="n">
        <v>0</v>
      </c>
      <c r="D713" s="3" t="n">
        <v>25</v>
      </c>
      <c r="E713" s="3" t="n">
        <v>11</v>
      </c>
      <c r="F713" s="24" t="n">
        <v>2.8087585</v>
      </c>
    </row>
    <row r="714" customFormat="false" ht="15" hidden="false" customHeight="false" outlineLevel="0" collapsed="false">
      <c r="A714" s="3" t="n">
        <v>713</v>
      </c>
      <c r="B714" s="3" t="n">
        <v>712</v>
      </c>
      <c r="C714" s="3" t="n">
        <v>0</v>
      </c>
      <c r="D714" s="3" t="n">
        <v>25</v>
      </c>
      <c r="E714" s="3" t="n">
        <v>12</v>
      </c>
      <c r="F714" s="24" t="n">
        <v>2.8087585</v>
      </c>
    </row>
    <row r="715" customFormat="false" ht="15" hidden="false" customHeight="false" outlineLevel="0" collapsed="false">
      <c r="A715" s="3" t="n">
        <v>714</v>
      </c>
      <c r="B715" s="3" t="n">
        <v>713</v>
      </c>
      <c r="C715" s="3" t="n">
        <v>0</v>
      </c>
      <c r="D715" s="3" t="n">
        <v>25</v>
      </c>
      <c r="E715" s="3" t="n">
        <v>13</v>
      </c>
      <c r="F715" s="24" t="n">
        <v>2.36327028</v>
      </c>
    </row>
    <row r="716" customFormat="false" ht="15" hidden="false" customHeight="false" outlineLevel="0" collapsed="false">
      <c r="A716" s="3" t="n">
        <v>715</v>
      </c>
      <c r="B716" s="3" t="n">
        <v>714</v>
      </c>
      <c r="C716" s="3" t="n">
        <v>0</v>
      </c>
      <c r="D716" s="3" t="n">
        <v>25</v>
      </c>
      <c r="E716" s="3" t="n">
        <v>14</v>
      </c>
      <c r="F716" s="24" t="n">
        <v>0.0849164054</v>
      </c>
    </row>
    <row r="717" customFormat="false" ht="15" hidden="false" customHeight="false" outlineLevel="0" collapsed="false">
      <c r="A717" s="3" t="n">
        <v>716</v>
      </c>
      <c r="B717" s="3" t="n">
        <v>715</v>
      </c>
      <c r="C717" s="3" t="n">
        <v>0</v>
      </c>
      <c r="D717" s="3" t="n">
        <v>25</v>
      </c>
      <c r="E717" s="3" t="n">
        <v>15</v>
      </c>
      <c r="F717" s="24" t="n">
        <v>-0.424212962</v>
      </c>
    </row>
    <row r="718" customFormat="false" ht="15" hidden="false" customHeight="false" outlineLevel="0" collapsed="false">
      <c r="A718" s="3" t="n">
        <v>717</v>
      </c>
      <c r="B718" s="3" t="n">
        <v>716</v>
      </c>
      <c r="C718" s="3" t="n">
        <v>0</v>
      </c>
      <c r="D718" s="3" t="n">
        <v>25</v>
      </c>
      <c r="E718" s="3" t="n">
        <v>16</v>
      </c>
      <c r="F718" s="24" t="n">
        <v>-0.424212962</v>
      </c>
    </row>
    <row r="719" customFormat="false" ht="15" hidden="false" customHeight="false" outlineLevel="0" collapsed="false">
      <c r="A719" s="3" t="n">
        <v>718</v>
      </c>
      <c r="B719" s="3" t="n">
        <v>717</v>
      </c>
      <c r="C719" s="3" t="n">
        <v>0</v>
      </c>
      <c r="D719" s="3" t="n">
        <v>25</v>
      </c>
      <c r="E719" s="3" t="n">
        <v>17</v>
      </c>
      <c r="F719" s="24" t="n">
        <v>-0.424212962</v>
      </c>
    </row>
    <row r="720" customFormat="false" ht="15" hidden="false" customHeight="false" outlineLevel="0" collapsed="false">
      <c r="A720" s="3" t="n">
        <v>719</v>
      </c>
      <c r="B720" s="3" t="n">
        <v>718</v>
      </c>
      <c r="C720" s="3" t="n">
        <v>0</v>
      </c>
      <c r="D720" s="3" t="n">
        <v>25</v>
      </c>
      <c r="E720" s="3" t="n">
        <v>18</v>
      </c>
      <c r="F720" s="24" t="n">
        <v>-0.424212962</v>
      </c>
    </row>
    <row r="721" customFormat="false" ht="15" hidden="false" customHeight="false" outlineLevel="0" collapsed="false">
      <c r="A721" s="3" t="n">
        <v>720</v>
      </c>
      <c r="B721" s="3" t="n">
        <v>719</v>
      </c>
      <c r="C721" s="3" t="n">
        <v>0</v>
      </c>
      <c r="D721" s="3" t="n">
        <v>25</v>
      </c>
      <c r="E721" s="3" t="n">
        <v>19</v>
      </c>
      <c r="F721" s="24" t="n">
        <v>-0.424212962</v>
      </c>
    </row>
    <row r="722" customFormat="false" ht="15" hidden="false" customHeight="false" outlineLevel="0" collapsed="false">
      <c r="A722" s="3" t="n">
        <v>721</v>
      </c>
      <c r="B722" s="3" t="n">
        <v>720</v>
      </c>
      <c r="C722" s="3" t="n">
        <v>0</v>
      </c>
      <c r="D722" s="3" t="n">
        <v>25</v>
      </c>
      <c r="E722" s="3" t="n">
        <v>20</v>
      </c>
      <c r="F722" s="24" t="n">
        <v>-0.424212962</v>
      </c>
    </row>
    <row r="723" customFormat="false" ht="15" hidden="false" customHeight="false" outlineLevel="0" collapsed="false">
      <c r="A723" s="3" t="n">
        <v>722</v>
      </c>
      <c r="B723" s="3" t="n">
        <v>721</v>
      </c>
      <c r="C723" s="3" t="n">
        <v>0</v>
      </c>
      <c r="D723" s="3" t="n">
        <v>25</v>
      </c>
      <c r="E723" s="3" t="n">
        <v>21</v>
      </c>
      <c r="F723" s="24" t="n">
        <v>-0.424212962</v>
      </c>
    </row>
    <row r="724" customFormat="false" ht="15" hidden="false" customHeight="false" outlineLevel="0" collapsed="false">
      <c r="A724" s="3" t="n">
        <v>723</v>
      </c>
      <c r="B724" s="3" t="n">
        <v>722</v>
      </c>
      <c r="C724" s="3" t="n">
        <v>0</v>
      </c>
      <c r="D724" s="3" t="n">
        <v>25</v>
      </c>
      <c r="E724" s="3" t="n">
        <v>22</v>
      </c>
      <c r="F724" s="24" t="n">
        <v>-0.424212962</v>
      </c>
    </row>
    <row r="725" customFormat="false" ht="15" hidden="false" customHeight="false" outlineLevel="0" collapsed="false">
      <c r="A725" s="3" t="n">
        <v>724</v>
      </c>
      <c r="B725" s="3" t="n">
        <v>723</v>
      </c>
      <c r="C725" s="3" t="n">
        <v>0</v>
      </c>
      <c r="D725" s="3" t="n">
        <v>25</v>
      </c>
      <c r="E725" s="3" t="n">
        <v>23</v>
      </c>
      <c r="F725" s="24" t="n">
        <v>-0.424212962</v>
      </c>
    </row>
    <row r="726" customFormat="false" ht="15" hidden="false" customHeight="false" outlineLevel="0" collapsed="false">
      <c r="A726" s="3" t="n">
        <v>725</v>
      </c>
      <c r="B726" s="3" t="n">
        <v>724</v>
      </c>
      <c r="C726" s="3" t="n">
        <v>0</v>
      </c>
      <c r="D726" s="3" t="n">
        <v>25</v>
      </c>
      <c r="E726" s="3" t="n">
        <v>24</v>
      </c>
      <c r="F726" s="24" t="n">
        <v>-0.424212962</v>
      </c>
    </row>
    <row r="727" customFormat="false" ht="15" hidden="false" customHeight="false" outlineLevel="0" collapsed="false">
      <c r="A727" s="3" t="n">
        <v>726</v>
      </c>
      <c r="B727" s="3" t="n">
        <v>725</v>
      </c>
      <c r="C727" s="3" t="n">
        <v>0</v>
      </c>
      <c r="D727" s="3" t="n">
        <v>25</v>
      </c>
      <c r="E727" s="3" t="n">
        <v>25</v>
      </c>
      <c r="F727" s="24" t="n">
        <v>-0.424212962</v>
      </c>
    </row>
    <row r="728" customFormat="false" ht="15" hidden="false" customHeight="false" outlineLevel="0" collapsed="false">
      <c r="A728" s="3" t="n">
        <v>727</v>
      </c>
      <c r="B728" s="3" t="n">
        <v>726</v>
      </c>
      <c r="C728" s="3" t="n">
        <v>0</v>
      </c>
      <c r="D728" s="3" t="n">
        <v>25</v>
      </c>
      <c r="E728" s="3" t="n">
        <v>26</v>
      </c>
      <c r="F728" s="24" t="n">
        <v>-0.424212962</v>
      </c>
    </row>
    <row r="729" customFormat="false" ht="15" hidden="false" customHeight="false" outlineLevel="0" collapsed="false">
      <c r="A729" s="3" t="n">
        <v>728</v>
      </c>
      <c r="B729" s="3" t="n">
        <v>727</v>
      </c>
      <c r="C729" s="3" t="n">
        <v>0</v>
      </c>
      <c r="D729" s="3" t="n">
        <v>25</v>
      </c>
      <c r="E729" s="3" t="n">
        <v>27</v>
      </c>
      <c r="F729" s="24" t="n">
        <v>-0.424212962</v>
      </c>
    </row>
    <row r="730" customFormat="false" ht="15" hidden="false" customHeight="false" outlineLevel="0" collapsed="false">
      <c r="A730" s="3" t="n">
        <v>729</v>
      </c>
      <c r="B730" s="3" t="n">
        <v>728</v>
      </c>
      <c r="C730" s="3" t="n">
        <v>0</v>
      </c>
      <c r="D730" s="3" t="n">
        <v>26</v>
      </c>
      <c r="E730" s="3" t="n">
        <v>0</v>
      </c>
      <c r="F730" s="24" t="n">
        <v>-0.424212962</v>
      </c>
    </row>
    <row r="731" customFormat="false" ht="15" hidden="false" customHeight="false" outlineLevel="0" collapsed="false">
      <c r="A731" s="3" t="n">
        <v>730</v>
      </c>
      <c r="B731" s="3" t="n">
        <v>729</v>
      </c>
      <c r="C731" s="3" t="n">
        <v>0</v>
      </c>
      <c r="D731" s="3" t="n">
        <v>26</v>
      </c>
      <c r="E731" s="3" t="n">
        <v>1</v>
      </c>
      <c r="F731" s="24" t="n">
        <v>-0.424212962</v>
      </c>
    </row>
    <row r="732" customFormat="false" ht="15" hidden="false" customHeight="false" outlineLevel="0" collapsed="false">
      <c r="A732" s="3" t="n">
        <v>731</v>
      </c>
      <c r="B732" s="3" t="n">
        <v>730</v>
      </c>
      <c r="C732" s="3" t="n">
        <v>0</v>
      </c>
      <c r="D732" s="3" t="n">
        <v>26</v>
      </c>
      <c r="E732" s="3" t="n">
        <v>2</v>
      </c>
      <c r="F732" s="24" t="n">
        <v>-0.424212962</v>
      </c>
    </row>
    <row r="733" customFormat="false" ht="15" hidden="false" customHeight="false" outlineLevel="0" collapsed="false">
      <c r="A733" s="3" t="n">
        <v>732</v>
      </c>
      <c r="B733" s="3" t="n">
        <v>731</v>
      </c>
      <c r="C733" s="3" t="n">
        <v>0</v>
      </c>
      <c r="D733" s="3" t="n">
        <v>26</v>
      </c>
      <c r="E733" s="3" t="n">
        <v>3</v>
      </c>
      <c r="F733" s="24" t="n">
        <v>-0.424212962</v>
      </c>
    </row>
    <row r="734" customFormat="false" ht="15" hidden="false" customHeight="false" outlineLevel="0" collapsed="false">
      <c r="A734" s="3" t="n">
        <v>733</v>
      </c>
      <c r="B734" s="3" t="n">
        <v>732</v>
      </c>
      <c r="C734" s="3" t="n">
        <v>0</v>
      </c>
      <c r="D734" s="3" t="n">
        <v>26</v>
      </c>
      <c r="E734" s="3" t="n">
        <v>4</v>
      </c>
      <c r="F734" s="24" t="n">
        <v>-0.424212962</v>
      </c>
    </row>
    <row r="735" customFormat="false" ht="15" hidden="false" customHeight="false" outlineLevel="0" collapsed="false">
      <c r="A735" s="3" t="n">
        <v>734</v>
      </c>
      <c r="B735" s="3" t="n">
        <v>733</v>
      </c>
      <c r="C735" s="3" t="n">
        <v>0</v>
      </c>
      <c r="D735" s="3" t="n">
        <v>26</v>
      </c>
      <c r="E735" s="3" t="n">
        <v>5</v>
      </c>
      <c r="F735" s="24" t="n">
        <v>-0.424212962</v>
      </c>
    </row>
    <row r="736" customFormat="false" ht="15" hidden="false" customHeight="false" outlineLevel="0" collapsed="false">
      <c r="A736" s="3" t="n">
        <v>735</v>
      </c>
      <c r="B736" s="3" t="n">
        <v>734</v>
      </c>
      <c r="C736" s="3" t="n">
        <v>0</v>
      </c>
      <c r="D736" s="3" t="n">
        <v>26</v>
      </c>
      <c r="E736" s="3" t="n">
        <v>6</v>
      </c>
      <c r="F736" s="24" t="n">
        <v>-0.424212962</v>
      </c>
    </row>
    <row r="737" customFormat="false" ht="15" hidden="false" customHeight="false" outlineLevel="0" collapsed="false">
      <c r="A737" s="3" t="n">
        <v>736</v>
      </c>
      <c r="B737" s="3" t="n">
        <v>735</v>
      </c>
      <c r="C737" s="3" t="n">
        <v>0</v>
      </c>
      <c r="D737" s="3" t="n">
        <v>26</v>
      </c>
      <c r="E737" s="3" t="n">
        <v>7</v>
      </c>
      <c r="F737" s="24" t="n">
        <v>-0.424212962</v>
      </c>
    </row>
    <row r="738" customFormat="false" ht="15" hidden="false" customHeight="false" outlineLevel="0" collapsed="false">
      <c r="A738" s="3" t="n">
        <v>737</v>
      </c>
      <c r="B738" s="3" t="n">
        <v>736</v>
      </c>
      <c r="C738" s="3" t="n">
        <v>0</v>
      </c>
      <c r="D738" s="3" t="n">
        <v>26</v>
      </c>
      <c r="E738" s="3" t="n">
        <v>8</v>
      </c>
      <c r="F738" s="24" t="n">
        <v>-0.424212962</v>
      </c>
    </row>
    <row r="739" customFormat="false" ht="15" hidden="false" customHeight="false" outlineLevel="0" collapsed="false">
      <c r="A739" s="3" t="n">
        <v>738</v>
      </c>
      <c r="B739" s="3" t="n">
        <v>737</v>
      </c>
      <c r="C739" s="3" t="n">
        <v>0</v>
      </c>
      <c r="D739" s="3" t="n">
        <v>26</v>
      </c>
      <c r="E739" s="3" t="n">
        <v>9</v>
      </c>
      <c r="F739" s="24" t="n">
        <v>-0.424212962</v>
      </c>
    </row>
    <row r="740" customFormat="false" ht="15" hidden="false" customHeight="false" outlineLevel="0" collapsed="false">
      <c r="A740" s="3" t="n">
        <v>739</v>
      </c>
      <c r="B740" s="3" t="n">
        <v>738</v>
      </c>
      <c r="C740" s="3" t="n">
        <v>0</v>
      </c>
      <c r="D740" s="3" t="n">
        <v>26</v>
      </c>
      <c r="E740" s="3" t="n">
        <v>10</v>
      </c>
      <c r="F740" s="24" t="n">
        <v>1.11590326</v>
      </c>
    </row>
    <row r="741" customFormat="false" ht="15" hidden="false" customHeight="false" outlineLevel="0" collapsed="false">
      <c r="A741" s="3" t="n">
        <v>740</v>
      </c>
      <c r="B741" s="3" t="n">
        <v>739</v>
      </c>
      <c r="C741" s="3" t="n">
        <v>0</v>
      </c>
      <c r="D741" s="3" t="n">
        <v>26</v>
      </c>
      <c r="E741" s="3" t="n">
        <v>11</v>
      </c>
      <c r="F741" s="24" t="n">
        <v>2.8087585</v>
      </c>
    </row>
    <row r="742" customFormat="false" ht="15" hidden="false" customHeight="false" outlineLevel="0" collapsed="false">
      <c r="A742" s="3" t="n">
        <v>741</v>
      </c>
      <c r="B742" s="3" t="n">
        <v>740</v>
      </c>
      <c r="C742" s="3" t="n">
        <v>0</v>
      </c>
      <c r="D742" s="3" t="n">
        <v>26</v>
      </c>
      <c r="E742" s="3" t="n">
        <v>12</v>
      </c>
      <c r="F742" s="24" t="n">
        <v>2.21053147</v>
      </c>
    </row>
    <row r="743" customFormat="false" ht="15" hidden="false" customHeight="false" outlineLevel="0" collapsed="false">
      <c r="A743" s="3" t="n">
        <v>742</v>
      </c>
      <c r="B743" s="3" t="n">
        <v>741</v>
      </c>
      <c r="C743" s="3" t="n">
        <v>0</v>
      </c>
      <c r="D743" s="3" t="n">
        <v>26</v>
      </c>
      <c r="E743" s="3" t="n">
        <v>13</v>
      </c>
      <c r="F743" s="24" t="n">
        <v>-0.195104748</v>
      </c>
    </row>
    <row r="744" customFormat="false" ht="15" hidden="false" customHeight="false" outlineLevel="0" collapsed="false">
      <c r="A744" s="3" t="n">
        <v>743</v>
      </c>
      <c r="B744" s="3" t="n">
        <v>742</v>
      </c>
      <c r="C744" s="3" t="n">
        <v>0</v>
      </c>
      <c r="D744" s="3" t="n">
        <v>26</v>
      </c>
      <c r="E744" s="3" t="n">
        <v>14</v>
      </c>
      <c r="F744" s="24" t="n">
        <v>-0.424212962</v>
      </c>
    </row>
    <row r="745" customFormat="false" ht="15" hidden="false" customHeight="false" outlineLevel="0" collapsed="false">
      <c r="A745" s="3" t="n">
        <v>744</v>
      </c>
      <c r="B745" s="3" t="n">
        <v>743</v>
      </c>
      <c r="C745" s="3" t="n">
        <v>0</v>
      </c>
      <c r="D745" s="3" t="n">
        <v>26</v>
      </c>
      <c r="E745" s="3" t="n">
        <v>15</v>
      </c>
      <c r="F745" s="24" t="n">
        <v>-0.424212962</v>
      </c>
    </row>
    <row r="746" customFormat="false" ht="15" hidden="false" customHeight="false" outlineLevel="0" collapsed="false">
      <c r="A746" s="3" t="n">
        <v>745</v>
      </c>
      <c r="B746" s="3" t="n">
        <v>744</v>
      </c>
      <c r="C746" s="3" t="n">
        <v>0</v>
      </c>
      <c r="D746" s="3" t="n">
        <v>26</v>
      </c>
      <c r="E746" s="3" t="n">
        <v>16</v>
      </c>
      <c r="F746" s="24" t="n">
        <v>-0.424212962</v>
      </c>
    </row>
    <row r="747" customFormat="false" ht="15" hidden="false" customHeight="false" outlineLevel="0" collapsed="false">
      <c r="A747" s="3" t="n">
        <v>746</v>
      </c>
      <c r="B747" s="3" t="n">
        <v>745</v>
      </c>
      <c r="C747" s="3" t="n">
        <v>0</v>
      </c>
      <c r="D747" s="3" t="n">
        <v>26</v>
      </c>
      <c r="E747" s="3" t="n">
        <v>17</v>
      </c>
      <c r="F747" s="24" t="n">
        <v>-0.424212962</v>
      </c>
    </row>
    <row r="748" customFormat="false" ht="15" hidden="false" customHeight="false" outlineLevel="0" collapsed="false">
      <c r="A748" s="3" t="n">
        <v>747</v>
      </c>
      <c r="B748" s="3" t="n">
        <v>746</v>
      </c>
      <c r="C748" s="3" t="n">
        <v>0</v>
      </c>
      <c r="D748" s="3" t="n">
        <v>26</v>
      </c>
      <c r="E748" s="3" t="n">
        <v>18</v>
      </c>
      <c r="F748" s="24" t="n">
        <v>-0.424212962</v>
      </c>
    </row>
    <row r="749" customFormat="false" ht="15" hidden="false" customHeight="false" outlineLevel="0" collapsed="false">
      <c r="A749" s="3" t="n">
        <v>748</v>
      </c>
      <c r="B749" s="3" t="n">
        <v>747</v>
      </c>
      <c r="C749" s="3" t="n">
        <v>0</v>
      </c>
      <c r="D749" s="3" t="n">
        <v>26</v>
      </c>
      <c r="E749" s="3" t="n">
        <v>19</v>
      </c>
      <c r="F749" s="24" t="n">
        <v>-0.424212962</v>
      </c>
    </row>
    <row r="750" customFormat="false" ht="15" hidden="false" customHeight="false" outlineLevel="0" collapsed="false">
      <c r="A750" s="3" t="n">
        <v>749</v>
      </c>
      <c r="B750" s="3" t="n">
        <v>748</v>
      </c>
      <c r="C750" s="3" t="n">
        <v>0</v>
      </c>
      <c r="D750" s="3" t="n">
        <v>26</v>
      </c>
      <c r="E750" s="3" t="n">
        <v>20</v>
      </c>
      <c r="F750" s="24" t="n">
        <v>-0.424212962</v>
      </c>
    </row>
    <row r="751" customFormat="false" ht="15" hidden="false" customHeight="false" outlineLevel="0" collapsed="false">
      <c r="A751" s="3" t="n">
        <v>750</v>
      </c>
      <c r="B751" s="3" t="n">
        <v>749</v>
      </c>
      <c r="C751" s="3" t="n">
        <v>0</v>
      </c>
      <c r="D751" s="3" t="n">
        <v>26</v>
      </c>
      <c r="E751" s="3" t="n">
        <v>21</v>
      </c>
      <c r="F751" s="24" t="n">
        <v>-0.424212962</v>
      </c>
    </row>
    <row r="752" customFormat="false" ht="15" hidden="false" customHeight="false" outlineLevel="0" collapsed="false">
      <c r="A752" s="3" t="n">
        <v>751</v>
      </c>
      <c r="B752" s="3" t="n">
        <v>750</v>
      </c>
      <c r="C752" s="3" t="n">
        <v>0</v>
      </c>
      <c r="D752" s="3" t="n">
        <v>26</v>
      </c>
      <c r="E752" s="3" t="n">
        <v>22</v>
      </c>
      <c r="F752" s="24" t="n">
        <v>-0.424212962</v>
      </c>
    </row>
    <row r="753" customFormat="false" ht="15" hidden="false" customHeight="false" outlineLevel="0" collapsed="false">
      <c r="A753" s="3" t="n">
        <v>752</v>
      </c>
      <c r="B753" s="3" t="n">
        <v>751</v>
      </c>
      <c r="C753" s="3" t="n">
        <v>0</v>
      </c>
      <c r="D753" s="3" t="n">
        <v>26</v>
      </c>
      <c r="E753" s="3" t="n">
        <v>23</v>
      </c>
      <c r="F753" s="24" t="n">
        <v>-0.424212962</v>
      </c>
    </row>
    <row r="754" customFormat="false" ht="15" hidden="false" customHeight="false" outlineLevel="0" collapsed="false">
      <c r="A754" s="3" t="n">
        <v>753</v>
      </c>
      <c r="B754" s="3" t="n">
        <v>752</v>
      </c>
      <c r="C754" s="3" t="n">
        <v>0</v>
      </c>
      <c r="D754" s="3" t="n">
        <v>26</v>
      </c>
      <c r="E754" s="3" t="n">
        <v>24</v>
      </c>
      <c r="F754" s="24" t="n">
        <v>-0.424212962</v>
      </c>
    </row>
    <row r="755" customFormat="false" ht="15" hidden="false" customHeight="false" outlineLevel="0" collapsed="false">
      <c r="A755" s="3" t="n">
        <v>754</v>
      </c>
      <c r="B755" s="3" t="n">
        <v>753</v>
      </c>
      <c r="C755" s="3" t="n">
        <v>0</v>
      </c>
      <c r="D755" s="3" t="n">
        <v>26</v>
      </c>
      <c r="E755" s="3" t="n">
        <v>25</v>
      </c>
      <c r="F755" s="24" t="n">
        <v>-0.424212962</v>
      </c>
    </row>
    <row r="756" customFormat="false" ht="15" hidden="false" customHeight="false" outlineLevel="0" collapsed="false">
      <c r="A756" s="3" t="n">
        <v>755</v>
      </c>
      <c r="B756" s="3" t="n">
        <v>754</v>
      </c>
      <c r="C756" s="3" t="n">
        <v>0</v>
      </c>
      <c r="D756" s="3" t="n">
        <v>26</v>
      </c>
      <c r="E756" s="3" t="n">
        <v>26</v>
      </c>
      <c r="F756" s="24" t="n">
        <v>-0.424212962</v>
      </c>
    </row>
    <row r="757" customFormat="false" ht="15" hidden="false" customHeight="false" outlineLevel="0" collapsed="false">
      <c r="A757" s="3" t="n">
        <v>756</v>
      </c>
      <c r="B757" s="3" t="n">
        <v>755</v>
      </c>
      <c r="C757" s="3" t="n">
        <v>0</v>
      </c>
      <c r="D757" s="3" t="n">
        <v>26</v>
      </c>
      <c r="E757" s="3" t="n">
        <v>27</v>
      </c>
      <c r="F757" s="24" t="n">
        <v>-0.424212962</v>
      </c>
    </row>
    <row r="758" customFormat="false" ht="15" hidden="false" customHeight="false" outlineLevel="0" collapsed="false">
      <c r="A758" s="3" t="n">
        <v>757</v>
      </c>
      <c r="B758" s="3" t="n">
        <v>756</v>
      </c>
      <c r="C758" s="3" t="n">
        <v>0</v>
      </c>
      <c r="D758" s="3" t="n">
        <v>27</v>
      </c>
      <c r="E758" s="3" t="n">
        <v>0</v>
      </c>
      <c r="F758" s="24" t="n">
        <v>-0.424212962</v>
      </c>
    </row>
    <row r="759" customFormat="false" ht="15" hidden="false" customHeight="false" outlineLevel="0" collapsed="false">
      <c r="A759" s="3" t="n">
        <v>758</v>
      </c>
      <c r="B759" s="3" t="n">
        <v>757</v>
      </c>
      <c r="C759" s="3" t="n">
        <v>0</v>
      </c>
      <c r="D759" s="3" t="n">
        <v>27</v>
      </c>
      <c r="E759" s="3" t="n">
        <v>1</v>
      </c>
      <c r="F759" s="24" t="n">
        <v>-0.424212962</v>
      </c>
    </row>
    <row r="760" customFormat="false" ht="15" hidden="false" customHeight="false" outlineLevel="0" collapsed="false">
      <c r="A760" s="3" t="n">
        <v>759</v>
      </c>
      <c r="B760" s="3" t="n">
        <v>758</v>
      </c>
      <c r="C760" s="3" t="n">
        <v>0</v>
      </c>
      <c r="D760" s="3" t="n">
        <v>27</v>
      </c>
      <c r="E760" s="3" t="n">
        <v>2</v>
      </c>
      <c r="F760" s="24" t="n">
        <v>-0.424212962</v>
      </c>
    </row>
    <row r="761" customFormat="false" ht="15" hidden="false" customHeight="false" outlineLevel="0" collapsed="false">
      <c r="A761" s="3" t="n">
        <v>760</v>
      </c>
      <c r="B761" s="3" t="n">
        <v>759</v>
      </c>
      <c r="C761" s="3" t="n">
        <v>0</v>
      </c>
      <c r="D761" s="3" t="n">
        <v>27</v>
      </c>
      <c r="E761" s="3" t="n">
        <v>3</v>
      </c>
      <c r="F761" s="24" t="n">
        <v>-0.424212962</v>
      </c>
    </row>
    <row r="762" customFormat="false" ht="15" hidden="false" customHeight="false" outlineLevel="0" collapsed="false">
      <c r="A762" s="3" t="n">
        <v>761</v>
      </c>
      <c r="B762" s="3" t="n">
        <v>760</v>
      </c>
      <c r="C762" s="3" t="n">
        <v>0</v>
      </c>
      <c r="D762" s="3" t="n">
        <v>27</v>
      </c>
      <c r="E762" s="3" t="n">
        <v>4</v>
      </c>
      <c r="F762" s="24" t="n">
        <v>-0.424212962</v>
      </c>
    </row>
    <row r="763" customFormat="false" ht="15" hidden="false" customHeight="false" outlineLevel="0" collapsed="false">
      <c r="A763" s="3" t="n">
        <v>762</v>
      </c>
      <c r="B763" s="3" t="n">
        <v>761</v>
      </c>
      <c r="C763" s="3" t="n">
        <v>0</v>
      </c>
      <c r="D763" s="3" t="n">
        <v>27</v>
      </c>
      <c r="E763" s="3" t="n">
        <v>5</v>
      </c>
      <c r="F763" s="24" t="n">
        <v>-0.424212962</v>
      </c>
    </row>
    <row r="764" customFormat="false" ht="15" hidden="false" customHeight="false" outlineLevel="0" collapsed="false">
      <c r="A764" s="3" t="n">
        <v>763</v>
      </c>
      <c r="B764" s="3" t="n">
        <v>762</v>
      </c>
      <c r="C764" s="3" t="n">
        <v>0</v>
      </c>
      <c r="D764" s="3" t="n">
        <v>27</v>
      </c>
      <c r="E764" s="3" t="n">
        <v>6</v>
      </c>
      <c r="F764" s="24" t="n">
        <v>-0.424212962</v>
      </c>
    </row>
    <row r="765" customFormat="false" ht="15" hidden="false" customHeight="false" outlineLevel="0" collapsed="false">
      <c r="A765" s="3" t="n">
        <v>764</v>
      </c>
      <c r="B765" s="3" t="n">
        <v>763</v>
      </c>
      <c r="C765" s="3" t="n">
        <v>0</v>
      </c>
      <c r="D765" s="3" t="n">
        <v>27</v>
      </c>
      <c r="E765" s="3" t="n">
        <v>7</v>
      </c>
      <c r="F765" s="24" t="n">
        <v>-0.424212962</v>
      </c>
    </row>
    <row r="766" customFormat="false" ht="15" hidden="false" customHeight="false" outlineLevel="0" collapsed="false">
      <c r="A766" s="3" t="n">
        <v>765</v>
      </c>
      <c r="B766" s="3" t="n">
        <v>764</v>
      </c>
      <c r="C766" s="3" t="n">
        <v>0</v>
      </c>
      <c r="D766" s="3" t="n">
        <v>27</v>
      </c>
      <c r="E766" s="3" t="n">
        <v>8</v>
      </c>
      <c r="F766" s="24" t="n">
        <v>-0.424212962</v>
      </c>
    </row>
    <row r="767" customFormat="false" ht="15" hidden="false" customHeight="false" outlineLevel="0" collapsed="false">
      <c r="A767" s="3" t="n">
        <v>766</v>
      </c>
      <c r="B767" s="3" t="n">
        <v>765</v>
      </c>
      <c r="C767" s="3" t="n">
        <v>0</v>
      </c>
      <c r="D767" s="3" t="n">
        <v>27</v>
      </c>
      <c r="E767" s="3" t="n">
        <v>9</v>
      </c>
      <c r="F767" s="24" t="n">
        <v>-0.424212962</v>
      </c>
    </row>
    <row r="768" customFormat="false" ht="15" hidden="false" customHeight="false" outlineLevel="0" collapsed="false">
      <c r="A768" s="3" t="n">
        <v>767</v>
      </c>
      <c r="B768" s="3" t="n">
        <v>766</v>
      </c>
      <c r="C768" s="3" t="n">
        <v>0</v>
      </c>
      <c r="D768" s="3" t="n">
        <v>27</v>
      </c>
      <c r="E768" s="3" t="n">
        <v>10</v>
      </c>
      <c r="F768" s="24" t="n">
        <v>-0.424212962</v>
      </c>
    </row>
    <row r="769" customFormat="false" ht="15" hidden="false" customHeight="false" outlineLevel="0" collapsed="false">
      <c r="A769" s="3" t="n">
        <v>768</v>
      </c>
      <c r="B769" s="3" t="n">
        <v>767</v>
      </c>
      <c r="C769" s="3" t="n">
        <v>0</v>
      </c>
      <c r="D769" s="3" t="n">
        <v>27</v>
      </c>
      <c r="E769" s="3" t="n">
        <v>11</v>
      </c>
      <c r="F769" s="24" t="n">
        <v>-0.424212962</v>
      </c>
    </row>
    <row r="770" customFormat="false" ht="15" hidden="false" customHeight="false" outlineLevel="0" collapsed="false">
      <c r="A770" s="3" t="n">
        <v>769</v>
      </c>
      <c r="B770" s="3" t="n">
        <v>768</v>
      </c>
      <c r="C770" s="3" t="n">
        <v>0</v>
      </c>
      <c r="D770" s="3" t="n">
        <v>27</v>
      </c>
      <c r="E770" s="3" t="n">
        <v>12</v>
      </c>
      <c r="F770" s="24" t="n">
        <v>-0.424212962</v>
      </c>
    </row>
    <row r="771" customFormat="false" ht="15" hidden="false" customHeight="false" outlineLevel="0" collapsed="false">
      <c r="A771" s="3" t="n">
        <v>770</v>
      </c>
      <c r="B771" s="3" t="n">
        <v>769</v>
      </c>
      <c r="C771" s="3" t="n">
        <v>0</v>
      </c>
      <c r="D771" s="3" t="n">
        <v>27</v>
      </c>
      <c r="E771" s="3" t="n">
        <v>13</v>
      </c>
      <c r="F771" s="24" t="n">
        <v>-0.424212962</v>
      </c>
    </row>
    <row r="772" customFormat="false" ht="15" hidden="false" customHeight="false" outlineLevel="0" collapsed="false">
      <c r="A772" s="3" t="n">
        <v>771</v>
      </c>
      <c r="B772" s="3" t="n">
        <v>770</v>
      </c>
      <c r="C772" s="3" t="n">
        <v>0</v>
      </c>
      <c r="D772" s="3" t="n">
        <v>27</v>
      </c>
      <c r="E772" s="3" t="n">
        <v>14</v>
      </c>
      <c r="F772" s="24" t="n">
        <v>-0.424212962</v>
      </c>
    </row>
    <row r="773" customFormat="false" ht="15" hidden="false" customHeight="false" outlineLevel="0" collapsed="false">
      <c r="A773" s="3" t="n">
        <v>772</v>
      </c>
      <c r="B773" s="3" t="n">
        <v>771</v>
      </c>
      <c r="C773" s="3" t="n">
        <v>0</v>
      </c>
      <c r="D773" s="3" t="n">
        <v>27</v>
      </c>
      <c r="E773" s="3" t="n">
        <v>15</v>
      </c>
      <c r="F773" s="24" t="n">
        <v>-0.424212962</v>
      </c>
    </row>
    <row r="774" customFormat="false" ht="15" hidden="false" customHeight="false" outlineLevel="0" collapsed="false">
      <c r="A774" s="3" t="n">
        <v>773</v>
      </c>
      <c r="B774" s="3" t="n">
        <v>772</v>
      </c>
      <c r="C774" s="3" t="n">
        <v>0</v>
      </c>
      <c r="D774" s="3" t="n">
        <v>27</v>
      </c>
      <c r="E774" s="3" t="n">
        <v>16</v>
      </c>
      <c r="F774" s="24" t="n">
        <v>-0.424212962</v>
      </c>
    </row>
    <row r="775" customFormat="false" ht="15" hidden="false" customHeight="false" outlineLevel="0" collapsed="false">
      <c r="A775" s="3" t="n">
        <v>774</v>
      </c>
      <c r="B775" s="3" t="n">
        <v>773</v>
      </c>
      <c r="C775" s="3" t="n">
        <v>0</v>
      </c>
      <c r="D775" s="3" t="n">
        <v>27</v>
      </c>
      <c r="E775" s="3" t="n">
        <v>17</v>
      </c>
      <c r="F775" s="24" t="n">
        <v>-0.424212962</v>
      </c>
    </row>
    <row r="776" customFormat="false" ht="15" hidden="false" customHeight="false" outlineLevel="0" collapsed="false">
      <c r="A776" s="3" t="n">
        <v>775</v>
      </c>
      <c r="B776" s="3" t="n">
        <v>774</v>
      </c>
      <c r="C776" s="3" t="n">
        <v>0</v>
      </c>
      <c r="D776" s="3" t="n">
        <v>27</v>
      </c>
      <c r="E776" s="3" t="n">
        <v>18</v>
      </c>
      <c r="F776" s="24" t="n">
        <v>-0.424212962</v>
      </c>
    </row>
    <row r="777" customFormat="false" ht="15" hidden="false" customHeight="false" outlineLevel="0" collapsed="false">
      <c r="A777" s="3" t="n">
        <v>776</v>
      </c>
      <c r="B777" s="3" t="n">
        <v>775</v>
      </c>
      <c r="C777" s="3" t="n">
        <v>0</v>
      </c>
      <c r="D777" s="3" t="n">
        <v>27</v>
      </c>
      <c r="E777" s="3" t="n">
        <v>19</v>
      </c>
      <c r="F777" s="24" t="n">
        <v>-0.424212962</v>
      </c>
    </row>
    <row r="778" customFormat="false" ht="15" hidden="false" customHeight="false" outlineLevel="0" collapsed="false">
      <c r="A778" s="3" t="n">
        <v>777</v>
      </c>
      <c r="B778" s="3" t="n">
        <v>776</v>
      </c>
      <c r="C778" s="3" t="n">
        <v>0</v>
      </c>
      <c r="D778" s="3" t="n">
        <v>27</v>
      </c>
      <c r="E778" s="3" t="n">
        <v>20</v>
      </c>
      <c r="F778" s="24" t="n">
        <v>-0.424212962</v>
      </c>
    </row>
    <row r="779" customFormat="false" ht="15" hidden="false" customHeight="false" outlineLevel="0" collapsed="false">
      <c r="A779" s="3" t="n">
        <v>778</v>
      </c>
      <c r="B779" s="3" t="n">
        <v>777</v>
      </c>
      <c r="C779" s="3" t="n">
        <v>0</v>
      </c>
      <c r="D779" s="3" t="n">
        <v>27</v>
      </c>
      <c r="E779" s="3" t="n">
        <v>21</v>
      </c>
      <c r="F779" s="24" t="n">
        <v>-0.424212962</v>
      </c>
    </row>
    <row r="780" customFormat="false" ht="15" hidden="false" customHeight="false" outlineLevel="0" collapsed="false">
      <c r="A780" s="3" t="n">
        <v>779</v>
      </c>
      <c r="B780" s="3" t="n">
        <v>778</v>
      </c>
      <c r="C780" s="3" t="n">
        <v>0</v>
      </c>
      <c r="D780" s="3" t="n">
        <v>27</v>
      </c>
      <c r="E780" s="3" t="n">
        <v>22</v>
      </c>
      <c r="F780" s="24" t="n">
        <v>-0.424212962</v>
      </c>
    </row>
    <row r="781" customFormat="false" ht="15" hidden="false" customHeight="false" outlineLevel="0" collapsed="false">
      <c r="A781" s="3" t="n">
        <v>780</v>
      </c>
      <c r="B781" s="3" t="n">
        <v>779</v>
      </c>
      <c r="C781" s="3" t="n">
        <v>0</v>
      </c>
      <c r="D781" s="3" t="n">
        <v>27</v>
      </c>
      <c r="E781" s="3" t="n">
        <v>23</v>
      </c>
      <c r="F781" s="24" t="n">
        <v>-0.424212962</v>
      </c>
    </row>
    <row r="782" customFormat="false" ht="15" hidden="false" customHeight="false" outlineLevel="0" collapsed="false">
      <c r="A782" s="3" t="n">
        <v>781</v>
      </c>
      <c r="B782" s="3" t="n">
        <v>780</v>
      </c>
      <c r="C782" s="3" t="n">
        <v>0</v>
      </c>
      <c r="D782" s="3" t="n">
        <v>27</v>
      </c>
      <c r="E782" s="3" t="n">
        <v>24</v>
      </c>
      <c r="F782" s="24" t="n">
        <v>-0.424212962</v>
      </c>
    </row>
    <row r="783" customFormat="false" ht="15" hidden="false" customHeight="false" outlineLevel="0" collapsed="false">
      <c r="A783" s="3" t="n">
        <v>782</v>
      </c>
      <c r="B783" s="3" t="n">
        <v>781</v>
      </c>
      <c r="C783" s="3" t="n">
        <v>0</v>
      </c>
      <c r="D783" s="3" t="n">
        <v>27</v>
      </c>
      <c r="E783" s="3" t="n">
        <v>25</v>
      </c>
      <c r="F783" s="24" t="n">
        <v>-0.424212962</v>
      </c>
    </row>
    <row r="784" customFormat="false" ht="15" hidden="false" customHeight="false" outlineLevel="0" collapsed="false">
      <c r="A784" s="3" t="n">
        <v>783</v>
      </c>
      <c r="B784" s="3" t="n">
        <v>782</v>
      </c>
      <c r="C784" s="3" t="n">
        <v>0</v>
      </c>
      <c r="D784" s="3" t="n">
        <v>27</v>
      </c>
      <c r="E784" s="3" t="n">
        <v>26</v>
      </c>
      <c r="F784" s="24" t="n">
        <v>-0.424212962</v>
      </c>
    </row>
    <row r="785" customFormat="false" ht="15" hidden="false" customHeight="false" outlineLevel="0" collapsed="false">
      <c r="A785" s="3" t="n">
        <v>784</v>
      </c>
      <c r="B785" s="3" t="n">
        <v>783</v>
      </c>
      <c r="C785" s="3" t="n">
        <v>0</v>
      </c>
      <c r="D785" s="3" t="n">
        <v>27</v>
      </c>
      <c r="E785" s="3" t="n">
        <v>27</v>
      </c>
      <c r="F785" s="24" t="n">
        <v>-0.424212962</v>
      </c>
    </row>
  </sheetData>
  <autoFilter ref="A1:F7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5" min="3" style="0" width="8"/>
    <col collapsed="false" customWidth="true" hidden="false" outlineLevel="0" max="6" min="6" style="0" width="14"/>
  </cols>
  <sheetData>
    <row r="1" customFormat="false" ht="23.85" hidden="false" customHeight="false" outlineLevel="0" collapsed="false">
      <c r="A1" s="9" t="s">
        <v>109</v>
      </c>
      <c r="B1" s="9" t="s">
        <v>110</v>
      </c>
      <c r="C1" s="9" t="s">
        <v>121</v>
      </c>
      <c r="D1" s="9" t="s">
        <v>122</v>
      </c>
      <c r="E1" s="9" t="s">
        <v>123</v>
      </c>
      <c r="F1" s="9" t="s">
        <v>114</v>
      </c>
      <c r="H1" s="4" t="s">
        <v>125</v>
      </c>
    </row>
    <row r="2" customFormat="false" ht="15" hidden="false" customHeight="false" outlineLevel="0" collapsed="false">
      <c r="A2" s="3" t="n">
        <v>1</v>
      </c>
      <c r="B2" s="3" t="n">
        <v>0</v>
      </c>
      <c r="C2" s="3" t="n">
        <v>0</v>
      </c>
      <c r="D2" s="3" t="n">
        <v>0</v>
      </c>
      <c r="E2" s="3" t="n">
        <v>0</v>
      </c>
      <c r="F2" s="24" t="n">
        <v>0.0487543344</v>
      </c>
    </row>
    <row r="3" customFormat="false" ht="15" hidden="false" customHeight="false" outlineLevel="0" collapsed="false">
      <c r="A3" s="3" t="n">
        <v>2</v>
      </c>
      <c r="B3" s="3" t="n">
        <v>1</v>
      </c>
      <c r="C3" s="3" t="n">
        <v>0</v>
      </c>
      <c r="D3" s="3" t="n">
        <v>0</v>
      </c>
      <c r="E3" s="3" t="n">
        <v>1</v>
      </c>
      <c r="F3" s="24" t="n">
        <v>0.0582036376</v>
      </c>
    </row>
    <row r="4" customFormat="false" ht="15" hidden="false" customHeight="false" outlineLevel="0" collapsed="false">
      <c r="A4" s="3" t="n">
        <v>3</v>
      </c>
      <c r="B4" s="3" t="n">
        <v>2</v>
      </c>
      <c r="C4" s="3" t="n">
        <v>0</v>
      </c>
      <c r="D4" s="3" t="n">
        <v>0</v>
      </c>
      <c r="E4" s="3" t="n">
        <v>2</v>
      </c>
      <c r="F4" s="24" t="n">
        <v>0.0582036376</v>
      </c>
    </row>
    <row r="5" customFormat="false" ht="15" hidden="false" customHeight="false" outlineLevel="0" collapsed="false">
      <c r="A5" s="3" t="n">
        <v>4</v>
      </c>
      <c r="B5" s="3" t="n">
        <v>3</v>
      </c>
      <c r="C5" s="3" t="n">
        <v>0</v>
      </c>
      <c r="D5" s="3" t="n">
        <v>0</v>
      </c>
      <c r="E5" s="3" t="n">
        <v>3</v>
      </c>
      <c r="F5" s="24" t="n">
        <v>0.0582036376</v>
      </c>
    </row>
    <row r="6" customFormat="false" ht="15" hidden="false" customHeight="false" outlineLevel="0" collapsed="false">
      <c r="A6" s="3" t="n">
        <v>5</v>
      </c>
      <c r="B6" s="3" t="n">
        <v>4</v>
      </c>
      <c r="C6" s="3" t="n">
        <v>0</v>
      </c>
      <c r="D6" s="3" t="n">
        <v>0</v>
      </c>
      <c r="E6" s="3" t="n">
        <v>4</v>
      </c>
      <c r="F6" s="24" t="n">
        <v>0.0582036376</v>
      </c>
    </row>
    <row r="7" customFormat="false" ht="15" hidden="false" customHeight="false" outlineLevel="0" collapsed="false">
      <c r="A7" s="3" t="n">
        <v>6</v>
      </c>
      <c r="B7" s="3" t="n">
        <v>5</v>
      </c>
      <c r="C7" s="3" t="n">
        <v>0</v>
      </c>
      <c r="D7" s="3" t="n">
        <v>0</v>
      </c>
      <c r="E7" s="3" t="n">
        <v>5</v>
      </c>
      <c r="F7" s="24" t="n">
        <v>0.0582036376</v>
      </c>
    </row>
    <row r="8" customFormat="false" ht="15" hidden="false" customHeight="false" outlineLevel="0" collapsed="false">
      <c r="A8" s="3" t="n">
        <v>7</v>
      </c>
      <c r="B8" s="3" t="n">
        <v>6</v>
      </c>
      <c r="C8" s="3" t="n">
        <v>0</v>
      </c>
      <c r="D8" s="3" t="n">
        <v>0</v>
      </c>
      <c r="E8" s="3" t="n">
        <v>6</v>
      </c>
      <c r="F8" s="24" t="n">
        <v>0.0582036376</v>
      </c>
    </row>
    <row r="9" customFormat="false" ht="15" hidden="false" customHeight="false" outlineLevel="0" collapsed="false">
      <c r="A9" s="3" t="n">
        <v>8</v>
      </c>
      <c r="B9" s="3" t="n">
        <v>7</v>
      </c>
      <c r="C9" s="3" t="n">
        <v>0</v>
      </c>
      <c r="D9" s="3" t="n">
        <v>0</v>
      </c>
      <c r="E9" s="3" t="n">
        <v>7</v>
      </c>
      <c r="F9" s="24" t="n">
        <v>0.0582036376</v>
      </c>
    </row>
    <row r="10" customFormat="false" ht="15" hidden="false" customHeight="false" outlineLevel="0" collapsed="false">
      <c r="A10" s="3" t="n">
        <v>9</v>
      </c>
      <c r="B10" s="3" t="n">
        <v>8</v>
      </c>
      <c r="C10" s="3" t="n">
        <v>0</v>
      </c>
      <c r="D10" s="3" t="n">
        <v>0</v>
      </c>
      <c r="E10" s="3" t="n">
        <v>8</v>
      </c>
      <c r="F10" s="24" t="n">
        <v>0.0582036376</v>
      </c>
    </row>
    <row r="11" customFormat="false" ht="15" hidden="false" customHeight="false" outlineLevel="0" collapsed="false">
      <c r="A11" s="3" t="n">
        <v>10</v>
      </c>
      <c r="B11" s="3" t="n">
        <v>9</v>
      </c>
      <c r="C11" s="3" t="n">
        <v>0</v>
      </c>
      <c r="D11" s="3" t="n">
        <v>0</v>
      </c>
      <c r="E11" s="3" t="n">
        <v>9</v>
      </c>
      <c r="F11" s="24" t="n">
        <v>0.0582036376</v>
      </c>
    </row>
    <row r="12" customFormat="false" ht="15" hidden="false" customHeight="false" outlineLevel="0" collapsed="false">
      <c r="A12" s="3" t="n">
        <v>11</v>
      </c>
      <c r="B12" s="3" t="n">
        <v>10</v>
      </c>
      <c r="C12" s="3" t="n">
        <v>0</v>
      </c>
      <c r="D12" s="3" t="n">
        <v>0</v>
      </c>
      <c r="E12" s="3" t="n">
        <v>10</v>
      </c>
      <c r="F12" s="24" t="n">
        <v>0.0582036376</v>
      </c>
    </row>
    <row r="13" customFormat="false" ht="15" hidden="false" customHeight="false" outlineLevel="0" collapsed="false">
      <c r="A13" s="3" t="n">
        <v>12</v>
      </c>
      <c r="B13" s="3" t="n">
        <v>11</v>
      </c>
      <c r="C13" s="3" t="n">
        <v>0</v>
      </c>
      <c r="D13" s="3" t="n">
        <v>0</v>
      </c>
      <c r="E13" s="3" t="n">
        <v>11</v>
      </c>
      <c r="F13" s="24" t="n">
        <v>0.0582036376</v>
      </c>
    </row>
    <row r="14" customFormat="false" ht="15" hidden="false" customHeight="false" outlineLevel="0" collapsed="false">
      <c r="A14" s="3" t="n">
        <v>13</v>
      </c>
      <c r="B14" s="3" t="n">
        <v>12</v>
      </c>
      <c r="C14" s="3" t="n">
        <v>0</v>
      </c>
      <c r="D14" s="3" t="n">
        <v>0</v>
      </c>
      <c r="E14" s="3" t="n">
        <v>12</v>
      </c>
      <c r="F14" s="24" t="n">
        <v>0.0582036376</v>
      </c>
    </row>
    <row r="15" customFormat="false" ht="15" hidden="false" customHeight="false" outlineLevel="0" collapsed="false">
      <c r="A15" s="3" t="n">
        <v>14</v>
      </c>
      <c r="B15" s="3" t="n">
        <v>13</v>
      </c>
      <c r="C15" s="3" t="n">
        <v>0</v>
      </c>
      <c r="D15" s="3" t="n">
        <v>0</v>
      </c>
      <c r="E15" s="3" t="n">
        <v>13</v>
      </c>
      <c r="F15" s="24" t="n">
        <v>0.0582036376</v>
      </c>
    </row>
    <row r="16" customFormat="false" ht="15" hidden="false" customHeight="false" outlineLevel="0" collapsed="false">
      <c r="A16" s="3" t="n">
        <v>15</v>
      </c>
      <c r="B16" s="3" t="n">
        <v>14</v>
      </c>
      <c r="C16" s="3" t="n">
        <v>0</v>
      </c>
      <c r="D16" s="3" t="n">
        <v>0</v>
      </c>
      <c r="E16" s="3" t="n">
        <v>14</v>
      </c>
      <c r="F16" s="24" t="n">
        <v>0.0582036376</v>
      </c>
    </row>
    <row r="17" customFormat="false" ht="15" hidden="false" customHeight="false" outlineLevel="0" collapsed="false">
      <c r="A17" s="3" t="n">
        <v>16</v>
      </c>
      <c r="B17" s="3" t="n">
        <v>15</v>
      </c>
      <c r="C17" s="3" t="n">
        <v>0</v>
      </c>
      <c r="D17" s="3" t="n">
        <v>0</v>
      </c>
      <c r="E17" s="3" t="n">
        <v>15</v>
      </c>
      <c r="F17" s="24" t="n">
        <v>0.0582036376</v>
      </c>
    </row>
    <row r="18" customFormat="false" ht="15" hidden="false" customHeight="false" outlineLevel="0" collapsed="false">
      <c r="A18" s="3" t="n">
        <v>17</v>
      </c>
      <c r="B18" s="3" t="n">
        <v>16</v>
      </c>
      <c r="C18" s="3" t="n">
        <v>0</v>
      </c>
      <c r="D18" s="3" t="n">
        <v>0</v>
      </c>
      <c r="E18" s="3" t="n">
        <v>16</v>
      </c>
      <c r="F18" s="24" t="n">
        <v>0.0582036376</v>
      </c>
    </row>
    <row r="19" customFormat="false" ht="15" hidden="false" customHeight="false" outlineLevel="0" collapsed="false">
      <c r="A19" s="3" t="n">
        <v>18</v>
      </c>
      <c r="B19" s="3" t="n">
        <v>17</v>
      </c>
      <c r="C19" s="3" t="n">
        <v>0</v>
      </c>
      <c r="D19" s="3" t="n">
        <v>0</v>
      </c>
      <c r="E19" s="3" t="n">
        <v>17</v>
      </c>
      <c r="F19" s="24" t="n">
        <v>0.0582036376</v>
      </c>
    </row>
    <row r="20" customFormat="false" ht="15" hidden="false" customHeight="false" outlineLevel="0" collapsed="false">
      <c r="A20" s="3" t="n">
        <v>19</v>
      </c>
      <c r="B20" s="3" t="n">
        <v>18</v>
      </c>
      <c r="C20" s="3" t="n">
        <v>0</v>
      </c>
      <c r="D20" s="3" t="n">
        <v>0</v>
      </c>
      <c r="E20" s="3" t="n">
        <v>18</v>
      </c>
      <c r="F20" s="24" t="n">
        <v>0.0582036376</v>
      </c>
    </row>
    <row r="21" customFormat="false" ht="15" hidden="false" customHeight="false" outlineLevel="0" collapsed="false">
      <c r="A21" s="3" t="n">
        <v>20</v>
      </c>
      <c r="B21" s="3" t="n">
        <v>19</v>
      </c>
      <c r="C21" s="3" t="n">
        <v>0</v>
      </c>
      <c r="D21" s="3" t="n">
        <v>0</v>
      </c>
      <c r="E21" s="3" t="n">
        <v>19</v>
      </c>
      <c r="F21" s="24" t="n">
        <v>0.0582036376</v>
      </c>
    </row>
    <row r="22" customFormat="false" ht="15" hidden="false" customHeight="false" outlineLevel="0" collapsed="false">
      <c r="A22" s="3" t="n">
        <v>21</v>
      </c>
      <c r="B22" s="3" t="n">
        <v>20</v>
      </c>
      <c r="C22" s="3" t="n">
        <v>0</v>
      </c>
      <c r="D22" s="3" t="n">
        <v>0</v>
      </c>
      <c r="E22" s="3" t="n">
        <v>20</v>
      </c>
      <c r="F22" s="24" t="n">
        <v>0.0582036376</v>
      </c>
    </row>
    <row r="23" customFormat="false" ht="15" hidden="false" customHeight="false" outlineLevel="0" collapsed="false">
      <c r="A23" s="3" t="n">
        <v>22</v>
      </c>
      <c r="B23" s="3" t="n">
        <v>21</v>
      </c>
      <c r="C23" s="3" t="n">
        <v>0</v>
      </c>
      <c r="D23" s="3" t="n">
        <v>0</v>
      </c>
      <c r="E23" s="3" t="n">
        <v>21</v>
      </c>
      <c r="F23" s="24" t="n">
        <v>0.0582036376</v>
      </c>
    </row>
    <row r="24" customFormat="false" ht="15" hidden="false" customHeight="false" outlineLevel="0" collapsed="false">
      <c r="A24" s="3" t="n">
        <v>23</v>
      </c>
      <c r="B24" s="3" t="n">
        <v>22</v>
      </c>
      <c r="C24" s="3" t="n">
        <v>0</v>
      </c>
      <c r="D24" s="3" t="n">
        <v>0</v>
      </c>
      <c r="E24" s="3" t="n">
        <v>22</v>
      </c>
      <c r="F24" s="24" t="n">
        <v>0.0582036376</v>
      </c>
    </row>
    <row r="25" customFormat="false" ht="15" hidden="false" customHeight="false" outlineLevel="0" collapsed="false">
      <c r="A25" s="3" t="n">
        <v>24</v>
      </c>
      <c r="B25" s="3" t="n">
        <v>23</v>
      </c>
      <c r="C25" s="3" t="n">
        <v>0</v>
      </c>
      <c r="D25" s="3" t="n">
        <v>0</v>
      </c>
      <c r="E25" s="3" t="n">
        <v>23</v>
      </c>
      <c r="F25" s="24" t="n">
        <v>0.0582036376</v>
      </c>
    </row>
    <row r="26" customFormat="false" ht="15" hidden="false" customHeight="false" outlineLevel="0" collapsed="false">
      <c r="A26" s="3" t="n">
        <v>25</v>
      </c>
      <c r="B26" s="3" t="n">
        <v>24</v>
      </c>
      <c r="C26" s="3" t="n">
        <v>0</v>
      </c>
      <c r="D26" s="3" t="n">
        <v>0</v>
      </c>
      <c r="E26" s="3" t="n">
        <v>24</v>
      </c>
      <c r="F26" s="24" t="n">
        <v>0.0582036376</v>
      </c>
    </row>
    <row r="27" customFormat="false" ht="15" hidden="false" customHeight="false" outlineLevel="0" collapsed="false">
      <c r="A27" s="3" t="n">
        <v>26</v>
      </c>
      <c r="B27" s="3" t="n">
        <v>25</v>
      </c>
      <c r="C27" s="3" t="n">
        <v>0</v>
      </c>
      <c r="D27" s="3" t="n">
        <v>0</v>
      </c>
      <c r="E27" s="3" t="n">
        <v>25</v>
      </c>
      <c r="F27" s="24" t="n">
        <v>0.0582036376</v>
      </c>
    </row>
    <row r="28" customFormat="false" ht="15" hidden="false" customHeight="false" outlineLevel="0" collapsed="false">
      <c r="A28" s="3" t="n">
        <v>27</v>
      </c>
      <c r="B28" s="3" t="n">
        <v>26</v>
      </c>
      <c r="C28" s="3" t="n">
        <v>0</v>
      </c>
      <c r="D28" s="3" t="n">
        <v>0</v>
      </c>
      <c r="E28" s="3" t="n">
        <v>26</v>
      </c>
      <c r="F28" s="24" t="n">
        <v>0.0582036376</v>
      </c>
    </row>
    <row r="29" customFormat="false" ht="15" hidden="false" customHeight="false" outlineLevel="0" collapsed="false">
      <c r="A29" s="3" t="n">
        <v>28</v>
      </c>
      <c r="B29" s="3" t="n">
        <v>27</v>
      </c>
      <c r="C29" s="3" t="n">
        <v>0</v>
      </c>
      <c r="D29" s="3" t="n">
        <v>0</v>
      </c>
      <c r="E29" s="3" t="n">
        <v>27</v>
      </c>
      <c r="F29" s="24" t="n">
        <v>0.304429382</v>
      </c>
    </row>
    <row r="30" customFormat="false" ht="15" hidden="false" customHeight="false" outlineLevel="0" collapsed="false">
      <c r="A30" s="3" t="n">
        <v>29</v>
      </c>
      <c r="B30" s="3" t="n">
        <v>28</v>
      </c>
      <c r="C30" s="3" t="n">
        <v>0</v>
      </c>
      <c r="D30" s="3" t="n">
        <v>1</v>
      </c>
      <c r="E30" s="3" t="n">
        <v>0</v>
      </c>
      <c r="F30" s="24" t="n">
        <v>0.10001415</v>
      </c>
    </row>
    <row r="31" customFormat="false" ht="15" hidden="false" customHeight="false" outlineLevel="0" collapsed="false">
      <c r="A31" s="3" t="n">
        <v>30</v>
      </c>
      <c r="B31" s="3" t="n">
        <v>29</v>
      </c>
      <c r="C31" s="3" t="n">
        <v>0</v>
      </c>
      <c r="D31" s="3" t="n">
        <v>1</v>
      </c>
      <c r="E31" s="3" t="n">
        <v>1</v>
      </c>
      <c r="F31" s="24" t="n">
        <v>-0.0259179175</v>
      </c>
    </row>
    <row r="32" customFormat="false" ht="15" hidden="false" customHeight="false" outlineLevel="0" collapsed="false">
      <c r="A32" s="3" t="n">
        <v>31</v>
      </c>
      <c r="B32" s="3" t="n">
        <v>30</v>
      </c>
      <c r="C32" s="3" t="n">
        <v>0</v>
      </c>
      <c r="D32" s="3" t="n">
        <v>1</v>
      </c>
      <c r="E32" s="3" t="n">
        <v>2</v>
      </c>
      <c r="F32" s="24" t="n">
        <v>-0.0259179175</v>
      </c>
    </row>
    <row r="33" customFormat="false" ht="15" hidden="false" customHeight="false" outlineLevel="0" collapsed="false">
      <c r="A33" s="3" t="n">
        <v>32</v>
      </c>
      <c r="B33" s="3" t="n">
        <v>31</v>
      </c>
      <c r="C33" s="3" t="n">
        <v>0</v>
      </c>
      <c r="D33" s="3" t="n">
        <v>1</v>
      </c>
      <c r="E33" s="3" t="n">
        <v>3</v>
      </c>
      <c r="F33" s="24" t="n">
        <v>-0.0259179175</v>
      </c>
    </row>
    <row r="34" customFormat="false" ht="15" hidden="false" customHeight="false" outlineLevel="0" collapsed="false">
      <c r="A34" s="3" t="n">
        <v>33</v>
      </c>
      <c r="B34" s="3" t="n">
        <v>32</v>
      </c>
      <c r="C34" s="3" t="n">
        <v>0</v>
      </c>
      <c r="D34" s="3" t="n">
        <v>1</v>
      </c>
      <c r="E34" s="3" t="n">
        <v>4</v>
      </c>
      <c r="F34" s="24" t="n">
        <v>-0.0259179175</v>
      </c>
    </row>
    <row r="35" customFormat="false" ht="15" hidden="false" customHeight="false" outlineLevel="0" collapsed="false">
      <c r="A35" s="3" t="n">
        <v>34</v>
      </c>
      <c r="B35" s="3" t="n">
        <v>33</v>
      </c>
      <c r="C35" s="3" t="n">
        <v>0</v>
      </c>
      <c r="D35" s="3" t="n">
        <v>1</v>
      </c>
      <c r="E35" s="3" t="n">
        <v>5</v>
      </c>
      <c r="F35" s="24" t="n">
        <v>-0.0259179175</v>
      </c>
    </row>
    <row r="36" customFormat="false" ht="15" hidden="false" customHeight="false" outlineLevel="0" collapsed="false">
      <c r="A36" s="3" t="n">
        <v>35</v>
      </c>
      <c r="B36" s="3" t="n">
        <v>34</v>
      </c>
      <c r="C36" s="3" t="n">
        <v>0</v>
      </c>
      <c r="D36" s="3" t="n">
        <v>1</v>
      </c>
      <c r="E36" s="3" t="n">
        <v>6</v>
      </c>
      <c r="F36" s="24" t="n">
        <v>-0.0259179175</v>
      </c>
    </row>
    <row r="37" customFormat="false" ht="15" hidden="false" customHeight="false" outlineLevel="0" collapsed="false">
      <c r="A37" s="3" t="n">
        <v>36</v>
      </c>
      <c r="B37" s="3" t="n">
        <v>35</v>
      </c>
      <c r="C37" s="3" t="n">
        <v>0</v>
      </c>
      <c r="D37" s="3" t="n">
        <v>1</v>
      </c>
      <c r="E37" s="3" t="n">
        <v>7</v>
      </c>
      <c r="F37" s="24" t="n">
        <v>-0.0259179175</v>
      </c>
    </row>
    <row r="38" customFormat="false" ht="15" hidden="false" customHeight="false" outlineLevel="0" collapsed="false">
      <c r="A38" s="3" t="n">
        <v>37</v>
      </c>
      <c r="B38" s="3" t="n">
        <v>36</v>
      </c>
      <c r="C38" s="3" t="n">
        <v>0</v>
      </c>
      <c r="D38" s="3" t="n">
        <v>1</v>
      </c>
      <c r="E38" s="3" t="n">
        <v>8</v>
      </c>
      <c r="F38" s="24" t="n">
        <v>-0.0259179175</v>
      </c>
    </row>
    <row r="39" customFormat="false" ht="15" hidden="false" customHeight="false" outlineLevel="0" collapsed="false">
      <c r="A39" s="3" t="n">
        <v>38</v>
      </c>
      <c r="B39" s="3" t="n">
        <v>37</v>
      </c>
      <c r="C39" s="3" t="n">
        <v>0</v>
      </c>
      <c r="D39" s="3" t="n">
        <v>1</v>
      </c>
      <c r="E39" s="3" t="n">
        <v>9</v>
      </c>
      <c r="F39" s="24" t="n">
        <v>-0.0259179175</v>
      </c>
    </row>
    <row r="40" customFormat="false" ht="15" hidden="false" customHeight="false" outlineLevel="0" collapsed="false">
      <c r="A40" s="3" t="n">
        <v>39</v>
      </c>
      <c r="B40" s="3" t="n">
        <v>38</v>
      </c>
      <c r="C40" s="3" t="n">
        <v>0</v>
      </c>
      <c r="D40" s="3" t="n">
        <v>1</v>
      </c>
      <c r="E40" s="3" t="n">
        <v>10</v>
      </c>
      <c r="F40" s="24" t="n">
        <v>-0.0259179175</v>
      </c>
    </row>
    <row r="41" customFormat="false" ht="15" hidden="false" customHeight="false" outlineLevel="0" collapsed="false">
      <c r="A41" s="3" t="n">
        <v>40</v>
      </c>
      <c r="B41" s="3" t="n">
        <v>39</v>
      </c>
      <c r="C41" s="3" t="n">
        <v>0</v>
      </c>
      <c r="D41" s="3" t="n">
        <v>1</v>
      </c>
      <c r="E41" s="3" t="n">
        <v>11</v>
      </c>
      <c r="F41" s="24" t="n">
        <v>-0.0259179175</v>
      </c>
    </row>
    <row r="42" customFormat="false" ht="15" hidden="false" customHeight="false" outlineLevel="0" collapsed="false">
      <c r="A42" s="3" t="n">
        <v>41</v>
      </c>
      <c r="B42" s="3" t="n">
        <v>40</v>
      </c>
      <c r="C42" s="3" t="n">
        <v>0</v>
      </c>
      <c r="D42" s="3" t="n">
        <v>1</v>
      </c>
      <c r="E42" s="3" t="n">
        <v>12</v>
      </c>
      <c r="F42" s="24" t="n">
        <v>-0.0259179175</v>
      </c>
    </row>
    <row r="43" customFormat="false" ht="15" hidden="false" customHeight="false" outlineLevel="0" collapsed="false">
      <c r="A43" s="3" t="n">
        <v>42</v>
      </c>
      <c r="B43" s="3" t="n">
        <v>41</v>
      </c>
      <c r="C43" s="3" t="n">
        <v>0</v>
      </c>
      <c r="D43" s="3" t="n">
        <v>1</v>
      </c>
      <c r="E43" s="3" t="n">
        <v>13</v>
      </c>
      <c r="F43" s="24" t="n">
        <v>-0.0259179175</v>
      </c>
    </row>
    <row r="44" customFormat="false" ht="15" hidden="false" customHeight="false" outlineLevel="0" collapsed="false">
      <c r="A44" s="3" t="n">
        <v>43</v>
      </c>
      <c r="B44" s="3" t="n">
        <v>42</v>
      </c>
      <c r="C44" s="3" t="n">
        <v>0</v>
      </c>
      <c r="D44" s="3" t="n">
        <v>1</v>
      </c>
      <c r="E44" s="3" t="n">
        <v>14</v>
      </c>
      <c r="F44" s="24" t="n">
        <v>-0.0259179175</v>
      </c>
    </row>
    <row r="45" customFormat="false" ht="15" hidden="false" customHeight="false" outlineLevel="0" collapsed="false">
      <c r="A45" s="3" t="n">
        <v>44</v>
      </c>
      <c r="B45" s="3" t="n">
        <v>43</v>
      </c>
      <c r="C45" s="3" t="n">
        <v>0</v>
      </c>
      <c r="D45" s="3" t="n">
        <v>1</v>
      </c>
      <c r="E45" s="3" t="n">
        <v>15</v>
      </c>
      <c r="F45" s="24" t="n">
        <v>-0.0259179175</v>
      </c>
    </row>
    <row r="46" customFormat="false" ht="15" hidden="false" customHeight="false" outlineLevel="0" collapsed="false">
      <c r="A46" s="3" t="n">
        <v>45</v>
      </c>
      <c r="B46" s="3" t="n">
        <v>44</v>
      </c>
      <c r="C46" s="3" t="n">
        <v>0</v>
      </c>
      <c r="D46" s="3" t="n">
        <v>1</v>
      </c>
      <c r="E46" s="3" t="n">
        <v>16</v>
      </c>
      <c r="F46" s="24" t="n">
        <v>-0.0259179175</v>
      </c>
    </row>
    <row r="47" customFormat="false" ht="15" hidden="false" customHeight="false" outlineLevel="0" collapsed="false">
      <c r="A47" s="3" t="n">
        <v>46</v>
      </c>
      <c r="B47" s="3" t="n">
        <v>45</v>
      </c>
      <c r="C47" s="3" t="n">
        <v>0</v>
      </c>
      <c r="D47" s="3" t="n">
        <v>1</v>
      </c>
      <c r="E47" s="3" t="n">
        <v>17</v>
      </c>
      <c r="F47" s="24" t="n">
        <v>-0.0259179175</v>
      </c>
    </row>
    <row r="48" customFormat="false" ht="15" hidden="false" customHeight="false" outlineLevel="0" collapsed="false">
      <c r="A48" s="3" t="n">
        <v>47</v>
      </c>
      <c r="B48" s="3" t="n">
        <v>46</v>
      </c>
      <c r="C48" s="3" t="n">
        <v>0</v>
      </c>
      <c r="D48" s="3" t="n">
        <v>1</v>
      </c>
      <c r="E48" s="3" t="n">
        <v>18</v>
      </c>
      <c r="F48" s="24" t="n">
        <v>-0.0259179175</v>
      </c>
    </row>
    <row r="49" customFormat="false" ht="15" hidden="false" customHeight="false" outlineLevel="0" collapsed="false">
      <c r="A49" s="3" t="n">
        <v>48</v>
      </c>
      <c r="B49" s="3" t="n">
        <v>47</v>
      </c>
      <c r="C49" s="3" t="n">
        <v>0</v>
      </c>
      <c r="D49" s="3" t="n">
        <v>1</v>
      </c>
      <c r="E49" s="3" t="n">
        <v>19</v>
      </c>
      <c r="F49" s="24" t="n">
        <v>-0.0259179175</v>
      </c>
    </row>
    <row r="50" customFormat="false" ht="15" hidden="false" customHeight="false" outlineLevel="0" collapsed="false">
      <c r="A50" s="3" t="n">
        <v>49</v>
      </c>
      <c r="B50" s="3" t="n">
        <v>48</v>
      </c>
      <c r="C50" s="3" t="n">
        <v>0</v>
      </c>
      <c r="D50" s="3" t="n">
        <v>1</v>
      </c>
      <c r="E50" s="3" t="n">
        <v>20</v>
      </c>
      <c r="F50" s="24" t="n">
        <v>-0.0259179175</v>
      </c>
    </row>
    <row r="51" customFormat="false" ht="15" hidden="false" customHeight="false" outlineLevel="0" collapsed="false">
      <c r="A51" s="3" t="n">
        <v>50</v>
      </c>
      <c r="B51" s="3" t="n">
        <v>49</v>
      </c>
      <c r="C51" s="3" t="n">
        <v>0</v>
      </c>
      <c r="D51" s="3" t="n">
        <v>1</v>
      </c>
      <c r="E51" s="3" t="n">
        <v>21</v>
      </c>
      <c r="F51" s="24" t="n">
        <v>-0.0259179175</v>
      </c>
    </row>
    <row r="52" customFormat="false" ht="15" hidden="false" customHeight="false" outlineLevel="0" collapsed="false">
      <c r="A52" s="3" t="n">
        <v>51</v>
      </c>
      <c r="B52" s="3" t="n">
        <v>50</v>
      </c>
      <c r="C52" s="3" t="n">
        <v>0</v>
      </c>
      <c r="D52" s="3" t="n">
        <v>1</v>
      </c>
      <c r="E52" s="3" t="n">
        <v>22</v>
      </c>
      <c r="F52" s="24" t="n">
        <v>-0.0259179175</v>
      </c>
    </row>
    <row r="53" customFormat="false" ht="15" hidden="false" customHeight="false" outlineLevel="0" collapsed="false">
      <c r="A53" s="3" t="n">
        <v>52</v>
      </c>
      <c r="B53" s="3" t="n">
        <v>51</v>
      </c>
      <c r="C53" s="3" t="n">
        <v>0</v>
      </c>
      <c r="D53" s="3" t="n">
        <v>1</v>
      </c>
      <c r="E53" s="3" t="n">
        <v>23</v>
      </c>
      <c r="F53" s="24" t="n">
        <v>-0.0259179175</v>
      </c>
    </row>
    <row r="54" customFormat="false" ht="15" hidden="false" customHeight="false" outlineLevel="0" collapsed="false">
      <c r="A54" s="3" t="n">
        <v>53</v>
      </c>
      <c r="B54" s="3" t="n">
        <v>52</v>
      </c>
      <c r="C54" s="3" t="n">
        <v>0</v>
      </c>
      <c r="D54" s="3" t="n">
        <v>1</v>
      </c>
      <c r="E54" s="3" t="n">
        <v>24</v>
      </c>
      <c r="F54" s="24" t="n">
        <v>-0.0259179175</v>
      </c>
    </row>
    <row r="55" customFormat="false" ht="15" hidden="false" customHeight="false" outlineLevel="0" collapsed="false">
      <c r="A55" s="3" t="n">
        <v>54</v>
      </c>
      <c r="B55" s="3" t="n">
        <v>53</v>
      </c>
      <c r="C55" s="3" t="n">
        <v>0</v>
      </c>
      <c r="D55" s="3" t="n">
        <v>1</v>
      </c>
      <c r="E55" s="3" t="n">
        <v>25</v>
      </c>
      <c r="F55" s="24" t="n">
        <v>-0.0259179175</v>
      </c>
    </row>
    <row r="56" customFormat="false" ht="15" hidden="false" customHeight="false" outlineLevel="0" collapsed="false">
      <c r="A56" s="3" t="n">
        <v>55</v>
      </c>
      <c r="B56" s="3" t="n">
        <v>54</v>
      </c>
      <c r="C56" s="3" t="n">
        <v>0</v>
      </c>
      <c r="D56" s="3" t="n">
        <v>1</v>
      </c>
      <c r="E56" s="3" t="n">
        <v>26</v>
      </c>
      <c r="F56" s="24" t="n">
        <v>-0.0259179175</v>
      </c>
    </row>
    <row r="57" customFormat="false" ht="15" hidden="false" customHeight="false" outlineLevel="0" collapsed="false">
      <c r="A57" s="3" t="n">
        <v>56</v>
      </c>
      <c r="B57" s="3" t="n">
        <v>55</v>
      </c>
      <c r="C57" s="3" t="n">
        <v>0</v>
      </c>
      <c r="D57" s="3" t="n">
        <v>1</v>
      </c>
      <c r="E57" s="3" t="n">
        <v>27</v>
      </c>
      <c r="F57" s="24" t="n">
        <v>0.0673455298</v>
      </c>
    </row>
    <row r="58" customFormat="false" ht="15" hidden="false" customHeight="false" outlineLevel="0" collapsed="false">
      <c r="A58" s="3" t="n">
        <v>57</v>
      </c>
      <c r="B58" s="3" t="n">
        <v>56</v>
      </c>
      <c r="C58" s="3" t="n">
        <v>0</v>
      </c>
      <c r="D58" s="3" t="n">
        <v>2</v>
      </c>
      <c r="E58" s="3" t="n">
        <v>0</v>
      </c>
      <c r="F58" s="24" t="n">
        <v>0.10001415</v>
      </c>
    </row>
    <row r="59" customFormat="false" ht="15" hidden="false" customHeight="false" outlineLevel="0" collapsed="false">
      <c r="A59" s="3" t="n">
        <v>58</v>
      </c>
      <c r="B59" s="3" t="n">
        <v>57</v>
      </c>
      <c r="C59" s="3" t="n">
        <v>0</v>
      </c>
      <c r="D59" s="3" t="n">
        <v>2</v>
      </c>
      <c r="E59" s="3" t="n">
        <v>1</v>
      </c>
      <c r="F59" s="24" t="n">
        <v>-0.0259179175</v>
      </c>
    </row>
    <row r="60" customFormat="false" ht="15" hidden="false" customHeight="false" outlineLevel="0" collapsed="false">
      <c r="A60" s="3" t="n">
        <v>59</v>
      </c>
      <c r="B60" s="3" t="n">
        <v>58</v>
      </c>
      <c r="C60" s="3" t="n">
        <v>0</v>
      </c>
      <c r="D60" s="3" t="n">
        <v>2</v>
      </c>
      <c r="E60" s="3" t="n">
        <v>2</v>
      </c>
      <c r="F60" s="24" t="n">
        <v>-0.0259179175</v>
      </c>
    </row>
    <row r="61" customFormat="false" ht="15" hidden="false" customHeight="false" outlineLevel="0" collapsed="false">
      <c r="A61" s="3" t="n">
        <v>60</v>
      </c>
      <c r="B61" s="3" t="n">
        <v>59</v>
      </c>
      <c r="C61" s="3" t="n">
        <v>0</v>
      </c>
      <c r="D61" s="3" t="n">
        <v>2</v>
      </c>
      <c r="E61" s="3" t="n">
        <v>3</v>
      </c>
      <c r="F61" s="24" t="n">
        <v>-0.0259179175</v>
      </c>
    </row>
    <row r="62" customFormat="false" ht="15" hidden="false" customHeight="false" outlineLevel="0" collapsed="false">
      <c r="A62" s="3" t="n">
        <v>61</v>
      </c>
      <c r="B62" s="3" t="n">
        <v>60</v>
      </c>
      <c r="C62" s="3" t="n">
        <v>0</v>
      </c>
      <c r="D62" s="3" t="n">
        <v>2</v>
      </c>
      <c r="E62" s="3" t="n">
        <v>4</v>
      </c>
      <c r="F62" s="24" t="n">
        <v>-0.0259179175</v>
      </c>
    </row>
    <row r="63" customFormat="false" ht="15" hidden="false" customHeight="false" outlineLevel="0" collapsed="false">
      <c r="A63" s="3" t="n">
        <v>62</v>
      </c>
      <c r="B63" s="3" t="n">
        <v>61</v>
      </c>
      <c r="C63" s="3" t="n">
        <v>0</v>
      </c>
      <c r="D63" s="3" t="n">
        <v>2</v>
      </c>
      <c r="E63" s="3" t="n">
        <v>5</v>
      </c>
      <c r="F63" s="24" t="n">
        <v>-0.0259179175</v>
      </c>
    </row>
    <row r="64" customFormat="false" ht="15" hidden="false" customHeight="false" outlineLevel="0" collapsed="false">
      <c r="A64" s="3" t="n">
        <v>63</v>
      </c>
      <c r="B64" s="3" t="n">
        <v>62</v>
      </c>
      <c r="C64" s="3" t="n">
        <v>0</v>
      </c>
      <c r="D64" s="3" t="n">
        <v>2</v>
      </c>
      <c r="E64" s="3" t="n">
        <v>6</v>
      </c>
      <c r="F64" s="24" t="n">
        <v>-0.0259179175</v>
      </c>
    </row>
    <row r="65" customFormat="false" ht="15" hidden="false" customHeight="false" outlineLevel="0" collapsed="false">
      <c r="A65" s="3" t="n">
        <v>64</v>
      </c>
      <c r="B65" s="3" t="n">
        <v>63</v>
      </c>
      <c r="C65" s="3" t="n">
        <v>0</v>
      </c>
      <c r="D65" s="3" t="n">
        <v>2</v>
      </c>
      <c r="E65" s="3" t="n">
        <v>7</v>
      </c>
      <c r="F65" s="24" t="n">
        <v>-0.0259179175</v>
      </c>
    </row>
    <row r="66" customFormat="false" ht="15" hidden="false" customHeight="false" outlineLevel="0" collapsed="false">
      <c r="A66" s="3" t="n">
        <v>65</v>
      </c>
      <c r="B66" s="3" t="n">
        <v>64</v>
      </c>
      <c r="C66" s="3" t="n">
        <v>0</v>
      </c>
      <c r="D66" s="3" t="n">
        <v>2</v>
      </c>
      <c r="E66" s="3" t="n">
        <v>8</v>
      </c>
      <c r="F66" s="24" t="n">
        <v>-0.0259179175</v>
      </c>
    </row>
    <row r="67" customFormat="false" ht="15" hidden="false" customHeight="false" outlineLevel="0" collapsed="false">
      <c r="A67" s="3" t="n">
        <v>66</v>
      </c>
      <c r="B67" s="3" t="n">
        <v>65</v>
      </c>
      <c r="C67" s="3" t="n">
        <v>0</v>
      </c>
      <c r="D67" s="3" t="n">
        <v>2</v>
      </c>
      <c r="E67" s="3" t="n">
        <v>9</v>
      </c>
      <c r="F67" s="24" t="n">
        <v>-0.0259179175</v>
      </c>
    </row>
    <row r="68" customFormat="false" ht="15" hidden="false" customHeight="false" outlineLevel="0" collapsed="false">
      <c r="A68" s="3" t="n">
        <v>67</v>
      </c>
      <c r="B68" s="3" t="n">
        <v>66</v>
      </c>
      <c r="C68" s="3" t="n">
        <v>0</v>
      </c>
      <c r="D68" s="3" t="n">
        <v>2</v>
      </c>
      <c r="E68" s="3" t="n">
        <v>10</v>
      </c>
      <c r="F68" s="24" t="n">
        <v>-0.0259179175</v>
      </c>
    </row>
    <row r="69" customFormat="false" ht="15" hidden="false" customHeight="false" outlineLevel="0" collapsed="false">
      <c r="A69" s="3" t="n">
        <v>68</v>
      </c>
      <c r="B69" s="3" t="n">
        <v>67</v>
      </c>
      <c r="C69" s="3" t="n">
        <v>0</v>
      </c>
      <c r="D69" s="3" t="n">
        <v>2</v>
      </c>
      <c r="E69" s="3" t="n">
        <v>11</v>
      </c>
      <c r="F69" s="24" t="n">
        <v>-0.0259179175</v>
      </c>
    </row>
    <row r="70" customFormat="false" ht="15" hidden="false" customHeight="false" outlineLevel="0" collapsed="false">
      <c r="A70" s="3" t="n">
        <v>69</v>
      </c>
      <c r="B70" s="3" t="n">
        <v>68</v>
      </c>
      <c r="C70" s="3" t="n">
        <v>0</v>
      </c>
      <c r="D70" s="3" t="n">
        <v>2</v>
      </c>
      <c r="E70" s="3" t="n">
        <v>12</v>
      </c>
      <c r="F70" s="24" t="n">
        <v>-0.0259179175</v>
      </c>
    </row>
    <row r="71" customFormat="false" ht="15" hidden="false" customHeight="false" outlineLevel="0" collapsed="false">
      <c r="A71" s="3" t="n">
        <v>70</v>
      </c>
      <c r="B71" s="3" t="n">
        <v>69</v>
      </c>
      <c r="C71" s="3" t="n">
        <v>0</v>
      </c>
      <c r="D71" s="3" t="n">
        <v>2</v>
      </c>
      <c r="E71" s="3" t="n">
        <v>13</v>
      </c>
      <c r="F71" s="24" t="n">
        <v>-0.0259179175</v>
      </c>
    </row>
    <row r="72" customFormat="false" ht="15" hidden="false" customHeight="false" outlineLevel="0" collapsed="false">
      <c r="A72" s="3" t="n">
        <v>71</v>
      </c>
      <c r="B72" s="3" t="n">
        <v>70</v>
      </c>
      <c r="C72" s="3" t="n">
        <v>0</v>
      </c>
      <c r="D72" s="3" t="n">
        <v>2</v>
      </c>
      <c r="E72" s="3" t="n">
        <v>14</v>
      </c>
      <c r="F72" s="24" t="n">
        <v>-0.0259179175</v>
      </c>
    </row>
    <row r="73" customFormat="false" ht="15" hidden="false" customHeight="false" outlineLevel="0" collapsed="false">
      <c r="A73" s="3" t="n">
        <v>72</v>
      </c>
      <c r="B73" s="3" t="n">
        <v>71</v>
      </c>
      <c r="C73" s="3" t="n">
        <v>0</v>
      </c>
      <c r="D73" s="3" t="n">
        <v>2</v>
      </c>
      <c r="E73" s="3" t="n">
        <v>15</v>
      </c>
      <c r="F73" s="24" t="n">
        <v>-0.0259179175</v>
      </c>
    </row>
    <row r="74" customFormat="false" ht="15" hidden="false" customHeight="false" outlineLevel="0" collapsed="false">
      <c r="A74" s="3" t="n">
        <v>73</v>
      </c>
      <c r="B74" s="3" t="n">
        <v>72</v>
      </c>
      <c r="C74" s="3" t="n">
        <v>0</v>
      </c>
      <c r="D74" s="3" t="n">
        <v>2</v>
      </c>
      <c r="E74" s="3" t="n">
        <v>16</v>
      </c>
      <c r="F74" s="24" t="n">
        <v>-0.0259179175</v>
      </c>
    </row>
    <row r="75" customFormat="false" ht="15" hidden="false" customHeight="false" outlineLevel="0" collapsed="false">
      <c r="A75" s="3" t="n">
        <v>74</v>
      </c>
      <c r="B75" s="3" t="n">
        <v>73</v>
      </c>
      <c r="C75" s="3" t="n">
        <v>0</v>
      </c>
      <c r="D75" s="3" t="n">
        <v>2</v>
      </c>
      <c r="E75" s="3" t="n">
        <v>17</v>
      </c>
      <c r="F75" s="24" t="n">
        <v>-0.0259179175</v>
      </c>
    </row>
    <row r="76" customFormat="false" ht="15" hidden="false" customHeight="false" outlineLevel="0" collapsed="false">
      <c r="A76" s="3" t="n">
        <v>75</v>
      </c>
      <c r="B76" s="3" t="n">
        <v>74</v>
      </c>
      <c r="C76" s="3" t="n">
        <v>0</v>
      </c>
      <c r="D76" s="3" t="n">
        <v>2</v>
      </c>
      <c r="E76" s="3" t="n">
        <v>18</v>
      </c>
      <c r="F76" s="24" t="n">
        <v>-0.0259179175</v>
      </c>
    </row>
    <row r="77" customFormat="false" ht="15" hidden="false" customHeight="false" outlineLevel="0" collapsed="false">
      <c r="A77" s="3" t="n">
        <v>76</v>
      </c>
      <c r="B77" s="3" t="n">
        <v>75</v>
      </c>
      <c r="C77" s="3" t="n">
        <v>0</v>
      </c>
      <c r="D77" s="3" t="n">
        <v>2</v>
      </c>
      <c r="E77" s="3" t="n">
        <v>19</v>
      </c>
      <c r="F77" s="24" t="n">
        <v>-0.0259179175</v>
      </c>
    </row>
    <row r="78" customFormat="false" ht="15" hidden="false" customHeight="false" outlineLevel="0" collapsed="false">
      <c r="A78" s="3" t="n">
        <v>77</v>
      </c>
      <c r="B78" s="3" t="n">
        <v>76</v>
      </c>
      <c r="C78" s="3" t="n">
        <v>0</v>
      </c>
      <c r="D78" s="3" t="n">
        <v>2</v>
      </c>
      <c r="E78" s="3" t="n">
        <v>20</v>
      </c>
      <c r="F78" s="24" t="n">
        <v>-0.0259179175</v>
      </c>
    </row>
    <row r="79" customFormat="false" ht="15" hidden="false" customHeight="false" outlineLevel="0" collapsed="false">
      <c r="A79" s="3" t="n">
        <v>78</v>
      </c>
      <c r="B79" s="3" t="n">
        <v>77</v>
      </c>
      <c r="C79" s="3" t="n">
        <v>0</v>
      </c>
      <c r="D79" s="3" t="n">
        <v>2</v>
      </c>
      <c r="E79" s="3" t="n">
        <v>21</v>
      </c>
      <c r="F79" s="24" t="n">
        <v>-0.0259179175</v>
      </c>
    </row>
    <row r="80" customFormat="false" ht="15" hidden="false" customHeight="false" outlineLevel="0" collapsed="false">
      <c r="A80" s="3" t="n">
        <v>79</v>
      </c>
      <c r="B80" s="3" t="n">
        <v>78</v>
      </c>
      <c r="C80" s="3" t="n">
        <v>0</v>
      </c>
      <c r="D80" s="3" t="n">
        <v>2</v>
      </c>
      <c r="E80" s="3" t="n">
        <v>22</v>
      </c>
      <c r="F80" s="24" t="n">
        <v>-0.0259179175</v>
      </c>
    </row>
    <row r="81" customFormat="false" ht="15" hidden="false" customHeight="false" outlineLevel="0" collapsed="false">
      <c r="A81" s="3" t="n">
        <v>80</v>
      </c>
      <c r="B81" s="3" t="n">
        <v>79</v>
      </c>
      <c r="C81" s="3" t="n">
        <v>0</v>
      </c>
      <c r="D81" s="3" t="n">
        <v>2</v>
      </c>
      <c r="E81" s="3" t="n">
        <v>23</v>
      </c>
      <c r="F81" s="24" t="n">
        <v>-0.0259179175</v>
      </c>
    </row>
    <row r="82" customFormat="false" ht="15" hidden="false" customHeight="false" outlineLevel="0" collapsed="false">
      <c r="A82" s="3" t="n">
        <v>81</v>
      </c>
      <c r="B82" s="3" t="n">
        <v>80</v>
      </c>
      <c r="C82" s="3" t="n">
        <v>0</v>
      </c>
      <c r="D82" s="3" t="n">
        <v>2</v>
      </c>
      <c r="E82" s="3" t="n">
        <v>24</v>
      </c>
      <c r="F82" s="24" t="n">
        <v>-0.0259179175</v>
      </c>
    </row>
    <row r="83" customFormat="false" ht="15" hidden="false" customHeight="false" outlineLevel="0" collapsed="false">
      <c r="A83" s="3" t="n">
        <v>82</v>
      </c>
      <c r="B83" s="3" t="n">
        <v>81</v>
      </c>
      <c r="C83" s="3" t="n">
        <v>0</v>
      </c>
      <c r="D83" s="3" t="n">
        <v>2</v>
      </c>
      <c r="E83" s="3" t="n">
        <v>25</v>
      </c>
      <c r="F83" s="24" t="n">
        <v>-0.0259179175</v>
      </c>
    </row>
    <row r="84" customFormat="false" ht="15" hidden="false" customHeight="false" outlineLevel="0" collapsed="false">
      <c r="A84" s="3" t="n">
        <v>83</v>
      </c>
      <c r="B84" s="3" t="n">
        <v>82</v>
      </c>
      <c r="C84" s="3" t="n">
        <v>0</v>
      </c>
      <c r="D84" s="3" t="n">
        <v>2</v>
      </c>
      <c r="E84" s="3" t="n">
        <v>26</v>
      </c>
      <c r="F84" s="24" t="n">
        <v>-0.0259179175</v>
      </c>
    </row>
    <row r="85" customFormat="false" ht="15" hidden="false" customHeight="false" outlineLevel="0" collapsed="false">
      <c r="A85" s="3" t="n">
        <v>84</v>
      </c>
      <c r="B85" s="3" t="n">
        <v>83</v>
      </c>
      <c r="C85" s="3" t="n">
        <v>0</v>
      </c>
      <c r="D85" s="3" t="n">
        <v>2</v>
      </c>
      <c r="E85" s="3" t="n">
        <v>27</v>
      </c>
      <c r="F85" s="24" t="n">
        <v>0.0673455298</v>
      </c>
    </row>
    <row r="86" customFormat="false" ht="15" hidden="false" customHeight="false" outlineLevel="0" collapsed="false">
      <c r="A86" s="3" t="n">
        <v>85</v>
      </c>
      <c r="B86" s="3" t="n">
        <v>84</v>
      </c>
      <c r="C86" s="3" t="n">
        <v>0</v>
      </c>
      <c r="D86" s="3" t="n">
        <v>3</v>
      </c>
      <c r="E86" s="3" t="n">
        <v>0</v>
      </c>
      <c r="F86" s="24" t="n">
        <v>0.10001415</v>
      </c>
    </row>
    <row r="87" customFormat="false" ht="15" hidden="false" customHeight="false" outlineLevel="0" collapsed="false">
      <c r="A87" s="3" t="n">
        <v>86</v>
      </c>
      <c r="B87" s="3" t="n">
        <v>85</v>
      </c>
      <c r="C87" s="3" t="n">
        <v>0</v>
      </c>
      <c r="D87" s="3" t="n">
        <v>3</v>
      </c>
      <c r="E87" s="3" t="n">
        <v>1</v>
      </c>
      <c r="F87" s="24" t="n">
        <v>-0.0259179175</v>
      </c>
    </row>
    <row r="88" customFormat="false" ht="15" hidden="false" customHeight="false" outlineLevel="0" collapsed="false">
      <c r="A88" s="3" t="n">
        <v>87</v>
      </c>
      <c r="B88" s="3" t="n">
        <v>86</v>
      </c>
      <c r="C88" s="3" t="n">
        <v>0</v>
      </c>
      <c r="D88" s="3" t="n">
        <v>3</v>
      </c>
      <c r="E88" s="3" t="n">
        <v>2</v>
      </c>
      <c r="F88" s="24" t="n">
        <v>-0.0259179175</v>
      </c>
    </row>
    <row r="89" customFormat="false" ht="15" hidden="false" customHeight="false" outlineLevel="0" collapsed="false">
      <c r="A89" s="3" t="n">
        <v>88</v>
      </c>
      <c r="B89" s="3" t="n">
        <v>87</v>
      </c>
      <c r="C89" s="3" t="n">
        <v>0</v>
      </c>
      <c r="D89" s="3" t="n">
        <v>3</v>
      </c>
      <c r="E89" s="3" t="n">
        <v>3</v>
      </c>
      <c r="F89" s="24" t="n">
        <v>-0.0259179175</v>
      </c>
    </row>
    <row r="90" customFormat="false" ht="15" hidden="false" customHeight="false" outlineLevel="0" collapsed="false">
      <c r="A90" s="3" t="n">
        <v>89</v>
      </c>
      <c r="B90" s="3" t="n">
        <v>88</v>
      </c>
      <c r="C90" s="3" t="n">
        <v>0</v>
      </c>
      <c r="D90" s="3" t="n">
        <v>3</v>
      </c>
      <c r="E90" s="3" t="n">
        <v>4</v>
      </c>
      <c r="F90" s="24" t="n">
        <v>-0.0259179175</v>
      </c>
    </row>
    <row r="91" customFormat="false" ht="15" hidden="false" customHeight="false" outlineLevel="0" collapsed="false">
      <c r="A91" s="3" t="n">
        <v>90</v>
      </c>
      <c r="B91" s="3" t="n">
        <v>89</v>
      </c>
      <c r="C91" s="3" t="n">
        <v>0</v>
      </c>
      <c r="D91" s="3" t="n">
        <v>3</v>
      </c>
      <c r="E91" s="3" t="n">
        <v>5</v>
      </c>
      <c r="F91" s="24" t="n">
        <v>-0.0259179175</v>
      </c>
    </row>
    <row r="92" customFormat="false" ht="15" hidden="false" customHeight="false" outlineLevel="0" collapsed="false">
      <c r="A92" s="3" t="n">
        <v>91</v>
      </c>
      <c r="B92" s="3" t="n">
        <v>90</v>
      </c>
      <c r="C92" s="3" t="n">
        <v>0</v>
      </c>
      <c r="D92" s="3" t="n">
        <v>3</v>
      </c>
      <c r="E92" s="3" t="n">
        <v>6</v>
      </c>
      <c r="F92" s="24" t="n">
        <v>-0.0259179175</v>
      </c>
    </row>
    <row r="93" customFormat="false" ht="15" hidden="false" customHeight="false" outlineLevel="0" collapsed="false">
      <c r="A93" s="3" t="n">
        <v>92</v>
      </c>
      <c r="B93" s="3" t="n">
        <v>91</v>
      </c>
      <c r="C93" s="3" t="n">
        <v>0</v>
      </c>
      <c r="D93" s="3" t="n">
        <v>3</v>
      </c>
      <c r="E93" s="3" t="n">
        <v>7</v>
      </c>
      <c r="F93" s="24" t="n">
        <v>-0.0259179175</v>
      </c>
    </row>
    <row r="94" customFormat="false" ht="15" hidden="false" customHeight="false" outlineLevel="0" collapsed="false">
      <c r="A94" s="3" t="n">
        <v>93</v>
      </c>
      <c r="B94" s="3" t="n">
        <v>92</v>
      </c>
      <c r="C94" s="3" t="n">
        <v>0</v>
      </c>
      <c r="D94" s="3" t="n">
        <v>3</v>
      </c>
      <c r="E94" s="3" t="n">
        <v>8</v>
      </c>
      <c r="F94" s="24" t="n">
        <v>-0.0259179175</v>
      </c>
    </row>
    <row r="95" customFormat="false" ht="15" hidden="false" customHeight="false" outlineLevel="0" collapsed="false">
      <c r="A95" s="3" t="n">
        <v>94</v>
      </c>
      <c r="B95" s="3" t="n">
        <v>93</v>
      </c>
      <c r="C95" s="3" t="n">
        <v>0</v>
      </c>
      <c r="D95" s="3" t="n">
        <v>3</v>
      </c>
      <c r="E95" s="3" t="n">
        <v>9</v>
      </c>
      <c r="F95" s="24" t="n">
        <v>-0.0259179175</v>
      </c>
    </row>
    <row r="96" customFormat="false" ht="15" hidden="false" customHeight="false" outlineLevel="0" collapsed="false">
      <c r="A96" s="3" t="n">
        <v>95</v>
      </c>
      <c r="B96" s="3" t="n">
        <v>94</v>
      </c>
      <c r="C96" s="3" t="n">
        <v>0</v>
      </c>
      <c r="D96" s="3" t="n">
        <v>3</v>
      </c>
      <c r="E96" s="3" t="n">
        <v>10</v>
      </c>
      <c r="F96" s="24" t="n">
        <v>-0.0259179175</v>
      </c>
    </row>
    <row r="97" customFormat="false" ht="15" hidden="false" customHeight="false" outlineLevel="0" collapsed="false">
      <c r="A97" s="3" t="n">
        <v>96</v>
      </c>
      <c r="B97" s="3" t="n">
        <v>95</v>
      </c>
      <c r="C97" s="3" t="n">
        <v>0</v>
      </c>
      <c r="D97" s="3" t="n">
        <v>3</v>
      </c>
      <c r="E97" s="3" t="n">
        <v>11</v>
      </c>
      <c r="F97" s="24" t="n">
        <v>-0.0259179175</v>
      </c>
    </row>
    <row r="98" customFormat="false" ht="15" hidden="false" customHeight="false" outlineLevel="0" collapsed="false">
      <c r="A98" s="3" t="n">
        <v>97</v>
      </c>
      <c r="B98" s="3" t="n">
        <v>96</v>
      </c>
      <c r="C98" s="3" t="n">
        <v>0</v>
      </c>
      <c r="D98" s="3" t="n">
        <v>3</v>
      </c>
      <c r="E98" s="3" t="n">
        <v>12</v>
      </c>
      <c r="F98" s="24" t="n">
        <v>-0.0259179175</v>
      </c>
    </row>
    <row r="99" customFormat="false" ht="15" hidden="false" customHeight="false" outlineLevel="0" collapsed="false">
      <c r="A99" s="3" t="n">
        <v>98</v>
      </c>
      <c r="B99" s="3" t="n">
        <v>97</v>
      </c>
      <c r="C99" s="3" t="n">
        <v>0</v>
      </c>
      <c r="D99" s="3" t="n">
        <v>3</v>
      </c>
      <c r="E99" s="3" t="n">
        <v>13</v>
      </c>
      <c r="F99" s="24" t="n">
        <v>-0.0259179175</v>
      </c>
    </row>
    <row r="100" customFormat="false" ht="15" hidden="false" customHeight="false" outlineLevel="0" collapsed="false">
      <c r="A100" s="3" t="n">
        <v>99</v>
      </c>
      <c r="B100" s="3" t="n">
        <v>98</v>
      </c>
      <c r="C100" s="3" t="n">
        <v>0</v>
      </c>
      <c r="D100" s="3" t="n">
        <v>3</v>
      </c>
      <c r="E100" s="3" t="n">
        <v>14</v>
      </c>
      <c r="F100" s="24" t="n">
        <v>-0.0259179175</v>
      </c>
    </row>
    <row r="101" customFormat="false" ht="15" hidden="false" customHeight="false" outlineLevel="0" collapsed="false">
      <c r="A101" s="3" t="n">
        <v>100</v>
      </c>
      <c r="B101" s="3" t="n">
        <v>99</v>
      </c>
      <c r="C101" s="3" t="n">
        <v>0</v>
      </c>
      <c r="D101" s="3" t="n">
        <v>3</v>
      </c>
      <c r="E101" s="3" t="n">
        <v>15</v>
      </c>
      <c r="F101" s="24" t="n">
        <v>-0.0259179175</v>
      </c>
    </row>
    <row r="102" customFormat="false" ht="15" hidden="false" customHeight="false" outlineLevel="0" collapsed="false">
      <c r="A102" s="3" t="n">
        <v>101</v>
      </c>
      <c r="B102" s="3" t="n">
        <v>100</v>
      </c>
      <c r="C102" s="3" t="n">
        <v>0</v>
      </c>
      <c r="D102" s="3" t="n">
        <v>3</v>
      </c>
      <c r="E102" s="3" t="n">
        <v>16</v>
      </c>
      <c r="F102" s="24" t="n">
        <v>-0.0259179175</v>
      </c>
    </row>
    <row r="103" customFormat="false" ht="15" hidden="false" customHeight="false" outlineLevel="0" collapsed="false">
      <c r="A103" s="3" t="n">
        <v>102</v>
      </c>
      <c r="B103" s="3" t="n">
        <v>101</v>
      </c>
      <c r="C103" s="3" t="n">
        <v>0</v>
      </c>
      <c r="D103" s="3" t="n">
        <v>3</v>
      </c>
      <c r="E103" s="3" t="n">
        <v>17</v>
      </c>
      <c r="F103" s="24" t="n">
        <v>-0.0259179175</v>
      </c>
    </row>
    <row r="104" customFormat="false" ht="15" hidden="false" customHeight="false" outlineLevel="0" collapsed="false">
      <c r="A104" s="3" t="n">
        <v>103</v>
      </c>
      <c r="B104" s="3" t="n">
        <v>102</v>
      </c>
      <c r="C104" s="3" t="n">
        <v>0</v>
      </c>
      <c r="D104" s="3" t="n">
        <v>3</v>
      </c>
      <c r="E104" s="3" t="n">
        <v>18</v>
      </c>
      <c r="F104" s="24" t="n">
        <v>-0.0259179175</v>
      </c>
    </row>
    <row r="105" customFormat="false" ht="15" hidden="false" customHeight="false" outlineLevel="0" collapsed="false">
      <c r="A105" s="3" t="n">
        <v>104</v>
      </c>
      <c r="B105" s="3" t="n">
        <v>103</v>
      </c>
      <c r="C105" s="3" t="n">
        <v>0</v>
      </c>
      <c r="D105" s="3" t="n">
        <v>3</v>
      </c>
      <c r="E105" s="3" t="n">
        <v>19</v>
      </c>
      <c r="F105" s="24" t="n">
        <v>-0.0259179175</v>
      </c>
    </row>
    <row r="106" customFormat="false" ht="15" hidden="false" customHeight="false" outlineLevel="0" collapsed="false">
      <c r="A106" s="3" t="n">
        <v>105</v>
      </c>
      <c r="B106" s="3" t="n">
        <v>104</v>
      </c>
      <c r="C106" s="3" t="n">
        <v>0</v>
      </c>
      <c r="D106" s="3" t="n">
        <v>3</v>
      </c>
      <c r="E106" s="3" t="n">
        <v>20</v>
      </c>
      <c r="F106" s="24" t="n">
        <v>-0.0259179175</v>
      </c>
    </row>
    <row r="107" customFormat="false" ht="15" hidden="false" customHeight="false" outlineLevel="0" collapsed="false">
      <c r="A107" s="3" t="n">
        <v>106</v>
      </c>
      <c r="B107" s="3" t="n">
        <v>105</v>
      </c>
      <c r="C107" s="3" t="n">
        <v>0</v>
      </c>
      <c r="D107" s="3" t="n">
        <v>3</v>
      </c>
      <c r="E107" s="3" t="n">
        <v>21</v>
      </c>
      <c r="F107" s="24" t="n">
        <v>-0.0259179175</v>
      </c>
    </row>
    <row r="108" customFormat="false" ht="15" hidden="false" customHeight="false" outlineLevel="0" collapsed="false">
      <c r="A108" s="3" t="n">
        <v>107</v>
      </c>
      <c r="B108" s="3" t="n">
        <v>106</v>
      </c>
      <c r="C108" s="3" t="n">
        <v>0</v>
      </c>
      <c r="D108" s="3" t="n">
        <v>3</v>
      </c>
      <c r="E108" s="3" t="n">
        <v>22</v>
      </c>
      <c r="F108" s="24" t="n">
        <v>-0.0259179175</v>
      </c>
    </row>
    <row r="109" customFormat="false" ht="15" hidden="false" customHeight="false" outlineLevel="0" collapsed="false">
      <c r="A109" s="3" t="n">
        <v>108</v>
      </c>
      <c r="B109" s="3" t="n">
        <v>107</v>
      </c>
      <c r="C109" s="3" t="n">
        <v>0</v>
      </c>
      <c r="D109" s="3" t="n">
        <v>3</v>
      </c>
      <c r="E109" s="3" t="n">
        <v>23</v>
      </c>
      <c r="F109" s="24" t="n">
        <v>-0.0259179175</v>
      </c>
    </row>
    <row r="110" customFormat="false" ht="15" hidden="false" customHeight="false" outlineLevel="0" collapsed="false">
      <c r="A110" s="3" t="n">
        <v>109</v>
      </c>
      <c r="B110" s="3" t="n">
        <v>108</v>
      </c>
      <c r="C110" s="3" t="n">
        <v>0</v>
      </c>
      <c r="D110" s="3" t="n">
        <v>3</v>
      </c>
      <c r="E110" s="3" t="n">
        <v>24</v>
      </c>
      <c r="F110" s="24" t="n">
        <v>-0.0259179175</v>
      </c>
    </row>
    <row r="111" customFormat="false" ht="15" hidden="false" customHeight="false" outlineLevel="0" collapsed="false">
      <c r="A111" s="3" t="n">
        <v>110</v>
      </c>
      <c r="B111" s="3" t="n">
        <v>109</v>
      </c>
      <c r="C111" s="3" t="n">
        <v>0</v>
      </c>
      <c r="D111" s="3" t="n">
        <v>3</v>
      </c>
      <c r="E111" s="3" t="n">
        <v>25</v>
      </c>
      <c r="F111" s="24" t="n">
        <v>-0.0259179175</v>
      </c>
    </row>
    <row r="112" customFormat="false" ht="15" hidden="false" customHeight="false" outlineLevel="0" collapsed="false">
      <c r="A112" s="3" t="n">
        <v>111</v>
      </c>
      <c r="B112" s="3" t="n">
        <v>110</v>
      </c>
      <c r="C112" s="3" t="n">
        <v>0</v>
      </c>
      <c r="D112" s="3" t="n">
        <v>3</v>
      </c>
      <c r="E112" s="3" t="n">
        <v>26</v>
      </c>
      <c r="F112" s="24" t="n">
        <v>-0.0259179175</v>
      </c>
    </row>
    <row r="113" customFormat="false" ht="15" hidden="false" customHeight="false" outlineLevel="0" collapsed="false">
      <c r="A113" s="3" t="n">
        <v>112</v>
      </c>
      <c r="B113" s="3" t="n">
        <v>111</v>
      </c>
      <c r="C113" s="3" t="n">
        <v>0</v>
      </c>
      <c r="D113" s="3" t="n">
        <v>3</v>
      </c>
      <c r="E113" s="3" t="n">
        <v>27</v>
      </c>
      <c r="F113" s="24" t="n">
        <v>0.0673455298</v>
      </c>
    </row>
    <row r="114" customFormat="false" ht="15" hidden="false" customHeight="false" outlineLevel="0" collapsed="false">
      <c r="A114" s="3" t="n">
        <v>113</v>
      </c>
      <c r="B114" s="3" t="n">
        <v>112</v>
      </c>
      <c r="C114" s="3" t="n">
        <v>0</v>
      </c>
      <c r="D114" s="3" t="n">
        <v>4</v>
      </c>
      <c r="E114" s="3" t="n">
        <v>0</v>
      </c>
      <c r="F114" s="24" t="n">
        <v>0.10001415</v>
      </c>
    </row>
    <row r="115" customFormat="false" ht="15" hidden="false" customHeight="false" outlineLevel="0" collapsed="false">
      <c r="A115" s="3" t="n">
        <v>114</v>
      </c>
      <c r="B115" s="3" t="n">
        <v>113</v>
      </c>
      <c r="C115" s="3" t="n">
        <v>0</v>
      </c>
      <c r="D115" s="3" t="n">
        <v>4</v>
      </c>
      <c r="E115" s="3" t="n">
        <v>1</v>
      </c>
      <c r="F115" s="24" t="n">
        <v>-0.0259179175</v>
      </c>
    </row>
    <row r="116" customFormat="false" ht="15" hidden="false" customHeight="false" outlineLevel="0" collapsed="false">
      <c r="A116" s="3" t="n">
        <v>115</v>
      </c>
      <c r="B116" s="3" t="n">
        <v>114</v>
      </c>
      <c r="C116" s="3" t="n">
        <v>0</v>
      </c>
      <c r="D116" s="3" t="n">
        <v>4</v>
      </c>
      <c r="E116" s="3" t="n">
        <v>2</v>
      </c>
      <c r="F116" s="24" t="n">
        <v>-0.0259179175</v>
      </c>
    </row>
    <row r="117" customFormat="false" ht="15" hidden="false" customHeight="false" outlineLevel="0" collapsed="false">
      <c r="A117" s="3" t="n">
        <v>116</v>
      </c>
      <c r="B117" s="3" t="n">
        <v>115</v>
      </c>
      <c r="C117" s="3" t="n">
        <v>0</v>
      </c>
      <c r="D117" s="3" t="n">
        <v>4</v>
      </c>
      <c r="E117" s="3" t="n">
        <v>3</v>
      </c>
      <c r="F117" s="24" t="n">
        <v>-0.0259179175</v>
      </c>
    </row>
    <row r="118" customFormat="false" ht="15" hidden="false" customHeight="false" outlineLevel="0" collapsed="false">
      <c r="A118" s="3" t="n">
        <v>117</v>
      </c>
      <c r="B118" s="3" t="n">
        <v>116</v>
      </c>
      <c r="C118" s="3" t="n">
        <v>0</v>
      </c>
      <c r="D118" s="3" t="n">
        <v>4</v>
      </c>
      <c r="E118" s="3" t="n">
        <v>4</v>
      </c>
      <c r="F118" s="24" t="n">
        <v>-0.0259179175</v>
      </c>
    </row>
    <row r="119" customFormat="false" ht="15" hidden="false" customHeight="false" outlineLevel="0" collapsed="false">
      <c r="A119" s="3" t="n">
        <v>118</v>
      </c>
      <c r="B119" s="3" t="n">
        <v>117</v>
      </c>
      <c r="C119" s="3" t="n">
        <v>0</v>
      </c>
      <c r="D119" s="3" t="n">
        <v>4</v>
      </c>
      <c r="E119" s="3" t="n">
        <v>5</v>
      </c>
      <c r="F119" s="24" t="n">
        <v>-0.0259179175</v>
      </c>
    </row>
    <row r="120" customFormat="false" ht="15" hidden="false" customHeight="false" outlineLevel="0" collapsed="false">
      <c r="A120" s="3" t="n">
        <v>119</v>
      </c>
      <c r="B120" s="3" t="n">
        <v>118</v>
      </c>
      <c r="C120" s="3" t="n">
        <v>0</v>
      </c>
      <c r="D120" s="3" t="n">
        <v>4</v>
      </c>
      <c r="E120" s="3" t="n">
        <v>6</v>
      </c>
      <c r="F120" s="24" t="n">
        <v>-0.0259179175</v>
      </c>
    </row>
    <row r="121" customFormat="false" ht="15" hidden="false" customHeight="false" outlineLevel="0" collapsed="false">
      <c r="A121" s="3" t="n">
        <v>120</v>
      </c>
      <c r="B121" s="3" t="n">
        <v>119</v>
      </c>
      <c r="C121" s="3" t="n">
        <v>0</v>
      </c>
      <c r="D121" s="3" t="n">
        <v>4</v>
      </c>
      <c r="E121" s="3" t="n">
        <v>7</v>
      </c>
      <c r="F121" s="24" t="n">
        <v>-0.0259179175</v>
      </c>
    </row>
    <row r="122" customFormat="false" ht="15" hidden="false" customHeight="false" outlineLevel="0" collapsed="false">
      <c r="A122" s="3" t="n">
        <v>121</v>
      </c>
      <c r="B122" s="3" t="n">
        <v>120</v>
      </c>
      <c r="C122" s="3" t="n">
        <v>0</v>
      </c>
      <c r="D122" s="3" t="n">
        <v>4</v>
      </c>
      <c r="E122" s="3" t="n">
        <v>8</v>
      </c>
      <c r="F122" s="24" t="n">
        <v>-0.0259179175</v>
      </c>
    </row>
    <row r="123" customFormat="false" ht="15" hidden="false" customHeight="false" outlineLevel="0" collapsed="false">
      <c r="A123" s="3" t="n">
        <v>122</v>
      </c>
      <c r="B123" s="3" t="n">
        <v>121</v>
      </c>
      <c r="C123" s="3" t="n">
        <v>0</v>
      </c>
      <c r="D123" s="3" t="n">
        <v>4</v>
      </c>
      <c r="E123" s="3" t="n">
        <v>9</v>
      </c>
      <c r="F123" s="24" t="n">
        <v>-0.0259179175</v>
      </c>
    </row>
    <row r="124" customFormat="false" ht="15" hidden="false" customHeight="false" outlineLevel="0" collapsed="false">
      <c r="A124" s="3" t="n">
        <v>123</v>
      </c>
      <c r="B124" s="3" t="n">
        <v>122</v>
      </c>
      <c r="C124" s="3" t="n">
        <v>0</v>
      </c>
      <c r="D124" s="3" t="n">
        <v>4</v>
      </c>
      <c r="E124" s="3" t="n">
        <v>10</v>
      </c>
      <c r="F124" s="24" t="n">
        <v>-0.0259179175</v>
      </c>
    </row>
    <row r="125" customFormat="false" ht="15" hidden="false" customHeight="false" outlineLevel="0" collapsed="false">
      <c r="A125" s="3" t="n">
        <v>124</v>
      </c>
      <c r="B125" s="3" t="n">
        <v>123</v>
      </c>
      <c r="C125" s="3" t="n">
        <v>0</v>
      </c>
      <c r="D125" s="3" t="n">
        <v>4</v>
      </c>
      <c r="E125" s="3" t="n">
        <v>11</v>
      </c>
      <c r="F125" s="24" t="n">
        <v>-0.0259179175</v>
      </c>
    </row>
    <row r="126" customFormat="false" ht="15" hidden="false" customHeight="false" outlineLevel="0" collapsed="false">
      <c r="A126" s="3" t="n">
        <v>125</v>
      </c>
      <c r="B126" s="3" t="n">
        <v>124</v>
      </c>
      <c r="C126" s="3" t="n">
        <v>0</v>
      </c>
      <c r="D126" s="3" t="n">
        <v>4</v>
      </c>
      <c r="E126" s="3" t="n">
        <v>12</v>
      </c>
      <c r="F126" s="24" t="n">
        <v>-0.0259179175</v>
      </c>
    </row>
    <row r="127" customFormat="false" ht="15" hidden="false" customHeight="false" outlineLevel="0" collapsed="false">
      <c r="A127" s="3" t="n">
        <v>126</v>
      </c>
      <c r="B127" s="3" t="n">
        <v>125</v>
      </c>
      <c r="C127" s="3" t="n">
        <v>0</v>
      </c>
      <c r="D127" s="3" t="n">
        <v>4</v>
      </c>
      <c r="E127" s="3" t="n">
        <v>13</v>
      </c>
      <c r="F127" s="24" t="n">
        <v>-0.0259179175</v>
      </c>
    </row>
    <row r="128" customFormat="false" ht="15" hidden="false" customHeight="false" outlineLevel="0" collapsed="false">
      <c r="A128" s="3" t="n">
        <v>127</v>
      </c>
      <c r="B128" s="3" t="n">
        <v>126</v>
      </c>
      <c r="C128" s="3" t="n">
        <v>0</v>
      </c>
      <c r="D128" s="3" t="n">
        <v>4</v>
      </c>
      <c r="E128" s="3" t="n">
        <v>14</v>
      </c>
      <c r="F128" s="24" t="n">
        <v>-0.0259179175</v>
      </c>
    </row>
    <row r="129" customFormat="false" ht="15" hidden="false" customHeight="false" outlineLevel="0" collapsed="false">
      <c r="A129" s="3" t="n">
        <v>128</v>
      </c>
      <c r="B129" s="3" t="n">
        <v>127</v>
      </c>
      <c r="C129" s="3" t="n">
        <v>0</v>
      </c>
      <c r="D129" s="3" t="n">
        <v>4</v>
      </c>
      <c r="E129" s="3" t="n">
        <v>15</v>
      </c>
      <c r="F129" s="24" t="n">
        <v>-0.0259179175</v>
      </c>
    </row>
    <row r="130" customFormat="false" ht="15" hidden="false" customHeight="false" outlineLevel="0" collapsed="false">
      <c r="A130" s="3" t="n">
        <v>129</v>
      </c>
      <c r="B130" s="3" t="n">
        <v>128</v>
      </c>
      <c r="C130" s="3" t="n">
        <v>0</v>
      </c>
      <c r="D130" s="3" t="n">
        <v>4</v>
      </c>
      <c r="E130" s="3" t="n">
        <v>16</v>
      </c>
      <c r="F130" s="24" t="n">
        <v>-0.0259179175</v>
      </c>
    </row>
    <row r="131" customFormat="false" ht="15" hidden="false" customHeight="false" outlineLevel="0" collapsed="false">
      <c r="A131" s="3" t="n">
        <v>130</v>
      </c>
      <c r="B131" s="3" t="n">
        <v>129</v>
      </c>
      <c r="C131" s="3" t="n">
        <v>0</v>
      </c>
      <c r="D131" s="3" t="n">
        <v>4</v>
      </c>
      <c r="E131" s="3" t="n">
        <v>17</v>
      </c>
      <c r="F131" s="24" t="n">
        <v>-0.0259179175</v>
      </c>
    </row>
    <row r="132" customFormat="false" ht="15" hidden="false" customHeight="false" outlineLevel="0" collapsed="false">
      <c r="A132" s="3" t="n">
        <v>131</v>
      </c>
      <c r="B132" s="3" t="n">
        <v>130</v>
      </c>
      <c r="C132" s="3" t="n">
        <v>0</v>
      </c>
      <c r="D132" s="3" t="n">
        <v>4</v>
      </c>
      <c r="E132" s="3" t="n">
        <v>18</v>
      </c>
      <c r="F132" s="24" t="n">
        <v>-0.0259179175</v>
      </c>
    </row>
    <row r="133" customFormat="false" ht="15" hidden="false" customHeight="false" outlineLevel="0" collapsed="false">
      <c r="A133" s="3" t="n">
        <v>132</v>
      </c>
      <c r="B133" s="3" t="n">
        <v>131</v>
      </c>
      <c r="C133" s="3" t="n">
        <v>0</v>
      </c>
      <c r="D133" s="3" t="n">
        <v>4</v>
      </c>
      <c r="E133" s="3" t="n">
        <v>19</v>
      </c>
      <c r="F133" s="24" t="n">
        <v>-0.0259179175</v>
      </c>
    </row>
    <row r="134" customFormat="false" ht="15" hidden="false" customHeight="false" outlineLevel="0" collapsed="false">
      <c r="A134" s="3" t="n">
        <v>133</v>
      </c>
      <c r="B134" s="3" t="n">
        <v>132</v>
      </c>
      <c r="C134" s="3" t="n">
        <v>0</v>
      </c>
      <c r="D134" s="3" t="n">
        <v>4</v>
      </c>
      <c r="E134" s="3" t="n">
        <v>20</v>
      </c>
      <c r="F134" s="24" t="n">
        <v>-0.0259179175</v>
      </c>
    </row>
    <row r="135" customFormat="false" ht="15" hidden="false" customHeight="false" outlineLevel="0" collapsed="false">
      <c r="A135" s="3" t="n">
        <v>134</v>
      </c>
      <c r="B135" s="3" t="n">
        <v>133</v>
      </c>
      <c r="C135" s="3" t="n">
        <v>0</v>
      </c>
      <c r="D135" s="3" t="n">
        <v>4</v>
      </c>
      <c r="E135" s="3" t="n">
        <v>21</v>
      </c>
      <c r="F135" s="24" t="n">
        <v>-0.0259179175</v>
      </c>
    </row>
    <row r="136" customFormat="false" ht="15" hidden="false" customHeight="false" outlineLevel="0" collapsed="false">
      <c r="A136" s="3" t="n">
        <v>135</v>
      </c>
      <c r="B136" s="3" t="n">
        <v>134</v>
      </c>
      <c r="C136" s="3" t="n">
        <v>0</v>
      </c>
      <c r="D136" s="3" t="n">
        <v>4</v>
      </c>
      <c r="E136" s="3" t="n">
        <v>22</v>
      </c>
      <c r="F136" s="24" t="n">
        <v>-0.0259179175</v>
      </c>
    </row>
    <row r="137" customFormat="false" ht="15" hidden="false" customHeight="false" outlineLevel="0" collapsed="false">
      <c r="A137" s="3" t="n">
        <v>136</v>
      </c>
      <c r="B137" s="3" t="n">
        <v>135</v>
      </c>
      <c r="C137" s="3" t="n">
        <v>0</v>
      </c>
      <c r="D137" s="3" t="n">
        <v>4</v>
      </c>
      <c r="E137" s="3" t="n">
        <v>23</v>
      </c>
      <c r="F137" s="24" t="n">
        <v>-0.0259179175</v>
      </c>
    </row>
    <row r="138" customFormat="false" ht="15" hidden="false" customHeight="false" outlineLevel="0" collapsed="false">
      <c r="A138" s="3" t="n">
        <v>137</v>
      </c>
      <c r="B138" s="3" t="n">
        <v>136</v>
      </c>
      <c r="C138" s="3" t="n">
        <v>0</v>
      </c>
      <c r="D138" s="3" t="n">
        <v>4</v>
      </c>
      <c r="E138" s="3" t="n">
        <v>24</v>
      </c>
      <c r="F138" s="24" t="n">
        <v>-0.0259179175</v>
      </c>
    </row>
    <row r="139" customFormat="false" ht="15" hidden="false" customHeight="false" outlineLevel="0" collapsed="false">
      <c r="A139" s="3" t="n">
        <v>138</v>
      </c>
      <c r="B139" s="3" t="n">
        <v>137</v>
      </c>
      <c r="C139" s="3" t="n">
        <v>0</v>
      </c>
      <c r="D139" s="3" t="n">
        <v>4</v>
      </c>
      <c r="E139" s="3" t="n">
        <v>25</v>
      </c>
      <c r="F139" s="24" t="n">
        <v>-0.0259179175</v>
      </c>
    </row>
    <row r="140" customFormat="false" ht="15" hidden="false" customHeight="false" outlineLevel="0" collapsed="false">
      <c r="A140" s="3" t="n">
        <v>139</v>
      </c>
      <c r="B140" s="3" t="n">
        <v>138</v>
      </c>
      <c r="C140" s="3" t="n">
        <v>0</v>
      </c>
      <c r="D140" s="3" t="n">
        <v>4</v>
      </c>
      <c r="E140" s="3" t="n">
        <v>26</v>
      </c>
      <c r="F140" s="24" t="n">
        <v>-0.0259179175</v>
      </c>
    </row>
    <row r="141" customFormat="false" ht="15" hidden="false" customHeight="false" outlineLevel="0" collapsed="false">
      <c r="A141" s="3" t="n">
        <v>140</v>
      </c>
      <c r="B141" s="3" t="n">
        <v>139</v>
      </c>
      <c r="C141" s="3" t="n">
        <v>0</v>
      </c>
      <c r="D141" s="3" t="n">
        <v>4</v>
      </c>
      <c r="E141" s="3" t="n">
        <v>27</v>
      </c>
      <c r="F141" s="24" t="n">
        <v>0.0673455298</v>
      </c>
    </row>
    <row r="142" customFormat="false" ht="15" hidden="false" customHeight="false" outlineLevel="0" collapsed="false">
      <c r="A142" s="3" t="n">
        <v>141</v>
      </c>
      <c r="B142" s="3" t="n">
        <v>140</v>
      </c>
      <c r="C142" s="3" t="n">
        <v>0</v>
      </c>
      <c r="D142" s="3" t="n">
        <v>5</v>
      </c>
      <c r="E142" s="3" t="n">
        <v>0</v>
      </c>
      <c r="F142" s="24" t="n">
        <v>0.10001415</v>
      </c>
    </row>
    <row r="143" customFormat="false" ht="15" hidden="false" customHeight="false" outlineLevel="0" collapsed="false">
      <c r="A143" s="3" t="n">
        <v>142</v>
      </c>
      <c r="B143" s="3" t="n">
        <v>141</v>
      </c>
      <c r="C143" s="3" t="n">
        <v>0</v>
      </c>
      <c r="D143" s="3" t="n">
        <v>5</v>
      </c>
      <c r="E143" s="3" t="n">
        <v>1</v>
      </c>
      <c r="F143" s="24" t="n">
        <v>-0.0259179175</v>
      </c>
    </row>
    <row r="144" customFormat="false" ht="15" hidden="false" customHeight="false" outlineLevel="0" collapsed="false">
      <c r="A144" s="3" t="n">
        <v>143</v>
      </c>
      <c r="B144" s="3" t="n">
        <v>142</v>
      </c>
      <c r="C144" s="3" t="n">
        <v>0</v>
      </c>
      <c r="D144" s="3" t="n">
        <v>5</v>
      </c>
      <c r="E144" s="3" t="n">
        <v>2</v>
      </c>
      <c r="F144" s="24" t="n">
        <v>-0.0259179175</v>
      </c>
    </row>
    <row r="145" customFormat="false" ht="15" hidden="false" customHeight="false" outlineLevel="0" collapsed="false">
      <c r="A145" s="3" t="n">
        <v>144</v>
      </c>
      <c r="B145" s="3" t="n">
        <v>143</v>
      </c>
      <c r="C145" s="3" t="n">
        <v>0</v>
      </c>
      <c r="D145" s="3" t="n">
        <v>5</v>
      </c>
      <c r="E145" s="3" t="n">
        <v>3</v>
      </c>
      <c r="F145" s="24" t="n">
        <v>-0.0259179175</v>
      </c>
    </row>
    <row r="146" customFormat="false" ht="15" hidden="false" customHeight="false" outlineLevel="0" collapsed="false">
      <c r="A146" s="3" t="n">
        <v>145</v>
      </c>
      <c r="B146" s="3" t="n">
        <v>144</v>
      </c>
      <c r="C146" s="3" t="n">
        <v>0</v>
      </c>
      <c r="D146" s="3" t="n">
        <v>5</v>
      </c>
      <c r="E146" s="3" t="n">
        <v>4</v>
      </c>
      <c r="F146" s="24" t="n">
        <v>-0.0259179175</v>
      </c>
    </row>
    <row r="147" customFormat="false" ht="15" hidden="false" customHeight="false" outlineLevel="0" collapsed="false">
      <c r="A147" s="3" t="n">
        <v>146</v>
      </c>
      <c r="B147" s="3" t="n">
        <v>145</v>
      </c>
      <c r="C147" s="3" t="n">
        <v>0</v>
      </c>
      <c r="D147" s="3" t="n">
        <v>5</v>
      </c>
      <c r="E147" s="3" t="n">
        <v>5</v>
      </c>
      <c r="F147" s="24" t="n">
        <v>-0.0259179175</v>
      </c>
    </row>
    <row r="148" customFormat="false" ht="15" hidden="false" customHeight="false" outlineLevel="0" collapsed="false">
      <c r="A148" s="3" t="n">
        <v>147</v>
      </c>
      <c r="B148" s="3" t="n">
        <v>146</v>
      </c>
      <c r="C148" s="3" t="n">
        <v>0</v>
      </c>
      <c r="D148" s="3" t="n">
        <v>5</v>
      </c>
      <c r="E148" s="3" t="n">
        <v>6</v>
      </c>
      <c r="F148" s="24" t="n">
        <v>-0.0259179175</v>
      </c>
    </row>
    <row r="149" customFormat="false" ht="15" hidden="false" customHeight="false" outlineLevel="0" collapsed="false">
      <c r="A149" s="3" t="n">
        <v>148</v>
      </c>
      <c r="B149" s="3" t="n">
        <v>147</v>
      </c>
      <c r="C149" s="3" t="n">
        <v>0</v>
      </c>
      <c r="D149" s="3" t="n">
        <v>5</v>
      </c>
      <c r="E149" s="3" t="n">
        <v>7</v>
      </c>
      <c r="F149" s="24" t="n">
        <v>-0.0259179175</v>
      </c>
    </row>
    <row r="150" customFormat="false" ht="15" hidden="false" customHeight="false" outlineLevel="0" collapsed="false">
      <c r="A150" s="3" t="n">
        <v>149</v>
      </c>
      <c r="B150" s="3" t="n">
        <v>148</v>
      </c>
      <c r="C150" s="3" t="n">
        <v>0</v>
      </c>
      <c r="D150" s="3" t="n">
        <v>5</v>
      </c>
      <c r="E150" s="3" t="n">
        <v>8</v>
      </c>
      <c r="F150" s="24" t="n">
        <v>-0.0259179175</v>
      </c>
    </row>
    <row r="151" customFormat="false" ht="15" hidden="false" customHeight="false" outlineLevel="0" collapsed="false">
      <c r="A151" s="3" t="n">
        <v>150</v>
      </c>
      <c r="B151" s="3" t="n">
        <v>149</v>
      </c>
      <c r="C151" s="3" t="n">
        <v>0</v>
      </c>
      <c r="D151" s="3" t="n">
        <v>5</v>
      </c>
      <c r="E151" s="3" t="n">
        <v>9</v>
      </c>
      <c r="F151" s="24" t="n">
        <v>-0.0259179175</v>
      </c>
    </row>
    <row r="152" customFormat="false" ht="15" hidden="false" customHeight="false" outlineLevel="0" collapsed="false">
      <c r="A152" s="3" t="n">
        <v>151</v>
      </c>
      <c r="B152" s="3" t="n">
        <v>150</v>
      </c>
      <c r="C152" s="3" t="n">
        <v>0</v>
      </c>
      <c r="D152" s="3" t="n">
        <v>5</v>
      </c>
      <c r="E152" s="3" t="n">
        <v>10</v>
      </c>
      <c r="F152" s="24" t="n">
        <v>-0.0259179175</v>
      </c>
    </row>
    <row r="153" customFormat="false" ht="15" hidden="false" customHeight="false" outlineLevel="0" collapsed="false">
      <c r="A153" s="3" t="n">
        <v>152</v>
      </c>
      <c r="B153" s="3" t="n">
        <v>151</v>
      </c>
      <c r="C153" s="3" t="n">
        <v>0</v>
      </c>
      <c r="D153" s="3" t="n">
        <v>5</v>
      </c>
      <c r="E153" s="3" t="n">
        <v>11</v>
      </c>
      <c r="F153" s="24" t="n">
        <v>-0.0259179175</v>
      </c>
    </row>
    <row r="154" customFormat="false" ht="15" hidden="false" customHeight="false" outlineLevel="0" collapsed="false">
      <c r="A154" s="3" t="n">
        <v>153</v>
      </c>
      <c r="B154" s="3" t="n">
        <v>152</v>
      </c>
      <c r="C154" s="3" t="n">
        <v>0</v>
      </c>
      <c r="D154" s="3" t="n">
        <v>5</v>
      </c>
      <c r="E154" s="3" t="n">
        <v>12</v>
      </c>
      <c r="F154" s="24" t="n">
        <v>-0.0259179175</v>
      </c>
    </row>
    <row r="155" customFormat="false" ht="15" hidden="false" customHeight="false" outlineLevel="0" collapsed="false">
      <c r="A155" s="3" t="n">
        <v>154</v>
      </c>
      <c r="B155" s="3" t="n">
        <v>153</v>
      </c>
      <c r="C155" s="3" t="n">
        <v>0</v>
      </c>
      <c r="D155" s="3" t="n">
        <v>5</v>
      </c>
      <c r="E155" s="3" t="n">
        <v>13</v>
      </c>
      <c r="F155" s="24" t="n">
        <v>-0.0259179175</v>
      </c>
    </row>
    <row r="156" customFormat="false" ht="15" hidden="false" customHeight="false" outlineLevel="0" collapsed="false">
      <c r="A156" s="3" t="n">
        <v>155</v>
      </c>
      <c r="B156" s="3" t="n">
        <v>154</v>
      </c>
      <c r="C156" s="3" t="n">
        <v>0</v>
      </c>
      <c r="D156" s="3" t="n">
        <v>5</v>
      </c>
      <c r="E156" s="3" t="n">
        <v>14</v>
      </c>
      <c r="F156" s="24" t="n">
        <v>-0.0259179175</v>
      </c>
    </row>
    <row r="157" customFormat="false" ht="15" hidden="false" customHeight="false" outlineLevel="0" collapsed="false">
      <c r="A157" s="3" t="n">
        <v>156</v>
      </c>
      <c r="B157" s="3" t="n">
        <v>155</v>
      </c>
      <c r="C157" s="3" t="n">
        <v>0</v>
      </c>
      <c r="D157" s="3" t="n">
        <v>5</v>
      </c>
      <c r="E157" s="3" t="n">
        <v>15</v>
      </c>
      <c r="F157" s="24" t="n">
        <v>-0.0259179175</v>
      </c>
    </row>
    <row r="158" customFormat="false" ht="15" hidden="false" customHeight="false" outlineLevel="0" collapsed="false">
      <c r="A158" s="3" t="n">
        <v>157</v>
      </c>
      <c r="B158" s="3" t="n">
        <v>156</v>
      </c>
      <c r="C158" s="3" t="n">
        <v>0</v>
      </c>
      <c r="D158" s="3" t="n">
        <v>5</v>
      </c>
      <c r="E158" s="3" t="n">
        <v>16</v>
      </c>
      <c r="F158" s="24" t="n">
        <v>-0.0259179175</v>
      </c>
    </row>
    <row r="159" customFormat="false" ht="15" hidden="false" customHeight="false" outlineLevel="0" collapsed="false">
      <c r="A159" s="3" t="n">
        <v>158</v>
      </c>
      <c r="B159" s="3" t="n">
        <v>157</v>
      </c>
      <c r="C159" s="3" t="n">
        <v>0</v>
      </c>
      <c r="D159" s="3" t="n">
        <v>5</v>
      </c>
      <c r="E159" s="3" t="n">
        <v>17</v>
      </c>
      <c r="F159" s="24" t="n">
        <v>-0.0259179175</v>
      </c>
    </row>
    <row r="160" customFormat="false" ht="15" hidden="false" customHeight="false" outlineLevel="0" collapsed="false">
      <c r="A160" s="3" t="n">
        <v>159</v>
      </c>
      <c r="B160" s="3" t="n">
        <v>158</v>
      </c>
      <c r="C160" s="3" t="n">
        <v>0</v>
      </c>
      <c r="D160" s="3" t="n">
        <v>5</v>
      </c>
      <c r="E160" s="3" t="n">
        <v>18</v>
      </c>
      <c r="F160" s="24" t="n">
        <v>-0.0259179175</v>
      </c>
    </row>
    <row r="161" customFormat="false" ht="15" hidden="false" customHeight="false" outlineLevel="0" collapsed="false">
      <c r="A161" s="3" t="n">
        <v>160</v>
      </c>
      <c r="B161" s="3" t="n">
        <v>159</v>
      </c>
      <c r="C161" s="3" t="n">
        <v>0</v>
      </c>
      <c r="D161" s="3" t="n">
        <v>5</v>
      </c>
      <c r="E161" s="3" t="n">
        <v>19</v>
      </c>
      <c r="F161" s="24" t="n">
        <v>-0.0259179175</v>
      </c>
    </row>
    <row r="162" customFormat="false" ht="15" hidden="false" customHeight="false" outlineLevel="0" collapsed="false">
      <c r="A162" s="3" t="n">
        <v>161</v>
      </c>
      <c r="B162" s="3" t="n">
        <v>160</v>
      </c>
      <c r="C162" s="3" t="n">
        <v>0</v>
      </c>
      <c r="D162" s="3" t="n">
        <v>5</v>
      </c>
      <c r="E162" s="3" t="n">
        <v>20</v>
      </c>
      <c r="F162" s="24" t="n">
        <v>-0.0259179175</v>
      </c>
    </row>
    <row r="163" customFormat="false" ht="15" hidden="false" customHeight="false" outlineLevel="0" collapsed="false">
      <c r="A163" s="3" t="n">
        <v>162</v>
      </c>
      <c r="B163" s="3" t="n">
        <v>161</v>
      </c>
      <c r="C163" s="3" t="n">
        <v>0</v>
      </c>
      <c r="D163" s="3" t="n">
        <v>5</v>
      </c>
      <c r="E163" s="3" t="n">
        <v>21</v>
      </c>
      <c r="F163" s="24" t="n">
        <v>-0.0259179175</v>
      </c>
    </row>
    <row r="164" customFormat="false" ht="15" hidden="false" customHeight="false" outlineLevel="0" collapsed="false">
      <c r="A164" s="3" t="n">
        <v>163</v>
      </c>
      <c r="B164" s="3" t="n">
        <v>162</v>
      </c>
      <c r="C164" s="3" t="n">
        <v>0</v>
      </c>
      <c r="D164" s="3" t="n">
        <v>5</v>
      </c>
      <c r="E164" s="3" t="n">
        <v>22</v>
      </c>
      <c r="F164" s="24" t="n">
        <v>-0.0259179175</v>
      </c>
    </row>
    <row r="165" customFormat="false" ht="15" hidden="false" customHeight="false" outlineLevel="0" collapsed="false">
      <c r="A165" s="3" t="n">
        <v>164</v>
      </c>
      <c r="B165" s="3" t="n">
        <v>163</v>
      </c>
      <c r="C165" s="3" t="n">
        <v>0</v>
      </c>
      <c r="D165" s="3" t="n">
        <v>5</v>
      </c>
      <c r="E165" s="3" t="n">
        <v>23</v>
      </c>
      <c r="F165" s="24" t="n">
        <v>-0.0259179175</v>
      </c>
    </row>
    <row r="166" customFormat="false" ht="15" hidden="false" customHeight="false" outlineLevel="0" collapsed="false">
      <c r="A166" s="3" t="n">
        <v>165</v>
      </c>
      <c r="B166" s="3" t="n">
        <v>164</v>
      </c>
      <c r="C166" s="3" t="n">
        <v>0</v>
      </c>
      <c r="D166" s="3" t="n">
        <v>5</v>
      </c>
      <c r="E166" s="3" t="n">
        <v>24</v>
      </c>
      <c r="F166" s="24" t="n">
        <v>-0.0259179175</v>
      </c>
    </row>
    <row r="167" customFormat="false" ht="15" hidden="false" customHeight="false" outlineLevel="0" collapsed="false">
      <c r="A167" s="3" t="n">
        <v>166</v>
      </c>
      <c r="B167" s="3" t="n">
        <v>165</v>
      </c>
      <c r="C167" s="3" t="n">
        <v>0</v>
      </c>
      <c r="D167" s="3" t="n">
        <v>5</v>
      </c>
      <c r="E167" s="3" t="n">
        <v>25</v>
      </c>
      <c r="F167" s="24" t="n">
        <v>-0.0259179175</v>
      </c>
    </row>
    <row r="168" customFormat="false" ht="15" hidden="false" customHeight="false" outlineLevel="0" collapsed="false">
      <c r="A168" s="3" t="n">
        <v>167</v>
      </c>
      <c r="B168" s="3" t="n">
        <v>166</v>
      </c>
      <c r="C168" s="3" t="n">
        <v>0</v>
      </c>
      <c r="D168" s="3" t="n">
        <v>5</v>
      </c>
      <c r="E168" s="3" t="n">
        <v>26</v>
      </c>
      <c r="F168" s="24" t="n">
        <v>-0.0259179175</v>
      </c>
    </row>
    <row r="169" customFormat="false" ht="15" hidden="false" customHeight="false" outlineLevel="0" collapsed="false">
      <c r="A169" s="3" t="n">
        <v>168</v>
      </c>
      <c r="B169" s="3" t="n">
        <v>167</v>
      </c>
      <c r="C169" s="3" t="n">
        <v>0</v>
      </c>
      <c r="D169" s="3" t="n">
        <v>5</v>
      </c>
      <c r="E169" s="3" t="n">
        <v>27</v>
      </c>
      <c r="F169" s="24" t="n">
        <v>0.0673455298</v>
      </c>
    </row>
    <row r="170" customFormat="false" ht="15" hidden="false" customHeight="false" outlineLevel="0" collapsed="false">
      <c r="A170" s="3" t="n">
        <v>169</v>
      </c>
      <c r="B170" s="3" t="n">
        <v>168</v>
      </c>
      <c r="C170" s="3" t="n">
        <v>0</v>
      </c>
      <c r="D170" s="3" t="n">
        <v>6</v>
      </c>
      <c r="E170" s="3" t="n">
        <v>0</v>
      </c>
      <c r="F170" s="24" t="n">
        <v>0.10001415</v>
      </c>
    </row>
    <row r="171" customFormat="false" ht="15" hidden="false" customHeight="false" outlineLevel="0" collapsed="false">
      <c r="A171" s="3" t="n">
        <v>170</v>
      </c>
      <c r="B171" s="3" t="n">
        <v>169</v>
      </c>
      <c r="C171" s="3" t="n">
        <v>0</v>
      </c>
      <c r="D171" s="3" t="n">
        <v>6</v>
      </c>
      <c r="E171" s="3" t="n">
        <v>1</v>
      </c>
      <c r="F171" s="24" t="n">
        <v>-0.0259179175</v>
      </c>
    </row>
    <row r="172" customFormat="false" ht="15" hidden="false" customHeight="false" outlineLevel="0" collapsed="false">
      <c r="A172" s="3" t="n">
        <v>171</v>
      </c>
      <c r="B172" s="3" t="n">
        <v>170</v>
      </c>
      <c r="C172" s="3" t="n">
        <v>0</v>
      </c>
      <c r="D172" s="3" t="n">
        <v>6</v>
      </c>
      <c r="E172" s="3" t="n">
        <v>2</v>
      </c>
      <c r="F172" s="24" t="n">
        <v>-0.0259179175</v>
      </c>
    </row>
    <row r="173" customFormat="false" ht="15" hidden="false" customHeight="false" outlineLevel="0" collapsed="false">
      <c r="A173" s="3" t="n">
        <v>172</v>
      </c>
      <c r="B173" s="3" t="n">
        <v>171</v>
      </c>
      <c r="C173" s="3" t="n">
        <v>0</v>
      </c>
      <c r="D173" s="3" t="n">
        <v>6</v>
      </c>
      <c r="E173" s="3" t="n">
        <v>3</v>
      </c>
      <c r="F173" s="24" t="n">
        <v>-0.0259179175</v>
      </c>
    </row>
    <row r="174" customFormat="false" ht="15" hidden="false" customHeight="false" outlineLevel="0" collapsed="false">
      <c r="A174" s="3" t="n">
        <v>173</v>
      </c>
      <c r="B174" s="3" t="n">
        <v>172</v>
      </c>
      <c r="C174" s="3" t="n">
        <v>0</v>
      </c>
      <c r="D174" s="3" t="n">
        <v>6</v>
      </c>
      <c r="E174" s="3" t="n">
        <v>4</v>
      </c>
      <c r="F174" s="24" t="n">
        <v>-0.0259179175</v>
      </c>
    </row>
    <row r="175" customFormat="false" ht="15" hidden="false" customHeight="false" outlineLevel="0" collapsed="false">
      <c r="A175" s="3" t="n">
        <v>174</v>
      </c>
      <c r="B175" s="3" t="n">
        <v>173</v>
      </c>
      <c r="C175" s="3" t="n">
        <v>0</v>
      </c>
      <c r="D175" s="3" t="n">
        <v>6</v>
      </c>
      <c r="E175" s="3" t="n">
        <v>5</v>
      </c>
      <c r="F175" s="24" t="n">
        <v>0.207864061</v>
      </c>
    </row>
    <row r="176" customFormat="false" ht="15" hidden="false" customHeight="false" outlineLevel="0" collapsed="false">
      <c r="A176" s="3" t="n">
        <v>175</v>
      </c>
      <c r="B176" s="3" t="n">
        <v>174</v>
      </c>
      <c r="C176" s="3" t="n">
        <v>0</v>
      </c>
      <c r="D176" s="3" t="n">
        <v>6</v>
      </c>
      <c r="E176" s="3" t="n">
        <v>6</v>
      </c>
      <c r="F176" s="24" t="n">
        <v>0.515329242</v>
      </c>
    </row>
    <row r="177" customFormat="false" ht="15" hidden="false" customHeight="false" outlineLevel="0" collapsed="false">
      <c r="A177" s="3" t="n">
        <v>176</v>
      </c>
      <c r="B177" s="3" t="n">
        <v>175</v>
      </c>
      <c r="C177" s="3" t="n">
        <v>0</v>
      </c>
      <c r="D177" s="3" t="n">
        <v>6</v>
      </c>
      <c r="E177" s="3" t="n">
        <v>7</v>
      </c>
      <c r="F177" s="24" t="n">
        <v>0.0980961323</v>
      </c>
    </row>
    <row r="178" customFormat="false" ht="15" hidden="false" customHeight="false" outlineLevel="0" collapsed="false">
      <c r="A178" s="3" t="n">
        <v>177</v>
      </c>
      <c r="B178" s="3" t="n">
        <v>176</v>
      </c>
      <c r="C178" s="3" t="n">
        <v>0</v>
      </c>
      <c r="D178" s="3" t="n">
        <v>6</v>
      </c>
      <c r="E178" s="3" t="n">
        <v>8</v>
      </c>
      <c r="F178" s="24" t="n">
        <v>-0.385122538</v>
      </c>
    </row>
    <row r="179" customFormat="false" ht="15" hidden="false" customHeight="false" outlineLevel="0" collapsed="false">
      <c r="A179" s="3" t="n">
        <v>178</v>
      </c>
      <c r="B179" s="3" t="n">
        <v>177</v>
      </c>
      <c r="C179" s="3" t="n">
        <v>0</v>
      </c>
      <c r="D179" s="3" t="n">
        <v>6</v>
      </c>
      <c r="E179" s="3" t="n">
        <v>9</v>
      </c>
      <c r="F179" s="24" t="n">
        <v>-0.52433759</v>
      </c>
    </row>
    <row r="180" customFormat="false" ht="15" hidden="false" customHeight="false" outlineLevel="0" collapsed="false">
      <c r="A180" s="3" t="n">
        <v>179</v>
      </c>
      <c r="B180" s="3" t="n">
        <v>178</v>
      </c>
      <c r="C180" s="3" t="n">
        <v>0</v>
      </c>
      <c r="D180" s="3" t="n">
        <v>6</v>
      </c>
      <c r="E180" s="3" t="n">
        <v>10</v>
      </c>
      <c r="F180" s="24" t="n">
        <v>-0.583835483</v>
      </c>
    </row>
    <row r="181" customFormat="false" ht="15" hidden="false" customHeight="false" outlineLevel="0" collapsed="false">
      <c r="A181" s="3" t="n">
        <v>180</v>
      </c>
      <c r="B181" s="3" t="n">
        <v>179</v>
      </c>
      <c r="C181" s="3" t="n">
        <v>0</v>
      </c>
      <c r="D181" s="3" t="n">
        <v>6</v>
      </c>
      <c r="E181" s="3" t="n">
        <v>11</v>
      </c>
      <c r="F181" s="24" t="n">
        <v>-0.283601463</v>
      </c>
    </row>
    <row r="182" customFormat="false" ht="15" hidden="false" customHeight="false" outlineLevel="0" collapsed="false">
      <c r="A182" s="3" t="n">
        <v>181</v>
      </c>
      <c r="B182" s="3" t="n">
        <v>180</v>
      </c>
      <c r="C182" s="3" t="n">
        <v>0</v>
      </c>
      <c r="D182" s="3" t="n">
        <v>6</v>
      </c>
      <c r="E182" s="3" t="n">
        <v>12</v>
      </c>
      <c r="F182" s="24" t="n">
        <v>-0.187308967</v>
      </c>
    </row>
    <row r="183" customFormat="false" ht="15" hidden="false" customHeight="false" outlineLevel="0" collapsed="false">
      <c r="A183" s="3" t="n">
        <v>182</v>
      </c>
      <c r="B183" s="3" t="n">
        <v>181</v>
      </c>
      <c r="C183" s="3" t="n">
        <v>0</v>
      </c>
      <c r="D183" s="3" t="n">
        <v>6</v>
      </c>
      <c r="E183" s="3" t="n">
        <v>13</v>
      </c>
      <c r="F183" s="24" t="n">
        <v>-0.0259179175</v>
      </c>
    </row>
    <row r="184" customFormat="false" ht="15" hidden="false" customHeight="false" outlineLevel="0" collapsed="false">
      <c r="A184" s="3" t="n">
        <v>183</v>
      </c>
      <c r="B184" s="3" t="n">
        <v>182</v>
      </c>
      <c r="C184" s="3" t="n">
        <v>0</v>
      </c>
      <c r="D184" s="3" t="n">
        <v>6</v>
      </c>
      <c r="E184" s="3" t="n">
        <v>14</v>
      </c>
      <c r="F184" s="24" t="n">
        <v>-0.0259179175</v>
      </c>
    </row>
    <row r="185" customFormat="false" ht="15" hidden="false" customHeight="false" outlineLevel="0" collapsed="false">
      <c r="A185" s="3" t="n">
        <v>184</v>
      </c>
      <c r="B185" s="3" t="n">
        <v>183</v>
      </c>
      <c r="C185" s="3" t="n">
        <v>0</v>
      </c>
      <c r="D185" s="3" t="n">
        <v>6</v>
      </c>
      <c r="E185" s="3" t="n">
        <v>15</v>
      </c>
      <c r="F185" s="24" t="n">
        <v>-0.0259179175</v>
      </c>
    </row>
    <row r="186" customFormat="false" ht="15" hidden="false" customHeight="false" outlineLevel="0" collapsed="false">
      <c r="A186" s="3" t="n">
        <v>185</v>
      </c>
      <c r="B186" s="3" t="n">
        <v>184</v>
      </c>
      <c r="C186" s="3" t="n">
        <v>0</v>
      </c>
      <c r="D186" s="3" t="n">
        <v>6</v>
      </c>
      <c r="E186" s="3" t="n">
        <v>16</v>
      </c>
      <c r="F186" s="24" t="n">
        <v>-0.0259179175</v>
      </c>
    </row>
    <row r="187" customFormat="false" ht="15" hidden="false" customHeight="false" outlineLevel="0" collapsed="false">
      <c r="A187" s="3" t="n">
        <v>186</v>
      </c>
      <c r="B187" s="3" t="n">
        <v>185</v>
      </c>
      <c r="C187" s="3" t="n">
        <v>0</v>
      </c>
      <c r="D187" s="3" t="n">
        <v>6</v>
      </c>
      <c r="E187" s="3" t="n">
        <v>17</v>
      </c>
      <c r="F187" s="24" t="n">
        <v>-0.0259179175</v>
      </c>
    </row>
    <row r="188" customFormat="false" ht="15" hidden="false" customHeight="false" outlineLevel="0" collapsed="false">
      <c r="A188" s="3" t="n">
        <v>187</v>
      </c>
      <c r="B188" s="3" t="n">
        <v>186</v>
      </c>
      <c r="C188" s="3" t="n">
        <v>0</v>
      </c>
      <c r="D188" s="3" t="n">
        <v>6</v>
      </c>
      <c r="E188" s="3" t="n">
        <v>18</v>
      </c>
      <c r="F188" s="24" t="n">
        <v>-0.0259179175</v>
      </c>
    </row>
    <row r="189" customFormat="false" ht="15" hidden="false" customHeight="false" outlineLevel="0" collapsed="false">
      <c r="A189" s="3" t="n">
        <v>188</v>
      </c>
      <c r="B189" s="3" t="n">
        <v>187</v>
      </c>
      <c r="C189" s="3" t="n">
        <v>0</v>
      </c>
      <c r="D189" s="3" t="n">
        <v>6</v>
      </c>
      <c r="E189" s="3" t="n">
        <v>19</v>
      </c>
      <c r="F189" s="24" t="n">
        <v>-0.0259179175</v>
      </c>
    </row>
    <row r="190" customFormat="false" ht="15" hidden="false" customHeight="false" outlineLevel="0" collapsed="false">
      <c r="A190" s="3" t="n">
        <v>189</v>
      </c>
      <c r="B190" s="3" t="n">
        <v>188</v>
      </c>
      <c r="C190" s="3" t="n">
        <v>0</v>
      </c>
      <c r="D190" s="3" t="n">
        <v>6</v>
      </c>
      <c r="E190" s="3" t="n">
        <v>20</v>
      </c>
      <c r="F190" s="24" t="n">
        <v>-0.0259179175</v>
      </c>
    </row>
    <row r="191" customFormat="false" ht="15" hidden="false" customHeight="false" outlineLevel="0" collapsed="false">
      <c r="A191" s="3" t="n">
        <v>190</v>
      </c>
      <c r="B191" s="3" t="n">
        <v>189</v>
      </c>
      <c r="C191" s="3" t="n">
        <v>0</v>
      </c>
      <c r="D191" s="3" t="n">
        <v>6</v>
      </c>
      <c r="E191" s="3" t="n">
        <v>21</v>
      </c>
      <c r="F191" s="24" t="n">
        <v>-0.0259179175</v>
      </c>
    </row>
    <row r="192" customFormat="false" ht="15" hidden="false" customHeight="false" outlineLevel="0" collapsed="false">
      <c r="A192" s="3" t="n">
        <v>191</v>
      </c>
      <c r="B192" s="3" t="n">
        <v>190</v>
      </c>
      <c r="C192" s="3" t="n">
        <v>0</v>
      </c>
      <c r="D192" s="3" t="n">
        <v>6</v>
      </c>
      <c r="E192" s="3" t="n">
        <v>22</v>
      </c>
      <c r="F192" s="24" t="n">
        <v>-0.0259179175</v>
      </c>
    </row>
    <row r="193" customFormat="false" ht="15" hidden="false" customHeight="false" outlineLevel="0" collapsed="false">
      <c r="A193" s="3" t="n">
        <v>192</v>
      </c>
      <c r="B193" s="3" t="n">
        <v>191</v>
      </c>
      <c r="C193" s="3" t="n">
        <v>0</v>
      </c>
      <c r="D193" s="3" t="n">
        <v>6</v>
      </c>
      <c r="E193" s="3" t="n">
        <v>23</v>
      </c>
      <c r="F193" s="24" t="n">
        <v>-0.0259179175</v>
      </c>
    </row>
    <row r="194" customFormat="false" ht="15" hidden="false" customHeight="false" outlineLevel="0" collapsed="false">
      <c r="A194" s="3" t="n">
        <v>193</v>
      </c>
      <c r="B194" s="3" t="n">
        <v>192</v>
      </c>
      <c r="C194" s="3" t="n">
        <v>0</v>
      </c>
      <c r="D194" s="3" t="n">
        <v>6</v>
      </c>
      <c r="E194" s="3" t="n">
        <v>24</v>
      </c>
      <c r="F194" s="24" t="n">
        <v>-0.0259179175</v>
      </c>
    </row>
    <row r="195" customFormat="false" ht="15" hidden="false" customHeight="false" outlineLevel="0" collapsed="false">
      <c r="A195" s="3" t="n">
        <v>194</v>
      </c>
      <c r="B195" s="3" t="n">
        <v>193</v>
      </c>
      <c r="C195" s="3" t="n">
        <v>0</v>
      </c>
      <c r="D195" s="3" t="n">
        <v>6</v>
      </c>
      <c r="E195" s="3" t="n">
        <v>25</v>
      </c>
      <c r="F195" s="24" t="n">
        <v>-0.0259179175</v>
      </c>
    </row>
    <row r="196" customFormat="false" ht="15" hidden="false" customHeight="false" outlineLevel="0" collapsed="false">
      <c r="A196" s="3" t="n">
        <v>195</v>
      </c>
      <c r="B196" s="3" t="n">
        <v>194</v>
      </c>
      <c r="C196" s="3" t="n">
        <v>0</v>
      </c>
      <c r="D196" s="3" t="n">
        <v>6</v>
      </c>
      <c r="E196" s="3" t="n">
        <v>26</v>
      </c>
      <c r="F196" s="24" t="n">
        <v>-0.0259179175</v>
      </c>
    </row>
    <row r="197" customFormat="false" ht="15" hidden="false" customHeight="false" outlineLevel="0" collapsed="false">
      <c r="A197" s="3" t="n">
        <v>196</v>
      </c>
      <c r="B197" s="3" t="n">
        <v>195</v>
      </c>
      <c r="C197" s="3" t="n">
        <v>0</v>
      </c>
      <c r="D197" s="3" t="n">
        <v>6</v>
      </c>
      <c r="E197" s="3" t="n">
        <v>27</v>
      </c>
      <c r="F197" s="24" t="n">
        <v>0.0673455298</v>
      </c>
    </row>
    <row r="198" customFormat="false" ht="15" hidden="false" customHeight="false" outlineLevel="0" collapsed="false">
      <c r="A198" s="3" t="n">
        <v>197</v>
      </c>
      <c r="B198" s="3" t="n">
        <v>196</v>
      </c>
      <c r="C198" s="3" t="n">
        <v>0</v>
      </c>
      <c r="D198" s="3" t="n">
        <v>7</v>
      </c>
      <c r="E198" s="3" t="n">
        <v>0</v>
      </c>
      <c r="F198" s="24" t="n">
        <v>0.10001415</v>
      </c>
    </row>
    <row r="199" customFormat="false" ht="15" hidden="false" customHeight="false" outlineLevel="0" collapsed="false">
      <c r="A199" s="3" t="n">
        <v>198</v>
      </c>
      <c r="B199" s="3" t="n">
        <v>197</v>
      </c>
      <c r="C199" s="3" t="n">
        <v>0</v>
      </c>
      <c r="D199" s="3" t="n">
        <v>7</v>
      </c>
      <c r="E199" s="3" t="n">
        <v>1</v>
      </c>
      <c r="F199" s="24" t="n">
        <v>-0.0259179175</v>
      </c>
    </row>
    <row r="200" customFormat="false" ht="15" hidden="false" customHeight="false" outlineLevel="0" collapsed="false">
      <c r="A200" s="3" t="n">
        <v>199</v>
      </c>
      <c r="B200" s="3" t="n">
        <v>198</v>
      </c>
      <c r="C200" s="3" t="n">
        <v>0</v>
      </c>
      <c r="D200" s="3" t="n">
        <v>7</v>
      </c>
      <c r="E200" s="3" t="n">
        <v>2</v>
      </c>
      <c r="F200" s="24" t="n">
        <v>-0.0259179175</v>
      </c>
    </row>
    <row r="201" customFormat="false" ht="15" hidden="false" customHeight="false" outlineLevel="0" collapsed="false">
      <c r="A201" s="3" t="n">
        <v>200</v>
      </c>
      <c r="B201" s="3" t="n">
        <v>199</v>
      </c>
      <c r="C201" s="3" t="n">
        <v>0</v>
      </c>
      <c r="D201" s="3" t="n">
        <v>7</v>
      </c>
      <c r="E201" s="3" t="n">
        <v>3</v>
      </c>
      <c r="F201" s="24" t="n">
        <v>-0.0259179175</v>
      </c>
    </row>
    <row r="202" customFormat="false" ht="15" hidden="false" customHeight="false" outlineLevel="0" collapsed="false">
      <c r="A202" s="3" t="n">
        <v>201</v>
      </c>
      <c r="B202" s="3" t="n">
        <v>200</v>
      </c>
      <c r="C202" s="3" t="n">
        <v>0</v>
      </c>
      <c r="D202" s="3" t="n">
        <v>7</v>
      </c>
      <c r="E202" s="3" t="n">
        <v>4</v>
      </c>
      <c r="F202" s="24" t="n">
        <v>-0.0259179175</v>
      </c>
    </row>
    <row r="203" customFormat="false" ht="15" hidden="false" customHeight="false" outlineLevel="0" collapsed="false">
      <c r="A203" s="3" t="n">
        <v>202</v>
      </c>
      <c r="B203" s="3" t="n">
        <v>201</v>
      </c>
      <c r="C203" s="3" t="n">
        <v>0</v>
      </c>
      <c r="D203" s="3" t="n">
        <v>7</v>
      </c>
      <c r="E203" s="3" t="n">
        <v>5</v>
      </c>
      <c r="F203" s="24" t="n">
        <v>0.978731275</v>
      </c>
    </row>
    <row r="204" customFormat="false" ht="15" hidden="false" customHeight="false" outlineLevel="0" collapsed="false">
      <c r="A204" s="3" t="n">
        <v>203</v>
      </c>
      <c r="B204" s="3" t="n">
        <v>202</v>
      </c>
      <c r="C204" s="3" t="n">
        <v>0</v>
      </c>
      <c r="D204" s="3" t="n">
        <v>7</v>
      </c>
      <c r="E204" s="3" t="n">
        <v>6</v>
      </c>
      <c r="F204" s="24" t="n">
        <v>1.84406316</v>
      </c>
    </row>
    <row r="205" customFormat="false" ht="15" hidden="false" customHeight="false" outlineLevel="0" collapsed="false">
      <c r="A205" s="3" t="n">
        <v>204</v>
      </c>
      <c r="B205" s="3" t="n">
        <v>203</v>
      </c>
      <c r="C205" s="3" t="n">
        <v>0</v>
      </c>
      <c r="D205" s="3" t="n">
        <v>7</v>
      </c>
      <c r="E205" s="3" t="n">
        <v>7</v>
      </c>
      <c r="F205" s="24" t="n">
        <v>1.3822825</v>
      </c>
    </row>
    <row r="206" customFormat="false" ht="15" hidden="false" customHeight="false" outlineLevel="0" collapsed="false">
      <c r="A206" s="3" t="n">
        <v>205</v>
      </c>
      <c r="B206" s="3" t="n">
        <v>204</v>
      </c>
      <c r="C206" s="3" t="n">
        <v>0</v>
      </c>
      <c r="D206" s="3" t="n">
        <v>7</v>
      </c>
      <c r="E206" s="3" t="n">
        <v>8</v>
      </c>
      <c r="F206" s="24" t="n">
        <v>1.55139136</v>
      </c>
    </row>
    <row r="207" customFormat="false" ht="15" hidden="false" customHeight="false" outlineLevel="0" collapsed="false">
      <c r="A207" s="3" t="n">
        <v>206</v>
      </c>
      <c r="B207" s="3" t="n">
        <v>205</v>
      </c>
      <c r="C207" s="3" t="n">
        <v>0</v>
      </c>
      <c r="D207" s="3" t="n">
        <v>7</v>
      </c>
      <c r="E207" s="3" t="n">
        <v>9</v>
      </c>
      <c r="F207" s="24" t="n">
        <v>1.0001725</v>
      </c>
    </row>
    <row r="208" customFormat="false" ht="15" hidden="false" customHeight="false" outlineLevel="0" collapsed="false">
      <c r="A208" s="3" t="n">
        <v>207</v>
      </c>
      <c r="B208" s="3" t="n">
        <v>206</v>
      </c>
      <c r="C208" s="3" t="n">
        <v>0</v>
      </c>
      <c r="D208" s="3" t="n">
        <v>7</v>
      </c>
      <c r="E208" s="3" t="n">
        <v>10</v>
      </c>
      <c r="F208" s="24" t="n">
        <v>0.558254719</v>
      </c>
    </row>
    <row r="209" customFormat="false" ht="15" hidden="false" customHeight="false" outlineLevel="0" collapsed="false">
      <c r="A209" s="3" t="n">
        <v>208</v>
      </c>
      <c r="B209" s="3" t="n">
        <v>207</v>
      </c>
      <c r="C209" s="3" t="n">
        <v>0</v>
      </c>
      <c r="D209" s="3" t="n">
        <v>7</v>
      </c>
      <c r="E209" s="3" t="n">
        <v>11</v>
      </c>
      <c r="F209" s="24" t="n">
        <v>-0.182431579</v>
      </c>
    </row>
    <row r="210" customFormat="false" ht="15" hidden="false" customHeight="false" outlineLevel="0" collapsed="false">
      <c r="A210" s="3" t="n">
        <v>209</v>
      </c>
      <c r="B210" s="3" t="n">
        <v>208</v>
      </c>
      <c r="C210" s="3" t="n">
        <v>0</v>
      </c>
      <c r="D210" s="3" t="n">
        <v>7</v>
      </c>
      <c r="E210" s="3" t="n">
        <v>12</v>
      </c>
      <c r="F210" s="24" t="n">
        <v>-0.341940999</v>
      </c>
    </row>
    <row r="211" customFormat="false" ht="15" hidden="false" customHeight="false" outlineLevel="0" collapsed="false">
      <c r="A211" s="3" t="n">
        <v>210</v>
      </c>
      <c r="B211" s="3" t="n">
        <v>209</v>
      </c>
      <c r="C211" s="3" t="n">
        <v>0</v>
      </c>
      <c r="D211" s="3" t="n">
        <v>7</v>
      </c>
      <c r="E211" s="3" t="n">
        <v>13</v>
      </c>
      <c r="F211" s="24" t="n">
        <v>-0.300352693</v>
      </c>
    </row>
    <row r="212" customFormat="false" ht="15" hidden="false" customHeight="false" outlineLevel="0" collapsed="false">
      <c r="A212" s="3" t="n">
        <v>211</v>
      </c>
      <c r="B212" s="3" t="n">
        <v>210</v>
      </c>
      <c r="C212" s="3" t="n">
        <v>0</v>
      </c>
      <c r="D212" s="3" t="n">
        <v>7</v>
      </c>
      <c r="E212" s="3" t="n">
        <v>14</v>
      </c>
      <c r="F212" s="24" t="n">
        <v>-0.300352693</v>
      </c>
    </row>
    <row r="213" customFormat="false" ht="15" hidden="false" customHeight="false" outlineLevel="0" collapsed="false">
      <c r="A213" s="3" t="n">
        <v>212</v>
      </c>
      <c r="B213" s="3" t="n">
        <v>211</v>
      </c>
      <c r="C213" s="3" t="n">
        <v>0</v>
      </c>
      <c r="D213" s="3" t="n">
        <v>7</v>
      </c>
      <c r="E213" s="3" t="n">
        <v>15</v>
      </c>
      <c r="F213" s="24" t="n">
        <v>-0.300352693</v>
      </c>
    </row>
    <row r="214" customFormat="false" ht="15" hidden="false" customHeight="false" outlineLevel="0" collapsed="false">
      <c r="A214" s="3" t="n">
        <v>213</v>
      </c>
      <c r="B214" s="3" t="n">
        <v>212</v>
      </c>
      <c r="C214" s="3" t="n">
        <v>0</v>
      </c>
      <c r="D214" s="3" t="n">
        <v>7</v>
      </c>
      <c r="E214" s="3" t="n">
        <v>16</v>
      </c>
      <c r="F214" s="24" t="n">
        <v>-0.300352693</v>
      </c>
    </row>
    <row r="215" customFormat="false" ht="15" hidden="false" customHeight="false" outlineLevel="0" collapsed="false">
      <c r="A215" s="3" t="n">
        <v>214</v>
      </c>
      <c r="B215" s="3" t="n">
        <v>213</v>
      </c>
      <c r="C215" s="3" t="n">
        <v>0</v>
      </c>
      <c r="D215" s="3" t="n">
        <v>7</v>
      </c>
      <c r="E215" s="3" t="n">
        <v>17</v>
      </c>
      <c r="F215" s="24" t="n">
        <v>-0.300352693</v>
      </c>
    </row>
    <row r="216" customFormat="false" ht="15" hidden="false" customHeight="false" outlineLevel="0" collapsed="false">
      <c r="A216" s="3" t="n">
        <v>215</v>
      </c>
      <c r="B216" s="3" t="n">
        <v>214</v>
      </c>
      <c r="C216" s="3" t="n">
        <v>0</v>
      </c>
      <c r="D216" s="3" t="n">
        <v>7</v>
      </c>
      <c r="E216" s="3" t="n">
        <v>18</v>
      </c>
      <c r="F216" s="24" t="n">
        <v>-0.300352693</v>
      </c>
    </row>
    <row r="217" customFormat="false" ht="15" hidden="false" customHeight="false" outlineLevel="0" collapsed="false">
      <c r="A217" s="3" t="n">
        <v>216</v>
      </c>
      <c r="B217" s="3" t="n">
        <v>215</v>
      </c>
      <c r="C217" s="3" t="n">
        <v>0</v>
      </c>
      <c r="D217" s="3" t="n">
        <v>7</v>
      </c>
      <c r="E217" s="3" t="n">
        <v>19</v>
      </c>
      <c r="F217" s="24" t="n">
        <v>-0.378280044</v>
      </c>
    </row>
    <row r="218" customFormat="false" ht="15" hidden="false" customHeight="false" outlineLevel="0" collapsed="false">
      <c r="A218" s="3" t="n">
        <v>217</v>
      </c>
      <c r="B218" s="3" t="n">
        <v>216</v>
      </c>
      <c r="C218" s="3" t="n">
        <v>0</v>
      </c>
      <c r="D218" s="3" t="n">
        <v>7</v>
      </c>
      <c r="E218" s="3" t="n">
        <v>20</v>
      </c>
      <c r="F218" s="24" t="n">
        <v>-0.715478063</v>
      </c>
    </row>
    <row r="219" customFormat="false" ht="15" hidden="false" customHeight="false" outlineLevel="0" collapsed="false">
      <c r="A219" s="3" t="n">
        <v>218</v>
      </c>
      <c r="B219" s="3" t="n">
        <v>217</v>
      </c>
      <c r="C219" s="3" t="n">
        <v>0</v>
      </c>
      <c r="D219" s="3" t="n">
        <v>7</v>
      </c>
      <c r="E219" s="3" t="n">
        <v>21</v>
      </c>
      <c r="F219" s="24" t="n">
        <v>-0.771717906</v>
      </c>
    </row>
    <row r="220" customFormat="false" ht="15" hidden="false" customHeight="false" outlineLevel="0" collapsed="false">
      <c r="A220" s="3" t="n">
        <v>219</v>
      </c>
      <c r="B220" s="3" t="n">
        <v>218</v>
      </c>
      <c r="C220" s="3" t="n">
        <v>0</v>
      </c>
      <c r="D220" s="3" t="n">
        <v>7</v>
      </c>
      <c r="E220" s="3" t="n">
        <v>22</v>
      </c>
      <c r="F220" s="24" t="n">
        <v>-0.259038329</v>
      </c>
    </row>
    <row r="221" customFormat="false" ht="15" hidden="false" customHeight="false" outlineLevel="0" collapsed="false">
      <c r="A221" s="3" t="n">
        <v>220</v>
      </c>
      <c r="B221" s="3" t="n">
        <v>219</v>
      </c>
      <c r="C221" s="3" t="n">
        <v>0</v>
      </c>
      <c r="D221" s="3" t="n">
        <v>7</v>
      </c>
      <c r="E221" s="3" t="n">
        <v>23</v>
      </c>
      <c r="F221" s="24" t="n">
        <v>-0.0259179175</v>
      </c>
    </row>
    <row r="222" customFormat="false" ht="15" hidden="false" customHeight="false" outlineLevel="0" collapsed="false">
      <c r="A222" s="3" t="n">
        <v>221</v>
      </c>
      <c r="B222" s="3" t="n">
        <v>220</v>
      </c>
      <c r="C222" s="3" t="n">
        <v>0</v>
      </c>
      <c r="D222" s="3" t="n">
        <v>7</v>
      </c>
      <c r="E222" s="3" t="n">
        <v>24</v>
      </c>
      <c r="F222" s="24" t="n">
        <v>-0.0259179175</v>
      </c>
    </row>
    <row r="223" customFormat="false" ht="15" hidden="false" customHeight="false" outlineLevel="0" collapsed="false">
      <c r="A223" s="3" t="n">
        <v>222</v>
      </c>
      <c r="B223" s="3" t="n">
        <v>221</v>
      </c>
      <c r="C223" s="3" t="n">
        <v>0</v>
      </c>
      <c r="D223" s="3" t="n">
        <v>7</v>
      </c>
      <c r="E223" s="3" t="n">
        <v>25</v>
      </c>
      <c r="F223" s="24" t="n">
        <v>-0.0259179175</v>
      </c>
    </row>
    <row r="224" customFormat="false" ht="15" hidden="false" customHeight="false" outlineLevel="0" collapsed="false">
      <c r="A224" s="3" t="n">
        <v>223</v>
      </c>
      <c r="B224" s="3" t="n">
        <v>222</v>
      </c>
      <c r="C224" s="3" t="n">
        <v>0</v>
      </c>
      <c r="D224" s="3" t="n">
        <v>7</v>
      </c>
      <c r="E224" s="3" t="n">
        <v>26</v>
      </c>
      <c r="F224" s="24" t="n">
        <v>-0.0259179175</v>
      </c>
    </row>
    <row r="225" customFormat="false" ht="15" hidden="false" customHeight="false" outlineLevel="0" collapsed="false">
      <c r="A225" s="3" t="n">
        <v>224</v>
      </c>
      <c r="B225" s="3" t="n">
        <v>223</v>
      </c>
      <c r="C225" s="3" t="n">
        <v>0</v>
      </c>
      <c r="D225" s="3" t="n">
        <v>7</v>
      </c>
      <c r="E225" s="3" t="n">
        <v>27</v>
      </c>
      <c r="F225" s="24" t="n">
        <v>0.0673455298</v>
      </c>
    </row>
    <row r="226" customFormat="false" ht="15" hidden="false" customHeight="false" outlineLevel="0" collapsed="false">
      <c r="A226" s="3" t="n">
        <v>225</v>
      </c>
      <c r="B226" s="3" t="n">
        <v>224</v>
      </c>
      <c r="C226" s="3" t="n">
        <v>0</v>
      </c>
      <c r="D226" s="3" t="n">
        <v>8</v>
      </c>
      <c r="E226" s="3" t="n">
        <v>0</v>
      </c>
      <c r="F226" s="24" t="n">
        <v>0.10001415</v>
      </c>
    </row>
    <row r="227" customFormat="false" ht="15" hidden="false" customHeight="false" outlineLevel="0" collapsed="false">
      <c r="A227" s="3" t="n">
        <v>226</v>
      </c>
      <c r="B227" s="3" t="n">
        <v>225</v>
      </c>
      <c r="C227" s="3" t="n">
        <v>0</v>
      </c>
      <c r="D227" s="3" t="n">
        <v>8</v>
      </c>
      <c r="E227" s="3" t="n">
        <v>1</v>
      </c>
      <c r="F227" s="24" t="n">
        <v>-0.0259179175</v>
      </c>
    </row>
    <row r="228" customFormat="false" ht="15" hidden="false" customHeight="false" outlineLevel="0" collapsed="false">
      <c r="A228" s="3" t="n">
        <v>227</v>
      </c>
      <c r="B228" s="3" t="n">
        <v>226</v>
      </c>
      <c r="C228" s="3" t="n">
        <v>0</v>
      </c>
      <c r="D228" s="3" t="n">
        <v>8</v>
      </c>
      <c r="E228" s="3" t="n">
        <v>2</v>
      </c>
      <c r="F228" s="24" t="n">
        <v>-0.0259179175</v>
      </c>
    </row>
    <row r="229" customFormat="false" ht="15" hidden="false" customHeight="false" outlineLevel="0" collapsed="false">
      <c r="A229" s="3" t="n">
        <v>228</v>
      </c>
      <c r="B229" s="3" t="n">
        <v>227</v>
      </c>
      <c r="C229" s="3" t="n">
        <v>0</v>
      </c>
      <c r="D229" s="3" t="n">
        <v>8</v>
      </c>
      <c r="E229" s="3" t="n">
        <v>3</v>
      </c>
      <c r="F229" s="24" t="n">
        <v>-0.0259179175</v>
      </c>
    </row>
    <row r="230" customFormat="false" ht="15" hidden="false" customHeight="false" outlineLevel="0" collapsed="false">
      <c r="A230" s="3" t="n">
        <v>229</v>
      </c>
      <c r="B230" s="3" t="n">
        <v>228</v>
      </c>
      <c r="C230" s="3" t="n">
        <v>0</v>
      </c>
      <c r="D230" s="3" t="n">
        <v>8</v>
      </c>
      <c r="E230" s="3" t="n">
        <v>4</v>
      </c>
      <c r="F230" s="24" t="n">
        <v>-0.0259179175</v>
      </c>
    </row>
    <row r="231" customFormat="false" ht="15" hidden="false" customHeight="false" outlineLevel="0" collapsed="false">
      <c r="A231" s="3" t="n">
        <v>230</v>
      </c>
      <c r="B231" s="3" t="n">
        <v>229</v>
      </c>
      <c r="C231" s="3" t="n">
        <v>0</v>
      </c>
      <c r="D231" s="3" t="n">
        <v>8</v>
      </c>
      <c r="E231" s="3" t="n">
        <v>5</v>
      </c>
      <c r="F231" s="24" t="n">
        <v>0.797279</v>
      </c>
    </row>
    <row r="232" customFormat="false" ht="15" hidden="false" customHeight="false" outlineLevel="0" collapsed="false">
      <c r="A232" s="3" t="n">
        <v>231</v>
      </c>
      <c r="B232" s="3" t="n">
        <v>230</v>
      </c>
      <c r="C232" s="3" t="n">
        <v>0</v>
      </c>
      <c r="D232" s="3" t="n">
        <v>8</v>
      </c>
      <c r="E232" s="3" t="n">
        <v>6</v>
      </c>
      <c r="F232" s="24" t="n">
        <v>1.5275104</v>
      </c>
    </row>
    <row r="233" customFormat="false" ht="15" hidden="false" customHeight="false" outlineLevel="0" collapsed="false">
      <c r="A233" s="3" t="n">
        <v>232</v>
      </c>
      <c r="B233" s="3" t="n">
        <v>231</v>
      </c>
      <c r="C233" s="3" t="n">
        <v>0</v>
      </c>
      <c r="D233" s="3" t="n">
        <v>8</v>
      </c>
      <c r="E233" s="3" t="n">
        <v>7</v>
      </c>
      <c r="F233" s="24" t="n">
        <v>2.91805315</v>
      </c>
    </row>
    <row r="234" customFormat="false" ht="15" hidden="false" customHeight="false" outlineLevel="0" collapsed="false">
      <c r="A234" s="3" t="n">
        <v>233</v>
      </c>
      <c r="B234" s="3" t="n">
        <v>232</v>
      </c>
      <c r="C234" s="3" t="n">
        <v>0</v>
      </c>
      <c r="D234" s="3" t="n">
        <v>8</v>
      </c>
      <c r="E234" s="3" t="n">
        <v>8</v>
      </c>
      <c r="F234" s="24" t="n">
        <v>3.31308222</v>
      </c>
    </row>
    <row r="235" customFormat="false" ht="15" hidden="false" customHeight="false" outlineLevel="0" collapsed="false">
      <c r="A235" s="3" t="n">
        <v>234</v>
      </c>
      <c r="B235" s="3" t="n">
        <v>233</v>
      </c>
      <c r="C235" s="3" t="n">
        <v>0</v>
      </c>
      <c r="D235" s="3" t="n">
        <v>8</v>
      </c>
      <c r="E235" s="3" t="n">
        <v>9</v>
      </c>
      <c r="F235" s="24" t="n">
        <v>3.93855238</v>
      </c>
    </row>
    <row r="236" customFormat="false" ht="15" hidden="false" customHeight="false" outlineLevel="0" collapsed="false">
      <c r="A236" s="3" t="n">
        <v>235</v>
      </c>
      <c r="B236" s="3" t="n">
        <v>234</v>
      </c>
      <c r="C236" s="3" t="n">
        <v>0</v>
      </c>
      <c r="D236" s="3" t="n">
        <v>8</v>
      </c>
      <c r="E236" s="3" t="n">
        <v>10</v>
      </c>
      <c r="F236" s="24" t="n">
        <v>3.68386793</v>
      </c>
    </row>
    <row r="237" customFormat="false" ht="15" hidden="false" customHeight="false" outlineLevel="0" collapsed="false">
      <c r="A237" s="3" t="n">
        <v>236</v>
      </c>
      <c r="B237" s="3" t="n">
        <v>235</v>
      </c>
      <c r="C237" s="3" t="n">
        <v>0</v>
      </c>
      <c r="D237" s="3" t="n">
        <v>8</v>
      </c>
      <c r="E237" s="3" t="n">
        <v>11</v>
      </c>
      <c r="F237" s="24" t="n">
        <v>3.04639626</v>
      </c>
    </row>
    <row r="238" customFormat="false" ht="15" hidden="false" customHeight="false" outlineLevel="0" collapsed="false">
      <c r="A238" s="3" t="n">
        <v>237</v>
      </c>
      <c r="B238" s="3" t="n">
        <v>236</v>
      </c>
      <c r="C238" s="3" t="n">
        <v>0</v>
      </c>
      <c r="D238" s="3" t="n">
        <v>8</v>
      </c>
      <c r="E238" s="3" t="n">
        <v>12</v>
      </c>
      <c r="F238" s="24" t="n">
        <v>2.30168056</v>
      </c>
    </row>
    <row r="239" customFormat="false" ht="15" hidden="false" customHeight="false" outlineLevel="0" collapsed="false">
      <c r="A239" s="3" t="n">
        <v>238</v>
      </c>
      <c r="B239" s="3" t="n">
        <v>237</v>
      </c>
      <c r="C239" s="3" t="n">
        <v>0</v>
      </c>
      <c r="D239" s="3" t="n">
        <v>8</v>
      </c>
      <c r="E239" s="3" t="n">
        <v>13</v>
      </c>
      <c r="F239" s="24" t="n">
        <v>1.92542958</v>
      </c>
    </row>
    <row r="240" customFormat="false" ht="15" hidden="false" customHeight="false" outlineLevel="0" collapsed="false">
      <c r="A240" s="3" t="n">
        <v>239</v>
      </c>
      <c r="B240" s="3" t="n">
        <v>238</v>
      </c>
      <c r="C240" s="3" t="n">
        <v>0</v>
      </c>
      <c r="D240" s="3" t="n">
        <v>8</v>
      </c>
      <c r="E240" s="3" t="n">
        <v>14</v>
      </c>
      <c r="F240" s="24" t="n">
        <v>2.06454301</v>
      </c>
    </row>
    <row r="241" customFormat="false" ht="15" hidden="false" customHeight="false" outlineLevel="0" collapsed="false">
      <c r="A241" s="3" t="n">
        <v>240</v>
      </c>
      <c r="B241" s="3" t="n">
        <v>239</v>
      </c>
      <c r="C241" s="3" t="n">
        <v>0</v>
      </c>
      <c r="D241" s="3" t="n">
        <v>8</v>
      </c>
      <c r="E241" s="3" t="n">
        <v>15</v>
      </c>
      <c r="F241" s="24" t="n">
        <v>1.9345336</v>
      </c>
    </row>
    <row r="242" customFormat="false" ht="15" hidden="false" customHeight="false" outlineLevel="0" collapsed="false">
      <c r="A242" s="3" t="n">
        <v>241</v>
      </c>
      <c r="B242" s="3" t="n">
        <v>240</v>
      </c>
      <c r="C242" s="3" t="n">
        <v>0</v>
      </c>
      <c r="D242" s="3" t="n">
        <v>8</v>
      </c>
      <c r="E242" s="3" t="n">
        <v>16</v>
      </c>
      <c r="F242" s="24" t="n">
        <v>1.92340112</v>
      </c>
    </row>
    <row r="243" customFormat="false" ht="15" hidden="false" customHeight="false" outlineLevel="0" collapsed="false">
      <c r="A243" s="3" t="n">
        <v>242</v>
      </c>
      <c r="B243" s="3" t="n">
        <v>241</v>
      </c>
      <c r="C243" s="3" t="n">
        <v>0</v>
      </c>
      <c r="D243" s="3" t="n">
        <v>8</v>
      </c>
      <c r="E243" s="3" t="n">
        <v>17</v>
      </c>
      <c r="F243" s="24" t="n">
        <v>1.86369979</v>
      </c>
    </row>
    <row r="244" customFormat="false" ht="15" hidden="false" customHeight="false" outlineLevel="0" collapsed="false">
      <c r="A244" s="3" t="n">
        <v>243</v>
      </c>
      <c r="B244" s="3" t="n">
        <v>242</v>
      </c>
      <c r="C244" s="3" t="n">
        <v>0</v>
      </c>
      <c r="D244" s="3" t="n">
        <v>8</v>
      </c>
      <c r="E244" s="3" t="n">
        <v>18</v>
      </c>
      <c r="F244" s="24" t="n">
        <v>1.94461751</v>
      </c>
    </row>
    <row r="245" customFormat="false" ht="15" hidden="false" customHeight="false" outlineLevel="0" collapsed="false">
      <c r="A245" s="3" t="n">
        <v>244</v>
      </c>
      <c r="B245" s="3" t="n">
        <v>243</v>
      </c>
      <c r="C245" s="3" t="n">
        <v>0</v>
      </c>
      <c r="D245" s="3" t="n">
        <v>8</v>
      </c>
      <c r="E245" s="3" t="n">
        <v>19</v>
      </c>
      <c r="F245" s="24" t="n">
        <v>1.91767848</v>
      </c>
    </row>
    <row r="246" customFormat="false" ht="15" hidden="false" customHeight="false" outlineLevel="0" collapsed="false">
      <c r="A246" s="3" t="n">
        <v>245</v>
      </c>
      <c r="B246" s="3" t="n">
        <v>244</v>
      </c>
      <c r="C246" s="3" t="n">
        <v>0</v>
      </c>
      <c r="D246" s="3" t="n">
        <v>8</v>
      </c>
      <c r="E246" s="3" t="n">
        <v>20</v>
      </c>
      <c r="F246" s="24" t="n">
        <v>0.864467561</v>
      </c>
    </row>
    <row r="247" customFormat="false" ht="15" hidden="false" customHeight="false" outlineLevel="0" collapsed="false">
      <c r="A247" s="3" t="n">
        <v>246</v>
      </c>
      <c r="B247" s="3" t="n">
        <v>245</v>
      </c>
      <c r="C247" s="3" t="n">
        <v>0</v>
      </c>
      <c r="D247" s="3" t="n">
        <v>8</v>
      </c>
      <c r="E247" s="3" t="n">
        <v>21</v>
      </c>
      <c r="F247" s="24" t="n">
        <v>-0.257243693</v>
      </c>
    </row>
    <row r="248" customFormat="false" ht="15" hidden="false" customHeight="false" outlineLevel="0" collapsed="false">
      <c r="A248" s="3" t="n">
        <v>247</v>
      </c>
      <c r="B248" s="3" t="n">
        <v>246</v>
      </c>
      <c r="C248" s="3" t="n">
        <v>0</v>
      </c>
      <c r="D248" s="3" t="n">
        <v>8</v>
      </c>
      <c r="E248" s="3" t="n">
        <v>22</v>
      </c>
      <c r="F248" s="24" t="n">
        <v>-0.435172439</v>
      </c>
    </row>
    <row r="249" customFormat="false" ht="15" hidden="false" customHeight="false" outlineLevel="0" collapsed="false">
      <c r="A249" s="3" t="n">
        <v>248</v>
      </c>
      <c r="B249" s="3" t="n">
        <v>247</v>
      </c>
      <c r="C249" s="3" t="n">
        <v>0</v>
      </c>
      <c r="D249" s="3" t="n">
        <v>8</v>
      </c>
      <c r="E249" s="3" t="n">
        <v>23</v>
      </c>
      <c r="F249" s="24" t="n">
        <v>-0.0259179175</v>
      </c>
    </row>
    <row r="250" customFormat="false" ht="15" hidden="false" customHeight="false" outlineLevel="0" collapsed="false">
      <c r="A250" s="3" t="n">
        <v>249</v>
      </c>
      <c r="B250" s="3" t="n">
        <v>248</v>
      </c>
      <c r="C250" s="3" t="n">
        <v>0</v>
      </c>
      <c r="D250" s="3" t="n">
        <v>8</v>
      </c>
      <c r="E250" s="3" t="n">
        <v>24</v>
      </c>
      <c r="F250" s="24" t="n">
        <v>-0.0259179175</v>
      </c>
    </row>
    <row r="251" customFormat="false" ht="15" hidden="false" customHeight="false" outlineLevel="0" collapsed="false">
      <c r="A251" s="3" t="n">
        <v>250</v>
      </c>
      <c r="B251" s="3" t="n">
        <v>249</v>
      </c>
      <c r="C251" s="3" t="n">
        <v>0</v>
      </c>
      <c r="D251" s="3" t="n">
        <v>8</v>
      </c>
      <c r="E251" s="3" t="n">
        <v>25</v>
      </c>
      <c r="F251" s="24" t="n">
        <v>-0.0259179175</v>
      </c>
    </row>
    <row r="252" customFormat="false" ht="15" hidden="false" customHeight="false" outlineLevel="0" collapsed="false">
      <c r="A252" s="3" t="n">
        <v>251</v>
      </c>
      <c r="B252" s="3" t="n">
        <v>250</v>
      </c>
      <c r="C252" s="3" t="n">
        <v>0</v>
      </c>
      <c r="D252" s="3" t="n">
        <v>8</v>
      </c>
      <c r="E252" s="3" t="n">
        <v>26</v>
      </c>
      <c r="F252" s="24" t="n">
        <v>-0.0259179175</v>
      </c>
    </row>
    <row r="253" customFormat="false" ht="15" hidden="false" customHeight="false" outlineLevel="0" collapsed="false">
      <c r="A253" s="3" t="n">
        <v>252</v>
      </c>
      <c r="B253" s="3" t="n">
        <v>251</v>
      </c>
      <c r="C253" s="3" t="n">
        <v>0</v>
      </c>
      <c r="D253" s="3" t="n">
        <v>8</v>
      </c>
      <c r="E253" s="3" t="n">
        <v>27</v>
      </c>
      <c r="F253" s="24" t="n">
        <v>0.0673455298</v>
      </c>
    </row>
    <row r="254" customFormat="false" ht="15" hidden="false" customHeight="false" outlineLevel="0" collapsed="false">
      <c r="A254" s="3" t="n">
        <v>253</v>
      </c>
      <c r="B254" s="3" t="n">
        <v>252</v>
      </c>
      <c r="C254" s="3" t="n">
        <v>0</v>
      </c>
      <c r="D254" s="3" t="n">
        <v>9</v>
      </c>
      <c r="E254" s="3" t="n">
        <v>0</v>
      </c>
      <c r="F254" s="24" t="n">
        <v>0.10001415</v>
      </c>
    </row>
    <row r="255" customFormat="false" ht="15" hidden="false" customHeight="false" outlineLevel="0" collapsed="false">
      <c r="A255" s="3" t="n">
        <v>254</v>
      </c>
      <c r="B255" s="3" t="n">
        <v>253</v>
      </c>
      <c r="C255" s="3" t="n">
        <v>0</v>
      </c>
      <c r="D255" s="3" t="n">
        <v>9</v>
      </c>
      <c r="E255" s="3" t="n">
        <v>1</v>
      </c>
      <c r="F255" s="24" t="n">
        <v>-0.0259179175</v>
      </c>
    </row>
    <row r="256" customFormat="false" ht="15" hidden="false" customHeight="false" outlineLevel="0" collapsed="false">
      <c r="A256" s="3" t="n">
        <v>255</v>
      </c>
      <c r="B256" s="3" t="n">
        <v>254</v>
      </c>
      <c r="C256" s="3" t="n">
        <v>0</v>
      </c>
      <c r="D256" s="3" t="n">
        <v>9</v>
      </c>
      <c r="E256" s="3" t="n">
        <v>2</v>
      </c>
      <c r="F256" s="24" t="n">
        <v>-0.0259179175</v>
      </c>
    </row>
    <row r="257" customFormat="false" ht="15" hidden="false" customHeight="false" outlineLevel="0" collapsed="false">
      <c r="A257" s="3" t="n">
        <v>256</v>
      </c>
      <c r="B257" s="3" t="n">
        <v>255</v>
      </c>
      <c r="C257" s="3" t="n">
        <v>0</v>
      </c>
      <c r="D257" s="3" t="n">
        <v>9</v>
      </c>
      <c r="E257" s="3" t="n">
        <v>3</v>
      </c>
      <c r="F257" s="24" t="n">
        <v>-0.0259179175</v>
      </c>
    </row>
    <row r="258" customFormat="false" ht="15" hidden="false" customHeight="false" outlineLevel="0" collapsed="false">
      <c r="A258" s="3" t="n">
        <v>257</v>
      </c>
      <c r="B258" s="3" t="n">
        <v>256</v>
      </c>
      <c r="C258" s="3" t="n">
        <v>0</v>
      </c>
      <c r="D258" s="3" t="n">
        <v>9</v>
      </c>
      <c r="E258" s="3" t="n">
        <v>4</v>
      </c>
      <c r="F258" s="24" t="n">
        <v>-0.0259179175</v>
      </c>
    </row>
    <row r="259" customFormat="false" ht="15" hidden="false" customHeight="false" outlineLevel="0" collapsed="false">
      <c r="A259" s="3" t="n">
        <v>258</v>
      </c>
      <c r="B259" s="3" t="n">
        <v>257</v>
      </c>
      <c r="C259" s="3" t="n">
        <v>0</v>
      </c>
      <c r="D259" s="3" t="n">
        <v>9</v>
      </c>
      <c r="E259" s="3" t="n">
        <v>5</v>
      </c>
      <c r="F259" s="24" t="n">
        <v>-0.736277938</v>
      </c>
    </row>
    <row r="260" customFormat="false" ht="15" hidden="false" customHeight="false" outlineLevel="0" collapsed="false">
      <c r="A260" s="3" t="n">
        <v>259</v>
      </c>
      <c r="B260" s="3" t="n">
        <v>258</v>
      </c>
      <c r="C260" s="3" t="n">
        <v>0</v>
      </c>
      <c r="D260" s="3" t="n">
        <v>9</v>
      </c>
      <c r="E260" s="3" t="n">
        <v>6</v>
      </c>
      <c r="F260" s="24" t="n">
        <v>0.203342348</v>
      </c>
    </row>
    <row r="261" customFormat="false" ht="15" hidden="false" customHeight="false" outlineLevel="0" collapsed="false">
      <c r="A261" s="3" t="n">
        <v>260</v>
      </c>
      <c r="B261" s="3" t="n">
        <v>259</v>
      </c>
      <c r="C261" s="3" t="n">
        <v>0</v>
      </c>
      <c r="D261" s="3" t="n">
        <v>9</v>
      </c>
      <c r="E261" s="3" t="n">
        <v>7</v>
      </c>
      <c r="F261" s="24" t="n">
        <v>1.42586029</v>
      </c>
    </row>
    <row r="262" customFormat="false" ht="15" hidden="false" customHeight="false" outlineLevel="0" collapsed="false">
      <c r="A262" s="3" t="n">
        <v>261</v>
      </c>
      <c r="B262" s="3" t="n">
        <v>260</v>
      </c>
      <c r="C262" s="3" t="n">
        <v>0</v>
      </c>
      <c r="D262" s="3" t="n">
        <v>9</v>
      </c>
      <c r="E262" s="3" t="n">
        <v>8</v>
      </c>
      <c r="F262" s="24" t="n">
        <v>1.82587206</v>
      </c>
    </row>
    <row r="263" customFormat="false" ht="15" hidden="false" customHeight="false" outlineLevel="0" collapsed="false">
      <c r="A263" s="3" t="n">
        <v>262</v>
      </c>
      <c r="B263" s="3" t="n">
        <v>261</v>
      </c>
      <c r="C263" s="3" t="n">
        <v>0</v>
      </c>
      <c r="D263" s="3" t="n">
        <v>9</v>
      </c>
      <c r="E263" s="3" t="n">
        <v>9</v>
      </c>
      <c r="F263" s="24" t="n">
        <v>1.99587309</v>
      </c>
    </row>
    <row r="264" customFormat="false" ht="15" hidden="false" customHeight="false" outlineLevel="0" collapsed="false">
      <c r="A264" s="3" t="n">
        <v>263</v>
      </c>
      <c r="B264" s="3" t="n">
        <v>262</v>
      </c>
      <c r="C264" s="3" t="n">
        <v>0</v>
      </c>
      <c r="D264" s="3" t="n">
        <v>9</v>
      </c>
      <c r="E264" s="3" t="n">
        <v>10</v>
      </c>
      <c r="F264" s="24" t="n">
        <v>2.71481061</v>
      </c>
    </row>
    <row r="265" customFormat="false" ht="15" hidden="false" customHeight="false" outlineLevel="0" collapsed="false">
      <c r="A265" s="3" t="n">
        <v>264</v>
      </c>
      <c r="B265" s="3" t="n">
        <v>263</v>
      </c>
      <c r="C265" s="3" t="n">
        <v>0</v>
      </c>
      <c r="D265" s="3" t="n">
        <v>9</v>
      </c>
      <c r="E265" s="3" t="n">
        <v>11</v>
      </c>
      <c r="F265" s="24" t="n">
        <v>3.52830839</v>
      </c>
    </row>
    <row r="266" customFormat="false" ht="15" hidden="false" customHeight="false" outlineLevel="0" collapsed="false">
      <c r="A266" s="3" t="n">
        <v>265</v>
      </c>
      <c r="B266" s="3" t="n">
        <v>264</v>
      </c>
      <c r="C266" s="3" t="n">
        <v>0</v>
      </c>
      <c r="D266" s="3" t="n">
        <v>9</v>
      </c>
      <c r="E266" s="3" t="n">
        <v>12</v>
      </c>
      <c r="F266" s="24" t="n">
        <v>3.3515954</v>
      </c>
    </row>
    <row r="267" customFormat="false" ht="15" hidden="false" customHeight="false" outlineLevel="0" collapsed="false">
      <c r="A267" s="3" t="n">
        <v>266</v>
      </c>
      <c r="B267" s="3" t="n">
        <v>265</v>
      </c>
      <c r="C267" s="3" t="n">
        <v>0</v>
      </c>
      <c r="D267" s="3" t="n">
        <v>9</v>
      </c>
      <c r="E267" s="3" t="n">
        <v>13</v>
      </c>
      <c r="F267" s="24" t="n">
        <v>3.25198746</v>
      </c>
    </row>
    <row r="268" customFormat="false" ht="15" hidden="false" customHeight="false" outlineLevel="0" collapsed="false">
      <c r="A268" s="3" t="n">
        <v>267</v>
      </c>
      <c r="B268" s="3" t="n">
        <v>266</v>
      </c>
      <c r="C268" s="3" t="n">
        <v>0</v>
      </c>
      <c r="D268" s="3" t="n">
        <v>9</v>
      </c>
      <c r="E268" s="3" t="n">
        <v>14</v>
      </c>
      <c r="F268" s="24" t="n">
        <v>3.46333456</v>
      </c>
    </row>
    <row r="269" customFormat="false" ht="15" hidden="false" customHeight="false" outlineLevel="0" collapsed="false">
      <c r="A269" s="3" t="n">
        <v>268</v>
      </c>
      <c r="B269" s="3" t="n">
        <v>267</v>
      </c>
      <c r="C269" s="3" t="n">
        <v>0</v>
      </c>
      <c r="D269" s="3" t="n">
        <v>9</v>
      </c>
      <c r="E269" s="3" t="n">
        <v>15</v>
      </c>
      <c r="F269" s="24" t="n">
        <v>3.34751844</v>
      </c>
    </row>
    <row r="270" customFormat="false" ht="15" hidden="false" customHeight="false" outlineLevel="0" collapsed="false">
      <c r="A270" s="3" t="n">
        <v>269</v>
      </c>
      <c r="B270" s="3" t="n">
        <v>268</v>
      </c>
      <c r="C270" s="3" t="n">
        <v>0</v>
      </c>
      <c r="D270" s="3" t="n">
        <v>9</v>
      </c>
      <c r="E270" s="3" t="n">
        <v>16</v>
      </c>
      <c r="F270" s="24" t="n">
        <v>3.30683446</v>
      </c>
    </row>
    <row r="271" customFormat="false" ht="15" hidden="false" customHeight="false" outlineLevel="0" collapsed="false">
      <c r="A271" s="3" t="n">
        <v>270</v>
      </c>
      <c r="B271" s="3" t="n">
        <v>269</v>
      </c>
      <c r="C271" s="3" t="n">
        <v>0</v>
      </c>
      <c r="D271" s="3" t="n">
        <v>9</v>
      </c>
      <c r="E271" s="3" t="n">
        <v>17</v>
      </c>
      <c r="F271" s="24" t="n">
        <v>3.09036493</v>
      </c>
    </row>
    <row r="272" customFormat="false" ht="15" hidden="false" customHeight="false" outlineLevel="0" collapsed="false">
      <c r="A272" s="3" t="n">
        <v>271</v>
      </c>
      <c r="B272" s="3" t="n">
        <v>270</v>
      </c>
      <c r="C272" s="3" t="n">
        <v>0</v>
      </c>
      <c r="D272" s="3" t="n">
        <v>9</v>
      </c>
      <c r="E272" s="3" t="n">
        <v>18</v>
      </c>
      <c r="F272" s="24" t="n">
        <v>3.75061512</v>
      </c>
    </row>
    <row r="273" customFormat="false" ht="15" hidden="false" customHeight="false" outlineLevel="0" collapsed="false">
      <c r="A273" s="3" t="n">
        <v>272</v>
      </c>
      <c r="B273" s="3" t="n">
        <v>271</v>
      </c>
      <c r="C273" s="3" t="n">
        <v>0</v>
      </c>
      <c r="D273" s="3" t="n">
        <v>9</v>
      </c>
      <c r="E273" s="3" t="n">
        <v>19</v>
      </c>
      <c r="F273" s="24" t="n">
        <v>4.15075588</v>
      </c>
    </row>
    <row r="274" customFormat="false" ht="15" hidden="false" customHeight="false" outlineLevel="0" collapsed="false">
      <c r="A274" s="3" t="n">
        <v>273</v>
      </c>
      <c r="B274" s="3" t="n">
        <v>272</v>
      </c>
      <c r="C274" s="3" t="n">
        <v>0</v>
      </c>
      <c r="D274" s="3" t="n">
        <v>9</v>
      </c>
      <c r="E274" s="3" t="n">
        <v>20</v>
      </c>
      <c r="F274" s="24" t="n">
        <v>2.81681442</v>
      </c>
    </row>
    <row r="275" customFormat="false" ht="15" hidden="false" customHeight="false" outlineLevel="0" collapsed="false">
      <c r="A275" s="3" t="n">
        <v>274</v>
      </c>
      <c r="B275" s="3" t="n">
        <v>273</v>
      </c>
      <c r="C275" s="3" t="n">
        <v>0</v>
      </c>
      <c r="D275" s="3" t="n">
        <v>9</v>
      </c>
      <c r="E275" s="3" t="n">
        <v>21</v>
      </c>
      <c r="F275" s="24" t="n">
        <v>1.18707252</v>
      </c>
    </row>
    <row r="276" customFormat="false" ht="15" hidden="false" customHeight="false" outlineLevel="0" collapsed="false">
      <c r="A276" s="3" t="n">
        <v>275</v>
      </c>
      <c r="B276" s="3" t="n">
        <v>274</v>
      </c>
      <c r="C276" s="3" t="n">
        <v>0</v>
      </c>
      <c r="D276" s="3" t="n">
        <v>9</v>
      </c>
      <c r="E276" s="3" t="n">
        <v>22</v>
      </c>
      <c r="F276" s="24" t="n">
        <v>0.298039764</v>
      </c>
    </row>
    <row r="277" customFormat="false" ht="15" hidden="false" customHeight="false" outlineLevel="0" collapsed="false">
      <c r="A277" s="3" t="n">
        <v>276</v>
      </c>
      <c r="B277" s="3" t="n">
        <v>275</v>
      </c>
      <c r="C277" s="3" t="n">
        <v>0</v>
      </c>
      <c r="D277" s="3" t="n">
        <v>9</v>
      </c>
      <c r="E277" s="3" t="n">
        <v>23</v>
      </c>
      <c r="F277" s="24" t="n">
        <v>-0.0259179175</v>
      </c>
    </row>
    <row r="278" customFormat="false" ht="15" hidden="false" customHeight="false" outlineLevel="0" collapsed="false">
      <c r="A278" s="3" t="n">
        <v>277</v>
      </c>
      <c r="B278" s="3" t="n">
        <v>276</v>
      </c>
      <c r="C278" s="3" t="n">
        <v>0</v>
      </c>
      <c r="D278" s="3" t="n">
        <v>9</v>
      </c>
      <c r="E278" s="3" t="n">
        <v>24</v>
      </c>
      <c r="F278" s="24" t="n">
        <v>-0.0259179175</v>
      </c>
    </row>
    <row r="279" customFormat="false" ht="15" hidden="false" customHeight="false" outlineLevel="0" collapsed="false">
      <c r="A279" s="3" t="n">
        <v>278</v>
      </c>
      <c r="B279" s="3" t="n">
        <v>277</v>
      </c>
      <c r="C279" s="3" t="n">
        <v>0</v>
      </c>
      <c r="D279" s="3" t="n">
        <v>9</v>
      </c>
      <c r="E279" s="3" t="n">
        <v>25</v>
      </c>
      <c r="F279" s="24" t="n">
        <v>-0.0259179175</v>
      </c>
    </row>
    <row r="280" customFormat="false" ht="15" hidden="false" customHeight="false" outlineLevel="0" collapsed="false">
      <c r="A280" s="3" t="n">
        <v>279</v>
      </c>
      <c r="B280" s="3" t="n">
        <v>278</v>
      </c>
      <c r="C280" s="3" t="n">
        <v>0</v>
      </c>
      <c r="D280" s="3" t="n">
        <v>9</v>
      </c>
      <c r="E280" s="3" t="n">
        <v>26</v>
      </c>
      <c r="F280" s="24" t="n">
        <v>-0.0259179175</v>
      </c>
    </row>
    <row r="281" customFormat="false" ht="15" hidden="false" customHeight="false" outlineLevel="0" collapsed="false">
      <c r="A281" s="3" t="n">
        <v>280</v>
      </c>
      <c r="B281" s="3" t="n">
        <v>279</v>
      </c>
      <c r="C281" s="3" t="n">
        <v>0</v>
      </c>
      <c r="D281" s="3" t="n">
        <v>9</v>
      </c>
      <c r="E281" s="3" t="n">
        <v>27</v>
      </c>
      <c r="F281" s="24" t="n">
        <v>0.0673455298</v>
      </c>
    </row>
    <row r="282" customFormat="false" ht="15" hidden="false" customHeight="false" outlineLevel="0" collapsed="false">
      <c r="A282" s="3" t="n">
        <v>281</v>
      </c>
      <c r="B282" s="3" t="n">
        <v>280</v>
      </c>
      <c r="C282" s="3" t="n">
        <v>0</v>
      </c>
      <c r="D282" s="3" t="n">
        <v>10</v>
      </c>
      <c r="E282" s="3" t="n">
        <v>0</v>
      </c>
      <c r="F282" s="24" t="n">
        <v>0.10001415</v>
      </c>
    </row>
    <row r="283" customFormat="false" ht="15" hidden="false" customHeight="false" outlineLevel="0" collapsed="false">
      <c r="A283" s="3" t="n">
        <v>282</v>
      </c>
      <c r="B283" s="3" t="n">
        <v>281</v>
      </c>
      <c r="C283" s="3" t="n">
        <v>0</v>
      </c>
      <c r="D283" s="3" t="n">
        <v>10</v>
      </c>
      <c r="E283" s="3" t="n">
        <v>1</v>
      </c>
      <c r="F283" s="24" t="n">
        <v>-0.0259179175</v>
      </c>
    </row>
    <row r="284" customFormat="false" ht="15" hidden="false" customHeight="false" outlineLevel="0" collapsed="false">
      <c r="A284" s="3" t="n">
        <v>283</v>
      </c>
      <c r="B284" s="3" t="n">
        <v>282</v>
      </c>
      <c r="C284" s="3" t="n">
        <v>0</v>
      </c>
      <c r="D284" s="3" t="n">
        <v>10</v>
      </c>
      <c r="E284" s="3" t="n">
        <v>2</v>
      </c>
      <c r="F284" s="24" t="n">
        <v>-0.0259179175</v>
      </c>
    </row>
    <row r="285" customFormat="false" ht="15" hidden="false" customHeight="false" outlineLevel="0" collapsed="false">
      <c r="A285" s="3" t="n">
        <v>284</v>
      </c>
      <c r="B285" s="3" t="n">
        <v>283</v>
      </c>
      <c r="C285" s="3" t="n">
        <v>0</v>
      </c>
      <c r="D285" s="3" t="n">
        <v>10</v>
      </c>
      <c r="E285" s="3" t="n">
        <v>3</v>
      </c>
      <c r="F285" s="24" t="n">
        <v>-0.0259179175</v>
      </c>
    </row>
    <row r="286" customFormat="false" ht="15" hidden="false" customHeight="false" outlineLevel="0" collapsed="false">
      <c r="A286" s="3" t="n">
        <v>285</v>
      </c>
      <c r="B286" s="3" t="n">
        <v>284</v>
      </c>
      <c r="C286" s="3" t="n">
        <v>0</v>
      </c>
      <c r="D286" s="3" t="n">
        <v>10</v>
      </c>
      <c r="E286" s="3" t="n">
        <v>4</v>
      </c>
      <c r="F286" s="24" t="n">
        <v>-0.0259179175</v>
      </c>
    </row>
    <row r="287" customFormat="false" ht="15" hidden="false" customHeight="false" outlineLevel="0" collapsed="false">
      <c r="A287" s="3" t="n">
        <v>286</v>
      </c>
      <c r="B287" s="3" t="n">
        <v>285</v>
      </c>
      <c r="C287" s="3" t="n">
        <v>0</v>
      </c>
      <c r="D287" s="3" t="n">
        <v>10</v>
      </c>
      <c r="E287" s="3" t="n">
        <v>5</v>
      </c>
      <c r="F287" s="24" t="n">
        <v>-0.3334167</v>
      </c>
    </row>
    <row r="288" customFormat="false" ht="15" hidden="false" customHeight="false" outlineLevel="0" collapsed="false">
      <c r="A288" s="3" t="n">
        <v>287</v>
      </c>
      <c r="B288" s="3" t="n">
        <v>286</v>
      </c>
      <c r="C288" s="3" t="n">
        <v>0</v>
      </c>
      <c r="D288" s="3" t="n">
        <v>10</v>
      </c>
      <c r="E288" s="3" t="n">
        <v>6</v>
      </c>
      <c r="F288" s="24" t="n">
        <v>-0.344673157</v>
      </c>
    </row>
    <row r="289" customFormat="false" ht="15" hidden="false" customHeight="false" outlineLevel="0" collapsed="false">
      <c r="A289" s="3" t="n">
        <v>288</v>
      </c>
      <c r="B289" s="3" t="n">
        <v>287</v>
      </c>
      <c r="C289" s="3" t="n">
        <v>0</v>
      </c>
      <c r="D289" s="3" t="n">
        <v>10</v>
      </c>
      <c r="E289" s="3" t="n">
        <v>7</v>
      </c>
      <c r="F289" s="24" t="n">
        <v>0.263664544</v>
      </c>
    </row>
    <row r="290" customFormat="false" ht="15" hidden="false" customHeight="false" outlineLevel="0" collapsed="false">
      <c r="A290" s="3" t="n">
        <v>289</v>
      </c>
      <c r="B290" s="3" t="n">
        <v>288</v>
      </c>
      <c r="C290" s="3" t="n">
        <v>0</v>
      </c>
      <c r="D290" s="3" t="n">
        <v>10</v>
      </c>
      <c r="E290" s="3" t="n">
        <v>8</v>
      </c>
      <c r="F290" s="24" t="n">
        <v>0.133655936</v>
      </c>
    </row>
    <row r="291" customFormat="false" ht="15" hidden="false" customHeight="false" outlineLevel="0" collapsed="false">
      <c r="A291" s="3" t="n">
        <v>290</v>
      </c>
      <c r="B291" s="3" t="n">
        <v>289</v>
      </c>
      <c r="C291" s="3" t="n">
        <v>0</v>
      </c>
      <c r="D291" s="3" t="n">
        <v>10</v>
      </c>
      <c r="E291" s="3" t="n">
        <v>9</v>
      </c>
      <c r="F291" s="24" t="n">
        <v>-0.133672893</v>
      </c>
    </row>
    <row r="292" customFormat="false" ht="15" hidden="false" customHeight="false" outlineLevel="0" collapsed="false">
      <c r="A292" s="3" t="n">
        <v>291</v>
      </c>
      <c r="B292" s="3" t="n">
        <v>290</v>
      </c>
      <c r="C292" s="3" t="n">
        <v>0</v>
      </c>
      <c r="D292" s="3" t="n">
        <v>10</v>
      </c>
      <c r="E292" s="3" t="n">
        <v>10</v>
      </c>
      <c r="F292" s="24" t="n">
        <v>-0.0289931297</v>
      </c>
    </row>
    <row r="293" customFormat="false" ht="15" hidden="false" customHeight="false" outlineLevel="0" collapsed="false">
      <c r="A293" s="3" t="n">
        <v>292</v>
      </c>
      <c r="B293" s="3" t="n">
        <v>291</v>
      </c>
      <c r="C293" s="3" t="n">
        <v>0</v>
      </c>
      <c r="D293" s="3" t="n">
        <v>10</v>
      </c>
      <c r="E293" s="3" t="n">
        <v>11</v>
      </c>
      <c r="F293" s="24" t="n">
        <v>0.515933037</v>
      </c>
    </row>
    <row r="294" customFormat="false" ht="15" hidden="false" customHeight="false" outlineLevel="0" collapsed="false">
      <c r="A294" s="3" t="n">
        <v>293</v>
      </c>
      <c r="B294" s="3" t="n">
        <v>292</v>
      </c>
      <c r="C294" s="3" t="n">
        <v>0</v>
      </c>
      <c r="D294" s="3" t="n">
        <v>10</v>
      </c>
      <c r="E294" s="3" t="n">
        <v>12</v>
      </c>
      <c r="F294" s="24" t="n">
        <v>0.964213669</v>
      </c>
    </row>
    <row r="295" customFormat="false" ht="15" hidden="false" customHeight="false" outlineLevel="0" collapsed="false">
      <c r="A295" s="3" t="n">
        <v>294</v>
      </c>
      <c r="B295" s="3" t="n">
        <v>293</v>
      </c>
      <c r="C295" s="3" t="n">
        <v>0</v>
      </c>
      <c r="D295" s="3" t="n">
        <v>10</v>
      </c>
      <c r="E295" s="3" t="n">
        <v>13</v>
      </c>
      <c r="F295" s="24" t="n">
        <v>1.1526258</v>
      </c>
    </row>
    <row r="296" customFormat="false" ht="15" hidden="false" customHeight="false" outlineLevel="0" collapsed="false">
      <c r="A296" s="3" t="n">
        <v>295</v>
      </c>
      <c r="B296" s="3" t="n">
        <v>294</v>
      </c>
      <c r="C296" s="3" t="n">
        <v>0</v>
      </c>
      <c r="D296" s="3" t="n">
        <v>10</v>
      </c>
      <c r="E296" s="3" t="n">
        <v>14</v>
      </c>
      <c r="F296" s="24" t="n">
        <v>1.05731988</v>
      </c>
    </row>
    <row r="297" customFormat="false" ht="15" hidden="false" customHeight="false" outlineLevel="0" collapsed="false">
      <c r="A297" s="3" t="n">
        <v>296</v>
      </c>
      <c r="B297" s="3" t="n">
        <v>295</v>
      </c>
      <c r="C297" s="3" t="n">
        <v>0</v>
      </c>
      <c r="D297" s="3" t="n">
        <v>10</v>
      </c>
      <c r="E297" s="3" t="n">
        <v>15</v>
      </c>
      <c r="F297" s="24" t="n">
        <v>1.39769554</v>
      </c>
    </row>
    <row r="298" customFormat="false" ht="15" hidden="false" customHeight="false" outlineLevel="0" collapsed="false">
      <c r="A298" s="3" t="n">
        <v>297</v>
      </c>
      <c r="B298" s="3" t="n">
        <v>296</v>
      </c>
      <c r="C298" s="3" t="n">
        <v>0</v>
      </c>
      <c r="D298" s="3" t="n">
        <v>10</v>
      </c>
      <c r="E298" s="3" t="n">
        <v>16</v>
      </c>
      <c r="F298" s="24" t="n">
        <v>1.37921596</v>
      </c>
    </row>
    <row r="299" customFormat="false" ht="15" hidden="false" customHeight="false" outlineLevel="0" collapsed="false">
      <c r="A299" s="3" t="n">
        <v>298</v>
      </c>
      <c r="B299" s="3" t="n">
        <v>297</v>
      </c>
      <c r="C299" s="3" t="n">
        <v>0</v>
      </c>
      <c r="D299" s="3" t="n">
        <v>10</v>
      </c>
      <c r="E299" s="3" t="n">
        <v>17</v>
      </c>
      <c r="F299" s="24" t="n">
        <v>1.49640918</v>
      </c>
    </row>
    <row r="300" customFormat="false" ht="15" hidden="false" customHeight="false" outlineLevel="0" collapsed="false">
      <c r="A300" s="3" t="n">
        <v>299</v>
      </c>
      <c r="B300" s="3" t="n">
        <v>298</v>
      </c>
      <c r="C300" s="3" t="n">
        <v>0</v>
      </c>
      <c r="D300" s="3" t="n">
        <v>10</v>
      </c>
      <c r="E300" s="3" t="n">
        <v>18</v>
      </c>
      <c r="F300" s="24" t="n">
        <v>2.64769554</v>
      </c>
    </row>
    <row r="301" customFormat="false" ht="15" hidden="false" customHeight="false" outlineLevel="0" collapsed="false">
      <c r="A301" s="3" t="n">
        <v>300</v>
      </c>
      <c r="B301" s="3" t="n">
        <v>299</v>
      </c>
      <c r="C301" s="3" t="n">
        <v>0</v>
      </c>
      <c r="D301" s="3" t="n">
        <v>10</v>
      </c>
      <c r="E301" s="3" t="n">
        <v>19</v>
      </c>
      <c r="F301" s="24" t="n">
        <v>2.73892808</v>
      </c>
    </row>
    <row r="302" customFormat="false" ht="15" hidden="false" customHeight="false" outlineLevel="0" collapsed="false">
      <c r="A302" s="3" t="n">
        <v>301</v>
      </c>
      <c r="B302" s="3" t="n">
        <v>300</v>
      </c>
      <c r="C302" s="3" t="n">
        <v>0</v>
      </c>
      <c r="D302" s="3" t="n">
        <v>10</v>
      </c>
      <c r="E302" s="3" t="n">
        <v>20</v>
      </c>
      <c r="F302" s="24" t="n">
        <v>2.32933021</v>
      </c>
    </row>
    <row r="303" customFormat="false" ht="15" hidden="false" customHeight="false" outlineLevel="0" collapsed="false">
      <c r="A303" s="3" t="n">
        <v>302</v>
      </c>
      <c r="B303" s="3" t="n">
        <v>301</v>
      </c>
      <c r="C303" s="3" t="n">
        <v>0</v>
      </c>
      <c r="D303" s="3" t="n">
        <v>10</v>
      </c>
      <c r="E303" s="3" t="n">
        <v>21</v>
      </c>
      <c r="F303" s="24" t="n">
        <v>1.87317824</v>
      </c>
    </row>
    <row r="304" customFormat="false" ht="15" hidden="false" customHeight="false" outlineLevel="0" collapsed="false">
      <c r="A304" s="3" t="n">
        <v>303</v>
      </c>
      <c r="B304" s="3" t="n">
        <v>302</v>
      </c>
      <c r="C304" s="3" t="n">
        <v>0</v>
      </c>
      <c r="D304" s="3" t="n">
        <v>10</v>
      </c>
      <c r="E304" s="3" t="n">
        <v>22</v>
      </c>
      <c r="F304" s="24" t="n">
        <v>0.907224715</v>
      </c>
    </row>
    <row r="305" customFormat="false" ht="15" hidden="false" customHeight="false" outlineLevel="0" collapsed="false">
      <c r="A305" s="3" t="n">
        <v>304</v>
      </c>
      <c r="B305" s="3" t="n">
        <v>303</v>
      </c>
      <c r="C305" s="3" t="n">
        <v>0</v>
      </c>
      <c r="D305" s="3" t="n">
        <v>10</v>
      </c>
      <c r="E305" s="3" t="n">
        <v>23</v>
      </c>
      <c r="F305" s="24" t="n">
        <v>-0.0259179175</v>
      </c>
    </row>
    <row r="306" customFormat="false" ht="15" hidden="false" customHeight="false" outlineLevel="0" collapsed="false">
      <c r="A306" s="3" t="n">
        <v>305</v>
      </c>
      <c r="B306" s="3" t="n">
        <v>304</v>
      </c>
      <c r="C306" s="3" t="n">
        <v>0</v>
      </c>
      <c r="D306" s="3" t="n">
        <v>10</v>
      </c>
      <c r="E306" s="3" t="n">
        <v>24</v>
      </c>
      <c r="F306" s="24" t="n">
        <v>-0.0259179175</v>
      </c>
    </row>
    <row r="307" customFormat="false" ht="15" hidden="false" customHeight="false" outlineLevel="0" collapsed="false">
      <c r="A307" s="3" t="n">
        <v>306</v>
      </c>
      <c r="B307" s="3" t="n">
        <v>305</v>
      </c>
      <c r="C307" s="3" t="n">
        <v>0</v>
      </c>
      <c r="D307" s="3" t="n">
        <v>10</v>
      </c>
      <c r="E307" s="3" t="n">
        <v>25</v>
      </c>
      <c r="F307" s="24" t="n">
        <v>-0.0259179175</v>
      </c>
    </row>
    <row r="308" customFormat="false" ht="15" hidden="false" customHeight="false" outlineLevel="0" collapsed="false">
      <c r="A308" s="3" t="n">
        <v>307</v>
      </c>
      <c r="B308" s="3" t="n">
        <v>306</v>
      </c>
      <c r="C308" s="3" t="n">
        <v>0</v>
      </c>
      <c r="D308" s="3" t="n">
        <v>10</v>
      </c>
      <c r="E308" s="3" t="n">
        <v>26</v>
      </c>
      <c r="F308" s="24" t="n">
        <v>-0.0259179175</v>
      </c>
    </row>
    <row r="309" customFormat="false" ht="15" hidden="false" customHeight="false" outlineLevel="0" collapsed="false">
      <c r="A309" s="3" t="n">
        <v>308</v>
      </c>
      <c r="B309" s="3" t="n">
        <v>307</v>
      </c>
      <c r="C309" s="3" t="n">
        <v>0</v>
      </c>
      <c r="D309" s="3" t="n">
        <v>10</v>
      </c>
      <c r="E309" s="3" t="n">
        <v>27</v>
      </c>
      <c r="F309" s="24" t="n">
        <v>0.0673455298</v>
      </c>
    </row>
    <row r="310" customFormat="false" ht="15" hidden="false" customHeight="false" outlineLevel="0" collapsed="false">
      <c r="A310" s="3" t="n">
        <v>309</v>
      </c>
      <c r="B310" s="3" t="n">
        <v>308</v>
      </c>
      <c r="C310" s="3" t="n">
        <v>0</v>
      </c>
      <c r="D310" s="3" t="n">
        <v>11</v>
      </c>
      <c r="E310" s="3" t="n">
        <v>0</v>
      </c>
      <c r="F310" s="24" t="n">
        <v>0.10001415</v>
      </c>
    </row>
    <row r="311" customFormat="false" ht="15" hidden="false" customHeight="false" outlineLevel="0" collapsed="false">
      <c r="A311" s="3" t="n">
        <v>310</v>
      </c>
      <c r="B311" s="3" t="n">
        <v>309</v>
      </c>
      <c r="C311" s="3" t="n">
        <v>0</v>
      </c>
      <c r="D311" s="3" t="n">
        <v>11</v>
      </c>
      <c r="E311" s="3" t="n">
        <v>1</v>
      </c>
      <c r="F311" s="24" t="n">
        <v>-0.0259179175</v>
      </c>
    </row>
    <row r="312" customFormat="false" ht="15" hidden="false" customHeight="false" outlineLevel="0" collapsed="false">
      <c r="A312" s="3" t="n">
        <v>311</v>
      </c>
      <c r="B312" s="3" t="n">
        <v>310</v>
      </c>
      <c r="C312" s="3" t="n">
        <v>0</v>
      </c>
      <c r="D312" s="3" t="n">
        <v>11</v>
      </c>
      <c r="E312" s="3" t="n">
        <v>2</v>
      </c>
      <c r="F312" s="24" t="n">
        <v>-0.0259179175</v>
      </c>
    </row>
    <row r="313" customFormat="false" ht="15" hidden="false" customHeight="false" outlineLevel="0" collapsed="false">
      <c r="A313" s="3" t="n">
        <v>312</v>
      </c>
      <c r="B313" s="3" t="n">
        <v>311</v>
      </c>
      <c r="C313" s="3" t="n">
        <v>0</v>
      </c>
      <c r="D313" s="3" t="n">
        <v>11</v>
      </c>
      <c r="E313" s="3" t="n">
        <v>3</v>
      </c>
      <c r="F313" s="24" t="n">
        <v>-0.0259179175</v>
      </c>
    </row>
    <row r="314" customFormat="false" ht="15" hidden="false" customHeight="false" outlineLevel="0" collapsed="false">
      <c r="A314" s="3" t="n">
        <v>313</v>
      </c>
      <c r="B314" s="3" t="n">
        <v>312</v>
      </c>
      <c r="C314" s="3" t="n">
        <v>0</v>
      </c>
      <c r="D314" s="3" t="n">
        <v>11</v>
      </c>
      <c r="E314" s="3" t="n">
        <v>4</v>
      </c>
      <c r="F314" s="24" t="n">
        <v>-0.0259179175</v>
      </c>
    </row>
    <row r="315" customFormat="false" ht="15" hidden="false" customHeight="false" outlineLevel="0" collapsed="false">
      <c r="A315" s="3" t="n">
        <v>314</v>
      </c>
      <c r="B315" s="3" t="n">
        <v>313</v>
      </c>
      <c r="C315" s="3" t="n">
        <v>0</v>
      </c>
      <c r="D315" s="3" t="n">
        <v>11</v>
      </c>
      <c r="E315" s="3" t="n">
        <v>5</v>
      </c>
      <c r="F315" s="24" t="n">
        <v>-0.0259179175</v>
      </c>
    </row>
    <row r="316" customFormat="false" ht="15" hidden="false" customHeight="false" outlineLevel="0" collapsed="false">
      <c r="A316" s="3" t="n">
        <v>315</v>
      </c>
      <c r="B316" s="3" t="n">
        <v>314</v>
      </c>
      <c r="C316" s="3" t="n">
        <v>0</v>
      </c>
      <c r="D316" s="3" t="n">
        <v>11</v>
      </c>
      <c r="E316" s="3" t="n">
        <v>6</v>
      </c>
      <c r="F316" s="24" t="n">
        <v>-0.0259179175</v>
      </c>
    </row>
    <row r="317" customFormat="false" ht="15" hidden="false" customHeight="false" outlineLevel="0" collapsed="false">
      <c r="A317" s="3" t="n">
        <v>316</v>
      </c>
      <c r="B317" s="3" t="n">
        <v>315</v>
      </c>
      <c r="C317" s="3" t="n">
        <v>0</v>
      </c>
      <c r="D317" s="3" t="n">
        <v>11</v>
      </c>
      <c r="E317" s="3" t="n">
        <v>7</v>
      </c>
      <c r="F317" s="24" t="n">
        <v>-0.0259179175</v>
      </c>
    </row>
    <row r="318" customFormat="false" ht="15" hidden="false" customHeight="false" outlineLevel="0" collapsed="false">
      <c r="A318" s="3" t="n">
        <v>317</v>
      </c>
      <c r="B318" s="3" t="n">
        <v>316</v>
      </c>
      <c r="C318" s="3" t="n">
        <v>0</v>
      </c>
      <c r="D318" s="3" t="n">
        <v>11</v>
      </c>
      <c r="E318" s="3" t="n">
        <v>8</v>
      </c>
      <c r="F318" s="24" t="n">
        <v>-0.0259179175</v>
      </c>
    </row>
    <row r="319" customFormat="false" ht="15" hidden="false" customHeight="false" outlineLevel="0" collapsed="false">
      <c r="A319" s="3" t="n">
        <v>318</v>
      </c>
      <c r="B319" s="3" t="n">
        <v>317</v>
      </c>
      <c r="C319" s="3" t="n">
        <v>0</v>
      </c>
      <c r="D319" s="3" t="n">
        <v>11</v>
      </c>
      <c r="E319" s="3" t="n">
        <v>9</v>
      </c>
      <c r="F319" s="24" t="n">
        <v>-0.0259179175</v>
      </c>
    </row>
    <row r="320" customFormat="false" ht="15" hidden="false" customHeight="false" outlineLevel="0" collapsed="false">
      <c r="A320" s="3" t="n">
        <v>319</v>
      </c>
      <c r="B320" s="3" t="n">
        <v>318</v>
      </c>
      <c r="C320" s="3" t="n">
        <v>0</v>
      </c>
      <c r="D320" s="3" t="n">
        <v>11</v>
      </c>
      <c r="E320" s="3" t="n">
        <v>10</v>
      </c>
      <c r="F320" s="24" t="n">
        <v>-0.10394001</v>
      </c>
    </row>
    <row r="321" customFormat="false" ht="15" hidden="false" customHeight="false" outlineLevel="0" collapsed="false">
      <c r="A321" s="3" t="n">
        <v>320</v>
      </c>
      <c r="B321" s="3" t="n">
        <v>319</v>
      </c>
      <c r="C321" s="3" t="n">
        <v>0</v>
      </c>
      <c r="D321" s="3" t="n">
        <v>11</v>
      </c>
      <c r="E321" s="3" t="n">
        <v>11</v>
      </c>
      <c r="F321" s="24" t="n">
        <v>-0.276951432</v>
      </c>
    </row>
    <row r="322" customFormat="false" ht="15" hidden="false" customHeight="false" outlineLevel="0" collapsed="false">
      <c r="A322" s="3" t="n">
        <v>321</v>
      </c>
      <c r="B322" s="3" t="n">
        <v>320</v>
      </c>
      <c r="C322" s="3" t="n">
        <v>0</v>
      </c>
      <c r="D322" s="3" t="n">
        <v>11</v>
      </c>
      <c r="E322" s="3" t="n">
        <v>12</v>
      </c>
      <c r="F322" s="24" t="n">
        <v>0.180283189</v>
      </c>
    </row>
    <row r="323" customFormat="false" ht="15" hidden="false" customHeight="false" outlineLevel="0" collapsed="false">
      <c r="A323" s="3" t="n">
        <v>322</v>
      </c>
      <c r="B323" s="3" t="n">
        <v>321</v>
      </c>
      <c r="C323" s="3" t="n">
        <v>0</v>
      </c>
      <c r="D323" s="3" t="n">
        <v>11</v>
      </c>
      <c r="E323" s="3" t="n">
        <v>13</v>
      </c>
      <c r="F323" s="24" t="n">
        <v>-0.0226013958</v>
      </c>
    </row>
    <row r="324" customFormat="false" ht="15" hidden="false" customHeight="false" outlineLevel="0" collapsed="false">
      <c r="A324" s="3" t="n">
        <v>323</v>
      </c>
      <c r="B324" s="3" t="n">
        <v>322</v>
      </c>
      <c r="C324" s="3" t="n">
        <v>0</v>
      </c>
      <c r="D324" s="3" t="n">
        <v>11</v>
      </c>
      <c r="E324" s="3" t="n">
        <v>14</v>
      </c>
      <c r="F324" s="24" t="n">
        <v>-0.0720966756</v>
      </c>
    </row>
    <row r="325" customFormat="false" ht="15" hidden="false" customHeight="false" outlineLevel="0" collapsed="false">
      <c r="A325" s="3" t="n">
        <v>324</v>
      </c>
      <c r="B325" s="3" t="n">
        <v>323</v>
      </c>
      <c r="C325" s="3" t="n">
        <v>0</v>
      </c>
      <c r="D325" s="3" t="n">
        <v>11</v>
      </c>
      <c r="E325" s="3" t="n">
        <v>15</v>
      </c>
      <c r="F325" s="24" t="n">
        <v>0.14319095</v>
      </c>
    </row>
    <row r="326" customFormat="false" ht="15" hidden="false" customHeight="false" outlineLevel="0" collapsed="false">
      <c r="A326" s="3" t="n">
        <v>325</v>
      </c>
      <c r="B326" s="3" t="n">
        <v>324</v>
      </c>
      <c r="C326" s="3" t="n">
        <v>0</v>
      </c>
      <c r="D326" s="3" t="n">
        <v>11</v>
      </c>
      <c r="E326" s="3" t="n">
        <v>16</v>
      </c>
      <c r="F326" s="24" t="n">
        <v>0.241135851</v>
      </c>
    </row>
    <row r="327" customFormat="false" ht="15" hidden="false" customHeight="false" outlineLevel="0" collapsed="false">
      <c r="A327" s="3" t="n">
        <v>326</v>
      </c>
      <c r="B327" s="3" t="n">
        <v>325</v>
      </c>
      <c r="C327" s="3" t="n">
        <v>0</v>
      </c>
      <c r="D327" s="3" t="n">
        <v>11</v>
      </c>
      <c r="E327" s="3" t="n">
        <v>17</v>
      </c>
      <c r="F327" s="24" t="n">
        <v>1.36746264</v>
      </c>
    </row>
    <row r="328" customFormat="false" ht="15" hidden="false" customHeight="false" outlineLevel="0" collapsed="false">
      <c r="A328" s="3" t="n">
        <v>327</v>
      </c>
      <c r="B328" s="3" t="n">
        <v>326</v>
      </c>
      <c r="C328" s="3" t="n">
        <v>0</v>
      </c>
      <c r="D328" s="3" t="n">
        <v>11</v>
      </c>
      <c r="E328" s="3" t="n">
        <v>18</v>
      </c>
      <c r="F328" s="24" t="n">
        <v>1.28252983</v>
      </c>
    </row>
    <row r="329" customFormat="false" ht="15" hidden="false" customHeight="false" outlineLevel="0" collapsed="false">
      <c r="A329" s="3" t="n">
        <v>328</v>
      </c>
      <c r="B329" s="3" t="n">
        <v>327</v>
      </c>
      <c r="C329" s="3" t="n">
        <v>0</v>
      </c>
      <c r="D329" s="3" t="n">
        <v>11</v>
      </c>
      <c r="E329" s="3" t="n">
        <v>19</v>
      </c>
      <c r="F329" s="24" t="n">
        <v>0.918626487</v>
      </c>
    </row>
    <row r="330" customFormat="false" ht="15" hidden="false" customHeight="false" outlineLevel="0" collapsed="false">
      <c r="A330" s="3" t="n">
        <v>329</v>
      </c>
      <c r="B330" s="3" t="n">
        <v>328</v>
      </c>
      <c r="C330" s="3" t="n">
        <v>0</v>
      </c>
      <c r="D330" s="3" t="n">
        <v>11</v>
      </c>
      <c r="E330" s="3" t="n">
        <v>20</v>
      </c>
      <c r="F330" s="24" t="n">
        <v>1.85044098</v>
      </c>
    </row>
    <row r="331" customFormat="false" ht="15" hidden="false" customHeight="false" outlineLevel="0" collapsed="false">
      <c r="A331" s="3" t="n">
        <v>330</v>
      </c>
      <c r="B331" s="3" t="n">
        <v>329</v>
      </c>
      <c r="C331" s="3" t="n">
        <v>0</v>
      </c>
      <c r="D331" s="3" t="n">
        <v>11</v>
      </c>
      <c r="E331" s="3" t="n">
        <v>21</v>
      </c>
      <c r="F331" s="24" t="n">
        <v>1.88666177</v>
      </c>
    </row>
    <row r="332" customFormat="false" ht="15" hidden="false" customHeight="false" outlineLevel="0" collapsed="false">
      <c r="A332" s="3" t="n">
        <v>331</v>
      </c>
      <c r="B332" s="3" t="n">
        <v>330</v>
      </c>
      <c r="C332" s="3" t="n">
        <v>0</v>
      </c>
      <c r="D332" s="3" t="n">
        <v>11</v>
      </c>
      <c r="E332" s="3" t="n">
        <v>22</v>
      </c>
      <c r="F332" s="24" t="n">
        <v>0.480249465</v>
      </c>
    </row>
    <row r="333" customFormat="false" ht="15" hidden="false" customHeight="false" outlineLevel="0" collapsed="false">
      <c r="A333" s="3" t="n">
        <v>332</v>
      </c>
      <c r="B333" s="3" t="n">
        <v>331</v>
      </c>
      <c r="C333" s="3" t="n">
        <v>0</v>
      </c>
      <c r="D333" s="3" t="n">
        <v>11</v>
      </c>
      <c r="E333" s="3" t="n">
        <v>23</v>
      </c>
      <c r="F333" s="24" t="n">
        <v>-0.0259179175</v>
      </c>
    </row>
    <row r="334" customFormat="false" ht="15" hidden="false" customHeight="false" outlineLevel="0" collapsed="false">
      <c r="A334" s="3" t="n">
        <v>333</v>
      </c>
      <c r="B334" s="3" t="n">
        <v>332</v>
      </c>
      <c r="C334" s="3" t="n">
        <v>0</v>
      </c>
      <c r="D334" s="3" t="n">
        <v>11</v>
      </c>
      <c r="E334" s="3" t="n">
        <v>24</v>
      </c>
      <c r="F334" s="24" t="n">
        <v>-0.0259179175</v>
      </c>
    </row>
    <row r="335" customFormat="false" ht="15" hidden="false" customHeight="false" outlineLevel="0" collapsed="false">
      <c r="A335" s="3" t="n">
        <v>334</v>
      </c>
      <c r="B335" s="3" t="n">
        <v>333</v>
      </c>
      <c r="C335" s="3" t="n">
        <v>0</v>
      </c>
      <c r="D335" s="3" t="n">
        <v>11</v>
      </c>
      <c r="E335" s="3" t="n">
        <v>25</v>
      </c>
      <c r="F335" s="24" t="n">
        <v>-0.0259179175</v>
      </c>
    </row>
    <row r="336" customFormat="false" ht="15" hidden="false" customHeight="false" outlineLevel="0" collapsed="false">
      <c r="A336" s="3" t="n">
        <v>335</v>
      </c>
      <c r="B336" s="3" t="n">
        <v>334</v>
      </c>
      <c r="C336" s="3" t="n">
        <v>0</v>
      </c>
      <c r="D336" s="3" t="n">
        <v>11</v>
      </c>
      <c r="E336" s="3" t="n">
        <v>26</v>
      </c>
      <c r="F336" s="24" t="n">
        <v>-0.0259179175</v>
      </c>
    </row>
    <row r="337" customFormat="false" ht="15" hidden="false" customHeight="false" outlineLevel="0" collapsed="false">
      <c r="A337" s="3" t="n">
        <v>336</v>
      </c>
      <c r="B337" s="3" t="n">
        <v>335</v>
      </c>
      <c r="C337" s="3" t="n">
        <v>0</v>
      </c>
      <c r="D337" s="3" t="n">
        <v>11</v>
      </c>
      <c r="E337" s="3" t="n">
        <v>27</v>
      </c>
      <c r="F337" s="24" t="n">
        <v>0.0673455298</v>
      </c>
    </row>
    <row r="338" customFormat="false" ht="15" hidden="false" customHeight="false" outlineLevel="0" collapsed="false">
      <c r="A338" s="3" t="n">
        <v>337</v>
      </c>
      <c r="B338" s="3" t="n">
        <v>336</v>
      </c>
      <c r="C338" s="3" t="n">
        <v>0</v>
      </c>
      <c r="D338" s="3" t="n">
        <v>12</v>
      </c>
      <c r="E338" s="3" t="n">
        <v>0</v>
      </c>
      <c r="F338" s="24" t="n">
        <v>0.10001415</v>
      </c>
    </row>
    <row r="339" customFormat="false" ht="15" hidden="false" customHeight="false" outlineLevel="0" collapsed="false">
      <c r="A339" s="3" t="n">
        <v>338</v>
      </c>
      <c r="B339" s="3" t="n">
        <v>337</v>
      </c>
      <c r="C339" s="3" t="n">
        <v>0</v>
      </c>
      <c r="D339" s="3" t="n">
        <v>12</v>
      </c>
      <c r="E339" s="3" t="n">
        <v>1</v>
      </c>
      <c r="F339" s="24" t="n">
        <v>-0.0259179175</v>
      </c>
    </row>
    <row r="340" customFormat="false" ht="15" hidden="false" customHeight="false" outlineLevel="0" collapsed="false">
      <c r="A340" s="3" t="n">
        <v>339</v>
      </c>
      <c r="B340" s="3" t="n">
        <v>338</v>
      </c>
      <c r="C340" s="3" t="n">
        <v>0</v>
      </c>
      <c r="D340" s="3" t="n">
        <v>12</v>
      </c>
      <c r="E340" s="3" t="n">
        <v>2</v>
      </c>
      <c r="F340" s="24" t="n">
        <v>-0.0259179175</v>
      </c>
    </row>
    <row r="341" customFormat="false" ht="15" hidden="false" customHeight="false" outlineLevel="0" collapsed="false">
      <c r="A341" s="3" t="n">
        <v>340</v>
      </c>
      <c r="B341" s="3" t="n">
        <v>339</v>
      </c>
      <c r="C341" s="3" t="n">
        <v>0</v>
      </c>
      <c r="D341" s="3" t="n">
        <v>12</v>
      </c>
      <c r="E341" s="3" t="n">
        <v>3</v>
      </c>
      <c r="F341" s="24" t="n">
        <v>-0.0259179175</v>
      </c>
    </row>
    <row r="342" customFormat="false" ht="15" hidden="false" customHeight="false" outlineLevel="0" collapsed="false">
      <c r="A342" s="3" t="n">
        <v>341</v>
      </c>
      <c r="B342" s="3" t="n">
        <v>340</v>
      </c>
      <c r="C342" s="3" t="n">
        <v>0</v>
      </c>
      <c r="D342" s="3" t="n">
        <v>12</v>
      </c>
      <c r="E342" s="3" t="n">
        <v>4</v>
      </c>
      <c r="F342" s="24" t="n">
        <v>-0.0259179175</v>
      </c>
    </row>
    <row r="343" customFormat="false" ht="15" hidden="false" customHeight="false" outlineLevel="0" collapsed="false">
      <c r="A343" s="3" t="n">
        <v>342</v>
      </c>
      <c r="B343" s="3" t="n">
        <v>341</v>
      </c>
      <c r="C343" s="3" t="n">
        <v>0</v>
      </c>
      <c r="D343" s="3" t="n">
        <v>12</v>
      </c>
      <c r="E343" s="3" t="n">
        <v>5</v>
      </c>
      <c r="F343" s="24" t="n">
        <v>-0.0259179175</v>
      </c>
    </row>
    <row r="344" customFormat="false" ht="15" hidden="false" customHeight="false" outlineLevel="0" collapsed="false">
      <c r="A344" s="3" t="n">
        <v>343</v>
      </c>
      <c r="B344" s="3" t="n">
        <v>342</v>
      </c>
      <c r="C344" s="3" t="n">
        <v>0</v>
      </c>
      <c r="D344" s="3" t="n">
        <v>12</v>
      </c>
      <c r="E344" s="3" t="n">
        <v>6</v>
      </c>
      <c r="F344" s="24" t="n">
        <v>-0.0259179175</v>
      </c>
    </row>
    <row r="345" customFormat="false" ht="15" hidden="false" customHeight="false" outlineLevel="0" collapsed="false">
      <c r="A345" s="3" t="n">
        <v>344</v>
      </c>
      <c r="B345" s="3" t="n">
        <v>343</v>
      </c>
      <c r="C345" s="3" t="n">
        <v>0</v>
      </c>
      <c r="D345" s="3" t="n">
        <v>12</v>
      </c>
      <c r="E345" s="3" t="n">
        <v>7</v>
      </c>
      <c r="F345" s="24" t="n">
        <v>-0.0259179175</v>
      </c>
    </row>
    <row r="346" customFormat="false" ht="15" hidden="false" customHeight="false" outlineLevel="0" collapsed="false">
      <c r="A346" s="3" t="n">
        <v>345</v>
      </c>
      <c r="B346" s="3" t="n">
        <v>344</v>
      </c>
      <c r="C346" s="3" t="n">
        <v>0</v>
      </c>
      <c r="D346" s="3" t="n">
        <v>12</v>
      </c>
      <c r="E346" s="3" t="n">
        <v>8</v>
      </c>
      <c r="F346" s="24" t="n">
        <v>-0.0259179175</v>
      </c>
    </row>
    <row r="347" customFormat="false" ht="15" hidden="false" customHeight="false" outlineLevel="0" collapsed="false">
      <c r="A347" s="3" t="n">
        <v>346</v>
      </c>
      <c r="B347" s="3" t="n">
        <v>345</v>
      </c>
      <c r="C347" s="3" t="n">
        <v>0</v>
      </c>
      <c r="D347" s="3" t="n">
        <v>12</v>
      </c>
      <c r="E347" s="3" t="n">
        <v>9</v>
      </c>
      <c r="F347" s="24" t="n">
        <v>-0.0259179175</v>
      </c>
    </row>
    <row r="348" customFormat="false" ht="15" hidden="false" customHeight="false" outlineLevel="0" collapsed="false">
      <c r="A348" s="3" t="n">
        <v>347</v>
      </c>
      <c r="B348" s="3" t="n">
        <v>346</v>
      </c>
      <c r="C348" s="3" t="n">
        <v>0</v>
      </c>
      <c r="D348" s="3" t="n">
        <v>12</v>
      </c>
      <c r="E348" s="3" t="n">
        <v>10</v>
      </c>
      <c r="F348" s="24" t="n">
        <v>-0.0259179175</v>
      </c>
    </row>
    <row r="349" customFormat="false" ht="15" hidden="false" customHeight="false" outlineLevel="0" collapsed="false">
      <c r="A349" s="3" t="n">
        <v>348</v>
      </c>
      <c r="B349" s="3" t="n">
        <v>347</v>
      </c>
      <c r="C349" s="3" t="n">
        <v>0</v>
      </c>
      <c r="D349" s="3" t="n">
        <v>12</v>
      </c>
      <c r="E349" s="3" t="n">
        <v>11</v>
      </c>
      <c r="F349" s="24" t="n">
        <v>-0.0259179175</v>
      </c>
    </row>
    <row r="350" customFormat="false" ht="15" hidden="false" customHeight="false" outlineLevel="0" collapsed="false">
      <c r="A350" s="3" t="n">
        <v>349</v>
      </c>
      <c r="B350" s="3" t="n">
        <v>348</v>
      </c>
      <c r="C350" s="3" t="n">
        <v>0</v>
      </c>
      <c r="D350" s="3" t="n">
        <v>12</v>
      </c>
      <c r="E350" s="3" t="n">
        <v>12</v>
      </c>
      <c r="F350" s="24" t="n">
        <v>-0.0259179175</v>
      </c>
    </row>
    <row r="351" customFormat="false" ht="15" hidden="false" customHeight="false" outlineLevel="0" collapsed="false">
      <c r="A351" s="3" t="n">
        <v>350</v>
      </c>
      <c r="B351" s="3" t="n">
        <v>349</v>
      </c>
      <c r="C351" s="3" t="n">
        <v>0</v>
      </c>
      <c r="D351" s="3" t="n">
        <v>12</v>
      </c>
      <c r="E351" s="3" t="n">
        <v>13</v>
      </c>
      <c r="F351" s="24" t="n">
        <v>-0.0259179175</v>
      </c>
    </row>
    <row r="352" customFormat="false" ht="15" hidden="false" customHeight="false" outlineLevel="0" collapsed="false">
      <c r="A352" s="3" t="n">
        <v>351</v>
      </c>
      <c r="B352" s="3" t="n">
        <v>350</v>
      </c>
      <c r="C352" s="3" t="n">
        <v>0</v>
      </c>
      <c r="D352" s="3" t="n">
        <v>12</v>
      </c>
      <c r="E352" s="3" t="n">
        <v>14</v>
      </c>
      <c r="F352" s="24" t="n">
        <v>-0.0259179175</v>
      </c>
    </row>
    <row r="353" customFormat="false" ht="15" hidden="false" customHeight="false" outlineLevel="0" collapsed="false">
      <c r="A353" s="3" t="n">
        <v>352</v>
      </c>
      <c r="B353" s="3" t="n">
        <v>351</v>
      </c>
      <c r="C353" s="3" t="n">
        <v>0</v>
      </c>
      <c r="D353" s="3" t="n">
        <v>12</v>
      </c>
      <c r="E353" s="3" t="n">
        <v>15</v>
      </c>
      <c r="F353" s="24" t="n">
        <v>-0.0259179175</v>
      </c>
    </row>
    <row r="354" customFormat="false" ht="15" hidden="false" customHeight="false" outlineLevel="0" collapsed="false">
      <c r="A354" s="3" t="n">
        <v>353</v>
      </c>
      <c r="B354" s="3" t="n">
        <v>352</v>
      </c>
      <c r="C354" s="3" t="n">
        <v>0</v>
      </c>
      <c r="D354" s="3" t="n">
        <v>12</v>
      </c>
      <c r="E354" s="3" t="n">
        <v>16</v>
      </c>
      <c r="F354" s="24" t="n">
        <v>0.434408337</v>
      </c>
    </row>
    <row r="355" customFormat="false" ht="15" hidden="false" customHeight="false" outlineLevel="0" collapsed="false">
      <c r="A355" s="3" t="n">
        <v>354</v>
      </c>
      <c r="B355" s="3" t="n">
        <v>353</v>
      </c>
      <c r="C355" s="3" t="n">
        <v>0</v>
      </c>
      <c r="D355" s="3" t="n">
        <v>12</v>
      </c>
      <c r="E355" s="3" t="n">
        <v>17</v>
      </c>
      <c r="F355" s="24" t="n">
        <v>1.47671139</v>
      </c>
    </row>
    <row r="356" customFormat="false" ht="15" hidden="false" customHeight="false" outlineLevel="0" collapsed="false">
      <c r="A356" s="3" t="n">
        <v>355</v>
      </c>
      <c r="B356" s="3" t="n">
        <v>354</v>
      </c>
      <c r="C356" s="3" t="n">
        <v>0</v>
      </c>
      <c r="D356" s="3" t="n">
        <v>12</v>
      </c>
      <c r="E356" s="3" t="n">
        <v>18</v>
      </c>
      <c r="F356" s="24" t="n">
        <v>1.16648495</v>
      </c>
    </row>
    <row r="357" customFormat="false" ht="15" hidden="false" customHeight="false" outlineLevel="0" collapsed="false">
      <c r="A357" s="3" t="n">
        <v>356</v>
      </c>
      <c r="B357" s="3" t="n">
        <v>355</v>
      </c>
      <c r="C357" s="3" t="n">
        <v>0</v>
      </c>
      <c r="D357" s="3" t="n">
        <v>12</v>
      </c>
      <c r="E357" s="3" t="n">
        <v>19</v>
      </c>
      <c r="F357" s="24" t="n">
        <v>1.27634335</v>
      </c>
    </row>
    <row r="358" customFormat="false" ht="15" hidden="false" customHeight="false" outlineLevel="0" collapsed="false">
      <c r="A358" s="3" t="n">
        <v>357</v>
      </c>
      <c r="B358" s="3" t="n">
        <v>356</v>
      </c>
      <c r="C358" s="3" t="n">
        <v>0</v>
      </c>
      <c r="D358" s="3" t="n">
        <v>12</v>
      </c>
      <c r="E358" s="3" t="n">
        <v>20</v>
      </c>
      <c r="F358" s="24" t="n">
        <v>1.81328583</v>
      </c>
    </row>
    <row r="359" customFormat="false" ht="15" hidden="false" customHeight="false" outlineLevel="0" collapsed="false">
      <c r="A359" s="3" t="n">
        <v>358</v>
      </c>
      <c r="B359" s="3" t="n">
        <v>357</v>
      </c>
      <c r="C359" s="3" t="n">
        <v>0</v>
      </c>
      <c r="D359" s="3" t="n">
        <v>12</v>
      </c>
      <c r="E359" s="3" t="n">
        <v>21</v>
      </c>
      <c r="F359" s="24" t="n">
        <v>1.02928185</v>
      </c>
    </row>
    <row r="360" customFormat="false" ht="15" hidden="false" customHeight="false" outlineLevel="0" collapsed="false">
      <c r="A360" s="3" t="n">
        <v>359</v>
      </c>
      <c r="B360" s="3" t="n">
        <v>358</v>
      </c>
      <c r="C360" s="3" t="n">
        <v>0</v>
      </c>
      <c r="D360" s="3" t="n">
        <v>12</v>
      </c>
      <c r="E360" s="3" t="n">
        <v>22</v>
      </c>
      <c r="F360" s="24" t="n">
        <v>0.0471986234</v>
      </c>
    </row>
    <row r="361" customFormat="false" ht="15" hidden="false" customHeight="false" outlineLevel="0" collapsed="false">
      <c r="A361" s="3" t="n">
        <v>360</v>
      </c>
      <c r="B361" s="3" t="n">
        <v>359</v>
      </c>
      <c r="C361" s="3" t="n">
        <v>0</v>
      </c>
      <c r="D361" s="3" t="n">
        <v>12</v>
      </c>
      <c r="E361" s="3" t="n">
        <v>23</v>
      </c>
      <c r="F361" s="24" t="n">
        <v>-0.0259179175</v>
      </c>
    </row>
    <row r="362" customFormat="false" ht="15" hidden="false" customHeight="false" outlineLevel="0" collapsed="false">
      <c r="A362" s="3" t="n">
        <v>361</v>
      </c>
      <c r="B362" s="3" t="n">
        <v>360</v>
      </c>
      <c r="C362" s="3" t="n">
        <v>0</v>
      </c>
      <c r="D362" s="3" t="n">
        <v>12</v>
      </c>
      <c r="E362" s="3" t="n">
        <v>24</v>
      </c>
      <c r="F362" s="24" t="n">
        <v>-0.0259179175</v>
      </c>
    </row>
    <row r="363" customFormat="false" ht="15" hidden="false" customHeight="false" outlineLevel="0" collapsed="false">
      <c r="A363" s="3" t="n">
        <v>362</v>
      </c>
      <c r="B363" s="3" t="n">
        <v>361</v>
      </c>
      <c r="C363" s="3" t="n">
        <v>0</v>
      </c>
      <c r="D363" s="3" t="n">
        <v>12</v>
      </c>
      <c r="E363" s="3" t="n">
        <v>25</v>
      </c>
      <c r="F363" s="24" t="n">
        <v>-0.0259179175</v>
      </c>
    </row>
    <row r="364" customFormat="false" ht="15" hidden="false" customHeight="false" outlineLevel="0" collapsed="false">
      <c r="A364" s="3" t="n">
        <v>363</v>
      </c>
      <c r="B364" s="3" t="n">
        <v>362</v>
      </c>
      <c r="C364" s="3" t="n">
        <v>0</v>
      </c>
      <c r="D364" s="3" t="n">
        <v>12</v>
      </c>
      <c r="E364" s="3" t="n">
        <v>26</v>
      </c>
      <c r="F364" s="24" t="n">
        <v>-0.0259179175</v>
      </c>
    </row>
    <row r="365" customFormat="false" ht="15" hidden="false" customHeight="false" outlineLevel="0" collapsed="false">
      <c r="A365" s="3" t="n">
        <v>364</v>
      </c>
      <c r="B365" s="3" t="n">
        <v>363</v>
      </c>
      <c r="C365" s="3" t="n">
        <v>0</v>
      </c>
      <c r="D365" s="3" t="n">
        <v>12</v>
      </c>
      <c r="E365" s="3" t="n">
        <v>27</v>
      </c>
      <c r="F365" s="24" t="n">
        <v>0.0673455298</v>
      </c>
    </row>
    <row r="366" customFormat="false" ht="15" hidden="false" customHeight="false" outlineLevel="0" collapsed="false">
      <c r="A366" s="3" t="n">
        <v>365</v>
      </c>
      <c r="B366" s="3" t="n">
        <v>364</v>
      </c>
      <c r="C366" s="3" t="n">
        <v>0</v>
      </c>
      <c r="D366" s="3" t="n">
        <v>13</v>
      </c>
      <c r="E366" s="3" t="n">
        <v>0</v>
      </c>
      <c r="F366" s="24" t="n">
        <v>0.10001415</v>
      </c>
    </row>
    <row r="367" customFormat="false" ht="15" hidden="false" customHeight="false" outlineLevel="0" collapsed="false">
      <c r="A367" s="3" t="n">
        <v>366</v>
      </c>
      <c r="B367" s="3" t="n">
        <v>365</v>
      </c>
      <c r="C367" s="3" t="n">
        <v>0</v>
      </c>
      <c r="D367" s="3" t="n">
        <v>13</v>
      </c>
      <c r="E367" s="3" t="n">
        <v>1</v>
      </c>
      <c r="F367" s="24" t="n">
        <v>-0.0259179175</v>
      </c>
    </row>
    <row r="368" customFormat="false" ht="15" hidden="false" customHeight="false" outlineLevel="0" collapsed="false">
      <c r="A368" s="3" t="n">
        <v>367</v>
      </c>
      <c r="B368" s="3" t="n">
        <v>366</v>
      </c>
      <c r="C368" s="3" t="n">
        <v>0</v>
      </c>
      <c r="D368" s="3" t="n">
        <v>13</v>
      </c>
      <c r="E368" s="3" t="n">
        <v>2</v>
      </c>
      <c r="F368" s="24" t="n">
        <v>-0.0259179175</v>
      </c>
    </row>
    <row r="369" customFormat="false" ht="15" hidden="false" customHeight="false" outlineLevel="0" collapsed="false">
      <c r="A369" s="3" t="n">
        <v>368</v>
      </c>
      <c r="B369" s="3" t="n">
        <v>367</v>
      </c>
      <c r="C369" s="3" t="n">
        <v>0</v>
      </c>
      <c r="D369" s="3" t="n">
        <v>13</v>
      </c>
      <c r="E369" s="3" t="n">
        <v>3</v>
      </c>
      <c r="F369" s="24" t="n">
        <v>-0.0259179175</v>
      </c>
    </row>
    <row r="370" customFormat="false" ht="15" hidden="false" customHeight="false" outlineLevel="0" collapsed="false">
      <c r="A370" s="3" t="n">
        <v>369</v>
      </c>
      <c r="B370" s="3" t="n">
        <v>368</v>
      </c>
      <c r="C370" s="3" t="n">
        <v>0</v>
      </c>
      <c r="D370" s="3" t="n">
        <v>13</v>
      </c>
      <c r="E370" s="3" t="n">
        <v>4</v>
      </c>
      <c r="F370" s="24" t="n">
        <v>-0.0259179175</v>
      </c>
    </row>
    <row r="371" customFormat="false" ht="15" hidden="false" customHeight="false" outlineLevel="0" collapsed="false">
      <c r="A371" s="3" t="n">
        <v>370</v>
      </c>
      <c r="B371" s="3" t="n">
        <v>369</v>
      </c>
      <c r="C371" s="3" t="n">
        <v>0</v>
      </c>
      <c r="D371" s="3" t="n">
        <v>13</v>
      </c>
      <c r="E371" s="3" t="n">
        <v>5</v>
      </c>
      <c r="F371" s="24" t="n">
        <v>-0.0259179175</v>
      </c>
    </row>
    <row r="372" customFormat="false" ht="15" hidden="false" customHeight="false" outlineLevel="0" collapsed="false">
      <c r="A372" s="3" t="n">
        <v>371</v>
      </c>
      <c r="B372" s="3" t="n">
        <v>370</v>
      </c>
      <c r="C372" s="3" t="n">
        <v>0</v>
      </c>
      <c r="D372" s="3" t="n">
        <v>13</v>
      </c>
      <c r="E372" s="3" t="n">
        <v>6</v>
      </c>
      <c r="F372" s="24" t="n">
        <v>-0.0259179175</v>
      </c>
    </row>
    <row r="373" customFormat="false" ht="15" hidden="false" customHeight="false" outlineLevel="0" collapsed="false">
      <c r="A373" s="3" t="n">
        <v>372</v>
      </c>
      <c r="B373" s="3" t="n">
        <v>371</v>
      </c>
      <c r="C373" s="3" t="n">
        <v>0</v>
      </c>
      <c r="D373" s="3" t="n">
        <v>13</v>
      </c>
      <c r="E373" s="3" t="n">
        <v>7</v>
      </c>
      <c r="F373" s="24" t="n">
        <v>-0.0259179175</v>
      </c>
    </row>
    <row r="374" customFormat="false" ht="15" hidden="false" customHeight="false" outlineLevel="0" collapsed="false">
      <c r="A374" s="3" t="n">
        <v>373</v>
      </c>
      <c r="B374" s="3" t="n">
        <v>372</v>
      </c>
      <c r="C374" s="3" t="n">
        <v>0</v>
      </c>
      <c r="D374" s="3" t="n">
        <v>13</v>
      </c>
      <c r="E374" s="3" t="n">
        <v>8</v>
      </c>
      <c r="F374" s="24" t="n">
        <v>-0.0259179175</v>
      </c>
    </row>
    <row r="375" customFormat="false" ht="15" hidden="false" customHeight="false" outlineLevel="0" collapsed="false">
      <c r="A375" s="3" t="n">
        <v>374</v>
      </c>
      <c r="B375" s="3" t="n">
        <v>373</v>
      </c>
      <c r="C375" s="3" t="n">
        <v>0</v>
      </c>
      <c r="D375" s="3" t="n">
        <v>13</v>
      </c>
      <c r="E375" s="3" t="n">
        <v>9</v>
      </c>
      <c r="F375" s="24" t="n">
        <v>-0.0259179175</v>
      </c>
    </row>
    <row r="376" customFormat="false" ht="15" hidden="false" customHeight="false" outlineLevel="0" collapsed="false">
      <c r="A376" s="3" t="n">
        <v>375</v>
      </c>
      <c r="B376" s="3" t="n">
        <v>374</v>
      </c>
      <c r="C376" s="3" t="n">
        <v>0</v>
      </c>
      <c r="D376" s="3" t="n">
        <v>13</v>
      </c>
      <c r="E376" s="3" t="n">
        <v>10</v>
      </c>
      <c r="F376" s="24" t="n">
        <v>-0.0259179175</v>
      </c>
    </row>
    <row r="377" customFormat="false" ht="15" hidden="false" customHeight="false" outlineLevel="0" collapsed="false">
      <c r="A377" s="3" t="n">
        <v>376</v>
      </c>
      <c r="B377" s="3" t="n">
        <v>375</v>
      </c>
      <c r="C377" s="3" t="n">
        <v>0</v>
      </c>
      <c r="D377" s="3" t="n">
        <v>13</v>
      </c>
      <c r="E377" s="3" t="n">
        <v>11</v>
      </c>
      <c r="F377" s="24" t="n">
        <v>-0.0259179175</v>
      </c>
    </row>
    <row r="378" customFormat="false" ht="15" hidden="false" customHeight="false" outlineLevel="0" collapsed="false">
      <c r="A378" s="3" t="n">
        <v>377</v>
      </c>
      <c r="B378" s="3" t="n">
        <v>376</v>
      </c>
      <c r="C378" s="3" t="n">
        <v>0</v>
      </c>
      <c r="D378" s="3" t="n">
        <v>13</v>
      </c>
      <c r="E378" s="3" t="n">
        <v>12</v>
      </c>
      <c r="F378" s="24" t="n">
        <v>-0.0259179175</v>
      </c>
    </row>
    <row r="379" customFormat="false" ht="15" hidden="false" customHeight="false" outlineLevel="0" collapsed="false">
      <c r="A379" s="3" t="n">
        <v>378</v>
      </c>
      <c r="B379" s="3" t="n">
        <v>377</v>
      </c>
      <c r="C379" s="3" t="n">
        <v>0</v>
      </c>
      <c r="D379" s="3" t="n">
        <v>13</v>
      </c>
      <c r="E379" s="3" t="n">
        <v>13</v>
      </c>
      <c r="F379" s="24" t="n">
        <v>-0.0259179175</v>
      </c>
    </row>
    <row r="380" customFormat="false" ht="15" hidden="false" customHeight="false" outlineLevel="0" collapsed="false">
      <c r="A380" s="3" t="n">
        <v>379</v>
      </c>
      <c r="B380" s="3" t="n">
        <v>378</v>
      </c>
      <c r="C380" s="3" t="n">
        <v>0</v>
      </c>
      <c r="D380" s="3" t="n">
        <v>13</v>
      </c>
      <c r="E380" s="3" t="n">
        <v>14</v>
      </c>
      <c r="F380" s="24" t="n">
        <v>-0.0259179175</v>
      </c>
    </row>
    <row r="381" customFormat="false" ht="15" hidden="false" customHeight="false" outlineLevel="0" collapsed="false">
      <c r="A381" s="3" t="n">
        <v>380</v>
      </c>
      <c r="B381" s="3" t="n">
        <v>379</v>
      </c>
      <c r="C381" s="3" t="n">
        <v>0</v>
      </c>
      <c r="D381" s="3" t="n">
        <v>13</v>
      </c>
      <c r="E381" s="3" t="n">
        <v>15</v>
      </c>
      <c r="F381" s="24" t="n">
        <v>0.138286084</v>
      </c>
    </row>
    <row r="382" customFormat="false" ht="15" hidden="false" customHeight="false" outlineLevel="0" collapsed="false">
      <c r="A382" s="3" t="n">
        <v>381</v>
      </c>
      <c r="B382" s="3" t="n">
        <v>380</v>
      </c>
      <c r="C382" s="3" t="n">
        <v>0</v>
      </c>
      <c r="D382" s="3" t="n">
        <v>13</v>
      </c>
      <c r="E382" s="3" t="n">
        <v>16</v>
      </c>
      <c r="F382" s="24" t="n">
        <v>1.17864037</v>
      </c>
    </row>
    <row r="383" customFormat="false" ht="15" hidden="false" customHeight="false" outlineLevel="0" collapsed="false">
      <c r="A383" s="3" t="n">
        <v>382</v>
      </c>
      <c r="B383" s="3" t="n">
        <v>381</v>
      </c>
      <c r="C383" s="3" t="n">
        <v>0</v>
      </c>
      <c r="D383" s="3" t="n">
        <v>13</v>
      </c>
      <c r="E383" s="3" t="n">
        <v>17</v>
      </c>
      <c r="F383" s="24" t="n">
        <v>1.03291154</v>
      </c>
    </row>
    <row r="384" customFormat="false" ht="15" hidden="false" customHeight="false" outlineLevel="0" collapsed="false">
      <c r="A384" s="3" t="n">
        <v>383</v>
      </c>
      <c r="B384" s="3" t="n">
        <v>382</v>
      </c>
      <c r="C384" s="3" t="n">
        <v>0</v>
      </c>
      <c r="D384" s="3" t="n">
        <v>13</v>
      </c>
      <c r="E384" s="3" t="n">
        <v>18</v>
      </c>
      <c r="F384" s="24" t="n">
        <v>1.10804772</v>
      </c>
    </row>
    <row r="385" customFormat="false" ht="15" hidden="false" customHeight="false" outlineLevel="0" collapsed="false">
      <c r="A385" s="3" t="n">
        <v>384</v>
      </c>
      <c r="B385" s="3" t="n">
        <v>383</v>
      </c>
      <c r="C385" s="3" t="n">
        <v>0</v>
      </c>
      <c r="D385" s="3" t="n">
        <v>13</v>
      </c>
      <c r="E385" s="3" t="n">
        <v>19</v>
      </c>
      <c r="F385" s="24" t="n">
        <v>2.15205431</v>
      </c>
    </row>
    <row r="386" customFormat="false" ht="15" hidden="false" customHeight="false" outlineLevel="0" collapsed="false">
      <c r="A386" s="3" t="n">
        <v>385</v>
      </c>
      <c r="B386" s="3" t="n">
        <v>384</v>
      </c>
      <c r="C386" s="3" t="n">
        <v>0</v>
      </c>
      <c r="D386" s="3" t="n">
        <v>13</v>
      </c>
      <c r="E386" s="3" t="n">
        <v>20</v>
      </c>
      <c r="F386" s="24" t="n">
        <v>2.11122179</v>
      </c>
    </row>
    <row r="387" customFormat="false" ht="15" hidden="false" customHeight="false" outlineLevel="0" collapsed="false">
      <c r="A387" s="3" t="n">
        <v>386</v>
      </c>
      <c r="B387" s="3" t="n">
        <v>385</v>
      </c>
      <c r="C387" s="3" t="n">
        <v>0</v>
      </c>
      <c r="D387" s="3" t="n">
        <v>13</v>
      </c>
      <c r="E387" s="3" t="n">
        <v>21</v>
      </c>
      <c r="F387" s="24" t="n">
        <v>0.496011436</v>
      </c>
    </row>
    <row r="388" customFormat="false" ht="15" hidden="false" customHeight="false" outlineLevel="0" collapsed="false">
      <c r="A388" s="3" t="n">
        <v>387</v>
      </c>
      <c r="B388" s="3" t="n">
        <v>386</v>
      </c>
      <c r="C388" s="3" t="n">
        <v>0</v>
      </c>
      <c r="D388" s="3" t="n">
        <v>13</v>
      </c>
      <c r="E388" s="3" t="n">
        <v>22</v>
      </c>
      <c r="F388" s="24" t="n">
        <v>-0.0259179175</v>
      </c>
    </row>
    <row r="389" customFormat="false" ht="15" hidden="false" customHeight="false" outlineLevel="0" collapsed="false">
      <c r="A389" s="3" t="n">
        <v>388</v>
      </c>
      <c r="B389" s="3" t="n">
        <v>387</v>
      </c>
      <c r="C389" s="3" t="n">
        <v>0</v>
      </c>
      <c r="D389" s="3" t="n">
        <v>13</v>
      </c>
      <c r="E389" s="3" t="n">
        <v>23</v>
      </c>
      <c r="F389" s="24" t="n">
        <v>-0.0259179175</v>
      </c>
    </row>
    <row r="390" customFormat="false" ht="15" hidden="false" customHeight="false" outlineLevel="0" collapsed="false">
      <c r="A390" s="3" t="n">
        <v>389</v>
      </c>
      <c r="B390" s="3" t="n">
        <v>388</v>
      </c>
      <c r="C390" s="3" t="n">
        <v>0</v>
      </c>
      <c r="D390" s="3" t="n">
        <v>13</v>
      </c>
      <c r="E390" s="3" t="n">
        <v>24</v>
      </c>
      <c r="F390" s="24" t="n">
        <v>-0.0259179175</v>
      </c>
    </row>
    <row r="391" customFormat="false" ht="15" hidden="false" customHeight="false" outlineLevel="0" collapsed="false">
      <c r="A391" s="3" t="n">
        <v>390</v>
      </c>
      <c r="B391" s="3" t="n">
        <v>389</v>
      </c>
      <c r="C391" s="3" t="n">
        <v>0</v>
      </c>
      <c r="D391" s="3" t="n">
        <v>13</v>
      </c>
      <c r="E391" s="3" t="n">
        <v>25</v>
      </c>
      <c r="F391" s="24" t="n">
        <v>-0.0259179175</v>
      </c>
    </row>
    <row r="392" customFormat="false" ht="15" hidden="false" customHeight="false" outlineLevel="0" collapsed="false">
      <c r="A392" s="3" t="n">
        <v>391</v>
      </c>
      <c r="B392" s="3" t="n">
        <v>390</v>
      </c>
      <c r="C392" s="3" t="n">
        <v>0</v>
      </c>
      <c r="D392" s="3" t="n">
        <v>13</v>
      </c>
      <c r="E392" s="3" t="n">
        <v>26</v>
      </c>
      <c r="F392" s="24" t="n">
        <v>-0.0259179175</v>
      </c>
    </row>
    <row r="393" customFormat="false" ht="15" hidden="false" customHeight="false" outlineLevel="0" collapsed="false">
      <c r="A393" s="3" t="n">
        <v>392</v>
      </c>
      <c r="B393" s="3" t="n">
        <v>391</v>
      </c>
      <c r="C393" s="3" t="n">
        <v>0</v>
      </c>
      <c r="D393" s="3" t="n">
        <v>13</v>
      </c>
      <c r="E393" s="3" t="n">
        <v>27</v>
      </c>
      <c r="F393" s="24" t="n">
        <v>0.0673455298</v>
      </c>
    </row>
    <row r="394" customFormat="false" ht="15" hidden="false" customHeight="false" outlineLevel="0" collapsed="false">
      <c r="A394" s="3" t="n">
        <v>393</v>
      </c>
      <c r="B394" s="3" t="n">
        <v>392</v>
      </c>
      <c r="C394" s="3" t="n">
        <v>0</v>
      </c>
      <c r="D394" s="3" t="n">
        <v>14</v>
      </c>
      <c r="E394" s="3" t="n">
        <v>0</v>
      </c>
      <c r="F394" s="24" t="n">
        <v>0.10001415</v>
      </c>
    </row>
    <row r="395" customFormat="false" ht="15" hidden="false" customHeight="false" outlineLevel="0" collapsed="false">
      <c r="A395" s="3" t="n">
        <v>394</v>
      </c>
      <c r="B395" s="3" t="n">
        <v>393</v>
      </c>
      <c r="C395" s="3" t="n">
        <v>0</v>
      </c>
      <c r="D395" s="3" t="n">
        <v>14</v>
      </c>
      <c r="E395" s="3" t="n">
        <v>1</v>
      </c>
      <c r="F395" s="24" t="n">
        <v>-0.0259179175</v>
      </c>
    </row>
    <row r="396" customFormat="false" ht="15" hidden="false" customHeight="false" outlineLevel="0" collapsed="false">
      <c r="A396" s="3" t="n">
        <v>395</v>
      </c>
      <c r="B396" s="3" t="n">
        <v>394</v>
      </c>
      <c r="C396" s="3" t="n">
        <v>0</v>
      </c>
      <c r="D396" s="3" t="n">
        <v>14</v>
      </c>
      <c r="E396" s="3" t="n">
        <v>2</v>
      </c>
      <c r="F396" s="24" t="n">
        <v>-0.0259179175</v>
      </c>
    </row>
    <row r="397" customFormat="false" ht="15" hidden="false" customHeight="false" outlineLevel="0" collapsed="false">
      <c r="A397" s="3" t="n">
        <v>396</v>
      </c>
      <c r="B397" s="3" t="n">
        <v>395</v>
      </c>
      <c r="C397" s="3" t="n">
        <v>0</v>
      </c>
      <c r="D397" s="3" t="n">
        <v>14</v>
      </c>
      <c r="E397" s="3" t="n">
        <v>3</v>
      </c>
      <c r="F397" s="24" t="n">
        <v>-0.0259179175</v>
      </c>
    </row>
    <row r="398" customFormat="false" ht="15" hidden="false" customHeight="false" outlineLevel="0" collapsed="false">
      <c r="A398" s="3" t="n">
        <v>397</v>
      </c>
      <c r="B398" s="3" t="n">
        <v>396</v>
      </c>
      <c r="C398" s="3" t="n">
        <v>0</v>
      </c>
      <c r="D398" s="3" t="n">
        <v>14</v>
      </c>
      <c r="E398" s="3" t="n">
        <v>4</v>
      </c>
      <c r="F398" s="24" t="n">
        <v>-0.0259179175</v>
      </c>
    </row>
    <row r="399" customFormat="false" ht="15" hidden="false" customHeight="false" outlineLevel="0" collapsed="false">
      <c r="A399" s="3" t="n">
        <v>398</v>
      </c>
      <c r="B399" s="3" t="n">
        <v>397</v>
      </c>
      <c r="C399" s="3" t="n">
        <v>0</v>
      </c>
      <c r="D399" s="3" t="n">
        <v>14</v>
      </c>
      <c r="E399" s="3" t="n">
        <v>5</v>
      </c>
      <c r="F399" s="24" t="n">
        <v>-0.0259179175</v>
      </c>
    </row>
    <row r="400" customFormat="false" ht="15" hidden="false" customHeight="false" outlineLevel="0" collapsed="false">
      <c r="A400" s="3" t="n">
        <v>399</v>
      </c>
      <c r="B400" s="3" t="n">
        <v>398</v>
      </c>
      <c r="C400" s="3" t="n">
        <v>0</v>
      </c>
      <c r="D400" s="3" t="n">
        <v>14</v>
      </c>
      <c r="E400" s="3" t="n">
        <v>6</v>
      </c>
      <c r="F400" s="24" t="n">
        <v>-0.0259179175</v>
      </c>
    </row>
    <row r="401" customFormat="false" ht="15" hidden="false" customHeight="false" outlineLevel="0" collapsed="false">
      <c r="A401" s="3" t="n">
        <v>400</v>
      </c>
      <c r="B401" s="3" t="n">
        <v>399</v>
      </c>
      <c r="C401" s="3" t="n">
        <v>0</v>
      </c>
      <c r="D401" s="3" t="n">
        <v>14</v>
      </c>
      <c r="E401" s="3" t="n">
        <v>7</v>
      </c>
      <c r="F401" s="24" t="n">
        <v>-0.0259179175</v>
      </c>
    </row>
    <row r="402" customFormat="false" ht="15" hidden="false" customHeight="false" outlineLevel="0" collapsed="false">
      <c r="A402" s="3" t="n">
        <v>401</v>
      </c>
      <c r="B402" s="3" t="n">
        <v>400</v>
      </c>
      <c r="C402" s="3" t="n">
        <v>0</v>
      </c>
      <c r="D402" s="3" t="n">
        <v>14</v>
      </c>
      <c r="E402" s="3" t="n">
        <v>8</v>
      </c>
      <c r="F402" s="24" t="n">
        <v>-0.0259179175</v>
      </c>
    </row>
    <row r="403" customFormat="false" ht="15" hidden="false" customHeight="false" outlineLevel="0" collapsed="false">
      <c r="A403" s="3" t="n">
        <v>402</v>
      </c>
      <c r="B403" s="3" t="n">
        <v>401</v>
      </c>
      <c r="C403" s="3" t="n">
        <v>0</v>
      </c>
      <c r="D403" s="3" t="n">
        <v>14</v>
      </c>
      <c r="E403" s="3" t="n">
        <v>9</v>
      </c>
      <c r="F403" s="24" t="n">
        <v>-0.0259179175</v>
      </c>
    </row>
    <row r="404" customFormat="false" ht="15" hidden="false" customHeight="false" outlineLevel="0" collapsed="false">
      <c r="A404" s="3" t="n">
        <v>403</v>
      </c>
      <c r="B404" s="3" t="n">
        <v>402</v>
      </c>
      <c r="C404" s="3" t="n">
        <v>0</v>
      </c>
      <c r="D404" s="3" t="n">
        <v>14</v>
      </c>
      <c r="E404" s="3" t="n">
        <v>10</v>
      </c>
      <c r="F404" s="24" t="n">
        <v>-0.0259179175</v>
      </c>
    </row>
    <row r="405" customFormat="false" ht="15" hidden="false" customHeight="false" outlineLevel="0" collapsed="false">
      <c r="A405" s="3" t="n">
        <v>404</v>
      </c>
      <c r="B405" s="3" t="n">
        <v>403</v>
      </c>
      <c r="C405" s="3" t="n">
        <v>0</v>
      </c>
      <c r="D405" s="3" t="n">
        <v>14</v>
      </c>
      <c r="E405" s="3" t="n">
        <v>11</v>
      </c>
      <c r="F405" s="24" t="n">
        <v>-0.0259179175</v>
      </c>
    </row>
    <row r="406" customFormat="false" ht="15" hidden="false" customHeight="false" outlineLevel="0" collapsed="false">
      <c r="A406" s="3" t="n">
        <v>405</v>
      </c>
      <c r="B406" s="3" t="n">
        <v>404</v>
      </c>
      <c r="C406" s="3" t="n">
        <v>0</v>
      </c>
      <c r="D406" s="3" t="n">
        <v>14</v>
      </c>
      <c r="E406" s="3" t="n">
        <v>12</v>
      </c>
      <c r="F406" s="24" t="n">
        <v>-0.0259179175</v>
      </c>
    </row>
    <row r="407" customFormat="false" ht="15" hidden="false" customHeight="false" outlineLevel="0" collapsed="false">
      <c r="A407" s="3" t="n">
        <v>406</v>
      </c>
      <c r="B407" s="3" t="n">
        <v>405</v>
      </c>
      <c r="C407" s="3" t="n">
        <v>0</v>
      </c>
      <c r="D407" s="3" t="n">
        <v>14</v>
      </c>
      <c r="E407" s="3" t="n">
        <v>13</v>
      </c>
      <c r="F407" s="24" t="n">
        <v>-0.0259179175</v>
      </c>
    </row>
    <row r="408" customFormat="false" ht="15" hidden="false" customHeight="false" outlineLevel="0" collapsed="false">
      <c r="A408" s="3" t="n">
        <v>407</v>
      </c>
      <c r="B408" s="3" t="n">
        <v>406</v>
      </c>
      <c r="C408" s="3" t="n">
        <v>0</v>
      </c>
      <c r="D408" s="3" t="n">
        <v>14</v>
      </c>
      <c r="E408" s="3" t="n">
        <v>14</v>
      </c>
      <c r="F408" s="24" t="n">
        <v>-0.0259179175</v>
      </c>
    </row>
    <row r="409" customFormat="false" ht="15" hidden="false" customHeight="false" outlineLevel="0" collapsed="false">
      <c r="A409" s="3" t="n">
        <v>408</v>
      </c>
      <c r="B409" s="3" t="n">
        <v>407</v>
      </c>
      <c r="C409" s="3" t="n">
        <v>0</v>
      </c>
      <c r="D409" s="3" t="n">
        <v>14</v>
      </c>
      <c r="E409" s="3" t="n">
        <v>15</v>
      </c>
      <c r="F409" s="24" t="n">
        <v>0.615915656</v>
      </c>
    </row>
    <row r="410" customFormat="false" ht="15" hidden="false" customHeight="false" outlineLevel="0" collapsed="false">
      <c r="A410" s="3" t="n">
        <v>409</v>
      </c>
      <c r="B410" s="3" t="n">
        <v>408</v>
      </c>
      <c r="C410" s="3" t="n">
        <v>0</v>
      </c>
      <c r="D410" s="3" t="n">
        <v>14</v>
      </c>
      <c r="E410" s="3" t="n">
        <v>16</v>
      </c>
      <c r="F410" s="24" t="n">
        <v>1.44690001</v>
      </c>
    </row>
    <row r="411" customFormat="false" ht="15" hidden="false" customHeight="false" outlineLevel="0" collapsed="false">
      <c r="A411" s="3" t="n">
        <v>410</v>
      </c>
      <c r="B411" s="3" t="n">
        <v>409</v>
      </c>
      <c r="C411" s="3" t="n">
        <v>0</v>
      </c>
      <c r="D411" s="3" t="n">
        <v>14</v>
      </c>
      <c r="E411" s="3" t="n">
        <v>17</v>
      </c>
      <c r="F411" s="24" t="n">
        <v>1.33917332</v>
      </c>
    </row>
    <row r="412" customFormat="false" ht="15" hidden="false" customHeight="false" outlineLevel="0" collapsed="false">
      <c r="A412" s="3" t="n">
        <v>411</v>
      </c>
      <c r="B412" s="3" t="n">
        <v>410</v>
      </c>
      <c r="C412" s="3" t="n">
        <v>0</v>
      </c>
      <c r="D412" s="3" t="n">
        <v>14</v>
      </c>
      <c r="E412" s="3" t="n">
        <v>18</v>
      </c>
      <c r="F412" s="24" t="n">
        <v>1.17621851</v>
      </c>
    </row>
    <row r="413" customFormat="false" ht="15" hidden="false" customHeight="false" outlineLevel="0" collapsed="false">
      <c r="A413" s="3" t="n">
        <v>412</v>
      </c>
      <c r="B413" s="3" t="n">
        <v>411</v>
      </c>
      <c r="C413" s="3" t="n">
        <v>0</v>
      </c>
      <c r="D413" s="3" t="n">
        <v>14</v>
      </c>
      <c r="E413" s="3" t="n">
        <v>19</v>
      </c>
      <c r="F413" s="24" t="n">
        <v>1.93833292</v>
      </c>
    </row>
    <row r="414" customFormat="false" ht="15" hidden="false" customHeight="false" outlineLevel="0" collapsed="false">
      <c r="A414" s="3" t="n">
        <v>413</v>
      </c>
      <c r="B414" s="3" t="n">
        <v>412</v>
      </c>
      <c r="C414" s="3" t="n">
        <v>0</v>
      </c>
      <c r="D414" s="3" t="n">
        <v>14</v>
      </c>
      <c r="E414" s="3" t="n">
        <v>20</v>
      </c>
      <c r="F414" s="24" t="n">
        <v>1.31306982</v>
      </c>
    </row>
    <row r="415" customFormat="false" ht="15" hidden="false" customHeight="false" outlineLevel="0" collapsed="false">
      <c r="A415" s="3" t="n">
        <v>414</v>
      </c>
      <c r="B415" s="3" t="n">
        <v>413</v>
      </c>
      <c r="C415" s="3" t="n">
        <v>0</v>
      </c>
      <c r="D415" s="3" t="n">
        <v>14</v>
      </c>
      <c r="E415" s="3" t="n">
        <v>21</v>
      </c>
      <c r="F415" s="24" t="n">
        <v>0.152811408</v>
      </c>
    </row>
    <row r="416" customFormat="false" ht="15" hidden="false" customHeight="false" outlineLevel="0" collapsed="false">
      <c r="A416" s="3" t="n">
        <v>415</v>
      </c>
      <c r="B416" s="3" t="n">
        <v>414</v>
      </c>
      <c r="C416" s="3" t="n">
        <v>0</v>
      </c>
      <c r="D416" s="3" t="n">
        <v>14</v>
      </c>
      <c r="E416" s="3" t="n">
        <v>22</v>
      </c>
      <c r="F416" s="24" t="n">
        <v>-0.0259179175</v>
      </c>
    </row>
    <row r="417" customFormat="false" ht="15" hidden="false" customHeight="false" outlineLevel="0" collapsed="false">
      <c r="A417" s="3" t="n">
        <v>416</v>
      </c>
      <c r="B417" s="3" t="n">
        <v>415</v>
      </c>
      <c r="C417" s="3" t="n">
        <v>0</v>
      </c>
      <c r="D417" s="3" t="n">
        <v>14</v>
      </c>
      <c r="E417" s="3" t="n">
        <v>23</v>
      </c>
      <c r="F417" s="24" t="n">
        <v>-0.0259179175</v>
      </c>
    </row>
    <row r="418" customFormat="false" ht="15" hidden="false" customHeight="false" outlineLevel="0" collapsed="false">
      <c r="A418" s="3" t="n">
        <v>417</v>
      </c>
      <c r="B418" s="3" t="n">
        <v>416</v>
      </c>
      <c r="C418" s="3" t="n">
        <v>0</v>
      </c>
      <c r="D418" s="3" t="n">
        <v>14</v>
      </c>
      <c r="E418" s="3" t="n">
        <v>24</v>
      </c>
      <c r="F418" s="24" t="n">
        <v>-0.0259179175</v>
      </c>
    </row>
    <row r="419" customFormat="false" ht="15" hidden="false" customHeight="false" outlineLevel="0" collapsed="false">
      <c r="A419" s="3" t="n">
        <v>418</v>
      </c>
      <c r="B419" s="3" t="n">
        <v>417</v>
      </c>
      <c r="C419" s="3" t="n">
        <v>0</v>
      </c>
      <c r="D419" s="3" t="n">
        <v>14</v>
      </c>
      <c r="E419" s="3" t="n">
        <v>25</v>
      </c>
      <c r="F419" s="24" t="n">
        <v>-0.0259179175</v>
      </c>
    </row>
    <row r="420" customFormat="false" ht="15" hidden="false" customHeight="false" outlineLevel="0" collapsed="false">
      <c r="A420" s="3" t="n">
        <v>419</v>
      </c>
      <c r="B420" s="3" t="n">
        <v>418</v>
      </c>
      <c r="C420" s="3" t="n">
        <v>0</v>
      </c>
      <c r="D420" s="3" t="n">
        <v>14</v>
      </c>
      <c r="E420" s="3" t="n">
        <v>26</v>
      </c>
      <c r="F420" s="24" t="n">
        <v>-0.0259179175</v>
      </c>
    </row>
    <row r="421" customFormat="false" ht="15" hidden="false" customHeight="false" outlineLevel="0" collapsed="false">
      <c r="A421" s="3" t="n">
        <v>420</v>
      </c>
      <c r="B421" s="3" t="n">
        <v>419</v>
      </c>
      <c r="C421" s="3" t="n">
        <v>0</v>
      </c>
      <c r="D421" s="3" t="n">
        <v>14</v>
      </c>
      <c r="E421" s="3" t="n">
        <v>27</v>
      </c>
      <c r="F421" s="24" t="n">
        <v>0.0673455298</v>
      </c>
    </row>
    <row r="422" customFormat="false" ht="15" hidden="false" customHeight="false" outlineLevel="0" collapsed="false">
      <c r="A422" s="3" t="n">
        <v>421</v>
      </c>
      <c r="B422" s="3" t="n">
        <v>420</v>
      </c>
      <c r="C422" s="3" t="n">
        <v>0</v>
      </c>
      <c r="D422" s="3" t="n">
        <v>15</v>
      </c>
      <c r="E422" s="3" t="n">
        <v>0</v>
      </c>
      <c r="F422" s="24" t="n">
        <v>0.10001415</v>
      </c>
    </row>
    <row r="423" customFormat="false" ht="15" hidden="false" customHeight="false" outlineLevel="0" collapsed="false">
      <c r="A423" s="3" t="n">
        <v>422</v>
      </c>
      <c r="B423" s="3" t="n">
        <v>421</v>
      </c>
      <c r="C423" s="3" t="n">
        <v>0</v>
      </c>
      <c r="D423" s="3" t="n">
        <v>15</v>
      </c>
      <c r="E423" s="3" t="n">
        <v>1</v>
      </c>
      <c r="F423" s="24" t="n">
        <v>-0.0259179175</v>
      </c>
    </row>
    <row r="424" customFormat="false" ht="15" hidden="false" customHeight="false" outlineLevel="0" collapsed="false">
      <c r="A424" s="3" t="n">
        <v>423</v>
      </c>
      <c r="B424" s="3" t="n">
        <v>422</v>
      </c>
      <c r="C424" s="3" t="n">
        <v>0</v>
      </c>
      <c r="D424" s="3" t="n">
        <v>15</v>
      </c>
      <c r="E424" s="3" t="n">
        <v>2</v>
      </c>
      <c r="F424" s="24" t="n">
        <v>-0.0259179175</v>
      </c>
    </row>
    <row r="425" customFormat="false" ht="15" hidden="false" customHeight="false" outlineLevel="0" collapsed="false">
      <c r="A425" s="3" t="n">
        <v>424</v>
      </c>
      <c r="B425" s="3" t="n">
        <v>423</v>
      </c>
      <c r="C425" s="3" t="n">
        <v>0</v>
      </c>
      <c r="D425" s="3" t="n">
        <v>15</v>
      </c>
      <c r="E425" s="3" t="n">
        <v>3</v>
      </c>
      <c r="F425" s="24" t="n">
        <v>-0.0259179175</v>
      </c>
    </row>
    <row r="426" customFormat="false" ht="15" hidden="false" customHeight="false" outlineLevel="0" collapsed="false">
      <c r="A426" s="3" t="n">
        <v>425</v>
      </c>
      <c r="B426" s="3" t="n">
        <v>424</v>
      </c>
      <c r="C426" s="3" t="n">
        <v>0</v>
      </c>
      <c r="D426" s="3" t="n">
        <v>15</v>
      </c>
      <c r="E426" s="3" t="n">
        <v>4</v>
      </c>
      <c r="F426" s="24" t="n">
        <v>-0.0259179175</v>
      </c>
    </row>
    <row r="427" customFormat="false" ht="15" hidden="false" customHeight="false" outlineLevel="0" collapsed="false">
      <c r="A427" s="3" t="n">
        <v>426</v>
      </c>
      <c r="B427" s="3" t="n">
        <v>425</v>
      </c>
      <c r="C427" s="3" t="n">
        <v>0</v>
      </c>
      <c r="D427" s="3" t="n">
        <v>15</v>
      </c>
      <c r="E427" s="3" t="n">
        <v>5</v>
      </c>
      <c r="F427" s="24" t="n">
        <v>-0.0259179175</v>
      </c>
    </row>
    <row r="428" customFormat="false" ht="15" hidden="false" customHeight="false" outlineLevel="0" collapsed="false">
      <c r="A428" s="3" t="n">
        <v>427</v>
      </c>
      <c r="B428" s="3" t="n">
        <v>426</v>
      </c>
      <c r="C428" s="3" t="n">
        <v>0</v>
      </c>
      <c r="D428" s="3" t="n">
        <v>15</v>
      </c>
      <c r="E428" s="3" t="n">
        <v>6</v>
      </c>
      <c r="F428" s="24" t="n">
        <v>-0.0259179175</v>
      </c>
    </row>
    <row r="429" customFormat="false" ht="15" hidden="false" customHeight="false" outlineLevel="0" collapsed="false">
      <c r="A429" s="3" t="n">
        <v>428</v>
      </c>
      <c r="B429" s="3" t="n">
        <v>427</v>
      </c>
      <c r="C429" s="3" t="n">
        <v>0</v>
      </c>
      <c r="D429" s="3" t="n">
        <v>15</v>
      </c>
      <c r="E429" s="3" t="n">
        <v>7</v>
      </c>
      <c r="F429" s="24" t="n">
        <v>-0.0259179175</v>
      </c>
    </row>
    <row r="430" customFormat="false" ht="15" hidden="false" customHeight="false" outlineLevel="0" collapsed="false">
      <c r="A430" s="3" t="n">
        <v>429</v>
      </c>
      <c r="B430" s="3" t="n">
        <v>428</v>
      </c>
      <c r="C430" s="3" t="n">
        <v>0</v>
      </c>
      <c r="D430" s="3" t="n">
        <v>15</v>
      </c>
      <c r="E430" s="3" t="n">
        <v>8</v>
      </c>
      <c r="F430" s="24" t="n">
        <v>-0.0259179175</v>
      </c>
    </row>
    <row r="431" customFormat="false" ht="15" hidden="false" customHeight="false" outlineLevel="0" collapsed="false">
      <c r="A431" s="3" t="n">
        <v>430</v>
      </c>
      <c r="B431" s="3" t="n">
        <v>429</v>
      </c>
      <c r="C431" s="3" t="n">
        <v>0</v>
      </c>
      <c r="D431" s="3" t="n">
        <v>15</v>
      </c>
      <c r="E431" s="3" t="n">
        <v>9</v>
      </c>
      <c r="F431" s="24" t="n">
        <v>-0.0259179175</v>
      </c>
    </row>
    <row r="432" customFormat="false" ht="15" hidden="false" customHeight="false" outlineLevel="0" collapsed="false">
      <c r="A432" s="3" t="n">
        <v>431</v>
      </c>
      <c r="B432" s="3" t="n">
        <v>430</v>
      </c>
      <c r="C432" s="3" t="n">
        <v>0</v>
      </c>
      <c r="D432" s="3" t="n">
        <v>15</v>
      </c>
      <c r="E432" s="3" t="n">
        <v>10</v>
      </c>
      <c r="F432" s="24" t="n">
        <v>-0.0259179175</v>
      </c>
    </row>
    <row r="433" customFormat="false" ht="15" hidden="false" customHeight="false" outlineLevel="0" collapsed="false">
      <c r="A433" s="3" t="n">
        <v>432</v>
      </c>
      <c r="B433" s="3" t="n">
        <v>431</v>
      </c>
      <c r="C433" s="3" t="n">
        <v>0</v>
      </c>
      <c r="D433" s="3" t="n">
        <v>15</v>
      </c>
      <c r="E433" s="3" t="n">
        <v>11</v>
      </c>
      <c r="F433" s="24" t="n">
        <v>-0.0259179175</v>
      </c>
    </row>
    <row r="434" customFormat="false" ht="15" hidden="false" customHeight="false" outlineLevel="0" collapsed="false">
      <c r="A434" s="3" t="n">
        <v>433</v>
      </c>
      <c r="B434" s="3" t="n">
        <v>432</v>
      </c>
      <c r="C434" s="3" t="n">
        <v>0</v>
      </c>
      <c r="D434" s="3" t="n">
        <v>15</v>
      </c>
      <c r="E434" s="3" t="n">
        <v>12</v>
      </c>
      <c r="F434" s="24" t="n">
        <v>-0.0259179175</v>
      </c>
    </row>
    <row r="435" customFormat="false" ht="15" hidden="false" customHeight="false" outlineLevel="0" collapsed="false">
      <c r="A435" s="3" t="n">
        <v>434</v>
      </c>
      <c r="B435" s="3" t="n">
        <v>433</v>
      </c>
      <c r="C435" s="3" t="n">
        <v>0</v>
      </c>
      <c r="D435" s="3" t="n">
        <v>15</v>
      </c>
      <c r="E435" s="3" t="n">
        <v>13</v>
      </c>
      <c r="F435" s="24" t="n">
        <v>-0.0259179175</v>
      </c>
    </row>
    <row r="436" customFormat="false" ht="15" hidden="false" customHeight="false" outlineLevel="0" collapsed="false">
      <c r="A436" s="3" t="n">
        <v>435</v>
      </c>
      <c r="B436" s="3" t="n">
        <v>434</v>
      </c>
      <c r="C436" s="3" t="n">
        <v>0</v>
      </c>
      <c r="D436" s="3" t="n">
        <v>15</v>
      </c>
      <c r="E436" s="3" t="n">
        <v>14</v>
      </c>
      <c r="F436" s="24" t="n">
        <v>-0.000869870186</v>
      </c>
    </row>
    <row r="437" customFormat="false" ht="15" hidden="false" customHeight="false" outlineLevel="0" collapsed="false">
      <c r="A437" s="3" t="n">
        <v>436</v>
      </c>
      <c r="B437" s="3" t="n">
        <v>435</v>
      </c>
      <c r="C437" s="3" t="n">
        <v>0</v>
      </c>
      <c r="D437" s="3" t="n">
        <v>15</v>
      </c>
      <c r="E437" s="3" t="n">
        <v>15</v>
      </c>
      <c r="F437" s="24" t="n">
        <v>0.889092684</v>
      </c>
    </row>
    <row r="438" customFormat="false" ht="15" hidden="false" customHeight="false" outlineLevel="0" collapsed="false">
      <c r="A438" s="3" t="n">
        <v>437</v>
      </c>
      <c r="B438" s="3" t="n">
        <v>436</v>
      </c>
      <c r="C438" s="3" t="n">
        <v>0</v>
      </c>
      <c r="D438" s="3" t="n">
        <v>15</v>
      </c>
      <c r="E438" s="3" t="n">
        <v>16</v>
      </c>
      <c r="F438" s="24" t="n">
        <v>1.27752781</v>
      </c>
    </row>
    <row r="439" customFormat="false" ht="15" hidden="false" customHeight="false" outlineLevel="0" collapsed="false">
      <c r="A439" s="3" t="n">
        <v>438</v>
      </c>
      <c r="B439" s="3" t="n">
        <v>437</v>
      </c>
      <c r="C439" s="3" t="n">
        <v>0</v>
      </c>
      <c r="D439" s="3" t="n">
        <v>15</v>
      </c>
      <c r="E439" s="3" t="n">
        <v>17</v>
      </c>
      <c r="F439" s="24" t="n">
        <v>1.27795351</v>
      </c>
    </row>
    <row r="440" customFormat="false" ht="15" hidden="false" customHeight="false" outlineLevel="0" collapsed="false">
      <c r="A440" s="3" t="n">
        <v>439</v>
      </c>
      <c r="B440" s="3" t="n">
        <v>438</v>
      </c>
      <c r="C440" s="3" t="n">
        <v>0</v>
      </c>
      <c r="D440" s="3" t="n">
        <v>15</v>
      </c>
      <c r="E440" s="3" t="n">
        <v>18</v>
      </c>
      <c r="F440" s="24" t="n">
        <v>2.00980759</v>
      </c>
    </row>
    <row r="441" customFormat="false" ht="15" hidden="false" customHeight="false" outlineLevel="0" collapsed="false">
      <c r="A441" s="3" t="n">
        <v>440</v>
      </c>
      <c r="B441" s="3" t="n">
        <v>439</v>
      </c>
      <c r="C441" s="3" t="n">
        <v>0</v>
      </c>
      <c r="D441" s="3" t="n">
        <v>15</v>
      </c>
      <c r="E441" s="3" t="n">
        <v>19</v>
      </c>
      <c r="F441" s="24" t="n">
        <v>1.7347064</v>
      </c>
    </row>
    <row r="442" customFormat="false" ht="15" hidden="false" customHeight="false" outlineLevel="0" collapsed="false">
      <c r="A442" s="3" t="n">
        <v>441</v>
      </c>
      <c r="B442" s="3" t="n">
        <v>440</v>
      </c>
      <c r="C442" s="3" t="n">
        <v>0</v>
      </c>
      <c r="D442" s="3" t="n">
        <v>15</v>
      </c>
      <c r="E442" s="3" t="n">
        <v>20</v>
      </c>
      <c r="F442" s="24" t="n">
        <v>0.246925786</v>
      </c>
    </row>
    <row r="443" customFormat="false" ht="15" hidden="false" customHeight="false" outlineLevel="0" collapsed="false">
      <c r="A443" s="3" t="n">
        <v>442</v>
      </c>
      <c r="B443" s="3" t="n">
        <v>441</v>
      </c>
      <c r="C443" s="3" t="n">
        <v>0</v>
      </c>
      <c r="D443" s="3" t="n">
        <v>15</v>
      </c>
      <c r="E443" s="3" t="n">
        <v>21</v>
      </c>
      <c r="F443" s="24" t="n">
        <v>-0.0259179175</v>
      </c>
    </row>
    <row r="444" customFormat="false" ht="15" hidden="false" customHeight="false" outlineLevel="0" collapsed="false">
      <c r="A444" s="3" t="n">
        <v>443</v>
      </c>
      <c r="B444" s="3" t="n">
        <v>442</v>
      </c>
      <c r="C444" s="3" t="n">
        <v>0</v>
      </c>
      <c r="D444" s="3" t="n">
        <v>15</v>
      </c>
      <c r="E444" s="3" t="n">
        <v>22</v>
      </c>
      <c r="F444" s="24" t="n">
        <v>-0.0259179175</v>
      </c>
    </row>
    <row r="445" customFormat="false" ht="15" hidden="false" customHeight="false" outlineLevel="0" collapsed="false">
      <c r="A445" s="3" t="n">
        <v>444</v>
      </c>
      <c r="B445" s="3" t="n">
        <v>443</v>
      </c>
      <c r="C445" s="3" t="n">
        <v>0</v>
      </c>
      <c r="D445" s="3" t="n">
        <v>15</v>
      </c>
      <c r="E445" s="3" t="n">
        <v>23</v>
      </c>
      <c r="F445" s="24" t="n">
        <v>-0.0259179175</v>
      </c>
    </row>
    <row r="446" customFormat="false" ht="15" hidden="false" customHeight="false" outlineLevel="0" collapsed="false">
      <c r="A446" s="3" t="n">
        <v>445</v>
      </c>
      <c r="B446" s="3" t="n">
        <v>444</v>
      </c>
      <c r="C446" s="3" t="n">
        <v>0</v>
      </c>
      <c r="D446" s="3" t="n">
        <v>15</v>
      </c>
      <c r="E446" s="3" t="n">
        <v>24</v>
      </c>
      <c r="F446" s="24" t="n">
        <v>-0.0259179175</v>
      </c>
    </row>
    <row r="447" customFormat="false" ht="15" hidden="false" customHeight="false" outlineLevel="0" collapsed="false">
      <c r="A447" s="3" t="n">
        <v>446</v>
      </c>
      <c r="B447" s="3" t="n">
        <v>445</v>
      </c>
      <c r="C447" s="3" t="n">
        <v>0</v>
      </c>
      <c r="D447" s="3" t="n">
        <v>15</v>
      </c>
      <c r="E447" s="3" t="n">
        <v>25</v>
      </c>
      <c r="F447" s="24" t="n">
        <v>-0.0259179175</v>
      </c>
    </row>
    <row r="448" customFormat="false" ht="15" hidden="false" customHeight="false" outlineLevel="0" collapsed="false">
      <c r="A448" s="3" t="n">
        <v>447</v>
      </c>
      <c r="B448" s="3" t="n">
        <v>446</v>
      </c>
      <c r="C448" s="3" t="n">
        <v>0</v>
      </c>
      <c r="D448" s="3" t="n">
        <v>15</v>
      </c>
      <c r="E448" s="3" t="n">
        <v>26</v>
      </c>
      <c r="F448" s="24" t="n">
        <v>-0.0259179175</v>
      </c>
    </row>
    <row r="449" customFormat="false" ht="15" hidden="false" customHeight="false" outlineLevel="0" collapsed="false">
      <c r="A449" s="3" t="n">
        <v>448</v>
      </c>
      <c r="B449" s="3" t="n">
        <v>447</v>
      </c>
      <c r="C449" s="3" t="n">
        <v>0</v>
      </c>
      <c r="D449" s="3" t="n">
        <v>15</v>
      </c>
      <c r="E449" s="3" t="n">
        <v>27</v>
      </c>
      <c r="F449" s="24" t="n">
        <v>0.0673455298</v>
      </c>
    </row>
    <row r="450" customFormat="false" ht="15" hidden="false" customHeight="false" outlineLevel="0" collapsed="false">
      <c r="A450" s="3" t="n">
        <v>449</v>
      </c>
      <c r="B450" s="3" t="n">
        <v>448</v>
      </c>
      <c r="C450" s="3" t="n">
        <v>0</v>
      </c>
      <c r="D450" s="3" t="n">
        <v>16</v>
      </c>
      <c r="E450" s="3" t="n">
        <v>0</v>
      </c>
      <c r="F450" s="24" t="n">
        <v>0.10001415</v>
      </c>
    </row>
    <row r="451" customFormat="false" ht="15" hidden="false" customHeight="false" outlineLevel="0" collapsed="false">
      <c r="A451" s="3" t="n">
        <v>450</v>
      </c>
      <c r="B451" s="3" t="n">
        <v>449</v>
      </c>
      <c r="C451" s="3" t="n">
        <v>0</v>
      </c>
      <c r="D451" s="3" t="n">
        <v>16</v>
      </c>
      <c r="E451" s="3" t="n">
        <v>1</v>
      </c>
      <c r="F451" s="24" t="n">
        <v>-0.0259179175</v>
      </c>
    </row>
    <row r="452" customFormat="false" ht="15" hidden="false" customHeight="false" outlineLevel="0" collapsed="false">
      <c r="A452" s="3" t="n">
        <v>451</v>
      </c>
      <c r="B452" s="3" t="n">
        <v>450</v>
      </c>
      <c r="C452" s="3" t="n">
        <v>0</v>
      </c>
      <c r="D452" s="3" t="n">
        <v>16</v>
      </c>
      <c r="E452" s="3" t="n">
        <v>2</v>
      </c>
      <c r="F452" s="24" t="n">
        <v>-0.0259179175</v>
      </c>
    </row>
    <row r="453" customFormat="false" ht="15" hidden="false" customHeight="false" outlineLevel="0" collapsed="false">
      <c r="A453" s="3" t="n">
        <v>452</v>
      </c>
      <c r="B453" s="3" t="n">
        <v>451</v>
      </c>
      <c r="C453" s="3" t="n">
        <v>0</v>
      </c>
      <c r="D453" s="3" t="n">
        <v>16</v>
      </c>
      <c r="E453" s="3" t="n">
        <v>3</v>
      </c>
      <c r="F453" s="24" t="n">
        <v>-0.0259179175</v>
      </c>
    </row>
    <row r="454" customFormat="false" ht="15" hidden="false" customHeight="false" outlineLevel="0" collapsed="false">
      <c r="A454" s="3" t="n">
        <v>453</v>
      </c>
      <c r="B454" s="3" t="n">
        <v>452</v>
      </c>
      <c r="C454" s="3" t="n">
        <v>0</v>
      </c>
      <c r="D454" s="3" t="n">
        <v>16</v>
      </c>
      <c r="E454" s="3" t="n">
        <v>4</v>
      </c>
      <c r="F454" s="24" t="n">
        <v>-0.0259179175</v>
      </c>
    </row>
    <row r="455" customFormat="false" ht="15" hidden="false" customHeight="false" outlineLevel="0" collapsed="false">
      <c r="A455" s="3" t="n">
        <v>454</v>
      </c>
      <c r="B455" s="3" t="n">
        <v>453</v>
      </c>
      <c r="C455" s="3" t="n">
        <v>0</v>
      </c>
      <c r="D455" s="3" t="n">
        <v>16</v>
      </c>
      <c r="E455" s="3" t="n">
        <v>5</v>
      </c>
      <c r="F455" s="24" t="n">
        <v>-0.0259179175</v>
      </c>
    </row>
    <row r="456" customFormat="false" ht="15" hidden="false" customHeight="false" outlineLevel="0" collapsed="false">
      <c r="A456" s="3" t="n">
        <v>455</v>
      </c>
      <c r="B456" s="3" t="n">
        <v>454</v>
      </c>
      <c r="C456" s="3" t="n">
        <v>0</v>
      </c>
      <c r="D456" s="3" t="n">
        <v>16</v>
      </c>
      <c r="E456" s="3" t="n">
        <v>6</v>
      </c>
      <c r="F456" s="24" t="n">
        <v>-0.0259179175</v>
      </c>
    </row>
    <row r="457" customFormat="false" ht="15" hidden="false" customHeight="false" outlineLevel="0" collapsed="false">
      <c r="A457" s="3" t="n">
        <v>456</v>
      </c>
      <c r="B457" s="3" t="n">
        <v>455</v>
      </c>
      <c r="C457" s="3" t="n">
        <v>0</v>
      </c>
      <c r="D457" s="3" t="n">
        <v>16</v>
      </c>
      <c r="E457" s="3" t="n">
        <v>7</v>
      </c>
      <c r="F457" s="24" t="n">
        <v>-0.0259179175</v>
      </c>
    </row>
    <row r="458" customFormat="false" ht="15" hidden="false" customHeight="false" outlineLevel="0" collapsed="false">
      <c r="A458" s="3" t="n">
        <v>457</v>
      </c>
      <c r="B458" s="3" t="n">
        <v>456</v>
      </c>
      <c r="C458" s="3" t="n">
        <v>0</v>
      </c>
      <c r="D458" s="3" t="n">
        <v>16</v>
      </c>
      <c r="E458" s="3" t="n">
        <v>8</v>
      </c>
      <c r="F458" s="24" t="n">
        <v>-0.0259179175</v>
      </c>
    </row>
    <row r="459" customFormat="false" ht="15" hidden="false" customHeight="false" outlineLevel="0" collapsed="false">
      <c r="A459" s="3" t="n">
        <v>458</v>
      </c>
      <c r="B459" s="3" t="n">
        <v>457</v>
      </c>
      <c r="C459" s="3" t="n">
        <v>0</v>
      </c>
      <c r="D459" s="3" t="n">
        <v>16</v>
      </c>
      <c r="E459" s="3" t="n">
        <v>9</v>
      </c>
      <c r="F459" s="24" t="n">
        <v>-0.0259179175</v>
      </c>
    </row>
    <row r="460" customFormat="false" ht="15" hidden="false" customHeight="false" outlineLevel="0" collapsed="false">
      <c r="A460" s="3" t="n">
        <v>459</v>
      </c>
      <c r="B460" s="3" t="n">
        <v>458</v>
      </c>
      <c r="C460" s="3" t="n">
        <v>0</v>
      </c>
      <c r="D460" s="3" t="n">
        <v>16</v>
      </c>
      <c r="E460" s="3" t="n">
        <v>10</v>
      </c>
      <c r="F460" s="24" t="n">
        <v>-0.0259179175</v>
      </c>
    </row>
    <row r="461" customFormat="false" ht="15" hidden="false" customHeight="false" outlineLevel="0" collapsed="false">
      <c r="A461" s="3" t="n">
        <v>460</v>
      </c>
      <c r="B461" s="3" t="n">
        <v>459</v>
      </c>
      <c r="C461" s="3" t="n">
        <v>0</v>
      </c>
      <c r="D461" s="3" t="n">
        <v>16</v>
      </c>
      <c r="E461" s="3" t="n">
        <v>11</v>
      </c>
      <c r="F461" s="24" t="n">
        <v>-0.0259179175</v>
      </c>
    </row>
    <row r="462" customFormat="false" ht="15" hidden="false" customHeight="false" outlineLevel="0" collapsed="false">
      <c r="A462" s="3" t="n">
        <v>461</v>
      </c>
      <c r="B462" s="3" t="n">
        <v>460</v>
      </c>
      <c r="C462" s="3" t="n">
        <v>0</v>
      </c>
      <c r="D462" s="3" t="n">
        <v>16</v>
      </c>
      <c r="E462" s="3" t="n">
        <v>12</v>
      </c>
      <c r="F462" s="24" t="n">
        <v>-0.0259179175</v>
      </c>
    </row>
    <row r="463" customFormat="false" ht="15" hidden="false" customHeight="false" outlineLevel="0" collapsed="false">
      <c r="A463" s="3" t="n">
        <v>462</v>
      </c>
      <c r="B463" s="3" t="n">
        <v>461</v>
      </c>
      <c r="C463" s="3" t="n">
        <v>0</v>
      </c>
      <c r="D463" s="3" t="n">
        <v>16</v>
      </c>
      <c r="E463" s="3" t="n">
        <v>13</v>
      </c>
      <c r="F463" s="24" t="n">
        <v>-0.0259179175</v>
      </c>
    </row>
    <row r="464" customFormat="false" ht="15" hidden="false" customHeight="false" outlineLevel="0" collapsed="false">
      <c r="A464" s="3" t="n">
        <v>463</v>
      </c>
      <c r="B464" s="3" t="n">
        <v>462</v>
      </c>
      <c r="C464" s="3" t="n">
        <v>0</v>
      </c>
      <c r="D464" s="3" t="n">
        <v>16</v>
      </c>
      <c r="E464" s="3" t="n">
        <v>14</v>
      </c>
      <c r="F464" s="24" t="n">
        <v>0.366197526</v>
      </c>
    </row>
    <row r="465" customFormat="false" ht="15" hidden="false" customHeight="false" outlineLevel="0" collapsed="false">
      <c r="A465" s="3" t="n">
        <v>464</v>
      </c>
      <c r="B465" s="3" t="n">
        <v>463</v>
      </c>
      <c r="C465" s="3" t="n">
        <v>0</v>
      </c>
      <c r="D465" s="3" t="n">
        <v>16</v>
      </c>
      <c r="E465" s="3" t="n">
        <v>15</v>
      </c>
      <c r="F465" s="24" t="n">
        <v>1.07998526</v>
      </c>
    </row>
    <row r="466" customFormat="false" ht="15" hidden="false" customHeight="false" outlineLevel="0" collapsed="false">
      <c r="A466" s="3" t="n">
        <v>465</v>
      </c>
      <c r="B466" s="3" t="n">
        <v>464</v>
      </c>
      <c r="C466" s="3" t="n">
        <v>0</v>
      </c>
      <c r="D466" s="3" t="n">
        <v>16</v>
      </c>
      <c r="E466" s="3" t="n">
        <v>16</v>
      </c>
      <c r="F466" s="24" t="n">
        <v>1.00473785</v>
      </c>
    </row>
    <row r="467" customFormat="false" ht="15" hidden="false" customHeight="false" outlineLevel="0" collapsed="false">
      <c r="A467" s="3" t="n">
        <v>466</v>
      </c>
      <c r="B467" s="3" t="n">
        <v>465</v>
      </c>
      <c r="C467" s="3" t="n">
        <v>0</v>
      </c>
      <c r="D467" s="3" t="n">
        <v>16</v>
      </c>
      <c r="E467" s="3" t="n">
        <v>17</v>
      </c>
      <c r="F467" s="24" t="n">
        <v>1.19059777</v>
      </c>
    </row>
    <row r="468" customFormat="false" ht="15" hidden="false" customHeight="false" outlineLevel="0" collapsed="false">
      <c r="A468" s="3" t="n">
        <v>467</v>
      </c>
      <c r="B468" s="3" t="n">
        <v>466</v>
      </c>
      <c r="C468" s="3" t="n">
        <v>0</v>
      </c>
      <c r="D468" s="3" t="n">
        <v>16</v>
      </c>
      <c r="E468" s="3" t="n">
        <v>18</v>
      </c>
      <c r="F468" s="24" t="n">
        <v>1.94584572</v>
      </c>
    </row>
    <row r="469" customFormat="false" ht="15" hidden="false" customHeight="false" outlineLevel="0" collapsed="false">
      <c r="A469" s="3" t="n">
        <v>468</v>
      </c>
      <c r="B469" s="3" t="n">
        <v>467</v>
      </c>
      <c r="C469" s="3" t="n">
        <v>0</v>
      </c>
      <c r="D469" s="3" t="n">
        <v>16</v>
      </c>
      <c r="E469" s="3" t="n">
        <v>19</v>
      </c>
      <c r="F469" s="24" t="n">
        <v>0.992514133</v>
      </c>
    </row>
    <row r="470" customFormat="false" ht="15" hidden="false" customHeight="false" outlineLevel="0" collapsed="false">
      <c r="A470" s="3" t="n">
        <v>469</v>
      </c>
      <c r="B470" s="3" t="n">
        <v>468</v>
      </c>
      <c r="C470" s="3" t="n">
        <v>0</v>
      </c>
      <c r="D470" s="3" t="n">
        <v>16</v>
      </c>
      <c r="E470" s="3" t="n">
        <v>20</v>
      </c>
      <c r="F470" s="24" t="n">
        <v>-0.00560775399</v>
      </c>
    </row>
    <row r="471" customFormat="false" ht="15" hidden="false" customHeight="false" outlineLevel="0" collapsed="false">
      <c r="A471" s="3" t="n">
        <v>470</v>
      </c>
      <c r="B471" s="3" t="n">
        <v>469</v>
      </c>
      <c r="C471" s="3" t="n">
        <v>0</v>
      </c>
      <c r="D471" s="3" t="n">
        <v>16</v>
      </c>
      <c r="E471" s="3" t="n">
        <v>21</v>
      </c>
      <c r="F471" s="24" t="n">
        <v>-0.0259179175</v>
      </c>
    </row>
    <row r="472" customFormat="false" ht="15" hidden="false" customHeight="false" outlineLevel="0" collapsed="false">
      <c r="A472" s="3" t="n">
        <v>471</v>
      </c>
      <c r="B472" s="3" t="n">
        <v>470</v>
      </c>
      <c r="C472" s="3" t="n">
        <v>0</v>
      </c>
      <c r="D472" s="3" t="n">
        <v>16</v>
      </c>
      <c r="E472" s="3" t="n">
        <v>22</v>
      </c>
      <c r="F472" s="24" t="n">
        <v>-0.0259179175</v>
      </c>
    </row>
    <row r="473" customFormat="false" ht="15" hidden="false" customHeight="false" outlineLevel="0" collapsed="false">
      <c r="A473" s="3" t="n">
        <v>472</v>
      </c>
      <c r="B473" s="3" t="n">
        <v>471</v>
      </c>
      <c r="C473" s="3" t="n">
        <v>0</v>
      </c>
      <c r="D473" s="3" t="n">
        <v>16</v>
      </c>
      <c r="E473" s="3" t="n">
        <v>23</v>
      </c>
      <c r="F473" s="24" t="n">
        <v>-0.0259179175</v>
      </c>
    </row>
    <row r="474" customFormat="false" ht="15" hidden="false" customHeight="false" outlineLevel="0" collapsed="false">
      <c r="A474" s="3" t="n">
        <v>473</v>
      </c>
      <c r="B474" s="3" t="n">
        <v>472</v>
      </c>
      <c r="C474" s="3" t="n">
        <v>0</v>
      </c>
      <c r="D474" s="3" t="n">
        <v>16</v>
      </c>
      <c r="E474" s="3" t="n">
        <v>24</v>
      </c>
      <c r="F474" s="24" t="n">
        <v>-0.0259179175</v>
      </c>
    </row>
    <row r="475" customFormat="false" ht="15" hidden="false" customHeight="false" outlineLevel="0" collapsed="false">
      <c r="A475" s="3" t="n">
        <v>474</v>
      </c>
      <c r="B475" s="3" t="n">
        <v>473</v>
      </c>
      <c r="C475" s="3" t="n">
        <v>0</v>
      </c>
      <c r="D475" s="3" t="n">
        <v>16</v>
      </c>
      <c r="E475" s="3" t="n">
        <v>25</v>
      </c>
      <c r="F475" s="24" t="n">
        <v>-0.0259179175</v>
      </c>
    </row>
    <row r="476" customFormat="false" ht="15" hidden="false" customHeight="false" outlineLevel="0" collapsed="false">
      <c r="A476" s="3" t="n">
        <v>475</v>
      </c>
      <c r="B476" s="3" t="n">
        <v>474</v>
      </c>
      <c r="C476" s="3" t="n">
        <v>0</v>
      </c>
      <c r="D476" s="3" t="n">
        <v>16</v>
      </c>
      <c r="E476" s="3" t="n">
        <v>26</v>
      </c>
      <c r="F476" s="24" t="n">
        <v>-0.0259179175</v>
      </c>
    </row>
    <row r="477" customFormat="false" ht="15" hidden="false" customHeight="false" outlineLevel="0" collapsed="false">
      <c r="A477" s="3" t="n">
        <v>476</v>
      </c>
      <c r="B477" s="3" t="n">
        <v>475</v>
      </c>
      <c r="C477" s="3" t="n">
        <v>0</v>
      </c>
      <c r="D477" s="3" t="n">
        <v>16</v>
      </c>
      <c r="E477" s="3" t="n">
        <v>27</v>
      </c>
      <c r="F477" s="24" t="n">
        <v>0.0673455298</v>
      </c>
    </row>
    <row r="478" customFormat="false" ht="15" hidden="false" customHeight="false" outlineLevel="0" collapsed="false">
      <c r="A478" s="3" t="n">
        <v>477</v>
      </c>
      <c r="B478" s="3" t="n">
        <v>476</v>
      </c>
      <c r="C478" s="3" t="n">
        <v>0</v>
      </c>
      <c r="D478" s="3" t="n">
        <v>17</v>
      </c>
      <c r="E478" s="3" t="n">
        <v>0</v>
      </c>
      <c r="F478" s="24" t="n">
        <v>0.10001415</v>
      </c>
    </row>
    <row r="479" customFormat="false" ht="15" hidden="false" customHeight="false" outlineLevel="0" collapsed="false">
      <c r="A479" s="3" t="n">
        <v>478</v>
      </c>
      <c r="B479" s="3" t="n">
        <v>477</v>
      </c>
      <c r="C479" s="3" t="n">
        <v>0</v>
      </c>
      <c r="D479" s="3" t="n">
        <v>17</v>
      </c>
      <c r="E479" s="3" t="n">
        <v>1</v>
      </c>
      <c r="F479" s="24" t="n">
        <v>-0.0259179175</v>
      </c>
    </row>
    <row r="480" customFormat="false" ht="15" hidden="false" customHeight="false" outlineLevel="0" collapsed="false">
      <c r="A480" s="3" t="n">
        <v>479</v>
      </c>
      <c r="B480" s="3" t="n">
        <v>478</v>
      </c>
      <c r="C480" s="3" t="n">
        <v>0</v>
      </c>
      <c r="D480" s="3" t="n">
        <v>17</v>
      </c>
      <c r="E480" s="3" t="n">
        <v>2</v>
      </c>
      <c r="F480" s="24" t="n">
        <v>-0.0259179175</v>
      </c>
    </row>
    <row r="481" customFormat="false" ht="15" hidden="false" customHeight="false" outlineLevel="0" collapsed="false">
      <c r="A481" s="3" t="n">
        <v>480</v>
      </c>
      <c r="B481" s="3" t="n">
        <v>479</v>
      </c>
      <c r="C481" s="3" t="n">
        <v>0</v>
      </c>
      <c r="D481" s="3" t="n">
        <v>17</v>
      </c>
      <c r="E481" s="3" t="n">
        <v>3</v>
      </c>
      <c r="F481" s="24" t="n">
        <v>-0.0259179175</v>
      </c>
    </row>
    <row r="482" customFormat="false" ht="15" hidden="false" customHeight="false" outlineLevel="0" collapsed="false">
      <c r="A482" s="3" t="n">
        <v>481</v>
      </c>
      <c r="B482" s="3" t="n">
        <v>480</v>
      </c>
      <c r="C482" s="3" t="n">
        <v>0</v>
      </c>
      <c r="D482" s="3" t="n">
        <v>17</v>
      </c>
      <c r="E482" s="3" t="n">
        <v>4</v>
      </c>
      <c r="F482" s="24" t="n">
        <v>-0.0259179175</v>
      </c>
    </row>
    <row r="483" customFormat="false" ht="15" hidden="false" customHeight="false" outlineLevel="0" collapsed="false">
      <c r="A483" s="3" t="n">
        <v>482</v>
      </c>
      <c r="B483" s="3" t="n">
        <v>481</v>
      </c>
      <c r="C483" s="3" t="n">
        <v>0</v>
      </c>
      <c r="D483" s="3" t="n">
        <v>17</v>
      </c>
      <c r="E483" s="3" t="n">
        <v>5</v>
      </c>
      <c r="F483" s="24" t="n">
        <v>-0.0259179175</v>
      </c>
    </row>
    <row r="484" customFormat="false" ht="15" hidden="false" customHeight="false" outlineLevel="0" collapsed="false">
      <c r="A484" s="3" t="n">
        <v>483</v>
      </c>
      <c r="B484" s="3" t="n">
        <v>482</v>
      </c>
      <c r="C484" s="3" t="n">
        <v>0</v>
      </c>
      <c r="D484" s="3" t="n">
        <v>17</v>
      </c>
      <c r="E484" s="3" t="n">
        <v>6</v>
      </c>
      <c r="F484" s="24" t="n">
        <v>-0.0259179175</v>
      </c>
    </row>
    <row r="485" customFormat="false" ht="15" hidden="false" customHeight="false" outlineLevel="0" collapsed="false">
      <c r="A485" s="3" t="n">
        <v>484</v>
      </c>
      <c r="B485" s="3" t="n">
        <v>483</v>
      </c>
      <c r="C485" s="3" t="n">
        <v>0</v>
      </c>
      <c r="D485" s="3" t="n">
        <v>17</v>
      </c>
      <c r="E485" s="3" t="n">
        <v>7</v>
      </c>
      <c r="F485" s="24" t="n">
        <v>-0.0259179175</v>
      </c>
    </row>
    <row r="486" customFormat="false" ht="15" hidden="false" customHeight="false" outlineLevel="0" collapsed="false">
      <c r="A486" s="3" t="n">
        <v>485</v>
      </c>
      <c r="B486" s="3" t="n">
        <v>484</v>
      </c>
      <c r="C486" s="3" t="n">
        <v>0</v>
      </c>
      <c r="D486" s="3" t="n">
        <v>17</v>
      </c>
      <c r="E486" s="3" t="n">
        <v>8</v>
      </c>
      <c r="F486" s="24" t="n">
        <v>-0.0259179175</v>
      </c>
    </row>
    <row r="487" customFormat="false" ht="15" hidden="false" customHeight="false" outlineLevel="0" collapsed="false">
      <c r="A487" s="3" t="n">
        <v>486</v>
      </c>
      <c r="B487" s="3" t="n">
        <v>485</v>
      </c>
      <c r="C487" s="3" t="n">
        <v>0</v>
      </c>
      <c r="D487" s="3" t="n">
        <v>17</v>
      </c>
      <c r="E487" s="3" t="n">
        <v>9</v>
      </c>
      <c r="F487" s="24" t="n">
        <v>-0.0259179175</v>
      </c>
    </row>
    <row r="488" customFormat="false" ht="15" hidden="false" customHeight="false" outlineLevel="0" collapsed="false">
      <c r="A488" s="3" t="n">
        <v>487</v>
      </c>
      <c r="B488" s="3" t="n">
        <v>486</v>
      </c>
      <c r="C488" s="3" t="n">
        <v>0</v>
      </c>
      <c r="D488" s="3" t="n">
        <v>17</v>
      </c>
      <c r="E488" s="3" t="n">
        <v>10</v>
      </c>
      <c r="F488" s="24" t="n">
        <v>-0.0259179175</v>
      </c>
    </row>
    <row r="489" customFormat="false" ht="15" hidden="false" customHeight="false" outlineLevel="0" collapsed="false">
      <c r="A489" s="3" t="n">
        <v>488</v>
      </c>
      <c r="B489" s="3" t="n">
        <v>487</v>
      </c>
      <c r="C489" s="3" t="n">
        <v>0</v>
      </c>
      <c r="D489" s="3" t="n">
        <v>17</v>
      </c>
      <c r="E489" s="3" t="n">
        <v>11</v>
      </c>
      <c r="F489" s="24" t="n">
        <v>-0.0259179175</v>
      </c>
    </row>
    <row r="490" customFormat="false" ht="15" hidden="false" customHeight="false" outlineLevel="0" collapsed="false">
      <c r="A490" s="3" t="n">
        <v>489</v>
      </c>
      <c r="B490" s="3" t="n">
        <v>488</v>
      </c>
      <c r="C490" s="3" t="n">
        <v>0</v>
      </c>
      <c r="D490" s="3" t="n">
        <v>17</v>
      </c>
      <c r="E490" s="3" t="n">
        <v>12</v>
      </c>
      <c r="F490" s="24" t="n">
        <v>-0.0259179175</v>
      </c>
    </row>
    <row r="491" customFormat="false" ht="15" hidden="false" customHeight="false" outlineLevel="0" collapsed="false">
      <c r="A491" s="3" t="n">
        <v>490</v>
      </c>
      <c r="B491" s="3" t="n">
        <v>489</v>
      </c>
      <c r="C491" s="3" t="n">
        <v>0</v>
      </c>
      <c r="D491" s="3" t="n">
        <v>17</v>
      </c>
      <c r="E491" s="3" t="n">
        <v>13</v>
      </c>
      <c r="F491" s="24" t="n">
        <v>0.182815984</v>
      </c>
    </row>
    <row r="492" customFormat="false" ht="15" hidden="false" customHeight="false" outlineLevel="0" collapsed="false">
      <c r="A492" s="3" t="n">
        <v>491</v>
      </c>
      <c r="B492" s="3" t="n">
        <v>490</v>
      </c>
      <c r="C492" s="3" t="n">
        <v>0</v>
      </c>
      <c r="D492" s="3" t="n">
        <v>17</v>
      </c>
      <c r="E492" s="3" t="n">
        <v>14</v>
      </c>
      <c r="F492" s="24" t="n">
        <v>1.23507917</v>
      </c>
    </row>
    <row r="493" customFormat="false" ht="15" hidden="false" customHeight="false" outlineLevel="0" collapsed="false">
      <c r="A493" s="3" t="n">
        <v>492</v>
      </c>
      <c r="B493" s="3" t="n">
        <v>491</v>
      </c>
      <c r="C493" s="3" t="n">
        <v>0</v>
      </c>
      <c r="D493" s="3" t="n">
        <v>17</v>
      </c>
      <c r="E493" s="3" t="n">
        <v>15</v>
      </c>
      <c r="F493" s="24" t="n">
        <v>1.00305843</v>
      </c>
    </row>
    <row r="494" customFormat="false" ht="15" hidden="false" customHeight="false" outlineLevel="0" collapsed="false">
      <c r="A494" s="3" t="n">
        <v>493</v>
      </c>
      <c r="B494" s="3" t="n">
        <v>492</v>
      </c>
      <c r="C494" s="3" t="n">
        <v>0</v>
      </c>
      <c r="D494" s="3" t="n">
        <v>17</v>
      </c>
      <c r="E494" s="3" t="n">
        <v>16</v>
      </c>
      <c r="F494" s="24" t="n">
        <v>0.704185545</v>
      </c>
    </row>
    <row r="495" customFormat="false" ht="15" hidden="false" customHeight="false" outlineLevel="0" collapsed="false">
      <c r="A495" s="3" t="n">
        <v>494</v>
      </c>
      <c r="B495" s="3" t="n">
        <v>493</v>
      </c>
      <c r="C495" s="3" t="n">
        <v>0</v>
      </c>
      <c r="D495" s="3" t="n">
        <v>17</v>
      </c>
      <c r="E495" s="3" t="n">
        <v>17</v>
      </c>
      <c r="F495" s="24" t="n">
        <v>1.8292793</v>
      </c>
    </row>
    <row r="496" customFormat="false" ht="15" hidden="false" customHeight="false" outlineLevel="0" collapsed="false">
      <c r="A496" s="3" t="n">
        <v>495</v>
      </c>
      <c r="B496" s="3" t="n">
        <v>494</v>
      </c>
      <c r="C496" s="3" t="n">
        <v>0</v>
      </c>
      <c r="D496" s="3" t="n">
        <v>17</v>
      </c>
      <c r="E496" s="3" t="n">
        <v>18</v>
      </c>
      <c r="F496" s="24" t="n">
        <v>1.66723847</v>
      </c>
    </row>
    <row r="497" customFormat="false" ht="15" hidden="false" customHeight="false" outlineLevel="0" collapsed="false">
      <c r="A497" s="3" t="n">
        <v>496</v>
      </c>
      <c r="B497" s="3" t="n">
        <v>495</v>
      </c>
      <c r="C497" s="3" t="n">
        <v>0</v>
      </c>
      <c r="D497" s="3" t="n">
        <v>17</v>
      </c>
      <c r="E497" s="3" t="n">
        <v>19</v>
      </c>
      <c r="F497" s="24" t="n">
        <v>0.209679857</v>
      </c>
    </row>
    <row r="498" customFormat="false" ht="15" hidden="false" customHeight="false" outlineLevel="0" collapsed="false">
      <c r="A498" s="3" t="n">
        <v>497</v>
      </c>
      <c r="B498" s="3" t="n">
        <v>496</v>
      </c>
      <c r="C498" s="3" t="n">
        <v>0</v>
      </c>
      <c r="D498" s="3" t="n">
        <v>17</v>
      </c>
      <c r="E498" s="3" t="n">
        <v>20</v>
      </c>
      <c r="F498" s="24" t="n">
        <v>-0.0259179175</v>
      </c>
    </row>
    <row r="499" customFormat="false" ht="15" hidden="false" customHeight="false" outlineLevel="0" collapsed="false">
      <c r="A499" s="3" t="n">
        <v>498</v>
      </c>
      <c r="B499" s="3" t="n">
        <v>497</v>
      </c>
      <c r="C499" s="3" t="n">
        <v>0</v>
      </c>
      <c r="D499" s="3" t="n">
        <v>17</v>
      </c>
      <c r="E499" s="3" t="n">
        <v>21</v>
      </c>
      <c r="F499" s="24" t="n">
        <v>-0.0259179175</v>
      </c>
    </row>
    <row r="500" customFormat="false" ht="15" hidden="false" customHeight="false" outlineLevel="0" collapsed="false">
      <c r="A500" s="3" t="n">
        <v>499</v>
      </c>
      <c r="B500" s="3" t="n">
        <v>498</v>
      </c>
      <c r="C500" s="3" t="n">
        <v>0</v>
      </c>
      <c r="D500" s="3" t="n">
        <v>17</v>
      </c>
      <c r="E500" s="3" t="n">
        <v>22</v>
      </c>
      <c r="F500" s="24" t="n">
        <v>-0.0259179175</v>
      </c>
    </row>
    <row r="501" customFormat="false" ht="15" hidden="false" customHeight="false" outlineLevel="0" collapsed="false">
      <c r="A501" s="3" t="n">
        <v>500</v>
      </c>
      <c r="B501" s="3" t="n">
        <v>499</v>
      </c>
      <c r="C501" s="3" t="n">
        <v>0</v>
      </c>
      <c r="D501" s="3" t="n">
        <v>17</v>
      </c>
      <c r="E501" s="3" t="n">
        <v>23</v>
      </c>
      <c r="F501" s="24" t="n">
        <v>-0.0259179175</v>
      </c>
    </row>
    <row r="502" customFormat="false" ht="15" hidden="false" customHeight="false" outlineLevel="0" collapsed="false">
      <c r="A502" s="3" t="n">
        <v>501</v>
      </c>
      <c r="B502" s="3" t="n">
        <v>500</v>
      </c>
      <c r="C502" s="3" t="n">
        <v>0</v>
      </c>
      <c r="D502" s="3" t="n">
        <v>17</v>
      </c>
      <c r="E502" s="3" t="n">
        <v>24</v>
      </c>
      <c r="F502" s="24" t="n">
        <v>-0.0259179175</v>
      </c>
    </row>
    <row r="503" customFormat="false" ht="15" hidden="false" customHeight="false" outlineLevel="0" collapsed="false">
      <c r="A503" s="3" t="n">
        <v>502</v>
      </c>
      <c r="B503" s="3" t="n">
        <v>501</v>
      </c>
      <c r="C503" s="3" t="n">
        <v>0</v>
      </c>
      <c r="D503" s="3" t="n">
        <v>17</v>
      </c>
      <c r="E503" s="3" t="n">
        <v>25</v>
      </c>
      <c r="F503" s="24" t="n">
        <v>-0.0259179175</v>
      </c>
    </row>
    <row r="504" customFormat="false" ht="15" hidden="false" customHeight="false" outlineLevel="0" collapsed="false">
      <c r="A504" s="3" t="n">
        <v>503</v>
      </c>
      <c r="B504" s="3" t="n">
        <v>502</v>
      </c>
      <c r="C504" s="3" t="n">
        <v>0</v>
      </c>
      <c r="D504" s="3" t="n">
        <v>17</v>
      </c>
      <c r="E504" s="3" t="n">
        <v>26</v>
      </c>
      <c r="F504" s="24" t="n">
        <v>-0.0259179175</v>
      </c>
    </row>
    <row r="505" customFormat="false" ht="15" hidden="false" customHeight="false" outlineLevel="0" collapsed="false">
      <c r="A505" s="3" t="n">
        <v>504</v>
      </c>
      <c r="B505" s="3" t="n">
        <v>503</v>
      </c>
      <c r="C505" s="3" t="n">
        <v>0</v>
      </c>
      <c r="D505" s="3" t="n">
        <v>17</v>
      </c>
      <c r="E505" s="3" t="n">
        <v>27</v>
      </c>
      <c r="F505" s="24" t="n">
        <v>0.0673455298</v>
      </c>
    </row>
    <row r="506" customFormat="false" ht="15" hidden="false" customHeight="false" outlineLevel="0" collapsed="false">
      <c r="A506" s="3" t="n">
        <v>505</v>
      </c>
      <c r="B506" s="3" t="n">
        <v>504</v>
      </c>
      <c r="C506" s="3" t="n">
        <v>0</v>
      </c>
      <c r="D506" s="3" t="n">
        <v>18</v>
      </c>
      <c r="E506" s="3" t="n">
        <v>0</v>
      </c>
      <c r="F506" s="24" t="n">
        <v>0.10001415</v>
      </c>
    </row>
    <row r="507" customFormat="false" ht="15" hidden="false" customHeight="false" outlineLevel="0" collapsed="false">
      <c r="A507" s="3" t="n">
        <v>506</v>
      </c>
      <c r="B507" s="3" t="n">
        <v>505</v>
      </c>
      <c r="C507" s="3" t="n">
        <v>0</v>
      </c>
      <c r="D507" s="3" t="n">
        <v>18</v>
      </c>
      <c r="E507" s="3" t="n">
        <v>1</v>
      </c>
      <c r="F507" s="24" t="n">
        <v>-0.0259179175</v>
      </c>
    </row>
    <row r="508" customFormat="false" ht="15" hidden="false" customHeight="false" outlineLevel="0" collapsed="false">
      <c r="A508" s="3" t="n">
        <v>507</v>
      </c>
      <c r="B508" s="3" t="n">
        <v>506</v>
      </c>
      <c r="C508" s="3" t="n">
        <v>0</v>
      </c>
      <c r="D508" s="3" t="n">
        <v>18</v>
      </c>
      <c r="E508" s="3" t="n">
        <v>2</v>
      </c>
      <c r="F508" s="24" t="n">
        <v>-0.0259179175</v>
      </c>
    </row>
    <row r="509" customFormat="false" ht="15" hidden="false" customHeight="false" outlineLevel="0" collapsed="false">
      <c r="A509" s="3" t="n">
        <v>508</v>
      </c>
      <c r="B509" s="3" t="n">
        <v>507</v>
      </c>
      <c r="C509" s="3" t="n">
        <v>0</v>
      </c>
      <c r="D509" s="3" t="n">
        <v>18</v>
      </c>
      <c r="E509" s="3" t="n">
        <v>3</v>
      </c>
      <c r="F509" s="24" t="n">
        <v>-0.0259179175</v>
      </c>
    </row>
    <row r="510" customFormat="false" ht="15" hidden="false" customHeight="false" outlineLevel="0" collapsed="false">
      <c r="A510" s="3" t="n">
        <v>509</v>
      </c>
      <c r="B510" s="3" t="n">
        <v>508</v>
      </c>
      <c r="C510" s="3" t="n">
        <v>0</v>
      </c>
      <c r="D510" s="3" t="n">
        <v>18</v>
      </c>
      <c r="E510" s="3" t="n">
        <v>4</v>
      </c>
      <c r="F510" s="24" t="n">
        <v>-0.0259179175</v>
      </c>
    </row>
    <row r="511" customFormat="false" ht="15" hidden="false" customHeight="false" outlineLevel="0" collapsed="false">
      <c r="A511" s="3" t="n">
        <v>510</v>
      </c>
      <c r="B511" s="3" t="n">
        <v>509</v>
      </c>
      <c r="C511" s="3" t="n">
        <v>0</v>
      </c>
      <c r="D511" s="3" t="n">
        <v>18</v>
      </c>
      <c r="E511" s="3" t="n">
        <v>5</v>
      </c>
      <c r="F511" s="24" t="n">
        <v>-0.0259179175</v>
      </c>
    </row>
    <row r="512" customFormat="false" ht="15" hidden="false" customHeight="false" outlineLevel="0" collapsed="false">
      <c r="A512" s="3" t="n">
        <v>511</v>
      </c>
      <c r="B512" s="3" t="n">
        <v>510</v>
      </c>
      <c r="C512" s="3" t="n">
        <v>0</v>
      </c>
      <c r="D512" s="3" t="n">
        <v>18</v>
      </c>
      <c r="E512" s="3" t="n">
        <v>6</v>
      </c>
      <c r="F512" s="24" t="n">
        <v>-0.0259179175</v>
      </c>
    </row>
    <row r="513" customFormat="false" ht="15" hidden="false" customHeight="false" outlineLevel="0" collapsed="false">
      <c r="A513" s="3" t="n">
        <v>512</v>
      </c>
      <c r="B513" s="3" t="n">
        <v>511</v>
      </c>
      <c r="C513" s="3" t="n">
        <v>0</v>
      </c>
      <c r="D513" s="3" t="n">
        <v>18</v>
      </c>
      <c r="E513" s="3" t="n">
        <v>7</v>
      </c>
      <c r="F513" s="24" t="n">
        <v>-0.0259179175</v>
      </c>
    </row>
    <row r="514" customFormat="false" ht="15" hidden="false" customHeight="false" outlineLevel="0" collapsed="false">
      <c r="A514" s="3" t="n">
        <v>513</v>
      </c>
      <c r="B514" s="3" t="n">
        <v>512</v>
      </c>
      <c r="C514" s="3" t="n">
        <v>0</v>
      </c>
      <c r="D514" s="3" t="n">
        <v>18</v>
      </c>
      <c r="E514" s="3" t="n">
        <v>8</v>
      </c>
      <c r="F514" s="24" t="n">
        <v>-0.0259179175</v>
      </c>
    </row>
    <row r="515" customFormat="false" ht="15" hidden="false" customHeight="false" outlineLevel="0" collapsed="false">
      <c r="A515" s="3" t="n">
        <v>514</v>
      </c>
      <c r="B515" s="3" t="n">
        <v>513</v>
      </c>
      <c r="C515" s="3" t="n">
        <v>0</v>
      </c>
      <c r="D515" s="3" t="n">
        <v>18</v>
      </c>
      <c r="E515" s="3" t="n">
        <v>9</v>
      </c>
      <c r="F515" s="24" t="n">
        <v>-0.0259179175</v>
      </c>
    </row>
    <row r="516" customFormat="false" ht="15" hidden="false" customHeight="false" outlineLevel="0" collapsed="false">
      <c r="A516" s="3" t="n">
        <v>515</v>
      </c>
      <c r="B516" s="3" t="n">
        <v>514</v>
      </c>
      <c r="C516" s="3" t="n">
        <v>0</v>
      </c>
      <c r="D516" s="3" t="n">
        <v>18</v>
      </c>
      <c r="E516" s="3" t="n">
        <v>10</v>
      </c>
      <c r="F516" s="24" t="n">
        <v>-0.0259179175</v>
      </c>
    </row>
    <row r="517" customFormat="false" ht="15" hidden="false" customHeight="false" outlineLevel="0" collapsed="false">
      <c r="A517" s="3" t="n">
        <v>516</v>
      </c>
      <c r="B517" s="3" t="n">
        <v>515</v>
      </c>
      <c r="C517" s="3" t="n">
        <v>0</v>
      </c>
      <c r="D517" s="3" t="n">
        <v>18</v>
      </c>
      <c r="E517" s="3" t="n">
        <v>11</v>
      </c>
      <c r="F517" s="24" t="n">
        <v>-0.0259179175</v>
      </c>
    </row>
    <row r="518" customFormat="false" ht="15" hidden="false" customHeight="false" outlineLevel="0" collapsed="false">
      <c r="A518" s="3" t="n">
        <v>517</v>
      </c>
      <c r="B518" s="3" t="n">
        <v>516</v>
      </c>
      <c r="C518" s="3" t="n">
        <v>0</v>
      </c>
      <c r="D518" s="3" t="n">
        <v>18</v>
      </c>
      <c r="E518" s="3" t="n">
        <v>12</v>
      </c>
      <c r="F518" s="24" t="n">
        <v>0.0269613266</v>
      </c>
    </row>
    <row r="519" customFormat="false" ht="15" hidden="false" customHeight="false" outlineLevel="0" collapsed="false">
      <c r="A519" s="3" t="n">
        <v>518</v>
      </c>
      <c r="B519" s="3" t="n">
        <v>517</v>
      </c>
      <c r="C519" s="3" t="n">
        <v>0</v>
      </c>
      <c r="D519" s="3" t="n">
        <v>18</v>
      </c>
      <c r="E519" s="3" t="n">
        <v>13</v>
      </c>
      <c r="F519" s="24" t="n">
        <v>0.940470338</v>
      </c>
    </row>
    <row r="520" customFormat="false" ht="15" hidden="false" customHeight="false" outlineLevel="0" collapsed="false">
      <c r="A520" s="3" t="n">
        <v>519</v>
      </c>
      <c r="B520" s="3" t="n">
        <v>518</v>
      </c>
      <c r="C520" s="3" t="n">
        <v>0</v>
      </c>
      <c r="D520" s="3" t="n">
        <v>18</v>
      </c>
      <c r="E520" s="3" t="n">
        <v>14</v>
      </c>
      <c r="F520" s="24" t="n">
        <v>1.45832598</v>
      </c>
    </row>
    <row r="521" customFormat="false" ht="15" hidden="false" customHeight="false" outlineLevel="0" collapsed="false">
      <c r="A521" s="3" t="n">
        <v>520</v>
      </c>
      <c r="B521" s="3" t="n">
        <v>519</v>
      </c>
      <c r="C521" s="3" t="n">
        <v>0</v>
      </c>
      <c r="D521" s="3" t="n">
        <v>18</v>
      </c>
      <c r="E521" s="3" t="n">
        <v>15</v>
      </c>
      <c r="F521" s="24" t="n">
        <v>0.885538995</v>
      </c>
    </row>
    <row r="522" customFormat="false" ht="15" hidden="false" customHeight="false" outlineLevel="0" collapsed="false">
      <c r="A522" s="3" t="n">
        <v>521</v>
      </c>
      <c r="B522" s="3" t="n">
        <v>520</v>
      </c>
      <c r="C522" s="3" t="n">
        <v>0</v>
      </c>
      <c r="D522" s="3" t="n">
        <v>18</v>
      </c>
      <c r="E522" s="3" t="n">
        <v>16</v>
      </c>
      <c r="F522" s="24" t="n">
        <v>1.34566331</v>
      </c>
    </row>
    <row r="523" customFormat="false" ht="15" hidden="false" customHeight="false" outlineLevel="0" collapsed="false">
      <c r="A523" s="3" t="n">
        <v>522</v>
      </c>
      <c r="B523" s="3" t="n">
        <v>521</v>
      </c>
      <c r="C523" s="3" t="n">
        <v>0</v>
      </c>
      <c r="D523" s="3" t="n">
        <v>18</v>
      </c>
      <c r="E523" s="3" t="n">
        <v>17</v>
      </c>
      <c r="F523" s="24" t="n">
        <v>1.98879361</v>
      </c>
    </row>
    <row r="524" customFormat="false" ht="15" hidden="false" customHeight="false" outlineLevel="0" collapsed="false">
      <c r="A524" s="3" t="n">
        <v>523</v>
      </c>
      <c r="B524" s="3" t="n">
        <v>522</v>
      </c>
      <c r="C524" s="3" t="n">
        <v>0</v>
      </c>
      <c r="D524" s="3" t="n">
        <v>18</v>
      </c>
      <c r="E524" s="3" t="n">
        <v>18</v>
      </c>
      <c r="F524" s="24" t="n">
        <v>0.952746809</v>
      </c>
    </row>
    <row r="525" customFormat="false" ht="15" hidden="false" customHeight="false" outlineLevel="0" collapsed="false">
      <c r="A525" s="3" t="n">
        <v>524</v>
      </c>
      <c r="B525" s="3" t="n">
        <v>523</v>
      </c>
      <c r="C525" s="3" t="n">
        <v>0</v>
      </c>
      <c r="D525" s="3" t="n">
        <v>18</v>
      </c>
      <c r="E525" s="3" t="n">
        <v>19</v>
      </c>
      <c r="F525" s="24" t="n">
        <v>-0.0259179175</v>
      </c>
    </row>
    <row r="526" customFormat="false" ht="15" hidden="false" customHeight="false" outlineLevel="0" collapsed="false">
      <c r="A526" s="3" t="n">
        <v>525</v>
      </c>
      <c r="B526" s="3" t="n">
        <v>524</v>
      </c>
      <c r="C526" s="3" t="n">
        <v>0</v>
      </c>
      <c r="D526" s="3" t="n">
        <v>18</v>
      </c>
      <c r="E526" s="3" t="n">
        <v>20</v>
      </c>
      <c r="F526" s="24" t="n">
        <v>-0.0259179175</v>
      </c>
    </row>
    <row r="527" customFormat="false" ht="15" hidden="false" customHeight="false" outlineLevel="0" collapsed="false">
      <c r="A527" s="3" t="n">
        <v>526</v>
      </c>
      <c r="B527" s="3" t="n">
        <v>525</v>
      </c>
      <c r="C527" s="3" t="n">
        <v>0</v>
      </c>
      <c r="D527" s="3" t="n">
        <v>18</v>
      </c>
      <c r="E527" s="3" t="n">
        <v>21</v>
      </c>
      <c r="F527" s="24" t="n">
        <v>-0.0259179175</v>
      </c>
    </row>
    <row r="528" customFormat="false" ht="15" hidden="false" customHeight="false" outlineLevel="0" collapsed="false">
      <c r="A528" s="3" t="n">
        <v>527</v>
      </c>
      <c r="B528" s="3" t="n">
        <v>526</v>
      </c>
      <c r="C528" s="3" t="n">
        <v>0</v>
      </c>
      <c r="D528" s="3" t="n">
        <v>18</v>
      </c>
      <c r="E528" s="3" t="n">
        <v>22</v>
      </c>
      <c r="F528" s="24" t="n">
        <v>-0.0259179175</v>
      </c>
    </row>
    <row r="529" customFormat="false" ht="15" hidden="false" customHeight="false" outlineLevel="0" collapsed="false">
      <c r="A529" s="3" t="n">
        <v>528</v>
      </c>
      <c r="B529" s="3" t="n">
        <v>527</v>
      </c>
      <c r="C529" s="3" t="n">
        <v>0</v>
      </c>
      <c r="D529" s="3" t="n">
        <v>18</v>
      </c>
      <c r="E529" s="3" t="n">
        <v>23</v>
      </c>
      <c r="F529" s="24" t="n">
        <v>-0.0259179175</v>
      </c>
    </row>
    <row r="530" customFormat="false" ht="15" hidden="false" customHeight="false" outlineLevel="0" collapsed="false">
      <c r="A530" s="3" t="n">
        <v>529</v>
      </c>
      <c r="B530" s="3" t="n">
        <v>528</v>
      </c>
      <c r="C530" s="3" t="n">
        <v>0</v>
      </c>
      <c r="D530" s="3" t="n">
        <v>18</v>
      </c>
      <c r="E530" s="3" t="n">
        <v>24</v>
      </c>
      <c r="F530" s="24" t="n">
        <v>-0.0259179175</v>
      </c>
    </row>
    <row r="531" customFormat="false" ht="15" hidden="false" customHeight="false" outlineLevel="0" collapsed="false">
      <c r="A531" s="3" t="n">
        <v>530</v>
      </c>
      <c r="B531" s="3" t="n">
        <v>529</v>
      </c>
      <c r="C531" s="3" t="n">
        <v>0</v>
      </c>
      <c r="D531" s="3" t="n">
        <v>18</v>
      </c>
      <c r="E531" s="3" t="n">
        <v>25</v>
      </c>
      <c r="F531" s="24" t="n">
        <v>-0.0259179175</v>
      </c>
    </row>
    <row r="532" customFormat="false" ht="15" hidden="false" customHeight="false" outlineLevel="0" collapsed="false">
      <c r="A532" s="3" t="n">
        <v>531</v>
      </c>
      <c r="B532" s="3" t="n">
        <v>530</v>
      </c>
      <c r="C532" s="3" t="n">
        <v>0</v>
      </c>
      <c r="D532" s="3" t="n">
        <v>18</v>
      </c>
      <c r="E532" s="3" t="n">
        <v>26</v>
      </c>
      <c r="F532" s="24" t="n">
        <v>-0.0259179175</v>
      </c>
    </row>
    <row r="533" customFormat="false" ht="15" hidden="false" customHeight="false" outlineLevel="0" collapsed="false">
      <c r="A533" s="3" t="n">
        <v>532</v>
      </c>
      <c r="B533" s="3" t="n">
        <v>531</v>
      </c>
      <c r="C533" s="3" t="n">
        <v>0</v>
      </c>
      <c r="D533" s="3" t="n">
        <v>18</v>
      </c>
      <c r="E533" s="3" t="n">
        <v>27</v>
      </c>
      <c r="F533" s="24" t="n">
        <v>0.0673455298</v>
      </c>
    </row>
    <row r="534" customFormat="false" ht="15" hidden="false" customHeight="false" outlineLevel="0" collapsed="false">
      <c r="A534" s="3" t="n">
        <v>533</v>
      </c>
      <c r="B534" s="3" t="n">
        <v>532</v>
      </c>
      <c r="C534" s="3" t="n">
        <v>0</v>
      </c>
      <c r="D534" s="3" t="n">
        <v>19</v>
      </c>
      <c r="E534" s="3" t="n">
        <v>0</v>
      </c>
      <c r="F534" s="24" t="n">
        <v>0.10001415</v>
      </c>
    </row>
    <row r="535" customFormat="false" ht="15" hidden="false" customHeight="false" outlineLevel="0" collapsed="false">
      <c r="A535" s="3" t="n">
        <v>534</v>
      </c>
      <c r="B535" s="3" t="n">
        <v>533</v>
      </c>
      <c r="C535" s="3" t="n">
        <v>0</v>
      </c>
      <c r="D535" s="3" t="n">
        <v>19</v>
      </c>
      <c r="E535" s="3" t="n">
        <v>1</v>
      </c>
      <c r="F535" s="24" t="n">
        <v>-0.0259179175</v>
      </c>
    </row>
    <row r="536" customFormat="false" ht="15" hidden="false" customHeight="false" outlineLevel="0" collapsed="false">
      <c r="A536" s="3" t="n">
        <v>535</v>
      </c>
      <c r="B536" s="3" t="n">
        <v>534</v>
      </c>
      <c r="C536" s="3" t="n">
        <v>0</v>
      </c>
      <c r="D536" s="3" t="n">
        <v>19</v>
      </c>
      <c r="E536" s="3" t="n">
        <v>2</v>
      </c>
      <c r="F536" s="24" t="n">
        <v>-0.0259179175</v>
      </c>
    </row>
    <row r="537" customFormat="false" ht="15" hidden="false" customHeight="false" outlineLevel="0" collapsed="false">
      <c r="A537" s="3" t="n">
        <v>536</v>
      </c>
      <c r="B537" s="3" t="n">
        <v>535</v>
      </c>
      <c r="C537" s="3" t="n">
        <v>0</v>
      </c>
      <c r="D537" s="3" t="n">
        <v>19</v>
      </c>
      <c r="E537" s="3" t="n">
        <v>3</v>
      </c>
      <c r="F537" s="24" t="n">
        <v>-0.0259179175</v>
      </c>
    </row>
    <row r="538" customFormat="false" ht="15" hidden="false" customHeight="false" outlineLevel="0" collapsed="false">
      <c r="A538" s="3" t="n">
        <v>537</v>
      </c>
      <c r="B538" s="3" t="n">
        <v>536</v>
      </c>
      <c r="C538" s="3" t="n">
        <v>0</v>
      </c>
      <c r="D538" s="3" t="n">
        <v>19</v>
      </c>
      <c r="E538" s="3" t="n">
        <v>4</v>
      </c>
      <c r="F538" s="24" t="n">
        <v>-0.0259179175</v>
      </c>
    </row>
    <row r="539" customFormat="false" ht="15" hidden="false" customHeight="false" outlineLevel="0" collapsed="false">
      <c r="A539" s="3" t="n">
        <v>538</v>
      </c>
      <c r="B539" s="3" t="n">
        <v>537</v>
      </c>
      <c r="C539" s="3" t="n">
        <v>0</v>
      </c>
      <c r="D539" s="3" t="n">
        <v>19</v>
      </c>
      <c r="E539" s="3" t="n">
        <v>5</v>
      </c>
      <c r="F539" s="24" t="n">
        <v>-0.0259179175</v>
      </c>
    </row>
    <row r="540" customFormat="false" ht="15" hidden="false" customHeight="false" outlineLevel="0" collapsed="false">
      <c r="A540" s="3" t="n">
        <v>539</v>
      </c>
      <c r="B540" s="3" t="n">
        <v>538</v>
      </c>
      <c r="C540" s="3" t="n">
        <v>0</v>
      </c>
      <c r="D540" s="3" t="n">
        <v>19</v>
      </c>
      <c r="E540" s="3" t="n">
        <v>6</v>
      </c>
      <c r="F540" s="24" t="n">
        <v>-0.0259179175</v>
      </c>
    </row>
    <row r="541" customFormat="false" ht="15" hidden="false" customHeight="false" outlineLevel="0" collapsed="false">
      <c r="A541" s="3" t="n">
        <v>540</v>
      </c>
      <c r="B541" s="3" t="n">
        <v>539</v>
      </c>
      <c r="C541" s="3" t="n">
        <v>0</v>
      </c>
      <c r="D541" s="3" t="n">
        <v>19</v>
      </c>
      <c r="E541" s="3" t="n">
        <v>7</v>
      </c>
      <c r="F541" s="24" t="n">
        <v>-0.0259179175</v>
      </c>
    </row>
    <row r="542" customFormat="false" ht="15" hidden="false" customHeight="false" outlineLevel="0" collapsed="false">
      <c r="A542" s="3" t="n">
        <v>541</v>
      </c>
      <c r="B542" s="3" t="n">
        <v>540</v>
      </c>
      <c r="C542" s="3" t="n">
        <v>0</v>
      </c>
      <c r="D542" s="3" t="n">
        <v>19</v>
      </c>
      <c r="E542" s="3" t="n">
        <v>8</v>
      </c>
      <c r="F542" s="24" t="n">
        <v>-0.0259179175</v>
      </c>
    </row>
    <row r="543" customFormat="false" ht="15" hidden="false" customHeight="false" outlineLevel="0" collapsed="false">
      <c r="A543" s="3" t="n">
        <v>542</v>
      </c>
      <c r="B543" s="3" t="n">
        <v>541</v>
      </c>
      <c r="C543" s="3" t="n">
        <v>0</v>
      </c>
      <c r="D543" s="3" t="n">
        <v>19</v>
      </c>
      <c r="E543" s="3" t="n">
        <v>9</v>
      </c>
      <c r="F543" s="24" t="n">
        <v>-0.0259179175</v>
      </c>
    </row>
    <row r="544" customFormat="false" ht="15" hidden="false" customHeight="false" outlineLevel="0" collapsed="false">
      <c r="A544" s="3" t="n">
        <v>543</v>
      </c>
      <c r="B544" s="3" t="n">
        <v>542</v>
      </c>
      <c r="C544" s="3" t="n">
        <v>0</v>
      </c>
      <c r="D544" s="3" t="n">
        <v>19</v>
      </c>
      <c r="E544" s="3" t="n">
        <v>10</v>
      </c>
      <c r="F544" s="24" t="n">
        <v>-0.0259179175</v>
      </c>
    </row>
    <row r="545" customFormat="false" ht="15" hidden="false" customHeight="false" outlineLevel="0" collapsed="false">
      <c r="A545" s="3" t="n">
        <v>544</v>
      </c>
      <c r="B545" s="3" t="n">
        <v>543</v>
      </c>
      <c r="C545" s="3" t="n">
        <v>0</v>
      </c>
      <c r="D545" s="3" t="n">
        <v>19</v>
      </c>
      <c r="E545" s="3" t="n">
        <v>11</v>
      </c>
      <c r="F545" s="24" t="n">
        <v>-0.0175685883</v>
      </c>
    </row>
    <row r="546" customFormat="false" ht="15" hidden="false" customHeight="false" outlineLevel="0" collapsed="false">
      <c r="A546" s="3" t="n">
        <v>545</v>
      </c>
      <c r="B546" s="3" t="n">
        <v>544</v>
      </c>
      <c r="C546" s="3" t="n">
        <v>0</v>
      </c>
      <c r="D546" s="3" t="n">
        <v>19</v>
      </c>
      <c r="E546" s="3" t="n">
        <v>12</v>
      </c>
      <c r="F546" s="24" t="n">
        <v>0.627486706</v>
      </c>
    </row>
    <row r="547" customFormat="false" ht="15" hidden="false" customHeight="false" outlineLevel="0" collapsed="false">
      <c r="A547" s="3" t="n">
        <v>546</v>
      </c>
      <c r="B547" s="3" t="n">
        <v>545</v>
      </c>
      <c r="C547" s="3" t="n">
        <v>0</v>
      </c>
      <c r="D547" s="3" t="n">
        <v>19</v>
      </c>
      <c r="E547" s="3" t="n">
        <v>13</v>
      </c>
      <c r="F547" s="24" t="n">
        <v>1.45932758</v>
      </c>
    </row>
    <row r="548" customFormat="false" ht="15" hidden="false" customHeight="false" outlineLevel="0" collapsed="false">
      <c r="A548" s="3" t="n">
        <v>547</v>
      </c>
      <c r="B548" s="3" t="n">
        <v>546</v>
      </c>
      <c r="C548" s="3" t="n">
        <v>0</v>
      </c>
      <c r="D548" s="3" t="n">
        <v>19</v>
      </c>
      <c r="E548" s="3" t="n">
        <v>14</v>
      </c>
      <c r="F548" s="24" t="n">
        <v>0.714920759</v>
      </c>
    </row>
    <row r="549" customFormat="false" ht="15" hidden="false" customHeight="false" outlineLevel="0" collapsed="false">
      <c r="A549" s="3" t="n">
        <v>548</v>
      </c>
      <c r="B549" s="3" t="n">
        <v>547</v>
      </c>
      <c r="C549" s="3" t="n">
        <v>0</v>
      </c>
      <c r="D549" s="3" t="n">
        <v>19</v>
      </c>
      <c r="E549" s="3" t="n">
        <v>15</v>
      </c>
      <c r="F549" s="24" t="n">
        <v>1.39337802</v>
      </c>
    </row>
    <row r="550" customFormat="false" ht="15" hidden="false" customHeight="false" outlineLevel="0" collapsed="false">
      <c r="A550" s="3" t="n">
        <v>549</v>
      </c>
      <c r="B550" s="3" t="n">
        <v>548</v>
      </c>
      <c r="C550" s="3" t="n">
        <v>0</v>
      </c>
      <c r="D550" s="3" t="n">
        <v>19</v>
      </c>
      <c r="E550" s="3" t="n">
        <v>16</v>
      </c>
      <c r="F550" s="24" t="n">
        <v>2.03754807</v>
      </c>
    </row>
    <row r="551" customFormat="false" ht="15" hidden="false" customHeight="false" outlineLevel="0" collapsed="false">
      <c r="A551" s="3" t="n">
        <v>550</v>
      </c>
      <c r="B551" s="3" t="n">
        <v>549</v>
      </c>
      <c r="C551" s="3" t="n">
        <v>0</v>
      </c>
      <c r="D551" s="3" t="n">
        <v>19</v>
      </c>
      <c r="E551" s="3" t="n">
        <v>17</v>
      </c>
      <c r="F551" s="24" t="n">
        <v>1.66312551</v>
      </c>
    </row>
    <row r="552" customFormat="false" ht="15" hidden="false" customHeight="false" outlineLevel="0" collapsed="false">
      <c r="A552" s="3" t="n">
        <v>551</v>
      </c>
      <c r="B552" s="3" t="n">
        <v>550</v>
      </c>
      <c r="C552" s="3" t="n">
        <v>0</v>
      </c>
      <c r="D552" s="3" t="n">
        <v>19</v>
      </c>
      <c r="E552" s="3" t="n">
        <v>18</v>
      </c>
      <c r="F552" s="24" t="n">
        <v>0.205617815</v>
      </c>
    </row>
    <row r="553" customFormat="false" ht="15" hidden="false" customHeight="false" outlineLevel="0" collapsed="false">
      <c r="A553" s="3" t="n">
        <v>552</v>
      </c>
      <c r="B553" s="3" t="n">
        <v>551</v>
      </c>
      <c r="C553" s="3" t="n">
        <v>0</v>
      </c>
      <c r="D553" s="3" t="n">
        <v>19</v>
      </c>
      <c r="E553" s="3" t="n">
        <v>19</v>
      </c>
      <c r="F553" s="24" t="n">
        <v>-0.0259179175</v>
      </c>
    </row>
    <row r="554" customFormat="false" ht="15" hidden="false" customHeight="false" outlineLevel="0" collapsed="false">
      <c r="A554" s="3" t="n">
        <v>553</v>
      </c>
      <c r="B554" s="3" t="n">
        <v>552</v>
      </c>
      <c r="C554" s="3" t="n">
        <v>0</v>
      </c>
      <c r="D554" s="3" t="n">
        <v>19</v>
      </c>
      <c r="E554" s="3" t="n">
        <v>20</v>
      </c>
      <c r="F554" s="24" t="n">
        <v>-0.0259179175</v>
      </c>
    </row>
    <row r="555" customFormat="false" ht="15" hidden="false" customHeight="false" outlineLevel="0" collapsed="false">
      <c r="A555" s="3" t="n">
        <v>554</v>
      </c>
      <c r="B555" s="3" t="n">
        <v>553</v>
      </c>
      <c r="C555" s="3" t="n">
        <v>0</v>
      </c>
      <c r="D555" s="3" t="n">
        <v>19</v>
      </c>
      <c r="E555" s="3" t="n">
        <v>21</v>
      </c>
      <c r="F555" s="24" t="n">
        <v>-0.0259179175</v>
      </c>
    </row>
    <row r="556" customFormat="false" ht="15" hidden="false" customHeight="false" outlineLevel="0" collapsed="false">
      <c r="A556" s="3" t="n">
        <v>555</v>
      </c>
      <c r="B556" s="3" t="n">
        <v>554</v>
      </c>
      <c r="C556" s="3" t="n">
        <v>0</v>
      </c>
      <c r="D556" s="3" t="n">
        <v>19</v>
      </c>
      <c r="E556" s="3" t="n">
        <v>22</v>
      </c>
      <c r="F556" s="24" t="n">
        <v>-0.0259179175</v>
      </c>
    </row>
    <row r="557" customFormat="false" ht="15" hidden="false" customHeight="false" outlineLevel="0" collapsed="false">
      <c r="A557" s="3" t="n">
        <v>556</v>
      </c>
      <c r="B557" s="3" t="n">
        <v>555</v>
      </c>
      <c r="C557" s="3" t="n">
        <v>0</v>
      </c>
      <c r="D557" s="3" t="n">
        <v>19</v>
      </c>
      <c r="E557" s="3" t="n">
        <v>23</v>
      </c>
      <c r="F557" s="24" t="n">
        <v>-0.0259179175</v>
      </c>
    </row>
    <row r="558" customFormat="false" ht="15" hidden="false" customHeight="false" outlineLevel="0" collapsed="false">
      <c r="A558" s="3" t="n">
        <v>557</v>
      </c>
      <c r="B558" s="3" t="n">
        <v>556</v>
      </c>
      <c r="C558" s="3" t="n">
        <v>0</v>
      </c>
      <c r="D558" s="3" t="n">
        <v>19</v>
      </c>
      <c r="E558" s="3" t="n">
        <v>24</v>
      </c>
      <c r="F558" s="24" t="n">
        <v>-0.0259179175</v>
      </c>
    </row>
    <row r="559" customFormat="false" ht="15" hidden="false" customHeight="false" outlineLevel="0" collapsed="false">
      <c r="A559" s="3" t="n">
        <v>558</v>
      </c>
      <c r="B559" s="3" t="n">
        <v>557</v>
      </c>
      <c r="C559" s="3" t="n">
        <v>0</v>
      </c>
      <c r="D559" s="3" t="n">
        <v>19</v>
      </c>
      <c r="E559" s="3" t="n">
        <v>25</v>
      </c>
      <c r="F559" s="24" t="n">
        <v>-0.0259179175</v>
      </c>
    </row>
    <row r="560" customFormat="false" ht="15" hidden="false" customHeight="false" outlineLevel="0" collapsed="false">
      <c r="A560" s="3" t="n">
        <v>559</v>
      </c>
      <c r="B560" s="3" t="n">
        <v>558</v>
      </c>
      <c r="C560" s="3" t="n">
        <v>0</v>
      </c>
      <c r="D560" s="3" t="n">
        <v>19</v>
      </c>
      <c r="E560" s="3" t="n">
        <v>26</v>
      </c>
      <c r="F560" s="24" t="n">
        <v>-0.0259179175</v>
      </c>
    </row>
    <row r="561" customFormat="false" ht="15" hidden="false" customHeight="false" outlineLevel="0" collapsed="false">
      <c r="A561" s="3" t="n">
        <v>560</v>
      </c>
      <c r="B561" s="3" t="n">
        <v>559</v>
      </c>
      <c r="C561" s="3" t="n">
        <v>0</v>
      </c>
      <c r="D561" s="3" t="n">
        <v>19</v>
      </c>
      <c r="E561" s="3" t="n">
        <v>27</v>
      </c>
      <c r="F561" s="24" t="n">
        <v>0.0673455298</v>
      </c>
    </row>
    <row r="562" customFormat="false" ht="15" hidden="false" customHeight="false" outlineLevel="0" collapsed="false">
      <c r="A562" s="3" t="n">
        <v>561</v>
      </c>
      <c r="B562" s="3" t="n">
        <v>560</v>
      </c>
      <c r="C562" s="3" t="n">
        <v>0</v>
      </c>
      <c r="D562" s="3" t="n">
        <v>20</v>
      </c>
      <c r="E562" s="3" t="n">
        <v>0</v>
      </c>
      <c r="F562" s="24" t="n">
        <v>0.10001415</v>
      </c>
    </row>
    <row r="563" customFormat="false" ht="15" hidden="false" customHeight="false" outlineLevel="0" collapsed="false">
      <c r="A563" s="3" t="n">
        <v>562</v>
      </c>
      <c r="B563" s="3" t="n">
        <v>561</v>
      </c>
      <c r="C563" s="3" t="n">
        <v>0</v>
      </c>
      <c r="D563" s="3" t="n">
        <v>20</v>
      </c>
      <c r="E563" s="3" t="n">
        <v>1</v>
      </c>
      <c r="F563" s="24" t="n">
        <v>-0.0259179175</v>
      </c>
    </row>
    <row r="564" customFormat="false" ht="15" hidden="false" customHeight="false" outlineLevel="0" collapsed="false">
      <c r="A564" s="3" t="n">
        <v>563</v>
      </c>
      <c r="B564" s="3" t="n">
        <v>562</v>
      </c>
      <c r="C564" s="3" t="n">
        <v>0</v>
      </c>
      <c r="D564" s="3" t="n">
        <v>20</v>
      </c>
      <c r="E564" s="3" t="n">
        <v>2</v>
      </c>
      <c r="F564" s="24" t="n">
        <v>-0.0259179175</v>
      </c>
    </row>
    <row r="565" customFormat="false" ht="15" hidden="false" customHeight="false" outlineLevel="0" collapsed="false">
      <c r="A565" s="3" t="n">
        <v>564</v>
      </c>
      <c r="B565" s="3" t="n">
        <v>563</v>
      </c>
      <c r="C565" s="3" t="n">
        <v>0</v>
      </c>
      <c r="D565" s="3" t="n">
        <v>20</v>
      </c>
      <c r="E565" s="3" t="n">
        <v>3</v>
      </c>
      <c r="F565" s="24" t="n">
        <v>-0.0259179175</v>
      </c>
    </row>
    <row r="566" customFormat="false" ht="15" hidden="false" customHeight="false" outlineLevel="0" collapsed="false">
      <c r="A566" s="3" t="n">
        <v>565</v>
      </c>
      <c r="B566" s="3" t="n">
        <v>564</v>
      </c>
      <c r="C566" s="3" t="n">
        <v>0</v>
      </c>
      <c r="D566" s="3" t="n">
        <v>20</v>
      </c>
      <c r="E566" s="3" t="n">
        <v>4</v>
      </c>
      <c r="F566" s="24" t="n">
        <v>-0.0259179175</v>
      </c>
    </row>
    <row r="567" customFormat="false" ht="15" hidden="false" customHeight="false" outlineLevel="0" collapsed="false">
      <c r="A567" s="3" t="n">
        <v>566</v>
      </c>
      <c r="B567" s="3" t="n">
        <v>565</v>
      </c>
      <c r="C567" s="3" t="n">
        <v>0</v>
      </c>
      <c r="D567" s="3" t="n">
        <v>20</v>
      </c>
      <c r="E567" s="3" t="n">
        <v>5</v>
      </c>
      <c r="F567" s="24" t="n">
        <v>-0.0259179175</v>
      </c>
    </row>
    <row r="568" customFormat="false" ht="15" hidden="false" customHeight="false" outlineLevel="0" collapsed="false">
      <c r="A568" s="3" t="n">
        <v>567</v>
      </c>
      <c r="B568" s="3" t="n">
        <v>566</v>
      </c>
      <c r="C568" s="3" t="n">
        <v>0</v>
      </c>
      <c r="D568" s="3" t="n">
        <v>20</v>
      </c>
      <c r="E568" s="3" t="n">
        <v>6</v>
      </c>
      <c r="F568" s="24" t="n">
        <v>-0.0259179175</v>
      </c>
    </row>
    <row r="569" customFormat="false" ht="15" hidden="false" customHeight="false" outlineLevel="0" collapsed="false">
      <c r="A569" s="3" t="n">
        <v>568</v>
      </c>
      <c r="B569" s="3" t="n">
        <v>567</v>
      </c>
      <c r="C569" s="3" t="n">
        <v>0</v>
      </c>
      <c r="D569" s="3" t="n">
        <v>20</v>
      </c>
      <c r="E569" s="3" t="n">
        <v>7</v>
      </c>
      <c r="F569" s="24" t="n">
        <v>-0.0259179175</v>
      </c>
    </row>
    <row r="570" customFormat="false" ht="15" hidden="false" customHeight="false" outlineLevel="0" collapsed="false">
      <c r="A570" s="3" t="n">
        <v>569</v>
      </c>
      <c r="B570" s="3" t="n">
        <v>568</v>
      </c>
      <c r="C570" s="3" t="n">
        <v>0</v>
      </c>
      <c r="D570" s="3" t="n">
        <v>20</v>
      </c>
      <c r="E570" s="3" t="n">
        <v>8</v>
      </c>
      <c r="F570" s="24" t="n">
        <v>-0.0259179175</v>
      </c>
    </row>
    <row r="571" customFormat="false" ht="15" hidden="false" customHeight="false" outlineLevel="0" collapsed="false">
      <c r="A571" s="3" t="n">
        <v>570</v>
      </c>
      <c r="B571" s="3" t="n">
        <v>569</v>
      </c>
      <c r="C571" s="3" t="n">
        <v>0</v>
      </c>
      <c r="D571" s="3" t="n">
        <v>20</v>
      </c>
      <c r="E571" s="3" t="n">
        <v>9</v>
      </c>
      <c r="F571" s="24" t="n">
        <v>-0.0259179175</v>
      </c>
    </row>
    <row r="572" customFormat="false" ht="15" hidden="false" customHeight="false" outlineLevel="0" collapsed="false">
      <c r="A572" s="3" t="n">
        <v>571</v>
      </c>
      <c r="B572" s="3" t="n">
        <v>570</v>
      </c>
      <c r="C572" s="3" t="n">
        <v>0</v>
      </c>
      <c r="D572" s="3" t="n">
        <v>20</v>
      </c>
      <c r="E572" s="3" t="n">
        <v>10</v>
      </c>
      <c r="F572" s="24" t="n">
        <v>-0.0259179175</v>
      </c>
    </row>
    <row r="573" customFormat="false" ht="15" hidden="false" customHeight="false" outlineLevel="0" collapsed="false">
      <c r="A573" s="3" t="n">
        <v>572</v>
      </c>
      <c r="B573" s="3" t="n">
        <v>571</v>
      </c>
      <c r="C573" s="3" t="n">
        <v>0</v>
      </c>
      <c r="D573" s="3" t="n">
        <v>20</v>
      </c>
      <c r="E573" s="3" t="n">
        <v>11</v>
      </c>
      <c r="F573" s="24" t="n">
        <v>0.0936547518</v>
      </c>
    </row>
    <row r="574" customFormat="false" ht="15" hidden="false" customHeight="false" outlineLevel="0" collapsed="false">
      <c r="A574" s="3" t="n">
        <v>573</v>
      </c>
      <c r="B574" s="3" t="n">
        <v>572</v>
      </c>
      <c r="C574" s="3" t="n">
        <v>0</v>
      </c>
      <c r="D574" s="3" t="n">
        <v>20</v>
      </c>
      <c r="E574" s="3" t="n">
        <v>12</v>
      </c>
      <c r="F574" s="24" t="n">
        <v>1.5491066</v>
      </c>
    </row>
    <row r="575" customFormat="false" ht="15" hidden="false" customHeight="false" outlineLevel="0" collapsed="false">
      <c r="A575" s="3" t="n">
        <v>574</v>
      </c>
      <c r="B575" s="3" t="n">
        <v>573</v>
      </c>
      <c r="C575" s="3" t="n">
        <v>0</v>
      </c>
      <c r="D575" s="3" t="n">
        <v>20</v>
      </c>
      <c r="E575" s="3" t="n">
        <v>13</v>
      </c>
      <c r="F575" s="24" t="n">
        <v>1.3998965</v>
      </c>
    </row>
    <row r="576" customFormat="false" ht="15" hidden="false" customHeight="false" outlineLevel="0" collapsed="false">
      <c r="A576" s="3" t="n">
        <v>575</v>
      </c>
      <c r="B576" s="3" t="n">
        <v>574</v>
      </c>
      <c r="C576" s="3" t="n">
        <v>0</v>
      </c>
      <c r="D576" s="3" t="n">
        <v>20</v>
      </c>
      <c r="E576" s="3" t="n">
        <v>14</v>
      </c>
      <c r="F576" s="24" t="n">
        <v>1.30644226</v>
      </c>
    </row>
    <row r="577" customFormat="false" ht="15" hidden="false" customHeight="false" outlineLevel="0" collapsed="false">
      <c r="A577" s="3" t="n">
        <v>576</v>
      </c>
      <c r="B577" s="3" t="n">
        <v>575</v>
      </c>
      <c r="C577" s="3" t="n">
        <v>0</v>
      </c>
      <c r="D577" s="3" t="n">
        <v>20</v>
      </c>
      <c r="E577" s="3" t="n">
        <v>15</v>
      </c>
      <c r="F577" s="24" t="n">
        <v>1.62796807</v>
      </c>
    </row>
    <row r="578" customFormat="false" ht="15" hidden="false" customHeight="false" outlineLevel="0" collapsed="false">
      <c r="A578" s="3" t="n">
        <v>577</v>
      </c>
      <c r="B578" s="3" t="n">
        <v>576</v>
      </c>
      <c r="C578" s="3" t="n">
        <v>0</v>
      </c>
      <c r="D578" s="3" t="n">
        <v>20</v>
      </c>
      <c r="E578" s="3" t="n">
        <v>16</v>
      </c>
      <c r="F578" s="24" t="n">
        <v>2.18752241</v>
      </c>
    </row>
    <row r="579" customFormat="false" ht="15" hidden="false" customHeight="false" outlineLevel="0" collapsed="false">
      <c r="A579" s="3" t="n">
        <v>578</v>
      </c>
      <c r="B579" s="3" t="n">
        <v>577</v>
      </c>
      <c r="C579" s="3" t="n">
        <v>0</v>
      </c>
      <c r="D579" s="3" t="n">
        <v>20</v>
      </c>
      <c r="E579" s="3" t="n">
        <v>17</v>
      </c>
      <c r="F579" s="24" t="n">
        <v>0.795364022</v>
      </c>
    </row>
    <row r="580" customFormat="false" ht="15" hidden="false" customHeight="false" outlineLevel="0" collapsed="false">
      <c r="A580" s="3" t="n">
        <v>579</v>
      </c>
      <c r="B580" s="3" t="n">
        <v>578</v>
      </c>
      <c r="C580" s="3" t="n">
        <v>0</v>
      </c>
      <c r="D580" s="3" t="n">
        <v>20</v>
      </c>
      <c r="E580" s="3" t="n">
        <v>18</v>
      </c>
      <c r="F580" s="24" t="n">
        <v>-0.0259179175</v>
      </c>
    </row>
    <row r="581" customFormat="false" ht="15" hidden="false" customHeight="false" outlineLevel="0" collapsed="false">
      <c r="A581" s="3" t="n">
        <v>580</v>
      </c>
      <c r="B581" s="3" t="n">
        <v>579</v>
      </c>
      <c r="C581" s="3" t="n">
        <v>0</v>
      </c>
      <c r="D581" s="3" t="n">
        <v>20</v>
      </c>
      <c r="E581" s="3" t="n">
        <v>19</v>
      </c>
      <c r="F581" s="24" t="n">
        <v>-0.0259179175</v>
      </c>
    </row>
    <row r="582" customFormat="false" ht="15" hidden="false" customHeight="false" outlineLevel="0" collapsed="false">
      <c r="A582" s="3" t="n">
        <v>581</v>
      </c>
      <c r="B582" s="3" t="n">
        <v>580</v>
      </c>
      <c r="C582" s="3" t="n">
        <v>0</v>
      </c>
      <c r="D582" s="3" t="n">
        <v>20</v>
      </c>
      <c r="E582" s="3" t="n">
        <v>20</v>
      </c>
      <c r="F582" s="24" t="n">
        <v>-0.0259179175</v>
      </c>
    </row>
    <row r="583" customFormat="false" ht="15" hidden="false" customHeight="false" outlineLevel="0" collapsed="false">
      <c r="A583" s="3" t="n">
        <v>582</v>
      </c>
      <c r="B583" s="3" t="n">
        <v>581</v>
      </c>
      <c r="C583" s="3" t="n">
        <v>0</v>
      </c>
      <c r="D583" s="3" t="n">
        <v>20</v>
      </c>
      <c r="E583" s="3" t="n">
        <v>21</v>
      </c>
      <c r="F583" s="24" t="n">
        <v>-0.0259179175</v>
      </c>
    </row>
    <row r="584" customFormat="false" ht="15" hidden="false" customHeight="false" outlineLevel="0" collapsed="false">
      <c r="A584" s="3" t="n">
        <v>583</v>
      </c>
      <c r="B584" s="3" t="n">
        <v>582</v>
      </c>
      <c r="C584" s="3" t="n">
        <v>0</v>
      </c>
      <c r="D584" s="3" t="n">
        <v>20</v>
      </c>
      <c r="E584" s="3" t="n">
        <v>22</v>
      </c>
      <c r="F584" s="24" t="n">
        <v>-0.0259179175</v>
      </c>
    </row>
    <row r="585" customFormat="false" ht="15" hidden="false" customHeight="false" outlineLevel="0" collapsed="false">
      <c r="A585" s="3" t="n">
        <v>584</v>
      </c>
      <c r="B585" s="3" t="n">
        <v>583</v>
      </c>
      <c r="C585" s="3" t="n">
        <v>0</v>
      </c>
      <c r="D585" s="3" t="n">
        <v>20</v>
      </c>
      <c r="E585" s="3" t="n">
        <v>23</v>
      </c>
      <c r="F585" s="24" t="n">
        <v>-0.0259179175</v>
      </c>
    </row>
    <row r="586" customFormat="false" ht="15" hidden="false" customHeight="false" outlineLevel="0" collapsed="false">
      <c r="A586" s="3" t="n">
        <v>585</v>
      </c>
      <c r="B586" s="3" t="n">
        <v>584</v>
      </c>
      <c r="C586" s="3" t="n">
        <v>0</v>
      </c>
      <c r="D586" s="3" t="n">
        <v>20</v>
      </c>
      <c r="E586" s="3" t="n">
        <v>24</v>
      </c>
      <c r="F586" s="24" t="n">
        <v>-0.0259179175</v>
      </c>
    </row>
    <row r="587" customFormat="false" ht="15" hidden="false" customHeight="false" outlineLevel="0" collapsed="false">
      <c r="A587" s="3" t="n">
        <v>586</v>
      </c>
      <c r="B587" s="3" t="n">
        <v>585</v>
      </c>
      <c r="C587" s="3" t="n">
        <v>0</v>
      </c>
      <c r="D587" s="3" t="n">
        <v>20</v>
      </c>
      <c r="E587" s="3" t="n">
        <v>25</v>
      </c>
      <c r="F587" s="24" t="n">
        <v>-0.0259179175</v>
      </c>
    </row>
    <row r="588" customFormat="false" ht="15" hidden="false" customHeight="false" outlineLevel="0" collapsed="false">
      <c r="A588" s="3" t="n">
        <v>587</v>
      </c>
      <c r="B588" s="3" t="n">
        <v>586</v>
      </c>
      <c r="C588" s="3" t="n">
        <v>0</v>
      </c>
      <c r="D588" s="3" t="n">
        <v>20</v>
      </c>
      <c r="E588" s="3" t="n">
        <v>26</v>
      </c>
      <c r="F588" s="24" t="n">
        <v>-0.0259179175</v>
      </c>
    </row>
    <row r="589" customFormat="false" ht="15" hidden="false" customHeight="false" outlineLevel="0" collapsed="false">
      <c r="A589" s="3" t="n">
        <v>588</v>
      </c>
      <c r="B589" s="3" t="n">
        <v>587</v>
      </c>
      <c r="C589" s="3" t="n">
        <v>0</v>
      </c>
      <c r="D589" s="3" t="n">
        <v>20</v>
      </c>
      <c r="E589" s="3" t="n">
        <v>27</v>
      </c>
      <c r="F589" s="24" t="n">
        <v>0.0673455298</v>
      </c>
    </row>
    <row r="590" customFormat="false" ht="15" hidden="false" customHeight="false" outlineLevel="0" collapsed="false">
      <c r="A590" s="3" t="n">
        <v>589</v>
      </c>
      <c r="B590" s="3" t="n">
        <v>588</v>
      </c>
      <c r="C590" s="3" t="n">
        <v>0</v>
      </c>
      <c r="D590" s="3" t="n">
        <v>21</v>
      </c>
      <c r="E590" s="3" t="n">
        <v>0</v>
      </c>
      <c r="F590" s="24" t="n">
        <v>0.10001415</v>
      </c>
    </row>
    <row r="591" customFormat="false" ht="15" hidden="false" customHeight="false" outlineLevel="0" collapsed="false">
      <c r="A591" s="3" t="n">
        <v>590</v>
      </c>
      <c r="B591" s="3" t="n">
        <v>589</v>
      </c>
      <c r="C591" s="3" t="n">
        <v>0</v>
      </c>
      <c r="D591" s="3" t="n">
        <v>21</v>
      </c>
      <c r="E591" s="3" t="n">
        <v>1</v>
      </c>
      <c r="F591" s="24" t="n">
        <v>-0.0259179175</v>
      </c>
    </row>
    <row r="592" customFormat="false" ht="15" hidden="false" customHeight="false" outlineLevel="0" collapsed="false">
      <c r="A592" s="3" t="n">
        <v>591</v>
      </c>
      <c r="B592" s="3" t="n">
        <v>590</v>
      </c>
      <c r="C592" s="3" t="n">
        <v>0</v>
      </c>
      <c r="D592" s="3" t="n">
        <v>21</v>
      </c>
      <c r="E592" s="3" t="n">
        <v>2</v>
      </c>
      <c r="F592" s="24" t="n">
        <v>-0.0259179175</v>
      </c>
    </row>
    <row r="593" customFormat="false" ht="15" hidden="false" customHeight="false" outlineLevel="0" collapsed="false">
      <c r="A593" s="3" t="n">
        <v>592</v>
      </c>
      <c r="B593" s="3" t="n">
        <v>591</v>
      </c>
      <c r="C593" s="3" t="n">
        <v>0</v>
      </c>
      <c r="D593" s="3" t="n">
        <v>21</v>
      </c>
      <c r="E593" s="3" t="n">
        <v>3</v>
      </c>
      <c r="F593" s="24" t="n">
        <v>-0.0259179175</v>
      </c>
    </row>
    <row r="594" customFormat="false" ht="15" hidden="false" customHeight="false" outlineLevel="0" collapsed="false">
      <c r="A594" s="3" t="n">
        <v>593</v>
      </c>
      <c r="B594" s="3" t="n">
        <v>592</v>
      </c>
      <c r="C594" s="3" t="n">
        <v>0</v>
      </c>
      <c r="D594" s="3" t="n">
        <v>21</v>
      </c>
      <c r="E594" s="3" t="n">
        <v>4</v>
      </c>
      <c r="F594" s="24" t="n">
        <v>-0.0259179175</v>
      </c>
    </row>
    <row r="595" customFormat="false" ht="15" hidden="false" customHeight="false" outlineLevel="0" collapsed="false">
      <c r="A595" s="3" t="n">
        <v>594</v>
      </c>
      <c r="B595" s="3" t="n">
        <v>593</v>
      </c>
      <c r="C595" s="3" t="n">
        <v>0</v>
      </c>
      <c r="D595" s="3" t="n">
        <v>21</v>
      </c>
      <c r="E595" s="3" t="n">
        <v>5</v>
      </c>
      <c r="F595" s="24" t="n">
        <v>-0.0259179175</v>
      </c>
    </row>
    <row r="596" customFormat="false" ht="15" hidden="false" customHeight="false" outlineLevel="0" collapsed="false">
      <c r="A596" s="3" t="n">
        <v>595</v>
      </c>
      <c r="B596" s="3" t="n">
        <v>594</v>
      </c>
      <c r="C596" s="3" t="n">
        <v>0</v>
      </c>
      <c r="D596" s="3" t="n">
        <v>21</v>
      </c>
      <c r="E596" s="3" t="n">
        <v>6</v>
      </c>
      <c r="F596" s="24" t="n">
        <v>-0.0259179175</v>
      </c>
    </row>
    <row r="597" customFormat="false" ht="15" hidden="false" customHeight="false" outlineLevel="0" collapsed="false">
      <c r="A597" s="3" t="n">
        <v>596</v>
      </c>
      <c r="B597" s="3" t="n">
        <v>595</v>
      </c>
      <c r="C597" s="3" t="n">
        <v>0</v>
      </c>
      <c r="D597" s="3" t="n">
        <v>21</v>
      </c>
      <c r="E597" s="3" t="n">
        <v>7</v>
      </c>
      <c r="F597" s="24" t="n">
        <v>-0.0259179175</v>
      </c>
    </row>
    <row r="598" customFormat="false" ht="15" hidden="false" customHeight="false" outlineLevel="0" collapsed="false">
      <c r="A598" s="3" t="n">
        <v>597</v>
      </c>
      <c r="B598" s="3" t="n">
        <v>596</v>
      </c>
      <c r="C598" s="3" t="n">
        <v>0</v>
      </c>
      <c r="D598" s="3" t="n">
        <v>21</v>
      </c>
      <c r="E598" s="3" t="n">
        <v>8</v>
      </c>
      <c r="F598" s="24" t="n">
        <v>-0.0259179175</v>
      </c>
    </row>
    <row r="599" customFormat="false" ht="15" hidden="false" customHeight="false" outlineLevel="0" collapsed="false">
      <c r="A599" s="3" t="n">
        <v>598</v>
      </c>
      <c r="B599" s="3" t="n">
        <v>597</v>
      </c>
      <c r="C599" s="3" t="n">
        <v>0</v>
      </c>
      <c r="D599" s="3" t="n">
        <v>21</v>
      </c>
      <c r="E599" s="3" t="n">
        <v>9</v>
      </c>
      <c r="F599" s="24" t="n">
        <v>-0.0259179175</v>
      </c>
    </row>
    <row r="600" customFormat="false" ht="15" hidden="false" customHeight="false" outlineLevel="0" collapsed="false">
      <c r="A600" s="3" t="n">
        <v>599</v>
      </c>
      <c r="B600" s="3" t="n">
        <v>598</v>
      </c>
      <c r="C600" s="3" t="n">
        <v>0</v>
      </c>
      <c r="D600" s="3" t="n">
        <v>21</v>
      </c>
      <c r="E600" s="3" t="n">
        <v>10</v>
      </c>
      <c r="F600" s="24" t="n">
        <v>0.0603587627</v>
      </c>
    </row>
    <row r="601" customFormat="false" ht="15" hidden="false" customHeight="false" outlineLevel="0" collapsed="false">
      <c r="A601" s="3" t="n">
        <v>600</v>
      </c>
      <c r="B601" s="3" t="n">
        <v>599</v>
      </c>
      <c r="C601" s="3" t="n">
        <v>0</v>
      </c>
      <c r="D601" s="3" t="n">
        <v>21</v>
      </c>
      <c r="E601" s="3" t="n">
        <v>11</v>
      </c>
      <c r="F601" s="24" t="n">
        <v>0.768443406</v>
      </c>
    </row>
    <row r="602" customFormat="false" ht="15" hidden="false" customHeight="false" outlineLevel="0" collapsed="false">
      <c r="A602" s="3" t="n">
        <v>601</v>
      </c>
      <c r="B602" s="3" t="n">
        <v>600</v>
      </c>
      <c r="C602" s="3" t="n">
        <v>0</v>
      </c>
      <c r="D602" s="3" t="n">
        <v>21</v>
      </c>
      <c r="E602" s="3" t="n">
        <v>12</v>
      </c>
      <c r="F602" s="24" t="n">
        <v>0.968669355</v>
      </c>
    </row>
    <row r="603" customFormat="false" ht="15" hidden="false" customHeight="false" outlineLevel="0" collapsed="false">
      <c r="A603" s="3" t="n">
        <v>602</v>
      </c>
      <c r="B603" s="3" t="n">
        <v>601</v>
      </c>
      <c r="C603" s="3" t="n">
        <v>0</v>
      </c>
      <c r="D603" s="3" t="n">
        <v>21</v>
      </c>
      <c r="E603" s="3" t="n">
        <v>13</v>
      </c>
      <c r="F603" s="24" t="n">
        <v>0.895010829</v>
      </c>
    </row>
    <row r="604" customFormat="false" ht="15" hidden="false" customHeight="false" outlineLevel="0" collapsed="false">
      <c r="A604" s="3" t="n">
        <v>603</v>
      </c>
      <c r="B604" s="3" t="n">
        <v>602</v>
      </c>
      <c r="C604" s="3" t="n">
        <v>0</v>
      </c>
      <c r="D604" s="3" t="n">
        <v>21</v>
      </c>
      <c r="E604" s="3" t="n">
        <v>14</v>
      </c>
      <c r="F604" s="24" t="n">
        <v>1.62034321</v>
      </c>
    </row>
    <row r="605" customFormat="false" ht="15" hidden="false" customHeight="false" outlineLevel="0" collapsed="false">
      <c r="A605" s="3" t="n">
        <v>604</v>
      </c>
      <c r="B605" s="3" t="n">
        <v>603</v>
      </c>
      <c r="C605" s="3" t="n">
        <v>0</v>
      </c>
      <c r="D605" s="3" t="n">
        <v>21</v>
      </c>
      <c r="E605" s="3" t="n">
        <v>15</v>
      </c>
      <c r="F605" s="24" t="n">
        <v>2.28631163</v>
      </c>
    </row>
    <row r="606" customFormat="false" ht="15" hidden="false" customHeight="false" outlineLevel="0" collapsed="false">
      <c r="A606" s="3" t="n">
        <v>605</v>
      </c>
      <c r="B606" s="3" t="n">
        <v>604</v>
      </c>
      <c r="C606" s="3" t="n">
        <v>0</v>
      </c>
      <c r="D606" s="3" t="n">
        <v>21</v>
      </c>
      <c r="E606" s="3" t="n">
        <v>16</v>
      </c>
      <c r="F606" s="24" t="n">
        <v>1.28935337</v>
      </c>
    </row>
    <row r="607" customFormat="false" ht="15" hidden="false" customHeight="false" outlineLevel="0" collapsed="false">
      <c r="A607" s="3" t="n">
        <v>606</v>
      </c>
      <c r="B607" s="3" t="n">
        <v>605</v>
      </c>
      <c r="C607" s="3" t="n">
        <v>0</v>
      </c>
      <c r="D607" s="3" t="n">
        <v>21</v>
      </c>
      <c r="E607" s="3" t="n">
        <v>17</v>
      </c>
      <c r="F607" s="24" t="n">
        <v>0.116253138</v>
      </c>
    </row>
    <row r="608" customFormat="false" ht="15" hidden="false" customHeight="false" outlineLevel="0" collapsed="false">
      <c r="A608" s="3" t="n">
        <v>607</v>
      </c>
      <c r="B608" s="3" t="n">
        <v>606</v>
      </c>
      <c r="C608" s="3" t="n">
        <v>0</v>
      </c>
      <c r="D608" s="3" t="n">
        <v>21</v>
      </c>
      <c r="E608" s="3" t="n">
        <v>18</v>
      </c>
      <c r="F608" s="24" t="n">
        <v>-0.0259179175</v>
      </c>
    </row>
    <row r="609" customFormat="false" ht="15" hidden="false" customHeight="false" outlineLevel="0" collapsed="false">
      <c r="A609" s="3" t="n">
        <v>608</v>
      </c>
      <c r="B609" s="3" t="n">
        <v>607</v>
      </c>
      <c r="C609" s="3" t="n">
        <v>0</v>
      </c>
      <c r="D609" s="3" t="n">
        <v>21</v>
      </c>
      <c r="E609" s="3" t="n">
        <v>19</v>
      </c>
      <c r="F609" s="24" t="n">
        <v>-0.0259179175</v>
      </c>
    </row>
    <row r="610" customFormat="false" ht="15" hidden="false" customHeight="false" outlineLevel="0" collapsed="false">
      <c r="A610" s="3" t="n">
        <v>609</v>
      </c>
      <c r="B610" s="3" t="n">
        <v>608</v>
      </c>
      <c r="C610" s="3" t="n">
        <v>0</v>
      </c>
      <c r="D610" s="3" t="n">
        <v>21</v>
      </c>
      <c r="E610" s="3" t="n">
        <v>20</v>
      </c>
      <c r="F610" s="24" t="n">
        <v>-0.0259179175</v>
      </c>
    </row>
    <row r="611" customFormat="false" ht="15" hidden="false" customHeight="false" outlineLevel="0" collapsed="false">
      <c r="A611" s="3" t="n">
        <v>610</v>
      </c>
      <c r="B611" s="3" t="n">
        <v>609</v>
      </c>
      <c r="C611" s="3" t="n">
        <v>0</v>
      </c>
      <c r="D611" s="3" t="n">
        <v>21</v>
      </c>
      <c r="E611" s="3" t="n">
        <v>21</v>
      </c>
      <c r="F611" s="24" t="n">
        <v>-0.0259179175</v>
      </c>
    </row>
    <row r="612" customFormat="false" ht="15" hidden="false" customHeight="false" outlineLevel="0" collapsed="false">
      <c r="A612" s="3" t="n">
        <v>611</v>
      </c>
      <c r="B612" s="3" t="n">
        <v>610</v>
      </c>
      <c r="C612" s="3" t="n">
        <v>0</v>
      </c>
      <c r="D612" s="3" t="n">
        <v>21</v>
      </c>
      <c r="E612" s="3" t="n">
        <v>22</v>
      </c>
      <c r="F612" s="24" t="n">
        <v>-0.0259179175</v>
      </c>
    </row>
    <row r="613" customFormat="false" ht="15" hidden="false" customHeight="false" outlineLevel="0" collapsed="false">
      <c r="A613" s="3" t="n">
        <v>612</v>
      </c>
      <c r="B613" s="3" t="n">
        <v>611</v>
      </c>
      <c r="C613" s="3" t="n">
        <v>0</v>
      </c>
      <c r="D613" s="3" t="n">
        <v>21</v>
      </c>
      <c r="E613" s="3" t="n">
        <v>23</v>
      </c>
      <c r="F613" s="24" t="n">
        <v>-0.0259179175</v>
      </c>
    </row>
    <row r="614" customFormat="false" ht="15" hidden="false" customHeight="false" outlineLevel="0" collapsed="false">
      <c r="A614" s="3" t="n">
        <v>613</v>
      </c>
      <c r="B614" s="3" t="n">
        <v>612</v>
      </c>
      <c r="C614" s="3" t="n">
        <v>0</v>
      </c>
      <c r="D614" s="3" t="n">
        <v>21</v>
      </c>
      <c r="E614" s="3" t="n">
        <v>24</v>
      </c>
      <c r="F614" s="24" t="n">
        <v>-0.0259179175</v>
      </c>
    </row>
    <row r="615" customFormat="false" ht="15" hidden="false" customHeight="false" outlineLevel="0" collapsed="false">
      <c r="A615" s="3" t="n">
        <v>614</v>
      </c>
      <c r="B615" s="3" t="n">
        <v>613</v>
      </c>
      <c r="C615" s="3" t="n">
        <v>0</v>
      </c>
      <c r="D615" s="3" t="n">
        <v>21</v>
      </c>
      <c r="E615" s="3" t="n">
        <v>25</v>
      </c>
      <c r="F615" s="24" t="n">
        <v>-0.0259179175</v>
      </c>
    </row>
    <row r="616" customFormat="false" ht="15" hidden="false" customHeight="false" outlineLevel="0" collapsed="false">
      <c r="A616" s="3" t="n">
        <v>615</v>
      </c>
      <c r="B616" s="3" t="n">
        <v>614</v>
      </c>
      <c r="C616" s="3" t="n">
        <v>0</v>
      </c>
      <c r="D616" s="3" t="n">
        <v>21</v>
      </c>
      <c r="E616" s="3" t="n">
        <v>26</v>
      </c>
      <c r="F616" s="24" t="n">
        <v>-0.0259179175</v>
      </c>
    </row>
    <row r="617" customFormat="false" ht="15" hidden="false" customHeight="false" outlineLevel="0" collapsed="false">
      <c r="A617" s="3" t="n">
        <v>616</v>
      </c>
      <c r="B617" s="3" t="n">
        <v>615</v>
      </c>
      <c r="C617" s="3" t="n">
        <v>0</v>
      </c>
      <c r="D617" s="3" t="n">
        <v>21</v>
      </c>
      <c r="E617" s="3" t="n">
        <v>27</v>
      </c>
      <c r="F617" s="24" t="n">
        <v>0.0673455298</v>
      </c>
    </row>
    <row r="618" customFormat="false" ht="15" hidden="false" customHeight="false" outlineLevel="0" collapsed="false">
      <c r="A618" s="3" t="n">
        <v>617</v>
      </c>
      <c r="B618" s="3" t="n">
        <v>616</v>
      </c>
      <c r="C618" s="3" t="n">
        <v>0</v>
      </c>
      <c r="D618" s="3" t="n">
        <v>22</v>
      </c>
      <c r="E618" s="3" t="n">
        <v>0</v>
      </c>
      <c r="F618" s="24" t="n">
        <v>0.10001415</v>
      </c>
    </row>
    <row r="619" customFormat="false" ht="15" hidden="false" customHeight="false" outlineLevel="0" collapsed="false">
      <c r="A619" s="3" t="n">
        <v>618</v>
      </c>
      <c r="B619" s="3" t="n">
        <v>617</v>
      </c>
      <c r="C619" s="3" t="n">
        <v>0</v>
      </c>
      <c r="D619" s="3" t="n">
        <v>22</v>
      </c>
      <c r="E619" s="3" t="n">
        <v>1</v>
      </c>
      <c r="F619" s="24" t="n">
        <v>-0.0259179175</v>
      </c>
    </row>
    <row r="620" customFormat="false" ht="15" hidden="false" customHeight="false" outlineLevel="0" collapsed="false">
      <c r="A620" s="3" t="n">
        <v>619</v>
      </c>
      <c r="B620" s="3" t="n">
        <v>618</v>
      </c>
      <c r="C620" s="3" t="n">
        <v>0</v>
      </c>
      <c r="D620" s="3" t="n">
        <v>22</v>
      </c>
      <c r="E620" s="3" t="n">
        <v>2</v>
      </c>
      <c r="F620" s="24" t="n">
        <v>-0.0259179175</v>
      </c>
    </row>
    <row r="621" customFormat="false" ht="15" hidden="false" customHeight="false" outlineLevel="0" collapsed="false">
      <c r="A621" s="3" t="n">
        <v>620</v>
      </c>
      <c r="B621" s="3" t="n">
        <v>619</v>
      </c>
      <c r="C621" s="3" t="n">
        <v>0</v>
      </c>
      <c r="D621" s="3" t="n">
        <v>22</v>
      </c>
      <c r="E621" s="3" t="n">
        <v>3</v>
      </c>
      <c r="F621" s="24" t="n">
        <v>-0.0259179175</v>
      </c>
    </row>
    <row r="622" customFormat="false" ht="15" hidden="false" customHeight="false" outlineLevel="0" collapsed="false">
      <c r="A622" s="3" t="n">
        <v>621</v>
      </c>
      <c r="B622" s="3" t="n">
        <v>620</v>
      </c>
      <c r="C622" s="3" t="n">
        <v>0</v>
      </c>
      <c r="D622" s="3" t="n">
        <v>22</v>
      </c>
      <c r="E622" s="3" t="n">
        <v>4</v>
      </c>
      <c r="F622" s="24" t="n">
        <v>-0.0259179175</v>
      </c>
    </row>
    <row r="623" customFormat="false" ht="15" hidden="false" customHeight="false" outlineLevel="0" collapsed="false">
      <c r="A623" s="3" t="n">
        <v>622</v>
      </c>
      <c r="B623" s="3" t="n">
        <v>621</v>
      </c>
      <c r="C623" s="3" t="n">
        <v>0</v>
      </c>
      <c r="D623" s="3" t="n">
        <v>22</v>
      </c>
      <c r="E623" s="3" t="n">
        <v>5</v>
      </c>
      <c r="F623" s="24" t="n">
        <v>-0.0259179175</v>
      </c>
    </row>
    <row r="624" customFormat="false" ht="15" hidden="false" customHeight="false" outlineLevel="0" collapsed="false">
      <c r="A624" s="3" t="n">
        <v>623</v>
      </c>
      <c r="B624" s="3" t="n">
        <v>622</v>
      </c>
      <c r="C624" s="3" t="n">
        <v>0</v>
      </c>
      <c r="D624" s="3" t="n">
        <v>22</v>
      </c>
      <c r="E624" s="3" t="n">
        <v>6</v>
      </c>
      <c r="F624" s="24" t="n">
        <v>-0.0259179175</v>
      </c>
    </row>
    <row r="625" customFormat="false" ht="15" hidden="false" customHeight="false" outlineLevel="0" collapsed="false">
      <c r="A625" s="3" t="n">
        <v>624</v>
      </c>
      <c r="B625" s="3" t="n">
        <v>623</v>
      </c>
      <c r="C625" s="3" t="n">
        <v>0</v>
      </c>
      <c r="D625" s="3" t="n">
        <v>22</v>
      </c>
      <c r="E625" s="3" t="n">
        <v>7</v>
      </c>
      <c r="F625" s="24" t="n">
        <v>-0.0259179175</v>
      </c>
    </row>
    <row r="626" customFormat="false" ht="15" hidden="false" customHeight="false" outlineLevel="0" collapsed="false">
      <c r="A626" s="3" t="n">
        <v>625</v>
      </c>
      <c r="B626" s="3" t="n">
        <v>624</v>
      </c>
      <c r="C626" s="3" t="n">
        <v>0</v>
      </c>
      <c r="D626" s="3" t="n">
        <v>22</v>
      </c>
      <c r="E626" s="3" t="n">
        <v>8</v>
      </c>
      <c r="F626" s="24" t="n">
        <v>-0.0259179175</v>
      </c>
    </row>
    <row r="627" customFormat="false" ht="15" hidden="false" customHeight="false" outlineLevel="0" collapsed="false">
      <c r="A627" s="3" t="n">
        <v>626</v>
      </c>
      <c r="B627" s="3" t="n">
        <v>625</v>
      </c>
      <c r="C627" s="3" t="n">
        <v>0</v>
      </c>
      <c r="D627" s="3" t="n">
        <v>22</v>
      </c>
      <c r="E627" s="3" t="n">
        <v>9</v>
      </c>
      <c r="F627" s="24" t="n">
        <v>-0.0259179175</v>
      </c>
    </row>
    <row r="628" customFormat="false" ht="15" hidden="false" customHeight="false" outlineLevel="0" collapsed="false">
      <c r="A628" s="3" t="n">
        <v>627</v>
      </c>
      <c r="B628" s="3" t="n">
        <v>626</v>
      </c>
      <c r="C628" s="3" t="n">
        <v>0</v>
      </c>
      <c r="D628" s="3" t="n">
        <v>22</v>
      </c>
      <c r="E628" s="3" t="n">
        <v>10</v>
      </c>
      <c r="F628" s="24" t="n">
        <v>0.486983329</v>
      </c>
    </row>
    <row r="629" customFormat="false" ht="15" hidden="false" customHeight="false" outlineLevel="0" collapsed="false">
      <c r="A629" s="3" t="n">
        <v>628</v>
      </c>
      <c r="B629" s="3" t="n">
        <v>627</v>
      </c>
      <c r="C629" s="3" t="n">
        <v>0</v>
      </c>
      <c r="D629" s="3" t="n">
        <v>22</v>
      </c>
      <c r="E629" s="3" t="n">
        <v>11</v>
      </c>
      <c r="F629" s="24" t="n">
        <v>1.66892886</v>
      </c>
    </row>
    <row r="630" customFormat="false" ht="15" hidden="false" customHeight="false" outlineLevel="0" collapsed="false">
      <c r="A630" s="3" t="n">
        <v>629</v>
      </c>
      <c r="B630" s="3" t="n">
        <v>628</v>
      </c>
      <c r="C630" s="3" t="n">
        <v>0</v>
      </c>
      <c r="D630" s="3" t="n">
        <v>22</v>
      </c>
      <c r="E630" s="3" t="n">
        <v>12</v>
      </c>
      <c r="F630" s="24" t="n">
        <v>1.05849087</v>
      </c>
    </row>
    <row r="631" customFormat="false" ht="15" hidden="false" customHeight="false" outlineLevel="0" collapsed="false">
      <c r="A631" s="3" t="n">
        <v>630</v>
      </c>
      <c r="B631" s="3" t="n">
        <v>629</v>
      </c>
      <c r="C631" s="3" t="n">
        <v>0</v>
      </c>
      <c r="D631" s="3" t="n">
        <v>22</v>
      </c>
      <c r="E631" s="3" t="n">
        <v>13</v>
      </c>
      <c r="F631" s="24" t="n">
        <v>1.02404225</v>
      </c>
    </row>
    <row r="632" customFormat="false" ht="15" hidden="false" customHeight="false" outlineLevel="0" collapsed="false">
      <c r="A632" s="3" t="n">
        <v>631</v>
      </c>
      <c r="B632" s="3" t="n">
        <v>630</v>
      </c>
      <c r="C632" s="3" t="n">
        <v>0</v>
      </c>
      <c r="D632" s="3" t="n">
        <v>22</v>
      </c>
      <c r="E632" s="3" t="n">
        <v>14</v>
      </c>
      <c r="F632" s="24" t="n">
        <v>1.70707202</v>
      </c>
    </row>
    <row r="633" customFormat="false" ht="15" hidden="false" customHeight="false" outlineLevel="0" collapsed="false">
      <c r="A633" s="3" t="n">
        <v>632</v>
      </c>
      <c r="B633" s="3" t="n">
        <v>631</v>
      </c>
      <c r="C633" s="3" t="n">
        <v>0</v>
      </c>
      <c r="D633" s="3" t="n">
        <v>22</v>
      </c>
      <c r="E633" s="3" t="n">
        <v>15</v>
      </c>
      <c r="F633" s="24" t="n">
        <v>1.49350905</v>
      </c>
    </row>
    <row r="634" customFormat="false" ht="15" hidden="false" customHeight="false" outlineLevel="0" collapsed="false">
      <c r="A634" s="3" t="n">
        <v>633</v>
      </c>
      <c r="B634" s="3" t="n">
        <v>632</v>
      </c>
      <c r="C634" s="3" t="n">
        <v>0</v>
      </c>
      <c r="D634" s="3" t="n">
        <v>22</v>
      </c>
      <c r="E634" s="3" t="n">
        <v>16</v>
      </c>
      <c r="F634" s="24" t="n">
        <v>0.291058004</v>
      </c>
    </row>
    <row r="635" customFormat="false" ht="15" hidden="false" customHeight="false" outlineLevel="0" collapsed="false">
      <c r="A635" s="3" t="n">
        <v>634</v>
      </c>
      <c r="B635" s="3" t="n">
        <v>633</v>
      </c>
      <c r="C635" s="3" t="n">
        <v>0</v>
      </c>
      <c r="D635" s="3" t="n">
        <v>22</v>
      </c>
      <c r="E635" s="3" t="n">
        <v>17</v>
      </c>
      <c r="F635" s="24" t="n">
        <v>-0.0259179175</v>
      </c>
    </row>
    <row r="636" customFormat="false" ht="15" hidden="false" customHeight="false" outlineLevel="0" collapsed="false">
      <c r="A636" s="3" t="n">
        <v>635</v>
      </c>
      <c r="B636" s="3" t="n">
        <v>634</v>
      </c>
      <c r="C636" s="3" t="n">
        <v>0</v>
      </c>
      <c r="D636" s="3" t="n">
        <v>22</v>
      </c>
      <c r="E636" s="3" t="n">
        <v>18</v>
      </c>
      <c r="F636" s="24" t="n">
        <v>-0.0259179175</v>
      </c>
    </row>
    <row r="637" customFormat="false" ht="15" hidden="false" customHeight="false" outlineLevel="0" collapsed="false">
      <c r="A637" s="3" t="n">
        <v>636</v>
      </c>
      <c r="B637" s="3" t="n">
        <v>635</v>
      </c>
      <c r="C637" s="3" t="n">
        <v>0</v>
      </c>
      <c r="D637" s="3" t="n">
        <v>22</v>
      </c>
      <c r="E637" s="3" t="n">
        <v>19</v>
      </c>
      <c r="F637" s="24" t="n">
        <v>-0.0259179175</v>
      </c>
    </row>
    <row r="638" customFormat="false" ht="15" hidden="false" customHeight="false" outlineLevel="0" collapsed="false">
      <c r="A638" s="3" t="n">
        <v>637</v>
      </c>
      <c r="B638" s="3" t="n">
        <v>636</v>
      </c>
      <c r="C638" s="3" t="n">
        <v>0</v>
      </c>
      <c r="D638" s="3" t="n">
        <v>22</v>
      </c>
      <c r="E638" s="3" t="n">
        <v>20</v>
      </c>
      <c r="F638" s="24" t="n">
        <v>-0.0259179175</v>
      </c>
    </row>
    <row r="639" customFormat="false" ht="15" hidden="false" customHeight="false" outlineLevel="0" collapsed="false">
      <c r="A639" s="3" t="n">
        <v>638</v>
      </c>
      <c r="B639" s="3" t="n">
        <v>637</v>
      </c>
      <c r="C639" s="3" t="n">
        <v>0</v>
      </c>
      <c r="D639" s="3" t="n">
        <v>22</v>
      </c>
      <c r="E639" s="3" t="n">
        <v>21</v>
      </c>
      <c r="F639" s="24" t="n">
        <v>-0.0259179175</v>
      </c>
    </row>
    <row r="640" customFormat="false" ht="15" hidden="false" customHeight="false" outlineLevel="0" collapsed="false">
      <c r="A640" s="3" t="n">
        <v>639</v>
      </c>
      <c r="B640" s="3" t="n">
        <v>638</v>
      </c>
      <c r="C640" s="3" t="n">
        <v>0</v>
      </c>
      <c r="D640" s="3" t="n">
        <v>22</v>
      </c>
      <c r="E640" s="3" t="n">
        <v>22</v>
      </c>
      <c r="F640" s="24" t="n">
        <v>-0.0259179175</v>
      </c>
    </row>
    <row r="641" customFormat="false" ht="15" hidden="false" customHeight="false" outlineLevel="0" collapsed="false">
      <c r="A641" s="3" t="n">
        <v>640</v>
      </c>
      <c r="B641" s="3" t="n">
        <v>639</v>
      </c>
      <c r="C641" s="3" t="n">
        <v>0</v>
      </c>
      <c r="D641" s="3" t="n">
        <v>22</v>
      </c>
      <c r="E641" s="3" t="n">
        <v>23</v>
      </c>
      <c r="F641" s="24" t="n">
        <v>-0.0259179175</v>
      </c>
    </row>
    <row r="642" customFormat="false" ht="15" hidden="false" customHeight="false" outlineLevel="0" collapsed="false">
      <c r="A642" s="3" t="n">
        <v>641</v>
      </c>
      <c r="B642" s="3" t="n">
        <v>640</v>
      </c>
      <c r="C642" s="3" t="n">
        <v>0</v>
      </c>
      <c r="D642" s="3" t="n">
        <v>22</v>
      </c>
      <c r="E642" s="3" t="n">
        <v>24</v>
      </c>
      <c r="F642" s="24" t="n">
        <v>-0.0259179175</v>
      </c>
    </row>
    <row r="643" customFormat="false" ht="15" hidden="false" customHeight="false" outlineLevel="0" collapsed="false">
      <c r="A643" s="3" t="n">
        <v>642</v>
      </c>
      <c r="B643" s="3" t="n">
        <v>641</v>
      </c>
      <c r="C643" s="3" t="n">
        <v>0</v>
      </c>
      <c r="D643" s="3" t="n">
        <v>22</v>
      </c>
      <c r="E643" s="3" t="n">
        <v>25</v>
      </c>
      <c r="F643" s="24" t="n">
        <v>-0.0259179175</v>
      </c>
    </row>
    <row r="644" customFormat="false" ht="15" hidden="false" customHeight="false" outlineLevel="0" collapsed="false">
      <c r="A644" s="3" t="n">
        <v>643</v>
      </c>
      <c r="B644" s="3" t="n">
        <v>642</v>
      </c>
      <c r="C644" s="3" t="n">
        <v>0</v>
      </c>
      <c r="D644" s="3" t="n">
        <v>22</v>
      </c>
      <c r="E644" s="3" t="n">
        <v>26</v>
      </c>
      <c r="F644" s="24" t="n">
        <v>-0.0259179175</v>
      </c>
    </row>
    <row r="645" customFormat="false" ht="15" hidden="false" customHeight="false" outlineLevel="0" collapsed="false">
      <c r="A645" s="3" t="n">
        <v>644</v>
      </c>
      <c r="B645" s="3" t="n">
        <v>643</v>
      </c>
      <c r="C645" s="3" t="n">
        <v>0</v>
      </c>
      <c r="D645" s="3" t="n">
        <v>22</v>
      </c>
      <c r="E645" s="3" t="n">
        <v>27</v>
      </c>
      <c r="F645" s="24" t="n">
        <v>0.0673455298</v>
      </c>
    </row>
    <row r="646" customFormat="false" ht="15" hidden="false" customHeight="false" outlineLevel="0" collapsed="false">
      <c r="A646" s="3" t="n">
        <v>645</v>
      </c>
      <c r="B646" s="3" t="n">
        <v>644</v>
      </c>
      <c r="C646" s="3" t="n">
        <v>0</v>
      </c>
      <c r="D646" s="3" t="n">
        <v>23</v>
      </c>
      <c r="E646" s="3" t="n">
        <v>0</v>
      </c>
      <c r="F646" s="24" t="n">
        <v>0.10001415</v>
      </c>
    </row>
    <row r="647" customFormat="false" ht="15" hidden="false" customHeight="false" outlineLevel="0" collapsed="false">
      <c r="A647" s="3" t="n">
        <v>646</v>
      </c>
      <c r="B647" s="3" t="n">
        <v>645</v>
      </c>
      <c r="C647" s="3" t="n">
        <v>0</v>
      </c>
      <c r="D647" s="3" t="n">
        <v>23</v>
      </c>
      <c r="E647" s="3" t="n">
        <v>1</v>
      </c>
      <c r="F647" s="24" t="n">
        <v>-0.0259179175</v>
      </c>
    </row>
    <row r="648" customFormat="false" ht="15" hidden="false" customHeight="false" outlineLevel="0" collapsed="false">
      <c r="A648" s="3" t="n">
        <v>647</v>
      </c>
      <c r="B648" s="3" t="n">
        <v>646</v>
      </c>
      <c r="C648" s="3" t="n">
        <v>0</v>
      </c>
      <c r="D648" s="3" t="n">
        <v>23</v>
      </c>
      <c r="E648" s="3" t="n">
        <v>2</v>
      </c>
      <c r="F648" s="24" t="n">
        <v>-0.0259179175</v>
      </c>
    </row>
    <row r="649" customFormat="false" ht="15" hidden="false" customHeight="false" outlineLevel="0" collapsed="false">
      <c r="A649" s="3" t="n">
        <v>648</v>
      </c>
      <c r="B649" s="3" t="n">
        <v>647</v>
      </c>
      <c r="C649" s="3" t="n">
        <v>0</v>
      </c>
      <c r="D649" s="3" t="n">
        <v>23</v>
      </c>
      <c r="E649" s="3" t="n">
        <v>3</v>
      </c>
      <c r="F649" s="24" t="n">
        <v>-0.0259179175</v>
      </c>
    </row>
    <row r="650" customFormat="false" ht="15" hidden="false" customHeight="false" outlineLevel="0" collapsed="false">
      <c r="A650" s="3" t="n">
        <v>649</v>
      </c>
      <c r="B650" s="3" t="n">
        <v>648</v>
      </c>
      <c r="C650" s="3" t="n">
        <v>0</v>
      </c>
      <c r="D650" s="3" t="n">
        <v>23</v>
      </c>
      <c r="E650" s="3" t="n">
        <v>4</v>
      </c>
      <c r="F650" s="24" t="n">
        <v>-0.0259179175</v>
      </c>
    </row>
    <row r="651" customFormat="false" ht="15" hidden="false" customHeight="false" outlineLevel="0" collapsed="false">
      <c r="A651" s="3" t="n">
        <v>650</v>
      </c>
      <c r="B651" s="3" t="n">
        <v>649</v>
      </c>
      <c r="C651" s="3" t="n">
        <v>0</v>
      </c>
      <c r="D651" s="3" t="n">
        <v>23</v>
      </c>
      <c r="E651" s="3" t="n">
        <v>5</v>
      </c>
      <c r="F651" s="24" t="n">
        <v>-0.0259179175</v>
      </c>
    </row>
    <row r="652" customFormat="false" ht="15" hidden="false" customHeight="false" outlineLevel="0" collapsed="false">
      <c r="A652" s="3" t="n">
        <v>651</v>
      </c>
      <c r="B652" s="3" t="n">
        <v>650</v>
      </c>
      <c r="C652" s="3" t="n">
        <v>0</v>
      </c>
      <c r="D652" s="3" t="n">
        <v>23</v>
      </c>
      <c r="E652" s="3" t="n">
        <v>6</v>
      </c>
      <c r="F652" s="24" t="n">
        <v>-0.0259179175</v>
      </c>
    </row>
    <row r="653" customFormat="false" ht="15" hidden="false" customHeight="false" outlineLevel="0" collapsed="false">
      <c r="A653" s="3" t="n">
        <v>652</v>
      </c>
      <c r="B653" s="3" t="n">
        <v>651</v>
      </c>
      <c r="C653" s="3" t="n">
        <v>0</v>
      </c>
      <c r="D653" s="3" t="n">
        <v>23</v>
      </c>
      <c r="E653" s="3" t="n">
        <v>7</v>
      </c>
      <c r="F653" s="24" t="n">
        <v>-0.0259179175</v>
      </c>
    </row>
    <row r="654" customFormat="false" ht="15" hidden="false" customHeight="false" outlineLevel="0" collapsed="false">
      <c r="A654" s="3" t="n">
        <v>653</v>
      </c>
      <c r="B654" s="3" t="n">
        <v>652</v>
      </c>
      <c r="C654" s="3" t="n">
        <v>0</v>
      </c>
      <c r="D654" s="3" t="n">
        <v>23</v>
      </c>
      <c r="E654" s="3" t="n">
        <v>8</v>
      </c>
      <c r="F654" s="24" t="n">
        <v>-0.0259179175</v>
      </c>
    </row>
    <row r="655" customFormat="false" ht="15" hidden="false" customHeight="false" outlineLevel="0" collapsed="false">
      <c r="A655" s="3" t="n">
        <v>654</v>
      </c>
      <c r="B655" s="3" t="n">
        <v>653</v>
      </c>
      <c r="C655" s="3" t="n">
        <v>0</v>
      </c>
      <c r="D655" s="3" t="n">
        <v>23</v>
      </c>
      <c r="E655" s="3" t="n">
        <v>9</v>
      </c>
      <c r="F655" s="24" t="n">
        <v>0.143852323</v>
      </c>
    </row>
    <row r="656" customFormat="false" ht="15" hidden="false" customHeight="false" outlineLevel="0" collapsed="false">
      <c r="A656" s="3" t="n">
        <v>655</v>
      </c>
      <c r="B656" s="3" t="n">
        <v>654</v>
      </c>
      <c r="C656" s="3" t="n">
        <v>0</v>
      </c>
      <c r="D656" s="3" t="n">
        <v>23</v>
      </c>
      <c r="E656" s="3" t="n">
        <v>10</v>
      </c>
      <c r="F656" s="24" t="n">
        <v>1.13689947</v>
      </c>
    </row>
    <row r="657" customFormat="false" ht="15" hidden="false" customHeight="false" outlineLevel="0" collapsed="false">
      <c r="A657" s="3" t="n">
        <v>656</v>
      </c>
      <c r="B657" s="3" t="n">
        <v>655</v>
      </c>
      <c r="C657" s="3" t="n">
        <v>0</v>
      </c>
      <c r="D657" s="3" t="n">
        <v>23</v>
      </c>
      <c r="E657" s="3" t="n">
        <v>11</v>
      </c>
      <c r="F657" s="24" t="n">
        <v>1.1020174</v>
      </c>
    </row>
    <row r="658" customFormat="false" ht="15" hidden="false" customHeight="false" outlineLevel="0" collapsed="false">
      <c r="A658" s="3" t="n">
        <v>657</v>
      </c>
      <c r="B658" s="3" t="n">
        <v>656</v>
      </c>
      <c r="C658" s="3" t="n">
        <v>0</v>
      </c>
      <c r="D658" s="3" t="n">
        <v>23</v>
      </c>
      <c r="E658" s="3" t="n">
        <v>12</v>
      </c>
      <c r="F658" s="24" t="n">
        <v>1.77794611</v>
      </c>
    </row>
    <row r="659" customFormat="false" ht="15" hidden="false" customHeight="false" outlineLevel="0" collapsed="false">
      <c r="A659" s="3" t="n">
        <v>658</v>
      </c>
      <c r="B659" s="3" t="n">
        <v>657</v>
      </c>
      <c r="C659" s="3" t="n">
        <v>0</v>
      </c>
      <c r="D659" s="3" t="n">
        <v>23</v>
      </c>
      <c r="E659" s="3" t="n">
        <v>13</v>
      </c>
      <c r="F659" s="24" t="n">
        <v>2.25341463</v>
      </c>
    </row>
    <row r="660" customFormat="false" ht="15" hidden="false" customHeight="false" outlineLevel="0" collapsed="false">
      <c r="A660" s="3" t="n">
        <v>659</v>
      </c>
      <c r="B660" s="3" t="n">
        <v>658</v>
      </c>
      <c r="C660" s="3" t="n">
        <v>0</v>
      </c>
      <c r="D660" s="3" t="n">
        <v>23</v>
      </c>
      <c r="E660" s="3" t="n">
        <v>14</v>
      </c>
      <c r="F660" s="24" t="n">
        <v>1.44598436</v>
      </c>
    </row>
    <row r="661" customFormat="false" ht="15" hidden="false" customHeight="false" outlineLevel="0" collapsed="false">
      <c r="A661" s="3" t="n">
        <v>660</v>
      </c>
      <c r="B661" s="3" t="n">
        <v>659</v>
      </c>
      <c r="C661" s="3" t="n">
        <v>0</v>
      </c>
      <c r="D661" s="3" t="n">
        <v>23</v>
      </c>
      <c r="E661" s="3" t="n">
        <v>15</v>
      </c>
      <c r="F661" s="24" t="n">
        <v>0.429524064</v>
      </c>
    </row>
    <row r="662" customFormat="false" ht="15" hidden="false" customHeight="false" outlineLevel="0" collapsed="false">
      <c r="A662" s="3" t="n">
        <v>661</v>
      </c>
      <c r="B662" s="3" t="n">
        <v>660</v>
      </c>
      <c r="C662" s="3" t="n">
        <v>0</v>
      </c>
      <c r="D662" s="3" t="n">
        <v>23</v>
      </c>
      <c r="E662" s="3" t="n">
        <v>16</v>
      </c>
      <c r="F662" s="24" t="n">
        <v>-0.0218558609</v>
      </c>
    </row>
    <row r="663" customFormat="false" ht="15" hidden="false" customHeight="false" outlineLevel="0" collapsed="false">
      <c r="A663" s="3" t="n">
        <v>662</v>
      </c>
      <c r="B663" s="3" t="n">
        <v>661</v>
      </c>
      <c r="C663" s="3" t="n">
        <v>0</v>
      </c>
      <c r="D663" s="3" t="n">
        <v>23</v>
      </c>
      <c r="E663" s="3" t="n">
        <v>17</v>
      </c>
      <c r="F663" s="24" t="n">
        <v>-0.0259179175</v>
      </c>
    </row>
    <row r="664" customFormat="false" ht="15" hidden="false" customHeight="false" outlineLevel="0" collapsed="false">
      <c r="A664" s="3" t="n">
        <v>663</v>
      </c>
      <c r="B664" s="3" t="n">
        <v>662</v>
      </c>
      <c r="C664" s="3" t="n">
        <v>0</v>
      </c>
      <c r="D664" s="3" t="n">
        <v>23</v>
      </c>
      <c r="E664" s="3" t="n">
        <v>18</v>
      </c>
      <c r="F664" s="24" t="n">
        <v>-0.0259179175</v>
      </c>
    </row>
    <row r="665" customFormat="false" ht="15" hidden="false" customHeight="false" outlineLevel="0" collapsed="false">
      <c r="A665" s="3" t="n">
        <v>664</v>
      </c>
      <c r="B665" s="3" t="n">
        <v>663</v>
      </c>
      <c r="C665" s="3" t="n">
        <v>0</v>
      </c>
      <c r="D665" s="3" t="n">
        <v>23</v>
      </c>
      <c r="E665" s="3" t="n">
        <v>19</v>
      </c>
      <c r="F665" s="24" t="n">
        <v>-0.0259179175</v>
      </c>
    </row>
    <row r="666" customFormat="false" ht="15" hidden="false" customHeight="false" outlineLevel="0" collapsed="false">
      <c r="A666" s="3" t="n">
        <v>665</v>
      </c>
      <c r="B666" s="3" t="n">
        <v>664</v>
      </c>
      <c r="C666" s="3" t="n">
        <v>0</v>
      </c>
      <c r="D666" s="3" t="n">
        <v>23</v>
      </c>
      <c r="E666" s="3" t="n">
        <v>20</v>
      </c>
      <c r="F666" s="24" t="n">
        <v>-0.0259179175</v>
      </c>
    </row>
    <row r="667" customFormat="false" ht="15" hidden="false" customHeight="false" outlineLevel="0" collapsed="false">
      <c r="A667" s="3" t="n">
        <v>666</v>
      </c>
      <c r="B667" s="3" t="n">
        <v>665</v>
      </c>
      <c r="C667" s="3" t="n">
        <v>0</v>
      </c>
      <c r="D667" s="3" t="n">
        <v>23</v>
      </c>
      <c r="E667" s="3" t="n">
        <v>21</v>
      </c>
      <c r="F667" s="24" t="n">
        <v>-0.0259179175</v>
      </c>
    </row>
    <row r="668" customFormat="false" ht="15" hidden="false" customHeight="false" outlineLevel="0" collapsed="false">
      <c r="A668" s="3" t="n">
        <v>667</v>
      </c>
      <c r="B668" s="3" t="n">
        <v>666</v>
      </c>
      <c r="C668" s="3" t="n">
        <v>0</v>
      </c>
      <c r="D668" s="3" t="n">
        <v>23</v>
      </c>
      <c r="E668" s="3" t="n">
        <v>22</v>
      </c>
      <c r="F668" s="24" t="n">
        <v>-0.0259179175</v>
      </c>
    </row>
    <row r="669" customFormat="false" ht="15" hidden="false" customHeight="false" outlineLevel="0" collapsed="false">
      <c r="A669" s="3" t="n">
        <v>668</v>
      </c>
      <c r="B669" s="3" t="n">
        <v>667</v>
      </c>
      <c r="C669" s="3" t="n">
        <v>0</v>
      </c>
      <c r="D669" s="3" t="n">
        <v>23</v>
      </c>
      <c r="E669" s="3" t="n">
        <v>23</v>
      </c>
      <c r="F669" s="24" t="n">
        <v>-0.0259179175</v>
      </c>
    </row>
    <row r="670" customFormat="false" ht="15" hidden="false" customHeight="false" outlineLevel="0" collapsed="false">
      <c r="A670" s="3" t="n">
        <v>669</v>
      </c>
      <c r="B670" s="3" t="n">
        <v>668</v>
      </c>
      <c r="C670" s="3" t="n">
        <v>0</v>
      </c>
      <c r="D670" s="3" t="n">
        <v>23</v>
      </c>
      <c r="E670" s="3" t="n">
        <v>24</v>
      </c>
      <c r="F670" s="24" t="n">
        <v>-0.0259179175</v>
      </c>
    </row>
    <row r="671" customFormat="false" ht="15" hidden="false" customHeight="false" outlineLevel="0" collapsed="false">
      <c r="A671" s="3" t="n">
        <v>670</v>
      </c>
      <c r="B671" s="3" t="n">
        <v>669</v>
      </c>
      <c r="C671" s="3" t="n">
        <v>0</v>
      </c>
      <c r="D671" s="3" t="n">
        <v>23</v>
      </c>
      <c r="E671" s="3" t="n">
        <v>25</v>
      </c>
      <c r="F671" s="24" t="n">
        <v>-0.0259179175</v>
      </c>
    </row>
    <row r="672" customFormat="false" ht="15" hidden="false" customHeight="false" outlineLevel="0" collapsed="false">
      <c r="A672" s="3" t="n">
        <v>671</v>
      </c>
      <c r="B672" s="3" t="n">
        <v>670</v>
      </c>
      <c r="C672" s="3" t="n">
        <v>0</v>
      </c>
      <c r="D672" s="3" t="n">
        <v>23</v>
      </c>
      <c r="E672" s="3" t="n">
        <v>26</v>
      </c>
      <c r="F672" s="24" t="n">
        <v>-0.0259179175</v>
      </c>
    </row>
    <row r="673" customFormat="false" ht="15" hidden="false" customHeight="false" outlineLevel="0" collapsed="false">
      <c r="A673" s="3" t="n">
        <v>672</v>
      </c>
      <c r="B673" s="3" t="n">
        <v>671</v>
      </c>
      <c r="C673" s="3" t="n">
        <v>0</v>
      </c>
      <c r="D673" s="3" t="n">
        <v>23</v>
      </c>
      <c r="E673" s="3" t="n">
        <v>27</v>
      </c>
      <c r="F673" s="24" t="n">
        <v>0.0673455298</v>
      </c>
    </row>
    <row r="674" customFormat="false" ht="15" hidden="false" customHeight="false" outlineLevel="0" collapsed="false">
      <c r="A674" s="3" t="n">
        <v>673</v>
      </c>
      <c r="B674" s="3" t="n">
        <v>672</v>
      </c>
      <c r="C674" s="3" t="n">
        <v>0</v>
      </c>
      <c r="D674" s="3" t="n">
        <v>24</v>
      </c>
      <c r="E674" s="3" t="n">
        <v>0</v>
      </c>
      <c r="F674" s="24" t="n">
        <v>0.10001415</v>
      </c>
    </row>
    <row r="675" customFormat="false" ht="15" hidden="false" customHeight="false" outlineLevel="0" collapsed="false">
      <c r="A675" s="3" t="n">
        <v>674</v>
      </c>
      <c r="B675" s="3" t="n">
        <v>673</v>
      </c>
      <c r="C675" s="3" t="n">
        <v>0</v>
      </c>
      <c r="D675" s="3" t="n">
        <v>24</v>
      </c>
      <c r="E675" s="3" t="n">
        <v>1</v>
      </c>
      <c r="F675" s="24" t="n">
        <v>-0.0259179175</v>
      </c>
    </row>
    <row r="676" customFormat="false" ht="15" hidden="false" customHeight="false" outlineLevel="0" collapsed="false">
      <c r="A676" s="3" t="n">
        <v>675</v>
      </c>
      <c r="B676" s="3" t="n">
        <v>674</v>
      </c>
      <c r="C676" s="3" t="n">
        <v>0</v>
      </c>
      <c r="D676" s="3" t="n">
        <v>24</v>
      </c>
      <c r="E676" s="3" t="n">
        <v>2</v>
      </c>
      <c r="F676" s="24" t="n">
        <v>-0.0259179175</v>
      </c>
    </row>
    <row r="677" customFormat="false" ht="15" hidden="false" customHeight="false" outlineLevel="0" collapsed="false">
      <c r="A677" s="3" t="n">
        <v>676</v>
      </c>
      <c r="B677" s="3" t="n">
        <v>675</v>
      </c>
      <c r="C677" s="3" t="n">
        <v>0</v>
      </c>
      <c r="D677" s="3" t="n">
        <v>24</v>
      </c>
      <c r="E677" s="3" t="n">
        <v>3</v>
      </c>
      <c r="F677" s="24" t="n">
        <v>-0.0259179175</v>
      </c>
    </row>
    <row r="678" customFormat="false" ht="15" hidden="false" customHeight="false" outlineLevel="0" collapsed="false">
      <c r="A678" s="3" t="n">
        <v>677</v>
      </c>
      <c r="B678" s="3" t="n">
        <v>676</v>
      </c>
      <c r="C678" s="3" t="n">
        <v>0</v>
      </c>
      <c r="D678" s="3" t="n">
        <v>24</v>
      </c>
      <c r="E678" s="3" t="n">
        <v>4</v>
      </c>
      <c r="F678" s="24" t="n">
        <v>-0.0259179175</v>
      </c>
    </row>
    <row r="679" customFormat="false" ht="15" hidden="false" customHeight="false" outlineLevel="0" collapsed="false">
      <c r="A679" s="3" t="n">
        <v>678</v>
      </c>
      <c r="B679" s="3" t="n">
        <v>677</v>
      </c>
      <c r="C679" s="3" t="n">
        <v>0</v>
      </c>
      <c r="D679" s="3" t="n">
        <v>24</v>
      </c>
      <c r="E679" s="3" t="n">
        <v>5</v>
      </c>
      <c r="F679" s="24" t="n">
        <v>-0.0259179175</v>
      </c>
    </row>
    <row r="680" customFormat="false" ht="15" hidden="false" customHeight="false" outlineLevel="0" collapsed="false">
      <c r="A680" s="3" t="n">
        <v>679</v>
      </c>
      <c r="B680" s="3" t="n">
        <v>678</v>
      </c>
      <c r="C680" s="3" t="n">
        <v>0</v>
      </c>
      <c r="D680" s="3" t="n">
        <v>24</v>
      </c>
      <c r="E680" s="3" t="n">
        <v>6</v>
      </c>
      <c r="F680" s="24" t="n">
        <v>-0.0259179175</v>
      </c>
    </row>
    <row r="681" customFormat="false" ht="15" hidden="false" customHeight="false" outlineLevel="0" collapsed="false">
      <c r="A681" s="3" t="n">
        <v>680</v>
      </c>
      <c r="B681" s="3" t="n">
        <v>679</v>
      </c>
      <c r="C681" s="3" t="n">
        <v>0</v>
      </c>
      <c r="D681" s="3" t="n">
        <v>24</v>
      </c>
      <c r="E681" s="3" t="n">
        <v>7</v>
      </c>
      <c r="F681" s="24" t="n">
        <v>-0.0259179175</v>
      </c>
    </row>
    <row r="682" customFormat="false" ht="15" hidden="false" customHeight="false" outlineLevel="0" collapsed="false">
      <c r="A682" s="3" t="n">
        <v>681</v>
      </c>
      <c r="B682" s="3" t="n">
        <v>680</v>
      </c>
      <c r="C682" s="3" t="n">
        <v>0</v>
      </c>
      <c r="D682" s="3" t="n">
        <v>24</v>
      </c>
      <c r="E682" s="3" t="n">
        <v>8</v>
      </c>
      <c r="F682" s="24" t="n">
        <v>-0.0259179175</v>
      </c>
    </row>
    <row r="683" customFormat="false" ht="15" hidden="false" customHeight="false" outlineLevel="0" collapsed="false">
      <c r="A683" s="3" t="n">
        <v>682</v>
      </c>
      <c r="B683" s="3" t="n">
        <v>681</v>
      </c>
      <c r="C683" s="3" t="n">
        <v>0</v>
      </c>
      <c r="D683" s="3" t="n">
        <v>24</v>
      </c>
      <c r="E683" s="3" t="n">
        <v>9</v>
      </c>
      <c r="F683" s="24" t="n">
        <v>0.591727614</v>
      </c>
    </row>
    <row r="684" customFormat="false" ht="15" hidden="false" customHeight="false" outlineLevel="0" collapsed="false">
      <c r="A684" s="3" t="n">
        <v>683</v>
      </c>
      <c r="B684" s="3" t="n">
        <v>682</v>
      </c>
      <c r="C684" s="3" t="n">
        <v>0</v>
      </c>
      <c r="D684" s="3" t="n">
        <v>24</v>
      </c>
      <c r="E684" s="3" t="n">
        <v>10</v>
      </c>
      <c r="F684" s="24" t="n">
        <v>1.39829183</v>
      </c>
    </row>
    <row r="685" customFormat="false" ht="15" hidden="false" customHeight="false" outlineLevel="0" collapsed="false">
      <c r="A685" s="3" t="n">
        <v>684</v>
      </c>
      <c r="B685" s="3" t="n">
        <v>683</v>
      </c>
      <c r="C685" s="3" t="n">
        <v>0</v>
      </c>
      <c r="D685" s="3" t="n">
        <v>24</v>
      </c>
      <c r="E685" s="3" t="n">
        <v>11</v>
      </c>
      <c r="F685" s="24" t="n">
        <v>1.57991946</v>
      </c>
    </row>
    <row r="686" customFormat="false" ht="15" hidden="false" customHeight="false" outlineLevel="0" collapsed="false">
      <c r="A686" s="3" t="n">
        <v>685</v>
      </c>
      <c r="B686" s="3" t="n">
        <v>684</v>
      </c>
      <c r="C686" s="3" t="n">
        <v>0</v>
      </c>
      <c r="D686" s="3" t="n">
        <v>24</v>
      </c>
      <c r="E686" s="3" t="n">
        <v>12</v>
      </c>
      <c r="F686" s="24" t="n">
        <v>2.59036517</v>
      </c>
    </row>
    <row r="687" customFormat="false" ht="15" hidden="false" customHeight="false" outlineLevel="0" collapsed="false">
      <c r="A687" s="3" t="n">
        <v>686</v>
      </c>
      <c r="B687" s="3" t="n">
        <v>685</v>
      </c>
      <c r="C687" s="3" t="n">
        <v>0</v>
      </c>
      <c r="D687" s="3" t="n">
        <v>24</v>
      </c>
      <c r="E687" s="3" t="n">
        <v>13</v>
      </c>
      <c r="F687" s="24" t="n">
        <v>2.62003136</v>
      </c>
    </row>
    <row r="688" customFormat="false" ht="15" hidden="false" customHeight="false" outlineLevel="0" collapsed="false">
      <c r="A688" s="3" t="n">
        <v>687</v>
      </c>
      <c r="B688" s="3" t="n">
        <v>686</v>
      </c>
      <c r="C688" s="3" t="n">
        <v>0</v>
      </c>
      <c r="D688" s="3" t="n">
        <v>24</v>
      </c>
      <c r="E688" s="3" t="n">
        <v>14</v>
      </c>
      <c r="F688" s="24" t="n">
        <v>1.41146922</v>
      </c>
    </row>
    <row r="689" customFormat="false" ht="15" hidden="false" customHeight="false" outlineLevel="0" collapsed="false">
      <c r="A689" s="3" t="n">
        <v>688</v>
      </c>
      <c r="B689" s="3" t="n">
        <v>687</v>
      </c>
      <c r="C689" s="3" t="n">
        <v>0</v>
      </c>
      <c r="D689" s="3" t="n">
        <v>24</v>
      </c>
      <c r="E689" s="3" t="n">
        <v>15</v>
      </c>
      <c r="F689" s="24" t="n">
        <v>0.224361613</v>
      </c>
    </row>
    <row r="690" customFormat="false" ht="15" hidden="false" customHeight="false" outlineLevel="0" collapsed="false">
      <c r="A690" s="3" t="n">
        <v>689</v>
      </c>
      <c r="B690" s="3" t="n">
        <v>688</v>
      </c>
      <c r="C690" s="3" t="n">
        <v>0</v>
      </c>
      <c r="D690" s="3" t="n">
        <v>24</v>
      </c>
      <c r="E690" s="3" t="n">
        <v>16</v>
      </c>
      <c r="F690" s="24" t="n">
        <v>-0.0259179175</v>
      </c>
    </row>
    <row r="691" customFormat="false" ht="15" hidden="false" customHeight="false" outlineLevel="0" collapsed="false">
      <c r="A691" s="3" t="n">
        <v>690</v>
      </c>
      <c r="B691" s="3" t="n">
        <v>689</v>
      </c>
      <c r="C691" s="3" t="n">
        <v>0</v>
      </c>
      <c r="D691" s="3" t="n">
        <v>24</v>
      </c>
      <c r="E691" s="3" t="n">
        <v>17</v>
      </c>
      <c r="F691" s="24" t="n">
        <v>-0.0259179175</v>
      </c>
    </row>
    <row r="692" customFormat="false" ht="15" hidden="false" customHeight="false" outlineLevel="0" collapsed="false">
      <c r="A692" s="3" t="n">
        <v>691</v>
      </c>
      <c r="B692" s="3" t="n">
        <v>690</v>
      </c>
      <c r="C692" s="3" t="n">
        <v>0</v>
      </c>
      <c r="D692" s="3" t="n">
        <v>24</v>
      </c>
      <c r="E692" s="3" t="n">
        <v>18</v>
      </c>
      <c r="F692" s="24" t="n">
        <v>-0.0259179175</v>
      </c>
    </row>
    <row r="693" customFormat="false" ht="15" hidden="false" customHeight="false" outlineLevel="0" collapsed="false">
      <c r="A693" s="3" t="n">
        <v>692</v>
      </c>
      <c r="B693" s="3" t="n">
        <v>691</v>
      </c>
      <c r="C693" s="3" t="n">
        <v>0</v>
      </c>
      <c r="D693" s="3" t="n">
        <v>24</v>
      </c>
      <c r="E693" s="3" t="n">
        <v>19</v>
      </c>
      <c r="F693" s="24" t="n">
        <v>-0.0259179175</v>
      </c>
    </row>
    <row r="694" customFormat="false" ht="15" hidden="false" customHeight="false" outlineLevel="0" collapsed="false">
      <c r="A694" s="3" t="n">
        <v>693</v>
      </c>
      <c r="B694" s="3" t="n">
        <v>692</v>
      </c>
      <c r="C694" s="3" t="n">
        <v>0</v>
      </c>
      <c r="D694" s="3" t="n">
        <v>24</v>
      </c>
      <c r="E694" s="3" t="n">
        <v>20</v>
      </c>
      <c r="F694" s="24" t="n">
        <v>-0.0259179175</v>
      </c>
    </row>
    <row r="695" customFormat="false" ht="15" hidden="false" customHeight="false" outlineLevel="0" collapsed="false">
      <c r="A695" s="3" t="n">
        <v>694</v>
      </c>
      <c r="B695" s="3" t="n">
        <v>693</v>
      </c>
      <c r="C695" s="3" t="n">
        <v>0</v>
      </c>
      <c r="D695" s="3" t="n">
        <v>24</v>
      </c>
      <c r="E695" s="3" t="n">
        <v>21</v>
      </c>
      <c r="F695" s="24" t="n">
        <v>-0.0259179175</v>
      </c>
    </row>
    <row r="696" customFormat="false" ht="15" hidden="false" customHeight="false" outlineLevel="0" collapsed="false">
      <c r="A696" s="3" t="n">
        <v>695</v>
      </c>
      <c r="B696" s="3" t="n">
        <v>694</v>
      </c>
      <c r="C696" s="3" t="n">
        <v>0</v>
      </c>
      <c r="D696" s="3" t="n">
        <v>24</v>
      </c>
      <c r="E696" s="3" t="n">
        <v>22</v>
      </c>
      <c r="F696" s="24" t="n">
        <v>-0.0259179175</v>
      </c>
    </row>
    <row r="697" customFormat="false" ht="15" hidden="false" customHeight="false" outlineLevel="0" collapsed="false">
      <c r="A697" s="3" t="n">
        <v>696</v>
      </c>
      <c r="B697" s="3" t="n">
        <v>695</v>
      </c>
      <c r="C697" s="3" t="n">
        <v>0</v>
      </c>
      <c r="D697" s="3" t="n">
        <v>24</v>
      </c>
      <c r="E697" s="3" t="n">
        <v>23</v>
      </c>
      <c r="F697" s="24" t="n">
        <v>-0.0259179175</v>
      </c>
    </row>
    <row r="698" customFormat="false" ht="15" hidden="false" customHeight="false" outlineLevel="0" collapsed="false">
      <c r="A698" s="3" t="n">
        <v>697</v>
      </c>
      <c r="B698" s="3" t="n">
        <v>696</v>
      </c>
      <c r="C698" s="3" t="n">
        <v>0</v>
      </c>
      <c r="D698" s="3" t="n">
        <v>24</v>
      </c>
      <c r="E698" s="3" t="n">
        <v>24</v>
      </c>
      <c r="F698" s="24" t="n">
        <v>-0.0259179175</v>
      </c>
    </row>
    <row r="699" customFormat="false" ht="15" hidden="false" customHeight="false" outlineLevel="0" collapsed="false">
      <c r="A699" s="3" t="n">
        <v>698</v>
      </c>
      <c r="B699" s="3" t="n">
        <v>697</v>
      </c>
      <c r="C699" s="3" t="n">
        <v>0</v>
      </c>
      <c r="D699" s="3" t="n">
        <v>24</v>
      </c>
      <c r="E699" s="3" t="n">
        <v>25</v>
      </c>
      <c r="F699" s="24" t="n">
        <v>-0.0259179175</v>
      </c>
    </row>
    <row r="700" customFormat="false" ht="15" hidden="false" customHeight="false" outlineLevel="0" collapsed="false">
      <c r="A700" s="3" t="n">
        <v>699</v>
      </c>
      <c r="B700" s="3" t="n">
        <v>698</v>
      </c>
      <c r="C700" s="3" t="n">
        <v>0</v>
      </c>
      <c r="D700" s="3" t="n">
        <v>24</v>
      </c>
      <c r="E700" s="3" t="n">
        <v>26</v>
      </c>
      <c r="F700" s="24" t="n">
        <v>-0.0259179175</v>
      </c>
    </row>
    <row r="701" customFormat="false" ht="15" hidden="false" customHeight="false" outlineLevel="0" collapsed="false">
      <c r="A701" s="3" t="n">
        <v>700</v>
      </c>
      <c r="B701" s="3" t="n">
        <v>699</v>
      </c>
      <c r="C701" s="3" t="n">
        <v>0</v>
      </c>
      <c r="D701" s="3" t="n">
        <v>24</v>
      </c>
      <c r="E701" s="3" t="n">
        <v>27</v>
      </c>
      <c r="F701" s="24" t="n">
        <v>0.0673455298</v>
      </c>
    </row>
    <row r="702" customFormat="false" ht="15" hidden="false" customHeight="false" outlineLevel="0" collapsed="false">
      <c r="A702" s="3" t="n">
        <v>701</v>
      </c>
      <c r="B702" s="3" t="n">
        <v>700</v>
      </c>
      <c r="C702" s="3" t="n">
        <v>0</v>
      </c>
      <c r="D702" s="3" t="n">
        <v>25</v>
      </c>
      <c r="E702" s="3" t="n">
        <v>0</v>
      </c>
      <c r="F702" s="24" t="n">
        <v>0.10001415</v>
      </c>
    </row>
    <row r="703" customFormat="false" ht="15" hidden="false" customHeight="false" outlineLevel="0" collapsed="false">
      <c r="A703" s="3" t="n">
        <v>702</v>
      </c>
      <c r="B703" s="3" t="n">
        <v>701</v>
      </c>
      <c r="C703" s="3" t="n">
        <v>0</v>
      </c>
      <c r="D703" s="3" t="n">
        <v>25</v>
      </c>
      <c r="E703" s="3" t="n">
        <v>1</v>
      </c>
      <c r="F703" s="24" t="n">
        <v>-0.0259179175</v>
      </c>
    </row>
    <row r="704" customFormat="false" ht="15" hidden="false" customHeight="false" outlineLevel="0" collapsed="false">
      <c r="A704" s="3" t="n">
        <v>703</v>
      </c>
      <c r="B704" s="3" t="n">
        <v>702</v>
      </c>
      <c r="C704" s="3" t="n">
        <v>0</v>
      </c>
      <c r="D704" s="3" t="n">
        <v>25</v>
      </c>
      <c r="E704" s="3" t="n">
        <v>2</v>
      </c>
      <c r="F704" s="24" t="n">
        <v>-0.0259179175</v>
      </c>
    </row>
    <row r="705" customFormat="false" ht="15" hidden="false" customHeight="false" outlineLevel="0" collapsed="false">
      <c r="A705" s="3" t="n">
        <v>704</v>
      </c>
      <c r="B705" s="3" t="n">
        <v>703</v>
      </c>
      <c r="C705" s="3" t="n">
        <v>0</v>
      </c>
      <c r="D705" s="3" t="n">
        <v>25</v>
      </c>
      <c r="E705" s="3" t="n">
        <v>3</v>
      </c>
      <c r="F705" s="24" t="n">
        <v>-0.0259179175</v>
      </c>
    </row>
    <row r="706" customFormat="false" ht="15" hidden="false" customHeight="false" outlineLevel="0" collapsed="false">
      <c r="A706" s="3" t="n">
        <v>705</v>
      </c>
      <c r="B706" s="3" t="n">
        <v>704</v>
      </c>
      <c r="C706" s="3" t="n">
        <v>0</v>
      </c>
      <c r="D706" s="3" t="n">
        <v>25</v>
      </c>
      <c r="E706" s="3" t="n">
        <v>4</v>
      </c>
      <c r="F706" s="24" t="n">
        <v>-0.0259179175</v>
      </c>
    </row>
    <row r="707" customFormat="false" ht="15" hidden="false" customHeight="false" outlineLevel="0" collapsed="false">
      <c r="A707" s="3" t="n">
        <v>706</v>
      </c>
      <c r="B707" s="3" t="n">
        <v>705</v>
      </c>
      <c r="C707" s="3" t="n">
        <v>0</v>
      </c>
      <c r="D707" s="3" t="n">
        <v>25</v>
      </c>
      <c r="E707" s="3" t="n">
        <v>5</v>
      </c>
      <c r="F707" s="24" t="n">
        <v>-0.0259179175</v>
      </c>
    </row>
    <row r="708" customFormat="false" ht="15" hidden="false" customHeight="false" outlineLevel="0" collapsed="false">
      <c r="A708" s="3" t="n">
        <v>707</v>
      </c>
      <c r="B708" s="3" t="n">
        <v>706</v>
      </c>
      <c r="C708" s="3" t="n">
        <v>0</v>
      </c>
      <c r="D708" s="3" t="n">
        <v>25</v>
      </c>
      <c r="E708" s="3" t="n">
        <v>6</v>
      </c>
      <c r="F708" s="24" t="n">
        <v>-0.0259179175</v>
      </c>
    </row>
    <row r="709" customFormat="false" ht="15" hidden="false" customHeight="false" outlineLevel="0" collapsed="false">
      <c r="A709" s="3" t="n">
        <v>708</v>
      </c>
      <c r="B709" s="3" t="n">
        <v>707</v>
      </c>
      <c r="C709" s="3" t="n">
        <v>0</v>
      </c>
      <c r="D709" s="3" t="n">
        <v>25</v>
      </c>
      <c r="E709" s="3" t="n">
        <v>7</v>
      </c>
      <c r="F709" s="24" t="n">
        <v>-0.0259179175</v>
      </c>
    </row>
    <row r="710" customFormat="false" ht="15" hidden="false" customHeight="false" outlineLevel="0" collapsed="false">
      <c r="A710" s="3" t="n">
        <v>709</v>
      </c>
      <c r="B710" s="3" t="n">
        <v>708</v>
      </c>
      <c r="C710" s="3" t="n">
        <v>0</v>
      </c>
      <c r="D710" s="3" t="n">
        <v>25</v>
      </c>
      <c r="E710" s="3" t="n">
        <v>8</v>
      </c>
      <c r="F710" s="24" t="n">
        <v>-0.0259179175</v>
      </c>
    </row>
    <row r="711" customFormat="false" ht="15" hidden="false" customHeight="false" outlineLevel="0" collapsed="false">
      <c r="A711" s="3" t="n">
        <v>710</v>
      </c>
      <c r="B711" s="3" t="n">
        <v>709</v>
      </c>
      <c r="C711" s="3" t="n">
        <v>0</v>
      </c>
      <c r="D711" s="3" t="n">
        <v>25</v>
      </c>
      <c r="E711" s="3" t="n">
        <v>9</v>
      </c>
      <c r="F711" s="24" t="n">
        <v>0.588049471</v>
      </c>
    </row>
    <row r="712" customFormat="false" ht="15" hidden="false" customHeight="false" outlineLevel="0" collapsed="false">
      <c r="A712" s="3" t="n">
        <v>711</v>
      </c>
      <c r="B712" s="3" t="n">
        <v>710</v>
      </c>
      <c r="C712" s="3" t="n">
        <v>0</v>
      </c>
      <c r="D712" s="3" t="n">
        <v>25</v>
      </c>
      <c r="E712" s="3" t="n">
        <v>10</v>
      </c>
      <c r="F712" s="24" t="n">
        <v>1.3119334</v>
      </c>
    </row>
    <row r="713" customFormat="false" ht="15" hidden="false" customHeight="false" outlineLevel="0" collapsed="false">
      <c r="A713" s="3" t="n">
        <v>712</v>
      </c>
      <c r="B713" s="3" t="n">
        <v>711</v>
      </c>
      <c r="C713" s="3" t="n">
        <v>0</v>
      </c>
      <c r="D713" s="3" t="n">
        <v>25</v>
      </c>
      <c r="E713" s="3" t="n">
        <v>11</v>
      </c>
      <c r="F713" s="24" t="n">
        <v>2.31598616</v>
      </c>
    </row>
    <row r="714" customFormat="false" ht="15" hidden="false" customHeight="false" outlineLevel="0" collapsed="false">
      <c r="A714" s="3" t="n">
        <v>713</v>
      </c>
      <c r="B714" s="3" t="n">
        <v>712</v>
      </c>
      <c r="C714" s="3" t="n">
        <v>0</v>
      </c>
      <c r="D714" s="3" t="n">
        <v>25</v>
      </c>
      <c r="E714" s="3" t="n">
        <v>12</v>
      </c>
      <c r="F714" s="24" t="n">
        <v>2.34819412</v>
      </c>
    </row>
    <row r="715" customFormat="false" ht="15" hidden="false" customHeight="false" outlineLevel="0" collapsed="false">
      <c r="A715" s="3" t="n">
        <v>714</v>
      </c>
      <c r="B715" s="3" t="n">
        <v>713</v>
      </c>
      <c r="C715" s="3" t="n">
        <v>0</v>
      </c>
      <c r="D715" s="3" t="n">
        <v>25</v>
      </c>
      <c r="E715" s="3" t="n">
        <v>13</v>
      </c>
      <c r="F715" s="24" t="n">
        <v>2.50042868</v>
      </c>
    </row>
    <row r="716" customFormat="false" ht="15" hidden="false" customHeight="false" outlineLevel="0" collapsed="false">
      <c r="A716" s="3" t="n">
        <v>715</v>
      </c>
      <c r="B716" s="3" t="n">
        <v>714</v>
      </c>
      <c r="C716" s="3" t="n">
        <v>0</v>
      </c>
      <c r="D716" s="3" t="n">
        <v>25</v>
      </c>
      <c r="E716" s="3" t="n">
        <v>14</v>
      </c>
      <c r="F716" s="24" t="n">
        <v>2.1185267</v>
      </c>
    </row>
    <row r="717" customFormat="false" ht="15" hidden="false" customHeight="false" outlineLevel="0" collapsed="false">
      <c r="A717" s="3" t="n">
        <v>716</v>
      </c>
      <c r="B717" s="3" t="n">
        <v>715</v>
      </c>
      <c r="C717" s="3" t="n">
        <v>0</v>
      </c>
      <c r="D717" s="3" t="n">
        <v>25</v>
      </c>
      <c r="E717" s="3" t="n">
        <v>15</v>
      </c>
      <c r="F717" s="24" t="n">
        <v>0.3532902</v>
      </c>
    </row>
    <row r="718" customFormat="false" ht="15" hidden="false" customHeight="false" outlineLevel="0" collapsed="false">
      <c r="A718" s="3" t="n">
        <v>717</v>
      </c>
      <c r="B718" s="3" t="n">
        <v>716</v>
      </c>
      <c r="C718" s="3" t="n">
        <v>0</v>
      </c>
      <c r="D718" s="3" t="n">
        <v>25</v>
      </c>
      <c r="E718" s="3" t="n">
        <v>16</v>
      </c>
      <c r="F718" s="24" t="n">
        <v>-0.0259179175</v>
      </c>
    </row>
    <row r="719" customFormat="false" ht="15" hidden="false" customHeight="false" outlineLevel="0" collapsed="false">
      <c r="A719" s="3" t="n">
        <v>718</v>
      </c>
      <c r="B719" s="3" t="n">
        <v>717</v>
      </c>
      <c r="C719" s="3" t="n">
        <v>0</v>
      </c>
      <c r="D719" s="3" t="n">
        <v>25</v>
      </c>
      <c r="E719" s="3" t="n">
        <v>17</v>
      </c>
      <c r="F719" s="24" t="n">
        <v>-0.0259179175</v>
      </c>
    </row>
    <row r="720" customFormat="false" ht="15" hidden="false" customHeight="false" outlineLevel="0" collapsed="false">
      <c r="A720" s="3" t="n">
        <v>719</v>
      </c>
      <c r="B720" s="3" t="n">
        <v>718</v>
      </c>
      <c r="C720" s="3" t="n">
        <v>0</v>
      </c>
      <c r="D720" s="3" t="n">
        <v>25</v>
      </c>
      <c r="E720" s="3" t="n">
        <v>18</v>
      </c>
      <c r="F720" s="24" t="n">
        <v>-0.0259179175</v>
      </c>
    </row>
    <row r="721" customFormat="false" ht="15" hidden="false" customHeight="false" outlineLevel="0" collapsed="false">
      <c r="A721" s="3" t="n">
        <v>720</v>
      </c>
      <c r="B721" s="3" t="n">
        <v>719</v>
      </c>
      <c r="C721" s="3" t="n">
        <v>0</v>
      </c>
      <c r="D721" s="3" t="n">
        <v>25</v>
      </c>
      <c r="E721" s="3" t="n">
        <v>19</v>
      </c>
      <c r="F721" s="24" t="n">
        <v>-0.0259179175</v>
      </c>
    </row>
    <row r="722" customFormat="false" ht="15" hidden="false" customHeight="false" outlineLevel="0" collapsed="false">
      <c r="A722" s="3" t="n">
        <v>721</v>
      </c>
      <c r="B722" s="3" t="n">
        <v>720</v>
      </c>
      <c r="C722" s="3" t="n">
        <v>0</v>
      </c>
      <c r="D722" s="3" t="n">
        <v>25</v>
      </c>
      <c r="E722" s="3" t="n">
        <v>20</v>
      </c>
      <c r="F722" s="24" t="n">
        <v>-0.0259179175</v>
      </c>
    </row>
    <row r="723" customFormat="false" ht="15" hidden="false" customHeight="false" outlineLevel="0" collapsed="false">
      <c r="A723" s="3" t="n">
        <v>722</v>
      </c>
      <c r="B723" s="3" t="n">
        <v>721</v>
      </c>
      <c r="C723" s="3" t="n">
        <v>0</v>
      </c>
      <c r="D723" s="3" t="n">
        <v>25</v>
      </c>
      <c r="E723" s="3" t="n">
        <v>21</v>
      </c>
      <c r="F723" s="24" t="n">
        <v>-0.0259179175</v>
      </c>
    </row>
    <row r="724" customFormat="false" ht="15" hidden="false" customHeight="false" outlineLevel="0" collapsed="false">
      <c r="A724" s="3" t="n">
        <v>723</v>
      </c>
      <c r="B724" s="3" t="n">
        <v>722</v>
      </c>
      <c r="C724" s="3" t="n">
        <v>0</v>
      </c>
      <c r="D724" s="3" t="n">
        <v>25</v>
      </c>
      <c r="E724" s="3" t="n">
        <v>22</v>
      </c>
      <c r="F724" s="24" t="n">
        <v>-0.0259179175</v>
      </c>
    </row>
    <row r="725" customFormat="false" ht="15" hidden="false" customHeight="false" outlineLevel="0" collapsed="false">
      <c r="A725" s="3" t="n">
        <v>724</v>
      </c>
      <c r="B725" s="3" t="n">
        <v>723</v>
      </c>
      <c r="C725" s="3" t="n">
        <v>0</v>
      </c>
      <c r="D725" s="3" t="n">
        <v>25</v>
      </c>
      <c r="E725" s="3" t="n">
        <v>23</v>
      </c>
      <c r="F725" s="24" t="n">
        <v>-0.0259179175</v>
      </c>
    </row>
    <row r="726" customFormat="false" ht="15" hidden="false" customHeight="false" outlineLevel="0" collapsed="false">
      <c r="A726" s="3" t="n">
        <v>725</v>
      </c>
      <c r="B726" s="3" t="n">
        <v>724</v>
      </c>
      <c r="C726" s="3" t="n">
        <v>0</v>
      </c>
      <c r="D726" s="3" t="n">
        <v>25</v>
      </c>
      <c r="E726" s="3" t="n">
        <v>24</v>
      </c>
      <c r="F726" s="24" t="n">
        <v>-0.0259179175</v>
      </c>
    </row>
    <row r="727" customFormat="false" ht="15" hidden="false" customHeight="false" outlineLevel="0" collapsed="false">
      <c r="A727" s="3" t="n">
        <v>726</v>
      </c>
      <c r="B727" s="3" t="n">
        <v>725</v>
      </c>
      <c r="C727" s="3" t="n">
        <v>0</v>
      </c>
      <c r="D727" s="3" t="n">
        <v>25</v>
      </c>
      <c r="E727" s="3" t="n">
        <v>25</v>
      </c>
      <c r="F727" s="24" t="n">
        <v>-0.0259179175</v>
      </c>
    </row>
    <row r="728" customFormat="false" ht="15" hidden="false" customHeight="false" outlineLevel="0" collapsed="false">
      <c r="A728" s="3" t="n">
        <v>727</v>
      </c>
      <c r="B728" s="3" t="n">
        <v>726</v>
      </c>
      <c r="C728" s="3" t="n">
        <v>0</v>
      </c>
      <c r="D728" s="3" t="n">
        <v>25</v>
      </c>
      <c r="E728" s="3" t="n">
        <v>26</v>
      </c>
      <c r="F728" s="24" t="n">
        <v>-0.0259179175</v>
      </c>
    </row>
    <row r="729" customFormat="false" ht="15" hidden="false" customHeight="false" outlineLevel="0" collapsed="false">
      <c r="A729" s="3" t="n">
        <v>728</v>
      </c>
      <c r="B729" s="3" t="n">
        <v>727</v>
      </c>
      <c r="C729" s="3" t="n">
        <v>0</v>
      </c>
      <c r="D729" s="3" t="n">
        <v>25</v>
      </c>
      <c r="E729" s="3" t="n">
        <v>27</v>
      </c>
      <c r="F729" s="24" t="n">
        <v>0.0673455298</v>
      </c>
    </row>
    <row r="730" customFormat="false" ht="15" hidden="false" customHeight="false" outlineLevel="0" collapsed="false">
      <c r="A730" s="3" t="n">
        <v>729</v>
      </c>
      <c r="B730" s="3" t="n">
        <v>728</v>
      </c>
      <c r="C730" s="3" t="n">
        <v>0</v>
      </c>
      <c r="D730" s="3" t="n">
        <v>26</v>
      </c>
      <c r="E730" s="3" t="n">
        <v>0</v>
      </c>
      <c r="F730" s="24" t="n">
        <v>0.10001415</v>
      </c>
    </row>
    <row r="731" customFormat="false" ht="15" hidden="false" customHeight="false" outlineLevel="0" collapsed="false">
      <c r="A731" s="3" t="n">
        <v>730</v>
      </c>
      <c r="B731" s="3" t="n">
        <v>729</v>
      </c>
      <c r="C731" s="3" t="n">
        <v>0</v>
      </c>
      <c r="D731" s="3" t="n">
        <v>26</v>
      </c>
      <c r="E731" s="3" t="n">
        <v>1</v>
      </c>
      <c r="F731" s="24" t="n">
        <v>-0.0259179175</v>
      </c>
    </row>
    <row r="732" customFormat="false" ht="15" hidden="false" customHeight="false" outlineLevel="0" collapsed="false">
      <c r="A732" s="3" t="n">
        <v>731</v>
      </c>
      <c r="B732" s="3" t="n">
        <v>730</v>
      </c>
      <c r="C732" s="3" t="n">
        <v>0</v>
      </c>
      <c r="D732" s="3" t="n">
        <v>26</v>
      </c>
      <c r="E732" s="3" t="n">
        <v>2</v>
      </c>
      <c r="F732" s="24" t="n">
        <v>-0.0259179175</v>
      </c>
    </row>
    <row r="733" customFormat="false" ht="15" hidden="false" customHeight="false" outlineLevel="0" collapsed="false">
      <c r="A733" s="3" t="n">
        <v>732</v>
      </c>
      <c r="B733" s="3" t="n">
        <v>731</v>
      </c>
      <c r="C733" s="3" t="n">
        <v>0</v>
      </c>
      <c r="D733" s="3" t="n">
        <v>26</v>
      </c>
      <c r="E733" s="3" t="n">
        <v>3</v>
      </c>
      <c r="F733" s="24" t="n">
        <v>-0.0259179175</v>
      </c>
    </row>
    <row r="734" customFormat="false" ht="15" hidden="false" customHeight="false" outlineLevel="0" collapsed="false">
      <c r="A734" s="3" t="n">
        <v>733</v>
      </c>
      <c r="B734" s="3" t="n">
        <v>732</v>
      </c>
      <c r="C734" s="3" t="n">
        <v>0</v>
      </c>
      <c r="D734" s="3" t="n">
        <v>26</v>
      </c>
      <c r="E734" s="3" t="n">
        <v>4</v>
      </c>
      <c r="F734" s="24" t="n">
        <v>-0.0259179175</v>
      </c>
    </row>
    <row r="735" customFormat="false" ht="15" hidden="false" customHeight="false" outlineLevel="0" collapsed="false">
      <c r="A735" s="3" t="n">
        <v>734</v>
      </c>
      <c r="B735" s="3" t="n">
        <v>733</v>
      </c>
      <c r="C735" s="3" t="n">
        <v>0</v>
      </c>
      <c r="D735" s="3" t="n">
        <v>26</v>
      </c>
      <c r="E735" s="3" t="n">
        <v>5</v>
      </c>
      <c r="F735" s="24" t="n">
        <v>-0.0259179175</v>
      </c>
    </row>
    <row r="736" customFormat="false" ht="15" hidden="false" customHeight="false" outlineLevel="0" collapsed="false">
      <c r="A736" s="3" t="n">
        <v>735</v>
      </c>
      <c r="B736" s="3" t="n">
        <v>734</v>
      </c>
      <c r="C736" s="3" t="n">
        <v>0</v>
      </c>
      <c r="D736" s="3" t="n">
        <v>26</v>
      </c>
      <c r="E736" s="3" t="n">
        <v>6</v>
      </c>
      <c r="F736" s="24" t="n">
        <v>-0.0259179175</v>
      </c>
    </row>
    <row r="737" customFormat="false" ht="15" hidden="false" customHeight="false" outlineLevel="0" collapsed="false">
      <c r="A737" s="3" t="n">
        <v>736</v>
      </c>
      <c r="B737" s="3" t="n">
        <v>735</v>
      </c>
      <c r="C737" s="3" t="n">
        <v>0</v>
      </c>
      <c r="D737" s="3" t="n">
        <v>26</v>
      </c>
      <c r="E737" s="3" t="n">
        <v>7</v>
      </c>
      <c r="F737" s="24" t="n">
        <v>-0.0259179175</v>
      </c>
    </row>
    <row r="738" customFormat="false" ht="15" hidden="false" customHeight="false" outlineLevel="0" collapsed="false">
      <c r="A738" s="3" t="n">
        <v>737</v>
      </c>
      <c r="B738" s="3" t="n">
        <v>736</v>
      </c>
      <c r="C738" s="3" t="n">
        <v>0</v>
      </c>
      <c r="D738" s="3" t="n">
        <v>26</v>
      </c>
      <c r="E738" s="3" t="n">
        <v>8</v>
      </c>
      <c r="F738" s="24" t="n">
        <v>-0.0259179175</v>
      </c>
    </row>
    <row r="739" customFormat="false" ht="15" hidden="false" customHeight="false" outlineLevel="0" collapsed="false">
      <c r="A739" s="3" t="n">
        <v>738</v>
      </c>
      <c r="B739" s="3" t="n">
        <v>737</v>
      </c>
      <c r="C739" s="3" t="n">
        <v>0</v>
      </c>
      <c r="D739" s="3" t="n">
        <v>26</v>
      </c>
      <c r="E739" s="3" t="n">
        <v>9</v>
      </c>
      <c r="F739" s="24" t="n">
        <v>-0.0240798593</v>
      </c>
    </row>
    <row r="740" customFormat="false" ht="15" hidden="false" customHeight="false" outlineLevel="0" collapsed="false">
      <c r="A740" s="3" t="n">
        <v>739</v>
      </c>
      <c r="B740" s="3" t="n">
        <v>738</v>
      </c>
      <c r="C740" s="3" t="n">
        <v>0</v>
      </c>
      <c r="D740" s="3" t="n">
        <v>26</v>
      </c>
      <c r="E740" s="3" t="n">
        <v>10</v>
      </c>
      <c r="F740" s="24" t="n">
        <v>0.695052147</v>
      </c>
    </row>
    <row r="741" customFormat="false" ht="15" hidden="false" customHeight="false" outlineLevel="0" collapsed="false">
      <c r="A741" s="3" t="n">
        <v>740</v>
      </c>
      <c r="B741" s="3" t="n">
        <v>739</v>
      </c>
      <c r="C741" s="3" t="n">
        <v>0</v>
      </c>
      <c r="D741" s="3" t="n">
        <v>26</v>
      </c>
      <c r="E741" s="3" t="n">
        <v>11</v>
      </c>
      <c r="F741" s="24" t="n">
        <v>2.26651311</v>
      </c>
    </row>
    <row r="742" customFormat="false" ht="15" hidden="false" customHeight="false" outlineLevel="0" collapsed="false">
      <c r="A742" s="3" t="n">
        <v>741</v>
      </c>
      <c r="B742" s="3" t="n">
        <v>740</v>
      </c>
      <c r="C742" s="3" t="n">
        <v>0</v>
      </c>
      <c r="D742" s="3" t="n">
        <v>26</v>
      </c>
      <c r="E742" s="3" t="n">
        <v>12</v>
      </c>
      <c r="F742" s="24" t="n">
        <v>2.52051997</v>
      </c>
    </row>
    <row r="743" customFormat="false" ht="15" hidden="false" customHeight="false" outlineLevel="0" collapsed="false">
      <c r="A743" s="3" t="n">
        <v>742</v>
      </c>
      <c r="B743" s="3" t="n">
        <v>741</v>
      </c>
      <c r="C743" s="3" t="n">
        <v>0</v>
      </c>
      <c r="D743" s="3" t="n">
        <v>26</v>
      </c>
      <c r="E743" s="3" t="n">
        <v>13</v>
      </c>
      <c r="F743" s="24" t="n">
        <v>2.41159892</v>
      </c>
    </row>
    <row r="744" customFormat="false" ht="15" hidden="false" customHeight="false" outlineLevel="0" collapsed="false">
      <c r="A744" s="3" t="n">
        <v>743</v>
      </c>
      <c r="B744" s="3" t="n">
        <v>742</v>
      </c>
      <c r="C744" s="3" t="n">
        <v>0</v>
      </c>
      <c r="D744" s="3" t="n">
        <v>26</v>
      </c>
      <c r="E744" s="3" t="n">
        <v>14</v>
      </c>
      <c r="F744" s="24" t="n">
        <v>1.06131971</v>
      </c>
    </row>
    <row r="745" customFormat="false" ht="15" hidden="false" customHeight="false" outlineLevel="0" collapsed="false">
      <c r="A745" s="3" t="n">
        <v>744</v>
      </c>
      <c r="B745" s="3" t="n">
        <v>743</v>
      </c>
      <c r="C745" s="3" t="n">
        <v>0</v>
      </c>
      <c r="D745" s="3" t="n">
        <v>26</v>
      </c>
      <c r="E745" s="3" t="n">
        <v>15</v>
      </c>
      <c r="F745" s="24" t="n">
        <v>0.136563301</v>
      </c>
    </row>
    <row r="746" customFormat="false" ht="15" hidden="false" customHeight="false" outlineLevel="0" collapsed="false">
      <c r="A746" s="3" t="n">
        <v>745</v>
      </c>
      <c r="B746" s="3" t="n">
        <v>744</v>
      </c>
      <c r="C746" s="3" t="n">
        <v>0</v>
      </c>
      <c r="D746" s="3" t="n">
        <v>26</v>
      </c>
      <c r="E746" s="3" t="n">
        <v>16</v>
      </c>
      <c r="F746" s="24" t="n">
        <v>-0.0259179175</v>
      </c>
    </row>
    <row r="747" customFormat="false" ht="15" hidden="false" customHeight="false" outlineLevel="0" collapsed="false">
      <c r="A747" s="3" t="n">
        <v>746</v>
      </c>
      <c r="B747" s="3" t="n">
        <v>745</v>
      </c>
      <c r="C747" s="3" t="n">
        <v>0</v>
      </c>
      <c r="D747" s="3" t="n">
        <v>26</v>
      </c>
      <c r="E747" s="3" t="n">
        <v>17</v>
      </c>
      <c r="F747" s="24" t="n">
        <v>-0.0259179175</v>
      </c>
    </row>
    <row r="748" customFormat="false" ht="15" hidden="false" customHeight="false" outlineLevel="0" collapsed="false">
      <c r="A748" s="3" t="n">
        <v>747</v>
      </c>
      <c r="B748" s="3" t="n">
        <v>746</v>
      </c>
      <c r="C748" s="3" t="n">
        <v>0</v>
      </c>
      <c r="D748" s="3" t="n">
        <v>26</v>
      </c>
      <c r="E748" s="3" t="n">
        <v>18</v>
      </c>
      <c r="F748" s="24" t="n">
        <v>-0.0259179175</v>
      </c>
    </row>
    <row r="749" customFormat="false" ht="15" hidden="false" customHeight="false" outlineLevel="0" collapsed="false">
      <c r="A749" s="3" t="n">
        <v>748</v>
      </c>
      <c r="B749" s="3" t="n">
        <v>747</v>
      </c>
      <c r="C749" s="3" t="n">
        <v>0</v>
      </c>
      <c r="D749" s="3" t="n">
        <v>26</v>
      </c>
      <c r="E749" s="3" t="n">
        <v>19</v>
      </c>
      <c r="F749" s="24" t="n">
        <v>-0.0259179175</v>
      </c>
    </row>
    <row r="750" customFormat="false" ht="15" hidden="false" customHeight="false" outlineLevel="0" collapsed="false">
      <c r="A750" s="3" t="n">
        <v>749</v>
      </c>
      <c r="B750" s="3" t="n">
        <v>748</v>
      </c>
      <c r="C750" s="3" t="n">
        <v>0</v>
      </c>
      <c r="D750" s="3" t="n">
        <v>26</v>
      </c>
      <c r="E750" s="3" t="n">
        <v>20</v>
      </c>
      <c r="F750" s="24" t="n">
        <v>-0.0259179175</v>
      </c>
    </row>
    <row r="751" customFormat="false" ht="15" hidden="false" customHeight="false" outlineLevel="0" collapsed="false">
      <c r="A751" s="3" t="n">
        <v>750</v>
      </c>
      <c r="B751" s="3" t="n">
        <v>749</v>
      </c>
      <c r="C751" s="3" t="n">
        <v>0</v>
      </c>
      <c r="D751" s="3" t="n">
        <v>26</v>
      </c>
      <c r="E751" s="3" t="n">
        <v>21</v>
      </c>
      <c r="F751" s="24" t="n">
        <v>-0.0259179175</v>
      </c>
    </row>
    <row r="752" customFormat="false" ht="15" hidden="false" customHeight="false" outlineLevel="0" collapsed="false">
      <c r="A752" s="3" t="n">
        <v>751</v>
      </c>
      <c r="B752" s="3" t="n">
        <v>750</v>
      </c>
      <c r="C752" s="3" t="n">
        <v>0</v>
      </c>
      <c r="D752" s="3" t="n">
        <v>26</v>
      </c>
      <c r="E752" s="3" t="n">
        <v>22</v>
      </c>
      <c r="F752" s="24" t="n">
        <v>-0.0259179175</v>
      </c>
    </row>
    <row r="753" customFormat="false" ht="15" hidden="false" customHeight="false" outlineLevel="0" collapsed="false">
      <c r="A753" s="3" t="n">
        <v>752</v>
      </c>
      <c r="B753" s="3" t="n">
        <v>751</v>
      </c>
      <c r="C753" s="3" t="n">
        <v>0</v>
      </c>
      <c r="D753" s="3" t="n">
        <v>26</v>
      </c>
      <c r="E753" s="3" t="n">
        <v>23</v>
      </c>
      <c r="F753" s="24" t="n">
        <v>-0.0259179175</v>
      </c>
    </row>
    <row r="754" customFormat="false" ht="15" hidden="false" customHeight="false" outlineLevel="0" collapsed="false">
      <c r="A754" s="3" t="n">
        <v>753</v>
      </c>
      <c r="B754" s="3" t="n">
        <v>752</v>
      </c>
      <c r="C754" s="3" t="n">
        <v>0</v>
      </c>
      <c r="D754" s="3" t="n">
        <v>26</v>
      </c>
      <c r="E754" s="3" t="n">
        <v>24</v>
      </c>
      <c r="F754" s="24" t="n">
        <v>-0.0259179175</v>
      </c>
    </row>
    <row r="755" customFormat="false" ht="15" hidden="false" customHeight="false" outlineLevel="0" collapsed="false">
      <c r="A755" s="3" t="n">
        <v>754</v>
      </c>
      <c r="B755" s="3" t="n">
        <v>753</v>
      </c>
      <c r="C755" s="3" t="n">
        <v>0</v>
      </c>
      <c r="D755" s="3" t="n">
        <v>26</v>
      </c>
      <c r="E755" s="3" t="n">
        <v>25</v>
      </c>
      <c r="F755" s="24" t="n">
        <v>-0.0259179175</v>
      </c>
    </row>
    <row r="756" customFormat="false" ht="15" hidden="false" customHeight="false" outlineLevel="0" collapsed="false">
      <c r="A756" s="3" t="n">
        <v>755</v>
      </c>
      <c r="B756" s="3" t="n">
        <v>754</v>
      </c>
      <c r="C756" s="3" t="n">
        <v>0</v>
      </c>
      <c r="D756" s="3" t="n">
        <v>26</v>
      </c>
      <c r="E756" s="3" t="n">
        <v>26</v>
      </c>
      <c r="F756" s="24" t="n">
        <v>-0.0259179175</v>
      </c>
    </row>
    <row r="757" customFormat="false" ht="15" hidden="false" customHeight="false" outlineLevel="0" collapsed="false">
      <c r="A757" s="3" t="n">
        <v>756</v>
      </c>
      <c r="B757" s="3" t="n">
        <v>755</v>
      </c>
      <c r="C757" s="3" t="n">
        <v>0</v>
      </c>
      <c r="D757" s="3" t="n">
        <v>26</v>
      </c>
      <c r="E757" s="3" t="n">
        <v>27</v>
      </c>
      <c r="F757" s="24" t="n">
        <v>0.0673455298</v>
      </c>
    </row>
    <row r="758" customFormat="false" ht="15" hidden="false" customHeight="false" outlineLevel="0" collapsed="false">
      <c r="A758" s="3" t="n">
        <v>757</v>
      </c>
      <c r="B758" s="3" t="n">
        <v>756</v>
      </c>
      <c r="C758" s="3" t="n">
        <v>0</v>
      </c>
      <c r="D758" s="3" t="n">
        <v>27</v>
      </c>
      <c r="E758" s="3" t="n">
        <v>0</v>
      </c>
      <c r="F758" s="24" t="n">
        <v>0.203234181</v>
      </c>
    </row>
    <row r="759" customFormat="false" ht="15" hidden="false" customHeight="false" outlineLevel="0" collapsed="false">
      <c r="A759" s="3" t="n">
        <v>758</v>
      </c>
      <c r="B759" s="3" t="n">
        <v>757</v>
      </c>
      <c r="C759" s="3" t="n">
        <v>0</v>
      </c>
      <c r="D759" s="3" t="n">
        <v>27</v>
      </c>
      <c r="E759" s="3" t="n">
        <v>1</v>
      </c>
      <c r="F759" s="24" t="n">
        <v>-0.0721123815</v>
      </c>
    </row>
    <row r="760" customFormat="false" ht="15" hidden="false" customHeight="false" outlineLevel="0" collapsed="false">
      <c r="A760" s="3" t="n">
        <v>759</v>
      </c>
      <c r="B760" s="3" t="n">
        <v>758</v>
      </c>
      <c r="C760" s="3" t="n">
        <v>0</v>
      </c>
      <c r="D760" s="3" t="n">
        <v>27</v>
      </c>
      <c r="E760" s="3" t="n">
        <v>2</v>
      </c>
      <c r="F760" s="24" t="n">
        <v>-0.0721123815</v>
      </c>
    </row>
    <row r="761" customFormat="false" ht="15" hidden="false" customHeight="false" outlineLevel="0" collapsed="false">
      <c r="A761" s="3" t="n">
        <v>760</v>
      </c>
      <c r="B761" s="3" t="n">
        <v>759</v>
      </c>
      <c r="C761" s="3" t="n">
        <v>0</v>
      </c>
      <c r="D761" s="3" t="n">
        <v>27</v>
      </c>
      <c r="E761" s="3" t="n">
        <v>3</v>
      </c>
      <c r="F761" s="24" t="n">
        <v>-0.0721123815</v>
      </c>
    </row>
    <row r="762" customFormat="false" ht="15" hidden="false" customHeight="false" outlineLevel="0" collapsed="false">
      <c r="A762" s="3" t="n">
        <v>761</v>
      </c>
      <c r="B762" s="3" t="n">
        <v>760</v>
      </c>
      <c r="C762" s="3" t="n">
        <v>0</v>
      </c>
      <c r="D762" s="3" t="n">
        <v>27</v>
      </c>
      <c r="E762" s="3" t="n">
        <v>4</v>
      </c>
      <c r="F762" s="24" t="n">
        <v>-0.0721123815</v>
      </c>
    </row>
    <row r="763" customFormat="false" ht="15" hidden="false" customHeight="false" outlineLevel="0" collapsed="false">
      <c r="A763" s="3" t="n">
        <v>762</v>
      </c>
      <c r="B763" s="3" t="n">
        <v>761</v>
      </c>
      <c r="C763" s="3" t="n">
        <v>0</v>
      </c>
      <c r="D763" s="3" t="n">
        <v>27</v>
      </c>
      <c r="E763" s="3" t="n">
        <v>5</v>
      </c>
      <c r="F763" s="24" t="n">
        <v>-0.0721123815</v>
      </c>
    </row>
    <row r="764" customFormat="false" ht="15" hidden="false" customHeight="false" outlineLevel="0" collapsed="false">
      <c r="A764" s="3" t="n">
        <v>763</v>
      </c>
      <c r="B764" s="3" t="n">
        <v>762</v>
      </c>
      <c r="C764" s="3" t="n">
        <v>0</v>
      </c>
      <c r="D764" s="3" t="n">
        <v>27</v>
      </c>
      <c r="E764" s="3" t="n">
        <v>6</v>
      </c>
      <c r="F764" s="24" t="n">
        <v>-0.0721123815</v>
      </c>
    </row>
    <row r="765" customFormat="false" ht="15" hidden="false" customHeight="false" outlineLevel="0" collapsed="false">
      <c r="A765" s="3" t="n">
        <v>764</v>
      </c>
      <c r="B765" s="3" t="n">
        <v>763</v>
      </c>
      <c r="C765" s="3" t="n">
        <v>0</v>
      </c>
      <c r="D765" s="3" t="n">
        <v>27</v>
      </c>
      <c r="E765" s="3" t="n">
        <v>7</v>
      </c>
      <c r="F765" s="24" t="n">
        <v>-0.0721123815</v>
      </c>
    </row>
    <row r="766" customFormat="false" ht="15" hidden="false" customHeight="false" outlineLevel="0" collapsed="false">
      <c r="A766" s="3" t="n">
        <v>765</v>
      </c>
      <c r="B766" s="3" t="n">
        <v>764</v>
      </c>
      <c r="C766" s="3" t="n">
        <v>0</v>
      </c>
      <c r="D766" s="3" t="n">
        <v>27</v>
      </c>
      <c r="E766" s="3" t="n">
        <v>8</v>
      </c>
      <c r="F766" s="24" t="n">
        <v>-0.0721123815</v>
      </c>
    </row>
    <row r="767" customFormat="false" ht="15" hidden="false" customHeight="false" outlineLevel="0" collapsed="false">
      <c r="A767" s="3" t="n">
        <v>766</v>
      </c>
      <c r="B767" s="3" t="n">
        <v>765</v>
      </c>
      <c r="C767" s="3" t="n">
        <v>0</v>
      </c>
      <c r="D767" s="3" t="n">
        <v>27</v>
      </c>
      <c r="E767" s="3" t="n">
        <v>9</v>
      </c>
      <c r="F767" s="24" t="n">
        <v>-0.627445936</v>
      </c>
    </row>
    <row r="768" customFormat="false" ht="15" hidden="false" customHeight="false" outlineLevel="0" collapsed="false">
      <c r="A768" s="3" t="n">
        <v>767</v>
      </c>
      <c r="B768" s="3" t="n">
        <v>766</v>
      </c>
      <c r="C768" s="3" t="n">
        <v>0</v>
      </c>
      <c r="D768" s="3" t="n">
        <v>27</v>
      </c>
      <c r="E768" s="3" t="n">
        <v>10</v>
      </c>
      <c r="F768" s="24" t="n">
        <v>-0.868620515</v>
      </c>
    </row>
    <row r="769" customFormat="false" ht="15" hidden="false" customHeight="false" outlineLevel="0" collapsed="false">
      <c r="A769" s="3" t="n">
        <v>768</v>
      </c>
      <c r="B769" s="3" t="n">
        <v>767</v>
      </c>
      <c r="C769" s="3" t="n">
        <v>0</v>
      </c>
      <c r="D769" s="3" t="n">
        <v>27</v>
      </c>
      <c r="E769" s="3" t="n">
        <v>11</v>
      </c>
      <c r="F769" s="24" t="n">
        <v>0.244445041</v>
      </c>
    </row>
    <row r="770" customFormat="false" ht="15" hidden="false" customHeight="false" outlineLevel="0" collapsed="false">
      <c r="A770" s="3" t="n">
        <v>769</v>
      </c>
      <c r="B770" s="3" t="n">
        <v>768</v>
      </c>
      <c r="C770" s="3" t="n">
        <v>0</v>
      </c>
      <c r="D770" s="3" t="n">
        <v>27</v>
      </c>
      <c r="E770" s="3" t="n">
        <v>12</v>
      </c>
      <c r="F770" s="24" t="n">
        <v>1.50869572</v>
      </c>
    </row>
    <row r="771" customFormat="false" ht="15" hidden="false" customHeight="false" outlineLevel="0" collapsed="false">
      <c r="A771" s="3" t="n">
        <v>770</v>
      </c>
      <c r="B771" s="3" t="n">
        <v>769</v>
      </c>
      <c r="C771" s="3" t="n">
        <v>0</v>
      </c>
      <c r="D771" s="3" t="n">
        <v>27</v>
      </c>
      <c r="E771" s="3" t="n">
        <v>13</v>
      </c>
      <c r="F771" s="24" t="n">
        <v>0.823655367</v>
      </c>
    </row>
    <row r="772" customFormat="false" ht="15" hidden="false" customHeight="false" outlineLevel="0" collapsed="false">
      <c r="A772" s="3" t="n">
        <v>771</v>
      </c>
      <c r="B772" s="3" t="n">
        <v>770</v>
      </c>
      <c r="C772" s="3" t="n">
        <v>0</v>
      </c>
      <c r="D772" s="3" t="n">
        <v>27</v>
      </c>
      <c r="E772" s="3" t="n">
        <v>14</v>
      </c>
      <c r="F772" s="24" t="n">
        <v>0.00100415945</v>
      </c>
    </row>
    <row r="773" customFormat="false" ht="15" hidden="false" customHeight="false" outlineLevel="0" collapsed="false">
      <c r="A773" s="3" t="n">
        <v>772</v>
      </c>
      <c r="B773" s="3" t="n">
        <v>771</v>
      </c>
      <c r="C773" s="3" t="n">
        <v>0</v>
      </c>
      <c r="D773" s="3" t="n">
        <v>27</v>
      </c>
      <c r="E773" s="3" t="n">
        <v>15</v>
      </c>
      <c r="F773" s="24" t="n">
        <v>-0.0721123815</v>
      </c>
    </row>
    <row r="774" customFormat="false" ht="15" hidden="false" customHeight="false" outlineLevel="0" collapsed="false">
      <c r="A774" s="3" t="n">
        <v>773</v>
      </c>
      <c r="B774" s="3" t="n">
        <v>772</v>
      </c>
      <c r="C774" s="3" t="n">
        <v>0</v>
      </c>
      <c r="D774" s="3" t="n">
        <v>27</v>
      </c>
      <c r="E774" s="3" t="n">
        <v>16</v>
      </c>
      <c r="F774" s="24" t="n">
        <v>-0.0721123815</v>
      </c>
    </row>
    <row r="775" customFormat="false" ht="15" hidden="false" customHeight="false" outlineLevel="0" collapsed="false">
      <c r="A775" s="3" t="n">
        <v>774</v>
      </c>
      <c r="B775" s="3" t="n">
        <v>773</v>
      </c>
      <c r="C775" s="3" t="n">
        <v>0</v>
      </c>
      <c r="D775" s="3" t="n">
        <v>27</v>
      </c>
      <c r="E775" s="3" t="n">
        <v>17</v>
      </c>
      <c r="F775" s="24" t="n">
        <v>-0.0721123815</v>
      </c>
    </row>
    <row r="776" customFormat="false" ht="15" hidden="false" customHeight="false" outlineLevel="0" collapsed="false">
      <c r="A776" s="3" t="n">
        <v>775</v>
      </c>
      <c r="B776" s="3" t="n">
        <v>774</v>
      </c>
      <c r="C776" s="3" t="n">
        <v>0</v>
      </c>
      <c r="D776" s="3" t="n">
        <v>27</v>
      </c>
      <c r="E776" s="3" t="n">
        <v>18</v>
      </c>
      <c r="F776" s="24" t="n">
        <v>-0.0721123815</v>
      </c>
    </row>
    <row r="777" customFormat="false" ht="15" hidden="false" customHeight="false" outlineLevel="0" collapsed="false">
      <c r="A777" s="3" t="n">
        <v>776</v>
      </c>
      <c r="B777" s="3" t="n">
        <v>775</v>
      </c>
      <c r="C777" s="3" t="n">
        <v>0</v>
      </c>
      <c r="D777" s="3" t="n">
        <v>27</v>
      </c>
      <c r="E777" s="3" t="n">
        <v>19</v>
      </c>
      <c r="F777" s="24" t="n">
        <v>-0.0721123815</v>
      </c>
    </row>
    <row r="778" customFormat="false" ht="15" hidden="false" customHeight="false" outlineLevel="0" collapsed="false">
      <c r="A778" s="3" t="n">
        <v>777</v>
      </c>
      <c r="B778" s="3" t="n">
        <v>776</v>
      </c>
      <c r="C778" s="3" t="n">
        <v>0</v>
      </c>
      <c r="D778" s="3" t="n">
        <v>27</v>
      </c>
      <c r="E778" s="3" t="n">
        <v>20</v>
      </c>
      <c r="F778" s="24" t="n">
        <v>-0.0721123815</v>
      </c>
    </row>
    <row r="779" customFormat="false" ht="15" hidden="false" customHeight="false" outlineLevel="0" collapsed="false">
      <c r="A779" s="3" t="n">
        <v>778</v>
      </c>
      <c r="B779" s="3" t="n">
        <v>777</v>
      </c>
      <c r="C779" s="3" t="n">
        <v>0</v>
      </c>
      <c r="D779" s="3" t="n">
        <v>27</v>
      </c>
      <c r="E779" s="3" t="n">
        <v>21</v>
      </c>
      <c r="F779" s="24" t="n">
        <v>-0.0721123815</v>
      </c>
    </row>
    <row r="780" customFormat="false" ht="15" hidden="false" customHeight="false" outlineLevel="0" collapsed="false">
      <c r="A780" s="3" t="n">
        <v>779</v>
      </c>
      <c r="B780" s="3" t="n">
        <v>778</v>
      </c>
      <c r="C780" s="3" t="n">
        <v>0</v>
      </c>
      <c r="D780" s="3" t="n">
        <v>27</v>
      </c>
      <c r="E780" s="3" t="n">
        <v>22</v>
      </c>
      <c r="F780" s="24" t="n">
        <v>-0.0721123815</v>
      </c>
    </row>
    <row r="781" customFormat="false" ht="15" hidden="false" customHeight="false" outlineLevel="0" collapsed="false">
      <c r="A781" s="3" t="n">
        <v>780</v>
      </c>
      <c r="B781" s="3" t="n">
        <v>779</v>
      </c>
      <c r="C781" s="3" t="n">
        <v>0</v>
      </c>
      <c r="D781" s="3" t="n">
        <v>27</v>
      </c>
      <c r="E781" s="3" t="n">
        <v>23</v>
      </c>
      <c r="F781" s="24" t="n">
        <v>-0.0721123815</v>
      </c>
    </row>
    <row r="782" customFormat="false" ht="15" hidden="false" customHeight="false" outlineLevel="0" collapsed="false">
      <c r="A782" s="3" t="n">
        <v>781</v>
      </c>
      <c r="B782" s="3" t="n">
        <v>780</v>
      </c>
      <c r="C782" s="3" t="n">
        <v>0</v>
      </c>
      <c r="D782" s="3" t="n">
        <v>27</v>
      </c>
      <c r="E782" s="3" t="n">
        <v>24</v>
      </c>
      <c r="F782" s="24" t="n">
        <v>-0.0721123815</v>
      </c>
    </row>
    <row r="783" customFormat="false" ht="15" hidden="false" customHeight="false" outlineLevel="0" collapsed="false">
      <c r="A783" s="3" t="n">
        <v>782</v>
      </c>
      <c r="B783" s="3" t="n">
        <v>781</v>
      </c>
      <c r="C783" s="3" t="n">
        <v>0</v>
      </c>
      <c r="D783" s="3" t="n">
        <v>27</v>
      </c>
      <c r="E783" s="3" t="n">
        <v>25</v>
      </c>
      <c r="F783" s="24" t="n">
        <v>-0.0721123815</v>
      </c>
    </row>
    <row r="784" customFormat="false" ht="15" hidden="false" customHeight="false" outlineLevel="0" collapsed="false">
      <c r="A784" s="3" t="n">
        <v>783</v>
      </c>
      <c r="B784" s="3" t="n">
        <v>782</v>
      </c>
      <c r="C784" s="3" t="n">
        <v>0</v>
      </c>
      <c r="D784" s="3" t="n">
        <v>27</v>
      </c>
      <c r="E784" s="3" t="n">
        <v>26</v>
      </c>
      <c r="F784" s="24" t="n">
        <v>-0.0721123815</v>
      </c>
    </row>
    <row r="785" customFormat="false" ht="15" hidden="false" customHeight="false" outlineLevel="0" collapsed="false">
      <c r="A785" s="3" t="n">
        <v>784</v>
      </c>
      <c r="B785" s="3" t="n">
        <v>783</v>
      </c>
      <c r="C785" s="3" t="n">
        <v>0</v>
      </c>
      <c r="D785" s="3" t="n">
        <v>27</v>
      </c>
      <c r="E785" s="3" t="n">
        <v>27</v>
      </c>
      <c r="F785" s="24" t="n">
        <v>-0.0716060996</v>
      </c>
    </row>
    <row r="786" customFormat="false" ht="15" hidden="false" customHeight="false" outlineLevel="0" collapsed="false">
      <c r="A786" s="3" t="n">
        <v>785</v>
      </c>
      <c r="B786" s="3" t="n">
        <v>784</v>
      </c>
      <c r="C786" s="3" t="n">
        <v>1</v>
      </c>
      <c r="D786" s="3" t="n">
        <v>0</v>
      </c>
      <c r="E786" s="3" t="n">
        <v>0</v>
      </c>
      <c r="F786" s="24" t="n">
        <v>-0.599187016</v>
      </c>
    </row>
    <row r="787" customFormat="false" ht="15" hidden="false" customHeight="false" outlineLevel="0" collapsed="false">
      <c r="A787" s="3" t="n">
        <v>786</v>
      </c>
      <c r="B787" s="3" t="n">
        <v>785</v>
      </c>
      <c r="C787" s="3" t="n">
        <v>1</v>
      </c>
      <c r="D787" s="3" t="n">
        <v>0</v>
      </c>
      <c r="E787" s="3" t="n">
        <v>1</v>
      </c>
      <c r="F787" s="24" t="n">
        <v>-0.672925055</v>
      </c>
    </row>
    <row r="788" customFormat="false" ht="15" hidden="false" customHeight="false" outlineLevel="0" collapsed="false">
      <c r="A788" s="3" t="n">
        <v>787</v>
      </c>
      <c r="B788" s="3" t="n">
        <v>786</v>
      </c>
      <c r="C788" s="3" t="n">
        <v>1</v>
      </c>
      <c r="D788" s="3" t="n">
        <v>0</v>
      </c>
      <c r="E788" s="3" t="n">
        <v>2</v>
      </c>
      <c r="F788" s="24" t="n">
        <v>-0.672925055</v>
      </c>
    </row>
    <row r="789" customFormat="false" ht="15" hidden="false" customHeight="false" outlineLevel="0" collapsed="false">
      <c r="A789" s="3" t="n">
        <v>788</v>
      </c>
      <c r="B789" s="3" t="n">
        <v>787</v>
      </c>
      <c r="C789" s="3" t="n">
        <v>1</v>
      </c>
      <c r="D789" s="3" t="n">
        <v>0</v>
      </c>
      <c r="E789" s="3" t="n">
        <v>3</v>
      </c>
      <c r="F789" s="24" t="n">
        <v>-0.672925055</v>
      </c>
    </row>
    <row r="790" customFormat="false" ht="15" hidden="false" customHeight="false" outlineLevel="0" collapsed="false">
      <c r="A790" s="3" t="n">
        <v>789</v>
      </c>
      <c r="B790" s="3" t="n">
        <v>788</v>
      </c>
      <c r="C790" s="3" t="n">
        <v>1</v>
      </c>
      <c r="D790" s="3" t="n">
        <v>0</v>
      </c>
      <c r="E790" s="3" t="n">
        <v>4</v>
      </c>
      <c r="F790" s="24" t="n">
        <v>-0.672925055</v>
      </c>
    </row>
    <row r="791" customFormat="false" ht="15" hidden="false" customHeight="false" outlineLevel="0" collapsed="false">
      <c r="A791" s="3" t="n">
        <v>790</v>
      </c>
      <c r="B791" s="3" t="n">
        <v>789</v>
      </c>
      <c r="C791" s="3" t="n">
        <v>1</v>
      </c>
      <c r="D791" s="3" t="n">
        <v>0</v>
      </c>
      <c r="E791" s="3" t="n">
        <v>5</v>
      </c>
      <c r="F791" s="24" t="n">
        <v>-0.672925055</v>
      </c>
    </row>
    <row r="792" customFormat="false" ht="15" hidden="false" customHeight="false" outlineLevel="0" collapsed="false">
      <c r="A792" s="3" t="n">
        <v>791</v>
      </c>
      <c r="B792" s="3" t="n">
        <v>790</v>
      </c>
      <c r="C792" s="3" t="n">
        <v>1</v>
      </c>
      <c r="D792" s="3" t="n">
        <v>0</v>
      </c>
      <c r="E792" s="3" t="n">
        <v>6</v>
      </c>
      <c r="F792" s="24" t="n">
        <v>-0.672925055</v>
      </c>
    </row>
    <row r="793" customFormat="false" ht="15" hidden="false" customHeight="false" outlineLevel="0" collapsed="false">
      <c r="A793" s="3" t="n">
        <v>792</v>
      </c>
      <c r="B793" s="3" t="n">
        <v>791</v>
      </c>
      <c r="C793" s="3" t="n">
        <v>1</v>
      </c>
      <c r="D793" s="3" t="n">
        <v>0</v>
      </c>
      <c r="E793" s="3" t="n">
        <v>7</v>
      </c>
      <c r="F793" s="24" t="n">
        <v>-0.672925055</v>
      </c>
    </row>
    <row r="794" customFormat="false" ht="15" hidden="false" customHeight="false" outlineLevel="0" collapsed="false">
      <c r="A794" s="3" t="n">
        <v>793</v>
      </c>
      <c r="B794" s="3" t="n">
        <v>792</v>
      </c>
      <c r="C794" s="3" t="n">
        <v>1</v>
      </c>
      <c r="D794" s="3" t="n">
        <v>0</v>
      </c>
      <c r="E794" s="3" t="n">
        <v>8</v>
      </c>
      <c r="F794" s="24" t="n">
        <v>-0.672925055</v>
      </c>
    </row>
    <row r="795" customFormat="false" ht="15" hidden="false" customHeight="false" outlineLevel="0" collapsed="false">
      <c r="A795" s="3" t="n">
        <v>794</v>
      </c>
      <c r="B795" s="3" t="n">
        <v>793</v>
      </c>
      <c r="C795" s="3" t="n">
        <v>1</v>
      </c>
      <c r="D795" s="3" t="n">
        <v>0</v>
      </c>
      <c r="E795" s="3" t="n">
        <v>9</v>
      </c>
      <c r="F795" s="24" t="n">
        <v>-0.672925055</v>
      </c>
    </row>
    <row r="796" customFormat="false" ht="15" hidden="false" customHeight="false" outlineLevel="0" collapsed="false">
      <c r="A796" s="3" t="n">
        <v>795</v>
      </c>
      <c r="B796" s="3" t="n">
        <v>794</v>
      </c>
      <c r="C796" s="3" t="n">
        <v>1</v>
      </c>
      <c r="D796" s="3" t="n">
        <v>0</v>
      </c>
      <c r="E796" s="3" t="n">
        <v>10</v>
      </c>
      <c r="F796" s="24" t="n">
        <v>-0.672925055</v>
      </c>
    </row>
    <row r="797" customFormat="false" ht="15" hidden="false" customHeight="false" outlineLevel="0" collapsed="false">
      <c r="A797" s="3" t="n">
        <v>796</v>
      </c>
      <c r="B797" s="3" t="n">
        <v>795</v>
      </c>
      <c r="C797" s="3" t="n">
        <v>1</v>
      </c>
      <c r="D797" s="3" t="n">
        <v>0</v>
      </c>
      <c r="E797" s="3" t="n">
        <v>11</v>
      </c>
      <c r="F797" s="24" t="n">
        <v>-0.672925055</v>
      </c>
    </row>
    <row r="798" customFormat="false" ht="15" hidden="false" customHeight="false" outlineLevel="0" collapsed="false">
      <c r="A798" s="3" t="n">
        <v>797</v>
      </c>
      <c r="B798" s="3" t="n">
        <v>796</v>
      </c>
      <c r="C798" s="3" t="n">
        <v>1</v>
      </c>
      <c r="D798" s="3" t="n">
        <v>0</v>
      </c>
      <c r="E798" s="3" t="n">
        <v>12</v>
      </c>
      <c r="F798" s="24" t="n">
        <v>-0.672925055</v>
      </c>
    </row>
    <row r="799" customFormat="false" ht="15" hidden="false" customHeight="false" outlineLevel="0" collapsed="false">
      <c r="A799" s="3" t="n">
        <v>798</v>
      </c>
      <c r="B799" s="3" t="n">
        <v>797</v>
      </c>
      <c r="C799" s="3" t="n">
        <v>1</v>
      </c>
      <c r="D799" s="3" t="n">
        <v>0</v>
      </c>
      <c r="E799" s="3" t="n">
        <v>13</v>
      </c>
      <c r="F799" s="24" t="n">
        <v>-0.672925055</v>
      </c>
    </row>
    <row r="800" customFormat="false" ht="15" hidden="false" customHeight="false" outlineLevel="0" collapsed="false">
      <c r="A800" s="3" t="n">
        <v>799</v>
      </c>
      <c r="B800" s="3" t="n">
        <v>798</v>
      </c>
      <c r="C800" s="3" t="n">
        <v>1</v>
      </c>
      <c r="D800" s="3" t="n">
        <v>0</v>
      </c>
      <c r="E800" s="3" t="n">
        <v>14</v>
      </c>
      <c r="F800" s="24" t="n">
        <v>-0.672925055</v>
      </c>
    </row>
    <row r="801" customFormat="false" ht="15" hidden="false" customHeight="false" outlineLevel="0" collapsed="false">
      <c r="A801" s="3" t="n">
        <v>800</v>
      </c>
      <c r="B801" s="3" t="n">
        <v>799</v>
      </c>
      <c r="C801" s="3" t="n">
        <v>1</v>
      </c>
      <c r="D801" s="3" t="n">
        <v>0</v>
      </c>
      <c r="E801" s="3" t="n">
        <v>15</v>
      </c>
      <c r="F801" s="24" t="n">
        <v>-0.672925055</v>
      </c>
    </row>
    <row r="802" customFormat="false" ht="15" hidden="false" customHeight="false" outlineLevel="0" collapsed="false">
      <c r="A802" s="3" t="n">
        <v>801</v>
      </c>
      <c r="B802" s="3" t="n">
        <v>800</v>
      </c>
      <c r="C802" s="3" t="n">
        <v>1</v>
      </c>
      <c r="D802" s="3" t="n">
        <v>0</v>
      </c>
      <c r="E802" s="3" t="n">
        <v>16</v>
      </c>
      <c r="F802" s="24" t="n">
        <v>-0.672925055</v>
      </c>
    </row>
    <row r="803" customFormat="false" ht="15" hidden="false" customHeight="false" outlineLevel="0" collapsed="false">
      <c r="A803" s="3" t="n">
        <v>802</v>
      </c>
      <c r="B803" s="3" t="n">
        <v>801</v>
      </c>
      <c r="C803" s="3" t="n">
        <v>1</v>
      </c>
      <c r="D803" s="3" t="n">
        <v>0</v>
      </c>
      <c r="E803" s="3" t="n">
        <v>17</v>
      </c>
      <c r="F803" s="24" t="n">
        <v>-0.672925055</v>
      </c>
    </row>
    <row r="804" customFormat="false" ht="15" hidden="false" customHeight="false" outlineLevel="0" collapsed="false">
      <c r="A804" s="3" t="n">
        <v>803</v>
      </c>
      <c r="B804" s="3" t="n">
        <v>802</v>
      </c>
      <c r="C804" s="3" t="n">
        <v>1</v>
      </c>
      <c r="D804" s="3" t="n">
        <v>0</v>
      </c>
      <c r="E804" s="3" t="n">
        <v>18</v>
      </c>
      <c r="F804" s="24" t="n">
        <v>-0.672925055</v>
      </c>
    </row>
    <row r="805" customFormat="false" ht="15" hidden="false" customHeight="false" outlineLevel="0" collapsed="false">
      <c r="A805" s="3" t="n">
        <v>804</v>
      </c>
      <c r="B805" s="3" t="n">
        <v>803</v>
      </c>
      <c r="C805" s="3" t="n">
        <v>1</v>
      </c>
      <c r="D805" s="3" t="n">
        <v>0</v>
      </c>
      <c r="E805" s="3" t="n">
        <v>19</v>
      </c>
      <c r="F805" s="24" t="n">
        <v>-0.672925055</v>
      </c>
    </row>
    <row r="806" customFormat="false" ht="15" hidden="false" customHeight="false" outlineLevel="0" collapsed="false">
      <c r="A806" s="3" t="n">
        <v>805</v>
      </c>
      <c r="B806" s="3" t="n">
        <v>804</v>
      </c>
      <c r="C806" s="3" t="n">
        <v>1</v>
      </c>
      <c r="D806" s="3" t="n">
        <v>0</v>
      </c>
      <c r="E806" s="3" t="n">
        <v>20</v>
      </c>
      <c r="F806" s="24" t="n">
        <v>-0.672925055</v>
      </c>
    </row>
    <row r="807" customFormat="false" ht="15" hidden="false" customHeight="false" outlineLevel="0" collapsed="false">
      <c r="A807" s="3" t="n">
        <v>806</v>
      </c>
      <c r="B807" s="3" t="n">
        <v>805</v>
      </c>
      <c r="C807" s="3" t="n">
        <v>1</v>
      </c>
      <c r="D807" s="3" t="n">
        <v>0</v>
      </c>
      <c r="E807" s="3" t="n">
        <v>21</v>
      </c>
      <c r="F807" s="24" t="n">
        <v>-0.672925055</v>
      </c>
    </row>
    <row r="808" customFormat="false" ht="15" hidden="false" customHeight="false" outlineLevel="0" collapsed="false">
      <c r="A808" s="3" t="n">
        <v>807</v>
      </c>
      <c r="B808" s="3" t="n">
        <v>806</v>
      </c>
      <c r="C808" s="3" t="n">
        <v>1</v>
      </c>
      <c r="D808" s="3" t="n">
        <v>0</v>
      </c>
      <c r="E808" s="3" t="n">
        <v>22</v>
      </c>
      <c r="F808" s="24" t="n">
        <v>-0.672925055</v>
      </c>
    </row>
    <row r="809" customFormat="false" ht="15" hidden="false" customHeight="false" outlineLevel="0" collapsed="false">
      <c r="A809" s="3" t="n">
        <v>808</v>
      </c>
      <c r="B809" s="3" t="n">
        <v>807</v>
      </c>
      <c r="C809" s="3" t="n">
        <v>1</v>
      </c>
      <c r="D809" s="3" t="n">
        <v>0</v>
      </c>
      <c r="E809" s="3" t="n">
        <v>23</v>
      </c>
      <c r="F809" s="24" t="n">
        <v>-0.672925055</v>
      </c>
    </row>
    <row r="810" customFormat="false" ht="15" hidden="false" customHeight="false" outlineLevel="0" collapsed="false">
      <c r="A810" s="3" t="n">
        <v>809</v>
      </c>
      <c r="B810" s="3" t="n">
        <v>808</v>
      </c>
      <c r="C810" s="3" t="n">
        <v>1</v>
      </c>
      <c r="D810" s="3" t="n">
        <v>0</v>
      </c>
      <c r="E810" s="3" t="n">
        <v>24</v>
      </c>
      <c r="F810" s="24" t="n">
        <v>-0.672925055</v>
      </c>
    </row>
    <row r="811" customFormat="false" ht="15" hidden="false" customHeight="false" outlineLevel="0" collapsed="false">
      <c r="A811" s="3" t="n">
        <v>810</v>
      </c>
      <c r="B811" s="3" t="n">
        <v>809</v>
      </c>
      <c r="C811" s="3" t="n">
        <v>1</v>
      </c>
      <c r="D811" s="3" t="n">
        <v>0</v>
      </c>
      <c r="E811" s="3" t="n">
        <v>25</v>
      </c>
      <c r="F811" s="24" t="n">
        <v>-0.672925055</v>
      </c>
    </row>
    <row r="812" customFormat="false" ht="15" hidden="false" customHeight="false" outlineLevel="0" collapsed="false">
      <c r="A812" s="3" t="n">
        <v>811</v>
      </c>
      <c r="B812" s="3" t="n">
        <v>810</v>
      </c>
      <c r="C812" s="3" t="n">
        <v>1</v>
      </c>
      <c r="D812" s="3" t="n">
        <v>0</v>
      </c>
      <c r="E812" s="3" t="n">
        <v>26</v>
      </c>
      <c r="F812" s="24" t="n">
        <v>-0.672925055</v>
      </c>
    </row>
    <row r="813" customFormat="false" ht="15" hidden="false" customHeight="false" outlineLevel="0" collapsed="false">
      <c r="A813" s="3" t="n">
        <v>812</v>
      </c>
      <c r="B813" s="3" t="n">
        <v>811</v>
      </c>
      <c r="C813" s="3" t="n">
        <v>1</v>
      </c>
      <c r="D813" s="3" t="n">
        <v>0</v>
      </c>
      <c r="E813" s="3" t="n">
        <v>27</v>
      </c>
      <c r="F813" s="24" t="n">
        <v>-0.471545458</v>
      </c>
    </row>
    <row r="814" customFormat="false" ht="15" hidden="false" customHeight="false" outlineLevel="0" collapsed="false">
      <c r="A814" s="3" t="n">
        <v>813</v>
      </c>
      <c r="B814" s="3" t="n">
        <v>812</v>
      </c>
      <c r="C814" s="3" t="n">
        <v>1</v>
      </c>
      <c r="D814" s="3" t="n">
        <v>1</v>
      </c>
      <c r="E814" s="3" t="n">
        <v>0</v>
      </c>
      <c r="F814" s="24" t="n">
        <v>-0.749848783</v>
      </c>
    </row>
    <row r="815" customFormat="false" ht="15" hidden="false" customHeight="false" outlineLevel="0" collapsed="false">
      <c r="A815" s="3" t="n">
        <v>814</v>
      </c>
      <c r="B815" s="3" t="n">
        <v>813</v>
      </c>
      <c r="C815" s="3" t="n">
        <v>1</v>
      </c>
      <c r="D815" s="3" t="n">
        <v>1</v>
      </c>
      <c r="E815" s="3" t="n">
        <v>1</v>
      </c>
      <c r="F815" s="24" t="n">
        <v>-0.678061068</v>
      </c>
    </row>
    <row r="816" customFormat="false" ht="15" hidden="false" customHeight="false" outlineLevel="0" collapsed="false">
      <c r="A816" s="3" t="n">
        <v>815</v>
      </c>
      <c r="B816" s="3" t="n">
        <v>814</v>
      </c>
      <c r="C816" s="3" t="n">
        <v>1</v>
      </c>
      <c r="D816" s="3" t="n">
        <v>1</v>
      </c>
      <c r="E816" s="3" t="n">
        <v>2</v>
      </c>
      <c r="F816" s="24" t="n">
        <v>-0.678061068</v>
      </c>
    </row>
    <row r="817" customFormat="false" ht="15" hidden="false" customHeight="false" outlineLevel="0" collapsed="false">
      <c r="A817" s="3" t="n">
        <v>816</v>
      </c>
      <c r="B817" s="3" t="n">
        <v>815</v>
      </c>
      <c r="C817" s="3" t="n">
        <v>1</v>
      </c>
      <c r="D817" s="3" t="n">
        <v>1</v>
      </c>
      <c r="E817" s="3" t="n">
        <v>3</v>
      </c>
      <c r="F817" s="24" t="n">
        <v>-0.678061068</v>
      </c>
    </row>
    <row r="818" customFormat="false" ht="15" hidden="false" customHeight="false" outlineLevel="0" collapsed="false">
      <c r="A818" s="3" t="n">
        <v>817</v>
      </c>
      <c r="B818" s="3" t="n">
        <v>816</v>
      </c>
      <c r="C818" s="3" t="n">
        <v>1</v>
      </c>
      <c r="D818" s="3" t="n">
        <v>1</v>
      </c>
      <c r="E818" s="3" t="n">
        <v>4</v>
      </c>
      <c r="F818" s="24" t="n">
        <v>-0.678061068</v>
      </c>
    </row>
    <row r="819" customFormat="false" ht="15" hidden="false" customHeight="false" outlineLevel="0" collapsed="false">
      <c r="A819" s="3" t="n">
        <v>818</v>
      </c>
      <c r="B819" s="3" t="n">
        <v>817</v>
      </c>
      <c r="C819" s="3" t="n">
        <v>1</v>
      </c>
      <c r="D819" s="3" t="n">
        <v>1</v>
      </c>
      <c r="E819" s="3" t="n">
        <v>5</v>
      </c>
      <c r="F819" s="24" t="n">
        <v>-0.678061068</v>
      </c>
    </row>
    <row r="820" customFormat="false" ht="15" hidden="false" customHeight="false" outlineLevel="0" collapsed="false">
      <c r="A820" s="3" t="n">
        <v>819</v>
      </c>
      <c r="B820" s="3" t="n">
        <v>818</v>
      </c>
      <c r="C820" s="3" t="n">
        <v>1</v>
      </c>
      <c r="D820" s="3" t="n">
        <v>1</v>
      </c>
      <c r="E820" s="3" t="n">
        <v>6</v>
      </c>
      <c r="F820" s="24" t="n">
        <v>-0.678061068</v>
      </c>
    </row>
    <row r="821" customFormat="false" ht="15" hidden="false" customHeight="false" outlineLevel="0" collapsed="false">
      <c r="A821" s="3" t="n">
        <v>820</v>
      </c>
      <c r="B821" s="3" t="n">
        <v>819</v>
      </c>
      <c r="C821" s="3" t="n">
        <v>1</v>
      </c>
      <c r="D821" s="3" t="n">
        <v>1</v>
      </c>
      <c r="E821" s="3" t="n">
        <v>7</v>
      </c>
      <c r="F821" s="24" t="n">
        <v>-0.678061068</v>
      </c>
    </row>
    <row r="822" customFormat="false" ht="15" hidden="false" customHeight="false" outlineLevel="0" collapsed="false">
      <c r="A822" s="3" t="n">
        <v>821</v>
      </c>
      <c r="B822" s="3" t="n">
        <v>820</v>
      </c>
      <c r="C822" s="3" t="n">
        <v>1</v>
      </c>
      <c r="D822" s="3" t="n">
        <v>1</v>
      </c>
      <c r="E822" s="3" t="n">
        <v>8</v>
      </c>
      <c r="F822" s="24" t="n">
        <v>-0.678061068</v>
      </c>
    </row>
    <row r="823" customFormat="false" ht="15" hidden="false" customHeight="false" outlineLevel="0" collapsed="false">
      <c r="A823" s="3" t="n">
        <v>822</v>
      </c>
      <c r="B823" s="3" t="n">
        <v>821</v>
      </c>
      <c r="C823" s="3" t="n">
        <v>1</v>
      </c>
      <c r="D823" s="3" t="n">
        <v>1</v>
      </c>
      <c r="E823" s="3" t="n">
        <v>9</v>
      </c>
      <c r="F823" s="24" t="n">
        <v>-0.678061068</v>
      </c>
    </row>
    <row r="824" customFormat="false" ht="15" hidden="false" customHeight="false" outlineLevel="0" collapsed="false">
      <c r="A824" s="3" t="n">
        <v>823</v>
      </c>
      <c r="B824" s="3" t="n">
        <v>822</v>
      </c>
      <c r="C824" s="3" t="n">
        <v>1</v>
      </c>
      <c r="D824" s="3" t="n">
        <v>1</v>
      </c>
      <c r="E824" s="3" t="n">
        <v>10</v>
      </c>
      <c r="F824" s="24" t="n">
        <v>-0.678061068</v>
      </c>
    </row>
    <row r="825" customFormat="false" ht="15" hidden="false" customHeight="false" outlineLevel="0" collapsed="false">
      <c r="A825" s="3" t="n">
        <v>824</v>
      </c>
      <c r="B825" s="3" t="n">
        <v>823</v>
      </c>
      <c r="C825" s="3" t="n">
        <v>1</v>
      </c>
      <c r="D825" s="3" t="n">
        <v>1</v>
      </c>
      <c r="E825" s="3" t="n">
        <v>11</v>
      </c>
      <c r="F825" s="24" t="n">
        <v>-0.678061068</v>
      </c>
    </row>
    <row r="826" customFormat="false" ht="15" hidden="false" customHeight="false" outlineLevel="0" collapsed="false">
      <c r="A826" s="3" t="n">
        <v>825</v>
      </c>
      <c r="B826" s="3" t="n">
        <v>824</v>
      </c>
      <c r="C826" s="3" t="n">
        <v>1</v>
      </c>
      <c r="D826" s="3" t="n">
        <v>1</v>
      </c>
      <c r="E826" s="3" t="n">
        <v>12</v>
      </c>
      <c r="F826" s="24" t="n">
        <v>-0.678061068</v>
      </c>
    </row>
    <row r="827" customFormat="false" ht="15" hidden="false" customHeight="false" outlineLevel="0" collapsed="false">
      <c r="A827" s="3" t="n">
        <v>826</v>
      </c>
      <c r="B827" s="3" t="n">
        <v>825</v>
      </c>
      <c r="C827" s="3" t="n">
        <v>1</v>
      </c>
      <c r="D827" s="3" t="n">
        <v>1</v>
      </c>
      <c r="E827" s="3" t="n">
        <v>13</v>
      </c>
      <c r="F827" s="24" t="n">
        <v>-0.678061068</v>
      </c>
    </row>
    <row r="828" customFormat="false" ht="15" hidden="false" customHeight="false" outlineLevel="0" collapsed="false">
      <c r="A828" s="3" t="n">
        <v>827</v>
      </c>
      <c r="B828" s="3" t="n">
        <v>826</v>
      </c>
      <c r="C828" s="3" t="n">
        <v>1</v>
      </c>
      <c r="D828" s="3" t="n">
        <v>1</v>
      </c>
      <c r="E828" s="3" t="n">
        <v>14</v>
      </c>
      <c r="F828" s="24" t="n">
        <v>-0.678061068</v>
      </c>
    </row>
    <row r="829" customFormat="false" ht="15" hidden="false" customHeight="false" outlineLevel="0" collapsed="false">
      <c r="A829" s="3" t="n">
        <v>828</v>
      </c>
      <c r="B829" s="3" t="n">
        <v>827</v>
      </c>
      <c r="C829" s="3" t="n">
        <v>1</v>
      </c>
      <c r="D829" s="3" t="n">
        <v>1</v>
      </c>
      <c r="E829" s="3" t="n">
        <v>15</v>
      </c>
      <c r="F829" s="24" t="n">
        <v>-0.678061068</v>
      </c>
    </row>
    <row r="830" customFormat="false" ht="15" hidden="false" customHeight="false" outlineLevel="0" collapsed="false">
      <c r="A830" s="3" t="n">
        <v>829</v>
      </c>
      <c r="B830" s="3" t="n">
        <v>828</v>
      </c>
      <c r="C830" s="3" t="n">
        <v>1</v>
      </c>
      <c r="D830" s="3" t="n">
        <v>1</v>
      </c>
      <c r="E830" s="3" t="n">
        <v>16</v>
      </c>
      <c r="F830" s="24" t="n">
        <v>-0.678061068</v>
      </c>
    </row>
    <row r="831" customFormat="false" ht="15" hidden="false" customHeight="false" outlineLevel="0" collapsed="false">
      <c r="A831" s="3" t="n">
        <v>830</v>
      </c>
      <c r="B831" s="3" t="n">
        <v>829</v>
      </c>
      <c r="C831" s="3" t="n">
        <v>1</v>
      </c>
      <c r="D831" s="3" t="n">
        <v>1</v>
      </c>
      <c r="E831" s="3" t="n">
        <v>17</v>
      </c>
      <c r="F831" s="24" t="n">
        <v>-0.678061068</v>
      </c>
    </row>
    <row r="832" customFormat="false" ht="15" hidden="false" customHeight="false" outlineLevel="0" collapsed="false">
      <c r="A832" s="3" t="n">
        <v>831</v>
      </c>
      <c r="B832" s="3" t="n">
        <v>830</v>
      </c>
      <c r="C832" s="3" t="n">
        <v>1</v>
      </c>
      <c r="D832" s="3" t="n">
        <v>1</v>
      </c>
      <c r="E832" s="3" t="n">
        <v>18</v>
      </c>
      <c r="F832" s="24" t="n">
        <v>-0.678061068</v>
      </c>
    </row>
    <row r="833" customFormat="false" ht="15" hidden="false" customHeight="false" outlineLevel="0" collapsed="false">
      <c r="A833" s="3" t="n">
        <v>832</v>
      </c>
      <c r="B833" s="3" t="n">
        <v>831</v>
      </c>
      <c r="C833" s="3" t="n">
        <v>1</v>
      </c>
      <c r="D833" s="3" t="n">
        <v>1</v>
      </c>
      <c r="E833" s="3" t="n">
        <v>19</v>
      </c>
      <c r="F833" s="24" t="n">
        <v>-0.678061068</v>
      </c>
    </row>
    <row r="834" customFormat="false" ht="15" hidden="false" customHeight="false" outlineLevel="0" collapsed="false">
      <c r="A834" s="3" t="n">
        <v>833</v>
      </c>
      <c r="B834" s="3" t="n">
        <v>832</v>
      </c>
      <c r="C834" s="3" t="n">
        <v>1</v>
      </c>
      <c r="D834" s="3" t="n">
        <v>1</v>
      </c>
      <c r="E834" s="3" t="n">
        <v>20</v>
      </c>
      <c r="F834" s="24" t="n">
        <v>-0.678061068</v>
      </c>
    </row>
    <row r="835" customFormat="false" ht="15" hidden="false" customHeight="false" outlineLevel="0" collapsed="false">
      <c r="A835" s="3" t="n">
        <v>834</v>
      </c>
      <c r="B835" s="3" t="n">
        <v>833</v>
      </c>
      <c r="C835" s="3" t="n">
        <v>1</v>
      </c>
      <c r="D835" s="3" t="n">
        <v>1</v>
      </c>
      <c r="E835" s="3" t="n">
        <v>21</v>
      </c>
      <c r="F835" s="24" t="n">
        <v>-0.678061068</v>
      </c>
    </row>
    <row r="836" customFormat="false" ht="15" hidden="false" customHeight="false" outlineLevel="0" collapsed="false">
      <c r="A836" s="3" t="n">
        <v>835</v>
      </c>
      <c r="B836" s="3" t="n">
        <v>834</v>
      </c>
      <c r="C836" s="3" t="n">
        <v>1</v>
      </c>
      <c r="D836" s="3" t="n">
        <v>1</v>
      </c>
      <c r="E836" s="3" t="n">
        <v>22</v>
      </c>
      <c r="F836" s="24" t="n">
        <v>-0.678061068</v>
      </c>
    </row>
    <row r="837" customFormat="false" ht="15" hidden="false" customHeight="false" outlineLevel="0" collapsed="false">
      <c r="A837" s="3" t="n">
        <v>836</v>
      </c>
      <c r="B837" s="3" t="n">
        <v>835</v>
      </c>
      <c r="C837" s="3" t="n">
        <v>1</v>
      </c>
      <c r="D837" s="3" t="n">
        <v>1</v>
      </c>
      <c r="E837" s="3" t="n">
        <v>23</v>
      </c>
      <c r="F837" s="24" t="n">
        <v>-0.678061068</v>
      </c>
    </row>
    <row r="838" customFormat="false" ht="15" hidden="false" customHeight="false" outlineLevel="0" collapsed="false">
      <c r="A838" s="3" t="n">
        <v>837</v>
      </c>
      <c r="B838" s="3" t="n">
        <v>836</v>
      </c>
      <c r="C838" s="3" t="n">
        <v>1</v>
      </c>
      <c r="D838" s="3" t="n">
        <v>1</v>
      </c>
      <c r="E838" s="3" t="n">
        <v>24</v>
      </c>
      <c r="F838" s="24" t="n">
        <v>-0.678061068</v>
      </c>
    </row>
    <row r="839" customFormat="false" ht="15" hidden="false" customHeight="false" outlineLevel="0" collapsed="false">
      <c r="A839" s="3" t="n">
        <v>838</v>
      </c>
      <c r="B839" s="3" t="n">
        <v>837</v>
      </c>
      <c r="C839" s="3" t="n">
        <v>1</v>
      </c>
      <c r="D839" s="3" t="n">
        <v>1</v>
      </c>
      <c r="E839" s="3" t="n">
        <v>25</v>
      </c>
      <c r="F839" s="24" t="n">
        <v>-0.678061068</v>
      </c>
    </row>
    <row r="840" customFormat="false" ht="15" hidden="false" customHeight="false" outlineLevel="0" collapsed="false">
      <c r="A840" s="3" t="n">
        <v>839</v>
      </c>
      <c r="B840" s="3" t="n">
        <v>838</v>
      </c>
      <c r="C840" s="3" t="n">
        <v>1</v>
      </c>
      <c r="D840" s="3" t="n">
        <v>1</v>
      </c>
      <c r="E840" s="3" t="n">
        <v>26</v>
      </c>
      <c r="F840" s="24" t="n">
        <v>-0.678061068</v>
      </c>
    </row>
    <row r="841" customFormat="false" ht="15" hidden="false" customHeight="false" outlineLevel="0" collapsed="false">
      <c r="A841" s="3" t="n">
        <v>840</v>
      </c>
      <c r="B841" s="3" t="n">
        <v>839</v>
      </c>
      <c r="C841" s="3" t="n">
        <v>1</v>
      </c>
      <c r="D841" s="3" t="n">
        <v>1</v>
      </c>
      <c r="E841" s="3" t="n">
        <v>27</v>
      </c>
      <c r="F841" s="24" t="n">
        <v>-0.401937425</v>
      </c>
    </row>
    <row r="842" customFormat="false" ht="15" hidden="false" customHeight="false" outlineLevel="0" collapsed="false">
      <c r="A842" s="3" t="n">
        <v>841</v>
      </c>
      <c r="B842" s="3" t="n">
        <v>840</v>
      </c>
      <c r="C842" s="3" t="n">
        <v>1</v>
      </c>
      <c r="D842" s="3" t="n">
        <v>2</v>
      </c>
      <c r="E842" s="3" t="n">
        <v>0</v>
      </c>
      <c r="F842" s="24" t="n">
        <v>-0.749848783</v>
      </c>
    </row>
    <row r="843" customFormat="false" ht="15" hidden="false" customHeight="false" outlineLevel="0" collapsed="false">
      <c r="A843" s="3" t="n">
        <v>842</v>
      </c>
      <c r="B843" s="3" t="n">
        <v>841</v>
      </c>
      <c r="C843" s="3" t="n">
        <v>1</v>
      </c>
      <c r="D843" s="3" t="n">
        <v>2</v>
      </c>
      <c r="E843" s="3" t="n">
        <v>1</v>
      </c>
      <c r="F843" s="24" t="n">
        <v>-0.678061068</v>
      </c>
    </row>
    <row r="844" customFormat="false" ht="15" hidden="false" customHeight="false" outlineLevel="0" collapsed="false">
      <c r="A844" s="3" t="n">
        <v>843</v>
      </c>
      <c r="B844" s="3" t="n">
        <v>842</v>
      </c>
      <c r="C844" s="3" t="n">
        <v>1</v>
      </c>
      <c r="D844" s="3" t="n">
        <v>2</v>
      </c>
      <c r="E844" s="3" t="n">
        <v>2</v>
      </c>
      <c r="F844" s="24" t="n">
        <v>-0.678061068</v>
      </c>
    </row>
    <row r="845" customFormat="false" ht="15" hidden="false" customHeight="false" outlineLevel="0" collapsed="false">
      <c r="A845" s="3" t="n">
        <v>844</v>
      </c>
      <c r="B845" s="3" t="n">
        <v>843</v>
      </c>
      <c r="C845" s="3" t="n">
        <v>1</v>
      </c>
      <c r="D845" s="3" t="n">
        <v>2</v>
      </c>
      <c r="E845" s="3" t="n">
        <v>3</v>
      </c>
      <c r="F845" s="24" t="n">
        <v>-0.678061068</v>
      </c>
    </row>
    <row r="846" customFormat="false" ht="15" hidden="false" customHeight="false" outlineLevel="0" collapsed="false">
      <c r="A846" s="3" t="n">
        <v>845</v>
      </c>
      <c r="B846" s="3" t="n">
        <v>844</v>
      </c>
      <c r="C846" s="3" t="n">
        <v>1</v>
      </c>
      <c r="D846" s="3" t="n">
        <v>2</v>
      </c>
      <c r="E846" s="3" t="n">
        <v>4</v>
      </c>
      <c r="F846" s="24" t="n">
        <v>-0.678061068</v>
      </c>
    </row>
    <row r="847" customFormat="false" ht="15" hidden="false" customHeight="false" outlineLevel="0" collapsed="false">
      <c r="A847" s="3" t="n">
        <v>846</v>
      </c>
      <c r="B847" s="3" t="n">
        <v>845</v>
      </c>
      <c r="C847" s="3" t="n">
        <v>1</v>
      </c>
      <c r="D847" s="3" t="n">
        <v>2</v>
      </c>
      <c r="E847" s="3" t="n">
        <v>5</v>
      </c>
      <c r="F847" s="24" t="n">
        <v>-0.678061068</v>
      </c>
    </row>
    <row r="848" customFormat="false" ht="15" hidden="false" customHeight="false" outlineLevel="0" collapsed="false">
      <c r="A848" s="3" t="n">
        <v>847</v>
      </c>
      <c r="B848" s="3" t="n">
        <v>846</v>
      </c>
      <c r="C848" s="3" t="n">
        <v>1</v>
      </c>
      <c r="D848" s="3" t="n">
        <v>2</v>
      </c>
      <c r="E848" s="3" t="n">
        <v>6</v>
      </c>
      <c r="F848" s="24" t="n">
        <v>-0.678061068</v>
      </c>
    </row>
    <row r="849" customFormat="false" ht="15" hidden="false" customHeight="false" outlineLevel="0" collapsed="false">
      <c r="A849" s="3" t="n">
        <v>848</v>
      </c>
      <c r="B849" s="3" t="n">
        <v>847</v>
      </c>
      <c r="C849" s="3" t="n">
        <v>1</v>
      </c>
      <c r="D849" s="3" t="n">
        <v>2</v>
      </c>
      <c r="E849" s="3" t="n">
        <v>7</v>
      </c>
      <c r="F849" s="24" t="n">
        <v>-0.678061068</v>
      </c>
    </row>
    <row r="850" customFormat="false" ht="15" hidden="false" customHeight="false" outlineLevel="0" collapsed="false">
      <c r="A850" s="3" t="n">
        <v>849</v>
      </c>
      <c r="B850" s="3" t="n">
        <v>848</v>
      </c>
      <c r="C850" s="3" t="n">
        <v>1</v>
      </c>
      <c r="D850" s="3" t="n">
        <v>2</v>
      </c>
      <c r="E850" s="3" t="n">
        <v>8</v>
      </c>
      <c r="F850" s="24" t="n">
        <v>-0.678061068</v>
      </c>
    </row>
    <row r="851" customFormat="false" ht="15" hidden="false" customHeight="false" outlineLevel="0" collapsed="false">
      <c r="A851" s="3" t="n">
        <v>850</v>
      </c>
      <c r="B851" s="3" t="n">
        <v>849</v>
      </c>
      <c r="C851" s="3" t="n">
        <v>1</v>
      </c>
      <c r="D851" s="3" t="n">
        <v>2</v>
      </c>
      <c r="E851" s="3" t="n">
        <v>9</v>
      </c>
      <c r="F851" s="24" t="n">
        <v>-0.678061068</v>
      </c>
    </row>
    <row r="852" customFormat="false" ht="15" hidden="false" customHeight="false" outlineLevel="0" collapsed="false">
      <c r="A852" s="3" t="n">
        <v>851</v>
      </c>
      <c r="B852" s="3" t="n">
        <v>850</v>
      </c>
      <c r="C852" s="3" t="n">
        <v>1</v>
      </c>
      <c r="D852" s="3" t="n">
        <v>2</v>
      </c>
      <c r="E852" s="3" t="n">
        <v>10</v>
      </c>
      <c r="F852" s="24" t="n">
        <v>-0.678061068</v>
      </c>
    </row>
    <row r="853" customFormat="false" ht="15" hidden="false" customHeight="false" outlineLevel="0" collapsed="false">
      <c r="A853" s="3" t="n">
        <v>852</v>
      </c>
      <c r="B853" s="3" t="n">
        <v>851</v>
      </c>
      <c r="C853" s="3" t="n">
        <v>1</v>
      </c>
      <c r="D853" s="3" t="n">
        <v>2</v>
      </c>
      <c r="E853" s="3" t="n">
        <v>11</v>
      </c>
      <c r="F853" s="24" t="n">
        <v>-0.678061068</v>
      </c>
    </row>
    <row r="854" customFormat="false" ht="15" hidden="false" customHeight="false" outlineLevel="0" collapsed="false">
      <c r="A854" s="3" t="n">
        <v>853</v>
      </c>
      <c r="B854" s="3" t="n">
        <v>852</v>
      </c>
      <c r="C854" s="3" t="n">
        <v>1</v>
      </c>
      <c r="D854" s="3" t="n">
        <v>2</v>
      </c>
      <c r="E854" s="3" t="n">
        <v>12</v>
      </c>
      <c r="F854" s="24" t="n">
        <v>-0.678061068</v>
      </c>
    </row>
    <row r="855" customFormat="false" ht="15" hidden="false" customHeight="false" outlineLevel="0" collapsed="false">
      <c r="A855" s="3" t="n">
        <v>854</v>
      </c>
      <c r="B855" s="3" t="n">
        <v>853</v>
      </c>
      <c r="C855" s="3" t="n">
        <v>1</v>
      </c>
      <c r="D855" s="3" t="n">
        <v>2</v>
      </c>
      <c r="E855" s="3" t="n">
        <v>13</v>
      </c>
      <c r="F855" s="24" t="n">
        <v>-0.678061068</v>
      </c>
    </row>
    <row r="856" customFormat="false" ht="15" hidden="false" customHeight="false" outlineLevel="0" collapsed="false">
      <c r="A856" s="3" t="n">
        <v>855</v>
      </c>
      <c r="B856" s="3" t="n">
        <v>854</v>
      </c>
      <c r="C856" s="3" t="n">
        <v>1</v>
      </c>
      <c r="D856" s="3" t="n">
        <v>2</v>
      </c>
      <c r="E856" s="3" t="n">
        <v>14</v>
      </c>
      <c r="F856" s="24" t="n">
        <v>-0.678061068</v>
      </c>
    </row>
    <row r="857" customFormat="false" ht="15" hidden="false" customHeight="false" outlineLevel="0" collapsed="false">
      <c r="A857" s="3" t="n">
        <v>856</v>
      </c>
      <c r="B857" s="3" t="n">
        <v>855</v>
      </c>
      <c r="C857" s="3" t="n">
        <v>1</v>
      </c>
      <c r="D857" s="3" t="n">
        <v>2</v>
      </c>
      <c r="E857" s="3" t="n">
        <v>15</v>
      </c>
      <c r="F857" s="24" t="n">
        <v>-0.678061068</v>
      </c>
    </row>
    <row r="858" customFormat="false" ht="15" hidden="false" customHeight="false" outlineLevel="0" collapsed="false">
      <c r="A858" s="3" t="n">
        <v>857</v>
      </c>
      <c r="B858" s="3" t="n">
        <v>856</v>
      </c>
      <c r="C858" s="3" t="n">
        <v>1</v>
      </c>
      <c r="D858" s="3" t="n">
        <v>2</v>
      </c>
      <c r="E858" s="3" t="n">
        <v>16</v>
      </c>
      <c r="F858" s="24" t="n">
        <v>-0.678061068</v>
      </c>
    </row>
    <row r="859" customFormat="false" ht="15" hidden="false" customHeight="false" outlineLevel="0" collapsed="false">
      <c r="A859" s="3" t="n">
        <v>858</v>
      </c>
      <c r="B859" s="3" t="n">
        <v>857</v>
      </c>
      <c r="C859" s="3" t="n">
        <v>1</v>
      </c>
      <c r="D859" s="3" t="n">
        <v>2</v>
      </c>
      <c r="E859" s="3" t="n">
        <v>17</v>
      </c>
      <c r="F859" s="24" t="n">
        <v>-0.678061068</v>
      </c>
    </row>
    <row r="860" customFormat="false" ht="15" hidden="false" customHeight="false" outlineLevel="0" collapsed="false">
      <c r="A860" s="3" t="n">
        <v>859</v>
      </c>
      <c r="B860" s="3" t="n">
        <v>858</v>
      </c>
      <c r="C860" s="3" t="n">
        <v>1</v>
      </c>
      <c r="D860" s="3" t="n">
        <v>2</v>
      </c>
      <c r="E860" s="3" t="n">
        <v>18</v>
      </c>
      <c r="F860" s="24" t="n">
        <v>-0.678061068</v>
      </c>
    </row>
    <row r="861" customFormat="false" ht="15" hidden="false" customHeight="false" outlineLevel="0" collapsed="false">
      <c r="A861" s="3" t="n">
        <v>860</v>
      </c>
      <c r="B861" s="3" t="n">
        <v>859</v>
      </c>
      <c r="C861" s="3" t="n">
        <v>1</v>
      </c>
      <c r="D861" s="3" t="n">
        <v>2</v>
      </c>
      <c r="E861" s="3" t="n">
        <v>19</v>
      </c>
      <c r="F861" s="24" t="n">
        <v>-0.678061068</v>
      </c>
    </row>
    <row r="862" customFormat="false" ht="15" hidden="false" customHeight="false" outlineLevel="0" collapsed="false">
      <c r="A862" s="3" t="n">
        <v>861</v>
      </c>
      <c r="B862" s="3" t="n">
        <v>860</v>
      </c>
      <c r="C862" s="3" t="n">
        <v>1</v>
      </c>
      <c r="D862" s="3" t="n">
        <v>2</v>
      </c>
      <c r="E862" s="3" t="n">
        <v>20</v>
      </c>
      <c r="F862" s="24" t="n">
        <v>-0.678061068</v>
      </c>
    </row>
    <row r="863" customFormat="false" ht="15" hidden="false" customHeight="false" outlineLevel="0" collapsed="false">
      <c r="A863" s="3" t="n">
        <v>862</v>
      </c>
      <c r="B863" s="3" t="n">
        <v>861</v>
      </c>
      <c r="C863" s="3" t="n">
        <v>1</v>
      </c>
      <c r="D863" s="3" t="n">
        <v>2</v>
      </c>
      <c r="E863" s="3" t="n">
        <v>21</v>
      </c>
      <c r="F863" s="24" t="n">
        <v>-0.678061068</v>
      </c>
    </row>
    <row r="864" customFormat="false" ht="15" hidden="false" customHeight="false" outlineLevel="0" collapsed="false">
      <c r="A864" s="3" t="n">
        <v>863</v>
      </c>
      <c r="B864" s="3" t="n">
        <v>862</v>
      </c>
      <c r="C864" s="3" t="n">
        <v>1</v>
      </c>
      <c r="D864" s="3" t="n">
        <v>2</v>
      </c>
      <c r="E864" s="3" t="n">
        <v>22</v>
      </c>
      <c r="F864" s="24" t="n">
        <v>-0.678061068</v>
      </c>
    </row>
    <row r="865" customFormat="false" ht="15" hidden="false" customHeight="false" outlineLevel="0" collapsed="false">
      <c r="A865" s="3" t="n">
        <v>864</v>
      </c>
      <c r="B865" s="3" t="n">
        <v>863</v>
      </c>
      <c r="C865" s="3" t="n">
        <v>1</v>
      </c>
      <c r="D865" s="3" t="n">
        <v>2</v>
      </c>
      <c r="E865" s="3" t="n">
        <v>23</v>
      </c>
      <c r="F865" s="24" t="n">
        <v>-0.678061068</v>
      </c>
    </row>
    <row r="866" customFormat="false" ht="15" hidden="false" customHeight="false" outlineLevel="0" collapsed="false">
      <c r="A866" s="3" t="n">
        <v>865</v>
      </c>
      <c r="B866" s="3" t="n">
        <v>864</v>
      </c>
      <c r="C866" s="3" t="n">
        <v>1</v>
      </c>
      <c r="D866" s="3" t="n">
        <v>2</v>
      </c>
      <c r="E866" s="3" t="n">
        <v>24</v>
      </c>
      <c r="F866" s="24" t="n">
        <v>-0.678061068</v>
      </c>
    </row>
    <row r="867" customFormat="false" ht="15" hidden="false" customHeight="false" outlineLevel="0" collapsed="false">
      <c r="A867" s="3" t="n">
        <v>866</v>
      </c>
      <c r="B867" s="3" t="n">
        <v>865</v>
      </c>
      <c r="C867" s="3" t="n">
        <v>1</v>
      </c>
      <c r="D867" s="3" t="n">
        <v>2</v>
      </c>
      <c r="E867" s="3" t="n">
        <v>25</v>
      </c>
      <c r="F867" s="24" t="n">
        <v>-0.678061068</v>
      </c>
    </row>
    <row r="868" customFormat="false" ht="15" hidden="false" customHeight="false" outlineLevel="0" collapsed="false">
      <c r="A868" s="3" t="n">
        <v>867</v>
      </c>
      <c r="B868" s="3" t="n">
        <v>866</v>
      </c>
      <c r="C868" s="3" t="n">
        <v>1</v>
      </c>
      <c r="D868" s="3" t="n">
        <v>2</v>
      </c>
      <c r="E868" s="3" t="n">
        <v>26</v>
      </c>
      <c r="F868" s="24" t="n">
        <v>-0.678061068</v>
      </c>
    </row>
    <row r="869" customFormat="false" ht="15" hidden="false" customHeight="false" outlineLevel="0" collapsed="false">
      <c r="A869" s="3" t="n">
        <v>868</v>
      </c>
      <c r="B869" s="3" t="n">
        <v>867</v>
      </c>
      <c r="C869" s="3" t="n">
        <v>1</v>
      </c>
      <c r="D869" s="3" t="n">
        <v>2</v>
      </c>
      <c r="E869" s="3" t="n">
        <v>27</v>
      </c>
      <c r="F869" s="24" t="n">
        <v>-0.401937425</v>
      </c>
    </row>
    <row r="870" customFormat="false" ht="15" hidden="false" customHeight="false" outlineLevel="0" collapsed="false">
      <c r="A870" s="3" t="n">
        <v>869</v>
      </c>
      <c r="B870" s="3" t="n">
        <v>868</v>
      </c>
      <c r="C870" s="3" t="n">
        <v>1</v>
      </c>
      <c r="D870" s="3" t="n">
        <v>3</v>
      </c>
      <c r="E870" s="3" t="n">
        <v>0</v>
      </c>
      <c r="F870" s="24" t="n">
        <v>-0.749848783</v>
      </c>
    </row>
    <row r="871" customFormat="false" ht="15" hidden="false" customHeight="false" outlineLevel="0" collapsed="false">
      <c r="A871" s="3" t="n">
        <v>870</v>
      </c>
      <c r="B871" s="3" t="n">
        <v>869</v>
      </c>
      <c r="C871" s="3" t="n">
        <v>1</v>
      </c>
      <c r="D871" s="3" t="n">
        <v>3</v>
      </c>
      <c r="E871" s="3" t="n">
        <v>1</v>
      </c>
      <c r="F871" s="24" t="n">
        <v>-0.678061068</v>
      </c>
    </row>
    <row r="872" customFormat="false" ht="15" hidden="false" customHeight="false" outlineLevel="0" collapsed="false">
      <c r="A872" s="3" t="n">
        <v>871</v>
      </c>
      <c r="B872" s="3" t="n">
        <v>870</v>
      </c>
      <c r="C872" s="3" t="n">
        <v>1</v>
      </c>
      <c r="D872" s="3" t="n">
        <v>3</v>
      </c>
      <c r="E872" s="3" t="n">
        <v>2</v>
      </c>
      <c r="F872" s="24" t="n">
        <v>-0.678061068</v>
      </c>
    </row>
    <row r="873" customFormat="false" ht="15" hidden="false" customHeight="false" outlineLevel="0" collapsed="false">
      <c r="A873" s="3" t="n">
        <v>872</v>
      </c>
      <c r="B873" s="3" t="n">
        <v>871</v>
      </c>
      <c r="C873" s="3" t="n">
        <v>1</v>
      </c>
      <c r="D873" s="3" t="n">
        <v>3</v>
      </c>
      <c r="E873" s="3" t="n">
        <v>3</v>
      </c>
      <c r="F873" s="24" t="n">
        <v>-0.678061068</v>
      </c>
    </row>
    <row r="874" customFormat="false" ht="15" hidden="false" customHeight="false" outlineLevel="0" collapsed="false">
      <c r="A874" s="3" t="n">
        <v>873</v>
      </c>
      <c r="B874" s="3" t="n">
        <v>872</v>
      </c>
      <c r="C874" s="3" t="n">
        <v>1</v>
      </c>
      <c r="D874" s="3" t="n">
        <v>3</v>
      </c>
      <c r="E874" s="3" t="n">
        <v>4</v>
      </c>
      <c r="F874" s="24" t="n">
        <v>-0.678061068</v>
      </c>
    </row>
    <row r="875" customFormat="false" ht="15" hidden="false" customHeight="false" outlineLevel="0" collapsed="false">
      <c r="A875" s="3" t="n">
        <v>874</v>
      </c>
      <c r="B875" s="3" t="n">
        <v>873</v>
      </c>
      <c r="C875" s="3" t="n">
        <v>1</v>
      </c>
      <c r="D875" s="3" t="n">
        <v>3</v>
      </c>
      <c r="E875" s="3" t="n">
        <v>5</v>
      </c>
      <c r="F875" s="24" t="n">
        <v>-0.678061068</v>
      </c>
    </row>
    <row r="876" customFormat="false" ht="15" hidden="false" customHeight="false" outlineLevel="0" collapsed="false">
      <c r="A876" s="3" t="n">
        <v>875</v>
      </c>
      <c r="B876" s="3" t="n">
        <v>874</v>
      </c>
      <c r="C876" s="3" t="n">
        <v>1</v>
      </c>
      <c r="D876" s="3" t="n">
        <v>3</v>
      </c>
      <c r="E876" s="3" t="n">
        <v>6</v>
      </c>
      <c r="F876" s="24" t="n">
        <v>-0.678061068</v>
      </c>
    </row>
    <row r="877" customFormat="false" ht="15" hidden="false" customHeight="false" outlineLevel="0" collapsed="false">
      <c r="A877" s="3" t="n">
        <v>876</v>
      </c>
      <c r="B877" s="3" t="n">
        <v>875</v>
      </c>
      <c r="C877" s="3" t="n">
        <v>1</v>
      </c>
      <c r="D877" s="3" t="n">
        <v>3</v>
      </c>
      <c r="E877" s="3" t="n">
        <v>7</v>
      </c>
      <c r="F877" s="24" t="n">
        <v>-0.678061068</v>
      </c>
    </row>
    <row r="878" customFormat="false" ht="15" hidden="false" customHeight="false" outlineLevel="0" collapsed="false">
      <c r="A878" s="3" t="n">
        <v>877</v>
      </c>
      <c r="B878" s="3" t="n">
        <v>876</v>
      </c>
      <c r="C878" s="3" t="n">
        <v>1</v>
      </c>
      <c r="D878" s="3" t="n">
        <v>3</v>
      </c>
      <c r="E878" s="3" t="n">
        <v>8</v>
      </c>
      <c r="F878" s="24" t="n">
        <v>-0.678061068</v>
      </c>
    </row>
    <row r="879" customFormat="false" ht="15" hidden="false" customHeight="false" outlineLevel="0" collapsed="false">
      <c r="A879" s="3" t="n">
        <v>878</v>
      </c>
      <c r="B879" s="3" t="n">
        <v>877</v>
      </c>
      <c r="C879" s="3" t="n">
        <v>1</v>
      </c>
      <c r="D879" s="3" t="n">
        <v>3</v>
      </c>
      <c r="E879" s="3" t="n">
        <v>9</v>
      </c>
      <c r="F879" s="24" t="n">
        <v>-0.678061068</v>
      </c>
    </row>
    <row r="880" customFormat="false" ht="15" hidden="false" customHeight="false" outlineLevel="0" collapsed="false">
      <c r="A880" s="3" t="n">
        <v>879</v>
      </c>
      <c r="B880" s="3" t="n">
        <v>878</v>
      </c>
      <c r="C880" s="3" t="n">
        <v>1</v>
      </c>
      <c r="D880" s="3" t="n">
        <v>3</v>
      </c>
      <c r="E880" s="3" t="n">
        <v>10</v>
      </c>
      <c r="F880" s="24" t="n">
        <v>-0.678061068</v>
      </c>
    </row>
    <row r="881" customFormat="false" ht="15" hidden="false" customHeight="false" outlineLevel="0" collapsed="false">
      <c r="A881" s="3" t="n">
        <v>880</v>
      </c>
      <c r="B881" s="3" t="n">
        <v>879</v>
      </c>
      <c r="C881" s="3" t="n">
        <v>1</v>
      </c>
      <c r="D881" s="3" t="n">
        <v>3</v>
      </c>
      <c r="E881" s="3" t="n">
        <v>11</v>
      </c>
      <c r="F881" s="24" t="n">
        <v>-0.678061068</v>
      </c>
    </row>
    <row r="882" customFormat="false" ht="15" hidden="false" customHeight="false" outlineLevel="0" collapsed="false">
      <c r="A882" s="3" t="n">
        <v>881</v>
      </c>
      <c r="B882" s="3" t="n">
        <v>880</v>
      </c>
      <c r="C882" s="3" t="n">
        <v>1</v>
      </c>
      <c r="D882" s="3" t="n">
        <v>3</v>
      </c>
      <c r="E882" s="3" t="n">
        <v>12</v>
      </c>
      <c r="F882" s="24" t="n">
        <v>-0.678061068</v>
      </c>
    </row>
    <row r="883" customFormat="false" ht="15" hidden="false" customHeight="false" outlineLevel="0" collapsed="false">
      <c r="A883" s="3" t="n">
        <v>882</v>
      </c>
      <c r="B883" s="3" t="n">
        <v>881</v>
      </c>
      <c r="C883" s="3" t="n">
        <v>1</v>
      </c>
      <c r="D883" s="3" t="n">
        <v>3</v>
      </c>
      <c r="E883" s="3" t="n">
        <v>13</v>
      </c>
      <c r="F883" s="24" t="n">
        <v>-0.678061068</v>
      </c>
    </row>
    <row r="884" customFormat="false" ht="15" hidden="false" customHeight="false" outlineLevel="0" collapsed="false">
      <c r="A884" s="3" t="n">
        <v>883</v>
      </c>
      <c r="B884" s="3" t="n">
        <v>882</v>
      </c>
      <c r="C884" s="3" t="n">
        <v>1</v>
      </c>
      <c r="D884" s="3" t="n">
        <v>3</v>
      </c>
      <c r="E884" s="3" t="n">
        <v>14</v>
      </c>
      <c r="F884" s="24" t="n">
        <v>-0.678061068</v>
      </c>
    </row>
    <row r="885" customFormat="false" ht="15" hidden="false" customHeight="false" outlineLevel="0" collapsed="false">
      <c r="A885" s="3" t="n">
        <v>884</v>
      </c>
      <c r="B885" s="3" t="n">
        <v>883</v>
      </c>
      <c r="C885" s="3" t="n">
        <v>1</v>
      </c>
      <c r="D885" s="3" t="n">
        <v>3</v>
      </c>
      <c r="E885" s="3" t="n">
        <v>15</v>
      </c>
      <c r="F885" s="24" t="n">
        <v>-0.678061068</v>
      </c>
    </row>
    <row r="886" customFormat="false" ht="15" hidden="false" customHeight="false" outlineLevel="0" collapsed="false">
      <c r="A886" s="3" t="n">
        <v>885</v>
      </c>
      <c r="B886" s="3" t="n">
        <v>884</v>
      </c>
      <c r="C886" s="3" t="n">
        <v>1</v>
      </c>
      <c r="D886" s="3" t="n">
        <v>3</v>
      </c>
      <c r="E886" s="3" t="n">
        <v>16</v>
      </c>
      <c r="F886" s="24" t="n">
        <v>-0.678061068</v>
      </c>
    </row>
    <row r="887" customFormat="false" ht="15" hidden="false" customHeight="false" outlineLevel="0" collapsed="false">
      <c r="A887" s="3" t="n">
        <v>886</v>
      </c>
      <c r="B887" s="3" t="n">
        <v>885</v>
      </c>
      <c r="C887" s="3" t="n">
        <v>1</v>
      </c>
      <c r="D887" s="3" t="n">
        <v>3</v>
      </c>
      <c r="E887" s="3" t="n">
        <v>17</v>
      </c>
      <c r="F887" s="24" t="n">
        <v>-0.678061068</v>
      </c>
    </row>
    <row r="888" customFormat="false" ht="15" hidden="false" customHeight="false" outlineLevel="0" collapsed="false">
      <c r="A888" s="3" t="n">
        <v>887</v>
      </c>
      <c r="B888" s="3" t="n">
        <v>886</v>
      </c>
      <c r="C888" s="3" t="n">
        <v>1</v>
      </c>
      <c r="D888" s="3" t="n">
        <v>3</v>
      </c>
      <c r="E888" s="3" t="n">
        <v>18</v>
      </c>
      <c r="F888" s="24" t="n">
        <v>-0.678061068</v>
      </c>
    </row>
    <row r="889" customFormat="false" ht="15" hidden="false" customHeight="false" outlineLevel="0" collapsed="false">
      <c r="A889" s="3" t="n">
        <v>888</v>
      </c>
      <c r="B889" s="3" t="n">
        <v>887</v>
      </c>
      <c r="C889" s="3" t="n">
        <v>1</v>
      </c>
      <c r="D889" s="3" t="n">
        <v>3</v>
      </c>
      <c r="E889" s="3" t="n">
        <v>19</v>
      </c>
      <c r="F889" s="24" t="n">
        <v>-0.678061068</v>
      </c>
    </row>
    <row r="890" customFormat="false" ht="15" hidden="false" customHeight="false" outlineLevel="0" collapsed="false">
      <c r="A890" s="3" t="n">
        <v>889</v>
      </c>
      <c r="B890" s="3" t="n">
        <v>888</v>
      </c>
      <c r="C890" s="3" t="n">
        <v>1</v>
      </c>
      <c r="D890" s="3" t="n">
        <v>3</v>
      </c>
      <c r="E890" s="3" t="n">
        <v>20</v>
      </c>
      <c r="F890" s="24" t="n">
        <v>-0.678061068</v>
      </c>
    </row>
    <row r="891" customFormat="false" ht="15" hidden="false" customHeight="false" outlineLevel="0" collapsed="false">
      <c r="A891" s="3" t="n">
        <v>890</v>
      </c>
      <c r="B891" s="3" t="n">
        <v>889</v>
      </c>
      <c r="C891" s="3" t="n">
        <v>1</v>
      </c>
      <c r="D891" s="3" t="n">
        <v>3</v>
      </c>
      <c r="E891" s="3" t="n">
        <v>21</v>
      </c>
      <c r="F891" s="24" t="n">
        <v>-0.678061068</v>
      </c>
    </row>
    <row r="892" customFormat="false" ht="15" hidden="false" customHeight="false" outlineLevel="0" collapsed="false">
      <c r="A892" s="3" t="n">
        <v>891</v>
      </c>
      <c r="B892" s="3" t="n">
        <v>890</v>
      </c>
      <c r="C892" s="3" t="n">
        <v>1</v>
      </c>
      <c r="D892" s="3" t="n">
        <v>3</v>
      </c>
      <c r="E892" s="3" t="n">
        <v>22</v>
      </c>
      <c r="F892" s="24" t="n">
        <v>-0.678061068</v>
      </c>
    </row>
    <row r="893" customFormat="false" ht="15" hidden="false" customHeight="false" outlineLevel="0" collapsed="false">
      <c r="A893" s="3" t="n">
        <v>892</v>
      </c>
      <c r="B893" s="3" t="n">
        <v>891</v>
      </c>
      <c r="C893" s="3" t="n">
        <v>1</v>
      </c>
      <c r="D893" s="3" t="n">
        <v>3</v>
      </c>
      <c r="E893" s="3" t="n">
        <v>23</v>
      </c>
      <c r="F893" s="24" t="n">
        <v>-0.678061068</v>
      </c>
    </row>
    <row r="894" customFormat="false" ht="15" hidden="false" customHeight="false" outlineLevel="0" collapsed="false">
      <c r="A894" s="3" t="n">
        <v>893</v>
      </c>
      <c r="B894" s="3" t="n">
        <v>892</v>
      </c>
      <c r="C894" s="3" t="n">
        <v>1</v>
      </c>
      <c r="D894" s="3" t="n">
        <v>3</v>
      </c>
      <c r="E894" s="3" t="n">
        <v>24</v>
      </c>
      <c r="F894" s="24" t="n">
        <v>-0.678061068</v>
      </c>
    </row>
    <row r="895" customFormat="false" ht="15" hidden="false" customHeight="false" outlineLevel="0" collapsed="false">
      <c r="A895" s="3" t="n">
        <v>894</v>
      </c>
      <c r="B895" s="3" t="n">
        <v>893</v>
      </c>
      <c r="C895" s="3" t="n">
        <v>1</v>
      </c>
      <c r="D895" s="3" t="n">
        <v>3</v>
      </c>
      <c r="E895" s="3" t="n">
        <v>25</v>
      </c>
      <c r="F895" s="24" t="n">
        <v>-0.678061068</v>
      </c>
    </row>
    <row r="896" customFormat="false" ht="15" hidden="false" customHeight="false" outlineLevel="0" collapsed="false">
      <c r="A896" s="3" t="n">
        <v>895</v>
      </c>
      <c r="B896" s="3" t="n">
        <v>894</v>
      </c>
      <c r="C896" s="3" t="n">
        <v>1</v>
      </c>
      <c r="D896" s="3" t="n">
        <v>3</v>
      </c>
      <c r="E896" s="3" t="n">
        <v>26</v>
      </c>
      <c r="F896" s="24" t="n">
        <v>-0.678061068</v>
      </c>
    </row>
    <row r="897" customFormat="false" ht="15" hidden="false" customHeight="false" outlineLevel="0" collapsed="false">
      <c r="A897" s="3" t="n">
        <v>896</v>
      </c>
      <c r="B897" s="3" t="n">
        <v>895</v>
      </c>
      <c r="C897" s="3" t="n">
        <v>1</v>
      </c>
      <c r="D897" s="3" t="n">
        <v>3</v>
      </c>
      <c r="E897" s="3" t="n">
        <v>27</v>
      </c>
      <c r="F897" s="24" t="n">
        <v>-0.401937425</v>
      </c>
    </row>
    <row r="898" customFormat="false" ht="15" hidden="false" customHeight="false" outlineLevel="0" collapsed="false">
      <c r="A898" s="3" t="n">
        <v>897</v>
      </c>
      <c r="B898" s="3" t="n">
        <v>896</v>
      </c>
      <c r="C898" s="3" t="n">
        <v>1</v>
      </c>
      <c r="D898" s="3" t="n">
        <v>4</v>
      </c>
      <c r="E898" s="3" t="n">
        <v>0</v>
      </c>
      <c r="F898" s="24" t="n">
        <v>-0.749848783</v>
      </c>
    </row>
    <row r="899" customFormat="false" ht="15" hidden="false" customHeight="false" outlineLevel="0" collapsed="false">
      <c r="A899" s="3" t="n">
        <v>898</v>
      </c>
      <c r="B899" s="3" t="n">
        <v>897</v>
      </c>
      <c r="C899" s="3" t="n">
        <v>1</v>
      </c>
      <c r="D899" s="3" t="n">
        <v>4</v>
      </c>
      <c r="E899" s="3" t="n">
        <v>1</v>
      </c>
      <c r="F899" s="24" t="n">
        <v>-0.678061068</v>
      </c>
    </row>
    <row r="900" customFormat="false" ht="15" hidden="false" customHeight="false" outlineLevel="0" collapsed="false">
      <c r="A900" s="3" t="n">
        <v>899</v>
      </c>
      <c r="B900" s="3" t="n">
        <v>898</v>
      </c>
      <c r="C900" s="3" t="n">
        <v>1</v>
      </c>
      <c r="D900" s="3" t="n">
        <v>4</v>
      </c>
      <c r="E900" s="3" t="n">
        <v>2</v>
      </c>
      <c r="F900" s="24" t="n">
        <v>-0.678061068</v>
      </c>
    </row>
    <row r="901" customFormat="false" ht="15" hidden="false" customHeight="false" outlineLevel="0" collapsed="false">
      <c r="A901" s="3" t="n">
        <v>900</v>
      </c>
      <c r="B901" s="3" t="n">
        <v>899</v>
      </c>
      <c r="C901" s="3" t="n">
        <v>1</v>
      </c>
      <c r="D901" s="3" t="n">
        <v>4</v>
      </c>
      <c r="E901" s="3" t="n">
        <v>3</v>
      </c>
      <c r="F901" s="24" t="n">
        <v>-0.678061068</v>
      </c>
    </row>
    <row r="902" customFormat="false" ht="15" hidden="false" customHeight="false" outlineLevel="0" collapsed="false">
      <c r="A902" s="3" t="n">
        <v>901</v>
      </c>
      <c r="B902" s="3" t="n">
        <v>900</v>
      </c>
      <c r="C902" s="3" t="n">
        <v>1</v>
      </c>
      <c r="D902" s="3" t="n">
        <v>4</v>
      </c>
      <c r="E902" s="3" t="n">
        <v>4</v>
      </c>
      <c r="F902" s="24" t="n">
        <v>-0.678061068</v>
      </c>
    </row>
    <row r="903" customFormat="false" ht="15" hidden="false" customHeight="false" outlineLevel="0" collapsed="false">
      <c r="A903" s="3" t="n">
        <v>902</v>
      </c>
      <c r="B903" s="3" t="n">
        <v>901</v>
      </c>
      <c r="C903" s="3" t="n">
        <v>1</v>
      </c>
      <c r="D903" s="3" t="n">
        <v>4</v>
      </c>
      <c r="E903" s="3" t="n">
        <v>5</v>
      </c>
      <c r="F903" s="24" t="n">
        <v>-0.678061068</v>
      </c>
    </row>
    <row r="904" customFormat="false" ht="15" hidden="false" customHeight="false" outlineLevel="0" collapsed="false">
      <c r="A904" s="3" t="n">
        <v>903</v>
      </c>
      <c r="B904" s="3" t="n">
        <v>902</v>
      </c>
      <c r="C904" s="3" t="n">
        <v>1</v>
      </c>
      <c r="D904" s="3" t="n">
        <v>4</v>
      </c>
      <c r="E904" s="3" t="n">
        <v>6</v>
      </c>
      <c r="F904" s="24" t="n">
        <v>-0.678061068</v>
      </c>
    </row>
    <row r="905" customFormat="false" ht="15" hidden="false" customHeight="false" outlineLevel="0" collapsed="false">
      <c r="A905" s="3" t="n">
        <v>904</v>
      </c>
      <c r="B905" s="3" t="n">
        <v>903</v>
      </c>
      <c r="C905" s="3" t="n">
        <v>1</v>
      </c>
      <c r="D905" s="3" t="n">
        <v>4</v>
      </c>
      <c r="E905" s="3" t="n">
        <v>7</v>
      </c>
      <c r="F905" s="24" t="n">
        <v>-0.678061068</v>
      </c>
    </row>
    <row r="906" customFormat="false" ht="15" hidden="false" customHeight="false" outlineLevel="0" collapsed="false">
      <c r="A906" s="3" t="n">
        <v>905</v>
      </c>
      <c r="B906" s="3" t="n">
        <v>904</v>
      </c>
      <c r="C906" s="3" t="n">
        <v>1</v>
      </c>
      <c r="D906" s="3" t="n">
        <v>4</v>
      </c>
      <c r="E906" s="3" t="n">
        <v>8</v>
      </c>
      <c r="F906" s="24" t="n">
        <v>-0.678061068</v>
      </c>
    </row>
    <row r="907" customFormat="false" ht="15" hidden="false" customHeight="false" outlineLevel="0" collapsed="false">
      <c r="A907" s="3" t="n">
        <v>906</v>
      </c>
      <c r="B907" s="3" t="n">
        <v>905</v>
      </c>
      <c r="C907" s="3" t="n">
        <v>1</v>
      </c>
      <c r="D907" s="3" t="n">
        <v>4</v>
      </c>
      <c r="E907" s="3" t="n">
        <v>9</v>
      </c>
      <c r="F907" s="24" t="n">
        <v>-0.678061068</v>
      </c>
    </row>
    <row r="908" customFormat="false" ht="15" hidden="false" customHeight="false" outlineLevel="0" collapsed="false">
      <c r="A908" s="3" t="n">
        <v>907</v>
      </c>
      <c r="B908" s="3" t="n">
        <v>906</v>
      </c>
      <c r="C908" s="3" t="n">
        <v>1</v>
      </c>
      <c r="D908" s="3" t="n">
        <v>4</v>
      </c>
      <c r="E908" s="3" t="n">
        <v>10</v>
      </c>
      <c r="F908" s="24" t="n">
        <v>-0.678061068</v>
      </c>
    </row>
    <row r="909" customFormat="false" ht="15" hidden="false" customHeight="false" outlineLevel="0" collapsed="false">
      <c r="A909" s="3" t="n">
        <v>908</v>
      </c>
      <c r="B909" s="3" t="n">
        <v>907</v>
      </c>
      <c r="C909" s="3" t="n">
        <v>1</v>
      </c>
      <c r="D909" s="3" t="n">
        <v>4</v>
      </c>
      <c r="E909" s="3" t="n">
        <v>11</v>
      </c>
      <c r="F909" s="24" t="n">
        <v>-0.678061068</v>
      </c>
    </row>
    <row r="910" customFormat="false" ht="15" hidden="false" customHeight="false" outlineLevel="0" collapsed="false">
      <c r="A910" s="3" t="n">
        <v>909</v>
      </c>
      <c r="B910" s="3" t="n">
        <v>908</v>
      </c>
      <c r="C910" s="3" t="n">
        <v>1</v>
      </c>
      <c r="D910" s="3" t="n">
        <v>4</v>
      </c>
      <c r="E910" s="3" t="n">
        <v>12</v>
      </c>
      <c r="F910" s="24" t="n">
        <v>-0.678061068</v>
      </c>
    </row>
    <row r="911" customFormat="false" ht="15" hidden="false" customHeight="false" outlineLevel="0" collapsed="false">
      <c r="A911" s="3" t="n">
        <v>910</v>
      </c>
      <c r="B911" s="3" t="n">
        <v>909</v>
      </c>
      <c r="C911" s="3" t="n">
        <v>1</v>
      </c>
      <c r="D911" s="3" t="n">
        <v>4</v>
      </c>
      <c r="E911" s="3" t="n">
        <v>13</v>
      </c>
      <c r="F911" s="24" t="n">
        <v>-0.678061068</v>
      </c>
    </row>
    <row r="912" customFormat="false" ht="15" hidden="false" customHeight="false" outlineLevel="0" collapsed="false">
      <c r="A912" s="3" t="n">
        <v>911</v>
      </c>
      <c r="B912" s="3" t="n">
        <v>910</v>
      </c>
      <c r="C912" s="3" t="n">
        <v>1</v>
      </c>
      <c r="D912" s="3" t="n">
        <v>4</v>
      </c>
      <c r="E912" s="3" t="n">
        <v>14</v>
      </c>
      <c r="F912" s="24" t="n">
        <v>-0.678061068</v>
      </c>
    </row>
    <row r="913" customFormat="false" ht="15" hidden="false" customHeight="false" outlineLevel="0" collapsed="false">
      <c r="A913" s="3" t="n">
        <v>912</v>
      </c>
      <c r="B913" s="3" t="n">
        <v>911</v>
      </c>
      <c r="C913" s="3" t="n">
        <v>1</v>
      </c>
      <c r="D913" s="3" t="n">
        <v>4</v>
      </c>
      <c r="E913" s="3" t="n">
        <v>15</v>
      </c>
      <c r="F913" s="24" t="n">
        <v>-0.678061068</v>
      </c>
    </row>
    <row r="914" customFormat="false" ht="15" hidden="false" customHeight="false" outlineLevel="0" collapsed="false">
      <c r="A914" s="3" t="n">
        <v>913</v>
      </c>
      <c r="B914" s="3" t="n">
        <v>912</v>
      </c>
      <c r="C914" s="3" t="n">
        <v>1</v>
      </c>
      <c r="D914" s="3" t="n">
        <v>4</v>
      </c>
      <c r="E914" s="3" t="n">
        <v>16</v>
      </c>
      <c r="F914" s="24" t="n">
        <v>-0.678061068</v>
      </c>
    </row>
    <row r="915" customFormat="false" ht="15" hidden="false" customHeight="false" outlineLevel="0" collapsed="false">
      <c r="A915" s="3" t="n">
        <v>914</v>
      </c>
      <c r="B915" s="3" t="n">
        <v>913</v>
      </c>
      <c r="C915" s="3" t="n">
        <v>1</v>
      </c>
      <c r="D915" s="3" t="n">
        <v>4</v>
      </c>
      <c r="E915" s="3" t="n">
        <v>17</v>
      </c>
      <c r="F915" s="24" t="n">
        <v>-0.678061068</v>
      </c>
    </row>
    <row r="916" customFormat="false" ht="15" hidden="false" customHeight="false" outlineLevel="0" collapsed="false">
      <c r="A916" s="3" t="n">
        <v>915</v>
      </c>
      <c r="B916" s="3" t="n">
        <v>914</v>
      </c>
      <c r="C916" s="3" t="n">
        <v>1</v>
      </c>
      <c r="D916" s="3" t="n">
        <v>4</v>
      </c>
      <c r="E916" s="3" t="n">
        <v>18</v>
      </c>
      <c r="F916" s="24" t="n">
        <v>-0.678061068</v>
      </c>
    </row>
    <row r="917" customFormat="false" ht="15" hidden="false" customHeight="false" outlineLevel="0" collapsed="false">
      <c r="A917" s="3" t="n">
        <v>916</v>
      </c>
      <c r="B917" s="3" t="n">
        <v>915</v>
      </c>
      <c r="C917" s="3" t="n">
        <v>1</v>
      </c>
      <c r="D917" s="3" t="n">
        <v>4</v>
      </c>
      <c r="E917" s="3" t="n">
        <v>19</v>
      </c>
      <c r="F917" s="24" t="n">
        <v>-0.678061068</v>
      </c>
    </row>
    <row r="918" customFormat="false" ht="15" hidden="false" customHeight="false" outlineLevel="0" collapsed="false">
      <c r="A918" s="3" t="n">
        <v>917</v>
      </c>
      <c r="B918" s="3" t="n">
        <v>916</v>
      </c>
      <c r="C918" s="3" t="n">
        <v>1</v>
      </c>
      <c r="D918" s="3" t="n">
        <v>4</v>
      </c>
      <c r="E918" s="3" t="n">
        <v>20</v>
      </c>
      <c r="F918" s="24" t="n">
        <v>-0.678061068</v>
      </c>
    </row>
    <row r="919" customFormat="false" ht="15" hidden="false" customHeight="false" outlineLevel="0" collapsed="false">
      <c r="A919" s="3" t="n">
        <v>918</v>
      </c>
      <c r="B919" s="3" t="n">
        <v>917</v>
      </c>
      <c r="C919" s="3" t="n">
        <v>1</v>
      </c>
      <c r="D919" s="3" t="n">
        <v>4</v>
      </c>
      <c r="E919" s="3" t="n">
        <v>21</v>
      </c>
      <c r="F919" s="24" t="n">
        <v>-0.678061068</v>
      </c>
    </row>
    <row r="920" customFormat="false" ht="15" hidden="false" customHeight="false" outlineLevel="0" collapsed="false">
      <c r="A920" s="3" t="n">
        <v>919</v>
      </c>
      <c r="B920" s="3" t="n">
        <v>918</v>
      </c>
      <c r="C920" s="3" t="n">
        <v>1</v>
      </c>
      <c r="D920" s="3" t="n">
        <v>4</v>
      </c>
      <c r="E920" s="3" t="n">
        <v>22</v>
      </c>
      <c r="F920" s="24" t="n">
        <v>-0.678061068</v>
      </c>
    </row>
    <row r="921" customFormat="false" ht="15" hidden="false" customHeight="false" outlineLevel="0" collapsed="false">
      <c r="A921" s="3" t="n">
        <v>920</v>
      </c>
      <c r="B921" s="3" t="n">
        <v>919</v>
      </c>
      <c r="C921" s="3" t="n">
        <v>1</v>
      </c>
      <c r="D921" s="3" t="n">
        <v>4</v>
      </c>
      <c r="E921" s="3" t="n">
        <v>23</v>
      </c>
      <c r="F921" s="24" t="n">
        <v>-0.678061068</v>
      </c>
    </row>
    <row r="922" customFormat="false" ht="15" hidden="false" customHeight="false" outlineLevel="0" collapsed="false">
      <c r="A922" s="3" t="n">
        <v>921</v>
      </c>
      <c r="B922" s="3" t="n">
        <v>920</v>
      </c>
      <c r="C922" s="3" t="n">
        <v>1</v>
      </c>
      <c r="D922" s="3" t="n">
        <v>4</v>
      </c>
      <c r="E922" s="3" t="n">
        <v>24</v>
      </c>
      <c r="F922" s="24" t="n">
        <v>-0.678061068</v>
      </c>
    </row>
    <row r="923" customFormat="false" ht="15" hidden="false" customHeight="false" outlineLevel="0" collapsed="false">
      <c r="A923" s="3" t="n">
        <v>922</v>
      </c>
      <c r="B923" s="3" t="n">
        <v>921</v>
      </c>
      <c r="C923" s="3" t="n">
        <v>1</v>
      </c>
      <c r="D923" s="3" t="n">
        <v>4</v>
      </c>
      <c r="E923" s="3" t="n">
        <v>25</v>
      </c>
      <c r="F923" s="24" t="n">
        <v>-0.678061068</v>
      </c>
    </row>
    <row r="924" customFormat="false" ht="15" hidden="false" customHeight="false" outlineLevel="0" collapsed="false">
      <c r="A924" s="3" t="n">
        <v>923</v>
      </c>
      <c r="B924" s="3" t="n">
        <v>922</v>
      </c>
      <c r="C924" s="3" t="n">
        <v>1</v>
      </c>
      <c r="D924" s="3" t="n">
        <v>4</v>
      </c>
      <c r="E924" s="3" t="n">
        <v>26</v>
      </c>
      <c r="F924" s="24" t="n">
        <v>-0.678061068</v>
      </c>
    </row>
    <row r="925" customFormat="false" ht="15" hidden="false" customHeight="false" outlineLevel="0" collapsed="false">
      <c r="A925" s="3" t="n">
        <v>924</v>
      </c>
      <c r="B925" s="3" t="n">
        <v>923</v>
      </c>
      <c r="C925" s="3" t="n">
        <v>1</v>
      </c>
      <c r="D925" s="3" t="n">
        <v>4</v>
      </c>
      <c r="E925" s="3" t="n">
        <v>27</v>
      </c>
      <c r="F925" s="24" t="n">
        <v>-0.401937425</v>
      </c>
    </row>
    <row r="926" customFormat="false" ht="15" hidden="false" customHeight="false" outlineLevel="0" collapsed="false">
      <c r="A926" s="3" t="n">
        <v>925</v>
      </c>
      <c r="B926" s="3" t="n">
        <v>924</v>
      </c>
      <c r="C926" s="3" t="n">
        <v>1</v>
      </c>
      <c r="D926" s="3" t="n">
        <v>5</v>
      </c>
      <c r="E926" s="3" t="n">
        <v>0</v>
      </c>
      <c r="F926" s="24" t="n">
        <v>-0.749848783</v>
      </c>
    </row>
    <row r="927" customFormat="false" ht="15" hidden="false" customHeight="false" outlineLevel="0" collapsed="false">
      <c r="A927" s="3" t="n">
        <v>926</v>
      </c>
      <c r="B927" s="3" t="n">
        <v>925</v>
      </c>
      <c r="C927" s="3" t="n">
        <v>1</v>
      </c>
      <c r="D927" s="3" t="n">
        <v>5</v>
      </c>
      <c r="E927" s="3" t="n">
        <v>1</v>
      </c>
      <c r="F927" s="24" t="n">
        <v>-0.678061068</v>
      </c>
    </row>
    <row r="928" customFormat="false" ht="15" hidden="false" customHeight="false" outlineLevel="0" collapsed="false">
      <c r="A928" s="3" t="n">
        <v>927</v>
      </c>
      <c r="B928" s="3" t="n">
        <v>926</v>
      </c>
      <c r="C928" s="3" t="n">
        <v>1</v>
      </c>
      <c r="D928" s="3" t="n">
        <v>5</v>
      </c>
      <c r="E928" s="3" t="n">
        <v>2</v>
      </c>
      <c r="F928" s="24" t="n">
        <v>-0.678061068</v>
      </c>
    </row>
    <row r="929" customFormat="false" ht="15" hidden="false" customHeight="false" outlineLevel="0" collapsed="false">
      <c r="A929" s="3" t="n">
        <v>928</v>
      </c>
      <c r="B929" s="3" t="n">
        <v>927</v>
      </c>
      <c r="C929" s="3" t="n">
        <v>1</v>
      </c>
      <c r="D929" s="3" t="n">
        <v>5</v>
      </c>
      <c r="E929" s="3" t="n">
        <v>3</v>
      </c>
      <c r="F929" s="24" t="n">
        <v>-0.678061068</v>
      </c>
    </row>
    <row r="930" customFormat="false" ht="15" hidden="false" customHeight="false" outlineLevel="0" collapsed="false">
      <c r="A930" s="3" t="n">
        <v>929</v>
      </c>
      <c r="B930" s="3" t="n">
        <v>928</v>
      </c>
      <c r="C930" s="3" t="n">
        <v>1</v>
      </c>
      <c r="D930" s="3" t="n">
        <v>5</v>
      </c>
      <c r="E930" s="3" t="n">
        <v>4</v>
      </c>
      <c r="F930" s="24" t="n">
        <v>-0.678061068</v>
      </c>
    </row>
    <row r="931" customFormat="false" ht="15" hidden="false" customHeight="false" outlineLevel="0" collapsed="false">
      <c r="A931" s="3" t="n">
        <v>930</v>
      </c>
      <c r="B931" s="3" t="n">
        <v>929</v>
      </c>
      <c r="C931" s="3" t="n">
        <v>1</v>
      </c>
      <c r="D931" s="3" t="n">
        <v>5</v>
      </c>
      <c r="E931" s="3" t="n">
        <v>5</v>
      </c>
      <c r="F931" s="24" t="n">
        <v>-0.678061068</v>
      </c>
    </row>
    <row r="932" customFormat="false" ht="15" hidden="false" customHeight="false" outlineLevel="0" collapsed="false">
      <c r="A932" s="3" t="n">
        <v>931</v>
      </c>
      <c r="B932" s="3" t="n">
        <v>930</v>
      </c>
      <c r="C932" s="3" t="n">
        <v>1</v>
      </c>
      <c r="D932" s="3" t="n">
        <v>5</v>
      </c>
      <c r="E932" s="3" t="n">
        <v>6</v>
      </c>
      <c r="F932" s="24" t="n">
        <v>-0.678061068</v>
      </c>
    </row>
    <row r="933" customFormat="false" ht="15" hidden="false" customHeight="false" outlineLevel="0" collapsed="false">
      <c r="A933" s="3" t="n">
        <v>932</v>
      </c>
      <c r="B933" s="3" t="n">
        <v>931</v>
      </c>
      <c r="C933" s="3" t="n">
        <v>1</v>
      </c>
      <c r="D933" s="3" t="n">
        <v>5</v>
      </c>
      <c r="E933" s="3" t="n">
        <v>7</v>
      </c>
      <c r="F933" s="24" t="n">
        <v>-0.678061068</v>
      </c>
    </row>
    <row r="934" customFormat="false" ht="15" hidden="false" customHeight="false" outlineLevel="0" collapsed="false">
      <c r="A934" s="3" t="n">
        <v>933</v>
      </c>
      <c r="B934" s="3" t="n">
        <v>932</v>
      </c>
      <c r="C934" s="3" t="n">
        <v>1</v>
      </c>
      <c r="D934" s="3" t="n">
        <v>5</v>
      </c>
      <c r="E934" s="3" t="n">
        <v>8</v>
      </c>
      <c r="F934" s="24" t="n">
        <v>-0.678061068</v>
      </c>
    </row>
    <row r="935" customFormat="false" ht="15" hidden="false" customHeight="false" outlineLevel="0" collapsed="false">
      <c r="A935" s="3" t="n">
        <v>934</v>
      </c>
      <c r="B935" s="3" t="n">
        <v>933</v>
      </c>
      <c r="C935" s="3" t="n">
        <v>1</v>
      </c>
      <c r="D935" s="3" t="n">
        <v>5</v>
      </c>
      <c r="E935" s="3" t="n">
        <v>9</v>
      </c>
      <c r="F935" s="24" t="n">
        <v>-0.678061068</v>
      </c>
    </row>
    <row r="936" customFormat="false" ht="15" hidden="false" customHeight="false" outlineLevel="0" collapsed="false">
      <c r="A936" s="3" t="n">
        <v>935</v>
      </c>
      <c r="B936" s="3" t="n">
        <v>934</v>
      </c>
      <c r="C936" s="3" t="n">
        <v>1</v>
      </c>
      <c r="D936" s="3" t="n">
        <v>5</v>
      </c>
      <c r="E936" s="3" t="n">
        <v>10</v>
      </c>
      <c r="F936" s="24" t="n">
        <v>-0.678061068</v>
      </c>
    </row>
    <row r="937" customFormat="false" ht="15" hidden="false" customHeight="false" outlineLevel="0" collapsed="false">
      <c r="A937" s="3" t="n">
        <v>936</v>
      </c>
      <c r="B937" s="3" t="n">
        <v>935</v>
      </c>
      <c r="C937" s="3" t="n">
        <v>1</v>
      </c>
      <c r="D937" s="3" t="n">
        <v>5</v>
      </c>
      <c r="E937" s="3" t="n">
        <v>11</v>
      </c>
      <c r="F937" s="24" t="n">
        <v>-0.678061068</v>
      </c>
    </row>
    <row r="938" customFormat="false" ht="15" hidden="false" customHeight="false" outlineLevel="0" collapsed="false">
      <c r="A938" s="3" t="n">
        <v>937</v>
      </c>
      <c r="B938" s="3" t="n">
        <v>936</v>
      </c>
      <c r="C938" s="3" t="n">
        <v>1</v>
      </c>
      <c r="D938" s="3" t="n">
        <v>5</v>
      </c>
      <c r="E938" s="3" t="n">
        <v>12</v>
      </c>
      <c r="F938" s="24" t="n">
        <v>-0.678061068</v>
      </c>
    </row>
    <row r="939" customFormat="false" ht="15" hidden="false" customHeight="false" outlineLevel="0" collapsed="false">
      <c r="A939" s="3" t="n">
        <v>938</v>
      </c>
      <c r="B939" s="3" t="n">
        <v>937</v>
      </c>
      <c r="C939" s="3" t="n">
        <v>1</v>
      </c>
      <c r="D939" s="3" t="n">
        <v>5</v>
      </c>
      <c r="E939" s="3" t="n">
        <v>13</v>
      </c>
      <c r="F939" s="24" t="n">
        <v>-0.678061068</v>
      </c>
    </row>
    <row r="940" customFormat="false" ht="15" hidden="false" customHeight="false" outlineLevel="0" collapsed="false">
      <c r="A940" s="3" t="n">
        <v>939</v>
      </c>
      <c r="B940" s="3" t="n">
        <v>938</v>
      </c>
      <c r="C940" s="3" t="n">
        <v>1</v>
      </c>
      <c r="D940" s="3" t="n">
        <v>5</v>
      </c>
      <c r="E940" s="3" t="n">
        <v>14</v>
      </c>
      <c r="F940" s="24" t="n">
        <v>-0.678061068</v>
      </c>
    </row>
    <row r="941" customFormat="false" ht="15" hidden="false" customHeight="false" outlineLevel="0" collapsed="false">
      <c r="A941" s="3" t="n">
        <v>940</v>
      </c>
      <c r="B941" s="3" t="n">
        <v>939</v>
      </c>
      <c r="C941" s="3" t="n">
        <v>1</v>
      </c>
      <c r="D941" s="3" t="n">
        <v>5</v>
      </c>
      <c r="E941" s="3" t="n">
        <v>15</v>
      </c>
      <c r="F941" s="24" t="n">
        <v>-0.678061068</v>
      </c>
    </row>
    <row r="942" customFormat="false" ht="15" hidden="false" customHeight="false" outlineLevel="0" collapsed="false">
      <c r="A942" s="3" t="n">
        <v>941</v>
      </c>
      <c r="B942" s="3" t="n">
        <v>940</v>
      </c>
      <c r="C942" s="3" t="n">
        <v>1</v>
      </c>
      <c r="D942" s="3" t="n">
        <v>5</v>
      </c>
      <c r="E942" s="3" t="n">
        <v>16</v>
      </c>
      <c r="F942" s="24" t="n">
        <v>-0.678061068</v>
      </c>
    </row>
    <row r="943" customFormat="false" ht="15" hidden="false" customHeight="false" outlineLevel="0" collapsed="false">
      <c r="A943" s="3" t="n">
        <v>942</v>
      </c>
      <c r="B943" s="3" t="n">
        <v>941</v>
      </c>
      <c r="C943" s="3" t="n">
        <v>1</v>
      </c>
      <c r="D943" s="3" t="n">
        <v>5</v>
      </c>
      <c r="E943" s="3" t="n">
        <v>17</v>
      </c>
      <c r="F943" s="24" t="n">
        <v>-0.678061068</v>
      </c>
    </row>
    <row r="944" customFormat="false" ht="15" hidden="false" customHeight="false" outlineLevel="0" collapsed="false">
      <c r="A944" s="3" t="n">
        <v>943</v>
      </c>
      <c r="B944" s="3" t="n">
        <v>942</v>
      </c>
      <c r="C944" s="3" t="n">
        <v>1</v>
      </c>
      <c r="D944" s="3" t="n">
        <v>5</v>
      </c>
      <c r="E944" s="3" t="n">
        <v>18</v>
      </c>
      <c r="F944" s="24" t="n">
        <v>-0.678061068</v>
      </c>
    </row>
    <row r="945" customFormat="false" ht="15" hidden="false" customHeight="false" outlineLevel="0" collapsed="false">
      <c r="A945" s="3" t="n">
        <v>944</v>
      </c>
      <c r="B945" s="3" t="n">
        <v>943</v>
      </c>
      <c r="C945" s="3" t="n">
        <v>1</v>
      </c>
      <c r="D945" s="3" t="n">
        <v>5</v>
      </c>
      <c r="E945" s="3" t="n">
        <v>19</v>
      </c>
      <c r="F945" s="24" t="n">
        <v>-0.678061068</v>
      </c>
    </row>
    <row r="946" customFormat="false" ht="15" hidden="false" customHeight="false" outlineLevel="0" collapsed="false">
      <c r="A946" s="3" t="n">
        <v>945</v>
      </c>
      <c r="B946" s="3" t="n">
        <v>944</v>
      </c>
      <c r="C946" s="3" t="n">
        <v>1</v>
      </c>
      <c r="D946" s="3" t="n">
        <v>5</v>
      </c>
      <c r="E946" s="3" t="n">
        <v>20</v>
      </c>
      <c r="F946" s="24" t="n">
        <v>-0.678061068</v>
      </c>
    </row>
    <row r="947" customFormat="false" ht="15" hidden="false" customHeight="false" outlineLevel="0" collapsed="false">
      <c r="A947" s="3" t="n">
        <v>946</v>
      </c>
      <c r="B947" s="3" t="n">
        <v>945</v>
      </c>
      <c r="C947" s="3" t="n">
        <v>1</v>
      </c>
      <c r="D947" s="3" t="n">
        <v>5</v>
      </c>
      <c r="E947" s="3" t="n">
        <v>21</v>
      </c>
      <c r="F947" s="24" t="n">
        <v>-0.678061068</v>
      </c>
    </row>
    <row r="948" customFormat="false" ht="15" hidden="false" customHeight="false" outlineLevel="0" collapsed="false">
      <c r="A948" s="3" t="n">
        <v>947</v>
      </c>
      <c r="B948" s="3" t="n">
        <v>946</v>
      </c>
      <c r="C948" s="3" t="n">
        <v>1</v>
      </c>
      <c r="D948" s="3" t="n">
        <v>5</v>
      </c>
      <c r="E948" s="3" t="n">
        <v>22</v>
      </c>
      <c r="F948" s="24" t="n">
        <v>-0.678061068</v>
      </c>
    </row>
    <row r="949" customFormat="false" ht="15" hidden="false" customHeight="false" outlineLevel="0" collapsed="false">
      <c r="A949" s="3" t="n">
        <v>948</v>
      </c>
      <c r="B949" s="3" t="n">
        <v>947</v>
      </c>
      <c r="C949" s="3" t="n">
        <v>1</v>
      </c>
      <c r="D949" s="3" t="n">
        <v>5</v>
      </c>
      <c r="E949" s="3" t="n">
        <v>23</v>
      </c>
      <c r="F949" s="24" t="n">
        <v>-0.678061068</v>
      </c>
    </row>
    <row r="950" customFormat="false" ht="15" hidden="false" customHeight="false" outlineLevel="0" collapsed="false">
      <c r="A950" s="3" t="n">
        <v>949</v>
      </c>
      <c r="B950" s="3" t="n">
        <v>948</v>
      </c>
      <c r="C950" s="3" t="n">
        <v>1</v>
      </c>
      <c r="D950" s="3" t="n">
        <v>5</v>
      </c>
      <c r="E950" s="3" t="n">
        <v>24</v>
      </c>
      <c r="F950" s="24" t="n">
        <v>-0.678061068</v>
      </c>
    </row>
    <row r="951" customFormat="false" ht="15" hidden="false" customHeight="false" outlineLevel="0" collapsed="false">
      <c r="A951" s="3" t="n">
        <v>950</v>
      </c>
      <c r="B951" s="3" t="n">
        <v>949</v>
      </c>
      <c r="C951" s="3" t="n">
        <v>1</v>
      </c>
      <c r="D951" s="3" t="n">
        <v>5</v>
      </c>
      <c r="E951" s="3" t="n">
        <v>25</v>
      </c>
      <c r="F951" s="24" t="n">
        <v>-0.678061068</v>
      </c>
    </row>
    <row r="952" customFormat="false" ht="15" hidden="false" customHeight="false" outlineLevel="0" collapsed="false">
      <c r="A952" s="3" t="n">
        <v>951</v>
      </c>
      <c r="B952" s="3" t="n">
        <v>950</v>
      </c>
      <c r="C952" s="3" t="n">
        <v>1</v>
      </c>
      <c r="D952" s="3" t="n">
        <v>5</v>
      </c>
      <c r="E952" s="3" t="n">
        <v>26</v>
      </c>
      <c r="F952" s="24" t="n">
        <v>-0.678061068</v>
      </c>
    </row>
    <row r="953" customFormat="false" ht="15" hidden="false" customHeight="false" outlineLevel="0" collapsed="false">
      <c r="A953" s="3" t="n">
        <v>952</v>
      </c>
      <c r="B953" s="3" t="n">
        <v>951</v>
      </c>
      <c r="C953" s="3" t="n">
        <v>1</v>
      </c>
      <c r="D953" s="3" t="n">
        <v>5</v>
      </c>
      <c r="E953" s="3" t="n">
        <v>27</v>
      </c>
      <c r="F953" s="24" t="n">
        <v>-0.401937425</v>
      </c>
    </row>
    <row r="954" customFormat="false" ht="15" hidden="false" customHeight="false" outlineLevel="0" collapsed="false">
      <c r="A954" s="3" t="n">
        <v>953</v>
      </c>
      <c r="B954" s="3" t="n">
        <v>952</v>
      </c>
      <c r="C954" s="3" t="n">
        <v>1</v>
      </c>
      <c r="D954" s="3" t="n">
        <v>6</v>
      </c>
      <c r="E954" s="3" t="n">
        <v>0</v>
      </c>
      <c r="F954" s="24" t="n">
        <v>-0.749848783</v>
      </c>
    </row>
    <row r="955" customFormat="false" ht="15" hidden="false" customHeight="false" outlineLevel="0" collapsed="false">
      <c r="A955" s="3" t="n">
        <v>954</v>
      </c>
      <c r="B955" s="3" t="n">
        <v>953</v>
      </c>
      <c r="C955" s="3" t="n">
        <v>1</v>
      </c>
      <c r="D955" s="3" t="n">
        <v>6</v>
      </c>
      <c r="E955" s="3" t="n">
        <v>1</v>
      </c>
      <c r="F955" s="24" t="n">
        <v>-0.678061068</v>
      </c>
    </row>
    <row r="956" customFormat="false" ht="15" hidden="false" customHeight="false" outlineLevel="0" collapsed="false">
      <c r="A956" s="3" t="n">
        <v>955</v>
      </c>
      <c r="B956" s="3" t="n">
        <v>954</v>
      </c>
      <c r="C956" s="3" t="n">
        <v>1</v>
      </c>
      <c r="D956" s="3" t="n">
        <v>6</v>
      </c>
      <c r="E956" s="3" t="n">
        <v>2</v>
      </c>
      <c r="F956" s="24" t="n">
        <v>-0.678061068</v>
      </c>
    </row>
    <row r="957" customFormat="false" ht="15" hidden="false" customHeight="false" outlineLevel="0" collapsed="false">
      <c r="A957" s="3" t="n">
        <v>956</v>
      </c>
      <c r="B957" s="3" t="n">
        <v>955</v>
      </c>
      <c r="C957" s="3" t="n">
        <v>1</v>
      </c>
      <c r="D957" s="3" t="n">
        <v>6</v>
      </c>
      <c r="E957" s="3" t="n">
        <v>3</v>
      </c>
      <c r="F957" s="24" t="n">
        <v>-0.678061068</v>
      </c>
    </row>
    <row r="958" customFormat="false" ht="15" hidden="false" customHeight="false" outlineLevel="0" collapsed="false">
      <c r="A958" s="3" t="n">
        <v>957</v>
      </c>
      <c r="B958" s="3" t="n">
        <v>956</v>
      </c>
      <c r="C958" s="3" t="n">
        <v>1</v>
      </c>
      <c r="D958" s="3" t="n">
        <v>6</v>
      </c>
      <c r="E958" s="3" t="n">
        <v>4</v>
      </c>
      <c r="F958" s="24" t="n">
        <v>-0.678061068</v>
      </c>
    </row>
    <row r="959" customFormat="false" ht="15" hidden="false" customHeight="false" outlineLevel="0" collapsed="false">
      <c r="A959" s="3" t="n">
        <v>958</v>
      </c>
      <c r="B959" s="3" t="n">
        <v>957</v>
      </c>
      <c r="C959" s="3" t="n">
        <v>1</v>
      </c>
      <c r="D959" s="3" t="n">
        <v>6</v>
      </c>
      <c r="E959" s="3" t="n">
        <v>5</v>
      </c>
      <c r="F959" s="24" t="n">
        <v>-0.576246023</v>
      </c>
    </row>
    <row r="960" customFormat="false" ht="15" hidden="false" customHeight="false" outlineLevel="0" collapsed="false">
      <c r="A960" s="3" t="n">
        <v>959</v>
      </c>
      <c r="B960" s="3" t="n">
        <v>958</v>
      </c>
      <c r="C960" s="3" t="n">
        <v>1</v>
      </c>
      <c r="D960" s="3" t="n">
        <v>6</v>
      </c>
      <c r="E960" s="3" t="n">
        <v>6</v>
      </c>
      <c r="F960" s="24" t="n">
        <v>-0.0898485333</v>
      </c>
    </row>
    <row r="961" customFormat="false" ht="15" hidden="false" customHeight="false" outlineLevel="0" collapsed="false">
      <c r="A961" s="3" t="n">
        <v>960</v>
      </c>
      <c r="B961" s="3" t="n">
        <v>959</v>
      </c>
      <c r="C961" s="3" t="n">
        <v>1</v>
      </c>
      <c r="D961" s="3" t="n">
        <v>6</v>
      </c>
      <c r="E961" s="3" t="n">
        <v>7</v>
      </c>
      <c r="F961" s="24" t="n">
        <v>0.231576234</v>
      </c>
    </row>
    <row r="962" customFormat="false" ht="15" hidden="false" customHeight="false" outlineLevel="0" collapsed="false">
      <c r="A962" s="3" t="n">
        <v>961</v>
      </c>
      <c r="B962" s="3" t="n">
        <v>960</v>
      </c>
      <c r="C962" s="3" t="n">
        <v>1</v>
      </c>
      <c r="D962" s="3" t="n">
        <v>6</v>
      </c>
      <c r="E962" s="3" t="n">
        <v>8</v>
      </c>
      <c r="F962" s="24" t="n">
        <v>0.00737822056</v>
      </c>
    </row>
    <row r="963" customFormat="false" ht="15" hidden="false" customHeight="false" outlineLevel="0" collapsed="false">
      <c r="A963" s="3" t="n">
        <v>962</v>
      </c>
      <c r="B963" s="3" t="n">
        <v>961</v>
      </c>
      <c r="C963" s="3" t="n">
        <v>1</v>
      </c>
      <c r="D963" s="3" t="n">
        <v>6</v>
      </c>
      <c r="E963" s="3" t="n">
        <v>9</v>
      </c>
      <c r="F963" s="24" t="n">
        <v>-0.111369193</v>
      </c>
    </row>
    <row r="964" customFormat="false" ht="15" hidden="false" customHeight="false" outlineLevel="0" collapsed="false">
      <c r="A964" s="3" t="n">
        <v>963</v>
      </c>
      <c r="B964" s="3" t="n">
        <v>962</v>
      </c>
      <c r="C964" s="3" t="n">
        <v>1</v>
      </c>
      <c r="D964" s="3" t="n">
        <v>6</v>
      </c>
      <c r="E964" s="3" t="n">
        <v>10</v>
      </c>
      <c r="F964" s="24" t="n">
        <v>-0.526701033</v>
      </c>
    </row>
    <row r="965" customFormat="false" ht="15" hidden="false" customHeight="false" outlineLevel="0" collapsed="false">
      <c r="A965" s="3" t="n">
        <v>964</v>
      </c>
      <c r="B965" s="3" t="n">
        <v>963</v>
      </c>
      <c r="C965" s="3" t="n">
        <v>1</v>
      </c>
      <c r="D965" s="3" t="n">
        <v>6</v>
      </c>
      <c r="E965" s="3" t="n">
        <v>11</v>
      </c>
      <c r="F965" s="24" t="n">
        <v>-0.58257103</v>
      </c>
    </row>
    <row r="966" customFormat="false" ht="15" hidden="false" customHeight="false" outlineLevel="0" collapsed="false">
      <c r="A966" s="3" t="n">
        <v>965</v>
      </c>
      <c r="B966" s="3" t="n">
        <v>964</v>
      </c>
      <c r="C966" s="3" t="n">
        <v>1</v>
      </c>
      <c r="D966" s="3" t="n">
        <v>6</v>
      </c>
      <c r="E966" s="3" t="n">
        <v>12</v>
      </c>
      <c r="F966" s="24" t="n">
        <v>-0.714361131</v>
      </c>
    </row>
    <row r="967" customFormat="false" ht="15" hidden="false" customHeight="false" outlineLevel="0" collapsed="false">
      <c r="A967" s="3" t="n">
        <v>966</v>
      </c>
      <c r="B967" s="3" t="n">
        <v>965</v>
      </c>
      <c r="C967" s="3" t="n">
        <v>1</v>
      </c>
      <c r="D967" s="3" t="n">
        <v>6</v>
      </c>
      <c r="E967" s="3" t="n">
        <v>13</v>
      </c>
      <c r="F967" s="24" t="n">
        <v>-0.678061068</v>
      </c>
    </row>
    <row r="968" customFormat="false" ht="15" hidden="false" customHeight="false" outlineLevel="0" collapsed="false">
      <c r="A968" s="3" t="n">
        <v>967</v>
      </c>
      <c r="B968" s="3" t="n">
        <v>966</v>
      </c>
      <c r="C968" s="3" t="n">
        <v>1</v>
      </c>
      <c r="D968" s="3" t="n">
        <v>6</v>
      </c>
      <c r="E968" s="3" t="n">
        <v>14</v>
      </c>
      <c r="F968" s="24" t="n">
        <v>-0.678061068</v>
      </c>
    </row>
    <row r="969" customFormat="false" ht="15" hidden="false" customHeight="false" outlineLevel="0" collapsed="false">
      <c r="A969" s="3" t="n">
        <v>968</v>
      </c>
      <c r="B969" s="3" t="n">
        <v>967</v>
      </c>
      <c r="C969" s="3" t="n">
        <v>1</v>
      </c>
      <c r="D969" s="3" t="n">
        <v>6</v>
      </c>
      <c r="E969" s="3" t="n">
        <v>15</v>
      </c>
      <c r="F969" s="24" t="n">
        <v>-0.678061068</v>
      </c>
    </row>
    <row r="970" customFormat="false" ht="15" hidden="false" customHeight="false" outlineLevel="0" collapsed="false">
      <c r="A970" s="3" t="n">
        <v>969</v>
      </c>
      <c r="B970" s="3" t="n">
        <v>968</v>
      </c>
      <c r="C970" s="3" t="n">
        <v>1</v>
      </c>
      <c r="D970" s="3" t="n">
        <v>6</v>
      </c>
      <c r="E970" s="3" t="n">
        <v>16</v>
      </c>
      <c r="F970" s="24" t="n">
        <v>-0.678061068</v>
      </c>
    </row>
    <row r="971" customFormat="false" ht="15" hidden="false" customHeight="false" outlineLevel="0" collapsed="false">
      <c r="A971" s="3" t="n">
        <v>970</v>
      </c>
      <c r="B971" s="3" t="n">
        <v>969</v>
      </c>
      <c r="C971" s="3" t="n">
        <v>1</v>
      </c>
      <c r="D971" s="3" t="n">
        <v>6</v>
      </c>
      <c r="E971" s="3" t="n">
        <v>17</v>
      </c>
      <c r="F971" s="24" t="n">
        <v>-0.678061068</v>
      </c>
    </row>
    <row r="972" customFormat="false" ht="15" hidden="false" customHeight="false" outlineLevel="0" collapsed="false">
      <c r="A972" s="3" t="n">
        <v>971</v>
      </c>
      <c r="B972" s="3" t="n">
        <v>970</v>
      </c>
      <c r="C972" s="3" t="n">
        <v>1</v>
      </c>
      <c r="D972" s="3" t="n">
        <v>6</v>
      </c>
      <c r="E972" s="3" t="n">
        <v>18</v>
      </c>
      <c r="F972" s="24" t="n">
        <v>-0.678061068</v>
      </c>
    </row>
    <row r="973" customFormat="false" ht="15" hidden="false" customHeight="false" outlineLevel="0" collapsed="false">
      <c r="A973" s="3" t="n">
        <v>972</v>
      </c>
      <c r="B973" s="3" t="n">
        <v>971</v>
      </c>
      <c r="C973" s="3" t="n">
        <v>1</v>
      </c>
      <c r="D973" s="3" t="n">
        <v>6</v>
      </c>
      <c r="E973" s="3" t="n">
        <v>19</v>
      </c>
      <c r="F973" s="24" t="n">
        <v>-0.678061068</v>
      </c>
    </row>
    <row r="974" customFormat="false" ht="15" hidden="false" customHeight="false" outlineLevel="0" collapsed="false">
      <c r="A974" s="3" t="n">
        <v>973</v>
      </c>
      <c r="B974" s="3" t="n">
        <v>972</v>
      </c>
      <c r="C974" s="3" t="n">
        <v>1</v>
      </c>
      <c r="D974" s="3" t="n">
        <v>6</v>
      </c>
      <c r="E974" s="3" t="n">
        <v>20</v>
      </c>
      <c r="F974" s="24" t="n">
        <v>-0.678061068</v>
      </c>
    </row>
    <row r="975" customFormat="false" ht="15" hidden="false" customHeight="false" outlineLevel="0" collapsed="false">
      <c r="A975" s="3" t="n">
        <v>974</v>
      </c>
      <c r="B975" s="3" t="n">
        <v>973</v>
      </c>
      <c r="C975" s="3" t="n">
        <v>1</v>
      </c>
      <c r="D975" s="3" t="n">
        <v>6</v>
      </c>
      <c r="E975" s="3" t="n">
        <v>21</v>
      </c>
      <c r="F975" s="24" t="n">
        <v>-0.678061068</v>
      </c>
    </row>
    <row r="976" customFormat="false" ht="15" hidden="false" customHeight="false" outlineLevel="0" collapsed="false">
      <c r="A976" s="3" t="n">
        <v>975</v>
      </c>
      <c r="B976" s="3" t="n">
        <v>974</v>
      </c>
      <c r="C976" s="3" t="n">
        <v>1</v>
      </c>
      <c r="D976" s="3" t="n">
        <v>6</v>
      </c>
      <c r="E976" s="3" t="n">
        <v>22</v>
      </c>
      <c r="F976" s="24" t="n">
        <v>-0.678061068</v>
      </c>
    </row>
    <row r="977" customFormat="false" ht="15" hidden="false" customHeight="false" outlineLevel="0" collapsed="false">
      <c r="A977" s="3" t="n">
        <v>976</v>
      </c>
      <c r="B977" s="3" t="n">
        <v>975</v>
      </c>
      <c r="C977" s="3" t="n">
        <v>1</v>
      </c>
      <c r="D977" s="3" t="n">
        <v>6</v>
      </c>
      <c r="E977" s="3" t="n">
        <v>23</v>
      </c>
      <c r="F977" s="24" t="n">
        <v>-0.678061068</v>
      </c>
    </row>
    <row r="978" customFormat="false" ht="15" hidden="false" customHeight="false" outlineLevel="0" collapsed="false">
      <c r="A978" s="3" t="n">
        <v>977</v>
      </c>
      <c r="B978" s="3" t="n">
        <v>976</v>
      </c>
      <c r="C978" s="3" t="n">
        <v>1</v>
      </c>
      <c r="D978" s="3" t="n">
        <v>6</v>
      </c>
      <c r="E978" s="3" t="n">
        <v>24</v>
      </c>
      <c r="F978" s="24" t="n">
        <v>-0.678061068</v>
      </c>
    </row>
    <row r="979" customFormat="false" ht="15" hidden="false" customHeight="false" outlineLevel="0" collapsed="false">
      <c r="A979" s="3" t="n">
        <v>978</v>
      </c>
      <c r="B979" s="3" t="n">
        <v>977</v>
      </c>
      <c r="C979" s="3" t="n">
        <v>1</v>
      </c>
      <c r="D979" s="3" t="n">
        <v>6</v>
      </c>
      <c r="E979" s="3" t="n">
        <v>25</v>
      </c>
      <c r="F979" s="24" t="n">
        <v>-0.678061068</v>
      </c>
    </row>
    <row r="980" customFormat="false" ht="15" hidden="false" customHeight="false" outlineLevel="0" collapsed="false">
      <c r="A980" s="3" t="n">
        <v>979</v>
      </c>
      <c r="B980" s="3" t="n">
        <v>978</v>
      </c>
      <c r="C980" s="3" t="n">
        <v>1</v>
      </c>
      <c r="D980" s="3" t="n">
        <v>6</v>
      </c>
      <c r="E980" s="3" t="n">
        <v>26</v>
      </c>
      <c r="F980" s="24" t="n">
        <v>-0.678061068</v>
      </c>
    </row>
    <row r="981" customFormat="false" ht="15" hidden="false" customHeight="false" outlineLevel="0" collapsed="false">
      <c r="A981" s="3" t="n">
        <v>980</v>
      </c>
      <c r="B981" s="3" t="n">
        <v>979</v>
      </c>
      <c r="C981" s="3" t="n">
        <v>1</v>
      </c>
      <c r="D981" s="3" t="n">
        <v>6</v>
      </c>
      <c r="E981" s="3" t="n">
        <v>27</v>
      </c>
      <c r="F981" s="24" t="n">
        <v>-0.401937425</v>
      </c>
    </row>
    <row r="982" customFormat="false" ht="15" hidden="false" customHeight="false" outlineLevel="0" collapsed="false">
      <c r="A982" s="3" t="n">
        <v>981</v>
      </c>
      <c r="B982" s="3" t="n">
        <v>980</v>
      </c>
      <c r="C982" s="3" t="n">
        <v>1</v>
      </c>
      <c r="D982" s="3" t="n">
        <v>7</v>
      </c>
      <c r="E982" s="3" t="n">
        <v>0</v>
      </c>
      <c r="F982" s="24" t="n">
        <v>-0.749848783</v>
      </c>
    </row>
    <row r="983" customFormat="false" ht="15" hidden="false" customHeight="false" outlineLevel="0" collapsed="false">
      <c r="A983" s="3" t="n">
        <v>982</v>
      </c>
      <c r="B983" s="3" t="n">
        <v>981</v>
      </c>
      <c r="C983" s="3" t="n">
        <v>1</v>
      </c>
      <c r="D983" s="3" t="n">
        <v>7</v>
      </c>
      <c r="E983" s="3" t="n">
        <v>1</v>
      </c>
      <c r="F983" s="24" t="n">
        <v>-0.678061068</v>
      </c>
    </row>
    <row r="984" customFormat="false" ht="15" hidden="false" customHeight="false" outlineLevel="0" collapsed="false">
      <c r="A984" s="3" t="n">
        <v>983</v>
      </c>
      <c r="B984" s="3" t="n">
        <v>982</v>
      </c>
      <c r="C984" s="3" t="n">
        <v>1</v>
      </c>
      <c r="D984" s="3" t="n">
        <v>7</v>
      </c>
      <c r="E984" s="3" t="n">
        <v>2</v>
      </c>
      <c r="F984" s="24" t="n">
        <v>-0.678061068</v>
      </c>
    </row>
    <row r="985" customFormat="false" ht="15" hidden="false" customHeight="false" outlineLevel="0" collapsed="false">
      <c r="A985" s="3" t="n">
        <v>984</v>
      </c>
      <c r="B985" s="3" t="n">
        <v>983</v>
      </c>
      <c r="C985" s="3" t="n">
        <v>1</v>
      </c>
      <c r="D985" s="3" t="n">
        <v>7</v>
      </c>
      <c r="E985" s="3" t="n">
        <v>3</v>
      </c>
      <c r="F985" s="24" t="n">
        <v>-0.678061068</v>
      </c>
    </row>
    <row r="986" customFormat="false" ht="15" hidden="false" customHeight="false" outlineLevel="0" collapsed="false">
      <c r="A986" s="3" t="n">
        <v>985</v>
      </c>
      <c r="B986" s="3" t="n">
        <v>984</v>
      </c>
      <c r="C986" s="3" t="n">
        <v>1</v>
      </c>
      <c r="D986" s="3" t="n">
        <v>7</v>
      </c>
      <c r="E986" s="3" t="n">
        <v>4</v>
      </c>
      <c r="F986" s="24" t="n">
        <v>-0.678061068</v>
      </c>
    </row>
    <row r="987" customFormat="false" ht="15" hidden="false" customHeight="false" outlineLevel="0" collapsed="false">
      <c r="A987" s="3" t="n">
        <v>986</v>
      </c>
      <c r="B987" s="3" t="n">
        <v>985</v>
      </c>
      <c r="C987" s="3" t="n">
        <v>1</v>
      </c>
      <c r="D987" s="3" t="n">
        <v>7</v>
      </c>
      <c r="E987" s="3" t="n">
        <v>5</v>
      </c>
      <c r="F987" s="24" t="n">
        <v>-0.00324346125</v>
      </c>
    </row>
    <row r="988" customFormat="false" ht="15" hidden="false" customHeight="false" outlineLevel="0" collapsed="false">
      <c r="A988" s="3" t="n">
        <v>987</v>
      </c>
      <c r="B988" s="3" t="n">
        <v>986</v>
      </c>
      <c r="C988" s="3" t="n">
        <v>1</v>
      </c>
      <c r="D988" s="3" t="n">
        <v>7</v>
      </c>
      <c r="E988" s="3" t="n">
        <v>6</v>
      </c>
      <c r="F988" s="24" t="n">
        <v>1.75522518</v>
      </c>
    </row>
    <row r="989" customFormat="false" ht="15" hidden="false" customHeight="false" outlineLevel="0" collapsed="false">
      <c r="A989" s="3" t="n">
        <v>988</v>
      </c>
      <c r="B989" s="3" t="n">
        <v>987</v>
      </c>
      <c r="C989" s="3" t="n">
        <v>1</v>
      </c>
      <c r="D989" s="3" t="n">
        <v>7</v>
      </c>
      <c r="E989" s="3" t="n">
        <v>7</v>
      </c>
      <c r="F989" s="24" t="n">
        <v>2.13951111</v>
      </c>
    </row>
    <row r="990" customFormat="false" ht="15" hidden="false" customHeight="false" outlineLevel="0" collapsed="false">
      <c r="A990" s="3" t="n">
        <v>989</v>
      </c>
      <c r="B990" s="3" t="n">
        <v>988</v>
      </c>
      <c r="C990" s="3" t="n">
        <v>1</v>
      </c>
      <c r="D990" s="3" t="n">
        <v>7</v>
      </c>
      <c r="E990" s="3" t="n">
        <v>8</v>
      </c>
      <c r="F990" s="24" t="n">
        <v>2.31036425</v>
      </c>
    </row>
    <row r="991" customFormat="false" ht="15" hidden="false" customHeight="false" outlineLevel="0" collapsed="false">
      <c r="A991" s="3" t="n">
        <v>990</v>
      </c>
      <c r="B991" s="3" t="n">
        <v>989</v>
      </c>
      <c r="C991" s="3" t="n">
        <v>1</v>
      </c>
      <c r="D991" s="3" t="n">
        <v>7</v>
      </c>
      <c r="E991" s="3" t="n">
        <v>9</v>
      </c>
      <c r="F991" s="24" t="n">
        <v>1.76137316</v>
      </c>
    </row>
    <row r="992" customFormat="false" ht="15" hidden="false" customHeight="false" outlineLevel="0" collapsed="false">
      <c r="A992" s="3" t="n">
        <v>991</v>
      </c>
      <c r="B992" s="3" t="n">
        <v>990</v>
      </c>
      <c r="C992" s="3" t="n">
        <v>1</v>
      </c>
      <c r="D992" s="3" t="n">
        <v>7</v>
      </c>
      <c r="E992" s="3" t="n">
        <v>10</v>
      </c>
      <c r="F992" s="24" t="n">
        <v>1.31153965</v>
      </c>
    </row>
    <row r="993" customFormat="false" ht="15" hidden="false" customHeight="false" outlineLevel="0" collapsed="false">
      <c r="A993" s="3" t="n">
        <v>992</v>
      </c>
      <c r="B993" s="3" t="n">
        <v>991</v>
      </c>
      <c r="C993" s="3" t="n">
        <v>1</v>
      </c>
      <c r="D993" s="3" t="n">
        <v>7</v>
      </c>
      <c r="E993" s="3" t="n">
        <v>11</v>
      </c>
      <c r="F993" s="24" t="n">
        <v>0.658998787</v>
      </c>
    </row>
    <row r="994" customFormat="false" ht="15" hidden="false" customHeight="false" outlineLevel="0" collapsed="false">
      <c r="A994" s="3" t="n">
        <v>993</v>
      </c>
      <c r="B994" s="3" t="n">
        <v>992</v>
      </c>
      <c r="C994" s="3" t="n">
        <v>1</v>
      </c>
      <c r="D994" s="3" t="n">
        <v>7</v>
      </c>
      <c r="E994" s="3" t="n">
        <v>12</v>
      </c>
      <c r="F994" s="24" t="n">
        <v>0.292817324</v>
      </c>
    </row>
    <row r="995" customFormat="false" ht="15" hidden="false" customHeight="false" outlineLevel="0" collapsed="false">
      <c r="A995" s="3" t="n">
        <v>994</v>
      </c>
      <c r="B995" s="3" t="n">
        <v>993</v>
      </c>
      <c r="C995" s="3" t="n">
        <v>1</v>
      </c>
      <c r="D995" s="3" t="n">
        <v>7</v>
      </c>
      <c r="E995" s="3" t="n">
        <v>13</v>
      </c>
      <c r="F995" s="24" t="n">
        <v>0.220227093</v>
      </c>
    </row>
    <row r="996" customFormat="false" ht="15" hidden="false" customHeight="false" outlineLevel="0" collapsed="false">
      <c r="A996" s="3" t="n">
        <v>995</v>
      </c>
      <c r="B996" s="3" t="n">
        <v>994</v>
      </c>
      <c r="C996" s="3" t="n">
        <v>1</v>
      </c>
      <c r="D996" s="3" t="n">
        <v>7</v>
      </c>
      <c r="E996" s="3" t="n">
        <v>14</v>
      </c>
      <c r="F996" s="24" t="n">
        <v>0.220227093</v>
      </c>
    </row>
    <row r="997" customFormat="false" ht="15" hidden="false" customHeight="false" outlineLevel="0" collapsed="false">
      <c r="A997" s="3" t="n">
        <v>996</v>
      </c>
      <c r="B997" s="3" t="n">
        <v>995</v>
      </c>
      <c r="C997" s="3" t="n">
        <v>1</v>
      </c>
      <c r="D997" s="3" t="n">
        <v>7</v>
      </c>
      <c r="E997" s="3" t="n">
        <v>15</v>
      </c>
      <c r="F997" s="24" t="n">
        <v>0.220227093</v>
      </c>
    </row>
    <row r="998" customFormat="false" ht="15" hidden="false" customHeight="false" outlineLevel="0" collapsed="false">
      <c r="A998" s="3" t="n">
        <v>997</v>
      </c>
      <c r="B998" s="3" t="n">
        <v>996</v>
      </c>
      <c r="C998" s="3" t="n">
        <v>1</v>
      </c>
      <c r="D998" s="3" t="n">
        <v>7</v>
      </c>
      <c r="E998" s="3" t="n">
        <v>16</v>
      </c>
      <c r="F998" s="24" t="n">
        <v>0.220227093</v>
      </c>
    </row>
    <row r="999" customFormat="false" ht="15" hidden="false" customHeight="false" outlineLevel="0" collapsed="false">
      <c r="A999" s="3" t="n">
        <v>998</v>
      </c>
      <c r="B999" s="3" t="n">
        <v>997</v>
      </c>
      <c r="C999" s="3" t="n">
        <v>1</v>
      </c>
      <c r="D999" s="3" t="n">
        <v>7</v>
      </c>
      <c r="E999" s="3" t="n">
        <v>17</v>
      </c>
      <c r="F999" s="24" t="n">
        <v>0.220227093</v>
      </c>
    </row>
    <row r="1000" customFormat="false" ht="15" hidden="false" customHeight="false" outlineLevel="0" collapsed="false">
      <c r="A1000" s="3" t="n">
        <v>999</v>
      </c>
      <c r="B1000" s="3" t="n">
        <v>998</v>
      </c>
      <c r="C1000" s="3" t="n">
        <v>1</v>
      </c>
      <c r="D1000" s="3" t="n">
        <v>7</v>
      </c>
      <c r="E1000" s="3" t="n">
        <v>18</v>
      </c>
      <c r="F1000" s="24" t="n">
        <v>0.220227093</v>
      </c>
    </row>
    <row r="1001" customFormat="false" ht="15" hidden="false" customHeight="false" outlineLevel="0" collapsed="false">
      <c r="A1001" s="3" t="n">
        <v>1000</v>
      </c>
      <c r="B1001" s="3" t="n">
        <v>999</v>
      </c>
      <c r="C1001" s="3" t="n">
        <v>1</v>
      </c>
      <c r="D1001" s="3" t="n">
        <v>7</v>
      </c>
      <c r="E1001" s="3" t="n">
        <v>19</v>
      </c>
      <c r="F1001" s="24" t="n">
        <v>0.186288774</v>
      </c>
    </row>
    <row r="1002" customFormat="false" ht="15" hidden="false" customHeight="false" outlineLevel="0" collapsed="false">
      <c r="A1002" s="3" t="n">
        <v>1001</v>
      </c>
      <c r="B1002" s="3" t="n">
        <v>1000</v>
      </c>
      <c r="C1002" s="3" t="n">
        <v>1</v>
      </c>
      <c r="D1002" s="3" t="n">
        <v>7</v>
      </c>
      <c r="E1002" s="3" t="n">
        <v>20</v>
      </c>
      <c r="F1002" s="24" t="n">
        <v>-0.0780627653</v>
      </c>
    </row>
    <row r="1003" customFormat="false" ht="15" hidden="false" customHeight="false" outlineLevel="0" collapsed="false">
      <c r="A1003" s="3" t="n">
        <v>1002</v>
      </c>
      <c r="B1003" s="3" t="n">
        <v>1001</v>
      </c>
      <c r="C1003" s="3" t="n">
        <v>1</v>
      </c>
      <c r="D1003" s="3" t="n">
        <v>7</v>
      </c>
      <c r="E1003" s="3" t="n">
        <v>21</v>
      </c>
      <c r="F1003" s="24" t="n">
        <v>-0.624158859</v>
      </c>
    </row>
    <row r="1004" customFormat="false" ht="15" hidden="false" customHeight="false" outlineLevel="0" collapsed="false">
      <c r="A1004" s="3" t="n">
        <v>1003</v>
      </c>
      <c r="B1004" s="3" t="n">
        <v>1002</v>
      </c>
      <c r="C1004" s="3" t="n">
        <v>1</v>
      </c>
      <c r="D1004" s="3" t="n">
        <v>7</v>
      </c>
      <c r="E1004" s="3" t="n">
        <v>22</v>
      </c>
      <c r="F1004" s="24" t="n">
        <v>-0.730494499</v>
      </c>
    </row>
    <row r="1005" customFormat="false" ht="15" hidden="false" customHeight="false" outlineLevel="0" collapsed="false">
      <c r="A1005" s="3" t="n">
        <v>1004</v>
      </c>
      <c r="B1005" s="3" t="n">
        <v>1003</v>
      </c>
      <c r="C1005" s="3" t="n">
        <v>1</v>
      </c>
      <c r="D1005" s="3" t="n">
        <v>7</v>
      </c>
      <c r="E1005" s="3" t="n">
        <v>23</v>
      </c>
      <c r="F1005" s="24" t="n">
        <v>-0.678061068</v>
      </c>
    </row>
    <row r="1006" customFormat="false" ht="15" hidden="false" customHeight="false" outlineLevel="0" collapsed="false">
      <c r="A1006" s="3" t="n">
        <v>1005</v>
      </c>
      <c r="B1006" s="3" t="n">
        <v>1004</v>
      </c>
      <c r="C1006" s="3" t="n">
        <v>1</v>
      </c>
      <c r="D1006" s="3" t="n">
        <v>7</v>
      </c>
      <c r="E1006" s="3" t="n">
        <v>24</v>
      </c>
      <c r="F1006" s="24" t="n">
        <v>-0.678061068</v>
      </c>
    </row>
    <row r="1007" customFormat="false" ht="15" hidden="false" customHeight="false" outlineLevel="0" collapsed="false">
      <c r="A1007" s="3" t="n">
        <v>1006</v>
      </c>
      <c r="B1007" s="3" t="n">
        <v>1005</v>
      </c>
      <c r="C1007" s="3" t="n">
        <v>1</v>
      </c>
      <c r="D1007" s="3" t="n">
        <v>7</v>
      </c>
      <c r="E1007" s="3" t="n">
        <v>25</v>
      </c>
      <c r="F1007" s="24" t="n">
        <v>-0.678061068</v>
      </c>
    </row>
    <row r="1008" customFormat="false" ht="15" hidden="false" customHeight="false" outlineLevel="0" collapsed="false">
      <c r="A1008" s="3" t="n">
        <v>1007</v>
      </c>
      <c r="B1008" s="3" t="n">
        <v>1006</v>
      </c>
      <c r="C1008" s="3" t="n">
        <v>1</v>
      </c>
      <c r="D1008" s="3" t="n">
        <v>7</v>
      </c>
      <c r="E1008" s="3" t="n">
        <v>26</v>
      </c>
      <c r="F1008" s="24" t="n">
        <v>-0.678061068</v>
      </c>
    </row>
    <row r="1009" customFormat="false" ht="15" hidden="false" customHeight="false" outlineLevel="0" collapsed="false">
      <c r="A1009" s="3" t="n">
        <v>1008</v>
      </c>
      <c r="B1009" s="3" t="n">
        <v>1007</v>
      </c>
      <c r="C1009" s="3" t="n">
        <v>1</v>
      </c>
      <c r="D1009" s="3" t="n">
        <v>7</v>
      </c>
      <c r="E1009" s="3" t="n">
        <v>27</v>
      </c>
      <c r="F1009" s="24" t="n">
        <v>-0.401937425</v>
      </c>
    </row>
    <row r="1010" customFormat="false" ht="15" hidden="false" customHeight="false" outlineLevel="0" collapsed="false">
      <c r="A1010" s="3" t="n">
        <v>1009</v>
      </c>
      <c r="B1010" s="3" t="n">
        <v>1008</v>
      </c>
      <c r="C1010" s="3" t="n">
        <v>1</v>
      </c>
      <c r="D1010" s="3" t="n">
        <v>8</v>
      </c>
      <c r="E1010" s="3" t="n">
        <v>0</v>
      </c>
      <c r="F1010" s="24" t="n">
        <v>-0.749848783</v>
      </c>
    </row>
    <row r="1011" customFormat="false" ht="15" hidden="false" customHeight="false" outlineLevel="0" collapsed="false">
      <c r="A1011" s="3" t="n">
        <v>1010</v>
      </c>
      <c r="B1011" s="3" t="n">
        <v>1009</v>
      </c>
      <c r="C1011" s="3" t="n">
        <v>1</v>
      </c>
      <c r="D1011" s="3" t="n">
        <v>8</v>
      </c>
      <c r="E1011" s="3" t="n">
        <v>1</v>
      </c>
      <c r="F1011" s="24" t="n">
        <v>-0.678061068</v>
      </c>
    </row>
    <row r="1012" customFormat="false" ht="15" hidden="false" customHeight="false" outlineLevel="0" collapsed="false">
      <c r="A1012" s="3" t="n">
        <v>1011</v>
      </c>
      <c r="B1012" s="3" t="n">
        <v>1010</v>
      </c>
      <c r="C1012" s="3" t="n">
        <v>1</v>
      </c>
      <c r="D1012" s="3" t="n">
        <v>8</v>
      </c>
      <c r="E1012" s="3" t="n">
        <v>2</v>
      </c>
      <c r="F1012" s="24" t="n">
        <v>-0.678061068</v>
      </c>
    </row>
    <row r="1013" customFormat="false" ht="15" hidden="false" customHeight="false" outlineLevel="0" collapsed="false">
      <c r="A1013" s="3" t="n">
        <v>1012</v>
      </c>
      <c r="B1013" s="3" t="n">
        <v>1011</v>
      </c>
      <c r="C1013" s="3" t="n">
        <v>1</v>
      </c>
      <c r="D1013" s="3" t="n">
        <v>8</v>
      </c>
      <c r="E1013" s="3" t="n">
        <v>3</v>
      </c>
      <c r="F1013" s="24" t="n">
        <v>-0.678061068</v>
      </c>
    </row>
    <row r="1014" customFormat="false" ht="15" hidden="false" customHeight="false" outlineLevel="0" collapsed="false">
      <c r="A1014" s="3" t="n">
        <v>1013</v>
      </c>
      <c r="B1014" s="3" t="n">
        <v>1012</v>
      </c>
      <c r="C1014" s="3" t="n">
        <v>1</v>
      </c>
      <c r="D1014" s="3" t="n">
        <v>8</v>
      </c>
      <c r="E1014" s="3" t="n">
        <v>4</v>
      </c>
      <c r="F1014" s="24" t="n">
        <v>-0.678061068</v>
      </c>
    </row>
    <row r="1015" customFormat="false" ht="15" hidden="false" customHeight="false" outlineLevel="0" collapsed="false">
      <c r="A1015" s="3" t="n">
        <v>1014</v>
      </c>
      <c r="B1015" s="3" t="n">
        <v>1013</v>
      </c>
      <c r="C1015" s="3" t="n">
        <v>1</v>
      </c>
      <c r="D1015" s="3" t="n">
        <v>8</v>
      </c>
      <c r="E1015" s="3" t="n">
        <v>5</v>
      </c>
      <c r="F1015" s="24" t="n">
        <v>0.663830638</v>
      </c>
    </row>
    <row r="1016" customFormat="false" ht="15" hidden="false" customHeight="false" outlineLevel="0" collapsed="false">
      <c r="A1016" s="3" t="n">
        <v>1015</v>
      </c>
      <c r="B1016" s="3" t="n">
        <v>1014</v>
      </c>
      <c r="C1016" s="3" t="n">
        <v>1</v>
      </c>
      <c r="D1016" s="3" t="n">
        <v>8</v>
      </c>
      <c r="E1016" s="3" t="n">
        <v>6</v>
      </c>
      <c r="F1016" s="24" t="n">
        <v>2.29682016</v>
      </c>
    </row>
    <row r="1017" customFormat="false" ht="15" hidden="false" customHeight="false" outlineLevel="0" collapsed="false">
      <c r="A1017" s="3" t="n">
        <v>1016</v>
      </c>
      <c r="B1017" s="3" t="n">
        <v>1015</v>
      </c>
      <c r="C1017" s="3" t="n">
        <v>1</v>
      </c>
      <c r="D1017" s="3" t="n">
        <v>8</v>
      </c>
      <c r="E1017" s="3" t="n">
        <v>7</v>
      </c>
      <c r="F1017" s="24" t="n">
        <v>3.00481844</v>
      </c>
    </row>
    <row r="1018" customFormat="false" ht="15" hidden="false" customHeight="false" outlineLevel="0" collapsed="false">
      <c r="A1018" s="3" t="n">
        <v>1017</v>
      </c>
      <c r="B1018" s="3" t="n">
        <v>1016</v>
      </c>
      <c r="C1018" s="3" t="n">
        <v>1</v>
      </c>
      <c r="D1018" s="3" t="n">
        <v>8</v>
      </c>
      <c r="E1018" s="3" t="n">
        <v>8</v>
      </c>
      <c r="F1018" s="24" t="n">
        <v>2.41123867</v>
      </c>
    </row>
    <row r="1019" customFormat="false" ht="15" hidden="false" customHeight="false" outlineLevel="0" collapsed="false">
      <c r="A1019" s="3" t="n">
        <v>1018</v>
      </c>
      <c r="B1019" s="3" t="n">
        <v>1017</v>
      </c>
      <c r="C1019" s="3" t="n">
        <v>1</v>
      </c>
      <c r="D1019" s="3" t="n">
        <v>8</v>
      </c>
      <c r="E1019" s="3" t="n">
        <v>9</v>
      </c>
      <c r="F1019" s="24" t="n">
        <v>2.58619213</v>
      </c>
    </row>
    <row r="1020" customFormat="false" ht="15" hidden="false" customHeight="false" outlineLevel="0" collapsed="false">
      <c r="A1020" s="3" t="n">
        <v>1019</v>
      </c>
      <c r="B1020" s="3" t="n">
        <v>1018</v>
      </c>
      <c r="C1020" s="3" t="n">
        <v>1</v>
      </c>
      <c r="D1020" s="3" t="n">
        <v>8</v>
      </c>
      <c r="E1020" s="3" t="n">
        <v>10</v>
      </c>
      <c r="F1020" s="24" t="n">
        <v>2.54476547</v>
      </c>
    </row>
    <row r="1021" customFormat="false" ht="15" hidden="false" customHeight="false" outlineLevel="0" collapsed="false">
      <c r="A1021" s="3" t="n">
        <v>1020</v>
      </c>
      <c r="B1021" s="3" t="n">
        <v>1019</v>
      </c>
      <c r="C1021" s="3" t="n">
        <v>1</v>
      </c>
      <c r="D1021" s="3" t="n">
        <v>8</v>
      </c>
      <c r="E1021" s="3" t="n">
        <v>11</v>
      </c>
      <c r="F1021" s="24" t="n">
        <v>2.81787062</v>
      </c>
    </row>
    <row r="1022" customFormat="false" ht="15" hidden="false" customHeight="false" outlineLevel="0" collapsed="false">
      <c r="A1022" s="3" t="n">
        <v>1021</v>
      </c>
      <c r="B1022" s="3" t="n">
        <v>1020</v>
      </c>
      <c r="C1022" s="3" t="n">
        <v>1</v>
      </c>
      <c r="D1022" s="3" t="n">
        <v>8</v>
      </c>
      <c r="E1022" s="3" t="n">
        <v>12</v>
      </c>
      <c r="F1022" s="24" t="n">
        <v>2.67793989</v>
      </c>
    </row>
    <row r="1023" customFormat="false" ht="15" hidden="false" customHeight="false" outlineLevel="0" collapsed="false">
      <c r="A1023" s="3" t="n">
        <v>1022</v>
      </c>
      <c r="B1023" s="3" t="n">
        <v>1021</v>
      </c>
      <c r="C1023" s="3" t="n">
        <v>1</v>
      </c>
      <c r="D1023" s="3" t="n">
        <v>8</v>
      </c>
      <c r="E1023" s="3" t="n">
        <v>13</v>
      </c>
      <c r="F1023" s="24" t="n">
        <v>2.57890272</v>
      </c>
    </row>
    <row r="1024" customFormat="false" ht="15" hidden="false" customHeight="false" outlineLevel="0" collapsed="false">
      <c r="A1024" s="3" t="n">
        <v>1023</v>
      </c>
      <c r="B1024" s="3" t="n">
        <v>1022</v>
      </c>
      <c r="C1024" s="3" t="n">
        <v>1</v>
      </c>
      <c r="D1024" s="3" t="n">
        <v>8</v>
      </c>
      <c r="E1024" s="3" t="n">
        <v>14</v>
      </c>
      <c r="F1024" s="24" t="n">
        <v>2.7338028</v>
      </c>
    </row>
    <row r="1025" customFormat="false" ht="15" hidden="false" customHeight="false" outlineLevel="0" collapsed="false">
      <c r="A1025" s="3" t="n">
        <v>1024</v>
      </c>
      <c r="B1025" s="3" t="n">
        <v>1023</v>
      </c>
      <c r="C1025" s="3" t="n">
        <v>1</v>
      </c>
      <c r="D1025" s="3" t="n">
        <v>8</v>
      </c>
      <c r="E1025" s="3" t="n">
        <v>15</v>
      </c>
      <c r="F1025" s="24" t="n">
        <v>2.70456123</v>
      </c>
    </row>
    <row r="1026" customFormat="false" ht="15" hidden="false" customHeight="false" outlineLevel="0" collapsed="false">
      <c r="A1026" s="3" t="n">
        <v>1025</v>
      </c>
      <c r="B1026" s="3" t="n">
        <v>1024</v>
      </c>
      <c r="C1026" s="3" t="n">
        <v>1</v>
      </c>
      <c r="D1026" s="3" t="n">
        <v>8</v>
      </c>
      <c r="E1026" s="3" t="n">
        <v>16</v>
      </c>
      <c r="F1026" s="24" t="n">
        <v>2.69971323</v>
      </c>
    </row>
    <row r="1027" customFormat="false" ht="15" hidden="false" customHeight="false" outlineLevel="0" collapsed="false">
      <c r="A1027" s="3" t="n">
        <v>1026</v>
      </c>
      <c r="B1027" s="3" t="n">
        <v>1025</v>
      </c>
      <c r="C1027" s="3" t="n">
        <v>1</v>
      </c>
      <c r="D1027" s="3" t="n">
        <v>8</v>
      </c>
      <c r="E1027" s="3" t="n">
        <v>17</v>
      </c>
      <c r="F1027" s="24" t="n">
        <v>2.65692711</v>
      </c>
    </row>
    <row r="1028" customFormat="false" ht="15" hidden="false" customHeight="false" outlineLevel="0" collapsed="false">
      <c r="A1028" s="3" t="n">
        <v>1027</v>
      </c>
      <c r="B1028" s="3" t="n">
        <v>1026</v>
      </c>
      <c r="C1028" s="3" t="n">
        <v>1</v>
      </c>
      <c r="D1028" s="3" t="n">
        <v>8</v>
      </c>
      <c r="E1028" s="3" t="n">
        <v>18</v>
      </c>
      <c r="F1028" s="24" t="n">
        <v>2.60026789</v>
      </c>
    </row>
    <row r="1029" customFormat="false" ht="15" hidden="false" customHeight="false" outlineLevel="0" collapsed="false">
      <c r="A1029" s="3" t="n">
        <v>1028</v>
      </c>
      <c r="B1029" s="3" t="n">
        <v>1027</v>
      </c>
      <c r="C1029" s="3" t="n">
        <v>1</v>
      </c>
      <c r="D1029" s="3" t="n">
        <v>8</v>
      </c>
      <c r="E1029" s="3" t="n">
        <v>19</v>
      </c>
      <c r="F1029" s="24" t="n">
        <v>2.59452486</v>
      </c>
    </row>
    <row r="1030" customFormat="false" ht="15" hidden="false" customHeight="false" outlineLevel="0" collapsed="false">
      <c r="A1030" s="3" t="n">
        <v>1029</v>
      </c>
      <c r="B1030" s="3" t="n">
        <v>1028</v>
      </c>
      <c r="C1030" s="3" t="n">
        <v>1</v>
      </c>
      <c r="D1030" s="3" t="n">
        <v>8</v>
      </c>
      <c r="E1030" s="3" t="n">
        <v>20</v>
      </c>
      <c r="F1030" s="24" t="n">
        <v>1.77121282</v>
      </c>
    </row>
    <row r="1031" customFormat="false" ht="15" hidden="false" customHeight="false" outlineLevel="0" collapsed="false">
      <c r="A1031" s="3" t="n">
        <v>1030</v>
      </c>
      <c r="B1031" s="3" t="n">
        <v>1029</v>
      </c>
      <c r="C1031" s="3" t="n">
        <v>1</v>
      </c>
      <c r="D1031" s="3" t="n">
        <v>8</v>
      </c>
      <c r="E1031" s="3" t="n">
        <v>21</v>
      </c>
      <c r="F1031" s="24" t="n">
        <v>0.387063146</v>
      </c>
    </row>
    <row r="1032" customFormat="false" ht="15" hidden="false" customHeight="false" outlineLevel="0" collapsed="false">
      <c r="A1032" s="3" t="n">
        <v>1031</v>
      </c>
      <c r="B1032" s="3" t="n">
        <v>1030</v>
      </c>
      <c r="C1032" s="3" t="n">
        <v>1</v>
      </c>
      <c r="D1032" s="3" t="n">
        <v>8</v>
      </c>
      <c r="E1032" s="3" t="n">
        <v>22</v>
      </c>
      <c r="F1032" s="24" t="n">
        <v>-0.651746571</v>
      </c>
    </row>
    <row r="1033" customFormat="false" ht="15" hidden="false" customHeight="false" outlineLevel="0" collapsed="false">
      <c r="A1033" s="3" t="n">
        <v>1032</v>
      </c>
      <c r="B1033" s="3" t="n">
        <v>1031</v>
      </c>
      <c r="C1033" s="3" t="n">
        <v>1</v>
      </c>
      <c r="D1033" s="3" t="n">
        <v>8</v>
      </c>
      <c r="E1033" s="3" t="n">
        <v>23</v>
      </c>
      <c r="F1033" s="24" t="n">
        <v>-0.678061068</v>
      </c>
    </row>
    <row r="1034" customFormat="false" ht="15" hidden="false" customHeight="false" outlineLevel="0" collapsed="false">
      <c r="A1034" s="3" t="n">
        <v>1033</v>
      </c>
      <c r="B1034" s="3" t="n">
        <v>1032</v>
      </c>
      <c r="C1034" s="3" t="n">
        <v>1</v>
      </c>
      <c r="D1034" s="3" t="n">
        <v>8</v>
      </c>
      <c r="E1034" s="3" t="n">
        <v>24</v>
      </c>
      <c r="F1034" s="24" t="n">
        <v>-0.678061068</v>
      </c>
    </row>
    <row r="1035" customFormat="false" ht="15" hidden="false" customHeight="false" outlineLevel="0" collapsed="false">
      <c r="A1035" s="3" t="n">
        <v>1034</v>
      </c>
      <c r="B1035" s="3" t="n">
        <v>1033</v>
      </c>
      <c r="C1035" s="3" t="n">
        <v>1</v>
      </c>
      <c r="D1035" s="3" t="n">
        <v>8</v>
      </c>
      <c r="E1035" s="3" t="n">
        <v>25</v>
      </c>
      <c r="F1035" s="24" t="n">
        <v>-0.678061068</v>
      </c>
    </row>
    <row r="1036" customFormat="false" ht="15" hidden="false" customHeight="false" outlineLevel="0" collapsed="false">
      <c r="A1036" s="3" t="n">
        <v>1035</v>
      </c>
      <c r="B1036" s="3" t="n">
        <v>1034</v>
      </c>
      <c r="C1036" s="3" t="n">
        <v>1</v>
      </c>
      <c r="D1036" s="3" t="n">
        <v>8</v>
      </c>
      <c r="E1036" s="3" t="n">
        <v>26</v>
      </c>
      <c r="F1036" s="24" t="n">
        <v>-0.678061068</v>
      </c>
    </row>
    <row r="1037" customFormat="false" ht="15" hidden="false" customHeight="false" outlineLevel="0" collapsed="false">
      <c r="A1037" s="3" t="n">
        <v>1036</v>
      </c>
      <c r="B1037" s="3" t="n">
        <v>1035</v>
      </c>
      <c r="C1037" s="3" t="n">
        <v>1</v>
      </c>
      <c r="D1037" s="3" t="n">
        <v>8</v>
      </c>
      <c r="E1037" s="3" t="n">
        <v>27</v>
      </c>
      <c r="F1037" s="24" t="n">
        <v>-0.401937425</v>
      </c>
    </row>
    <row r="1038" customFormat="false" ht="15" hidden="false" customHeight="false" outlineLevel="0" collapsed="false">
      <c r="A1038" s="3" t="n">
        <v>1037</v>
      </c>
      <c r="B1038" s="3" t="n">
        <v>1036</v>
      </c>
      <c r="C1038" s="3" t="n">
        <v>1</v>
      </c>
      <c r="D1038" s="3" t="n">
        <v>9</v>
      </c>
      <c r="E1038" s="3" t="n">
        <v>0</v>
      </c>
      <c r="F1038" s="24" t="n">
        <v>-0.749848783</v>
      </c>
    </row>
    <row r="1039" customFormat="false" ht="15" hidden="false" customHeight="false" outlineLevel="0" collapsed="false">
      <c r="A1039" s="3" t="n">
        <v>1038</v>
      </c>
      <c r="B1039" s="3" t="n">
        <v>1037</v>
      </c>
      <c r="C1039" s="3" t="n">
        <v>1</v>
      </c>
      <c r="D1039" s="3" t="n">
        <v>9</v>
      </c>
      <c r="E1039" s="3" t="n">
        <v>1</v>
      </c>
      <c r="F1039" s="24" t="n">
        <v>-0.678061068</v>
      </c>
    </row>
    <row r="1040" customFormat="false" ht="15" hidden="false" customHeight="false" outlineLevel="0" collapsed="false">
      <c r="A1040" s="3" t="n">
        <v>1039</v>
      </c>
      <c r="B1040" s="3" t="n">
        <v>1038</v>
      </c>
      <c r="C1040" s="3" t="n">
        <v>1</v>
      </c>
      <c r="D1040" s="3" t="n">
        <v>9</v>
      </c>
      <c r="E1040" s="3" t="n">
        <v>2</v>
      </c>
      <c r="F1040" s="24" t="n">
        <v>-0.678061068</v>
      </c>
    </row>
    <row r="1041" customFormat="false" ht="15" hidden="false" customHeight="false" outlineLevel="0" collapsed="false">
      <c r="A1041" s="3" t="n">
        <v>1040</v>
      </c>
      <c r="B1041" s="3" t="n">
        <v>1039</v>
      </c>
      <c r="C1041" s="3" t="n">
        <v>1</v>
      </c>
      <c r="D1041" s="3" t="n">
        <v>9</v>
      </c>
      <c r="E1041" s="3" t="n">
        <v>3</v>
      </c>
      <c r="F1041" s="24" t="n">
        <v>-0.678061068</v>
      </c>
    </row>
    <row r="1042" customFormat="false" ht="15" hidden="false" customHeight="false" outlineLevel="0" collapsed="false">
      <c r="A1042" s="3" t="n">
        <v>1041</v>
      </c>
      <c r="B1042" s="3" t="n">
        <v>1040</v>
      </c>
      <c r="C1042" s="3" t="n">
        <v>1</v>
      </c>
      <c r="D1042" s="3" t="n">
        <v>9</v>
      </c>
      <c r="E1042" s="3" t="n">
        <v>4</v>
      </c>
      <c r="F1042" s="24" t="n">
        <v>-0.678061068</v>
      </c>
    </row>
    <row r="1043" customFormat="false" ht="15" hidden="false" customHeight="false" outlineLevel="0" collapsed="false">
      <c r="A1043" s="3" t="n">
        <v>1042</v>
      </c>
      <c r="B1043" s="3" t="n">
        <v>1041</v>
      </c>
      <c r="C1043" s="3" t="n">
        <v>1</v>
      </c>
      <c r="D1043" s="3" t="n">
        <v>9</v>
      </c>
      <c r="E1043" s="3" t="n">
        <v>5</v>
      </c>
      <c r="F1043" s="24" t="n">
        <v>0.143428832</v>
      </c>
    </row>
    <row r="1044" customFormat="false" ht="15" hidden="false" customHeight="false" outlineLevel="0" collapsed="false">
      <c r="A1044" s="3" t="n">
        <v>1043</v>
      </c>
      <c r="B1044" s="3" t="n">
        <v>1042</v>
      </c>
      <c r="C1044" s="3" t="n">
        <v>1</v>
      </c>
      <c r="D1044" s="3" t="n">
        <v>9</v>
      </c>
      <c r="E1044" s="3" t="n">
        <v>6</v>
      </c>
      <c r="F1044" s="24" t="n">
        <v>1.16316974</v>
      </c>
    </row>
    <row r="1045" customFormat="false" ht="15" hidden="false" customHeight="false" outlineLevel="0" collapsed="false">
      <c r="A1045" s="3" t="n">
        <v>1044</v>
      </c>
      <c r="B1045" s="3" t="n">
        <v>1043</v>
      </c>
      <c r="C1045" s="3" t="n">
        <v>1</v>
      </c>
      <c r="D1045" s="3" t="n">
        <v>9</v>
      </c>
      <c r="E1045" s="3" t="n">
        <v>7</v>
      </c>
      <c r="F1045" s="24" t="n">
        <v>0.430657923</v>
      </c>
    </row>
    <row r="1046" customFormat="false" ht="15" hidden="false" customHeight="false" outlineLevel="0" collapsed="false">
      <c r="A1046" s="3" t="n">
        <v>1045</v>
      </c>
      <c r="B1046" s="3" t="n">
        <v>1044</v>
      </c>
      <c r="C1046" s="3" t="n">
        <v>1</v>
      </c>
      <c r="D1046" s="3" t="n">
        <v>9</v>
      </c>
      <c r="E1046" s="3" t="n">
        <v>8</v>
      </c>
      <c r="F1046" s="24" t="n">
        <v>0.510230601</v>
      </c>
    </row>
    <row r="1047" customFormat="false" ht="15" hidden="false" customHeight="false" outlineLevel="0" collapsed="false">
      <c r="A1047" s="3" t="n">
        <v>1046</v>
      </c>
      <c r="B1047" s="3" t="n">
        <v>1045</v>
      </c>
      <c r="C1047" s="3" t="n">
        <v>1</v>
      </c>
      <c r="D1047" s="3" t="n">
        <v>9</v>
      </c>
      <c r="E1047" s="3" t="n">
        <v>9</v>
      </c>
      <c r="F1047" s="24" t="n">
        <v>0.746583223</v>
      </c>
    </row>
    <row r="1048" customFormat="false" ht="15" hidden="false" customHeight="false" outlineLevel="0" collapsed="false">
      <c r="A1048" s="3" t="n">
        <v>1047</v>
      </c>
      <c r="B1048" s="3" t="n">
        <v>1046</v>
      </c>
      <c r="C1048" s="3" t="n">
        <v>1</v>
      </c>
      <c r="D1048" s="3" t="n">
        <v>9</v>
      </c>
      <c r="E1048" s="3" t="n">
        <v>10</v>
      </c>
      <c r="F1048" s="24" t="n">
        <v>1.33987761</v>
      </c>
    </row>
    <row r="1049" customFormat="false" ht="15" hidden="false" customHeight="false" outlineLevel="0" collapsed="false">
      <c r="A1049" s="3" t="n">
        <v>1048</v>
      </c>
      <c r="B1049" s="3" t="n">
        <v>1047</v>
      </c>
      <c r="C1049" s="3" t="n">
        <v>1</v>
      </c>
      <c r="D1049" s="3" t="n">
        <v>9</v>
      </c>
      <c r="E1049" s="3" t="n">
        <v>11</v>
      </c>
      <c r="F1049" s="24" t="n">
        <v>1.84075344</v>
      </c>
    </row>
    <row r="1050" customFormat="false" ht="15" hidden="false" customHeight="false" outlineLevel="0" collapsed="false">
      <c r="A1050" s="3" t="n">
        <v>1049</v>
      </c>
      <c r="B1050" s="3" t="n">
        <v>1048</v>
      </c>
      <c r="C1050" s="3" t="n">
        <v>1</v>
      </c>
      <c r="D1050" s="3" t="n">
        <v>9</v>
      </c>
      <c r="E1050" s="3" t="n">
        <v>12</v>
      </c>
      <c r="F1050" s="24" t="n">
        <v>2.08452606</v>
      </c>
    </row>
    <row r="1051" customFormat="false" ht="15" hidden="false" customHeight="false" outlineLevel="0" collapsed="false">
      <c r="A1051" s="3" t="n">
        <v>1050</v>
      </c>
      <c r="B1051" s="3" t="n">
        <v>1049</v>
      </c>
      <c r="C1051" s="3" t="n">
        <v>1</v>
      </c>
      <c r="D1051" s="3" t="n">
        <v>9</v>
      </c>
      <c r="E1051" s="3" t="n">
        <v>13</v>
      </c>
      <c r="F1051" s="24" t="n">
        <v>2.19565344</v>
      </c>
    </row>
    <row r="1052" customFormat="false" ht="15" hidden="false" customHeight="false" outlineLevel="0" collapsed="false">
      <c r="A1052" s="3" t="n">
        <v>1051</v>
      </c>
      <c r="B1052" s="3" t="n">
        <v>1050</v>
      </c>
      <c r="C1052" s="3" t="n">
        <v>1</v>
      </c>
      <c r="D1052" s="3" t="n">
        <v>9</v>
      </c>
      <c r="E1052" s="3" t="n">
        <v>14</v>
      </c>
      <c r="F1052" s="24" t="n">
        <v>2.47751379</v>
      </c>
    </row>
    <row r="1053" customFormat="false" ht="15" hidden="false" customHeight="false" outlineLevel="0" collapsed="false">
      <c r="A1053" s="3" t="n">
        <v>1052</v>
      </c>
      <c r="B1053" s="3" t="n">
        <v>1051</v>
      </c>
      <c r="C1053" s="3" t="n">
        <v>1</v>
      </c>
      <c r="D1053" s="3" t="n">
        <v>9</v>
      </c>
      <c r="E1053" s="3" t="n">
        <v>15</v>
      </c>
      <c r="F1053" s="24" t="n">
        <v>2.51747513</v>
      </c>
    </row>
    <row r="1054" customFormat="false" ht="15" hidden="false" customHeight="false" outlineLevel="0" collapsed="false">
      <c r="A1054" s="3" t="n">
        <v>1053</v>
      </c>
      <c r="B1054" s="3" t="n">
        <v>1052</v>
      </c>
      <c r="C1054" s="3" t="n">
        <v>1</v>
      </c>
      <c r="D1054" s="3" t="n">
        <v>9</v>
      </c>
      <c r="E1054" s="3" t="n">
        <v>16</v>
      </c>
      <c r="F1054" s="24" t="n">
        <v>2.48845768</v>
      </c>
    </row>
    <row r="1055" customFormat="false" ht="15" hidden="false" customHeight="false" outlineLevel="0" collapsed="false">
      <c r="A1055" s="3" t="n">
        <v>1054</v>
      </c>
      <c r="B1055" s="3" t="n">
        <v>1053</v>
      </c>
      <c r="C1055" s="3" t="n">
        <v>1</v>
      </c>
      <c r="D1055" s="3" t="n">
        <v>9</v>
      </c>
      <c r="E1055" s="3" t="n">
        <v>17</v>
      </c>
      <c r="F1055" s="24" t="n">
        <v>2.29344797</v>
      </c>
    </row>
    <row r="1056" customFormat="false" ht="15" hidden="false" customHeight="false" outlineLevel="0" collapsed="false">
      <c r="A1056" s="3" t="n">
        <v>1055</v>
      </c>
      <c r="B1056" s="3" t="n">
        <v>1054</v>
      </c>
      <c r="C1056" s="3" t="n">
        <v>1</v>
      </c>
      <c r="D1056" s="3" t="n">
        <v>9</v>
      </c>
      <c r="E1056" s="3" t="n">
        <v>18</v>
      </c>
      <c r="F1056" s="24" t="n">
        <v>2.43785381</v>
      </c>
    </row>
    <row r="1057" customFormat="false" ht="15" hidden="false" customHeight="false" outlineLevel="0" collapsed="false">
      <c r="A1057" s="3" t="n">
        <v>1056</v>
      </c>
      <c r="B1057" s="3" t="n">
        <v>1055</v>
      </c>
      <c r="C1057" s="3" t="n">
        <v>1</v>
      </c>
      <c r="D1057" s="3" t="n">
        <v>9</v>
      </c>
      <c r="E1057" s="3" t="n">
        <v>19</v>
      </c>
      <c r="F1057" s="24" t="n">
        <v>3.37949085</v>
      </c>
    </row>
    <row r="1058" customFormat="false" ht="15" hidden="false" customHeight="false" outlineLevel="0" collapsed="false">
      <c r="A1058" s="3" t="n">
        <v>1057</v>
      </c>
      <c r="B1058" s="3" t="n">
        <v>1056</v>
      </c>
      <c r="C1058" s="3" t="n">
        <v>1</v>
      </c>
      <c r="D1058" s="3" t="n">
        <v>9</v>
      </c>
      <c r="E1058" s="3" t="n">
        <v>20</v>
      </c>
      <c r="F1058" s="24" t="n">
        <v>2.26277304</v>
      </c>
    </row>
    <row r="1059" customFormat="false" ht="15" hidden="false" customHeight="false" outlineLevel="0" collapsed="false">
      <c r="A1059" s="3" t="n">
        <v>1058</v>
      </c>
      <c r="B1059" s="3" t="n">
        <v>1057</v>
      </c>
      <c r="C1059" s="3" t="n">
        <v>1</v>
      </c>
      <c r="D1059" s="3" t="n">
        <v>9</v>
      </c>
      <c r="E1059" s="3" t="n">
        <v>21</v>
      </c>
      <c r="F1059" s="24" t="n">
        <v>0.169192582</v>
      </c>
    </row>
    <row r="1060" customFormat="false" ht="15" hidden="false" customHeight="false" outlineLevel="0" collapsed="false">
      <c r="A1060" s="3" t="n">
        <v>1059</v>
      </c>
      <c r="B1060" s="3" t="n">
        <v>1058</v>
      </c>
      <c r="C1060" s="3" t="n">
        <v>1</v>
      </c>
      <c r="D1060" s="3" t="n">
        <v>9</v>
      </c>
      <c r="E1060" s="3" t="n">
        <v>22</v>
      </c>
      <c r="F1060" s="24" t="n">
        <v>-0.561086178</v>
      </c>
    </row>
    <row r="1061" customFormat="false" ht="15" hidden="false" customHeight="false" outlineLevel="0" collapsed="false">
      <c r="A1061" s="3" t="n">
        <v>1060</v>
      </c>
      <c r="B1061" s="3" t="n">
        <v>1059</v>
      </c>
      <c r="C1061" s="3" t="n">
        <v>1</v>
      </c>
      <c r="D1061" s="3" t="n">
        <v>9</v>
      </c>
      <c r="E1061" s="3" t="n">
        <v>23</v>
      </c>
      <c r="F1061" s="24" t="n">
        <v>-0.678061068</v>
      </c>
    </row>
    <row r="1062" customFormat="false" ht="15" hidden="false" customHeight="false" outlineLevel="0" collapsed="false">
      <c r="A1062" s="3" t="n">
        <v>1061</v>
      </c>
      <c r="B1062" s="3" t="n">
        <v>1060</v>
      </c>
      <c r="C1062" s="3" t="n">
        <v>1</v>
      </c>
      <c r="D1062" s="3" t="n">
        <v>9</v>
      </c>
      <c r="E1062" s="3" t="n">
        <v>24</v>
      </c>
      <c r="F1062" s="24" t="n">
        <v>-0.678061068</v>
      </c>
    </row>
    <row r="1063" customFormat="false" ht="15" hidden="false" customHeight="false" outlineLevel="0" collapsed="false">
      <c r="A1063" s="3" t="n">
        <v>1062</v>
      </c>
      <c r="B1063" s="3" t="n">
        <v>1061</v>
      </c>
      <c r="C1063" s="3" t="n">
        <v>1</v>
      </c>
      <c r="D1063" s="3" t="n">
        <v>9</v>
      </c>
      <c r="E1063" s="3" t="n">
        <v>25</v>
      </c>
      <c r="F1063" s="24" t="n">
        <v>-0.678061068</v>
      </c>
    </row>
    <row r="1064" customFormat="false" ht="15" hidden="false" customHeight="false" outlineLevel="0" collapsed="false">
      <c r="A1064" s="3" t="n">
        <v>1063</v>
      </c>
      <c r="B1064" s="3" t="n">
        <v>1062</v>
      </c>
      <c r="C1064" s="3" t="n">
        <v>1</v>
      </c>
      <c r="D1064" s="3" t="n">
        <v>9</v>
      </c>
      <c r="E1064" s="3" t="n">
        <v>26</v>
      </c>
      <c r="F1064" s="24" t="n">
        <v>-0.678061068</v>
      </c>
    </row>
    <row r="1065" customFormat="false" ht="15" hidden="false" customHeight="false" outlineLevel="0" collapsed="false">
      <c r="A1065" s="3" t="n">
        <v>1064</v>
      </c>
      <c r="B1065" s="3" t="n">
        <v>1063</v>
      </c>
      <c r="C1065" s="3" t="n">
        <v>1</v>
      </c>
      <c r="D1065" s="3" t="n">
        <v>9</v>
      </c>
      <c r="E1065" s="3" t="n">
        <v>27</v>
      </c>
      <c r="F1065" s="24" t="n">
        <v>-0.401937425</v>
      </c>
    </row>
    <row r="1066" customFormat="false" ht="15" hidden="false" customHeight="false" outlineLevel="0" collapsed="false">
      <c r="A1066" s="3" t="n">
        <v>1065</v>
      </c>
      <c r="B1066" s="3" t="n">
        <v>1064</v>
      </c>
      <c r="C1066" s="3" t="n">
        <v>1</v>
      </c>
      <c r="D1066" s="3" t="n">
        <v>10</v>
      </c>
      <c r="E1066" s="3" t="n">
        <v>0</v>
      </c>
      <c r="F1066" s="24" t="n">
        <v>-0.749848783</v>
      </c>
    </row>
    <row r="1067" customFormat="false" ht="15" hidden="false" customHeight="false" outlineLevel="0" collapsed="false">
      <c r="A1067" s="3" t="n">
        <v>1066</v>
      </c>
      <c r="B1067" s="3" t="n">
        <v>1065</v>
      </c>
      <c r="C1067" s="3" t="n">
        <v>1</v>
      </c>
      <c r="D1067" s="3" t="n">
        <v>10</v>
      </c>
      <c r="E1067" s="3" t="n">
        <v>1</v>
      </c>
      <c r="F1067" s="24" t="n">
        <v>-0.678061068</v>
      </c>
    </row>
    <row r="1068" customFormat="false" ht="15" hidden="false" customHeight="false" outlineLevel="0" collapsed="false">
      <c r="A1068" s="3" t="n">
        <v>1067</v>
      </c>
      <c r="B1068" s="3" t="n">
        <v>1066</v>
      </c>
      <c r="C1068" s="3" t="n">
        <v>1</v>
      </c>
      <c r="D1068" s="3" t="n">
        <v>10</v>
      </c>
      <c r="E1068" s="3" t="n">
        <v>2</v>
      </c>
      <c r="F1068" s="24" t="n">
        <v>-0.678061068</v>
      </c>
    </row>
    <row r="1069" customFormat="false" ht="15" hidden="false" customHeight="false" outlineLevel="0" collapsed="false">
      <c r="A1069" s="3" t="n">
        <v>1068</v>
      </c>
      <c r="B1069" s="3" t="n">
        <v>1067</v>
      </c>
      <c r="C1069" s="3" t="n">
        <v>1</v>
      </c>
      <c r="D1069" s="3" t="n">
        <v>10</v>
      </c>
      <c r="E1069" s="3" t="n">
        <v>3</v>
      </c>
      <c r="F1069" s="24" t="n">
        <v>-0.678061068</v>
      </c>
    </row>
    <row r="1070" customFormat="false" ht="15" hidden="false" customHeight="false" outlineLevel="0" collapsed="false">
      <c r="A1070" s="3" t="n">
        <v>1069</v>
      </c>
      <c r="B1070" s="3" t="n">
        <v>1068</v>
      </c>
      <c r="C1070" s="3" t="n">
        <v>1</v>
      </c>
      <c r="D1070" s="3" t="n">
        <v>10</v>
      </c>
      <c r="E1070" s="3" t="n">
        <v>4</v>
      </c>
      <c r="F1070" s="24" t="n">
        <v>-0.678061068</v>
      </c>
    </row>
    <row r="1071" customFormat="false" ht="15" hidden="false" customHeight="false" outlineLevel="0" collapsed="false">
      <c r="A1071" s="3" t="n">
        <v>1070</v>
      </c>
      <c r="B1071" s="3" t="n">
        <v>1069</v>
      </c>
      <c r="C1071" s="3" t="n">
        <v>1</v>
      </c>
      <c r="D1071" s="3" t="n">
        <v>10</v>
      </c>
      <c r="E1071" s="3" t="n">
        <v>5</v>
      </c>
      <c r="F1071" s="24" t="n">
        <v>-0.527803659</v>
      </c>
    </row>
    <row r="1072" customFormat="false" ht="15" hidden="false" customHeight="false" outlineLevel="0" collapsed="false">
      <c r="A1072" s="3" t="n">
        <v>1071</v>
      </c>
      <c r="B1072" s="3" t="n">
        <v>1070</v>
      </c>
      <c r="C1072" s="3" t="n">
        <v>1</v>
      </c>
      <c r="D1072" s="3" t="n">
        <v>10</v>
      </c>
      <c r="E1072" s="3" t="n">
        <v>6</v>
      </c>
      <c r="F1072" s="24" t="n">
        <v>-0.269782573</v>
      </c>
    </row>
    <row r="1073" customFormat="false" ht="15" hidden="false" customHeight="false" outlineLevel="0" collapsed="false">
      <c r="A1073" s="3" t="n">
        <v>1072</v>
      </c>
      <c r="B1073" s="3" t="n">
        <v>1071</v>
      </c>
      <c r="C1073" s="3" t="n">
        <v>1</v>
      </c>
      <c r="D1073" s="3" t="n">
        <v>10</v>
      </c>
      <c r="E1073" s="3" t="n">
        <v>7</v>
      </c>
      <c r="F1073" s="24" t="n">
        <v>-0.549463451</v>
      </c>
    </row>
    <row r="1074" customFormat="false" ht="15" hidden="false" customHeight="false" outlineLevel="0" collapsed="false">
      <c r="A1074" s="3" t="n">
        <v>1073</v>
      </c>
      <c r="B1074" s="3" t="n">
        <v>1072</v>
      </c>
      <c r="C1074" s="3" t="n">
        <v>1</v>
      </c>
      <c r="D1074" s="3" t="n">
        <v>10</v>
      </c>
      <c r="E1074" s="3" t="n">
        <v>8</v>
      </c>
      <c r="F1074" s="24" t="n">
        <v>-0.756163299</v>
      </c>
    </row>
    <row r="1075" customFormat="false" ht="15" hidden="false" customHeight="false" outlineLevel="0" collapsed="false">
      <c r="A1075" s="3" t="n">
        <v>1074</v>
      </c>
      <c r="B1075" s="3" t="n">
        <v>1073</v>
      </c>
      <c r="C1075" s="3" t="n">
        <v>1</v>
      </c>
      <c r="D1075" s="3" t="n">
        <v>10</v>
      </c>
      <c r="E1075" s="3" t="n">
        <v>9</v>
      </c>
      <c r="F1075" s="24" t="n">
        <v>-0.367214501</v>
      </c>
    </row>
    <row r="1076" customFormat="false" ht="15" hidden="false" customHeight="false" outlineLevel="0" collapsed="false">
      <c r="A1076" s="3" t="n">
        <v>1075</v>
      </c>
      <c r="B1076" s="3" t="n">
        <v>1074</v>
      </c>
      <c r="C1076" s="3" t="n">
        <v>1</v>
      </c>
      <c r="D1076" s="3" t="n">
        <v>10</v>
      </c>
      <c r="E1076" s="3" t="n">
        <v>10</v>
      </c>
      <c r="F1076" s="24" t="n">
        <v>-0.213345736</v>
      </c>
    </row>
    <row r="1077" customFormat="false" ht="15" hidden="false" customHeight="false" outlineLevel="0" collapsed="false">
      <c r="A1077" s="3" t="n">
        <v>1076</v>
      </c>
      <c r="B1077" s="3" t="n">
        <v>1075</v>
      </c>
      <c r="C1077" s="3" t="n">
        <v>1</v>
      </c>
      <c r="D1077" s="3" t="n">
        <v>10</v>
      </c>
      <c r="E1077" s="3" t="n">
        <v>11</v>
      </c>
      <c r="F1077" s="24" t="n">
        <v>0.070335269</v>
      </c>
    </row>
    <row r="1078" customFormat="false" ht="15" hidden="false" customHeight="false" outlineLevel="0" collapsed="false">
      <c r="A1078" s="3" t="n">
        <v>1077</v>
      </c>
      <c r="B1078" s="3" t="n">
        <v>1076</v>
      </c>
      <c r="C1078" s="3" t="n">
        <v>1</v>
      </c>
      <c r="D1078" s="3" t="n">
        <v>10</v>
      </c>
      <c r="E1078" s="3" t="n">
        <v>12</v>
      </c>
      <c r="F1078" s="24" t="n">
        <v>-0.251626521</v>
      </c>
    </row>
    <row r="1079" customFormat="false" ht="15" hidden="false" customHeight="false" outlineLevel="0" collapsed="false">
      <c r="A1079" s="3" t="n">
        <v>1078</v>
      </c>
      <c r="B1079" s="3" t="n">
        <v>1077</v>
      </c>
      <c r="C1079" s="3" t="n">
        <v>1</v>
      </c>
      <c r="D1079" s="3" t="n">
        <v>10</v>
      </c>
      <c r="E1079" s="3" t="n">
        <v>13</v>
      </c>
      <c r="F1079" s="24" t="n">
        <v>-0.123799607</v>
      </c>
    </row>
    <row r="1080" customFormat="false" ht="15" hidden="false" customHeight="false" outlineLevel="0" collapsed="false">
      <c r="A1080" s="3" t="n">
        <v>1079</v>
      </c>
      <c r="B1080" s="3" t="n">
        <v>1078</v>
      </c>
      <c r="C1080" s="3" t="n">
        <v>1</v>
      </c>
      <c r="D1080" s="3" t="n">
        <v>10</v>
      </c>
      <c r="E1080" s="3" t="n">
        <v>14</v>
      </c>
      <c r="F1080" s="24" t="n">
        <v>0.071693182</v>
      </c>
    </row>
    <row r="1081" customFormat="false" ht="15" hidden="false" customHeight="false" outlineLevel="0" collapsed="false">
      <c r="A1081" s="3" t="n">
        <v>1080</v>
      </c>
      <c r="B1081" s="3" t="n">
        <v>1079</v>
      </c>
      <c r="C1081" s="3" t="n">
        <v>1</v>
      </c>
      <c r="D1081" s="3" t="n">
        <v>10</v>
      </c>
      <c r="E1081" s="3" t="n">
        <v>15</v>
      </c>
      <c r="F1081" s="24" t="n">
        <v>0.115769714</v>
      </c>
    </row>
    <row r="1082" customFormat="false" ht="15" hidden="false" customHeight="false" outlineLevel="0" collapsed="false">
      <c r="A1082" s="3" t="n">
        <v>1081</v>
      </c>
      <c r="B1082" s="3" t="n">
        <v>1080</v>
      </c>
      <c r="C1082" s="3" t="n">
        <v>1</v>
      </c>
      <c r="D1082" s="3" t="n">
        <v>10</v>
      </c>
      <c r="E1082" s="3" t="n">
        <v>16</v>
      </c>
      <c r="F1082" s="24" t="n">
        <v>0.0681576729</v>
      </c>
    </row>
    <row r="1083" customFormat="false" ht="15" hidden="false" customHeight="false" outlineLevel="0" collapsed="false">
      <c r="A1083" s="3" t="n">
        <v>1082</v>
      </c>
      <c r="B1083" s="3" t="n">
        <v>1081</v>
      </c>
      <c r="C1083" s="3" t="n">
        <v>1</v>
      </c>
      <c r="D1083" s="3" t="n">
        <v>10</v>
      </c>
      <c r="E1083" s="3" t="n">
        <v>17</v>
      </c>
      <c r="F1083" s="24" t="n">
        <v>-0.0966974795</v>
      </c>
    </row>
    <row r="1084" customFormat="false" ht="15" hidden="false" customHeight="false" outlineLevel="0" collapsed="false">
      <c r="A1084" s="3" t="n">
        <v>1083</v>
      </c>
      <c r="B1084" s="3" t="n">
        <v>1082</v>
      </c>
      <c r="C1084" s="3" t="n">
        <v>1</v>
      </c>
      <c r="D1084" s="3" t="n">
        <v>10</v>
      </c>
      <c r="E1084" s="3" t="n">
        <v>18</v>
      </c>
      <c r="F1084" s="24" t="n">
        <v>1.38532448</v>
      </c>
    </row>
    <row r="1085" customFormat="false" ht="15" hidden="false" customHeight="false" outlineLevel="0" collapsed="false">
      <c r="A1085" s="3" t="n">
        <v>1084</v>
      </c>
      <c r="B1085" s="3" t="n">
        <v>1083</v>
      </c>
      <c r="C1085" s="3" t="n">
        <v>1</v>
      </c>
      <c r="D1085" s="3" t="n">
        <v>10</v>
      </c>
      <c r="E1085" s="3" t="n">
        <v>19</v>
      </c>
      <c r="F1085" s="24" t="n">
        <v>2.78891659</v>
      </c>
    </row>
    <row r="1086" customFormat="false" ht="15" hidden="false" customHeight="false" outlineLevel="0" collapsed="false">
      <c r="A1086" s="3" t="n">
        <v>1085</v>
      </c>
      <c r="B1086" s="3" t="n">
        <v>1084</v>
      </c>
      <c r="C1086" s="3" t="n">
        <v>1</v>
      </c>
      <c r="D1086" s="3" t="n">
        <v>10</v>
      </c>
      <c r="E1086" s="3" t="n">
        <v>20</v>
      </c>
      <c r="F1086" s="24" t="n">
        <v>1.86595404</v>
      </c>
    </row>
    <row r="1087" customFormat="false" ht="15" hidden="false" customHeight="false" outlineLevel="0" collapsed="false">
      <c r="A1087" s="3" t="n">
        <v>1086</v>
      </c>
      <c r="B1087" s="3" t="n">
        <v>1085</v>
      </c>
      <c r="C1087" s="3" t="n">
        <v>1</v>
      </c>
      <c r="D1087" s="3" t="n">
        <v>10</v>
      </c>
      <c r="E1087" s="3" t="n">
        <v>21</v>
      </c>
      <c r="F1087" s="24" t="n">
        <v>-0.44231087</v>
      </c>
    </row>
    <row r="1088" customFormat="false" ht="15" hidden="false" customHeight="false" outlineLevel="0" collapsed="false">
      <c r="A1088" s="3" t="n">
        <v>1087</v>
      </c>
      <c r="B1088" s="3" t="n">
        <v>1086</v>
      </c>
      <c r="C1088" s="3" t="n">
        <v>1</v>
      </c>
      <c r="D1088" s="3" t="n">
        <v>10</v>
      </c>
      <c r="E1088" s="3" t="n">
        <v>22</v>
      </c>
      <c r="F1088" s="24" t="n">
        <v>-0.966103375</v>
      </c>
    </row>
    <row r="1089" customFormat="false" ht="15" hidden="false" customHeight="false" outlineLevel="0" collapsed="false">
      <c r="A1089" s="3" t="n">
        <v>1088</v>
      </c>
      <c r="B1089" s="3" t="n">
        <v>1087</v>
      </c>
      <c r="C1089" s="3" t="n">
        <v>1</v>
      </c>
      <c r="D1089" s="3" t="n">
        <v>10</v>
      </c>
      <c r="E1089" s="3" t="n">
        <v>23</v>
      </c>
      <c r="F1089" s="24" t="n">
        <v>-0.678061068</v>
      </c>
    </row>
    <row r="1090" customFormat="false" ht="15" hidden="false" customHeight="false" outlineLevel="0" collapsed="false">
      <c r="A1090" s="3" t="n">
        <v>1089</v>
      </c>
      <c r="B1090" s="3" t="n">
        <v>1088</v>
      </c>
      <c r="C1090" s="3" t="n">
        <v>1</v>
      </c>
      <c r="D1090" s="3" t="n">
        <v>10</v>
      </c>
      <c r="E1090" s="3" t="n">
        <v>24</v>
      </c>
      <c r="F1090" s="24" t="n">
        <v>-0.678061068</v>
      </c>
    </row>
    <row r="1091" customFormat="false" ht="15" hidden="false" customHeight="false" outlineLevel="0" collapsed="false">
      <c r="A1091" s="3" t="n">
        <v>1090</v>
      </c>
      <c r="B1091" s="3" t="n">
        <v>1089</v>
      </c>
      <c r="C1091" s="3" t="n">
        <v>1</v>
      </c>
      <c r="D1091" s="3" t="n">
        <v>10</v>
      </c>
      <c r="E1091" s="3" t="n">
        <v>25</v>
      </c>
      <c r="F1091" s="24" t="n">
        <v>-0.678061068</v>
      </c>
    </row>
    <row r="1092" customFormat="false" ht="15" hidden="false" customHeight="false" outlineLevel="0" collapsed="false">
      <c r="A1092" s="3" t="n">
        <v>1091</v>
      </c>
      <c r="B1092" s="3" t="n">
        <v>1090</v>
      </c>
      <c r="C1092" s="3" t="n">
        <v>1</v>
      </c>
      <c r="D1092" s="3" t="n">
        <v>10</v>
      </c>
      <c r="E1092" s="3" t="n">
        <v>26</v>
      </c>
      <c r="F1092" s="24" t="n">
        <v>-0.678061068</v>
      </c>
    </row>
    <row r="1093" customFormat="false" ht="15" hidden="false" customHeight="false" outlineLevel="0" collapsed="false">
      <c r="A1093" s="3" t="n">
        <v>1092</v>
      </c>
      <c r="B1093" s="3" t="n">
        <v>1091</v>
      </c>
      <c r="C1093" s="3" t="n">
        <v>1</v>
      </c>
      <c r="D1093" s="3" t="n">
        <v>10</v>
      </c>
      <c r="E1093" s="3" t="n">
        <v>27</v>
      </c>
      <c r="F1093" s="24" t="n">
        <v>-0.401937425</v>
      </c>
    </row>
    <row r="1094" customFormat="false" ht="15" hidden="false" customHeight="false" outlineLevel="0" collapsed="false">
      <c r="A1094" s="3" t="n">
        <v>1093</v>
      </c>
      <c r="B1094" s="3" t="n">
        <v>1092</v>
      </c>
      <c r="C1094" s="3" t="n">
        <v>1</v>
      </c>
      <c r="D1094" s="3" t="n">
        <v>11</v>
      </c>
      <c r="E1094" s="3" t="n">
        <v>0</v>
      </c>
      <c r="F1094" s="24" t="n">
        <v>-0.749848783</v>
      </c>
    </row>
    <row r="1095" customFormat="false" ht="15" hidden="false" customHeight="false" outlineLevel="0" collapsed="false">
      <c r="A1095" s="3" t="n">
        <v>1094</v>
      </c>
      <c r="B1095" s="3" t="n">
        <v>1093</v>
      </c>
      <c r="C1095" s="3" t="n">
        <v>1</v>
      </c>
      <c r="D1095" s="3" t="n">
        <v>11</v>
      </c>
      <c r="E1095" s="3" t="n">
        <v>1</v>
      </c>
      <c r="F1095" s="24" t="n">
        <v>-0.678061068</v>
      </c>
    </row>
    <row r="1096" customFormat="false" ht="15" hidden="false" customHeight="false" outlineLevel="0" collapsed="false">
      <c r="A1096" s="3" t="n">
        <v>1095</v>
      </c>
      <c r="B1096" s="3" t="n">
        <v>1094</v>
      </c>
      <c r="C1096" s="3" t="n">
        <v>1</v>
      </c>
      <c r="D1096" s="3" t="n">
        <v>11</v>
      </c>
      <c r="E1096" s="3" t="n">
        <v>2</v>
      </c>
      <c r="F1096" s="24" t="n">
        <v>-0.678061068</v>
      </c>
    </row>
    <row r="1097" customFormat="false" ht="15" hidden="false" customHeight="false" outlineLevel="0" collapsed="false">
      <c r="A1097" s="3" t="n">
        <v>1096</v>
      </c>
      <c r="B1097" s="3" t="n">
        <v>1095</v>
      </c>
      <c r="C1097" s="3" t="n">
        <v>1</v>
      </c>
      <c r="D1097" s="3" t="n">
        <v>11</v>
      </c>
      <c r="E1097" s="3" t="n">
        <v>3</v>
      </c>
      <c r="F1097" s="24" t="n">
        <v>-0.678061068</v>
      </c>
    </row>
    <row r="1098" customFormat="false" ht="15" hidden="false" customHeight="false" outlineLevel="0" collapsed="false">
      <c r="A1098" s="3" t="n">
        <v>1097</v>
      </c>
      <c r="B1098" s="3" t="n">
        <v>1096</v>
      </c>
      <c r="C1098" s="3" t="n">
        <v>1</v>
      </c>
      <c r="D1098" s="3" t="n">
        <v>11</v>
      </c>
      <c r="E1098" s="3" t="n">
        <v>4</v>
      </c>
      <c r="F1098" s="24" t="n">
        <v>-0.678061068</v>
      </c>
    </row>
    <row r="1099" customFormat="false" ht="15" hidden="false" customHeight="false" outlineLevel="0" collapsed="false">
      <c r="A1099" s="3" t="n">
        <v>1098</v>
      </c>
      <c r="B1099" s="3" t="n">
        <v>1097</v>
      </c>
      <c r="C1099" s="3" t="n">
        <v>1</v>
      </c>
      <c r="D1099" s="3" t="n">
        <v>11</v>
      </c>
      <c r="E1099" s="3" t="n">
        <v>5</v>
      </c>
      <c r="F1099" s="24" t="n">
        <v>-0.678061068</v>
      </c>
    </row>
    <row r="1100" customFormat="false" ht="15" hidden="false" customHeight="false" outlineLevel="0" collapsed="false">
      <c r="A1100" s="3" t="n">
        <v>1099</v>
      </c>
      <c r="B1100" s="3" t="n">
        <v>1098</v>
      </c>
      <c r="C1100" s="3" t="n">
        <v>1</v>
      </c>
      <c r="D1100" s="3" t="n">
        <v>11</v>
      </c>
      <c r="E1100" s="3" t="n">
        <v>6</v>
      </c>
      <c r="F1100" s="24" t="n">
        <v>-0.678061068</v>
      </c>
    </row>
    <row r="1101" customFormat="false" ht="15" hidden="false" customHeight="false" outlineLevel="0" collapsed="false">
      <c r="A1101" s="3" t="n">
        <v>1100</v>
      </c>
      <c r="B1101" s="3" t="n">
        <v>1099</v>
      </c>
      <c r="C1101" s="3" t="n">
        <v>1</v>
      </c>
      <c r="D1101" s="3" t="n">
        <v>11</v>
      </c>
      <c r="E1101" s="3" t="n">
        <v>7</v>
      </c>
      <c r="F1101" s="24" t="n">
        <v>-0.678061068</v>
      </c>
    </row>
    <row r="1102" customFormat="false" ht="15" hidden="false" customHeight="false" outlineLevel="0" collapsed="false">
      <c r="A1102" s="3" t="n">
        <v>1101</v>
      </c>
      <c r="B1102" s="3" t="n">
        <v>1100</v>
      </c>
      <c r="C1102" s="3" t="n">
        <v>1</v>
      </c>
      <c r="D1102" s="3" t="n">
        <v>11</v>
      </c>
      <c r="E1102" s="3" t="n">
        <v>8</v>
      </c>
      <c r="F1102" s="24" t="n">
        <v>-0.678061068</v>
      </c>
    </row>
    <row r="1103" customFormat="false" ht="15" hidden="false" customHeight="false" outlineLevel="0" collapsed="false">
      <c r="A1103" s="3" t="n">
        <v>1102</v>
      </c>
      <c r="B1103" s="3" t="n">
        <v>1101</v>
      </c>
      <c r="C1103" s="3" t="n">
        <v>1</v>
      </c>
      <c r="D1103" s="3" t="n">
        <v>11</v>
      </c>
      <c r="E1103" s="3" t="n">
        <v>9</v>
      </c>
      <c r="F1103" s="24" t="n">
        <v>-0.678061068</v>
      </c>
    </row>
    <row r="1104" customFormat="false" ht="15" hidden="false" customHeight="false" outlineLevel="0" collapsed="false">
      <c r="A1104" s="3" t="n">
        <v>1103</v>
      </c>
      <c r="B1104" s="3" t="n">
        <v>1102</v>
      </c>
      <c r="C1104" s="3" t="n">
        <v>1</v>
      </c>
      <c r="D1104" s="3" t="n">
        <v>11</v>
      </c>
      <c r="E1104" s="3" t="n">
        <v>10</v>
      </c>
      <c r="F1104" s="24" t="n">
        <v>-0.63993609</v>
      </c>
    </row>
    <row r="1105" customFormat="false" ht="15" hidden="false" customHeight="false" outlineLevel="0" collapsed="false">
      <c r="A1105" s="3" t="n">
        <v>1104</v>
      </c>
      <c r="B1105" s="3" t="n">
        <v>1103</v>
      </c>
      <c r="C1105" s="3" t="n">
        <v>1</v>
      </c>
      <c r="D1105" s="3" t="n">
        <v>11</v>
      </c>
      <c r="E1105" s="3" t="n">
        <v>11</v>
      </c>
      <c r="F1105" s="24" t="n">
        <v>-0.491322666</v>
      </c>
    </row>
    <row r="1106" customFormat="false" ht="15" hidden="false" customHeight="false" outlineLevel="0" collapsed="false">
      <c r="A1106" s="3" t="n">
        <v>1105</v>
      </c>
      <c r="B1106" s="3" t="n">
        <v>1104</v>
      </c>
      <c r="C1106" s="3" t="n">
        <v>1</v>
      </c>
      <c r="D1106" s="3" t="n">
        <v>11</v>
      </c>
      <c r="E1106" s="3" t="n">
        <v>12</v>
      </c>
      <c r="F1106" s="24" t="n">
        <v>-0.570554137</v>
      </c>
    </row>
    <row r="1107" customFormat="false" ht="15" hidden="false" customHeight="false" outlineLevel="0" collapsed="false">
      <c r="A1107" s="3" t="n">
        <v>1106</v>
      </c>
      <c r="B1107" s="3" t="n">
        <v>1105</v>
      </c>
      <c r="C1107" s="3" t="n">
        <v>1</v>
      </c>
      <c r="D1107" s="3" t="n">
        <v>11</v>
      </c>
      <c r="E1107" s="3" t="n">
        <v>13</v>
      </c>
      <c r="F1107" s="24" t="n">
        <v>-0.784096301</v>
      </c>
    </row>
    <row r="1108" customFormat="false" ht="15" hidden="false" customHeight="false" outlineLevel="0" collapsed="false">
      <c r="A1108" s="3" t="n">
        <v>1107</v>
      </c>
      <c r="B1108" s="3" t="n">
        <v>1106</v>
      </c>
      <c r="C1108" s="3" t="n">
        <v>1</v>
      </c>
      <c r="D1108" s="3" t="n">
        <v>11</v>
      </c>
      <c r="E1108" s="3" t="n">
        <v>14</v>
      </c>
      <c r="F1108" s="24" t="n">
        <v>-0.436316699</v>
      </c>
    </row>
    <row r="1109" customFormat="false" ht="15" hidden="false" customHeight="false" outlineLevel="0" collapsed="false">
      <c r="A1109" s="3" t="n">
        <v>1108</v>
      </c>
      <c r="B1109" s="3" t="n">
        <v>1107</v>
      </c>
      <c r="C1109" s="3" t="n">
        <v>1</v>
      </c>
      <c r="D1109" s="3" t="n">
        <v>11</v>
      </c>
      <c r="E1109" s="3" t="n">
        <v>15</v>
      </c>
      <c r="F1109" s="24" t="n">
        <v>-0.667736113</v>
      </c>
    </row>
    <row r="1110" customFormat="false" ht="15" hidden="false" customHeight="false" outlineLevel="0" collapsed="false">
      <c r="A1110" s="3" t="n">
        <v>1109</v>
      </c>
      <c r="B1110" s="3" t="n">
        <v>1108</v>
      </c>
      <c r="C1110" s="3" t="n">
        <v>1</v>
      </c>
      <c r="D1110" s="3" t="n">
        <v>11</v>
      </c>
      <c r="E1110" s="3" t="n">
        <v>16</v>
      </c>
      <c r="F1110" s="24" t="n">
        <v>-0.659011424</v>
      </c>
    </row>
    <row r="1111" customFormat="false" ht="15" hidden="false" customHeight="false" outlineLevel="0" collapsed="false">
      <c r="A1111" s="3" t="n">
        <v>1110</v>
      </c>
      <c r="B1111" s="3" t="n">
        <v>1109</v>
      </c>
      <c r="C1111" s="3" t="n">
        <v>1</v>
      </c>
      <c r="D1111" s="3" t="n">
        <v>11</v>
      </c>
      <c r="E1111" s="3" t="n">
        <v>17</v>
      </c>
      <c r="F1111" s="24" t="n">
        <v>-0.0104731321</v>
      </c>
    </row>
    <row r="1112" customFormat="false" ht="15" hidden="false" customHeight="false" outlineLevel="0" collapsed="false">
      <c r="A1112" s="3" t="n">
        <v>1111</v>
      </c>
      <c r="B1112" s="3" t="n">
        <v>1110</v>
      </c>
      <c r="C1112" s="3" t="n">
        <v>1</v>
      </c>
      <c r="D1112" s="3" t="n">
        <v>11</v>
      </c>
      <c r="E1112" s="3" t="n">
        <v>18</v>
      </c>
      <c r="F1112" s="24" t="n">
        <v>2.4266386</v>
      </c>
    </row>
    <row r="1113" customFormat="false" ht="15" hidden="false" customHeight="false" outlineLevel="0" collapsed="false">
      <c r="A1113" s="3" t="n">
        <v>1112</v>
      </c>
      <c r="B1113" s="3" t="n">
        <v>1111</v>
      </c>
      <c r="C1113" s="3" t="n">
        <v>1</v>
      </c>
      <c r="D1113" s="3" t="n">
        <v>11</v>
      </c>
      <c r="E1113" s="3" t="n">
        <v>19</v>
      </c>
      <c r="F1113" s="24" t="n">
        <v>3.39777327</v>
      </c>
    </row>
    <row r="1114" customFormat="false" ht="15" hidden="false" customHeight="false" outlineLevel="0" collapsed="false">
      <c r="A1114" s="3" t="n">
        <v>1113</v>
      </c>
      <c r="B1114" s="3" t="n">
        <v>1112</v>
      </c>
      <c r="C1114" s="3" t="n">
        <v>1</v>
      </c>
      <c r="D1114" s="3" t="n">
        <v>11</v>
      </c>
      <c r="E1114" s="3" t="n">
        <v>20</v>
      </c>
      <c r="F1114" s="24" t="n">
        <v>0.783611178</v>
      </c>
    </row>
    <row r="1115" customFormat="false" ht="15" hidden="false" customHeight="false" outlineLevel="0" collapsed="false">
      <c r="A1115" s="3" t="n">
        <v>1114</v>
      </c>
      <c r="B1115" s="3" t="n">
        <v>1113</v>
      </c>
      <c r="C1115" s="3" t="n">
        <v>1</v>
      </c>
      <c r="D1115" s="3" t="n">
        <v>11</v>
      </c>
      <c r="E1115" s="3" t="n">
        <v>21</v>
      </c>
      <c r="F1115" s="24" t="n">
        <v>-0.898385525</v>
      </c>
    </row>
    <row r="1116" customFormat="false" ht="15" hidden="false" customHeight="false" outlineLevel="0" collapsed="false">
      <c r="A1116" s="3" t="n">
        <v>1115</v>
      </c>
      <c r="B1116" s="3" t="n">
        <v>1114</v>
      </c>
      <c r="C1116" s="3" t="n">
        <v>1</v>
      </c>
      <c r="D1116" s="3" t="n">
        <v>11</v>
      </c>
      <c r="E1116" s="3" t="n">
        <v>22</v>
      </c>
      <c r="F1116" s="24" t="n">
        <v>-1.08292556</v>
      </c>
    </row>
    <row r="1117" customFormat="false" ht="15" hidden="false" customHeight="false" outlineLevel="0" collapsed="false">
      <c r="A1117" s="3" t="n">
        <v>1116</v>
      </c>
      <c r="B1117" s="3" t="n">
        <v>1115</v>
      </c>
      <c r="C1117" s="3" t="n">
        <v>1</v>
      </c>
      <c r="D1117" s="3" t="n">
        <v>11</v>
      </c>
      <c r="E1117" s="3" t="n">
        <v>23</v>
      </c>
      <c r="F1117" s="24" t="n">
        <v>-0.678061068</v>
      </c>
    </row>
    <row r="1118" customFormat="false" ht="15" hidden="false" customHeight="false" outlineLevel="0" collapsed="false">
      <c r="A1118" s="3" t="n">
        <v>1117</v>
      </c>
      <c r="B1118" s="3" t="n">
        <v>1116</v>
      </c>
      <c r="C1118" s="3" t="n">
        <v>1</v>
      </c>
      <c r="D1118" s="3" t="n">
        <v>11</v>
      </c>
      <c r="E1118" s="3" t="n">
        <v>24</v>
      </c>
      <c r="F1118" s="24" t="n">
        <v>-0.678061068</v>
      </c>
    </row>
    <row r="1119" customFormat="false" ht="15" hidden="false" customHeight="false" outlineLevel="0" collapsed="false">
      <c r="A1119" s="3" t="n">
        <v>1118</v>
      </c>
      <c r="B1119" s="3" t="n">
        <v>1117</v>
      </c>
      <c r="C1119" s="3" t="n">
        <v>1</v>
      </c>
      <c r="D1119" s="3" t="n">
        <v>11</v>
      </c>
      <c r="E1119" s="3" t="n">
        <v>25</v>
      </c>
      <c r="F1119" s="24" t="n">
        <v>-0.678061068</v>
      </c>
    </row>
    <row r="1120" customFormat="false" ht="15" hidden="false" customHeight="false" outlineLevel="0" collapsed="false">
      <c r="A1120" s="3" t="n">
        <v>1119</v>
      </c>
      <c r="B1120" s="3" t="n">
        <v>1118</v>
      </c>
      <c r="C1120" s="3" t="n">
        <v>1</v>
      </c>
      <c r="D1120" s="3" t="n">
        <v>11</v>
      </c>
      <c r="E1120" s="3" t="n">
        <v>26</v>
      </c>
      <c r="F1120" s="24" t="n">
        <v>-0.678061068</v>
      </c>
    </row>
    <row r="1121" customFormat="false" ht="15" hidden="false" customHeight="false" outlineLevel="0" collapsed="false">
      <c r="A1121" s="3" t="n">
        <v>1120</v>
      </c>
      <c r="B1121" s="3" t="n">
        <v>1119</v>
      </c>
      <c r="C1121" s="3" t="n">
        <v>1</v>
      </c>
      <c r="D1121" s="3" t="n">
        <v>11</v>
      </c>
      <c r="E1121" s="3" t="n">
        <v>27</v>
      </c>
      <c r="F1121" s="24" t="n">
        <v>-0.401937425</v>
      </c>
    </row>
    <row r="1122" customFormat="false" ht="15" hidden="false" customHeight="false" outlineLevel="0" collapsed="false">
      <c r="A1122" s="3" t="n">
        <v>1121</v>
      </c>
      <c r="B1122" s="3" t="n">
        <v>1120</v>
      </c>
      <c r="C1122" s="3" t="n">
        <v>1</v>
      </c>
      <c r="D1122" s="3" t="n">
        <v>12</v>
      </c>
      <c r="E1122" s="3" t="n">
        <v>0</v>
      </c>
      <c r="F1122" s="24" t="n">
        <v>-0.749848783</v>
      </c>
    </row>
    <row r="1123" customFormat="false" ht="15" hidden="false" customHeight="false" outlineLevel="0" collapsed="false">
      <c r="A1123" s="3" t="n">
        <v>1122</v>
      </c>
      <c r="B1123" s="3" t="n">
        <v>1121</v>
      </c>
      <c r="C1123" s="3" t="n">
        <v>1</v>
      </c>
      <c r="D1123" s="3" t="n">
        <v>12</v>
      </c>
      <c r="E1123" s="3" t="n">
        <v>1</v>
      </c>
      <c r="F1123" s="24" t="n">
        <v>-0.678061068</v>
      </c>
    </row>
    <row r="1124" customFormat="false" ht="15" hidden="false" customHeight="false" outlineLevel="0" collapsed="false">
      <c r="A1124" s="3" t="n">
        <v>1123</v>
      </c>
      <c r="B1124" s="3" t="n">
        <v>1122</v>
      </c>
      <c r="C1124" s="3" t="n">
        <v>1</v>
      </c>
      <c r="D1124" s="3" t="n">
        <v>12</v>
      </c>
      <c r="E1124" s="3" t="n">
        <v>2</v>
      </c>
      <c r="F1124" s="24" t="n">
        <v>-0.678061068</v>
      </c>
    </row>
    <row r="1125" customFormat="false" ht="15" hidden="false" customHeight="false" outlineLevel="0" collapsed="false">
      <c r="A1125" s="3" t="n">
        <v>1124</v>
      </c>
      <c r="B1125" s="3" t="n">
        <v>1123</v>
      </c>
      <c r="C1125" s="3" t="n">
        <v>1</v>
      </c>
      <c r="D1125" s="3" t="n">
        <v>12</v>
      </c>
      <c r="E1125" s="3" t="n">
        <v>3</v>
      </c>
      <c r="F1125" s="24" t="n">
        <v>-0.678061068</v>
      </c>
    </row>
    <row r="1126" customFormat="false" ht="15" hidden="false" customHeight="false" outlineLevel="0" collapsed="false">
      <c r="A1126" s="3" t="n">
        <v>1125</v>
      </c>
      <c r="B1126" s="3" t="n">
        <v>1124</v>
      </c>
      <c r="C1126" s="3" t="n">
        <v>1</v>
      </c>
      <c r="D1126" s="3" t="n">
        <v>12</v>
      </c>
      <c r="E1126" s="3" t="n">
        <v>4</v>
      </c>
      <c r="F1126" s="24" t="n">
        <v>-0.678061068</v>
      </c>
    </row>
    <row r="1127" customFormat="false" ht="15" hidden="false" customHeight="false" outlineLevel="0" collapsed="false">
      <c r="A1127" s="3" t="n">
        <v>1126</v>
      </c>
      <c r="B1127" s="3" t="n">
        <v>1125</v>
      </c>
      <c r="C1127" s="3" t="n">
        <v>1</v>
      </c>
      <c r="D1127" s="3" t="n">
        <v>12</v>
      </c>
      <c r="E1127" s="3" t="n">
        <v>5</v>
      </c>
      <c r="F1127" s="24" t="n">
        <v>-0.678061068</v>
      </c>
    </row>
    <row r="1128" customFormat="false" ht="15" hidden="false" customHeight="false" outlineLevel="0" collapsed="false">
      <c r="A1128" s="3" t="n">
        <v>1127</v>
      </c>
      <c r="B1128" s="3" t="n">
        <v>1126</v>
      </c>
      <c r="C1128" s="3" t="n">
        <v>1</v>
      </c>
      <c r="D1128" s="3" t="n">
        <v>12</v>
      </c>
      <c r="E1128" s="3" t="n">
        <v>6</v>
      </c>
      <c r="F1128" s="24" t="n">
        <v>-0.678061068</v>
      </c>
    </row>
    <row r="1129" customFormat="false" ht="15" hidden="false" customHeight="false" outlineLevel="0" collapsed="false">
      <c r="A1129" s="3" t="n">
        <v>1128</v>
      </c>
      <c r="B1129" s="3" t="n">
        <v>1127</v>
      </c>
      <c r="C1129" s="3" t="n">
        <v>1</v>
      </c>
      <c r="D1129" s="3" t="n">
        <v>12</v>
      </c>
      <c r="E1129" s="3" t="n">
        <v>7</v>
      </c>
      <c r="F1129" s="24" t="n">
        <v>-0.678061068</v>
      </c>
    </row>
    <row r="1130" customFormat="false" ht="15" hidden="false" customHeight="false" outlineLevel="0" collapsed="false">
      <c r="A1130" s="3" t="n">
        <v>1129</v>
      </c>
      <c r="B1130" s="3" t="n">
        <v>1128</v>
      </c>
      <c r="C1130" s="3" t="n">
        <v>1</v>
      </c>
      <c r="D1130" s="3" t="n">
        <v>12</v>
      </c>
      <c r="E1130" s="3" t="n">
        <v>8</v>
      </c>
      <c r="F1130" s="24" t="n">
        <v>-0.678061068</v>
      </c>
    </row>
    <row r="1131" customFormat="false" ht="15" hidden="false" customHeight="false" outlineLevel="0" collapsed="false">
      <c r="A1131" s="3" t="n">
        <v>1130</v>
      </c>
      <c r="B1131" s="3" t="n">
        <v>1129</v>
      </c>
      <c r="C1131" s="3" t="n">
        <v>1</v>
      </c>
      <c r="D1131" s="3" t="n">
        <v>12</v>
      </c>
      <c r="E1131" s="3" t="n">
        <v>9</v>
      </c>
      <c r="F1131" s="24" t="n">
        <v>-0.678061068</v>
      </c>
    </row>
    <row r="1132" customFormat="false" ht="15" hidden="false" customHeight="false" outlineLevel="0" collapsed="false">
      <c r="A1132" s="3" t="n">
        <v>1131</v>
      </c>
      <c r="B1132" s="3" t="n">
        <v>1130</v>
      </c>
      <c r="C1132" s="3" t="n">
        <v>1</v>
      </c>
      <c r="D1132" s="3" t="n">
        <v>12</v>
      </c>
      <c r="E1132" s="3" t="n">
        <v>10</v>
      </c>
      <c r="F1132" s="24" t="n">
        <v>-0.678061068</v>
      </c>
    </row>
    <row r="1133" customFormat="false" ht="15" hidden="false" customHeight="false" outlineLevel="0" collapsed="false">
      <c r="A1133" s="3" t="n">
        <v>1132</v>
      </c>
      <c r="B1133" s="3" t="n">
        <v>1131</v>
      </c>
      <c r="C1133" s="3" t="n">
        <v>1</v>
      </c>
      <c r="D1133" s="3" t="n">
        <v>12</v>
      </c>
      <c r="E1133" s="3" t="n">
        <v>11</v>
      </c>
      <c r="F1133" s="24" t="n">
        <v>-0.678061068</v>
      </c>
    </row>
    <row r="1134" customFormat="false" ht="15" hidden="false" customHeight="false" outlineLevel="0" collapsed="false">
      <c r="A1134" s="3" t="n">
        <v>1133</v>
      </c>
      <c r="B1134" s="3" t="n">
        <v>1132</v>
      </c>
      <c r="C1134" s="3" t="n">
        <v>1</v>
      </c>
      <c r="D1134" s="3" t="n">
        <v>12</v>
      </c>
      <c r="E1134" s="3" t="n">
        <v>12</v>
      </c>
      <c r="F1134" s="24" t="n">
        <v>-0.678061068</v>
      </c>
    </row>
    <row r="1135" customFormat="false" ht="15" hidden="false" customHeight="false" outlineLevel="0" collapsed="false">
      <c r="A1135" s="3" t="n">
        <v>1134</v>
      </c>
      <c r="B1135" s="3" t="n">
        <v>1133</v>
      </c>
      <c r="C1135" s="3" t="n">
        <v>1</v>
      </c>
      <c r="D1135" s="3" t="n">
        <v>12</v>
      </c>
      <c r="E1135" s="3" t="n">
        <v>13</v>
      </c>
      <c r="F1135" s="24" t="n">
        <v>-0.678061068</v>
      </c>
    </row>
    <row r="1136" customFormat="false" ht="15" hidden="false" customHeight="false" outlineLevel="0" collapsed="false">
      <c r="A1136" s="3" t="n">
        <v>1135</v>
      </c>
      <c r="B1136" s="3" t="n">
        <v>1134</v>
      </c>
      <c r="C1136" s="3" t="n">
        <v>1</v>
      </c>
      <c r="D1136" s="3" t="n">
        <v>12</v>
      </c>
      <c r="E1136" s="3" t="n">
        <v>14</v>
      </c>
      <c r="F1136" s="24" t="n">
        <v>-0.678061068</v>
      </c>
    </row>
    <row r="1137" customFormat="false" ht="15" hidden="false" customHeight="false" outlineLevel="0" collapsed="false">
      <c r="A1137" s="3" t="n">
        <v>1136</v>
      </c>
      <c r="B1137" s="3" t="n">
        <v>1135</v>
      </c>
      <c r="C1137" s="3" t="n">
        <v>1</v>
      </c>
      <c r="D1137" s="3" t="n">
        <v>12</v>
      </c>
      <c r="E1137" s="3" t="n">
        <v>15</v>
      </c>
      <c r="F1137" s="24" t="n">
        <v>-0.678061068</v>
      </c>
    </row>
    <row r="1138" customFormat="false" ht="15" hidden="false" customHeight="false" outlineLevel="0" collapsed="false">
      <c r="A1138" s="3" t="n">
        <v>1137</v>
      </c>
      <c r="B1138" s="3" t="n">
        <v>1136</v>
      </c>
      <c r="C1138" s="3" t="n">
        <v>1</v>
      </c>
      <c r="D1138" s="3" t="n">
        <v>12</v>
      </c>
      <c r="E1138" s="3" t="n">
        <v>16</v>
      </c>
      <c r="F1138" s="24" t="n">
        <v>-0.415438324</v>
      </c>
    </row>
    <row r="1139" customFormat="false" ht="15" hidden="false" customHeight="false" outlineLevel="0" collapsed="false">
      <c r="A1139" s="3" t="n">
        <v>1138</v>
      </c>
      <c r="B1139" s="3" t="n">
        <v>1137</v>
      </c>
      <c r="C1139" s="3" t="n">
        <v>1</v>
      </c>
      <c r="D1139" s="3" t="n">
        <v>12</v>
      </c>
      <c r="E1139" s="3" t="n">
        <v>17</v>
      </c>
      <c r="F1139" s="24" t="n">
        <v>1.57103109</v>
      </c>
    </row>
    <row r="1140" customFormat="false" ht="15" hidden="false" customHeight="false" outlineLevel="0" collapsed="false">
      <c r="A1140" s="3" t="n">
        <v>1139</v>
      </c>
      <c r="B1140" s="3" t="n">
        <v>1138</v>
      </c>
      <c r="C1140" s="3" t="n">
        <v>1</v>
      </c>
      <c r="D1140" s="3" t="n">
        <v>12</v>
      </c>
      <c r="E1140" s="3" t="n">
        <v>18</v>
      </c>
      <c r="F1140" s="24" t="n">
        <v>3.38857841</v>
      </c>
    </row>
    <row r="1141" customFormat="false" ht="15" hidden="false" customHeight="false" outlineLevel="0" collapsed="false">
      <c r="A1141" s="3" t="n">
        <v>1140</v>
      </c>
      <c r="B1141" s="3" t="n">
        <v>1139</v>
      </c>
      <c r="C1141" s="3" t="n">
        <v>1</v>
      </c>
      <c r="D1141" s="3" t="n">
        <v>12</v>
      </c>
      <c r="E1141" s="3" t="n">
        <v>19</v>
      </c>
      <c r="F1141" s="24" t="n">
        <v>2.8036952</v>
      </c>
    </row>
    <row r="1142" customFormat="false" ht="15" hidden="false" customHeight="false" outlineLevel="0" collapsed="false">
      <c r="A1142" s="3" t="n">
        <v>1141</v>
      </c>
      <c r="B1142" s="3" t="n">
        <v>1140</v>
      </c>
      <c r="C1142" s="3" t="n">
        <v>1</v>
      </c>
      <c r="D1142" s="3" t="n">
        <v>12</v>
      </c>
      <c r="E1142" s="3" t="n">
        <v>20</v>
      </c>
      <c r="F1142" s="24" t="n">
        <v>-0.227665603</v>
      </c>
    </row>
    <row r="1143" customFormat="false" ht="15" hidden="false" customHeight="false" outlineLevel="0" collapsed="false">
      <c r="A1143" s="3" t="n">
        <v>1142</v>
      </c>
      <c r="B1143" s="3" t="n">
        <v>1141</v>
      </c>
      <c r="C1143" s="3" t="n">
        <v>1</v>
      </c>
      <c r="D1143" s="3" t="n">
        <v>12</v>
      </c>
      <c r="E1143" s="3" t="n">
        <v>21</v>
      </c>
      <c r="F1143" s="24" t="n">
        <v>-1.32667863</v>
      </c>
    </row>
    <row r="1144" customFormat="false" ht="15" hidden="false" customHeight="false" outlineLevel="0" collapsed="false">
      <c r="A1144" s="3" t="n">
        <v>1143</v>
      </c>
      <c r="B1144" s="3" t="n">
        <v>1142</v>
      </c>
      <c r="C1144" s="3" t="n">
        <v>1</v>
      </c>
      <c r="D1144" s="3" t="n">
        <v>12</v>
      </c>
      <c r="E1144" s="3" t="n">
        <v>22</v>
      </c>
      <c r="F1144" s="24" t="n">
        <v>-0.756656349</v>
      </c>
    </row>
    <row r="1145" customFormat="false" ht="15" hidden="false" customHeight="false" outlineLevel="0" collapsed="false">
      <c r="A1145" s="3" t="n">
        <v>1144</v>
      </c>
      <c r="B1145" s="3" t="n">
        <v>1143</v>
      </c>
      <c r="C1145" s="3" t="n">
        <v>1</v>
      </c>
      <c r="D1145" s="3" t="n">
        <v>12</v>
      </c>
      <c r="E1145" s="3" t="n">
        <v>23</v>
      </c>
      <c r="F1145" s="24" t="n">
        <v>-0.678061068</v>
      </c>
    </row>
    <row r="1146" customFormat="false" ht="15" hidden="false" customHeight="false" outlineLevel="0" collapsed="false">
      <c r="A1146" s="3" t="n">
        <v>1145</v>
      </c>
      <c r="B1146" s="3" t="n">
        <v>1144</v>
      </c>
      <c r="C1146" s="3" t="n">
        <v>1</v>
      </c>
      <c r="D1146" s="3" t="n">
        <v>12</v>
      </c>
      <c r="E1146" s="3" t="n">
        <v>24</v>
      </c>
      <c r="F1146" s="24" t="n">
        <v>-0.678061068</v>
      </c>
    </row>
    <row r="1147" customFormat="false" ht="15" hidden="false" customHeight="false" outlineLevel="0" collapsed="false">
      <c r="A1147" s="3" t="n">
        <v>1146</v>
      </c>
      <c r="B1147" s="3" t="n">
        <v>1145</v>
      </c>
      <c r="C1147" s="3" t="n">
        <v>1</v>
      </c>
      <c r="D1147" s="3" t="n">
        <v>12</v>
      </c>
      <c r="E1147" s="3" t="n">
        <v>25</v>
      </c>
      <c r="F1147" s="24" t="n">
        <v>-0.678061068</v>
      </c>
    </row>
    <row r="1148" customFormat="false" ht="15" hidden="false" customHeight="false" outlineLevel="0" collapsed="false">
      <c r="A1148" s="3" t="n">
        <v>1147</v>
      </c>
      <c r="B1148" s="3" t="n">
        <v>1146</v>
      </c>
      <c r="C1148" s="3" t="n">
        <v>1</v>
      </c>
      <c r="D1148" s="3" t="n">
        <v>12</v>
      </c>
      <c r="E1148" s="3" t="n">
        <v>26</v>
      </c>
      <c r="F1148" s="24" t="n">
        <v>-0.678061068</v>
      </c>
    </row>
    <row r="1149" customFormat="false" ht="15" hidden="false" customHeight="false" outlineLevel="0" collapsed="false">
      <c r="A1149" s="3" t="n">
        <v>1148</v>
      </c>
      <c r="B1149" s="3" t="n">
        <v>1147</v>
      </c>
      <c r="C1149" s="3" t="n">
        <v>1</v>
      </c>
      <c r="D1149" s="3" t="n">
        <v>12</v>
      </c>
      <c r="E1149" s="3" t="n">
        <v>27</v>
      </c>
      <c r="F1149" s="24" t="n">
        <v>-0.401937425</v>
      </c>
    </row>
    <row r="1150" customFormat="false" ht="15" hidden="false" customHeight="false" outlineLevel="0" collapsed="false">
      <c r="A1150" s="3" t="n">
        <v>1149</v>
      </c>
      <c r="B1150" s="3" t="n">
        <v>1148</v>
      </c>
      <c r="C1150" s="3" t="n">
        <v>1</v>
      </c>
      <c r="D1150" s="3" t="n">
        <v>13</v>
      </c>
      <c r="E1150" s="3" t="n">
        <v>0</v>
      </c>
      <c r="F1150" s="24" t="n">
        <v>-0.749848783</v>
      </c>
    </row>
    <row r="1151" customFormat="false" ht="15" hidden="false" customHeight="false" outlineLevel="0" collapsed="false">
      <c r="A1151" s="3" t="n">
        <v>1150</v>
      </c>
      <c r="B1151" s="3" t="n">
        <v>1149</v>
      </c>
      <c r="C1151" s="3" t="n">
        <v>1</v>
      </c>
      <c r="D1151" s="3" t="n">
        <v>13</v>
      </c>
      <c r="E1151" s="3" t="n">
        <v>1</v>
      </c>
      <c r="F1151" s="24" t="n">
        <v>-0.678061068</v>
      </c>
    </row>
    <row r="1152" customFormat="false" ht="15" hidden="false" customHeight="false" outlineLevel="0" collapsed="false">
      <c r="A1152" s="3" t="n">
        <v>1151</v>
      </c>
      <c r="B1152" s="3" t="n">
        <v>1150</v>
      </c>
      <c r="C1152" s="3" t="n">
        <v>1</v>
      </c>
      <c r="D1152" s="3" t="n">
        <v>13</v>
      </c>
      <c r="E1152" s="3" t="n">
        <v>2</v>
      </c>
      <c r="F1152" s="24" t="n">
        <v>-0.678061068</v>
      </c>
    </row>
    <row r="1153" customFormat="false" ht="15" hidden="false" customHeight="false" outlineLevel="0" collapsed="false">
      <c r="A1153" s="3" t="n">
        <v>1152</v>
      </c>
      <c r="B1153" s="3" t="n">
        <v>1151</v>
      </c>
      <c r="C1153" s="3" t="n">
        <v>1</v>
      </c>
      <c r="D1153" s="3" t="n">
        <v>13</v>
      </c>
      <c r="E1153" s="3" t="n">
        <v>3</v>
      </c>
      <c r="F1153" s="24" t="n">
        <v>-0.678061068</v>
      </c>
    </row>
    <row r="1154" customFormat="false" ht="15" hidden="false" customHeight="false" outlineLevel="0" collapsed="false">
      <c r="A1154" s="3" t="n">
        <v>1153</v>
      </c>
      <c r="B1154" s="3" t="n">
        <v>1152</v>
      </c>
      <c r="C1154" s="3" t="n">
        <v>1</v>
      </c>
      <c r="D1154" s="3" t="n">
        <v>13</v>
      </c>
      <c r="E1154" s="3" t="n">
        <v>4</v>
      </c>
      <c r="F1154" s="24" t="n">
        <v>-0.678061068</v>
      </c>
    </row>
    <row r="1155" customFormat="false" ht="15" hidden="false" customHeight="false" outlineLevel="0" collapsed="false">
      <c r="A1155" s="3" t="n">
        <v>1154</v>
      </c>
      <c r="B1155" s="3" t="n">
        <v>1153</v>
      </c>
      <c r="C1155" s="3" t="n">
        <v>1</v>
      </c>
      <c r="D1155" s="3" t="n">
        <v>13</v>
      </c>
      <c r="E1155" s="3" t="n">
        <v>5</v>
      </c>
      <c r="F1155" s="24" t="n">
        <v>-0.678061068</v>
      </c>
    </row>
    <row r="1156" customFormat="false" ht="15" hidden="false" customHeight="false" outlineLevel="0" collapsed="false">
      <c r="A1156" s="3" t="n">
        <v>1155</v>
      </c>
      <c r="B1156" s="3" t="n">
        <v>1154</v>
      </c>
      <c r="C1156" s="3" t="n">
        <v>1</v>
      </c>
      <c r="D1156" s="3" t="n">
        <v>13</v>
      </c>
      <c r="E1156" s="3" t="n">
        <v>6</v>
      </c>
      <c r="F1156" s="24" t="n">
        <v>-0.678061068</v>
      </c>
    </row>
    <row r="1157" customFormat="false" ht="15" hidden="false" customHeight="false" outlineLevel="0" collapsed="false">
      <c r="A1157" s="3" t="n">
        <v>1156</v>
      </c>
      <c r="B1157" s="3" t="n">
        <v>1155</v>
      </c>
      <c r="C1157" s="3" t="n">
        <v>1</v>
      </c>
      <c r="D1157" s="3" t="n">
        <v>13</v>
      </c>
      <c r="E1157" s="3" t="n">
        <v>7</v>
      </c>
      <c r="F1157" s="24" t="n">
        <v>-0.678061068</v>
      </c>
    </row>
    <row r="1158" customFormat="false" ht="15" hidden="false" customHeight="false" outlineLevel="0" collapsed="false">
      <c r="A1158" s="3" t="n">
        <v>1157</v>
      </c>
      <c r="B1158" s="3" t="n">
        <v>1156</v>
      </c>
      <c r="C1158" s="3" t="n">
        <v>1</v>
      </c>
      <c r="D1158" s="3" t="n">
        <v>13</v>
      </c>
      <c r="E1158" s="3" t="n">
        <v>8</v>
      </c>
      <c r="F1158" s="24" t="n">
        <v>-0.678061068</v>
      </c>
    </row>
    <row r="1159" customFormat="false" ht="15" hidden="false" customHeight="false" outlineLevel="0" collapsed="false">
      <c r="A1159" s="3" t="n">
        <v>1158</v>
      </c>
      <c r="B1159" s="3" t="n">
        <v>1157</v>
      </c>
      <c r="C1159" s="3" t="n">
        <v>1</v>
      </c>
      <c r="D1159" s="3" t="n">
        <v>13</v>
      </c>
      <c r="E1159" s="3" t="n">
        <v>9</v>
      </c>
      <c r="F1159" s="24" t="n">
        <v>-0.678061068</v>
      </c>
    </row>
    <row r="1160" customFormat="false" ht="15" hidden="false" customHeight="false" outlineLevel="0" collapsed="false">
      <c r="A1160" s="3" t="n">
        <v>1159</v>
      </c>
      <c r="B1160" s="3" t="n">
        <v>1158</v>
      </c>
      <c r="C1160" s="3" t="n">
        <v>1</v>
      </c>
      <c r="D1160" s="3" t="n">
        <v>13</v>
      </c>
      <c r="E1160" s="3" t="n">
        <v>10</v>
      </c>
      <c r="F1160" s="24" t="n">
        <v>-0.678061068</v>
      </c>
    </row>
    <row r="1161" customFormat="false" ht="15" hidden="false" customHeight="false" outlineLevel="0" collapsed="false">
      <c r="A1161" s="3" t="n">
        <v>1160</v>
      </c>
      <c r="B1161" s="3" t="n">
        <v>1159</v>
      </c>
      <c r="C1161" s="3" t="n">
        <v>1</v>
      </c>
      <c r="D1161" s="3" t="n">
        <v>13</v>
      </c>
      <c r="E1161" s="3" t="n">
        <v>11</v>
      </c>
      <c r="F1161" s="24" t="n">
        <v>-0.678061068</v>
      </c>
    </row>
    <row r="1162" customFormat="false" ht="15" hidden="false" customHeight="false" outlineLevel="0" collapsed="false">
      <c r="A1162" s="3" t="n">
        <v>1161</v>
      </c>
      <c r="B1162" s="3" t="n">
        <v>1160</v>
      </c>
      <c r="C1162" s="3" t="n">
        <v>1</v>
      </c>
      <c r="D1162" s="3" t="n">
        <v>13</v>
      </c>
      <c r="E1162" s="3" t="n">
        <v>12</v>
      </c>
      <c r="F1162" s="24" t="n">
        <v>-0.678061068</v>
      </c>
    </row>
    <row r="1163" customFormat="false" ht="15" hidden="false" customHeight="false" outlineLevel="0" collapsed="false">
      <c r="A1163" s="3" t="n">
        <v>1162</v>
      </c>
      <c r="B1163" s="3" t="n">
        <v>1161</v>
      </c>
      <c r="C1163" s="3" t="n">
        <v>1</v>
      </c>
      <c r="D1163" s="3" t="n">
        <v>13</v>
      </c>
      <c r="E1163" s="3" t="n">
        <v>13</v>
      </c>
      <c r="F1163" s="24" t="n">
        <v>-0.678061068</v>
      </c>
    </row>
    <row r="1164" customFormat="false" ht="15" hidden="false" customHeight="false" outlineLevel="0" collapsed="false">
      <c r="A1164" s="3" t="n">
        <v>1163</v>
      </c>
      <c r="B1164" s="3" t="n">
        <v>1162</v>
      </c>
      <c r="C1164" s="3" t="n">
        <v>1</v>
      </c>
      <c r="D1164" s="3" t="n">
        <v>13</v>
      </c>
      <c r="E1164" s="3" t="n">
        <v>14</v>
      </c>
      <c r="F1164" s="24" t="n">
        <v>-0.678061068</v>
      </c>
    </row>
    <row r="1165" customFormat="false" ht="15" hidden="false" customHeight="false" outlineLevel="0" collapsed="false">
      <c r="A1165" s="3" t="n">
        <v>1164</v>
      </c>
      <c r="B1165" s="3" t="n">
        <v>1163</v>
      </c>
      <c r="C1165" s="3" t="n">
        <v>1</v>
      </c>
      <c r="D1165" s="3" t="n">
        <v>13</v>
      </c>
      <c r="E1165" s="3" t="n">
        <v>15</v>
      </c>
      <c r="F1165" s="24" t="n">
        <v>-0.606548131</v>
      </c>
    </row>
    <row r="1166" customFormat="false" ht="15" hidden="false" customHeight="false" outlineLevel="0" collapsed="false">
      <c r="A1166" s="3" t="n">
        <v>1165</v>
      </c>
      <c r="B1166" s="3" t="n">
        <v>1164</v>
      </c>
      <c r="C1166" s="3" t="n">
        <v>1</v>
      </c>
      <c r="D1166" s="3" t="n">
        <v>13</v>
      </c>
      <c r="E1166" s="3" t="n">
        <v>16</v>
      </c>
      <c r="F1166" s="24" t="n">
        <v>0.551829696</v>
      </c>
    </row>
    <row r="1167" customFormat="false" ht="15" hidden="false" customHeight="false" outlineLevel="0" collapsed="false">
      <c r="A1167" s="3" t="n">
        <v>1166</v>
      </c>
      <c r="B1167" s="3" t="n">
        <v>1165</v>
      </c>
      <c r="C1167" s="3" t="n">
        <v>1</v>
      </c>
      <c r="D1167" s="3" t="n">
        <v>13</v>
      </c>
      <c r="E1167" s="3" t="n">
        <v>17</v>
      </c>
      <c r="F1167" s="24" t="n">
        <v>2.86324453</v>
      </c>
    </row>
    <row r="1168" customFormat="false" ht="15" hidden="false" customHeight="false" outlineLevel="0" collapsed="false">
      <c r="A1168" s="3" t="n">
        <v>1167</v>
      </c>
      <c r="B1168" s="3" t="n">
        <v>1166</v>
      </c>
      <c r="C1168" s="3" t="n">
        <v>1</v>
      </c>
      <c r="D1168" s="3" t="n">
        <v>13</v>
      </c>
      <c r="E1168" s="3" t="n">
        <v>18</v>
      </c>
      <c r="F1168" s="24" t="n">
        <v>3.63434076</v>
      </c>
    </row>
    <row r="1169" customFormat="false" ht="15" hidden="false" customHeight="false" outlineLevel="0" collapsed="false">
      <c r="A1169" s="3" t="n">
        <v>1168</v>
      </c>
      <c r="B1169" s="3" t="n">
        <v>1167</v>
      </c>
      <c r="C1169" s="3" t="n">
        <v>1</v>
      </c>
      <c r="D1169" s="3" t="n">
        <v>13</v>
      </c>
      <c r="E1169" s="3" t="n">
        <v>19</v>
      </c>
      <c r="F1169" s="24" t="n">
        <v>0.879404783</v>
      </c>
    </row>
    <row r="1170" customFormat="false" ht="15" hidden="false" customHeight="false" outlineLevel="0" collapsed="false">
      <c r="A1170" s="3" t="n">
        <v>1169</v>
      </c>
      <c r="B1170" s="3" t="n">
        <v>1168</v>
      </c>
      <c r="C1170" s="3" t="n">
        <v>1</v>
      </c>
      <c r="D1170" s="3" t="n">
        <v>13</v>
      </c>
      <c r="E1170" s="3" t="n">
        <v>20</v>
      </c>
      <c r="F1170" s="24" t="n">
        <v>-0.757025778</v>
      </c>
    </row>
    <row r="1171" customFormat="false" ht="15" hidden="false" customHeight="false" outlineLevel="0" collapsed="false">
      <c r="A1171" s="3" t="n">
        <v>1170</v>
      </c>
      <c r="B1171" s="3" t="n">
        <v>1169</v>
      </c>
      <c r="C1171" s="3" t="n">
        <v>1</v>
      </c>
      <c r="D1171" s="3" t="n">
        <v>13</v>
      </c>
      <c r="E1171" s="3" t="n">
        <v>21</v>
      </c>
      <c r="F1171" s="24" t="n">
        <v>-0.898757577</v>
      </c>
    </row>
    <row r="1172" customFormat="false" ht="15" hidden="false" customHeight="false" outlineLevel="0" collapsed="false">
      <c r="A1172" s="3" t="n">
        <v>1171</v>
      </c>
      <c r="B1172" s="3" t="n">
        <v>1170</v>
      </c>
      <c r="C1172" s="3" t="n">
        <v>1</v>
      </c>
      <c r="D1172" s="3" t="n">
        <v>13</v>
      </c>
      <c r="E1172" s="3" t="n">
        <v>22</v>
      </c>
      <c r="F1172" s="24" t="n">
        <v>-0.678061068</v>
      </c>
    </row>
    <row r="1173" customFormat="false" ht="15" hidden="false" customHeight="false" outlineLevel="0" collapsed="false">
      <c r="A1173" s="3" t="n">
        <v>1172</v>
      </c>
      <c r="B1173" s="3" t="n">
        <v>1171</v>
      </c>
      <c r="C1173" s="3" t="n">
        <v>1</v>
      </c>
      <c r="D1173" s="3" t="n">
        <v>13</v>
      </c>
      <c r="E1173" s="3" t="n">
        <v>23</v>
      </c>
      <c r="F1173" s="24" t="n">
        <v>-0.678061068</v>
      </c>
    </row>
    <row r="1174" customFormat="false" ht="15" hidden="false" customHeight="false" outlineLevel="0" collapsed="false">
      <c r="A1174" s="3" t="n">
        <v>1173</v>
      </c>
      <c r="B1174" s="3" t="n">
        <v>1172</v>
      </c>
      <c r="C1174" s="3" t="n">
        <v>1</v>
      </c>
      <c r="D1174" s="3" t="n">
        <v>13</v>
      </c>
      <c r="E1174" s="3" t="n">
        <v>24</v>
      </c>
      <c r="F1174" s="24" t="n">
        <v>-0.678061068</v>
      </c>
    </row>
    <row r="1175" customFormat="false" ht="15" hidden="false" customHeight="false" outlineLevel="0" collapsed="false">
      <c r="A1175" s="3" t="n">
        <v>1174</v>
      </c>
      <c r="B1175" s="3" t="n">
        <v>1173</v>
      </c>
      <c r="C1175" s="3" t="n">
        <v>1</v>
      </c>
      <c r="D1175" s="3" t="n">
        <v>13</v>
      </c>
      <c r="E1175" s="3" t="n">
        <v>25</v>
      </c>
      <c r="F1175" s="24" t="n">
        <v>-0.678061068</v>
      </c>
    </row>
    <row r="1176" customFormat="false" ht="15" hidden="false" customHeight="false" outlineLevel="0" collapsed="false">
      <c r="A1176" s="3" t="n">
        <v>1175</v>
      </c>
      <c r="B1176" s="3" t="n">
        <v>1174</v>
      </c>
      <c r="C1176" s="3" t="n">
        <v>1</v>
      </c>
      <c r="D1176" s="3" t="n">
        <v>13</v>
      </c>
      <c r="E1176" s="3" t="n">
        <v>26</v>
      </c>
      <c r="F1176" s="24" t="n">
        <v>-0.678061068</v>
      </c>
    </row>
    <row r="1177" customFormat="false" ht="15" hidden="false" customHeight="false" outlineLevel="0" collapsed="false">
      <c r="A1177" s="3" t="n">
        <v>1176</v>
      </c>
      <c r="B1177" s="3" t="n">
        <v>1175</v>
      </c>
      <c r="C1177" s="3" t="n">
        <v>1</v>
      </c>
      <c r="D1177" s="3" t="n">
        <v>13</v>
      </c>
      <c r="E1177" s="3" t="n">
        <v>27</v>
      </c>
      <c r="F1177" s="24" t="n">
        <v>-0.401937425</v>
      </c>
    </row>
    <row r="1178" customFormat="false" ht="15" hidden="false" customHeight="false" outlineLevel="0" collapsed="false">
      <c r="A1178" s="3" t="n">
        <v>1177</v>
      </c>
      <c r="B1178" s="3" t="n">
        <v>1176</v>
      </c>
      <c r="C1178" s="3" t="n">
        <v>1</v>
      </c>
      <c r="D1178" s="3" t="n">
        <v>14</v>
      </c>
      <c r="E1178" s="3" t="n">
        <v>0</v>
      </c>
      <c r="F1178" s="24" t="n">
        <v>-0.749848783</v>
      </c>
    </row>
    <row r="1179" customFormat="false" ht="15" hidden="false" customHeight="false" outlineLevel="0" collapsed="false">
      <c r="A1179" s="3" t="n">
        <v>1178</v>
      </c>
      <c r="B1179" s="3" t="n">
        <v>1177</v>
      </c>
      <c r="C1179" s="3" t="n">
        <v>1</v>
      </c>
      <c r="D1179" s="3" t="n">
        <v>14</v>
      </c>
      <c r="E1179" s="3" t="n">
        <v>1</v>
      </c>
      <c r="F1179" s="24" t="n">
        <v>-0.678061068</v>
      </c>
    </row>
    <row r="1180" customFormat="false" ht="15" hidden="false" customHeight="false" outlineLevel="0" collapsed="false">
      <c r="A1180" s="3" t="n">
        <v>1179</v>
      </c>
      <c r="B1180" s="3" t="n">
        <v>1178</v>
      </c>
      <c r="C1180" s="3" t="n">
        <v>1</v>
      </c>
      <c r="D1180" s="3" t="n">
        <v>14</v>
      </c>
      <c r="E1180" s="3" t="n">
        <v>2</v>
      </c>
      <c r="F1180" s="24" t="n">
        <v>-0.678061068</v>
      </c>
    </row>
    <row r="1181" customFormat="false" ht="15" hidden="false" customHeight="false" outlineLevel="0" collapsed="false">
      <c r="A1181" s="3" t="n">
        <v>1180</v>
      </c>
      <c r="B1181" s="3" t="n">
        <v>1179</v>
      </c>
      <c r="C1181" s="3" t="n">
        <v>1</v>
      </c>
      <c r="D1181" s="3" t="n">
        <v>14</v>
      </c>
      <c r="E1181" s="3" t="n">
        <v>3</v>
      </c>
      <c r="F1181" s="24" t="n">
        <v>-0.678061068</v>
      </c>
    </row>
    <row r="1182" customFormat="false" ht="15" hidden="false" customHeight="false" outlineLevel="0" collapsed="false">
      <c r="A1182" s="3" t="n">
        <v>1181</v>
      </c>
      <c r="B1182" s="3" t="n">
        <v>1180</v>
      </c>
      <c r="C1182" s="3" t="n">
        <v>1</v>
      </c>
      <c r="D1182" s="3" t="n">
        <v>14</v>
      </c>
      <c r="E1182" s="3" t="n">
        <v>4</v>
      </c>
      <c r="F1182" s="24" t="n">
        <v>-0.678061068</v>
      </c>
    </row>
    <row r="1183" customFormat="false" ht="15" hidden="false" customHeight="false" outlineLevel="0" collapsed="false">
      <c r="A1183" s="3" t="n">
        <v>1182</v>
      </c>
      <c r="B1183" s="3" t="n">
        <v>1181</v>
      </c>
      <c r="C1183" s="3" t="n">
        <v>1</v>
      </c>
      <c r="D1183" s="3" t="n">
        <v>14</v>
      </c>
      <c r="E1183" s="3" t="n">
        <v>5</v>
      </c>
      <c r="F1183" s="24" t="n">
        <v>-0.678061068</v>
      </c>
    </row>
    <row r="1184" customFormat="false" ht="15" hidden="false" customHeight="false" outlineLevel="0" collapsed="false">
      <c r="A1184" s="3" t="n">
        <v>1183</v>
      </c>
      <c r="B1184" s="3" t="n">
        <v>1182</v>
      </c>
      <c r="C1184" s="3" t="n">
        <v>1</v>
      </c>
      <c r="D1184" s="3" t="n">
        <v>14</v>
      </c>
      <c r="E1184" s="3" t="n">
        <v>6</v>
      </c>
      <c r="F1184" s="24" t="n">
        <v>-0.678061068</v>
      </c>
    </row>
    <row r="1185" customFormat="false" ht="15" hidden="false" customHeight="false" outlineLevel="0" collapsed="false">
      <c r="A1185" s="3" t="n">
        <v>1184</v>
      </c>
      <c r="B1185" s="3" t="n">
        <v>1183</v>
      </c>
      <c r="C1185" s="3" t="n">
        <v>1</v>
      </c>
      <c r="D1185" s="3" t="n">
        <v>14</v>
      </c>
      <c r="E1185" s="3" t="n">
        <v>7</v>
      </c>
      <c r="F1185" s="24" t="n">
        <v>-0.678061068</v>
      </c>
    </row>
    <row r="1186" customFormat="false" ht="15" hidden="false" customHeight="false" outlineLevel="0" collapsed="false">
      <c r="A1186" s="3" t="n">
        <v>1185</v>
      </c>
      <c r="B1186" s="3" t="n">
        <v>1184</v>
      </c>
      <c r="C1186" s="3" t="n">
        <v>1</v>
      </c>
      <c r="D1186" s="3" t="n">
        <v>14</v>
      </c>
      <c r="E1186" s="3" t="n">
        <v>8</v>
      </c>
      <c r="F1186" s="24" t="n">
        <v>-0.678061068</v>
      </c>
    </row>
    <row r="1187" customFormat="false" ht="15" hidden="false" customHeight="false" outlineLevel="0" collapsed="false">
      <c r="A1187" s="3" t="n">
        <v>1186</v>
      </c>
      <c r="B1187" s="3" t="n">
        <v>1185</v>
      </c>
      <c r="C1187" s="3" t="n">
        <v>1</v>
      </c>
      <c r="D1187" s="3" t="n">
        <v>14</v>
      </c>
      <c r="E1187" s="3" t="n">
        <v>9</v>
      </c>
      <c r="F1187" s="24" t="n">
        <v>-0.678061068</v>
      </c>
    </row>
    <row r="1188" customFormat="false" ht="15" hidden="false" customHeight="false" outlineLevel="0" collapsed="false">
      <c r="A1188" s="3" t="n">
        <v>1187</v>
      </c>
      <c r="B1188" s="3" t="n">
        <v>1186</v>
      </c>
      <c r="C1188" s="3" t="n">
        <v>1</v>
      </c>
      <c r="D1188" s="3" t="n">
        <v>14</v>
      </c>
      <c r="E1188" s="3" t="n">
        <v>10</v>
      </c>
      <c r="F1188" s="24" t="n">
        <v>-0.678061068</v>
      </c>
    </row>
    <row r="1189" customFormat="false" ht="15" hidden="false" customHeight="false" outlineLevel="0" collapsed="false">
      <c r="A1189" s="3" t="n">
        <v>1188</v>
      </c>
      <c r="B1189" s="3" t="n">
        <v>1187</v>
      </c>
      <c r="C1189" s="3" t="n">
        <v>1</v>
      </c>
      <c r="D1189" s="3" t="n">
        <v>14</v>
      </c>
      <c r="E1189" s="3" t="n">
        <v>11</v>
      </c>
      <c r="F1189" s="24" t="n">
        <v>-0.678061068</v>
      </c>
    </row>
    <row r="1190" customFormat="false" ht="15" hidden="false" customHeight="false" outlineLevel="0" collapsed="false">
      <c r="A1190" s="3" t="n">
        <v>1189</v>
      </c>
      <c r="B1190" s="3" t="n">
        <v>1188</v>
      </c>
      <c r="C1190" s="3" t="n">
        <v>1</v>
      </c>
      <c r="D1190" s="3" t="n">
        <v>14</v>
      </c>
      <c r="E1190" s="3" t="n">
        <v>12</v>
      </c>
      <c r="F1190" s="24" t="n">
        <v>-0.678061068</v>
      </c>
    </row>
    <row r="1191" customFormat="false" ht="15" hidden="false" customHeight="false" outlineLevel="0" collapsed="false">
      <c r="A1191" s="3" t="n">
        <v>1190</v>
      </c>
      <c r="B1191" s="3" t="n">
        <v>1189</v>
      </c>
      <c r="C1191" s="3" t="n">
        <v>1</v>
      </c>
      <c r="D1191" s="3" t="n">
        <v>14</v>
      </c>
      <c r="E1191" s="3" t="n">
        <v>13</v>
      </c>
      <c r="F1191" s="24" t="n">
        <v>-0.678061068</v>
      </c>
    </row>
    <row r="1192" customFormat="false" ht="15" hidden="false" customHeight="false" outlineLevel="0" collapsed="false">
      <c r="A1192" s="3" t="n">
        <v>1191</v>
      </c>
      <c r="B1192" s="3" t="n">
        <v>1190</v>
      </c>
      <c r="C1192" s="3" t="n">
        <v>1</v>
      </c>
      <c r="D1192" s="3" t="n">
        <v>14</v>
      </c>
      <c r="E1192" s="3" t="n">
        <v>14</v>
      </c>
      <c r="F1192" s="24" t="n">
        <v>-0.678061068</v>
      </c>
    </row>
    <row r="1193" customFormat="false" ht="15" hidden="false" customHeight="false" outlineLevel="0" collapsed="false">
      <c r="A1193" s="3" t="n">
        <v>1192</v>
      </c>
      <c r="B1193" s="3" t="n">
        <v>1191</v>
      </c>
      <c r="C1193" s="3" t="n">
        <v>1</v>
      </c>
      <c r="D1193" s="3" t="n">
        <v>14</v>
      </c>
      <c r="E1193" s="3" t="n">
        <v>15</v>
      </c>
      <c r="F1193" s="24" t="n">
        <v>-0.231873363</v>
      </c>
    </row>
    <row r="1194" customFormat="false" ht="15" hidden="false" customHeight="false" outlineLevel="0" collapsed="false">
      <c r="A1194" s="3" t="n">
        <v>1193</v>
      </c>
      <c r="B1194" s="3" t="n">
        <v>1192</v>
      </c>
      <c r="C1194" s="3" t="n">
        <v>1</v>
      </c>
      <c r="D1194" s="3" t="n">
        <v>14</v>
      </c>
      <c r="E1194" s="3" t="n">
        <v>16</v>
      </c>
      <c r="F1194" s="24" t="n">
        <v>1.88769019</v>
      </c>
    </row>
    <row r="1195" customFormat="false" ht="15" hidden="false" customHeight="false" outlineLevel="0" collapsed="false">
      <c r="A1195" s="3" t="n">
        <v>1194</v>
      </c>
      <c r="B1195" s="3" t="n">
        <v>1193</v>
      </c>
      <c r="C1195" s="3" t="n">
        <v>1</v>
      </c>
      <c r="D1195" s="3" t="n">
        <v>14</v>
      </c>
      <c r="E1195" s="3" t="n">
        <v>17</v>
      </c>
      <c r="F1195" s="24" t="n">
        <v>3.59550095</v>
      </c>
    </row>
    <row r="1196" customFormat="false" ht="15" hidden="false" customHeight="false" outlineLevel="0" collapsed="false">
      <c r="A1196" s="3" t="n">
        <v>1195</v>
      </c>
      <c r="B1196" s="3" t="n">
        <v>1194</v>
      </c>
      <c r="C1196" s="3" t="n">
        <v>1</v>
      </c>
      <c r="D1196" s="3" t="n">
        <v>14</v>
      </c>
      <c r="E1196" s="3" t="n">
        <v>18</v>
      </c>
      <c r="F1196" s="24" t="n">
        <v>2.34878397</v>
      </c>
    </row>
    <row r="1197" customFormat="false" ht="15" hidden="false" customHeight="false" outlineLevel="0" collapsed="false">
      <c r="A1197" s="3" t="n">
        <v>1196</v>
      </c>
      <c r="B1197" s="3" t="n">
        <v>1195</v>
      </c>
      <c r="C1197" s="3" t="n">
        <v>1</v>
      </c>
      <c r="D1197" s="3" t="n">
        <v>14</v>
      </c>
      <c r="E1197" s="3" t="n">
        <v>19</v>
      </c>
      <c r="F1197" s="24" t="n">
        <v>-0.295923859</v>
      </c>
    </row>
    <row r="1198" customFormat="false" ht="15" hidden="false" customHeight="false" outlineLevel="0" collapsed="false">
      <c r="A1198" s="3" t="n">
        <v>1197</v>
      </c>
      <c r="B1198" s="3" t="n">
        <v>1196</v>
      </c>
      <c r="C1198" s="3" t="n">
        <v>1</v>
      </c>
      <c r="D1198" s="3" t="n">
        <v>14</v>
      </c>
      <c r="E1198" s="3" t="n">
        <v>20</v>
      </c>
      <c r="F1198" s="24" t="n">
        <v>-1.42239177</v>
      </c>
    </row>
    <row r="1199" customFormat="false" ht="15" hidden="false" customHeight="false" outlineLevel="0" collapsed="false">
      <c r="A1199" s="3" t="n">
        <v>1198</v>
      </c>
      <c r="B1199" s="3" t="n">
        <v>1197</v>
      </c>
      <c r="C1199" s="3" t="n">
        <v>1</v>
      </c>
      <c r="D1199" s="3" t="n">
        <v>14</v>
      </c>
      <c r="E1199" s="3" t="n">
        <v>21</v>
      </c>
      <c r="F1199" s="24" t="n">
        <v>-0.870182872</v>
      </c>
    </row>
    <row r="1200" customFormat="false" ht="15" hidden="false" customHeight="false" outlineLevel="0" collapsed="false">
      <c r="A1200" s="3" t="n">
        <v>1199</v>
      </c>
      <c r="B1200" s="3" t="n">
        <v>1198</v>
      </c>
      <c r="C1200" s="3" t="n">
        <v>1</v>
      </c>
      <c r="D1200" s="3" t="n">
        <v>14</v>
      </c>
      <c r="E1200" s="3" t="n">
        <v>22</v>
      </c>
      <c r="F1200" s="24" t="n">
        <v>-0.678061068</v>
      </c>
    </row>
    <row r="1201" customFormat="false" ht="15" hidden="false" customHeight="false" outlineLevel="0" collapsed="false">
      <c r="A1201" s="3" t="n">
        <v>1200</v>
      </c>
      <c r="B1201" s="3" t="n">
        <v>1199</v>
      </c>
      <c r="C1201" s="3" t="n">
        <v>1</v>
      </c>
      <c r="D1201" s="3" t="n">
        <v>14</v>
      </c>
      <c r="E1201" s="3" t="n">
        <v>23</v>
      </c>
      <c r="F1201" s="24" t="n">
        <v>-0.678061068</v>
      </c>
    </row>
    <row r="1202" customFormat="false" ht="15" hidden="false" customHeight="false" outlineLevel="0" collapsed="false">
      <c r="A1202" s="3" t="n">
        <v>1201</v>
      </c>
      <c r="B1202" s="3" t="n">
        <v>1200</v>
      </c>
      <c r="C1202" s="3" t="n">
        <v>1</v>
      </c>
      <c r="D1202" s="3" t="n">
        <v>14</v>
      </c>
      <c r="E1202" s="3" t="n">
        <v>24</v>
      </c>
      <c r="F1202" s="24" t="n">
        <v>-0.678061068</v>
      </c>
    </row>
    <row r="1203" customFormat="false" ht="15" hidden="false" customHeight="false" outlineLevel="0" collapsed="false">
      <c r="A1203" s="3" t="n">
        <v>1202</v>
      </c>
      <c r="B1203" s="3" t="n">
        <v>1201</v>
      </c>
      <c r="C1203" s="3" t="n">
        <v>1</v>
      </c>
      <c r="D1203" s="3" t="n">
        <v>14</v>
      </c>
      <c r="E1203" s="3" t="n">
        <v>25</v>
      </c>
      <c r="F1203" s="24" t="n">
        <v>-0.678061068</v>
      </c>
    </row>
    <row r="1204" customFormat="false" ht="15" hidden="false" customHeight="false" outlineLevel="0" collapsed="false">
      <c r="A1204" s="3" t="n">
        <v>1203</v>
      </c>
      <c r="B1204" s="3" t="n">
        <v>1202</v>
      </c>
      <c r="C1204" s="3" t="n">
        <v>1</v>
      </c>
      <c r="D1204" s="3" t="n">
        <v>14</v>
      </c>
      <c r="E1204" s="3" t="n">
        <v>26</v>
      </c>
      <c r="F1204" s="24" t="n">
        <v>-0.678061068</v>
      </c>
    </row>
    <row r="1205" customFormat="false" ht="15" hidden="false" customHeight="false" outlineLevel="0" collapsed="false">
      <c r="A1205" s="3" t="n">
        <v>1204</v>
      </c>
      <c r="B1205" s="3" t="n">
        <v>1203</v>
      </c>
      <c r="C1205" s="3" t="n">
        <v>1</v>
      </c>
      <c r="D1205" s="3" t="n">
        <v>14</v>
      </c>
      <c r="E1205" s="3" t="n">
        <v>27</v>
      </c>
      <c r="F1205" s="24" t="n">
        <v>-0.401937425</v>
      </c>
    </row>
    <row r="1206" customFormat="false" ht="15" hidden="false" customHeight="false" outlineLevel="0" collapsed="false">
      <c r="A1206" s="3" t="n">
        <v>1205</v>
      </c>
      <c r="B1206" s="3" t="n">
        <v>1204</v>
      </c>
      <c r="C1206" s="3" t="n">
        <v>1</v>
      </c>
      <c r="D1206" s="3" t="n">
        <v>15</v>
      </c>
      <c r="E1206" s="3" t="n">
        <v>0</v>
      </c>
      <c r="F1206" s="24" t="n">
        <v>-0.749848783</v>
      </c>
    </row>
    <row r="1207" customFormat="false" ht="15" hidden="false" customHeight="false" outlineLevel="0" collapsed="false">
      <c r="A1207" s="3" t="n">
        <v>1206</v>
      </c>
      <c r="B1207" s="3" t="n">
        <v>1205</v>
      </c>
      <c r="C1207" s="3" t="n">
        <v>1</v>
      </c>
      <c r="D1207" s="3" t="n">
        <v>15</v>
      </c>
      <c r="E1207" s="3" t="n">
        <v>1</v>
      </c>
      <c r="F1207" s="24" t="n">
        <v>-0.678061068</v>
      </c>
    </row>
    <row r="1208" customFormat="false" ht="15" hidden="false" customHeight="false" outlineLevel="0" collapsed="false">
      <c r="A1208" s="3" t="n">
        <v>1207</v>
      </c>
      <c r="B1208" s="3" t="n">
        <v>1206</v>
      </c>
      <c r="C1208" s="3" t="n">
        <v>1</v>
      </c>
      <c r="D1208" s="3" t="n">
        <v>15</v>
      </c>
      <c r="E1208" s="3" t="n">
        <v>2</v>
      </c>
      <c r="F1208" s="24" t="n">
        <v>-0.678061068</v>
      </c>
    </row>
    <row r="1209" customFormat="false" ht="15" hidden="false" customHeight="false" outlineLevel="0" collapsed="false">
      <c r="A1209" s="3" t="n">
        <v>1208</v>
      </c>
      <c r="B1209" s="3" t="n">
        <v>1207</v>
      </c>
      <c r="C1209" s="3" t="n">
        <v>1</v>
      </c>
      <c r="D1209" s="3" t="n">
        <v>15</v>
      </c>
      <c r="E1209" s="3" t="n">
        <v>3</v>
      </c>
      <c r="F1209" s="24" t="n">
        <v>-0.678061068</v>
      </c>
    </row>
    <row r="1210" customFormat="false" ht="15" hidden="false" customHeight="false" outlineLevel="0" collapsed="false">
      <c r="A1210" s="3" t="n">
        <v>1209</v>
      </c>
      <c r="B1210" s="3" t="n">
        <v>1208</v>
      </c>
      <c r="C1210" s="3" t="n">
        <v>1</v>
      </c>
      <c r="D1210" s="3" t="n">
        <v>15</v>
      </c>
      <c r="E1210" s="3" t="n">
        <v>4</v>
      </c>
      <c r="F1210" s="24" t="n">
        <v>-0.678061068</v>
      </c>
    </row>
    <row r="1211" customFormat="false" ht="15" hidden="false" customHeight="false" outlineLevel="0" collapsed="false">
      <c r="A1211" s="3" t="n">
        <v>1210</v>
      </c>
      <c r="B1211" s="3" t="n">
        <v>1209</v>
      </c>
      <c r="C1211" s="3" t="n">
        <v>1</v>
      </c>
      <c r="D1211" s="3" t="n">
        <v>15</v>
      </c>
      <c r="E1211" s="3" t="n">
        <v>5</v>
      </c>
      <c r="F1211" s="24" t="n">
        <v>-0.678061068</v>
      </c>
    </row>
    <row r="1212" customFormat="false" ht="15" hidden="false" customHeight="false" outlineLevel="0" collapsed="false">
      <c r="A1212" s="3" t="n">
        <v>1211</v>
      </c>
      <c r="B1212" s="3" t="n">
        <v>1210</v>
      </c>
      <c r="C1212" s="3" t="n">
        <v>1</v>
      </c>
      <c r="D1212" s="3" t="n">
        <v>15</v>
      </c>
      <c r="E1212" s="3" t="n">
        <v>6</v>
      </c>
      <c r="F1212" s="24" t="n">
        <v>-0.678061068</v>
      </c>
    </row>
    <row r="1213" customFormat="false" ht="15" hidden="false" customHeight="false" outlineLevel="0" collapsed="false">
      <c r="A1213" s="3" t="n">
        <v>1212</v>
      </c>
      <c r="B1213" s="3" t="n">
        <v>1211</v>
      </c>
      <c r="C1213" s="3" t="n">
        <v>1</v>
      </c>
      <c r="D1213" s="3" t="n">
        <v>15</v>
      </c>
      <c r="E1213" s="3" t="n">
        <v>7</v>
      </c>
      <c r="F1213" s="24" t="n">
        <v>-0.678061068</v>
      </c>
    </row>
    <row r="1214" customFormat="false" ht="15" hidden="false" customHeight="false" outlineLevel="0" collapsed="false">
      <c r="A1214" s="3" t="n">
        <v>1213</v>
      </c>
      <c r="B1214" s="3" t="n">
        <v>1212</v>
      </c>
      <c r="C1214" s="3" t="n">
        <v>1</v>
      </c>
      <c r="D1214" s="3" t="n">
        <v>15</v>
      </c>
      <c r="E1214" s="3" t="n">
        <v>8</v>
      </c>
      <c r="F1214" s="24" t="n">
        <v>-0.678061068</v>
      </c>
    </row>
    <row r="1215" customFormat="false" ht="15" hidden="false" customHeight="false" outlineLevel="0" collapsed="false">
      <c r="A1215" s="3" t="n">
        <v>1214</v>
      </c>
      <c r="B1215" s="3" t="n">
        <v>1213</v>
      </c>
      <c r="C1215" s="3" t="n">
        <v>1</v>
      </c>
      <c r="D1215" s="3" t="n">
        <v>15</v>
      </c>
      <c r="E1215" s="3" t="n">
        <v>9</v>
      </c>
      <c r="F1215" s="24" t="n">
        <v>-0.678061068</v>
      </c>
    </row>
    <row r="1216" customFormat="false" ht="15" hidden="false" customHeight="false" outlineLevel="0" collapsed="false">
      <c r="A1216" s="3" t="n">
        <v>1215</v>
      </c>
      <c r="B1216" s="3" t="n">
        <v>1214</v>
      </c>
      <c r="C1216" s="3" t="n">
        <v>1</v>
      </c>
      <c r="D1216" s="3" t="n">
        <v>15</v>
      </c>
      <c r="E1216" s="3" t="n">
        <v>10</v>
      </c>
      <c r="F1216" s="24" t="n">
        <v>-0.678061068</v>
      </c>
    </row>
    <row r="1217" customFormat="false" ht="15" hidden="false" customHeight="false" outlineLevel="0" collapsed="false">
      <c r="A1217" s="3" t="n">
        <v>1216</v>
      </c>
      <c r="B1217" s="3" t="n">
        <v>1215</v>
      </c>
      <c r="C1217" s="3" t="n">
        <v>1</v>
      </c>
      <c r="D1217" s="3" t="n">
        <v>15</v>
      </c>
      <c r="E1217" s="3" t="n">
        <v>11</v>
      </c>
      <c r="F1217" s="24" t="n">
        <v>-0.678061068</v>
      </c>
    </row>
    <row r="1218" customFormat="false" ht="15" hidden="false" customHeight="false" outlineLevel="0" collapsed="false">
      <c r="A1218" s="3" t="n">
        <v>1217</v>
      </c>
      <c r="B1218" s="3" t="n">
        <v>1216</v>
      </c>
      <c r="C1218" s="3" t="n">
        <v>1</v>
      </c>
      <c r="D1218" s="3" t="n">
        <v>15</v>
      </c>
      <c r="E1218" s="3" t="n">
        <v>12</v>
      </c>
      <c r="F1218" s="24" t="n">
        <v>-0.678061068</v>
      </c>
    </row>
    <row r="1219" customFormat="false" ht="15" hidden="false" customHeight="false" outlineLevel="0" collapsed="false">
      <c r="A1219" s="3" t="n">
        <v>1218</v>
      </c>
      <c r="B1219" s="3" t="n">
        <v>1217</v>
      </c>
      <c r="C1219" s="3" t="n">
        <v>1</v>
      </c>
      <c r="D1219" s="3" t="n">
        <v>15</v>
      </c>
      <c r="E1219" s="3" t="n">
        <v>13</v>
      </c>
      <c r="F1219" s="24" t="n">
        <v>-0.678061068</v>
      </c>
    </row>
    <row r="1220" customFormat="false" ht="15" hidden="false" customHeight="false" outlineLevel="0" collapsed="false">
      <c r="A1220" s="3" t="n">
        <v>1219</v>
      </c>
      <c r="B1220" s="3" t="n">
        <v>1218</v>
      </c>
      <c r="C1220" s="3" t="n">
        <v>1</v>
      </c>
      <c r="D1220" s="3" t="n">
        <v>15</v>
      </c>
      <c r="E1220" s="3" t="n">
        <v>14</v>
      </c>
      <c r="F1220" s="24" t="n">
        <v>-0.667152345</v>
      </c>
    </row>
    <row r="1221" customFormat="false" ht="15" hidden="false" customHeight="false" outlineLevel="0" collapsed="false">
      <c r="A1221" s="3" t="n">
        <v>1220</v>
      </c>
      <c r="B1221" s="3" t="n">
        <v>1219</v>
      </c>
      <c r="C1221" s="3" t="n">
        <v>1</v>
      </c>
      <c r="D1221" s="3" t="n">
        <v>15</v>
      </c>
      <c r="E1221" s="3" t="n">
        <v>15</v>
      </c>
      <c r="F1221" s="24" t="n">
        <v>0.38414371</v>
      </c>
    </row>
    <row r="1222" customFormat="false" ht="15" hidden="false" customHeight="false" outlineLevel="0" collapsed="false">
      <c r="A1222" s="3" t="n">
        <v>1221</v>
      </c>
      <c r="B1222" s="3" t="n">
        <v>1220</v>
      </c>
      <c r="C1222" s="3" t="n">
        <v>1</v>
      </c>
      <c r="D1222" s="3" t="n">
        <v>15</v>
      </c>
      <c r="E1222" s="3" t="n">
        <v>16</v>
      </c>
      <c r="F1222" s="24" t="n">
        <v>2.84874964</v>
      </c>
    </row>
    <row r="1223" customFormat="false" ht="15" hidden="false" customHeight="false" outlineLevel="0" collapsed="false">
      <c r="A1223" s="3" t="n">
        <v>1222</v>
      </c>
      <c r="B1223" s="3" t="n">
        <v>1221</v>
      </c>
      <c r="C1223" s="3" t="n">
        <v>1</v>
      </c>
      <c r="D1223" s="3" t="n">
        <v>15</v>
      </c>
      <c r="E1223" s="3" t="n">
        <v>17</v>
      </c>
      <c r="F1223" s="24" t="n">
        <v>3.28705072</v>
      </c>
    </row>
    <row r="1224" customFormat="false" ht="15" hidden="false" customHeight="false" outlineLevel="0" collapsed="false">
      <c r="A1224" s="3" t="n">
        <v>1223</v>
      </c>
      <c r="B1224" s="3" t="n">
        <v>1222</v>
      </c>
      <c r="C1224" s="3" t="n">
        <v>1</v>
      </c>
      <c r="D1224" s="3" t="n">
        <v>15</v>
      </c>
      <c r="E1224" s="3" t="n">
        <v>18</v>
      </c>
      <c r="F1224" s="24" t="n">
        <v>0.39664501</v>
      </c>
    </row>
    <row r="1225" customFormat="false" ht="15" hidden="false" customHeight="false" outlineLevel="0" collapsed="false">
      <c r="A1225" s="3" t="n">
        <v>1224</v>
      </c>
      <c r="B1225" s="3" t="n">
        <v>1223</v>
      </c>
      <c r="C1225" s="3" t="n">
        <v>1</v>
      </c>
      <c r="D1225" s="3" t="n">
        <v>15</v>
      </c>
      <c r="E1225" s="3" t="n">
        <v>19</v>
      </c>
      <c r="F1225" s="24" t="n">
        <v>-1.08602989</v>
      </c>
    </row>
    <row r="1226" customFormat="false" ht="15" hidden="false" customHeight="false" outlineLevel="0" collapsed="false">
      <c r="A1226" s="3" t="n">
        <v>1225</v>
      </c>
      <c r="B1226" s="3" t="n">
        <v>1224</v>
      </c>
      <c r="C1226" s="3" t="n">
        <v>1</v>
      </c>
      <c r="D1226" s="3" t="n">
        <v>15</v>
      </c>
      <c r="E1226" s="3" t="n">
        <v>20</v>
      </c>
      <c r="F1226" s="24" t="n">
        <v>-0.93267411</v>
      </c>
    </row>
    <row r="1227" customFormat="false" ht="15" hidden="false" customHeight="false" outlineLevel="0" collapsed="false">
      <c r="A1227" s="3" t="n">
        <v>1226</v>
      </c>
      <c r="B1227" s="3" t="n">
        <v>1225</v>
      </c>
      <c r="C1227" s="3" t="n">
        <v>1</v>
      </c>
      <c r="D1227" s="3" t="n">
        <v>15</v>
      </c>
      <c r="E1227" s="3" t="n">
        <v>21</v>
      </c>
      <c r="F1227" s="24" t="n">
        <v>-0.678061068</v>
      </c>
    </row>
    <row r="1228" customFormat="false" ht="15" hidden="false" customHeight="false" outlineLevel="0" collapsed="false">
      <c r="A1228" s="3" t="n">
        <v>1227</v>
      </c>
      <c r="B1228" s="3" t="n">
        <v>1226</v>
      </c>
      <c r="C1228" s="3" t="n">
        <v>1</v>
      </c>
      <c r="D1228" s="3" t="n">
        <v>15</v>
      </c>
      <c r="E1228" s="3" t="n">
        <v>22</v>
      </c>
      <c r="F1228" s="24" t="n">
        <v>-0.678061068</v>
      </c>
    </row>
    <row r="1229" customFormat="false" ht="15" hidden="false" customHeight="false" outlineLevel="0" collapsed="false">
      <c r="A1229" s="3" t="n">
        <v>1228</v>
      </c>
      <c r="B1229" s="3" t="n">
        <v>1227</v>
      </c>
      <c r="C1229" s="3" t="n">
        <v>1</v>
      </c>
      <c r="D1229" s="3" t="n">
        <v>15</v>
      </c>
      <c r="E1229" s="3" t="n">
        <v>23</v>
      </c>
      <c r="F1229" s="24" t="n">
        <v>-0.678061068</v>
      </c>
    </row>
    <row r="1230" customFormat="false" ht="15" hidden="false" customHeight="false" outlineLevel="0" collapsed="false">
      <c r="A1230" s="3" t="n">
        <v>1229</v>
      </c>
      <c r="B1230" s="3" t="n">
        <v>1228</v>
      </c>
      <c r="C1230" s="3" t="n">
        <v>1</v>
      </c>
      <c r="D1230" s="3" t="n">
        <v>15</v>
      </c>
      <c r="E1230" s="3" t="n">
        <v>24</v>
      </c>
      <c r="F1230" s="24" t="n">
        <v>-0.678061068</v>
      </c>
    </row>
    <row r="1231" customFormat="false" ht="15" hidden="false" customHeight="false" outlineLevel="0" collapsed="false">
      <c r="A1231" s="3" t="n">
        <v>1230</v>
      </c>
      <c r="B1231" s="3" t="n">
        <v>1229</v>
      </c>
      <c r="C1231" s="3" t="n">
        <v>1</v>
      </c>
      <c r="D1231" s="3" t="n">
        <v>15</v>
      </c>
      <c r="E1231" s="3" t="n">
        <v>25</v>
      </c>
      <c r="F1231" s="24" t="n">
        <v>-0.678061068</v>
      </c>
    </row>
    <row r="1232" customFormat="false" ht="15" hidden="false" customHeight="false" outlineLevel="0" collapsed="false">
      <c r="A1232" s="3" t="n">
        <v>1231</v>
      </c>
      <c r="B1232" s="3" t="n">
        <v>1230</v>
      </c>
      <c r="C1232" s="3" t="n">
        <v>1</v>
      </c>
      <c r="D1232" s="3" t="n">
        <v>15</v>
      </c>
      <c r="E1232" s="3" t="n">
        <v>26</v>
      </c>
      <c r="F1232" s="24" t="n">
        <v>-0.678061068</v>
      </c>
    </row>
    <row r="1233" customFormat="false" ht="15" hidden="false" customHeight="false" outlineLevel="0" collapsed="false">
      <c r="A1233" s="3" t="n">
        <v>1232</v>
      </c>
      <c r="B1233" s="3" t="n">
        <v>1231</v>
      </c>
      <c r="C1233" s="3" t="n">
        <v>1</v>
      </c>
      <c r="D1233" s="3" t="n">
        <v>15</v>
      </c>
      <c r="E1233" s="3" t="n">
        <v>27</v>
      </c>
      <c r="F1233" s="24" t="n">
        <v>-0.401937425</v>
      </c>
    </row>
    <row r="1234" customFormat="false" ht="15" hidden="false" customHeight="false" outlineLevel="0" collapsed="false">
      <c r="A1234" s="3" t="n">
        <v>1233</v>
      </c>
      <c r="B1234" s="3" t="n">
        <v>1232</v>
      </c>
      <c r="C1234" s="3" t="n">
        <v>1</v>
      </c>
      <c r="D1234" s="3" t="n">
        <v>16</v>
      </c>
      <c r="E1234" s="3" t="n">
        <v>0</v>
      </c>
      <c r="F1234" s="24" t="n">
        <v>-0.749848783</v>
      </c>
    </row>
    <row r="1235" customFormat="false" ht="15" hidden="false" customHeight="false" outlineLevel="0" collapsed="false">
      <c r="A1235" s="3" t="n">
        <v>1234</v>
      </c>
      <c r="B1235" s="3" t="n">
        <v>1233</v>
      </c>
      <c r="C1235" s="3" t="n">
        <v>1</v>
      </c>
      <c r="D1235" s="3" t="n">
        <v>16</v>
      </c>
      <c r="E1235" s="3" t="n">
        <v>1</v>
      </c>
      <c r="F1235" s="24" t="n">
        <v>-0.678061068</v>
      </c>
    </row>
    <row r="1236" customFormat="false" ht="15" hidden="false" customHeight="false" outlineLevel="0" collapsed="false">
      <c r="A1236" s="3" t="n">
        <v>1235</v>
      </c>
      <c r="B1236" s="3" t="n">
        <v>1234</v>
      </c>
      <c r="C1236" s="3" t="n">
        <v>1</v>
      </c>
      <c r="D1236" s="3" t="n">
        <v>16</v>
      </c>
      <c r="E1236" s="3" t="n">
        <v>2</v>
      </c>
      <c r="F1236" s="24" t="n">
        <v>-0.678061068</v>
      </c>
    </row>
    <row r="1237" customFormat="false" ht="15" hidden="false" customHeight="false" outlineLevel="0" collapsed="false">
      <c r="A1237" s="3" t="n">
        <v>1236</v>
      </c>
      <c r="B1237" s="3" t="n">
        <v>1235</v>
      </c>
      <c r="C1237" s="3" t="n">
        <v>1</v>
      </c>
      <c r="D1237" s="3" t="n">
        <v>16</v>
      </c>
      <c r="E1237" s="3" t="n">
        <v>3</v>
      </c>
      <c r="F1237" s="24" t="n">
        <v>-0.678061068</v>
      </c>
    </row>
    <row r="1238" customFormat="false" ht="15" hidden="false" customHeight="false" outlineLevel="0" collapsed="false">
      <c r="A1238" s="3" t="n">
        <v>1237</v>
      </c>
      <c r="B1238" s="3" t="n">
        <v>1236</v>
      </c>
      <c r="C1238" s="3" t="n">
        <v>1</v>
      </c>
      <c r="D1238" s="3" t="n">
        <v>16</v>
      </c>
      <c r="E1238" s="3" t="n">
        <v>4</v>
      </c>
      <c r="F1238" s="24" t="n">
        <v>-0.678061068</v>
      </c>
    </row>
    <row r="1239" customFormat="false" ht="15" hidden="false" customHeight="false" outlineLevel="0" collapsed="false">
      <c r="A1239" s="3" t="n">
        <v>1238</v>
      </c>
      <c r="B1239" s="3" t="n">
        <v>1237</v>
      </c>
      <c r="C1239" s="3" t="n">
        <v>1</v>
      </c>
      <c r="D1239" s="3" t="n">
        <v>16</v>
      </c>
      <c r="E1239" s="3" t="n">
        <v>5</v>
      </c>
      <c r="F1239" s="24" t="n">
        <v>-0.678061068</v>
      </c>
    </row>
    <row r="1240" customFormat="false" ht="15" hidden="false" customHeight="false" outlineLevel="0" collapsed="false">
      <c r="A1240" s="3" t="n">
        <v>1239</v>
      </c>
      <c r="B1240" s="3" t="n">
        <v>1238</v>
      </c>
      <c r="C1240" s="3" t="n">
        <v>1</v>
      </c>
      <c r="D1240" s="3" t="n">
        <v>16</v>
      </c>
      <c r="E1240" s="3" t="n">
        <v>6</v>
      </c>
      <c r="F1240" s="24" t="n">
        <v>-0.678061068</v>
      </c>
    </row>
    <row r="1241" customFormat="false" ht="15" hidden="false" customHeight="false" outlineLevel="0" collapsed="false">
      <c r="A1241" s="3" t="n">
        <v>1240</v>
      </c>
      <c r="B1241" s="3" t="n">
        <v>1239</v>
      </c>
      <c r="C1241" s="3" t="n">
        <v>1</v>
      </c>
      <c r="D1241" s="3" t="n">
        <v>16</v>
      </c>
      <c r="E1241" s="3" t="n">
        <v>7</v>
      </c>
      <c r="F1241" s="24" t="n">
        <v>-0.678061068</v>
      </c>
    </row>
    <row r="1242" customFormat="false" ht="15" hidden="false" customHeight="false" outlineLevel="0" collapsed="false">
      <c r="A1242" s="3" t="n">
        <v>1241</v>
      </c>
      <c r="B1242" s="3" t="n">
        <v>1240</v>
      </c>
      <c r="C1242" s="3" t="n">
        <v>1</v>
      </c>
      <c r="D1242" s="3" t="n">
        <v>16</v>
      </c>
      <c r="E1242" s="3" t="n">
        <v>8</v>
      </c>
      <c r="F1242" s="24" t="n">
        <v>-0.678061068</v>
      </c>
    </row>
    <row r="1243" customFormat="false" ht="15" hidden="false" customHeight="false" outlineLevel="0" collapsed="false">
      <c r="A1243" s="3" t="n">
        <v>1242</v>
      </c>
      <c r="B1243" s="3" t="n">
        <v>1241</v>
      </c>
      <c r="C1243" s="3" t="n">
        <v>1</v>
      </c>
      <c r="D1243" s="3" t="n">
        <v>16</v>
      </c>
      <c r="E1243" s="3" t="n">
        <v>9</v>
      </c>
      <c r="F1243" s="24" t="n">
        <v>-0.678061068</v>
      </c>
    </row>
    <row r="1244" customFormat="false" ht="15" hidden="false" customHeight="false" outlineLevel="0" collapsed="false">
      <c r="A1244" s="3" t="n">
        <v>1243</v>
      </c>
      <c r="B1244" s="3" t="n">
        <v>1242</v>
      </c>
      <c r="C1244" s="3" t="n">
        <v>1</v>
      </c>
      <c r="D1244" s="3" t="n">
        <v>16</v>
      </c>
      <c r="E1244" s="3" t="n">
        <v>10</v>
      </c>
      <c r="F1244" s="24" t="n">
        <v>-0.678061068</v>
      </c>
    </row>
    <row r="1245" customFormat="false" ht="15" hidden="false" customHeight="false" outlineLevel="0" collapsed="false">
      <c r="A1245" s="3" t="n">
        <v>1244</v>
      </c>
      <c r="B1245" s="3" t="n">
        <v>1243</v>
      </c>
      <c r="C1245" s="3" t="n">
        <v>1</v>
      </c>
      <c r="D1245" s="3" t="n">
        <v>16</v>
      </c>
      <c r="E1245" s="3" t="n">
        <v>11</v>
      </c>
      <c r="F1245" s="24" t="n">
        <v>-0.678061068</v>
      </c>
    </row>
    <row r="1246" customFormat="false" ht="15" hidden="false" customHeight="false" outlineLevel="0" collapsed="false">
      <c r="A1246" s="3" t="n">
        <v>1245</v>
      </c>
      <c r="B1246" s="3" t="n">
        <v>1244</v>
      </c>
      <c r="C1246" s="3" t="n">
        <v>1</v>
      </c>
      <c r="D1246" s="3" t="n">
        <v>16</v>
      </c>
      <c r="E1246" s="3" t="n">
        <v>12</v>
      </c>
      <c r="F1246" s="24" t="n">
        <v>-0.678061068</v>
      </c>
    </row>
    <row r="1247" customFormat="false" ht="15" hidden="false" customHeight="false" outlineLevel="0" collapsed="false">
      <c r="A1247" s="3" t="n">
        <v>1246</v>
      </c>
      <c r="B1247" s="3" t="n">
        <v>1245</v>
      </c>
      <c r="C1247" s="3" t="n">
        <v>1</v>
      </c>
      <c r="D1247" s="3" t="n">
        <v>16</v>
      </c>
      <c r="E1247" s="3" t="n">
        <v>13</v>
      </c>
      <c r="F1247" s="24" t="n">
        <v>-0.678061068</v>
      </c>
    </row>
    <row r="1248" customFormat="false" ht="15" hidden="false" customHeight="false" outlineLevel="0" collapsed="false">
      <c r="A1248" s="3" t="n">
        <v>1247</v>
      </c>
      <c r="B1248" s="3" t="n">
        <v>1246</v>
      </c>
      <c r="C1248" s="3" t="n">
        <v>1</v>
      </c>
      <c r="D1248" s="3" t="n">
        <v>16</v>
      </c>
      <c r="E1248" s="3" t="n">
        <v>14</v>
      </c>
      <c r="F1248" s="24" t="n">
        <v>-0.481866896</v>
      </c>
    </row>
    <row r="1249" customFormat="false" ht="15" hidden="false" customHeight="false" outlineLevel="0" collapsed="false">
      <c r="A1249" s="3" t="n">
        <v>1248</v>
      </c>
      <c r="B1249" s="3" t="n">
        <v>1247</v>
      </c>
      <c r="C1249" s="3" t="n">
        <v>1</v>
      </c>
      <c r="D1249" s="3" t="n">
        <v>16</v>
      </c>
      <c r="E1249" s="3" t="n">
        <v>15</v>
      </c>
      <c r="F1249" s="24" t="n">
        <v>1.49314988</v>
      </c>
    </row>
    <row r="1250" customFormat="false" ht="15" hidden="false" customHeight="false" outlineLevel="0" collapsed="false">
      <c r="A1250" s="3" t="n">
        <v>1249</v>
      </c>
      <c r="B1250" s="3" t="n">
        <v>1248</v>
      </c>
      <c r="C1250" s="3" t="n">
        <v>1</v>
      </c>
      <c r="D1250" s="3" t="n">
        <v>16</v>
      </c>
      <c r="E1250" s="3" t="n">
        <v>16</v>
      </c>
      <c r="F1250" s="24" t="n">
        <v>3.27421618</v>
      </c>
    </row>
    <row r="1251" customFormat="false" ht="15" hidden="false" customHeight="false" outlineLevel="0" collapsed="false">
      <c r="A1251" s="3" t="n">
        <v>1250</v>
      </c>
      <c r="B1251" s="3" t="n">
        <v>1249</v>
      </c>
      <c r="C1251" s="3" t="n">
        <v>1</v>
      </c>
      <c r="D1251" s="3" t="n">
        <v>16</v>
      </c>
      <c r="E1251" s="3" t="n">
        <v>17</v>
      </c>
      <c r="F1251" s="24" t="n">
        <v>2.0089035</v>
      </c>
    </row>
    <row r="1252" customFormat="false" ht="15" hidden="false" customHeight="false" outlineLevel="0" collapsed="false">
      <c r="A1252" s="3" t="n">
        <v>1251</v>
      </c>
      <c r="B1252" s="3" t="n">
        <v>1250</v>
      </c>
      <c r="C1252" s="3" t="n">
        <v>1</v>
      </c>
      <c r="D1252" s="3" t="n">
        <v>16</v>
      </c>
      <c r="E1252" s="3" t="n">
        <v>18</v>
      </c>
      <c r="F1252" s="24" t="n">
        <v>-0.54835856</v>
      </c>
    </row>
    <row r="1253" customFormat="false" ht="15" hidden="false" customHeight="false" outlineLevel="0" collapsed="false">
      <c r="A1253" s="3" t="n">
        <v>1252</v>
      </c>
      <c r="B1253" s="3" t="n">
        <v>1251</v>
      </c>
      <c r="C1253" s="3" t="n">
        <v>1</v>
      </c>
      <c r="D1253" s="3" t="n">
        <v>16</v>
      </c>
      <c r="E1253" s="3" t="n">
        <v>19</v>
      </c>
      <c r="F1253" s="24" t="n">
        <v>-1.29638302</v>
      </c>
    </row>
    <row r="1254" customFormat="false" ht="15" hidden="false" customHeight="false" outlineLevel="0" collapsed="false">
      <c r="A1254" s="3" t="n">
        <v>1253</v>
      </c>
      <c r="B1254" s="3" t="n">
        <v>1252</v>
      </c>
      <c r="C1254" s="3" t="n">
        <v>1</v>
      </c>
      <c r="D1254" s="3" t="n">
        <v>16</v>
      </c>
      <c r="E1254" s="3" t="n">
        <v>20</v>
      </c>
      <c r="F1254" s="24" t="n">
        <v>-0.699893117</v>
      </c>
    </row>
    <row r="1255" customFormat="false" ht="15" hidden="false" customHeight="false" outlineLevel="0" collapsed="false">
      <c r="A1255" s="3" t="n">
        <v>1254</v>
      </c>
      <c r="B1255" s="3" t="n">
        <v>1253</v>
      </c>
      <c r="C1255" s="3" t="n">
        <v>1</v>
      </c>
      <c r="D1255" s="3" t="n">
        <v>16</v>
      </c>
      <c r="E1255" s="3" t="n">
        <v>21</v>
      </c>
      <c r="F1255" s="24" t="n">
        <v>-0.678061068</v>
      </c>
    </row>
    <row r="1256" customFormat="false" ht="15" hidden="false" customHeight="false" outlineLevel="0" collapsed="false">
      <c r="A1256" s="3" t="n">
        <v>1255</v>
      </c>
      <c r="B1256" s="3" t="n">
        <v>1254</v>
      </c>
      <c r="C1256" s="3" t="n">
        <v>1</v>
      </c>
      <c r="D1256" s="3" t="n">
        <v>16</v>
      </c>
      <c r="E1256" s="3" t="n">
        <v>22</v>
      </c>
      <c r="F1256" s="24" t="n">
        <v>-0.678061068</v>
      </c>
    </row>
    <row r="1257" customFormat="false" ht="15" hidden="false" customHeight="false" outlineLevel="0" collapsed="false">
      <c r="A1257" s="3" t="n">
        <v>1256</v>
      </c>
      <c r="B1257" s="3" t="n">
        <v>1255</v>
      </c>
      <c r="C1257" s="3" t="n">
        <v>1</v>
      </c>
      <c r="D1257" s="3" t="n">
        <v>16</v>
      </c>
      <c r="E1257" s="3" t="n">
        <v>23</v>
      </c>
      <c r="F1257" s="24" t="n">
        <v>-0.678061068</v>
      </c>
    </row>
    <row r="1258" customFormat="false" ht="15" hidden="false" customHeight="false" outlineLevel="0" collapsed="false">
      <c r="A1258" s="3" t="n">
        <v>1257</v>
      </c>
      <c r="B1258" s="3" t="n">
        <v>1256</v>
      </c>
      <c r="C1258" s="3" t="n">
        <v>1</v>
      </c>
      <c r="D1258" s="3" t="n">
        <v>16</v>
      </c>
      <c r="E1258" s="3" t="n">
        <v>24</v>
      </c>
      <c r="F1258" s="24" t="n">
        <v>-0.678061068</v>
      </c>
    </row>
    <row r="1259" customFormat="false" ht="15" hidden="false" customHeight="false" outlineLevel="0" collapsed="false">
      <c r="A1259" s="3" t="n">
        <v>1258</v>
      </c>
      <c r="B1259" s="3" t="n">
        <v>1257</v>
      </c>
      <c r="C1259" s="3" t="n">
        <v>1</v>
      </c>
      <c r="D1259" s="3" t="n">
        <v>16</v>
      </c>
      <c r="E1259" s="3" t="n">
        <v>25</v>
      </c>
      <c r="F1259" s="24" t="n">
        <v>-0.678061068</v>
      </c>
    </row>
    <row r="1260" customFormat="false" ht="15" hidden="false" customHeight="false" outlineLevel="0" collapsed="false">
      <c r="A1260" s="3" t="n">
        <v>1259</v>
      </c>
      <c r="B1260" s="3" t="n">
        <v>1258</v>
      </c>
      <c r="C1260" s="3" t="n">
        <v>1</v>
      </c>
      <c r="D1260" s="3" t="n">
        <v>16</v>
      </c>
      <c r="E1260" s="3" t="n">
        <v>26</v>
      </c>
      <c r="F1260" s="24" t="n">
        <v>-0.678061068</v>
      </c>
    </row>
    <row r="1261" customFormat="false" ht="15" hidden="false" customHeight="false" outlineLevel="0" collapsed="false">
      <c r="A1261" s="3" t="n">
        <v>1260</v>
      </c>
      <c r="B1261" s="3" t="n">
        <v>1259</v>
      </c>
      <c r="C1261" s="3" t="n">
        <v>1</v>
      </c>
      <c r="D1261" s="3" t="n">
        <v>16</v>
      </c>
      <c r="E1261" s="3" t="n">
        <v>27</v>
      </c>
      <c r="F1261" s="24" t="n">
        <v>-0.401937425</v>
      </c>
    </row>
    <row r="1262" customFormat="false" ht="15" hidden="false" customHeight="false" outlineLevel="0" collapsed="false">
      <c r="A1262" s="3" t="n">
        <v>1261</v>
      </c>
      <c r="B1262" s="3" t="n">
        <v>1260</v>
      </c>
      <c r="C1262" s="3" t="n">
        <v>1</v>
      </c>
      <c r="D1262" s="3" t="n">
        <v>17</v>
      </c>
      <c r="E1262" s="3" t="n">
        <v>0</v>
      </c>
      <c r="F1262" s="24" t="n">
        <v>-0.749848783</v>
      </c>
    </row>
    <row r="1263" customFormat="false" ht="15" hidden="false" customHeight="false" outlineLevel="0" collapsed="false">
      <c r="A1263" s="3" t="n">
        <v>1262</v>
      </c>
      <c r="B1263" s="3" t="n">
        <v>1261</v>
      </c>
      <c r="C1263" s="3" t="n">
        <v>1</v>
      </c>
      <c r="D1263" s="3" t="n">
        <v>17</v>
      </c>
      <c r="E1263" s="3" t="n">
        <v>1</v>
      </c>
      <c r="F1263" s="24" t="n">
        <v>-0.678061068</v>
      </c>
    </row>
    <row r="1264" customFormat="false" ht="15" hidden="false" customHeight="false" outlineLevel="0" collapsed="false">
      <c r="A1264" s="3" t="n">
        <v>1263</v>
      </c>
      <c r="B1264" s="3" t="n">
        <v>1262</v>
      </c>
      <c r="C1264" s="3" t="n">
        <v>1</v>
      </c>
      <c r="D1264" s="3" t="n">
        <v>17</v>
      </c>
      <c r="E1264" s="3" t="n">
        <v>2</v>
      </c>
      <c r="F1264" s="24" t="n">
        <v>-0.678061068</v>
      </c>
    </row>
    <row r="1265" customFormat="false" ht="15" hidden="false" customHeight="false" outlineLevel="0" collapsed="false">
      <c r="A1265" s="3" t="n">
        <v>1264</v>
      </c>
      <c r="B1265" s="3" t="n">
        <v>1263</v>
      </c>
      <c r="C1265" s="3" t="n">
        <v>1</v>
      </c>
      <c r="D1265" s="3" t="n">
        <v>17</v>
      </c>
      <c r="E1265" s="3" t="n">
        <v>3</v>
      </c>
      <c r="F1265" s="24" t="n">
        <v>-0.678061068</v>
      </c>
    </row>
    <row r="1266" customFormat="false" ht="15" hidden="false" customHeight="false" outlineLevel="0" collapsed="false">
      <c r="A1266" s="3" t="n">
        <v>1265</v>
      </c>
      <c r="B1266" s="3" t="n">
        <v>1264</v>
      </c>
      <c r="C1266" s="3" t="n">
        <v>1</v>
      </c>
      <c r="D1266" s="3" t="n">
        <v>17</v>
      </c>
      <c r="E1266" s="3" t="n">
        <v>4</v>
      </c>
      <c r="F1266" s="24" t="n">
        <v>-0.678061068</v>
      </c>
    </row>
    <row r="1267" customFormat="false" ht="15" hidden="false" customHeight="false" outlineLevel="0" collapsed="false">
      <c r="A1267" s="3" t="n">
        <v>1266</v>
      </c>
      <c r="B1267" s="3" t="n">
        <v>1265</v>
      </c>
      <c r="C1267" s="3" t="n">
        <v>1</v>
      </c>
      <c r="D1267" s="3" t="n">
        <v>17</v>
      </c>
      <c r="E1267" s="3" t="n">
        <v>5</v>
      </c>
      <c r="F1267" s="24" t="n">
        <v>-0.678061068</v>
      </c>
    </row>
    <row r="1268" customFormat="false" ht="15" hidden="false" customHeight="false" outlineLevel="0" collapsed="false">
      <c r="A1268" s="3" t="n">
        <v>1267</v>
      </c>
      <c r="B1268" s="3" t="n">
        <v>1266</v>
      </c>
      <c r="C1268" s="3" t="n">
        <v>1</v>
      </c>
      <c r="D1268" s="3" t="n">
        <v>17</v>
      </c>
      <c r="E1268" s="3" t="n">
        <v>6</v>
      </c>
      <c r="F1268" s="24" t="n">
        <v>-0.678061068</v>
      </c>
    </row>
    <row r="1269" customFormat="false" ht="15" hidden="false" customHeight="false" outlineLevel="0" collapsed="false">
      <c r="A1269" s="3" t="n">
        <v>1268</v>
      </c>
      <c r="B1269" s="3" t="n">
        <v>1267</v>
      </c>
      <c r="C1269" s="3" t="n">
        <v>1</v>
      </c>
      <c r="D1269" s="3" t="n">
        <v>17</v>
      </c>
      <c r="E1269" s="3" t="n">
        <v>7</v>
      </c>
      <c r="F1269" s="24" t="n">
        <v>-0.678061068</v>
      </c>
    </row>
    <row r="1270" customFormat="false" ht="15" hidden="false" customHeight="false" outlineLevel="0" collapsed="false">
      <c r="A1270" s="3" t="n">
        <v>1269</v>
      </c>
      <c r="B1270" s="3" t="n">
        <v>1268</v>
      </c>
      <c r="C1270" s="3" t="n">
        <v>1</v>
      </c>
      <c r="D1270" s="3" t="n">
        <v>17</v>
      </c>
      <c r="E1270" s="3" t="n">
        <v>8</v>
      </c>
      <c r="F1270" s="24" t="n">
        <v>-0.678061068</v>
      </c>
    </row>
    <row r="1271" customFormat="false" ht="15" hidden="false" customHeight="false" outlineLevel="0" collapsed="false">
      <c r="A1271" s="3" t="n">
        <v>1270</v>
      </c>
      <c r="B1271" s="3" t="n">
        <v>1269</v>
      </c>
      <c r="C1271" s="3" t="n">
        <v>1</v>
      </c>
      <c r="D1271" s="3" t="n">
        <v>17</v>
      </c>
      <c r="E1271" s="3" t="n">
        <v>9</v>
      </c>
      <c r="F1271" s="24" t="n">
        <v>-0.678061068</v>
      </c>
    </row>
    <row r="1272" customFormat="false" ht="15" hidden="false" customHeight="false" outlineLevel="0" collapsed="false">
      <c r="A1272" s="3" t="n">
        <v>1271</v>
      </c>
      <c r="B1272" s="3" t="n">
        <v>1270</v>
      </c>
      <c r="C1272" s="3" t="n">
        <v>1</v>
      </c>
      <c r="D1272" s="3" t="n">
        <v>17</v>
      </c>
      <c r="E1272" s="3" t="n">
        <v>10</v>
      </c>
      <c r="F1272" s="24" t="n">
        <v>-0.678061068</v>
      </c>
    </row>
    <row r="1273" customFormat="false" ht="15" hidden="false" customHeight="false" outlineLevel="0" collapsed="false">
      <c r="A1273" s="3" t="n">
        <v>1272</v>
      </c>
      <c r="B1273" s="3" t="n">
        <v>1271</v>
      </c>
      <c r="C1273" s="3" t="n">
        <v>1</v>
      </c>
      <c r="D1273" s="3" t="n">
        <v>17</v>
      </c>
      <c r="E1273" s="3" t="n">
        <v>11</v>
      </c>
      <c r="F1273" s="24" t="n">
        <v>-0.678061068</v>
      </c>
    </row>
    <row r="1274" customFormat="false" ht="15" hidden="false" customHeight="false" outlineLevel="0" collapsed="false">
      <c r="A1274" s="3" t="n">
        <v>1273</v>
      </c>
      <c r="B1274" s="3" t="n">
        <v>1272</v>
      </c>
      <c r="C1274" s="3" t="n">
        <v>1</v>
      </c>
      <c r="D1274" s="3" t="n">
        <v>17</v>
      </c>
      <c r="E1274" s="3" t="n">
        <v>12</v>
      </c>
      <c r="F1274" s="24" t="n">
        <v>-0.678061068</v>
      </c>
    </row>
    <row r="1275" customFormat="false" ht="15" hidden="false" customHeight="false" outlineLevel="0" collapsed="false">
      <c r="A1275" s="3" t="n">
        <v>1274</v>
      </c>
      <c r="B1275" s="3" t="n">
        <v>1273</v>
      </c>
      <c r="C1275" s="3" t="n">
        <v>1</v>
      </c>
      <c r="D1275" s="3" t="n">
        <v>17</v>
      </c>
      <c r="E1275" s="3" t="n">
        <v>13</v>
      </c>
      <c r="F1275" s="24" t="n">
        <v>-0.587154806</v>
      </c>
    </row>
    <row r="1276" customFormat="false" ht="15" hidden="false" customHeight="false" outlineLevel="0" collapsed="false">
      <c r="A1276" s="3" t="n">
        <v>1275</v>
      </c>
      <c r="B1276" s="3" t="n">
        <v>1274</v>
      </c>
      <c r="C1276" s="3" t="n">
        <v>1</v>
      </c>
      <c r="D1276" s="3" t="n">
        <v>17</v>
      </c>
      <c r="E1276" s="3" t="n">
        <v>14</v>
      </c>
      <c r="F1276" s="24" t="n">
        <v>0.579937816</v>
      </c>
    </row>
    <row r="1277" customFormat="false" ht="15" hidden="false" customHeight="false" outlineLevel="0" collapsed="false">
      <c r="A1277" s="3" t="n">
        <v>1276</v>
      </c>
      <c r="B1277" s="3" t="n">
        <v>1275</v>
      </c>
      <c r="C1277" s="3" t="n">
        <v>1</v>
      </c>
      <c r="D1277" s="3" t="n">
        <v>17</v>
      </c>
      <c r="E1277" s="3" t="n">
        <v>15</v>
      </c>
      <c r="F1277" s="24" t="n">
        <v>2.736763</v>
      </c>
    </row>
    <row r="1278" customFormat="false" ht="15" hidden="false" customHeight="false" outlineLevel="0" collapsed="false">
      <c r="A1278" s="3" t="n">
        <v>1277</v>
      </c>
      <c r="B1278" s="3" t="n">
        <v>1276</v>
      </c>
      <c r="C1278" s="3" t="n">
        <v>1</v>
      </c>
      <c r="D1278" s="3" t="n">
        <v>17</v>
      </c>
      <c r="E1278" s="3" t="n">
        <v>16</v>
      </c>
      <c r="F1278" s="24" t="n">
        <v>3.26273251</v>
      </c>
    </row>
    <row r="1279" customFormat="false" ht="15" hidden="false" customHeight="false" outlineLevel="0" collapsed="false">
      <c r="A1279" s="3" t="n">
        <v>1278</v>
      </c>
      <c r="B1279" s="3" t="n">
        <v>1277</v>
      </c>
      <c r="C1279" s="3" t="n">
        <v>1</v>
      </c>
      <c r="D1279" s="3" t="n">
        <v>17</v>
      </c>
      <c r="E1279" s="3" t="n">
        <v>17</v>
      </c>
      <c r="F1279" s="24" t="n">
        <v>0.529646516</v>
      </c>
    </row>
    <row r="1280" customFormat="false" ht="15" hidden="false" customHeight="false" outlineLevel="0" collapsed="false">
      <c r="A1280" s="3" t="n">
        <v>1279</v>
      </c>
      <c r="B1280" s="3" t="n">
        <v>1278</v>
      </c>
      <c r="C1280" s="3" t="n">
        <v>1</v>
      </c>
      <c r="D1280" s="3" t="n">
        <v>17</v>
      </c>
      <c r="E1280" s="3" t="n">
        <v>18</v>
      </c>
      <c r="F1280" s="24" t="n">
        <v>-1.10010362</v>
      </c>
    </row>
    <row r="1281" customFormat="false" ht="15" hidden="false" customHeight="false" outlineLevel="0" collapsed="false">
      <c r="A1281" s="3" t="n">
        <v>1280</v>
      </c>
      <c r="B1281" s="3" t="n">
        <v>1279</v>
      </c>
      <c r="C1281" s="3" t="n">
        <v>1</v>
      </c>
      <c r="D1281" s="3" t="n">
        <v>17</v>
      </c>
      <c r="E1281" s="3" t="n">
        <v>19</v>
      </c>
      <c r="F1281" s="24" t="n">
        <v>-0.931312501</v>
      </c>
    </row>
    <row r="1282" customFormat="false" ht="15" hidden="false" customHeight="false" outlineLevel="0" collapsed="false">
      <c r="A1282" s="3" t="n">
        <v>1281</v>
      </c>
      <c r="B1282" s="3" t="n">
        <v>1280</v>
      </c>
      <c r="C1282" s="3" t="n">
        <v>1</v>
      </c>
      <c r="D1282" s="3" t="n">
        <v>17</v>
      </c>
      <c r="E1282" s="3" t="n">
        <v>20</v>
      </c>
      <c r="F1282" s="24" t="n">
        <v>-0.678061068</v>
      </c>
    </row>
    <row r="1283" customFormat="false" ht="15" hidden="false" customHeight="false" outlineLevel="0" collapsed="false">
      <c r="A1283" s="3" t="n">
        <v>1282</v>
      </c>
      <c r="B1283" s="3" t="n">
        <v>1281</v>
      </c>
      <c r="C1283" s="3" t="n">
        <v>1</v>
      </c>
      <c r="D1283" s="3" t="n">
        <v>17</v>
      </c>
      <c r="E1283" s="3" t="n">
        <v>21</v>
      </c>
      <c r="F1283" s="24" t="n">
        <v>-0.678061068</v>
      </c>
    </row>
    <row r="1284" customFormat="false" ht="15" hidden="false" customHeight="false" outlineLevel="0" collapsed="false">
      <c r="A1284" s="3" t="n">
        <v>1283</v>
      </c>
      <c r="B1284" s="3" t="n">
        <v>1282</v>
      </c>
      <c r="C1284" s="3" t="n">
        <v>1</v>
      </c>
      <c r="D1284" s="3" t="n">
        <v>17</v>
      </c>
      <c r="E1284" s="3" t="n">
        <v>22</v>
      </c>
      <c r="F1284" s="24" t="n">
        <v>-0.678061068</v>
      </c>
    </row>
    <row r="1285" customFormat="false" ht="15" hidden="false" customHeight="false" outlineLevel="0" collapsed="false">
      <c r="A1285" s="3" t="n">
        <v>1284</v>
      </c>
      <c r="B1285" s="3" t="n">
        <v>1283</v>
      </c>
      <c r="C1285" s="3" t="n">
        <v>1</v>
      </c>
      <c r="D1285" s="3" t="n">
        <v>17</v>
      </c>
      <c r="E1285" s="3" t="n">
        <v>23</v>
      </c>
      <c r="F1285" s="24" t="n">
        <v>-0.678061068</v>
      </c>
    </row>
    <row r="1286" customFormat="false" ht="15" hidden="false" customHeight="false" outlineLevel="0" collapsed="false">
      <c r="A1286" s="3" t="n">
        <v>1285</v>
      </c>
      <c r="B1286" s="3" t="n">
        <v>1284</v>
      </c>
      <c r="C1286" s="3" t="n">
        <v>1</v>
      </c>
      <c r="D1286" s="3" t="n">
        <v>17</v>
      </c>
      <c r="E1286" s="3" t="n">
        <v>24</v>
      </c>
      <c r="F1286" s="24" t="n">
        <v>-0.678061068</v>
      </c>
    </row>
    <row r="1287" customFormat="false" ht="15" hidden="false" customHeight="false" outlineLevel="0" collapsed="false">
      <c r="A1287" s="3" t="n">
        <v>1286</v>
      </c>
      <c r="B1287" s="3" t="n">
        <v>1285</v>
      </c>
      <c r="C1287" s="3" t="n">
        <v>1</v>
      </c>
      <c r="D1287" s="3" t="n">
        <v>17</v>
      </c>
      <c r="E1287" s="3" t="n">
        <v>25</v>
      </c>
      <c r="F1287" s="24" t="n">
        <v>-0.678061068</v>
      </c>
    </row>
    <row r="1288" customFormat="false" ht="15" hidden="false" customHeight="false" outlineLevel="0" collapsed="false">
      <c r="A1288" s="3" t="n">
        <v>1287</v>
      </c>
      <c r="B1288" s="3" t="n">
        <v>1286</v>
      </c>
      <c r="C1288" s="3" t="n">
        <v>1</v>
      </c>
      <c r="D1288" s="3" t="n">
        <v>17</v>
      </c>
      <c r="E1288" s="3" t="n">
        <v>26</v>
      </c>
      <c r="F1288" s="24" t="n">
        <v>-0.678061068</v>
      </c>
    </row>
    <row r="1289" customFormat="false" ht="15" hidden="false" customHeight="false" outlineLevel="0" collapsed="false">
      <c r="A1289" s="3" t="n">
        <v>1288</v>
      </c>
      <c r="B1289" s="3" t="n">
        <v>1287</v>
      </c>
      <c r="C1289" s="3" t="n">
        <v>1</v>
      </c>
      <c r="D1289" s="3" t="n">
        <v>17</v>
      </c>
      <c r="E1289" s="3" t="n">
        <v>27</v>
      </c>
      <c r="F1289" s="24" t="n">
        <v>-0.401937425</v>
      </c>
    </row>
    <row r="1290" customFormat="false" ht="15" hidden="false" customHeight="false" outlineLevel="0" collapsed="false">
      <c r="A1290" s="3" t="n">
        <v>1289</v>
      </c>
      <c r="B1290" s="3" t="n">
        <v>1288</v>
      </c>
      <c r="C1290" s="3" t="n">
        <v>1</v>
      </c>
      <c r="D1290" s="3" t="n">
        <v>18</v>
      </c>
      <c r="E1290" s="3" t="n">
        <v>0</v>
      </c>
      <c r="F1290" s="24" t="n">
        <v>-0.749848783</v>
      </c>
    </row>
    <row r="1291" customFormat="false" ht="15" hidden="false" customHeight="false" outlineLevel="0" collapsed="false">
      <c r="A1291" s="3" t="n">
        <v>1290</v>
      </c>
      <c r="B1291" s="3" t="n">
        <v>1289</v>
      </c>
      <c r="C1291" s="3" t="n">
        <v>1</v>
      </c>
      <c r="D1291" s="3" t="n">
        <v>18</v>
      </c>
      <c r="E1291" s="3" t="n">
        <v>1</v>
      </c>
      <c r="F1291" s="24" t="n">
        <v>-0.678061068</v>
      </c>
    </row>
    <row r="1292" customFormat="false" ht="15" hidden="false" customHeight="false" outlineLevel="0" collapsed="false">
      <c r="A1292" s="3" t="n">
        <v>1291</v>
      </c>
      <c r="B1292" s="3" t="n">
        <v>1290</v>
      </c>
      <c r="C1292" s="3" t="n">
        <v>1</v>
      </c>
      <c r="D1292" s="3" t="n">
        <v>18</v>
      </c>
      <c r="E1292" s="3" t="n">
        <v>2</v>
      </c>
      <c r="F1292" s="24" t="n">
        <v>-0.678061068</v>
      </c>
    </row>
    <row r="1293" customFormat="false" ht="15" hidden="false" customHeight="false" outlineLevel="0" collapsed="false">
      <c r="A1293" s="3" t="n">
        <v>1292</v>
      </c>
      <c r="B1293" s="3" t="n">
        <v>1291</v>
      </c>
      <c r="C1293" s="3" t="n">
        <v>1</v>
      </c>
      <c r="D1293" s="3" t="n">
        <v>18</v>
      </c>
      <c r="E1293" s="3" t="n">
        <v>3</v>
      </c>
      <c r="F1293" s="24" t="n">
        <v>-0.678061068</v>
      </c>
    </row>
    <row r="1294" customFormat="false" ht="15" hidden="false" customHeight="false" outlineLevel="0" collapsed="false">
      <c r="A1294" s="3" t="n">
        <v>1293</v>
      </c>
      <c r="B1294" s="3" t="n">
        <v>1292</v>
      </c>
      <c r="C1294" s="3" t="n">
        <v>1</v>
      </c>
      <c r="D1294" s="3" t="n">
        <v>18</v>
      </c>
      <c r="E1294" s="3" t="n">
        <v>4</v>
      </c>
      <c r="F1294" s="24" t="n">
        <v>-0.678061068</v>
      </c>
    </row>
    <row r="1295" customFormat="false" ht="15" hidden="false" customHeight="false" outlineLevel="0" collapsed="false">
      <c r="A1295" s="3" t="n">
        <v>1294</v>
      </c>
      <c r="B1295" s="3" t="n">
        <v>1293</v>
      </c>
      <c r="C1295" s="3" t="n">
        <v>1</v>
      </c>
      <c r="D1295" s="3" t="n">
        <v>18</v>
      </c>
      <c r="E1295" s="3" t="n">
        <v>5</v>
      </c>
      <c r="F1295" s="24" t="n">
        <v>-0.678061068</v>
      </c>
    </row>
    <row r="1296" customFormat="false" ht="15" hidden="false" customHeight="false" outlineLevel="0" collapsed="false">
      <c r="A1296" s="3" t="n">
        <v>1295</v>
      </c>
      <c r="B1296" s="3" t="n">
        <v>1294</v>
      </c>
      <c r="C1296" s="3" t="n">
        <v>1</v>
      </c>
      <c r="D1296" s="3" t="n">
        <v>18</v>
      </c>
      <c r="E1296" s="3" t="n">
        <v>6</v>
      </c>
      <c r="F1296" s="24" t="n">
        <v>-0.678061068</v>
      </c>
    </row>
    <row r="1297" customFormat="false" ht="15" hidden="false" customHeight="false" outlineLevel="0" collapsed="false">
      <c r="A1297" s="3" t="n">
        <v>1296</v>
      </c>
      <c r="B1297" s="3" t="n">
        <v>1295</v>
      </c>
      <c r="C1297" s="3" t="n">
        <v>1</v>
      </c>
      <c r="D1297" s="3" t="n">
        <v>18</v>
      </c>
      <c r="E1297" s="3" t="n">
        <v>7</v>
      </c>
      <c r="F1297" s="24" t="n">
        <v>-0.678061068</v>
      </c>
    </row>
    <row r="1298" customFormat="false" ht="15" hidden="false" customHeight="false" outlineLevel="0" collapsed="false">
      <c r="A1298" s="3" t="n">
        <v>1297</v>
      </c>
      <c r="B1298" s="3" t="n">
        <v>1296</v>
      </c>
      <c r="C1298" s="3" t="n">
        <v>1</v>
      </c>
      <c r="D1298" s="3" t="n">
        <v>18</v>
      </c>
      <c r="E1298" s="3" t="n">
        <v>8</v>
      </c>
      <c r="F1298" s="24" t="n">
        <v>-0.678061068</v>
      </c>
    </row>
    <row r="1299" customFormat="false" ht="15" hidden="false" customHeight="false" outlineLevel="0" collapsed="false">
      <c r="A1299" s="3" t="n">
        <v>1298</v>
      </c>
      <c r="B1299" s="3" t="n">
        <v>1297</v>
      </c>
      <c r="C1299" s="3" t="n">
        <v>1</v>
      </c>
      <c r="D1299" s="3" t="n">
        <v>18</v>
      </c>
      <c r="E1299" s="3" t="n">
        <v>9</v>
      </c>
      <c r="F1299" s="24" t="n">
        <v>-0.678061068</v>
      </c>
    </row>
    <row r="1300" customFormat="false" ht="15" hidden="false" customHeight="false" outlineLevel="0" collapsed="false">
      <c r="A1300" s="3" t="n">
        <v>1299</v>
      </c>
      <c r="B1300" s="3" t="n">
        <v>1298</v>
      </c>
      <c r="C1300" s="3" t="n">
        <v>1</v>
      </c>
      <c r="D1300" s="3" t="n">
        <v>18</v>
      </c>
      <c r="E1300" s="3" t="n">
        <v>10</v>
      </c>
      <c r="F1300" s="24" t="n">
        <v>-0.678061068</v>
      </c>
    </row>
    <row r="1301" customFormat="false" ht="15" hidden="false" customHeight="false" outlineLevel="0" collapsed="false">
      <c r="A1301" s="3" t="n">
        <v>1300</v>
      </c>
      <c r="B1301" s="3" t="n">
        <v>1299</v>
      </c>
      <c r="C1301" s="3" t="n">
        <v>1</v>
      </c>
      <c r="D1301" s="3" t="n">
        <v>18</v>
      </c>
      <c r="E1301" s="3" t="n">
        <v>11</v>
      </c>
      <c r="F1301" s="24" t="n">
        <v>-0.678061068</v>
      </c>
    </row>
    <row r="1302" customFormat="false" ht="15" hidden="false" customHeight="false" outlineLevel="0" collapsed="false">
      <c r="A1302" s="3" t="n">
        <v>1301</v>
      </c>
      <c r="B1302" s="3" t="n">
        <v>1300</v>
      </c>
      <c r="C1302" s="3" t="n">
        <v>1</v>
      </c>
      <c r="D1302" s="3" t="n">
        <v>18</v>
      </c>
      <c r="E1302" s="3" t="n">
        <v>12</v>
      </c>
      <c r="F1302" s="24" t="n">
        <v>-0.655031502</v>
      </c>
    </row>
    <row r="1303" customFormat="false" ht="15" hidden="false" customHeight="false" outlineLevel="0" collapsed="false">
      <c r="A1303" s="3" t="n">
        <v>1302</v>
      </c>
      <c r="B1303" s="3" t="n">
        <v>1301</v>
      </c>
      <c r="C1303" s="3" t="n">
        <v>1</v>
      </c>
      <c r="D1303" s="3" t="n">
        <v>18</v>
      </c>
      <c r="E1303" s="3" t="n">
        <v>13</v>
      </c>
      <c r="F1303" s="24" t="n">
        <v>0.0344009995</v>
      </c>
    </row>
    <row r="1304" customFormat="false" ht="15" hidden="false" customHeight="false" outlineLevel="0" collapsed="false">
      <c r="A1304" s="3" t="n">
        <v>1303</v>
      </c>
      <c r="B1304" s="3" t="n">
        <v>1302</v>
      </c>
      <c r="C1304" s="3" t="n">
        <v>1</v>
      </c>
      <c r="D1304" s="3" t="n">
        <v>18</v>
      </c>
      <c r="E1304" s="3" t="n">
        <v>14</v>
      </c>
      <c r="F1304" s="24" t="n">
        <v>2.30418205</v>
      </c>
    </row>
    <row r="1305" customFormat="false" ht="15" hidden="false" customHeight="false" outlineLevel="0" collapsed="false">
      <c r="A1305" s="3" t="n">
        <v>1304</v>
      </c>
      <c r="B1305" s="3" t="n">
        <v>1303</v>
      </c>
      <c r="C1305" s="3" t="n">
        <v>1</v>
      </c>
      <c r="D1305" s="3" t="n">
        <v>18</v>
      </c>
      <c r="E1305" s="3" t="n">
        <v>15</v>
      </c>
      <c r="F1305" s="24" t="n">
        <v>3.46481657</v>
      </c>
    </row>
    <row r="1306" customFormat="false" ht="15" hidden="false" customHeight="false" outlineLevel="0" collapsed="false">
      <c r="A1306" s="3" t="n">
        <v>1305</v>
      </c>
      <c r="B1306" s="3" t="n">
        <v>1304</v>
      </c>
      <c r="C1306" s="3" t="n">
        <v>1</v>
      </c>
      <c r="D1306" s="3" t="n">
        <v>18</v>
      </c>
      <c r="E1306" s="3" t="n">
        <v>16</v>
      </c>
      <c r="F1306" s="24" t="n">
        <v>2.07654858</v>
      </c>
    </row>
    <row r="1307" customFormat="false" ht="15" hidden="false" customHeight="false" outlineLevel="0" collapsed="false">
      <c r="A1307" s="3" t="n">
        <v>1306</v>
      </c>
      <c r="B1307" s="3" t="n">
        <v>1305</v>
      </c>
      <c r="C1307" s="3" t="n">
        <v>1</v>
      </c>
      <c r="D1307" s="3" t="n">
        <v>18</v>
      </c>
      <c r="E1307" s="3" t="n">
        <v>17</v>
      </c>
      <c r="F1307" s="24" t="n">
        <v>-0.583807111</v>
      </c>
    </row>
    <row r="1308" customFormat="false" ht="15" hidden="false" customHeight="false" outlineLevel="0" collapsed="false">
      <c r="A1308" s="3" t="n">
        <v>1307</v>
      </c>
      <c r="B1308" s="3" t="n">
        <v>1306</v>
      </c>
      <c r="C1308" s="3" t="n">
        <v>1</v>
      </c>
      <c r="D1308" s="3" t="n">
        <v>18</v>
      </c>
      <c r="E1308" s="3" t="n">
        <v>18</v>
      </c>
      <c r="F1308" s="24" t="n">
        <v>-1.28916121</v>
      </c>
    </row>
    <row r="1309" customFormat="false" ht="15" hidden="false" customHeight="false" outlineLevel="0" collapsed="false">
      <c r="A1309" s="3" t="n">
        <v>1308</v>
      </c>
      <c r="B1309" s="3" t="n">
        <v>1307</v>
      </c>
      <c r="C1309" s="3" t="n">
        <v>1</v>
      </c>
      <c r="D1309" s="3" t="n">
        <v>18</v>
      </c>
      <c r="E1309" s="3" t="n">
        <v>19</v>
      </c>
      <c r="F1309" s="24" t="n">
        <v>-0.678061068</v>
      </c>
    </row>
    <row r="1310" customFormat="false" ht="15" hidden="false" customHeight="false" outlineLevel="0" collapsed="false">
      <c r="A1310" s="3" t="n">
        <v>1309</v>
      </c>
      <c r="B1310" s="3" t="n">
        <v>1308</v>
      </c>
      <c r="C1310" s="3" t="n">
        <v>1</v>
      </c>
      <c r="D1310" s="3" t="n">
        <v>18</v>
      </c>
      <c r="E1310" s="3" t="n">
        <v>20</v>
      </c>
      <c r="F1310" s="24" t="n">
        <v>-0.678061068</v>
      </c>
    </row>
    <row r="1311" customFormat="false" ht="15" hidden="false" customHeight="false" outlineLevel="0" collapsed="false">
      <c r="A1311" s="3" t="n">
        <v>1310</v>
      </c>
      <c r="B1311" s="3" t="n">
        <v>1309</v>
      </c>
      <c r="C1311" s="3" t="n">
        <v>1</v>
      </c>
      <c r="D1311" s="3" t="n">
        <v>18</v>
      </c>
      <c r="E1311" s="3" t="n">
        <v>21</v>
      </c>
      <c r="F1311" s="24" t="n">
        <v>-0.678061068</v>
      </c>
    </row>
    <row r="1312" customFormat="false" ht="15" hidden="false" customHeight="false" outlineLevel="0" collapsed="false">
      <c r="A1312" s="3" t="n">
        <v>1311</v>
      </c>
      <c r="B1312" s="3" t="n">
        <v>1310</v>
      </c>
      <c r="C1312" s="3" t="n">
        <v>1</v>
      </c>
      <c r="D1312" s="3" t="n">
        <v>18</v>
      </c>
      <c r="E1312" s="3" t="n">
        <v>22</v>
      </c>
      <c r="F1312" s="24" t="n">
        <v>-0.678061068</v>
      </c>
    </row>
    <row r="1313" customFormat="false" ht="15" hidden="false" customHeight="false" outlineLevel="0" collapsed="false">
      <c r="A1313" s="3" t="n">
        <v>1312</v>
      </c>
      <c r="B1313" s="3" t="n">
        <v>1311</v>
      </c>
      <c r="C1313" s="3" t="n">
        <v>1</v>
      </c>
      <c r="D1313" s="3" t="n">
        <v>18</v>
      </c>
      <c r="E1313" s="3" t="n">
        <v>23</v>
      </c>
      <c r="F1313" s="24" t="n">
        <v>-0.678061068</v>
      </c>
    </row>
    <row r="1314" customFormat="false" ht="15" hidden="false" customHeight="false" outlineLevel="0" collapsed="false">
      <c r="A1314" s="3" t="n">
        <v>1313</v>
      </c>
      <c r="B1314" s="3" t="n">
        <v>1312</v>
      </c>
      <c r="C1314" s="3" t="n">
        <v>1</v>
      </c>
      <c r="D1314" s="3" t="n">
        <v>18</v>
      </c>
      <c r="E1314" s="3" t="n">
        <v>24</v>
      </c>
      <c r="F1314" s="24" t="n">
        <v>-0.678061068</v>
      </c>
    </row>
    <row r="1315" customFormat="false" ht="15" hidden="false" customHeight="false" outlineLevel="0" collapsed="false">
      <c r="A1315" s="3" t="n">
        <v>1314</v>
      </c>
      <c r="B1315" s="3" t="n">
        <v>1313</v>
      </c>
      <c r="C1315" s="3" t="n">
        <v>1</v>
      </c>
      <c r="D1315" s="3" t="n">
        <v>18</v>
      </c>
      <c r="E1315" s="3" t="n">
        <v>25</v>
      </c>
      <c r="F1315" s="24" t="n">
        <v>-0.678061068</v>
      </c>
    </row>
    <row r="1316" customFormat="false" ht="15" hidden="false" customHeight="false" outlineLevel="0" collapsed="false">
      <c r="A1316" s="3" t="n">
        <v>1315</v>
      </c>
      <c r="B1316" s="3" t="n">
        <v>1314</v>
      </c>
      <c r="C1316" s="3" t="n">
        <v>1</v>
      </c>
      <c r="D1316" s="3" t="n">
        <v>18</v>
      </c>
      <c r="E1316" s="3" t="n">
        <v>26</v>
      </c>
      <c r="F1316" s="24" t="n">
        <v>-0.678061068</v>
      </c>
    </row>
    <row r="1317" customFormat="false" ht="15" hidden="false" customHeight="false" outlineLevel="0" collapsed="false">
      <c r="A1317" s="3" t="n">
        <v>1316</v>
      </c>
      <c r="B1317" s="3" t="n">
        <v>1315</v>
      </c>
      <c r="C1317" s="3" t="n">
        <v>1</v>
      </c>
      <c r="D1317" s="3" t="n">
        <v>18</v>
      </c>
      <c r="E1317" s="3" t="n">
        <v>27</v>
      </c>
      <c r="F1317" s="24" t="n">
        <v>-0.401937425</v>
      </c>
    </row>
    <row r="1318" customFormat="false" ht="15" hidden="false" customHeight="false" outlineLevel="0" collapsed="false">
      <c r="A1318" s="3" t="n">
        <v>1317</v>
      </c>
      <c r="B1318" s="3" t="n">
        <v>1316</v>
      </c>
      <c r="C1318" s="3" t="n">
        <v>1</v>
      </c>
      <c r="D1318" s="3" t="n">
        <v>19</v>
      </c>
      <c r="E1318" s="3" t="n">
        <v>0</v>
      </c>
      <c r="F1318" s="24" t="n">
        <v>-0.749848783</v>
      </c>
    </row>
    <row r="1319" customFormat="false" ht="15" hidden="false" customHeight="false" outlineLevel="0" collapsed="false">
      <c r="A1319" s="3" t="n">
        <v>1318</v>
      </c>
      <c r="B1319" s="3" t="n">
        <v>1317</v>
      </c>
      <c r="C1319" s="3" t="n">
        <v>1</v>
      </c>
      <c r="D1319" s="3" t="n">
        <v>19</v>
      </c>
      <c r="E1319" s="3" t="n">
        <v>1</v>
      </c>
      <c r="F1319" s="24" t="n">
        <v>-0.678061068</v>
      </c>
    </row>
    <row r="1320" customFormat="false" ht="15" hidden="false" customHeight="false" outlineLevel="0" collapsed="false">
      <c r="A1320" s="3" t="n">
        <v>1319</v>
      </c>
      <c r="B1320" s="3" t="n">
        <v>1318</v>
      </c>
      <c r="C1320" s="3" t="n">
        <v>1</v>
      </c>
      <c r="D1320" s="3" t="n">
        <v>19</v>
      </c>
      <c r="E1320" s="3" t="n">
        <v>2</v>
      </c>
      <c r="F1320" s="24" t="n">
        <v>-0.678061068</v>
      </c>
    </row>
    <row r="1321" customFormat="false" ht="15" hidden="false" customHeight="false" outlineLevel="0" collapsed="false">
      <c r="A1321" s="3" t="n">
        <v>1320</v>
      </c>
      <c r="B1321" s="3" t="n">
        <v>1319</v>
      </c>
      <c r="C1321" s="3" t="n">
        <v>1</v>
      </c>
      <c r="D1321" s="3" t="n">
        <v>19</v>
      </c>
      <c r="E1321" s="3" t="n">
        <v>3</v>
      </c>
      <c r="F1321" s="24" t="n">
        <v>-0.678061068</v>
      </c>
    </row>
    <row r="1322" customFormat="false" ht="15" hidden="false" customHeight="false" outlineLevel="0" collapsed="false">
      <c r="A1322" s="3" t="n">
        <v>1321</v>
      </c>
      <c r="B1322" s="3" t="n">
        <v>1320</v>
      </c>
      <c r="C1322" s="3" t="n">
        <v>1</v>
      </c>
      <c r="D1322" s="3" t="n">
        <v>19</v>
      </c>
      <c r="E1322" s="3" t="n">
        <v>4</v>
      </c>
      <c r="F1322" s="24" t="n">
        <v>-0.678061068</v>
      </c>
    </row>
    <row r="1323" customFormat="false" ht="15" hidden="false" customHeight="false" outlineLevel="0" collapsed="false">
      <c r="A1323" s="3" t="n">
        <v>1322</v>
      </c>
      <c r="B1323" s="3" t="n">
        <v>1321</v>
      </c>
      <c r="C1323" s="3" t="n">
        <v>1</v>
      </c>
      <c r="D1323" s="3" t="n">
        <v>19</v>
      </c>
      <c r="E1323" s="3" t="n">
        <v>5</v>
      </c>
      <c r="F1323" s="24" t="n">
        <v>-0.678061068</v>
      </c>
    </row>
    <row r="1324" customFormat="false" ht="15" hidden="false" customHeight="false" outlineLevel="0" collapsed="false">
      <c r="A1324" s="3" t="n">
        <v>1323</v>
      </c>
      <c r="B1324" s="3" t="n">
        <v>1322</v>
      </c>
      <c r="C1324" s="3" t="n">
        <v>1</v>
      </c>
      <c r="D1324" s="3" t="n">
        <v>19</v>
      </c>
      <c r="E1324" s="3" t="n">
        <v>6</v>
      </c>
      <c r="F1324" s="24" t="n">
        <v>-0.678061068</v>
      </c>
    </row>
    <row r="1325" customFormat="false" ht="15" hidden="false" customHeight="false" outlineLevel="0" collapsed="false">
      <c r="A1325" s="3" t="n">
        <v>1324</v>
      </c>
      <c r="B1325" s="3" t="n">
        <v>1323</v>
      </c>
      <c r="C1325" s="3" t="n">
        <v>1</v>
      </c>
      <c r="D1325" s="3" t="n">
        <v>19</v>
      </c>
      <c r="E1325" s="3" t="n">
        <v>7</v>
      </c>
      <c r="F1325" s="24" t="n">
        <v>-0.678061068</v>
      </c>
    </row>
    <row r="1326" customFormat="false" ht="15" hidden="false" customHeight="false" outlineLevel="0" collapsed="false">
      <c r="A1326" s="3" t="n">
        <v>1325</v>
      </c>
      <c r="B1326" s="3" t="n">
        <v>1324</v>
      </c>
      <c r="C1326" s="3" t="n">
        <v>1</v>
      </c>
      <c r="D1326" s="3" t="n">
        <v>19</v>
      </c>
      <c r="E1326" s="3" t="n">
        <v>8</v>
      </c>
      <c r="F1326" s="24" t="n">
        <v>-0.678061068</v>
      </c>
    </row>
    <row r="1327" customFormat="false" ht="15" hidden="false" customHeight="false" outlineLevel="0" collapsed="false">
      <c r="A1327" s="3" t="n">
        <v>1326</v>
      </c>
      <c r="B1327" s="3" t="n">
        <v>1325</v>
      </c>
      <c r="C1327" s="3" t="n">
        <v>1</v>
      </c>
      <c r="D1327" s="3" t="n">
        <v>19</v>
      </c>
      <c r="E1327" s="3" t="n">
        <v>9</v>
      </c>
      <c r="F1327" s="24" t="n">
        <v>-0.678061068</v>
      </c>
    </row>
    <row r="1328" customFormat="false" ht="15" hidden="false" customHeight="false" outlineLevel="0" collapsed="false">
      <c r="A1328" s="3" t="n">
        <v>1327</v>
      </c>
      <c r="B1328" s="3" t="n">
        <v>1326</v>
      </c>
      <c r="C1328" s="3" t="n">
        <v>1</v>
      </c>
      <c r="D1328" s="3" t="n">
        <v>19</v>
      </c>
      <c r="E1328" s="3" t="n">
        <v>10</v>
      </c>
      <c r="F1328" s="24" t="n">
        <v>-0.678061068</v>
      </c>
    </row>
    <row r="1329" customFormat="false" ht="15" hidden="false" customHeight="false" outlineLevel="0" collapsed="false">
      <c r="A1329" s="3" t="n">
        <v>1328</v>
      </c>
      <c r="B1329" s="3" t="n">
        <v>1327</v>
      </c>
      <c r="C1329" s="3" t="n">
        <v>1</v>
      </c>
      <c r="D1329" s="3" t="n">
        <v>19</v>
      </c>
      <c r="E1329" s="3" t="n">
        <v>11</v>
      </c>
      <c r="F1329" s="24" t="n">
        <v>-0.674424827</v>
      </c>
    </row>
    <row r="1330" customFormat="false" ht="15" hidden="false" customHeight="false" outlineLevel="0" collapsed="false">
      <c r="A1330" s="3" t="n">
        <v>1329</v>
      </c>
      <c r="B1330" s="3" t="n">
        <v>1328</v>
      </c>
      <c r="C1330" s="3" t="n">
        <v>1</v>
      </c>
      <c r="D1330" s="3" t="n">
        <v>19</v>
      </c>
      <c r="E1330" s="3" t="n">
        <v>12</v>
      </c>
      <c r="F1330" s="24" t="n">
        <v>-0.32723549</v>
      </c>
    </row>
    <row r="1331" customFormat="false" ht="15" hidden="false" customHeight="false" outlineLevel="0" collapsed="false">
      <c r="A1331" s="3" t="n">
        <v>1330</v>
      </c>
      <c r="B1331" s="3" t="n">
        <v>1329</v>
      </c>
      <c r="C1331" s="3" t="n">
        <v>1</v>
      </c>
      <c r="D1331" s="3" t="n">
        <v>19</v>
      </c>
      <c r="E1331" s="3" t="n">
        <v>13</v>
      </c>
      <c r="F1331" s="24" t="n">
        <v>1.80311</v>
      </c>
    </row>
    <row r="1332" customFormat="false" ht="15" hidden="false" customHeight="false" outlineLevel="0" collapsed="false">
      <c r="A1332" s="3" t="n">
        <v>1331</v>
      </c>
      <c r="B1332" s="3" t="n">
        <v>1330</v>
      </c>
      <c r="C1332" s="3" t="n">
        <v>1</v>
      </c>
      <c r="D1332" s="3" t="n">
        <v>19</v>
      </c>
      <c r="E1332" s="3" t="n">
        <v>14</v>
      </c>
      <c r="F1332" s="24" t="n">
        <v>3.21517515</v>
      </c>
    </row>
    <row r="1333" customFormat="false" ht="15" hidden="false" customHeight="false" outlineLevel="0" collapsed="false">
      <c r="A1333" s="3" t="n">
        <v>1332</v>
      </c>
      <c r="B1333" s="3" t="n">
        <v>1331</v>
      </c>
      <c r="C1333" s="3" t="n">
        <v>1</v>
      </c>
      <c r="D1333" s="3" t="n">
        <v>19</v>
      </c>
      <c r="E1333" s="3" t="n">
        <v>15</v>
      </c>
      <c r="F1333" s="24" t="n">
        <v>3.16939831</v>
      </c>
    </row>
    <row r="1334" customFormat="false" ht="15" hidden="false" customHeight="false" outlineLevel="0" collapsed="false">
      <c r="A1334" s="3" t="n">
        <v>1333</v>
      </c>
      <c r="B1334" s="3" t="n">
        <v>1332</v>
      </c>
      <c r="C1334" s="3" t="n">
        <v>1</v>
      </c>
      <c r="D1334" s="3" t="n">
        <v>19</v>
      </c>
      <c r="E1334" s="3" t="n">
        <v>16</v>
      </c>
      <c r="F1334" s="24" t="n">
        <v>0.182765752</v>
      </c>
    </row>
    <row r="1335" customFormat="false" ht="15" hidden="false" customHeight="false" outlineLevel="0" collapsed="false">
      <c r="A1335" s="3" t="n">
        <v>1334</v>
      </c>
      <c r="B1335" s="3" t="n">
        <v>1333</v>
      </c>
      <c r="C1335" s="3" t="n">
        <v>1</v>
      </c>
      <c r="D1335" s="3" t="n">
        <v>19</v>
      </c>
      <c r="E1335" s="3" t="n">
        <v>17</v>
      </c>
      <c r="F1335" s="24" t="n">
        <v>-1.09679961</v>
      </c>
    </row>
    <row r="1336" customFormat="false" ht="15" hidden="false" customHeight="false" outlineLevel="0" collapsed="false">
      <c r="A1336" s="3" t="n">
        <v>1335</v>
      </c>
      <c r="B1336" s="3" t="n">
        <v>1334</v>
      </c>
      <c r="C1336" s="3" t="n">
        <v>1</v>
      </c>
      <c r="D1336" s="3" t="n">
        <v>19</v>
      </c>
      <c r="E1336" s="3" t="n">
        <v>18</v>
      </c>
      <c r="F1336" s="24" t="n">
        <v>-0.926946044</v>
      </c>
    </row>
    <row r="1337" customFormat="false" ht="15" hidden="false" customHeight="false" outlineLevel="0" collapsed="false">
      <c r="A1337" s="3" t="n">
        <v>1336</v>
      </c>
      <c r="B1337" s="3" t="n">
        <v>1335</v>
      </c>
      <c r="C1337" s="3" t="n">
        <v>1</v>
      </c>
      <c r="D1337" s="3" t="n">
        <v>19</v>
      </c>
      <c r="E1337" s="3" t="n">
        <v>19</v>
      </c>
      <c r="F1337" s="24" t="n">
        <v>-0.678061068</v>
      </c>
    </row>
    <row r="1338" customFormat="false" ht="15" hidden="false" customHeight="false" outlineLevel="0" collapsed="false">
      <c r="A1338" s="3" t="n">
        <v>1337</v>
      </c>
      <c r="B1338" s="3" t="n">
        <v>1336</v>
      </c>
      <c r="C1338" s="3" t="n">
        <v>1</v>
      </c>
      <c r="D1338" s="3" t="n">
        <v>19</v>
      </c>
      <c r="E1338" s="3" t="n">
        <v>20</v>
      </c>
      <c r="F1338" s="24" t="n">
        <v>-0.678061068</v>
      </c>
    </row>
    <row r="1339" customFormat="false" ht="15" hidden="false" customHeight="false" outlineLevel="0" collapsed="false">
      <c r="A1339" s="3" t="n">
        <v>1338</v>
      </c>
      <c r="B1339" s="3" t="n">
        <v>1337</v>
      </c>
      <c r="C1339" s="3" t="n">
        <v>1</v>
      </c>
      <c r="D1339" s="3" t="n">
        <v>19</v>
      </c>
      <c r="E1339" s="3" t="n">
        <v>21</v>
      </c>
      <c r="F1339" s="24" t="n">
        <v>-0.678061068</v>
      </c>
    </row>
    <row r="1340" customFormat="false" ht="15" hidden="false" customHeight="false" outlineLevel="0" collapsed="false">
      <c r="A1340" s="3" t="n">
        <v>1339</v>
      </c>
      <c r="B1340" s="3" t="n">
        <v>1338</v>
      </c>
      <c r="C1340" s="3" t="n">
        <v>1</v>
      </c>
      <c r="D1340" s="3" t="n">
        <v>19</v>
      </c>
      <c r="E1340" s="3" t="n">
        <v>22</v>
      </c>
      <c r="F1340" s="24" t="n">
        <v>-0.678061068</v>
      </c>
    </row>
    <row r="1341" customFormat="false" ht="15" hidden="false" customHeight="false" outlineLevel="0" collapsed="false">
      <c r="A1341" s="3" t="n">
        <v>1340</v>
      </c>
      <c r="B1341" s="3" t="n">
        <v>1339</v>
      </c>
      <c r="C1341" s="3" t="n">
        <v>1</v>
      </c>
      <c r="D1341" s="3" t="n">
        <v>19</v>
      </c>
      <c r="E1341" s="3" t="n">
        <v>23</v>
      </c>
      <c r="F1341" s="24" t="n">
        <v>-0.678061068</v>
      </c>
    </row>
    <row r="1342" customFormat="false" ht="15" hidden="false" customHeight="false" outlineLevel="0" collapsed="false">
      <c r="A1342" s="3" t="n">
        <v>1341</v>
      </c>
      <c r="B1342" s="3" t="n">
        <v>1340</v>
      </c>
      <c r="C1342" s="3" t="n">
        <v>1</v>
      </c>
      <c r="D1342" s="3" t="n">
        <v>19</v>
      </c>
      <c r="E1342" s="3" t="n">
        <v>24</v>
      </c>
      <c r="F1342" s="24" t="n">
        <v>-0.678061068</v>
      </c>
    </row>
    <row r="1343" customFormat="false" ht="15" hidden="false" customHeight="false" outlineLevel="0" collapsed="false">
      <c r="A1343" s="3" t="n">
        <v>1342</v>
      </c>
      <c r="B1343" s="3" t="n">
        <v>1341</v>
      </c>
      <c r="C1343" s="3" t="n">
        <v>1</v>
      </c>
      <c r="D1343" s="3" t="n">
        <v>19</v>
      </c>
      <c r="E1343" s="3" t="n">
        <v>25</v>
      </c>
      <c r="F1343" s="24" t="n">
        <v>-0.678061068</v>
      </c>
    </row>
    <row r="1344" customFormat="false" ht="15" hidden="false" customHeight="false" outlineLevel="0" collapsed="false">
      <c r="A1344" s="3" t="n">
        <v>1343</v>
      </c>
      <c r="B1344" s="3" t="n">
        <v>1342</v>
      </c>
      <c r="C1344" s="3" t="n">
        <v>1</v>
      </c>
      <c r="D1344" s="3" t="n">
        <v>19</v>
      </c>
      <c r="E1344" s="3" t="n">
        <v>26</v>
      </c>
      <c r="F1344" s="24" t="n">
        <v>-0.678061068</v>
      </c>
    </row>
    <row r="1345" customFormat="false" ht="15" hidden="false" customHeight="false" outlineLevel="0" collapsed="false">
      <c r="A1345" s="3" t="n">
        <v>1344</v>
      </c>
      <c r="B1345" s="3" t="n">
        <v>1343</v>
      </c>
      <c r="C1345" s="3" t="n">
        <v>1</v>
      </c>
      <c r="D1345" s="3" t="n">
        <v>19</v>
      </c>
      <c r="E1345" s="3" t="n">
        <v>27</v>
      </c>
      <c r="F1345" s="24" t="n">
        <v>-0.401937425</v>
      </c>
    </row>
    <row r="1346" customFormat="false" ht="15" hidden="false" customHeight="false" outlineLevel="0" collapsed="false">
      <c r="A1346" s="3" t="n">
        <v>1345</v>
      </c>
      <c r="B1346" s="3" t="n">
        <v>1344</v>
      </c>
      <c r="C1346" s="3" t="n">
        <v>1</v>
      </c>
      <c r="D1346" s="3" t="n">
        <v>20</v>
      </c>
      <c r="E1346" s="3" t="n">
        <v>0</v>
      </c>
      <c r="F1346" s="24" t="n">
        <v>-0.749848783</v>
      </c>
    </row>
    <row r="1347" customFormat="false" ht="15" hidden="false" customHeight="false" outlineLevel="0" collapsed="false">
      <c r="A1347" s="3" t="n">
        <v>1346</v>
      </c>
      <c r="B1347" s="3" t="n">
        <v>1345</v>
      </c>
      <c r="C1347" s="3" t="n">
        <v>1</v>
      </c>
      <c r="D1347" s="3" t="n">
        <v>20</v>
      </c>
      <c r="E1347" s="3" t="n">
        <v>1</v>
      </c>
      <c r="F1347" s="24" t="n">
        <v>-0.678061068</v>
      </c>
    </row>
    <row r="1348" customFormat="false" ht="15" hidden="false" customHeight="false" outlineLevel="0" collapsed="false">
      <c r="A1348" s="3" t="n">
        <v>1347</v>
      </c>
      <c r="B1348" s="3" t="n">
        <v>1346</v>
      </c>
      <c r="C1348" s="3" t="n">
        <v>1</v>
      </c>
      <c r="D1348" s="3" t="n">
        <v>20</v>
      </c>
      <c r="E1348" s="3" t="n">
        <v>2</v>
      </c>
      <c r="F1348" s="24" t="n">
        <v>-0.678061068</v>
      </c>
    </row>
    <row r="1349" customFormat="false" ht="15" hidden="false" customHeight="false" outlineLevel="0" collapsed="false">
      <c r="A1349" s="3" t="n">
        <v>1348</v>
      </c>
      <c r="B1349" s="3" t="n">
        <v>1347</v>
      </c>
      <c r="C1349" s="3" t="n">
        <v>1</v>
      </c>
      <c r="D1349" s="3" t="n">
        <v>20</v>
      </c>
      <c r="E1349" s="3" t="n">
        <v>3</v>
      </c>
      <c r="F1349" s="24" t="n">
        <v>-0.678061068</v>
      </c>
    </row>
    <row r="1350" customFormat="false" ht="15" hidden="false" customHeight="false" outlineLevel="0" collapsed="false">
      <c r="A1350" s="3" t="n">
        <v>1349</v>
      </c>
      <c r="B1350" s="3" t="n">
        <v>1348</v>
      </c>
      <c r="C1350" s="3" t="n">
        <v>1</v>
      </c>
      <c r="D1350" s="3" t="n">
        <v>20</v>
      </c>
      <c r="E1350" s="3" t="n">
        <v>4</v>
      </c>
      <c r="F1350" s="24" t="n">
        <v>-0.678061068</v>
      </c>
    </row>
    <row r="1351" customFormat="false" ht="15" hidden="false" customHeight="false" outlineLevel="0" collapsed="false">
      <c r="A1351" s="3" t="n">
        <v>1350</v>
      </c>
      <c r="B1351" s="3" t="n">
        <v>1349</v>
      </c>
      <c r="C1351" s="3" t="n">
        <v>1</v>
      </c>
      <c r="D1351" s="3" t="n">
        <v>20</v>
      </c>
      <c r="E1351" s="3" t="n">
        <v>5</v>
      </c>
      <c r="F1351" s="24" t="n">
        <v>-0.678061068</v>
      </c>
    </row>
    <row r="1352" customFormat="false" ht="15" hidden="false" customHeight="false" outlineLevel="0" collapsed="false">
      <c r="A1352" s="3" t="n">
        <v>1351</v>
      </c>
      <c r="B1352" s="3" t="n">
        <v>1350</v>
      </c>
      <c r="C1352" s="3" t="n">
        <v>1</v>
      </c>
      <c r="D1352" s="3" t="n">
        <v>20</v>
      </c>
      <c r="E1352" s="3" t="n">
        <v>6</v>
      </c>
      <c r="F1352" s="24" t="n">
        <v>-0.678061068</v>
      </c>
    </row>
    <row r="1353" customFormat="false" ht="15" hidden="false" customHeight="false" outlineLevel="0" collapsed="false">
      <c r="A1353" s="3" t="n">
        <v>1352</v>
      </c>
      <c r="B1353" s="3" t="n">
        <v>1351</v>
      </c>
      <c r="C1353" s="3" t="n">
        <v>1</v>
      </c>
      <c r="D1353" s="3" t="n">
        <v>20</v>
      </c>
      <c r="E1353" s="3" t="n">
        <v>7</v>
      </c>
      <c r="F1353" s="24" t="n">
        <v>-0.678061068</v>
      </c>
    </row>
    <row r="1354" customFormat="false" ht="15" hidden="false" customHeight="false" outlineLevel="0" collapsed="false">
      <c r="A1354" s="3" t="n">
        <v>1353</v>
      </c>
      <c r="B1354" s="3" t="n">
        <v>1352</v>
      </c>
      <c r="C1354" s="3" t="n">
        <v>1</v>
      </c>
      <c r="D1354" s="3" t="n">
        <v>20</v>
      </c>
      <c r="E1354" s="3" t="n">
        <v>8</v>
      </c>
      <c r="F1354" s="24" t="n">
        <v>-0.678061068</v>
      </c>
    </row>
    <row r="1355" customFormat="false" ht="15" hidden="false" customHeight="false" outlineLevel="0" collapsed="false">
      <c r="A1355" s="3" t="n">
        <v>1354</v>
      </c>
      <c r="B1355" s="3" t="n">
        <v>1353</v>
      </c>
      <c r="C1355" s="3" t="n">
        <v>1</v>
      </c>
      <c r="D1355" s="3" t="n">
        <v>20</v>
      </c>
      <c r="E1355" s="3" t="n">
        <v>9</v>
      </c>
      <c r="F1355" s="24" t="n">
        <v>-0.678061068</v>
      </c>
    </row>
    <row r="1356" customFormat="false" ht="15" hidden="false" customHeight="false" outlineLevel="0" collapsed="false">
      <c r="A1356" s="3" t="n">
        <v>1355</v>
      </c>
      <c r="B1356" s="3" t="n">
        <v>1354</v>
      </c>
      <c r="C1356" s="3" t="n">
        <v>1</v>
      </c>
      <c r="D1356" s="3" t="n">
        <v>20</v>
      </c>
      <c r="E1356" s="3" t="n">
        <v>10</v>
      </c>
      <c r="F1356" s="24" t="n">
        <v>-0.678061068</v>
      </c>
    </row>
    <row r="1357" customFormat="false" ht="15" hidden="false" customHeight="false" outlineLevel="0" collapsed="false">
      <c r="A1357" s="3" t="n">
        <v>1356</v>
      </c>
      <c r="B1357" s="3" t="n">
        <v>1355</v>
      </c>
      <c r="C1357" s="3" t="n">
        <v>1</v>
      </c>
      <c r="D1357" s="3" t="n">
        <v>20</v>
      </c>
      <c r="E1357" s="3" t="n">
        <v>11</v>
      </c>
      <c r="F1357" s="24" t="n">
        <v>-0.617511332</v>
      </c>
    </row>
    <row r="1358" customFormat="false" ht="15" hidden="false" customHeight="false" outlineLevel="0" collapsed="false">
      <c r="A1358" s="3" t="n">
        <v>1357</v>
      </c>
      <c r="B1358" s="3" t="n">
        <v>1356</v>
      </c>
      <c r="C1358" s="3" t="n">
        <v>1</v>
      </c>
      <c r="D1358" s="3" t="n">
        <v>20</v>
      </c>
      <c r="E1358" s="3" t="n">
        <v>12</v>
      </c>
      <c r="F1358" s="24" t="n">
        <v>0.827240288</v>
      </c>
    </row>
    <row r="1359" customFormat="false" ht="15" hidden="false" customHeight="false" outlineLevel="0" collapsed="false">
      <c r="A1359" s="3" t="n">
        <v>1358</v>
      </c>
      <c r="B1359" s="3" t="n">
        <v>1357</v>
      </c>
      <c r="C1359" s="3" t="n">
        <v>1</v>
      </c>
      <c r="D1359" s="3" t="n">
        <v>20</v>
      </c>
      <c r="E1359" s="3" t="n">
        <v>13</v>
      </c>
      <c r="F1359" s="24" t="n">
        <v>3.11976624</v>
      </c>
    </row>
    <row r="1360" customFormat="false" ht="15" hidden="false" customHeight="false" outlineLevel="0" collapsed="false">
      <c r="A1360" s="3" t="n">
        <v>1359</v>
      </c>
      <c r="B1360" s="3" t="n">
        <v>1358</v>
      </c>
      <c r="C1360" s="3" t="n">
        <v>1</v>
      </c>
      <c r="D1360" s="3" t="n">
        <v>20</v>
      </c>
      <c r="E1360" s="3" t="n">
        <v>14</v>
      </c>
      <c r="F1360" s="24" t="n">
        <v>3.77756786</v>
      </c>
    </row>
    <row r="1361" customFormat="false" ht="15" hidden="false" customHeight="false" outlineLevel="0" collapsed="false">
      <c r="A1361" s="3" t="n">
        <v>1360</v>
      </c>
      <c r="B1361" s="3" t="n">
        <v>1359</v>
      </c>
      <c r="C1361" s="3" t="n">
        <v>1</v>
      </c>
      <c r="D1361" s="3" t="n">
        <v>20</v>
      </c>
      <c r="E1361" s="3" t="n">
        <v>15</v>
      </c>
      <c r="F1361" s="24" t="n">
        <v>1.0761404</v>
      </c>
    </row>
    <row r="1362" customFormat="false" ht="15" hidden="false" customHeight="false" outlineLevel="0" collapsed="false">
      <c r="A1362" s="3" t="n">
        <v>1361</v>
      </c>
      <c r="B1362" s="3" t="n">
        <v>1360</v>
      </c>
      <c r="C1362" s="3" t="n">
        <v>1</v>
      </c>
      <c r="D1362" s="3" t="n">
        <v>20</v>
      </c>
      <c r="E1362" s="3" t="n">
        <v>16</v>
      </c>
      <c r="F1362" s="24" t="n">
        <v>-0.668834448</v>
      </c>
    </row>
    <row r="1363" customFormat="false" ht="15" hidden="false" customHeight="false" outlineLevel="0" collapsed="false">
      <c r="A1363" s="3" t="n">
        <v>1362</v>
      </c>
      <c r="B1363" s="3" t="n">
        <v>1361</v>
      </c>
      <c r="C1363" s="3" t="n">
        <v>1</v>
      </c>
      <c r="D1363" s="3" t="n">
        <v>20</v>
      </c>
      <c r="E1363" s="3" t="n">
        <v>17</v>
      </c>
      <c r="F1363" s="24" t="n">
        <v>-1.29015625</v>
      </c>
    </row>
    <row r="1364" customFormat="false" ht="15" hidden="false" customHeight="false" outlineLevel="0" collapsed="false">
      <c r="A1364" s="3" t="n">
        <v>1363</v>
      </c>
      <c r="B1364" s="3" t="n">
        <v>1362</v>
      </c>
      <c r="C1364" s="3" t="n">
        <v>1</v>
      </c>
      <c r="D1364" s="3" t="n">
        <v>20</v>
      </c>
      <c r="E1364" s="3" t="n">
        <v>18</v>
      </c>
      <c r="F1364" s="24" t="n">
        <v>-0.678061068</v>
      </c>
    </row>
    <row r="1365" customFormat="false" ht="15" hidden="false" customHeight="false" outlineLevel="0" collapsed="false">
      <c r="A1365" s="3" t="n">
        <v>1364</v>
      </c>
      <c r="B1365" s="3" t="n">
        <v>1363</v>
      </c>
      <c r="C1365" s="3" t="n">
        <v>1</v>
      </c>
      <c r="D1365" s="3" t="n">
        <v>20</v>
      </c>
      <c r="E1365" s="3" t="n">
        <v>19</v>
      </c>
      <c r="F1365" s="24" t="n">
        <v>-0.678061068</v>
      </c>
    </row>
    <row r="1366" customFormat="false" ht="15" hidden="false" customHeight="false" outlineLevel="0" collapsed="false">
      <c r="A1366" s="3" t="n">
        <v>1365</v>
      </c>
      <c r="B1366" s="3" t="n">
        <v>1364</v>
      </c>
      <c r="C1366" s="3" t="n">
        <v>1</v>
      </c>
      <c r="D1366" s="3" t="n">
        <v>20</v>
      </c>
      <c r="E1366" s="3" t="n">
        <v>20</v>
      </c>
      <c r="F1366" s="24" t="n">
        <v>-0.678061068</v>
      </c>
    </row>
    <row r="1367" customFormat="false" ht="15" hidden="false" customHeight="false" outlineLevel="0" collapsed="false">
      <c r="A1367" s="3" t="n">
        <v>1366</v>
      </c>
      <c r="B1367" s="3" t="n">
        <v>1365</v>
      </c>
      <c r="C1367" s="3" t="n">
        <v>1</v>
      </c>
      <c r="D1367" s="3" t="n">
        <v>20</v>
      </c>
      <c r="E1367" s="3" t="n">
        <v>21</v>
      </c>
      <c r="F1367" s="24" t="n">
        <v>-0.678061068</v>
      </c>
    </row>
    <row r="1368" customFormat="false" ht="15" hidden="false" customHeight="false" outlineLevel="0" collapsed="false">
      <c r="A1368" s="3" t="n">
        <v>1367</v>
      </c>
      <c r="B1368" s="3" t="n">
        <v>1366</v>
      </c>
      <c r="C1368" s="3" t="n">
        <v>1</v>
      </c>
      <c r="D1368" s="3" t="n">
        <v>20</v>
      </c>
      <c r="E1368" s="3" t="n">
        <v>22</v>
      </c>
      <c r="F1368" s="24" t="n">
        <v>-0.678061068</v>
      </c>
    </row>
    <row r="1369" customFormat="false" ht="15" hidden="false" customHeight="false" outlineLevel="0" collapsed="false">
      <c r="A1369" s="3" t="n">
        <v>1368</v>
      </c>
      <c r="B1369" s="3" t="n">
        <v>1367</v>
      </c>
      <c r="C1369" s="3" t="n">
        <v>1</v>
      </c>
      <c r="D1369" s="3" t="n">
        <v>20</v>
      </c>
      <c r="E1369" s="3" t="n">
        <v>23</v>
      </c>
      <c r="F1369" s="24" t="n">
        <v>-0.678061068</v>
      </c>
    </row>
    <row r="1370" customFormat="false" ht="15" hidden="false" customHeight="false" outlineLevel="0" collapsed="false">
      <c r="A1370" s="3" t="n">
        <v>1369</v>
      </c>
      <c r="B1370" s="3" t="n">
        <v>1368</v>
      </c>
      <c r="C1370" s="3" t="n">
        <v>1</v>
      </c>
      <c r="D1370" s="3" t="n">
        <v>20</v>
      </c>
      <c r="E1370" s="3" t="n">
        <v>24</v>
      </c>
      <c r="F1370" s="24" t="n">
        <v>-0.678061068</v>
      </c>
    </row>
    <row r="1371" customFormat="false" ht="15" hidden="false" customHeight="false" outlineLevel="0" collapsed="false">
      <c r="A1371" s="3" t="n">
        <v>1370</v>
      </c>
      <c r="B1371" s="3" t="n">
        <v>1369</v>
      </c>
      <c r="C1371" s="3" t="n">
        <v>1</v>
      </c>
      <c r="D1371" s="3" t="n">
        <v>20</v>
      </c>
      <c r="E1371" s="3" t="n">
        <v>25</v>
      </c>
      <c r="F1371" s="24" t="n">
        <v>-0.678061068</v>
      </c>
    </row>
    <row r="1372" customFormat="false" ht="15" hidden="false" customHeight="false" outlineLevel="0" collapsed="false">
      <c r="A1372" s="3" t="n">
        <v>1371</v>
      </c>
      <c r="B1372" s="3" t="n">
        <v>1370</v>
      </c>
      <c r="C1372" s="3" t="n">
        <v>1</v>
      </c>
      <c r="D1372" s="3" t="n">
        <v>20</v>
      </c>
      <c r="E1372" s="3" t="n">
        <v>26</v>
      </c>
      <c r="F1372" s="24" t="n">
        <v>-0.678061068</v>
      </c>
    </row>
    <row r="1373" customFormat="false" ht="15" hidden="false" customHeight="false" outlineLevel="0" collapsed="false">
      <c r="A1373" s="3" t="n">
        <v>1372</v>
      </c>
      <c r="B1373" s="3" t="n">
        <v>1371</v>
      </c>
      <c r="C1373" s="3" t="n">
        <v>1</v>
      </c>
      <c r="D1373" s="3" t="n">
        <v>20</v>
      </c>
      <c r="E1373" s="3" t="n">
        <v>27</v>
      </c>
      <c r="F1373" s="24" t="n">
        <v>-0.401937425</v>
      </c>
    </row>
    <row r="1374" customFormat="false" ht="15" hidden="false" customHeight="false" outlineLevel="0" collapsed="false">
      <c r="A1374" s="3" t="n">
        <v>1373</v>
      </c>
      <c r="B1374" s="3" t="n">
        <v>1372</v>
      </c>
      <c r="C1374" s="3" t="n">
        <v>1</v>
      </c>
      <c r="D1374" s="3" t="n">
        <v>21</v>
      </c>
      <c r="E1374" s="3" t="n">
        <v>0</v>
      </c>
      <c r="F1374" s="24" t="n">
        <v>-0.749848783</v>
      </c>
    </row>
    <row r="1375" customFormat="false" ht="15" hidden="false" customHeight="false" outlineLevel="0" collapsed="false">
      <c r="A1375" s="3" t="n">
        <v>1374</v>
      </c>
      <c r="B1375" s="3" t="n">
        <v>1373</v>
      </c>
      <c r="C1375" s="3" t="n">
        <v>1</v>
      </c>
      <c r="D1375" s="3" t="n">
        <v>21</v>
      </c>
      <c r="E1375" s="3" t="n">
        <v>1</v>
      </c>
      <c r="F1375" s="24" t="n">
        <v>-0.678061068</v>
      </c>
    </row>
    <row r="1376" customFormat="false" ht="15" hidden="false" customHeight="false" outlineLevel="0" collapsed="false">
      <c r="A1376" s="3" t="n">
        <v>1375</v>
      </c>
      <c r="B1376" s="3" t="n">
        <v>1374</v>
      </c>
      <c r="C1376" s="3" t="n">
        <v>1</v>
      </c>
      <c r="D1376" s="3" t="n">
        <v>21</v>
      </c>
      <c r="E1376" s="3" t="n">
        <v>2</v>
      </c>
      <c r="F1376" s="24" t="n">
        <v>-0.678061068</v>
      </c>
    </row>
    <row r="1377" customFormat="false" ht="15" hidden="false" customHeight="false" outlineLevel="0" collapsed="false">
      <c r="A1377" s="3" t="n">
        <v>1376</v>
      </c>
      <c r="B1377" s="3" t="n">
        <v>1375</v>
      </c>
      <c r="C1377" s="3" t="n">
        <v>1</v>
      </c>
      <c r="D1377" s="3" t="n">
        <v>21</v>
      </c>
      <c r="E1377" s="3" t="n">
        <v>3</v>
      </c>
      <c r="F1377" s="24" t="n">
        <v>-0.678061068</v>
      </c>
    </row>
    <row r="1378" customFormat="false" ht="15" hidden="false" customHeight="false" outlineLevel="0" collapsed="false">
      <c r="A1378" s="3" t="n">
        <v>1377</v>
      </c>
      <c r="B1378" s="3" t="n">
        <v>1376</v>
      </c>
      <c r="C1378" s="3" t="n">
        <v>1</v>
      </c>
      <c r="D1378" s="3" t="n">
        <v>21</v>
      </c>
      <c r="E1378" s="3" t="n">
        <v>4</v>
      </c>
      <c r="F1378" s="24" t="n">
        <v>-0.678061068</v>
      </c>
    </row>
    <row r="1379" customFormat="false" ht="15" hidden="false" customHeight="false" outlineLevel="0" collapsed="false">
      <c r="A1379" s="3" t="n">
        <v>1378</v>
      </c>
      <c r="B1379" s="3" t="n">
        <v>1377</v>
      </c>
      <c r="C1379" s="3" t="n">
        <v>1</v>
      </c>
      <c r="D1379" s="3" t="n">
        <v>21</v>
      </c>
      <c r="E1379" s="3" t="n">
        <v>5</v>
      </c>
      <c r="F1379" s="24" t="n">
        <v>-0.678061068</v>
      </c>
    </row>
    <row r="1380" customFormat="false" ht="15" hidden="false" customHeight="false" outlineLevel="0" collapsed="false">
      <c r="A1380" s="3" t="n">
        <v>1379</v>
      </c>
      <c r="B1380" s="3" t="n">
        <v>1378</v>
      </c>
      <c r="C1380" s="3" t="n">
        <v>1</v>
      </c>
      <c r="D1380" s="3" t="n">
        <v>21</v>
      </c>
      <c r="E1380" s="3" t="n">
        <v>6</v>
      </c>
      <c r="F1380" s="24" t="n">
        <v>-0.678061068</v>
      </c>
    </row>
    <row r="1381" customFormat="false" ht="15" hidden="false" customHeight="false" outlineLevel="0" collapsed="false">
      <c r="A1381" s="3" t="n">
        <v>1380</v>
      </c>
      <c r="B1381" s="3" t="n">
        <v>1379</v>
      </c>
      <c r="C1381" s="3" t="n">
        <v>1</v>
      </c>
      <c r="D1381" s="3" t="n">
        <v>21</v>
      </c>
      <c r="E1381" s="3" t="n">
        <v>7</v>
      </c>
      <c r="F1381" s="24" t="n">
        <v>-0.678061068</v>
      </c>
    </row>
    <row r="1382" customFormat="false" ht="15" hidden="false" customHeight="false" outlineLevel="0" collapsed="false">
      <c r="A1382" s="3" t="n">
        <v>1381</v>
      </c>
      <c r="B1382" s="3" t="n">
        <v>1380</v>
      </c>
      <c r="C1382" s="3" t="n">
        <v>1</v>
      </c>
      <c r="D1382" s="3" t="n">
        <v>21</v>
      </c>
      <c r="E1382" s="3" t="n">
        <v>8</v>
      </c>
      <c r="F1382" s="24" t="n">
        <v>-0.678061068</v>
      </c>
    </row>
    <row r="1383" customFormat="false" ht="15" hidden="false" customHeight="false" outlineLevel="0" collapsed="false">
      <c r="A1383" s="3" t="n">
        <v>1382</v>
      </c>
      <c r="B1383" s="3" t="n">
        <v>1381</v>
      </c>
      <c r="C1383" s="3" t="n">
        <v>1</v>
      </c>
      <c r="D1383" s="3" t="n">
        <v>21</v>
      </c>
      <c r="E1383" s="3" t="n">
        <v>9</v>
      </c>
      <c r="F1383" s="24" t="n">
        <v>-0.678061068</v>
      </c>
    </row>
    <row r="1384" customFormat="false" ht="15" hidden="false" customHeight="false" outlineLevel="0" collapsed="false">
      <c r="A1384" s="3" t="n">
        <v>1383</v>
      </c>
      <c r="B1384" s="3" t="n">
        <v>1382</v>
      </c>
      <c r="C1384" s="3" t="n">
        <v>1</v>
      </c>
      <c r="D1384" s="3" t="n">
        <v>21</v>
      </c>
      <c r="E1384" s="3" t="n">
        <v>10</v>
      </c>
      <c r="F1384" s="24" t="n">
        <v>-0.640486479</v>
      </c>
    </row>
    <row r="1385" customFormat="false" ht="15" hidden="false" customHeight="false" outlineLevel="0" collapsed="false">
      <c r="A1385" s="3" t="n">
        <v>1384</v>
      </c>
      <c r="B1385" s="3" t="n">
        <v>1383</v>
      </c>
      <c r="C1385" s="3" t="n">
        <v>1</v>
      </c>
      <c r="D1385" s="3" t="n">
        <v>21</v>
      </c>
      <c r="E1385" s="3" t="n">
        <v>11</v>
      </c>
      <c r="F1385" s="24" t="n">
        <v>-0.08195474</v>
      </c>
    </row>
    <row r="1386" customFormat="false" ht="15" hidden="false" customHeight="false" outlineLevel="0" collapsed="false">
      <c r="A1386" s="3" t="n">
        <v>1385</v>
      </c>
      <c r="B1386" s="3" t="n">
        <v>1384</v>
      </c>
      <c r="C1386" s="3" t="n">
        <v>1</v>
      </c>
      <c r="D1386" s="3" t="n">
        <v>21</v>
      </c>
      <c r="E1386" s="3" t="n">
        <v>12</v>
      </c>
      <c r="F1386" s="24" t="n">
        <v>2.38020706</v>
      </c>
    </row>
    <row r="1387" customFormat="false" ht="15" hidden="false" customHeight="false" outlineLevel="0" collapsed="false">
      <c r="A1387" s="3" t="n">
        <v>1386</v>
      </c>
      <c r="B1387" s="3" t="n">
        <v>1385</v>
      </c>
      <c r="C1387" s="3" t="n">
        <v>1</v>
      </c>
      <c r="D1387" s="3" t="n">
        <v>21</v>
      </c>
      <c r="E1387" s="3" t="n">
        <v>13</v>
      </c>
      <c r="F1387" s="24" t="n">
        <v>3.52036333</v>
      </c>
    </row>
    <row r="1388" customFormat="false" ht="15" hidden="false" customHeight="false" outlineLevel="0" collapsed="false">
      <c r="A1388" s="3" t="n">
        <v>1387</v>
      </c>
      <c r="B1388" s="3" t="n">
        <v>1386</v>
      </c>
      <c r="C1388" s="3" t="n">
        <v>1</v>
      </c>
      <c r="D1388" s="3" t="n">
        <v>21</v>
      </c>
      <c r="E1388" s="3" t="n">
        <v>14</v>
      </c>
      <c r="F1388" s="24" t="n">
        <v>1.75478768</v>
      </c>
    </row>
    <row r="1389" customFormat="false" ht="15" hidden="false" customHeight="false" outlineLevel="0" collapsed="false">
      <c r="A1389" s="3" t="n">
        <v>1388</v>
      </c>
      <c r="B1389" s="3" t="n">
        <v>1387</v>
      </c>
      <c r="C1389" s="3" t="n">
        <v>1</v>
      </c>
      <c r="D1389" s="3" t="n">
        <v>21</v>
      </c>
      <c r="E1389" s="3" t="n">
        <v>15</v>
      </c>
      <c r="F1389" s="24" t="n">
        <v>-0.255923688</v>
      </c>
    </row>
    <row r="1390" customFormat="false" ht="15" hidden="false" customHeight="false" outlineLevel="0" collapsed="false">
      <c r="A1390" s="3" t="n">
        <v>1389</v>
      </c>
      <c r="B1390" s="3" t="n">
        <v>1388</v>
      </c>
      <c r="C1390" s="3" t="n">
        <v>1</v>
      </c>
      <c r="D1390" s="3" t="n">
        <v>21</v>
      </c>
      <c r="E1390" s="3" t="n">
        <v>16</v>
      </c>
      <c r="F1390" s="24" t="n">
        <v>-1.30758548</v>
      </c>
    </row>
    <row r="1391" customFormat="false" ht="15" hidden="false" customHeight="false" outlineLevel="0" collapsed="false">
      <c r="A1391" s="3" t="n">
        <v>1390</v>
      </c>
      <c r="B1391" s="3" t="n">
        <v>1389</v>
      </c>
      <c r="C1391" s="3" t="n">
        <v>1</v>
      </c>
      <c r="D1391" s="3" t="n">
        <v>21</v>
      </c>
      <c r="E1391" s="3" t="n">
        <v>17</v>
      </c>
      <c r="F1391" s="24" t="n">
        <v>-0.830885231</v>
      </c>
    </row>
    <row r="1392" customFormat="false" ht="15" hidden="false" customHeight="false" outlineLevel="0" collapsed="false">
      <c r="A1392" s="3" t="n">
        <v>1391</v>
      </c>
      <c r="B1392" s="3" t="n">
        <v>1390</v>
      </c>
      <c r="C1392" s="3" t="n">
        <v>1</v>
      </c>
      <c r="D1392" s="3" t="n">
        <v>21</v>
      </c>
      <c r="E1392" s="3" t="n">
        <v>18</v>
      </c>
      <c r="F1392" s="24" t="n">
        <v>-0.678061068</v>
      </c>
    </row>
    <row r="1393" customFormat="false" ht="15" hidden="false" customHeight="false" outlineLevel="0" collapsed="false">
      <c r="A1393" s="3" t="n">
        <v>1392</v>
      </c>
      <c r="B1393" s="3" t="n">
        <v>1391</v>
      </c>
      <c r="C1393" s="3" t="n">
        <v>1</v>
      </c>
      <c r="D1393" s="3" t="n">
        <v>21</v>
      </c>
      <c r="E1393" s="3" t="n">
        <v>19</v>
      </c>
      <c r="F1393" s="24" t="n">
        <v>-0.678061068</v>
      </c>
    </row>
    <row r="1394" customFormat="false" ht="15" hidden="false" customHeight="false" outlineLevel="0" collapsed="false">
      <c r="A1394" s="3" t="n">
        <v>1393</v>
      </c>
      <c r="B1394" s="3" t="n">
        <v>1392</v>
      </c>
      <c r="C1394" s="3" t="n">
        <v>1</v>
      </c>
      <c r="D1394" s="3" t="n">
        <v>21</v>
      </c>
      <c r="E1394" s="3" t="n">
        <v>20</v>
      </c>
      <c r="F1394" s="24" t="n">
        <v>-0.678061068</v>
      </c>
    </row>
    <row r="1395" customFormat="false" ht="15" hidden="false" customHeight="false" outlineLevel="0" collapsed="false">
      <c r="A1395" s="3" t="n">
        <v>1394</v>
      </c>
      <c r="B1395" s="3" t="n">
        <v>1393</v>
      </c>
      <c r="C1395" s="3" t="n">
        <v>1</v>
      </c>
      <c r="D1395" s="3" t="n">
        <v>21</v>
      </c>
      <c r="E1395" s="3" t="n">
        <v>21</v>
      </c>
      <c r="F1395" s="24" t="n">
        <v>-0.678061068</v>
      </c>
    </row>
    <row r="1396" customFormat="false" ht="15" hidden="false" customHeight="false" outlineLevel="0" collapsed="false">
      <c r="A1396" s="3" t="n">
        <v>1395</v>
      </c>
      <c r="B1396" s="3" t="n">
        <v>1394</v>
      </c>
      <c r="C1396" s="3" t="n">
        <v>1</v>
      </c>
      <c r="D1396" s="3" t="n">
        <v>21</v>
      </c>
      <c r="E1396" s="3" t="n">
        <v>22</v>
      </c>
      <c r="F1396" s="24" t="n">
        <v>-0.678061068</v>
      </c>
    </row>
    <row r="1397" customFormat="false" ht="15" hidden="false" customHeight="false" outlineLevel="0" collapsed="false">
      <c r="A1397" s="3" t="n">
        <v>1396</v>
      </c>
      <c r="B1397" s="3" t="n">
        <v>1395</v>
      </c>
      <c r="C1397" s="3" t="n">
        <v>1</v>
      </c>
      <c r="D1397" s="3" t="n">
        <v>21</v>
      </c>
      <c r="E1397" s="3" t="n">
        <v>23</v>
      </c>
      <c r="F1397" s="24" t="n">
        <v>-0.678061068</v>
      </c>
    </row>
    <row r="1398" customFormat="false" ht="15" hidden="false" customHeight="false" outlineLevel="0" collapsed="false">
      <c r="A1398" s="3" t="n">
        <v>1397</v>
      </c>
      <c r="B1398" s="3" t="n">
        <v>1396</v>
      </c>
      <c r="C1398" s="3" t="n">
        <v>1</v>
      </c>
      <c r="D1398" s="3" t="n">
        <v>21</v>
      </c>
      <c r="E1398" s="3" t="n">
        <v>24</v>
      </c>
      <c r="F1398" s="24" t="n">
        <v>-0.678061068</v>
      </c>
    </row>
    <row r="1399" customFormat="false" ht="15" hidden="false" customHeight="false" outlineLevel="0" collapsed="false">
      <c r="A1399" s="3" t="n">
        <v>1398</v>
      </c>
      <c r="B1399" s="3" t="n">
        <v>1397</v>
      </c>
      <c r="C1399" s="3" t="n">
        <v>1</v>
      </c>
      <c r="D1399" s="3" t="n">
        <v>21</v>
      </c>
      <c r="E1399" s="3" t="n">
        <v>25</v>
      </c>
      <c r="F1399" s="24" t="n">
        <v>-0.678061068</v>
      </c>
    </row>
    <row r="1400" customFormat="false" ht="15" hidden="false" customHeight="false" outlineLevel="0" collapsed="false">
      <c r="A1400" s="3" t="n">
        <v>1399</v>
      </c>
      <c r="B1400" s="3" t="n">
        <v>1398</v>
      </c>
      <c r="C1400" s="3" t="n">
        <v>1</v>
      </c>
      <c r="D1400" s="3" t="n">
        <v>21</v>
      </c>
      <c r="E1400" s="3" t="n">
        <v>26</v>
      </c>
      <c r="F1400" s="24" t="n">
        <v>-0.678061068</v>
      </c>
    </row>
    <row r="1401" customFormat="false" ht="15" hidden="false" customHeight="false" outlineLevel="0" collapsed="false">
      <c r="A1401" s="3" t="n">
        <v>1400</v>
      </c>
      <c r="B1401" s="3" t="n">
        <v>1399</v>
      </c>
      <c r="C1401" s="3" t="n">
        <v>1</v>
      </c>
      <c r="D1401" s="3" t="n">
        <v>21</v>
      </c>
      <c r="E1401" s="3" t="n">
        <v>27</v>
      </c>
      <c r="F1401" s="24" t="n">
        <v>-0.401937425</v>
      </c>
    </row>
    <row r="1402" customFormat="false" ht="15" hidden="false" customHeight="false" outlineLevel="0" collapsed="false">
      <c r="A1402" s="3" t="n">
        <v>1401</v>
      </c>
      <c r="B1402" s="3" t="n">
        <v>1400</v>
      </c>
      <c r="C1402" s="3" t="n">
        <v>1</v>
      </c>
      <c r="D1402" s="3" t="n">
        <v>22</v>
      </c>
      <c r="E1402" s="3" t="n">
        <v>0</v>
      </c>
      <c r="F1402" s="24" t="n">
        <v>-0.749848783</v>
      </c>
    </row>
    <row r="1403" customFormat="false" ht="15" hidden="false" customHeight="false" outlineLevel="0" collapsed="false">
      <c r="A1403" s="3" t="n">
        <v>1402</v>
      </c>
      <c r="B1403" s="3" t="n">
        <v>1401</v>
      </c>
      <c r="C1403" s="3" t="n">
        <v>1</v>
      </c>
      <c r="D1403" s="3" t="n">
        <v>22</v>
      </c>
      <c r="E1403" s="3" t="n">
        <v>1</v>
      </c>
      <c r="F1403" s="24" t="n">
        <v>-0.678061068</v>
      </c>
    </row>
    <row r="1404" customFormat="false" ht="15" hidden="false" customHeight="false" outlineLevel="0" collapsed="false">
      <c r="A1404" s="3" t="n">
        <v>1403</v>
      </c>
      <c r="B1404" s="3" t="n">
        <v>1402</v>
      </c>
      <c r="C1404" s="3" t="n">
        <v>1</v>
      </c>
      <c r="D1404" s="3" t="n">
        <v>22</v>
      </c>
      <c r="E1404" s="3" t="n">
        <v>2</v>
      </c>
      <c r="F1404" s="24" t="n">
        <v>-0.678061068</v>
      </c>
    </row>
    <row r="1405" customFormat="false" ht="15" hidden="false" customHeight="false" outlineLevel="0" collapsed="false">
      <c r="A1405" s="3" t="n">
        <v>1404</v>
      </c>
      <c r="B1405" s="3" t="n">
        <v>1403</v>
      </c>
      <c r="C1405" s="3" t="n">
        <v>1</v>
      </c>
      <c r="D1405" s="3" t="n">
        <v>22</v>
      </c>
      <c r="E1405" s="3" t="n">
        <v>3</v>
      </c>
      <c r="F1405" s="24" t="n">
        <v>-0.678061068</v>
      </c>
    </row>
    <row r="1406" customFormat="false" ht="15" hidden="false" customHeight="false" outlineLevel="0" collapsed="false">
      <c r="A1406" s="3" t="n">
        <v>1405</v>
      </c>
      <c r="B1406" s="3" t="n">
        <v>1404</v>
      </c>
      <c r="C1406" s="3" t="n">
        <v>1</v>
      </c>
      <c r="D1406" s="3" t="n">
        <v>22</v>
      </c>
      <c r="E1406" s="3" t="n">
        <v>4</v>
      </c>
      <c r="F1406" s="24" t="n">
        <v>-0.678061068</v>
      </c>
    </row>
    <row r="1407" customFormat="false" ht="15" hidden="false" customHeight="false" outlineLevel="0" collapsed="false">
      <c r="A1407" s="3" t="n">
        <v>1406</v>
      </c>
      <c r="B1407" s="3" t="n">
        <v>1405</v>
      </c>
      <c r="C1407" s="3" t="n">
        <v>1</v>
      </c>
      <c r="D1407" s="3" t="n">
        <v>22</v>
      </c>
      <c r="E1407" s="3" t="n">
        <v>5</v>
      </c>
      <c r="F1407" s="24" t="n">
        <v>-0.678061068</v>
      </c>
    </row>
    <row r="1408" customFormat="false" ht="15" hidden="false" customHeight="false" outlineLevel="0" collapsed="false">
      <c r="A1408" s="3" t="n">
        <v>1407</v>
      </c>
      <c r="B1408" s="3" t="n">
        <v>1406</v>
      </c>
      <c r="C1408" s="3" t="n">
        <v>1</v>
      </c>
      <c r="D1408" s="3" t="n">
        <v>22</v>
      </c>
      <c r="E1408" s="3" t="n">
        <v>6</v>
      </c>
      <c r="F1408" s="24" t="n">
        <v>-0.678061068</v>
      </c>
    </row>
    <row r="1409" customFormat="false" ht="15" hidden="false" customHeight="false" outlineLevel="0" collapsed="false">
      <c r="A1409" s="3" t="n">
        <v>1408</v>
      </c>
      <c r="B1409" s="3" t="n">
        <v>1407</v>
      </c>
      <c r="C1409" s="3" t="n">
        <v>1</v>
      </c>
      <c r="D1409" s="3" t="n">
        <v>22</v>
      </c>
      <c r="E1409" s="3" t="n">
        <v>7</v>
      </c>
      <c r="F1409" s="24" t="n">
        <v>-0.678061068</v>
      </c>
    </row>
    <row r="1410" customFormat="false" ht="15" hidden="false" customHeight="false" outlineLevel="0" collapsed="false">
      <c r="A1410" s="3" t="n">
        <v>1409</v>
      </c>
      <c r="B1410" s="3" t="n">
        <v>1408</v>
      </c>
      <c r="C1410" s="3" t="n">
        <v>1</v>
      </c>
      <c r="D1410" s="3" t="n">
        <v>22</v>
      </c>
      <c r="E1410" s="3" t="n">
        <v>8</v>
      </c>
      <c r="F1410" s="24" t="n">
        <v>-0.678061068</v>
      </c>
    </row>
    <row r="1411" customFormat="false" ht="15" hidden="false" customHeight="false" outlineLevel="0" collapsed="false">
      <c r="A1411" s="3" t="n">
        <v>1410</v>
      </c>
      <c r="B1411" s="3" t="n">
        <v>1409</v>
      </c>
      <c r="C1411" s="3" t="n">
        <v>1</v>
      </c>
      <c r="D1411" s="3" t="n">
        <v>22</v>
      </c>
      <c r="E1411" s="3" t="n">
        <v>9</v>
      </c>
      <c r="F1411" s="24" t="n">
        <v>-0.678061068</v>
      </c>
    </row>
    <row r="1412" customFormat="false" ht="15" hidden="false" customHeight="false" outlineLevel="0" collapsed="false">
      <c r="A1412" s="3" t="n">
        <v>1411</v>
      </c>
      <c r="B1412" s="3" t="n">
        <v>1410</v>
      </c>
      <c r="C1412" s="3" t="n">
        <v>1</v>
      </c>
      <c r="D1412" s="3" t="n">
        <v>22</v>
      </c>
      <c r="E1412" s="3" t="n">
        <v>10</v>
      </c>
      <c r="F1412" s="24" t="n">
        <v>-0.367118388</v>
      </c>
    </row>
    <row r="1413" customFormat="false" ht="15" hidden="false" customHeight="false" outlineLevel="0" collapsed="false">
      <c r="A1413" s="3" t="n">
        <v>1412</v>
      </c>
      <c r="B1413" s="3" t="n">
        <v>1411</v>
      </c>
      <c r="C1413" s="3" t="n">
        <v>1</v>
      </c>
      <c r="D1413" s="3" t="n">
        <v>22</v>
      </c>
      <c r="E1413" s="3" t="n">
        <v>11</v>
      </c>
      <c r="F1413" s="24" t="n">
        <v>1.47288978</v>
      </c>
    </row>
    <row r="1414" customFormat="false" ht="15" hidden="false" customHeight="false" outlineLevel="0" collapsed="false">
      <c r="A1414" s="3" t="n">
        <v>1413</v>
      </c>
      <c r="B1414" s="3" t="n">
        <v>1412</v>
      </c>
      <c r="C1414" s="3" t="n">
        <v>1</v>
      </c>
      <c r="D1414" s="3" t="n">
        <v>22</v>
      </c>
      <c r="E1414" s="3" t="n">
        <v>12</v>
      </c>
      <c r="F1414" s="24" t="n">
        <v>3.29891729</v>
      </c>
    </row>
    <row r="1415" customFormat="false" ht="15" hidden="false" customHeight="false" outlineLevel="0" collapsed="false">
      <c r="A1415" s="3" t="n">
        <v>1414</v>
      </c>
      <c r="B1415" s="3" t="n">
        <v>1413</v>
      </c>
      <c r="C1415" s="3" t="n">
        <v>1</v>
      </c>
      <c r="D1415" s="3" t="n">
        <v>22</v>
      </c>
      <c r="E1415" s="3" t="n">
        <v>13</v>
      </c>
      <c r="F1415" s="24" t="n">
        <v>3.30477142</v>
      </c>
    </row>
    <row r="1416" customFormat="false" ht="15" hidden="false" customHeight="false" outlineLevel="0" collapsed="false">
      <c r="A1416" s="3" t="n">
        <v>1415</v>
      </c>
      <c r="B1416" s="3" t="n">
        <v>1414</v>
      </c>
      <c r="C1416" s="3" t="n">
        <v>1</v>
      </c>
      <c r="D1416" s="3" t="n">
        <v>22</v>
      </c>
      <c r="E1416" s="3" t="n">
        <v>14</v>
      </c>
      <c r="F1416" s="24" t="n">
        <v>0.125745416</v>
      </c>
    </row>
    <row r="1417" customFormat="false" ht="15" hidden="false" customHeight="false" outlineLevel="0" collapsed="false">
      <c r="A1417" s="3" t="n">
        <v>1416</v>
      </c>
      <c r="B1417" s="3" t="n">
        <v>1415</v>
      </c>
      <c r="C1417" s="3" t="n">
        <v>1</v>
      </c>
      <c r="D1417" s="3" t="n">
        <v>22</v>
      </c>
      <c r="E1417" s="3" t="n">
        <v>15</v>
      </c>
      <c r="F1417" s="24" t="n">
        <v>-1.29056132</v>
      </c>
    </row>
    <row r="1418" customFormat="false" ht="15" hidden="false" customHeight="false" outlineLevel="0" collapsed="false">
      <c r="A1418" s="3" t="n">
        <v>1417</v>
      </c>
      <c r="B1418" s="3" t="n">
        <v>1416</v>
      </c>
      <c r="C1418" s="3" t="n">
        <v>1</v>
      </c>
      <c r="D1418" s="3" t="n">
        <v>22</v>
      </c>
      <c r="E1418" s="3" t="n">
        <v>16</v>
      </c>
      <c r="F1418" s="24" t="n">
        <v>-1.01105332</v>
      </c>
    </row>
    <row r="1419" customFormat="false" ht="15" hidden="false" customHeight="false" outlineLevel="0" collapsed="false">
      <c r="A1419" s="3" t="n">
        <v>1418</v>
      </c>
      <c r="B1419" s="3" t="n">
        <v>1417</v>
      </c>
      <c r="C1419" s="3" t="n">
        <v>1</v>
      </c>
      <c r="D1419" s="3" t="n">
        <v>22</v>
      </c>
      <c r="E1419" s="3" t="n">
        <v>17</v>
      </c>
      <c r="F1419" s="24" t="n">
        <v>-0.678061068</v>
      </c>
    </row>
    <row r="1420" customFormat="false" ht="15" hidden="false" customHeight="false" outlineLevel="0" collapsed="false">
      <c r="A1420" s="3" t="n">
        <v>1419</v>
      </c>
      <c r="B1420" s="3" t="n">
        <v>1418</v>
      </c>
      <c r="C1420" s="3" t="n">
        <v>1</v>
      </c>
      <c r="D1420" s="3" t="n">
        <v>22</v>
      </c>
      <c r="E1420" s="3" t="n">
        <v>18</v>
      </c>
      <c r="F1420" s="24" t="n">
        <v>-0.678061068</v>
      </c>
    </row>
    <row r="1421" customFormat="false" ht="15" hidden="false" customHeight="false" outlineLevel="0" collapsed="false">
      <c r="A1421" s="3" t="n">
        <v>1420</v>
      </c>
      <c r="B1421" s="3" t="n">
        <v>1419</v>
      </c>
      <c r="C1421" s="3" t="n">
        <v>1</v>
      </c>
      <c r="D1421" s="3" t="n">
        <v>22</v>
      </c>
      <c r="E1421" s="3" t="n">
        <v>19</v>
      </c>
      <c r="F1421" s="24" t="n">
        <v>-0.678061068</v>
      </c>
    </row>
    <row r="1422" customFormat="false" ht="15" hidden="false" customHeight="false" outlineLevel="0" collapsed="false">
      <c r="A1422" s="3" t="n">
        <v>1421</v>
      </c>
      <c r="B1422" s="3" t="n">
        <v>1420</v>
      </c>
      <c r="C1422" s="3" t="n">
        <v>1</v>
      </c>
      <c r="D1422" s="3" t="n">
        <v>22</v>
      </c>
      <c r="E1422" s="3" t="n">
        <v>20</v>
      </c>
      <c r="F1422" s="24" t="n">
        <v>-0.678061068</v>
      </c>
    </row>
    <row r="1423" customFormat="false" ht="15" hidden="false" customHeight="false" outlineLevel="0" collapsed="false">
      <c r="A1423" s="3" t="n">
        <v>1422</v>
      </c>
      <c r="B1423" s="3" t="n">
        <v>1421</v>
      </c>
      <c r="C1423" s="3" t="n">
        <v>1</v>
      </c>
      <c r="D1423" s="3" t="n">
        <v>22</v>
      </c>
      <c r="E1423" s="3" t="n">
        <v>21</v>
      </c>
      <c r="F1423" s="24" t="n">
        <v>-0.678061068</v>
      </c>
    </row>
    <row r="1424" customFormat="false" ht="15" hidden="false" customHeight="false" outlineLevel="0" collapsed="false">
      <c r="A1424" s="3" t="n">
        <v>1423</v>
      </c>
      <c r="B1424" s="3" t="n">
        <v>1422</v>
      </c>
      <c r="C1424" s="3" t="n">
        <v>1</v>
      </c>
      <c r="D1424" s="3" t="n">
        <v>22</v>
      </c>
      <c r="E1424" s="3" t="n">
        <v>22</v>
      </c>
      <c r="F1424" s="24" t="n">
        <v>-0.678061068</v>
      </c>
    </row>
    <row r="1425" customFormat="false" ht="15" hidden="false" customHeight="false" outlineLevel="0" collapsed="false">
      <c r="A1425" s="3" t="n">
        <v>1424</v>
      </c>
      <c r="B1425" s="3" t="n">
        <v>1423</v>
      </c>
      <c r="C1425" s="3" t="n">
        <v>1</v>
      </c>
      <c r="D1425" s="3" t="n">
        <v>22</v>
      </c>
      <c r="E1425" s="3" t="n">
        <v>23</v>
      </c>
      <c r="F1425" s="24" t="n">
        <v>-0.678061068</v>
      </c>
    </row>
    <row r="1426" customFormat="false" ht="15" hidden="false" customHeight="false" outlineLevel="0" collapsed="false">
      <c r="A1426" s="3" t="n">
        <v>1425</v>
      </c>
      <c r="B1426" s="3" t="n">
        <v>1424</v>
      </c>
      <c r="C1426" s="3" t="n">
        <v>1</v>
      </c>
      <c r="D1426" s="3" t="n">
        <v>22</v>
      </c>
      <c r="E1426" s="3" t="n">
        <v>24</v>
      </c>
      <c r="F1426" s="24" t="n">
        <v>-0.678061068</v>
      </c>
    </row>
    <row r="1427" customFormat="false" ht="15" hidden="false" customHeight="false" outlineLevel="0" collapsed="false">
      <c r="A1427" s="3" t="n">
        <v>1426</v>
      </c>
      <c r="B1427" s="3" t="n">
        <v>1425</v>
      </c>
      <c r="C1427" s="3" t="n">
        <v>1</v>
      </c>
      <c r="D1427" s="3" t="n">
        <v>22</v>
      </c>
      <c r="E1427" s="3" t="n">
        <v>25</v>
      </c>
      <c r="F1427" s="24" t="n">
        <v>-0.678061068</v>
      </c>
    </row>
    <row r="1428" customFormat="false" ht="15" hidden="false" customHeight="false" outlineLevel="0" collapsed="false">
      <c r="A1428" s="3" t="n">
        <v>1427</v>
      </c>
      <c r="B1428" s="3" t="n">
        <v>1426</v>
      </c>
      <c r="C1428" s="3" t="n">
        <v>1</v>
      </c>
      <c r="D1428" s="3" t="n">
        <v>22</v>
      </c>
      <c r="E1428" s="3" t="n">
        <v>26</v>
      </c>
      <c r="F1428" s="24" t="n">
        <v>-0.678061068</v>
      </c>
    </row>
    <row r="1429" customFormat="false" ht="15" hidden="false" customHeight="false" outlineLevel="0" collapsed="false">
      <c r="A1429" s="3" t="n">
        <v>1428</v>
      </c>
      <c r="B1429" s="3" t="n">
        <v>1427</v>
      </c>
      <c r="C1429" s="3" t="n">
        <v>1</v>
      </c>
      <c r="D1429" s="3" t="n">
        <v>22</v>
      </c>
      <c r="E1429" s="3" t="n">
        <v>27</v>
      </c>
      <c r="F1429" s="24" t="n">
        <v>-0.401937425</v>
      </c>
    </row>
    <row r="1430" customFormat="false" ht="15" hidden="false" customHeight="false" outlineLevel="0" collapsed="false">
      <c r="A1430" s="3" t="n">
        <v>1429</v>
      </c>
      <c r="B1430" s="3" t="n">
        <v>1428</v>
      </c>
      <c r="C1430" s="3" t="n">
        <v>1</v>
      </c>
      <c r="D1430" s="3" t="n">
        <v>23</v>
      </c>
      <c r="E1430" s="3" t="n">
        <v>0</v>
      </c>
      <c r="F1430" s="24" t="n">
        <v>-0.749848783</v>
      </c>
    </row>
    <row r="1431" customFormat="false" ht="15" hidden="false" customHeight="false" outlineLevel="0" collapsed="false">
      <c r="A1431" s="3" t="n">
        <v>1430</v>
      </c>
      <c r="B1431" s="3" t="n">
        <v>1429</v>
      </c>
      <c r="C1431" s="3" t="n">
        <v>1</v>
      </c>
      <c r="D1431" s="3" t="n">
        <v>23</v>
      </c>
      <c r="E1431" s="3" t="n">
        <v>1</v>
      </c>
      <c r="F1431" s="24" t="n">
        <v>-0.678061068</v>
      </c>
    </row>
    <row r="1432" customFormat="false" ht="15" hidden="false" customHeight="false" outlineLevel="0" collapsed="false">
      <c r="A1432" s="3" t="n">
        <v>1431</v>
      </c>
      <c r="B1432" s="3" t="n">
        <v>1430</v>
      </c>
      <c r="C1432" s="3" t="n">
        <v>1</v>
      </c>
      <c r="D1432" s="3" t="n">
        <v>23</v>
      </c>
      <c r="E1432" s="3" t="n">
        <v>2</v>
      </c>
      <c r="F1432" s="24" t="n">
        <v>-0.678061068</v>
      </c>
    </row>
    <row r="1433" customFormat="false" ht="15" hidden="false" customHeight="false" outlineLevel="0" collapsed="false">
      <c r="A1433" s="3" t="n">
        <v>1432</v>
      </c>
      <c r="B1433" s="3" t="n">
        <v>1431</v>
      </c>
      <c r="C1433" s="3" t="n">
        <v>1</v>
      </c>
      <c r="D1433" s="3" t="n">
        <v>23</v>
      </c>
      <c r="E1433" s="3" t="n">
        <v>3</v>
      </c>
      <c r="F1433" s="24" t="n">
        <v>-0.678061068</v>
      </c>
    </row>
    <row r="1434" customFormat="false" ht="15" hidden="false" customHeight="false" outlineLevel="0" collapsed="false">
      <c r="A1434" s="3" t="n">
        <v>1433</v>
      </c>
      <c r="B1434" s="3" t="n">
        <v>1432</v>
      </c>
      <c r="C1434" s="3" t="n">
        <v>1</v>
      </c>
      <c r="D1434" s="3" t="n">
        <v>23</v>
      </c>
      <c r="E1434" s="3" t="n">
        <v>4</v>
      </c>
      <c r="F1434" s="24" t="n">
        <v>-0.678061068</v>
      </c>
    </row>
    <row r="1435" customFormat="false" ht="15" hidden="false" customHeight="false" outlineLevel="0" collapsed="false">
      <c r="A1435" s="3" t="n">
        <v>1434</v>
      </c>
      <c r="B1435" s="3" t="n">
        <v>1433</v>
      </c>
      <c r="C1435" s="3" t="n">
        <v>1</v>
      </c>
      <c r="D1435" s="3" t="n">
        <v>23</v>
      </c>
      <c r="E1435" s="3" t="n">
        <v>5</v>
      </c>
      <c r="F1435" s="24" t="n">
        <v>-0.678061068</v>
      </c>
    </row>
    <row r="1436" customFormat="false" ht="15" hidden="false" customHeight="false" outlineLevel="0" collapsed="false">
      <c r="A1436" s="3" t="n">
        <v>1435</v>
      </c>
      <c r="B1436" s="3" t="n">
        <v>1434</v>
      </c>
      <c r="C1436" s="3" t="n">
        <v>1</v>
      </c>
      <c r="D1436" s="3" t="n">
        <v>23</v>
      </c>
      <c r="E1436" s="3" t="n">
        <v>6</v>
      </c>
      <c r="F1436" s="24" t="n">
        <v>-0.678061068</v>
      </c>
    </row>
    <row r="1437" customFormat="false" ht="15" hidden="false" customHeight="false" outlineLevel="0" collapsed="false">
      <c r="A1437" s="3" t="n">
        <v>1436</v>
      </c>
      <c r="B1437" s="3" t="n">
        <v>1435</v>
      </c>
      <c r="C1437" s="3" t="n">
        <v>1</v>
      </c>
      <c r="D1437" s="3" t="n">
        <v>23</v>
      </c>
      <c r="E1437" s="3" t="n">
        <v>7</v>
      </c>
      <c r="F1437" s="24" t="n">
        <v>-0.678061068</v>
      </c>
    </row>
    <row r="1438" customFormat="false" ht="15" hidden="false" customHeight="false" outlineLevel="0" collapsed="false">
      <c r="A1438" s="3" t="n">
        <v>1437</v>
      </c>
      <c r="B1438" s="3" t="n">
        <v>1436</v>
      </c>
      <c r="C1438" s="3" t="n">
        <v>1</v>
      </c>
      <c r="D1438" s="3" t="n">
        <v>23</v>
      </c>
      <c r="E1438" s="3" t="n">
        <v>8</v>
      </c>
      <c r="F1438" s="24" t="n">
        <v>-0.678061068</v>
      </c>
    </row>
    <row r="1439" customFormat="false" ht="15" hidden="false" customHeight="false" outlineLevel="0" collapsed="false">
      <c r="A1439" s="3" t="n">
        <v>1438</v>
      </c>
      <c r="B1439" s="3" t="n">
        <v>1437</v>
      </c>
      <c r="C1439" s="3" t="n">
        <v>1</v>
      </c>
      <c r="D1439" s="3" t="n">
        <v>23</v>
      </c>
      <c r="E1439" s="3" t="n">
        <v>9</v>
      </c>
      <c r="F1439" s="24" t="n">
        <v>-0.60412395</v>
      </c>
    </row>
    <row r="1440" customFormat="false" ht="15" hidden="false" customHeight="false" outlineLevel="0" collapsed="false">
      <c r="A1440" s="3" t="n">
        <v>1439</v>
      </c>
      <c r="B1440" s="3" t="n">
        <v>1438</v>
      </c>
      <c r="C1440" s="3" t="n">
        <v>1</v>
      </c>
      <c r="D1440" s="3" t="n">
        <v>23</v>
      </c>
      <c r="E1440" s="3" t="n">
        <v>10</v>
      </c>
      <c r="F1440" s="24" t="n">
        <v>0.591515779</v>
      </c>
    </row>
    <row r="1441" customFormat="false" ht="15" hidden="false" customHeight="false" outlineLevel="0" collapsed="false">
      <c r="A1441" s="3" t="n">
        <v>1440</v>
      </c>
      <c r="B1441" s="3" t="n">
        <v>1439</v>
      </c>
      <c r="C1441" s="3" t="n">
        <v>1</v>
      </c>
      <c r="D1441" s="3" t="n">
        <v>23</v>
      </c>
      <c r="E1441" s="3" t="n">
        <v>11</v>
      </c>
      <c r="F1441" s="24" t="n">
        <v>2.84406567</v>
      </c>
    </row>
    <row r="1442" customFormat="false" ht="15" hidden="false" customHeight="false" outlineLevel="0" collapsed="false">
      <c r="A1442" s="3" t="n">
        <v>1441</v>
      </c>
      <c r="B1442" s="3" t="n">
        <v>1440</v>
      </c>
      <c r="C1442" s="3" t="n">
        <v>1</v>
      </c>
      <c r="D1442" s="3" t="n">
        <v>23</v>
      </c>
      <c r="E1442" s="3" t="n">
        <v>12</v>
      </c>
      <c r="F1442" s="24" t="n">
        <v>3.90224409</v>
      </c>
    </row>
    <row r="1443" customFormat="false" ht="15" hidden="false" customHeight="false" outlineLevel="0" collapsed="false">
      <c r="A1443" s="3" t="n">
        <v>1442</v>
      </c>
      <c r="B1443" s="3" t="n">
        <v>1441</v>
      </c>
      <c r="C1443" s="3" t="n">
        <v>1</v>
      </c>
      <c r="D1443" s="3" t="n">
        <v>23</v>
      </c>
      <c r="E1443" s="3" t="n">
        <v>13</v>
      </c>
      <c r="F1443" s="24" t="n">
        <v>1.97321522</v>
      </c>
    </row>
    <row r="1444" customFormat="false" ht="15" hidden="false" customHeight="false" outlineLevel="0" collapsed="false">
      <c r="A1444" s="3" t="n">
        <v>1443</v>
      </c>
      <c r="B1444" s="3" t="n">
        <v>1442</v>
      </c>
      <c r="C1444" s="3" t="n">
        <v>1</v>
      </c>
      <c r="D1444" s="3" t="n">
        <v>23</v>
      </c>
      <c r="E1444" s="3" t="n">
        <v>14</v>
      </c>
      <c r="F1444" s="24" t="n">
        <v>-0.568569422</v>
      </c>
    </row>
    <row r="1445" customFormat="false" ht="15" hidden="false" customHeight="false" outlineLevel="0" collapsed="false">
      <c r="A1445" s="3" t="n">
        <v>1444</v>
      </c>
      <c r="B1445" s="3" t="n">
        <v>1443</v>
      </c>
      <c r="C1445" s="3" t="n">
        <v>1</v>
      </c>
      <c r="D1445" s="3" t="n">
        <v>23</v>
      </c>
      <c r="E1445" s="3" t="n">
        <v>15</v>
      </c>
      <c r="F1445" s="24" t="n">
        <v>-1.06287169</v>
      </c>
    </row>
    <row r="1446" customFormat="false" ht="15" hidden="false" customHeight="false" outlineLevel="0" collapsed="false">
      <c r="A1446" s="3" t="n">
        <v>1445</v>
      </c>
      <c r="B1446" s="3" t="n">
        <v>1444</v>
      </c>
      <c r="C1446" s="3" t="n">
        <v>1</v>
      </c>
      <c r="D1446" s="3" t="n">
        <v>23</v>
      </c>
      <c r="E1446" s="3" t="n">
        <v>16</v>
      </c>
      <c r="F1446" s="24" t="n">
        <v>-0.682427466</v>
      </c>
    </row>
    <row r="1447" customFormat="false" ht="15" hidden="false" customHeight="false" outlineLevel="0" collapsed="false">
      <c r="A1447" s="3" t="n">
        <v>1446</v>
      </c>
      <c r="B1447" s="3" t="n">
        <v>1445</v>
      </c>
      <c r="C1447" s="3" t="n">
        <v>1</v>
      </c>
      <c r="D1447" s="3" t="n">
        <v>23</v>
      </c>
      <c r="E1447" s="3" t="n">
        <v>17</v>
      </c>
      <c r="F1447" s="24" t="n">
        <v>-0.678061068</v>
      </c>
    </row>
    <row r="1448" customFormat="false" ht="15" hidden="false" customHeight="false" outlineLevel="0" collapsed="false">
      <c r="A1448" s="3" t="n">
        <v>1447</v>
      </c>
      <c r="B1448" s="3" t="n">
        <v>1446</v>
      </c>
      <c r="C1448" s="3" t="n">
        <v>1</v>
      </c>
      <c r="D1448" s="3" t="n">
        <v>23</v>
      </c>
      <c r="E1448" s="3" t="n">
        <v>18</v>
      </c>
      <c r="F1448" s="24" t="n">
        <v>-0.678061068</v>
      </c>
    </row>
    <row r="1449" customFormat="false" ht="15" hidden="false" customHeight="false" outlineLevel="0" collapsed="false">
      <c r="A1449" s="3" t="n">
        <v>1448</v>
      </c>
      <c r="B1449" s="3" t="n">
        <v>1447</v>
      </c>
      <c r="C1449" s="3" t="n">
        <v>1</v>
      </c>
      <c r="D1449" s="3" t="n">
        <v>23</v>
      </c>
      <c r="E1449" s="3" t="n">
        <v>19</v>
      </c>
      <c r="F1449" s="24" t="n">
        <v>-0.678061068</v>
      </c>
    </row>
    <row r="1450" customFormat="false" ht="15" hidden="false" customHeight="false" outlineLevel="0" collapsed="false">
      <c r="A1450" s="3" t="n">
        <v>1449</v>
      </c>
      <c r="B1450" s="3" t="n">
        <v>1448</v>
      </c>
      <c r="C1450" s="3" t="n">
        <v>1</v>
      </c>
      <c r="D1450" s="3" t="n">
        <v>23</v>
      </c>
      <c r="E1450" s="3" t="n">
        <v>20</v>
      </c>
      <c r="F1450" s="24" t="n">
        <v>-0.678061068</v>
      </c>
    </row>
    <row r="1451" customFormat="false" ht="15" hidden="false" customHeight="false" outlineLevel="0" collapsed="false">
      <c r="A1451" s="3" t="n">
        <v>1450</v>
      </c>
      <c r="B1451" s="3" t="n">
        <v>1449</v>
      </c>
      <c r="C1451" s="3" t="n">
        <v>1</v>
      </c>
      <c r="D1451" s="3" t="n">
        <v>23</v>
      </c>
      <c r="E1451" s="3" t="n">
        <v>21</v>
      </c>
      <c r="F1451" s="24" t="n">
        <v>-0.678061068</v>
      </c>
    </row>
    <row r="1452" customFormat="false" ht="15" hidden="false" customHeight="false" outlineLevel="0" collapsed="false">
      <c r="A1452" s="3" t="n">
        <v>1451</v>
      </c>
      <c r="B1452" s="3" t="n">
        <v>1450</v>
      </c>
      <c r="C1452" s="3" t="n">
        <v>1</v>
      </c>
      <c r="D1452" s="3" t="n">
        <v>23</v>
      </c>
      <c r="E1452" s="3" t="n">
        <v>22</v>
      </c>
      <c r="F1452" s="24" t="n">
        <v>-0.678061068</v>
      </c>
    </row>
    <row r="1453" customFormat="false" ht="15" hidden="false" customHeight="false" outlineLevel="0" collapsed="false">
      <c r="A1453" s="3" t="n">
        <v>1452</v>
      </c>
      <c r="B1453" s="3" t="n">
        <v>1451</v>
      </c>
      <c r="C1453" s="3" t="n">
        <v>1</v>
      </c>
      <c r="D1453" s="3" t="n">
        <v>23</v>
      </c>
      <c r="E1453" s="3" t="n">
        <v>23</v>
      </c>
      <c r="F1453" s="24" t="n">
        <v>-0.678061068</v>
      </c>
    </row>
    <row r="1454" customFormat="false" ht="15" hidden="false" customHeight="false" outlineLevel="0" collapsed="false">
      <c r="A1454" s="3" t="n">
        <v>1453</v>
      </c>
      <c r="B1454" s="3" t="n">
        <v>1452</v>
      </c>
      <c r="C1454" s="3" t="n">
        <v>1</v>
      </c>
      <c r="D1454" s="3" t="n">
        <v>23</v>
      </c>
      <c r="E1454" s="3" t="n">
        <v>24</v>
      </c>
      <c r="F1454" s="24" t="n">
        <v>-0.678061068</v>
      </c>
    </row>
    <row r="1455" customFormat="false" ht="15" hidden="false" customHeight="false" outlineLevel="0" collapsed="false">
      <c r="A1455" s="3" t="n">
        <v>1454</v>
      </c>
      <c r="B1455" s="3" t="n">
        <v>1453</v>
      </c>
      <c r="C1455" s="3" t="n">
        <v>1</v>
      </c>
      <c r="D1455" s="3" t="n">
        <v>23</v>
      </c>
      <c r="E1455" s="3" t="n">
        <v>25</v>
      </c>
      <c r="F1455" s="24" t="n">
        <v>-0.678061068</v>
      </c>
    </row>
    <row r="1456" customFormat="false" ht="15" hidden="false" customHeight="false" outlineLevel="0" collapsed="false">
      <c r="A1456" s="3" t="n">
        <v>1455</v>
      </c>
      <c r="B1456" s="3" t="n">
        <v>1454</v>
      </c>
      <c r="C1456" s="3" t="n">
        <v>1</v>
      </c>
      <c r="D1456" s="3" t="n">
        <v>23</v>
      </c>
      <c r="E1456" s="3" t="n">
        <v>26</v>
      </c>
      <c r="F1456" s="24" t="n">
        <v>-0.678061068</v>
      </c>
    </row>
    <row r="1457" customFormat="false" ht="15" hidden="false" customHeight="false" outlineLevel="0" collapsed="false">
      <c r="A1457" s="3" t="n">
        <v>1456</v>
      </c>
      <c r="B1457" s="3" t="n">
        <v>1455</v>
      </c>
      <c r="C1457" s="3" t="n">
        <v>1</v>
      </c>
      <c r="D1457" s="3" t="n">
        <v>23</v>
      </c>
      <c r="E1457" s="3" t="n">
        <v>27</v>
      </c>
      <c r="F1457" s="24" t="n">
        <v>-0.401937425</v>
      </c>
    </row>
    <row r="1458" customFormat="false" ht="15" hidden="false" customHeight="false" outlineLevel="0" collapsed="false">
      <c r="A1458" s="3" t="n">
        <v>1457</v>
      </c>
      <c r="B1458" s="3" t="n">
        <v>1456</v>
      </c>
      <c r="C1458" s="3" t="n">
        <v>1</v>
      </c>
      <c r="D1458" s="3" t="n">
        <v>24</v>
      </c>
      <c r="E1458" s="3" t="n">
        <v>0</v>
      </c>
      <c r="F1458" s="24" t="n">
        <v>-0.749848783</v>
      </c>
    </row>
    <row r="1459" customFormat="false" ht="15" hidden="false" customHeight="false" outlineLevel="0" collapsed="false">
      <c r="A1459" s="3" t="n">
        <v>1458</v>
      </c>
      <c r="B1459" s="3" t="n">
        <v>1457</v>
      </c>
      <c r="C1459" s="3" t="n">
        <v>1</v>
      </c>
      <c r="D1459" s="3" t="n">
        <v>24</v>
      </c>
      <c r="E1459" s="3" t="n">
        <v>1</v>
      </c>
      <c r="F1459" s="24" t="n">
        <v>-0.678061068</v>
      </c>
    </row>
    <row r="1460" customFormat="false" ht="15" hidden="false" customHeight="false" outlineLevel="0" collapsed="false">
      <c r="A1460" s="3" t="n">
        <v>1459</v>
      </c>
      <c r="B1460" s="3" t="n">
        <v>1458</v>
      </c>
      <c r="C1460" s="3" t="n">
        <v>1</v>
      </c>
      <c r="D1460" s="3" t="n">
        <v>24</v>
      </c>
      <c r="E1460" s="3" t="n">
        <v>2</v>
      </c>
      <c r="F1460" s="24" t="n">
        <v>-0.678061068</v>
      </c>
    </row>
    <row r="1461" customFormat="false" ht="15" hidden="false" customHeight="false" outlineLevel="0" collapsed="false">
      <c r="A1461" s="3" t="n">
        <v>1460</v>
      </c>
      <c r="B1461" s="3" t="n">
        <v>1459</v>
      </c>
      <c r="C1461" s="3" t="n">
        <v>1</v>
      </c>
      <c r="D1461" s="3" t="n">
        <v>24</v>
      </c>
      <c r="E1461" s="3" t="n">
        <v>3</v>
      </c>
      <c r="F1461" s="24" t="n">
        <v>-0.678061068</v>
      </c>
    </row>
    <row r="1462" customFormat="false" ht="15" hidden="false" customHeight="false" outlineLevel="0" collapsed="false">
      <c r="A1462" s="3" t="n">
        <v>1461</v>
      </c>
      <c r="B1462" s="3" t="n">
        <v>1460</v>
      </c>
      <c r="C1462" s="3" t="n">
        <v>1</v>
      </c>
      <c r="D1462" s="3" t="n">
        <v>24</v>
      </c>
      <c r="E1462" s="3" t="n">
        <v>4</v>
      </c>
      <c r="F1462" s="24" t="n">
        <v>-0.678061068</v>
      </c>
    </row>
    <row r="1463" customFormat="false" ht="15" hidden="false" customHeight="false" outlineLevel="0" collapsed="false">
      <c r="A1463" s="3" t="n">
        <v>1462</v>
      </c>
      <c r="B1463" s="3" t="n">
        <v>1461</v>
      </c>
      <c r="C1463" s="3" t="n">
        <v>1</v>
      </c>
      <c r="D1463" s="3" t="n">
        <v>24</v>
      </c>
      <c r="E1463" s="3" t="n">
        <v>5</v>
      </c>
      <c r="F1463" s="24" t="n">
        <v>-0.678061068</v>
      </c>
    </row>
    <row r="1464" customFormat="false" ht="15" hidden="false" customHeight="false" outlineLevel="0" collapsed="false">
      <c r="A1464" s="3" t="n">
        <v>1463</v>
      </c>
      <c r="B1464" s="3" t="n">
        <v>1462</v>
      </c>
      <c r="C1464" s="3" t="n">
        <v>1</v>
      </c>
      <c r="D1464" s="3" t="n">
        <v>24</v>
      </c>
      <c r="E1464" s="3" t="n">
        <v>6</v>
      </c>
      <c r="F1464" s="24" t="n">
        <v>-0.678061068</v>
      </c>
    </row>
    <row r="1465" customFormat="false" ht="15" hidden="false" customHeight="false" outlineLevel="0" collapsed="false">
      <c r="A1465" s="3" t="n">
        <v>1464</v>
      </c>
      <c r="B1465" s="3" t="n">
        <v>1463</v>
      </c>
      <c r="C1465" s="3" t="n">
        <v>1</v>
      </c>
      <c r="D1465" s="3" t="n">
        <v>24</v>
      </c>
      <c r="E1465" s="3" t="n">
        <v>7</v>
      </c>
      <c r="F1465" s="24" t="n">
        <v>-0.678061068</v>
      </c>
    </row>
    <row r="1466" customFormat="false" ht="15" hidden="false" customHeight="false" outlineLevel="0" collapsed="false">
      <c r="A1466" s="3" t="n">
        <v>1465</v>
      </c>
      <c r="B1466" s="3" t="n">
        <v>1464</v>
      </c>
      <c r="C1466" s="3" t="n">
        <v>1</v>
      </c>
      <c r="D1466" s="3" t="n">
        <v>24</v>
      </c>
      <c r="E1466" s="3" t="n">
        <v>8</v>
      </c>
      <c r="F1466" s="24" t="n">
        <v>-0.678061068</v>
      </c>
    </row>
    <row r="1467" customFormat="false" ht="15" hidden="false" customHeight="false" outlineLevel="0" collapsed="false">
      <c r="A1467" s="3" t="n">
        <v>1466</v>
      </c>
      <c r="B1467" s="3" t="n">
        <v>1465</v>
      </c>
      <c r="C1467" s="3" t="n">
        <v>1</v>
      </c>
      <c r="D1467" s="3" t="n">
        <v>24</v>
      </c>
      <c r="E1467" s="3" t="n">
        <v>9</v>
      </c>
      <c r="F1467" s="24" t="n">
        <v>-0.236758024</v>
      </c>
    </row>
    <row r="1468" customFormat="false" ht="15" hidden="false" customHeight="false" outlineLevel="0" collapsed="false">
      <c r="A1468" s="3" t="n">
        <v>1467</v>
      </c>
      <c r="B1468" s="3" t="n">
        <v>1466</v>
      </c>
      <c r="C1468" s="3" t="n">
        <v>1</v>
      </c>
      <c r="D1468" s="3" t="n">
        <v>24</v>
      </c>
      <c r="E1468" s="3" t="n">
        <v>10</v>
      </c>
      <c r="F1468" s="24" t="n">
        <v>1.81727874</v>
      </c>
    </row>
    <row r="1469" customFormat="false" ht="15" hidden="false" customHeight="false" outlineLevel="0" collapsed="false">
      <c r="A1469" s="3" t="n">
        <v>1468</v>
      </c>
      <c r="B1469" s="3" t="n">
        <v>1467</v>
      </c>
      <c r="C1469" s="3" t="n">
        <v>1</v>
      </c>
      <c r="D1469" s="3" t="n">
        <v>24</v>
      </c>
      <c r="E1469" s="3" t="n">
        <v>11</v>
      </c>
      <c r="F1469" s="24" t="n">
        <v>3.68187237</v>
      </c>
    </row>
    <row r="1470" customFormat="false" ht="15" hidden="false" customHeight="false" outlineLevel="0" collapsed="false">
      <c r="A1470" s="3" t="n">
        <v>1469</v>
      </c>
      <c r="B1470" s="3" t="n">
        <v>1468</v>
      </c>
      <c r="C1470" s="3" t="n">
        <v>1</v>
      </c>
      <c r="D1470" s="3" t="n">
        <v>24</v>
      </c>
      <c r="E1470" s="3" t="n">
        <v>12</v>
      </c>
      <c r="F1470" s="24" t="n">
        <v>3.82175064</v>
      </c>
    </row>
    <row r="1471" customFormat="false" ht="15" hidden="false" customHeight="false" outlineLevel="0" collapsed="false">
      <c r="A1471" s="3" t="n">
        <v>1470</v>
      </c>
      <c r="B1471" s="3" t="n">
        <v>1469</v>
      </c>
      <c r="C1471" s="3" t="n">
        <v>1</v>
      </c>
      <c r="D1471" s="3" t="n">
        <v>24</v>
      </c>
      <c r="E1471" s="3" t="n">
        <v>13</v>
      </c>
      <c r="F1471" s="24" t="n">
        <v>1.53473401</v>
      </c>
    </row>
    <row r="1472" customFormat="false" ht="15" hidden="false" customHeight="false" outlineLevel="0" collapsed="false">
      <c r="A1472" s="3" t="n">
        <v>1471</v>
      </c>
      <c r="B1472" s="3" t="n">
        <v>1470</v>
      </c>
      <c r="C1472" s="3" t="n">
        <v>1</v>
      </c>
      <c r="D1472" s="3" t="n">
        <v>24</v>
      </c>
      <c r="E1472" s="3" t="n">
        <v>14</v>
      </c>
      <c r="F1472" s="24" t="n">
        <v>-0.731022179</v>
      </c>
    </row>
    <row r="1473" customFormat="false" ht="15" hidden="false" customHeight="false" outlineLevel="0" collapsed="false">
      <c r="A1473" s="3" t="n">
        <v>1472</v>
      </c>
      <c r="B1473" s="3" t="n">
        <v>1471</v>
      </c>
      <c r="C1473" s="3" t="n">
        <v>1</v>
      </c>
      <c r="D1473" s="3" t="n">
        <v>24</v>
      </c>
      <c r="E1473" s="3" t="n">
        <v>15</v>
      </c>
      <c r="F1473" s="24" t="n">
        <v>-0.777966142</v>
      </c>
    </row>
    <row r="1474" customFormat="false" ht="15" hidden="false" customHeight="false" outlineLevel="0" collapsed="false">
      <c r="A1474" s="3" t="n">
        <v>1473</v>
      </c>
      <c r="B1474" s="3" t="n">
        <v>1472</v>
      </c>
      <c r="C1474" s="3" t="n">
        <v>1</v>
      </c>
      <c r="D1474" s="3" t="n">
        <v>24</v>
      </c>
      <c r="E1474" s="3" t="n">
        <v>16</v>
      </c>
      <c r="F1474" s="24" t="n">
        <v>-0.678061068</v>
      </c>
    </row>
    <row r="1475" customFormat="false" ht="15" hidden="false" customHeight="false" outlineLevel="0" collapsed="false">
      <c r="A1475" s="3" t="n">
        <v>1474</v>
      </c>
      <c r="B1475" s="3" t="n">
        <v>1473</v>
      </c>
      <c r="C1475" s="3" t="n">
        <v>1</v>
      </c>
      <c r="D1475" s="3" t="n">
        <v>24</v>
      </c>
      <c r="E1475" s="3" t="n">
        <v>17</v>
      </c>
      <c r="F1475" s="24" t="n">
        <v>-0.678061068</v>
      </c>
    </row>
    <row r="1476" customFormat="false" ht="15" hidden="false" customHeight="false" outlineLevel="0" collapsed="false">
      <c r="A1476" s="3" t="n">
        <v>1475</v>
      </c>
      <c r="B1476" s="3" t="n">
        <v>1474</v>
      </c>
      <c r="C1476" s="3" t="n">
        <v>1</v>
      </c>
      <c r="D1476" s="3" t="n">
        <v>24</v>
      </c>
      <c r="E1476" s="3" t="n">
        <v>18</v>
      </c>
      <c r="F1476" s="24" t="n">
        <v>-0.678061068</v>
      </c>
    </row>
    <row r="1477" customFormat="false" ht="15" hidden="false" customHeight="false" outlineLevel="0" collapsed="false">
      <c r="A1477" s="3" t="n">
        <v>1476</v>
      </c>
      <c r="B1477" s="3" t="n">
        <v>1475</v>
      </c>
      <c r="C1477" s="3" t="n">
        <v>1</v>
      </c>
      <c r="D1477" s="3" t="n">
        <v>24</v>
      </c>
      <c r="E1477" s="3" t="n">
        <v>19</v>
      </c>
      <c r="F1477" s="24" t="n">
        <v>-0.678061068</v>
      </c>
    </row>
    <row r="1478" customFormat="false" ht="15" hidden="false" customHeight="false" outlineLevel="0" collapsed="false">
      <c r="A1478" s="3" t="n">
        <v>1477</v>
      </c>
      <c r="B1478" s="3" t="n">
        <v>1476</v>
      </c>
      <c r="C1478" s="3" t="n">
        <v>1</v>
      </c>
      <c r="D1478" s="3" t="n">
        <v>24</v>
      </c>
      <c r="E1478" s="3" t="n">
        <v>20</v>
      </c>
      <c r="F1478" s="24" t="n">
        <v>-0.678061068</v>
      </c>
    </row>
    <row r="1479" customFormat="false" ht="15" hidden="false" customHeight="false" outlineLevel="0" collapsed="false">
      <c r="A1479" s="3" t="n">
        <v>1478</v>
      </c>
      <c r="B1479" s="3" t="n">
        <v>1477</v>
      </c>
      <c r="C1479" s="3" t="n">
        <v>1</v>
      </c>
      <c r="D1479" s="3" t="n">
        <v>24</v>
      </c>
      <c r="E1479" s="3" t="n">
        <v>21</v>
      </c>
      <c r="F1479" s="24" t="n">
        <v>-0.678061068</v>
      </c>
    </row>
    <row r="1480" customFormat="false" ht="15" hidden="false" customHeight="false" outlineLevel="0" collapsed="false">
      <c r="A1480" s="3" t="n">
        <v>1479</v>
      </c>
      <c r="B1480" s="3" t="n">
        <v>1478</v>
      </c>
      <c r="C1480" s="3" t="n">
        <v>1</v>
      </c>
      <c r="D1480" s="3" t="n">
        <v>24</v>
      </c>
      <c r="E1480" s="3" t="n">
        <v>22</v>
      </c>
      <c r="F1480" s="24" t="n">
        <v>-0.678061068</v>
      </c>
    </row>
    <row r="1481" customFormat="false" ht="15" hidden="false" customHeight="false" outlineLevel="0" collapsed="false">
      <c r="A1481" s="3" t="n">
        <v>1480</v>
      </c>
      <c r="B1481" s="3" t="n">
        <v>1479</v>
      </c>
      <c r="C1481" s="3" t="n">
        <v>1</v>
      </c>
      <c r="D1481" s="3" t="n">
        <v>24</v>
      </c>
      <c r="E1481" s="3" t="n">
        <v>23</v>
      </c>
      <c r="F1481" s="24" t="n">
        <v>-0.678061068</v>
      </c>
    </row>
    <row r="1482" customFormat="false" ht="15" hidden="false" customHeight="false" outlineLevel="0" collapsed="false">
      <c r="A1482" s="3" t="n">
        <v>1481</v>
      </c>
      <c r="B1482" s="3" t="n">
        <v>1480</v>
      </c>
      <c r="C1482" s="3" t="n">
        <v>1</v>
      </c>
      <c r="D1482" s="3" t="n">
        <v>24</v>
      </c>
      <c r="E1482" s="3" t="n">
        <v>24</v>
      </c>
      <c r="F1482" s="24" t="n">
        <v>-0.678061068</v>
      </c>
    </row>
    <row r="1483" customFormat="false" ht="15" hidden="false" customHeight="false" outlineLevel="0" collapsed="false">
      <c r="A1483" s="3" t="n">
        <v>1482</v>
      </c>
      <c r="B1483" s="3" t="n">
        <v>1481</v>
      </c>
      <c r="C1483" s="3" t="n">
        <v>1</v>
      </c>
      <c r="D1483" s="3" t="n">
        <v>24</v>
      </c>
      <c r="E1483" s="3" t="n">
        <v>25</v>
      </c>
      <c r="F1483" s="24" t="n">
        <v>-0.678061068</v>
      </c>
    </row>
    <row r="1484" customFormat="false" ht="15" hidden="false" customHeight="false" outlineLevel="0" collapsed="false">
      <c r="A1484" s="3" t="n">
        <v>1483</v>
      </c>
      <c r="B1484" s="3" t="n">
        <v>1482</v>
      </c>
      <c r="C1484" s="3" t="n">
        <v>1</v>
      </c>
      <c r="D1484" s="3" t="n">
        <v>24</v>
      </c>
      <c r="E1484" s="3" t="n">
        <v>26</v>
      </c>
      <c r="F1484" s="24" t="n">
        <v>-0.678061068</v>
      </c>
    </row>
    <row r="1485" customFormat="false" ht="15" hidden="false" customHeight="false" outlineLevel="0" collapsed="false">
      <c r="A1485" s="3" t="n">
        <v>1484</v>
      </c>
      <c r="B1485" s="3" t="n">
        <v>1483</v>
      </c>
      <c r="C1485" s="3" t="n">
        <v>1</v>
      </c>
      <c r="D1485" s="3" t="n">
        <v>24</v>
      </c>
      <c r="E1485" s="3" t="n">
        <v>27</v>
      </c>
      <c r="F1485" s="24" t="n">
        <v>-0.401937425</v>
      </c>
    </row>
    <row r="1486" customFormat="false" ht="15" hidden="false" customHeight="false" outlineLevel="0" collapsed="false">
      <c r="A1486" s="3" t="n">
        <v>1485</v>
      </c>
      <c r="B1486" s="3" t="n">
        <v>1484</v>
      </c>
      <c r="C1486" s="3" t="n">
        <v>1</v>
      </c>
      <c r="D1486" s="3" t="n">
        <v>25</v>
      </c>
      <c r="E1486" s="3" t="n">
        <v>0</v>
      </c>
      <c r="F1486" s="24" t="n">
        <v>-0.749848783</v>
      </c>
    </row>
    <row r="1487" customFormat="false" ht="15" hidden="false" customHeight="false" outlineLevel="0" collapsed="false">
      <c r="A1487" s="3" t="n">
        <v>1486</v>
      </c>
      <c r="B1487" s="3" t="n">
        <v>1485</v>
      </c>
      <c r="C1487" s="3" t="n">
        <v>1</v>
      </c>
      <c r="D1487" s="3" t="n">
        <v>25</v>
      </c>
      <c r="E1487" s="3" t="n">
        <v>1</v>
      </c>
      <c r="F1487" s="24" t="n">
        <v>-0.678061068</v>
      </c>
    </row>
    <row r="1488" customFormat="false" ht="15" hidden="false" customHeight="false" outlineLevel="0" collapsed="false">
      <c r="A1488" s="3" t="n">
        <v>1487</v>
      </c>
      <c r="B1488" s="3" t="n">
        <v>1486</v>
      </c>
      <c r="C1488" s="3" t="n">
        <v>1</v>
      </c>
      <c r="D1488" s="3" t="n">
        <v>25</v>
      </c>
      <c r="E1488" s="3" t="n">
        <v>2</v>
      </c>
      <c r="F1488" s="24" t="n">
        <v>-0.678061068</v>
      </c>
    </row>
    <row r="1489" customFormat="false" ht="15" hidden="false" customHeight="false" outlineLevel="0" collapsed="false">
      <c r="A1489" s="3" t="n">
        <v>1488</v>
      </c>
      <c r="B1489" s="3" t="n">
        <v>1487</v>
      </c>
      <c r="C1489" s="3" t="n">
        <v>1</v>
      </c>
      <c r="D1489" s="3" t="n">
        <v>25</v>
      </c>
      <c r="E1489" s="3" t="n">
        <v>3</v>
      </c>
      <c r="F1489" s="24" t="n">
        <v>-0.678061068</v>
      </c>
    </row>
    <row r="1490" customFormat="false" ht="15" hidden="false" customHeight="false" outlineLevel="0" collapsed="false">
      <c r="A1490" s="3" t="n">
        <v>1489</v>
      </c>
      <c r="B1490" s="3" t="n">
        <v>1488</v>
      </c>
      <c r="C1490" s="3" t="n">
        <v>1</v>
      </c>
      <c r="D1490" s="3" t="n">
        <v>25</v>
      </c>
      <c r="E1490" s="3" t="n">
        <v>4</v>
      </c>
      <c r="F1490" s="24" t="n">
        <v>-0.678061068</v>
      </c>
    </row>
    <row r="1491" customFormat="false" ht="15" hidden="false" customHeight="false" outlineLevel="0" collapsed="false">
      <c r="A1491" s="3" t="n">
        <v>1490</v>
      </c>
      <c r="B1491" s="3" t="n">
        <v>1489</v>
      </c>
      <c r="C1491" s="3" t="n">
        <v>1</v>
      </c>
      <c r="D1491" s="3" t="n">
        <v>25</v>
      </c>
      <c r="E1491" s="3" t="n">
        <v>5</v>
      </c>
      <c r="F1491" s="24" t="n">
        <v>-0.678061068</v>
      </c>
    </row>
    <row r="1492" customFormat="false" ht="15" hidden="false" customHeight="false" outlineLevel="0" collapsed="false">
      <c r="A1492" s="3" t="n">
        <v>1491</v>
      </c>
      <c r="B1492" s="3" t="n">
        <v>1490</v>
      </c>
      <c r="C1492" s="3" t="n">
        <v>1</v>
      </c>
      <c r="D1492" s="3" t="n">
        <v>25</v>
      </c>
      <c r="E1492" s="3" t="n">
        <v>6</v>
      </c>
      <c r="F1492" s="24" t="n">
        <v>-0.678061068</v>
      </c>
    </row>
    <row r="1493" customFormat="false" ht="15" hidden="false" customHeight="false" outlineLevel="0" collapsed="false">
      <c r="A1493" s="3" t="n">
        <v>1492</v>
      </c>
      <c r="B1493" s="3" t="n">
        <v>1491</v>
      </c>
      <c r="C1493" s="3" t="n">
        <v>1</v>
      </c>
      <c r="D1493" s="3" t="n">
        <v>25</v>
      </c>
      <c r="E1493" s="3" t="n">
        <v>7</v>
      </c>
      <c r="F1493" s="24" t="n">
        <v>-0.678061068</v>
      </c>
    </row>
    <row r="1494" customFormat="false" ht="15" hidden="false" customHeight="false" outlineLevel="0" collapsed="false">
      <c r="A1494" s="3" t="n">
        <v>1493</v>
      </c>
      <c r="B1494" s="3" t="n">
        <v>1492</v>
      </c>
      <c r="C1494" s="3" t="n">
        <v>1</v>
      </c>
      <c r="D1494" s="3" t="n">
        <v>25</v>
      </c>
      <c r="E1494" s="3" t="n">
        <v>8</v>
      </c>
      <c r="F1494" s="24" t="n">
        <v>-0.678061068</v>
      </c>
    </row>
    <row r="1495" customFormat="false" ht="15" hidden="false" customHeight="false" outlineLevel="0" collapsed="false">
      <c r="A1495" s="3" t="n">
        <v>1494</v>
      </c>
      <c r="B1495" s="3" t="n">
        <v>1493</v>
      </c>
      <c r="C1495" s="3" t="n">
        <v>1</v>
      </c>
      <c r="D1495" s="3" t="n">
        <v>25</v>
      </c>
      <c r="E1495" s="3" t="n">
        <v>9</v>
      </c>
      <c r="F1495" s="24" t="n">
        <v>0.189854205</v>
      </c>
    </row>
    <row r="1496" customFormat="false" ht="15" hidden="false" customHeight="false" outlineLevel="0" collapsed="false">
      <c r="A1496" s="3" t="n">
        <v>1495</v>
      </c>
      <c r="B1496" s="3" t="n">
        <v>1494</v>
      </c>
      <c r="C1496" s="3" t="n">
        <v>1</v>
      </c>
      <c r="D1496" s="3" t="n">
        <v>25</v>
      </c>
      <c r="E1496" s="3" t="n">
        <v>10</v>
      </c>
      <c r="F1496" s="24" t="n">
        <v>2.45142078</v>
      </c>
    </row>
    <row r="1497" customFormat="false" ht="15" hidden="false" customHeight="false" outlineLevel="0" collapsed="false">
      <c r="A1497" s="3" t="n">
        <v>1496</v>
      </c>
      <c r="B1497" s="3" t="n">
        <v>1495</v>
      </c>
      <c r="C1497" s="3" t="n">
        <v>1</v>
      </c>
      <c r="D1497" s="3" t="n">
        <v>25</v>
      </c>
      <c r="E1497" s="3" t="n">
        <v>11</v>
      </c>
      <c r="F1497" s="24" t="n">
        <v>3.8386445</v>
      </c>
    </row>
    <row r="1498" customFormat="false" ht="15" hidden="false" customHeight="false" outlineLevel="0" collapsed="false">
      <c r="A1498" s="3" t="n">
        <v>1497</v>
      </c>
      <c r="B1498" s="3" t="n">
        <v>1496</v>
      </c>
      <c r="C1498" s="3" t="n">
        <v>1</v>
      </c>
      <c r="D1498" s="3" t="n">
        <v>25</v>
      </c>
      <c r="E1498" s="3" t="n">
        <v>12</v>
      </c>
      <c r="F1498" s="24" t="n">
        <v>2.76812315</v>
      </c>
    </row>
    <row r="1499" customFormat="false" ht="15" hidden="false" customHeight="false" outlineLevel="0" collapsed="false">
      <c r="A1499" s="3" t="n">
        <v>1498</v>
      </c>
      <c r="B1499" s="3" t="n">
        <v>1497</v>
      </c>
      <c r="C1499" s="3" t="n">
        <v>1</v>
      </c>
      <c r="D1499" s="3" t="n">
        <v>25</v>
      </c>
      <c r="E1499" s="3" t="n">
        <v>13</v>
      </c>
      <c r="F1499" s="24" t="n">
        <v>0.492279112</v>
      </c>
    </row>
    <row r="1500" customFormat="false" ht="15" hidden="false" customHeight="false" outlineLevel="0" collapsed="false">
      <c r="A1500" s="3" t="n">
        <v>1499</v>
      </c>
      <c r="B1500" s="3" t="n">
        <v>1498</v>
      </c>
      <c r="C1500" s="3" t="n">
        <v>1</v>
      </c>
      <c r="D1500" s="3" t="n">
        <v>25</v>
      </c>
      <c r="E1500" s="3" t="n">
        <v>14</v>
      </c>
      <c r="F1500" s="24" t="n">
        <v>-0.852953553</v>
      </c>
    </row>
    <row r="1501" customFormat="false" ht="15" hidden="false" customHeight="false" outlineLevel="0" collapsed="false">
      <c r="A1501" s="3" t="n">
        <v>1500</v>
      </c>
      <c r="B1501" s="3" t="n">
        <v>1499</v>
      </c>
      <c r="C1501" s="3" t="n">
        <v>1</v>
      </c>
      <c r="D1501" s="3" t="n">
        <v>25</v>
      </c>
      <c r="E1501" s="3" t="n">
        <v>15</v>
      </c>
      <c r="F1501" s="24" t="n">
        <v>-0.776282251</v>
      </c>
    </row>
    <row r="1502" customFormat="false" ht="15" hidden="false" customHeight="false" outlineLevel="0" collapsed="false">
      <c r="A1502" s="3" t="n">
        <v>1501</v>
      </c>
      <c r="B1502" s="3" t="n">
        <v>1500</v>
      </c>
      <c r="C1502" s="3" t="n">
        <v>1</v>
      </c>
      <c r="D1502" s="3" t="n">
        <v>25</v>
      </c>
      <c r="E1502" s="3" t="n">
        <v>16</v>
      </c>
      <c r="F1502" s="24" t="n">
        <v>-0.678061068</v>
      </c>
    </row>
    <row r="1503" customFormat="false" ht="15" hidden="false" customHeight="false" outlineLevel="0" collapsed="false">
      <c r="A1503" s="3" t="n">
        <v>1502</v>
      </c>
      <c r="B1503" s="3" t="n">
        <v>1501</v>
      </c>
      <c r="C1503" s="3" t="n">
        <v>1</v>
      </c>
      <c r="D1503" s="3" t="n">
        <v>25</v>
      </c>
      <c r="E1503" s="3" t="n">
        <v>17</v>
      </c>
      <c r="F1503" s="24" t="n">
        <v>-0.678061068</v>
      </c>
    </row>
    <row r="1504" customFormat="false" ht="15" hidden="false" customHeight="false" outlineLevel="0" collapsed="false">
      <c r="A1504" s="3" t="n">
        <v>1503</v>
      </c>
      <c r="B1504" s="3" t="n">
        <v>1502</v>
      </c>
      <c r="C1504" s="3" t="n">
        <v>1</v>
      </c>
      <c r="D1504" s="3" t="n">
        <v>25</v>
      </c>
      <c r="E1504" s="3" t="n">
        <v>18</v>
      </c>
      <c r="F1504" s="24" t="n">
        <v>-0.678061068</v>
      </c>
    </row>
    <row r="1505" customFormat="false" ht="15" hidden="false" customHeight="false" outlineLevel="0" collapsed="false">
      <c r="A1505" s="3" t="n">
        <v>1504</v>
      </c>
      <c r="B1505" s="3" t="n">
        <v>1503</v>
      </c>
      <c r="C1505" s="3" t="n">
        <v>1</v>
      </c>
      <c r="D1505" s="3" t="n">
        <v>25</v>
      </c>
      <c r="E1505" s="3" t="n">
        <v>19</v>
      </c>
      <c r="F1505" s="24" t="n">
        <v>-0.678061068</v>
      </c>
    </row>
    <row r="1506" customFormat="false" ht="15" hidden="false" customHeight="false" outlineLevel="0" collapsed="false">
      <c r="A1506" s="3" t="n">
        <v>1505</v>
      </c>
      <c r="B1506" s="3" t="n">
        <v>1504</v>
      </c>
      <c r="C1506" s="3" t="n">
        <v>1</v>
      </c>
      <c r="D1506" s="3" t="n">
        <v>25</v>
      </c>
      <c r="E1506" s="3" t="n">
        <v>20</v>
      </c>
      <c r="F1506" s="24" t="n">
        <v>-0.678061068</v>
      </c>
    </row>
    <row r="1507" customFormat="false" ht="15" hidden="false" customHeight="false" outlineLevel="0" collapsed="false">
      <c r="A1507" s="3" t="n">
        <v>1506</v>
      </c>
      <c r="B1507" s="3" t="n">
        <v>1505</v>
      </c>
      <c r="C1507" s="3" t="n">
        <v>1</v>
      </c>
      <c r="D1507" s="3" t="n">
        <v>25</v>
      </c>
      <c r="E1507" s="3" t="n">
        <v>21</v>
      </c>
      <c r="F1507" s="24" t="n">
        <v>-0.678061068</v>
      </c>
    </row>
    <row r="1508" customFormat="false" ht="15" hidden="false" customHeight="false" outlineLevel="0" collapsed="false">
      <c r="A1508" s="3" t="n">
        <v>1507</v>
      </c>
      <c r="B1508" s="3" t="n">
        <v>1506</v>
      </c>
      <c r="C1508" s="3" t="n">
        <v>1</v>
      </c>
      <c r="D1508" s="3" t="n">
        <v>25</v>
      </c>
      <c r="E1508" s="3" t="n">
        <v>22</v>
      </c>
      <c r="F1508" s="24" t="n">
        <v>-0.678061068</v>
      </c>
    </row>
    <row r="1509" customFormat="false" ht="15" hidden="false" customHeight="false" outlineLevel="0" collapsed="false">
      <c r="A1509" s="3" t="n">
        <v>1508</v>
      </c>
      <c r="B1509" s="3" t="n">
        <v>1507</v>
      </c>
      <c r="C1509" s="3" t="n">
        <v>1</v>
      </c>
      <c r="D1509" s="3" t="n">
        <v>25</v>
      </c>
      <c r="E1509" s="3" t="n">
        <v>23</v>
      </c>
      <c r="F1509" s="24" t="n">
        <v>-0.678061068</v>
      </c>
    </row>
    <row r="1510" customFormat="false" ht="15" hidden="false" customHeight="false" outlineLevel="0" collapsed="false">
      <c r="A1510" s="3" t="n">
        <v>1509</v>
      </c>
      <c r="B1510" s="3" t="n">
        <v>1508</v>
      </c>
      <c r="C1510" s="3" t="n">
        <v>1</v>
      </c>
      <c r="D1510" s="3" t="n">
        <v>25</v>
      </c>
      <c r="E1510" s="3" t="n">
        <v>24</v>
      </c>
      <c r="F1510" s="24" t="n">
        <v>-0.678061068</v>
      </c>
    </row>
    <row r="1511" customFormat="false" ht="15" hidden="false" customHeight="false" outlineLevel="0" collapsed="false">
      <c r="A1511" s="3" t="n">
        <v>1510</v>
      </c>
      <c r="B1511" s="3" t="n">
        <v>1509</v>
      </c>
      <c r="C1511" s="3" t="n">
        <v>1</v>
      </c>
      <c r="D1511" s="3" t="n">
        <v>25</v>
      </c>
      <c r="E1511" s="3" t="n">
        <v>25</v>
      </c>
      <c r="F1511" s="24" t="n">
        <v>-0.678061068</v>
      </c>
    </row>
    <row r="1512" customFormat="false" ht="15" hidden="false" customHeight="false" outlineLevel="0" collapsed="false">
      <c r="A1512" s="3" t="n">
        <v>1511</v>
      </c>
      <c r="B1512" s="3" t="n">
        <v>1510</v>
      </c>
      <c r="C1512" s="3" t="n">
        <v>1</v>
      </c>
      <c r="D1512" s="3" t="n">
        <v>25</v>
      </c>
      <c r="E1512" s="3" t="n">
        <v>26</v>
      </c>
      <c r="F1512" s="24" t="n">
        <v>-0.678061068</v>
      </c>
    </row>
    <row r="1513" customFormat="false" ht="15" hidden="false" customHeight="false" outlineLevel="0" collapsed="false">
      <c r="A1513" s="3" t="n">
        <v>1512</v>
      </c>
      <c r="B1513" s="3" t="n">
        <v>1511</v>
      </c>
      <c r="C1513" s="3" t="n">
        <v>1</v>
      </c>
      <c r="D1513" s="3" t="n">
        <v>25</v>
      </c>
      <c r="E1513" s="3" t="n">
        <v>27</v>
      </c>
      <c r="F1513" s="24" t="n">
        <v>-0.401937425</v>
      </c>
    </row>
    <row r="1514" customFormat="false" ht="15" hidden="false" customHeight="false" outlineLevel="0" collapsed="false">
      <c r="A1514" s="3" t="n">
        <v>1513</v>
      </c>
      <c r="B1514" s="3" t="n">
        <v>1512</v>
      </c>
      <c r="C1514" s="3" t="n">
        <v>1</v>
      </c>
      <c r="D1514" s="3" t="n">
        <v>26</v>
      </c>
      <c r="E1514" s="3" t="n">
        <v>0</v>
      </c>
      <c r="F1514" s="24" t="n">
        <v>-0.749848783</v>
      </c>
    </row>
    <row r="1515" customFormat="false" ht="15" hidden="false" customHeight="false" outlineLevel="0" collapsed="false">
      <c r="A1515" s="3" t="n">
        <v>1514</v>
      </c>
      <c r="B1515" s="3" t="n">
        <v>1513</v>
      </c>
      <c r="C1515" s="3" t="n">
        <v>1</v>
      </c>
      <c r="D1515" s="3" t="n">
        <v>26</v>
      </c>
      <c r="E1515" s="3" t="n">
        <v>1</v>
      </c>
      <c r="F1515" s="24" t="n">
        <v>-0.678061068</v>
      </c>
    </row>
    <row r="1516" customFormat="false" ht="15" hidden="false" customHeight="false" outlineLevel="0" collapsed="false">
      <c r="A1516" s="3" t="n">
        <v>1515</v>
      </c>
      <c r="B1516" s="3" t="n">
        <v>1514</v>
      </c>
      <c r="C1516" s="3" t="n">
        <v>1</v>
      </c>
      <c r="D1516" s="3" t="n">
        <v>26</v>
      </c>
      <c r="E1516" s="3" t="n">
        <v>2</v>
      </c>
      <c r="F1516" s="24" t="n">
        <v>-0.678061068</v>
      </c>
    </row>
    <row r="1517" customFormat="false" ht="15" hidden="false" customHeight="false" outlineLevel="0" collapsed="false">
      <c r="A1517" s="3" t="n">
        <v>1516</v>
      </c>
      <c r="B1517" s="3" t="n">
        <v>1515</v>
      </c>
      <c r="C1517" s="3" t="n">
        <v>1</v>
      </c>
      <c r="D1517" s="3" t="n">
        <v>26</v>
      </c>
      <c r="E1517" s="3" t="n">
        <v>3</v>
      </c>
      <c r="F1517" s="24" t="n">
        <v>-0.678061068</v>
      </c>
    </row>
    <row r="1518" customFormat="false" ht="15" hidden="false" customHeight="false" outlineLevel="0" collapsed="false">
      <c r="A1518" s="3" t="n">
        <v>1517</v>
      </c>
      <c r="B1518" s="3" t="n">
        <v>1516</v>
      </c>
      <c r="C1518" s="3" t="n">
        <v>1</v>
      </c>
      <c r="D1518" s="3" t="n">
        <v>26</v>
      </c>
      <c r="E1518" s="3" t="n">
        <v>4</v>
      </c>
      <c r="F1518" s="24" t="n">
        <v>-0.678061068</v>
      </c>
    </row>
    <row r="1519" customFormat="false" ht="15" hidden="false" customHeight="false" outlineLevel="0" collapsed="false">
      <c r="A1519" s="3" t="n">
        <v>1518</v>
      </c>
      <c r="B1519" s="3" t="n">
        <v>1517</v>
      </c>
      <c r="C1519" s="3" t="n">
        <v>1</v>
      </c>
      <c r="D1519" s="3" t="n">
        <v>26</v>
      </c>
      <c r="E1519" s="3" t="n">
        <v>5</v>
      </c>
      <c r="F1519" s="24" t="n">
        <v>-0.678061068</v>
      </c>
    </row>
    <row r="1520" customFormat="false" ht="15" hidden="false" customHeight="false" outlineLevel="0" collapsed="false">
      <c r="A1520" s="3" t="n">
        <v>1519</v>
      </c>
      <c r="B1520" s="3" t="n">
        <v>1518</v>
      </c>
      <c r="C1520" s="3" t="n">
        <v>1</v>
      </c>
      <c r="D1520" s="3" t="n">
        <v>26</v>
      </c>
      <c r="E1520" s="3" t="n">
        <v>6</v>
      </c>
      <c r="F1520" s="24" t="n">
        <v>-0.678061068</v>
      </c>
    </row>
    <row r="1521" customFormat="false" ht="15" hidden="false" customHeight="false" outlineLevel="0" collapsed="false">
      <c r="A1521" s="3" t="n">
        <v>1520</v>
      </c>
      <c r="B1521" s="3" t="n">
        <v>1519</v>
      </c>
      <c r="C1521" s="3" t="n">
        <v>1</v>
      </c>
      <c r="D1521" s="3" t="n">
        <v>26</v>
      </c>
      <c r="E1521" s="3" t="n">
        <v>7</v>
      </c>
      <c r="F1521" s="24" t="n">
        <v>-0.678061068</v>
      </c>
    </row>
    <row r="1522" customFormat="false" ht="15" hidden="false" customHeight="false" outlineLevel="0" collapsed="false">
      <c r="A1522" s="3" t="n">
        <v>1521</v>
      </c>
      <c r="B1522" s="3" t="n">
        <v>1520</v>
      </c>
      <c r="C1522" s="3" t="n">
        <v>1</v>
      </c>
      <c r="D1522" s="3" t="n">
        <v>26</v>
      </c>
      <c r="E1522" s="3" t="n">
        <v>8</v>
      </c>
      <c r="F1522" s="24" t="n">
        <v>-0.678061068</v>
      </c>
    </row>
    <row r="1523" customFormat="false" ht="15" hidden="false" customHeight="false" outlineLevel="0" collapsed="false">
      <c r="A1523" s="3" t="n">
        <v>1522</v>
      </c>
      <c r="B1523" s="3" t="n">
        <v>1521</v>
      </c>
      <c r="C1523" s="3" t="n">
        <v>1</v>
      </c>
      <c r="D1523" s="3" t="n">
        <v>26</v>
      </c>
      <c r="E1523" s="3" t="n">
        <v>9</v>
      </c>
      <c r="F1523" s="24" t="n">
        <v>0.177750975</v>
      </c>
    </row>
    <row r="1524" customFormat="false" ht="15" hidden="false" customHeight="false" outlineLevel="0" collapsed="false">
      <c r="A1524" s="3" t="n">
        <v>1523</v>
      </c>
      <c r="B1524" s="3" t="n">
        <v>1522</v>
      </c>
      <c r="C1524" s="3" t="n">
        <v>1</v>
      </c>
      <c r="D1524" s="3" t="n">
        <v>26</v>
      </c>
      <c r="E1524" s="3" t="n">
        <v>10</v>
      </c>
      <c r="F1524" s="24" t="n">
        <v>1.78283465</v>
      </c>
    </row>
    <row r="1525" customFormat="false" ht="15" hidden="false" customHeight="false" outlineLevel="0" collapsed="false">
      <c r="A1525" s="3" t="n">
        <v>1524</v>
      </c>
      <c r="B1525" s="3" t="n">
        <v>1523</v>
      </c>
      <c r="C1525" s="3" t="n">
        <v>1</v>
      </c>
      <c r="D1525" s="3" t="n">
        <v>26</v>
      </c>
      <c r="E1525" s="3" t="n">
        <v>11</v>
      </c>
      <c r="F1525" s="24" t="n">
        <v>2.14748573</v>
      </c>
    </row>
    <row r="1526" customFormat="false" ht="15" hidden="false" customHeight="false" outlineLevel="0" collapsed="false">
      <c r="A1526" s="3" t="n">
        <v>1525</v>
      </c>
      <c r="B1526" s="3" t="n">
        <v>1524</v>
      </c>
      <c r="C1526" s="3" t="n">
        <v>1</v>
      </c>
      <c r="D1526" s="3" t="n">
        <v>26</v>
      </c>
      <c r="E1526" s="3" t="n">
        <v>12</v>
      </c>
      <c r="F1526" s="24" t="n">
        <v>0.852711082</v>
      </c>
    </row>
    <row r="1527" customFormat="false" ht="15" hidden="false" customHeight="false" outlineLevel="0" collapsed="false">
      <c r="A1527" s="3" t="n">
        <v>1526</v>
      </c>
      <c r="B1527" s="3" t="n">
        <v>1525</v>
      </c>
      <c r="C1527" s="3" t="n">
        <v>1</v>
      </c>
      <c r="D1527" s="3" t="n">
        <v>26</v>
      </c>
      <c r="E1527" s="3" t="n">
        <v>13</v>
      </c>
      <c r="F1527" s="24" t="n">
        <v>-0.47403121</v>
      </c>
    </row>
    <row r="1528" customFormat="false" ht="15" hidden="false" customHeight="false" outlineLevel="0" collapsed="false">
      <c r="A1528" s="3" t="n">
        <v>1527</v>
      </c>
      <c r="B1528" s="3" t="n">
        <v>1526</v>
      </c>
      <c r="C1528" s="3" t="n">
        <v>1</v>
      </c>
      <c r="D1528" s="3" t="n">
        <v>26</v>
      </c>
      <c r="E1528" s="3" t="n">
        <v>14</v>
      </c>
      <c r="F1528" s="24" t="n">
        <v>-1.48521483</v>
      </c>
    </row>
    <row r="1529" customFormat="false" ht="15" hidden="false" customHeight="false" outlineLevel="0" collapsed="false">
      <c r="A1529" s="3" t="n">
        <v>1528</v>
      </c>
      <c r="B1529" s="3" t="n">
        <v>1527</v>
      </c>
      <c r="C1529" s="3" t="n">
        <v>1</v>
      </c>
      <c r="D1529" s="3" t="n">
        <v>26</v>
      </c>
      <c r="E1529" s="3" t="n">
        <v>15</v>
      </c>
      <c r="F1529" s="24" t="n">
        <v>-0.852717221</v>
      </c>
    </row>
    <row r="1530" customFormat="false" ht="15" hidden="false" customHeight="false" outlineLevel="0" collapsed="false">
      <c r="A1530" s="3" t="n">
        <v>1529</v>
      </c>
      <c r="B1530" s="3" t="n">
        <v>1528</v>
      </c>
      <c r="C1530" s="3" t="n">
        <v>1</v>
      </c>
      <c r="D1530" s="3" t="n">
        <v>26</v>
      </c>
      <c r="E1530" s="3" t="n">
        <v>16</v>
      </c>
      <c r="F1530" s="24" t="n">
        <v>-0.678061068</v>
      </c>
    </row>
    <row r="1531" customFormat="false" ht="15" hidden="false" customHeight="false" outlineLevel="0" collapsed="false">
      <c r="A1531" s="3" t="n">
        <v>1530</v>
      </c>
      <c r="B1531" s="3" t="n">
        <v>1529</v>
      </c>
      <c r="C1531" s="3" t="n">
        <v>1</v>
      </c>
      <c r="D1531" s="3" t="n">
        <v>26</v>
      </c>
      <c r="E1531" s="3" t="n">
        <v>17</v>
      </c>
      <c r="F1531" s="24" t="n">
        <v>-0.678061068</v>
      </c>
    </row>
    <row r="1532" customFormat="false" ht="15" hidden="false" customHeight="false" outlineLevel="0" collapsed="false">
      <c r="A1532" s="3" t="n">
        <v>1531</v>
      </c>
      <c r="B1532" s="3" t="n">
        <v>1530</v>
      </c>
      <c r="C1532" s="3" t="n">
        <v>1</v>
      </c>
      <c r="D1532" s="3" t="n">
        <v>26</v>
      </c>
      <c r="E1532" s="3" t="n">
        <v>18</v>
      </c>
      <c r="F1532" s="24" t="n">
        <v>-0.678061068</v>
      </c>
    </row>
    <row r="1533" customFormat="false" ht="15" hidden="false" customHeight="false" outlineLevel="0" collapsed="false">
      <c r="A1533" s="3" t="n">
        <v>1532</v>
      </c>
      <c r="B1533" s="3" t="n">
        <v>1531</v>
      </c>
      <c r="C1533" s="3" t="n">
        <v>1</v>
      </c>
      <c r="D1533" s="3" t="n">
        <v>26</v>
      </c>
      <c r="E1533" s="3" t="n">
        <v>19</v>
      </c>
      <c r="F1533" s="24" t="n">
        <v>-0.678061068</v>
      </c>
    </row>
    <row r="1534" customFormat="false" ht="15" hidden="false" customHeight="false" outlineLevel="0" collapsed="false">
      <c r="A1534" s="3" t="n">
        <v>1533</v>
      </c>
      <c r="B1534" s="3" t="n">
        <v>1532</v>
      </c>
      <c r="C1534" s="3" t="n">
        <v>1</v>
      </c>
      <c r="D1534" s="3" t="n">
        <v>26</v>
      </c>
      <c r="E1534" s="3" t="n">
        <v>20</v>
      </c>
      <c r="F1534" s="24" t="n">
        <v>-0.678061068</v>
      </c>
    </row>
    <row r="1535" customFormat="false" ht="15" hidden="false" customHeight="false" outlineLevel="0" collapsed="false">
      <c r="A1535" s="3" t="n">
        <v>1534</v>
      </c>
      <c r="B1535" s="3" t="n">
        <v>1533</v>
      </c>
      <c r="C1535" s="3" t="n">
        <v>1</v>
      </c>
      <c r="D1535" s="3" t="n">
        <v>26</v>
      </c>
      <c r="E1535" s="3" t="n">
        <v>21</v>
      </c>
      <c r="F1535" s="24" t="n">
        <v>-0.678061068</v>
      </c>
    </row>
    <row r="1536" customFormat="false" ht="15" hidden="false" customHeight="false" outlineLevel="0" collapsed="false">
      <c r="A1536" s="3" t="n">
        <v>1535</v>
      </c>
      <c r="B1536" s="3" t="n">
        <v>1534</v>
      </c>
      <c r="C1536" s="3" t="n">
        <v>1</v>
      </c>
      <c r="D1536" s="3" t="n">
        <v>26</v>
      </c>
      <c r="E1536" s="3" t="n">
        <v>22</v>
      </c>
      <c r="F1536" s="24" t="n">
        <v>-0.678061068</v>
      </c>
    </row>
    <row r="1537" customFormat="false" ht="15" hidden="false" customHeight="false" outlineLevel="0" collapsed="false">
      <c r="A1537" s="3" t="n">
        <v>1536</v>
      </c>
      <c r="B1537" s="3" t="n">
        <v>1535</v>
      </c>
      <c r="C1537" s="3" t="n">
        <v>1</v>
      </c>
      <c r="D1537" s="3" t="n">
        <v>26</v>
      </c>
      <c r="E1537" s="3" t="n">
        <v>23</v>
      </c>
      <c r="F1537" s="24" t="n">
        <v>-0.678061068</v>
      </c>
    </row>
    <row r="1538" customFormat="false" ht="15" hidden="false" customHeight="false" outlineLevel="0" collapsed="false">
      <c r="A1538" s="3" t="n">
        <v>1537</v>
      </c>
      <c r="B1538" s="3" t="n">
        <v>1536</v>
      </c>
      <c r="C1538" s="3" t="n">
        <v>1</v>
      </c>
      <c r="D1538" s="3" t="n">
        <v>26</v>
      </c>
      <c r="E1538" s="3" t="n">
        <v>24</v>
      </c>
      <c r="F1538" s="24" t="n">
        <v>-0.678061068</v>
      </c>
    </row>
    <row r="1539" customFormat="false" ht="15" hidden="false" customHeight="false" outlineLevel="0" collapsed="false">
      <c r="A1539" s="3" t="n">
        <v>1538</v>
      </c>
      <c r="B1539" s="3" t="n">
        <v>1537</v>
      </c>
      <c r="C1539" s="3" t="n">
        <v>1</v>
      </c>
      <c r="D1539" s="3" t="n">
        <v>26</v>
      </c>
      <c r="E1539" s="3" t="n">
        <v>25</v>
      </c>
      <c r="F1539" s="24" t="n">
        <v>-0.678061068</v>
      </c>
    </row>
    <row r="1540" customFormat="false" ht="15" hidden="false" customHeight="false" outlineLevel="0" collapsed="false">
      <c r="A1540" s="3" t="n">
        <v>1539</v>
      </c>
      <c r="B1540" s="3" t="n">
        <v>1538</v>
      </c>
      <c r="C1540" s="3" t="n">
        <v>1</v>
      </c>
      <c r="D1540" s="3" t="n">
        <v>26</v>
      </c>
      <c r="E1540" s="3" t="n">
        <v>26</v>
      </c>
      <c r="F1540" s="24" t="n">
        <v>-0.678061068</v>
      </c>
    </row>
    <row r="1541" customFormat="false" ht="15" hidden="false" customHeight="false" outlineLevel="0" collapsed="false">
      <c r="A1541" s="3" t="n">
        <v>1540</v>
      </c>
      <c r="B1541" s="3" t="n">
        <v>1539</v>
      </c>
      <c r="C1541" s="3" t="n">
        <v>1</v>
      </c>
      <c r="D1541" s="3" t="n">
        <v>26</v>
      </c>
      <c r="E1541" s="3" t="n">
        <v>27</v>
      </c>
      <c r="F1541" s="24" t="n">
        <v>-0.401937425</v>
      </c>
    </row>
    <row r="1542" customFormat="false" ht="15" hidden="false" customHeight="false" outlineLevel="0" collapsed="false">
      <c r="A1542" s="3" t="n">
        <v>1541</v>
      </c>
      <c r="B1542" s="3" t="n">
        <v>1540</v>
      </c>
      <c r="C1542" s="3" t="n">
        <v>1</v>
      </c>
      <c r="D1542" s="3" t="n">
        <v>27</v>
      </c>
      <c r="E1542" s="3" t="n">
        <v>0</v>
      </c>
      <c r="F1542" s="24" t="n">
        <v>-0.565037489</v>
      </c>
    </row>
    <row r="1543" customFormat="false" ht="15" hidden="false" customHeight="false" outlineLevel="0" collapsed="false">
      <c r="A1543" s="3" t="n">
        <v>1542</v>
      </c>
      <c r="B1543" s="3" t="n">
        <v>1541</v>
      </c>
      <c r="C1543" s="3" t="n">
        <v>1</v>
      </c>
      <c r="D1543" s="3" t="n">
        <v>27</v>
      </c>
      <c r="E1543" s="3" t="n">
        <v>1</v>
      </c>
      <c r="F1543" s="24" t="n">
        <v>-0.526856065</v>
      </c>
    </row>
    <row r="1544" customFormat="false" ht="15" hidden="false" customHeight="false" outlineLevel="0" collapsed="false">
      <c r="A1544" s="3" t="n">
        <v>1543</v>
      </c>
      <c r="B1544" s="3" t="n">
        <v>1542</v>
      </c>
      <c r="C1544" s="3" t="n">
        <v>1</v>
      </c>
      <c r="D1544" s="3" t="n">
        <v>27</v>
      </c>
      <c r="E1544" s="3" t="n">
        <v>2</v>
      </c>
      <c r="F1544" s="24" t="n">
        <v>-0.526856065</v>
      </c>
    </row>
    <row r="1545" customFormat="false" ht="15" hidden="false" customHeight="false" outlineLevel="0" collapsed="false">
      <c r="A1545" s="3" t="n">
        <v>1544</v>
      </c>
      <c r="B1545" s="3" t="n">
        <v>1543</v>
      </c>
      <c r="C1545" s="3" t="n">
        <v>1</v>
      </c>
      <c r="D1545" s="3" t="n">
        <v>27</v>
      </c>
      <c r="E1545" s="3" t="n">
        <v>3</v>
      </c>
      <c r="F1545" s="24" t="n">
        <v>-0.526856065</v>
      </c>
    </row>
    <row r="1546" customFormat="false" ht="15" hidden="false" customHeight="false" outlineLevel="0" collapsed="false">
      <c r="A1546" s="3" t="n">
        <v>1545</v>
      </c>
      <c r="B1546" s="3" t="n">
        <v>1544</v>
      </c>
      <c r="C1546" s="3" t="n">
        <v>1</v>
      </c>
      <c r="D1546" s="3" t="n">
        <v>27</v>
      </c>
      <c r="E1546" s="3" t="n">
        <v>4</v>
      </c>
      <c r="F1546" s="24" t="n">
        <v>-0.526856065</v>
      </c>
    </row>
    <row r="1547" customFormat="false" ht="15" hidden="false" customHeight="false" outlineLevel="0" collapsed="false">
      <c r="A1547" s="3" t="n">
        <v>1546</v>
      </c>
      <c r="B1547" s="3" t="n">
        <v>1545</v>
      </c>
      <c r="C1547" s="3" t="n">
        <v>1</v>
      </c>
      <c r="D1547" s="3" t="n">
        <v>27</v>
      </c>
      <c r="E1547" s="3" t="n">
        <v>5</v>
      </c>
      <c r="F1547" s="24" t="n">
        <v>-0.526856065</v>
      </c>
    </row>
    <row r="1548" customFormat="false" ht="15" hidden="false" customHeight="false" outlineLevel="0" collapsed="false">
      <c r="A1548" s="3" t="n">
        <v>1547</v>
      </c>
      <c r="B1548" s="3" t="n">
        <v>1546</v>
      </c>
      <c r="C1548" s="3" t="n">
        <v>1</v>
      </c>
      <c r="D1548" s="3" t="n">
        <v>27</v>
      </c>
      <c r="E1548" s="3" t="n">
        <v>6</v>
      </c>
      <c r="F1548" s="24" t="n">
        <v>-0.526856065</v>
      </c>
    </row>
    <row r="1549" customFormat="false" ht="15" hidden="false" customHeight="false" outlineLevel="0" collapsed="false">
      <c r="A1549" s="3" t="n">
        <v>1548</v>
      </c>
      <c r="B1549" s="3" t="n">
        <v>1547</v>
      </c>
      <c r="C1549" s="3" t="n">
        <v>1</v>
      </c>
      <c r="D1549" s="3" t="n">
        <v>27</v>
      </c>
      <c r="E1549" s="3" t="n">
        <v>7</v>
      </c>
      <c r="F1549" s="24" t="n">
        <v>-0.526856065</v>
      </c>
    </row>
    <row r="1550" customFormat="false" ht="15" hidden="false" customHeight="false" outlineLevel="0" collapsed="false">
      <c r="A1550" s="3" t="n">
        <v>1549</v>
      </c>
      <c r="B1550" s="3" t="n">
        <v>1548</v>
      </c>
      <c r="C1550" s="3" t="n">
        <v>1</v>
      </c>
      <c r="D1550" s="3" t="n">
        <v>27</v>
      </c>
      <c r="E1550" s="3" t="n">
        <v>8</v>
      </c>
      <c r="F1550" s="24" t="n">
        <v>-0.526856065</v>
      </c>
    </row>
    <row r="1551" customFormat="false" ht="15" hidden="false" customHeight="false" outlineLevel="0" collapsed="false">
      <c r="A1551" s="3" t="n">
        <v>1550</v>
      </c>
      <c r="B1551" s="3" t="n">
        <v>1549</v>
      </c>
      <c r="C1551" s="3" t="n">
        <v>1</v>
      </c>
      <c r="D1551" s="3" t="n">
        <v>27</v>
      </c>
      <c r="E1551" s="3" t="n">
        <v>9</v>
      </c>
      <c r="F1551" s="24" t="n">
        <v>-0.255495608</v>
      </c>
    </row>
    <row r="1552" customFormat="false" ht="15" hidden="false" customHeight="false" outlineLevel="0" collapsed="false">
      <c r="A1552" s="3" t="n">
        <v>1551</v>
      </c>
      <c r="B1552" s="3" t="n">
        <v>1550</v>
      </c>
      <c r="C1552" s="3" t="n">
        <v>1</v>
      </c>
      <c r="D1552" s="3" t="n">
        <v>27</v>
      </c>
      <c r="E1552" s="3" t="n">
        <v>10</v>
      </c>
      <c r="F1552" s="24" t="n">
        <v>0.318397611</v>
      </c>
    </row>
    <row r="1553" customFormat="false" ht="15" hidden="false" customHeight="false" outlineLevel="0" collapsed="false">
      <c r="A1553" s="3" t="n">
        <v>1552</v>
      </c>
      <c r="B1553" s="3" t="n">
        <v>1551</v>
      </c>
      <c r="C1553" s="3" t="n">
        <v>1</v>
      </c>
      <c r="D1553" s="3" t="n">
        <v>27</v>
      </c>
      <c r="E1553" s="3" t="n">
        <v>11</v>
      </c>
      <c r="F1553" s="24" t="n">
        <v>-0.0123862773</v>
      </c>
    </row>
    <row r="1554" customFormat="false" ht="15" hidden="false" customHeight="false" outlineLevel="0" collapsed="false">
      <c r="A1554" s="3" t="n">
        <v>1553</v>
      </c>
      <c r="B1554" s="3" t="n">
        <v>1552</v>
      </c>
      <c r="C1554" s="3" t="n">
        <v>1</v>
      </c>
      <c r="D1554" s="3" t="n">
        <v>27</v>
      </c>
      <c r="E1554" s="3" t="n">
        <v>12</v>
      </c>
      <c r="F1554" s="24" t="n">
        <v>-1.12403798</v>
      </c>
    </row>
    <row r="1555" customFormat="false" ht="15" hidden="false" customHeight="false" outlineLevel="0" collapsed="false">
      <c r="A1555" s="3" t="n">
        <v>1554</v>
      </c>
      <c r="B1555" s="3" t="n">
        <v>1553</v>
      </c>
      <c r="C1555" s="3" t="n">
        <v>1</v>
      </c>
      <c r="D1555" s="3" t="n">
        <v>27</v>
      </c>
      <c r="E1555" s="3" t="n">
        <v>13</v>
      </c>
      <c r="F1555" s="24" t="n">
        <v>-1.38970006</v>
      </c>
    </row>
    <row r="1556" customFormat="false" ht="15" hidden="false" customHeight="false" outlineLevel="0" collapsed="false">
      <c r="A1556" s="3" t="n">
        <v>1555</v>
      </c>
      <c r="B1556" s="3" t="n">
        <v>1554</v>
      </c>
      <c r="C1556" s="3" t="n">
        <v>1</v>
      </c>
      <c r="D1556" s="3" t="n">
        <v>27</v>
      </c>
      <c r="E1556" s="3" t="n">
        <v>14</v>
      </c>
      <c r="F1556" s="24" t="n">
        <v>-0.605451345</v>
      </c>
    </row>
    <row r="1557" customFormat="false" ht="15" hidden="false" customHeight="false" outlineLevel="0" collapsed="false">
      <c r="A1557" s="3" t="n">
        <v>1556</v>
      </c>
      <c r="B1557" s="3" t="n">
        <v>1555</v>
      </c>
      <c r="C1557" s="3" t="n">
        <v>1</v>
      </c>
      <c r="D1557" s="3" t="n">
        <v>27</v>
      </c>
      <c r="E1557" s="3" t="n">
        <v>15</v>
      </c>
      <c r="F1557" s="24" t="n">
        <v>-0.526856065</v>
      </c>
    </row>
    <row r="1558" customFormat="false" ht="15" hidden="false" customHeight="false" outlineLevel="0" collapsed="false">
      <c r="A1558" s="3" t="n">
        <v>1557</v>
      </c>
      <c r="B1558" s="3" t="n">
        <v>1556</v>
      </c>
      <c r="C1558" s="3" t="n">
        <v>1</v>
      </c>
      <c r="D1558" s="3" t="n">
        <v>27</v>
      </c>
      <c r="E1558" s="3" t="n">
        <v>16</v>
      </c>
      <c r="F1558" s="24" t="n">
        <v>-0.526856065</v>
      </c>
    </row>
    <row r="1559" customFormat="false" ht="15" hidden="false" customHeight="false" outlineLevel="0" collapsed="false">
      <c r="A1559" s="3" t="n">
        <v>1558</v>
      </c>
      <c r="B1559" s="3" t="n">
        <v>1557</v>
      </c>
      <c r="C1559" s="3" t="n">
        <v>1</v>
      </c>
      <c r="D1559" s="3" t="n">
        <v>27</v>
      </c>
      <c r="E1559" s="3" t="n">
        <v>17</v>
      </c>
      <c r="F1559" s="24" t="n">
        <v>-0.526856065</v>
      </c>
    </row>
    <row r="1560" customFormat="false" ht="15" hidden="false" customHeight="false" outlineLevel="0" collapsed="false">
      <c r="A1560" s="3" t="n">
        <v>1559</v>
      </c>
      <c r="B1560" s="3" t="n">
        <v>1558</v>
      </c>
      <c r="C1560" s="3" t="n">
        <v>1</v>
      </c>
      <c r="D1560" s="3" t="n">
        <v>27</v>
      </c>
      <c r="E1560" s="3" t="n">
        <v>18</v>
      </c>
      <c r="F1560" s="24" t="n">
        <v>-0.526856065</v>
      </c>
    </row>
    <row r="1561" customFormat="false" ht="15" hidden="false" customHeight="false" outlineLevel="0" collapsed="false">
      <c r="A1561" s="3" t="n">
        <v>1560</v>
      </c>
      <c r="B1561" s="3" t="n">
        <v>1559</v>
      </c>
      <c r="C1561" s="3" t="n">
        <v>1</v>
      </c>
      <c r="D1561" s="3" t="n">
        <v>27</v>
      </c>
      <c r="E1561" s="3" t="n">
        <v>19</v>
      </c>
      <c r="F1561" s="24" t="n">
        <v>-0.526856065</v>
      </c>
    </row>
    <row r="1562" customFormat="false" ht="15" hidden="false" customHeight="false" outlineLevel="0" collapsed="false">
      <c r="A1562" s="3" t="n">
        <v>1561</v>
      </c>
      <c r="B1562" s="3" t="n">
        <v>1560</v>
      </c>
      <c r="C1562" s="3" t="n">
        <v>1</v>
      </c>
      <c r="D1562" s="3" t="n">
        <v>27</v>
      </c>
      <c r="E1562" s="3" t="n">
        <v>20</v>
      </c>
      <c r="F1562" s="24" t="n">
        <v>-0.526856065</v>
      </c>
    </row>
    <row r="1563" customFormat="false" ht="15" hidden="false" customHeight="false" outlineLevel="0" collapsed="false">
      <c r="A1563" s="3" t="n">
        <v>1562</v>
      </c>
      <c r="B1563" s="3" t="n">
        <v>1561</v>
      </c>
      <c r="C1563" s="3" t="n">
        <v>1</v>
      </c>
      <c r="D1563" s="3" t="n">
        <v>27</v>
      </c>
      <c r="E1563" s="3" t="n">
        <v>21</v>
      </c>
      <c r="F1563" s="24" t="n">
        <v>-0.526856065</v>
      </c>
    </row>
    <row r="1564" customFormat="false" ht="15" hidden="false" customHeight="false" outlineLevel="0" collapsed="false">
      <c r="A1564" s="3" t="n">
        <v>1563</v>
      </c>
      <c r="B1564" s="3" t="n">
        <v>1562</v>
      </c>
      <c r="C1564" s="3" t="n">
        <v>1</v>
      </c>
      <c r="D1564" s="3" t="n">
        <v>27</v>
      </c>
      <c r="E1564" s="3" t="n">
        <v>22</v>
      </c>
      <c r="F1564" s="24" t="n">
        <v>-0.526856065</v>
      </c>
    </row>
    <row r="1565" customFormat="false" ht="15" hidden="false" customHeight="false" outlineLevel="0" collapsed="false">
      <c r="A1565" s="3" t="n">
        <v>1564</v>
      </c>
      <c r="B1565" s="3" t="n">
        <v>1563</v>
      </c>
      <c r="C1565" s="3" t="n">
        <v>1</v>
      </c>
      <c r="D1565" s="3" t="n">
        <v>27</v>
      </c>
      <c r="E1565" s="3" t="n">
        <v>23</v>
      </c>
      <c r="F1565" s="24" t="n">
        <v>-0.526856065</v>
      </c>
    </row>
    <row r="1566" customFormat="false" ht="15" hidden="false" customHeight="false" outlineLevel="0" collapsed="false">
      <c r="A1566" s="3" t="n">
        <v>1565</v>
      </c>
      <c r="B1566" s="3" t="n">
        <v>1564</v>
      </c>
      <c r="C1566" s="3" t="n">
        <v>1</v>
      </c>
      <c r="D1566" s="3" t="n">
        <v>27</v>
      </c>
      <c r="E1566" s="3" t="n">
        <v>24</v>
      </c>
      <c r="F1566" s="24" t="n">
        <v>-0.526856065</v>
      </c>
    </row>
    <row r="1567" customFormat="false" ht="15" hidden="false" customHeight="false" outlineLevel="0" collapsed="false">
      <c r="A1567" s="3" t="n">
        <v>1566</v>
      </c>
      <c r="B1567" s="3" t="n">
        <v>1565</v>
      </c>
      <c r="C1567" s="3" t="n">
        <v>1</v>
      </c>
      <c r="D1567" s="3" t="n">
        <v>27</v>
      </c>
      <c r="E1567" s="3" t="n">
        <v>25</v>
      </c>
      <c r="F1567" s="24" t="n">
        <v>-0.526856065</v>
      </c>
    </row>
    <row r="1568" customFormat="false" ht="15" hidden="false" customHeight="false" outlineLevel="0" collapsed="false">
      <c r="A1568" s="3" t="n">
        <v>1567</v>
      </c>
      <c r="B1568" s="3" t="n">
        <v>1566</v>
      </c>
      <c r="C1568" s="3" t="n">
        <v>1</v>
      </c>
      <c r="D1568" s="3" t="n">
        <v>27</v>
      </c>
      <c r="E1568" s="3" t="n">
        <v>26</v>
      </c>
      <c r="F1568" s="24" t="n">
        <v>-0.526856065</v>
      </c>
    </row>
    <row r="1569" customFormat="false" ht="15" hidden="false" customHeight="false" outlineLevel="0" collapsed="false">
      <c r="A1569" s="3" t="n">
        <v>1568</v>
      </c>
      <c r="B1569" s="3" t="n">
        <v>1567</v>
      </c>
      <c r="C1569" s="3" t="n">
        <v>1</v>
      </c>
      <c r="D1569" s="3" t="n">
        <v>27</v>
      </c>
      <c r="E1569" s="3" t="n">
        <v>27</v>
      </c>
      <c r="F1569" s="24" t="n">
        <v>-0.291129291</v>
      </c>
    </row>
    <row r="1570" customFormat="false" ht="15" hidden="false" customHeight="false" outlineLevel="0" collapsed="false">
      <c r="A1570" s="3" t="n">
        <v>1569</v>
      </c>
      <c r="B1570" s="3" t="n">
        <v>1568</v>
      </c>
      <c r="C1570" s="3" t="n">
        <v>2</v>
      </c>
      <c r="D1570" s="3" t="n">
        <v>0</v>
      </c>
      <c r="E1570" s="3" t="n">
        <v>0</v>
      </c>
      <c r="F1570" s="24" t="n">
        <v>-0.65934515</v>
      </c>
    </row>
    <row r="1571" customFormat="false" ht="15" hidden="false" customHeight="false" outlineLevel="0" collapsed="false">
      <c r="A1571" s="3" t="n">
        <v>1570</v>
      </c>
      <c r="B1571" s="3" t="n">
        <v>1569</v>
      </c>
      <c r="C1571" s="3" t="n">
        <v>2</v>
      </c>
      <c r="D1571" s="3" t="n">
        <v>0</v>
      </c>
      <c r="E1571" s="3" t="n">
        <v>1</v>
      </c>
      <c r="F1571" s="24" t="n">
        <v>-0.187016249</v>
      </c>
    </row>
    <row r="1572" customFormat="false" ht="15" hidden="false" customHeight="false" outlineLevel="0" collapsed="false">
      <c r="A1572" s="3" t="n">
        <v>1571</v>
      </c>
      <c r="B1572" s="3" t="n">
        <v>1570</v>
      </c>
      <c r="C1572" s="3" t="n">
        <v>2</v>
      </c>
      <c r="D1572" s="3" t="n">
        <v>0</v>
      </c>
      <c r="E1572" s="3" t="n">
        <v>2</v>
      </c>
      <c r="F1572" s="24" t="n">
        <v>-0.187016249</v>
      </c>
    </row>
    <row r="1573" customFormat="false" ht="15" hidden="false" customHeight="false" outlineLevel="0" collapsed="false">
      <c r="A1573" s="3" t="n">
        <v>1572</v>
      </c>
      <c r="B1573" s="3" t="n">
        <v>1571</v>
      </c>
      <c r="C1573" s="3" t="n">
        <v>2</v>
      </c>
      <c r="D1573" s="3" t="n">
        <v>0</v>
      </c>
      <c r="E1573" s="3" t="n">
        <v>3</v>
      </c>
      <c r="F1573" s="24" t="n">
        <v>-0.187016249</v>
      </c>
    </row>
    <row r="1574" customFormat="false" ht="15" hidden="false" customHeight="false" outlineLevel="0" collapsed="false">
      <c r="A1574" s="3" t="n">
        <v>1573</v>
      </c>
      <c r="B1574" s="3" t="n">
        <v>1572</v>
      </c>
      <c r="C1574" s="3" t="n">
        <v>2</v>
      </c>
      <c r="D1574" s="3" t="n">
        <v>0</v>
      </c>
      <c r="E1574" s="3" t="n">
        <v>4</v>
      </c>
      <c r="F1574" s="24" t="n">
        <v>-0.187016249</v>
      </c>
    </row>
    <row r="1575" customFormat="false" ht="15" hidden="false" customHeight="false" outlineLevel="0" collapsed="false">
      <c r="A1575" s="3" t="n">
        <v>1574</v>
      </c>
      <c r="B1575" s="3" t="n">
        <v>1573</v>
      </c>
      <c r="C1575" s="3" t="n">
        <v>2</v>
      </c>
      <c r="D1575" s="3" t="n">
        <v>0</v>
      </c>
      <c r="E1575" s="3" t="n">
        <v>5</v>
      </c>
      <c r="F1575" s="24" t="n">
        <v>-0.187016249</v>
      </c>
    </row>
    <row r="1576" customFormat="false" ht="15" hidden="false" customHeight="false" outlineLevel="0" collapsed="false">
      <c r="A1576" s="3" t="n">
        <v>1575</v>
      </c>
      <c r="B1576" s="3" t="n">
        <v>1574</v>
      </c>
      <c r="C1576" s="3" t="n">
        <v>2</v>
      </c>
      <c r="D1576" s="3" t="n">
        <v>0</v>
      </c>
      <c r="E1576" s="3" t="n">
        <v>6</v>
      </c>
      <c r="F1576" s="24" t="n">
        <v>-0.187016249</v>
      </c>
    </row>
    <row r="1577" customFormat="false" ht="15" hidden="false" customHeight="false" outlineLevel="0" collapsed="false">
      <c r="A1577" s="3" t="n">
        <v>1576</v>
      </c>
      <c r="B1577" s="3" t="n">
        <v>1575</v>
      </c>
      <c r="C1577" s="3" t="n">
        <v>2</v>
      </c>
      <c r="D1577" s="3" t="n">
        <v>0</v>
      </c>
      <c r="E1577" s="3" t="n">
        <v>7</v>
      </c>
      <c r="F1577" s="24" t="n">
        <v>-0.187016249</v>
      </c>
    </row>
    <row r="1578" customFormat="false" ht="15" hidden="false" customHeight="false" outlineLevel="0" collapsed="false">
      <c r="A1578" s="3" t="n">
        <v>1577</v>
      </c>
      <c r="B1578" s="3" t="n">
        <v>1576</v>
      </c>
      <c r="C1578" s="3" t="n">
        <v>2</v>
      </c>
      <c r="D1578" s="3" t="n">
        <v>0</v>
      </c>
      <c r="E1578" s="3" t="n">
        <v>8</v>
      </c>
      <c r="F1578" s="24" t="n">
        <v>-0.187016249</v>
      </c>
    </row>
    <row r="1579" customFormat="false" ht="15" hidden="false" customHeight="false" outlineLevel="0" collapsed="false">
      <c r="A1579" s="3" t="n">
        <v>1578</v>
      </c>
      <c r="B1579" s="3" t="n">
        <v>1577</v>
      </c>
      <c r="C1579" s="3" t="n">
        <v>2</v>
      </c>
      <c r="D1579" s="3" t="n">
        <v>0</v>
      </c>
      <c r="E1579" s="3" t="n">
        <v>9</v>
      </c>
      <c r="F1579" s="24" t="n">
        <v>-0.187016249</v>
      </c>
    </row>
    <row r="1580" customFormat="false" ht="15" hidden="false" customHeight="false" outlineLevel="0" collapsed="false">
      <c r="A1580" s="3" t="n">
        <v>1579</v>
      </c>
      <c r="B1580" s="3" t="n">
        <v>1578</v>
      </c>
      <c r="C1580" s="3" t="n">
        <v>2</v>
      </c>
      <c r="D1580" s="3" t="n">
        <v>0</v>
      </c>
      <c r="E1580" s="3" t="n">
        <v>10</v>
      </c>
      <c r="F1580" s="24" t="n">
        <v>-0.187016249</v>
      </c>
    </row>
    <row r="1581" customFormat="false" ht="15" hidden="false" customHeight="false" outlineLevel="0" collapsed="false">
      <c r="A1581" s="3" t="n">
        <v>1580</v>
      </c>
      <c r="B1581" s="3" t="n">
        <v>1579</v>
      </c>
      <c r="C1581" s="3" t="n">
        <v>2</v>
      </c>
      <c r="D1581" s="3" t="n">
        <v>0</v>
      </c>
      <c r="E1581" s="3" t="n">
        <v>11</v>
      </c>
      <c r="F1581" s="24" t="n">
        <v>-0.187016249</v>
      </c>
    </row>
    <row r="1582" customFormat="false" ht="15" hidden="false" customHeight="false" outlineLevel="0" collapsed="false">
      <c r="A1582" s="3" t="n">
        <v>1581</v>
      </c>
      <c r="B1582" s="3" t="n">
        <v>1580</v>
      </c>
      <c r="C1582" s="3" t="n">
        <v>2</v>
      </c>
      <c r="D1582" s="3" t="n">
        <v>0</v>
      </c>
      <c r="E1582" s="3" t="n">
        <v>12</v>
      </c>
      <c r="F1582" s="24" t="n">
        <v>-0.187016249</v>
      </c>
    </row>
    <row r="1583" customFormat="false" ht="15" hidden="false" customHeight="false" outlineLevel="0" collapsed="false">
      <c r="A1583" s="3" t="n">
        <v>1582</v>
      </c>
      <c r="B1583" s="3" t="n">
        <v>1581</v>
      </c>
      <c r="C1583" s="3" t="n">
        <v>2</v>
      </c>
      <c r="D1583" s="3" t="n">
        <v>0</v>
      </c>
      <c r="E1583" s="3" t="n">
        <v>13</v>
      </c>
      <c r="F1583" s="24" t="n">
        <v>-0.187016249</v>
      </c>
    </row>
    <row r="1584" customFormat="false" ht="15" hidden="false" customHeight="false" outlineLevel="0" collapsed="false">
      <c r="A1584" s="3" t="n">
        <v>1583</v>
      </c>
      <c r="B1584" s="3" t="n">
        <v>1582</v>
      </c>
      <c r="C1584" s="3" t="n">
        <v>2</v>
      </c>
      <c r="D1584" s="3" t="n">
        <v>0</v>
      </c>
      <c r="E1584" s="3" t="n">
        <v>14</v>
      </c>
      <c r="F1584" s="24" t="n">
        <v>-0.187016249</v>
      </c>
    </row>
    <row r="1585" customFormat="false" ht="15" hidden="false" customHeight="false" outlineLevel="0" collapsed="false">
      <c r="A1585" s="3" t="n">
        <v>1584</v>
      </c>
      <c r="B1585" s="3" t="n">
        <v>1583</v>
      </c>
      <c r="C1585" s="3" t="n">
        <v>2</v>
      </c>
      <c r="D1585" s="3" t="n">
        <v>0</v>
      </c>
      <c r="E1585" s="3" t="n">
        <v>15</v>
      </c>
      <c r="F1585" s="24" t="n">
        <v>-0.187016249</v>
      </c>
    </row>
    <row r="1586" customFormat="false" ht="15" hidden="false" customHeight="false" outlineLevel="0" collapsed="false">
      <c r="A1586" s="3" t="n">
        <v>1585</v>
      </c>
      <c r="B1586" s="3" t="n">
        <v>1584</v>
      </c>
      <c r="C1586" s="3" t="n">
        <v>2</v>
      </c>
      <c r="D1586" s="3" t="n">
        <v>0</v>
      </c>
      <c r="E1586" s="3" t="n">
        <v>16</v>
      </c>
      <c r="F1586" s="24" t="n">
        <v>-0.187016249</v>
      </c>
    </row>
    <row r="1587" customFormat="false" ht="15" hidden="false" customHeight="false" outlineLevel="0" collapsed="false">
      <c r="A1587" s="3" t="n">
        <v>1586</v>
      </c>
      <c r="B1587" s="3" t="n">
        <v>1585</v>
      </c>
      <c r="C1587" s="3" t="n">
        <v>2</v>
      </c>
      <c r="D1587" s="3" t="n">
        <v>0</v>
      </c>
      <c r="E1587" s="3" t="n">
        <v>17</v>
      </c>
      <c r="F1587" s="24" t="n">
        <v>-0.187016249</v>
      </c>
    </row>
    <row r="1588" customFormat="false" ht="15" hidden="false" customHeight="false" outlineLevel="0" collapsed="false">
      <c r="A1588" s="3" t="n">
        <v>1587</v>
      </c>
      <c r="B1588" s="3" t="n">
        <v>1586</v>
      </c>
      <c r="C1588" s="3" t="n">
        <v>2</v>
      </c>
      <c r="D1588" s="3" t="n">
        <v>0</v>
      </c>
      <c r="E1588" s="3" t="n">
        <v>18</v>
      </c>
      <c r="F1588" s="24" t="n">
        <v>-0.187016249</v>
      </c>
    </row>
    <row r="1589" customFormat="false" ht="15" hidden="false" customHeight="false" outlineLevel="0" collapsed="false">
      <c r="A1589" s="3" t="n">
        <v>1588</v>
      </c>
      <c r="B1589" s="3" t="n">
        <v>1587</v>
      </c>
      <c r="C1589" s="3" t="n">
        <v>2</v>
      </c>
      <c r="D1589" s="3" t="n">
        <v>0</v>
      </c>
      <c r="E1589" s="3" t="n">
        <v>19</v>
      </c>
      <c r="F1589" s="24" t="n">
        <v>-0.187016249</v>
      </c>
    </row>
    <row r="1590" customFormat="false" ht="15" hidden="false" customHeight="false" outlineLevel="0" collapsed="false">
      <c r="A1590" s="3" t="n">
        <v>1589</v>
      </c>
      <c r="B1590" s="3" t="n">
        <v>1588</v>
      </c>
      <c r="C1590" s="3" t="n">
        <v>2</v>
      </c>
      <c r="D1590" s="3" t="n">
        <v>0</v>
      </c>
      <c r="E1590" s="3" t="n">
        <v>20</v>
      </c>
      <c r="F1590" s="24" t="n">
        <v>-0.187016249</v>
      </c>
    </row>
    <row r="1591" customFormat="false" ht="15" hidden="false" customHeight="false" outlineLevel="0" collapsed="false">
      <c r="A1591" s="3" t="n">
        <v>1590</v>
      </c>
      <c r="B1591" s="3" t="n">
        <v>1589</v>
      </c>
      <c r="C1591" s="3" t="n">
        <v>2</v>
      </c>
      <c r="D1591" s="3" t="n">
        <v>0</v>
      </c>
      <c r="E1591" s="3" t="n">
        <v>21</v>
      </c>
      <c r="F1591" s="24" t="n">
        <v>-0.187016249</v>
      </c>
    </row>
    <row r="1592" customFormat="false" ht="15" hidden="false" customHeight="false" outlineLevel="0" collapsed="false">
      <c r="A1592" s="3" t="n">
        <v>1591</v>
      </c>
      <c r="B1592" s="3" t="n">
        <v>1590</v>
      </c>
      <c r="C1592" s="3" t="n">
        <v>2</v>
      </c>
      <c r="D1592" s="3" t="n">
        <v>0</v>
      </c>
      <c r="E1592" s="3" t="n">
        <v>22</v>
      </c>
      <c r="F1592" s="24" t="n">
        <v>-0.187016249</v>
      </c>
    </row>
    <row r="1593" customFormat="false" ht="15" hidden="false" customHeight="false" outlineLevel="0" collapsed="false">
      <c r="A1593" s="3" t="n">
        <v>1592</v>
      </c>
      <c r="B1593" s="3" t="n">
        <v>1591</v>
      </c>
      <c r="C1593" s="3" t="n">
        <v>2</v>
      </c>
      <c r="D1593" s="3" t="n">
        <v>0</v>
      </c>
      <c r="E1593" s="3" t="n">
        <v>23</v>
      </c>
      <c r="F1593" s="24" t="n">
        <v>-0.187016249</v>
      </c>
    </row>
    <row r="1594" customFormat="false" ht="15" hidden="false" customHeight="false" outlineLevel="0" collapsed="false">
      <c r="A1594" s="3" t="n">
        <v>1593</v>
      </c>
      <c r="B1594" s="3" t="n">
        <v>1592</v>
      </c>
      <c r="C1594" s="3" t="n">
        <v>2</v>
      </c>
      <c r="D1594" s="3" t="n">
        <v>0</v>
      </c>
      <c r="E1594" s="3" t="n">
        <v>24</v>
      </c>
      <c r="F1594" s="24" t="n">
        <v>-0.187016249</v>
      </c>
    </row>
    <row r="1595" customFormat="false" ht="15" hidden="false" customHeight="false" outlineLevel="0" collapsed="false">
      <c r="A1595" s="3" t="n">
        <v>1594</v>
      </c>
      <c r="B1595" s="3" t="n">
        <v>1593</v>
      </c>
      <c r="C1595" s="3" t="n">
        <v>2</v>
      </c>
      <c r="D1595" s="3" t="n">
        <v>0</v>
      </c>
      <c r="E1595" s="3" t="n">
        <v>25</v>
      </c>
      <c r="F1595" s="24" t="n">
        <v>-0.187016249</v>
      </c>
    </row>
    <row r="1596" customFormat="false" ht="15" hidden="false" customHeight="false" outlineLevel="0" collapsed="false">
      <c r="A1596" s="3" t="n">
        <v>1595</v>
      </c>
      <c r="B1596" s="3" t="n">
        <v>1594</v>
      </c>
      <c r="C1596" s="3" t="n">
        <v>2</v>
      </c>
      <c r="D1596" s="3" t="n">
        <v>0</v>
      </c>
      <c r="E1596" s="3" t="n">
        <v>26</v>
      </c>
      <c r="F1596" s="24" t="n">
        <v>-0.187016249</v>
      </c>
    </row>
    <row r="1597" customFormat="false" ht="15" hidden="false" customHeight="false" outlineLevel="0" collapsed="false">
      <c r="A1597" s="3" t="n">
        <v>1596</v>
      </c>
      <c r="B1597" s="3" t="n">
        <v>1595</v>
      </c>
      <c r="C1597" s="3" t="n">
        <v>2</v>
      </c>
      <c r="D1597" s="3" t="n">
        <v>0</v>
      </c>
      <c r="E1597" s="3" t="n">
        <v>27</v>
      </c>
      <c r="F1597" s="24" t="n">
        <v>0.206411541</v>
      </c>
    </row>
    <row r="1598" customFormat="false" ht="15" hidden="false" customHeight="false" outlineLevel="0" collapsed="false">
      <c r="A1598" s="3" t="n">
        <v>1597</v>
      </c>
      <c r="B1598" s="3" t="n">
        <v>1596</v>
      </c>
      <c r="C1598" s="3" t="n">
        <v>2</v>
      </c>
      <c r="D1598" s="3" t="n">
        <v>1</v>
      </c>
      <c r="E1598" s="3" t="n">
        <v>0</v>
      </c>
      <c r="F1598" s="24" t="n">
        <v>-0.740650654</v>
      </c>
    </row>
    <row r="1599" customFormat="false" ht="15" hidden="false" customHeight="false" outlineLevel="0" collapsed="false">
      <c r="A1599" s="3" t="n">
        <v>1598</v>
      </c>
      <c r="B1599" s="3" t="n">
        <v>1597</v>
      </c>
      <c r="C1599" s="3" t="n">
        <v>2</v>
      </c>
      <c r="D1599" s="3" t="n">
        <v>1</v>
      </c>
      <c r="E1599" s="3" t="n">
        <v>1</v>
      </c>
      <c r="F1599" s="24" t="n">
        <v>-0.0777726099</v>
      </c>
    </row>
    <row r="1600" customFormat="false" ht="15" hidden="false" customHeight="false" outlineLevel="0" collapsed="false">
      <c r="A1600" s="3" t="n">
        <v>1599</v>
      </c>
      <c r="B1600" s="3" t="n">
        <v>1598</v>
      </c>
      <c r="C1600" s="3" t="n">
        <v>2</v>
      </c>
      <c r="D1600" s="3" t="n">
        <v>1</v>
      </c>
      <c r="E1600" s="3" t="n">
        <v>2</v>
      </c>
      <c r="F1600" s="24" t="n">
        <v>-0.0777726099</v>
      </c>
    </row>
    <row r="1601" customFormat="false" ht="15" hidden="false" customHeight="false" outlineLevel="0" collapsed="false">
      <c r="A1601" s="3" t="n">
        <v>1600</v>
      </c>
      <c r="B1601" s="3" t="n">
        <v>1599</v>
      </c>
      <c r="C1601" s="3" t="n">
        <v>2</v>
      </c>
      <c r="D1601" s="3" t="n">
        <v>1</v>
      </c>
      <c r="E1601" s="3" t="n">
        <v>3</v>
      </c>
      <c r="F1601" s="24" t="n">
        <v>-0.0777726099</v>
      </c>
    </row>
    <row r="1602" customFormat="false" ht="15" hidden="false" customHeight="false" outlineLevel="0" collapsed="false">
      <c r="A1602" s="3" t="n">
        <v>1601</v>
      </c>
      <c r="B1602" s="3" t="n">
        <v>1600</v>
      </c>
      <c r="C1602" s="3" t="n">
        <v>2</v>
      </c>
      <c r="D1602" s="3" t="n">
        <v>1</v>
      </c>
      <c r="E1602" s="3" t="n">
        <v>4</v>
      </c>
      <c r="F1602" s="24" t="n">
        <v>-0.0777726099</v>
      </c>
    </row>
    <row r="1603" customFormat="false" ht="15" hidden="false" customHeight="false" outlineLevel="0" collapsed="false">
      <c r="A1603" s="3" t="n">
        <v>1602</v>
      </c>
      <c r="B1603" s="3" t="n">
        <v>1601</v>
      </c>
      <c r="C1603" s="3" t="n">
        <v>2</v>
      </c>
      <c r="D1603" s="3" t="n">
        <v>1</v>
      </c>
      <c r="E1603" s="3" t="n">
        <v>5</v>
      </c>
      <c r="F1603" s="24" t="n">
        <v>-0.0777726099</v>
      </c>
    </row>
    <row r="1604" customFormat="false" ht="15" hidden="false" customHeight="false" outlineLevel="0" collapsed="false">
      <c r="A1604" s="3" t="n">
        <v>1603</v>
      </c>
      <c r="B1604" s="3" t="n">
        <v>1602</v>
      </c>
      <c r="C1604" s="3" t="n">
        <v>2</v>
      </c>
      <c r="D1604" s="3" t="n">
        <v>1</v>
      </c>
      <c r="E1604" s="3" t="n">
        <v>6</v>
      </c>
      <c r="F1604" s="24" t="n">
        <v>-0.0777726099</v>
      </c>
    </row>
    <row r="1605" customFormat="false" ht="15" hidden="false" customHeight="false" outlineLevel="0" collapsed="false">
      <c r="A1605" s="3" t="n">
        <v>1604</v>
      </c>
      <c r="B1605" s="3" t="n">
        <v>1603</v>
      </c>
      <c r="C1605" s="3" t="n">
        <v>2</v>
      </c>
      <c r="D1605" s="3" t="n">
        <v>1</v>
      </c>
      <c r="E1605" s="3" t="n">
        <v>7</v>
      </c>
      <c r="F1605" s="24" t="n">
        <v>-0.0777726099</v>
      </c>
    </row>
    <row r="1606" customFormat="false" ht="15" hidden="false" customHeight="false" outlineLevel="0" collapsed="false">
      <c r="A1606" s="3" t="n">
        <v>1605</v>
      </c>
      <c r="B1606" s="3" t="n">
        <v>1604</v>
      </c>
      <c r="C1606" s="3" t="n">
        <v>2</v>
      </c>
      <c r="D1606" s="3" t="n">
        <v>1</v>
      </c>
      <c r="E1606" s="3" t="n">
        <v>8</v>
      </c>
      <c r="F1606" s="24" t="n">
        <v>-0.0777726099</v>
      </c>
    </row>
    <row r="1607" customFormat="false" ht="15" hidden="false" customHeight="false" outlineLevel="0" collapsed="false">
      <c r="A1607" s="3" t="n">
        <v>1606</v>
      </c>
      <c r="B1607" s="3" t="n">
        <v>1605</v>
      </c>
      <c r="C1607" s="3" t="n">
        <v>2</v>
      </c>
      <c r="D1607" s="3" t="n">
        <v>1</v>
      </c>
      <c r="E1607" s="3" t="n">
        <v>9</v>
      </c>
      <c r="F1607" s="24" t="n">
        <v>-0.0777726099</v>
      </c>
    </row>
    <row r="1608" customFormat="false" ht="15" hidden="false" customHeight="false" outlineLevel="0" collapsed="false">
      <c r="A1608" s="3" t="n">
        <v>1607</v>
      </c>
      <c r="B1608" s="3" t="n">
        <v>1606</v>
      </c>
      <c r="C1608" s="3" t="n">
        <v>2</v>
      </c>
      <c r="D1608" s="3" t="n">
        <v>1</v>
      </c>
      <c r="E1608" s="3" t="n">
        <v>10</v>
      </c>
      <c r="F1608" s="24" t="n">
        <v>-0.0777726099</v>
      </c>
    </row>
    <row r="1609" customFormat="false" ht="15" hidden="false" customHeight="false" outlineLevel="0" collapsed="false">
      <c r="A1609" s="3" t="n">
        <v>1608</v>
      </c>
      <c r="B1609" s="3" t="n">
        <v>1607</v>
      </c>
      <c r="C1609" s="3" t="n">
        <v>2</v>
      </c>
      <c r="D1609" s="3" t="n">
        <v>1</v>
      </c>
      <c r="E1609" s="3" t="n">
        <v>11</v>
      </c>
      <c r="F1609" s="24" t="n">
        <v>-0.0777726099</v>
      </c>
    </row>
    <row r="1610" customFormat="false" ht="15" hidden="false" customHeight="false" outlineLevel="0" collapsed="false">
      <c r="A1610" s="3" t="n">
        <v>1609</v>
      </c>
      <c r="B1610" s="3" t="n">
        <v>1608</v>
      </c>
      <c r="C1610" s="3" t="n">
        <v>2</v>
      </c>
      <c r="D1610" s="3" t="n">
        <v>1</v>
      </c>
      <c r="E1610" s="3" t="n">
        <v>12</v>
      </c>
      <c r="F1610" s="24" t="n">
        <v>-0.0777726099</v>
      </c>
    </row>
    <row r="1611" customFormat="false" ht="15" hidden="false" customHeight="false" outlineLevel="0" collapsed="false">
      <c r="A1611" s="3" t="n">
        <v>1610</v>
      </c>
      <c r="B1611" s="3" t="n">
        <v>1609</v>
      </c>
      <c r="C1611" s="3" t="n">
        <v>2</v>
      </c>
      <c r="D1611" s="3" t="n">
        <v>1</v>
      </c>
      <c r="E1611" s="3" t="n">
        <v>13</v>
      </c>
      <c r="F1611" s="24" t="n">
        <v>-0.0777726099</v>
      </c>
    </row>
    <row r="1612" customFormat="false" ht="15" hidden="false" customHeight="false" outlineLevel="0" collapsed="false">
      <c r="A1612" s="3" t="n">
        <v>1611</v>
      </c>
      <c r="B1612" s="3" t="n">
        <v>1610</v>
      </c>
      <c r="C1612" s="3" t="n">
        <v>2</v>
      </c>
      <c r="D1612" s="3" t="n">
        <v>1</v>
      </c>
      <c r="E1612" s="3" t="n">
        <v>14</v>
      </c>
      <c r="F1612" s="24" t="n">
        <v>-0.0777726099</v>
      </c>
    </row>
    <row r="1613" customFormat="false" ht="15" hidden="false" customHeight="false" outlineLevel="0" collapsed="false">
      <c r="A1613" s="3" t="n">
        <v>1612</v>
      </c>
      <c r="B1613" s="3" t="n">
        <v>1611</v>
      </c>
      <c r="C1613" s="3" t="n">
        <v>2</v>
      </c>
      <c r="D1613" s="3" t="n">
        <v>1</v>
      </c>
      <c r="E1613" s="3" t="n">
        <v>15</v>
      </c>
      <c r="F1613" s="24" t="n">
        <v>-0.0777726099</v>
      </c>
    </row>
    <row r="1614" customFormat="false" ht="15" hidden="false" customHeight="false" outlineLevel="0" collapsed="false">
      <c r="A1614" s="3" t="n">
        <v>1613</v>
      </c>
      <c r="B1614" s="3" t="n">
        <v>1612</v>
      </c>
      <c r="C1614" s="3" t="n">
        <v>2</v>
      </c>
      <c r="D1614" s="3" t="n">
        <v>1</v>
      </c>
      <c r="E1614" s="3" t="n">
        <v>16</v>
      </c>
      <c r="F1614" s="24" t="n">
        <v>-0.0777726099</v>
      </c>
    </row>
    <row r="1615" customFormat="false" ht="15" hidden="false" customHeight="false" outlineLevel="0" collapsed="false">
      <c r="A1615" s="3" t="n">
        <v>1614</v>
      </c>
      <c r="B1615" s="3" t="n">
        <v>1613</v>
      </c>
      <c r="C1615" s="3" t="n">
        <v>2</v>
      </c>
      <c r="D1615" s="3" t="n">
        <v>1</v>
      </c>
      <c r="E1615" s="3" t="n">
        <v>17</v>
      </c>
      <c r="F1615" s="24" t="n">
        <v>-0.0777726099</v>
      </c>
    </row>
    <row r="1616" customFormat="false" ht="15" hidden="false" customHeight="false" outlineLevel="0" collapsed="false">
      <c r="A1616" s="3" t="n">
        <v>1615</v>
      </c>
      <c r="B1616" s="3" t="n">
        <v>1614</v>
      </c>
      <c r="C1616" s="3" t="n">
        <v>2</v>
      </c>
      <c r="D1616" s="3" t="n">
        <v>1</v>
      </c>
      <c r="E1616" s="3" t="n">
        <v>18</v>
      </c>
      <c r="F1616" s="24" t="n">
        <v>-0.0777726099</v>
      </c>
    </row>
    <row r="1617" customFormat="false" ht="15" hidden="false" customHeight="false" outlineLevel="0" collapsed="false">
      <c r="A1617" s="3" t="n">
        <v>1616</v>
      </c>
      <c r="B1617" s="3" t="n">
        <v>1615</v>
      </c>
      <c r="C1617" s="3" t="n">
        <v>2</v>
      </c>
      <c r="D1617" s="3" t="n">
        <v>1</v>
      </c>
      <c r="E1617" s="3" t="n">
        <v>19</v>
      </c>
      <c r="F1617" s="24" t="n">
        <v>-0.0777726099</v>
      </c>
    </row>
    <row r="1618" customFormat="false" ht="15" hidden="false" customHeight="false" outlineLevel="0" collapsed="false">
      <c r="A1618" s="3" t="n">
        <v>1617</v>
      </c>
      <c r="B1618" s="3" t="n">
        <v>1616</v>
      </c>
      <c r="C1618" s="3" t="n">
        <v>2</v>
      </c>
      <c r="D1618" s="3" t="n">
        <v>1</v>
      </c>
      <c r="E1618" s="3" t="n">
        <v>20</v>
      </c>
      <c r="F1618" s="24" t="n">
        <v>-0.0777726099</v>
      </c>
    </row>
    <row r="1619" customFormat="false" ht="15" hidden="false" customHeight="false" outlineLevel="0" collapsed="false">
      <c r="A1619" s="3" t="n">
        <v>1618</v>
      </c>
      <c r="B1619" s="3" t="n">
        <v>1617</v>
      </c>
      <c r="C1619" s="3" t="n">
        <v>2</v>
      </c>
      <c r="D1619" s="3" t="n">
        <v>1</v>
      </c>
      <c r="E1619" s="3" t="n">
        <v>21</v>
      </c>
      <c r="F1619" s="24" t="n">
        <v>-0.0777726099</v>
      </c>
    </row>
    <row r="1620" customFormat="false" ht="15" hidden="false" customHeight="false" outlineLevel="0" collapsed="false">
      <c r="A1620" s="3" t="n">
        <v>1619</v>
      </c>
      <c r="B1620" s="3" t="n">
        <v>1618</v>
      </c>
      <c r="C1620" s="3" t="n">
        <v>2</v>
      </c>
      <c r="D1620" s="3" t="n">
        <v>1</v>
      </c>
      <c r="E1620" s="3" t="n">
        <v>22</v>
      </c>
      <c r="F1620" s="24" t="n">
        <v>-0.0777726099</v>
      </c>
    </row>
    <row r="1621" customFormat="false" ht="15" hidden="false" customHeight="false" outlineLevel="0" collapsed="false">
      <c r="A1621" s="3" t="n">
        <v>1620</v>
      </c>
      <c r="B1621" s="3" t="n">
        <v>1619</v>
      </c>
      <c r="C1621" s="3" t="n">
        <v>2</v>
      </c>
      <c r="D1621" s="3" t="n">
        <v>1</v>
      </c>
      <c r="E1621" s="3" t="n">
        <v>23</v>
      </c>
      <c r="F1621" s="24" t="n">
        <v>-0.0777726099</v>
      </c>
    </row>
    <row r="1622" customFormat="false" ht="15" hidden="false" customHeight="false" outlineLevel="0" collapsed="false">
      <c r="A1622" s="3" t="n">
        <v>1621</v>
      </c>
      <c r="B1622" s="3" t="n">
        <v>1620</v>
      </c>
      <c r="C1622" s="3" t="n">
        <v>2</v>
      </c>
      <c r="D1622" s="3" t="n">
        <v>1</v>
      </c>
      <c r="E1622" s="3" t="n">
        <v>24</v>
      </c>
      <c r="F1622" s="24" t="n">
        <v>-0.0777726099</v>
      </c>
    </row>
    <row r="1623" customFormat="false" ht="15" hidden="false" customHeight="false" outlineLevel="0" collapsed="false">
      <c r="A1623" s="3" t="n">
        <v>1622</v>
      </c>
      <c r="B1623" s="3" t="n">
        <v>1621</v>
      </c>
      <c r="C1623" s="3" t="n">
        <v>2</v>
      </c>
      <c r="D1623" s="3" t="n">
        <v>1</v>
      </c>
      <c r="E1623" s="3" t="n">
        <v>25</v>
      </c>
      <c r="F1623" s="24" t="n">
        <v>-0.0777726099</v>
      </c>
    </row>
    <row r="1624" customFormat="false" ht="15" hidden="false" customHeight="false" outlineLevel="0" collapsed="false">
      <c r="A1624" s="3" t="n">
        <v>1623</v>
      </c>
      <c r="B1624" s="3" t="n">
        <v>1622</v>
      </c>
      <c r="C1624" s="3" t="n">
        <v>2</v>
      </c>
      <c r="D1624" s="3" t="n">
        <v>1</v>
      </c>
      <c r="E1624" s="3" t="n">
        <v>26</v>
      </c>
      <c r="F1624" s="24" t="n">
        <v>-0.0777726099</v>
      </c>
    </row>
    <row r="1625" customFormat="false" ht="15" hidden="false" customHeight="false" outlineLevel="0" collapsed="false">
      <c r="A1625" s="3" t="n">
        <v>1624</v>
      </c>
      <c r="B1625" s="3" t="n">
        <v>1623</v>
      </c>
      <c r="C1625" s="3" t="n">
        <v>2</v>
      </c>
      <c r="D1625" s="3" t="n">
        <v>1</v>
      </c>
      <c r="E1625" s="3" t="n">
        <v>27</v>
      </c>
      <c r="F1625" s="24" t="n">
        <v>0.387737483</v>
      </c>
    </row>
    <row r="1626" customFormat="false" ht="15" hidden="false" customHeight="false" outlineLevel="0" collapsed="false">
      <c r="A1626" s="3" t="n">
        <v>1625</v>
      </c>
      <c r="B1626" s="3" t="n">
        <v>1624</v>
      </c>
      <c r="C1626" s="3" t="n">
        <v>2</v>
      </c>
      <c r="D1626" s="3" t="n">
        <v>2</v>
      </c>
      <c r="E1626" s="3" t="n">
        <v>0</v>
      </c>
      <c r="F1626" s="24" t="n">
        <v>-0.740650654</v>
      </c>
    </row>
    <row r="1627" customFormat="false" ht="15" hidden="false" customHeight="false" outlineLevel="0" collapsed="false">
      <c r="A1627" s="3" t="n">
        <v>1626</v>
      </c>
      <c r="B1627" s="3" t="n">
        <v>1625</v>
      </c>
      <c r="C1627" s="3" t="n">
        <v>2</v>
      </c>
      <c r="D1627" s="3" t="n">
        <v>2</v>
      </c>
      <c r="E1627" s="3" t="n">
        <v>1</v>
      </c>
      <c r="F1627" s="24" t="n">
        <v>-0.0777726099</v>
      </c>
    </row>
    <row r="1628" customFormat="false" ht="15" hidden="false" customHeight="false" outlineLevel="0" collapsed="false">
      <c r="A1628" s="3" t="n">
        <v>1627</v>
      </c>
      <c r="B1628" s="3" t="n">
        <v>1626</v>
      </c>
      <c r="C1628" s="3" t="n">
        <v>2</v>
      </c>
      <c r="D1628" s="3" t="n">
        <v>2</v>
      </c>
      <c r="E1628" s="3" t="n">
        <v>2</v>
      </c>
      <c r="F1628" s="24" t="n">
        <v>-0.0777726099</v>
      </c>
    </row>
    <row r="1629" customFormat="false" ht="15" hidden="false" customHeight="false" outlineLevel="0" collapsed="false">
      <c r="A1629" s="3" t="n">
        <v>1628</v>
      </c>
      <c r="B1629" s="3" t="n">
        <v>1627</v>
      </c>
      <c r="C1629" s="3" t="n">
        <v>2</v>
      </c>
      <c r="D1629" s="3" t="n">
        <v>2</v>
      </c>
      <c r="E1629" s="3" t="n">
        <v>3</v>
      </c>
      <c r="F1629" s="24" t="n">
        <v>-0.0777726099</v>
      </c>
    </row>
    <row r="1630" customFormat="false" ht="15" hidden="false" customHeight="false" outlineLevel="0" collapsed="false">
      <c r="A1630" s="3" t="n">
        <v>1629</v>
      </c>
      <c r="B1630" s="3" t="n">
        <v>1628</v>
      </c>
      <c r="C1630" s="3" t="n">
        <v>2</v>
      </c>
      <c r="D1630" s="3" t="n">
        <v>2</v>
      </c>
      <c r="E1630" s="3" t="n">
        <v>4</v>
      </c>
      <c r="F1630" s="24" t="n">
        <v>-0.0777726099</v>
      </c>
    </row>
    <row r="1631" customFormat="false" ht="15" hidden="false" customHeight="false" outlineLevel="0" collapsed="false">
      <c r="A1631" s="3" t="n">
        <v>1630</v>
      </c>
      <c r="B1631" s="3" t="n">
        <v>1629</v>
      </c>
      <c r="C1631" s="3" t="n">
        <v>2</v>
      </c>
      <c r="D1631" s="3" t="n">
        <v>2</v>
      </c>
      <c r="E1631" s="3" t="n">
        <v>5</v>
      </c>
      <c r="F1631" s="24" t="n">
        <v>-0.0777726099</v>
      </c>
    </row>
    <row r="1632" customFormat="false" ht="15" hidden="false" customHeight="false" outlineLevel="0" collapsed="false">
      <c r="A1632" s="3" t="n">
        <v>1631</v>
      </c>
      <c r="B1632" s="3" t="n">
        <v>1630</v>
      </c>
      <c r="C1632" s="3" t="n">
        <v>2</v>
      </c>
      <c r="D1632" s="3" t="n">
        <v>2</v>
      </c>
      <c r="E1632" s="3" t="n">
        <v>6</v>
      </c>
      <c r="F1632" s="24" t="n">
        <v>-0.0777726099</v>
      </c>
    </row>
    <row r="1633" customFormat="false" ht="15" hidden="false" customHeight="false" outlineLevel="0" collapsed="false">
      <c r="A1633" s="3" t="n">
        <v>1632</v>
      </c>
      <c r="B1633" s="3" t="n">
        <v>1631</v>
      </c>
      <c r="C1633" s="3" t="n">
        <v>2</v>
      </c>
      <c r="D1633" s="3" t="n">
        <v>2</v>
      </c>
      <c r="E1633" s="3" t="n">
        <v>7</v>
      </c>
      <c r="F1633" s="24" t="n">
        <v>-0.0777726099</v>
      </c>
    </row>
    <row r="1634" customFormat="false" ht="15" hidden="false" customHeight="false" outlineLevel="0" collapsed="false">
      <c r="A1634" s="3" t="n">
        <v>1633</v>
      </c>
      <c r="B1634" s="3" t="n">
        <v>1632</v>
      </c>
      <c r="C1634" s="3" t="n">
        <v>2</v>
      </c>
      <c r="D1634" s="3" t="n">
        <v>2</v>
      </c>
      <c r="E1634" s="3" t="n">
        <v>8</v>
      </c>
      <c r="F1634" s="24" t="n">
        <v>-0.0777726099</v>
      </c>
    </row>
    <row r="1635" customFormat="false" ht="15" hidden="false" customHeight="false" outlineLevel="0" collapsed="false">
      <c r="A1635" s="3" t="n">
        <v>1634</v>
      </c>
      <c r="B1635" s="3" t="n">
        <v>1633</v>
      </c>
      <c r="C1635" s="3" t="n">
        <v>2</v>
      </c>
      <c r="D1635" s="3" t="n">
        <v>2</v>
      </c>
      <c r="E1635" s="3" t="n">
        <v>9</v>
      </c>
      <c r="F1635" s="24" t="n">
        <v>-0.0777726099</v>
      </c>
    </row>
    <row r="1636" customFormat="false" ht="15" hidden="false" customHeight="false" outlineLevel="0" collapsed="false">
      <c r="A1636" s="3" t="n">
        <v>1635</v>
      </c>
      <c r="B1636" s="3" t="n">
        <v>1634</v>
      </c>
      <c r="C1636" s="3" t="n">
        <v>2</v>
      </c>
      <c r="D1636" s="3" t="n">
        <v>2</v>
      </c>
      <c r="E1636" s="3" t="n">
        <v>10</v>
      </c>
      <c r="F1636" s="24" t="n">
        <v>-0.0777726099</v>
      </c>
    </row>
    <row r="1637" customFormat="false" ht="15" hidden="false" customHeight="false" outlineLevel="0" collapsed="false">
      <c r="A1637" s="3" t="n">
        <v>1636</v>
      </c>
      <c r="B1637" s="3" t="n">
        <v>1635</v>
      </c>
      <c r="C1637" s="3" t="n">
        <v>2</v>
      </c>
      <c r="D1637" s="3" t="n">
        <v>2</v>
      </c>
      <c r="E1637" s="3" t="n">
        <v>11</v>
      </c>
      <c r="F1637" s="24" t="n">
        <v>-0.0777726099</v>
      </c>
    </row>
    <row r="1638" customFormat="false" ht="15" hidden="false" customHeight="false" outlineLevel="0" collapsed="false">
      <c r="A1638" s="3" t="n">
        <v>1637</v>
      </c>
      <c r="B1638" s="3" t="n">
        <v>1636</v>
      </c>
      <c r="C1638" s="3" t="n">
        <v>2</v>
      </c>
      <c r="D1638" s="3" t="n">
        <v>2</v>
      </c>
      <c r="E1638" s="3" t="n">
        <v>12</v>
      </c>
      <c r="F1638" s="24" t="n">
        <v>-0.0777726099</v>
      </c>
    </row>
    <row r="1639" customFormat="false" ht="15" hidden="false" customHeight="false" outlineLevel="0" collapsed="false">
      <c r="A1639" s="3" t="n">
        <v>1638</v>
      </c>
      <c r="B1639" s="3" t="n">
        <v>1637</v>
      </c>
      <c r="C1639" s="3" t="n">
        <v>2</v>
      </c>
      <c r="D1639" s="3" t="n">
        <v>2</v>
      </c>
      <c r="E1639" s="3" t="n">
        <v>13</v>
      </c>
      <c r="F1639" s="24" t="n">
        <v>-0.0777726099</v>
      </c>
    </row>
    <row r="1640" customFormat="false" ht="15" hidden="false" customHeight="false" outlineLevel="0" collapsed="false">
      <c r="A1640" s="3" t="n">
        <v>1639</v>
      </c>
      <c r="B1640" s="3" t="n">
        <v>1638</v>
      </c>
      <c r="C1640" s="3" t="n">
        <v>2</v>
      </c>
      <c r="D1640" s="3" t="n">
        <v>2</v>
      </c>
      <c r="E1640" s="3" t="n">
        <v>14</v>
      </c>
      <c r="F1640" s="24" t="n">
        <v>-0.0777726099</v>
      </c>
    </row>
    <row r="1641" customFormat="false" ht="15" hidden="false" customHeight="false" outlineLevel="0" collapsed="false">
      <c r="A1641" s="3" t="n">
        <v>1640</v>
      </c>
      <c r="B1641" s="3" t="n">
        <v>1639</v>
      </c>
      <c r="C1641" s="3" t="n">
        <v>2</v>
      </c>
      <c r="D1641" s="3" t="n">
        <v>2</v>
      </c>
      <c r="E1641" s="3" t="n">
        <v>15</v>
      </c>
      <c r="F1641" s="24" t="n">
        <v>-0.0777726099</v>
      </c>
    </row>
    <row r="1642" customFormat="false" ht="15" hidden="false" customHeight="false" outlineLevel="0" collapsed="false">
      <c r="A1642" s="3" t="n">
        <v>1641</v>
      </c>
      <c r="B1642" s="3" t="n">
        <v>1640</v>
      </c>
      <c r="C1642" s="3" t="n">
        <v>2</v>
      </c>
      <c r="D1642" s="3" t="n">
        <v>2</v>
      </c>
      <c r="E1642" s="3" t="n">
        <v>16</v>
      </c>
      <c r="F1642" s="24" t="n">
        <v>-0.0777726099</v>
      </c>
    </row>
    <row r="1643" customFormat="false" ht="15" hidden="false" customHeight="false" outlineLevel="0" collapsed="false">
      <c r="A1643" s="3" t="n">
        <v>1642</v>
      </c>
      <c r="B1643" s="3" t="n">
        <v>1641</v>
      </c>
      <c r="C1643" s="3" t="n">
        <v>2</v>
      </c>
      <c r="D1643" s="3" t="n">
        <v>2</v>
      </c>
      <c r="E1643" s="3" t="n">
        <v>17</v>
      </c>
      <c r="F1643" s="24" t="n">
        <v>-0.0777726099</v>
      </c>
    </row>
    <row r="1644" customFormat="false" ht="15" hidden="false" customHeight="false" outlineLevel="0" collapsed="false">
      <c r="A1644" s="3" t="n">
        <v>1643</v>
      </c>
      <c r="B1644" s="3" t="n">
        <v>1642</v>
      </c>
      <c r="C1644" s="3" t="n">
        <v>2</v>
      </c>
      <c r="D1644" s="3" t="n">
        <v>2</v>
      </c>
      <c r="E1644" s="3" t="n">
        <v>18</v>
      </c>
      <c r="F1644" s="24" t="n">
        <v>-0.0777726099</v>
      </c>
    </row>
    <row r="1645" customFormat="false" ht="15" hidden="false" customHeight="false" outlineLevel="0" collapsed="false">
      <c r="A1645" s="3" t="n">
        <v>1644</v>
      </c>
      <c r="B1645" s="3" t="n">
        <v>1643</v>
      </c>
      <c r="C1645" s="3" t="n">
        <v>2</v>
      </c>
      <c r="D1645" s="3" t="n">
        <v>2</v>
      </c>
      <c r="E1645" s="3" t="n">
        <v>19</v>
      </c>
      <c r="F1645" s="24" t="n">
        <v>-0.0777726099</v>
      </c>
    </row>
    <row r="1646" customFormat="false" ht="15" hidden="false" customHeight="false" outlineLevel="0" collapsed="false">
      <c r="A1646" s="3" t="n">
        <v>1645</v>
      </c>
      <c r="B1646" s="3" t="n">
        <v>1644</v>
      </c>
      <c r="C1646" s="3" t="n">
        <v>2</v>
      </c>
      <c r="D1646" s="3" t="n">
        <v>2</v>
      </c>
      <c r="E1646" s="3" t="n">
        <v>20</v>
      </c>
      <c r="F1646" s="24" t="n">
        <v>-0.0777726099</v>
      </c>
    </row>
    <row r="1647" customFormat="false" ht="15" hidden="false" customHeight="false" outlineLevel="0" collapsed="false">
      <c r="A1647" s="3" t="n">
        <v>1646</v>
      </c>
      <c r="B1647" s="3" t="n">
        <v>1645</v>
      </c>
      <c r="C1647" s="3" t="n">
        <v>2</v>
      </c>
      <c r="D1647" s="3" t="n">
        <v>2</v>
      </c>
      <c r="E1647" s="3" t="n">
        <v>21</v>
      </c>
      <c r="F1647" s="24" t="n">
        <v>-0.0777726099</v>
      </c>
    </row>
    <row r="1648" customFormat="false" ht="15" hidden="false" customHeight="false" outlineLevel="0" collapsed="false">
      <c r="A1648" s="3" t="n">
        <v>1647</v>
      </c>
      <c r="B1648" s="3" t="n">
        <v>1646</v>
      </c>
      <c r="C1648" s="3" t="n">
        <v>2</v>
      </c>
      <c r="D1648" s="3" t="n">
        <v>2</v>
      </c>
      <c r="E1648" s="3" t="n">
        <v>22</v>
      </c>
      <c r="F1648" s="24" t="n">
        <v>-0.0777726099</v>
      </c>
    </row>
    <row r="1649" customFormat="false" ht="15" hidden="false" customHeight="false" outlineLevel="0" collapsed="false">
      <c r="A1649" s="3" t="n">
        <v>1648</v>
      </c>
      <c r="B1649" s="3" t="n">
        <v>1647</v>
      </c>
      <c r="C1649" s="3" t="n">
        <v>2</v>
      </c>
      <c r="D1649" s="3" t="n">
        <v>2</v>
      </c>
      <c r="E1649" s="3" t="n">
        <v>23</v>
      </c>
      <c r="F1649" s="24" t="n">
        <v>-0.0777726099</v>
      </c>
    </row>
    <row r="1650" customFormat="false" ht="15" hidden="false" customHeight="false" outlineLevel="0" collapsed="false">
      <c r="A1650" s="3" t="n">
        <v>1649</v>
      </c>
      <c r="B1650" s="3" t="n">
        <v>1648</v>
      </c>
      <c r="C1650" s="3" t="n">
        <v>2</v>
      </c>
      <c r="D1650" s="3" t="n">
        <v>2</v>
      </c>
      <c r="E1650" s="3" t="n">
        <v>24</v>
      </c>
      <c r="F1650" s="24" t="n">
        <v>-0.0777726099</v>
      </c>
    </row>
    <row r="1651" customFormat="false" ht="15" hidden="false" customHeight="false" outlineLevel="0" collapsed="false">
      <c r="A1651" s="3" t="n">
        <v>1650</v>
      </c>
      <c r="B1651" s="3" t="n">
        <v>1649</v>
      </c>
      <c r="C1651" s="3" t="n">
        <v>2</v>
      </c>
      <c r="D1651" s="3" t="n">
        <v>2</v>
      </c>
      <c r="E1651" s="3" t="n">
        <v>25</v>
      </c>
      <c r="F1651" s="24" t="n">
        <v>-0.0777726099</v>
      </c>
    </row>
    <row r="1652" customFormat="false" ht="15" hidden="false" customHeight="false" outlineLevel="0" collapsed="false">
      <c r="A1652" s="3" t="n">
        <v>1651</v>
      </c>
      <c r="B1652" s="3" t="n">
        <v>1650</v>
      </c>
      <c r="C1652" s="3" t="n">
        <v>2</v>
      </c>
      <c r="D1652" s="3" t="n">
        <v>2</v>
      </c>
      <c r="E1652" s="3" t="n">
        <v>26</v>
      </c>
      <c r="F1652" s="24" t="n">
        <v>-0.0777726099</v>
      </c>
    </row>
    <row r="1653" customFormat="false" ht="15" hidden="false" customHeight="false" outlineLevel="0" collapsed="false">
      <c r="A1653" s="3" t="n">
        <v>1652</v>
      </c>
      <c r="B1653" s="3" t="n">
        <v>1651</v>
      </c>
      <c r="C1653" s="3" t="n">
        <v>2</v>
      </c>
      <c r="D1653" s="3" t="n">
        <v>2</v>
      </c>
      <c r="E1653" s="3" t="n">
        <v>27</v>
      </c>
      <c r="F1653" s="24" t="n">
        <v>0.387737483</v>
      </c>
    </row>
    <row r="1654" customFormat="false" ht="15" hidden="false" customHeight="false" outlineLevel="0" collapsed="false">
      <c r="A1654" s="3" t="n">
        <v>1653</v>
      </c>
      <c r="B1654" s="3" t="n">
        <v>1652</v>
      </c>
      <c r="C1654" s="3" t="n">
        <v>2</v>
      </c>
      <c r="D1654" s="3" t="n">
        <v>3</v>
      </c>
      <c r="E1654" s="3" t="n">
        <v>0</v>
      </c>
      <c r="F1654" s="24" t="n">
        <v>-0.740650654</v>
      </c>
    </row>
    <row r="1655" customFormat="false" ht="15" hidden="false" customHeight="false" outlineLevel="0" collapsed="false">
      <c r="A1655" s="3" t="n">
        <v>1654</v>
      </c>
      <c r="B1655" s="3" t="n">
        <v>1653</v>
      </c>
      <c r="C1655" s="3" t="n">
        <v>2</v>
      </c>
      <c r="D1655" s="3" t="n">
        <v>3</v>
      </c>
      <c r="E1655" s="3" t="n">
        <v>1</v>
      </c>
      <c r="F1655" s="24" t="n">
        <v>-0.0777726099</v>
      </c>
    </row>
    <row r="1656" customFormat="false" ht="15" hidden="false" customHeight="false" outlineLevel="0" collapsed="false">
      <c r="A1656" s="3" t="n">
        <v>1655</v>
      </c>
      <c r="B1656" s="3" t="n">
        <v>1654</v>
      </c>
      <c r="C1656" s="3" t="n">
        <v>2</v>
      </c>
      <c r="D1656" s="3" t="n">
        <v>3</v>
      </c>
      <c r="E1656" s="3" t="n">
        <v>2</v>
      </c>
      <c r="F1656" s="24" t="n">
        <v>-0.0777726099</v>
      </c>
    </row>
    <row r="1657" customFormat="false" ht="15" hidden="false" customHeight="false" outlineLevel="0" collapsed="false">
      <c r="A1657" s="3" t="n">
        <v>1656</v>
      </c>
      <c r="B1657" s="3" t="n">
        <v>1655</v>
      </c>
      <c r="C1657" s="3" t="n">
        <v>2</v>
      </c>
      <c r="D1657" s="3" t="n">
        <v>3</v>
      </c>
      <c r="E1657" s="3" t="n">
        <v>3</v>
      </c>
      <c r="F1657" s="24" t="n">
        <v>-0.0777726099</v>
      </c>
    </row>
    <row r="1658" customFormat="false" ht="15" hidden="false" customHeight="false" outlineLevel="0" collapsed="false">
      <c r="A1658" s="3" t="n">
        <v>1657</v>
      </c>
      <c r="B1658" s="3" t="n">
        <v>1656</v>
      </c>
      <c r="C1658" s="3" t="n">
        <v>2</v>
      </c>
      <c r="D1658" s="3" t="n">
        <v>3</v>
      </c>
      <c r="E1658" s="3" t="n">
        <v>4</v>
      </c>
      <c r="F1658" s="24" t="n">
        <v>-0.0777726099</v>
      </c>
    </row>
    <row r="1659" customFormat="false" ht="15" hidden="false" customHeight="false" outlineLevel="0" collapsed="false">
      <c r="A1659" s="3" t="n">
        <v>1658</v>
      </c>
      <c r="B1659" s="3" t="n">
        <v>1657</v>
      </c>
      <c r="C1659" s="3" t="n">
        <v>2</v>
      </c>
      <c r="D1659" s="3" t="n">
        <v>3</v>
      </c>
      <c r="E1659" s="3" t="n">
        <v>5</v>
      </c>
      <c r="F1659" s="24" t="n">
        <v>-0.0777726099</v>
      </c>
    </row>
    <row r="1660" customFormat="false" ht="15" hidden="false" customHeight="false" outlineLevel="0" collapsed="false">
      <c r="A1660" s="3" t="n">
        <v>1659</v>
      </c>
      <c r="B1660" s="3" t="n">
        <v>1658</v>
      </c>
      <c r="C1660" s="3" t="n">
        <v>2</v>
      </c>
      <c r="D1660" s="3" t="n">
        <v>3</v>
      </c>
      <c r="E1660" s="3" t="n">
        <v>6</v>
      </c>
      <c r="F1660" s="24" t="n">
        <v>-0.0777726099</v>
      </c>
    </row>
    <row r="1661" customFormat="false" ht="15" hidden="false" customHeight="false" outlineLevel="0" collapsed="false">
      <c r="A1661" s="3" t="n">
        <v>1660</v>
      </c>
      <c r="B1661" s="3" t="n">
        <v>1659</v>
      </c>
      <c r="C1661" s="3" t="n">
        <v>2</v>
      </c>
      <c r="D1661" s="3" t="n">
        <v>3</v>
      </c>
      <c r="E1661" s="3" t="n">
        <v>7</v>
      </c>
      <c r="F1661" s="24" t="n">
        <v>-0.0777726099</v>
      </c>
    </row>
    <row r="1662" customFormat="false" ht="15" hidden="false" customHeight="false" outlineLevel="0" collapsed="false">
      <c r="A1662" s="3" t="n">
        <v>1661</v>
      </c>
      <c r="B1662" s="3" t="n">
        <v>1660</v>
      </c>
      <c r="C1662" s="3" t="n">
        <v>2</v>
      </c>
      <c r="D1662" s="3" t="n">
        <v>3</v>
      </c>
      <c r="E1662" s="3" t="n">
        <v>8</v>
      </c>
      <c r="F1662" s="24" t="n">
        <v>-0.0777726099</v>
      </c>
    </row>
    <row r="1663" customFormat="false" ht="15" hidden="false" customHeight="false" outlineLevel="0" collapsed="false">
      <c r="A1663" s="3" t="n">
        <v>1662</v>
      </c>
      <c r="B1663" s="3" t="n">
        <v>1661</v>
      </c>
      <c r="C1663" s="3" t="n">
        <v>2</v>
      </c>
      <c r="D1663" s="3" t="n">
        <v>3</v>
      </c>
      <c r="E1663" s="3" t="n">
        <v>9</v>
      </c>
      <c r="F1663" s="24" t="n">
        <v>-0.0777726099</v>
      </c>
    </row>
    <row r="1664" customFormat="false" ht="15" hidden="false" customHeight="false" outlineLevel="0" collapsed="false">
      <c r="A1664" s="3" t="n">
        <v>1663</v>
      </c>
      <c r="B1664" s="3" t="n">
        <v>1662</v>
      </c>
      <c r="C1664" s="3" t="n">
        <v>2</v>
      </c>
      <c r="D1664" s="3" t="n">
        <v>3</v>
      </c>
      <c r="E1664" s="3" t="n">
        <v>10</v>
      </c>
      <c r="F1664" s="24" t="n">
        <v>-0.0777726099</v>
      </c>
    </row>
    <row r="1665" customFormat="false" ht="15" hidden="false" customHeight="false" outlineLevel="0" collapsed="false">
      <c r="A1665" s="3" t="n">
        <v>1664</v>
      </c>
      <c r="B1665" s="3" t="n">
        <v>1663</v>
      </c>
      <c r="C1665" s="3" t="n">
        <v>2</v>
      </c>
      <c r="D1665" s="3" t="n">
        <v>3</v>
      </c>
      <c r="E1665" s="3" t="n">
        <v>11</v>
      </c>
      <c r="F1665" s="24" t="n">
        <v>-0.0777726099</v>
      </c>
    </row>
    <row r="1666" customFormat="false" ht="15" hidden="false" customHeight="false" outlineLevel="0" collapsed="false">
      <c r="A1666" s="3" t="n">
        <v>1665</v>
      </c>
      <c r="B1666" s="3" t="n">
        <v>1664</v>
      </c>
      <c r="C1666" s="3" t="n">
        <v>2</v>
      </c>
      <c r="D1666" s="3" t="n">
        <v>3</v>
      </c>
      <c r="E1666" s="3" t="n">
        <v>12</v>
      </c>
      <c r="F1666" s="24" t="n">
        <v>-0.0777726099</v>
      </c>
    </row>
    <row r="1667" customFormat="false" ht="15" hidden="false" customHeight="false" outlineLevel="0" collapsed="false">
      <c r="A1667" s="3" t="n">
        <v>1666</v>
      </c>
      <c r="B1667" s="3" t="n">
        <v>1665</v>
      </c>
      <c r="C1667" s="3" t="n">
        <v>2</v>
      </c>
      <c r="D1667" s="3" t="n">
        <v>3</v>
      </c>
      <c r="E1667" s="3" t="n">
        <v>13</v>
      </c>
      <c r="F1667" s="24" t="n">
        <v>-0.0777726099</v>
      </c>
    </row>
    <row r="1668" customFormat="false" ht="15" hidden="false" customHeight="false" outlineLevel="0" collapsed="false">
      <c r="A1668" s="3" t="n">
        <v>1667</v>
      </c>
      <c r="B1668" s="3" t="n">
        <v>1666</v>
      </c>
      <c r="C1668" s="3" t="n">
        <v>2</v>
      </c>
      <c r="D1668" s="3" t="n">
        <v>3</v>
      </c>
      <c r="E1668" s="3" t="n">
        <v>14</v>
      </c>
      <c r="F1668" s="24" t="n">
        <v>-0.0777726099</v>
      </c>
    </row>
    <row r="1669" customFormat="false" ht="15" hidden="false" customHeight="false" outlineLevel="0" collapsed="false">
      <c r="A1669" s="3" t="n">
        <v>1668</v>
      </c>
      <c r="B1669" s="3" t="n">
        <v>1667</v>
      </c>
      <c r="C1669" s="3" t="n">
        <v>2</v>
      </c>
      <c r="D1669" s="3" t="n">
        <v>3</v>
      </c>
      <c r="E1669" s="3" t="n">
        <v>15</v>
      </c>
      <c r="F1669" s="24" t="n">
        <v>-0.0777726099</v>
      </c>
    </row>
    <row r="1670" customFormat="false" ht="15" hidden="false" customHeight="false" outlineLevel="0" collapsed="false">
      <c r="A1670" s="3" t="n">
        <v>1669</v>
      </c>
      <c r="B1670" s="3" t="n">
        <v>1668</v>
      </c>
      <c r="C1670" s="3" t="n">
        <v>2</v>
      </c>
      <c r="D1670" s="3" t="n">
        <v>3</v>
      </c>
      <c r="E1670" s="3" t="n">
        <v>16</v>
      </c>
      <c r="F1670" s="24" t="n">
        <v>-0.0777726099</v>
      </c>
    </row>
    <row r="1671" customFormat="false" ht="15" hidden="false" customHeight="false" outlineLevel="0" collapsed="false">
      <c r="A1671" s="3" t="n">
        <v>1670</v>
      </c>
      <c r="B1671" s="3" t="n">
        <v>1669</v>
      </c>
      <c r="C1671" s="3" t="n">
        <v>2</v>
      </c>
      <c r="D1671" s="3" t="n">
        <v>3</v>
      </c>
      <c r="E1671" s="3" t="n">
        <v>17</v>
      </c>
      <c r="F1671" s="24" t="n">
        <v>-0.0777726099</v>
      </c>
    </row>
    <row r="1672" customFormat="false" ht="15" hidden="false" customHeight="false" outlineLevel="0" collapsed="false">
      <c r="A1672" s="3" t="n">
        <v>1671</v>
      </c>
      <c r="B1672" s="3" t="n">
        <v>1670</v>
      </c>
      <c r="C1672" s="3" t="n">
        <v>2</v>
      </c>
      <c r="D1672" s="3" t="n">
        <v>3</v>
      </c>
      <c r="E1672" s="3" t="n">
        <v>18</v>
      </c>
      <c r="F1672" s="24" t="n">
        <v>-0.0777726099</v>
      </c>
    </row>
    <row r="1673" customFormat="false" ht="15" hidden="false" customHeight="false" outlineLevel="0" collapsed="false">
      <c r="A1673" s="3" t="n">
        <v>1672</v>
      </c>
      <c r="B1673" s="3" t="n">
        <v>1671</v>
      </c>
      <c r="C1673" s="3" t="n">
        <v>2</v>
      </c>
      <c r="D1673" s="3" t="n">
        <v>3</v>
      </c>
      <c r="E1673" s="3" t="n">
        <v>19</v>
      </c>
      <c r="F1673" s="24" t="n">
        <v>-0.0777726099</v>
      </c>
    </row>
    <row r="1674" customFormat="false" ht="15" hidden="false" customHeight="false" outlineLevel="0" collapsed="false">
      <c r="A1674" s="3" t="n">
        <v>1673</v>
      </c>
      <c r="B1674" s="3" t="n">
        <v>1672</v>
      </c>
      <c r="C1674" s="3" t="n">
        <v>2</v>
      </c>
      <c r="D1674" s="3" t="n">
        <v>3</v>
      </c>
      <c r="E1674" s="3" t="n">
        <v>20</v>
      </c>
      <c r="F1674" s="24" t="n">
        <v>-0.0777726099</v>
      </c>
    </row>
    <row r="1675" customFormat="false" ht="15" hidden="false" customHeight="false" outlineLevel="0" collapsed="false">
      <c r="A1675" s="3" t="n">
        <v>1674</v>
      </c>
      <c r="B1675" s="3" t="n">
        <v>1673</v>
      </c>
      <c r="C1675" s="3" t="n">
        <v>2</v>
      </c>
      <c r="D1675" s="3" t="n">
        <v>3</v>
      </c>
      <c r="E1675" s="3" t="n">
        <v>21</v>
      </c>
      <c r="F1675" s="24" t="n">
        <v>-0.0777726099</v>
      </c>
    </row>
    <row r="1676" customFormat="false" ht="15" hidden="false" customHeight="false" outlineLevel="0" collapsed="false">
      <c r="A1676" s="3" t="n">
        <v>1675</v>
      </c>
      <c r="B1676" s="3" t="n">
        <v>1674</v>
      </c>
      <c r="C1676" s="3" t="n">
        <v>2</v>
      </c>
      <c r="D1676" s="3" t="n">
        <v>3</v>
      </c>
      <c r="E1676" s="3" t="n">
        <v>22</v>
      </c>
      <c r="F1676" s="24" t="n">
        <v>-0.0777726099</v>
      </c>
    </row>
    <row r="1677" customFormat="false" ht="15" hidden="false" customHeight="false" outlineLevel="0" collapsed="false">
      <c r="A1677" s="3" t="n">
        <v>1676</v>
      </c>
      <c r="B1677" s="3" t="n">
        <v>1675</v>
      </c>
      <c r="C1677" s="3" t="n">
        <v>2</v>
      </c>
      <c r="D1677" s="3" t="n">
        <v>3</v>
      </c>
      <c r="E1677" s="3" t="n">
        <v>23</v>
      </c>
      <c r="F1677" s="24" t="n">
        <v>-0.0777726099</v>
      </c>
    </row>
    <row r="1678" customFormat="false" ht="15" hidden="false" customHeight="false" outlineLevel="0" collapsed="false">
      <c r="A1678" s="3" t="n">
        <v>1677</v>
      </c>
      <c r="B1678" s="3" t="n">
        <v>1676</v>
      </c>
      <c r="C1678" s="3" t="n">
        <v>2</v>
      </c>
      <c r="D1678" s="3" t="n">
        <v>3</v>
      </c>
      <c r="E1678" s="3" t="n">
        <v>24</v>
      </c>
      <c r="F1678" s="24" t="n">
        <v>-0.0777726099</v>
      </c>
    </row>
    <row r="1679" customFormat="false" ht="15" hidden="false" customHeight="false" outlineLevel="0" collapsed="false">
      <c r="A1679" s="3" t="n">
        <v>1678</v>
      </c>
      <c r="B1679" s="3" t="n">
        <v>1677</v>
      </c>
      <c r="C1679" s="3" t="n">
        <v>2</v>
      </c>
      <c r="D1679" s="3" t="n">
        <v>3</v>
      </c>
      <c r="E1679" s="3" t="n">
        <v>25</v>
      </c>
      <c r="F1679" s="24" t="n">
        <v>-0.0777726099</v>
      </c>
    </row>
    <row r="1680" customFormat="false" ht="15" hidden="false" customHeight="false" outlineLevel="0" collapsed="false">
      <c r="A1680" s="3" t="n">
        <v>1679</v>
      </c>
      <c r="B1680" s="3" t="n">
        <v>1678</v>
      </c>
      <c r="C1680" s="3" t="n">
        <v>2</v>
      </c>
      <c r="D1680" s="3" t="n">
        <v>3</v>
      </c>
      <c r="E1680" s="3" t="n">
        <v>26</v>
      </c>
      <c r="F1680" s="24" t="n">
        <v>-0.0777726099</v>
      </c>
    </row>
    <row r="1681" customFormat="false" ht="15" hidden="false" customHeight="false" outlineLevel="0" collapsed="false">
      <c r="A1681" s="3" t="n">
        <v>1680</v>
      </c>
      <c r="B1681" s="3" t="n">
        <v>1679</v>
      </c>
      <c r="C1681" s="3" t="n">
        <v>2</v>
      </c>
      <c r="D1681" s="3" t="n">
        <v>3</v>
      </c>
      <c r="E1681" s="3" t="n">
        <v>27</v>
      </c>
      <c r="F1681" s="24" t="n">
        <v>0.387737483</v>
      </c>
    </row>
    <row r="1682" customFormat="false" ht="15" hidden="false" customHeight="false" outlineLevel="0" collapsed="false">
      <c r="A1682" s="3" t="n">
        <v>1681</v>
      </c>
      <c r="B1682" s="3" t="n">
        <v>1680</v>
      </c>
      <c r="C1682" s="3" t="n">
        <v>2</v>
      </c>
      <c r="D1682" s="3" t="n">
        <v>4</v>
      </c>
      <c r="E1682" s="3" t="n">
        <v>0</v>
      </c>
      <c r="F1682" s="24" t="n">
        <v>-0.740650654</v>
      </c>
    </row>
    <row r="1683" customFormat="false" ht="15" hidden="false" customHeight="false" outlineLevel="0" collapsed="false">
      <c r="A1683" s="3" t="n">
        <v>1682</v>
      </c>
      <c r="B1683" s="3" t="n">
        <v>1681</v>
      </c>
      <c r="C1683" s="3" t="n">
        <v>2</v>
      </c>
      <c r="D1683" s="3" t="n">
        <v>4</v>
      </c>
      <c r="E1683" s="3" t="n">
        <v>1</v>
      </c>
      <c r="F1683" s="24" t="n">
        <v>-0.0777726099</v>
      </c>
    </row>
    <row r="1684" customFormat="false" ht="15" hidden="false" customHeight="false" outlineLevel="0" collapsed="false">
      <c r="A1684" s="3" t="n">
        <v>1683</v>
      </c>
      <c r="B1684" s="3" t="n">
        <v>1682</v>
      </c>
      <c r="C1684" s="3" t="n">
        <v>2</v>
      </c>
      <c r="D1684" s="3" t="n">
        <v>4</v>
      </c>
      <c r="E1684" s="3" t="n">
        <v>2</v>
      </c>
      <c r="F1684" s="24" t="n">
        <v>-0.0777726099</v>
      </c>
    </row>
    <row r="1685" customFormat="false" ht="15" hidden="false" customHeight="false" outlineLevel="0" collapsed="false">
      <c r="A1685" s="3" t="n">
        <v>1684</v>
      </c>
      <c r="B1685" s="3" t="n">
        <v>1683</v>
      </c>
      <c r="C1685" s="3" t="n">
        <v>2</v>
      </c>
      <c r="D1685" s="3" t="n">
        <v>4</v>
      </c>
      <c r="E1685" s="3" t="n">
        <v>3</v>
      </c>
      <c r="F1685" s="24" t="n">
        <v>-0.0777726099</v>
      </c>
    </row>
    <row r="1686" customFormat="false" ht="15" hidden="false" customHeight="false" outlineLevel="0" collapsed="false">
      <c r="A1686" s="3" t="n">
        <v>1685</v>
      </c>
      <c r="B1686" s="3" t="n">
        <v>1684</v>
      </c>
      <c r="C1686" s="3" t="n">
        <v>2</v>
      </c>
      <c r="D1686" s="3" t="n">
        <v>4</v>
      </c>
      <c r="E1686" s="3" t="n">
        <v>4</v>
      </c>
      <c r="F1686" s="24" t="n">
        <v>-0.0777726099</v>
      </c>
    </row>
    <row r="1687" customFormat="false" ht="15" hidden="false" customHeight="false" outlineLevel="0" collapsed="false">
      <c r="A1687" s="3" t="n">
        <v>1686</v>
      </c>
      <c r="B1687" s="3" t="n">
        <v>1685</v>
      </c>
      <c r="C1687" s="3" t="n">
        <v>2</v>
      </c>
      <c r="D1687" s="3" t="n">
        <v>4</v>
      </c>
      <c r="E1687" s="3" t="n">
        <v>5</v>
      </c>
      <c r="F1687" s="24" t="n">
        <v>-0.0777726099</v>
      </c>
    </row>
    <row r="1688" customFormat="false" ht="15" hidden="false" customHeight="false" outlineLevel="0" collapsed="false">
      <c r="A1688" s="3" t="n">
        <v>1687</v>
      </c>
      <c r="B1688" s="3" t="n">
        <v>1686</v>
      </c>
      <c r="C1688" s="3" t="n">
        <v>2</v>
      </c>
      <c r="D1688" s="3" t="n">
        <v>4</v>
      </c>
      <c r="E1688" s="3" t="n">
        <v>6</v>
      </c>
      <c r="F1688" s="24" t="n">
        <v>-0.0777726099</v>
      </c>
    </row>
    <row r="1689" customFormat="false" ht="15" hidden="false" customHeight="false" outlineLevel="0" collapsed="false">
      <c r="A1689" s="3" t="n">
        <v>1688</v>
      </c>
      <c r="B1689" s="3" t="n">
        <v>1687</v>
      </c>
      <c r="C1689" s="3" t="n">
        <v>2</v>
      </c>
      <c r="D1689" s="3" t="n">
        <v>4</v>
      </c>
      <c r="E1689" s="3" t="n">
        <v>7</v>
      </c>
      <c r="F1689" s="24" t="n">
        <v>-0.0777726099</v>
      </c>
    </row>
    <row r="1690" customFormat="false" ht="15" hidden="false" customHeight="false" outlineLevel="0" collapsed="false">
      <c r="A1690" s="3" t="n">
        <v>1689</v>
      </c>
      <c r="B1690" s="3" t="n">
        <v>1688</v>
      </c>
      <c r="C1690" s="3" t="n">
        <v>2</v>
      </c>
      <c r="D1690" s="3" t="n">
        <v>4</v>
      </c>
      <c r="E1690" s="3" t="n">
        <v>8</v>
      </c>
      <c r="F1690" s="24" t="n">
        <v>-0.0777726099</v>
      </c>
    </row>
    <row r="1691" customFormat="false" ht="15" hidden="false" customHeight="false" outlineLevel="0" collapsed="false">
      <c r="A1691" s="3" t="n">
        <v>1690</v>
      </c>
      <c r="B1691" s="3" t="n">
        <v>1689</v>
      </c>
      <c r="C1691" s="3" t="n">
        <v>2</v>
      </c>
      <c r="D1691" s="3" t="n">
        <v>4</v>
      </c>
      <c r="E1691" s="3" t="n">
        <v>9</v>
      </c>
      <c r="F1691" s="24" t="n">
        <v>-0.0777726099</v>
      </c>
    </row>
    <row r="1692" customFormat="false" ht="15" hidden="false" customHeight="false" outlineLevel="0" collapsed="false">
      <c r="A1692" s="3" t="n">
        <v>1691</v>
      </c>
      <c r="B1692" s="3" t="n">
        <v>1690</v>
      </c>
      <c r="C1692" s="3" t="n">
        <v>2</v>
      </c>
      <c r="D1692" s="3" t="n">
        <v>4</v>
      </c>
      <c r="E1692" s="3" t="n">
        <v>10</v>
      </c>
      <c r="F1692" s="24" t="n">
        <v>-0.0777726099</v>
      </c>
    </row>
    <row r="1693" customFormat="false" ht="15" hidden="false" customHeight="false" outlineLevel="0" collapsed="false">
      <c r="A1693" s="3" t="n">
        <v>1692</v>
      </c>
      <c r="B1693" s="3" t="n">
        <v>1691</v>
      </c>
      <c r="C1693" s="3" t="n">
        <v>2</v>
      </c>
      <c r="D1693" s="3" t="n">
        <v>4</v>
      </c>
      <c r="E1693" s="3" t="n">
        <v>11</v>
      </c>
      <c r="F1693" s="24" t="n">
        <v>-0.0777726099</v>
      </c>
    </row>
    <row r="1694" customFormat="false" ht="15" hidden="false" customHeight="false" outlineLevel="0" collapsed="false">
      <c r="A1694" s="3" t="n">
        <v>1693</v>
      </c>
      <c r="B1694" s="3" t="n">
        <v>1692</v>
      </c>
      <c r="C1694" s="3" t="n">
        <v>2</v>
      </c>
      <c r="D1694" s="3" t="n">
        <v>4</v>
      </c>
      <c r="E1694" s="3" t="n">
        <v>12</v>
      </c>
      <c r="F1694" s="24" t="n">
        <v>-0.0777726099</v>
      </c>
    </row>
    <row r="1695" customFormat="false" ht="15" hidden="false" customHeight="false" outlineLevel="0" collapsed="false">
      <c r="A1695" s="3" t="n">
        <v>1694</v>
      </c>
      <c r="B1695" s="3" t="n">
        <v>1693</v>
      </c>
      <c r="C1695" s="3" t="n">
        <v>2</v>
      </c>
      <c r="D1695" s="3" t="n">
        <v>4</v>
      </c>
      <c r="E1695" s="3" t="n">
        <v>13</v>
      </c>
      <c r="F1695" s="24" t="n">
        <v>-0.0777726099</v>
      </c>
    </row>
    <row r="1696" customFormat="false" ht="15" hidden="false" customHeight="false" outlineLevel="0" collapsed="false">
      <c r="A1696" s="3" t="n">
        <v>1695</v>
      </c>
      <c r="B1696" s="3" t="n">
        <v>1694</v>
      </c>
      <c r="C1696" s="3" t="n">
        <v>2</v>
      </c>
      <c r="D1696" s="3" t="n">
        <v>4</v>
      </c>
      <c r="E1696" s="3" t="n">
        <v>14</v>
      </c>
      <c r="F1696" s="24" t="n">
        <v>-0.0777726099</v>
      </c>
    </row>
    <row r="1697" customFormat="false" ht="15" hidden="false" customHeight="false" outlineLevel="0" collapsed="false">
      <c r="A1697" s="3" t="n">
        <v>1696</v>
      </c>
      <c r="B1697" s="3" t="n">
        <v>1695</v>
      </c>
      <c r="C1697" s="3" t="n">
        <v>2</v>
      </c>
      <c r="D1697" s="3" t="n">
        <v>4</v>
      </c>
      <c r="E1697" s="3" t="n">
        <v>15</v>
      </c>
      <c r="F1697" s="24" t="n">
        <v>-0.0777726099</v>
      </c>
    </row>
    <row r="1698" customFormat="false" ht="15" hidden="false" customHeight="false" outlineLevel="0" collapsed="false">
      <c r="A1698" s="3" t="n">
        <v>1697</v>
      </c>
      <c r="B1698" s="3" t="n">
        <v>1696</v>
      </c>
      <c r="C1698" s="3" t="n">
        <v>2</v>
      </c>
      <c r="D1698" s="3" t="n">
        <v>4</v>
      </c>
      <c r="E1698" s="3" t="n">
        <v>16</v>
      </c>
      <c r="F1698" s="24" t="n">
        <v>-0.0777726099</v>
      </c>
    </row>
    <row r="1699" customFormat="false" ht="15" hidden="false" customHeight="false" outlineLevel="0" collapsed="false">
      <c r="A1699" s="3" t="n">
        <v>1698</v>
      </c>
      <c r="B1699" s="3" t="n">
        <v>1697</v>
      </c>
      <c r="C1699" s="3" t="n">
        <v>2</v>
      </c>
      <c r="D1699" s="3" t="n">
        <v>4</v>
      </c>
      <c r="E1699" s="3" t="n">
        <v>17</v>
      </c>
      <c r="F1699" s="24" t="n">
        <v>-0.0777726099</v>
      </c>
    </row>
    <row r="1700" customFormat="false" ht="15" hidden="false" customHeight="false" outlineLevel="0" collapsed="false">
      <c r="A1700" s="3" t="n">
        <v>1699</v>
      </c>
      <c r="B1700" s="3" t="n">
        <v>1698</v>
      </c>
      <c r="C1700" s="3" t="n">
        <v>2</v>
      </c>
      <c r="D1700" s="3" t="n">
        <v>4</v>
      </c>
      <c r="E1700" s="3" t="n">
        <v>18</v>
      </c>
      <c r="F1700" s="24" t="n">
        <v>-0.0777726099</v>
      </c>
    </row>
    <row r="1701" customFormat="false" ht="15" hidden="false" customHeight="false" outlineLevel="0" collapsed="false">
      <c r="A1701" s="3" t="n">
        <v>1700</v>
      </c>
      <c r="B1701" s="3" t="n">
        <v>1699</v>
      </c>
      <c r="C1701" s="3" t="n">
        <v>2</v>
      </c>
      <c r="D1701" s="3" t="n">
        <v>4</v>
      </c>
      <c r="E1701" s="3" t="n">
        <v>19</v>
      </c>
      <c r="F1701" s="24" t="n">
        <v>-0.0777726099</v>
      </c>
    </row>
    <row r="1702" customFormat="false" ht="15" hidden="false" customHeight="false" outlineLevel="0" collapsed="false">
      <c r="A1702" s="3" t="n">
        <v>1701</v>
      </c>
      <c r="B1702" s="3" t="n">
        <v>1700</v>
      </c>
      <c r="C1702" s="3" t="n">
        <v>2</v>
      </c>
      <c r="D1702" s="3" t="n">
        <v>4</v>
      </c>
      <c r="E1702" s="3" t="n">
        <v>20</v>
      </c>
      <c r="F1702" s="24" t="n">
        <v>-0.0777726099</v>
      </c>
    </row>
    <row r="1703" customFormat="false" ht="15" hidden="false" customHeight="false" outlineLevel="0" collapsed="false">
      <c r="A1703" s="3" t="n">
        <v>1702</v>
      </c>
      <c r="B1703" s="3" t="n">
        <v>1701</v>
      </c>
      <c r="C1703" s="3" t="n">
        <v>2</v>
      </c>
      <c r="D1703" s="3" t="n">
        <v>4</v>
      </c>
      <c r="E1703" s="3" t="n">
        <v>21</v>
      </c>
      <c r="F1703" s="24" t="n">
        <v>-0.0777726099</v>
      </c>
    </row>
    <row r="1704" customFormat="false" ht="15" hidden="false" customHeight="false" outlineLevel="0" collapsed="false">
      <c r="A1704" s="3" t="n">
        <v>1703</v>
      </c>
      <c r="B1704" s="3" t="n">
        <v>1702</v>
      </c>
      <c r="C1704" s="3" t="n">
        <v>2</v>
      </c>
      <c r="D1704" s="3" t="n">
        <v>4</v>
      </c>
      <c r="E1704" s="3" t="n">
        <v>22</v>
      </c>
      <c r="F1704" s="24" t="n">
        <v>-0.0777726099</v>
      </c>
    </row>
    <row r="1705" customFormat="false" ht="15" hidden="false" customHeight="false" outlineLevel="0" collapsed="false">
      <c r="A1705" s="3" t="n">
        <v>1704</v>
      </c>
      <c r="B1705" s="3" t="n">
        <v>1703</v>
      </c>
      <c r="C1705" s="3" t="n">
        <v>2</v>
      </c>
      <c r="D1705" s="3" t="n">
        <v>4</v>
      </c>
      <c r="E1705" s="3" t="n">
        <v>23</v>
      </c>
      <c r="F1705" s="24" t="n">
        <v>-0.0777726099</v>
      </c>
    </row>
    <row r="1706" customFormat="false" ht="15" hidden="false" customHeight="false" outlineLevel="0" collapsed="false">
      <c r="A1706" s="3" t="n">
        <v>1705</v>
      </c>
      <c r="B1706" s="3" t="n">
        <v>1704</v>
      </c>
      <c r="C1706" s="3" t="n">
        <v>2</v>
      </c>
      <c r="D1706" s="3" t="n">
        <v>4</v>
      </c>
      <c r="E1706" s="3" t="n">
        <v>24</v>
      </c>
      <c r="F1706" s="24" t="n">
        <v>-0.0777726099</v>
      </c>
    </row>
    <row r="1707" customFormat="false" ht="15" hidden="false" customHeight="false" outlineLevel="0" collapsed="false">
      <c r="A1707" s="3" t="n">
        <v>1706</v>
      </c>
      <c r="B1707" s="3" t="n">
        <v>1705</v>
      </c>
      <c r="C1707" s="3" t="n">
        <v>2</v>
      </c>
      <c r="D1707" s="3" t="n">
        <v>4</v>
      </c>
      <c r="E1707" s="3" t="n">
        <v>25</v>
      </c>
      <c r="F1707" s="24" t="n">
        <v>-0.0777726099</v>
      </c>
    </row>
    <row r="1708" customFormat="false" ht="15" hidden="false" customHeight="false" outlineLevel="0" collapsed="false">
      <c r="A1708" s="3" t="n">
        <v>1707</v>
      </c>
      <c r="B1708" s="3" t="n">
        <v>1706</v>
      </c>
      <c r="C1708" s="3" t="n">
        <v>2</v>
      </c>
      <c r="D1708" s="3" t="n">
        <v>4</v>
      </c>
      <c r="E1708" s="3" t="n">
        <v>26</v>
      </c>
      <c r="F1708" s="24" t="n">
        <v>-0.0777726099</v>
      </c>
    </row>
    <row r="1709" customFormat="false" ht="15" hidden="false" customHeight="false" outlineLevel="0" collapsed="false">
      <c r="A1709" s="3" t="n">
        <v>1708</v>
      </c>
      <c r="B1709" s="3" t="n">
        <v>1707</v>
      </c>
      <c r="C1709" s="3" t="n">
        <v>2</v>
      </c>
      <c r="D1709" s="3" t="n">
        <v>4</v>
      </c>
      <c r="E1709" s="3" t="n">
        <v>27</v>
      </c>
      <c r="F1709" s="24" t="n">
        <v>0.387737483</v>
      </c>
    </row>
    <row r="1710" customFormat="false" ht="15" hidden="false" customHeight="false" outlineLevel="0" collapsed="false">
      <c r="A1710" s="3" t="n">
        <v>1709</v>
      </c>
      <c r="B1710" s="3" t="n">
        <v>1708</v>
      </c>
      <c r="C1710" s="3" t="n">
        <v>2</v>
      </c>
      <c r="D1710" s="3" t="n">
        <v>5</v>
      </c>
      <c r="E1710" s="3" t="n">
        <v>0</v>
      </c>
      <c r="F1710" s="24" t="n">
        <v>-0.740650654</v>
      </c>
    </row>
    <row r="1711" customFormat="false" ht="15" hidden="false" customHeight="false" outlineLevel="0" collapsed="false">
      <c r="A1711" s="3" t="n">
        <v>1710</v>
      </c>
      <c r="B1711" s="3" t="n">
        <v>1709</v>
      </c>
      <c r="C1711" s="3" t="n">
        <v>2</v>
      </c>
      <c r="D1711" s="3" t="n">
        <v>5</v>
      </c>
      <c r="E1711" s="3" t="n">
        <v>1</v>
      </c>
      <c r="F1711" s="24" t="n">
        <v>-0.0777726099</v>
      </c>
    </row>
    <row r="1712" customFormat="false" ht="15" hidden="false" customHeight="false" outlineLevel="0" collapsed="false">
      <c r="A1712" s="3" t="n">
        <v>1711</v>
      </c>
      <c r="B1712" s="3" t="n">
        <v>1710</v>
      </c>
      <c r="C1712" s="3" t="n">
        <v>2</v>
      </c>
      <c r="D1712" s="3" t="n">
        <v>5</v>
      </c>
      <c r="E1712" s="3" t="n">
        <v>2</v>
      </c>
      <c r="F1712" s="24" t="n">
        <v>-0.0777726099</v>
      </c>
    </row>
    <row r="1713" customFormat="false" ht="15" hidden="false" customHeight="false" outlineLevel="0" collapsed="false">
      <c r="A1713" s="3" t="n">
        <v>1712</v>
      </c>
      <c r="B1713" s="3" t="n">
        <v>1711</v>
      </c>
      <c r="C1713" s="3" t="n">
        <v>2</v>
      </c>
      <c r="D1713" s="3" t="n">
        <v>5</v>
      </c>
      <c r="E1713" s="3" t="n">
        <v>3</v>
      </c>
      <c r="F1713" s="24" t="n">
        <v>-0.0777726099</v>
      </c>
    </row>
    <row r="1714" customFormat="false" ht="15" hidden="false" customHeight="false" outlineLevel="0" collapsed="false">
      <c r="A1714" s="3" t="n">
        <v>1713</v>
      </c>
      <c r="B1714" s="3" t="n">
        <v>1712</v>
      </c>
      <c r="C1714" s="3" t="n">
        <v>2</v>
      </c>
      <c r="D1714" s="3" t="n">
        <v>5</v>
      </c>
      <c r="E1714" s="3" t="n">
        <v>4</v>
      </c>
      <c r="F1714" s="24" t="n">
        <v>-0.0777726099</v>
      </c>
    </row>
    <row r="1715" customFormat="false" ht="15" hidden="false" customHeight="false" outlineLevel="0" collapsed="false">
      <c r="A1715" s="3" t="n">
        <v>1714</v>
      </c>
      <c r="B1715" s="3" t="n">
        <v>1713</v>
      </c>
      <c r="C1715" s="3" t="n">
        <v>2</v>
      </c>
      <c r="D1715" s="3" t="n">
        <v>5</v>
      </c>
      <c r="E1715" s="3" t="n">
        <v>5</v>
      </c>
      <c r="F1715" s="24" t="n">
        <v>-0.0777726099</v>
      </c>
    </row>
    <row r="1716" customFormat="false" ht="15" hidden="false" customHeight="false" outlineLevel="0" collapsed="false">
      <c r="A1716" s="3" t="n">
        <v>1715</v>
      </c>
      <c r="B1716" s="3" t="n">
        <v>1714</v>
      </c>
      <c r="C1716" s="3" t="n">
        <v>2</v>
      </c>
      <c r="D1716" s="3" t="n">
        <v>5</v>
      </c>
      <c r="E1716" s="3" t="n">
        <v>6</v>
      </c>
      <c r="F1716" s="24" t="n">
        <v>-0.0777726099</v>
      </c>
    </row>
    <row r="1717" customFormat="false" ht="15" hidden="false" customHeight="false" outlineLevel="0" collapsed="false">
      <c r="A1717" s="3" t="n">
        <v>1716</v>
      </c>
      <c r="B1717" s="3" t="n">
        <v>1715</v>
      </c>
      <c r="C1717" s="3" t="n">
        <v>2</v>
      </c>
      <c r="D1717" s="3" t="n">
        <v>5</v>
      </c>
      <c r="E1717" s="3" t="n">
        <v>7</v>
      </c>
      <c r="F1717" s="24" t="n">
        <v>-0.0777726099</v>
      </c>
    </row>
    <row r="1718" customFormat="false" ht="15" hidden="false" customHeight="false" outlineLevel="0" collapsed="false">
      <c r="A1718" s="3" t="n">
        <v>1717</v>
      </c>
      <c r="B1718" s="3" t="n">
        <v>1716</v>
      </c>
      <c r="C1718" s="3" t="n">
        <v>2</v>
      </c>
      <c r="D1718" s="3" t="n">
        <v>5</v>
      </c>
      <c r="E1718" s="3" t="n">
        <v>8</v>
      </c>
      <c r="F1718" s="24" t="n">
        <v>-0.0777726099</v>
      </c>
    </row>
    <row r="1719" customFormat="false" ht="15" hidden="false" customHeight="false" outlineLevel="0" collapsed="false">
      <c r="A1719" s="3" t="n">
        <v>1718</v>
      </c>
      <c r="B1719" s="3" t="n">
        <v>1717</v>
      </c>
      <c r="C1719" s="3" t="n">
        <v>2</v>
      </c>
      <c r="D1719" s="3" t="n">
        <v>5</v>
      </c>
      <c r="E1719" s="3" t="n">
        <v>9</v>
      </c>
      <c r="F1719" s="24" t="n">
        <v>-0.0777726099</v>
      </c>
    </row>
    <row r="1720" customFormat="false" ht="15" hidden="false" customHeight="false" outlineLevel="0" collapsed="false">
      <c r="A1720" s="3" t="n">
        <v>1719</v>
      </c>
      <c r="B1720" s="3" t="n">
        <v>1718</v>
      </c>
      <c r="C1720" s="3" t="n">
        <v>2</v>
      </c>
      <c r="D1720" s="3" t="n">
        <v>5</v>
      </c>
      <c r="E1720" s="3" t="n">
        <v>10</v>
      </c>
      <c r="F1720" s="24" t="n">
        <v>-0.0777726099</v>
      </c>
    </row>
    <row r="1721" customFormat="false" ht="15" hidden="false" customHeight="false" outlineLevel="0" collapsed="false">
      <c r="A1721" s="3" t="n">
        <v>1720</v>
      </c>
      <c r="B1721" s="3" t="n">
        <v>1719</v>
      </c>
      <c r="C1721" s="3" t="n">
        <v>2</v>
      </c>
      <c r="D1721" s="3" t="n">
        <v>5</v>
      </c>
      <c r="E1721" s="3" t="n">
        <v>11</v>
      </c>
      <c r="F1721" s="24" t="n">
        <v>-0.0777726099</v>
      </c>
    </row>
    <row r="1722" customFormat="false" ht="15" hidden="false" customHeight="false" outlineLevel="0" collapsed="false">
      <c r="A1722" s="3" t="n">
        <v>1721</v>
      </c>
      <c r="B1722" s="3" t="n">
        <v>1720</v>
      </c>
      <c r="C1722" s="3" t="n">
        <v>2</v>
      </c>
      <c r="D1722" s="3" t="n">
        <v>5</v>
      </c>
      <c r="E1722" s="3" t="n">
        <v>12</v>
      </c>
      <c r="F1722" s="24" t="n">
        <v>-0.0777726099</v>
      </c>
    </row>
    <row r="1723" customFormat="false" ht="15" hidden="false" customHeight="false" outlineLevel="0" collapsed="false">
      <c r="A1723" s="3" t="n">
        <v>1722</v>
      </c>
      <c r="B1723" s="3" t="n">
        <v>1721</v>
      </c>
      <c r="C1723" s="3" t="n">
        <v>2</v>
      </c>
      <c r="D1723" s="3" t="n">
        <v>5</v>
      </c>
      <c r="E1723" s="3" t="n">
        <v>13</v>
      </c>
      <c r="F1723" s="24" t="n">
        <v>-0.0777726099</v>
      </c>
    </row>
    <row r="1724" customFormat="false" ht="15" hidden="false" customHeight="false" outlineLevel="0" collapsed="false">
      <c r="A1724" s="3" t="n">
        <v>1723</v>
      </c>
      <c r="B1724" s="3" t="n">
        <v>1722</v>
      </c>
      <c r="C1724" s="3" t="n">
        <v>2</v>
      </c>
      <c r="D1724" s="3" t="n">
        <v>5</v>
      </c>
      <c r="E1724" s="3" t="n">
        <v>14</v>
      </c>
      <c r="F1724" s="24" t="n">
        <v>-0.0777726099</v>
      </c>
    </row>
    <row r="1725" customFormat="false" ht="15" hidden="false" customHeight="false" outlineLevel="0" collapsed="false">
      <c r="A1725" s="3" t="n">
        <v>1724</v>
      </c>
      <c r="B1725" s="3" t="n">
        <v>1723</v>
      </c>
      <c r="C1725" s="3" t="n">
        <v>2</v>
      </c>
      <c r="D1725" s="3" t="n">
        <v>5</v>
      </c>
      <c r="E1725" s="3" t="n">
        <v>15</v>
      </c>
      <c r="F1725" s="24" t="n">
        <v>-0.0777726099</v>
      </c>
    </row>
    <row r="1726" customFormat="false" ht="15" hidden="false" customHeight="false" outlineLevel="0" collapsed="false">
      <c r="A1726" s="3" t="n">
        <v>1725</v>
      </c>
      <c r="B1726" s="3" t="n">
        <v>1724</v>
      </c>
      <c r="C1726" s="3" t="n">
        <v>2</v>
      </c>
      <c r="D1726" s="3" t="n">
        <v>5</v>
      </c>
      <c r="E1726" s="3" t="n">
        <v>16</v>
      </c>
      <c r="F1726" s="24" t="n">
        <v>-0.0777726099</v>
      </c>
    </row>
    <row r="1727" customFormat="false" ht="15" hidden="false" customHeight="false" outlineLevel="0" collapsed="false">
      <c r="A1727" s="3" t="n">
        <v>1726</v>
      </c>
      <c r="B1727" s="3" t="n">
        <v>1725</v>
      </c>
      <c r="C1727" s="3" t="n">
        <v>2</v>
      </c>
      <c r="D1727" s="3" t="n">
        <v>5</v>
      </c>
      <c r="E1727" s="3" t="n">
        <v>17</v>
      </c>
      <c r="F1727" s="24" t="n">
        <v>-0.0777726099</v>
      </c>
    </row>
    <row r="1728" customFormat="false" ht="15" hidden="false" customHeight="false" outlineLevel="0" collapsed="false">
      <c r="A1728" s="3" t="n">
        <v>1727</v>
      </c>
      <c r="B1728" s="3" t="n">
        <v>1726</v>
      </c>
      <c r="C1728" s="3" t="n">
        <v>2</v>
      </c>
      <c r="D1728" s="3" t="n">
        <v>5</v>
      </c>
      <c r="E1728" s="3" t="n">
        <v>18</v>
      </c>
      <c r="F1728" s="24" t="n">
        <v>-0.0777726099</v>
      </c>
    </row>
    <row r="1729" customFormat="false" ht="15" hidden="false" customHeight="false" outlineLevel="0" collapsed="false">
      <c r="A1729" s="3" t="n">
        <v>1728</v>
      </c>
      <c r="B1729" s="3" t="n">
        <v>1727</v>
      </c>
      <c r="C1729" s="3" t="n">
        <v>2</v>
      </c>
      <c r="D1729" s="3" t="n">
        <v>5</v>
      </c>
      <c r="E1729" s="3" t="n">
        <v>19</v>
      </c>
      <c r="F1729" s="24" t="n">
        <v>-0.0777726099</v>
      </c>
    </row>
    <row r="1730" customFormat="false" ht="15" hidden="false" customHeight="false" outlineLevel="0" collapsed="false">
      <c r="A1730" s="3" t="n">
        <v>1729</v>
      </c>
      <c r="B1730" s="3" t="n">
        <v>1728</v>
      </c>
      <c r="C1730" s="3" t="n">
        <v>2</v>
      </c>
      <c r="D1730" s="3" t="n">
        <v>5</v>
      </c>
      <c r="E1730" s="3" t="n">
        <v>20</v>
      </c>
      <c r="F1730" s="24" t="n">
        <v>-0.0777726099</v>
      </c>
    </row>
    <row r="1731" customFormat="false" ht="15" hidden="false" customHeight="false" outlineLevel="0" collapsed="false">
      <c r="A1731" s="3" t="n">
        <v>1730</v>
      </c>
      <c r="B1731" s="3" t="n">
        <v>1729</v>
      </c>
      <c r="C1731" s="3" t="n">
        <v>2</v>
      </c>
      <c r="D1731" s="3" t="n">
        <v>5</v>
      </c>
      <c r="E1731" s="3" t="n">
        <v>21</v>
      </c>
      <c r="F1731" s="24" t="n">
        <v>-0.0777726099</v>
      </c>
    </row>
    <row r="1732" customFormat="false" ht="15" hidden="false" customHeight="false" outlineLevel="0" collapsed="false">
      <c r="A1732" s="3" t="n">
        <v>1731</v>
      </c>
      <c r="B1732" s="3" t="n">
        <v>1730</v>
      </c>
      <c r="C1732" s="3" t="n">
        <v>2</v>
      </c>
      <c r="D1732" s="3" t="n">
        <v>5</v>
      </c>
      <c r="E1732" s="3" t="n">
        <v>22</v>
      </c>
      <c r="F1732" s="24" t="n">
        <v>-0.0777726099</v>
      </c>
    </row>
    <row r="1733" customFormat="false" ht="15" hidden="false" customHeight="false" outlineLevel="0" collapsed="false">
      <c r="A1733" s="3" t="n">
        <v>1732</v>
      </c>
      <c r="B1733" s="3" t="n">
        <v>1731</v>
      </c>
      <c r="C1733" s="3" t="n">
        <v>2</v>
      </c>
      <c r="D1733" s="3" t="n">
        <v>5</v>
      </c>
      <c r="E1733" s="3" t="n">
        <v>23</v>
      </c>
      <c r="F1733" s="24" t="n">
        <v>-0.0777726099</v>
      </c>
    </row>
    <row r="1734" customFormat="false" ht="15" hidden="false" customHeight="false" outlineLevel="0" collapsed="false">
      <c r="A1734" s="3" t="n">
        <v>1733</v>
      </c>
      <c r="B1734" s="3" t="n">
        <v>1732</v>
      </c>
      <c r="C1734" s="3" t="n">
        <v>2</v>
      </c>
      <c r="D1734" s="3" t="n">
        <v>5</v>
      </c>
      <c r="E1734" s="3" t="n">
        <v>24</v>
      </c>
      <c r="F1734" s="24" t="n">
        <v>-0.0777726099</v>
      </c>
    </row>
    <row r="1735" customFormat="false" ht="15" hidden="false" customHeight="false" outlineLevel="0" collapsed="false">
      <c r="A1735" s="3" t="n">
        <v>1734</v>
      </c>
      <c r="B1735" s="3" t="n">
        <v>1733</v>
      </c>
      <c r="C1735" s="3" t="n">
        <v>2</v>
      </c>
      <c r="D1735" s="3" t="n">
        <v>5</v>
      </c>
      <c r="E1735" s="3" t="n">
        <v>25</v>
      </c>
      <c r="F1735" s="24" t="n">
        <v>-0.0777726099</v>
      </c>
    </row>
    <row r="1736" customFormat="false" ht="15" hidden="false" customHeight="false" outlineLevel="0" collapsed="false">
      <c r="A1736" s="3" t="n">
        <v>1735</v>
      </c>
      <c r="B1736" s="3" t="n">
        <v>1734</v>
      </c>
      <c r="C1736" s="3" t="n">
        <v>2</v>
      </c>
      <c r="D1736" s="3" t="n">
        <v>5</v>
      </c>
      <c r="E1736" s="3" t="n">
        <v>26</v>
      </c>
      <c r="F1736" s="24" t="n">
        <v>-0.0777726099</v>
      </c>
    </row>
    <row r="1737" customFormat="false" ht="15" hidden="false" customHeight="false" outlineLevel="0" collapsed="false">
      <c r="A1737" s="3" t="n">
        <v>1736</v>
      </c>
      <c r="B1737" s="3" t="n">
        <v>1735</v>
      </c>
      <c r="C1737" s="3" t="n">
        <v>2</v>
      </c>
      <c r="D1737" s="3" t="n">
        <v>5</v>
      </c>
      <c r="E1737" s="3" t="n">
        <v>27</v>
      </c>
      <c r="F1737" s="24" t="n">
        <v>0.387737483</v>
      </c>
    </row>
    <row r="1738" customFormat="false" ht="15" hidden="false" customHeight="false" outlineLevel="0" collapsed="false">
      <c r="A1738" s="3" t="n">
        <v>1737</v>
      </c>
      <c r="B1738" s="3" t="n">
        <v>1736</v>
      </c>
      <c r="C1738" s="3" t="n">
        <v>2</v>
      </c>
      <c r="D1738" s="3" t="n">
        <v>6</v>
      </c>
      <c r="E1738" s="3" t="n">
        <v>0</v>
      </c>
      <c r="F1738" s="24" t="n">
        <v>-0.740650654</v>
      </c>
    </row>
    <row r="1739" customFormat="false" ht="15" hidden="false" customHeight="false" outlineLevel="0" collapsed="false">
      <c r="A1739" s="3" t="n">
        <v>1738</v>
      </c>
      <c r="B1739" s="3" t="n">
        <v>1737</v>
      </c>
      <c r="C1739" s="3" t="n">
        <v>2</v>
      </c>
      <c r="D1739" s="3" t="n">
        <v>6</v>
      </c>
      <c r="E1739" s="3" t="n">
        <v>1</v>
      </c>
      <c r="F1739" s="24" t="n">
        <v>-0.0777726099</v>
      </c>
    </row>
    <row r="1740" customFormat="false" ht="15" hidden="false" customHeight="false" outlineLevel="0" collapsed="false">
      <c r="A1740" s="3" t="n">
        <v>1739</v>
      </c>
      <c r="B1740" s="3" t="n">
        <v>1738</v>
      </c>
      <c r="C1740" s="3" t="n">
        <v>2</v>
      </c>
      <c r="D1740" s="3" t="n">
        <v>6</v>
      </c>
      <c r="E1740" s="3" t="n">
        <v>2</v>
      </c>
      <c r="F1740" s="24" t="n">
        <v>-0.0777726099</v>
      </c>
    </row>
    <row r="1741" customFormat="false" ht="15" hidden="false" customHeight="false" outlineLevel="0" collapsed="false">
      <c r="A1741" s="3" t="n">
        <v>1740</v>
      </c>
      <c r="B1741" s="3" t="n">
        <v>1739</v>
      </c>
      <c r="C1741" s="3" t="n">
        <v>2</v>
      </c>
      <c r="D1741" s="3" t="n">
        <v>6</v>
      </c>
      <c r="E1741" s="3" t="n">
        <v>3</v>
      </c>
      <c r="F1741" s="24" t="n">
        <v>-0.0777726099</v>
      </c>
    </row>
    <row r="1742" customFormat="false" ht="15" hidden="false" customHeight="false" outlineLevel="0" collapsed="false">
      <c r="A1742" s="3" t="n">
        <v>1741</v>
      </c>
      <c r="B1742" s="3" t="n">
        <v>1740</v>
      </c>
      <c r="C1742" s="3" t="n">
        <v>2</v>
      </c>
      <c r="D1742" s="3" t="n">
        <v>6</v>
      </c>
      <c r="E1742" s="3" t="n">
        <v>4</v>
      </c>
      <c r="F1742" s="24" t="n">
        <v>-0.0777726099</v>
      </c>
    </row>
    <row r="1743" customFormat="false" ht="15" hidden="false" customHeight="false" outlineLevel="0" collapsed="false">
      <c r="A1743" s="3" t="n">
        <v>1742</v>
      </c>
      <c r="B1743" s="3" t="n">
        <v>1741</v>
      </c>
      <c r="C1743" s="3" t="n">
        <v>2</v>
      </c>
      <c r="D1743" s="3" t="n">
        <v>6</v>
      </c>
      <c r="E1743" s="3" t="n">
        <v>5</v>
      </c>
      <c r="F1743" s="24" t="n">
        <v>0.27084583</v>
      </c>
    </row>
    <row r="1744" customFormat="false" ht="15" hidden="false" customHeight="false" outlineLevel="0" collapsed="false">
      <c r="A1744" s="3" t="n">
        <v>1743</v>
      </c>
      <c r="B1744" s="3" t="n">
        <v>1742</v>
      </c>
      <c r="C1744" s="3" t="n">
        <v>2</v>
      </c>
      <c r="D1744" s="3" t="n">
        <v>6</v>
      </c>
      <c r="E1744" s="3" t="n">
        <v>6</v>
      </c>
      <c r="F1744" s="24" t="n">
        <v>0.976603389</v>
      </c>
    </row>
    <row r="1745" customFormat="false" ht="15" hidden="false" customHeight="false" outlineLevel="0" collapsed="false">
      <c r="A1745" s="3" t="n">
        <v>1744</v>
      </c>
      <c r="B1745" s="3" t="n">
        <v>1743</v>
      </c>
      <c r="C1745" s="3" t="n">
        <v>2</v>
      </c>
      <c r="D1745" s="3" t="n">
        <v>6</v>
      </c>
      <c r="E1745" s="3" t="n">
        <v>7</v>
      </c>
      <c r="F1745" s="24" t="n">
        <v>0.68377614</v>
      </c>
    </row>
    <row r="1746" customFormat="false" ht="15" hidden="false" customHeight="false" outlineLevel="0" collapsed="false">
      <c r="A1746" s="3" t="n">
        <v>1745</v>
      </c>
      <c r="B1746" s="3" t="n">
        <v>1744</v>
      </c>
      <c r="C1746" s="3" t="n">
        <v>2</v>
      </c>
      <c r="D1746" s="3" t="n">
        <v>6</v>
      </c>
      <c r="E1746" s="3" t="n">
        <v>8</v>
      </c>
      <c r="F1746" s="24" t="n">
        <v>-0.074799262</v>
      </c>
    </row>
    <row r="1747" customFormat="false" ht="15" hidden="false" customHeight="false" outlineLevel="0" collapsed="false">
      <c r="A1747" s="3" t="n">
        <v>1746</v>
      </c>
      <c r="B1747" s="3" t="n">
        <v>1745</v>
      </c>
      <c r="C1747" s="3" t="n">
        <v>2</v>
      </c>
      <c r="D1747" s="3" t="n">
        <v>6</v>
      </c>
      <c r="E1747" s="3" t="n">
        <v>9</v>
      </c>
      <c r="F1747" s="24" t="n">
        <v>-0.315868258</v>
      </c>
    </row>
    <row r="1748" customFormat="false" ht="15" hidden="false" customHeight="false" outlineLevel="0" collapsed="false">
      <c r="A1748" s="3" t="n">
        <v>1747</v>
      </c>
      <c r="B1748" s="3" t="n">
        <v>1746</v>
      </c>
      <c r="C1748" s="3" t="n">
        <v>2</v>
      </c>
      <c r="D1748" s="3" t="n">
        <v>6</v>
      </c>
      <c r="E1748" s="3" t="n">
        <v>10</v>
      </c>
      <c r="F1748" s="24" t="n">
        <v>-0.675511956</v>
      </c>
    </row>
    <row r="1749" customFormat="false" ht="15" hidden="false" customHeight="false" outlineLevel="0" collapsed="false">
      <c r="A1749" s="3" t="n">
        <v>1748</v>
      </c>
      <c r="B1749" s="3" t="n">
        <v>1747</v>
      </c>
      <c r="C1749" s="3" t="n">
        <v>2</v>
      </c>
      <c r="D1749" s="3" t="n">
        <v>6</v>
      </c>
      <c r="E1749" s="3" t="n">
        <v>11</v>
      </c>
      <c r="F1749" s="24" t="n">
        <v>-0.333169222</v>
      </c>
    </row>
    <row r="1750" customFormat="false" ht="15" hidden="false" customHeight="false" outlineLevel="0" collapsed="false">
      <c r="A1750" s="3" t="n">
        <v>1749</v>
      </c>
      <c r="B1750" s="3" t="n">
        <v>1748</v>
      </c>
      <c r="C1750" s="3" t="n">
        <v>2</v>
      </c>
      <c r="D1750" s="3" t="n">
        <v>6</v>
      </c>
      <c r="E1750" s="3" t="n">
        <v>12</v>
      </c>
      <c r="F1750" s="24" t="n">
        <v>-0.30470401</v>
      </c>
    </row>
    <row r="1751" customFormat="false" ht="15" hidden="false" customHeight="false" outlineLevel="0" collapsed="false">
      <c r="A1751" s="3" t="n">
        <v>1750</v>
      </c>
      <c r="B1751" s="3" t="n">
        <v>1749</v>
      </c>
      <c r="C1751" s="3" t="n">
        <v>2</v>
      </c>
      <c r="D1751" s="3" t="n">
        <v>6</v>
      </c>
      <c r="E1751" s="3" t="n">
        <v>13</v>
      </c>
      <c r="F1751" s="24" t="n">
        <v>-0.0777726099</v>
      </c>
    </row>
    <row r="1752" customFormat="false" ht="15" hidden="false" customHeight="false" outlineLevel="0" collapsed="false">
      <c r="A1752" s="3" t="n">
        <v>1751</v>
      </c>
      <c r="B1752" s="3" t="n">
        <v>1750</v>
      </c>
      <c r="C1752" s="3" t="n">
        <v>2</v>
      </c>
      <c r="D1752" s="3" t="n">
        <v>6</v>
      </c>
      <c r="E1752" s="3" t="n">
        <v>14</v>
      </c>
      <c r="F1752" s="24" t="n">
        <v>-0.0777726099</v>
      </c>
    </row>
    <row r="1753" customFormat="false" ht="15" hidden="false" customHeight="false" outlineLevel="0" collapsed="false">
      <c r="A1753" s="3" t="n">
        <v>1752</v>
      </c>
      <c r="B1753" s="3" t="n">
        <v>1751</v>
      </c>
      <c r="C1753" s="3" t="n">
        <v>2</v>
      </c>
      <c r="D1753" s="3" t="n">
        <v>6</v>
      </c>
      <c r="E1753" s="3" t="n">
        <v>15</v>
      </c>
      <c r="F1753" s="24" t="n">
        <v>-0.0777726099</v>
      </c>
    </row>
    <row r="1754" customFormat="false" ht="15" hidden="false" customHeight="false" outlineLevel="0" collapsed="false">
      <c r="A1754" s="3" t="n">
        <v>1753</v>
      </c>
      <c r="B1754" s="3" t="n">
        <v>1752</v>
      </c>
      <c r="C1754" s="3" t="n">
        <v>2</v>
      </c>
      <c r="D1754" s="3" t="n">
        <v>6</v>
      </c>
      <c r="E1754" s="3" t="n">
        <v>16</v>
      </c>
      <c r="F1754" s="24" t="n">
        <v>-0.0777726099</v>
      </c>
    </row>
    <row r="1755" customFormat="false" ht="15" hidden="false" customHeight="false" outlineLevel="0" collapsed="false">
      <c r="A1755" s="3" t="n">
        <v>1754</v>
      </c>
      <c r="B1755" s="3" t="n">
        <v>1753</v>
      </c>
      <c r="C1755" s="3" t="n">
        <v>2</v>
      </c>
      <c r="D1755" s="3" t="n">
        <v>6</v>
      </c>
      <c r="E1755" s="3" t="n">
        <v>17</v>
      </c>
      <c r="F1755" s="24" t="n">
        <v>-0.0777726099</v>
      </c>
    </row>
    <row r="1756" customFormat="false" ht="15" hidden="false" customHeight="false" outlineLevel="0" collapsed="false">
      <c r="A1756" s="3" t="n">
        <v>1755</v>
      </c>
      <c r="B1756" s="3" t="n">
        <v>1754</v>
      </c>
      <c r="C1756" s="3" t="n">
        <v>2</v>
      </c>
      <c r="D1756" s="3" t="n">
        <v>6</v>
      </c>
      <c r="E1756" s="3" t="n">
        <v>18</v>
      </c>
      <c r="F1756" s="24" t="n">
        <v>-0.0777726099</v>
      </c>
    </row>
    <row r="1757" customFormat="false" ht="15" hidden="false" customHeight="false" outlineLevel="0" collapsed="false">
      <c r="A1757" s="3" t="n">
        <v>1756</v>
      </c>
      <c r="B1757" s="3" t="n">
        <v>1755</v>
      </c>
      <c r="C1757" s="3" t="n">
        <v>2</v>
      </c>
      <c r="D1757" s="3" t="n">
        <v>6</v>
      </c>
      <c r="E1757" s="3" t="n">
        <v>19</v>
      </c>
      <c r="F1757" s="24" t="n">
        <v>-0.0777726099</v>
      </c>
    </row>
    <row r="1758" customFormat="false" ht="15" hidden="false" customHeight="false" outlineLevel="0" collapsed="false">
      <c r="A1758" s="3" t="n">
        <v>1757</v>
      </c>
      <c r="B1758" s="3" t="n">
        <v>1756</v>
      </c>
      <c r="C1758" s="3" t="n">
        <v>2</v>
      </c>
      <c r="D1758" s="3" t="n">
        <v>6</v>
      </c>
      <c r="E1758" s="3" t="n">
        <v>20</v>
      </c>
      <c r="F1758" s="24" t="n">
        <v>-0.0777726099</v>
      </c>
    </row>
    <row r="1759" customFormat="false" ht="15" hidden="false" customHeight="false" outlineLevel="0" collapsed="false">
      <c r="A1759" s="3" t="n">
        <v>1758</v>
      </c>
      <c r="B1759" s="3" t="n">
        <v>1757</v>
      </c>
      <c r="C1759" s="3" t="n">
        <v>2</v>
      </c>
      <c r="D1759" s="3" t="n">
        <v>6</v>
      </c>
      <c r="E1759" s="3" t="n">
        <v>21</v>
      </c>
      <c r="F1759" s="24" t="n">
        <v>-0.0777726099</v>
      </c>
    </row>
    <row r="1760" customFormat="false" ht="15" hidden="false" customHeight="false" outlineLevel="0" collapsed="false">
      <c r="A1760" s="3" t="n">
        <v>1759</v>
      </c>
      <c r="B1760" s="3" t="n">
        <v>1758</v>
      </c>
      <c r="C1760" s="3" t="n">
        <v>2</v>
      </c>
      <c r="D1760" s="3" t="n">
        <v>6</v>
      </c>
      <c r="E1760" s="3" t="n">
        <v>22</v>
      </c>
      <c r="F1760" s="24" t="n">
        <v>-0.0777726099</v>
      </c>
    </row>
    <row r="1761" customFormat="false" ht="15" hidden="false" customHeight="false" outlineLevel="0" collapsed="false">
      <c r="A1761" s="3" t="n">
        <v>1760</v>
      </c>
      <c r="B1761" s="3" t="n">
        <v>1759</v>
      </c>
      <c r="C1761" s="3" t="n">
        <v>2</v>
      </c>
      <c r="D1761" s="3" t="n">
        <v>6</v>
      </c>
      <c r="E1761" s="3" t="n">
        <v>23</v>
      </c>
      <c r="F1761" s="24" t="n">
        <v>-0.0777726099</v>
      </c>
    </row>
    <row r="1762" customFormat="false" ht="15" hidden="false" customHeight="false" outlineLevel="0" collapsed="false">
      <c r="A1762" s="3" t="n">
        <v>1761</v>
      </c>
      <c r="B1762" s="3" t="n">
        <v>1760</v>
      </c>
      <c r="C1762" s="3" t="n">
        <v>2</v>
      </c>
      <c r="D1762" s="3" t="n">
        <v>6</v>
      </c>
      <c r="E1762" s="3" t="n">
        <v>24</v>
      </c>
      <c r="F1762" s="24" t="n">
        <v>-0.0777726099</v>
      </c>
    </row>
    <row r="1763" customFormat="false" ht="15" hidden="false" customHeight="false" outlineLevel="0" collapsed="false">
      <c r="A1763" s="3" t="n">
        <v>1762</v>
      </c>
      <c r="B1763" s="3" t="n">
        <v>1761</v>
      </c>
      <c r="C1763" s="3" t="n">
        <v>2</v>
      </c>
      <c r="D1763" s="3" t="n">
        <v>6</v>
      </c>
      <c r="E1763" s="3" t="n">
        <v>25</v>
      </c>
      <c r="F1763" s="24" t="n">
        <v>-0.0777726099</v>
      </c>
    </row>
    <row r="1764" customFormat="false" ht="15" hidden="false" customHeight="false" outlineLevel="0" collapsed="false">
      <c r="A1764" s="3" t="n">
        <v>1763</v>
      </c>
      <c r="B1764" s="3" t="n">
        <v>1762</v>
      </c>
      <c r="C1764" s="3" t="n">
        <v>2</v>
      </c>
      <c r="D1764" s="3" t="n">
        <v>6</v>
      </c>
      <c r="E1764" s="3" t="n">
        <v>26</v>
      </c>
      <c r="F1764" s="24" t="n">
        <v>-0.0777726099</v>
      </c>
    </row>
    <row r="1765" customFormat="false" ht="15" hidden="false" customHeight="false" outlineLevel="0" collapsed="false">
      <c r="A1765" s="3" t="n">
        <v>1764</v>
      </c>
      <c r="B1765" s="3" t="n">
        <v>1763</v>
      </c>
      <c r="C1765" s="3" t="n">
        <v>2</v>
      </c>
      <c r="D1765" s="3" t="n">
        <v>6</v>
      </c>
      <c r="E1765" s="3" t="n">
        <v>27</v>
      </c>
      <c r="F1765" s="24" t="n">
        <v>0.387737483</v>
      </c>
    </row>
    <row r="1766" customFormat="false" ht="15" hidden="false" customHeight="false" outlineLevel="0" collapsed="false">
      <c r="A1766" s="3" t="n">
        <v>1765</v>
      </c>
      <c r="B1766" s="3" t="n">
        <v>1764</v>
      </c>
      <c r="C1766" s="3" t="n">
        <v>2</v>
      </c>
      <c r="D1766" s="3" t="n">
        <v>7</v>
      </c>
      <c r="E1766" s="3" t="n">
        <v>0</v>
      </c>
      <c r="F1766" s="24" t="n">
        <v>-0.740650654</v>
      </c>
    </row>
    <row r="1767" customFormat="false" ht="15" hidden="false" customHeight="false" outlineLevel="0" collapsed="false">
      <c r="A1767" s="3" t="n">
        <v>1766</v>
      </c>
      <c r="B1767" s="3" t="n">
        <v>1765</v>
      </c>
      <c r="C1767" s="3" t="n">
        <v>2</v>
      </c>
      <c r="D1767" s="3" t="n">
        <v>7</v>
      </c>
      <c r="E1767" s="3" t="n">
        <v>1</v>
      </c>
      <c r="F1767" s="24" t="n">
        <v>-0.0777726099</v>
      </c>
    </row>
    <row r="1768" customFormat="false" ht="15" hidden="false" customHeight="false" outlineLevel="0" collapsed="false">
      <c r="A1768" s="3" t="n">
        <v>1767</v>
      </c>
      <c r="B1768" s="3" t="n">
        <v>1766</v>
      </c>
      <c r="C1768" s="3" t="n">
        <v>2</v>
      </c>
      <c r="D1768" s="3" t="n">
        <v>7</v>
      </c>
      <c r="E1768" s="3" t="n">
        <v>2</v>
      </c>
      <c r="F1768" s="24" t="n">
        <v>-0.0777726099</v>
      </c>
    </row>
    <row r="1769" customFormat="false" ht="15" hidden="false" customHeight="false" outlineLevel="0" collapsed="false">
      <c r="A1769" s="3" t="n">
        <v>1768</v>
      </c>
      <c r="B1769" s="3" t="n">
        <v>1767</v>
      </c>
      <c r="C1769" s="3" t="n">
        <v>2</v>
      </c>
      <c r="D1769" s="3" t="n">
        <v>7</v>
      </c>
      <c r="E1769" s="3" t="n">
        <v>3</v>
      </c>
      <c r="F1769" s="24" t="n">
        <v>-0.0777726099</v>
      </c>
    </row>
    <row r="1770" customFormat="false" ht="15" hidden="false" customHeight="false" outlineLevel="0" collapsed="false">
      <c r="A1770" s="3" t="n">
        <v>1769</v>
      </c>
      <c r="B1770" s="3" t="n">
        <v>1768</v>
      </c>
      <c r="C1770" s="3" t="n">
        <v>2</v>
      </c>
      <c r="D1770" s="3" t="n">
        <v>7</v>
      </c>
      <c r="E1770" s="3" t="n">
        <v>4</v>
      </c>
      <c r="F1770" s="24" t="n">
        <v>-0.0777726099</v>
      </c>
    </row>
    <row r="1771" customFormat="false" ht="15" hidden="false" customHeight="false" outlineLevel="0" collapsed="false">
      <c r="A1771" s="3" t="n">
        <v>1770</v>
      </c>
      <c r="B1771" s="3" t="n">
        <v>1769</v>
      </c>
      <c r="C1771" s="3" t="n">
        <v>2</v>
      </c>
      <c r="D1771" s="3" t="n">
        <v>7</v>
      </c>
      <c r="E1771" s="3" t="n">
        <v>5</v>
      </c>
      <c r="F1771" s="24" t="n">
        <v>1.48653948</v>
      </c>
    </row>
    <row r="1772" customFormat="false" ht="15" hidden="false" customHeight="false" outlineLevel="0" collapsed="false">
      <c r="A1772" s="3" t="n">
        <v>1771</v>
      </c>
      <c r="B1772" s="3" t="n">
        <v>1770</v>
      </c>
      <c r="C1772" s="3" t="n">
        <v>2</v>
      </c>
      <c r="D1772" s="3" t="n">
        <v>7</v>
      </c>
      <c r="E1772" s="3" t="n">
        <v>6</v>
      </c>
      <c r="F1772" s="24" t="n">
        <v>3.08932257</v>
      </c>
    </row>
    <row r="1773" customFormat="false" ht="15" hidden="false" customHeight="false" outlineLevel="0" collapsed="false">
      <c r="A1773" s="3" t="n">
        <v>1772</v>
      </c>
      <c r="B1773" s="3" t="n">
        <v>1771</v>
      </c>
      <c r="C1773" s="3" t="n">
        <v>2</v>
      </c>
      <c r="D1773" s="3" t="n">
        <v>7</v>
      </c>
      <c r="E1773" s="3" t="n">
        <v>7</v>
      </c>
      <c r="F1773" s="24" t="n">
        <v>0.866377592</v>
      </c>
    </row>
    <row r="1774" customFormat="false" ht="15" hidden="false" customHeight="false" outlineLevel="0" collapsed="false">
      <c r="A1774" s="3" t="n">
        <v>1773</v>
      </c>
      <c r="B1774" s="3" t="n">
        <v>1772</v>
      </c>
      <c r="C1774" s="3" t="n">
        <v>2</v>
      </c>
      <c r="D1774" s="3" t="n">
        <v>7</v>
      </c>
      <c r="E1774" s="3" t="n">
        <v>8</v>
      </c>
      <c r="F1774" s="24" t="n">
        <v>-0.172538072</v>
      </c>
    </row>
    <row r="1775" customFormat="false" ht="15" hidden="false" customHeight="false" outlineLevel="0" collapsed="false">
      <c r="A1775" s="3" t="n">
        <v>1774</v>
      </c>
      <c r="B1775" s="3" t="n">
        <v>1773</v>
      </c>
      <c r="C1775" s="3" t="n">
        <v>2</v>
      </c>
      <c r="D1775" s="3" t="n">
        <v>7</v>
      </c>
      <c r="E1775" s="3" t="n">
        <v>9</v>
      </c>
      <c r="F1775" s="24" t="n">
        <v>-0.658743382</v>
      </c>
    </row>
    <row r="1776" customFormat="false" ht="15" hidden="false" customHeight="false" outlineLevel="0" collapsed="false">
      <c r="A1776" s="3" t="n">
        <v>1775</v>
      </c>
      <c r="B1776" s="3" t="n">
        <v>1774</v>
      </c>
      <c r="C1776" s="3" t="n">
        <v>2</v>
      </c>
      <c r="D1776" s="3" t="n">
        <v>7</v>
      </c>
      <c r="E1776" s="3" t="n">
        <v>10</v>
      </c>
      <c r="F1776" s="24" t="n">
        <v>-0.767895341</v>
      </c>
    </row>
    <row r="1777" customFormat="false" ht="15" hidden="false" customHeight="false" outlineLevel="0" collapsed="false">
      <c r="A1777" s="3" t="n">
        <v>1776</v>
      </c>
      <c r="B1777" s="3" t="n">
        <v>1775</v>
      </c>
      <c r="C1777" s="3" t="n">
        <v>2</v>
      </c>
      <c r="D1777" s="3" t="n">
        <v>7</v>
      </c>
      <c r="E1777" s="3" t="n">
        <v>11</v>
      </c>
      <c r="F1777" s="24" t="n">
        <v>-0.532960296</v>
      </c>
    </row>
    <row r="1778" customFormat="false" ht="15" hidden="false" customHeight="false" outlineLevel="0" collapsed="false">
      <c r="A1778" s="3" t="n">
        <v>1777</v>
      </c>
      <c r="B1778" s="3" t="n">
        <v>1776</v>
      </c>
      <c r="C1778" s="3" t="n">
        <v>2</v>
      </c>
      <c r="D1778" s="3" t="n">
        <v>7</v>
      </c>
      <c r="E1778" s="3" t="n">
        <v>12</v>
      </c>
      <c r="F1778" s="24" t="n">
        <v>-0.38294369</v>
      </c>
    </row>
    <row r="1779" customFormat="false" ht="15" hidden="false" customHeight="false" outlineLevel="0" collapsed="false">
      <c r="A1779" s="3" t="n">
        <v>1778</v>
      </c>
      <c r="B1779" s="3" t="n">
        <v>1777</v>
      </c>
      <c r="C1779" s="3" t="n">
        <v>2</v>
      </c>
      <c r="D1779" s="3" t="n">
        <v>7</v>
      </c>
      <c r="E1779" s="3" t="n">
        <v>13</v>
      </c>
      <c r="F1779" s="24" t="n">
        <v>0.171371073</v>
      </c>
    </row>
    <row r="1780" customFormat="false" ht="15" hidden="false" customHeight="false" outlineLevel="0" collapsed="false">
      <c r="A1780" s="3" t="n">
        <v>1779</v>
      </c>
      <c r="B1780" s="3" t="n">
        <v>1778</v>
      </c>
      <c r="C1780" s="3" t="n">
        <v>2</v>
      </c>
      <c r="D1780" s="3" t="n">
        <v>7</v>
      </c>
      <c r="E1780" s="3" t="n">
        <v>14</v>
      </c>
      <c r="F1780" s="24" t="n">
        <v>0.171371073</v>
      </c>
    </row>
    <row r="1781" customFormat="false" ht="15" hidden="false" customHeight="false" outlineLevel="0" collapsed="false">
      <c r="A1781" s="3" t="n">
        <v>1780</v>
      </c>
      <c r="B1781" s="3" t="n">
        <v>1779</v>
      </c>
      <c r="C1781" s="3" t="n">
        <v>2</v>
      </c>
      <c r="D1781" s="3" t="n">
        <v>7</v>
      </c>
      <c r="E1781" s="3" t="n">
        <v>15</v>
      </c>
      <c r="F1781" s="24" t="n">
        <v>0.171371073</v>
      </c>
    </row>
    <row r="1782" customFormat="false" ht="15" hidden="false" customHeight="false" outlineLevel="0" collapsed="false">
      <c r="A1782" s="3" t="n">
        <v>1781</v>
      </c>
      <c r="B1782" s="3" t="n">
        <v>1780</v>
      </c>
      <c r="C1782" s="3" t="n">
        <v>2</v>
      </c>
      <c r="D1782" s="3" t="n">
        <v>7</v>
      </c>
      <c r="E1782" s="3" t="n">
        <v>16</v>
      </c>
      <c r="F1782" s="24" t="n">
        <v>0.171371073</v>
      </c>
    </row>
    <row r="1783" customFormat="false" ht="15" hidden="false" customHeight="false" outlineLevel="0" collapsed="false">
      <c r="A1783" s="3" t="n">
        <v>1782</v>
      </c>
      <c r="B1783" s="3" t="n">
        <v>1781</v>
      </c>
      <c r="C1783" s="3" t="n">
        <v>2</v>
      </c>
      <c r="D1783" s="3" t="n">
        <v>7</v>
      </c>
      <c r="E1783" s="3" t="n">
        <v>17</v>
      </c>
      <c r="F1783" s="24" t="n">
        <v>0.171371073</v>
      </c>
    </row>
    <row r="1784" customFormat="false" ht="15" hidden="false" customHeight="false" outlineLevel="0" collapsed="false">
      <c r="A1784" s="3" t="n">
        <v>1783</v>
      </c>
      <c r="B1784" s="3" t="n">
        <v>1782</v>
      </c>
      <c r="C1784" s="3" t="n">
        <v>2</v>
      </c>
      <c r="D1784" s="3" t="n">
        <v>7</v>
      </c>
      <c r="E1784" s="3" t="n">
        <v>18</v>
      </c>
      <c r="F1784" s="24" t="n">
        <v>0.171371073</v>
      </c>
    </row>
    <row r="1785" customFormat="false" ht="15" hidden="false" customHeight="false" outlineLevel="0" collapsed="false">
      <c r="A1785" s="3" t="n">
        <v>1784</v>
      </c>
      <c r="B1785" s="3" t="n">
        <v>1783</v>
      </c>
      <c r="C1785" s="3" t="n">
        <v>2</v>
      </c>
      <c r="D1785" s="3" t="n">
        <v>7</v>
      </c>
      <c r="E1785" s="3" t="n">
        <v>19</v>
      </c>
      <c r="F1785" s="24" t="n">
        <v>0.0551649779</v>
      </c>
    </row>
    <row r="1786" customFormat="false" ht="15" hidden="false" customHeight="false" outlineLevel="0" collapsed="false">
      <c r="A1786" s="3" t="n">
        <v>1785</v>
      </c>
      <c r="B1786" s="3" t="n">
        <v>1784</v>
      </c>
      <c r="C1786" s="3" t="n">
        <v>2</v>
      </c>
      <c r="D1786" s="3" t="n">
        <v>7</v>
      </c>
      <c r="E1786" s="3" t="n">
        <v>20</v>
      </c>
      <c r="F1786" s="24" t="n">
        <v>-0.530089378</v>
      </c>
    </row>
    <row r="1787" customFormat="false" ht="15" hidden="false" customHeight="false" outlineLevel="0" collapsed="false">
      <c r="A1787" s="3" t="n">
        <v>1786</v>
      </c>
      <c r="B1787" s="3" t="n">
        <v>1785</v>
      </c>
      <c r="C1787" s="3" t="n">
        <v>2</v>
      </c>
      <c r="D1787" s="3" t="n">
        <v>7</v>
      </c>
      <c r="E1787" s="3" t="n">
        <v>21</v>
      </c>
      <c r="F1787" s="24" t="n">
        <v>-0.971982956</v>
      </c>
    </row>
    <row r="1788" customFormat="false" ht="15" hidden="false" customHeight="false" outlineLevel="0" collapsed="false">
      <c r="A1788" s="3" t="n">
        <v>1787</v>
      </c>
      <c r="B1788" s="3" t="n">
        <v>1786</v>
      </c>
      <c r="C1788" s="3" t="n">
        <v>2</v>
      </c>
      <c r="D1788" s="3" t="n">
        <v>7</v>
      </c>
      <c r="E1788" s="3" t="n">
        <v>22</v>
      </c>
      <c r="F1788" s="24" t="n">
        <v>-0.405562401</v>
      </c>
    </row>
    <row r="1789" customFormat="false" ht="15" hidden="false" customHeight="false" outlineLevel="0" collapsed="false">
      <c r="A1789" s="3" t="n">
        <v>1788</v>
      </c>
      <c r="B1789" s="3" t="n">
        <v>1787</v>
      </c>
      <c r="C1789" s="3" t="n">
        <v>2</v>
      </c>
      <c r="D1789" s="3" t="n">
        <v>7</v>
      </c>
      <c r="E1789" s="3" t="n">
        <v>23</v>
      </c>
      <c r="F1789" s="24" t="n">
        <v>-0.0777726099</v>
      </c>
    </row>
    <row r="1790" customFormat="false" ht="15" hidden="false" customHeight="false" outlineLevel="0" collapsed="false">
      <c r="A1790" s="3" t="n">
        <v>1789</v>
      </c>
      <c r="B1790" s="3" t="n">
        <v>1788</v>
      </c>
      <c r="C1790" s="3" t="n">
        <v>2</v>
      </c>
      <c r="D1790" s="3" t="n">
        <v>7</v>
      </c>
      <c r="E1790" s="3" t="n">
        <v>24</v>
      </c>
      <c r="F1790" s="24" t="n">
        <v>-0.0777726099</v>
      </c>
    </row>
    <row r="1791" customFormat="false" ht="15" hidden="false" customHeight="false" outlineLevel="0" collapsed="false">
      <c r="A1791" s="3" t="n">
        <v>1790</v>
      </c>
      <c r="B1791" s="3" t="n">
        <v>1789</v>
      </c>
      <c r="C1791" s="3" t="n">
        <v>2</v>
      </c>
      <c r="D1791" s="3" t="n">
        <v>7</v>
      </c>
      <c r="E1791" s="3" t="n">
        <v>25</v>
      </c>
      <c r="F1791" s="24" t="n">
        <v>-0.0777726099</v>
      </c>
    </row>
    <row r="1792" customFormat="false" ht="15" hidden="false" customHeight="false" outlineLevel="0" collapsed="false">
      <c r="A1792" s="3" t="n">
        <v>1791</v>
      </c>
      <c r="B1792" s="3" t="n">
        <v>1790</v>
      </c>
      <c r="C1792" s="3" t="n">
        <v>2</v>
      </c>
      <c r="D1792" s="3" t="n">
        <v>7</v>
      </c>
      <c r="E1792" s="3" t="n">
        <v>26</v>
      </c>
      <c r="F1792" s="24" t="n">
        <v>-0.0777726099</v>
      </c>
    </row>
    <row r="1793" customFormat="false" ht="15" hidden="false" customHeight="false" outlineLevel="0" collapsed="false">
      <c r="A1793" s="3" t="n">
        <v>1792</v>
      </c>
      <c r="B1793" s="3" t="n">
        <v>1791</v>
      </c>
      <c r="C1793" s="3" t="n">
        <v>2</v>
      </c>
      <c r="D1793" s="3" t="n">
        <v>7</v>
      </c>
      <c r="E1793" s="3" t="n">
        <v>27</v>
      </c>
      <c r="F1793" s="24" t="n">
        <v>0.387737483</v>
      </c>
    </row>
    <row r="1794" customFormat="false" ht="15" hidden="false" customHeight="false" outlineLevel="0" collapsed="false">
      <c r="A1794" s="3" t="n">
        <v>1793</v>
      </c>
      <c r="B1794" s="3" t="n">
        <v>1792</v>
      </c>
      <c r="C1794" s="3" t="n">
        <v>2</v>
      </c>
      <c r="D1794" s="3" t="n">
        <v>8</v>
      </c>
      <c r="E1794" s="3" t="n">
        <v>0</v>
      </c>
      <c r="F1794" s="24" t="n">
        <v>-0.740650654</v>
      </c>
    </row>
    <row r="1795" customFormat="false" ht="15" hidden="false" customHeight="false" outlineLevel="0" collapsed="false">
      <c r="A1795" s="3" t="n">
        <v>1794</v>
      </c>
      <c r="B1795" s="3" t="n">
        <v>1793</v>
      </c>
      <c r="C1795" s="3" t="n">
        <v>2</v>
      </c>
      <c r="D1795" s="3" t="n">
        <v>8</v>
      </c>
      <c r="E1795" s="3" t="n">
        <v>1</v>
      </c>
      <c r="F1795" s="24" t="n">
        <v>-0.0777726099</v>
      </c>
    </row>
    <row r="1796" customFormat="false" ht="15" hidden="false" customHeight="false" outlineLevel="0" collapsed="false">
      <c r="A1796" s="3" t="n">
        <v>1795</v>
      </c>
      <c r="B1796" s="3" t="n">
        <v>1794</v>
      </c>
      <c r="C1796" s="3" t="n">
        <v>2</v>
      </c>
      <c r="D1796" s="3" t="n">
        <v>8</v>
      </c>
      <c r="E1796" s="3" t="n">
        <v>2</v>
      </c>
      <c r="F1796" s="24" t="n">
        <v>-0.0777726099</v>
      </c>
    </row>
    <row r="1797" customFormat="false" ht="15" hidden="false" customHeight="false" outlineLevel="0" collapsed="false">
      <c r="A1797" s="3" t="n">
        <v>1796</v>
      </c>
      <c r="B1797" s="3" t="n">
        <v>1795</v>
      </c>
      <c r="C1797" s="3" t="n">
        <v>2</v>
      </c>
      <c r="D1797" s="3" t="n">
        <v>8</v>
      </c>
      <c r="E1797" s="3" t="n">
        <v>3</v>
      </c>
      <c r="F1797" s="24" t="n">
        <v>-0.0777726099</v>
      </c>
    </row>
    <row r="1798" customFormat="false" ht="15" hidden="false" customHeight="false" outlineLevel="0" collapsed="false">
      <c r="A1798" s="3" t="n">
        <v>1797</v>
      </c>
      <c r="B1798" s="3" t="n">
        <v>1796</v>
      </c>
      <c r="C1798" s="3" t="n">
        <v>2</v>
      </c>
      <c r="D1798" s="3" t="n">
        <v>8</v>
      </c>
      <c r="E1798" s="3" t="n">
        <v>4</v>
      </c>
      <c r="F1798" s="24" t="n">
        <v>-0.0777726099</v>
      </c>
    </row>
    <row r="1799" customFormat="false" ht="15" hidden="false" customHeight="false" outlineLevel="0" collapsed="false">
      <c r="A1799" s="3" t="n">
        <v>1798</v>
      </c>
      <c r="B1799" s="3" t="n">
        <v>1797</v>
      </c>
      <c r="C1799" s="3" t="n">
        <v>2</v>
      </c>
      <c r="D1799" s="3" t="n">
        <v>8</v>
      </c>
      <c r="E1799" s="3" t="n">
        <v>5</v>
      </c>
      <c r="F1799" s="24" t="n">
        <v>2.08122587</v>
      </c>
    </row>
    <row r="1800" customFormat="false" ht="15" hidden="false" customHeight="false" outlineLevel="0" collapsed="false">
      <c r="A1800" s="3" t="n">
        <v>1799</v>
      </c>
      <c r="B1800" s="3" t="n">
        <v>1798</v>
      </c>
      <c r="C1800" s="3" t="n">
        <v>2</v>
      </c>
      <c r="D1800" s="3" t="n">
        <v>8</v>
      </c>
      <c r="E1800" s="3" t="n">
        <v>6</v>
      </c>
      <c r="F1800" s="24" t="n">
        <v>2.83156371</v>
      </c>
    </row>
    <row r="1801" customFormat="false" ht="15" hidden="false" customHeight="false" outlineLevel="0" collapsed="false">
      <c r="A1801" s="3" t="n">
        <v>1800</v>
      </c>
      <c r="B1801" s="3" t="n">
        <v>1799</v>
      </c>
      <c r="C1801" s="3" t="n">
        <v>2</v>
      </c>
      <c r="D1801" s="3" t="n">
        <v>8</v>
      </c>
      <c r="E1801" s="3" t="n">
        <v>7</v>
      </c>
      <c r="F1801" s="24" t="n">
        <v>0.116916895</v>
      </c>
    </row>
    <row r="1802" customFormat="false" ht="15" hidden="false" customHeight="false" outlineLevel="0" collapsed="false">
      <c r="A1802" s="3" t="n">
        <v>1801</v>
      </c>
      <c r="B1802" s="3" t="n">
        <v>1800</v>
      </c>
      <c r="C1802" s="3" t="n">
        <v>2</v>
      </c>
      <c r="D1802" s="3" t="n">
        <v>8</v>
      </c>
      <c r="E1802" s="3" t="n">
        <v>8</v>
      </c>
      <c r="F1802" s="24" t="n">
        <v>-1.00206828</v>
      </c>
    </row>
    <row r="1803" customFormat="false" ht="15" hidden="false" customHeight="false" outlineLevel="0" collapsed="false">
      <c r="A1803" s="3" t="n">
        <v>1802</v>
      </c>
      <c r="B1803" s="3" t="n">
        <v>1801</v>
      </c>
      <c r="C1803" s="3" t="n">
        <v>2</v>
      </c>
      <c r="D1803" s="3" t="n">
        <v>8</v>
      </c>
      <c r="E1803" s="3" t="n">
        <v>9</v>
      </c>
      <c r="F1803" s="24" t="n">
        <v>-0.441038638</v>
      </c>
    </row>
    <row r="1804" customFormat="false" ht="15" hidden="false" customHeight="false" outlineLevel="0" collapsed="false">
      <c r="A1804" s="3" t="n">
        <v>1803</v>
      </c>
      <c r="B1804" s="3" t="n">
        <v>1802</v>
      </c>
      <c r="C1804" s="3" t="n">
        <v>2</v>
      </c>
      <c r="D1804" s="3" t="n">
        <v>8</v>
      </c>
      <c r="E1804" s="3" t="n">
        <v>10</v>
      </c>
      <c r="F1804" s="24" t="n">
        <v>-0.403860718</v>
      </c>
    </row>
    <row r="1805" customFormat="false" ht="15" hidden="false" customHeight="false" outlineLevel="0" collapsed="false">
      <c r="A1805" s="3" t="n">
        <v>1804</v>
      </c>
      <c r="B1805" s="3" t="n">
        <v>1803</v>
      </c>
      <c r="C1805" s="3" t="n">
        <v>2</v>
      </c>
      <c r="D1805" s="3" t="n">
        <v>8</v>
      </c>
      <c r="E1805" s="3" t="n">
        <v>11</v>
      </c>
      <c r="F1805" s="24" t="n">
        <v>-0.266330391</v>
      </c>
    </row>
    <row r="1806" customFormat="false" ht="15" hidden="false" customHeight="false" outlineLevel="0" collapsed="false">
      <c r="A1806" s="3" t="n">
        <v>1805</v>
      </c>
      <c r="B1806" s="3" t="n">
        <v>1804</v>
      </c>
      <c r="C1806" s="3" t="n">
        <v>2</v>
      </c>
      <c r="D1806" s="3" t="n">
        <v>8</v>
      </c>
      <c r="E1806" s="3" t="n">
        <v>12</v>
      </c>
      <c r="F1806" s="24" t="n">
        <v>-0.437485248</v>
      </c>
    </row>
    <row r="1807" customFormat="false" ht="15" hidden="false" customHeight="false" outlineLevel="0" collapsed="false">
      <c r="A1807" s="3" t="n">
        <v>1806</v>
      </c>
      <c r="B1807" s="3" t="n">
        <v>1805</v>
      </c>
      <c r="C1807" s="3" t="n">
        <v>2</v>
      </c>
      <c r="D1807" s="3" t="n">
        <v>8</v>
      </c>
      <c r="E1807" s="3" t="n">
        <v>13</v>
      </c>
      <c r="F1807" s="24" t="n">
        <v>-0.0421089828</v>
      </c>
    </row>
    <row r="1808" customFormat="false" ht="15" hidden="false" customHeight="false" outlineLevel="0" collapsed="false">
      <c r="A1808" s="3" t="n">
        <v>1807</v>
      </c>
      <c r="B1808" s="3" t="n">
        <v>1806</v>
      </c>
      <c r="C1808" s="3" t="n">
        <v>2</v>
      </c>
      <c r="D1808" s="3" t="n">
        <v>8</v>
      </c>
      <c r="E1808" s="3" t="n">
        <v>14</v>
      </c>
      <c r="F1808" s="24" t="n">
        <v>0.239636987</v>
      </c>
    </row>
    <row r="1809" customFormat="false" ht="15" hidden="false" customHeight="false" outlineLevel="0" collapsed="false">
      <c r="A1809" s="3" t="n">
        <v>1808</v>
      </c>
      <c r="B1809" s="3" t="n">
        <v>1807</v>
      </c>
      <c r="C1809" s="3" t="n">
        <v>2</v>
      </c>
      <c r="D1809" s="3" t="n">
        <v>8</v>
      </c>
      <c r="E1809" s="3" t="n">
        <v>15</v>
      </c>
      <c r="F1809" s="24" t="n">
        <v>0.0568312109</v>
      </c>
    </row>
    <row r="1810" customFormat="false" ht="15" hidden="false" customHeight="false" outlineLevel="0" collapsed="false">
      <c r="A1810" s="3" t="n">
        <v>1809</v>
      </c>
      <c r="B1810" s="3" t="n">
        <v>1808</v>
      </c>
      <c r="C1810" s="3" t="n">
        <v>2</v>
      </c>
      <c r="D1810" s="3" t="n">
        <v>8</v>
      </c>
      <c r="E1810" s="3" t="n">
        <v>16</v>
      </c>
      <c r="F1810" s="24" t="n">
        <v>0.0402303636</v>
      </c>
    </row>
    <row r="1811" customFormat="false" ht="15" hidden="false" customHeight="false" outlineLevel="0" collapsed="false">
      <c r="A1811" s="3" t="n">
        <v>1810</v>
      </c>
      <c r="B1811" s="3" t="n">
        <v>1809</v>
      </c>
      <c r="C1811" s="3" t="n">
        <v>2</v>
      </c>
      <c r="D1811" s="3" t="n">
        <v>8</v>
      </c>
      <c r="E1811" s="3" t="n">
        <v>17</v>
      </c>
      <c r="F1811" s="24" t="n">
        <v>-0.0605711564</v>
      </c>
    </row>
    <row r="1812" customFormat="false" ht="15" hidden="false" customHeight="false" outlineLevel="0" collapsed="false">
      <c r="A1812" s="3" t="n">
        <v>1811</v>
      </c>
      <c r="B1812" s="3" t="n">
        <v>1810</v>
      </c>
      <c r="C1812" s="3" t="n">
        <v>2</v>
      </c>
      <c r="D1812" s="3" t="n">
        <v>8</v>
      </c>
      <c r="E1812" s="3" t="n">
        <v>18</v>
      </c>
      <c r="F1812" s="24" t="n">
        <v>-0.00324752927</v>
      </c>
    </row>
    <row r="1813" customFormat="false" ht="15" hidden="false" customHeight="false" outlineLevel="0" collapsed="false">
      <c r="A1813" s="3" t="n">
        <v>1812</v>
      </c>
      <c r="B1813" s="3" t="n">
        <v>1811</v>
      </c>
      <c r="C1813" s="3" t="n">
        <v>2</v>
      </c>
      <c r="D1813" s="3" t="n">
        <v>8</v>
      </c>
      <c r="E1813" s="3" t="n">
        <v>19</v>
      </c>
      <c r="F1813" s="24" t="n">
        <v>0.000101417303</v>
      </c>
    </row>
    <row r="1814" customFormat="false" ht="15" hidden="false" customHeight="false" outlineLevel="0" collapsed="false">
      <c r="A1814" s="3" t="n">
        <v>1813</v>
      </c>
      <c r="B1814" s="3" t="n">
        <v>1812</v>
      </c>
      <c r="C1814" s="3" t="n">
        <v>2</v>
      </c>
      <c r="D1814" s="3" t="n">
        <v>8</v>
      </c>
      <c r="E1814" s="3" t="n">
        <v>20</v>
      </c>
      <c r="F1814" s="24" t="n">
        <v>-1.51365352</v>
      </c>
    </row>
    <row r="1815" customFormat="false" ht="15" hidden="false" customHeight="false" outlineLevel="0" collapsed="false">
      <c r="A1815" s="3" t="n">
        <v>1814</v>
      </c>
      <c r="B1815" s="3" t="n">
        <v>1813</v>
      </c>
      <c r="C1815" s="3" t="n">
        <v>2</v>
      </c>
      <c r="D1815" s="3" t="n">
        <v>8</v>
      </c>
      <c r="E1815" s="3" t="n">
        <v>21</v>
      </c>
      <c r="F1815" s="24" t="n">
        <v>-2.57632494</v>
      </c>
    </row>
    <row r="1816" customFormat="false" ht="15" hidden="false" customHeight="false" outlineLevel="0" collapsed="false">
      <c r="A1816" s="3" t="n">
        <v>1815</v>
      </c>
      <c r="B1816" s="3" t="n">
        <v>1814</v>
      </c>
      <c r="C1816" s="3" t="n">
        <v>2</v>
      </c>
      <c r="D1816" s="3" t="n">
        <v>8</v>
      </c>
      <c r="E1816" s="3" t="n">
        <v>22</v>
      </c>
      <c r="F1816" s="24" t="n">
        <v>-1.36943376</v>
      </c>
    </row>
    <row r="1817" customFormat="false" ht="15" hidden="false" customHeight="false" outlineLevel="0" collapsed="false">
      <c r="A1817" s="3" t="n">
        <v>1816</v>
      </c>
      <c r="B1817" s="3" t="n">
        <v>1815</v>
      </c>
      <c r="C1817" s="3" t="n">
        <v>2</v>
      </c>
      <c r="D1817" s="3" t="n">
        <v>8</v>
      </c>
      <c r="E1817" s="3" t="n">
        <v>23</v>
      </c>
      <c r="F1817" s="24" t="n">
        <v>-0.0777726099</v>
      </c>
    </row>
    <row r="1818" customFormat="false" ht="15" hidden="false" customHeight="false" outlineLevel="0" collapsed="false">
      <c r="A1818" s="3" t="n">
        <v>1817</v>
      </c>
      <c r="B1818" s="3" t="n">
        <v>1816</v>
      </c>
      <c r="C1818" s="3" t="n">
        <v>2</v>
      </c>
      <c r="D1818" s="3" t="n">
        <v>8</v>
      </c>
      <c r="E1818" s="3" t="n">
        <v>24</v>
      </c>
      <c r="F1818" s="24" t="n">
        <v>-0.0777726099</v>
      </c>
    </row>
    <row r="1819" customFormat="false" ht="15" hidden="false" customHeight="false" outlineLevel="0" collapsed="false">
      <c r="A1819" s="3" t="n">
        <v>1818</v>
      </c>
      <c r="B1819" s="3" t="n">
        <v>1817</v>
      </c>
      <c r="C1819" s="3" t="n">
        <v>2</v>
      </c>
      <c r="D1819" s="3" t="n">
        <v>8</v>
      </c>
      <c r="E1819" s="3" t="n">
        <v>25</v>
      </c>
      <c r="F1819" s="24" t="n">
        <v>-0.0777726099</v>
      </c>
    </row>
    <row r="1820" customFormat="false" ht="15" hidden="false" customHeight="false" outlineLevel="0" collapsed="false">
      <c r="A1820" s="3" t="n">
        <v>1819</v>
      </c>
      <c r="B1820" s="3" t="n">
        <v>1818</v>
      </c>
      <c r="C1820" s="3" t="n">
        <v>2</v>
      </c>
      <c r="D1820" s="3" t="n">
        <v>8</v>
      </c>
      <c r="E1820" s="3" t="n">
        <v>26</v>
      </c>
      <c r="F1820" s="24" t="n">
        <v>-0.0777726099</v>
      </c>
    </row>
    <row r="1821" customFormat="false" ht="15" hidden="false" customHeight="false" outlineLevel="0" collapsed="false">
      <c r="A1821" s="3" t="n">
        <v>1820</v>
      </c>
      <c r="B1821" s="3" t="n">
        <v>1819</v>
      </c>
      <c r="C1821" s="3" t="n">
        <v>2</v>
      </c>
      <c r="D1821" s="3" t="n">
        <v>8</v>
      </c>
      <c r="E1821" s="3" t="n">
        <v>27</v>
      </c>
      <c r="F1821" s="24" t="n">
        <v>0.387737483</v>
      </c>
    </row>
    <row r="1822" customFormat="false" ht="15" hidden="false" customHeight="false" outlineLevel="0" collapsed="false">
      <c r="A1822" s="3" t="n">
        <v>1821</v>
      </c>
      <c r="B1822" s="3" t="n">
        <v>1820</v>
      </c>
      <c r="C1822" s="3" t="n">
        <v>2</v>
      </c>
      <c r="D1822" s="3" t="n">
        <v>9</v>
      </c>
      <c r="E1822" s="3" t="n">
        <v>0</v>
      </c>
      <c r="F1822" s="24" t="n">
        <v>-0.740650654</v>
      </c>
    </row>
    <row r="1823" customFormat="false" ht="15" hidden="false" customHeight="false" outlineLevel="0" collapsed="false">
      <c r="A1823" s="3" t="n">
        <v>1822</v>
      </c>
      <c r="B1823" s="3" t="n">
        <v>1821</v>
      </c>
      <c r="C1823" s="3" t="n">
        <v>2</v>
      </c>
      <c r="D1823" s="3" t="n">
        <v>9</v>
      </c>
      <c r="E1823" s="3" t="n">
        <v>1</v>
      </c>
      <c r="F1823" s="24" t="n">
        <v>-0.0777726099</v>
      </c>
    </row>
    <row r="1824" customFormat="false" ht="15" hidden="false" customHeight="false" outlineLevel="0" collapsed="false">
      <c r="A1824" s="3" t="n">
        <v>1823</v>
      </c>
      <c r="B1824" s="3" t="n">
        <v>1822</v>
      </c>
      <c r="C1824" s="3" t="n">
        <v>2</v>
      </c>
      <c r="D1824" s="3" t="n">
        <v>9</v>
      </c>
      <c r="E1824" s="3" t="n">
        <v>2</v>
      </c>
      <c r="F1824" s="24" t="n">
        <v>-0.0777726099</v>
      </c>
    </row>
    <row r="1825" customFormat="false" ht="15" hidden="false" customHeight="false" outlineLevel="0" collapsed="false">
      <c r="A1825" s="3" t="n">
        <v>1824</v>
      </c>
      <c r="B1825" s="3" t="n">
        <v>1823</v>
      </c>
      <c r="C1825" s="3" t="n">
        <v>2</v>
      </c>
      <c r="D1825" s="3" t="n">
        <v>9</v>
      </c>
      <c r="E1825" s="3" t="n">
        <v>3</v>
      </c>
      <c r="F1825" s="24" t="n">
        <v>-0.0777726099</v>
      </c>
    </row>
    <row r="1826" customFormat="false" ht="15" hidden="false" customHeight="false" outlineLevel="0" collapsed="false">
      <c r="A1826" s="3" t="n">
        <v>1825</v>
      </c>
      <c r="B1826" s="3" t="n">
        <v>1824</v>
      </c>
      <c r="C1826" s="3" t="n">
        <v>2</v>
      </c>
      <c r="D1826" s="3" t="n">
        <v>9</v>
      </c>
      <c r="E1826" s="3" t="n">
        <v>4</v>
      </c>
      <c r="F1826" s="24" t="n">
        <v>-0.0777726099</v>
      </c>
    </row>
    <row r="1827" customFormat="false" ht="15" hidden="false" customHeight="false" outlineLevel="0" collapsed="false">
      <c r="A1827" s="3" t="n">
        <v>1826</v>
      </c>
      <c r="B1827" s="3" t="n">
        <v>1825</v>
      </c>
      <c r="C1827" s="3" t="n">
        <v>2</v>
      </c>
      <c r="D1827" s="3" t="n">
        <v>9</v>
      </c>
      <c r="E1827" s="3" t="n">
        <v>5</v>
      </c>
      <c r="F1827" s="24" t="n">
        <v>0.915204406</v>
      </c>
    </row>
    <row r="1828" customFormat="false" ht="15" hidden="false" customHeight="false" outlineLevel="0" collapsed="false">
      <c r="A1828" s="3" t="n">
        <v>1827</v>
      </c>
      <c r="B1828" s="3" t="n">
        <v>1826</v>
      </c>
      <c r="C1828" s="3" t="n">
        <v>2</v>
      </c>
      <c r="D1828" s="3" t="n">
        <v>9</v>
      </c>
      <c r="E1828" s="3" t="n">
        <v>6</v>
      </c>
      <c r="F1828" s="24" t="n">
        <v>1.35733473</v>
      </c>
    </row>
    <row r="1829" customFormat="false" ht="15" hidden="false" customHeight="false" outlineLevel="0" collapsed="false">
      <c r="A1829" s="3" t="n">
        <v>1828</v>
      </c>
      <c r="B1829" s="3" t="n">
        <v>1827</v>
      </c>
      <c r="C1829" s="3" t="n">
        <v>2</v>
      </c>
      <c r="D1829" s="3" t="n">
        <v>9</v>
      </c>
      <c r="E1829" s="3" t="n">
        <v>7</v>
      </c>
      <c r="F1829" s="24" t="n">
        <v>-0.785567164</v>
      </c>
    </row>
    <row r="1830" customFormat="false" ht="15" hidden="false" customHeight="false" outlineLevel="0" collapsed="false">
      <c r="A1830" s="3" t="n">
        <v>1829</v>
      </c>
      <c r="B1830" s="3" t="n">
        <v>1828</v>
      </c>
      <c r="C1830" s="3" t="n">
        <v>2</v>
      </c>
      <c r="D1830" s="3" t="n">
        <v>9</v>
      </c>
      <c r="E1830" s="3" t="n">
        <v>8</v>
      </c>
      <c r="F1830" s="24" t="n">
        <v>-0.986590028</v>
      </c>
    </row>
    <row r="1831" customFormat="false" ht="15" hidden="false" customHeight="false" outlineLevel="0" collapsed="false">
      <c r="A1831" s="3" t="n">
        <v>1830</v>
      </c>
      <c r="B1831" s="3" t="n">
        <v>1829</v>
      </c>
      <c r="C1831" s="3" t="n">
        <v>2</v>
      </c>
      <c r="D1831" s="3" t="n">
        <v>9</v>
      </c>
      <c r="E1831" s="3" t="n">
        <v>9</v>
      </c>
      <c r="F1831" s="24" t="n">
        <v>-0.311318576</v>
      </c>
    </row>
    <row r="1832" customFormat="false" ht="15" hidden="false" customHeight="false" outlineLevel="0" collapsed="false">
      <c r="A1832" s="3" t="n">
        <v>1831</v>
      </c>
      <c r="B1832" s="3" t="n">
        <v>1830</v>
      </c>
      <c r="C1832" s="3" t="n">
        <v>2</v>
      </c>
      <c r="D1832" s="3" t="n">
        <v>9</v>
      </c>
      <c r="E1832" s="3" t="n">
        <v>10</v>
      </c>
      <c r="F1832" s="24" t="n">
        <v>-0.144772246</v>
      </c>
    </row>
    <row r="1833" customFormat="false" ht="15" hidden="false" customHeight="false" outlineLevel="0" collapsed="false">
      <c r="A1833" s="3" t="n">
        <v>1832</v>
      </c>
      <c r="B1833" s="3" t="n">
        <v>1831</v>
      </c>
      <c r="C1833" s="3" t="n">
        <v>2</v>
      </c>
      <c r="D1833" s="3" t="n">
        <v>9</v>
      </c>
      <c r="E1833" s="3" t="n">
        <v>11</v>
      </c>
      <c r="F1833" s="24" t="n">
        <v>-0.204994768</v>
      </c>
    </row>
    <row r="1834" customFormat="false" ht="15" hidden="false" customHeight="false" outlineLevel="0" collapsed="false">
      <c r="A1834" s="3" t="n">
        <v>1833</v>
      </c>
      <c r="B1834" s="3" t="n">
        <v>1832</v>
      </c>
      <c r="C1834" s="3" t="n">
        <v>2</v>
      </c>
      <c r="D1834" s="3" t="n">
        <v>9</v>
      </c>
      <c r="E1834" s="3" t="n">
        <v>12</v>
      </c>
      <c r="F1834" s="24" t="n">
        <v>-1.04336441</v>
      </c>
    </row>
    <row r="1835" customFormat="false" ht="15" hidden="false" customHeight="false" outlineLevel="0" collapsed="false">
      <c r="A1835" s="3" t="n">
        <v>1834</v>
      </c>
      <c r="B1835" s="3" t="n">
        <v>1833</v>
      </c>
      <c r="C1835" s="3" t="n">
        <v>2</v>
      </c>
      <c r="D1835" s="3" t="n">
        <v>9</v>
      </c>
      <c r="E1835" s="3" t="n">
        <v>13</v>
      </c>
      <c r="F1835" s="24" t="n">
        <v>-1.03342319</v>
      </c>
    </row>
    <row r="1836" customFormat="false" ht="15" hidden="false" customHeight="false" outlineLevel="0" collapsed="false">
      <c r="A1836" s="3" t="n">
        <v>1835</v>
      </c>
      <c r="B1836" s="3" t="n">
        <v>1834</v>
      </c>
      <c r="C1836" s="3" t="n">
        <v>2</v>
      </c>
      <c r="D1836" s="3" t="n">
        <v>9</v>
      </c>
      <c r="E1836" s="3" t="n">
        <v>14</v>
      </c>
      <c r="F1836" s="24" t="n">
        <v>-0.317523956</v>
      </c>
    </row>
    <row r="1837" customFormat="false" ht="15" hidden="false" customHeight="false" outlineLevel="0" collapsed="false">
      <c r="A1837" s="3" t="n">
        <v>1836</v>
      </c>
      <c r="B1837" s="3" t="n">
        <v>1835</v>
      </c>
      <c r="C1837" s="3" t="n">
        <v>2</v>
      </c>
      <c r="D1837" s="3" t="n">
        <v>9</v>
      </c>
      <c r="E1837" s="3" t="n">
        <v>15</v>
      </c>
      <c r="F1837" s="24" t="n">
        <v>-0.879797339</v>
      </c>
    </row>
    <row r="1838" customFormat="false" ht="15" hidden="false" customHeight="false" outlineLevel="0" collapsed="false">
      <c r="A1838" s="3" t="n">
        <v>1837</v>
      </c>
      <c r="B1838" s="3" t="n">
        <v>1836</v>
      </c>
      <c r="C1838" s="3" t="n">
        <v>2</v>
      </c>
      <c r="D1838" s="3" t="n">
        <v>9</v>
      </c>
      <c r="E1838" s="3" t="n">
        <v>16</v>
      </c>
      <c r="F1838" s="24" t="n">
        <v>-0.94361639</v>
      </c>
    </row>
    <row r="1839" customFormat="false" ht="15" hidden="false" customHeight="false" outlineLevel="0" collapsed="false">
      <c r="A1839" s="3" t="n">
        <v>1838</v>
      </c>
      <c r="B1839" s="3" t="n">
        <v>1837</v>
      </c>
      <c r="C1839" s="3" t="n">
        <v>2</v>
      </c>
      <c r="D1839" s="3" t="n">
        <v>9</v>
      </c>
      <c r="E1839" s="3" t="n">
        <v>17</v>
      </c>
      <c r="F1839" s="24" t="n">
        <v>-1.28647768</v>
      </c>
    </row>
    <row r="1840" customFormat="false" ht="15" hidden="false" customHeight="false" outlineLevel="0" collapsed="false">
      <c r="A1840" s="3" t="n">
        <v>1839</v>
      </c>
      <c r="B1840" s="3" t="n">
        <v>1838</v>
      </c>
      <c r="C1840" s="3" t="n">
        <v>2</v>
      </c>
      <c r="D1840" s="3" t="n">
        <v>9</v>
      </c>
      <c r="E1840" s="3" t="n">
        <v>18</v>
      </c>
      <c r="F1840" s="24" t="n">
        <v>-0.23543711</v>
      </c>
    </row>
    <row r="1841" customFormat="false" ht="15" hidden="false" customHeight="false" outlineLevel="0" collapsed="false">
      <c r="A1841" s="3" t="n">
        <v>1840</v>
      </c>
      <c r="B1841" s="3" t="n">
        <v>1839</v>
      </c>
      <c r="C1841" s="3" t="n">
        <v>2</v>
      </c>
      <c r="D1841" s="3" t="n">
        <v>9</v>
      </c>
      <c r="E1841" s="3" t="n">
        <v>19</v>
      </c>
      <c r="F1841" s="24" t="n">
        <v>0.898993373</v>
      </c>
    </row>
    <row r="1842" customFormat="false" ht="15" hidden="false" customHeight="false" outlineLevel="0" collapsed="false">
      <c r="A1842" s="3" t="n">
        <v>1841</v>
      </c>
      <c r="B1842" s="3" t="n">
        <v>1840</v>
      </c>
      <c r="C1842" s="3" t="n">
        <v>2</v>
      </c>
      <c r="D1842" s="3" t="n">
        <v>9</v>
      </c>
      <c r="E1842" s="3" t="n">
        <v>20</v>
      </c>
      <c r="F1842" s="24" t="n">
        <v>-2.34136939</v>
      </c>
    </row>
    <row r="1843" customFormat="false" ht="15" hidden="false" customHeight="false" outlineLevel="0" collapsed="false">
      <c r="A1843" s="3" t="n">
        <v>1842</v>
      </c>
      <c r="B1843" s="3" t="n">
        <v>1841</v>
      </c>
      <c r="C1843" s="3" t="n">
        <v>2</v>
      </c>
      <c r="D1843" s="3" t="n">
        <v>9</v>
      </c>
      <c r="E1843" s="3" t="n">
        <v>21</v>
      </c>
      <c r="F1843" s="24" t="n">
        <v>-4.37420702</v>
      </c>
    </row>
    <row r="1844" customFormat="false" ht="15" hidden="false" customHeight="false" outlineLevel="0" collapsed="false">
      <c r="A1844" s="3" t="n">
        <v>1843</v>
      </c>
      <c r="B1844" s="3" t="n">
        <v>1842</v>
      </c>
      <c r="C1844" s="3" t="n">
        <v>2</v>
      </c>
      <c r="D1844" s="3" t="n">
        <v>9</v>
      </c>
      <c r="E1844" s="3" t="n">
        <v>22</v>
      </c>
      <c r="F1844" s="24" t="n">
        <v>-2.14481711</v>
      </c>
    </row>
    <row r="1845" customFormat="false" ht="15" hidden="false" customHeight="false" outlineLevel="0" collapsed="false">
      <c r="A1845" s="3" t="n">
        <v>1844</v>
      </c>
      <c r="B1845" s="3" t="n">
        <v>1843</v>
      </c>
      <c r="C1845" s="3" t="n">
        <v>2</v>
      </c>
      <c r="D1845" s="3" t="n">
        <v>9</v>
      </c>
      <c r="E1845" s="3" t="n">
        <v>23</v>
      </c>
      <c r="F1845" s="24" t="n">
        <v>-0.0777726099</v>
      </c>
    </row>
    <row r="1846" customFormat="false" ht="15" hidden="false" customHeight="false" outlineLevel="0" collapsed="false">
      <c r="A1846" s="3" t="n">
        <v>1845</v>
      </c>
      <c r="B1846" s="3" t="n">
        <v>1844</v>
      </c>
      <c r="C1846" s="3" t="n">
        <v>2</v>
      </c>
      <c r="D1846" s="3" t="n">
        <v>9</v>
      </c>
      <c r="E1846" s="3" t="n">
        <v>24</v>
      </c>
      <c r="F1846" s="24" t="n">
        <v>-0.0777726099</v>
      </c>
    </row>
    <row r="1847" customFormat="false" ht="15" hidden="false" customHeight="false" outlineLevel="0" collapsed="false">
      <c r="A1847" s="3" t="n">
        <v>1846</v>
      </c>
      <c r="B1847" s="3" t="n">
        <v>1845</v>
      </c>
      <c r="C1847" s="3" t="n">
        <v>2</v>
      </c>
      <c r="D1847" s="3" t="n">
        <v>9</v>
      </c>
      <c r="E1847" s="3" t="n">
        <v>25</v>
      </c>
      <c r="F1847" s="24" t="n">
        <v>-0.0777726099</v>
      </c>
    </row>
    <row r="1848" customFormat="false" ht="15" hidden="false" customHeight="false" outlineLevel="0" collapsed="false">
      <c r="A1848" s="3" t="n">
        <v>1847</v>
      </c>
      <c r="B1848" s="3" t="n">
        <v>1846</v>
      </c>
      <c r="C1848" s="3" t="n">
        <v>2</v>
      </c>
      <c r="D1848" s="3" t="n">
        <v>9</v>
      </c>
      <c r="E1848" s="3" t="n">
        <v>26</v>
      </c>
      <c r="F1848" s="24" t="n">
        <v>-0.0777726099</v>
      </c>
    </row>
    <row r="1849" customFormat="false" ht="15" hidden="false" customHeight="false" outlineLevel="0" collapsed="false">
      <c r="A1849" s="3" t="n">
        <v>1848</v>
      </c>
      <c r="B1849" s="3" t="n">
        <v>1847</v>
      </c>
      <c r="C1849" s="3" t="n">
        <v>2</v>
      </c>
      <c r="D1849" s="3" t="n">
        <v>9</v>
      </c>
      <c r="E1849" s="3" t="n">
        <v>27</v>
      </c>
      <c r="F1849" s="24" t="n">
        <v>0.387737483</v>
      </c>
    </row>
    <row r="1850" customFormat="false" ht="15" hidden="false" customHeight="false" outlineLevel="0" collapsed="false">
      <c r="A1850" s="3" t="n">
        <v>1849</v>
      </c>
      <c r="B1850" s="3" t="n">
        <v>1848</v>
      </c>
      <c r="C1850" s="3" t="n">
        <v>2</v>
      </c>
      <c r="D1850" s="3" t="n">
        <v>10</v>
      </c>
      <c r="E1850" s="3" t="n">
        <v>0</v>
      </c>
      <c r="F1850" s="24" t="n">
        <v>-0.740650654</v>
      </c>
    </row>
    <row r="1851" customFormat="false" ht="15" hidden="false" customHeight="false" outlineLevel="0" collapsed="false">
      <c r="A1851" s="3" t="n">
        <v>1850</v>
      </c>
      <c r="B1851" s="3" t="n">
        <v>1849</v>
      </c>
      <c r="C1851" s="3" t="n">
        <v>2</v>
      </c>
      <c r="D1851" s="3" t="n">
        <v>10</v>
      </c>
      <c r="E1851" s="3" t="n">
        <v>1</v>
      </c>
      <c r="F1851" s="24" t="n">
        <v>-0.0777726099</v>
      </c>
    </row>
    <row r="1852" customFormat="false" ht="15" hidden="false" customHeight="false" outlineLevel="0" collapsed="false">
      <c r="A1852" s="3" t="n">
        <v>1851</v>
      </c>
      <c r="B1852" s="3" t="n">
        <v>1850</v>
      </c>
      <c r="C1852" s="3" t="n">
        <v>2</v>
      </c>
      <c r="D1852" s="3" t="n">
        <v>10</v>
      </c>
      <c r="E1852" s="3" t="n">
        <v>2</v>
      </c>
      <c r="F1852" s="24" t="n">
        <v>-0.0777726099</v>
      </c>
    </row>
    <row r="1853" customFormat="false" ht="15" hidden="false" customHeight="false" outlineLevel="0" collapsed="false">
      <c r="A1853" s="3" t="n">
        <v>1852</v>
      </c>
      <c r="B1853" s="3" t="n">
        <v>1851</v>
      </c>
      <c r="C1853" s="3" t="n">
        <v>2</v>
      </c>
      <c r="D1853" s="3" t="n">
        <v>10</v>
      </c>
      <c r="E1853" s="3" t="n">
        <v>3</v>
      </c>
      <c r="F1853" s="24" t="n">
        <v>-0.0777726099</v>
      </c>
    </row>
    <row r="1854" customFormat="false" ht="15" hidden="false" customHeight="false" outlineLevel="0" collapsed="false">
      <c r="A1854" s="3" t="n">
        <v>1853</v>
      </c>
      <c r="B1854" s="3" t="n">
        <v>1852</v>
      </c>
      <c r="C1854" s="3" t="n">
        <v>2</v>
      </c>
      <c r="D1854" s="3" t="n">
        <v>10</v>
      </c>
      <c r="E1854" s="3" t="n">
        <v>4</v>
      </c>
      <c r="F1854" s="24" t="n">
        <v>-0.0777726099</v>
      </c>
    </row>
    <row r="1855" customFormat="false" ht="15" hidden="false" customHeight="false" outlineLevel="0" collapsed="false">
      <c r="A1855" s="3" t="n">
        <v>1854</v>
      </c>
      <c r="B1855" s="3" t="n">
        <v>1853</v>
      </c>
      <c r="C1855" s="3" t="n">
        <v>2</v>
      </c>
      <c r="D1855" s="3" t="n">
        <v>10</v>
      </c>
      <c r="E1855" s="3" t="n">
        <v>5</v>
      </c>
      <c r="F1855" s="24" t="n">
        <v>0.06713368</v>
      </c>
    </row>
    <row r="1856" customFormat="false" ht="15" hidden="false" customHeight="false" outlineLevel="0" collapsed="false">
      <c r="A1856" s="3" t="n">
        <v>1855</v>
      </c>
      <c r="B1856" s="3" t="n">
        <v>1854</v>
      </c>
      <c r="C1856" s="3" t="n">
        <v>2</v>
      </c>
      <c r="D1856" s="3" t="n">
        <v>10</v>
      </c>
      <c r="E1856" s="3" t="n">
        <v>6</v>
      </c>
      <c r="F1856" s="24" t="n">
        <v>0.187325954</v>
      </c>
    </row>
    <row r="1857" customFormat="false" ht="15" hidden="false" customHeight="false" outlineLevel="0" collapsed="false">
      <c r="A1857" s="3" t="n">
        <v>1856</v>
      </c>
      <c r="B1857" s="3" t="n">
        <v>1855</v>
      </c>
      <c r="C1857" s="3" t="n">
        <v>2</v>
      </c>
      <c r="D1857" s="3" t="n">
        <v>10</v>
      </c>
      <c r="E1857" s="3" t="n">
        <v>7</v>
      </c>
      <c r="F1857" s="24" t="n">
        <v>-0.273563474</v>
      </c>
    </row>
    <row r="1858" customFormat="false" ht="15" hidden="false" customHeight="false" outlineLevel="0" collapsed="false">
      <c r="A1858" s="3" t="n">
        <v>1857</v>
      </c>
      <c r="B1858" s="3" t="n">
        <v>1856</v>
      </c>
      <c r="C1858" s="3" t="n">
        <v>2</v>
      </c>
      <c r="D1858" s="3" t="n">
        <v>10</v>
      </c>
      <c r="E1858" s="3" t="n">
        <v>8</v>
      </c>
      <c r="F1858" s="24" t="n">
        <v>-0.46306321</v>
      </c>
    </row>
    <row r="1859" customFormat="false" ht="15" hidden="false" customHeight="false" outlineLevel="0" collapsed="false">
      <c r="A1859" s="3" t="n">
        <v>1858</v>
      </c>
      <c r="B1859" s="3" t="n">
        <v>1857</v>
      </c>
      <c r="C1859" s="3" t="n">
        <v>2</v>
      </c>
      <c r="D1859" s="3" t="n">
        <v>10</v>
      </c>
      <c r="E1859" s="3" t="n">
        <v>9</v>
      </c>
      <c r="F1859" s="24" t="n">
        <v>-0.105337046</v>
      </c>
    </row>
    <row r="1860" customFormat="false" ht="15" hidden="false" customHeight="false" outlineLevel="0" collapsed="false">
      <c r="A1860" s="3" t="n">
        <v>1859</v>
      </c>
      <c r="B1860" s="3" t="n">
        <v>1858</v>
      </c>
      <c r="C1860" s="3" t="n">
        <v>2</v>
      </c>
      <c r="D1860" s="3" t="n">
        <v>10</v>
      </c>
      <c r="E1860" s="3" t="n">
        <v>10</v>
      </c>
      <c r="F1860" s="24" t="n">
        <v>-0.0633620843</v>
      </c>
    </row>
    <row r="1861" customFormat="false" ht="15" hidden="false" customHeight="false" outlineLevel="0" collapsed="false">
      <c r="A1861" s="3" t="n">
        <v>1860</v>
      </c>
      <c r="B1861" s="3" t="n">
        <v>1859</v>
      </c>
      <c r="C1861" s="3" t="n">
        <v>2</v>
      </c>
      <c r="D1861" s="3" t="n">
        <v>10</v>
      </c>
      <c r="E1861" s="3" t="n">
        <v>11</v>
      </c>
      <c r="F1861" s="24" t="n">
        <v>0.0954111516</v>
      </c>
    </row>
    <row r="1862" customFormat="false" ht="15" hidden="false" customHeight="false" outlineLevel="0" collapsed="false">
      <c r="A1862" s="3" t="n">
        <v>1861</v>
      </c>
      <c r="B1862" s="3" t="n">
        <v>1860</v>
      </c>
      <c r="C1862" s="3" t="n">
        <v>2</v>
      </c>
      <c r="D1862" s="3" t="n">
        <v>10</v>
      </c>
      <c r="E1862" s="3" t="n">
        <v>12</v>
      </c>
      <c r="F1862" s="24" t="n">
        <v>-0.892831564</v>
      </c>
    </row>
    <row r="1863" customFormat="false" ht="15" hidden="false" customHeight="false" outlineLevel="0" collapsed="false">
      <c r="A1863" s="3" t="n">
        <v>1862</v>
      </c>
      <c r="B1863" s="3" t="n">
        <v>1861</v>
      </c>
      <c r="C1863" s="3" t="n">
        <v>2</v>
      </c>
      <c r="D1863" s="3" t="n">
        <v>10</v>
      </c>
      <c r="E1863" s="3" t="n">
        <v>13</v>
      </c>
      <c r="F1863" s="24" t="n">
        <v>-0.934907317</v>
      </c>
    </row>
    <row r="1864" customFormat="false" ht="15" hidden="false" customHeight="false" outlineLevel="0" collapsed="false">
      <c r="A1864" s="3" t="n">
        <v>1863</v>
      </c>
      <c r="B1864" s="3" t="n">
        <v>1862</v>
      </c>
      <c r="C1864" s="3" t="n">
        <v>2</v>
      </c>
      <c r="D1864" s="3" t="n">
        <v>10</v>
      </c>
      <c r="E1864" s="3" t="n">
        <v>14</v>
      </c>
      <c r="F1864" s="24" t="n">
        <v>-0.390112609</v>
      </c>
    </row>
    <row r="1865" customFormat="false" ht="15" hidden="false" customHeight="false" outlineLevel="0" collapsed="false">
      <c r="A1865" s="3" t="n">
        <v>1864</v>
      </c>
      <c r="B1865" s="3" t="n">
        <v>1863</v>
      </c>
      <c r="C1865" s="3" t="n">
        <v>2</v>
      </c>
      <c r="D1865" s="3" t="n">
        <v>10</v>
      </c>
      <c r="E1865" s="3" t="n">
        <v>15</v>
      </c>
      <c r="F1865" s="24" t="n">
        <v>-0.972932696</v>
      </c>
    </row>
    <row r="1866" customFormat="false" ht="15" hidden="false" customHeight="false" outlineLevel="0" collapsed="false">
      <c r="A1866" s="3" t="n">
        <v>1865</v>
      </c>
      <c r="B1866" s="3" t="n">
        <v>1864</v>
      </c>
      <c r="C1866" s="3" t="n">
        <v>2</v>
      </c>
      <c r="D1866" s="3" t="n">
        <v>10</v>
      </c>
      <c r="E1866" s="3" t="n">
        <v>16</v>
      </c>
      <c r="F1866" s="24" t="n">
        <v>-1.04281843</v>
      </c>
    </row>
    <row r="1867" customFormat="false" ht="15" hidden="false" customHeight="false" outlineLevel="0" collapsed="false">
      <c r="A1867" s="3" t="n">
        <v>1866</v>
      </c>
      <c r="B1867" s="3" t="n">
        <v>1865</v>
      </c>
      <c r="C1867" s="3" t="n">
        <v>2</v>
      </c>
      <c r="D1867" s="3" t="n">
        <v>10</v>
      </c>
      <c r="E1867" s="3" t="n">
        <v>17</v>
      </c>
      <c r="F1867" s="24" t="n">
        <v>-1.02997637</v>
      </c>
    </row>
    <row r="1868" customFormat="false" ht="15" hidden="false" customHeight="false" outlineLevel="0" collapsed="false">
      <c r="A1868" s="3" t="n">
        <v>1867</v>
      </c>
      <c r="B1868" s="3" t="n">
        <v>1866</v>
      </c>
      <c r="C1868" s="3" t="n">
        <v>2</v>
      </c>
      <c r="D1868" s="3" t="n">
        <v>10</v>
      </c>
      <c r="E1868" s="3" t="n">
        <v>18</v>
      </c>
      <c r="F1868" s="24" t="n">
        <v>1.76586401</v>
      </c>
    </row>
    <row r="1869" customFormat="false" ht="15" hidden="false" customHeight="false" outlineLevel="0" collapsed="false">
      <c r="A1869" s="3" t="n">
        <v>1868</v>
      </c>
      <c r="B1869" s="3" t="n">
        <v>1867</v>
      </c>
      <c r="C1869" s="3" t="n">
        <v>2</v>
      </c>
      <c r="D1869" s="3" t="n">
        <v>10</v>
      </c>
      <c r="E1869" s="3" t="n">
        <v>19</v>
      </c>
      <c r="F1869" s="24" t="n">
        <v>2.04890895</v>
      </c>
    </row>
    <row r="1870" customFormat="false" ht="15" hidden="false" customHeight="false" outlineLevel="0" collapsed="false">
      <c r="A1870" s="3" t="n">
        <v>1869</v>
      </c>
      <c r="B1870" s="3" t="n">
        <v>1868</v>
      </c>
      <c r="C1870" s="3" t="n">
        <v>2</v>
      </c>
      <c r="D1870" s="3" t="n">
        <v>10</v>
      </c>
      <c r="E1870" s="3" t="n">
        <v>20</v>
      </c>
      <c r="F1870" s="24" t="n">
        <v>-3.19249535</v>
      </c>
    </row>
    <row r="1871" customFormat="false" ht="15" hidden="false" customHeight="false" outlineLevel="0" collapsed="false">
      <c r="A1871" s="3" t="n">
        <v>1870</v>
      </c>
      <c r="B1871" s="3" t="n">
        <v>1869</v>
      </c>
      <c r="C1871" s="3" t="n">
        <v>2</v>
      </c>
      <c r="D1871" s="3" t="n">
        <v>10</v>
      </c>
      <c r="E1871" s="3" t="n">
        <v>21</v>
      </c>
      <c r="F1871" s="24" t="n">
        <v>-4.82218122</v>
      </c>
    </row>
    <row r="1872" customFormat="false" ht="15" hidden="false" customHeight="false" outlineLevel="0" collapsed="false">
      <c r="A1872" s="3" t="n">
        <v>1871</v>
      </c>
      <c r="B1872" s="3" t="n">
        <v>1870</v>
      </c>
      <c r="C1872" s="3" t="n">
        <v>2</v>
      </c>
      <c r="D1872" s="3" t="n">
        <v>10</v>
      </c>
      <c r="E1872" s="3" t="n">
        <v>22</v>
      </c>
      <c r="F1872" s="24" t="n">
        <v>-1.82569766</v>
      </c>
    </row>
    <row r="1873" customFormat="false" ht="15" hidden="false" customHeight="false" outlineLevel="0" collapsed="false">
      <c r="A1873" s="3" t="n">
        <v>1872</v>
      </c>
      <c r="B1873" s="3" t="n">
        <v>1871</v>
      </c>
      <c r="C1873" s="3" t="n">
        <v>2</v>
      </c>
      <c r="D1873" s="3" t="n">
        <v>10</v>
      </c>
      <c r="E1873" s="3" t="n">
        <v>23</v>
      </c>
      <c r="F1873" s="24" t="n">
        <v>-0.0777726099</v>
      </c>
    </row>
    <row r="1874" customFormat="false" ht="15" hidden="false" customHeight="false" outlineLevel="0" collapsed="false">
      <c r="A1874" s="3" t="n">
        <v>1873</v>
      </c>
      <c r="B1874" s="3" t="n">
        <v>1872</v>
      </c>
      <c r="C1874" s="3" t="n">
        <v>2</v>
      </c>
      <c r="D1874" s="3" t="n">
        <v>10</v>
      </c>
      <c r="E1874" s="3" t="n">
        <v>24</v>
      </c>
      <c r="F1874" s="24" t="n">
        <v>-0.0777726099</v>
      </c>
    </row>
    <row r="1875" customFormat="false" ht="15" hidden="false" customHeight="false" outlineLevel="0" collapsed="false">
      <c r="A1875" s="3" t="n">
        <v>1874</v>
      </c>
      <c r="B1875" s="3" t="n">
        <v>1873</v>
      </c>
      <c r="C1875" s="3" t="n">
        <v>2</v>
      </c>
      <c r="D1875" s="3" t="n">
        <v>10</v>
      </c>
      <c r="E1875" s="3" t="n">
        <v>25</v>
      </c>
      <c r="F1875" s="24" t="n">
        <v>-0.0777726099</v>
      </c>
    </row>
    <row r="1876" customFormat="false" ht="15" hidden="false" customHeight="false" outlineLevel="0" collapsed="false">
      <c r="A1876" s="3" t="n">
        <v>1875</v>
      </c>
      <c r="B1876" s="3" t="n">
        <v>1874</v>
      </c>
      <c r="C1876" s="3" t="n">
        <v>2</v>
      </c>
      <c r="D1876" s="3" t="n">
        <v>10</v>
      </c>
      <c r="E1876" s="3" t="n">
        <v>26</v>
      </c>
      <c r="F1876" s="24" t="n">
        <v>-0.0777726099</v>
      </c>
    </row>
    <row r="1877" customFormat="false" ht="15" hidden="false" customHeight="false" outlineLevel="0" collapsed="false">
      <c r="A1877" s="3" t="n">
        <v>1876</v>
      </c>
      <c r="B1877" s="3" t="n">
        <v>1875</v>
      </c>
      <c r="C1877" s="3" t="n">
        <v>2</v>
      </c>
      <c r="D1877" s="3" t="n">
        <v>10</v>
      </c>
      <c r="E1877" s="3" t="n">
        <v>27</v>
      </c>
      <c r="F1877" s="24" t="n">
        <v>0.387737483</v>
      </c>
    </row>
    <row r="1878" customFormat="false" ht="15" hidden="false" customHeight="false" outlineLevel="0" collapsed="false">
      <c r="A1878" s="3" t="n">
        <v>1877</v>
      </c>
      <c r="B1878" s="3" t="n">
        <v>1876</v>
      </c>
      <c r="C1878" s="3" t="n">
        <v>2</v>
      </c>
      <c r="D1878" s="3" t="n">
        <v>11</v>
      </c>
      <c r="E1878" s="3" t="n">
        <v>0</v>
      </c>
      <c r="F1878" s="24" t="n">
        <v>-0.740650654</v>
      </c>
    </row>
    <row r="1879" customFormat="false" ht="15" hidden="false" customHeight="false" outlineLevel="0" collapsed="false">
      <c r="A1879" s="3" t="n">
        <v>1878</v>
      </c>
      <c r="B1879" s="3" t="n">
        <v>1877</v>
      </c>
      <c r="C1879" s="3" t="n">
        <v>2</v>
      </c>
      <c r="D1879" s="3" t="n">
        <v>11</v>
      </c>
      <c r="E1879" s="3" t="n">
        <v>1</v>
      </c>
      <c r="F1879" s="24" t="n">
        <v>-0.0777726099</v>
      </c>
    </row>
    <row r="1880" customFormat="false" ht="15" hidden="false" customHeight="false" outlineLevel="0" collapsed="false">
      <c r="A1880" s="3" t="n">
        <v>1879</v>
      </c>
      <c r="B1880" s="3" t="n">
        <v>1878</v>
      </c>
      <c r="C1880" s="3" t="n">
        <v>2</v>
      </c>
      <c r="D1880" s="3" t="n">
        <v>11</v>
      </c>
      <c r="E1880" s="3" t="n">
        <v>2</v>
      </c>
      <c r="F1880" s="24" t="n">
        <v>-0.0777726099</v>
      </c>
    </row>
    <row r="1881" customFormat="false" ht="15" hidden="false" customHeight="false" outlineLevel="0" collapsed="false">
      <c r="A1881" s="3" t="n">
        <v>1880</v>
      </c>
      <c r="B1881" s="3" t="n">
        <v>1879</v>
      </c>
      <c r="C1881" s="3" t="n">
        <v>2</v>
      </c>
      <c r="D1881" s="3" t="n">
        <v>11</v>
      </c>
      <c r="E1881" s="3" t="n">
        <v>3</v>
      </c>
      <c r="F1881" s="24" t="n">
        <v>-0.0777726099</v>
      </c>
    </row>
    <row r="1882" customFormat="false" ht="15" hidden="false" customHeight="false" outlineLevel="0" collapsed="false">
      <c r="A1882" s="3" t="n">
        <v>1881</v>
      </c>
      <c r="B1882" s="3" t="n">
        <v>1880</v>
      </c>
      <c r="C1882" s="3" t="n">
        <v>2</v>
      </c>
      <c r="D1882" s="3" t="n">
        <v>11</v>
      </c>
      <c r="E1882" s="3" t="n">
        <v>4</v>
      </c>
      <c r="F1882" s="24" t="n">
        <v>-0.0777726099</v>
      </c>
    </row>
    <row r="1883" customFormat="false" ht="15" hidden="false" customHeight="false" outlineLevel="0" collapsed="false">
      <c r="A1883" s="3" t="n">
        <v>1882</v>
      </c>
      <c r="B1883" s="3" t="n">
        <v>1881</v>
      </c>
      <c r="C1883" s="3" t="n">
        <v>2</v>
      </c>
      <c r="D1883" s="3" t="n">
        <v>11</v>
      </c>
      <c r="E1883" s="3" t="n">
        <v>5</v>
      </c>
      <c r="F1883" s="24" t="n">
        <v>-0.0777726099</v>
      </c>
    </row>
    <row r="1884" customFormat="false" ht="15" hidden="false" customHeight="false" outlineLevel="0" collapsed="false">
      <c r="A1884" s="3" t="n">
        <v>1883</v>
      </c>
      <c r="B1884" s="3" t="n">
        <v>1882</v>
      </c>
      <c r="C1884" s="3" t="n">
        <v>2</v>
      </c>
      <c r="D1884" s="3" t="n">
        <v>11</v>
      </c>
      <c r="E1884" s="3" t="n">
        <v>6</v>
      </c>
      <c r="F1884" s="24" t="n">
        <v>-0.0777726099</v>
      </c>
    </row>
    <row r="1885" customFormat="false" ht="15" hidden="false" customHeight="false" outlineLevel="0" collapsed="false">
      <c r="A1885" s="3" t="n">
        <v>1884</v>
      </c>
      <c r="B1885" s="3" t="n">
        <v>1883</v>
      </c>
      <c r="C1885" s="3" t="n">
        <v>2</v>
      </c>
      <c r="D1885" s="3" t="n">
        <v>11</v>
      </c>
      <c r="E1885" s="3" t="n">
        <v>7</v>
      </c>
      <c r="F1885" s="24" t="n">
        <v>-0.0777726099</v>
      </c>
    </row>
    <row r="1886" customFormat="false" ht="15" hidden="false" customHeight="false" outlineLevel="0" collapsed="false">
      <c r="A1886" s="3" t="n">
        <v>1885</v>
      </c>
      <c r="B1886" s="3" t="n">
        <v>1884</v>
      </c>
      <c r="C1886" s="3" t="n">
        <v>2</v>
      </c>
      <c r="D1886" s="3" t="n">
        <v>11</v>
      </c>
      <c r="E1886" s="3" t="n">
        <v>8</v>
      </c>
      <c r="F1886" s="24" t="n">
        <v>-0.0777726099</v>
      </c>
    </row>
    <row r="1887" customFormat="false" ht="15" hidden="false" customHeight="false" outlineLevel="0" collapsed="false">
      <c r="A1887" s="3" t="n">
        <v>1886</v>
      </c>
      <c r="B1887" s="3" t="n">
        <v>1885</v>
      </c>
      <c r="C1887" s="3" t="n">
        <v>2</v>
      </c>
      <c r="D1887" s="3" t="n">
        <v>11</v>
      </c>
      <c r="E1887" s="3" t="n">
        <v>9</v>
      </c>
      <c r="F1887" s="24" t="n">
        <v>-0.0777726099</v>
      </c>
    </row>
    <row r="1888" customFormat="false" ht="15" hidden="false" customHeight="false" outlineLevel="0" collapsed="false">
      <c r="A1888" s="3" t="n">
        <v>1887</v>
      </c>
      <c r="B1888" s="3" t="n">
        <v>1886</v>
      </c>
      <c r="C1888" s="3" t="n">
        <v>2</v>
      </c>
      <c r="D1888" s="3" t="n">
        <v>11</v>
      </c>
      <c r="E1888" s="3" t="n">
        <v>10</v>
      </c>
      <c r="F1888" s="24" t="n">
        <v>-0.0410053283</v>
      </c>
    </row>
    <row r="1889" customFormat="false" ht="15" hidden="false" customHeight="false" outlineLevel="0" collapsed="false">
      <c r="A1889" s="3" t="n">
        <v>1888</v>
      </c>
      <c r="B1889" s="3" t="n">
        <v>1887</v>
      </c>
      <c r="C1889" s="3" t="n">
        <v>2</v>
      </c>
      <c r="D1889" s="3" t="n">
        <v>11</v>
      </c>
      <c r="E1889" s="3" t="n">
        <v>11</v>
      </c>
      <c r="F1889" s="24" t="n">
        <v>0.0696754605</v>
      </c>
    </row>
    <row r="1890" customFormat="false" ht="15" hidden="false" customHeight="false" outlineLevel="0" collapsed="false">
      <c r="A1890" s="3" t="n">
        <v>1889</v>
      </c>
      <c r="B1890" s="3" t="n">
        <v>1888</v>
      </c>
      <c r="C1890" s="3" t="n">
        <v>2</v>
      </c>
      <c r="D1890" s="3" t="n">
        <v>11</v>
      </c>
      <c r="E1890" s="3" t="n">
        <v>12</v>
      </c>
      <c r="F1890" s="24" t="n">
        <v>-0.126422957</v>
      </c>
    </row>
    <row r="1891" customFormat="false" ht="15" hidden="false" customHeight="false" outlineLevel="0" collapsed="false">
      <c r="A1891" s="3" t="n">
        <v>1890</v>
      </c>
      <c r="B1891" s="3" t="n">
        <v>1889</v>
      </c>
      <c r="C1891" s="3" t="n">
        <v>2</v>
      </c>
      <c r="D1891" s="3" t="n">
        <v>11</v>
      </c>
      <c r="E1891" s="3" t="n">
        <v>13</v>
      </c>
      <c r="F1891" s="24" t="n">
        <v>-0.306334168</v>
      </c>
    </row>
    <row r="1892" customFormat="false" ht="15" hidden="false" customHeight="false" outlineLevel="0" collapsed="false">
      <c r="A1892" s="3" t="n">
        <v>1891</v>
      </c>
      <c r="B1892" s="3" t="n">
        <v>1890</v>
      </c>
      <c r="C1892" s="3" t="n">
        <v>2</v>
      </c>
      <c r="D1892" s="3" t="n">
        <v>11</v>
      </c>
      <c r="E1892" s="3" t="n">
        <v>14</v>
      </c>
      <c r="F1892" s="24" t="n">
        <v>0.00563301146</v>
      </c>
    </row>
    <row r="1893" customFormat="false" ht="15" hidden="false" customHeight="false" outlineLevel="0" collapsed="false">
      <c r="A1893" s="3" t="n">
        <v>1892</v>
      </c>
      <c r="B1893" s="3" t="n">
        <v>1891</v>
      </c>
      <c r="C1893" s="3" t="n">
        <v>2</v>
      </c>
      <c r="D1893" s="3" t="n">
        <v>11</v>
      </c>
      <c r="E1893" s="3" t="n">
        <v>15</v>
      </c>
      <c r="F1893" s="24" t="n">
        <v>-0.297384202</v>
      </c>
    </row>
    <row r="1894" customFormat="false" ht="15" hidden="false" customHeight="false" outlineLevel="0" collapsed="false">
      <c r="A1894" s="3" t="n">
        <v>1893</v>
      </c>
      <c r="B1894" s="3" t="n">
        <v>1892</v>
      </c>
      <c r="C1894" s="3" t="n">
        <v>2</v>
      </c>
      <c r="D1894" s="3" t="n">
        <v>11</v>
      </c>
      <c r="E1894" s="3" t="n">
        <v>16</v>
      </c>
      <c r="F1894" s="24" t="n">
        <v>-0.223381624</v>
      </c>
    </row>
    <row r="1895" customFormat="false" ht="15" hidden="false" customHeight="false" outlineLevel="0" collapsed="false">
      <c r="A1895" s="3" t="n">
        <v>1894</v>
      </c>
      <c r="B1895" s="3" t="n">
        <v>1893</v>
      </c>
      <c r="C1895" s="3" t="n">
        <v>2</v>
      </c>
      <c r="D1895" s="3" t="n">
        <v>11</v>
      </c>
      <c r="E1895" s="3" t="n">
        <v>17</v>
      </c>
      <c r="F1895" s="24" t="n">
        <v>1.27828228</v>
      </c>
    </row>
    <row r="1896" customFormat="false" ht="15" hidden="false" customHeight="false" outlineLevel="0" collapsed="false">
      <c r="A1896" s="3" t="n">
        <v>1895</v>
      </c>
      <c r="B1896" s="3" t="n">
        <v>1894</v>
      </c>
      <c r="C1896" s="3" t="n">
        <v>2</v>
      </c>
      <c r="D1896" s="3" t="n">
        <v>11</v>
      </c>
      <c r="E1896" s="3" t="n">
        <v>18</v>
      </c>
      <c r="F1896" s="24" t="n">
        <v>3.69244266</v>
      </c>
    </row>
    <row r="1897" customFormat="false" ht="15" hidden="false" customHeight="false" outlineLevel="0" collapsed="false">
      <c r="A1897" s="3" t="n">
        <v>1896</v>
      </c>
      <c r="B1897" s="3" t="n">
        <v>1895</v>
      </c>
      <c r="C1897" s="3" t="n">
        <v>2</v>
      </c>
      <c r="D1897" s="3" t="n">
        <v>11</v>
      </c>
      <c r="E1897" s="3" t="n">
        <v>19</v>
      </c>
      <c r="F1897" s="24" t="n">
        <v>0.926950932</v>
      </c>
    </row>
    <row r="1898" customFormat="false" ht="15" hidden="false" customHeight="false" outlineLevel="0" collapsed="false">
      <c r="A1898" s="3" t="n">
        <v>1897</v>
      </c>
      <c r="B1898" s="3" t="n">
        <v>1896</v>
      </c>
      <c r="C1898" s="3" t="n">
        <v>2</v>
      </c>
      <c r="D1898" s="3" t="n">
        <v>11</v>
      </c>
      <c r="E1898" s="3" t="n">
        <v>20</v>
      </c>
      <c r="F1898" s="24" t="n">
        <v>-4.45522976</v>
      </c>
    </row>
    <row r="1899" customFormat="false" ht="15" hidden="false" customHeight="false" outlineLevel="0" collapsed="false">
      <c r="A1899" s="3" t="n">
        <v>1898</v>
      </c>
      <c r="B1899" s="3" t="n">
        <v>1897</v>
      </c>
      <c r="C1899" s="3" t="n">
        <v>2</v>
      </c>
      <c r="D1899" s="3" t="n">
        <v>11</v>
      </c>
      <c r="E1899" s="3" t="n">
        <v>21</v>
      </c>
      <c r="F1899" s="24" t="n">
        <v>-3.68127275</v>
      </c>
    </row>
    <row r="1900" customFormat="false" ht="15" hidden="false" customHeight="false" outlineLevel="0" collapsed="false">
      <c r="A1900" s="3" t="n">
        <v>1899</v>
      </c>
      <c r="B1900" s="3" t="n">
        <v>1898</v>
      </c>
      <c r="C1900" s="3" t="n">
        <v>2</v>
      </c>
      <c r="D1900" s="3" t="n">
        <v>11</v>
      </c>
      <c r="E1900" s="3" t="n">
        <v>22</v>
      </c>
      <c r="F1900" s="24" t="n">
        <v>-0.825435877</v>
      </c>
    </row>
    <row r="1901" customFormat="false" ht="15" hidden="false" customHeight="false" outlineLevel="0" collapsed="false">
      <c r="A1901" s="3" t="n">
        <v>1900</v>
      </c>
      <c r="B1901" s="3" t="n">
        <v>1899</v>
      </c>
      <c r="C1901" s="3" t="n">
        <v>2</v>
      </c>
      <c r="D1901" s="3" t="n">
        <v>11</v>
      </c>
      <c r="E1901" s="3" t="n">
        <v>23</v>
      </c>
      <c r="F1901" s="24" t="n">
        <v>-0.0777726099</v>
      </c>
    </row>
    <row r="1902" customFormat="false" ht="15" hidden="false" customHeight="false" outlineLevel="0" collapsed="false">
      <c r="A1902" s="3" t="n">
        <v>1901</v>
      </c>
      <c r="B1902" s="3" t="n">
        <v>1900</v>
      </c>
      <c r="C1902" s="3" t="n">
        <v>2</v>
      </c>
      <c r="D1902" s="3" t="n">
        <v>11</v>
      </c>
      <c r="E1902" s="3" t="n">
        <v>24</v>
      </c>
      <c r="F1902" s="24" t="n">
        <v>-0.0777726099</v>
      </c>
    </row>
    <row r="1903" customFormat="false" ht="15" hidden="false" customHeight="false" outlineLevel="0" collapsed="false">
      <c r="A1903" s="3" t="n">
        <v>1902</v>
      </c>
      <c r="B1903" s="3" t="n">
        <v>1901</v>
      </c>
      <c r="C1903" s="3" t="n">
        <v>2</v>
      </c>
      <c r="D1903" s="3" t="n">
        <v>11</v>
      </c>
      <c r="E1903" s="3" t="n">
        <v>25</v>
      </c>
      <c r="F1903" s="24" t="n">
        <v>-0.0777726099</v>
      </c>
    </row>
    <row r="1904" customFormat="false" ht="15" hidden="false" customHeight="false" outlineLevel="0" collapsed="false">
      <c r="A1904" s="3" t="n">
        <v>1903</v>
      </c>
      <c r="B1904" s="3" t="n">
        <v>1902</v>
      </c>
      <c r="C1904" s="3" t="n">
        <v>2</v>
      </c>
      <c r="D1904" s="3" t="n">
        <v>11</v>
      </c>
      <c r="E1904" s="3" t="n">
        <v>26</v>
      </c>
      <c r="F1904" s="24" t="n">
        <v>-0.0777726099</v>
      </c>
    </row>
    <row r="1905" customFormat="false" ht="15" hidden="false" customHeight="false" outlineLevel="0" collapsed="false">
      <c r="A1905" s="3" t="n">
        <v>1904</v>
      </c>
      <c r="B1905" s="3" t="n">
        <v>1903</v>
      </c>
      <c r="C1905" s="3" t="n">
        <v>2</v>
      </c>
      <c r="D1905" s="3" t="n">
        <v>11</v>
      </c>
      <c r="E1905" s="3" t="n">
        <v>27</v>
      </c>
      <c r="F1905" s="24" t="n">
        <v>0.387737483</v>
      </c>
    </row>
    <row r="1906" customFormat="false" ht="15" hidden="false" customHeight="false" outlineLevel="0" collapsed="false">
      <c r="A1906" s="3" t="n">
        <v>1905</v>
      </c>
      <c r="B1906" s="3" t="n">
        <v>1904</v>
      </c>
      <c r="C1906" s="3" t="n">
        <v>2</v>
      </c>
      <c r="D1906" s="3" t="n">
        <v>12</v>
      </c>
      <c r="E1906" s="3" t="n">
        <v>0</v>
      </c>
      <c r="F1906" s="24" t="n">
        <v>-0.740650654</v>
      </c>
    </row>
    <row r="1907" customFormat="false" ht="15" hidden="false" customHeight="false" outlineLevel="0" collapsed="false">
      <c r="A1907" s="3" t="n">
        <v>1906</v>
      </c>
      <c r="B1907" s="3" t="n">
        <v>1905</v>
      </c>
      <c r="C1907" s="3" t="n">
        <v>2</v>
      </c>
      <c r="D1907" s="3" t="n">
        <v>12</v>
      </c>
      <c r="E1907" s="3" t="n">
        <v>1</v>
      </c>
      <c r="F1907" s="24" t="n">
        <v>-0.0777726099</v>
      </c>
    </row>
    <row r="1908" customFormat="false" ht="15" hidden="false" customHeight="false" outlineLevel="0" collapsed="false">
      <c r="A1908" s="3" t="n">
        <v>1907</v>
      </c>
      <c r="B1908" s="3" t="n">
        <v>1906</v>
      </c>
      <c r="C1908" s="3" t="n">
        <v>2</v>
      </c>
      <c r="D1908" s="3" t="n">
        <v>12</v>
      </c>
      <c r="E1908" s="3" t="n">
        <v>2</v>
      </c>
      <c r="F1908" s="24" t="n">
        <v>-0.0777726099</v>
      </c>
    </row>
    <row r="1909" customFormat="false" ht="15" hidden="false" customHeight="false" outlineLevel="0" collapsed="false">
      <c r="A1909" s="3" t="n">
        <v>1908</v>
      </c>
      <c r="B1909" s="3" t="n">
        <v>1907</v>
      </c>
      <c r="C1909" s="3" t="n">
        <v>2</v>
      </c>
      <c r="D1909" s="3" t="n">
        <v>12</v>
      </c>
      <c r="E1909" s="3" t="n">
        <v>3</v>
      </c>
      <c r="F1909" s="24" t="n">
        <v>-0.0777726099</v>
      </c>
    </row>
    <row r="1910" customFormat="false" ht="15" hidden="false" customHeight="false" outlineLevel="0" collapsed="false">
      <c r="A1910" s="3" t="n">
        <v>1909</v>
      </c>
      <c r="B1910" s="3" t="n">
        <v>1908</v>
      </c>
      <c r="C1910" s="3" t="n">
        <v>2</v>
      </c>
      <c r="D1910" s="3" t="n">
        <v>12</v>
      </c>
      <c r="E1910" s="3" t="n">
        <v>4</v>
      </c>
      <c r="F1910" s="24" t="n">
        <v>-0.0777726099</v>
      </c>
    </row>
    <row r="1911" customFormat="false" ht="15" hidden="false" customHeight="false" outlineLevel="0" collapsed="false">
      <c r="A1911" s="3" t="n">
        <v>1910</v>
      </c>
      <c r="B1911" s="3" t="n">
        <v>1909</v>
      </c>
      <c r="C1911" s="3" t="n">
        <v>2</v>
      </c>
      <c r="D1911" s="3" t="n">
        <v>12</v>
      </c>
      <c r="E1911" s="3" t="n">
        <v>5</v>
      </c>
      <c r="F1911" s="24" t="n">
        <v>-0.0777726099</v>
      </c>
    </row>
    <row r="1912" customFormat="false" ht="15" hidden="false" customHeight="false" outlineLevel="0" collapsed="false">
      <c r="A1912" s="3" t="n">
        <v>1911</v>
      </c>
      <c r="B1912" s="3" t="n">
        <v>1910</v>
      </c>
      <c r="C1912" s="3" t="n">
        <v>2</v>
      </c>
      <c r="D1912" s="3" t="n">
        <v>12</v>
      </c>
      <c r="E1912" s="3" t="n">
        <v>6</v>
      </c>
      <c r="F1912" s="24" t="n">
        <v>-0.0777726099</v>
      </c>
    </row>
    <row r="1913" customFormat="false" ht="15" hidden="false" customHeight="false" outlineLevel="0" collapsed="false">
      <c r="A1913" s="3" t="n">
        <v>1912</v>
      </c>
      <c r="B1913" s="3" t="n">
        <v>1911</v>
      </c>
      <c r="C1913" s="3" t="n">
        <v>2</v>
      </c>
      <c r="D1913" s="3" t="n">
        <v>12</v>
      </c>
      <c r="E1913" s="3" t="n">
        <v>7</v>
      </c>
      <c r="F1913" s="24" t="n">
        <v>-0.0777726099</v>
      </c>
    </row>
    <row r="1914" customFormat="false" ht="15" hidden="false" customHeight="false" outlineLevel="0" collapsed="false">
      <c r="A1914" s="3" t="n">
        <v>1913</v>
      </c>
      <c r="B1914" s="3" t="n">
        <v>1912</v>
      </c>
      <c r="C1914" s="3" t="n">
        <v>2</v>
      </c>
      <c r="D1914" s="3" t="n">
        <v>12</v>
      </c>
      <c r="E1914" s="3" t="n">
        <v>8</v>
      </c>
      <c r="F1914" s="24" t="n">
        <v>-0.0777726099</v>
      </c>
    </row>
    <row r="1915" customFormat="false" ht="15" hidden="false" customHeight="false" outlineLevel="0" collapsed="false">
      <c r="A1915" s="3" t="n">
        <v>1914</v>
      </c>
      <c r="B1915" s="3" t="n">
        <v>1913</v>
      </c>
      <c r="C1915" s="3" t="n">
        <v>2</v>
      </c>
      <c r="D1915" s="3" t="n">
        <v>12</v>
      </c>
      <c r="E1915" s="3" t="n">
        <v>9</v>
      </c>
      <c r="F1915" s="24" t="n">
        <v>-0.0777726099</v>
      </c>
    </row>
    <row r="1916" customFormat="false" ht="15" hidden="false" customHeight="false" outlineLevel="0" collapsed="false">
      <c r="A1916" s="3" t="n">
        <v>1915</v>
      </c>
      <c r="B1916" s="3" t="n">
        <v>1914</v>
      </c>
      <c r="C1916" s="3" t="n">
        <v>2</v>
      </c>
      <c r="D1916" s="3" t="n">
        <v>12</v>
      </c>
      <c r="E1916" s="3" t="n">
        <v>10</v>
      </c>
      <c r="F1916" s="24" t="n">
        <v>-0.0777726099</v>
      </c>
    </row>
    <row r="1917" customFormat="false" ht="15" hidden="false" customHeight="false" outlineLevel="0" collapsed="false">
      <c r="A1917" s="3" t="n">
        <v>1916</v>
      </c>
      <c r="B1917" s="3" t="n">
        <v>1915</v>
      </c>
      <c r="C1917" s="3" t="n">
        <v>2</v>
      </c>
      <c r="D1917" s="3" t="n">
        <v>12</v>
      </c>
      <c r="E1917" s="3" t="n">
        <v>11</v>
      </c>
      <c r="F1917" s="24" t="n">
        <v>-0.0777726099</v>
      </c>
    </row>
    <row r="1918" customFormat="false" ht="15" hidden="false" customHeight="false" outlineLevel="0" collapsed="false">
      <c r="A1918" s="3" t="n">
        <v>1917</v>
      </c>
      <c r="B1918" s="3" t="n">
        <v>1916</v>
      </c>
      <c r="C1918" s="3" t="n">
        <v>2</v>
      </c>
      <c r="D1918" s="3" t="n">
        <v>12</v>
      </c>
      <c r="E1918" s="3" t="n">
        <v>12</v>
      </c>
      <c r="F1918" s="24" t="n">
        <v>-0.0777726099</v>
      </c>
    </row>
    <row r="1919" customFormat="false" ht="15" hidden="false" customHeight="false" outlineLevel="0" collapsed="false">
      <c r="A1919" s="3" t="n">
        <v>1918</v>
      </c>
      <c r="B1919" s="3" t="n">
        <v>1917</v>
      </c>
      <c r="C1919" s="3" t="n">
        <v>2</v>
      </c>
      <c r="D1919" s="3" t="n">
        <v>12</v>
      </c>
      <c r="E1919" s="3" t="n">
        <v>13</v>
      </c>
      <c r="F1919" s="24" t="n">
        <v>-0.0777726099</v>
      </c>
    </row>
    <row r="1920" customFormat="false" ht="15" hidden="false" customHeight="false" outlineLevel="0" collapsed="false">
      <c r="A1920" s="3" t="n">
        <v>1919</v>
      </c>
      <c r="B1920" s="3" t="n">
        <v>1918</v>
      </c>
      <c r="C1920" s="3" t="n">
        <v>2</v>
      </c>
      <c r="D1920" s="3" t="n">
        <v>12</v>
      </c>
      <c r="E1920" s="3" t="n">
        <v>14</v>
      </c>
      <c r="F1920" s="24" t="n">
        <v>-0.0777726099</v>
      </c>
    </row>
    <row r="1921" customFormat="false" ht="15" hidden="false" customHeight="false" outlineLevel="0" collapsed="false">
      <c r="A1921" s="3" t="n">
        <v>1920</v>
      </c>
      <c r="B1921" s="3" t="n">
        <v>1919</v>
      </c>
      <c r="C1921" s="3" t="n">
        <v>2</v>
      </c>
      <c r="D1921" s="3" t="n">
        <v>12</v>
      </c>
      <c r="E1921" s="3" t="n">
        <v>15</v>
      </c>
      <c r="F1921" s="24" t="n">
        <v>-0.0777726099</v>
      </c>
    </row>
    <row r="1922" customFormat="false" ht="15" hidden="false" customHeight="false" outlineLevel="0" collapsed="false">
      <c r="A1922" s="3" t="n">
        <v>1921</v>
      </c>
      <c r="B1922" s="3" t="n">
        <v>1920</v>
      </c>
      <c r="C1922" s="3" t="n">
        <v>2</v>
      </c>
      <c r="D1922" s="3" t="n">
        <v>12</v>
      </c>
      <c r="E1922" s="3" t="n">
        <v>16</v>
      </c>
      <c r="F1922" s="24" t="n">
        <v>0.626000881</v>
      </c>
    </row>
    <row r="1923" customFormat="false" ht="15" hidden="false" customHeight="false" outlineLevel="0" collapsed="false">
      <c r="A1923" s="3" t="n">
        <v>1922</v>
      </c>
      <c r="B1923" s="3" t="n">
        <v>1921</v>
      </c>
      <c r="C1923" s="3" t="n">
        <v>2</v>
      </c>
      <c r="D1923" s="3" t="n">
        <v>12</v>
      </c>
      <c r="E1923" s="3" t="n">
        <v>17</v>
      </c>
      <c r="F1923" s="24" t="n">
        <v>3.36361599</v>
      </c>
    </row>
    <row r="1924" customFormat="false" ht="15" hidden="false" customHeight="false" outlineLevel="0" collapsed="false">
      <c r="A1924" s="3" t="n">
        <v>1923</v>
      </c>
      <c r="B1924" s="3" t="n">
        <v>1922</v>
      </c>
      <c r="C1924" s="3" t="n">
        <v>2</v>
      </c>
      <c r="D1924" s="3" t="n">
        <v>12</v>
      </c>
      <c r="E1924" s="3" t="n">
        <v>18</v>
      </c>
      <c r="F1924" s="24" t="n">
        <v>3.14443398</v>
      </c>
    </row>
    <row r="1925" customFormat="false" ht="15" hidden="false" customHeight="false" outlineLevel="0" collapsed="false">
      <c r="A1925" s="3" t="n">
        <v>1924</v>
      </c>
      <c r="B1925" s="3" t="n">
        <v>1923</v>
      </c>
      <c r="C1925" s="3" t="n">
        <v>2</v>
      </c>
      <c r="D1925" s="3" t="n">
        <v>12</v>
      </c>
      <c r="E1925" s="3" t="n">
        <v>19</v>
      </c>
      <c r="F1925" s="24" t="n">
        <v>-2.01850367</v>
      </c>
    </row>
    <row r="1926" customFormat="false" ht="15" hidden="false" customHeight="false" outlineLevel="0" collapsed="false">
      <c r="A1926" s="3" t="n">
        <v>1925</v>
      </c>
      <c r="B1926" s="3" t="n">
        <v>1924</v>
      </c>
      <c r="C1926" s="3" t="n">
        <v>2</v>
      </c>
      <c r="D1926" s="3" t="n">
        <v>12</v>
      </c>
      <c r="E1926" s="3" t="n">
        <v>20</v>
      </c>
      <c r="F1926" s="24" t="n">
        <v>-4.84383821</v>
      </c>
    </row>
    <row r="1927" customFormat="false" ht="15" hidden="false" customHeight="false" outlineLevel="0" collapsed="false">
      <c r="A1927" s="3" t="n">
        <v>1926</v>
      </c>
      <c r="B1927" s="3" t="n">
        <v>1925</v>
      </c>
      <c r="C1927" s="3" t="n">
        <v>2</v>
      </c>
      <c r="D1927" s="3" t="n">
        <v>12</v>
      </c>
      <c r="E1927" s="3" t="n">
        <v>21</v>
      </c>
      <c r="F1927" s="24" t="n">
        <v>-2.19813514</v>
      </c>
    </row>
    <row r="1928" customFormat="false" ht="15" hidden="false" customHeight="false" outlineLevel="0" collapsed="false">
      <c r="A1928" s="3" t="n">
        <v>1927</v>
      </c>
      <c r="B1928" s="3" t="n">
        <v>1926</v>
      </c>
      <c r="C1928" s="3" t="n">
        <v>2</v>
      </c>
      <c r="D1928" s="3" t="n">
        <v>12</v>
      </c>
      <c r="E1928" s="3" t="n">
        <v>22</v>
      </c>
      <c r="F1928" s="24" t="n">
        <v>-0.18068409</v>
      </c>
    </row>
    <row r="1929" customFormat="false" ht="15" hidden="false" customHeight="false" outlineLevel="0" collapsed="false">
      <c r="A1929" s="3" t="n">
        <v>1928</v>
      </c>
      <c r="B1929" s="3" t="n">
        <v>1927</v>
      </c>
      <c r="C1929" s="3" t="n">
        <v>2</v>
      </c>
      <c r="D1929" s="3" t="n">
        <v>12</v>
      </c>
      <c r="E1929" s="3" t="n">
        <v>23</v>
      </c>
      <c r="F1929" s="24" t="n">
        <v>-0.0777726099</v>
      </c>
    </row>
    <row r="1930" customFormat="false" ht="15" hidden="false" customHeight="false" outlineLevel="0" collapsed="false">
      <c r="A1930" s="3" t="n">
        <v>1929</v>
      </c>
      <c r="B1930" s="3" t="n">
        <v>1928</v>
      </c>
      <c r="C1930" s="3" t="n">
        <v>2</v>
      </c>
      <c r="D1930" s="3" t="n">
        <v>12</v>
      </c>
      <c r="E1930" s="3" t="n">
        <v>24</v>
      </c>
      <c r="F1930" s="24" t="n">
        <v>-0.0777726099</v>
      </c>
    </row>
    <row r="1931" customFormat="false" ht="15" hidden="false" customHeight="false" outlineLevel="0" collapsed="false">
      <c r="A1931" s="3" t="n">
        <v>1930</v>
      </c>
      <c r="B1931" s="3" t="n">
        <v>1929</v>
      </c>
      <c r="C1931" s="3" t="n">
        <v>2</v>
      </c>
      <c r="D1931" s="3" t="n">
        <v>12</v>
      </c>
      <c r="E1931" s="3" t="n">
        <v>25</v>
      </c>
      <c r="F1931" s="24" t="n">
        <v>-0.0777726099</v>
      </c>
    </row>
    <row r="1932" customFormat="false" ht="15" hidden="false" customHeight="false" outlineLevel="0" collapsed="false">
      <c r="A1932" s="3" t="n">
        <v>1931</v>
      </c>
      <c r="B1932" s="3" t="n">
        <v>1930</v>
      </c>
      <c r="C1932" s="3" t="n">
        <v>2</v>
      </c>
      <c r="D1932" s="3" t="n">
        <v>12</v>
      </c>
      <c r="E1932" s="3" t="n">
        <v>26</v>
      </c>
      <c r="F1932" s="24" t="n">
        <v>-0.0777726099</v>
      </c>
    </row>
    <row r="1933" customFormat="false" ht="15" hidden="false" customHeight="false" outlineLevel="0" collapsed="false">
      <c r="A1933" s="3" t="n">
        <v>1932</v>
      </c>
      <c r="B1933" s="3" t="n">
        <v>1931</v>
      </c>
      <c r="C1933" s="3" t="n">
        <v>2</v>
      </c>
      <c r="D1933" s="3" t="n">
        <v>12</v>
      </c>
      <c r="E1933" s="3" t="n">
        <v>27</v>
      </c>
      <c r="F1933" s="24" t="n">
        <v>0.387737483</v>
      </c>
    </row>
    <row r="1934" customFormat="false" ht="15" hidden="false" customHeight="false" outlineLevel="0" collapsed="false">
      <c r="A1934" s="3" t="n">
        <v>1933</v>
      </c>
      <c r="B1934" s="3" t="n">
        <v>1932</v>
      </c>
      <c r="C1934" s="3" t="n">
        <v>2</v>
      </c>
      <c r="D1934" s="3" t="n">
        <v>13</v>
      </c>
      <c r="E1934" s="3" t="n">
        <v>0</v>
      </c>
      <c r="F1934" s="24" t="n">
        <v>-0.740650654</v>
      </c>
    </row>
    <row r="1935" customFormat="false" ht="15" hidden="false" customHeight="false" outlineLevel="0" collapsed="false">
      <c r="A1935" s="3" t="n">
        <v>1934</v>
      </c>
      <c r="B1935" s="3" t="n">
        <v>1933</v>
      </c>
      <c r="C1935" s="3" t="n">
        <v>2</v>
      </c>
      <c r="D1935" s="3" t="n">
        <v>13</v>
      </c>
      <c r="E1935" s="3" t="n">
        <v>1</v>
      </c>
      <c r="F1935" s="24" t="n">
        <v>-0.0777726099</v>
      </c>
    </row>
    <row r="1936" customFormat="false" ht="15" hidden="false" customHeight="false" outlineLevel="0" collapsed="false">
      <c r="A1936" s="3" t="n">
        <v>1935</v>
      </c>
      <c r="B1936" s="3" t="n">
        <v>1934</v>
      </c>
      <c r="C1936" s="3" t="n">
        <v>2</v>
      </c>
      <c r="D1936" s="3" t="n">
        <v>13</v>
      </c>
      <c r="E1936" s="3" t="n">
        <v>2</v>
      </c>
      <c r="F1936" s="24" t="n">
        <v>-0.0777726099</v>
      </c>
    </row>
    <row r="1937" customFormat="false" ht="15" hidden="false" customHeight="false" outlineLevel="0" collapsed="false">
      <c r="A1937" s="3" t="n">
        <v>1936</v>
      </c>
      <c r="B1937" s="3" t="n">
        <v>1935</v>
      </c>
      <c r="C1937" s="3" t="n">
        <v>2</v>
      </c>
      <c r="D1937" s="3" t="n">
        <v>13</v>
      </c>
      <c r="E1937" s="3" t="n">
        <v>3</v>
      </c>
      <c r="F1937" s="24" t="n">
        <v>-0.0777726099</v>
      </c>
    </row>
    <row r="1938" customFormat="false" ht="15" hidden="false" customHeight="false" outlineLevel="0" collapsed="false">
      <c r="A1938" s="3" t="n">
        <v>1937</v>
      </c>
      <c r="B1938" s="3" t="n">
        <v>1936</v>
      </c>
      <c r="C1938" s="3" t="n">
        <v>2</v>
      </c>
      <c r="D1938" s="3" t="n">
        <v>13</v>
      </c>
      <c r="E1938" s="3" t="n">
        <v>4</v>
      </c>
      <c r="F1938" s="24" t="n">
        <v>-0.0777726099</v>
      </c>
    </row>
    <row r="1939" customFormat="false" ht="15" hidden="false" customHeight="false" outlineLevel="0" collapsed="false">
      <c r="A1939" s="3" t="n">
        <v>1938</v>
      </c>
      <c r="B1939" s="3" t="n">
        <v>1937</v>
      </c>
      <c r="C1939" s="3" t="n">
        <v>2</v>
      </c>
      <c r="D1939" s="3" t="n">
        <v>13</v>
      </c>
      <c r="E1939" s="3" t="n">
        <v>5</v>
      </c>
      <c r="F1939" s="24" t="n">
        <v>-0.0777726099</v>
      </c>
    </row>
    <row r="1940" customFormat="false" ht="15" hidden="false" customHeight="false" outlineLevel="0" collapsed="false">
      <c r="A1940" s="3" t="n">
        <v>1939</v>
      </c>
      <c r="B1940" s="3" t="n">
        <v>1938</v>
      </c>
      <c r="C1940" s="3" t="n">
        <v>2</v>
      </c>
      <c r="D1940" s="3" t="n">
        <v>13</v>
      </c>
      <c r="E1940" s="3" t="n">
        <v>6</v>
      </c>
      <c r="F1940" s="24" t="n">
        <v>-0.0777726099</v>
      </c>
    </row>
    <row r="1941" customFormat="false" ht="15" hidden="false" customHeight="false" outlineLevel="0" collapsed="false">
      <c r="A1941" s="3" t="n">
        <v>1940</v>
      </c>
      <c r="B1941" s="3" t="n">
        <v>1939</v>
      </c>
      <c r="C1941" s="3" t="n">
        <v>2</v>
      </c>
      <c r="D1941" s="3" t="n">
        <v>13</v>
      </c>
      <c r="E1941" s="3" t="n">
        <v>7</v>
      </c>
      <c r="F1941" s="24" t="n">
        <v>-0.0777726099</v>
      </c>
    </row>
    <row r="1942" customFormat="false" ht="15" hidden="false" customHeight="false" outlineLevel="0" collapsed="false">
      <c r="A1942" s="3" t="n">
        <v>1941</v>
      </c>
      <c r="B1942" s="3" t="n">
        <v>1940</v>
      </c>
      <c r="C1942" s="3" t="n">
        <v>2</v>
      </c>
      <c r="D1942" s="3" t="n">
        <v>13</v>
      </c>
      <c r="E1942" s="3" t="n">
        <v>8</v>
      </c>
      <c r="F1942" s="24" t="n">
        <v>-0.0777726099</v>
      </c>
    </row>
    <row r="1943" customFormat="false" ht="15" hidden="false" customHeight="false" outlineLevel="0" collapsed="false">
      <c r="A1943" s="3" t="n">
        <v>1942</v>
      </c>
      <c r="B1943" s="3" t="n">
        <v>1941</v>
      </c>
      <c r="C1943" s="3" t="n">
        <v>2</v>
      </c>
      <c r="D1943" s="3" t="n">
        <v>13</v>
      </c>
      <c r="E1943" s="3" t="n">
        <v>9</v>
      </c>
      <c r="F1943" s="24" t="n">
        <v>-0.0777726099</v>
      </c>
    </row>
    <row r="1944" customFormat="false" ht="15" hidden="false" customHeight="false" outlineLevel="0" collapsed="false">
      <c r="A1944" s="3" t="n">
        <v>1943</v>
      </c>
      <c r="B1944" s="3" t="n">
        <v>1942</v>
      </c>
      <c r="C1944" s="3" t="n">
        <v>2</v>
      </c>
      <c r="D1944" s="3" t="n">
        <v>13</v>
      </c>
      <c r="E1944" s="3" t="n">
        <v>10</v>
      </c>
      <c r="F1944" s="24" t="n">
        <v>-0.0777726099</v>
      </c>
    </row>
    <row r="1945" customFormat="false" ht="15" hidden="false" customHeight="false" outlineLevel="0" collapsed="false">
      <c r="A1945" s="3" t="n">
        <v>1944</v>
      </c>
      <c r="B1945" s="3" t="n">
        <v>1943</v>
      </c>
      <c r="C1945" s="3" t="n">
        <v>2</v>
      </c>
      <c r="D1945" s="3" t="n">
        <v>13</v>
      </c>
      <c r="E1945" s="3" t="n">
        <v>11</v>
      </c>
      <c r="F1945" s="24" t="n">
        <v>-0.0777726099</v>
      </c>
    </row>
    <row r="1946" customFormat="false" ht="15" hidden="false" customHeight="false" outlineLevel="0" collapsed="false">
      <c r="A1946" s="3" t="n">
        <v>1945</v>
      </c>
      <c r="B1946" s="3" t="n">
        <v>1944</v>
      </c>
      <c r="C1946" s="3" t="n">
        <v>2</v>
      </c>
      <c r="D1946" s="3" t="n">
        <v>13</v>
      </c>
      <c r="E1946" s="3" t="n">
        <v>12</v>
      </c>
      <c r="F1946" s="24" t="n">
        <v>-0.0777726099</v>
      </c>
    </row>
    <row r="1947" customFormat="false" ht="15" hidden="false" customHeight="false" outlineLevel="0" collapsed="false">
      <c r="A1947" s="3" t="n">
        <v>1946</v>
      </c>
      <c r="B1947" s="3" t="n">
        <v>1945</v>
      </c>
      <c r="C1947" s="3" t="n">
        <v>2</v>
      </c>
      <c r="D1947" s="3" t="n">
        <v>13</v>
      </c>
      <c r="E1947" s="3" t="n">
        <v>13</v>
      </c>
      <c r="F1947" s="24" t="n">
        <v>-0.0777726099</v>
      </c>
    </row>
    <row r="1948" customFormat="false" ht="15" hidden="false" customHeight="false" outlineLevel="0" collapsed="false">
      <c r="A1948" s="3" t="n">
        <v>1947</v>
      </c>
      <c r="B1948" s="3" t="n">
        <v>1946</v>
      </c>
      <c r="C1948" s="3" t="n">
        <v>2</v>
      </c>
      <c r="D1948" s="3" t="n">
        <v>13</v>
      </c>
      <c r="E1948" s="3" t="n">
        <v>14</v>
      </c>
      <c r="F1948" s="24" t="n">
        <v>-0.0777726099</v>
      </c>
    </row>
    <row r="1949" customFormat="false" ht="15" hidden="false" customHeight="false" outlineLevel="0" collapsed="false">
      <c r="A1949" s="3" t="n">
        <v>1948</v>
      </c>
      <c r="B1949" s="3" t="n">
        <v>1947</v>
      </c>
      <c r="C1949" s="3" t="n">
        <v>2</v>
      </c>
      <c r="D1949" s="3" t="n">
        <v>13</v>
      </c>
      <c r="E1949" s="3" t="n">
        <v>15</v>
      </c>
      <c r="F1949" s="24" t="n">
        <v>0.167090327</v>
      </c>
    </row>
    <row r="1950" customFormat="false" ht="15" hidden="false" customHeight="false" outlineLevel="0" collapsed="false">
      <c r="A1950" s="3" t="n">
        <v>1949</v>
      </c>
      <c r="B1950" s="3" t="n">
        <v>1948</v>
      </c>
      <c r="C1950" s="3" t="n">
        <v>2</v>
      </c>
      <c r="D1950" s="3" t="n">
        <v>13</v>
      </c>
      <c r="E1950" s="3" t="n">
        <v>16</v>
      </c>
      <c r="F1950" s="24" t="n">
        <v>2.1919136</v>
      </c>
    </row>
    <row r="1951" customFormat="false" ht="15" hidden="false" customHeight="false" outlineLevel="0" collapsed="false">
      <c r="A1951" s="3" t="n">
        <v>1950</v>
      </c>
      <c r="B1951" s="3" t="n">
        <v>1949</v>
      </c>
      <c r="C1951" s="3" t="n">
        <v>2</v>
      </c>
      <c r="D1951" s="3" t="n">
        <v>13</v>
      </c>
      <c r="E1951" s="3" t="n">
        <v>17</v>
      </c>
      <c r="F1951" s="24" t="n">
        <v>3.81526923</v>
      </c>
    </row>
    <row r="1952" customFormat="false" ht="15" hidden="false" customHeight="false" outlineLevel="0" collapsed="false">
      <c r="A1952" s="3" t="n">
        <v>1951</v>
      </c>
      <c r="B1952" s="3" t="n">
        <v>1950</v>
      </c>
      <c r="C1952" s="3" t="n">
        <v>2</v>
      </c>
      <c r="D1952" s="3" t="n">
        <v>13</v>
      </c>
      <c r="E1952" s="3" t="n">
        <v>18</v>
      </c>
      <c r="F1952" s="24" t="n">
        <v>0.590456009</v>
      </c>
    </row>
    <row r="1953" customFormat="false" ht="15" hidden="false" customHeight="false" outlineLevel="0" collapsed="false">
      <c r="A1953" s="3" t="n">
        <v>1952</v>
      </c>
      <c r="B1953" s="3" t="n">
        <v>1951</v>
      </c>
      <c r="C1953" s="3" t="n">
        <v>2</v>
      </c>
      <c r="D1953" s="3" t="n">
        <v>13</v>
      </c>
      <c r="E1953" s="3" t="n">
        <v>19</v>
      </c>
      <c r="F1953" s="24" t="n">
        <v>-4.38263607</v>
      </c>
    </row>
    <row r="1954" customFormat="false" ht="15" hidden="false" customHeight="false" outlineLevel="0" collapsed="false">
      <c r="A1954" s="3" t="n">
        <v>1953</v>
      </c>
      <c r="B1954" s="3" t="n">
        <v>1952</v>
      </c>
      <c r="C1954" s="3" t="n">
        <v>2</v>
      </c>
      <c r="D1954" s="3" t="n">
        <v>13</v>
      </c>
      <c r="E1954" s="3" t="n">
        <v>20</v>
      </c>
      <c r="F1954" s="24" t="n">
        <v>-3.80788946</v>
      </c>
    </row>
    <row r="1955" customFormat="false" ht="15" hidden="false" customHeight="false" outlineLevel="0" collapsed="false">
      <c r="A1955" s="3" t="n">
        <v>1954</v>
      </c>
      <c r="B1955" s="3" t="n">
        <v>1953</v>
      </c>
      <c r="C1955" s="3" t="n">
        <v>2</v>
      </c>
      <c r="D1955" s="3" t="n">
        <v>13</v>
      </c>
      <c r="E1955" s="3" t="n">
        <v>21</v>
      </c>
      <c r="F1955" s="24" t="n">
        <v>-0.89851284</v>
      </c>
    </row>
    <row r="1956" customFormat="false" ht="15" hidden="false" customHeight="false" outlineLevel="0" collapsed="false">
      <c r="A1956" s="3" t="n">
        <v>1955</v>
      </c>
      <c r="B1956" s="3" t="n">
        <v>1954</v>
      </c>
      <c r="C1956" s="3" t="n">
        <v>2</v>
      </c>
      <c r="D1956" s="3" t="n">
        <v>13</v>
      </c>
      <c r="E1956" s="3" t="n">
        <v>22</v>
      </c>
      <c r="F1956" s="24" t="n">
        <v>-0.0777726099</v>
      </c>
    </row>
    <row r="1957" customFormat="false" ht="15" hidden="false" customHeight="false" outlineLevel="0" collapsed="false">
      <c r="A1957" s="3" t="n">
        <v>1956</v>
      </c>
      <c r="B1957" s="3" t="n">
        <v>1955</v>
      </c>
      <c r="C1957" s="3" t="n">
        <v>2</v>
      </c>
      <c r="D1957" s="3" t="n">
        <v>13</v>
      </c>
      <c r="E1957" s="3" t="n">
        <v>23</v>
      </c>
      <c r="F1957" s="24" t="n">
        <v>-0.0777726099</v>
      </c>
    </row>
    <row r="1958" customFormat="false" ht="15" hidden="false" customHeight="false" outlineLevel="0" collapsed="false">
      <c r="A1958" s="3" t="n">
        <v>1957</v>
      </c>
      <c r="B1958" s="3" t="n">
        <v>1956</v>
      </c>
      <c r="C1958" s="3" t="n">
        <v>2</v>
      </c>
      <c r="D1958" s="3" t="n">
        <v>13</v>
      </c>
      <c r="E1958" s="3" t="n">
        <v>24</v>
      </c>
      <c r="F1958" s="24" t="n">
        <v>-0.0777726099</v>
      </c>
    </row>
    <row r="1959" customFormat="false" ht="15" hidden="false" customHeight="false" outlineLevel="0" collapsed="false">
      <c r="A1959" s="3" t="n">
        <v>1958</v>
      </c>
      <c r="B1959" s="3" t="n">
        <v>1957</v>
      </c>
      <c r="C1959" s="3" t="n">
        <v>2</v>
      </c>
      <c r="D1959" s="3" t="n">
        <v>13</v>
      </c>
      <c r="E1959" s="3" t="n">
        <v>25</v>
      </c>
      <c r="F1959" s="24" t="n">
        <v>-0.0777726099</v>
      </c>
    </row>
    <row r="1960" customFormat="false" ht="15" hidden="false" customHeight="false" outlineLevel="0" collapsed="false">
      <c r="A1960" s="3" t="n">
        <v>1959</v>
      </c>
      <c r="B1960" s="3" t="n">
        <v>1958</v>
      </c>
      <c r="C1960" s="3" t="n">
        <v>2</v>
      </c>
      <c r="D1960" s="3" t="n">
        <v>13</v>
      </c>
      <c r="E1960" s="3" t="n">
        <v>26</v>
      </c>
      <c r="F1960" s="24" t="n">
        <v>-0.0777726099</v>
      </c>
    </row>
    <row r="1961" customFormat="false" ht="15" hidden="false" customHeight="false" outlineLevel="0" collapsed="false">
      <c r="A1961" s="3" t="n">
        <v>1960</v>
      </c>
      <c r="B1961" s="3" t="n">
        <v>1959</v>
      </c>
      <c r="C1961" s="3" t="n">
        <v>2</v>
      </c>
      <c r="D1961" s="3" t="n">
        <v>13</v>
      </c>
      <c r="E1961" s="3" t="n">
        <v>27</v>
      </c>
      <c r="F1961" s="24" t="n">
        <v>0.387737483</v>
      </c>
    </row>
    <row r="1962" customFormat="false" ht="15" hidden="false" customHeight="false" outlineLevel="0" collapsed="false">
      <c r="A1962" s="3" t="n">
        <v>1961</v>
      </c>
      <c r="B1962" s="3" t="n">
        <v>1960</v>
      </c>
      <c r="C1962" s="3" t="n">
        <v>2</v>
      </c>
      <c r="D1962" s="3" t="n">
        <v>14</v>
      </c>
      <c r="E1962" s="3" t="n">
        <v>0</v>
      </c>
      <c r="F1962" s="24" t="n">
        <v>-0.740650654</v>
      </c>
    </row>
    <row r="1963" customFormat="false" ht="15" hidden="false" customHeight="false" outlineLevel="0" collapsed="false">
      <c r="A1963" s="3" t="n">
        <v>1962</v>
      </c>
      <c r="B1963" s="3" t="n">
        <v>1961</v>
      </c>
      <c r="C1963" s="3" t="n">
        <v>2</v>
      </c>
      <c r="D1963" s="3" t="n">
        <v>14</v>
      </c>
      <c r="E1963" s="3" t="n">
        <v>1</v>
      </c>
      <c r="F1963" s="24" t="n">
        <v>-0.0777726099</v>
      </c>
    </row>
    <row r="1964" customFormat="false" ht="15" hidden="false" customHeight="false" outlineLevel="0" collapsed="false">
      <c r="A1964" s="3" t="n">
        <v>1963</v>
      </c>
      <c r="B1964" s="3" t="n">
        <v>1962</v>
      </c>
      <c r="C1964" s="3" t="n">
        <v>2</v>
      </c>
      <c r="D1964" s="3" t="n">
        <v>14</v>
      </c>
      <c r="E1964" s="3" t="n">
        <v>2</v>
      </c>
      <c r="F1964" s="24" t="n">
        <v>-0.0777726099</v>
      </c>
    </row>
    <row r="1965" customFormat="false" ht="15" hidden="false" customHeight="false" outlineLevel="0" collapsed="false">
      <c r="A1965" s="3" t="n">
        <v>1964</v>
      </c>
      <c r="B1965" s="3" t="n">
        <v>1963</v>
      </c>
      <c r="C1965" s="3" t="n">
        <v>2</v>
      </c>
      <c r="D1965" s="3" t="n">
        <v>14</v>
      </c>
      <c r="E1965" s="3" t="n">
        <v>3</v>
      </c>
      <c r="F1965" s="24" t="n">
        <v>-0.0777726099</v>
      </c>
    </row>
    <row r="1966" customFormat="false" ht="15" hidden="false" customHeight="false" outlineLevel="0" collapsed="false">
      <c r="A1966" s="3" t="n">
        <v>1965</v>
      </c>
      <c r="B1966" s="3" t="n">
        <v>1964</v>
      </c>
      <c r="C1966" s="3" t="n">
        <v>2</v>
      </c>
      <c r="D1966" s="3" t="n">
        <v>14</v>
      </c>
      <c r="E1966" s="3" t="n">
        <v>4</v>
      </c>
      <c r="F1966" s="24" t="n">
        <v>-0.0777726099</v>
      </c>
    </row>
    <row r="1967" customFormat="false" ht="15" hidden="false" customHeight="false" outlineLevel="0" collapsed="false">
      <c r="A1967" s="3" t="n">
        <v>1966</v>
      </c>
      <c r="B1967" s="3" t="n">
        <v>1965</v>
      </c>
      <c r="C1967" s="3" t="n">
        <v>2</v>
      </c>
      <c r="D1967" s="3" t="n">
        <v>14</v>
      </c>
      <c r="E1967" s="3" t="n">
        <v>5</v>
      </c>
      <c r="F1967" s="24" t="n">
        <v>-0.0777726099</v>
      </c>
    </row>
    <row r="1968" customFormat="false" ht="15" hidden="false" customHeight="false" outlineLevel="0" collapsed="false">
      <c r="A1968" s="3" t="n">
        <v>1967</v>
      </c>
      <c r="B1968" s="3" t="n">
        <v>1966</v>
      </c>
      <c r="C1968" s="3" t="n">
        <v>2</v>
      </c>
      <c r="D1968" s="3" t="n">
        <v>14</v>
      </c>
      <c r="E1968" s="3" t="n">
        <v>6</v>
      </c>
      <c r="F1968" s="24" t="n">
        <v>-0.0777726099</v>
      </c>
    </row>
    <row r="1969" customFormat="false" ht="15" hidden="false" customHeight="false" outlineLevel="0" collapsed="false">
      <c r="A1969" s="3" t="n">
        <v>1968</v>
      </c>
      <c r="B1969" s="3" t="n">
        <v>1967</v>
      </c>
      <c r="C1969" s="3" t="n">
        <v>2</v>
      </c>
      <c r="D1969" s="3" t="n">
        <v>14</v>
      </c>
      <c r="E1969" s="3" t="n">
        <v>7</v>
      </c>
      <c r="F1969" s="24" t="n">
        <v>-0.0777726099</v>
      </c>
    </row>
    <row r="1970" customFormat="false" ht="15" hidden="false" customHeight="false" outlineLevel="0" collapsed="false">
      <c r="A1970" s="3" t="n">
        <v>1969</v>
      </c>
      <c r="B1970" s="3" t="n">
        <v>1968</v>
      </c>
      <c r="C1970" s="3" t="n">
        <v>2</v>
      </c>
      <c r="D1970" s="3" t="n">
        <v>14</v>
      </c>
      <c r="E1970" s="3" t="n">
        <v>8</v>
      </c>
      <c r="F1970" s="24" t="n">
        <v>-0.0777726099</v>
      </c>
    </row>
    <row r="1971" customFormat="false" ht="15" hidden="false" customHeight="false" outlineLevel="0" collapsed="false">
      <c r="A1971" s="3" t="n">
        <v>1970</v>
      </c>
      <c r="B1971" s="3" t="n">
        <v>1969</v>
      </c>
      <c r="C1971" s="3" t="n">
        <v>2</v>
      </c>
      <c r="D1971" s="3" t="n">
        <v>14</v>
      </c>
      <c r="E1971" s="3" t="n">
        <v>9</v>
      </c>
      <c r="F1971" s="24" t="n">
        <v>-0.0777726099</v>
      </c>
    </row>
    <row r="1972" customFormat="false" ht="15" hidden="false" customHeight="false" outlineLevel="0" collapsed="false">
      <c r="A1972" s="3" t="n">
        <v>1971</v>
      </c>
      <c r="B1972" s="3" t="n">
        <v>1970</v>
      </c>
      <c r="C1972" s="3" t="n">
        <v>2</v>
      </c>
      <c r="D1972" s="3" t="n">
        <v>14</v>
      </c>
      <c r="E1972" s="3" t="n">
        <v>10</v>
      </c>
      <c r="F1972" s="24" t="n">
        <v>-0.0777726099</v>
      </c>
    </row>
    <row r="1973" customFormat="false" ht="15" hidden="false" customHeight="false" outlineLevel="0" collapsed="false">
      <c r="A1973" s="3" t="n">
        <v>1972</v>
      </c>
      <c r="B1973" s="3" t="n">
        <v>1971</v>
      </c>
      <c r="C1973" s="3" t="n">
        <v>2</v>
      </c>
      <c r="D1973" s="3" t="n">
        <v>14</v>
      </c>
      <c r="E1973" s="3" t="n">
        <v>11</v>
      </c>
      <c r="F1973" s="24" t="n">
        <v>-0.0777726099</v>
      </c>
    </row>
    <row r="1974" customFormat="false" ht="15" hidden="false" customHeight="false" outlineLevel="0" collapsed="false">
      <c r="A1974" s="3" t="n">
        <v>1973</v>
      </c>
      <c r="B1974" s="3" t="n">
        <v>1972</v>
      </c>
      <c r="C1974" s="3" t="n">
        <v>2</v>
      </c>
      <c r="D1974" s="3" t="n">
        <v>14</v>
      </c>
      <c r="E1974" s="3" t="n">
        <v>12</v>
      </c>
      <c r="F1974" s="24" t="n">
        <v>-0.0777726099</v>
      </c>
    </row>
    <row r="1975" customFormat="false" ht="15" hidden="false" customHeight="false" outlineLevel="0" collapsed="false">
      <c r="A1975" s="3" t="n">
        <v>1974</v>
      </c>
      <c r="B1975" s="3" t="n">
        <v>1973</v>
      </c>
      <c r="C1975" s="3" t="n">
        <v>2</v>
      </c>
      <c r="D1975" s="3" t="n">
        <v>14</v>
      </c>
      <c r="E1975" s="3" t="n">
        <v>13</v>
      </c>
      <c r="F1975" s="24" t="n">
        <v>-0.0777726099</v>
      </c>
    </row>
    <row r="1976" customFormat="false" ht="15" hidden="false" customHeight="false" outlineLevel="0" collapsed="false">
      <c r="A1976" s="3" t="n">
        <v>1975</v>
      </c>
      <c r="B1976" s="3" t="n">
        <v>1974</v>
      </c>
      <c r="C1976" s="3" t="n">
        <v>2</v>
      </c>
      <c r="D1976" s="3" t="n">
        <v>14</v>
      </c>
      <c r="E1976" s="3" t="n">
        <v>14</v>
      </c>
      <c r="F1976" s="24" t="n">
        <v>-0.0777726099</v>
      </c>
    </row>
    <row r="1977" customFormat="false" ht="15" hidden="false" customHeight="false" outlineLevel="0" collapsed="false">
      <c r="A1977" s="3" t="n">
        <v>1976</v>
      </c>
      <c r="B1977" s="3" t="n">
        <v>1975</v>
      </c>
      <c r="C1977" s="3" t="n">
        <v>2</v>
      </c>
      <c r="D1977" s="3" t="n">
        <v>14</v>
      </c>
      <c r="E1977" s="3" t="n">
        <v>15</v>
      </c>
      <c r="F1977" s="24" t="n">
        <v>0.925811887</v>
      </c>
    </row>
    <row r="1978" customFormat="false" ht="15" hidden="false" customHeight="false" outlineLevel="0" collapsed="false">
      <c r="A1978" s="3" t="n">
        <v>1977</v>
      </c>
      <c r="B1978" s="3" t="n">
        <v>1976</v>
      </c>
      <c r="C1978" s="3" t="n">
        <v>2</v>
      </c>
      <c r="D1978" s="3" t="n">
        <v>14</v>
      </c>
      <c r="E1978" s="3" t="n">
        <v>16</v>
      </c>
      <c r="F1978" s="24" t="n">
        <v>3.57256436</v>
      </c>
    </row>
    <row r="1979" customFormat="false" ht="15" hidden="false" customHeight="false" outlineLevel="0" collapsed="false">
      <c r="A1979" s="3" t="n">
        <v>1978</v>
      </c>
      <c r="B1979" s="3" t="n">
        <v>1977</v>
      </c>
      <c r="C1979" s="3" t="n">
        <v>2</v>
      </c>
      <c r="D1979" s="3" t="n">
        <v>14</v>
      </c>
      <c r="E1979" s="3" t="n">
        <v>17</v>
      </c>
      <c r="F1979" s="24" t="n">
        <v>2.61214399</v>
      </c>
    </row>
    <row r="1980" customFormat="false" ht="15" hidden="false" customHeight="false" outlineLevel="0" collapsed="false">
      <c r="A1980" s="3" t="n">
        <v>1979</v>
      </c>
      <c r="B1980" s="3" t="n">
        <v>1978</v>
      </c>
      <c r="C1980" s="3" t="n">
        <v>2</v>
      </c>
      <c r="D1980" s="3" t="n">
        <v>14</v>
      </c>
      <c r="E1980" s="3" t="n">
        <v>18</v>
      </c>
      <c r="F1980" s="24" t="n">
        <v>-2.84027195</v>
      </c>
    </row>
    <row r="1981" customFormat="false" ht="15" hidden="false" customHeight="false" outlineLevel="0" collapsed="false">
      <c r="A1981" s="3" t="n">
        <v>1980</v>
      </c>
      <c r="B1981" s="3" t="n">
        <v>1979</v>
      </c>
      <c r="C1981" s="3" t="n">
        <v>2</v>
      </c>
      <c r="D1981" s="3" t="n">
        <v>14</v>
      </c>
      <c r="E1981" s="3" t="n">
        <v>19</v>
      </c>
      <c r="F1981" s="24" t="n">
        <v>-4.57387209</v>
      </c>
    </row>
    <row r="1982" customFormat="false" ht="15" hidden="false" customHeight="false" outlineLevel="0" collapsed="false">
      <c r="A1982" s="3" t="n">
        <v>1981</v>
      </c>
      <c r="B1982" s="3" t="n">
        <v>1980</v>
      </c>
      <c r="C1982" s="3" t="n">
        <v>2</v>
      </c>
      <c r="D1982" s="3" t="n">
        <v>14</v>
      </c>
      <c r="E1982" s="3" t="n">
        <v>20</v>
      </c>
      <c r="F1982" s="24" t="n">
        <v>-1.94566572</v>
      </c>
    </row>
    <row r="1983" customFormat="false" ht="15" hidden="false" customHeight="false" outlineLevel="0" collapsed="false">
      <c r="A1983" s="3" t="n">
        <v>1982</v>
      </c>
      <c r="B1983" s="3" t="n">
        <v>1981</v>
      </c>
      <c r="C1983" s="3" t="n">
        <v>2</v>
      </c>
      <c r="D1983" s="3" t="n">
        <v>14</v>
      </c>
      <c r="E1983" s="3" t="n">
        <v>21</v>
      </c>
      <c r="F1983" s="24" t="n">
        <v>-0.32933408</v>
      </c>
    </row>
    <row r="1984" customFormat="false" ht="15" hidden="false" customHeight="false" outlineLevel="0" collapsed="false">
      <c r="A1984" s="3" t="n">
        <v>1983</v>
      </c>
      <c r="B1984" s="3" t="n">
        <v>1982</v>
      </c>
      <c r="C1984" s="3" t="n">
        <v>2</v>
      </c>
      <c r="D1984" s="3" t="n">
        <v>14</v>
      </c>
      <c r="E1984" s="3" t="n">
        <v>22</v>
      </c>
      <c r="F1984" s="24" t="n">
        <v>-0.0777726099</v>
      </c>
    </row>
    <row r="1985" customFormat="false" ht="15" hidden="false" customHeight="false" outlineLevel="0" collapsed="false">
      <c r="A1985" s="3" t="n">
        <v>1984</v>
      </c>
      <c r="B1985" s="3" t="n">
        <v>1983</v>
      </c>
      <c r="C1985" s="3" t="n">
        <v>2</v>
      </c>
      <c r="D1985" s="3" t="n">
        <v>14</v>
      </c>
      <c r="E1985" s="3" t="n">
        <v>23</v>
      </c>
      <c r="F1985" s="24" t="n">
        <v>-0.0777726099</v>
      </c>
    </row>
    <row r="1986" customFormat="false" ht="15" hidden="false" customHeight="false" outlineLevel="0" collapsed="false">
      <c r="A1986" s="3" t="n">
        <v>1985</v>
      </c>
      <c r="B1986" s="3" t="n">
        <v>1984</v>
      </c>
      <c r="C1986" s="3" t="n">
        <v>2</v>
      </c>
      <c r="D1986" s="3" t="n">
        <v>14</v>
      </c>
      <c r="E1986" s="3" t="n">
        <v>24</v>
      </c>
      <c r="F1986" s="24" t="n">
        <v>-0.0777726099</v>
      </c>
    </row>
    <row r="1987" customFormat="false" ht="15" hidden="false" customHeight="false" outlineLevel="0" collapsed="false">
      <c r="A1987" s="3" t="n">
        <v>1986</v>
      </c>
      <c r="B1987" s="3" t="n">
        <v>1985</v>
      </c>
      <c r="C1987" s="3" t="n">
        <v>2</v>
      </c>
      <c r="D1987" s="3" t="n">
        <v>14</v>
      </c>
      <c r="E1987" s="3" t="n">
        <v>25</v>
      </c>
      <c r="F1987" s="24" t="n">
        <v>-0.0777726099</v>
      </c>
    </row>
    <row r="1988" customFormat="false" ht="15" hidden="false" customHeight="false" outlineLevel="0" collapsed="false">
      <c r="A1988" s="3" t="n">
        <v>1987</v>
      </c>
      <c r="B1988" s="3" t="n">
        <v>1986</v>
      </c>
      <c r="C1988" s="3" t="n">
        <v>2</v>
      </c>
      <c r="D1988" s="3" t="n">
        <v>14</v>
      </c>
      <c r="E1988" s="3" t="n">
        <v>26</v>
      </c>
      <c r="F1988" s="24" t="n">
        <v>-0.0777726099</v>
      </c>
    </row>
    <row r="1989" customFormat="false" ht="15" hidden="false" customHeight="false" outlineLevel="0" collapsed="false">
      <c r="A1989" s="3" t="n">
        <v>1988</v>
      </c>
      <c r="B1989" s="3" t="n">
        <v>1987</v>
      </c>
      <c r="C1989" s="3" t="n">
        <v>2</v>
      </c>
      <c r="D1989" s="3" t="n">
        <v>14</v>
      </c>
      <c r="E1989" s="3" t="n">
        <v>27</v>
      </c>
      <c r="F1989" s="24" t="n">
        <v>0.387737483</v>
      </c>
    </row>
    <row r="1990" customFormat="false" ht="15" hidden="false" customHeight="false" outlineLevel="0" collapsed="false">
      <c r="A1990" s="3" t="n">
        <v>1989</v>
      </c>
      <c r="B1990" s="3" t="n">
        <v>1988</v>
      </c>
      <c r="C1990" s="3" t="n">
        <v>2</v>
      </c>
      <c r="D1990" s="3" t="n">
        <v>15</v>
      </c>
      <c r="E1990" s="3" t="n">
        <v>0</v>
      </c>
      <c r="F1990" s="24" t="n">
        <v>-0.740650654</v>
      </c>
    </row>
    <row r="1991" customFormat="false" ht="15" hidden="false" customHeight="false" outlineLevel="0" collapsed="false">
      <c r="A1991" s="3" t="n">
        <v>1990</v>
      </c>
      <c r="B1991" s="3" t="n">
        <v>1989</v>
      </c>
      <c r="C1991" s="3" t="n">
        <v>2</v>
      </c>
      <c r="D1991" s="3" t="n">
        <v>15</v>
      </c>
      <c r="E1991" s="3" t="n">
        <v>1</v>
      </c>
      <c r="F1991" s="24" t="n">
        <v>-0.0777726099</v>
      </c>
    </row>
    <row r="1992" customFormat="false" ht="15" hidden="false" customHeight="false" outlineLevel="0" collapsed="false">
      <c r="A1992" s="3" t="n">
        <v>1991</v>
      </c>
      <c r="B1992" s="3" t="n">
        <v>1990</v>
      </c>
      <c r="C1992" s="3" t="n">
        <v>2</v>
      </c>
      <c r="D1992" s="3" t="n">
        <v>15</v>
      </c>
      <c r="E1992" s="3" t="n">
        <v>2</v>
      </c>
      <c r="F1992" s="24" t="n">
        <v>-0.0777726099</v>
      </c>
    </row>
    <row r="1993" customFormat="false" ht="15" hidden="false" customHeight="false" outlineLevel="0" collapsed="false">
      <c r="A1993" s="3" t="n">
        <v>1992</v>
      </c>
      <c r="B1993" s="3" t="n">
        <v>1991</v>
      </c>
      <c r="C1993" s="3" t="n">
        <v>2</v>
      </c>
      <c r="D1993" s="3" t="n">
        <v>15</v>
      </c>
      <c r="E1993" s="3" t="n">
        <v>3</v>
      </c>
      <c r="F1993" s="24" t="n">
        <v>-0.0777726099</v>
      </c>
    </row>
    <row r="1994" customFormat="false" ht="15" hidden="false" customHeight="false" outlineLevel="0" collapsed="false">
      <c r="A1994" s="3" t="n">
        <v>1993</v>
      </c>
      <c r="B1994" s="3" t="n">
        <v>1992</v>
      </c>
      <c r="C1994" s="3" t="n">
        <v>2</v>
      </c>
      <c r="D1994" s="3" t="n">
        <v>15</v>
      </c>
      <c r="E1994" s="3" t="n">
        <v>4</v>
      </c>
      <c r="F1994" s="24" t="n">
        <v>-0.0777726099</v>
      </c>
    </row>
    <row r="1995" customFormat="false" ht="15" hidden="false" customHeight="false" outlineLevel="0" collapsed="false">
      <c r="A1995" s="3" t="n">
        <v>1994</v>
      </c>
      <c r="B1995" s="3" t="n">
        <v>1993</v>
      </c>
      <c r="C1995" s="3" t="n">
        <v>2</v>
      </c>
      <c r="D1995" s="3" t="n">
        <v>15</v>
      </c>
      <c r="E1995" s="3" t="n">
        <v>5</v>
      </c>
      <c r="F1995" s="24" t="n">
        <v>-0.0777726099</v>
      </c>
    </row>
    <row r="1996" customFormat="false" ht="15" hidden="false" customHeight="false" outlineLevel="0" collapsed="false">
      <c r="A1996" s="3" t="n">
        <v>1995</v>
      </c>
      <c r="B1996" s="3" t="n">
        <v>1994</v>
      </c>
      <c r="C1996" s="3" t="n">
        <v>2</v>
      </c>
      <c r="D1996" s="3" t="n">
        <v>15</v>
      </c>
      <c r="E1996" s="3" t="n">
        <v>6</v>
      </c>
      <c r="F1996" s="24" t="n">
        <v>-0.0777726099</v>
      </c>
    </row>
    <row r="1997" customFormat="false" ht="15" hidden="false" customHeight="false" outlineLevel="0" collapsed="false">
      <c r="A1997" s="3" t="n">
        <v>1996</v>
      </c>
      <c r="B1997" s="3" t="n">
        <v>1995</v>
      </c>
      <c r="C1997" s="3" t="n">
        <v>2</v>
      </c>
      <c r="D1997" s="3" t="n">
        <v>15</v>
      </c>
      <c r="E1997" s="3" t="n">
        <v>7</v>
      </c>
      <c r="F1997" s="24" t="n">
        <v>-0.0777726099</v>
      </c>
    </row>
    <row r="1998" customFormat="false" ht="15" hidden="false" customHeight="false" outlineLevel="0" collapsed="false">
      <c r="A1998" s="3" t="n">
        <v>1997</v>
      </c>
      <c r="B1998" s="3" t="n">
        <v>1996</v>
      </c>
      <c r="C1998" s="3" t="n">
        <v>2</v>
      </c>
      <c r="D1998" s="3" t="n">
        <v>15</v>
      </c>
      <c r="E1998" s="3" t="n">
        <v>8</v>
      </c>
      <c r="F1998" s="24" t="n">
        <v>-0.0777726099</v>
      </c>
    </row>
    <row r="1999" customFormat="false" ht="15" hidden="false" customHeight="false" outlineLevel="0" collapsed="false">
      <c r="A1999" s="3" t="n">
        <v>1998</v>
      </c>
      <c r="B1999" s="3" t="n">
        <v>1997</v>
      </c>
      <c r="C1999" s="3" t="n">
        <v>2</v>
      </c>
      <c r="D1999" s="3" t="n">
        <v>15</v>
      </c>
      <c r="E1999" s="3" t="n">
        <v>9</v>
      </c>
      <c r="F1999" s="24" t="n">
        <v>-0.0777726099</v>
      </c>
    </row>
    <row r="2000" customFormat="false" ht="15" hidden="false" customHeight="false" outlineLevel="0" collapsed="false">
      <c r="A2000" s="3" t="n">
        <v>1999</v>
      </c>
      <c r="B2000" s="3" t="n">
        <v>1998</v>
      </c>
      <c r="C2000" s="3" t="n">
        <v>2</v>
      </c>
      <c r="D2000" s="3" t="n">
        <v>15</v>
      </c>
      <c r="E2000" s="3" t="n">
        <v>10</v>
      </c>
      <c r="F2000" s="24" t="n">
        <v>-0.0777726099</v>
      </c>
    </row>
    <row r="2001" customFormat="false" ht="15" hidden="false" customHeight="false" outlineLevel="0" collapsed="false">
      <c r="A2001" s="3" t="n">
        <v>2000</v>
      </c>
      <c r="B2001" s="3" t="n">
        <v>1999</v>
      </c>
      <c r="C2001" s="3" t="n">
        <v>2</v>
      </c>
      <c r="D2001" s="3" t="n">
        <v>15</v>
      </c>
      <c r="E2001" s="3" t="n">
        <v>11</v>
      </c>
      <c r="F2001" s="24" t="n">
        <v>-0.0777726099</v>
      </c>
    </row>
    <row r="2002" customFormat="false" ht="15" hidden="false" customHeight="false" outlineLevel="0" collapsed="false">
      <c r="A2002" s="3" t="n">
        <v>2001</v>
      </c>
      <c r="B2002" s="3" t="n">
        <v>2000</v>
      </c>
      <c r="C2002" s="3" t="n">
        <v>2</v>
      </c>
      <c r="D2002" s="3" t="n">
        <v>15</v>
      </c>
      <c r="E2002" s="3" t="n">
        <v>12</v>
      </c>
      <c r="F2002" s="24" t="n">
        <v>-0.0777726099</v>
      </c>
    </row>
    <row r="2003" customFormat="false" ht="15" hidden="false" customHeight="false" outlineLevel="0" collapsed="false">
      <c r="A2003" s="3" t="n">
        <v>2002</v>
      </c>
      <c r="B2003" s="3" t="n">
        <v>2001</v>
      </c>
      <c r="C2003" s="3" t="n">
        <v>2</v>
      </c>
      <c r="D2003" s="3" t="n">
        <v>15</v>
      </c>
      <c r="E2003" s="3" t="n">
        <v>13</v>
      </c>
      <c r="F2003" s="24" t="n">
        <v>-0.0777726099</v>
      </c>
    </row>
    <row r="2004" customFormat="false" ht="15" hidden="false" customHeight="false" outlineLevel="0" collapsed="false">
      <c r="A2004" s="3" t="n">
        <v>2003</v>
      </c>
      <c r="B2004" s="3" t="n">
        <v>2002</v>
      </c>
      <c r="C2004" s="3" t="n">
        <v>2</v>
      </c>
      <c r="D2004" s="3" t="n">
        <v>15</v>
      </c>
      <c r="E2004" s="3" t="n">
        <v>14</v>
      </c>
      <c r="F2004" s="24" t="n">
        <v>-0.0404206365</v>
      </c>
    </row>
    <row r="2005" customFormat="false" ht="15" hidden="false" customHeight="false" outlineLevel="0" collapsed="false">
      <c r="A2005" s="3" t="n">
        <v>2004</v>
      </c>
      <c r="B2005" s="3" t="n">
        <v>2003</v>
      </c>
      <c r="C2005" s="3" t="n">
        <v>2</v>
      </c>
      <c r="D2005" s="3" t="n">
        <v>15</v>
      </c>
      <c r="E2005" s="3" t="n">
        <v>15</v>
      </c>
      <c r="F2005" s="24" t="n">
        <v>1.94935739</v>
      </c>
    </row>
    <row r="2006" customFormat="false" ht="15" hidden="false" customHeight="false" outlineLevel="0" collapsed="false">
      <c r="A2006" s="3" t="n">
        <v>2005</v>
      </c>
      <c r="B2006" s="3" t="n">
        <v>2004</v>
      </c>
      <c r="C2006" s="3" t="n">
        <v>2</v>
      </c>
      <c r="D2006" s="3" t="n">
        <v>15</v>
      </c>
      <c r="E2006" s="3" t="n">
        <v>16</v>
      </c>
      <c r="F2006" s="24" t="n">
        <v>3.99739647</v>
      </c>
    </row>
    <row r="2007" customFormat="false" ht="15" hidden="false" customHeight="false" outlineLevel="0" collapsed="false">
      <c r="A2007" s="3" t="n">
        <v>2006</v>
      </c>
      <c r="B2007" s="3" t="n">
        <v>2005</v>
      </c>
      <c r="C2007" s="3" t="n">
        <v>2</v>
      </c>
      <c r="D2007" s="3" t="n">
        <v>15</v>
      </c>
      <c r="E2007" s="3" t="n">
        <v>17</v>
      </c>
      <c r="F2007" s="24" t="n">
        <v>0.199626416</v>
      </c>
    </row>
    <row r="2008" customFormat="false" ht="15" hidden="false" customHeight="false" outlineLevel="0" collapsed="false">
      <c r="A2008" s="3" t="n">
        <v>2007</v>
      </c>
      <c r="B2008" s="3" t="n">
        <v>2006</v>
      </c>
      <c r="C2008" s="3" t="n">
        <v>2</v>
      </c>
      <c r="D2008" s="3" t="n">
        <v>15</v>
      </c>
      <c r="E2008" s="3" t="n">
        <v>18</v>
      </c>
      <c r="F2008" s="24" t="n">
        <v>-4.75740957</v>
      </c>
    </row>
    <row r="2009" customFormat="false" ht="15" hidden="false" customHeight="false" outlineLevel="0" collapsed="false">
      <c r="A2009" s="3" t="n">
        <v>2008</v>
      </c>
      <c r="B2009" s="3" t="n">
        <v>2007</v>
      </c>
      <c r="C2009" s="3" t="n">
        <v>2</v>
      </c>
      <c r="D2009" s="3" t="n">
        <v>15</v>
      </c>
      <c r="E2009" s="3" t="n">
        <v>19</v>
      </c>
      <c r="F2009" s="24" t="n">
        <v>-3.35339046</v>
      </c>
    </row>
    <row r="2010" customFormat="false" ht="15" hidden="false" customHeight="false" outlineLevel="0" collapsed="false">
      <c r="A2010" s="3" t="n">
        <v>2009</v>
      </c>
      <c r="B2010" s="3" t="n">
        <v>2008</v>
      </c>
      <c r="C2010" s="3" t="n">
        <v>2</v>
      </c>
      <c r="D2010" s="3" t="n">
        <v>15</v>
      </c>
      <c r="E2010" s="3" t="n">
        <v>20</v>
      </c>
      <c r="F2010" s="24" t="n">
        <v>-0.471586913</v>
      </c>
    </row>
    <row r="2011" customFormat="false" ht="15" hidden="false" customHeight="false" outlineLevel="0" collapsed="false">
      <c r="A2011" s="3" t="n">
        <v>2010</v>
      </c>
      <c r="B2011" s="3" t="n">
        <v>2009</v>
      </c>
      <c r="C2011" s="3" t="n">
        <v>2</v>
      </c>
      <c r="D2011" s="3" t="n">
        <v>15</v>
      </c>
      <c r="E2011" s="3" t="n">
        <v>21</v>
      </c>
      <c r="F2011" s="24" t="n">
        <v>-0.0777726099</v>
      </c>
    </row>
    <row r="2012" customFormat="false" ht="15" hidden="false" customHeight="false" outlineLevel="0" collapsed="false">
      <c r="A2012" s="3" t="n">
        <v>2011</v>
      </c>
      <c r="B2012" s="3" t="n">
        <v>2010</v>
      </c>
      <c r="C2012" s="3" t="n">
        <v>2</v>
      </c>
      <c r="D2012" s="3" t="n">
        <v>15</v>
      </c>
      <c r="E2012" s="3" t="n">
        <v>22</v>
      </c>
      <c r="F2012" s="24" t="n">
        <v>-0.0777726099</v>
      </c>
    </row>
    <row r="2013" customFormat="false" ht="15" hidden="false" customHeight="false" outlineLevel="0" collapsed="false">
      <c r="A2013" s="3" t="n">
        <v>2012</v>
      </c>
      <c r="B2013" s="3" t="n">
        <v>2011</v>
      </c>
      <c r="C2013" s="3" t="n">
        <v>2</v>
      </c>
      <c r="D2013" s="3" t="n">
        <v>15</v>
      </c>
      <c r="E2013" s="3" t="n">
        <v>23</v>
      </c>
      <c r="F2013" s="24" t="n">
        <v>-0.0777726099</v>
      </c>
    </row>
    <row r="2014" customFormat="false" ht="15" hidden="false" customHeight="false" outlineLevel="0" collapsed="false">
      <c r="A2014" s="3" t="n">
        <v>2013</v>
      </c>
      <c r="B2014" s="3" t="n">
        <v>2012</v>
      </c>
      <c r="C2014" s="3" t="n">
        <v>2</v>
      </c>
      <c r="D2014" s="3" t="n">
        <v>15</v>
      </c>
      <c r="E2014" s="3" t="n">
        <v>24</v>
      </c>
      <c r="F2014" s="24" t="n">
        <v>-0.0777726099</v>
      </c>
    </row>
    <row r="2015" customFormat="false" ht="15" hidden="false" customHeight="false" outlineLevel="0" collapsed="false">
      <c r="A2015" s="3" t="n">
        <v>2014</v>
      </c>
      <c r="B2015" s="3" t="n">
        <v>2013</v>
      </c>
      <c r="C2015" s="3" t="n">
        <v>2</v>
      </c>
      <c r="D2015" s="3" t="n">
        <v>15</v>
      </c>
      <c r="E2015" s="3" t="n">
        <v>25</v>
      </c>
      <c r="F2015" s="24" t="n">
        <v>-0.0777726099</v>
      </c>
    </row>
    <row r="2016" customFormat="false" ht="15" hidden="false" customHeight="false" outlineLevel="0" collapsed="false">
      <c r="A2016" s="3" t="n">
        <v>2015</v>
      </c>
      <c r="B2016" s="3" t="n">
        <v>2014</v>
      </c>
      <c r="C2016" s="3" t="n">
        <v>2</v>
      </c>
      <c r="D2016" s="3" t="n">
        <v>15</v>
      </c>
      <c r="E2016" s="3" t="n">
        <v>26</v>
      </c>
      <c r="F2016" s="24" t="n">
        <v>-0.0777726099</v>
      </c>
    </row>
    <row r="2017" customFormat="false" ht="15" hidden="false" customHeight="false" outlineLevel="0" collapsed="false">
      <c r="A2017" s="3" t="n">
        <v>2016</v>
      </c>
      <c r="B2017" s="3" t="n">
        <v>2015</v>
      </c>
      <c r="C2017" s="3" t="n">
        <v>2</v>
      </c>
      <c r="D2017" s="3" t="n">
        <v>15</v>
      </c>
      <c r="E2017" s="3" t="n">
        <v>27</v>
      </c>
      <c r="F2017" s="24" t="n">
        <v>0.387737483</v>
      </c>
    </row>
    <row r="2018" customFormat="false" ht="15" hidden="false" customHeight="false" outlineLevel="0" collapsed="false">
      <c r="A2018" s="3" t="n">
        <v>2017</v>
      </c>
      <c r="B2018" s="3" t="n">
        <v>2016</v>
      </c>
      <c r="C2018" s="3" t="n">
        <v>2</v>
      </c>
      <c r="D2018" s="3" t="n">
        <v>16</v>
      </c>
      <c r="E2018" s="3" t="n">
        <v>0</v>
      </c>
      <c r="F2018" s="24" t="n">
        <v>-0.740650654</v>
      </c>
    </row>
    <row r="2019" customFormat="false" ht="15" hidden="false" customHeight="false" outlineLevel="0" collapsed="false">
      <c r="A2019" s="3" t="n">
        <v>2018</v>
      </c>
      <c r="B2019" s="3" t="n">
        <v>2017</v>
      </c>
      <c r="C2019" s="3" t="n">
        <v>2</v>
      </c>
      <c r="D2019" s="3" t="n">
        <v>16</v>
      </c>
      <c r="E2019" s="3" t="n">
        <v>1</v>
      </c>
      <c r="F2019" s="24" t="n">
        <v>-0.0777726099</v>
      </c>
    </row>
    <row r="2020" customFormat="false" ht="15" hidden="false" customHeight="false" outlineLevel="0" collapsed="false">
      <c r="A2020" s="3" t="n">
        <v>2019</v>
      </c>
      <c r="B2020" s="3" t="n">
        <v>2018</v>
      </c>
      <c r="C2020" s="3" t="n">
        <v>2</v>
      </c>
      <c r="D2020" s="3" t="n">
        <v>16</v>
      </c>
      <c r="E2020" s="3" t="n">
        <v>2</v>
      </c>
      <c r="F2020" s="24" t="n">
        <v>-0.0777726099</v>
      </c>
    </row>
    <row r="2021" customFormat="false" ht="15" hidden="false" customHeight="false" outlineLevel="0" collapsed="false">
      <c r="A2021" s="3" t="n">
        <v>2020</v>
      </c>
      <c r="B2021" s="3" t="n">
        <v>2019</v>
      </c>
      <c r="C2021" s="3" t="n">
        <v>2</v>
      </c>
      <c r="D2021" s="3" t="n">
        <v>16</v>
      </c>
      <c r="E2021" s="3" t="n">
        <v>3</v>
      </c>
      <c r="F2021" s="24" t="n">
        <v>-0.0777726099</v>
      </c>
    </row>
    <row r="2022" customFormat="false" ht="15" hidden="false" customHeight="false" outlineLevel="0" collapsed="false">
      <c r="A2022" s="3" t="n">
        <v>2021</v>
      </c>
      <c r="B2022" s="3" t="n">
        <v>2020</v>
      </c>
      <c r="C2022" s="3" t="n">
        <v>2</v>
      </c>
      <c r="D2022" s="3" t="n">
        <v>16</v>
      </c>
      <c r="E2022" s="3" t="n">
        <v>4</v>
      </c>
      <c r="F2022" s="24" t="n">
        <v>-0.0777726099</v>
      </c>
    </row>
    <row r="2023" customFormat="false" ht="15" hidden="false" customHeight="false" outlineLevel="0" collapsed="false">
      <c r="A2023" s="3" t="n">
        <v>2022</v>
      </c>
      <c r="B2023" s="3" t="n">
        <v>2021</v>
      </c>
      <c r="C2023" s="3" t="n">
        <v>2</v>
      </c>
      <c r="D2023" s="3" t="n">
        <v>16</v>
      </c>
      <c r="E2023" s="3" t="n">
        <v>5</v>
      </c>
      <c r="F2023" s="24" t="n">
        <v>-0.0777726099</v>
      </c>
    </row>
    <row r="2024" customFormat="false" ht="15" hidden="false" customHeight="false" outlineLevel="0" collapsed="false">
      <c r="A2024" s="3" t="n">
        <v>2023</v>
      </c>
      <c r="B2024" s="3" t="n">
        <v>2022</v>
      </c>
      <c r="C2024" s="3" t="n">
        <v>2</v>
      </c>
      <c r="D2024" s="3" t="n">
        <v>16</v>
      </c>
      <c r="E2024" s="3" t="n">
        <v>6</v>
      </c>
      <c r="F2024" s="24" t="n">
        <v>-0.0777726099</v>
      </c>
    </row>
    <row r="2025" customFormat="false" ht="15" hidden="false" customHeight="false" outlineLevel="0" collapsed="false">
      <c r="A2025" s="3" t="n">
        <v>2024</v>
      </c>
      <c r="B2025" s="3" t="n">
        <v>2023</v>
      </c>
      <c r="C2025" s="3" t="n">
        <v>2</v>
      </c>
      <c r="D2025" s="3" t="n">
        <v>16</v>
      </c>
      <c r="E2025" s="3" t="n">
        <v>7</v>
      </c>
      <c r="F2025" s="24" t="n">
        <v>-0.0777726099</v>
      </c>
    </row>
    <row r="2026" customFormat="false" ht="15" hidden="false" customHeight="false" outlineLevel="0" collapsed="false">
      <c r="A2026" s="3" t="n">
        <v>2025</v>
      </c>
      <c r="B2026" s="3" t="n">
        <v>2024</v>
      </c>
      <c r="C2026" s="3" t="n">
        <v>2</v>
      </c>
      <c r="D2026" s="3" t="n">
        <v>16</v>
      </c>
      <c r="E2026" s="3" t="n">
        <v>8</v>
      </c>
      <c r="F2026" s="24" t="n">
        <v>-0.0777726099</v>
      </c>
    </row>
    <row r="2027" customFormat="false" ht="15" hidden="false" customHeight="false" outlineLevel="0" collapsed="false">
      <c r="A2027" s="3" t="n">
        <v>2026</v>
      </c>
      <c r="B2027" s="3" t="n">
        <v>2025</v>
      </c>
      <c r="C2027" s="3" t="n">
        <v>2</v>
      </c>
      <c r="D2027" s="3" t="n">
        <v>16</v>
      </c>
      <c r="E2027" s="3" t="n">
        <v>9</v>
      </c>
      <c r="F2027" s="24" t="n">
        <v>-0.0777726099</v>
      </c>
    </row>
    <row r="2028" customFormat="false" ht="15" hidden="false" customHeight="false" outlineLevel="0" collapsed="false">
      <c r="A2028" s="3" t="n">
        <v>2027</v>
      </c>
      <c r="B2028" s="3" t="n">
        <v>2026</v>
      </c>
      <c r="C2028" s="3" t="n">
        <v>2</v>
      </c>
      <c r="D2028" s="3" t="n">
        <v>16</v>
      </c>
      <c r="E2028" s="3" t="n">
        <v>10</v>
      </c>
      <c r="F2028" s="24" t="n">
        <v>-0.0777726099</v>
      </c>
    </row>
    <row r="2029" customFormat="false" ht="15" hidden="false" customHeight="false" outlineLevel="0" collapsed="false">
      <c r="A2029" s="3" t="n">
        <v>2028</v>
      </c>
      <c r="B2029" s="3" t="n">
        <v>2027</v>
      </c>
      <c r="C2029" s="3" t="n">
        <v>2</v>
      </c>
      <c r="D2029" s="3" t="n">
        <v>16</v>
      </c>
      <c r="E2029" s="3" t="n">
        <v>11</v>
      </c>
      <c r="F2029" s="24" t="n">
        <v>-0.0777726099</v>
      </c>
    </row>
    <row r="2030" customFormat="false" ht="15" hidden="false" customHeight="false" outlineLevel="0" collapsed="false">
      <c r="A2030" s="3" t="n">
        <v>2029</v>
      </c>
      <c r="B2030" s="3" t="n">
        <v>2028</v>
      </c>
      <c r="C2030" s="3" t="n">
        <v>2</v>
      </c>
      <c r="D2030" s="3" t="n">
        <v>16</v>
      </c>
      <c r="E2030" s="3" t="n">
        <v>12</v>
      </c>
      <c r="F2030" s="24" t="n">
        <v>-0.0777726099</v>
      </c>
    </row>
    <row r="2031" customFormat="false" ht="15" hidden="false" customHeight="false" outlineLevel="0" collapsed="false">
      <c r="A2031" s="3" t="n">
        <v>2030</v>
      </c>
      <c r="B2031" s="3" t="n">
        <v>2029</v>
      </c>
      <c r="C2031" s="3" t="n">
        <v>2</v>
      </c>
      <c r="D2031" s="3" t="n">
        <v>16</v>
      </c>
      <c r="E2031" s="3" t="n">
        <v>13</v>
      </c>
      <c r="F2031" s="24" t="n">
        <v>-0.0777726099</v>
      </c>
    </row>
    <row r="2032" customFormat="false" ht="15" hidden="false" customHeight="false" outlineLevel="0" collapsed="false">
      <c r="A2032" s="3" t="n">
        <v>2031</v>
      </c>
      <c r="B2032" s="3" t="n">
        <v>2030</v>
      </c>
      <c r="C2032" s="3" t="n">
        <v>2</v>
      </c>
      <c r="D2032" s="3" t="n">
        <v>16</v>
      </c>
      <c r="E2032" s="3" t="n">
        <v>14</v>
      </c>
      <c r="F2032" s="24" t="n">
        <v>0.514043927</v>
      </c>
    </row>
    <row r="2033" customFormat="false" ht="15" hidden="false" customHeight="false" outlineLevel="0" collapsed="false">
      <c r="A2033" s="3" t="n">
        <v>2032</v>
      </c>
      <c r="B2033" s="3" t="n">
        <v>2031</v>
      </c>
      <c r="C2033" s="3" t="n">
        <v>2</v>
      </c>
      <c r="D2033" s="3" t="n">
        <v>16</v>
      </c>
      <c r="E2033" s="3" t="n">
        <v>15</v>
      </c>
      <c r="F2033" s="24" t="n">
        <v>3.25656414</v>
      </c>
    </row>
    <row r="2034" customFormat="false" ht="15" hidden="false" customHeight="false" outlineLevel="0" collapsed="false">
      <c r="A2034" s="3" t="n">
        <v>2033</v>
      </c>
      <c r="B2034" s="3" t="n">
        <v>2032</v>
      </c>
      <c r="C2034" s="3" t="n">
        <v>2</v>
      </c>
      <c r="D2034" s="3" t="n">
        <v>16</v>
      </c>
      <c r="E2034" s="3" t="n">
        <v>16</v>
      </c>
      <c r="F2034" s="24" t="n">
        <v>3.01581168</v>
      </c>
    </row>
    <row r="2035" customFormat="false" ht="15" hidden="false" customHeight="false" outlineLevel="0" collapsed="false">
      <c r="A2035" s="3" t="n">
        <v>2034</v>
      </c>
      <c r="B2035" s="3" t="n">
        <v>2033</v>
      </c>
      <c r="C2035" s="3" t="n">
        <v>2</v>
      </c>
      <c r="D2035" s="3" t="n">
        <v>16</v>
      </c>
      <c r="E2035" s="3" t="n">
        <v>17</v>
      </c>
      <c r="F2035" s="24" t="n">
        <v>-2.69134378</v>
      </c>
    </row>
    <row r="2036" customFormat="false" ht="15" hidden="false" customHeight="false" outlineLevel="0" collapsed="false">
      <c r="A2036" s="3" t="n">
        <v>2035</v>
      </c>
      <c r="B2036" s="3" t="n">
        <v>2034</v>
      </c>
      <c r="C2036" s="3" t="n">
        <v>2</v>
      </c>
      <c r="D2036" s="3" t="n">
        <v>16</v>
      </c>
      <c r="E2036" s="3" t="n">
        <v>18</v>
      </c>
      <c r="F2036" s="24" t="n">
        <v>-4.60778332</v>
      </c>
    </row>
    <row r="2037" customFormat="false" ht="15" hidden="false" customHeight="false" outlineLevel="0" collapsed="false">
      <c r="A2037" s="3" t="n">
        <v>2036</v>
      </c>
      <c r="B2037" s="3" t="n">
        <v>2035</v>
      </c>
      <c r="C2037" s="3" t="n">
        <v>2</v>
      </c>
      <c r="D2037" s="3" t="n">
        <v>16</v>
      </c>
      <c r="E2037" s="3" t="n">
        <v>19</v>
      </c>
      <c r="F2037" s="24" t="n">
        <v>-1.60188472</v>
      </c>
    </row>
    <row r="2038" customFormat="false" ht="15" hidden="false" customHeight="false" outlineLevel="0" collapsed="false">
      <c r="A2038" s="3" t="n">
        <v>2037</v>
      </c>
      <c r="B2038" s="3" t="n">
        <v>2036</v>
      </c>
      <c r="C2038" s="3" t="n">
        <v>2</v>
      </c>
      <c r="D2038" s="3" t="n">
        <v>16</v>
      </c>
      <c r="E2038" s="3" t="n">
        <v>20</v>
      </c>
      <c r="F2038" s="24" t="n">
        <v>-0.106359087</v>
      </c>
    </row>
    <row r="2039" customFormat="false" ht="15" hidden="false" customHeight="false" outlineLevel="0" collapsed="false">
      <c r="A2039" s="3" t="n">
        <v>2038</v>
      </c>
      <c r="B2039" s="3" t="n">
        <v>2037</v>
      </c>
      <c r="C2039" s="3" t="n">
        <v>2</v>
      </c>
      <c r="D2039" s="3" t="n">
        <v>16</v>
      </c>
      <c r="E2039" s="3" t="n">
        <v>21</v>
      </c>
      <c r="F2039" s="24" t="n">
        <v>-0.0777726099</v>
      </c>
    </row>
    <row r="2040" customFormat="false" ht="15" hidden="false" customHeight="false" outlineLevel="0" collapsed="false">
      <c r="A2040" s="3" t="n">
        <v>2039</v>
      </c>
      <c r="B2040" s="3" t="n">
        <v>2038</v>
      </c>
      <c r="C2040" s="3" t="n">
        <v>2</v>
      </c>
      <c r="D2040" s="3" t="n">
        <v>16</v>
      </c>
      <c r="E2040" s="3" t="n">
        <v>22</v>
      </c>
      <c r="F2040" s="24" t="n">
        <v>-0.0777726099</v>
      </c>
    </row>
    <row r="2041" customFormat="false" ht="15" hidden="false" customHeight="false" outlineLevel="0" collapsed="false">
      <c r="A2041" s="3" t="n">
        <v>2040</v>
      </c>
      <c r="B2041" s="3" t="n">
        <v>2039</v>
      </c>
      <c r="C2041" s="3" t="n">
        <v>2</v>
      </c>
      <c r="D2041" s="3" t="n">
        <v>16</v>
      </c>
      <c r="E2041" s="3" t="n">
        <v>23</v>
      </c>
      <c r="F2041" s="24" t="n">
        <v>-0.0777726099</v>
      </c>
    </row>
    <row r="2042" customFormat="false" ht="15" hidden="false" customHeight="false" outlineLevel="0" collapsed="false">
      <c r="A2042" s="3" t="n">
        <v>2041</v>
      </c>
      <c r="B2042" s="3" t="n">
        <v>2040</v>
      </c>
      <c r="C2042" s="3" t="n">
        <v>2</v>
      </c>
      <c r="D2042" s="3" t="n">
        <v>16</v>
      </c>
      <c r="E2042" s="3" t="n">
        <v>24</v>
      </c>
      <c r="F2042" s="24" t="n">
        <v>-0.0777726099</v>
      </c>
    </row>
    <row r="2043" customFormat="false" ht="15" hidden="false" customHeight="false" outlineLevel="0" collapsed="false">
      <c r="A2043" s="3" t="n">
        <v>2042</v>
      </c>
      <c r="B2043" s="3" t="n">
        <v>2041</v>
      </c>
      <c r="C2043" s="3" t="n">
        <v>2</v>
      </c>
      <c r="D2043" s="3" t="n">
        <v>16</v>
      </c>
      <c r="E2043" s="3" t="n">
        <v>25</v>
      </c>
      <c r="F2043" s="24" t="n">
        <v>-0.0777726099</v>
      </c>
    </row>
    <row r="2044" customFormat="false" ht="15" hidden="false" customHeight="false" outlineLevel="0" collapsed="false">
      <c r="A2044" s="3" t="n">
        <v>2043</v>
      </c>
      <c r="B2044" s="3" t="n">
        <v>2042</v>
      </c>
      <c r="C2044" s="3" t="n">
        <v>2</v>
      </c>
      <c r="D2044" s="3" t="n">
        <v>16</v>
      </c>
      <c r="E2044" s="3" t="n">
        <v>26</v>
      </c>
      <c r="F2044" s="24" t="n">
        <v>-0.0777726099</v>
      </c>
    </row>
    <row r="2045" customFormat="false" ht="15" hidden="false" customHeight="false" outlineLevel="0" collapsed="false">
      <c r="A2045" s="3" t="n">
        <v>2044</v>
      </c>
      <c r="B2045" s="3" t="n">
        <v>2043</v>
      </c>
      <c r="C2045" s="3" t="n">
        <v>2</v>
      </c>
      <c r="D2045" s="3" t="n">
        <v>16</v>
      </c>
      <c r="E2045" s="3" t="n">
        <v>27</v>
      </c>
      <c r="F2045" s="24" t="n">
        <v>0.387737483</v>
      </c>
    </row>
    <row r="2046" customFormat="false" ht="15" hidden="false" customHeight="false" outlineLevel="0" collapsed="false">
      <c r="A2046" s="3" t="n">
        <v>2045</v>
      </c>
      <c r="B2046" s="3" t="n">
        <v>2044</v>
      </c>
      <c r="C2046" s="3" t="n">
        <v>2</v>
      </c>
      <c r="D2046" s="3" t="n">
        <v>17</v>
      </c>
      <c r="E2046" s="3" t="n">
        <v>0</v>
      </c>
      <c r="F2046" s="24" t="n">
        <v>-0.740650654</v>
      </c>
    </row>
    <row r="2047" customFormat="false" ht="15" hidden="false" customHeight="false" outlineLevel="0" collapsed="false">
      <c r="A2047" s="3" t="n">
        <v>2046</v>
      </c>
      <c r="B2047" s="3" t="n">
        <v>2045</v>
      </c>
      <c r="C2047" s="3" t="n">
        <v>2</v>
      </c>
      <c r="D2047" s="3" t="n">
        <v>17</v>
      </c>
      <c r="E2047" s="3" t="n">
        <v>1</v>
      </c>
      <c r="F2047" s="24" t="n">
        <v>-0.0777726099</v>
      </c>
    </row>
    <row r="2048" customFormat="false" ht="15" hidden="false" customHeight="false" outlineLevel="0" collapsed="false">
      <c r="A2048" s="3" t="n">
        <v>2047</v>
      </c>
      <c r="B2048" s="3" t="n">
        <v>2046</v>
      </c>
      <c r="C2048" s="3" t="n">
        <v>2</v>
      </c>
      <c r="D2048" s="3" t="n">
        <v>17</v>
      </c>
      <c r="E2048" s="3" t="n">
        <v>2</v>
      </c>
      <c r="F2048" s="24" t="n">
        <v>-0.0777726099</v>
      </c>
    </row>
    <row r="2049" customFormat="false" ht="15" hidden="false" customHeight="false" outlineLevel="0" collapsed="false">
      <c r="A2049" s="3" t="n">
        <v>2048</v>
      </c>
      <c r="B2049" s="3" t="n">
        <v>2047</v>
      </c>
      <c r="C2049" s="3" t="n">
        <v>2</v>
      </c>
      <c r="D2049" s="3" t="n">
        <v>17</v>
      </c>
      <c r="E2049" s="3" t="n">
        <v>3</v>
      </c>
      <c r="F2049" s="24" t="n">
        <v>-0.0777726099</v>
      </c>
    </row>
    <row r="2050" customFormat="false" ht="15" hidden="false" customHeight="false" outlineLevel="0" collapsed="false">
      <c r="A2050" s="3" t="n">
        <v>2049</v>
      </c>
      <c r="B2050" s="3" t="n">
        <v>2048</v>
      </c>
      <c r="C2050" s="3" t="n">
        <v>2</v>
      </c>
      <c r="D2050" s="3" t="n">
        <v>17</v>
      </c>
      <c r="E2050" s="3" t="n">
        <v>4</v>
      </c>
      <c r="F2050" s="24" t="n">
        <v>-0.0777726099</v>
      </c>
    </row>
    <row r="2051" customFormat="false" ht="15" hidden="false" customHeight="false" outlineLevel="0" collapsed="false">
      <c r="A2051" s="3" t="n">
        <v>2050</v>
      </c>
      <c r="B2051" s="3" t="n">
        <v>2049</v>
      </c>
      <c r="C2051" s="3" t="n">
        <v>2</v>
      </c>
      <c r="D2051" s="3" t="n">
        <v>17</v>
      </c>
      <c r="E2051" s="3" t="n">
        <v>5</v>
      </c>
      <c r="F2051" s="24" t="n">
        <v>-0.0777726099</v>
      </c>
    </row>
    <row r="2052" customFormat="false" ht="15" hidden="false" customHeight="false" outlineLevel="0" collapsed="false">
      <c r="A2052" s="3" t="n">
        <v>2051</v>
      </c>
      <c r="B2052" s="3" t="n">
        <v>2050</v>
      </c>
      <c r="C2052" s="3" t="n">
        <v>2</v>
      </c>
      <c r="D2052" s="3" t="n">
        <v>17</v>
      </c>
      <c r="E2052" s="3" t="n">
        <v>6</v>
      </c>
      <c r="F2052" s="24" t="n">
        <v>-0.0777726099</v>
      </c>
    </row>
    <row r="2053" customFormat="false" ht="15" hidden="false" customHeight="false" outlineLevel="0" collapsed="false">
      <c r="A2053" s="3" t="n">
        <v>2052</v>
      </c>
      <c r="B2053" s="3" t="n">
        <v>2051</v>
      </c>
      <c r="C2053" s="3" t="n">
        <v>2</v>
      </c>
      <c r="D2053" s="3" t="n">
        <v>17</v>
      </c>
      <c r="E2053" s="3" t="n">
        <v>7</v>
      </c>
      <c r="F2053" s="24" t="n">
        <v>-0.0777726099</v>
      </c>
    </row>
    <row r="2054" customFormat="false" ht="15" hidden="false" customHeight="false" outlineLevel="0" collapsed="false">
      <c r="A2054" s="3" t="n">
        <v>2053</v>
      </c>
      <c r="B2054" s="3" t="n">
        <v>2052</v>
      </c>
      <c r="C2054" s="3" t="n">
        <v>2</v>
      </c>
      <c r="D2054" s="3" t="n">
        <v>17</v>
      </c>
      <c r="E2054" s="3" t="n">
        <v>8</v>
      </c>
      <c r="F2054" s="24" t="n">
        <v>-0.0777726099</v>
      </c>
    </row>
    <row r="2055" customFormat="false" ht="15" hidden="false" customHeight="false" outlineLevel="0" collapsed="false">
      <c r="A2055" s="3" t="n">
        <v>2054</v>
      </c>
      <c r="B2055" s="3" t="n">
        <v>2053</v>
      </c>
      <c r="C2055" s="3" t="n">
        <v>2</v>
      </c>
      <c r="D2055" s="3" t="n">
        <v>17</v>
      </c>
      <c r="E2055" s="3" t="n">
        <v>9</v>
      </c>
      <c r="F2055" s="24" t="n">
        <v>-0.0777726099</v>
      </c>
    </row>
    <row r="2056" customFormat="false" ht="15" hidden="false" customHeight="false" outlineLevel="0" collapsed="false">
      <c r="A2056" s="3" t="n">
        <v>2055</v>
      </c>
      <c r="B2056" s="3" t="n">
        <v>2054</v>
      </c>
      <c r="C2056" s="3" t="n">
        <v>2</v>
      </c>
      <c r="D2056" s="3" t="n">
        <v>17</v>
      </c>
      <c r="E2056" s="3" t="n">
        <v>10</v>
      </c>
      <c r="F2056" s="24" t="n">
        <v>-0.0777726099</v>
      </c>
    </row>
    <row r="2057" customFormat="false" ht="15" hidden="false" customHeight="false" outlineLevel="0" collapsed="false">
      <c r="A2057" s="3" t="n">
        <v>2056</v>
      </c>
      <c r="B2057" s="3" t="n">
        <v>2055</v>
      </c>
      <c r="C2057" s="3" t="n">
        <v>2</v>
      </c>
      <c r="D2057" s="3" t="n">
        <v>17</v>
      </c>
      <c r="E2057" s="3" t="n">
        <v>11</v>
      </c>
      <c r="F2057" s="24" t="n">
        <v>-0.0777726099</v>
      </c>
    </row>
    <row r="2058" customFormat="false" ht="15" hidden="false" customHeight="false" outlineLevel="0" collapsed="false">
      <c r="A2058" s="3" t="n">
        <v>2057</v>
      </c>
      <c r="B2058" s="3" t="n">
        <v>2056</v>
      </c>
      <c r="C2058" s="3" t="n">
        <v>2</v>
      </c>
      <c r="D2058" s="3" t="n">
        <v>17</v>
      </c>
      <c r="E2058" s="3" t="n">
        <v>12</v>
      </c>
      <c r="F2058" s="24" t="n">
        <v>-0.0777726099</v>
      </c>
    </row>
    <row r="2059" customFormat="false" ht="15" hidden="false" customHeight="false" outlineLevel="0" collapsed="false">
      <c r="A2059" s="3" t="n">
        <v>2058</v>
      </c>
      <c r="B2059" s="3" t="n">
        <v>2057</v>
      </c>
      <c r="C2059" s="3" t="n">
        <v>2</v>
      </c>
      <c r="D2059" s="3" t="n">
        <v>17</v>
      </c>
      <c r="E2059" s="3" t="n">
        <v>13</v>
      </c>
      <c r="F2059" s="24" t="n">
        <v>0.233493835</v>
      </c>
    </row>
    <row r="2060" customFormat="false" ht="15" hidden="false" customHeight="false" outlineLevel="0" collapsed="false">
      <c r="A2060" s="3" t="n">
        <v>2059</v>
      </c>
      <c r="B2060" s="3" t="n">
        <v>2058</v>
      </c>
      <c r="C2060" s="3" t="n">
        <v>2</v>
      </c>
      <c r="D2060" s="3" t="n">
        <v>17</v>
      </c>
      <c r="E2060" s="3" t="n">
        <v>14</v>
      </c>
      <c r="F2060" s="24" t="n">
        <v>2.20372272</v>
      </c>
    </row>
    <row r="2061" customFormat="false" ht="15" hidden="false" customHeight="false" outlineLevel="0" collapsed="false">
      <c r="A2061" s="3" t="n">
        <v>2060</v>
      </c>
      <c r="B2061" s="3" t="n">
        <v>2059</v>
      </c>
      <c r="C2061" s="3" t="n">
        <v>2</v>
      </c>
      <c r="D2061" s="3" t="n">
        <v>17</v>
      </c>
      <c r="E2061" s="3" t="n">
        <v>15</v>
      </c>
      <c r="F2061" s="24" t="n">
        <v>3.60113716</v>
      </c>
    </row>
    <row r="2062" customFormat="false" ht="15" hidden="false" customHeight="false" outlineLevel="0" collapsed="false">
      <c r="A2062" s="3" t="n">
        <v>2061</v>
      </c>
      <c r="B2062" s="3" t="n">
        <v>2060</v>
      </c>
      <c r="C2062" s="3" t="n">
        <v>2</v>
      </c>
      <c r="D2062" s="3" t="n">
        <v>17</v>
      </c>
      <c r="E2062" s="3" t="n">
        <v>16</v>
      </c>
      <c r="F2062" s="24" t="n">
        <v>0.155732781</v>
      </c>
    </row>
    <row r="2063" customFormat="false" ht="15" hidden="false" customHeight="false" outlineLevel="0" collapsed="false">
      <c r="A2063" s="3" t="n">
        <v>2062</v>
      </c>
      <c r="B2063" s="3" t="n">
        <v>2061</v>
      </c>
      <c r="C2063" s="3" t="n">
        <v>2</v>
      </c>
      <c r="D2063" s="3" t="n">
        <v>17</v>
      </c>
      <c r="E2063" s="3" t="n">
        <v>17</v>
      </c>
      <c r="F2063" s="24" t="n">
        <v>-4.50381184</v>
      </c>
    </row>
    <row r="2064" customFormat="false" ht="15" hidden="false" customHeight="false" outlineLevel="0" collapsed="false">
      <c r="A2064" s="3" t="n">
        <v>2063</v>
      </c>
      <c r="B2064" s="3" t="n">
        <v>2062</v>
      </c>
      <c r="C2064" s="3" t="n">
        <v>2</v>
      </c>
      <c r="D2064" s="3" t="n">
        <v>17</v>
      </c>
      <c r="E2064" s="3" t="n">
        <v>18</v>
      </c>
      <c r="F2064" s="24" t="n">
        <v>-3.27094674</v>
      </c>
    </row>
    <row r="2065" customFormat="false" ht="15" hidden="false" customHeight="false" outlineLevel="0" collapsed="false">
      <c r="A2065" s="3" t="n">
        <v>2064</v>
      </c>
      <c r="B2065" s="3" t="n">
        <v>2063</v>
      </c>
      <c r="C2065" s="3" t="n">
        <v>2</v>
      </c>
      <c r="D2065" s="3" t="n">
        <v>17</v>
      </c>
      <c r="E2065" s="3" t="n">
        <v>19</v>
      </c>
      <c r="F2065" s="24" t="n">
        <v>-0.409376353</v>
      </c>
    </row>
    <row r="2066" customFormat="false" ht="15" hidden="false" customHeight="false" outlineLevel="0" collapsed="false">
      <c r="A2066" s="3" t="n">
        <v>2065</v>
      </c>
      <c r="B2066" s="3" t="n">
        <v>2064</v>
      </c>
      <c r="C2066" s="3" t="n">
        <v>2</v>
      </c>
      <c r="D2066" s="3" t="n">
        <v>17</v>
      </c>
      <c r="E2066" s="3" t="n">
        <v>20</v>
      </c>
      <c r="F2066" s="24" t="n">
        <v>-0.0777726099</v>
      </c>
    </row>
    <row r="2067" customFormat="false" ht="15" hidden="false" customHeight="false" outlineLevel="0" collapsed="false">
      <c r="A2067" s="3" t="n">
        <v>2066</v>
      </c>
      <c r="B2067" s="3" t="n">
        <v>2065</v>
      </c>
      <c r="C2067" s="3" t="n">
        <v>2</v>
      </c>
      <c r="D2067" s="3" t="n">
        <v>17</v>
      </c>
      <c r="E2067" s="3" t="n">
        <v>21</v>
      </c>
      <c r="F2067" s="24" t="n">
        <v>-0.0777726099</v>
      </c>
    </row>
    <row r="2068" customFormat="false" ht="15" hidden="false" customHeight="false" outlineLevel="0" collapsed="false">
      <c r="A2068" s="3" t="n">
        <v>2067</v>
      </c>
      <c r="B2068" s="3" t="n">
        <v>2066</v>
      </c>
      <c r="C2068" s="3" t="n">
        <v>2</v>
      </c>
      <c r="D2068" s="3" t="n">
        <v>17</v>
      </c>
      <c r="E2068" s="3" t="n">
        <v>22</v>
      </c>
      <c r="F2068" s="24" t="n">
        <v>-0.0777726099</v>
      </c>
    </row>
    <row r="2069" customFormat="false" ht="15" hidden="false" customHeight="false" outlineLevel="0" collapsed="false">
      <c r="A2069" s="3" t="n">
        <v>2068</v>
      </c>
      <c r="B2069" s="3" t="n">
        <v>2067</v>
      </c>
      <c r="C2069" s="3" t="n">
        <v>2</v>
      </c>
      <c r="D2069" s="3" t="n">
        <v>17</v>
      </c>
      <c r="E2069" s="3" t="n">
        <v>23</v>
      </c>
      <c r="F2069" s="24" t="n">
        <v>-0.0777726099</v>
      </c>
    </row>
    <row r="2070" customFormat="false" ht="15" hidden="false" customHeight="false" outlineLevel="0" collapsed="false">
      <c r="A2070" s="3" t="n">
        <v>2069</v>
      </c>
      <c r="B2070" s="3" t="n">
        <v>2068</v>
      </c>
      <c r="C2070" s="3" t="n">
        <v>2</v>
      </c>
      <c r="D2070" s="3" t="n">
        <v>17</v>
      </c>
      <c r="E2070" s="3" t="n">
        <v>24</v>
      </c>
      <c r="F2070" s="24" t="n">
        <v>-0.0777726099</v>
      </c>
    </row>
    <row r="2071" customFormat="false" ht="15" hidden="false" customHeight="false" outlineLevel="0" collapsed="false">
      <c r="A2071" s="3" t="n">
        <v>2070</v>
      </c>
      <c r="B2071" s="3" t="n">
        <v>2069</v>
      </c>
      <c r="C2071" s="3" t="n">
        <v>2</v>
      </c>
      <c r="D2071" s="3" t="n">
        <v>17</v>
      </c>
      <c r="E2071" s="3" t="n">
        <v>25</v>
      </c>
      <c r="F2071" s="24" t="n">
        <v>-0.0777726099</v>
      </c>
    </row>
    <row r="2072" customFormat="false" ht="15" hidden="false" customHeight="false" outlineLevel="0" collapsed="false">
      <c r="A2072" s="3" t="n">
        <v>2071</v>
      </c>
      <c r="B2072" s="3" t="n">
        <v>2070</v>
      </c>
      <c r="C2072" s="3" t="n">
        <v>2</v>
      </c>
      <c r="D2072" s="3" t="n">
        <v>17</v>
      </c>
      <c r="E2072" s="3" t="n">
        <v>26</v>
      </c>
      <c r="F2072" s="24" t="n">
        <v>-0.0777726099</v>
      </c>
    </row>
    <row r="2073" customFormat="false" ht="15" hidden="false" customHeight="false" outlineLevel="0" collapsed="false">
      <c r="A2073" s="3" t="n">
        <v>2072</v>
      </c>
      <c r="B2073" s="3" t="n">
        <v>2071</v>
      </c>
      <c r="C2073" s="3" t="n">
        <v>2</v>
      </c>
      <c r="D2073" s="3" t="n">
        <v>17</v>
      </c>
      <c r="E2073" s="3" t="n">
        <v>27</v>
      </c>
      <c r="F2073" s="24" t="n">
        <v>0.387737483</v>
      </c>
    </row>
    <row r="2074" customFormat="false" ht="15" hidden="false" customHeight="false" outlineLevel="0" collapsed="false">
      <c r="A2074" s="3" t="n">
        <v>2073</v>
      </c>
      <c r="B2074" s="3" t="n">
        <v>2072</v>
      </c>
      <c r="C2074" s="3" t="n">
        <v>2</v>
      </c>
      <c r="D2074" s="3" t="n">
        <v>18</v>
      </c>
      <c r="E2074" s="3" t="n">
        <v>0</v>
      </c>
      <c r="F2074" s="24" t="n">
        <v>-0.740650654</v>
      </c>
    </row>
    <row r="2075" customFormat="false" ht="15" hidden="false" customHeight="false" outlineLevel="0" collapsed="false">
      <c r="A2075" s="3" t="n">
        <v>2074</v>
      </c>
      <c r="B2075" s="3" t="n">
        <v>2073</v>
      </c>
      <c r="C2075" s="3" t="n">
        <v>2</v>
      </c>
      <c r="D2075" s="3" t="n">
        <v>18</v>
      </c>
      <c r="E2075" s="3" t="n">
        <v>1</v>
      </c>
      <c r="F2075" s="24" t="n">
        <v>-0.0777726099</v>
      </c>
    </row>
    <row r="2076" customFormat="false" ht="15" hidden="false" customHeight="false" outlineLevel="0" collapsed="false">
      <c r="A2076" s="3" t="n">
        <v>2075</v>
      </c>
      <c r="B2076" s="3" t="n">
        <v>2074</v>
      </c>
      <c r="C2076" s="3" t="n">
        <v>2</v>
      </c>
      <c r="D2076" s="3" t="n">
        <v>18</v>
      </c>
      <c r="E2076" s="3" t="n">
        <v>2</v>
      </c>
      <c r="F2076" s="24" t="n">
        <v>-0.0777726099</v>
      </c>
    </row>
    <row r="2077" customFormat="false" ht="15" hidden="false" customHeight="false" outlineLevel="0" collapsed="false">
      <c r="A2077" s="3" t="n">
        <v>2076</v>
      </c>
      <c r="B2077" s="3" t="n">
        <v>2075</v>
      </c>
      <c r="C2077" s="3" t="n">
        <v>2</v>
      </c>
      <c r="D2077" s="3" t="n">
        <v>18</v>
      </c>
      <c r="E2077" s="3" t="n">
        <v>3</v>
      </c>
      <c r="F2077" s="24" t="n">
        <v>-0.0777726099</v>
      </c>
    </row>
    <row r="2078" customFormat="false" ht="15" hidden="false" customHeight="false" outlineLevel="0" collapsed="false">
      <c r="A2078" s="3" t="n">
        <v>2077</v>
      </c>
      <c r="B2078" s="3" t="n">
        <v>2076</v>
      </c>
      <c r="C2078" s="3" t="n">
        <v>2</v>
      </c>
      <c r="D2078" s="3" t="n">
        <v>18</v>
      </c>
      <c r="E2078" s="3" t="n">
        <v>4</v>
      </c>
      <c r="F2078" s="24" t="n">
        <v>-0.0777726099</v>
      </c>
    </row>
    <row r="2079" customFormat="false" ht="15" hidden="false" customHeight="false" outlineLevel="0" collapsed="false">
      <c r="A2079" s="3" t="n">
        <v>2078</v>
      </c>
      <c r="B2079" s="3" t="n">
        <v>2077</v>
      </c>
      <c r="C2079" s="3" t="n">
        <v>2</v>
      </c>
      <c r="D2079" s="3" t="n">
        <v>18</v>
      </c>
      <c r="E2079" s="3" t="n">
        <v>5</v>
      </c>
      <c r="F2079" s="24" t="n">
        <v>-0.0777726099</v>
      </c>
    </row>
    <row r="2080" customFormat="false" ht="15" hidden="false" customHeight="false" outlineLevel="0" collapsed="false">
      <c r="A2080" s="3" t="n">
        <v>2079</v>
      </c>
      <c r="B2080" s="3" t="n">
        <v>2078</v>
      </c>
      <c r="C2080" s="3" t="n">
        <v>2</v>
      </c>
      <c r="D2080" s="3" t="n">
        <v>18</v>
      </c>
      <c r="E2080" s="3" t="n">
        <v>6</v>
      </c>
      <c r="F2080" s="24" t="n">
        <v>-0.0777726099</v>
      </c>
    </row>
    <row r="2081" customFormat="false" ht="15" hidden="false" customHeight="false" outlineLevel="0" collapsed="false">
      <c r="A2081" s="3" t="n">
        <v>2080</v>
      </c>
      <c r="B2081" s="3" t="n">
        <v>2079</v>
      </c>
      <c r="C2081" s="3" t="n">
        <v>2</v>
      </c>
      <c r="D2081" s="3" t="n">
        <v>18</v>
      </c>
      <c r="E2081" s="3" t="n">
        <v>7</v>
      </c>
      <c r="F2081" s="24" t="n">
        <v>-0.0777726099</v>
      </c>
    </row>
    <row r="2082" customFormat="false" ht="15" hidden="false" customHeight="false" outlineLevel="0" collapsed="false">
      <c r="A2082" s="3" t="n">
        <v>2081</v>
      </c>
      <c r="B2082" s="3" t="n">
        <v>2080</v>
      </c>
      <c r="C2082" s="3" t="n">
        <v>2</v>
      </c>
      <c r="D2082" s="3" t="n">
        <v>18</v>
      </c>
      <c r="E2082" s="3" t="n">
        <v>8</v>
      </c>
      <c r="F2082" s="24" t="n">
        <v>-0.0777726099</v>
      </c>
    </row>
    <row r="2083" customFormat="false" ht="15" hidden="false" customHeight="false" outlineLevel="0" collapsed="false">
      <c r="A2083" s="3" t="n">
        <v>2082</v>
      </c>
      <c r="B2083" s="3" t="n">
        <v>2081</v>
      </c>
      <c r="C2083" s="3" t="n">
        <v>2</v>
      </c>
      <c r="D2083" s="3" t="n">
        <v>18</v>
      </c>
      <c r="E2083" s="3" t="n">
        <v>9</v>
      </c>
      <c r="F2083" s="24" t="n">
        <v>-0.0777726099</v>
      </c>
    </row>
    <row r="2084" customFormat="false" ht="15" hidden="false" customHeight="false" outlineLevel="0" collapsed="false">
      <c r="A2084" s="3" t="n">
        <v>2083</v>
      </c>
      <c r="B2084" s="3" t="n">
        <v>2082</v>
      </c>
      <c r="C2084" s="3" t="n">
        <v>2</v>
      </c>
      <c r="D2084" s="3" t="n">
        <v>18</v>
      </c>
      <c r="E2084" s="3" t="n">
        <v>10</v>
      </c>
      <c r="F2084" s="24" t="n">
        <v>-0.0777726099</v>
      </c>
    </row>
    <row r="2085" customFormat="false" ht="15" hidden="false" customHeight="false" outlineLevel="0" collapsed="false">
      <c r="A2085" s="3" t="n">
        <v>2084</v>
      </c>
      <c r="B2085" s="3" t="n">
        <v>2083</v>
      </c>
      <c r="C2085" s="3" t="n">
        <v>2</v>
      </c>
      <c r="D2085" s="3" t="n">
        <v>18</v>
      </c>
      <c r="E2085" s="3" t="n">
        <v>11</v>
      </c>
      <c r="F2085" s="24" t="n">
        <v>-0.0777726099</v>
      </c>
    </row>
    <row r="2086" customFormat="false" ht="15" hidden="false" customHeight="false" outlineLevel="0" collapsed="false">
      <c r="A2086" s="3" t="n">
        <v>2085</v>
      </c>
      <c r="B2086" s="3" t="n">
        <v>2084</v>
      </c>
      <c r="C2086" s="3" t="n">
        <v>2</v>
      </c>
      <c r="D2086" s="3" t="n">
        <v>18</v>
      </c>
      <c r="E2086" s="3" t="n">
        <v>12</v>
      </c>
      <c r="F2086" s="24" t="n">
        <v>0.00108155608</v>
      </c>
    </row>
    <row r="2087" customFormat="false" ht="15" hidden="false" customHeight="false" outlineLevel="0" collapsed="false">
      <c r="A2087" s="3" t="n">
        <v>2086</v>
      </c>
      <c r="B2087" s="3" t="n">
        <v>2085</v>
      </c>
      <c r="C2087" s="3" t="n">
        <v>2</v>
      </c>
      <c r="D2087" s="3" t="n">
        <v>18</v>
      </c>
      <c r="E2087" s="3" t="n">
        <v>13</v>
      </c>
      <c r="F2087" s="24" t="n">
        <v>1.47832322</v>
      </c>
    </row>
    <row r="2088" customFormat="false" ht="15" hidden="false" customHeight="false" outlineLevel="0" collapsed="false">
      <c r="A2088" s="3" t="n">
        <v>2087</v>
      </c>
      <c r="B2088" s="3" t="n">
        <v>2086</v>
      </c>
      <c r="C2088" s="3" t="n">
        <v>2</v>
      </c>
      <c r="D2088" s="3" t="n">
        <v>18</v>
      </c>
      <c r="E2088" s="3" t="n">
        <v>14</v>
      </c>
      <c r="F2088" s="24" t="n">
        <v>3.75032115</v>
      </c>
    </row>
    <row r="2089" customFormat="false" ht="15" hidden="false" customHeight="false" outlineLevel="0" collapsed="false">
      <c r="A2089" s="3" t="n">
        <v>2088</v>
      </c>
      <c r="B2089" s="3" t="n">
        <v>2087</v>
      </c>
      <c r="C2089" s="3" t="n">
        <v>2</v>
      </c>
      <c r="D2089" s="3" t="n">
        <v>18</v>
      </c>
      <c r="E2089" s="3" t="n">
        <v>15</v>
      </c>
      <c r="F2089" s="24" t="n">
        <v>1.73494422</v>
      </c>
    </row>
    <row r="2090" customFormat="false" ht="15" hidden="false" customHeight="false" outlineLevel="0" collapsed="false">
      <c r="A2090" s="3" t="n">
        <v>2089</v>
      </c>
      <c r="B2090" s="3" t="n">
        <v>2088</v>
      </c>
      <c r="C2090" s="3" t="n">
        <v>2</v>
      </c>
      <c r="D2090" s="3" t="n">
        <v>18</v>
      </c>
      <c r="E2090" s="3" t="n">
        <v>16</v>
      </c>
      <c r="F2090" s="24" t="n">
        <v>-3.08055544</v>
      </c>
    </row>
    <row r="2091" customFormat="false" ht="15" hidden="false" customHeight="false" outlineLevel="0" collapsed="false">
      <c r="A2091" s="3" t="n">
        <v>2090</v>
      </c>
      <c r="B2091" s="3" t="n">
        <v>2089</v>
      </c>
      <c r="C2091" s="3" t="n">
        <v>2</v>
      </c>
      <c r="D2091" s="3" t="n">
        <v>18</v>
      </c>
      <c r="E2091" s="3" t="n">
        <v>17</v>
      </c>
      <c r="F2091" s="24" t="n">
        <v>-4.45545626</v>
      </c>
    </row>
    <row r="2092" customFormat="false" ht="15" hidden="false" customHeight="false" outlineLevel="0" collapsed="false">
      <c r="A2092" s="3" t="n">
        <v>2091</v>
      </c>
      <c r="B2092" s="3" t="n">
        <v>2090</v>
      </c>
      <c r="C2092" s="3" t="n">
        <v>2</v>
      </c>
      <c r="D2092" s="3" t="n">
        <v>18</v>
      </c>
      <c r="E2092" s="3" t="n">
        <v>18</v>
      </c>
      <c r="F2092" s="24" t="n">
        <v>-1.56681359</v>
      </c>
    </row>
    <row r="2093" customFormat="false" ht="15" hidden="false" customHeight="false" outlineLevel="0" collapsed="false">
      <c r="A2093" s="3" t="n">
        <v>2092</v>
      </c>
      <c r="B2093" s="3" t="n">
        <v>2091</v>
      </c>
      <c r="C2093" s="3" t="n">
        <v>2</v>
      </c>
      <c r="D2093" s="3" t="n">
        <v>18</v>
      </c>
      <c r="E2093" s="3" t="n">
        <v>19</v>
      </c>
      <c r="F2093" s="24" t="n">
        <v>-0.0777726099</v>
      </c>
    </row>
    <row r="2094" customFormat="false" ht="15" hidden="false" customHeight="false" outlineLevel="0" collapsed="false">
      <c r="A2094" s="3" t="n">
        <v>2093</v>
      </c>
      <c r="B2094" s="3" t="n">
        <v>2092</v>
      </c>
      <c r="C2094" s="3" t="n">
        <v>2</v>
      </c>
      <c r="D2094" s="3" t="n">
        <v>18</v>
      </c>
      <c r="E2094" s="3" t="n">
        <v>20</v>
      </c>
      <c r="F2094" s="24" t="n">
        <v>-0.0777726099</v>
      </c>
    </row>
    <row r="2095" customFormat="false" ht="15" hidden="false" customHeight="false" outlineLevel="0" collapsed="false">
      <c r="A2095" s="3" t="n">
        <v>2094</v>
      </c>
      <c r="B2095" s="3" t="n">
        <v>2093</v>
      </c>
      <c r="C2095" s="3" t="n">
        <v>2</v>
      </c>
      <c r="D2095" s="3" t="n">
        <v>18</v>
      </c>
      <c r="E2095" s="3" t="n">
        <v>21</v>
      </c>
      <c r="F2095" s="24" t="n">
        <v>-0.0777726099</v>
      </c>
    </row>
    <row r="2096" customFormat="false" ht="15" hidden="false" customHeight="false" outlineLevel="0" collapsed="false">
      <c r="A2096" s="3" t="n">
        <v>2095</v>
      </c>
      <c r="B2096" s="3" t="n">
        <v>2094</v>
      </c>
      <c r="C2096" s="3" t="n">
        <v>2</v>
      </c>
      <c r="D2096" s="3" t="n">
        <v>18</v>
      </c>
      <c r="E2096" s="3" t="n">
        <v>22</v>
      </c>
      <c r="F2096" s="24" t="n">
        <v>-0.0777726099</v>
      </c>
    </row>
    <row r="2097" customFormat="false" ht="15" hidden="false" customHeight="false" outlineLevel="0" collapsed="false">
      <c r="A2097" s="3" t="n">
        <v>2096</v>
      </c>
      <c r="B2097" s="3" t="n">
        <v>2095</v>
      </c>
      <c r="C2097" s="3" t="n">
        <v>2</v>
      </c>
      <c r="D2097" s="3" t="n">
        <v>18</v>
      </c>
      <c r="E2097" s="3" t="n">
        <v>23</v>
      </c>
      <c r="F2097" s="24" t="n">
        <v>-0.0777726099</v>
      </c>
    </row>
    <row r="2098" customFormat="false" ht="15" hidden="false" customHeight="false" outlineLevel="0" collapsed="false">
      <c r="A2098" s="3" t="n">
        <v>2097</v>
      </c>
      <c r="B2098" s="3" t="n">
        <v>2096</v>
      </c>
      <c r="C2098" s="3" t="n">
        <v>2</v>
      </c>
      <c r="D2098" s="3" t="n">
        <v>18</v>
      </c>
      <c r="E2098" s="3" t="n">
        <v>24</v>
      </c>
      <c r="F2098" s="24" t="n">
        <v>-0.0777726099</v>
      </c>
    </row>
    <row r="2099" customFormat="false" ht="15" hidden="false" customHeight="false" outlineLevel="0" collapsed="false">
      <c r="A2099" s="3" t="n">
        <v>2098</v>
      </c>
      <c r="B2099" s="3" t="n">
        <v>2097</v>
      </c>
      <c r="C2099" s="3" t="n">
        <v>2</v>
      </c>
      <c r="D2099" s="3" t="n">
        <v>18</v>
      </c>
      <c r="E2099" s="3" t="n">
        <v>25</v>
      </c>
      <c r="F2099" s="24" t="n">
        <v>-0.0777726099</v>
      </c>
    </row>
    <row r="2100" customFormat="false" ht="15" hidden="false" customHeight="false" outlineLevel="0" collapsed="false">
      <c r="A2100" s="3" t="n">
        <v>2099</v>
      </c>
      <c r="B2100" s="3" t="n">
        <v>2098</v>
      </c>
      <c r="C2100" s="3" t="n">
        <v>2</v>
      </c>
      <c r="D2100" s="3" t="n">
        <v>18</v>
      </c>
      <c r="E2100" s="3" t="n">
        <v>26</v>
      </c>
      <c r="F2100" s="24" t="n">
        <v>-0.0777726099</v>
      </c>
    </row>
    <row r="2101" customFormat="false" ht="15" hidden="false" customHeight="false" outlineLevel="0" collapsed="false">
      <c r="A2101" s="3" t="n">
        <v>2100</v>
      </c>
      <c r="B2101" s="3" t="n">
        <v>2099</v>
      </c>
      <c r="C2101" s="3" t="n">
        <v>2</v>
      </c>
      <c r="D2101" s="3" t="n">
        <v>18</v>
      </c>
      <c r="E2101" s="3" t="n">
        <v>27</v>
      </c>
      <c r="F2101" s="24" t="n">
        <v>0.387737483</v>
      </c>
    </row>
    <row r="2102" customFormat="false" ht="15" hidden="false" customHeight="false" outlineLevel="0" collapsed="false">
      <c r="A2102" s="3" t="n">
        <v>2101</v>
      </c>
      <c r="B2102" s="3" t="n">
        <v>2100</v>
      </c>
      <c r="C2102" s="3" t="n">
        <v>2</v>
      </c>
      <c r="D2102" s="3" t="n">
        <v>19</v>
      </c>
      <c r="E2102" s="3" t="n">
        <v>0</v>
      </c>
      <c r="F2102" s="24" t="n">
        <v>-0.740650654</v>
      </c>
    </row>
    <row r="2103" customFormat="false" ht="15" hidden="false" customHeight="false" outlineLevel="0" collapsed="false">
      <c r="A2103" s="3" t="n">
        <v>2102</v>
      </c>
      <c r="B2103" s="3" t="n">
        <v>2101</v>
      </c>
      <c r="C2103" s="3" t="n">
        <v>2</v>
      </c>
      <c r="D2103" s="3" t="n">
        <v>19</v>
      </c>
      <c r="E2103" s="3" t="n">
        <v>1</v>
      </c>
      <c r="F2103" s="24" t="n">
        <v>-0.0777726099</v>
      </c>
    </row>
    <row r="2104" customFormat="false" ht="15" hidden="false" customHeight="false" outlineLevel="0" collapsed="false">
      <c r="A2104" s="3" t="n">
        <v>2103</v>
      </c>
      <c r="B2104" s="3" t="n">
        <v>2102</v>
      </c>
      <c r="C2104" s="3" t="n">
        <v>2</v>
      </c>
      <c r="D2104" s="3" t="n">
        <v>19</v>
      </c>
      <c r="E2104" s="3" t="n">
        <v>2</v>
      </c>
      <c r="F2104" s="24" t="n">
        <v>-0.0777726099</v>
      </c>
    </row>
    <row r="2105" customFormat="false" ht="15" hidden="false" customHeight="false" outlineLevel="0" collapsed="false">
      <c r="A2105" s="3" t="n">
        <v>2104</v>
      </c>
      <c r="B2105" s="3" t="n">
        <v>2103</v>
      </c>
      <c r="C2105" s="3" t="n">
        <v>2</v>
      </c>
      <c r="D2105" s="3" t="n">
        <v>19</v>
      </c>
      <c r="E2105" s="3" t="n">
        <v>3</v>
      </c>
      <c r="F2105" s="24" t="n">
        <v>-0.0777726099</v>
      </c>
    </row>
    <row r="2106" customFormat="false" ht="15" hidden="false" customHeight="false" outlineLevel="0" collapsed="false">
      <c r="A2106" s="3" t="n">
        <v>2105</v>
      </c>
      <c r="B2106" s="3" t="n">
        <v>2104</v>
      </c>
      <c r="C2106" s="3" t="n">
        <v>2</v>
      </c>
      <c r="D2106" s="3" t="n">
        <v>19</v>
      </c>
      <c r="E2106" s="3" t="n">
        <v>4</v>
      </c>
      <c r="F2106" s="24" t="n">
        <v>-0.0777726099</v>
      </c>
    </row>
    <row r="2107" customFormat="false" ht="15" hidden="false" customHeight="false" outlineLevel="0" collapsed="false">
      <c r="A2107" s="3" t="n">
        <v>2106</v>
      </c>
      <c r="B2107" s="3" t="n">
        <v>2105</v>
      </c>
      <c r="C2107" s="3" t="n">
        <v>2</v>
      </c>
      <c r="D2107" s="3" t="n">
        <v>19</v>
      </c>
      <c r="E2107" s="3" t="n">
        <v>5</v>
      </c>
      <c r="F2107" s="24" t="n">
        <v>-0.0777726099</v>
      </c>
    </row>
    <row r="2108" customFormat="false" ht="15" hidden="false" customHeight="false" outlineLevel="0" collapsed="false">
      <c r="A2108" s="3" t="n">
        <v>2107</v>
      </c>
      <c r="B2108" s="3" t="n">
        <v>2106</v>
      </c>
      <c r="C2108" s="3" t="n">
        <v>2</v>
      </c>
      <c r="D2108" s="3" t="n">
        <v>19</v>
      </c>
      <c r="E2108" s="3" t="n">
        <v>6</v>
      </c>
      <c r="F2108" s="24" t="n">
        <v>-0.0777726099</v>
      </c>
    </row>
    <row r="2109" customFormat="false" ht="15" hidden="false" customHeight="false" outlineLevel="0" collapsed="false">
      <c r="A2109" s="3" t="n">
        <v>2108</v>
      </c>
      <c r="B2109" s="3" t="n">
        <v>2107</v>
      </c>
      <c r="C2109" s="3" t="n">
        <v>2</v>
      </c>
      <c r="D2109" s="3" t="n">
        <v>19</v>
      </c>
      <c r="E2109" s="3" t="n">
        <v>7</v>
      </c>
      <c r="F2109" s="24" t="n">
        <v>-0.0777726099</v>
      </c>
    </row>
    <row r="2110" customFormat="false" ht="15" hidden="false" customHeight="false" outlineLevel="0" collapsed="false">
      <c r="A2110" s="3" t="n">
        <v>2109</v>
      </c>
      <c r="B2110" s="3" t="n">
        <v>2108</v>
      </c>
      <c r="C2110" s="3" t="n">
        <v>2</v>
      </c>
      <c r="D2110" s="3" t="n">
        <v>19</v>
      </c>
      <c r="E2110" s="3" t="n">
        <v>8</v>
      </c>
      <c r="F2110" s="24" t="n">
        <v>-0.0777726099</v>
      </c>
    </row>
    <row r="2111" customFormat="false" ht="15" hidden="false" customHeight="false" outlineLevel="0" collapsed="false">
      <c r="A2111" s="3" t="n">
        <v>2110</v>
      </c>
      <c r="B2111" s="3" t="n">
        <v>2109</v>
      </c>
      <c r="C2111" s="3" t="n">
        <v>2</v>
      </c>
      <c r="D2111" s="3" t="n">
        <v>19</v>
      </c>
      <c r="E2111" s="3" t="n">
        <v>9</v>
      </c>
      <c r="F2111" s="24" t="n">
        <v>-0.0777726099</v>
      </c>
    </row>
    <row r="2112" customFormat="false" ht="15" hidden="false" customHeight="false" outlineLevel="0" collapsed="false">
      <c r="A2112" s="3" t="n">
        <v>2111</v>
      </c>
      <c r="B2112" s="3" t="n">
        <v>2110</v>
      </c>
      <c r="C2112" s="3" t="n">
        <v>2</v>
      </c>
      <c r="D2112" s="3" t="n">
        <v>19</v>
      </c>
      <c r="E2112" s="3" t="n">
        <v>10</v>
      </c>
      <c r="F2112" s="24" t="n">
        <v>-0.0777726099</v>
      </c>
    </row>
    <row r="2113" customFormat="false" ht="15" hidden="false" customHeight="false" outlineLevel="0" collapsed="false">
      <c r="A2113" s="3" t="n">
        <v>2112</v>
      </c>
      <c r="B2113" s="3" t="n">
        <v>2111</v>
      </c>
      <c r="C2113" s="3" t="n">
        <v>2</v>
      </c>
      <c r="D2113" s="3" t="n">
        <v>19</v>
      </c>
      <c r="E2113" s="3" t="n">
        <v>11</v>
      </c>
      <c r="F2113" s="24" t="n">
        <v>-0.0653219521</v>
      </c>
    </row>
    <row r="2114" customFormat="false" ht="15" hidden="false" customHeight="false" outlineLevel="0" collapsed="false">
      <c r="A2114" s="3" t="n">
        <v>2113</v>
      </c>
      <c r="B2114" s="3" t="n">
        <v>2112</v>
      </c>
      <c r="C2114" s="3" t="n">
        <v>2</v>
      </c>
      <c r="D2114" s="3" t="n">
        <v>19</v>
      </c>
      <c r="E2114" s="3" t="n">
        <v>12</v>
      </c>
      <c r="F2114" s="24" t="n">
        <v>0.920389295</v>
      </c>
    </row>
    <row r="2115" customFormat="false" ht="15" hidden="false" customHeight="false" outlineLevel="0" collapsed="false">
      <c r="A2115" s="3" t="n">
        <v>2114</v>
      </c>
      <c r="B2115" s="3" t="n">
        <v>2113</v>
      </c>
      <c r="C2115" s="3" t="n">
        <v>2</v>
      </c>
      <c r="D2115" s="3" t="n">
        <v>19</v>
      </c>
      <c r="E2115" s="3" t="n">
        <v>13</v>
      </c>
      <c r="F2115" s="24" t="n">
        <v>3.49018049</v>
      </c>
    </row>
    <row r="2116" customFormat="false" ht="15" hidden="false" customHeight="false" outlineLevel="0" collapsed="false">
      <c r="A2116" s="3" t="n">
        <v>2115</v>
      </c>
      <c r="B2116" s="3" t="n">
        <v>2114</v>
      </c>
      <c r="C2116" s="3" t="n">
        <v>2</v>
      </c>
      <c r="D2116" s="3" t="n">
        <v>19</v>
      </c>
      <c r="E2116" s="3" t="n">
        <v>14</v>
      </c>
      <c r="F2116" s="24" t="n">
        <v>2.6171658</v>
      </c>
    </row>
    <row r="2117" customFormat="false" ht="15" hidden="false" customHeight="false" outlineLevel="0" collapsed="false">
      <c r="A2117" s="3" t="n">
        <v>2116</v>
      </c>
      <c r="B2117" s="3" t="n">
        <v>2115</v>
      </c>
      <c r="C2117" s="3" t="n">
        <v>2</v>
      </c>
      <c r="D2117" s="3" t="n">
        <v>19</v>
      </c>
      <c r="E2117" s="3" t="n">
        <v>15</v>
      </c>
      <c r="F2117" s="24" t="n">
        <v>-1.27799857</v>
      </c>
    </row>
    <row r="2118" customFormat="false" ht="15" hidden="false" customHeight="false" outlineLevel="0" collapsed="false">
      <c r="A2118" s="3" t="n">
        <v>2117</v>
      </c>
      <c r="B2118" s="3" t="n">
        <v>2116</v>
      </c>
      <c r="C2118" s="3" t="n">
        <v>2</v>
      </c>
      <c r="D2118" s="3" t="n">
        <v>19</v>
      </c>
      <c r="E2118" s="3" t="n">
        <v>16</v>
      </c>
      <c r="F2118" s="24" t="n">
        <v>-4.70233965</v>
      </c>
    </row>
    <row r="2119" customFormat="false" ht="15" hidden="false" customHeight="false" outlineLevel="0" collapsed="false">
      <c r="A2119" s="3" t="n">
        <v>2118</v>
      </c>
      <c r="B2119" s="3" t="n">
        <v>2117</v>
      </c>
      <c r="C2119" s="3" t="n">
        <v>2</v>
      </c>
      <c r="D2119" s="3" t="n">
        <v>19</v>
      </c>
      <c r="E2119" s="3" t="n">
        <v>17</v>
      </c>
      <c r="F2119" s="24" t="n">
        <v>-2.96091223</v>
      </c>
    </row>
    <row r="2120" customFormat="false" ht="15" hidden="false" customHeight="false" outlineLevel="0" collapsed="false">
      <c r="A2120" s="3" t="n">
        <v>2119</v>
      </c>
      <c r="B2120" s="3" t="n">
        <v>2118</v>
      </c>
      <c r="C2120" s="3" t="n">
        <v>2</v>
      </c>
      <c r="D2120" s="3" t="n">
        <v>19</v>
      </c>
      <c r="E2120" s="3" t="n">
        <v>18</v>
      </c>
      <c r="F2120" s="24" t="n">
        <v>-0.403659046</v>
      </c>
    </row>
    <row r="2121" customFormat="false" ht="15" hidden="false" customHeight="false" outlineLevel="0" collapsed="false">
      <c r="A2121" s="3" t="n">
        <v>2120</v>
      </c>
      <c r="B2121" s="3" t="n">
        <v>2119</v>
      </c>
      <c r="C2121" s="3" t="n">
        <v>2</v>
      </c>
      <c r="D2121" s="3" t="n">
        <v>19</v>
      </c>
      <c r="E2121" s="3" t="n">
        <v>19</v>
      </c>
      <c r="F2121" s="24" t="n">
        <v>-0.0777726099</v>
      </c>
    </row>
    <row r="2122" customFormat="false" ht="15" hidden="false" customHeight="false" outlineLevel="0" collapsed="false">
      <c r="A2122" s="3" t="n">
        <v>2121</v>
      </c>
      <c r="B2122" s="3" t="n">
        <v>2120</v>
      </c>
      <c r="C2122" s="3" t="n">
        <v>2</v>
      </c>
      <c r="D2122" s="3" t="n">
        <v>19</v>
      </c>
      <c r="E2122" s="3" t="n">
        <v>20</v>
      </c>
      <c r="F2122" s="24" t="n">
        <v>-0.0777726099</v>
      </c>
    </row>
    <row r="2123" customFormat="false" ht="15" hidden="false" customHeight="false" outlineLevel="0" collapsed="false">
      <c r="A2123" s="3" t="n">
        <v>2122</v>
      </c>
      <c r="B2123" s="3" t="n">
        <v>2121</v>
      </c>
      <c r="C2123" s="3" t="n">
        <v>2</v>
      </c>
      <c r="D2123" s="3" t="n">
        <v>19</v>
      </c>
      <c r="E2123" s="3" t="n">
        <v>21</v>
      </c>
      <c r="F2123" s="24" t="n">
        <v>-0.0777726099</v>
      </c>
    </row>
    <row r="2124" customFormat="false" ht="15" hidden="false" customHeight="false" outlineLevel="0" collapsed="false">
      <c r="A2124" s="3" t="n">
        <v>2123</v>
      </c>
      <c r="B2124" s="3" t="n">
        <v>2122</v>
      </c>
      <c r="C2124" s="3" t="n">
        <v>2</v>
      </c>
      <c r="D2124" s="3" t="n">
        <v>19</v>
      </c>
      <c r="E2124" s="3" t="n">
        <v>22</v>
      </c>
      <c r="F2124" s="24" t="n">
        <v>-0.0777726099</v>
      </c>
    </row>
    <row r="2125" customFormat="false" ht="15" hidden="false" customHeight="false" outlineLevel="0" collapsed="false">
      <c r="A2125" s="3" t="n">
        <v>2124</v>
      </c>
      <c r="B2125" s="3" t="n">
        <v>2123</v>
      </c>
      <c r="C2125" s="3" t="n">
        <v>2</v>
      </c>
      <c r="D2125" s="3" t="n">
        <v>19</v>
      </c>
      <c r="E2125" s="3" t="n">
        <v>23</v>
      </c>
      <c r="F2125" s="24" t="n">
        <v>-0.0777726099</v>
      </c>
    </row>
    <row r="2126" customFormat="false" ht="15" hidden="false" customHeight="false" outlineLevel="0" collapsed="false">
      <c r="A2126" s="3" t="n">
        <v>2125</v>
      </c>
      <c r="B2126" s="3" t="n">
        <v>2124</v>
      </c>
      <c r="C2126" s="3" t="n">
        <v>2</v>
      </c>
      <c r="D2126" s="3" t="n">
        <v>19</v>
      </c>
      <c r="E2126" s="3" t="n">
        <v>24</v>
      </c>
      <c r="F2126" s="24" t="n">
        <v>-0.0777726099</v>
      </c>
    </row>
    <row r="2127" customFormat="false" ht="15" hidden="false" customHeight="false" outlineLevel="0" collapsed="false">
      <c r="A2127" s="3" t="n">
        <v>2126</v>
      </c>
      <c r="B2127" s="3" t="n">
        <v>2125</v>
      </c>
      <c r="C2127" s="3" t="n">
        <v>2</v>
      </c>
      <c r="D2127" s="3" t="n">
        <v>19</v>
      </c>
      <c r="E2127" s="3" t="n">
        <v>25</v>
      </c>
      <c r="F2127" s="24" t="n">
        <v>-0.0777726099</v>
      </c>
    </row>
    <row r="2128" customFormat="false" ht="15" hidden="false" customHeight="false" outlineLevel="0" collapsed="false">
      <c r="A2128" s="3" t="n">
        <v>2127</v>
      </c>
      <c r="B2128" s="3" t="n">
        <v>2126</v>
      </c>
      <c r="C2128" s="3" t="n">
        <v>2</v>
      </c>
      <c r="D2128" s="3" t="n">
        <v>19</v>
      </c>
      <c r="E2128" s="3" t="n">
        <v>26</v>
      </c>
      <c r="F2128" s="24" t="n">
        <v>-0.0777726099</v>
      </c>
    </row>
    <row r="2129" customFormat="false" ht="15" hidden="false" customHeight="false" outlineLevel="0" collapsed="false">
      <c r="A2129" s="3" t="n">
        <v>2128</v>
      </c>
      <c r="B2129" s="3" t="n">
        <v>2127</v>
      </c>
      <c r="C2129" s="3" t="n">
        <v>2</v>
      </c>
      <c r="D2129" s="3" t="n">
        <v>19</v>
      </c>
      <c r="E2129" s="3" t="n">
        <v>27</v>
      </c>
      <c r="F2129" s="24" t="n">
        <v>0.387737483</v>
      </c>
    </row>
    <row r="2130" customFormat="false" ht="15" hidden="false" customHeight="false" outlineLevel="0" collapsed="false">
      <c r="A2130" s="3" t="n">
        <v>2129</v>
      </c>
      <c r="B2130" s="3" t="n">
        <v>2128</v>
      </c>
      <c r="C2130" s="3" t="n">
        <v>2</v>
      </c>
      <c r="D2130" s="3" t="n">
        <v>20</v>
      </c>
      <c r="E2130" s="3" t="n">
        <v>0</v>
      </c>
      <c r="F2130" s="24" t="n">
        <v>-0.740650654</v>
      </c>
    </row>
    <row r="2131" customFormat="false" ht="15" hidden="false" customHeight="false" outlineLevel="0" collapsed="false">
      <c r="A2131" s="3" t="n">
        <v>2130</v>
      </c>
      <c r="B2131" s="3" t="n">
        <v>2129</v>
      </c>
      <c r="C2131" s="3" t="n">
        <v>2</v>
      </c>
      <c r="D2131" s="3" t="n">
        <v>20</v>
      </c>
      <c r="E2131" s="3" t="n">
        <v>1</v>
      </c>
      <c r="F2131" s="24" t="n">
        <v>-0.0777726099</v>
      </c>
    </row>
    <row r="2132" customFormat="false" ht="15" hidden="false" customHeight="false" outlineLevel="0" collapsed="false">
      <c r="A2132" s="3" t="n">
        <v>2131</v>
      </c>
      <c r="B2132" s="3" t="n">
        <v>2130</v>
      </c>
      <c r="C2132" s="3" t="n">
        <v>2</v>
      </c>
      <c r="D2132" s="3" t="n">
        <v>20</v>
      </c>
      <c r="E2132" s="3" t="n">
        <v>2</v>
      </c>
      <c r="F2132" s="24" t="n">
        <v>-0.0777726099</v>
      </c>
    </row>
    <row r="2133" customFormat="false" ht="15" hidden="false" customHeight="false" outlineLevel="0" collapsed="false">
      <c r="A2133" s="3" t="n">
        <v>2132</v>
      </c>
      <c r="B2133" s="3" t="n">
        <v>2131</v>
      </c>
      <c r="C2133" s="3" t="n">
        <v>2</v>
      </c>
      <c r="D2133" s="3" t="n">
        <v>20</v>
      </c>
      <c r="E2133" s="3" t="n">
        <v>3</v>
      </c>
      <c r="F2133" s="24" t="n">
        <v>-0.0777726099</v>
      </c>
    </row>
    <row r="2134" customFormat="false" ht="15" hidden="false" customHeight="false" outlineLevel="0" collapsed="false">
      <c r="A2134" s="3" t="n">
        <v>2133</v>
      </c>
      <c r="B2134" s="3" t="n">
        <v>2132</v>
      </c>
      <c r="C2134" s="3" t="n">
        <v>2</v>
      </c>
      <c r="D2134" s="3" t="n">
        <v>20</v>
      </c>
      <c r="E2134" s="3" t="n">
        <v>4</v>
      </c>
      <c r="F2134" s="24" t="n">
        <v>-0.0777726099</v>
      </c>
    </row>
    <row r="2135" customFormat="false" ht="15" hidden="false" customHeight="false" outlineLevel="0" collapsed="false">
      <c r="A2135" s="3" t="n">
        <v>2134</v>
      </c>
      <c r="B2135" s="3" t="n">
        <v>2133</v>
      </c>
      <c r="C2135" s="3" t="n">
        <v>2</v>
      </c>
      <c r="D2135" s="3" t="n">
        <v>20</v>
      </c>
      <c r="E2135" s="3" t="n">
        <v>5</v>
      </c>
      <c r="F2135" s="24" t="n">
        <v>-0.0777726099</v>
      </c>
    </row>
    <row r="2136" customFormat="false" ht="15" hidden="false" customHeight="false" outlineLevel="0" collapsed="false">
      <c r="A2136" s="3" t="n">
        <v>2135</v>
      </c>
      <c r="B2136" s="3" t="n">
        <v>2134</v>
      </c>
      <c r="C2136" s="3" t="n">
        <v>2</v>
      </c>
      <c r="D2136" s="3" t="n">
        <v>20</v>
      </c>
      <c r="E2136" s="3" t="n">
        <v>6</v>
      </c>
      <c r="F2136" s="24" t="n">
        <v>-0.0777726099</v>
      </c>
    </row>
    <row r="2137" customFormat="false" ht="15" hidden="false" customHeight="false" outlineLevel="0" collapsed="false">
      <c r="A2137" s="3" t="n">
        <v>2136</v>
      </c>
      <c r="B2137" s="3" t="n">
        <v>2135</v>
      </c>
      <c r="C2137" s="3" t="n">
        <v>2</v>
      </c>
      <c r="D2137" s="3" t="n">
        <v>20</v>
      </c>
      <c r="E2137" s="3" t="n">
        <v>7</v>
      </c>
      <c r="F2137" s="24" t="n">
        <v>-0.0777726099</v>
      </c>
    </row>
    <row r="2138" customFormat="false" ht="15" hidden="false" customHeight="false" outlineLevel="0" collapsed="false">
      <c r="A2138" s="3" t="n">
        <v>2137</v>
      </c>
      <c r="B2138" s="3" t="n">
        <v>2136</v>
      </c>
      <c r="C2138" s="3" t="n">
        <v>2</v>
      </c>
      <c r="D2138" s="3" t="n">
        <v>20</v>
      </c>
      <c r="E2138" s="3" t="n">
        <v>8</v>
      </c>
      <c r="F2138" s="24" t="n">
        <v>-0.0777726099</v>
      </c>
    </row>
    <row r="2139" customFormat="false" ht="15" hidden="false" customHeight="false" outlineLevel="0" collapsed="false">
      <c r="A2139" s="3" t="n">
        <v>2138</v>
      </c>
      <c r="B2139" s="3" t="n">
        <v>2137</v>
      </c>
      <c r="C2139" s="3" t="n">
        <v>2</v>
      </c>
      <c r="D2139" s="3" t="n">
        <v>20</v>
      </c>
      <c r="E2139" s="3" t="n">
        <v>9</v>
      </c>
      <c r="F2139" s="24" t="n">
        <v>-0.0777726099</v>
      </c>
    </row>
    <row r="2140" customFormat="false" ht="15" hidden="false" customHeight="false" outlineLevel="0" collapsed="false">
      <c r="A2140" s="3" t="n">
        <v>2139</v>
      </c>
      <c r="B2140" s="3" t="n">
        <v>2138</v>
      </c>
      <c r="C2140" s="3" t="n">
        <v>2</v>
      </c>
      <c r="D2140" s="3" t="n">
        <v>20</v>
      </c>
      <c r="E2140" s="3" t="n">
        <v>10</v>
      </c>
      <c r="F2140" s="24" t="n">
        <v>-0.0777726099</v>
      </c>
    </row>
    <row r="2141" customFormat="false" ht="15" hidden="false" customHeight="false" outlineLevel="0" collapsed="false">
      <c r="A2141" s="3" t="n">
        <v>2140</v>
      </c>
      <c r="B2141" s="3" t="n">
        <v>2139</v>
      </c>
      <c r="C2141" s="3" t="n">
        <v>2</v>
      </c>
      <c r="D2141" s="3" t="n">
        <v>20</v>
      </c>
      <c r="E2141" s="3" t="n">
        <v>11</v>
      </c>
      <c r="F2141" s="24" t="n">
        <v>0.102898717</v>
      </c>
    </row>
    <row r="2142" customFormat="false" ht="15" hidden="false" customHeight="false" outlineLevel="0" collapsed="false">
      <c r="A2142" s="3" t="n">
        <v>2141</v>
      </c>
      <c r="B2142" s="3" t="n">
        <v>2140</v>
      </c>
      <c r="C2142" s="3" t="n">
        <v>2</v>
      </c>
      <c r="D2142" s="3" t="n">
        <v>20</v>
      </c>
      <c r="E2142" s="3" t="n">
        <v>12</v>
      </c>
      <c r="F2142" s="24" t="n">
        <v>2.69878888</v>
      </c>
    </row>
    <row r="2143" customFormat="false" ht="15" hidden="false" customHeight="false" outlineLevel="0" collapsed="false">
      <c r="A2143" s="3" t="n">
        <v>2142</v>
      </c>
      <c r="B2143" s="3" t="n">
        <v>2141</v>
      </c>
      <c r="C2143" s="3" t="n">
        <v>2</v>
      </c>
      <c r="D2143" s="3" t="n">
        <v>20</v>
      </c>
      <c r="E2143" s="3" t="n">
        <v>13</v>
      </c>
      <c r="F2143" s="24" t="n">
        <v>3.86100483</v>
      </c>
    </row>
    <row r="2144" customFormat="false" ht="15" hidden="false" customHeight="false" outlineLevel="0" collapsed="false">
      <c r="A2144" s="3" t="n">
        <v>2143</v>
      </c>
      <c r="B2144" s="3" t="n">
        <v>2142</v>
      </c>
      <c r="C2144" s="3" t="n">
        <v>2</v>
      </c>
      <c r="D2144" s="3" t="n">
        <v>20</v>
      </c>
      <c r="E2144" s="3" t="n">
        <v>14</v>
      </c>
      <c r="F2144" s="24" t="n">
        <v>-0.0948248208</v>
      </c>
    </row>
    <row r="2145" customFormat="false" ht="15" hidden="false" customHeight="false" outlineLevel="0" collapsed="false">
      <c r="A2145" s="3" t="n">
        <v>2144</v>
      </c>
      <c r="B2145" s="3" t="n">
        <v>2143</v>
      </c>
      <c r="C2145" s="3" t="n">
        <v>2</v>
      </c>
      <c r="D2145" s="3" t="n">
        <v>20</v>
      </c>
      <c r="E2145" s="3" t="n">
        <v>15</v>
      </c>
      <c r="F2145" s="24" t="n">
        <v>-4.13881969</v>
      </c>
    </row>
    <row r="2146" customFormat="false" ht="15" hidden="false" customHeight="false" outlineLevel="0" collapsed="false">
      <c r="A2146" s="3" t="n">
        <v>2145</v>
      </c>
      <c r="B2146" s="3" t="n">
        <v>2144</v>
      </c>
      <c r="C2146" s="3" t="n">
        <v>2</v>
      </c>
      <c r="D2146" s="3" t="n">
        <v>20</v>
      </c>
      <c r="E2146" s="3" t="n">
        <v>16</v>
      </c>
      <c r="F2146" s="24" t="n">
        <v>-3.7177763</v>
      </c>
    </row>
    <row r="2147" customFormat="false" ht="15" hidden="false" customHeight="false" outlineLevel="0" collapsed="false">
      <c r="A2147" s="3" t="n">
        <v>2146</v>
      </c>
      <c r="B2147" s="3" t="n">
        <v>2145</v>
      </c>
      <c r="C2147" s="3" t="n">
        <v>2</v>
      </c>
      <c r="D2147" s="3" t="n">
        <v>20</v>
      </c>
      <c r="E2147" s="3" t="n">
        <v>17</v>
      </c>
      <c r="F2147" s="24" t="n">
        <v>-1.30223489</v>
      </c>
    </row>
    <row r="2148" customFormat="false" ht="15" hidden="false" customHeight="false" outlineLevel="0" collapsed="false">
      <c r="A2148" s="3" t="n">
        <v>2147</v>
      </c>
      <c r="B2148" s="3" t="n">
        <v>2146</v>
      </c>
      <c r="C2148" s="3" t="n">
        <v>2</v>
      </c>
      <c r="D2148" s="3" t="n">
        <v>20</v>
      </c>
      <c r="E2148" s="3" t="n">
        <v>18</v>
      </c>
      <c r="F2148" s="24" t="n">
        <v>-0.0777726099</v>
      </c>
    </row>
    <row r="2149" customFormat="false" ht="15" hidden="false" customHeight="false" outlineLevel="0" collapsed="false">
      <c r="A2149" s="3" t="n">
        <v>2148</v>
      </c>
      <c r="B2149" s="3" t="n">
        <v>2147</v>
      </c>
      <c r="C2149" s="3" t="n">
        <v>2</v>
      </c>
      <c r="D2149" s="3" t="n">
        <v>20</v>
      </c>
      <c r="E2149" s="3" t="n">
        <v>19</v>
      </c>
      <c r="F2149" s="24" t="n">
        <v>-0.0777726099</v>
      </c>
    </row>
    <row r="2150" customFormat="false" ht="15" hidden="false" customHeight="false" outlineLevel="0" collapsed="false">
      <c r="A2150" s="3" t="n">
        <v>2149</v>
      </c>
      <c r="B2150" s="3" t="n">
        <v>2148</v>
      </c>
      <c r="C2150" s="3" t="n">
        <v>2</v>
      </c>
      <c r="D2150" s="3" t="n">
        <v>20</v>
      </c>
      <c r="E2150" s="3" t="n">
        <v>20</v>
      </c>
      <c r="F2150" s="24" t="n">
        <v>-0.0777726099</v>
      </c>
    </row>
    <row r="2151" customFormat="false" ht="15" hidden="false" customHeight="false" outlineLevel="0" collapsed="false">
      <c r="A2151" s="3" t="n">
        <v>2150</v>
      </c>
      <c r="B2151" s="3" t="n">
        <v>2149</v>
      </c>
      <c r="C2151" s="3" t="n">
        <v>2</v>
      </c>
      <c r="D2151" s="3" t="n">
        <v>20</v>
      </c>
      <c r="E2151" s="3" t="n">
        <v>21</v>
      </c>
      <c r="F2151" s="24" t="n">
        <v>-0.0777726099</v>
      </c>
    </row>
    <row r="2152" customFormat="false" ht="15" hidden="false" customHeight="false" outlineLevel="0" collapsed="false">
      <c r="A2152" s="3" t="n">
        <v>2151</v>
      </c>
      <c r="B2152" s="3" t="n">
        <v>2150</v>
      </c>
      <c r="C2152" s="3" t="n">
        <v>2</v>
      </c>
      <c r="D2152" s="3" t="n">
        <v>20</v>
      </c>
      <c r="E2152" s="3" t="n">
        <v>22</v>
      </c>
      <c r="F2152" s="24" t="n">
        <v>-0.0777726099</v>
      </c>
    </row>
    <row r="2153" customFormat="false" ht="15" hidden="false" customHeight="false" outlineLevel="0" collapsed="false">
      <c r="A2153" s="3" t="n">
        <v>2152</v>
      </c>
      <c r="B2153" s="3" t="n">
        <v>2151</v>
      </c>
      <c r="C2153" s="3" t="n">
        <v>2</v>
      </c>
      <c r="D2153" s="3" t="n">
        <v>20</v>
      </c>
      <c r="E2153" s="3" t="n">
        <v>23</v>
      </c>
      <c r="F2153" s="24" t="n">
        <v>-0.0777726099</v>
      </c>
    </row>
    <row r="2154" customFormat="false" ht="15" hidden="false" customHeight="false" outlineLevel="0" collapsed="false">
      <c r="A2154" s="3" t="n">
        <v>2153</v>
      </c>
      <c r="B2154" s="3" t="n">
        <v>2152</v>
      </c>
      <c r="C2154" s="3" t="n">
        <v>2</v>
      </c>
      <c r="D2154" s="3" t="n">
        <v>20</v>
      </c>
      <c r="E2154" s="3" t="n">
        <v>24</v>
      </c>
      <c r="F2154" s="24" t="n">
        <v>-0.0777726099</v>
      </c>
    </row>
    <row r="2155" customFormat="false" ht="15" hidden="false" customHeight="false" outlineLevel="0" collapsed="false">
      <c r="A2155" s="3" t="n">
        <v>2154</v>
      </c>
      <c r="B2155" s="3" t="n">
        <v>2153</v>
      </c>
      <c r="C2155" s="3" t="n">
        <v>2</v>
      </c>
      <c r="D2155" s="3" t="n">
        <v>20</v>
      </c>
      <c r="E2155" s="3" t="n">
        <v>25</v>
      </c>
      <c r="F2155" s="24" t="n">
        <v>-0.0777726099</v>
      </c>
    </row>
    <row r="2156" customFormat="false" ht="15" hidden="false" customHeight="false" outlineLevel="0" collapsed="false">
      <c r="A2156" s="3" t="n">
        <v>2155</v>
      </c>
      <c r="B2156" s="3" t="n">
        <v>2154</v>
      </c>
      <c r="C2156" s="3" t="n">
        <v>2</v>
      </c>
      <c r="D2156" s="3" t="n">
        <v>20</v>
      </c>
      <c r="E2156" s="3" t="n">
        <v>26</v>
      </c>
      <c r="F2156" s="24" t="n">
        <v>-0.0777726099</v>
      </c>
    </row>
    <row r="2157" customFormat="false" ht="15" hidden="false" customHeight="false" outlineLevel="0" collapsed="false">
      <c r="A2157" s="3" t="n">
        <v>2156</v>
      </c>
      <c r="B2157" s="3" t="n">
        <v>2155</v>
      </c>
      <c r="C2157" s="3" t="n">
        <v>2</v>
      </c>
      <c r="D2157" s="3" t="n">
        <v>20</v>
      </c>
      <c r="E2157" s="3" t="n">
        <v>27</v>
      </c>
      <c r="F2157" s="24" t="n">
        <v>0.387737483</v>
      </c>
    </row>
    <row r="2158" customFormat="false" ht="15" hidden="false" customHeight="false" outlineLevel="0" collapsed="false">
      <c r="A2158" s="3" t="n">
        <v>2157</v>
      </c>
      <c r="B2158" s="3" t="n">
        <v>2156</v>
      </c>
      <c r="C2158" s="3" t="n">
        <v>2</v>
      </c>
      <c r="D2158" s="3" t="n">
        <v>21</v>
      </c>
      <c r="E2158" s="3" t="n">
        <v>0</v>
      </c>
      <c r="F2158" s="24" t="n">
        <v>-0.740650654</v>
      </c>
    </row>
    <row r="2159" customFormat="false" ht="15" hidden="false" customHeight="false" outlineLevel="0" collapsed="false">
      <c r="A2159" s="3" t="n">
        <v>2158</v>
      </c>
      <c r="B2159" s="3" t="n">
        <v>2157</v>
      </c>
      <c r="C2159" s="3" t="n">
        <v>2</v>
      </c>
      <c r="D2159" s="3" t="n">
        <v>21</v>
      </c>
      <c r="E2159" s="3" t="n">
        <v>1</v>
      </c>
      <c r="F2159" s="24" t="n">
        <v>-0.0777726099</v>
      </c>
    </row>
    <row r="2160" customFormat="false" ht="15" hidden="false" customHeight="false" outlineLevel="0" collapsed="false">
      <c r="A2160" s="3" t="n">
        <v>2159</v>
      </c>
      <c r="B2160" s="3" t="n">
        <v>2158</v>
      </c>
      <c r="C2160" s="3" t="n">
        <v>2</v>
      </c>
      <c r="D2160" s="3" t="n">
        <v>21</v>
      </c>
      <c r="E2160" s="3" t="n">
        <v>2</v>
      </c>
      <c r="F2160" s="24" t="n">
        <v>-0.0777726099</v>
      </c>
    </row>
    <row r="2161" customFormat="false" ht="15" hidden="false" customHeight="false" outlineLevel="0" collapsed="false">
      <c r="A2161" s="3" t="n">
        <v>2160</v>
      </c>
      <c r="B2161" s="3" t="n">
        <v>2159</v>
      </c>
      <c r="C2161" s="3" t="n">
        <v>2</v>
      </c>
      <c r="D2161" s="3" t="n">
        <v>21</v>
      </c>
      <c r="E2161" s="3" t="n">
        <v>3</v>
      </c>
      <c r="F2161" s="24" t="n">
        <v>-0.0777726099</v>
      </c>
    </row>
    <row r="2162" customFormat="false" ht="15" hidden="false" customHeight="false" outlineLevel="0" collapsed="false">
      <c r="A2162" s="3" t="n">
        <v>2161</v>
      </c>
      <c r="B2162" s="3" t="n">
        <v>2160</v>
      </c>
      <c r="C2162" s="3" t="n">
        <v>2</v>
      </c>
      <c r="D2162" s="3" t="n">
        <v>21</v>
      </c>
      <c r="E2162" s="3" t="n">
        <v>4</v>
      </c>
      <c r="F2162" s="24" t="n">
        <v>-0.0777726099</v>
      </c>
    </row>
    <row r="2163" customFormat="false" ht="15" hidden="false" customHeight="false" outlineLevel="0" collapsed="false">
      <c r="A2163" s="3" t="n">
        <v>2162</v>
      </c>
      <c r="B2163" s="3" t="n">
        <v>2161</v>
      </c>
      <c r="C2163" s="3" t="n">
        <v>2</v>
      </c>
      <c r="D2163" s="3" t="n">
        <v>21</v>
      </c>
      <c r="E2163" s="3" t="n">
        <v>5</v>
      </c>
      <c r="F2163" s="24" t="n">
        <v>-0.0777726099</v>
      </c>
    </row>
    <row r="2164" customFormat="false" ht="15" hidden="false" customHeight="false" outlineLevel="0" collapsed="false">
      <c r="A2164" s="3" t="n">
        <v>2163</v>
      </c>
      <c r="B2164" s="3" t="n">
        <v>2162</v>
      </c>
      <c r="C2164" s="3" t="n">
        <v>2</v>
      </c>
      <c r="D2164" s="3" t="n">
        <v>21</v>
      </c>
      <c r="E2164" s="3" t="n">
        <v>6</v>
      </c>
      <c r="F2164" s="24" t="n">
        <v>-0.0777726099</v>
      </c>
    </row>
    <row r="2165" customFormat="false" ht="15" hidden="false" customHeight="false" outlineLevel="0" collapsed="false">
      <c r="A2165" s="3" t="n">
        <v>2164</v>
      </c>
      <c r="B2165" s="3" t="n">
        <v>2163</v>
      </c>
      <c r="C2165" s="3" t="n">
        <v>2</v>
      </c>
      <c r="D2165" s="3" t="n">
        <v>21</v>
      </c>
      <c r="E2165" s="3" t="n">
        <v>7</v>
      </c>
      <c r="F2165" s="24" t="n">
        <v>-0.0777726099</v>
      </c>
    </row>
    <row r="2166" customFormat="false" ht="15" hidden="false" customHeight="false" outlineLevel="0" collapsed="false">
      <c r="A2166" s="3" t="n">
        <v>2165</v>
      </c>
      <c r="B2166" s="3" t="n">
        <v>2164</v>
      </c>
      <c r="C2166" s="3" t="n">
        <v>2</v>
      </c>
      <c r="D2166" s="3" t="n">
        <v>21</v>
      </c>
      <c r="E2166" s="3" t="n">
        <v>8</v>
      </c>
      <c r="F2166" s="24" t="n">
        <v>-0.0777726099</v>
      </c>
    </row>
    <row r="2167" customFormat="false" ht="15" hidden="false" customHeight="false" outlineLevel="0" collapsed="false">
      <c r="A2167" s="3" t="n">
        <v>2166</v>
      </c>
      <c r="B2167" s="3" t="n">
        <v>2165</v>
      </c>
      <c r="C2167" s="3" t="n">
        <v>2</v>
      </c>
      <c r="D2167" s="3" t="n">
        <v>21</v>
      </c>
      <c r="E2167" s="3" t="n">
        <v>9</v>
      </c>
      <c r="F2167" s="24" t="n">
        <v>-0.0777726099</v>
      </c>
    </row>
    <row r="2168" customFormat="false" ht="15" hidden="false" customHeight="false" outlineLevel="0" collapsed="false">
      <c r="A2168" s="3" t="n">
        <v>2167</v>
      </c>
      <c r="B2168" s="3" t="n">
        <v>2166</v>
      </c>
      <c r="C2168" s="3" t="n">
        <v>2</v>
      </c>
      <c r="D2168" s="3" t="n">
        <v>21</v>
      </c>
      <c r="E2168" s="3" t="n">
        <v>10</v>
      </c>
      <c r="F2168" s="24" t="n">
        <v>0.0508841872</v>
      </c>
    </row>
    <row r="2169" customFormat="false" ht="15" hidden="false" customHeight="false" outlineLevel="0" collapsed="false">
      <c r="A2169" s="3" t="n">
        <v>2168</v>
      </c>
      <c r="B2169" s="3" t="n">
        <v>2167</v>
      </c>
      <c r="C2169" s="3" t="n">
        <v>2</v>
      </c>
      <c r="D2169" s="3" t="n">
        <v>21</v>
      </c>
      <c r="E2169" s="3" t="n">
        <v>11</v>
      </c>
      <c r="F2169" s="24" t="n">
        <v>1.25499284</v>
      </c>
    </row>
    <row r="2170" customFormat="false" ht="15" hidden="false" customHeight="false" outlineLevel="0" collapsed="false">
      <c r="A2170" s="3" t="n">
        <v>2169</v>
      </c>
      <c r="B2170" s="3" t="n">
        <v>2168</v>
      </c>
      <c r="C2170" s="3" t="n">
        <v>2</v>
      </c>
      <c r="D2170" s="3" t="n">
        <v>21</v>
      </c>
      <c r="E2170" s="3" t="n">
        <v>12</v>
      </c>
      <c r="F2170" s="24" t="n">
        <v>3.90189505</v>
      </c>
    </row>
    <row r="2171" customFormat="false" ht="15" hidden="false" customHeight="false" outlineLevel="0" collapsed="false">
      <c r="A2171" s="3" t="n">
        <v>2170</v>
      </c>
      <c r="B2171" s="3" t="n">
        <v>2169</v>
      </c>
      <c r="C2171" s="3" t="n">
        <v>2</v>
      </c>
      <c r="D2171" s="3" t="n">
        <v>21</v>
      </c>
      <c r="E2171" s="3" t="n">
        <v>13</v>
      </c>
      <c r="F2171" s="24" t="n">
        <v>1.90465462</v>
      </c>
    </row>
    <row r="2172" customFormat="false" ht="15" hidden="false" customHeight="false" outlineLevel="0" collapsed="false">
      <c r="A2172" s="3" t="n">
        <v>2171</v>
      </c>
      <c r="B2172" s="3" t="n">
        <v>2170</v>
      </c>
      <c r="C2172" s="3" t="n">
        <v>2</v>
      </c>
      <c r="D2172" s="3" t="n">
        <v>21</v>
      </c>
      <c r="E2172" s="3" t="n">
        <v>14</v>
      </c>
      <c r="F2172" s="24" t="n">
        <v>-3.49121737</v>
      </c>
    </row>
    <row r="2173" customFormat="false" ht="15" hidden="false" customHeight="false" outlineLevel="0" collapsed="false">
      <c r="A2173" s="3" t="n">
        <v>2172</v>
      </c>
      <c r="B2173" s="3" t="n">
        <v>2171</v>
      </c>
      <c r="C2173" s="3" t="n">
        <v>2</v>
      </c>
      <c r="D2173" s="3" t="n">
        <v>21</v>
      </c>
      <c r="E2173" s="3" t="n">
        <v>15</v>
      </c>
      <c r="F2173" s="24" t="n">
        <v>-4.16918612</v>
      </c>
    </row>
    <row r="2174" customFormat="false" ht="15" hidden="false" customHeight="false" outlineLevel="0" collapsed="false">
      <c r="A2174" s="3" t="n">
        <v>2173</v>
      </c>
      <c r="B2174" s="3" t="n">
        <v>2172</v>
      </c>
      <c r="C2174" s="3" t="n">
        <v>2</v>
      </c>
      <c r="D2174" s="3" t="n">
        <v>21</v>
      </c>
      <c r="E2174" s="3" t="n">
        <v>16</v>
      </c>
      <c r="F2174" s="24" t="n">
        <v>-1.93233705</v>
      </c>
    </row>
    <row r="2175" customFormat="false" ht="15" hidden="false" customHeight="false" outlineLevel="0" collapsed="false">
      <c r="A2175" s="3" t="n">
        <v>2174</v>
      </c>
      <c r="B2175" s="3" t="n">
        <v>2173</v>
      </c>
      <c r="C2175" s="3" t="n">
        <v>2</v>
      </c>
      <c r="D2175" s="3" t="n">
        <v>21</v>
      </c>
      <c r="E2175" s="3" t="n">
        <v>17</v>
      </c>
      <c r="F2175" s="24" t="n">
        <v>-0.277878284</v>
      </c>
    </row>
    <row r="2176" customFormat="false" ht="15" hidden="false" customHeight="false" outlineLevel="0" collapsed="false">
      <c r="A2176" s="3" t="n">
        <v>2175</v>
      </c>
      <c r="B2176" s="3" t="n">
        <v>2174</v>
      </c>
      <c r="C2176" s="3" t="n">
        <v>2</v>
      </c>
      <c r="D2176" s="3" t="n">
        <v>21</v>
      </c>
      <c r="E2176" s="3" t="n">
        <v>18</v>
      </c>
      <c r="F2176" s="24" t="n">
        <v>-0.0777726099</v>
      </c>
    </row>
    <row r="2177" customFormat="false" ht="15" hidden="false" customHeight="false" outlineLevel="0" collapsed="false">
      <c r="A2177" s="3" t="n">
        <v>2176</v>
      </c>
      <c r="B2177" s="3" t="n">
        <v>2175</v>
      </c>
      <c r="C2177" s="3" t="n">
        <v>2</v>
      </c>
      <c r="D2177" s="3" t="n">
        <v>21</v>
      </c>
      <c r="E2177" s="3" t="n">
        <v>19</v>
      </c>
      <c r="F2177" s="24" t="n">
        <v>-0.0777726099</v>
      </c>
    </row>
    <row r="2178" customFormat="false" ht="15" hidden="false" customHeight="false" outlineLevel="0" collapsed="false">
      <c r="A2178" s="3" t="n">
        <v>2177</v>
      </c>
      <c r="B2178" s="3" t="n">
        <v>2176</v>
      </c>
      <c r="C2178" s="3" t="n">
        <v>2</v>
      </c>
      <c r="D2178" s="3" t="n">
        <v>21</v>
      </c>
      <c r="E2178" s="3" t="n">
        <v>20</v>
      </c>
      <c r="F2178" s="24" t="n">
        <v>-0.0777726099</v>
      </c>
    </row>
    <row r="2179" customFormat="false" ht="15" hidden="false" customHeight="false" outlineLevel="0" collapsed="false">
      <c r="A2179" s="3" t="n">
        <v>2178</v>
      </c>
      <c r="B2179" s="3" t="n">
        <v>2177</v>
      </c>
      <c r="C2179" s="3" t="n">
        <v>2</v>
      </c>
      <c r="D2179" s="3" t="n">
        <v>21</v>
      </c>
      <c r="E2179" s="3" t="n">
        <v>21</v>
      </c>
      <c r="F2179" s="24" t="n">
        <v>-0.0777726099</v>
      </c>
    </row>
    <row r="2180" customFormat="false" ht="15" hidden="false" customHeight="false" outlineLevel="0" collapsed="false">
      <c r="A2180" s="3" t="n">
        <v>2179</v>
      </c>
      <c r="B2180" s="3" t="n">
        <v>2178</v>
      </c>
      <c r="C2180" s="3" t="n">
        <v>2</v>
      </c>
      <c r="D2180" s="3" t="n">
        <v>21</v>
      </c>
      <c r="E2180" s="3" t="n">
        <v>22</v>
      </c>
      <c r="F2180" s="24" t="n">
        <v>-0.0777726099</v>
      </c>
    </row>
    <row r="2181" customFormat="false" ht="15" hidden="false" customHeight="false" outlineLevel="0" collapsed="false">
      <c r="A2181" s="3" t="n">
        <v>2180</v>
      </c>
      <c r="B2181" s="3" t="n">
        <v>2179</v>
      </c>
      <c r="C2181" s="3" t="n">
        <v>2</v>
      </c>
      <c r="D2181" s="3" t="n">
        <v>21</v>
      </c>
      <c r="E2181" s="3" t="n">
        <v>23</v>
      </c>
      <c r="F2181" s="24" t="n">
        <v>-0.0777726099</v>
      </c>
    </row>
    <row r="2182" customFormat="false" ht="15" hidden="false" customHeight="false" outlineLevel="0" collapsed="false">
      <c r="A2182" s="3" t="n">
        <v>2181</v>
      </c>
      <c r="B2182" s="3" t="n">
        <v>2180</v>
      </c>
      <c r="C2182" s="3" t="n">
        <v>2</v>
      </c>
      <c r="D2182" s="3" t="n">
        <v>21</v>
      </c>
      <c r="E2182" s="3" t="n">
        <v>24</v>
      </c>
      <c r="F2182" s="24" t="n">
        <v>-0.0777726099</v>
      </c>
    </row>
    <row r="2183" customFormat="false" ht="15" hidden="false" customHeight="false" outlineLevel="0" collapsed="false">
      <c r="A2183" s="3" t="n">
        <v>2182</v>
      </c>
      <c r="B2183" s="3" t="n">
        <v>2181</v>
      </c>
      <c r="C2183" s="3" t="n">
        <v>2</v>
      </c>
      <c r="D2183" s="3" t="n">
        <v>21</v>
      </c>
      <c r="E2183" s="3" t="n">
        <v>25</v>
      </c>
      <c r="F2183" s="24" t="n">
        <v>-0.0777726099</v>
      </c>
    </row>
    <row r="2184" customFormat="false" ht="15" hidden="false" customHeight="false" outlineLevel="0" collapsed="false">
      <c r="A2184" s="3" t="n">
        <v>2183</v>
      </c>
      <c r="B2184" s="3" t="n">
        <v>2182</v>
      </c>
      <c r="C2184" s="3" t="n">
        <v>2</v>
      </c>
      <c r="D2184" s="3" t="n">
        <v>21</v>
      </c>
      <c r="E2184" s="3" t="n">
        <v>26</v>
      </c>
      <c r="F2184" s="24" t="n">
        <v>-0.0777726099</v>
      </c>
    </row>
    <row r="2185" customFormat="false" ht="15" hidden="false" customHeight="false" outlineLevel="0" collapsed="false">
      <c r="A2185" s="3" t="n">
        <v>2184</v>
      </c>
      <c r="B2185" s="3" t="n">
        <v>2183</v>
      </c>
      <c r="C2185" s="3" t="n">
        <v>2</v>
      </c>
      <c r="D2185" s="3" t="n">
        <v>21</v>
      </c>
      <c r="E2185" s="3" t="n">
        <v>27</v>
      </c>
      <c r="F2185" s="24" t="n">
        <v>0.387737483</v>
      </c>
    </row>
    <row r="2186" customFormat="false" ht="15" hidden="false" customHeight="false" outlineLevel="0" collapsed="false">
      <c r="A2186" s="3" t="n">
        <v>2185</v>
      </c>
      <c r="B2186" s="3" t="n">
        <v>2184</v>
      </c>
      <c r="C2186" s="3" t="n">
        <v>2</v>
      </c>
      <c r="D2186" s="3" t="n">
        <v>22</v>
      </c>
      <c r="E2186" s="3" t="n">
        <v>0</v>
      </c>
      <c r="F2186" s="24" t="n">
        <v>-0.740650654</v>
      </c>
    </row>
    <row r="2187" customFormat="false" ht="15" hidden="false" customHeight="false" outlineLevel="0" collapsed="false">
      <c r="A2187" s="3" t="n">
        <v>2186</v>
      </c>
      <c r="B2187" s="3" t="n">
        <v>2185</v>
      </c>
      <c r="C2187" s="3" t="n">
        <v>2</v>
      </c>
      <c r="D2187" s="3" t="n">
        <v>22</v>
      </c>
      <c r="E2187" s="3" t="n">
        <v>1</v>
      </c>
      <c r="F2187" s="24" t="n">
        <v>-0.0777726099</v>
      </c>
    </row>
    <row r="2188" customFormat="false" ht="15" hidden="false" customHeight="false" outlineLevel="0" collapsed="false">
      <c r="A2188" s="3" t="n">
        <v>2187</v>
      </c>
      <c r="B2188" s="3" t="n">
        <v>2186</v>
      </c>
      <c r="C2188" s="3" t="n">
        <v>2</v>
      </c>
      <c r="D2188" s="3" t="n">
        <v>22</v>
      </c>
      <c r="E2188" s="3" t="n">
        <v>2</v>
      </c>
      <c r="F2188" s="24" t="n">
        <v>-0.0777726099</v>
      </c>
    </row>
    <row r="2189" customFormat="false" ht="15" hidden="false" customHeight="false" outlineLevel="0" collapsed="false">
      <c r="A2189" s="3" t="n">
        <v>2188</v>
      </c>
      <c r="B2189" s="3" t="n">
        <v>2187</v>
      </c>
      <c r="C2189" s="3" t="n">
        <v>2</v>
      </c>
      <c r="D2189" s="3" t="n">
        <v>22</v>
      </c>
      <c r="E2189" s="3" t="n">
        <v>3</v>
      </c>
      <c r="F2189" s="24" t="n">
        <v>-0.0777726099</v>
      </c>
    </row>
    <row r="2190" customFormat="false" ht="15" hidden="false" customHeight="false" outlineLevel="0" collapsed="false">
      <c r="A2190" s="3" t="n">
        <v>2189</v>
      </c>
      <c r="B2190" s="3" t="n">
        <v>2188</v>
      </c>
      <c r="C2190" s="3" t="n">
        <v>2</v>
      </c>
      <c r="D2190" s="3" t="n">
        <v>22</v>
      </c>
      <c r="E2190" s="3" t="n">
        <v>4</v>
      </c>
      <c r="F2190" s="24" t="n">
        <v>-0.0777726099</v>
      </c>
    </row>
    <row r="2191" customFormat="false" ht="15" hidden="false" customHeight="false" outlineLevel="0" collapsed="false">
      <c r="A2191" s="3" t="n">
        <v>2190</v>
      </c>
      <c r="B2191" s="3" t="n">
        <v>2189</v>
      </c>
      <c r="C2191" s="3" t="n">
        <v>2</v>
      </c>
      <c r="D2191" s="3" t="n">
        <v>22</v>
      </c>
      <c r="E2191" s="3" t="n">
        <v>5</v>
      </c>
      <c r="F2191" s="24" t="n">
        <v>-0.0777726099</v>
      </c>
    </row>
    <row r="2192" customFormat="false" ht="15" hidden="false" customHeight="false" outlineLevel="0" collapsed="false">
      <c r="A2192" s="3" t="n">
        <v>2191</v>
      </c>
      <c r="B2192" s="3" t="n">
        <v>2190</v>
      </c>
      <c r="C2192" s="3" t="n">
        <v>2</v>
      </c>
      <c r="D2192" s="3" t="n">
        <v>22</v>
      </c>
      <c r="E2192" s="3" t="n">
        <v>6</v>
      </c>
      <c r="F2192" s="24" t="n">
        <v>-0.0777726099</v>
      </c>
    </row>
    <row r="2193" customFormat="false" ht="15" hidden="false" customHeight="false" outlineLevel="0" collapsed="false">
      <c r="A2193" s="3" t="n">
        <v>2192</v>
      </c>
      <c r="B2193" s="3" t="n">
        <v>2191</v>
      </c>
      <c r="C2193" s="3" t="n">
        <v>2</v>
      </c>
      <c r="D2193" s="3" t="n">
        <v>22</v>
      </c>
      <c r="E2193" s="3" t="n">
        <v>7</v>
      </c>
      <c r="F2193" s="24" t="n">
        <v>-0.0777726099</v>
      </c>
    </row>
    <row r="2194" customFormat="false" ht="15" hidden="false" customHeight="false" outlineLevel="0" collapsed="false">
      <c r="A2194" s="3" t="n">
        <v>2193</v>
      </c>
      <c r="B2194" s="3" t="n">
        <v>2192</v>
      </c>
      <c r="C2194" s="3" t="n">
        <v>2</v>
      </c>
      <c r="D2194" s="3" t="n">
        <v>22</v>
      </c>
      <c r="E2194" s="3" t="n">
        <v>8</v>
      </c>
      <c r="F2194" s="24" t="n">
        <v>-0.0777726099</v>
      </c>
    </row>
    <row r="2195" customFormat="false" ht="15" hidden="false" customHeight="false" outlineLevel="0" collapsed="false">
      <c r="A2195" s="3" t="n">
        <v>2194</v>
      </c>
      <c r="B2195" s="3" t="n">
        <v>2193</v>
      </c>
      <c r="C2195" s="3" t="n">
        <v>2</v>
      </c>
      <c r="D2195" s="3" t="n">
        <v>22</v>
      </c>
      <c r="E2195" s="3" t="n">
        <v>9</v>
      </c>
      <c r="F2195" s="24" t="n">
        <v>-0.0777726099</v>
      </c>
    </row>
    <row r="2196" customFormat="false" ht="15" hidden="false" customHeight="false" outlineLevel="0" collapsed="false">
      <c r="A2196" s="3" t="n">
        <v>2195</v>
      </c>
      <c r="B2196" s="3" t="n">
        <v>2194</v>
      </c>
      <c r="C2196" s="3" t="n">
        <v>2</v>
      </c>
      <c r="D2196" s="3" t="n">
        <v>22</v>
      </c>
      <c r="E2196" s="3" t="n">
        <v>10</v>
      </c>
      <c r="F2196" s="24" t="n">
        <v>0.71149075</v>
      </c>
    </row>
    <row r="2197" customFormat="false" ht="15" hidden="false" customHeight="false" outlineLevel="0" collapsed="false">
      <c r="A2197" s="3" t="n">
        <v>2196</v>
      </c>
      <c r="B2197" s="3" t="n">
        <v>2195</v>
      </c>
      <c r="C2197" s="3" t="n">
        <v>2</v>
      </c>
      <c r="D2197" s="3" t="n">
        <v>22</v>
      </c>
      <c r="E2197" s="3" t="n">
        <v>11</v>
      </c>
      <c r="F2197" s="24" t="n">
        <v>3.20456529</v>
      </c>
    </row>
    <row r="2198" customFormat="false" ht="15" hidden="false" customHeight="false" outlineLevel="0" collapsed="false">
      <c r="A2198" s="3" t="n">
        <v>2197</v>
      </c>
      <c r="B2198" s="3" t="n">
        <v>2196</v>
      </c>
      <c r="C2198" s="3" t="n">
        <v>2</v>
      </c>
      <c r="D2198" s="3" t="n">
        <v>22</v>
      </c>
      <c r="E2198" s="3" t="n">
        <v>12</v>
      </c>
      <c r="F2198" s="24" t="n">
        <v>3.10334754</v>
      </c>
    </row>
    <row r="2199" customFormat="false" ht="15" hidden="false" customHeight="false" outlineLevel="0" collapsed="false">
      <c r="A2199" s="3" t="n">
        <v>2198</v>
      </c>
      <c r="B2199" s="3" t="n">
        <v>2197</v>
      </c>
      <c r="C2199" s="3" t="n">
        <v>2</v>
      </c>
      <c r="D2199" s="3" t="n">
        <v>22</v>
      </c>
      <c r="E2199" s="3" t="n">
        <v>13</v>
      </c>
      <c r="F2199" s="24" t="n">
        <v>-1.25936031</v>
      </c>
    </row>
    <row r="2200" customFormat="false" ht="15" hidden="false" customHeight="false" outlineLevel="0" collapsed="false">
      <c r="A2200" s="3" t="n">
        <v>2199</v>
      </c>
      <c r="B2200" s="3" t="n">
        <v>2198</v>
      </c>
      <c r="C2200" s="3" t="n">
        <v>2</v>
      </c>
      <c r="D2200" s="3" t="n">
        <v>22</v>
      </c>
      <c r="E2200" s="3" t="n">
        <v>14</v>
      </c>
      <c r="F2200" s="24" t="n">
        <v>-4.7905941</v>
      </c>
    </row>
    <row r="2201" customFormat="false" ht="15" hidden="false" customHeight="false" outlineLevel="0" collapsed="false">
      <c r="A2201" s="3" t="n">
        <v>2200</v>
      </c>
      <c r="B2201" s="3" t="n">
        <v>2199</v>
      </c>
      <c r="C2201" s="3" t="n">
        <v>2</v>
      </c>
      <c r="D2201" s="3" t="n">
        <v>22</v>
      </c>
      <c r="E2201" s="3" t="n">
        <v>15</v>
      </c>
      <c r="F2201" s="24" t="n">
        <v>-2.74202061</v>
      </c>
    </row>
    <row r="2202" customFormat="false" ht="15" hidden="false" customHeight="false" outlineLevel="0" collapsed="false">
      <c r="A2202" s="3" t="n">
        <v>2201</v>
      </c>
      <c r="B2202" s="3" t="n">
        <v>2200</v>
      </c>
      <c r="C2202" s="3" t="n">
        <v>2</v>
      </c>
      <c r="D2202" s="3" t="n">
        <v>22</v>
      </c>
      <c r="E2202" s="3" t="n">
        <v>16</v>
      </c>
      <c r="F2202" s="24" t="n">
        <v>-0.525873423</v>
      </c>
    </row>
    <row r="2203" customFormat="false" ht="15" hidden="false" customHeight="false" outlineLevel="0" collapsed="false">
      <c r="A2203" s="3" t="n">
        <v>2202</v>
      </c>
      <c r="B2203" s="3" t="n">
        <v>2201</v>
      </c>
      <c r="C2203" s="3" t="n">
        <v>2</v>
      </c>
      <c r="D2203" s="3" t="n">
        <v>22</v>
      </c>
      <c r="E2203" s="3" t="n">
        <v>17</v>
      </c>
      <c r="F2203" s="24" t="n">
        <v>-0.0777726099</v>
      </c>
    </row>
    <row r="2204" customFormat="false" ht="15" hidden="false" customHeight="false" outlineLevel="0" collapsed="false">
      <c r="A2204" s="3" t="n">
        <v>2203</v>
      </c>
      <c r="B2204" s="3" t="n">
        <v>2202</v>
      </c>
      <c r="C2204" s="3" t="n">
        <v>2</v>
      </c>
      <c r="D2204" s="3" t="n">
        <v>22</v>
      </c>
      <c r="E2204" s="3" t="n">
        <v>18</v>
      </c>
      <c r="F2204" s="24" t="n">
        <v>-0.0777726099</v>
      </c>
    </row>
    <row r="2205" customFormat="false" ht="15" hidden="false" customHeight="false" outlineLevel="0" collapsed="false">
      <c r="A2205" s="3" t="n">
        <v>2204</v>
      </c>
      <c r="B2205" s="3" t="n">
        <v>2203</v>
      </c>
      <c r="C2205" s="3" t="n">
        <v>2</v>
      </c>
      <c r="D2205" s="3" t="n">
        <v>22</v>
      </c>
      <c r="E2205" s="3" t="n">
        <v>19</v>
      </c>
      <c r="F2205" s="24" t="n">
        <v>-0.0777726099</v>
      </c>
    </row>
    <row r="2206" customFormat="false" ht="15" hidden="false" customHeight="false" outlineLevel="0" collapsed="false">
      <c r="A2206" s="3" t="n">
        <v>2205</v>
      </c>
      <c r="B2206" s="3" t="n">
        <v>2204</v>
      </c>
      <c r="C2206" s="3" t="n">
        <v>2</v>
      </c>
      <c r="D2206" s="3" t="n">
        <v>22</v>
      </c>
      <c r="E2206" s="3" t="n">
        <v>20</v>
      </c>
      <c r="F2206" s="24" t="n">
        <v>-0.0777726099</v>
      </c>
    </row>
    <row r="2207" customFormat="false" ht="15" hidden="false" customHeight="false" outlineLevel="0" collapsed="false">
      <c r="A2207" s="3" t="n">
        <v>2206</v>
      </c>
      <c r="B2207" s="3" t="n">
        <v>2205</v>
      </c>
      <c r="C2207" s="3" t="n">
        <v>2</v>
      </c>
      <c r="D2207" s="3" t="n">
        <v>22</v>
      </c>
      <c r="E2207" s="3" t="n">
        <v>21</v>
      </c>
      <c r="F2207" s="24" t="n">
        <v>-0.0777726099</v>
      </c>
    </row>
    <row r="2208" customFormat="false" ht="15" hidden="false" customHeight="false" outlineLevel="0" collapsed="false">
      <c r="A2208" s="3" t="n">
        <v>2207</v>
      </c>
      <c r="B2208" s="3" t="n">
        <v>2206</v>
      </c>
      <c r="C2208" s="3" t="n">
        <v>2</v>
      </c>
      <c r="D2208" s="3" t="n">
        <v>22</v>
      </c>
      <c r="E2208" s="3" t="n">
        <v>22</v>
      </c>
      <c r="F2208" s="24" t="n">
        <v>-0.0777726099</v>
      </c>
    </row>
    <row r="2209" customFormat="false" ht="15" hidden="false" customHeight="false" outlineLevel="0" collapsed="false">
      <c r="A2209" s="3" t="n">
        <v>2208</v>
      </c>
      <c r="B2209" s="3" t="n">
        <v>2207</v>
      </c>
      <c r="C2209" s="3" t="n">
        <v>2</v>
      </c>
      <c r="D2209" s="3" t="n">
        <v>22</v>
      </c>
      <c r="E2209" s="3" t="n">
        <v>23</v>
      </c>
      <c r="F2209" s="24" t="n">
        <v>-0.0777726099</v>
      </c>
    </row>
    <row r="2210" customFormat="false" ht="15" hidden="false" customHeight="false" outlineLevel="0" collapsed="false">
      <c r="A2210" s="3" t="n">
        <v>2209</v>
      </c>
      <c r="B2210" s="3" t="n">
        <v>2208</v>
      </c>
      <c r="C2210" s="3" t="n">
        <v>2</v>
      </c>
      <c r="D2210" s="3" t="n">
        <v>22</v>
      </c>
      <c r="E2210" s="3" t="n">
        <v>24</v>
      </c>
      <c r="F2210" s="24" t="n">
        <v>-0.0777726099</v>
      </c>
    </row>
    <row r="2211" customFormat="false" ht="15" hidden="false" customHeight="false" outlineLevel="0" collapsed="false">
      <c r="A2211" s="3" t="n">
        <v>2210</v>
      </c>
      <c r="B2211" s="3" t="n">
        <v>2209</v>
      </c>
      <c r="C2211" s="3" t="n">
        <v>2</v>
      </c>
      <c r="D2211" s="3" t="n">
        <v>22</v>
      </c>
      <c r="E2211" s="3" t="n">
        <v>25</v>
      </c>
      <c r="F2211" s="24" t="n">
        <v>-0.0777726099</v>
      </c>
    </row>
    <row r="2212" customFormat="false" ht="15" hidden="false" customHeight="false" outlineLevel="0" collapsed="false">
      <c r="A2212" s="3" t="n">
        <v>2211</v>
      </c>
      <c r="B2212" s="3" t="n">
        <v>2210</v>
      </c>
      <c r="C2212" s="3" t="n">
        <v>2</v>
      </c>
      <c r="D2212" s="3" t="n">
        <v>22</v>
      </c>
      <c r="E2212" s="3" t="n">
        <v>26</v>
      </c>
      <c r="F2212" s="24" t="n">
        <v>-0.0777726099</v>
      </c>
    </row>
    <row r="2213" customFormat="false" ht="15" hidden="false" customHeight="false" outlineLevel="0" collapsed="false">
      <c r="A2213" s="3" t="n">
        <v>2212</v>
      </c>
      <c r="B2213" s="3" t="n">
        <v>2211</v>
      </c>
      <c r="C2213" s="3" t="n">
        <v>2</v>
      </c>
      <c r="D2213" s="3" t="n">
        <v>22</v>
      </c>
      <c r="E2213" s="3" t="n">
        <v>27</v>
      </c>
      <c r="F2213" s="24" t="n">
        <v>0.387737483</v>
      </c>
    </row>
    <row r="2214" customFormat="false" ht="15" hidden="false" customHeight="false" outlineLevel="0" collapsed="false">
      <c r="A2214" s="3" t="n">
        <v>2213</v>
      </c>
      <c r="B2214" s="3" t="n">
        <v>2212</v>
      </c>
      <c r="C2214" s="3" t="n">
        <v>2</v>
      </c>
      <c r="D2214" s="3" t="n">
        <v>23</v>
      </c>
      <c r="E2214" s="3" t="n">
        <v>0</v>
      </c>
      <c r="F2214" s="24" t="n">
        <v>-0.740650654</v>
      </c>
    </row>
    <row r="2215" customFormat="false" ht="15" hidden="false" customHeight="false" outlineLevel="0" collapsed="false">
      <c r="A2215" s="3" t="n">
        <v>2214</v>
      </c>
      <c r="B2215" s="3" t="n">
        <v>2213</v>
      </c>
      <c r="C2215" s="3" t="n">
        <v>2</v>
      </c>
      <c r="D2215" s="3" t="n">
        <v>23</v>
      </c>
      <c r="E2215" s="3" t="n">
        <v>1</v>
      </c>
      <c r="F2215" s="24" t="n">
        <v>-0.0777726099</v>
      </c>
    </row>
    <row r="2216" customFormat="false" ht="15" hidden="false" customHeight="false" outlineLevel="0" collapsed="false">
      <c r="A2216" s="3" t="n">
        <v>2215</v>
      </c>
      <c r="B2216" s="3" t="n">
        <v>2214</v>
      </c>
      <c r="C2216" s="3" t="n">
        <v>2</v>
      </c>
      <c r="D2216" s="3" t="n">
        <v>23</v>
      </c>
      <c r="E2216" s="3" t="n">
        <v>2</v>
      </c>
      <c r="F2216" s="24" t="n">
        <v>-0.0777726099</v>
      </c>
    </row>
    <row r="2217" customFormat="false" ht="15" hidden="false" customHeight="false" outlineLevel="0" collapsed="false">
      <c r="A2217" s="3" t="n">
        <v>2216</v>
      </c>
      <c r="B2217" s="3" t="n">
        <v>2215</v>
      </c>
      <c r="C2217" s="3" t="n">
        <v>2</v>
      </c>
      <c r="D2217" s="3" t="n">
        <v>23</v>
      </c>
      <c r="E2217" s="3" t="n">
        <v>3</v>
      </c>
      <c r="F2217" s="24" t="n">
        <v>-0.0777726099</v>
      </c>
    </row>
    <row r="2218" customFormat="false" ht="15" hidden="false" customHeight="false" outlineLevel="0" collapsed="false">
      <c r="A2218" s="3" t="n">
        <v>2217</v>
      </c>
      <c r="B2218" s="3" t="n">
        <v>2216</v>
      </c>
      <c r="C2218" s="3" t="n">
        <v>2</v>
      </c>
      <c r="D2218" s="3" t="n">
        <v>23</v>
      </c>
      <c r="E2218" s="3" t="n">
        <v>4</v>
      </c>
      <c r="F2218" s="24" t="n">
        <v>-0.0777726099</v>
      </c>
    </row>
    <row r="2219" customFormat="false" ht="15" hidden="false" customHeight="false" outlineLevel="0" collapsed="false">
      <c r="A2219" s="3" t="n">
        <v>2218</v>
      </c>
      <c r="B2219" s="3" t="n">
        <v>2217</v>
      </c>
      <c r="C2219" s="3" t="n">
        <v>2</v>
      </c>
      <c r="D2219" s="3" t="n">
        <v>23</v>
      </c>
      <c r="E2219" s="3" t="n">
        <v>5</v>
      </c>
      <c r="F2219" s="24" t="n">
        <v>-0.0777726099</v>
      </c>
    </row>
    <row r="2220" customFormat="false" ht="15" hidden="false" customHeight="false" outlineLevel="0" collapsed="false">
      <c r="A2220" s="3" t="n">
        <v>2219</v>
      </c>
      <c r="B2220" s="3" t="n">
        <v>2218</v>
      </c>
      <c r="C2220" s="3" t="n">
        <v>2</v>
      </c>
      <c r="D2220" s="3" t="n">
        <v>23</v>
      </c>
      <c r="E2220" s="3" t="n">
        <v>6</v>
      </c>
      <c r="F2220" s="24" t="n">
        <v>-0.0777726099</v>
      </c>
    </row>
    <row r="2221" customFormat="false" ht="15" hidden="false" customHeight="false" outlineLevel="0" collapsed="false">
      <c r="A2221" s="3" t="n">
        <v>2220</v>
      </c>
      <c r="B2221" s="3" t="n">
        <v>2219</v>
      </c>
      <c r="C2221" s="3" t="n">
        <v>2</v>
      </c>
      <c r="D2221" s="3" t="n">
        <v>23</v>
      </c>
      <c r="E2221" s="3" t="n">
        <v>7</v>
      </c>
      <c r="F2221" s="24" t="n">
        <v>-0.0777726099</v>
      </c>
    </row>
    <row r="2222" customFormat="false" ht="15" hidden="false" customHeight="false" outlineLevel="0" collapsed="false">
      <c r="A2222" s="3" t="n">
        <v>2221</v>
      </c>
      <c r="B2222" s="3" t="n">
        <v>2220</v>
      </c>
      <c r="C2222" s="3" t="n">
        <v>2</v>
      </c>
      <c r="D2222" s="3" t="n">
        <v>23</v>
      </c>
      <c r="E2222" s="3" t="n">
        <v>8</v>
      </c>
      <c r="F2222" s="24" t="n">
        <v>-0.0777726099</v>
      </c>
    </row>
    <row r="2223" customFormat="false" ht="15" hidden="false" customHeight="false" outlineLevel="0" collapsed="false">
      <c r="A2223" s="3" t="n">
        <v>2222</v>
      </c>
      <c r="B2223" s="3" t="n">
        <v>2221</v>
      </c>
      <c r="C2223" s="3" t="n">
        <v>2</v>
      </c>
      <c r="D2223" s="3" t="n">
        <v>23</v>
      </c>
      <c r="E2223" s="3" t="n">
        <v>9</v>
      </c>
      <c r="F2223" s="24" t="n">
        <v>0.17539075</v>
      </c>
    </row>
    <row r="2224" customFormat="false" ht="15" hidden="false" customHeight="false" outlineLevel="0" collapsed="false">
      <c r="A2224" s="3" t="n">
        <v>2223</v>
      </c>
      <c r="B2224" s="3" t="n">
        <v>2222</v>
      </c>
      <c r="C2224" s="3" t="n">
        <v>2</v>
      </c>
      <c r="D2224" s="3" t="n">
        <v>23</v>
      </c>
      <c r="E2224" s="3" t="n">
        <v>10</v>
      </c>
      <c r="F2224" s="24" t="n">
        <v>2.21976781</v>
      </c>
    </row>
    <row r="2225" customFormat="false" ht="15" hidden="false" customHeight="false" outlineLevel="0" collapsed="false">
      <c r="A2225" s="3" t="n">
        <v>2224</v>
      </c>
      <c r="B2225" s="3" t="n">
        <v>2223</v>
      </c>
      <c r="C2225" s="3" t="n">
        <v>2</v>
      </c>
      <c r="D2225" s="3" t="n">
        <v>23</v>
      </c>
      <c r="E2225" s="3" t="n">
        <v>11</v>
      </c>
      <c r="F2225" s="24" t="n">
        <v>3.75892401</v>
      </c>
    </row>
    <row r="2226" customFormat="false" ht="15" hidden="false" customHeight="false" outlineLevel="0" collapsed="false">
      <c r="A2226" s="3" t="n">
        <v>2225</v>
      </c>
      <c r="B2226" s="3" t="n">
        <v>2224</v>
      </c>
      <c r="C2226" s="3" t="n">
        <v>2</v>
      </c>
      <c r="D2226" s="3" t="n">
        <v>23</v>
      </c>
      <c r="E2226" s="3" t="n">
        <v>12</v>
      </c>
      <c r="F2226" s="24" t="n">
        <v>1.46631062</v>
      </c>
    </row>
    <row r="2227" customFormat="false" ht="15" hidden="false" customHeight="false" outlineLevel="0" collapsed="false">
      <c r="A2227" s="3" t="n">
        <v>2226</v>
      </c>
      <c r="B2227" s="3" t="n">
        <v>2225</v>
      </c>
      <c r="C2227" s="3" t="n">
        <v>2</v>
      </c>
      <c r="D2227" s="3" t="n">
        <v>23</v>
      </c>
      <c r="E2227" s="3" t="n">
        <v>13</v>
      </c>
      <c r="F2227" s="24" t="n">
        <v>-3.34167647</v>
      </c>
    </row>
    <row r="2228" customFormat="false" ht="15" hidden="false" customHeight="false" outlineLevel="0" collapsed="false">
      <c r="A2228" s="3" t="n">
        <v>2227</v>
      </c>
      <c r="B2228" s="3" t="n">
        <v>2226</v>
      </c>
      <c r="C2228" s="3" t="n">
        <v>2</v>
      </c>
      <c r="D2228" s="3" t="n">
        <v>23</v>
      </c>
      <c r="E2228" s="3" t="n">
        <v>14</v>
      </c>
      <c r="F2228" s="24" t="n">
        <v>-4.95569992</v>
      </c>
    </row>
    <row r="2229" customFormat="false" ht="15" hidden="false" customHeight="false" outlineLevel="0" collapsed="false">
      <c r="A2229" s="3" t="n">
        <v>2228</v>
      </c>
      <c r="B2229" s="3" t="n">
        <v>2227</v>
      </c>
      <c r="C2229" s="3" t="n">
        <v>2</v>
      </c>
      <c r="D2229" s="3" t="n">
        <v>23</v>
      </c>
      <c r="E2229" s="3" t="n">
        <v>15</v>
      </c>
      <c r="F2229" s="24" t="n">
        <v>-1.47192585</v>
      </c>
    </row>
    <row r="2230" customFormat="false" ht="15" hidden="false" customHeight="false" outlineLevel="0" collapsed="false">
      <c r="A2230" s="3" t="n">
        <v>2229</v>
      </c>
      <c r="B2230" s="3" t="n">
        <v>2228</v>
      </c>
      <c r="C2230" s="3" t="n">
        <v>2</v>
      </c>
      <c r="D2230" s="3" t="n">
        <v>23</v>
      </c>
      <c r="E2230" s="3" t="n">
        <v>16</v>
      </c>
      <c r="F2230" s="24" t="n">
        <v>-0.0834899172</v>
      </c>
    </row>
    <row r="2231" customFormat="false" ht="15" hidden="false" customHeight="false" outlineLevel="0" collapsed="false">
      <c r="A2231" s="3" t="n">
        <v>2230</v>
      </c>
      <c r="B2231" s="3" t="n">
        <v>2229</v>
      </c>
      <c r="C2231" s="3" t="n">
        <v>2</v>
      </c>
      <c r="D2231" s="3" t="n">
        <v>23</v>
      </c>
      <c r="E2231" s="3" t="n">
        <v>17</v>
      </c>
      <c r="F2231" s="24" t="n">
        <v>-0.0777726099</v>
      </c>
    </row>
    <row r="2232" customFormat="false" ht="15" hidden="false" customHeight="false" outlineLevel="0" collapsed="false">
      <c r="A2232" s="3" t="n">
        <v>2231</v>
      </c>
      <c r="B2232" s="3" t="n">
        <v>2230</v>
      </c>
      <c r="C2232" s="3" t="n">
        <v>2</v>
      </c>
      <c r="D2232" s="3" t="n">
        <v>23</v>
      </c>
      <c r="E2232" s="3" t="n">
        <v>18</v>
      </c>
      <c r="F2232" s="24" t="n">
        <v>-0.0777726099</v>
      </c>
    </row>
    <row r="2233" customFormat="false" ht="15" hidden="false" customHeight="false" outlineLevel="0" collapsed="false">
      <c r="A2233" s="3" t="n">
        <v>2232</v>
      </c>
      <c r="B2233" s="3" t="n">
        <v>2231</v>
      </c>
      <c r="C2233" s="3" t="n">
        <v>2</v>
      </c>
      <c r="D2233" s="3" t="n">
        <v>23</v>
      </c>
      <c r="E2233" s="3" t="n">
        <v>19</v>
      </c>
      <c r="F2233" s="24" t="n">
        <v>-0.0777726099</v>
      </c>
    </row>
    <row r="2234" customFormat="false" ht="15" hidden="false" customHeight="false" outlineLevel="0" collapsed="false">
      <c r="A2234" s="3" t="n">
        <v>2233</v>
      </c>
      <c r="B2234" s="3" t="n">
        <v>2232</v>
      </c>
      <c r="C2234" s="3" t="n">
        <v>2</v>
      </c>
      <c r="D2234" s="3" t="n">
        <v>23</v>
      </c>
      <c r="E2234" s="3" t="n">
        <v>20</v>
      </c>
      <c r="F2234" s="24" t="n">
        <v>-0.0777726099</v>
      </c>
    </row>
    <row r="2235" customFormat="false" ht="15" hidden="false" customHeight="false" outlineLevel="0" collapsed="false">
      <c r="A2235" s="3" t="n">
        <v>2234</v>
      </c>
      <c r="B2235" s="3" t="n">
        <v>2233</v>
      </c>
      <c r="C2235" s="3" t="n">
        <v>2</v>
      </c>
      <c r="D2235" s="3" t="n">
        <v>23</v>
      </c>
      <c r="E2235" s="3" t="n">
        <v>21</v>
      </c>
      <c r="F2235" s="24" t="n">
        <v>-0.0777726099</v>
      </c>
    </row>
    <row r="2236" customFormat="false" ht="15" hidden="false" customHeight="false" outlineLevel="0" collapsed="false">
      <c r="A2236" s="3" t="n">
        <v>2235</v>
      </c>
      <c r="B2236" s="3" t="n">
        <v>2234</v>
      </c>
      <c r="C2236" s="3" t="n">
        <v>2</v>
      </c>
      <c r="D2236" s="3" t="n">
        <v>23</v>
      </c>
      <c r="E2236" s="3" t="n">
        <v>22</v>
      </c>
      <c r="F2236" s="24" t="n">
        <v>-0.0777726099</v>
      </c>
    </row>
    <row r="2237" customFormat="false" ht="15" hidden="false" customHeight="false" outlineLevel="0" collapsed="false">
      <c r="A2237" s="3" t="n">
        <v>2236</v>
      </c>
      <c r="B2237" s="3" t="n">
        <v>2235</v>
      </c>
      <c r="C2237" s="3" t="n">
        <v>2</v>
      </c>
      <c r="D2237" s="3" t="n">
        <v>23</v>
      </c>
      <c r="E2237" s="3" t="n">
        <v>23</v>
      </c>
      <c r="F2237" s="24" t="n">
        <v>-0.0777726099</v>
      </c>
    </row>
    <row r="2238" customFormat="false" ht="15" hidden="false" customHeight="false" outlineLevel="0" collapsed="false">
      <c r="A2238" s="3" t="n">
        <v>2237</v>
      </c>
      <c r="B2238" s="3" t="n">
        <v>2236</v>
      </c>
      <c r="C2238" s="3" t="n">
        <v>2</v>
      </c>
      <c r="D2238" s="3" t="n">
        <v>23</v>
      </c>
      <c r="E2238" s="3" t="n">
        <v>24</v>
      </c>
      <c r="F2238" s="24" t="n">
        <v>-0.0777726099</v>
      </c>
    </row>
    <row r="2239" customFormat="false" ht="15" hidden="false" customHeight="false" outlineLevel="0" collapsed="false">
      <c r="A2239" s="3" t="n">
        <v>2238</v>
      </c>
      <c r="B2239" s="3" t="n">
        <v>2237</v>
      </c>
      <c r="C2239" s="3" t="n">
        <v>2</v>
      </c>
      <c r="D2239" s="3" t="n">
        <v>23</v>
      </c>
      <c r="E2239" s="3" t="n">
        <v>25</v>
      </c>
      <c r="F2239" s="24" t="n">
        <v>-0.0777726099</v>
      </c>
    </row>
    <row r="2240" customFormat="false" ht="15" hidden="false" customHeight="false" outlineLevel="0" collapsed="false">
      <c r="A2240" s="3" t="n">
        <v>2239</v>
      </c>
      <c r="B2240" s="3" t="n">
        <v>2238</v>
      </c>
      <c r="C2240" s="3" t="n">
        <v>2</v>
      </c>
      <c r="D2240" s="3" t="n">
        <v>23</v>
      </c>
      <c r="E2240" s="3" t="n">
        <v>26</v>
      </c>
      <c r="F2240" s="24" t="n">
        <v>-0.0777726099</v>
      </c>
    </row>
    <row r="2241" customFormat="false" ht="15" hidden="false" customHeight="false" outlineLevel="0" collapsed="false">
      <c r="A2241" s="3" t="n">
        <v>2240</v>
      </c>
      <c r="B2241" s="3" t="n">
        <v>2239</v>
      </c>
      <c r="C2241" s="3" t="n">
        <v>2</v>
      </c>
      <c r="D2241" s="3" t="n">
        <v>23</v>
      </c>
      <c r="E2241" s="3" t="n">
        <v>27</v>
      </c>
      <c r="F2241" s="24" t="n">
        <v>0.387737483</v>
      </c>
    </row>
    <row r="2242" customFormat="false" ht="15" hidden="false" customHeight="false" outlineLevel="0" collapsed="false">
      <c r="A2242" s="3" t="n">
        <v>2241</v>
      </c>
      <c r="B2242" s="3" t="n">
        <v>2240</v>
      </c>
      <c r="C2242" s="3" t="n">
        <v>2</v>
      </c>
      <c r="D2242" s="3" t="n">
        <v>24</v>
      </c>
      <c r="E2242" s="3" t="n">
        <v>0</v>
      </c>
      <c r="F2242" s="24" t="n">
        <v>-0.740650654</v>
      </c>
    </row>
    <row r="2243" customFormat="false" ht="15" hidden="false" customHeight="false" outlineLevel="0" collapsed="false">
      <c r="A2243" s="3" t="n">
        <v>2242</v>
      </c>
      <c r="B2243" s="3" t="n">
        <v>2241</v>
      </c>
      <c r="C2243" s="3" t="n">
        <v>2</v>
      </c>
      <c r="D2243" s="3" t="n">
        <v>24</v>
      </c>
      <c r="E2243" s="3" t="n">
        <v>1</v>
      </c>
      <c r="F2243" s="24" t="n">
        <v>-0.0777726099</v>
      </c>
    </row>
    <row r="2244" customFormat="false" ht="15" hidden="false" customHeight="false" outlineLevel="0" collapsed="false">
      <c r="A2244" s="3" t="n">
        <v>2243</v>
      </c>
      <c r="B2244" s="3" t="n">
        <v>2242</v>
      </c>
      <c r="C2244" s="3" t="n">
        <v>2</v>
      </c>
      <c r="D2244" s="3" t="n">
        <v>24</v>
      </c>
      <c r="E2244" s="3" t="n">
        <v>2</v>
      </c>
      <c r="F2244" s="24" t="n">
        <v>-0.0777726099</v>
      </c>
    </row>
    <row r="2245" customFormat="false" ht="15" hidden="false" customHeight="false" outlineLevel="0" collapsed="false">
      <c r="A2245" s="3" t="n">
        <v>2244</v>
      </c>
      <c r="B2245" s="3" t="n">
        <v>2243</v>
      </c>
      <c r="C2245" s="3" t="n">
        <v>2</v>
      </c>
      <c r="D2245" s="3" t="n">
        <v>24</v>
      </c>
      <c r="E2245" s="3" t="n">
        <v>3</v>
      </c>
      <c r="F2245" s="24" t="n">
        <v>-0.0777726099</v>
      </c>
    </row>
    <row r="2246" customFormat="false" ht="15" hidden="false" customHeight="false" outlineLevel="0" collapsed="false">
      <c r="A2246" s="3" t="n">
        <v>2245</v>
      </c>
      <c r="B2246" s="3" t="n">
        <v>2244</v>
      </c>
      <c r="C2246" s="3" t="n">
        <v>2</v>
      </c>
      <c r="D2246" s="3" t="n">
        <v>24</v>
      </c>
      <c r="E2246" s="3" t="n">
        <v>4</v>
      </c>
      <c r="F2246" s="24" t="n">
        <v>-0.0777726099</v>
      </c>
    </row>
    <row r="2247" customFormat="false" ht="15" hidden="false" customHeight="false" outlineLevel="0" collapsed="false">
      <c r="A2247" s="3" t="n">
        <v>2246</v>
      </c>
      <c r="B2247" s="3" t="n">
        <v>2245</v>
      </c>
      <c r="C2247" s="3" t="n">
        <v>2</v>
      </c>
      <c r="D2247" s="3" t="n">
        <v>24</v>
      </c>
      <c r="E2247" s="3" t="n">
        <v>5</v>
      </c>
      <c r="F2247" s="24" t="n">
        <v>-0.0777726099</v>
      </c>
    </row>
    <row r="2248" customFormat="false" ht="15" hidden="false" customHeight="false" outlineLevel="0" collapsed="false">
      <c r="A2248" s="3" t="n">
        <v>2247</v>
      </c>
      <c r="B2248" s="3" t="n">
        <v>2246</v>
      </c>
      <c r="C2248" s="3" t="n">
        <v>2</v>
      </c>
      <c r="D2248" s="3" t="n">
        <v>24</v>
      </c>
      <c r="E2248" s="3" t="n">
        <v>6</v>
      </c>
      <c r="F2248" s="24" t="n">
        <v>-0.0777726099</v>
      </c>
    </row>
    <row r="2249" customFormat="false" ht="15" hidden="false" customHeight="false" outlineLevel="0" collapsed="false">
      <c r="A2249" s="3" t="n">
        <v>2248</v>
      </c>
      <c r="B2249" s="3" t="n">
        <v>2247</v>
      </c>
      <c r="C2249" s="3" t="n">
        <v>2</v>
      </c>
      <c r="D2249" s="3" t="n">
        <v>24</v>
      </c>
      <c r="E2249" s="3" t="n">
        <v>7</v>
      </c>
      <c r="F2249" s="24" t="n">
        <v>-0.0777726099</v>
      </c>
    </row>
    <row r="2250" customFormat="false" ht="15" hidden="false" customHeight="false" outlineLevel="0" collapsed="false">
      <c r="A2250" s="3" t="n">
        <v>2249</v>
      </c>
      <c r="B2250" s="3" t="n">
        <v>2248</v>
      </c>
      <c r="C2250" s="3" t="n">
        <v>2</v>
      </c>
      <c r="D2250" s="3" t="n">
        <v>24</v>
      </c>
      <c r="E2250" s="3" t="n">
        <v>8</v>
      </c>
      <c r="F2250" s="24" t="n">
        <v>-0.0777726099</v>
      </c>
    </row>
    <row r="2251" customFormat="false" ht="15" hidden="false" customHeight="false" outlineLevel="0" collapsed="false">
      <c r="A2251" s="3" t="n">
        <v>2250</v>
      </c>
      <c r="B2251" s="3" t="n">
        <v>2249</v>
      </c>
      <c r="C2251" s="3" t="n">
        <v>2</v>
      </c>
      <c r="D2251" s="3" t="n">
        <v>24</v>
      </c>
      <c r="E2251" s="3" t="n">
        <v>9</v>
      </c>
      <c r="F2251" s="24" t="n">
        <v>0.891317844</v>
      </c>
    </row>
    <row r="2252" customFormat="false" ht="15" hidden="false" customHeight="false" outlineLevel="0" collapsed="false">
      <c r="A2252" s="3" t="n">
        <v>2251</v>
      </c>
      <c r="B2252" s="3" t="n">
        <v>2250</v>
      </c>
      <c r="C2252" s="3" t="n">
        <v>2</v>
      </c>
      <c r="D2252" s="3" t="n">
        <v>24</v>
      </c>
      <c r="E2252" s="3" t="n">
        <v>10</v>
      </c>
      <c r="F2252" s="24" t="n">
        <v>3.48525357</v>
      </c>
    </row>
    <row r="2253" customFormat="false" ht="15" hidden="false" customHeight="false" outlineLevel="0" collapsed="false">
      <c r="A2253" s="3" t="n">
        <v>2252</v>
      </c>
      <c r="B2253" s="3" t="n">
        <v>2251</v>
      </c>
      <c r="C2253" s="3" t="n">
        <v>2</v>
      </c>
      <c r="D2253" s="3" t="n">
        <v>24</v>
      </c>
      <c r="E2253" s="3" t="n">
        <v>11</v>
      </c>
      <c r="F2253" s="24" t="n">
        <v>2.95626593</v>
      </c>
    </row>
    <row r="2254" customFormat="false" ht="15" hidden="false" customHeight="false" outlineLevel="0" collapsed="false">
      <c r="A2254" s="3" t="n">
        <v>2253</v>
      </c>
      <c r="B2254" s="3" t="n">
        <v>2252</v>
      </c>
      <c r="C2254" s="3" t="n">
        <v>2</v>
      </c>
      <c r="D2254" s="3" t="n">
        <v>24</v>
      </c>
      <c r="E2254" s="3" t="n">
        <v>12</v>
      </c>
      <c r="F2254" s="24" t="n">
        <v>-0.18709515</v>
      </c>
    </row>
    <row r="2255" customFormat="false" ht="15" hidden="false" customHeight="false" outlineLevel="0" collapsed="false">
      <c r="A2255" s="3" t="n">
        <v>2254</v>
      </c>
      <c r="B2255" s="3" t="n">
        <v>2253</v>
      </c>
      <c r="C2255" s="3" t="n">
        <v>2</v>
      </c>
      <c r="D2255" s="3" t="n">
        <v>24</v>
      </c>
      <c r="E2255" s="3" t="n">
        <v>13</v>
      </c>
      <c r="F2255" s="24" t="n">
        <v>-3.81866384</v>
      </c>
    </row>
    <row r="2256" customFormat="false" ht="15" hidden="false" customHeight="false" outlineLevel="0" collapsed="false">
      <c r="A2256" s="3" t="n">
        <v>2255</v>
      </c>
      <c r="B2256" s="3" t="n">
        <v>2254</v>
      </c>
      <c r="C2256" s="3" t="n">
        <v>2</v>
      </c>
      <c r="D2256" s="3" t="n">
        <v>24</v>
      </c>
      <c r="E2256" s="3" t="n">
        <v>14</v>
      </c>
      <c r="F2256" s="24" t="n">
        <v>-4.79560995</v>
      </c>
    </row>
    <row r="2257" customFormat="false" ht="15" hidden="false" customHeight="false" outlineLevel="0" collapsed="false">
      <c r="A2257" s="3" t="n">
        <v>2256</v>
      </c>
      <c r="B2257" s="3" t="n">
        <v>2255</v>
      </c>
      <c r="C2257" s="3" t="n">
        <v>2</v>
      </c>
      <c r="D2257" s="3" t="n">
        <v>24</v>
      </c>
      <c r="E2257" s="3" t="n">
        <v>15</v>
      </c>
      <c r="F2257" s="24" t="n">
        <v>-1.03636849</v>
      </c>
    </row>
    <row r="2258" customFormat="false" ht="15" hidden="false" customHeight="false" outlineLevel="0" collapsed="false">
      <c r="A2258" s="3" t="n">
        <v>2257</v>
      </c>
      <c r="B2258" s="3" t="n">
        <v>2256</v>
      </c>
      <c r="C2258" s="3" t="n">
        <v>2</v>
      </c>
      <c r="D2258" s="3" t="n">
        <v>24</v>
      </c>
      <c r="E2258" s="3" t="n">
        <v>16</v>
      </c>
      <c r="F2258" s="24" t="n">
        <v>-0.0777726099</v>
      </c>
    </row>
    <row r="2259" customFormat="false" ht="15" hidden="false" customHeight="false" outlineLevel="0" collapsed="false">
      <c r="A2259" s="3" t="n">
        <v>2258</v>
      </c>
      <c r="B2259" s="3" t="n">
        <v>2257</v>
      </c>
      <c r="C2259" s="3" t="n">
        <v>2</v>
      </c>
      <c r="D2259" s="3" t="n">
        <v>24</v>
      </c>
      <c r="E2259" s="3" t="n">
        <v>17</v>
      </c>
      <c r="F2259" s="24" t="n">
        <v>-0.0777726099</v>
      </c>
    </row>
    <row r="2260" customFormat="false" ht="15" hidden="false" customHeight="false" outlineLevel="0" collapsed="false">
      <c r="A2260" s="3" t="n">
        <v>2259</v>
      </c>
      <c r="B2260" s="3" t="n">
        <v>2258</v>
      </c>
      <c r="C2260" s="3" t="n">
        <v>2</v>
      </c>
      <c r="D2260" s="3" t="n">
        <v>24</v>
      </c>
      <c r="E2260" s="3" t="n">
        <v>18</v>
      </c>
      <c r="F2260" s="24" t="n">
        <v>-0.0777726099</v>
      </c>
    </row>
    <row r="2261" customFormat="false" ht="15" hidden="false" customHeight="false" outlineLevel="0" collapsed="false">
      <c r="A2261" s="3" t="n">
        <v>2260</v>
      </c>
      <c r="B2261" s="3" t="n">
        <v>2259</v>
      </c>
      <c r="C2261" s="3" t="n">
        <v>2</v>
      </c>
      <c r="D2261" s="3" t="n">
        <v>24</v>
      </c>
      <c r="E2261" s="3" t="n">
        <v>19</v>
      </c>
      <c r="F2261" s="24" t="n">
        <v>-0.0777726099</v>
      </c>
    </row>
    <row r="2262" customFormat="false" ht="15" hidden="false" customHeight="false" outlineLevel="0" collapsed="false">
      <c r="A2262" s="3" t="n">
        <v>2261</v>
      </c>
      <c r="B2262" s="3" t="n">
        <v>2260</v>
      </c>
      <c r="C2262" s="3" t="n">
        <v>2</v>
      </c>
      <c r="D2262" s="3" t="n">
        <v>24</v>
      </c>
      <c r="E2262" s="3" t="n">
        <v>20</v>
      </c>
      <c r="F2262" s="24" t="n">
        <v>-0.0777726099</v>
      </c>
    </row>
    <row r="2263" customFormat="false" ht="15" hidden="false" customHeight="false" outlineLevel="0" collapsed="false">
      <c r="A2263" s="3" t="n">
        <v>2262</v>
      </c>
      <c r="B2263" s="3" t="n">
        <v>2261</v>
      </c>
      <c r="C2263" s="3" t="n">
        <v>2</v>
      </c>
      <c r="D2263" s="3" t="n">
        <v>24</v>
      </c>
      <c r="E2263" s="3" t="n">
        <v>21</v>
      </c>
      <c r="F2263" s="24" t="n">
        <v>-0.0777726099</v>
      </c>
    </row>
    <row r="2264" customFormat="false" ht="15" hidden="false" customHeight="false" outlineLevel="0" collapsed="false">
      <c r="A2264" s="3" t="n">
        <v>2263</v>
      </c>
      <c r="B2264" s="3" t="n">
        <v>2262</v>
      </c>
      <c r="C2264" s="3" t="n">
        <v>2</v>
      </c>
      <c r="D2264" s="3" t="n">
        <v>24</v>
      </c>
      <c r="E2264" s="3" t="n">
        <v>22</v>
      </c>
      <c r="F2264" s="24" t="n">
        <v>-0.0777726099</v>
      </c>
    </row>
    <row r="2265" customFormat="false" ht="15" hidden="false" customHeight="false" outlineLevel="0" collapsed="false">
      <c r="A2265" s="3" t="n">
        <v>2264</v>
      </c>
      <c r="B2265" s="3" t="n">
        <v>2263</v>
      </c>
      <c r="C2265" s="3" t="n">
        <v>2</v>
      </c>
      <c r="D2265" s="3" t="n">
        <v>24</v>
      </c>
      <c r="E2265" s="3" t="n">
        <v>23</v>
      </c>
      <c r="F2265" s="24" t="n">
        <v>-0.0777726099</v>
      </c>
    </row>
    <row r="2266" customFormat="false" ht="15" hidden="false" customHeight="false" outlineLevel="0" collapsed="false">
      <c r="A2266" s="3" t="n">
        <v>2265</v>
      </c>
      <c r="B2266" s="3" t="n">
        <v>2264</v>
      </c>
      <c r="C2266" s="3" t="n">
        <v>2</v>
      </c>
      <c r="D2266" s="3" t="n">
        <v>24</v>
      </c>
      <c r="E2266" s="3" t="n">
        <v>24</v>
      </c>
      <c r="F2266" s="24" t="n">
        <v>-0.0777726099</v>
      </c>
    </row>
    <row r="2267" customFormat="false" ht="15" hidden="false" customHeight="false" outlineLevel="0" collapsed="false">
      <c r="A2267" s="3" t="n">
        <v>2266</v>
      </c>
      <c r="B2267" s="3" t="n">
        <v>2265</v>
      </c>
      <c r="C2267" s="3" t="n">
        <v>2</v>
      </c>
      <c r="D2267" s="3" t="n">
        <v>24</v>
      </c>
      <c r="E2267" s="3" t="n">
        <v>25</v>
      </c>
      <c r="F2267" s="24" t="n">
        <v>-0.0777726099</v>
      </c>
    </row>
    <row r="2268" customFormat="false" ht="15" hidden="false" customHeight="false" outlineLevel="0" collapsed="false">
      <c r="A2268" s="3" t="n">
        <v>2267</v>
      </c>
      <c r="B2268" s="3" t="n">
        <v>2266</v>
      </c>
      <c r="C2268" s="3" t="n">
        <v>2</v>
      </c>
      <c r="D2268" s="3" t="n">
        <v>24</v>
      </c>
      <c r="E2268" s="3" t="n">
        <v>26</v>
      </c>
      <c r="F2268" s="24" t="n">
        <v>-0.0777726099</v>
      </c>
    </row>
    <row r="2269" customFormat="false" ht="15" hidden="false" customHeight="false" outlineLevel="0" collapsed="false">
      <c r="A2269" s="3" t="n">
        <v>2268</v>
      </c>
      <c r="B2269" s="3" t="n">
        <v>2267</v>
      </c>
      <c r="C2269" s="3" t="n">
        <v>2</v>
      </c>
      <c r="D2269" s="3" t="n">
        <v>24</v>
      </c>
      <c r="E2269" s="3" t="n">
        <v>27</v>
      </c>
      <c r="F2269" s="24" t="n">
        <v>0.387737483</v>
      </c>
    </row>
    <row r="2270" customFormat="false" ht="15" hidden="false" customHeight="false" outlineLevel="0" collapsed="false">
      <c r="A2270" s="3" t="n">
        <v>2269</v>
      </c>
      <c r="B2270" s="3" t="n">
        <v>2268</v>
      </c>
      <c r="C2270" s="3" t="n">
        <v>2</v>
      </c>
      <c r="D2270" s="3" t="n">
        <v>25</v>
      </c>
      <c r="E2270" s="3" t="n">
        <v>0</v>
      </c>
      <c r="F2270" s="24" t="n">
        <v>-0.740650654</v>
      </c>
    </row>
    <row r="2271" customFormat="false" ht="15" hidden="false" customHeight="false" outlineLevel="0" collapsed="false">
      <c r="A2271" s="3" t="n">
        <v>2270</v>
      </c>
      <c r="B2271" s="3" t="n">
        <v>2269</v>
      </c>
      <c r="C2271" s="3" t="n">
        <v>2</v>
      </c>
      <c r="D2271" s="3" t="n">
        <v>25</v>
      </c>
      <c r="E2271" s="3" t="n">
        <v>1</v>
      </c>
      <c r="F2271" s="24" t="n">
        <v>-0.0777726099</v>
      </c>
    </row>
    <row r="2272" customFormat="false" ht="15" hidden="false" customHeight="false" outlineLevel="0" collapsed="false">
      <c r="A2272" s="3" t="n">
        <v>2271</v>
      </c>
      <c r="B2272" s="3" t="n">
        <v>2270</v>
      </c>
      <c r="C2272" s="3" t="n">
        <v>2</v>
      </c>
      <c r="D2272" s="3" t="n">
        <v>25</v>
      </c>
      <c r="E2272" s="3" t="n">
        <v>2</v>
      </c>
      <c r="F2272" s="24" t="n">
        <v>-0.0777726099</v>
      </c>
    </row>
    <row r="2273" customFormat="false" ht="15" hidden="false" customHeight="false" outlineLevel="0" collapsed="false">
      <c r="A2273" s="3" t="n">
        <v>2272</v>
      </c>
      <c r="B2273" s="3" t="n">
        <v>2271</v>
      </c>
      <c r="C2273" s="3" t="n">
        <v>2</v>
      </c>
      <c r="D2273" s="3" t="n">
        <v>25</v>
      </c>
      <c r="E2273" s="3" t="n">
        <v>3</v>
      </c>
      <c r="F2273" s="24" t="n">
        <v>-0.0777726099</v>
      </c>
    </row>
    <row r="2274" customFormat="false" ht="15" hidden="false" customHeight="false" outlineLevel="0" collapsed="false">
      <c r="A2274" s="3" t="n">
        <v>2273</v>
      </c>
      <c r="B2274" s="3" t="n">
        <v>2272</v>
      </c>
      <c r="C2274" s="3" t="n">
        <v>2</v>
      </c>
      <c r="D2274" s="3" t="n">
        <v>25</v>
      </c>
      <c r="E2274" s="3" t="n">
        <v>4</v>
      </c>
      <c r="F2274" s="24" t="n">
        <v>-0.0777726099</v>
      </c>
    </row>
    <row r="2275" customFormat="false" ht="15" hidden="false" customHeight="false" outlineLevel="0" collapsed="false">
      <c r="A2275" s="3" t="n">
        <v>2274</v>
      </c>
      <c r="B2275" s="3" t="n">
        <v>2273</v>
      </c>
      <c r="C2275" s="3" t="n">
        <v>2</v>
      </c>
      <c r="D2275" s="3" t="n">
        <v>25</v>
      </c>
      <c r="E2275" s="3" t="n">
        <v>5</v>
      </c>
      <c r="F2275" s="24" t="n">
        <v>-0.0777726099</v>
      </c>
    </row>
    <row r="2276" customFormat="false" ht="15" hidden="false" customHeight="false" outlineLevel="0" collapsed="false">
      <c r="A2276" s="3" t="n">
        <v>2275</v>
      </c>
      <c r="B2276" s="3" t="n">
        <v>2274</v>
      </c>
      <c r="C2276" s="3" t="n">
        <v>2</v>
      </c>
      <c r="D2276" s="3" t="n">
        <v>25</v>
      </c>
      <c r="E2276" s="3" t="n">
        <v>6</v>
      </c>
      <c r="F2276" s="24" t="n">
        <v>-0.0777726099</v>
      </c>
    </row>
    <row r="2277" customFormat="false" ht="15" hidden="false" customHeight="false" outlineLevel="0" collapsed="false">
      <c r="A2277" s="3" t="n">
        <v>2276</v>
      </c>
      <c r="B2277" s="3" t="n">
        <v>2275</v>
      </c>
      <c r="C2277" s="3" t="n">
        <v>2</v>
      </c>
      <c r="D2277" s="3" t="n">
        <v>25</v>
      </c>
      <c r="E2277" s="3" t="n">
        <v>7</v>
      </c>
      <c r="F2277" s="24" t="n">
        <v>-0.0777726099</v>
      </c>
    </row>
    <row r="2278" customFormat="false" ht="15" hidden="false" customHeight="false" outlineLevel="0" collapsed="false">
      <c r="A2278" s="3" t="n">
        <v>2277</v>
      </c>
      <c r="B2278" s="3" t="n">
        <v>2276</v>
      </c>
      <c r="C2278" s="3" t="n">
        <v>2</v>
      </c>
      <c r="D2278" s="3" t="n">
        <v>25</v>
      </c>
      <c r="E2278" s="3" t="n">
        <v>8</v>
      </c>
      <c r="F2278" s="24" t="n">
        <v>-0.0777726099</v>
      </c>
    </row>
    <row r="2279" customFormat="false" ht="15" hidden="false" customHeight="false" outlineLevel="0" collapsed="false">
      <c r="A2279" s="3" t="n">
        <v>2278</v>
      </c>
      <c r="B2279" s="3" t="n">
        <v>2277</v>
      </c>
      <c r="C2279" s="3" t="n">
        <v>2</v>
      </c>
      <c r="D2279" s="3" t="n">
        <v>25</v>
      </c>
      <c r="E2279" s="3" t="n">
        <v>9</v>
      </c>
      <c r="F2279" s="24" t="n">
        <v>1.48250699</v>
      </c>
    </row>
    <row r="2280" customFormat="false" ht="15" hidden="false" customHeight="false" outlineLevel="0" collapsed="false">
      <c r="A2280" s="3" t="n">
        <v>2279</v>
      </c>
      <c r="B2280" s="3" t="n">
        <v>2278</v>
      </c>
      <c r="C2280" s="3" t="n">
        <v>2</v>
      </c>
      <c r="D2280" s="3" t="n">
        <v>25</v>
      </c>
      <c r="E2280" s="3" t="n">
        <v>10</v>
      </c>
      <c r="F2280" s="24" t="n">
        <v>3.78650403</v>
      </c>
    </row>
    <row r="2281" customFormat="false" ht="15" hidden="false" customHeight="false" outlineLevel="0" collapsed="false">
      <c r="A2281" s="3" t="n">
        <v>2280</v>
      </c>
      <c r="B2281" s="3" t="n">
        <v>2279</v>
      </c>
      <c r="C2281" s="3" t="n">
        <v>2</v>
      </c>
      <c r="D2281" s="3" t="n">
        <v>25</v>
      </c>
      <c r="E2281" s="3" t="n">
        <v>11</v>
      </c>
      <c r="F2281" s="24" t="n">
        <v>1.96187341</v>
      </c>
    </row>
    <row r="2282" customFormat="false" ht="15" hidden="false" customHeight="false" outlineLevel="0" collapsed="false">
      <c r="A2282" s="3" t="n">
        <v>2281</v>
      </c>
      <c r="B2282" s="3" t="n">
        <v>2280</v>
      </c>
      <c r="C2282" s="3" t="n">
        <v>2</v>
      </c>
      <c r="D2282" s="3" t="n">
        <v>25</v>
      </c>
      <c r="E2282" s="3" t="n">
        <v>12</v>
      </c>
      <c r="F2282" s="24" t="n">
        <v>-2.16714787</v>
      </c>
    </row>
    <row r="2283" customFormat="false" ht="15" hidden="false" customHeight="false" outlineLevel="0" collapsed="false">
      <c r="A2283" s="3" t="n">
        <v>2282</v>
      </c>
      <c r="B2283" s="3" t="n">
        <v>2281</v>
      </c>
      <c r="C2283" s="3" t="n">
        <v>2</v>
      </c>
      <c r="D2283" s="3" t="n">
        <v>25</v>
      </c>
      <c r="E2283" s="3" t="n">
        <v>13</v>
      </c>
      <c r="F2283" s="24" t="n">
        <v>-4.4407959</v>
      </c>
    </row>
    <row r="2284" customFormat="false" ht="15" hidden="false" customHeight="false" outlineLevel="0" collapsed="false">
      <c r="A2284" s="3" t="n">
        <v>2283</v>
      </c>
      <c r="B2284" s="3" t="n">
        <v>2282</v>
      </c>
      <c r="C2284" s="3" t="n">
        <v>2</v>
      </c>
      <c r="D2284" s="3" t="n">
        <v>25</v>
      </c>
      <c r="E2284" s="3" t="n">
        <v>14</v>
      </c>
      <c r="F2284" s="24" t="n">
        <v>-3.38101149</v>
      </c>
    </row>
    <row r="2285" customFormat="false" ht="15" hidden="false" customHeight="false" outlineLevel="0" collapsed="false">
      <c r="A2285" s="3" t="n">
        <v>2284</v>
      </c>
      <c r="B2285" s="3" t="n">
        <v>2283</v>
      </c>
      <c r="C2285" s="3" t="n">
        <v>2</v>
      </c>
      <c r="D2285" s="3" t="n">
        <v>25</v>
      </c>
      <c r="E2285" s="3" t="n">
        <v>15</v>
      </c>
      <c r="F2285" s="24" t="n">
        <v>-0.689803243</v>
      </c>
    </row>
    <row r="2286" customFormat="false" ht="15" hidden="false" customHeight="false" outlineLevel="0" collapsed="false">
      <c r="A2286" s="3" t="n">
        <v>2285</v>
      </c>
      <c r="B2286" s="3" t="n">
        <v>2284</v>
      </c>
      <c r="C2286" s="3" t="n">
        <v>2</v>
      </c>
      <c r="D2286" s="3" t="n">
        <v>25</v>
      </c>
      <c r="E2286" s="3" t="n">
        <v>16</v>
      </c>
      <c r="F2286" s="24" t="n">
        <v>-0.0777726099</v>
      </c>
    </row>
    <row r="2287" customFormat="false" ht="15" hidden="false" customHeight="false" outlineLevel="0" collapsed="false">
      <c r="A2287" s="3" t="n">
        <v>2286</v>
      </c>
      <c r="B2287" s="3" t="n">
        <v>2285</v>
      </c>
      <c r="C2287" s="3" t="n">
        <v>2</v>
      </c>
      <c r="D2287" s="3" t="n">
        <v>25</v>
      </c>
      <c r="E2287" s="3" t="n">
        <v>17</v>
      </c>
      <c r="F2287" s="24" t="n">
        <v>-0.0777726099</v>
      </c>
    </row>
    <row r="2288" customFormat="false" ht="15" hidden="false" customHeight="false" outlineLevel="0" collapsed="false">
      <c r="A2288" s="3" t="n">
        <v>2287</v>
      </c>
      <c r="B2288" s="3" t="n">
        <v>2286</v>
      </c>
      <c r="C2288" s="3" t="n">
        <v>2</v>
      </c>
      <c r="D2288" s="3" t="n">
        <v>25</v>
      </c>
      <c r="E2288" s="3" t="n">
        <v>18</v>
      </c>
      <c r="F2288" s="24" t="n">
        <v>-0.0777726099</v>
      </c>
    </row>
    <row r="2289" customFormat="false" ht="15" hidden="false" customHeight="false" outlineLevel="0" collapsed="false">
      <c r="A2289" s="3" t="n">
        <v>2288</v>
      </c>
      <c r="B2289" s="3" t="n">
        <v>2287</v>
      </c>
      <c r="C2289" s="3" t="n">
        <v>2</v>
      </c>
      <c r="D2289" s="3" t="n">
        <v>25</v>
      </c>
      <c r="E2289" s="3" t="n">
        <v>19</v>
      </c>
      <c r="F2289" s="24" t="n">
        <v>-0.0777726099</v>
      </c>
    </row>
    <row r="2290" customFormat="false" ht="15" hidden="false" customHeight="false" outlineLevel="0" collapsed="false">
      <c r="A2290" s="3" t="n">
        <v>2289</v>
      </c>
      <c r="B2290" s="3" t="n">
        <v>2288</v>
      </c>
      <c r="C2290" s="3" t="n">
        <v>2</v>
      </c>
      <c r="D2290" s="3" t="n">
        <v>25</v>
      </c>
      <c r="E2290" s="3" t="n">
        <v>20</v>
      </c>
      <c r="F2290" s="24" t="n">
        <v>-0.0777726099</v>
      </c>
    </row>
    <row r="2291" customFormat="false" ht="15" hidden="false" customHeight="false" outlineLevel="0" collapsed="false">
      <c r="A2291" s="3" t="n">
        <v>2290</v>
      </c>
      <c r="B2291" s="3" t="n">
        <v>2289</v>
      </c>
      <c r="C2291" s="3" t="n">
        <v>2</v>
      </c>
      <c r="D2291" s="3" t="n">
        <v>25</v>
      </c>
      <c r="E2291" s="3" t="n">
        <v>21</v>
      </c>
      <c r="F2291" s="24" t="n">
        <v>-0.0777726099</v>
      </c>
    </row>
    <row r="2292" customFormat="false" ht="15" hidden="false" customHeight="false" outlineLevel="0" collapsed="false">
      <c r="A2292" s="3" t="n">
        <v>2291</v>
      </c>
      <c r="B2292" s="3" t="n">
        <v>2290</v>
      </c>
      <c r="C2292" s="3" t="n">
        <v>2</v>
      </c>
      <c r="D2292" s="3" t="n">
        <v>25</v>
      </c>
      <c r="E2292" s="3" t="n">
        <v>22</v>
      </c>
      <c r="F2292" s="24" t="n">
        <v>-0.0777726099</v>
      </c>
    </row>
    <row r="2293" customFormat="false" ht="15" hidden="false" customHeight="false" outlineLevel="0" collapsed="false">
      <c r="A2293" s="3" t="n">
        <v>2292</v>
      </c>
      <c r="B2293" s="3" t="n">
        <v>2291</v>
      </c>
      <c r="C2293" s="3" t="n">
        <v>2</v>
      </c>
      <c r="D2293" s="3" t="n">
        <v>25</v>
      </c>
      <c r="E2293" s="3" t="n">
        <v>23</v>
      </c>
      <c r="F2293" s="24" t="n">
        <v>-0.0777726099</v>
      </c>
    </row>
    <row r="2294" customFormat="false" ht="15" hidden="false" customHeight="false" outlineLevel="0" collapsed="false">
      <c r="A2294" s="3" t="n">
        <v>2293</v>
      </c>
      <c r="B2294" s="3" t="n">
        <v>2292</v>
      </c>
      <c r="C2294" s="3" t="n">
        <v>2</v>
      </c>
      <c r="D2294" s="3" t="n">
        <v>25</v>
      </c>
      <c r="E2294" s="3" t="n">
        <v>24</v>
      </c>
      <c r="F2294" s="24" t="n">
        <v>-0.0777726099</v>
      </c>
    </row>
    <row r="2295" customFormat="false" ht="15" hidden="false" customHeight="false" outlineLevel="0" collapsed="false">
      <c r="A2295" s="3" t="n">
        <v>2294</v>
      </c>
      <c r="B2295" s="3" t="n">
        <v>2293</v>
      </c>
      <c r="C2295" s="3" t="n">
        <v>2</v>
      </c>
      <c r="D2295" s="3" t="n">
        <v>25</v>
      </c>
      <c r="E2295" s="3" t="n">
        <v>25</v>
      </c>
      <c r="F2295" s="24" t="n">
        <v>-0.0777726099</v>
      </c>
    </row>
    <row r="2296" customFormat="false" ht="15" hidden="false" customHeight="false" outlineLevel="0" collapsed="false">
      <c r="A2296" s="3" t="n">
        <v>2295</v>
      </c>
      <c r="B2296" s="3" t="n">
        <v>2294</v>
      </c>
      <c r="C2296" s="3" t="n">
        <v>2</v>
      </c>
      <c r="D2296" s="3" t="n">
        <v>25</v>
      </c>
      <c r="E2296" s="3" t="n">
        <v>26</v>
      </c>
      <c r="F2296" s="24" t="n">
        <v>-0.0777726099</v>
      </c>
    </row>
    <row r="2297" customFormat="false" ht="15" hidden="false" customHeight="false" outlineLevel="0" collapsed="false">
      <c r="A2297" s="3" t="n">
        <v>2296</v>
      </c>
      <c r="B2297" s="3" t="n">
        <v>2295</v>
      </c>
      <c r="C2297" s="3" t="n">
        <v>2</v>
      </c>
      <c r="D2297" s="3" t="n">
        <v>25</v>
      </c>
      <c r="E2297" s="3" t="n">
        <v>27</v>
      </c>
      <c r="F2297" s="24" t="n">
        <v>0.387737483</v>
      </c>
    </row>
    <row r="2298" customFormat="false" ht="15" hidden="false" customHeight="false" outlineLevel="0" collapsed="false">
      <c r="A2298" s="3" t="n">
        <v>2297</v>
      </c>
      <c r="B2298" s="3" t="n">
        <v>2296</v>
      </c>
      <c r="C2298" s="3" t="n">
        <v>2</v>
      </c>
      <c r="D2298" s="3" t="n">
        <v>26</v>
      </c>
      <c r="E2298" s="3" t="n">
        <v>0</v>
      </c>
      <c r="F2298" s="24" t="n">
        <v>-0.740650654</v>
      </c>
    </row>
    <row r="2299" customFormat="false" ht="15" hidden="false" customHeight="false" outlineLevel="0" collapsed="false">
      <c r="A2299" s="3" t="n">
        <v>2298</v>
      </c>
      <c r="B2299" s="3" t="n">
        <v>2297</v>
      </c>
      <c r="C2299" s="3" t="n">
        <v>2</v>
      </c>
      <c r="D2299" s="3" t="n">
        <v>26</v>
      </c>
      <c r="E2299" s="3" t="n">
        <v>1</v>
      </c>
      <c r="F2299" s="24" t="n">
        <v>-0.0777726099</v>
      </c>
    </row>
    <row r="2300" customFormat="false" ht="15" hidden="false" customHeight="false" outlineLevel="0" collapsed="false">
      <c r="A2300" s="3" t="n">
        <v>2299</v>
      </c>
      <c r="B2300" s="3" t="n">
        <v>2298</v>
      </c>
      <c r="C2300" s="3" t="n">
        <v>2</v>
      </c>
      <c r="D2300" s="3" t="n">
        <v>26</v>
      </c>
      <c r="E2300" s="3" t="n">
        <v>2</v>
      </c>
      <c r="F2300" s="24" t="n">
        <v>-0.0777726099</v>
      </c>
    </row>
    <row r="2301" customFormat="false" ht="15" hidden="false" customHeight="false" outlineLevel="0" collapsed="false">
      <c r="A2301" s="3" t="n">
        <v>2300</v>
      </c>
      <c r="B2301" s="3" t="n">
        <v>2299</v>
      </c>
      <c r="C2301" s="3" t="n">
        <v>2</v>
      </c>
      <c r="D2301" s="3" t="n">
        <v>26</v>
      </c>
      <c r="E2301" s="3" t="n">
        <v>3</v>
      </c>
      <c r="F2301" s="24" t="n">
        <v>-0.0777726099</v>
      </c>
    </row>
    <row r="2302" customFormat="false" ht="15" hidden="false" customHeight="false" outlineLevel="0" collapsed="false">
      <c r="A2302" s="3" t="n">
        <v>2301</v>
      </c>
      <c r="B2302" s="3" t="n">
        <v>2300</v>
      </c>
      <c r="C2302" s="3" t="n">
        <v>2</v>
      </c>
      <c r="D2302" s="3" t="n">
        <v>26</v>
      </c>
      <c r="E2302" s="3" t="n">
        <v>4</v>
      </c>
      <c r="F2302" s="24" t="n">
        <v>-0.0777726099</v>
      </c>
    </row>
    <row r="2303" customFormat="false" ht="15" hidden="false" customHeight="false" outlineLevel="0" collapsed="false">
      <c r="A2303" s="3" t="n">
        <v>2302</v>
      </c>
      <c r="B2303" s="3" t="n">
        <v>2301</v>
      </c>
      <c r="C2303" s="3" t="n">
        <v>2</v>
      </c>
      <c r="D2303" s="3" t="n">
        <v>26</v>
      </c>
      <c r="E2303" s="3" t="n">
        <v>5</v>
      </c>
      <c r="F2303" s="24" t="n">
        <v>-0.0777726099</v>
      </c>
    </row>
    <row r="2304" customFormat="false" ht="15" hidden="false" customHeight="false" outlineLevel="0" collapsed="false">
      <c r="A2304" s="3" t="n">
        <v>2303</v>
      </c>
      <c r="B2304" s="3" t="n">
        <v>2302</v>
      </c>
      <c r="C2304" s="3" t="n">
        <v>2</v>
      </c>
      <c r="D2304" s="3" t="n">
        <v>26</v>
      </c>
      <c r="E2304" s="3" t="n">
        <v>6</v>
      </c>
      <c r="F2304" s="24" t="n">
        <v>-0.0777726099</v>
      </c>
    </row>
    <row r="2305" customFormat="false" ht="15" hidden="false" customHeight="false" outlineLevel="0" collapsed="false">
      <c r="A2305" s="3" t="n">
        <v>2304</v>
      </c>
      <c r="B2305" s="3" t="n">
        <v>2303</v>
      </c>
      <c r="C2305" s="3" t="n">
        <v>2</v>
      </c>
      <c r="D2305" s="3" t="n">
        <v>26</v>
      </c>
      <c r="E2305" s="3" t="n">
        <v>7</v>
      </c>
      <c r="F2305" s="24" t="n">
        <v>-0.0777726099</v>
      </c>
    </row>
    <row r="2306" customFormat="false" ht="15" hidden="false" customHeight="false" outlineLevel="0" collapsed="false">
      <c r="A2306" s="3" t="n">
        <v>2305</v>
      </c>
      <c r="B2306" s="3" t="n">
        <v>2304</v>
      </c>
      <c r="C2306" s="3" t="n">
        <v>2</v>
      </c>
      <c r="D2306" s="3" t="n">
        <v>26</v>
      </c>
      <c r="E2306" s="3" t="n">
        <v>8</v>
      </c>
      <c r="F2306" s="24" t="n">
        <v>-0.0777726099</v>
      </c>
    </row>
    <row r="2307" customFormat="false" ht="15" hidden="false" customHeight="false" outlineLevel="0" collapsed="false">
      <c r="A2307" s="3" t="n">
        <v>2306</v>
      </c>
      <c r="B2307" s="3" t="n">
        <v>2305</v>
      </c>
      <c r="C2307" s="3" t="n">
        <v>2</v>
      </c>
      <c r="D2307" s="3" t="n">
        <v>26</v>
      </c>
      <c r="E2307" s="3" t="n">
        <v>9</v>
      </c>
      <c r="F2307" s="24" t="n">
        <v>1.11009717</v>
      </c>
    </row>
    <row r="2308" customFormat="false" ht="15" hidden="false" customHeight="false" outlineLevel="0" collapsed="false">
      <c r="A2308" s="3" t="n">
        <v>2307</v>
      </c>
      <c r="B2308" s="3" t="n">
        <v>2306</v>
      </c>
      <c r="C2308" s="3" t="n">
        <v>2</v>
      </c>
      <c r="D2308" s="3" t="n">
        <v>26</v>
      </c>
      <c r="E2308" s="3" t="n">
        <v>10</v>
      </c>
      <c r="F2308" s="24" t="n">
        <v>2.36208653</v>
      </c>
    </row>
    <row r="2309" customFormat="false" ht="15" hidden="false" customHeight="false" outlineLevel="0" collapsed="false">
      <c r="A2309" s="3" t="n">
        <v>2308</v>
      </c>
      <c r="B2309" s="3" t="n">
        <v>2307</v>
      </c>
      <c r="C2309" s="3" t="n">
        <v>2</v>
      </c>
      <c r="D2309" s="3" t="n">
        <v>26</v>
      </c>
      <c r="E2309" s="3" t="n">
        <v>11</v>
      </c>
      <c r="F2309" s="24" t="n">
        <v>0.299468994</v>
      </c>
    </row>
    <row r="2310" customFormat="false" ht="15" hidden="false" customHeight="false" outlineLevel="0" collapsed="false">
      <c r="A2310" s="3" t="n">
        <v>2309</v>
      </c>
      <c r="B2310" s="3" t="n">
        <v>2308</v>
      </c>
      <c r="C2310" s="3" t="n">
        <v>2</v>
      </c>
      <c r="D2310" s="3" t="n">
        <v>26</v>
      </c>
      <c r="E2310" s="3" t="n">
        <v>12</v>
      </c>
      <c r="F2310" s="24" t="n">
        <v>-2.99591804</v>
      </c>
    </row>
    <row r="2311" customFormat="false" ht="15" hidden="false" customHeight="false" outlineLevel="0" collapsed="false">
      <c r="A2311" s="3" t="n">
        <v>2310</v>
      </c>
      <c r="B2311" s="3" t="n">
        <v>2309</v>
      </c>
      <c r="C2311" s="3" t="n">
        <v>2</v>
      </c>
      <c r="D2311" s="3" t="n">
        <v>26</v>
      </c>
      <c r="E2311" s="3" t="n">
        <v>13</v>
      </c>
      <c r="F2311" s="24" t="n">
        <v>-3.02455044</v>
      </c>
    </row>
    <row r="2312" customFormat="false" ht="15" hidden="false" customHeight="false" outlineLevel="0" collapsed="false">
      <c r="A2312" s="3" t="n">
        <v>2311</v>
      </c>
      <c r="B2312" s="3" t="n">
        <v>2310</v>
      </c>
      <c r="C2312" s="3" t="n">
        <v>2</v>
      </c>
      <c r="D2312" s="3" t="n">
        <v>26</v>
      </c>
      <c r="E2312" s="3" t="n">
        <v>14</v>
      </c>
      <c r="F2312" s="24" t="n">
        <v>-1.46042168</v>
      </c>
    </row>
    <row r="2313" customFormat="false" ht="15" hidden="false" customHeight="false" outlineLevel="0" collapsed="false">
      <c r="A2313" s="3" t="n">
        <v>2312</v>
      </c>
      <c r="B2313" s="3" t="n">
        <v>2311</v>
      </c>
      <c r="C2313" s="3" t="n">
        <v>2</v>
      </c>
      <c r="D2313" s="3" t="n">
        <v>26</v>
      </c>
      <c r="E2313" s="3" t="n">
        <v>15</v>
      </c>
      <c r="F2313" s="24" t="n">
        <v>-0.306464851</v>
      </c>
    </row>
    <row r="2314" customFormat="false" ht="15" hidden="false" customHeight="false" outlineLevel="0" collapsed="false">
      <c r="A2314" s="3" t="n">
        <v>2313</v>
      </c>
      <c r="B2314" s="3" t="n">
        <v>2312</v>
      </c>
      <c r="C2314" s="3" t="n">
        <v>2</v>
      </c>
      <c r="D2314" s="3" t="n">
        <v>26</v>
      </c>
      <c r="E2314" s="3" t="n">
        <v>16</v>
      </c>
      <c r="F2314" s="24" t="n">
        <v>-0.0777726099</v>
      </c>
    </row>
    <row r="2315" customFormat="false" ht="15" hidden="false" customHeight="false" outlineLevel="0" collapsed="false">
      <c r="A2315" s="3" t="n">
        <v>2314</v>
      </c>
      <c r="B2315" s="3" t="n">
        <v>2313</v>
      </c>
      <c r="C2315" s="3" t="n">
        <v>2</v>
      </c>
      <c r="D2315" s="3" t="n">
        <v>26</v>
      </c>
      <c r="E2315" s="3" t="n">
        <v>17</v>
      </c>
      <c r="F2315" s="24" t="n">
        <v>-0.0777726099</v>
      </c>
    </row>
    <row r="2316" customFormat="false" ht="15" hidden="false" customHeight="false" outlineLevel="0" collapsed="false">
      <c r="A2316" s="3" t="n">
        <v>2315</v>
      </c>
      <c r="B2316" s="3" t="n">
        <v>2314</v>
      </c>
      <c r="C2316" s="3" t="n">
        <v>2</v>
      </c>
      <c r="D2316" s="3" t="n">
        <v>26</v>
      </c>
      <c r="E2316" s="3" t="n">
        <v>18</v>
      </c>
      <c r="F2316" s="24" t="n">
        <v>-0.0777726099</v>
      </c>
    </row>
    <row r="2317" customFormat="false" ht="15" hidden="false" customHeight="false" outlineLevel="0" collapsed="false">
      <c r="A2317" s="3" t="n">
        <v>2316</v>
      </c>
      <c r="B2317" s="3" t="n">
        <v>2315</v>
      </c>
      <c r="C2317" s="3" t="n">
        <v>2</v>
      </c>
      <c r="D2317" s="3" t="n">
        <v>26</v>
      </c>
      <c r="E2317" s="3" t="n">
        <v>19</v>
      </c>
      <c r="F2317" s="24" t="n">
        <v>-0.0777726099</v>
      </c>
    </row>
    <row r="2318" customFormat="false" ht="15" hidden="false" customHeight="false" outlineLevel="0" collapsed="false">
      <c r="A2318" s="3" t="n">
        <v>2317</v>
      </c>
      <c r="B2318" s="3" t="n">
        <v>2316</v>
      </c>
      <c r="C2318" s="3" t="n">
        <v>2</v>
      </c>
      <c r="D2318" s="3" t="n">
        <v>26</v>
      </c>
      <c r="E2318" s="3" t="n">
        <v>20</v>
      </c>
      <c r="F2318" s="24" t="n">
        <v>-0.0777726099</v>
      </c>
    </row>
    <row r="2319" customFormat="false" ht="15" hidden="false" customHeight="false" outlineLevel="0" collapsed="false">
      <c r="A2319" s="3" t="n">
        <v>2318</v>
      </c>
      <c r="B2319" s="3" t="n">
        <v>2317</v>
      </c>
      <c r="C2319" s="3" t="n">
        <v>2</v>
      </c>
      <c r="D2319" s="3" t="n">
        <v>26</v>
      </c>
      <c r="E2319" s="3" t="n">
        <v>21</v>
      </c>
      <c r="F2319" s="24" t="n">
        <v>-0.0777726099</v>
      </c>
    </row>
    <row r="2320" customFormat="false" ht="15" hidden="false" customHeight="false" outlineLevel="0" collapsed="false">
      <c r="A2320" s="3" t="n">
        <v>2319</v>
      </c>
      <c r="B2320" s="3" t="n">
        <v>2318</v>
      </c>
      <c r="C2320" s="3" t="n">
        <v>2</v>
      </c>
      <c r="D2320" s="3" t="n">
        <v>26</v>
      </c>
      <c r="E2320" s="3" t="n">
        <v>22</v>
      </c>
      <c r="F2320" s="24" t="n">
        <v>-0.0777726099</v>
      </c>
    </row>
    <row r="2321" customFormat="false" ht="15" hidden="false" customHeight="false" outlineLevel="0" collapsed="false">
      <c r="A2321" s="3" t="n">
        <v>2320</v>
      </c>
      <c r="B2321" s="3" t="n">
        <v>2319</v>
      </c>
      <c r="C2321" s="3" t="n">
        <v>2</v>
      </c>
      <c r="D2321" s="3" t="n">
        <v>26</v>
      </c>
      <c r="E2321" s="3" t="n">
        <v>23</v>
      </c>
      <c r="F2321" s="24" t="n">
        <v>-0.0777726099</v>
      </c>
    </row>
    <row r="2322" customFormat="false" ht="15" hidden="false" customHeight="false" outlineLevel="0" collapsed="false">
      <c r="A2322" s="3" t="n">
        <v>2321</v>
      </c>
      <c r="B2322" s="3" t="n">
        <v>2320</v>
      </c>
      <c r="C2322" s="3" t="n">
        <v>2</v>
      </c>
      <c r="D2322" s="3" t="n">
        <v>26</v>
      </c>
      <c r="E2322" s="3" t="n">
        <v>24</v>
      </c>
      <c r="F2322" s="24" t="n">
        <v>-0.0777726099</v>
      </c>
    </row>
    <row r="2323" customFormat="false" ht="15" hidden="false" customHeight="false" outlineLevel="0" collapsed="false">
      <c r="A2323" s="3" t="n">
        <v>2322</v>
      </c>
      <c r="B2323" s="3" t="n">
        <v>2321</v>
      </c>
      <c r="C2323" s="3" t="n">
        <v>2</v>
      </c>
      <c r="D2323" s="3" t="n">
        <v>26</v>
      </c>
      <c r="E2323" s="3" t="n">
        <v>25</v>
      </c>
      <c r="F2323" s="24" t="n">
        <v>-0.0777726099</v>
      </c>
    </row>
    <row r="2324" customFormat="false" ht="15" hidden="false" customHeight="false" outlineLevel="0" collapsed="false">
      <c r="A2324" s="3" t="n">
        <v>2323</v>
      </c>
      <c r="B2324" s="3" t="n">
        <v>2322</v>
      </c>
      <c r="C2324" s="3" t="n">
        <v>2</v>
      </c>
      <c r="D2324" s="3" t="n">
        <v>26</v>
      </c>
      <c r="E2324" s="3" t="n">
        <v>26</v>
      </c>
      <c r="F2324" s="24" t="n">
        <v>-0.0777726099</v>
      </c>
    </row>
    <row r="2325" customFormat="false" ht="15" hidden="false" customHeight="false" outlineLevel="0" collapsed="false">
      <c r="A2325" s="3" t="n">
        <v>2324</v>
      </c>
      <c r="B2325" s="3" t="n">
        <v>2323</v>
      </c>
      <c r="C2325" s="3" t="n">
        <v>2</v>
      </c>
      <c r="D2325" s="3" t="n">
        <v>26</v>
      </c>
      <c r="E2325" s="3" t="n">
        <v>27</v>
      </c>
      <c r="F2325" s="24" t="n">
        <v>0.387737483</v>
      </c>
    </row>
    <row r="2326" customFormat="false" ht="15" hidden="false" customHeight="false" outlineLevel="0" collapsed="false">
      <c r="A2326" s="3" t="n">
        <v>2325</v>
      </c>
      <c r="B2326" s="3" t="n">
        <v>2324</v>
      </c>
      <c r="C2326" s="3" t="n">
        <v>2</v>
      </c>
      <c r="D2326" s="3" t="n">
        <v>27</v>
      </c>
      <c r="E2326" s="3" t="n">
        <v>0</v>
      </c>
      <c r="F2326" s="24" t="n">
        <v>-0.488622159</v>
      </c>
    </row>
    <row r="2327" customFormat="false" ht="15" hidden="false" customHeight="false" outlineLevel="0" collapsed="false">
      <c r="A2327" s="3" t="n">
        <v>2326</v>
      </c>
      <c r="B2327" s="3" t="n">
        <v>2325</v>
      </c>
      <c r="C2327" s="3" t="n">
        <v>2</v>
      </c>
      <c r="D2327" s="3" t="n">
        <v>27</v>
      </c>
      <c r="E2327" s="3" t="n">
        <v>1</v>
      </c>
      <c r="F2327" s="24" t="n">
        <v>-0.0358352959</v>
      </c>
    </row>
    <row r="2328" customFormat="false" ht="15" hidden="false" customHeight="false" outlineLevel="0" collapsed="false">
      <c r="A2328" s="3" t="n">
        <v>2327</v>
      </c>
      <c r="B2328" s="3" t="n">
        <v>2326</v>
      </c>
      <c r="C2328" s="3" t="n">
        <v>2</v>
      </c>
      <c r="D2328" s="3" t="n">
        <v>27</v>
      </c>
      <c r="E2328" s="3" t="n">
        <v>2</v>
      </c>
      <c r="F2328" s="24" t="n">
        <v>-0.0358352959</v>
      </c>
    </row>
    <row r="2329" customFormat="false" ht="15" hidden="false" customHeight="false" outlineLevel="0" collapsed="false">
      <c r="A2329" s="3" t="n">
        <v>2328</v>
      </c>
      <c r="B2329" s="3" t="n">
        <v>2327</v>
      </c>
      <c r="C2329" s="3" t="n">
        <v>2</v>
      </c>
      <c r="D2329" s="3" t="n">
        <v>27</v>
      </c>
      <c r="E2329" s="3" t="n">
        <v>3</v>
      </c>
      <c r="F2329" s="24" t="n">
        <v>-0.0358352959</v>
      </c>
    </row>
    <row r="2330" customFormat="false" ht="15" hidden="false" customHeight="false" outlineLevel="0" collapsed="false">
      <c r="A2330" s="3" t="n">
        <v>2329</v>
      </c>
      <c r="B2330" s="3" t="n">
        <v>2328</v>
      </c>
      <c r="C2330" s="3" t="n">
        <v>2</v>
      </c>
      <c r="D2330" s="3" t="n">
        <v>27</v>
      </c>
      <c r="E2330" s="3" t="n">
        <v>4</v>
      </c>
      <c r="F2330" s="24" t="n">
        <v>-0.0358352959</v>
      </c>
    </row>
    <row r="2331" customFormat="false" ht="15" hidden="false" customHeight="false" outlineLevel="0" collapsed="false">
      <c r="A2331" s="3" t="n">
        <v>2330</v>
      </c>
      <c r="B2331" s="3" t="n">
        <v>2329</v>
      </c>
      <c r="C2331" s="3" t="n">
        <v>2</v>
      </c>
      <c r="D2331" s="3" t="n">
        <v>27</v>
      </c>
      <c r="E2331" s="3" t="n">
        <v>5</v>
      </c>
      <c r="F2331" s="24" t="n">
        <v>-0.0358352959</v>
      </c>
    </row>
    <row r="2332" customFormat="false" ht="15" hidden="false" customHeight="false" outlineLevel="0" collapsed="false">
      <c r="A2332" s="3" t="n">
        <v>2331</v>
      </c>
      <c r="B2332" s="3" t="n">
        <v>2330</v>
      </c>
      <c r="C2332" s="3" t="n">
        <v>2</v>
      </c>
      <c r="D2332" s="3" t="n">
        <v>27</v>
      </c>
      <c r="E2332" s="3" t="n">
        <v>6</v>
      </c>
      <c r="F2332" s="24" t="n">
        <v>-0.0358352959</v>
      </c>
    </row>
    <row r="2333" customFormat="false" ht="15" hidden="false" customHeight="false" outlineLevel="0" collapsed="false">
      <c r="A2333" s="3" t="n">
        <v>2332</v>
      </c>
      <c r="B2333" s="3" t="n">
        <v>2331</v>
      </c>
      <c r="C2333" s="3" t="n">
        <v>2</v>
      </c>
      <c r="D2333" s="3" t="n">
        <v>27</v>
      </c>
      <c r="E2333" s="3" t="n">
        <v>7</v>
      </c>
      <c r="F2333" s="24" t="n">
        <v>-0.0358352959</v>
      </c>
    </row>
    <row r="2334" customFormat="false" ht="15" hidden="false" customHeight="false" outlineLevel="0" collapsed="false">
      <c r="A2334" s="3" t="n">
        <v>2333</v>
      </c>
      <c r="B2334" s="3" t="n">
        <v>2332</v>
      </c>
      <c r="C2334" s="3" t="n">
        <v>2</v>
      </c>
      <c r="D2334" s="3" t="n">
        <v>27</v>
      </c>
      <c r="E2334" s="3" t="n">
        <v>8</v>
      </c>
      <c r="F2334" s="24" t="n">
        <v>-0.0358352959</v>
      </c>
    </row>
    <row r="2335" customFormat="false" ht="15" hidden="false" customHeight="false" outlineLevel="0" collapsed="false">
      <c r="A2335" s="3" t="n">
        <v>2334</v>
      </c>
      <c r="B2335" s="3" t="n">
        <v>2333</v>
      </c>
      <c r="C2335" s="3" t="n">
        <v>2</v>
      </c>
      <c r="D2335" s="3" t="n">
        <v>27</v>
      </c>
      <c r="E2335" s="3" t="n">
        <v>9</v>
      </c>
      <c r="F2335" s="24" t="n">
        <v>0.225861043</v>
      </c>
    </row>
    <row r="2336" customFormat="false" ht="15" hidden="false" customHeight="false" outlineLevel="0" collapsed="false">
      <c r="A2336" s="3" t="n">
        <v>2335</v>
      </c>
      <c r="B2336" s="3" t="n">
        <v>2334</v>
      </c>
      <c r="C2336" s="3" t="n">
        <v>2</v>
      </c>
      <c r="D2336" s="3" t="n">
        <v>27</v>
      </c>
      <c r="E2336" s="3" t="n">
        <v>10</v>
      </c>
      <c r="F2336" s="24" t="n">
        <v>0.546996474</v>
      </c>
    </row>
    <row r="2337" customFormat="false" ht="15" hidden="false" customHeight="false" outlineLevel="0" collapsed="false">
      <c r="A2337" s="3" t="n">
        <v>2336</v>
      </c>
      <c r="B2337" s="3" t="n">
        <v>2335</v>
      </c>
      <c r="C2337" s="3" t="n">
        <v>2</v>
      </c>
      <c r="D2337" s="3" t="n">
        <v>27</v>
      </c>
      <c r="E2337" s="3" t="n">
        <v>11</v>
      </c>
      <c r="F2337" s="24" t="n">
        <v>-0.209641665</v>
      </c>
    </row>
    <row r="2338" customFormat="false" ht="15" hidden="false" customHeight="false" outlineLevel="0" collapsed="false">
      <c r="A2338" s="3" t="n">
        <v>2337</v>
      </c>
      <c r="B2338" s="3" t="n">
        <v>2336</v>
      </c>
      <c r="C2338" s="3" t="n">
        <v>2</v>
      </c>
      <c r="D2338" s="3" t="n">
        <v>27</v>
      </c>
      <c r="E2338" s="3" t="n">
        <v>12</v>
      </c>
      <c r="F2338" s="24" t="n">
        <v>-1.39181578</v>
      </c>
    </row>
    <row r="2339" customFormat="false" ht="15" hidden="false" customHeight="false" outlineLevel="0" collapsed="false">
      <c r="A2339" s="3" t="n">
        <v>2338</v>
      </c>
      <c r="B2339" s="3" t="n">
        <v>2337</v>
      </c>
      <c r="C2339" s="3" t="n">
        <v>2</v>
      </c>
      <c r="D2339" s="3" t="n">
        <v>27</v>
      </c>
      <c r="E2339" s="3" t="n">
        <v>13</v>
      </c>
      <c r="F2339" s="24" t="n">
        <v>-1.2143364</v>
      </c>
    </row>
    <row r="2340" customFormat="false" ht="15" hidden="false" customHeight="false" outlineLevel="0" collapsed="false">
      <c r="A2340" s="3" t="n">
        <v>2339</v>
      </c>
      <c r="B2340" s="3" t="n">
        <v>2338</v>
      </c>
      <c r="C2340" s="3" t="n">
        <v>2</v>
      </c>
      <c r="D2340" s="3" t="n">
        <v>27</v>
      </c>
      <c r="E2340" s="3" t="n">
        <v>14</v>
      </c>
      <c r="F2340" s="24" t="n">
        <v>-0.138746798</v>
      </c>
    </row>
    <row r="2341" customFormat="false" ht="15" hidden="false" customHeight="false" outlineLevel="0" collapsed="false">
      <c r="A2341" s="3" t="n">
        <v>2340</v>
      </c>
      <c r="B2341" s="3" t="n">
        <v>2339</v>
      </c>
      <c r="C2341" s="3" t="n">
        <v>2</v>
      </c>
      <c r="D2341" s="3" t="n">
        <v>27</v>
      </c>
      <c r="E2341" s="3" t="n">
        <v>15</v>
      </c>
      <c r="F2341" s="24" t="n">
        <v>-0.0358352959</v>
      </c>
    </row>
    <row r="2342" customFormat="false" ht="15" hidden="false" customHeight="false" outlineLevel="0" collapsed="false">
      <c r="A2342" s="3" t="n">
        <v>2341</v>
      </c>
      <c r="B2342" s="3" t="n">
        <v>2340</v>
      </c>
      <c r="C2342" s="3" t="n">
        <v>2</v>
      </c>
      <c r="D2342" s="3" t="n">
        <v>27</v>
      </c>
      <c r="E2342" s="3" t="n">
        <v>16</v>
      </c>
      <c r="F2342" s="24" t="n">
        <v>-0.0358352959</v>
      </c>
    </row>
    <row r="2343" customFormat="false" ht="15" hidden="false" customHeight="false" outlineLevel="0" collapsed="false">
      <c r="A2343" s="3" t="n">
        <v>2342</v>
      </c>
      <c r="B2343" s="3" t="n">
        <v>2341</v>
      </c>
      <c r="C2343" s="3" t="n">
        <v>2</v>
      </c>
      <c r="D2343" s="3" t="n">
        <v>27</v>
      </c>
      <c r="E2343" s="3" t="n">
        <v>17</v>
      </c>
      <c r="F2343" s="24" t="n">
        <v>-0.0358352959</v>
      </c>
    </row>
    <row r="2344" customFormat="false" ht="15" hidden="false" customHeight="false" outlineLevel="0" collapsed="false">
      <c r="A2344" s="3" t="n">
        <v>2343</v>
      </c>
      <c r="B2344" s="3" t="n">
        <v>2342</v>
      </c>
      <c r="C2344" s="3" t="n">
        <v>2</v>
      </c>
      <c r="D2344" s="3" t="n">
        <v>27</v>
      </c>
      <c r="E2344" s="3" t="n">
        <v>18</v>
      </c>
      <c r="F2344" s="24" t="n">
        <v>-0.0358352959</v>
      </c>
    </row>
    <row r="2345" customFormat="false" ht="15" hidden="false" customHeight="false" outlineLevel="0" collapsed="false">
      <c r="A2345" s="3" t="n">
        <v>2344</v>
      </c>
      <c r="B2345" s="3" t="n">
        <v>2343</v>
      </c>
      <c r="C2345" s="3" t="n">
        <v>2</v>
      </c>
      <c r="D2345" s="3" t="n">
        <v>27</v>
      </c>
      <c r="E2345" s="3" t="n">
        <v>19</v>
      </c>
      <c r="F2345" s="24" t="n">
        <v>-0.0358352959</v>
      </c>
    </row>
    <row r="2346" customFormat="false" ht="15" hidden="false" customHeight="false" outlineLevel="0" collapsed="false">
      <c r="A2346" s="3" t="n">
        <v>2345</v>
      </c>
      <c r="B2346" s="3" t="n">
        <v>2344</v>
      </c>
      <c r="C2346" s="3" t="n">
        <v>2</v>
      </c>
      <c r="D2346" s="3" t="n">
        <v>27</v>
      </c>
      <c r="E2346" s="3" t="n">
        <v>20</v>
      </c>
      <c r="F2346" s="24" t="n">
        <v>-0.0358352959</v>
      </c>
    </row>
    <row r="2347" customFormat="false" ht="15" hidden="false" customHeight="false" outlineLevel="0" collapsed="false">
      <c r="A2347" s="3" t="n">
        <v>2346</v>
      </c>
      <c r="B2347" s="3" t="n">
        <v>2345</v>
      </c>
      <c r="C2347" s="3" t="n">
        <v>2</v>
      </c>
      <c r="D2347" s="3" t="n">
        <v>27</v>
      </c>
      <c r="E2347" s="3" t="n">
        <v>21</v>
      </c>
      <c r="F2347" s="24" t="n">
        <v>-0.0358352959</v>
      </c>
    </row>
    <row r="2348" customFormat="false" ht="15" hidden="false" customHeight="false" outlineLevel="0" collapsed="false">
      <c r="A2348" s="3" t="n">
        <v>2347</v>
      </c>
      <c r="B2348" s="3" t="n">
        <v>2346</v>
      </c>
      <c r="C2348" s="3" t="n">
        <v>2</v>
      </c>
      <c r="D2348" s="3" t="n">
        <v>27</v>
      </c>
      <c r="E2348" s="3" t="n">
        <v>22</v>
      </c>
      <c r="F2348" s="24" t="n">
        <v>-0.0358352959</v>
      </c>
    </row>
    <row r="2349" customFormat="false" ht="15" hidden="false" customHeight="false" outlineLevel="0" collapsed="false">
      <c r="A2349" s="3" t="n">
        <v>2348</v>
      </c>
      <c r="B2349" s="3" t="n">
        <v>2347</v>
      </c>
      <c r="C2349" s="3" t="n">
        <v>2</v>
      </c>
      <c r="D2349" s="3" t="n">
        <v>27</v>
      </c>
      <c r="E2349" s="3" t="n">
        <v>23</v>
      </c>
      <c r="F2349" s="24" t="n">
        <v>-0.0358352959</v>
      </c>
    </row>
    <row r="2350" customFormat="false" ht="15" hidden="false" customHeight="false" outlineLevel="0" collapsed="false">
      <c r="A2350" s="3" t="n">
        <v>2349</v>
      </c>
      <c r="B2350" s="3" t="n">
        <v>2348</v>
      </c>
      <c r="C2350" s="3" t="n">
        <v>2</v>
      </c>
      <c r="D2350" s="3" t="n">
        <v>27</v>
      </c>
      <c r="E2350" s="3" t="n">
        <v>24</v>
      </c>
      <c r="F2350" s="24" t="n">
        <v>-0.0358352959</v>
      </c>
    </row>
    <row r="2351" customFormat="false" ht="15" hidden="false" customHeight="false" outlineLevel="0" collapsed="false">
      <c r="A2351" s="3" t="n">
        <v>2350</v>
      </c>
      <c r="B2351" s="3" t="n">
        <v>2349</v>
      </c>
      <c r="C2351" s="3" t="n">
        <v>2</v>
      </c>
      <c r="D2351" s="3" t="n">
        <v>27</v>
      </c>
      <c r="E2351" s="3" t="n">
        <v>25</v>
      </c>
      <c r="F2351" s="24" t="n">
        <v>-0.0358352959</v>
      </c>
    </row>
    <row r="2352" customFormat="false" ht="15" hidden="false" customHeight="false" outlineLevel="0" collapsed="false">
      <c r="A2352" s="3" t="n">
        <v>2351</v>
      </c>
      <c r="B2352" s="3" t="n">
        <v>2350</v>
      </c>
      <c r="C2352" s="3" t="n">
        <v>2</v>
      </c>
      <c r="D2352" s="3" t="n">
        <v>27</v>
      </c>
      <c r="E2352" s="3" t="n">
        <v>26</v>
      </c>
      <c r="F2352" s="24" t="n">
        <v>-0.0358352959</v>
      </c>
    </row>
    <row r="2353" customFormat="false" ht="15" hidden="false" customHeight="false" outlineLevel="0" collapsed="false">
      <c r="A2353" s="3" t="n">
        <v>2352</v>
      </c>
      <c r="B2353" s="3" t="n">
        <v>2351</v>
      </c>
      <c r="C2353" s="3" t="n">
        <v>2</v>
      </c>
      <c r="D2353" s="3" t="n">
        <v>27</v>
      </c>
      <c r="E2353" s="3" t="n">
        <v>27</v>
      </c>
      <c r="F2353" s="24" t="n">
        <v>0.29135415</v>
      </c>
    </row>
    <row r="2354" customFormat="false" ht="15" hidden="false" customHeight="false" outlineLevel="0" collapsed="false">
      <c r="A2354" s="3" t="n">
        <v>2353</v>
      </c>
      <c r="B2354" s="3" t="n">
        <v>2352</v>
      </c>
      <c r="C2354" s="3" t="n">
        <v>3</v>
      </c>
      <c r="D2354" s="3" t="n">
        <v>0</v>
      </c>
      <c r="E2354" s="3" t="n">
        <v>0</v>
      </c>
      <c r="F2354" s="24" t="n">
        <v>-0.501264274</v>
      </c>
    </row>
    <row r="2355" customFormat="false" ht="15" hidden="false" customHeight="false" outlineLevel="0" collapsed="false">
      <c r="A2355" s="3" t="n">
        <v>2354</v>
      </c>
      <c r="B2355" s="3" t="n">
        <v>2353</v>
      </c>
      <c r="C2355" s="3" t="n">
        <v>3</v>
      </c>
      <c r="D2355" s="3" t="n">
        <v>0</v>
      </c>
      <c r="E2355" s="3" t="n">
        <v>1</v>
      </c>
      <c r="F2355" s="24" t="n">
        <v>-0.794783831</v>
      </c>
    </row>
    <row r="2356" customFormat="false" ht="15" hidden="false" customHeight="false" outlineLevel="0" collapsed="false">
      <c r="A2356" s="3" t="n">
        <v>2355</v>
      </c>
      <c r="B2356" s="3" t="n">
        <v>2354</v>
      </c>
      <c r="C2356" s="3" t="n">
        <v>3</v>
      </c>
      <c r="D2356" s="3" t="n">
        <v>0</v>
      </c>
      <c r="E2356" s="3" t="n">
        <v>2</v>
      </c>
      <c r="F2356" s="24" t="n">
        <v>-0.794783831</v>
      </c>
    </row>
    <row r="2357" customFormat="false" ht="15" hidden="false" customHeight="false" outlineLevel="0" collapsed="false">
      <c r="A2357" s="3" t="n">
        <v>2356</v>
      </c>
      <c r="B2357" s="3" t="n">
        <v>2355</v>
      </c>
      <c r="C2357" s="3" t="n">
        <v>3</v>
      </c>
      <c r="D2357" s="3" t="n">
        <v>0</v>
      </c>
      <c r="E2357" s="3" t="n">
        <v>3</v>
      </c>
      <c r="F2357" s="24" t="n">
        <v>-0.794783831</v>
      </c>
    </row>
    <row r="2358" customFormat="false" ht="15" hidden="false" customHeight="false" outlineLevel="0" collapsed="false">
      <c r="A2358" s="3" t="n">
        <v>2357</v>
      </c>
      <c r="B2358" s="3" t="n">
        <v>2356</v>
      </c>
      <c r="C2358" s="3" t="n">
        <v>3</v>
      </c>
      <c r="D2358" s="3" t="n">
        <v>0</v>
      </c>
      <c r="E2358" s="3" t="n">
        <v>4</v>
      </c>
      <c r="F2358" s="24" t="n">
        <v>-0.794783831</v>
      </c>
    </row>
    <row r="2359" customFormat="false" ht="15" hidden="false" customHeight="false" outlineLevel="0" collapsed="false">
      <c r="A2359" s="3" t="n">
        <v>2358</v>
      </c>
      <c r="B2359" s="3" t="n">
        <v>2357</v>
      </c>
      <c r="C2359" s="3" t="n">
        <v>3</v>
      </c>
      <c r="D2359" s="3" t="n">
        <v>0</v>
      </c>
      <c r="E2359" s="3" t="n">
        <v>5</v>
      </c>
      <c r="F2359" s="24" t="n">
        <v>-0.794783831</v>
      </c>
    </row>
    <row r="2360" customFormat="false" ht="15" hidden="false" customHeight="false" outlineLevel="0" collapsed="false">
      <c r="A2360" s="3" t="n">
        <v>2359</v>
      </c>
      <c r="B2360" s="3" t="n">
        <v>2358</v>
      </c>
      <c r="C2360" s="3" t="n">
        <v>3</v>
      </c>
      <c r="D2360" s="3" t="n">
        <v>0</v>
      </c>
      <c r="E2360" s="3" t="n">
        <v>6</v>
      </c>
      <c r="F2360" s="24" t="n">
        <v>-0.794783831</v>
      </c>
    </row>
    <row r="2361" customFormat="false" ht="15" hidden="false" customHeight="false" outlineLevel="0" collapsed="false">
      <c r="A2361" s="3" t="n">
        <v>2360</v>
      </c>
      <c r="B2361" s="3" t="n">
        <v>2359</v>
      </c>
      <c r="C2361" s="3" t="n">
        <v>3</v>
      </c>
      <c r="D2361" s="3" t="n">
        <v>0</v>
      </c>
      <c r="E2361" s="3" t="n">
        <v>7</v>
      </c>
      <c r="F2361" s="24" t="n">
        <v>-0.794783831</v>
      </c>
    </row>
    <row r="2362" customFormat="false" ht="15" hidden="false" customHeight="false" outlineLevel="0" collapsed="false">
      <c r="A2362" s="3" t="n">
        <v>2361</v>
      </c>
      <c r="B2362" s="3" t="n">
        <v>2360</v>
      </c>
      <c r="C2362" s="3" t="n">
        <v>3</v>
      </c>
      <c r="D2362" s="3" t="n">
        <v>0</v>
      </c>
      <c r="E2362" s="3" t="n">
        <v>8</v>
      </c>
      <c r="F2362" s="24" t="n">
        <v>-0.794783831</v>
      </c>
    </row>
    <row r="2363" customFormat="false" ht="15" hidden="false" customHeight="false" outlineLevel="0" collapsed="false">
      <c r="A2363" s="3" t="n">
        <v>2362</v>
      </c>
      <c r="B2363" s="3" t="n">
        <v>2361</v>
      </c>
      <c r="C2363" s="3" t="n">
        <v>3</v>
      </c>
      <c r="D2363" s="3" t="n">
        <v>0</v>
      </c>
      <c r="E2363" s="3" t="n">
        <v>9</v>
      </c>
      <c r="F2363" s="24" t="n">
        <v>-0.794783831</v>
      </c>
    </row>
    <row r="2364" customFormat="false" ht="15" hidden="false" customHeight="false" outlineLevel="0" collapsed="false">
      <c r="A2364" s="3" t="n">
        <v>2363</v>
      </c>
      <c r="B2364" s="3" t="n">
        <v>2362</v>
      </c>
      <c r="C2364" s="3" t="n">
        <v>3</v>
      </c>
      <c r="D2364" s="3" t="n">
        <v>0</v>
      </c>
      <c r="E2364" s="3" t="n">
        <v>10</v>
      </c>
      <c r="F2364" s="24" t="n">
        <v>-0.794783831</v>
      </c>
    </row>
    <row r="2365" customFormat="false" ht="15" hidden="false" customHeight="false" outlineLevel="0" collapsed="false">
      <c r="A2365" s="3" t="n">
        <v>2364</v>
      </c>
      <c r="B2365" s="3" t="n">
        <v>2363</v>
      </c>
      <c r="C2365" s="3" t="n">
        <v>3</v>
      </c>
      <c r="D2365" s="3" t="n">
        <v>0</v>
      </c>
      <c r="E2365" s="3" t="n">
        <v>11</v>
      </c>
      <c r="F2365" s="24" t="n">
        <v>-0.794783831</v>
      </c>
    </row>
    <row r="2366" customFormat="false" ht="15" hidden="false" customHeight="false" outlineLevel="0" collapsed="false">
      <c r="A2366" s="3" t="n">
        <v>2365</v>
      </c>
      <c r="B2366" s="3" t="n">
        <v>2364</v>
      </c>
      <c r="C2366" s="3" t="n">
        <v>3</v>
      </c>
      <c r="D2366" s="3" t="n">
        <v>0</v>
      </c>
      <c r="E2366" s="3" t="n">
        <v>12</v>
      </c>
      <c r="F2366" s="24" t="n">
        <v>-0.794783831</v>
      </c>
    </row>
    <row r="2367" customFormat="false" ht="15" hidden="false" customHeight="false" outlineLevel="0" collapsed="false">
      <c r="A2367" s="3" t="n">
        <v>2366</v>
      </c>
      <c r="B2367" s="3" t="n">
        <v>2365</v>
      </c>
      <c r="C2367" s="3" t="n">
        <v>3</v>
      </c>
      <c r="D2367" s="3" t="n">
        <v>0</v>
      </c>
      <c r="E2367" s="3" t="n">
        <v>13</v>
      </c>
      <c r="F2367" s="24" t="n">
        <v>-0.794783831</v>
      </c>
    </row>
    <row r="2368" customFormat="false" ht="15" hidden="false" customHeight="false" outlineLevel="0" collapsed="false">
      <c r="A2368" s="3" t="n">
        <v>2367</v>
      </c>
      <c r="B2368" s="3" t="n">
        <v>2366</v>
      </c>
      <c r="C2368" s="3" t="n">
        <v>3</v>
      </c>
      <c r="D2368" s="3" t="n">
        <v>0</v>
      </c>
      <c r="E2368" s="3" t="n">
        <v>14</v>
      </c>
      <c r="F2368" s="24" t="n">
        <v>-0.794783831</v>
      </c>
    </row>
    <row r="2369" customFormat="false" ht="15" hidden="false" customHeight="false" outlineLevel="0" collapsed="false">
      <c r="A2369" s="3" t="n">
        <v>2368</v>
      </c>
      <c r="B2369" s="3" t="n">
        <v>2367</v>
      </c>
      <c r="C2369" s="3" t="n">
        <v>3</v>
      </c>
      <c r="D2369" s="3" t="n">
        <v>0</v>
      </c>
      <c r="E2369" s="3" t="n">
        <v>15</v>
      </c>
      <c r="F2369" s="24" t="n">
        <v>-0.794783831</v>
      </c>
    </row>
    <row r="2370" customFormat="false" ht="15" hidden="false" customHeight="false" outlineLevel="0" collapsed="false">
      <c r="A2370" s="3" t="n">
        <v>2369</v>
      </c>
      <c r="B2370" s="3" t="n">
        <v>2368</v>
      </c>
      <c r="C2370" s="3" t="n">
        <v>3</v>
      </c>
      <c r="D2370" s="3" t="n">
        <v>0</v>
      </c>
      <c r="E2370" s="3" t="n">
        <v>16</v>
      </c>
      <c r="F2370" s="24" t="n">
        <v>-0.794783831</v>
      </c>
    </row>
    <row r="2371" customFormat="false" ht="15" hidden="false" customHeight="false" outlineLevel="0" collapsed="false">
      <c r="A2371" s="3" t="n">
        <v>2370</v>
      </c>
      <c r="B2371" s="3" t="n">
        <v>2369</v>
      </c>
      <c r="C2371" s="3" t="n">
        <v>3</v>
      </c>
      <c r="D2371" s="3" t="n">
        <v>0</v>
      </c>
      <c r="E2371" s="3" t="n">
        <v>17</v>
      </c>
      <c r="F2371" s="24" t="n">
        <v>-0.794783831</v>
      </c>
    </row>
    <row r="2372" customFormat="false" ht="15" hidden="false" customHeight="false" outlineLevel="0" collapsed="false">
      <c r="A2372" s="3" t="n">
        <v>2371</v>
      </c>
      <c r="B2372" s="3" t="n">
        <v>2370</v>
      </c>
      <c r="C2372" s="3" t="n">
        <v>3</v>
      </c>
      <c r="D2372" s="3" t="n">
        <v>0</v>
      </c>
      <c r="E2372" s="3" t="n">
        <v>18</v>
      </c>
      <c r="F2372" s="24" t="n">
        <v>-0.794783831</v>
      </c>
    </row>
    <row r="2373" customFormat="false" ht="15" hidden="false" customHeight="false" outlineLevel="0" collapsed="false">
      <c r="A2373" s="3" t="n">
        <v>2372</v>
      </c>
      <c r="B2373" s="3" t="n">
        <v>2371</v>
      </c>
      <c r="C2373" s="3" t="n">
        <v>3</v>
      </c>
      <c r="D2373" s="3" t="n">
        <v>0</v>
      </c>
      <c r="E2373" s="3" t="n">
        <v>19</v>
      </c>
      <c r="F2373" s="24" t="n">
        <v>-0.794783831</v>
      </c>
    </row>
    <row r="2374" customFormat="false" ht="15" hidden="false" customHeight="false" outlineLevel="0" collapsed="false">
      <c r="A2374" s="3" t="n">
        <v>2373</v>
      </c>
      <c r="B2374" s="3" t="n">
        <v>2372</v>
      </c>
      <c r="C2374" s="3" t="n">
        <v>3</v>
      </c>
      <c r="D2374" s="3" t="n">
        <v>0</v>
      </c>
      <c r="E2374" s="3" t="n">
        <v>20</v>
      </c>
      <c r="F2374" s="24" t="n">
        <v>-0.794783831</v>
      </c>
    </row>
    <row r="2375" customFormat="false" ht="15" hidden="false" customHeight="false" outlineLevel="0" collapsed="false">
      <c r="A2375" s="3" t="n">
        <v>2374</v>
      </c>
      <c r="B2375" s="3" t="n">
        <v>2373</v>
      </c>
      <c r="C2375" s="3" t="n">
        <v>3</v>
      </c>
      <c r="D2375" s="3" t="n">
        <v>0</v>
      </c>
      <c r="E2375" s="3" t="n">
        <v>21</v>
      </c>
      <c r="F2375" s="24" t="n">
        <v>-0.794783831</v>
      </c>
    </row>
    <row r="2376" customFormat="false" ht="15" hidden="false" customHeight="false" outlineLevel="0" collapsed="false">
      <c r="A2376" s="3" t="n">
        <v>2375</v>
      </c>
      <c r="B2376" s="3" t="n">
        <v>2374</v>
      </c>
      <c r="C2376" s="3" t="n">
        <v>3</v>
      </c>
      <c r="D2376" s="3" t="n">
        <v>0</v>
      </c>
      <c r="E2376" s="3" t="n">
        <v>22</v>
      </c>
      <c r="F2376" s="24" t="n">
        <v>-0.794783831</v>
      </c>
    </row>
    <row r="2377" customFormat="false" ht="15" hidden="false" customHeight="false" outlineLevel="0" collapsed="false">
      <c r="A2377" s="3" t="n">
        <v>2376</v>
      </c>
      <c r="B2377" s="3" t="n">
        <v>2375</v>
      </c>
      <c r="C2377" s="3" t="n">
        <v>3</v>
      </c>
      <c r="D2377" s="3" t="n">
        <v>0</v>
      </c>
      <c r="E2377" s="3" t="n">
        <v>23</v>
      </c>
      <c r="F2377" s="24" t="n">
        <v>-0.794783831</v>
      </c>
    </row>
    <row r="2378" customFormat="false" ht="15" hidden="false" customHeight="false" outlineLevel="0" collapsed="false">
      <c r="A2378" s="3" t="n">
        <v>2377</v>
      </c>
      <c r="B2378" s="3" t="n">
        <v>2376</v>
      </c>
      <c r="C2378" s="3" t="n">
        <v>3</v>
      </c>
      <c r="D2378" s="3" t="n">
        <v>0</v>
      </c>
      <c r="E2378" s="3" t="n">
        <v>24</v>
      </c>
      <c r="F2378" s="24" t="n">
        <v>-0.794783831</v>
      </c>
    </row>
    <row r="2379" customFormat="false" ht="15" hidden="false" customHeight="false" outlineLevel="0" collapsed="false">
      <c r="A2379" s="3" t="n">
        <v>2378</v>
      </c>
      <c r="B2379" s="3" t="n">
        <v>2377</v>
      </c>
      <c r="C2379" s="3" t="n">
        <v>3</v>
      </c>
      <c r="D2379" s="3" t="n">
        <v>0</v>
      </c>
      <c r="E2379" s="3" t="n">
        <v>25</v>
      </c>
      <c r="F2379" s="24" t="n">
        <v>-0.794783831</v>
      </c>
    </row>
    <row r="2380" customFormat="false" ht="15" hidden="false" customHeight="false" outlineLevel="0" collapsed="false">
      <c r="A2380" s="3" t="n">
        <v>2379</v>
      </c>
      <c r="B2380" s="3" t="n">
        <v>2378</v>
      </c>
      <c r="C2380" s="3" t="n">
        <v>3</v>
      </c>
      <c r="D2380" s="3" t="n">
        <v>0</v>
      </c>
      <c r="E2380" s="3" t="n">
        <v>26</v>
      </c>
      <c r="F2380" s="24" t="n">
        <v>-0.794783831</v>
      </c>
    </row>
    <row r="2381" customFormat="false" ht="15" hidden="false" customHeight="false" outlineLevel="0" collapsed="false">
      <c r="A2381" s="3" t="n">
        <v>2380</v>
      </c>
      <c r="B2381" s="3" t="n">
        <v>2379</v>
      </c>
      <c r="C2381" s="3" t="n">
        <v>3</v>
      </c>
      <c r="D2381" s="3" t="n">
        <v>0</v>
      </c>
      <c r="E2381" s="3" t="n">
        <v>27</v>
      </c>
      <c r="F2381" s="24" t="n">
        <v>-0.442786962</v>
      </c>
    </row>
    <row r="2382" customFormat="false" ht="15" hidden="false" customHeight="false" outlineLevel="0" collapsed="false">
      <c r="A2382" s="3" t="n">
        <v>2381</v>
      </c>
      <c r="B2382" s="3" t="n">
        <v>2380</v>
      </c>
      <c r="C2382" s="3" t="n">
        <v>3</v>
      </c>
      <c r="D2382" s="3" t="n">
        <v>1</v>
      </c>
      <c r="E2382" s="3" t="n">
        <v>0</v>
      </c>
      <c r="F2382" s="24" t="n">
        <v>0.0962923914</v>
      </c>
    </row>
    <row r="2383" customFormat="false" ht="15" hidden="false" customHeight="false" outlineLevel="0" collapsed="false">
      <c r="A2383" s="3" t="n">
        <v>2382</v>
      </c>
      <c r="B2383" s="3" t="n">
        <v>2381</v>
      </c>
      <c r="C2383" s="3" t="n">
        <v>3</v>
      </c>
      <c r="D2383" s="3" t="n">
        <v>1</v>
      </c>
      <c r="E2383" s="3" t="n">
        <v>1</v>
      </c>
      <c r="F2383" s="24" t="n">
        <v>-0.0226645079</v>
      </c>
    </row>
    <row r="2384" customFormat="false" ht="15" hidden="false" customHeight="false" outlineLevel="0" collapsed="false">
      <c r="A2384" s="3" t="n">
        <v>2383</v>
      </c>
      <c r="B2384" s="3" t="n">
        <v>2382</v>
      </c>
      <c r="C2384" s="3" t="n">
        <v>3</v>
      </c>
      <c r="D2384" s="3" t="n">
        <v>1</v>
      </c>
      <c r="E2384" s="3" t="n">
        <v>2</v>
      </c>
      <c r="F2384" s="24" t="n">
        <v>-0.0226645079</v>
      </c>
    </row>
    <row r="2385" customFormat="false" ht="15" hidden="false" customHeight="false" outlineLevel="0" collapsed="false">
      <c r="A2385" s="3" t="n">
        <v>2384</v>
      </c>
      <c r="B2385" s="3" t="n">
        <v>2383</v>
      </c>
      <c r="C2385" s="3" t="n">
        <v>3</v>
      </c>
      <c r="D2385" s="3" t="n">
        <v>1</v>
      </c>
      <c r="E2385" s="3" t="n">
        <v>3</v>
      </c>
      <c r="F2385" s="24" t="n">
        <v>-0.0226645079</v>
      </c>
    </row>
    <row r="2386" customFormat="false" ht="15" hidden="false" customHeight="false" outlineLevel="0" collapsed="false">
      <c r="A2386" s="3" t="n">
        <v>2385</v>
      </c>
      <c r="B2386" s="3" t="n">
        <v>2384</v>
      </c>
      <c r="C2386" s="3" t="n">
        <v>3</v>
      </c>
      <c r="D2386" s="3" t="n">
        <v>1</v>
      </c>
      <c r="E2386" s="3" t="n">
        <v>4</v>
      </c>
      <c r="F2386" s="24" t="n">
        <v>-0.0226645079</v>
      </c>
    </row>
    <row r="2387" customFormat="false" ht="15" hidden="false" customHeight="false" outlineLevel="0" collapsed="false">
      <c r="A2387" s="3" t="n">
        <v>2386</v>
      </c>
      <c r="B2387" s="3" t="n">
        <v>2385</v>
      </c>
      <c r="C2387" s="3" t="n">
        <v>3</v>
      </c>
      <c r="D2387" s="3" t="n">
        <v>1</v>
      </c>
      <c r="E2387" s="3" t="n">
        <v>5</v>
      </c>
      <c r="F2387" s="24" t="n">
        <v>-0.0226645079</v>
      </c>
    </row>
    <row r="2388" customFormat="false" ht="15" hidden="false" customHeight="false" outlineLevel="0" collapsed="false">
      <c r="A2388" s="3" t="n">
        <v>2387</v>
      </c>
      <c r="B2388" s="3" t="n">
        <v>2386</v>
      </c>
      <c r="C2388" s="3" t="n">
        <v>3</v>
      </c>
      <c r="D2388" s="3" t="n">
        <v>1</v>
      </c>
      <c r="E2388" s="3" t="n">
        <v>6</v>
      </c>
      <c r="F2388" s="24" t="n">
        <v>-0.0226645079</v>
      </c>
    </row>
    <row r="2389" customFormat="false" ht="15" hidden="false" customHeight="false" outlineLevel="0" collapsed="false">
      <c r="A2389" s="3" t="n">
        <v>2388</v>
      </c>
      <c r="B2389" s="3" t="n">
        <v>2387</v>
      </c>
      <c r="C2389" s="3" t="n">
        <v>3</v>
      </c>
      <c r="D2389" s="3" t="n">
        <v>1</v>
      </c>
      <c r="E2389" s="3" t="n">
        <v>7</v>
      </c>
      <c r="F2389" s="24" t="n">
        <v>-0.0226645079</v>
      </c>
    </row>
    <row r="2390" customFormat="false" ht="15" hidden="false" customHeight="false" outlineLevel="0" collapsed="false">
      <c r="A2390" s="3" t="n">
        <v>2389</v>
      </c>
      <c r="B2390" s="3" t="n">
        <v>2388</v>
      </c>
      <c r="C2390" s="3" t="n">
        <v>3</v>
      </c>
      <c r="D2390" s="3" t="n">
        <v>1</v>
      </c>
      <c r="E2390" s="3" t="n">
        <v>8</v>
      </c>
      <c r="F2390" s="24" t="n">
        <v>-0.0226645079</v>
      </c>
    </row>
    <row r="2391" customFormat="false" ht="15" hidden="false" customHeight="false" outlineLevel="0" collapsed="false">
      <c r="A2391" s="3" t="n">
        <v>2390</v>
      </c>
      <c r="B2391" s="3" t="n">
        <v>2389</v>
      </c>
      <c r="C2391" s="3" t="n">
        <v>3</v>
      </c>
      <c r="D2391" s="3" t="n">
        <v>1</v>
      </c>
      <c r="E2391" s="3" t="n">
        <v>9</v>
      </c>
      <c r="F2391" s="24" t="n">
        <v>-0.0226645079</v>
      </c>
    </row>
    <row r="2392" customFormat="false" ht="15" hidden="false" customHeight="false" outlineLevel="0" collapsed="false">
      <c r="A2392" s="3" t="n">
        <v>2391</v>
      </c>
      <c r="B2392" s="3" t="n">
        <v>2390</v>
      </c>
      <c r="C2392" s="3" t="n">
        <v>3</v>
      </c>
      <c r="D2392" s="3" t="n">
        <v>1</v>
      </c>
      <c r="E2392" s="3" t="n">
        <v>10</v>
      </c>
      <c r="F2392" s="24" t="n">
        <v>-0.0226645079</v>
      </c>
    </row>
    <row r="2393" customFormat="false" ht="15" hidden="false" customHeight="false" outlineLevel="0" collapsed="false">
      <c r="A2393" s="3" t="n">
        <v>2392</v>
      </c>
      <c r="B2393" s="3" t="n">
        <v>2391</v>
      </c>
      <c r="C2393" s="3" t="n">
        <v>3</v>
      </c>
      <c r="D2393" s="3" t="n">
        <v>1</v>
      </c>
      <c r="E2393" s="3" t="n">
        <v>11</v>
      </c>
      <c r="F2393" s="24" t="n">
        <v>-0.0226645079</v>
      </c>
    </row>
    <row r="2394" customFormat="false" ht="15" hidden="false" customHeight="false" outlineLevel="0" collapsed="false">
      <c r="A2394" s="3" t="n">
        <v>2393</v>
      </c>
      <c r="B2394" s="3" t="n">
        <v>2392</v>
      </c>
      <c r="C2394" s="3" t="n">
        <v>3</v>
      </c>
      <c r="D2394" s="3" t="n">
        <v>1</v>
      </c>
      <c r="E2394" s="3" t="n">
        <v>12</v>
      </c>
      <c r="F2394" s="24" t="n">
        <v>-0.0226645079</v>
      </c>
    </row>
    <row r="2395" customFormat="false" ht="15" hidden="false" customHeight="false" outlineLevel="0" collapsed="false">
      <c r="A2395" s="3" t="n">
        <v>2394</v>
      </c>
      <c r="B2395" s="3" t="n">
        <v>2393</v>
      </c>
      <c r="C2395" s="3" t="n">
        <v>3</v>
      </c>
      <c r="D2395" s="3" t="n">
        <v>1</v>
      </c>
      <c r="E2395" s="3" t="n">
        <v>13</v>
      </c>
      <c r="F2395" s="24" t="n">
        <v>-0.0226645079</v>
      </c>
    </row>
    <row r="2396" customFormat="false" ht="15" hidden="false" customHeight="false" outlineLevel="0" collapsed="false">
      <c r="A2396" s="3" t="n">
        <v>2395</v>
      </c>
      <c r="B2396" s="3" t="n">
        <v>2394</v>
      </c>
      <c r="C2396" s="3" t="n">
        <v>3</v>
      </c>
      <c r="D2396" s="3" t="n">
        <v>1</v>
      </c>
      <c r="E2396" s="3" t="n">
        <v>14</v>
      </c>
      <c r="F2396" s="24" t="n">
        <v>-0.0226645079</v>
      </c>
    </row>
    <row r="2397" customFormat="false" ht="15" hidden="false" customHeight="false" outlineLevel="0" collapsed="false">
      <c r="A2397" s="3" t="n">
        <v>2396</v>
      </c>
      <c r="B2397" s="3" t="n">
        <v>2395</v>
      </c>
      <c r="C2397" s="3" t="n">
        <v>3</v>
      </c>
      <c r="D2397" s="3" t="n">
        <v>1</v>
      </c>
      <c r="E2397" s="3" t="n">
        <v>15</v>
      </c>
      <c r="F2397" s="24" t="n">
        <v>-0.0226645079</v>
      </c>
    </row>
    <row r="2398" customFormat="false" ht="15" hidden="false" customHeight="false" outlineLevel="0" collapsed="false">
      <c r="A2398" s="3" t="n">
        <v>2397</v>
      </c>
      <c r="B2398" s="3" t="n">
        <v>2396</v>
      </c>
      <c r="C2398" s="3" t="n">
        <v>3</v>
      </c>
      <c r="D2398" s="3" t="n">
        <v>1</v>
      </c>
      <c r="E2398" s="3" t="n">
        <v>16</v>
      </c>
      <c r="F2398" s="24" t="n">
        <v>-0.0226645079</v>
      </c>
    </row>
    <row r="2399" customFormat="false" ht="15" hidden="false" customHeight="false" outlineLevel="0" collapsed="false">
      <c r="A2399" s="3" t="n">
        <v>2398</v>
      </c>
      <c r="B2399" s="3" t="n">
        <v>2397</v>
      </c>
      <c r="C2399" s="3" t="n">
        <v>3</v>
      </c>
      <c r="D2399" s="3" t="n">
        <v>1</v>
      </c>
      <c r="E2399" s="3" t="n">
        <v>17</v>
      </c>
      <c r="F2399" s="24" t="n">
        <v>-0.0226645079</v>
      </c>
    </row>
    <row r="2400" customFormat="false" ht="15" hidden="false" customHeight="false" outlineLevel="0" collapsed="false">
      <c r="A2400" s="3" t="n">
        <v>2399</v>
      </c>
      <c r="B2400" s="3" t="n">
        <v>2398</v>
      </c>
      <c r="C2400" s="3" t="n">
        <v>3</v>
      </c>
      <c r="D2400" s="3" t="n">
        <v>1</v>
      </c>
      <c r="E2400" s="3" t="n">
        <v>18</v>
      </c>
      <c r="F2400" s="24" t="n">
        <v>-0.0226645079</v>
      </c>
    </row>
    <row r="2401" customFormat="false" ht="15" hidden="false" customHeight="false" outlineLevel="0" collapsed="false">
      <c r="A2401" s="3" t="n">
        <v>2400</v>
      </c>
      <c r="B2401" s="3" t="n">
        <v>2399</v>
      </c>
      <c r="C2401" s="3" t="n">
        <v>3</v>
      </c>
      <c r="D2401" s="3" t="n">
        <v>1</v>
      </c>
      <c r="E2401" s="3" t="n">
        <v>19</v>
      </c>
      <c r="F2401" s="24" t="n">
        <v>-0.0226645079</v>
      </c>
    </row>
    <row r="2402" customFormat="false" ht="15" hidden="false" customHeight="false" outlineLevel="0" collapsed="false">
      <c r="A2402" s="3" t="n">
        <v>2401</v>
      </c>
      <c r="B2402" s="3" t="n">
        <v>2400</v>
      </c>
      <c r="C2402" s="3" t="n">
        <v>3</v>
      </c>
      <c r="D2402" s="3" t="n">
        <v>1</v>
      </c>
      <c r="E2402" s="3" t="n">
        <v>20</v>
      </c>
      <c r="F2402" s="24" t="n">
        <v>-0.0226645079</v>
      </c>
    </row>
    <row r="2403" customFormat="false" ht="15" hidden="false" customHeight="false" outlineLevel="0" collapsed="false">
      <c r="A2403" s="3" t="n">
        <v>2402</v>
      </c>
      <c r="B2403" s="3" t="n">
        <v>2401</v>
      </c>
      <c r="C2403" s="3" t="n">
        <v>3</v>
      </c>
      <c r="D2403" s="3" t="n">
        <v>1</v>
      </c>
      <c r="E2403" s="3" t="n">
        <v>21</v>
      </c>
      <c r="F2403" s="24" t="n">
        <v>-0.0226645079</v>
      </c>
    </row>
    <row r="2404" customFormat="false" ht="15" hidden="false" customHeight="false" outlineLevel="0" collapsed="false">
      <c r="A2404" s="3" t="n">
        <v>2403</v>
      </c>
      <c r="B2404" s="3" t="n">
        <v>2402</v>
      </c>
      <c r="C2404" s="3" t="n">
        <v>3</v>
      </c>
      <c r="D2404" s="3" t="n">
        <v>1</v>
      </c>
      <c r="E2404" s="3" t="n">
        <v>22</v>
      </c>
      <c r="F2404" s="24" t="n">
        <v>-0.0226645079</v>
      </c>
    </row>
    <row r="2405" customFormat="false" ht="15" hidden="false" customHeight="false" outlineLevel="0" collapsed="false">
      <c r="A2405" s="3" t="n">
        <v>2404</v>
      </c>
      <c r="B2405" s="3" t="n">
        <v>2403</v>
      </c>
      <c r="C2405" s="3" t="n">
        <v>3</v>
      </c>
      <c r="D2405" s="3" t="n">
        <v>1</v>
      </c>
      <c r="E2405" s="3" t="n">
        <v>23</v>
      </c>
      <c r="F2405" s="24" t="n">
        <v>-0.0226645079</v>
      </c>
    </row>
    <row r="2406" customFormat="false" ht="15" hidden="false" customHeight="false" outlineLevel="0" collapsed="false">
      <c r="A2406" s="3" t="n">
        <v>2405</v>
      </c>
      <c r="B2406" s="3" t="n">
        <v>2404</v>
      </c>
      <c r="C2406" s="3" t="n">
        <v>3</v>
      </c>
      <c r="D2406" s="3" t="n">
        <v>1</v>
      </c>
      <c r="E2406" s="3" t="n">
        <v>24</v>
      </c>
      <c r="F2406" s="24" t="n">
        <v>-0.0226645079</v>
      </c>
    </row>
    <row r="2407" customFormat="false" ht="15" hidden="false" customHeight="false" outlineLevel="0" collapsed="false">
      <c r="A2407" s="3" t="n">
        <v>2406</v>
      </c>
      <c r="B2407" s="3" t="n">
        <v>2405</v>
      </c>
      <c r="C2407" s="3" t="n">
        <v>3</v>
      </c>
      <c r="D2407" s="3" t="n">
        <v>1</v>
      </c>
      <c r="E2407" s="3" t="n">
        <v>25</v>
      </c>
      <c r="F2407" s="24" t="n">
        <v>-0.0226645079</v>
      </c>
    </row>
    <row r="2408" customFormat="false" ht="15" hidden="false" customHeight="false" outlineLevel="0" collapsed="false">
      <c r="A2408" s="3" t="n">
        <v>2407</v>
      </c>
      <c r="B2408" s="3" t="n">
        <v>2406</v>
      </c>
      <c r="C2408" s="3" t="n">
        <v>3</v>
      </c>
      <c r="D2408" s="3" t="n">
        <v>1</v>
      </c>
      <c r="E2408" s="3" t="n">
        <v>26</v>
      </c>
      <c r="F2408" s="24" t="n">
        <v>-0.0226645079</v>
      </c>
    </row>
    <row r="2409" customFormat="false" ht="15" hidden="false" customHeight="false" outlineLevel="0" collapsed="false">
      <c r="A2409" s="3" t="n">
        <v>2408</v>
      </c>
      <c r="B2409" s="3" t="n">
        <v>2407</v>
      </c>
      <c r="C2409" s="3" t="n">
        <v>3</v>
      </c>
      <c r="D2409" s="3" t="n">
        <v>1</v>
      </c>
      <c r="E2409" s="3" t="n">
        <v>27</v>
      </c>
      <c r="F2409" s="24" t="n">
        <v>-0.00741321221</v>
      </c>
    </row>
    <row r="2410" customFormat="false" ht="15" hidden="false" customHeight="false" outlineLevel="0" collapsed="false">
      <c r="A2410" s="3" t="n">
        <v>2409</v>
      </c>
      <c r="B2410" s="3" t="n">
        <v>2408</v>
      </c>
      <c r="C2410" s="3" t="n">
        <v>3</v>
      </c>
      <c r="D2410" s="3" t="n">
        <v>2</v>
      </c>
      <c r="E2410" s="3" t="n">
        <v>0</v>
      </c>
      <c r="F2410" s="24" t="n">
        <v>0.0962923914</v>
      </c>
    </row>
    <row r="2411" customFormat="false" ht="15" hidden="false" customHeight="false" outlineLevel="0" collapsed="false">
      <c r="A2411" s="3" t="n">
        <v>2410</v>
      </c>
      <c r="B2411" s="3" t="n">
        <v>2409</v>
      </c>
      <c r="C2411" s="3" t="n">
        <v>3</v>
      </c>
      <c r="D2411" s="3" t="n">
        <v>2</v>
      </c>
      <c r="E2411" s="3" t="n">
        <v>1</v>
      </c>
      <c r="F2411" s="24" t="n">
        <v>-0.0226645079</v>
      </c>
    </row>
    <row r="2412" customFormat="false" ht="15" hidden="false" customHeight="false" outlineLevel="0" collapsed="false">
      <c r="A2412" s="3" t="n">
        <v>2411</v>
      </c>
      <c r="B2412" s="3" t="n">
        <v>2410</v>
      </c>
      <c r="C2412" s="3" t="n">
        <v>3</v>
      </c>
      <c r="D2412" s="3" t="n">
        <v>2</v>
      </c>
      <c r="E2412" s="3" t="n">
        <v>2</v>
      </c>
      <c r="F2412" s="24" t="n">
        <v>-0.0226645079</v>
      </c>
    </row>
    <row r="2413" customFormat="false" ht="15" hidden="false" customHeight="false" outlineLevel="0" collapsed="false">
      <c r="A2413" s="3" t="n">
        <v>2412</v>
      </c>
      <c r="B2413" s="3" t="n">
        <v>2411</v>
      </c>
      <c r="C2413" s="3" t="n">
        <v>3</v>
      </c>
      <c r="D2413" s="3" t="n">
        <v>2</v>
      </c>
      <c r="E2413" s="3" t="n">
        <v>3</v>
      </c>
      <c r="F2413" s="24" t="n">
        <v>-0.0226645079</v>
      </c>
    </row>
    <row r="2414" customFormat="false" ht="15" hidden="false" customHeight="false" outlineLevel="0" collapsed="false">
      <c r="A2414" s="3" t="n">
        <v>2413</v>
      </c>
      <c r="B2414" s="3" t="n">
        <v>2412</v>
      </c>
      <c r="C2414" s="3" t="n">
        <v>3</v>
      </c>
      <c r="D2414" s="3" t="n">
        <v>2</v>
      </c>
      <c r="E2414" s="3" t="n">
        <v>4</v>
      </c>
      <c r="F2414" s="24" t="n">
        <v>-0.0226645079</v>
      </c>
    </row>
    <row r="2415" customFormat="false" ht="15" hidden="false" customHeight="false" outlineLevel="0" collapsed="false">
      <c r="A2415" s="3" t="n">
        <v>2414</v>
      </c>
      <c r="B2415" s="3" t="n">
        <v>2413</v>
      </c>
      <c r="C2415" s="3" t="n">
        <v>3</v>
      </c>
      <c r="D2415" s="3" t="n">
        <v>2</v>
      </c>
      <c r="E2415" s="3" t="n">
        <v>5</v>
      </c>
      <c r="F2415" s="24" t="n">
        <v>-0.0226645079</v>
      </c>
    </row>
    <row r="2416" customFormat="false" ht="15" hidden="false" customHeight="false" outlineLevel="0" collapsed="false">
      <c r="A2416" s="3" t="n">
        <v>2415</v>
      </c>
      <c r="B2416" s="3" t="n">
        <v>2414</v>
      </c>
      <c r="C2416" s="3" t="n">
        <v>3</v>
      </c>
      <c r="D2416" s="3" t="n">
        <v>2</v>
      </c>
      <c r="E2416" s="3" t="n">
        <v>6</v>
      </c>
      <c r="F2416" s="24" t="n">
        <v>-0.0226645079</v>
      </c>
    </row>
    <row r="2417" customFormat="false" ht="15" hidden="false" customHeight="false" outlineLevel="0" collapsed="false">
      <c r="A2417" s="3" t="n">
        <v>2416</v>
      </c>
      <c r="B2417" s="3" t="n">
        <v>2415</v>
      </c>
      <c r="C2417" s="3" t="n">
        <v>3</v>
      </c>
      <c r="D2417" s="3" t="n">
        <v>2</v>
      </c>
      <c r="E2417" s="3" t="n">
        <v>7</v>
      </c>
      <c r="F2417" s="24" t="n">
        <v>-0.0226645079</v>
      </c>
    </row>
    <row r="2418" customFormat="false" ht="15" hidden="false" customHeight="false" outlineLevel="0" collapsed="false">
      <c r="A2418" s="3" t="n">
        <v>2417</v>
      </c>
      <c r="B2418" s="3" t="n">
        <v>2416</v>
      </c>
      <c r="C2418" s="3" t="n">
        <v>3</v>
      </c>
      <c r="D2418" s="3" t="n">
        <v>2</v>
      </c>
      <c r="E2418" s="3" t="n">
        <v>8</v>
      </c>
      <c r="F2418" s="24" t="n">
        <v>-0.0226645079</v>
      </c>
    </row>
    <row r="2419" customFormat="false" ht="15" hidden="false" customHeight="false" outlineLevel="0" collapsed="false">
      <c r="A2419" s="3" t="n">
        <v>2418</v>
      </c>
      <c r="B2419" s="3" t="n">
        <v>2417</v>
      </c>
      <c r="C2419" s="3" t="n">
        <v>3</v>
      </c>
      <c r="D2419" s="3" t="n">
        <v>2</v>
      </c>
      <c r="E2419" s="3" t="n">
        <v>9</v>
      </c>
      <c r="F2419" s="24" t="n">
        <v>-0.0226645079</v>
      </c>
    </row>
    <row r="2420" customFormat="false" ht="15" hidden="false" customHeight="false" outlineLevel="0" collapsed="false">
      <c r="A2420" s="3" t="n">
        <v>2419</v>
      </c>
      <c r="B2420" s="3" t="n">
        <v>2418</v>
      </c>
      <c r="C2420" s="3" t="n">
        <v>3</v>
      </c>
      <c r="D2420" s="3" t="n">
        <v>2</v>
      </c>
      <c r="E2420" s="3" t="n">
        <v>10</v>
      </c>
      <c r="F2420" s="24" t="n">
        <v>-0.0226645079</v>
      </c>
    </row>
    <row r="2421" customFormat="false" ht="15" hidden="false" customHeight="false" outlineLevel="0" collapsed="false">
      <c r="A2421" s="3" t="n">
        <v>2420</v>
      </c>
      <c r="B2421" s="3" t="n">
        <v>2419</v>
      </c>
      <c r="C2421" s="3" t="n">
        <v>3</v>
      </c>
      <c r="D2421" s="3" t="n">
        <v>2</v>
      </c>
      <c r="E2421" s="3" t="n">
        <v>11</v>
      </c>
      <c r="F2421" s="24" t="n">
        <v>-0.0226645079</v>
      </c>
    </row>
    <row r="2422" customFormat="false" ht="15" hidden="false" customHeight="false" outlineLevel="0" collapsed="false">
      <c r="A2422" s="3" t="n">
        <v>2421</v>
      </c>
      <c r="B2422" s="3" t="n">
        <v>2420</v>
      </c>
      <c r="C2422" s="3" t="n">
        <v>3</v>
      </c>
      <c r="D2422" s="3" t="n">
        <v>2</v>
      </c>
      <c r="E2422" s="3" t="n">
        <v>12</v>
      </c>
      <c r="F2422" s="24" t="n">
        <v>-0.0226645079</v>
      </c>
    </row>
    <row r="2423" customFormat="false" ht="15" hidden="false" customHeight="false" outlineLevel="0" collapsed="false">
      <c r="A2423" s="3" t="n">
        <v>2422</v>
      </c>
      <c r="B2423" s="3" t="n">
        <v>2421</v>
      </c>
      <c r="C2423" s="3" t="n">
        <v>3</v>
      </c>
      <c r="D2423" s="3" t="n">
        <v>2</v>
      </c>
      <c r="E2423" s="3" t="n">
        <v>13</v>
      </c>
      <c r="F2423" s="24" t="n">
        <v>-0.0226645079</v>
      </c>
    </row>
    <row r="2424" customFormat="false" ht="15" hidden="false" customHeight="false" outlineLevel="0" collapsed="false">
      <c r="A2424" s="3" t="n">
        <v>2423</v>
      </c>
      <c r="B2424" s="3" t="n">
        <v>2422</v>
      </c>
      <c r="C2424" s="3" t="n">
        <v>3</v>
      </c>
      <c r="D2424" s="3" t="n">
        <v>2</v>
      </c>
      <c r="E2424" s="3" t="n">
        <v>14</v>
      </c>
      <c r="F2424" s="24" t="n">
        <v>-0.0226645079</v>
      </c>
    </row>
    <row r="2425" customFormat="false" ht="15" hidden="false" customHeight="false" outlineLevel="0" collapsed="false">
      <c r="A2425" s="3" t="n">
        <v>2424</v>
      </c>
      <c r="B2425" s="3" t="n">
        <v>2423</v>
      </c>
      <c r="C2425" s="3" t="n">
        <v>3</v>
      </c>
      <c r="D2425" s="3" t="n">
        <v>2</v>
      </c>
      <c r="E2425" s="3" t="n">
        <v>15</v>
      </c>
      <c r="F2425" s="24" t="n">
        <v>-0.0226645079</v>
      </c>
    </row>
    <row r="2426" customFormat="false" ht="15" hidden="false" customHeight="false" outlineLevel="0" collapsed="false">
      <c r="A2426" s="3" t="n">
        <v>2425</v>
      </c>
      <c r="B2426" s="3" t="n">
        <v>2424</v>
      </c>
      <c r="C2426" s="3" t="n">
        <v>3</v>
      </c>
      <c r="D2426" s="3" t="n">
        <v>2</v>
      </c>
      <c r="E2426" s="3" t="n">
        <v>16</v>
      </c>
      <c r="F2426" s="24" t="n">
        <v>-0.0226645079</v>
      </c>
    </row>
    <row r="2427" customFormat="false" ht="15" hidden="false" customHeight="false" outlineLevel="0" collapsed="false">
      <c r="A2427" s="3" t="n">
        <v>2426</v>
      </c>
      <c r="B2427" s="3" t="n">
        <v>2425</v>
      </c>
      <c r="C2427" s="3" t="n">
        <v>3</v>
      </c>
      <c r="D2427" s="3" t="n">
        <v>2</v>
      </c>
      <c r="E2427" s="3" t="n">
        <v>17</v>
      </c>
      <c r="F2427" s="24" t="n">
        <v>-0.0226645079</v>
      </c>
    </row>
    <row r="2428" customFormat="false" ht="15" hidden="false" customHeight="false" outlineLevel="0" collapsed="false">
      <c r="A2428" s="3" t="n">
        <v>2427</v>
      </c>
      <c r="B2428" s="3" t="n">
        <v>2426</v>
      </c>
      <c r="C2428" s="3" t="n">
        <v>3</v>
      </c>
      <c r="D2428" s="3" t="n">
        <v>2</v>
      </c>
      <c r="E2428" s="3" t="n">
        <v>18</v>
      </c>
      <c r="F2428" s="24" t="n">
        <v>-0.0226645079</v>
      </c>
    </row>
    <row r="2429" customFormat="false" ht="15" hidden="false" customHeight="false" outlineLevel="0" collapsed="false">
      <c r="A2429" s="3" t="n">
        <v>2428</v>
      </c>
      <c r="B2429" s="3" t="n">
        <v>2427</v>
      </c>
      <c r="C2429" s="3" t="n">
        <v>3</v>
      </c>
      <c r="D2429" s="3" t="n">
        <v>2</v>
      </c>
      <c r="E2429" s="3" t="n">
        <v>19</v>
      </c>
      <c r="F2429" s="24" t="n">
        <v>-0.0226645079</v>
      </c>
    </row>
    <row r="2430" customFormat="false" ht="15" hidden="false" customHeight="false" outlineLevel="0" collapsed="false">
      <c r="A2430" s="3" t="n">
        <v>2429</v>
      </c>
      <c r="B2430" s="3" t="n">
        <v>2428</v>
      </c>
      <c r="C2430" s="3" t="n">
        <v>3</v>
      </c>
      <c r="D2430" s="3" t="n">
        <v>2</v>
      </c>
      <c r="E2430" s="3" t="n">
        <v>20</v>
      </c>
      <c r="F2430" s="24" t="n">
        <v>-0.0226645079</v>
      </c>
    </row>
    <row r="2431" customFormat="false" ht="15" hidden="false" customHeight="false" outlineLevel="0" collapsed="false">
      <c r="A2431" s="3" t="n">
        <v>2430</v>
      </c>
      <c r="B2431" s="3" t="n">
        <v>2429</v>
      </c>
      <c r="C2431" s="3" t="n">
        <v>3</v>
      </c>
      <c r="D2431" s="3" t="n">
        <v>2</v>
      </c>
      <c r="E2431" s="3" t="n">
        <v>21</v>
      </c>
      <c r="F2431" s="24" t="n">
        <v>-0.0226645079</v>
      </c>
    </row>
    <row r="2432" customFormat="false" ht="15" hidden="false" customHeight="false" outlineLevel="0" collapsed="false">
      <c r="A2432" s="3" t="n">
        <v>2431</v>
      </c>
      <c r="B2432" s="3" t="n">
        <v>2430</v>
      </c>
      <c r="C2432" s="3" t="n">
        <v>3</v>
      </c>
      <c r="D2432" s="3" t="n">
        <v>2</v>
      </c>
      <c r="E2432" s="3" t="n">
        <v>22</v>
      </c>
      <c r="F2432" s="24" t="n">
        <v>-0.0226645079</v>
      </c>
    </row>
    <row r="2433" customFormat="false" ht="15" hidden="false" customHeight="false" outlineLevel="0" collapsed="false">
      <c r="A2433" s="3" t="n">
        <v>2432</v>
      </c>
      <c r="B2433" s="3" t="n">
        <v>2431</v>
      </c>
      <c r="C2433" s="3" t="n">
        <v>3</v>
      </c>
      <c r="D2433" s="3" t="n">
        <v>2</v>
      </c>
      <c r="E2433" s="3" t="n">
        <v>23</v>
      </c>
      <c r="F2433" s="24" t="n">
        <v>-0.0226645079</v>
      </c>
    </row>
    <row r="2434" customFormat="false" ht="15" hidden="false" customHeight="false" outlineLevel="0" collapsed="false">
      <c r="A2434" s="3" t="n">
        <v>2433</v>
      </c>
      <c r="B2434" s="3" t="n">
        <v>2432</v>
      </c>
      <c r="C2434" s="3" t="n">
        <v>3</v>
      </c>
      <c r="D2434" s="3" t="n">
        <v>2</v>
      </c>
      <c r="E2434" s="3" t="n">
        <v>24</v>
      </c>
      <c r="F2434" s="24" t="n">
        <v>-0.0226645079</v>
      </c>
    </row>
    <row r="2435" customFormat="false" ht="15" hidden="false" customHeight="false" outlineLevel="0" collapsed="false">
      <c r="A2435" s="3" t="n">
        <v>2434</v>
      </c>
      <c r="B2435" s="3" t="n">
        <v>2433</v>
      </c>
      <c r="C2435" s="3" t="n">
        <v>3</v>
      </c>
      <c r="D2435" s="3" t="n">
        <v>2</v>
      </c>
      <c r="E2435" s="3" t="n">
        <v>25</v>
      </c>
      <c r="F2435" s="24" t="n">
        <v>-0.0226645079</v>
      </c>
    </row>
    <row r="2436" customFormat="false" ht="15" hidden="false" customHeight="false" outlineLevel="0" collapsed="false">
      <c r="A2436" s="3" t="n">
        <v>2435</v>
      </c>
      <c r="B2436" s="3" t="n">
        <v>2434</v>
      </c>
      <c r="C2436" s="3" t="n">
        <v>3</v>
      </c>
      <c r="D2436" s="3" t="n">
        <v>2</v>
      </c>
      <c r="E2436" s="3" t="n">
        <v>26</v>
      </c>
      <c r="F2436" s="24" t="n">
        <v>-0.0226645079</v>
      </c>
    </row>
    <row r="2437" customFormat="false" ht="15" hidden="false" customHeight="false" outlineLevel="0" collapsed="false">
      <c r="A2437" s="3" t="n">
        <v>2436</v>
      </c>
      <c r="B2437" s="3" t="n">
        <v>2435</v>
      </c>
      <c r="C2437" s="3" t="n">
        <v>3</v>
      </c>
      <c r="D2437" s="3" t="n">
        <v>2</v>
      </c>
      <c r="E2437" s="3" t="n">
        <v>27</v>
      </c>
      <c r="F2437" s="24" t="n">
        <v>-0.00741321221</v>
      </c>
    </row>
    <row r="2438" customFormat="false" ht="15" hidden="false" customHeight="false" outlineLevel="0" collapsed="false">
      <c r="A2438" s="3" t="n">
        <v>2437</v>
      </c>
      <c r="B2438" s="3" t="n">
        <v>2436</v>
      </c>
      <c r="C2438" s="3" t="n">
        <v>3</v>
      </c>
      <c r="D2438" s="3" t="n">
        <v>3</v>
      </c>
      <c r="E2438" s="3" t="n">
        <v>0</v>
      </c>
      <c r="F2438" s="24" t="n">
        <v>0.0962923914</v>
      </c>
    </row>
    <row r="2439" customFormat="false" ht="15" hidden="false" customHeight="false" outlineLevel="0" collapsed="false">
      <c r="A2439" s="3" t="n">
        <v>2438</v>
      </c>
      <c r="B2439" s="3" t="n">
        <v>2437</v>
      </c>
      <c r="C2439" s="3" t="n">
        <v>3</v>
      </c>
      <c r="D2439" s="3" t="n">
        <v>3</v>
      </c>
      <c r="E2439" s="3" t="n">
        <v>1</v>
      </c>
      <c r="F2439" s="24" t="n">
        <v>-0.0226645079</v>
      </c>
    </row>
    <row r="2440" customFormat="false" ht="15" hidden="false" customHeight="false" outlineLevel="0" collapsed="false">
      <c r="A2440" s="3" t="n">
        <v>2439</v>
      </c>
      <c r="B2440" s="3" t="n">
        <v>2438</v>
      </c>
      <c r="C2440" s="3" t="n">
        <v>3</v>
      </c>
      <c r="D2440" s="3" t="n">
        <v>3</v>
      </c>
      <c r="E2440" s="3" t="n">
        <v>2</v>
      </c>
      <c r="F2440" s="24" t="n">
        <v>-0.0226645079</v>
      </c>
    </row>
    <row r="2441" customFormat="false" ht="15" hidden="false" customHeight="false" outlineLevel="0" collapsed="false">
      <c r="A2441" s="3" t="n">
        <v>2440</v>
      </c>
      <c r="B2441" s="3" t="n">
        <v>2439</v>
      </c>
      <c r="C2441" s="3" t="n">
        <v>3</v>
      </c>
      <c r="D2441" s="3" t="n">
        <v>3</v>
      </c>
      <c r="E2441" s="3" t="n">
        <v>3</v>
      </c>
      <c r="F2441" s="24" t="n">
        <v>-0.0226645079</v>
      </c>
    </row>
    <row r="2442" customFormat="false" ht="15" hidden="false" customHeight="false" outlineLevel="0" collapsed="false">
      <c r="A2442" s="3" t="n">
        <v>2441</v>
      </c>
      <c r="B2442" s="3" t="n">
        <v>2440</v>
      </c>
      <c r="C2442" s="3" t="n">
        <v>3</v>
      </c>
      <c r="D2442" s="3" t="n">
        <v>3</v>
      </c>
      <c r="E2442" s="3" t="n">
        <v>4</v>
      </c>
      <c r="F2442" s="24" t="n">
        <v>-0.0226645079</v>
      </c>
    </row>
    <row r="2443" customFormat="false" ht="15" hidden="false" customHeight="false" outlineLevel="0" collapsed="false">
      <c r="A2443" s="3" t="n">
        <v>2442</v>
      </c>
      <c r="B2443" s="3" t="n">
        <v>2441</v>
      </c>
      <c r="C2443" s="3" t="n">
        <v>3</v>
      </c>
      <c r="D2443" s="3" t="n">
        <v>3</v>
      </c>
      <c r="E2443" s="3" t="n">
        <v>5</v>
      </c>
      <c r="F2443" s="24" t="n">
        <v>-0.0226645079</v>
      </c>
    </row>
    <row r="2444" customFormat="false" ht="15" hidden="false" customHeight="false" outlineLevel="0" collapsed="false">
      <c r="A2444" s="3" t="n">
        <v>2443</v>
      </c>
      <c r="B2444" s="3" t="n">
        <v>2442</v>
      </c>
      <c r="C2444" s="3" t="n">
        <v>3</v>
      </c>
      <c r="D2444" s="3" t="n">
        <v>3</v>
      </c>
      <c r="E2444" s="3" t="n">
        <v>6</v>
      </c>
      <c r="F2444" s="24" t="n">
        <v>-0.0226645079</v>
      </c>
    </row>
    <row r="2445" customFormat="false" ht="15" hidden="false" customHeight="false" outlineLevel="0" collapsed="false">
      <c r="A2445" s="3" t="n">
        <v>2444</v>
      </c>
      <c r="B2445" s="3" t="n">
        <v>2443</v>
      </c>
      <c r="C2445" s="3" t="n">
        <v>3</v>
      </c>
      <c r="D2445" s="3" t="n">
        <v>3</v>
      </c>
      <c r="E2445" s="3" t="n">
        <v>7</v>
      </c>
      <c r="F2445" s="24" t="n">
        <v>-0.0226645079</v>
      </c>
    </row>
    <row r="2446" customFormat="false" ht="15" hidden="false" customHeight="false" outlineLevel="0" collapsed="false">
      <c r="A2446" s="3" t="n">
        <v>2445</v>
      </c>
      <c r="B2446" s="3" t="n">
        <v>2444</v>
      </c>
      <c r="C2446" s="3" t="n">
        <v>3</v>
      </c>
      <c r="D2446" s="3" t="n">
        <v>3</v>
      </c>
      <c r="E2446" s="3" t="n">
        <v>8</v>
      </c>
      <c r="F2446" s="24" t="n">
        <v>-0.0226645079</v>
      </c>
    </row>
    <row r="2447" customFormat="false" ht="15" hidden="false" customHeight="false" outlineLevel="0" collapsed="false">
      <c r="A2447" s="3" t="n">
        <v>2446</v>
      </c>
      <c r="B2447" s="3" t="n">
        <v>2445</v>
      </c>
      <c r="C2447" s="3" t="n">
        <v>3</v>
      </c>
      <c r="D2447" s="3" t="n">
        <v>3</v>
      </c>
      <c r="E2447" s="3" t="n">
        <v>9</v>
      </c>
      <c r="F2447" s="24" t="n">
        <v>-0.0226645079</v>
      </c>
    </row>
    <row r="2448" customFormat="false" ht="15" hidden="false" customHeight="false" outlineLevel="0" collapsed="false">
      <c r="A2448" s="3" t="n">
        <v>2447</v>
      </c>
      <c r="B2448" s="3" t="n">
        <v>2446</v>
      </c>
      <c r="C2448" s="3" t="n">
        <v>3</v>
      </c>
      <c r="D2448" s="3" t="n">
        <v>3</v>
      </c>
      <c r="E2448" s="3" t="n">
        <v>10</v>
      </c>
      <c r="F2448" s="24" t="n">
        <v>-0.0226645079</v>
      </c>
    </row>
    <row r="2449" customFormat="false" ht="15" hidden="false" customHeight="false" outlineLevel="0" collapsed="false">
      <c r="A2449" s="3" t="n">
        <v>2448</v>
      </c>
      <c r="B2449" s="3" t="n">
        <v>2447</v>
      </c>
      <c r="C2449" s="3" t="n">
        <v>3</v>
      </c>
      <c r="D2449" s="3" t="n">
        <v>3</v>
      </c>
      <c r="E2449" s="3" t="n">
        <v>11</v>
      </c>
      <c r="F2449" s="24" t="n">
        <v>-0.0226645079</v>
      </c>
    </row>
    <row r="2450" customFormat="false" ht="15" hidden="false" customHeight="false" outlineLevel="0" collapsed="false">
      <c r="A2450" s="3" t="n">
        <v>2449</v>
      </c>
      <c r="B2450" s="3" t="n">
        <v>2448</v>
      </c>
      <c r="C2450" s="3" t="n">
        <v>3</v>
      </c>
      <c r="D2450" s="3" t="n">
        <v>3</v>
      </c>
      <c r="E2450" s="3" t="n">
        <v>12</v>
      </c>
      <c r="F2450" s="24" t="n">
        <v>-0.0226645079</v>
      </c>
    </row>
    <row r="2451" customFormat="false" ht="15" hidden="false" customHeight="false" outlineLevel="0" collapsed="false">
      <c r="A2451" s="3" t="n">
        <v>2450</v>
      </c>
      <c r="B2451" s="3" t="n">
        <v>2449</v>
      </c>
      <c r="C2451" s="3" t="n">
        <v>3</v>
      </c>
      <c r="D2451" s="3" t="n">
        <v>3</v>
      </c>
      <c r="E2451" s="3" t="n">
        <v>13</v>
      </c>
      <c r="F2451" s="24" t="n">
        <v>-0.0226645079</v>
      </c>
    </row>
    <row r="2452" customFormat="false" ht="15" hidden="false" customHeight="false" outlineLevel="0" collapsed="false">
      <c r="A2452" s="3" t="n">
        <v>2451</v>
      </c>
      <c r="B2452" s="3" t="n">
        <v>2450</v>
      </c>
      <c r="C2452" s="3" t="n">
        <v>3</v>
      </c>
      <c r="D2452" s="3" t="n">
        <v>3</v>
      </c>
      <c r="E2452" s="3" t="n">
        <v>14</v>
      </c>
      <c r="F2452" s="24" t="n">
        <v>-0.0226645079</v>
      </c>
    </row>
    <row r="2453" customFormat="false" ht="15" hidden="false" customHeight="false" outlineLevel="0" collapsed="false">
      <c r="A2453" s="3" t="n">
        <v>2452</v>
      </c>
      <c r="B2453" s="3" t="n">
        <v>2451</v>
      </c>
      <c r="C2453" s="3" t="n">
        <v>3</v>
      </c>
      <c r="D2453" s="3" t="n">
        <v>3</v>
      </c>
      <c r="E2453" s="3" t="n">
        <v>15</v>
      </c>
      <c r="F2453" s="24" t="n">
        <v>-0.0226645079</v>
      </c>
    </row>
    <row r="2454" customFormat="false" ht="15" hidden="false" customHeight="false" outlineLevel="0" collapsed="false">
      <c r="A2454" s="3" t="n">
        <v>2453</v>
      </c>
      <c r="B2454" s="3" t="n">
        <v>2452</v>
      </c>
      <c r="C2454" s="3" t="n">
        <v>3</v>
      </c>
      <c r="D2454" s="3" t="n">
        <v>3</v>
      </c>
      <c r="E2454" s="3" t="n">
        <v>16</v>
      </c>
      <c r="F2454" s="24" t="n">
        <v>-0.0226645079</v>
      </c>
    </row>
    <row r="2455" customFormat="false" ht="15" hidden="false" customHeight="false" outlineLevel="0" collapsed="false">
      <c r="A2455" s="3" t="n">
        <v>2454</v>
      </c>
      <c r="B2455" s="3" t="n">
        <v>2453</v>
      </c>
      <c r="C2455" s="3" t="n">
        <v>3</v>
      </c>
      <c r="D2455" s="3" t="n">
        <v>3</v>
      </c>
      <c r="E2455" s="3" t="n">
        <v>17</v>
      </c>
      <c r="F2455" s="24" t="n">
        <v>-0.0226645079</v>
      </c>
    </row>
    <row r="2456" customFormat="false" ht="15" hidden="false" customHeight="false" outlineLevel="0" collapsed="false">
      <c r="A2456" s="3" t="n">
        <v>2455</v>
      </c>
      <c r="B2456" s="3" t="n">
        <v>2454</v>
      </c>
      <c r="C2456" s="3" t="n">
        <v>3</v>
      </c>
      <c r="D2456" s="3" t="n">
        <v>3</v>
      </c>
      <c r="E2456" s="3" t="n">
        <v>18</v>
      </c>
      <c r="F2456" s="24" t="n">
        <v>-0.0226645079</v>
      </c>
    </row>
    <row r="2457" customFormat="false" ht="15" hidden="false" customHeight="false" outlineLevel="0" collapsed="false">
      <c r="A2457" s="3" t="n">
        <v>2456</v>
      </c>
      <c r="B2457" s="3" t="n">
        <v>2455</v>
      </c>
      <c r="C2457" s="3" t="n">
        <v>3</v>
      </c>
      <c r="D2457" s="3" t="n">
        <v>3</v>
      </c>
      <c r="E2457" s="3" t="n">
        <v>19</v>
      </c>
      <c r="F2457" s="24" t="n">
        <v>-0.0226645079</v>
      </c>
    </row>
    <row r="2458" customFormat="false" ht="15" hidden="false" customHeight="false" outlineLevel="0" collapsed="false">
      <c r="A2458" s="3" t="n">
        <v>2457</v>
      </c>
      <c r="B2458" s="3" t="n">
        <v>2456</v>
      </c>
      <c r="C2458" s="3" t="n">
        <v>3</v>
      </c>
      <c r="D2458" s="3" t="n">
        <v>3</v>
      </c>
      <c r="E2458" s="3" t="n">
        <v>20</v>
      </c>
      <c r="F2458" s="24" t="n">
        <v>-0.0226645079</v>
      </c>
    </row>
    <row r="2459" customFormat="false" ht="15" hidden="false" customHeight="false" outlineLevel="0" collapsed="false">
      <c r="A2459" s="3" t="n">
        <v>2458</v>
      </c>
      <c r="B2459" s="3" t="n">
        <v>2457</v>
      </c>
      <c r="C2459" s="3" t="n">
        <v>3</v>
      </c>
      <c r="D2459" s="3" t="n">
        <v>3</v>
      </c>
      <c r="E2459" s="3" t="n">
        <v>21</v>
      </c>
      <c r="F2459" s="24" t="n">
        <v>-0.0226645079</v>
      </c>
    </row>
    <row r="2460" customFormat="false" ht="15" hidden="false" customHeight="false" outlineLevel="0" collapsed="false">
      <c r="A2460" s="3" t="n">
        <v>2459</v>
      </c>
      <c r="B2460" s="3" t="n">
        <v>2458</v>
      </c>
      <c r="C2460" s="3" t="n">
        <v>3</v>
      </c>
      <c r="D2460" s="3" t="n">
        <v>3</v>
      </c>
      <c r="E2460" s="3" t="n">
        <v>22</v>
      </c>
      <c r="F2460" s="24" t="n">
        <v>-0.0226645079</v>
      </c>
    </row>
    <row r="2461" customFormat="false" ht="15" hidden="false" customHeight="false" outlineLevel="0" collapsed="false">
      <c r="A2461" s="3" t="n">
        <v>2460</v>
      </c>
      <c r="B2461" s="3" t="n">
        <v>2459</v>
      </c>
      <c r="C2461" s="3" t="n">
        <v>3</v>
      </c>
      <c r="D2461" s="3" t="n">
        <v>3</v>
      </c>
      <c r="E2461" s="3" t="n">
        <v>23</v>
      </c>
      <c r="F2461" s="24" t="n">
        <v>-0.0226645079</v>
      </c>
    </row>
    <row r="2462" customFormat="false" ht="15" hidden="false" customHeight="false" outlineLevel="0" collapsed="false">
      <c r="A2462" s="3" t="n">
        <v>2461</v>
      </c>
      <c r="B2462" s="3" t="n">
        <v>2460</v>
      </c>
      <c r="C2462" s="3" t="n">
        <v>3</v>
      </c>
      <c r="D2462" s="3" t="n">
        <v>3</v>
      </c>
      <c r="E2462" s="3" t="n">
        <v>24</v>
      </c>
      <c r="F2462" s="24" t="n">
        <v>-0.0226645079</v>
      </c>
    </row>
    <row r="2463" customFormat="false" ht="15" hidden="false" customHeight="false" outlineLevel="0" collapsed="false">
      <c r="A2463" s="3" t="n">
        <v>2462</v>
      </c>
      <c r="B2463" s="3" t="n">
        <v>2461</v>
      </c>
      <c r="C2463" s="3" t="n">
        <v>3</v>
      </c>
      <c r="D2463" s="3" t="n">
        <v>3</v>
      </c>
      <c r="E2463" s="3" t="n">
        <v>25</v>
      </c>
      <c r="F2463" s="24" t="n">
        <v>-0.0226645079</v>
      </c>
    </row>
    <row r="2464" customFormat="false" ht="15" hidden="false" customHeight="false" outlineLevel="0" collapsed="false">
      <c r="A2464" s="3" t="n">
        <v>2463</v>
      </c>
      <c r="B2464" s="3" t="n">
        <v>2462</v>
      </c>
      <c r="C2464" s="3" t="n">
        <v>3</v>
      </c>
      <c r="D2464" s="3" t="n">
        <v>3</v>
      </c>
      <c r="E2464" s="3" t="n">
        <v>26</v>
      </c>
      <c r="F2464" s="24" t="n">
        <v>-0.0226645079</v>
      </c>
    </row>
    <row r="2465" customFormat="false" ht="15" hidden="false" customHeight="false" outlineLevel="0" collapsed="false">
      <c r="A2465" s="3" t="n">
        <v>2464</v>
      </c>
      <c r="B2465" s="3" t="n">
        <v>2463</v>
      </c>
      <c r="C2465" s="3" t="n">
        <v>3</v>
      </c>
      <c r="D2465" s="3" t="n">
        <v>3</v>
      </c>
      <c r="E2465" s="3" t="n">
        <v>27</v>
      </c>
      <c r="F2465" s="24" t="n">
        <v>-0.00741321221</v>
      </c>
    </row>
    <row r="2466" customFormat="false" ht="15" hidden="false" customHeight="false" outlineLevel="0" collapsed="false">
      <c r="A2466" s="3" t="n">
        <v>2465</v>
      </c>
      <c r="B2466" s="3" t="n">
        <v>2464</v>
      </c>
      <c r="C2466" s="3" t="n">
        <v>3</v>
      </c>
      <c r="D2466" s="3" t="n">
        <v>4</v>
      </c>
      <c r="E2466" s="3" t="n">
        <v>0</v>
      </c>
      <c r="F2466" s="24" t="n">
        <v>0.0962923914</v>
      </c>
    </row>
    <row r="2467" customFormat="false" ht="15" hidden="false" customHeight="false" outlineLevel="0" collapsed="false">
      <c r="A2467" s="3" t="n">
        <v>2466</v>
      </c>
      <c r="B2467" s="3" t="n">
        <v>2465</v>
      </c>
      <c r="C2467" s="3" t="n">
        <v>3</v>
      </c>
      <c r="D2467" s="3" t="n">
        <v>4</v>
      </c>
      <c r="E2467" s="3" t="n">
        <v>1</v>
      </c>
      <c r="F2467" s="24" t="n">
        <v>-0.0226645079</v>
      </c>
    </row>
    <row r="2468" customFormat="false" ht="15" hidden="false" customHeight="false" outlineLevel="0" collapsed="false">
      <c r="A2468" s="3" t="n">
        <v>2467</v>
      </c>
      <c r="B2468" s="3" t="n">
        <v>2466</v>
      </c>
      <c r="C2468" s="3" t="n">
        <v>3</v>
      </c>
      <c r="D2468" s="3" t="n">
        <v>4</v>
      </c>
      <c r="E2468" s="3" t="n">
        <v>2</v>
      </c>
      <c r="F2468" s="24" t="n">
        <v>-0.0226645079</v>
      </c>
    </row>
    <row r="2469" customFormat="false" ht="15" hidden="false" customHeight="false" outlineLevel="0" collapsed="false">
      <c r="A2469" s="3" t="n">
        <v>2468</v>
      </c>
      <c r="B2469" s="3" t="n">
        <v>2467</v>
      </c>
      <c r="C2469" s="3" t="n">
        <v>3</v>
      </c>
      <c r="D2469" s="3" t="n">
        <v>4</v>
      </c>
      <c r="E2469" s="3" t="n">
        <v>3</v>
      </c>
      <c r="F2469" s="24" t="n">
        <v>-0.0226645079</v>
      </c>
    </row>
    <row r="2470" customFormat="false" ht="15" hidden="false" customHeight="false" outlineLevel="0" collapsed="false">
      <c r="A2470" s="3" t="n">
        <v>2469</v>
      </c>
      <c r="B2470" s="3" t="n">
        <v>2468</v>
      </c>
      <c r="C2470" s="3" t="n">
        <v>3</v>
      </c>
      <c r="D2470" s="3" t="n">
        <v>4</v>
      </c>
      <c r="E2470" s="3" t="n">
        <v>4</v>
      </c>
      <c r="F2470" s="24" t="n">
        <v>-0.0226645079</v>
      </c>
    </row>
    <row r="2471" customFormat="false" ht="15" hidden="false" customHeight="false" outlineLevel="0" collapsed="false">
      <c r="A2471" s="3" t="n">
        <v>2470</v>
      </c>
      <c r="B2471" s="3" t="n">
        <v>2469</v>
      </c>
      <c r="C2471" s="3" t="n">
        <v>3</v>
      </c>
      <c r="D2471" s="3" t="n">
        <v>4</v>
      </c>
      <c r="E2471" s="3" t="n">
        <v>5</v>
      </c>
      <c r="F2471" s="24" t="n">
        <v>-0.0226645079</v>
      </c>
    </row>
    <row r="2472" customFormat="false" ht="15" hidden="false" customHeight="false" outlineLevel="0" collapsed="false">
      <c r="A2472" s="3" t="n">
        <v>2471</v>
      </c>
      <c r="B2472" s="3" t="n">
        <v>2470</v>
      </c>
      <c r="C2472" s="3" t="n">
        <v>3</v>
      </c>
      <c r="D2472" s="3" t="n">
        <v>4</v>
      </c>
      <c r="E2472" s="3" t="n">
        <v>6</v>
      </c>
      <c r="F2472" s="24" t="n">
        <v>-0.0226645079</v>
      </c>
    </row>
    <row r="2473" customFormat="false" ht="15" hidden="false" customHeight="false" outlineLevel="0" collapsed="false">
      <c r="A2473" s="3" t="n">
        <v>2472</v>
      </c>
      <c r="B2473" s="3" t="n">
        <v>2471</v>
      </c>
      <c r="C2473" s="3" t="n">
        <v>3</v>
      </c>
      <c r="D2473" s="3" t="n">
        <v>4</v>
      </c>
      <c r="E2473" s="3" t="n">
        <v>7</v>
      </c>
      <c r="F2473" s="24" t="n">
        <v>-0.0226645079</v>
      </c>
    </row>
    <row r="2474" customFormat="false" ht="15" hidden="false" customHeight="false" outlineLevel="0" collapsed="false">
      <c r="A2474" s="3" t="n">
        <v>2473</v>
      </c>
      <c r="B2474" s="3" t="n">
        <v>2472</v>
      </c>
      <c r="C2474" s="3" t="n">
        <v>3</v>
      </c>
      <c r="D2474" s="3" t="n">
        <v>4</v>
      </c>
      <c r="E2474" s="3" t="n">
        <v>8</v>
      </c>
      <c r="F2474" s="24" t="n">
        <v>-0.0226645079</v>
      </c>
    </row>
    <row r="2475" customFormat="false" ht="15" hidden="false" customHeight="false" outlineLevel="0" collapsed="false">
      <c r="A2475" s="3" t="n">
        <v>2474</v>
      </c>
      <c r="B2475" s="3" t="n">
        <v>2473</v>
      </c>
      <c r="C2475" s="3" t="n">
        <v>3</v>
      </c>
      <c r="D2475" s="3" t="n">
        <v>4</v>
      </c>
      <c r="E2475" s="3" t="n">
        <v>9</v>
      </c>
      <c r="F2475" s="24" t="n">
        <v>-0.0226645079</v>
      </c>
    </row>
    <row r="2476" customFormat="false" ht="15" hidden="false" customHeight="false" outlineLevel="0" collapsed="false">
      <c r="A2476" s="3" t="n">
        <v>2475</v>
      </c>
      <c r="B2476" s="3" t="n">
        <v>2474</v>
      </c>
      <c r="C2476" s="3" t="n">
        <v>3</v>
      </c>
      <c r="D2476" s="3" t="n">
        <v>4</v>
      </c>
      <c r="E2476" s="3" t="n">
        <v>10</v>
      </c>
      <c r="F2476" s="24" t="n">
        <v>-0.0226645079</v>
      </c>
    </row>
    <row r="2477" customFormat="false" ht="15" hidden="false" customHeight="false" outlineLevel="0" collapsed="false">
      <c r="A2477" s="3" t="n">
        <v>2476</v>
      </c>
      <c r="B2477" s="3" t="n">
        <v>2475</v>
      </c>
      <c r="C2477" s="3" t="n">
        <v>3</v>
      </c>
      <c r="D2477" s="3" t="n">
        <v>4</v>
      </c>
      <c r="E2477" s="3" t="n">
        <v>11</v>
      </c>
      <c r="F2477" s="24" t="n">
        <v>-0.0226645079</v>
      </c>
    </row>
    <row r="2478" customFormat="false" ht="15" hidden="false" customHeight="false" outlineLevel="0" collapsed="false">
      <c r="A2478" s="3" t="n">
        <v>2477</v>
      </c>
      <c r="B2478" s="3" t="n">
        <v>2476</v>
      </c>
      <c r="C2478" s="3" t="n">
        <v>3</v>
      </c>
      <c r="D2478" s="3" t="n">
        <v>4</v>
      </c>
      <c r="E2478" s="3" t="n">
        <v>12</v>
      </c>
      <c r="F2478" s="24" t="n">
        <v>-0.0226645079</v>
      </c>
    </row>
    <row r="2479" customFormat="false" ht="15" hidden="false" customHeight="false" outlineLevel="0" collapsed="false">
      <c r="A2479" s="3" t="n">
        <v>2478</v>
      </c>
      <c r="B2479" s="3" t="n">
        <v>2477</v>
      </c>
      <c r="C2479" s="3" t="n">
        <v>3</v>
      </c>
      <c r="D2479" s="3" t="n">
        <v>4</v>
      </c>
      <c r="E2479" s="3" t="n">
        <v>13</v>
      </c>
      <c r="F2479" s="24" t="n">
        <v>-0.0226645079</v>
      </c>
    </row>
    <row r="2480" customFormat="false" ht="15" hidden="false" customHeight="false" outlineLevel="0" collapsed="false">
      <c r="A2480" s="3" t="n">
        <v>2479</v>
      </c>
      <c r="B2480" s="3" t="n">
        <v>2478</v>
      </c>
      <c r="C2480" s="3" t="n">
        <v>3</v>
      </c>
      <c r="D2480" s="3" t="n">
        <v>4</v>
      </c>
      <c r="E2480" s="3" t="n">
        <v>14</v>
      </c>
      <c r="F2480" s="24" t="n">
        <v>-0.0226645079</v>
      </c>
    </row>
    <row r="2481" customFormat="false" ht="15" hidden="false" customHeight="false" outlineLevel="0" collapsed="false">
      <c r="A2481" s="3" t="n">
        <v>2480</v>
      </c>
      <c r="B2481" s="3" t="n">
        <v>2479</v>
      </c>
      <c r="C2481" s="3" t="n">
        <v>3</v>
      </c>
      <c r="D2481" s="3" t="n">
        <v>4</v>
      </c>
      <c r="E2481" s="3" t="n">
        <v>15</v>
      </c>
      <c r="F2481" s="24" t="n">
        <v>-0.0226645079</v>
      </c>
    </row>
    <row r="2482" customFormat="false" ht="15" hidden="false" customHeight="false" outlineLevel="0" collapsed="false">
      <c r="A2482" s="3" t="n">
        <v>2481</v>
      </c>
      <c r="B2482" s="3" t="n">
        <v>2480</v>
      </c>
      <c r="C2482" s="3" t="n">
        <v>3</v>
      </c>
      <c r="D2482" s="3" t="n">
        <v>4</v>
      </c>
      <c r="E2482" s="3" t="n">
        <v>16</v>
      </c>
      <c r="F2482" s="24" t="n">
        <v>-0.0226645079</v>
      </c>
    </row>
    <row r="2483" customFormat="false" ht="15" hidden="false" customHeight="false" outlineLevel="0" collapsed="false">
      <c r="A2483" s="3" t="n">
        <v>2482</v>
      </c>
      <c r="B2483" s="3" t="n">
        <v>2481</v>
      </c>
      <c r="C2483" s="3" t="n">
        <v>3</v>
      </c>
      <c r="D2483" s="3" t="n">
        <v>4</v>
      </c>
      <c r="E2483" s="3" t="n">
        <v>17</v>
      </c>
      <c r="F2483" s="24" t="n">
        <v>-0.0226645079</v>
      </c>
    </row>
    <row r="2484" customFormat="false" ht="15" hidden="false" customHeight="false" outlineLevel="0" collapsed="false">
      <c r="A2484" s="3" t="n">
        <v>2483</v>
      </c>
      <c r="B2484" s="3" t="n">
        <v>2482</v>
      </c>
      <c r="C2484" s="3" t="n">
        <v>3</v>
      </c>
      <c r="D2484" s="3" t="n">
        <v>4</v>
      </c>
      <c r="E2484" s="3" t="n">
        <v>18</v>
      </c>
      <c r="F2484" s="24" t="n">
        <v>-0.0226645079</v>
      </c>
    </row>
    <row r="2485" customFormat="false" ht="15" hidden="false" customHeight="false" outlineLevel="0" collapsed="false">
      <c r="A2485" s="3" t="n">
        <v>2484</v>
      </c>
      <c r="B2485" s="3" t="n">
        <v>2483</v>
      </c>
      <c r="C2485" s="3" t="n">
        <v>3</v>
      </c>
      <c r="D2485" s="3" t="n">
        <v>4</v>
      </c>
      <c r="E2485" s="3" t="n">
        <v>19</v>
      </c>
      <c r="F2485" s="24" t="n">
        <v>-0.0226645079</v>
      </c>
    </row>
    <row r="2486" customFormat="false" ht="15" hidden="false" customHeight="false" outlineLevel="0" collapsed="false">
      <c r="A2486" s="3" t="n">
        <v>2485</v>
      </c>
      <c r="B2486" s="3" t="n">
        <v>2484</v>
      </c>
      <c r="C2486" s="3" t="n">
        <v>3</v>
      </c>
      <c r="D2486" s="3" t="n">
        <v>4</v>
      </c>
      <c r="E2486" s="3" t="n">
        <v>20</v>
      </c>
      <c r="F2486" s="24" t="n">
        <v>-0.0226645079</v>
      </c>
    </row>
    <row r="2487" customFormat="false" ht="15" hidden="false" customHeight="false" outlineLevel="0" collapsed="false">
      <c r="A2487" s="3" t="n">
        <v>2486</v>
      </c>
      <c r="B2487" s="3" t="n">
        <v>2485</v>
      </c>
      <c r="C2487" s="3" t="n">
        <v>3</v>
      </c>
      <c r="D2487" s="3" t="n">
        <v>4</v>
      </c>
      <c r="E2487" s="3" t="n">
        <v>21</v>
      </c>
      <c r="F2487" s="24" t="n">
        <v>-0.0226645079</v>
      </c>
    </row>
    <row r="2488" customFormat="false" ht="15" hidden="false" customHeight="false" outlineLevel="0" collapsed="false">
      <c r="A2488" s="3" t="n">
        <v>2487</v>
      </c>
      <c r="B2488" s="3" t="n">
        <v>2486</v>
      </c>
      <c r="C2488" s="3" t="n">
        <v>3</v>
      </c>
      <c r="D2488" s="3" t="n">
        <v>4</v>
      </c>
      <c r="E2488" s="3" t="n">
        <v>22</v>
      </c>
      <c r="F2488" s="24" t="n">
        <v>-0.0226645079</v>
      </c>
    </row>
    <row r="2489" customFormat="false" ht="15" hidden="false" customHeight="false" outlineLevel="0" collapsed="false">
      <c r="A2489" s="3" t="n">
        <v>2488</v>
      </c>
      <c r="B2489" s="3" t="n">
        <v>2487</v>
      </c>
      <c r="C2489" s="3" t="n">
        <v>3</v>
      </c>
      <c r="D2489" s="3" t="n">
        <v>4</v>
      </c>
      <c r="E2489" s="3" t="n">
        <v>23</v>
      </c>
      <c r="F2489" s="24" t="n">
        <v>-0.0226645079</v>
      </c>
    </row>
    <row r="2490" customFormat="false" ht="15" hidden="false" customHeight="false" outlineLevel="0" collapsed="false">
      <c r="A2490" s="3" t="n">
        <v>2489</v>
      </c>
      <c r="B2490" s="3" t="n">
        <v>2488</v>
      </c>
      <c r="C2490" s="3" t="n">
        <v>3</v>
      </c>
      <c r="D2490" s="3" t="n">
        <v>4</v>
      </c>
      <c r="E2490" s="3" t="n">
        <v>24</v>
      </c>
      <c r="F2490" s="24" t="n">
        <v>-0.0226645079</v>
      </c>
    </row>
    <row r="2491" customFormat="false" ht="15" hidden="false" customHeight="false" outlineLevel="0" collapsed="false">
      <c r="A2491" s="3" t="n">
        <v>2490</v>
      </c>
      <c r="B2491" s="3" t="n">
        <v>2489</v>
      </c>
      <c r="C2491" s="3" t="n">
        <v>3</v>
      </c>
      <c r="D2491" s="3" t="n">
        <v>4</v>
      </c>
      <c r="E2491" s="3" t="n">
        <v>25</v>
      </c>
      <c r="F2491" s="24" t="n">
        <v>-0.0226645079</v>
      </c>
    </row>
    <row r="2492" customFormat="false" ht="15" hidden="false" customHeight="false" outlineLevel="0" collapsed="false">
      <c r="A2492" s="3" t="n">
        <v>2491</v>
      </c>
      <c r="B2492" s="3" t="n">
        <v>2490</v>
      </c>
      <c r="C2492" s="3" t="n">
        <v>3</v>
      </c>
      <c r="D2492" s="3" t="n">
        <v>4</v>
      </c>
      <c r="E2492" s="3" t="n">
        <v>26</v>
      </c>
      <c r="F2492" s="24" t="n">
        <v>-0.0226645079</v>
      </c>
    </row>
    <row r="2493" customFormat="false" ht="15" hidden="false" customHeight="false" outlineLevel="0" collapsed="false">
      <c r="A2493" s="3" t="n">
        <v>2492</v>
      </c>
      <c r="B2493" s="3" t="n">
        <v>2491</v>
      </c>
      <c r="C2493" s="3" t="n">
        <v>3</v>
      </c>
      <c r="D2493" s="3" t="n">
        <v>4</v>
      </c>
      <c r="E2493" s="3" t="n">
        <v>27</v>
      </c>
      <c r="F2493" s="24" t="n">
        <v>-0.00741321221</v>
      </c>
    </row>
    <row r="2494" customFormat="false" ht="15" hidden="false" customHeight="false" outlineLevel="0" collapsed="false">
      <c r="A2494" s="3" t="n">
        <v>2493</v>
      </c>
      <c r="B2494" s="3" t="n">
        <v>2492</v>
      </c>
      <c r="C2494" s="3" t="n">
        <v>3</v>
      </c>
      <c r="D2494" s="3" t="n">
        <v>5</v>
      </c>
      <c r="E2494" s="3" t="n">
        <v>0</v>
      </c>
      <c r="F2494" s="24" t="n">
        <v>0.0962923914</v>
      </c>
    </row>
    <row r="2495" customFormat="false" ht="15" hidden="false" customHeight="false" outlineLevel="0" collapsed="false">
      <c r="A2495" s="3" t="n">
        <v>2494</v>
      </c>
      <c r="B2495" s="3" t="n">
        <v>2493</v>
      </c>
      <c r="C2495" s="3" t="n">
        <v>3</v>
      </c>
      <c r="D2495" s="3" t="n">
        <v>5</v>
      </c>
      <c r="E2495" s="3" t="n">
        <v>1</v>
      </c>
      <c r="F2495" s="24" t="n">
        <v>-0.0226645079</v>
      </c>
    </row>
    <row r="2496" customFormat="false" ht="15" hidden="false" customHeight="false" outlineLevel="0" collapsed="false">
      <c r="A2496" s="3" t="n">
        <v>2495</v>
      </c>
      <c r="B2496" s="3" t="n">
        <v>2494</v>
      </c>
      <c r="C2496" s="3" t="n">
        <v>3</v>
      </c>
      <c r="D2496" s="3" t="n">
        <v>5</v>
      </c>
      <c r="E2496" s="3" t="n">
        <v>2</v>
      </c>
      <c r="F2496" s="24" t="n">
        <v>-0.0226645079</v>
      </c>
    </row>
    <row r="2497" customFormat="false" ht="15" hidden="false" customHeight="false" outlineLevel="0" collapsed="false">
      <c r="A2497" s="3" t="n">
        <v>2496</v>
      </c>
      <c r="B2497" s="3" t="n">
        <v>2495</v>
      </c>
      <c r="C2497" s="3" t="n">
        <v>3</v>
      </c>
      <c r="D2497" s="3" t="n">
        <v>5</v>
      </c>
      <c r="E2497" s="3" t="n">
        <v>3</v>
      </c>
      <c r="F2497" s="24" t="n">
        <v>-0.0226645079</v>
      </c>
    </row>
    <row r="2498" customFormat="false" ht="15" hidden="false" customHeight="false" outlineLevel="0" collapsed="false">
      <c r="A2498" s="3" t="n">
        <v>2497</v>
      </c>
      <c r="B2498" s="3" t="n">
        <v>2496</v>
      </c>
      <c r="C2498" s="3" t="n">
        <v>3</v>
      </c>
      <c r="D2498" s="3" t="n">
        <v>5</v>
      </c>
      <c r="E2498" s="3" t="n">
        <v>4</v>
      </c>
      <c r="F2498" s="24" t="n">
        <v>-0.0226645079</v>
      </c>
    </row>
    <row r="2499" customFormat="false" ht="15" hidden="false" customHeight="false" outlineLevel="0" collapsed="false">
      <c r="A2499" s="3" t="n">
        <v>2498</v>
      </c>
      <c r="B2499" s="3" t="n">
        <v>2497</v>
      </c>
      <c r="C2499" s="3" t="n">
        <v>3</v>
      </c>
      <c r="D2499" s="3" t="n">
        <v>5</v>
      </c>
      <c r="E2499" s="3" t="n">
        <v>5</v>
      </c>
      <c r="F2499" s="24" t="n">
        <v>-0.0226645079</v>
      </c>
    </row>
    <row r="2500" customFormat="false" ht="15" hidden="false" customHeight="false" outlineLevel="0" collapsed="false">
      <c r="A2500" s="3" t="n">
        <v>2499</v>
      </c>
      <c r="B2500" s="3" t="n">
        <v>2498</v>
      </c>
      <c r="C2500" s="3" t="n">
        <v>3</v>
      </c>
      <c r="D2500" s="3" t="n">
        <v>5</v>
      </c>
      <c r="E2500" s="3" t="n">
        <v>6</v>
      </c>
      <c r="F2500" s="24" t="n">
        <v>-0.0226645079</v>
      </c>
    </row>
    <row r="2501" customFormat="false" ht="15" hidden="false" customHeight="false" outlineLevel="0" collapsed="false">
      <c r="A2501" s="3" t="n">
        <v>2500</v>
      </c>
      <c r="B2501" s="3" t="n">
        <v>2499</v>
      </c>
      <c r="C2501" s="3" t="n">
        <v>3</v>
      </c>
      <c r="D2501" s="3" t="n">
        <v>5</v>
      </c>
      <c r="E2501" s="3" t="n">
        <v>7</v>
      </c>
      <c r="F2501" s="24" t="n">
        <v>-0.0226645079</v>
      </c>
    </row>
    <row r="2502" customFormat="false" ht="15" hidden="false" customHeight="false" outlineLevel="0" collapsed="false">
      <c r="A2502" s="3" t="n">
        <v>2501</v>
      </c>
      <c r="B2502" s="3" t="n">
        <v>2500</v>
      </c>
      <c r="C2502" s="3" t="n">
        <v>3</v>
      </c>
      <c r="D2502" s="3" t="n">
        <v>5</v>
      </c>
      <c r="E2502" s="3" t="n">
        <v>8</v>
      </c>
      <c r="F2502" s="24" t="n">
        <v>-0.0226645079</v>
      </c>
    </row>
    <row r="2503" customFormat="false" ht="15" hidden="false" customHeight="false" outlineLevel="0" collapsed="false">
      <c r="A2503" s="3" t="n">
        <v>2502</v>
      </c>
      <c r="B2503" s="3" t="n">
        <v>2501</v>
      </c>
      <c r="C2503" s="3" t="n">
        <v>3</v>
      </c>
      <c r="D2503" s="3" t="n">
        <v>5</v>
      </c>
      <c r="E2503" s="3" t="n">
        <v>9</v>
      </c>
      <c r="F2503" s="24" t="n">
        <v>-0.0226645079</v>
      </c>
    </row>
    <row r="2504" customFormat="false" ht="15" hidden="false" customHeight="false" outlineLevel="0" collapsed="false">
      <c r="A2504" s="3" t="n">
        <v>2503</v>
      </c>
      <c r="B2504" s="3" t="n">
        <v>2502</v>
      </c>
      <c r="C2504" s="3" t="n">
        <v>3</v>
      </c>
      <c r="D2504" s="3" t="n">
        <v>5</v>
      </c>
      <c r="E2504" s="3" t="n">
        <v>10</v>
      </c>
      <c r="F2504" s="24" t="n">
        <v>-0.0226645079</v>
      </c>
    </row>
    <row r="2505" customFormat="false" ht="15" hidden="false" customHeight="false" outlineLevel="0" collapsed="false">
      <c r="A2505" s="3" t="n">
        <v>2504</v>
      </c>
      <c r="B2505" s="3" t="n">
        <v>2503</v>
      </c>
      <c r="C2505" s="3" t="n">
        <v>3</v>
      </c>
      <c r="D2505" s="3" t="n">
        <v>5</v>
      </c>
      <c r="E2505" s="3" t="n">
        <v>11</v>
      </c>
      <c r="F2505" s="24" t="n">
        <v>-0.0226645079</v>
      </c>
    </row>
    <row r="2506" customFormat="false" ht="15" hidden="false" customHeight="false" outlineLevel="0" collapsed="false">
      <c r="A2506" s="3" t="n">
        <v>2505</v>
      </c>
      <c r="B2506" s="3" t="n">
        <v>2504</v>
      </c>
      <c r="C2506" s="3" t="n">
        <v>3</v>
      </c>
      <c r="D2506" s="3" t="n">
        <v>5</v>
      </c>
      <c r="E2506" s="3" t="n">
        <v>12</v>
      </c>
      <c r="F2506" s="24" t="n">
        <v>-0.0226645079</v>
      </c>
    </row>
    <row r="2507" customFormat="false" ht="15" hidden="false" customHeight="false" outlineLevel="0" collapsed="false">
      <c r="A2507" s="3" t="n">
        <v>2506</v>
      </c>
      <c r="B2507" s="3" t="n">
        <v>2505</v>
      </c>
      <c r="C2507" s="3" t="n">
        <v>3</v>
      </c>
      <c r="D2507" s="3" t="n">
        <v>5</v>
      </c>
      <c r="E2507" s="3" t="n">
        <v>13</v>
      </c>
      <c r="F2507" s="24" t="n">
        <v>-0.0226645079</v>
      </c>
    </row>
    <row r="2508" customFormat="false" ht="15" hidden="false" customHeight="false" outlineLevel="0" collapsed="false">
      <c r="A2508" s="3" t="n">
        <v>2507</v>
      </c>
      <c r="B2508" s="3" t="n">
        <v>2506</v>
      </c>
      <c r="C2508" s="3" t="n">
        <v>3</v>
      </c>
      <c r="D2508" s="3" t="n">
        <v>5</v>
      </c>
      <c r="E2508" s="3" t="n">
        <v>14</v>
      </c>
      <c r="F2508" s="24" t="n">
        <v>-0.0226645079</v>
      </c>
    </row>
    <row r="2509" customFormat="false" ht="15" hidden="false" customHeight="false" outlineLevel="0" collapsed="false">
      <c r="A2509" s="3" t="n">
        <v>2508</v>
      </c>
      <c r="B2509" s="3" t="n">
        <v>2507</v>
      </c>
      <c r="C2509" s="3" t="n">
        <v>3</v>
      </c>
      <c r="D2509" s="3" t="n">
        <v>5</v>
      </c>
      <c r="E2509" s="3" t="n">
        <v>15</v>
      </c>
      <c r="F2509" s="24" t="n">
        <v>-0.0226645079</v>
      </c>
    </row>
    <row r="2510" customFormat="false" ht="15" hidden="false" customHeight="false" outlineLevel="0" collapsed="false">
      <c r="A2510" s="3" t="n">
        <v>2509</v>
      </c>
      <c r="B2510" s="3" t="n">
        <v>2508</v>
      </c>
      <c r="C2510" s="3" t="n">
        <v>3</v>
      </c>
      <c r="D2510" s="3" t="n">
        <v>5</v>
      </c>
      <c r="E2510" s="3" t="n">
        <v>16</v>
      </c>
      <c r="F2510" s="24" t="n">
        <v>-0.0226645079</v>
      </c>
    </row>
    <row r="2511" customFormat="false" ht="15" hidden="false" customHeight="false" outlineLevel="0" collapsed="false">
      <c r="A2511" s="3" t="n">
        <v>2510</v>
      </c>
      <c r="B2511" s="3" t="n">
        <v>2509</v>
      </c>
      <c r="C2511" s="3" t="n">
        <v>3</v>
      </c>
      <c r="D2511" s="3" t="n">
        <v>5</v>
      </c>
      <c r="E2511" s="3" t="n">
        <v>17</v>
      </c>
      <c r="F2511" s="24" t="n">
        <v>-0.0226645079</v>
      </c>
    </row>
    <row r="2512" customFormat="false" ht="15" hidden="false" customHeight="false" outlineLevel="0" collapsed="false">
      <c r="A2512" s="3" t="n">
        <v>2511</v>
      </c>
      <c r="B2512" s="3" t="n">
        <v>2510</v>
      </c>
      <c r="C2512" s="3" t="n">
        <v>3</v>
      </c>
      <c r="D2512" s="3" t="n">
        <v>5</v>
      </c>
      <c r="E2512" s="3" t="n">
        <v>18</v>
      </c>
      <c r="F2512" s="24" t="n">
        <v>-0.0226645079</v>
      </c>
    </row>
    <row r="2513" customFormat="false" ht="15" hidden="false" customHeight="false" outlineLevel="0" collapsed="false">
      <c r="A2513" s="3" t="n">
        <v>2512</v>
      </c>
      <c r="B2513" s="3" t="n">
        <v>2511</v>
      </c>
      <c r="C2513" s="3" t="n">
        <v>3</v>
      </c>
      <c r="D2513" s="3" t="n">
        <v>5</v>
      </c>
      <c r="E2513" s="3" t="n">
        <v>19</v>
      </c>
      <c r="F2513" s="24" t="n">
        <v>-0.0226645079</v>
      </c>
    </row>
    <row r="2514" customFormat="false" ht="15" hidden="false" customHeight="false" outlineLevel="0" collapsed="false">
      <c r="A2514" s="3" t="n">
        <v>2513</v>
      </c>
      <c r="B2514" s="3" t="n">
        <v>2512</v>
      </c>
      <c r="C2514" s="3" t="n">
        <v>3</v>
      </c>
      <c r="D2514" s="3" t="n">
        <v>5</v>
      </c>
      <c r="E2514" s="3" t="n">
        <v>20</v>
      </c>
      <c r="F2514" s="24" t="n">
        <v>-0.0226645079</v>
      </c>
    </row>
    <row r="2515" customFormat="false" ht="15" hidden="false" customHeight="false" outlineLevel="0" collapsed="false">
      <c r="A2515" s="3" t="n">
        <v>2514</v>
      </c>
      <c r="B2515" s="3" t="n">
        <v>2513</v>
      </c>
      <c r="C2515" s="3" t="n">
        <v>3</v>
      </c>
      <c r="D2515" s="3" t="n">
        <v>5</v>
      </c>
      <c r="E2515" s="3" t="n">
        <v>21</v>
      </c>
      <c r="F2515" s="24" t="n">
        <v>-0.0226645079</v>
      </c>
    </row>
    <row r="2516" customFormat="false" ht="15" hidden="false" customHeight="false" outlineLevel="0" collapsed="false">
      <c r="A2516" s="3" t="n">
        <v>2515</v>
      </c>
      <c r="B2516" s="3" t="n">
        <v>2514</v>
      </c>
      <c r="C2516" s="3" t="n">
        <v>3</v>
      </c>
      <c r="D2516" s="3" t="n">
        <v>5</v>
      </c>
      <c r="E2516" s="3" t="n">
        <v>22</v>
      </c>
      <c r="F2516" s="24" t="n">
        <v>-0.0226645079</v>
      </c>
    </row>
    <row r="2517" customFormat="false" ht="15" hidden="false" customHeight="false" outlineLevel="0" collapsed="false">
      <c r="A2517" s="3" t="n">
        <v>2516</v>
      </c>
      <c r="B2517" s="3" t="n">
        <v>2515</v>
      </c>
      <c r="C2517" s="3" t="n">
        <v>3</v>
      </c>
      <c r="D2517" s="3" t="n">
        <v>5</v>
      </c>
      <c r="E2517" s="3" t="n">
        <v>23</v>
      </c>
      <c r="F2517" s="24" t="n">
        <v>-0.0226645079</v>
      </c>
    </row>
    <row r="2518" customFormat="false" ht="15" hidden="false" customHeight="false" outlineLevel="0" collapsed="false">
      <c r="A2518" s="3" t="n">
        <v>2517</v>
      </c>
      <c r="B2518" s="3" t="n">
        <v>2516</v>
      </c>
      <c r="C2518" s="3" t="n">
        <v>3</v>
      </c>
      <c r="D2518" s="3" t="n">
        <v>5</v>
      </c>
      <c r="E2518" s="3" t="n">
        <v>24</v>
      </c>
      <c r="F2518" s="24" t="n">
        <v>-0.0226645079</v>
      </c>
    </row>
    <row r="2519" customFormat="false" ht="15" hidden="false" customHeight="false" outlineLevel="0" collapsed="false">
      <c r="A2519" s="3" t="n">
        <v>2518</v>
      </c>
      <c r="B2519" s="3" t="n">
        <v>2517</v>
      </c>
      <c r="C2519" s="3" t="n">
        <v>3</v>
      </c>
      <c r="D2519" s="3" t="n">
        <v>5</v>
      </c>
      <c r="E2519" s="3" t="n">
        <v>25</v>
      </c>
      <c r="F2519" s="24" t="n">
        <v>-0.0226645079</v>
      </c>
    </row>
    <row r="2520" customFormat="false" ht="15" hidden="false" customHeight="false" outlineLevel="0" collapsed="false">
      <c r="A2520" s="3" t="n">
        <v>2519</v>
      </c>
      <c r="B2520" s="3" t="n">
        <v>2518</v>
      </c>
      <c r="C2520" s="3" t="n">
        <v>3</v>
      </c>
      <c r="D2520" s="3" t="n">
        <v>5</v>
      </c>
      <c r="E2520" s="3" t="n">
        <v>26</v>
      </c>
      <c r="F2520" s="24" t="n">
        <v>-0.0226645079</v>
      </c>
    </row>
    <row r="2521" customFormat="false" ht="15" hidden="false" customHeight="false" outlineLevel="0" collapsed="false">
      <c r="A2521" s="3" t="n">
        <v>2520</v>
      </c>
      <c r="B2521" s="3" t="n">
        <v>2519</v>
      </c>
      <c r="C2521" s="3" t="n">
        <v>3</v>
      </c>
      <c r="D2521" s="3" t="n">
        <v>5</v>
      </c>
      <c r="E2521" s="3" t="n">
        <v>27</v>
      </c>
      <c r="F2521" s="24" t="n">
        <v>-0.00741321221</v>
      </c>
    </row>
    <row r="2522" customFormat="false" ht="15" hidden="false" customHeight="false" outlineLevel="0" collapsed="false">
      <c r="A2522" s="3" t="n">
        <v>2521</v>
      </c>
      <c r="B2522" s="3" t="n">
        <v>2520</v>
      </c>
      <c r="C2522" s="3" t="n">
        <v>3</v>
      </c>
      <c r="D2522" s="3" t="n">
        <v>6</v>
      </c>
      <c r="E2522" s="3" t="n">
        <v>0</v>
      </c>
      <c r="F2522" s="24" t="n">
        <v>0.0962923914</v>
      </c>
    </row>
    <row r="2523" customFormat="false" ht="15" hidden="false" customHeight="false" outlineLevel="0" collapsed="false">
      <c r="A2523" s="3" t="n">
        <v>2522</v>
      </c>
      <c r="B2523" s="3" t="n">
        <v>2521</v>
      </c>
      <c r="C2523" s="3" t="n">
        <v>3</v>
      </c>
      <c r="D2523" s="3" t="n">
        <v>6</v>
      </c>
      <c r="E2523" s="3" t="n">
        <v>1</v>
      </c>
      <c r="F2523" s="24" t="n">
        <v>-0.0226645079</v>
      </c>
    </row>
    <row r="2524" customFormat="false" ht="15" hidden="false" customHeight="false" outlineLevel="0" collapsed="false">
      <c r="A2524" s="3" t="n">
        <v>2523</v>
      </c>
      <c r="B2524" s="3" t="n">
        <v>2522</v>
      </c>
      <c r="C2524" s="3" t="n">
        <v>3</v>
      </c>
      <c r="D2524" s="3" t="n">
        <v>6</v>
      </c>
      <c r="E2524" s="3" t="n">
        <v>2</v>
      </c>
      <c r="F2524" s="24" t="n">
        <v>-0.0226645079</v>
      </c>
    </row>
    <row r="2525" customFormat="false" ht="15" hidden="false" customHeight="false" outlineLevel="0" collapsed="false">
      <c r="A2525" s="3" t="n">
        <v>2524</v>
      </c>
      <c r="B2525" s="3" t="n">
        <v>2523</v>
      </c>
      <c r="C2525" s="3" t="n">
        <v>3</v>
      </c>
      <c r="D2525" s="3" t="n">
        <v>6</v>
      </c>
      <c r="E2525" s="3" t="n">
        <v>3</v>
      </c>
      <c r="F2525" s="24" t="n">
        <v>-0.0226645079</v>
      </c>
    </row>
    <row r="2526" customFormat="false" ht="15" hidden="false" customHeight="false" outlineLevel="0" collapsed="false">
      <c r="A2526" s="3" t="n">
        <v>2525</v>
      </c>
      <c r="B2526" s="3" t="n">
        <v>2524</v>
      </c>
      <c r="C2526" s="3" t="n">
        <v>3</v>
      </c>
      <c r="D2526" s="3" t="n">
        <v>6</v>
      </c>
      <c r="E2526" s="3" t="n">
        <v>4</v>
      </c>
      <c r="F2526" s="24" t="n">
        <v>-0.0226645079</v>
      </c>
    </row>
    <row r="2527" customFormat="false" ht="15" hidden="false" customHeight="false" outlineLevel="0" collapsed="false">
      <c r="A2527" s="3" t="n">
        <v>2526</v>
      </c>
      <c r="B2527" s="3" t="n">
        <v>2525</v>
      </c>
      <c r="C2527" s="3" t="n">
        <v>3</v>
      </c>
      <c r="D2527" s="3" t="n">
        <v>6</v>
      </c>
      <c r="E2527" s="3" t="n">
        <v>5</v>
      </c>
      <c r="F2527" s="24" t="n">
        <v>0.478796542</v>
      </c>
    </row>
    <row r="2528" customFormat="false" ht="15" hidden="false" customHeight="false" outlineLevel="0" collapsed="false">
      <c r="A2528" s="3" t="n">
        <v>2527</v>
      </c>
      <c r="B2528" s="3" t="n">
        <v>2526</v>
      </c>
      <c r="C2528" s="3" t="n">
        <v>3</v>
      </c>
      <c r="D2528" s="3" t="n">
        <v>6</v>
      </c>
      <c r="E2528" s="3" t="n">
        <v>6</v>
      </c>
      <c r="F2528" s="24" t="n">
        <v>1.41845345</v>
      </c>
    </row>
    <row r="2529" customFormat="false" ht="15" hidden="false" customHeight="false" outlineLevel="0" collapsed="false">
      <c r="A2529" s="3" t="n">
        <v>2528</v>
      </c>
      <c r="B2529" s="3" t="n">
        <v>2527</v>
      </c>
      <c r="C2529" s="3" t="n">
        <v>3</v>
      </c>
      <c r="D2529" s="3" t="n">
        <v>6</v>
      </c>
      <c r="E2529" s="3" t="n">
        <v>7</v>
      </c>
      <c r="F2529" s="24" t="n">
        <v>1.89324617</v>
      </c>
    </row>
    <row r="2530" customFormat="false" ht="15" hidden="false" customHeight="false" outlineLevel="0" collapsed="false">
      <c r="A2530" s="3" t="n">
        <v>2529</v>
      </c>
      <c r="B2530" s="3" t="n">
        <v>2528</v>
      </c>
      <c r="C2530" s="3" t="n">
        <v>3</v>
      </c>
      <c r="D2530" s="3" t="n">
        <v>6</v>
      </c>
      <c r="E2530" s="3" t="n">
        <v>8</v>
      </c>
      <c r="F2530" s="24" t="n">
        <v>2.01198864</v>
      </c>
    </row>
    <row r="2531" customFormat="false" ht="15" hidden="false" customHeight="false" outlineLevel="0" collapsed="false">
      <c r="A2531" s="3" t="n">
        <v>2530</v>
      </c>
      <c r="B2531" s="3" t="n">
        <v>2529</v>
      </c>
      <c r="C2531" s="3" t="n">
        <v>3</v>
      </c>
      <c r="D2531" s="3" t="n">
        <v>6</v>
      </c>
      <c r="E2531" s="3" t="n">
        <v>9</v>
      </c>
      <c r="F2531" s="24" t="n">
        <v>1.36698115</v>
      </c>
    </row>
    <row r="2532" customFormat="false" ht="15" hidden="false" customHeight="false" outlineLevel="0" collapsed="false">
      <c r="A2532" s="3" t="n">
        <v>2531</v>
      </c>
      <c r="B2532" s="3" t="n">
        <v>2530</v>
      </c>
      <c r="C2532" s="3" t="n">
        <v>3</v>
      </c>
      <c r="D2532" s="3" t="n">
        <v>6</v>
      </c>
      <c r="E2532" s="3" t="n">
        <v>10</v>
      </c>
      <c r="F2532" s="24" t="n">
        <v>0.837494433</v>
      </c>
    </row>
    <row r="2533" customFormat="false" ht="15" hidden="false" customHeight="false" outlineLevel="0" collapsed="false">
      <c r="A2533" s="3" t="n">
        <v>2532</v>
      </c>
      <c r="B2533" s="3" t="n">
        <v>2531</v>
      </c>
      <c r="C2533" s="3" t="n">
        <v>3</v>
      </c>
      <c r="D2533" s="3" t="n">
        <v>6</v>
      </c>
      <c r="E2533" s="3" t="n">
        <v>11</v>
      </c>
      <c r="F2533" s="24" t="n">
        <v>0.28246358</v>
      </c>
    </row>
    <row r="2534" customFormat="false" ht="15" hidden="false" customHeight="false" outlineLevel="0" collapsed="false">
      <c r="A2534" s="3" t="n">
        <v>2533</v>
      </c>
      <c r="B2534" s="3" t="n">
        <v>2532</v>
      </c>
      <c r="C2534" s="3" t="n">
        <v>3</v>
      </c>
      <c r="D2534" s="3" t="n">
        <v>6</v>
      </c>
      <c r="E2534" s="3" t="n">
        <v>12</v>
      </c>
      <c r="F2534" s="24" t="n">
        <v>0.0738298893</v>
      </c>
    </row>
    <row r="2535" customFormat="false" ht="15" hidden="false" customHeight="false" outlineLevel="0" collapsed="false">
      <c r="A2535" s="3" t="n">
        <v>2534</v>
      </c>
      <c r="B2535" s="3" t="n">
        <v>2533</v>
      </c>
      <c r="C2535" s="3" t="n">
        <v>3</v>
      </c>
      <c r="D2535" s="3" t="n">
        <v>6</v>
      </c>
      <c r="E2535" s="3" t="n">
        <v>13</v>
      </c>
      <c r="F2535" s="24" t="n">
        <v>-0.0226645079</v>
      </c>
    </row>
    <row r="2536" customFormat="false" ht="15" hidden="false" customHeight="false" outlineLevel="0" collapsed="false">
      <c r="A2536" s="3" t="n">
        <v>2535</v>
      </c>
      <c r="B2536" s="3" t="n">
        <v>2534</v>
      </c>
      <c r="C2536" s="3" t="n">
        <v>3</v>
      </c>
      <c r="D2536" s="3" t="n">
        <v>6</v>
      </c>
      <c r="E2536" s="3" t="n">
        <v>14</v>
      </c>
      <c r="F2536" s="24" t="n">
        <v>-0.0226645079</v>
      </c>
    </row>
    <row r="2537" customFormat="false" ht="15" hidden="false" customHeight="false" outlineLevel="0" collapsed="false">
      <c r="A2537" s="3" t="n">
        <v>2536</v>
      </c>
      <c r="B2537" s="3" t="n">
        <v>2535</v>
      </c>
      <c r="C2537" s="3" t="n">
        <v>3</v>
      </c>
      <c r="D2537" s="3" t="n">
        <v>6</v>
      </c>
      <c r="E2537" s="3" t="n">
        <v>15</v>
      </c>
      <c r="F2537" s="24" t="n">
        <v>-0.0226645079</v>
      </c>
    </row>
    <row r="2538" customFormat="false" ht="15" hidden="false" customHeight="false" outlineLevel="0" collapsed="false">
      <c r="A2538" s="3" t="n">
        <v>2537</v>
      </c>
      <c r="B2538" s="3" t="n">
        <v>2536</v>
      </c>
      <c r="C2538" s="3" t="n">
        <v>3</v>
      </c>
      <c r="D2538" s="3" t="n">
        <v>6</v>
      </c>
      <c r="E2538" s="3" t="n">
        <v>16</v>
      </c>
      <c r="F2538" s="24" t="n">
        <v>-0.0226645079</v>
      </c>
    </row>
    <row r="2539" customFormat="false" ht="15" hidden="false" customHeight="false" outlineLevel="0" collapsed="false">
      <c r="A2539" s="3" t="n">
        <v>2538</v>
      </c>
      <c r="B2539" s="3" t="n">
        <v>2537</v>
      </c>
      <c r="C2539" s="3" t="n">
        <v>3</v>
      </c>
      <c r="D2539" s="3" t="n">
        <v>6</v>
      </c>
      <c r="E2539" s="3" t="n">
        <v>17</v>
      </c>
      <c r="F2539" s="24" t="n">
        <v>-0.0226645079</v>
      </c>
    </row>
    <row r="2540" customFormat="false" ht="15" hidden="false" customHeight="false" outlineLevel="0" collapsed="false">
      <c r="A2540" s="3" t="n">
        <v>2539</v>
      </c>
      <c r="B2540" s="3" t="n">
        <v>2538</v>
      </c>
      <c r="C2540" s="3" t="n">
        <v>3</v>
      </c>
      <c r="D2540" s="3" t="n">
        <v>6</v>
      </c>
      <c r="E2540" s="3" t="n">
        <v>18</v>
      </c>
      <c r="F2540" s="24" t="n">
        <v>-0.0226645079</v>
      </c>
    </row>
    <row r="2541" customFormat="false" ht="15" hidden="false" customHeight="false" outlineLevel="0" collapsed="false">
      <c r="A2541" s="3" t="n">
        <v>2540</v>
      </c>
      <c r="B2541" s="3" t="n">
        <v>2539</v>
      </c>
      <c r="C2541" s="3" t="n">
        <v>3</v>
      </c>
      <c r="D2541" s="3" t="n">
        <v>6</v>
      </c>
      <c r="E2541" s="3" t="n">
        <v>19</v>
      </c>
      <c r="F2541" s="24" t="n">
        <v>-0.0226645079</v>
      </c>
    </row>
    <row r="2542" customFormat="false" ht="15" hidden="false" customHeight="false" outlineLevel="0" collapsed="false">
      <c r="A2542" s="3" t="n">
        <v>2541</v>
      </c>
      <c r="B2542" s="3" t="n">
        <v>2540</v>
      </c>
      <c r="C2542" s="3" t="n">
        <v>3</v>
      </c>
      <c r="D2542" s="3" t="n">
        <v>6</v>
      </c>
      <c r="E2542" s="3" t="n">
        <v>20</v>
      </c>
      <c r="F2542" s="24" t="n">
        <v>-0.0226645079</v>
      </c>
    </row>
    <row r="2543" customFormat="false" ht="15" hidden="false" customHeight="false" outlineLevel="0" collapsed="false">
      <c r="A2543" s="3" t="n">
        <v>2542</v>
      </c>
      <c r="B2543" s="3" t="n">
        <v>2541</v>
      </c>
      <c r="C2543" s="3" t="n">
        <v>3</v>
      </c>
      <c r="D2543" s="3" t="n">
        <v>6</v>
      </c>
      <c r="E2543" s="3" t="n">
        <v>21</v>
      </c>
      <c r="F2543" s="24" t="n">
        <v>-0.0226645079</v>
      </c>
    </row>
    <row r="2544" customFormat="false" ht="15" hidden="false" customHeight="false" outlineLevel="0" collapsed="false">
      <c r="A2544" s="3" t="n">
        <v>2543</v>
      </c>
      <c r="B2544" s="3" t="n">
        <v>2542</v>
      </c>
      <c r="C2544" s="3" t="n">
        <v>3</v>
      </c>
      <c r="D2544" s="3" t="n">
        <v>6</v>
      </c>
      <c r="E2544" s="3" t="n">
        <v>22</v>
      </c>
      <c r="F2544" s="24" t="n">
        <v>-0.0226645079</v>
      </c>
    </row>
    <row r="2545" customFormat="false" ht="15" hidden="false" customHeight="false" outlineLevel="0" collapsed="false">
      <c r="A2545" s="3" t="n">
        <v>2544</v>
      </c>
      <c r="B2545" s="3" t="n">
        <v>2543</v>
      </c>
      <c r="C2545" s="3" t="n">
        <v>3</v>
      </c>
      <c r="D2545" s="3" t="n">
        <v>6</v>
      </c>
      <c r="E2545" s="3" t="n">
        <v>23</v>
      </c>
      <c r="F2545" s="24" t="n">
        <v>-0.0226645079</v>
      </c>
    </row>
    <row r="2546" customFormat="false" ht="15" hidden="false" customHeight="false" outlineLevel="0" collapsed="false">
      <c r="A2546" s="3" t="n">
        <v>2545</v>
      </c>
      <c r="B2546" s="3" t="n">
        <v>2544</v>
      </c>
      <c r="C2546" s="3" t="n">
        <v>3</v>
      </c>
      <c r="D2546" s="3" t="n">
        <v>6</v>
      </c>
      <c r="E2546" s="3" t="n">
        <v>24</v>
      </c>
      <c r="F2546" s="24" t="n">
        <v>-0.0226645079</v>
      </c>
    </row>
    <row r="2547" customFormat="false" ht="15" hidden="false" customHeight="false" outlineLevel="0" collapsed="false">
      <c r="A2547" s="3" t="n">
        <v>2546</v>
      </c>
      <c r="B2547" s="3" t="n">
        <v>2545</v>
      </c>
      <c r="C2547" s="3" t="n">
        <v>3</v>
      </c>
      <c r="D2547" s="3" t="n">
        <v>6</v>
      </c>
      <c r="E2547" s="3" t="n">
        <v>25</v>
      </c>
      <c r="F2547" s="24" t="n">
        <v>-0.0226645079</v>
      </c>
    </row>
    <row r="2548" customFormat="false" ht="15" hidden="false" customHeight="false" outlineLevel="0" collapsed="false">
      <c r="A2548" s="3" t="n">
        <v>2547</v>
      </c>
      <c r="B2548" s="3" t="n">
        <v>2546</v>
      </c>
      <c r="C2548" s="3" t="n">
        <v>3</v>
      </c>
      <c r="D2548" s="3" t="n">
        <v>6</v>
      </c>
      <c r="E2548" s="3" t="n">
        <v>26</v>
      </c>
      <c r="F2548" s="24" t="n">
        <v>-0.0226645079</v>
      </c>
    </row>
    <row r="2549" customFormat="false" ht="15" hidden="false" customHeight="false" outlineLevel="0" collapsed="false">
      <c r="A2549" s="3" t="n">
        <v>2548</v>
      </c>
      <c r="B2549" s="3" t="n">
        <v>2547</v>
      </c>
      <c r="C2549" s="3" t="n">
        <v>3</v>
      </c>
      <c r="D2549" s="3" t="n">
        <v>6</v>
      </c>
      <c r="E2549" s="3" t="n">
        <v>27</v>
      </c>
      <c r="F2549" s="24" t="n">
        <v>-0.00741321221</v>
      </c>
    </row>
    <row r="2550" customFormat="false" ht="15" hidden="false" customHeight="false" outlineLevel="0" collapsed="false">
      <c r="A2550" s="3" t="n">
        <v>2549</v>
      </c>
      <c r="B2550" s="3" t="n">
        <v>2548</v>
      </c>
      <c r="C2550" s="3" t="n">
        <v>3</v>
      </c>
      <c r="D2550" s="3" t="n">
        <v>7</v>
      </c>
      <c r="E2550" s="3" t="n">
        <v>0</v>
      </c>
      <c r="F2550" s="24" t="n">
        <v>0.0962923914</v>
      </c>
    </row>
    <row r="2551" customFormat="false" ht="15" hidden="false" customHeight="false" outlineLevel="0" collapsed="false">
      <c r="A2551" s="3" t="n">
        <v>2550</v>
      </c>
      <c r="B2551" s="3" t="n">
        <v>2549</v>
      </c>
      <c r="C2551" s="3" t="n">
        <v>3</v>
      </c>
      <c r="D2551" s="3" t="n">
        <v>7</v>
      </c>
      <c r="E2551" s="3" t="n">
        <v>1</v>
      </c>
      <c r="F2551" s="24" t="n">
        <v>-0.0226645079</v>
      </c>
    </row>
    <row r="2552" customFormat="false" ht="15" hidden="false" customHeight="false" outlineLevel="0" collapsed="false">
      <c r="A2552" s="3" t="n">
        <v>2551</v>
      </c>
      <c r="B2552" s="3" t="n">
        <v>2550</v>
      </c>
      <c r="C2552" s="3" t="n">
        <v>3</v>
      </c>
      <c r="D2552" s="3" t="n">
        <v>7</v>
      </c>
      <c r="E2552" s="3" t="n">
        <v>2</v>
      </c>
      <c r="F2552" s="24" t="n">
        <v>-0.0226645079</v>
      </c>
    </row>
    <row r="2553" customFormat="false" ht="15" hidden="false" customHeight="false" outlineLevel="0" collapsed="false">
      <c r="A2553" s="3" t="n">
        <v>2552</v>
      </c>
      <c r="B2553" s="3" t="n">
        <v>2551</v>
      </c>
      <c r="C2553" s="3" t="n">
        <v>3</v>
      </c>
      <c r="D2553" s="3" t="n">
        <v>7</v>
      </c>
      <c r="E2553" s="3" t="n">
        <v>3</v>
      </c>
      <c r="F2553" s="24" t="n">
        <v>-0.0226645079</v>
      </c>
    </row>
    <row r="2554" customFormat="false" ht="15" hidden="false" customHeight="false" outlineLevel="0" collapsed="false">
      <c r="A2554" s="3" t="n">
        <v>2553</v>
      </c>
      <c r="B2554" s="3" t="n">
        <v>2552</v>
      </c>
      <c r="C2554" s="3" t="n">
        <v>3</v>
      </c>
      <c r="D2554" s="3" t="n">
        <v>7</v>
      </c>
      <c r="E2554" s="3" t="n">
        <v>4</v>
      </c>
      <c r="F2554" s="24" t="n">
        <v>-0.0226645079</v>
      </c>
    </row>
    <row r="2555" customFormat="false" ht="15" hidden="false" customHeight="false" outlineLevel="0" collapsed="false">
      <c r="A2555" s="3" t="n">
        <v>2554</v>
      </c>
      <c r="B2555" s="3" t="n">
        <v>2553</v>
      </c>
      <c r="C2555" s="3" t="n">
        <v>3</v>
      </c>
      <c r="D2555" s="3" t="n">
        <v>7</v>
      </c>
      <c r="E2555" s="3" t="n">
        <v>5</v>
      </c>
      <c r="F2555" s="24" t="n">
        <v>1.68832505</v>
      </c>
    </row>
    <row r="2556" customFormat="false" ht="15" hidden="false" customHeight="false" outlineLevel="0" collapsed="false">
      <c r="A2556" s="3" t="n">
        <v>2555</v>
      </c>
      <c r="B2556" s="3" t="n">
        <v>2554</v>
      </c>
      <c r="C2556" s="3" t="n">
        <v>3</v>
      </c>
      <c r="D2556" s="3" t="n">
        <v>7</v>
      </c>
      <c r="E2556" s="3" t="n">
        <v>6</v>
      </c>
      <c r="F2556" s="24" t="n">
        <v>3.18664622</v>
      </c>
    </row>
    <row r="2557" customFormat="false" ht="15" hidden="false" customHeight="false" outlineLevel="0" collapsed="false">
      <c r="A2557" s="3" t="n">
        <v>2556</v>
      </c>
      <c r="B2557" s="3" t="n">
        <v>2555</v>
      </c>
      <c r="C2557" s="3" t="n">
        <v>3</v>
      </c>
      <c r="D2557" s="3" t="n">
        <v>7</v>
      </c>
      <c r="E2557" s="3" t="n">
        <v>7</v>
      </c>
      <c r="F2557" s="24" t="n">
        <v>4.24948072</v>
      </c>
    </row>
    <row r="2558" customFormat="false" ht="15" hidden="false" customHeight="false" outlineLevel="0" collapsed="false">
      <c r="A2558" s="3" t="n">
        <v>2557</v>
      </c>
      <c r="B2558" s="3" t="n">
        <v>2556</v>
      </c>
      <c r="C2558" s="3" t="n">
        <v>3</v>
      </c>
      <c r="D2558" s="3" t="n">
        <v>7</v>
      </c>
      <c r="E2558" s="3" t="n">
        <v>8</v>
      </c>
      <c r="F2558" s="24" t="n">
        <v>4.93163776</v>
      </c>
    </row>
    <row r="2559" customFormat="false" ht="15" hidden="false" customHeight="false" outlineLevel="0" collapsed="false">
      <c r="A2559" s="3" t="n">
        <v>2558</v>
      </c>
      <c r="B2559" s="3" t="n">
        <v>2557</v>
      </c>
      <c r="C2559" s="3" t="n">
        <v>3</v>
      </c>
      <c r="D2559" s="3" t="n">
        <v>7</v>
      </c>
      <c r="E2559" s="3" t="n">
        <v>9</v>
      </c>
      <c r="F2559" s="24" t="n">
        <v>4.35892248</v>
      </c>
    </row>
    <row r="2560" customFormat="false" ht="15" hidden="false" customHeight="false" outlineLevel="0" collapsed="false">
      <c r="A2560" s="3" t="n">
        <v>2559</v>
      </c>
      <c r="B2560" s="3" t="n">
        <v>2558</v>
      </c>
      <c r="C2560" s="3" t="n">
        <v>3</v>
      </c>
      <c r="D2560" s="3" t="n">
        <v>7</v>
      </c>
      <c r="E2560" s="3" t="n">
        <v>10</v>
      </c>
      <c r="F2560" s="24" t="n">
        <v>4.17231083</v>
      </c>
    </row>
    <row r="2561" customFormat="false" ht="15" hidden="false" customHeight="false" outlineLevel="0" collapsed="false">
      <c r="A2561" s="3" t="n">
        <v>2560</v>
      </c>
      <c r="B2561" s="3" t="n">
        <v>2559</v>
      </c>
      <c r="C2561" s="3" t="n">
        <v>3</v>
      </c>
      <c r="D2561" s="3" t="n">
        <v>7</v>
      </c>
      <c r="E2561" s="3" t="n">
        <v>11</v>
      </c>
      <c r="F2561" s="24" t="n">
        <v>3.15393376</v>
      </c>
    </row>
    <row r="2562" customFormat="false" ht="15" hidden="false" customHeight="false" outlineLevel="0" collapsed="false">
      <c r="A2562" s="3" t="n">
        <v>2561</v>
      </c>
      <c r="B2562" s="3" t="n">
        <v>2560</v>
      </c>
      <c r="C2562" s="3" t="n">
        <v>3</v>
      </c>
      <c r="D2562" s="3" t="n">
        <v>7</v>
      </c>
      <c r="E2562" s="3" t="n">
        <v>12</v>
      </c>
      <c r="F2562" s="24" t="n">
        <v>2.81955218</v>
      </c>
    </row>
    <row r="2563" customFormat="false" ht="15" hidden="false" customHeight="false" outlineLevel="0" collapsed="false">
      <c r="A2563" s="3" t="n">
        <v>2562</v>
      </c>
      <c r="B2563" s="3" t="n">
        <v>2561</v>
      </c>
      <c r="C2563" s="3" t="n">
        <v>3</v>
      </c>
      <c r="D2563" s="3" t="n">
        <v>7</v>
      </c>
      <c r="E2563" s="3" t="n">
        <v>13</v>
      </c>
      <c r="F2563" s="24" t="n">
        <v>2.48374248</v>
      </c>
    </row>
    <row r="2564" customFormat="false" ht="15" hidden="false" customHeight="false" outlineLevel="0" collapsed="false">
      <c r="A2564" s="3" t="n">
        <v>2563</v>
      </c>
      <c r="B2564" s="3" t="n">
        <v>2562</v>
      </c>
      <c r="C2564" s="3" t="n">
        <v>3</v>
      </c>
      <c r="D2564" s="3" t="n">
        <v>7</v>
      </c>
      <c r="E2564" s="3" t="n">
        <v>14</v>
      </c>
      <c r="F2564" s="24" t="n">
        <v>2.48374248</v>
      </c>
    </row>
    <row r="2565" customFormat="false" ht="15" hidden="false" customHeight="false" outlineLevel="0" collapsed="false">
      <c r="A2565" s="3" t="n">
        <v>2564</v>
      </c>
      <c r="B2565" s="3" t="n">
        <v>2563</v>
      </c>
      <c r="C2565" s="3" t="n">
        <v>3</v>
      </c>
      <c r="D2565" s="3" t="n">
        <v>7</v>
      </c>
      <c r="E2565" s="3" t="n">
        <v>15</v>
      </c>
      <c r="F2565" s="24" t="n">
        <v>2.48374248</v>
      </c>
    </row>
    <row r="2566" customFormat="false" ht="15" hidden="false" customHeight="false" outlineLevel="0" collapsed="false">
      <c r="A2566" s="3" t="n">
        <v>2565</v>
      </c>
      <c r="B2566" s="3" t="n">
        <v>2564</v>
      </c>
      <c r="C2566" s="3" t="n">
        <v>3</v>
      </c>
      <c r="D2566" s="3" t="n">
        <v>7</v>
      </c>
      <c r="E2566" s="3" t="n">
        <v>16</v>
      </c>
      <c r="F2566" s="24" t="n">
        <v>2.48374248</v>
      </c>
    </row>
    <row r="2567" customFormat="false" ht="15" hidden="false" customHeight="false" outlineLevel="0" collapsed="false">
      <c r="A2567" s="3" t="n">
        <v>2566</v>
      </c>
      <c r="B2567" s="3" t="n">
        <v>2565</v>
      </c>
      <c r="C2567" s="3" t="n">
        <v>3</v>
      </c>
      <c r="D2567" s="3" t="n">
        <v>7</v>
      </c>
      <c r="E2567" s="3" t="n">
        <v>17</v>
      </c>
      <c r="F2567" s="24" t="n">
        <v>2.48374248</v>
      </c>
    </row>
    <row r="2568" customFormat="false" ht="15" hidden="false" customHeight="false" outlineLevel="0" collapsed="false">
      <c r="A2568" s="3" t="n">
        <v>2567</v>
      </c>
      <c r="B2568" s="3" t="n">
        <v>2566</v>
      </c>
      <c r="C2568" s="3" t="n">
        <v>3</v>
      </c>
      <c r="D2568" s="3" t="n">
        <v>7</v>
      </c>
      <c r="E2568" s="3" t="n">
        <v>18</v>
      </c>
      <c r="F2568" s="24" t="n">
        <v>2.48374248</v>
      </c>
    </row>
    <row r="2569" customFormat="false" ht="15" hidden="false" customHeight="false" outlineLevel="0" collapsed="false">
      <c r="A2569" s="3" t="n">
        <v>2568</v>
      </c>
      <c r="B2569" s="3" t="n">
        <v>2567</v>
      </c>
      <c r="C2569" s="3" t="n">
        <v>3</v>
      </c>
      <c r="D2569" s="3" t="n">
        <v>7</v>
      </c>
      <c r="E2569" s="3" t="n">
        <v>19</v>
      </c>
      <c r="F2569" s="24" t="n">
        <v>2.31658888</v>
      </c>
    </row>
    <row r="2570" customFormat="false" ht="15" hidden="false" customHeight="false" outlineLevel="0" collapsed="false">
      <c r="A2570" s="3" t="n">
        <v>2569</v>
      </c>
      <c r="B2570" s="3" t="n">
        <v>2568</v>
      </c>
      <c r="C2570" s="3" t="n">
        <v>3</v>
      </c>
      <c r="D2570" s="3" t="n">
        <v>7</v>
      </c>
      <c r="E2570" s="3" t="n">
        <v>20</v>
      </c>
      <c r="F2570" s="24" t="n">
        <v>1.49991894</v>
      </c>
    </row>
    <row r="2571" customFormat="false" ht="15" hidden="false" customHeight="false" outlineLevel="0" collapsed="false">
      <c r="A2571" s="3" t="n">
        <v>2570</v>
      </c>
      <c r="B2571" s="3" t="n">
        <v>2569</v>
      </c>
      <c r="C2571" s="3" t="n">
        <v>3</v>
      </c>
      <c r="D2571" s="3" t="n">
        <v>7</v>
      </c>
      <c r="E2571" s="3" t="n">
        <v>21</v>
      </c>
      <c r="F2571" s="24" t="n">
        <v>0.641442537</v>
      </c>
    </row>
    <row r="2572" customFormat="false" ht="15" hidden="false" customHeight="false" outlineLevel="0" collapsed="false">
      <c r="A2572" s="3" t="n">
        <v>2571</v>
      </c>
      <c r="B2572" s="3" t="n">
        <v>2570</v>
      </c>
      <c r="C2572" s="3" t="n">
        <v>3</v>
      </c>
      <c r="D2572" s="3" t="n">
        <v>7</v>
      </c>
      <c r="E2572" s="3" t="n">
        <v>22</v>
      </c>
      <c r="F2572" s="24" t="n">
        <v>0.116716251</v>
      </c>
    </row>
    <row r="2573" customFormat="false" ht="15" hidden="false" customHeight="false" outlineLevel="0" collapsed="false">
      <c r="A2573" s="3" t="n">
        <v>2572</v>
      </c>
      <c r="B2573" s="3" t="n">
        <v>2571</v>
      </c>
      <c r="C2573" s="3" t="n">
        <v>3</v>
      </c>
      <c r="D2573" s="3" t="n">
        <v>7</v>
      </c>
      <c r="E2573" s="3" t="n">
        <v>23</v>
      </c>
      <c r="F2573" s="24" t="n">
        <v>-0.0226645079</v>
      </c>
    </row>
    <row r="2574" customFormat="false" ht="15" hidden="false" customHeight="false" outlineLevel="0" collapsed="false">
      <c r="A2574" s="3" t="n">
        <v>2573</v>
      </c>
      <c r="B2574" s="3" t="n">
        <v>2572</v>
      </c>
      <c r="C2574" s="3" t="n">
        <v>3</v>
      </c>
      <c r="D2574" s="3" t="n">
        <v>7</v>
      </c>
      <c r="E2574" s="3" t="n">
        <v>24</v>
      </c>
      <c r="F2574" s="24" t="n">
        <v>-0.0226645079</v>
      </c>
    </row>
    <row r="2575" customFormat="false" ht="15" hidden="false" customHeight="false" outlineLevel="0" collapsed="false">
      <c r="A2575" s="3" t="n">
        <v>2574</v>
      </c>
      <c r="B2575" s="3" t="n">
        <v>2573</v>
      </c>
      <c r="C2575" s="3" t="n">
        <v>3</v>
      </c>
      <c r="D2575" s="3" t="n">
        <v>7</v>
      </c>
      <c r="E2575" s="3" t="n">
        <v>25</v>
      </c>
      <c r="F2575" s="24" t="n">
        <v>-0.0226645079</v>
      </c>
    </row>
    <row r="2576" customFormat="false" ht="15" hidden="false" customHeight="false" outlineLevel="0" collapsed="false">
      <c r="A2576" s="3" t="n">
        <v>2575</v>
      </c>
      <c r="B2576" s="3" t="n">
        <v>2574</v>
      </c>
      <c r="C2576" s="3" t="n">
        <v>3</v>
      </c>
      <c r="D2576" s="3" t="n">
        <v>7</v>
      </c>
      <c r="E2576" s="3" t="n">
        <v>26</v>
      </c>
      <c r="F2576" s="24" t="n">
        <v>-0.0226645079</v>
      </c>
    </row>
    <row r="2577" customFormat="false" ht="15" hidden="false" customHeight="false" outlineLevel="0" collapsed="false">
      <c r="A2577" s="3" t="n">
        <v>2576</v>
      </c>
      <c r="B2577" s="3" t="n">
        <v>2575</v>
      </c>
      <c r="C2577" s="3" t="n">
        <v>3</v>
      </c>
      <c r="D2577" s="3" t="n">
        <v>7</v>
      </c>
      <c r="E2577" s="3" t="n">
        <v>27</v>
      </c>
      <c r="F2577" s="24" t="n">
        <v>-0.00741321221</v>
      </c>
    </row>
    <row r="2578" customFormat="false" ht="15" hidden="false" customHeight="false" outlineLevel="0" collapsed="false">
      <c r="A2578" s="3" t="n">
        <v>2577</v>
      </c>
      <c r="B2578" s="3" t="n">
        <v>2576</v>
      </c>
      <c r="C2578" s="3" t="n">
        <v>3</v>
      </c>
      <c r="D2578" s="3" t="n">
        <v>8</v>
      </c>
      <c r="E2578" s="3" t="n">
        <v>0</v>
      </c>
      <c r="F2578" s="24" t="n">
        <v>0.0962923914</v>
      </c>
    </row>
    <row r="2579" customFormat="false" ht="15" hidden="false" customHeight="false" outlineLevel="0" collapsed="false">
      <c r="A2579" s="3" t="n">
        <v>2578</v>
      </c>
      <c r="B2579" s="3" t="n">
        <v>2577</v>
      </c>
      <c r="C2579" s="3" t="n">
        <v>3</v>
      </c>
      <c r="D2579" s="3" t="n">
        <v>8</v>
      </c>
      <c r="E2579" s="3" t="n">
        <v>1</v>
      </c>
      <c r="F2579" s="24" t="n">
        <v>-0.0226645079</v>
      </c>
    </row>
    <row r="2580" customFormat="false" ht="15" hidden="false" customHeight="false" outlineLevel="0" collapsed="false">
      <c r="A2580" s="3" t="n">
        <v>2579</v>
      </c>
      <c r="B2580" s="3" t="n">
        <v>2578</v>
      </c>
      <c r="C2580" s="3" t="n">
        <v>3</v>
      </c>
      <c r="D2580" s="3" t="n">
        <v>8</v>
      </c>
      <c r="E2580" s="3" t="n">
        <v>2</v>
      </c>
      <c r="F2580" s="24" t="n">
        <v>-0.0226645079</v>
      </c>
    </row>
    <row r="2581" customFormat="false" ht="15" hidden="false" customHeight="false" outlineLevel="0" collapsed="false">
      <c r="A2581" s="3" t="n">
        <v>2580</v>
      </c>
      <c r="B2581" s="3" t="n">
        <v>2579</v>
      </c>
      <c r="C2581" s="3" t="n">
        <v>3</v>
      </c>
      <c r="D2581" s="3" t="n">
        <v>8</v>
      </c>
      <c r="E2581" s="3" t="n">
        <v>3</v>
      </c>
      <c r="F2581" s="24" t="n">
        <v>-0.0226645079</v>
      </c>
    </row>
    <row r="2582" customFormat="false" ht="15" hidden="false" customHeight="false" outlineLevel="0" collapsed="false">
      <c r="A2582" s="3" t="n">
        <v>2581</v>
      </c>
      <c r="B2582" s="3" t="n">
        <v>2580</v>
      </c>
      <c r="C2582" s="3" t="n">
        <v>3</v>
      </c>
      <c r="D2582" s="3" t="n">
        <v>8</v>
      </c>
      <c r="E2582" s="3" t="n">
        <v>4</v>
      </c>
      <c r="F2582" s="24" t="n">
        <v>-0.0226645079</v>
      </c>
    </row>
    <row r="2583" customFormat="false" ht="15" hidden="false" customHeight="false" outlineLevel="0" collapsed="false">
      <c r="A2583" s="3" t="n">
        <v>2582</v>
      </c>
      <c r="B2583" s="3" t="n">
        <v>2581</v>
      </c>
      <c r="C2583" s="3" t="n">
        <v>3</v>
      </c>
      <c r="D2583" s="3" t="n">
        <v>8</v>
      </c>
      <c r="E2583" s="3" t="n">
        <v>5</v>
      </c>
      <c r="F2583" s="24" t="n">
        <v>0.547937453</v>
      </c>
    </row>
    <row r="2584" customFormat="false" ht="15" hidden="false" customHeight="false" outlineLevel="0" collapsed="false">
      <c r="A2584" s="3" t="n">
        <v>2583</v>
      </c>
      <c r="B2584" s="3" t="n">
        <v>2582</v>
      </c>
      <c r="C2584" s="3" t="n">
        <v>3</v>
      </c>
      <c r="D2584" s="3" t="n">
        <v>8</v>
      </c>
      <c r="E2584" s="3" t="n">
        <v>6</v>
      </c>
      <c r="F2584" s="24" t="n">
        <v>-0.556293607</v>
      </c>
    </row>
    <row r="2585" customFormat="false" ht="15" hidden="false" customHeight="false" outlineLevel="0" collapsed="false">
      <c r="A2585" s="3" t="n">
        <v>2584</v>
      </c>
      <c r="B2585" s="3" t="n">
        <v>2583</v>
      </c>
      <c r="C2585" s="3" t="n">
        <v>3</v>
      </c>
      <c r="D2585" s="3" t="n">
        <v>8</v>
      </c>
      <c r="E2585" s="3" t="n">
        <v>7</v>
      </c>
      <c r="F2585" s="24" t="n">
        <v>-0.0642546862</v>
      </c>
    </row>
    <row r="2586" customFormat="false" ht="15" hidden="false" customHeight="false" outlineLevel="0" collapsed="false">
      <c r="A2586" s="3" t="n">
        <v>2585</v>
      </c>
      <c r="B2586" s="3" t="n">
        <v>2584</v>
      </c>
      <c r="C2586" s="3" t="n">
        <v>3</v>
      </c>
      <c r="D2586" s="3" t="n">
        <v>8</v>
      </c>
      <c r="E2586" s="3" t="n">
        <v>8</v>
      </c>
      <c r="F2586" s="24" t="n">
        <v>0.0954377502</v>
      </c>
    </row>
    <row r="2587" customFormat="false" ht="15" hidden="false" customHeight="false" outlineLevel="0" collapsed="false">
      <c r="A2587" s="3" t="n">
        <v>2586</v>
      </c>
      <c r="B2587" s="3" t="n">
        <v>2585</v>
      </c>
      <c r="C2587" s="3" t="n">
        <v>3</v>
      </c>
      <c r="D2587" s="3" t="n">
        <v>8</v>
      </c>
      <c r="E2587" s="3" t="n">
        <v>9</v>
      </c>
      <c r="F2587" s="24" t="n">
        <v>1.56196606</v>
      </c>
    </row>
    <row r="2588" customFormat="false" ht="15" hidden="false" customHeight="false" outlineLevel="0" collapsed="false">
      <c r="A2588" s="3" t="n">
        <v>2587</v>
      </c>
      <c r="B2588" s="3" t="n">
        <v>2586</v>
      </c>
      <c r="C2588" s="3" t="n">
        <v>3</v>
      </c>
      <c r="D2588" s="3" t="n">
        <v>8</v>
      </c>
      <c r="E2588" s="3" t="n">
        <v>10</v>
      </c>
      <c r="F2588" s="24" t="n">
        <v>3.18984151</v>
      </c>
    </row>
    <row r="2589" customFormat="false" ht="15" hidden="false" customHeight="false" outlineLevel="0" collapsed="false">
      <c r="A2589" s="3" t="n">
        <v>2588</v>
      </c>
      <c r="B2589" s="3" t="n">
        <v>2587</v>
      </c>
      <c r="C2589" s="3" t="n">
        <v>3</v>
      </c>
      <c r="D2589" s="3" t="n">
        <v>8</v>
      </c>
      <c r="E2589" s="3" t="n">
        <v>11</v>
      </c>
      <c r="F2589" s="24" t="n">
        <v>4.57681084</v>
      </c>
    </row>
    <row r="2590" customFormat="false" ht="15" hidden="false" customHeight="false" outlineLevel="0" collapsed="false">
      <c r="A2590" s="3" t="n">
        <v>2589</v>
      </c>
      <c r="B2590" s="3" t="n">
        <v>2588</v>
      </c>
      <c r="C2590" s="3" t="n">
        <v>3</v>
      </c>
      <c r="D2590" s="3" t="n">
        <v>8</v>
      </c>
      <c r="E2590" s="3" t="n">
        <v>12</v>
      </c>
      <c r="F2590" s="24" t="n">
        <v>5.0349617</v>
      </c>
    </row>
    <row r="2591" customFormat="false" ht="15" hidden="false" customHeight="false" outlineLevel="0" collapsed="false">
      <c r="A2591" s="3" t="n">
        <v>2590</v>
      </c>
      <c r="B2591" s="3" t="n">
        <v>2589</v>
      </c>
      <c r="C2591" s="3" t="n">
        <v>3</v>
      </c>
      <c r="D2591" s="3" t="n">
        <v>8</v>
      </c>
      <c r="E2591" s="3" t="n">
        <v>13</v>
      </c>
      <c r="F2591" s="24" t="n">
        <v>5.08932781</v>
      </c>
    </row>
    <row r="2592" customFormat="false" ht="15" hidden="false" customHeight="false" outlineLevel="0" collapsed="false">
      <c r="A2592" s="3" t="n">
        <v>2591</v>
      </c>
      <c r="B2592" s="3" t="n">
        <v>2590</v>
      </c>
      <c r="C2592" s="3" t="n">
        <v>3</v>
      </c>
      <c r="D2592" s="3" t="n">
        <v>8</v>
      </c>
      <c r="E2592" s="3" t="n">
        <v>14</v>
      </c>
      <c r="F2592" s="24" t="n">
        <v>5.127841</v>
      </c>
    </row>
    <row r="2593" customFormat="false" ht="15" hidden="false" customHeight="false" outlineLevel="0" collapsed="false">
      <c r="A2593" s="3" t="n">
        <v>2592</v>
      </c>
      <c r="B2593" s="3" t="n">
        <v>2591</v>
      </c>
      <c r="C2593" s="3" t="n">
        <v>3</v>
      </c>
      <c r="D2593" s="3" t="n">
        <v>8</v>
      </c>
      <c r="E2593" s="3" t="n">
        <v>15</v>
      </c>
      <c r="F2593" s="24" t="n">
        <v>5.20557261</v>
      </c>
    </row>
    <row r="2594" customFormat="false" ht="15" hidden="false" customHeight="false" outlineLevel="0" collapsed="false">
      <c r="A2594" s="3" t="n">
        <v>2593</v>
      </c>
      <c r="B2594" s="3" t="n">
        <v>2592</v>
      </c>
      <c r="C2594" s="3" t="n">
        <v>3</v>
      </c>
      <c r="D2594" s="3" t="n">
        <v>8</v>
      </c>
      <c r="E2594" s="3" t="n">
        <v>16</v>
      </c>
      <c r="F2594" s="24" t="n">
        <v>5.18169355</v>
      </c>
    </row>
    <row r="2595" customFormat="false" ht="15" hidden="false" customHeight="false" outlineLevel="0" collapsed="false">
      <c r="A2595" s="3" t="n">
        <v>2594</v>
      </c>
      <c r="B2595" s="3" t="n">
        <v>2593</v>
      </c>
      <c r="C2595" s="3" t="n">
        <v>3</v>
      </c>
      <c r="D2595" s="3" t="n">
        <v>8</v>
      </c>
      <c r="E2595" s="3" t="n">
        <v>17</v>
      </c>
      <c r="F2595" s="24" t="n">
        <v>5.04029417</v>
      </c>
    </row>
    <row r="2596" customFormat="false" ht="15" hidden="false" customHeight="false" outlineLevel="0" collapsed="false">
      <c r="A2596" s="3" t="n">
        <v>2595</v>
      </c>
      <c r="B2596" s="3" t="n">
        <v>2594</v>
      </c>
      <c r="C2596" s="3" t="n">
        <v>3</v>
      </c>
      <c r="D2596" s="3" t="n">
        <v>8</v>
      </c>
      <c r="E2596" s="3" t="n">
        <v>18</v>
      </c>
      <c r="F2596" s="24" t="n">
        <v>5.09463978</v>
      </c>
    </row>
    <row r="2597" customFormat="false" ht="15" hidden="false" customHeight="false" outlineLevel="0" collapsed="false">
      <c r="A2597" s="3" t="n">
        <v>2596</v>
      </c>
      <c r="B2597" s="3" t="n">
        <v>2595</v>
      </c>
      <c r="C2597" s="3" t="n">
        <v>3</v>
      </c>
      <c r="D2597" s="3" t="n">
        <v>8</v>
      </c>
      <c r="E2597" s="3" t="n">
        <v>19</v>
      </c>
      <c r="F2597" s="24" t="n">
        <v>5.00999641</v>
      </c>
    </row>
    <row r="2598" customFormat="false" ht="15" hidden="false" customHeight="false" outlineLevel="0" collapsed="false">
      <c r="A2598" s="3" t="n">
        <v>2597</v>
      </c>
      <c r="B2598" s="3" t="n">
        <v>2596</v>
      </c>
      <c r="C2598" s="3" t="n">
        <v>3</v>
      </c>
      <c r="D2598" s="3" t="n">
        <v>8</v>
      </c>
      <c r="E2598" s="3" t="n">
        <v>20</v>
      </c>
      <c r="F2598" s="24" t="n">
        <v>3.87008405</v>
      </c>
    </row>
    <row r="2599" customFormat="false" ht="15" hidden="false" customHeight="false" outlineLevel="0" collapsed="false">
      <c r="A2599" s="3" t="n">
        <v>2598</v>
      </c>
      <c r="B2599" s="3" t="n">
        <v>2597</v>
      </c>
      <c r="C2599" s="3" t="n">
        <v>3</v>
      </c>
      <c r="D2599" s="3" t="n">
        <v>8</v>
      </c>
      <c r="E2599" s="3" t="n">
        <v>21</v>
      </c>
      <c r="F2599" s="24" t="n">
        <v>2.23214865</v>
      </c>
    </row>
    <row r="2600" customFormat="false" ht="15" hidden="false" customHeight="false" outlineLevel="0" collapsed="false">
      <c r="A2600" s="3" t="n">
        <v>2599</v>
      </c>
      <c r="B2600" s="3" t="n">
        <v>2598</v>
      </c>
      <c r="C2600" s="3" t="n">
        <v>3</v>
      </c>
      <c r="D2600" s="3" t="n">
        <v>8</v>
      </c>
      <c r="E2600" s="3" t="n">
        <v>22</v>
      </c>
      <c r="F2600" s="24" t="n">
        <v>0.671167433</v>
      </c>
    </row>
    <row r="2601" customFormat="false" ht="15" hidden="false" customHeight="false" outlineLevel="0" collapsed="false">
      <c r="A2601" s="3" t="n">
        <v>2600</v>
      </c>
      <c r="B2601" s="3" t="n">
        <v>2599</v>
      </c>
      <c r="C2601" s="3" t="n">
        <v>3</v>
      </c>
      <c r="D2601" s="3" t="n">
        <v>8</v>
      </c>
      <c r="E2601" s="3" t="n">
        <v>23</v>
      </c>
      <c r="F2601" s="24" t="n">
        <v>-0.0226645079</v>
      </c>
    </row>
    <row r="2602" customFormat="false" ht="15" hidden="false" customHeight="false" outlineLevel="0" collapsed="false">
      <c r="A2602" s="3" t="n">
        <v>2601</v>
      </c>
      <c r="B2602" s="3" t="n">
        <v>2600</v>
      </c>
      <c r="C2602" s="3" t="n">
        <v>3</v>
      </c>
      <c r="D2602" s="3" t="n">
        <v>8</v>
      </c>
      <c r="E2602" s="3" t="n">
        <v>24</v>
      </c>
      <c r="F2602" s="24" t="n">
        <v>-0.0226645079</v>
      </c>
    </row>
    <row r="2603" customFormat="false" ht="15" hidden="false" customHeight="false" outlineLevel="0" collapsed="false">
      <c r="A2603" s="3" t="n">
        <v>2602</v>
      </c>
      <c r="B2603" s="3" t="n">
        <v>2601</v>
      </c>
      <c r="C2603" s="3" t="n">
        <v>3</v>
      </c>
      <c r="D2603" s="3" t="n">
        <v>8</v>
      </c>
      <c r="E2603" s="3" t="n">
        <v>25</v>
      </c>
      <c r="F2603" s="24" t="n">
        <v>-0.0226645079</v>
      </c>
    </row>
    <row r="2604" customFormat="false" ht="15" hidden="false" customHeight="false" outlineLevel="0" collapsed="false">
      <c r="A2604" s="3" t="n">
        <v>2603</v>
      </c>
      <c r="B2604" s="3" t="n">
        <v>2602</v>
      </c>
      <c r="C2604" s="3" t="n">
        <v>3</v>
      </c>
      <c r="D2604" s="3" t="n">
        <v>8</v>
      </c>
      <c r="E2604" s="3" t="n">
        <v>26</v>
      </c>
      <c r="F2604" s="24" t="n">
        <v>-0.0226645079</v>
      </c>
    </row>
    <row r="2605" customFormat="false" ht="15" hidden="false" customHeight="false" outlineLevel="0" collapsed="false">
      <c r="A2605" s="3" t="n">
        <v>2604</v>
      </c>
      <c r="B2605" s="3" t="n">
        <v>2603</v>
      </c>
      <c r="C2605" s="3" t="n">
        <v>3</v>
      </c>
      <c r="D2605" s="3" t="n">
        <v>8</v>
      </c>
      <c r="E2605" s="3" t="n">
        <v>27</v>
      </c>
      <c r="F2605" s="24" t="n">
        <v>-0.00741321221</v>
      </c>
    </row>
    <row r="2606" customFormat="false" ht="15" hidden="false" customHeight="false" outlineLevel="0" collapsed="false">
      <c r="A2606" s="3" t="n">
        <v>2605</v>
      </c>
      <c r="B2606" s="3" t="n">
        <v>2604</v>
      </c>
      <c r="C2606" s="3" t="n">
        <v>3</v>
      </c>
      <c r="D2606" s="3" t="n">
        <v>9</v>
      </c>
      <c r="E2606" s="3" t="n">
        <v>0</v>
      </c>
      <c r="F2606" s="24" t="n">
        <v>0.0962923914</v>
      </c>
    </row>
    <row r="2607" customFormat="false" ht="15" hidden="false" customHeight="false" outlineLevel="0" collapsed="false">
      <c r="A2607" s="3" t="n">
        <v>2606</v>
      </c>
      <c r="B2607" s="3" t="n">
        <v>2605</v>
      </c>
      <c r="C2607" s="3" t="n">
        <v>3</v>
      </c>
      <c r="D2607" s="3" t="n">
        <v>9</v>
      </c>
      <c r="E2607" s="3" t="n">
        <v>1</v>
      </c>
      <c r="F2607" s="24" t="n">
        <v>-0.0226645079</v>
      </c>
    </row>
    <row r="2608" customFormat="false" ht="15" hidden="false" customHeight="false" outlineLevel="0" collapsed="false">
      <c r="A2608" s="3" t="n">
        <v>2607</v>
      </c>
      <c r="B2608" s="3" t="n">
        <v>2606</v>
      </c>
      <c r="C2608" s="3" t="n">
        <v>3</v>
      </c>
      <c r="D2608" s="3" t="n">
        <v>9</v>
      </c>
      <c r="E2608" s="3" t="n">
        <v>2</v>
      </c>
      <c r="F2608" s="24" t="n">
        <v>-0.0226645079</v>
      </c>
    </row>
    <row r="2609" customFormat="false" ht="15" hidden="false" customHeight="false" outlineLevel="0" collapsed="false">
      <c r="A2609" s="3" t="n">
        <v>2608</v>
      </c>
      <c r="B2609" s="3" t="n">
        <v>2607</v>
      </c>
      <c r="C2609" s="3" t="n">
        <v>3</v>
      </c>
      <c r="D2609" s="3" t="n">
        <v>9</v>
      </c>
      <c r="E2609" s="3" t="n">
        <v>3</v>
      </c>
      <c r="F2609" s="24" t="n">
        <v>-0.0226645079</v>
      </c>
    </row>
    <row r="2610" customFormat="false" ht="15" hidden="false" customHeight="false" outlineLevel="0" collapsed="false">
      <c r="A2610" s="3" t="n">
        <v>2609</v>
      </c>
      <c r="B2610" s="3" t="n">
        <v>2608</v>
      </c>
      <c r="C2610" s="3" t="n">
        <v>3</v>
      </c>
      <c r="D2610" s="3" t="n">
        <v>9</v>
      </c>
      <c r="E2610" s="3" t="n">
        <v>4</v>
      </c>
      <c r="F2610" s="24" t="n">
        <v>-0.0226645079</v>
      </c>
    </row>
    <row r="2611" customFormat="false" ht="15" hidden="false" customHeight="false" outlineLevel="0" collapsed="false">
      <c r="A2611" s="3" t="n">
        <v>2610</v>
      </c>
      <c r="B2611" s="3" t="n">
        <v>2609</v>
      </c>
      <c r="C2611" s="3" t="n">
        <v>3</v>
      </c>
      <c r="D2611" s="3" t="n">
        <v>9</v>
      </c>
      <c r="E2611" s="3" t="n">
        <v>5</v>
      </c>
      <c r="F2611" s="24" t="n">
        <v>-1.95807397</v>
      </c>
    </row>
    <row r="2612" customFormat="false" ht="15" hidden="false" customHeight="false" outlineLevel="0" collapsed="false">
      <c r="A2612" s="3" t="n">
        <v>2611</v>
      </c>
      <c r="B2612" s="3" t="n">
        <v>2610</v>
      </c>
      <c r="C2612" s="3" t="n">
        <v>3</v>
      </c>
      <c r="D2612" s="3" t="n">
        <v>9</v>
      </c>
      <c r="E2612" s="3" t="n">
        <v>6</v>
      </c>
      <c r="F2612" s="24" t="n">
        <v>-3.83980823</v>
      </c>
    </row>
    <row r="2613" customFormat="false" ht="15" hidden="false" customHeight="false" outlineLevel="0" collapsed="false">
      <c r="A2613" s="3" t="n">
        <v>2612</v>
      </c>
      <c r="B2613" s="3" t="n">
        <v>2611</v>
      </c>
      <c r="C2613" s="3" t="n">
        <v>3</v>
      </c>
      <c r="D2613" s="3" t="n">
        <v>9</v>
      </c>
      <c r="E2613" s="3" t="n">
        <v>7</v>
      </c>
      <c r="F2613" s="24" t="n">
        <v>-5.06128597</v>
      </c>
    </row>
    <row r="2614" customFormat="false" ht="15" hidden="false" customHeight="false" outlineLevel="0" collapsed="false">
      <c r="A2614" s="3" t="n">
        <v>2613</v>
      </c>
      <c r="B2614" s="3" t="n">
        <v>2612</v>
      </c>
      <c r="C2614" s="3" t="n">
        <v>3</v>
      </c>
      <c r="D2614" s="3" t="n">
        <v>9</v>
      </c>
      <c r="E2614" s="3" t="n">
        <v>8</v>
      </c>
      <c r="F2614" s="24" t="n">
        <v>-4.72492504</v>
      </c>
    </row>
    <row r="2615" customFormat="false" ht="15" hidden="false" customHeight="false" outlineLevel="0" collapsed="false">
      <c r="A2615" s="3" t="n">
        <v>2614</v>
      </c>
      <c r="B2615" s="3" t="n">
        <v>2613</v>
      </c>
      <c r="C2615" s="3" t="n">
        <v>3</v>
      </c>
      <c r="D2615" s="3" t="n">
        <v>9</v>
      </c>
      <c r="E2615" s="3" t="n">
        <v>9</v>
      </c>
      <c r="F2615" s="24" t="n">
        <v>-4.78041744</v>
      </c>
    </row>
    <row r="2616" customFormat="false" ht="15" hidden="false" customHeight="false" outlineLevel="0" collapsed="false">
      <c r="A2616" s="3" t="n">
        <v>2615</v>
      </c>
      <c r="B2616" s="3" t="n">
        <v>2614</v>
      </c>
      <c r="C2616" s="3" t="n">
        <v>3</v>
      </c>
      <c r="D2616" s="3" t="n">
        <v>9</v>
      </c>
      <c r="E2616" s="3" t="n">
        <v>10</v>
      </c>
      <c r="F2616" s="24" t="n">
        <v>-4.02343893</v>
      </c>
    </row>
    <row r="2617" customFormat="false" ht="15" hidden="false" customHeight="false" outlineLevel="0" collapsed="false">
      <c r="A2617" s="3" t="n">
        <v>2616</v>
      </c>
      <c r="B2617" s="3" t="n">
        <v>2615</v>
      </c>
      <c r="C2617" s="3" t="n">
        <v>3</v>
      </c>
      <c r="D2617" s="3" t="n">
        <v>9</v>
      </c>
      <c r="E2617" s="3" t="n">
        <v>11</v>
      </c>
      <c r="F2617" s="24" t="n">
        <v>-2.73771858</v>
      </c>
    </row>
    <row r="2618" customFormat="false" ht="15" hidden="false" customHeight="false" outlineLevel="0" collapsed="false">
      <c r="A2618" s="3" t="n">
        <v>2617</v>
      </c>
      <c r="B2618" s="3" t="n">
        <v>2616</v>
      </c>
      <c r="C2618" s="3" t="n">
        <v>3</v>
      </c>
      <c r="D2618" s="3" t="n">
        <v>9</v>
      </c>
      <c r="E2618" s="3" t="n">
        <v>12</v>
      </c>
      <c r="F2618" s="24" t="n">
        <v>-2.15754247</v>
      </c>
    </row>
    <row r="2619" customFormat="false" ht="15" hidden="false" customHeight="false" outlineLevel="0" collapsed="false">
      <c r="A2619" s="3" t="n">
        <v>2618</v>
      </c>
      <c r="B2619" s="3" t="n">
        <v>2617</v>
      </c>
      <c r="C2619" s="3" t="n">
        <v>3</v>
      </c>
      <c r="D2619" s="3" t="n">
        <v>9</v>
      </c>
      <c r="E2619" s="3" t="n">
        <v>13</v>
      </c>
      <c r="F2619" s="24" t="n">
        <v>-1.37845314</v>
      </c>
    </row>
    <row r="2620" customFormat="false" ht="15" hidden="false" customHeight="false" outlineLevel="0" collapsed="false">
      <c r="A2620" s="3" t="n">
        <v>2619</v>
      </c>
      <c r="B2620" s="3" t="n">
        <v>2618</v>
      </c>
      <c r="C2620" s="3" t="n">
        <v>3</v>
      </c>
      <c r="D2620" s="3" t="n">
        <v>9</v>
      </c>
      <c r="E2620" s="3" t="n">
        <v>14</v>
      </c>
      <c r="F2620" s="24" t="n">
        <v>-1.49905336</v>
      </c>
    </row>
    <row r="2621" customFormat="false" ht="15" hidden="false" customHeight="false" outlineLevel="0" collapsed="false">
      <c r="A2621" s="3" t="n">
        <v>2620</v>
      </c>
      <c r="B2621" s="3" t="n">
        <v>2619</v>
      </c>
      <c r="C2621" s="3" t="n">
        <v>3</v>
      </c>
      <c r="D2621" s="3" t="n">
        <v>9</v>
      </c>
      <c r="E2621" s="3" t="n">
        <v>15</v>
      </c>
      <c r="F2621" s="24" t="n">
        <v>-1.17932487</v>
      </c>
    </row>
    <row r="2622" customFormat="false" ht="15" hidden="false" customHeight="false" outlineLevel="0" collapsed="false">
      <c r="A2622" s="3" t="n">
        <v>2621</v>
      </c>
      <c r="B2622" s="3" t="n">
        <v>2620</v>
      </c>
      <c r="C2622" s="3" t="n">
        <v>3</v>
      </c>
      <c r="D2622" s="3" t="n">
        <v>9</v>
      </c>
      <c r="E2622" s="3" t="n">
        <v>16</v>
      </c>
      <c r="F2622" s="24" t="n">
        <v>-1.24544966</v>
      </c>
    </row>
    <row r="2623" customFormat="false" ht="15" hidden="false" customHeight="false" outlineLevel="0" collapsed="false">
      <c r="A2623" s="3" t="n">
        <v>2622</v>
      </c>
      <c r="B2623" s="3" t="n">
        <v>2621</v>
      </c>
      <c r="C2623" s="3" t="n">
        <v>3</v>
      </c>
      <c r="D2623" s="3" t="n">
        <v>9</v>
      </c>
      <c r="E2623" s="3" t="n">
        <v>17</v>
      </c>
      <c r="F2623" s="24" t="n">
        <v>-1.5985868</v>
      </c>
    </row>
    <row r="2624" customFormat="false" ht="15" hidden="false" customHeight="false" outlineLevel="0" collapsed="false">
      <c r="A2624" s="3" t="n">
        <v>2623</v>
      </c>
      <c r="B2624" s="3" t="n">
        <v>2622</v>
      </c>
      <c r="C2624" s="3" t="n">
        <v>3</v>
      </c>
      <c r="D2624" s="3" t="n">
        <v>9</v>
      </c>
      <c r="E2624" s="3" t="n">
        <v>18</v>
      </c>
      <c r="F2624" s="24" t="n">
        <v>-0.386977851</v>
      </c>
    </row>
    <row r="2625" customFormat="false" ht="15" hidden="false" customHeight="false" outlineLevel="0" collapsed="false">
      <c r="A2625" s="3" t="n">
        <v>2624</v>
      </c>
      <c r="B2625" s="3" t="n">
        <v>2623</v>
      </c>
      <c r="C2625" s="3" t="n">
        <v>3</v>
      </c>
      <c r="D2625" s="3" t="n">
        <v>9</v>
      </c>
      <c r="E2625" s="3" t="n">
        <v>19</v>
      </c>
      <c r="F2625" s="24" t="n">
        <v>0.620897889</v>
      </c>
    </row>
    <row r="2626" customFormat="false" ht="15" hidden="false" customHeight="false" outlineLevel="0" collapsed="false">
      <c r="A2626" s="3" t="n">
        <v>2625</v>
      </c>
      <c r="B2626" s="3" t="n">
        <v>2624</v>
      </c>
      <c r="C2626" s="3" t="n">
        <v>3</v>
      </c>
      <c r="D2626" s="3" t="n">
        <v>9</v>
      </c>
      <c r="E2626" s="3" t="n">
        <v>20</v>
      </c>
      <c r="F2626" s="24" t="n">
        <v>1.4268868</v>
      </c>
    </row>
    <row r="2627" customFormat="false" ht="15" hidden="false" customHeight="false" outlineLevel="0" collapsed="false">
      <c r="A2627" s="3" t="n">
        <v>2626</v>
      </c>
      <c r="B2627" s="3" t="n">
        <v>2625</v>
      </c>
      <c r="C2627" s="3" t="n">
        <v>3</v>
      </c>
      <c r="D2627" s="3" t="n">
        <v>9</v>
      </c>
      <c r="E2627" s="3" t="n">
        <v>21</v>
      </c>
      <c r="F2627" s="24" t="n">
        <v>1.26460981</v>
      </c>
    </row>
    <row r="2628" customFormat="false" ht="15" hidden="false" customHeight="false" outlineLevel="0" collapsed="false">
      <c r="A2628" s="3" t="n">
        <v>2627</v>
      </c>
      <c r="B2628" s="3" t="n">
        <v>2626</v>
      </c>
      <c r="C2628" s="3" t="n">
        <v>3</v>
      </c>
      <c r="D2628" s="3" t="n">
        <v>9</v>
      </c>
      <c r="E2628" s="3" t="n">
        <v>22</v>
      </c>
      <c r="F2628" s="24" t="n">
        <v>0.846805513</v>
      </c>
    </row>
    <row r="2629" customFormat="false" ht="15" hidden="false" customHeight="false" outlineLevel="0" collapsed="false">
      <c r="A2629" s="3" t="n">
        <v>2628</v>
      </c>
      <c r="B2629" s="3" t="n">
        <v>2627</v>
      </c>
      <c r="C2629" s="3" t="n">
        <v>3</v>
      </c>
      <c r="D2629" s="3" t="n">
        <v>9</v>
      </c>
      <c r="E2629" s="3" t="n">
        <v>23</v>
      </c>
      <c r="F2629" s="24" t="n">
        <v>-0.0226645079</v>
      </c>
    </row>
    <row r="2630" customFormat="false" ht="15" hidden="false" customHeight="false" outlineLevel="0" collapsed="false">
      <c r="A2630" s="3" t="n">
        <v>2629</v>
      </c>
      <c r="B2630" s="3" t="n">
        <v>2628</v>
      </c>
      <c r="C2630" s="3" t="n">
        <v>3</v>
      </c>
      <c r="D2630" s="3" t="n">
        <v>9</v>
      </c>
      <c r="E2630" s="3" t="n">
        <v>24</v>
      </c>
      <c r="F2630" s="24" t="n">
        <v>-0.0226645079</v>
      </c>
    </row>
    <row r="2631" customFormat="false" ht="15" hidden="false" customHeight="false" outlineLevel="0" collapsed="false">
      <c r="A2631" s="3" t="n">
        <v>2630</v>
      </c>
      <c r="B2631" s="3" t="n">
        <v>2629</v>
      </c>
      <c r="C2631" s="3" t="n">
        <v>3</v>
      </c>
      <c r="D2631" s="3" t="n">
        <v>9</v>
      </c>
      <c r="E2631" s="3" t="n">
        <v>25</v>
      </c>
      <c r="F2631" s="24" t="n">
        <v>-0.0226645079</v>
      </c>
    </row>
    <row r="2632" customFormat="false" ht="15" hidden="false" customHeight="false" outlineLevel="0" collapsed="false">
      <c r="A2632" s="3" t="n">
        <v>2631</v>
      </c>
      <c r="B2632" s="3" t="n">
        <v>2630</v>
      </c>
      <c r="C2632" s="3" t="n">
        <v>3</v>
      </c>
      <c r="D2632" s="3" t="n">
        <v>9</v>
      </c>
      <c r="E2632" s="3" t="n">
        <v>26</v>
      </c>
      <c r="F2632" s="24" t="n">
        <v>-0.0226645079</v>
      </c>
    </row>
    <row r="2633" customFormat="false" ht="15" hidden="false" customHeight="false" outlineLevel="0" collapsed="false">
      <c r="A2633" s="3" t="n">
        <v>2632</v>
      </c>
      <c r="B2633" s="3" t="n">
        <v>2631</v>
      </c>
      <c r="C2633" s="3" t="n">
        <v>3</v>
      </c>
      <c r="D2633" s="3" t="n">
        <v>9</v>
      </c>
      <c r="E2633" s="3" t="n">
        <v>27</v>
      </c>
      <c r="F2633" s="24" t="n">
        <v>-0.00741321221</v>
      </c>
    </row>
    <row r="2634" customFormat="false" ht="15" hidden="false" customHeight="false" outlineLevel="0" collapsed="false">
      <c r="A2634" s="3" t="n">
        <v>2633</v>
      </c>
      <c r="B2634" s="3" t="n">
        <v>2632</v>
      </c>
      <c r="C2634" s="3" t="n">
        <v>3</v>
      </c>
      <c r="D2634" s="3" t="n">
        <v>10</v>
      </c>
      <c r="E2634" s="3" t="n">
        <v>0</v>
      </c>
      <c r="F2634" s="24" t="n">
        <v>0.0962923914</v>
      </c>
    </row>
    <row r="2635" customFormat="false" ht="15" hidden="false" customHeight="false" outlineLevel="0" collapsed="false">
      <c r="A2635" s="3" t="n">
        <v>2634</v>
      </c>
      <c r="B2635" s="3" t="n">
        <v>2633</v>
      </c>
      <c r="C2635" s="3" t="n">
        <v>3</v>
      </c>
      <c r="D2635" s="3" t="n">
        <v>10</v>
      </c>
      <c r="E2635" s="3" t="n">
        <v>1</v>
      </c>
      <c r="F2635" s="24" t="n">
        <v>-0.0226645079</v>
      </c>
    </row>
    <row r="2636" customFormat="false" ht="15" hidden="false" customHeight="false" outlineLevel="0" collapsed="false">
      <c r="A2636" s="3" t="n">
        <v>2635</v>
      </c>
      <c r="B2636" s="3" t="n">
        <v>2634</v>
      </c>
      <c r="C2636" s="3" t="n">
        <v>3</v>
      </c>
      <c r="D2636" s="3" t="n">
        <v>10</v>
      </c>
      <c r="E2636" s="3" t="n">
        <v>2</v>
      </c>
      <c r="F2636" s="24" t="n">
        <v>-0.0226645079</v>
      </c>
    </row>
    <row r="2637" customFormat="false" ht="15" hidden="false" customHeight="false" outlineLevel="0" collapsed="false">
      <c r="A2637" s="3" t="n">
        <v>2636</v>
      </c>
      <c r="B2637" s="3" t="n">
        <v>2635</v>
      </c>
      <c r="C2637" s="3" t="n">
        <v>3</v>
      </c>
      <c r="D2637" s="3" t="n">
        <v>10</v>
      </c>
      <c r="E2637" s="3" t="n">
        <v>3</v>
      </c>
      <c r="F2637" s="24" t="n">
        <v>-0.0226645079</v>
      </c>
    </row>
    <row r="2638" customFormat="false" ht="15" hidden="false" customHeight="false" outlineLevel="0" collapsed="false">
      <c r="A2638" s="3" t="n">
        <v>2637</v>
      </c>
      <c r="B2638" s="3" t="n">
        <v>2636</v>
      </c>
      <c r="C2638" s="3" t="n">
        <v>3</v>
      </c>
      <c r="D2638" s="3" t="n">
        <v>10</v>
      </c>
      <c r="E2638" s="3" t="n">
        <v>4</v>
      </c>
      <c r="F2638" s="24" t="n">
        <v>-0.0226645079</v>
      </c>
    </row>
    <row r="2639" customFormat="false" ht="15" hidden="false" customHeight="false" outlineLevel="0" collapsed="false">
      <c r="A2639" s="3" t="n">
        <v>2638</v>
      </c>
      <c r="B2639" s="3" t="n">
        <v>2637</v>
      </c>
      <c r="C2639" s="3" t="n">
        <v>3</v>
      </c>
      <c r="D2639" s="3" t="n">
        <v>10</v>
      </c>
      <c r="E2639" s="3" t="n">
        <v>5</v>
      </c>
      <c r="F2639" s="24" t="n">
        <v>-0.69962126</v>
      </c>
    </row>
    <row r="2640" customFormat="false" ht="15" hidden="false" customHeight="false" outlineLevel="0" collapsed="false">
      <c r="A2640" s="3" t="n">
        <v>2639</v>
      </c>
      <c r="B2640" s="3" t="n">
        <v>2638</v>
      </c>
      <c r="C2640" s="3" t="n">
        <v>3</v>
      </c>
      <c r="D2640" s="3" t="n">
        <v>10</v>
      </c>
      <c r="E2640" s="3" t="n">
        <v>6</v>
      </c>
      <c r="F2640" s="24" t="n">
        <v>-1.69880784</v>
      </c>
    </row>
    <row r="2641" customFormat="false" ht="15" hidden="false" customHeight="false" outlineLevel="0" collapsed="false">
      <c r="A2641" s="3" t="n">
        <v>2640</v>
      </c>
      <c r="B2641" s="3" t="n">
        <v>2639</v>
      </c>
      <c r="C2641" s="3" t="n">
        <v>3</v>
      </c>
      <c r="D2641" s="3" t="n">
        <v>10</v>
      </c>
      <c r="E2641" s="3" t="n">
        <v>7</v>
      </c>
      <c r="F2641" s="24" t="n">
        <v>-1.99316561</v>
      </c>
    </row>
    <row r="2642" customFormat="false" ht="15" hidden="false" customHeight="false" outlineLevel="0" collapsed="false">
      <c r="A2642" s="3" t="n">
        <v>2641</v>
      </c>
      <c r="B2642" s="3" t="n">
        <v>2640</v>
      </c>
      <c r="C2642" s="3" t="n">
        <v>3</v>
      </c>
      <c r="D2642" s="3" t="n">
        <v>10</v>
      </c>
      <c r="E2642" s="3" t="n">
        <v>8</v>
      </c>
      <c r="F2642" s="24" t="n">
        <v>-2.33502579</v>
      </c>
    </row>
    <row r="2643" customFormat="false" ht="15" hidden="false" customHeight="false" outlineLevel="0" collapsed="false">
      <c r="A2643" s="3" t="n">
        <v>2642</v>
      </c>
      <c r="B2643" s="3" t="n">
        <v>2641</v>
      </c>
      <c r="C2643" s="3" t="n">
        <v>3</v>
      </c>
      <c r="D2643" s="3" t="n">
        <v>10</v>
      </c>
      <c r="E2643" s="3" t="n">
        <v>9</v>
      </c>
      <c r="F2643" s="24" t="n">
        <v>-2.93880248</v>
      </c>
    </row>
    <row r="2644" customFormat="false" ht="15" hidden="false" customHeight="false" outlineLevel="0" collapsed="false">
      <c r="A2644" s="3" t="n">
        <v>2643</v>
      </c>
      <c r="B2644" s="3" t="n">
        <v>2642</v>
      </c>
      <c r="C2644" s="3" t="n">
        <v>3</v>
      </c>
      <c r="D2644" s="3" t="n">
        <v>10</v>
      </c>
      <c r="E2644" s="3" t="n">
        <v>10</v>
      </c>
      <c r="F2644" s="24" t="n">
        <v>-4.11081839</v>
      </c>
    </row>
    <row r="2645" customFormat="false" ht="15" hidden="false" customHeight="false" outlineLevel="0" collapsed="false">
      <c r="A2645" s="3" t="n">
        <v>2644</v>
      </c>
      <c r="B2645" s="3" t="n">
        <v>2643</v>
      </c>
      <c r="C2645" s="3" t="n">
        <v>3</v>
      </c>
      <c r="D2645" s="3" t="n">
        <v>10</v>
      </c>
      <c r="E2645" s="3" t="n">
        <v>11</v>
      </c>
      <c r="F2645" s="24" t="n">
        <v>-4.92548418</v>
      </c>
    </row>
    <row r="2646" customFormat="false" ht="15" hidden="false" customHeight="false" outlineLevel="0" collapsed="false">
      <c r="A2646" s="3" t="n">
        <v>2645</v>
      </c>
      <c r="B2646" s="3" t="n">
        <v>2644</v>
      </c>
      <c r="C2646" s="3" t="n">
        <v>3</v>
      </c>
      <c r="D2646" s="3" t="n">
        <v>10</v>
      </c>
      <c r="E2646" s="3" t="n">
        <v>12</v>
      </c>
      <c r="F2646" s="24" t="n">
        <v>-5.34062052</v>
      </c>
    </row>
    <row r="2647" customFormat="false" ht="15" hidden="false" customHeight="false" outlineLevel="0" collapsed="false">
      <c r="A2647" s="3" t="n">
        <v>2646</v>
      </c>
      <c r="B2647" s="3" t="n">
        <v>2645</v>
      </c>
      <c r="C2647" s="3" t="n">
        <v>3</v>
      </c>
      <c r="D2647" s="3" t="n">
        <v>10</v>
      </c>
      <c r="E2647" s="3" t="n">
        <v>13</v>
      </c>
      <c r="F2647" s="24" t="n">
        <v>-4.97586393</v>
      </c>
    </row>
    <row r="2648" customFormat="false" ht="15" hidden="false" customHeight="false" outlineLevel="0" collapsed="false">
      <c r="A2648" s="3" t="n">
        <v>2647</v>
      </c>
      <c r="B2648" s="3" t="n">
        <v>2646</v>
      </c>
      <c r="C2648" s="3" t="n">
        <v>3</v>
      </c>
      <c r="D2648" s="3" t="n">
        <v>10</v>
      </c>
      <c r="E2648" s="3" t="n">
        <v>14</v>
      </c>
      <c r="F2648" s="24" t="n">
        <v>-5.39872932</v>
      </c>
    </row>
    <row r="2649" customFormat="false" ht="15" hidden="false" customHeight="false" outlineLevel="0" collapsed="false">
      <c r="A2649" s="3" t="n">
        <v>2648</v>
      </c>
      <c r="B2649" s="3" t="n">
        <v>2647</v>
      </c>
      <c r="C2649" s="3" t="n">
        <v>3</v>
      </c>
      <c r="D2649" s="3" t="n">
        <v>10</v>
      </c>
      <c r="E2649" s="3" t="n">
        <v>15</v>
      </c>
      <c r="F2649" s="24" t="n">
        <v>-5.22591782</v>
      </c>
    </row>
    <row r="2650" customFormat="false" ht="15" hidden="false" customHeight="false" outlineLevel="0" collapsed="false">
      <c r="A2650" s="3" t="n">
        <v>2649</v>
      </c>
      <c r="B2650" s="3" t="n">
        <v>2648</v>
      </c>
      <c r="C2650" s="3" t="n">
        <v>3</v>
      </c>
      <c r="D2650" s="3" t="n">
        <v>10</v>
      </c>
      <c r="E2650" s="3" t="n">
        <v>16</v>
      </c>
      <c r="F2650" s="24" t="n">
        <v>-5.22223616</v>
      </c>
    </row>
    <row r="2651" customFormat="false" ht="15" hidden="false" customHeight="false" outlineLevel="0" collapsed="false">
      <c r="A2651" s="3" t="n">
        <v>2650</v>
      </c>
      <c r="B2651" s="3" t="n">
        <v>2649</v>
      </c>
      <c r="C2651" s="3" t="n">
        <v>3</v>
      </c>
      <c r="D2651" s="3" t="n">
        <v>10</v>
      </c>
      <c r="E2651" s="3" t="n">
        <v>17</v>
      </c>
      <c r="F2651" s="24" t="n">
        <v>-4.6533308</v>
      </c>
    </row>
    <row r="2652" customFormat="false" ht="15" hidden="false" customHeight="false" outlineLevel="0" collapsed="false">
      <c r="A2652" s="3" t="n">
        <v>2651</v>
      </c>
      <c r="B2652" s="3" t="n">
        <v>2650</v>
      </c>
      <c r="C2652" s="3" t="n">
        <v>3</v>
      </c>
      <c r="D2652" s="3" t="n">
        <v>10</v>
      </c>
      <c r="E2652" s="3" t="n">
        <v>18</v>
      </c>
      <c r="F2652" s="24" t="n">
        <v>-2.41391826</v>
      </c>
    </row>
    <row r="2653" customFormat="false" ht="15" hidden="false" customHeight="false" outlineLevel="0" collapsed="false">
      <c r="A2653" s="3" t="n">
        <v>2652</v>
      </c>
      <c r="B2653" s="3" t="n">
        <v>2651</v>
      </c>
      <c r="C2653" s="3" t="n">
        <v>3</v>
      </c>
      <c r="D2653" s="3" t="n">
        <v>10</v>
      </c>
      <c r="E2653" s="3" t="n">
        <v>19</v>
      </c>
      <c r="F2653" s="24" t="n">
        <v>-2.12710166</v>
      </c>
    </row>
    <row r="2654" customFormat="false" ht="15" hidden="false" customHeight="false" outlineLevel="0" collapsed="false">
      <c r="A2654" s="3" t="n">
        <v>2653</v>
      </c>
      <c r="B2654" s="3" t="n">
        <v>2652</v>
      </c>
      <c r="C2654" s="3" t="n">
        <v>3</v>
      </c>
      <c r="D2654" s="3" t="n">
        <v>10</v>
      </c>
      <c r="E2654" s="3" t="n">
        <v>20</v>
      </c>
      <c r="F2654" s="24" t="n">
        <v>-1.3394444</v>
      </c>
    </row>
    <row r="2655" customFormat="false" ht="15" hidden="false" customHeight="false" outlineLevel="0" collapsed="false">
      <c r="A2655" s="3" t="n">
        <v>2654</v>
      </c>
      <c r="B2655" s="3" t="n">
        <v>2653</v>
      </c>
      <c r="C2655" s="3" t="n">
        <v>3</v>
      </c>
      <c r="D2655" s="3" t="n">
        <v>10</v>
      </c>
      <c r="E2655" s="3" t="n">
        <v>21</v>
      </c>
      <c r="F2655" s="24" t="n">
        <v>-0.318595886</v>
      </c>
    </row>
    <row r="2656" customFormat="false" ht="15" hidden="false" customHeight="false" outlineLevel="0" collapsed="false">
      <c r="A2656" s="3" t="n">
        <v>2655</v>
      </c>
      <c r="B2656" s="3" t="n">
        <v>2654</v>
      </c>
      <c r="C2656" s="3" t="n">
        <v>3</v>
      </c>
      <c r="D2656" s="3" t="n">
        <v>10</v>
      </c>
      <c r="E2656" s="3" t="n">
        <v>22</v>
      </c>
      <c r="F2656" s="24" t="n">
        <v>-0.058281593</v>
      </c>
    </row>
    <row r="2657" customFormat="false" ht="15" hidden="false" customHeight="false" outlineLevel="0" collapsed="false">
      <c r="A2657" s="3" t="n">
        <v>2656</v>
      </c>
      <c r="B2657" s="3" t="n">
        <v>2655</v>
      </c>
      <c r="C2657" s="3" t="n">
        <v>3</v>
      </c>
      <c r="D2657" s="3" t="n">
        <v>10</v>
      </c>
      <c r="E2657" s="3" t="n">
        <v>23</v>
      </c>
      <c r="F2657" s="24" t="n">
        <v>-0.0226645079</v>
      </c>
    </row>
    <row r="2658" customFormat="false" ht="15" hidden="false" customHeight="false" outlineLevel="0" collapsed="false">
      <c r="A2658" s="3" t="n">
        <v>2657</v>
      </c>
      <c r="B2658" s="3" t="n">
        <v>2656</v>
      </c>
      <c r="C2658" s="3" t="n">
        <v>3</v>
      </c>
      <c r="D2658" s="3" t="n">
        <v>10</v>
      </c>
      <c r="E2658" s="3" t="n">
        <v>24</v>
      </c>
      <c r="F2658" s="24" t="n">
        <v>-0.0226645079</v>
      </c>
    </row>
    <row r="2659" customFormat="false" ht="15" hidden="false" customHeight="false" outlineLevel="0" collapsed="false">
      <c r="A2659" s="3" t="n">
        <v>2658</v>
      </c>
      <c r="B2659" s="3" t="n">
        <v>2657</v>
      </c>
      <c r="C2659" s="3" t="n">
        <v>3</v>
      </c>
      <c r="D2659" s="3" t="n">
        <v>10</v>
      </c>
      <c r="E2659" s="3" t="n">
        <v>25</v>
      </c>
      <c r="F2659" s="24" t="n">
        <v>-0.0226645079</v>
      </c>
    </row>
    <row r="2660" customFormat="false" ht="15" hidden="false" customHeight="false" outlineLevel="0" collapsed="false">
      <c r="A2660" s="3" t="n">
        <v>2659</v>
      </c>
      <c r="B2660" s="3" t="n">
        <v>2658</v>
      </c>
      <c r="C2660" s="3" t="n">
        <v>3</v>
      </c>
      <c r="D2660" s="3" t="n">
        <v>10</v>
      </c>
      <c r="E2660" s="3" t="n">
        <v>26</v>
      </c>
      <c r="F2660" s="24" t="n">
        <v>-0.0226645079</v>
      </c>
    </row>
    <row r="2661" customFormat="false" ht="15" hidden="false" customHeight="false" outlineLevel="0" collapsed="false">
      <c r="A2661" s="3" t="n">
        <v>2660</v>
      </c>
      <c r="B2661" s="3" t="n">
        <v>2659</v>
      </c>
      <c r="C2661" s="3" t="n">
        <v>3</v>
      </c>
      <c r="D2661" s="3" t="n">
        <v>10</v>
      </c>
      <c r="E2661" s="3" t="n">
        <v>27</v>
      </c>
      <c r="F2661" s="24" t="n">
        <v>-0.00741321221</v>
      </c>
    </row>
    <row r="2662" customFormat="false" ht="15" hidden="false" customHeight="false" outlineLevel="0" collapsed="false">
      <c r="A2662" s="3" t="n">
        <v>2661</v>
      </c>
      <c r="B2662" s="3" t="n">
        <v>2660</v>
      </c>
      <c r="C2662" s="3" t="n">
        <v>3</v>
      </c>
      <c r="D2662" s="3" t="n">
        <v>11</v>
      </c>
      <c r="E2662" s="3" t="n">
        <v>0</v>
      </c>
      <c r="F2662" s="24" t="n">
        <v>0.0962923914</v>
      </c>
    </row>
    <row r="2663" customFormat="false" ht="15" hidden="false" customHeight="false" outlineLevel="0" collapsed="false">
      <c r="A2663" s="3" t="n">
        <v>2662</v>
      </c>
      <c r="B2663" s="3" t="n">
        <v>2661</v>
      </c>
      <c r="C2663" s="3" t="n">
        <v>3</v>
      </c>
      <c r="D2663" s="3" t="n">
        <v>11</v>
      </c>
      <c r="E2663" s="3" t="n">
        <v>1</v>
      </c>
      <c r="F2663" s="24" t="n">
        <v>-0.0226645079</v>
      </c>
    </row>
    <row r="2664" customFormat="false" ht="15" hidden="false" customHeight="false" outlineLevel="0" collapsed="false">
      <c r="A2664" s="3" t="n">
        <v>2663</v>
      </c>
      <c r="B2664" s="3" t="n">
        <v>2662</v>
      </c>
      <c r="C2664" s="3" t="n">
        <v>3</v>
      </c>
      <c r="D2664" s="3" t="n">
        <v>11</v>
      </c>
      <c r="E2664" s="3" t="n">
        <v>2</v>
      </c>
      <c r="F2664" s="24" t="n">
        <v>-0.0226645079</v>
      </c>
    </row>
    <row r="2665" customFormat="false" ht="15" hidden="false" customHeight="false" outlineLevel="0" collapsed="false">
      <c r="A2665" s="3" t="n">
        <v>2664</v>
      </c>
      <c r="B2665" s="3" t="n">
        <v>2663</v>
      </c>
      <c r="C2665" s="3" t="n">
        <v>3</v>
      </c>
      <c r="D2665" s="3" t="n">
        <v>11</v>
      </c>
      <c r="E2665" s="3" t="n">
        <v>3</v>
      </c>
      <c r="F2665" s="24" t="n">
        <v>-0.0226645079</v>
      </c>
    </row>
    <row r="2666" customFormat="false" ht="15" hidden="false" customHeight="false" outlineLevel="0" collapsed="false">
      <c r="A2666" s="3" t="n">
        <v>2665</v>
      </c>
      <c r="B2666" s="3" t="n">
        <v>2664</v>
      </c>
      <c r="C2666" s="3" t="n">
        <v>3</v>
      </c>
      <c r="D2666" s="3" t="n">
        <v>11</v>
      </c>
      <c r="E2666" s="3" t="n">
        <v>4</v>
      </c>
      <c r="F2666" s="24" t="n">
        <v>-0.0226645079</v>
      </c>
    </row>
    <row r="2667" customFormat="false" ht="15" hidden="false" customHeight="false" outlineLevel="0" collapsed="false">
      <c r="A2667" s="3" t="n">
        <v>2666</v>
      </c>
      <c r="B2667" s="3" t="n">
        <v>2665</v>
      </c>
      <c r="C2667" s="3" t="n">
        <v>3</v>
      </c>
      <c r="D2667" s="3" t="n">
        <v>11</v>
      </c>
      <c r="E2667" s="3" t="n">
        <v>5</v>
      </c>
      <c r="F2667" s="24" t="n">
        <v>-0.0226645079</v>
      </c>
    </row>
    <row r="2668" customFormat="false" ht="15" hidden="false" customHeight="false" outlineLevel="0" collapsed="false">
      <c r="A2668" s="3" t="n">
        <v>2667</v>
      </c>
      <c r="B2668" s="3" t="n">
        <v>2666</v>
      </c>
      <c r="C2668" s="3" t="n">
        <v>3</v>
      </c>
      <c r="D2668" s="3" t="n">
        <v>11</v>
      </c>
      <c r="E2668" s="3" t="n">
        <v>6</v>
      </c>
      <c r="F2668" s="24" t="n">
        <v>-0.0226645079</v>
      </c>
    </row>
    <row r="2669" customFormat="false" ht="15" hidden="false" customHeight="false" outlineLevel="0" collapsed="false">
      <c r="A2669" s="3" t="n">
        <v>2668</v>
      </c>
      <c r="B2669" s="3" t="n">
        <v>2667</v>
      </c>
      <c r="C2669" s="3" t="n">
        <v>3</v>
      </c>
      <c r="D2669" s="3" t="n">
        <v>11</v>
      </c>
      <c r="E2669" s="3" t="n">
        <v>7</v>
      </c>
      <c r="F2669" s="24" t="n">
        <v>-0.0226645079</v>
      </c>
    </row>
    <row r="2670" customFormat="false" ht="15" hidden="false" customHeight="false" outlineLevel="0" collapsed="false">
      <c r="A2670" s="3" t="n">
        <v>2669</v>
      </c>
      <c r="B2670" s="3" t="n">
        <v>2668</v>
      </c>
      <c r="C2670" s="3" t="n">
        <v>3</v>
      </c>
      <c r="D2670" s="3" t="n">
        <v>11</v>
      </c>
      <c r="E2670" s="3" t="n">
        <v>8</v>
      </c>
      <c r="F2670" s="24" t="n">
        <v>-0.0226645079</v>
      </c>
    </row>
    <row r="2671" customFormat="false" ht="15" hidden="false" customHeight="false" outlineLevel="0" collapsed="false">
      <c r="A2671" s="3" t="n">
        <v>2670</v>
      </c>
      <c r="B2671" s="3" t="n">
        <v>2669</v>
      </c>
      <c r="C2671" s="3" t="n">
        <v>3</v>
      </c>
      <c r="D2671" s="3" t="n">
        <v>11</v>
      </c>
      <c r="E2671" s="3" t="n">
        <v>9</v>
      </c>
      <c r="F2671" s="24" t="n">
        <v>-0.0226645079</v>
      </c>
    </row>
    <row r="2672" customFormat="false" ht="15" hidden="false" customHeight="false" outlineLevel="0" collapsed="false">
      <c r="A2672" s="3" t="n">
        <v>2671</v>
      </c>
      <c r="B2672" s="3" t="n">
        <v>2670</v>
      </c>
      <c r="C2672" s="3" t="n">
        <v>3</v>
      </c>
      <c r="D2672" s="3" t="n">
        <v>11</v>
      </c>
      <c r="E2672" s="3" t="n">
        <v>10</v>
      </c>
      <c r="F2672" s="24" t="n">
        <v>-0.194429606</v>
      </c>
    </row>
    <row r="2673" customFormat="false" ht="15" hidden="false" customHeight="false" outlineLevel="0" collapsed="false">
      <c r="A2673" s="3" t="n">
        <v>2672</v>
      </c>
      <c r="B2673" s="3" t="n">
        <v>2671</v>
      </c>
      <c r="C2673" s="3" t="n">
        <v>3</v>
      </c>
      <c r="D2673" s="3" t="n">
        <v>11</v>
      </c>
      <c r="E2673" s="3" t="n">
        <v>11</v>
      </c>
      <c r="F2673" s="24" t="n">
        <v>-0.822550476</v>
      </c>
    </row>
    <row r="2674" customFormat="false" ht="15" hidden="false" customHeight="false" outlineLevel="0" collapsed="false">
      <c r="A2674" s="3" t="n">
        <v>2673</v>
      </c>
      <c r="B2674" s="3" t="n">
        <v>2672</v>
      </c>
      <c r="C2674" s="3" t="n">
        <v>3</v>
      </c>
      <c r="D2674" s="3" t="n">
        <v>11</v>
      </c>
      <c r="E2674" s="3" t="n">
        <v>12</v>
      </c>
      <c r="F2674" s="24" t="n">
        <v>-0.769638896</v>
      </c>
    </row>
    <row r="2675" customFormat="false" ht="15" hidden="false" customHeight="false" outlineLevel="0" collapsed="false">
      <c r="A2675" s="3" t="n">
        <v>2674</v>
      </c>
      <c r="B2675" s="3" t="n">
        <v>2673</v>
      </c>
      <c r="C2675" s="3" t="n">
        <v>3</v>
      </c>
      <c r="D2675" s="3" t="n">
        <v>11</v>
      </c>
      <c r="E2675" s="3" t="n">
        <v>13</v>
      </c>
      <c r="F2675" s="24" t="n">
        <v>-1.15486193</v>
      </c>
    </row>
    <row r="2676" customFormat="false" ht="15" hidden="false" customHeight="false" outlineLevel="0" collapsed="false">
      <c r="A2676" s="3" t="n">
        <v>2675</v>
      </c>
      <c r="B2676" s="3" t="n">
        <v>2674</v>
      </c>
      <c r="C2676" s="3" t="n">
        <v>3</v>
      </c>
      <c r="D2676" s="3" t="n">
        <v>11</v>
      </c>
      <c r="E2676" s="3" t="n">
        <v>14</v>
      </c>
      <c r="F2676" s="24" t="n">
        <v>-1.29725456</v>
      </c>
    </row>
    <row r="2677" customFormat="false" ht="15" hidden="false" customHeight="false" outlineLevel="0" collapsed="false">
      <c r="A2677" s="3" t="n">
        <v>2676</v>
      </c>
      <c r="B2677" s="3" t="n">
        <v>2675</v>
      </c>
      <c r="C2677" s="3" t="n">
        <v>3</v>
      </c>
      <c r="D2677" s="3" t="n">
        <v>11</v>
      </c>
      <c r="E2677" s="3" t="n">
        <v>15</v>
      </c>
      <c r="F2677" s="24" t="n">
        <v>-1.57484937</v>
      </c>
    </row>
    <row r="2678" customFormat="false" ht="15" hidden="false" customHeight="false" outlineLevel="0" collapsed="false">
      <c r="A2678" s="3" t="n">
        <v>2677</v>
      </c>
      <c r="B2678" s="3" t="n">
        <v>2676</v>
      </c>
      <c r="C2678" s="3" t="n">
        <v>3</v>
      </c>
      <c r="D2678" s="3" t="n">
        <v>11</v>
      </c>
      <c r="E2678" s="3" t="n">
        <v>16</v>
      </c>
      <c r="F2678" s="24" t="n">
        <v>-1.36268365</v>
      </c>
    </row>
    <row r="2679" customFormat="false" ht="15" hidden="false" customHeight="false" outlineLevel="0" collapsed="false">
      <c r="A2679" s="3" t="n">
        <v>2678</v>
      </c>
      <c r="B2679" s="3" t="n">
        <v>2677</v>
      </c>
      <c r="C2679" s="3" t="n">
        <v>3</v>
      </c>
      <c r="D2679" s="3" t="n">
        <v>11</v>
      </c>
      <c r="E2679" s="3" t="n">
        <v>17</v>
      </c>
      <c r="F2679" s="24" t="n">
        <v>0.812781811</v>
      </c>
    </row>
    <row r="2680" customFormat="false" ht="15" hidden="false" customHeight="false" outlineLevel="0" collapsed="false">
      <c r="A2680" s="3" t="n">
        <v>2679</v>
      </c>
      <c r="B2680" s="3" t="n">
        <v>2678</v>
      </c>
      <c r="C2680" s="3" t="n">
        <v>3</v>
      </c>
      <c r="D2680" s="3" t="n">
        <v>11</v>
      </c>
      <c r="E2680" s="3" t="n">
        <v>18</v>
      </c>
      <c r="F2680" s="24" t="n">
        <v>0.750602424</v>
      </c>
    </row>
    <row r="2681" customFormat="false" ht="15" hidden="false" customHeight="false" outlineLevel="0" collapsed="false">
      <c r="A2681" s="3" t="n">
        <v>2680</v>
      </c>
      <c r="B2681" s="3" t="n">
        <v>2679</v>
      </c>
      <c r="C2681" s="3" t="n">
        <v>3</v>
      </c>
      <c r="D2681" s="3" t="n">
        <v>11</v>
      </c>
      <c r="E2681" s="3" t="n">
        <v>19</v>
      </c>
      <c r="F2681" s="24" t="n">
        <v>-1.07509303</v>
      </c>
    </row>
    <row r="2682" customFormat="false" ht="15" hidden="false" customHeight="false" outlineLevel="0" collapsed="false">
      <c r="A2682" s="3" t="n">
        <v>2681</v>
      </c>
      <c r="B2682" s="3" t="n">
        <v>2680</v>
      </c>
      <c r="C2682" s="3" t="n">
        <v>3</v>
      </c>
      <c r="D2682" s="3" t="n">
        <v>11</v>
      </c>
      <c r="E2682" s="3" t="n">
        <v>20</v>
      </c>
      <c r="F2682" s="24" t="n">
        <v>-1.78388464</v>
      </c>
    </row>
    <row r="2683" customFormat="false" ht="15" hidden="false" customHeight="false" outlineLevel="0" collapsed="false">
      <c r="A2683" s="3" t="n">
        <v>2682</v>
      </c>
      <c r="B2683" s="3" t="n">
        <v>2681</v>
      </c>
      <c r="C2683" s="3" t="n">
        <v>3</v>
      </c>
      <c r="D2683" s="3" t="n">
        <v>11</v>
      </c>
      <c r="E2683" s="3" t="n">
        <v>21</v>
      </c>
      <c r="F2683" s="24" t="n">
        <v>-0.689551294</v>
      </c>
    </row>
    <row r="2684" customFormat="false" ht="15" hidden="false" customHeight="false" outlineLevel="0" collapsed="false">
      <c r="A2684" s="3" t="n">
        <v>2683</v>
      </c>
      <c r="B2684" s="3" t="n">
        <v>2682</v>
      </c>
      <c r="C2684" s="3" t="n">
        <v>3</v>
      </c>
      <c r="D2684" s="3" t="n">
        <v>11</v>
      </c>
      <c r="E2684" s="3" t="n">
        <v>22</v>
      </c>
      <c r="F2684" s="24" t="n">
        <v>-0.467577696</v>
      </c>
    </row>
    <row r="2685" customFormat="false" ht="15" hidden="false" customHeight="false" outlineLevel="0" collapsed="false">
      <c r="A2685" s="3" t="n">
        <v>2684</v>
      </c>
      <c r="B2685" s="3" t="n">
        <v>2683</v>
      </c>
      <c r="C2685" s="3" t="n">
        <v>3</v>
      </c>
      <c r="D2685" s="3" t="n">
        <v>11</v>
      </c>
      <c r="E2685" s="3" t="n">
        <v>23</v>
      </c>
      <c r="F2685" s="24" t="n">
        <v>-0.0226645079</v>
      </c>
    </row>
    <row r="2686" customFormat="false" ht="15" hidden="false" customHeight="false" outlineLevel="0" collapsed="false">
      <c r="A2686" s="3" t="n">
        <v>2685</v>
      </c>
      <c r="B2686" s="3" t="n">
        <v>2684</v>
      </c>
      <c r="C2686" s="3" t="n">
        <v>3</v>
      </c>
      <c r="D2686" s="3" t="n">
        <v>11</v>
      </c>
      <c r="E2686" s="3" t="n">
        <v>24</v>
      </c>
      <c r="F2686" s="24" t="n">
        <v>-0.0226645079</v>
      </c>
    </row>
    <row r="2687" customFormat="false" ht="15" hidden="false" customHeight="false" outlineLevel="0" collapsed="false">
      <c r="A2687" s="3" t="n">
        <v>2686</v>
      </c>
      <c r="B2687" s="3" t="n">
        <v>2685</v>
      </c>
      <c r="C2687" s="3" t="n">
        <v>3</v>
      </c>
      <c r="D2687" s="3" t="n">
        <v>11</v>
      </c>
      <c r="E2687" s="3" t="n">
        <v>25</v>
      </c>
      <c r="F2687" s="24" t="n">
        <v>-0.0226645079</v>
      </c>
    </row>
    <row r="2688" customFormat="false" ht="15" hidden="false" customHeight="false" outlineLevel="0" collapsed="false">
      <c r="A2688" s="3" t="n">
        <v>2687</v>
      </c>
      <c r="B2688" s="3" t="n">
        <v>2686</v>
      </c>
      <c r="C2688" s="3" t="n">
        <v>3</v>
      </c>
      <c r="D2688" s="3" t="n">
        <v>11</v>
      </c>
      <c r="E2688" s="3" t="n">
        <v>26</v>
      </c>
      <c r="F2688" s="24" t="n">
        <v>-0.0226645079</v>
      </c>
    </row>
    <row r="2689" customFormat="false" ht="15" hidden="false" customHeight="false" outlineLevel="0" collapsed="false">
      <c r="A2689" s="3" t="n">
        <v>2688</v>
      </c>
      <c r="B2689" s="3" t="n">
        <v>2687</v>
      </c>
      <c r="C2689" s="3" t="n">
        <v>3</v>
      </c>
      <c r="D2689" s="3" t="n">
        <v>11</v>
      </c>
      <c r="E2689" s="3" t="n">
        <v>27</v>
      </c>
      <c r="F2689" s="24" t="n">
        <v>-0.00741321221</v>
      </c>
    </row>
    <row r="2690" customFormat="false" ht="15" hidden="false" customHeight="false" outlineLevel="0" collapsed="false">
      <c r="A2690" s="3" t="n">
        <v>2689</v>
      </c>
      <c r="B2690" s="3" t="n">
        <v>2688</v>
      </c>
      <c r="C2690" s="3" t="n">
        <v>3</v>
      </c>
      <c r="D2690" s="3" t="n">
        <v>12</v>
      </c>
      <c r="E2690" s="3" t="n">
        <v>0</v>
      </c>
      <c r="F2690" s="24" t="n">
        <v>0.0962923914</v>
      </c>
    </row>
    <row r="2691" customFormat="false" ht="15" hidden="false" customHeight="false" outlineLevel="0" collapsed="false">
      <c r="A2691" s="3" t="n">
        <v>2690</v>
      </c>
      <c r="B2691" s="3" t="n">
        <v>2689</v>
      </c>
      <c r="C2691" s="3" t="n">
        <v>3</v>
      </c>
      <c r="D2691" s="3" t="n">
        <v>12</v>
      </c>
      <c r="E2691" s="3" t="n">
        <v>1</v>
      </c>
      <c r="F2691" s="24" t="n">
        <v>-0.0226645079</v>
      </c>
    </row>
    <row r="2692" customFormat="false" ht="15" hidden="false" customHeight="false" outlineLevel="0" collapsed="false">
      <c r="A2692" s="3" t="n">
        <v>2691</v>
      </c>
      <c r="B2692" s="3" t="n">
        <v>2690</v>
      </c>
      <c r="C2692" s="3" t="n">
        <v>3</v>
      </c>
      <c r="D2692" s="3" t="n">
        <v>12</v>
      </c>
      <c r="E2692" s="3" t="n">
        <v>2</v>
      </c>
      <c r="F2692" s="24" t="n">
        <v>-0.0226645079</v>
      </c>
    </row>
    <row r="2693" customFormat="false" ht="15" hidden="false" customHeight="false" outlineLevel="0" collapsed="false">
      <c r="A2693" s="3" t="n">
        <v>2692</v>
      </c>
      <c r="B2693" s="3" t="n">
        <v>2691</v>
      </c>
      <c r="C2693" s="3" t="n">
        <v>3</v>
      </c>
      <c r="D2693" s="3" t="n">
        <v>12</v>
      </c>
      <c r="E2693" s="3" t="n">
        <v>3</v>
      </c>
      <c r="F2693" s="24" t="n">
        <v>-0.0226645079</v>
      </c>
    </row>
    <row r="2694" customFormat="false" ht="15" hidden="false" customHeight="false" outlineLevel="0" collapsed="false">
      <c r="A2694" s="3" t="n">
        <v>2693</v>
      </c>
      <c r="B2694" s="3" t="n">
        <v>2692</v>
      </c>
      <c r="C2694" s="3" t="n">
        <v>3</v>
      </c>
      <c r="D2694" s="3" t="n">
        <v>12</v>
      </c>
      <c r="E2694" s="3" t="n">
        <v>4</v>
      </c>
      <c r="F2694" s="24" t="n">
        <v>-0.0226645079</v>
      </c>
    </row>
    <row r="2695" customFormat="false" ht="15" hidden="false" customHeight="false" outlineLevel="0" collapsed="false">
      <c r="A2695" s="3" t="n">
        <v>2694</v>
      </c>
      <c r="B2695" s="3" t="n">
        <v>2693</v>
      </c>
      <c r="C2695" s="3" t="n">
        <v>3</v>
      </c>
      <c r="D2695" s="3" t="n">
        <v>12</v>
      </c>
      <c r="E2695" s="3" t="n">
        <v>5</v>
      </c>
      <c r="F2695" s="24" t="n">
        <v>-0.0226645079</v>
      </c>
    </row>
    <row r="2696" customFormat="false" ht="15" hidden="false" customHeight="false" outlineLevel="0" collapsed="false">
      <c r="A2696" s="3" t="n">
        <v>2695</v>
      </c>
      <c r="B2696" s="3" t="n">
        <v>2694</v>
      </c>
      <c r="C2696" s="3" t="n">
        <v>3</v>
      </c>
      <c r="D2696" s="3" t="n">
        <v>12</v>
      </c>
      <c r="E2696" s="3" t="n">
        <v>6</v>
      </c>
      <c r="F2696" s="24" t="n">
        <v>-0.0226645079</v>
      </c>
    </row>
    <row r="2697" customFormat="false" ht="15" hidden="false" customHeight="false" outlineLevel="0" collapsed="false">
      <c r="A2697" s="3" t="n">
        <v>2696</v>
      </c>
      <c r="B2697" s="3" t="n">
        <v>2695</v>
      </c>
      <c r="C2697" s="3" t="n">
        <v>3</v>
      </c>
      <c r="D2697" s="3" t="n">
        <v>12</v>
      </c>
      <c r="E2697" s="3" t="n">
        <v>7</v>
      </c>
      <c r="F2697" s="24" t="n">
        <v>-0.0226645079</v>
      </c>
    </row>
    <row r="2698" customFormat="false" ht="15" hidden="false" customHeight="false" outlineLevel="0" collapsed="false">
      <c r="A2698" s="3" t="n">
        <v>2697</v>
      </c>
      <c r="B2698" s="3" t="n">
        <v>2696</v>
      </c>
      <c r="C2698" s="3" t="n">
        <v>3</v>
      </c>
      <c r="D2698" s="3" t="n">
        <v>12</v>
      </c>
      <c r="E2698" s="3" t="n">
        <v>8</v>
      </c>
      <c r="F2698" s="24" t="n">
        <v>-0.0226645079</v>
      </c>
    </row>
    <row r="2699" customFormat="false" ht="15" hidden="false" customHeight="false" outlineLevel="0" collapsed="false">
      <c r="A2699" s="3" t="n">
        <v>2698</v>
      </c>
      <c r="B2699" s="3" t="n">
        <v>2697</v>
      </c>
      <c r="C2699" s="3" t="n">
        <v>3</v>
      </c>
      <c r="D2699" s="3" t="n">
        <v>12</v>
      </c>
      <c r="E2699" s="3" t="n">
        <v>9</v>
      </c>
      <c r="F2699" s="24" t="n">
        <v>-0.0226645079</v>
      </c>
    </row>
    <row r="2700" customFormat="false" ht="15" hidden="false" customHeight="false" outlineLevel="0" collapsed="false">
      <c r="A2700" s="3" t="n">
        <v>2699</v>
      </c>
      <c r="B2700" s="3" t="n">
        <v>2698</v>
      </c>
      <c r="C2700" s="3" t="n">
        <v>3</v>
      </c>
      <c r="D2700" s="3" t="n">
        <v>12</v>
      </c>
      <c r="E2700" s="3" t="n">
        <v>10</v>
      </c>
      <c r="F2700" s="24" t="n">
        <v>-0.0226645079</v>
      </c>
    </row>
    <row r="2701" customFormat="false" ht="15" hidden="false" customHeight="false" outlineLevel="0" collapsed="false">
      <c r="A2701" s="3" t="n">
        <v>2700</v>
      </c>
      <c r="B2701" s="3" t="n">
        <v>2699</v>
      </c>
      <c r="C2701" s="3" t="n">
        <v>3</v>
      </c>
      <c r="D2701" s="3" t="n">
        <v>12</v>
      </c>
      <c r="E2701" s="3" t="n">
        <v>11</v>
      </c>
      <c r="F2701" s="24" t="n">
        <v>-0.0226645079</v>
      </c>
    </row>
    <row r="2702" customFormat="false" ht="15" hidden="false" customHeight="false" outlineLevel="0" collapsed="false">
      <c r="A2702" s="3" t="n">
        <v>2701</v>
      </c>
      <c r="B2702" s="3" t="n">
        <v>2700</v>
      </c>
      <c r="C2702" s="3" t="n">
        <v>3</v>
      </c>
      <c r="D2702" s="3" t="n">
        <v>12</v>
      </c>
      <c r="E2702" s="3" t="n">
        <v>12</v>
      </c>
      <c r="F2702" s="24" t="n">
        <v>-0.0226645079</v>
      </c>
    </row>
    <row r="2703" customFormat="false" ht="15" hidden="false" customHeight="false" outlineLevel="0" collapsed="false">
      <c r="A2703" s="3" t="n">
        <v>2702</v>
      </c>
      <c r="B2703" s="3" t="n">
        <v>2701</v>
      </c>
      <c r="C2703" s="3" t="n">
        <v>3</v>
      </c>
      <c r="D2703" s="3" t="n">
        <v>12</v>
      </c>
      <c r="E2703" s="3" t="n">
        <v>13</v>
      </c>
      <c r="F2703" s="24" t="n">
        <v>-0.0226645079</v>
      </c>
    </row>
    <row r="2704" customFormat="false" ht="15" hidden="false" customHeight="false" outlineLevel="0" collapsed="false">
      <c r="A2704" s="3" t="n">
        <v>2703</v>
      </c>
      <c r="B2704" s="3" t="n">
        <v>2702</v>
      </c>
      <c r="C2704" s="3" t="n">
        <v>3</v>
      </c>
      <c r="D2704" s="3" t="n">
        <v>12</v>
      </c>
      <c r="E2704" s="3" t="n">
        <v>14</v>
      </c>
      <c r="F2704" s="24" t="n">
        <v>-0.0226645079</v>
      </c>
    </row>
    <row r="2705" customFormat="false" ht="15" hidden="false" customHeight="false" outlineLevel="0" collapsed="false">
      <c r="A2705" s="3" t="n">
        <v>2704</v>
      </c>
      <c r="B2705" s="3" t="n">
        <v>2703</v>
      </c>
      <c r="C2705" s="3" t="n">
        <v>3</v>
      </c>
      <c r="D2705" s="3" t="n">
        <v>12</v>
      </c>
      <c r="E2705" s="3" t="n">
        <v>15</v>
      </c>
      <c r="F2705" s="24" t="n">
        <v>-0.0226645079</v>
      </c>
    </row>
    <row r="2706" customFormat="false" ht="15" hidden="false" customHeight="false" outlineLevel="0" collapsed="false">
      <c r="A2706" s="3" t="n">
        <v>2705</v>
      </c>
      <c r="B2706" s="3" t="n">
        <v>2704</v>
      </c>
      <c r="C2706" s="3" t="n">
        <v>3</v>
      </c>
      <c r="D2706" s="3" t="n">
        <v>12</v>
      </c>
      <c r="E2706" s="3" t="n">
        <v>16</v>
      </c>
      <c r="F2706" s="24" t="n">
        <v>0.848452985</v>
      </c>
    </row>
    <row r="2707" customFormat="false" ht="15" hidden="false" customHeight="false" outlineLevel="0" collapsed="false">
      <c r="A2707" s="3" t="n">
        <v>2706</v>
      </c>
      <c r="B2707" s="3" t="n">
        <v>2705</v>
      </c>
      <c r="C2707" s="3" t="n">
        <v>3</v>
      </c>
      <c r="D2707" s="3" t="n">
        <v>12</v>
      </c>
      <c r="E2707" s="3" t="n">
        <v>17</v>
      </c>
      <c r="F2707" s="24" t="n">
        <v>2.22984934</v>
      </c>
    </row>
    <row r="2708" customFormat="false" ht="15" hidden="false" customHeight="false" outlineLevel="0" collapsed="false">
      <c r="A2708" s="3" t="n">
        <v>2707</v>
      </c>
      <c r="B2708" s="3" t="n">
        <v>2706</v>
      </c>
      <c r="C2708" s="3" t="n">
        <v>3</v>
      </c>
      <c r="D2708" s="3" t="n">
        <v>12</v>
      </c>
      <c r="E2708" s="3" t="n">
        <v>18</v>
      </c>
      <c r="F2708" s="24" t="n">
        <v>0.733379602</v>
      </c>
    </row>
    <row r="2709" customFormat="false" ht="15" hidden="false" customHeight="false" outlineLevel="0" collapsed="false">
      <c r="A2709" s="3" t="n">
        <v>2708</v>
      </c>
      <c r="B2709" s="3" t="n">
        <v>2707</v>
      </c>
      <c r="C2709" s="3" t="n">
        <v>3</v>
      </c>
      <c r="D2709" s="3" t="n">
        <v>12</v>
      </c>
      <c r="E2709" s="3" t="n">
        <v>19</v>
      </c>
      <c r="F2709" s="24" t="n">
        <v>-0.983546853</v>
      </c>
    </row>
    <row r="2710" customFormat="false" ht="15" hidden="false" customHeight="false" outlineLevel="0" collapsed="false">
      <c r="A2710" s="3" t="n">
        <v>2709</v>
      </c>
      <c r="B2710" s="3" t="n">
        <v>2708</v>
      </c>
      <c r="C2710" s="3" t="n">
        <v>3</v>
      </c>
      <c r="D2710" s="3" t="n">
        <v>12</v>
      </c>
      <c r="E2710" s="3" t="n">
        <v>20</v>
      </c>
      <c r="F2710" s="24" t="n">
        <v>-0.834416926</v>
      </c>
    </row>
    <row r="2711" customFormat="false" ht="15" hidden="false" customHeight="false" outlineLevel="0" collapsed="false">
      <c r="A2711" s="3" t="n">
        <v>2710</v>
      </c>
      <c r="B2711" s="3" t="n">
        <v>2709</v>
      </c>
      <c r="C2711" s="3" t="n">
        <v>3</v>
      </c>
      <c r="D2711" s="3" t="n">
        <v>12</v>
      </c>
      <c r="E2711" s="3" t="n">
        <v>21</v>
      </c>
      <c r="F2711" s="24" t="n">
        <v>-0.631755233</v>
      </c>
    </row>
    <row r="2712" customFormat="false" ht="15" hidden="false" customHeight="false" outlineLevel="0" collapsed="false">
      <c r="A2712" s="3" t="n">
        <v>2711</v>
      </c>
      <c r="B2712" s="3" t="n">
        <v>2710</v>
      </c>
      <c r="C2712" s="3" t="n">
        <v>3</v>
      </c>
      <c r="D2712" s="3" t="n">
        <v>12</v>
      </c>
      <c r="E2712" s="3" t="n">
        <v>22</v>
      </c>
      <c r="F2712" s="24" t="n">
        <v>-0.116941959</v>
      </c>
    </row>
    <row r="2713" customFormat="false" ht="15" hidden="false" customHeight="false" outlineLevel="0" collapsed="false">
      <c r="A2713" s="3" t="n">
        <v>2712</v>
      </c>
      <c r="B2713" s="3" t="n">
        <v>2711</v>
      </c>
      <c r="C2713" s="3" t="n">
        <v>3</v>
      </c>
      <c r="D2713" s="3" t="n">
        <v>12</v>
      </c>
      <c r="E2713" s="3" t="n">
        <v>23</v>
      </c>
      <c r="F2713" s="24" t="n">
        <v>-0.0226645079</v>
      </c>
    </row>
    <row r="2714" customFormat="false" ht="15" hidden="false" customHeight="false" outlineLevel="0" collapsed="false">
      <c r="A2714" s="3" t="n">
        <v>2713</v>
      </c>
      <c r="B2714" s="3" t="n">
        <v>2712</v>
      </c>
      <c r="C2714" s="3" t="n">
        <v>3</v>
      </c>
      <c r="D2714" s="3" t="n">
        <v>12</v>
      </c>
      <c r="E2714" s="3" t="n">
        <v>24</v>
      </c>
      <c r="F2714" s="24" t="n">
        <v>-0.0226645079</v>
      </c>
    </row>
    <row r="2715" customFormat="false" ht="15" hidden="false" customHeight="false" outlineLevel="0" collapsed="false">
      <c r="A2715" s="3" t="n">
        <v>2714</v>
      </c>
      <c r="B2715" s="3" t="n">
        <v>2713</v>
      </c>
      <c r="C2715" s="3" t="n">
        <v>3</v>
      </c>
      <c r="D2715" s="3" t="n">
        <v>12</v>
      </c>
      <c r="E2715" s="3" t="n">
        <v>25</v>
      </c>
      <c r="F2715" s="24" t="n">
        <v>-0.0226645079</v>
      </c>
    </row>
    <row r="2716" customFormat="false" ht="15" hidden="false" customHeight="false" outlineLevel="0" collapsed="false">
      <c r="A2716" s="3" t="n">
        <v>2715</v>
      </c>
      <c r="B2716" s="3" t="n">
        <v>2714</v>
      </c>
      <c r="C2716" s="3" t="n">
        <v>3</v>
      </c>
      <c r="D2716" s="3" t="n">
        <v>12</v>
      </c>
      <c r="E2716" s="3" t="n">
        <v>26</v>
      </c>
      <c r="F2716" s="24" t="n">
        <v>-0.0226645079</v>
      </c>
    </row>
    <row r="2717" customFormat="false" ht="15" hidden="false" customHeight="false" outlineLevel="0" collapsed="false">
      <c r="A2717" s="3" t="n">
        <v>2716</v>
      </c>
      <c r="B2717" s="3" t="n">
        <v>2715</v>
      </c>
      <c r="C2717" s="3" t="n">
        <v>3</v>
      </c>
      <c r="D2717" s="3" t="n">
        <v>12</v>
      </c>
      <c r="E2717" s="3" t="n">
        <v>27</v>
      </c>
      <c r="F2717" s="24" t="n">
        <v>-0.00741321221</v>
      </c>
    </row>
    <row r="2718" customFormat="false" ht="15" hidden="false" customHeight="false" outlineLevel="0" collapsed="false">
      <c r="A2718" s="3" t="n">
        <v>2717</v>
      </c>
      <c r="B2718" s="3" t="n">
        <v>2716</v>
      </c>
      <c r="C2718" s="3" t="n">
        <v>3</v>
      </c>
      <c r="D2718" s="3" t="n">
        <v>13</v>
      </c>
      <c r="E2718" s="3" t="n">
        <v>0</v>
      </c>
      <c r="F2718" s="24" t="n">
        <v>0.0962923914</v>
      </c>
    </row>
    <row r="2719" customFormat="false" ht="15" hidden="false" customHeight="false" outlineLevel="0" collapsed="false">
      <c r="A2719" s="3" t="n">
        <v>2718</v>
      </c>
      <c r="B2719" s="3" t="n">
        <v>2717</v>
      </c>
      <c r="C2719" s="3" t="n">
        <v>3</v>
      </c>
      <c r="D2719" s="3" t="n">
        <v>13</v>
      </c>
      <c r="E2719" s="3" t="n">
        <v>1</v>
      </c>
      <c r="F2719" s="24" t="n">
        <v>-0.0226645079</v>
      </c>
    </row>
    <row r="2720" customFormat="false" ht="15" hidden="false" customHeight="false" outlineLevel="0" collapsed="false">
      <c r="A2720" s="3" t="n">
        <v>2719</v>
      </c>
      <c r="B2720" s="3" t="n">
        <v>2718</v>
      </c>
      <c r="C2720" s="3" t="n">
        <v>3</v>
      </c>
      <c r="D2720" s="3" t="n">
        <v>13</v>
      </c>
      <c r="E2720" s="3" t="n">
        <v>2</v>
      </c>
      <c r="F2720" s="24" t="n">
        <v>-0.0226645079</v>
      </c>
    </row>
    <row r="2721" customFormat="false" ht="15" hidden="false" customHeight="false" outlineLevel="0" collapsed="false">
      <c r="A2721" s="3" t="n">
        <v>2720</v>
      </c>
      <c r="B2721" s="3" t="n">
        <v>2719</v>
      </c>
      <c r="C2721" s="3" t="n">
        <v>3</v>
      </c>
      <c r="D2721" s="3" t="n">
        <v>13</v>
      </c>
      <c r="E2721" s="3" t="n">
        <v>3</v>
      </c>
      <c r="F2721" s="24" t="n">
        <v>-0.0226645079</v>
      </c>
    </row>
    <row r="2722" customFormat="false" ht="15" hidden="false" customHeight="false" outlineLevel="0" collapsed="false">
      <c r="A2722" s="3" t="n">
        <v>2721</v>
      </c>
      <c r="B2722" s="3" t="n">
        <v>2720</v>
      </c>
      <c r="C2722" s="3" t="n">
        <v>3</v>
      </c>
      <c r="D2722" s="3" t="n">
        <v>13</v>
      </c>
      <c r="E2722" s="3" t="n">
        <v>4</v>
      </c>
      <c r="F2722" s="24" t="n">
        <v>-0.0226645079</v>
      </c>
    </row>
    <row r="2723" customFormat="false" ht="15" hidden="false" customHeight="false" outlineLevel="0" collapsed="false">
      <c r="A2723" s="3" t="n">
        <v>2722</v>
      </c>
      <c r="B2723" s="3" t="n">
        <v>2721</v>
      </c>
      <c r="C2723" s="3" t="n">
        <v>3</v>
      </c>
      <c r="D2723" s="3" t="n">
        <v>13</v>
      </c>
      <c r="E2723" s="3" t="n">
        <v>5</v>
      </c>
      <c r="F2723" s="24" t="n">
        <v>-0.0226645079</v>
      </c>
    </row>
    <row r="2724" customFormat="false" ht="15" hidden="false" customHeight="false" outlineLevel="0" collapsed="false">
      <c r="A2724" s="3" t="n">
        <v>2723</v>
      </c>
      <c r="B2724" s="3" t="n">
        <v>2722</v>
      </c>
      <c r="C2724" s="3" t="n">
        <v>3</v>
      </c>
      <c r="D2724" s="3" t="n">
        <v>13</v>
      </c>
      <c r="E2724" s="3" t="n">
        <v>6</v>
      </c>
      <c r="F2724" s="24" t="n">
        <v>-0.0226645079</v>
      </c>
    </row>
    <row r="2725" customFormat="false" ht="15" hidden="false" customHeight="false" outlineLevel="0" collapsed="false">
      <c r="A2725" s="3" t="n">
        <v>2724</v>
      </c>
      <c r="B2725" s="3" t="n">
        <v>2723</v>
      </c>
      <c r="C2725" s="3" t="n">
        <v>3</v>
      </c>
      <c r="D2725" s="3" t="n">
        <v>13</v>
      </c>
      <c r="E2725" s="3" t="n">
        <v>7</v>
      </c>
      <c r="F2725" s="24" t="n">
        <v>-0.0226645079</v>
      </c>
    </row>
    <row r="2726" customFormat="false" ht="15" hidden="false" customHeight="false" outlineLevel="0" collapsed="false">
      <c r="A2726" s="3" t="n">
        <v>2725</v>
      </c>
      <c r="B2726" s="3" t="n">
        <v>2724</v>
      </c>
      <c r="C2726" s="3" t="n">
        <v>3</v>
      </c>
      <c r="D2726" s="3" t="n">
        <v>13</v>
      </c>
      <c r="E2726" s="3" t="n">
        <v>8</v>
      </c>
      <c r="F2726" s="24" t="n">
        <v>-0.0226645079</v>
      </c>
    </row>
    <row r="2727" customFormat="false" ht="15" hidden="false" customHeight="false" outlineLevel="0" collapsed="false">
      <c r="A2727" s="3" t="n">
        <v>2726</v>
      </c>
      <c r="B2727" s="3" t="n">
        <v>2725</v>
      </c>
      <c r="C2727" s="3" t="n">
        <v>3</v>
      </c>
      <c r="D2727" s="3" t="n">
        <v>13</v>
      </c>
      <c r="E2727" s="3" t="n">
        <v>9</v>
      </c>
      <c r="F2727" s="24" t="n">
        <v>-0.0226645079</v>
      </c>
    </row>
    <row r="2728" customFormat="false" ht="15" hidden="false" customHeight="false" outlineLevel="0" collapsed="false">
      <c r="A2728" s="3" t="n">
        <v>2727</v>
      </c>
      <c r="B2728" s="3" t="n">
        <v>2726</v>
      </c>
      <c r="C2728" s="3" t="n">
        <v>3</v>
      </c>
      <c r="D2728" s="3" t="n">
        <v>13</v>
      </c>
      <c r="E2728" s="3" t="n">
        <v>10</v>
      </c>
      <c r="F2728" s="24" t="n">
        <v>-0.0226645079</v>
      </c>
    </row>
    <row r="2729" customFormat="false" ht="15" hidden="false" customHeight="false" outlineLevel="0" collapsed="false">
      <c r="A2729" s="3" t="n">
        <v>2728</v>
      </c>
      <c r="B2729" s="3" t="n">
        <v>2727</v>
      </c>
      <c r="C2729" s="3" t="n">
        <v>3</v>
      </c>
      <c r="D2729" s="3" t="n">
        <v>13</v>
      </c>
      <c r="E2729" s="3" t="n">
        <v>11</v>
      </c>
      <c r="F2729" s="24" t="n">
        <v>-0.0226645079</v>
      </c>
    </row>
    <row r="2730" customFormat="false" ht="15" hidden="false" customHeight="false" outlineLevel="0" collapsed="false">
      <c r="A2730" s="3" t="n">
        <v>2729</v>
      </c>
      <c r="B2730" s="3" t="n">
        <v>2728</v>
      </c>
      <c r="C2730" s="3" t="n">
        <v>3</v>
      </c>
      <c r="D2730" s="3" t="n">
        <v>13</v>
      </c>
      <c r="E2730" s="3" t="n">
        <v>12</v>
      </c>
      <c r="F2730" s="24" t="n">
        <v>-0.0226645079</v>
      </c>
    </row>
    <row r="2731" customFormat="false" ht="15" hidden="false" customHeight="false" outlineLevel="0" collapsed="false">
      <c r="A2731" s="3" t="n">
        <v>2730</v>
      </c>
      <c r="B2731" s="3" t="n">
        <v>2729</v>
      </c>
      <c r="C2731" s="3" t="n">
        <v>3</v>
      </c>
      <c r="D2731" s="3" t="n">
        <v>13</v>
      </c>
      <c r="E2731" s="3" t="n">
        <v>13</v>
      </c>
      <c r="F2731" s="24" t="n">
        <v>-0.0226645079</v>
      </c>
    </row>
    <row r="2732" customFormat="false" ht="15" hidden="false" customHeight="false" outlineLevel="0" collapsed="false">
      <c r="A2732" s="3" t="n">
        <v>2731</v>
      </c>
      <c r="B2732" s="3" t="n">
        <v>2730</v>
      </c>
      <c r="C2732" s="3" t="n">
        <v>3</v>
      </c>
      <c r="D2732" s="3" t="n">
        <v>13</v>
      </c>
      <c r="E2732" s="3" t="n">
        <v>14</v>
      </c>
      <c r="F2732" s="24" t="n">
        <v>-0.0226645079</v>
      </c>
    </row>
    <row r="2733" customFormat="false" ht="15" hidden="false" customHeight="false" outlineLevel="0" collapsed="false">
      <c r="A2733" s="3" t="n">
        <v>2732</v>
      </c>
      <c r="B2733" s="3" t="n">
        <v>2731</v>
      </c>
      <c r="C2733" s="3" t="n">
        <v>3</v>
      </c>
      <c r="D2733" s="3" t="n">
        <v>13</v>
      </c>
      <c r="E2733" s="3" t="n">
        <v>15</v>
      </c>
      <c r="F2733" s="24" t="n">
        <v>0.329552144</v>
      </c>
    </row>
    <row r="2734" customFormat="false" ht="15" hidden="false" customHeight="false" outlineLevel="0" collapsed="false">
      <c r="A2734" s="3" t="n">
        <v>2733</v>
      </c>
      <c r="B2734" s="3" t="n">
        <v>2732</v>
      </c>
      <c r="C2734" s="3" t="n">
        <v>3</v>
      </c>
      <c r="D2734" s="3" t="n">
        <v>13</v>
      </c>
      <c r="E2734" s="3" t="n">
        <v>16</v>
      </c>
      <c r="F2734" s="24" t="n">
        <v>2.07034779</v>
      </c>
    </row>
    <row r="2735" customFormat="false" ht="15" hidden="false" customHeight="false" outlineLevel="0" collapsed="false">
      <c r="A2735" s="3" t="n">
        <v>2734</v>
      </c>
      <c r="B2735" s="3" t="n">
        <v>2733</v>
      </c>
      <c r="C2735" s="3" t="n">
        <v>3</v>
      </c>
      <c r="D2735" s="3" t="n">
        <v>13</v>
      </c>
      <c r="E2735" s="3" t="n">
        <v>17</v>
      </c>
      <c r="F2735" s="24" t="n">
        <v>1.21866155</v>
      </c>
    </row>
    <row r="2736" customFormat="false" ht="15" hidden="false" customHeight="false" outlineLevel="0" collapsed="false">
      <c r="A2736" s="3" t="n">
        <v>2735</v>
      </c>
      <c r="B2736" s="3" t="n">
        <v>2734</v>
      </c>
      <c r="C2736" s="3" t="n">
        <v>3</v>
      </c>
      <c r="D2736" s="3" t="n">
        <v>13</v>
      </c>
      <c r="E2736" s="3" t="n">
        <v>18</v>
      </c>
      <c r="F2736" s="24" t="n">
        <v>-0.739021599</v>
      </c>
    </row>
    <row r="2737" customFormat="false" ht="15" hidden="false" customHeight="false" outlineLevel="0" collapsed="false">
      <c r="A2737" s="3" t="n">
        <v>2736</v>
      </c>
      <c r="B2737" s="3" t="n">
        <v>2735</v>
      </c>
      <c r="C2737" s="3" t="n">
        <v>3</v>
      </c>
      <c r="D2737" s="3" t="n">
        <v>13</v>
      </c>
      <c r="E2737" s="3" t="n">
        <v>19</v>
      </c>
      <c r="F2737" s="24" t="n">
        <v>-1.52095711</v>
      </c>
    </row>
    <row r="2738" customFormat="false" ht="15" hidden="false" customHeight="false" outlineLevel="0" collapsed="false">
      <c r="A2738" s="3" t="n">
        <v>2737</v>
      </c>
      <c r="B2738" s="3" t="n">
        <v>2736</v>
      </c>
      <c r="C2738" s="3" t="n">
        <v>3</v>
      </c>
      <c r="D2738" s="3" t="n">
        <v>13</v>
      </c>
      <c r="E2738" s="3" t="n">
        <v>20</v>
      </c>
      <c r="F2738" s="24" t="n">
        <v>-0.407768816</v>
      </c>
    </row>
    <row r="2739" customFormat="false" ht="15" hidden="false" customHeight="false" outlineLevel="0" collapsed="false">
      <c r="A2739" s="3" t="n">
        <v>2738</v>
      </c>
      <c r="B2739" s="3" t="n">
        <v>2737</v>
      </c>
      <c r="C2739" s="3" t="n">
        <v>3</v>
      </c>
      <c r="D2739" s="3" t="n">
        <v>13</v>
      </c>
      <c r="E2739" s="3" t="n">
        <v>21</v>
      </c>
      <c r="F2739" s="24" t="n">
        <v>-0.187824011</v>
      </c>
    </row>
    <row r="2740" customFormat="false" ht="15" hidden="false" customHeight="false" outlineLevel="0" collapsed="false">
      <c r="A2740" s="3" t="n">
        <v>2739</v>
      </c>
      <c r="B2740" s="3" t="n">
        <v>2738</v>
      </c>
      <c r="C2740" s="3" t="n">
        <v>3</v>
      </c>
      <c r="D2740" s="3" t="n">
        <v>13</v>
      </c>
      <c r="E2740" s="3" t="n">
        <v>22</v>
      </c>
      <c r="F2740" s="24" t="n">
        <v>-0.0226645079</v>
      </c>
    </row>
    <row r="2741" customFormat="false" ht="15" hidden="false" customHeight="false" outlineLevel="0" collapsed="false">
      <c r="A2741" s="3" t="n">
        <v>2740</v>
      </c>
      <c r="B2741" s="3" t="n">
        <v>2739</v>
      </c>
      <c r="C2741" s="3" t="n">
        <v>3</v>
      </c>
      <c r="D2741" s="3" t="n">
        <v>13</v>
      </c>
      <c r="E2741" s="3" t="n">
        <v>23</v>
      </c>
      <c r="F2741" s="24" t="n">
        <v>-0.0226645079</v>
      </c>
    </row>
    <row r="2742" customFormat="false" ht="15" hidden="false" customHeight="false" outlineLevel="0" collapsed="false">
      <c r="A2742" s="3" t="n">
        <v>2741</v>
      </c>
      <c r="B2742" s="3" t="n">
        <v>2740</v>
      </c>
      <c r="C2742" s="3" t="n">
        <v>3</v>
      </c>
      <c r="D2742" s="3" t="n">
        <v>13</v>
      </c>
      <c r="E2742" s="3" t="n">
        <v>24</v>
      </c>
      <c r="F2742" s="24" t="n">
        <v>-0.0226645079</v>
      </c>
    </row>
    <row r="2743" customFormat="false" ht="15" hidden="false" customHeight="false" outlineLevel="0" collapsed="false">
      <c r="A2743" s="3" t="n">
        <v>2742</v>
      </c>
      <c r="B2743" s="3" t="n">
        <v>2741</v>
      </c>
      <c r="C2743" s="3" t="n">
        <v>3</v>
      </c>
      <c r="D2743" s="3" t="n">
        <v>13</v>
      </c>
      <c r="E2743" s="3" t="n">
        <v>25</v>
      </c>
      <c r="F2743" s="24" t="n">
        <v>-0.0226645079</v>
      </c>
    </row>
    <row r="2744" customFormat="false" ht="15" hidden="false" customHeight="false" outlineLevel="0" collapsed="false">
      <c r="A2744" s="3" t="n">
        <v>2743</v>
      </c>
      <c r="B2744" s="3" t="n">
        <v>2742</v>
      </c>
      <c r="C2744" s="3" t="n">
        <v>3</v>
      </c>
      <c r="D2744" s="3" t="n">
        <v>13</v>
      </c>
      <c r="E2744" s="3" t="n">
        <v>26</v>
      </c>
      <c r="F2744" s="24" t="n">
        <v>-0.0226645079</v>
      </c>
    </row>
    <row r="2745" customFormat="false" ht="15" hidden="false" customHeight="false" outlineLevel="0" collapsed="false">
      <c r="A2745" s="3" t="n">
        <v>2744</v>
      </c>
      <c r="B2745" s="3" t="n">
        <v>2743</v>
      </c>
      <c r="C2745" s="3" t="n">
        <v>3</v>
      </c>
      <c r="D2745" s="3" t="n">
        <v>13</v>
      </c>
      <c r="E2745" s="3" t="n">
        <v>27</v>
      </c>
      <c r="F2745" s="24" t="n">
        <v>-0.00741321221</v>
      </c>
    </row>
    <row r="2746" customFormat="false" ht="15" hidden="false" customHeight="false" outlineLevel="0" collapsed="false">
      <c r="A2746" s="3" t="n">
        <v>2745</v>
      </c>
      <c r="B2746" s="3" t="n">
        <v>2744</v>
      </c>
      <c r="C2746" s="3" t="n">
        <v>3</v>
      </c>
      <c r="D2746" s="3" t="n">
        <v>14</v>
      </c>
      <c r="E2746" s="3" t="n">
        <v>0</v>
      </c>
      <c r="F2746" s="24" t="n">
        <v>0.0962923914</v>
      </c>
    </row>
    <row r="2747" customFormat="false" ht="15" hidden="false" customHeight="false" outlineLevel="0" collapsed="false">
      <c r="A2747" s="3" t="n">
        <v>2746</v>
      </c>
      <c r="B2747" s="3" t="n">
        <v>2745</v>
      </c>
      <c r="C2747" s="3" t="n">
        <v>3</v>
      </c>
      <c r="D2747" s="3" t="n">
        <v>14</v>
      </c>
      <c r="E2747" s="3" t="n">
        <v>1</v>
      </c>
      <c r="F2747" s="24" t="n">
        <v>-0.0226645079</v>
      </c>
    </row>
    <row r="2748" customFormat="false" ht="15" hidden="false" customHeight="false" outlineLevel="0" collapsed="false">
      <c r="A2748" s="3" t="n">
        <v>2747</v>
      </c>
      <c r="B2748" s="3" t="n">
        <v>2746</v>
      </c>
      <c r="C2748" s="3" t="n">
        <v>3</v>
      </c>
      <c r="D2748" s="3" t="n">
        <v>14</v>
      </c>
      <c r="E2748" s="3" t="n">
        <v>2</v>
      </c>
      <c r="F2748" s="24" t="n">
        <v>-0.0226645079</v>
      </c>
    </row>
    <row r="2749" customFormat="false" ht="15" hidden="false" customHeight="false" outlineLevel="0" collapsed="false">
      <c r="A2749" s="3" t="n">
        <v>2748</v>
      </c>
      <c r="B2749" s="3" t="n">
        <v>2747</v>
      </c>
      <c r="C2749" s="3" t="n">
        <v>3</v>
      </c>
      <c r="D2749" s="3" t="n">
        <v>14</v>
      </c>
      <c r="E2749" s="3" t="n">
        <v>3</v>
      </c>
      <c r="F2749" s="24" t="n">
        <v>-0.0226645079</v>
      </c>
    </row>
    <row r="2750" customFormat="false" ht="15" hidden="false" customHeight="false" outlineLevel="0" collapsed="false">
      <c r="A2750" s="3" t="n">
        <v>2749</v>
      </c>
      <c r="B2750" s="3" t="n">
        <v>2748</v>
      </c>
      <c r="C2750" s="3" t="n">
        <v>3</v>
      </c>
      <c r="D2750" s="3" t="n">
        <v>14</v>
      </c>
      <c r="E2750" s="3" t="n">
        <v>4</v>
      </c>
      <c r="F2750" s="24" t="n">
        <v>-0.0226645079</v>
      </c>
    </row>
    <row r="2751" customFormat="false" ht="15" hidden="false" customHeight="false" outlineLevel="0" collapsed="false">
      <c r="A2751" s="3" t="n">
        <v>2750</v>
      </c>
      <c r="B2751" s="3" t="n">
        <v>2749</v>
      </c>
      <c r="C2751" s="3" t="n">
        <v>3</v>
      </c>
      <c r="D2751" s="3" t="n">
        <v>14</v>
      </c>
      <c r="E2751" s="3" t="n">
        <v>5</v>
      </c>
      <c r="F2751" s="24" t="n">
        <v>-0.0226645079</v>
      </c>
    </row>
    <row r="2752" customFormat="false" ht="15" hidden="false" customHeight="false" outlineLevel="0" collapsed="false">
      <c r="A2752" s="3" t="n">
        <v>2751</v>
      </c>
      <c r="B2752" s="3" t="n">
        <v>2750</v>
      </c>
      <c r="C2752" s="3" t="n">
        <v>3</v>
      </c>
      <c r="D2752" s="3" t="n">
        <v>14</v>
      </c>
      <c r="E2752" s="3" t="n">
        <v>6</v>
      </c>
      <c r="F2752" s="24" t="n">
        <v>-0.0226645079</v>
      </c>
    </row>
    <row r="2753" customFormat="false" ht="15" hidden="false" customHeight="false" outlineLevel="0" collapsed="false">
      <c r="A2753" s="3" t="n">
        <v>2752</v>
      </c>
      <c r="B2753" s="3" t="n">
        <v>2751</v>
      </c>
      <c r="C2753" s="3" t="n">
        <v>3</v>
      </c>
      <c r="D2753" s="3" t="n">
        <v>14</v>
      </c>
      <c r="E2753" s="3" t="n">
        <v>7</v>
      </c>
      <c r="F2753" s="24" t="n">
        <v>-0.0226645079</v>
      </c>
    </row>
    <row r="2754" customFormat="false" ht="15" hidden="false" customHeight="false" outlineLevel="0" collapsed="false">
      <c r="A2754" s="3" t="n">
        <v>2753</v>
      </c>
      <c r="B2754" s="3" t="n">
        <v>2752</v>
      </c>
      <c r="C2754" s="3" t="n">
        <v>3</v>
      </c>
      <c r="D2754" s="3" t="n">
        <v>14</v>
      </c>
      <c r="E2754" s="3" t="n">
        <v>8</v>
      </c>
      <c r="F2754" s="24" t="n">
        <v>-0.0226645079</v>
      </c>
    </row>
    <row r="2755" customFormat="false" ht="15" hidden="false" customHeight="false" outlineLevel="0" collapsed="false">
      <c r="A2755" s="3" t="n">
        <v>2754</v>
      </c>
      <c r="B2755" s="3" t="n">
        <v>2753</v>
      </c>
      <c r="C2755" s="3" t="n">
        <v>3</v>
      </c>
      <c r="D2755" s="3" t="n">
        <v>14</v>
      </c>
      <c r="E2755" s="3" t="n">
        <v>9</v>
      </c>
      <c r="F2755" s="24" t="n">
        <v>-0.0226645079</v>
      </c>
    </row>
    <row r="2756" customFormat="false" ht="15" hidden="false" customHeight="false" outlineLevel="0" collapsed="false">
      <c r="A2756" s="3" t="n">
        <v>2755</v>
      </c>
      <c r="B2756" s="3" t="n">
        <v>2754</v>
      </c>
      <c r="C2756" s="3" t="n">
        <v>3</v>
      </c>
      <c r="D2756" s="3" t="n">
        <v>14</v>
      </c>
      <c r="E2756" s="3" t="n">
        <v>10</v>
      </c>
      <c r="F2756" s="24" t="n">
        <v>-0.0226645079</v>
      </c>
    </row>
    <row r="2757" customFormat="false" ht="15" hidden="false" customHeight="false" outlineLevel="0" collapsed="false">
      <c r="A2757" s="3" t="n">
        <v>2756</v>
      </c>
      <c r="B2757" s="3" t="n">
        <v>2755</v>
      </c>
      <c r="C2757" s="3" t="n">
        <v>3</v>
      </c>
      <c r="D2757" s="3" t="n">
        <v>14</v>
      </c>
      <c r="E2757" s="3" t="n">
        <v>11</v>
      </c>
      <c r="F2757" s="24" t="n">
        <v>-0.0226645079</v>
      </c>
    </row>
    <row r="2758" customFormat="false" ht="15" hidden="false" customHeight="false" outlineLevel="0" collapsed="false">
      <c r="A2758" s="3" t="n">
        <v>2757</v>
      </c>
      <c r="B2758" s="3" t="n">
        <v>2756</v>
      </c>
      <c r="C2758" s="3" t="n">
        <v>3</v>
      </c>
      <c r="D2758" s="3" t="n">
        <v>14</v>
      </c>
      <c r="E2758" s="3" t="n">
        <v>12</v>
      </c>
      <c r="F2758" s="24" t="n">
        <v>-0.0226645079</v>
      </c>
    </row>
    <row r="2759" customFormat="false" ht="15" hidden="false" customHeight="false" outlineLevel="0" collapsed="false">
      <c r="A2759" s="3" t="n">
        <v>2758</v>
      </c>
      <c r="B2759" s="3" t="n">
        <v>2757</v>
      </c>
      <c r="C2759" s="3" t="n">
        <v>3</v>
      </c>
      <c r="D2759" s="3" t="n">
        <v>14</v>
      </c>
      <c r="E2759" s="3" t="n">
        <v>13</v>
      </c>
      <c r="F2759" s="24" t="n">
        <v>-0.0226645079</v>
      </c>
    </row>
    <row r="2760" customFormat="false" ht="15" hidden="false" customHeight="false" outlineLevel="0" collapsed="false">
      <c r="A2760" s="3" t="n">
        <v>2759</v>
      </c>
      <c r="B2760" s="3" t="n">
        <v>2758</v>
      </c>
      <c r="C2760" s="3" t="n">
        <v>3</v>
      </c>
      <c r="D2760" s="3" t="n">
        <v>14</v>
      </c>
      <c r="E2760" s="3" t="n">
        <v>14</v>
      </c>
      <c r="F2760" s="24" t="n">
        <v>-0.0226645079</v>
      </c>
    </row>
    <row r="2761" customFormat="false" ht="15" hidden="false" customHeight="false" outlineLevel="0" collapsed="false">
      <c r="A2761" s="3" t="n">
        <v>2760</v>
      </c>
      <c r="B2761" s="3" t="n">
        <v>2759</v>
      </c>
      <c r="C2761" s="3" t="n">
        <v>3</v>
      </c>
      <c r="D2761" s="3" t="n">
        <v>14</v>
      </c>
      <c r="E2761" s="3" t="n">
        <v>15</v>
      </c>
      <c r="F2761" s="24" t="n">
        <v>1.04222369</v>
      </c>
    </row>
    <row r="2762" customFormat="false" ht="15" hidden="false" customHeight="false" outlineLevel="0" collapsed="false">
      <c r="A2762" s="3" t="n">
        <v>2761</v>
      </c>
      <c r="B2762" s="3" t="n">
        <v>2760</v>
      </c>
      <c r="C2762" s="3" t="n">
        <v>3</v>
      </c>
      <c r="D2762" s="3" t="n">
        <v>14</v>
      </c>
      <c r="E2762" s="3" t="n">
        <v>16</v>
      </c>
      <c r="F2762" s="24" t="n">
        <v>1.83415937</v>
      </c>
    </row>
    <row r="2763" customFormat="false" ht="15" hidden="false" customHeight="false" outlineLevel="0" collapsed="false">
      <c r="A2763" s="3" t="n">
        <v>2762</v>
      </c>
      <c r="B2763" s="3" t="n">
        <v>2761</v>
      </c>
      <c r="C2763" s="3" t="n">
        <v>3</v>
      </c>
      <c r="D2763" s="3" t="n">
        <v>14</v>
      </c>
      <c r="E2763" s="3" t="n">
        <v>17</v>
      </c>
      <c r="F2763" s="24" t="n">
        <v>0.282826841</v>
      </c>
    </row>
    <row r="2764" customFormat="false" ht="15" hidden="false" customHeight="false" outlineLevel="0" collapsed="false">
      <c r="A2764" s="3" t="n">
        <v>2763</v>
      </c>
      <c r="B2764" s="3" t="n">
        <v>2762</v>
      </c>
      <c r="C2764" s="3" t="n">
        <v>3</v>
      </c>
      <c r="D2764" s="3" t="n">
        <v>14</v>
      </c>
      <c r="E2764" s="3" t="n">
        <v>18</v>
      </c>
      <c r="F2764" s="24" t="n">
        <v>-1.96041691</v>
      </c>
    </row>
    <row r="2765" customFormat="false" ht="15" hidden="false" customHeight="false" outlineLevel="0" collapsed="false">
      <c r="A2765" s="3" t="n">
        <v>2764</v>
      </c>
      <c r="B2765" s="3" t="n">
        <v>2763</v>
      </c>
      <c r="C2765" s="3" t="n">
        <v>3</v>
      </c>
      <c r="D2765" s="3" t="n">
        <v>14</v>
      </c>
      <c r="E2765" s="3" t="n">
        <v>19</v>
      </c>
      <c r="F2765" s="24" t="n">
        <v>-1.61686337</v>
      </c>
    </row>
    <row r="2766" customFormat="false" ht="15" hidden="false" customHeight="false" outlineLevel="0" collapsed="false">
      <c r="A2766" s="3" t="n">
        <v>2765</v>
      </c>
      <c r="B2766" s="3" t="n">
        <v>2764</v>
      </c>
      <c r="C2766" s="3" t="n">
        <v>3</v>
      </c>
      <c r="D2766" s="3" t="n">
        <v>14</v>
      </c>
      <c r="E2766" s="3" t="n">
        <v>20</v>
      </c>
      <c r="F2766" s="24" t="n">
        <v>-1.22030008</v>
      </c>
    </row>
    <row r="2767" customFormat="false" ht="15" hidden="false" customHeight="false" outlineLevel="0" collapsed="false">
      <c r="A2767" s="3" t="n">
        <v>2766</v>
      </c>
      <c r="B2767" s="3" t="n">
        <v>2765</v>
      </c>
      <c r="C2767" s="3" t="n">
        <v>3</v>
      </c>
      <c r="D2767" s="3" t="n">
        <v>14</v>
      </c>
      <c r="E2767" s="3" t="n">
        <v>21</v>
      </c>
      <c r="F2767" s="24" t="n">
        <v>-0.253120482</v>
      </c>
    </row>
    <row r="2768" customFormat="false" ht="15" hidden="false" customHeight="false" outlineLevel="0" collapsed="false">
      <c r="A2768" s="3" t="n">
        <v>2767</v>
      </c>
      <c r="B2768" s="3" t="n">
        <v>2766</v>
      </c>
      <c r="C2768" s="3" t="n">
        <v>3</v>
      </c>
      <c r="D2768" s="3" t="n">
        <v>14</v>
      </c>
      <c r="E2768" s="3" t="n">
        <v>22</v>
      </c>
      <c r="F2768" s="24" t="n">
        <v>-0.0226645079</v>
      </c>
    </row>
    <row r="2769" customFormat="false" ht="15" hidden="false" customHeight="false" outlineLevel="0" collapsed="false">
      <c r="A2769" s="3" t="n">
        <v>2768</v>
      </c>
      <c r="B2769" s="3" t="n">
        <v>2767</v>
      </c>
      <c r="C2769" s="3" t="n">
        <v>3</v>
      </c>
      <c r="D2769" s="3" t="n">
        <v>14</v>
      </c>
      <c r="E2769" s="3" t="n">
        <v>23</v>
      </c>
      <c r="F2769" s="24" t="n">
        <v>-0.0226645079</v>
      </c>
    </row>
    <row r="2770" customFormat="false" ht="15" hidden="false" customHeight="false" outlineLevel="0" collapsed="false">
      <c r="A2770" s="3" t="n">
        <v>2769</v>
      </c>
      <c r="B2770" s="3" t="n">
        <v>2768</v>
      </c>
      <c r="C2770" s="3" t="n">
        <v>3</v>
      </c>
      <c r="D2770" s="3" t="n">
        <v>14</v>
      </c>
      <c r="E2770" s="3" t="n">
        <v>24</v>
      </c>
      <c r="F2770" s="24" t="n">
        <v>-0.0226645079</v>
      </c>
    </row>
    <row r="2771" customFormat="false" ht="15" hidden="false" customHeight="false" outlineLevel="0" collapsed="false">
      <c r="A2771" s="3" t="n">
        <v>2770</v>
      </c>
      <c r="B2771" s="3" t="n">
        <v>2769</v>
      </c>
      <c r="C2771" s="3" t="n">
        <v>3</v>
      </c>
      <c r="D2771" s="3" t="n">
        <v>14</v>
      </c>
      <c r="E2771" s="3" t="n">
        <v>25</v>
      </c>
      <c r="F2771" s="24" t="n">
        <v>-0.0226645079</v>
      </c>
    </row>
    <row r="2772" customFormat="false" ht="15" hidden="false" customHeight="false" outlineLevel="0" collapsed="false">
      <c r="A2772" s="3" t="n">
        <v>2771</v>
      </c>
      <c r="B2772" s="3" t="n">
        <v>2770</v>
      </c>
      <c r="C2772" s="3" t="n">
        <v>3</v>
      </c>
      <c r="D2772" s="3" t="n">
        <v>14</v>
      </c>
      <c r="E2772" s="3" t="n">
        <v>26</v>
      </c>
      <c r="F2772" s="24" t="n">
        <v>-0.0226645079</v>
      </c>
    </row>
    <row r="2773" customFormat="false" ht="15" hidden="false" customHeight="false" outlineLevel="0" collapsed="false">
      <c r="A2773" s="3" t="n">
        <v>2772</v>
      </c>
      <c r="B2773" s="3" t="n">
        <v>2771</v>
      </c>
      <c r="C2773" s="3" t="n">
        <v>3</v>
      </c>
      <c r="D2773" s="3" t="n">
        <v>14</v>
      </c>
      <c r="E2773" s="3" t="n">
        <v>27</v>
      </c>
      <c r="F2773" s="24" t="n">
        <v>-0.00741321221</v>
      </c>
    </row>
    <row r="2774" customFormat="false" ht="15" hidden="false" customHeight="false" outlineLevel="0" collapsed="false">
      <c r="A2774" s="3" t="n">
        <v>2773</v>
      </c>
      <c r="B2774" s="3" t="n">
        <v>2772</v>
      </c>
      <c r="C2774" s="3" t="n">
        <v>3</v>
      </c>
      <c r="D2774" s="3" t="n">
        <v>15</v>
      </c>
      <c r="E2774" s="3" t="n">
        <v>0</v>
      </c>
      <c r="F2774" s="24" t="n">
        <v>0.0962923914</v>
      </c>
    </row>
    <row r="2775" customFormat="false" ht="15" hidden="false" customHeight="false" outlineLevel="0" collapsed="false">
      <c r="A2775" s="3" t="n">
        <v>2774</v>
      </c>
      <c r="B2775" s="3" t="n">
        <v>2773</v>
      </c>
      <c r="C2775" s="3" t="n">
        <v>3</v>
      </c>
      <c r="D2775" s="3" t="n">
        <v>15</v>
      </c>
      <c r="E2775" s="3" t="n">
        <v>1</v>
      </c>
      <c r="F2775" s="24" t="n">
        <v>-0.0226645079</v>
      </c>
    </row>
    <row r="2776" customFormat="false" ht="15" hidden="false" customHeight="false" outlineLevel="0" collapsed="false">
      <c r="A2776" s="3" t="n">
        <v>2775</v>
      </c>
      <c r="B2776" s="3" t="n">
        <v>2774</v>
      </c>
      <c r="C2776" s="3" t="n">
        <v>3</v>
      </c>
      <c r="D2776" s="3" t="n">
        <v>15</v>
      </c>
      <c r="E2776" s="3" t="n">
        <v>2</v>
      </c>
      <c r="F2776" s="24" t="n">
        <v>-0.0226645079</v>
      </c>
    </row>
    <row r="2777" customFormat="false" ht="15" hidden="false" customHeight="false" outlineLevel="0" collapsed="false">
      <c r="A2777" s="3" t="n">
        <v>2776</v>
      </c>
      <c r="B2777" s="3" t="n">
        <v>2775</v>
      </c>
      <c r="C2777" s="3" t="n">
        <v>3</v>
      </c>
      <c r="D2777" s="3" t="n">
        <v>15</v>
      </c>
      <c r="E2777" s="3" t="n">
        <v>3</v>
      </c>
      <c r="F2777" s="24" t="n">
        <v>-0.0226645079</v>
      </c>
    </row>
    <row r="2778" customFormat="false" ht="15" hidden="false" customHeight="false" outlineLevel="0" collapsed="false">
      <c r="A2778" s="3" t="n">
        <v>2777</v>
      </c>
      <c r="B2778" s="3" t="n">
        <v>2776</v>
      </c>
      <c r="C2778" s="3" t="n">
        <v>3</v>
      </c>
      <c r="D2778" s="3" t="n">
        <v>15</v>
      </c>
      <c r="E2778" s="3" t="n">
        <v>4</v>
      </c>
      <c r="F2778" s="24" t="n">
        <v>-0.0226645079</v>
      </c>
    </row>
    <row r="2779" customFormat="false" ht="15" hidden="false" customHeight="false" outlineLevel="0" collapsed="false">
      <c r="A2779" s="3" t="n">
        <v>2778</v>
      </c>
      <c r="B2779" s="3" t="n">
        <v>2777</v>
      </c>
      <c r="C2779" s="3" t="n">
        <v>3</v>
      </c>
      <c r="D2779" s="3" t="n">
        <v>15</v>
      </c>
      <c r="E2779" s="3" t="n">
        <v>5</v>
      </c>
      <c r="F2779" s="24" t="n">
        <v>-0.0226645079</v>
      </c>
    </row>
    <row r="2780" customFormat="false" ht="15" hidden="false" customHeight="false" outlineLevel="0" collapsed="false">
      <c r="A2780" s="3" t="n">
        <v>2779</v>
      </c>
      <c r="B2780" s="3" t="n">
        <v>2778</v>
      </c>
      <c r="C2780" s="3" t="n">
        <v>3</v>
      </c>
      <c r="D2780" s="3" t="n">
        <v>15</v>
      </c>
      <c r="E2780" s="3" t="n">
        <v>6</v>
      </c>
      <c r="F2780" s="24" t="n">
        <v>-0.0226645079</v>
      </c>
    </row>
    <row r="2781" customFormat="false" ht="15" hidden="false" customHeight="false" outlineLevel="0" collapsed="false">
      <c r="A2781" s="3" t="n">
        <v>2780</v>
      </c>
      <c r="B2781" s="3" t="n">
        <v>2779</v>
      </c>
      <c r="C2781" s="3" t="n">
        <v>3</v>
      </c>
      <c r="D2781" s="3" t="n">
        <v>15</v>
      </c>
      <c r="E2781" s="3" t="n">
        <v>7</v>
      </c>
      <c r="F2781" s="24" t="n">
        <v>-0.0226645079</v>
      </c>
    </row>
    <row r="2782" customFormat="false" ht="15" hidden="false" customHeight="false" outlineLevel="0" collapsed="false">
      <c r="A2782" s="3" t="n">
        <v>2781</v>
      </c>
      <c r="B2782" s="3" t="n">
        <v>2780</v>
      </c>
      <c r="C2782" s="3" t="n">
        <v>3</v>
      </c>
      <c r="D2782" s="3" t="n">
        <v>15</v>
      </c>
      <c r="E2782" s="3" t="n">
        <v>8</v>
      </c>
      <c r="F2782" s="24" t="n">
        <v>-0.0226645079</v>
      </c>
    </row>
    <row r="2783" customFormat="false" ht="15" hidden="false" customHeight="false" outlineLevel="0" collapsed="false">
      <c r="A2783" s="3" t="n">
        <v>2782</v>
      </c>
      <c r="B2783" s="3" t="n">
        <v>2781</v>
      </c>
      <c r="C2783" s="3" t="n">
        <v>3</v>
      </c>
      <c r="D2783" s="3" t="n">
        <v>15</v>
      </c>
      <c r="E2783" s="3" t="n">
        <v>9</v>
      </c>
      <c r="F2783" s="24" t="n">
        <v>-0.0226645079</v>
      </c>
    </row>
    <row r="2784" customFormat="false" ht="15" hidden="false" customHeight="false" outlineLevel="0" collapsed="false">
      <c r="A2784" s="3" t="n">
        <v>2783</v>
      </c>
      <c r="B2784" s="3" t="n">
        <v>2782</v>
      </c>
      <c r="C2784" s="3" t="n">
        <v>3</v>
      </c>
      <c r="D2784" s="3" t="n">
        <v>15</v>
      </c>
      <c r="E2784" s="3" t="n">
        <v>10</v>
      </c>
      <c r="F2784" s="24" t="n">
        <v>-0.0226645079</v>
      </c>
    </row>
    <row r="2785" customFormat="false" ht="15" hidden="false" customHeight="false" outlineLevel="0" collapsed="false">
      <c r="A2785" s="3" t="n">
        <v>2784</v>
      </c>
      <c r="B2785" s="3" t="n">
        <v>2783</v>
      </c>
      <c r="C2785" s="3" t="n">
        <v>3</v>
      </c>
      <c r="D2785" s="3" t="n">
        <v>15</v>
      </c>
      <c r="E2785" s="3" t="n">
        <v>11</v>
      </c>
      <c r="F2785" s="24" t="n">
        <v>-0.0226645079</v>
      </c>
    </row>
    <row r="2786" customFormat="false" ht="15" hidden="false" customHeight="false" outlineLevel="0" collapsed="false">
      <c r="A2786" s="3" t="n">
        <v>2785</v>
      </c>
      <c r="B2786" s="3" t="n">
        <v>2784</v>
      </c>
      <c r="C2786" s="3" t="n">
        <v>3</v>
      </c>
      <c r="D2786" s="3" t="n">
        <v>15</v>
      </c>
      <c r="E2786" s="3" t="n">
        <v>12</v>
      </c>
      <c r="F2786" s="24" t="n">
        <v>-0.0226645079</v>
      </c>
    </row>
    <row r="2787" customFormat="false" ht="15" hidden="false" customHeight="false" outlineLevel="0" collapsed="false">
      <c r="A2787" s="3" t="n">
        <v>2786</v>
      </c>
      <c r="B2787" s="3" t="n">
        <v>2785</v>
      </c>
      <c r="C2787" s="3" t="n">
        <v>3</v>
      </c>
      <c r="D2787" s="3" t="n">
        <v>15</v>
      </c>
      <c r="E2787" s="3" t="n">
        <v>13</v>
      </c>
      <c r="F2787" s="24" t="n">
        <v>-0.0226645079</v>
      </c>
    </row>
    <row r="2788" customFormat="false" ht="15" hidden="false" customHeight="false" outlineLevel="0" collapsed="false">
      <c r="A2788" s="3" t="n">
        <v>2787</v>
      </c>
      <c r="B2788" s="3" t="n">
        <v>2786</v>
      </c>
      <c r="C2788" s="3" t="n">
        <v>3</v>
      </c>
      <c r="D2788" s="3" t="n">
        <v>15</v>
      </c>
      <c r="E2788" s="3" t="n">
        <v>14</v>
      </c>
      <c r="F2788" s="24" t="n">
        <v>0.0310634561</v>
      </c>
    </row>
    <row r="2789" customFormat="false" ht="15" hidden="false" customHeight="false" outlineLevel="0" collapsed="false">
      <c r="A2789" s="3" t="n">
        <v>2788</v>
      </c>
      <c r="B2789" s="3" t="n">
        <v>2787</v>
      </c>
      <c r="C2789" s="3" t="n">
        <v>3</v>
      </c>
      <c r="D2789" s="3" t="n">
        <v>15</v>
      </c>
      <c r="E2789" s="3" t="n">
        <v>15</v>
      </c>
      <c r="F2789" s="24" t="n">
        <v>1.25178027</v>
      </c>
    </row>
    <row r="2790" customFormat="false" ht="15" hidden="false" customHeight="false" outlineLevel="0" collapsed="false">
      <c r="A2790" s="3" t="n">
        <v>2789</v>
      </c>
      <c r="B2790" s="3" t="n">
        <v>2788</v>
      </c>
      <c r="C2790" s="3" t="n">
        <v>3</v>
      </c>
      <c r="D2790" s="3" t="n">
        <v>15</v>
      </c>
      <c r="E2790" s="3" t="n">
        <v>16</v>
      </c>
      <c r="F2790" s="24" t="n">
        <v>0.419040471</v>
      </c>
    </row>
    <row r="2791" customFormat="false" ht="15" hidden="false" customHeight="false" outlineLevel="0" collapsed="false">
      <c r="A2791" s="3" t="n">
        <v>2790</v>
      </c>
      <c r="B2791" s="3" t="n">
        <v>2789</v>
      </c>
      <c r="C2791" s="3" t="n">
        <v>3</v>
      </c>
      <c r="D2791" s="3" t="n">
        <v>15</v>
      </c>
      <c r="E2791" s="3" t="n">
        <v>17</v>
      </c>
      <c r="F2791" s="24" t="n">
        <v>-1.42345393</v>
      </c>
    </row>
    <row r="2792" customFormat="false" ht="15" hidden="false" customHeight="false" outlineLevel="0" collapsed="false">
      <c r="A2792" s="3" t="n">
        <v>2791</v>
      </c>
      <c r="B2792" s="3" t="n">
        <v>2790</v>
      </c>
      <c r="C2792" s="3" t="n">
        <v>3</v>
      </c>
      <c r="D2792" s="3" t="n">
        <v>15</v>
      </c>
      <c r="E2792" s="3" t="n">
        <v>18</v>
      </c>
      <c r="F2792" s="24" t="n">
        <v>-1.56780648</v>
      </c>
    </row>
    <row r="2793" customFormat="false" ht="15" hidden="false" customHeight="false" outlineLevel="0" collapsed="false">
      <c r="A2793" s="3" t="n">
        <v>2792</v>
      </c>
      <c r="B2793" s="3" t="n">
        <v>2791</v>
      </c>
      <c r="C2793" s="3" t="n">
        <v>3</v>
      </c>
      <c r="D2793" s="3" t="n">
        <v>15</v>
      </c>
      <c r="E2793" s="3" t="n">
        <v>19</v>
      </c>
      <c r="F2793" s="24" t="n">
        <v>-0.539850354</v>
      </c>
    </row>
    <row r="2794" customFormat="false" ht="15" hidden="false" customHeight="false" outlineLevel="0" collapsed="false">
      <c r="A2794" s="3" t="n">
        <v>2793</v>
      </c>
      <c r="B2794" s="3" t="n">
        <v>2792</v>
      </c>
      <c r="C2794" s="3" t="n">
        <v>3</v>
      </c>
      <c r="D2794" s="3" t="n">
        <v>15</v>
      </c>
      <c r="E2794" s="3" t="n">
        <v>20</v>
      </c>
      <c r="F2794" s="24" t="n">
        <v>-0.316765696</v>
      </c>
    </row>
    <row r="2795" customFormat="false" ht="15" hidden="false" customHeight="false" outlineLevel="0" collapsed="false">
      <c r="A2795" s="3" t="n">
        <v>2794</v>
      </c>
      <c r="B2795" s="3" t="n">
        <v>2793</v>
      </c>
      <c r="C2795" s="3" t="n">
        <v>3</v>
      </c>
      <c r="D2795" s="3" t="n">
        <v>15</v>
      </c>
      <c r="E2795" s="3" t="n">
        <v>21</v>
      </c>
      <c r="F2795" s="24" t="n">
        <v>-0.0226645079</v>
      </c>
    </row>
    <row r="2796" customFormat="false" ht="15" hidden="false" customHeight="false" outlineLevel="0" collapsed="false">
      <c r="A2796" s="3" t="n">
        <v>2795</v>
      </c>
      <c r="B2796" s="3" t="n">
        <v>2794</v>
      </c>
      <c r="C2796" s="3" t="n">
        <v>3</v>
      </c>
      <c r="D2796" s="3" t="n">
        <v>15</v>
      </c>
      <c r="E2796" s="3" t="n">
        <v>22</v>
      </c>
      <c r="F2796" s="24" t="n">
        <v>-0.0226645079</v>
      </c>
    </row>
    <row r="2797" customFormat="false" ht="15" hidden="false" customHeight="false" outlineLevel="0" collapsed="false">
      <c r="A2797" s="3" t="n">
        <v>2796</v>
      </c>
      <c r="B2797" s="3" t="n">
        <v>2795</v>
      </c>
      <c r="C2797" s="3" t="n">
        <v>3</v>
      </c>
      <c r="D2797" s="3" t="n">
        <v>15</v>
      </c>
      <c r="E2797" s="3" t="n">
        <v>23</v>
      </c>
      <c r="F2797" s="24" t="n">
        <v>-0.0226645079</v>
      </c>
    </row>
    <row r="2798" customFormat="false" ht="15" hidden="false" customHeight="false" outlineLevel="0" collapsed="false">
      <c r="A2798" s="3" t="n">
        <v>2797</v>
      </c>
      <c r="B2798" s="3" t="n">
        <v>2796</v>
      </c>
      <c r="C2798" s="3" t="n">
        <v>3</v>
      </c>
      <c r="D2798" s="3" t="n">
        <v>15</v>
      </c>
      <c r="E2798" s="3" t="n">
        <v>24</v>
      </c>
      <c r="F2798" s="24" t="n">
        <v>-0.0226645079</v>
      </c>
    </row>
    <row r="2799" customFormat="false" ht="15" hidden="false" customHeight="false" outlineLevel="0" collapsed="false">
      <c r="A2799" s="3" t="n">
        <v>2798</v>
      </c>
      <c r="B2799" s="3" t="n">
        <v>2797</v>
      </c>
      <c r="C2799" s="3" t="n">
        <v>3</v>
      </c>
      <c r="D2799" s="3" t="n">
        <v>15</v>
      </c>
      <c r="E2799" s="3" t="n">
        <v>25</v>
      </c>
      <c r="F2799" s="24" t="n">
        <v>-0.0226645079</v>
      </c>
    </row>
    <row r="2800" customFormat="false" ht="15" hidden="false" customHeight="false" outlineLevel="0" collapsed="false">
      <c r="A2800" s="3" t="n">
        <v>2799</v>
      </c>
      <c r="B2800" s="3" t="n">
        <v>2798</v>
      </c>
      <c r="C2800" s="3" t="n">
        <v>3</v>
      </c>
      <c r="D2800" s="3" t="n">
        <v>15</v>
      </c>
      <c r="E2800" s="3" t="n">
        <v>26</v>
      </c>
      <c r="F2800" s="24" t="n">
        <v>-0.0226645079</v>
      </c>
    </row>
    <row r="2801" customFormat="false" ht="15" hidden="false" customHeight="false" outlineLevel="0" collapsed="false">
      <c r="A2801" s="3" t="n">
        <v>2800</v>
      </c>
      <c r="B2801" s="3" t="n">
        <v>2799</v>
      </c>
      <c r="C2801" s="3" t="n">
        <v>3</v>
      </c>
      <c r="D2801" s="3" t="n">
        <v>15</v>
      </c>
      <c r="E2801" s="3" t="n">
        <v>27</v>
      </c>
      <c r="F2801" s="24" t="n">
        <v>-0.00741321221</v>
      </c>
    </row>
    <row r="2802" customFormat="false" ht="15" hidden="false" customHeight="false" outlineLevel="0" collapsed="false">
      <c r="A2802" s="3" t="n">
        <v>2801</v>
      </c>
      <c r="B2802" s="3" t="n">
        <v>2800</v>
      </c>
      <c r="C2802" s="3" t="n">
        <v>3</v>
      </c>
      <c r="D2802" s="3" t="n">
        <v>16</v>
      </c>
      <c r="E2802" s="3" t="n">
        <v>0</v>
      </c>
      <c r="F2802" s="24" t="n">
        <v>0.0962923914</v>
      </c>
    </row>
    <row r="2803" customFormat="false" ht="15" hidden="false" customHeight="false" outlineLevel="0" collapsed="false">
      <c r="A2803" s="3" t="n">
        <v>2802</v>
      </c>
      <c r="B2803" s="3" t="n">
        <v>2801</v>
      </c>
      <c r="C2803" s="3" t="n">
        <v>3</v>
      </c>
      <c r="D2803" s="3" t="n">
        <v>16</v>
      </c>
      <c r="E2803" s="3" t="n">
        <v>1</v>
      </c>
      <c r="F2803" s="24" t="n">
        <v>-0.0226645079</v>
      </c>
    </row>
    <row r="2804" customFormat="false" ht="15" hidden="false" customHeight="false" outlineLevel="0" collapsed="false">
      <c r="A2804" s="3" t="n">
        <v>2803</v>
      </c>
      <c r="B2804" s="3" t="n">
        <v>2802</v>
      </c>
      <c r="C2804" s="3" t="n">
        <v>3</v>
      </c>
      <c r="D2804" s="3" t="n">
        <v>16</v>
      </c>
      <c r="E2804" s="3" t="n">
        <v>2</v>
      </c>
      <c r="F2804" s="24" t="n">
        <v>-0.0226645079</v>
      </c>
    </row>
    <row r="2805" customFormat="false" ht="15" hidden="false" customHeight="false" outlineLevel="0" collapsed="false">
      <c r="A2805" s="3" t="n">
        <v>2804</v>
      </c>
      <c r="B2805" s="3" t="n">
        <v>2803</v>
      </c>
      <c r="C2805" s="3" t="n">
        <v>3</v>
      </c>
      <c r="D2805" s="3" t="n">
        <v>16</v>
      </c>
      <c r="E2805" s="3" t="n">
        <v>3</v>
      </c>
      <c r="F2805" s="24" t="n">
        <v>-0.0226645079</v>
      </c>
    </row>
    <row r="2806" customFormat="false" ht="15" hidden="false" customHeight="false" outlineLevel="0" collapsed="false">
      <c r="A2806" s="3" t="n">
        <v>2805</v>
      </c>
      <c r="B2806" s="3" t="n">
        <v>2804</v>
      </c>
      <c r="C2806" s="3" t="n">
        <v>3</v>
      </c>
      <c r="D2806" s="3" t="n">
        <v>16</v>
      </c>
      <c r="E2806" s="3" t="n">
        <v>4</v>
      </c>
      <c r="F2806" s="24" t="n">
        <v>-0.0226645079</v>
      </c>
    </row>
    <row r="2807" customFormat="false" ht="15" hidden="false" customHeight="false" outlineLevel="0" collapsed="false">
      <c r="A2807" s="3" t="n">
        <v>2806</v>
      </c>
      <c r="B2807" s="3" t="n">
        <v>2805</v>
      </c>
      <c r="C2807" s="3" t="n">
        <v>3</v>
      </c>
      <c r="D2807" s="3" t="n">
        <v>16</v>
      </c>
      <c r="E2807" s="3" t="n">
        <v>5</v>
      </c>
      <c r="F2807" s="24" t="n">
        <v>-0.0226645079</v>
      </c>
    </row>
    <row r="2808" customFormat="false" ht="15" hidden="false" customHeight="false" outlineLevel="0" collapsed="false">
      <c r="A2808" s="3" t="n">
        <v>2807</v>
      </c>
      <c r="B2808" s="3" t="n">
        <v>2806</v>
      </c>
      <c r="C2808" s="3" t="n">
        <v>3</v>
      </c>
      <c r="D2808" s="3" t="n">
        <v>16</v>
      </c>
      <c r="E2808" s="3" t="n">
        <v>6</v>
      </c>
      <c r="F2808" s="24" t="n">
        <v>-0.0226645079</v>
      </c>
    </row>
    <row r="2809" customFormat="false" ht="15" hidden="false" customHeight="false" outlineLevel="0" collapsed="false">
      <c r="A2809" s="3" t="n">
        <v>2808</v>
      </c>
      <c r="B2809" s="3" t="n">
        <v>2807</v>
      </c>
      <c r="C2809" s="3" t="n">
        <v>3</v>
      </c>
      <c r="D2809" s="3" t="n">
        <v>16</v>
      </c>
      <c r="E2809" s="3" t="n">
        <v>7</v>
      </c>
      <c r="F2809" s="24" t="n">
        <v>-0.0226645079</v>
      </c>
    </row>
    <row r="2810" customFormat="false" ht="15" hidden="false" customHeight="false" outlineLevel="0" collapsed="false">
      <c r="A2810" s="3" t="n">
        <v>2809</v>
      </c>
      <c r="B2810" s="3" t="n">
        <v>2808</v>
      </c>
      <c r="C2810" s="3" t="n">
        <v>3</v>
      </c>
      <c r="D2810" s="3" t="n">
        <v>16</v>
      </c>
      <c r="E2810" s="3" t="n">
        <v>8</v>
      </c>
      <c r="F2810" s="24" t="n">
        <v>-0.0226645079</v>
      </c>
    </row>
    <row r="2811" customFormat="false" ht="15" hidden="false" customHeight="false" outlineLevel="0" collapsed="false">
      <c r="A2811" s="3" t="n">
        <v>2810</v>
      </c>
      <c r="B2811" s="3" t="n">
        <v>2809</v>
      </c>
      <c r="C2811" s="3" t="n">
        <v>3</v>
      </c>
      <c r="D2811" s="3" t="n">
        <v>16</v>
      </c>
      <c r="E2811" s="3" t="n">
        <v>9</v>
      </c>
      <c r="F2811" s="24" t="n">
        <v>-0.0226645079</v>
      </c>
    </row>
    <row r="2812" customFormat="false" ht="15" hidden="false" customHeight="false" outlineLevel="0" collapsed="false">
      <c r="A2812" s="3" t="n">
        <v>2811</v>
      </c>
      <c r="B2812" s="3" t="n">
        <v>2810</v>
      </c>
      <c r="C2812" s="3" t="n">
        <v>3</v>
      </c>
      <c r="D2812" s="3" t="n">
        <v>16</v>
      </c>
      <c r="E2812" s="3" t="n">
        <v>10</v>
      </c>
      <c r="F2812" s="24" t="n">
        <v>-0.0226645079</v>
      </c>
    </row>
    <row r="2813" customFormat="false" ht="15" hidden="false" customHeight="false" outlineLevel="0" collapsed="false">
      <c r="A2813" s="3" t="n">
        <v>2812</v>
      </c>
      <c r="B2813" s="3" t="n">
        <v>2811</v>
      </c>
      <c r="C2813" s="3" t="n">
        <v>3</v>
      </c>
      <c r="D2813" s="3" t="n">
        <v>16</v>
      </c>
      <c r="E2813" s="3" t="n">
        <v>11</v>
      </c>
      <c r="F2813" s="24" t="n">
        <v>-0.0226645079</v>
      </c>
    </row>
    <row r="2814" customFormat="false" ht="15" hidden="false" customHeight="false" outlineLevel="0" collapsed="false">
      <c r="A2814" s="3" t="n">
        <v>2813</v>
      </c>
      <c r="B2814" s="3" t="n">
        <v>2812</v>
      </c>
      <c r="C2814" s="3" t="n">
        <v>3</v>
      </c>
      <c r="D2814" s="3" t="n">
        <v>16</v>
      </c>
      <c r="E2814" s="3" t="n">
        <v>12</v>
      </c>
      <c r="F2814" s="24" t="n">
        <v>-0.0226645079</v>
      </c>
    </row>
    <row r="2815" customFormat="false" ht="15" hidden="false" customHeight="false" outlineLevel="0" collapsed="false">
      <c r="A2815" s="3" t="n">
        <v>2814</v>
      </c>
      <c r="B2815" s="3" t="n">
        <v>2813</v>
      </c>
      <c r="C2815" s="3" t="n">
        <v>3</v>
      </c>
      <c r="D2815" s="3" t="n">
        <v>16</v>
      </c>
      <c r="E2815" s="3" t="n">
        <v>13</v>
      </c>
      <c r="F2815" s="24" t="n">
        <v>-0.0226645079</v>
      </c>
    </row>
    <row r="2816" customFormat="false" ht="15" hidden="false" customHeight="false" outlineLevel="0" collapsed="false">
      <c r="A2816" s="3" t="n">
        <v>2815</v>
      </c>
      <c r="B2816" s="3" t="n">
        <v>2814</v>
      </c>
      <c r="C2816" s="3" t="n">
        <v>3</v>
      </c>
      <c r="D2816" s="3" t="n">
        <v>16</v>
      </c>
      <c r="E2816" s="3" t="n">
        <v>14</v>
      </c>
      <c r="F2816" s="24" t="n">
        <v>0.77085197</v>
      </c>
    </row>
    <row r="2817" customFormat="false" ht="15" hidden="false" customHeight="false" outlineLevel="0" collapsed="false">
      <c r="A2817" s="3" t="n">
        <v>2816</v>
      </c>
      <c r="B2817" s="3" t="n">
        <v>2815</v>
      </c>
      <c r="C2817" s="3" t="n">
        <v>3</v>
      </c>
      <c r="D2817" s="3" t="n">
        <v>16</v>
      </c>
      <c r="E2817" s="3" t="n">
        <v>15</v>
      </c>
      <c r="F2817" s="24" t="n">
        <v>1.59123802</v>
      </c>
    </row>
    <row r="2818" customFormat="false" ht="15" hidden="false" customHeight="false" outlineLevel="0" collapsed="false">
      <c r="A2818" s="3" t="n">
        <v>2817</v>
      </c>
      <c r="B2818" s="3" t="n">
        <v>2816</v>
      </c>
      <c r="C2818" s="3" t="n">
        <v>3</v>
      </c>
      <c r="D2818" s="3" t="n">
        <v>16</v>
      </c>
      <c r="E2818" s="3" t="n">
        <v>16</v>
      </c>
      <c r="F2818" s="24" t="n">
        <v>-0.106683627</v>
      </c>
    </row>
    <row r="2819" customFormat="false" ht="15" hidden="false" customHeight="false" outlineLevel="0" collapsed="false">
      <c r="A2819" s="3" t="n">
        <v>2818</v>
      </c>
      <c r="B2819" s="3" t="n">
        <v>2817</v>
      </c>
      <c r="C2819" s="3" t="n">
        <v>3</v>
      </c>
      <c r="D2819" s="3" t="n">
        <v>16</v>
      </c>
      <c r="E2819" s="3" t="n">
        <v>17</v>
      </c>
      <c r="F2819" s="24" t="n">
        <v>-1.8005836</v>
      </c>
    </row>
    <row r="2820" customFormat="false" ht="15" hidden="false" customHeight="false" outlineLevel="0" collapsed="false">
      <c r="A2820" s="3" t="n">
        <v>2819</v>
      </c>
      <c r="B2820" s="3" t="n">
        <v>2818</v>
      </c>
      <c r="C2820" s="3" t="n">
        <v>3</v>
      </c>
      <c r="D2820" s="3" t="n">
        <v>16</v>
      </c>
      <c r="E2820" s="3" t="n">
        <v>18</v>
      </c>
      <c r="F2820" s="24" t="n">
        <v>-0.891710758</v>
      </c>
    </row>
    <row r="2821" customFormat="false" ht="15" hidden="false" customHeight="false" outlineLevel="0" collapsed="false">
      <c r="A2821" s="3" t="n">
        <v>2820</v>
      </c>
      <c r="B2821" s="3" t="n">
        <v>2819</v>
      </c>
      <c r="C2821" s="3" t="n">
        <v>3</v>
      </c>
      <c r="D2821" s="3" t="n">
        <v>16</v>
      </c>
      <c r="E2821" s="3" t="n">
        <v>19</v>
      </c>
      <c r="F2821" s="24" t="n">
        <v>-0.685895205</v>
      </c>
    </row>
    <row r="2822" customFormat="false" ht="15" hidden="false" customHeight="false" outlineLevel="0" collapsed="false">
      <c r="A2822" s="3" t="n">
        <v>2821</v>
      </c>
      <c r="B2822" s="3" t="n">
        <v>2820</v>
      </c>
      <c r="C2822" s="3" t="n">
        <v>3</v>
      </c>
      <c r="D2822" s="3" t="n">
        <v>16</v>
      </c>
      <c r="E2822" s="3" t="n">
        <v>20</v>
      </c>
      <c r="F2822" s="24" t="n">
        <v>-0.0488527045</v>
      </c>
    </row>
    <row r="2823" customFormat="false" ht="15" hidden="false" customHeight="false" outlineLevel="0" collapsed="false">
      <c r="A2823" s="3" t="n">
        <v>2822</v>
      </c>
      <c r="B2823" s="3" t="n">
        <v>2821</v>
      </c>
      <c r="C2823" s="3" t="n">
        <v>3</v>
      </c>
      <c r="D2823" s="3" t="n">
        <v>16</v>
      </c>
      <c r="E2823" s="3" t="n">
        <v>21</v>
      </c>
      <c r="F2823" s="24" t="n">
        <v>-0.0226645079</v>
      </c>
    </row>
    <row r="2824" customFormat="false" ht="15" hidden="false" customHeight="false" outlineLevel="0" collapsed="false">
      <c r="A2824" s="3" t="n">
        <v>2823</v>
      </c>
      <c r="B2824" s="3" t="n">
        <v>2822</v>
      </c>
      <c r="C2824" s="3" t="n">
        <v>3</v>
      </c>
      <c r="D2824" s="3" t="n">
        <v>16</v>
      </c>
      <c r="E2824" s="3" t="n">
        <v>22</v>
      </c>
      <c r="F2824" s="24" t="n">
        <v>-0.0226645079</v>
      </c>
    </row>
    <row r="2825" customFormat="false" ht="15" hidden="false" customHeight="false" outlineLevel="0" collapsed="false">
      <c r="A2825" s="3" t="n">
        <v>2824</v>
      </c>
      <c r="B2825" s="3" t="n">
        <v>2823</v>
      </c>
      <c r="C2825" s="3" t="n">
        <v>3</v>
      </c>
      <c r="D2825" s="3" t="n">
        <v>16</v>
      </c>
      <c r="E2825" s="3" t="n">
        <v>23</v>
      </c>
      <c r="F2825" s="24" t="n">
        <v>-0.0226645079</v>
      </c>
    </row>
    <row r="2826" customFormat="false" ht="15" hidden="false" customHeight="false" outlineLevel="0" collapsed="false">
      <c r="A2826" s="3" t="n">
        <v>2825</v>
      </c>
      <c r="B2826" s="3" t="n">
        <v>2824</v>
      </c>
      <c r="C2826" s="3" t="n">
        <v>3</v>
      </c>
      <c r="D2826" s="3" t="n">
        <v>16</v>
      </c>
      <c r="E2826" s="3" t="n">
        <v>24</v>
      </c>
      <c r="F2826" s="24" t="n">
        <v>-0.0226645079</v>
      </c>
    </row>
    <row r="2827" customFormat="false" ht="15" hidden="false" customHeight="false" outlineLevel="0" collapsed="false">
      <c r="A2827" s="3" t="n">
        <v>2826</v>
      </c>
      <c r="B2827" s="3" t="n">
        <v>2825</v>
      </c>
      <c r="C2827" s="3" t="n">
        <v>3</v>
      </c>
      <c r="D2827" s="3" t="n">
        <v>16</v>
      </c>
      <c r="E2827" s="3" t="n">
        <v>25</v>
      </c>
      <c r="F2827" s="24" t="n">
        <v>-0.0226645079</v>
      </c>
    </row>
    <row r="2828" customFormat="false" ht="15" hidden="false" customHeight="false" outlineLevel="0" collapsed="false">
      <c r="A2828" s="3" t="n">
        <v>2827</v>
      </c>
      <c r="B2828" s="3" t="n">
        <v>2826</v>
      </c>
      <c r="C2828" s="3" t="n">
        <v>3</v>
      </c>
      <c r="D2828" s="3" t="n">
        <v>16</v>
      </c>
      <c r="E2828" s="3" t="n">
        <v>26</v>
      </c>
      <c r="F2828" s="24" t="n">
        <v>-0.0226645079</v>
      </c>
    </row>
    <row r="2829" customFormat="false" ht="15" hidden="false" customHeight="false" outlineLevel="0" collapsed="false">
      <c r="A2829" s="3" t="n">
        <v>2828</v>
      </c>
      <c r="B2829" s="3" t="n">
        <v>2827</v>
      </c>
      <c r="C2829" s="3" t="n">
        <v>3</v>
      </c>
      <c r="D2829" s="3" t="n">
        <v>16</v>
      </c>
      <c r="E2829" s="3" t="n">
        <v>27</v>
      </c>
      <c r="F2829" s="24" t="n">
        <v>-0.00741321221</v>
      </c>
    </row>
    <row r="2830" customFormat="false" ht="15" hidden="false" customHeight="false" outlineLevel="0" collapsed="false">
      <c r="A2830" s="3" t="n">
        <v>2829</v>
      </c>
      <c r="B2830" s="3" t="n">
        <v>2828</v>
      </c>
      <c r="C2830" s="3" t="n">
        <v>3</v>
      </c>
      <c r="D2830" s="3" t="n">
        <v>17</v>
      </c>
      <c r="E2830" s="3" t="n">
        <v>0</v>
      </c>
      <c r="F2830" s="24" t="n">
        <v>0.0962923914</v>
      </c>
    </row>
    <row r="2831" customFormat="false" ht="15" hidden="false" customHeight="false" outlineLevel="0" collapsed="false">
      <c r="A2831" s="3" t="n">
        <v>2830</v>
      </c>
      <c r="B2831" s="3" t="n">
        <v>2829</v>
      </c>
      <c r="C2831" s="3" t="n">
        <v>3</v>
      </c>
      <c r="D2831" s="3" t="n">
        <v>17</v>
      </c>
      <c r="E2831" s="3" t="n">
        <v>1</v>
      </c>
      <c r="F2831" s="24" t="n">
        <v>-0.0226645079</v>
      </c>
    </row>
    <row r="2832" customFormat="false" ht="15" hidden="false" customHeight="false" outlineLevel="0" collapsed="false">
      <c r="A2832" s="3" t="n">
        <v>2831</v>
      </c>
      <c r="B2832" s="3" t="n">
        <v>2830</v>
      </c>
      <c r="C2832" s="3" t="n">
        <v>3</v>
      </c>
      <c r="D2832" s="3" t="n">
        <v>17</v>
      </c>
      <c r="E2832" s="3" t="n">
        <v>2</v>
      </c>
      <c r="F2832" s="24" t="n">
        <v>-0.0226645079</v>
      </c>
    </row>
    <row r="2833" customFormat="false" ht="15" hidden="false" customHeight="false" outlineLevel="0" collapsed="false">
      <c r="A2833" s="3" t="n">
        <v>2832</v>
      </c>
      <c r="B2833" s="3" t="n">
        <v>2831</v>
      </c>
      <c r="C2833" s="3" t="n">
        <v>3</v>
      </c>
      <c r="D2833" s="3" t="n">
        <v>17</v>
      </c>
      <c r="E2833" s="3" t="n">
        <v>3</v>
      </c>
      <c r="F2833" s="24" t="n">
        <v>-0.0226645079</v>
      </c>
    </row>
    <row r="2834" customFormat="false" ht="15" hidden="false" customHeight="false" outlineLevel="0" collapsed="false">
      <c r="A2834" s="3" t="n">
        <v>2833</v>
      </c>
      <c r="B2834" s="3" t="n">
        <v>2832</v>
      </c>
      <c r="C2834" s="3" t="n">
        <v>3</v>
      </c>
      <c r="D2834" s="3" t="n">
        <v>17</v>
      </c>
      <c r="E2834" s="3" t="n">
        <v>4</v>
      </c>
      <c r="F2834" s="24" t="n">
        <v>-0.0226645079</v>
      </c>
    </row>
    <row r="2835" customFormat="false" ht="15" hidden="false" customHeight="false" outlineLevel="0" collapsed="false">
      <c r="A2835" s="3" t="n">
        <v>2834</v>
      </c>
      <c r="B2835" s="3" t="n">
        <v>2833</v>
      </c>
      <c r="C2835" s="3" t="n">
        <v>3</v>
      </c>
      <c r="D2835" s="3" t="n">
        <v>17</v>
      </c>
      <c r="E2835" s="3" t="n">
        <v>5</v>
      </c>
      <c r="F2835" s="24" t="n">
        <v>-0.0226645079</v>
      </c>
    </row>
    <row r="2836" customFormat="false" ht="15" hidden="false" customHeight="false" outlineLevel="0" collapsed="false">
      <c r="A2836" s="3" t="n">
        <v>2835</v>
      </c>
      <c r="B2836" s="3" t="n">
        <v>2834</v>
      </c>
      <c r="C2836" s="3" t="n">
        <v>3</v>
      </c>
      <c r="D2836" s="3" t="n">
        <v>17</v>
      </c>
      <c r="E2836" s="3" t="n">
        <v>6</v>
      </c>
      <c r="F2836" s="24" t="n">
        <v>-0.0226645079</v>
      </c>
    </row>
    <row r="2837" customFormat="false" ht="15" hidden="false" customHeight="false" outlineLevel="0" collapsed="false">
      <c r="A2837" s="3" t="n">
        <v>2836</v>
      </c>
      <c r="B2837" s="3" t="n">
        <v>2835</v>
      </c>
      <c r="C2837" s="3" t="n">
        <v>3</v>
      </c>
      <c r="D2837" s="3" t="n">
        <v>17</v>
      </c>
      <c r="E2837" s="3" t="n">
        <v>7</v>
      </c>
      <c r="F2837" s="24" t="n">
        <v>-0.0226645079</v>
      </c>
    </row>
    <row r="2838" customFormat="false" ht="15" hidden="false" customHeight="false" outlineLevel="0" collapsed="false">
      <c r="A2838" s="3" t="n">
        <v>2837</v>
      </c>
      <c r="B2838" s="3" t="n">
        <v>2836</v>
      </c>
      <c r="C2838" s="3" t="n">
        <v>3</v>
      </c>
      <c r="D2838" s="3" t="n">
        <v>17</v>
      </c>
      <c r="E2838" s="3" t="n">
        <v>8</v>
      </c>
      <c r="F2838" s="24" t="n">
        <v>-0.0226645079</v>
      </c>
    </row>
    <row r="2839" customFormat="false" ht="15" hidden="false" customHeight="false" outlineLevel="0" collapsed="false">
      <c r="A2839" s="3" t="n">
        <v>2838</v>
      </c>
      <c r="B2839" s="3" t="n">
        <v>2837</v>
      </c>
      <c r="C2839" s="3" t="n">
        <v>3</v>
      </c>
      <c r="D2839" s="3" t="n">
        <v>17</v>
      </c>
      <c r="E2839" s="3" t="n">
        <v>9</v>
      </c>
      <c r="F2839" s="24" t="n">
        <v>-0.0226645079</v>
      </c>
    </row>
    <row r="2840" customFormat="false" ht="15" hidden="false" customHeight="false" outlineLevel="0" collapsed="false">
      <c r="A2840" s="3" t="n">
        <v>2839</v>
      </c>
      <c r="B2840" s="3" t="n">
        <v>2838</v>
      </c>
      <c r="C2840" s="3" t="n">
        <v>3</v>
      </c>
      <c r="D2840" s="3" t="n">
        <v>17</v>
      </c>
      <c r="E2840" s="3" t="n">
        <v>10</v>
      </c>
      <c r="F2840" s="24" t="n">
        <v>-0.0226645079</v>
      </c>
    </row>
    <row r="2841" customFormat="false" ht="15" hidden="false" customHeight="false" outlineLevel="0" collapsed="false">
      <c r="A2841" s="3" t="n">
        <v>2840</v>
      </c>
      <c r="B2841" s="3" t="n">
        <v>2839</v>
      </c>
      <c r="C2841" s="3" t="n">
        <v>3</v>
      </c>
      <c r="D2841" s="3" t="n">
        <v>17</v>
      </c>
      <c r="E2841" s="3" t="n">
        <v>11</v>
      </c>
      <c r="F2841" s="24" t="n">
        <v>-0.0226645079</v>
      </c>
    </row>
    <row r="2842" customFormat="false" ht="15" hidden="false" customHeight="false" outlineLevel="0" collapsed="false">
      <c r="A2842" s="3" t="n">
        <v>2841</v>
      </c>
      <c r="B2842" s="3" t="n">
        <v>2840</v>
      </c>
      <c r="C2842" s="3" t="n">
        <v>3</v>
      </c>
      <c r="D2842" s="3" t="n">
        <v>17</v>
      </c>
      <c r="E2842" s="3" t="n">
        <v>12</v>
      </c>
      <c r="F2842" s="24" t="n">
        <v>-0.0226645079</v>
      </c>
    </row>
    <row r="2843" customFormat="false" ht="15" hidden="false" customHeight="false" outlineLevel="0" collapsed="false">
      <c r="A2843" s="3" t="n">
        <v>2842</v>
      </c>
      <c r="B2843" s="3" t="n">
        <v>2841</v>
      </c>
      <c r="C2843" s="3" t="n">
        <v>3</v>
      </c>
      <c r="D2843" s="3" t="n">
        <v>17</v>
      </c>
      <c r="E2843" s="3" t="n">
        <v>13</v>
      </c>
      <c r="F2843" s="24" t="n">
        <v>0.425068557</v>
      </c>
    </row>
    <row r="2844" customFormat="false" ht="15" hidden="false" customHeight="false" outlineLevel="0" collapsed="false">
      <c r="A2844" s="3" t="n">
        <v>2843</v>
      </c>
      <c r="B2844" s="3" t="n">
        <v>2842</v>
      </c>
      <c r="C2844" s="3" t="n">
        <v>3</v>
      </c>
      <c r="D2844" s="3" t="n">
        <v>17</v>
      </c>
      <c r="E2844" s="3" t="n">
        <v>14</v>
      </c>
      <c r="F2844" s="24" t="n">
        <v>2.26399755</v>
      </c>
    </row>
    <row r="2845" customFormat="false" ht="15" hidden="false" customHeight="false" outlineLevel="0" collapsed="false">
      <c r="A2845" s="3" t="n">
        <v>2844</v>
      </c>
      <c r="B2845" s="3" t="n">
        <v>2843</v>
      </c>
      <c r="C2845" s="3" t="n">
        <v>3</v>
      </c>
      <c r="D2845" s="3" t="n">
        <v>17</v>
      </c>
      <c r="E2845" s="3" t="n">
        <v>15</v>
      </c>
      <c r="F2845" s="24" t="n">
        <v>1.5722816</v>
      </c>
    </row>
    <row r="2846" customFormat="false" ht="15" hidden="false" customHeight="false" outlineLevel="0" collapsed="false">
      <c r="A2846" s="3" t="n">
        <v>2845</v>
      </c>
      <c r="B2846" s="3" t="n">
        <v>2844</v>
      </c>
      <c r="C2846" s="3" t="n">
        <v>3</v>
      </c>
      <c r="D2846" s="3" t="n">
        <v>17</v>
      </c>
      <c r="E2846" s="3" t="n">
        <v>16</v>
      </c>
      <c r="F2846" s="24" t="n">
        <v>-0.737211108</v>
      </c>
    </row>
    <row r="2847" customFormat="false" ht="15" hidden="false" customHeight="false" outlineLevel="0" collapsed="false">
      <c r="A2847" s="3" t="n">
        <v>2846</v>
      </c>
      <c r="B2847" s="3" t="n">
        <v>2845</v>
      </c>
      <c r="C2847" s="3" t="n">
        <v>3</v>
      </c>
      <c r="D2847" s="3" t="n">
        <v>17</v>
      </c>
      <c r="E2847" s="3" t="n">
        <v>17</v>
      </c>
      <c r="F2847" s="24" t="n">
        <v>-1.29563367</v>
      </c>
    </row>
    <row r="2848" customFormat="false" ht="15" hidden="false" customHeight="false" outlineLevel="0" collapsed="false">
      <c r="A2848" s="3" t="n">
        <v>2847</v>
      </c>
      <c r="B2848" s="3" t="n">
        <v>2846</v>
      </c>
      <c r="C2848" s="3" t="n">
        <v>3</v>
      </c>
      <c r="D2848" s="3" t="n">
        <v>17</v>
      </c>
      <c r="E2848" s="3" t="n">
        <v>18</v>
      </c>
      <c r="F2848" s="24" t="n">
        <v>-0.507676601</v>
      </c>
    </row>
    <row r="2849" customFormat="false" ht="15" hidden="false" customHeight="false" outlineLevel="0" collapsed="false">
      <c r="A2849" s="3" t="n">
        <v>2848</v>
      </c>
      <c r="B2849" s="3" t="n">
        <v>2847</v>
      </c>
      <c r="C2849" s="3" t="n">
        <v>3</v>
      </c>
      <c r="D2849" s="3" t="n">
        <v>17</v>
      </c>
      <c r="E2849" s="3" t="n">
        <v>19</v>
      </c>
      <c r="F2849" s="24" t="n">
        <v>-0.326447457</v>
      </c>
    </row>
    <row r="2850" customFormat="false" ht="15" hidden="false" customHeight="false" outlineLevel="0" collapsed="false">
      <c r="A2850" s="3" t="n">
        <v>2849</v>
      </c>
      <c r="B2850" s="3" t="n">
        <v>2848</v>
      </c>
      <c r="C2850" s="3" t="n">
        <v>3</v>
      </c>
      <c r="D2850" s="3" t="n">
        <v>17</v>
      </c>
      <c r="E2850" s="3" t="n">
        <v>20</v>
      </c>
      <c r="F2850" s="24" t="n">
        <v>-0.0226645079</v>
      </c>
    </row>
    <row r="2851" customFormat="false" ht="15" hidden="false" customHeight="false" outlineLevel="0" collapsed="false">
      <c r="A2851" s="3" t="n">
        <v>2850</v>
      </c>
      <c r="B2851" s="3" t="n">
        <v>2849</v>
      </c>
      <c r="C2851" s="3" t="n">
        <v>3</v>
      </c>
      <c r="D2851" s="3" t="n">
        <v>17</v>
      </c>
      <c r="E2851" s="3" t="n">
        <v>21</v>
      </c>
      <c r="F2851" s="24" t="n">
        <v>-0.0226645079</v>
      </c>
    </row>
    <row r="2852" customFormat="false" ht="15" hidden="false" customHeight="false" outlineLevel="0" collapsed="false">
      <c r="A2852" s="3" t="n">
        <v>2851</v>
      </c>
      <c r="B2852" s="3" t="n">
        <v>2850</v>
      </c>
      <c r="C2852" s="3" t="n">
        <v>3</v>
      </c>
      <c r="D2852" s="3" t="n">
        <v>17</v>
      </c>
      <c r="E2852" s="3" t="n">
        <v>22</v>
      </c>
      <c r="F2852" s="24" t="n">
        <v>-0.0226645079</v>
      </c>
    </row>
    <row r="2853" customFormat="false" ht="15" hidden="false" customHeight="false" outlineLevel="0" collapsed="false">
      <c r="A2853" s="3" t="n">
        <v>2852</v>
      </c>
      <c r="B2853" s="3" t="n">
        <v>2851</v>
      </c>
      <c r="C2853" s="3" t="n">
        <v>3</v>
      </c>
      <c r="D2853" s="3" t="n">
        <v>17</v>
      </c>
      <c r="E2853" s="3" t="n">
        <v>23</v>
      </c>
      <c r="F2853" s="24" t="n">
        <v>-0.0226645079</v>
      </c>
    </row>
    <row r="2854" customFormat="false" ht="15" hidden="false" customHeight="false" outlineLevel="0" collapsed="false">
      <c r="A2854" s="3" t="n">
        <v>2853</v>
      </c>
      <c r="B2854" s="3" t="n">
        <v>2852</v>
      </c>
      <c r="C2854" s="3" t="n">
        <v>3</v>
      </c>
      <c r="D2854" s="3" t="n">
        <v>17</v>
      </c>
      <c r="E2854" s="3" t="n">
        <v>24</v>
      </c>
      <c r="F2854" s="24" t="n">
        <v>-0.0226645079</v>
      </c>
    </row>
    <row r="2855" customFormat="false" ht="15" hidden="false" customHeight="false" outlineLevel="0" collapsed="false">
      <c r="A2855" s="3" t="n">
        <v>2854</v>
      </c>
      <c r="B2855" s="3" t="n">
        <v>2853</v>
      </c>
      <c r="C2855" s="3" t="n">
        <v>3</v>
      </c>
      <c r="D2855" s="3" t="n">
        <v>17</v>
      </c>
      <c r="E2855" s="3" t="n">
        <v>25</v>
      </c>
      <c r="F2855" s="24" t="n">
        <v>-0.0226645079</v>
      </c>
    </row>
    <row r="2856" customFormat="false" ht="15" hidden="false" customHeight="false" outlineLevel="0" collapsed="false">
      <c r="A2856" s="3" t="n">
        <v>2855</v>
      </c>
      <c r="B2856" s="3" t="n">
        <v>2854</v>
      </c>
      <c r="C2856" s="3" t="n">
        <v>3</v>
      </c>
      <c r="D2856" s="3" t="n">
        <v>17</v>
      </c>
      <c r="E2856" s="3" t="n">
        <v>26</v>
      </c>
      <c r="F2856" s="24" t="n">
        <v>-0.0226645079</v>
      </c>
    </row>
    <row r="2857" customFormat="false" ht="15" hidden="false" customHeight="false" outlineLevel="0" collapsed="false">
      <c r="A2857" s="3" t="n">
        <v>2856</v>
      </c>
      <c r="B2857" s="3" t="n">
        <v>2855</v>
      </c>
      <c r="C2857" s="3" t="n">
        <v>3</v>
      </c>
      <c r="D2857" s="3" t="n">
        <v>17</v>
      </c>
      <c r="E2857" s="3" t="n">
        <v>27</v>
      </c>
      <c r="F2857" s="24" t="n">
        <v>-0.00741321221</v>
      </c>
    </row>
    <row r="2858" customFormat="false" ht="15" hidden="false" customHeight="false" outlineLevel="0" collapsed="false">
      <c r="A2858" s="3" t="n">
        <v>2857</v>
      </c>
      <c r="B2858" s="3" t="n">
        <v>2856</v>
      </c>
      <c r="C2858" s="3" t="n">
        <v>3</v>
      </c>
      <c r="D2858" s="3" t="n">
        <v>18</v>
      </c>
      <c r="E2858" s="3" t="n">
        <v>0</v>
      </c>
      <c r="F2858" s="24" t="n">
        <v>0.0962923914</v>
      </c>
    </row>
    <row r="2859" customFormat="false" ht="15" hidden="false" customHeight="false" outlineLevel="0" collapsed="false">
      <c r="A2859" s="3" t="n">
        <v>2858</v>
      </c>
      <c r="B2859" s="3" t="n">
        <v>2857</v>
      </c>
      <c r="C2859" s="3" t="n">
        <v>3</v>
      </c>
      <c r="D2859" s="3" t="n">
        <v>18</v>
      </c>
      <c r="E2859" s="3" t="n">
        <v>1</v>
      </c>
      <c r="F2859" s="24" t="n">
        <v>-0.0226645079</v>
      </c>
    </row>
    <row r="2860" customFormat="false" ht="15" hidden="false" customHeight="false" outlineLevel="0" collapsed="false">
      <c r="A2860" s="3" t="n">
        <v>2859</v>
      </c>
      <c r="B2860" s="3" t="n">
        <v>2858</v>
      </c>
      <c r="C2860" s="3" t="n">
        <v>3</v>
      </c>
      <c r="D2860" s="3" t="n">
        <v>18</v>
      </c>
      <c r="E2860" s="3" t="n">
        <v>2</v>
      </c>
      <c r="F2860" s="24" t="n">
        <v>-0.0226645079</v>
      </c>
    </row>
    <row r="2861" customFormat="false" ht="15" hidden="false" customHeight="false" outlineLevel="0" collapsed="false">
      <c r="A2861" s="3" t="n">
        <v>2860</v>
      </c>
      <c r="B2861" s="3" t="n">
        <v>2859</v>
      </c>
      <c r="C2861" s="3" t="n">
        <v>3</v>
      </c>
      <c r="D2861" s="3" t="n">
        <v>18</v>
      </c>
      <c r="E2861" s="3" t="n">
        <v>3</v>
      </c>
      <c r="F2861" s="24" t="n">
        <v>-0.0226645079</v>
      </c>
    </row>
    <row r="2862" customFormat="false" ht="15" hidden="false" customHeight="false" outlineLevel="0" collapsed="false">
      <c r="A2862" s="3" t="n">
        <v>2861</v>
      </c>
      <c r="B2862" s="3" t="n">
        <v>2860</v>
      </c>
      <c r="C2862" s="3" t="n">
        <v>3</v>
      </c>
      <c r="D2862" s="3" t="n">
        <v>18</v>
      </c>
      <c r="E2862" s="3" t="n">
        <v>4</v>
      </c>
      <c r="F2862" s="24" t="n">
        <v>-0.0226645079</v>
      </c>
    </row>
    <row r="2863" customFormat="false" ht="15" hidden="false" customHeight="false" outlineLevel="0" collapsed="false">
      <c r="A2863" s="3" t="n">
        <v>2862</v>
      </c>
      <c r="B2863" s="3" t="n">
        <v>2861</v>
      </c>
      <c r="C2863" s="3" t="n">
        <v>3</v>
      </c>
      <c r="D2863" s="3" t="n">
        <v>18</v>
      </c>
      <c r="E2863" s="3" t="n">
        <v>5</v>
      </c>
      <c r="F2863" s="24" t="n">
        <v>-0.0226645079</v>
      </c>
    </row>
    <row r="2864" customFormat="false" ht="15" hidden="false" customHeight="false" outlineLevel="0" collapsed="false">
      <c r="A2864" s="3" t="n">
        <v>2863</v>
      </c>
      <c r="B2864" s="3" t="n">
        <v>2862</v>
      </c>
      <c r="C2864" s="3" t="n">
        <v>3</v>
      </c>
      <c r="D2864" s="3" t="n">
        <v>18</v>
      </c>
      <c r="E2864" s="3" t="n">
        <v>6</v>
      </c>
      <c r="F2864" s="24" t="n">
        <v>-0.0226645079</v>
      </c>
    </row>
    <row r="2865" customFormat="false" ht="15" hidden="false" customHeight="false" outlineLevel="0" collapsed="false">
      <c r="A2865" s="3" t="n">
        <v>2864</v>
      </c>
      <c r="B2865" s="3" t="n">
        <v>2863</v>
      </c>
      <c r="C2865" s="3" t="n">
        <v>3</v>
      </c>
      <c r="D2865" s="3" t="n">
        <v>18</v>
      </c>
      <c r="E2865" s="3" t="n">
        <v>7</v>
      </c>
      <c r="F2865" s="24" t="n">
        <v>-0.0226645079</v>
      </c>
    </row>
    <row r="2866" customFormat="false" ht="15" hidden="false" customHeight="false" outlineLevel="0" collapsed="false">
      <c r="A2866" s="3" t="n">
        <v>2865</v>
      </c>
      <c r="B2866" s="3" t="n">
        <v>2864</v>
      </c>
      <c r="C2866" s="3" t="n">
        <v>3</v>
      </c>
      <c r="D2866" s="3" t="n">
        <v>18</v>
      </c>
      <c r="E2866" s="3" t="n">
        <v>8</v>
      </c>
      <c r="F2866" s="24" t="n">
        <v>-0.0226645079</v>
      </c>
    </row>
    <row r="2867" customFormat="false" ht="15" hidden="false" customHeight="false" outlineLevel="0" collapsed="false">
      <c r="A2867" s="3" t="n">
        <v>2866</v>
      </c>
      <c r="B2867" s="3" t="n">
        <v>2865</v>
      </c>
      <c r="C2867" s="3" t="n">
        <v>3</v>
      </c>
      <c r="D2867" s="3" t="n">
        <v>18</v>
      </c>
      <c r="E2867" s="3" t="n">
        <v>9</v>
      </c>
      <c r="F2867" s="24" t="n">
        <v>-0.0226645079</v>
      </c>
    </row>
    <row r="2868" customFormat="false" ht="15" hidden="false" customHeight="false" outlineLevel="0" collapsed="false">
      <c r="A2868" s="3" t="n">
        <v>2867</v>
      </c>
      <c r="B2868" s="3" t="n">
        <v>2866</v>
      </c>
      <c r="C2868" s="3" t="n">
        <v>3</v>
      </c>
      <c r="D2868" s="3" t="n">
        <v>18</v>
      </c>
      <c r="E2868" s="3" t="n">
        <v>10</v>
      </c>
      <c r="F2868" s="24" t="n">
        <v>-0.0226645079</v>
      </c>
    </row>
    <row r="2869" customFormat="false" ht="15" hidden="false" customHeight="false" outlineLevel="0" collapsed="false">
      <c r="A2869" s="3" t="n">
        <v>2868</v>
      </c>
      <c r="B2869" s="3" t="n">
        <v>2867</v>
      </c>
      <c r="C2869" s="3" t="n">
        <v>3</v>
      </c>
      <c r="D2869" s="3" t="n">
        <v>18</v>
      </c>
      <c r="E2869" s="3" t="n">
        <v>11</v>
      </c>
      <c r="F2869" s="24" t="n">
        <v>-0.0226645079</v>
      </c>
    </row>
    <row r="2870" customFormat="false" ht="15" hidden="false" customHeight="false" outlineLevel="0" collapsed="false">
      <c r="A2870" s="3" t="n">
        <v>2869</v>
      </c>
      <c r="B2870" s="3" t="n">
        <v>2868</v>
      </c>
      <c r="C2870" s="3" t="n">
        <v>3</v>
      </c>
      <c r="D2870" s="3" t="n">
        <v>18</v>
      </c>
      <c r="E2870" s="3" t="n">
        <v>12</v>
      </c>
      <c r="F2870" s="24" t="n">
        <v>0.0907611996</v>
      </c>
    </row>
    <row r="2871" customFormat="false" ht="15" hidden="false" customHeight="false" outlineLevel="0" collapsed="false">
      <c r="A2871" s="3" t="n">
        <v>2870</v>
      </c>
      <c r="B2871" s="3" t="n">
        <v>2869</v>
      </c>
      <c r="C2871" s="3" t="n">
        <v>3</v>
      </c>
      <c r="D2871" s="3" t="n">
        <v>18</v>
      </c>
      <c r="E2871" s="3" t="n">
        <v>13</v>
      </c>
      <c r="F2871" s="24" t="n">
        <v>1.71719086</v>
      </c>
    </row>
    <row r="2872" customFormat="false" ht="15" hidden="false" customHeight="false" outlineLevel="0" collapsed="false">
      <c r="A2872" s="3" t="n">
        <v>2871</v>
      </c>
      <c r="B2872" s="3" t="n">
        <v>2870</v>
      </c>
      <c r="C2872" s="3" t="n">
        <v>3</v>
      </c>
      <c r="D2872" s="3" t="n">
        <v>18</v>
      </c>
      <c r="E2872" s="3" t="n">
        <v>14</v>
      </c>
      <c r="F2872" s="24" t="n">
        <v>2.26849771</v>
      </c>
    </row>
    <row r="2873" customFormat="false" ht="15" hidden="false" customHeight="false" outlineLevel="0" collapsed="false">
      <c r="A2873" s="3" t="n">
        <v>2872</v>
      </c>
      <c r="B2873" s="3" t="n">
        <v>2871</v>
      </c>
      <c r="C2873" s="3" t="n">
        <v>3</v>
      </c>
      <c r="D2873" s="3" t="n">
        <v>18</v>
      </c>
      <c r="E2873" s="3" t="n">
        <v>15</v>
      </c>
      <c r="F2873" s="24" t="n">
        <v>0.449450135</v>
      </c>
    </row>
    <row r="2874" customFormat="false" ht="15" hidden="false" customHeight="false" outlineLevel="0" collapsed="false">
      <c r="A2874" s="3" t="n">
        <v>2873</v>
      </c>
      <c r="B2874" s="3" t="n">
        <v>2872</v>
      </c>
      <c r="C2874" s="3" t="n">
        <v>3</v>
      </c>
      <c r="D2874" s="3" t="n">
        <v>18</v>
      </c>
      <c r="E2874" s="3" t="n">
        <v>16</v>
      </c>
      <c r="F2874" s="24" t="n">
        <v>-1.49589646</v>
      </c>
    </row>
    <row r="2875" customFormat="false" ht="15" hidden="false" customHeight="false" outlineLevel="0" collapsed="false">
      <c r="A2875" s="3" t="n">
        <v>2874</v>
      </c>
      <c r="B2875" s="3" t="n">
        <v>2873</v>
      </c>
      <c r="C2875" s="3" t="n">
        <v>3</v>
      </c>
      <c r="D2875" s="3" t="n">
        <v>18</v>
      </c>
      <c r="E2875" s="3" t="n">
        <v>17</v>
      </c>
      <c r="F2875" s="24" t="n">
        <v>-0.893410563</v>
      </c>
    </row>
    <row r="2876" customFormat="false" ht="15" hidden="false" customHeight="false" outlineLevel="0" collapsed="false">
      <c r="A2876" s="3" t="n">
        <v>2875</v>
      </c>
      <c r="B2876" s="3" t="n">
        <v>2874</v>
      </c>
      <c r="C2876" s="3" t="n">
        <v>3</v>
      </c>
      <c r="D2876" s="3" t="n">
        <v>18</v>
      </c>
      <c r="E2876" s="3" t="n">
        <v>18</v>
      </c>
      <c r="F2876" s="24" t="n">
        <v>-0.626706123</v>
      </c>
    </row>
    <row r="2877" customFormat="false" ht="15" hidden="false" customHeight="false" outlineLevel="0" collapsed="false">
      <c r="A2877" s="3" t="n">
        <v>2876</v>
      </c>
      <c r="B2877" s="3" t="n">
        <v>2875</v>
      </c>
      <c r="C2877" s="3" t="n">
        <v>3</v>
      </c>
      <c r="D2877" s="3" t="n">
        <v>18</v>
      </c>
      <c r="E2877" s="3" t="n">
        <v>19</v>
      </c>
      <c r="F2877" s="24" t="n">
        <v>-0.0226645079</v>
      </c>
    </row>
    <row r="2878" customFormat="false" ht="15" hidden="false" customHeight="false" outlineLevel="0" collapsed="false">
      <c r="A2878" s="3" t="n">
        <v>2877</v>
      </c>
      <c r="B2878" s="3" t="n">
        <v>2876</v>
      </c>
      <c r="C2878" s="3" t="n">
        <v>3</v>
      </c>
      <c r="D2878" s="3" t="n">
        <v>18</v>
      </c>
      <c r="E2878" s="3" t="n">
        <v>20</v>
      </c>
      <c r="F2878" s="24" t="n">
        <v>-0.0226645079</v>
      </c>
    </row>
    <row r="2879" customFormat="false" ht="15" hidden="false" customHeight="false" outlineLevel="0" collapsed="false">
      <c r="A2879" s="3" t="n">
        <v>2878</v>
      </c>
      <c r="B2879" s="3" t="n">
        <v>2877</v>
      </c>
      <c r="C2879" s="3" t="n">
        <v>3</v>
      </c>
      <c r="D2879" s="3" t="n">
        <v>18</v>
      </c>
      <c r="E2879" s="3" t="n">
        <v>21</v>
      </c>
      <c r="F2879" s="24" t="n">
        <v>-0.0226645079</v>
      </c>
    </row>
    <row r="2880" customFormat="false" ht="15" hidden="false" customHeight="false" outlineLevel="0" collapsed="false">
      <c r="A2880" s="3" t="n">
        <v>2879</v>
      </c>
      <c r="B2880" s="3" t="n">
        <v>2878</v>
      </c>
      <c r="C2880" s="3" t="n">
        <v>3</v>
      </c>
      <c r="D2880" s="3" t="n">
        <v>18</v>
      </c>
      <c r="E2880" s="3" t="n">
        <v>22</v>
      </c>
      <c r="F2880" s="24" t="n">
        <v>-0.0226645079</v>
      </c>
    </row>
    <row r="2881" customFormat="false" ht="15" hidden="false" customHeight="false" outlineLevel="0" collapsed="false">
      <c r="A2881" s="3" t="n">
        <v>2880</v>
      </c>
      <c r="B2881" s="3" t="n">
        <v>2879</v>
      </c>
      <c r="C2881" s="3" t="n">
        <v>3</v>
      </c>
      <c r="D2881" s="3" t="n">
        <v>18</v>
      </c>
      <c r="E2881" s="3" t="n">
        <v>23</v>
      </c>
      <c r="F2881" s="24" t="n">
        <v>-0.0226645079</v>
      </c>
    </row>
    <row r="2882" customFormat="false" ht="15" hidden="false" customHeight="false" outlineLevel="0" collapsed="false">
      <c r="A2882" s="3" t="n">
        <v>2881</v>
      </c>
      <c r="B2882" s="3" t="n">
        <v>2880</v>
      </c>
      <c r="C2882" s="3" t="n">
        <v>3</v>
      </c>
      <c r="D2882" s="3" t="n">
        <v>18</v>
      </c>
      <c r="E2882" s="3" t="n">
        <v>24</v>
      </c>
      <c r="F2882" s="24" t="n">
        <v>-0.0226645079</v>
      </c>
    </row>
    <row r="2883" customFormat="false" ht="15" hidden="false" customHeight="false" outlineLevel="0" collapsed="false">
      <c r="A2883" s="3" t="n">
        <v>2882</v>
      </c>
      <c r="B2883" s="3" t="n">
        <v>2881</v>
      </c>
      <c r="C2883" s="3" t="n">
        <v>3</v>
      </c>
      <c r="D2883" s="3" t="n">
        <v>18</v>
      </c>
      <c r="E2883" s="3" t="n">
        <v>25</v>
      </c>
      <c r="F2883" s="24" t="n">
        <v>-0.0226645079</v>
      </c>
    </row>
    <row r="2884" customFormat="false" ht="15" hidden="false" customHeight="false" outlineLevel="0" collapsed="false">
      <c r="A2884" s="3" t="n">
        <v>2883</v>
      </c>
      <c r="B2884" s="3" t="n">
        <v>2882</v>
      </c>
      <c r="C2884" s="3" t="n">
        <v>3</v>
      </c>
      <c r="D2884" s="3" t="n">
        <v>18</v>
      </c>
      <c r="E2884" s="3" t="n">
        <v>26</v>
      </c>
      <c r="F2884" s="24" t="n">
        <v>-0.0226645079</v>
      </c>
    </row>
    <row r="2885" customFormat="false" ht="15" hidden="false" customHeight="false" outlineLevel="0" collapsed="false">
      <c r="A2885" s="3" t="n">
        <v>2884</v>
      </c>
      <c r="B2885" s="3" t="n">
        <v>2883</v>
      </c>
      <c r="C2885" s="3" t="n">
        <v>3</v>
      </c>
      <c r="D2885" s="3" t="n">
        <v>18</v>
      </c>
      <c r="E2885" s="3" t="n">
        <v>27</v>
      </c>
      <c r="F2885" s="24" t="n">
        <v>-0.00741321221</v>
      </c>
    </row>
    <row r="2886" customFormat="false" ht="15" hidden="false" customHeight="false" outlineLevel="0" collapsed="false">
      <c r="A2886" s="3" t="n">
        <v>2885</v>
      </c>
      <c r="B2886" s="3" t="n">
        <v>2884</v>
      </c>
      <c r="C2886" s="3" t="n">
        <v>3</v>
      </c>
      <c r="D2886" s="3" t="n">
        <v>19</v>
      </c>
      <c r="E2886" s="3" t="n">
        <v>0</v>
      </c>
      <c r="F2886" s="24" t="n">
        <v>0.0962923914</v>
      </c>
    </row>
    <row r="2887" customFormat="false" ht="15" hidden="false" customHeight="false" outlineLevel="0" collapsed="false">
      <c r="A2887" s="3" t="n">
        <v>2886</v>
      </c>
      <c r="B2887" s="3" t="n">
        <v>2885</v>
      </c>
      <c r="C2887" s="3" t="n">
        <v>3</v>
      </c>
      <c r="D2887" s="3" t="n">
        <v>19</v>
      </c>
      <c r="E2887" s="3" t="n">
        <v>1</v>
      </c>
      <c r="F2887" s="24" t="n">
        <v>-0.0226645079</v>
      </c>
    </row>
    <row r="2888" customFormat="false" ht="15" hidden="false" customHeight="false" outlineLevel="0" collapsed="false">
      <c r="A2888" s="3" t="n">
        <v>2887</v>
      </c>
      <c r="B2888" s="3" t="n">
        <v>2886</v>
      </c>
      <c r="C2888" s="3" t="n">
        <v>3</v>
      </c>
      <c r="D2888" s="3" t="n">
        <v>19</v>
      </c>
      <c r="E2888" s="3" t="n">
        <v>2</v>
      </c>
      <c r="F2888" s="24" t="n">
        <v>-0.0226645079</v>
      </c>
    </row>
    <row r="2889" customFormat="false" ht="15" hidden="false" customHeight="false" outlineLevel="0" collapsed="false">
      <c r="A2889" s="3" t="n">
        <v>2888</v>
      </c>
      <c r="B2889" s="3" t="n">
        <v>2887</v>
      </c>
      <c r="C2889" s="3" t="n">
        <v>3</v>
      </c>
      <c r="D2889" s="3" t="n">
        <v>19</v>
      </c>
      <c r="E2889" s="3" t="n">
        <v>3</v>
      </c>
      <c r="F2889" s="24" t="n">
        <v>-0.0226645079</v>
      </c>
    </row>
    <row r="2890" customFormat="false" ht="15" hidden="false" customHeight="false" outlineLevel="0" collapsed="false">
      <c r="A2890" s="3" t="n">
        <v>2889</v>
      </c>
      <c r="B2890" s="3" t="n">
        <v>2888</v>
      </c>
      <c r="C2890" s="3" t="n">
        <v>3</v>
      </c>
      <c r="D2890" s="3" t="n">
        <v>19</v>
      </c>
      <c r="E2890" s="3" t="n">
        <v>4</v>
      </c>
      <c r="F2890" s="24" t="n">
        <v>-0.0226645079</v>
      </c>
    </row>
    <row r="2891" customFormat="false" ht="15" hidden="false" customHeight="false" outlineLevel="0" collapsed="false">
      <c r="A2891" s="3" t="n">
        <v>2890</v>
      </c>
      <c r="B2891" s="3" t="n">
        <v>2889</v>
      </c>
      <c r="C2891" s="3" t="n">
        <v>3</v>
      </c>
      <c r="D2891" s="3" t="n">
        <v>19</v>
      </c>
      <c r="E2891" s="3" t="n">
        <v>5</v>
      </c>
      <c r="F2891" s="24" t="n">
        <v>-0.0226645079</v>
      </c>
    </row>
    <row r="2892" customFormat="false" ht="15" hidden="false" customHeight="false" outlineLevel="0" collapsed="false">
      <c r="A2892" s="3" t="n">
        <v>2891</v>
      </c>
      <c r="B2892" s="3" t="n">
        <v>2890</v>
      </c>
      <c r="C2892" s="3" t="n">
        <v>3</v>
      </c>
      <c r="D2892" s="3" t="n">
        <v>19</v>
      </c>
      <c r="E2892" s="3" t="n">
        <v>6</v>
      </c>
      <c r="F2892" s="24" t="n">
        <v>-0.0226645079</v>
      </c>
    </row>
    <row r="2893" customFormat="false" ht="15" hidden="false" customHeight="false" outlineLevel="0" collapsed="false">
      <c r="A2893" s="3" t="n">
        <v>2892</v>
      </c>
      <c r="B2893" s="3" t="n">
        <v>2891</v>
      </c>
      <c r="C2893" s="3" t="n">
        <v>3</v>
      </c>
      <c r="D2893" s="3" t="n">
        <v>19</v>
      </c>
      <c r="E2893" s="3" t="n">
        <v>7</v>
      </c>
      <c r="F2893" s="24" t="n">
        <v>-0.0226645079</v>
      </c>
    </row>
    <row r="2894" customFormat="false" ht="15" hidden="false" customHeight="false" outlineLevel="0" collapsed="false">
      <c r="A2894" s="3" t="n">
        <v>2893</v>
      </c>
      <c r="B2894" s="3" t="n">
        <v>2892</v>
      </c>
      <c r="C2894" s="3" t="n">
        <v>3</v>
      </c>
      <c r="D2894" s="3" t="n">
        <v>19</v>
      </c>
      <c r="E2894" s="3" t="n">
        <v>8</v>
      </c>
      <c r="F2894" s="24" t="n">
        <v>-0.0226645079</v>
      </c>
    </row>
    <row r="2895" customFormat="false" ht="15" hidden="false" customHeight="false" outlineLevel="0" collapsed="false">
      <c r="A2895" s="3" t="n">
        <v>2894</v>
      </c>
      <c r="B2895" s="3" t="n">
        <v>2893</v>
      </c>
      <c r="C2895" s="3" t="n">
        <v>3</v>
      </c>
      <c r="D2895" s="3" t="n">
        <v>19</v>
      </c>
      <c r="E2895" s="3" t="n">
        <v>9</v>
      </c>
      <c r="F2895" s="24" t="n">
        <v>-0.0226645079</v>
      </c>
    </row>
    <row r="2896" customFormat="false" ht="15" hidden="false" customHeight="false" outlineLevel="0" collapsed="false">
      <c r="A2896" s="3" t="n">
        <v>2895</v>
      </c>
      <c r="B2896" s="3" t="n">
        <v>2894</v>
      </c>
      <c r="C2896" s="3" t="n">
        <v>3</v>
      </c>
      <c r="D2896" s="3" t="n">
        <v>19</v>
      </c>
      <c r="E2896" s="3" t="n">
        <v>10</v>
      </c>
      <c r="F2896" s="24" t="n">
        <v>-0.0226645079</v>
      </c>
    </row>
    <row r="2897" customFormat="false" ht="15" hidden="false" customHeight="false" outlineLevel="0" collapsed="false">
      <c r="A2897" s="3" t="n">
        <v>2896</v>
      </c>
      <c r="B2897" s="3" t="n">
        <v>2895</v>
      </c>
      <c r="C2897" s="3" t="n">
        <v>3</v>
      </c>
      <c r="D2897" s="3" t="n">
        <v>19</v>
      </c>
      <c r="E2897" s="3" t="n">
        <v>11</v>
      </c>
      <c r="F2897" s="24" t="n">
        <v>-0.00475518592</v>
      </c>
    </row>
    <row r="2898" customFormat="false" ht="15" hidden="false" customHeight="false" outlineLevel="0" collapsed="false">
      <c r="A2898" s="3" t="n">
        <v>2897</v>
      </c>
      <c r="B2898" s="3" t="n">
        <v>2896</v>
      </c>
      <c r="C2898" s="3" t="n">
        <v>3</v>
      </c>
      <c r="D2898" s="3" t="n">
        <v>19</v>
      </c>
      <c r="E2898" s="3" t="n">
        <v>12</v>
      </c>
      <c r="F2898" s="24" t="n">
        <v>1.28846669</v>
      </c>
    </row>
    <row r="2899" customFormat="false" ht="15" hidden="false" customHeight="false" outlineLevel="0" collapsed="false">
      <c r="A2899" s="3" t="n">
        <v>2898</v>
      </c>
      <c r="B2899" s="3" t="n">
        <v>2897</v>
      </c>
      <c r="C2899" s="3" t="n">
        <v>3</v>
      </c>
      <c r="D2899" s="3" t="n">
        <v>19</v>
      </c>
      <c r="E2899" s="3" t="n">
        <v>13</v>
      </c>
      <c r="F2899" s="24" t="n">
        <v>2.56190157</v>
      </c>
    </row>
    <row r="2900" customFormat="false" ht="15" hidden="false" customHeight="false" outlineLevel="0" collapsed="false">
      <c r="A2900" s="3" t="n">
        <v>2899</v>
      </c>
      <c r="B2900" s="3" t="n">
        <v>2898</v>
      </c>
      <c r="C2900" s="3" t="n">
        <v>3</v>
      </c>
      <c r="D2900" s="3" t="n">
        <v>19</v>
      </c>
      <c r="E2900" s="3" t="n">
        <v>14</v>
      </c>
      <c r="F2900" s="24" t="n">
        <v>0.884764135</v>
      </c>
    </row>
    <row r="2901" customFormat="false" ht="15" hidden="false" customHeight="false" outlineLevel="0" collapsed="false">
      <c r="A2901" s="3" t="n">
        <v>2900</v>
      </c>
      <c r="B2901" s="3" t="n">
        <v>2899</v>
      </c>
      <c r="C2901" s="3" t="n">
        <v>3</v>
      </c>
      <c r="D2901" s="3" t="n">
        <v>19</v>
      </c>
      <c r="E2901" s="3" t="n">
        <v>15</v>
      </c>
      <c r="F2901" s="24" t="n">
        <v>-1.06095982</v>
      </c>
    </row>
    <row r="2902" customFormat="false" ht="15" hidden="false" customHeight="false" outlineLevel="0" collapsed="false">
      <c r="A2902" s="3" t="n">
        <v>2901</v>
      </c>
      <c r="B2902" s="3" t="n">
        <v>2900</v>
      </c>
      <c r="C2902" s="3" t="n">
        <v>3</v>
      </c>
      <c r="D2902" s="3" t="n">
        <v>19</v>
      </c>
      <c r="E2902" s="3" t="n">
        <v>16</v>
      </c>
      <c r="F2902" s="24" t="n">
        <v>-1.59950411</v>
      </c>
    </row>
    <row r="2903" customFormat="false" ht="15" hidden="false" customHeight="false" outlineLevel="0" collapsed="false">
      <c r="A2903" s="3" t="n">
        <v>2902</v>
      </c>
      <c r="B2903" s="3" t="n">
        <v>2901</v>
      </c>
      <c r="C2903" s="3" t="n">
        <v>3</v>
      </c>
      <c r="D2903" s="3" t="n">
        <v>19</v>
      </c>
      <c r="E2903" s="3" t="n">
        <v>17</v>
      </c>
      <c r="F2903" s="24" t="n">
        <v>-0.614942312</v>
      </c>
    </row>
    <row r="2904" customFormat="false" ht="15" hidden="false" customHeight="false" outlineLevel="0" collapsed="false">
      <c r="A2904" s="3" t="n">
        <v>2903</v>
      </c>
      <c r="B2904" s="3" t="n">
        <v>2902</v>
      </c>
      <c r="C2904" s="3" t="n">
        <v>3</v>
      </c>
      <c r="D2904" s="3" t="n">
        <v>19</v>
      </c>
      <c r="E2904" s="3" t="n">
        <v>18</v>
      </c>
      <c r="F2904" s="24" t="n">
        <v>-0.321209788</v>
      </c>
    </row>
    <row r="2905" customFormat="false" ht="15" hidden="false" customHeight="false" outlineLevel="0" collapsed="false">
      <c r="A2905" s="3" t="n">
        <v>2904</v>
      </c>
      <c r="B2905" s="3" t="n">
        <v>2903</v>
      </c>
      <c r="C2905" s="3" t="n">
        <v>3</v>
      </c>
      <c r="D2905" s="3" t="n">
        <v>19</v>
      </c>
      <c r="E2905" s="3" t="n">
        <v>19</v>
      </c>
      <c r="F2905" s="24" t="n">
        <v>-0.0226645079</v>
      </c>
    </row>
    <row r="2906" customFormat="false" ht="15" hidden="false" customHeight="false" outlineLevel="0" collapsed="false">
      <c r="A2906" s="3" t="n">
        <v>2905</v>
      </c>
      <c r="B2906" s="3" t="n">
        <v>2904</v>
      </c>
      <c r="C2906" s="3" t="n">
        <v>3</v>
      </c>
      <c r="D2906" s="3" t="n">
        <v>19</v>
      </c>
      <c r="E2906" s="3" t="n">
        <v>20</v>
      </c>
      <c r="F2906" s="24" t="n">
        <v>-0.0226645079</v>
      </c>
    </row>
    <row r="2907" customFormat="false" ht="15" hidden="false" customHeight="false" outlineLevel="0" collapsed="false">
      <c r="A2907" s="3" t="n">
        <v>2906</v>
      </c>
      <c r="B2907" s="3" t="n">
        <v>2905</v>
      </c>
      <c r="C2907" s="3" t="n">
        <v>3</v>
      </c>
      <c r="D2907" s="3" t="n">
        <v>19</v>
      </c>
      <c r="E2907" s="3" t="n">
        <v>21</v>
      </c>
      <c r="F2907" s="24" t="n">
        <v>-0.0226645079</v>
      </c>
    </row>
    <row r="2908" customFormat="false" ht="15" hidden="false" customHeight="false" outlineLevel="0" collapsed="false">
      <c r="A2908" s="3" t="n">
        <v>2907</v>
      </c>
      <c r="B2908" s="3" t="n">
        <v>2906</v>
      </c>
      <c r="C2908" s="3" t="n">
        <v>3</v>
      </c>
      <c r="D2908" s="3" t="n">
        <v>19</v>
      </c>
      <c r="E2908" s="3" t="n">
        <v>22</v>
      </c>
      <c r="F2908" s="24" t="n">
        <v>-0.0226645079</v>
      </c>
    </row>
    <row r="2909" customFormat="false" ht="15" hidden="false" customHeight="false" outlineLevel="0" collapsed="false">
      <c r="A2909" s="3" t="n">
        <v>2908</v>
      </c>
      <c r="B2909" s="3" t="n">
        <v>2907</v>
      </c>
      <c r="C2909" s="3" t="n">
        <v>3</v>
      </c>
      <c r="D2909" s="3" t="n">
        <v>19</v>
      </c>
      <c r="E2909" s="3" t="n">
        <v>23</v>
      </c>
      <c r="F2909" s="24" t="n">
        <v>-0.0226645079</v>
      </c>
    </row>
    <row r="2910" customFormat="false" ht="15" hidden="false" customHeight="false" outlineLevel="0" collapsed="false">
      <c r="A2910" s="3" t="n">
        <v>2909</v>
      </c>
      <c r="B2910" s="3" t="n">
        <v>2908</v>
      </c>
      <c r="C2910" s="3" t="n">
        <v>3</v>
      </c>
      <c r="D2910" s="3" t="n">
        <v>19</v>
      </c>
      <c r="E2910" s="3" t="n">
        <v>24</v>
      </c>
      <c r="F2910" s="24" t="n">
        <v>-0.0226645079</v>
      </c>
    </row>
    <row r="2911" customFormat="false" ht="15" hidden="false" customHeight="false" outlineLevel="0" collapsed="false">
      <c r="A2911" s="3" t="n">
        <v>2910</v>
      </c>
      <c r="B2911" s="3" t="n">
        <v>2909</v>
      </c>
      <c r="C2911" s="3" t="n">
        <v>3</v>
      </c>
      <c r="D2911" s="3" t="n">
        <v>19</v>
      </c>
      <c r="E2911" s="3" t="n">
        <v>25</v>
      </c>
      <c r="F2911" s="24" t="n">
        <v>-0.0226645079</v>
      </c>
    </row>
    <row r="2912" customFormat="false" ht="15" hidden="false" customHeight="false" outlineLevel="0" collapsed="false">
      <c r="A2912" s="3" t="n">
        <v>2911</v>
      </c>
      <c r="B2912" s="3" t="n">
        <v>2910</v>
      </c>
      <c r="C2912" s="3" t="n">
        <v>3</v>
      </c>
      <c r="D2912" s="3" t="n">
        <v>19</v>
      </c>
      <c r="E2912" s="3" t="n">
        <v>26</v>
      </c>
      <c r="F2912" s="24" t="n">
        <v>-0.0226645079</v>
      </c>
    </row>
    <row r="2913" customFormat="false" ht="15" hidden="false" customHeight="false" outlineLevel="0" collapsed="false">
      <c r="A2913" s="3" t="n">
        <v>2912</v>
      </c>
      <c r="B2913" s="3" t="n">
        <v>2911</v>
      </c>
      <c r="C2913" s="3" t="n">
        <v>3</v>
      </c>
      <c r="D2913" s="3" t="n">
        <v>19</v>
      </c>
      <c r="E2913" s="3" t="n">
        <v>27</v>
      </c>
      <c r="F2913" s="24" t="n">
        <v>-0.00741321221</v>
      </c>
    </row>
    <row r="2914" customFormat="false" ht="15" hidden="false" customHeight="false" outlineLevel="0" collapsed="false">
      <c r="A2914" s="3" t="n">
        <v>2913</v>
      </c>
      <c r="B2914" s="3" t="n">
        <v>2912</v>
      </c>
      <c r="C2914" s="3" t="n">
        <v>3</v>
      </c>
      <c r="D2914" s="3" t="n">
        <v>20</v>
      </c>
      <c r="E2914" s="3" t="n">
        <v>0</v>
      </c>
      <c r="F2914" s="24" t="n">
        <v>0.0962923914</v>
      </c>
    </row>
    <row r="2915" customFormat="false" ht="15" hidden="false" customHeight="false" outlineLevel="0" collapsed="false">
      <c r="A2915" s="3" t="n">
        <v>2914</v>
      </c>
      <c r="B2915" s="3" t="n">
        <v>2913</v>
      </c>
      <c r="C2915" s="3" t="n">
        <v>3</v>
      </c>
      <c r="D2915" s="3" t="n">
        <v>20</v>
      </c>
      <c r="E2915" s="3" t="n">
        <v>1</v>
      </c>
      <c r="F2915" s="24" t="n">
        <v>-0.0226645079</v>
      </c>
    </row>
    <row r="2916" customFormat="false" ht="15" hidden="false" customHeight="false" outlineLevel="0" collapsed="false">
      <c r="A2916" s="3" t="n">
        <v>2915</v>
      </c>
      <c r="B2916" s="3" t="n">
        <v>2914</v>
      </c>
      <c r="C2916" s="3" t="n">
        <v>3</v>
      </c>
      <c r="D2916" s="3" t="n">
        <v>20</v>
      </c>
      <c r="E2916" s="3" t="n">
        <v>2</v>
      </c>
      <c r="F2916" s="24" t="n">
        <v>-0.0226645079</v>
      </c>
    </row>
    <row r="2917" customFormat="false" ht="15" hidden="false" customHeight="false" outlineLevel="0" collapsed="false">
      <c r="A2917" s="3" t="n">
        <v>2916</v>
      </c>
      <c r="B2917" s="3" t="n">
        <v>2915</v>
      </c>
      <c r="C2917" s="3" t="n">
        <v>3</v>
      </c>
      <c r="D2917" s="3" t="n">
        <v>20</v>
      </c>
      <c r="E2917" s="3" t="n">
        <v>3</v>
      </c>
      <c r="F2917" s="24" t="n">
        <v>-0.0226645079</v>
      </c>
    </row>
    <row r="2918" customFormat="false" ht="15" hidden="false" customHeight="false" outlineLevel="0" collapsed="false">
      <c r="A2918" s="3" t="n">
        <v>2917</v>
      </c>
      <c r="B2918" s="3" t="n">
        <v>2916</v>
      </c>
      <c r="C2918" s="3" t="n">
        <v>3</v>
      </c>
      <c r="D2918" s="3" t="n">
        <v>20</v>
      </c>
      <c r="E2918" s="3" t="n">
        <v>4</v>
      </c>
      <c r="F2918" s="24" t="n">
        <v>-0.0226645079</v>
      </c>
    </row>
    <row r="2919" customFormat="false" ht="15" hidden="false" customHeight="false" outlineLevel="0" collapsed="false">
      <c r="A2919" s="3" t="n">
        <v>2918</v>
      </c>
      <c r="B2919" s="3" t="n">
        <v>2917</v>
      </c>
      <c r="C2919" s="3" t="n">
        <v>3</v>
      </c>
      <c r="D2919" s="3" t="n">
        <v>20</v>
      </c>
      <c r="E2919" s="3" t="n">
        <v>5</v>
      </c>
      <c r="F2919" s="24" t="n">
        <v>-0.0226645079</v>
      </c>
    </row>
    <row r="2920" customFormat="false" ht="15" hidden="false" customHeight="false" outlineLevel="0" collapsed="false">
      <c r="A2920" s="3" t="n">
        <v>2919</v>
      </c>
      <c r="B2920" s="3" t="n">
        <v>2918</v>
      </c>
      <c r="C2920" s="3" t="n">
        <v>3</v>
      </c>
      <c r="D2920" s="3" t="n">
        <v>20</v>
      </c>
      <c r="E2920" s="3" t="n">
        <v>6</v>
      </c>
      <c r="F2920" s="24" t="n">
        <v>-0.0226645079</v>
      </c>
    </row>
    <row r="2921" customFormat="false" ht="15" hidden="false" customHeight="false" outlineLevel="0" collapsed="false">
      <c r="A2921" s="3" t="n">
        <v>2920</v>
      </c>
      <c r="B2921" s="3" t="n">
        <v>2919</v>
      </c>
      <c r="C2921" s="3" t="n">
        <v>3</v>
      </c>
      <c r="D2921" s="3" t="n">
        <v>20</v>
      </c>
      <c r="E2921" s="3" t="n">
        <v>7</v>
      </c>
      <c r="F2921" s="24" t="n">
        <v>-0.0226645079</v>
      </c>
    </row>
    <row r="2922" customFormat="false" ht="15" hidden="false" customHeight="false" outlineLevel="0" collapsed="false">
      <c r="A2922" s="3" t="n">
        <v>2921</v>
      </c>
      <c r="B2922" s="3" t="n">
        <v>2920</v>
      </c>
      <c r="C2922" s="3" t="n">
        <v>3</v>
      </c>
      <c r="D2922" s="3" t="n">
        <v>20</v>
      </c>
      <c r="E2922" s="3" t="n">
        <v>8</v>
      </c>
      <c r="F2922" s="24" t="n">
        <v>-0.0226645079</v>
      </c>
    </row>
    <row r="2923" customFormat="false" ht="15" hidden="false" customHeight="false" outlineLevel="0" collapsed="false">
      <c r="A2923" s="3" t="n">
        <v>2922</v>
      </c>
      <c r="B2923" s="3" t="n">
        <v>2921</v>
      </c>
      <c r="C2923" s="3" t="n">
        <v>3</v>
      </c>
      <c r="D2923" s="3" t="n">
        <v>20</v>
      </c>
      <c r="E2923" s="3" t="n">
        <v>9</v>
      </c>
      <c r="F2923" s="24" t="n">
        <v>-0.0226645079</v>
      </c>
    </row>
    <row r="2924" customFormat="false" ht="15" hidden="false" customHeight="false" outlineLevel="0" collapsed="false">
      <c r="A2924" s="3" t="n">
        <v>2923</v>
      </c>
      <c r="B2924" s="3" t="n">
        <v>2922</v>
      </c>
      <c r="C2924" s="3" t="n">
        <v>3</v>
      </c>
      <c r="D2924" s="3" t="n">
        <v>20</v>
      </c>
      <c r="E2924" s="3" t="n">
        <v>10</v>
      </c>
      <c r="F2924" s="24" t="n">
        <v>-0.0226645079</v>
      </c>
    </row>
    <row r="2925" customFormat="false" ht="15" hidden="false" customHeight="false" outlineLevel="0" collapsed="false">
      <c r="A2925" s="3" t="n">
        <v>2924</v>
      </c>
      <c r="B2925" s="3" t="n">
        <v>2923</v>
      </c>
      <c r="C2925" s="3" t="n">
        <v>3</v>
      </c>
      <c r="D2925" s="3" t="n">
        <v>20</v>
      </c>
      <c r="E2925" s="3" t="n">
        <v>11</v>
      </c>
      <c r="F2925" s="24" t="n">
        <v>0.217961907</v>
      </c>
    </row>
    <row r="2926" customFormat="false" ht="15" hidden="false" customHeight="false" outlineLevel="0" collapsed="false">
      <c r="A2926" s="3" t="n">
        <v>2925</v>
      </c>
      <c r="B2926" s="3" t="n">
        <v>2924</v>
      </c>
      <c r="C2926" s="3" t="n">
        <v>3</v>
      </c>
      <c r="D2926" s="3" t="n">
        <v>20</v>
      </c>
      <c r="E2926" s="3" t="n">
        <v>12</v>
      </c>
      <c r="F2926" s="24" t="n">
        <v>2.38445878</v>
      </c>
    </row>
    <row r="2927" customFormat="false" ht="15" hidden="false" customHeight="false" outlineLevel="0" collapsed="false">
      <c r="A2927" s="3" t="n">
        <v>2926</v>
      </c>
      <c r="B2927" s="3" t="n">
        <v>2925</v>
      </c>
      <c r="C2927" s="3" t="n">
        <v>3</v>
      </c>
      <c r="D2927" s="3" t="n">
        <v>20</v>
      </c>
      <c r="E2927" s="3" t="n">
        <v>13</v>
      </c>
      <c r="F2927" s="24" t="n">
        <v>1.30468953</v>
      </c>
    </row>
    <row r="2928" customFormat="false" ht="15" hidden="false" customHeight="false" outlineLevel="0" collapsed="false">
      <c r="A2928" s="3" t="n">
        <v>2927</v>
      </c>
      <c r="B2928" s="3" t="n">
        <v>2926</v>
      </c>
      <c r="C2928" s="3" t="n">
        <v>3</v>
      </c>
      <c r="D2928" s="3" t="n">
        <v>20</v>
      </c>
      <c r="E2928" s="3" t="n">
        <v>14</v>
      </c>
      <c r="F2928" s="24" t="n">
        <v>-0.150233954</v>
      </c>
    </row>
    <row r="2929" customFormat="false" ht="15" hidden="false" customHeight="false" outlineLevel="0" collapsed="false">
      <c r="A2929" s="3" t="n">
        <v>2928</v>
      </c>
      <c r="B2929" s="3" t="n">
        <v>2927</v>
      </c>
      <c r="C2929" s="3" t="n">
        <v>3</v>
      </c>
      <c r="D2929" s="3" t="n">
        <v>20</v>
      </c>
      <c r="E2929" s="3" t="n">
        <v>15</v>
      </c>
      <c r="F2929" s="24" t="n">
        <v>-2.25961375</v>
      </c>
    </row>
    <row r="2930" customFormat="false" ht="15" hidden="false" customHeight="false" outlineLevel="0" collapsed="false">
      <c r="A2930" s="3" t="n">
        <v>2929</v>
      </c>
      <c r="B2930" s="3" t="n">
        <v>2928</v>
      </c>
      <c r="C2930" s="3" t="n">
        <v>3</v>
      </c>
      <c r="D2930" s="3" t="n">
        <v>20</v>
      </c>
      <c r="E2930" s="3" t="n">
        <v>16</v>
      </c>
      <c r="F2930" s="24" t="n">
        <v>-1.12327635</v>
      </c>
    </row>
    <row r="2931" customFormat="false" ht="15" hidden="false" customHeight="false" outlineLevel="0" collapsed="false">
      <c r="A2931" s="3" t="n">
        <v>2930</v>
      </c>
      <c r="B2931" s="3" t="n">
        <v>2929</v>
      </c>
      <c r="C2931" s="3" t="n">
        <v>3</v>
      </c>
      <c r="D2931" s="3" t="n">
        <v>20</v>
      </c>
      <c r="E2931" s="3" t="n">
        <v>17</v>
      </c>
      <c r="F2931" s="24" t="n">
        <v>-0.677686155</v>
      </c>
    </row>
    <row r="2932" customFormat="false" ht="15" hidden="false" customHeight="false" outlineLevel="0" collapsed="false">
      <c r="A2932" s="3" t="n">
        <v>2931</v>
      </c>
      <c r="B2932" s="3" t="n">
        <v>2930</v>
      </c>
      <c r="C2932" s="3" t="n">
        <v>3</v>
      </c>
      <c r="D2932" s="3" t="n">
        <v>20</v>
      </c>
      <c r="E2932" s="3" t="n">
        <v>18</v>
      </c>
      <c r="F2932" s="24" t="n">
        <v>-0.0226645079</v>
      </c>
    </row>
    <row r="2933" customFormat="false" ht="15" hidden="false" customHeight="false" outlineLevel="0" collapsed="false">
      <c r="A2933" s="3" t="n">
        <v>2932</v>
      </c>
      <c r="B2933" s="3" t="n">
        <v>2931</v>
      </c>
      <c r="C2933" s="3" t="n">
        <v>3</v>
      </c>
      <c r="D2933" s="3" t="n">
        <v>20</v>
      </c>
      <c r="E2933" s="3" t="n">
        <v>19</v>
      </c>
      <c r="F2933" s="24" t="n">
        <v>-0.0226645079</v>
      </c>
    </row>
    <row r="2934" customFormat="false" ht="15" hidden="false" customHeight="false" outlineLevel="0" collapsed="false">
      <c r="A2934" s="3" t="n">
        <v>2933</v>
      </c>
      <c r="B2934" s="3" t="n">
        <v>2932</v>
      </c>
      <c r="C2934" s="3" t="n">
        <v>3</v>
      </c>
      <c r="D2934" s="3" t="n">
        <v>20</v>
      </c>
      <c r="E2934" s="3" t="n">
        <v>20</v>
      </c>
      <c r="F2934" s="24" t="n">
        <v>-0.0226645079</v>
      </c>
    </row>
    <row r="2935" customFormat="false" ht="15" hidden="false" customHeight="false" outlineLevel="0" collapsed="false">
      <c r="A2935" s="3" t="n">
        <v>2934</v>
      </c>
      <c r="B2935" s="3" t="n">
        <v>2933</v>
      </c>
      <c r="C2935" s="3" t="n">
        <v>3</v>
      </c>
      <c r="D2935" s="3" t="n">
        <v>20</v>
      </c>
      <c r="E2935" s="3" t="n">
        <v>21</v>
      </c>
      <c r="F2935" s="24" t="n">
        <v>-0.0226645079</v>
      </c>
    </row>
    <row r="2936" customFormat="false" ht="15" hidden="false" customHeight="false" outlineLevel="0" collapsed="false">
      <c r="A2936" s="3" t="n">
        <v>2935</v>
      </c>
      <c r="B2936" s="3" t="n">
        <v>2934</v>
      </c>
      <c r="C2936" s="3" t="n">
        <v>3</v>
      </c>
      <c r="D2936" s="3" t="n">
        <v>20</v>
      </c>
      <c r="E2936" s="3" t="n">
        <v>22</v>
      </c>
      <c r="F2936" s="24" t="n">
        <v>-0.0226645079</v>
      </c>
    </row>
    <row r="2937" customFormat="false" ht="15" hidden="false" customHeight="false" outlineLevel="0" collapsed="false">
      <c r="A2937" s="3" t="n">
        <v>2936</v>
      </c>
      <c r="B2937" s="3" t="n">
        <v>2935</v>
      </c>
      <c r="C2937" s="3" t="n">
        <v>3</v>
      </c>
      <c r="D2937" s="3" t="n">
        <v>20</v>
      </c>
      <c r="E2937" s="3" t="n">
        <v>23</v>
      </c>
      <c r="F2937" s="24" t="n">
        <v>-0.0226645079</v>
      </c>
    </row>
    <row r="2938" customFormat="false" ht="15" hidden="false" customHeight="false" outlineLevel="0" collapsed="false">
      <c r="A2938" s="3" t="n">
        <v>2937</v>
      </c>
      <c r="B2938" s="3" t="n">
        <v>2936</v>
      </c>
      <c r="C2938" s="3" t="n">
        <v>3</v>
      </c>
      <c r="D2938" s="3" t="n">
        <v>20</v>
      </c>
      <c r="E2938" s="3" t="n">
        <v>24</v>
      </c>
      <c r="F2938" s="24" t="n">
        <v>-0.0226645079</v>
      </c>
    </row>
    <row r="2939" customFormat="false" ht="15" hidden="false" customHeight="false" outlineLevel="0" collapsed="false">
      <c r="A2939" s="3" t="n">
        <v>2938</v>
      </c>
      <c r="B2939" s="3" t="n">
        <v>2937</v>
      </c>
      <c r="C2939" s="3" t="n">
        <v>3</v>
      </c>
      <c r="D2939" s="3" t="n">
        <v>20</v>
      </c>
      <c r="E2939" s="3" t="n">
        <v>25</v>
      </c>
      <c r="F2939" s="24" t="n">
        <v>-0.0226645079</v>
      </c>
    </row>
    <row r="2940" customFormat="false" ht="15" hidden="false" customHeight="false" outlineLevel="0" collapsed="false">
      <c r="A2940" s="3" t="n">
        <v>2939</v>
      </c>
      <c r="B2940" s="3" t="n">
        <v>2938</v>
      </c>
      <c r="C2940" s="3" t="n">
        <v>3</v>
      </c>
      <c r="D2940" s="3" t="n">
        <v>20</v>
      </c>
      <c r="E2940" s="3" t="n">
        <v>26</v>
      </c>
      <c r="F2940" s="24" t="n">
        <v>-0.0226645079</v>
      </c>
    </row>
    <row r="2941" customFormat="false" ht="15" hidden="false" customHeight="false" outlineLevel="0" collapsed="false">
      <c r="A2941" s="3" t="n">
        <v>2940</v>
      </c>
      <c r="B2941" s="3" t="n">
        <v>2939</v>
      </c>
      <c r="C2941" s="3" t="n">
        <v>3</v>
      </c>
      <c r="D2941" s="3" t="n">
        <v>20</v>
      </c>
      <c r="E2941" s="3" t="n">
        <v>27</v>
      </c>
      <c r="F2941" s="24" t="n">
        <v>-0.00741321221</v>
      </c>
    </row>
    <row r="2942" customFormat="false" ht="15" hidden="false" customHeight="false" outlineLevel="0" collapsed="false">
      <c r="A2942" s="3" t="n">
        <v>2941</v>
      </c>
      <c r="B2942" s="3" t="n">
        <v>2940</v>
      </c>
      <c r="C2942" s="3" t="n">
        <v>3</v>
      </c>
      <c r="D2942" s="3" t="n">
        <v>21</v>
      </c>
      <c r="E2942" s="3" t="n">
        <v>0</v>
      </c>
      <c r="F2942" s="24" t="n">
        <v>0.0962923914</v>
      </c>
    </row>
    <row r="2943" customFormat="false" ht="15" hidden="false" customHeight="false" outlineLevel="0" collapsed="false">
      <c r="A2943" s="3" t="n">
        <v>2942</v>
      </c>
      <c r="B2943" s="3" t="n">
        <v>2941</v>
      </c>
      <c r="C2943" s="3" t="n">
        <v>3</v>
      </c>
      <c r="D2943" s="3" t="n">
        <v>21</v>
      </c>
      <c r="E2943" s="3" t="n">
        <v>1</v>
      </c>
      <c r="F2943" s="24" t="n">
        <v>-0.0226645079</v>
      </c>
    </row>
    <row r="2944" customFormat="false" ht="15" hidden="false" customHeight="false" outlineLevel="0" collapsed="false">
      <c r="A2944" s="3" t="n">
        <v>2943</v>
      </c>
      <c r="B2944" s="3" t="n">
        <v>2942</v>
      </c>
      <c r="C2944" s="3" t="n">
        <v>3</v>
      </c>
      <c r="D2944" s="3" t="n">
        <v>21</v>
      </c>
      <c r="E2944" s="3" t="n">
        <v>2</v>
      </c>
      <c r="F2944" s="24" t="n">
        <v>-0.0226645079</v>
      </c>
    </row>
    <row r="2945" customFormat="false" ht="15" hidden="false" customHeight="false" outlineLevel="0" collapsed="false">
      <c r="A2945" s="3" t="n">
        <v>2944</v>
      </c>
      <c r="B2945" s="3" t="n">
        <v>2943</v>
      </c>
      <c r="C2945" s="3" t="n">
        <v>3</v>
      </c>
      <c r="D2945" s="3" t="n">
        <v>21</v>
      </c>
      <c r="E2945" s="3" t="n">
        <v>3</v>
      </c>
      <c r="F2945" s="24" t="n">
        <v>-0.0226645079</v>
      </c>
    </row>
    <row r="2946" customFormat="false" ht="15" hidden="false" customHeight="false" outlineLevel="0" collapsed="false">
      <c r="A2946" s="3" t="n">
        <v>2945</v>
      </c>
      <c r="B2946" s="3" t="n">
        <v>2944</v>
      </c>
      <c r="C2946" s="3" t="n">
        <v>3</v>
      </c>
      <c r="D2946" s="3" t="n">
        <v>21</v>
      </c>
      <c r="E2946" s="3" t="n">
        <v>4</v>
      </c>
      <c r="F2946" s="24" t="n">
        <v>-0.0226645079</v>
      </c>
    </row>
    <row r="2947" customFormat="false" ht="15" hidden="false" customHeight="false" outlineLevel="0" collapsed="false">
      <c r="A2947" s="3" t="n">
        <v>2946</v>
      </c>
      <c r="B2947" s="3" t="n">
        <v>2945</v>
      </c>
      <c r="C2947" s="3" t="n">
        <v>3</v>
      </c>
      <c r="D2947" s="3" t="n">
        <v>21</v>
      </c>
      <c r="E2947" s="3" t="n">
        <v>5</v>
      </c>
      <c r="F2947" s="24" t="n">
        <v>-0.0226645079</v>
      </c>
    </row>
    <row r="2948" customFormat="false" ht="15" hidden="false" customHeight="false" outlineLevel="0" collapsed="false">
      <c r="A2948" s="3" t="n">
        <v>2947</v>
      </c>
      <c r="B2948" s="3" t="n">
        <v>2946</v>
      </c>
      <c r="C2948" s="3" t="n">
        <v>3</v>
      </c>
      <c r="D2948" s="3" t="n">
        <v>21</v>
      </c>
      <c r="E2948" s="3" t="n">
        <v>6</v>
      </c>
      <c r="F2948" s="24" t="n">
        <v>-0.0226645079</v>
      </c>
    </row>
    <row r="2949" customFormat="false" ht="15" hidden="false" customHeight="false" outlineLevel="0" collapsed="false">
      <c r="A2949" s="3" t="n">
        <v>2948</v>
      </c>
      <c r="B2949" s="3" t="n">
        <v>2947</v>
      </c>
      <c r="C2949" s="3" t="n">
        <v>3</v>
      </c>
      <c r="D2949" s="3" t="n">
        <v>21</v>
      </c>
      <c r="E2949" s="3" t="n">
        <v>7</v>
      </c>
      <c r="F2949" s="24" t="n">
        <v>-0.0226645079</v>
      </c>
    </row>
    <row r="2950" customFormat="false" ht="15" hidden="false" customHeight="false" outlineLevel="0" collapsed="false">
      <c r="A2950" s="3" t="n">
        <v>2949</v>
      </c>
      <c r="B2950" s="3" t="n">
        <v>2948</v>
      </c>
      <c r="C2950" s="3" t="n">
        <v>3</v>
      </c>
      <c r="D2950" s="3" t="n">
        <v>21</v>
      </c>
      <c r="E2950" s="3" t="n">
        <v>8</v>
      </c>
      <c r="F2950" s="24" t="n">
        <v>-0.0226645079</v>
      </c>
    </row>
    <row r="2951" customFormat="false" ht="15" hidden="false" customHeight="false" outlineLevel="0" collapsed="false">
      <c r="A2951" s="3" t="n">
        <v>2950</v>
      </c>
      <c r="B2951" s="3" t="n">
        <v>2949</v>
      </c>
      <c r="C2951" s="3" t="n">
        <v>3</v>
      </c>
      <c r="D2951" s="3" t="n">
        <v>21</v>
      </c>
      <c r="E2951" s="3" t="n">
        <v>9</v>
      </c>
      <c r="F2951" s="24" t="n">
        <v>-0.0226645079</v>
      </c>
    </row>
    <row r="2952" customFormat="false" ht="15" hidden="false" customHeight="false" outlineLevel="0" collapsed="false">
      <c r="A2952" s="3" t="n">
        <v>2951</v>
      </c>
      <c r="B2952" s="3" t="n">
        <v>2950</v>
      </c>
      <c r="C2952" s="3" t="n">
        <v>3</v>
      </c>
      <c r="D2952" s="3" t="n">
        <v>21</v>
      </c>
      <c r="E2952" s="3" t="n">
        <v>10</v>
      </c>
      <c r="F2952" s="24" t="n">
        <v>0.162398487</v>
      </c>
    </row>
    <row r="2953" customFormat="false" ht="15" hidden="false" customHeight="false" outlineLevel="0" collapsed="false">
      <c r="A2953" s="3" t="n">
        <v>2952</v>
      </c>
      <c r="B2953" s="3" t="n">
        <v>2951</v>
      </c>
      <c r="C2953" s="3" t="n">
        <v>3</v>
      </c>
      <c r="D2953" s="3" t="n">
        <v>21</v>
      </c>
      <c r="E2953" s="3" t="n">
        <v>11</v>
      </c>
      <c r="F2953" s="24" t="n">
        <v>1.58299851</v>
      </c>
    </row>
    <row r="2954" customFormat="false" ht="15" hidden="false" customHeight="false" outlineLevel="0" collapsed="false">
      <c r="A2954" s="3" t="n">
        <v>2953</v>
      </c>
      <c r="B2954" s="3" t="n">
        <v>2952</v>
      </c>
      <c r="C2954" s="3" t="n">
        <v>3</v>
      </c>
      <c r="D2954" s="3" t="n">
        <v>21</v>
      </c>
      <c r="E2954" s="3" t="n">
        <v>12</v>
      </c>
      <c r="F2954" s="24" t="n">
        <v>1.54540503</v>
      </c>
    </row>
    <row r="2955" customFormat="false" ht="15" hidden="false" customHeight="false" outlineLevel="0" collapsed="false">
      <c r="A2955" s="3" t="n">
        <v>2954</v>
      </c>
      <c r="B2955" s="3" t="n">
        <v>2953</v>
      </c>
      <c r="C2955" s="3" t="n">
        <v>3</v>
      </c>
      <c r="D2955" s="3" t="n">
        <v>21</v>
      </c>
      <c r="E2955" s="3" t="n">
        <v>13</v>
      </c>
      <c r="F2955" s="24" t="n">
        <v>-0.62929225</v>
      </c>
    </row>
    <row r="2956" customFormat="false" ht="15" hidden="false" customHeight="false" outlineLevel="0" collapsed="false">
      <c r="A2956" s="3" t="n">
        <v>2955</v>
      </c>
      <c r="B2956" s="3" t="n">
        <v>2954</v>
      </c>
      <c r="C2956" s="3" t="n">
        <v>3</v>
      </c>
      <c r="D2956" s="3" t="n">
        <v>21</v>
      </c>
      <c r="E2956" s="3" t="n">
        <v>14</v>
      </c>
      <c r="F2956" s="24" t="n">
        <v>-2.36900902</v>
      </c>
    </row>
    <row r="2957" customFormat="false" ht="15" hidden="false" customHeight="false" outlineLevel="0" collapsed="false">
      <c r="A2957" s="3" t="n">
        <v>2956</v>
      </c>
      <c r="B2957" s="3" t="n">
        <v>2955</v>
      </c>
      <c r="C2957" s="3" t="n">
        <v>3</v>
      </c>
      <c r="D2957" s="3" t="n">
        <v>21</v>
      </c>
      <c r="E2957" s="3" t="n">
        <v>15</v>
      </c>
      <c r="F2957" s="24" t="n">
        <v>-1.59454322</v>
      </c>
    </row>
    <row r="2958" customFormat="false" ht="15" hidden="false" customHeight="false" outlineLevel="0" collapsed="false">
      <c r="A2958" s="3" t="n">
        <v>2957</v>
      </c>
      <c r="B2958" s="3" t="n">
        <v>2956</v>
      </c>
      <c r="C2958" s="3" t="n">
        <v>3</v>
      </c>
      <c r="D2958" s="3" t="n">
        <v>21</v>
      </c>
      <c r="E2958" s="3" t="n">
        <v>16</v>
      </c>
      <c r="F2958" s="24" t="n">
        <v>-0.969180524</v>
      </c>
    </row>
    <row r="2959" customFormat="false" ht="15" hidden="false" customHeight="false" outlineLevel="0" collapsed="false">
      <c r="A2959" s="3" t="n">
        <v>2958</v>
      </c>
      <c r="B2959" s="3" t="n">
        <v>2957</v>
      </c>
      <c r="C2959" s="3" t="n">
        <v>3</v>
      </c>
      <c r="D2959" s="3" t="n">
        <v>21</v>
      </c>
      <c r="E2959" s="3" t="n">
        <v>17</v>
      </c>
      <c r="F2959" s="24" t="n">
        <v>-0.205981746</v>
      </c>
    </row>
    <row r="2960" customFormat="false" ht="15" hidden="false" customHeight="false" outlineLevel="0" collapsed="false">
      <c r="A2960" s="3" t="n">
        <v>2959</v>
      </c>
      <c r="B2960" s="3" t="n">
        <v>2958</v>
      </c>
      <c r="C2960" s="3" t="n">
        <v>3</v>
      </c>
      <c r="D2960" s="3" t="n">
        <v>21</v>
      </c>
      <c r="E2960" s="3" t="n">
        <v>18</v>
      </c>
      <c r="F2960" s="24" t="n">
        <v>-0.0226645079</v>
      </c>
    </row>
    <row r="2961" customFormat="false" ht="15" hidden="false" customHeight="false" outlineLevel="0" collapsed="false">
      <c r="A2961" s="3" t="n">
        <v>2960</v>
      </c>
      <c r="B2961" s="3" t="n">
        <v>2959</v>
      </c>
      <c r="C2961" s="3" t="n">
        <v>3</v>
      </c>
      <c r="D2961" s="3" t="n">
        <v>21</v>
      </c>
      <c r="E2961" s="3" t="n">
        <v>19</v>
      </c>
      <c r="F2961" s="24" t="n">
        <v>-0.0226645079</v>
      </c>
    </row>
    <row r="2962" customFormat="false" ht="15" hidden="false" customHeight="false" outlineLevel="0" collapsed="false">
      <c r="A2962" s="3" t="n">
        <v>2961</v>
      </c>
      <c r="B2962" s="3" t="n">
        <v>2960</v>
      </c>
      <c r="C2962" s="3" t="n">
        <v>3</v>
      </c>
      <c r="D2962" s="3" t="n">
        <v>21</v>
      </c>
      <c r="E2962" s="3" t="n">
        <v>20</v>
      </c>
      <c r="F2962" s="24" t="n">
        <v>-0.0226645079</v>
      </c>
    </row>
    <row r="2963" customFormat="false" ht="15" hidden="false" customHeight="false" outlineLevel="0" collapsed="false">
      <c r="A2963" s="3" t="n">
        <v>2962</v>
      </c>
      <c r="B2963" s="3" t="n">
        <v>2961</v>
      </c>
      <c r="C2963" s="3" t="n">
        <v>3</v>
      </c>
      <c r="D2963" s="3" t="n">
        <v>21</v>
      </c>
      <c r="E2963" s="3" t="n">
        <v>21</v>
      </c>
      <c r="F2963" s="24" t="n">
        <v>-0.0226645079</v>
      </c>
    </row>
    <row r="2964" customFormat="false" ht="15" hidden="false" customHeight="false" outlineLevel="0" collapsed="false">
      <c r="A2964" s="3" t="n">
        <v>2963</v>
      </c>
      <c r="B2964" s="3" t="n">
        <v>2962</v>
      </c>
      <c r="C2964" s="3" t="n">
        <v>3</v>
      </c>
      <c r="D2964" s="3" t="n">
        <v>21</v>
      </c>
      <c r="E2964" s="3" t="n">
        <v>22</v>
      </c>
      <c r="F2964" s="24" t="n">
        <v>-0.0226645079</v>
      </c>
    </row>
    <row r="2965" customFormat="false" ht="15" hidden="false" customHeight="false" outlineLevel="0" collapsed="false">
      <c r="A2965" s="3" t="n">
        <v>2964</v>
      </c>
      <c r="B2965" s="3" t="n">
        <v>2963</v>
      </c>
      <c r="C2965" s="3" t="n">
        <v>3</v>
      </c>
      <c r="D2965" s="3" t="n">
        <v>21</v>
      </c>
      <c r="E2965" s="3" t="n">
        <v>23</v>
      </c>
      <c r="F2965" s="24" t="n">
        <v>-0.0226645079</v>
      </c>
    </row>
    <row r="2966" customFormat="false" ht="15" hidden="false" customHeight="false" outlineLevel="0" collapsed="false">
      <c r="A2966" s="3" t="n">
        <v>2965</v>
      </c>
      <c r="B2966" s="3" t="n">
        <v>2964</v>
      </c>
      <c r="C2966" s="3" t="n">
        <v>3</v>
      </c>
      <c r="D2966" s="3" t="n">
        <v>21</v>
      </c>
      <c r="E2966" s="3" t="n">
        <v>24</v>
      </c>
      <c r="F2966" s="24" t="n">
        <v>-0.0226645079</v>
      </c>
    </row>
    <row r="2967" customFormat="false" ht="15" hidden="false" customHeight="false" outlineLevel="0" collapsed="false">
      <c r="A2967" s="3" t="n">
        <v>2966</v>
      </c>
      <c r="B2967" s="3" t="n">
        <v>2965</v>
      </c>
      <c r="C2967" s="3" t="n">
        <v>3</v>
      </c>
      <c r="D2967" s="3" t="n">
        <v>21</v>
      </c>
      <c r="E2967" s="3" t="n">
        <v>25</v>
      </c>
      <c r="F2967" s="24" t="n">
        <v>-0.0226645079</v>
      </c>
    </row>
    <row r="2968" customFormat="false" ht="15" hidden="false" customHeight="false" outlineLevel="0" collapsed="false">
      <c r="A2968" s="3" t="n">
        <v>2967</v>
      </c>
      <c r="B2968" s="3" t="n">
        <v>2966</v>
      </c>
      <c r="C2968" s="3" t="n">
        <v>3</v>
      </c>
      <c r="D2968" s="3" t="n">
        <v>21</v>
      </c>
      <c r="E2968" s="3" t="n">
        <v>26</v>
      </c>
      <c r="F2968" s="24" t="n">
        <v>-0.0226645079</v>
      </c>
    </row>
    <row r="2969" customFormat="false" ht="15" hidden="false" customHeight="false" outlineLevel="0" collapsed="false">
      <c r="A2969" s="3" t="n">
        <v>2968</v>
      </c>
      <c r="B2969" s="3" t="n">
        <v>2967</v>
      </c>
      <c r="C2969" s="3" t="n">
        <v>3</v>
      </c>
      <c r="D2969" s="3" t="n">
        <v>21</v>
      </c>
      <c r="E2969" s="3" t="n">
        <v>27</v>
      </c>
      <c r="F2969" s="24" t="n">
        <v>-0.00741321221</v>
      </c>
    </row>
    <row r="2970" customFormat="false" ht="15" hidden="false" customHeight="false" outlineLevel="0" collapsed="false">
      <c r="A2970" s="3" t="n">
        <v>2969</v>
      </c>
      <c r="B2970" s="3" t="n">
        <v>2968</v>
      </c>
      <c r="C2970" s="3" t="n">
        <v>3</v>
      </c>
      <c r="D2970" s="3" t="n">
        <v>22</v>
      </c>
      <c r="E2970" s="3" t="n">
        <v>0</v>
      </c>
      <c r="F2970" s="24" t="n">
        <v>0.0962923914</v>
      </c>
    </row>
    <row r="2971" customFormat="false" ht="15" hidden="false" customHeight="false" outlineLevel="0" collapsed="false">
      <c r="A2971" s="3" t="n">
        <v>2970</v>
      </c>
      <c r="B2971" s="3" t="n">
        <v>2969</v>
      </c>
      <c r="C2971" s="3" t="n">
        <v>3</v>
      </c>
      <c r="D2971" s="3" t="n">
        <v>22</v>
      </c>
      <c r="E2971" s="3" t="n">
        <v>1</v>
      </c>
      <c r="F2971" s="24" t="n">
        <v>-0.0226645079</v>
      </c>
    </row>
    <row r="2972" customFormat="false" ht="15" hidden="false" customHeight="false" outlineLevel="0" collapsed="false">
      <c r="A2972" s="3" t="n">
        <v>2971</v>
      </c>
      <c r="B2972" s="3" t="n">
        <v>2970</v>
      </c>
      <c r="C2972" s="3" t="n">
        <v>3</v>
      </c>
      <c r="D2972" s="3" t="n">
        <v>22</v>
      </c>
      <c r="E2972" s="3" t="n">
        <v>2</v>
      </c>
      <c r="F2972" s="24" t="n">
        <v>-0.0226645079</v>
      </c>
    </row>
    <row r="2973" customFormat="false" ht="15" hidden="false" customHeight="false" outlineLevel="0" collapsed="false">
      <c r="A2973" s="3" t="n">
        <v>2972</v>
      </c>
      <c r="B2973" s="3" t="n">
        <v>2971</v>
      </c>
      <c r="C2973" s="3" t="n">
        <v>3</v>
      </c>
      <c r="D2973" s="3" t="n">
        <v>22</v>
      </c>
      <c r="E2973" s="3" t="n">
        <v>3</v>
      </c>
      <c r="F2973" s="24" t="n">
        <v>-0.0226645079</v>
      </c>
    </row>
    <row r="2974" customFormat="false" ht="15" hidden="false" customHeight="false" outlineLevel="0" collapsed="false">
      <c r="A2974" s="3" t="n">
        <v>2973</v>
      </c>
      <c r="B2974" s="3" t="n">
        <v>2972</v>
      </c>
      <c r="C2974" s="3" t="n">
        <v>3</v>
      </c>
      <c r="D2974" s="3" t="n">
        <v>22</v>
      </c>
      <c r="E2974" s="3" t="n">
        <v>4</v>
      </c>
      <c r="F2974" s="24" t="n">
        <v>-0.0226645079</v>
      </c>
    </row>
    <row r="2975" customFormat="false" ht="15" hidden="false" customHeight="false" outlineLevel="0" collapsed="false">
      <c r="A2975" s="3" t="n">
        <v>2974</v>
      </c>
      <c r="B2975" s="3" t="n">
        <v>2973</v>
      </c>
      <c r="C2975" s="3" t="n">
        <v>3</v>
      </c>
      <c r="D2975" s="3" t="n">
        <v>22</v>
      </c>
      <c r="E2975" s="3" t="n">
        <v>5</v>
      </c>
      <c r="F2975" s="24" t="n">
        <v>-0.0226645079</v>
      </c>
    </row>
    <row r="2976" customFormat="false" ht="15" hidden="false" customHeight="false" outlineLevel="0" collapsed="false">
      <c r="A2976" s="3" t="n">
        <v>2975</v>
      </c>
      <c r="B2976" s="3" t="n">
        <v>2974</v>
      </c>
      <c r="C2976" s="3" t="n">
        <v>3</v>
      </c>
      <c r="D2976" s="3" t="n">
        <v>22</v>
      </c>
      <c r="E2976" s="3" t="n">
        <v>6</v>
      </c>
      <c r="F2976" s="24" t="n">
        <v>-0.0226645079</v>
      </c>
    </row>
    <row r="2977" customFormat="false" ht="15" hidden="false" customHeight="false" outlineLevel="0" collapsed="false">
      <c r="A2977" s="3" t="n">
        <v>2976</v>
      </c>
      <c r="B2977" s="3" t="n">
        <v>2975</v>
      </c>
      <c r="C2977" s="3" t="n">
        <v>3</v>
      </c>
      <c r="D2977" s="3" t="n">
        <v>22</v>
      </c>
      <c r="E2977" s="3" t="n">
        <v>7</v>
      </c>
      <c r="F2977" s="24" t="n">
        <v>-0.0226645079</v>
      </c>
    </row>
    <row r="2978" customFormat="false" ht="15" hidden="false" customHeight="false" outlineLevel="0" collapsed="false">
      <c r="A2978" s="3" t="n">
        <v>2977</v>
      </c>
      <c r="B2978" s="3" t="n">
        <v>2976</v>
      </c>
      <c r="C2978" s="3" t="n">
        <v>3</v>
      </c>
      <c r="D2978" s="3" t="n">
        <v>22</v>
      </c>
      <c r="E2978" s="3" t="n">
        <v>8</v>
      </c>
      <c r="F2978" s="24" t="n">
        <v>-0.0226645079</v>
      </c>
    </row>
    <row r="2979" customFormat="false" ht="15" hidden="false" customHeight="false" outlineLevel="0" collapsed="false">
      <c r="A2979" s="3" t="n">
        <v>2978</v>
      </c>
      <c r="B2979" s="3" t="n">
        <v>2977</v>
      </c>
      <c r="C2979" s="3" t="n">
        <v>3</v>
      </c>
      <c r="D2979" s="3" t="n">
        <v>22</v>
      </c>
      <c r="E2979" s="3" t="n">
        <v>9</v>
      </c>
      <c r="F2979" s="24" t="n">
        <v>-0.0226645079</v>
      </c>
    </row>
    <row r="2980" customFormat="false" ht="15" hidden="false" customHeight="false" outlineLevel="0" collapsed="false">
      <c r="A2980" s="3" t="n">
        <v>2979</v>
      </c>
      <c r="B2980" s="3" t="n">
        <v>2978</v>
      </c>
      <c r="C2980" s="3" t="n">
        <v>3</v>
      </c>
      <c r="D2980" s="3" t="n">
        <v>22</v>
      </c>
      <c r="E2980" s="3" t="n">
        <v>10</v>
      </c>
      <c r="F2980" s="24" t="n">
        <v>0.913657069</v>
      </c>
    </row>
    <row r="2981" customFormat="false" ht="15" hidden="false" customHeight="false" outlineLevel="0" collapsed="false">
      <c r="A2981" s="3" t="n">
        <v>2980</v>
      </c>
      <c r="B2981" s="3" t="n">
        <v>2979</v>
      </c>
      <c r="C2981" s="3" t="n">
        <v>3</v>
      </c>
      <c r="D2981" s="3" t="n">
        <v>22</v>
      </c>
      <c r="E2981" s="3" t="n">
        <v>11</v>
      </c>
      <c r="F2981" s="24" t="n">
        <v>2.65426493</v>
      </c>
    </row>
    <row r="2982" customFormat="false" ht="15" hidden="false" customHeight="false" outlineLevel="0" collapsed="false">
      <c r="A2982" s="3" t="n">
        <v>2981</v>
      </c>
      <c r="B2982" s="3" t="n">
        <v>2980</v>
      </c>
      <c r="C2982" s="3" t="n">
        <v>3</v>
      </c>
      <c r="D2982" s="3" t="n">
        <v>22</v>
      </c>
      <c r="E2982" s="3" t="n">
        <v>12</v>
      </c>
      <c r="F2982" s="24" t="n">
        <v>1.23717177</v>
      </c>
    </row>
    <row r="2983" customFormat="false" ht="15" hidden="false" customHeight="false" outlineLevel="0" collapsed="false">
      <c r="A2983" s="3" t="n">
        <v>2982</v>
      </c>
      <c r="B2983" s="3" t="n">
        <v>2981</v>
      </c>
      <c r="C2983" s="3" t="n">
        <v>3</v>
      </c>
      <c r="D2983" s="3" t="n">
        <v>22</v>
      </c>
      <c r="E2983" s="3" t="n">
        <v>13</v>
      </c>
      <c r="F2983" s="24" t="n">
        <v>-1.00611115</v>
      </c>
    </row>
    <row r="2984" customFormat="false" ht="15" hidden="false" customHeight="false" outlineLevel="0" collapsed="false">
      <c r="A2984" s="3" t="n">
        <v>2983</v>
      </c>
      <c r="B2984" s="3" t="n">
        <v>2982</v>
      </c>
      <c r="C2984" s="3" t="n">
        <v>3</v>
      </c>
      <c r="D2984" s="3" t="n">
        <v>22</v>
      </c>
      <c r="E2984" s="3" t="n">
        <v>14</v>
      </c>
      <c r="F2984" s="24" t="n">
        <v>-1.73216307</v>
      </c>
    </row>
    <row r="2985" customFormat="false" ht="15" hidden="false" customHeight="false" outlineLevel="0" collapsed="false">
      <c r="A2985" s="3" t="n">
        <v>2984</v>
      </c>
      <c r="B2985" s="3" t="n">
        <v>2983</v>
      </c>
      <c r="C2985" s="3" t="n">
        <v>3</v>
      </c>
      <c r="D2985" s="3" t="n">
        <v>22</v>
      </c>
      <c r="E2985" s="3" t="n">
        <v>15</v>
      </c>
      <c r="F2985" s="24" t="n">
        <v>-1.11221325</v>
      </c>
    </row>
    <row r="2986" customFormat="false" ht="15" hidden="false" customHeight="false" outlineLevel="0" collapsed="false">
      <c r="A2986" s="3" t="n">
        <v>2985</v>
      </c>
      <c r="B2986" s="3" t="n">
        <v>2984</v>
      </c>
      <c r="C2986" s="3" t="n">
        <v>3</v>
      </c>
      <c r="D2986" s="3" t="n">
        <v>22</v>
      </c>
      <c r="E2986" s="3" t="n">
        <v>16</v>
      </c>
      <c r="F2986" s="24" t="n">
        <v>-0.419836104</v>
      </c>
    </row>
    <row r="2987" customFormat="false" ht="15" hidden="false" customHeight="false" outlineLevel="0" collapsed="false">
      <c r="A2987" s="3" t="n">
        <v>2986</v>
      </c>
      <c r="B2987" s="3" t="n">
        <v>2985</v>
      </c>
      <c r="C2987" s="3" t="n">
        <v>3</v>
      </c>
      <c r="D2987" s="3" t="n">
        <v>22</v>
      </c>
      <c r="E2987" s="3" t="n">
        <v>17</v>
      </c>
      <c r="F2987" s="24" t="n">
        <v>-0.0226645079</v>
      </c>
    </row>
    <row r="2988" customFormat="false" ht="15" hidden="false" customHeight="false" outlineLevel="0" collapsed="false">
      <c r="A2988" s="3" t="n">
        <v>2987</v>
      </c>
      <c r="B2988" s="3" t="n">
        <v>2986</v>
      </c>
      <c r="C2988" s="3" t="n">
        <v>3</v>
      </c>
      <c r="D2988" s="3" t="n">
        <v>22</v>
      </c>
      <c r="E2988" s="3" t="n">
        <v>18</v>
      </c>
      <c r="F2988" s="24" t="n">
        <v>-0.0226645079</v>
      </c>
    </row>
    <row r="2989" customFormat="false" ht="15" hidden="false" customHeight="false" outlineLevel="0" collapsed="false">
      <c r="A2989" s="3" t="n">
        <v>2988</v>
      </c>
      <c r="B2989" s="3" t="n">
        <v>2987</v>
      </c>
      <c r="C2989" s="3" t="n">
        <v>3</v>
      </c>
      <c r="D2989" s="3" t="n">
        <v>22</v>
      </c>
      <c r="E2989" s="3" t="n">
        <v>19</v>
      </c>
      <c r="F2989" s="24" t="n">
        <v>-0.0226645079</v>
      </c>
    </row>
    <row r="2990" customFormat="false" ht="15" hidden="false" customHeight="false" outlineLevel="0" collapsed="false">
      <c r="A2990" s="3" t="n">
        <v>2989</v>
      </c>
      <c r="B2990" s="3" t="n">
        <v>2988</v>
      </c>
      <c r="C2990" s="3" t="n">
        <v>3</v>
      </c>
      <c r="D2990" s="3" t="n">
        <v>22</v>
      </c>
      <c r="E2990" s="3" t="n">
        <v>20</v>
      </c>
      <c r="F2990" s="24" t="n">
        <v>-0.0226645079</v>
      </c>
    </row>
    <row r="2991" customFormat="false" ht="15" hidden="false" customHeight="false" outlineLevel="0" collapsed="false">
      <c r="A2991" s="3" t="n">
        <v>2990</v>
      </c>
      <c r="B2991" s="3" t="n">
        <v>2989</v>
      </c>
      <c r="C2991" s="3" t="n">
        <v>3</v>
      </c>
      <c r="D2991" s="3" t="n">
        <v>22</v>
      </c>
      <c r="E2991" s="3" t="n">
        <v>21</v>
      </c>
      <c r="F2991" s="24" t="n">
        <v>-0.0226645079</v>
      </c>
    </row>
    <row r="2992" customFormat="false" ht="15" hidden="false" customHeight="false" outlineLevel="0" collapsed="false">
      <c r="A2992" s="3" t="n">
        <v>2991</v>
      </c>
      <c r="B2992" s="3" t="n">
        <v>2990</v>
      </c>
      <c r="C2992" s="3" t="n">
        <v>3</v>
      </c>
      <c r="D2992" s="3" t="n">
        <v>22</v>
      </c>
      <c r="E2992" s="3" t="n">
        <v>22</v>
      </c>
      <c r="F2992" s="24" t="n">
        <v>-0.0226645079</v>
      </c>
    </row>
    <row r="2993" customFormat="false" ht="15" hidden="false" customHeight="false" outlineLevel="0" collapsed="false">
      <c r="A2993" s="3" t="n">
        <v>2992</v>
      </c>
      <c r="B2993" s="3" t="n">
        <v>2991</v>
      </c>
      <c r="C2993" s="3" t="n">
        <v>3</v>
      </c>
      <c r="D2993" s="3" t="n">
        <v>22</v>
      </c>
      <c r="E2993" s="3" t="n">
        <v>23</v>
      </c>
      <c r="F2993" s="24" t="n">
        <v>-0.0226645079</v>
      </c>
    </row>
    <row r="2994" customFormat="false" ht="15" hidden="false" customHeight="false" outlineLevel="0" collapsed="false">
      <c r="A2994" s="3" t="n">
        <v>2993</v>
      </c>
      <c r="B2994" s="3" t="n">
        <v>2992</v>
      </c>
      <c r="C2994" s="3" t="n">
        <v>3</v>
      </c>
      <c r="D2994" s="3" t="n">
        <v>22</v>
      </c>
      <c r="E2994" s="3" t="n">
        <v>24</v>
      </c>
      <c r="F2994" s="24" t="n">
        <v>-0.0226645079</v>
      </c>
    </row>
    <row r="2995" customFormat="false" ht="15" hidden="false" customHeight="false" outlineLevel="0" collapsed="false">
      <c r="A2995" s="3" t="n">
        <v>2994</v>
      </c>
      <c r="B2995" s="3" t="n">
        <v>2993</v>
      </c>
      <c r="C2995" s="3" t="n">
        <v>3</v>
      </c>
      <c r="D2995" s="3" t="n">
        <v>22</v>
      </c>
      <c r="E2995" s="3" t="n">
        <v>25</v>
      </c>
      <c r="F2995" s="24" t="n">
        <v>-0.0226645079</v>
      </c>
    </row>
    <row r="2996" customFormat="false" ht="15" hidden="false" customHeight="false" outlineLevel="0" collapsed="false">
      <c r="A2996" s="3" t="n">
        <v>2995</v>
      </c>
      <c r="B2996" s="3" t="n">
        <v>2994</v>
      </c>
      <c r="C2996" s="3" t="n">
        <v>3</v>
      </c>
      <c r="D2996" s="3" t="n">
        <v>22</v>
      </c>
      <c r="E2996" s="3" t="n">
        <v>26</v>
      </c>
      <c r="F2996" s="24" t="n">
        <v>-0.0226645079</v>
      </c>
    </row>
    <row r="2997" customFormat="false" ht="15" hidden="false" customHeight="false" outlineLevel="0" collapsed="false">
      <c r="A2997" s="3" t="n">
        <v>2996</v>
      </c>
      <c r="B2997" s="3" t="n">
        <v>2995</v>
      </c>
      <c r="C2997" s="3" t="n">
        <v>3</v>
      </c>
      <c r="D2997" s="3" t="n">
        <v>22</v>
      </c>
      <c r="E2997" s="3" t="n">
        <v>27</v>
      </c>
      <c r="F2997" s="24" t="n">
        <v>-0.00741321221</v>
      </c>
    </row>
    <row r="2998" customFormat="false" ht="15" hidden="false" customHeight="false" outlineLevel="0" collapsed="false">
      <c r="A2998" s="3" t="n">
        <v>2997</v>
      </c>
      <c r="B2998" s="3" t="n">
        <v>2996</v>
      </c>
      <c r="C2998" s="3" t="n">
        <v>3</v>
      </c>
      <c r="D2998" s="3" t="n">
        <v>23</v>
      </c>
      <c r="E2998" s="3" t="n">
        <v>0</v>
      </c>
      <c r="F2998" s="24" t="n">
        <v>0.0962923914</v>
      </c>
    </row>
    <row r="2999" customFormat="false" ht="15" hidden="false" customHeight="false" outlineLevel="0" collapsed="false">
      <c r="A2999" s="3" t="n">
        <v>2998</v>
      </c>
      <c r="B2999" s="3" t="n">
        <v>2997</v>
      </c>
      <c r="C2999" s="3" t="n">
        <v>3</v>
      </c>
      <c r="D2999" s="3" t="n">
        <v>23</v>
      </c>
      <c r="E2999" s="3" t="n">
        <v>1</v>
      </c>
      <c r="F2999" s="24" t="n">
        <v>-0.0226645079</v>
      </c>
    </row>
    <row r="3000" customFormat="false" ht="15" hidden="false" customHeight="false" outlineLevel="0" collapsed="false">
      <c r="A3000" s="3" t="n">
        <v>2999</v>
      </c>
      <c r="B3000" s="3" t="n">
        <v>2998</v>
      </c>
      <c r="C3000" s="3" t="n">
        <v>3</v>
      </c>
      <c r="D3000" s="3" t="n">
        <v>23</v>
      </c>
      <c r="E3000" s="3" t="n">
        <v>2</v>
      </c>
      <c r="F3000" s="24" t="n">
        <v>-0.0226645079</v>
      </c>
    </row>
    <row r="3001" customFormat="false" ht="15" hidden="false" customHeight="false" outlineLevel="0" collapsed="false">
      <c r="A3001" s="3" t="n">
        <v>3000</v>
      </c>
      <c r="B3001" s="3" t="n">
        <v>2999</v>
      </c>
      <c r="C3001" s="3" t="n">
        <v>3</v>
      </c>
      <c r="D3001" s="3" t="n">
        <v>23</v>
      </c>
      <c r="E3001" s="3" t="n">
        <v>3</v>
      </c>
      <c r="F3001" s="24" t="n">
        <v>-0.0226645079</v>
      </c>
    </row>
    <row r="3002" customFormat="false" ht="15" hidden="false" customHeight="false" outlineLevel="0" collapsed="false">
      <c r="A3002" s="3" t="n">
        <v>3001</v>
      </c>
      <c r="B3002" s="3" t="n">
        <v>3000</v>
      </c>
      <c r="C3002" s="3" t="n">
        <v>3</v>
      </c>
      <c r="D3002" s="3" t="n">
        <v>23</v>
      </c>
      <c r="E3002" s="3" t="n">
        <v>4</v>
      </c>
      <c r="F3002" s="24" t="n">
        <v>-0.0226645079</v>
      </c>
    </row>
    <row r="3003" customFormat="false" ht="15" hidden="false" customHeight="false" outlineLevel="0" collapsed="false">
      <c r="A3003" s="3" t="n">
        <v>3002</v>
      </c>
      <c r="B3003" s="3" t="n">
        <v>3001</v>
      </c>
      <c r="C3003" s="3" t="n">
        <v>3</v>
      </c>
      <c r="D3003" s="3" t="n">
        <v>23</v>
      </c>
      <c r="E3003" s="3" t="n">
        <v>5</v>
      </c>
      <c r="F3003" s="24" t="n">
        <v>-0.0226645079</v>
      </c>
    </row>
    <row r="3004" customFormat="false" ht="15" hidden="false" customHeight="false" outlineLevel="0" collapsed="false">
      <c r="A3004" s="3" t="n">
        <v>3003</v>
      </c>
      <c r="B3004" s="3" t="n">
        <v>3002</v>
      </c>
      <c r="C3004" s="3" t="n">
        <v>3</v>
      </c>
      <c r="D3004" s="3" t="n">
        <v>23</v>
      </c>
      <c r="E3004" s="3" t="n">
        <v>6</v>
      </c>
      <c r="F3004" s="24" t="n">
        <v>-0.0226645079</v>
      </c>
    </row>
    <row r="3005" customFormat="false" ht="15" hidden="false" customHeight="false" outlineLevel="0" collapsed="false">
      <c r="A3005" s="3" t="n">
        <v>3004</v>
      </c>
      <c r="B3005" s="3" t="n">
        <v>3003</v>
      </c>
      <c r="C3005" s="3" t="n">
        <v>3</v>
      </c>
      <c r="D3005" s="3" t="n">
        <v>23</v>
      </c>
      <c r="E3005" s="3" t="n">
        <v>7</v>
      </c>
      <c r="F3005" s="24" t="n">
        <v>-0.0226645079</v>
      </c>
    </row>
    <row r="3006" customFormat="false" ht="15" hidden="false" customHeight="false" outlineLevel="0" collapsed="false">
      <c r="A3006" s="3" t="n">
        <v>3005</v>
      </c>
      <c r="B3006" s="3" t="n">
        <v>3004</v>
      </c>
      <c r="C3006" s="3" t="n">
        <v>3</v>
      </c>
      <c r="D3006" s="3" t="n">
        <v>23</v>
      </c>
      <c r="E3006" s="3" t="n">
        <v>8</v>
      </c>
      <c r="F3006" s="24" t="n">
        <v>-0.0226645079</v>
      </c>
    </row>
    <row r="3007" customFormat="false" ht="15" hidden="false" customHeight="false" outlineLevel="0" collapsed="false">
      <c r="A3007" s="3" t="n">
        <v>3006</v>
      </c>
      <c r="B3007" s="3" t="n">
        <v>3005</v>
      </c>
      <c r="C3007" s="3" t="n">
        <v>3</v>
      </c>
      <c r="D3007" s="3" t="n">
        <v>23</v>
      </c>
      <c r="E3007" s="3" t="n">
        <v>9</v>
      </c>
      <c r="F3007" s="24" t="n">
        <v>0.341491699</v>
      </c>
    </row>
    <row r="3008" customFormat="false" ht="15" hidden="false" customHeight="false" outlineLevel="0" collapsed="false">
      <c r="A3008" s="3" t="n">
        <v>3007</v>
      </c>
      <c r="B3008" s="3" t="n">
        <v>3006</v>
      </c>
      <c r="C3008" s="3" t="n">
        <v>3</v>
      </c>
      <c r="D3008" s="3" t="n">
        <v>23</v>
      </c>
      <c r="E3008" s="3" t="n">
        <v>10</v>
      </c>
      <c r="F3008" s="24" t="n">
        <v>1.96400857</v>
      </c>
    </row>
    <row r="3009" customFormat="false" ht="15" hidden="false" customHeight="false" outlineLevel="0" collapsed="false">
      <c r="A3009" s="3" t="n">
        <v>3008</v>
      </c>
      <c r="B3009" s="3" t="n">
        <v>3007</v>
      </c>
      <c r="C3009" s="3" t="n">
        <v>3</v>
      </c>
      <c r="D3009" s="3" t="n">
        <v>23</v>
      </c>
      <c r="E3009" s="3" t="n">
        <v>11</v>
      </c>
      <c r="F3009" s="24" t="n">
        <v>1.21426177</v>
      </c>
    </row>
    <row r="3010" customFormat="false" ht="15" hidden="false" customHeight="false" outlineLevel="0" collapsed="false">
      <c r="A3010" s="3" t="n">
        <v>3009</v>
      </c>
      <c r="B3010" s="3" t="n">
        <v>3008</v>
      </c>
      <c r="C3010" s="3" t="n">
        <v>3</v>
      </c>
      <c r="D3010" s="3" t="n">
        <v>23</v>
      </c>
      <c r="E3010" s="3" t="n">
        <v>12</v>
      </c>
      <c r="F3010" s="24" t="n">
        <v>0.519779027</v>
      </c>
    </row>
    <row r="3011" customFormat="false" ht="15" hidden="false" customHeight="false" outlineLevel="0" collapsed="false">
      <c r="A3011" s="3" t="n">
        <v>3010</v>
      </c>
      <c r="B3011" s="3" t="n">
        <v>3009</v>
      </c>
      <c r="C3011" s="3" t="n">
        <v>3</v>
      </c>
      <c r="D3011" s="3" t="n">
        <v>23</v>
      </c>
      <c r="E3011" s="3" t="n">
        <v>13</v>
      </c>
      <c r="F3011" s="24" t="n">
        <v>-0.681359589</v>
      </c>
    </row>
    <row r="3012" customFormat="false" ht="15" hidden="false" customHeight="false" outlineLevel="0" collapsed="false">
      <c r="A3012" s="3" t="n">
        <v>3011</v>
      </c>
      <c r="B3012" s="3" t="n">
        <v>3010</v>
      </c>
      <c r="C3012" s="3" t="n">
        <v>3</v>
      </c>
      <c r="D3012" s="3" t="n">
        <v>23</v>
      </c>
      <c r="E3012" s="3" t="n">
        <v>14</v>
      </c>
      <c r="F3012" s="24" t="n">
        <v>0.153635487</v>
      </c>
    </row>
    <row r="3013" customFormat="false" ht="15" hidden="false" customHeight="false" outlineLevel="0" collapsed="false">
      <c r="A3013" s="3" t="n">
        <v>3012</v>
      </c>
      <c r="B3013" s="3" t="n">
        <v>3011</v>
      </c>
      <c r="C3013" s="3" t="n">
        <v>3</v>
      </c>
      <c r="D3013" s="3" t="n">
        <v>23</v>
      </c>
      <c r="E3013" s="3" t="n">
        <v>15</v>
      </c>
      <c r="F3013" s="24" t="n">
        <v>-0.174861386</v>
      </c>
    </row>
    <row r="3014" customFormat="false" ht="15" hidden="false" customHeight="false" outlineLevel="0" collapsed="false">
      <c r="A3014" s="3" t="n">
        <v>3013</v>
      </c>
      <c r="B3014" s="3" t="n">
        <v>3012</v>
      </c>
      <c r="C3014" s="3" t="n">
        <v>3</v>
      </c>
      <c r="D3014" s="3" t="n">
        <v>23</v>
      </c>
      <c r="E3014" s="3" t="n">
        <v>16</v>
      </c>
      <c r="F3014" s="24" t="n">
        <v>-0.0279021468</v>
      </c>
    </row>
    <row r="3015" customFormat="false" ht="15" hidden="false" customHeight="false" outlineLevel="0" collapsed="false">
      <c r="A3015" s="3" t="n">
        <v>3014</v>
      </c>
      <c r="B3015" s="3" t="n">
        <v>3013</v>
      </c>
      <c r="C3015" s="3" t="n">
        <v>3</v>
      </c>
      <c r="D3015" s="3" t="n">
        <v>23</v>
      </c>
      <c r="E3015" s="3" t="n">
        <v>17</v>
      </c>
      <c r="F3015" s="24" t="n">
        <v>-0.0226645079</v>
      </c>
    </row>
    <row r="3016" customFormat="false" ht="15" hidden="false" customHeight="false" outlineLevel="0" collapsed="false">
      <c r="A3016" s="3" t="n">
        <v>3015</v>
      </c>
      <c r="B3016" s="3" t="n">
        <v>3014</v>
      </c>
      <c r="C3016" s="3" t="n">
        <v>3</v>
      </c>
      <c r="D3016" s="3" t="n">
        <v>23</v>
      </c>
      <c r="E3016" s="3" t="n">
        <v>18</v>
      </c>
      <c r="F3016" s="24" t="n">
        <v>-0.0226645079</v>
      </c>
    </row>
    <row r="3017" customFormat="false" ht="15" hidden="false" customHeight="false" outlineLevel="0" collapsed="false">
      <c r="A3017" s="3" t="n">
        <v>3016</v>
      </c>
      <c r="B3017" s="3" t="n">
        <v>3015</v>
      </c>
      <c r="C3017" s="3" t="n">
        <v>3</v>
      </c>
      <c r="D3017" s="3" t="n">
        <v>23</v>
      </c>
      <c r="E3017" s="3" t="n">
        <v>19</v>
      </c>
      <c r="F3017" s="24" t="n">
        <v>-0.0226645079</v>
      </c>
    </row>
    <row r="3018" customFormat="false" ht="15" hidden="false" customHeight="false" outlineLevel="0" collapsed="false">
      <c r="A3018" s="3" t="n">
        <v>3017</v>
      </c>
      <c r="B3018" s="3" t="n">
        <v>3016</v>
      </c>
      <c r="C3018" s="3" t="n">
        <v>3</v>
      </c>
      <c r="D3018" s="3" t="n">
        <v>23</v>
      </c>
      <c r="E3018" s="3" t="n">
        <v>20</v>
      </c>
      <c r="F3018" s="24" t="n">
        <v>-0.0226645079</v>
      </c>
    </row>
    <row r="3019" customFormat="false" ht="15" hidden="false" customHeight="false" outlineLevel="0" collapsed="false">
      <c r="A3019" s="3" t="n">
        <v>3018</v>
      </c>
      <c r="B3019" s="3" t="n">
        <v>3017</v>
      </c>
      <c r="C3019" s="3" t="n">
        <v>3</v>
      </c>
      <c r="D3019" s="3" t="n">
        <v>23</v>
      </c>
      <c r="E3019" s="3" t="n">
        <v>21</v>
      </c>
      <c r="F3019" s="24" t="n">
        <v>-0.0226645079</v>
      </c>
    </row>
    <row r="3020" customFormat="false" ht="15" hidden="false" customHeight="false" outlineLevel="0" collapsed="false">
      <c r="A3020" s="3" t="n">
        <v>3019</v>
      </c>
      <c r="B3020" s="3" t="n">
        <v>3018</v>
      </c>
      <c r="C3020" s="3" t="n">
        <v>3</v>
      </c>
      <c r="D3020" s="3" t="n">
        <v>23</v>
      </c>
      <c r="E3020" s="3" t="n">
        <v>22</v>
      </c>
      <c r="F3020" s="24" t="n">
        <v>-0.0226645079</v>
      </c>
    </row>
    <row r="3021" customFormat="false" ht="15" hidden="false" customHeight="false" outlineLevel="0" collapsed="false">
      <c r="A3021" s="3" t="n">
        <v>3020</v>
      </c>
      <c r="B3021" s="3" t="n">
        <v>3019</v>
      </c>
      <c r="C3021" s="3" t="n">
        <v>3</v>
      </c>
      <c r="D3021" s="3" t="n">
        <v>23</v>
      </c>
      <c r="E3021" s="3" t="n">
        <v>23</v>
      </c>
      <c r="F3021" s="24" t="n">
        <v>-0.0226645079</v>
      </c>
    </row>
    <row r="3022" customFormat="false" ht="15" hidden="false" customHeight="false" outlineLevel="0" collapsed="false">
      <c r="A3022" s="3" t="n">
        <v>3021</v>
      </c>
      <c r="B3022" s="3" t="n">
        <v>3020</v>
      </c>
      <c r="C3022" s="3" t="n">
        <v>3</v>
      </c>
      <c r="D3022" s="3" t="n">
        <v>23</v>
      </c>
      <c r="E3022" s="3" t="n">
        <v>24</v>
      </c>
      <c r="F3022" s="24" t="n">
        <v>-0.0226645079</v>
      </c>
    </row>
    <row r="3023" customFormat="false" ht="15" hidden="false" customHeight="false" outlineLevel="0" collapsed="false">
      <c r="A3023" s="3" t="n">
        <v>3022</v>
      </c>
      <c r="B3023" s="3" t="n">
        <v>3021</v>
      </c>
      <c r="C3023" s="3" t="n">
        <v>3</v>
      </c>
      <c r="D3023" s="3" t="n">
        <v>23</v>
      </c>
      <c r="E3023" s="3" t="n">
        <v>25</v>
      </c>
      <c r="F3023" s="24" t="n">
        <v>-0.0226645079</v>
      </c>
    </row>
    <row r="3024" customFormat="false" ht="15" hidden="false" customHeight="false" outlineLevel="0" collapsed="false">
      <c r="A3024" s="3" t="n">
        <v>3023</v>
      </c>
      <c r="B3024" s="3" t="n">
        <v>3022</v>
      </c>
      <c r="C3024" s="3" t="n">
        <v>3</v>
      </c>
      <c r="D3024" s="3" t="n">
        <v>23</v>
      </c>
      <c r="E3024" s="3" t="n">
        <v>26</v>
      </c>
      <c r="F3024" s="24" t="n">
        <v>-0.0226645079</v>
      </c>
    </row>
    <row r="3025" customFormat="false" ht="15" hidden="false" customHeight="false" outlineLevel="0" collapsed="false">
      <c r="A3025" s="3" t="n">
        <v>3024</v>
      </c>
      <c r="B3025" s="3" t="n">
        <v>3023</v>
      </c>
      <c r="C3025" s="3" t="n">
        <v>3</v>
      </c>
      <c r="D3025" s="3" t="n">
        <v>23</v>
      </c>
      <c r="E3025" s="3" t="n">
        <v>27</v>
      </c>
      <c r="F3025" s="24" t="n">
        <v>-0.00741321221</v>
      </c>
    </row>
    <row r="3026" customFormat="false" ht="15" hidden="false" customHeight="false" outlineLevel="0" collapsed="false">
      <c r="A3026" s="3" t="n">
        <v>3025</v>
      </c>
      <c r="B3026" s="3" t="n">
        <v>3024</v>
      </c>
      <c r="C3026" s="3" t="n">
        <v>3</v>
      </c>
      <c r="D3026" s="3" t="n">
        <v>24</v>
      </c>
      <c r="E3026" s="3" t="n">
        <v>0</v>
      </c>
      <c r="F3026" s="24" t="n">
        <v>0.0962923914</v>
      </c>
    </row>
    <row r="3027" customFormat="false" ht="15" hidden="false" customHeight="false" outlineLevel="0" collapsed="false">
      <c r="A3027" s="3" t="n">
        <v>3026</v>
      </c>
      <c r="B3027" s="3" t="n">
        <v>3025</v>
      </c>
      <c r="C3027" s="3" t="n">
        <v>3</v>
      </c>
      <c r="D3027" s="3" t="n">
        <v>24</v>
      </c>
      <c r="E3027" s="3" t="n">
        <v>1</v>
      </c>
      <c r="F3027" s="24" t="n">
        <v>-0.0226645079</v>
      </c>
    </row>
    <row r="3028" customFormat="false" ht="15" hidden="false" customHeight="false" outlineLevel="0" collapsed="false">
      <c r="A3028" s="3" t="n">
        <v>3027</v>
      </c>
      <c r="B3028" s="3" t="n">
        <v>3026</v>
      </c>
      <c r="C3028" s="3" t="n">
        <v>3</v>
      </c>
      <c r="D3028" s="3" t="n">
        <v>24</v>
      </c>
      <c r="E3028" s="3" t="n">
        <v>2</v>
      </c>
      <c r="F3028" s="24" t="n">
        <v>-0.0226645079</v>
      </c>
    </row>
    <row r="3029" customFormat="false" ht="15" hidden="false" customHeight="false" outlineLevel="0" collapsed="false">
      <c r="A3029" s="3" t="n">
        <v>3028</v>
      </c>
      <c r="B3029" s="3" t="n">
        <v>3027</v>
      </c>
      <c r="C3029" s="3" t="n">
        <v>3</v>
      </c>
      <c r="D3029" s="3" t="n">
        <v>24</v>
      </c>
      <c r="E3029" s="3" t="n">
        <v>3</v>
      </c>
      <c r="F3029" s="24" t="n">
        <v>-0.0226645079</v>
      </c>
    </row>
    <row r="3030" customFormat="false" ht="15" hidden="false" customHeight="false" outlineLevel="0" collapsed="false">
      <c r="A3030" s="3" t="n">
        <v>3029</v>
      </c>
      <c r="B3030" s="3" t="n">
        <v>3028</v>
      </c>
      <c r="C3030" s="3" t="n">
        <v>3</v>
      </c>
      <c r="D3030" s="3" t="n">
        <v>24</v>
      </c>
      <c r="E3030" s="3" t="n">
        <v>4</v>
      </c>
      <c r="F3030" s="24" t="n">
        <v>-0.0226645079</v>
      </c>
    </row>
    <row r="3031" customFormat="false" ht="15" hidden="false" customHeight="false" outlineLevel="0" collapsed="false">
      <c r="A3031" s="3" t="n">
        <v>3030</v>
      </c>
      <c r="B3031" s="3" t="n">
        <v>3029</v>
      </c>
      <c r="C3031" s="3" t="n">
        <v>3</v>
      </c>
      <c r="D3031" s="3" t="n">
        <v>24</v>
      </c>
      <c r="E3031" s="3" t="n">
        <v>5</v>
      </c>
      <c r="F3031" s="24" t="n">
        <v>-0.0226645079</v>
      </c>
    </row>
    <row r="3032" customFormat="false" ht="15" hidden="false" customHeight="false" outlineLevel="0" collapsed="false">
      <c r="A3032" s="3" t="n">
        <v>3031</v>
      </c>
      <c r="B3032" s="3" t="n">
        <v>3030</v>
      </c>
      <c r="C3032" s="3" t="n">
        <v>3</v>
      </c>
      <c r="D3032" s="3" t="n">
        <v>24</v>
      </c>
      <c r="E3032" s="3" t="n">
        <v>6</v>
      </c>
      <c r="F3032" s="24" t="n">
        <v>-0.0226645079</v>
      </c>
    </row>
    <row r="3033" customFormat="false" ht="15" hidden="false" customHeight="false" outlineLevel="0" collapsed="false">
      <c r="A3033" s="3" t="n">
        <v>3032</v>
      </c>
      <c r="B3033" s="3" t="n">
        <v>3031</v>
      </c>
      <c r="C3033" s="3" t="n">
        <v>3</v>
      </c>
      <c r="D3033" s="3" t="n">
        <v>24</v>
      </c>
      <c r="E3033" s="3" t="n">
        <v>7</v>
      </c>
      <c r="F3033" s="24" t="n">
        <v>-0.0226645079</v>
      </c>
    </row>
    <row r="3034" customFormat="false" ht="15" hidden="false" customHeight="false" outlineLevel="0" collapsed="false">
      <c r="A3034" s="3" t="n">
        <v>3033</v>
      </c>
      <c r="B3034" s="3" t="n">
        <v>3032</v>
      </c>
      <c r="C3034" s="3" t="n">
        <v>3</v>
      </c>
      <c r="D3034" s="3" t="n">
        <v>24</v>
      </c>
      <c r="E3034" s="3" t="n">
        <v>8</v>
      </c>
      <c r="F3034" s="24" t="n">
        <v>-0.0226645079</v>
      </c>
    </row>
    <row r="3035" customFormat="false" ht="15" hidden="false" customHeight="false" outlineLevel="0" collapsed="false">
      <c r="A3035" s="3" t="n">
        <v>3034</v>
      </c>
      <c r="B3035" s="3" t="n">
        <v>3033</v>
      </c>
      <c r="C3035" s="3" t="n">
        <v>3</v>
      </c>
      <c r="D3035" s="3" t="n">
        <v>24</v>
      </c>
      <c r="E3035" s="3" t="n">
        <v>9</v>
      </c>
      <c r="F3035" s="24" t="n">
        <v>0.979769528</v>
      </c>
    </row>
    <row r="3036" customFormat="false" ht="15" hidden="false" customHeight="false" outlineLevel="0" collapsed="false">
      <c r="A3036" s="3" t="n">
        <v>3035</v>
      </c>
      <c r="B3036" s="3" t="n">
        <v>3034</v>
      </c>
      <c r="C3036" s="3" t="n">
        <v>3</v>
      </c>
      <c r="D3036" s="3" t="n">
        <v>24</v>
      </c>
      <c r="E3036" s="3" t="n">
        <v>10</v>
      </c>
      <c r="F3036" s="24" t="n">
        <v>1.71239746</v>
      </c>
    </row>
    <row r="3037" customFormat="false" ht="15" hidden="false" customHeight="false" outlineLevel="0" collapsed="false">
      <c r="A3037" s="3" t="n">
        <v>3036</v>
      </c>
      <c r="B3037" s="3" t="n">
        <v>3035</v>
      </c>
      <c r="C3037" s="3" t="n">
        <v>3</v>
      </c>
      <c r="D3037" s="3" t="n">
        <v>24</v>
      </c>
      <c r="E3037" s="3" t="n">
        <v>11</v>
      </c>
      <c r="F3037" s="24" t="n">
        <v>0.635450304</v>
      </c>
    </row>
    <row r="3038" customFormat="false" ht="15" hidden="false" customHeight="false" outlineLevel="0" collapsed="false">
      <c r="A3038" s="3" t="n">
        <v>3037</v>
      </c>
      <c r="B3038" s="3" t="n">
        <v>3036</v>
      </c>
      <c r="C3038" s="3" t="n">
        <v>3</v>
      </c>
      <c r="D3038" s="3" t="n">
        <v>24</v>
      </c>
      <c r="E3038" s="3" t="n">
        <v>12</v>
      </c>
      <c r="F3038" s="24" t="n">
        <v>0.241783053</v>
      </c>
    </row>
    <row r="3039" customFormat="false" ht="15" hidden="false" customHeight="false" outlineLevel="0" collapsed="false">
      <c r="A3039" s="3" t="n">
        <v>3038</v>
      </c>
      <c r="B3039" s="3" t="n">
        <v>3037</v>
      </c>
      <c r="C3039" s="3" t="n">
        <v>3</v>
      </c>
      <c r="D3039" s="3" t="n">
        <v>24</v>
      </c>
      <c r="E3039" s="3" t="n">
        <v>13</v>
      </c>
      <c r="F3039" s="24" t="n">
        <v>-0.413880557</v>
      </c>
    </row>
    <row r="3040" customFormat="false" ht="15" hidden="false" customHeight="false" outlineLevel="0" collapsed="false">
      <c r="A3040" s="3" t="n">
        <v>3039</v>
      </c>
      <c r="B3040" s="3" t="n">
        <v>3038</v>
      </c>
      <c r="C3040" s="3" t="n">
        <v>3</v>
      </c>
      <c r="D3040" s="3" t="n">
        <v>24</v>
      </c>
      <c r="E3040" s="3" t="n">
        <v>14</v>
      </c>
      <c r="F3040" s="24" t="n">
        <v>0.514828265</v>
      </c>
    </row>
    <row r="3041" customFormat="false" ht="15" hidden="false" customHeight="false" outlineLevel="0" collapsed="false">
      <c r="A3041" s="3" t="n">
        <v>3040</v>
      </c>
      <c r="B3041" s="3" t="n">
        <v>3039</v>
      </c>
      <c r="C3041" s="3" t="n">
        <v>3</v>
      </c>
      <c r="D3041" s="3" t="n">
        <v>24</v>
      </c>
      <c r="E3041" s="3" t="n">
        <v>15</v>
      </c>
      <c r="F3041" s="24" t="n">
        <v>0.1307704</v>
      </c>
    </row>
    <row r="3042" customFormat="false" ht="15" hidden="false" customHeight="false" outlineLevel="0" collapsed="false">
      <c r="A3042" s="3" t="n">
        <v>3041</v>
      </c>
      <c r="B3042" s="3" t="n">
        <v>3040</v>
      </c>
      <c r="C3042" s="3" t="n">
        <v>3</v>
      </c>
      <c r="D3042" s="3" t="n">
        <v>24</v>
      </c>
      <c r="E3042" s="3" t="n">
        <v>16</v>
      </c>
      <c r="F3042" s="24" t="n">
        <v>-0.0226645079</v>
      </c>
    </row>
    <row r="3043" customFormat="false" ht="15" hidden="false" customHeight="false" outlineLevel="0" collapsed="false">
      <c r="A3043" s="3" t="n">
        <v>3042</v>
      </c>
      <c r="B3043" s="3" t="n">
        <v>3041</v>
      </c>
      <c r="C3043" s="3" t="n">
        <v>3</v>
      </c>
      <c r="D3043" s="3" t="n">
        <v>24</v>
      </c>
      <c r="E3043" s="3" t="n">
        <v>17</v>
      </c>
      <c r="F3043" s="24" t="n">
        <v>-0.0226645079</v>
      </c>
    </row>
    <row r="3044" customFormat="false" ht="15" hidden="false" customHeight="false" outlineLevel="0" collapsed="false">
      <c r="A3044" s="3" t="n">
        <v>3043</v>
      </c>
      <c r="B3044" s="3" t="n">
        <v>3042</v>
      </c>
      <c r="C3044" s="3" t="n">
        <v>3</v>
      </c>
      <c r="D3044" s="3" t="n">
        <v>24</v>
      </c>
      <c r="E3044" s="3" t="n">
        <v>18</v>
      </c>
      <c r="F3044" s="24" t="n">
        <v>-0.0226645079</v>
      </c>
    </row>
    <row r="3045" customFormat="false" ht="15" hidden="false" customHeight="false" outlineLevel="0" collapsed="false">
      <c r="A3045" s="3" t="n">
        <v>3044</v>
      </c>
      <c r="B3045" s="3" t="n">
        <v>3043</v>
      </c>
      <c r="C3045" s="3" t="n">
        <v>3</v>
      </c>
      <c r="D3045" s="3" t="n">
        <v>24</v>
      </c>
      <c r="E3045" s="3" t="n">
        <v>19</v>
      </c>
      <c r="F3045" s="24" t="n">
        <v>-0.0226645079</v>
      </c>
    </row>
    <row r="3046" customFormat="false" ht="15" hidden="false" customHeight="false" outlineLevel="0" collapsed="false">
      <c r="A3046" s="3" t="n">
        <v>3045</v>
      </c>
      <c r="B3046" s="3" t="n">
        <v>3044</v>
      </c>
      <c r="C3046" s="3" t="n">
        <v>3</v>
      </c>
      <c r="D3046" s="3" t="n">
        <v>24</v>
      </c>
      <c r="E3046" s="3" t="n">
        <v>20</v>
      </c>
      <c r="F3046" s="24" t="n">
        <v>-0.0226645079</v>
      </c>
    </row>
    <row r="3047" customFormat="false" ht="15" hidden="false" customHeight="false" outlineLevel="0" collapsed="false">
      <c r="A3047" s="3" t="n">
        <v>3046</v>
      </c>
      <c r="B3047" s="3" t="n">
        <v>3045</v>
      </c>
      <c r="C3047" s="3" t="n">
        <v>3</v>
      </c>
      <c r="D3047" s="3" t="n">
        <v>24</v>
      </c>
      <c r="E3047" s="3" t="n">
        <v>21</v>
      </c>
      <c r="F3047" s="24" t="n">
        <v>-0.0226645079</v>
      </c>
    </row>
    <row r="3048" customFormat="false" ht="15" hidden="false" customHeight="false" outlineLevel="0" collapsed="false">
      <c r="A3048" s="3" t="n">
        <v>3047</v>
      </c>
      <c r="B3048" s="3" t="n">
        <v>3046</v>
      </c>
      <c r="C3048" s="3" t="n">
        <v>3</v>
      </c>
      <c r="D3048" s="3" t="n">
        <v>24</v>
      </c>
      <c r="E3048" s="3" t="n">
        <v>22</v>
      </c>
      <c r="F3048" s="24" t="n">
        <v>-0.0226645079</v>
      </c>
    </row>
    <row r="3049" customFormat="false" ht="15" hidden="false" customHeight="false" outlineLevel="0" collapsed="false">
      <c r="A3049" s="3" t="n">
        <v>3048</v>
      </c>
      <c r="B3049" s="3" t="n">
        <v>3047</v>
      </c>
      <c r="C3049" s="3" t="n">
        <v>3</v>
      </c>
      <c r="D3049" s="3" t="n">
        <v>24</v>
      </c>
      <c r="E3049" s="3" t="n">
        <v>23</v>
      </c>
      <c r="F3049" s="24" t="n">
        <v>-0.0226645079</v>
      </c>
    </row>
    <row r="3050" customFormat="false" ht="15" hidden="false" customHeight="false" outlineLevel="0" collapsed="false">
      <c r="A3050" s="3" t="n">
        <v>3049</v>
      </c>
      <c r="B3050" s="3" t="n">
        <v>3048</v>
      </c>
      <c r="C3050" s="3" t="n">
        <v>3</v>
      </c>
      <c r="D3050" s="3" t="n">
        <v>24</v>
      </c>
      <c r="E3050" s="3" t="n">
        <v>24</v>
      </c>
      <c r="F3050" s="24" t="n">
        <v>-0.0226645079</v>
      </c>
    </row>
    <row r="3051" customFormat="false" ht="15" hidden="false" customHeight="false" outlineLevel="0" collapsed="false">
      <c r="A3051" s="3" t="n">
        <v>3050</v>
      </c>
      <c r="B3051" s="3" t="n">
        <v>3049</v>
      </c>
      <c r="C3051" s="3" t="n">
        <v>3</v>
      </c>
      <c r="D3051" s="3" t="n">
        <v>24</v>
      </c>
      <c r="E3051" s="3" t="n">
        <v>25</v>
      </c>
      <c r="F3051" s="24" t="n">
        <v>-0.0226645079</v>
      </c>
    </row>
    <row r="3052" customFormat="false" ht="15" hidden="false" customHeight="false" outlineLevel="0" collapsed="false">
      <c r="A3052" s="3" t="n">
        <v>3051</v>
      </c>
      <c r="B3052" s="3" t="n">
        <v>3050</v>
      </c>
      <c r="C3052" s="3" t="n">
        <v>3</v>
      </c>
      <c r="D3052" s="3" t="n">
        <v>24</v>
      </c>
      <c r="E3052" s="3" t="n">
        <v>26</v>
      </c>
      <c r="F3052" s="24" t="n">
        <v>-0.0226645079</v>
      </c>
    </row>
    <row r="3053" customFormat="false" ht="15" hidden="false" customHeight="false" outlineLevel="0" collapsed="false">
      <c r="A3053" s="3" t="n">
        <v>3052</v>
      </c>
      <c r="B3053" s="3" t="n">
        <v>3051</v>
      </c>
      <c r="C3053" s="3" t="n">
        <v>3</v>
      </c>
      <c r="D3053" s="3" t="n">
        <v>24</v>
      </c>
      <c r="E3053" s="3" t="n">
        <v>27</v>
      </c>
      <c r="F3053" s="24" t="n">
        <v>-0.00741321221</v>
      </c>
    </row>
    <row r="3054" customFormat="false" ht="15" hidden="false" customHeight="false" outlineLevel="0" collapsed="false">
      <c r="A3054" s="3" t="n">
        <v>3053</v>
      </c>
      <c r="B3054" s="3" t="n">
        <v>3052</v>
      </c>
      <c r="C3054" s="3" t="n">
        <v>3</v>
      </c>
      <c r="D3054" s="3" t="n">
        <v>25</v>
      </c>
      <c r="E3054" s="3" t="n">
        <v>0</v>
      </c>
      <c r="F3054" s="24" t="n">
        <v>0.0962923914</v>
      </c>
    </row>
    <row r="3055" customFormat="false" ht="15" hidden="false" customHeight="false" outlineLevel="0" collapsed="false">
      <c r="A3055" s="3" t="n">
        <v>3054</v>
      </c>
      <c r="B3055" s="3" t="n">
        <v>3053</v>
      </c>
      <c r="C3055" s="3" t="n">
        <v>3</v>
      </c>
      <c r="D3055" s="3" t="n">
        <v>25</v>
      </c>
      <c r="E3055" s="3" t="n">
        <v>1</v>
      </c>
      <c r="F3055" s="24" t="n">
        <v>-0.0226645079</v>
      </c>
    </row>
    <row r="3056" customFormat="false" ht="15" hidden="false" customHeight="false" outlineLevel="0" collapsed="false">
      <c r="A3056" s="3" t="n">
        <v>3055</v>
      </c>
      <c r="B3056" s="3" t="n">
        <v>3054</v>
      </c>
      <c r="C3056" s="3" t="n">
        <v>3</v>
      </c>
      <c r="D3056" s="3" t="n">
        <v>25</v>
      </c>
      <c r="E3056" s="3" t="n">
        <v>2</v>
      </c>
      <c r="F3056" s="24" t="n">
        <v>-0.0226645079</v>
      </c>
    </row>
    <row r="3057" customFormat="false" ht="15" hidden="false" customHeight="false" outlineLevel="0" collapsed="false">
      <c r="A3057" s="3" t="n">
        <v>3056</v>
      </c>
      <c r="B3057" s="3" t="n">
        <v>3055</v>
      </c>
      <c r="C3057" s="3" t="n">
        <v>3</v>
      </c>
      <c r="D3057" s="3" t="n">
        <v>25</v>
      </c>
      <c r="E3057" s="3" t="n">
        <v>3</v>
      </c>
      <c r="F3057" s="24" t="n">
        <v>-0.0226645079</v>
      </c>
    </row>
    <row r="3058" customFormat="false" ht="15" hidden="false" customHeight="false" outlineLevel="0" collapsed="false">
      <c r="A3058" s="3" t="n">
        <v>3057</v>
      </c>
      <c r="B3058" s="3" t="n">
        <v>3056</v>
      </c>
      <c r="C3058" s="3" t="n">
        <v>3</v>
      </c>
      <c r="D3058" s="3" t="n">
        <v>25</v>
      </c>
      <c r="E3058" s="3" t="n">
        <v>4</v>
      </c>
      <c r="F3058" s="24" t="n">
        <v>-0.0226645079</v>
      </c>
    </row>
    <row r="3059" customFormat="false" ht="15" hidden="false" customHeight="false" outlineLevel="0" collapsed="false">
      <c r="A3059" s="3" t="n">
        <v>3058</v>
      </c>
      <c r="B3059" s="3" t="n">
        <v>3057</v>
      </c>
      <c r="C3059" s="3" t="n">
        <v>3</v>
      </c>
      <c r="D3059" s="3" t="n">
        <v>25</v>
      </c>
      <c r="E3059" s="3" t="n">
        <v>5</v>
      </c>
      <c r="F3059" s="24" t="n">
        <v>-0.0226645079</v>
      </c>
    </row>
    <row r="3060" customFormat="false" ht="15" hidden="false" customHeight="false" outlineLevel="0" collapsed="false">
      <c r="A3060" s="3" t="n">
        <v>3059</v>
      </c>
      <c r="B3060" s="3" t="n">
        <v>3058</v>
      </c>
      <c r="C3060" s="3" t="n">
        <v>3</v>
      </c>
      <c r="D3060" s="3" t="n">
        <v>25</v>
      </c>
      <c r="E3060" s="3" t="n">
        <v>6</v>
      </c>
      <c r="F3060" s="24" t="n">
        <v>-0.0226645079</v>
      </c>
    </row>
    <row r="3061" customFormat="false" ht="15" hidden="false" customHeight="false" outlineLevel="0" collapsed="false">
      <c r="A3061" s="3" t="n">
        <v>3060</v>
      </c>
      <c r="B3061" s="3" t="n">
        <v>3059</v>
      </c>
      <c r="C3061" s="3" t="n">
        <v>3</v>
      </c>
      <c r="D3061" s="3" t="n">
        <v>25</v>
      </c>
      <c r="E3061" s="3" t="n">
        <v>7</v>
      </c>
      <c r="F3061" s="24" t="n">
        <v>-0.0226645079</v>
      </c>
    </row>
    <row r="3062" customFormat="false" ht="15" hidden="false" customHeight="false" outlineLevel="0" collapsed="false">
      <c r="A3062" s="3" t="n">
        <v>3061</v>
      </c>
      <c r="B3062" s="3" t="n">
        <v>3060</v>
      </c>
      <c r="C3062" s="3" t="n">
        <v>3</v>
      </c>
      <c r="D3062" s="3" t="n">
        <v>25</v>
      </c>
      <c r="E3062" s="3" t="n">
        <v>8</v>
      </c>
      <c r="F3062" s="24" t="n">
        <v>-0.0226645079</v>
      </c>
    </row>
    <row r="3063" customFormat="false" ht="15" hidden="false" customHeight="false" outlineLevel="0" collapsed="false">
      <c r="A3063" s="3" t="n">
        <v>3062</v>
      </c>
      <c r="B3063" s="3" t="n">
        <v>3061</v>
      </c>
      <c r="C3063" s="3" t="n">
        <v>3</v>
      </c>
      <c r="D3063" s="3" t="n">
        <v>25</v>
      </c>
      <c r="E3063" s="3" t="n">
        <v>9</v>
      </c>
      <c r="F3063" s="24" t="n">
        <v>0.638935447</v>
      </c>
    </row>
    <row r="3064" customFormat="false" ht="15" hidden="false" customHeight="false" outlineLevel="0" collapsed="false">
      <c r="A3064" s="3" t="n">
        <v>3063</v>
      </c>
      <c r="B3064" s="3" t="n">
        <v>3062</v>
      </c>
      <c r="C3064" s="3" t="n">
        <v>3</v>
      </c>
      <c r="D3064" s="3" t="n">
        <v>25</v>
      </c>
      <c r="E3064" s="3" t="n">
        <v>10</v>
      </c>
      <c r="F3064" s="24" t="n">
        <v>0.155722469</v>
      </c>
    </row>
    <row r="3065" customFormat="false" ht="15" hidden="false" customHeight="false" outlineLevel="0" collapsed="false">
      <c r="A3065" s="3" t="n">
        <v>3064</v>
      </c>
      <c r="B3065" s="3" t="n">
        <v>3063</v>
      </c>
      <c r="C3065" s="3" t="n">
        <v>3</v>
      </c>
      <c r="D3065" s="3" t="n">
        <v>25</v>
      </c>
      <c r="E3065" s="3" t="n">
        <v>11</v>
      </c>
      <c r="F3065" s="24" t="n">
        <v>-0.456633776</v>
      </c>
    </row>
    <row r="3066" customFormat="false" ht="15" hidden="false" customHeight="false" outlineLevel="0" collapsed="false">
      <c r="A3066" s="3" t="n">
        <v>3065</v>
      </c>
      <c r="B3066" s="3" t="n">
        <v>3064</v>
      </c>
      <c r="C3066" s="3" t="n">
        <v>3</v>
      </c>
      <c r="D3066" s="3" t="n">
        <v>25</v>
      </c>
      <c r="E3066" s="3" t="n">
        <v>12</v>
      </c>
      <c r="F3066" s="24" t="n">
        <v>-1.80463195</v>
      </c>
    </row>
    <row r="3067" customFormat="false" ht="15" hidden="false" customHeight="false" outlineLevel="0" collapsed="false">
      <c r="A3067" s="3" t="n">
        <v>3066</v>
      </c>
      <c r="B3067" s="3" t="n">
        <v>3065</v>
      </c>
      <c r="C3067" s="3" t="n">
        <v>3</v>
      </c>
      <c r="D3067" s="3" t="n">
        <v>25</v>
      </c>
      <c r="E3067" s="3" t="n">
        <v>13</v>
      </c>
      <c r="F3067" s="24" t="n">
        <v>-1.62013781</v>
      </c>
    </row>
    <row r="3068" customFormat="false" ht="15" hidden="false" customHeight="false" outlineLevel="0" collapsed="false">
      <c r="A3068" s="3" t="n">
        <v>3067</v>
      </c>
      <c r="B3068" s="3" t="n">
        <v>3066</v>
      </c>
      <c r="C3068" s="3" t="n">
        <v>3</v>
      </c>
      <c r="D3068" s="3" t="n">
        <v>25</v>
      </c>
      <c r="E3068" s="3" t="n">
        <v>14</v>
      </c>
      <c r="F3068" s="24" t="n">
        <v>-0.39207527</v>
      </c>
    </row>
    <row r="3069" customFormat="false" ht="15" hidden="false" customHeight="false" outlineLevel="0" collapsed="false">
      <c r="A3069" s="3" t="n">
        <v>3068</v>
      </c>
      <c r="B3069" s="3" t="n">
        <v>3067</v>
      </c>
      <c r="C3069" s="3" t="n">
        <v>3</v>
      </c>
      <c r="D3069" s="3" t="n">
        <v>25</v>
      </c>
      <c r="E3069" s="3" t="n">
        <v>15</v>
      </c>
      <c r="F3069" s="24" t="n">
        <v>-0.049963139</v>
      </c>
    </row>
    <row r="3070" customFormat="false" ht="15" hidden="false" customHeight="false" outlineLevel="0" collapsed="false">
      <c r="A3070" s="3" t="n">
        <v>3069</v>
      </c>
      <c r="B3070" s="3" t="n">
        <v>3068</v>
      </c>
      <c r="C3070" s="3" t="n">
        <v>3</v>
      </c>
      <c r="D3070" s="3" t="n">
        <v>25</v>
      </c>
      <c r="E3070" s="3" t="n">
        <v>16</v>
      </c>
      <c r="F3070" s="24" t="n">
        <v>-0.0226645079</v>
      </c>
    </row>
    <row r="3071" customFormat="false" ht="15" hidden="false" customHeight="false" outlineLevel="0" collapsed="false">
      <c r="A3071" s="3" t="n">
        <v>3070</v>
      </c>
      <c r="B3071" s="3" t="n">
        <v>3069</v>
      </c>
      <c r="C3071" s="3" t="n">
        <v>3</v>
      </c>
      <c r="D3071" s="3" t="n">
        <v>25</v>
      </c>
      <c r="E3071" s="3" t="n">
        <v>17</v>
      </c>
      <c r="F3071" s="24" t="n">
        <v>-0.0226645079</v>
      </c>
    </row>
    <row r="3072" customFormat="false" ht="15" hidden="false" customHeight="false" outlineLevel="0" collapsed="false">
      <c r="A3072" s="3" t="n">
        <v>3071</v>
      </c>
      <c r="B3072" s="3" t="n">
        <v>3070</v>
      </c>
      <c r="C3072" s="3" t="n">
        <v>3</v>
      </c>
      <c r="D3072" s="3" t="n">
        <v>25</v>
      </c>
      <c r="E3072" s="3" t="n">
        <v>18</v>
      </c>
      <c r="F3072" s="24" t="n">
        <v>-0.0226645079</v>
      </c>
    </row>
    <row r="3073" customFormat="false" ht="15" hidden="false" customHeight="false" outlineLevel="0" collapsed="false">
      <c r="A3073" s="3" t="n">
        <v>3072</v>
      </c>
      <c r="B3073" s="3" t="n">
        <v>3071</v>
      </c>
      <c r="C3073" s="3" t="n">
        <v>3</v>
      </c>
      <c r="D3073" s="3" t="n">
        <v>25</v>
      </c>
      <c r="E3073" s="3" t="n">
        <v>19</v>
      </c>
      <c r="F3073" s="24" t="n">
        <v>-0.0226645079</v>
      </c>
    </row>
    <row r="3074" customFormat="false" ht="15" hidden="false" customHeight="false" outlineLevel="0" collapsed="false">
      <c r="A3074" s="3" t="n">
        <v>3073</v>
      </c>
      <c r="B3074" s="3" t="n">
        <v>3072</v>
      </c>
      <c r="C3074" s="3" t="n">
        <v>3</v>
      </c>
      <c r="D3074" s="3" t="n">
        <v>25</v>
      </c>
      <c r="E3074" s="3" t="n">
        <v>20</v>
      </c>
      <c r="F3074" s="24" t="n">
        <v>-0.0226645079</v>
      </c>
    </row>
    <row r="3075" customFormat="false" ht="15" hidden="false" customHeight="false" outlineLevel="0" collapsed="false">
      <c r="A3075" s="3" t="n">
        <v>3074</v>
      </c>
      <c r="B3075" s="3" t="n">
        <v>3073</v>
      </c>
      <c r="C3075" s="3" t="n">
        <v>3</v>
      </c>
      <c r="D3075" s="3" t="n">
        <v>25</v>
      </c>
      <c r="E3075" s="3" t="n">
        <v>21</v>
      </c>
      <c r="F3075" s="24" t="n">
        <v>-0.0226645079</v>
      </c>
    </row>
    <row r="3076" customFormat="false" ht="15" hidden="false" customHeight="false" outlineLevel="0" collapsed="false">
      <c r="A3076" s="3" t="n">
        <v>3075</v>
      </c>
      <c r="B3076" s="3" t="n">
        <v>3074</v>
      </c>
      <c r="C3076" s="3" t="n">
        <v>3</v>
      </c>
      <c r="D3076" s="3" t="n">
        <v>25</v>
      </c>
      <c r="E3076" s="3" t="n">
        <v>22</v>
      </c>
      <c r="F3076" s="24" t="n">
        <v>-0.0226645079</v>
      </c>
    </row>
    <row r="3077" customFormat="false" ht="15" hidden="false" customHeight="false" outlineLevel="0" collapsed="false">
      <c r="A3077" s="3" t="n">
        <v>3076</v>
      </c>
      <c r="B3077" s="3" t="n">
        <v>3075</v>
      </c>
      <c r="C3077" s="3" t="n">
        <v>3</v>
      </c>
      <c r="D3077" s="3" t="n">
        <v>25</v>
      </c>
      <c r="E3077" s="3" t="n">
        <v>23</v>
      </c>
      <c r="F3077" s="24" t="n">
        <v>-0.0226645079</v>
      </c>
    </row>
    <row r="3078" customFormat="false" ht="15" hidden="false" customHeight="false" outlineLevel="0" collapsed="false">
      <c r="A3078" s="3" t="n">
        <v>3077</v>
      </c>
      <c r="B3078" s="3" t="n">
        <v>3076</v>
      </c>
      <c r="C3078" s="3" t="n">
        <v>3</v>
      </c>
      <c r="D3078" s="3" t="n">
        <v>25</v>
      </c>
      <c r="E3078" s="3" t="n">
        <v>24</v>
      </c>
      <c r="F3078" s="24" t="n">
        <v>-0.0226645079</v>
      </c>
    </row>
    <row r="3079" customFormat="false" ht="15" hidden="false" customHeight="false" outlineLevel="0" collapsed="false">
      <c r="A3079" s="3" t="n">
        <v>3078</v>
      </c>
      <c r="B3079" s="3" t="n">
        <v>3077</v>
      </c>
      <c r="C3079" s="3" t="n">
        <v>3</v>
      </c>
      <c r="D3079" s="3" t="n">
        <v>25</v>
      </c>
      <c r="E3079" s="3" t="n">
        <v>25</v>
      </c>
      <c r="F3079" s="24" t="n">
        <v>-0.0226645079</v>
      </c>
    </row>
    <row r="3080" customFormat="false" ht="15" hidden="false" customHeight="false" outlineLevel="0" collapsed="false">
      <c r="A3080" s="3" t="n">
        <v>3079</v>
      </c>
      <c r="B3080" s="3" t="n">
        <v>3078</v>
      </c>
      <c r="C3080" s="3" t="n">
        <v>3</v>
      </c>
      <c r="D3080" s="3" t="n">
        <v>25</v>
      </c>
      <c r="E3080" s="3" t="n">
        <v>26</v>
      </c>
      <c r="F3080" s="24" t="n">
        <v>-0.0226645079</v>
      </c>
    </row>
    <row r="3081" customFormat="false" ht="15" hidden="false" customHeight="false" outlineLevel="0" collapsed="false">
      <c r="A3081" s="3" t="n">
        <v>3080</v>
      </c>
      <c r="B3081" s="3" t="n">
        <v>3079</v>
      </c>
      <c r="C3081" s="3" t="n">
        <v>3</v>
      </c>
      <c r="D3081" s="3" t="n">
        <v>25</v>
      </c>
      <c r="E3081" s="3" t="n">
        <v>27</v>
      </c>
      <c r="F3081" s="24" t="n">
        <v>-0.00741321221</v>
      </c>
    </row>
    <row r="3082" customFormat="false" ht="15" hidden="false" customHeight="false" outlineLevel="0" collapsed="false">
      <c r="A3082" s="3" t="n">
        <v>3081</v>
      </c>
      <c r="B3082" s="3" t="n">
        <v>3080</v>
      </c>
      <c r="C3082" s="3" t="n">
        <v>3</v>
      </c>
      <c r="D3082" s="3" t="n">
        <v>26</v>
      </c>
      <c r="E3082" s="3" t="n">
        <v>0</v>
      </c>
      <c r="F3082" s="24" t="n">
        <v>0.0962923914</v>
      </c>
    </row>
    <row r="3083" customFormat="false" ht="15" hidden="false" customHeight="false" outlineLevel="0" collapsed="false">
      <c r="A3083" s="3" t="n">
        <v>3082</v>
      </c>
      <c r="B3083" s="3" t="n">
        <v>3081</v>
      </c>
      <c r="C3083" s="3" t="n">
        <v>3</v>
      </c>
      <c r="D3083" s="3" t="n">
        <v>26</v>
      </c>
      <c r="E3083" s="3" t="n">
        <v>1</v>
      </c>
      <c r="F3083" s="24" t="n">
        <v>-0.0226645079</v>
      </c>
    </row>
    <row r="3084" customFormat="false" ht="15" hidden="false" customHeight="false" outlineLevel="0" collapsed="false">
      <c r="A3084" s="3" t="n">
        <v>3083</v>
      </c>
      <c r="B3084" s="3" t="n">
        <v>3082</v>
      </c>
      <c r="C3084" s="3" t="n">
        <v>3</v>
      </c>
      <c r="D3084" s="3" t="n">
        <v>26</v>
      </c>
      <c r="E3084" s="3" t="n">
        <v>2</v>
      </c>
      <c r="F3084" s="24" t="n">
        <v>-0.0226645079</v>
      </c>
    </row>
    <row r="3085" customFormat="false" ht="15" hidden="false" customHeight="false" outlineLevel="0" collapsed="false">
      <c r="A3085" s="3" t="n">
        <v>3084</v>
      </c>
      <c r="B3085" s="3" t="n">
        <v>3083</v>
      </c>
      <c r="C3085" s="3" t="n">
        <v>3</v>
      </c>
      <c r="D3085" s="3" t="n">
        <v>26</v>
      </c>
      <c r="E3085" s="3" t="n">
        <v>3</v>
      </c>
      <c r="F3085" s="24" t="n">
        <v>-0.0226645079</v>
      </c>
    </row>
    <row r="3086" customFormat="false" ht="15" hidden="false" customHeight="false" outlineLevel="0" collapsed="false">
      <c r="A3086" s="3" t="n">
        <v>3085</v>
      </c>
      <c r="B3086" s="3" t="n">
        <v>3084</v>
      </c>
      <c r="C3086" s="3" t="n">
        <v>3</v>
      </c>
      <c r="D3086" s="3" t="n">
        <v>26</v>
      </c>
      <c r="E3086" s="3" t="n">
        <v>4</v>
      </c>
      <c r="F3086" s="24" t="n">
        <v>-0.0226645079</v>
      </c>
    </row>
    <row r="3087" customFormat="false" ht="15" hidden="false" customHeight="false" outlineLevel="0" collapsed="false">
      <c r="A3087" s="3" t="n">
        <v>3086</v>
      </c>
      <c r="B3087" s="3" t="n">
        <v>3085</v>
      </c>
      <c r="C3087" s="3" t="n">
        <v>3</v>
      </c>
      <c r="D3087" s="3" t="n">
        <v>26</v>
      </c>
      <c r="E3087" s="3" t="n">
        <v>5</v>
      </c>
      <c r="F3087" s="24" t="n">
        <v>-0.0226645079</v>
      </c>
    </row>
    <row r="3088" customFormat="false" ht="15" hidden="false" customHeight="false" outlineLevel="0" collapsed="false">
      <c r="A3088" s="3" t="n">
        <v>3087</v>
      </c>
      <c r="B3088" s="3" t="n">
        <v>3086</v>
      </c>
      <c r="C3088" s="3" t="n">
        <v>3</v>
      </c>
      <c r="D3088" s="3" t="n">
        <v>26</v>
      </c>
      <c r="E3088" s="3" t="n">
        <v>6</v>
      </c>
      <c r="F3088" s="24" t="n">
        <v>-0.0226645079</v>
      </c>
    </row>
    <row r="3089" customFormat="false" ht="15" hidden="false" customHeight="false" outlineLevel="0" collapsed="false">
      <c r="A3089" s="3" t="n">
        <v>3088</v>
      </c>
      <c r="B3089" s="3" t="n">
        <v>3087</v>
      </c>
      <c r="C3089" s="3" t="n">
        <v>3</v>
      </c>
      <c r="D3089" s="3" t="n">
        <v>26</v>
      </c>
      <c r="E3089" s="3" t="n">
        <v>7</v>
      </c>
      <c r="F3089" s="24" t="n">
        <v>-0.0226645079</v>
      </c>
    </row>
    <row r="3090" customFormat="false" ht="15" hidden="false" customHeight="false" outlineLevel="0" collapsed="false">
      <c r="A3090" s="3" t="n">
        <v>3089</v>
      </c>
      <c r="B3090" s="3" t="n">
        <v>3088</v>
      </c>
      <c r="C3090" s="3" t="n">
        <v>3</v>
      </c>
      <c r="D3090" s="3" t="n">
        <v>26</v>
      </c>
      <c r="E3090" s="3" t="n">
        <v>8</v>
      </c>
      <c r="F3090" s="24" t="n">
        <v>-0.0226645079</v>
      </c>
    </row>
    <row r="3091" customFormat="false" ht="15" hidden="false" customHeight="false" outlineLevel="0" collapsed="false">
      <c r="A3091" s="3" t="n">
        <v>3090</v>
      </c>
      <c r="B3091" s="3" t="n">
        <v>3089</v>
      </c>
      <c r="C3091" s="3" t="n">
        <v>3</v>
      </c>
      <c r="D3091" s="3" t="n">
        <v>26</v>
      </c>
      <c r="E3091" s="3" t="n">
        <v>9</v>
      </c>
      <c r="F3091" s="24" t="n">
        <v>-0.689637065</v>
      </c>
    </row>
    <row r="3092" customFormat="false" ht="15" hidden="false" customHeight="false" outlineLevel="0" collapsed="false">
      <c r="A3092" s="3" t="n">
        <v>3091</v>
      </c>
      <c r="B3092" s="3" t="n">
        <v>3090</v>
      </c>
      <c r="C3092" s="3" t="n">
        <v>3</v>
      </c>
      <c r="D3092" s="3" t="n">
        <v>26</v>
      </c>
      <c r="E3092" s="3" t="n">
        <v>10</v>
      </c>
      <c r="F3092" s="24" t="n">
        <v>-2.43639636</v>
      </c>
    </row>
    <row r="3093" customFormat="false" ht="15" hidden="false" customHeight="false" outlineLevel="0" collapsed="false">
      <c r="A3093" s="3" t="n">
        <v>3092</v>
      </c>
      <c r="B3093" s="3" t="n">
        <v>3091</v>
      </c>
      <c r="C3093" s="3" t="n">
        <v>3</v>
      </c>
      <c r="D3093" s="3" t="n">
        <v>26</v>
      </c>
      <c r="E3093" s="3" t="n">
        <v>11</v>
      </c>
      <c r="F3093" s="24" t="n">
        <v>-3.65882301</v>
      </c>
    </row>
    <row r="3094" customFormat="false" ht="15" hidden="false" customHeight="false" outlineLevel="0" collapsed="false">
      <c r="A3094" s="3" t="n">
        <v>3093</v>
      </c>
      <c r="B3094" s="3" t="n">
        <v>3092</v>
      </c>
      <c r="C3094" s="3" t="n">
        <v>3</v>
      </c>
      <c r="D3094" s="3" t="n">
        <v>26</v>
      </c>
      <c r="E3094" s="3" t="n">
        <v>12</v>
      </c>
      <c r="F3094" s="24" t="n">
        <v>-4.02886868</v>
      </c>
    </row>
    <row r="3095" customFormat="false" ht="15" hidden="false" customHeight="false" outlineLevel="0" collapsed="false">
      <c r="A3095" s="3" t="n">
        <v>3094</v>
      </c>
      <c r="B3095" s="3" t="n">
        <v>3093</v>
      </c>
      <c r="C3095" s="3" t="n">
        <v>3</v>
      </c>
      <c r="D3095" s="3" t="n">
        <v>26</v>
      </c>
      <c r="E3095" s="3" t="n">
        <v>13</v>
      </c>
      <c r="F3095" s="24" t="n">
        <v>-2.21270847</v>
      </c>
    </row>
    <row r="3096" customFormat="false" ht="15" hidden="false" customHeight="false" outlineLevel="0" collapsed="false">
      <c r="A3096" s="3" t="n">
        <v>3095</v>
      </c>
      <c r="B3096" s="3" t="n">
        <v>3094</v>
      </c>
      <c r="C3096" s="3" t="n">
        <v>3</v>
      </c>
      <c r="D3096" s="3" t="n">
        <v>26</v>
      </c>
      <c r="E3096" s="3" t="n">
        <v>14</v>
      </c>
      <c r="F3096" s="24" t="n">
        <v>-1.37244964</v>
      </c>
    </row>
    <row r="3097" customFormat="false" ht="15" hidden="false" customHeight="false" outlineLevel="0" collapsed="false">
      <c r="A3097" s="3" t="n">
        <v>3096</v>
      </c>
      <c r="B3097" s="3" t="n">
        <v>3095</v>
      </c>
      <c r="C3097" s="3" t="n">
        <v>3</v>
      </c>
      <c r="D3097" s="3" t="n">
        <v>26</v>
      </c>
      <c r="E3097" s="3" t="n">
        <v>15</v>
      </c>
      <c r="F3097" s="24" t="n">
        <v>-0.232169941</v>
      </c>
    </row>
    <row r="3098" customFormat="false" ht="15" hidden="false" customHeight="false" outlineLevel="0" collapsed="false">
      <c r="A3098" s="3" t="n">
        <v>3097</v>
      </c>
      <c r="B3098" s="3" t="n">
        <v>3096</v>
      </c>
      <c r="C3098" s="3" t="n">
        <v>3</v>
      </c>
      <c r="D3098" s="3" t="n">
        <v>26</v>
      </c>
      <c r="E3098" s="3" t="n">
        <v>16</v>
      </c>
      <c r="F3098" s="24" t="n">
        <v>-0.0226645079</v>
      </c>
    </row>
    <row r="3099" customFormat="false" ht="15" hidden="false" customHeight="false" outlineLevel="0" collapsed="false">
      <c r="A3099" s="3" t="n">
        <v>3098</v>
      </c>
      <c r="B3099" s="3" t="n">
        <v>3097</v>
      </c>
      <c r="C3099" s="3" t="n">
        <v>3</v>
      </c>
      <c r="D3099" s="3" t="n">
        <v>26</v>
      </c>
      <c r="E3099" s="3" t="n">
        <v>17</v>
      </c>
      <c r="F3099" s="24" t="n">
        <v>-0.0226645079</v>
      </c>
    </row>
    <row r="3100" customFormat="false" ht="15" hidden="false" customHeight="false" outlineLevel="0" collapsed="false">
      <c r="A3100" s="3" t="n">
        <v>3099</v>
      </c>
      <c r="B3100" s="3" t="n">
        <v>3098</v>
      </c>
      <c r="C3100" s="3" t="n">
        <v>3</v>
      </c>
      <c r="D3100" s="3" t="n">
        <v>26</v>
      </c>
      <c r="E3100" s="3" t="n">
        <v>18</v>
      </c>
      <c r="F3100" s="24" t="n">
        <v>-0.0226645079</v>
      </c>
    </row>
    <row r="3101" customFormat="false" ht="15" hidden="false" customHeight="false" outlineLevel="0" collapsed="false">
      <c r="A3101" s="3" t="n">
        <v>3100</v>
      </c>
      <c r="B3101" s="3" t="n">
        <v>3099</v>
      </c>
      <c r="C3101" s="3" t="n">
        <v>3</v>
      </c>
      <c r="D3101" s="3" t="n">
        <v>26</v>
      </c>
      <c r="E3101" s="3" t="n">
        <v>19</v>
      </c>
      <c r="F3101" s="24" t="n">
        <v>-0.0226645079</v>
      </c>
    </row>
    <row r="3102" customFormat="false" ht="15" hidden="false" customHeight="false" outlineLevel="0" collapsed="false">
      <c r="A3102" s="3" t="n">
        <v>3101</v>
      </c>
      <c r="B3102" s="3" t="n">
        <v>3100</v>
      </c>
      <c r="C3102" s="3" t="n">
        <v>3</v>
      </c>
      <c r="D3102" s="3" t="n">
        <v>26</v>
      </c>
      <c r="E3102" s="3" t="n">
        <v>20</v>
      </c>
      <c r="F3102" s="24" t="n">
        <v>-0.0226645079</v>
      </c>
    </row>
    <row r="3103" customFormat="false" ht="15" hidden="false" customHeight="false" outlineLevel="0" collapsed="false">
      <c r="A3103" s="3" t="n">
        <v>3102</v>
      </c>
      <c r="B3103" s="3" t="n">
        <v>3101</v>
      </c>
      <c r="C3103" s="3" t="n">
        <v>3</v>
      </c>
      <c r="D3103" s="3" t="n">
        <v>26</v>
      </c>
      <c r="E3103" s="3" t="n">
        <v>21</v>
      </c>
      <c r="F3103" s="24" t="n">
        <v>-0.0226645079</v>
      </c>
    </row>
    <row r="3104" customFormat="false" ht="15" hidden="false" customHeight="false" outlineLevel="0" collapsed="false">
      <c r="A3104" s="3" t="n">
        <v>3103</v>
      </c>
      <c r="B3104" s="3" t="n">
        <v>3102</v>
      </c>
      <c r="C3104" s="3" t="n">
        <v>3</v>
      </c>
      <c r="D3104" s="3" t="n">
        <v>26</v>
      </c>
      <c r="E3104" s="3" t="n">
        <v>22</v>
      </c>
      <c r="F3104" s="24" t="n">
        <v>-0.0226645079</v>
      </c>
    </row>
    <row r="3105" customFormat="false" ht="15" hidden="false" customHeight="false" outlineLevel="0" collapsed="false">
      <c r="A3105" s="3" t="n">
        <v>3104</v>
      </c>
      <c r="B3105" s="3" t="n">
        <v>3103</v>
      </c>
      <c r="C3105" s="3" t="n">
        <v>3</v>
      </c>
      <c r="D3105" s="3" t="n">
        <v>26</v>
      </c>
      <c r="E3105" s="3" t="n">
        <v>23</v>
      </c>
      <c r="F3105" s="24" t="n">
        <v>-0.0226645079</v>
      </c>
    </row>
    <row r="3106" customFormat="false" ht="15" hidden="false" customHeight="false" outlineLevel="0" collapsed="false">
      <c r="A3106" s="3" t="n">
        <v>3105</v>
      </c>
      <c r="B3106" s="3" t="n">
        <v>3104</v>
      </c>
      <c r="C3106" s="3" t="n">
        <v>3</v>
      </c>
      <c r="D3106" s="3" t="n">
        <v>26</v>
      </c>
      <c r="E3106" s="3" t="n">
        <v>24</v>
      </c>
      <c r="F3106" s="24" t="n">
        <v>-0.0226645079</v>
      </c>
    </row>
    <row r="3107" customFormat="false" ht="15" hidden="false" customHeight="false" outlineLevel="0" collapsed="false">
      <c r="A3107" s="3" t="n">
        <v>3106</v>
      </c>
      <c r="B3107" s="3" t="n">
        <v>3105</v>
      </c>
      <c r="C3107" s="3" t="n">
        <v>3</v>
      </c>
      <c r="D3107" s="3" t="n">
        <v>26</v>
      </c>
      <c r="E3107" s="3" t="n">
        <v>25</v>
      </c>
      <c r="F3107" s="24" t="n">
        <v>-0.0226645079</v>
      </c>
    </row>
    <row r="3108" customFormat="false" ht="15" hidden="false" customHeight="false" outlineLevel="0" collapsed="false">
      <c r="A3108" s="3" t="n">
        <v>3107</v>
      </c>
      <c r="B3108" s="3" t="n">
        <v>3106</v>
      </c>
      <c r="C3108" s="3" t="n">
        <v>3</v>
      </c>
      <c r="D3108" s="3" t="n">
        <v>26</v>
      </c>
      <c r="E3108" s="3" t="n">
        <v>26</v>
      </c>
      <c r="F3108" s="24" t="n">
        <v>-0.0226645079</v>
      </c>
    </row>
    <row r="3109" customFormat="false" ht="15" hidden="false" customHeight="false" outlineLevel="0" collapsed="false">
      <c r="A3109" s="3" t="n">
        <v>3108</v>
      </c>
      <c r="B3109" s="3" t="n">
        <v>3107</v>
      </c>
      <c r="C3109" s="3" t="n">
        <v>3</v>
      </c>
      <c r="D3109" s="3" t="n">
        <v>26</v>
      </c>
      <c r="E3109" s="3" t="n">
        <v>27</v>
      </c>
      <c r="F3109" s="24" t="n">
        <v>-0.00741321221</v>
      </c>
    </row>
    <row r="3110" customFormat="false" ht="15" hidden="false" customHeight="false" outlineLevel="0" collapsed="false">
      <c r="A3110" s="3" t="n">
        <v>3109</v>
      </c>
      <c r="B3110" s="3" t="n">
        <v>3108</v>
      </c>
      <c r="C3110" s="3" t="n">
        <v>3</v>
      </c>
      <c r="D3110" s="3" t="n">
        <v>27</v>
      </c>
      <c r="E3110" s="3" t="n">
        <v>0</v>
      </c>
      <c r="F3110" s="24" t="n">
        <v>0.428851575</v>
      </c>
    </row>
    <row r="3111" customFormat="false" ht="15" hidden="false" customHeight="false" outlineLevel="0" collapsed="false">
      <c r="A3111" s="3" t="n">
        <v>3110</v>
      </c>
      <c r="B3111" s="3" t="n">
        <v>3109</v>
      </c>
      <c r="C3111" s="3" t="n">
        <v>3</v>
      </c>
      <c r="D3111" s="3" t="n">
        <v>27</v>
      </c>
      <c r="E3111" s="3" t="n">
        <v>1</v>
      </c>
      <c r="F3111" s="24" t="n">
        <v>0.399228364</v>
      </c>
    </row>
    <row r="3112" customFormat="false" ht="15" hidden="false" customHeight="false" outlineLevel="0" collapsed="false">
      <c r="A3112" s="3" t="n">
        <v>3111</v>
      </c>
      <c r="B3112" s="3" t="n">
        <v>3110</v>
      </c>
      <c r="C3112" s="3" t="n">
        <v>3</v>
      </c>
      <c r="D3112" s="3" t="n">
        <v>27</v>
      </c>
      <c r="E3112" s="3" t="n">
        <v>2</v>
      </c>
      <c r="F3112" s="24" t="n">
        <v>0.399228364</v>
      </c>
    </row>
    <row r="3113" customFormat="false" ht="15" hidden="false" customHeight="false" outlineLevel="0" collapsed="false">
      <c r="A3113" s="3" t="n">
        <v>3112</v>
      </c>
      <c r="B3113" s="3" t="n">
        <v>3111</v>
      </c>
      <c r="C3113" s="3" t="n">
        <v>3</v>
      </c>
      <c r="D3113" s="3" t="n">
        <v>27</v>
      </c>
      <c r="E3113" s="3" t="n">
        <v>3</v>
      </c>
      <c r="F3113" s="24" t="n">
        <v>0.399228364</v>
      </c>
    </row>
    <row r="3114" customFormat="false" ht="15" hidden="false" customHeight="false" outlineLevel="0" collapsed="false">
      <c r="A3114" s="3" t="n">
        <v>3113</v>
      </c>
      <c r="B3114" s="3" t="n">
        <v>3112</v>
      </c>
      <c r="C3114" s="3" t="n">
        <v>3</v>
      </c>
      <c r="D3114" s="3" t="n">
        <v>27</v>
      </c>
      <c r="E3114" s="3" t="n">
        <v>4</v>
      </c>
      <c r="F3114" s="24" t="n">
        <v>0.399228364</v>
      </c>
    </row>
    <row r="3115" customFormat="false" ht="15" hidden="false" customHeight="false" outlineLevel="0" collapsed="false">
      <c r="A3115" s="3" t="n">
        <v>3114</v>
      </c>
      <c r="B3115" s="3" t="n">
        <v>3113</v>
      </c>
      <c r="C3115" s="3" t="n">
        <v>3</v>
      </c>
      <c r="D3115" s="3" t="n">
        <v>27</v>
      </c>
      <c r="E3115" s="3" t="n">
        <v>5</v>
      </c>
      <c r="F3115" s="24" t="n">
        <v>0.399228364</v>
      </c>
    </row>
    <row r="3116" customFormat="false" ht="15" hidden="false" customHeight="false" outlineLevel="0" collapsed="false">
      <c r="A3116" s="3" t="n">
        <v>3115</v>
      </c>
      <c r="B3116" s="3" t="n">
        <v>3114</v>
      </c>
      <c r="C3116" s="3" t="n">
        <v>3</v>
      </c>
      <c r="D3116" s="3" t="n">
        <v>27</v>
      </c>
      <c r="E3116" s="3" t="n">
        <v>6</v>
      </c>
      <c r="F3116" s="24" t="n">
        <v>0.399228364</v>
      </c>
    </row>
    <row r="3117" customFormat="false" ht="15" hidden="false" customHeight="false" outlineLevel="0" collapsed="false">
      <c r="A3117" s="3" t="n">
        <v>3116</v>
      </c>
      <c r="B3117" s="3" t="n">
        <v>3115</v>
      </c>
      <c r="C3117" s="3" t="n">
        <v>3</v>
      </c>
      <c r="D3117" s="3" t="n">
        <v>27</v>
      </c>
      <c r="E3117" s="3" t="n">
        <v>7</v>
      </c>
      <c r="F3117" s="24" t="n">
        <v>0.399228364</v>
      </c>
    </row>
    <row r="3118" customFormat="false" ht="15" hidden="false" customHeight="false" outlineLevel="0" collapsed="false">
      <c r="A3118" s="3" t="n">
        <v>3117</v>
      </c>
      <c r="B3118" s="3" t="n">
        <v>3116</v>
      </c>
      <c r="C3118" s="3" t="n">
        <v>3</v>
      </c>
      <c r="D3118" s="3" t="n">
        <v>27</v>
      </c>
      <c r="E3118" s="3" t="n">
        <v>8</v>
      </c>
      <c r="F3118" s="24" t="n">
        <v>0.399228364</v>
      </c>
    </row>
    <row r="3119" customFormat="false" ht="15" hidden="false" customHeight="false" outlineLevel="0" collapsed="false">
      <c r="A3119" s="3" t="n">
        <v>3118</v>
      </c>
      <c r="B3119" s="3" t="n">
        <v>3117</v>
      </c>
      <c r="C3119" s="3" t="n">
        <v>3</v>
      </c>
      <c r="D3119" s="3" t="n">
        <v>27</v>
      </c>
      <c r="E3119" s="3" t="n">
        <v>9</v>
      </c>
      <c r="F3119" s="24" t="n">
        <v>-0.82333529</v>
      </c>
    </row>
    <row r="3120" customFormat="false" ht="15" hidden="false" customHeight="false" outlineLevel="0" collapsed="false">
      <c r="A3120" s="3" t="n">
        <v>3119</v>
      </c>
      <c r="B3120" s="3" t="n">
        <v>3118</v>
      </c>
      <c r="C3120" s="3" t="n">
        <v>3</v>
      </c>
      <c r="D3120" s="3" t="n">
        <v>27</v>
      </c>
      <c r="E3120" s="3" t="n">
        <v>10</v>
      </c>
      <c r="F3120" s="24" t="n">
        <v>-3.11402678</v>
      </c>
    </row>
    <row r="3121" customFormat="false" ht="15" hidden="false" customHeight="false" outlineLevel="0" collapsed="false">
      <c r="A3121" s="3" t="n">
        <v>3120</v>
      </c>
      <c r="B3121" s="3" t="n">
        <v>3119</v>
      </c>
      <c r="C3121" s="3" t="n">
        <v>3</v>
      </c>
      <c r="D3121" s="3" t="n">
        <v>27</v>
      </c>
      <c r="E3121" s="3" t="n">
        <v>11</v>
      </c>
      <c r="F3121" s="24" t="n">
        <v>-4.3136878</v>
      </c>
    </row>
    <row r="3122" customFormat="false" ht="15" hidden="false" customHeight="false" outlineLevel="0" collapsed="false">
      <c r="A3122" s="3" t="n">
        <v>3121</v>
      </c>
      <c r="B3122" s="3" t="n">
        <v>3120</v>
      </c>
      <c r="C3122" s="3" t="n">
        <v>3</v>
      </c>
      <c r="D3122" s="3" t="n">
        <v>27</v>
      </c>
      <c r="E3122" s="3" t="n">
        <v>12</v>
      </c>
      <c r="F3122" s="24" t="n">
        <v>-2.73287249</v>
      </c>
    </row>
    <row r="3123" customFormat="false" ht="15" hidden="false" customHeight="false" outlineLevel="0" collapsed="false">
      <c r="A3123" s="3" t="n">
        <v>3122</v>
      </c>
      <c r="B3123" s="3" t="n">
        <v>3121</v>
      </c>
      <c r="C3123" s="3" t="n">
        <v>3</v>
      </c>
      <c r="D3123" s="3" t="n">
        <v>27</v>
      </c>
      <c r="E3123" s="3" t="n">
        <v>13</v>
      </c>
      <c r="F3123" s="24" t="n">
        <v>-0.825821102</v>
      </c>
    </row>
    <row r="3124" customFormat="false" ht="15" hidden="false" customHeight="false" outlineLevel="0" collapsed="false">
      <c r="A3124" s="3" t="n">
        <v>3123</v>
      </c>
      <c r="B3124" s="3" t="n">
        <v>3122</v>
      </c>
      <c r="C3124" s="3" t="n">
        <v>3</v>
      </c>
      <c r="D3124" s="3" t="n">
        <v>27</v>
      </c>
      <c r="E3124" s="3" t="n">
        <v>14</v>
      </c>
      <c r="F3124" s="24" t="n">
        <v>0.304950893</v>
      </c>
    </row>
    <row r="3125" customFormat="false" ht="15" hidden="false" customHeight="false" outlineLevel="0" collapsed="false">
      <c r="A3125" s="3" t="n">
        <v>3124</v>
      </c>
      <c r="B3125" s="3" t="n">
        <v>3123</v>
      </c>
      <c r="C3125" s="3" t="n">
        <v>3</v>
      </c>
      <c r="D3125" s="3" t="n">
        <v>27</v>
      </c>
      <c r="E3125" s="3" t="n">
        <v>15</v>
      </c>
      <c r="F3125" s="24" t="n">
        <v>0.399228364</v>
      </c>
    </row>
    <row r="3126" customFormat="false" ht="15" hidden="false" customHeight="false" outlineLevel="0" collapsed="false">
      <c r="A3126" s="3" t="n">
        <v>3125</v>
      </c>
      <c r="B3126" s="3" t="n">
        <v>3124</v>
      </c>
      <c r="C3126" s="3" t="n">
        <v>3</v>
      </c>
      <c r="D3126" s="3" t="n">
        <v>27</v>
      </c>
      <c r="E3126" s="3" t="n">
        <v>16</v>
      </c>
      <c r="F3126" s="24" t="n">
        <v>0.399228364</v>
      </c>
    </row>
    <row r="3127" customFormat="false" ht="15" hidden="false" customHeight="false" outlineLevel="0" collapsed="false">
      <c r="A3127" s="3" t="n">
        <v>3126</v>
      </c>
      <c r="B3127" s="3" t="n">
        <v>3125</v>
      </c>
      <c r="C3127" s="3" t="n">
        <v>3</v>
      </c>
      <c r="D3127" s="3" t="n">
        <v>27</v>
      </c>
      <c r="E3127" s="3" t="n">
        <v>17</v>
      </c>
      <c r="F3127" s="24" t="n">
        <v>0.399228364</v>
      </c>
    </row>
    <row r="3128" customFormat="false" ht="15" hidden="false" customHeight="false" outlineLevel="0" collapsed="false">
      <c r="A3128" s="3" t="n">
        <v>3127</v>
      </c>
      <c r="B3128" s="3" t="n">
        <v>3126</v>
      </c>
      <c r="C3128" s="3" t="n">
        <v>3</v>
      </c>
      <c r="D3128" s="3" t="n">
        <v>27</v>
      </c>
      <c r="E3128" s="3" t="n">
        <v>18</v>
      </c>
      <c r="F3128" s="24" t="n">
        <v>0.399228364</v>
      </c>
    </row>
    <row r="3129" customFormat="false" ht="15" hidden="false" customHeight="false" outlineLevel="0" collapsed="false">
      <c r="A3129" s="3" t="n">
        <v>3128</v>
      </c>
      <c r="B3129" s="3" t="n">
        <v>3127</v>
      </c>
      <c r="C3129" s="3" t="n">
        <v>3</v>
      </c>
      <c r="D3129" s="3" t="n">
        <v>27</v>
      </c>
      <c r="E3129" s="3" t="n">
        <v>19</v>
      </c>
      <c r="F3129" s="24" t="n">
        <v>0.399228364</v>
      </c>
    </row>
    <row r="3130" customFormat="false" ht="15" hidden="false" customHeight="false" outlineLevel="0" collapsed="false">
      <c r="A3130" s="3" t="n">
        <v>3129</v>
      </c>
      <c r="B3130" s="3" t="n">
        <v>3128</v>
      </c>
      <c r="C3130" s="3" t="n">
        <v>3</v>
      </c>
      <c r="D3130" s="3" t="n">
        <v>27</v>
      </c>
      <c r="E3130" s="3" t="n">
        <v>20</v>
      </c>
      <c r="F3130" s="24" t="n">
        <v>0.399228364</v>
      </c>
    </row>
    <row r="3131" customFormat="false" ht="15" hidden="false" customHeight="false" outlineLevel="0" collapsed="false">
      <c r="A3131" s="3" t="n">
        <v>3130</v>
      </c>
      <c r="B3131" s="3" t="n">
        <v>3129</v>
      </c>
      <c r="C3131" s="3" t="n">
        <v>3</v>
      </c>
      <c r="D3131" s="3" t="n">
        <v>27</v>
      </c>
      <c r="E3131" s="3" t="n">
        <v>21</v>
      </c>
      <c r="F3131" s="24" t="n">
        <v>0.399228364</v>
      </c>
    </row>
    <row r="3132" customFormat="false" ht="15" hidden="false" customHeight="false" outlineLevel="0" collapsed="false">
      <c r="A3132" s="3" t="n">
        <v>3131</v>
      </c>
      <c r="B3132" s="3" t="n">
        <v>3130</v>
      </c>
      <c r="C3132" s="3" t="n">
        <v>3</v>
      </c>
      <c r="D3132" s="3" t="n">
        <v>27</v>
      </c>
      <c r="E3132" s="3" t="n">
        <v>22</v>
      </c>
      <c r="F3132" s="24" t="n">
        <v>0.399228364</v>
      </c>
    </row>
    <row r="3133" customFormat="false" ht="15" hidden="false" customHeight="false" outlineLevel="0" collapsed="false">
      <c r="A3133" s="3" t="n">
        <v>3132</v>
      </c>
      <c r="B3133" s="3" t="n">
        <v>3131</v>
      </c>
      <c r="C3133" s="3" t="n">
        <v>3</v>
      </c>
      <c r="D3133" s="3" t="n">
        <v>27</v>
      </c>
      <c r="E3133" s="3" t="n">
        <v>23</v>
      </c>
      <c r="F3133" s="24" t="n">
        <v>0.399228364</v>
      </c>
    </row>
    <row r="3134" customFormat="false" ht="15" hidden="false" customHeight="false" outlineLevel="0" collapsed="false">
      <c r="A3134" s="3" t="n">
        <v>3133</v>
      </c>
      <c r="B3134" s="3" t="n">
        <v>3132</v>
      </c>
      <c r="C3134" s="3" t="n">
        <v>3</v>
      </c>
      <c r="D3134" s="3" t="n">
        <v>27</v>
      </c>
      <c r="E3134" s="3" t="n">
        <v>24</v>
      </c>
      <c r="F3134" s="24" t="n">
        <v>0.399228364</v>
      </c>
    </row>
    <row r="3135" customFormat="false" ht="15" hidden="false" customHeight="false" outlineLevel="0" collapsed="false">
      <c r="A3135" s="3" t="n">
        <v>3134</v>
      </c>
      <c r="B3135" s="3" t="n">
        <v>3133</v>
      </c>
      <c r="C3135" s="3" t="n">
        <v>3</v>
      </c>
      <c r="D3135" s="3" t="n">
        <v>27</v>
      </c>
      <c r="E3135" s="3" t="n">
        <v>25</v>
      </c>
      <c r="F3135" s="24" t="n">
        <v>0.399228364</v>
      </c>
    </row>
    <row r="3136" customFormat="false" ht="15" hidden="false" customHeight="false" outlineLevel="0" collapsed="false">
      <c r="A3136" s="3" t="n">
        <v>3135</v>
      </c>
      <c r="B3136" s="3" t="n">
        <v>3134</v>
      </c>
      <c r="C3136" s="3" t="n">
        <v>3</v>
      </c>
      <c r="D3136" s="3" t="n">
        <v>27</v>
      </c>
      <c r="E3136" s="3" t="n">
        <v>26</v>
      </c>
      <c r="F3136" s="24" t="n">
        <v>0.399228364</v>
      </c>
    </row>
    <row r="3137" customFormat="false" ht="15" hidden="false" customHeight="false" outlineLevel="0" collapsed="false">
      <c r="A3137" s="3" t="n">
        <v>3136</v>
      </c>
      <c r="B3137" s="3" t="n">
        <v>3135</v>
      </c>
      <c r="C3137" s="3" t="n">
        <v>3</v>
      </c>
      <c r="D3137" s="3" t="n">
        <v>27</v>
      </c>
      <c r="E3137" s="3" t="n">
        <v>27</v>
      </c>
      <c r="F3137" s="24" t="n">
        <v>0.215516016</v>
      </c>
    </row>
    <row r="3138" customFormat="false" ht="15" hidden="false" customHeight="false" outlineLevel="0" collapsed="false">
      <c r="A3138" s="3" t="n">
        <v>3137</v>
      </c>
      <c r="B3138" s="3" t="n">
        <v>3136</v>
      </c>
      <c r="C3138" s="3" t="n">
        <v>4</v>
      </c>
      <c r="D3138" s="3" t="n">
        <v>0</v>
      </c>
      <c r="E3138" s="3" t="n">
        <v>0</v>
      </c>
      <c r="F3138" s="24" t="n">
        <v>-0.31531921</v>
      </c>
    </row>
    <row r="3139" customFormat="false" ht="15" hidden="false" customHeight="false" outlineLevel="0" collapsed="false">
      <c r="A3139" s="3" t="n">
        <v>3138</v>
      </c>
      <c r="B3139" s="3" t="n">
        <v>3137</v>
      </c>
      <c r="C3139" s="3" t="n">
        <v>4</v>
      </c>
      <c r="D3139" s="3" t="n">
        <v>0</v>
      </c>
      <c r="E3139" s="3" t="n">
        <v>1</v>
      </c>
      <c r="F3139" s="24" t="n">
        <v>-0.328362256</v>
      </c>
    </row>
    <row r="3140" customFormat="false" ht="15" hidden="false" customHeight="false" outlineLevel="0" collapsed="false">
      <c r="A3140" s="3" t="n">
        <v>3139</v>
      </c>
      <c r="B3140" s="3" t="n">
        <v>3138</v>
      </c>
      <c r="C3140" s="3" t="n">
        <v>4</v>
      </c>
      <c r="D3140" s="3" t="n">
        <v>0</v>
      </c>
      <c r="E3140" s="3" t="n">
        <v>2</v>
      </c>
      <c r="F3140" s="24" t="n">
        <v>-0.328362256</v>
      </c>
    </row>
    <row r="3141" customFormat="false" ht="15" hidden="false" customHeight="false" outlineLevel="0" collapsed="false">
      <c r="A3141" s="3" t="n">
        <v>3140</v>
      </c>
      <c r="B3141" s="3" t="n">
        <v>3139</v>
      </c>
      <c r="C3141" s="3" t="n">
        <v>4</v>
      </c>
      <c r="D3141" s="3" t="n">
        <v>0</v>
      </c>
      <c r="E3141" s="3" t="n">
        <v>3</v>
      </c>
      <c r="F3141" s="24" t="n">
        <v>-0.328362256</v>
      </c>
    </row>
    <row r="3142" customFormat="false" ht="15" hidden="false" customHeight="false" outlineLevel="0" collapsed="false">
      <c r="A3142" s="3" t="n">
        <v>3141</v>
      </c>
      <c r="B3142" s="3" t="n">
        <v>3140</v>
      </c>
      <c r="C3142" s="3" t="n">
        <v>4</v>
      </c>
      <c r="D3142" s="3" t="n">
        <v>0</v>
      </c>
      <c r="E3142" s="3" t="n">
        <v>4</v>
      </c>
      <c r="F3142" s="24" t="n">
        <v>-0.328362256</v>
      </c>
    </row>
    <row r="3143" customFormat="false" ht="15" hidden="false" customHeight="false" outlineLevel="0" collapsed="false">
      <c r="A3143" s="3" t="n">
        <v>3142</v>
      </c>
      <c r="B3143" s="3" t="n">
        <v>3141</v>
      </c>
      <c r="C3143" s="3" t="n">
        <v>4</v>
      </c>
      <c r="D3143" s="3" t="n">
        <v>0</v>
      </c>
      <c r="E3143" s="3" t="n">
        <v>5</v>
      </c>
      <c r="F3143" s="24" t="n">
        <v>-0.328362256</v>
      </c>
    </row>
    <row r="3144" customFormat="false" ht="15" hidden="false" customHeight="false" outlineLevel="0" collapsed="false">
      <c r="A3144" s="3" t="n">
        <v>3143</v>
      </c>
      <c r="B3144" s="3" t="n">
        <v>3142</v>
      </c>
      <c r="C3144" s="3" t="n">
        <v>4</v>
      </c>
      <c r="D3144" s="3" t="n">
        <v>0</v>
      </c>
      <c r="E3144" s="3" t="n">
        <v>6</v>
      </c>
      <c r="F3144" s="24" t="n">
        <v>-0.328362256</v>
      </c>
    </row>
    <row r="3145" customFormat="false" ht="15" hidden="false" customHeight="false" outlineLevel="0" collapsed="false">
      <c r="A3145" s="3" t="n">
        <v>3144</v>
      </c>
      <c r="B3145" s="3" t="n">
        <v>3143</v>
      </c>
      <c r="C3145" s="3" t="n">
        <v>4</v>
      </c>
      <c r="D3145" s="3" t="n">
        <v>0</v>
      </c>
      <c r="E3145" s="3" t="n">
        <v>7</v>
      </c>
      <c r="F3145" s="24" t="n">
        <v>-0.328362256</v>
      </c>
    </row>
    <row r="3146" customFormat="false" ht="15" hidden="false" customHeight="false" outlineLevel="0" collapsed="false">
      <c r="A3146" s="3" t="n">
        <v>3145</v>
      </c>
      <c r="B3146" s="3" t="n">
        <v>3144</v>
      </c>
      <c r="C3146" s="3" t="n">
        <v>4</v>
      </c>
      <c r="D3146" s="3" t="n">
        <v>0</v>
      </c>
      <c r="E3146" s="3" t="n">
        <v>8</v>
      </c>
      <c r="F3146" s="24" t="n">
        <v>-0.328362256</v>
      </c>
    </row>
    <row r="3147" customFormat="false" ht="15" hidden="false" customHeight="false" outlineLevel="0" collapsed="false">
      <c r="A3147" s="3" t="n">
        <v>3146</v>
      </c>
      <c r="B3147" s="3" t="n">
        <v>3145</v>
      </c>
      <c r="C3147" s="3" t="n">
        <v>4</v>
      </c>
      <c r="D3147" s="3" t="n">
        <v>0</v>
      </c>
      <c r="E3147" s="3" t="n">
        <v>9</v>
      </c>
      <c r="F3147" s="24" t="n">
        <v>-0.328362256</v>
      </c>
    </row>
    <row r="3148" customFormat="false" ht="15" hidden="false" customHeight="false" outlineLevel="0" collapsed="false">
      <c r="A3148" s="3" t="n">
        <v>3147</v>
      </c>
      <c r="B3148" s="3" t="n">
        <v>3146</v>
      </c>
      <c r="C3148" s="3" t="n">
        <v>4</v>
      </c>
      <c r="D3148" s="3" t="n">
        <v>0</v>
      </c>
      <c r="E3148" s="3" t="n">
        <v>10</v>
      </c>
      <c r="F3148" s="24" t="n">
        <v>-0.328362256</v>
      </c>
    </row>
    <row r="3149" customFormat="false" ht="15" hidden="false" customHeight="false" outlineLevel="0" collapsed="false">
      <c r="A3149" s="3" t="n">
        <v>3148</v>
      </c>
      <c r="B3149" s="3" t="n">
        <v>3147</v>
      </c>
      <c r="C3149" s="3" t="n">
        <v>4</v>
      </c>
      <c r="D3149" s="3" t="n">
        <v>0</v>
      </c>
      <c r="E3149" s="3" t="n">
        <v>11</v>
      </c>
      <c r="F3149" s="24" t="n">
        <v>-0.328362256</v>
      </c>
    </row>
    <row r="3150" customFormat="false" ht="15" hidden="false" customHeight="false" outlineLevel="0" collapsed="false">
      <c r="A3150" s="3" t="n">
        <v>3149</v>
      </c>
      <c r="B3150" s="3" t="n">
        <v>3148</v>
      </c>
      <c r="C3150" s="3" t="n">
        <v>4</v>
      </c>
      <c r="D3150" s="3" t="n">
        <v>0</v>
      </c>
      <c r="E3150" s="3" t="n">
        <v>12</v>
      </c>
      <c r="F3150" s="24" t="n">
        <v>-0.328362256</v>
      </c>
    </row>
    <row r="3151" customFormat="false" ht="15" hidden="false" customHeight="false" outlineLevel="0" collapsed="false">
      <c r="A3151" s="3" t="n">
        <v>3150</v>
      </c>
      <c r="B3151" s="3" t="n">
        <v>3149</v>
      </c>
      <c r="C3151" s="3" t="n">
        <v>4</v>
      </c>
      <c r="D3151" s="3" t="n">
        <v>0</v>
      </c>
      <c r="E3151" s="3" t="n">
        <v>13</v>
      </c>
      <c r="F3151" s="24" t="n">
        <v>-0.328362256</v>
      </c>
    </row>
    <row r="3152" customFormat="false" ht="15" hidden="false" customHeight="false" outlineLevel="0" collapsed="false">
      <c r="A3152" s="3" t="n">
        <v>3151</v>
      </c>
      <c r="B3152" s="3" t="n">
        <v>3150</v>
      </c>
      <c r="C3152" s="3" t="n">
        <v>4</v>
      </c>
      <c r="D3152" s="3" t="n">
        <v>0</v>
      </c>
      <c r="E3152" s="3" t="n">
        <v>14</v>
      </c>
      <c r="F3152" s="24" t="n">
        <v>-0.328362256</v>
      </c>
    </row>
    <row r="3153" customFormat="false" ht="15" hidden="false" customHeight="false" outlineLevel="0" collapsed="false">
      <c r="A3153" s="3" t="n">
        <v>3152</v>
      </c>
      <c r="B3153" s="3" t="n">
        <v>3151</v>
      </c>
      <c r="C3153" s="3" t="n">
        <v>4</v>
      </c>
      <c r="D3153" s="3" t="n">
        <v>0</v>
      </c>
      <c r="E3153" s="3" t="n">
        <v>15</v>
      </c>
      <c r="F3153" s="24" t="n">
        <v>-0.328362256</v>
      </c>
    </row>
    <row r="3154" customFormat="false" ht="15" hidden="false" customHeight="false" outlineLevel="0" collapsed="false">
      <c r="A3154" s="3" t="n">
        <v>3153</v>
      </c>
      <c r="B3154" s="3" t="n">
        <v>3152</v>
      </c>
      <c r="C3154" s="3" t="n">
        <v>4</v>
      </c>
      <c r="D3154" s="3" t="n">
        <v>0</v>
      </c>
      <c r="E3154" s="3" t="n">
        <v>16</v>
      </c>
      <c r="F3154" s="24" t="n">
        <v>-0.328362256</v>
      </c>
    </row>
    <row r="3155" customFormat="false" ht="15" hidden="false" customHeight="false" outlineLevel="0" collapsed="false">
      <c r="A3155" s="3" t="n">
        <v>3154</v>
      </c>
      <c r="B3155" s="3" t="n">
        <v>3153</v>
      </c>
      <c r="C3155" s="3" t="n">
        <v>4</v>
      </c>
      <c r="D3155" s="3" t="n">
        <v>0</v>
      </c>
      <c r="E3155" s="3" t="n">
        <v>17</v>
      </c>
      <c r="F3155" s="24" t="n">
        <v>-0.328362256</v>
      </c>
    </row>
    <row r="3156" customFormat="false" ht="15" hidden="false" customHeight="false" outlineLevel="0" collapsed="false">
      <c r="A3156" s="3" t="n">
        <v>3155</v>
      </c>
      <c r="B3156" s="3" t="n">
        <v>3154</v>
      </c>
      <c r="C3156" s="3" t="n">
        <v>4</v>
      </c>
      <c r="D3156" s="3" t="n">
        <v>0</v>
      </c>
      <c r="E3156" s="3" t="n">
        <v>18</v>
      </c>
      <c r="F3156" s="24" t="n">
        <v>-0.328362256</v>
      </c>
    </row>
    <row r="3157" customFormat="false" ht="15" hidden="false" customHeight="false" outlineLevel="0" collapsed="false">
      <c r="A3157" s="3" t="n">
        <v>3156</v>
      </c>
      <c r="B3157" s="3" t="n">
        <v>3155</v>
      </c>
      <c r="C3157" s="3" t="n">
        <v>4</v>
      </c>
      <c r="D3157" s="3" t="n">
        <v>0</v>
      </c>
      <c r="E3157" s="3" t="n">
        <v>19</v>
      </c>
      <c r="F3157" s="24" t="n">
        <v>-0.328362256</v>
      </c>
    </row>
    <row r="3158" customFormat="false" ht="15" hidden="false" customHeight="false" outlineLevel="0" collapsed="false">
      <c r="A3158" s="3" t="n">
        <v>3157</v>
      </c>
      <c r="B3158" s="3" t="n">
        <v>3156</v>
      </c>
      <c r="C3158" s="3" t="n">
        <v>4</v>
      </c>
      <c r="D3158" s="3" t="n">
        <v>0</v>
      </c>
      <c r="E3158" s="3" t="n">
        <v>20</v>
      </c>
      <c r="F3158" s="24" t="n">
        <v>-0.328362256</v>
      </c>
    </row>
    <row r="3159" customFormat="false" ht="15" hidden="false" customHeight="false" outlineLevel="0" collapsed="false">
      <c r="A3159" s="3" t="n">
        <v>3158</v>
      </c>
      <c r="B3159" s="3" t="n">
        <v>3157</v>
      </c>
      <c r="C3159" s="3" t="n">
        <v>4</v>
      </c>
      <c r="D3159" s="3" t="n">
        <v>0</v>
      </c>
      <c r="E3159" s="3" t="n">
        <v>21</v>
      </c>
      <c r="F3159" s="24" t="n">
        <v>-0.328362256</v>
      </c>
    </row>
    <row r="3160" customFormat="false" ht="15" hidden="false" customHeight="false" outlineLevel="0" collapsed="false">
      <c r="A3160" s="3" t="n">
        <v>3159</v>
      </c>
      <c r="B3160" s="3" t="n">
        <v>3158</v>
      </c>
      <c r="C3160" s="3" t="n">
        <v>4</v>
      </c>
      <c r="D3160" s="3" t="n">
        <v>0</v>
      </c>
      <c r="E3160" s="3" t="n">
        <v>22</v>
      </c>
      <c r="F3160" s="24" t="n">
        <v>-0.328362256</v>
      </c>
    </row>
    <row r="3161" customFormat="false" ht="15" hidden="false" customHeight="false" outlineLevel="0" collapsed="false">
      <c r="A3161" s="3" t="n">
        <v>3160</v>
      </c>
      <c r="B3161" s="3" t="n">
        <v>3159</v>
      </c>
      <c r="C3161" s="3" t="n">
        <v>4</v>
      </c>
      <c r="D3161" s="3" t="n">
        <v>0</v>
      </c>
      <c r="E3161" s="3" t="n">
        <v>23</v>
      </c>
      <c r="F3161" s="24" t="n">
        <v>-0.328362256</v>
      </c>
    </row>
    <row r="3162" customFormat="false" ht="15" hidden="false" customHeight="false" outlineLevel="0" collapsed="false">
      <c r="A3162" s="3" t="n">
        <v>3161</v>
      </c>
      <c r="B3162" s="3" t="n">
        <v>3160</v>
      </c>
      <c r="C3162" s="3" t="n">
        <v>4</v>
      </c>
      <c r="D3162" s="3" t="n">
        <v>0</v>
      </c>
      <c r="E3162" s="3" t="n">
        <v>24</v>
      </c>
      <c r="F3162" s="24" t="n">
        <v>-0.328362256</v>
      </c>
    </row>
    <row r="3163" customFormat="false" ht="15" hidden="false" customHeight="false" outlineLevel="0" collapsed="false">
      <c r="A3163" s="3" t="n">
        <v>3162</v>
      </c>
      <c r="B3163" s="3" t="n">
        <v>3161</v>
      </c>
      <c r="C3163" s="3" t="n">
        <v>4</v>
      </c>
      <c r="D3163" s="3" t="n">
        <v>0</v>
      </c>
      <c r="E3163" s="3" t="n">
        <v>25</v>
      </c>
      <c r="F3163" s="24" t="n">
        <v>-0.328362256</v>
      </c>
    </row>
    <row r="3164" customFormat="false" ht="15" hidden="false" customHeight="false" outlineLevel="0" collapsed="false">
      <c r="A3164" s="3" t="n">
        <v>3163</v>
      </c>
      <c r="B3164" s="3" t="n">
        <v>3162</v>
      </c>
      <c r="C3164" s="3" t="n">
        <v>4</v>
      </c>
      <c r="D3164" s="3" t="n">
        <v>0</v>
      </c>
      <c r="E3164" s="3" t="n">
        <v>26</v>
      </c>
      <c r="F3164" s="24" t="n">
        <v>-0.328362256</v>
      </c>
    </row>
    <row r="3165" customFormat="false" ht="15" hidden="false" customHeight="false" outlineLevel="0" collapsed="false">
      <c r="A3165" s="3" t="n">
        <v>3164</v>
      </c>
      <c r="B3165" s="3" t="n">
        <v>3163</v>
      </c>
      <c r="C3165" s="3" t="n">
        <v>4</v>
      </c>
      <c r="D3165" s="3" t="n">
        <v>0</v>
      </c>
      <c r="E3165" s="3" t="n">
        <v>27</v>
      </c>
      <c r="F3165" s="24" t="n">
        <v>-0.258431166</v>
      </c>
    </row>
    <row r="3166" customFormat="false" ht="15" hidden="false" customHeight="false" outlineLevel="0" collapsed="false">
      <c r="A3166" s="3" t="n">
        <v>3165</v>
      </c>
      <c r="B3166" s="3" t="n">
        <v>3164</v>
      </c>
      <c r="C3166" s="3" t="n">
        <v>4</v>
      </c>
      <c r="D3166" s="3" t="n">
        <v>1</v>
      </c>
      <c r="E3166" s="3" t="n">
        <v>0</v>
      </c>
      <c r="F3166" s="24" t="n">
        <v>-0.515758276</v>
      </c>
    </row>
    <row r="3167" customFormat="false" ht="15" hidden="false" customHeight="false" outlineLevel="0" collapsed="false">
      <c r="A3167" s="3" t="n">
        <v>3166</v>
      </c>
      <c r="B3167" s="3" t="n">
        <v>3165</v>
      </c>
      <c r="C3167" s="3" t="n">
        <v>4</v>
      </c>
      <c r="D3167" s="3" t="n">
        <v>1</v>
      </c>
      <c r="E3167" s="3" t="n">
        <v>1</v>
      </c>
      <c r="F3167" s="24" t="n">
        <v>-0.605470479</v>
      </c>
    </row>
    <row r="3168" customFormat="false" ht="15" hidden="false" customHeight="false" outlineLevel="0" collapsed="false">
      <c r="A3168" s="3" t="n">
        <v>3167</v>
      </c>
      <c r="B3168" s="3" t="n">
        <v>3166</v>
      </c>
      <c r="C3168" s="3" t="n">
        <v>4</v>
      </c>
      <c r="D3168" s="3" t="n">
        <v>1</v>
      </c>
      <c r="E3168" s="3" t="n">
        <v>2</v>
      </c>
      <c r="F3168" s="24" t="n">
        <v>-0.605470479</v>
      </c>
    </row>
    <row r="3169" customFormat="false" ht="15" hidden="false" customHeight="false" outlineLevel="0" collapsed="false">
      <c r="A3169" s="3" t="n">
        <v>3168</v>
      </c>
      <c r="B3169" s="3" t="n">
        <v>3167</v>
      </c>
      <c r="C3169" s="3" t="n">
        <v>4</v>
      </c>
      <c r="D3169" s="3" t="n">
        <v>1</v>
      </c>
      <c r="E3169" s="3" t="n">
        <v>3</v>
      </c>
      <c r="F3169" s="24" t="n">
        <v>-0.605470479</v>
      </c>
    </row>
    <row r="3170" customFormat="false" ht="15" hidden="false" customHeight="false" outlineLevel="0" collapsed="false">
      <c r="A3170" s="3" t="n">
        <v>3169</v>
      </c>
      <c r="B3170" s="3" t="n">
        <v>3168</v>
      </c>
      <c r="C3170" s="3" t="n">
        <v>4</v>
      </c>
      <c r="D3170" s="3" t="n">
        <v>1</v>
      </c>
      <c r="E3170" s="3" t="n">
        <v>4</v>
      </c>
      <c r="F3170" s="24" t="n">
        <v>-0.605470479</v>
      </c>
    </row>
    <row r="3171" customFormat="false" ht="15" hidden="false" customHeight="false" outlineLevel="0" collapsed="false">
      <c r="A3171" s="3" t="n">
        <v>3170</v>
      </c>
      <c r="B3171" s="3" t="n">
        <v>3169</v>
      </c>
      <c r="C3171" s="3" t="n">
        <v>4</v>
      </c>
      <c r="D3171" s="3" t="n">
        <v>1</v>
      </c>
      <c r="E3171" s="3" t="n">
        <v>5</v>
      </c>
      <c r="F3171" s="24" t="n">
        <v>-0.605470479</v>
      </c>
    </row>
    <row r="3172" customFormat="false" ht="15" hidden="false" customHeight="false" outlineLevel="0" collapsed="false">
      <c r="A3172" s="3" t="n">
        <v>3171</v>
      </c>
      <c r="B3172" s="3" t="n">
        <v>3170</v>
      </c>
      <c r="C3172" s="3" t="n">
        <v>4</v>
      </c>
      <c r="D3172" s="3" t="n">
        <v>1</v>
      </c>
      <c r="E3172" s="3" t="n">
        <v>6</v>
      </c>
      <c r="F3172" s="24" t="n">
        <v>-0.605470479</v>
      </c>
    </row>
    <row r="3173" customFormat="false" ht="15" hidden="false" customHeight="false" outlineLevel="0" collapsed="false">
      <c r="A3173" s="3" t="n">
        <v>3172</v>
      </c>
      <c r="B3173" s="3" t="n">
        <v>3171</v>
      </c>
      <c r="C3173" s="3" t="n">
        <v>4</v>
      </c>
      <c r="D3173" s="3" t="n">
        <v>1</v>
      </c>
      <c r="E3173" s="3" t="n">
        <v>7</v>
      </c>
      <c r="F3173" s="24" t="n">
        <v>-0.605470479</v>
      </c>
    </row>
    <row r="3174" customFormat="false" ht="15" hidden="false" customHeight="false" outlineLevel="0" collapsed="false">
      <c r="A3174" s="3" t="n">
        <v>3173</v>
      </c>
      <c r="B3174" s="3" t="n">
        <v>3172</v>
      </c>
      <c r="C3174" s="3" t="n">
        <v>4</v>
      </c>
      <c r="D3174" s="3" t="n">
        <v>1</v>
      </c>
      <c r="E3174" s="3" t="n">
        <v>8</v>
      </c>
      <c r="F3174" s="24" t="n">
        <v>-0.605470479</v>
      </c>
    </row>
    <row r="3175" customFormat="false" ht="15" hidden="false" customHeight="false" outlineLevel="0" collapsed="false">
      <c r="A3175" s="3" t="n">
        <v>3174</v>
      </c>
      <c r="B3175" s="3" t="n">
        <v>3173</v>
      </c>
      <c r="C3175" s="3" t="n">
        <v>4</v>
      </c>
      <c r="D3175" s="3" t="n">
        <v>1</v>
      </c>
      <c r="E3175" s="3" t="n">
        <v>9</v>
      </c>
      <c r="F3175" s="24" t="n">
        <v>-0.605470479</v>
      </c>
    </row>
    <row r="3176" customFormat="false" ht="15" hidden="false" customHeight="false" outlineLevel="0" collapsed="false">
      <c r="A3176" s="3" t="n">
        <v>3175</v>
      </c>
      <c r="B3176" s="3" t="n">
        <v>3174</v>
      </c>
      <c r="C3176" s="3" t="n">
        <v>4</v>
      </c>
      <c r="D3176" s="3" t="n">
        <v>1</v>
      </c>
      <c r="E3176" s="3" t="n">
        <v>10</v>
      </c>
      <c r="F3176" s="24" t="n">
        <v>-0.605470479</v>
      </c>
    </row>
    <row r="3177" customFormat="false" ht="15" hidden="false" customHeight="false" outlineLevel="0" collapsed="false">
      <c r="A3177" s="3" t="n">
        <v>3176</v>
      </c>
      <c r="B3177" s="3" t="n">
        <v>3175</v>
      </c>
      <c r="C3177" s="3" t="n">
        <v>4</v>
      </c>
      <c r="D3177" s="3" t="n">
        <v>1</v>
      </c>
      <c r="E3177" s="3" t="n">
        <v>11</v>
      </c>
      <c r="F3177" s="24" t="n">
        <v>-0.605470479</v>
      </c>
    </row>
    <row r="3178" customFormat="false" ht="15" hidden="false" customHeight="false" outlineLevel="0" collapsed="false">
      <c r="A3178" s="3" t="n">
        <v>3177</v>
      </c>
      <c r="B3178" s="3" t="n">
        <v>3176</v>
      </c>
      <c r="C3178" s="3" t="n">
        <v>4</v>
      </c>
      <c r="D3178" s="3" t="n">
        <v>1</v>
      </c>
      <c r="E3178" s="3" t="n">
        <v>12</v>
      </c>
      <c r="F3178" s="24" t="n">
        <v>-0.605470479</v>
      </c>
    </row>
    <row r="3179" customFormat="false" ht="15" hidden="false" customHeight="false" outlineLevel="0" collapsed="false">
      <c r="A3179" s="3" t="n">
        <v>3178</v>
      </c>
      <c r="B3179" s="3" t="n">
        <v>3177</v>
      </c>
      <c r="C3179" s="3" t="n">
        <v>4</v>
      </c>
      <c r="D3179" s="3" t="n">
        <v>1</v>
      </c>
      <c r="E3179" s="3" t="n">
        <v>13</v>
      </c>
      <c r="F3179" s="24" t="n">
        <v>-0.605470479</v>
      </c>
    </row>
    <row r="3180" customFormat="false" ht="15" hidden="false" customHeight="false" outlineLevel="0" collapsed="false">
      <c r="A3180" s="3" t="n">
        <v>3179</v>
      </c>
      <c r="B3180" s="3" t="n">
        <v>3178</v>
      </c>
      <c r="C3180" s="3" t="n">
        <v>4</v>
      </c>
      <c r="D3180" s="3" t="n">
        <v>1</v>
      </c>
      <c r="E3180" s="3" t="n">
        <v>14</v>
      </c>
      <c r="F3180" s="24" t="n">
        <v>-0.605470479</v>
      </c>
    </row>
    <row r="3181" customFormat="false" ht="15" hidden="false" customHeight="false" outlineLevel="0" collapsed="false">
      <c r="A3181" s="3" t="n">
        <v>3180</v>
      </c>
      <c r="B3181" s="3" t="n">
        <v>3179</v>
      </c>
      <c r="C3181" s="3" t="n">
        <v>4</v>
      </c>
      <c r="D3181" s="3" t="n">
        <v>1</v>
      </c>
      <c r="E3181" s="3" t="n">
        <v>15</v>
      </c>
      <c r="F3181" s="24" t="n">
        <v>-0.605470479</v>
      </c>
    </row>
    <row r="3182" customFormat="false" ht="15" hidden="false" customHeight="false" outlineLevel="0" collapsed="false">
      <c r="A3182" s="3" t="n">
        <v>3181</v>
      </c>
      <c r="B3182" s="3" t="n">
        <v>3180</v>
      </c>
      <c r="C3182" s="3" t="n">
        <v>4</v>
      </c>
      <c r="D3182" s="3" t="n">
        <v>1</v>
      </c>
      <c r="E3182" s="3" t="n">
        <v>16</v>
      </c>
      <c r="F3182" s="24" t="n">
        <v>-0.605470479</v>
      </c>
    </row>
    <row r="3183" customFormat="false" ht="15" hidden="false" customHeight="false" outlineLevel="0" collapsed="false">
      <c r="A3183" s="3" t="n">
        <v>3182</v>
      </c>
      <c r="B3183" s="3" t="n">
        <v>3181</v>
      </c>
      <c r="C3183" s="3" t="n">
        <v>4</v>
      </c>
      <c r="D3183" s="3" t="n">
        <v>1</v>
      </c>
      <c r="E3183" s="3" t="n">
        <v>17</v>
      </c>
      <c r="F3183" s="24" t="n">
        <v>-0.605470479</v>
      </c>
    </row>
    <row r="3184" customFormat="false" ht="15" hidden="false" customHeight="false" outlineLevel="0" collapsed="false">
      <c r="A3184" s="3" t="n">
        <v>3183</v>
      </c>
      <c r="B3184" s="3" t="n">
        <v>3182</v>
      </c>
      <c r="C3184" s="3" t="n">
        <v>4</v>
      </c>
      <c r="D3184" s="3" t="n">
        <v>1</v>
      </c>
      <c r="E3184" s="3" t="n">
        <v>18</v>
      </c>
      <c r="F3184" s="24" t="n">
        <v>-0.605470479</v>
      </c>
    </row>
    <row r="3185" customFormat="false" ht="15" hidden="false" customHeight="false" outlineLevel="0" collapsed="false">
      <c r="A3185" s="3" t="n">
        <v>3184</v>
      </c>
      <c r="B3185" s="3" t="n">
        <v>3183</v>
      </c>
      <c r="C3185" s="3" t="n">
        <v>4</v>
      </c>
      <c r="D3185" s="3" t="n">
        <v>1</v>
      </c>
      <c r="E3185" s="3" t="n">
        <v>19</v>
      </c>
      <c r="F3185" s="24" t="n">
        <v>-0.605470479</v>
      </c>
    </row>
    <row r="3186" customFormat="false" ht="15" hidden="false" customHeight="false" outlineLevel="0" collapsed="false">
      <c r="A3186" s="3" t="n">
        <v>3185</v>
      </c>
      <c r="B3186" s="3" t="n">
        <v>3184</v>
      </c>
      <c r="C3186" s="3" t="n">
        <v>4</v>
      </c>
      <c r="D3186" s="3" t="n">
        <v>1</v>
      </c>
      <c r="E3186" s="3" t="n">
        <v>20</v>
      </c>
      <c r="F3186" s="24" t="n">
        <v>-0.605470479</v>
      </c>
    </row>
    <row r="3187" customFormat="false" ht="15" hidden="false" customHeight="false" outlineLevel="0" collapsed="false">
      <c r="A3187" s="3" t="n">
        <v>3186</v>
      </c>
      <c r="B3187" s="3" t="n">
        <v>3185</v>
      </c>
      <c r="C3187" s="3" t="n">
        <v>4</v>
      </c>
      <c r="D3187" s="3" t="n">
        <v>1</v>
      </c>
      <c r="E3187" s="3" t="n">
        <v>21</v>
      </c>
      <c r="F3187" s="24" t="n">
        <v>-0.605470479</v>
      </c>
    </row>
    <row r="3188" customFormat="false" ht="15" hidden="false" customHeight="false" outlineLevel="0" collapsed="false">
      <c r="A3188" s="3" t="n">
        <v>3187</v>
      </c>
      <c r="B3188" s="3" t="n">
        <v>3186</v>
      </c>
      <c r="C3188" s="3" t="n">
        <v>4</v>
      </c>
      <c r="D3188" s="3" t="n">
        <v>1</v>
      </c>
      <c r="E3188" s="3" t="n">
        <v>22</v>
      </c>
      <c r="F3188" s="24" t="n">
        <v>-0.605470479</v>
      </c>
    </row>
    <row r="3189" customFormat="false" ht="15" hidden="false" customHeight="false" outlineLevel="0" collapsed="false">
      <c r="A3189" s="3" t="n">
        <v>3188</v>
      </c>
      <c r="B3189" s="3" t="n">
        <v>3187</v>
      </c>
      <c r="C3189" s="3" t="n">
        <v>4</v>
      </c>
      <c r="D3189" s="3" t="n">
        <v>1</v>
      </c>
      <c r="E3189" s="3" t="n">
        <v>23</v>
      </c>
      <c r="F3189" s="24" t="n">
        <v>-0.605470479</v>
      </c>
    </row>
    <row r="3190" customFormat="false" ht="15" hidden="false" customHeight="false" outlineLevel="0" collapsed="false">
      <c r="A3190" s="3" t="n">
        <v>3189</v>
      </c>
      <c r="B3190" s="3" t="n">
        <v>3188</v>
      </c>
      <c r="C3190" s="3" t="n">
        <v>4</v>
      </c>
      <c r="D3190" s="3" t="n">
        <v>1</v>
      </c>
      <c r="E3190" s="3" t="n">
        <v>24</v>
      </c>
      <c r="F3190" s="24" t="n">
        <v>-0.605470479</v>
      </c>
    </row>
    <row r="3191" customFormat="false" ht="15" hidden="false" customHeight="false" outlineLevel="0" collapsed="false">
      <c r="A3191" s="3" t="n">
        <v>3190</v>
      </c>
      <c r="B3191" s="3" t="n">
        <v>3189</v>
      </c>
      <c r="C3191" s="3" t="n">
        <v>4</v>
      </c>
      <c r="D3191" s="3" t="n">
        <v>1</v>
      </c>
      <c r="E3191" s="3" t="n">
        <v>25</v>
      </c>
      <c r="F3191" s="24" t="n">
        <v>-0.605470479</v>
      </c>
    </row>
    <row r="3192" customFormat="false" ht="15" hidden="false" customHeight="false" outlineLevel="0" collapsed="false">
      <c r="A3192" s="3" t="n">
        <v>3191</v>
      </c>
      <c r="B3192" s="3" t="n">
        <v>3190</v>
      </c>
      <c r="C3192" s="3" t="n">
        <v>4</v>
      </c>
      <c r="D3192" s="3" t="n">
        <v>1</v>
      </c>
      <c r="E3192" s="3" t="n">
        <v>26</v>
      </c>
      <c r="F3192" s="24" t="n">
        <v>-0.605470479</v>
      </c>
    </row>
    <row r="3193" customFormat="false" ht="15" hidden="false" customHeight="false" outlineLevel="0" collapsed="false">
      <c r="A3193" s="3" t="n">
        <v>3192</v>
      </c>
      <c r="B3193" s="3" t="n">
        <v>3191</v>
      </c>
      <c r="C3193" s="3" t="n">
        <v>4</v>
      </c>
      <c r="D3193" s="3" t="n">
        <v>1</v>
      </c>
      <c r="E3193" s="3" t="n">
        <v>27</v>
      </c>
      <c r="F3193" s="24" t="n">
        <v>-0.469382077</v>
      </c>
    </row>
    <row r="3194" customFormat="false" ht="15" hidden="false" customHeight="false" outlineLevel="0" collapsed="false">
      <c r="A3194" s="3" t="n">
        <v>3193</v>
      </c>
      <c r="B3194" s="3" t="n">
        <v>3192</v>
      </c>
      <c r="C3194" s="3" t="n">
        <v>4</v>
      </c>
      <c r="D3194" s="3" t="n">
        <v>2</v>
      </c>
      <c r="E3194" s="3" t="n">
        <v>0</v>
      </c>
      <c r="F3194" s="24" t="n">
        <v>-0.515758276</v>
      </c>
    </row>
    <row r="3195" customFormat="false" ht="15" hidden="false" customHeight="false" outlineLevel="0" collapsed="false">
      <c r="A3195" s="3" t="n">
        <v>3194</v>
      </c>
      <c r="B3195" s="3" t="n">
        <v>3193</v>
      </c>
      <c r="C3195" s="3" t="n">
        <v>4</v>
      </c>
      <c r="D3195" s="3" t="n">
        <v>2</v>
      </c>
      <c r="E3195" s="3" t="n">
        <v>1</v>
      </c>
      <c r="F3195" s="24" t="n">
        <v>-0.605470479</v>
      </c>
    </row>
    <row r="3196" customFormat="false" ht="15" hidden="false" customHeight="false" outlineLevel="0" collapsed="false">
      <c r="A3196" s="3" t="n">
        <v>3195</v>
      </c>
      <c r="B3196" s="3" t="n">
        <v>3194</v>
      </c>
      <c r="C3196" s="3" t="n">
        <v>4</v>
      </c>
      <c r="D3196" s="3" t="n">
        <v>2</v>
      </c>
      <c r="E3196" s="3" t="n">
        <v>2</v>
      </c>
      <c r="F3196" s="24" t="n">
        <v>-0.605470479</v>
      </c>
    </row>
    <row r="3197" customFormat="false" ht="15" hidden="false" customHeight="false" outlineLevel="0" collapsed="false">
      <c r="A3197" s="3" t="n">
        <v>3196</v>
      </c>
      <c r="B3197" s="3" t="n">
        <v>3195</v>
      </c>
      <c r="C3197" s="3" t="n">
        <v>4</v>
      </c>
      <c r="D3197" s="3" t="n">
        <v>2</v>
      </c>
      <c r="E3197" s="3" t="n">
        <v>3</v>
      </c>
      <c r="F3197" s="24" t="n">
        <v>-0.605470479</v>
      </c>
    </row>
    <row r="3198" customFormat="false" ht="15" hidden="false" customHeight="false" outlineLevel="0" collapsed="false">
      <c r="A3198" s="3" t="n">
        <v>3197</v>
      </c>
      <c r="B3198" s="3" t="n">
        <v>3196</v>
      </c>
      <c r="C3198" s="3" t="n">
        <v>4</v>
      </c>
      <c r="D3198" s="3" t="n">
        <v>2</v>
      </c>
      <c r="E3198" s="3" t="n">
        <v>4</v>
      </c>
      <c r="F3198" s="24" t="n">
        <v>-0.605470479</v>
      </c>
    </row>
    <row r="3199" customFormat="false" ht="15" hidden="false" customHeight="false" outlineLevel="0" collapsed="false">
      <c r="A3199" s="3" t="n">
        <v>3198</v>
      </c>
      <c r="B3199" s="3" t="n">
        <v>3197</v>
      </c>
      <c r="C3199" s="3" t="n">
        <v>4</v>
      </c>
      <c r="D3199" s="3" t="n">
        <v>2</v>
      </c>
      <c r="E3199" s="3" t="n">
        <v>5</v>
      </c>
      <c r="F3199" s="24" t="n">
        <v>-0.605470479</v>
      </c>
    </row>
    <row r="3200" customFormat="false" ht="15" hidden="false" customHeight="false" outlineLevel="0" collapsed="false">
      <c r="A3200" s="3" t="n">
        <v>3199</v>
      </c>
      <c r="B3200" s="3" t="n">
        <v>3198</v>
      </c>
      <c r="C3200" s="3" t="n">
        <v>4</v>
      </c>
      <c r="D3200" s="3" t="n">
        <v>2</v>
      </c>
      <c r="E3200" s="3" t="n">
        <v>6</v>
      </c>
      <c r="F3200" s="24" t="n">
        <v>-0.605470479</v>
      </c>
    </row>
    <row r="3201" customFormat="false" ht="15" hidden="false" customHeight="false" outlineLevel="0" collapsed="false">
      <c r="A3201" s="3" t="n">
        <v>3200</v>
      </c>
      <c r="B3201" s="3" t="n">
        <v>3199</v>
      </c>
      <c r="C3201" s="3" t="n">
        <v>4</v>
      </c>
      <c r="D3201" s="3" t="n">
        <v>2</v>
      </c>
      <c r="E3201" s="3" t="n">
        <v>7</v>
      </c>
      <c r="F3201" s="24" t="n">
        <v>-0.605470479</v>
      </c>
    </row>
    <row r="3202" customFormat="false" ht="15" hidden="false" customHeight="false" outlineLevel="0" collapsed="false">
      <c r="A3202" s="3" t="n">
        <v>3201</v>
      </c>
      <c r="B3202" s="3" t="n">
        <v>3200</v>
      </c>
      <c r="C3202" s="3" t="n">
        <v>4</v>
      </c>
      <c r="D3202" s="3" t="n">
        <v>2</v>
      </c>
      <c r="E3202" s="3" t="n">
        <v>8</v>
      </c>
      <c r="F3202" s="24" t="n">
        <v>-0.605470479</v>
      </c>
    </row>
    <row r="3203" customFormat="false" ht="15" hidden="false" customHeight="false" outlineLevel="0" collapsed="false">
      <c r="A3203" s="3" t="n">
        <v>3202</v>
      </c>
      <c r="B3203" s="3" t="n">
        <v>3201</v>
      </c>
      <c r="C3203" s="3" t="n">
        <v>4</v>
      </c>
      <c r="D3203" s="3" t="n">
        <v>2</v>
      </c>
      <c r="E3203" s="3" t="n">
        <v>9</v>
      </c>
      <c r="F3203" s="24" t="n">
        <v>-0.605470479</v>
      </c>
    </row>
    <row r="3204" customFormat="false" ht="15" hidden="false" customHeight="false" outlineLevel="0" collapsed="false">
      <c r="A3204" s="3" t="n">
        <v>3203</v>
      </c>
      <c r="B3204" s="3" t="n">
        <v>3202</v>
      </c>
      <c r="C3204" s="3" t="n">
        <v>4</v>
      </c>
      <c r="D3204" s="3" t="n">
        <v>2</v>
      </c>
      <c r="E3204" s="3" t="n">
        <v>10</v>
      </c>
      <c r="F3204" s="24" t="n">
        <v>-0.605470479</v>
      </c>
    </row>
    <row r="3205" customFormat="false" ht="15" hidden="false" customHeight="false" outlineLevel="0" collapsed="false">
      <c r="A3205" s="3" t="n">
        <v>3204</v>
      </c>
      <c r="B3205" s="3" t="n">
        <v>3203</v>
      </c>
      <c r="C3205" s="3" t="n">
        <v>4</v>
      </c>
      <c r="D3205" s="3" t="n">
        <v>2</v>
      </c>
      <c r="E3205" s="3" t="n">
        <v>11</v>
      </c>
      <c r="F3205" s="24" t="n">
        <v>-0.605470479</v>
      </c>
    </row>
    <row r="3206" customFormat="false" ht="15" hidden="false" customHeight="false" outlineLevel="0" collapsed="false">
      <c r="A3206" s="3" t="n">
        <v>3205</v>
      </c>
      <c r="B3206" s="3" t="n">
        <v>3204</v>
      </c>
      <c r="C3206" s="3" t="n">
        <v>4</v>
      </c>
      <c r="D3206" s="3" t="n">
        <v>2</v>
      </c>
      <c r="E3206" s="3" t="n">
        <v>12</v>
      </c>
      <c r="F3206" s="24" t="n">
        <v>-0.605470479</v>
      </c>
    </row>
    <row r="3207" customFormat="false" ht="15" hidden="false" customHeight="false" outlineLevel="0" collapsed="false">
      <c r="A3207" s="3" t="n">
        <v>3206</v>
      </c>
      <c r="B3207" s="3" t="n">
        <v>3205</v>
      </c>
      <c r="C3207" s="3" t="n">
        <v>4</v>
      </c>
      <c r="D3207" s="3" t="n">
        <v>2</v>
      </c>
      <c r="E3207" s="3" t="n">
        <v>13</v>
      </c>
      <c r="F3207" s="24" t="n">
        <v>-0.605470479</v>
      </c>
    </row>
    <row r="3208" customFormat="false" ht="15" hidden="false" customHeight="false" outlineLevel="0" collapsed="false">
      <c r="A3208" s="3" t="n">
        <v>3207</v>
      </c>
      <c r="B3208" s="3" t="n">
        <v>3206</v>
      </c>
      <c r="C3208" s="3" t="n">
        <v>4</v>
      </c>
      <c r="D3208" s="3" t="n">
        <v>2</v>
      </c>
      <c r="E3208" s="3" t="n">
        <v>14</v>
      </c>
      <c r="F3208" s="24" t="n">
        <v>-0.605470479</v>
      </c>
    </row>
    <row r="3209" customFormat="false" ht="15" hidden="false" customHeight="false" outlineLevel="0" collapsed="false">
      <c r="A3209" s="3" t="n">
        <v>3208</v>
      </c>
      <c r="B3209" s="3" t="n">
        <v>3207</v>
      </c>
      <c r="C3209" s="3" t="n">
        <v>4</v>
      </c>
      <c r="D3209" s="3" t="n">
        <v>2</v>
      </c>
      <c r="E3209" s="3" t="n">
        <v>15</v>
      </c>
      <c r="F3209" s="24" t="n">
        <v>-0.605470479</v>
      </c>
    </row>
    <row r="3210" customFormat="false" ht="15" hidden="false" customHeight="false" outlineLevel="0" collapsed="false">
      <c r="A3210" s="3" t="n">
        <v>3209</v>
      </c>
      <c r="B3210" s="3" t="n">
        <v>3208</v>
      </c>
      <c r="C3210" s="3" t="n">
        <v>4</v>
      </c>
      <c r="D3210" s="3" t="n">
        <v>2</v>
      </c>
      <c r="E3210" s="3" t="n">
        <v>16</v>
      </c>
      <c r="F3210" s="24" t="n">
        <v>-0.605470479</v>
      </c>
    </row>
    <row r="3211" customFormat="false" ht="15" hidden="false" customHeight="false" outlineLevel="0" collapsed="false">
      <c r="A3211" s="3" t="n">
        <v>3210</v>
      </c>
      <c r="B3211" s="3" t="n">
        <v>3209</v>
      </c>
      <c r="C3211" s="3" t="n">
        <v>4</v>
      </c>
      <c r="D3211" s="3" t="n">
        <v>2</v>
      </c>
      <c r="E3211" s="3" t="n">
        <v>17</v>
      </c>
      <c r="F3211" s="24" t="n">
        <v>-0.605470479</v>
      </c>
    </row>
    <row r="3212" customFormat="false" ht="15" hidden="false" customHeight="false" outlineLevel="0" collapsed="false">
      <c r="A3212" s="3" t="n">
        <v>3211</v>
      </c>
      <c r="B3212" s="3" t="n">
        <v>3210</v>
      </c>
      <c r="C3212" s="3" t="n">
        <v>4</v>
      </c>
      <c r="D3212" s="3" t="n">
        <v>2</v>
      </c>
      <c r="E3212" s="3" t="n">
        <v>18</v>
      </c>
      <c r="F3212" s="24" t="n">
        <v>-0.605470479</v>
      </c>
    </row>
    <row r="3213" customFormat="false" ht="15" hidden="false" customHeight="false" outlineLevel="0" collapsed="false">
      <c r="A3213" s="3" t="n">
        <v>3212</v>
      </c>
      <c r="B3213" s="3" t="n">
        <v>3211</v>
      </c>
      <c r="C3213" s="3" t="n">
        <v>4</v>
      </c>
      <c r="D3213" s="3" t="n">
        <v>2</v>
      </c>
      <c r="E3213" s="3" t="n">
        <v>19</v>
      </c>
      <c r="F3213" s="24" t="n">
        <v>-0.605470479</v>
      </c>
    </row>
    <row r="3214" customFormat="false" ht="15" hidden="false" customHeight="false" outlineLevel="0" collapsed="false">
      <c r="A3214" s="3" t="n">
        <v>3213</v>
      </c>
      <c r="B3214" s="3" t="n">
        <v>3212</v>
      </c>
      <c r="C3214" s="3" t="n">
        <v>4</v>
      </c>
      <c r="D3214" s="3" t="n">
        <v>2</v>
      </c>
      <c r="E3214" s="3" t="n">
        <v>20</v>
      </c>
      <c r="F3214" s="24" t="n">
        <v>-0.605470479</v>
      </c>
    </row>
    <row r="3215" customFormat="false" ht="15" hidden="false" customHeight="false" outlineLevel="0" collapsed="false">
      <c r="A3215" s="3" t="n">
        <v>3214</v>
      </c>
      <c r="B3215" s="3" t="n">
        <v>3213</v>
      </c>
      <c r="C3215" s="3" t="n">
        <v>4</v>
      </c>
      <c r="D3215" s="3" t="n">
        <v>2</v>
      </c>
      <c r="E3215" s="3" t="n">
        <v>21</v>
      </c>
      <c r="F3215" s="24" t="n">
        <v>-0.605470479</v>
      </c>
    </row>
    <row r="3216" customFormat="false" ht="15" hidden="false" customHeight="false" outlineLevel="0" collapsed="false">
      <c r="A3216" s="3" t="n">
        <v>3215</v>
      </c>
      <c r="B3216" s="3" t="n">
        <v>3214</v>
      </c>
      <c r="C3216" s="3" t="n">
        <v>4</v>
      </c>
      <c r="D3216" s="3" t="n">
        <v>2</v>
      </c>
      <c r="E3216" s="3" t="n">
        <v>22</v>
      </c>
      <c r="F3216" s="24" t="n">
        <v>-0.605470479</v>
      </c>
    </row>
    <row r="3217" customFormat="false" ht="15" hidden="false" customHeight="false" outlineLevel="0" collapsed="false">
      <c r="A3217" s="3" t="n">
        <v>3216</v>
      </c>
      <c r="B3217" s="3" t="n">
        <v>3215</v>
      </c>
      <c r="C3217" s="3" t="n">
        <v>4</v>
      </c>
      <c r="D3217" s="3" t="n">
        <v>2</v>
      </c>
      <c r="E3217" s="3" t="n">
        <v>23</v>
      </c>
      <c r="F3217" s="24" t="n">
        <v>-0.605470479</v>
      </c>
    </row>
    <row r="3218" customFormat="false" ht="15" hidden="false" customHeight="false" outlineLevel="0" collapsed="false">
      <c r="A3218" s="3" t="n">
        <v>3217</v>
      </c>
      <c r="B3218" s="3" t="n">
        <v>3216</v>
      </c>
      <c r="C3218" s="3" t="n">
        <v>4</v>
      </c>
      <c r="D3218" s="3" t="n">
        <v>2</v>
      </c>
      <c r="E3218" s="3" t="n">
        <v>24</v>
      </c>
      <c r="F3218" s="24" t="n">
        <v>-0.605470479</v>
      </c>
    </row>
    <row r="3219" customFormat="false" ht="15" hidden="false" customHeight="false" outlineLevel="0" collapsed="false">
      <c r="A3219" s="3" t="n">
        <v>3218</v>
      </c>
      <c r="B3219" s="3" t="n">
        <v>3217</v>
      </c>
      <c r="C3219" s="3" t="n">
        <v>4</v>
      </c>
      <c r="D3219" s="3" t="n">
        <v>2</v>
      </c>
      <c r="E3219" s="3" t="n">
        <v>25</v>
      </c>
      <c r="F3219" s="24" t="n">
        <v>-0.605470479</v>
      </c>
    </row>
    <row r="3220" customFormat="false" ht="15" hidden="false" customHeight="false" outlineLevel="0" collapsed="false">
      <c r="A3220" s="3" t="n">
        <v>3219</v>
      </c>
      <c r="B3220" s="3" t="n">
        <v>3218</v>
      </c>
      <c r="C3220" s="3" t="n">
        <v>4</v>
      </c>
      <c r="D3220" s="3" t="n">
        <v>2</v>
      </c>
      <c r="E3220" s="3" t="n">
        <v>26</v>
      </c>
      <c r="F3220" s="24" t="n">
        <v>-0.605470479</v>
      </c>
    </row>
    <row r="3221" customFormat="false" ht="15" hidden="false" customHeight="false" outlineLevel="0" collapsed="false">
      <c r="A3221" s="3" t="n">
        <v>3220</v>
      </c>
      <c r="B3221" s="3" t="n">
        <v>3219</v>
      </c>
      <c r="C3221" s="3" t="n">
        <v>4</v>
      </c>
      <c r="D3221" s="3" t="n">
        <v>2</v>
      </c>
      <c r="E3221" s="3" t="n">
        <v>27</v>
      </c>
      <c r="F3221" s="24" t="n">
        <v>-0.469382077</v>
      </c>
    </row>
    <row r="3222" customFormat="false" ht="15" hidden="false" customHeight="false" outlineLevel="0" collapsed="false">
      <c r="A3222" s="3" t="n">
        <v>3221</v>
      </c>
      <c r="B3222" s="3" t="n">
        <v>3220</v>
      </c>
      <c r="C3222" s="3" t="n">
        <v>4</v>
      </c>
      <c r="D3222" s="3" t="n">
        <v>3</v>
      </c>
      <c r="E3222" s="3" t="n">
        <v>0</v>
      </c>
      <c r="F3222" s="24" t="n">
        <v>-0.515758276</v>
      </c>
    </row>
    <row r="3223" customFormat="false" ht="15" hidden="false" customHeight="false" outlineLevel="0" collapsed="false">
      <c r="A3223" s="3" t="n">
        <v>3222</v>
      </c>
      <c r="B3223" s="3" t="n">
        <v>3221</v>
      </c>
      <c r="C3223" s="3" t="n">
        <v>4</v>
      </c>
      <c r="D3223" s="3" t="n">
        <v>3</v>
      </c>
      <c r="E3223" s="3" t="n">
        <v>1</v>
      </c>
      <c r="F3223" s="24" t="n">
        <v>-0.605470479</v>
      </c>
    </row>
    <row r="3224" customFormat="false" ht="15" hidden="false" customHeight="false" outlineLevel="0" collapsed="false">
      <c r="A3224" s="3" t="n">
        <v>3223</v>
      </c>
      <c r="B3224" s="3" t="n">
        <v>3222</v>
      </c>
      <c r="C3224" s="3" t="n">
        <v>4</v>
      </c>
      <c r="D3224" s="3" t="n">
        <v>3</v>
      </c>
      <c r="E3224" s="3" t="n">
        <v>2</v>
      </c>
      <c r="F3224" s="24" t="n">
        <v>-0.605470479</v>
      </c>
    </row>
    <row r="3225" customFormat="false" ht="15" hidden="false" customHeight="false" outlineLevel="0" collapsed="false">
      <c r="A3225" s="3" t="n">
        <v>3224</v>
      </c>
      <c r="B3225" s="3" t="n">
        <v>3223</v>
      </c>
      <c r="C3225" s="3" t="n">
        <v>4</v>
      </c>
      <c r="D3225" s="3" t="n">
        <v>3</v>
      </c>
      <c r="E3225" s="3" t="n">
        <v>3</v>
      </c>
      <c r="F3225" s="24" t="n">
        <v>-0.605470479</v>
      </c>
    </row>
    <row r="3226" customFormat="false" ht="15" hidden="false" customHeight="false" outlineLevel="0" collapsed="false">
      <c r="A3226" s="3" t="n">
        <v>3225</v>
      </c>
      <c r="B3226" s="3" t="n">
        <v>3224</v>
      </c>
      <c r="C3226" s="3" t="n">
        <v>4</v>
      </c>
      <c r="D3226" s="3" t="n">
        <v>3</v>
      </c>
      <c r="E3226" s="3" t="n">
        <v>4</v>
      </c>
      <c r="F3226" s="24" t="n">
        <v>-0.605470479</v>
      </c>
    </row>
    <row r="3227" customFormat="false" ht="15" hidden="false" customHeight="false" outlineLevel="0" collapsed="false">
      <c r="A3227" s="3" t="n">
        <v>3226</v>
      </c>
      <c r="B3227" s="3" t="n">
        <v>3225</v>
      </c>
      <c r="C3227" s="3" t="n">
        <v>4</v>
      </c>
      <c r="D3227" s="3" t="n">
        <v>3</v>
      </c>
      <c r="E3227" s="3" t="n">
        <v>5</v>
      </c>
      <c r="F3227" s="24" t="n">
        <v>-0.605470479</v>
      </c>
    </row>
    <row r="3228" customFormat="false" ht="15" hidden="false" customHeight="false" outlineLevel="0" collapsed="false">
      <c r="A3228" s="3" t="n">
        <v>3227</v>
      </c>
      <c r="B3228" s="3" t="n">
        <v>3226</v>
      </c>
      <c r="C3228" s="3" t="n">
        <v>4</v>
      </c>
      <c r="D3228" s="3" t="n">
        <v>3</v>
      </c>
      <c r="E3228" s="3" t="n">
        <v>6</v>
      </c>
      <c r="F3228" s="24" t="n">
        <v>-0.605470479</v>
      </c>
    </row>
    <row r="3229" customFormat="false" ht="15" hidden="false" customHeight="false" outlineLevel="0" collapsed="false">
      <c r="A3229" s="3" t="n">
        <v>3228</v>
      </c>
      <c r="B3229" s="3" t="n">
        <v>3227</v>
      </c>
      <c r="C3229" s="3" t="n">
        <v>4</v>
      </c>
      <c r="D3229" s="3" t="n">
        <v>3</v>
      </c>
      <c r="E3229" s="3" t="n">
        <v>7</v>
      </c>
      <c r="F3229" s="24" t="n">
        <v>-0.605470479</v>
      </c>
    </row>
    <row r="3230" customFormat="false" ht="15" hidden="false" customHeight="false" outlineLevel="0" collapsed="false">
      <c r="A3230" s="3" t="n">
        <v>3229</v>
      </c>
      <c r="B3230" s="3" t="n">
        <v>3228</v>
      </c>
      <c r="C3230" s="3" t="n">
        <v>4</v>
      </c>
      <c r="D3230" s="3" t="n">
        <v>3</v>
      </c>
      <c r="E3230" s="3" t="n">
        <v>8</v>
      </c>
      <c r="F3230" s="24" t="n">
        <v>-0.605470479</v>
      </c>
    </row>
    <row r="3231" customFormat="false" ht="15" hidden="false" customHeight="false" outlineLevel="0" collapsed="false">
      <c r="A3231" s="3" t="n">
        <v>3230</v>
      </c>
      <c r="B3231" s="3" t="n">
        <v>3229</v>
      </c>
      <c r="C3231" s="3" t="n">
        <v>4</v>
      </c>
      <c r="D3231" s="3" t="n">
        <v>3</v>
      </c>
      <c r="E3231" s="3" t="n">
        <v>9</v>
      </c>
      <c r="F3231" s="24" t="n">
        <v>-0.605470479</v>
      </c>
    </row>
    <row r="3232" customFormat="false" ht="15" hidden="false" customHeight="false" outlineLevel="0" collapsed="false">
      <c r="A3232" s="3" t="n">
        <v>3231</v>
      </c>
      <c r="B3232" s="3" t="n">
        <v>3230</v>
      </c>
      <c r="C3232" s="3" t="n">
        <v>4</v>
      </c>
      <c r="D3232" s="3" t="n">
        <v>3</v>
      </c>
      <c r="E3232" s="3" t="n">
        <v>10</v>
      </c>
      <c r="F3232" s="24" t="n">
        <v>-0.605470479</v>
      </c>
    </row>
    <row r="3233" customFormat="false" ht="15" hidden="false" customHeight="false" outlineLevel="0" collapsed="false">
      <c r="A3233" s="3" t="n">
        <v>3232</v>
      </c>
      <c r="B3233" s="3" t="n">
        <v>3231</v>
      </c>
      <c r="C3233" s="3" t="n">
        <v>4</v>
      </c>
      <c r="D3233" s="3" t="n">
        <v>3</v>
      </c>
      <c r="E3233" s="3" t="n">
        <v>11</v>
      </c>
      <c r="F3233" s="24" t="n">
        <v>-0.605470479</v>
      </c>
    </row>
    <row r="3234" customFormat="false" ht="15" hidden="false" customHeight="false" outlineLevel="0" collapsed="false">
      <c r="A3234" s="3" t="n">
        <v>3233</v>
      </c>
      <c r="B3234" s="3" t="n">
        <v>3232</v>
      </c>
      <c r="C3234" s="3" t="n">
        <v>4</v>
      </c>
      <c r="D3234" s="3" t="n">
        <v>3</v>
      </c>
      <c r="E3234" s="3" t="n">
        <v>12</v>
      </c>
      <c r="F3234" s="24" t="n">
        <v>-0.605470479</v>
      </c>
    </row>
    <row r="3235" customFormat="false" ht="15" hidden="false" customHeight="false" outlineLevel="0" collapsed="false">
      <c r="A3235" s="3" t="n">
        <v>3234</v>
      </c>
      <c r="B3235" s="3" t="n">
        <v>3233</v>
      </c>
      <c r="C3235" s="3" t="n">
        <v>4</v>
      </c>
      <c r="D3235" s="3" t="n">
        <v>3</v>
      </c>
      <c r="E3235" s="3" t="n">
        <v>13</v>
      </c>
      <c r="F3235" s="24" t="n">
        <v>-0.605470479</v>
      </c>
    </row>
    <row r="3236" customFormat="false" ht="15" hidden="false" customHeight="false" outlineLevel="0" collapsed="false">
      <c r="A3236" s="3" t="n">
        <v>3235</v>
      </c>
      <c r="B3236" s="3" t="n">
        <v>3234</v>
      </c>
      <c r="C3236" s="3" t="n">
        <v>4</v>
      </c>
      <c r="D3236" s="3" t="n">
        <v>3</v>
      </c>
      <c r="E3236" s="3" t="n">
        <v>14</v>
      </c>
      <c r="F3236" s="24" t="n">
        <v>-0.605470479</v>
      </c>
    </row>
    <row r="3237" customFormat="false" ht="15" hidden="false" customHeight="false" outlineLevel="0" collapsed="false">
      <c r="A3237" s="3" t="n">
        <v>3236</v>
      </c>
      <c r="B3237" s="3" t="n">
        <v>3235</v>
      </c>
      <c r="C3237" s="3" t="n">
        <v>4</v>
      </c>
      <c r="D3237" s="3" t="n">
        <v>3</v>
      </c>
      <c r="E3237" s="3" t="n">
        <v>15</v>
      </c>
      <c r="F3237" s="24" t="n">
        <v>-0.605470479</v>
      </c>
    </row>
    <row r="3238" customFormat="false" ht="15" hidden="false" customHeight="false" outlineLevel="0" collapsed="false">
      <c r="A3238" s="3" t="n">
        <v>3237</v>
      </c>
      <c r="B3238" s="3" t="n">
        <v>3236</v>
      </c>
      <c r="C3238" s="3" t="n">
        <v>4</v>
      </c>
      <c r="D3238" s="3" t="n">
        <v>3</v>
      </c>
      <c r="E3238" s="3" t="n">
        <v>16</v>
      </c>
      <c r="F3238" s="24" t="n">
        <v>-0.605470479</v>
      </c>
    </row>
    <row r="3239" customFormat="false" ht="15" hidden="false" customHeight="false" outlineLevel="0" collapsed="false">
      <c r="A3239" s="3" t="n">
        <v>3238</v>
      </c>
      <c r="B3239" s="3" t="n">
        <v>3237</v>
      </c>
      <c r="C3239" s="3" t="n">
        <v>4</v>
      </c>
      <c r="D3239" s="3" t="n">
        <v>3</v>
      </c>
      <c r="E3239" s="3" t="n">
        <v>17</v>
      </c>
      <c r="F3239" s="24" t="n">
        <v>-0.605470479</v>
      </c>
    </row>
    <row r="3240" customFormat="false" ht="15" hidden="false" customHeight="false" outlineLevel="0" collapsed="false">
      <c r="A3240" s="3" t="n">
        <v>3239</v>
      </c>
      <c r="B3240" s="3" t="n">
        <v>3238</v>
      </c>
      <c r="C3240" s="3" t="n">
        <v>4</v>
      </c>
      <c r="D3240" s="3" t="n">
        <v>3</v>
      </c>
      <c r="E3240" s="3" t="n">
        <v>18</v>
      </c>
      <c r="F3240" s="24" t="n">
        <v>-0.605470479</v>
      </c>
    </row>
    <row r="3241" customFormat="false" ht="15" hidden="false" customHeight="false" outlineLevel="0" collapsed="false">
      <c r="A3241" s="3" t="n">
        <v>3240</v>
      </c>
      <c r="B3241" s="3" t="n">
        <v>3239</v>
      </c>
      <c r="C3241" s="3" t="n">
        <v>4</v>
      </c>
      <c r="D3241" s="3" t="n">
        <v>3</v>
      </c>
      <c r="E3241" s="3" t="n">
        <v>19</v>
      </c>
      <c r="F3241" s="24" t="n">
        <v>-0.605470479</v>
      </c>
    </row>
    <row r="3242" customFormat="false" ht="15" hidden="false" customHeight="false" outlineLevel="0" collapsed="false">
      <c r="A3242" s="3" t="n">
        <v>3241</v>
      </c>
      <c r="B3242" s="3" t="n">
        <v>3240</v>
      </c>
      <c r="C3242" s="3" t="n">
        <v>4</v>
      </c>
      <c r="D3242" s="3" t="n">
        <v>3</v>
      </c>
      <c r="E3242" s="3" t="n">
        <v>20</v>
      </c>
      <c r="F3242" s="24" t="n">
        <v>-0.605470479</v>
      </c>
    </row>
    <row r="3243" customFormat="false" ht="15" hidden="false" customHeight="false" outlineLevel="0" collapsed="false">
      <c r="A3243" s="3" t="n">
        <v>3242</v>
      </c>
      <c r="B3243" s="3" t="n">
        <v>3241</v>
      </c>
      <c r="C3243" s="3" t="n">
        <v>4</v>
      </c>
      <c r="D3243" s="3" t="n">
        <v>3</v>
      </c>
      <c r="E3243" s="3" t="n">
        <v>21</v>
      </c>
      <c r="F3243" s="24" t="n">
        <v>-0.605470479</v>
      </c>
    </row>
    <row r="3244" customFormat="false" ht="15" hidden="false" customHeight="false" outlineLevel="0" collapsed="false">
      <c r="A3244" s="3" t="n">
        <v>3243</v>
      </c>
      <c r="B3244" s="3" t="n">
        <v>3242</v>
      </c>
      <c r="C3244" s="3" t="n">
        <v>4</v>
      </c>
      <c r="D3244" s="3" t="n">
        <v>3</v>
      </c>
      <c r="E3244" s="3" t="n">
        <v>22</v>
      </c>
      <c r="F3244" s="24" t="n">
        <v>-0.605470479</v>
      </c>
    </row>
    <row r="3245" customFormat="false" ht="15" hidden="false" customHeight="false" outlineLevel="0" collapsed="false">
      <c r="A3245" s="3" t="n">
        <v>3244</v>
      </c>
      <c r="B3245" s="3" t="n">
        <v>3243</v>
      </c>
      <c r="C3245" s="3" t="n">
        <v>4</v>
      </c>
      <c r="D3245" s="3" t="n">
        <v>3</v>
      </c>
      <c r="E3245" s="3" t="n">
        <v>23</v>
      </c>
      <c r="F3245" s="24" t="n">
        <v>-0.605470479</v>
      </c>
    </row>
    <row r="3246" customFormat="false" ht="15" hidden="false" customHeight="false" outlineLevel="0" collapsed="false">
      <c r="A3246" s="3" t="n">
        <v>3245</v>
      </c>
      <c r="B3246" s="3" t="n">
        <v>3244</v>
      </c>
      <c r="C3246" s="3" t="n">
        <v>4</v>
      </c>
      <c r="D3246" s="3" t="n">
        <v>3</v>
      </c>
      <c r="E3246" s="3" t="n">
        <v>24</v>
      </c>
      <c r="F3246" s="24" t="n">
        <v>-0.605470479</v>
      </c>
    </row>
    <row r="3247" customFormat="false" ht="15" hidden="false" customHeight="false" outlineLevel="0" collapsed="false">
      <c r="A3247" s="3" t="n">
        <v>3246</v>
      </c>
      <c r="B3247" s="3" t="n">
        <v>3245</v>
      </c>
      <c r="C3247" s="3" t="n">
        <v>4</v>
      </c>
      <c r="D3247" s="3" t="n">
        <v>3</v>
      </c>
      <c r="E3247" s="3" t="n">
        <v>25</v>
      </c>
      <c r="F3247" s="24" t="n">
        <v>-0.605470479</v>
      </c>
    </row>
    <row r="3248" customFormat="false" ht="15" hidden="false" customHeight="false" outlineLevel="0" collapsed="false">
      <c r="A3248" s="3" t="n">
        <v>3247</v>
      </c>
      <c r="B3248" s="3" t="n">
        <v>3246</v>
      </c>
      <c r="C3248" s="3" t="n">
        <v>4</v>
      </c>
      <c r="D3248" s="3" t="n">
        <v>3</v>
      </c>
      <c r="E3248" s="3" t="n">
        <v>26</v>
      </c>
      <c r="F3248" s="24" t="n">
        <v>-0.605470479</v>
      </c>
    </row>
    <row r="3249" customFormat="false" ht="15" hidden="false" customHeight="false" outlineLevel="0" collapsed="false">
      <c r="A3249" s="3" t="n">
        <v>3248</v>
      </c>
      <c r="B3249" s="3" t="n">
        <v>3247</v>
      </c>
      <c r="C3249" s="3" t="n">
        <v>4</v>
      </c>
      <c r="D3249" s="3" t="n">
        <v>3</v>
      </c>
      <c r="E3249" s="3" t="n">
        <v>27</v>
      </c>
      <c r="F3249" s="24" t="n">
        <v>-0.469382077</v>
      </c>
    </row>
    <row r="3250" customFormat="false" ht="15" hidden="false" customHeight="false" outlineLevel="0" collapsed="false">
      <c r="A3250" s="3" t="n">
        <v>3249</v>
      </c>
      <c r="B3250" s="3" t="n">
        <v>3248</v>
      </c>
      <c r="C3250" s="3" t="n">
        <v>4</v>
      </c>
      <c r="D3250" s="3" t="n">
        <v>4</v>
      </c>
      <c r="E3250" s="3" t="n">
        <v>0</v>
      </c>
      <c r="F3250" s="24" t="n">
        <v>-0.515758276</v>
      </c>
    </row>
    <row r="3251" customFormat="false" ht="15" hidden="false" customHeight="false" outlineLevel="0" collapsed="false">
      <c r="A3251" s="3" t="n">
        <v>3250</v>
      </c>
      <c r="B3251" s="3" t="n">
        <v>3249</v>
      </c>
      <c r="C3251" s="3" t="n">
        <v>4</v>
      </c>
      <c r="D3251" s="3" t="n">
        <v>4</v>
      </c>
      <c r="E3251" s="3" t="n">
        <v>1</v>
      </c>
      <c r="F3251" s="24" t="n">
        <v>-0.605470479</v>
      </c>
    </row>
    <row r="3252" customFormat="false" ht="15" hidden="false" customHeight="false" outlineLevel="0" collapsed="false">
      <c r="A3252" s="3" t="n">
        <v>3251</v>
      </c>
      <c r="B3252" s="3" t="n">
        <v>3250</v>
      </c>
      <c r="C3252" s="3" t="n">
        <v>4</v>
      </c>
      <c r="D3252" s="3" t="n">
        <v>4</v>
      </c>
      <c r="E3252" s="3" t="n">
        <v>2</v>
      </c>
      <c r="F3252" s="24" t="n">
        <v>-0.605470479</v>
      </c>
    </row>
    <row r="3253" customFormat="false" ht="15" hidden="false" customHeight="false" outlineLevel="0" collapsed="false">
      <c r="A3253" s="3" t="n">
        <v>3252</v>
      </c>
      <c r="B3253" s="3" t="n">
        <v>3251</v>
      </c>
      <c r="C3253" s="3" t="n">
        <v>4</v>
      </c>
      <c r="D3253" s="3" t="n">
        <v>4</v>
      </c>
      <c r="E3253" s="3" t="n">
        <v>3</v>
      </c>
      <c r="F3253" s="24" t="n">
        <v>-0.605470479</v>
      </c>
    </row>
    <row r="3254" customFormat="false" ht="15" hidden="false" customHeight="false" outlineLevel="0" collapsed="false">
      <c r="A3254" s="3" t="n">
        <v>3253</v>
      </c>
      <c r="B3254" s="3" t="n">
        <v>3252</v>
      </c>
      <c r="C3254" s="3" t="n">
        <v>4</v>
      </c>
      <c r="D3254" s="3" t="n">
        <v>4</v>
      </c>
      <c r="E3254" s="3" t="n">
        <v>4</v>
      </c>
      <c r="F3254" s="24" t="n">
        <v>-0.605470479</v>
      </c>
    </row>
    <row r="3255" customFormat="false" ht="15" hidden="false" customHeight="false" outlineLevel="0" collapsed="false">
      <c r="A3255" s="3" t="n">
        <v>3254</v>
      </c>
      <c r="B3255" s="3" t="n">
        <v>3253</v>
      </c>
      <c r="C3255" s="3" t="n">
        <v>4</v>
      </c>
      <c r="D3255" s="3" t="n">
        <v>4</v>
      </c>
      <c r="E3255" s="3" t="n">
        <v>5</v>
      </c>
      <c r="F3255" s="24" t="n">
        <v>-0.605470479</v>
      </c>
    </row>
    <row r="3256" customFormat="false" ht="15" hidden="false" customHeight="false" outlineLevel="0" collapsed="false">
      <c r="A3256" s="3" t="n">
        <v>3255</v>
      </c>
      <c r="B3256" s="3" t="n">
        <v>3254</v>
      </c>
      <c r="C3256" s="3" t="n">
        <v>4</v>
      </c>
      <c r="D3256" s="3" t="n">
        <v>4</v>
      </c>
      <c r="E3256" s="3" t="n">
        <v>6</v>
      </c>
      <c r="F3256" s="24" t="n">
        <v>-0.605470479</v>
      </c>
    </row>
    <row r="3257" customFormat="false" ht="15" hidden="false" customHeight="false" outlineLevel="0" collapsed="false">
      <c r="A3257" s="3" t="n">
        <v>3256</v>
      </c>
      <c r="B3257" s="3" t="n">
        <v>3255</v>
      </c>
      <c r="C3257" s="3" t="n">
        <v>4</v>
      </c>
      <c r="D3257" s="3" t="n">
        <v>4</v>
      </c>
      <c r="E3257" s="3" t="n">
        <v>7</v>
      </c>
      <c r="F3257" s="24" t="n">
        <v>-0.605470479</v>
      </c>
    </row>
    <row r="3258" customFormat="false" ht="15" hidden="false" customHeight="false" outlineLevel="0" collapsed="false">
      <c r="A3258" s="3" t="n">
        <v>3257</v>
      </c>
      <c r="B3258" s="3" t="n">
        <v>3256</v>
      </c>
      <c r="C3258" s="3" t="n">
        <v>4</v>
      </c>
      <c r="D3258" s="3" t="n">
        <v>4</v>
      </c>
      <c r="E3258" s="3" t="n">
        <v>8</v>
      </c>
      <c r="F3258" s="24" t="n">
        <v>-0.605470479</v>
      </c>
    </row>
    <row r="3259" customFormat="false" ht="15" hidden="false" customHeight="false" outlineLevel="0" collapsed="false">
      <c r="A3259" s="3" t="n">
        <v>3258</v>
      </c>
      <c r="B3259" s="3" t="n">
        <v>3257</v>
      </c>
      <c r="C3259" s="3" t="n">
        <v>4</v>
      </c>
      <c r="D3259" s="3" t="n">
        <v>4</v>
      </c>
      <c r="E3259" s="3" t="n">
        <v>9</v>
      </c>
      <c r="F3259" s="24" t="n">
        <v>-0.605470479</v>
      </c>
    </row>
    <row r="3260" customFormat="false" ht="15" hidden="false" customHeight="false" outlineLevel="0" collapsed="false">
      <c r="A3260" s="3" t="n">
        <v>3259</v>
      </c>
      <c r="B3260" s="3" t="n">
        <v>3258</v>
      </c>
      <c r="C3260" s="3" t="n">
        <v>4</v>
      </c>
      <c r="D3260" s="3" t="n">
        <v>4</v>
      </c>
      <c r="E3260" s="3" t="n">
        <v>10</v>
      </c>
      <c r="F3260" s="24" t="n">
        <v>-0.605470479</v>
      </c>
    </row>
    <row r="3261" customFormat="false" ht="15" hidden="false" customHeight="false" outlineLevel="0" collapsed="false">
      <c r="A3261" s="3" t="n">
        <v>3260</v>
      </c>
      <c r="B3261" s="3" t="n">
        <v>3259</v>
      </c>
      <c r="C3261" s="3" t="n">
        <v>4</v>
      </c>
      <c r="D3261" s="3" t="n">
        <v>4</v>
      </c>
      <c r="E3261" s="3" t="n">
        <v>11</v>
      </c>
      <c r="F3261" s="24" t="n">
        <v>-0.605470479</v>
      </c>
    </row>
    <row r="3262" customFormat="false" ht="15" hidden="false" customHeight="false" outlineLevel="0" collapsed="false">
      <c r="A3262" s="3" t="n">
        <v>3261</v>
      </c>
      <c r="B3262" s="3" t="n">
        <v>3260</v>
      </c>
      <c r="C3262" s="3" t="n">
        <v>4</v>
      </c>
      <c r="D3262" s="3" t="n">
        <v>4</v>
      </c>
      <c r="E3262" s="3" t="n">
        <v>12</v>
      </c>
      <c r="F3262" s="24" t="n">
        <v>-0.605470479</v>
      </c>
    </row>
    <row r="3263" customFormat="false" ht="15" hidden="false" customHeight="false" outlineLevel="0" collapsed="false">
      <c r="A3263" s="3" t="n">
        <v>3262</v>
      </c>
      <c r="B3263" s="3" t="n">
        <v>3261</v>
      </c>
      <c r="C3263" s="3" t="n">
        <v>4</v>
      </c>
      <c r="D3263" s="3" t="n">
        <v>4</v>
      </c>
      <c r="E3263" s="3" t="n">
        <v>13</v>
      </c>
      <c r="F3263" s="24" t="n">
        <v>-0.605470479</v>
      </c>
    </row>
    <row r="3264" customFormat="false" ht="15" hidden="false" customHeight="false" outlineLevel="0" collapsed="false">
      <c r="A3264" s="3" t="n">
        <v>3263</v>
      </c>
      <c r="B3264" s="3" t="n">
        <v>3262</v>
      </c>
      <c r="C3264" s="3" t="n">
        <v>4</v>
      </c>
      <c r="D3264" s="3" t="n">
        <v>4</v>
      </c>
      <c r="E3264" s="3" t="n">
        <v>14</v>
      </c>
      <c r="F3264" s="24" t="n">
        <v>-0.605470479</v>
      </c>
    </row>
    <row r="3265" customFormat="false" ht="15" hidden="false" customHeight="false" outlineLevel="0" collapsed="false">
      <c r="A3265" s="3" t="n">
        <v>3264</v>
      </c>
      <c r="B3265" s="3" t="n">
        <v>3263</v>
      </c>
      <c r="C3265" s="3" t="n">
        <v>4</v>
      </c>
      <c r="D3265" s="3" t="n">
        <v>4</v>
      </c>
      <c r="E3265" s="3" t="n">
        <v>15</v>
      </c>
      <c r="F3265" s="24" t="n">
        <v>-0.605470479</v>
      </c>
    </row>
    <row r="3266" customFormat="false" ht="15" hidden="false" customHeight="false" outlineLevel="0" collapsed="false">
      <c r="A3266" s="3" t="n">
        <v>3265</v>
      </c>
      <c r="B3266" s="3" t="n">
        <v>3264</v>
      </c>
      <c r="C3266" s="3" t="n">
        <v>4</v>
      </c>
      <c r="D3266" s="3" t="n">
        <v>4</v>
      </c>
      <c r="E3266" s="3" t="n">
        <v>16</v>
      </c>
      <c r="F3266" s="24" t="n">
        <v>-0.605470479</v>
      </c>
    </row>
    <row r="3267" customFormat="false" ht="15" hidden="false" customHeight="false" outlineLevel="0" collapsed="false">
      <c r="A3267" s="3" t="n">
        <v>3266</v>
      </c>
      <c r="B3267" s="3" t="n">
        <v>3265</v>
      </c>
      <c r="C3267" s="3" t="n">
        <v>4</v>
      </c>
      <c r="D3267" s="3" t="n">
        <v>4</v>
      </c>
      <c r="E3267" s="3" t="n">
        <v>17</v>
      </c>
      <c r="F3267" s="24" t="n">
        <v>-0.605470479</v>
      </c>
    </row>
    <row r="3268" customFormat="false" ht="15" hidden="false" customHeight="false" outlineLevel="0" collapsed="false">
      <c r="A3268" s="3" t="n">
        <v>3267</v>
      </c>
      <c r="B3268" s="3" t="n">
        <v>3266</v>
      </c>
      <c r="C3268" s="3" t="n">
        <v>4</v>
      </c>
      <c r="D3268" s="3" t="n">
        <v>4</v>
      </c>
      <c r="E3268" s="3" t="n">
        <v>18</v>
      </c>
      <c r="F3268" s="24" t="n">
        <v>-0.605470479</v>
      </c>
    </row>
    <row r="3269" customFormat="false" ht="15" hidden="false" customHeight="false" outlineLevel="0" collapsed="false">
      <c r="A3269" s="3" t="n">
        <v>3268</v>
      </c>
      <c r="B3269" s="3" t="n">
        <v>3267</v>
      </c>
      <c r="C3269" s="3" t="n">
        <v>4</v>
      </c>
      <c r="D3269" s="3" t="n">
        <v>4</v>
      </c>
      <c r="E3269" s="3" t="n">
        <v>19</v>
      </c>
      <c r="F3269" s="24" t="n">
        <v>-0.605470479</v>
      </c>
    </row>
    <row r="3270" customFormat="false" ht="15" hidden="false" customHeight="false" outlineLevel="0" collapsed="false">
      <c r="A3270" s="3" t="n">
        <v>3269</v>
      </c>
      <c r="B3270" s="3" t="n">
        <v>3268</v>
      </c>
      <c r="C3270" s="3" t="n">
        <v>4</v>
      </c>
      <c r="D3270" s="3" t="n">
        <v>4</v>
      </c>
      <c r="E3270" s="3" t="n">
        <v>20</v>
      </c>
      <c r="F3270" s="24" t="n">
        <v>-0.605470479</v>
      </c>
    </row>
    <row r="3271" customFormat="false" ht="15" hidden="false" customHeight="false" outlineLevel="0" collapsed="false">
      <c r="A3271" s="3" t="n">
        <v>3270</v>
      </c>
      <c r="B3271" s="3" t="n">
        <v>3269</v>
      </c>
      <c r="C3271" s="3" t="n">
        <v>4</v>
      </c>
      <c r="D3271" s="3" t="n">
        <v>4</v>
      </c>
      <c r="E3271" s="3" t="n">
        <v>21</v>
      </c>
      <c r="F3271" s="24" t="n">
        <v>-0.605470479</v>
      </c>
    </row>
    <row r="3272" customFormat="false" ht="15" hidden="false" customHeight="false" outlineLevel="0" collapsed="false">
      <c r="A3272" s="3" t="n">
        <v>3271</v>
      </c>
      <c r="B3272" s="3" t="n">
        <v>3270</v>
      </c>
      <c r="C3272" s="3" t="n">
        <v>4</v>
      </c>
      <c r="D3272" s="3" t="n">
        <v>4</v>
      </c>
      <c r="E3272" s="3" t="n">
        <v>22</v>
      </c>
      <c r="F3272" s="24" t="n">
        <v>-0.605470479</v>
      </c>
    </row>
    <row r="3273" customFormat="false" ht="15" hidden="false" customHeight="false" outlineLevel="0" collapsed="false">
      <c r="A3273" s="3" t="n">
        <v>3272</v>
      </c>
      <c r="B3273" s="3" t="n">
        <v>3271</v>
      </c>
      <c r="C3273" s="3" t="n">
        <v>4</v>
      </c>
      <c r="D3273" s="3" t="n">
        <v>4</v>
      </c>
      <c r="E3273" s="3" t="n">
        <v>23</v>
      </c>
      <c r="F3273" s="24" t="n">
        <v>-0.605470479</v>
      </c>
    </row>
    <row r="3274" customFormat="false" ht="15" hidden="false" customHeight="false" outlineLevel="0" collapsed="false">
      <c r="A3274" s="3" t="n">
        <v>3273</v>
      </c>
      <c r="B3274" s="3" t="n">
        <v>3272</v>
      </c>
      <c r="C3274" s="3" t="n">
        <v>4</v>
      </c>
      <c r="D3274" s="3" t="n">
        <v>4</v>
      </c>
      <c r="E3274" s="3" t="n">
        <v>24</v>
      </c>
      <c r="F3274" s="24" t="n">
        <v>-0.605470479</v>
      </c>
    </row>
    <row r="3275" customFormat="false" ht="15" hidden="false" customHeight="false" outlineLevel="0" collapsed="false">
      <c r="A3275" s="3" t="n">
        <v>3274</v>
      </c>
      <c r="B3275" s="3" t="n">
        <v>3273</v>
      </c>
      <c r="C3275" s="3" t="n">
        <v>4</v>
      </c>
      <c r="D3275" s="3" t="n">
        <v>4</v>
      </c>
      <c r="E3275" s="3" t="n">
        <v>25</v>
      </c>
      <c r="F3275" s="24" t="n">
        <v>-0.605470479</v>
      </c>
    </row>
    <row r="3276" customFormat="false" ht="15" hidden="false" customHeight="false" outlineLevel="0" collapsed="false">
      <c r="A3276" s="3" t="n">
        <v>3275</v>
      </c>
      <c r="B3276" s="3" t="n">
        <v>3274</v>
      </c>
      <c r="C3276" s="3" t="n">
        <v>4</v>
      </c>
      <c r="D3276" s="3" t="n">
        <v>4</v>
      </c>
      <c r="E3276" s="3" t="n">
        <v>26</v>
      </c>
      <c r="F3276" s="24" t="n">
        <v>-0.605470479</v>
      </c>
    </row>
    <row r="3277" customFormat="false" ht="15" hidden="false" customHeight="false" outlineLevel="0" collapsed="false">
      <c r="A3277" s="3" t="n">
        <v>3276</v>
      </c>
      <c r="B3277" s="3" t="n">
        <v>3275</v>
      </c>
      <c r="C3277" s="3" t="n">
        <v>4</v>
      </c>
      <c r="D3277" s="3" t="n">
        <v>4</v>
      </c>
      <c r="E3277" s="3" t="n">
        <v>27</v>
      </c>
      <c r="F3277" s="24" t="n">
        <v>-0.469382077</v>
      </c>
    </row>
    <row r="3278" customFormat="false" ht="15" hidden="false" customHeight="false" outlineLevel="0" collapsed="false">
      <c r="A3278" s="3" t="n">
        <v>3277</v>
      </c>
      <c r="B3278" s="3" t="n">
        <v>3276</v>
      </c>
      <c r="C3278" s="3" t="n">
        <v>4</v>
      </c>
      <c r="D3278" s="3" t="n">
        <v>5</v>
      </c>
      <c r="E3278" s="3" t="n">
        <v>0</v>
      </c>
      <c r="F3278" s="24" t="n">
        <v>-0.515758276</v>
      </c>
    </row>
    <row r="3279" customFormat="false" ht="15" hidden="false" customHeight="false" outlineLevel="0" collapsed="false">
      <c r="A3279" s="3" t="n">
        <v>3278</v>
      </c>
      <c r="B3279" s="3" t="n">
        <v>3277</v>
      </c>
      <c r="C3279" s="3" t="n">
        <v>4</v>
      </c>
      <c r="D3279" s="3" t="n">
        <v>5</v>
      </c>
      <c r="E3279" s="3" t="n">
        <v>1</v>
      </c>
      <c r="F3279" s="24" t="n">
        <v>-0.605470479</v>
      </c>
    </row>
    <row r="3280" customFormat="false" ht="15" hidden="false" customHeight="false" outlineLevel="0" collapsed="false">
      <c r="A3280" s="3" t="n">
        <v>3279</v>
      </c>
      <c r="B3280" s="3" t="n">
        <v>3278</v>
      </c>
      <c r="C3280" s="3" t="n">
        <v>4</v>
      </c>
      <c r="D3280" s="3" t="n">
        <v>5</v>
      </c>
      <c r="E3280" s="3" t="n">
        <v>2</v>
      </c>
      <c r="F3280" s="24" t="n">
        <v>-0.605470479</v>
      </c>
    </row>
    <row r="3281" customFormat="false" ht="15" hidden="false" customHeight="false" outlineLevel="0" collapsed="false">
      <c r="A3281" s="3" t="n">
        <v>3280</v>
      </c>
      <c r="B3281" s="3" t="n">
        <v>3279</v>
      </c>
      <c r="C3281" s="3" t="n">
        <v>4</v>
      </c>
      <c r="D3281" s="3" t="n">
        <v>5</v>
      </c>
      <c r="E3281" s="3" t="n">
        <v>3</v>
      </c>
      <c r="F3281" s="24" t="n">
        <v>-0.605470479</v>
      </c>
    </row>
    <row r="3282" customFormat="false" ht="15" hidden="false" customHeight="false" outlineLevel="0" collapsed="false">
      <c r="A3282" s="3" t="n">
        <v>3281</v>
      </c>
      <c r="B3282" s="3" t="n">
        <v>3280</v>
      </c>
      <c r="C3282" s="3" t="n">
        <v>4</v>
      </c>
      <c r="D3282" s="3" t="n">
        <v>5</v>
      </c>
      <c r="E3282" s="3" t="n">
        <v>4</v>
      </c>
      <c r="F3282" s="24" t="n">
        <v>-0.605470479</v>
      </c>
    </row>
    <row r="3283" customFormat="false" ht="15" hidden="false" customHeight="false" outlineLevel="0" collapsed="false">
      <c r="A3283" s="3" t="n">
        <v>3282</v>
      </c>
      <c r="B3283" s="3" t="n">
        <v>3281</v>
      </c>
      <c r="C3283" s="3" t="n">
        <v>4</v>
      </c>
      <c r="D3283" s="3" t="n">
        <v>5</v>
      </c>
      <c r="E3283" s="3" t="n">
        <v>5</v>
      </c>
      <c r="F3283" s="24" t="n">
        <v>-0.605470479</v>
      </c>
    </row>
    <row r="3284" customFormat="false" ht="15" hidden="false" customHeight="false" outlineLevel="0" collapsed="false">
      <c r="A3284" s="3" t="n">
        <v>3283</v>
      </c>
      <c r="B3284" s="3" t="n">
        <v>3282</v>
      </c>
      <c r="C3284" s="3" t="n">
        <v>4</v>
      </c>
      <c r="D3284" s="3" t="n">
        <v>5</v>
      </c>
      <c r="E3284" s="3" t="n">
        <v>6</v>
      </c>
      <c r="F3284" s="24" t="n">
        <v>-0.605470479</v>
      </c>
    </row>
    <row r="3285" customFormat="false" ht="15" hidden="false" customHeight="false" outlineLevel="0" collapsed="false">
      <c r="A3285" s="3" t="n">
        <v>3284</v>
      </c>
      <c r="B3285" s="3" t="n">
        <v>3283</v>
      </c>
      <c r="C3285" s="3" t="n">
        <v>4</v>
      </c>
      <c r="D3285" s="3" t="n">
        <v>5</v>
      </c>
      <c r="E3285" s="3" t="n">
        <v>7</v>
      </c>
      <c r="F3285" s="24" t="n">
        <v>-0.605470479</v>
      </c>
    </row>
    <row r="3286" customFormat="false" ht="15" hidden="false" customHeight="false" outlineLevel="0" collapsed="false">
      <c r="A3286" s="3" t="n">
        <v>3285</v>
      </c>
      <c r="B3286" s="3" t="n">
        <v>3284</v>
      </c>
      <c r="C3286" s="3" t="n">
        <v>4</v>
      </c>
      <c r="D3286" s="3" t="n">
        <v>5</v>
      </c>
      <c r="E3286" s="3" t="n">
        <v>8</v>
      </c>
      <c r="F3286" s="24" t="n">
        <v>-0.605470479</v>
      </c>
    </row>
    <row r="3287" customFormat="false" ht="15" hidden="false" customHeight="false" outlineLevel="0" collapsed="false">
      <c r="A3287" s="3" t="n">
        <v>3286</v>
      </c>
      <c r="B3287" s="3" t="n">
        <v>3285</v>
      </c>
      <c r="C3287" s="3" t="n">
        <v>4</v>
      </c>
      <c r="D3287" s="3" t="n">
        <v>5</v>
      </c>
      <c r="E3287" s="3" t="n">
        <v>9</v>
      </c>
      <c r="F3287" s="24" t="n">
        <v>-0.605470479</v>
      </c>
    </row>
    <row r="3288" customFormat="false" ht="15" hidden="false" customHeight="false" outlineLevel="0" collapsed="false">
      <c r="A3288" s="3" t="n">
        <v>3287</v>
      </c>
      <c r="B3288" s="3" t="n">
        <v>3286</v>
      </c>
      <c r="C3288" s="3" t="n">
        <v>4</v>
      </c>
      <c r="D3288" s="3" t="n">
        <v>5</v>
      </c>
      <c r="E3288" s="3" t="n">
        <v>10</v>
      </c>
      <c r="F3288" s="24" t="n">
        <v>-0.605470479</v>
      </c>
    </row>
    <row r="3289" customFormat="false" ht="15" hidden="false" customHeight="false" outlineLevel="0" collapsed="false">
      <c r="A3289" s="3" t="n">
        <v>3288</v>
      </c>
      <c r="B3289" s="3" t="n">
        <v>3287</v>
      </c>
      <c r="C3289" s="3" t="n">
        <v>4</v>
      </c>
      <c r="D3289" s="3" t="n">
        <v>5</v>
      </c>
      <c r="E3289" s="3" t="n">
        <v>11</v>
      </c>
      <c r="F3289" s="24" t="n">
        <v>-0.605470479</v>
      </c>
    </row>
    <row r="3290" customFormat="false" ht="15" hidden="false" customHeight="false" outlineLevel="0" collapsed="false">
      <c r="A3290" s="3" t="n">
        <v>3289</v>
      </c>
      <c r="B3290" s="3" t="n">
        <v>3288</v>
      </c>
      <c r="C3290" s="3" t="n">
        <v>4</v>
      </c>
      <c r="D3290" s="3" t="n">
        <v>5</v>
      </c>
      <c r="E3290" s="3" t="n">
        <v>12</v>
      </c>
      <c r="F3290" s="24" t="n">
        <v>-0.605470479</v>
      </c>
    </row>
    <row r="3291" customFormat="false" ht="15" hidden="false" customHeight="false" outlineLevel="0" collapsed="false">
      <c r="A3291" s="3" t="n">
        <v>3290</v>
      </c>
      <c r="B3291" s="3" t="n">
        <v>3289</v>
      </c>
      <c r="C3291" s="3" t="n">
        <v>4</v>
      </c>
      <c r="D3291" s="3" t="n">
        <v>5</v>
      </c>
      <c r="E3291" s="3" t="n">
        <v>13</v>
      </c>
      <c r="F3291" s="24" t="n">
        <v>-0.605470479</v>
      </c>
    </row>
    <row r="3292" customFormat="false" ht="15" hidden="false" customHeight="false" outlineLevel="0" collapsed="false">
      <c r="A3292" s="3" t="n">
        <v>3291</v>
      </c>
      <c r="B3292" s="3" t="n">
        <v>3290</v>
      </c>
      <c r="C3292" s="3" t="n">
        <v>4</v>
      </c>
      <c r="D3292" s="3" t="n">
        <v>5</v>
      </c>
      <c r="E3292" s="3" t="n">
        <v>14</v>
      </c>
      <c r="F3292" s="24" t="n">
        <v>-0.605470479</v>
      </c>
    </row>
    <row r="3293" customFormat="false" ht="15" hidden="false" customHeight="false" outlineLevel="0" collapsed="false">
      <c r="A3293" s="3" t="n">
        <v>3292</v>
      </c>
      <c r="B3293" s="3" t="n">
        <v>3291</v>
      </c>
      <c r="C3293" s="3" t="n">
        <v>4</v>
      </c>
      <c r="D3293" s="3" t="n">
        <v>5</v>
      </c>
      <c r="E3293" s="3" t="n">
        <v>15</v>
      </c>
      <c r="F3293" s="24" t="n">
        <v>-0.605470479</v>
      </c>
    </row>
    <row r="3294" customFormat="false" ht="15" hidden="false" customHeight="false" outlineLevel="0" collapsed="false">
      <c r="A3294" s="3" t="n">
        <v>3293</v>
      </c>
      <c r="B3294" s="3" t="n">
        <v>3292</v>
      </c>
      <c r="C3294" s="3" t="n">
        <v>4</v>
      </c>
      <c r="D3294" s="3" t="n">
        <v>5</v>
      </c>
      <c r="E3294" s="3" t="n">
        <v>16</v>
      </c>
      <c r="F3294" s="24" t="n">
        <v>-0.605470479</v>
      </c>
    </row>
    <row r="3295" customFormat="false" ht="15" hidden="false" customHeight="false" outlineLevel="0" collapsed="false">
      <c r="A3295" s="3" t="n">
        <v>3294</v>
      </c>
      <c r="B3295" s="3" t="n">
        <v>3293</v>
      </c>
      <c r="C3295" s="3" t="n">
        <v>4</v>
      </c>
      <c r="D3295" s="3" t="n">
        <v>5</v>
      </c>
      <c r="E3295" s="3" t="n">
        <v>17</v>
      </c>
      <c r="F3295" s="24" t="n">
        <v>-0.605470479</v>
      </c>
    </row>
    <row r="3296" customFormat="false" ht="15" hidden="false" customHeight="false" outlineLevel="0" collapsed="false">
      <c r="A3296" s="3" t="n">
        <v>3295</v>
      </c>
      <c r="B3296" s="3" t="n">
        <v>3294</v>
      </c>
      <c r="C3296" s="3" t="n">
        <v>4</v>
      </c>
      <c r="D3296" s="3" t="n">
        <v>5</v>
      </c>
      <c r="E3296" s="3" t="n">
        <v>18</v>
      </c>
      <c r="F3296" s="24" t="n">
        <v>-0.605470479</v>
      </c>
    </row>
    <row r="3297" customFormat="false" ht="15" hidden="false" customHeight="false" outlineLevel="0" collapsed="false">
      <c r="A3297" s="3" t="n">
        <v>3296</v>
      </c>
      <c r="B3297" s="3" t="n">
        <v>3295</v>
      </c>
      <c r="C3297" s="3" t="n">
        <v>4</v>
      </c>
      <c r="D3297" s="3" t="n">
        <v>5</v>
      </c>
      <c r="E3297" s="3" t="n">
        <v>19</v>
      </c>
      <c r="F3297" s="24" t="n">
        <v>-0.605470479</v>
      </c>
    </row>
    <row r="3298" customFormat="false" ht="15" hidden="false" customHeight="false" outlineLevel="0" collapsed="false">
      <c r="A3298" s="3" t="n">
        <v>3297</v>
      </c>
      <c r="B3298" s="3" t="n">
        <v>3296</v>
      </c>
      <c r="C3298" s="3" t="n">
        <v>4</v>
      </c>
      <c r="D3298" s="3" t="n">
        <v>5</v>
      </c>
      <c r="E3298" s="3" t="n">
        <v>20</v>
      </c>
      <c r="F3298" s="24" t="n">
        <v>-0.605470479</v>
      </c>
    </row>
    <row r="3299" customFormat="false" ht="15" hidden="false" customHeight="false" outlineLevel="0" collapsed="false">
      <c r="A3299" s="3" t="n">
        <v>3298</v>
      </c>
      <c r="B3299" s="3" t="n">
        <v>3297</v>
      </c>
      <c r="C3299" s="3" t="n">
        <v>4</v>
      </c>
      <c r="D3299" s="3" t="n">
        <v>5</v>
      </c>
      <c r="E3299" s="3" t="n">
        <v>21</v>
      </c>
      <c r="F3299" s="24" t="n">
        <v>-0.605470479</v>
      </c>
    </row>
    <row r="3300" customFormat="false" ht="15" hidden="false" customHeight="false" outlineLevel="0" collapsed="false">
      <c r="A3300" s="3" t="n">
        <v>3299</v>
      </c>
      <c r="B3300" s="3" t="n">
        <v>3298</v>
      </c>
      <c r="C3300" s="3" t="n">
        <v>4</v>
      </c>
      <c r="D3300" s="3" t="n">
        <v>5</v>
      </c>
      <c r="E3300" s="3" t="n">
        <v>22</v>
      </c>
      <c r="F3300" s="24" t="n">
        <v>-0.605470479</v>
      </c>
    </row>
    <row r="3301" customFormat="false" ht="15" hidden="false" customHeight="false" outlineLevel="0" collapsed="false">
      <c r="A3301" s="3" t="n">
        <v>3300</v>
      </c>
      <c r="B3301" s="3" t="n">
        <v>3299</v>
      </c>
      <c r="C3301" s="3" t="n">
        <v>4</v>
      </c>
      <c r="D3301" s="3" t="n">
        <v>5</v>
      </c>
      <c r="E3301" s="3" t="n">
        <v>23</v>
      </c>
      <c r="F3301" s="24" t="n">
        <v>-0.605470479</v>
      </c>
    </row>
    <row r="3302" customFormat="false" ht="15" hidden="false" customHeight="false" outlineLevel="0" collapsed="false">
      <c r="A3302" s="3" t="n">
        <v>3301</v>
      </c>
      <c r="B3302" s="3" t="n">
        <v>3300</v>
      </c>
      <c r="C3302" s="3" t="n">
        <v>4</v>
      </c>
      <c r="D3302" s="3" t="n">
        <v>5</v>
      </c>
      <c r="E3302" s="3" t="n">
        <v>24</v>
      </c>
      <c r="F3302" s="24" t="n">
        <v>-0.605470479</v>
      </c>
    </row>
    <row r="3303" customFormat="false" ht="15" hidden="false" customHeight="false" outlineLevel="0" collapsed="false">
      <c r="A3303" s="3" t="n">
        <v>3302</v>
      </c>
      <c r="B3303" s="3" t="n">
        <v>3301</v>
      </c>
      <c r="C3303" s="3" t="n">
        <v>4</v>
      </c>
      <c r="D3303" s="3" t="n">
        <v>5</v>
      </c>
      <c r="E3303" s="3" t="n">
        <v>25</v>
      </c>
      <c r="F3303" s="24" t="n">
        <v>-0.605470479</v>
      </c>
    </row>
    <row r="3304" customFormat="false" ht="15" hidden="false" customHeight="false" outlineLevel="0" collapsed="false">
      <c r="A3304" s="3" t="n">
        <v>3303</v>
      </c>
      <c r="B3304" s="3" t="n">
        <v>3302</v>
      </c>
      <c r="C3304" s="3" t="n">
        <v>4</v>
      </c>
      <c r="D3304" s="3" t="n">
        <v>5</v>
      </c>
      <c r="E3304" s="3" t="n">
        <v>26</v>
      </c>
      <c r="F3304" s="24" t="n">
        <v>-0.605470479</v>
      </c>
    </row>
    <row r="3305" customFormat="false" ht="15" hidden="false" customHeight="false" outlineLevel="0" collapsed="false">
      <c r="A3305" s="3" t="n">
        <v>3304</v>
      </c>
      <c r="B3305" s="3" t="n">
        <v>3303</v>
      </c>
      <c r="C3305" s="3" t="n">
        <v>4</v>
      </c>
      <c r="D3305" s="3" t="n">
        <v>5</v>
      </c>
      <c r="E3305" s="3" t="n">
        <v>27</v>
      </c>
      <c r="F3305" s="24" t="n">
        <v>-0.469382077</v>
      </c>
    </row>
    <row r="3306" customFormat="false" ht="15" hidden="false" customHeight="false" outlineLevel="0" collapsed="false">
      <c r="A3306" s="3" t="n">
        <v>3305</v>
      </c>
      <c r="B3306" s="3" t="n">
        <v>3304</v>
      </c>
      <c r="C3306" s="3" t="n">
        <v>4</v>
      </c>
      <c r="D3306" s="3" t="n">
        <v>6</v>
      </c>
      <c r="E3306" s="3" t="n">
        <v>0</v>
      </c>
      <c r="F3306" s="24" t="n">
        <v>-0.515758276</v>
      </c>
    </row>
    <row r="3307" customFormat="false" ht="15" hidden="false" customHeight="false" outlineLevel="0" collapsed="false">
      <c r="A3307" s="3" t="n">
        <v>3306</v>
      </c>
      <c r="B3307" s="3" t="n">
        <v>3305</v>
      </c>
      <c r="C3307" s="3" t="n">
        <v>4</v>
      </c>
      <c r="D3307" s="3" t="n">
        <v>6</v>
      </c>
      <c r="E3307" s="3" t="n">
        <v>1</v>
      </c>
      <c r="F3307" s="24" t="n">
        <v>-0.605470479</v>
      </c>
    </row>
    <row r="3308" customFormat="false" ht="15" hidden="false" customHeight="false" outlineLevel="0" collapsed="false">
      <c r="A3308" s="3" t="n">
        <v>3307</v>
      </c>
      <c r="B3308" s="3" t="n">
        <v>3306</v>
      </c>
      <c r="C3308" s="3" t="n">
        <v>4</v>
      </c>
      <c r="D3308" s="3" t="n">
        <v>6</v>
      </c>
      <c r="E3308" s="3" t="n">
        <v>2</v>
      </c>
      <c r="F3308" s="24" t="n">
        <v>-0.605470479</v>
      </c>
    </row>
    <row r="3309" customFormat="false" ht="15" hidden="false" customHeight="false" outlineLevel="0" collapsed="false">
      <c r="A3309" s="3" t="n">
        <v>3308</v>
      </c>
      <c r="B3309" s="3" t="n">
        <v>3307</v>
      </c>
      <c r="C3309" s="3" t="n">
        <v>4</v>
      </c>
      <c r="D3309" s="3" t="n">
        <v>6</v>
      </c>
      <c r="E3309" s="3" t="n">
        <v>3</v>
      </c>
      <c r="F3309" s="24" t="n">
        <v>-0.605470479</v>
      </c>
    </row>
    <row r="3310" customFormat="false" ht="15" hidden="false" customHeight="false" outlineLevel="0" collapsed="false">
      <c r="A3310" s="3" t="n">
        <v>3309</v>
      </c>
      <c r="B3310" s="3" t="n">
        <v>3308</v>
      </c>
      <c r="C3310" s="3" t="n">
        <v>4</v>
      </c>
      <c r="D3310" s="3" t="n">
        <v>6</v>
      </c>
      <c r="E3310" s="3" t="n">
        <v>4</v>
      </c>
      <c r="F3310" s="24" t="n">
        <v>-0.605470479</v>
      </c>
    </row>
    <row r="3311" customFormat="false" ht="15" hidden="false" customHeight="false" outlineLevel="0" collapsed="false">
      <c r="A3311" s="3" t="n">
        <v>3310</v>
      </c>
      <c r="B3311" s="3" t="n">
        <v>3309</v>
      </c>
      <c r="C3311" s="3" t="n">
        <v>4</v>
      </c>
      <c r="D3311" s="3" t="n">
        <v>6</v>
      </c>
      <c r="E3311" s="3" t="n">
        <v>5</v>
      </c>
      <c r="F3311" s="24" t="n">
        <v>-0.318225563</v>
      </c>
    </row>
    <row r="3312" customFormat="false" ht="15" hidden="false" customHeight="false" outlineLevel="0" collapsed="false">
      <c r="A3312" s="3" t="n">
        <v>3311</v>
      </c>
      <c r="B3312" s="3" t="n">
        <v>3310</v>
      </c>
      <c r="C3312" s="3" t="n">
        <v>4</v>
      </c>
      <c r="D3312" s="3" t="n">
        <v>6</v>
      </c>
      <c r="E3312" s="3" t="n">
        <v>6</v>
      </c>
      <c r="F3312" s="24" t="n">
        <v>0.48443532</v>
      </c>
    </row>
    <row r="3313" customFormat="false" ht="15" hidden="false" customHeight="false" outlineLevel="0" collapsed="false">
      <c r="A3313" s="3" t="n">
        <v>3312</v>
      </c>
      <c r="B3313" s="3" t="n">
        <v>3311</v>
      </c>
      <c r="C3313" s="3" t="n">
        <v>4</v>
      </c>
      <c r="D3313" s="3" t="n">
        <v>6</v>
      </c>
      <c r="E3313" s="3" t="n">
        <v>7</v>
      </c>
      <c r="F3313" s="24" t="n">
        <v>1.30407774</v>
      </c>
    </row>
    <row r="3314" customFormat="false" ht="15" hidden="false" customHeight="false" outlineLevel="0" collapsed="false">
      <c r="A3314" s="3" t="n">
        <v>3313</v>
      </c>
      <c r="B3314" s="3" t="n">
        <v>3312</v>
      </c>
      <c r="C3314" s="3" t="n">
        <v>4</v>
      </c>
      <c r="D3314" s="3" t="n">
        <v>6</v>
      </c>
      <c r="E3314" s="3" t="n">
        <v>8</v>
      </c>
      <c r="F3314" s="24" t="n">
        <v>1.56650305</v>
      </c>
    </row>
    <row r="3315" customFormat="false" ht="15" hidden="false" customHeight="false" outlineLevel="0" collapsed="false">
      <c r="A3315" s="3" t="n">
        <v>3314</v>
      </c>
      <c r="B3315" s="3" t="n">
        <v>3313</v>
      </c>
      <c r="C3315" s="3" t="n">
        <v>4</v>
      </c>
      <c r="D3315" s="3" t="n">
        <v>6</v>
      </c>
      <c r="E3315" s="3" t="n">
        <v>9</v>
      </c>
      <c r="F3315" s="24" t="n">
        <v>1.10073674</v>
      </c>
    </row>
    <row r="3316" customFormat="false" ht="15" hidden="false" customHeight="false" outlineLevel="0" collapsed="false">
      <c r="A3316" s="3" t="n">
        <v>3315</v>
      </c>
      <c r="B3316" s="3" t="n">
        <v>3314</v>
      </c>
      <c r="C3316" s="3" t="n">
        <v>4</v>
      </c>
      <c r="D3316" s="3" t="n">
        <v>6</v>
      </c>
      <c r="E3316" s="3" t="n">
        <v>10</v>
      </c>
      <c r="F3316" s="24" t="n">
        <v>0.489112735</v>
      </c>
    </row>
    <row r="3317" customFormat="false" ht="15" hidden="false" customHeight="false" outlineLevel="0" collapsed="false">
      <c r="A3317" s="3" t="n">
        <v>3316</v>
      </c>
      <c r="B3317" s="3" t="n">
        <v>3315</v>
      </c>
      <c r="C3317" s="3" t="n">
        <v>4</v>
      </c>
      <c r="D3317" s="3" t="n">
        <v>6</v>
      </c>
      <c r="E3317" s="3" t="n">
        <v>11</v>
      </c>
      <c r="F3317" s="24" t="n">
        <v>-0.153261274</v>
      </c>
    </row>
    <row r="3318" customFormat="false" ht="15" hidden="false" customHeight="false" outlineLevel="0" collapsed="false">
      <c r="A3318" s="3" t="n">
        <v>3317</v>
      </c>
      <c r="B3318" s="3" t="n">
        <v>3316</v>
      </c>
      <c r="C3318" s="3" t="n">
        <v>4</v>
      </c>
      <c r="D3318" s="3" t="n">
        <v>6</v>
      </c>
      <c r="E3318" s="3" t="n">
        <v>12</v>
      </c>
      <c r="F3318" s="24" t="n">
        <v>-0.451732039</v>
      </c>
    </row>
    <row r="3319" customFormat="false" ht="15" hidden="false" customHeight="false" outlineLevel="0" collapsed="false">
      <c r="A3319" s="3" t="n">
        <v>3318</v>
      </c>
      <c r="B3319" s="3" t="n">
        <v>3317</v>
      </c>
      <c r="C3319" s="3" t="n">
        <v>4</v>
      </c>
      <c r="D3319" s="3" t="n">
        <v>6</v>
      </c>
      <c r="E3319" s="3" t="n">
        <v>13</v>
      </c>
      <c r="F3319" s="24" t="n">
        <v>-0.605470479</v>
      </c>
    </row>
    <row r="3320" customFormat="false" ht="15" hidden="false" customHeight="false" outlineLevel="0" collapsed="false">
      <c r="A3320" s="3" t="n">
        <v>3319</v>
      </c>
      <c r="B3320" s="3" t="n">
        <v>3318</v>
      </c>
      <c r="C3320" s="3" t="n">
        <v>4</v>
      </c>
      <c r="D3320" s="3" t="n">
        <v>6</v>
      </c>
      <c r="E3320" s="3" t="n">
        <v>14</v>
      </c>
      <c r="F3320" s="24" t="n">
        <v>-0.605470479</v>
      </c>
    </row>
    <row r="3321" customFormat="false" ht="15" hidden="false" customHeight="false" outlineLevel="0" collapsed="false">
      <c r="A3321" s="3" t="n">
        <v>3320</v>
      </c>
      <c r="B3321" s="3" t="n">
        <v>3319</v>
      </c>
      <c r="C3321" s="3" t="n">
        <v>4</v>
      </c>
      <c r="D3321" s="3" t="n">
        <v>6</v>
      </c>
      <c r="E3321" s="3" t="n">
        <v>15</v>
      </c>
      <c r="F3321" s="24" t="n">
        <v>-0.605470479</v>
      </c>
    </row>
    <row r="3322" customFormat="false" ht="15" hidden="false" customHeight="false" outlineLevel="0" collapsed="false">
      <c r="A3322" s="3" t="n">
        <v>3321</v>
      </c>
      <c r="B3322" s="3" t="n">
        <v>3320</v>
      </c>
      <c r="C3322" s="3" t="n">
        <v>4</v>
      </c>
      <c r="D3322" s="3" t="n">
        <v>6</v>
      </c>
      <c r="E3322" s="3" t="n">
        <v>16</v>
      </c>
      <c r="F3322" s="24" t="n">
        <v>-0.605470479</v>
      </c>
    </row>
    <row r="3323" customFormat="false" ht="15" hidden="false" customHeight="false" outlineLevel="0" collapsed="false">
      <c r="A3323" s="3" t="n">
        <v>3322</v>
      </c>
      <c r="B3323" s="3" t="n">
        <v>3321</v>
      </c>
      <c r="C3323" s="3" t="n">
        <v>4</v>
      </c>
      <c r="D3323" s="3" t="n">
        <v>6</v>
      </c>
      <c r="E3323" s="3" t="n">
        <v>17</v>
      </c>
      <c r="F3323" s="24" t="n">
        <v>-0.605470479</v>
      </c>
    </row>
    <row r="3324" customFormat="false" ht="15" hidden="false" customHeight="false" outlineLevel="0" collapsed="false">
      <c r="A3324" s="3" t="n">
        <v>3323</v>
      </c>
      <c r="B3324" s="3" t="n">
        <v>3322</v>
      </c>
      <c r="C3324" s="3" t="n">
        <v>4</v>
      </c>
      <c r="D3324" s="3" t="n">
        <v>6</v>
      </c>
      <c r="E3324" s="3" t="n">
        <v>18</v>
      </c>
      <c r="F3324" s="24" t="n">
        <v>-0.605470479</v>
      </c>
    </row>
    <row r="3325" customFormat="false" ht="15" hidden="false" customHeight="false" outlineLevel="0" collapsed="false">
      <c r="A3325" s="3" t="n">
        <v>3324</v>
      </c>
      <c r="B3325" s="3" t="n">
        <v>3323</v>
      </c>
      <c r="C3325" s="3" t="n">
        <v>4</v>
      </c>
      <c r="D3325" s="3" t="n">
        <v>6</v>
      </c>
      <c r="E3325" s="3" t="n">
        <v>19</v>
      </c>
      <c r="F3325" s="24" t="n">
        <v>-0.605470479</v>
      </c>
    </row>
    <row r="3326" customFormat="false" ht="15" hidden="false" customHeight="false" outlineLevel="0" collapsed="false">
      <c r="A3326" s="3" t="n">
        <v>3325</v>
      </c>
      <c r="B3326" s="3" t="n">
        <v>3324</v>
      </c>
      <c r="C3326" s="3" t="n">
        <v>4</v>
      </c>
      <c r="D3326" s="3" t="n">
        <v>6</v>
      </c>
      <c r="E3326" s="3" t="n">
        <v>20</v>
      </c>
      <c r="F3326" s="24" t="n">
        <v>-0.605470479</v>
      </c>
    </row>
    <row r="3327" customFormat="false" ht="15" hidden="false" customHeight="false" outlineLevel="0" collapsed="false">
      <c r="A3327" s="3" t="n">
        <v>3326</v>
      </c>
      <c r="B3327" s="3" t="n">
        <v>3325</v>
      </c>
      <c r="C3327" s="3" t="n">
        <v>4</v>
      </c>
      <c r="D3327" s="3" t="n">
        <v>6</v>
      </c>
      <c r="E3327" s="3" t="n">
        <v>21</v>
      </c>
      <c r="F3327" s="24" t="n">
        <v>-0.605470479</v>
      </c>
    </row>
    <row r="3328" customFormat="false" ht="15" hidden="false" customHeight="false" outlineLevel="0" collapsed="false">
      <c r="A3328" s="3" t="n">
        <v>3327</v>
      </c>
      <c r="B3328" s="3" t="n">
        <v>3326</v>
      </c>
      <c r="C3328" s="3" t="n">
        <v>4</v>
      </c>
      <c r="D3328" s="3" t="n">
        <v>6</v>
      </c>
      <c r="E3328" s="3" t="n">
        <v>22</v>
      </c>
      <c r="F3328" s="24" t="n">
        <v>-0.605470479</v>
      </c>
    </row>
    <row r="3329" customFormat="false" ht="15" hidden="false" customHeight="false" outlineLevel="0" collapsed="false">
      <c r="A3329" s="3" t="n">
        <v>3328</v>
      </c>
      <c r="B3329" s="3" t="n">
        <v>3327</v>
      </c>
      <c r="C3329" s="3" t="n">
        <v>4</v>
      </c>
      <c r="D3329" s="3" t="n">
        <v>6</v>
      </c>
      <c r="E3329" s="3" t="n">
        <v>23</v>
      </c>
      <c r="F3329" s="24" t="n">
        <v>-0.605470479</v>
      </c>
    </row>
    <row r="3330" customFormat="false" ht="15" hidden="false" customHeight="false" outlineLevel="0" collapsed="false">
      <c r="A3330" s="3" t="n">
        <v>3329</v>
      </c>
      <c r="B3330" s="3" t="n">
        <v>3328</v>
      </c>
      <c r="C3330" s="3" t="n">
        <v>4</v>
      </c>
      <c r="D3330" s="3" t="n">
        <v>6</v>
      </c>
      <c r="E3330" s="3" t="n">
        <v>24</v>
      </c>
      <c r="F3330" s="24" t="n">
        <v>-0.605470479</v>
      </c>
    </row>
    <row r="3331" customFormat="false" ht="15" hidden="false" customHeight="false" outlineLevel="0" collapsed="false">
      <c r="A3331" s="3" t="n">
        <v>3330</v>
      </c>
      <c r="B3331" s="3" t="n">
        <v>3329</v>
      </c>
      <c r="C3331" s="3" t="n">
        <v>4</v>
      </c>
      <c r="D3331" s="3" t="n">
        <v>6</v>
      </c>
      <c r="E3331" s="3" t="n">
        <v>25</v>
      </c>
      <c r="F3331" s="24" t="n">
        <v>-0.605470479</v>
      </c>
    </row>
    <row r="3332" customFormat="false" ht="15" hidden="false" customHeight="false" outlineLevel="0" collapsed="false">
      <c r="A3332" s="3" t="n">
        <v>3331</v>
      </c>
      <c r="B3332" s="3" t="n">
        <v>3330</v>
      </c>
      <c r="C3332" s="3" t="n">
        <v>4</v>
      </c>
      <c r="D3332" s="3" t="n">
        <v>6</v>
      </c>
      <c r="E3332" s="3" t="n">
        <v>26</v>
      </c>
      <c r="F3332" s="24" t="n">
        <v>-0.605470479</v>
      </c>
    </row>
    <row r="3333" customFormat="false" ht="15" hidden="false" customHeight="false" outlineLevel="0" collapsed="false">
      <c r="A3333" s="3" t="n">
        <v>3332</v>
      </c>
      <c r="B3333" s="3" t="n">
        <v>3331</v>
      </c>
      <c r="C3333" s="3" t="n">
        <v>4</v>
      </c>
      <c r="D3333" s="3" t="n">
        <v>6</v>
      </c>
      <c r="E3333" s="3" t="n">
        <v>27</v>
      </c>
      <c r="F3333" s="24" t="n">
        <v>-0.469382077</v>
      </c>
    </row>
    <row r="3334" customFormat="false" ht="15" hidden="false" customHeight="false" outlineLevel="0" collapsed="false">
      <c r="A3334" s="3" t="n">
        <v>3333</v>
      </c>
      <c r="B3334" s="3" t="n">
        <v>3332</v>
      </c>
      <c r="C3334" s="3" t="n">
        <v>4</v>
      </c>
      <c r="D3334" s="3" t="n">
        <v>7</v>
      </c>
      <c r="E3334" s="3" t="n">
        <v>0</v>
      </c>
      <c r="F3334" s="24" t="n">
        <v>-0.515758276</v>
      </c>
    </row>
    <row r="3335" customFormat="false" ht="15" hidden="false" customHeight="false" outlineLevel="0" collapsed="false">
      <c r="A3335" s="3" t="n">
        <v>3334</v>
      </c>
      <c r="B3335" s="3" t="n">
        <v>3333</v>
      </c>
      <c r="C3335" s="3" t="n">
        <v>4</v>
      </c>
      <c r="D3335" s="3" t="n">
        <v>7</v>
      </c>
      <c r="E3335" s="3" t="n">
        <v>1</v>
      </c>
      <c r="F3335" s="24" t="n">
        <v>-0.605470479</v>
      </c>
    </row>
    <row r="3336" customFormat="false" ht="15" hidden="false" customHeight="false" outlineLevel="0" collapsed="false">
      <c r="A3336" s="3" t="n">
        <v>3335</v>
      </c>
      <c r="B3336" s="3" t="n">
        <v>3334</v>
      </c>
      <c r="C3336" s="3" t="n">
        <v>4</v>
      </c>
      <c r="D3336" s="3" t="n">
        <v>7</v>
      </c>
      <c r="E3336" s="3" t="n">
        <v>2</v>
      </c>
      <c r="F3336" s="24" t="n">
        <v>-0.605470479</v>
      </c>
    </row>
    <row r="3337" customFormat="false" ht="15" hidden="false" customHeight="false" outlineLevel="0" collapsed="false">
      <c r="A3337" s="3" t="n">
        <v>3336</v>
      </c>
      <c r="B3337" s="3" t="n">
        <v>3335</v>
      </c>
      <c r="C3337" s="3" t="n">
        <v>4</v>
      </c>
      <c r="D3337" s="3" t="n">
        <v>7</v>
      </c>
      <c r="E3337" s="3" t="n">
        <v>3</v>
      </c>
      <c r="F3337" s="24" t="n">
        <v>-0.605470479</v>
      </c>
    </row>
    <row r="3338" customFormat="false" ht="15" hidden="false" customHeight="false" outlineLevel="0" collapsed="false">
      <c r="A3338" s="3" t="n">
        <v>3337</v>
      </c>
      <c r="B3338" s="3" t="n">
        <v>3336</v>
      </c>
      <c r="C3338" s="3" t="n">
        <v>4</v>
      </c>
      <c r="D3338" s="3" t="n">
        <v>7</v>
      </c>
      <c r="E3338" s="3" t="n">
        <v>4</v>
      </c>
      <c r="F3338" s="24" t="n">
        <v>-0.605470479</v>
      </c>
    </row>
    <row r="3339" customFormat="false" ht="15" hidden="false" customHeight="false" outlineLevel="0" collapsed="false">
      <c r="A3339" s="3" t="n">
        <v>3338</v>
      </c>
      <c r="B3339" s="3" t="n">
        <v>3337</v>
      </c>
      <c r="C3339" s="3" t="n">
        <v>4</v>
      </c>
      <c r="D3339" s="3" t="n">
        <v>7</v>
      </c>
      <c r="E3339" s="3" t="n">
        <v>5</v>
      </c>
      <c r="F3339" s="24" t="n">
        <v>0.0426838323</v>
      </c>
    </row>
    <row r="3340" customFormat="false" ht="15" hidden="false" customHeight="false" outlineLevel="0" collapsed="false">
      <c r="A3340" s="3" t="n">
        <v>3339</v>
      </c>
      <c r="B3340" s="3" t="n">
        <v>3338</v>
      </c>
      <c r="C3340" s="3" t="n">
        <v>4</v>
      </c>
      <c r="D3340" s="3" t="n">
        <v>7</v>
      </c>
      <c r="E3340" s="3" t="n">
        <v>6</v>
      </c>
      <c r="F3340" s="24" t="n">
        <v>1.29124796</v>
      </c>
    </row>
    <row r="3341" customFormat="false" ht="15" hidden="false" customHeight="false" outlineLevel="0" collapsed="false">
      <c r="A3341" s="3" t="n">
        <v>3340</v>
      </c>
      <c r="B3341" s="3" t="n">
        <v>3339</v>
      </c>
      <c r="C3341" s="3" t="n">
        <v>4</v>
      </c>
      <c r="D3341" s="3" t="n">
        <v>7</v>
      </c>
      <c r="E3341" s="3" t="n">
        <v>7</v>
      </c>
      <c r="F3341" s="24" t="n">
        <v>2.19903421</v>
      </c>
    </row>
    <row r="3342" customFormat="false" ht="15" hidden="false" customHeight="false" outlineLevel="0" collapsed="false">
      <c r="A3342" s="3" t="n">
        <v>3341</v>
      </c>
      <c r="B3342" s="3" t="n">
        <v>3340</v>
      </c>
      <c r="C3342" s="3" t="n">
        <v>4</v>
      </c>
      <c r="D3342" s="3" t="n">
        <v>7</v>
      </c>
      <c r="E3342" s="3" t="n">
        <v>8</v>
      </c>
      <c r="F3342" s="24" t="n">
        <v>1.93463778</v>
      </c>
    </row>
    <row r="3343" customFormat="false" ht="15" hidden="false" customHeight="false" outlineLevel="0" collapsed="false">
      <c r="A3343" s="3" t="n">
        <v>3342</v>
      </c>
      <c r="B3343" s="3" t="n">
        <v>3341</v>
      </c>
      <c r="C3343" s="3" t="n">
        <v>4</v>
      </c>
      <c r="D3343" s="3" t="n">
        <v>7</v>
      </c>
      <c r="E3343" s="3" t="n">
        <v>9</v>
      </c>
      <c r="F3343" s="24" t="n">
        <v>2.14963746</v>
      </c>
    </row>
    <row r="3344" customFormat="false" ht="15" hidden="false" customHeight="false" outlineLevel="0" collapsed="false">
      <c r="A3344" s="3" t="n">
        <v>3343</v>
      </c>
      <c r="B3344" s="3" t="n">
        <v>3342</v>
      </c>
      <c r="C3344" s="3" t="n">
        <v>4</v>
      </c>
      <c r="D3344" s="3" t="n">
        <v>7</v>
      </c>
      <c r="E3344" s="3" t="n">
        <v>10</v>
      </c>
      <c r="F3344" s="24" t="n">
        <v>2.09853053</v>
      </c>
    </row>
    <row r="3345" customFormat="false" ht="15" hidden="false" customHeight="false" outlineLevel="0" collapsed="false">
      <c r="A3345" s="3" t="n">
        <v>3344</v>
      </c>
      <c r="B3345" s="3" t="n">
        <v>3343</v>
      </c>
      <c r="C3345" s="3" t="n">
        <v>4</v>
      </c>
      <c r="D3345" s="3" t="n">
        <v>7</v>
      </c>
      <c r="E3345" s="3" t="n">
        <v>11</v>
      </c>
      <c r="F3345" s="24" t="n">
        <v>2.26298833</v>
      </c>
    </row>
    <row r="3346" customFormat="false" ht="15" hidden="false" customHeight="false" outlineLevel="0" collapsed="false">
      <c r="A3346" s="3" t="n">
        <v>3345</v>
      </c>
      <c r="B3346" s="3" t="n">
        <v>3344</v>
      </c>
      <c r="C3346" s="3" t="n">
        <v>4</v>
      </c>
      <c r="D3346" s="3" t="n">
        <v>7</v>
      </c>
      <c r="E3346" s="3" t="n">
        <v>12</v>
      </c>
      <c r="F3346" s="24" t="n">
        <v>2.03903198</v>
      </c>
    </row>
    <row r="3347" customFormat="false" ht="15" hidden="false" customHeight="false" outlineLevel="0" collapsed="false">
      <c r="A3347" s="3" t="n">
        <v>3346</v>
      </c>
      <c r="B3347" s="3" t="n">
        <v>3345</v>
      </c>
      <c r="C3347" s="3" t="n">
        <v>4</v>
      </c>
      <c r="D3347" s="3" t="n">
        <v>7</v>
      </c>
      <c r="E3347" s="3" t="n">
        <v>13</v>
      </c>
      <c r="F3347" s="24" t="n">
        <v>1.99504972</v>
      </c>
    </row>
    <row r="3348" customFormat="false" ht="15" hidden="false" customHeight="false" outlineLevel="0" collapsed="false">
      <c r="A3348" s="3" t="n">
        <v>3347</v>
      </c>
      <c r="B3348" s="3" t="n">
        <v>3346</v>
      </c>
      <c r="C3348" s="3" t="n">
        <v>4</v>
      </c>
      <c r="D3348" s="3" t="n">
        <v>7</v>
      </c>
      <c r="E3348" s="3" t="n">
        <v>14</v>
      </c>
      <c r="F3348" s="24" t="n">
        <v>1.99504972</v>
      </c>
    </row>
    <row r="3349" customFormat="false" ht="15" hidden="false" customHeight="false" outlineLevel="0" collapsed="false">
      <c r="A3349" s="3" t="n">
        <v>3348</v>
      </c>
      <c r="B3349" s="3" t="n">
        <v>3347</v>
      </c>
      <c r="C3349" s="3" t="n">
        <v>4</v>
      </c>
      <c r="D3349" s="3" t="n">
        <v>7</v>
      </c>
      <c r="E3349" s="3" t="n">
        <v>15</v>
      </c>
      <c r="F3349" s="24" t="n">
        <v>1.99504972</v>
      </c>
    </row>
    <row r="3350" customFormat="false" ht="15" hidden="false" customHeight="false" outlineLevel="0" collapsed="false">
      <c r="A3350" s="3" t="n">
        <v>3349</v>
      </c>
      <c r="B3350" s="3" t="n">
        <v>3348</v>
      </c>
      <c r="C3350" s="3" t="n">
        <v>4</v>
      </c>
      <c r="D3350" s="3" t="n">
        <v>7</v>
      </c>
      <c r="E3350" s="3" t="n">
        <v>16</v>
      </c>
      <c r="F3350" s="24" t="n">
        <v>1.99504972</v>
      </c>
    </row>
    <row r="3351" customFormat="false" ht="15" hidden="false" customHeight="false" outlineLevel="0" collapsed="false">
      <c r="A3351" s="3" t="n">
        <v>3350</v>
      </c>
      <c r="B3351" s="3" t="n">
        <v>3349</v>
      </c>
      <c r="C3351" s="3" t="n">
        <v>4</v>
      </c>
      <c r="D3351" s="3" t="n">
        <v>7</v>
      </c>
      <c r="E3351" s="3" t="n">
        <v>17</v>
      </c>
      <c r="F3351" s="24" t="n">
        <v>1.99504972</v>
      </c>
    </row>
    <row r="3352" customFormat="false" ht="15" hidden="false" customHeight="false" outlineLevel="0" collapsed="false">
      <c r="A3352" s="3" t="n">
        <v>3351</v>
      </c>
      <c r="B3352" s="3" t="n">
        <v>3350</v>
      </c>
      <c r="C3352" s="3" t="n">
        <v>4</v>
      </c>
      <c r="D3352" s="3" t="n">
        <v>7</v>
      </c>
      <c r="E3352" s="3" t="n">
        <v>18</v>
      </c>
      <c r="F3352" s="24" t="n">
        <v>1.99504972</v>
      </c>
    </row>
    <row r="3353" customFormat="false" ht="15" hidden="false" customHeight="false" outlineLevel="0" collapsed="false">
      <c r="A3353" s="3" t="n">
        <v>3352</v>
      </c>
      <c r="B3353" s="3" t="n">
        <v>3351</v>
      </c>
      <c r="C3353" s="3" t="n">
        <v>4</v>
      </c>
      <c r="D3353" s="3" t="n">
        <v>7</v>
      </c>
      <c r="E3353" s="3" t="n">
        <v>19</v>
      </c>
      <c r="F3353" s="24" t="n">
        <v>1.89930153</v>
      </c>
    </row>
    <row r="3354" customFormat="false" ht="15" hidden="false" customHeight="false" outlineLevel="0" collapsed="false">
      <c r="A3354" s="3" t="n">
        <v>3353</v>
      </c>
      <c r="B3354" s="3" t="n">
        <v>3352</v>
      </c>
      <c r="C3354" s="3" t="n">
        <v>4</v>
      </c>
      <c r="D3354" s="3" t="n">
        <v>7</v>
      </c>
      <c r="E3354" s="3" t="n">
        <v>20</v>
      </c>
      <c r="F3354" s="24" t="n">
        <v>1.34336317</v>
      </c>
    </row>
    <row r="3355" customFormat="false" ht="15" hidden="false" customHeight="false" outlineLevel="0" collapsed="false">
      <c r="A3355" s="3" t="n">
        <v>3354</v>
      </c>
      <c r="B3355" s="3" t="n">
        <v>3353</v>
      </c>
      <c r="C3355" s="3" t="n">
        <v>4</v>
      </c>
      <c r="D3355" s="3" t="n">
        <v>7</v>
      </c>
      <c r="E3355" s="3" t="n">
        <v>21</v>
      </c>
      <c r="F3355" s="24" t="n">
        <v>0.403596699</v>
      </c>
    </row>
    <row r="3356" customFormat="false" ht="15" hidden="false" customHeight="false" outlineLevel="0" collapsed="false">
      <c r="A3356" s="3" t="n">
        <v>3355</v>
      </c>
      <c r="B3356" s="3" t="n">
        <v>3354</v>
      </c>
      <c r="C3356" s="3" t="n">
        <v>4</v>
      </c>
      <c r="D3356" s="3" t="n">
        <v>7</v>
      </c>
      <c r="E3356" s="3" t="n">
        <v>22</v>
      </c>
      <c r="F3356" s="24" t="n">
        <v>-0.383403808</v>
      </c>
    </row>
    <row r="3357" customFormat="false" ht="15" hidden="false" customHeight="false" outlineLevel="0" collapsed="false">
      <c r="A3357" s="3" t="n">
        <v>3356</v>
      </c>
      <c r="B3357" s="3" t="n">
        <v>3355</v>
      </c>
      <c r="C3357" s="3" t="n">
        <v>4</v>
      </c>
      <c r="D3357" s="3" t="n">
        <v>7</v>
      </c>
      <c r="E3357" s="3" t="n">
        <v>23</v>
      </c>
      <c r="F3357" s="24" t="n">
        <v>-0.605470479</v>
      </c>
    </row>
    <row r="3358" customFormat="false" ht="15" hidden="false" customHeight="false" outlineLevel="0" collapsed="false">
      <c r="A3358" s="3" t="n">
        <v>3357</v>
      </c>
      <c r="B3358" s="3" t="n">
        <v>3356</v>
      </c>
      <c r="C3358" s="3" t="n">
        <v>4</v>
      </c>
      <c r="D3358" s="3" t="n">
        <v>7</v>
      </c>
      <c r="E3358" s="3" t="n">
        <v>24</v>
      </c>
      <c r="F3358" s="24" t="n">
        <v>-0.605470479</v>
      </c>
    </row>
    <row r="3359" customFormat="false" ht="15" hidden="false" customHeight="false" outlineLevel="0" collapsed="false">
      <c r="A3359" s="3" t="n">
        <v>3358</v>
      </c>
      <c r="B3359" s="3" t="n">
        <v>3357</v>
      </c>
      <c r="C3359" s="3" t="n">
        <v>4</v>
      </c>
      <c r="D3359" s="3" t="n">
        <v>7</v>
      </c>
      <c r="E3359" s="3" t="n">
        <v>25</v>
      </c>
      <c r="F3359" s="24" t="n">
        <v>-0.605470479</v>
      </c>
    </row>
    <row r="3360" customFormat="false" ht="15" hidden="false" customHeight="false" outlineLevel="0" collapsed="false">
      <c r="A3360" s="3" t="n">
        <v>3359</v>
      </c>
      <c r="B3360" s="3" t="n">
        <v>3358</v>
      </c>
      <c r="C3360" s="3" t="n">
        <v>4</v>
      </c>
      <c r="D3360" s="3" t="n">
        <v>7</v>
      </c>
      <c r="E3360" s="3" t="n">
        <v>26</v>
      </c>
      <c r="F3360" s="24" t="n">
        <v>-0.605470479</v>
      </c>
    </row>
    <row r="3361" customFormat="false" ht="15" hidden="false" customHeight="false" outlineLevel="0" collapsed="false">
      <c r="A3361" s="3" t="n">
        <v>3360</v>
      </c>
      <c r="B3361" s="3" t="n">
        <v>3359</v>
      </c>
      <c r="C3361" s="3" t="n">
        <v>4</v>
      </c>
      <c r="D3361" s="3" t="n">
        <v>7</v>
      </c>
      <c r="E3361" s="3" t="n">
        <v>27</v>
      </c>
      <c r="F3361" s="24" t="n">
        <v>-0.469382077</v>
      </c>
    </row>
    <row r="3362" customFormat="false" ht="15" hidden="false" customHeight="false" outlineLevel="0" collapsed="false">
      <c r="A3362" s="3" t="n">
        <v>3361</v>
      </c>
      <c r="B3362" s="3" t="n">
        <v>3360</v>
      </c>
      <c r="C3362" s="3" t="n">
        <v>4</v>
      </c>
      <c r="D3362" s="3" t="n">
        <v>8</v>
      </c>
      <c r="E3362" s="3" t="n">
        <v>0</v>
      </c>
      <c r="F3362" s="24" t="n">
        <v>-0.515758276</v>
      </c>
    </row>
    <row r="3363" customFormat="false" ht="15" hidden="false" customHeight="false" outlineLevel="0" collapsed="false">
      <c r="A3363" s="3" t="n">
        <v>3362</v>
      </c>
      <c r="B3363" s="3" t="n">
        <v>3361</v>
      </c>
      <c r="C3363" s="3" t="n">
        <v>4</v>
      </c>
      <c r="D3363" s="3" t="n">
        <v>8</v>
      </c>
      <c r="E3363" s="3" t="n">
        <v>1</v>
      </c>
      <c r="F3363" s="24" t="n">
        <v>-0.605470479</v>
      </c>
    </row>
    <row r="3364" customFormat="false" ht="15" hidden="false" customHeight="false" outlineLevel="0" collapsed="false">
      <c r="A3364" s="3" t="n">
        <v>3363</v>
      </c>
      <c r="B3364" s="3" t="n">
        <v>3362</v>
      </c>
      <c r="C3364" s="3" t="n">
        <v>4</v>
      </c>
      <c r="D3364" s="3" t="n">
        <v>8</v>
      </c>
      <c r="E3364" s="3" t="n">
        <v>2</v>
      </c>
      <c r="F3364" s="24" t="n">
        <v>-0.605470479</v>
      </c>
    </row>
    <row r="3365" customFormat="false" ht="15" hidden="false" customHeight="false" outlineLevel="0" collapsed="false">
      <c r="A3365" s="3" t="n">
        <v>3364</v>
      </c>
      <c r="B3365" s="3" t="n">
        <v>3363</v>
      </c>
      <c r="C3365" s="3" t="n">
        <v>4</v>
      </c>
      <c r="D3365" s="3" t="n">
        <v>8</v>
      </c>
      <c r="E3365" s="3" t="n">
        <v>3</v>
      </c>
      <c r="F3365" s="24" t="n">
        <v>-0.605470479</v>
      </c>
    </row>
    <row r="3366" customFormat="false" ht="15" hidden="false" customHeight="false" outlineLevel="0" collapsed="false">
      <c r="A3366" s="3" t="n">
        <v>3365</v>
      </c>
      <c r="B3366" s="3" t="n">
        <v>3364</v>
      </c>
      <c r="C3366" s="3" t="n">
        <v>4</v>
      </c>
      <c r="D3366" s="3" t="n">
        <v>8</v>
      </c>
      <c r="E3366" s="3" t="n">
        <v>4</v>
      </c>
      <c r="F3366" s="24" t="n">
        <v>-0.605470479</v>
      </c>
    </row>
    <row r="3367" customFormat="false" ht="15" hidden="false" customHeight="false" outlineLevel="0" collapsed="false">
      <c r="A3367" s="3" t="n">
        <v>3366</v>
      </c>
      <c r="B3367" s="3" t="n">
        <v>3365</v>
      </c>
      <c r="C3367" s="3" t="n">
        <v>4</v>
      </c>
      <c r="D3367" s="3" t="n">
        <v>8</v>
      </c>
      <c r="E3367" s="3" t="n">
        <v>5</v>
      </c>
      <c r="F3367" s="24" t="n">
        <v>-0.50295645</v>
      </c>
    </row>
    <row r="3368" customFormat="false" ht="15" hidden="false" customHeight="false" outlineLevel="0" collapsed="false">
      <c r="A3368" s="3" t="n">
        <v>3367</v>
      </c>
      <c r="B3368" s="3" t="n">
        <v>3366</v>
      </c>
      <c r="C3368" s="3" t="n">
        <v>4</v>
      </c>
      <c r="D3368" s="3" t="n">
        <v>8</v>
      </c>
      <c r="E3368" s="3" t="n">
        <v>6</v>
      </c>
      <c r="F3368" s="24" t="n">
        <v>0.688444078</v>
      </c>
    </row>
    <row r="3369" customFormat="false" ht="15" hidden="false" customHeight="false" outlineLevel="0" collapsed="false">
      <c r="A3369" s="3" t="n">
        <v>3368</v>
      </c>
      <c r="B3369" s="3" t="n">
        <v>3367</v>
      </c>
      <c r="C3369" s="3" t="n">
        <v>4</v>
      </c>
      <c r="D3369" s="3" t="n">
        <v>8</v>
      </c>
      <c r="E3369" s="3" t="n">
        <v>7</v>
      </c>
      <c r="F3369" s="24" t="n">
        <v>0.798592627</v>
      </c>
    </row>
    <row r="3370" customFormat="false" ht="15" hidden="false" customHeight="false" outlineLevel="0" collapsed="false">
      <c r="A3370" s="3" t="n">
        <v>3369</v>
      </c>
      <c r="B3370" s="3" t="n">
        <v>3368</v>
      </c>
      <c r="C3370" s="3" t="n">
        <v>4</v>
      </c>
      <c r="D3370" s="3" t="n">
        <v>8</v>
      </c>
      <c r="E3370" s="3" t="n">
        <v>8</v>
      </c>
      <c r="F3370" s="24" t="n">
        <v>0.901860535</v>
      </c>
    </row>
    <row r="3371" customFormat="false" ht="15" hidden="false" customHeight="false" outlineLevel="0" collapsed="false">
      <c r="A3371" s="3" t="n">
        <v>3370</v>
      </c>
      <c r="B3371" s="3" t="n">
        <v>3369</v>
      </c>
      <c r="C3371" s="3" t="n">
        <v>4</v>
      </c>
      <c r="D3371" s="3" t="n">
        <v>8</v>
      </c>
      <c r="E3371" s="3" t="n">
        <v>9</v>
      </c>
      <c r="F3371" s="24" t="n">
        <v>0.846021414</v>
      </c>
    </row>
    <row r="3372" customFormat="false" ht="15" hidden="false" customHeight="false" outlineLevel="0" collapsed="false">
      <c r="A3372" s="3" t="n">
        <v>3371</v>
      </c>
      <c r="B3372" s="3" t="n">
        <v>3370</v>
      </c>
      <c r="C3372" s="3" t="n">
        <v>4</v>
      </c>
      <c r="D3372" s="3" t="n">
        <v>8</v>
      </c>
      <c r="E3372" s="3" t="n">
        <v>10</v>
      </c>
      <c r="F3372" s="24" t="n">
        <v>1.09547639</v>
      </c>
    </row>
    <row r="3373" customFormat="false" ht="15" hidden="false" customHeight="false" outlineLevel="0" collapsed="false">
      <c r="A3373" s="3" t="n">
        <v>3372</v>
      </c>
      <c r="B3373" s="3" t="n">
        <v>3371</v>
      </c>
      <c r="C3373" s="3" t="n">
        <v>4</v>
      </c>
      <c r="D3373" s="3" t="n">
        <v>8</v>
      </c>
      <c r="E3373" s="3" t="n">
        <v>11</v>
      </c>
      <c r="F3373" s="24" t="n">
        <v>1.41487598</v>
      </c>
    </row>
    <row r="3374" customFormat="false" ht="15" hidden="false" customHeight="false" outlineLevel="0" collapsed="false">
      <c r="A3374" s="3" t="n">
        <v>3373</v>
      </c>
      <c r="B3374" s="3" t="n">
        <v>3372</v>
      </c>
      <c r="C3374" s="3" t="n">
        <v>4</v>
      </c>
      <c r="D3374" s="3" t="n">
        <v>8</v>
      </c>
      <c r="E3374" s="3" t="n">
        <v>12</v>
      </c>
      <c r="F3374" s="24" t="n">
        <v>1.55338621</v>
      </c>
    </row>
    <row r="3375" customFormat="false" ht="15" hidden="false" customHeight="false" outlineLevel="0" collapsed="false">
      <c r="A3375" s="3" t="n">
        <v>3374</v>
      </c>
      <c r="B3375" s="3" t="n">
        <v>3373</v>
      </c>
      <c r="C3375" s="3" t="n">
        <v>4</v>
      </c>
      <c r="D3375" s="3" t="n">
        <v>8</v>
      </c>
      <c r="E3375" s="3" t="n">
        <v>13</v>
      </c>
      <c r="F3375" s="24" t="n">
        <v>1.69397604</v>
      </c>
    </row>
    <row r="3376" customFormat="false" ht="15" hidden="false" customHeight="false" outlineLevel="0" collapsed="false">
      <c r="A3376" s="3" t="n">
        <v>3375</v>
      </c>
      <c r="B3376" s="3" t="n">
        <v>3374</v>
      </c>
      <c r="C3376" s="3" t="n">
        <v>4</v>
      </c>
      <c r="D3376" s="3" t="n">
        <v>8</v>
      </c>
      <c r="E3376" s="3" t="n">
        <v>14</v>
      </c>
      <c r="F3376" s="24" t="n">
        <v>1.72800267</v>
      </c>
    </row>
    <row r="3377" customFormat="false" ht="15" hidden="false" customHeight="false" outlineLevel="0" collapsed="false">
      <c r="A3377" s="3" t="n">
        <v>3376</v>
      </c>
      <c r="B3377" s="3" t="n">
        <v>3375</v>
      </c>
      <c r="C3377" s="3" t="n">
        <v>4</v>
      </c>
      <c r="D3377" s="3" t="n">
        <v>8</v>
      </c>
      <c r="E3377" s="3" t="n">
        <v>15</v>
      </c>
      <c r="F3377" s="24" t="n">
        <v>1.85184753</v>
      </c>
    </row>
    <row r="3378" customFormat="false" ht="15" hidden="false" customHeight="false" outlineLevel="0" collapsed="false">
      <c r="A3378" s="3" t="n">
        <v>3377</v>
      </c>
      <c r="B3378" s="3" t="n">
        <v>3376</v>
      </c>
      <c r="C3378" s="3" t="n">
        <v>4</v>
      </c>
      <c r="D3378" s="3" t="n">
        <v>8</v>
      </c>
      <c r="E3378" s="3" t="n">
        <v>16</v>
      </c>
      <c r="F3378" s="24" t="n">
        <v>1.83816922</v>
      </c>
    </row>
    <row r="3379" customFormat="false" ht="15" hidden="false" customHeight="false" outlineLevel="0" collapsed="false">
      <c r="A3379" s="3" t="n">
        <v>3378</v>
      </c>
      <c r="B3379" s="3" t="n">
        <v>3377</v>
      </c>
      <c r="C3379" s="3" t="n">
        <v>4</v>
      </c>
      <c r="D3379" s="3" t="n">
        <v>8</v>
      </c>
      <c r="E3379" s="3" t="n">
        <v>17</v>
      </c>
      <c r="F3379" s="24" t="n">
        <v>1.74458253</v>
      </c>
    </row>
    <row r="3380" customFormat="false" ht="15" hidden="false" customHeight="false" outlineLevel="0" collapsed="false">
      <c r="A3380" s="3" t="n">
        <v>3379</v>
      </c>
      <c r="B3380" s="3" t="n">
        <v>3378</v>
      </c>
      <c r="C3380" s="3" t="n">
        <v>4</v>
      </c>
      <c r="D3380" s="3" t="n">
        <v>8</v>
      </c>
      <c r="E3380" s="3" t="n">
        <v>18</v>
      </c>
      <c r="F3380" s="24" t="n">
        <v>1.69866931</v>
      </c>
    </row>
    <row r="3381" customFormat="false" ht="15" hidden="false" customHeight="false" outlineLevel="0" collapsed="false">
      <c r="A3381" s="3" t="n">
        <v>3380</v>
      </c>
      <c r="B3381" s="3" t="n">
        <v>3379</v>
      </c>
      <c r="C3381" s="3" t="n">
        <v>4</v>
      </c>
      <c r="D3381" s="3" t="n">
        <v>8</v>
      </c>
      <c r="E3381" s="3" t="n">
        <v>19</v>
      </c>
      <c r="F3381" s="24" t="n">
        <v>1.78208232</v>
      </c>
    </row>
    <row r="3382" customFormat="false" ht="15" hidden="false" customHeight="false" outlineLevel="0" collapsed="false">
      <c r="A3382" s="3" t="n">
        <v>3381</v>
      </c>
      <c r="B3382" s="3" t="n">
        <v>3380</v>
      </c>
      <c r="C3382" s="3" t="n">
        <v>4</v>
      </c>
      <c r="D3382" s="3" t="n">
        <v>8</v>
      </c>
      <c r="E3382" s="3" t="n">
        <v>20</v>
      </c>
      <c r="F3382" s="24" t="n">
        <v>1.6335783</v>
      </c>
    </row>
    <row r="3383" customFormat="false" ht="15" hidden="false" customHeight="false" outlineLevel="0" collapsed="false">
      <c r="A3383" s="3" t="n">
        <v>3382</v>
      </c>
      <c r="B3383" s="3" t="n">
        <v>3381</v>
      </c>
      <c r="C3383" s="3" t="n">
        <v>4</v>
      </c>
      <c r="D3383" s="3" t="n">
        <v>8</v>
      </c>
      <c r="E3383" s="3" t="n">
        <v>21</v>
      </c>
      <c r="F3383" s="24" t="n">
        <v>0.62157625</v>
      </c>
    </row>
    <row r="3384" customFormat="false" ht="15" hidden="false" customHeight="false" outlineLevel="0" collapsed="false">
      <c r="A3384" s="3" t="n">
        <v>3383</v>
      </c>
      <c r="B3384" s="3" t="n">
        <v>3382</v>
      </c>
      <c r="C3384" s="3" t="n">
        <v>4</v>
      </c>
      <c r="D3384" s="3" t="n">
        <v>8</v>
      </c>
      <c r="E3384" s="3" t="n">
        <v>22</v>
      </c>
      <c r="F3384" s="24" t="n">
        <v>-0.209315181</v>
      </c>
    </row>
    <row r="3385" customFormat="false" ht="15" hidden="false" customHeight="false" outlineLevel="0" collapsed="false">
      <c r="A3385" s="3" t="n">
        <v>3384</v>
      </c>
      <c r="B3385" s="3" t="n">
        <v>3383</v>
      </c>
      <c r="C3385" s="3" t="n">
        <v>4</v>
      </c>
      <c r="D3385" s="3" t="n">
        <v>8</v>
      </c>
      <c r="E3385" s="3" t="n">
        <v>23</v>
      </c>
      <c r="F3385" s="24" t="n">
        <v>-0.605470479</v>
      </c>
    </row>
    <row r="3386" customFormat="false" ht="15" hidden="false" customHeight="false" outlineLevel="0" collapsed="false">
      <c r="A3386" s="3" t="n">
        <v>3385</v>
      </c>
      <c r="B3386" s="3" t="n">
        <v>3384</v>
      </c>
      <c r="C3386" s="3" t="n">
        <v>4</v>
      </c>
      <c r="D3386" s="3" t="n">
        <v>8</v>
      </c>
      <c r="E3386" s="3" t="n">
        <v>24</v>
      </c>
      <c r="F3386" s="24" t="n">
        <v>-0.605470479</v>
      </c>
    </row>
    <row r="3387" customFormat="false" ht="15" hidden="false" customHeight="false" outlineLevel="0" collapsed="false">
      <c r="A3387" s="3" t="n">
        <v>3386</v>
      </c>
      <c r="B3387" s="3" t="n">
        <v>3385</v>
      </c>
      <c r="C3387" s="3" t="n">
        <v>4</v>
      </c>
      <c r="D3387" s="3" t="n">
        <v>8</v>
      </c>
      <c r="E3387" s="3" t="n">
        <v>25</v>
      </c>
      <c r="F3387" s="24" t="n">
        <v>-0.605470479</v>
      </c>
    </row>
    <row r="3388" customFormat="false" ht="15" hidden="false" customHeight="false" outlineLevel="0" collapsed="false">
      <c r="A3388" s="3" t="n">
        <v>3387</v>
      </c>
      <c r="B3388" s="3" t="n">
        <v>3386</v>
      </c>
      <c r="C3388" s="3" t="n">
        <v>4</v>
      </c>
      <c r="D3388" s="3" t="n">
        <v>8</v>
      </c>
      <c r="E3388" s="3" t="n">
        <v>26</v>
      </c>
      <c r="F3388" s="24" t="n">
        <v>-0.605470479</v>
      </c>
    </row>
    <row r="3389" customFormat="false" ht="15" hidden="false" customHeight="false" outlineLevel="0" collapsed="false">
      <c r="A3389" s="3" t="n">
        <v>3388</v>
      </c>
      <c r="B3389" s="3" t="n">
        <v>3387</v>
      </c>
      <c r="C3389" s="3" t="n">
        <v>4</v>
      </c>
      <c r="D3389" s="3" t="n">
        <v>8</v>
      </c>
      <c r="E3389" s="3" t="n">
        <v>27</v>
      </c>
      <c r="F3389" s="24" t="n">
        <v>-0.469382077</v>
      </c>
    </row>
    <row r="3390" customFormat="false" ht="15" hidden="false" customHeight="false" outlineLevel="0" collapsed="false">
      <c r="A3390" s="3" t="n">
        <v>3389</v>
      </c>
      <c r="B3390" s="3" t="n">
        <v>3388</v>
      </c>
      <c r="C3390" s="3" t="n">
        <v>4</v>
      </c>
      <c r="D3390" s="3" t="n">
        <v>9</v>
      </c>
      <c r="E3390" s="3" t="n">
        <v>0</v>
      </c>
      <c r="F3390" s="24" t="n">
        <v>-0.515758276</v>
      </c>
    </row>
    <row r="3391" customFormat="false" ht="15" hidden="false" customHeight="false" outlineLevel="0" collapsed="false">
      <c r="A3391" s="3" t="n">
        <v>3390</v>
      </c>
      <c r="B3391" s="3" t="n">
        <v>3389</v>
      </c>
      <c r="C3391" s="3" t="n">
        <v>4</v>
      </c>
      <c r="D3391" s="3" t="n">
        <v>9</v>
      </c>
      <c r="E3391" s="3" t="n">
        <v>1</v>
      </c>
      <c r="F3391" s="24" t="n">
        <v>-0.605470479</v>
      </c>
    </row>
    <row r="3392" customFormat="false" ht="15" hidden="false" customHeight="false" outlineLevel="0" collapsed="false">
      <c r="A3392" s="3" t="n">
        <v>3391</v>
      </c>
      <c r="B3392" s="3" t="n">
        <v>3390</v>
      </c>
      <c r="C3392" s="3" t="n">
        <v>4</v>
      </c>
      <c r="D3392" s="3" t="n">
        <v>9</v>
      </c>
      <c r="E3392" s="3" t="n">
        <v>2</v>
      </c>
      <c r="F3392" s="24" t="n">
        <v>-0.605470479</v>
      </c>
    </row>
    <row r="3393" customFormat="false" ht="15" hidden="false" customHeight="false" outlineLevel="0" collapsed="false">
      <c r="A3393" s="3" t="n">
        <v>3392</v>
      </c>
      <c r="B3393" s="3" t="n">
        <v>3391</v>
      </c>
      <c r="C3393" s="3" t="n">
        <v>4</v>
      </c>
      <c r="D3393" s="3" t="n">
        <v>9</v>
      </c>
      <c r="E3393" s="3" t="n">
        <v>3</v>
      </c>
      <c r="F3393" s="24" t="n">
        <v>-0.605470479</v>
      </c>
    </row>
    <row r="3394" customFormat="false" ht="15" hidden="false" customHeight="false" outlineLevel="0" collapsed="false">
      <c r="A3394" s="3" t="n">
        <v>3393</v>
      </c>
      <c r="B3394" s="3" t="n">
        <v>3392</v>
      </c>
      <c r="C3394" s="3" t="n">
        <v>4</v>
      </c>
      <c r="D3394" s="3" t="n">
        <v>9</v>
      </c>
      <c r="E3394" s="3" t="n">
        <v>4</v>
      </c>
      <c r="F3394" s="24" t="n">
        <v>-0.605470479</v>
      </c>
    </row>
    <row r="3395" customFormat="false" ht="15" hidden="false" customHeight="false" outlineLevel="0" collapsed="false">
      <c r="A3395" s="3" t="n">
        <v>3394</v>
      </c>
      <c r="B3395" s="3" t="n">
        <v>3393</v>
      </c>
      <c r="C3395" s="3" t="n">
        <v>4</v>
      </c>
      <c r="D3395" s="3" t="n">
        <v>9</v>
      </c>
      <c r="E3395" s="3" t="n">
        <v>5</v>
      </c>
      <c r="F3395" s="24" t="n">
        <v>-0.25332889</v>
      </c>
    </row>
    <row r="3396" customFormat="false" ht="15" hidden="false" customHeight="false" outlineLevel="0" collapsed="false">
      <c r="A3396" s="3" t="n">
        <v>3395</v>
      </c>
      <c r="B3396" s="3" t="n">
        <v>3394</v>
      </c>
      <c r="C3396" s="3" t="n">
        <v>4</v>
      </c>
      <c r="D3396" s="3" t="n">
        <v>9</v>
      </c>
      <c r="E3396" s="3" t="n">
        <v>6</v>
      </c>
      <c r="F3396" s="24" t="n">
        <v>0.693629503</v>
      </c>
    </row>
    <row r="3397" customFormat="false" ht="15" hidden="false" customHeight="false" outlineLevel="0" collapsed="false">
      <c r="A3397" s="3" t="n">
        <v>3396</v>
      </c>
      <c r="B3397" s="3" t="n">
        <v>3395</v>
      </c>
      <c r="C3397" s="3" t="n">
        <v>4</v>
      </c>
      <c r="D3397" s="3" t="n">
        <v>9</v>
      </c>
      <c r="E3397" s="3" t="n">
        <v>7</v>
      </c>
      <c r="F3397" s="24" t="n">
        <v>1.16468453</v>
      </c>
    </row>
    <row r="3398" customFormat="false" ht="15" hidden="false" customHeight="false" outlineLevel="0" collapsed="false">
      <c r="A3398" s="3" t="n">
        <v>3397</v>
      </c>
      <c r="B3398" s="3" t="n">
        <v>3396</v>
      </c>
      <c r="C3398" s="3" t="n">
        <v>4</v>
      </c>
      <c r="D3398" s="3" t="n">
        <v>9</v>
      </c>
      <c r="E3398" s="3" t="n">
        <v>8</v>
      </c>
      <c r="F3398" s="24" t="n">
        <v>0.968450546</v>
      </c>
    </row>
    <row r="3399" customFormat="false" ht="15" hidden="false" customHeight="false" outlineLevel="0" collapsed="false">
      <c r="A3399" s="3" t="n">
        <v>3398</v>
      </c>
      <c r="B3399" s="3" t="n">
        <v>3397</v>
      </c>
      <c r="C3399" s="3" t="n">
        <v>4</v>
      </c>
      <c r="D3399" s="3" t="n">
        <v>9</v>
      </c>
      <c r="E3399" s="3" t="n">
        <v>9</v>
      </c>
      <c r="F3399" s="24" t="n">
        <v>1.09865952</v>
      </c>
    </row>
    <row r="3400" customFormat="false" ht="15" hidden="false" customHeight="false" outlineLevel="0" collapsed="false">
      <c r="A3400" s="3" t="n">
        <v>3399</v>
      </c>
      <c r="B3400" s="3" t="n">
        <v>3398</v>
      </c>
      <c r="C3400" s="3" t="n">
        <v>4</v>
      </c>
      <c r="D3400" s="3" t="n">
        <v>9</v>
      </c>
      <c r="E3400" s="3" t="n">
        <v>10</v>
      </c>
      <c r="F3400" s="24" t="n">
        <v>0.920864463</v>
      </c>
    </row>
    <row r="3401" customFormat="false" ht="15" hidden="false" customHeight="false" outlineLevel="0" collapsed="false">
      <c r="A3401" s="3" t="n">
        <v>3400</v>
      </c>
      <c r="B3401" s="3" t="n">
        <v>3399</v>
      </c>
      <c r="C3401" s="3" t="n">
        <v>4</v>
      </c>
      <c r="D3401" s="3" t="n">
        <v>9</v>
      </c>
      <c r="E3401" s="3" t="n">
        <v>11</v>
      </c>
      <c r="F3401" s="24" t="n">
        <v>0.866288483</v>
      </c>
    </row>
    <row r="3402" customFormat="false" ht="15" hidden="false" customHeight="false" outlineLevel="0" collapsed="false">
      <c r="A3402" s="3" t="n">
        <v>3401</v>
      </c>
      <c r="B3402" s="3" t="n">
        <v>3400</v>
      </c>
      <c r="C3402" s="3" t="n">
        <v>4</v>
      </c>
      <c r="D3402" s="3" t="n">
        <v>9</v>
      </c>
      <c r="E3402" s="3" t="n">
        <v>12</v>
      </c>
      <c r="F3402" s="24" t="n">
        <v>0.635306478</v>
      </c>
    </row>
    <row r="3403" customFormat="false" ht="15" hidden="false" customHeight="false" outlineLevel="0" collapsed="false">
      <c r="A3403" s="3" t="n">
        <v>3402</v>
      </c>
      <c r="B3403" s="3" t="n">
        <v>3401</v>
      </c>
      <c r="C3403" s="3" t="n">
        <v>4</v>
      </c>
      <c r="D3403" s="3" t="n">
        <v>9</v>
      </c>
      <c r="E3403" s="3" t="n">
        <v>13</v>
      </c>
      <c r="F3403" s="24" t="n">
        <v>0.478629708</v>
      </c>
    </row>
    <row r="3404" customFormat="false" ht="15" hidden="false" customHeight="false" outlineLevel="0" collapsed="false">
      <c r="A3404" s="3" t="n">
        <v>3403</v>
      </c>
      <c r="B3404" s="3" t="n">
        <v>3402</v>
      </c>
      <c r="C3404" s="3" t="n">
        <v>4</v>
      </c>
      <c r="D3404" s="3" t="n">
        <v>9</v>
      </c>
      <c r="E3404" s="3" t="n">
        <v>14</v>
      </c>
      <c r="F3404" s="24" t="n">
        <v>0.679698467</v>
      </c>
    </row>
    <row r="3405" customFormat="false" ht="15" hidden="false" customHeight="false" outlineLevel="0" collapsed="false">
      <c r="A3405" s="3" t="n">
        <v>3404</v>
      </c>
      <c r="B3405" s="3" t="n">
        <v>3403</v>
      </c>
      <c r="C3405" s="3" t="n">
        <v>4</v>
      </c>
      <c r="D3405" s="3" t="n">
        <v>9</v>
      </c>
      <c r="E3405" s="3" t="n">
        <v>15</v>
      </c>
      <c r="F3405" s="24" t="n">
        <v>0.793539882</v>
      </c>
    </row>
    <row r="3406" customFormat="false" ht="15" hidden="false" customHeight="false" outlineLevel="0" collapsed="false">
      <c r="A3406" s="3" t="n">
        <v>3405</v>
      </c>
      <c r="B3406" s="3" t="n">
        <v>3404</v>
      </c>
      <c r="C3406" s="3" t="n">
        <v>4</v>
      </c>
      <c r="D3406" s="3" t="n">
        <v>9</v>
      </c>
      <c r="E3406" s="3" t="n">
        <v>16</v>
      </c>
      <c r="F3406" s="24" t="n">
        <v>0.771468639</v>
      </c>
    </row>
    <row r="3407" customFormat="false" ht="15" hidden="false" customHeight="false" outlineLevel="0" collapsed="false">
      <c r="A3407" s="3" t="n">
        <v>3406</v>
      </c>
      <c r="B3407" s="3" t="n">
        <v>3405</v>
      </c>
      <c r="C3407" s="3" t="n">
        <v>4</v>
      </c>
      <c r="D3407" s="3" t="n">
        <v>9</v>
      </c>
      <c r="E3407" s="3" t="n">
        <v>17</v>
      </c>
      <c r="F3407" s="24" t="n">
        <v>0.622671545</v>
      </c>
    </row>
    <row r="3408" customFormat="false" ht="15" hidden="false" customHeight="false" outlineLevel="0" collapsed="false">
      <c r="A3408" s="3" t="n">
        <v>3407</v>
      </c>
      <c r="B3408" s="3" t="n">
        <v>3406</v>
      </c>
      <c r="C3408" s="3" t="n">
        <v>4</v>
      </c>
      <c r="D3408" s="3" t="n">
        <v>9</v>
      </c>
      <c r="E3408" s="3" t="n">
        <v>18</v>
      </c>
      <c r="F3408" s="24" t="n">
        <v>1.08331954</v>
      </c>
    </row>
    <row r="3409" customFormat="false" ht="15" hidden="false" customHeight="false" outlineLevel="0" collapsed="false">
      <c r="A3409" s="3" t="n">
        <v>3408</v>
      </c>
      <c r="B3409" s="3" t="n">
        <v>3407</v>
      </c>
      <c r="C3409" s="3" t="n">
        <v>4</v>
      </c>
      <c r="D3409" s="3" t="n">
        <v>9</v>
      </c>
      <c r="E3409" s="3" t="n">
        <v>19</v>
      </c>
      <c r="F3409" s="24" t="n">
        <v>2.19796681</v>
      </c>
    </row>
    <row r="3410" customFormat="false" ht="15" hidden="false" customHeight="false" outlineLevel="0" collapsed="false">
      <c r="A3410" s="3" t="n">
        <v>3409</v>
      </c>
      <c r="B3410" s="3" t="n">
        <v>3408</v>
      </c>
      <c r="C3410" s="3" t="n">
        <v>4</v>
      </c>
      <c r="D3410" s="3" t="n">
        <v>9</v>
      </c>
      <c r="E3410" s="3" t="n">
        <v>20</v>
      </c>
      <c r="F3410" s="24" t="n">
        <v>2.41462851</v>
      </c>
    </row>
    <row r="3411" customFormat="false" ht="15" hidden="false" customHeight="false" outlineLevel="0" collapsed="false">
      <c r="A3411" s="3" t="n">
        <v>3410</v>
      </c>
      <c r="B3411" s="3" t="n">
        <v>3409</v>
      </c>
      <c r="C3411" s="3" t="n">
        <v>4</v>
      </c>
      <c r="D3411" s="3" t="n">
        <v>9</v>
      </c>
      <c r="E3411" s="3" t="n">
        <v>21</v>
      </c>
      <c r="F3411" s="24" t="n">
        <v>0.778324962</v>
      </c>
    </row>
    <row r="3412" customFormat="false" ht="15" hidden="false" customHeight="false" outlineLevel="0" collapsed="false">
      <c r="A3412" s="3" t="n">
        <v>3411</v>
      </c>
      <c r="B3412" s="3" t="n">
        <v>3410</v>
      </c>
      <c r="C3412" s="3" t="n">
        <v>4</v>
      </c>
      <c r="D3412" s="3" t="n">
        <v>9</v>
      </c>
      <c r="E3412" s="3" t="n">
        <v>22</v>
      </c>
      <c r="F3412" s="24" t="n">
        <v>-0.576258063</v>
      </c>
    </row>
    <row r="3413" customFormat="false" ht="15" hidden="false" customHeight="false" outlineLevel="0" collapsed="false">
      <c r="A3413" s="3" t="n">
        <v>3412</v>
      </c>
      <c r="B3413" s="3" t="n">
        <v>3411</v>
      </c>
      <c r="C3413" s="3" t="n">
        <v>4</v>
      </c>
      <c r="D3413" s="3" t="n">
        <v>9</v>
      </c>
      <c r="E3413" s="3" t="n">
        <v>23</v>
      </c>
      <c r="F3413" s="24" t="n">
        <v>-0.605470479</v>
      </c>
    </row>
    <row r="3414" customFormat="false" ht="15" hidden="false" customHeight="false" outlineLevel="0" collapsed="false">
      <c r="A3414" s="3" t="n">
        <v>3413</v>
      </c>
      <c r="B3414" s="3" t="n">
        <v>3412</v>
      </c>
      <c r="C3414" s="3" t="n">
        <v>4</v>
      </c>
      <c r="D3414" s="3" t="n">
        <v>9</v>
      </c>
      <c r="E3414" s="3" t="n">
        <v>24</v>
      </c>
      <c r="F3414" s="24" t="n">
        <v>-0.605470479</v>
      </c>
    </row>
    <row r="3415" customFormat="false" ht="15" hidden="false" customHeight="false" outlineLevel="0" collapsed="false">
      <c r="A3415" s="3" t="n">
        <v>3414</v>
      </c>
      <c r="B3415" s="3" t="n">
        <v>3413</v>
      </c>
      <c r="C3415" s="3" t="n">
        <v>4</v>
      </c>
      <c r="D3415" s="3" t="n">
        <v>9</v>
      </c>
      <c r="E3415" s="3" t="n">
        <v>25</v>
      </c>
      <c r="F3415" s="24" t="n">
        <v>-0.605470479</v>
      </c>
    </row>
    <row r="3416" customFormat="false" ht="15" hidden="false" customHeight="false" outlineLevel="0" collapsed="false">
      <c r="A3416" s="3" t="n">
        <v>3415</v>
      </c>
      <c r="B3416" s="3" t="n">
        <v>3414</v>
      </c>
      <c r="C3416" s="3" t="n">
        <v>4</v>
      </c>
      <c r="D3416" s="3" t="n">
        <v>9</v>
      </c>
      <c r="E3416" s="3" t="n">
        <v>26</v>
      </c>
      <c r="F3416" s="24" t="n">
        <v>-0.605470479</v>
      </c>
    </row>
    <row r="3417" customFormat="false" ht="15" hidden="false" customHeight="false" outlineLevel="0" collapsed="false">
      <c r="A3417" s="3" t="n">
        <v>3416</v>
      </c>
      <c r="B3417" s="3" t="n">
        <v>3415</v>
      </c>
      <c r="C3417" s="3" t="n">
        <v>4</v>
      </c>
      <c r="D3417" s="3" t="n">
        <v>9</v>
      </c>
      <c r="E3417" s="3" t="n">
        <v>27</v>
      </c>
      <c r="F3417" s="24" t="n">
        <v>-0.469382077</v>
      </c>
    </row>
    <row r="3418" customFormat="false" ht="15" hidden="false" customHeight="false" outlineLevel="0" collapsed="false">
      <c r="A3418" s="3" t="n">
        <v>3417</v>
      </c>
      <c r="B3418" s="3" t="n">
        <v>3416</v>
      </c>
      <c r="C3418" s="3" t="n">
        <v>4</v>
      </c>
      <c r="D3418" s="3" t="n">
        <v>10</v>
      </c>
      <c r="E3418" s="3" t="n">
        <v>0</v>
      </c>
      <c r="F3418" s="24" t="n">
        <v>-0.515758276</v>
      </c>
    </row>
    <row r="3419" customFormat="false" ht="15" hidden="false" customHeight="false" outlineLevel="0" collapsed="false">
      <c r="A3419" s="3" t="n">
        <v>3418</v>
      </c>
      <c r="B3419" s="3" t="n">
        <v>3417</v>
      </c>
      <c r="C3419" s="3" t="n">
        <v>4</v>
      </c>
      <c r="D3419" s="3" t="n">
        <v>10</v>
      </c>
      <c r="E3419" s="3" t="n">
        <v>1</v>
      </c>
      <c r="F3419" s="24" t="n">
        <v>-0.605470479</v>
      </c>
    </row>
    <row r="3420" customFormat="false" ht="15" hidden="false" customHeight="false" outlineLevel="0" collapsed="false">
      <c r="A3420" s="3" t="n">
        <v>3419</v>
      </c>
      <c r="B3420" s="3" t="n">
        <v>3418</v>
      </c>
      <c r="C3420" s="3" t="n">
        <v>4</v>
      </c>
      <c r="D3420" s="3" t="n">
        <v>10</v>
      </c>
      <c r="E3420" s="3" t="n">
        <v>2</v>
      </c>
      <c r="F3420" s="24" t="n">
        <v>-0.605470479</v>
      </c>
    </row>
    <row r="3421" customFormat="false" ht="15" hidden="false" customHeight="false" outlineLevel="0" collapsed="false">
      <c r="A3421" s="3" t="n">
        <v>3420</v>
      </c>
      <c r="B3421" s="3" t="n">
        <v>3419</v>
      </c>
      <c r="C3421" s="3" t="n">
        <v>4</v>
      </c>
      <c r="D3421" s="3" t="n">
        <v>10</v>
      </c>
      <c r="E3421" s="3" t="n">
        <v>3</v>
      </c>
      <c r="F3421" s="24" t="n">
        <v>-0.605470479</v>
      </c>
    </row>
    <row r="3422" customFormat="false" ht="15" hidden="false" customHeight="false" outlineLevel="0" collapsed="false">
      <c r="A3422" s="3" t="n">
        <v>3421</v>
      </c>
      <c r="B3422" s="3" t="n">
        <v>3420</v>
      </c>
      <c r="C3422" s="3" t="n">
        <v>4</v>
      </c>
      <c r="D3422" s="3" t="n">
        <v>10</v>
      </c>
      <c r="E3422" s="3" t="n">
        <v>4</v>
      </c>
      <c r="F3422" s="24" t="n">
        <v>-0.605470479</v>
      </c>
    </row>
    <row r="3423" customFormat="false" ht="15" hidden="false" customHeight="false" outlineLevel="0" collapsed="false">
      <c r="A3423" s="3" t="n">
        <v>3422</v>
      </c>
      <c r="B3423" s="3" t="n">
        <v>3421</v>
      </c>
      <c r="C3423" s="3" t="n">
        <v>4</v>
      </c>
      <c r="D3423" s="3" t="n">
        <v>10</v>
      </c>
      <c r="E3423" s="3" t="n">
        <v>5</v>
      </c>
      <c r="F3423" s="24" t="n">
        <v>-0.472474962</v>
      </c>
    </row>
    <row r="3424" customFormat="false" ht="15" hidden="false" customHeight="false" outlineLevel="0" collapsed="false">
      <c r="A3424" s="3" t="n">
        <v>3423</v>
      </c>
      <c r="B3424" s="3" t="n">
        <v>3422</v>
      </c>
      <c r="C3424" s="3" t="n">
        <v>4</v>
      </c>
      <c r="D3424" s="3" t="n">
        <v>10</v>
      </c>
      <c r="E3424" s="3" t="n">
        <v>6</v>
      </c>
      <c r="F3424" s="24" t="n">
        <v>-0.109234154</v>
      </c>
    </row>
    <row r="3425" customFormat="false" ht="15" hidden="false" customHeight="false" outlineLevel="0" collapsed="false">
      <c r="A3425" s="3" t="n">
        <v>3424</v>
      </c>
      <c r="B3425" s="3" t="n">
        <v>3423</v>
      </c>
      <c r="C3425" s="3" t="n">
        <v>4</v>
      </c>
      <c r="D3425" s="3" t="n">
        <v>10</v>
      </c>
      <c r="E3425" s="3" t="n">
        <v>7</v>
      </c>
      <c r="F3425" s="24" t="n">
        <v>0.150887579</v>
      </c>
    </row>
    <row r="3426" customFormat="false" ht="15" hidden="false" customHeight="false" outlineLevel="0" collapsed="false">
      <c r="A3426" s="3" t="n">
        <v>3425</v>
      </c>
      <c r="B3426" s="3" t="n">
        <v>3424</v>
      </c>
      <c r="C3426" s="3" t="n">
        <v>4</v>
      </c>
      <c r="D3426" s="3" t="n">
        <v>10</v>
      </c>
      <c r="E3426" s="3" t="n">
        <v>8</v>
      </c>
      <c r="F3426" s="24" t="n">
        <v>0.173157543</v>
      </c>
    </row>
    <row r="3427" customFormat="false" ht="15" hidden="false" customHeight="false" outlineLevel="0" collapsed="false">
      <c r="A3427" s="3" t="n">
        <v>3426</v>
      </c>
      <c r="B3427" s="3" t="n">
        <v>3425</v>
      </c>
      <c r="C3427" s="3" t="n">
        <v>4</v>
      </c>
      <c r="D3427" s="3" t="n">
        <v>10</v>
      </c>
      <c r="E3427" s="3" t="n">
        <v>9</v>
      </c>
      <c r="F3427" s="24" t="n">
        <v>0.343025357</v>
      </c>
    </row>
    <row r="3428" customFormat="false" ht="15" hidden="false" customHeight="false" outlineLevel="0" collapsed="false">
      <c r="A3428" s="3" t="n">
        <v>3427</v>
      </c>
      <c r="B3428" s="3" t="n">
        <v>3426</v>
      </c>
      <c r="C3428" s="3" t="n">
        <v>4</v>
      </c>
      <c r="D3428" s="3" t="n">
        <v>10</v>
      </c>
      <c r="E3428" s="3" t="n">
        <v>10</v>
      </c>
      <c r="F3428" s="24" t="n">
        <v>0.741642833</v>
      </c>
    </row>
    <row r="3429" customFormat="false" ht="15" hidden="false" customHeight="false" outlineLevel="0" collapsed="false">
      <c r="A3429" s="3" t="n">
        <v>3428</v>
      </c>
      <c r="B3429" s="3" t="n">
        <v>3427</v>
      </c>
      <c r="C3429" s="3" t="n">
        <v>4</v>
      </c>
      <c r="D3429" s="3" t="n">
        <v>10</v>
      </c>
      <c r="E3429" s="3" t="n">
        <v>11</v>
      </c>
      <c r="F3429" s="24" t="n">
        <v>1.11403501</v>
      </c>
    </row>
    <row r="3430" customFormat="false" ht="15" hidden="false" customHeight="false" outlineLevel="0" collapsed="false">
      <c r="A3430" s="3" t="n">
        <v>3429</v>
      </c>
      <c r="B3430" s="3" t="n">
        <v>3428</v>
      </c>
      <c r="C3430" s="3" t="n">
        <v>4</v>
      </c>
      <c r="D3430" s="3" t="n">
        <v>10</v>
      </c>
      <c r="E3430" s="3" t="n">
        <v>12</v>
      </c>
      <c r="F3430" s="24" t="n">
        <v>1.35261214</v>
      </c>
    </row>
    <row r="3431" customFormat="false" ht="15" hidden="false" customHeight="false" outlineLevel="0" collapsed="false">
      <c r="A3431" s="3" t="n">
        <v>3430</v>
      </c>
      <c r="B3431" s="3" t="n">
        <v>3429</v>
      </c>
      <c r="C3431" s="3" t="n">
        <v>4</v>
      </c>
      <c r="D3431" s="3" t="n">
        <v>10</v>
      </c>
      <c r="E3431" s="3" t="n">
        <v>13</v>
      </c>
      <c r="F3431" s="24" t="n">
        <v>1.05567992</v>
      </c>
    </row>
    <row r="3432" customFormat="false" ht="15" hidden="false" customHeight="false" outlineLevel="0" collapsed="false">
      <c r="A3432" s="3" t="n">
        <v>3431</v>
      </c>
      <c r="B3432" s="3" t="n">
        <v>3430</v>
      </c>
      <c r="C3432" s="3" t="n">
        <v>4</v>
      </c>
      <c r="D3432" s="3" t="n">
        <v>10</v>
      </c>
      <c r="E3432" s="3" t="n">
        <v>14</v>
      </c>
      <c r="F3432" s="24" t="n">
        <v>1.34794533</v>
      </c>
    </row>
    <row r="3433" customFormat="false" ht="15" hidden="false" customHeight="false" outlineLevel="0" collapsed="false">
      <c r="A3433" s="3" t="n">
        <v>3432</v>
      </c>
      <c r="B3433" s="3" t="n">
        <v>3431</v>
      </c>
      <c r="C3433" s="3" t="n">
        <v>4</v>
      </c>
      <c r="D3433" s="3" t="n">
        <v>10</v>
      </c>
      <c r="E3433" s="3" t="n">
        <v>15</v>
      </c>
      <c r="F3433" s="24" t="n">
        <v>1.2090615</v>
      </c>
    </row>
    <row r="3434" customFormat="false" ht="15" hidden="false" customHeight="false" outlineLevel="0" collapsed="false">
      <c r="A3434" s="3" t="n">
        <v>3433</v>
      </c>
      <c r="B3434" s="3" t="n">
        <v>3432</v>
      </c>
      <c r="C3434" s="3" t="n">
        <v>4</v>
      </c>
      <c r="D3434" s="3" t="n">
        <v>10</v>
      </c>
      <c r="E3434" s="3" t="n">
        <v>16</v>
      </c>
      <c r="F3434" s="24" t="n">
        <v>1.21169233</v>
      </c>
    </row>
    <row r="3435" customFormat="false" ht="15" hidden="false" customHeight="false" outlineLevel="0" collapsed="false">
      <c r="A3435" s="3" t="n">
        <v>3434</v>
      </c>
      <c r="B3435" s="3" t="n">
        <v>3433</v>
      </c>
      <c r="C3435" s="3" t="n">
        <v>4</v>
      </c>
      <c r="D3435" s="3" t="n">
        <v>10</v>
      </c>
      <c r="E3435" s="3" t="n">
        <v>17</v>
      </c>
      <c r="F3435" s="24" t="n">
        <v>1.48182654</v>
      </c>
    </row>
    <row r="3436" customFormat="false" ht="15" hidden="false" customHeight="false" outlineLevel="0" collapsed="false">
      <c r="A3436" s="3" t="n">
        <v>3435</v>
      </c>
      <c r="B3436" s="3" t="n">
        <v>3434</v>
      </c>
      <c r="C3436" s="3" t="n">
        <v>4</v>
      </c>
      <c r="D3436" s="3" t="n">
        <v>10</v>
      </c>
      <c r="E3436" s="3" t="n">
        <v>18</v>
      </c>
      <c r="F3436" s="24" t="n">
        <v>2.18877316</v>
      </c>
    </row>
    <row r="3437" customFormat="false" ht="15" hidden="false" customHeight="false" outlineLevel="0" collapsed="false">
      <c r="A3437" s="3" t="n">
        <v>3436</v>
      </c>
      <c r="B3437" s="3" t="n">
        <v>3435</v>
      </c>
      <c r="C3437" s="3" t="n">
        <v>4</v>
      </c>
      <c r="D3437" s="3" t="n">
        <v>10</v>
      </c>
      <c r="E3437" s="3" t="n">
        <v>19</v>
      </c>
      <c r="F3437" s="24" t="n">
        <v>3.65822148</v>
      </c>
    </row>
    <row r="3438" customFormat="false" ht="15" hidden="false" customHeight="false" outlineLevel="0" collapsed="false">
      <c r="A3438" s="3" t="n">
        <v>3437</v>
      </c>
      <c r="B3438" s="3" t="n">
        <v>3436</v>
      </c>
      <c r="C3438" s="3" t="n">
        <v>4</v>
      </c>
      <c r="D3438" s="3" t="n">
        <v>10</v>
      </c>
      <c r="E3438" s="3" t="n">
        <v>20</v>
      </c>
      <c r="F3438" s="24" t="n">
        <v>2.69802451</v>
      </c>
    </row>
    <row r="3439" customFormat="false" ht="15" hidden="false" customHeight="false" outlineLevel="0" collapsed="false">
      <c r="A3439" s="3" t="n">
        <v>3438</v>
      </c>
      <c r="B3439" s="3" t="n">
        <v>3437</v>
      </c>
      <c r="C3439" s="3" t="n">
        <v>4</v>
      </c>
      <c r="D3439" s="3" t="n">
        <v>10</v>
      </c>
      <c r="E3439" s="3" t="n">
        <v>21</v>
      </c>
      <c r="F3439" s="24" t="n">
        <v>0.628954053</v>
      </c>
    </row>
    <row r="3440" customFormat="false" ht="15" hidden="false" customHeight="false" outlineLevel="0" collapsed="false">
      <c r="A3440" s="3" t="n">
        <v>3439</v>
      </c>
      <c r="B3440" s="3" t="n">
        <v>3438</v>
      </c>
      <c r="C3440" s="3" t="n">
        <v>4</v>
      </c>
      <c r="D3440" s="3" t="n">
        <v>10</v>
      </c>
      <c r="E3440" s="3" t="n">
        <v>22</v>
      </c>
      <c r="F3440" s="24" t="n">
        <v>-0.617735624</v>
      </c>
    </row>
    <row r="3441" customFormat="false" ht="15" hidden="false" customHeight="false" outlineLevel="0" collapsed="false">
      <c r="A3441" s="3" t="n">
        <v>3440</v>
      </c>
      <c r="B3441" s="3" t="n">
        <v>3439</v>
      </c>
      <c r="C3441" s="3" t="n">
        <v>4</v>
      </c>
      <c r="D3441" s="3" t="n">
        <v>10</v>
      </c>
      <c r="E3441" s="3" t="n">
        <v>23</v>
      </c>
      <c r="F3441" s="24" t="n">
        <v>-0.605470479</v>
      </c>
    </row>
    <row r="3442" customFormat="false" ht="15" hidden="false" customHeight="false" outlineLevel="0" collapsed="false">
      <c r="A3442" s="3" t="n">
        <v>3441</v>
      </c>
      <c r="B3442" s="3" t="n">
        <v>3440</v>
      </c>
      <c r="C3442" s="3" t="n">
        <v>4</v>
      </c>
      <c r="D3442" s="3" t="n">
        <v>10</v>
      </c>
      <c r="E3442" s="3" t="n">
        <v>24</v>
      </c>
      <c r="F3442" s="24" t="n">
        <v>-0.605470479</v>
      </c>
    </row>
    <row r="3443" customFormat="false" ht="15" hidden="false" customHeight="false" outlineLevel="0" collapsed="false">
      <c r="A3443" s="3" t="n">
        <v>3442</v>
      </c>
      <c r="B3443" s="3" t="n">
        <v>3441</v>
      </c>
      <c r="C3443" s="3" t="n">
        <v>4</v>
      </c>
      <c r="D3443" s="3" t="n">
        <v>10</v>
      </c>
      <c r="E3443" s="3" t="n">
        <v>25</v>
      </c>
      <c r="F3443" s="24" t="n">
        <v>-0.605470479</v>
      </c>
    </row>
    <row r="3444" customFormat="false" ht="15" hidden="false" customHeight="false" outlineLevel="0" collapsed="false">
      <c r="A3444" s="3" t="n">
        <v>3443</v>
      </c>
      <c r="B3444" s="3" t="n">
        <v>3442</v>
      </c>
      <c r="C3444" s="3" t="n">
        <v>4</v>
      </c>
      <c r="D3444" s="3" t="n">
        <v>10</v>
      </c>
      <c r="E3444" s="3" t="n">
        <v>26</v>
      </c>
      <c r="F3444" s="24" t="n">
        <v>-0.605470479</v>
      </c>
    </row>
    <row r="3445" customFormat="false" ht="15" hidden="false" customHeight="false" outlineLevel="0" collapsed="false">
      <c r="A3445" s="3" t="n">
        <v>3444</v>
      </c>
      <c r="B3445" s="3" t="n">
        <v>3443</v>
      </c>
      <c r="C3445" s="3" t="n">
        <v>4</v>
      </c>
      <c r="D3445" s="3" t="n">
        <v>10</v>
      </c>
      <c r="E3445" s="3" t="n">
        <v>27</v>
      </c>
      <c r="F3445" s="24" t="n">
        <v>-0.469382077</v>
      </c>
    </row>
    <row r="3446" customFormat="false" ht="15" hidden="false" customHeight="false" outlineLevel="0" collapsed="false">
      <c r="A3446" s="3" t="n">
        <v>3445</v>
      </c>
      <c r="B3446" s="3" t="n">
        <v>3444</v>
      </c>
      <c r="C3446" s="3" t="n">
        <v>4</v>
      </c>
      <c r="D3446" s="3" t="n">
        <v>11</v>
      </c>
      <c r="E3446" s="3" t="n">
        <v>0</v>
      </c>
      <c r="F3446" s="24" t="n">
        <v>-0.515758276</v>
      </c>
    </row>
    <row r="3447" customFormat="false" ht="15" hidden="false" customHeight="false" outlineLevel="0" collapsed="false">
      <c r="A3447" s="3" t="n">
        <v>3446</v>
      </c>
      <c r="B3447" s="3" t="n">
        <v>3445</v>
      </c>
      <c r="C3447" s="3" t="n">
        <v>4</v>
      </c>
      <c r="D3447" s="3" t="n">
        <v>11</v>
      </c>
      <c r="E3447" s="3" t="n">
        <v>1</v>
      </c>
      <c r="F3447" s="24" t="n">
        <v>-0.605470479</v>
      </c>
    </row>
    <row r="3448" customFormat="false" ht="15" hidden="false" customHeight="false" outlineLevel="0" collapsed="false">
      <c r="A3448" s="3" t="n">
        <v>3447</v>
      </c>
      <c r="B3448" s="3" t="n">
        <v>3446</v>
      </c>
      <c r="C3448" s="3" t="n">
        <v>4</v>
      </c>
      <c r="D3448" s="3" t="n">
        <v>11</v>
      </c>
      <c r="E3448" s="3" t="n">
        <v>2</v>
      </c>
      <c r="F3448" s="24" t="n">
        <v>-0.605470479</v>
      </c>
    </row>
    <row r="3449" customFormat="false" ht="15" hidden="false" customHeight="false" outlineLevel="0" collapsed="false">
      <c r="A3449" s="3" t="n">
        <v>3448</v>
      </c>
      <c r="B3449" s="3" t="n">
        <v>3447</v>
      </c>
      <c r="C3449" s="3" t="n">
        <v>4</v>
      </c>
      <c r="D3449" s="3" t="n">
        <v>11</v>
      </c>
      <c r="E3449" s="3" t="n">
        <v>3</v>
      </c>
      <c r="F3449" s="24" t="n">
        <v>-0.605470479</v>
      </c>
    </row>
    <row r="3450" customFormat="false" ht="15" hidden="false" customHeight="false" outlineLevel="0" collapsed="false">
      <c r="A3450" s="3" t="n">
        <v>3449</v>
      </c>
      <c r="B3450" s="3" t="n">
        <v>3448</v>
      </c>
      <c r="C3450" s="3" t="n">
        <v>4</v>
      </c>
      <c r="D3450" s="3" t="n">
        <v>11</v>
      </c>
      <c r="E3450" s="3" t="n">
        <v>4</v>
      </c>
      <c r="F3450" s="24" t="n">
        <v>-0.605470479</v>
      </c>
    </row>
    <row r="3451" customFormat="false" ht="15" hidden="false" customHeight="false" outlineLevel="0" collapsed="false">
      <c r="A3451" s="3" t="n">
        <v>3450</v>
      </c>
      <c r="B3451" s="3" t="n">
        <v>3449</v>
      </c>
      <c r="C3451" s="3" t="n">
        <v>4</v>
      </c>
      <c r="D3451" s="3" t="n">
        <v>11</v>
      </c>
      <c r="E3451" s="3" t="n">
        <v>5</v>
      </c>
      <c r="F3451" s="24" t="n">
        <v>-0.605470479</v>
      </c>
    </row>
    <row r="3452" customFormat="false" ht="15" hidden="false" customHeight="false" outlineLevel="0" collapsed="false">
      <c r="A3452" s="3" t="n">
        <v>3451</v>
      </c>
      <c r="B3452" s="3" t="n">
        <v>3450</v>
      </c>
      <c r="C3452" s="3" t="n">
        <v>4</v>
      </c>
      <c r="D3452" s="3" t="n">
        <v>11</v>
      </c>
      <c r="E3452" s="3" t="n">
        <v>6</v>
      </c>
      <c r="F3452" s="24" t="n">
        <v>-0.605470479</v>
      </c>
    </row>
    <row r="3453" customFormat="false" ht="15" hidden="false" customHeight="false" outlineLevel="0" collapsed="false">
      <c r="A3453" s="3" t="n">
        <v>3452</v>
      </c>
      <c r="B3453" s="3" t="n">
        <v>3451</v>
      </c>
      <c r="C3453" s="3" t="n">
        <v>4</v>
      </c>
      <c r="D3453" s="3" t="n">
        <v>11</v>
      </c>
      <c r="E3453" s="3" t="n">
        <v>7</v>
      </c>
      <c r="F3453" s="24" t="n">
        <v>-0.605470479</v>
      </c>
    </row>
    <row r="3454" customFormat="false" ht="15" hidden="false" customHeight="false" outlineLevel="0" collapsed="false">
      <c r="A3454" s="3" t="n">
        <v>3453</v>
      </c>
      <c r="B3454" s="3" t="n">
        <v>3452</v>
      </c>
      <c r="C3454" s="3" t="n">
        <v>4</v>
      </c>
      <c r="D3454" s="3" t="n">
        <v>11</v>
      </c>
      <c r="E3454" s="3" t="n">
        <v>8</v>
      </c>
      <c r="F3454" s="24" t="n">
        <v>-0.605470479</v>
      </c>
    </row>
    <row r="3455" customFormat="false" ht="15" hidden="false" customHeight="false" outlineLevel="0" collapsed="false">
      <c r="A3455" s="3" t="n">
        <v>3454</v>
      </c>
      <c r="B3455" s="3" t="n">
        <v>3453</v>
      </c>
      <c r="C3455" s="3" t="n">
        <v>4</v>
      </c>
      <c r="D3455" s="3" t="n">
        <v>11</v>
      </c>
      <c r="E3455" s="3" t="n">
        <v>9</v>
      </c>
      <c r="F3455" s="24" t="n">
        <v>-0.605470479</v>
      </c>
    </row>
    <row r="3456" customFormat="false" ht="15" hidden="false" customHeight="false" outlineLevel="0" collapsed="false">
      <c r="A3456" s="3" t="n">
        <v>3455</v>
      </c>
      <c r="B3456" s="3" t="n">
        <v>3454</v>
      </c>
      <c r="C3456" s="3" t="n">
        <v>4</v>
      </c>
      <c r="D3456" s="3" t="n">
        <v>11</v>
      </c>
      <c r="E3456" s="3" t="n">
        <v>10</v>
      </c>
      <c r="F3456" s="24" t="n">
        <v>-0.571725368</v>
      </c>
    </row>
    <row r="3457" customFormat="false" ht="15" hidden="false" customHeight="false" outlineLevel="0" collapsed="false">
      <c r="A3457" s="3" t="n">
        <v>3456</v>
      </c>
      <c r="B3457" s="3" t="n">
        <v>3455</v>
      </c>
      <c r="C3457" s="3" t="n">
        <v>4</v>
      </c>
      <c r="D3457" s="3" t="n">
        <v>11</v>
      </c>
      <c r="E3457" s="3" t="n">
        <v>11</v>
      </c>
      <c r="F3457" s="24" t="n">
        <v>-0.405966371</v>
      </c>
    </row>
    <row r="3458" customFormat="false" ht="15" hidden="false" customHeight="false" outlineLevel="0" collapsed="false">
      <c r="A3458" s="3" t="n">
        <v>3457</v>
      </c>
      <c r="B3458" s="3" t="n">
        <v>3456</v>
      </c>
      <c r="C3458" s="3" t="n">
        <v>4</v>
      </c>
      <c r="D3458" s="3" t="n">
        <v>11</v>
      </c>
      <c r="E3458" s="3" t="n">
        <v>12</v>
      </c>
      <c r="F3458" s="24" t="n">
        <v>-0.272657007</v>
      </c>
    </row>
    <row r="3459" customFormat="false" ht="15" hidden="false" customHeight="false" outlineLevel="0" collapsed="false">
      <c r="A3459" s="3" t="n">
        <v>3458</v>
      </c>
      <c r="B3459" s="3" t="n">
        <v>3457</v>
      </c>
      <c r="C3459" s="3" t="n">
        <v>4</v>
      </c>
      <c r="D3459" s="3" t="n">
        <v>11</v>
      </c>
      <c r="E3459" s="3" t="n">
        <v>13</v>
      </c>
      <c r="F3459" s="24" t="n">
        <v>-0.264241517</v>
      </c>
    </row>
    <row r="3460" customFormat="false" ht="15" hidden="false" customHeight="false" outlineLevel="0" collapsed="false">
      <c r="A3460" s="3" t="n">
        <v>3459</v>
      </c>
      <c r="B3460" s="3" t="n">
        <v>3458</v>
      </c>
      <c r="C3460" s="3" t="n">
        <v>4</v>
      </c>
      <c r="D3460" s="3" t="n">
        <v>11</v>
      </c>
      <c r="E3460" s="3" t="n">
        <v>14</v>
      </c>
      <c r="F3460" s="24" t="n">
        <v>-0.170323789</v>
      </c>
    </row>
    <row r="3461" customFormat="false" ht="15" hidden="false" customHeight="false" outlineLevel="0" collapsed="false">
      <c r="A3461" s="3" t="n">
        <v>3460</v>
      </c>
      <c r="B3461" s="3" t="n">
        <v>3459</v>
      </c>
      <c r="C3461" s="3" t="n">
        <v>4</v>
      </c>
      <c r="D3461" s="3" t="n">
        <v>11</v>
      </c>
      <c r="E3461" s="3" t="n">
        <v>15</v>
      </c>
      <c r="F3461" s="24" t="n">
        <v>-0.0484021604</v>
      </c>
    </row>
    <row r="3462" customFormat="false" ht="15" hidden="false" customHeight="false" outlineLevel="0" collapsed="false">
      <c r="A3462" s="3" t="n">
        <v>3461</v>
      </c>
      <c r="B3462" s="3" t="n">
        <v>3460</v>
      </c>
      <c r="C3462" s="3" t="n">
        <v>4</v>
      </c>
      <c r="D3462" s="3" t="n">
        <v>11</v>
      </c>
      <c r="E3462" s="3" t="n">
        <v>16</v>
      </c>
      <c r="F3462" s="24" t="n">
        <v>0.0109485798</v>
      </c>
    </row>
    <row r="3463" customFormat="false" ht="15" hidden="false" customHeight="false" outlineLevel="0" collapsed="false">
      <c r="A3463" s="3" t="n">
        <v>3462</v>
      </c>
      <c r="B3463" s="3" t="n">
        <v>3461</v>
      </c>
      <c r="C3463" s="3" t="n">
        <v>4</v>
      </c>
      <c r="D3463" s="3" t="n">
        <v>11</v>
      </c>
      <c r="E3463" s="3" t="n">
        <v>17</v>
      </c>
      <c r="F3463" s="24" t="n">
        <v>0.634910822</v>
      </c>
    </row>
    <row r="3464" customFormat="false" ht="15" hidden="false" customHeight="false" outlineLevel="0" collapsed="false">
      <c r="A3464" s="3" t="n">
        <v>3463</v>
      </c>
      <c r="B3464" s="3" t="n">
        <v>3462</v>
      </c>
      <c r="C3464" s="3" t="n">
        <v>4</v>
      </c>
      <c r="D3464" s="3" t="n">
        <v>11</v>
      </c>
      <c r="E3464" s="3" t="n">
        <v>18</v>
      </c>
      <c r="F3464" s="24" t="n">
        <v>2.04668283</v>
      </c>
    </row>
    <row r="3465" customFormat="false" ht="15" hidden="false" customHeight="false" outlineLevel="0" collapsed="false">
      <c r="A3465" s="3" t="n">
        <v>3464</v>
      </c>
      <c r="B3465" s="3" t="n">
        <v>3463</v>
      </c>
      <c r="C3465" s="3" t="n">
        <v>4</v>
      </c>
      <c r="D3465" s="3" t="n">
        <v>11</v>
      </c>
      <c r="E3465" s="3" t="n">
        <v>19</v>
      </c>
      <c r="F3465" s="24" t="n">
        <v>3.15972805</v>
      </c>
    </row>
    <row r="3466" customFormat="false" ht="15" hidden="false" customHeight="false" outlineLevel="0" collapsed="false">
      <c r="A3466" s="3" t="n">
        <v>3465</v>
      </c>
      <c r="B3466" s="3" t="n">
        <v>3464</v>
      </c>
      <c r="C3466" s="3" t="n">
        <v>4</v>
      </c>
      <c r="D3466" s="3" t="n">
        <v>11</v>
      </c>
      <c r="E3466" s="3" t="n">
        <v>20</v>
      </c>
      <c r="F3466" s="24" t="n">
        <v>1.86620545</v>
      </c>
    </row>
    <row r="3467" customFormat="false" ht="15" hidden="false" customHeight="false" outlineLevel="0" collapsed="false">
      <c r="A3467" s="3" t="n">
        <v>3466</v>
      </c>
      <c r="B3467" s="3" t="n">
        <v>3465</v>
      </c>
      <c r="C3467" s="3" t="n">
        <v>4</v>
      </c>
      <c r="D3467" s="3" t="n">
        <v>11</v>
      </c>
      <c r="E3467" s="3" t="n">
        <v>21</v>
      </c>
      <c r="F3467" s="24" t="n">
        <v>-0.03665483</v>
      </c>
    </row>
    <row r="3468" customFormat="false" ht="15" hidden="false" customHeight="false" outlineLevel="0" collapsed="false">
      <c r="A3468" s="3" t="n">
        <v>3467</v>
      </c>
      <c r="B3468" s="3" t="n">
        <v>3466</v>
      </c>
      <c r="C3468" s="3" t="n">
        <v>4</v>
      </c>
      <c r="D3468" s="3" t="n">
        <v>11</v>
      </c>
      <c r="E3468" s="3" t="n">
        <v>22</v>
      </c>
      <c r="F3468" s="24" t="n">
        <v>-0.431452245</v>
      </c>
    </row>
    <row r="3469" customFormat="false" ht="15" hidden="false" customHeight="false" outlineLevel="0" collapsed="false">
      <c r="A3469" s="3" t="n">
        <v>3468</v>
      </c>
      <c r="B3469" s="3" t="n">
        <v>3467</v>
      </c>
      <c r="C3469" s="3" t="n">
        <v>4</v>
      </c>
      <c r="D3469" s="3" t="n">
        <v>11</v>
      </c>
      <c r="E3469" s="3" t="n">
        <v>23</v>
      </c>
      <c r="F3469" s="24" t="n">
        <v>-0.605470479</v>
      </c>
    </row>
    <row r="3470" customFormat="false" ht="15" hidden="false" customHeight="false" outlineLevel="0" collapsed="false">
      <c r="A3470" s="3" t="n">
        <v>3469</v>
      </c>
      <c r="B3470" s="3" t="n">
        <v>3468</v>
      </c>
      <c r="C3470" s="3" t="n">
        <v>4</v>
      </c>
      <c r="D3470" s="3" t="n">
        <v>11</v>
      </c>
      <c r="E3470" s="3" t="n">
        <v>24</v>
      </c>
      <c r="F3470" s="24" t="n">
        <v>-0.605470479</v>
      </c>
    </row>
    <row r="3471" customFormat="false" ht="15" hidden="false" customHeight="false" outlineLevel="0" collapsed="false">
      <c r="A3471" s="3" t="n">
        <v>3470</v>
      </c>
      <c r="B3471" s="3" t="n">
        <v>3469</v>
      </c>
      <c r="C3471" s="3" t="n">
        <v>4</v>
      </c>
      <c r="D3471" s="3" t="n">
        <v>11</v>
      </c>
      <c r="E3471" s="3" t="n">
        <v>25</v>
      </c>
      <c r="F3471" s="24" t="n">
        <v>-0.605470479</v>
      </c>
    </row>
    <row r="3472" customFormat="false" ht="15" hidden="false" customHeight="false" outlineLevel="0" collapsed="false">
      <c r="A3472" s="3" t="n">
        <v>3471</v>
      </c>
      <c r="B3472" s="3" t="n">
        <v>3470</v>
      </c>
      <c r="C3472" s="3" t="n">
        <v>4</v>
      </c>
      <c r="D3472" s="3" t="n">
        <v>11</v>
      </c>
      <c r="E3472" s="3" t="n">
        <v>26</v>
      </c>
      <c r="F3472" s="24" t="n">
        <v>-0.605470479</v>
      </c>
    </row>
    <row r="3473" customFormat="false" ht="15" hidden="false" customHeight="false" outlineLevel="0" collapsed="false">
      <c r="A3473" s="3" t="n">
        <v>3472</v>
      </c>
      <c r="B3473" s="3" t="n">
        <v>3471</v>
      </c>
      <c r="C3473" s="3" t="n">
        <v>4</v>
      </c>
      <c r="D3473" s="3" t="n">
        <v>11</v>
      </c>
      <c r="E3473" s="3" t="n">
        <v>27</v>
      </c>
      <c r="F3473" s="24" t="n">
        <v>-0.469382077</v>
      </c>
    </row>
    <row r="3474" customFormat="false" ht="15" hidden="false" customHeight="false" outlineLevel="0" collapsed="false">
      <c r="A3474" s="3" t="n">
        <v>3473</v>
      </c>
      <c r="B3474" s="3" t="n">
        <v>3472</v>
      </c>
      <c r="C3474" s="3" t="n">
        <v>4</v>
      </c>
      <c r="D3474" s="3" t="n">
        <v>12</v>
      </c>
      <c r="E3474" s="3" t="n">
        <v>0</v>
      </c>
      <c r="F3474" s="24" t="n">
        <v>-0.515758276</v>
      </c>
    </row>
    <row r="3475" customFormat="false" ht="15" hidden="false" customHeight="false" outlineLevel="0" collapsed="false">
      <c r="A3475" s="3" t="n">
        <v>3474</v>
      </c>
      <c r="B3475" s="3" t="n">
        <v>3473</v>
      </c>
      <c r="C3475" s="3" t="n">
        <v>4</v>
      </c>
      <c r="D3475" s="3" t="n">
        <v>12</v>
      </c>
      <c r="E3475" s="3" t="n">
        <v>1</v>
      </c>
      <c r="F3475" s="24" t="n">
        <v>-0.605470479</v>
      </c>
    </row>
    <row r="3476" customFormat="false" ht="15" hidden="false" customHeight="false" outlineLevel="0" collapsed="false">
      <c r="A3476" s="3" t="n">
        <v>3475</v>
      </c>
      <c r="B3476" s="3" t="n">
        <v>3474</v>
      </c>
      <c r="C3476" s="3" t="n">
        <v>4</v>
      </c>
      <c r="D3476" s="3" t="n">
        <v>12</v>
      </c>
      <c r="E3476" s="3" t="n">
        <v>2</v>
      </c>
      <c r="F3476" s="24" t="n">
        <v>-0.605470479</v>
      </c>
    </row>
    <row r="3477" customFormat="false" ht="15" hidden="false" customHeight="false" outlineLevel="0" collapsed="false">
      <c r="A3477" s="3" t="n">
        <v>3476</v>
      </c>
      <c r="B3477" s="3" t="n">
        <v>3475</v>
      </c>
      <c r="C3477" s="3" t="n">
        <v>4</v>
      </c>
      <c r="D3477" s="3" t="n">
        <v>12</v>
      </c>
      <c r="E3477" s="3" t="n">
        <v>3</v>
      </c>
      <c r="F3477" s="24" t="n">
        <v>-0.605470479</v>
      </c>
    </row>
    <row r="3478" customFormat="false" ht="15" hidden="false" customHeight="false" outlineLevel="0" collapsed="false">
      <c r="A3478" s="3" t="n">
        <v>3477</v>
      </c>
      <c r="B3478" s="3" t="n">
        <v>3476</v>
      </c>
      <c r="C3478" s="3" t="n">
        <v>4</v>
      </c>
      <c r="D3478" s="3" t="n">
        <v>12</v>
      </c>
      <c r="E3478" s="3" t="n">
        <v>4</v>
      </c>
      <c r="F3478" s="24" t="n">
        <v>-0.605470479</v>
      </c>
    </row>
    <row r="3479" customFormat="false" ht="15" hidden="false" customHeight="false" outlineLevel="0" collapsed="false">
      <c r="A3479" s="3" t="n">
        <v>3478</v>
      </c>
      <c r="B3479" s="3" t="n">
        <v>3477</v>
      </c>
      <c r="C3479" s="3" t="n">
        <v>4</v>
      </c>
      <c r="D3479" s="3" t="n">
        <v>12</v>
      </c>
      <c r="E3479" s="3" t="n">
        <v>5</v>
      </c>
      <c r="F3479" s="24" t="n">
        <v>-0.605470479</v>
      </c>
    </row>
    <row r="3480" customFormat="false" ht="15" hidden="false" customHeight="false" outlineLevel="0" collapsed="false">
      <c r="A3480" s="3" t="n">
        <v>3479</v>
      </c>
      <c r="B3480" s="3" t="n">
        <v>3478</v>
      </c>
      <c r="C3480" s="3" t="n">
        <v>4</v>
      </c>
      <c r="D3480" s="3" t="n">
        <v>12</v>
      </c>
      <c r="E3480" s="3" t="n">
        <v>6</v>
      </c>
      <c r="F3480" s="24" t="n">
        <v>-0.605470479</v>
      </c>
    </row>
    <row r="3481" customFormat="false" ht="15" hidden="false" customHeight="false" outlineLevel="0" collapsed="false">
      <c r="A3481" s="3" t="n">
        <v>3480</v>
      </c>
      <c r="B3481" s="3" t="n">
        <v>3479</v>
      </c>
      <c r="C3481" s="3" t="n">
        <v>4</v>
      </c>
      <c r="D3481" s="3" t="n">
        <v>12</v>
      </c>
      <c r="E3481" s="3" t="n">
        <v>7</v>
      </c>
      <c r="F3481" s="24" t="n">
        <v>-0.605470479</v>
      </c>
    </row>
    <row r="3482" customFormat="false" ht="15" hidden="false" customHeight="false" outlineLevel="0" collapsed="false">
      <c r="A3482" s="3" t="n">
        <v>3481</v>
      </c>
      <c r="B3482" s="3" t="n">
        <v>3480</v>
      </c>
      <c r="C3482" s="3" t="n">
        <v>4</v>
      </c>
      <c r="D3482" s="3" t="n">
        <v>12</v>
      </c>
      <c r="E3482" s="3" t="n">
        <v>8</v>
      </c>
      <c r="F3482" s="24" t="n">
        <v>-0.605470479</v>
      </c>
    </row>
    <row r="3483" customFormat="false" ht="15" hidden="false" customHeight="false" outlineLevel="0" collapsed="false">
      <c r="A3483" s="3" t="n">
        <v>3482</v>
      </c>
      <c r="B3483" s="3" t="n">
        <v>3481</v>
      </c>
      <c r="C3483" s="3" t="n">
        <v>4</v>
      </c>
      <c r="D3483" s="3" t="n">
        <v>12</v>
      </c>
      <c r="E3483" s="3" t="n">
        <v>9</v>
      </c>
      <c r="F3483" s="24" t="n">
        <v>-0.605470479</v>
      </c>
    </row>
    <row r="3484" customFormat="false" ht="15" hidden="false" customHeight="false" outlineLevel="0" collapsed="false">
      <c r="A3484" s="3" t="n">
        <v>3483</v>
      </c>
      <c r="B3484" s="3" t="n">
        <v>3482</v>
      </c>
      <c r="C3484" s="3" t="n">
        <v>4</v>
      </c>
      <c r="D3484" s="3" t="n">
        <v>12</v>
      </c>
      <c r="E3484" s="3" t="n">
        <v>10</v>
      </c>
      <c r="F3484" s="24" t="n">
        <v>-0.605470479</v>
      </c>
    </row>
    <row r="3485" customFormat="false" ht="15" hidden="false" customHeight="false" outlineLevel="0" collapsed="false">
      <c r="A3485" s="3" t="n">
        <v>3484</v>
      </c>
      <c r="B3485" s="3" t="n">
        <v>3483</v>
      </c>
      <c r="C3485" s="3" t="n">
        <v>4</v>
      </c>
      <c r="D3485" s="3" t="n">
        <v>12</v>
      </c>
      <c r="E3485" s="3" t="n">
        <v>11</v>
      </c>
      <c r="F3485" s="24" t="n">
        <v>-0.605470479</v>
      </c>
    </row>
    <row r="3486" customFormat="false" ht="15" hidden="false" customHeight="false" outlineLevel="0" collapsed="false">
      <c r="A3486" s="3" t="n">
        <v>3485</v>
      </c>
      <c r="B3486" s="3" t="n">
        <v>3484</v>
      </c>
      <c r="C3486" s="3" t="n">
        <v>4</v>
      </c>
      <c r="D3486" s="3" t="n">
        <v>12</v>
      </c>
      <c r="E3486" s="3" t="n">
        <v>12</v>
      </c>
      <c r="F3486" s="24" t="n">
        <v>-0.605470479</v>
      </c>
    </row>
    <row r="3487" customFormat="false" ht="15" hidden="false" customHeight="false" outlineLevel="0" collapsed="false">
      <c r="A3487" s="3" t="n">
        <v>3486</v>
      </c>
      <c r="B3487" s="3" t="n">
        <v>3485</v>
      </c>
      <c r="C3487" s="3" t="n">
        <v>4</v>
      </c>
      <c r="D3487" s="3" t="n">
        <v>12</v>
      </c>
      <c r="E3487" s="3" t="n">
        <v>13</v>
      </c>
      <c r="F3487" s="24" t="n">
        <v>-0.605470479</v>
      </c>
    </row>
    <row r="3488" customFormat="false" ht="15" hidden="false" customHeight="false" outlineLevel="0" collapsed="false">
      <c r="A3488" s="3" t="n">
        <v>3487</v>
      </c>
      <c r="B3488" s="3" t="n">
        <v>3486</v>
      </c>
      <c r="C3488" s="3" t="n">
        <v>4</v>
      </c>
      <c r="D3488" s="3" t="n">
        <v>12</v>
      </c>
      <c r="E3488" s="3" t="n">
        <v>14</v>
      </c>
      <c r="F3488" s="24" t="n">
        <v>-0.605470479</v>
      </c>
    </row>
    <row r="3489" customFormat="false" ht="15" hidden="false" customHeight="false" outlineLevel="0" collapsed="false">
      <c r="A3489" s="3" t="n">
        <v>3488</v>
      </c>
      <c r="B3489" s="3" t="n">
        <v>3487</v>
      </c>
      <c r="C3489" s="3" t="n">
        <v>4</v>
      </c>
      <c r="D3489" s="3" t="n">
        <v>12</v>
      </c>
      <c r="E3489" s="3" t="n">
        <v>15</v>
      </c>
      <c r="F3489" s="24" t="n">
        <v>-0.605470479</v>
      </c>
    </row>
    <row r="3490" customFormat="false" ht="15" hidden="false" customHeight="false" outlineLevel="0" collapsed="false">
      <c r="A3490" s="3" t="n">
        <v>3489</v>
      </c>
      <c r="B3490" s="3" t="n">
        <v>3488</v>
      </c>
      <c r="C3490" s="3" t="n">
        <v>4</v>
      </c>
      <c r="D3490" s="3" t="n">
        <v>12</v>
      </c>
      <c r="E3490" s="3" t="n">
        <v>16</v>
      </c>
      <c r="F3490" s="24" t="n">
        <v>-0.193413913</v>
      </c>
    </row>
    <row r="3491" customFormat="false" ht="15" hidden="false" customHeight="false" outlineLevel="0" collapsed="false">
      <c r="A3491" s="3" t="n">
        <v>3490</v>
      </c>
      <c r="B3491" s="3" t="n">
        <v>3489</v>
      </c>
      <c r="C3491" s="3" t="n">
        <v>4</v>
      </c>
      <c r="D3491" s="3" t="n">
        <v>12</v>
      </c>
      <c r="E3491" s="3" t="n">
        <v>17</v>
      </c>
      <c r="F3491" s="24" t="n">
        <v>0.839019358</v>
      </c>
    </row>
    <row r="3492" customFormat="false" ht="15" hidden="false" customHeight="false" outlineLevel="0" collapsed="false">
      <c r="A3492" s="3" t="n">
        <v>3491</v>
      </c>
      <c r="B3492" s="3" t="n">
        <v>3490</v>
      </c>
      <c r="C3492" s="3" t="n">
        <v>4</v>
      </c>
      <c r="D3492" s="3" t="n">
        <v>12</v>
      </c>
      <c r="E3492" s="3" t="n">
        <v>18</v>
      </c>
      <c r="F3492" s="24" t="n">
        <v>2.73404503</v>
      </c>
    </row>
    <row r="3493" customFormat="false" ht="15" hidden="false" customHeight="false" outlineLevel="0" collapsed="false">
      <c r="A3493" s="3" t="n">
        <v>3492</v>
      </c>
      <c r="B3493" s="3" t="n">
        <v>3491</v>
      </c>
      <c r="C3493" s="3" t="n">
        <v>4</v>
      </c>
      <c r="D3493" s="3" t="n">
        <v>12</v>
      </c>
      <c r="E3493" s="3" t="n">
        <v>19</v>
      </c>
      <c r="F3493" s="24" t="n">
        <v>2.73143339</v>
      </c>
    </row>
    <row r="3494" customFormat="false" ht="15" hidden="false" customHeight="false" outlineLevel="0" collapsed="false">
      <c r="A3494" s="3" t="n">
        <v>3493</v>
      </c>
      <c r="B3494" s="3" t="n">
        <v>3492</v>
      </c>
      <c r="C3494" s="3" t="n">
        <v>4</v>
      </c>
      <c r="D3494" s="3" t="n">
        <v>12</v>
      </c>
      <c r="E3494" s="3" t="n">
        <v>20</v>
      </c>
      <c r="F3494" s="24" t="n">
        <v>1.18435287</v>
      </c>
    </row>
    <row r="3495" customFormat="false" ht="15" hidden="false" customHeight="false" outlineLevel="0" collapsed="false">
      <c r="A3495" s="3" t="n">
        <v>3494</v>
      </c>
      <c r="B3495" s="3" t="n">
        <v>3493</v>
      </c>
      <c r="C3495" s="3" t="n">
        <v>4</v>
      </c>
      <c r="D3495" s="3" t="n">
        <v>12</v>
      </c>
      <c r="E3495" s="3" t="n">
        <v>21</v>
      </c>
      <c r="F3495" s="24" t="n">
        <v>-0.186230689</v>
      </c>
    </row>
    <row r="3496" customFormat="false" ht="15" hidden="false" customHeight="false" outlineLevel="0" collapsed="false">
      <c r="A3496" s="3" t="n">
        <v>3495</v>
      </c>
      <c r="B3496" s="3" t="n">
        <v>3494</v>
      </c>
      <c r="C3496" s="3" t="n">
        <v>4</v>
      </c>
      <c r="D3496" s="3" t="n">
        <v>12</v>
      </c>
      <c r="E3496" s="3" t="n">
        <v>22</v>
      </c>
      <c r="F3496" s="24" t="n">
        <v>-0.564063132</v>
      </c>
    </row>
    <row r="3497" customFormat="false" ht="15" hidden="false" customHeight="false" outlineLevel="0" collapsed="false">
      <c r="A3497" s="3" t="n">
        <v>3496</v>
      </c>
      <c r="B3497" s="3" t="n">
        <v>3495</v>
      </c>
      <c r="C3497" s="3" t="n">
        <v>4</v>
      </c>
      <c r="D3497" s="3" t="n">
        <v>12</v>
      </c>
      <c r="E3497" s="3" t="n">
        <v>23</v>
      </c>
      <c r="F3497" s="24" t="n">
        <v>-0.605470479</v>
      </c>
    </row>
    <row r="3498" customFormat="false" ht="15" hidden="false" customHeight="false" outlineLevel="0" collapsed="false">
      <c r="A3498" s="3" t="n">
        <v>3497</v>
      </c>
      <c r="B3498" s="3" t="n">
        <v>3496</v>
      </c>
      <c r="C3498" s="3" t="n">
        <v>4</v>
      </c>
      <c r="D3498" s="3" t="n">
        <v>12</v>
      </c>
      <c r="E3498" s="3" t="n">
        <v>24</v>
      </c>
      <c r="F3498" s="24" t="n">
        <v>-0.605470479</v>
      </c>
    </row>
    <row r="3499" customFormat="false" ht="15" hidden="false" customHeight="false" outlineLevel="0" collapsed="false">
      <c r="A3499" s="3" t="n">
        <v>3498</v>
      </c>
      <c r="B3499" s="3" t="n">
        <v>3497</v>
      </c>
      <c r="C3499" s="3" t="n">
        <v>4</v>
      </c>
      <c r="D3499" s="3" t="n">
        <v>12</v>
      </c>
      <c r="E3499" s="3" t="n">
        <v>25</v>
      </c>
      <c r="F3499" s="24" t="n">
        <v>-0.605470479</v>
      </c>
    </row>
    <row r="3500" customFormat="false" ht="15" hidden="false" customHeight="false" outlineLevel="0" collapsed="false">
      <c r="A3500" s="3" t="n">
        <v>3499</v>
      </c>
      <c r="B3500" s="3" t="n">
        <v>3498</v>
      </c>
      <c r="C3500" s="3" t="n">
        <v>4</v>
      </c>
      <c r="D3500" s="3" t="n">
        <v>12</v>
      </c>
      <c r="E3500" s="3" t="n">
        <v>26</v>
      </c>
      <c r="F3500" s="24" t="n">
        <v>-0.605470479</v>
      </c>
    </row>
    <row r="3501" customFormat="false" ht="15" hidden="false" customHeight="false" outlineLevel="0" collapsed="false">
      <c r="A3501" s="3" t="n">
        <v>3500</v>
      </c>
      <c r="B3501" s="3" t="n">
        <v>3499</v>
      </c>
      <c r="C3501" s="3" t="n">
        <v>4</v>
      </c>
      <c r="D3501" s="3" t="n">
        <v>12</v>
      </c>
      <c r="E3501" s="3" t="n">
        <v>27</v>
      </c>
      <c r="F3501" s="24" t="n">
        <v>-0.469382077</v>
      </c>
    </row>
    <row r="3502" customFormat="false" ht="15" hidden="false" customHeight="false" outlineLevel="0" collapsed="false">
      <c r="A3502" s="3" t="n">
        <v>3501</v>
      </c>
      <c r="B3502" s="3" t="n">
        <v>3500</v>
      </c>
      <c r="C3502" s="3" t="n">
        <v>4</v>
      </c>
      <c r="D3502" s="3" t="n">
        <v>13</v>
      </c>
      <c r="E3502" s="3" t="n">
        <v>0</v>
      </c>
      <c r="F3502" s="24" t="n">
        <v>-0.515758276</v>
      </c>
    </row>
    <row r="3503" customFormat="false" ht="15" hidden="false" customHeight="false" outlineLevel="0" collapsed="false">
      <c r="A3503" s="3" t="n">
        <v>3502</v>
      </c>
      <c r="B3503" s="3" t="n">
        <v>3501</v>
      </c>
      <c r="C3503" s="3" t="n">
        <v>4</v>
      </c>
      <c r="D3503" s="3" t="n">
        <v>13</v>
      </c>
      <c r="E3503" s="3" t="n">
        <v>1</v>
      </c>
      <c r="F3503" s="24" t="n">
        <v>-0.605470479</v>
      </c>
    </row>
    <row r="3504" customFormat="false" ht="15" hidden="false" customHeight="false" outlineLevel="0" collapsed="false">
      <c r="A3504" s="3" t="n">
        <v>3503</v>
      </c>
      <c r="B3504" s="3" t="n">
        <v>3502</v>
      </c>
      <c r="C3504" s="3" t="n">
        <v>4</v>
      </c>
      <c r="D3504" s="3" t="n">
        <v>13</v>
      </c>
      <c r="E3504" s="3" t="n">
        <v>2</v>
      </c>
      <c r="F3504" s="24" t="n">
        <v>-0.605470479</v>
      </c>
    </row>
    <row r="3505" customFormat="false" ht="15" hidden="false" customHeight="false" outlineLevel="0" collapsed="false">
      <c r="A3505" s="3" t="n">
        <v>3504</v>
      </c>
      <c r="B3505" s="3" t="n">
        <v>3503</v>
      </c>
      <c r="C3505" s="3" t="n">
        <v>4</v>
      </c>
      <c r="D3505" s="3" t="n">
        <v>13</v>
      </c>
      <c r="E3505" s="3" t="n">
        <v>3</v>
      </c>
      <c r="F3505" s="24" t="n">
        <v>-0.605470479</v>
      </c>
    </row>
    <row r="3506" customFormat="false" ht="15" hidden="false" customHeight="false" outlineLevel="0" collapsed="false">
      <c r="A3506" s="3" t="n">
        <v>3505</v>
      </c>
      <c r="B3506" s="3" t="n">
        <v>3504</v>
      </c>
      <c r="C3506" s="3" t="n">
        <v>4</v>
      </c>
      <c r="D3506" s="3" t="n">
        <v>13</v>
      </c>
      <c r="E3506" s="3" t="n">
        <v>4</v>
      </c>
      <c r="F3506" s="24" t="n">
        <v>-0.605470479</v>
      </c>
    </row>
    <row r="3507" customFormat="false" ht="15" hidden="false" customHeight="false" outlineLevel="0" collapsed="false">
      <c r="A3507" s="3" t="n">
        <v>3506</v>
      </c>
      <c r="B3507" s="3" t="n">
        <v>3505</v>
      </c>
      <c r="C3507" s="3" t="n">
        <v>4</v>
      </c>
      <c r="D3507" s="3" t="n">
        <v>13</v>
      </c>
      <c r="E3507" s="3" t="n">
        <v>5</v>
      </c>
      <c r="F3507" s="24" t="n">
        <v>-0.605470479</v>
      </c>
    </row>
    <row r="3508" customFormat="false" ht="15" hidden="false" customHeight="false" outlineLevel="0" collapsed="false">
      <c r="A3508" s="3" t="n">
        <v>3507</v>
      </c>
      <c r="B3508" s="3" t="n">
        <v>3506</v>
      </c>
      <c r="C3508" s="3" t="n">
        <v>4</v>
      </c>
      <c r="D3508" s="3" t="n">
        <v>13</v>
      </c>
      <c r="E3508" s="3" t="n">
        <v>6</v>
      </c>
      <c r="F3508" s="24" t="n">
        <v>-0.605470479</v>
      </c>
    </row>
    <row r="3509" customFormat="false" ht="15" hidden="false" customHeight="false" outlineLevel="0" collapsed="false">
      <c r="A3509" s="3" t="n">
        <v>3508</v>
      </c>
      <c r="B3509" s="3" t="n">
        <v>3507</v>
      </c>
      <c r="C3509" s="3" t="n">
        <v>4</v>
      </c>
      <c r="D3509" s="3" t="n">
        <v>13</v>
      </c>
      <c r="E3509" s="3" t="n">
        <v>7</v>
      </c>
      <c r="F3509" s="24" t="n">
        <v>-0.605470479</v>
      </c>
    </row>
    <row r="3510" customFormat="false" ht="15" hidden="false" customHeight="false" outlineLevel="0" collapsed="false">
      <c r="A3510" s="3" t="n">
        <v>3509</v>
      </c>
      <c r="B3510" s="3" t="n">
        <v>3508</v>
      </c>
      <c r="C3510" s="3" t="n">
        <v>4</v>
      </c>
      <c r="D3510" s="3" t="n">
        <v>13</v>
      </c>
      <c r="E3510" s="3" t="n">
        <v>8</v>
      </c>
      <c r="F3510" s="24" t="n">
        <v>-0.605470479</v>
      </c>
    </row>
    <row r="3511" customFormat="false" ht="15" hidden="false" customHeight="false" outlineLevel="0" collapsed="false">
      <c r="A3511" s="3" t="n">
        <v>3510</v>
      </c>
      <c r="B3511" s="3" t="n">
        <v>3509</v>
      </c>
      <c r="C3511" s="3" t="n">
        <v>4</v>
      </c>
      <c r="D3511" s="3" t="n">
        <v>13</v>
      </c>
      <c r="E3511" s="3" t="n">
        <v>9</v>
      </c>
      <c r="F3511" s="24" t="n">
        <v>-0.605470479</v>
      </c>
    </row>
    <row r="3512" customFormat="false" ht="15" hidden="false" customHeight="false" outlineLevel="0" collapsed="false">
      <c r="A3512" s="3" t="n">
        <v>3511</v>
      </c>
      <c r="B3512" s="3" t="n">
        <v>3510</v>
      </c>
      <c r="C3512" s="3" t="n">
        <v>4</v>
      </c>
      <c r="D3512" s="3" t="n">
        <v>13</v>
      </c>
      <c r="E3512" s="3" t="n">
        <v>10</v>
      </c>
      <c r="F3512" s="24" t="n">
        <v>-0.605470479</v>
      </c>
    </row>
    <row r="3513" customFormat="false" ht="15" hidden="false" customHeight="false" outlineLevel="0" collapsed="false">
      <c r="A3513" s="3" t="n">
        <v>3512</v>
      </c>
      <c r="B3513" s="3" t="n">
        <v>3511</v>
      </c>
      <c r="C3513" s="3" t="n">
        <v>4</v>
      </c>
      <c r="D3513" s="3" t="n">
        <v>13</v>
      </c>
      <c r="E3513" s="3" t="n">
        <v>11</v>
      </c>
      <c r="F3513" s="24" t="n">
        <v>-0.605470479</v>
      </c>
    </row>
    <row r="3514" customFormat="false" ht="15" hidden="false" customHeight="false" outlineLevel="0" collapsed="false">
      <c r="A3514" s="3" t="n">
        <v>3513</v>
      </c>
      <c r="B3514" s="3" t="n">
        <v>3512</v>
      </c>
      <c r="C3514" s="3" t="n">
        <v>4</v>
      </c>
      <c r="D3514" s="3" t="n">
        <v>13</v>
      </c>
      <c r="E3514" s="3" t="n">
        <v>12</v>
      </c>
      <c r="F3514" s="24" t="n">
        <v>-0.605470479</v>
      </c>
    </row>
    <row r="3515" customFormat="false" ht="15" hidden="false" customHeight="false" outlineLevel="0" collapsed="false">
      <c r="A3515" s="3" t="n">
        <v>3514</v>
      </c>
      <c r="B3515" s="3" t="n">
        <v>3513</v>
      </c>
      <c r="C3515" s="3" t="n">
        <v>4</v>
      </c>
      <c r="D3515" s="3" t="n">
        <v>13</v>
      </c>
      <c r="E3515" s="3" t="n">
        <v>13</v>
      </c>
      <c r="F3515" s="24" t="n">
        <v>-0.605470479</v>
      </c>
    </row>
    <row r="3516" customFormat="false" ht="15" hidden="false" customHeight="false" outlineLevel="0" collapsed="false">
      <c r="A3516" s="3" t="n">
        <v>3515</v>
      </c>
      <c r="B3516" s="3" t="n">
        <v>3514</v>
      </c>
      <c r="C3516" s="3" t="n">
        <v>4</v>
      </c>
      <c r="D3516" s="3" t="n">
        <v>13</v>
      </c>
      <c r="E3516" s="3" t="n">
        <v>14</v>
      </c>
      <c r="F3516" s="24" t="n">
        <v>-0.605470479</v>
      </c>
    </row>
    <row r="3517" customFormat="false" ht="15" hidden="false" customHeight="false" outlineLevel="0" collapsed="false">
      <c r="A3517" s="3" t="n">
        <v>3516</v>
      </c>
      <c r="B3517" s="3" t="n">
        <v>3515</v>
      </c>
      <c r="C3517" s="3" t="n">
        <v>4</v>
      </c>
      <c r="D3517" s="3" t="n">
        <v>13</v>
      </c>
      <c r="E3517" s="3" t="n">
        <v>15</v>
      </c>
      <c r="F3517" s="24" t="n">
        <v>-0.403715134</v>
      </c>
    </row>
    <row r="3518" customFormat="false" ht="15" hidden="false" customHeight="false" outlineLevel="0" collapsed="false">
      <c r="A3518" s="3" t="n">
        <v>3517</v>
      </c>
      <c r="B3518" s="3" t="n">
        <v>3516</v>
      </c>
      <c r="C3518" s="3" t="n">
        <v>4</v>
      </c>
      <c r="D3518" s="3" t="n">
        <v>13</v>
      </c>
      <c r="E3518" s="3" t="n">
        <v>16</v>
      </c>
      <c r="F3518" s="24" t="n">
        <v>0.440409034</v>
      </c>
    </row>
    <row r="3519" customFormat="false" ht="15" hidden="false" customHeight="false" outlineLevel="0" collapsed="false">
      <c r="A3519" s="3" t="n">
        <v>3518</v>
      </c>
      <c r="B3519" s="3" t="n">
        <v>3517</v>
      </c>
      <c r="C3519" s="3" t="n">
        <v>4</v>
      </c>
      <c r="D3519" s="3" t="n">
        <v>13</v>
      </c>
      <c r="E3519" s="3" t="n">
        <v>17</v>
      </c>
      <c r="F3519" s="24" t="n">
        <v>2.18448257</v>
      </c>
    </row>
    <row r="3520" customFormat="false" ht="15" hidden="false" customHeight="false" outlineLevel="0" collapsed="false">
      <c r="A3520" s="3" t="n">
        <v>3519</v>
      </c>
      <c r="B3520" s="3" t="n">
        <v>3518</v>
      </c>
      <c r="C3520" s="3" t="n">
        <v>4</v>
      </c>
      <c r="D3520" s="3" t="n">
        <v>13</v>
      </c>
      <c r="E3520" s="3" t="n">
        <v>18</v>
      </c>
      <c r="F3520" s="24" t="n">
        <v>2.92700148</v>
      </c>
    </row>
    <row r="3521" customFormat="false" ht="15" hidden="false" customHeight="false" outlineLevel="0" collapsed="false">
      <c r="A3521" s="3" t="n">
        <v>3520</v>
      </c>
      <c r="B3521" s="3" t="n">
        <v>3519</v>
      </c>
      <c r="C3521" s="3" t="n">
        <v>4</v>
      </c>
      <c r="D3521" s="3" t="n">
        <v>13</v>
      </c>
      <c r="E3521" s="3" t="n">
        <v>19</v>
      </c>
      <c r="F3521" s="24" t="n">
        <v>1.68296874</v>
      </c>
    </row>
    <row r="3522" customFormat="false" ht="15" hidden="false" customHeight="false" outlineLevel="0" collapsed="false">
      <c r="A3522" s="3" t="n">
        <v>3521</v>
      </c>
      <c r="B3522" s="3" t="n">
        <v>3520</v>
      </c>
      <c r="C3522" s="3" t="n">
        <v>4</v>
      </c>
      <c r="D3522" s="3" t="n">
        <v>13</v>
      </c>
      <c r="E3522" s="3" t="n">
        <v>20</v>
      </c>
      <c r="F3522" s="24" t="n">
        <v>-0.309370935</v>
      </c>
    </row>
    <row r="3523" customFormat="false" ht="15" hidden="false" customHeight="false" outlineLevel="0" collapsed="false">
      <c r="A3523" s="3" t="n">
        <v>3522</v>
      </c>
      <c r="B3523" s="3" t="n">
        <v>3521</v>
      </c>
      <c r="C3523" s="3" t="n">
        <v>4</v>
      </c>
      <c r="D3523" s="3" t="n">
        <v>13</v>
      </c>
      <c r="E3523" s="3" t="n">
        <v>21</v>
      </c>
      <c r="F3523" s="24" t="n">
        <v>-0.58521992</v>
      </c>
    </row>
    <row r="3524" customFormat="false" ht="15" hidden="false" customHeight="false" outlineLevel="0" collapsed="false">
      <c r="A3524" s="3" t="n">
        <v>3523</v>
      </c>
      <c r="B3524" s="3" t="n">
        <v>3522</v>
      </c>
      <c r="C3524" s="3" t="n">
        <v>4</v>
      </c>
      <c r="D3524" s="3" t="n">
        <v>13</v>
      </c>
      <c r="E3524" s="3" t="n">
        <v>22</v>
      </c>
      <c r="F3524" s="24" t="n">
        <v>-0.605470479</v>
      </c>
    </row>
    <row r="3525" customFormat="false" ht="15" hidden="false" customHeight="false" outlineLevel="0" collapsed="false">
      <c r="A3525" s="3" t="n">
        <v>3524</v>
      </c>
      <c r="B3525" s="3" t="n">
        <v>3523</v>
      </c>
      <c r="C3525" s="3" t="n">
        <v>4</v>
      </c>
      <c r="D3525" s="3" t="n">
        <v>13</v>
      </c>
      <c r="E3525" s="3" t="n">
        <v>23</v>
      </c>
      <c r="F3525" s="24" t="n">
        <v>-0.605470479</v>
      </c>
    </row>
    <row r="3526" customFormat="false" ht="15" hidden="false" customHeight="false" outlineLevel="0" collapsed="false">
      <c r="A3526" s="3" t="n">
        <v>3525</v>
      </c>
      <c r="B3526" s="3" t="n">
        <v>3524</v>
      </c>
      <c r="C3526" s="3" t="n">
        <v>4</v>
      </c>
      <c r="D3526" s="3" t="n">
        <v>13</v>
      </c>
      <c r="E3526" s="3" t="n">
        <v>24</v>
      </c>
      <c r="F3526" s="24" t="n">
        <v>-0.605470479</v>
      </c>
    </row>
    <row r="3527" customFormat="false" ht="15" hidden="false" customHeight="false" outlineLevel="0" collapsed="false">
      <c r="A3527" s="3" t="n">
        <v>3526</v>
      </c>
      <c r="B3527" s="3" t="n">
        <v>3525</v>
      </c>
      <c r="C3527" s="3" t="n">
        <v>4</v>
      </c>
      <c r="D3527" s="3" t="n">
        <v>13</v>
      </c>
      <c r="E3527" s="3" t="n">
        <v>25</v>
      </c>
      <c r="F3527" s="24" t="n">
        <v>-0.605470479</v>
      </c>
    </row>
    <row r="3528" customFormat="false" ht="15" hidden="false" customHeight="false" outlineLevel="0" collapsed="false">
      <c r="A3528" s="3" t="n">
        <v>3527</v>
      </c>
      <c r="B3528" s="3" t="n">
        <v>3526</v>
      </c>
      <c r="C3528" s="3" t="n">
        <v>4</v>
      </c>
      <c r="D3528" s="3" t="n">
        <v>13</v>
      </c>
      <c r="E3528" s="3" t="n">
        <v>26</v>
      </c>
      <c r="F3528" s="24" t="n">
        <v>-0.605470479</v>
      </c>
    </row>
    <row r="3529" customFormat="false" ht="15" hidden="false" customHeight="false" outlineLevel="0" collapsed="false">
      <c r="A3529" s="3" t="n">
        <v>3528</v>
      </c>
      <c r="B3529" s="3" t="n">
        <v>3527</v>
      </c>
      <c r="C3529" s="3" t="n">
        <v>4</v>
      </c>
      <c r="D3529" s="3" t="n">
        <v>13</v>
      </c>
      <c r="E3529" s="3" t="n">
        <v>27</v>
      </c>
      <c r="F3529" s="24" t="n">
        <v>-0.469382077</v>
      </c>
    </row>
    <row r="3530" customFormat="false" ht="15" hidden="false" customHeight="false" outlineLevel="0" collapsed="false">
      <c r="A3530" s="3" t="n">
        <v>3529</v>
      </c>
      <c r="B3530" s="3" t="n">
        <v>3528</v>
      </c>
      <c r="C3530" s="3" t="n">
        <v>4</v>
      </c>
      <c r="D3530" s="3" t="n">
        <v>14</v>
      </c>
      <c r="E3530" s="3" t="n">
        <v>0</v>
      </c>
      <c r="F3530" s="24" t="n">
        <v>-0.515758276</v>
      </c>
    </row>
    <row r="3531" customFormat="false" ht="15" hidden="false" customHeight="false" outlineLevel="0" collapsed="false">
      <c r="A3531" s="3" t="n">
        <v>3530</v>
      </c>
      <c r="B3531" s="3" t="n">
        <v>3529</v>
      </c>
      <c r="C3531" s="3" t="n">
        <v>4</v>
      </c>
      <c r="D3531" s="3" t="n">
        <v>14</v>
      </c>
      <c r="E3531" s="3" t="n">
        <v>1</v>
      </c>
      <c r="F3531" s="24" t="n">
        <v>-0.605470479</v>
      </c>
    </row>
    <row r="3532" customFormat="false" ht="15" hidden="false" customHeight="false" outlineLevel="0" collapsed="false">
      <c r="A3532" s="3" t="n">
        <v>3531</v>
      </c>
      <c r="B3532" s="3" t="n">
        <v>3530</v>
      </c>
      <c r="C3532" s="3" t="n">
        <v>4</v>
      </c>
      <c r="D3532" s="3" t="n">
        <v>14</v>
      </c>
      <c r="E3532" s="3" t="n">
        <v>2</v>
      </c>
      <c r="F3532" s="24" t="n">
        <v>-0.605470479</v>
      </c>
    </row>
    <row r="3533" customFormat="false" ht="15" hidden="false" customHeight="false" outlineLevel="0" collapsed="false">
      <c r="A3533" s="3" t="n">
        <v>3532</v>
      </c>
      <c r="B3533" s="3" t="n">
        <v>3531</v>
      </c>
      <c r="C3533" s="3" t="n">
        <v>4</v>
      </c>
      <c r="D3533" s="3" t="n">
        <v>14</v>
      </c>
      <c r="E3533" s="3" t="n">
        <v>3</v>
      </c>
      <c r="F3533" s="24" t="n">
        <v>-0.605470479</v>
      </c>
    </row>
    <row r="3534" customFormat="false" ht="15" hidden="false" customHeight="false" outlineLevel="0" collapsed="false">
      <c r="A3534" s="3" t="n">
        <v>3533</v>
      </c>
      <c r="B3534" s="3" t="n">
        <v>3532</v>
      </c>
      <c r="C3534" s="3" t="n">
        <v>4</v>
      </c>
      <c r="D3534" s="3" t="n">
        <v>14</v>
      </c>
      <c r="E3534" s="3" t="n">
        <v>4</v>
      </c>
      <c r="F3534" s="24" t="n">
        <v>-0.605470479</v>
      </c>
    </row>
    <row r="3535" customFormat="false" ht="15" hidden="false" customHeight="false" outlineLevel="0" collapsed="false">
      <c r="A3535" s="3" t="n">
        <v>3534</v>
      </c>
      <c r="B3535" s="3" t="n">
        <v>3533</v>
      </c>
      <c r="C3535" s="3" t="n">
        <v>4</v>
      </c>
      <c r="D3535" s="3" t="n">
        <v>14</v>
      </c>
      <c r="E3535" s="3" t="n">
        <v>5</v>
      </c>
      <c r="F3535" s="24" t="n">
        <v>-0.605470479</v>
      </c>
    </row>
    <row r="3536" customFormat="false" ht="15" hidden="false" customHeight="false" outlineLevel="0" collapsed="false">
      <c r="A3536" s="3" t="n">
        <v>3535</v>
      </c>
      <c r="B3536" s="3" t="n">
        <v>3534</v>
      </c>
      <c r="C3536" s="3" t="n">
        <v>4</v>
      </c>
      <c r="D3536" s="3" t="n">
        <v>14</v>
      </c>
      <c r="E3536" s="3" t="n">
        <v>6</v>
      </c>
      <c r="F3536" s="24" t="n">
        <v>-0.605470479</v>
      </c>
    </row>
    <row r="3537" customFormat="false" ht="15" hidden="false" customHeight="false" outlineLevel="0" collapsed="false">
      <c r="A3537" s="3" t="n">
        <v>3536</v>
      </c>
      <c r="B3537" s="3" t="n">
        <v>3535</v>
      </c>
      <c r="C3537" s="3" t="n">
        <v>4</v>
      </c>
      <c r="D3537" s="3" t="n">
        <v>14</v>
      </c>
      <c r="E3537" s="3" t="n">
        <v>7</v>
      </c>
      <c r="F3537" s="24" t="n">
        <v>-0.605470479</v>
      </c>
    </row>
    <row r="3538" customFormat="false" ht="15" hidden="false" customHeight="false" outlineLevel="0" collapsed="false">
      <c r="A3538" s="3" t="n">
        <v>3537</v>
      </c>
      <c r="B3538" s="3" t="n">
        <v>3536</v>
      </c>
      <c r="C3538" s="3" t="n">
        <v>4</v>
      </c>
      <c r="D3538" s="3" t="n">
        <v>14</v>
      </c>
      <c r="E3538" s="3" t="n">
        <v>8</v>
      </c>
      <c r="F3538" s="24" t="n">
        <v>-0.605470479</v>
      </c>
    </row>
    <row r="3539" customFormat="false" ht="15" hidden="false" customHeight="false" outlineLevel="0" collapsed="false">
      <c r="A3539" s="3" t="n">
        <v>3538</v>
      </c>
      <c r="B3539" s="3" t="n">
        <v>3537</v>
      </c>
      <c r="C3539" s="3" t="n">
        <v>4</v>
      </c>
      <c r="D3539" s="3" t="n">
        <v>14</v>
      </c>
      <c r="E3539" s="3" t="n">
        <v>9</v>
      </c>
      <c r="F3539" s="24" t="n">
        <v>-0.605470479</v>
      </c>
    </row>
    <row r="3540" customFormat="false" ht="15" hidden="false" customHeight="false" outlineLevel="0" collapsed="false">
      <c r="A3540" s="3" t="n">
        <v>3539</v>
      </c>
      <c r="B3540" s="3" t="n">
        <v>3538</v>
      </c>
      <c r="C3540" s="3" t="n">
        <v>4</v>
      </c>
      <c r="D3540" s="3" t="n">
        <v>14</v>
      </c>
      <c r="E3540" s="3" t="n">
        <v>10</v>
      </c>
      <c r="F3540" s="24" t="n">
        <v>-0.605470479</v>
      </c>
    </row>
    <row r="3541" customFormat="false" ht="15" hidden="false" customHeight="false" outlineLevel="0" collapsed="false">
      <c r="A3541" s="3" t="n">
        <v>3540</v>
      </c>
      <c r="B3541" s="3" t="n">
        <v>3539</v>
      </c>
      <c r="C3541" s="3" t="n">
        <v>4</v>
      </c>
      <c r="D3541" s="3" t="n">
        <v>14</v>
      </c>
      <c r="E3541" s="3" t="n">
        <v>11</v>
      </c>
      <c r="F3541" s="24" t="n">
        <v>-0.605470479</v>
      </c>
    </row>
    <row r="3542" customFormat="false" ht="15" hidden="false" customHeight="false" outlineLevel="0" collapsed="false">
      <c r="A3542" s="3" t="n">
        <v>3541</v>
      </c>
      <c r="B3542" s="3" t="n">
        <v>3540</v>
      </c>
      <c r="C3542" s="3" t="n">
        <v>4</v>
      </c>
      <c r="D3542" s="3" t="n">
        <v>14</v>
      </c>
      <c r="E3542" s="3" t="n">
        <v>12</v>
      </c>
      <c r="F3542" s="24" t="n">
        <v>-0.605470479</v>
      </c>
    </row>
    <row r="3543" customFormat="false" ht="15" hidden="false" customHeight="false" outlineLevel="0" collapsed="false">
      <c r="A3543" s="3" t="n">
        <v>3542</v>
      </c>
      <c r="B3543" s="3" t="n">
        <v>3541</v>
      </c>
      <c r="C3543" s="3" t="n">
        <v>4</v>
      </c>
      <c r="D3543" s="3" t="n">
        <v>14</v>
      </c>
      <c r="E3543" s="3" t="n">
        <v>13</v>
      </c>
      <c r="F3543" s="24" t="n">
        <v>-0.605470479</v>
      </c>
    </row>
    <row r="3544" customFormat="false" ht="15" hidden="false" customHeight="false" outlineLevel="0" collapsed="false">
      <c r="A3544" s="3" t="n">
        <v>3543</v>
      </c>
      <c r="B3544" s="3" t="n">
        <v>3542</v>
      </c>
      <c r="C3544" s="3" t="n">
        <v>4</v>
      </c>
      <c r="D3544" s="3" t="n">
        <v>14</v>
      </c>
      <c r="E3544" s="3" t="n">
        <v>14</v>
      </c>
      <c r="F3544" s="24" t="n">
        <v>-0.605470479</v>
      </c>
    </row>
    <row r="3545" customFormat="false" ht="15" hidden="false" customHeight="false" outlineLevel="0" collapsed="false">
      <c r="A3545" s="3" t="n">
        <v>3544</v>
      </c>
      <c r="B3545" s="3" t="n">
        <v>3543</v>
      </c>
      <c r="C3545" s="3" t="n">
        <v>4</v>
      </c>
      <c r="D3545" s="3" t="n">
        <v>14</v>
      </c>
      <c r="E3545" s="3" t="n">
        <v>15</v>
      </c>
      <c r="F3545" s="24" t="n">
        <v>-0.228625357</v>
      </c>
    </row>
    <row r="3546" customFormat="false" ht="15" hidden="false" customHeight="false" outlineLevel="0" collapsed="false">
      <c r="A3546" s="3" t="n">
        <v>3545</v>
      </c>
      <c r="B3546" s="3" t="n">
        <v>3544</v>
      </c>
      <c r="C3546" s="3" t="n">
        <v>4</v>
      </c>
      <c r="D3546" s="3" t="n">
        <v>14</v>
      </c>
      <c r="E3546" s="3" t="n">
        <v>16</v>
      </c>
      <c r="F3546" s="24" t="n">
        <v>0.959180415</v>
      </c>
    </row>
    <row r="3547" customFormat="false" ht="15" hidden="false" customHeight="false" outlineLevel="0" collapsed="false">
      <c r="A3547" s="3" t="n">
        <v>3546</v>
      </c>
      <c r="B3547" s="3" t="n">
        <v>3545</v>
      </c>
      <c r="C3547" s="3" t="n">
        <v>4</v>
      </c>
      <c r="D3547" s="3" t="n">
        <v>14</v>
      </c>
      <c r="E3547" s="3" t="n">
        <v>17</v>
      </c>
      <c r="F3547" s="24" t="n">
        <v>2.63404322</v>
      </c>
    </row>
    <row r="3548" customFormat="false" ht="15" hidden="false" customHeight="false" outlineLevel="0" collapsed="false">
      <c r="A3548" s="3" t="n">
        <v>3547</v>
      </c>
      <c r="B3548" s="3" t="n">
        <v>3546</v>
      </c>
      <c r="C3548" s="3" t="n">
        <v>4</v>
      </c>
      <c r="D3548" s="3" t="n">
        <v>14</v>
      </c>
      <c r="E3548" s="3" t="n">
        <v>18</v>
      </c>
      <c r="F3548" s="24" t="n">
        <v>2.4527657</v>
      </c>
    </row>
    <row r="3549" customFormat="false" ht="15" hidden="false" customHeight="false" outlineLevel="0" collapsed="false">
      <c r="A3549" s="3" t="n">
        <v>3548</v>
      </c>
      <c r="B3549" s="3" t="n">
        <v>3547</v>
      </c>
      <c r="C3549" s="3" t="n">
        <v>4</v>
      </c>
      <c r="D3549" s="3" t="n">
        <v>14</v>
      </c>
      <c r="E3549" s="3" t="n">
        <v>19</v>
      </c>
      <c r="F3549" s="24" t="n">
        <v>0.912863731</v>
      </c>
    </row>
    <row r="3550" customFormat="false" ht="15" hidden="false" customHeight="false" outlineLevel="0" collapsed="false">
      <c r="A3550" s="3" t="n">
        <v>3549</v>
      </c>
      <c r="B3550" s="3" t="n">
        <v>3548</v>
      </c>
      <c r="C3550" s="3" t="n">
        <v>4</v>
      </c>
      <c r="D3550" s="3" t="n">
        <v>14</v>
      </c>
      <c r="E3550" s="3" t="n">
        <v>20</v>
      </c>
      <c r="F3550" s="24" t="n">
        <v>-0.0998514891</v>
      </c>
    </row>
    <row r="3551" customFormat="false" ht="15" hidden="false" customHeight="false" outlineLevel="0" collapsed="false">
      <c r="A3551" s="3" t="n">
        <v>3550</v>
      </c>
      <c r="B3551" s="3" t="n">
        <v>3549</v>
      </c>
      <c r="C3551" s="3" t="n">
        <v>4</v>
      </c>
      <c r="D3551" s="3" t="n">
        <v>14</v>
      </c>
      <c r="E3551" s="3" t="n">
        <v>21</v>
      </c>
      <c r="F3551" s="24" t="n">
        <v>-0.504252553</v>
      </c>
    </row>
    <row r="3552" customFormat="false" ht="15" hidden="false" customHeight="false" outlineLevel="0" collapsed="false">
      <c r="A3552" s="3" t="n">
        <v>3551</v>
      </c>
      <c r="B3552" s="3" t="n">
        <v>3550</v>
      </c>
      <c r="C3552" s="3" t="n">
        <v>4</v>
      </c>
      <c r="D3552" s="3" t="n">
        <v>14</v>
      </c>
      <c r="E3552" s="3" t="n">
        <v>22</v>
      </c>
      <c r="F3552" s="24" t="n">
        <v>-0.605470479</v>
      </c>
    </row>
    <row r="3553" customFormat="false" ht="15" hidden="false" customHeight="false" outlineLevel="0" collapsed="false">
      <c r="A3553" s="3" t="n">
        <v>3552</v>
      </c>
      <c r="B3553" s="3" t="n">
        <v>3551</v>
      </c>
      <c r="C3553" s="3" t="n">
        <v>4</v>
      </c>
      <c r="D3553" s="3" t="n">
        <v>14</v>
      </c>
      <c r="E3553" s="3" t="n">
        <v>23</v>
      </c>
      <c r="F3553" s="24" t="n">
        <v>-0.605470479</v>
      </c>
    </row>
    <row r="3554" customFormat="false" ht="15" hidden="false" customHeight="false" outlineLevel="0" collapsed="false">
      <c r="A3554" s="3" t="n">
        <v>3553</v>
      </c>
      <c r="B3554" s="3" t="n">
        <v>3552</v>
      </c>
      <c r="C3554" s="3" t="n">
        <v>4</v>
      </c>
      <c r="D3554" s="3" t="n">
        <v>14</v>
      </c>
      <c r="E3554" s="3" t="n">
        <v>24</v>
      </c>
      <c r="F3554" s="24" t="n">
        <v>-0.605470479</v>
      </c>
    </row>
    <row r="3555" customFormat="false" ht="15" hidden="false" customHeight="false" outlineLevel="0" collapsed="false">
      <c r="A3555" s="3" t="n">
        <v>3554</v>
      </c>
      <c r="B3555" s="3" t="n">
        <v>3553</v>
      </c>
      <c r="C3555" s="3" t="n">
        <v>4</v>
      </c>
      <c r="D3555" s="3" t="n">
        <v>14</v>
      </c>
      <c r="E3555" s="3" t="n">
        <v>25</v>
      </c>
      <c r="F3555" s="24" t="n">
        <v>-0.605470479</v>
      </c>
    </row>
    <row r="3556" customFormat="false" ht="15" hidden="false" customHeight="false" outlineLevel="0" collapsed="false">
      <c r="A3556" s="3" t="n">
        <v>3555</v>
      </c>
      <c r="B3556" s="3" t="n">
        <v>3554</v>
      </c>
      <c r="C3556" s="3" t="n">
        <v>4</v>
      </c>
      <c r="D3556" s="3" t="n">
        <v>14</v>
      </c>
      <c r="E3556" s="3" t="n">
        <v>26</v>
      </c>
      <c r="F3556" s="24" t="n">
        <v>-0.605470479</v>
      </c>
    </row>
    <row r="3557" customFormat="false" ht="15" hidden="false" customHeight="false" outlineLevel="0" collapsed="false">
      <c r="A3557" s="3" t="n">
        <v>3556</v>
      </c>
      <c r="B3557" s="3" t="n">
        <v>3555</v>
      </c>
      <c r="C3557" s="3" t="n">
        <v>4</v>
      </c>
      <c r="D3557" s="3" t="n">
        <v>14</v>
      </c>
      <c r="E3557" s="3" t="n">
        <v>27</v>
      </c>
      <c r="F3557" s="24" t="n">
        <v>-0.469382077</v>
      </c>
    </row>
    <row r="3558" customFormat="false" ht="15" hidden="false" customHeight="false" outlineLevel="0" collapsed="false">
      <c r="A3558" s="3" t="n">
        <v>3557</v>
      </c>
      <c r="B3558" s="3" t="n">
        <v>3556</v>
      </c>
      <c r="C3558" s="3" t="n">
        <v>4</v>
      </c>
      <c r="D3558" s="3" t="n">
        <v>15</v>
      </c>
      <c r="E3558" s="3" t="n">
        <v>0</v>
      </c>
      <c r="F3558" s="24" t="n">
        <v>-0.515758276</v>
      </c>
    </row>
    <row r="3559" customFormat="false" ht="15" hidden="false" customHeight="false" outlineLevel="0" collapsed="false">
      <c r="A3559" s="3" t="n">
        <v>3558</v>
      </c>
      <c r="B3559" s="3" t="n">
        <v>3557</v>
      </c>
      <c r="C3559" s="3" t="n">
        <v>4</v>
      </c>
      <c r="D3559" s="3" t="n">
        <v>15</v>
      </c>
      <c r="E3559" s="3" t="n">
        <v>1</v>
      </c>
      <c r="F3559" s="24" t="n">
        <v>-0.605470479</v>
      </c>
    </row>
    <row r="3560" customFormat="false" ht="15" hidden="false" customHeight="false" outlineLevel="0" collapsed="false">
      <c r="A3560" s="3" t="n">
        <v>3559</v>
      </c>
      <c r="B3560" s="3" t="n">
        <v>3558</v>
      </c>
      <c r="C3560" s="3" t="n">
        <v>4</v>
      </c>
      <c r="D3560" s="3" t="n">
        <v>15</v>
      </c>
      <c r="E3560" s="3" t="n">
        <v>2</v>
      </c>
      <c r="F3560" s="24" t="n">
        <v>-0.605470479</v>
      </c>
    </row>
    <row r="3561" customFormat="false" ht="15" hidden="false" customHeight="false" outlineLevel="0" collapsed="false">
      <c r="A3561" s="3" t="n">
        <v>3560</v>
      </c>
      <c r="B3561" s="3" t="n">
        <v>3559</v>
      </c>
      <c r="C3561" s="3" t="n">
        <v>4</v>
      </c>
      <c r="D3561" s="3" t="n">
        <v>15</v>
      </c>
      <c r="E3561" s="3" t="n">
        <v>3</v>
      </c>
      <c r="F3561" s="24" t="n">
        <v>-0.605470479</v>
      </c>
    </row>
    <row r="3562" customFormat="false" ht="15" hidden="false" customHeight="false" outlineLevel="0" collapsed="false">
      <c r="A3562" s="3" t="n">
        <v>3561</v>
      </c>
      <c r="B3562" s="3" t="n">
        <v>3560</v>
      </c>
      <c r="C3562" s="3" t="n">
        <v>4</v>
      </c>
      <c r="D3562" s="3" t="n">
        <v>15</v>
      </c>
      <c r="E3562" s="3" t="n">
        <v>4</v>
      </c>
      <c r="F3562" s="24" t="n">
        <v>-0.605470479</v>
      </c>
    </row>
    <row r="3563" customFormat="false" ht="15" hidden="false" customHeight="false" outlineLevel="0" collapsed="false">
      <c r="A3563" s="3" t="n">
        <v>3562</v>
      </c>
      <c r="B3563" s="3" t="n">
        <v>3561</v>
      </c>
      <c r="C3563" s="3" t="n">
        <v>4</v>
      </c>
      <c r="D3563" s="3" t="n">
        <v>15</v>
      </c>
      <c r="E3563" s="3" t="n">
        <v>5</v>
      </c>
      <c r="F3563" s="24" t="n">
        <v>-0.605470479</v>
      </c>
    </row>
    <row r="3564" customFormat="false" ht="15" hidden="false" customHeight="false" outlineLevel="0" collapsed="false">
      <c r="A3564" s="3" t="n">
        <v>3563</v>
      </c>
      <c r="B3564" s="3" t="n">
        <v>3562</v>
      </c>
      <c r="C3564" s="3" t="n">
        <v>4</v>
      </c>
      <c r="D3564" s="3" t="n">
        <v>15</v>
      </c>
      <c r="E3564" s="3" t="n">
        <v>6</v>
      </c>
      <c r="F3564" s="24" t="n">
        <v>-0.605470479</v>
      </c>
    </row>
    <row r="3565" customFormat="false" ht="15" hidden="false" customHeight="false" outlineLevel="0" collapsed="false">
      <c r="A3565" s="3" t="n">
        <v>3564</v>
      </c>
      <c r="B3565" s="3" t="n">
        <v>3563</v>
      </c>
      <c r="C3565" s="3" t="n">
        <v>4</v>
      </c>
      <c r="D3565" s="3" t="n">
        <v>15</v>
      </c>
      <c r="E3565" s="3" t="n">
        <v>7</v>
      </c>
      <c r="F3565" s="24" t="n">
        <v>-0.605470479</v>
      </c>
    </row>
    <row r="3566" customFormat="false" ht="15" hidden="false" customHeight="false" outlineLevel="0" collapsed="false">
      <c r="A3566" s="3" t="n">
        <v>3565</v>
      </c>
      <c r="B3566" s="3" t="n">
        <v>3564</v>
      </c>
      <c r="C3566" s="3" t="n">
        <v>4</v>
      </c>
      <c r="D3566" s="3" t="n">
        <v>15</v>
      </c>
      <c r="E3566" s="3" t="n">
        <v>8</v>
      </c>
      <c r="F3566" s="24" t="n">
        <v>-0.605470479</v>
      </c>
    </row>
    <row r="3567" customFormat="false" ht="15" hidden="false" customHeight="false" outlineLevel="0" collapsed="false">
      <c r="A3567" s="3" t="n">
        <v>3566</v>
      </c>
      <c r="B3567" s="3" t="n">
        <v>3565</v>
      </c>
      <c r="C3567" s="3" t="n">
        <v>4</v>
      </c>
      <c r="D3567" s="3" t="n">
        <v>15</v>
      </c>
      <c r="E3567" s="3" t="n">
        <v>9</v>
      </c>
      <c r="F3567" s="24" t="n">
        <v>-0.605470479</v>
      </c>
    </row>
    <row r="3568" customFormat="false" ht="15" hidden="false" customHeight="false" outlineLevel="0" collapsed="false">
      <c r="A3568" s="3" t="n">
        <v>3567</v>
      </c>
      <c r="B3568" s="3" t="n">
        <v>3566</v>
      </c>
      <c r="C3568" s="3" t="n">
        <v>4</v>
      </c>
      <c r="D3568" s="3" t="n">
        <v>15</v>
      </c>
      <c r="E3568" s="3" t="n">
        <v>10</v>
      </c>
      <c r="F3568" s="24" t="n">
        <v>-0.605470479</v>
      </c>
    </row>
    <row r="3569" customFormat="false" ht="15" hidden="false" customHeight="false" outlineLevel="0" collapsed="false">
      <c r="A3569" s="3" t="n">
        <v>3568</v>
      </c>
      <c r="B3569" s="3" t="n">
        <v>3567</v>
      </c>
      <c r="C3569" s="3" t="n">
        <v>4</v>
      </c>
      <c r="D3569" s="3" t="n">
        <v>15</v>
      </c>
      <c r="E3569" s="3" t="n">
        <v>11</v>
      </c>
      <c r="F3569" s="24" t="n">
        <v>-0.605470479</v>
      </c>
    </row>
    <row r="3570" customFormat="false" ht="15" hidden="false" customHeight="false" outlineLevel="0" collapsed="false">
      <c r="A3570" s="3" t="n">
        <v>3569</v>
      </c>
      <c r="B3570" s="3" t="n">
        <v>3568</v>
      </c>
      <c r="C3570" s="3" t="n">
        <v>4</v>
      </c>
      <c r="D3570" s="3" t="n">
        <v>15</v>
      </c>
      <c r="E3570" s="3" t="n">
        <v>12</v>
      </c>
      <c r="F3570" s="24" t="n">
        <v>-0.605470479</v>
      </c>
    </row>
    <row r="3571" customFormat="false" ht="15" hidden="false" customHeight="false" outlineLevel="0" collapsed="false">
      <c r="A3571" s="3" t="n">
        <v>3570</v>
      </c>
      <c r="B3571" s="3" t="n">
        <v>3569</v>
      </c>
      <c r="C3571" s="3" t="n">
        <v>4</v>
      </c>
      <c r="D3571" s="3" t="n">
        <v>15</v>
      </c>
      <c r="E3571" s="3" t="n">
        <v>13</v>
      </c>
      <c r="F3571" s="24" t="n">
        <v>-0.605470479</v>
      </c>
    </row>
    <row r="3572" customFormat="false" ht="15" hidden="false" customHeight="false" outlineLevel="0" collapsed="false">
      <c r="A3572" s="3" t="n">
        <v>3571</v>
      </c>
      <c r="B3572" s="3" t="n">
        <v>3570</v>
      </c>
      <c r="C3572" s="3" t="n">
        <v>4</v>
      </c>
      <c r="D3572" s="3" t="n">
        <v>15</v>
      </c>
      <c r="E3572" s="3" t="n">
        <v>14</v>
      </c>
      <c r="F3572" s="24" t="n">
        <v>-0.574694276</v>
      </c>
    </row>
    <row r="3573" customFormat="false" ht="15" hidden="false" customHeight="false" outlineLevel="0" collapsed="false">
      <c r="A3573" s="3" t="n">
        <v>3572</v>
      </c>
      <c r="B3573" s="3" t="n">
        <v>3571</v>
      </c>
      <c r="C3573" s="3" t="n">
        <v>4</v>
      </c>
      <c r="D3573" s="3" t="n">
        <v>15</v>
      </c>
      <c r="E3573" s="3" t="n">
        <v>15</v>
      </c>
      <c r="F3573" s="24" t="n">
        <v>0.0859150887</v>
      </c>
    </row>
    <row r="3574" customFormat="false" ht="15" hidden="false" customHeight="false" outlineLevel="0" collapsed="false">
      <c r="A3574" s="3" t="n">
        <v>3573</v>
      </c>
      <c r="B3574" s="3" t="n">
        <v>3572</v>
      </c>
      <c r="C3574" s="3" t="n">
        <v>4</v>
      </c>
      <c r="D3574" s="3" t="n">
        <v>15</v>
      </c>
      <c r="E3574" s="3" t="n">
        <v>16</v>
      </c>
      <c r="F3574" s="24" t="n">
        <v>1.89479518</v>
      </c>
    </row>
    <row r="3575" customFormat="false" ht="15" hidden="false" customHeight="false" outlineLevel="0" collapsed="false">
      <c r="A3575" s="3" t="n">
        <v>3574</v>
      </c>
      <c r="B3575" s="3" t="n">
        <v>3573</v>
      </c>
      <c r="C3575" s="3" t="n">
        <v>4</v>
      </c>
      <c r="D3575" s="3" t="n">
        <v>15</v>
      </c>
      <c r="E3575" s="3" t="n">
        <v>17</v>
      </c>
      <c r="F3575" s="24" t="n">
        <v>2.89222431</v>
      </c>
    </row>
    <row r="3576" customFormat="false" ht="15" hidden="false" customHeight="false" outlineLevel="0" collapsed="false">
      <c r="A3576" s="3" t="n">
        <v>3575</v>
      </c>
      <c r="B3576" s="3" t="n">
        <v>3574</v>
      </c>
      <c r="C3576" s="3" t="n">
        <v>4</v>
      </c>
      <c r="D3576" s="3" t="n">
        <v>15</v>
      </c>
      <c r="E3576" s="3" t="n">
        <v>18</v>
      </c>
      <c r="F3576" s="24" t="n">
        <v>1.63930154</v>
      </c>
    </row>
    <row r="3577" customFormat="false" ht="15" hidden="false" customHeight="false" outlineLevel="0" collapsed="false">
      <c r="A3577" s="3" t="n">
        <v>3576</v>
      </c>
      <c r="B3577" s="3" t="n">
        <v>3575</v>
      </c>
      <c r="C3577" s="3" t="n">
        <v>4</v>
      </c>
      <c r="D3577" s="3" t="n">
        <v>15</v>
      </c>
      <c r="E3577" s="3" t="n">
        <v>19</v>
      </c>
      <c r="F3577" s="24" t="n">
        <v>-0.245267689</v>
      </c>
    </row>
    <row r="3578" customFormat="false" ht="15" hidden="false" customHeight="false" outlineLevel="0" collapsed="false">
      <c r="A3578" s="3" t="n">
        <v>3577</v>
      </c>
      <c r="B3578" s="3" t="n">
        <v>3576</v>
      </c>
      <c r="C3578" s="3" t="n">
        <v>4</v>
      </c>
      <c r="D3578" s="3" t="n">
        <v>15</v>
      </c>
      <c r="E3578" s="3" t="n">
        <v>20</v>
      </c>
      <c r="F3578" s="24" t="n">
        <v>-0.482241035</v>
      </c>
    </row>
    <row r="3579" customFormat="false" ht="15" hidden="false" customHeight="false" outlineLevel="0" collapsed="false">
      <c r="A3579" s="3" t="n">
        <v>3578</v>
      </c>
      <c r="B3579" s="3" t="n">
        <v>3577</v>
      </c>
      <c r="C3579" s="3" t="n">
        <v>4</v>
      </c>
      <c r="D3579" s="3" t="n">
        <v>15</v>
      </c>
      <c r="E3579" s="3" t="n">
        <v>21</v>
      </c>
      <c r="F3579" s="24" t="n">
        <v>-0.605470479</v>
      </c>
    </row>
    <row r="3580" customFormat="false" ht="15" hidden="false" customHeight="false" outlineLevel="0" collapsed="false">
      <c r="A3580" s="3" t="n">
        <v>3579</v>
      </c>
      <c r="B3580" s="3" t="n">
        <v>3578</v>
      </c>
      <c r="C3580" s="3" t="n">
        <v>4</v>
      </c>
      <c r="D3580" s="3" t="n">
        <v>15</v>
      </c>
      <c r="E3580" s="3" t="n">
        <v>22</v>
      </c>
      <c r="F3580" s="24" t="n">
        <v>-0.605470479</v>
      </c>
    </row>
    <row r="3581" customFormat="false" ht="15" hidden="false" customHeight="false" outlineLevel="0" collapsed="false">
      <c r="A3581" s="3" t="n">
        <v>3580</v>
      </c>
      <c r="B3581" s="3" t="n">
        <v>3579</v>
      </c>
      <c r="C3581" s="3" t="n">
        <v>4</v>
      </c>
      <c r="D3581" s="3" t="n">
        <v>15</v>
      </c>
      <c r="E3581" s="3" t="n">
        <v>23</v>
      </c>
      <c r="F3581" s="24" t="n">
        <v>-0.605470479</v>
      </c>
    </row>
    <row r="3582" customFormat="false" ht="15" hidden="false" customHeight="false" outlineLevel="0" collapsed="false">
      <c r="A3582" s="3" t="n">
        <v>3581</v>
      </c>
      <c r="B3582" s="3" t="n">
        <v>3580</v>
      </c>
      <c r="C3582" s="3" t="n">
        <v>4</v>
      </c>
      <c r="D3582" s="3" t="n">
        <v>15</v>
      </c>
      <c r="E3582" s="3" t="n">
        <v>24</v>
      </c>
      <c r="F3582" s="24" t="n">
        <v>-0.605470479</v>
      </c>
    </row>
    <row r="3583" customFormat="false" ht="15" hidden="false" customHeight="false" outlineLevel="0" collapsed="false">
      <c r="A3583" s="3" t="n">
        <v>3582</v>
      </c>
      <c r="B3583" s="3" t="n">
        <v>3581</v>
      </c>
      <c r="C3583" s="3" t="n">
        <v>4</v>
      </c>
      <c r="D3583" s="3" t="n">
        <v>15</v>
      </c>
      <c r="E3583" s="3" t="n">
        <v>25</v>
      </c>
      <c r="F3583" s="24" t="n">
        <v>-0.605470479</v>
      </c>
    </row>
    <row r="3584" customFormat="false" ht="15" hidden="false" customHeight="false" outlineLevel="0" collapsed="false">
      <c r="A3584" s="3" t="n">
        <v>3583</v>
      </c>
      <c r="B3584" s="3" t="n">
        <v>3582</v>
      </c>
      <c r="C3584" s="3" t="n">
        <v>4</v>
      </c>
      <c r="D3584" s="3" t="n">
        <v>15</v>
      </c>
      <c r="E3584" s="3" t="n">
        <v>26</v>
      </c>
      <c r="F3584" s="24" t="n">
        <v>-0.605470479</v>
      </c>
    </row>
    <row r="3585" customFormat="false" ht="15" hidden="false" customHeight="false" outlineLevel="0" collapsed="false">
      <c r="A3585" s="3" t="n">
        <v>3584</v>
      </c>
      <c r="B3585" s="3" t="n">
        <v>3583</v>
      </c>
      <c r="C3585" s="3" t="n">
        <v>4</v>
      </c>
      <c r="D3585" s="3" t="n">
        <v>15</v>
      </c>
      <c r="E3585" s="3" t="n">
        <v>27</v>
      </c>
      <c r="F3585" s="24" t="n">
        <v>-0.469382077</v>
      </c>
    </row>
    <row r="3586" customFormat="false" ht="15" hidden="false" customHeight="false" outlineLevel="0" collapsed="false">
      <c r="A3586" s="3" t="n">
        <v>3585</v>
      </c>
      <c r="B3586" s="3" t="n">
        <v>3584</v>
      </c>
      <c r="C3586" s="3" t="n">
        <v>4</v>
      </c>
      <c r="D3586" s="3" t="n">
        <v>16</v>
      </c>
      <c r="E3586" s="3" t="n">
        <v>0</v>
      </c>
      <c r="F3586" s="24" t="n">
        <v>-0.515758276</v>
      </c>
    </row>
    <row r="3587" customFormat="false" ht="15" hidden="false" customHeight="false" outlineLevel="0" collapsed="false">
      <c r="A3587" s="3" t="n">
        <v>3586</v>
      </c>
      <c r="B3587" s="3" t="n">
        <v>3585</v>
      </c>
      <c r="C3587" s="3" t="n">
        <v>4</v>
      </c>
      <c r="D3587" s="3" t="n">
        <v>16</v>
      </c>
      <c r="E3587" s="3" t="n">
        <v>1</v>
      </c>
      <c r="F3587" s="24" t="n">
        <v>-0.605470479</v>
      </c>
    </row>
    <row r="3588" customFormat="false" ht="15" hidden="false" customHeight="false" outlineLevel="0" collapsed="false">
      <c r="A3588" s="3" t="n">
        <v>3587</v>
      </c>
      <c r="B3588" s="3" t="n">
        <v>3586</v>
      </c>
      <c r="C3588" s="3" t="n">
        <v>4</v>
      </c>
      <c r="D3588" s="3" t="n">
        <v>16</v>
      </c>
      <c r="E3588" s="3" t="n">
        <v>2</v>
      </c>
      <c r="F3588" s="24" t="n">
        <v>-0.605470479</v>
      </c>
    </row>
    <row r="3589" customFormat="false" ht="15" hidden="false" customHeight="false" outlineLevel="0" collapsed="false">
      <c r="A3589" s="3" t="n">
        <v>3588</v>
      </c>
      <c r="B3589" s="3" t="n">
        <v>3587</v>
      </c>
      <c r="C3589" s="3" t="n">
        <v>4</v>
      </c>
      <c r="D3589" s="3" t="n">
        <v>16</v>
      </c>
      <c r="E3589" s="3" t="n">
        <v>3</v>
      </c>
      <c r="F3589" s="24" t="n">
        <v>-0.605470479</v>
      </c>
    </row>
    <row r="3590" customFormat="false" ht="15" hidden="false" customHeight="false" outlineLevel="0" collapsed="false">
      <c r="A3590" s="3" t="n">
        <v>3589</v>
      </c>
      <c r="B3590" s="3" t="n">
        <v>3588</v>
      </c>
      <c r="C3590" s="3" t="n">
        <v>4</v>
      </c>
      <c r="D3590" s="3" t="n">
        <v>16</v>
      </c>
      <c r="E3590" s="3" t="n">
        <v>4</v>
      </c>
      <c r="F3590" s="24" t="n">
        <v>-0.605470479</v>
      </c>
    </row>
    <row r="3591" customFormat="false" ht="15" hidden="false" customHeight="false" outlineLevel="0" collapsed="false">
      <c r="A3591" s="3" t="n">
        <v>3590</v>
      </c>
      <c r="B3591" s="3" t="n">
        <v>3589</v>
      </c>
      <c r="C3591" s="3" t="n">
        <v>4</v>
      </c>
      <c r="D3591" s="3" t="n">
        <v>16</v>
      </c>
      <c r="E3591" s="3" t="n">
        <v>5</v>
      </c>
      <c r="F3591" s="24" t="n">
        <v>-0.605470479</v>
      </c>
    </row>
    <row r="3592" customFormat="false" ht="15" hidden="false" customHeight="false" outlineLevel="0" collapsed="false">
      <c r="A3592" s="3" t="n">
        <v>3591</v>
      </c>
      <c r="B3592" s="3" t="n">
        <v>3590</v>
      </c>
      <c r="C3592" s="3" t="n">
        <v>4</v>
      </c>
      <c r="D3592" s="3" t="n">
        <v>16</v>
      </c>
      <c r="E3592" s="3" t="n">
        <v>6</v>
      </c>
      <c r="F3592" s="24" t="n">
        <v>-0.605470479</v>
      </c>
    </row>
    <row r="3593" customFormat="false" ht="15" hidden="false" customHeight="false" outlineLevel="0" collapsed="false">
      <c r="A3593" s="3" t="n">
        <v>3592</v>
      </c>
      <c r="B3593" s="3" t="n">
        <v>3591</v>
      </c>
      <c r="C3593" s="3" t="n">
        <v>4</v>
      </c>
      <c r="D3593" s="3" t="n">
        <v>16</v>
      </c>
      <c r="E3593" s="3" t="n">
        <v>7</v>
      </c>
      <c r="F3593" s="24" t="n">
        <v>-0.605470479</v>
      </c>
    </row>
    <row r="3594" customFormat="false" ht="15" hidden="false" customHeight="false" outlineLevel="0" collapsed="false">
      <c r="A3594" s="3" t="n">
        <v>3593</v>
      </c>
      <c r="B3594" s="3" t="n">
        <v>3592</v>
      </c>
      <c r="C3594" s="3" t="n">
        <v>4</v>
      </c>
      <c r="D3594" s="3" t="n">
        <v>16</v>
      </c>
      <c r="E3594" s="3" t="n">
        <v>8</v>
      </c>
      <c r="F3594" s="24" t="n">
        <v>-0.605470479</v>
      </c>
    </row>
    <row r="3595" customFormat="false" ht="15" hidden="false" customHeight="false" outlineLevel="0" collapsed="false">
      <c r="A3595" s="3" t="n">
        <v>3594</v>
      </c>
      <c r="B3595" s="3" t="n">
        <v>3593</v>
      </c>
      <c r="C3595" s="3" t="n">
        <v>4</v>
      </c>
      <c r="D3595" s="3" t="n">
        <v>16</v>
      </c>
      <c r="E3595" s="3" t="n">
        <v>9</v>
      </c>
      <c r="F3595" s="24" t="n">
        <v>-0.605470479</v>
      </c>
    </row>
    <row r="3596" customFormat="false" ht="15" hidden="false" customHeight="false" outlineLevel="0" collapsed="false">
      <c r="A3596" s="3" t="n">
        <v>3595</v>
      </c>
      <c r="B3596" s="3" t="n">
        <v>3594</v>
      </c>
      <c r="C3596" s="3" t="n">
        <v>4</v>
      </c>
      <c r="D3596" s="3" t="n">
        <v>16</v>
      </c>
      <c r="E3596" s="3" t="n">
        <v>10</v>
      </c>
      <c r="F3596" s="24" t="n">
        <v>-0.605470479</v>
      </c>
    </row>
    <row r="3597" customFormat="false" ht="15" hidden="false" customHeight="false" outlineLevel="0" collapsed="false">
      <c r="A3597" s="3" t="n">
        <v>3596</v>
      </c>
      <c r="B3597" s="3" t="n">
        <v>3595</v>
      </c>
      <c r="C3597" s="3" t="n">
        <v>4</v>
      </c>
      <c r="D3597" s="3" t="n">
        <v>16</v>
      </c>
      <c r="E3597" s="3" t="n">
        <v>11</v>
      </c>
      <c r="F3597" s="24" t="n">
        <v>-0.605470479</v>
      </c>
    </row>
    <row r="3598" customFormat="false" ht="15" hidden="false" customHeight="false" outlineLevel="0" collapsed="false">
      <c r="A3598" s="3" t="n">
        <v>3597</v>
      </c>
      <c r="B3598" s="3" t="n">
        <v>3596</v>
      </c>
      <c r="C3598" s="3" t="n">
        <v>4</v>
      </c>
      <c r="D3598" s="3" t="n">
        <v>16</v>
      </c>
      <c r="E3598" s="3" t="n">
        <v>12</v>
      </c>
      <c r="F3598" s="24" t="n">
        <v>-0.605470479</v>
      </c>
    </row>
    <row r="3599" customFormat="false" ht="15" hidden="false" customHeight="false" outlineLevel="0" collapsed="false">
      <c r="A3599" s="3" t="n">
        <v>3598</v>
      </c>
      <c r="B3599" s="3" t="n">
        <v>3597</v>
      </c>
      <c r="C3599" s="3" t="n">
        <v>4</v>
      </c>
      <c r="D3599" s="3" t="n">
        <v>16</v>
      </c>
      <c r="E3599" s="3" t="n">
        <v>13</v>
      </c>
      <c r="F3599" s="24" t="n">
        <v>-0.605470479</v>
      </c>
    </row>
    <row r="3600" customFormat="false" ht="15" hidden="false" customHeight="false" outlineLevel="0" collapsed="false">
      <c r="A3600" s="3" t="n">
        <v>3599</v>
      </c>
      <c r="B3600" s="3" t="n">
        <v>3598</v>
      </c>
      <c r="C3600" s="3" t="n">
        <v>4</v>
      </c>
      <c r="D3600" s="3" t="n">
        <v>16</v>
      </c>
      <c r="E3600" s="3" t="n">
        <v>14</v>
      </c>
      <c r="F3600" s="24" t="n">
        <v>-0.186495215</v>
      </c>
    </row>
    <row r="3601" customFormat="false" ht="15" hidden="false" customHeight="false" outlineLevel="0" collapsed="false">
      <c r="A3601" s="3" t="n">
        <v>3600</v>
      </c>
      <c r="B3601" s="3" t="n">
        <v>3599</v>
      </c>
      <c r="C3601" s="3" t="n">
        <v>4</v>
      </c>
      <c r="D3601" s="3" t="n">
        <v>16</v>
      </c>
      <c r="E3601" s="3" t="n">
        <v>15</v>
      </c>
      <c r="F3601" s="24" t="n">
        <v>0.949021816</v>
      </c>
    </row>
    <row r="3602" customFormat="false" ht="15" hidden="false" customHeight="false" outlineLevel="0" collapsed="false">
      <c r="A3602" s="3" t="n">
        <v>3601</v>
      </c>
      <c r="B3602" s="3" t="n">
        <v>3600</v>
      </c>
      <c r="C3602" s="3" t="n">
        <v>4</v>
      </c>
      <c r="D3602" s="3" t="n">
        <v>16</v>
      </c>
      <c r="E3602" s="3" t="n">
        <v>16</v>
      </c>
      <c r="F3602" s="24" t="n">
        <v>2.77149892</v>
      </c>
    </row>
    <row r="3603" customFormat="false" ht="15" hidden="false" customHeight="false" outlineLevel="0" collapsed="false">
      <c r="A3603" s="3" t="n">
        <v>3602</v>
      </c>
      <c r="B3603" s="3" t="n">
        <v>3601</v>
      </c>
      <c r="C3603" s="3" t="n">
        <v>4</v>
      </c>
      <c r="D3603" s="3" t="n">
        <v>16</v>
      </c>
      <c r="E3603" s="3" t="n">
        <v>17</v>
      </c>
      <c r="F3603" s="24" t="n">
        <v>2.48780751</v>
      </c>
    </row>
    <row r="3604" customFormat="false" ht="15" hidden="false" customHeight="false" outlineLevel="0" collapsed="false">
      <c r="A3604" s="3" t="n">
        <v>3603</v>
      </c>
      <c r="B3604" s="3" t="n">
        <v>3602</v>
      </c>
      <c r="C3604" s="3" t="n">
        <v>4</v>
      </c>
      <c r="D3604" s="3" t="n">
        <v>16</v>
      </c>
      <c r="E3604" s="3" t="n">
        <v>18</v>
      </c>
      <c r="F3604" s="24" t="n">
        <v>0.601620138</v>
      </c>
    </row>
    <row r="3605" customFormat="false" ht="15" hidden="false" customHeight="false" outlineLevel="0" collapsed="false">
      <c r="A3605" s="3" t="n">
        <v>3604</v>
      </c>
      <c r="B3605" s="3" t="n">
        <v>3603</v>
      </c>
      <c r="C3605" s="3" t="n">
        <v>4</v>
      </c>
      <c r="D3605" s="3" t="n">
        <v>16</v>
      </c>
      <c r="E3605" s="3" t="n">
        <v>19</v>
      </c>
      <c r="F3605" s="24" t="n">
        <v>-0.380140632</v>
      </c>
    </row>
    <row r="3606" customFormat="false" ht="15" hidden="false" customHeight="false" outlineLevel="0" collapsed="false">
      <c r="A3606" s="3" t="n">
        <v>3605</v>
      </c>
      <c r="B3606" s="3" t="n">
        <v>3604</v>
      </c>
      <c r="C3606" s="3" t="n">
        <v>4</v>
      </c>
      <c r="D3606" s="3" t="n">
        <v>16</v>
      </c>
      <c r="E3606" s="3" t="n">
        <v>20</v>
      </c>
      <c r="F3606" s="24" t="n">
        <v>-0.593968451</v>
      </c>
    </row>
    <row r="3607" customFormat="false" ht="15" hidden="false" customHeight="false" outlineLevel="0" collapsed="false">
      <c r="A3607" s="3" t="n">
        <v>3606</v>
      </c>
      <c r="B3607" s="3" t="n">
        <v>3605</v>
      </c>
      <c r="C3607" s="3" t="n">
        <v>4</v>
      </c>
      <c r="D3607" s="3" t="n">
        <v>16</v>
      </c>
      <c r="E3607" s="3" t="n">
        <v>21</v>
      </c>
      <c r="F3607" s="24" t="n">
        <v>-0.605470479</v>
      </c>
    </row>
    <row r="3608" customFormat="false" ht="15" hidden="false" customHeight="false" outlineLevel="0" collapsed="false">
      <c r="A3608" s="3" t="n">
        <v>3607</v>
      </c>
      <c r="B3608" s="3" t="n">
        <v>3606</v>
      </c>
      <c r="C3608" s="3" t="n">
        <v>4</v>
      </c>
      <c r="D3608" s="3" t="n">
        <v>16</v>
      </c>
      <c r="E3608" s="3" t="n">
        <v>22</v>
      </c>
      <c r="F3608" s="24" t="n">
        <v>-0.605470479</v>
      </c>
    </row>
    <row r="3609" customFormat="false" ht="15" hidden="false" customHeight="false" outlineLevel="0" collapsed="false">
      <c r="A3609" s="3" t="n">
        <v>3608</v>
      </c>
      <c r="B3609" s="3" t="n">
        <v>3607</v>
      </c>
      <c r="C3609" s="3" t="n">
        <v>4</v>
      </c>
      <c r="D3609" s="3" t="n">
        <v>16</v>
      </c>
      <c r="E3609" s="3" t="n">
        <v>23</v>
      </c>
      <c r="F3609" s="24" t="n">
        <v>-0.605470479</v>
      </c>
    </row>
    <row r="3610" customFormat="false" ht="15" hidden="false" customHeight="false" outlineLevel="0" collapsed="false">
      <c r="A3610" s="3" t="n">
        <v>3609</v>
      </c>
      <c r="B3610" s="3" t="n">
        <v>3608</v>
      </c>
      <c r="C3610" s="3" t="n">
        <v>4</v>
      </c>
      <c r="D3610" s="3" t="n">
        <v>16</v>
      </c>
      <c r="E3610" s="3" t="n">
        <v>24</v>
      </c>
      <c r="F3610" s="24" t="n">
        <v>-0.605470479</v>
      </c>
    </row>
    <row r="3611" customFormat="false" ht="15" hidden="false" customHeight="false" outlineLevel="0" collapsed="false">
      <c r="A3611" s="3" t="n">
        <v>3610</v>
      </c>
      <c r="B3611" s="3" t="n">
        <v>3609</v>
      </c>
      <c r="C3611" s="3" t="n">
        <v>4</v>
      </c>
      <c r="D3611" s="3" t="n">
        <v>16</v>
      </c>
      <c r="E3611" s="3" t="n">
        <v>25</v>
      </c>
      <c r="F3611" s="24" t="n">
        <v>-0.605470479</v>
      </c>
    </row>
    <row r="3612" customFormat="false" ht="15" hidden="false" customHeight="false" outlineLevel="0" collapsed="false">
      <c r="A3612" s="3" t="n">
        <v>3611</v>
      </c>
      <c r="B3612" s="3" t="n">
        <v>3610</v>
      </c>
      <c r="C3612" s="3" t="n">
        <v>4</v>
      </c>
      <c r="D3612" s="3" t="n">
        <v>16</v>
      </c>
      <c r="E3612" s="3" t="n">
        <v>26</v>
      </c>
      <c r="F3612" s="24" t="n">
        <v>-0.605470479</v>
      </c>
    </row>
    <row r="3613" customFormat="false" ht="15" hidden="false" customHeight="false" outlineLevel="0" collapsed="false">
      <c r="A3613" s="3" t="n">
        <v>3612</v>
      </c>
      <c r="B3613" s="3" t="n">
        <v>3611</v>
      </c>
      <c r="C3613" s="3" t="n">
        <v>4</v>
      </c>
      <c r="D3613" s="3" t="n">
        <v>16</v>
      </c>
      <c r="E3613" s="3" t="n">
        <v>27</v>
      </c>
      <c r="F3613" s="24" t="n">
        <v>-0.469382077</v>
      </c>
    </row>
    <row r="3614" customFormat="false" ht="15" hidden="false" customHeight="false" outlineLevel="0" collapsed="false">
      <c r="A3614" s="3" t="n">
        <v>3613</v>
      </c>
      <c r="B3614" s="3" t="n">
        <v>3612</v>
      </c>
      <c r="C3614" s="3" t="n">
        <v>4</v>
      </c>
      <c r="D3614" s="3" t="n">
        <v>17</v>
      </c>
      <c r="E3614" s="3" t="n">
        <v>0</v>
      </c>
      <c r="F3614" s="24" t="n">
        <v>-0.515758276</v>
      </c>
    </row>
    <row r="3615" customFormat="false" ht="15" hidden="false" customHeight="false" outlineLevel="0" collapsed="false">
      <c r="A3615" s="3" t="n">
        <v>3614</v>
      </c>
      <c r="B3615" s="3" t="n">
        <v>3613</v>
      </c>
      <c r="C3615" s="3" t="n">
        <v>4</v>
      </c>
      <c r="D3615" s="3" t="n">
        <v>17</v>
      </c>
      <c r="E3615" s="3" t="n">
        <v>1</v>
      </c>
      <c r="F3615" s="24" t="n">
        <v>-0.605470479</v>
      </c>
    </row>
    <row r="3616" customFormat="false" ht="15" hidden="false" customHeight="false" outlineLevel="0" collapsed="false">
      <c r="A3616" s="3" t="n">
        <v>3615</v>
      </c>
      <c r="B3616" s="3" t="n">
        <v>3614</v>
      </c>
      <c r="C3616" s="3" t="n">
        <v>4</v>
      </c>
      <c r="D3616" s="3" t="n">
        <v>17</v>
      </c>
      <c r="E3616" s="3" t="n">
        <v>2</v>
      </c>
      <c r="F3616" s="24" t="n">
        <v>-0.605470479</v>
      </c>
    </row>
    <row r="3617" customFormat="false" ht="15" hidden="false" customHeight="false" outlineLevel="0" collapsed="false">
      <c r="A3617" s="3" t="n">
        <v>3616</v>
      </c>
      <c r="B3617" s="3" t="n">
        <v>3615</v>
      </c>
      <c r="C3617" s="3" t="n">
        <v>4</v>
      </c>
      <c r="D3617" s="3" t="n">
        <v>17</v>
      </c>
      <c r="E3617" s="3" t="n">
        <v>3</v>
      </c>
      <c r="F3617" s="24" t="n">
        <v>-0.605470479</v>
      </c>
    </row>
    <row r="3618" customFormat="false" ht="15" hidden="false" customHeight="false" outlineLevel="0" collapsed="false">
      <c r="A3618" s="3" t="n">
        <v>3617</v>
      </c>
      <c r="B3618" s="3" t="n">
        <v>3616</v>
      </c>
      <c r="C3618" s="3" t="n">
        <v>4</v>
      </c>
      <c r="D3618" s="3" t="n">
        <v>17</v>
      </c>
      <c r="E3618" s="3" t="n">
        <v>4</v>
      </c>
      <c r="F3618" s="24" t="n">
        <v>-0.605470479</v>
      </c>
    </row>
    <row r="3619" customFormat="false" ht="15" hidden="false" customHeight="false" outlineLevel="0" collapsed="false">
      <c r="A3619" s="3" t="n">
        <v>3618</v>
      </c>
      <c r="B3619" s="3" t="n">
        <v>3617</v>
      </c>
      <c r="C3619" s="3" t="n">
        <v>4</v>
      </c>
      <c r="D3619" s="3" t="n">
        <v>17</v>
      </c>
      <c r="E3619" s="3" t="n">
        <v>5</v>
      </c>
      <c r="F3619" s="24" t="n">
        <v>-0.605470479</v>
      </c>
    </row>
    <row r="3620" customFormat="false" ht="15" hidden="false" customHeight="false" outlineLevel="0" collapsed="false">
      <c r="A3620" s="3" t="n">
        <v>3619</v>
      </c>
      <c r="B3620" s="3" t="n">
        <v>3618</v>
      </c>
      <c r="C3620" s="3" t="n">
        <v>4</v>
      </c>
      <c r="D3620" s="3" t="n">
        <v>17</v>
      </c>
      <c r="E3620" s="3" t="n">
        <v>6</v>
      </c>
      <c r="F3620" s="24" t="n">
        <v>-0.605470479</v>
      </c>
    </row>
    <row r="3621" customFormat="false" ht="15" hidden="false" customHeight="false" outlineLevel="0" collapsed="false">
      <c r="A3621" s="3" t="n">
        <v>3620</v>
      </c>
      <c r="B3621" s="3" t="n">
        <v>3619</v>
      </c>
      <c r="C3621" s="3" t="n">
        <v>4</v>
      </c>
      <c r="D3621" s="3" t="n">
        <v>17</v>
      </c>
      <c r="E3621" s="3" t="n">
        <v>7</v>
      </c>
      <c r="F3621" s="24" t="n">
        <v>-0.605470479</v>
      </c>
    </row>
    <row r="3622" customFormat="false" ht="15" hidden="false" customHeight="false" outlineLevel="0" collapsed="false">
      <c r="A3622" s="3" t="n">
        <v>3621</v>
      </c>
      <c r="B3622" s="3" t="n">
        <v>3620</v>
      </c>
      <c r="C3622" s="3" t="n">
        <v>4</v>
      </c>
      <c r="D3622" s="3" t="n">
        <v>17</v>
      </c>
      <c r="E3622" s="3" t="n">
        <v>8</v>
      </c>
      <c r="F3622" s="24" t="n">
        <v>-0.605470479</v>
      </c>
    </row>
    <row r="3623" customFormat="false" ht="15" hidden="false" customHeight="false" outlineLevel="0" collapsed="false">
      <c r="A3623" s="3" t="n">
        <v>3622</v>
      </c>
      <c r="B3623" s="3" t="n">
        <v>3621</v>
      </c>
      <c r="C3623" s="3" t="n">
        <v>4</v>
      </c>
      <c r="D3623" s="3" t="n">
        <v>17</v>
      </c>
      <c r="E3623" s="3" t="n">
        <v>9</v>
      </c>
      <c r="F3623" s="24" t="n">
        <v>-0.605470479</v>
      </c>
    </row>
    <row r="3624" customFormat="false" ht="15" hidden="false" customHeight="false" outlineLevel="0" collapsed="false">
      <c r="A3624" s="3" t="n">
        <v>3623</v>
      </c>
      <c r="B3624" s="3" t="n">
        <v>3622</v>
      </c>
      <c r="C3624" s="3" t="n">
        <v>4</v>
      </c>
      <c r="D3624" s="3" t="n">
        <v>17</v>
      </c>
      <c r="E3624" s="3" t="n">
        <v>10</v>
      </c>
      <c r="F3624" s="24" t="n">
        <v>-0.605470479</v>
      </c>
    </row>
    <row r="3625" customFormat="false" ht="15" hidden="false" customHeight="false" outlineLevel="0" collapsed="false">
      <c r="A3625" s="3" t="n">
        <v>3624</v>
      </c>
      <c r="B3625" s="3" t="n">
        <v>3623</v>
      </c>
      <c r="C3625" s="3" t="n">
        <v>4</v>
      </c>
      <c r="D3625" s="3" t="n">
        <v>17</v>
      </c>
      <c r="E3625" s="3" t="n">
        <v>11</v>
      </c>
      <c r="F3625" s="24" t="n">
        <v>-0.605470479</v>
      </c>
    </row>
    <row r="3626" customFormat="false" ht="15" hidden="false" customHeight="false" outlineLevel="0" collapsed="false">
      <c r="A3626" s="3" t="n">
        <v>3625</v>
      </c>
      <c r="B3626" s="3" t="n">
        <v>3624</v>
      </c>
      <c r="C3626" s="3" t="n">
        <v>4</v>
      </c>
      <c r="D3626" s="3" t="n">
        <v>17</v>
      </c>
      <c r="E3626" s="3" t="n">
        <v>12</v>
      </c>
      <c r="F3626" s="24" t="n">
        <v>-0.605470479</v>
      </c>
    </row>
    <row r="3627" customFormat="false" ht="15" hidden="false" customHeight="false" outlineLevel="0" collapsed="false">
      <c r="A3627" s="3" t="n">
        <v>3626</v>
      </c>
      <c r="B3627" s="3" t="n">
        <v>3625</v>
      </c>
      <c r="C3627" s="3" t="n">
        <v>4</v>
      </c>
      <c r="D3627" s="3" t="n">
        <v>17</v>
      </c>
      <c r="E3627" s="3" t="n">
        <v>13</v>
      </c>
      <c r="F3627" s="24" t="n">
        <v>-0.349001795</v>
      </c>
    </row>
    <row r="3628" customFormat="false" ht="15" hidden="false" customHeight="false" outlineLevel="0" collapsed="false">
      <c r="A3628" s="3" t="n">
        <v>3627</v>
      </c>
      <c r="B3628" s="3" t="n">
        <v>3626</v>
      </c>
      <c r="C3628" s="3" t="n">
        <v>4</v>
      </c>
      <c r="D3628" s="3" t="n">
        <v>17</v>
      </c>
      <c r="E3628" s="3" t="n">
        <v>14</v>
      </c>
      <c r="F3628" s="24" t="n">
        <v>0.51250875</v>
      </c>
    </row>
    <row r="3629" customFormat="false" ht="15" hidden="false" customHeight="false" outlineLevel="0" collapsed="false">
      <c r="A3629" s="3" t="n">
        <v>3628</v>
      </c>
      <c r="B3629" s="3" t="n">
        <v>3627</v>
      </c>
      <c r="C3629" s="3" t="n">
        <v>4</v>
      </c>
      <c r="D3629" s="3" t="n">
        <v>17</v>
      </c>
      <c r="E3629" s="3" t="n">
        <v>15</v>
      </c>
      <c r="F3629" s="24" t="n">
        <v>2.1055789</v>
      </c>
    </row>
    <row r="3630" customFormat="false" ht="15" hidden="false" customHeight="false" outlineLevel="0" collapsed="false">
      <c r="A3630" s="3" t="n">
        <v>3629</v>
      </c>
      <c r="B3630" s="3" t="n">
        <v>3628</v>
      </c>
      <c r="C3630" s="3" t="n">
        <v>4</v>
      </c>
      <c r="D3630" s="3" t="n">
        <v>17</v>
      </c>
      <c r="E3630" s="3" t="n">
        <v>16</v>
      </c>
      <c r="F3630" s="24" t="n">
        <v>2.77125049</v>
      </c>
    </row>
    <row r="3631" customFormat="false" ht="15" hidden="false" customHeight="false" outlineLevel="0" collapsed="false">
      <c r="A3631" s="3" t="n">
        <v>3630</v>
      </c>
      <c r="B3631" s="3" t="n">
        <v>3629</v>
      </c>
      <c r="C3631" s="3" t="n">
        <v>4</v>
      </c>
      <c r="D3631" s="3" t="n">
        <v>17</v>
      </c>
      <c r="E3631" s="3" t="n">
        <v>17</v>
      </c>
      <c r="F3631" s="24" t="n">
        <v>1.46915507</v>
      </c>
    </row>
    <row r="3632" customFormat="false" ht="15" hidden="false" customHeight="false" outlineLevel="0" collapsed="false">
      <c r="A3632" s="3" t="n">
        <v>3631</v>
      </c>
      <c r="B3632" s="3" t="n">
        <v>3630</v>
      </c>
      <c r="C3632" s="3" t="n">
        <v>4</v>
      </c>
      <c r="D3632" s="3" t="n">
        <v>17</v>
      </c>
      <c r="E3632" s="3" t="n">
        <v>18</v>
      </c>
      <c r="F3632" s="24" t="n">
        <v>-0.263874054</v>
      </c>
    </row>
    <row r="3633" customFormat="false" ht="15" hidden="false" customHeight="false" outlineLevel="0" collapsed="false">
      <c r="A3633" s="3" t="n">
        <v>3632</v>
      </c>
      <c r="B3633" s="3" t="n">
        <v>3631</v>
      </c>
      <c r="C3633" s="3" t="n">
        <v>4</v>
      </c>
      <c r="D3633" s="3" t="n">
        <v>17</v>
      </c>
      <c r="E3633" s="3" t="n">
        <v>19</v>
      </c>
      <c r="F3633" s="24" t="n">
        <v>-0.472046852</v>
      </c>
    </row>
    <row r="3634" customFormat="false" ht="15" hidden="false" customHeight="false" outlineLevel="0" collapsed="false">
      <c r="A3634" s="3" t="n">
        <v>3633</v>
      </c>
      <c r="B3634" s="3" t="n">
        <v>3632</v>
      </c>
      <c r="C3634" s="3" t="n">
        <v>4</v>
      </c>
      <c r="D3634" s="3" t="n">
        <v>17</v>
      </c>
      <c r="E3634" s="3" t="n">
        <v>20</v>
      </c>
      <c r="F3634" s="24" t="n">
        <v>-0.605470479</v>
      </c>
    </row>
    <row r="3635" customFormat="false" ht="15" hidden="false" customHeight="false" outlineLevel="0" collapsed="false">
      <c r="A3635" s="3" t="n">
        <v>3634</v>
      </c>
      <c r="B3635" s="3" t="n">
        <v>3633</v>
      </c>
      <c r="C3635" s="3" t="n">
        <v>4</v>
      </c>
      <c r="D3635" s="3" t="n">
        <v>17</v>
      </c>
      <c r="E3635" s="3" t="n">
        <v>21</v>
      </c>
      <c r="F3635" s="24" t="n">
        <v>-0.605470479</v>
      </c>
    </row>
    <row r="3636" customFormat="false" ht="15" hidden="false" customHeight="false" outlineLevel="0" collapsed="false">
      <c r="A3636" s="3" t="n">
        <v>3635</v>
      </c>
      <c r="B3636" s="3" t="n">
        <v>3634</v>
      </c>
      <c r="C3636" s="3" t="n">
        <v>4</v>
      </c>
      <c r="D3636" s="3" t="n">
        <v>17</v>
      </c>
      <c r="E3636" s="3" t="n">
        <v>22</v>
      </c>
      <c r="F3636" s="24" t="n">
        <v>-0.605470479</v>
      </c>
    </row>
    <row r="3637" customFormat="false" ht="15" hidden="false" customHeight="false" outlineLevel="0" collapsed="false">
      <c r="A3637" s="3" t="n">
        <v>3636</v>
      </c>
      <c r="B3637" s="3" t="n">
        <v>3635</v>
      </c>
      <c r="C3637" s="3" t="n">
        <v>4</v>
      </c>
      <c r="D3637" s="3" t="n">
        <v>17</v>
      </c>
      <c r="E3637" s="3" t="n">
        <v>23</v>
      </c>
      <c r="F3637" s="24" t="n">
        <v>-0.605470479</v>
      </c>
    </row>
    <row r="3638" customFormat="false" ht="15" hidden="false" customHeight="false" outlineLevel="0" collapsed="false">
      <c r="A3638" s="3" t="n">
        <v>3637</v>
      </c>
      <c r="B3638" s="3" t="n">
        <v>3636</v>
      </c>
      <c r="C3638" s="3" t="n">
        <v>4</v>
      </c>
      <c r="D3638" s="3" t="n">
        <v>17</v>
      </c>
      <c r="E3638" s="3" t="n">
        <v>24</v>
      </c>
      <c r="F3638" s="24" t="n">
        <v>-0.605470479</v>
      </c>
    </row>
    <row r="3639" customFormat="false" ht="15" hidden="false" customHeight="false" outlineLevel="0" collapsed="false">
      <c r="A3639" s="3" t="n">
        <v>3638</v>
      </c>
      <c r="B3639" s="3" t="n">
        <v>3637</v>
      </c>
      <c r="C3639" s="3" t="n">
        <v>4</v>
      </c>
      <c r="D3639" s="3" t="n">
        <v>17</v>
      </c>
      <c r="E3639" s="3" t="n">
        <v>25</v>
      </c>
      <c r="F3639" s="24" t="n">
        <v>-0.605470479</v>
      </c>
    </row>
    <row r="3640" customFormat="false" ht="15" hidden="false" customHeight="false" outlineLevel="0" collapsed="false">
      <c r="A3640" s="3" t="n">
        <v>3639</v>
      </c>
      <c r="B3640" s="3" t="n">
        <v>3638</v>
      </c>
      <c r="C3640" s="3" t="n">
        <v>4</v>
      </c>
      <c r="D3640" s="3" t="n">
        <v>17</v>
      </c>
      <c r="E3640" s="3" t="n">
        <v>26</v>
      </c>
      <c r="F3640" s="24" t="n">
        <v>-0.605470479</v>
      </c>
    </row>
    <row r="3641" customFormat="false" ht="15" hidden="false" customHeight="false" outlineLevel="0" collapsed="false">
      <c r="A3641" s="3" t="n">
        <v>3640</v>
      </c>
      <c r="B3641" s="3" t="n">
        <v>3639</v>
      </c>
      <c r="C3641" s="3" t="n">
        <v>4</v>
      </c>
      <c r="D3641" s="3" t="n">
        <v>17</v>
      </c>
      <c r="E3641" s="3" t="n">
        <v>27</v>
      </c>
      <c r="F3641" s="24" t="n">
        <v>-0.469382077</v>
      </c>
    </row>
    <row r="3642" customFormat="false" ht="15" hidden="false" customHeight="false" outlineLevel="0" collapsed="false">
      <c r="A3642" s="3" t="n">
        <v>3641</v>
      </c>
      <c r="B3642" s="3" t="n">
        <v>3640</v>
      </c>
      <c r="C3642" s="3" t="n">
        <v>4</v>
      </c>
      <c r="D3642" s="3" t="n">
        <v>18</v>
      </c>
      <c r="E3642" s="3" t="n">
        <v>0</v>
      </c>
      <c r="F3642" s="24" t="n">
        <v>-0.515758276</v>
      </c>
    </row>
    <row r="3643" customFormat="false" ht="15" hidden="false" customHeight="false" outlineLevel="0" collapsed="false">
      <c r="A3643" s="3" t="n">
        <v>3642</v>
      </c>
      <c r="B3643" s="3" t="n">
        <v>3641</v>
      </c>
      <c r="C3643" s="3" t="n">
        <v>4</v>
      </c>
      <c r="D3643" s="3" t="n">
        <v>18</v>
      </c>
      <c r="E3643" s="3" t="n">
        <v>1</v>
      </c>
      <c r="F3643" s="24" t="n">
        <v>-0.605470479</v>
      </c>
    </row>
    <row r="3644" customFormat="false" ht="15" hidden="false" customHeight="false" outlineLevel="0" collapsed="false">
      <c r="A3644" s="3" t="n">
        <v>3643</v>
      </c>
      <c r="B3644" s="3" t="n">
        <v>3642</v>
      </c>
      <c r="C3644" s="3" t="n">
        <v>4</v>
      </c>
      <c r="D3644" s="3" t="n">
        <v>18</v>
      </c>
      <c r="E3644" s="3" t="n">
        <v>2</v>
      </c>
      <c r="F3644" s="24" t="n">
        <v>-0.605470479</v>
      </c>
    </row>
    <row r="3645" customFormat="false" ht="15" hidden="false" customHeight="false" outlineLevel="0" collapsed="false">
      <c r="A3645" s="3" t="n">
        <v>3644</v>
      </c>
      <c r="B3645" s="3" t="n">
        <v>3643</v>
      </c>
      <c r="C3645" s="3" t="n">
        <v>4</v>
      </c>
      <c r="D3645" s="3" t="n">
        <v>18</v>
      </c>
      <c r="E3645" s="3" t="n">
        <v>3</v>
      </c>
      <c r="F3645" s="24" t="n">
        <v>-0.605470479</v>
      </c>
    </row>
    <row r="3646" customFormat="false" ht="15" hidden="false" customHeight="false" outlineLevel="0" collapsed="false">
      <c r="A3646" s="3" t="n">
        <v>3645</v>
      </c>
      <c r="B3646" s="3" t="n">
        <v>3644</v>
      </c>
      <c r="C3646" s="3" t="n">
        <v>4</v>
      </c>
      <c r="D3646" s="3" t="n">
        <v>18</v>
      </c>
      <c r="E3646" s="3" t="n">
        <v>4</v>
      </c>
      <c r="F3646" s="24" t="n">
        <v>-0.605470479</v>
      </c>
    </row>
    <row r="3647" customFormat="false" ht="15" hidden="false" customHeight="false" outlineLevel="0" collapsed="false">
      <c r="A3647" s="3" t="n">
        <v>3646</v>
      </c>
      <c r="B3647" s="3" t="n">
        <v>3645</v>
      </c>
      <c r="C3647" s="3" t="n">
        <v>4</v>
      </c>
      <c r="D3647" s="3" t="n">
        <v>18</v>
      </c>
      <c r="E3647" s="3" t="n">
        <v>5</v>
      </c>
      <c r="F3647" s="24" t="n">
        <v>-0.605470479</v>
      </c>
    </row>
    <row r="3648" customFormat="false" ht="15" hidden="false" customHeight="false" outlineLevel="0" collapsed="false">
      <c r="A3648" s="3" t="n">
        <v>3647</v>
      </c>
      <c r="B3648" s="3" t="n">
        <v>3646</v>
      </c>
      <c r="C3648" s="3" t="n">
        <v>4</v>
      </c>
      <c r="D3648" s="3" t="n">
        <v>18</v>
      </c>
      <c r="E3648" s="3" t="n">
        <v>6</v>
      </c>
      <c r="F3648" s="24" t="n">
        <v>-0.605470479</v>
      </c>
    </row>
    <row r="3649" customFormat="false" ht="15" hidden="false" customHeight="false" outlineLevel="0" collapsed="false">
      <c r="A3649" s="3" t="n">
        <v>3648</v>
      </c>
      <c r="B3649" s="3" t="n">
        <v>3647</v>
      </c>
      <c r="C3649" s="3" t="n">
        <v>4</v>
      </c>
      <c r="D3649" s="3" t="n">
        <v>18</v>
      </c>
      <c r="E3649" s="3" t="n">
        <v>7</v>
      </c>
      <c r="F3649" s="24" t="n">
        <v>-0.605470479</v>
      </c>
    </row>
    <row r="3650" customFormat="false" ht="15" hidden="false" customHeight="false" outlineLevel="0" collapsed="false">
      <c r="A3650" s="3" t="n">
        <v>3649</v>
      </c>
      <c r="B3650" s="3" t="n">
        <v>3648</v>
      </c>
      <c r="C3650" s="3" t="n">
        <v>4</v>
      </c>
      <c r="D3650" s="3" t="n">
        <v>18</v>
      </c>
      <c r="E3650" s="3" t="n">
        <v>8</v>
      </c>
      <c r="F3650" s="24" t="n">
        <v>-0.605470479</v>
      </c>
    </row>
    <row r="3651" customFormat="false" ht="15" hidden="false" customHeight="false" outlineLevel="0" collapsed="false">
      <c r="A3651" s="3" t="n">
        <v>3650</v>
      </c>
      <c r="B3651" s="3" t="n">
        <v>3649</v>
      </c>
      <c r="C3651" s="3" t="n">
        <v>4</v>
      </c>
      <c r="D3651" s="3" t="n">
        <v>18</v>
      </c>
      <c r="E3651" s="3" t="n">
        <v>9</v>
      </c>
      <c r="F3651" s="24" t="n">
        <v>-0.605470479</v>
      </c>
    </row>
    <row r="3652" customFormat="false" ht="15" hidden="false" customHeight="false" outlineLevel="0" collapsed="false">
      <c r="A3652" s="3" t="n">
        <v>3651</v>
      </c>
      <c r="B3652" s="3" t="n">
        <v>3650</v>
      </c>
      <c r="C3652" s="3" t="n">
        <v>4</v>
      </c>
      <c r="D3652" s="3" t="n">
        <v>18</v>
      </c>
      <c r="E3652" s="3" t="n">
        <v>10</v>
      </c>
      <c r="F3652" s="24" t="n">
        <v>-0.605470479</v>
      </c>
    </row>
    <row r="3653" customFormat="false" ht="15" hidden="false" customHeight="false" outlineLevel="0" collapsed="false">
      <c r="A3653" s="3" t="n">
        <v>3652</v>
      </c>
      <c r="B3653" s="3" t="n">
        <v>3651</v>
      </c>
      <c r="C3653" s="3" t="n">
        <v>4</v>
      </c>
      <c r="D3653" s="3" t="n">
        <v>18</v>
      </c>
      <c r="E3653" s="3" t="n">
        <v>11</v>
      </c>
      <c r="F3653" s="24" t="n">
        <v>-0.605470479</v>
      </c>
    </row>
    <row r="3654" customFormat="false" ht="15" hidden="false" customHeight="false" outlineLevel="0" collapsed="false">
      <c r="A3654" s="3" t="n">
        <v>3653</v>
      </c>
      <c r="B3654" s="3" t="n">
        <v>3652</v>
      </c>
      <c r="C3654" s="3" t="n">
        <v>4</v>
      </c>
      <c r="D3654" s="3" t="n">
        <v>18</v>
      </c>
      <c r="E3654" s="3" t="n">
        <v>12</v>
      </c>
      <c r="F3654" s="24" t="n">
        <v>-0.540498435</v>
      </c>
    </row>
    <row r="3655" customFormat="false" ht="15" hidden="false" customHeight="false" outlineLevel="0" collapsed="false">
      <c r="A3655" s="3" t="n">
        <v>3654</v>
      </c>
      <c r="B3655" s="3" t="n">
        <v>3653</v>
      </c>
      <c r="C3655" s="3" t="n">
        <v>4</v>
      </c>
      <c r="D3655" s="3" t="n">
        <v>18</v>
      </c>
      <c r="E3655" s="3" t="n">
        <v>13</v>
      </c>
      <c r="F3655" s="24" t="n">
        <v>0.154589444</v>
      </c>
    </row>
    <row r="3656" customFormat="false" ht="15" hidden="false" customHeight="false" outlineLevel="0" collapsed="false">
      <c r="A3656" s="3" t="n">
        <v>3655</v>
      </c>
      <c r="B3656" s="3" t="n">
        <v>3654</v>
      </c>
      <c r="C3656" s="3" t="n">
        <v>4</v>
      </c>
      <c r="D3656" s="3" t="n">
        <v>18</v>
      </c>
      <c r="E3656" s="3" t="n">
        <v>14</v>
      </c>
      <c r="F3656" s="24" t="n">
        <v>1.5229826</v>
      </c>
    </row>
    <row r="3657" customFormat="false" ht="15" hidden="false" customHeight="false" outlineLevel="0" collapsed="false">
      <c r="A3657" s="3" t="n">
        <v>3656</v>
      </c>
      <c r="B3657" s="3" t="n">
        <v>3655</v>
      </c>
      <c r="C3657" s="3" t="n">
        <v>4</v>
      </c>
      <c r="D3657" s="3" t="n">
        <v>18</v>
      </c>
      <c r="E3657" s="3" t="n">
        <v>15</v>
      </c>
      <c r="F3657" s="24" t="n">
        <v>2.88390732</v>
      </c>
    </row>
    <row r="3658" customFormat="false" ht="15" hidden="false" customHeight="false" outlineLevel="0" collapsed="false">
      <c r="A3658" s="3" t="n">
        <v>3657</v>
      </c>
      <c r="B3658" s="3" t="n">
        <v>3656</v>
      </c>
      <c r="C3658" s="3" t="n">
        <v>4</v>
      </c>
      <c r="D3658" s="3" t="n">
        <v>18</v>
      </c>
      <c r="E3658" s="3" t="n">
        <v>16</v>
      </c>
      <c r="F3658" s="24" t="n">
        <v>2.19145703</v>
      </c>
    </row>
    <row r="3659" customFormat="false" ht="15" hidden="false" customHeight="false" outlineLevel="0" collapsed="false">
      <c r="A3659" s="3" t="n">
        <v>3658</v>
      </c>
      <c r="B3659" s="3" t="n">
        <v>3657</v>
      </c>
      <c r="C3659" s="3" t="n">
        <v>4</v>
      </c>
      <c r="D3659" s="3" t="n">
        <v>18</v>
      </c>
      <c r="E3659" s="3" t="n">
        <v>17</v>
      </c>
      <c r="F3659" s="24" t="n">
        <v>0.533492386</v>
      </c>
    </row>
    <row r="3660" customFormat="false" ht="15" hidden="false" customHeight="false" outlineLevel="0" collapsed="false">
      <c r="A3660" s="3" t="n">
        <v>3659</v>
      </c>
      <c r="B3660" s="3" t="n">
        <v>3658</v>
      </c>
      <c r="C3660" s="3" t="n">
        <v>4</v>
      </c>
      <c r="D3660" s="3" t="n">
        <v>18</v>
      </c>
      <c r="E3660" s="3" t="n">
        <v>18</v>
      </c>
      <c r="F3660" s="24" t="n">
        <v>-0.407908708</v>
      </c>
    </row>
    <row r="3661" customFormat="false" ht="15" hidden="false" customHeight="false" outlineLevel="0" collapsed="false">
      <c r="A3661" s="3" t="n">
        <v>3660</v>
      </c>
      <c r="B3661" s="3" t="n">
        <v>3659</v>
      </c>
      <c r="C3661" s="3" t="n">
        <v>4</v>
      </c>
      <c r="D3661" s="3" t="n">
        <v>18</v>
      </c>
      <c r="E3661" s="3" t="n">
        <v>19</v>
      </c>
      <c r="F3661" s="24" t="n">
        <v>-0.605470479</v>
      </c>
    </row>
    <row r="3662" customFormat="false" ht="15" hidden="false" customHeight="false" outlineLevel="0" collapsed="false">
      <c r="A3662" s="3" t="n">
        <v>3661</v>
      </c>
      <c r="B3662" s="3" t="n">
        <v>3660</v>
      </c>
      <c r="C3662" s="3" t="n">
        <v>4</v>
      </c>
      <c r="D3662" s="3" t="n">
        <v>18</v>
      </c>
      <c r="E3662" s="3" t="n">
        <v>20</v>
      </c>
      <c r="F3662" s="24" t="n">
        <v>-0.605470479</v>
      </c>
    </row>
    <row r="3663" customFormat="false" ht="15" hidden="false" customHeight="false" outlineLevel="0" collapsed="false">
      <c r="A3663" s="3" t="n">
        <v>3662</v>
      </c>
      <c r="B3663" s="3" t="n">
        <v>3661</v>
      </c>
      <c r="C3663" s="3" t="n">
        <v>4</v>
      </c>
      <c r="D3663" s="3" t="n">
        <v>18</v>
      </c>
      <c r="E3663" s="3" t="n">
        <v>21</v>
      </c>
      <c r="F3663" s="24" t="n">
        <v>-0.605470479</v>
      </c>
    </row>
    <row r="3664" customFormat="false" ht="15" hidden="false" customHeight="false" outlineLevel="0" collapsed="false">
      <c r="A3664" s="3" t="n">
        <v>3663</v>
      </c>
      <c r="B3664" s="3" t="n">
        <v>3662</v>
      </c>
      <c r="C3664" s="3" t="n">
        <v>4</v>
      </c>
      <c r="D3664" s="3" t="n">
        <v>18</v>
      </c>
      <c r="E3664" s="3" t="n">
        <v>22</v>
      </c>
      <c r="F3664" s="24" t="n">
        <v>-0.605470479</v>
      </c>
    </row>
    <row r="3665" customFormat="false" ht="15" hidden="false" customHeight="false" outlineLevel="0" collapsed="false">
      <c r="A3665" s="3" t="n">
        <v>3664</v>
      </c>
      <c r="B3665" s="3" t="n">
        <v>3663</v>
      </c>
      <c r="C3665" s="3" t="n">
        <v>4</v>
      </c>
      <c r="D3665" s="3" t="n">
        <v>18</v>
      </c>
      <c r="E3665" s="3" t="n">
        <v>23</v>
      </c>
      <c r="F3665" s="24" t="n">
        <v>-0.605470479</v>
      </c>
    </row>
    <row r="3666" customFormat="false" ht="15" hidden="false" customHeight="false" outlineLevel="0" collapsed="false">
      <c r="A3666" s="3" t="n">
        <v>3665</v>
      </c>
      <c r="B3666" s="3" t="n">
        <v>3664</v>
      </c>
      <c r="C3666" s="3" t="n">
        <v>4</v>
      </c>
      <c r="D3666" s="3" t="n">
        <v>18</v>
      </c>
      <c r="E3666" s="3" t="n">
        <v>24</v>
      </c>
      <c r="F3666" s="24" t="n">
        <v>-0.605470479</v>
      </c>
    </row>
    <row r="3667" customFormat="false" ht="15" hidden="false" customHeight="false" outlineLevel="0" collapsed="false">
      <c r="A3667" s="3" t="n">
        <v>3666</v>
      </c>
      <c r="B3667" s="3" t="n">
        <v>3665</v>
      </c>
      <c r="C3667" s="3" t="n">
        <v>4</v>
      </c>
      <c r="D3667" s="3" t="n">
        <v>18</v>
      </c>
      <c r="E3667" s="3" t="n">
        <v>25</v>
      </c>
      <c r="F3667" s="24" t="n">
        <v>-0.605470479</v>
      </c>
    </row>
    <row r="3668" customFormat="false" ht="15" hidden="false" customHeight="false" outlineLevel="0" collapsed="false">
      <c r="A3668" s="3" t="n">
        <v>3667</v>
      </c>
      <c r="B3668" s="3" t="n">
        <v>3666</v>
      </c>
      <c r="C3668" s="3" t="n">
        <v>4</v>
      </c>
      <c r="D3668" s="3" t="n">
        <v>18</v>
      </c>
      <c r="E3668" s="3" t="n">
        <v>26</v>
      </c>
      <c r="F3668" s="24" t="n">
        <v>-0.605470479</v>
      </c>
    </row>
    <row r="3669" customFormat="false" ht="15" hidden="false" customHeight="false" outlineLevel="0" collapsed="false">
      <c r="A3669" s="3" t="n">
        <v>3668</v>
      </c>
      <c r="B3669" s="3" t="n">
        <v>3667</v>
      </c>
      <c r="C3669" s="3" t="n">
        <v>4</v>
      </c>
      <c r="D3669" s="3" t="n">
        <v>18</v>
      </c>
      <c r="E3669" s="3" t="n">
        <v>27</v>
      </c>
      <c r="F3669" s="24" t="n">
        <v>-0.469382077</v>
      </c>
    </row>
    <row r="3670" customFormat="false" ht="15" hidden="false" customHeight="false" outlineLevel="0" collapsed="false">
      <c r="A3670" s="3" t="n">
        <v>3669</v>
      </c>
      <c r="B3670" s="3" t="n">
        <v>3668</v>
      </c>
      <c r="C3670" s="3" t="n">
        <v>4</v>
      </c>
      <c r="D3670" s="3" t="n">
        <v>19</v>
      </c>
      <c r="E3670" s="3" t="n">
        <v>0</v>
      </c>
      <c r="F3670" s="24" t="n">
        <v>-0.515758276</v>
      </c>
    </row>
    <row r="3671" customFormat="false" ht="15" hidden="false" customHeight="false" outlineLevel="0" collapsed="false">
      <c r="A3671" s="3" t="n">
        <v>3670</v>
      </c>
      <c r="B3671" s="3" t="n">
        <v>3669</v>
      </c>
      <c r="C3671" s="3" t="n">
        <v>4</v>
      </c>
      <c r="D3671" s="3" t="n">
        <v>19</v>
      </c>
      <c r="E3671" s="3" t="n">
        <v>1</v>
      </c>
      <c r="F3671" s="24" t="n">
        <v>-0.605470479</v>
      </c>
    </row>
    <row r="3672" customFormat="false" ht="15" hidden="false" customHeight="false" outlineLevel="0" collapsed="false">
      <c r="A3672" s="3" t="n">
        <v>3671</v>
      </c>
      <c r="B3672" s="3" t="n">
        <v>3670</v>
      </c>
      <c r="C3672" s="3" t="n">
        <v>4</v>
      </c>
      <c r="D3672" s="3" t="n">
        <v>19</v>
      </c>
      <c r="E3672" s="3" t="n">
        <v>2</v>
      </c>
      <c r="F3672" s="24" t="n">
        <v>-0.605470479</v>
      </c>
    </row>
    <row r="3673" customFormat="false" ht="15" hidden="false" customHeight="false" outlineLevel="0" collapsed="false">
      <c r="A3673" s="3" t="n">
        <v>3672</v>
      </c>
      <c r="B3673" s="3" t="n">
        <v>3671</v>
      </c>
      <c r="C3673" s="3" t="n">
        <v>4</v>
      </c>
      <c r="D3673" s="3" t="n">
        <v>19</v>
      </c>
      <c r="E3673" s="3" t="n">
        <v>3</v>
      </c>
      <c r="F3673" s="24" t="n">
        <v>-0.605470479</v>
      </c>
    </row>
    <row r="3674" customFormat="false" ht="15" hidden="false" customHeight="false" outlineLevel="0" collapsed="false">
      <c r="A3674" s="3" t="n">
        <v>3673</v>
      </c>
      <c r="B3674" s="3" t="n">
        <v>3672</v>
      </c>
      <c r="C3674" s="3" t="n">
        <v>4</v>
      </c>
      <c r="D3674" s="3" t="n">
        <v>19</v>
      </c>
      <c r="E3674" s="3" t="n">
        <v>4</v>
      </c>
      <c r="F3674" s="24" t="n">
        <v>-0.605470479</v>
      </c>
    </row>
    <row r="3675" customFormat="false" ht="15" hidden="false" customHeight="false" outlineLevel="0" collapsed="false">
      <c r="A3675" s="3" t="n">
        <v>3674</v>
      </c>
      <c r="B3675" s="3" t="n">
        <v>3673</v>
      </c>
      <c r="C3675" s="3" t="n">
        <v>4</v>
      </c>
      <c r="D3675" s="3" t="n">
        <v>19</v>
      </c>
      <c r="E3675" s="3" t="n">
        <v>5</v>
      </c>
      <c r="F3675" s="24" t="n">
        <v>-0.605470479</v>
      </c>
    </row>
    <row r="3676" customFormat="false" ht="15" hidden="false" customHeight="false" outlineLevel="0" collapsed="false">
      <c r="A3676" s="3" t="n">
        <v>3675</v>
      </c>
      <c r="B3676" s="3" t="n">
        <v>3674</v>
      </c>
      <c r="C3676" s="3" t="n">
        <v>4</v>
      </c>
      <c r="D3676" s="3" t="n">
        <v>19</v>
      </c>
      <c r="E3676" s="3" t="n">
        <v>6</v>
      </c>
      <c r="F3676" s="24" t="n">
        <v>-0.605470479</v>
      </c>
    </row>
    <row r="3677" customFormat="false" ht="15" hidden="false" customHeight="false" outlineLevel="0" collapsed="false">
      <c r="A3677" s="3" t="n">
        <v>3676</v>
      </c>
      <c r="B3677" s="3" t="n">
        <v>3675</v>
      </c>
      <c r="C3677" s="3" t="n">
        <v>4</v>
      </c>
      <c r="D3677" s="3" t="n">
        <v>19</v>
      </c>
      <c r="E3677" s="3" t="n">
        <v>7</v>
      </c>
      <c r="F3677" s="24" t="n">
        <v>-0.605470479</v>
      </c>
    </row>
    <row r="3678" customFormat="false" ht="15" hidden="false" customHeight="false" outlineLevel="0" collapsed="false">
      <c r="A3678" s="3" t="n">
        <v>3677</v>
      </c>
      <c r="B3678" s="3" t="n">
        <v>3676</v>
      </c>
      <c r="C3678" s="3" t="n">
        <v>4</v>
      </c>
      <c r="D3678" s="3" t="n">
        <v>19</v>
      </c>
      <c r="E3678" s="3" t="n">
        <v>8</v>
      </c>
      <c r="F3678" s="24" t="n">
        <v>-0.605470479</v>
      </c>
    </row>
    <row r="3679" customFormat="false" ht="15" hidden="false" customHeight="false" outlineLevel="0" collapsed="false">
      <c r="A3679" s="3" t="n">
        <v>3678</v>
      </c>
      <c r="B3679" s="3" t="n">
        <v>3677</v>
      </c>
      <c r="C3679" s="3" t="n">
        <v>4</v>
      </c>
      <c r="D3679" s="3" t="n">
        <v>19</v>
      </c>
      <c r="E3679" s="3" t="n">
        <v>9</v>
      </c>
      <c r="F3679" s="24" t="n">
        <v>-0.605470479</v>
      </c>
    </row>
    <row r="3680" customFormat="false" ht="15" hidden="false" customHeight="false" outlineLevel="0" collapsed="false">
      <c r="A3680" s="3" t="n">
        <v>3679</v>
      </c>
      <c r="B3680" s="3" t="n">
        <v>3678</v>
      </c>
      <c r="C3680" s="3" t="n">
        <v>4</v>
      </c>
      <c r="D3680" s="3" t="n">
        <v>19</v>
      </c>
      <c r="E3680" s="3" t="n">
        <v>10</v>
      </c>
      <c r="F3680" s="24" t="n">
        <v>-0.605470479</v>
      </c>
    </row>
    <row r="3681" customFormat="false" ht="15" hidden="false" customHeight="false" outlineLevel="0" collapsed="false">
      <c r="A3681" s="3" t="n">
        <v>3680</v>
      </c>
      <c r="B3681" s="3" t="n">
        <v>3679</v>
      </c>
      <c r="C3681" s="3" t="n">
        <v>4</v>
      </c>
      <c r="D3681" s="3" t="n">
        <v>19</v>
      </c>
      <c r="E3681" s="3" t="n">
        <v>11</v>
      </c>
      <c r="F3681" s="24" t="n">
        <v>-0.595211744</v>
      </c>
    </row>
    <row r="3682" customFormat="false" ht="15" hidden="false" customHeight="false" outlineLevel="0" collapsed="false">
      <c r="A3682" s="3" t="n">
        <v>3681</v>
      </c>
      <c r="B3682" s="3" t="n">
        <v>3680</v>
      </c>
      <c r="C3682" s="3" t="n">
        <v>4</v>
      </c>
      <c r="D3682" s="3" t="n">
        <v>19</v>
      </c>
      <c r="E3682" s="3" t="n">
        <v>12</v>
      </c>
      <c r="F3682" s="24" t="n">
        <v>0.0799307525</v>
      </c>
    </row>
    <row r="3683" customFormat="false" ht="15" hidden="false" customHeight="false" outlineLevel="0" collapsed="false">
      <c r="A3683" s="3" t="n">
        <v>3682</v>
      </c>
      <c r="B3683" s="3" t="n">
        <v>3681</v>
      </c>
      <c r="C3683" s="3" t="n">
        <v>4</v>
      </c>
      <c r="D3683" s="3" t="n">
        <v>19</v>
      </c>
      <c r="E3683" s="3" t="n">
        <v>13</v>
      </c>
      <c r="F3683" s="24" t="n">
        <v>1.25236368</v>
      </c>
    </row>
    <row r="3684" customFormat="false" ht="15" hidden="false" customHeight="false" outlineLevel="0" collapsed="false">
      <c r="A3684" s="3" t="n">
        <v>3683</v>
      </c>
      <c r="B3684" s="3" t="n">
        <v>3682</v>
      </c>
      <c r="C3684" s="3" t="n">
        <v>4</v>
      </c>
      <c r="D3684" s="3" t="n">
        <v>19</v>
      </c>
      <c r="E3684" s="3" t="n">
        <v>14</v>
      </c>
      <c r="F3684" s="24" t="n">
        <v>2.95269585</v>
      </c>
    </row>
    <row r="3685" customFormat="false" ht="15" hidden="false" customHeight="false" outlineLevel="0" collapsed="false">
      <c r="A3685" s="3" t="n">
        <v>3684</v>
      </c>
      <c r="B3685" s="3" t="n">
        <v>3683</v>
      </c>
      <c r="C3685" s="3" t="n">
        <v>4</v>
      </c>
      <c r="D3685" s="3" t="n">
        <v>19</v>
      </c>
      <c r="E3685" s="3" t="n">
        <v>15</v>
      </c>
      <c r="F3685" s="24" t="n">
        <v>2.56841373</v>
      </c>
    </row>
    <row r="3686" customFormat="false" ht="15" hidden="false" customHeight="false" outlineLevel="0" collapsed="false">
      <c r="A3686" s="3" t="n">
        <v>3685</v>
      </c>
      <c r="B3686" s="3" t="n">
        <v>3684</v>
      </c>
      <c r="C3686" s="3" t="n">
        <v>4</v>
      </c>
      <c r="D3686" s="3" t="n">
        <v>19</v>
      </c>
      <c r="E3686" s="3" t="n">
        <v>16</v>
      </c>
      <c r="F3686" s="24" t="n">
        <v>1.31910944</v>
      </c>
    </row>
    <row r="3687" customFormat="false" ht="15" hidden="false" customHeight="false" outlineLevel="0" collapsed="false">
      <c r="A3687" s="3" t="n">
        <v>3686</v>
      </c>
      <c r="B3687" s="3" t="n">
        <v>3685</v>
      </c>
      <c r="C3687" s="3" t="n">
        <v>4</v>
      </c>
      <c r="D3687" s="3" t="n">
        <v>19</v>
      </c>
      <c r="E3687" s="3" t="n">
        <v>17</v>
      </c>
      <c r="F3687" s="24" t="n">
        <v>-0.318190992</v>
      </c>
    </row>
    <row r="3688" customFormat="false" ht="15" hidden="false" customHeight="false" outlineLevel="0" collapsed="false">
      <c r="A3688" s="3" t="n">
        <v>3687</v>
      </c>
      <c r="B3688" s="3" t="n">
        <v>3686</v>
      </c>
      <c r="C3688" s="3" t="n">
        <v>4</v>
      </c>
      <c r="D3688" s="3" t="n">
        <v>19</v>
      </c>
      <c r="E3688" s="3" t="n">
        <v>18</v>
      </c>
      <c r="F3688" s="24" t="n">
        <v>-0.474347264</v>
      </c>
    </row>
    <row r="3689" customFormat="false" ht="15" hidden="false" customHeight="false" outlineLevel="0" collapsed="false">
      <c r="A3689" s="3" t="n">
        <v>3688</v>
      </c>
      <c r="B3689" s="3" t="n">
        <v>3687</v>
      </c>
      <c r="C3689" s="3" t="n">
        <v>4</v>
      </c>
      <c r="D3689" s="3" t="n">
        <v>19</v>
      </c>
      <c r="E3689" s="3" t="n">
        <v>19</v>
      </c>
      <c r="F3689" s="24" t="n">
        <v>-0.605470479</v>
      </c>
    </row>
    <row r="3690" customFormat="false" ht="15" hidden="false" customHeight="false" outlineLevel="0" collapsed="false">
      <c r="A3690" s="3" t="n">
        <v>3689</v>
      </c>
      <c r="B3690" s="3" t="n">
        <v>3688</v>
      </c>
      <c r="C3690" s="3" t="n">
        <v>4</v>
      </c>
      <c r="D3690" s="3" t="n">
        <v>19</v>
      </c>
      <c r="E3690" s="3" t="n">
        <v>20</v>
      </c>
      <c r="F3690" s="24" t="n">
        <v>-0.605470479</v>
      </c>
    </row>
    <row r="3691" customFormat="false" ht="15" hidden="false" customHeight="false" outlineLevel="0" collapsed="false">
      <c r="A3691" s="3" t="n">
        <v>3690</v>
      </c>
      <c r="B3691" s="3" t="n">
        <v>3689</v>
      </c>
      <c r="C3691" s="3" t="n">
        <v>4</v>
      </c>
      <c r="D3691" s="3" t="n">
        <v>19</v>
      </c>
      <c r="E3691" s="3" t="n">
        <v>21</v>
      </c>
      <c r="F3691" s="24" t="n">
        <v>-0.605470479</v>
      </c>
    </row>
    <row r="3692" customFormat="false" ht="15" hidden="false" customHeight="false" outlineLevel="0" collapsed="false">
      <c r="A3692" s="3" t="n">
        <v>3691</v>
      </c>
      <c r="B3692" s="3" t="n">
        <v>3690</v>
      </c>
      <c r="C3692" s="3" t="n">
        <v>4</v>
      </c>
      <c r="D3692" s="3" t="n">
        <v>19</v>
      </c>
      <c r="E3692" s="3" t="n">
        <v>22</v>
      </c>
      <c r="F3692" s="24" t="n">
        <v>-0.605470479</v>
      </c>
    </row>
    <row r="3693" customFormat="false" ht="15" hidden="false" customHeight="false" outlineLevel="0" collapsed="false">
      <c r="A3693" s="3" t="n">
        <v>3692</v>
      </c>
      <c r="B3693" s="3" t="n">
        <v>3691</v>
      </c>
      <c r="C3693" s="3" t="n">
        <v>4</v>
      </c>
      <c r="D3693" s="3" t="n">
        <v>19</v>
      </c>
      <c r="E3693" s="3" t="n">
        <v>23</v>
      </c>
      <c r="F3693" s="24" t="n">
        <v>-0.605470479</v>
      </c>
    </row>
    <row r="3694" customFormat="false" ht="15" hidden="false" customHeight="false" outlineLevel="0" collapsed="false">
      <c r="A3694" s="3" t="n">
        <v>3693</v>
      </c>
      <c r="B3694" s="3" t="n">
        <v>3692</v>
      </c>
      <c r="C3694" s="3" t="n">
        <v>4</v>
      </c>
      <c r="D3694" s="3" t="n">
        <v>19</v>
      </c>
      <c r="E3694" s="3" t="n">
        <v>24</v>
      </c>
      <c r="F3694" s="24" t="n">
        <v>-0.605470479</v>
      </c>
    </row>
    <row r="3695" customFormat="false" ht="15" hidden="false" customHeight="false" outlineLevel="0" collapsed="false">
      <c r="A3695" s="3" t="n">
        <v>3694</v>
      </c>
      <c r="B3695" s="3" t="n">
        <v>3693</v>
      </c>
      <c r="C3695" s="3" t="n">
        <v>4</v>
      </c>
      <c r="D3695" s="3" t="n">
        <v>19</v>
      </c>
      <c r="E3695" s="3" t="n">
        <v>25</v>
      </c>
      <c r="F3695" s="24" t="n">
        <v>-0.605470479</v>
      </c>
    </row>
    <row r="3696" customFormat="false" ht="15" hidden="false" customHeight="false" outlineLevel="0" collapsed="false">
      <c r="A3696" s="3" t="n">
        <v>3695</v>
      </c>
      <c r="B3696" s="3" t="n">
        <v>3694</v>
      </c>
      <c r="C3696" s="3" t="n">
        <v>4</v>
      </c>
      <c r="D3696" s="3" t="n">
        <v>19</v>
      </c>
      <c r="E3696" s="3" t="n">
        <v>26</v>
      </c>
      <c r="F3696" s="24" t="n">
        <v>-0.605470479</v>
      </c>
    </row>
    <row r="3697" customFormat="false" ht="15" hidden="false" customHeight="false" outlineLevel="0" collapsed="false">
      <c r="A3697" s="3" t="n">
        <v>3696</v>
      </c>
      <c r="B3697" s="3" t="n">
        <v>3695</v>
      </c>
      <c r="C3697" s="3" t="n">
        <v>4</v>
      </c>
      <c r="D3697" s="3" t="n">
        <v>19</v>
      </c>
      <c r="E3697" s="3" t="n">
        <v>27</v>
      </c>
      <c r="F3697" s="24" t="n">
        <v>-0.469382077</v>
      </c>
    </row>
    <row r="3698" customFormat="false" ht="15" hidden="false" customHeight="false" outlineLevel="0" collapsed="false">
      <c r="A3698" s="3" t="n">
        <v>3697</v>
      </c>
      <c r="B3698" s="3" t="n">
        <v>3696</v>
      </c>
      <c r="C3698" s="3" t="n">
        <v>4</v>
      </c>
      <c r="D3698" s="3" t="n">
        <v>20</v>
      </c>
      <c r="E3698" s="3" t="n">
        <v>0</v>
      </c>
      <c r="F3698" s="24" t="n">
        <v>-0.515758276</v>
      </c>
    </row>
    <row r="3699" customFormat="false" ht="15" hidden="false" customHeight="false" outlineLevel="0" collapsed="false">
      <c r="A3699" s="3" t="n">
        <v>3698</v>
      </c>
      <c r="B3699" s="3" t="n">
        <v>3697</v>
      </c>
      <c r="C3699" s="3" t="n">
        <v>4</v>
      </c>
      <c r="D3699" s="3" t="n">
        <v>20</v>
      </c>
      <c r="E3699" s="3" t="n">
        <v>1</v>
      </c>
      <c r="F3699" s="24" t="n">
        <v>-0.605470479</v>
      </c>
    </row>
    <row r="3700" customFormat="false" ht="15" hidden="false" customHeight="false" outlineLevel="0" collapsed="false">
      <c r="A3700" s="3" t="n">
        <v>3699</v>
      </c>
      <c r="B3700" s="3" t="n">
        <v>3698</v>
      </c>
      <c r="C3700" s="3" t="n">
        <v>4</v>
      </c>
      <c r="D3700" s="3" t="n">
        <v>20</v>
      </c>
      <c r="E3700" s="3" t="n">
        <v>2</v>
      </c>
      <c r="F3700" s="24" t="n">
        <v>-0.605470479</v>
      </c>
    </row>
    <row r="3701" customFormat="false" ht="15" hidden="false" customHeight="false" outlineLevel="0" collapsed="false">
      <c r="A3701" s="3" t="n">
        <v>3700</v>
      </c>
      <c r="B3701" s="3" t="n">
        <v>3699</v>
      </c>
      <c r="C3701" s="3" t="n">
        <v>4</v>
      </c>
      <c r="D3701" s="3" t="n">
        <v>20</v>
      </c>
      <c r="E3701" s="3" t="n">
        <v>3</v>
      </c>
      <c r="F3701" s="24" t="n">
        <v>-0.605470479</v>
      </c>
    </row>
    <row r="3702" customFormat="false" ht="15" hidden="false" customHeight="false" outlineLevel="0" collapsed="false">
      <c r="A3702" s="3" t="n">
        <v>3701</v>
      </c>
      <c r="B3702" s="3" t="n">
        <v>3700</v>
      </c>
      <c r="C3702" s="3" t="n">
        <v>4</v>
      </c>
      <c r="D3702" s="3" t="n">
        <v>20</v>
      </c>
      <c r="E3702" s="3" t="n">
        <v>4</v>
      </c>
      <c r="F3702" s="24" t="n">
        <v>-0.605470479</v>
      </c>
    </row>
    <row r="3703" customFormat="false" ht="15" hidden="false" customHeight="false" outlineLevel="0" collapsed="false">
      <c r="A3703" s="3" t="n">
        <v>3702</v>
      </c>
      <c r="B3703" s="3" t="n">
        <v>3701</v>
      </c>
      <c r="C3703" s="3" t="n">
        <v>4</v>
      </c>
      <c r="D3703" s="3" t="n">
        <v>20</v>
      </c>
      <c r="E3703" s="3" t="n">
        <v>5</v>
      </c>
      <c r="F3703" s="24" t="n">
        <v>-0.605470479</v>
      </c>
    </row>
    <row r="3704" customFormat="false" ht="15" hidden="false" customHeight="false" outlineLevel="0" collapsed="false">
      <c r="A3704" s="3" t="n">
        <v>3703</v>
      </c>
      <c r="B3704" s="3" t="n">
        <v>3702</v>
      </c>
      <c r="C3704" s="3" t="n">
        <v>4</v>
      </c>
      <c r="D3704" s="3" t="n">
        <v>20</v>
      </c>
      <c r="E3704" s="3" t="n">
        <v>6</v>
      </c>
      <c r="F3704" s="24" t="n">
        <v>-0.605470479</v>
      </c>
    </row>
    <row r="3705" customFormat="false" ht="15" hidden="false" customHeight="false" outlineLevel="0" collapsed="false">
      <c r="A3705" s="3" t="n">
        <v>3704</v>
      </c>
      <c r="B3705" s="3" t="n">
        <v>3703</v>
      </c>
      <c r="C3705" s="3" t="n">
        <v>4</v>
      </c>
      <c r="D3705" s="3" t="n">
        <v>20</v>
      </c>
      <c r="E3705" s="3" t="n">
        <v>7</v>
      </c>
      <c r="F3705" s="24" t="n">
        <v>-0.605470479</v>
      </c>
    </row>
    <row r="3706" customFormat="false" ht="15" hidden="false" customHeight="false" outlineLevel="0" collapsed="false">
      <c r="A3706" s="3" t="n">
        <v>3705</v>
      </c>
      <c r="B3706" s="3" t="n">
        <v>3704</v>
      </c>
      <c r="C3706" s="3" t="n">
        <v>4</v>
      </c>
      <c r="D3706" s="3" t="n">
        <v>20</v>
      </c>
      <c r="E3706" s="3" t="n">
        <v>8</v>
      </c>
      <c r="F3706" s="24" t="n">
        <v>-0.605470479</v>
      </c>
    </row>
    <row r="3707" customFormat="false" ht="15" hidden="false" customHeight="false" outlineLevel="0" collapsed="false">
      <c r="A3707" s="3" t="n">
        <v>3706</v>
      </c>
      <c r="B3707" s="3" t="n">
        <v>3705</v>
      </c>
      <c r="C3707" s="3" t="n">
        <v>4</v>
      </c>
      <c r="D3707" s="3" t="n">
        <v>20</v>
      </c>
      <c r="E3707" s="3" t="n">
        <v>9</v>
      </c>
      <c r="F3707" s="24" t="n">
        <v>-0.605470479</v>
      </c>
    </row>
    <row r="3708" customFormat="false" ht="15" hidden="false" customHeight="false" outlineLevel="0" collapsed="false">
      <c r="A3708" s="3" t="n">
        <v>3707</v>
      </c>
      <c r="B3708" s="3" t="n">
        <v>3706</v>
      </c>
      <c r="C3708" s="3" t="n">
        <v>4</v>
      </c>
      <c r="D3708" s="3" t="n">
        <v>20</v>
      </c>
      <c r="E3708" s="3" t="n">
        <v>10</v>
      </c>
      <c r="F3708" s="24" t="n">
        <v>-0.605470479</v>
      </c>
    </row>
    <row r="3709" customFormat="false" ht="15" hidden="false" customHeight="false" outlineLevel="0" collapsed="false">
      <c r="A3709" s="3" t="n">
        <v>3708</v>
      </c>
      <c r="B3709" s="3" t="n">
        <v>3707</v>
      </c>
      <c r="C3709" s="3" t="n">
        <v>4</v>
      </c>
      <c r="D3709" s="3" t="n">
        <v>20</v>
      </c>
      <c r="E3709" s="3" t="n">
        <v>11</v>
      </c>
      <c r="F3709" s="24" t="n">
        <v>-0.479490399</v>
      </c>
    </row>
    <row r="3710" customFormat="false" ht="15" hidden="false" customHeight="false" outlineLevel="0" collapsed="false">
      <c r="A3710" s="3" t="n">
        <v>3709</v>
      </c>
      <c r="B3710" s="3" t="n">
        <v>3708</v>
      </c>
      <c r="C3710" s="3" t="n">
        <v>4</v>
      </c>
      <c r="D3710" s="3" t="n">
        <v>20</v>
      </c>
      <c r="E3710" s="3" t="n">
        <v>12</v>
      </c>
      <c r="F3710" s="24" t="n">
        <v>0.241739482</v>
      </c>
    </row>
    <row r="3711" customFormat="false" ht="15" hidden="false" customHeight="false" outlineLevel="0" collapsed="false">
      <c r="A3711" s="3" t="n">
        <v>3710</v>
      </c>
      <c r="B3711" s="3" t="n">
        <v>3709</v>
      </c>
      <c r="C3711" s="3" t="n">
        <v>4</v>
      </c>
      <c r="D3711" s="3" t="n">
        <v>20</v>
      </c>
      <c r="E3711" s="3" t="n">
        <v>13</v>
      </c>
      <c r="F3711" s="24" t="n">
        <v>2.13090992</v>
      </c>
    </row>
    <row r="3712" customFormat="false" ht="15" hidden="false" customHeight="false" outlineLevel="0" collapsed="false">
      <c r="A3712" s="3" t="n">
        <v>3711</v>
      </c>
      <c r="B3712" s="3" t="n">
        <v>3710</v>
      </c>
      <c r="C3712" s="3" t="n">
        <v>4</v>
      </c>
      <c r="D3712" s="3" t="n">
        <v>20</v>
      </c>
      <c r="E3712" s="3" t="n">
        <v>14</v>
      </c>
      <c r="F3712" s="24" t="n">
        <v>2.68046045</v>
      </c>
    </row>
    <row r="3713" customFormat="false" ht="15" hidden="false" customHeight="false" outlineLevel="0" collapsed="false">
      <c r="A3713" s="3" t="n">
        <v>3712</v>
      </c>
      <c r="B3713" s="3" t="n">
        <v>3711</v>
      </c>
      <c r="C3713" s="3" t="n">
        <v>4</v>
      </c>
      <c r="D3713" s="3" t="n">
        <v>20</v>
      </c>
      <c r="E3713" s="3" t="n">
        <v>15</v>
      </c>
      <c r="F3713" s="24" t="n">
        <v>1.89515066</v>
      </c>
    </row>
    <row r="3714" customFormat="false" ht="15" hidden="false" customHeight="false" outlineLevel="0" collapsed="false">
      <c r="A3714" s="3" t="n">
        <v>3713</v>
      </c>
      <c r="B3714" s="3" t="n">
        <v>3712</v>
      </c>
      <c r="C3714" s="3" t="n">
        <v>4</v>
      </c>
      <c r="D3714" s="3" t="n">
        <v>20</v>
      </c>
      <c r="E3714" s="3" t="n">
        <v>16</v>
      </c>
      <c r="F3714" s="24" t="n">
        <v>0.153637081</v>
      </c>
    </row>
    <row r="3715" customFormat="false" ht="15" hidden="false" customHeight="false" outlineLevel="0" collapsed="false">
      <c r="A3715" s="3" t="n">
        <v>3714</v>
      </c>
      <c r="B3715" s="3" t="n">
        <v>3713</v>
      </c>
      <c r="C3715" s="3" t="n">
        <v>4</v>
      </c>
      <c r="D3715" s="3" t="n">
        <v>20</v>
      </c>
      <c r="E3715" s="3" t="n">
        <v>17</v>
      </c>
      <c r="F3715" s="24" t="n">
        <v>-0.359373569</v>
      </c>
    </row>
    <row r="3716" customFormat="false" ht="15" hidden="false" customHeight="false" outlineLevel="0" collapsed="false">
      <c r="A3716" s="3" t="n">
        <v>3715</v>
      </c>
      <c r="B3716" s="3" t="n">
        <v>3714</v>
      </c>
      <c r="C3716" s="3" t="n">
        <v>4</v>
      </c>
      <c r="D3716" s="3" t="n">
        <v>20</v>
      </c>
      <c r="E3716" s="3" t="n">
        <v>18</v>
      </c>
      <c r="F3716" s="24" t="n">
        <v>-0.605470479</v>
      </c>
    </row>
    <row r="3717" customFormat="false" ht="15" hidden="false" customHeight="false" outlineLevel="0" collapsed="false">
      <c r="A3717" s="3" t="n">
        <v>3716</v>
      </c>
      <c r="B3717" s="3" t="n">
        <v>3715</v>
      </c>
      <c r="C3717" s="3" t="n">
        <v>4</v>
      </c>
      <c r="D3717" s="3" t="n">
        <v>20</v>
      </c>
      <c r="E3717" s="3" t="n">
        <v>19</v>
      </c>
      <c r="F3717" s="24" t="n">
        <v>-0.605470479</v>
      </c>
    </row>
    <row r="3718" customFormat="false" ht="15" hidden="false" customHeight="false" outlineLevel="0" collapsed="false">
      <c r="A3718" s="3" t="n">
        <v>3717</v>
      </c>
      <c r="B3718" s="3" t="n">
        <v>3716</v>
      </c>
      <c r="C3718" s="3" t="n">
        <v>4</v>
      </c>
      <c r="D3718" s="3" t="n">
        <v>20</v>
      </c>
      <c r="E3718" s="3" t="n">
        <v>20</v>
      </c>
      <c r="F3718" s="24" t="n">
        <v>-0.605470479</v>
      </c>
    </row>
    <row r="3719" customFormat="false" ht="15" hidden="false" customHeight="false" outlineLevel="0" collapsed="false">
      <c r="A3719" s="3" t="n">
        <v>3718</v>
      </c>
      <c r="B3719" s="3" t="n">
        <v>3717</v>
      </c>
      <c r="C3719" s="3" t="n">
        <v>4</v>
      </c>
      <c r="D3719" s="3" t="n">
        <v>20</v>
      </c>
      <c r="E3719" s="3" t="n">
        <v>21</v>
      </c>
      <c r="F3719" s="24" t="n">
        <v>-0.605470479</v>
      </c>
    </row>
    <row r="3720" customFormat="false" ht="15" hidden="false" customHeight="false" outlineLevel="0" collapsed="false">
      <c r="A3720" s="3" t="n">
        <v>3719</v>
      </c>
      <c r="B3720" s="3" t="n">
        <v>3718</v>
      </c>
      <c r="C3720" s="3" t="n">
        <v>4</v>
      </c>
      <c r="D3720" s="3" t="n">
        <v>20</v>
      </c>
      <c r="E3720" s="3" t="n">
        <v>22</v>
      </c>
      <c r="F3720" s="24" t="n">
        <v>-0.605470479</v>
      </c>
    </row>
    <row r="3721" customFormat="false" ht="15" hidden="false" customHeight="false" outlineLevel="0" collapsed="false">
      <c r="A3721" s="3" t="n">
        <v>3720</v>
      </c>
      <c r="B3721" s="3" t="n">
        <v>3719</v>
      </c>
      <c r="C3721" s="3" t="n">
        <v>4</v>
      </c>
      <c r="D3721" s="3" t="n">
        <v>20</v>
      </c>
      <c r="E3721" s="3" t="n">
        <v>23</v>
      </c>
      <c r="F3721" s="24" t="n">
        <v>-0.605470479</v>
      </c>
    </row>
    <row r="3722" customFormat="false" ht="15" hidden="false" customHeight="false" outlineLevel="0" collapsed="false">
      <c r="A3722" s="3" t="n">
        <v>3721</v>
      </c>
      <c r="B3722" s="3" t="n">
        <v>3720</v>
      </c>
      <c r="C3722" s="3" t="n">
        <v>4</v>
      </c>
      <c r="D3722" s="3" t="n">
        <v>20</v>
      </c>
      <c r="E3722" s="3" t="n">
        <v>24</v>
      </c>
      <c r="F3722" s="24" t="n">
        <v>-0.605470479</v>
      </c>
    </row>
    <row r="3723" customFormat="false" ht="15" hidden="false" customHeight="false" outlineLevel="0" collapsed="false">
      <c r="A3723" s="3" t="n">
        <v>3722</v>
      </c>
      <c r="B3723" s="3" t="n">
        <v>3721</v>
      </c>
      <c r="C3723" s="3" t="n">
        <v>4</v>
      </c>
      <c r="D3723" s="3" t="n">
        <v>20</v>
      </c>
      <c r="E3723" s="3" t="n">
        <v>25</v>
      </c>
      <c r="F3723" s="24" t="n">
        <v>-0.605470479</v>
      </c>
    </row>
    <row r="3724" customFormat="false" ht="15" hidden="false" customHeight="false" outlineLevel="0" collapsed="false">
      <c r="A3724" s="3" t="n">
        <v>3723</v>
      </c>
      <c r="B3724" s="3" t="n">
        <v>3722</v>
      </c>
      <c r="C3724" s="3" t="n">
        <v>4</v>
      </c>
      <c r="D3724" s="3" t="n">
        <v>20</v>
      </c>
      <c r="E3724" s="3" t="n">
        <v>26</v>
      </c>
      <c r="F3724" s="24" t="n">
        <v>-0.605470479</v>
      </c>
    </row>
    <row r="3725" customFormat="false" ht="15" hidden="false" customHeight="false" outlineLevel="0" collapsed="false">
      <c r="A3725" s="3" t="n">
        <v>3724</v>
      </c>
      <c r="B3725" s="3" t="n">
        <v>3723</v>
      </c>
      <c r="C3725" s="3" t="n">
        <v>4</v>
      </c>
      <c r="D3725" s="3" t="n">
        <v>20</v>
      </c>
      <c r="E3725" s="3" t="n">
        <v>27</v>
      </c>
      <c r="F3725" s="24" t="n">
        <v>-0.469382077</v>
      </c>
    </row>
    <row r="3726" customFormat="false" ht="15" hidden="false" customHeight="false" outlineLevel="0" collapsed="false">
      <c r="A3726" s="3" t="n">
        <v>3725</v>
      </c>
      <c r="B3726" s="3" t="n">
        <v>3724</v>
      </c>
      <c r="C3726" s="3" t="n">
        <v>4</v>
      </c>
      <c r="D3726" s="3" t="n">
        <v>21</v>
      </c>
      <c r="E3726" s="3" t="n">
        <v>0</v>
      </c>
      <c r="F3726" s="24" t="n">
        <v>-0.515758276</v>
      </c>
    </row>
    <row r="3727" customFormat="false" ht="15" hidden="false" customHeight="false" outlineLevel="0" collapsed="false">
      <c r="A3727" s="3" t="n">
        <v>3726</v>
      </c>
      <c r="B3727" s="3" t="n">
        <v>3725</v>
      </c>
      <c r="C3727" s="3" t="n">
        <v>4</v>
      </c>
      <c r="D3727" s="3" t="n">
        <v>21</v>
      </c>
      <c r="E3727" s="3" t="n">
        <v>1</v>
      </c>
      <c r="F3727" s="24" t="n">
        <v>-0.605470479</v>
      </c>
    </row>
    <row r="3728" customFormat="false" ht="15" hidden="false" customHeight="false" outlineLevel="0" collapsed="false">
      <c r="A3728" s="3" t="n">
        <v>3727</v>
      </c>
      <c r="B3728" s="3" t="n">
        <v>3726</v>
      </c>
      <c r="C3728" s="3" t="n">
        <v>4</v>
      </c>
      <c r="D3728" s="3" t="n">
        <v>21</v>
      </c>
      <c r="E3728" s="3" t="n">
        <v>2</v>
      </c>
      <c r="F3728" s="24" t="n">
        <v>-0.605470479</v>
      </c>
    </row>
    <row r="3729" customFormat="false" ht="15" hidden="false" customHeight="false" outlineLevel="0" collapsed="false">
      <c r="A3729" s="3" t="n">
        <v>3728</v>
      </c>
      <c r="B3729" s="3" t="n">
        <v>3727</v>
      </c>
      <c r="C3729" s="3" t="n">
        <v>4</v>
      </c>
      <c r="D3729" s="3" t="n">
        <v>21</v>
      </c>
      <c r="E3729" s="3" t="n">
        <v>3</v>
      </c>
      <c r="F3729" s="24" t="n">
        <v>-0.605470479</v>
      </c>
    </row>
    <row r="3730" customFormat="false" ht="15" hidden="false" customHeight="false" outlineLevel="0" collapsed="false">
      <c r="A3730" s="3" t="n">
        <v>3729</v>
      </c>
      <c r="B3730" s="3" t="n">
        <v>3728</v>
      </c>
      <c r="C3730" s="3" t="n">
        <v>4</v>
      </c>
      <c r="D3730" s="3" t="n">
        <v>21</v>
      </c>
      <c r="E3730" s="3" t="n">
        <v>4</v>
      </c>
      <c r="F3730" s="24" t="n">
        <v>-0.605470479</v>
      </c>
    </row>
    <row r="3731" customFormat="false" ht="15" hidden="false" customHeight="false" outlineLevel="0" collapsed="false">
      <c r="A3731" s="3" t="n">
        <v>3730</v>
      </c>
      <c r="B3731" s="3" t="n">
        <v>3729</v>
      </c>
      <c r="C3731" s="3" t="n">
        <v>4</v>
      </c>
      <c r="D3731" s="3" t="n">
        <v>21</v>
      </c>
      <c r="E3731" s="3" t="n">
        <v>5</v>
      </c>
      <c r="F3731" s="24" t="n">
        <v>-0.605470479</v>
      </c>
    </row>
    <row r="3732" customFormat="false" ht="15" hidden="false" customHeight="false" outlineLevel="0" collapsed="false">
      <c r="A3732" s="3" t="n">
        <v>3731</v>
      </c>
      <c r="B3732" s="3" t="n">
        <v>3730</v>
      </c>
      <c r="C3732" s="3" t="n">
        <v>4</v>
      </c>
      <c r="D3732" s="3" t="n">
        <v>21</v>
      </c>
      <c r="E3732" s="3" t="n">
        <v>6</v>
      </c>
      <c r="F3732" s="24" t="n">
        <v>-0.605470479</v>
      </c>
    </row>
    <row r="3733" customFormat="false" ht="15" hidden="false" customHeight="false" outlineLevel="0" collapsed="false">
      <c r="A3733" s="3" t="n">
        <v>3732</v>
      </c>
      <c r="B3733" s="3" t="n">
        <v>3731</v>
      </c>
      <c r="C3733" s="3" t="n">
        <v>4</v>
      </c>
      <c r="D3733" s="3" t="n">
        <v>21</v>
      </c>
      <c r="E3733" s="3" t="n">
        <v>7</v>
      </c>
      <c r="F3733" s="24" t="n">
        <v>-0.605470479</v>
      </c>
    </row>
    <row r="3734" customFormat="false" ht="15" hidden="false" customHeight="false" outlineLevel="0" collapsed="false">
      <c r="A3734" s="3" t="n">
        <v>3733</v>
      </c>
      <c r="B3734" s="3" t="n">
        <v>3732</v>
      </c>
      <c r="C3734" s="3" t="n">
        <v>4</v>
      </c>
      <c r="D3734" s="3" t="n">
        <v>21</v>
      </c>
      <c r="E3734" s="3" t="n">
        <v>8</v>
      </c>
      <c r="F3734" s="24" t="n">
        <v>-0.605470479</v>
      </c>
    </row>
    <row r="3735" customFormat="false" ht="15" hidden="false" customHeight="false" outlineLevel="0" collapsed="false">
      <c r="A3735" s="3" t="n">
        <v>3734</v>
      </c>
      <c r="B3735" s="3" t="n">
        <v>3733</v>
      </c>
      <c r="C3735" s="3" t="n">
        <v>4</v>
      </c>
      <c r="D3735" s="3" t="n">
        <v>21</v>
      </c>
      <c r="E3735" s="3" t="n">
        <v>9</v>
      </c>
      <c r="F3735" s="24" t="n">
        <v>-0.605470479</v>
      </c>
    </row>
    <row r="3736" customFormat="false" ht="15" hidden="false" customHeight="false" outlineLevel="0" collapsed="false">
      <c r="A3736" s="3" t="n">
        <v>3735</v>
      </c>
      <c r="B3736" s="3" t="n">
        <v>3734</v>
      </c>
      <c r="C3736" s="3" t="n">
        <v>4</v>
      </c>
      <c r="D3736" s="3" t="n">
        <v>21</v>
      </c>
      <c r="E3736" s="3" t="n">
        <v>10</v>
      </c>
      <c r="F3736" s="24" t="n">
        <v>-0.499463439</v>
      </c>
    </row>
    <row r="3737" customFormat="false" ht="15" hidden="false" customHeight="false" outlineLevel="0" collapsed="false">
      <c r="A3737" s="3" t="n">
        <v>3736</v>
      </c>
      <c r="B3737" s="3" t="n">
        <v>3735</v>
      </c>
      <c r="C3737" s="3" t="n">
        <v>4</v>
      </c>
      <c r="D3737" s="3" t="n">
        <v>21</v>
      </c>
      <c r="E3737" s="3" t="n">
        <v>11</v>
      </c>
      <c r="F3737" s="24" t="n">
        <v>0.2850191</v>
      </c>
    </row>
    <row r="3738" customFormat="false" ht="15" hidden="false" customHeight="false" outlineLevel="0" collapsed="false">
      <c r="A3738" s="3" t="n">
        <v>3737</v>
      </c>
      <c r="B3738" s="3" t="n">
        <v>3736</v>
      </c>
      <c r="C3738" s="3" t="n">
        <v>4</v>
      </c>
      <c r="D3738" s="3" t="n">
        <v>21</v>
      </c>
      <c r="E3738" s="3" t="n">
        <v>12</v>
      </c>
      <c r="F3738" s="24" t="n">
        <v>1.72331214</v>
      </c>
    </row>
    <row r="3739" customFormat="false" ht="15" hidden="false" customHeight="false" outlineLevel="0" collapsed="false">
      <c r="A3739" s="3" t="n">
        <v>3738</v>
      </c>
      <c r="B3739" s="3" t="n">
        <v>3737</v>
      </c>
      <c r="C3739" s="3" t="n">
        <v>4</v>
      </c>
      <c r="D3739" s="3" t="n">
        <v>21</v>
      </c>
      <c r="E3739" s="3" t="n">
        <v>13</v>
      </c>
      <c r="F3739" s="24" t="n">
        <v>3.16677523</v>
      </c>
    </row>
    <row r="3740" customFormat="false" ht="15" hidden="false" customHeight="false" outlineLevel="0" collapsed="false">
      <c r="A3740" s="3" t="n">
        <v>3739</v>
      </c>
      <c r="B3740" s="3" t="n">
        <v>3738</v>
      </c>
      <c r="C3740" s="3" t="n">
        <v>4</v>
      </c>
      <c r="D3740" s="3" t="n">
        <v>21</v>
      </c>
      <c r="E3740" s="3" t="n">
        <v>14</v>
      </c>
      <c r="F3740" s="24" t="n">
        <v>2.14042926</v>
      </c>
    </row>
    <row r="3741" customFormat="false" ht="15" hidden="false" customHeight="false" outlineLevel="0" collapsed="false">
      <c r="A3741" s="3" t="n">
        <v>3740</v>
      </c>
      <c r="B3741" s="3" t="n">
        <v>3739</v>
      </c>
      <c r="C3741" s="3" t="n">
        <v>4</v>
      </c>
      <c r="D3741" s="3" t="n">
        <v>21</v>
      </c>
      <c r="E3741" s="3" t="n">
        <v>15</v>
      </c>
      <c r="F3741" s="24" t="n">
        <v>0.500633657</v>
      </c>
    </row>
    <row r="3742" customFormat="false" ht="15" hidden="false" customHeight="false" outlineLevel="0" collapsed="false">
      <c r="A3742" s="3" t="n">
        <v>3741</v>
      </c>
      <c r="B3742" s="3" t="n">
        <v>3740</v>
      </c>
      <c r="C3742" s="3" t="n">
        <v>4</v>
      </c>
      <c r="D3742" s="3" t="n">
        <v>21</v>
      </c>
      <c r="E3742" s="3" t="n">
        <v>16</v>
      </c>
      <c r="F3742" s="24" t="n">
        <v>-0.255090117</v>
      </c>
    </row>
    <row r="3743" customFormat="false" ht="15" hidden="false" customHeight="false" outlineLevel="0" collapsed="false">
      <c r="A3743" s="3" t="n">
        <v>3742</v>
      </c>
      <c r="B3743" s="3" t="n">
        <v>3741</v>
      </c>
      <c r="C3743" s="3" t="n">
        <v>4</v>
      </c>
      <c r="D3743" s="3" t="n">
        <v>21</v>
      </c>
      <c r="E3743" s="3" t="n">
        <v>17</v>
      </c>
      <c r="F3743" s="24" t="n">
        <v>-0.524956226</v>
      </c>
    </row>
    <row r="3744" customFormat="false" ht="15" hidden="false" customHeight="false" outlineLevel="0" collapsed="false">
      <c r="A3744" s="3" t="n">
        <v>3743</v>
      </c>
      <c r="B3744" s="3" t="n">
        <v>3742</v>
      </c>
      <c r="C3744" s="3" t="n">
        <v>4</v>
      </c>
      <c r="D3744" s="3" t="n">
        <v>21</v>
      </c>
      <c r="E3744" s="3" t="n">
        <v>18</v>
      </c>
      <c r="F3744" s="24" t="n">
        <v>-0.605470479</v>
      </c>
    </row>
    <row r="3745" customFormat="false" ht="15" hidden="false" customHeight="false" outlineLevel="0" collapsed="false">
      <c r="A3745" s="3" t="n">
        <v>3744</v>
      </c>
      <c r="B3745" s="3" t="n">
        <v>3743</v>
      </c>
      <c r="C3745" s="3" t="n">
        <v>4</v>
      </c>
      <c r="D3745" s="3" t="n">
        <v>21</v>
      </c>
      <c r="E3745" s="3" t="n">
        <v>19</v>
      </c>
      <c r="F3745" s="24" t="n">
        <v>-0.605470479</v>
      </c>
    </row>
    <row r="3746" customFormat="false" ht="15" hidden="false" customHeight="false" outlineLevel="0" collapsed="false">
      <c r="A3746" s="3" t="n">
        <v>3745</v>
      </c>
      <c r="B3746" s="3" t="n">
        <v>3744</v>
      </c>
      <c r="C3746" s="3" t="n">
        <v>4</v>
      </c>
      <c r="D3746" s="3" t="n">
        <v>21</v>
      </c>
      <c r="E3746" s="3" t="n">
        <v>20</v>
      </c>
      <c r="F3746" s="24" t="n">
        <v>-0.605470479</v>
      </c>
    </row>
    <row r="3747" customFormat="false" ht="15" hidden="false" customHeight="false" outlineLevel="0" collapsed="false">
      <c r="A3747" s="3" t="n">
        <v>3746</v>
      </c>
      <c r="B3747" s="3" t="n">
        <v>3745</v>
      </c>
      <c r="C3747" s="3" t="n">
        <v>4</v>
      </c>
      <c r="D3747" s="3" t="n">
        <v>21</v>
      </c>
      <c r="E3747" s="3" t="n">
        <v>21</v>
      </c>
      <c r="F3747" s="24" t="n">
        <v>-0.605470479</v>
      </c>
    </row>
    <row r="3748" customFormat="false" ht="15" hidden="false" customHeight="false" outlineLevel="0" collapsed="false">
      <c r="A3748" s="3" t="n">
        <v>3747</v>
      </c>
      <c r="B3748" s="3" t="n">
        <v>3746</v>
      </c>
      <c r="C3748" s="3" t="n">
        <v>4</v>
      </c>
      <c r="D3748" s="3" t="n">
        <v>21</v>
      </c>
      <c r="E3748" s="3" t="n">
        <v>22</v>
      </c>
      <c r="F3748" s="24" t="n">
        <v>-0.605470479</v>
      </c>
    </row>
    <row r="3749" customFormat="false" ht="15" hidden="false" customHeight="false" outlineLevel="0" collapsed="false">
      <c r="A3749" s="3" t="n">
        <v>3748</v>
      </c>
      <c r="B3749" s="3" t="n">
        <v>3747</v>
      </c>
      <c r="C3749" s="3" t="n">
        <v>4</v>
      </c>
      <c r="D3749" s="3" t="n">
        <v>21</v>
      </c>
      <c r="E3749" s="3" t="n">
        <v>23</v>
      </c>
      <c r="F3749" s="24" t="n">
        <v>-0.605470479</v>
      </c>
    </row>
    <row r="3750" customFormat="false" ht="15" hidden="false" customHeight="false" outlineLevel="0" collapsed="false">
      <c r="A3750" s="3" t="n">
        <v>3749</v>
      </c>
      <c r="B3750" s="3" t="n">
        <v>3748</v>
      </c>
      <c r="C3750" s="3" t="n">
        <v>4</v>
      </c>
      <c r="D3750" s="3" t="n">
        <v>21</v>
      </c>
      <c r="E3750" s="3" t="n">
        <v>24</v>
      </c>
      <c r="F3750" s="24" t="n">
        <v>-0.605470479</v>
      </c>
    </row>
    <row r="3751" customFormat="false" ht="15" hidden="false" customHeight="false" outlineLevel="0" collapsed="false">
      <c r="A3751" s="3" t="n">
        <v>3750</v>
      </c>
      <c r="B3751" s="3" t="n">
        <v>3749</v>
      </c>
      <c r="C3751" s="3" t="n">
        <v>4</v>
      </c>
      <c r="D3751" s="3" t="n">
        <v>21</v>
      </c>
      <c r="E3751" s="3" t="n">
        <v>25</v>
      </c>
      <c r="F3751" s="24" t="n">
        <v>-0.605470479</v>
      </c>
    </row>
    <row r="3752" customFormat="false" ht="15" hidden="false" customHeight="false" outlineLevel="0" collapsed="false">
      <c r="A3752" s="3" t="n">
        <v>3751</v>
      </c>
      <c r="B3752" s="3" t="n">
        <v>3750</v>
      </c>
      <c r="C3752" s="3" t="n">
        <v>4</v>
      </c>
      <c r="D3752" s="3" t="n">
        <v>21</v>
      </c>
      <c r="E3752" s="3" t="n">
        <v>26</v>
      </c>
      <c r="F3752" s="24" t="n">
        <v>-0.605470479</v>
      </c>
    </row>
    <row r="3753" customFormat="false" ht="15" hidden="false" customHeight="false" outlineLevel="0" collapsed="false">
      <c r="A3753" s="3" t="n">
        <v>3752</v>
      </c>
      <c r="B3753" s="3" t="n">
        <v>3751</v>
      </c>
      <c r="C3753" s="3" t="n">
        <v>4</v>
      </c>
      <c r="D3753" s="3" t="n">
        <v>21</v>
      </c>
      <c r="E3753" s="3" t="n">
        <v>27</v>
      </c>
      <c r="F3753" s="24" t="n">
        <v>-0.469382077</v>
      </c>
    </row>
    <row r="3754" customFormat="false" ht="15" hidden="false" customHeight="false" outlineLevel="0" collapsed="false">
      <c r="A3754" s="3" t="n">
        <v>3753</v>
      </c>
      <c r="B3754" s="3" t="n">
        <v>3752</v>
      </c>
      <c r="C3754" s="3" t="n">
        <v>4</v>
      </c>
      <c r="D3754" s="3" t="n">
        <v>22</v>
      </c>
      <c r="E3754" s="3" t="n">
        <v>0</v>
      </c>
      <c r="F3754" s="24" t="n">
        <v>-0.515758276</v>
      </c>
    </row>
    <row r="3755" customFormat="false" ht="15" hidden="false" customHeight="false" outlineLevel="0" collapsed="false">
      <c r="A3755" s="3" t="n">
        <v>3754</v>
      </c>
      <c r="B3755" s="3" t="n">
        <v>3753</v>
      </c>
      <c r="C3755" s="3" t="n">
        <v>4</v>
      </c>
      <c r="D3755" s="3" t="n">
        <v>22</v>
      </c>
      <c r="E3755" s="3" t="n">
        <v>1</v>
      </c>
      <c r="F3755" s="24" t="n">
        <v>-0.605470479</v>
      </c>
    </row>
    <row r="3756" customFormat="false" ht="15" hidden="false" customHeight="false" outlineLevel="0" collapsed="false">
      <c r="A3756" s="3" t="n">
        <v>3755</v>
      </c>
      <c r="B3756" s="3" t="n">
        <v>3754</v>
      </c>
      <c r="C3756" s="3" t="n">
        <v>4</v>
      </c>
      <c r="D3756" s="3" t="n">
        <v>22</v>
      </c>
      <c r="E3756" s="3" t="n">
        <v>2</v>
      </c>
      <c r="F3756" s="24" t="n">
        <v>-0.605470479</v>
      </c>
    </row>
    <row r="3757" customFormat="false" ht="15" hidden="false" customHeight="false" outlineLevel="0" collapsed="false">
      <c r="A3757" s="3" t="n">
        <v>3756</v>
      </c>
      <c r="B3757" s="3" t="n">
        <v>3755</v>
      </c>
      <c r="C3757" s="3" t="n">
        <v>4</v>
      </c>
      <c r="D3757" s="3" t="n">
        <v>22</v>
      </c>
      <c r="E3757" s="3" t="n">
        <v>3</v>
      </c>
      <c r="F3757" s="24" t="n">
        <v>-0.605470479</v>
      </c>
    </row>
    <row r="3758" customFormat="false" ht="15" hidden="false" customHeight="false" outlineLevel="0" collapsed="false">
      <c r="A3758" s="3" t="n">
        <v>3757</v>
      </c>
      <c r="B3758" s="3" t="n">
        <v>3756</v>
      </c>
      <c r="C3758" s="3" t="n">
        <v>4</v>
      </c>
      <c r="D3758" s="3" t="n">
        <v>22</v>
      </c>
      <c r="E3758" s="3" t="n">
        <v>4</v>
      </c>
      <c r="F3758" s="24" t="n">
        <v>-0.605470479</v>
      </c>
    </row>
    <row r="3759" customFormat="false" ht="15" hidden="false" customHeight="false" outlineLevel="0" collapsed="false">
      <c r="A3759" s="3" t="n">
        <v>3758</v>
      </c>
      <c r="B3759" s="3" t="n">
        <v>3757</v>
      </c>
      <c r="C3759" s="3" t="n">
        <v>4</v>
      </c>
      <c r="D3759" s="3" t="n">
        <v>22</v>
      </c>
      <c r="E3759" s="3" t="n">
        <v>5</v>
      </c>
      <c r="F3759" s="24" t="n">
        <v>-0.605470479</v>
      </c>
    </row>
    <row r="3760" customFormat="false" ht="15" hidden="false" customHeight="false" outlineLevel="0" collapsed="false">
      <c r="A3760" s="3" t="n">
        <v>3759</v>
      </c>
      <c r="B3760" s="3" t="n">
        <v>3758</v>
      </c>
      <c r="C3760" s="3" t="n">
        <v>4</v>
      </c>
      <c r="D3760" s="3" t="n">
        <v>22</v>
      </c>
      <c r="E3760" s="3" t="n">
        <v>6</v>
      </c>
      <c r="F3760" s="24" t="n">
        <v>-0.605470479</v>
      </c>
    </row>
    <row r="3761" customFormat="false" ht="15" hidden="false" customHeight="false" outlineLevel="0" collapsed="false">
      <c r="A3761" s="3" t="n">
        <v>3760</v>
      </c>
      <c r="B3761" s="3" t="n">
        <v>3759</v>
      </c>
      <c r="C3761" s="3" t="n">
        <v>4</v>
      </c>
      <c r="D3761" s="3" t="n">
        <v>22</v>
      </c>
      <c r="E3761" s="3" t="n">
        <v>7</v>
      </c>
      <c r="F3761" s="24" t="n">
        <v>-0.605470479</v>
      </c>
    </row>
    <row r="3762" customFormat="false" ht="15" hidden="false" customHeight="false" outlineLevel="0" collapsed="false">
      <c r="A3762" s="3" t="n">
        <v>3761</v>
      </c>
      <c r="B3762" s="3" t="n">
        <v>3760</v>
      </c>
      <c r="C3762" s="3" t="n">
        <v>4</v>
      </c>
      <c r="D3762" s="3" t="n">
        <v>22</v>
      </c>
      <c r="E3762" s="3" t="n">
        <v>8</v>
      </c>
      <c r="F3762" s="24" t="n">
        <v>-0.605470479</v>
      </c>
    </row>
    <row r="3763" customFormat="false" ht="15" hidden="false" customHeight="false" outlineLevel="0" collapsed="false">
      <c r="A3763" s="3" t="n">
        <v>3762</v>
      </c>
      <c r="B3763" s="3" t="n">
        <v>3761</v>
      </c>
      <c r="C3763" s="3" t="n">
        <v>4</v>
      </c>
      <c r="D3763" s="3" t="n">
        <v>22</v>
      </c>
      <c r="E3763" s="3" t="n">
        <v>9</v>
      </c>
      <c r="F3763" s="24" t="n">
        <v>-0.605470479</v>
      </c>
    </row>
    <row r="3764" customFormat="false" ht="15" hidden="false" customHeight="false" outlineLevel="0" collapsed="false">
      <c r="A3764" s="3" t="n">
        <v>3763</v>
      </c>
      <c r="B3764" s="3" t="n">
        <v>3762</v>
      </c>
      <c r="C3764" s="3" t="n">
        <v>4</v>
      </c>
      <c r="D3764" s="3" t="n">
        <v>22</v>
      </c>
      <c r="E3764" s="3" t="n">
        <v>10</v>
      </c>
      <c r="F3764" s="24" t="n">
        <v>-0.191627651</v>
      </c>
    </row>
    <row r="3765" customFormat="false" ht="15" hidden="false" customHeight="false" outlineLevel="0" collapsed="false">
      <c r="A3765" s="3" t="n">
        <v>3764</v>
      </c>
      <c r="B3765" s="3" t="n">
        <v>3763</v>
      </c>
      <c r="C3765" s="3" t="n">
        <v>4</v>
      </c>
      <c r="D3765" s="3" t="n">
        <v>22</v>
      </c>
      <c r="E3765" s="3" t="n">
        <v>11</v>
      </c>
      <c r="F3765" s="24" t="n">
        <v>0.790225029</v>
      </c>
    </row>
    <row r="3766" customFormat="false" ht="15" hidden="false" customHeight="false" outlineLevel="0" collapsed="false">
      <c r="A3766" s="3" t="n">
        <v>3765</v>
      </c>
      <c r="B3766" s="3" t="n">
        <v>3764</v>
      </c>
      <c r="C3766" s="3" t="n">
        <v>4</v>
      </c>
      <c r="D3766" s="3" t="n">
        <v>22</v>
      </c>
      <c r="E3766" s="3" t="n">
        <v>12</v>
      </c>
      <c r="F3766" s="24" t="n">
        <v>2.5860641</v>
      </c>
    </row>
    <row r="3767" customFormat="false" ht="15" hidden="false" customHeight="false" outlineLevel="0" collapsed="false">
      <c r="A3767" s="3" t="n">
        <v>3766</v>
      </c>
      <c r="B3767" s="3" t="n">
        <v>3765</v>
      </c>
      <c r="C3767" s="3" t="n">
        <v>4</v>
      </c>
      <c r="D3767" s="3" t="n">
        <v>22</v>
      </c>
      <c r="E3767" s="3" t="n">
        <v>13</v>
      </c>
      <c r="F3767" s="24" t="n">
        <v>2.82759452</v>
      </c>
    </row>
    <row r="3768" customFormat="false" ht="15" hidden="false" customHeight="false" outlineLevel="0" collapsed="false">
      <c r="A3768" s="3" t="n">
        <v>3767</v>
      </c>
      <c r="B3768" s="3" t="n">
        <v>3766</v>
      </c>
      <c r="C3768" s="3" t="n">
        <v>4</v>
      </c>
      <c r="D3768" s="3" t="n">
        <v>22</v>
      </c>
      <c r="E3768" s="3" t="n">
        <v>14</v>
      </c>
      <c r="F3768" s="24" t="n">
        <v>1.62391591</v>
      </c>
    </row>
    <row r="3769" customFormat="false" ht="15" hidden="false" customHeight="false" outlineLevel="0" collapsed="false">
      <c r="A3769" s="3" t="n">
        <v>3768</v>
      </c>
      <c r="B3769" s="3" t="n">
        <v>3767</v>
      </c>
      <c r="C3769" s="3" t="n">
        <v>4</v>
      </c>
      <c r="D3769" s="3" t="n">
        <v>22</v>
      </c>
      <c r="E3769" s="3" t="n">
        <v>15</v>
      </c>
      <c r="F3769" s="24" t="n">
        <v>0.0657942817</v>
      </c>
    </row>
    <row r="3770" customFormat="false" ht="15" hidden="false" customHeight="false" outlineLevel="0" collapsed="false">
      <c r="A3770" s="3" t="n">
        <v>3769</v>
      </c>
      <c r="B3770" s="3" t="n">
        <v>3768</v>
      </c>
      <c r="C3770" s="3" t="n">
        <v>4</v>
      </c>
      <c r="D3770" s="3" t="n">
        <v>22</v>
      </c>
      <c r="E3770" s="3" t="n">
        <v>16</v>
      </c>
      <c r="F3770" s="24" t="n">
        <v>-0.432218283</v>
      </c>
    </row>
    <row r="3771" customFormat="false" ht="15" hidden="false" customHeight="false" outlineLevel="0" collapsed="false">
      <c r="A3771" s="3" t="n">
        <v>3770</v>
      </c>
      <c r="B3771" s="3" t="n">
        <v>3769</v>
      </c>
      <c r="C3771" s="3" t="n">
        <v>4</v>
      </c>
      <c r="D3771" s="3" t="n">
        <v>22</v>
      </c>
      <c r="E3771" s="3" t="n">
        <v>17</v>
      </c>
      <c r="F3771" s="24" t="n">
        <v>-0.605470479</v>
      </c>
    </row>
    <row r="3772" customFormat="false" ht="15" hidden="false" customHeight="false" outlineLevel="0" collapsed="false">
      <c r="A3772" s="3" t="n">
        <v>3771</v>
      </c>
      <c r="B3772" s="3" t="n">
        <v>3770</v>
      </c>
      <c r="C3772" s="3" t="n">
        <v>4</v>
      </c>
      <c r="D3772" s="3" t="n">
        <v>22</v>
      </c>
      <c r="E3772" s="3" t="n">
        <v>18</v>
      </c>
      <c r="F3772" s="24" t="n">
        <v>-0.605470479</v>
      </c>
    </row>
    <row r="3773" customFormat="false" ht="15" hidden="false" customHeight="false" outlineLevel="0" collapsed="false">
      <c r="A3773" s="3" t="n">
        <v>3772</v>
      </c>
      <c r="B3773" s="3" t="n">
        <v>3771</v>
      </c>
      <c r="C3773" s="3" t="n">
        <v>4</v>
      </c>
      <c r="D3773" s="3" t="n">
        <v>22</v>
      </c>
      <c r="E3773" s="3" t="n">
        <v>19</v>
      </c>
      <c r="F3773" s="24" t="n">
        <v>-0.605470479</v>
      </c>
    </row>
    <row r="3774" customFormat="false" ht="15" hidden="false" customHeight="false" outlineLevel="0" collapsed="false">
      <c r="A3774" s="3" t="n">
        <v>3773</v>
      </c>
      <c r="B3774" s="3" t="n">
        <v>3772</v>
      </c>
      <c r="C3774" s="3" t="n">
        <v>4</v>
      </c>
      <c r="D3774" s="3" t="n">
        <v>22</v>
      </c>
      <c r="E3774" s="3" t="n">
        <v>20</v>
      </c>
      <c r="F3774" s="24" t="n">
        <v>-0.605470479</v>
      </c>
    </row>
    <row r="3775" customFormat="false" ht="15" hidden="false" customHeight="false" outlineLevel="0" collapsed="false">
      <c r="A3775" s="3" t="n">
        <v>3774</v>
      </c>
      <c r="B3775" s="3" t="n">
        <v>3773</v>
      </c>
      <c r="C3775" s="3" t="n">
        <v>4</v>
      </c>
      <c r="D3775" s="3" t="n">
        <v>22</v>
      </c>
      <c r="E3775" s="3" t="n">
        <v>21</v>
      </c>
      <c r="F3775" s="24" t="n">
        <v>-0.605470479</v>
      </c>
    </row>
    <row r="3776" customFormat="false" ht="15" hidden="false" customHeight="false" outlineLevel="0" collapsed="false">
      <c r="A3776" s="3" t="n">
        <v>3775</v>
      </c>
      <c r="B3776" s="3" t="n">
        <v>3774</v>
      </c>
      <c r="C3776" s="3" t="n">
        <v>4</v>
      </c>
      <c r="D3776" s="3" t="n">
        <v>22</v>
      </c>
      <c r="E3776" s="3" t="n">
        <v>22</v>
      </c>
      <c r="F3776" s="24" t="n">
        <v>-0.605470479</v>
      </c>
    </row>
    <row r="3777" customFormat="false" ht="15" hidden="false" customHeight="false" outlineLevel="0" collapsed="false">
      <c r="A3777" s="3" t="n">
        <v>3776</v>
      </c>
      <c r="B3777" s="3" t="n">
        <v>3775</v>
      </c>
      <c r="C3777" s="3" t="n">
        <v>4</v>
      </c>
      <c r="D3777" s="3" t="n">
        <v>22</v>
      </c>
      <c r="E3777" s="3" t="n">
        <v>23</v>
      </c>
      <c r="F3777" s="24" t="n">
        <v>-0.605470479</v>
      </c>
    </row>
    <row r="3778" customFormat="false" ht="15" hidden="false" customHeight="false" outlineLevel="0" collapsed="false">
      <c r="A3778" s="3" t="n">
        <v>3777</v>
      </c>
      <c r="B3778" s="3" t="n">
        <v>3776</v>
      </c>
      <c r="C3778" s="3" t="n">
        <v>4</v>
      </c>
      <c r="D3778" s="3" t="n">
        <v>22</v>
      </c>
      <c r="E3778" s="3" t="n">
        <v>24</v>
      </c>
      <c r="F3778" s="24" t="n">
        <v>-0.605470479</v>
      </c>
    </row>
    <row r="3779" customFormat="false" ht="15" hidden="false" customHeight="false" outlineLevel="0" collapsed="false">
      <c r="A3779" s="3" t="n">
        <v>3778</v>
      </c>
      <c r="B3779" s="3" t="n">
        <v>3777</v>
      </c>
      <c r="C3779" s="3" t="n">
        <v>4</v>
      </c>
      <c r="D3779" s="3" t="n">
        <v>22</v>
      </c>
      <c r="E3779" s="3" t="n">
        <v>25</v>
      </c>
      <c r="F3779" s="24" t="n">
        <v>-0.605470479</v>
      </c>
    </row>
    <row r="3780" customFormat="false" ht="15" hidden="false" customHeight="false" outlineLevel="0" collapsed="false">
      <c r="A3780" s="3" t="n">
        <v>3779</v>
      </c>
      <c r="B3780" s="3" t="n">
        <v>3778</v>
      </c>
      <c r="C3780" s="3" t="n">
        <v>4</v>
      </c>
      <c r="D3780" s="3" t="n">
        <v>22</v>
      </c>
      <c r="E3780" s="3" t="n">
        <v>26</v>
      </c>
      <c r="F3780" s="24" t="n">
        <v>-0.605470479</v>
      </c>
    </row>
    <row r="3781" customFormat="false" ht="15" hidden="false" customHeight="false" outlineLevel="0" collapsed="false">
      <c r="A3781" s="3" t="n">
        <v>3780</v>
      </c>
      <c r="B3781" s="3" t="n">
        <v>3779</v>
      </c>
      <c r="C3781" s="3" t="n">
        <v>4</v>
      </c>
      <c r="D3781" s="3" t="n">
        <v>22</v>
      </c>
      <c r="E3781" s="3" t="n">
        <v>27</v>
      </c>
      <c r="F3781" s="24" t="n">
        <v>-0.469382077</v>
      </c>
    </row>
    <row r="3782" customFormat="false" ht="15" hidden="false" customHeight="false" outlineLevel="0" collapsed="false">
      <c r="A3782" s="3" t="n">
        <v>3781</v>
      </c>
      <c r="B3782" s="3" t="n">
        <v>3780</v>
      </c>
      <c r="C3782" s="3" t="n">
        <v>4</v>
      </c>
      <c r="D3782" s="3" t="n">
        <v>23</v>
      </c>
      <c r="E3782" s="3" t="n">
        <v>0</v>
      </c>
      <c r="F3782" s="24" t="n">
        <v>-0.515758276</v>
      </c>
    </row>
    <row r="3783" customFormat="false" ht="15" hidden="false" customHeight="false" outlineLevel="0" collapsed="false">
      <c r="A3783" s="3" t="n">
        <v>3782</v>
      </c>
      <c r="B3783" s="3" t="n">
        <v>3781</v>
      </c>
      <c r="C3783" s="3" t="n">
        <v>4</v>
      </c>
      <c r="D3783" s="3" t="n">
        <v>23</v>
      </c>
      <c r="E3783" s="3" t="n">
        <v>1</v>
      </c>
      <c r="F3783" s="24" t="n">
        <v>-0.605470479</v>
      </c>
    </row>
    <row r="3784" customFormat="false" ht="15" hidden="false" customHeight="false" outlineLevel="0" collapsed="false">
      <c r="A3784" s="3" t="n">
        <v>3783</v>
      </c>
      <c r="B3784" s="3" t="n">
        <v>3782</v>
      </c>
      <c r="C3784" s="3" t="n">
        <v>4</v>
      </c>
      <c r="D3784" s="3" t="n">
        <v>23</v>
      </c>
      <c r="E3784" s="3" t="n">
        <v>2</v>
      </c>
      <c r="F3784" s="24" t="n">
        <v>-0.605470479</v>
      </c>
    </row>
    <row r="3785" customFormat="false" ht="15" hidden="false" customHeight="false" outlineLevel="0" collapsed="false">
      <c r="A3785" s="3" t="n">
        <v>3784</v>
      </c>
      <c r="B3785" s="3" t="n">
        <v>3783</v>
      </c>
      <c r="C3785" s="3" t="n">
        <v>4</v>
      </c>
      <c r="D3785" s="3" t="n">
        <v>23</v>
      </c>
      <c r="E3785" s="3" t="n">
        <v>3</v>
      </c>
      <c r="F3785" s="24" t="n">
        <v>-0.605470479</v>
      </c>
    </row>
    <row r="3786" customFormat="false" ht="15" hidden="false" customHeight="false" outlineLevel="0" collapsed="false">
      <c r="A3786" s="3" t="n">
        <v>3785</v>
      </c>
      <c r="B3786" s="3" t="n">
        <v>3784</v>
      </c>
      <c r="C3786" s="3" t="n">
        <v>4</v>
      </c>
      <c r="D3786" s="3" t="n">
        <v>23</v>
      </c>
      <c r="E3786" s="3" t="n">
        <v>4</v>
      </c>
      <c r="F3786" s="24" t="n">
        <v>-0.605470479</v>
      </c>
    </row>
    <row r="3787" customFormat="false" ht="15" hidden="false" customHeight="false" outlineLevel="0" collapsed="false">
      <c r="A3787" s="3" t="n">
        <v>3786</v>
      </c>
      <c r="B3787" s="3" t="n">
        <v>3785</v>
      </c>
      <c r="C3787" s="3" t="n">
        <v>4</v>
      </c>
      <c r="D3787" s="3" t="n">
        <v>23</v>
      </c>
      <c r="E3787" s="3" t="n">
        <v>5</v>
      </c>
      <c r="F3787" s="24" t="n">
        <v>-0.605470479</v>
      </c>
    </row>
    <row r="3788" customFormat="false" ht="15" hidden="false" customHeight="false" outlineLevel="0" collapsed="false">
      <c r="A3788" s="3" t="n">
        <v>3787</v>
      </c>
      <c r="B3788" s="3" t="n">
        <v>3786</v>
      </c>
      <c r="C3788" s="3" t="n">
        <v>4</v>
      </c>
      <c r="D3788" s="3" t="n">
        <v>23</v>
      </c>
      <c r="E3788" s="3" t="n">
        <v>6</v>
      </c>
      <c r="F3788" s="24" t="n">
        <v>-0.605470479</v>
      </c>
    </row>
    <row r="3789" customFormat="false" ht="15" hidden="false" customHeight="false" outlineLevel="0" collapsed="false">
      <c r="A3789" s="3" t="n">
        <v>3788</v>
      </c>
      <c r="B3789" s="3" t="n">
        <v>3787</v>
      </c>
      <c r="C3789" s="3" t="n">
        <v>4</v>
      </c>
      <c r="D3789" s="3" t="n">
        <v>23</v>
      </c>
      <c r="E3789" s="3" t="n">
        <v>7</v>
      </c>
      <c r="F3789" s="24" t="n">
        <v>-0.605470479</v>
      </c>
    </row>
    <row r="3790" customFormat="false" ht="15" hidden="false" customHeight="false" outlineLevel="0" collapsed="false">
      <c r="A3790" s="3" t="n">
        <v>3789</v>
      </c>
      <c r="B3790" s="3" t="n">
        <v>3788</v>
      </c>
      <c r="C3790" s="3" t="n">
        <v>4</v>
      </c>
      <c r="D3790" s="3" t="n">
        <v>23</v>
      </c>
      <c r="E3790" s="3" t="n">
        <v>8</v>
      </c>
      <c r="F3790" s="24" t="n">
        <v>-0.605470479</v>
      </c>
    </row>
    <row r="3791" customFormat="false" ht="15" hidden="false" customHeight="false" outlineLevel="0" collapsed="false">
      <c r="A3791" s="3" t="n">
        <v>3790</v>
      </c>
      <c r="B3791" s="3" t="n">
        <v>3789</v>
      </c>
      <c r="C3791" s="3" t="n">
        <v>4</v>
      </c>
      <c r="D3791" s="3" t="n">
        <v>23</v>
      </c>
      <c r="E3791" s="3" t="n">
        <v>9</v>
      </c>
      <c r="F3791" s="24" t="n">
        <v>-0.396875978</v>
      </c>
    </row>
    <row r="3792" customFormat="false" ht="15" hidden="false" customHeight="false" outlineLevel="0" collapsed="false">
      <c r="A3792" s="3" t="n">
        <v>3791</v>
      </c>
      <c r="B3792" s="3" t="n">
        <v>3790</v>
      </c>
      <c r="C3792" s="3" t="n">
        <v>4</v>
      </c>
      <c r="D3792" s="3" t="n">
        <v>23</v>
      </c>
      <c r="E3792" s="3" t="n">
        <v>10</v>
      </c>
      <c r="F3792" s="24" t="n">
        <v>0.43993935</v>
      </c>
    </row>
    <row r="3793" customFormat="false" ht="15" hidden="false" customHeight="false" outlineLevel="0" collapsed="false">
      <c r="A3793" s="3" t="n">
        <v>3792</v>
      </c>
      <c r="B3793" s="3" t="n">
        <v>3791</v>
      </c>
      <c r="C3793" s="3" t="n">
        <v>4</v>
      </c>
      <c r="D3793" s="3" t="n">
        <v>23</v>
      </c>
      <c r="E3793" s="3" t="n">
        <v>11</v>
      </c>
      <c r="F3793" s="24" t="n">
        <v>2.17636347</v>
      </c>
    </row>
    <row r="3794" customFormat="false" ht="15" hidden="false" customHeight="false" outlineLevel="0" collapsed="false">
      <c r="A3794" s="3" t="n">
        <v>3793</v>
      </c>
      <c r="B3794" s="3" t="n">
        <v>3792</v>
      </c>
      <c r="C3794" s="3" t="n">
        <v>4</v>
      </c>
      <c r="D3794" s="3" t="n">
        <v>23</v>
      </c>
      <c r="E3794" s="3" t="n">
        <v>12</v>
      </c>
      <c r="F3794" s="24" t="n">
        <v>3.4994669</v>
      </c>
    </row>
    <row r="3795" customFormat="false" ht="15" hidden="false" customHeight="false" outlineLevel="0" collapsed="false">
      <c r="A3795" s="3" t="n">
        <v>3794</v>
      </c>
      <c r="B3795" s="3" t="n">
        <v>3793</v>
      </c>
      <c r="C3795" s="3" t="n">
        <v>4</v>
      </c>
      <c r="D3795" s="3" t="n">
        <v>23</v>
      </c>
      <c r="E3795" s="3" t="n">
        <v>13</v>
      </c>
      <c r="F3795" s="24" t="n">
        <v>2.94642401</v>
      </c>
    </row>
    <row r="3796" customFormat="false" ht="15" hidden="false" customHeight="false" outlineLevel="0" collapsed="false">
      <c r="A3796" s="3" t="n">
        <v>3795</v>
      </c>
      <c r="B3796" s="3" t="n">
        <v>3794</v>
      </c>
      <c r="C3796" s="3" t="n">
        <v>4</v>
      </c>
      <c r="D3796" s="3" t="n">
        <v>23</v>
      </c>
      <c r="E3796" s="3" t="n">
        <v>14</v>
      </c>
      <c r="F3796" s="24" t="n">
        <v>0.866295695</v>
      </c>
    </row>
    <row r="3797" customFormat="false" ht="15" hidden="false" customHeight="false" outlineLevel="0" collapsed="false">
      <c r="A3797" s="3" t="n">
        <v>3796</v>
      </c>
      <c r="B3797" s="3" t="n">
        <v>3795</v>
      </c>
      <c r="C3797" s="3" t="n">
        <v>4</v>
      </c>
      <c r="D3797" s="3" t="n">
        <v>23</v>
      </c>
      <c r="E3797" s="3" t="n">
        <v>15</v>
      </c>
      <c r="F3797" s="24" t="n">
        <v>-0.316544473</v>
      </c>
    </row>
    <row r="3798" customFormat="false" ht="15" hidden="false" customHeight="false" outlineLevel="0" collapsed="false">
      <c r="A3798" s="3" t="n">
        <v>3797</v>
      </c>
      <c r="B3798" s="3" t="n">
        <v>3796</v>
      </c>
      <c r="C3798" s="3" t="n">
        <v>4</v>
      </c>
      <c r="D3798" s="3" t="n">
        <v>23</v>
      </c>
      <c r="E3798" s="3" t="n">
        <v>16</v>
      </c>
      <c r="F3798" s="24" t="n">
        <v>-0.603170097</v>
      </c>
    </row>
    <row r="3799" customFormat="false" ht="15" hidden="false" customHeight="false" outlineLevel="0" collapsed="false">
      <c r="A3799" s="3" t="n">
        <v>3798</v>
      </c>
      <c r="B3799" s="3" t="n">
        <v>3797</v>
      </c>
      <c r="C3799" s="3" t="n">
        <v>4</v>
      </c>
      <c r="D3799" s="3" t="n">
        <v>23</v>
      </c>
      <c r="E3799" s="3" t="n">
        <v>17</v>
      </c>
      <c r="F3799" s="24" t="n">
        <v>-0.605470479</v>
      </c>
    </row>
    <row r="3800" customFormat="false" ht="15" hidden="false" customHeight="false" outlineLevel="0" collapsed="false">
      <c r="A3800" s="3" t="n">
        <v>3799</v>
      </c>
      <c r="B3800" s="3" t="n">
        <v>3798</v>
      </c>
      <c r="C3800" s="3" t="n">
        <v>4</v>
      </c>
      <c r="D3800" s="3" t="n">
        <v>23</v>
      </c>
      <c r="E3800" s="3" t="n">
        <v>18</v>
      </c>
      <c r="F3800" s="24" t="n">
        <v>-0.605470479</v>
      </c>
    </row>
    <row r="3801" customFormat="false" ht="15" hidden="false" customHeight="false" outlineLevel="0" collapsed="false">
      <c r="A3801" s="3" t="n">
        <v>3800</v>
      </c>
      <c r="B3801" s="3" t="n">
        <v>3799</v>
      </c>
      <c r="C3801" s="3" t="n">
        <v>4</v>
      </c>
      <c r="D3801" s="3" t="n">
        <v>23</v>
      </c>
      <c r="E3801" s="3" t="n">
        <v>19</v>
      </c>
      <c r="F3801" s="24" t="n">
        <v>-0.605470479</v>
      </c>
    </row>
    <row r="3802" customFormat="false" ht="15" hidden="false" customHeight="false" outlineLevel="0" collapsed="false">
      <c r="A3802" s="3" t="n">
        <v>3801</v>
      </c>
      <c r="B3802" s="3" t="n">
        <v>3800</v>
      </c>
      <c r="C3802" s="3" t="n">
        <v>4</v>
      </c>
      <c r="D3802" s="3" t="n">
        <v>23</v>
      </c>
      <c r="E3802" s="3" t="n">
        <v>20</v>
      </c>
      <c r="F3802" s="24" t="n">
        <v>-0.605470479</v>
      </c>
    </row>
    <row r="3803" customFormat="false" ht="15" hidden="false" customHeight="false" outlineLevel="0" collapsed="false">
      <c r="A3803" s="3" t="n">
        <v>3802</v>
      </c>
      <c r="B3803" s="3" t="n">
        <v>3801</v>
      </c>
      <c r="C3803" s="3" t="n">
        <v>4</v>
      </c>
      <c r="D3803" s="3" t="n">
        <v>23</v>
      </c>
      <c r="E3803" s="3" t="n">
        <v>21</v>
      </c>
      <c r="F3803" s="24" t="n">
        <v>-0.605470479</v>
      </c>
    </row>
    <row r="3804" customFormat="false" ht="15" hidden="false" customHeight="false" outlineLevel="0" collapsed="false">
      <c r="A3804" s="3" t="n">
        <v>3803</v>
      </c>
      <c r="B3804" s="3" t="n">
        <v>3802</v>
      </c>
      <c r="C3804" s="3" t="n">
        <v>4</v>
      </c>
      <c r="D3804" s="3" t="n">
        <v>23</v>
      </c>
      <c r="E3804" s="3" t="n">
        <v>22</v>
      </c>
      <c r="F3804" s="24" t="n">
        <v>-0.605470479</v>
      </c>
    </row>
    <row r="3805" customFormat="false" ht="15" hidden="false" customHeight="false" outlineLevel="0" collapsed="false">
      <c r="A3805" s="3" t="n">
        <v>3804</v>
      </c>
      <c r="B3805" s="3" t="n">
        <v>3803</v>
      </c>
      <c r="C3805" s="3" t="n">
        <v>4</v>
      </c>
      <c r="D3805" s="3" t="n">
        <v>23</v>
      </c>
      <c r="E3805" s="3" t="n">
        <v>23</v>
      </c>
      <c r="F3805" s="24" t="n">
        <v>-0.605470479</v>
      </c>
    </row>
    <row r="3806" customFormat="false" ht="15" hidden="false" customHeight="false" outlineLevel="0" collapsed="false">
      <c r="A3806" s="3" t="n">
        <v>3805</v>
      </c>
      <c r="B3806" s="3" t="n">
        <v>3804</v>
      </c>
      <c r="C3806" s="3" t="n">
        <v>4</v>
      </c>
      <c r="D3806" s="3" t="n">
        <v>23</v>
      </c>
      <c r="E3806" s="3" t="n">
        <v>24</v>
      </c>
      <c r="F3806" s="24" t="n">
        <v>-0.605470479</v>
      </c>
    </row>
    <row r="3807" customFormat="false" ht="15" hidden="false" customHeight="false" outlineLevel="0" collapsed="false">
      <c r="A3807" s="3" t="n">
        <v>3806</v>
      </c>
      <c r="B3807" s="3" t="n">
        <v>3805</v>
      </c>
      <c r="C3807" s="3" t="n">
        <v>4</v>
      </c>
      <c r="D3807" s="3" t="n">
        <v>23</v>
      </c>
      <c r="E3807" s="3" t="n">
        <v>25</v>
      </c>
      <c r="F3807" s="24" t="n">
        <v>-0.605470479</v>
      </c>
    </row>
    <row r="3808" customFormat="false" ht="15" hidden="false" customHeight="false" outlineLevel="0" collapsed="false">
      <c r="A3808" s="3" t="n">
        <v>3807</v>
      </c>
      <c r="B3808" s="3" t="n">
        <v>3806</v>
      </c>
      <c r="C3808" s="3" t="n">
        <v>4</v>
      </c>
      <c r="D3808" s="3" t="n">
        <v>23</v>
      </c>
      <c r="E3808" s="3" t="n">
        <v>26</v>
      </c>
      <c r="F3808" s="24" t="n">
        <v>-0.605470479</v>
      </c>
    </row>
    <row r="3809" customFormat="false" ht="15" hidden="false" customHeight="false" outlineLevel="0" collapsed="false">
      <c r="A3809" s="3" t="n">
        <v>3808</v>
      </c>
      <c r="B3809" s="3" t="n">
        <v>3807</v>
      </c>
      <c r="C3809" s="3" t="n">
        <v>4</v>
      </c>
      <c r="D3809" s="3" t="n">
        <v>23</v>
      </c>
      <c r="E3809" s="3" t="n">
        <v>27</v>
      </c>
      <c r="F3809" s="24" t="n">
        <v>-0.469382077</v>
      </c>
    </row>
    <row r="3810" customFormat="false" ht="15" hidden="false" customHeight="false" outlineLevel="0" collapsed="false">
      <c r="A3810" s="3" t="n">
        <v>3809</v>
      </c>
      <c r="B3810" s="3" t="n">
        <v>3808</v>
      </c>
      <c r="C3810" s="3" t="n">
        <v>4</v>
      </c>
      <c r="D3810" s="3" t="n">
        <v>24</v>
      </c>
      <c r="E3810" s="3" t="n">
        <v>0</v>
      </c>
      <c r="F3810" s="24" t="n">
        <v>-0.515758276</v>
      </c>
    </row>
    <row r="3811" customFormat="false" ht="15" hidden="false" customHeight="false" outlineLevel="0" collapsed="false">
      <c r="A3811" s="3" t="n">
        <v>3810</v>
      </c>
      <c r="B3811" s="3" t="n">
        <v>3809</v>
      </c>
      <c r="C3811" s="3" t="n">
        <v>4</v>
      </c>
      <c r="D3811" s="3" t="n">
        <v>24</v>
      </c>
      <c r="E3811" s="3" t="n">
        <v>1</v>
      </c>
      <c r="F3811" s="24" t="n">
        <v>-0.605470479</v>
      </c>
    </row>
    <row r="3812" customFormat="false" ht="15" hidden="false" customHeight="false" outlineLevel="0" collapsed="false">
      <c r="A3812" s="3" t="n">
        <v>3811</v>
      </c>
      <c r="B3812" s="3" t="n">
        <v>3810</v>
      </c>
      <c r="C3812" s="3" t="n">
        <v>4</v>
      </c>
      <c r="D3812" s="3" t="n">
        <v>24</v>
      </c>
      <c r="E3812" s="3" t="n">
        <v>2</v>
      </c>
      <c r="F3812" s="24" t="n">
        <v>-0.605470479</v>
      </c>
    </row>
    <row r="3813" customFormat="false" ht="15" hidden="false" customHeight="false" outlineLevel="0" collapsed="false">
      <c r="A3813" s="3" t="n">
        <v>3812</v>
      </c>
      <c r="B3813" s="3" t="n">
        <v>3811</v>
      </c>
      <c r="C3813" s="3" t="n">
        <v>4</v>
      </c>
      <c r="D3813" s="3" t="n">
        <v>24</v>
      </c>
      <c r="E3813" s="3" t="n">
        <v>3</v>
      </c>
      <c r="F3813" s="24" t="n">
        <v>-0.605470479</v>
      </c>
    </row>
    <row r="3814" customFormat="false" ht="15" hidden="false" customHeight="false" outlineLevel="0" collapsed="false">
      <c r="A3814" s="3" t="n">
        <v>3813</v>
      </c>
      <c r="B3814" s="3" t="n">
        <v>3812</v>
      </c>
      <c r="C3814" s="3" t="n">
        <v>4</v>
      </c>
      <c r="D3814" s="3" t="n">
        <v>24</v>
      </c>
      <c r="E3814" s="3" t="n">
        <v>4</v>
      </c>
      <c r="F3814" s="24" t="n">
        <v>-0.605470479</v>
      </c>
    </row>
    <row r="3815" customFormat="false" ht="15" hidden="false" customHeight="false" outlineLevel="0" collapsed="false">
      <c r="A3815" s="3" t="n">
        <v>3814</v>
      </c>
      <c r="B3815" s="3" t="n">
        <v>3813</v>
      </c>
      <c r="C3815" s="3" t="n">
        <v>4</v>
      </c>
      <c r="D3815" s="3" t="n">
        <v>24</v>
      </c>
      <c r="E3815" s="3" t="n">
        <v>5</v>
      </c>
      <c r="F3815" s="24" t="n">
        <v>-0.605470479</v>
      </c>
    </row>
    <row r="3816" customFormat="false" ht="15" hidden="false" customHeight="false" outlineLevel="0" collapsed="false">
      <c r="A3816" s="3" t="n">
        <v>3815</v>
      </c>
      <c r="B3816" s="3" t="n">
        <v>3814</v>
      </c>
      <c r="C3816" s="3" t="n">
        <v>4</v>
      </c>
      <c r="D3816" s="3" t="n">
        <v>24</v>
      </c>
      <c r="E3816" s="3" t="n">
        <v>6</v>
      </c>
      <c r="F3816" s="24" t="n">
        <v>-0.605470479</v>
      </c>
    </row>
    <row r="3817" customFormat="false" ht="15" hidden="false" customHeight="false" outlineLevel="0" collapsed="false">
      <c r="A3817" s="3" t="n">
        <v>3816</v>
      </c>
      <c r="B3817" s="3" t="n">
        <v>3815</v>
      </c>
      <c r="C3817" s="3" t="n">
        <v>4</v>
      </c>
      <c r="D3817" s="3" t="n">
        <v>24</v>
      </c>
      <c r="E3817" s="3" t="n">
        <v>7</v>
      </c>
      <c r="F3817" s="24" t="n">
        <v>-0.605470479</v>
      </c>
    </row>
    <row r="3818" customFormat="false" ht="15" hidden="false" customHeight="false" outlineLevel="0" collapsed="false">
      <c r="A3818" s="3" t="n">
        <v>3817</v>
      </c>
      <c r="B3818" s="3" t="n">
        <v>3816</v>
      </c>
      <c r="C3818" s="3" t="n">
        <v>4</v>
      </c>
      <c r="D3818" s="3" t="n">
        <v>24</v>
      </c>
      <c r="E3818" s="3" t="n">
        <v>8</v>
      </c>
      <c r="F3818" s="24" t="n">
        <v>-0.605470479</v>
      </c>
    </row>
    <row r="3819" customFormat="false" ht="15" hidden="false" customHeight="false" outlineLevel="0" collapsed="false">
      <c r="A3819" s="3" t="n">
        <v>3818</v>
      </c>
      <c r="B3819" s="3" t="n">
        <v>3817</v>
      </c>
      <c r="C3819" s="3" t="n">
        <v>4</v>
      </c>
      <c r="D3819" s="3" t="n">
        <v>24</v>
      </c>
      <c r="E3819" s="3" t="n">
        <v>9</v>
      </c>
      <c r="F3819" s="24" t="n">
        <v>-0.272303104</v>
      </c>
    </row>
    <row r="3820" customFormat="false" ht="15" hidden="false" customHeight="false" outlineLevel="0" collapsed="false">
      <c r="A3820" s="3" t="n">
        <v>3819</v>
      </c>
      <c r="B3820" s="3" t="n">
        <v>3818</v>
      </c>
      <c r="C3820" s="3" t="n">
        <v>4</v>
      </c>
      <c r="D3820" s="3" t="n">
        <v>24</v>
      </c>
      <c r="E3820" s="3" t="n">
        <v>10</v>
      </c>
      <c r="F3820" s="24" t="n">
        <v>0.912568808</v>
      </c>
    </row>
    <row r="3821" customFormat="false" ht="15" hidden="false" customHeight="false" outlineLevel="0" collapsed="false">
      <c r="A3821" s="3" t="n">
        <v>3820</v>
      </c>
      <c r="B3821" s="3" t="n">
        <v>3819</v>
      </c>
      <c r="C3821" s="3" t="n">
        <v>4</v>
      </c>
      <c r="D3821" s="3" t="n">
        <v>24</v>
      </c>
      <c r="E3821" s="3" t="n">
        <v>11</v>
      </c>
      <c r="F3821" s="24" t="n">
        <v>2.81492853</v>
      </c>
    </row>
    <row r="3822" customFormat="false" ht="15" hidden="false" customHeight="false" outlineLevel="0" collapsed="false">
      <c r="A3822" s="3" t="n">
        <v>3821</v>
      </c>
      <c r="B3822" s="3" t="n">
        <v>3820</v>
      </c>
      <c r="C3822" s="3" t="n">
        <v>4</v>
      </c>
      <c r="D3822" s="3" t="n">
        <v>24</v>
      </c>
      <c r="E3822" s="3" t="n">
        <v>12</v>
      </c>
      <c r="F3822" s="24" t="n">
        <v>3.36371136</v>
      </c>
    </row>
    <row r="3823" customFormat="false" ht="15" hidden="false" customHeight="false" outlineLevel="0" collapsed="false">
      <c r="A3823" s="3" t="n">
        <v>3822</v>
      </c>
      <c r="B3823" s="3" t="n">
        <v>3821</v>
      </c>
      <c r="C3823" s="3" t="n">
        <v>4</v>
      </c>
      <c r="D3823" s="3" t="n">
        <v>24</v>
      </c>
      <c r="E3823" s="3" t="n">
        <v>13</v>
      </c>
      <c r="F3823" s="24" t="n">
        <v>2.65881133</v>
      </c>
    </row>
    <row r="3824" customFormat="false" ht="15" hidden="false" customHeight="false" outlineLevel="0" collapsed="false">
      <c r="A3824" s="3" t="n">
        <v>3823</v>
      </c>
      <c r="B3824" s="3" t="n">
        <v>3822</v>
      </c>
      <c r="C3824" s="3" t="n">
        <v>4</v>
      </c>
      <c r="D3824" s="3" t="n">
        <v>24</v>
      </c>
      <c r="E3824" s="3" t="n">
        <v>14</v>
      </c>
      <c r="F3824" s="24" t="n">
        <v>0.395687342</v>
      </c>
    </row>
    <row r="3825" customFormat="false" ht="15" hidden="false" customHeight="false" outlineLevel="0" collapsed="false">
      <c r="A3825" s="3" t="n">
        <v>3824</v>
      </c>
      <c r="B3825" s="3" t="n">
        <v>3823</v>
      </c>
      <c r="C3825" s="3" t="n">
        <v>4</v>
      </c>
      <c r="D3825" s="3" t="n">
        <v>24</v>
      </c>
      <c r="E3825" s="3" t="n">
        <v>15</v>
      </c>
      <c r="F3825" s="24" t="n">
        <v>-0.516745389</v>
      </c>
    </row>
    <row r="3826" customFormat="false" ht="15" hidden="false" customHeight="false" outlineLevel="0" collapsed="false">
      <c r="A3826" s="3" t="n">
        <v>3825</v>
      </c>
      <c r="B3826" s="3" t="n">
        <v>3824</v>
      </c>
      <c r="C3826" s="3" t="n">
        <v>4</v>
      </c>
      <c r="D3826" s="3" t="n">
        <v>24</v>
      </c>
      <c r="E3826" s="3" t="n">
        <v>16</v>
      </c>
      <c r="F3826" s="24" t="n">
        <v>-0.605470479</v>
      </c>
    </row>
    <row r="3827" customFormat="false" ht="15" hidden="false" customHeight="false" outlineLevel="0" collapsed="false">
      <c r="A3827" s="3" t="n">
        <v>3826</v>
      </c>
      <c r="B3827" s="3" t="n">
        <v>3825</v>
      </c>
      <c r="C3827" s="3" t="n">
        <v>4</v>
      </c>
      <c r="D3827" s="3" t="n">
        <v>24</v>
      </c>
      <c r="E3827" s="3" t="n">
        <v>17</v>
      </c>
      <c r="F3827" s="24" t="n">
        <v>-0.605470479</v>
      </c>
    </row>
    <row r="3828" customFormat="false" ht="15" hidden="false" customHeight="false" outlineLevel="0" collapsed="false">
      <c r="A3828" s="3" t="n">
        <v>3827</v>
      </c>
      <c r="B3828" s="3" t="n">
        <v>3826</v>
      </c>
      <c r="C3828" s="3" t="n">
        <v>4</v>
      </c>
      <c r="D3828" s="3" t="n">
        <v>24</v>
      </c>
      <c r="E3828" s="3" t="n">
        <v>18</v>
      </c>
      <c r="F3828" s="24" t="n">
        <v>-0.605470479</v>
      </c>
    </row>
    <row r="3829" customFormat="false" ht="15" hidden="false" customHeight="false" outlineLevel="0" collapsed="false">
      <c r="A3829" s="3" t="n">
        <v>3828</v>
      </c>
      <c r="B3829" s="3" t="n">
        <v>3827</v>
      </c>
      <c r="C3829" s="3" t="n">
        <v>4</v>
      </c>
      <c r="D3829" s="3" t="n">
        <v>24</v>
      </c>
      <c r="E3829" s="3" t="n">
        <v>19</v>
      </c>
      <c r="F3829" s="24" t="n">
        <v>-0.605470479</v>
      </c>
    </row>
    <row r="3830" customFormat="false" ht="15" hidden="false" customHeight="false" outlineLevel="0" collapsed="false">
      <c r="A3830" s="3" t="n">
        <v>3829</v>
      </c>
      <c r="B3830" s="3" t="n">
        <v>3828</v>
      </c>
      <c r="C3830" s="3" t="n">
        <v>4</v>
      </c>
      <c r="D3830" s="3" t="n">
        <v>24</v>
      </c>
      <c r="E3830" s="3" t="n">
        <v>20</v>
      </c>
      <c r="F3830" s="24" t="n">
        <v>-0.605470479</v>
      </c>
    </row>
    <row r="3831" customFormat="false" ht="15" hidden="false" customHeight="false" outlineLevel="0" collapsed="false">
      <c r="A3831" s="3" t="n">
        <v>3830</v>
      </c>
      <c r="B3831" s="3" t="n">
        <v>3829</v>
      </c>
      <c r="C3831" s="3" t="n">
        <v>4</v>
      </c>
      <c r="D3831" s="3" t="n">
        <v>24</v>
      </c>
      <c r="E3831" s="3" t="n">
        <v>21</v>
      </c>
      <c r="F3831" s="24" t="n">
        <v>-0.605470479</v>
      </c>
    </row>
    <row r="3832" customFormat="false" ht="15" hidden="false" customHeight="false" outlineLevel="0" collapsed="false">
      <c r="A3832" s="3" t="n">
        <v>3831</v>
      </c>
      <c r="B3832" s="3" t="n">
        <v>3830</v>
      </c>
      <c r="C3832" s="3" t="n">
        <v>4</v>
      </c>
      <c r="D3832" s="3" t="n">
        <v>24</v>
      </c>
      <c r="E3832" s="3" t="n">
        <v>22</v>
      </c>
      <c r="F3832" s="24" t="n">
        <v>-0.605470479</v>
      </c>
    </row>
    <row r="3833" customFormat="false" ht="15" hidden="false" customHeight="false" outlineLevel="0" collapsed="false">
      <c r="A3833" s="3" t="n">
        <v>3832</v>
      </c>
      <c r="B3833" s="3" t="n">
        <v>3831</v>
      </c>
      <c r="C3833" s="3" t="n">
        <v>4</v>
      </c>
      <c r="D3833" s="3" t="n">
        <v>24</v>
      </c>
      <c r="E3833" s="3" t="n">
        <v>23</v>
      </c>
      <c r="F3833" s="24" t="n">
        <v>-0.605470479</v>
      </c>
    </row>
    <row r="3834" customFormat="false" ht="15" hidden="false" customHeight="false" outlineLevel="0" collapsed="false">
      <c r="A3834" s="3" t="n">
        <v>3833</v>
      </c>
      <c r="B3834" s="3" t="n">
        <v>3832</v>
      </c>
      <c r="C3834" s="3" t="n">
        <v>4</v>
      </c>
      <c r="D3834" s="3" t="n">
        <v>24</v>
      </c>
      <c r="E3834" s="3" t="n">
        <v>24</v>
      </c>
      <c r="F3834" s="24" t="n">
        <v>-0.605470479</v>
      </c>
    </row>
    <row r="3835" customFormat="false" ht="15" hidden="false" customHeight="false" outlineLevel="0" collapsed="false">
      <c r="A3835" s="3" t="n">
        <v>3834</v>
      </c>
      <c r="B3835" s="3" t="n">
        <v>3833</v>
      </c>
      <c r="C3835" s="3" t="n">
        <v>4</v>
      </c>
      <c r="D3835" s="3" t="n">
        <v>24</v>
      </c>
      <c r="E3835" s="3" t="n">
        <v>25</v>
      </c>
      <c r="F3835" s="24" t="n">
        <v>-0.605470479</v>
      </c>
    </row>
    <row r="3836" customFormat="false" ht="15" hidden="false" customHeight="false" outlineLevel="0" collapsed="false">
      <c r="A3836" s="3" t="n">
        <v>3835</v>
      </c>
      <c r="B3836" s="3" t="n">
        <v>3834</v>
      </c>
      <c r="C3836" s="3" t="n">
        <v>4</v>
      </c>
      <c r="D3836" s="3" t="n">
        <v>24</v>
      </c>
      <c r="E3836" s="3" t="n">
        <v>26</v>
      </c>
      <c r="F3836" s="24" t="n">
        <v>-0.605470479</v>
      </c>
    </row>
    <row r="3837" customFormat="false" ht="15" hidden="false" customHeight="false" outlineLevel="0" collapsed="false">
      <c r="A3837" s="3" t="n">
        <v>3836</v>
      </c>
      <c r="B3837" s="3" t="n">
        <v>3835</v>
      </c>
      <c r="C3837" s="3" t="n">
        <v>4</v>
      </c>
      <c r="D3837" s="3" t="n">
        <v>24</v>
      </c>
      <c r="E3837" s="3" t="n">
        <v>27</v>
      </c>
      <c r="F3837" s="24" t="n">
        <v>-0.469382077</v>
      </c>
    </row>
    <row r="3838" customFormat="false" ht="15" hidden="false" customHeight="false" outlineLevel="0" collapsed="false">
      <c r="A3838" s="3" t="n">
        <v>3837</v>
      </c>
      <c r="B3838" s="3" t="n">
        <v>3836</v>
      </c>
      <c r="C3838" s="3" t="n">
        <v>4</v>
      </c>
      <c r="D3838" s="3" t="n">
        <v>25</v>
      </c>
      <c r="E3838" s="3" t="n">
        <v>0</v>
      </c>
      <c r="F3838" s="24" t="n">
        <v>-0.515758276</v>
      </c>
    </row>
    <row r="3839" customFormat="false" ht="15" hidden="false" customHeight="false" outlineLevel="0" collapsed="false">
      <c r="A3839" s="3" t="n">
        <v>3838</v>
      </c>
      <c r="B3839" s="3" t="n">
        <v>3837</v>
      </c>
      <c r="C3839" s="3" t="n">
        <v>4</v>
      </c>
      <c r="D3839" s="3" t="n">
        <v>25</v>
      </c>
      <c r="E3839" s="3" t="n">
        <v>1</v>
      </c>
      <c r="F3839" s="24" t="n">
        <v>-0.605470479</v>
      </c>
    </row>
    <row r="3840" customFormat="false" ht="15" hidden="false" customHeight="false" outlineLevel="0" collapsed="false">
      <c r="A3840" s="3" t="n">
        <v>3839</v>
      </c>
      <c r="B3840" s="3" t="n">
        <v>3838</v>
      </c>
      <c r="C3840" s="3" t="n">
        <v>4</v>
      </c>
      <c r="D3840" s="3" t="n">
        <v>25</v>
      </c>
      <c r="E3840" s="3" t="n">
        <v>2</v>
      </c>
      <c r="F3840" s="24" t="n">
        <v>-0.605470479</v>
      </c>
    </row>
    <row r="3841" customFormat="false" ht="15" hidden="false" customHeight="false" outlineLevel="0" collapsed="false">
      <c r="A3841" s="3" t="n">
        <v>3840</v>
      </c>
      <c r="B3841" s="3" t="n">
        <v>3839</v>
      </c>
      <c r="C3841" s="3" t="n">
        <v>4</v>
      </c>
      <c r="D3841" s="3" t="n">
        <v>25</v>
      </c>
      <c r="E3841" s="3" t="n">
        <v>3</v>
      </c>
      <c r="F3841" s="24" t="n">
        <v>-0.605470479</v>
      </c>
    </row>
    <row r="3842" customFormat="false" ht="15" hidden="false" customHeight="false" outlineLevel="0" collapsed="false">
      <c r="A3842" s="3" t="n">
        <v>3841</v>
      </c>
      <c r="B3842" s="3" t="n">
        <v>3840</v>
      </c>
      <c r="C3842" s="3" t="n">
        <v>4</v>
      </c>
      <c r="D3842" s="3" t="n">
        <v>25</v>
      </c>
      <c r="E3842" s="3" t="n">
        <v>4</v>
      </c>
      <c r="F3842" s="24" t="n">
        <v>-0.605470479</v>
      </c>
    </row>
    <row r="3843" customFormat="false" ht="15" hidden="false" customHeight="false" outlineLevel="0" collapsed="false">
      <c r="A3843" s="3" t="n">
        <v>3842</v>
      </c>
      <c r="B3843" s="3" t="n">
        <v>3841</v>
      </c>
      <c r="C3843" s="3" t="n">
        <v>4</v>
      </c>
      <c r="D3843" s="3" t="n">
        <v>25</v>
      </c>
      <c r="E3843" s="3" t="n">
        <v>5</v>
      </c>
      <c r="F3843" s="24" t="n">
        <v>-0.605470479</v>
      </c>
    </row>
    <row r="3844" customFormat="false" ht="15" hidden="false" customHeight="false" outlineLevel="0" collapsed="false">
      <c r="A3844" s="3" t="n">
        <v>3843</v>
      </c>
      <c r="B3844" s="3" t="n">
        <v>3842</v>
      </c>
      <c r="C3844" s="3" t="n">
        <v>4</v>
      </c>
      <c r="D3844" s="3" t="n">
        <v>25</v>
      </c>
      <c r="E3844" s="3" t="n">
        <v>6</v>
      </c>
      <c r="F3844" s="24" t="n">
        <v>-0.605470479</v>
      </c>
    </row>
    <row r="3845" customFormat="false" ht="15" hidden="false" customHeight="false" outlineLevel="0" collapsed="false">
      <c r="A3845" s="3" t="n">
        <v>3844</v>
      </c>
      <c r="B3845" s="3" t="n">
        <v>3843</v>
      </c>
      <c r="C3845" s="3" t="n">
        <v>4</v>
      </c>
      <c r="D3845" s="3" t="n">
        <v>25</v>
      </c>
      <c r="E3845" s="3" t="n">
        <v>7</v>
      </c>
      <c r="F3845" s="24" t="n">
        <v>-0.605470479</v>
      </c>
    </row>
    <row r="3846" customFormat="false" ht="15" hidden="false" customHeight="false" outlineLevel="0" collapsed="false">
      <c r="A3846" s="3" t="n">
        <v>3845</v>
      </c>
      <c r="B3846" s="3" t="n">
        <v>3844</v>
      </c>
      <c r="C3846" s="3" t="n">
        <v>4</v>
      </c>
      <c r="D3846" s="3" t="n">
        <v>25</v>
      </c>
      <c r="E3846" s="3" t="n">
        <v>8</v>
      </c>
      <c r="F3846" s="24" t="n">
        <v>-0.605470479</v>
      </c>
    </row>
    <row r="3847" customFormat="false" ht="15" hidden="false" customHeight="false" outlineLevel="0" collapsed="false">
      <c r="A3847" s="3" t="n">
        <v>3846</v>
      </c>
      <c r="B3847" s="3" t="n">
        <v>3845</v>
      </c>
      <c r="C3847" s="3" t="n">
        <v>4</v>
      </c>
      <c r="D3847" s="3" t="n">
        <v>25</v>
      </c>
      <c r="E3847" s="3" t="n">
        <v>9</v>
      </c>
      <c r="F3847" s="24" t="n">
        <v>-0.230498314</v>
      </c>
    </row>
    <row r="3848" customFormat="false" ht="15" hidden="false" customHeight="false" outlineLevel="0" collapsed="false">
      <c r="A3848" s="3" t="n">
        <v>3847</v>
      </c>
      <c r="B3848" s="3" t="n">
        <v>3846</v>
      </c>
      <c r="C3848" s="3" t="n">
        <v>4</v>
      </c>
      <c r="D3848" s="3" t="n">
        <v>25</v>
      </c>
      <c r="E3848" s="3" t="n">
        <v>10</v>
      </c>
      <c r="F3848" s="24" t="n">
        <v>1.4046067</v>
      </c>
    </row>
    <row r="3849" customFormat="false" ht="15" hidden="false" customHeight="false" outlineLevel="0" collapsed="false">
      <c r="A3849" s="3" t="n">
        <v>3848</v>
      </c>
      <c r="B3849" s="3" t="n">
        <v>3847</v>
      </c>
      <c r="C3849" s="3" t="n">
        <v>4</v>
      </c>
      <c r="D3849" s="3" t="n">
        <v>25</v>
      </c>
      <c r="E3849" s="3" t="n">
        <v>11</v>
      </c>
      <c r="F3849" s="24" t="n">
        <v>3.01009917</v>
      </c>
    </row>
    <row r="3850" customFormat="false" ht="15" hidden="false" customHeight="false" outlineLevel="0" collapsed="false">
      <c r="A3850" s="3" t="n">
        <v>3849</v>
      </c>
      <c r="B3850" s="3" t="n">
        <v>3848</v>
      </c>
      <c r="C3850" s="3" t="n">
        <v>4</v>
      </c>
      <c r="D3850" s="3" t="n">
        <v>25</v>
      </c>
      <c r="E3850" s="3" t="n">
        <v>12</v>
      </c>
      <c r="F3850" s="24" t="n">
        <v>2.67095613</v>
      </c>
    </row>
    <row r="3851" customFormat="false" ht="15" hidden="false" customHeight="false" outlineLevel="0" collapsed="false">
      <c r="A3851" s="3" t="n">
        <v>3850</v>
      </c>
      <c r="B3851" s="3" t="n">
        <v>3849</v>
      </c>
      <c r="C3851" s="3" t="n">
        <v>4</v>
      </c>
      <c r="D3851" s="3" t="n">
        <v>25</v>
      </c>
      <c r="E3851" s="3" t="n">
        <v>13</v>
      </c>
      <c r="F3851" s="24" t="n">
        <v>1.21626544</v>
      </c>
    </row>
    <row r="3852" customFormat="false" ht="15" hidden="false" customHeight="false" outlineLevel="0" collapsed="false">
      <c r="A3852" s="3" t="n">
        <v>3851</v>
      </c>
      <c r="B3852" s="3" t="n">
        <v>3850</v>
      </c>
      <c r="C3852" s="3" t="n">
        <v>4</v>
      </c>
      <c r="D3852" s="3" t="n">
        <v>25</v>
      </c>
      <c r="E3852" s="3" t="n">
        <v>14</v>
      </c>
      <c r="F3852" s="24" t="n">
        <v>-0.553820252</v>
      </c>
    </row>
    <row r="3853" customFormat="false" ht="15" hidden="false" customHeight="false" outlineLevel="0" collapsed="false">
      <c r="A3853" s="3" t="n">
        <v>3852</v>
      </c>
      <c r="B3853" s="3" t="n">
        <v>3851</v>
      </c>
      <c r="C3853" s="3" t="n">
        <v>4</v>
      </c>
      <c r="D3853" s="3" t="n">
        <v>25</v>
      </c>
      <c r="E3853" s="3" t="n">
        <v>15</v>
      </c>
      <c r="F3853" s="24" t="n">
        <v>-0.641015887</v>
      </c>
    </row>
    <row r="3854" customFormat="false" ht="15" hidden="false" customHeight="false" outlineLevel="0" collapsed="false">
      <c r="A3854" s="3" t="n">
        <v>3853</v>
      </c>
      <c r="B3854" s="3" t="n">
        <v>3852</v>
      </c>
      <c r="C3854" s="3" t="n">
        <v>4</v>
      </c>
      <c r="D3854" s="3" t="n">
        <v>25</v>
      </c>
      <c r="E3854" s="3" t="n">
        <v>16</v>
      </c>
      <c r="F3854" s="24" t="n">
        <v>-0.605470479</v>
      </c>
    </row>
    <row r="3855" customFormat="false" ht="15" hidden="false" customHeight="false" outlineLevel="0" collapsed="false">
      <c r="A3855" s="3" t="n">
        <v>3854</v>
      </c>
      <c r="B3855" s="3" t="n">
        <v>3853</v>
      </c>
      <c r="C3855" s="3" t="n">
        <v>4</v>
      </c>
      <c r="D3855" s="3" t="n">
        <v>25</v>
      </c>
      <c r="E3855" s="3" t="n">
        <v>17</v>
      </c>
      <c r="F3855" s="24" t="n">
        <v>-0.605470479</v>
      </c>
    </row>
    <row r="3856" customFormat="false" ht="15" hidden="false" customHeight="false" outlineLevel="0" collapsed="false">
      <c r="A3856" s="3" t="n">
        <v>3855</v>
      </c>
      <c r="B3856" s="3" t="n">
        <v>3854</v>
      </c>
      <c r="C3856" s="3" t="n">
        <v>4</v>
      </c>
      <c r="D3856" s="3" t="n">
        <v>25</v>
      </c>
      <c r="E3856" s="3" t="n">
        <v>18</v>
      </c>
      <c r="F3856" s="24" t="n">
        <v>-0.605470479</v>
      </c>
    </row>
    <row r="3857" customFormat="false" ht="15" hidden="false" customHeight="false" outlineLevel="0" collapsed="false">
      <c r="A3857" s="3" t="n">
        <v>3856</v>
      </c>
      <c r="B3857" s="3" t="n">
        <v>3855</v>
      </c>
      <c r="C3857" s="3" t="n">
        <v>4</v>
      </c>
      <c r="D3857" s="3" t="n">
        <v>25</v>
      </c>
      <c r="E3857" s="3" t="n">
        <v>19</v>
      </c>
      <c r="F3857" s="24" t="n">
        <v>-0.605470479</v>
      </c>
    </row>
    <row r="3858" customFormat="false" ht="15" hidden="false" customHeight="false" outlineLevel="0" collapsed="false">
      <c r="A3858" s="3" t="n">
        <v>3857</v>
      </c>
      <c r="B3858" s="3" t="n">
        <v>3856</v>
      </c>
      <c r="C3858" s="3" t="n">
        <v>4</v>
      </c>
      <c r="D3858" s="3" t="n">
        <v>25</v>
      </c>
      <c r="E3858" s="3" t="n">
        <v>20</v>
      </c>
      <c r="F3858" s="24" t="n">
        <v>-0.605470479</v>
      </c>
    </row>
    <row r="3859" customFormat="false" ht="15" hidden="false" customHeight="false" outlineLevel="0" collapsed="false">
      <c r="A3859" s="3" t="n">
        <v>3858</v>
      </c>
      <c r="B3859" s="3" t="n">
        <v>3857</v>
      </c>
      <c r="C3859" s="3" t="n">
        <v>4</v>
      </c>
      <c r="D3859" s="3" t="n">
        <v>25</v>
      </c>
      <c r="E3859" s="3" t="n">
        <v>21</v>
      </c>
      <c r="F3859" s="24" t="n">
        <v>-0.605470479</v>
      </c>
    </row>
    <row r="3860" customFormat="false" ht="15" hidden="false" customHeight="false" outlineLevel="0" collapsed="false">
      <c r="A3860" s="3" t="n">
        <v>3859</v>
      </c>
      <c r="B3860" s="3" t="n">
        <v>3858</v>
      </c>
      <c r="C3860" s="3" t="n">
        <v>4</v>
      </c>
      <c r="D3860" s="3" t="n">
        <v>25</v>
      </c>
      <c r="E3860" s="3" t="n">
        <v>22</v>
      </c>
      <c r="F3860" s="24" t="n">
        <v>-0.605470479</v>
      </c>
    </row>
    <row r="3861" customFormat="false" ht="15" hidden="false" customHeight="false" outlineLevel="0" collapsed="false">
      <c r="A3861" s="3" t="n">
        <v>3860</v>
      </c>
      <c r="B3861" s="3" t="n">
        <v>3859</v>
      </c>
      <c r="C3861" s="3" t="n">
        <v>4</v>
      </c>
      <c r="D3861" s="3" t="n">
        <v>25</v>
      </c>
      <c r="E3861" s="3" t="n">
        <v>23</v>
      </c>
      <c r="F3861" s="24" t="n">
        <v>-0.605470479</v>
      </c>
    </row>
    <row r="3862" customFormat="false" ht="15" hidden="false" customHeight="false" outlineLevel="0" collapsed="false">
      <c r="A3862" s="3" t="n">
        <v>3861</v>
      </c>
      <c r="B3862" s="3" t="n">
        <v>3860</v>
      </c>
      <c r="C3862" s="3" t="n">
        <v>4</v>
      </c>
      <c r="D3862" s="3" t="n">
        <v>25</v>
      </c>
      <c r="E3862" s="3" t="n">
        <v>24</v>
      </c>
      <c r="F3862" s="24" t="n">
        <v>-0.605470479</v>
      </c>
    </row>
    <row r="3863" customFormat="false" ht="15" hidden="false" customHeight="false" outlineLevel="0" collapsed="false">
      <c r="A3863" s="3" t="n">
        <v>3862</v>
      </c>
      <c r="B3863" s="3" t="n">
        <v>3861</v>
      </c>
      <c r="C3863" s="3" t="n">
        <v>4</v>
      </c>
      <c r="D3863" s="3" t="n">
        <v>25</v>
      </c>
      <c r="E3863" s="3" t="n">
        <v>25</v>
      </c>
      <c r="F3863" s="24" t="n">
        <v>-0.605470479</v>
      </c>
    </row>
    <row r="3864" customFormat="false" ht="15" hidden="false" customHeight="false" outlineLevel="0" collapsed="false">
      <c r="A3864" s="3" t="n">
        <v>3863</v>
      </c>
      <c r="B3864" s="3" t="n">
        <v>3862</v>
      </c>
      <c r="C3864" s="3" t="n">
        <v>4</v>
      </c>
      <c r="D3864" s="3" t="n">
        <v>25</v>
      </c>
      <c r="E3864" s="3" t="n">
        <v>26</v>
      </c>
      <c r="F3864" s="24" t="n">
        <v>-0.605470479</v>
      </c>
    </row>
    <row r="3865" customFormat="false" ht="15" hidden="false" customHeight="false" outlineLevel="0" collapsed="false">
      <c r="A3865" s="3" t="n">
        <v>3864</v>
      </c>
      <c r="B3865" s="3" t="n">
        <v>3863</v>
      </c>
      <c r="C3865" s="3" t="n">
        <v>4</v>
      </c>
      <c r="D3865" s="3" t="n">
        <v>25</v>
      </c>
      <c r="E3865" s="3" t="n">
        <v>27</v>
      </c>
      <c r="F3865" s="24" t="n">
        <v>-0.469382077</v>
      </c>
    </row>
    <row r="3866" customFormat="false" ht="15" hidden="false" customHeight="false" outlineLevel="0" collapsed="false">
      <c r="A3866" s="3" t="n">
        <v>3865</v>
      </c>
      <c r="B3866" s="3" t="n">
        <v>3864</v>
      </c>
      <c r="C3866" s="3" t="n">
        <v>4</v>
      </c>
      <c r="D3866" s="3" t="n">
        <v>26</v>
      </c>
      <c r="E3866" s="3" t="n">
        <v>0</v>
      </c>
      <c r="F3866" s="24" t="n">
        <v>-0.515758276</v>
      </c>
    </row>
    <row r="3867" customFormat="false" ht="15" hidden="false" customHeight="false" outlineLevel="0" collapsed="false">
      <c r="A3867" s="3" t="n">
        <v>3866</v>
      </c>
      <c r="B3867" s="3" t="n">
        <v>3865</v>
      </c>
      <c r="C3867" s="3" t="n">
        <v>4</v>
      </c>
      <c r="D3867" s="3" t="n">
        <v>26</v>
      </c>
      <c r="E3867" s="3" t="n">
        <v>1</v>
      </c>
      <c r="F3867" s="24" t="n">
        <v>-0.605470479</v>
      </c>
    </row>
    <row r="3868" customFormat="false" ht="15" hidden="false" customHeight="false" outlineLevel="0" collapsed="false">
      <c r="A3868" s="3" t="n">
        <v>3867</v>
      </c>
      <c r="B3868" s="3" t="n">
        <v>3866</v>
      </c>
      <c r="C3868" s="3" t="n">
        <v>4</v>
      </c>
      <c r="D3868" s="3" t="n">
        <v>26</v>
      </c>
      <c r="E3868" s="3" t="n">
        <v>2</v>
      </c>
      <c r="F3868" s="24" t="n">
        <v>-0.605470479</v>
      </c>
    </row>
    <row r="3869" customFormat="false" ht="15" hidden="false" customHeight="false" outlineLevel="0" collapsed="false">
      <c r="A3869" s="3" t="n">
        <v>3868</v>
      </c>
      <c r="B3869" s="3" t="n">
        <v>3867</v>
      </c>
      <c r="C3869" s="3" t="n">
        <v>4</v>
      </c>
      <c r="D3869" s="3" t="n">
        <v>26</v>
      </c>
      <c r="E3869" s="3" t="n">
        <v>3</v>
      </c>
      <c r="F3869" s="24" t="n">
        <v>-0.605470479</v>
      </c>
    </row>
    <row r="3870" customFormat="false" ht="15" hidden="false" customHeight="false" outlineLevel="0" collapsed="false">
      <c r="A3870" s="3" t="n">
        <v>3869</v>
      </c>
      <c r="B3870" s="3" t="n">
        <v>3868</v>
      </c>
      <c r="C3870" s="3" t="n">
        <v>4</v>
      </c>
      <c r="D3870" s="3" t="n">
        <v>26</v>
      </c>
      <c r="E3870" s="3" t="n">
        <v>4</v>
      </c>
      <c r="F3870" s="24" t="n">
        <v>-0.605470479</v>
      </c>
    </row>
    <row r="3871" customFormat="false" ht="15" hidden="false" customHeight="false" outlineLevel="0" collapsed="false">
      <c r="A3871" s="3" t="n">
        <v>3870</v>
      </c>
      <c r="B3871" s="3" t="n">
        <v>3869</v>
      </c>
      <c r="C3871" s="3" t="n">
        <v>4</v>
      </c>
      <c r="D3871" s="3" t="n">
        <v>26</v>
      </c>
      <c r="E3871" s="3" t="n">
        <v>5</v>
      </c>
      <c r="F3871" s="24" t="n">
        <v>-0.605470479</v>
      </c>
    </row>
    <row r="3872" customFormat="false" ht="15" hidden="false" customHeight="false" outlineLevel="0" collapsed="false">
      <c r="A3872" s="3" t="n">
        <v>3871</v>
      </c>
      <c r="B3872" s="3" t="n">
        <v>3870</v>
      </c>
      <c r="C3872" s="3" t="n">
        <v>4</v>
      </c>
      <c r="D3872" s="3" t="n">
        <v>26</v>
      </c>
      <c r="E3872" s="3" t="n">
        <v>6</v>
      </c>
      <c r="F3872" s="24" t="n">
        <v>-0.605470479</v>
      </c>
    </row>
    <row r="3873" customFormat="false" ht="15" hidden="false" customHeight="false" outlineLevel="0" collapsed="false">
      <c r="A3873" s="3" t="n">
        <v>3872</v>
      </c>
      <c r="B3873" s="3" t="n">
        <v>3871</v>
      </c>
      <c r="C3873" s="3" t="n">
        <v>4</v>
      </c>
      <c r="D3873" s="3" t="n">
        <v>26</v>
      </c>
      <c r="E3873" s="3" t="n">
        <v>7</v>
      </c>
      <c r="F3873" s="24" t="n">
        <v>-0.605470479</v>
      </c>
    </row>
    <row r="3874" customFormat="false" ht="15" hidden="false" customHeight="false" outlineLevel="0" collapsed="false">
      <c r="A3874" s="3" t="n">
        <v>3873</v>
      </c>
      <c r="B3874" s="3" t="n">
        <v>3872</v>
      </c>
      <c r="C3874" s="3" t="n">
        <v>4</v>
      </c>
      <c r="D3874" s="3" t="n">
        <v>26</v>
      </c>
      <c r="E3874" s="3" t="n">
        <v>8</v>
      </c>
      <c r="F3874" s="24" t="n">
        <v>-0.605470479</v>
      </c>
    </row>
    <row r="3875" customFormat="false" ht="15" hidden="false" customHeight="false" outlineLevel="0" collapsed="false">
      <c r="A3875" s="3" t="n">
        <v>3874</v>
      </c>
      <c r="B3875" s="3" t="n">
        <v>3873</v>
      </c>
      <c r="C3875" s="3" t="n">
        <v>4</v>
      </c>
      <c r="D3875" s="3" t="n">
        <v>26</v>
      </c>
      <c r="E3875" s="3" t="n">
        <v>9</v>
      </c>
      <c r="F3875" s="24" t="n">
        <v>-0.525167286</v>
      </c>
    </row>
    <row r="3876" customFormat="false" ht="15" hidden="false" customHeight="false" outlineLevel="0" collapsed="false">
      <c r="A3876" s="3" t="n">
        <v>3875</v>
      </c>
      <c r="B3876" s="3" t="n">
        <v>3874</v>
      </c>
      <c r="C3876" s="3" t="n">
        <v>4</v>
      </c>
      <c r="D3876" s="3" t="n">
        <v>26</v>
      </c>
      <c r="E3876" s="3" t="n">
        <v>10</v>
      </c>
      <c r="F3876" s="24" t="n">
        <v>0.142889708</v>
      </c>
    </row>
    <row r="3877" customFormat="false" ht="15" hidden="false" customHeight="false" outlineLevel="0" collapsed="false">
      <c r="A3877" s="3" t="n">
        <v>3876</v>
      </c>
      <c r="B3877" s="3" t="n">
        <v>3875</v>
      </c>
      <c r="C3877" s="3" t="n">
        <v>4</v>
      </c>
      <c r="D3877" s="3" t="n">
        <v>26</v>
      </c>
      <c r="E3877" s="3" t="n">
        <v>11</v>
      </c>
      <c r="F3877" s="24" t="n">
        <v>0.651252985</v>
      </c>
    </row>
    <row r="3878" customFormat="false" ht="15" hidden="false" customHeight="false" outlineLevel="0" collapsed="false">
      <c r="A3878" s="3" t="n">
        <v>3877</v>
      </c>
      <c r="B3878" s="3" t="n">
        <v>3876</v>
      </c>
      <c r="C3878" s="3" t="n">
        <v>4</v>
      </c>
      <c r="D3878" s="3" t="n">
        <v>26</v>
      </c>
      <c r="E3878" s="3" t="n">
        <v>12</v>
      </c>
      <c r="F3878" s="24" t="n">
        <v>0.585694432</v>
      </c>
    </row>
    <row r="3879" customFormat="false" ht="15" hidden="false" customHeight="false" outlineLevel="0" collapsed="false">
      <c r="A3879" s="3" t="n">
        <v>3878</v>
      </c>
      <c r="B3879" s="3" t="n">
        <v>3877</v>
      </c>
      <c r="C3879" s="3" t="n">
        <v>4</v>
      </c>
      <c r="D3879" s="3" t="n">
        <v>26</v>
      </c>
      <c r="E3879" s="3" t="n">
        <v>13</v>
      </c>
      <c r="F3879" s="24" t="n">
        <v>0.151332229</v>
      </c>
    </row>
    <row r="3880" customFormat="false" ht="15" hidden="false" customHeight="false" outlineLevel="0" collapsed="false">
      <c r="A3880" s="3" t="n">
        <v>3879</v>
      </c>
      <c r="B3880" s="3" t="n">
        <v>3878</v>
      </c>
      <c r="C3880" s="3" t="n">
        <v>4</v>
      </c>
      <c r="D3880" s="3" t="n">
        <v>26</v>
      </c>
      <c r="E3880" s="3" t="n">
        <v>14</v>
      </c>
      <c r="F3880" s="24" t="n">
        <v>-0.0103446618</v>
      </c>
    </row>
    <row r="3881" customFormat="false" ht="15" hidden="false" customHeight="false" outlineLevel="0" collapsed="false">
      <c r="A3881" s="3" t="n">
        <v>3880</v>
      </c>
      <c r="B3881" s="3" t="n">
        <v>3879</v>
      </c>
      <c r="C3881" s="3" t="n">
        <v>4</v>
      </c>
      <c r="D3881" s="3" t="n">
        <v>26</v>
      </c>
      <c r="E3881" s="3" t="n">
        <v>15</v>
      </c>
      <c r="F3881" s="24" t="n">
        <v>-0.513454199</v>
      </c>
    </row>
    <row r="3882" customFormat="false" ht="15" hidden="false" customHeight="false" outlineLevel="0" collapsed="false">
      <c r="A3882" s="3" t="n">
        <v>3881</v>
      </c>
      <c r="B3882" s="3" t="n">
        <v>3880</v>
      </c>
      <c r="C3882" s="3" t="n">
        <v>4</v>
      </c>
      <c r="D3882" s="3" t="n">
        <v>26</v>
      </c>
      <c r="E3882" s="3" t="n">
        <v>16</v>
      </c>
      <c r="F3882" s="24" t="n">
        <v>-0.605470479</v>
      </c>
    </row>
    <row r="3883" customFormat="false" ht="15" hidden="false" customHeight="false" outlineLevel="0" collapsed="false">
      <c r="A3883" s="3" t="n">
        <v>3882</v>
      </c>
      <c r="B3883" s="3" t="n">
        <v>3881</v>
      </c>
      <c r="C3883" s="3" t="n">
        <v>4</v>
      </c>
      <c r="D3883" s="3" t="n">
        <v>26</v>
      </c>
      <c r="E3883" s="3" t="n">
        <v>17</v>
      </c>
      <c r="F3883" s="24" t="n">
        <v>-0.605470479</v>
      </c>
    </row>
    <row r="3884" customFormat="false" ht="15" hidden="false" customHeight="false" outlineLevel="0" collapsed="false">
      <c r="A3884" s="3" t="n">
        <v>3883</v>
      </c>
      <c r="B3884" s="3" t="n">
        <v>3882</v>
      </c>
      <c r="C3884" s="3" t="n">
        <v>4</v>
      </c>
      <c r="D3884" s="3" t="n">
        <v>26</v>
      </c>
      <c r="E3884" s="3" t="n">
        <v>18</v>
      </c>
      <c r="F3884" s="24" t="n">
        <v>-0.605470479</v>
      </c>
    </row>
    <row r="3885" customFormat="false" ht="15" hidden="false" customHeight="false" outlineLevel="0" collapsed="false">
      <c r="A3885" s="3" t="n">
        <v>3884</v>
      </c>
      <c r="B3885" s="3" t="n">
        <v>3883</v>
      </c>
      <c r="C3885" s="3" t="n">
        <v>4</v>
      </c>
      <c r="D3885" s="3" t="n">
        <v>26</v>
      </c>
      <c r="E3885" s="3" t="n">
        <v>19</v>
      </c>
      <c r="F3885" s="24" t="n">
        <v>-0.605470479</v>
      </c>
    </row>
    <row r="3886" customFormat="false" ht="15" hidden="false" customHeight="false" outlineLevel="0" collapsed="false">
      <c r="A3886" s="3" t="n">
        <v>3885</v>
      </c>
      <c r="B3886" s="3" t="n">
        <v>3884</v>
      </c>
      <c r="C3886" s="3" t="n">
        <v>4</v>
      </c>
      <c r="D3886" s="3" t="n">
        <v>26</v>
      </c>
      <c r="E3886" s="3" t="n">
        <v>20</v>
      </c>
      <c r="F3886" s="24" t="n">
        <v>-0.605470479</v>
      </c>
    </row>
    <row r="3887" customFormat="false" ht="15" hidden="false" customHeight="false" outlineLevel="0" collapsed="false">
      <c r="A3887" s="3" t="n">
        <v>3886</v>
      </c>
      <c r="B3887" s="3" t="n">
        <v>3885</v>
      </c>
      <c r="C3887" s="3" t="n">
        <v>4</v>
      </c>
      <c r="D3887" s="3" t="n">
        <v>26</v>
      </c>
      <c r="E3887" s="3" t="n">
        <v>21</v>
      </c>
      <c r="F3887" s="24" t="n">
        <v>-0.605470479</v>
      </c>
    </row>
    <row r="3888" customFormat="false" ht="15" hidden="false" customHeight="false" outlineLevel="0" collapsed="false">
      <c r="A3888" s="3" t="n">
        <v>3887</v>
      </c>
      <c r="B3888" s="3" t="n">
        <v>3886</v>
      </c>
      <c r="C3888" s="3" t="n">
        <v>4</v>
      </c>
      <c r="D3888" s="3" t="n">
        <v>26</v>
      </c>
      <c r="E3888" s="3" t="n">
        <v>22</v>
      </c>
      <c r="F3888" s="24" t="n">
        <v>-0.605470479</v>
      </c>
    </row>
    <row r="3889" customFormat="false" ht="15" hidden="false" customHeight="false" outlineLevel="0" collapsed="false">
      <c r="A3889" s="3" t="n">
        <v>3888</v>
      </c>
      <c r="B3889" s="3" t="n">
        <v>3887</v>
      </c>
      <c r="C3889" s="3" t="n">
        <v>4</v>
      </c>
      <c r="D3889" s="3" t="n">
        <v>26</v>
      </c>
      <c r="E3889" s="3" t="n">
        <v>23</v>
      </c>
      <c r="F3889" s="24" t="n">
        <v>-0.605470479</v>
      </c>
    </row>
    <row r="3890" customFormat="false" ht="15" hidden="false" customHeight="false" outlineLevel="0" collapsed="false">
      <c r="A3890" s="3" t="n">
        <v>3889</v>
      </c>
      <c r="B3890" s="3" t="n">
        <v>3888</v>
      </c>
      <c r="C3890" s="3" t="n">
        <v>4</v>
      </c>
      <c r="D3890" s="3" t="n">
        <v>26</v>
      </c>
      <c r="E3890" s="3" t="n">
        <v>24</v>
      </c>
      <c r="F3890" s="24" t="n">
        <v>-0.605470479</v>
      </c>
    </row>
    <row r="3891" customFormat="false" ht="15" hidden="false" customHeight="false" outlineLevel="0" collapsed="false">
      <c r="A3891" s="3" t="n">
        <v>3890</v>
      </c>
      <c r="B3891" s="3" t="n">
        <v>3889</v>
      </c>
      <c r="C3891" s="3" t="n">
        <v>4</v>
      </c>
      <c r="D3891" s="3" t="n">
        <v>26</v>
      </c>
      <c r="E3891" s="3" t="n">
        <v>25</v>
      </c>
      <c r="F3891" s="24" t="n">
        <v>-0.605470479</v>
      </c>
    </row>
    <row r="3892" customFormat="false" ht="15" hidden="false" customHeight="false" outlineLevel="0" collapsed="false">
      <c r="A3892" s="3" t="n">
        <v>3891</v>
      </c>
      <c r="B3892" s="3" t="n">
        <v>3890</v>
      </c>
      <c r="C3892" s="3" t="n">
        <v>4</v>
      </c>
      <c r="D3892" s="3" t="n">
        <v>26</v>
      </c>
      <c r="E3892" s="3" t="n">
        <v>26</v>
      </c>
      <c r="F3892" s="24" t="n">
        <v>-0.605470479</v>
      </c>
    </row>
    <row r="3893" customFormat="false" ht="15" hidden="false" customHeight="false" outlineLevel="0" collapsed="false">
      <c r="A3893" s="3" t="n">
        <v>3892</v>
      </c>
      <c r="B3893" s="3" t="n">
        <v>3891</v>
      </c>
      <c r="C3893" s="3" t="n">
        <v>4</v>
      </c>
      <c r="D3893" s="3" t="n">
        <v>26</v>
      </c>
      <c r="E3893" s="3" t="n">
        <v>27</v>
      </c>
      <c r="F3893" s="24" t="n">
        <v>-0.469382077</v>
      </c>
    </row>
    <row r="3894" customFormat="false" ht="15" hidden="false" customHeight="false" outlineLevel="0" collapsed="false">
      <c r="A3894" s="3" t="n">
        <v>3893</v>
      </c>
      <c r="B3894" s="3" t="n">
        <v>3892</v>
      </c>
      <c r="C3894" s="3" t="n">
        <v>4</v>
      </c>
      <c r="D3894" s="3" t="n">
        <v>27</v>
      </c>
      <c r="E3894" s="3" t="n">
        <v>0</v>
      </c>
      <c r="F3894" s="24" t="n">
        <v>-0.220353544</v>
      </c>
    </row>
    <row r="3895" customFormat="false" ht="15" hidden="false" customHeight="false" outlineLevel="0" collapsed="false">
      <c r="A3895" s="3" t="n">
        <v>3894</v>
      </c>
      <c r="B3895" s="3" t="n">
        <v>3893</v>
      </c>
      <c r="C3895" s="3" t="n">
        <v>4</v>
      </c>
      <c r="D3895" s="3" t="n">
        <v>27</v>
      </c>
      <c r="E3895" s="3" t="n">
        <v>1</v>
      </c>
      <c r="F3895" s="24" t="n">
        <v>-0.167735934</v>
      </c>
    </row>
    <row r="3896" customFormat="false" ht="15" hidden="false" customHeight="false" outlineLevel="0" collapsed="false">
      <c r="A3896" s="3" t="n">
        <v>3895</v>
      </c>
      <c r="B3896" s="3" t="n">
        <v>3894</v>
      </c>
      <c r="C3896" s="3" t="n">
        <v>4</v>
      </c>
      <c r="D3896" s="3" t="n">
        <v>27</v>
      </c>
      <c r="E3896" s="3" t="n">
        <v>2</v>
      </c>
      <c r="F3896" s="24" t="n">
        <v>-0.167735934</v>
      </c>
    </row>
    <row r="3897" customFormat="false" ht="15" hidden="false" customHeight="false" outlineLevel="0" collapsed="false">
      <c r="A3897" s="3" t="n">
        <v>3896</v>
      </c>
      <c r="B3897" s="3" t="n">
        <v>3895</v>
      </c>
      <c r="C3897" s="3" t="n">
        <v>4</v>
      </c>
      <c r="D3897" s="3" t="n">
        <v>27</v>
      </c>
      <c r="E3897" s="3" t="n">
        <v>3</v>
      </c>
      <c r="F3897" s="24" t="n">
        <v>-0.167735934</v>
      </c>
    </row>
    <row r="3898" customFormat="false" ht="15" hidden="false" customHeight="false" outlineLevel="0" collapsed="false">
      <c r="A3898" s="3" t="n">
        <v>3897</v>
      </c>
      <c r="B3898" s="3" t="n">
        <v>3896</v>
      </c>
      <c r="C3898" s="3" t="n">
        <v>4</v>
      </c>
      <c r="D3898" s="3" t="n">
        <v>27</v>
      </c>
      <c r="E3898" s="3" t="n">
        <v>4</v>
      </c>
      <c r="F3898" s="24" t="n">
        <v>-0.167735934</v>
      </c>
    </row>
    <row r="3899" customFormat="false" ht="15" hidden="false" customHeight="false" outlineLevel="0" collapsed="false">
      <c r="A3899" s="3" t="n">
        <v>3898</v>
      </c>
      <c r="B3899" s="3" t="n">
        <v>3897</v>
      </c>
      <c r="C3899" s="3" t="n">
        <v>4</v>
      </c>
      <c r="D3899" s="3" t="n">
        <v>27</v>
      </c>
      <c r="E3899" s="3" t="n">
        <v>5</v>
      </c>
      <c r="F3899" s="24" t="n">
        <v>-0.167735934</v>
      </c>
    </row>
    <row r="3900" customFormat="false" ht="15" hidden="false" customHeight="false" outlineLevel="0" collapsed="false">
      <c r="A3900" s="3" t="n">
        <v>3899</v>
      </c>
      <c r="B3900" s="3" t="n">
        <v>3898</v>
      </c>
      <c r="C3900" s="3" t="n">
        <v>4</v>
      </c>
      <c r="D3900" s="3" t="n">
        <v>27</v>
      </c>
      <c r="E3900" s="3" t="n">
        <v>6</v>
      </c>
      <c r="F3900" s="24" t="n">
        <v>-0.167735934</v>
      </c>
    </row>
    <row r="3901" customFormat="false" ht="15" hidden="false" customHeight="false" outlineLevel="0" collapsed="false">
      <c r="A3901" s="3" t="n">
        <v>3900</v>
      </c>
      <c r="B3901" s="3" t="n">
        <v>3899</v>
      </c>
      <c r="C3901" s="3" t="n">
        <v>4</v>
      </c>
      <c r="D3901" s="3" t="n">
        <v>27</v>
      </c>
      <c r="E3901" s="3" t="n">
        <v>7</v>
      </c>
      <c r="F3901" s="24" t="n">
        <v>-0.167735934</v>
      </c>
    </row>
    <row r="3902" customFormat="false" ht="15" hidden="false" customHeight="false" outlineLevel="0" collapsed="false">
      <c r="A3902" s="3" t="n">
        <v>3901</v>
      </c>
      <c r="B3902" s="3" t="n">
        <v>3900</v>
      </c>
      <c r="C3902" s="3" t="n">
        <v>4</v>
      </c>
      <c r="D3902" s="3" t="n">
        <v>27</v>
      </c>
      <c r="E3902" s="3" t="n">
        <v>8</v>
      </c>
      <c r="F3902" s="24" t="n">
        <v>-0.167735934</v>
      </c>
    </row>
    <row r="3903" customFormat="false" ht="15" hidden="false" customHeight="false" outlineLevel="0" collapsed="false">
      <c r="A3903" s="3" t="n">
        <v>3902</v>
      </c>
      <c r="B3903" s="3" t="n">
        <v>3901</v>
      </c>
      <c r="C3903" s="3" t="n">
        <v>4</v>
      </c>
      <c r="D3903" s="3" t="n">
        <v>27</v>
      </c>
      <c r="E3903" s="3" t="n">
        <v>9</v>
      </c>
      <c r="F3903" s="24" t="n">
        <v>0.0724500343</v>
      </c>
    </row>
    <row r="3904" customFormat="false" ht="15" hidden="false" customHeight="false" outlineLevel="0" collapsed="false">
      <c r="A3904" s="3" t="n">
        <v>3903</v>
      </c>
      <c r="B3904" s="3" t="n">
        <v>3902</v>
      </c>
      <c r="C3904" s="3" t="n">
        <v>4</v>
      </c>
      <c r="D3904" s="3" t="n">
        <v>27</v>
      </c>
      <c r="E3904" s="3" t="n">
        <v>10</v>
      </c>
      <c r="F3904" s="24" t="n">
        <v>0.823969483</v>
      </c>
    </row>
    <row r="3905" customFormat="false" ht="15" hidden="false" customHeight="false" outlineLevel="0" collapsed="false">
      <c r="A3905" s="3" t="n">
        <v>3904</v>
      </c>
      <c r="B3905" s="3" t="n">
        <v>3903</v>
      </c>
      <c r="C3905" s="3" t="n">
        <v>4</v>
      </c>
      <c r="D3905" s="3" t="n">
        <v>27</v>
      </c>
      <c r="E3905" s="3" t="n">
        <v>11</v>
      </c>
      <c r="F3905" s="24" t="n">
        <v>1.54488528</v>
      </c>
    </row>
    <row r="3906" customFormat="false" ht="15" hidden="false" customHeight="false" outlineLevel="0" collapsed="false">
      <c r="A3906" s="3" t="n">
        <v>3905</v>
      </c>
      <c r="B3906" s="3" t="n">
        <v>3904</v>
      </c>
      <c r="C3906" s="3" t="n">
        <v>4</v>
      </c>
      <c r="D3906" s="3" t="n">
        <v>27</v>
      </c>
      <c r="E3906" s="3" t="n">
        <v>12</v>
      </c>
      <c r="F3906" s="24" t="n">
        <v>1.28630829</v>
      </c>
    </row>
    <row r="3907" customFormat="false" ht="15" hidden="false" customHeight="false" outlineLevel="0" collapsed="false">
      <c r="A3907" s="3" t="n">
        <v>3906</v>
      </c>
      <c r="B3907" s="3" t="n">
        <v>3905</v>
      </c>
      <c r="C3907" s="3" t="n">
        <v>4</v>
      </c>
      <c r="D3907" s="3" t="n">
        <v>27</v>
      </c>
      <c r="E3907" s="3" t="n">
        <v>13</v>
      </c>
      <c r="F3907" s="24" t="n">
        <v>0.380971164</v>
      </c>
    </row>
    <row r="3908" customFormat="false" ht="15" hidden="false" customHeight="false" outlineLevel="0" collapsed="false">
      <c r="A3908" s="3" t="n">
        <v>3907</v>
      </c>
      <c r="B3908" s="3" t="n">
        <v>3906</v>
      </c>
      <c r="C3908" s="3" t="n">
        <v>4</v>
      </c>
      <c r="D3908" s="3" t="n">
        <v>27</v>
      </c>
      <c r="E3908" s="3" t="n">
        <v>14</v>
      </c>
      <c r="F3908" s="24" t="n">
        <v>-0.126328588</v>
      </c>
    </row>
    <row r="3909" customFormat="false" ht="15" hidden="false" customHeight="false" outlineLevel="0" collapsed="false">
      <c r="A3909" s="3" t="n">
        <v>3908</v>
      </c>
      <c r="B3909" s="3" t="n">
        <v>3907</v>
      </c>
      <c r="C3909" s="3" t="n">
        <v>4</v>
      </c>
      <c r="D3909" s="3" t="n">
        <v>27</v>
      </c>
      <c r="E3909" s="3" t="n">
        <v>15</v>
      </c>
      <c r="F3909" s="24" t="n">
        <v>-0.167735934</v>
      </c>
    </row>
    <row r="3910" customFormat="false" ht="15" hidden="false" customHeight="false" outlineLevel="0" collapsed="false">
      <c r="A3910" s="3" t="n">
        <v>3909</v>
      </c>
      <c r="B3910" s="3" t="n">
        <v>3908</v>
      </c>
      <c r="C3910" s="3" t="n">
        <v>4</v>
      </c>
      <c r="D3910" s="3" t="n">
        <v>27</v>
      </c>
      <c r="E3910" s="3" t="n">
        <v>16</v>
      </c>
      <c r="F3910" s="24" t="n">
        <v>-0.167735934</v>
      </c>
    </row>
    <row r="3911" customFormat="false" ht="15" hidden="false" customHeight="false" outlineLevel="0" collapsed="false">
      <c r="A3911" s="3" t="n">
        <v>3910</v>
      </c>
      <c r="B3911" s="3" t="n">
        <v>3909</v>
      </c>
      <c r="C3911" s="3" t="n">
        <v>4</v>
      </c>
      <c r="D3911" s="3" t="n">
        <v>27</v>
      </c>
      <c r="E3911" s="3" t="n">
        <v>17</v>
      </c>
      <c r="F3911" s="24" t="n">
        <v>-0.167735934</v>
      </c>
    </row>
    <row r="3912" customFormat="false" ht="15" hidden="false" customHeight="false" outlineLevel="0" collapsed="false">
      <c r="A3912" s="3" t="n">
        <v>3911</v>
      </c>
      <c r="B3912" s="3" t="n">
        <v>3910</v>
      </c>
      <c r="C3912" s="3" t="n">
        <v>4</v>
      </c>
      <c r="D3912" s="3" t="n">
        <v>27</v>
      </c>
      <c r="E3912" s="3" t="n">
        <v>18</v>
      </c>
      <c r="F3912" s="24" t="n">
        <v>-0.167735934</v>
      </c>
    </row>
    <row r="3913" customFormat="false" ht="15" hidden="false" customHeight="false" outlineLevel="0" collapsed="false">
      <c r="A3913" s="3" t="n">
        <v>3912</v>
      </c>
      <c r="B3913" s="3" t="n">
        <v>3911</v>
      </c>
      <c r="C3913" s="3" t="n">
        <v>4</v>
      </c>
      <c r="D3913" s="3" t="n">
        <v>27</v>
      </c>
      <c r="E3913" s="3" t="n">
        <v>19</v>
      </c>
      <c r="F3913" s="24" t="n">
        <v>-0.167735934</v>
      </c>
    </row>
    <row r="3914" customFormat="false" ht="15" hidden="false" customHeight="false" outlineLevel="0" collapsed="false">
      <c r="A3914" s="3" t="n">
        <v>3913</v>
      </c>
      <c r="B3914" s="3" t="n">
        <v>3912</v>
      </c>
      <c r="C3914" s="3" t="n">
        <v>4</v>
      </c>
      <c r="D3914" s="3" t="n">
        <v>27</v>
      </c>
      <c r="E3914" s="3" t="n">
        <v>20</v>
      </c>
      <c r="F3914" s="24" t="n">
        <v>-0.167735934</v>
      </c>
    </row>
    <row r="3915" customFormat="false" ht="15" hidden="false" customHeight="false" outlineLevel="0" collapsed="false">
      <c r="A3915" s="3" t="n">
        <v>3914</v>
      </c>
      <c r="B3915" s="3" t="n">
        <v>3913</v>
      </c>
      <c r="C3915" s="3" t="n">
        <v>4</v>
      </c>
      <c r="D3915" s="3" t="n">
        <v>27</v>
      </c>
      <c r="E3915" s="3" t="n">
        <v>21</v>
      </c>
      <c r="F3915" s="24" t="n">
        <v>-0.167735934</v>
      </c>
    </row>
    <row r="3916" customFormat="false" ht="15" hidden="false" customHeight="false" outlineLevel="0" collapsed="false">
      <c r="A3916" s="3" t="n">
        <v>3915</v>
      </c>
      <c r="B3916" s="3" t="n">
        <v>3914</v>
      </c>
      <c r="C3916" s="3" t="n">
        <v>4</v>
      </c>
      <c r="D3916" s="3" t="n">
        <v>27</v>
      </c>
      <c r="E3916" s="3" t="n">
        <v>22</v>
      </c>
      <c r="F3916" s="24" t="n">
        <v>-0.167735934</v>
      </c>
    </row>
    <row r="3917" customFormat="false" ht="15" hidden="false" customHeight="false" outlineLevel="0" collapsed="false">
      <c r="A3917" s="3" t="n">
        <v>3916</v>
      </c>
      <c r="B3917" s="3" t="n">
        <v>3915</v>
      </c>
      <c r="C3917" s="3" t="n">
        <v>4</v>
      </c>
      <c r="D3917" s="3" t="n">
        <v>27</v>
      </c>
      <c r="E3917" s="3" t="n">
        <v>23</v>
      </c>
      <c r="F3917" s="24" t="n">
        <v>-0.167735934</v>
      </c>
    </row>
    <row r="3918" customFormat="false" ht="15" hidden="false" customHeight="false" outlineLevel="0" collapsed="false">
      <c r="A3918" s="3" t="n">
        <v>3917</v>
      </c>
      <c r="B3918" s="3" t="n">
        <v>3916</v>
      </c>
      <c r="C3918" s="3" t="n">
        <v>4</v>
      </c>
      <c r="D3918" s="3" t="n">
        <v>27</v>
      </c>
      <c r="E3918" s="3" t="n">
        <v>24</v>
      </c>
      <c r="F3918" s="24" t="n">
        <v>-0.167735934</v>
      </c>
    </row>
    <row r="3919" customFormat="false" ht="15" hidden="false" customHeight="false" outlineLevel="0" collapsed="false">
      <c r="A3919" s="3" t="n">
        <v>3918</v>
      </c>
      <c r="B3919" s="3" t="n">
        <v>3917</v>
      </c>
      <c r="C3919" s="3" t="n">
        <v>4</v>
      </c>
      <c r="D3919" s="3" t="n">
        <v>27</v>
      </c>
      <c r="E3919" s="3" t="n">
        <v>25</v>
      </c>
      <c r="F3919" s="24" t="n">
        <v>-0.167735934</v>
      </c>
    </row>
    <row r="3920" customFormat="false" ht="15" hidden="false" customHeight="false" outlineLevel="0" collapsed="false">
      <c r="A3920" s="3" t="n">
        <v>3919</v>
      </c>
      <c r="B3920" s="3" t="n">
        <v>3918</v>
      </c>
      <c r="C3920" s="3" t="n">
        <v>4</v>
      </c>
      <c r="D3920" s="3" t="n">
        <v>27</v>
      </c>
      <c r="E3920" s="3" t="n">
        <v>26</v>
      </c>
      <c r="F3920" s="24" t="n">
        <v>-0.167735934</v>
      </c>
    </row>
    <row r="3921" customFormat="false" ht="15" hidden="false" customHeight="false" outlineLevel="0" collapsed="false">
      <c r="A3921" s="3" t="n">
        <v>3920</v>
      </c>
      <c r="B3921" s="3" t="n">
        <v>3919</v>
      </c>
      <c r="C3921" s="3" t="n">
        <v>4</v>
      </c>
      <c r="D3921" s="3" t="n">
        <v>27</v>
      </c>
      <c r="E3921" s="3" t="n">
        <v>27</v>
      </c>
      <c r="F3921" s="24" t="n">
        <v>-0.145617038</v>
      </c>
    </row>
    <row r="3922" customFormat="false" ht="15" hidden="false" customHeight="false" outlineLevel="0" collapsed="false">
      <c r="A3922" s="3" t="n">
        <v>3921</v>
      </c>
      <c r="B3922" s="3" t="n">
        <v>3920</v>
      </c>
      <c r="C3922" s="3" t="n">
        <v>5</v>
      </c>
      <c r="D3922" s="3" t="n">
        <v>0</v>
      </c>
      <c r="E3922" s="3" t="n">
        <v>0</v>
      </c>
      <c r="F3922" s="24" t="n">
        <v>0.766294479</v>
      </c>
    </row>
    <row r="3923" customFormat="false" ht="15" hidden="false" customHeight="false" outlineLevel="0" collapsed="false">
      <c r="A3923" s="3" t="n">
        <v>3922</v>
      </c>
      <c r="B3923" s="3" t="n">
        <v>3921</v>
      </c>
      <c r="C3923" s="3" t="n">
        <v>5</v>
      </c>
      <c r="D3923" s="3" t="n">
        <v>0</v>
      </c>
      <c r="E3923" s="3" t="n">
        <v>1</v>
      </c>
      <c r="F3923" s="24" t="n">
        <v>1.05244422</v>
      </c>
    </row>
    <row r="3924" customFormat="false" ht="15" hidden="false" customHeight="false" outlineLevel="0" collapsed="false">
      <c r="A3924" s="3" t="n">
        <v>3923</v>
      </c>
      <c r="B3924" s="3" t="n">
        <v>3922</v>
      </c>
      <c r="C3924" s="3" t="n">
        <v>5</v>
      </c>
      <c r="D3924" s="3" t="n">
        <v>0</v>
      </c>
      <c r="E3924" s="3" t="n">
        <v>2</v>
      </c>
      <c r="F3924" s="24" t="n">
        <v>1.05244422</v>
      </c>
    </row>
    <row r="3925" customFormat="false" ht="15" hidden="false" customHeight="false" outlineLevel="0" collapsed="false">
      <c r="A3925" s="3" t="n">
        <v>3924</v>
      </c>
      <c r="B3925" s="3" t="n">
        <v>3923</v>
      </c>
      <c r="C3925" s="3" t="n">
        <v>5</v>
      </c>
      <c r="D3925" s="3" t="n">
        <v>0</v>
      </c>
      <c r="E3925" s="3" t="n">
        <v>3</v>
      </c>
      <c r="F3925" s="24" t="n">
        <v>1.05244422</v>
      </c>
    </row>
    <row r="3926" customFormat="false" ht="15" hidden="false" customHeight="false" outlineLevel="0" collapsed="false">
      <c r="A3926" s="3" t="n">
        <v>3925</v>
      </c>
      <c r="B3926" s="3" t="n">
        <v>3924</v>
      </c>
      <c r="C3926" s="3" t="n">
        <v>5</v>
      </c>
      <c r="D3926" s="3" t="n">
        <v>0</v>
      </c>
      <c r="E3926" s="3" t="n">
        <v>4</v>
      </c>
      <c r="F3926" s="24" t="n">
        <v>1.05244422</v>
      </c>
    </row>
    <row r="3927" customFormat="false" ht="15" hidden="false" customHeight="false" outlineLevel="0" collapsed="false">
      <c r="A3927" s="3" t="n">
        <v>3926</v>
      </c>
      <c r="B3927" s="3" t="n">
        <v>3925</v>
      </c>
      <c r="C3927" s="3" t="n">
        <v>5</v>
      </c>
      <c r="D3927" s="3" t="n">
        <v>0</v>
      </c>
      <c r="E3927" s="3" t="n">
        <v>5</v>
      </c>
      <c r="F3927" s="24" t="n">
        <v>1.05244422</v>
      </c>
    </row>
    <row r="3928" customFormat="false" ht="15" hidden="false" customHeight="false" outlineLevel="0" collapsed="false">
      <c r="A3928" s="3" t="n">
        <v>3927</v>
      </c>
      <c r="B3928" s="3" t="n">
        <v>3926</v>
      </c>
      <c r="C3928" s="3" t="n">
        <v>5</v>
      </c>
      <c r="D3928" s="3" t="n">
        <v>0</v>
      </c>
      <c r="E3928" s="3" t="n">
        <v>6</v>
      </c>
      <c r="F3928" s="24" t="n">
        <v>1.05244422</v>
      </c>
    </row>
    <row r="3929" customFormat="false" ht="15" hidden="false" customHeight="false" outlineLevel="0" collapsed="false">
      <c r="A3929" s="3" t="n">
        <v>3928</v>
      </c>
      <c r="B3929" s="3" t="n">
        <v>3927</v>
      </c>
      <c r="C3929" s="3" t="n">
        <v>5</v>
      </c>
      <c r="D3929" s="3" t="n">
        <v>0</v>
      </c>
      <c r="E3929" s="3" t="n">
        <v>7</v>
      </c>
      <c r="F3929" s="24" t="n">
        <v>1.05244422</v>
      </c>
    </row>
    <row r="3930" customFormat="false" ht="15" hidden="false" customHeight="false" outlineLevel="0" collapsed="false">
      <c r="A3930" s="3" t="n">
        <v>3929</v>
      </c>
      <c r="B3930" s="3" t="n">
        <v>3928</v>
      </c>
      <c r="C3930" s="3" t="n">
        <v>5</v>
      </c>
      <c r="D3930" s="3" t="n">
        <v>0</v>
      </c>
      <c r="E3930" s="3" t="n">
        <v>8</v>
      </c>
      <c r="F3930" s="24" t="n">
        <v>1.05244422</v>
      </c>
    </row>
    <row r="3931" customFormat="false" ht="15" hidden="false" customHeight="false" outlineLevel="0" collapsed="false">
      <c r="A3931" s="3" t="n">
        <v>3930</v>
      </c>
      <c r="B3931" s="3" t="n">
        <v>3929</v>
      </c>
      <c r="C3931" s="3" t="n">
        <v>5</v>
      </c>
      <c r="D3931" s="3" t="n">
        <v>0</v>
      </c>
      <c r="E3931" s="3" t="n">
        <v>9</v>
      </c>
      <c r="F3931" s="24" t="n">
        <v>1.05244422</v>
      </c>
    </row>
    <row r="3932" customFormat="false" ht="15" hidden="false" customHeight="false" outlineLevel="0" collapsed="false">
      <c r="A3932" s="3" t="n">
        <v>3931</v>
      </c>
      <c r="B3932" s="3" t="n">
        <v>3930</v>
      </c>
      <c r="C3932" s="3" t="n">
        <v>5</v>
      </c>
      <c r="D3932" s="3" t="n">
        <v>0</v>
      </c>
      <c r="E3932" s="3" t="n">
        <v>10</v>
      </c>
      <c r="F3932" s="24" t="n">
        <v>1.05244422</v>
      </c>
    </row>
    <row r="3933" customFormat="false" ht="15" hidden="false" customHeight="false" outlineLevel="0" collapsed="false">
      <c r="A3933" s="3" t="n">
        <v>3932</v>
      </c>
      <c r="B3933" s="3" t="n">
        <v>3931</v>
      </c>
      <c r="C3933" s="3" t="n">
        <v>5</v>
      </c>
      <c r="D3933" s="3" t="n">
        <v>0</v>
      </c>
      <c r="E3933" s="3" t="n">
        <v>11</v>
      </c>
      <c r="F3933" s="24" t="n">
        <v>1.05244422</v>
      </c>
    </row>
    <row r="3934" customFormat="false" ht="15" hidden="false" customHeight="false" outlineLevel="0" collapsed="false">
      <c r="A3934" s="3" t="n">
        <v>3933</v>
      </c>
      <c r="B3934" s="3" t="n">
        <v>3932</v>
      </c>
      <c r="C3934" s="3" t="n">
        <v>5</v>
      </c>
      <c r="D3934" s="3" t="n">
        <v>0</v>
      </c>
      <c r="E3934" s="3" t="n">
        <v>12</v>
      </c>
      <c r="F3934" s="24" t="n">
        <v>1.05244422</v>
      </c>
    </row>
    <row r="3935" customFormat="false" ht="15" hidden="false" customHeight="false" outlineLevel="0" collapsed="false">
      <c r="A3935" s="3" t="n">
        <v>3934</v>
      </c>
      <c r="B3935" s="3" t="n">
        <v>3933</v>
      </c>
      <c r="C3935" s="3" t="n">
        <v>5</v>
      </c>
      <c r="D3935" s="3" t="n">
        <v>0</v>
      </c>
      <c r="E3935" s="3" t="n">
        <v>13</v>
      </c>
      <c r="F3935" s="24" t="n">
        <v>1.05244422</v>
      </c>
    </row>
    <row r="3936" customFormat="false" ht="15" hidden="false" customHeight="false" outlineLevel="0" collapsed="false">
      <c r="A3936" s="3" t="n">
        <v>3935</v>
      </c>
      <c r="B3936" s="3" t="n">
        <v>3934</v>
      </c>
      <c r="C3936" s="3" t="n">
        <v>5</v>
      </c>
      <c r="D3936" s="3" t="n">
        <v>0</v>
      </c>
      <c r="E3936" s="3" t="n">
        <v>14</v>
      </c>
      <c r="F3936" s="24" t="n">
        <v>1.05244422</v>
      </c>
    </row>
    <row r="3937" customFormat="false" ht="15" hidden="false" customHeight="false" outlineLevel="0" collapsed="false">
      <c r="A3937" s="3" t="n">
        <v>3936</v>
      </c>
      <c r="B3937" s="3" t="n">
        <v>3935</v>
      </c>
      <c r="C3937" s="3" t="n">
        <v>5</v>
      </c>
      <c r="D3937" s="3" t="n">
        <v>0</v>
      </c>
      <c r="E3937" s="3" t="n">
        <v>15</v>
      </c>
      <c r="F3937" s="24" t="n">
        <v>1.05244422</v>
      </c>
    </row>
    <row r="3938" customFormat="false" ht="15" hidden="false" customHeight="false" outlineLevel="0" collapsed="false">
      <c r="A3938" s="3" t="n">
        <v>3937</v>
      </c>
      <c r="B3938" s="3" t="n">
        <v>3936</v>
      </c>
      <c r="C3938" s="3" t="n">
        <v>5</v>
      </c>
      <c r="D3938" s="3" t="n">
        <v>0</v>
      </c>
      <c r="E3938" s="3" t="n">
        <v>16</v>
      </c>
      <c r="F3938" s="24" t="n">
        <v>1.05244422</v>
      </c>
    </row>
    <row r="3939" customFormat="false" ht="15" hidden="false" customHeight="false" outlineLevel="0" collapsed="false">
      <c r="A3939" s="3" t="n">
        <v>3938</v>
      </c>
      <c r="B3939" s="3" t="n">
        <v>3937</v>
      </c>
      <c r="C3939" s="3" t="n">
        <v>5</v>
      </c>
      <c r="D3939" s="3" t="n">
        <v>0</v>
      </c>
      <c r="E3939" s="3" t="n">
        <v>17</v>
      </c>
      <c r="F3939" s="24" t="n">
        <v>1.05244422</v>
      </c>
    </row>
    <row r="3940" customFormat="false" ht="15" hidden="false" customHeight="false" outlineLevel="0" collapsed="false">
      <c r="A3940" s="3" t="n">
        <v>3939</v>
      </c>
      <c r="B3940" s="3" t="n">
        <v>3938</v>
      </c>
      <c r="C3940" s="3" t="n">
        <v>5</v>
      </c>
      <c r="D3940" s="3" t="n">
        <v>0</v>
      </c>
      <c r="E3940" s="3" t="n">
        <v>18</v>
      </c>
      <c r="F3940" s="24" t="n">
        <v>1.05244422</v>
      </c>
    </row>
    <row r="3941" customFormat="false" ht="15" hidden="false" customHeight="false" outlineLevel="0" collapsed="false">
      <c r="A3941" s="3" t="n">
        <v>3940</v>
      </c>
      <c r="B3941" s="3" t="n">
        <v>3939</v>
      </c>
      <c r="C3941" s="3" t="n">
        <v>5</v>
      </c>
      <c r="D3941" s="3" t="n">
        <v>0</v>
      </c>
      <c r="E3941" s="3" t="n">
        <v>19</v>
      </c>
      <c r="F3941" s="24" t="n">
        <v>1.05244422</v>
      </c>
    </row>
    <row r="3942" customFormat="false" ht="15" hidden="false" customHeight="false" outlineLevel="0" collapsed="false">
      <c r="A3942" s="3" t="n">
        <v>3941</v>
      </c>
      <c r="B3942" s="3" t="n">
        <v>3940</v>
      </c>
      <c r="C3942" s="3" t="n">
        <v>5</v>
      </c>
      <c r="D3942" s="3" t="n">
        <v>0</v>
      </c>
      <c r="E3942" s="3" t="n">
        <v>20</v>
      </c>
      <c r="F3942" s="24" t="n">
        <v>1.05244422</v>
      </c>
    </row>
    <row r="3943" customFormat="false" ht="15" hidden="false" customHeight="false" outlineLevel="0" collapsed="false">
      <c r="A3943" s="3" t="n">
        <v>3942</v>
      </c>
      <c r="B3943" s="3" t="n">
        <v>3941</v>
      </c>
      <c r="C3943" s="3" t="n">
        <v>5</v>
      </c>
      <c r="D3943" s="3" t="n">
        <v>0</v>
      </c>
      <c r="E3943" s="3" t="n">
        <v>21</v>
      </c>
      <c r="F3943" s="24" t="n">
        <v>1.05244422</v>
      </c>
    </row>
    <row r="3944" customFormat="false" ht="15" hidden="false" customHeight="false" outlineLevel="0" collapsed="false">
      <c r="A3944" s="3" t="n">
        <v>3943</v>
      </c>
      <c r="B3944" s="3" t="n">
        <v>3942</v>
      </c>
      <c r="C3944" s="3" t="n">
        <v>5</v>
      </c>
      <c r="D3944" s="3" t="n">
        <v>0</v>
      </c>
      <c r="E3944" s="3" t="n">
        <v>22</v>
      </c>
      <c r="F3944" s="24" t="n">
        <v>1.05244422</v>
      </c>
    </row>
    <row r="3945" customFormat="false" ht="15" hidden="false" customHeight="false" outlineLevel="0" collapsed="false">
      <c r="A3945" s="3" t="n">
        <v>3944</v>
      </c>
      <c r="B3945" s="3" t="n">
        <v>3943</v>
      </c>
      <c r="C3945" s="3" t="n">
        <v>5</v>
      </c>
      <c r="D3945" s="3" t="n">
        <v>0</v>
      </c>
      <c r="E3945" s="3" t="n">
        <v>23</v>
      </c>
      <c r="F3945" s="24" t="n">
        <v>1.05244422</v>
      </c>
    </row>
    <row r="3946" customFormat="false" ht="15" hidden="false" customHeight="false" outlineLevel="0" collapsed="false">
      <c r="A3946" s="3" t="n">
        <v>3945</v>
      </c>
      <c r="B3946" s="3" t="n">
        <v>3944</v>
      </c>
      <c r="C3946" s="3" t="n">
        <v>5</v>
      </c>
      <c r="D3946" s="3" t="n">
        <v>0</v>
      </c>
      <c r="E3946" s="3" t="n">
        <v>24</v>
      </c>
      <c r="F3946" s="24" t="n">
        <v>1.05244422</v>
      </c>
    </row>
    <row r="3947" customFormat="false" ht="15" hidden="false" customHeight="false" outlineLevel="0" collapsed="false">
      <c r="A3947" s="3" t="n">
        <v>3946</v>
      </c>
      <c r="B3947" s="3" t="n">
        <v>3945</v>
      </c>
      <c r="C3947" s="3" t="n">
        <v>5</v>
      </c>
      <c r="D3947" s="3" t="n">
        <v>0</v>
      </c>
      <c r="E3947" s="3" t="n">
        <v>25</v>
      </c>
      <c r="F3947" s="24" t="n">
        <v>1.05244422</v>
      </c>
    </row>
    <row r="3948" customFormat="false" ht="15" hidden="false" customHeight="false" outlineLevel="0" collapsed="false">
      <c r="A3948" s="3" t="n">
        <v>3947</v>
      </c>
      <c r="B3948" s="3" t="n">
        <v>3946</v>
      </c>
      <c r="C3948" s="3" t="n">
        <v>5</v>
      </c>
      <c r="D3948" s="3" t="n">
        <v>0</v>
      </c>
      <c r="E3948" s="3" t="n">
        <v>26</v>
      </c>
      <c r="F3948" s="24" t="n">
        <v>1.05244422</v>
      </c>
    </row>
    <row r="3949" customFormat="false" ht="15" hidden="false" customHeight="false" outlineLevel="0" collapsed="false">
      <c r="A3949" s="3" t="n">
        <v>3948</v>
      </c>
      <c r="B3949" s="3" t="n">
        <v>3947</v>
      </c>
      <c r="C3949" s="3" t="n">
        <v>5</v>
      </c>
      <c r="D3949" s="3" t="n">
        <v>0</v>
      </c>
      <c r="E3949" s="3" t="n">
        <v>27</v>
      </c>
      <c r="F3949" s="24" t="n">
        <v>0.850342512</v>
      </c>
    </row>
    <row r="3950" customFormat="false" ht="15" hidden="false" customHeight="false" outlineLevel="0" collapsed="false">
      <c r="A3950" s="3" t="n">
        <v>3949</v>
      </c>
      <c r="B3950" s="3" t="n">
        <v>3948</v>
      </c>
      <c r="C3950" s="3" t="n">
        <v>5</v>
      </c>
      <c r="D3950" s="3" t="n">
        <v>1</v>
      </c>
      <c r="E3950" s="3" t="n">
        <v>0</v>
      </c>
      <c r="F3950" s="24" t="n">
        <v>0.354324996</v>
      </c>
    </row>
    <row r="3951" customFormat="false" ht="15" hidden="false" customHeight="false" outlineLevel="0" collapsed="false">
      <c r="A3951" s="3" t="n">
        <v>3950</v>
      </c>
      <c r="B3951" s="3" t="n">
        <v>3949</v>
      </c>
      <c r="C3951" s="3" t="n">
        <v>5</v>
      </c>
      <c r="D3951" s="3" t="n">
        <v>1</v>
      </c>
      <c r="E3951" s="3" t="n">
        <v>1</v>
      </c>
      <c r="F3951" s="24" t="n">
        <v>0.51512605</v>
      </c>
    </row>
    <row r="3952" customFormat="false" ht="15" hidden="false" customHeight="false" outlineLevel="0" collapsed="false">
      <c r="A3952" s="3" t="n">
        <v>3951</v>
      </c>
      <c r="B3952" s="3" t="n">
        <v>3950</v>
      </c>
      <c r="C3952" s="3" t="n">
        <v>5</v>
      </c>
      <c r="D3952" s="3" t="n">
        <v>1</v>
      </c>
      <c r="E3952" s="3" t="n">
        <v>2</v>
      </c>
      <c r="F3952" s="24" t="n">
        <v>0.51512605</v>
      </c>
    </row>
    <row r="3953" customFormat="false" ht="15" hidden="false" customHeight="false" outlineLevel="0" collapsed="false">
      <c r="A3953" s="3" t="n">
        <v>3952</v>
      </c>
      <c r="B3953" s="3" t="n">
        <v>3951</v>
      </c>
      <c r="C3953" s="3" t="n">
        <v>5</v>
      </c>
      <c r="D3953" s="3" t="n">
        <v>1</v>
      </c>
      <c r="E3953" s="3" t="n">
        <v>3</v>
      </c>
      <c r="F3953" s="24" t="n">
        <v>0.51512605</v>
      </c>
    </row>
    <row r="3954" customFormat="false" ht="15" hidden="false" customHeight="false" outlineLevel="0" collapsed="false">
      <c r="A3954" s="3" t="n">
        <v>3953</v>
      </c>
      <c r="B3954" s="3" t="n">
        <v>3952</v>
      </c>
      <c r="C3954" s="3" t="n">
        <v>5</v>
      </c>
      <c r="D3954" s="3" t="n">
        <v>1</v>
      </c>
      <c r="E3954" s="3" t="n">
        <v>4</v>
      </c>
      <c r="F3954" s="24" t="n">
        <v>0.51512605</v>
      </c>
    </row>
    <row r="3955" customFormat="false" ht="15" hidden="false" customHeight="false" outlineLevel="0" collapsed="false">
      <c r="A3955" s="3" t="n">
        <v>3954</v>
      </c>
      <c r="B3955" s="3" t="n">
        <v>3953</v>
      </c>
      <c r="C3955" s="3" t="n">
        <v>5</v>
      </c>
      <c r="D3955" s="3" t="n">
        <v>1</v>
      </c>
      <c r="E3955" s="3" t="n">
        <v>5</v>
      </c>
      <c r="F3955" s="24" t="n">
        <v>0.51512605</v>
      </c>
    </row>
    <row r="3956" customFormat="false" ht="15" hidden="false" customHeight="false" outlineLevel="0" collapsed="false">
      <c r="A3956" s="3" t="n">
        <v>3955</v>
      </c>
      <c r="B3956" s="3" t="n">
        <v>3954</v>
      </c>
      <c r="C3956" s="3" t="n">
        <v>5</v>
      </c>
      <c r="D3956" s="3" t="n">
        <v>1</v>
      </c>
      <c r="E3956" s="3" t="n">
        <v>6</v>
      </c>
      <c r="F3956" s="24" t="n">
        <v>0.51512605</v>
      </c>
    </row>
    <row r="3957" customFormat="false" ht="15" hidden="false" customHeight="false" outlineLevel="0" collapsed="false">
      <c r="A3957" s="3" t="n">
        <v>3956</v>
      </c>
      <c r="B3957" s="3" t="n">
        <v>3955</v>
      </c>
      <c r="C3957" s="3" t="n">
        <v>5</v>
      </c>
      <c r="D3957" s="3" t="n">
        <v>1</v>
      </c>
      <c r="E3957" s="3" t="n">
        <v>7</v>
      </c>
      <c r="F3957" s="24" t="n">
        <v>0.51512605</v>
      </c>
    </row>
    <row r="3958" customFormat="false" ht="15" hidden="false" customHeight="false" outlineLevel="0" collapsed="false">
      <c r="A3958" s="3" t="n">
        <v>3957</v>
      </c>
      <c r="B3958" s="3" t="n">
        <v>3956</v>
      </c>
      <c r="C3958" s="3" t="n">
        <v>5</v>
      </c>
      <c r="D3958" s="3" t="n">
        <v>1</v>
      </c>
      <c r="E3958" s="3" t="n">
        <v>8</v>
      </c>
      <c r="F3958" s="24" t="n">
        <v>0.51512605</v>
      </c>
    </row>
    <row r="3959" customFormat="false" ht="15" hidden="false" customHeight="false" outlineLevel="0" collapsed="false">
      <c r="A3959" s="3" t="n">
        <v>3958</v>
      </c>
      <c r="B3959" s="3" t="n">
        <v>3957</v>
      </c>
      <c r="C3959" s="3" t="n">
        <v>5</v>
      </c>
      <c r="D3959" s="3" t="n">
        <v>1</v>
      </c>
      <c r="E3959" s="3" t="n">
        <v>9</v>
      </c>
      <c r="F3959" s="24" t="n">
        <v>0.51512605</v>
      </c>
    </row>
    <row r="3960" customFormat="false" ht="15" hidden="false" customHeight="false" outlineLevel="0" collapsed="false">
      <c r="A3960" s="3" t="n">
        <v>3959</v>
      </c>
      <c r="B3960" s="3" t="n">
        <v>3958</v>
      </c>
      <c r="C3960" s="3" t="n">
        <v>5</v>
      </c>
      <c r="D3960" s="3" t="n">
        <v>1</v>
      </c>
      <c r="E3960" s="3" t="n">
        <v>10</v>
      </c>
      <c r="F3960" s="24" t="n">
        <v>0.51512605</v>
      </c>
    </row>
    <row r="3961" customFormat="false" ht="15" hidden="false" customHeight="false" outlineLevel="0" collapsed="false">
      <c r="A3961" s="3" t="n">
        <v>3960</v>
      </c>
      <c r="B3961" s="3" t="n">
        <v>3959</v>
      </c>
      <c r="C3961" s="3" t="n">
        <v>5</v>
      </c>
      <c r="D3961" s="3" t="n">
        <v>1</v>
      </c>
      <c r="E3961" s="3" t="n">
        <v>11</v>
      </c>
      <c r="F3961" s="24" t="n">
        <v>0.51512605</v>
      </c>
    </row>
    <row r="3962" customFormat="false" ht="15" hidden="false" customHeight="false" outlineLevel="0" collapsed="false">
      <c r="A3962" s="3" t="n">
        <v>3961</v>
      </c>
      <c r="B3962" s="3" t="n">
        <v>3960</v>
      </c>
      <c r="C3962" s="3" t="n">
        <v>5</v>
      </c>
      <c r="D3962" s="3" t="n">
        <v>1</v>
      </c>
      <c r="E3962" s="3" t="n">
        <v>12</v>
      </c>
      <c r="F3962" s="24" t="n">
        <v>0.51512605</v>
      </c>
    </row>
    <row r="3963" customFormat="false" ht="15" hidden="false" customHeight="false" outlineLevel="0" collapsed="false">
      <c r="A3963" s="3" t="n">
        <v>3962</v>
      </c>
      <c r="B3963" s="3" t="n">
        <v>3961</v>
      </c>
      <c r="C3963" s="3" t="n">
        <v>5</v>
      </c>
      <c r="D3963" s="3" t="n">
        <v>1</v>
      </c>
      <c r="E3963" s="3" t="n">
        <v>13</v>
      </c>
      <c r="F3963" s="24" t="n">
        <v>0.51512605</v>
      </c>
    </row>
    <row r="3964" customFormat="false" ht="15" hidden="false" customHeight="false" outlineLevel="0" collapsed="false">
      <c r="A3964" s="3" t="n">
        <v>3963</v>
      </c>
      <c r="B3964" s="3" t="n">
        <v>3962</v>
      </c>
      <c r="C3964" s="3" t="n">
        <v>5</v>
      </c>
      <c r="D3964" s="3" t="n">
        <v>1</v>
      </c>
      <c r="E3964" s="3" t="n">
        <v>14</v>
      </c>
      <c r="F3964" s="24" t="n">
        <v>0.51512605</v>
      </c>
    </row>
    <row r="3965" customFormat="false" ht="15" hidden="false" customHeight="false" outlineLevel="0" collapsed="false">
      <c r="A3965" s="3" t="n">
        <v>3964</v>
      </c>
      <c r="B3965" s="3" t="n">
        <v>3963</v>
      </c>
      <c r="C3965" s="3" t="n">
        <v>5</v>
      </c>
      <c r="D3965" s="3" t="n">
        <v>1</v>
      </c>
      <c r="E3965" s="3" t="n">
        <v>15</v>
      </c>
      <c r="F3965" s="24" t="n">
        <v>0.51512605</v>
      </c>
    </row>
    <row r="3966" customFormat="false" ht="15" hidden="false" customHeight="false" outlineLevel="0" collapsed="false">
      <c r="A3966" s="3" t="n">
        <v>3965</v>
      </c>
      <c r="B3966" s="3" t="n">
        <v>3964</v>
      </c>
      <c r="C3966" s="3" t="n">
        <v>5</v>
      </c>
      <c r="D3966" s="3" t="n">
        <v>1</v>
      </c>
      <c r="E3966" s="3" t="n">
        <v>16</v>
      </c>
      <c r="F3966" s="24" t="n">
        <v>0.51512605</v>
      </c>
    </row>
    <row r="3967" customFormat="false" ht="15" hidden="false" customHeight="false" outlineLevel="0" collapsed="false">
      <c r="A3967" s="3" t="n">
        <v>3966</v>
      </c>
      <c r="B3967" s="3" t="n">
        <v>3965</v>
      </c>
      <c r="C3967" s="3" t="n">
        <v>5</v>
      </c>
      <c r="D3967" s="3" t="n">
        <v>1</v>
      </c>
      <c r="E3967" s="3" t="n">
        <v>17</v>
      </c>
      <c r="F3967" s="24" t="n">
        <v>0.51512605</v>
      </c>
    </row>
    <row r="3968" customFormat="false" ht="15" hidden="false" customHeight="false" outlineLevel="0" collapsed="false">
      <c r="A3968" s="3" t="n">
        <v>3967</v>
      </c>
      <c r="B3968" s="3" t="n">
        <v>3966</v>
      </c>
      <c r="C3968" s="3" t="n">
        <v>5</v>
      </c>
      <c r="D3968" s="3" t="n">
        <v>1</v>
      </c>
      <c r="E3968" s="3" t="n">
        <v>18</v>
      </c>
      <c r="F3968" s="24" t="n">
        <v>0.51512605</v>
      </c>
    </row>
    <row r="3969" customFormat="false" ht="15" hidden="false" customHeight="false" outlineLevel="0" collapsed="false">
      <c r="A3969" s="3" t="n">
        <v>3968</v>
      </c>
      <c r="B3969" s="3" t="n">
        <v>3967</v>
      </c>
      <c r="C3969" s="3" t="n">
        <v>5</v>
      </c>
      <c r="D3969" s="3" t="n">
        <v>1</v>
      </c>
      <c r="E3969" s="3" t="n">
        <v>19</v>
      </c>
      <c r="F3969" s="24" t="n">
        <v>0.51512605</v>
      </c>
    </row>
    <row r="3970" customFormat="false" ht="15" hidden="false" customHeight="false" outlineLevel="0" collapsed="false">
      <c r="A3970" s="3" t="n">
        <v>3969</v>
      </c>
      <c r="B3970" s="3" t="n">
        <v>3968</v>
      </c>
      <c r="C3970" s="3" t="n">
        <v>5</v>
      </c>
      <c r="D3970" s="3" t="n">
        <v>1</v>
      </c>
      <c r="E3970" s="3" t="n">
        <v>20</v>
      </c>
      <c r="F3970" s="24" t="n">
        <v>0.51512605</v>
      </c>
    </row>
    <row r="3971" customFormat="false" ht="15" hidden="false" customHeight="false" outlineLevel="0" collapsed="false">
      <c r="A3971" s="3" t="n">
        <v>3970</v>
      </c>
      <c r="B3971" s="3" t="n">
        <v>3969</v>
      </c>
      <c r="C3971" s="3" t="n">
        <v>5</v>
      </c>
      <c r="D3971" s="3" t="n">
        <v>1</v>
      </c>
      <c r="E3971" s="3" t="n">
        <v>21</v>
      </c>
      <c r="F3971" s="24" t="n">
        <v>0.51512605</v>
      </c>
    </row>
    <row r="3972" customFormat="false" ht="15" hidden="false" customHeight="false" outlineLevel="0" collapsed="false">
      <c r="A3972" s="3" t="n">
        <v>3971</v>
      </c>
      <c r="B3972" s="3" t="n">
        <v>3970</v>
      </c>
      <c r="C3972" s="3" t="n">
        <v>5</v>
      </c>
      <c r="D3972" s="3" t="n">
        <v>1</v>
      </c>
      <c r="E3972" s="3" t="n">
        <v>22</v>
      </c>
      <c r="F3972" s="24" t="n">
        <v>0.51512605</v>
      </c>
    </row>
    <row r="3973" customFormat="false" ht="15" hidden="false" customHeight="false" outlineLevel="0" collapsed="false">
      <c r="A3973" s="3" t="n">
        <v>3972</v>
      </c>
      <c r="B3973" s="3" t="n">
        <v>3971</v>
      </c>
      <c r="C3973" s="3" t="n">
        <v>5</v>
      </c>
      <c r="D3973" s="3" t="n">
        <v>1</v>
      </c>
      <c r="E3973" s="3" t="n">
        <v>23</v>
      </c>
      <c r="F3973" s="24" t="n">
        <v>0.51512605</v>
      </c>
    </row>
    <row r="3974" customFormat="false" ht="15" hidden="false" customHeight="false" outlineLevel="0" collapsed="false">
      <c r="A3974" s="3" t="n">
        <v>3973</v>
      </c>
      <c r="B3974" s="3" t="n">
        <v>3972</v>
      </c>
      <c r="C3974" s="3" t="n">
        <v>5</v>
      </c>
      <c r="D3974" s="3" t="n">
        <v>1</v>
      </c>
      <c r="E3974" s="3" t="n">
        <v>24</v>
      </c>
      <c r="F3974" s="24" t="n">
        <v>0.51512605</v>
      </c>
    </row>
    <row r="3975" customFormat="false" ht="15" hidden="false" customHeight="false" outlineLevel="0" collapsed="false">
      <c r="A3975" s="3" t="n">
        <v>3974</v>
      </c>
      <c r="B3975" s="3" t="n">
        <v>3973</v>
      </c>
      <c r="C3975" s="3" t="n">
        <v>5</v>
      </c>
      <c r="D3975" s="3" t="n">
        <v>1</v>
      </c>
      <c r="E3975" s="3" t="n">
        <v>25</v>
      </c>
      <c r="F3975" s="24" t="n">
        <v>0.51512605</v>
      </c>
    </row>
    <row r="3976" customFormat="false" ht="15" hidden="false" customHeight="false" outlineLevel="0" collapsed="false">
      <c r="A3976" s="3" t="n">
        <v>3975</v>
      </c>
      <c r="B3976" s="3" t="n">
        <v>3974</v>
      </c>
      <c r="C3976" s="3" t="n">
        <v>5</v>
      </c>
      <c r="D3976" s="3" t="n">
        <v>1</v>
      </c>
      <c r="E3976" s="3" t="n">
        <v>26</v>
      </c>
      <c r="F3976" s="24" t="n">
        <v>0.51512605</v>
      </c>
    </row>
    <row r="3977" customFormat="false" ht="15" hidden="false" customHeight="false" outlineLevel="0" collapsed="false">
      <c r="A3977" s="3" t="n">
        <v>3976</v>
      </c>
      <c r="B3977" s="3" t="n">
        <v>3975</v>
      </c>
      <c r="C3977" s="3" t="n">
        <v>5</v>
      </c>
      <c r="D3977" s="3" t="n">
        <v>1</v>
      </c>
      <c r="E3977" s="3" t="n">
        <v>27</v>
      </c>
      <c r="F3977" s="24" t="n">
        <v>0.459515482</v>
      </c>
    </row>
    <row r="3978" customFormat="false" ht="15" hidden="false" customHeight="false" outlineLevel="0" collapsed="false">
      <c r="A3978" s="3" t="n">
        <v>3977</v>
      </c>
      <c r="B3978" s="3" t="n">
        <v>3976</v>
      </c>
      <c r="C3978" s="3" t="n">
        <v>5</v>
      </c>
      <c r="D3978" s="3" t="n">
        <v>2</v>
      </c>
      <c r="E3978" s="3" t="n">
        <v>0</v>
      </c>
      <c r="F3978" s="24" t="n">
        <v>0.354324996</v>
      </c>
    </row>
    <row r="3979" customFormat="false" ht="15" hidden="false" customHeight="false" outlineLevel="0" collapsed="false">
      <c r="A3979" s="3" t="n">
        <v>3978</v>
      </c>
      <c r="B3979" s="3" t="n">
        <v>3977</v>
      </c>
      <c r="C3979" s="3" t="n">
        <v>5</v>
      </c>
      <c r="D3979" s="3" t="n">
        <v>2</v>
      </c>
      <c r="E3979" s="3" t="n">
        <v>1</v>
      </c>
      <c r="F3979" s="24" t="n">
        <v>0.51512605</v>
      </c>
    </row>
    <row r="3980" customFormat="false" ht="15" hidden="false" customHeight="false" outlineLevel="0" collapsed="false">
      <c r="A3980" s="3" t="n">
        <v>3979</v>
      </c>
      <c r="B3980" s="3" t="n">
        <v>3978</v>
      </c>
      <c r="C3980" s="3" t="n">
        <v>5</v>
      </c>
      <c r="D3980" s="3" t="n">
        <v>2</v>
      </c>
      <c r="E3980" s="3" t="n">
        <v>2</v>
      </c>
      <c r="F3980" s="24" t="n">
        <v>0.51512605</v>
      </c>
    </row>
    <row r="3981" customFormat="false" ht="15" hidden="false" customHeight="false" outlineLevel="0" collapsed="false">
      <c r="A3981" s="3" t="n">
        <v>3980</v>
      </c>
      <c r="B3981" s="3" t="n">
        <v>3979</v>
      </c>
      <c r="C3981" s="3" t="n">
        <v>5</v>
      </c>
      <c r="D3981" s="3" t="n">
        <v>2</v>
      </c>
      <c r="E3981" s="3" t="n">
        <v>3</v>
      </c>
      <c r="F3981" s="24" t="n">
        <v>0.51512605</v>
      </c>
    </row>
    <row r="3982" customFormat="false" ht="15" hidden="false" customHeight="false" outlineLevel="0" collapsed="false">
      <c r="A3982" s="3" t="n">
        <v>3981</v>
      </c>
      <c r="B3982" s="3" t="n">
        <v>3980</v>
      </c>
      <c r="C3982" s="3" t="n">
        <v>5</v>
      </c>
      <c r="D3982" s="3" t="n">
        <v>2</v>
      </c>
      <c r="E3982" s="3" t="n">
        <v>4</v>
      </c>
      <c r="F3982" s="24" t="n">
        <v>0.51512605</v>
      </c>
    </row>
    <row r="3983" customFormat="false" ht="15" hidden="false" customHeight="false" outlineLevel="0" collapsed="false">
      <c r="A3983" s="3" t="n">
        <v>3982</v>
      </c>
      <c r="B3983" s="3" t="n">
        <v>3981</v>
      </c>
      <c r="C3983" s="3" t="n">
        <v>5</v>
      </c>
      <c r="D3983" s="3" t="n">
        <v>2</v>
      </c>
      <c r="E3983" s="3" t="n">
        <v>5</v>
      </c>
      <c r="F3983" s="24" t="n">
        <v>0.51512605</v>
      </c>
    </row>
    <row r="3984" customFormat="false" ht="15" hidden="false" customHeight="false" outlineLevel="0" collapsed="false">
      <c r="A3984" s="3" t="n">
        <v>3983</v>
      </c>
      <c r="B3984" s="3" t="n">
        <v>3982</v>
      </c>
      <c r="C3984" s="3" t="n">
        <v>5</v>
      </c>
      <c r="D3984" s="3" t="n">
        <v>2</v>
      </c>
      <c r="E3984" s="3" t="n">
        <v>6</v>
      </c>
      <c r="F3984" s="24" t="n">
        <v>0.51512605</v>
      </c>
    </row>
    <row r="3985" customFormat="false" ht="15" hidden="false" customHeight="false" outlineLevel="0" collapsed="false">
      <c r="A3985" s="3" t="n">
        <v>3984</v>
      </c>
      <c r="B3985" s="3" t="n">
        <v>3983</v>
      </c>
      <c r="C3985" s="3" t="n">
        <v>5</v>
      </c>
      <c r="D3985" s="3" t="n">
        <v>2</v>
      </c>
      <c r="E3985" s="3" t="n">
        <v>7</v>
      </c>
      <c r="F3985" s="24" t="n">
        <v>0.51512605</v>
      </c>
    </row>
    <row r="3986" customFormat="false" ht="15" hidden="false" customHeight="false" outlineLevel="0" collapsed="false">
      <c r="A3986" s="3" t="n">
        <v>3985</v>
      </c>
      <c r="B3986" s="3" t="n">
        <v>3984</v>
      </c>
      <c r="C3986" s="3" t="n">
        <v>5</v>
      </c>
      <c r="D3986" s="3" t="n">
        <v>2</v>
      </c>
      <c r="E3986" s="3" t="n">
        <v>8</v>
      </c>
      <c r="F3986" s="24" t="n">
        <v>0.51512605</v>
      </c>
    </row>
    <row r="3987" customFormat="false" ht="15" hidden="false" customHeight="false" outlineLevel="0" collapsed="false">
      <c r="A3987" s="3" t="n">
        <v>3986</v>
      </c>
      <c r="B3987" s="3" t="n">
        <v>3985</v>
      </c>
      <c r="C3987" s="3" t="n">
        <v>5</v>
      </c>
      <c r="D3987" s="3" t="n">
        <v>2</v>
      </c>
      <c r="E3987" s="3" t="n">
        <v>9</v>
      </c>
      <c r="F3987" s="24" t="n">
        <v>0.51512605</v>
      </c>
    </row>
    <row r="3988" customFormat="false" ht="15" hidden="false" customHeight="false" outlineLevel="0" collapsed="false">
      <c r="A3988" s="3" t="n">
        <v>3987</v>
      </c>
      <c r="B3988" s="3" t="n">
        <v>3986</v>
      </c>
      <c r="C3988" s="3" t="n">
        <v>5</v>
      </c>
      <c r="D3988" s="3" t="n">
        <v>2</v>
      </c>
      <c r="E3988" s="3" t="n">
        <v>10</v>
      </c>
      <c r="F3988" s="24" t="n">
        <v>0.51512605</v>
      </c>
    </row>
    <row r="3989" customFormat="false" ht="15" hidden="false" customHeight="false" outlineLevel="0" collapsed="false">
      <c r="A3989" s="3" t="n">
        <v>3988</v>
      </c>
      <c r="B3989" s="3" t="n">
        <v>3987</v>
      </c>
      <c r="C3989" s="3" t="n">
        <v>5</v>
      </c>
      <c r="D3989" s="3" t="n">
        <v>2</v>
      </c>
      <c r="E3989" s="3" t="n">
        <v>11</v>
      </c>
      <c r="F3989" s="24" t="n">
        <v>0.51512605</v>
      </c>
    </row>
    <row r="3990" customFormat="false" ht="15" hidden="false" customHeight="false" outlineLevel="0" collapsed="false">
      <c r="A3990" s="3" t="n">
        <v>3989</v>
      </c>
      <c r="B3990" s="3" t="n">
        <v>3988</v>
      </c>
      <c r="C3990" s="3" t="n">
        <v>5</v>
      </c>
      <c r="D3990" s="3" t="n">
        <v>2</v>
      </c>
      <c r="E3990" s="3" t="n">
        <v>12</v>
      </c>
      <c r="F3990" s="24" t="n">
        <v>0.51512605</v>
      </c>
    </row>
    <row r="3991" customFormat="false" ht="15" hidden="false" customHeight="false" outlineLevel="0" collapsed="false">
      <c r="A3991" s="3" t="n">
        <v>3990</v>
      </c>
      <c r="B3991" s="3" t="n">
        <v>3989</v>
      </c>
      <c r="C3991" s="3" t="n">
        <v>5</v>
      </c>
      <c r="D3991" s="3" t="n">
        <v>2</v>
      </c>
      <c r="E3991" s="3" t="n">
        <v>13</v>
      </c>
      <c r="F3991" s="24" t="n">
        <v>0.51512605</v>
      </c>
    </row>
    <row r="3992" customFormat="false" ht="15" hidden="false" customHeight="false" outlineLevel="0" collapsed="false">
      <c r="A3992" s="3" t="n">
        <v>3991</v>
      </c>
      <c r="B3992" s="3" t="n">
        <v>3990</v>
      </c>
      <c r="C3992" s="3" t="n">
        <v>5</v>
      </c>
      <c r="D3992" s="3" t="n">
        <v>2</v>
      </c>
      <c r="E3992" s="3" t="n">
        <v>14</v>
      </c>
      <c r="F3992" s="24" t="n">
        <v>0.51512605</v>
      </c>
    </row>
    <row r="3993" customFormat="false" ht="15" hidden="false" customHeight="false" outlineLevel="0" collapsed="false">
      <c r="A3993" s="3" t="n">
        <v>3992</v>
      </c>
      <c r="B3993" s="3" t="n">
        <v>3991</v>
      </c>
      <c r="C3993" s="3" t="n">
        <v>5</v>
      </c>
      <c r="D3993" s="3" t="n">
        <v>2</v>
      </c>
      <c r="E3993" s="3" t="n">
        <v>15</v>
      </c>
      <c r="F3993" s="24" t="n">
        <v>0.51512605</v>
      </c>
    </row>
    <row r="3994" customFormat="false" ht="15" hidden="false" customHeight="false" outlineLevel="0" collapsed="false">
      <c r="A3994" s="3" t="n">
        <v>3993</v>
      </c>
      <c r="B3994" s="3" t="n">
        <v>3992</v>
      </c>
      <c r="C3994" s="3" t="n">
        <v>5</v>
      </c>
      <c r="D3994" s="3" t="n">
        <v>2</v>
      </c>
      <c r="E3994" s="3" t="n">
        <v>16</v>
      </c>
      <c r="F3994" s="24" t="n">
        <v>0.51512605</v>
      </c>
    </row>
    <row r="3995" customFormat="false" ht="15" hidden="false" customHeight="false" outlineLevel="0" collapsed="false">
      <c r="A3995" s="3" t="n">
        <v>3994</v>
      </c>
      <c r="B3995" s="3" t="n">
        <v>3993</v>
      </c>
      <c r="C3995" s="3" t="n">
        <v>5</v>
      </c>
      <c r="D3995" s="3" t="n">
        <v>2</v>
      </c>
      <c r="E3995" s="3" t="n">
        <v>17</v>
      </c>
      <c r="F3995" s="24" t="n">
        <v>0.51512605</v>
      </c>
    </row>
    <row r="3996" customFormat="false" ht="15" hidden="false" customHeight="false" outlineLevel="0" collapsed="false">
      <c r="A3996" s="3" t="n">
        <v>3995</v>
      </c>
      <c r="B3996" s="3" t="n">
        <v>3994</v>
      </c>
      <c r="C3996" s="3" t="n">
        <v>5</v>
      </c>
      <c r="D3996" s="3" t="n">
        <v>2</v>
      </c>
      <c r="E3996" s="3" t="n">
        <v>18</v>
      </c>
      <c r="F3996" s="24" t="n">
        <v>0.51512605</v>
      </c>
    </row>
    <row r="3997" customFormat="false" ht="15" hidden="false" customHeight="false" outlineLevel="0" collapsed="false">
      <c r="A3997" s="3" t="n">
        <v>3996</v>
      </c>
      <c r="B3997" s="3" t="n">
        <v>3995</v>
      </c>
      <c r="C3997" s="3" t="n">
        <v>5</v>
      </c>
      <c r="D3997" s="3" t="n">
        <v>2</v>
      </c>
      <c r="E3997" s="3" t="n">
        <v>19</v>
      </c>
      <c r="F3997" s="24" t="n">
        <v>0.51512605</v>
      </c>
    </row>
    <row r="3998" customFormat="false" ht="15" hidden="false" customHeight="false" outlineLevel="0" collapsed="false">
      <c r="A3998" s="3" t="n">
        <v>3997</v>
      </c>
      <c r="B3998" s="3" t="n">
        <v>3996</v>
      </c>
      <c r="C3998" s="3" t="n">
        <v>5</v>
      </c>
      <c r="D3998" s="3" t="n">
        <v>2</v>
      </c>
      <c r="E3998" s="3" t="n">
        <v>20</v>
      </c>
      <c r="F3998" s="24" t="n">
        <v>0.51512605</v>
      </c>
    </row>
    <row r="3999" customFormat="false" ht="15" hidden="false" customHeight="false" outlineLevel="0" collapsed="false">
      <c r="A3999" s="3" t="n">
        <v>3998</v>
      </c>
      <c r="B3999" s="3" t="n">
        <v>3997</v>
      </c>
      <c r="C3999" s="3" t="n">
        <v>5</v>
      </c>
      <c r="D3999" s="3" t="n">
        <v>2</v>
      </c>
      <c r="E3999" s="3" t="n">
        <v>21</v>
      </c>
      <c r="F3999" s="24" t="n">
        <v>0.51512605</v>
      </c>
    </row>
    <row r="4000" customFormat="false" ht="15" hidden="false" customHeight="false" outlineLevel="0" collapsed="false">
      <c r="A4000" s="3" t="n">
        <v>3999</v>
      </c>
      <c r="B4000" s="3" t="n">
        <v>3998</v>
      </c>
      <c r="C4000" s="3" t="n">
        <v>5</v>
      </c>
      <c r="D4000" s="3" t="n">
        <v>2</v>
      </c>
      <c r="E4000" s="3" t="n">
        <v>22</v>
      </c>
      <c r="F4000" s="24" t="n">
        <v>0.51512605</v>
      </c>
    </row>
    <row r="4001" customFormat="false" ht="15" hidden="false" customHeight="false" outlineLevel="0" collapsed="false">
      <c r="A4001" s="3" t="n">
        <v>4000</v>
      </c>
      <c r="B4001" s="3" t="n">
        <v>3999</v>
      </c>
      <c r="C4001" s="3" t="n">
        <v>5</v>
      </c>
      <c r="D4001" s="3" t="n">
        <v>2</v>
      </c>
      <c r="E4001" s="3" t="n">
        <v>23</v>
      </c>
      <c r="F4001" s="24" t="n">
        <v>0.51512605</v>
      </c>
    </row>
    <row r="4002" customFormat="false" ht="15" hidden="false" customHeight="false" outlineLevel="0" collapsed="false">
      <c r="A4002" s="3" t="n">
        <v>4001</v>
      </c>
      <c r="B4002" s="3" t="n">
        <v>4000</v>
      </c>
      <c r="C4002" s="3" t="n">
        <v>5</v>
      </c>
      <c r="D4002" s="3" t="n">
        <v>2</v>
      </c>
      <c r="E4002" s="3" t="n">
        <v>24</v>
      </c>
      <c r="F4002" s="24" t="n">
        <v>0.51512605</v>
      </c>
    </row>
    <row r="4003" customFormat="false" ht="15" hidden="false" customHeight="false" outlineLevel="0" collapsed="false">
      <c r="A4003" s="3" t="n">
        <v>4002</v>
      </c>
      <c r="B4003" s="3" t="n">
        <v>4001</v>
      </c>
      <c r="C4003" s="3" t="n">
        <v>5</v>
      </c>
      <c r="D4003" s="3" t="n">
        <v>2</v>
      </c>
      <c r="E4003" s="3" t="n">
        <v>25</v>
      </c>
      <c r="F4003" s="24" t="n">
        <v>0.51512605</v>
      </c>
    </row>
    <row r="4004" customFormat="false" ht="15" hidden="false" customHeight="false" outlineLevel="0" collapsed="false">
      <c r="A4004" s="3" t="n">
        <v>4003</v>
      </c>
      <c r="B4004" s="3" t="n">
        <v>4002</v>
      </c>
      <c r="C4004" s="3" t="n">
        <v>5</v>
      </c>
      <c r="D4004" s="3" t="n">
        <v>2</v>
      </c>
      <c r="E4004" s="3" t="n">
        <v>26</v>
      </c>
      <c r="F4004" s="24" t="n">
        <v>0.51512605</v>
      </c>
    </row>
    <row r="4005" customFormat="false" ht="15" hidden="false" customHeight="false" outlineLevel="0" collapsed="false">
      <c r="A4005" s="3" t="n">
        <v>4004</v>
      </c>
      <c r="B4005" s="3" t="n">
        <v>4003</v>
      </c>
      <c r="C4005" s="3" t="n">
        <v>5</v>
      </c>
      <c r="D4005" s="3" t="n">
        <v>2</v>
      </c>
      <c r="E4005" s="3" t="n">
        <v>27</v>
      </c>
      <c r="F4005" s="24" t="n">
        <v>0.459515482</v>
      </c>
    </row>
    <row r="4006" customFormat="false" ht="15" hidden="false" customHeight="false" outlineLevel="0" collapsed="false">
      <c r="A4006" s="3" t="n">
        <v>4005</v>
      </c>
      <c r="B4006" s="3" t="n">
        <v>4004</v>
      </c>
      <c r="C4006" s="3" t="n">
        <v>5</v>
      </c>
      <c r="D4006" s="3" t="n">
        <v>3</v>
      </c>
      <c r="E4006" s="3" t="n">
        <v>0</v>
      </c>
      <c r="F4006" s="24" t="n">
        <v>0.354324996</v>
      </c>
    </row>
    <row r="4007" customFormat="false" ht="15" hidden="false" customHeight="false" outlineLevel="0" collapsed="false">
      <c r="A4007" s="3" t="n">
        <v>4006</v>
      </c>
      <c r="B4007" s="3" t="n">
        <v>4005</v>
      </c>
      <c r="C4007" s="3" t="n">
        <v>5</v>
      </c>
      <c r="D4007" s="3" t="n">
        <v>3</v>
      </c>
      <c r="E4007" s="3" t="n">
        <v>1</v>
      </c>
      <c r="F4007" s="24" t="n">
        <v>0.51512605</v>
      </c>
    </row>
    <row r="4008" customFormat="false" ht="15" hidden="false" customHeight="false" outlineLevel="0" collapsed="false">
      <c r="A4008" s="3" t="n">
        <v>4007</v>
      </c>
      <c r="B4008" s="3" t="n">
        <v>4006</v>
      </c>
      <c r="C4008" s="3" t="n">
        <v>5</v>
      </c>
      <c r="D4008" s="3" t="n">
        <v>3</v>
      </c>
      <c r="E4008" s="3" t="n">
        <v>2</v>
      </c>
      <c r="F4008" s="24" t="n">
        <v>0.51512605</v>
      </c>
    </row>
    <row r="4009" customFormat="false" ht="15" hidden="false" customHeight="false" outlineLevel="0" collapsed="false">
      <c r="A4009" s="3" t="n">
        <v>4008</v>
      </c>
      <c r="B4009" s="3" t="n">
        <v>4007</v>
      </c>
      <c r="C4009" s="3" t="n">
        <v>5</v>
      </c>
      <c r="D4009" s="3" t="n">
        <v>3</v>
      </c>
      <c r="E4009" s="3" t="n">
        <v>3</v>
      </c>
      <c r="F4009" s="24" t="n">
        <v>0.51512605</v>
      </c>
    </row>
    <row r="4010" customFormat="false" ht="15" hidden="false" customHeight="false" outlineLevel="0" collapsed="false">
      <c r="A4010" s="3" t="n">
        <v>4009</v>
      </c>
      <c r="B4010" s="3" t="n">
        <v>4008</v>
      </c>
      <c r="C4010" s="3" t="n">
        <v>5</v>
      </c>
      <c r="D4010" s="3" t="n">
        <v>3</v>
      </c>
      <c r="E4010" s="3" t="n">
        <v>4</v>
      </c>
      <c r="F4010" s="24" t="n">
        <v>0.51512605</v>
      </c>
    </row>
    <row r="4011" customFormat="false" ht="15" hidden="false" customHeight="false" outlineLevel="0" collapsed="false">
      <c r="A4011" s="3" t="n">
        <v>4010</v>
      </c>
      <c r="B4011" s="3" t="n">
        <v>4009</v>
      </c>
      <c r="C4011" s="3" t="n">
        <v>5</v>
      </c>
      <c r="D4011" s="3" t="n">
        <v>3</v>
      </c>
      <c r="E4011" s="3" t="n">
        <v>5</v>
      </c>
      <c r="F4011" s="24" t="n">
        <v>0.51512605</v>
      </c>
    </row>
    <row r="4012" customFormat="false" ht="15" hidden="false" customHeight="false" outlineLevel="0" collapsed="false">
      <c r="A4012" s="3" t="n">
        <v>4011</v>
      </c>
      <c r="B4012" s="3" t="n">
        <v>4010</v>
      </c>
      <c r="C4012" s="3" t="n">
        <v>5</v>
      </c>
      <c r="D4012" s="3" t="n">
        <v>3</v>
      </c>
      <c r="E4012" s="3" t="n">
        <v>6</v>
      </c>
      <c r="F4012" s="24" t="n">
        <v>0.51512605</v>
      </c>
    </row>
    <row r="4013" customFormat="false" ht="15" hidden="false" customHeight="false" outlineLevel="0" collapsed="false">
      <c r="A4013" s="3" t="n">
        <v>4012</v>
      </c>
      <c r="B4013" s="3" t="n">
        <v>4011</v>
      </c>
      <c r="C4013" s="3" t="n">
        <v>5</v>
      </c>
      <c r="D4013" s="3" t="n">
        <v>3</v>
      </c>
      <c r="E4013" s="3" t="n">
        <v>7</v>
      </c>
      <c r="F4013" s="24" t="n">
        <v>0.51512605</v>
      </c>
    </row>
    <row r="4014" customFormat="false" ht="15" hidden="false" customHeight="false" outlineLevel="0" collapsed="false">
      <c r="A4014" s="3" t="n">
        <v>4013</v>
      </c>
      <c r="B4014" s="3" t="n">
        <v>4012</v>
      </c>
      <c r="C4014" s="3" t="n">
        <v>5</v>
      </c>
      <c r="D4014" s="3" t="n">
        <v>3</v>
      </c>
      <c r="E4014" s="3" t="n">
        <v>8</v>
      </c>
      <c r="F4014" s="24" t="n">
        <v>0.51512605</v>
      </c>
    </row>
    <row r="4015" customFormat="false" ht="15" hidden="false" customHeight="false" outlineLevel="0" collapsed="false">
      <c r="A4015" s="3" t="n">
        <v>4014</v>
      </c>
      <c r="B4015" s="3" t="n">
        <v>4013</v>
      </c>
      <c r="C4015" s="3" t="n">
        <v>5</v>
      </c>
      <c r="D4015" s="3" t="n">
        <v>3</v>
      </c>
      <c r="E4015" s="3" t="n">
        <v>9</v>
      </c>
      <c r="F4015" s="24" t="n">
        <v>0.51512605</v>
      </c>
    </row>
    <row r="4016" customFormat="false" ht="15" hidden="false" customHeight="false" outlineLevel="0" collapsed="false">
      <c r="A4016" s="3" t="n">
        <v>4015</v>
      </c>
      <c r="B4016" s="3" t="n">
        <v>4014</v>
      </c>
      <c r="C4016" s="3" t="n">
        <v>5</v>
      </c>
      <c r="D4016" s="3" t="n">
        <v>3</v>
      </c>
      <c r="E4016" s="3" t="n">
        <v>10</v>
      </c>
      <c r="F4016" s="24" t="n">
        <v>0.51512605</v>
      </c>
    </row>
    <row r="4017" customFormat="false" ht="15" hidden="false" customHeight="false" outlineLevel="0" collapsed="false">
      <c r="A4017" s="3" t="n">
        <v>4016</v>
      </c>
      <c r="B4017" s="3" t="n">
        <v>4015</v>
      </c>
      <c r="C4017" s="3" t="n">
        <v>5</v>
      </c>
      <c r="D4017" s="3" t="n">
        <v>3</v>
      </c>
      <c r="E4017" s="3" t="n">
        <v>11</v>
      </c>
      <c r="F4017" s="24" t="n">
        <v>0.51512605</v>
      </c>
    </row>
    <row r="4018" customFormat="false" ht="15" hidden="false" customHeight="false" outlineLevel="0" collapsed="false">
      <c r="A4018" s="3" t="n">
        <v>4017</v>
      </c>
      <c r="B4018" s="3" t="n">
        <v>4016</v>
      </c>
      <c r="C4018" s="3" t="n">
        <v>5</v>
      </c>
      <c r="D4018" s="3" t="n">
        <v>3</v>
      </c>
      <c r="E4018" s="3" t="n">
        <v>12</v>
      </c>
      <c r="F4018" s="24" t="n">
        <v>0.51512605</v>
      </c>
    </row>
    <row r="4019" customFormat="false" ht="15" hidden="false" customHeight="false" outlineLevel="0" collapsed="false">
      <c r="A4019" s="3" t="n">
        <v>4018</v>
      </c>
      <c r="B4019" s="3" t="n">
        <v>4017</v>
      </c>
      <c r="C4019" s="3" t="n">
        <v>5</v>
      </c>
      <c r="D4019" s="3" t="n">
        <v>3</v>
      </c>
      <c r="E4019" s="3" t="n">
        <v>13</v>
      </c>
      <c r="F4019" s="24" t="n">
        <v>0.51512605</v>
      </c>
    </row>
    <row r="4020" customFormat="false" ht="15" hidden="false" customHeight="false" outlineLevel="0" collapsed="false">
      <c r="A4020" s="3" t="n">
        <v>4019</v>
      </c>
      <c r="B4020" s="3" t="n">
        <v>4018</v>
      </c>
      <c r="C4020" s="3" t="n">
        <v>5</v>
      </c>
      <c r="D4020" s="3" t="n">
        <v>3</v>
      </c>
      <c r="E4020" s="3" t="n">
        <v>14</v>
      </c>
      <c r="F4020" s="24" t="n">
        <v>0.51512605</v>
      </c>
    </row>
    <row r="4021" customFormat="false" ht="15" hidden="false" customHeight="false" outlineLevel="0" collapsed="false">
      <c r="A4021" s="3" t="n">
        <v>4020</v>
      </c>
      <c r="B4021" s="3" t="n">
        <v>4019</v>
      </c>
      <c r="C4021" s="3" t="n">
        <v>5</v>
      </c>
      <c r="D4021" s="3" t="n">
        <v>3</v>
      </c>
      <c r="E4021" s="3" t="n">
        <v>15</v>
      </c>
      <c r="F4021" s="24" t="n">
        <v>0.51512605</v>
      </c>
    </row>
    <row r="4022" customFormat="false" ht="15" hidden="false" customHeight="false" outlineLevel="0" collapsed="false">
      <c r="A4022" s="3" t="n">
        <v>4021</v>
      </c>
      <c r="B4022" s="3" t="n">
        <v>4020</v>
      </c>
      <c r="C4022" s="3" t="n">
        <v>5</v>
      </c>
      <c r="D4022" s="3" t="n">
        <v>3</v>
      </c>
      <c r="E4022" s="3" t="n">
        <v>16</v>
      </c>
      <c r="F4022" s="24" t="n">
        <v>0.51512605</v>
      </c>
    </row>
    <row r="4023" customFormat="false" ht="15" hidden="false" customHeight="false" outlineLevel="0" collapsed="false">
      <c r="A4023" s="3" t="n">
        <v>4022</v>
      </c>
      <c r="B4023" s="3" t="n">
        <v>4021</v>
      </c>
      <c r="C4023" s="3" t="n">
        <v>5</v>
      </c>
      <c r="D4023" s="3" t="n">
        <v>3</v>
      </c>
      <c r="E4023" s="3" t="n">
        <v>17</v>
      </c>
      <c r="F4023" s="24" t="n">
        <v>0.51512605</v>
      </c>
    </row>
    <row r="4024" customFormat="false" ht="15" hidden="false" customHeight="false" outlineLevel="0" collapsed="false">
      <c r="A4024" s="3" t="n">
        <v>4023</v>
      </c>
      <c r="B4024" s="3" t="n">
        <v>4022</v>
      </c>
      <c r="C4024" s="3" t="n">
        <v>5</v>
      </c>
      <c r="D4024" s="3" t="n">
        <v>3</v>
      </c>
      <c r="E4024" s="3" t="n">
        <v>18</v>
      </c>
      <c r="F4024" s="24" t="n">
        <v>0.51512605</v>
      </c>
    </row>
    <row r="4025" customFormat="false" ht="15" hidden="false" customHeight="false" outlineLevel="0" collapsed="false">
      <c r="A4025" s="3" t="n">
        <v>4024</v>
      </c>
      <c r="B4025" s="3" t="n">
        <v>4023</v>
      </c>
      <c r="C4025" s="3" t="n">
        <v>5</v>
      </c>
      <c r="D4025" s="3" t="n">
        <v>3</v>
      </c>
      <c r="E4025" s="3" t="n">
        <v>19</v>
      </c>
      <c r="F4025" s="24" t="n">
        <v>0.51512605</v>
      </c>
    </row>
    <row r="4026" customFormat="false" ht="15" hidden="false" customHeight="false" outlineLevel="0" collapsed="false">
      <c r="A4026" s="3" t="n">
        <v>4025</v>
      </c>
      <c r="B4026" s="3" t="n">
        <v>4024</v>
      </c>
      <c r="C4026" s="3" t="n">
        <v>5</v>
      </c>
      <c r="D4026" s="3" t="n">
        <v>3</v>
      </c>
      <c r="E4026" s="3" t="n">
        <v>20</v>
      </c>
      <c r="F4026" s="24" t="n">
        <v>0.51512605</v>
      </c>
    </row>
    <row r="4027" customFormat="false" ht="15" hidden="false" customHeight="false" outlineLevel="0" collapsed="false">
      <c r="A4027" s="3" t="n">
        <v>4026</v>
      </c>
      <c r="B4027" s="3" t="n">
        <v>4025</v>
      </c>
      <c r="C4027" s="3" t="n">
        <v>5</v>
      </c>
      <c r="D4027" s="3" t="n">
        <v>3</v>
      </c>
      <c r="E4027" s="3" t="n">
        <v>21</v>
      </c>
      <c r="F4027" s="24" t="n">
        <v>0.51512605</v>
      </c>
    </row>
    <row r="4028" customFormat="false" ht="15" hidden="false" customHeight="false" outlineLevel="0" collapsed="false">
      <c r="A4028" s="3" t="n">
        <v>4027</v>
      </c>
      <c r="B4028" s="3" t="n">
        <v>4026</v>
      </c>
      <c r="C4028" s="3" t="n">
        <v>5</v>
      </c>
      <c r="D4028" s="3" t="n">
        <v>3</v>
      </c>
      <c r="E4028" s="3" t="n">
        <v>22</v>
      </c>
      <c r="F4028" s="24" t="n">
        <v>0.51512605</v>
      </c>
    </row>
    <row r="4029" customFormat="false" ht="15" hidden="false" customHeight="false" outlineLevel="0" collapsed="false">
      <c r="A4029" s="3" t="n">
        <v>4028</v>
      </c>
      <c r="B4029" s="3" t="n">
        <v>4027</v>
      </c>
      <c r="C4029" s="3" t="n">
        <v>5</v>
      </c>
      <c r="D4029" s="3" t="n">
        <v>3</v>
      </c>
      <c r="E4029" s="3" t="n">
        <v>23</v>
      </c>
      <c r="F4029" s="24" t="n">
        <v>0.51512605</v>
      </c>
    </row>
    <row r="4030" customFormat="false" ht="15" hidden="false" customHeight="false" outlineLevel="0" collapsed="false">
      <c r="A4030" s="3" t="n">
        <v>4029</v>
      </c>
      <c r="B4030" s="3" t="n">
        <v>4028</v>
      </c>
      <c r="C4030" s="3" t="n">
        <v>5</v>
      </c>
      <c r="D4030" s="3" t="n">
        <v>3</v>
      </c>
      <c r="E4030" s="3" t="n">
        <v>24</v>
      </c>
      <c r="F4030" s="24" t="n">
        <v>0.51512605</v>
      </c>
    </row>
    <row r="4031" customFormat="false" ht="15" hidden="false" customHeight="false" outlineLevel="0" collapsed="false">
      <c r="A4031" s="3" t="n">
        <v>4030</v>
      </c>
      <c r="B4031" s="3" t="n">
        <v>4029</v>
      </c>
      <c r="C4031" s="3" t="n">
        <v>5</v>
      </c>
      <c r="D4031" s="3" t="n">
        <v>3</v>
      </c>
      <c r="E4031" s="3" t="n">
        <v>25</v>
      </c>
      <c r="F4031" s="24" t="n">
        <v>0.51512605</v>
      </c>
    </row>
    <row r="4032" customFormat="false" ht="15" hidden="false" customHeight="false" outlineLevel="0" collapsed="false">
      <c r="A4032" s="3" t="n">
        <v>4031</v>
      </c>
      <c r="B4032" s="3" t="n">
        <v>4030</v>
      </c>
      <c r="C4032" s="3" t="n">
        <v>5</v>
      </c>
      <c r="D4032" s="3" t="n">
        <v>3</v>
      </c>
      <c r="E4032" s="3" t="n">
        <v>26</v>
      </c>
      <c r="F4032" s="24" t="n">
        <v>0.51512605</v>
      </c>
    </row>
    <row r="4033" customFormat="false" ht="15" hidden="false" customHeight="false" outlineLevel="0" collapsed="false">
      <c r="A4033" s="3" t="n">
        <v>4032</v>
      </c>
      <c r="B4033" s="3" t="n">
        <v>4031</v>
      </c>
      <c r="C4033" s="3" t="n">
        <v>5</v>
      </c>
      <c r="D4033" s="3" t="n">
        <v>3</v>
      </c>
      <c r="E4033" s="3" t="n">
        <v>27</v>
      </c>
      <c r="F4033" s="24" t="n">
        <v>0.459515482</v>
      </c>
    </row>
    <row r="4034" customFormat="false" ht="15" hidden="false" customHeight="false" outlineLevel="0" collapsed="false">
      <c r="A4034" s="3" t="n">
        <v>4033</v>
      </c>
      <c r="B4034" s="3" t="n">
        <v>4032</v>
      </c>
      <c r="C4034" s="3" t="n">
        <v>5</v>
      </c>
      <c r="D4034" s="3" t="n">
        <v>4</v>
      </c>
      <c r="E4034" s="3" t="n">
        <v>0</v>
      </c>
      <c r="F4034" s="24" t="n">
        <v>0.354324996</v>
      </c>
    </row>
    <row r="4035" customFormat="false" ht="15" hidden="false" customHeight="false" outlineLevel="0" collapsed="false">
      <c r="A4035" s="3" t="n">
        <v>4034</v>
      </c>
      <c r="B4035" s="3" t="n">
        <v>4033</v>
      </c>
      <c r="C4035" s="3" t="n">
        <v>5</v>
      </c>
      <c r="D4035" s="3" t="n">
        <v>4</v>
      </c>
      <c r="E4035" s="3" t="n">
        <v>1</v>
      </c>
      <c r="F4035" s="24" t="n">
        <v>0.51512605</v>
      </c>
    </row>
    <row r="4036" customFormat="false" ht="15" hidden="false" customHeight="false" outlineLevel="0" collapsed="false">
      <c r="A4036" s="3" t="n">
        <v>4035</v>
      </c>
      <c r="B4036" s="3" t="n">
        <v>4034</v>
      </c>
      <c r="C4036" s="3" t="n">
        <v>5</v>
      </c>
      <c r="D4036" s="3" t="n">
        <v>4</v>
      </c>
      <c r="E4036" s="3" t="n">
        <v>2</v>
      </c>
      <c r="F4036" s="24" t="n">
        <v>0.51512605</v>
      </c>
    </row>
    <row r="4037" customFormat="false" ht="15" hidden="false" customHeight="false" outlineLevel="0" collapsed="false">
      <c r="A4037" s="3" t="n">
        <v>4036</v>
      </c>
      <c r="B4037" s="3" t="n">
        <v>4035</v>
      </c>
      <c r="C4037" s="3" t="n">
        <v>5</v>
      </c>
      <c r="D4037" s="3" t="n">
        <v>4</v>
      </c>
      <c r="E4037" s="3" t="n">
        <v>3</v>
      </c>
      <c r="F4037" s="24" t="n">
        <v>0.51512605</v>
      </c>
    </row>
    <row r="4038" customFormat="false" ht="15" hidden="false" customHeight="false" outlineLevel="0" collapsed="false">
      <c r="A4038" s="3" t="n">
        <v>4037</v>
      </c>
      <c r="B4038" s="3" t="n">
        <v>4036</v>
      </c>
      <c r="C4038" s="3" t="n">
        <v>5</v>
      </c>
      <c r="D4038" s="3" t="n">
        <v>4</v>
      </c>
      <c r="E4038" s="3" t="n">
        <v>4</v>
      </c>
      <c r="F4038" s="24" t="n">
        <v>0.51512605</v>
      </c>
    </row>
    <row r="4039" customFormat="false" ht="15" hidden="false" customHeight="false" outlineLevel="0" collapsed="false">
      <c r="A4039" s="3" t="n">
        <v>4038</v>
      </c>
      <c r="B4039" s="3" t="n">
        <v>4037</v>
      </c>
      <c r="C4039" s="3" t="n">
        <v>5</v>
      </c>
      <c r="D4039" s="3" t="n">
        <v>4</v>
      </c>
      <c r="E4039" s="3" t="n">
        <v>5</v>
      </c>
      <c r="F4039" s="24" t="n">
        <v>0.51512605</v>
      </c>
    </row>
    <row r="4040" customFormat="false" ht="15" hidden="false" customHeight="false" outlineLevel="0" collapsed="false">
      <c r="A4040" s="3" t="n">
        <v>4039</v>
      </c>
      <c r="B4040" s="3" t="n">
        <v>4038</v>
      </c>
      <c r="C4040" s="3" t="n">
        <v>5</v>
      </c>
      <c r="D4040" s="3" t="n">
        <v>4</v>
      </c>
      <c r="E4040" s="3" t="n">
        <v>6</v>
      </c>
      <c r="F4040" s="24" t="n">
        <v>0.51512605</v>
      </c>
    </row>
    <row r="4041" customFormat="false" ht="15" hidden="false" customHeight="false" outlineLevel="0" collapsed="false">
      <c r="A4041" s="3" t="n">
        <v>4040</v>
      </c>
      <c r="B4041" s="3" t="n">
        <v>4039</v>
      </c>
      <c r="C4041" s="3" t="n">
        <v>5</v>
      </c>
      <c r="D4041" s="3" t="n">
        <v>4</v>
      </c>
      <c r="E4041" s="3" t="n">
        <v>7</v>
      </c>
      <c r="F4041" s="24" t="n">
        <v>0.51512605</v>
      </c>
    </row>
    <row r="4042" customFormat="false" ht="15" hidden="false" customHeight="false" outlineLevel="0" collapsed="false">
      <c r="A4042" s="3" t="n">
        <v>4041</v>
      </c>
      <c r="B4042" s="3" t="n">
        <v>4040</v>
      </c>
      <c r="C4042" s="3" t="n">
        <v>5</v>
      </c>
      <c r="D4042" s="3" t="n">
        <v>4</v>
      </c>
      <c r="E4042" s="3" t="n">
        <v>8</v>
      </c>
      <c r="F4042" s="24" t="n">
        <v>0.51512605</v>
      </c>
    </row>
    <row r="4043" customFormat="false" ht="15" hidden="false" customHeight="false" outlineLevel="0" collapsed="false">
      <c r="A4043" s="3" t="n">
        <v>4042</v>
      </c>
      <c r="B4043" s="3" t="n">
        <v>4041</v>
      </c>
      <c r="C4043" s="3" t="n">
        <v>5</v>
      </c>
      <c r="D4043" s="3" t="n">
        <v>4</v>
      </c>
      <c r="E4043" s="3" t="n">
        <v>9</v>
      </c>
      <c r="F4043" s="24" t="n">
        <v>0.51512605</v>
      </c>
    </row>
    <row r="4044" customFormat="false" ht="15" hidden="false" customHeight="false" outlineLevel="0" collapsed="false">
      <c r="A4044" s="3" t="n">
        <v>4043</v>
      </c>
      <c r="B4044" s="3" t="n">
        <v>4042</v>
      </c>
      <c r="C4044" s="3" t="n">
        <v>5</v>
      </c>
      <c r="D4044" s="3" t="n">
        <v>4</v>
      </c>
      <c r="E4044" s="3" t="n">
        <v>10</v>
      </c>
      <c r="F4044" s="24" t="n">
        <v>0.51512605</v>
      </c>
    </row>
    <row r="4045" customFormat="false" ht="15" hidden="false" customHeight="false" outlineLevel="0" collapsed="false">
      <c r="A4045" s="3" t="n">
        <v>4044</v>
      </c>
      <c r="B4045" s="3" t="n">
        <v>4043</v>
      </c>
      <c r="C4045" s="3" t="n">
        <v>5</v>
      </c>
      <c r="D4045" s="3" t="n">
        <v>4</v>
      </c>
      <c r="E4045" s="3" t="n">
        <v>11</v>
      </c>
      <c r="F4045" s="24" t="n">
        <v>0.51512605</v>
      </c>
    </row>
    <row r="4046" customFormat="false" ht="15" hidden="false" customHeight="false" outlineLevel="0" collapsed="false">
      <c r="A4046" s="3" t="n">
        <v>4045</v>
      </c>
      <c r="B4046" s="3" t="n">
        <v>4044</v>
      </c>
      <c r="C4046" s="3" t="n">
        <v>5</v>
      </c>
      <c r="D4046" s="3" t="n">
        <v>4</v>
      </c>
      <c r="E4046" s="3" t="n">
        <v>12</v>
      </c>
      <c r="F4046" s="24" t="n">
        <v>0.51512605</v>
      </c>
    </row>
    <row r="4047" customFormat="false" ht="15" hidden="false" customHeight="false" outlineLevel="0" collapsed="false">
      <c r="A4047" s="3" t="n">
        <v>4046</v>
      </c>
      <c r="B4047" s="3" t="n">
        <v>4045</v>
      </c>
      <c r="C4047" s="3" t="n">
        <v>5</v>
      </c>
      <c r="D4047" s="3" t="n">
        <v>4</v>
      </c>
      <c r="E4047" s="3" t="n">
        <v>13</v>
      </c>
      <c r="F4047" s="24" t="n">
        <v>0.51512605</v>
      </c>
    </row>
    <row r="4048" customFormat="false" ht="15" hidden="false" customHeight="false" outlineLevel="0" collapsed="false">
      <c r="A4048" s="3" t="n">
        <v>4047</v>
      </c>
      <c r="B4048" s="3" t="n">
        <v>4046</v>
      </c>
      <c r="C4048" s="3" t="n">
        <v>5</v>
      </c>
      <c r="D4048" s="3" t="n">
        <v>4</v>
      </c>
      <c r="E4048" s="3" t="n">
        <v>14</v>
      </c>
      <c r="F4048" s="24" t="n">
        <v>0.51512605</v>
      </c>
    </row>
    <row r="4049" customFormat="false" ht="15" hidden="false" customHeight="false" outlineLevel="0" collapsed="false">
      <c r="A4049" s="3" t="n">
        <v>4048</v>
      </c>
      <c r="B4049" s="3" t="n">
        <v>4047</v>
      </c>
      <c r="C4049" s="3" t="n">
        <v>5</v>
      </c>
      <c r="D4049" s="3" t="n">
        <v>4</v>
      </c>
      <c r="E4049" s="3" t="n">
        <v>15</v>
      </c>
      <c r="F4049" s="24" t="n">
        <v>0.51512605</v>
      </c>
    </row>
    <row r="4050" customFormat="false" ht="15" hidden="false" customHeight="false" outlineLevel="0" collapsed="false">
      <c r="A4050" s="3" t="n">
        <v>4049</v>
      </c>
      <c r="B4050" s="3" t="n">
        <v>4048</v>
      </c>
      <c r="C4050" s="3" t="n">
        <v>5</v>
      </c>
      <c r="D4050" s="3" t="n">
        <v>4</v>
      </c>
      <c r="E4050" s="3" t="n">
        <v>16</v>
      </c>
      <c r="F4050" s="24" t="n">
        <v>0.51512605</v>
      </c>
    </row>
    <row r="4051" customFormat="false" ht="15" hidden="false" customHeight="false" outlineLevel="0" collapsed="false">
      <c r="A4051" s="3" t="n">
        <v>4050</v>
      </c>
      <c r="B4051" s="3" t="n">
        <v>4049</v>
      </c>
      <c r="C4051" s="3" t="n">
        <v>5</v>
      </c>
      <c r="D4051" s="3" t="n">
        <v>4</v>
      </c>
      <c r="E4051" s="3" t="n">
        <v>17</v>
      </c>
      <c r="F4051" s="24" t="n">
        <v>0.51512605</v>
      </c>
    </row>
    <row r="4052" customFormat="false" ht="15" hidden="false" customHeight="false" outlineLevel="0" collapsed="false">
      <c r="A4052" s="3" t="n">
        <v>4051</v>
      </c>
      <c r="B4052" s="3" t="n">
        <v>4050</v>
      </c>
      <c r="C4052" s="3" t="n">
        <v>5</v>
      </c>
      <c r="D4052" s="3" t="n">
        <v>4</v>
      </c>
      <c r="E4052" s="3" t="n">
        <v>18</v>
      </c>
      <c r="F4052" s="24" t="n">
        <v>0.51512605</v>
      </c>
    </row>
    <row r="4053" customFormat="false" ht="15" hidden="false" customHeight="false" outlineLevel="0" collapsed="false">
      <c r="A4053" s="3" t="n">
        <v>4052</v>
      </c>
      <c r="B4053" s="3" t="n">
        <v>4051</v>
      </c>
      <c r="C4053" s="3" t="n">
        <v>5</v>
      </c>
      <c r="D4053" s="3" t="n">
        <v>4</v>
      </c>
      <c r="E4053" s="3" t="n">
        <v>19</v>
      </c>
      <c r="F4053" s="24" t="n">
        <v>0.51512605</v>
      </c>
    </row>
    <row r="4054" customFormat="false" ht="15" hidden="false" customHeight="false" outlineLevel="0" collapsed="false">
      <c r="A4054" s="3" t="n">
        <v>4053</v>
      </c>
      <c r="B4054" s="3" t="n">
        <v>4052</v>
      </c>
      <c r="C4054" s="3" t="n">
        <v>5</v>
      </c>
      <c r="D4054" s="3" t="n">
        <v>4</v>
      </c>
      <c r="E4054" s="3" t="n">
        <v>20</v>
      </c>
      <c r="F4054" s="24" t="n">
        <v>0.51512605</v>
      </c>
    </row>
    <row r="4055" customFormat="false" ht="15" hidden="false" customHeight="false" outlineLevel="0" collapsed="false">
      <c r="A4055" s="3" t="n">
        <v>4054</v>
      </c>
      <c r="B4055" s="3" t="n">
        <v>4053</v>
      </c>
      <c r="C4055" s="3" t="n">
        <v>5</v>
      </c>
      <c r="D4055" s="3" t="n">
        <v>4</v>
      </c>
      <c r="E4055" s="3" t="n">
        <v>21</v>
      </c>
      <c r="F4055" s="24" t="n">
        <v>0.51512605</v>
      </c>
    </row>
    <row r="4056" customFormat="false" ht="15" hidden="false" customHeight="false" outlineLevel="0" collapsed="false">
      <c r="A4056" s="3" t="n">
        <v>4055</v>
      </c>
      <c r="B4056" s="3" t="n">
        <v>4054</v>
      </c>
      <c r="C4056" s="3" t="n">
        <v>5</v>
      </c>
      <c r="D4056" s="3" t="n">
        <v>4</v>
      </c>
      <c r="E4056" s="3" t="n">
        <v>22</v>
      </c>
      <c r="F4056" s="24" t="n">
        <v>0.51512605</v>
      </c>
    </row>
    <row r="4057" customFormat="false" ht="15" hidden="false" customHeight="false" outlineLevel="0" collapsed="false">
      <c r="A4057" s="3" t="n">
        <v>4056</v>
      </c>
      <c r="B4057" s="3" t="n">
        <v>4055</v>
      </c>
      <c r="C4057" s="3" t="n">
        <v>5</v>
      </c>
      <c r="D4057" s="3" t="n">
        <v>4</v>
      </c>
      <c r="E4057" s="3" t="n">
        <v>23</v>
      </c>
      <c r="F4057" s="24" t="n">
        <v>0.51512605</v>
      </c>
    </row>
    <row r="4058" customFormat="false" ht="15" hidden="false" customHeight="false" outlineLevel="0" collapsed="false">
      <c r="A4058" s="3" t="n">
        <v>4057</v>
      </c>
      <c r="B4058" s="3" t="n">
        <v>4056</v>
      </c>
      <c r="C4058" s="3" t="n">
        <v>5</v>
      </c>
      <c r="D4058" s="3" t="n">
        <v>4</v>
      </c>
      <c r="E4058" s="3" t="n">
        <v>24</v>
      </c>
      <c r="F4058" s="24" t="n">
        <v>0.51512605</v>
      </c>
    </row>
    <row r="4059" customFormat="false" ht="15" hidden="false" customHeight="false" outlineLevel="0" collapsed="false">
      <c r="A4059" s="3" t="n">
        <v>4058</v>
      </c>
      <c r="B4059" s="3" t="n">
        <v>4057</v>
      </c>
      <c r="C4059" s="3" t="n">
        <v>5</v>
      </c>
      <c r="D4059" s="3" t="n">
        <v>4</v>
      </c>
      <c r="E4059" s="3" t="n">
        <v>25</v>
      </c>
      <c r="F4059" s="24" t="n">
        <v>0.51512605</v>
      </c>
    </row>
    <row r="4060" customFormat="false" ht="15" hidden="false" customHeight="false" outlineLevel="0" collapsed="false">
      <c r="A4060" s="3" t="n">
        <v>4059</v>
      </c>
      <c r="B4060" s="3" t="n">
        <v>4058</v>
      </c>
      <c r="C4060" s="3" t="n">
        <v>5</v>
      </c>
      <c r="D4060" s="3" t="n">
        <v>4</v>
      </c>
      <c r="E4060" s="3" t="n">
        <v>26</v>
      </c>
      <c r="F4060" s="24" t="n">
        <v>0.51512605</v>
      </c>
    </row>
    <row r="4061" customFormat="false" ht="15" hidden="false" customHeight="false" outlineLevel="0" collapsed="false">
      <c r="A4061" s="3" t="n">
        <v>4060</v>
      </c>
      <c r="B4061" s="3" t="n">
        <v>4059</v>
      </c>
      <c r="C4061" s="3" t="n">
        <v>5</v>
      </c>
      <c r="D4061" s="3" t="n">
        <v>4</v>
      </c>
      <c r="E4061" s="3" t="n">
        <v>27</v>
      </c>
      <c r="F4061" s="24" t="n">
        <v>0.459515482</v>
      </c>
    </row>
    <row r="4062" customFormat="false" ht="15" hidden="false" customHeight="false" outlineLevel="0" collapsed="false">
      <c r="A4062" s="3" t="n">
        <v>4061</v>
      </c>
      <c r="B4062" s="3" t="n">
        <v>4060</v>
      </c>
      <c r="C4062" s="3" t="n">
        <v>5</v>
      </c>
      <c r="D4062" s="3" t="n">
        <v>5</v>
      </c>
      <c r="E4062" s="3" t="n">
        <v>0</v>
      </c>
      <c r="F4062" s="24" t="n">
        <v>0.354324996</v>
      </c>
    </row>
    <row r="4063" customFormat="false" ht="15" hidden="false" customHeight="false" outlineLevel="0" collapsed="false">
      <c r="A4063" s="3" t="n">
        <v>4062</v>
      </c>
      <c r="B4063" s="3" t="n">
        <v>4061</v>
      </c>
      <c r="C4063" s="3" t="n">
        <v>5</v>
      </c>
      <c r="D4063" s="3" t="n">
        <v>5</v>
      </c>
      <c r="E4063" s="3" t="n">
        <v>1</v>
      </c>
      <c r="F4063" s="24" t="n">
        <v>0.51512605</v>
      </c>
    </row>
    <row r="4064" customFormat="false" ht="15" hidden="false" customHeight="false" outlineLevel="0" collapsed="false">
      <c r="A4064" s="3" t="n">
        <v>4063</v>
      </c>
      <c r="B4064" s="3" t="n">
        <v>4062</v>
      </c>
      <c r="C4064" s="3" t="n">
        <v>5</v>
      </c>
      <c r="D4064" s="3" t="n">
        <v>5</v>
      </c>
      <c r="E4064" s="3" t="n">
        <v>2</v>
      </c>
      <c r="F4064" s="24" t="n">
        <v>0.51512605</v>
      </c>
    </row>
    <row r="4065" customFormat="false" ht="15" hidden="false" customHeight="false" outlineLevel="0" collapsed="false">
      <c r="A4065" s="3" t="n">
        <v>4064</v>
      </c>
      <c r="B4065" s="3" t="n">
        <v>4063</v>
      </c>
      <c r="C4065" s="3" t="n">
        <v>5</v>
      </c>
      <c r="D4065" s="3" t="n">
        <v>5</v>
      </c>
      <c r="E4065" s="3" t="n">
        <v>3</v>
      </c>
      <c r="F4065" s="24" t="n">
        <v>0.51512605</v>
      </c>
    </row>
    <row r="4066" customFormat="false" ht="15" hidden="false" customHeight="false" outlineLevel="0" collapsed="false">
      <c r="A4066" s="3" t="n">
        <v>4065</v>
      </c>
      <c r="B4066" s="3" t="n">
        <v>4064</v>
      </c>
      <c r="C4066" s="3" t="n">
        <v>5</v>
      </c>
      <c r="D4066" s="3" t="n">
        <v>5</v>
      </c>
      <c r="E4066" s="3" t="n">
        <v>4</v>
      </c>
      <c r="F4066" s="24" t="n">
        <v>0.51512605</v>
      </c>
    </row>
    <row r="4067" customFormat="false" ht="15" hidden="false" customHeight="false" outlineLevel="0" collapsed="false">
      <c r="A4067" s="3" t="n">
        <v>4066</v>
      </c>
      <c r="B4067" s="3" t="n">
        <v>4065</v>
      </c>
      <c r="C4067" s="3" t="n">
        <v>5</v>
      </c>
      <c r="D4067" s="3" t="n">
        <v>5</v>
      </c>
      <c r="E4067" s="3" t="n">
        <v>5</v>
      </c>
      <c r="F4067" s="24" t="n">
        <v>0.51512605</v>
      </c>
    </row>
    <row r="4068" customFormat="false" ht="15" hidden="false" customHeight="false" outlineLevel="0" collapsed="false">
      <c r="A4068" s="3" t="n">
        <v>4067</v>
      </c>
      <c r="B4068" s="3" t="n">
        <v>4066</v>
      </c>
      <c r="C4068" s="3" t="n">
        <v>5</v>
      </c>
      <c r="D4068" s="3" t="n">
        <v>5</v>
      </c>
      <c r="E4068" s="3" t="n">
        <v>6</v>
      </c>
      <c r="F4068" s="24" t="n">
        <v>0.51512605</v>
      </c>
    </row>
    <row r="4069" customFormat="false" ht="15" hidden="false" customHeight="false" outlineLevel="0" collapsed="false">
      <c r="A4069" s="3" t="n">
        <v>4068</v>
      </c>
      <c r="B4069" s="3" t="n">
        <v>4067</v>
      </c>
      <c r="C4069" s="3" t="n">
        <v>5</v>
      </c>
      <c r="D4069" s="3" t="n">
        <v>5</v>
      </c>
      <c r="E4069" s="3" t="n">
        <v>7</v>
      </c>
      <c r="F4069" s="24" t="n">
        <v>0.51512605</v>
      </c>
    </row>
    <row r="4070" customFormat="false" ht="15" hidden="false" customHeight="false" outlineLevel="0" collapsed="false">
      <c r="A4070" s="3" t="n">
        <v>4069</v>
      </c>
      <c r="B4070" s="3" t="n">
        <v>4068</v>
      </c>
      <c r="C4070" s="3" t="n">
        <v>5</v>
      </c>
      <c r="D4070" s="3" t="n">
        <v>5</v>
      </c>
      <c r="E4070" s="3" t="n">
        <v>8</v>
      </c>
      <c r="F4070" s="24" t="n">
        <v>0.51512605</v>
      </c>
    </row>
    <row r="4071" customFormat="false" ht="15" hidden="false" customHeight="false" outlineLevel="0" collapsed="false">
      <c r="A4071" s="3" t="n">
        <v>4070</v>
      </c>
      <c r="B4071" s="3" t="n">
        <v>4069</v>
      </c>
      <c r="C4071" s="3" t="n">
        <v>5</v>
      </c>
      <c r="D4071" s="3" t="n">
        <v>5</v>
      </c>
      <c r="E4071" s="3" t="n">
        <v>9</v>
      </c>
      <c r="F4071" s="24" t="n">
        <v>0.51512605</v>
      </c>
    </row>
    <row r="4072" customFormat="false" ht="15" hidden="false" customHeight="false" outlineLevel="0" collapsed="false">
      <c r="A4072" s="3" t="n">
        <v>4071</v>
      </c>
      <c r="B4072" s="3" t="n">
        <v>4070</v>
      </c>
      <c r="C4072" s="3" t="n">
        <v>5</v>
      </c>
      <c r="D4072" s="3" t="n">
        <v>5</v>
      </c>
      <c r="E4072" s="3" t="n">
        <v>10</v>
      </c>
      <c r="F4072" s="24" t="n">
        <v>0.51512605</v>
      </c>
    </row>
    <row r="4073" customFormat="false" ht="15" hidden="false" customHeight="false" outlineLevel="0" collapsed="false">
      <c r="A4073" s="3" t="n">
        <v>4072</v>
      </c>
      <c r="B4073" s="3" t="n">
        <v>4071</v>
      </c>
      <c r="C4073" s="3" t="n">
        <v>5</v>
      </c>
      <c r="D4073" s="3" t="n">
        <v>5</v>
      </c>
      <c r="E4073" s="3" t="n">
        <v>11</v>
      </c>
      <c r="F4073" s="24" t="n">
        <v>0.51512605</v>
      </c>
    </row>
    <row r="4074" customFormat="false" ht="15" hidden="false" customHeight="false" outlineLevel="0" collapsed="false">
      <c r="A4074" s="3" t="n">
        <v>4073</v>
      </c>
      <c r="B4074" s="3" t="n">
        <v>4072</v>
      </c>
      <c r="C4074" s="3" t="n">
        <v>5</v>
      </c>
      <c r="D4074" s="3" t="n">
        <v>5</v>
      </c>
      <c r="E4074" s="3" t="n">
        <v>12</v>
      </c>
      <c r="F4074" s="24" t="n">
        <v>0.51512605</v>
      </c>
    </row>
    <row r="4075" customFormat="false" ht="15" hidden="false" customHeight="false" outlineLevel="0" collapsed="false">
      <c r="A4075" s="3" t="n">
        <v>4074</v>
      </c>
      <c r="B4075" s="3" t="n">
        <v>4073</v>
      </c>
      <c r="C4075" s="3" t="n">
        <v>5</v>
      </c>
      <c r="D4075" s="3" t="n">
        <v>5</v>
      </c>
      <c r="E4075" s="3" t="n">
        <v>13</v>
      </c>
      <c r="F4075" s="24" t="n">
        <v>0.51512605</v>
      </c>
    </row>
    <row r="4076" customFormat="false" ht="15" hidden="false" customHeight="false" outlineLevel="0" collapsed="false">
      <c r="A4076" s="3" t="n">
        <v>4075</v>
      </c>
      <c r="B4076" s="3" t="n">
        <v>4074</v>
      </c>
      <c r="C4076" s="3" t="n">
        <v>5</v>
      </c>
      <c r="D4076" s="3" t="n">
        <v>5</v>
      </c>
      <c r="E4076" s="3" t="n">
        <v>14</v>
      </c>
      <c r="F4076" s="24" t="n">
        <v>0.51512605</v>
      </c>
    </row>
    <row r="4077" customFormat="false" ht="15" hidden="false" customHeight="false" outlineLevel="0" collapsed="false">
      <c r="A4077" s="3" t="n">
        <v>4076</v>
      </c>
      <c r="B4077" s="3" t="n">
        <v>4075</v>
      </c>
      <c r="C4077" s="3" t="n">
        <v>5</v>
      </c>
      <c r="D4077" s="3" t="n">
        <v>5</v>
      </c>
      <c r="E4077" s="3" t="n">
        <v>15</v>
      </c>
      <c r="F4077" s="24" t="n">
        <v>0.51512605</v>
      </c>
    </row>
    <row r="4078" customFormat="false" ht="15" hidden="false" customHeight="false" outlineLevel="0" collapsed="false">
      <c r="A4078" s="3" t="n">
        <v>4077</v>
      </c>
      <c r="B4078" s="3" t="n">
        <v>4076</v>
      </c>
      <c r="C4078" s="3" t="n">
        <v>5</v>
      </c>
      <c r="D4078" s="3" t="n">
        <v>5</v>
      </c>
      <c r="E4078" s="3" t="n">
        <v>16</v>
      </c>
      <c r="F4078" s="24" t="n">
        <v>0.51512605</v>
      </c>
    </row>
    <row r="4079" customFormat="false" ht="15" hidden="false" customHeight="false" outlineLevel="0" collapsed="false">
      <c r="A4079" s="3" t="n">
        <v>4078</v>
      </c>
      <c r="B4079" s="3" t="n">
        <v>4077</v>
      </c>
      <c r="C4079" s="3" t="n">
        <v>5</v>
      </c>
      <c r="D4079" s="3" t="n">
        <v>5</v>
      </c>
      <c r="E4079" s="3" t="n">
        <v>17</v>
      </c>
      <c r="F4079" s="24" t="n">
        <v>0.51512605</v>
      </c>
    </row>
    <row r="4080" customFormat="false" ht="15" hidden="false" customHeight="false" outlineLevel="0" collapsed="false">
      <c r="A4080" s="3" t="n">
        <v>4079</v>
      </c>
      <c r="B4080" s="3" t="n">
        <v>4078</v>
      </c>
      <c r="C4080" s="3" t="n">
        <v>5</v>
      </c>
      <c r="D4080" s="3" t="n">
        <v>5</v>
      </c>
      <c r="E4080" s="3" t="n">
        <v>18</v>
      </c>
      <c r="F4080" s="24" t="n">
        <v>0.51512605</v>
      </c>
    </row>
    <row r="4081" customFormat="false" ht="15" hidden="false" customHeight="false" outlineLevel="0" collapsed="false">
      <c r="A4081" s="3" t="n">
        <v>4080</v>
      </c>
      <c r="B4081" s="3" t="n">
        <v>4079</v>
      </c>
      <c r="C4081" s="3" t="n">
        <v>5</v>
      </c>
      <c r="D4081" s="3" t="n">
        <v>5</v>
      </c>
      <c r="E4081" s="3" t="n">
        <v>19</v>
      </c>
      <c r="F4081" s="24" t="n">
        <v>0.51512605</v>
      </c>
    </row>
    <row r="4082" customFormat="false" ht="15" hidden="false" customHeight="false" outlineLevel="0" collapsed="false">
      <c r="A4082" s="3" t="n">
        <v>4081</v>
      </c>
      <c r="B4082" s="3" t="n">
        <v>4080</v>
      </c>
      <c r="C4082" s="3" t="n">
        <v>5</v>
      </c>
      <c r="D4082" s="3" t="n">
        <v>5</v>
      </c>
      <c r="E4082" s="3" t="n">
        <v>20</v>
      </c>
      <c r="F4082" s="24" t="n">
        <v>0.51512605</v>
      </c>
    </row>
    <row r="4083" customFormat="false" ht="15" hidden="false" customHeight="false" outlineLevel="0" collapsed="false">
      <c r="A4083" s="3" t="n">
        <v>4082</v>
      </c>
      <c r="B4083" s="3" t="n">
        <v>4081</v>
      </c>
      <c r="C4083" s="3" t="n">
        <v>5</v>
      </c>
      <c r="D4083" s="3" t="n">
        <v>5</v>
      </c>
      <c r="E4083" s="3" t="n">
        <v>21</v>
      </c>
      <c r="F4083" s="24" t="n">
        <v>0.51512605</v>
      </c>
    </row>
    <row r="4084" customFormat="false" ht="15" hidden="false" customHeight="false" outlineLevel="0" collapsed="false">
      <c r="A4084" s="3" t="n">
        <v>4083</v>
      </c>
      <c r="B4084" s="3" t="n">
        <v>4082</v>
      </c>
      <c r="C4084" s="3" t="n">
        <v>5</v>
      </c>
      <c r="D4084" s="3" t="n">
        <v>5</v>
      </c>
      <c r="E4084" s="3" t="n">
        <v>22</v>
      </c>
      <c r="F4084" s="24" t="n">
        <v>0.51512605</v>
      </c>
    </row>
    <row r="4085" customFormat="false" ht="15" hidden="false" customHeight="false" outlineLevel="0" collapsed="false">
      <c r="A4085" s="3" t="n">
        <v>4084</v>
      </c>
      <c r="B4085" s="3" t="n">
        <v>4083</v>
      </c>
      <c r="C4085" s="3" t="n">
        <v>5</v>
      </c>
      <c r="D4085" s="3" t="n">
        <v>5</v>
      </c>
      <c r="E4085" s="3" t="n">
        <v>23</v>
      </c>
      <c r="F4085" s="24" t="n">
        <v>0.51512605</v>
      </c>
    </row>
    <row r="4086" customFormat="false" ht="15" hidden="false" customHeight="false" outlineLevel="0" collapsed="false">
      <c r="A4086" s="3" t="n">
        <v>4085</v>
      </c>
      <c r="B4086" s="3" t="n">
        <v>4084</v>
      </c>
      <c r="C4086" s="3" t="n">
        <v>5</v>
      </c>
      <c r="D4086" s="3" t="n">
        <v>5</v>
      </c>
      <c r="E4086" s="3" t="n">
        <v>24</v>
      </c>
      <c r="F4086" s="24" t="n">
        <v>0.51512605</v>
      </c>
    </row>
    <row r="4087" customFormat="false" ht="15" hidden="false" customHeight="false" outlineLevel="0" collapsed="false">
      <c r="A4087" s="3" t="n">
        <v>4086</v>
      </c>
      <c r="B4087" s="3" t="n">
        <v>4085</v>
      </c>
      <c r="C4087" s="3" t="n">
        <v>5</v>
      </c>
      <c r="D4087" s="3" t="n">
        <v>5</v>
      </c>
      <c r="E4087" s="3" t="n">
        <v>25</v>
      </c>
      <c r="F4087" s="24" t="n">
        <v>0.51512605</v>
      </c>
    </row>
    <row r="4088" customFormat="false" ht="15" hidden="false" customHeight="false" outlineLevel="0" collapsed="false">
      <c r="A4088" s="3" t="n">
        <v>4087</v>
      </c>
      <c r="B4088" s="3" t="n">
        <v>4086</v>
      </c>
      <c r="C4088" s="3" t="n">
        <v>5</v>
      </c>
      <c r="D4088" s="3" t="n">
        <v>5</v>
      </c>
      <c r="E4088" s="3" t="n">
        <v>26</v>
      </c>
      <c r="F4088" s="24" t="n">
        <v>0.51512605</v>
      </c>
    </row>
    <row r="4089" customFormat="false" ht="15" hidden="false" customHeight="false" outlineLevel="0" collapsed="false">
      <c r="A4089" s="3" t="n">
        <v>4088</v>
      </c>
      <c r="B4089" s="3" t="n">
        <v>4087</v>
      </c>
      <c r="C4089" s="3" t="n">
        <v>5</v>
      </c>
      <c r="D4089" s="3" t="n">
        <v>5</v>
      </c>
      <c r="E4089" s="3" t="n">
        <v>27</v>
      </c>
      <c r="F4089" s="24" t="n">
        <v>0.459515482</v>
      </c>
    </row>
    <row r="4090" customFormat="false" ht="15" hidden="false" customHeight="false" outlineLevel="0" collapsed="false">
      <c r="A4090" s="3" t="n">
        <v>4089</v>
      </c>
      <c r="B4090" s="3" t="n">
        <v>4088</v>
      </c>
      <c r="C4090" s="3" t="n">
        <v>5</v>
      </c>
      <c r="D4090" s="3" t="n">
        <v>6</v>
      </c>
      <c r="E4090" s="3" t="n">
        <v>0</v>
      </c>
      <c r="F4090" s="24" t="n">
        <v>0.354324996</v>
      </c>
    </row>
    <row r="4091" customFormat="false" ht="15" hidden="false" customHeight="false" outlineLevel="0" collapsed="false">
      <c r="A4091" s="3" t="n">
        <v>4090</v>
      </c>
      <c r="B4091" s="3" t="n">
        <v>4089</v>
      </c>
      <c r="C4091" s="3" t="n">
        <v>5</v>
      </c>
      <c r="D4091" s="3" t="n">
        <v>6</v>
      </c>
      <c r="E4091" s="3" t="n">
        <v>1</v>
      </c>
      <c r="F4091" s="24" t="n">
        <v>0.51512605</v>
      </c>
    </row>
    <row r="4092" customFormat="false" ht="15" hidden="false" customHeight="false" outlineLevel="0" collapsed="false">
      <c r="A4092" s="3" t="n">
        <v>4091</v>
      </c>
      <c r="B4092" s="3" t="n">
        <v>4090</v>
      </c>
      <c r="C4092" s="3" t="n">
        <v>5</v>
      </c>
      <c r="D4092" s="3" t="n">
        <v>6</v>
      </c>
      <c r="E4092" s="3" t="n">
        <v>2</v>
      </c>
      <c r="F4092" s="24" t="n">
        <v>0.51512605</v>
      </c>
    </row>
    <row r="4093" customFormat="false" ht="15" hidden="false" customHeight="false" outlineLevel="0" collapsed="false">
      <c r="A4093" s="3" t="n">
        <v>4092</v>
      </c>
      <c r="B4093" s="3" t="n">
        <v>4091</v>
      </c>
      <c r="C4093" s="3" t="n">
        <v>5</v>
      </c>
      <c r="D4093" s="3" t="n">
        <v>6</v>
      </c>
      <c r="E4093" s="3" t="n">
        <v>3</v>
      </c>
      <c r="F4093" s="24" t="n">
        <v>0.51512605</v>
      </c>
    </row>
    <row r="4094" customFormat="false" ht="15" hidden="false" customHeight="false" outlineLevel="0" collapsed="false">
      <c r="A4094" s="3" t="n">
        <v>4093</v>
      </c>
      <c r="B4094" s="3" t="n">
        <v>4092</v>
      </c>
      <c r="C4094" s="3" t="n">
        <v>5</v>
      </c>
      <c r="D4094" s="3" t="n">
        <v>6</v>
      </c>
      <c r="E4094" s="3" t="n">
        <v>4</v>
      </c>
      <c r="F4094" s="24" t="n">
        <v>0.51512605</v>
      </c>
    </row>
    <row r="4095" customFormat="false" ht="15" hidden="false" customHeight="false" outlineLevel="0" collapsed="false">
      <c r="A4095" s="3" t="n">
        <v>4094</v>
      </c>
      <c r="B4095" s="3" t="n">
        <v>4093</v>
      </c>
      <c r="C4095" s="3" t="n">
        <v>5</v>
      </c>
      <c r="D4095" s="3" t="n">
        <v>6</v>
      </c>
      <c r="E4095" s="3" t="n">
        <v>5</v>
      </c>
      <c r="F4095" s="24" t="n">
        <v>0.935563087</v>
      </c>
    </row>
    <row r="4096" customFormat="false" ht="15" hidden="false" customHeight="false" outlineLevel="0" collapsed="false">
      <c r="A4096" s="3" t="n">
        <v>4095</v>
      </c>
      <c r="B4096" s="3" t="n">
        <v>4094</v>
      </c>
      <c r="C4096" s="3" t="n">
        <v>5</v>
      </c>
      <c r="D4096" s="3" t="n">
        <v>6</v>
      </c>
      <c r="E4096" s="3" t="n">
        <v>6</v>
      </c>
      <c r="F4096" s="24" t="n">
        <v>0.729577243</v>
      </c>
    </row>
    <row r="4097" customFormat="false" ht="15" hidden="false" customHeight="false" outlineLevel="0" collapsed="false">
      <c r="A4097" s="3" t="n">
        <v>4096</v>
      </c>
      <c r="B4097" s="3" t="n">
        <v>4095</v>
      </c>
      <c r="C4097" s="3" t="n">
        <v>5</v>
      </c>
      <c r="D4097" s="3" t="n">
        <v>6</v>
      </c>
      <c r="E4097" s="3" t="n">
        <v>7</v>
      </c>
      <c r="F4097" s="24" t="n">
        <v>-1.08845532</v>
      </c>
    </row>
    <row r="4098" customFormat="false" ht="15" hidden="false" customHeight="false" outlineLevel="0" collapsed="false">
      <c r="A4098" s="3" t="n">
        <v>4097</v>
      </c>
      <c r="B4098" s="3" t="n">
        <v>4096</v>
      </c>
      <c r="C4098" s="3" t="n">
        <v>5</v>
      </c>
      <c r="D4098" s="3" t="n">
        <v>6</v>
      </c>
      <c r="E4098" s="3" t="n">
        <v>8</v>
      </c>
      <c r="F4098" s="24" t="n">
        <v>-1.90911651</v>
      </c>
    </row>
    <row r="4099" customFormat="false" ht="15" hidden="false" customHeight="false" outlineLevel="0" collapsed="false">
      <c r="A4099" s="3" t="n">
        <v>4098</v>
      </c>
      <c r="B4099" s="3" t="n">
        <v>4097</v>
      </c>
      <c r="C4099" s="3" t="n">
        <v>5</v>
      </c>
      <c r="D4099" s="3" t="n">
        <v>6</v>
      </c>
      <c r="E4099" s="3" t="n">
        <v>9</v>
      </c>
      <c r="F4099" s="24" t="n">
        <v>-2.03918266</v>
      </c>
    </row>
    <row r="4100" customFormat="false" ht="15" hidden="false" customHeight="false" outlineLevel="0" collapsed="false">
      <c r="A4100" s="3" t="n">
        <v>4099</v>
      </c>
      <c r="B4100" s="3" t="n">
        <v>4098</v>
      </c>
      <c r="C4100" s="3" t="n">
        <v>5</v>
      </c>
      <c r="D4100" s="3" t="n">
        <v>6</v>
      </c>
      <c r="E4100" s="3" t="n">
        <v>10</v>
      </c>
      <c r="F4100" s="24" t="n">
        <v>-1.30922842</v>
      </c>
    </row>
    <row r="4101" customFormat="false" ht="15" hidden="false" customHeight="false" outlineLevel="0" collapsed="false">
      <c r="A4101" s="3" t="n">
        <v>4100</v>
      </c>
      <c r="B4101" s="3" t="n">
        <v>4099</v>
      </c>
      <c r="C4101" s="3" t="n">
        <v>5</v>
      </c>
      <c r="D4101" s="3" t="n">
        <v>6</v>
      </c>
      <c r="E4101" s="3" t="n">
        <v>11</v>
      </c>
      <c r="F4101" s="24" t="n">
        <v>-0.38437134</v>
      </c>
    </row>
    <row r="4102" customFormat="false" ht="15" hidden="false" customHeight="false" outlineLevel="0" collapsed="false">
      <c r="A4102" s="3" t="n">
        <v>4101</v>
      </c>
      <c r="B4102" s="3" t="n">
        <v>4100</v>
      </c>
      <c r="C4102" s="3" t="n">
        <v>5</v>
      </c>
      <c r="D4102" s="3" t="n">
        <v>6</v>
      </c>
      <c r="E4102" s="3" t="n">
        <v>12</v>
      </c>
      <c r="F4102" s="24" t="n">
        <v>0.158387676</v>
      </c>
    </row>
    <row r="4103" customFormat="false" ht="15" hidden="false" customHeight="false" outlineLevel="0" collapsed="false">
      <c r="A4103" s="3" t="n">
        <v>4102</v>
      </c>
      <c r="B4103" s="3" t="n">
        <v>4101</v>
      </c>
      <c r="C4103" s="3" t="n">
        <v>5</v>
      </c>
      <c r="D4103" s="3" t="n">
        <v>6</v>
      </c>
      <c r="E4103" s="3" t="n">
        <v>13</v>
      </c>
      <c r="F4103" s="24" t="n">
        <v>0.51512605</v>
      </c>
    </row>
    <row r="4104" customFormat="false" ht="15" hidden="false" customHeight="false" outlineLevel="0" collapsed="false">
      <c r="A4104" s="3" t="n">
        <v>4103</v>
      </c>
      <c r="B4104" s="3" t="n">
        <v>4102</v>
      </c>
      <c r="C4104" s="3" t="n">
        <v>5</v>
      </c>
      <c r="D4104" s="3" t="n">
        <v>6</v>
      </c>
      <c r="E4104" s="3" t="n">
        <v>14</v>
      </c>
      <c r="F4104" s="24" t="n">
        <v>0.51512605</v>
      </c>
    </row>
    <row r="4105" customFormat="false" ht="15" hidden="false" customHeight="false" outlineLevel="0" collapsed="false">
      <c r="A4105" s="3" t="n">
        <v>4104</v>
      </c>
      <c r="B4105" s="3" t="n">
        <v>4103</v>
      </c>
      <c r="C4105" s="3" t="n">
        <v>5</v>
      </c>
      <c r="D4105" s="3" t="n">
        <v>6</v>
      </c>
      <c r="E4105" s="3" t="n">
        <v>15</v>
      </c>
      <c r="F4105" s="24" t="n">
        <v>0.51512605</v>
      </c>
    </row>
    <row r="4106" customFormat="false" ht="15" hidden="false" customHeight="false" outlineLevel="0" collapsed="false">
      <c r="A4106" s="3" t="n">
        <v>4105</v>
      </c>
      <c r="B4106" s="3" t="n">
        <v>4104</v>
      </c>
      <c r="C4106" s="3" t="n">
        <v>5</v>
      </c>
      <c r="D4106" s="3" t="n">
        <v>6</v>
      </c>
      <c r="E4106" s="3" t="n">
        <v>16</v>
      </c>
      <c r="F4106" s="24" t="n">
        <v>0.51512605</v>
      </c>
    </row>
    <row r="4107" customFormat="false" ht="15" hidden="false" customHeight="false" outlineLevel="0" collapsed="false">
      <c r="A4107" s="3" t="n">
        <v>4106</v>
      </c>
      <c r="B4107" s="3" t="n">
        <v>4105</v>
      </c>
      <c r="C4107" s="3" t="n">
        <v>5</v>
      </c>
      <c r="D4107" s="3" t="n">
        <v>6</v>
      </c>
      <c r="E4107" s="3" t="n">
        <v>17</v>
      </c>
      <c r="F4107" s="24" t="n">
        <v>0.51512605</v>
      </c>
    </row>
    <row r="4108" customFormat="false" ht="15" hidden="false" customHeight="false" outlineLevel="0" collapsed="false">
      <c r="A4108" s="3" t="n">
        <v>4107</v>
      </c>
      <c r="B4108" s="3" t="n">
        <v>4106</v>
      </c>
      <c r="C4108" s="3" t="n">
        <v>5</v>
      </c>
      <c r="D4108" s="3" t="n">
        <v>6</v>
      </c>
      <c r="E4108" s="3" t="n">
        <v>18</v>
      </c>
      <c r="F4108" s="24" t="n">
        <v>0.51512605</v>
      </c>
    </row>
    <row r="4109" customFormat="false" ht="15" hidden="false" customHeight="false" outlineLevel="0" collapsed="false">
      <c r="A4109" s="3" t="n">
        <v>4108</v>
      </c>
      <c r="B4109" s="3" t="n">
        <v>4107</v>
      </c>
      <c r="C4109" s="3" t="n">
        <v>5</v>
      </c>
      <c r="D4109" s="3" t="n">
        <v>6</v>
      </c>
      <c r="E4109" s="3" t="n">
        <v>19</v>
      </c>
      <c r="F4109" s="24" t="n">
        <v>0.51512605</v>
      </c>
    </row>
    <row r="4110" customFormat="false" ht="15" hidden="false" customHeight="false" outlineLevel="0" collapsed="false">
      <c r="A4110" s="3" t="n">
        <v>4109</v>
      </c>
      <c r="B4110" s="3" t="n">
        <v>4108</v>
      </c>
      <c r="C4110" s="3" t="n">
        <v>5</v>
      </c>
      <c r="D4110" s="3" t="n">
        <v>6</v>
      </c>
      <c r="E4110" s="3" t="n">
        <v>20</v>
      </c>
      <c r="F4110" s="24" t="n">
        <v>0.51512605</v>
      </c>
    </row>
    <row r="4111" customFormat="false" ht="15" hidden="false" customHeight="false" outlineLevel="0" collapsed="false">
      <c r="A4111" s="3" t="n">
        <v>4110</v>
      </c>
      <c r="B4111" s="3" t="n">
        <v>4109</v>
      </c>
      <c r="C4111" s="3" t="n">
        <v>5</v>
      </c>
      <c r="D4111" s="3" t="n">
        <v>6</v>
      </c>
      <c r="E4111" s="3" t="n">
        <v>21</v>
      </c>
      <c r="F4111" s="24" t="n">
        <v>0.51512605</v>
      </c>
    </row>
    <row r="4112" customFormat="false" ht="15" hidden="false" customHeight="false" outlineLevel="0" collapsed="false">
      <c r="A4112" s="3" t="n">
        <v>4111</v>
      </c>
      <c r="B4112" s="3" t="n">
        <v>4110</v>
      </c>
      <c r="C4112" s="3" t="n">
        <v>5</v>
      </c>
      <c r="D4112" s="3" t="n">
        <v>6</v>
      </c>
      <c r="E4112" s="3" t="n">
        <v>22</v>
      </c>
      <c r="F4112" s="24" t="n">
        <v>0.51512605</v>
      </c>
    </row>
    <row r="4113" customFormat="false" ht="15" hidden="false" customHeight="false" outlineLevel="0" collapsed="false">
      <c r="A4113" s="3" t="n">
        <v>4112</v>
      </c>
      <c r="B4113" s="3" t="n">
        <v>4111</v>
      </c>
      <c r="C4113" s="3" t="n">
        <v>5</v>
      </c>
      <c r="D4113" s="3" t="n">
        <v>6</v>
      </c>
      <c r="E4113" s="3" t="n">
        <v>23</v>
      </c>
      <c r="F4113" s="24" t="n">
        <v>0.51512605</v>
      </c>
    </row>
    <row r="4114" customFormat="false" ht="15" hidden="false" customHeight="false" outlineLevel="0" collapsed="false">
      <c r="A4114" s="3" t="n">
        <v>4113</v>
      </c>
      <c r="B4114" s="3" t="n">
        <v>4112</v>
      </c>
      <c r="C4114" s="3" t="n">
        <v>5</v>
      </c>
      <c r="D4114" s="3" t="n">
        <v>6</v>
      </c>
      <c r="E4114" s="3" t="n">
        <v>24</v>
      </c>
      <c r="F4114" s="24" t="n">
        <v>0.51512605</v>
      </c>
    </row>
    <row r="4115" customFormat="false" ht="15" hidden="false" customHeight="false" outlineLevel="0" collapsed="false">
      <c r="A4115" s="3" t="n">
        <v>4114</v>
      </c>
      <c r="B4115" s="3" t="n">
        <v>4113</v>
      </c>
      <c r="C4115" s="3" t="n">
        <v>5</v>
      </c>
      <c r="D4115" s="3" t="n">
        <v>6</v>
      </c>
      <c r="E4115" s="3" t="n">
        <v>25</v>
      </c>
      <c r="F4115" s="24" t="n">
        <v>0.51512605</v>
      </c>
    </row>
    <row r="4116" customFormat="false" ht="15" hidden="false" customHeight="false" outlineLevel="0" collapsed="false">
      <c r="A4116" s="3" t="n">
        <v>4115</v>
      </c>
      <c r="B4116" s="3" t="n">
        <v>4114</v>
      </c>
      <c r="C4116" s="3" t="n">
        <v>5</v>
      </c>
      <c r="D4116" s="3" t="n">
        <v>6</v>
      </c>
      <c r="E4116" s="3" t="n">
        <v>26</v>
      </c>
      <c r="F4116" s="24" t="n">
        <v>0.51512605</v>
      </c>
    </row>
    <row r="4117" customFormat="false" ht="15" hidden="false" customHeight="false" outlineLevel="0" collapsed="false">
      <c r="A4117" s="3" t="n">
        <v>4116</v>
      </c>
      <c r="B4117" s="3" t="n">
        <v>4115</v>
      </c>
      <c r="C4117" s="3" t="n">
        <v>5</v>
      </c>
      <c r="D4117" s="3" t="n">
        <v>6</v>
      </c>
      <c r="E4117" s="3" t="n">
        <v>27</v>
      </c>
      <c r="F4117" s="24" t="n">
        <v>0.459515482</v>
      </c>
    </row>
    <row r="4118" customFormat="false" ht="15" hidden="false" customHeight="false" outlineLevel="0" collapsed="false">
      <c r="A4118" s="3" t="n">
        <v>4117</v>
      </c>
      <c r="B4118" s="3" t="n">
        <v>4116</v>
      </c>
      <c r="C4118" s="3" t="n">
        <v>5</v>
      </c>
      <c r="D4118" s="3" t="n">
        <v>7</v>
      </c>
      <c r="E4118" s="3" t="n">
        <v>0</v>
      </c>
      <c r="F4118" s="24" t="n">
        <v>0.354324996</v>
      </c>
    </row>
    <row r="4119" customFormat="false" ht="15" hidden="false" customHeight="false" outlineLevel="0" collapsed="false">
      <c r="A4119" s="3" t="n">
        <v>4118</v>
      </c>
      <c r="B4119" s="3" t="n">
        <v>4117</v>
      </c>
      <c r="C4119" s="3" t="n">
        <v>5</v>
      </c>
      <c r="D4119" s="3" t="n">
        <v>7</v>
      </c>
      <c r="E4119" s="3" t="n">
        <v>1</v>
      </c>
      <c r="F4119" s="24" t="n">
        <v>0.51512605</v>
      </c>
    </row>
    <row r="4120" customFormat="false" ht="15" hidden="false" customHeight="false" outlineLevel="0" collapsed="false">
      <c r="A4120" s="3" t="n">
        <v>4119</v>
      </c>
      <c r="B4120" s="3" t="n">
        <v>4118</v>
      </c>
      <c r="C4120" s="3" t="n">
        <v>5</v>
      </c>
      <c r="D4120" s="3" t="n">
        <v>7</v>
      </c>
      <c r="E4120" s="3" t="n">
        <v>2</v>
      </c>
      <c r="F4120" s="24" t="n">
        <v>0.51512605</v>
      </c>
    </row>
    <row r="4121" customFormat="false" ht="15" hidden="false" customHeight="false" outlineLevel="0" collapsed="false">
      <c r="A4121" s="3" t="n">
        <v>4120</v>
      </c>
      <c r="B4121" s="3" t="n">
        <v>4119</v>
      </c>
      <c r="C4121" s="3" t="n">
        <v>5</v>
      </c>
      <c r="D4121" s="3" t="n">
        <v>7</v>
      </c>
      <c r="E4121" s="3" t="n">
        <v>3</v>
      </c>
      <c r="F4121" s="24" t="n">
        <v>0.51512605</v>
      </c>
    </row>
    <row r="4122" customFormat="false" ht="15" hidden="false" customHeight="false" outlineLevel="0" collapsed="false">
      <c r="A4122" s="3" t="n">
        <v>4121</v>
      </c>
      <c r="B4122" s="3" t="n">
        <v>4120</v>
      </c>
      <c r="C4122" s="3" t="n">
        <v>5</v>
      </c>
      <c r="D4122" s="3" t="n">
        <v>7</v>
      </c>
      <c r="E4122" s="3" t="n">
        <v>4</v>
      </c>
      <c r="F4122" s="24" t="n">
        <v>0.51512605</v>
      </c>
    </row>
    <row r="4123" customFormat="false" ht="15" hidden="false" customHeight="false" outlineLevel="0" collapsed="false">
      <c r="A4123" s="3" t="n">
        <v>4122</v>
      </c>
      <c r="B4123" s="3" t="n">
        <v>4121</v>
      </c>
      <c r="C4123" s="3" t="n">
        <v>5</v>
      </c>
      <c r="D4123" s="3" t="n">
        <v>7</v>
      </c>
      <c r="E4123" s="3" t="n">
        <v>5</v>
      </c>
      <c r="F4123" s="24" t="n">
        <v>0.696474016</v>
      </c>
    </row>
    <row r="4124" customFormat="false" ht="15" hidden="false" customHeight="false" outlineLevel="0" collapsed="false">
      <c r="A4124" s="3" t="n">
        <v>4123</v>
      </c>
      <c r="B4124" s="3" t="n">
        <v>4122</v>
      </c>
      <c r="C4124" s="3" t="n">
        <v>5</v>
      </c>
      <c r="D4124" s="3" t="n">
        <v>7</v>
      </c>
      <c r="E4124" s="3" t="n">
        <v>6</v>
      </c>
      <c r="F4124" s="24" t="n">
        <v>-2.32285595</v>
      </c>
    </row>
    <row r="4125" customFormat="false" ht="15" hidden="false" customHeight="false" outlineLevel="0" collapsed="false">
      <c r="A4125" s="3" t="n">
        <v>4124</v>
      </c>
      <c r="B4125" s="3" t="n">
        <v>4123</v>
      </c>
      <c r="C4125" s="3" t="n">
        <v>5</v>
      </c>
      <c r="D4125" s="3" t="n">
        <v>7</v>
      </c>
      <c r="E4125" s="3" t="n">
        <v>7</v>
      </c>
      <c r="F4125" s="24" t="n">
        <v>-4.61254883</v>
      </c>
    </row>
    <row r="4126" customFormat="false" ht="15" hidden="false" customHeight="false" outlineLevel="0" collapsed="false">
      <c r="A4126" s="3" t="n">
        <v>4125</v>
      </c>
      <c r="B4126" s="3" t="n">
        <v>4124</v>
      </c>
      <c r="C4126" s="3" t="n">
        <v>5</v>
      </c>
      <c r="D4126" s="3" t="n">
        <v>7</v>
      </c>
      <c r="E4126" s="3" t="n">
        <v>8</v>
      </c>
      <c r="F4126" s="24" t="n">
        <v>-4.65135479</v>
      </c>
    </row>
    <row r="4127" customFormat="false" ht="15" hidden="false" customHeight="false" outlineLevel="0" collapsed="false">
      <c r="A4127" s="3" t="n">
        <v>4126</v>
      </c>
      <c r="B4127" s="3" t="n">
        <v>4125</v>
      </c>
      <c r="C4127" s="3" t="n">
        <v>5</v>
      </c>
      <c r="D4127" s="3" t="n">
        <v>7</v>
      </c>
      <c r="E4127" s="3" t="n">
        <v>9</v>
      </c>
      <c r="F4127" s="24" t="n">
        <v>-3.66123223</v>
      </c>
    </row>
    <row r="4128" customFormat="false" ht="15" hidden="false" customHeight="false" outlineLevel="0" collapsed="false">
      <c r="A4128" s="3" t="n">
        <v>4127</v>
      </c>
      <c r="B4128" s="3" t="n">
        <v>4126</v>
      </c>
      <c r="C4128" s="3" t="n">
        <v>5</v>
      </c>
      <c r="D4128" s="3" t="n">
        <v>7</v>
      </c>
      <c r="E4128" s="3" t="n">
        <v>10</v>
      </c>
      <c r="F4128" s="24" t="n">
        <v>-3.27504826</v>
      </c>
    </row>
    <row r="4129" customFormat="false" ht="15" hidden="false" customHeight="false" outlineLevel="0" collapsed="false">
      <c r="A4129" s="3" t="n">
        <v>4128</v>
      </c>
      <c r="B4129" s="3" t="n">
        <v>4127</v>
      </c>
      <c r="C4129" s="3" t="n">
        <v>5</v>
      </c>
      <c r="D4129" s="3" t="n">
        <v>7</v>
      </c>
      <c r="E4129" s="3" t="n">
        <v>11</v>
      </c>
      <c r="F4129" s="24" t="n">
        <v>-3.05038166</v>
      </c>
    </row>
    <row r="4130" customFormat="false" ht="15" hidden="false" customHeight="false" outlineLevel="0" collapsed="false">
      <c r="A4130" s="3" t="n">
        <v>4129</v>
      </c>
      <c r="B4130" s="3" t="n">
        <v>4128</v>
      </c>
      <c r="C4130" s="3" t="n">
        <v>5</v>
      </c>
      <c r="D4130" s="3" t="n">
        <v>7</v>
      </c>
      <c r="E4130" s="3" t="n">
        <v>12</v>
      </c>
      <c r="F4130" s="24" t="n">
        <v>-2.51149082</v>
      </c>
    </row>
    <row r="4131" customFormat="false" ht="15" hidden="false" customHeight="false" outlineLevel="0" collapsed="false">
      <c r="A4131" s="3" t="n">
        <v>4130</v>
      </c>
      <c r="B4131" s="3" t="n">
        <v>4129</v>
      </c>
      <c r="C4131" s="3" t="n">
        <v>5</v>
      </c>
      <c r="D4131" s="3" t="n">
        <v>7</v>
      </c>
      <c r="E4131" s="3" t="n">
        <v>13</v>
      </c>
      <c r="F4131" s="24" t="n">
        <v>-2.13303852</v>
      </c>
    </row>
    <row r="4132" customFormat="false" ht="15" hidden="false" customHeight="false" outlineLevel="0" collapsed="false">
      <c r="A4132" s="3" t="n">
        <v>4131</v>
      </c>
      <c r="B4132" s="3" t="n">
        <v>4130</v>
      </c>
      <c r="C4132" s="3" t="n">
        <v>5</v>
      </c>
      <c r="D4132" s="3" t="n">
        <v>7</v>
      </c>
      <c r="E4132" s="3" t="n">
        <v>14</v>
      </c>
      <c r="F4132" s="24" t="n">
        <v>-2.13303852</v>
      </c>
    </row>
    <row r="4133" customFormat="false" ht="15" hidden="false" customHeight="false" outlineLevel="0" collapsed="false">
      <c r="A4133" s="3" t="n">
        <v>4132</v>
      </c>
      <c r="B4133" s="3" t="n">
        <v>4131</v>
      </c>
      <c r="C4133" s="3" t="n">
        <v>5</v>
      </c>
      <c r="D4133" s="3" t="n">
        <v>7</v>
      </c>
      <c r="E4133" s="3" t="n">
        <v>15</v>
      </c>
      <c r="F4133" s="24" t="n">
        <v>-2.13303852</v>
      </c>
    </row>
    <row r="4134" customFormat="false" ht="15" hidden="false" customHeight="false" outlineLevel="0" collapsed="false">
      <c r="A4134" s="3" t="n">
        <v>4133</v>
      </c>
      <c r="B4134" s="3" t="n">
        <v>4132</v>
      </c>
      <c r="C4134" s="3" t="n">
        <v>5</v>
      </c>
      <c r="D4134" s="3" t="n">
        <v>7</v>
      </c>
      <c r="E4134" s="3" t="n">
        <v>16</v>
      </c>
      <c r="F4134" s="24" t="n">
        <v>-2.13303852</v>
      </c>
    </row>
    <row r="4135" customFormat="false" ht="15" hidden="false" customHeight="false" outlineLevel="0" collapsed="false">
      <c r="A4135" s="3" t="n">
        <v>4134</v>
      </c>
      <c r="B4135" s="3" t="n">
        <v>4133</v>
      </c>
      <c r="C4135" s="3" t="n">
        <v>5</v>
      </c>
      <c r="D4135" s="3" t="n">
        <v>7</v>
      </c>
      <c r="E4135" s="3" t="n">
        <v>17</v>
      </c>
      <c r="F4135" s="24" t="n">
        <v>-2.13303852</v>
      </c>
    </row>
    <row r="4136" customFormat="false" ht="15" hidden="false" customHeight="false" outlineLevel="0" collapsed="false">
      <c r="A4136" s="3" t="n">
        <v>4135</v>
      </c>
      <c r="B4136" s="3" t="n">
        <v>4134</v>
      </c>
      <c r="C4136" s="3" t="n">
        <v>5</v>
      </c>
      <c r="D4136" s="3" t="n">
        <v>7</v>
      </c>
      <c r="E4136" s="3" t="n">
        <v>18</v>
      </c>
      <c r="F4136" s="24" t="n">
        <v>-2.13303852</v>
      </c>
    </row>
    <row r="4137" customFormat="false" ht="15" hidden="false" customHeight="false" outlineLevel="0" collapsed="false">
      <c r="A4137" s="3" t="n">
        <v>4136</v>
      </c>
      <c r="B4137" s="3" t="n">
        <v>4135</v>
      </c>
      <c r="C4137" s="3" t="n">
        <v>5</v>
      </c>
      <c r="D4137" s="3" t="n">
        <v>7</v>
      </c>
      <c r="E4137" s="3" t="n">
        <v>19</v>
      </c>
      <c r="F4137" s="24" t="n">
        <v>-2.27318406</v>
      </c>
    </row>
    <row r="4138" customFormat="false" ht="15" hidden="false" customHeight="false" outlineLevel="0" collapsed="false">
      <c r="A4138" s="3" t="n">
        <v>4137</v>
      </c>
      <c r="B4138" s="3" t="n">
        <v>4136</v>
      </c>
      <c r="C4138" s="3" t="n">
        <v>5</v>
      </c>
      <c r="D4138" s="3" t="n">
        <v>7</v>
      </c>
      <c r="E4138" s="3" t="n">
        <v>20</v>
      </c>
      <c r="F4138" s="24" t="n">
        <v>-2.62662792</v>
      </c>
    </row>
    <row r="4139" customFormat="false" ht="15" hidden="false" customHeight="false" outlineLevel="0" collapsed="false">
      <c r="A4139" s="3" t="n">
        <v>4138</v>
      </c>
      <c r="B4139" s="3" t="n">
        <v>4137</v>
      </c>
      <c r="C4139" s="3" t="n">
        <v>5</v>
      </c>
      <c r="D4139" s="3" t="n">
        <v>7</v>
      </c>
      <c r="E4139" s="3" t="n">
        <v>21</v>
      </c>
      <c r="F4139" s="24" t="n">
        <v>-1.60993111</v>
      </c>
    </row>
    <row r="4140" customFormat="false" ht="15" hidden="false" customHeight="false" outlineLevel="0" collapsed="false">
      <c r="A4140" s="3" t="n">
        <v>4139</v>
      </c>
      <c r="B4140" s="3" t="n">
        <v>4138</v>
      </c>
      <c r="C4140" s="3" t="n">
        <v>5</v>
      </c>
      <c r="D4140" s="3" t="n">
        <v>7</v>
      </c>
      <c r="E4140" s="3" t="n">
        <v>22</v>
      </c>
      <c r="F4140" s="24" t="n">
        <v>-0.000162690878</v>
      </c>
    </row>
    <row r="4141" customFormat="false" ht="15" hidden="false" customHeight="false" outlineLevel="0" collapsed="false">
      <c r="A4141" s="3" t="n">
        <v>4140</v>
      </c>
      <c r="B4141" s="3" t="n">
        <v>4139</v>
      </c>
      <c r="C4141" s="3" t="n">
        <v>5</v>
      </c>
      <c r="D4141" s="3" t="n">
        <v>7</v>
      </c>
      <c r="E4141" s="3" t="n">
        <v>23</v>
      </c>
      <c r="F4141" s="24" t="n">
        <v>0.51512605</v>
      </c>
    </row>
    <row r="4142" customFormat="false" ht="15" hidden="false" customHeight="false" outlineLevel="0" collapsed="false">
      <c r="A4142" s="3" t="n">
        <v>4141</v>
      </c>
      <c r="B4142" s="3" t="n">
        <v>4140</v>
      </c>
      <c r="C4142" s="3" t="n">
        <v>5</v>
      </c>
      <c r="D4142" s="3" t="n">
        <v>7</v>
      </c>
      <c r="E4142" s="3" t="n">
        <v>24</v>
      </c>
      <c r="F4142" s="24" t="n">
        <v>0.51512605</v>
      </c>
    </row>
    <row r="4143" customFormat="false" ht="15" hidden="false" customHeight="false" outlineLevel="0" collapsed="false">
      <c r="A4143" s="3" t="n">
        <v>4142</v>
      </c>
      <c r="B4143" s="3" t="n">
        <v>4141</v>
      </c>
      <c r="C4143" s="3" t="n">
        <v>5</v>
      </c>
      <c r="D4143" s="3" t="n">
        <v>7</v>
      </c>
      <c r="E4143" s="3" t="n">
        <v>25</v>
      </c>
      <c r="F4143" s="24" t="n">
        <v>0.51512605</v>
      </c>
    </row>
    <row r="4144" customFormat="false" ht="15" hidden="false" customHeight="false" outlineLevel="0" collapsed="false">
      <c r="A4144" s="3" t="n">
        <v>4143</v>
      </c>
      <c r="B4144" s="3" t="n">
        <v>4142</v>
      </c>
      <c r="C4144" s="3" t="n">
        <v>5</v>
      </c>
      <c r="D4144" s="3" t="n">
        <v>7</v>
      </c>
      <c r="E4144" s="3" t="n">
        <v>26</v>
      </c>
      <c r="F4144" s="24" t="n">
        <v>0.51512605</v>
      </c>
    </row>
    <row r="4145" customFormat="false" ht="15" hidden="false" customHeight="false" outlineLevel="0" collapsed="false">
      <c r="A4145" s="3" t="n">
        <v>4144</v>
      </c>
      <c r="B4145" s="3" t="n">
        <v>4143</v>
      </c>
      <c r="C4145" s="3" t="n">
        <v>5</v>
      </c>
      <c r="D4145" s="3" t="n">
        <v>7</v>
      </c>
      <c r="E4145" s="3" t="n">
        <v>27</v>
      </c>
      <c r="F4145" s="24" t="n">
        <v>0.459515482</v>
      </c>
    </row>
    <row r="4146" customFormat="false" ht="15" hidden="false" customHeight="false" outlineLevel="0" collapsed="false">
      <c r="A4146" s="3" t="n">
        <v>4145</v>
      </c>
      <c r="B4146" s="3" t="n">
        <v>4144</v>
      </c>
      <c r="C4146" s="3" t="n">
        <v>5</v>
      </c>
      <c r="D4146" s="3" t="n">
        <v>8</v>
      </c>
      <c r="E4146" s="3" t="n">
        <v>0</v>
      </c>
      <c r="F4146" s="24" t="n">
        <v>0.354324996</v>
      </c>
    </row>
    <row r="4147" customFormat="false" ht="15" hidden="false" customHeight="false" outlineLevel="0" collapsed="false">
      <c r="A4147" s="3" t="n">
        <v>4146</v>
      </c>
      <c r="B4147" s="3" t="n">
        <v>4145</v>
      </c>
      <c r="C4147" s="3" t="n">
        <v>5</v>
      </c>
      <c r="D4147" s="3" t="n">
        <v>8</v>
      </c>
      <c r="E4147" s="3" t="n">
        <v>1</v>
      </c>
      <c r="F4147" s="24" t="n">
        <v>0.51512605</v>
      </c>
    </row>
    <row r="4148" customFormat="false" ht="15" hidden="false" customHeight="false" outlineLevel="0" collapsed="false">
      <c r="A4148" s="3" t="n">
        <v>4147</v>
      </c>
      <c r="B4148" s="3" t="n">
        <v>4146</v>
      </c>
      <c r="C4148" s="3" t="n">
        <v>5</v>
      </c>
      <c r="D4148" s="3" t="n">
        <v>8</v>
      </c>
      <c r="E4148" s="3" t="n">
        <v>2</v>
      </c>
      <c r="F4148" s="24" t="n">
        <v>0.51512605</v>
      </c>
    </row>
    <row r="4149" customFormat="false" ht="15" hidden="false" customHeight="false" outlineLevel="0" collapsed="false">
      <c r="A4149" s="3" t="n">
        <v>4148</v>
      </c>
      <c r="B4149" s="3" t="n">
        <v>4147</v>
      </c>
      <c r="C4149" s="3" t="n">
        <v>5</v>
      </c>
      <c r="D4149" s="3" t="n">
        <v>8</v>
      </c>
      <c r="E4149" s="3" t="n">
        <v>3</v>
      </c>
      <c r="F4149" s="24" t="n">
        <v>0.51512605</v>
      </c>
    </row>
    <row r="4150" customFormat="false" ht="15" hidden="false" customHeight="false" outlineLevel="0" collapsed="false">
      <c r="A4150" s="3" t="n">
        <v>4149</v>
      </c>
      <c r="B4150" s="3" t="n">
        <v>4148</v>
      </c>
      <c r="C4150" s="3" t="n">
        <v>5</v>
      </c>
      <c r="D4150" s="3" t="n">
        <v>8</v>
      </c>
      <c r="E4150" s="3" t="n">
        <v>4</v>
      </c>
      <c r="F4150" s="24" t="n">
        <v>0.51512605</v>
      </c>
    </row>
    <row r="4151" customFormat="false" ht="15" hidden="false" customHeight="false" outlineLevel="0" collapsed="false">
      <c r="A4151" s="3" t="n">
        <v>4150</v>
      </c>
      <c r="B4151" s="3" t="n">
        <v>4149</v>
      </c>
      <c r="C4151" s="3" t="n">
        <v>5</v>
      </c>
      <c r="D4151" s="3" t="n">
        <v>8</v>
      </c>
      <c r="E4151" s="3" t="n">
        <v>5</v>
      </c>
      <c r="F4151" s="24" t="n">
        <v>-1.23766124</v>
      </c>
    </row>
    <row r="4152" customFormat="false" ht="15" hidden="false" customHeight="false" outlineLevel="0" collapsed="false">
      <c r="A4152" s="3" t="n">
        <v>4151</v>
      </c>
      <c r="B4152" s="3" t="n">
        <v>4150</v>
      </c>
      <c r="C4152" s="3" t="n">
        <v>5</v>
      </c>
      <c r="D4152" s="3" t="n">
        <v>8</v>
      </c>
      <c r="E4152" s="3" t="n">
        <v>6</v>
      </c>
      <c r="F4152" s="24" t="n">
        <v>-1.28970635</v>
      </c>
    </row>
    <row r="4153" customFormat="false" ht="15" hidden="false" customHeight="false" outlineLevel="0" collapsed="false">
      <c r="A4153" s="3" t="n">
        <v>4152</v>
      </c>
      <c r="B4153" s="3" t="n">
        <v>4151</v>
      </c>
      <c r="C4153" s="3" t="n">
        <v>5</v>
      </c>
      <c r="D4153" s="3" t="n">
        <v>8</v>
      </c>
      <c r="E4153" s="3" t="n">
        <v>7</v>
      </c>
      <c r="F4153" s="24" t="n">
        <v>-1.33093452</v>
      </c>
    </row>
    <row r="4154" customFormat="false" ht="15" hidden="false" customHeight="false" outlineLevel="0" collapsed="false">
      <c r="A4154" s="3" t="n">
        <v>4153</v>
      </c>
      <c r="B4154" s="3" t="n">
        <v>4152</v>
      </c>
      <c r="C4154" s="3" t="n">
        <v>5</v>
      </c>
      <c r="D4154" s="3" t="n">
        <v>8</v>
      </c>
      <c r="E4154" s="3" t="n">
        <v>8</v>
      </c>
      <c r="F4154" s="24" t="n">
        <v>-1.05074918</v>
      </c>
    </row>
    <row r="4155" customFormat="false" ht="15" hidden="false" customHeight="false" outlineLevel="0" collapsed="false">
      <c r="A4155" s="3" t="n">
        <v>4154</v>
      </c>
      <c r="B4155" s="3" t="n">
        <v>4153</v>
      </c>
      <c r="C4155" s="3" t="n">
        <v>5</v>
      </c>
      <c r="D4155" s="3" t="n">
        <v>8</v>
      </c>
      <c r="E4155" s="3" t="n">
        <v>9</v>
      </c>
      <c r="F4155" s="24" t="n">
        <v>-1.30654442</v>
      </c>
    </row>
    <row r="4156" customFormat="false" ht="15" hidden="false" customHeight="false" outlineLevel="0" collapsed="false">
      <c r="A4156" s="3" t="n">
        <v>4155</v>
      </c>
      <c r="B4156" s="3" t="n">
        <v>4154</v>
      </c>
      <c r="C4156" s="3" t="n">
        <v>5</v>
      </c>
      <c r="D4156" s="3" t="n">
        <v>8</v>
      </c>
      <c r="E4156" s="3" t="n">
        <v>10</v>
      </c>
      <c r="F4156" s="24" t="n">
        <v>-2.53399396</v>
      </c>
    </row>
    <row r="4157" customFormat="false" ht="15" hidden="false" customHeight="false" outlineLevel="0" collapsed="false">
      <c r="A4157" s="3" t="n">
        <v>4156</v>
      </c>
      <c r="B4157" s="3" t="n">
        <v>4155</v>
      </c>
      <c r="C4157" s="3" t="n">
        <v>5</v>
      </c>
      <c r="D4157" s="3" t="n">
        <v>8</v>
      </c>
      <c r="E4157" s="3" t="n">
        <v>11</v>
      </c>
      <c r="F4157" s="24" t="n">
        <v>-3.61417603</v>
      </c>
    </row>
    <row r="4158" customFormat="false" ht="15" hidden="false" customHeight="false" outlineLevel="0" collapsed="false">
      <c r="A4158" s="3" t="n">
        <v>4157</v>
      </c>
      <c r="B4158" s="3" t="n">
        <v>4156</v>
      </c>
      <c r="C4158" s="3" t="n">
        <v>5</v>
      </c>
      <c r="D4158" s="3" t="n">
        <v>8</v>
      </c>
      <c r="E4158" s="3" t="n">
        <v>12</v>
      </c>
      <c r="F4158" s="24" t="n">
        <v>-4.92375708</v>
      </c>
    </row>
    <row r="4159" customFormat="false" ht="15" hidden="false" customHeight="false" outlineLevel="0" collapsed="false">
      <c r="A4159" s="3" t="n">
        <v>4158</v>
      </c>
      <c r="B4159" s="3" t="n">
        <v>4157</v>
      </c>
      <c r="C4159" s="3" t="n">
        <v>5</v>
      </c>
      <c r="D4159" s="3" t="n">
        <v>8</v>
      </c>
      <c r="E4159" s="3" t="n">
        <v>13</v>
      </c>
      <c r="F4159" s="24" t="n">
        <v>-4.99283314</v>
      </c>
    </row>
    <row r="4160" customFormat="false" ht="15" hidden="false" customHeight="false" outlineLevel="0" collapsed="false">
      <c r="A4160" s="3" t="n">
        <v>4159</v>
      </c>
      <c r="B4160" s="3" t="n">
        <v>4158</v>
      </c>
      <c r="C4160" s="3" t="n">
        <v>5</v>
      </c>
      <c r="D4160" s="3" t="n">
        <v>8</v>
      </c>
      <c r="E4160" s="3" t="n">
        <v>14</v>
      </c>
      <c r="F4160" s="24" t="n">
        <v>-4.9511013</v>
      </c>
    </row>
    <row r="4161" customFormat="false" ht="15" hidden="false" customHeight="false" outlineLevel="0" collapsed="false">
      <c r="A4161" s="3" t="n">
        <v>4160</v>
      </c>
      <c r="B4161" s="3" t="n">
        <v>4159</v>
      </c>
      <c r="C4161" s="3" t="n">
        <v>5</v>
      </c>
      <c r="D4161" s="3" t="n">
        <v>8</v>
      </c>
      <c r="E4161" s="3" t="n">
        <v>15</v>
      </c>
      <c r="F4161" s="24" t="n">
        <v>-5.23847389</v>
      </c>
    </row>
    <row r="4162" customFormat="false" ht="15" hidden="false" customHeight="false" outlineLevel="0" collapsed="false">
      <c r="A4162" s="3" t="n">
        <v>4161</v>
      </c>
      <c r="B4162" s="3" t="n">
        <v>4160</v>
      </c>
      <c r="C4162" s="3" t="n">
        <v>5</v>
      </c>
      <c r="D4162" s="3" t="n">
        <v>8</v>
      </c>
      <c r="E4162" s="3" t="n">
        <v>16</v>
      </c>
      <c r="F4162" s="24" t="n">
        <v>-5.25849438</v>
      </c>
    </row>
    <row r="4163" customFormat="false" ht="15" hidden="false" customHeight="false" outlineLevel="0" collapsed="false">
      <c r="A4163" s="3" t="n">
        <v>4162</v>
      </c>
      <c r="B4163" s="3" t="n">
        <v>4161</v>
      </c>
      <c r="C4163" s="3" t="n">
        <v>5</v>
      </c>
      <c r="D4163" s="3" t="n">
        <v>8</v>
      </c>
      <c r="E4163" s="3" t="n">
        <v>17</v>
      </c>
      <c r="F4163" s="24" t="n">
        <v>-5.3297224</v>
      </c>
    </row>
    <row r="4164" customFormat="false" ht="15" hidden="false" customHeight="false" outlineLevel="0" collapsed="false">
      <c r="A4164" s="3" t="n">
        <v>4163</v>
      </c>
      <c r="B4164" s="3" t="n">
        <v>4162</v>
      </c>
      <c r="C4164" s="3" t="n">
        <v>5</v>
      </c>
      <c r="D4164" s="3" t="n">
        <v>8</v>
      </c>
      <c r="E4164" s="3" t="n">
        <v>18</v>
      </c>
      <c r="F4164" s="24" t="n">
        <v>-4.98707676</v>
      </c>
    </row>
    <row r="4165" customFormat="false" ht="15" hidden="false" customHeight="false" outlineLevel="0" collapsed="false">
      <c r="A4165" s="3" t="n">
        <v>4164</v>
      </c>
      <c r="B4165" s="3" t="n">
        <v>4163</v>
      </c>
      <c r="C4165" s="3" t="n">
        <v>5</v>
      </c>
      <c r="D4165" s="3" t="n">
        <v>8</v>
      </c>
      <c r="E4165" s="3" t="n">
        <v>19</v>
      </c>
      <c r="F4165" s="24" t="n">
        <v>-4.6808033</v>
      </c>
    </row>
    <row r="4166" customFormat="false" ht="15" hidden="false" customHeight="false" outlineLevel="0" collapsed="false">
      <c r="A4166" s="3" t="n">
        <v>4165</v>
      </c>
      <c r="B4166" s="3" t="n">
        <v>4164</v>
      </c>
      <c r="C4166" s="3" t="n">
        <v>5</v>
      </c>
      <c r="D4166" s="3" t="n">
        <v>8</v>
      </c>
      <c r="E4166" s="3" t="n">
        <v>20</v>
      </c>
      <c r="F4166" s="24" t="n">
        <v>-4.13260984</v>
      </c>
    </row>
    <row r="4167" customFormat="false" ht="15" hidden="false" customHeight="false" outlineLevel="0" collapsed="false">
      <c r="A4167" s="3" t="n">
        <v>4166</v>
      </c>
      <c r="B4167" s="3" t="n">
        <v>4165</v>
      </c>
      <c r="C4167" s="3" t="n">
        <v>5</v>
      </c>
      <c r="D4167" s="3" t="n">
        <v>8</v>
      </c>
      <c r="E4167" s="3" t="n">
        <v>21</v>
      </c>
      <c r="F4167" s="24" t="n">
        <v>-3.07479453</v>
      </c>
    </row>
    <row r="4168" customFormat="false" ht="15" hidden="false" customHeight="false" outlineLevel="0" collapsed="false">
      <c r="A4168" s="3" t="n">
        <v>4167</v>
      </c>
      <c r="B4168" s="3" t="n">
        <v>4166</v>
      </c>
      <c r="C4168" s="3" t="n">
        <v>5</v>
      </c>
      <c r="D4168" s="3" t="n">
        <v>8</v>
      </c>
      <c r="E4168" s="3" t="n">
        <v>22</v>
      </c>
      <c r="F4168" s="24" t="n">
        <v>-0.803359389</v>
      </c>
    </row>
    <row r="4169" customFormat="false" ht="15" hidden="false" customHeight="false" outlineLevel="0" collapsed="false">
      <c r="A4169" s="3" t="n">
        <v>4168</v>
      </c>
      <c r="B4169" s="3" t="n">
        <v>4167</v>
      </c>
      <c r="C4169" s="3" t="n">
        <v>5</v>
      </c>
      <c r="D4169" s="3" t="n">
        <v>8</v>
      </c>
      <c r="E4169" s="3" t="n">
        <v>23</v>
      </c>
      <c r="F4169" s="24" t="n">
        <v>0.51512605</v>
      </c>
    </row>
    <row r="4170" customFormat="false" ht="15" hidden="false" customHeight="false" outlineLevel="0" collapsed="false">
      <c r="A4170" s="3" t="n">
        <v>4169</v>
      </c>
      <c r="B4170" s="3" t="n">
        <v>4168</v>
      </c>
      <c r="C4170" s="3" t="n">
        <v>5</v>
      </c>
      <c r="D4170" s="3" t="n">
        <v>8</v>
      </c>
      <c r="E4170" s="3" t="n">
        <v>24</v>
      </c>
      <c r="F4170" s="24" t="n">
        <v>0.51512605</v>
      </c>
    </row>
    <row r="4171" customFormat="false" ht="15" hidden="false" customHeight="false" outlineLevel="0" collapsed="false">
      <c r="A4171" s="3" t="n">
        <v>4170</v>
      </c>
      <c r="B4171" s="3" t="n">
        <v>4169</v>
      </c>
      <c r="C4171" s="3" t="n">
        <v>5</v>
      </c>
      <c r="D4171" s="3" t="n">
        <v>8</v>
      </c>
      <c r="E4171" s="3" t="n">
        <v>25</v>
      </c>
      <c r="F4171" s="24" t="n">
        <v>0.51512605</v>
      </c>
    </row>
    <row r="4172" customFormat="false" ht="15" hidden="false" customHeight="false" outlineLevel="0" collapsed="false">
      <c r="A4172" s="3" t="n">
        <v>4171</v>
      </c>
      <c r="B4172" s="3" t="n">
        <v>4170</v>
      </c>
      <c r="C4172" s="3" t="n">
        <v>5</v>
      </c>
      <c r="D4172" s="3" t="n">
        <v>8</v>
      </c>
      <c r="E4172" s="3" t="n">
        <v>26</v>
      </c>
      <c r="F4172" s="24" t="n">
        <v>0.51512605</v>
      </c>
    </row>
    <row r="4173" customFormat="false" ht="15" hidden="false" customHeight="false" outlineLevel="0" collapsed="false">
      <c r="A4173" s="3" t="n">
        <v>4172</v>
      </c>
      <c r="B4173" s="3" t="n">
        <v>4171</v>
      </c>
      <c r="C4173" s="3" t="n">
        <v>5</v>
      </c>
      <c r="D4173" s="3" t="n">
        <v>8</v>
      </c>
      <c r="E4173" s="3" t="n">
        <v>27</v>
      </c>
      <c r="F4173" s="24" t="n">
        <v>0.459515482</v>
      </c>
    </row>
    <row r="4174" customFormat="false" ht="15" hidden="false" customHeight="false" outlineLevel="0" collapsed="false">
      <c r="A4174" s="3" t="n">
        <v>4173</v>
      </c>
      <c r="B4174" s="3" t="n">
        <v>4172</v>
      </c>
      <c r="C4174" s="3" t="n">
        <v>5</v>
      </c>
      <c r="D4174" s="3" t="n">
        <v>9</v>
      </c>
      <c r="E4174" s="3" t="n">
        <v>0</v>
      </c>
      <c r="F4174" s="24" t="n">
        <v>0.354324996</v>
      </c>
    </row>
    <row r="4175" customFormat="false" ht="15" hidden="false" customHeight="false" outlineLevel="0" collapsed="false">
      <c r="A4175" s="3" t="n">
        <v>4174</v>
      </c>
      <c r="B4175" s="3" t="n">
        <v>4173</v>
      </c>
      <c r="C4175" s="3" t="n">
        <v>5</v>
      </c>
      <c r="D4175" s="3" t="n">
        <v>9</v>
      </c>
      <c r="E4175" s="3" t="n">
        <v>1</v>
      </c>
      <c r="F4175" s="24" t="n">
        <v>0.51512605</v>
      </c>
    </row>
    <row r="4176" customFormat="false" ht="15" hidden="false" customHeight="false" outlineLevel="0" collapsed="false">
      <c r="A4176" s="3" t="n">
        <v>4175</v>
      </c>
      <c r="B4176" s="3" t="n">
        <v>4174</v>
      </c>
      <c r="C4176" s="3" t="n">
        <v>5</v>
      </c>
      <c r="D4176" s="3" t="n">
        <v>9</v>
      </c>
      <c r="E4176" s="3" t="n">
        <v>2</v>
      </c>
      <c r="F4176" s="24" t="n">
        <v>0.51512605</v>
      </c>
    </row>
    <row r="4177" customFormat="false" ht="15" hidden="false" customHeight="false" outlineLevel="0" collapsed="false">
      <c r="A4177" s="3" t="n">
        <v>4176</v>
      </c>
      <c r="B4177" s="3" t="n">
        <v>4175</v>
      </c>
      <c r="C4177" s="3" t="n">
        <v>5</v>
      </c>
      <c r="D4177" s="3" t="n">
        <v>9</v>
      </c>
      <c r="E4177" s="3" t="n">
        <v>3</v>
      </c>
      <c r="F4177" s="24" t="n">
        <v>0.51512605</v>
      </c>
    </row>
    <row r="4178" customFormat="false" ht="15" hidden="false" customHeight="false" outlineLevel="0" collapsed="false">
      <c r="A4178" s="3" t="n">
        <v>4177</v>
      </c>
      <c r="B4178" s="3" t="n">
        <v>4176</v>
      </c>
      <c r="C4178" s="3" t="n">
        <v>5</v>
      </c>
      <c r="D4178" s="3" t="n">
        <v>9</v>
      </c>
      <c r="E4178" s="3" t="n">
        <v>4</v>
      </c>
      <c r="F4178" s="24" t="n">
        <v>0.51512605</v>
      </c>
    </row>
    <row r="4179" customFormat="false" ht="15" hidden="false" customHeight="false" outlineLevel="0" collapsed="false">
      <c r="A4179" s="3" t="n">
        <v>4178</v>
      </c>
      <c r="B4179" s="3" t="n">
        <v>4177</v>
      </c>
      <c r="C4179" s="3" t="n">
        <v>5</v>
      </c>
      <c r="D4179" s="3" t="n">
        <v>9</v>
      </c>
      <c r="E4179" s="3" t="n">
        <v>5</v>
      </c>
      <c r="F4179" s="24" t="n">
        <v>0.749266505</v>
      </c>
    </row>
    <row r="4180" customFormat="false" ht="15" hidden="false" customHeight="false" outlineLevel="0" collapsed="false">
      <c r="A4180" s="3" t="n">
        <v>4179</v>
      </c>
      <c r="B4180" s="3" t="n">
        <v>4178</v>
      </c>
      <c r="C4180" s="3" t="n">
        <v>5</v>
      </c>
      <c r="D4180" s="3" t="n">
        <v>9</v>
      </c>
      <c r="E4180" s="3" t="n">
        <v>6</v>
      </c>
      <c r="F4180" s="24" t="n">
        <v>1.99357021</v>
      </c>
    </row>
    <row r="4181" customFormat="false" ht="15" hidden="false" customHeight="false" outlineLevel="0" collapsed="false">
      <c r="A4181" s="3" t="n">
        <v>4180</v>
      </c>
      <c r="B4181" s="3" t="n">
        <v>4179</v>
      </c>
      <c r="C4181" s="3" t="n">
        <v>5</v>
      </c>
      <c r="D4181" s="3" t="n">
        <v>9</v>
      </c>
      <c r="E4181" s="3" t="n">
        <v>7</v>
      </c>
      <c r="F4181" s="24" t="n">
        <v>3.53567362</v>
      </c>
    </row>
    <row r="4182" customFormat="false" ht="15" hidden="false" customHeight="false" outlineLevel="0" collapsed="false">
      <c r="A4182" s="3" t="n">
        <v>4181</v>
      </c>
      <c r="B4182" s="3" t="n">
        <v>4180</v>
      </c>
      <c r="C4182" s="3" t="n">
        <v>5</v>
      </c>
      <c r="D4182" s="3" t="n">
        <v>9</v>
      </c>
      <c r="E4182" s="3" t="n">
        <v>8</v>
      </c>
      <c r="F4182" s="24" t="n">
        <v>3.34387994</v>
      </c>
    </row>
    <row r="4183" customFormat="false" ht="15" hidden="false" customHeight="false" outlineLevel="0" collapsed="false">
      <c r="A4183" s="3" t="n">
        <v>4182</v>
      </c>
      <c r="B4183" s="3" t="n">
        <v>4181</v>
      </c>
      <c r="C4183" s="3" t="n">
        <v>5</v>
      </c>
      <c r="D4183" s="3" t="n">
        <v>9</v>
      </c>
      <c r="E4183" s="3" t="n">
        <v>9</v>
      </c>
      <c r="F4183" s="24" t="n">
        <v>2.65535307</v>
      </c>
    </row>
    <row r="4184" customFormat="false" ht="15" hidden="false" customHeight="false" outlineLevel="0" collapsed="false">
      <c r="A4184" s="3" t="n">
        <v>4183</v>
      </c>
      <c r="B4184" s="3" t="n">
        <v>4182</v>
      </c>
      <c r="C4184" s="3" t="n">
        <v>5</v>
      </c>
      <c r="D4184" s="3" t="n">
        <v>9</v>
      </c>
      <c r="E4184" s="3" t="n">
        <v>10</v>
      </c>
      <c r="F4184" s="24" t="n">
        <v>1.92483509</v>
      </c>
    </row>
    <row r="4185" customFormat="false" ht="15" hidden="false" customHeight="false" outlineLevel="0" collapsed="false">
      <c r="A4185" s="3" t="n">
        <v>4184</v>
      </c>
      <c r="B4185" s="3" t="n">
        <v>4183</v>
      </c>
      <c r="C4185" s="3" t="n">
        <v>5</v>
      </c>
      <c r="D4185" s="3" t="n">
        <v>9</v>
      </c>
      <c r="E4185" s="3" t="n">
        <v>11</v>
      </c>
      <c r="F4185" s="24" t="n">
        <v>1.36156034</v>
      </c>
    </row>
    <row r="4186" customFormat="false" ht="15" hidden="false" customHeight="false" outlineLevel="0" collapsed="false">
      <c r="A4186" s="3" t="n">
        <v>4185</v>
      </c>
      <c r="B4186" s="3" t="n">
        <v>4184</v>
      </c>
      <c r="C4186" s="3" t="n">
        <v>5</v>
      </c>
      <c r="D4186" s="3" t="n">
        <v>9</v>
      </c>
      <c r="E4186" s="3" t="n">
        <v>12</v>
      </c>
      <c r="F4186" s="24" t="n">
        <v>0.47388339</v>
      </c>
    </row>
    <row r="4187" customFormat="false" ht="15" hidden="false" customHeight="false" outlineLevel="0" collapsed="false">
      <c r="A4187" s="3" t="n">
        <v>4186</v>
      </c>
      <c r="B4187" s="3" t="n">
        <v>4185</v>
      </c>
      <c r="C4187" s="3" t="n">
        <v>5</v>
      </c>
      <c r="D4187" s="3" t="n">
        <v>9</v>
      </c>
      <c r="E4187" s="3" t="n">
        <v>13</v>
      </c>
      <c r="F4187" s="24" t="n">
        <v>0.309588224</v>
      </c>
    </row>
    <row r="4188" customFormat="false" ht="15" hidden="false" customHeight="false" outlineLevel="0" collapsed="false">
      <c r="A4188" s="3" t="n">
        <v>4187</v>
      </c>
      <c r="B4188" s="3" t="n">
        <v>4186</v>
      </c>
      <c r="C4188" s="3" t="n">
        <v>5</v>
      </c>
      <c r="D4188" s="3" t="n">
        <v>9</v>
      </c>
      <c r="E4188" s="3" t="n">
        <v>14</v>
      </c>
      <c r="F4188" s="24" t="n">
        <v>0.275041521</v>
      </c>
    </row>
    <row r="4189" customFormat="false" ht="15" hidden="false" customHeight="false" outlineLevel="0" collapsed="false">
      <c r="A4189" s="3" t="n">
        <v>4188</v>
      </c>
      <c r="B4189" s="3" t="n">
        <v>4187</v>
      </c>
      <c r="C4189" s="3" t="n">
        <v>5</v>
      </c>
      <c r="D4189" s="3" t="n">
        <v>9</v>
      </c>
      <c r="E4189" s="3" t="n">
        <v>15</v>
      </c>
      <c r="F4189" s="24" t="n">
        <v>-0.211770251</v>
      </c>
    </row>
    <row r="4190" customFormat="false" ht="15" hidden="false" customHeight="false" outlineLevel="0" collapsed="false">
      <c r="A4190" s="3" t="n">
        <v>4189</v>
      </c>
      <c r="B4190" s="3" t="n">
        <v>4188</v>
      </c>
      <c r="C4190" s="3" t="n">
        <v>5</v>
      </c>
      <c r="D4190" s="3" t="n">
        <v>9</v>
      </c>
      <c r="E4190" s="3" t="n">
        <v>16</v>
      </c>
      <c r="F4190" s="24" t="n">
        <v>-0.207535461</v>
      </c>
    </row>
    <row r="4191" customFormat="false" ht="15" hidden="false" customHeight="false" outlineLevel="0" collapsed="false">
      <c r="A4191" s="3" t="n">
        <v>4190</v>
      </c>
      <c r="B4191" s="3" t="n">
        <v>4189</v>
      </c>
      <c r="C4191" s="3" t="n">
        <v>5</v>
      </c>
      <c r="D4191" s="3" t="n">
        <v>9</v>
      </c>
      <c r="E4191" s="3" t="n">
        <v>17</v>
      </c>
      <c r="F4191" s="24" t="n">
        <v>-0.0888949782</v>
      </c>
    </row>
    <row r="4192" customFormat="false" ht="15" hidden="false" customHeight="false" outlineLevel="0" collapsed="false">
      <c r="A4192" s="3" t="n">
        <v>4191</v>
      </c>
      <c r="B4192" s="3" t="n">
        <v>4190</v>
      </c>
      <c r="C4192" s="3" t="n">
        <v>5</v>
      </c>
      <c r="D4192" s="3" t="n">
        <v>9</v>
      </c>
      <c r="E4192" s="3" t="n">
        <v>18</v>
      </c>
      <c r="F4192" s="24" t="n">
        <v>1.15162253</v>
      </c>
    </row>
    <row r="4193" customFormat="false" ht="15" hidden="false" customHeight="false" outlineLevel="0" collapsed="false">
      <c r="A4193" s="3" t="n">
        <v>4192</v>
      </c>
      <c r="B4193" s="3" t="n">
        <v>4191</v>
      </c>
      <c r="C4193" s="3" t="n">
        <v>5</v>
      </c>
      <c r="D4193" s="3" t="n">
        <v>9</v>
      </c>
      <c r="E4193" s="3" t="n">
        <v>19</v>
      </c>
      <c r="F4193" s="24" t="n">
        <v>-0.407619953</v>
      </c>
    </row>
    <row r="4194" customFormat="false" ht="15" hidden="false" customHeight="false" outlineLevel="0" collapsed="false">
      <c r="A4194" s="3" t="n">
        <v>4193</v>
      </c>
      <c r="B4194" s="3" t="n">
        <v>4192</v>
      </c>
      <c r="C4194" s="3" t="n">
        <v>5</v>
      </c>
      <c r="D4194" s="3" t="n">
        <v>9</v>
      </c>
      <c r="E4194" s="3" t="n">
        <v>20</v>
      </c>
      <c r="F4194" s="24" t="n">
        <v>-2.87809277</v>
      </c>
    </row>
    <row r="4195" customFormat="false" ht="15" hidden="false" customHeight="false" outlineLevel="0" collapsed="false">
      <c r="A4195" s="3" t="n">
        <v>4194</v>
      </c>
      <c r="B4195" s="3" t="n">
        <v>4193</v>
      </c>
      <c r="C4195" s="3" t="n">
        <v>5</v>
      </c>
      <c r="D4195" s="3" t="n">
        <v>9</v>
      </c>
      <c r="E4195" s="3" t="n">
        <v>21</v>
      </c>
      <c r="F4195" s="24" t="n">
        <v>-1.81175089</v>
      </c>
    </row>
    <row r="4196" customFormat="false" ht="15" hidden="false" customHeight="false" outlineLevel="0" collapsed="false">
      <c r="A4196" s="3" t="n">
        <v>4195</v>
      </c>
      <c r="B4196" s="3" t="n">
        <v>4194</v>
      </c>
      <c r="C4196" s="3" t="n">
        <v>5</v>
      </c>
      <c r="D4196" s="3" t="n">
        <v>9</v>
      </c>
      <c r="E4196" s="3" t="n">
        <v>22</v>
      </c>
      <c r="F4196" s="24" t="n">
        <v>-0.154384866</v>
      </c>
    </row>
    <row r="4197" customFormat="false" ht="15" hidden="false" customHeight="false" outlineLevel="0" collapsed="false">
      <c r="A4197" s="3" t="n">
        <v>4196</v>
      </c>
      <c r="B4197" s="3" t="n">
        <v>4195</v>
      </c>
      <c r="C4197" s="3" t="n">
        <v>5</v>
      </c>
      <c r="D4197" s="3" t="n">
        <v>9</v>
      </c>
      <c r="E4197" s="3" t="n">
        <v>23</v>
      </c>
      <c r="F4197" s="24" t="n">
        <v>0.51512605</v>
      </c>
    </row>
    <row r="4198" customFormat="false" ht="15" hidden="false" customHeight="false" outlineLevel="0" collapsed="false">
      <c r="A4198" s="3" t="n">
        <v>4197</v>
      </c>
      <c r="B4198" s="3" t="n">
        <v>4196</v>
      </c>
      <c r="C4198" s="3" t="n">
        <v>5</v>
      </c>
      <c r="D4198" s="3" t="n">
        <v>9</v>
      </c>
      <c r="E4198" s="3" t="n">
        <v>24</v>
      </c>
      <c r="F4198" s="24" t="n">
        <v>0.51512605</v>
      </c>
    </row>
    <row r="4199" customFormat="false" ht="15" hidden="false" customHeight="false" outlineLevel="0" collapsed="false">
      <c r="A4199" s="3" t="n">
        <v>4198</v>
      </c>
      <c r="B4199" s="3" t="n">
        <v>4197</v>
      </c>
      <c r="C4199" s="3" t="n">
        <v>5</v>
      </c>
      <c r="D4199" s="3" t="n">
        <v>9</v>
      </c>
      <c r="E4199" s="3" t="n">
        <v>25</v>
      </c>
      <c r="F4199" s="24" t="n">
        <v>0.51512605</v>
      </c>
    </row>
    <row r="4200" customFormat="false" ht="15" hidden="false" customHeight="false" outlineLevel="0" collapsed="false">
      <c r="A4200" s="3" t="n">
        <v>4199</v>
      </c>
      <c r="B4200" s="3" t="n">
        <v>4198</v>
      </c>
      <c r="C4200" s="3" t="n">
        <v>5</v>
      </c>
      <c r="D4200" s="3" t="n">
        <v>9</v>
      </c>
      <c r="E4200" s="3" t="n">
        <v>26</v>
      </c>
      <c r="F4200" s="24" t="n">
        <v>0.51512605</v>
      </c>
    </row>
    <row r="4201" customFormat="false" ht="15" hidden="false" customHeight="false" outlineLevel="0" collapsed="false">
      <c r="A4201" s="3" t="n">
        <v>4200</v>
      </c>
      <c r="B4201" s="3" t="n">
        <v>4199</v>
      </c>
      <c r="C4201" s="3" t="n">
        <v>5</v>
      </c>
      <c r="D4201" s="3" t="n">
        <v>9</v>
      </c>
      <c r="E4201" s="3" t="n">
        <v>27</v>
      </c>
      <c r="F4201" s="24" t="n">
        <v>0.459515482</v>
      </c>
    </row>
    <row r="4202" customFormat="false" ht="15" hidden="false" customHeight="false" outlineLevel="0" collapsed="false">
      <c r="A4202" s="3" t="n">
        <v>4201</v>
      </c>
      <c r="B4202" s="3" t="n">
        <v>4200</v>
      </c>
      <c r="C4202" s="3" t="n">
        <v>5</v>
      </c>
      <c r="D4202" s="3" t="n">
        <v>10</v>
      </c>
      <c r="E4202" s="3" t="n">
        <v>0</v>
      </c>
      <c r="F4202" s="24" t="n">
        <v>0.354324996</v>
      </c>
    </row>
    <row r="4203" customFormat="false" ht="15" hidden="false" customHeight="false" outlineLevel="0" collapsed="false">
      <c r="A4203" s="3" t="n">
        <v>4202</v>
      </c>
      <c r="B4203" s="3" t="n">
        <v>4201</v>
      </c>
      <c r="C4203" s="3" t="n">
        <v>5</v>
      </c>
      <c r="D4203" s="3" t="n">
        <v>10</v>
      </c>
      <c r="E4203" s="3" t="n">
        <v>1</v>
      </c>
      <c r="F4203" s="24" t="n">
        <v>0.51512605</v>
      </c>
    </row>
    <row r="4204" customFormat="false" ht="15" hidden="false" customHeight="false" outlineLevel="0" collapsed="false">
      <c r="A4204" s="3" t="n">
        <v>4203</v>
      </c>
      <c r="B4204" s="3" t="n">
        <v>4202</v>
      </c>
      <c r="C4204" s="3" t="n">
        <v>5</v>
      </c>
      <c r="D4204" s="3" t="n">
        <v>10</v>
      </c>
      <c r="E4204" s="3" t="n">
        <v>2</v>
      </c>
      <c r="F4204" s="24" t="n">
        <v>0.51512605</v>
      </c>
    </row>
    <row r="4205" customFormat="false" ht="15" hidden="false" customHeight="false" outlineLevel="0" collapsed="false">
      <c r="A4205" s="3" t="n">
        <v>4204</v>
      </c>
      <c r="B4205" s="3" t="n">
        <v>4203</v>
      </c>
      <c r="C4205" s="3" t="n">
        <v>5</v>
      </c>
      <c r="D4205" s="3" t="n">
        <v>10</v>
      </c>
      <c r="E4205" s="3" t="n">
        <v>3</v>
      </c>
      <c r="F4205" s="24" t="n">
        <v>0.51512605</v>
      </c>
    </row>
    <row r="4206" customFormat="false" ht="15" hidden="false" customHeight="false" outlineLevel="0" collapsed="false">
      <c r="A4206" s="3" t="n">
        <v>4205</v>
      </c>
      <c r="B4206" s="3" t="n">
        <v>4204</v>
      </c>
      <c r="C4206" s="3" t="n">
        <v>5</v>
      </c>
      <c r="D4206" s="3" t="n">
        <v>10</v>
      </c>
      <c r="E4206" s="3" t="n">
        <v>4</v>
      </c>
      <c r="F4206" s="24" t="n">
        <v>0.51512605</v>
      </c>
    </row>
    <row r="4207" customFormat="false" ht="15" hidden="false" customHeight="false" outlineLevel="0" collapsed="false">
      <c r="A4207" s="3" t="n">
        <v>4206</v>
      </c>
      <c r="B4207" s="3" t="n">
        <v>4205</v>
      </c>
      <c r="C4207" s="3" t="n">
        <v>5</v>
      </c>
      <c r="D4207" s="3" t="n">
        <v>10</v>
      </c>
      <c r="E4207" s="3" t="n">
        <v>5</v>
      </c>
      <c r="F4207" s="24" t="n">
        <v>0.80961585</v>
      </c>
    </row>
    <row r="4208" customFormat="false" ht="15" hidden="false" customHeight="false" outlineLevel="0" collapsed="false">
      <c r="A4208" s="3" t="n">
        <v>4207</v>
      </c>
      <c r="B4208" s="3" t="n">
        <v>4206</v>
      </c>
      <c r="C4208" s="3" t="n">
        <v>5</v>
      </c>
      <c r="D4208" s="3" t="n">
        <v>10</v>
      </c>
      <c r="E4208" s="3" t="n">
        <v>6</v>
      </c>
      <c r="F4208" s="24" t="n">
        <v>1.5498873</v>
      </c>
    </row>
    <row r="4209" customFormat="false" ht="15" hidden="false" customHeight="false" outlineLevel="0" collapsed="false">
      <c r="A4209" s="3" t="n">
        <v>4208</v>
      </c>
      <c r="B4209" s="3" t="n">
        <v>4207</v>
      </c>
      <c r="C4209" s="3" t="n">
        <v>5</v>
      </c>
      <c r="D4209" s="3" t="n">
        <v>10</v>
      </c>
      <c r="E4209" s="3" t="n">
        <v>7</v>
      </c>
      <c r="F4209" s="24" t="n">
        <v>1.99164784</v>
      </c>
    </row>
    <row r="4210" customFormat="false" ht="15" hidden="false" customHeight="false" outlineLevel="0" collapsed="false">
      <c r="A4210" s="3" t="n">
        <v>4209</v>
      </c>
      <c r="B4210" s="3" t="n">
        <v>4208</v>
      </c>
      <c r="C4210" s="3" t="n">
        <v>5</v>
      </c>
      <c r="D4210" s="3" t="n">
        <v>10</v>
      </c>
      <c r="E4210" s="3" t="n">
        <v>8</v>
      </c>
      <c r="F4210" s="24" t="n">
        <v>2.01846957</v>
      </c>
    </row>
    <row r="4211" customFormat="false" ht="15" hidden="false" customHeight="false" outlineLevel="0" collapsed="false">
      <c r="A4211" s="3" t="n">
        <v>4210</v>
      </c>
      <c r="B4211" s="3" t="n">
        <v>4209</v>
      </c>
      <c r="C4211" s="3" t="n">
        <v>5</v>
      </c>
      <c r="D4211" s="3" t="n">
        <v>10</v>
      </c>
      <c r="E4211" s="3" t="n">
        <v>9</v>
      </c>
      <c r="F4211" s="24" t="n">
        <v>2.41043139</v>
      </c>
    </row>
    <row r="4212" customFormat="false" ht="15" hidden="false" customHeight="false" outlineLevel="0" collapsed="false">
      <c r="A4212" s="3" t="n">
        <v>4211</v>
      </c>
      <c r="B4212" s="3" t="n">
        <v>4210</v>
      </c>
      <c r="C4212" s="3" t="n">
        <v>5</v>
      </c>
      <c r="D4212" s="3" t="n">
        <v>10</v>
      </c>
      <c r="E4212" s="3" t="n">
        <v>10</v>
      </c>
      <c r="F4212" s="24" t="n">
        <v>3.05183196</v>
      </c>
    </row>
    <row r="4213" customFormat="false" ht="15" hidden="false" customHeight="false" outlineLevel="0" collapsed="false">
      <c r="A4213" s="3" t="n">
        <v>4212</v>
      </c>
      <c r="B4213" s="3" t="n">
        <v>4211</v>
      </c>
      <c r="C4213" s="3" t="n">
        <v>5</v>
      </c>
      <c r="D4213" s="3" t="n">
        <v>10</v>
      </c>
      <c r="E4213" s="3" t="n">
        <v>11</v>
      </c>
      <c r="F4213" s="24" t="n">
        <v>3.28555202</v>
      </c>
    </row>
    <row r="4214" customFormat="false" ht="15" hidden="false" customHeight="false" outlineLevel="0" collapsed="false">
      <c r="A4214" s="3" t="n">
        <v>4213</v>
      </c>
      <c r="B4214" s="3" t="n">
        <v>4212</v>
      </c>
      <c r="C4214" s="3" t="n">
        <v>5</v>
      </c>
      <c r="D4214" s="3" t="n">
        <v>10</v>
      </c>
      <c r="E4214" s="3" t="n">
        <v>12</v>
      </c>
      <c r="F4214" s="24" t="n">
        <v>4.10632038</v>
      </c>
    </row>
    <row r="4215" customFormat="false" ht="15" hidden="false" customHeight="false" outlineLevel="0" collapsed="false">
      <c r="A4215" s="3" t="n">
        <v>4214</v>
      </c>
      <c r="B4215" s="3" t="n">
        <v>4213</v>
      </c>
      <c r="C4215" s="3" t="n">
        <v>5</v>
      </c>
      <c r="D4215" s="3" t="n">
        <v>10</v>
      </c>
      <c r="E4215" s="3" t="n">
        <v>13</v>
      </c>
      <c r="F4215" s="24" t="n">
        <v>3.69463253</v>
      </c>
    </row>
    <row r="4216" customFormat="false" ht="15" hidden="false" customHeight="false" outlineLevel="0" collapsed="false">
      <c r="A4216" s="3" t="n">
        <v>4215</v>
      </c>
      <c r="B4216" s="3" t="n">
        <v>4214</v>
      </c>
      <c r="C4216" s="3" t="n">
        <v>5</v>
      </c>
      <c r="D4216" s="3" t="n">
        <v>10</v>
      </c>
      <c r="E4216" s="3" t="n">
        <v>14</v>
      </c>
      <c r="F4216" s="24" t="n">
        <v>3.63347268</v>
      </c>
    </row>
    <row r="4217" customFormat="false" ht="15" hidden="false" customHeight="false" outlineLevel="0" collapsed="false">
      <c r="A4217" s="3" t="n">
        <v>4216</v>
      </c>
      <c r="B4217" s="3" t="n">
        <v>4215</v>
      </c>
      <c r="C4217" s="3" t="n">
        <v>5</v>
      </c>
      <c r="D4217" s="3" t="n">
        <v>10</v>
      </c>
      <c r="E4217" s="3" t="n">
        <v>15</v>
      </c>
      <c r="F4217" s="24" t="n">
        <v>3.81269598</v>
      </c>
    </row>
    <row r="4218" customFormat="false" ht="15" hidden="false" customHeight="false" outlineLevel="0" collapsed="false">
      <c r="A4218" s="3" t="n">
        <v>4217</v>
      </c>
      <c r="B4218" s="3" t="n">
        <v>4216</v>
      </c>
      <c r="C4218" s="3" t="n">
        <v>5</v>
      </c>
      <c r="D4218" s="3" t="n">
        <v>10</v>
      </c>
      <c r="E4218" s="3" t="n">
        <v>16</v>
      </c>
      <c r="F4218" s="24" t="n">
        <v>3.88366771</v>
      </c>
    </row>
    <row r="4219" customFormat="false" ht="15" hidden="false" customHeight="false" outlineLevel="0" collapsed="false">
      <c r="A4219" s="3" t="n">
        <v>4218</v>
      </c>
      <c r="B4219" s="3" t="n">
        <v>4217</v>
      </c>
      <c r="C4219" s="3" t="n">
        <v>5</v>
      </c>
      <c r="D4219" s="3" t="n">
        <v>10</v>
      </c>
      <c r="E4219" s="3" t="n">
        <v>17</v>
      </c>
      <c r="F4219" s="24" t="n">
        <v>4.61280918</v>
      </c>
    </row>
    <row r="4220" customFormat="false" ht="15" hidden="false" customHeight="false" outlineLevel="0" collapsed="false">
      <c r="A4220" s="3" t="n">
        <v>4219</v>
      </c>
      <c r="B4220" s="3" t="n">
        <v>4218</v>
      </c>
      <c r="C4220" s="3" t="n">
        <v>5</v>
      </c>
      <c r="D4220" s="3" t="n">
        <v>10</v>
      </c>
      <c r="E4220" s="3" t="n">
        <v>18</v>
      </c>
      <c r="F4220" s="24" t="n">
        <v>2.37968683</v>
      </c>
    </row>
    <row r="4221" customFormat="false" ht="15" hidden="false" customHeight="false" outlineLevel="0" collapsed="false">
      <c r="A4221" s="3" t="n">
        <v>4220</v>
      </c>
      <c r="B4221" s="3" t="n">
        <v>4219</v>
      </c>
      <c r="C4221" s="3" t="n">
        <v>5</v>
      </c>
      <c r="D4221" s="3" t="n">
        <v>10</v>
      </c>
      <c r="E4221" s="3" t="n">
        <v>19</v>
      </c>
      <c r="F4221" s="24" t="n">
        <v>-0.695879579</v>
      </c>
    </row>
    <row r="4222" customFormat="false" ht="15" hidden="false" customHeight="false" outlineLevel="0" collapsed="false">
      <c r="A4222" s="3" t="n">
        <v>4221</v>
      </c>
      <c r="B4222" s="3" t="n">
        <v>4220</v>
      </c>
      <c r="C4222" s="3" t="n">
        <v>5</v>
      </c>
      <c r="D4222" s="3" t="n">
        <v>10</v>
      </c>
      <c r="E4222" s="3" t="n">
        <v>20</v>
      </c>
      <c r="F4222" s="24" t="n">
        <v>-1.48680782</v>
      </c>
    </row>
    <row r="4223" customFormat="false" ht="15" hidden="false" customHeight="false" outlineLevel="0" collapsed="false">
      <c r="A4223" s="3" t="n">
        <v>4222</v>
      </c>
      <c r="B4223" s="3" t="n">
        <v>4221</v>
      </c>
      <c r="C4223" s="3" t="n">
        <v>5</v>
      </c>
      <c r="D4223" s="3" t="n">
        <v>10</v>
      </c>
      <c r="E4223" s="3" t="n">
        <v>21</v>
      </c>
      <c r="F4223" s="24" t="n">
        <v>0.469752669</v>
      </c>
    </row>
    <row r="4224" customFormat="false" ht="15" hidden="false" customHeight="false" outlineLevel="0" collapsed="false">
      <c r="A4224" s="3" t="n">
        <v>4223</v>
      </c>
      <c r="B4224" s="3" t="n">
        <v>4222</v>
      </c>
      <c r="C4224" s="3" t="n">
        <v>5</v>
      </c>
      <c r="D4224" s="3" t="n">
        <v>10</v>
      </c>
      <c r="E4224" s="3" t="n">
        <v>22</v>
      </c>
      <c r="F4224" s="24" t="n">
        <v>1.00360608</v>
      </c>
    </row>
    <row r="4225" customFormat="false" ht="15" hidden="false" customHeight="false" outlineLevel="0" collapsed="false">
      <c r="A4225" s="3" t="n">
        <v>4224</v>
      </c>
      <c r="B4225" s="3" t="n">
        <v>4223</v>
      </c>
      <c r="C4225" s="3" t="n">
        <v>5</v>
      </c>
      <c r="D4225" s="3" t="n">
        <v>10</v>
      </c>
      <c r="E4225" s="3" t="n">
        <v>23</v>
      </c>
      <c r="F4225" s="24" t="n">
        <v>0.51512605</v>
      </c>
    </row>
    <row r="4226" customFormat="false" ht="15" hidden="false" customHeight="false" outlineLevel="0" collapsed="false">
      <c r="A4226" s="3" t="n">
        <v>4225</v>
      </c>
      <c r="B4226" s="3" t="n">
        <v>4224</v>
      </c>
      <c r="C4226" s="3" t="n">
        <v>5</v>
      </c>
      <c r="D4226" s="3" t="n">
        <v>10</v>
      </c>
      <c r="E4226" s="3" t="n">
        <v>24</v>
      </c>
      <c r="F4226" s="24" t="n">
        <v>0.51512605</v>
      </c>
    </row>
    <row r="4227" customFormat="false" ht="15" hidden="false" customHeight="false" outlineLevel="0" collapsed="false">
      <c r="A4227" s="3" t="n">
        <v>4226</v>
      </c>
      <c r="B4227" s="3" t="n">
        <v>4225</v>
      </c>
      <c r="C4227" s="3" t="n">
        <v>5</v>
      </c>
      <c r="D4227" s="3" t="n">
        <v>10</v>
      </c>
      <c r="E4227" s="3" t="n">
        <v>25</v>
      </c>
      <c r="F4227" s="24" t="n">
        <v>0.51512605</v>
      </c>
    </row>
    <row r="4228" customFormat="false" ht="15" hidden="false" customHeight="false" outlineLevel="0" collapsed="false">
      <c r="A4228" s="3" t="n">
        <v>4227</v>
      </c>
      <c r="B4228" s="3" t="n">
        <v>4226</v>
      </c>
      <c r="C4228" s="3" t="n">
        <v>5</v>
      </c>
      <c r="D4228" s="3" t="n">
        <v>10</v>
      </c>
      <c r="E4228" s="3" t="n">
        <v>26</v>
      </c>
      <c r="F4228" s="24" t="n">
        <v>0.51512605</v>
      </c>
    </row>
    <row r="4229" customFormat="false" ht="15" hidden="false" customHeight="false" outlineLevel="0" collapsed="false">
      <c r="A4229" s="3" t="n">
        <v>4228</v>
      </c>
      <c r="B4229" s="3" t="n">
        <v>4227</v>
      </c>
      <c r="C4229" s="3" t="n">
        <v>5</v>
      </c>
      <c r="D4229" s="3" t="n">
        <v>10</v>
      </c>
      <c r="E4229" s="3" t="n">
        <v>27</v>
      </c>
      <c r="F4229" s="24" t="n">
        <v>0.459515482</v>
      </c>
    </row>
    <row r="4230" customFormat="false" ht="15" hidden="false" customHeight="false" outlineLevel="0" collapsed="false">
      <c r="A4230" s="3" t="n">
        <v>4229</v>
      </c>
      <c r="B4230" s="3" t="n">
        <v>4228</v>
      </c>
      <c r="C4230" s="3" t="n">
        <v>5</v>
      </c>
      <c r="D4230" s="3" t="n">
        <v>11</v>
      </c>
      <c r="E4230" s="3" t="n">
        <v>0</v>
      </c>
      <c r="F4230" s="24" t="n">
        <v>0.354324996</v>
      </c>
    </row>
    <row r="4231" customFormat="false" ht="15" hidden="false" customHeight="false" outlineLevel="0" collapsed="false">
      <c r="A4231" s="3" t="n">
        <v>4230</v>
      </c>
      <c r="B4231" s="3" t="n">
        <v>4229</v>
      </c>
      <c r="C4231" s="3" t="n">
        <v>5</v>
      </c>
      <c r="D4231" s="3" t="n">
        <v>11</v>
      </c>
      <c r="E4231" s="3" t="n">
        <v>1</v>
      </c>
      <c r="F4231" s="24" t="n">
        <v>0.51512605</v>
      </c>
    </row>
    <row r="4232" customFormat="false" ht="15" hidden="false" customHeight="false" outlineLevel="0" collapsed="false">
      <c r="A4232" s="3" t="n">
        <v>4231</v>
      </c>
      <c r="B4232" s="3" t="n">
        <v>4230</v>
      </c>
      <c r="C4232" s="3" t="n">
        <v>5</v>
      </c>
      <c r="D4232" s="3" t="n">
        <v>11</v>
      </c>
      <c r="E4232" s="3" t="n">
        <v>2</v>
      </c>
      <c r="F4232" s="24" t="n">
        <v>0.51512605</v>
      </c>
    </row>
    <row r="4233" customFormat="false" ht="15" hidden="false" customHeight="false" outlineLevel="0" collapsed="false">
      <c r="A4233" s="3" t="n">
        <v>4232</v>
      </c>
      <c r="B4233" s="3" t="n">
        <v>4231</v>
      </c>
      <c r="C4233" s="3" t="n">
        <v>5</v>
      </c>
      <c r="D4233" s="3" t="n">
        <v>11</v>
      </c>
      <c r="E4233" s="3" t="n">
        <v>3</v>
      </c>
      <c r="F4233" s="24" t="n">
        <v>0.51512605</v>
      </c>
    </row>
    <row r="4234" customFormat="false" ht="15" hidden="false" customHeight="false" outlineLevel="0" collapsed="false">
      <c r="A4234" s="3" t="n">
        <v>4233</v>
      </c>
      <c r="B4234" s="3" t="n">
        <v>4232</v>
      </c>
      <c r="C4234" s="3" t="n">
        <v>5</v>
      </c>
      <c r="D4234" s="3" t="n">
        <v>11</v>
      </c>
      <c r="E4234" s="3" t="n">
        <v>4</v>
      </c>
      <c r="F4234" s="24" t="n">
        <v>0.51512605</v>
      </c>
    </row>
    <row r="4235" customFormat="false" ht="15" hidden="false" customHeight="false" outlineLevel="0" collapsed="false">
      <c r="A4235" s="3" t="n">
        <v>4234</v>
      </c>
      <c r="B4235" s="3" t="n">
        <v>4233</v>
      </c>
      <c r="C4235" s="3" t="n">
        <v>5</v>
      </c>
      <c r="D4235" s="3" t="n">
        <v>11</v>
      </c>
      <c r="E4235" s="3" t="n">
        <v>5</v>
      </c>
      <c r="F4235" s="24" t="n">
        <v>0.51512605</v>
      </c>
    </row>
    <row r="4236" customFormat="false" ht="15" hidden="false" customHeight="false" outlineLevel="0" collapsed="false">
      <c r="A4236" s="3" t="n">
        <v>4235</v>
      </c>
      <c r="B4236" s="3" t="n">
        <v>4234</v>
      </c>
      <c r="C4236" s="3" t="n">
        <v>5</v>
      </c>
      <c r="D4236" s="3" t="n">
        <v>11</v>
      </c>
      <c r="E4236" s="3" t="n">
        <v>6</v>
      </c>
      <c r="F4236" s="24" t="n">
        <v>0.51512605</v>
      </c>
    </row>
    <row r="4237" customFormat="false" ht="15" hidden="false" customHeight="false" outlineLevel="0" collapsed="false">
      <c r="A4237" s="3" t="n">
        <v>4236</v>
      </c>
      <c r="B4237" s="3" t="n">
        <v>4235</v>
      </c>
      <c r="C4237" s="3" t="n">
        <v>5</v>
      </c>
      <c r="D4237" s="3" t="n">
        <v>11</v>
      </c>
      <c r="E4237" s="3" t="n">
        <v>7</v>
      </c>
      <c r="F4237" s="24" t="n">
        <v>0.51512605</v>
      </c>
    </row>
    <row r="4238" customFormat="false" ht="15" hidden="false" customHeight="false" outlineLevel="0" collapsed="false">
      <c r="A4238" s="3" t="n">
        <v>4237</v>
      </c>
      <c r="B4238" s="3" t="n">
        <v>4236</v>
      </c>
      <c r="C4238" s="3" t="n">
        <v>5</v>
      </c>
      <c r="D4238" s="3" t="n">
        <v>11</v>
      </c>
      <c r="E4238" s="3" t="n">
        <v>8</v>
      </c>
      <c r="F4238" s="24" t="n">
        <v>0.51512605</v>
      </c>
    </row>
    <row r="4239" customFormat="false" ht="15" hidden="false" customHeight="false" outlineLevel="0" collapsed="false">
      <c r="A4239" s="3" t="n">
        <v>4238</v>
      </c>
      <c r="B4239" s="3" t="n">
        <v>4237</v>
      </c>
      <c r="C4239" s="3" t="n">
        <v>5</v>
      </c>
      <c r="D4239" s="3" t="n">
        <v>11</v>
      </c>
      <c r="E4239" s="3" t="n">
        <v>9</v>
      </c>
      <c r="F4239" s="24" t="n">
        <v>0.51512605</v>
      </c>
    </row>
    <row r="4240" customFormat="false" ht="15" hidden="false" customHeight="false" outlineLevel="0" collapsed="false">
      <c r="A4240" s="3" t="n">
        <v>4239</v>
      </c>
      <c r="B4240" s="3" t="n">
        <v>4238</v>
      </c>
      <c r="C4240" s="3" t="n">
        <v>5</v>
      </c>
      <c r="D4240" s="3" t="n">
        <v>11</v>
      </c>
      <c r="E4240" s="3" t="n">
        <v>10</v>
      </c>
      <c r="F4240" s="24" t="n">
        <v>0.589847267</v>
      </c>
    </row>
    <row r="4241" customFormat="false" ht="15" hidden="false" customHeight="false" outlineLevel="0" collapsed="false">
      <c r="A4241" s="3" t="n">
        <v>4240</v>
      </c>
      <c r="B4241" s="3" t="n">
        <v>4239</v>
      </c>
      <c r="C4241" s="3" t="n">
        <v>5</v>
      </c>
      <c r="D4241" s="3" t="n">
        <v>11</v>
      </c>
      <c r="E4241" s="3" t="n">
        <v>11</v>
      </c>
      <c r="F4241" s="24" t="n">
        <v>0.940634072</v>
      </c>
    </row>
    <row r="4242" customFormat="false" ht="15" hidden="false" customHeight="false" outlineLevel="0" collapsed="false">
      <c r="A4242" s="3" t="n">
        <v>4241</v>
      </c>
      <c r="B4242" s="3" t="n">
        <v>4240</v>
      </c>
      <c r="C4242" s="3" t="n">
        <v>5</v>
      </c>
      <c r="D4242" s="3" t="n">
        <v>11</v>
      </c>
      <c r="E4242" s="3" t="n">
        <v>12</v>
      </c>
      <c r="F4242" s="24" t="n">
        <v>1.16632175</v>
      </c>
    </row>
    <row r="4243" customFormat="false" ht="15" hidden="false" customHeight="false" outlineLevel="0" collapsed="false">
      <c r="A4243" s="3" t="n">
        <v>4242</v>
      </c>
      <c r="B4243" s="3" t="n">
        <v>4241</v>
      </c>
      <c r="C4243" s="3" t="n">
        <v>5</v>
      </c>
      <c r="D4243" s="3" t="n">
        <v>11</v>
      </c>
      <c r="E4243" s="3" t="n">
        <v>13</v>
      </c>
      <c r="F4243" s="24" t="n">
        <v>1.16935933</v>
      </c>
    </row>
    <row r="4244" customFormat="false" ht="15" hidden="false" customHeight="false" outlineLevel="0" collapsed="false">
      <c r="A4244" s="3" t="n">
        <v>4243</v>
      </c>
      <c r="B4244" s="3" t="n">
        <v>4242</v>
      </c>
      <c r="C4244" s="3" t="n">
        <v>5</v>
      </c>
      <c r="D4244" s="3" t="n">
        <v>11</v>
      </c>
      <c r="E4244" s="3" t="n">
        <v>14</v>
      </c>
      <c r="F4244" s="24" t="n">
        <v>1.3959589</v>
      </c>
    </row>
    <row r="4245" customFormat="false" ht="15" hidden="false" customHeight="false" outlineLevel="0" collapsed="false">
      <c r="A4245" s="3" t="n">
        <v>4244</v>
      </c>
      <c r="B4245" s="3" t="n">
        <v>4243</v>
      </c>
      <c r="C4245" s="3" t="n">
        <v>5</v>
      </c>
      <c r="D4245" s="3" t="n">
        <v>11</v>
      </c>
      <c r="E4245" s="3" t="n">
        <v>15</v>
      </c>
      <c r="F4245" s="24" t="n">
        <v>1.59529221</v>
      </c>
    </row>
    <row r="4246" customFormat="false" ht="15" hidden="false" customHeight="false" outlineLevel="0" collapsed="false">
      <c r="A4246" s="3" t="n">
        <v>4245</v>
      </c>
      <c r="B4246" s="3" t="n">
        <v>4244</v>
      </c>
      <c r="C4246" s="3" t="n">
        <v>5</v>
      </c>
      <c r="D4246" s="3" t="n">
        <v>11</v>
      </c>
      <c r="E4246" s="3" t="n">
        <v>16</v>
      </c>
      <c r="F4246" s="24" t="n">
        <v>1.67024374</v>
      </c>
    </row>
    <row r="4247" customFormat="false" ht="15" hidden="false" customHeight="false" outlineLevel="0" collapsed="false">
      <c r="A4247" s="3" t="n">
        <v>4246</v>
      </c>
      <c r="B4247" s="3" t="n">
        <v>4245</v>
      </c>
      <c r="C4247" s="3" t="n">
        <v>5</v>
      </c>
      <c r="D4247" s="3" t="n">
        <v>11</v>
      </c>
      <c r="E4247" s="3" t="n">
        <v>17</v>
      </c>
      <c r="F4247" s="24" t="n">
        <v>1.39050722</v>
      </c>
    </row>
    <row r="4248" customFormat="false" ht="15" hidden="false" customHeight="false" outlineLevel="0" collapsed="false">
      <c r="A4248" s="3" t="n">
        <v>4247</v>
      </c>
      <c r="B4248" s="3" t="n">
        <v>4246</v>
      </c>
      <c r="C4248" s="3" t="n">
        <v>5</v>
      </c>
      <c r="D4248" s="3" t="n">
        <v>11</v>
      </c>
      <c r="E4248" s="3" t="n">
        <v>18</v>
      </c>
      <c r="F4248" s="24" t="n">
        <v>-1.95309377</v>
      </c>
    </row>
    <row r="4249" customFormat="false" ht="15" hidden="false" customHeight="false" outlineLevel="0" collapsed="false">
      <c r="A4249" s="3" t="n">
        <v>4248</v>
      </c>
      <c r="B4249" s="3" t="n">
        <v>4247</v>
      </c>
      <c r="C4249" s="3" t="n">
        <v>5</v>
      </c>
      <c r="D4249" s="3" t="n">
        <v>11</v>
      </c>
      <c r="E4249" s="3" t="n">
        <v>19</v>
      </c>
      <c r="F4249" s="24" t="n">
        <v>-3.21202493</v>
      </c>
    </row>
    <row r="4250" customFormat="false" ht="15" hidden="false" customHeight="false" outlineLevel="0" collapsed="false">
      <c r="A4250" s="3" t="n">
        <v>4249</v>
      </c>
      <c r="B4250" s="3" t="n">
        <v>4248</v>
      </c>
      <c r="C4250" s="3" t="n">
        <v>5</v>
      </c>
      <c r="D4250" s="3" t="n">
        <v>11</v>
      </c>
      <c r="E4250" s="3" t="n">
        <v>20</v>
      </c>
      <c r="F4250" s="24" t="n">
        <v>0.347005099</v>
      </c>
    </row>
    <row r="4251" customFormat="false" ht="15" hidden="false" customHeight="false" outlineLevel="0" collapsed="false">
      <c r="A4251" s="3" t="n">
        <v>4250</v>
      </c>
      <c r="B4251" s="3" t="n">
        <v>4249</v>
      </c>
      <c r="C4251" s="3" t="n">
        <v>5</v>
      </c>
      <c r="D4251" s="3" t="n">
        <v>11</v>
      </c>
      <c r="E4251" s="3" t="n">
        <v>21</v>
      </c>
      <c r="F4251" s="24" t="n">
        <v>1.73012567</v>
      </c>
    </row>
    <row r="4252" customFormat="false" ht="15" hidden="false" customHeight="false" outlineLevel="0" collapsed="false">
      <c r="A4252" s="3" t="n">
        <v>4251</v>
      </c>
      <c r="B4252" s="3" t="n">
        <v>4250</v>
      </c>
      <c r="C4252" s="3" t="n">
        <v>5</v>
      </c>
      <c r="D4252" s="3" t="n">
        <v>11</v>
      </c>
      <c r="E4252" s="3" t="n">
        <v>22</v>
      </c>
      <c r="F4252" s="24" t="n">
        <v>0.937618434</v>
      </c>
    </row>
    <row r="4253" customFormat="false" ht="15" hidden="false" customHeight="false" outlineLevel="0" collapsed="false">
      <c r="A4253" s="3" t="n">
        <v>4252</v>
      </c>
      <c r="B4253" s="3" t="n">
        <v>4251</v>
      </c>
      <c r="C4253" s="3" t="n">
        <v>5</v>
      </c>
      <c r="D4253" s="3" t="n">
        <v>11</v>
      </c>
      <c r="E4253" s="3" t="n">
        <v>23</v>
      </c>
      <c r="F4253" s="24" t="n">
        <v>0.51512605</v>
      </c>
    </row>
    <row r="4254" customFormat="false" ht="15" hidden="false" customHeight="false" outlineLevel="0" collapsed="false">
      <c r="A4254" s="3" t="n">
        <v>4253</v>
      </c>
      <c r="B4254" s="3" t="n">
        <v>4252</v>
      </c>
      <c r="C4254" s="3" t="n">
        <v>5</v>
      </c>
      <c r="D4254" s="3" t="n">
        <v>11</v>
      </c>
      <c r="E4254" s="3" t="n">
        <v>24</v>
      </c>
      <c r="F4254" s="24" t="n">
        <v>0.51512605</v>
      </c>
    </row>
    <row r="4255" customFormat="false" ht="15" hidden="false" customHeight="false" outlineLevel="0" collapsed="false">
      <c r="A4255" s="3" t="n">
        <v>4254</v>
      </c>
      <c r="B4255" s="3" t="n">
        <v>4253</v>
      </c>
      <c r="C4255" s="3" t="n">
        <v>5</v>
      </c>
      <c r="D4255" s="3" t="n">
        <v>11</v>
      </c>
      <c r="E4255" s="3" t="n">
        <v>25</v>
      </c>
      <c r="F4255" s="24" t="n">
        <v>0.51512605</v>
      </c>
    </row>
    <row r="4256" customFormat="false" ht="15" hidden="false" customHeight="false" outlineLevel="0" collapsed="false">
      <c r="A4256" s="3" t="n">
        <v>4255</v>
      </c>
      <c r="B4256" s="3" t="n">
        <v>4254</v>
      </c>
      <c r="C4256" s="3" t="n">
        <v>5</v>
      </c>
      <c r="D4256" s="3" t="n">
        <v>11</v>
      </c>
      <c r="E4256" s="3" t="n">
        <v>26</v>
      </c>
      <c r="F4256" s="24" t="n">
        <v>0.51512605</v>
      </c>
    </row>
    <row r="4257" customFormat="false" ht="15" hidden="false" customHeight="false" outlineLevel="0" collapsed="false">
      <c r="A4257" s="3" t="n">
        <v>4256</v>
      </c>
      <c r="B4257" s="3" t="n">
        <v>4255</v>
      </c>
      <c r="C4257" s="3" t="n">
        <v>5</v>
      </c>
      <c r="D4257" s="3" t="n">
        <v>11</v>
      </c>
      <c r="E4257" s="3" t="n">
        <v>27</v>
      </c>
      <c r="F4257" s="24" t="n">
        <v>0.459515482</v>
      </c>
    </row>
    <row r="4258" customFormat="false" ht="15" hidden="false" customHeight="false" outlineLevel="0" collapsed="false">
      <c r="A4258" s="3" t="n">
        <v>4257</v>
      </c>
      <c r="B4258" s="3" t="n">
        <v>4256</v>
      </c>
      <c r="C4258" s="3" t="n">
        <v>5</v>
      </c>
      <c r="D4258" s="3" t="n">
        <v>12</v>
      </c>
      <c r="E4258" s="3" t="n">
        <v>0</v>
      </c>
      <c r="F4258" s="24" t="n">
        <v>0.354324996</v>
      </c>
    </row>
    <row r="4259" customFormat="false" ht="15" hidden="false" customHeight="false" outlineLevel="0" collapsed="false">
      <c r="A4259" s="3" t="n">
        <v>4258</v>
      </c>
      <c r="B4259" s="3" t="n">
        <v>4257</v>
      </c>
      <c r="C4259" s="3" t="n">
        <v>5</v>
      </c>
      <c r="D4259" s="3" t="n">
        <v>12</v>
      </c>
      <c r="E4259" s="3" t="n">
        <v>1</v>
      </c>
      <c r="F4259" s="24" t="n">
        <v>0.51512605</v>
      </c>
    </row>
    <row r="4260" customFormat="false" ht="15" hidden="false" customHeight="false" outlineLevel="0" collapsed="false">
      <c r="A4260" s="3" t="n">
        <v>4259</v>
      </c>
      <c r="B4260" s="3" t="n">
        <v>4258</v>
      </c>
      <c r="C4260" s="3" t="n">
        <v>5</v>
      </c>
      <c r="D4260" s="3" t="n">
        <v>12</v>
      </c>
      <c r="E4260" s="3" t="n">
        <v>2</v>
      </c>
      <c r="F4260" s="24" t="n">
        <v>0.51512605</v>
      </c>
    </row>
    <row r="4261" customFormat="false" ht="15" hidden="false" customHeight="false" outlineLevel="0" collapsed="false">
      <c r="A4261" s="3" t="n">
        <v>4260</v>
      </c>
      <c r="B4261" s="3" t="n">
        <v>4259</v>
      </c>
      <c r="C4261" s="3" t="n">
        <v>5</v>
      </c>
      <c r="D4261" s="3" t="n">
        <v>12</v>
      </c>
      <c r="E4261" s="3" t="n">
        <v>3</v>
      </c>
      <c r="F4261" s="24" t="n">
        <v>0.51512605</v>
      </c>
    </row>
    <row r="4262" customFormat="false" ht="15" hidden="false" customHeight="false" outlineLevel="0" collapsed="false">
      <c r="A4262" s="3" t="n">
        <v>4261</v>
      </c>
      <c r="B4262" s="3" t="n">
        <v>4260</v>
      </c>
      <c r="C4262" s="3" t="n">
        <v>5</v>
      </c>
      <c r="D4262" s="3" t="n">
        <v>12</v>
      </c>
      <c r="E4262" s="3" t="n">
        <v>4</v>
      </c>
      <c r="F4262" s="24" t="n">
        <v>0.51512605</v>
      </c>
    </row>
    <row r="4263" customFormat="false" ht="15" hidden="false" customHeight="false" outlineLevel="0" collapsed="false">
      <c r="A4263" s="3" t="n">
        <v>4262</v>
      </c>
      <c r="B4263" s="3" t="n">
        <v>4261</v>
      </c>
      <c r="C4263" s="3" t="n">
        <v>5</v>
      </c>
      <c r="D4263" s="3" t="n">
        <v>12</v>
      </c>
      <c r="E4263" s="3" t="n">
        <v>5</v>
      </c>
      <c r="F4263" s="24" t="n">
        <v>0.51512605</v>
      </c>
    </row>
    <row r="4264" customFormat="false" ht="15" hidden="false" customHeight="false" outlineLevel="0" collapsed="false">
      <c r="A4264" s="3" t="n">
        <v>4263</v>
      </c>
      <c r="B4264" s="3" t="n">
        <v>4262</v>
      </c>
      <c r="C4264" s="3" t="n">
        <v>5</v>
      </c>
      <c r="D4264" s="3" t="n">
        <v>12</v>
      </c>
      <c r="E4264" s="3" t="n">
        <v>6</v>
      </c>
      <c r="F4264" s="24" t="n">
        <v>0.51512605</v>
      </c>
    </row>
    <row r="4265" customFormat="false" ht="15" hidden="false" customHeight="false" outlineLevel="0" collapsed="false">
      <c r="A4265" s="3" t="n">
        <v>4264</v>
      </c>
      <c r="B4265" s="3" t="n">
        <v>4263</v>
      </c>
      <c r="C4265" s="3" t="n">
        <v>5</v>
      </c>
      <c r="D4265" s="3" t="n">
        <v>12</v>
      </c>
      <c r="E4265" s="3" t="n">
        <v>7</v>
      </c>
      <c r="F4265" s="24" t="n">
        <v>0.51512605</v>
      </c>
    </row>
    <row r="4266" customFormat="false" ht="15" hidden="false" customHeight="false" outlineLevel="0" collapsed="false">
      <c r="A4266" s="3" t="n">
        <v>4265</v>
      </c>
      <c r="B4266" s="3" t="n">
        <v>4264</v>
      </c>
      <c r="C4266" s="3" t="n">
        <v>5</v>
      </c>
      <c r="D4266" s="3" t="n">
        <v>12</v>
      </c>
      <c r="E4266" s="3" t="n">
        <v>8</v>
      </c>
      <c r="F4266" s="24" t="n">
        <v>0.51512605</v>
      </c>
    </row>
    <row r="4267" customFormat="false" ht="15" hidden="false" customHeight="false" outlineLevel="0" collapsed="false">
      <c r="A4267" s="3" t="n">
        <v>4266</v>
      </c>
      <c r="B4267" s="3" t="n">
        <v>4265</v>
      </c>
      <c r="C4267" s="3" t="n">
        <v>5</v>
      </c>
      <c r="D4267" s="3" t="n">
        <v>12</v>
      </c>
      <c r="E4267" s="3" t="n">
        <v>9</v>
      </c>
      <c r="F4267" s="24" t="n">
        <v>0.51512605</v>
      </c>
    </row>
    <row r="4268" customFormat="false" ht="15" hidden="false" customHeight="false" outlineLevel="0" collapsed="false">
      <c r="A4268" s="3" t="n">
        <v>4267</v>
      </c>
      <c r="B4268" s="3" t="n">
        <v>4266</v>
      </c>
      <c r="C4268" s="3" t="n">
        <v>5</v>
      </c>
      <c r="D4268" s="3" t="n">
        <v>12</v>
      </c>
      <c r="E4268" s="3" t="n">
        <v>10</v>
      </c>
      <c r="F4268" s="24" t="n">
        <v>0.51512605</v>
      </c>
    </row>
    <row r="4269" customFormat="false" ht="15" hidden="false" customHeight="false" outlineLevel="0" collapsed="false">
      <c r="A4269" s="3" t="n">
        <v>4268</v>
      </c>
      <c r="B4269" s="3" t="n">
        <v>4267</v>
      </c>
      <c r="C4269" s="3" t="n">
        <v>5</v>
      </c>
      <c r="D4269" s="3" t="n">
        <v>12</v>
      </c>
      <c r="E4269" s="3" t="n">
        <v>11</v>
      </c>
      <c r="F4269" s="24" t="n">
        <v>0.51512605</v>
      </c>
    </row>
    <row r="4270" customFormat="false" ht="15" hidden="false" customHeight="false" outlineLevel="0" collapsed="false">
      <c r="A4270" s="3" t="n">
        <v>4269</v>
      </c>
      <c r="B4270" s="3" t="n">
        <v>4268</v>
      </c>
      <c r="C4270" s="3" t="n">
        <v>5</v>
      </c>
      <c r="D4270" s="3" t="n">
        <v>12</v>
      </c>
      <c r="E4270" s="3" t="n">
        <v>12</v>
      </c>
      <c r="F4270" s="24" t="n">
        <v>0.51512605</v>
      </c>
    </row>
    <row r="4271" customFormat="false" ht="15" hidden="false" customHeight="false" outlineLevel="0" collapsed="false">
      <c r="A4271" s="3" t="n">
        <v>4270</v>
      </c>
      <c r="B4271" s="3" t="n">
        <v>4269</v>
      </c>
      <c r="C4271" s="3" t="n">
        <v>5</v>
      </c>
      <c r="D4271" s="3" t="n">
        <v>12</v>
      </c>
      <c r="E4271" s="3" t="n">
        <v>13</v>
      </c>
      <c r="F4271" s="24" t="n">
        <v>0.51512605</v>
      </c>
    </row>
    <row r="4272" customFormat="false" ht="15" hidden="false" customHeight="false" outlineLevel="0" collapsed="false">
      <c r="A4272" s="3" t="n">
        <v>4271</v>
      </c>
      <c r="B4272" s="3" t="n">
        <v>4270</v>
      </c>
      <c r="C4272" s="3" t="n">
        <v>5</v>
      </c>
      <c r="D4272" s="3" t="n">
        <v>12</v>
      </c>
      <c r="E4272" s="3" t="n">
        <v>14</v>
      </c>
      <c r="F4272" s="24" t="n">
        <v>0.51512605</v>
      </c>
    </row>
    <row r="4273" customFormat="false" ht="15" hidden="false" customHeight="false" outlineLevel="0" collapsed="false">
      <c r="A4273" s="3" t="n">
        <v>4272</v>
      </c>
      <c r="B4273" s="3" t="n">
        <v>4271</v>
      </c>
      <c r="C4273" s="3" t="n">
        <v>5</v>
      </c>
      <c r="D4273" s="3" t="n">
        <v>12</v>
      </c>
      <c r="E4273" s="3" t="n">
        <v>15</v>
      </c>
      <c r="F4273" s="24" t="n">
        <v>0.51512605</v>
      </c>
    </row>
    <row r="4274" customFormat="false" ht="15" hidden="false" customHeight="false" outlineLevel="0" collapsed="false">
      <c r="A4274" s="3" t="n">
        <v>4273</v>
      </c>
      <c r="B4274" s="3" t="n">
        <v>4272</v>
      </c>
      <c r="C4274" s="3" t="n">
        <v>5</v>
      </c>
      <c r="D4274" s="3" t="n">
        <v>12</v>
      </c>
      <c r="E4274" s="3" t="n">
        <v>16</v>
      </c>
      <c r="F4274" s="24" t="n">
        <v>0.917276323</v>
      </c>
    </row>
    <row r="4275" customFormat="false" ht="15" hidden="false" customHeight="false" outlineLevel="0" collapsed="false">
      <c r="A4275" s="3" t="n">
        <v>4274</v>
      </c>
      <c r="B4275" s="3" t="n">
        <v>4273</v>
      </c>
      <c r="C4275" s="3" t="n">
        <v>5</v>
      </c>
      <c r="D4275" s="3" t="n">
        <v>12</v>
      </c>
      <c r="E4275" s="3" t="n">
        <v>17</v>
      </c>
      <c r="F4275" s="24" t="n">
        <v>-1.56795108</v>
      </c>
    </row>
    <row r="4276" customFormat="false" ht="15" hidden="false" customHeight="false" outlineLevel="0" collapsed="false">
      <c r="A4276" s="3" t="n">
        <v>4275</v>
      </c>
      <c r="B4276" s="3" t="n">
        <v>4274</v>
      </c>
      <c r="C4276" s="3" t="n">
        <v>5</v>
      </c>
      <c r="D4276" s="3" t="n">
        <v>12</v>
      </c>
      <c r="E4276" s="3" t="n">
        <v>18</v>
      </c>
      <c r="F4276" s="24" t="n">
        <v>-3.24607658</v>
      </c>
    </row>
    <row r="4277" customFormat="false" ht="15" hidden="false" customHeight="false" outlineLevel="0" collapsed="false">
      <c r="A4277" s="3" t="n">
        <v>4276</v>
      </c>
      <c r="B4277" s="3" t="n">
        <v>4275</v>
      </c>
      <c r="C4277" s="3" t="n">
        <v>5</v>
      </c>
      <c r="D4277" s="3" t="n">
        <v>12</v>
      </c>
      <c r="E4277" s="3" t="n">
        <v>19</v>
      </c>
      <c r="F4277" s="24" t="n">
        <v>-1.7115761</v>
      </c>
    </row>
    <row r="4278" customFormat="false" ht="15" hidden="false" customHeight="false" outlineLevel="0" collapsed="false">
      <c r="A4278" s="3" t="n">
        <v>4277</v>
      </c>
      <c r="B4278" s="3" t="n">
        <v>4276</v>
      </c>
      <c r="C4278" s="3" t="n">
        <v>5</v>
      </c>
      <c r="D4278" s="3" t="n">
        <v>12</v>
      </c>
      <c r="E4278" s="3" t="n">
        <v>20</v>
      </c>
      <c r="F4278" s="24" t="n">
        <v>0.638033807</v>
      </c>
    </row>
    <row r="4279" customFormat="false" ht="15" hidden="false" customHeight="false" outlineLevel="0" collapsed="false">
      <c r="A4279" s="3" t="n">
        <v>4278</v>
      </c>
      <c r="B4279" s="3" t="n">
        <v>4277</v>
      </c>
      <c r="C4279" s="3" t="n">
        <v>5</v>
      </c>
      <c r="D4279" s="3" t="n">
        <v>12</v>
      </c>
      <c r="E4279" s="3" t="n">
        <v>21</v>
      </c>
      <c r="F4279" s="24" t="n">
        <v>1.11840594</v>
      </c>
    </row>
    <row r="4280" customFormat="false" ht="15" hidden="false" customHeight="false" outlineLevel="0" collapsed="false">
      <c r="A4280" s="3" t="n">
        <v>4279</v>
      </c>
      <c r="B4280" s="3" t="n">
        <v>4278</v>
      </c>
      <c r="C4280" s="3" t="n">
        <v>5</v>
      </c>
      <c r="D4280" s="3" t="n">
        <v>12</v>
      </c>
      <c r="E4280" s="3" t="n">
        <v>22</v>
      </c>
      <c r="F4280" s="24" t="n">
        <v>0.582824051</v>
      </c>
    </row>
    <row r="4281" customFormat="false" ht="15" hidden="false" customHeight="false" outlineLevel="0" collapsed="false">
      <c r="A4281" s="3" t="n">
        <v>4280</v>
      </c>
      <c r="B4281" s="3" t="n">
        <v>4279</v>
      </c>
      <c r="C4281" s="3" t="n">
        <v>5</v>
      </c>
      <c r="D4281" s="3" t="n">
        <v>12</v>
      </c>
      <c r="E4281" s="3" t="n">
        <v>23</v>
      </c>
      <c r="F4281" s="24" t="n">
        <v>0.51512605</v>
      </c>
    </row>
    <row r="4282" customFormat="false" ht="15" hidden="false" customHeight="false" outlineLevel="0" collapsed="false">
      <c r="A4282" s="3" t="n">
        <v>4281</v>
      </c>
      <c r="B4282" s="3" t="n">
        <v>4280</v>
      </c>
      <c r="C4282" s="3" t="n">
        <v>5</v>
      </c>
      <c r="D4282" s="3" t="n">
        <v>12</v>
      </c>
      <c r="E4282" s="3" t="n">
        <v>24</v>
      </c>
      <c r="F4282" s="24" t="n">
        <v>0.51512605</v>
      </c>
    </row>
    <row r="4283" customFormat="false" ht="15" hidden="false" customHeight="false" outlineLevel="0" collapsed="false">
      <c r="A4283" s="3" t="n">
        <v>4282</v>
      </c>
      <c r="B4283" s="3" t="n">
        <v>4281</v>
      </c>
      <c r="C4283" s="3" t="n">
        <v>5</v>
      </c>
      <c r="D4283" s="3" t="n">
        <v>12</v>
      </c>
      <c r="E4283" s="3" t="n">
        <v>25</v>
      </c>
      <c r="F4283" s="24" t="n">
        <v>0.51512605</v>
      </c>
    </row>
    <row r="4284" customFormat="false" ht="15" hidden="false" customHeight="false" outlineLevel="0" collapsed="false">
      <c r="A4284" s="3" t="n">
        <v>4283</v>
      </c>
      <c r="B4284" s="3" t="n">
        <v>4282</v>
      </c>
      <c r="C4284" s="3" t="n">
        <v>5</v>
      </c>
      <c r="D4284" s="3" t="n">
        <v>12</v>
      </c>
      <c r="E4284" s="3" t="n">
        <v>26</v>
      </c>
      <c r="F4284" s="24" t="n">
        <v>0.51512605</v>
      </c>
    </row>
    <row r="4285" customFormat="false" ht="15" hidden="false" customHeight="false" outlineLevel="0" collapsed="false">
      <c r="A4285" s="3" t="n">
        <v>4284</v>
      </c>
      <c r="B4285" s="3" t="n">
        <v>4283</v>
      </c>
      <c r="C4285" s="3" t="n">
        <v>5</v>
      </c>
      <c r="D4285" s="3" t="n">
        <v>12</v>
      </c>
      <c r="E4285" s="3" t="n">
        <v>27</v>
      </c>
      <c r="F4285" s="24" t="n">
        <v>0.459515482</v>
      </c>
    </row>
    <row r="4286" customFormat="false" ht="15" hidden="false" customHeight="false" outlineLevel="0" collapsed="false">
      <c r="A4286" s="3" t="n">
        <v>4285</v>
      </c>
      <c r="B4286" s="3" t="n">
        <v>4284</v>
      </c>
      <c r="C4286" s="3" t="n">
        <v>5</v>
      </c>
      <c r="D4286" s="3" t="n">
        <v>13</v>
      </c>
      <c r="E4286" s="3" t="n">
        <v>0</v>
      </c>
      <c r="F4286" s="24" t="n">
        <v>0.354324996</v>
      </c>
    </row>
    <row r="4287" customFormat="false" ht="15" hidden="false" customHeight="false" outlineLevel="0" collapsed="false">
      <c r="A4287" s="3" t="n">
        <v>4286</v>
      </c>
      <c r="B4287" s="3" t="n">
        <v>4285</v>
      </c>
      <c r="C4287" s="3" t="n">
        <v>5</v>
      </c>
      <c r="D4287" s="3" t="n">
        <v>13</v>
      </c>
      <c r="E4287" s="3" t="n">
        <v>1</v>
      </c>
      <c r="F4287" s="24" t="n">
        <v>0.51512605</v>
      </c>
    </row>
    <row r="4288" customFormat="false" ht="15" hidden="false" customHeight="false" outlineLevel="0" collapsed="false">
      <c r="A4288" s="3" t="n">
        <v>4287</v>
      </c>
      <c r="B4288" s="3" t="n">
        <v>4286</v>
      </c>
      <c r="C4288" s="3" t="n">
        <v>5</v>
      </c>
      <c r="D4288" s="3" t="n">
        <v>13</v>
      </c>
      <c r="E4288" s="3" t="n">
        <v>2</v>
      </c>
      <c r="F4288" s="24" t="n">
        <v>0.51512605</v>
      </c>
    </row>
    <row r="4289" customFormat="false" ht="15" hidden="false" customHeight="false" outlineLevel="0" collapsed="false">
      <c r="A4289" s="3" t="n">
        <v>4288</v>
      </c>
      <c r="B4289" s="3" t="n">
        <v>4287</v>
      </c>
      <c r="C4289" s="3" t="n">
        <v>5</v>
      </c>
      <c r="D4289" s="3" t="n">
        <v>13</v>
      </c>
      <c r="E4289" s="3" t="n">
        <v>3</v>
      </c>
      <c r="F4289" s="24" t="n">
        <v>0.51512605</v>
      </c>
    </row>
    <row r="4290" customFormat="false" ht="15" hidden="false" customHeight="false" outlineLevel="0" collapsed="false">
      <c r="A4290" s="3" t="n">
        <v>4289</v>
      </c>
      <c r="B4290" s="3" t="n">
        <v>4288</v>
      </c>
      <c r="C4290" s="3" t="n">
        <v>5</v>
      </c>
      <c r="D4290" s="3" t="n">
        <v>13</v>
      </c>
      <c r="E4290" s="3" t="n">
        <v>4</v>
      </c>
      <c r="F4290" s="24" t="n">
        <v>0.51512605</v>
      </c>
    </row>
    <row r="4291" customFormat="false" ht="15" hidden="false" customHeight="false" outlineLevel="0" collapsed="false">
      <c r="A4291" s="3" t="n">
        <v>4290</v>
      </c>
      <c r="B4291" s="3" t="n">
        <v>4289</v>
      </c>
      <c r="C4291" s="3" t="n">
        <v>5</v>
      </c>
      <c r="D4291" s="3" t="n">
        <v>13</v>
      </c>
      <c r="E4291" s="3" t="n">
        <v>5</v>
      </c>
      <c r="F4291" s="24" t="n">
        <v>0.51512605</v>
      </c>
    </row>
    <row r="4292" customFormat="false" ht="15" hidden="false" customHeight="false" outlineLevel="0" collapsed="false">
      <c r="A4292" s="3" t="n">
        <v>4291</v>
      </c>
      <c r="B4292" s="3" t="n">
        <v>4290</v>
      </c>
      <c r="C4292" s="3" t="n">
        <v>5</v>
      </c>
      <c r="D4292" s="3" t="n">
        <v>13</v>
      </c>
      <c r="E4292" s="3" t="n">
        <v>6</v>
      </c>
      <c r="F4292" s="24" t="n">
        <v>0.51512605</v>
      </c>
    </row>
    <row r="4293" customFormat="false" ht="15" hidden="false" customHeight="false" outlineLevel="0" collapsed="false">
      <c r="A4293" s="3" t="n">
        <v>4292</v>
      </c>
      <c r="B4293" s="3" t="n">
        <v>4291</v>
      </c>
      <c r="C4293" s="3" t="n">
        <v>5</v>
      </c>
      <c r="D4293" s="3" t="n">
        <v>13</v>
      </c>
      <c r="E4293" s="3" t="n">
        <v>7</v>
      </c>
      <c r="F4293" s="24" t="n">
        <v>0.51512605</v>
      </c>
    </row>
    <row r="4294" customFormat="false" ht="15" hidden="false" customHeight="false" outlineLevel="0" collapsed="false">
      <c r="A4294" s="3" t="n">
        <v>4293</v>
      </c>
      <c r="B4294" s="3" t="n">
        <v>4292</v>
      </c>
      <c r="C4294" s="3" t="n">
        <v>5</v>
      </c>
      <c r="D4294" s="3" t="n">
        <v>13</v>
      </c>
      <c r="E4294" s="3" t="n">
        <v>8</v>
      </c>
      <c r="F4294" s="24" t="n">
        <v>0.51512605</v>
      </c>
    </row>
    <row r="4295" customFormat="false" ht="15" hidden="false" customHeight="false" outlineLevel="0" collapsed="false">
      <c r="A4295" s="3" t="n">
        <v>4294</v>
      </c>
      <c r="B4295" s="3" t="n">
        <v>4293</v>
      </c>
      <c r="C4295" s="3" t="n">
        <v>5</v>
      </c>
      <c r="D4295" s="3" t="n">
        <v>13</v>
      </c>
      <c r="E4295" s="3" t="n">
        <v>9</v>
      </c>
      <c r="F4295" s="24" t="n">
        <v>0.51512605</v>
      </c>
    </row>
    <row r="4296" customFormat="false" ht="15" hidden="false" customHeight="false" outlineLevel="0" collapsed="false">
      <c r="A4296" s="3" t="n">
        <v>4295</v>
      </c>
      <c r="B4296" s="3" t="n">
        <v>4294</v>
      </c>
      <c r="C4296" s="3" t="n">
        <v>5</v>
      </c>
      <c r="D4296" s="3" t="n">
        <v>13</v>
      </c>
      <c r="E4296" s="3" t="n">
        <v>10</v>
      </c>
      <c r="F4296" s="24" t="n">
        <v>0.51512605</v>
      </c>
    </row>
    <row r="4297" customFormat="false" ht="15" hidden="false" customHeight="false" outlineLevel="0" collapsed="false">
      <c r="A4297" s="3" t="n">
        <v>4296</v>
      </c>
      <c r="B4297" s="3" t="n">
        <v>4295</v>
      </c>
      <c r="C4297" s="3" t="n">
        <v>5</v>
      </c>
      <c r="D4297" s="3" t="n">
        <v>13</v>
      </c>
      <c r="E4297" s="3" t="n">
        <v>11</v>
      </c>
      <c r="F4297" s="24" t="n">
        <v>0.51512605</v>
      </c>
    </row>
    <row r="4298" customFormat="false" ht="15" hidden="false" customHeight="false" outlineLevel="0" collapsed="false">
      <c r="A4298" s="3" t="n">
        <v>4297</v>
      </c>
      <c r="B4298" s="3" t="n">
        <v>4296</v>
      </c>
      <c r="C4298" s="3" t="n">
        <v>5</v>
      </c>
      <c r="D4298" s="3" t="n">
        <v>13</v>
      </c>
      <c r="E4298" s="3" t="n">
        <v>12</v>
      </c>
      <c r="F4298" s="24" t="n">
        <v>0.51512605</v>
      </c>
    </row>
    <row r="4299" customFormat="false" ht="15" hidden="false" customHeight="false" outlineLevel="0" collapsed="false">
      <c r="A4299" s="3" t="n">
        <v>4298</v>
      </c>
      <c r="B4299" s="3" t="n">
        <v>4297</v>
      </c>
      <c r="C4299" s="3" t="n">
        <v>5</v>
      </c>
      <c r="D4299" s="3" t="n">
        <v>13</v>
      </c>
      <c r="E4299" s="3" t="n">
        <v>13</v>
      </c>
      <c r="F4299" s="24" t="n">
        <v>0.51512605</v>
      </c>
    </row>
    <row r="4300" customFormat="false" ht="15" hidden="false" customHeight="false" outlineLevel="0" collapsed="false">
      <c r="A4300" s="3" t="n">
        <v>4299</v>
      </c>
      <c r="B4300" s="3" t="n">
        <v>4298</v>
      </c>
      <c r="C4300" s="3" t="n">
        <v>5</v>
      </c>
      <c r="D4300" s="3" t="n">
        <v>13</v>
      </c>
      <c r="E4300" s="3" t="n">
        <v>14</v>
      </c>
      <c r="F4300" s="24" t="n">
        <v>0.51512605</v>
      </c>
    </row>
    <row r="4301" customFormat="false" ht="15" hidden="false" customHeight="false" outlineLevel="0" collapsed="false">
      <c r="A4301" s="3" t="n">
        <v>4300</v>
      </c>
      <c r="B4301" s="3" t="n">
        <v>4299</v>
      </c>
      <c r="C4301" s="3" t="n">
        <v>5</v>
      </c>
      <c r="D4301" s="3" t="n">
        <v>13</v>
      </c>
      <c r="E4301" s="3" t="n">
        <v>15</v>
      </c>
      <c r="F4301" s="24" t="n">
        <v>0.810432971</v>
      </c>
    </row>
    <row r="4302" customFormat="false" ht="15" hidden="false" customHeight="false" outlineLevel="0" collapsed="false">
      <c r="A4302" s="3" t="n">
        <v>4301</v>
      </c>
      <c r="B4302" s="3" t="n">
        <v>4300</v>
      </c>
      <c r="C4302" s="3" t="n">
        <v>5</v>
      </c>
      <c r="D4302" s="3" t="n">
        <v>13</v>
      </c>
      <c r="E4302" s="3" t="n">
        <v>16</v>
      </c>
      <c r="F4302" s="24" t="n">
        <v>-0.0695503801</v>
      </c>
    </row>
    <row r="4303" customFormat="false" ht="15" hidden="false" customHeight="false" outlineLevel="0" collapsed="false">
      <c r="A4303" s="3" t="n">
        <v>4302</v>
      </c>
      <c r="B4303" s="3" t="n">
        <v>4301</v>
      </c>
      <c r="C4303" s="3" t="n">
        <v>5</v>
      </c>
      <c r="D4303" s="3" t="n">
        <v>13</v>
      </c>
      <c r="E4303" s="3" t="n">
        <v>17</v>
      </c>
      <c r="F4303" s="24" t="n">
        <v>-2.79763055</v>
      </c>
    </row>
    <row r="4304" customFormat="false" ht="15" hidden="false" customHeight="false" outlineLevel="0" collapsed="false">
      <c r="A4304" s="3" t="n">
        <v>4303</v>
      </c>
      <c r="B4304" s="3" t="n">
        <v>4302</v>
      </c>
      <c r="C4304" s="3" t="n">
        <v>5</v>
      </c>
      <c r="D4304" s="3" t="n">
        <v>13</v>
      </c>
      <c r="E4304" s="3" t="n">
        <v>18</v>
      </c>
      <c r="F4304" s="24" t="n">
        <v>-3.74522686</v>
      </c>
    </row>
    <row r="4305" customFormat="false" ht="15" hidden="false" customHeight="false" outlineLevel="0" collapsed="false">
      <c r="A4305" s="3" t="n">
        <v>4304</v>
      </c>
      <c r="B4305" s="3" t="n">
        <v>4303</v>
      </c>
      <c r="C4305" s="3" t="n">
        <v>5</v>
      </c>
      <c r="D4305" s="3" t="n">
        <v>13</v>
      </c>
      <c r="E4305" s="3" t="n">
        <v>19</v>
      </c>
      <c r="F4305" s="24" t="n">
        <v>0.0813879371</v>
      </c>
    </row>
    <row r="4306" customFormat="false" ht="15" hidden="false" customHeight="false" outlineLevel="0" collapsed="false">
      <c r="A4306" s="3" t="n">
        <v>4305</v>
      </c>
      <c r="B4306" s="3" t="n">
        <v>4304</v>
      </c>
      <c r="C4306" s="3" t="n">
        <v>5</v>
      </c>
      <c r="D4306" s="3" t="n">
        <v>13</v>
      </c>
      <c r="E4306" s="3" t="n">
        <v>20</v>
      </c>
      <c r="F4306" s="24" t="n">
        <v>1.74111176</v>
      </c>
    </row>
    <row r="4307" customFormat="false" ht="15" hidden="false" customHeight="false" outlineLevel="0" collapsed="false">
      <c r="A4307" s="3" t="n">
        <v>4306</v>
      </c>
      <c r="B4307" s="3" t="n">
        <v>4305</v>
      </c>
      <c r="C4307" s="3" t="n">
        <v>5</v>
      </c>
      <c r="D4307" s="3" t="n">
        <v>13</v>
      </c>
      <c r="E4307" s="3" t="n">
        <v>21</v>
      </c>
      <c r="F4307" s="24" t="n">
        <v>0.885530591</v>
      </c>
    </row>
    <row r="4308" customFormat="false" ht="15" hidden="false" customHeight="false" outlineLevel="0" collapsed="false">
      <c r="A4308" s="3" t="n">
        <v>4307</v>
      </c>
      <c r="B4308" s="3" t="n">
        <v>4306</v>
      </c>
      <c r="C4308" s="3" t="n">
        <v>5</v>
      </c>
      <c r="D4308" s="3" t="n">
        <v>13</v>
      </c>
      <c r="E4308" s="3" t="n">
        <v>22</v>
      </c>
      <c r="F4308" s="24" t="n">
        <v>0.51512605</v>
      </c>
    </row>
    <row r="4309" customFormat="false" ht="15" hidden="false" customHeight="false" outlineLevel="0" collapsed="false">
      <c r="A4309" s="3" t="n">
        <v>4308</v>
      </c>
      <c r="B4309" s="3" t="n">
        <v>4307</v>
      </c>
      <c r="C4309" s="3" t="n">
        <v>5</v>
      </c>
      <c r="D4309" s="3" t="n">
        <v>13</v>
      </c>
      <c r="E4309" s="3" t="n">
        <v>23</v>
      </c>
      <c r="F4309" s="24" t="n">
        <v>0.51512605</v>
      </c>
    </row>
    <row r="4310" customFormat="false" ht="15" hidden="false" customHeight="false" outlineLevel="0" collapsed="false">
      <c r="A4310" s="3" t="n">
        <v>4309</v>
      </c>
      <c r="B4310" s="3" t="n">
        <v>4308</v>
      </c>
      <c r="C4310" s="3" t="n">
        <v>5</v>
      </c>
      <c r="D4310" s="3" t="n">
        <v>13</v>
      </c>
      <c r="E4310" s="3" t="n">
        <v>24</v>
      </c>
      <c r="F4310" s="24" t="n">
        <v>0.51512605</v>
      </c>
    </row>
    <row r="4311" customFormat="false" ht="15" hidden="false" customHeight="false" outlineLevel="0" collapsed="false">
      <c r="A4311" s="3" t="n">
        <v>4310</v>
      </c>
      <c r="B4311" s="3" t="n">
        <v>4309</v>
      </c>
      <c r="C4311" s="3" t="n">
        <v>5</v>
      </c>
      <c r="D4311" s="3" t="n">
        <v>13</v>
      </c>
      <c r="E4311" s="3" t="n">
        <v>25</v>
      </c>
      <c r="F4311" s="24" t="n">
        <v>0.51512605</v>
      </c>
    </row>
    <row r="4312" customFormat="false" ht="15" hidden="false" customHeight="false" outlineLevel="0" collapsed="false">
      <c r="A4312" s="3" t="n">
        <v>4311</v>
      </c>
      <c r="B4312" s="3" t="n">
        <v>4310</v>
      </c>
      <c r="C4312" s="3" t="n">
        <v>5</v>
      </c>
      <c r="D4312" s="3" t="n">
        <v>13</v>
      </c>
      <c r="E4312" s="3" t="n">
        <v>26</v>
      </c>
      <c r="F4312" s="24" t="n">
        <v>0.51512605</v>
      </c>
    </row>
    <row r="4313" customFormat="false" ht="15" hidden="false" customHeight="false" outlineLevel="0" collapsed="false">
      <c r="A4313" s="3" t="n">
        <v>4312</v>
      </c>
      <c r="B4313" s="3" t="n">
        <v>4311</v>
      </c>
      <c r="C4313" s="3" t="n">
        <v>5</v>
      </c>
      <c r="D4313" s="3" t="n">
        <v>13</v>
      </c>
      <c r="E4313" s="3" t="n">
        <v>27</v>
      </c>
      <c r="F4313" s="24" t="n">
        <v>0.459515482</v>
      </c>
    </row>
    <row r="4314" customFormat="false" ht="15" hidden="false" customHeight="false" outlineLevel="0" collapsed="false">
      <c r="A4314" s="3" t="n">
        <v>4313</v>
      </c>
      <c r="B4314" s="3" t="n">
        <v>4312</v>
      </c>
      <c r="C4314" s="3" t="n">
        <v>5</v>
      </c>
      <c r="D4314" s="3" t="n">
        <v>14</v>
      </c>
      <c r="E4314" s="3" t="n">
        <v>0</v>
      </c>
      <c r="F4314" s="24" t="n">
        <v>0.354324996</v>
      </c>
    </row>
    <row r="4315" customFormat="false" ht="15" hidden="false" customHeight="false" outlineLevel="0" collapsed="false">
      <c r="A4315" s="3" t="n">
        <v>4314</v>
      </c>
      <c r="B4315" s="3" t="n">
        <v>4313</v>
      </c>
      <c r="C4315" s="3" t="n">
        <v>5</v>
      </c>
      <c r="D4315" s="3" t="n">
        <v>14</v>
      </c>
      <c r="E4315" s="3" t="n">
        <v>1</v>
      </c>
      <c r="F4315" s="24" t="n">
        <v>0.51512605</v>
      </c>
    </row>
    <row r="4316" customFormat="false" ht="15" hidden="false" customHeight="false" outlineLevel="0" collapsed="false">
      <c r="A4316" s="3" t="n">
        <v>4315</v>
      </c>
      <c r="B4316" s="3" t="n">
        <v>4314</v>
      </c>
      <c r="C4316" s="3" t="n">
        <v>5</v>
      </c>
      <c r="D4316" s="3" t="n">
        <v>14</v>
      </c>
      <c r="E4316" s="3" t="n">
        <v>2</v>
      </c>
      <c r="F4316" s="24" t="n">
        <v>0.51512605</v>
      </c>
    </row>
    <row r="4317" customFormat="false" ht="15" hidden="false" customHeight="false" outlineLevel="0" collapsed="false">
      <c r="A4317" s="3" t="n">
        <v>4316</v>
      </c>
      <c r="B4317" s="3" t="n">
        <v>4315</v>
      </c>
      <c r="C4317" s="3" t="n">
        <v>5</v>
      </c>
      <c r="D4317" s="3" t="n">
        <v>14</v>
      </c>
      <c r="E4317" s="3" t="n">
        <v>3</v>
      </c>
      <c r="F4317" s="24" t="n">
        <v>0.51512605</v>
      </c>
    </row>
    <row r="4318" customFormat="false" ht="15" hidden="false" customHeight="false" outlineLevel="0" collapsed="false">
      <c r="A4318" s="3" t="n">
        <v>4317</v>
      </c>
      <c r="B4318" s="3" t="n">
        <v>4316</v>
      </c>
      <c r="C4318" s="3" t="n">
        <v>5</v>
      </c>
      <c r="D4318" s="3" t="n">
        <v>14</v>
      </c>
      <c r="E4318" s="3" t="n">
        <v>4</v>
      </c>
      <c r="F4318" s="24" t="n">
        <v>0.51512605</v>
      </c>
    </row>
    <row r="4319" customFormat="false" ht="15" hidden="false" customHeight="false" outlineLevel="0" collapsed="false">
      <c r="A4319" s="3" t="n">
        <v>4318</v>
      </c>
      <c r="B4319" s="3" t="n">
        <v>4317</v>
      </c>
      <c r="C4319" s="3" t="n">
        <v>5</v>
      </c>
      <c r="D4319" s="3" t="n">
        <v>14</v>
      </c>
      <c r="E4319" s="3" t="n">
        <v>5</v>
      </c>
      <c r="F4319" s="24" t="n">
        <v>0.51512605</v>
      </c>
    </row>
    <row r="4320" customFormat="false" ht="15" hidden="false" customHeight="false" outlineLevel="0" collapsed="false">
      <c r="A4320" s="3" t="n">
        <v>4319</v>
      </c>
      <c r="B4320" s="3" t="n">
        <v>4318</v>
      </c>
      <c r="C4320" s="3" t="n">
        <v>5</v>
      </c>
      <c r="D4320" s="3" t="n">
        <v>14</v>
      </c>
      <c r="E4320" s="3" t="n">
        <v>6</v>
      </c>
      <c r="F4320" s="24" t="n">
        <v>0.51512605</v>
      </c>
    </row>
    <row r="4321" customFormat="false" ht="15" hidden="false" customHeight="false" outlineLevel="0" collapsed="false">
      <c r="A4321" s="3" t="n">
        <v>4320</v>
      </c>
      <c r="B4321" s="3" t="n">
        <v>4319</v>
      </c>
      <c r="C4321" s="3" t="n">
        <v>5</v>
      </c>
      <c r="D4321" s="3" t="n">
        <v>14</v>
      </c>
      <c r="E4321" s="3" t="n">
        <v>7</v>
      </c>
      <c r="F4321" s="24" t="n">
        <v>0.51512605</v>
      </c>
    </row>
    <row r="4322" customFormat="false" ht="15" hidden="false" customHeight="false" outlineLevel="0" collapsed="false">
      <c r="A4322" s="3" t="n">
        <v>4321</v>
      </c>
      <c r="B4322" s="3" t="n">
        <v>4320</v>
      </c>
      <c r="C4322" s="3" t="n">
        <v>5</v>
      </c>
      <c r="D4322" s="3" t="n">
        <v>14</v>
      </c>
      <c r="E4322" s="3" t="n">
        <v>8</v>
      </c>
      <c r="F4322" s="24" t="n">
        <v>0.51512605</v>
      </c>
    </row>
    <row r="4323" customFormat="false" ht="15" hidden="false" customHeight="false" outlineLevel="0" collapsed="false">
      <c r="A4323" s="3" t="n">
        <v>4322</v>
      </c>
      <c r="B4323" s="3" t="n">
        <v>4321</v>
      </c>
      <c r="C4323" s="3" t="n">
        <v>5</v>
      </c>
      <c r="D4323" s="3" t="n">
        <v>14</v>
      </c>
      <c r="E4323" s="3" t="n">
        <v>9</v>
      </c>
      <c r="F4323" s="24" t="n">
        <v>0.51512605</v>
      </c>
    </row>
    <row r="4324" customFormat="false" ht="15" hidden="false" customHeight="false" outlineLevel="0" collapsed="false">
      <c r="A4324" s="3" t="n">
        <v>4323</v>
      </c>
      <c r="B4324" s="3" t="n">
        <v>4322</v>
      </c>
      <c r="C4324" s="3" t="n">
        <v>5</v>
      </c>
      <c r="D4324" s="3" t="n">
        <v>14</v>
      </c>
      <c r="E4324" s="3" t="n">
        <v>10</v>
      </c>
      <c r="F4324" s="24" t="n">
        <v>0.51512605</v>
      </c>
    </row>
    <row r="4325" customFormat="false" ht="15" hidden="false" customHeight="false" outlineLevel="0" collapsed="false">
      <c r="A4325" s="3" t="n">
        <v>4324</v>
      </c>
      <c r="B4325" s="3" t="n">
        <v>4323</v>
      </c>
      <c r="C4325" s="3" t="n">
        <v>5</v>
      </c>
      <c r="D4325" s="3" t="n">
        <v>14</v>
      </c>
      <c r="E4325" s="3" t="n">
        <v>11</v>
      </c>
      <c r="F4325" s="24" t="n">
        <v>0.51512605</v>
      </c>
    </row>
    <row r="4326" customFormat="false" ht="15" hidden="false" customHeight="false" outlineLevel="0" collapsed="false">
      <c r="A4326" s="3" t="n">
        <v>4325</v>
      </c>
      <c r="B4326" s="3" t="n">
        <v>4324</v>
      </c>
      <c r="C4326" s="3" t="n">
        <v>5</v>
      </c>
      <c r="D4326" s="3" t="n">
        <v>14</v>
      </c>
      <c r="E4326" s="3" t="n">
        <v>12</v>
      </c>
      <c r="F4326" s="24" t="n">
        <v>0.51512605</v>
      </c>
    </row>
    <row r="4327" customFormat="false" ht="15" hidden="false" customHeight="false" outlineLevel="0" collapsed="false">
      <c r="A4327" s="3" t="n">
        <v>4326</v>
      </c>
      <c r="B4327" s="3" t="n">
        <v>4325</v>
      </c>
      <c r="C4327" s="3" t="n">
        <v>5</v>
      </c>
      <c r="D4327" s="3" t="n">
        <v>14</v>
      </c>
      <c r="E4327" s="3" t="n">
        <v>13</v>
      </c>
      <c r="F4327" s="24" t="n">
        <v>0.51512605</v>
      </c>
    </row>
    <row r="4328" customFormat="false" ht="15" hidden="false" customHeight="false" outlineLevel="0" collapsed="false">
      <c r="A4328" s="3" t="n">
        <v>4327</v>
      </c>
      <c r="B4328" s="3" t="n">
        <v>4326</v>
      </c>
      <c r="C4328" s="3" t="n">
        <v>5</v>
      </c>
      <c r="D4328" s="3" t="n">
        <v>14</v>
      </c>
      <c r="E4328" s="3" t="n">
        <v>14</v>
      </c>
      <c r="F4328" s="24" t="n">
        <v>0.51512605</v>
      </c>
    </row>
    <row r="4329" customFormat="false" ht="15" hidden="false" customHeight="false" outlineLevel="0" collapsed="false">
      <c r="A4329" s="3" t="n">
        <v>4328</v>
      </c>
      <c r="B4329" s="3" t="n">
        <v>4327</v>
      </c>
      <c r="C4329" s="3" t="n">
        <v>5</v>
      </c>
      <c r="D4329" s="3" t="n">
        <v>14</v>
      </c>
      <c r="E4329" s="3" t="n">
        <v>15</v>
      </c>
      <c r="F4329" s="24" t="n">
        <v>0.527739286</v>
      </c>
    </row>
    <row r="4330" customFormat="false" ht="15" hidden="false" customHeight="false" outlineLevel="0" collapsed="false">
      <c r="A4330" s="3" t="n">
        <v>4329</v>
      </c>
      <c r="B4330" s="3" t="n">
        <v>4328</v>
      </c>
      <c r="C4330" s="3" t="n">
        <v>5</v>
      </c>
      <c r="D4330" s="3" t="n">
        <v>14</v>
      </c>
      <c r="E4330" s="3" t="n">
        <v>16</v>
      </c>
      <c r="F4330" s="24" t="n">
        <v>-1.65651786</v>
      </c>
    </row>
    <row r="4331" customFormat="false" ht="15" hidden="false" customHeight="false" outlineLevel="0" collapsed="false">
      <c r="A4331" s="3" t="n">
        <v>4330</v>
      </c>
      <c r="B4331" s="3" t="n">
        <v>4329</v>
      </c>
      <c r="C4331" s="3" t="n">
        <v>5</v>
      </c>
      <c r="D4331" s="3" t="n">
        <v>14</v>
      </c>
      <c r="E4331" s="3" t="n">
        <v>17</v>
      </c>
      <c r="F4331" s="24" t="n">
        <v>-3.14461946</v>
      </c>
    </row>
    <row r="4332" customFormat="false" ht="15" hidden="false" customHeight="false" outlineLevel="0" collapsed="false">
      <c r="A4332" s="3" t="n">
        <v>4331</v>
      </c>
      <c r="B4332" s="3" t="n">
        <v>4330</v>
      </c>
      <c r="C4332" s="3" t="n">
        <v>5</v>
      </c>
      <c r="D4332" s="3" t="n">
        <v>14</v>
      </c>
      <c r="E4332" s="3" t="n">
        <v>18</v>
      </c>
      <c r="F4332" s="24" t="n">
        <v>-0.910566211</v>
      </c>
    </row>
    <row r="4333" customFormat="false" ht="15" hidden="false" customHeight="false" outlineLevel="0" collapsed="false">
      <c r="A4333" s="3" t="n">
        <v>4332</v>
      </c>
      <c r="B4333" s="3" t="n">
        <v>4331</v>
      </c>
      <c r="C4333" s="3" t="n">
        <v>5</v>
      </c>
      <c r="D4333" s="3" t="n">
        <v>14</v>
      </c>
      <c r="E4333" s="3" t="n">
        <v>19</v>
      </c>
      <c r="F4333" s="24" t="n">
        <v>1.86674774</v>
      </c>
    </row>
    <row r="4334" customFormat="false" ht="15" hidden="false" customHeight="false" outlineLevel="0" collapsed="false">
      <c r="A4334" s="3" t="n">
        <v>4333</v>
      </c>
      <c r="B4334" s="3" t="n">
        <v>4332</v>
      </c>
      <c r="C4334" s="3" t="n">
        <v>5</v>
      </c>
      <c r="D4334" s="3" t="n">
        <v>14</v>
      </c>
      <c r="E4334" s="3" t="n">
        <v>20</v>
      </c>
      <c r="F4334" s="24" t="n">
        <v>1.79324794</v>
      </c>
    </row>
    <row r="4335" customFormat="false" ht="15" hidden="false" customHeight="false" outlineLevel="0" collapsed="false">
      <c r="A4335" s="3" t="n">
        <v>4334</v>
      </c>
      <c r="B4335" s="3" t="n">
        <v>4333</v>
      </c>
      <c r="C4335" s="3" t="n">
        <v>5</v>
      </c>
      <c r="D4335" s="3" t="n">
        <v>14</v>
      </c>
      <c r="E4335" s="3" t="n">
        <v>21</v>
      </c>
      <c r="F4335" s="24" t="n">
        <v>0.68061024</v>
      </c>
    </row>
    <row r="4336" customFormat="false" ht="15" hidden="false" customHeight="false" outlineLevel="0" collapsed="false">
      <c r="A4336" s="3" t="n">
        <v>4335</v>
      </c>
      <c r="B4336" s="3" t="n">
        <v>4334</v>
      </c>
      <c r="C4336" s="3" t="n">
        <v>5</v>
      </c>
      <c r="D4336" s="3" t="n">
        <v>14</v>
      </c>
      <c r="E4336" s="3" t="n">
        <v>22</v>
      </c>
      <c r="F4336" s="24" t="n">
        <v>0.51512605</v>
      </c>
    </row>
    <row r="4337" customFormat="false" ht="15" hidden="false" customHeight="false" outlineLevel="0" collapsed="false">
      <c r="A4337" s="3" t="n">
        <v>4336</v>
      </c>
      <c r="B4337" s="3" t="n">
        <v>4335</v>
      </c>
      <c r="C4337" s="3" t="n">
        <v>5</v>
      </c>
      <c r="D4337" s="3" t="n">
        <v>14</v>
      </c>
      <c r="E4337" s="3" t="n">
        <v>23</v>
      </c>
      <c r="F4337" s="24" t="n">
        <v>0.51512605</v>
      </c>
    </row>
    <row r="4338" customFormat="false" ht="15" hidden="false" customHeight="false" outlineLevel="0" collapsed="false">
      <c r="A4338" s="3" t="n">
        <v>4337</v>
      </c>
      <c r="B4338" s="3" t="n">
        <v>4336</v>
      </c>
      <c r="C4338" s="3" t="n">
        <v>5</v>
      </c>
      <c r="D4338" s="3" t="n">
        <v>14</v>
      </c>
      <c r="E4338" s="3" t="n">
        <v>24</v>
      </c>
      <c r="F4338" s="24" t="n">
        <v>0.51512605</v>
      </c>
    </row>
    <row r="4339" customFormat="false" ht="15" hidden="false" customHeight="false" outlineLevel="0" collapsed="false">
      <c r="A4339" s="3" t="n">
        <v>4338</v>
      </c>
      <c r="B4339" s="3" t="n">
        <v>4337</v>
      </c>
      <c r="C4339" s="3" t="n">
        <v>5</v>
      </c>
      <c r="D4339" s="3" t="n">
        <v>14</v>
      </c>
      <c r="E4339" s="3" t="n">
        <v>25</v>
      </c>
      <c r="F4339" s="24" t="n">
        <v>0.51512605</v>
      </c>
    </row>
    <row r="4340" customFormat="false" ht="15" hidden="false" customHeight="false" outlineLevel="0" collapsed="false">
      <c r="A4340" s="3" t="n">
        <v>4339</v>
      </c>
      <c r="B4340" s="3" t="n">
        <v>4338</v>
      </c>
      <c r="C4340" s="3" t="n">
        <v>5</v>
      </c>
      <c r="D4340" s="3" t="n">
        <v>14</v>
      </c>
      <c r="E4340" s="3" t="n">
        <v>26</v>
      </c>
      <c r="F4340" s="24" t="n">
        <v>0.51512605</v>
      </c>
    </row>
    <row r="4341" customFormat="false" ht="15" hidden="false" customHeight="false" outlineLevel="0" collapsed="false">
      <c r="A4341" s="3" t="n">
        <v>4340</v>
      </c>
      <c r="B4341" s="3" t="n">
        <v>4339</v>
      </c>
      <c r="C4341" s="3" t="n">
        <v>5</v>
      </c>
      <c r="D4341" s="3" t="n">
        <v>14</v>
      </c>
      <c r="E4341" s="3" t="n">
        <v>27</v>
      </c>
      <c r="F4341" s="24" t="n">
        <v>0.459515482</v>
      </c>
    </row>
    <row r="4342" customFormat="false" ht="15" hidden="false" customHeight="false" outlineLevel="0" collapsed="false">
      <c r="A4342" s="3" t="n">
        <v>4341</v>
      </c>
      <c r="B4342" s="3" t="n">
        <v>4340</v>
      </c>
      <c r="C4342" s="3" t="n">
        <v>5</v>
      </c>
      <c r="D4342" s="3" t="n">
        <v>15</v>
      </c>
      <c r="E4342" s="3" t="n">
        <v>0</v>
      </c>
      <c r="F4342" s="24" t="n">
        <v>0.354324996</v>
      </c>
    </row>
    <row r="4343" customFormat="false" ht="15" hidden="false" customHeight="false" outlineLevel="0" collapsed="false">
      <c r="A4343" s="3" t="n">
        <v>4342</v>
      </c>
      <c r="B4343" s="3" t="n">
        <v>4341</v>
      </c>
      <c r="C4343" s="3" t="n">
        <v>5</v>
      </c>
      <c r="D4343" s="3" t="n">
        <v>15</v>
      </c>
      <c r="E4343" s="3" t="n">
        <v>1</v>
      </c>
      <c r="F4343" s="24" t="n">
        <v>0.51512605</v>
      </c>
    </row>
    <row r="4344" customFormat="false" ht="15" hidden="false" customHeight="false" outlineLevel="0" collapsed="false">
      <c r="A4344" s="3" t="n">
        <v>4343</v>
      </c>
      <c r="B4344" s="3" t="n">
        <v>4342</v>
      </c>
      <c r="C4344" s="3" t="n">
        <v>5</v>
      </c>
      <c r="D4344" s="3" t="n">
        <v>15</v>
      </c>
      <c r="E4344" s="3" t="n">
        <v>2</v>
      </c>
      <c r="F4344" s="24" t="n">
        <v>0.51512605</v>
      </c>
    </row>
    <row r="4345" customFormat="false" ht="15" hidden="false" customHeight="false" outlineLevel="0" collapsed="false">
      <c r="A4345" s="3" t="n">
        <v>4344</v>
      </c>
      <c r="B4345" s="3" t="n">
        <v>4343</v>
      </c>
      <c r="C4345" s="3" t="n">
        <v>5</v>
      </c>
      <c r="D4345" s="3" t="n">
        <v>15</v>
      </c>
      <c r="E4345" s="3" t="n">
        <v>3</v>
      </c>
      <c r="F4345" s="24" t="n">
        <v>0.51512605</v>
      </c>
    </row>
    <row r="4346" customFormat="false" ht="15" hidden="false" customHeight="false" outlineLevel="0" collapsed="false">
      <c r="A4346" s="3" t="n">
        <v>4345</v>
      </c>
      <c r="B4346" s="3" t="n">
        <v>4344</v>
      </c>
      <c r="C4346" s="3" t="n">
        <v>5</v>
      </c>
      <c r="D4346" s="3" t="n">
        <v>15</v>
      </c>
      <c r="E4346" s="3" t="n">
        <v>4</v>
      </c>
      <c r="F4346" s="24" t="n">
        <v>0.51512605</v>
      </c>
    </row>
    <row r="4347" customFormat="false" ht="15" hidden="false" customHeight="false" outlineLevel="0" collapsed="false">
      <c r="A4347" s="3" t="n">
        <v>4346</v>
      </c>
      <c r="B4347" s="3" t="n">
        <v>4345</v>
      </c>
      <c r="C4347" s="3" t="n">
        <v>5</v>
      </c>
      <c r="D4347" s="3" t="n">
        <v>15</v>
      </c>
      <c r="E4347" s="3" t="n">
        <v>5</v>
      </c>
      <c r="F4347" s="24" t="n">
        <v>0.51512605</v>
      </c>
    </row>
    <row r="4348" customFormat="false" ht="15" hidden="false" customHeight="false" outlineLevel="0" collapsed="false">
      <c r="A4348" s="3" t="n">
        <v>4347</v>
      </c>
      <c r="B4348" s="3" t="n">
        <v>4346</v>
      </c>
      <c r="C4348" s="3" t="n">
        <v>5</v>
      </c>
      <c r="D4348" s="3" t="n">
        <v>15</v>
      </c>
      <c r="E4348" s="3" t="n">
        <v>6</v>
      </c>
      <c r="F4348" s="24" t="n">
        <v>0.51512605</v>
      </c>
    </row>
    <row r="4349" customFormat="false" ht="15" hidden="false" customHeight="false" outlineLevel="0" collapsed="false">
      <c r="A4349" s="3" t="n">
        <v>4348</v>
      </c>
      <c r="B4349" s="3" t="n">
        <v>4347</v>
      </c>
      <c r="C4349" s="3" t="n">
        <v>5</v>
      </c>
      <c r="D4349" s="3" t="n">
        <v>15</v>
      </c>
      <c r="E4349" s="3" t="n">
        <v>7</v>
      </c>
      <c r="F4349" s="24" t="n">
        <v>0.51512605</v>
      </c>
    </row>
    <row r="4350" customFormat="false" ht="15" hidden="false" customHeight="false" outlineLevel="0" collapsed="false">
      <c r="A4350" s="3" t="n">
        <v>4349</v>
      </c>
      <c r="B4350" s="3" t="n">
        <v>4348</v>
      </c>
      <c r="C4350" s="3" t="n">
        <v>5</v>
      </c>
      <c r="D4350" s="3" t="n">
        <v>15</v>
      </c>
      <c r="E4350" s="3" t="n">
        <v>8</v>
      </c>
      <c r="F4350" s="24" t="n">
        <v>0.51512605</v>
      </c>
    </row>
    <row r="4351" customFormat="false" ht="15" hidden="false" customHeight="false" outlineLevel="0" collapsed="false">
      <c r="A4351" s="3" t="n">
        <v>4350</v>
      </c>
      <c r="B4351" s="3" t="n">
        <v>4349</v>
      </c>
      <c r="C4351" s="3" t="n">
        <v>5</v>
      </c>
      <c r="D4351" s="3" t="n">
        <v>15</v>
      </c>
      <c r="E4351" s="3" t="n">
        <v>9</v>
      </c>
      <c r="F4351" s="24" t="n">
        <v>0.51512605</v>
      </c>
    </row>
    <row r="4352" customFormat="false" ht="15" hidden="false" customHeight="false" outlineLevel="0" collapsed="false">
      <c r="A4352" s="3" t="n">
        <v>4351</v>
      </c>
      <c r="B4352" s="3" t="n">
        <v>4350</v>
      </c>
      <c r="C4352" s="3" t="n">
        <v>5</v>
      </c>
      <c r="D4352" s="3" t="n">
        <v>15</v>
      </c>
      <c r="E4352" s="3" t="n">
        <v>10</v>
      </c>
      <c r="F4352" s="24" t="n">
        <v>0.51512605</v>
      </c>
    </row>
    <row r="4353" customFormat="false" ht="15" hidden="false" customHeight="false" outlineLevel="0" collapsed="false">
      <c r="A4353" s="3" t="n">
        <v>4352</v>
      </c>
      <c r="B4353" s="3" t="n">
        <v>4351</v>
      </c>
      <c r="C4353" s="3" t="n">
        <v>5</v>
      </c>
      <c r="D4353" s="3" t="n">
        <v>15</v>
      </c>
      <c r="E4353" s="3" t="n">
        <v>11</v>
      </c>
      <c r="F4353" s="24" t="n">
        <v>0.51512605</v>
      </c>
    </row>
    <row r="4354" customFormat="false" ht="15" hidden="false" customHeight="false" outlineLevel="0" collapsed="false">
      <c r="A4354" s="3" t="n">
        <v>4353</v>
      </c>
      <c r="B4354" s="3" t="n">
        <v>4352</v>
      </c>
      <c r="C4354" s="3" t="n">
        <v>5</v>
      </c>
      <c r="D4354" s="3" t="n">
        <v>15</v>
      </c>
      <c r="E4354" s="3" t="n">
        <v>12</v>
      </c>
      <c r="F4354" s="24" t="n">
        <v>0.51512605</v>
      </c>
    </row>
    <row r="4355" customFormat="false" ht="15" hidden="false" customHeight="false" outlineLevel="0" collapsed="false">
      <c r="A4355" s="3" t="n">
        <v>4354</v>
      </c>
      <c r="B4355" s="3" t="n">
        <v>4353</v>
      </c>
      <c r="C4355" s="3" t="n">
        <v>5</v>
      </c>
      <c r="D4355" s="3" t="n">
        <v>15</v>
      </c>
      <c r="E4355" s="3" t="n">
        <v>13</v>
      </c>
      <c r="F4355" s="24" t="n">
        <v>0.51512605</v>
      </c>
    </row>
    <row r="4356" customFormat="false" ht="15" hidden="false" customHeight="false" outlineLevel="0" collapsed="false">
      <c r="A4356" s="3" t="n">
        <v>4355</v>
      </c>
      <c r="B4356" s="3" t="n">
        <v>4354</v>
      </c>
      <c r="C4356" s="3" t="n">
        <v>5</v>
      </c>
      <c r="D4356" s="3" t="n">
        <v>15</v>
      </c>
      <c r="E4356" s="3" t="n">
        <v>14</v>
      </c>
      <c r="F4356" s="24" t="n">
        <v>0.560172856</v>
      </c>
    </row>
    <row r="4357" customFormat="false" ht="15" hidden="false" customHeight="false" outlineLevel="0" collapsed="false">
      <c r="A4357" s="3" t="n">
        <v>4356</v>
      </c>
      <c r="B4357" s="3" t="n">
        <v>4355</v>
      </c>
      <c r="C4357" s="3" t="n">
        <v>5</v>
      </c>
      <c r="D4357" s="3" t="n">
        <v>15</v>
      </c>
      <c r="E4357" s="3" t="n">
        <v>15</v>
      </c>
      <c r="F4357" s="24" t="n">
        <v>0.252091587</v>
      </c>
    </row>
    <row r="4358" customFormat="false" ht="15" hidden="false" customHeight="false" outlineLevel="0" collapsed="false">
      <c r="A4358" s="3" t="n">
        <v>4357</v>
      </c>
      <c r="B4358" s="3" t="n">
        <v>4356</v>
      </c>
      <c r="C4358" s="3" t="n">
        <v>5</v>
      </c>
      <c r="D4358" s="3" t="n">
        <v>15</v>
      </c>
      <c r="E4358" s="3" t="n">
        <v>16</v>
      </c>
      <c r="F4358" s="24" t="n">
        <v>-1.60306931</v>
      </c>
    </row>
    <row r="4359" customFormat="false" ht="15" hidden="false" customHeight="false" outlineLevel="0" collapsed="false">
      <c r="A4359" s="3" t="n">
        <v>4358</v>
      </c>
      <c r="B4359" s="3" t="n">
        <v>4357</v>
      </c>
      <c r="C4359" s="3" t="n">
        <v>5</v>
      </c>
      <c r="D4359" s="3" t="n">
        <v>15</v>
      </c>
      <c r="E4359" s="3" t="n">
        <v>17</v>
      </c>
      <c r="F4359" s="24" t="n">
        <v>-2.44638133</v>
      </c>
    </row>
    <row r="4360" customFormat="false" ht="15" hidden="false" customHeight="false" outlineLevel="0" collapsed="false">
      <c r="A4360" s="3" t="n">
        <v>4359</v>
      </c>
      <c r="B4360" s="3" t="n">
        <v>4358</v>
      </c>
      <c r="C4360" s="3" t="n">
        <v>5</v>
      </c>
      <c r="D4360" s="3" t="n">
        <v>15</v>
      </c>
      <c r="E4360" s="3" t="n">
        <v>18</v>
      </c>
      <c r="F4360" s="24" t="n">
        <v>0.676278055</v>
      </c>
    </row>
    <row r="4361" customFormat="false" ht="15" hidden="false" customHeight="false" outlineLevel="0" collapsed="false">
      <c r="A4361" s="3" t="n">
        <v>4360</v>
      </c>
      <c r="B4361" s="3" t="n">
        <v>4359</v>
      </c>
      <c r="C4361" s="3" t="n">
        <v>5</v>
      </c>
      <c r="D4361" s="3" t="n">
        <v>15</v>
      </c>
      <c r="E4361" s="3" t="n">
        <v>19</v>
      </c>
      <c r="F4361" s="24" t="n">
        <v>1.62628388</v>
      </c>
    </row>
    <row r="4362" customFormat="false" ht="15" hidden="false" customHeight="false" outlineLevel="0" collapsed="false">
      <c r="A4362" s="3" t="n">
        <v>4361</v>
      </c>
      <c r="B4362" s="3" t="n">
        <v>4360</v>
      </c>
      <c r="C4362" s="3" t="n">
        <v>5</v>
      </c>
      <c r="D4362" s="3" t="n">
        <v>15</v>
      </c>
      <c r="E4362" s="3" t="n">
        <v>20</v>
      </c>
      <c r="F4362" s="24" t="n">
        <v>0.754926622</v>
      </c>
    </row>
    <row r="4363" customFormat="false" ht="15" hidden="false" customHeight="false" outlineLevel="0" collapsed="false">
      <c r="A4363" s="3" t="n">
        <v>4362</v>
      </c>
      <c r="B4363" s="3" t="n">
        <v>4361</v>
      </c>
      <c r="C4363" s="3" t="n">
        <v>5</v>
      </c>
      <c r="D4363" s="3" t="n">
        <v>15</v>
      </c>
      <c r="E4363" s="3" t="n">
        <v>21</v>
      </c>
      <c r="F4363" s="24" t="n">
        <v>0.51512605</v>
      </c>
    </row>
    <row r="4364" customFormat="false" ht="15" hidden="false" customHeight="false" outlineLevel="0" collapsed="false">
      <c r="A4364" s="3" t="n">
        <v>4363</v>
      </c>
      <c r="B4364" s="3" t="n">
        <v>4362</v>
      </c>
      <c r="C4364" s="3" t="n">
        <v>5</v>
      </c>
      <c r="D4364" s="3" t="n">
        <v>15</v>
      </c>
      <c r="E4364" s="3" t="n">
        <v>22</v>
      </c>
      <c r="F4364" s="24" t="n">
        <v>0.51512605</v>
      </c>
    </row>
    <row r="4365" customFormat="false" ht="15" hidden="false" customHeight="false" outlineLevel="0" collapsed="false">
      <c r="A4365" s="3" t="n">
        <v>4364</v>
      </c>
      <c r="B4365" s="3" t="n">
        <v>4363</v>
      </c>
      <c r="C4365" s="3" t="n">
        <v>5</v>
      </c>
      <c r="D4365" s="3" t="n">
        <v>15</v>
      </c>
      <c r="E4365" s="3" t="n">
        <v>23</v>
      </c>
      <c r="F4365" s="24" t="n">
        <v>0.51512605</v>
      </c>
    </row>
    <row r="4366" customFormat="false" ht="15" hidden="false" customHeight="false" outlineLevel="0" collapsed="false">
      <c r="A4366" s="3" t="n">
        <v>4365</v>
      </c>
      <c r="B4366" s="3" t="n">
        <v>4364</v>
      </c>
      <c r="C4366" s="3" t="n">
        <v>5</v>
      </c>
      <c r="D4366" s="3" t="n">
        <v>15</v>
      </c>
      <c r="E4366" s="3" t="n">
        <v>24</v>
      </c>
      <c r="F4366" s="24" t="n">
        <v>0.51512605</v>
      </c>
    </row>
    <row r="4367" customFormat="false" ht="15" hidden="false" customHeight="false" outlineLevel="0" collapsed="false">
      <c r="A4367" s="3" t="n">
        <v>4366</v>
      </c>
      <c r="B4367" s="3" t="n">
        <v>4365</v>
      </c>
      <c r="C4367" s="3" t="n">
        <v>5</v>
      </c>
      <c r="D4367" s="3" t="n">
        <v>15</v>
      </c>
      <c r="E4367" s="3" t="n">
        <v>25</v>
      </c>
      <c r="F4367" s="24" t="n">
        <v>0.51512605</v>
      </c>
    </row>
    <row r="4368" customFormat="false" ht="15" hidden="false" customHeight="false" outlineLevel="0" collapsed="false">
      <c r="A4368" s="3" t="n">
        <v>4367</v>
      </c>
      <c r="B4368" s="3" t="n">
        <v>4366</v>
      </c>
      <c r="C4368" s="3" t="n">
        <v>5</v>
      </c>
      <c r="D4368" s="3" t="n">
        <v>15</v>
      </c>
      <c r="E4368" s="3" t="n">
        <v>26</v>
      </c>
      <c r="F4368" s="24" t="n">
        <v>0.51512605</v>
      </c>
    </row>
    <row r="4369" customFormat="false" ht="15" hidden="false" customHeight="false" outlineLevel="0" collapsed="false">
      <c r="A4369" s="3" t="n">
        <v>4368</v>
      </c>
      <c r="B4369" s="3" t="n">
        <v>4367</v>
      </c>
      <c r="C4369" s="3" t="n">
        <v>5</v>
      </c>
      <c r="D4369" s="3" t="n">
        <v>15</v>
      </c>
      <c r="E4369" s="3" t="n">
        <v>27</v>
      </c>
      <c r="F4369" s="24" t="n">
        <v>0.459515482</v>
      </c>
    </row>
    <row r="4370" customFormat="false" ht="15" hidden="false" customHeight="false" outlineLevel="0" collapsed="false">
      <c r="A4370" s="3" t="n">
        <v>4369</v>
      </c>
      <c r="B4370" s="3" t="n">
        <v>4368</v>
      </c>
      <c r="C4370" s="3" t="n">
        <v>5</v>
      </c>
      <c r="D4370" s="3" t="n">
        <v>16</v>
      </c>
      <c r="E4370" s="3" t="n">
        <v>0</v>
      </c>
      <c r="F4370" s="24" t="n">
        <v>0.354324996</v>
      </c>
    </row>
    <row r="4371" customFormat="false" ht="15" hidden="false" customHeight="false" outlineLevel="0" collapsed="false">
      <c r="A4371" s="3" t="n">
        <v>4370</v>
      </c>
      <c r="B4371" s="3" t="n">
        <v>4369</v>
      </c>
      <c r="C4371" s="3" t="n">
        <v>5</v>
      </c>
      <c r="D4371" s="3" t="n">
        <v>16</v>
      </c>
      <c r="E4371" s="3" t="n">
        <v>1</v>
      </c>
      <c r="F4371" s="24" t="n">
        <v>0.51512605</v>
      </c>
    </row>
    <row r="4372" customFormat="false" ht="15" hidden="false" customHeight="false" outlineLevel="0" collapsed="false">
      <c r="A4372" s="3" t="n">
        <v>4371</v>
      </c>
      <c r="B4372" s="3" t="n">
        <v>4370</v>
      </c>
      <c r="C4372" s="3" t="n">
        <v>5</v>
      </c>
      <c r="D4372" s="3" t="n">
        <v>16</v>
      </c>
      <c r="E4372" s="3" t="n">
        <v>2</v>
      </c>
      <c r="F4372" s="24" t="n">
        <v>0.51512605</v>
      </c>
    </row>
    <row r="4373" customFormat="false" ht="15" hidden="false" customHeight="false" outlineLevel="0" collapsed="false">
      <c r="A4373" s="3" t="n">
        <v>4372</v>
      </c>
      <c r="B4373" s="3" t="n">
        <v>4371</v>
      </c>
      <c r="C4373" s="3" t="n">
        <v>5</v>
      </c>
      <c r="D4373" s="3" t="n">
        <v>16</v>
      </c>
      <c r="E4373" s="3" t="n">
        <v>3</v>
      </c>
      <c r="F4373" s="24" t="n">
        <v>0.51512605</v>
      </c>
    </row>
    <row r="4374" customFormat="false" ht="15" hidden="false" customHeight="false" outlineLevel="0" collapsed="false">
      <c r="A4374" s="3" t="n">
        <v>4373</v>
      </c>
      <c r="B4374" s="3" t="n">
        <v>4372</v>
      </c>
      <c r="C4374" s="3" t="n">
        <v>5</v>
      </c>
      <c r="D4374" s="3" t="n">
        <v>16</v>
      </c>
      <c r="E4374" s="3" t="n">
        <v>4</v>
      </c>
      <c r="F4374" s="24" t="n">
        <v>0.51512605</v>
      </c>
    </row>
    <row r="4375" customFormat="false" ht="15" hidden="false" customHeight="false" outlineLevel="0" collapsed="false">
      <c r="A4375" s="3" t="n">
        <v>4374</v>
      </c>
      <c r="B4375" s="3" t="n">
        <v>4373</v>
      </c>
      <c r="C4375" s="3" t="n">
        <v>5</v>
      </c>
      <c r="D4375" s="3" t="n">
        <v>16</v>
      </c>
      <c r="E4375" s="3" t="n">
        <v>5</v>
      </c>
      <c r="F4375" s="24" t="n">
        <v>0.51512605</v>
      </c>
    </row>
    <row r="4376" customFormat="false" ht="15" hidden="false" customHeight="false" outlineLevel="0" collapsed="false">
      <c r="A4376" s="3" t="n">
        <v>4375</v>
      </c>
      <c r="B4376" s="3" t="n">
        <v>4374</v>
      </c>
      <c r="C4376" s="3" t="n">
        <v>5</v>
      </c>
      <c r="D4376" s="3" t="n">
        <v>16</v>
      </c>
      <c r="E4376" s="3" t="n">
        <v>6</v>
      </c>
      <c r="F4376" s="24" t="n">
        <v>0.51512605</v>
      </c>
    </row>
    <row r="4377" customFormat="false" ht="15" hidden="false" customHeight="false" outlineLevel="0" collapsed="false">
      <c r="A4377" s="3" t="n">
        <v>4376</v>
      </c>
      <c r="B4377" s="3" t="n">
        <v>4375</v>
      </c>
      <c r="C4377" s="3" t="n">
        <v>5</v>
      </c>
      <c r="D4377" s="3" t="n">
        <v>16</v>
      </c>
      <c r="E4377" s="3" t="n">
        <v>7</v>
      </c>
      <c r="F4377" s="24" t="n">
        <v>0.51512605</v>
      </c>
    </row>
    <row r="4378" customFormat="false" ht="15" hidden="false" customHeight="false" outlineLevel="0" collapsed="false">
      <c r="A4378" s="3" t="n">
        <v>4377</v>
      </c>
      <c r="B4378" s="3" t="n">
        <v>4376</v>
      </c>
      <c r="C4378" s="3" t="n">
        <v>5</v>
      </c>
      <c r="D4378" s="3" t="n">
        <v>16</v>
      </c>
      <c r="E4378" s="3" t="n">
        <v>8</v>
      </c>
      <c r="F4378" s="24" t="n">
        <v>0.51512605</v>
      </c>
    </row>
    <row r="4379" customFormat="false" ht="15" hidden="false" customHeight="false" outlineLevel="0" collapsed="false">
      <c r="A4379" s="3" t="n">
        <v>4378</v>
      </c>
      <c r="B4379" s="3" t="n">
        <v>4377</v>
      </c>
      <c r="C4379" s="3" t="n">
        <v>5</v>
      </c>
      <c r="D4379" s="3" t="n">
        <v>16</v>
      </c>
      <c r="E4379" s="3" t="n">
        <v>9</v>
      </c>
      <c r="F4379" s="24" t="n">
        <v>0.51512605</v>
      </c>
    </row>
    <row r="4380" customFormat="false" ht="15" hidden="false" customHeight="false" outlineLevel="0" collapsed="false">
      <c r="A4380" s="3" t="n">
        <v>4379</v>
      </c>
      <c r="B4380" s="3" t="n">
        <v>4378</v>
      </c>
      <c r="C4380" s="3" t="n">
        <v>5</v>
      </c>
      <c r="D4380" s="3" t="n">
        <v>16</v>
      </c>
      <c r="E4380" s="3" t="n">
        <v>10</v>
      </c>
      <c r="F4380" s="24" t="n">
        <v>0.51512605</v>
      </c>
    </row>
    <row r="4381" customFormat="false" ht="15" hidden="false" customHeight="false" outlineLevel="0" collapsed="false">
      <c r="A4381" s="3" t="n">
        <v>4380</v>
      </c>
      <c r="B4381" s="3" t="n">
        <v>4379</v>
      </c>
      <c r="C4381" s="3" t="n">
        <v>5</v>
      </c>
      <c r="D4381" s="3" t="n">
        <v>16</v>
      </c>
      <c r="E4381" s="3" t="n">
        <v>11</v>
      </c>
      <c r="F4381" s="24" t="n">
        <v>0.51512605</v>
      </c>
    </row>
    <row r="4382" customFormat="false" ht="15" hidden="false" customHeight="false" outlineLevel="0" collapsed="false">
      <c r="A4382" s="3" t="n">
        <v>4381</v>
      </c>
      <c r="B4382" s="3" t="n">
        <v>4380</v>
      </c>
      <c r="C4382" s="3" t="n">
        <v>5</v>
      </c>
      <c r="D4382" s="3" t="n">
        <v>16</v>
      </c>
      <c r="E4382" s="3" t="n">
        <v>12</v>
      </c>
      <c r="F4382" s="24" t="n">
        <v>0.51512605</v>
      </c>
    </row>
    <row r="4383" customFormat="false" ht="15" hidden="false" customHeight="false" outlineLevel="0" collapsed="false">
      <c r="A4383" s="3" t="n">
        <v>4382</v>
      </c>
      <c r="B4383" s="3" t="n">
        <v>4381</v>
      </c>
      <c r="C4383" s="3" t="n">
        <v>5</v>
      </c>
      <c r="D4383" s="3" t="n">
        <v>16</v>
      </c>
      <c r="E4383" s="3" t="n">
        <v>13</v>
      </c>
      <c r="F4383" s="24" t="n">
        <v>0.51512605</v>
      </c>
    </row>
    <row r="4384" customFormat="false" ht="15" hidden="false" customHeight="false" outlineLevel="0" collapsed="false">
      <c r="A4384" s="3" t="n">
        <v>4383</v>
      </c>
      <c r="B4384" s="3" t="n">
        <v>4382</v>
      </c>
      <c r="C4384" s="3" t="n">
        <v>5</v>
      </c>
      <c r="D4384" s="3" t="n">
        <v>16</v>
      </c>
      <c r="E4384" s="3" t="n">
        <v>14</v>
      </c>
      <c r="F4384" s="24" t="n">
        <v>1.04615939</v>
      </c>
    </row>
    <row r="4385" customFormat="false" ht="15" hidden="false" customHeight="false" outlineLevel="0" collapsed="false">
      <c r="A4385" s="3" t="n">
        <v>4384</v>
      </c>
      <c r="B4385" s="3" t="n">
        <v>4383</v>
      </c>
      <c r="C4385" s="3" t="n">
        <v>5</v>
      </c>
      <c r="D4385" s="3" t="n">
        <v>16</v>
      </c>
      <c r="E4385" s="3" t="n">
        <v>15</v>
      </c>
      <c r="F4385" s="24" t="n">
        <v>-0.984809518</v>
      </c>
    </row>
    <row r="4386" customFormat="false" ht="15" hidden="false" customHeight="false" outlineLevel="0" collapsed="false">
      <c r="A4386" s="3" t="n">
        <v>4385</v>
      </c>
      <c r="B4386" s="3" t="n">
        <v>4384</v>
      </c>
      <c r="C4386" s="3" t="n">
        <v>5</v>
      </c>
      <c r="D4386" s="3" t="n">
        <v>16</v>
      </c>
      <c r="E4386" s="3" t="n">
        <v>16</v>
      </c>
      <c r="F4386" s="24" t="n">
        <v>-2.97332883</v>
      </c>
    </row>
    <row r="4387" customFormat="false" ht="15" hidden="false" customHeight="false" outlineLevel="0" collapsed="false">
      <c r="A4387" s="3" t="n">
        <v>4386</v>
      </c>
      <c r="B4387" s="3" t="n">
        <v>4385</v>
      </c>
      <c r="C4387" s="3" t="n">
        <v>5</v>
      </c>
      <c r="D4387" s="3" t="n">
        <v>16</v>
      </c>
      <c r="E4387" s="3" t="n">
        <v>17</v>
      </c>
      <c r="F4387" s="24" t="n">
        <v>-1.10338962</v>
      </c>
    </row>
    <row r="4388" customFormat="false" ht="15" hidden="false" customHeight="false" outlineLevel="0" collapsed="false">
      <c r="A4388" s="3" t="n">
        <v>4387</v>
      </c>
      <c r="B4388" s="3" t="n">
        <v>4386</v>
      </c>
      <c r="C4388" s="3" t="n">
        <v>5</v>
      </c>
      <c r="D4388" s="3" t="n">
        <v>16</v>
      </c>
      <c r="E4388" s="3" t="n">
        <v>18</v>
      </c>
      <c r="F4388" s="24" t="n">
        <v>1.38166714</v>
      </c>
    </row>
    <row r="4389" customFormat="false" ht="15" hidden="false" customHeight="false" outlineLevel="0" collapsed="false">
      <c r="A4389" s="3" t="n">
        <v>4388</v>
      </c>
      <c r="B4389" s="3" t="n">
        <v>4387</v>
      </c>
      <c r="C4389" s="3" t="n">
        <v>5</v>
      </c>
      <c r="D4389" s="3" t="n">
        <v>16</v>
      </c>
      <c r="E4389" s="3" t="n">
        <v>19</v>
      </c>
      <c r="F4389" s="24" t="n">
        <v>1.33503401</v>
      </c>
    </row>
    <row r="4390" customFormat="false" ht="15" hidden="false" customHeight="false" outlineLevel="0" collapsed="false">
      <c r="A4390" s="3" t="n">
        <v>4389</v>
      </c>
      <c r="B4390" s="3" t="n">
        <v>4388</v>
      </c>
      <c r="C4390" s="3" t="n">
        <v>5</v>
      </c>
      <c r="D4390" s="3" t="n">
        <v>16</v>
      </c>
      <c r="E4390" s="3" t="n">
        <v>20</v>
      </c>
      <c r="F4390" s="24" t="n">
        <v>0.533931017</v>
      </c>
    </row>
    <row r="4391" customFormat="false" ht="15" hidden="false" customHeight="false" outlineLevel="0" collapsed="false">
      <c r="A4391" s="3" t="n">
        <v>4390</v>
      </c>
      <c r="B4391" s="3" t="n">
        <v>4389</v>
      </c>
      <c r="C4391" s="3" t="n">
        <v>5</v>
      </c>
      <c r="D4391" s="3" t="n">
        <v>16</v>
      </c>
      <c r="E4391" s="3" t="n">
        <v>21</v>
      </c>
      <c r="F4391" s="24" t="n">
        <v>0.51512605</v>
      </c>
    </row>
    <row r="4392" customFormat="false" ht="15" hidden="false" customHeight="false" outlineLevel="0" collapsed="false">
      <c r="A4392" s="3" t="n">
        <v>4391</v>
      </c>
      <c r="B4392" s="3" t="n">
        <v>4390</v>
      </c>
      <c r="C4392" s="3" t="n">
        <v>5</v>
      </c>
      <c r="D4392" s="3" t="n">
        <v>16</v>
      </c>
      <c r="E4392" s="3" t="n">
        <v>22</v>
      </c>
      <c r="F4392" s="24" t="n">
        <v>0.51512605</v>
      </c>
    </row>
    <row r="4393" customFormat="false" ht="15" hidden="false" customHeight="false" outlineLevel="0" collapsed="false">
      <c r="A4393" s="3" t="n">
        <v>4392</v>
      </c>
      <c r="B4393" s="3" t="n">
        <v>4391</v>
      </c>
      <c r="C4393" s="3" t="n">
        <v>5</v>
      </c>
      <c r="D4393" s="3" t="n">
        <v>16</v>
      </c>
      <c r="E4393" s="3" t="n">
        <v>23</v>
      </c>
      <c r="F4393" s="24" t="n">
        <v>0.51512605</v>
      </c>
    </row>
    <row r="4394" customFormat="false" ht="15" hidden="false" customHeight="false" outlineLevel="0" collapsed="false">
      <c r="A4394" s="3" t="n">
        <v>4393</v>
      </c>
      <c r="B4394" s="3" t="n">
        <v>4392</v>
      </c>
      <c r="C4394" s="3" t="n">
        <v>5</v>
      </c>
      <c r="D4394" s="3" t="n">
        <v>16</v>
      </c>
      <c r="E4394" s="3" t="n">
        <v>24</v>
      </c>
      <c r="F4394" s="24" t="n">
        <v>0.51512605</v>
      </c>
    </row>
    <row r="4395" customFormat="false" ht="15" hidden="false" customHeight="false" outlineLevel="0" collapsed="false">
      <c r="A4395" s="3" t="n">
        <v>4394</v>
      </c>
      <c r="B4395" s="3" t="n">
        <v>4393</v>
      </c>
      <c r="C4395" s="3" t="n">
        <v>5</v>
      </c>
      <c r="D4395" s="3" t="n">
        <v>16</v>
      </c>
      <c r="E4395" s="3" t="n">
        <v>25</v>
      </c>
      <c r="F4395" s="24" t="n">
        <v>0.51512605</v>
      </c>
    </row>
    <row r="4396" customFormat="false" ht="15" hidden="false" customHeight="false" outlineLevel="0" collapsed="false">
      <c r="A4396" s="3" t="n">
        <v>4395</v>
      </c>
      <c r="B4396" s="3" t="n">
        <v>4394</v>
      </c>
      <c r="C4396" s="3" t="n">
        <v>5</v>
      </c>
      <c r="D4396" s="3" t="n">
        <v>16</v>
      </c>
      <c r="E4396" s="3" t="n">
        <v>26</v>
      </c>
      <c r="F4396" s="24" t="n">
        <v>0.51512605</v>
      </c>
    </row>
    <row r="4397" customFormat="false" ht="15" hidden="false" customHeight="false" outlineLevel="0" collapsed="false">
      <c r="A4397" s="3" t="n">
        <v>4396</v>
      </c>
      <c r="B4397" s="3" t="n">
        <v>4395</v>
      </c>
      <c r="C4397" s="3" t="n">
        <v>5</v>
      </c>
      <c r="D4397" s="3" t="n">
        <v>16</v>
      </c>
      <c r="E4397" s="3" t="n">
        <v>27</v>
      </c>
      <c r="F4397" s="24" t="n">
        <v>0.459515482</v>
      </c>
    </row>
    <row r="4398" customFormat="false" ht="15" hidden="false" customHeight="false" outlineLevel="0" collapsed="false">
      <c r="A4398" s="3" t="n">
        <v>4397</v>
      </c>
      <c r="B4398" s="3" t="n">
        <v>4396</v>
      </c>
      <c r="C4398" s="3" t="n">
        <v>5</v>
      </c>
      <c r="D4398" s="3" t="n">
        <v>17</v>
      </c>
      <c r="E4398" s="3" t="n">
        <v>0</v>
      </c>
      <c r="F4398" s="24" t="n">
        <v>0.354324996</v>
      </c>
    </row>
    <row r="4399" customFormat="false" ht="15" hidden="false" customHeight="false" outlineLevel="0" collapsed="false">
      <c r="A4399" s="3" t="n">
        <v>4398</v>
      </c>
      <c r="B4399" s="3" t="n">
        <v>4397</v>
      </c>
      <c r="C4399" s="3" t="n">
        <v>5</v>
      </c>
      <c r="D4399" s="3" t="n">
        <v>17</v>
      </c>
      <c r="E4399" s="3" t="n">
        <v>1</v>
      </c>
      <c r="F4399" s="24" t="n">
        <v>0.51512605</v>
      </c>
    </row>
    <row r="4400" customFormat="false" ht="15" hidden="false" customHeight="false" outlineLevel="0" collapsed="false">
      <c r="A4400" s="3" t="n">
        <v>4399</v>
      </c>
      <c r="B4400" s="3" t="n">
        <v>4398</v>
      </c>
      <c r="C4400" s="3" t="n">
        <v>5</v>
      </c>
      <c r="D4400" s="3" t="n">
        <v>17</v>
      </c>
      <c r="E4400" s="3" t="n">
        <v>2</v>
      </c>
      <c r="F4400" s="24" t="n">
        <v>0.51512605</v>
      </c>
    </row>
    <row r="4401" customFormat="false" ht="15" hidden="false" customHeight="false" outlineLevel="0" collapsed="false">
      <c r="A4401" s="3" t="n">
        <v>4400</v>
      </c>
      <c r="B4401" s="3" t="n">
        <v>4399</v>
      </c>
      <c r="C4401" s="3" t="n">
        <v>5</v>
      </c>
      <c r="D4401" s="3" t="n">
        <v>17</v>
      </c>
      <c r="E4401" s="3" t="n">
        <v>3</v>
      </c>
      <c r="F4401" s="24" t="n">
        <v>0.51512605</v>
      </c>
    </row>
    <row r="4402" customFormat="false" ht="15" hidden="false" customHeight="false" outlineLevel="0" collapsed="false">
      <c r="A4402" s="3" t="n">
        <v>4401</v>
      </c>
      <c r="B4402" s="3" t="n">
        <v>4400</v>
      </c>
      <c r="C4402" s="3" t="n">
        <v>5</v>
      </c>
      <c r="D4402" s="3" t="n">
        <v>17</v>
      </c>
      <c r="E4402" s="3" t="n">
        <v>4</v>
      </c>
      <c r="F4402" s="24" t="n">
        <v>0.51512605</v>
      </c>
    </row>
    <row r="4403" customFormat="false" ht="15" hidden="false" customHeight="false" outlineLevel="0" collapsed="false">
      <c r="A4403" s="3" t="n">
        <v>4402</v>
      </c>
      <c r="B4403" s="3" t="n">
        <v>4401</v>
      </c>
      <c r="C4403" s="3" t="n">
        <v>5</v>
      </c>
      <c r="D4403" s="3" t="n">
        <v>17</v>
      </c>
      <c r="E4403" s="3" t="n">
        <v>5</v>
      </c>
      <c r="F4403" s="24" t="n">
        <v>0.51512605</v>
      </c>
    </row>
    <row r="4404" customFormat="false" ht="15" hidden="false" customHeight="false" outlineLevel="0" collapsed="false">
      <c r="A4404" s="3" t="n">
        <v>4403</v>
      </c>
      <c r="B4404" s="3" t="n">
        <v>4402</v>
      </c>
      <c r="C4404" s="3" t="n">
        <v>5</v>
      </c>
      <c r="D4404" s="3" t="n">
        <v>17</v>
      </c>
      <c r="E4404" s="3" t="n">
        <v>6</v>
      </c>
      <c r="F4404" s="24" t="n">
        <v>0.51512605</v>
      </c>
    </row>
    <row r="4405" customFormat="false" ht="15" hidden="false" customHeight="false" outlineLevel="0" collapsed="false">
      <c r="A4405" s="3" t="n">
        <v>4404</v>
      </c>
      <c r="B4405" s="3" t="n">
        <v>4403</v>
      </c>
      <c r="C4405" s="3" t="n">
        <v>5</v>
      </c>
      <c r="D4405" s="3" t="n">
        <v>17</v>
      </c>
      <c r="E4405" s="3" t="n">
        <v>7</v>
      </c>
      <c r="F4405" s="24" t="n">
        <v>0.51512605</v>
      </c>
    </row>
    <row r="4406" customFormat="false" ht="15" hidden="false" customHeight="false" outlineLevel="0" collapsed="false">
      <c r="A4406" s="3" t="n">
        <v>4405</v>
      </c>
      <c r="B4406" s="3" t="n">
        <v>4404</v>
      </c>
      <c r="C4406" s="3" t="n">
        <v>5</v>
      </c>
      <c r="D4406" s="3" t="n">
        <v>17</v>
      </c>
      <c r="E4406" s="3" t="n">
        <v>8</v>
      </c>
      <c r="F4406" s="24" t="n">
        <v>0.51512605</v>
      </c>
    </row>
    <row r="4407" customFormat="false" ht="15" hidden="false" customHeight="false" outlineLevel="0" collapsed="false">
      <c r="A4407" s="3" t="n">
        <v>4406</v>
      </c>
      <c r="B4407" s="3" t="n">
        <v>4405</v>
      </c>
      <c r="C4407" s="3" t="n">
        <v>5</v>
      </c>
      <c r="D4407" s="3" t="n">
        <v>17</v>
      </c>
      <c r="E4407" s="3" t="n">
        <v>9</v>
      </c>
      <c r="F4407" s="24" t="n">
        <v>0.51512605</v>
      </c>
    </row>
    <row r="4408" customFormat="false" ht="15" hidden="false" customHeight="false" outlineLevel="0" collapsed="false">
      <c r="A4408" s="3" t="n">
        <v>4407</v>
      </c>
      <c r="B4408" s="3" t="n">
        <v>4406</v>
      </c>
      <c r="C4408" s="3" t="n">
        <v>5</v>
      </c>
      <c r="D4408" s="3" t="n">
        <v>17</v>
      </c>
      <c r="E4408" s="3" t="n">
        <v>10</v>
      </c>
      <c r="F4408" s="24" t="n">
        <v>0.51512605</v>
      </c>
    </row>
    <row r="4409" customFormat="false" ht="15" hidden="false" customHeight="false" outlineLevel="0" collapsed="false">
      <c r="A4409" s="3" t="n">
        <v>4408</v>
      </c>
      <c r="B4409" s="3" t="n">
        <v>4407</v>
      </c>
      <c r="C4409" s="3" t="n">
        <v>5</v>
      </c>
      <c r="D4409" s="3" t="n">
        <v>17</v>
      </c>
      <c r="E4409" s="3" t="n">
        <v>11</v>
      </c>
      <c r="F4409" s="24" t="n">
        <v>0.51512605</v>
      </c>
    </row>
    <row r="4410" customFormat="false" ht="15" hidden="false" customHeight="false" outlineLevel="0" collapsed="false">
      <c r="A4410" s="3" t="n">
        <v>4409</v>
      </c>
      <c r="B4410" s="3" t="n">
        <v>4408</v>
      </c>
      <c r="C4410" s="3" t="n">
        <v>5</v>
      </c>
      <c r="D4410" s="3" t="n">
        <v>17</v>
      </c>
      <c r="E4410" s="3" t="n">
        <v>12</v>
      </c>
      <c r="F4410" s="24" t="n">
        <v>0.51512605</v>
      </c>
    </row>
    <row r="4411" customFormat="false" ht="15" hidden="false" customHeight="false" outlineLevel="0" collapsed="false">
      <c r="A4411" s="3" t="n">
        <v>4410</v>
      </c>
      <c r="B4411" s="3" t="n">
        <v>4409</v>
      </c>
      <c r="C4411" s="3" t="n">
        <v>5</v>
      </c>
      <c r="D4411" s="3" t="n">
        <v>17</v>
      </c>
      <c r="E4411" s="3" t="n">
        <v>13</v>
      </c>
      <c r="F4411" s="24" t="n">
        <v>0.890516281</v>
      </c>
    </row>
    <row r="4412" customFormat="false" ht="15" hidden="false" customHeight="false" outlineLevel="0" collapsed="false">
      <c r="A4412" s="3" t="n">
        <v>4411</v>
      </c>
      <c r="B4412" s="3" t="n">
        <v>4410</v>
      </c>
      <c r="C4412" s="3" t="n">
        <v>5</v>
      </c>
      <c r="D4412" s="3" t="n">
        <v>17</v>
      </c>
      <c r="E4412" s="3" t="n">
        <v>14</v>
      </c>
      <c r="F4412" s="24" t="n">
        <v>-0.218998268</v>
      </c>
    </row>
    <row r="4413" customFormat="false" ht="15" hidden="false" customHeight="false" outlineLevel="0" collapsed="false">
      <c r="A4413" s="3" t="n">
        <v>4412</v>
      </c>
      <c r="B4413" s="3" t="n">
        <v>4411</v>
      </c>
      <c r="C4413" s="3" t="n">
        <v>5</v>
      </c>
      <c r="D4413" s="3" t="n">
        <v>17</v>
      </c>
      <c r="E4413" s="3" t="n">
        <v>15</v>
      </c>
      <c r="F4413" s="24" t="n">
        <v>-3.26334882</v>
      </c>
    </row>
    <row r="4414" customFormat="false" ht="15" hidden="false" customHeight="false" outlineLevel="0" collapsed="false">
      <c r="A4414" s="3" t="n">
        <v>4413</v>
      </c>
      <c r="B4414" s="3" t="n">
        <v>4412</v>
      </c>
      <c r="C4414" s="3" t="n">
        <v>5</v>
      </c>
      <c r="D4414" s="3" t="n">
        <v>17</v>
      </c>
      <c r="E4414" s="3" t="n">
        <v>16</v>
      </c>
      <c r="F4414" s="24" t="n">
        <v>-3.3582809</v>
      </c>
    </row>
    <row r="4415" customFormat="false" ht="15" hidden="false" customHeight="false" outlineLevel="0" collapsed="false">
      <c r="A4415" s="3" t="n">
        <v>4414</v>
      </c>
      <c r="B4415" s="3" t="n">
        <v>4413</v>
      </c>
      <c r="C4415" s="3" t="n">
        <v>5</v>
      </c>
      <c r="D4415" s="3" t="n">
        <v>17</v>
      </c>
      <c r="E4415" s="3" t="n">
        <v>17</v>
      </c>
      <c r="F4415" s="24" t="n">
        <v>0.599289596</v>
      </c>
    </row>
    <row r="4416" customFormat="false" ht="15" hidden="false" customHeight="false" outlineLevel="0" collapsed="false">
      <c r="A4416" s="3" t="n">
        <v>4415</v>
      </c>
      <c r="B4416" s="3" t="n">
        <v>4414</v>
      </c>
      <c r="C4416" s="3" t="n">
        <v>5</v>
      </c>
      <c r="D4416" s="3" t="n">
        <v>17</v>
      </c>
      <c r="E4416" s="3" t="n">
        <v>18</v>
      </c>
      <c r="F4416" s="24" t="n">
        <v>1.58592594</v>
      </c>
    </row>
    <row r="4417" customFormat="false" ht="15" hidden="false" customHeight="false" outlineLevel="0" collapsed="false">
      <c r="A4417" s="3" t="n">
        <v>4416</v>
      </c>
      <c r="B4417" s="3" t="n">
        <v>4415</v>
      </c>
      <c r="C4417" s="3" t="n">
        <v>5</v>
      </c>
      <c r="D4417" s="3" t="n">
        <v>17</v>
      </c>
      <c r="E4417" s="3" t="n">
        <v>19</v>
      </c>
      <c r="F4417" s="24" t="n">
        <v>0.733264267</v>
      </c>
    </row>
    <row r="4418" customFormat="false" ht="15" hidden="false" customHeight="false" outlineLevel="0" collapsed="false">
      <c r="A4418" s="3" t="n">
        <v>4417</v>
      </c>
      <c r="B4418" s="3" t="n">
        <v>4416</v>
      </c>
      <c r="C4418" s="3" t="n">
        <v>5</v>
      </c>
      <c r="D4418" s="3" t="n">
        <v>17</v>
      </c>
      <c r="E4418" s="3" t="n">
        <v>20</v>
      </c>
      <c r="F4418" s="24" t="n">
        <v>0.51512605</v>
      </c>
    </row>
    <row r="4419" customFormat="false" ht="15" hidden="false" customHeight="false" outlineLevel="0" collapsed="false">
      <c r="A4419" s="3" t="n">
        <v>4418</v>
      </c>
      <c r="B4419" s="3" t="n">
        <v>4417</v>
      </c>
      <c r="C4419" s="3" t="n">
        <v>5</v>
      </c>
      <c r="D4419" s="3" t="n">
        <v>17</v>
      </c>
      <c r="E4419" s="3" t="n">
        <v>21</v>
      </c>
      <c r="F4419" s="24" t="n">
        <v>0.51512605</v>
      </c>
    </row>
    <row r="4420" customFormat="false" ht="15" hidden="false" customHeight="false" outlineLevel="0" collapsed="false">
      <c r="A4420" s="3" t="n">
        <v>4419</v>
      </c>
      <c r="B4420" s="3" t="n">
        <v>4418</v>
      </c>
      <c r="C4420" s="3" t="n">
        <v>5</v>
      </c>
      <c r="D4420" s="3" t="n">
        <v>17</v>
      </c>
      <c r="E4420" s="3" t="n">
        <v>22</v>
      </c>
      <c r="F4420" s="24" t="n">
        <v>0.51512605</v>
      </c>
    </row>
    <row r="4421" customFormat="false" ht="15" hidden="false" customHeight="false" outlineLevel="0" collapsed="false">
      <c r="A4421" s="3" t="n">
        <v>4420</v>
      </c>
      <c r="B4421" s="3" t="n">
        <v>4419</v>
      </c>
      <c r="C4421" s="3" t="n">
        <v>5</v>
      </c>
      <c r="D4421" s="3" t="n">
        <v>17</v>
      </c>
      <c r="E4421" s="3" t="n">
        <v>23</v>
      </c>
      <c r="F4421" s="24" t="n">
        <v>0.51512605</v>
      </c>
    </row>
    <row r="4422" customFormat="false" ht="15" hidden="false" customHeight="false" outlineLevel="0" collapsed="false">
      <c r="A4422" s="3" t="n">
        <v>4421</v>
      </c>
      <c r="B4422" s="3" t="n">
        <v>4420</v>
      </c>
      <c r="C4422" s="3" t="n">
        <v>5</v>
      </c>
      <c r="D4422" s="3" t="n">
        <v>17</v>
      </c>
      <c r="E4422" s="3" t="n">
        <v>24</v>
      </c>
      <c r="F4422" s="24" t="n">
        <v>0.51512605</v>
      </c>
    </row>
    <row r="4423" customFormat="false" ht="15" hidden="false" customHeight="false" outlineLevel="0" collapsed="false">
      <c r="A4423" s="3" t="n">
        <v>4422</v>
      </c>
      <c r="B4423" s="3" t="n">
        <v>4421</v>
      </c>
      <c r="C4423" s="3" t="n">
        <v>5</v>
      </c>
      <c r="D4423" s="3" t="n">
        <v>17</v>
      </c>
      <c r="E4423" s="3" t="n">
        <v>25</v>
      </c>
      <c r="F4423" s="24" t="n">
        <v>0.51512605</v>
      </c>
    </row>
    <row r="4424" customFormat="false" ht="15" hidden="false" customHeight="false" outlineLevel="0" collapsed="false">
      <c r="A4424" s="3" t="n">
        <v>4423</v>
      </c>
      <c r="B4424" s="3" t="n">
        <v>4422</v>
      </c>
      <c r="C4424" s="3" t="n">
        <v>5</v>
      </c>
      <c r="D4424" s="3" t="n">
        <v>17</v>
      </c>
      <c r="E4424" s="3" t="n">
        <v>26</v>
      </c>
      <c r="F4424" s="24" t="n">
        <v>0.51512605</v>
      </c>
    </row>
    <row r="4425" customFormat="false" ht="15" hidden="false" customHeight="false" outlineLevel="0" collapsed="false">
      <c r="A4425" s="3" t="n">
        <v>4424</v>
      </c>
      <c r="B4425" s="3" t="n">
        <v>4423</v>
      </c>
      <c r="C4425" s="3" t="n">
        <v>5</v>
      </c>
      <c r="D4425" s="3" t="n">
        <v>17</v>
      </c>
      <c r="E4425" s="3" t="n">
        <v>27</v>
      </c>
      <c r="F4425" s="24" t="n">
        <v>0.459515482</v>
      </c>
    </row>
    <row r="4426" customFormat="false" ht="15" hidden="false" customHeight="false" outlineLevel="0" collapsed="false">
      <c r="A4426" s="3" t="n">
        <v>4425</v>
      </c>
      <c r="B4426" s="3" t="n">
        <v>4424</v>
      </c>
      <c r="C4426" s="3" t="n">
        <v>5</v>
      </c>
      <c r="D4426" s="3" t="n">
        <v>18</v>
      </c>
      <c r="E4426" s="3" t="n">
        <v>0</v>
      </c>
      <c r="F4426" s="24" t="n">
        <v>0.354324996</v>
      </c>
    </row>
    <row r="4427" customFormat="false" ht="15" hidden="false" customHeight="false" outlineLevel="0" collapsed="false">
      <c r="A4427" s="3" t="n">
        <v>4426</v>
      </c>
      <c r="B4427" s="3" t="n">
        <v>4425</v>
      </c>
      <c r="C4427" s="3" t="n">
        <v>5</v>
      </c>
      <c r="D4427" s="3" t="n">
        <v>18</v>
      </c>
      <c r="E4427" s="3" t="n">
        <v>1</v>
      </c>
      <c r="F4427" s="24" t="n">
        <v>0.51512605</v>
      </c>
    </row>
    <row r="4428" customFormat="false" ht="15" hidden="false" customHeight="false" outlineLevel="0" collapsed="false">
      <c r="A4428" s="3" t="n">
        <v>4427</v>
      </c>
      <c r="B4428" s="3" t="n">
        <v>4426</v>
      </c>
      <c r="C4428" s="3" t="n">
        <v>5</v>
      </c>
      <c r="D4428" s="3" t="n">
        <v>18</v>
      </c>
      <c r="E4428" s="3" t="n">
        <v>2</v>
      </c>
      <c r="F4428" s="24" t="n">
        <v>0.51512605</v>
      </c>
    </row>
    <row r="4429" customFormat="false" ht="15" hidden="false" customHeight="false" outlineLevel="0" collapsed="false">
      <c r="A4429" s="3" t="n">
        <v>4428</v>
      </c>
      <c r="B4429" s="3" t="n">
        <v>4427</v>
      </c>
      <c r="C4429" s="3" t="n">
        <v>5</v>
      </c>
      <c r="D4429" s="3" t="n">
        <v>18</v>
      </c>
      <c r="E4429" s="3" t="n">
        <v>3</v>
      </c>
      <c r="F4429" s="24" t="n">
        <v>0.51512605</v>
      </c>
    </row>
    <row r="4430" customFormat="false" ht="15" hidden="false" customHeight="false" outlineLevel="0" collapsed="false">
      <c r="A4430" s="3" t="n">
        <v>4429</v>
      </c>
      <c r="B4430" s="3" t="n">
        <v>4428</v>
      </c>
      <c r="C4430" s="3" t="n">
        <v>5</v>
      </c>
      <c r="D4430" s="3" t="n">
        <v>18</v>
      </c>
      <c r="E4430" s="3" t="n">
        <v>4</v>
      </c>
      <c r="F4430" s="24" t="n">
        <v>0.51512605</v>
      </c>
    </row>
    <row r="4431" customFormat="false" ht="15" hidden="false" customHeight="false" outlineLevel="0" collapsed="false">
      <c r="A4431" s="3" t="n">
        <v>4430</v>
      </c>
      <c r="B4431" s="3" t="n">
        <v>4429</v>
      </c>
      <c r="C4431" s="3" t="n">
        <v>5</v>
      </c>
      <c r="D4431" s="3" t="n">
        <v>18</v>
      </c>
      <c r="E4431" s="3" t="n">
        <v>5</v>
      </c>
      <c r="F4431" s="24" t="n">
        <v>0.51512605</v>
      </c>
    </row>
    <row r="4432" customFormat="false" ht="15" hidden="false" customHeight="false" outlineLevel="0" collapsed="false">
      <c r="A4432" s="3" t="n">
        <v>4431</v>
      </c>
      <c r="B4432" s="3" t="n">
        <v>4430</v>
      </c>
      <c r="C4432" s="3" t="n">
        <v>5</v>
      </c>
      <c r="D4432" s="3" t="n">
        <v>18</v>
      </c>
      <c r="E4432" s="3" t="n">
        <v>6</v>
      </c>
      <c r="F4432" s="24" t="n">
        <v>0.51512605</v>
      </c>
    </row>
    <row r="4433" customFormat="false" ht="15" hidden="false" customHeight="false" outlineLevel="0" collapsed="false">
      <c r="A4433" s="3" t="n">
        <v>4432</v>
      </c>
      <c r="B4433" s="3" t="n">
        <v>4431</v>
      </c>
      <c r="C4433" s="3" t="n">
        <v>5</v>
      </c>
      <c r="D4433" s="3" t="n">
        <v>18</v>
      </c>
      <c r="E4433" s="3" t="n">
        <v>7</v>
      </c>
      <c r="F4433" s="24" t="n">
        <v>0.51512605</v>
      </c>
    </row>
    <row r="4434" customFormat="false" ht="15" hidden="false" customHeight="false" outlineLevel="0" collapsed="false">
      <c r="A4434" s="3" t="n">
        <v>4433</v>
      </c>
      <c r="B4434" s="3" t="n">
        <v>4432</v>
      </c>
      <c r="C4434" s="3" t="n">
        <v>5</v>
      </c>
      <c r="D4434" s="3" t="n">
        <v>18</v>
      </c>
      <c r="E4434" s="3" t="n">
        <v>8</v>
      </c>
      <c r="F4434" s="24" t="n">
        <v>0.51512605</v>
      </c>
    </row>
    <row r="4435" customFormat="false" ht="15" hidden="false" customHeight="false" outlineLevel="0" collapsed="false">
      <c r="A4435" s="3" t="n">
        <v>4434</v>
      </c>
      <c r="B4435" s="3" t="n">
        <v>4433</v>
      </c>
      <c r="C4435" s="3" t="n">
        <v>5</v>
      </c>
      <c r="D4435" s="3" t="n">
        <v>18</v>
      </c>
      <c r="E4435" s="3" t="n">
        <v>9</v>
      </c>
      <c r="F4435" s="24" t="n">
        <v>0.51512605</v>
      </c>
    </row>
    <row r="4436" customFormat="false" ht="15" hidden="false" customHeight="false" outlineLevel="0" collapsed="false">
      <c r="A4436" s="3" t="n">
        <v>4435</v>
      </c>
      <c r="B4436" s="3" t="n">
        <v>4434</v>
      </c>
      <c r="C4436" s="3" t="n">
        <v>5</v>
      </c>
      <c r="D4436" s="3" t="n">
        <v>18</v>
      </c>
      <c r="E4436" s="3" t="n">
        <v>10</v>
      </c>
      <c r="F4436" s="24" t="n">
        <v>0.51512605</v>
      </c>
    </row>
    <row r="4437" customFormat="false" ht="15" hidden="false" customHeight="false" outlineLevel="0" collapsed="false">
      <c r="A4437" s="3" t="n">
        <v>4436</v>
      </c>
      <c r="B4437" s="3" t="n">
        <v>4435</v>
      </c>
      <c r="C4437" s="3" t="n">
        <v>5</v>
      </c>
      <c r="D4437" s="3" t="n">
        <v>18</v>
      </c>
      <c r="E4437" s="3" t="n">
        <v>11</v>
      </c>
      <c r="F4437" s="24" t="n">
        <v>0.51512605</v>
      </c>
    </row>
    <row r="4438" customFormat="false" ht="15" hidden="false" customHeight="false" outlineLevel="0" collapsed="false">
      <c r="A4438" s="3" t="n">
        <v>4437</v>
      </c>
      <c r="B4438" s="3" t="n">
        <v>4436</v>
      </c>
      <c r="C4438" s="3" t="n">
        <v>5</v>
      </c>
      <c r="D4438" s="3" t="n">
        <v>18</v>
      </c>
      <c r="E4438" s="3" t="n">
        <v>12</v>
      </c>
      <c r="F4438" s="24" t="n">
        <v>0.610224903</v>
      </c>
    </row>
    <row r="4439" customFormat="false" ht="15" hidden="false" customHeight="false" outlineLevel="0" collapsed="false">
      <c r="A4439" s="3" t="n">
        <v>4438</v>
      </c>
      <c r="B4439" s="3" t="n">
        <v>4437</v>
      </c>
      <c r="C4439" s="3" t="n">
        <v>5</v>
      </c>
      <c r="D4439" s="3" t="n">
        <v>18</v>
      </c>
      <c r="E4439" s="3" t="n">
        <v>13</v>
      </c>
      <c r="F4439" s="24" t="n">
        <v>0.630153894</v>
      </c>
    </row>
    <row r="4440" customFormat="false" ht="15" hidden="false" customHeight="false" outlineLevel="0" collapsed="false">
      <c r="A4440" s="3" t="n">
        <v>4439</v>
      </c>
      <c r="B4440" s="3" t="n">
        <v>4438</v>
      </c>
      <c r="C4440" s="3" t="n">
        <v>5</v>
      </c>
      <c r="D4440" s="3" t="n">
        <v>18</v>
      </c>
      <c r="E4440" s="3" t="n">
        <v>14</v>
      </c>
      <c r="F4440" s="24" t="n">
        <v>-2.66000724</v>
      </c>
    </row>
    <row r="4441" customFormat="false" ht="15" hidden="false" customHeight="false" outlineLevel="0" collapsed="false">
      <c r="A4441" s="3" t="n">
        <v>4440</v>
      </c>
      <c r="B4441" s="3" t="n">
        <v>4439</v>
      </c>
      <c r="C4441" s="3" t="n">
        <v>5</v>
      </c>
      <c r="D4441" s="3" t="n">
        <v>18</v>
      </c>
      <c r="E4441" s="3" t="n">
        <v>15</v>
      </c>
      <c r="F4441" s="24" t="n">
        <v>-3.97381806</v>
      </c>
    </row>
    <row r="4442" customFormat="false" ht="15" hidden="false" customHeight="false" outlineLevel="0" collapsed="false">
      <c r="A4442" s="3" t="n">
        <v>4441</v>
      </c>
      <c r="B4442" s="3" t="n">
        <v>4440</v>
      </c>
      <c r="C4442" s="3" t="n">
        <v>5</v>
      </c>
      <c r="D4442" s="3" t="n">
        <v>18</v>
      </c>
      <c r="E4442" s="3" t="n">
        <v>16</v>
      </c>
      <c r="F4442" s="24" t="n">
        <v>-0.926963568</v>
      </c>
    </row>
    <row r="4443" customFormat="false" ht="15" hidden="false" customHeight="false" outlineLevel="0" collapsed="false">
      <c r="A4443" s="3" t="n">
        <v>4442</v>
      </c>
      <c r="B4443" s="3" t="n">
        <v>4441</v>
      </c>
      <c r="C4443" s="3" t="n">
        <v>5</v>
      </c>
      <c r="D4443" s="3" t="n">
        <v>18</v>
      </c>
      <c r="E4443" s="3" t="n">
        <v>17</v>
      </c>
      <c r="F4443" s="24" t="n">
        <v>1.46997952</v>
      </c>
    </row>
    <row r="4444" customFormat="false" ht="15" hidden="false" customHeight="false" outlineLevel="0" collapsed="false">
      <c r="A4444" s="3" t="n">
        <v>4443</v>
      </c>
      <c r="B4444" s="3" t="n">
        <v>4442</v>
      </c>
      <c r="C4444" s="3" t="n">
        <v>5</v>
      </c>
      <c r="D4444" s="3" t="n">
        <v>18</v>
      </c>
      <c r="E4444" s="3" t="n">
        <v>18</v>
      </c>
      <c r="F4444" s="24" t="n">
        <v>1.27507782</v>
      </c>
    </row>
    <row r="4445" customFormat="false" ht="15" hidden="false" customHeight="false" outlineLevel="0" collapsed="false">
      <c r="A4445" s="3" t="n">
        <v>4444</v>
      </c>
      <c r="B4445" s="3" t="n">
        <v>4443</v>
      </c>
      <c r="C4445" s="3" t="n">
        <v>5</v>
      </c>
      <c r="D4445" s="3" t="n">
        <v>18</v>
      </c>
      <c r="E4445" s="3" t="n">
        <v>19</v>
      </c>
      <c r="F4445" s="24" t="n">
        <v>0.51512605</v>
      </c>
    </row>
    <row r="4446" customFormat="false" ht="15" hidden="false" customHeight="false" outlineLevel="0" collapsed="false">
      <c r="A4446" s="3" t="n">
        <v>4445</v>
      </c>
      <c r="B4446" s="3" t="n">
        <v>4444</v>
      </c>
      <c r="C4446" s="3" t="n">
        <v>5</v>
      </c>
      <c r="D4446" s="3" t="n">
        <v>18</v>
      </c>
      <c r="E4446" s="3" t="n">
        <v>20</v>
      </c>
      <c r="F4446" s="24" t="n">
        <v>0.51512605</v>
      </c>
    </row>
    <row r="4447" customFormat="false" ht="15" hidden="false" customHeight="false" outlineLevel="0" collapsed="false">
      <c r="A4447" s="3" t="n">
        <v>4446</v>
      </c>
      <c r="B4447" s="3" t="n">
        <v>4445</v>
      </c>
      <c r="C4447" s="3" t="n">
        <v>5</v>
      </c>
      <c r="D4447" s="3" t="n">
        <v>18</v>
      </c>
      <c r="E4447" s="3" t="n">
        <v>21</v>
      </c>
      <c r="F4447" s="24" t="n">
        <v>0.51512605</v>
      </c>
    </row>
    <row r="4448" customFormat="false" ht="15" hidden="false" customHeight="false" outlineLevel="0" collapsed="false">
      <c r="A4448" s="3" t="n">
        <v>4447</v>
      </c>
      <c r="B4448" s="3" t="n">
        <v>4446</v>
      </c>
      <c r="C4448" s="3" t="n">
        <v>5</v>
      </c>
      <c r="D4448" s="3" t="n">
        <v>18</v>
      </c>
      <c r="E4448" s="3" t="n">
        <v>22</v>
      </c>
      <c r="F4448" s="24" t="n">
        <v>0.51512605</v>
      </c>
    </row>
    <row r="4449" customFormat="false" ht="15" hidden="false" customHeight="false" outlineLevel="0" collapsed="false">
      <c r="A4449" s="3" t="n">
        <v>4448</v>
      </c>
      <c r="B4449" s="3" t="n">
        <v>4447</v>
      </c>
      <c r="C4449" s="3" t="n">
        <v>5</v>
      </c>
      <c r="D4449" s="3" t="n">
        <v>18</v>
      </c>
      <c r="E4449" s="3" t="n">
        <v>23</v>
      </c>
      <c r="F4449" s="24" t="n">
        <v>0.51512605</v>
      </c>
    </row>
    <row r="4450" customFormat="false" ht="15" hidden="false" customHeight="false" outlineLevel="0" collapsed="false">
      <c r="A4450" s="3" t="n">
        <v>4449</v>
      </c>
      <c r="B4450" s="3" t="n">
        <v>4448</v>
      </c>
      <c r="C4450" s="3" t="n">
        <v>5</v>
      </c>
      <c r="D4450" s="3" t="n">
        <v>18</v>
      </c>
      <c r="E4450" s="3" t="n">
        <v>24</v>
      </c>
      <c r="F4450" s="24" t="n">
        <v>0.51512605</v>
      </c>
    </row>
    <row r="4451" customFormat="false" ht="15" hidden="false" customHeight="false" outlineLevel="0" collapsed="false">
      <c r="A4451" s="3" t="n">
        <v>4450</v>
      </c>
      <c r="B4451" s="3" t="n">
        <v>4449</v>
      </c>
      <c r="C4451" s="3" t="n">
        <v>5</v>
      </c>
      <c r="D4451" s="3" t="n">
        <v>18</v>
      </c>
      <c r="E4451" s="3" t="n">
        <v>25</v>
      </c>
      <c r="F4451" s="24" t="n">
        <v>0.51512605</v>
      </c>
    </row>
    <row r="4452" customFormat="false" ht="15" hidden="false" customHeight="false" outlineLevel="0" collapsed="false">
      <c r="A4452" s="3" t="n">
        <v>4451</v>
      </c>
      <c r="B4452" s="3" t="n">
        <v>4450</v>
      </c>
      <c r="C4452" s="3" t="n">
        <v>5</v>
      </c>
      <c r="D4452" s="3" t="n">
        <v>18</v>
      </c>
      <c r="E4452" s="3" t="n">
        <v>26</v>
      </c>
      <c r="F4452" s="24" t="n">
        <v>0.51512605</v>
      </c>
    </row>
    <row r="4453" customFormat="false" ht="15" hidden="false" customHeight="false" outlineLevel="0" collapsed="false">
      <c r="A4453" s="3" t="n">
        <v>4452</v>
      </c>
      <c r="B4453" s="3" t="n">
        <v>4451</v>
      </c>
      <c r="C4453" s="3" t="n">
        <v>5</v>
      </c>
      <c r="D4453" s="3" t="n">
        <v>18</v>
      </c>
      <c r="E4453" s="3" t="n">
        <v>27</v>
      </c>
      <c r="F4453" s="24" t="n">
        <v>0.459515482</v>
      </c>
    </row>
    <row r="4454" customFormat="false" ht="15" hidden="false" customHeight="false" outlineLevel="0" collapsed="false">
      <c r="A4454" s="3" t="n">
        <v>4453</v>
      </c>
      <c r="B4454" s="3" t="n">
        <v>4452</v>
      </c>
      <c r="C4454" s="3" t="n">
        <v>5</v>
      </c>
      <c r="D4454" s="3" t="n">
        <v>19</v>
      </c>
      <c r="E4454" s="3" t="n">
        <v>0</v>
      </c>
      <c r="F4454" s="24" t="n">
        <v>0.354324996</v>
      </c>
    </row>
    <row r="4455" customFormat="false" ht="15" hidden="false" customHeight="false" outlineLevel="0" collapsed="false">
      <c r="A4455" s="3" t="n">
        <v>4454</v>
      </c>
      <c r="B4455" s="3" t="n">
        <v>4453</v>
      </c>
      <c r="C4455" s="3" t="n">
        <v>5</v>
      </c>
      <c r="D4455" s="3" t="n">
        <v>19</v>
      </c>
      <c r="E4455" s="3" t="n">
        <v>1</v>
      </c>
      <c r="F4455" s="24" t="n">
        <v>0.51512605</v>
      </c>
    </row>
    <row r="4456" customFormat="false" ht="15" hidden="false" customHeight="false" outlineLevel="0" collapsed="false">
      <c r="A4456" s="3" t="n">
        <v>4455</v>
      </c>
      <c r="B4456" s="3" t="n">
        <v>4454</v>
      </c>
      <c r="C4456" s="3" t="n">
        <v>5</v>
      </c>
      <c r="D4456" s="3" t="n">
        <v>19</v>
      </c>
      <c r="E4456" s="3" t="n">
        <v>2</v>
      </c>
      <c r="F4456" s="24" t="n">
        <v>0.51512605</v>
      </c>
    </row>
    <row r="4457" customFormat="false" ht="15" hidden="false" customHeight="false" outlineLevel="0" collapsed="false">
      <c r="A4457" s="3" t="n">
        <v>4456</v>
      </c>
      <c r="B4457" s="3" t="n">
        <v>4455</v>
      </c>
      <c r="C4457" s="3" t="n">
        <v>5</v>
      </c>
      <c r="D4457" s="3" t="n">
        <v>19</v>
      </c>
      <c r="E4457" s="3" t="n">
        <v>3</v>
      </c>
      <c r="F4457" s="24" t="n">
        <v>0.51512605</v>
      </c>
    </row>
    <row r="4458" customFormat="false" ht="15" hidden="false" customHeight="false" outlineLevel="0" collapsed="false">
      <c r="A4458" s="3" t="n">
        <v>4457</v>
      </c>
      <c r="B4458" s="3" t="n">
        <v>4456</v>
      </c>
      <c r="C4458" s="3" t="n">
        <v>5</v>
      </c>
      <c r="D4458" s="3" t="n">
        <v>19</v>
      </c>
      <c r="E4458" s="3" t="n">
        <v>4</v>
      </c>
      <c r="F4458" s="24" t="n">
        <v>0.51512605</v>
      </c>
    </row>
    <row r="4459" customFormat="false" ht="15" hidden="false" customHeight="false" outlineLevel="0" collapsed="false">
      <c r="A4459" s="3" t="n">
        <v>4458</v>
      </c>
      <c r="B4459" s="3" t="n">
        <v>4457</v>
      </c>
      <c r="C4459" s="3" t="n">
        <v>5</v>
      </c>
      <c r="D4459" s="3" t="n">
        <v>19</v>
      </c>
      <c r="E4459" s="3" t="n">
        <v>5</v>
      </c>
      <c r="F4459" s="24" t="n">
        <v>0.51512605</v>
      </c>
    </row>
    <row r="4460" customFormat="false" ht="15" hidden="false" customHeight="false" outlineLevel="0" collapsed="false">
      <c r="A4460" s="3" t="n">
        <v>4459</v>
      </c>
      <c r="B4460" s="3" t="n">
        <v>4458</v>
      </c>
      <c r="C4460" s="3" t="n">
        <v>5</v>
      </c>
      <c r="D4460" s="3" t="n">
        <v>19</v>
      </c>
      <c r="E4460" s="3" t="n">
        <v>6</v>
      </c>
      <c r="F4460" s="24" t="n">
        <v>0.51512605</v>
      </c>
    </row>
    <row r="4461" customFormat="false" ht="15" hidden="false" customHeight="false" outlineLevel="0" collapsed="false">
      <c r="A4461" s="3" t="n">
        <v>4460</v>
      </c>
      <c r="B4461" s="3" t="n">
        <v>4459</v>
      </c>
      <c r="C4461" s="3" t="n">
        <v>5</v>
      </c>
      <c r="D4461" s="3" t="n">
        <v>19</v>
      </c>
      <c r="E4461" s="3" t="n">
        <v>7</v>
      </c>
      <c r="F4461" s="24" t="n">
        <v>0.51512605</v>
      </c>
    </row>
    <row r="4462" customFormat="false" ht="15" hidden="false" customHeight="false" outlineLevel="0" collapsed="false">
      <c r="A4462" s="3" t="n">
        <v>4461</v>
      </c>
      <c r="B4462" s="3" t="n">
        <v>4460</v>
      </c>
      <c r="C4462" s="3" t="n">
        <v>5</v>
      </c>
      <c r="D4462" s="3" t="n">
        <v>19</v>
      </c>
      <c r="E4462" s="3" t="n">
        <v>8</v>
      </c>
      <c r="F4462" s="24" t="n">
        <v>0.51512605</v>
      </c>
    </row>
    <row r="4463" customFormat="false" ht="15" hidden="false" customHeight="false" outlineLevel="0" collapsed="false">
      <c r="A4463" s="3" t="n">
        <v>4462</v>
      </c>
      <c r="B4463" s="3" t="n">
        <v>4461</v>
      </c>
      <c r="C4463" s="3" t="n">
        <v>5</v>
      </c>
      <c r="D4463" s="3" t="n">
        <v>19</v>
      </c>
      <c r="E4463" s="3" t="n">
        <v>9</v>
      </c>
      <c r="F4463" s="24" t="n">
        <v>0.51512605</v>
      </c>
    </row>
    <row r="4464" customFormat="false" ht="15" hidden="false" customHeight="false" outlineLevel="0" collapsed="false">
      <c r="A4464" s="3" t="n">
        <v>4463</v>
      </c>
      <c r="B4464" s="3" t="n">
        <v>4462</v>
      </c>
      <c r="C4464" s="3" t="n">
        <v>5</v>
      </c>
      <c r="D4464" s="3" t="n">
        <v>19</v>
      </c>
      <c r="E4464" s="3" t="n">
        <v>10</v>
      </c>
      <c r="F4464" s="24" t="n">
        <v>0.51512605</v>
      </c>
    </row>
    <row r="4465" customFormat="false" ht="15" hidden="false" customHeight="false" outlineLevel="0" collapsed="false">
      <c r="A4465" s="3" t="n">
        <v>4464</v>
      </c>
      <c r="B4465" s="3" t="n">
        <v>4463</v>
      </c>
      <c r="C4465" s="3" t="n">
        <v>5</v>
      </c>
      <c r="D4465" s="3" t="n">
        <v>19</v>
      </c>
      <c r="E4465" s="3" t="n">
        <v>11</v>
      </c>
      <c r="F4465" s="24" t="n">
        <v>0.530141652</v>
      </c>
    </row>
    <row r="4466" customFormat="false" ht="15" hidden="false" customHeight="false" outlineLevel="0" collapsed="false">
      <c r="A4466" s="3" t="n">
        <v>4465</v>
      </c>
      <c r="B4466" s="3" t="n">
        <v>4464</v>
      </c>
      <c r="C4466" s="3" t="n">
        <v>5</v>
      </c>
      <c r="D4466" s="3" t="n">
        <v>19</v>
      </c>
      <c r="E4466" s="3" t="n">
        <v>12</v>
      </c>
      <c r="F4466" s="24" t="n">
        <v>1.2954576</v>
      </c>
    </row>
    <row r="4467" customFormat="false" ht="15" hidden="false" customHeight="false" outlineLevel="0" collapsed="false">
      <c r="A4467" s="3" t="n">
        <v>4466</v>
      </c>
      <c r="B4467" s="3" t="n">
        <v>4465</v>
      </c>
      <c r="C4467" s="3" t="n">
        <v>5</v>
      </c>
      <c r="D4467" s="3" t="n">
        <v>19</v>
      </c>
      <c r="E4467" s="3" t="n">
        <v>13</v>
      </c>
      <c r="F4467" s="24" t="n">
        <v>-2.12035275</v>
      </c>
    </row>
    <row r="4468" customFormat="false" ht="15" hidden="false" customHeight="false" outlineLevel="0" collapsed="false">
      <c r="A4468" s="3" t="n">
        <v>4467</v>
      </c>
      <c r="B4468" s="3" t="n">
        <v>4466</v>
      </c>
      <c r="C4468" s="3" t="n">
        <v>5</v>
      </c>
      <c r="D4468" s="3" t="n">
        <v>19</v>
      </c>
      <c r="E4468" s="3" t="n">
        <v>14</v>
      </c>
      <c r="F4468" s="24" t="n">
        <v>-4.11401701</v>
      </c>
    </row>
    <row r="4469" customFormat="false" ht="15" hidden="false" customHeight="false" outlineLevel="0" collapsed="false">
      <c r="A4469" s="3" t="n">
        <v>4468</v>
      </c>
      <c r="B4469" s="3" t="n">
        <v>4467</v>
      </c>
      <c r="C4469" s="3" t="n">
        <v>5</v>
      </c>
      <c r="D4469" s="3" t="n">
        <v>19</v>
      </c>
      <c r="E4469" s="3" t="n">
        <v>15</v>
      </c>
      <c r="F4469" s="24" t="n">
        <v>-2.43791461</v>
      </c>
    </row>
    <row r="4470" customFormat="false" ht="15" hidden="false" customHeight="false" outlineLevel="0" collapsed="false">
      <c r="A4470" s="3" t="n">
        <v>4469</v>
      </c>
      <c r="B4470" s="3" t="n">
        <v>4468</v>
      </c>
      <c r="C4470" s="3" t="n">
        <v>5</v>
      </c>
      <c r="D4470" s="3" t="n">
        <v>19</v>
      </c>
      <c r="E4470" s="3" t="n">
        <v>16</v>
      </c>
      <c r="F4470" s="24" t="n">
        <v>1.13311541</v>
      </c>
    </row>
    <row r="4471" customFormat="false" ht="15" hidden="false" customHeight="false" outlineLevel="0" collapsed="false">
      <c r="A4471" s="3" t="n">
        <v>4470</v>
      </c>
      <c r="B4471" s="3" t="n">
        <v>4469</v>
      </c>
      <c r="C4471" s="3" t="n">
        <v>5</v>
      </c>
      <c r="D4471" s="3" t="n">
        <v>19</v>
      </c>
      <c r="E4471" s="3" t="n">
        <v>17</v>
      </c>
      <c r="F4471" s="24" t="n">
        <v>1.74470067</v>
      </c>
    </row>
    <row r="4472" customFormat="false" ht="15" hidden="false" customHeight="false" outlineLevel="0" collapsed="false">
      <c r="A4472" s="3" t="n">
        <v>4471</v>
      </c>
      <c r="B4472" s="3" t="n">
        <v>4470</v>
      </c>
      <c r="C4472" s="3" t="n">
        <v>5</v>
      </c>
      <c r="D4472" s="3" t="n">
        <v>19</v>
      </c>
      <c r="E4472" s="3" t="n">
        <v>18</v>
      </c>
      <c r="F4472" s="24" t="n">
        <v>0.729503214</v>
      </c>
    </row>
    <row r="4473" customFormat="false" ht="15" hidden="false" customHeight="false" outlineLevel="0" collapsed="false">
      <c r="A4473" s="3" t="n">
        <v>4472</v>
      </c>
      <c r="B4473" s="3" t="n">
        <v>4471</v>
      </c>
      <c r="C4473" s="3" t="n">
        <v>5</v>
      </c>
      <c r="D4473" s="3" t="n">
        <v>19</v>
      </c>
      <c r="E4473" s="3" t="n">
        <v>19</v>
      </c>
      <c r="F4473" s="24" t="n">
        <v>0.51512605</v>
      </c>
    </row>
    <row r="4474" customFormat="false" ht="15" hidden="false" customHeight="false" outlineLevel="0" collapsed="false">
      <c r="A4474" s="3" t="n">
        <v>4473</v>
      </c>
      <c r="B4474" s="3" t="n">
        <v>4472</v>
      </c>
      <c r="C4474" s="3" t="n">
        <v>5</v>
      </c>
      <c r="D4474" s="3" t="n">
        <v>19</v>
      </c>
      <c r="E4474" s="3" t="n">
        <v>20</v>
      </c>
      <c r="F4474" s="24" t="n">
        <v>0.51512605</v>
      </c>
    </row>
    <row r="4475" customFormat="false" ht="15" hidden="false" customHeight="false" outlineLevel="0" collapsed="false">
      <c r="A4475" s="3" t="n">
        <v>4474</v>
      </c>
      <c r="B4475" s="3" t="n">
        <v>4473</v>
      </c>
      <c r="C4475" s="3" t="n">
        <v>5</v>
      </c>
      <c r="D4475" s="3" t="n">
        <v>19</v>
      </c>
      <c r="E4475" s="3" t="n">
        <v>21</v>
      </c>
      <c r="F4475" s="24" t="n">
        <v>0.51512605</v>
      </c>
    </row>
    <row r="4476" customFormat="false" ht="15" hidden="false" customHeight="false" outlineLevel="0" collapsed="false">
      <c r="A4476" s="3" t="n">
        <v>4475</v>
      </c>
      <c r="B4476" s="3" t="n">
        <v>4474</v>
      </c>
      <c r="C4476" s="3" t="n">
        <v>5</v>
      </c>
      <c r="D4476" s="3" t="n">
        <v>19</v>
      </c>
      <c r="E4476" s="3" t="n">
        <v>22</v>
      </c>
      <c r="F4476" s="24" t="n">
        <v>0.51512605</v>
      </c>
    </row>
    <row r="4477" customFormat="false" ht="15" hidden="false" customHeight="false" outlineLevel="0" collapsed="false">
      <c r="A4477" s="3" t="n">
        <v>4476</v>
      </c>
      <c r="B4477" s="3" t="n">
        <v>4475</v>
      </c>
      <c r="C4477" s="3" t="n">
        <v>5</v>
      </c>
      <c r="D4477" s="3" t="n">
        <v>19</v>
      </c>
      <c r="E4477" s="3" t="n">
        <v>23</v>
      </c>
      <c r="F4477" s="24" t="n">
        <v>0.51512605</v>
      </c>
    </row>
    <row r="4478" customFormat="false" ht="15" hidden="false" customHeight="false" outlineLevel="0" collapsed="false">
      <c r="A4478" s="3" t="n">
        <v>4477</v>
      </c>
      <c r="B4478" s="3" t="n">
        <v>4476</v>
      </c>
      <c r="C4478" s="3" t="n">
        <v>5</v>
      </c>
      <c r="D4478" s="3" t="n">
        <v>19</v>
      </c>
      <c r="E4478" s="3" t="n">
        <v>24</v>
      </c>
      <c r="F4478" s="24" t="n">
        <v>0.51512605</v>
      </c>
    </row>
    <row r="4479" customFormat="false" ht="15" hidden="false" customHeight="false" outlineLevel="0" collapsed="false">
      <c r="A4479" s="3" t="n">
        <v>4478</v>
      </c>
      <c r="B4479" s="3" t="n">
        <v>4477</v>
      </c>
      <c r="C4479" s="3" t="n">
        <v>5</v>
      </c>
      <c r="D4479" s="3" t="n">
        <v>19</v>
      </c>
      <c r="E4479" s="3" t="n">
        <v>25</v>
      </c>
      <c r="F4479" s="24" t="n">
        <v>0.51512605</v>
      </c>
    </row>
    <row r="4480" customFormat="false" ht="15" hidden="false" customHeight="false" outlineLevel="0" collapsed="false">
      <c r="A4480" s="3" t="n">
        <v>4479</v>
      </c>
      <c r="B4480" s="3" t="n">
        <v>4478</v>
      </c>
      <c r="C4480" s="3" t="n">
        <v>5</v>
      </c>
      <c r="D4480" s="3" t="n">
        <v>19</v>
      </c>
      <c r="E4480" s="3" t="n">
        <v>26</v>
      </c>
      <c r="F4480" s="24" t="n">
        <v>0.51512605</v>
      </c>
    </row>
    <row r="4481" customFormat="false" ht="15" hidden="false" customHeight="false" outlineLevel="0" collapsed="false">
      <c r="A4481" s="3" t="n">
        <v>4480</v>
      </c>
      <c r="B4481" s="3" t="n">
        <v>4479</v>
      </c>
      <c r="C4481" s="3" t="n">
        <v>5</v>
      </c>
      <c r="D4481" s="3" t="n">
        <v>19</v>
      </c>
      <c r="E4481" s="3" t="n">
        <v>27</v>
      </c>
      <c r="F4481" s="24" t="n">
        <v>0.459515482</v>
      </c>
    </row>
    <row r="4482" customFormat="false" ht="15" hidden="false" customHeight="false" outlineLevel="0" collapsed="false">
      <c r="A4482" s="3" t="n">
        <v>4481</v>
      </c>
      <c r="B4482" s="3" t="n">
        <v>4480</v>
      </c>
      <c r="C4482" s="3" t="n">
        <v>5</v>
      </c>
      <c r="D4482" s="3" t="n">
        <v>20</v>
      </c>
      <c r="E4482" s="3" t="n">
        <v>0</v>
      </c>
      <c r="F4482" s="24" t="n">
        <v>0.354324996</v>
      </c>
    </row>
    <row r="4483" customFormat="false" ht="15" hidden="false" customHeight="false" outlineLevel="0" collapsed="false">
      <c r="A4483" s="3" t="n">
        <v>4482</v>
      </c>
      <c r="B4483" s="3" t="n">
        <v>4481</v>
      </c>
      <c r="C4483" s="3" t="n">
        <v>5</v>
      </c>
      <c r="D4483" s="3" t="n">
        <v>20</v>
      </c>
      <c r="E4483" s="3" t="n">
        <v>1</v>
      </c>
      <c r="F4483" s="24" t="n">
        <v>0.51512605</v>
      </c>
    </row>
    <row r="4484" customFormat="false" ht="15" hidden="false" customHeight="false" outlineLevel="0" collapsed="false">
      <c r="A4484" s="3" t="n">
        <v>4483</v>
      </c>
      <c r="B4484" s="3" t="n">
        <v>4482</v>
      </c>
      <c r="C4484" s="3" t="n">
        <v>5</v>
      </c>
      <c r="D4484" s="3" t="n">
        <v>20</v>
      </c>
      <c r="E4484" s="3" t="n">
        <v>2</v>
      </c>
      <c r="F4484" s="24" t="n">
        <v>0.51512605</v>
      </c>
    </row>
    <row r="4485" customFormat="false" ht="15" hidden="false" customHeight="false" outlineLevel="0" collapsed="false">
      <c r="A4485" s="3" t="n">
        <v>4484</v>
      </c>
      <c r="B4485" s="3" t="n">
        <v>4483</v>
      </c>
      <c r="C4485" s="3" t="n">
        <v>5</v>
      </c>
      <c r="D4485" s="3" t="n">
        <v>20</v>
      </c>
      <c r="E4485" s="3" t="n">
        <v>3</v>
      </c>
      <c r="F4485" s="24" t="n">
        <v>0.51512605</v>
      </c>
    </row>
    <row r="4486" customFormat="false" ht="15" hidden="false" customHeight="false" outlineLevel="0" collapsed="false">
      <c r="A4486" s="3" t="n">
        <v>4485</v>
      </c>
      <c r="B4486" s="3" t="n">
        <v>4484</v>
      </c>
      <c r="C4486" s="3" t="n">
        <v>5</v>
      </c>
      <c r="D4486" s="3" t="n">
        <v>20</v>
      </c>
      <c r="E4486" s="3" t="n">
        <v>4</v>
      </c>
      <c r="F4486" s="24" t="n">
        <v>0.51512605</v>
      </c>
    </row>
    <row r="4487" customFormat="false" ht="15" hidden="false" customHeight="false" outlineLevel="0" collapsed="false">
      <c r="A4487" s="3" t="n">
        <v>4486</v>
      </c>
      <c r="B4487" s="3" t="n">
        <v>4485</v>
      </c>
      <c r="C4487" s="3" t="n">
        <v>5</v>
      </c>
      <c r="D4487" s="3" t="n">
        <v>20</v>
      </c>
      <c r="E4487" s="3" t="n">
        <v>5</v>
      </c>
      <c r="F4487" s="24" t="n">
        <v>0.51512605</v>
      </c>
    </row>
    <row r="4488" customFormat="false" ht="15" hidden="false" customHeight="false" outlineLevel="0" collapsed="false">
      <c r="A4488" s="3" t="n">
        <v>4487</v>
      </c>
      <c r="B4488" s="3" t="n">
        <v>4486</v>
      </c>
      <c r="C4488" s="3" t="n">
        <v>5</v>
      </c>
      <c r="D4488" s="3" t="n">
        <v>20</v>
      </c>
      <c r="E4488" s="3" t="n">
        <v>6</v>
      </c>
      <c r="F4488" s="24" t="n">
        <v>0.51512605</v>
      </c>
    </row>
    <row r="4489" customFormat="false" ht="15" hidden="false" customHeight="false" outlineLevel="0" collapsed="false">
      <c r="A4489" s="3" t="n">
        <v>4488</v>
      </c>
      <c r="B4489" s="3" t="n">
        <v>4487</v>
      </c>
      <c r="C4489" s="3" t="n">
        <v>5</v>
      </c>
      <c r="D4489" s="3" t="n">
        <v>20</v>
      </c>
      <c r="E4489" s="3" t="n">
        <v>7</v>
      </c>
      <c r="F4489" s="24" t="n">
        <v>0.51512605</v>
      </c>
    </row>
    <row r="4490" customFormat="false" ht="15" hidden="false" customHeight="false" outlineLevel="0" collapsed="false">
      <c r="A4490" s="3" t="n">
        <v>4489</v>
      </c>
      <c r="B4490" s="3" t="n">
        <v>4488</v>
      </c>
      <c r="C4490" s="3" t="n">
        <v>5</v>
      </c>
      <c r="D4490" s="3" t="n">
        <v>20</v>
      </c>
      <c r="E4490" s="3" t="n">
        <v>8</v>
      </c>
      <c r="F4490" s="24" t="n">
        <v>0.51512605</v>
      </c>
    </row>
    <row r="4491" customFormat="false" ht="15" hidden="false" customHeight="false" outlineLevel="0" collapsed="false">
      <c r="A4491" s="3" t="n">
        <v>4490</v>
      </c>
      <c r="B4491" s="3" t="n">
        <v>4489</v>
      </c>
      <c r="C4491" s="3" t="n">
        <v>5</v>
      </c>
      <c r="D4491" s="3" t="n">
        <v>20</v>
      </c>
      <c r="E4491" s="3" t="n">
        <v>9</v>
      </c>
      <c r="F4491" s="24" t="n">
        <v>0.51512605</v>
      </c>
    </row>
    <row r="4492" customFormat="false" ht="15" hidden="false" customHeight="false" outlineLevel="0" collapsed="false">
      <c r="A4492" s="3" t="n">
        <v>4491</v>
      </c>
      <c r="B4492" s="3" t="n">
        <v>4490</v>
      </c>
      <c r="C4492" s="3" t="n">
        <v>5</v>
      </c>
      <c r="D4492" s="3" t="n">
        <v>20</v>
      </c>
      <c r="E4492" s="3" t="n">
        <v>10</v>
      </c>
      <c r="F4492" s="24" t="n">
        <v>0.51512605</v>
      </c>
    </row>
    <row r="4493" customFormat="false" ht="15" hidden="false" customHeight="false" outlineLevel="0" collapsed="false">
      <c r="A4493" s="3" t="n">
        <v>4492</v>
      </c>
      <c r="B4493" s="3" t="n">
        <v>4491</v>
      </c>
      <c r="C4493" s="3" t="n">
        <v>5</v>
      </c>
      <c r="D4493" s="3" t="n">
        <v>20</v>
      </c>
      <c r="E4493" s="3" t="n">
        <v>11</v>
      </c>
      <c r="F4493" s="24" t="n">
        <v>0.672116339</v>
      </c>
    </row>
    <row r="4494" customFormat="false" ht="15" hidden="false" customHeight="false" outlineLevel="0" collapsed="false">
      <c r="A4494" s="3" t="n">
        <v>4493</v>
      </c>
      <c r="B4494" s="3" t="n">
        <v>4492</v>
      </c>
      <c r="C4494" s="3" t="n">
        <v>5</v>
      </c>
      <c r="D4494" s="3" t="n">
        <v>20</v>
      </c>
      <c r="E4494" s="3" t="n">
        <v>12</v>
      </c>
      <c r="F4494" s="24" t="n">
        <v>-0.705415845</v>
      </c>
    </row>
    <row r="4495" customFormat="false" ht="15" hidden="false" customHeight="false" outlineLevel="0" collapsed="false">
      <c r="A4495" s="3" t="n">
        <v>4494</v>
      </c>
      <c r="B4495" s="3" t="n">
        <v>4493</v>
      </c>
      <c r="C4495" s="3" t="n">
        <v>5</v>
      </c>
      <c r="D4495" s="3" t="n">
        <v>20</v>
      </c>
      <c r="E4495" s="3" t="n">
        <v>13</v>
      </c>
      <c r="F4495" s="24" t="n">
        <v>-2.86408782</v>
      </c>
    </row>
    <row r="4496" customFormat="false" ht="15" hidden="false" customHeight="false" outlineLevel="0" collapsed="false">
      <c r="A4496" s="3" t="n">
        <v>4495</v>
      </c>
      <c r="B4496" s="3" t="n">
        <v>4494</v>
      </c>
      <c r="C4496" s="3" t="n">
        <v>5</v>
      </c>
      <c r="D4496" s="3" t="n">
        <v>20</v>
      </c>
      <c r="E4496" s="3" t="n">
        <v>14</v>
      </c>
      <c r="F4496" s="24" t="n">
        <v>-3.5226953</v>
      </c>
    </row>
    <row r="4497" customFormat="false" ht="15" hidden="false" customHeight="false" outlineLevel="0" collapsed="false">
      <c r="A4497" s="3" t="n">
        <v>4496</v>
      </c>
      <c r="B4497" s="3" t="n">
        <v>4495</v>
      </c>
      <c r="C4497" s="3" t="n">
        <v>5</v>
      </c>
      <c r="D4497" s="3" t="n">
        <v>20</v>
      </c>
      <c r="E4497" s="3" t="n">
        <v>15</v>
      </c>
      <c r="F4497" s="24" t="n">
        <v>0.406634033</v>
      </c>
    </row>
    <row r="4498" customFormat="false" ht="15" hidden="false" customHeight="false" outlineLevel="0" collapsed="false">
      <c r="A4498" s="3" t="n">
        <v>4497</v>
      </c>
      <c r="B4498" s="3" t="n">
        <v>4496</v>
      </c>
      <c r="C4498" s="3" t="n">
        <v>5</v>
      </c>
      <c r="D4498" s="3" t="n">
        <v>20</v>
      </c>
      <c r="E4498" s="3" t="n">
        <v>16</v>
      </c>
      <c r="F4498" s="24" t="n">
        <v>2.24409962</v>
      </c>
    </row>
    <row r="4499" customFormat="false" ht="15" hidden="false" customHeight="false" outlineLevel="0" collapsed="false">
      <c r="A4499" s="3" t="n">
        <v>4498</v>
      </c>
      <c r="B4499" s="3" t="n">
        <v>4497</v>
      </c>
      <c r="C4499" s="3" t="n">
        <v>5</v>
      </c>
      <c r="D4499" s="3" t="n">
        <v>20</v>
      </c>
      <c r="E4499" s="3" t="n">
        <v>17</v>
      </c>
      <c r="F4499" s="24" t="n">
        <v>1.18578124</v>
      </c>
    </row>
    <row r="4500" customFormat="false" ht="15" hidden="false" customHeight="false" outlineLevel="0" collapsed="false">
      <c r="A4500" s="3" t="n">
        <v>4499</v>
      </c>
      <c r="B4500" s="3" t="n">
        <v>4498</v>
      </c>
      <c r="C4500" s="3" t="n">
        <v>5</v>
      </c>
      <c r="D4500" s="3" t="n">
        <v>20</v>
      </c>
      <c r="E4500" s="3" t="n">
        <v>18</v>
      </c>
      <c r="F4500" s="24" t="n">
        <v>0.51512605</v>
      </c>
    </row>
    <row r="4501" customFormat="false" ht="15" hidden="false" customHeight="false" outlineLevel="0" collapsed="false">
      <c r="A4501" s="3" t="n">
        <v>4500</v>
      </c>
      <c r="B4501" s="3" t="n">
        <v>4499</v>
      </c>
      <c r="C4501" s="3" t="n">
        <v>5</v>
      </c>
      <c r="D4501" s="3" t="n">
        <v>20</v>
      </c>
      <c r="E4501" s="3" t="n">
        <v>19</v>
      </c>
      <c r="F4501" s="24" t="n">
        <v>0.51512605</v>
      </c>
    </row>
    <row r="4502" customFormat="false" ht="15" hidden="false" customHeight="false" outlineLevel="0" collapsed="false">
      <c r="A4502" s="3" t="n">
        <v>4501</v>
      </c>
      <c r="B4502" s="3" t="n">
        <v>4500</v>
      </c>
      <c r="C4502" s="3" t="n">
        <v>5</v>
      </c>
      <c r="D4502" s="3" t="n">
        <v>20</v>
      </c>
      <c r="E4502" s="3" t="n">
        <v>20</v>
      </c>
      <c r="F4502" s="24" t="n">
        <v>0.51512605</v>
      </c>
    </row>
    <row r="4503" customFormat="false" ht="15" hidden="false" customHeight="false" outlineLevel="0" collapsed="false">
      <c r="A4503" s="3" t="n">
        <v>4502</v>
      </c>
      <c r="B4503" s="3" t="n">
        <v>4501</v>
      </c>
      <c r="C4503" s="3" t="n">
        <v>5</v>
      </c>
      <c r="D4503" s="3" t="n">
        <v>20</v>
      </c>
      <c r="E4503" s="3" t="n">
        <v>21</v>
      </c>
      <c r="F4503" s="24" t="n">
        <v>0.51512605</v>
      </c>
    </row>
    <row r="4504" customFormat="false" ht="15" hidden="false" customHeight="false" outlineLevel="0" collapsed="false">
      <c r="A4504" s="3" t="n">
        <v>4503</v>
      </c>
      <c r="B4504" s="3" t="n">
        <v>4502</v>
      </c>
      <c r="C4504" s="3" t="n">
        <v>5</v>
      </c>
      <c r="D4504" s="3" t="n">
        <v>20</v>
      </c>
      <c r="E4504" s="3" t="n">
        <v>22</v>
      </c>
      <c r="F4504" s="24" t="n">
        <v>0.51512605</v>
      </c>
    </row>
    <row r="4505" customFormat="false" ht="15" hidden="false" customHeight="false" outlineLevel="0" collapsed="false">
      <c r="A4505" s="3" t="n">
        <v>4504</v>
      </c>
      <c r="B4505" s="3" t="n">
        <v>4503</v>
      </c>
      <c r="C4505" s="3" t="n">
        <v>5</v>
      </c>
      <c r="D4505" s="3" t="n">
        <v>20</v>
      </c>
      <c r="E4505" s="3" t="n">
        <v>23</v>
      </c>
      <c r="F4505" s="24" t="n">
        <v>0.51512605</v>
      </c>
    </row>
    <row r="4506" customFormat="false" ht="15" hidden="false" customHeight="false" outlineLevel="0" collapsed="false">
      <c r="A4506" s="3" t="n">
        <v>4505</v>
      </c>
      <c r="B4506" s="3" t="n">
        <v>4504</v>
      </c>
      <c r="C4506" s="3" t="n">
        <v>5</v>
      </c>
      <c r="D4506" s="3" t="n">
        <v>20</v>
      </c>
      <c r="E4506" s="3" t="n">
        <v>24</v>
      </c>
      <c r="F4506" s="24" t="n">
        <v>0.51512605</v>
      </c>
    </row>
    <row r="4507" customFormat="false" ht="15" hidden="false" customHeight="false" outlineLevel="0" collapsed="false">
      <c r="A4507" s="3" t="n">
        <v>4506</v>
      </c>
      <c r="B4507" s="3" t="n">
        <v>4505</v>
      </c>
      <c r="C4507" s="3" t="n">
        <v>5</v>
      </c>
      <c r="D4507" s="3" t="n">
        <v>20</v>
      </c>
      <c r="E4507" s="3" t="n">
        <v>25</v>
      </c>
      <c r="F4507" s="24" t="n">
        <v>0.51512605</v>
      </c>
    </row>
    <row r="4508" customFormat="false" ht="15" hidden="false" customHeight="false" outlineLevel="0" collapsed="false">
      <c r="A4508" s="3" t="n">
        <v>4507</v>
      </c>
      <c r="B4508" s="3" t="n">
        <v>4506</v>
      </c>
      <c r="C4508" s="3" t="n">
        <v>5</v>
      </c>
      <c r="D4508" s="3" t="n">
        <v>20</v>
      </c>
      <c r="E4508" s="3" t="n">
        <v>26</v>
      </c>
      <c r="F4508" s="24" t="n">
        <v>0.51512605</v>
      </c>
    </row>
    <row r="4509" customFormat="false" ht="15" hidden="false" customHeight="false" outlineLevel="0" collapsed="false">
      <c r="A4509" s="3" t="n">
        <v>4508</v>
      </c>
      <c r="B4509" s="3" t="n">
        <v>4507</v>
      </c>
      <c r="C4509" s="3" t="n">
        <v>5</v>
      </c>
      <c r="D4509" s="3" t="n">
        <v>20</v>
      </c>
      <c r="E4509" s="3" t="n">
        <v>27</v>
      </c>
      <c r="F4509" s="24" t="n">
        <v>0.459515482</v>
      </c>
    </row>
    <row r="4510" customFormat="false" ht="15" hidden="false" customHeight="false" outlineLevel="0" collapsed="false">
      <c r="A4510" s="3" t="n">
        <v>4509</v>
      </c>
      <c r="B4510" s="3" t="n">
        <v>4508</v>
      </c>
      <c r="C4510" s="3" t="n">
        <v>5</v>
      </c>
      <c r="D4510" s="3" t="n">
        <v>21</v>
      </c>
      <c r="E4510" s="3" t="n">
        <v>0</v>
      </c>
      <c r="F4510" s="24" t="n">
        <v>0.354324996</v>
      </c>
    </row>
    <row r="4511" customFormat="false" ht="15" hidden="false" customHeight="false" outlineLevel="0" collapsed="false">
      <c r="A4511" s="3" t="n">
        <v>4510</v>
      </c>
      <c r="B4511" s="3" t="n">
        <v>4509</v>
      </c>
      <c r="C4511" s="3" t="n">
        <v>5</v>
      </c>
      <c r="D4511" s="3" t="n">
        <v>21</v>
      </c>
      <c r="E4511" s="3" t="n">
        <v>1</v>
      </c>
      <c r="F4511" s="24" t="n">
        <v>0.51512605</v>
      </c>
    </row>
    <row r="4512" customFormat="false" ht="15" hidden="false" customHeight="false" outlineLevel="0" collapsed="false">
      <c r="A4512" s="3" t="n">
        <v>4511</v>
      </c>
      <c r="B4512" s="3" t="n">
        <v>4510</v>
      </c>
      <c r="C4512" s="3" t="n">
        <v>5</v>
      </c>
      <c r="D4512" s="3" t="n">
        <v>21</v>
      </c>
      <c r="E4512" s="3" t="n">
        <v>2</v>
      </c>
      <c r="F4512" s="24" t="n">
        <v>0.51512605</v>
      </c>
    </row>
    <row r="4513" customFormat="false" ht="15" hidden="false" customHeight="false" outlineLevel="0" collapsed="false">
      <c r="A4513" s="3" t="n">
        <v>4512</v>
      </c>
      <c r="B4513" s="3" t="n">
        <v>4511</v>
      </c>
      <c r="C4513" s="3" t="n">
        <v>5</v>
      </c>
      <c r="D4513" s="3" t="n">
        <v>21</v>
      </c>
      <c r="E4513" s="3" t="n">
        <v>3</v>
      </c>
      <c r="F4513" s="24" t="n">
        <v>0.51512605</v>
      </c>
    </row>
    <row r="4514" customFormat="false" ht="15" hidden="false" customHeight="false" outlineLevel="0" collapsed="false">
      <c r="A4514" s="3" t="n">
        <v>4513</v>
      </c>
      <c r="B4514" s="3" t="n">
        <v>4512</v>
      </c>
      <c r="C4514" s="3" t="n">
        <v>5</v>
      </c>
      <c r="D4514" s="3" t="n">
        <v>21</v>
      </c>
      <c r="E4514" s="3" t="n">
        <v>4</v>
      </c>
      <c r="F4514" s="24" t="n">
        <v>0.51512605</v>
      </c>
    </row>
    <row r="4515" customFormat="false" ht="15" hidden="false" customHeight="false" outlineLevel="0" collapsed="false">
      <c r="A4515" s="3" t="n">
        <v>4514</v>
      </c>
      <c r="B4515" s="3" t="n">
        <v>4513</v>
      </c>
      <c r="C4515" s="3" t="n">
        <v>5</v>
      </c>
      <c r="D4515" s="3" t="n">
        <v>21</v>
      </c>
      <c r="E4515" s="3" t="n">
        <v>5</v>
      </c>
      <c r="F4515" s="24" t="n">
        <v>0.51512605</v>
      </c>
    </row>
    <row r="4516" customFormat="false" ht="15" hidden="false" customHeight="false" outlineLevel="0" collapsed="false">
      <c r="A4516" s="3" t="n">
        <v>4515</v>
      </c>
      <c r="B4516" s="3" t="n">
        <v>4514</v>
      </c>
      <c r="C4516" s="3" t="n">
        <v>5</v>
      </c>
      <c r="D4516" s="3" t="n">
        <v>21</v>
      </c>
      <c r="E4516" s="3" t="n">
        <v>6</v>
      </c>
      <c r="F4516" s="24" t="n">
        <v>0.51512605</v>
      </c>
    </row>
    <row r="4517" customFormat="false" ht="15" hidden="false" customHeight="false" outlineLevel="0" collapsed="false">
      <c r="A4517" s="3" t="n">
        <v>4516</v>
      </c>
      <c r="B4517" s="3" t="n">
        <v>4515</v>
      </c>
      <c r="C4517" s="3" t="n">
        <v>5</v>
      </c>
      <c r="D4517" s="3" t="n">
        <v>21</v>
      </c>
      <c r="E4517" s="3" t="n">
        <v>7</v>
      </c>
      <c r="F4517" s="24" t="n">
        <v>0.51512605</v>
      </c>
    </row>
    <row r="4518" customFormat="false" ht="15" hidden="false" customHeight="false" outlineLevel="0" collapsed="false">
      <c r="A4518" s="3" t="n">
        <v>4517</v>
      </c>
      <c r="B4518" s="3" t="n">
        <v>4516</v>
      </c>
      <c r="C4518" s="3" t="n">
        <v>5</v>
      </c>
      <c r="D4518" s="3" t="n">
        <v>21</v>
      </c>
      <c r="E4518" s="3" t="n">
        <v>8</v>
      </c>
      <c r="F4518" s="24" t="n">
        <v>0.51512605</v>
      </c>
    </row>
    <row r="4519" customFormat="false" ht="15" hidden="false" customHeight="false" outlineLevel="0" collapsed="false">
      <c r="A4519" s="3" t="n">
        <v>4518</v>
      </c>
      <c r="B4519" s="3" t="n">
        <v>4517</v>
      </c>
      <c r="C4519" s="3" t="n">
        <v>5</v>
      </c>
      <c r="D4519" s="3" t="n">
        <v>21</v>
      </c>
      <c r="E4519" s="3" t="n">
        <v>9</v>
      </c>
      <c r="F4519" s="24" t="n">
        <v>0.51512605</v>
      </c>
    </row>
    <row r="4520" customFormat="false" ht="15" hidden="false" customHeight="false" outlineLevel="0" collapsed="false">
      <c r="A4520" s="3" t="n">
        <v>4519</v>
      </c>
      <c r="B4520" s="3" t="n">
        <v>4518</v>
      </c>
      <c r="C4520" s="3" t="n">
        <v>5</v>
      </c>
      <c r="D4520" s="3" t="n">
        <v>21</v>
      </c>
      <c r="E4520" s="3" t="n">
        <v>10</v>
      </c>
      <c r="F4520" s="24" t="n">
        <v>0.670287311</v>
      </c>
    </row>
    <row r="4521" customFormat="false" ht="15" hidden="false" customHeight="false" outlineLevel="0" collapsed="false">
      <c r="A4521" s="3" t="n">
        <v>4520</v>
      </c>
      <c r="B4521" s="3" t="n">
        <v>4519</v>
      </c>
      <c r="C4521" s="3" t="n">
        <v>5</v>
      </c>
      <c r="D4521" s="3" t="n">
        <v>21</v>
      </c>
      <c r="E4521" s="3" t="n">
        <v>11</v>
      </c>
      <c r="F4521" s="24" t="n">
        <v>0.966268957</v>
      </c>
    </row>
    <row r="4522" customFormat="false" ht="15" hidden="false" customHeight="false" outlineLevel="0" collapsed="false">
      <c r="A4522" s="3" t="n">
        <v>4521</v>
      </c>
      <c r="B4522" s="3" t="n">
        <v>4520</v>
      </c>
      <c r="C4522" s="3" t="n">
        <v>5</v>
      </c>
      <c r="D4522" s="3" t="n">
        <v>21</v>
      </c>
      <c r="E4522" s="3" t="n">
        <v>12</v>
      </c>
      <c r="F4522" s="24" t="n">
        <v>-2.395432</v>
      </c>
    </row>
    <row r="4523" customFormat="false" ht="15" hidden="false" customHeight="false" outlineLevel="0" collapsed="false">
      <c r="A4523" s="3" t="n">
        <v>4522</v>
      </c>
      <c r="B4523" s="3" t="n">
        <v>4521</v>
      </c>
      <c r="C4523" s="3" t="n">
        <v>5</v>
      </c>
      <c r="D4523" s="3" t="n">
        <v>21</v>
      </c>
      <c r="E4523" s="3" t="n">
        <v>13</v>
      </c>
      <c r="F4523" s="24" t="n">
        <v>-3.84459519</v>
      </c>
    </row>
    <row r="4524" customFormat="false" ht="15" hidden="false" customHeight="false" outlineLevel="0" collapsed="false">
      <c r="A4524" s="3" t="n">
        <v>4523</v>
      </c>
      <c r="B4524" s="3" t="n">
        <v>4522</v>
      </c>
      <c r="C4524" s="3" t="n">
        <v>5</v>
      </c>
      <c r="D4524" s="3" t="n">
        <v>21</v>
      </c>
      <c r="E4524" s="3" t="n">
        <v>14</v>
      </c>
      <c r="F4524" s="24" t="n">
        <v>-0.285336375</v>
      </c>
    </row>
    <row r="4525" customFormat="false" ht="15" hidden="false" customHeight="false" outlineLevel="0" collapsed="false">
      <c r="A4525" s="3" t="n">
        <v>4524</v>
      </c>
      <c r="B4525" s="3" t="n">
        <v>4523</v>
      </c>
      <c r="C4525" s="3" t="n">
        <v>5</v>
      </c>
      <c r="D4525" s="3" t="n">
        <v>21</v>
      </c>
      <c r="E4525" s="3" t="n">
        <v>15</v>
      </c>
      <c r="F4525" s="24" t="n">
        <v>2.39086485</v>
      </c>
    </row>
    <row r="4526" customFormat="false" ht="15" hidden="false" customHeight="false" outlineLevel="0" collapsed="false">
      <c r="A4526" s="3" t="n">
        <v>4525</v>
      </c>
      <c r="B4526" s="3" t="n">
        <v>4524</v>
      </c>
      <c r="C4526" s="3" t="n">
        <v>5</v>
      </c>
      <c r="D4526" s="3" t="n">
        <v>21</v>
      </c>
      <c r="E4526" s="3" t="n">
        <v>16</v>
      </c>
      <c r="F4526" s="24" t="n">
        <v>1.70959175</v>
      </c>
    </row>
    <row r="4527" customFormat="false" ht="15" hidden="false" customHeight="false" outlineLevel="0" collapsed="false">
      <c r="A4527" s="3" t="n">
        <v>4526</v>
      </c>
      <c r="B4527" s="3" t="n">
        <v>4525</v>
      </c>
      <c r="C4527" s="3" t="n">
        <v>5</v>
      </c>
      <c r="D4527" s="3" t="n">
        <v>21</v>
      </c>
      <c r="E4527" s="3" t="n">
        <v>17</v>
      </c>
      <c r="F4527" s="24" t="n">
        <v>0.646761179</v>
      </c>
    </row>
    <row r="4528" customFormat="false" ht="15" hidden="false" customHeight="false" outlineLevel="0" collapsed="false">
      <c r="A4528" s="3" t="n">
        <v>4527</v>
      </c>
      <c r="B4528" s="3" t="n">
        <v>4526</v>
      </c>
      <c r="C4528" s="3" t="n">
        <v>5</v>
      </c>
      <c r="D4528" s="3" t="n">
        <v>21</v>
      </c>
      <c r="E4528" s="3" t="n">
        <v>18</v>
      </c>
      <c r="F4528" s="24" t="n">
        <v>0.51512605</v>
      </c>
    </row>
    <row r="4529" customFormat="false" ht="15" hidden="false" customHeight="false" outlineLevel="0" collapsed="false">
      <c r="A4529" s="3" t="n">
        <v>4528</v>
      </c>
      <c r="B4529" s="3" t="n">
        <v>4527</v>
      </c>
      <c r="C4529" s="3" t="n">
        <v>5</v>
      </c>
      <c r="D4529" s="3" t="n">
        <v>21</v>
      </c>
      <c r="E4529" s="3" t="n">
        <v>19</v>
      </c>
      <c r="F4529" s="24" t="n">
        <v>0.51512605</v>
      </c>
    </row>
    <row r="4530" customFormat="false" ht="15" hidden="false" customHeight="false" outlineLevel="0" collapsed="false">
      <c r="A4530" s="3" t="n">
        <v>4529</v>
      </c>
      <c r="B4530" s="3" t="n">
        <v>4528</v>
      </c>
      <c r="C4530" s="3" t="n">
        <v>5</v>
      </c>
      <c r="D4530" s="3" t="n">
        <v>21</v>
      </c>
      <c r="E4530" s="3" t="n">
        <v>20</v>
      </c>
      <c r="F4530" s="24" t="n">
        <v>0.51512605</v>
      </c>
    </row>
    <row r="4531" customFormat="false" ht="15" hidden="false" customHeight="false" outlineLevel="0" collapsed="false">
      <c r="A4531" s="3" t="n">
        <v>4530</v>
      </c>
      <c r="B4531" s="3" t="n">
        <v>4529</v>
      </c>
      <c r="C4531" s="3" t="n">
        <v>5</v>
      </c>
      <c r="D4531" s="3" t="n">
        <v>21</v>
      </c>
      <c r="E4531" s="3" t="n">
        <v>21</v>
      </c>
      <c r="F4531" s="24" t="n">
        <v>0.51512605</v>
      </c>
    </row>
    <row r="4532" customFormat="false" ht="15" hidden="false" customHeight="false" outlineLevel="0" collapsed="false">
      <c r="A4532" s="3" t="n">
        <v>4531</v>
      </c>
      <c r="B4532" s="3" t="n">
        <v>4530</v>
      </c>
      <c r="C4532" s="3" t="n">
        <v>5</v>
      </c>
      <c r="D4532" s="3" t="n">
        <v>21</v>
      </c>
      <c r="E4532" s="3" t="n">
        <v>22</v>
      </c>
      <c r="F4532" s="24" t="n">
        <v>0.51512605</v>
      </c>
    </row>
    <row r="4533" customFormat="false" ht="15" hidden="false" customHeight="false" outlineLevel="0" collapsed="false">
      <c r="A4533" s="3" t="n">
        <v>4532</v>
      </c>
      <c r="B4533" s="3" t="n">
        <v>4531</v>
      </c>
      <c r="C4533" s="3" t="n">
        <v>5</v>
      </c>
      <c r="D4533" s="3" t="n">
        <v>21</v>
      </c>
      <c r="E4533" s="3" t="n">
        <v>23</v>
      </c>
      <c r="F4533" s="24" t="n">
        <v>0.51512605</v>
      </c>
    </row>
    <row r="4534" customFormat="false" ht="15" hidden="false" customHeight="false" outlineLevel="0" collapsed="false">
      <c r="A4534" s="3" t="n">
        <v>4533</v>
      </c>
      <c r="B4534" s="3" t="n">
        <v>4532</v>
      </c>
      <c r="C4534" s="3" t="n">
        <v>5</v>
      </c>
      <c r="D4534" s="3" t="n">
        <v>21</v>
      </c>
      <c r="E4534" s="3" t="n">
        <v>24</v>
      </c>
      <c r="F4534" s="24" t="n">
        <v>0.51512605</v>
      </c>
    </row>
    <row r="4535" customFormat="false" ht="15" hidden="false" customHeight="false" outlineLevel="0" collapsed="false">
      <c r="A4535" s="3" t="n">
        <v>4534</v>
      </c>
      <c r="B4535" s="3" t="n">
        <v>4533</v>
      </c>
      <c r="C4535" s="3" t="n">
        <v>5</v>
      </c>
      <c r="D4535" s="3" t="n">
        <v>21</v>
      </c>
      <c r="E4535" s="3" t="n">
        <v>25</v>
      </c>
      <c r="F4535" s="24" t="n">
        <v>0.51512605</v>
      </c>
    </row>
    <row r="4536" customFormat="false" ht="15" hidden="false" customHeight="false" outlineLevel="0" collapsed="false">
      <c r="A4536" s="3" t="n">
        <v>4535</v>
      </c>
      <c r="B4536" s="3" t="n">
        <v>4534</v>
      </c>
      <c r="C4536" s="3" t="n">
        <v>5</v>
      </c>
      <c r="D4536" s="3" t="n">
        <v>21</v>
      </c>
      <c r="E4536" s="3" t="n">
        <v>26</v>
      </c>
      <c r="F4536" s="24" t="n">
        <v>0.51512605</v>
      </c>
    </row>
    <row r="4537" customFormat="false" ht="15" hidden="false" customHeight="false" outlineLevel="0" collapsed="false">
      <c r="A4537" s="3" t="n">
        <v>4536</v>
      </c>
      <c r="B4537" s="3" t="n">
        <v>4535</v>
      </c>
      <c r="C4537" s="3" t="n">
        <v>5</v>
      </c>
      <c r="D4537" s="3" t="n">
        <v>21</v>
      </c>
      <c r="E4537" s="3" t="n">
        <v>27</v>
      </c>
      <c r="F4537" s="24" t="n">
        <v>0.459515482</v>
      </c>
    </row>
    <row r="4538" customFormat="false" ht="15" hidden="false" customHeight="false" outlineLevel="0" collapsed="false">
      <c r="A4538" s="3" t="n">
        <v>4537</v>
      </c>
      <c r="B4538" s="3" t="n">
        <v>4536</v>
      </c>
      <c r="C4538" s="3" t="n">
        <v>5</v>
      </c>
      <c r="D4538" s="3" t="n">
        <v>22</v>
      </c>
      <c r="E4538" s="3" t="n">
        <v>0</v>
      </c>
      <c r="F4538" s="24" t="n">
        <v>0.354324996</v>
      </c>
    </row>
    <row r="4539" customFormat="false" ht="15" hidden="false" customHeight="false" outlineLevel="0" collapsed="false">
      <c r="A4539" s="3" t="n">
        <v>4538</v>
      </c>
      <c r="B4539" s="3" t="n">
        <v>4537</v>
      </c>
      <c r="C4539" s="3" t="n">
        <v>5</v>
      </c>
      <c r="D4539" s="3" t="n">
        <v>22</v>
      </c>
      <c r="E4539" s="3" t="n">
        <v>1</v>
      </c>
      <c r="F4539" s="24" t="n">
        <v>0.51512605</v>
      </c>
    </row>
    <row r="4540" customFormat="false" ht="15" hidden="false" customHeight="false" outlineLevel="0" collapsed="false">
      <c r="A4540" s="3" t="n">
        <v>4539</v>
      </c>
      <c r="B4540" s="3" t="n">
        <v>4538</v>
      </c>
      <c r="C4540" s="3" t="n">
        <v>5</v>
      </c>
      <c r="D4540" s="3" t="n">
        <v>22</v>
      </c>
      <c r="E4540" s="3" t="n">
        <v>2</v>
      </c>
      <c r="F4540" s="24" t="n">
        <v>0.51512605</v>
      </c>
    </row>
    <row r="4541" customFormat="false" ht="15" hidden="false" customHeight="false" outlineLevel="0" collapsed="false">
      <c r="A4541" s="3" t="n">
        <v>4540</v>
      </c>
      <c r="B4541" s="3" t="n">
        <v>4539</v>
      </c>
      <c r="C4541" s="3" t="n">
        <v>5</v>
      </c>
      <c r="D4541" s="3" t="n">
        <v>22</v>
      </c>
      <c r="E4541" s="3" t="n">
        <v>3</v>
      </c>
      <c r="F4541" s="24" t="n">
        <v>0.51512605</v>
      </c>
    </row>
    <row r="4542" customFormat="false" ht="15" hidden="false" customHeight="false" outlineLevel="0" collapsed="false">
      <c r="A4542" s="3" t="n">
        <v>4541</v>
      </c>
      <c r="B4542" s="3" t="n">
        <v>4540</v>
      </c>
      <c r="C4542" s="3" t="n">
        <v>5</v>
      </c>
      <c r="D4542" s="3" t="n">
        <v>22</v>
      </c>
      <c r="E4542" s="3" t="n">
        <v>4</v>
      </c>
      <c r="F4542" s="24" t="n">
        <v>0.51512605</v>
      </c>
    </row>
    <row r="4543" customFormat="false" ht="15" hidden="false" customHeight="false" outlineLevel="0" collapsed="false">
      <c r="A4543" s="3" t="n">
        <v>4542</v>
      </c>
      <c r="B4543" s="3" t="n">
        <v>4541</v>
      </c>
      <c r="C4543" s="3" t="n">
        <v>5</v>
      </c>
      <c r="D4543" s="3" t="n">
        <v>22</v>
      </c>
      <c r="E4543" s="3" t="n">
        <v>5</v>
      </c>
      <c r="F4543" s="24" t="n">
        <v>0.51512605</v>
      </c>
    </row>
    <row r="4544" customFormat="false" ht="15" hidden="false" customHeight="false" outlineLevel="0" collapsed="false">
      <c r="A4544" s="3" t="n">
        <v>4543</v>
      </c>
      <c r="B4544" s="3" t="n">
        <v>4542</v>
      </c>
      <c r="C4544" s="3" t="n">
        <v>5</v>
      </c>
      <c r="D4544" s="3" t="n">
        <v>22</v>
      </c>
      <c r="E4544" s="3" t="n">
        <v>6</v>
      </c>
      <c r="F4544" s="24" t="n">
        <v>0.51512605</v>
      </c>
    </row>
    <row r="4545" customFormat="false" ht="15" hidden="false" customHeight="false" outlineLevel="0" collapsed="false">
      <c r="A4545" s="3" t="n">
        <v>4544</v>
      </c>
      <c r="B4545" s="3" t="n">
        <v>4543</v>
      </c>
      <c r="C4545" s="3" t="n">
        <v>5</v>
      </c>
      <c r="D4545" s="3" t="n">
        <v>22</v>
      </c>
      <c r="E4545" s="3" t="n">
        <v>7</v>
      </c>
      <c r="F4545" s="24" t="n">
        <v>0.51512605</v>
      </c>
    </row>
    <row r="4546" customFormat="false" ht="15" hidden="false" customHeight="false" outlineLevel="0" collapsed="false">
      <c r="A4546" s="3" t="n">
        <v>4545</v>
      </c>
      <c r="B4546" s="3" t="n">
        <v>4544</v>
      </c>
      <c r="C4546" s="3" t="n">
        <v>5</v>
      </c>
      <c r="D4546" s="3" t="n">
        <v>22</v>
      </c>
      <c r="E4546" s="3" t="n">
        <v>8</v>
      </c>
      <c r="F4546" s="24" t="n">
        <v>0.51512605</v>
      </c>
    </row>
    <row r="4547" customFormat="false" ht="15" hidden="false" customHeight="false" outlineLevel="0" collapsed="false">
      <c r="A4547" s="3" t="n">
        <v>4546</v>
      </c>
      <c r="B4547" s="3" t="n">
        <v>4545</v>
      </c>
      <c r="C4547" s="3" t="n">
        <v>5</v>
      </c>
      <c r="D4547" s="3" t="n">
        <v>22</v>
      </c>
      <c r="E4547" s="3" t="n">
        <v>9</v>
      </c>
      <c r="F4547" s="24" t="n">
        <v>0.51512605</v>
      </c>
    </row>
    <row r="4548" customFormat="false" ht="15" hidden="false" customHeight="false" outlineLevel="0" collapsed="false">
      <c r="A4548" s="3" t="n">
        <v>4547</v>
      </c>
      <c r="B4548" s="3" t="n">
        <v>4546</v>
      </c>
      <c r="C4548" s="3" t="n">
        <v>5</v>
      </c>
      <c r="D4548" s="3" t="n">
        <v>22</v>
      </c>
      <c r="E4548" s="3" t="n">
        <v>10</v>
      </c>
      <c r="F4548" s="24" t="n">
        <v>0.837674975</v>
      </c>
    </row>
    <row r="4549" customFormat="false" ht="15" hidden="false" customHeight="false" outlineLevel="0" collapsed="false">
      <c r="A4549" s="3" t="n">
        <v>4548</v>
      </c>
      <c r="B4549" s="3" t="n">
        <v>4547</v>
      </c>
      <c r="C4549" s="3" t="n">
        <v>5</v>
      </c>
      <c r="D4549" s="3" t="n">
        <v>22</v>
      </c>
      <c r="E4549" s="3" t="n">
        <v>11</v>
      </c>
      <c r="F4549" s="24" t="n">
        <v>-1.71940482</v>
      </c>
    </row>
    <row r="4550" customFormat="false" ht="15" hidden="false" customHeight="false" outlineLevel="0" collapsed="false">
      <c r="A4550" s="3" t="n">
        <v>4549</v>
      </c>
      <c r="B4550" s="3" t="n">
        <v>4548</v>
      </c>
      <c r="C4550" s="3" t="n">
        <v>5</v>
      </c>
      <c r="D4550" s="3" t="n">
        <v>22</v>
      </c>
      <c r="E4550" s="3" t="n">
        <v>12</v>
      </c>
      <c r="F4550" s="24" t="n">
        <v>-3.51729894</v>
      </c>
    </row>
    <row r="4551" customFormat="false" ht="15" hidden="false" customHeight="false" outlineLevel="0" collapsed="false">
      <c r="A4551" s="3" t="n">
        <v>4550</v>
      </c>
      <c r="B4551" s="3" t="n">
        <v>4549</v>
      </c>
      <c r="C4551" s="3" t="n">
        <v>5</v>
      </c>
      <c r="D4551" s="3" t="n">
        <v>22</v>
      </c>
      <c r="E4551" s="3" t="n">
        <v>13</v>
      </c>
      <c r="F4551" s="24" t="n">
        <v>-2.13451767</v>
      </c>
    </row>
    <row r="4552" customFormat="false" ht="15" hidden="false" customHeight="false" outlineLevel="0" collapsed="false">
      <c r="A4552" s="3" t="n">
        <v>4551</v>
      </c>
      <c r="B4552" s="3" t="n">
        <v>4550</v>
      </c>
      <c r="C4552" s="3" t="n">
        <v>5</v>
      </c>
      <c r="D4552" s="3" t="n">
        <v>22</v>
      </c>
      <c r="E4552" s="3" t="n">
        <v>14</v>
      </c>
      <c r="F4552" s="24" t="n">
        <v>0.95187664</v>
      </c>
    </row>
    <row r="4553" customFormat="false" ht="15" hidden="false" customHeight="false" outlineLevel="0" collapsed="false">
      <c r="A4553" s="3" t="n">
        <v>4552</v>
      </c>
      <c r="B4553" s="3" t="n">
        <v>4551</v>
      </c>
      <c r="C4553" s="3" t="n">
        <v>5</v>
      </c>
      <c r="D4553" s="3" t="n">
        <v>22</v>
      </c>
      <c r="E4553" s="3" t="n">
        <v>15</v>
      </c>
      <c r="F4553" s="24" t="n">
        <v>1.71854222</v>
      </c>
    </row>
    <row r="4554" customFormat="false" ht="15" hidden="false" customHeight="false" outlineLevel="0" collapsed="false">
      <c r="A4554" s="3" t="n">
        <v>4553</v>
      </c>
      <c r="B4554" s="3" t="n">
        <v>4552</v>
      </c>
      <c r="C4554" s="3" t="n">
        <v>5</v>
      </c>
      <c r="D4554" s="3" t="n">
        <v>22</v>
      </c>
      <c r="E4554" s="3" t="n">
        <v>16</v>
      </c>
      <c r="F4554" s="24" t="n">
        <v>0.806047022</v>
      </c>
    </row>
    <row r="4555" customFormat="false" ht="15" hidden="false" customHeight="false" outlineLevel="0" collapsed="false">
      <c r="A4555" s="3" t="n">
        <v>4554</v>
      </c>
      <c r="B4555" s="3" t="n">
        <v>4553</v>
      </c>
      <c r="C4555" s="3" t="n">
        <v>5</v>
      </c>
      <c r="D4555" s="3" t="n">
        <v>22</v>
      </c>
      <c r="E4555" s="3" t="n">
        <v>17</v>
      </c>
      <c r="F4555" s="24" t="n">
        <v>0.51512605</v>
      </c>
    </row>
    <row r="4556" customFormat="false" ht="15" hidden="false" customHeight="false" outlineLevel="0" collapsed="false">
      <c r="A4556" s="3" t="n">
        <v>4555</v>
      </c>
      <c r="B4556" s="3" t="n">
        <v>4554</v>
      </c>
      <c r="C4556" s="3" t="n">
        <v>5</v>
      </c>
      <c r="D4556" s="3" t="n">
        <v>22</v>
      </c>
      <c r="E4556" s="3" t="n">
        <v>18</v>
      </c>
      <c r="F4556" s="24" t="n">
        <v>0.51512605</v>
      </c>
    </row>
    <row r="4557" customFormat="false" ht="15" hidden="false" customHeight="false" outlineLevel="0" collapsed="false">
      <c r="A4557" s="3" t="n">
        <v>4556</v>
      </c>
      <c r="B4557" s="3" t="n">
        <v>4555</v>
      </c>
      <c r="C4557" s="3" t="n">
        <v>5</v>
      </c>
      <c r="D4557" s="3" t="n">
        <v>22</v>
      </c>
      <c r="E4557" s="3" t="n">
        <v>19</v>
      </c>
      <c r="F4557" s="24" t="n">
        <v>0.51512605</v>
      </c>
    </row>
    <row r="4558" customFormat="false" ht="15" hidden="false" customHeight="false" outlineLevel="0" collapsed="false">
      <c r="A4558" s="3" t="n">
        <v>4557</v>
      </c>
      <c r="B4558" s="3" t="n">
        <v>4556</v>
      </c>
      <c r="C4558" s="3" t="n">
        <v>5</v>
      </c>
      <c r="D4558" s="3" t="n">
        <v>22</v>
      </c>
      <c r="E4558" s="3" t="n">
        <v>20</v>
      </c>
      <c r="F4558" s="24" t="n">
        <v>0.51512605</v>
      </c>
    </row>
    <row r="4559" customFormat="false" ht="15" hidden="false" customHeight="false" outlineLevel="0" collapsed="false">
      <c r="A4559" s="3" t="n">
        <v>4558</v>
      </c>
      <c r="B4559" s="3" t="n">
        <v>4557</v>
      </c>
      <c r="C4559" s="3" t="n">
        <v>5</v>
      </c>
      <c r="D4559" s="3" t="n">
        <v>22</v>
      </c>
      <c r="E4559" s="3" t="n">
        <v>21</v>
      </c>
      <c r="F4559" s="24" t="n">
        <v>0.51512605</v>
      </c>
    </row>
    <row r="4560" customFormat="false" ht="15" hidden="false" customHeight="false" outlineLevel="0" collapsed="false">
      <c r="A4560" s="3" t="n">
        <v>4559</v>
      </c>
      <c r="B4560" s="3" t="n">
        <v>4558</v>
      </c>
      <c r="C4560" s="3" t="n">
        <v>5</v>
      </c>
      <c r="D4560" s="3" t="n">
        <v>22</v>
      </c>
      <c r="E4560" s="3" t="n">
        <v>22</v>
      </c>
      <c r="F4560" s="24" t="n">
        <v>0.51512605</v>
      </c>
    </row>
    <row r="4561" customFormat="false" ht="15" hidden="false" customHeight="false" outlineLevel="0" collapsed="false">
      <c r="A4561" s="3" t="n">
        <v>4560</v>
      </c>
      <c r="B4561" s="3" t="n">
        <v>4559</v>
      </c>
      <c r="C4561" s="3" t="n">
        <v>5</v>
      </c>
      <c r="D4561" s="3" t="n">
        <v>22</v>
      </c>
      <c r="E4561" s="3" t="n">
        <v>23</v>
      </c>
      <c r="F4561" s="24" t="n">
        <v>0.51512605</v>
      </c>
    </row>
    <row r="4562" customFormat="false" ht="15" hidden="false" customHeight="false" outlineLevel="0" collapsed="false">
      <c r="A4562" s="3" t="n">
        <v>4561</v>
      </c>
      <c r="B4562" s="3" t="n">
        <v>4560</v>
      </c>
      <c r="C4562" s="3" t="n">
        <v>5</v>
      </c>
      <c r="D4562" s="3" t="n">
        <v>22</v>
      </c>
      <c r="E4562" s="3" t="n">
        <v>24</v>
      </c>
      <c r="F4562" s="24" t="n">
        <v>0.51512605</v>
      </c>
    </row>
    <row r="4563" customFormat="false" ht="15" hidden="false" customHeight="false" outlineLevel="0" collapsed="false">
      <c r="A4563" s="3" t="n">
        <v>4562</v>
      </c>
      <c r="B4563" s="3" t="n">
        <v>4561</v>
      </c>
      <c r="C4563" s="3" t="n">
        <v>5</v>
      </c>
      <c r="D4563" s="3" t="n">
        <v>22</v>
      </c>
      <c r="E4563" s="3" t="n">
        <v>25</v>
      </c>
      <c r="F4563" s="24" t="n">
        <v>0.51512605</v>
      </c>
    </row>
    <row r="4564" customFormat="false" ht="15" hidden="false" customHeight="false" outlineLevel="0" collapsed="false">
      <c r="A4564" s="3" t="n">
        <v>4563</v>
      </c>
      <c r="B4564" s="3" t="n">
        <v>4562</v>
      </c>
      <c r="C4564" s="3" t="n">
        <v>5</v>
      </c>
      <c r="D4564" s="3" t="n">
        <v>22</v>
      </c>
      <c r="E4564" s="3" t="n">
        <v>26</v>
      </c>
      <c r="F4564" s="24" t="n">
        <v>0.51512605</v>
      </c>
    </row>
    <row r="4565" customFormat="false" ht="15" hidden="false" customHeight="false" outlineLevel="0" collapsed="false">
      <c r="A4565" s="3" t="n">
        <v>4564</v>
      </c>
      <c r="B4565" s="3" t="n">
        <v>4563</v>
      </c>
      <c r="C4565" s="3" t="n">
        <v>5</v>
      </c>
      <c r="D4565" s="3" t="n">
        <v>22</v>
      </c>
      <c r="E4565" s="3" t="n">
        <v>27</v>
      </c>
      <c r="F4565" s="24" t="n">
        <v>0.459515482</v>
      </c>
    </row>
    <row r="4566" customFormat="false" ht="15" hidden="false" customHeight="false" outlineLevel="0" collapsed="false">
      <c r="A4566" s="3" t="n">
        <v>4565</v>
      </c>
      <c r="B4566" s="3" t="n">
        <v>4564</v>
      </c>
      <c r="C4566" s="3" t="n">
        <v>5</v>
      </c>
      <c r="D4566" s="3" t="n">
        <v>23</v>
      </c>
      <c r="E4566" s="3" t="n">
        <v>0</v>
      </c>
      <c r="F4566" s="24" t="n">
        <v>0.354324996</v>
      </c>
    </row>
    <row r="4567" customFormat="false" ht="15" hidden="false" customHeight="false" outlineLevel="0" collapsed="false">
      <c r="A4567" s="3" t="n">
        <v>4566</v>
      </c>
      <c r="B4567" s="3" t="n">
        <v>4565</v>
      </c>
      <c r="C4567" s="3" t="n">
        <v>5</v>
      </c>
      <c r="D4567" s="3" t="n">
        <v>23</v>
      </c>
      <c r="E4567" s="3" t="n">
        <v>1</v>
      </c>
      <c r="F4567" s="24" t="n">
        <v>0.51512605</v>
      </c>
    </row>
    <row r="4568" customFormat="false" ht="15" hidden="false" customHeight="false" outlineLevel="0" collapsed="false">
      <c r="A4568" s="3" t="n">
        <v>4567</v>
      </c>
      <c r="B4568" s="3" t="n">
        <v>4566</v>
      </c>
      <c r="C4568" s="3" t="n">
        <v>5</v>
      </c>
      <c r="D4568" s="3" t="n">
        <v>23</v>
      </c>
      <c r="E4568" s="3" t="n">
        <v>2</v>
      </c>
      <c r="F4568" s="24" t="n">
        <v>0.51512605</v>
      </c>
    </row>
    <row r="4569" customFormat="false" ht="15" hidden="false" customHeight="false" outlineLevel="0" collapsed="false">
      <c r="A4569" s="3" t="n">
        <v>4568</v>
      </c>
      <c r="B4569" s="3" t="n">
        <v>4567</v>
      </c>
      <c r="C4569" s="3" t="n">
        <v>5</v>
      </c>
      <c r="D4569" s="3" t="n">
        <v>23</v>
      </c>
      <c r="E4569" s="3" t="n">
        <v>3</v>
      </c>
      <c r="F4569" s="24" t="n">
        <v>0.51512605</v>
      </c>
    </row>
    <row r="4570" customFormat="false" ht="15" hidden="false" customHeight="false" outlineLevel="0" collapsed="false">
      <c r="A4570" s="3" t="n">
        <v>4569</v>
      </c>
      <c r="B4570" s="3" t="n">
        <v>4568</v>
      </c>
      <c r="C4570" s="3" t="n">
        <v>5</v>
      </c>
      <c r="D4570" s="3" t="n">
        <v>23</v>
      </c>
      <c r="E4570" s="3" t="n">
        <v>4</v>
      </c>
      <c r="F4570" s="24" t="n">
        <v>0.51512605</v>
      </c>
    </row>
    <row r="4571" customFormat="false" ht="15" hidden="false" customHeight="false" outlineLevel="0" collapsed="false">
      <c r="A4571" s="3" t="n">
        <v>4570</v>
      </c>
      <c r="B4571" s="3" t="n">
        <v>4569</v>
      </c>
      <c r="C4571" s="3" t="n">
        <v>5</v>
      </c>
      <c r="D4571" s="3" t="n">
        <v>23</v>
      </c>
      <c r="E4571" s="3" t="n">
        <v>5</v>
      </c>
      <c r="F4571" s="24" t="n">
        <v>0.51512605</v>
      </c>
    </row>
    <row r="4572" customFormat="false" ht="15" hidden="false" customHeight="false" outlineLevel="0" collapsed="false">
      <c r="A4572" s="3" t="n">
        <v>4571</v>
      </c>
      <c r="B4572" s="3" t="n">
        <v>4570</v>
      </c>
      <c r="C4572" s="3" t="n">
        <v>5</v>
      </c>
      <c r="D4572" s="3" t="n">
        <v>23</v>
      </c>
      <c r="E4572" s="3" t="n">
        <v>6</v>
      </c>
      <c r="F4572" s="24" t="n">
        <v>0.51512605</v>
      </c>
    </row>
    <row r="4573" customFormat="false" ht="15" hidden="false" customHeight="false" outlineLevel="0" collapsed="false">
      <c r="A4573" s="3" t="n">
        <v>4572</v>
      </c>
      <c r="B4573" s="3" t="n">
        <v>4571</v>
      </c>
      <c r="C4573" s="3" t="n">
        <v>5</v>
      </c>
      <c r="D4573" s="3" t="n">
        <v>23</v>
      </c>
      <c r="E4573" s="3" t="n">
        <v>7</v>
      </c>
      <c r="F4573" s="24" t="n">
        <v>0.51512605</v>
      </c>
    </row>
    <row r="4574" customFormat="false" ht="15" hidden="false" customHeight="false" outlineLevel="0" collapsed="false">
      <c r="A4574" s="3" t="n">
        <v>4573</v>
      </c>
      <c r="B4574" s="3" t="n">
        <v>4572</v>
      </c>
      <c r="C4574" s="3" t="n">
        <v>5</v>
      </c>
      <c r="D4574" s="3" t="n">
        <v>23</v>
      </c>
      <c r="E4574" s="3" t="n">
        <v>8</v>
      </c>
      <c r="F4574" s="24" t="n">
        <v>0.51512605</v>
      </c>
    </row>
    <row r="4575" customFormat="false" ht="15" hidden="false" customHeight="false" outlineLevel="0" collapsed="false">
      <c r="A4575" s="3" t="n">
        <v>4574</v>
      </c>
      <c r="B4575" s="3" t="n">
        <v>4573</v>
      </c>
      <c r="C4575" s="3" t="n">
        <v>5</v>
      </c>
      <c r="D4575" s="3" t="n">
        <v>23</v>
      </c>
      <c r="E4575" s="3" t="n">
        <v>9</v>
      </c>
      <c r="F4575" s="24" t="n">
        <v>0.820443392</v>
      </c>
    </row>
    <row r="4576" customFormat="false" ht="15" hidden="false" customHeight="false" outlineLevel="0" collapsed="false">
      <c r="A4576" s="3" t="n">
        <v>4575</v>
      </c>
      <c r="B4576" s="3" t="n">
        <v>4574</v>
      </c>
      <c r="C4576" s="3" t="n">
        <v>5</v>
      </c>
      <c r="D4576" s="3" t="n">
        <v>23</v>
      </c>
      <c r="E4576" s="3" t="n">
        <v>10</v>
      </c>
      <c r="F4576" s="24" t="n">
        <v>-0.126245752</v>
      </c>
    </row>
    <row r="4577" customFormat="false" ht="15" hidden="false" customHeight="false" outlineLevel="0" collapsed="false">
      <c r="A4577" s="3" t="n">
        <v>4576</v>
      </c>
      <c r="B4577" s="3" t="n">
        <v>4575</v>
      </c>
      <c r="C4577" s="3" t="n">
        <v>5</v>
      </c>
      <c r="D4577" s="3" t="n">
        <v>23</v>
      </c>
      <c r="E4577" s="3" t="n">
        <v>11</v>
      </c>
      <c r="F4577" s="24" t="n">
        <v>-2.73464894</v>
      </c>
    </row>
    <row r="4578" customFormat="false" ht="15" hidden="false" customHeight="false" outlineLevel="0" collapsed="false">
      <c r="A4578" s="3" t="n">
        <v>4577</v>
      </c>
      <c r="B4578" s="3" t="n">
        <v>4576</v>
      </c>
      <c r="C4578" s="3" t="n">
        <v>5</v>
      </c>
      <c r="D4578" s="3" t="n">
        <v>23</v>
      </c>
      <c r="E4578" s="3" t="n">
        <v>12</v>
      </c>
      <c r="F4578" s="24" t="n">
        <v>-2.92890906</v>
      </c>
    </row>
    <row r="4579" customFormat="false" ht="15" hidden="false" customHeight="false" outlineLevel="0" collapsed="false">
      <c r="A4579" s="3" t="n">
        <v>4578</v>
      </c>
      <c r="B4579" s="3" t="n">
        <v>4577</v>
      </c>
      <c r="C4579" s="3" t="n">
        <v>5</v>
      </c>
      <c r="D4579" s="3" t="n">
        <v>23</v>
      </c>
      <c r="E4579" s="3" t="n">
        <v>13</v>
      </c>
      <c r="F4579" s="24" t="n">
        <v>-1.30886221</v>
      </c>
    </row>
    <row r="4580" customFormat="false" ht="15" hidden="false" customHeight="false" outlineLevel="0" collapsed="false">
      <c r="A4580" s="3" t="n">
        <v>4579</v>
      </c>
      <c r="B4580" s="3" t="n">
        <v>4578</v>
      </c>
      <c r="C4580" s="3" t="n">
        <v>5</v>
      </c>
      <c r="D4580" s="3" t="n">
        <v>23</v>
      </c>
      <c r="E4580" s="3" t="n">
        <v>14</v>
      </c>
      <c r="F4580" s="24" t="n">
        <v>-0.342489898</v>
      </c>
    </row>
    <row r="4581" customFormat="false" ht="15" hidden="false" customHeight="false" outlineLevel="0" collapsed="false">
      <c r="A4581" s="3" t="n">
        <v>4580</v>
      </c>
      <c r="B4581" s="3" t="n">
        <v>4579</v>
      </c>
      <c r="C4581" s="3" t="n">
        <v>5</v>
      </c>
      <c r="D4581" s="3" t="n">
        <v>23</v>
      </c>
      <c r="E4581" s="3" t="n">
        <v>15</v>
      </c>
      <c r="F4581" s="24" t="n">
        <v>0.509148896</v>
      </c>
    </row>
    <row r="4582" customFormat="false" ht="15" hidden="false" customHeight="false" outlineLevel="0" collapsed="false">
      <c r="A4582" s="3" t="n">
        <v>4581</v>
      </c>
      <c r="B4582" s="3" t="n">
        <v>4580</v>
      </c>
      <c r="C4582" s="3" t="n">
        <v>5</v>
      </c>
      <c r="D4582" s="3" t="n">
        <v>23</v>
      </c>
      <c r="E4582" s="3" t="n">
        <v>16</v>
      </c>
      <c r="F4582" s="24" t="n">
        <v>0.518887043</v>
      </c>
    </row>
    <row r="4583" customFormat="false" ht="15" hidden="false" customHeight="false" outlineLevel="0" collapsed="false">
      <c r="A4583" s="3" t="n">
        <v>4582</v>
      </c>
      <c r="B4583" s="3" t="n">
        <v>4581</v>
      </c>
      <c r="C4583" s="3" t="n">
        <v>5</v>
      </c>
      <c r="D4583" s="3" t="n">
        <v>23</v>
      </c>
      <c r="E4583" s="3" t="n">
        <v>17</v>
      </c>
      <c r="F4583" s="24" t="n">
        <v>0.51512605</v>
      </c>
    </row>
    <row r="4584" customFormat="false" ht="15" hidden="false" customHeight="false" outlineLevel="0" collapsed="false">
      <c r="A4584" s="3" t="n">
        <v>4583</v>
      </c>
      <c r="B4584" s="3" t="n">
        <v>4582</v>
      </c>
      <c r="C4584" s="3" t="n">
        <v>5</v>
      </c>
      <c r="D4584" s="3" t="n">
        <v>23</v>
      </c>
      <c r="E4584" s="3" t="n">
        <v>18</v>
      </c>
      <c r="F4584" s="24" t="n">
        <v>0.51512605</v>
      </c>
    </row>
    <row r="4585" customFormat="false" ht="15" hidden="false" customHeight="false" outlineLevel="0" collapsed="false">
      <c r="A4585" s="3" t="n">
        <v>4584</v>
      </c>
      <c r="B4585" s="3" t="n">
        <v>4583</v>
      </c>
      <c r="C4585" s="3" t="n">
        <v>5</v>
      </c>
      <c r="D4585" s="3" t="n">
        <v>23</v>
      </c>
      <c r="E4585" s="3" t="n">
        <v>19</v>
      </c>
      <c r="F4585" s="24" t="n">
        <v>0.51512605</v>
      </c>
    </row>
    <row r="4586" customFormat="false" ht="15" hidden="false" customHeight="false" outlineLevel="0" collapsed="false">
      <c r="A4586" s="3" t="n">
        <v>4585</v>
      </c>
      <c r="B4586" s="3" t="n">
        <v>4584</v>
      </c>
      <c r="C4586" s="3" t="n">
        <v>5</v>
      </c>
      <c r="D4586" s="3" t="n">
        <v>23</v>
      </c>
      <c r="E4586" s="3" t="n">
        <v>20</v>
      </c>
      <c r="F4586" s="24" t="n">
        <v>0.51512605</v>
      </c>
    </row>
    <row r="4587" customFormat="false" ht="15" hidden="false" customHeight="false" outlineLevel="0" collapsed="false">
      <c r="A4587" s="3" t="n">
        <v>4586</v>
      </c>
      <c r="B4587" s="3" t="n">
        <v>4585</v>
      </c>
      <c r="C4587" s="3" t="n">
        <v>5</v>
      </c>
      <c r="D4587" s="3" t="n">
        <v>23</v>
      </c>
      <c r="E4587" s="3" t="n">
        <v>21</v>
      </c>
      <c r="F4587" s="24" t="n">
        <v>0.51512605</v>
      </c>
    </row>
    <row r="4588" customFormat="false" ht="15" hidden="false" customHeight="false" outlineLevel="0" collapsed="false">
      <c r="A4588" s="3" t="n">
        <v>4587</v>
      </c>
      <c r="B4588" s="3" t="n">
        <v>4586</v>
      </c>
      <c r="C4588" s="3" t="n">
        <v>5</v>
      </c>
      <c r="D4588" s="3" t="n">
        <v>23</v>
      </c>
      <c r="E4588" s="3" t="n">
        <v>22</v>
      </c>
      <c r="F4588" s="24" t="n">
        <v>0.51512605</v>
      </c>
    </row>
    <row r="4589" customFormat="false" ht="15" hidden="false" customHeight="false" outlineLevel="0" collapsed="false">
      <c r="A4589" s="3" t="n">
        <v>4588</v>
      </c>
      <c r="B4589" s="3" t="n">
        <v>4587</v>
      </c>
      <c r="C4589" s="3" t="n">
        <v>5</v>
      </c>
      <c r="D4589" s="3" t="n">
        <v>23</v>
      </c>
      <c r="E4589" s="3" t="n">
        <v>23</v>
      </c>
      <c r="F4589" s="24" t="n">
        <v>0.51512605</v>
      </c>
    </row>
    <row r="4590" customFormat="false" ht="15" hidden="false" customHeight="false" outlineLevel="0" collapsed="false">
      <c r="A4590" s="3" t="n">
        <v>4589</v>
      </c>
      <c r="B4590" s="3" t="n">
        <v>4588</v>
      </c>
      <c r="C4590" s="3" t="n">
        <v>5</v>
      </c>
      <c r="D4590" s="3" t="n">
        <v>23</v>
      </c>
      <c r="E4590" s="3" t="n">
        <v>24</v>
      </c>
      <c r="F4590" s="24" t="n">
        <v>0.51512605</v>
      </c>
    </row>
    <row r="4591" customFormat="false" ht="15" hidden="false" customHeight="false" outlineLevel="0" collapsed="false">
      <c r="A4591" s="3" t="n">
        <v>4590</v>
      </c>
      <c r="B4591" s="3" t="n">
        <v>4589</v>
      </c>
      <c r="C4591" s="3" t="n">
        <v>5</v>
      </c>
      <c r="D4591" s="3" t="n">
        <v>23</v>
      </c>
      <c r="E4591" s="3" t="n">
        <v>25</v>
      </c>
      <c r="F4591" s="24" t="n">
        <v>0.51512605</v>
      </c>
    </row>
    <row r="4592" customFormat="false" ht="15" hidden="false" customHeight="false" outlineLevel="0" collapsed="false">
      <c r="A4592" s="3" t="n">
        <v>4591</v>
      </c>
      <c r="B4592" s="3" t="n">
        <v>4590</v>
      </c>
      <c r="C4592" s="3" t="n">
        <v>5</v>
      </c>
      <c r="D4592" s="3" t="n">
        <v>23</v>
      </c>
      <c r="E4592" s="3" t="n">
        <v>26</v>
      </c>
      <c r="F4592" s="24" t="n">
        <v>0.51512605</v>
      </c>
    </row>
    <row r="4593" customFormat="false" ht="15" hidden="false" customHeight="false" outlineLevel="0" collapsed="false">
      <c r="A4593" s="3" t="n">
        <v>4592</v>
      </c>
      <c r="B4593" s="3" t="n">
        <v>4591</v>
      </c>
      <c r="C4593" s="3" t="n">
        <v>5</v>
      </c>
      <c r="D4593" s="3" t="n">
        <v>23</v>
      </c>
      <c r="E4593" s="3" t="n">
        <v>27</v>
      </c>
      <c r="F4593" s="24" t="n">
        <v>0.459515482</v>
      </c>
    </row>
    <row r="4594" customFormat="false" ht="15" hidden="false" customHeight="false" outlineLevel="0" collapsed="false">
      <c r="A4594" s="3" t="n">
        <v>4593</v>
      </c>
      <c r="B4594" s="3" t="n">
        <v>4592</v>
      </c>
      <c r="C4594" s="3" t="n">
        <v>5</v>
      </c>
      <c r="D4594" s="3" t="n">
        <v>24</v>
      </c>
      <c r="E4594" s="3" t="n">
        <v>0</v>
      </c>
      <c r="F4594" s="24" t="n">
        <v>0.354324996</v>
      </c>
    </row>
    <row r="4595" customFormat="false" ht="15" hidden="false" customHeight="false" outlineLevel="0" collapsed="false">
      <c r="A4595" s="3" t="n">
        <v>4594</v>
      </c>
      <c r="B4595" s="3" t="n">
        <v>4593</v>
      </c>
      <c r="C4595" s="3" t="n">
        <v>5</v>
      </c>
      <c r="D4595" s="3" t="n">
        <v>24</v>
      </c>
      <c r="E4595" s="3" t="n">
        <v>1</v>
      </c>
      <c r="F4595" s="24" t="n">
        <v>0.51512605</v>
      </c>
    </row>
    <row r="4596" customFormat="false" ht="15" hidden="false" customHeight="false" outlineLevel="0" collapsed="false">
      <c r="A4596" s="3" t="n">
        <v>4595</v>
      </c>
      <c r="B4596" s="3" t="n">
        <v>4594</v>
      </c>
      <c r="C4596" s="3" t="n">
        <v>5</v>
      </c>
      <c r="D4596" s="3" t="n">
        <v>24</v>
      </c>
      <c r="E4596" s="3" t="n">
        <v>2</v>
      </c>
      <c r="F4596" s="24" t="n">
        <v>0.51512605</v>
      </c>
    </row>
    <row r="4597" customFormat="false" ht="15" hidden="false" customHeight="false" outlineLevel="0" collapsed="false">
      <c r="A4597" s="3" t="n">
        <v>4596</v>
      </c>
      <c r="B4597" s="3" t="n">
        <v>4595</v>
      </c>
      <c r="C4597" s="3" t="n">
        <v>5</v>
      </c>
      <c r="D4597" s="3" t="n">
        <v>24</v>
      </c>
      <c r="E4597" s="3" t="n">
        <v>3</v>
      </c>
      <c r="F4597" s="24" t="n">
        <v>0.51512605</v>
      </c>
    </row>
    <row r="4598" customFormat="false" ht="15" hidden="false" customHeight="false" outlineLevel="0" collapsed="false">
      <c r="A4598" s="3" t="n">
        <v>4597</v>
      </c>
      <c r="B4598" s="3" t="n">
        <v>4596</v>
      </c>
      <c r="C4598" s="3" t="n">
        <v>5</v>
      </c>
      <c r="D4598" s="3" t="n">
        <v>24</v>
      </c>
      <c r="E4598" s="3" t="n">
        <v>4</v>
      </c>
      <c r="F4598" s="24" t="n">
        <v>0.51512605</v>
      </c>
    </row>
    <row r="4599" customFormat="false" ht="15" hidden="false" customHeight="false" outlineLevel="0" collapsed="false">
      <c r="A4599" s="3" t="n">
        <v>4598</v>
      </c>
      <c r="B4599" s="3" t="n">
        <v>4597</v>
      </c>
      <c r="C4599" s="3" t="n">
        <v>5</v>
      </c>
      <c r="D4599" s="3" t="n">
        <v>24</v>
      </c>
      <c r="E4599" s="3" t="n">
        <v>5</v>
      </c>
      <c r="F4599" s="24" t="n">
        <v>0.51512605</v>
      </c>
    </row>
    <row r="4600" customFormat="false" ht="15" hidden="false" customHeight="false" outlineLevel="0" collapsed="false">
      <c r="A4600" s="3" t="n">
        <v>4599</v>
      </c>
      <c r="B4600" s="3" t="n">
        <v>4598</v>
      </c>
      <c r="C4600" s="3" t="n">
        <v>5</v>
      </c>
      <c r="D4600" s="3" t="n">
        <v>24</v>
      </c>
      <c r="E4600" s="3" t="n">
        <v>6</v>
      </c>
      <c r="F4600" s="24" t="n">
        <v>0.51512605</v>
      </c>
    </row>
    <row r="4601" customFormat="false" ht="15" hidden="false" customHeight="false" outlineLevel="0" collapsed="false">
      <c r="A4601" s="3" t="n">
        <v>4600</v>
      </c>
      <c r="B4601" s="3" t="n">
        <v>4599</v>
      </c>
      <c r="C4601" s="3" t="n">
        <v>5</v>
      </c>
      <c r="D4601" s="3" t="n">
        <v>24</v>
      </c>
      <c r="E4601" s="3" t="n">
        <v>7</v>
      </c>
      <c r="F4601" s="24" t="n">
        <v>0.51512605</v>
      </c>
    </row>
    <row r="4602" customFormat="false" ht="15" hidden="false" customHeight="false" outlineLevel="0" collapsed="false">
      <c r="A4602" s="3" t="n">
        <v>4601</v>
      </c>
      <c r="B4602" s="3" t="n">
        <v>4600</v>
      </c>
      <c r="C4602" s="3" t="n">
        <v>5</v>
      </c>
      <c r="D4602" s="3" t="n">
        <v>24</v>
      </c>
      <c r="E4602" s="3" t="n">
        <v>8</v>
      </c>
      <c r="F4602" s="24" t="n">
        <v>0.51512605</v>
      </c>
    </row>
    <row r="4603" customFormat="false" ht="15" hidden="false" customHeight="false" outlineLevel="0" collapsed="false">
      <c r="A4603" s="3" t="n">
        <v>4602</v>
      </c>
      <c r="B4603" s="3" t="n">
        <v>4601</v>
      </c>
      <c r="C4603" s="3" t="n">
        <v>5</v>
      </c>
      <c r="D4603" s="3" t="n">
        <v>24</v>
      </c>
      <c r="E4603" s="3" t="n">
        <v>9</v>
      </c>
      <c r="F4603" s="24" t="n">
        <v>0.445538521</v>
      </c>
    </row>
    <row r="4604" customFormat="false" ht="15" hidden="false" customHeight="false" outlineLevel="0" collapsed="false">
      <c r="A4604" s="3" t="n">
        <v>4603</v>
      </c>
      <c r="B4604" s="3" t="n">
        <v>4602</v>
      </c>
      <c r="C4604" s="3" t="n">
        <v>5</v>
      </c>
      <c r="D4604" s="3" t="n">
        <v>24</v>
      </c>
      <c r="E4604" s="3" t="n">
        <v>10</v>
      </c>
      <c r="F4604" s="24" t="n">
        <v>-1.46411955</v>
      </c>
    </row>
    <row r="4605" customFormat="false" ht="15" hidden="false" customHeight="false" outlineLevel="0" collapsed="false">
      <c r="A4605" s="3" t="n">
        <v>4604</v>
      </c>
      <c r="B4605" s="3" t="n">
        <v>4603</v>
      </c>
      <c r="C4605" s="3" t="n">
        <v>5</v>
      </c>
      <c r="D4605" s="3" t="n">
        <v>24</v>
      </c>
      <c r="E4605" s="3" t="n">
        <v>11</v>
      </c>
      <c r="F4605" s="24" t="n">
        <v>-2.6407578</v>
      </c>
    </row>
    <row r="4606" customFormat="false" ht="15" hidden="false" customHeight="false" outlineLevel="0" collapsed="false">
      <c r="A4606" s="3" t="n">
        <v>4605</v>
      </c>
      <c r="B4606" s="3" t="n">
        <v>4604</v>
      </c>
      <c r="C4606" s="3" t="n">
        <v>5</v>
      </c>
      <c r="D4606" s="3" t="n">
        <v>24</v>
      </c>
      <c r="E4606" s="3" t="n">
        <v>12</v>
      </c>
      <c r="F4606" s="24" t="n">
        <v>-2.45613694</v>
      </c>
    </row>
    <row r="4607" customFormat="false" ht="15" hidden="false" customHeight="false" outlineLevel="0" collapsed="false">
      <c r="A4607" s="3" t="n">
        <v>4606</v>
      </c>
      <c r="B4607" s="3" t="n">
        <v>4605</v>
      </c>
      <c r="C4607" s="3" t="n">
        <v>5</v>
      </c>
      <c r="D4607" s="3" t="n">
        <v>24</v>
      </c>
      <c r="E4607" s="3" t="n">
        <v>13</v>
      </c>
      <c r="F4607" s="24" t="n">
        <v>-1.23653984</v>
      </c>
    </row>
    <row r="4608" customFormat="false" ht="15" hidden="false" customHeight="false" outlineLevel="0" collapsed="false">
      <c r="A4608" s="3" t="n">
        <v>4607</v>
      </c>
      <c r="B4608" s="3" t="n">
        <v>4606</v>
      </c>
      <c r="C4608" s="3" t="n">
        <v>5</v>
      </c>
      <c r="D4608" s="3" t="n">
        <v>24</v>
      </c>
      <c r="E4608" s="3" t="n">
        <v>14</v>
      </c>
      <c r="F4608" s="24" t="n">
        <v>-0.400238574</v>
      </c>
    </row>
    <row r="4609" customFormat="false" ht="15" hidden="false" customHeight="false" outlineLevel="0" collapsed="false">
      <c r="A4609" s="3" t="n">
        <v>4608</v>
      </c>
      <c r="B4609" s="3" t="n">
        <v>4607</v>
      </c>
      <c r="C4609" s="3" t="n">
        <v>5</v>
      </c>
      <c r="D4609" s="3" t="n">
        <v>24</v>
      </c>
      <c r="E4609" s="3" t="n">
        <v>15</v>
      </c>
      <c r="F4609" s="24" t="n">
        <v>0.383152872</v>
      </c>
    </row>
    <row r="4610" customFormat="false" ht="15" hidden="false" customHeight="false" outlineLevel="0" collapsed="false">
      <c r="A4610" s="3" t="n">
        <v>4609</v>
      </c>
      <c r="B4610" s="3" t="n">
        <v>4608</v>
      </c>
      <c r="C4610" s="3" t="n">
        <v>5</v>
      </c>
      <c r="D4610" s="3" t="n">
        <v>24</v>
      </c>
      <c r="E4610" s="3" t="n">
        <v>16</v>
      </c>
      <c r="F4610" s="24" t="n">
        <v>0.51512605</v>
      </c>
    </row>
    <row r="4611" customFormat="false" ht="15" hidden="false" customHeight="false" outlineLevel="0" collapsed="false">
      <c r="A4611" s="3" t="n">
        <v>4610</v>
      </c>
      <c r="B4611" s="3" t="n">
        <v>4609</v>
      </c>
      <c r="C4611" s="3" t="n">
        <v>5</v>
      </c>
      <c r="D4611" s="3" t="n">
        <v>24</v>
      </c>
      <c r="E4611" s="3" t="n">
        <v>17</v>
      </c>
      <c r="F4611" s="24" t="n">
        <v>0.51512605</v>
      </c>
    </row>
    <row r="4612" customFormat="false" ht="15" hidden="false" customHeight="false" outlineLevel="0" collapsed="false">
      <c r="A4612" s="3" t="n">
        <v>4611</v>
      </c>
      <c r="B4612" s="3" t="n">
        <v>4610</v>
      </c>
      <c r="C4612" s="3" t="n">
        <v>5</v>
      </c>
      <c r="D4612" s="3" t="n">
        <v>24</v>
      </c>
      <c r="E4612" s="3" t="n">
        <v>18</v>
      </c>
      <c r="F4612" s="24" t="n">
        <v>0.51512605</v>
      </c>
    </row>
    <row r="4613" customFormat="false" ht="15" hidden="false" customHeight="false" outlineLevel="0" collapsed="false">
      <c r="A4613" s="3" t="n">
        <v>4612</v>
      </c>
      <c r="B4613" s="3" t="n">
        <v>4611</v>
      </c>
      <c r="C4613" s="3" t="n">
        <v>5</v>
      </c>
      <c r="D4613" s="3" t="n">
        <v>24</v>
      </c>
      <c r="E4613" s="3" t="n">
        <v>19</v>
      </c>
      <c r="F4613" s="24" t="n">
        <v>0.51512605</v>
      </c>
    </row>
    <row r="4614" customFormat="false" ht="15" hidden="false" customHeight="false" outlineLevel="0" collapsed="false">
      <c r="A4614" s="3" t="n">
        <v>4613</v>
      </c>
      <c r="B4614" s="3" t="n">
        <v>4612</v>
      </c>
      <c r="C4614" s="3" t="n">
        <v>5</v>
      </c>
      <c r="D4614" s="3" t="n">
        <v>24</v>
      </c>
      <c r="E4614" s="3" t="n">
        <v>20</v>
      </c>
      <c r="F4614" s="24" t="n">
        <v>0.51512605</v>
      </c>
    </row>
    <row r="4615" customFormat="false" ht="15" hidden="false" customHeight="false" outlineLevel="0" collapsed="false">
      <c r="A4615" s="3" t="n">
        <v>4614</v>
      </c>
      <c r="B4615" s="3" t="n">
        <v>4613</v>
      </c>
      <c r="C4615" s="3" t="n">
        <v>5</v>
      </c>
      <c r="D4615" s="3" t="n">
        <v>24</v>
      </c>
      <c r="E4615" s="3" t="n">
        <v>21</v>
      </c>
      <c r="F4615" s="24" t="n">
        <v>0.51512605</v>
      </c>
    </row>
    <row r="4616" customFormat="false" ht="15" hidden="false" customHeight="false" outlineLevel="0" collapsed="false">
      <c r="A4616" s="3" t="n">
        <v>4615</v>
      </c>
      <c r="B4616" s="3" t="n">
        <v>4614</v>
      </c>
      <c r="C4616" s="3" t="n">
        <v>5</v>
      </c>
      <c r="D4616" s="3" t="n">
        <v>24</v>
      </c>
      <c r="E4616" s="3" t="n">
        <v>22</v>
      </c>
      <c r="F4616" s="24" t="n">
        <v>0.51512605</v>
      </c>
    </row>
    <row r="4617" customFormat="false" ht="15" hidden="false" customHeight="false" outlineLevel="0" collapsed="false">
      <c r="A4617" s="3" t="n">
        <v>4616</v>
      </c>
      <c r="B4617" s="3" t="n">
        <v>4615</v>
      </c>
      <c r="C4617" s="3" t="n">
        <v>5</v>
      </c>
      <c r="D4617" s="3" t="n">
        <v>24</v>
      </c>
      <c r="E4617" s="3" t="n">
        <v>23</v>
      </c>
      <c r="F4617" s="24" t="n">
        <v>0.51512605</v>
      </c>
    </row>
    <row r="4618" customFormat="false" ht="15" hidden="false" customHeight="false" outlineLevel="0" collapsed="false">
      <c r="A4618" s="3" t="n">
        <v>4617</v>
      </c>
      <c r="B4618" s="3" t="n">
        <v>4616</v>
      </c>
      <c r="C4618" s="3" t="n">
        <v>5</v>
      </c>
      <c r="D4618" s="3" t="n">
        <v>24</v>
      </c>
      <c r="E4618" s="3" t="n">
        <v>24</v>
      </c>
      <c r="F4618" s="24" t="n">
        <v>0.51512605</v>
      </c>
    </row>
    <row r="4619" customFormat="false" ht="15" hidden="false" customHeight="false" outlineLevel="0" collapsed="false">
      <c r="A4619" s="3" t="n">
        <v>4618</v>
      </c>
      <c r="B4619" s="3" t="n">
        <v>4617</v>
      </c>
      <c r="C4619" s="3" t="n">
        <v>5</v>
      </c>
      <c r="D4619" s="3" t="n">
        <v>24</v>
      </c>
      <c r="E4619" s="3" t="n">
        <v>25</v>
      </c>
      <c r="F4619" s="24" t="n">
        <v>0.51512605</v>
      </c>
    </row>
    <row r="4620" customFormat="false" ht="15" hidden="false" customHeight="false" outlineLevel="0" collapsed="false">
      <c r="A4620" s="3" t="n">
        <v>4619</v>
      </c>
      <c r="B4620" s="3" t="n">
        <v>4618</v>
      </c>
      <c r="C4620" s="3" t="n">
        <v>5</v>
      </c>
      <c r="D4620" s="3" t="n">
        <v>24</v>
      </c>
      <c r="E4620" s="3" t="n">
        <v>26</v>
      </c>
      <c r="F4620" s="24" t="n">
        <v>0.51512605</v>
      </c>
    </row>
    <row r="4621" customFormat="false" ht="15" hidden="false" customHeight="false" outlineLevel="0" collapsed="false">
      <c r="A4621" s="3" t="n">
        <v>4620</v>
      </c>
      <c r="B4621" s="3" t="n">
        <v>4619</v>
      </c>
      <c r="C4621" s="3" t="n">
        <v>5</v>
      </c>
      <c r="D4621" s="3" t="n">
        <v>24</v>
      </c>
      <c r="E4621" s="3" t="n">
        <v>27</v>
      </c>
      <c r="F4621" s="24" t="n">
        <v>0.459515482</v>
      </c>
    </row>
    <row r="4622" customFormat="false" ht="15" hidden="false" customHeight="false" outlineLevel="0" collapsed="false">
      <c r="A4622" s="3" t="n">
        <v>4621</v>
      </c>
      <c r="B4622" s="3" t="n">
        <v>4620</v>
      </c>
      <c r="C4622" s="3" t="n">
        <v>5</v>
      </c>
      <c r="D4622" s="3" t="n">
        <v>25</v>
      </c>
      <c r="E4622" s="3" t="n">
        <v>0</v>
      </c>
      <c r="F4622" s="24" t="n">
        <v>0.354324996</v>
      </c>
    </row>
    <row r="4623" customFormat="false" ht="15" hidden="false" customHeight="false" outlineLevel="0" collapsed="false">
      <c r="A4623" s="3" t="n">
        <v>4622</v>
      </c>
      <c r="B4623" s="3" t="n">
        <v>4621</v>
      </c>
      <c r="C4623" s="3" t="n">
        <v>5</v>
      </c>
      <c r="D4623" s="3" t="n">
        <v>25</v>
      </c>
      <c r="E4623" s="3" t="n">
        <v>1</v>
      </c>
      <c r="F4623" s="24" t="n">
        <v>0.51512605</v>
      </c>
    </row>
    <row r="4624" customFormat="false" ht="15" hidden="false" customHeight="false" outlineLevel="0" collapsed="false">
      <c r="A4624" s="3" t="n">
        <v>4623</v>
      </c>
      <c r="B4624" s="3" t="n">
        <v>4622</v>
      </c>
      <c r="C4624" s="3" t="n">
        <v>5</v>
      </c>
      <c r="D4624" s="3" t="n">
        <v>25</v>
      </c>
      <c r="E4624" s="3" t="n">
        <v>2</v>
      </c>
      <c r="F4624" s="24" t="n">
        <v>0.51512605</v>
      </c>
    </row>
    <row r="4625" customFormat="false" ht="15" hidden="false" customHeight="false" outlineLevel="0" collapsed="false">
      <c r="A4625" s="3" t="n">
        <v>4624</v>
      </c>
      <c r="B4625" s="3" t="n">
        <v>4623</v>
      </c>
      <c r="C4625" s="3" t="n">
        <v>5</v>
      </c>
      <c r="D4625" s="3" t="n">
        <v>25</v>
      </c>
      <c r="E4625" s="3" t="n">
        <v>3</v>
      </c>
      <c r="F4625" s="24" t="n">
        <v>0.51512605</v>
      </c>
    </row>
    <row r="4626" customFormat="false" ht="15" hidden="false" customHeight="false" outlineLevel="0" collapsed="false">
      <c r="A4626" s="3" t="n">
        <v>4625</v>
      </c>
      <c r="B4626" s="3" t="n">
        <v>4624</v>
      </c>
      <c r="C4626" s="3" t="n">
        <v>5</v>
      </c>
      <c r="D4626" s="3" t="n">
        <v>25</v>
      </c>
      <c r="E4626" s="3" t="n">
        <v>4</v>
      </c>
      <c r="F4626" s="24" t="n">
        <v>0.51512605</v>
      </c>
    </row>
    <row r="4627" customFormat="false" ht="15" hidden="false" customHeight="false" outlineLevel="0" collapsed="false">
      <c r="A4627" s="3" t="n">
        <v>4626</v>
      </c>
      <c r="B4627" s="3" t="n">
        <v>4625</v>
      </c>
      <c r="C4627" s="3" t="n">
        <v>5</v>
      </c>
      <c r="D4627" s="3" t="n">
        <v>25</v>
      </c>
      <c r="E4627" s="3" t="n">
        <v>5</v>
      </c>
      <c r="F4627" s="24" t="n">
        <v>0.51512605</v>
      </c>
    </row>
    <row r="4628" customFormat="false" ht="15" hidden="false" customHeight="false" outlineLevel="0" collapsed="false">
      <c r="A4628" s="3" t="n">
        <v>4627</v>
      </c>
      <c r="B4628" s="3" t="n">
        <v>4626</v>
      </c>
      <c r="C4628" s="3" t="n">
        <v>5</v>
      </c>
      <c r="D4628" s="3" t="n">
        <v>25</v>
      </c>
      <c r="E4628" s="3" t="n">
        <v>6</v>
      </c>
      <c r="F4628" s="24" t="n">
        <v>0.51512605</v>
      </c>
    </row>
    <row r="4629" customFormat="false" ht="15" hidden="false" customHeight="false" outlineLevel="0" collapsed="false">
      <c r="A4629" s="3" t="n">
        <v>4628</v>
      </c>
      <c r="B4629" s="3" t="n">
        <v>4627</v>
      </c>
      <c r="C4629" s="3" t="n">
        <v>5</v>
      </c>
      <c r="D4629" s="3" t="n">
        <v>25</v>
      </c>
      <c r="E4629" s="3" t="n">
        <v>7</v>
      </c>
      <c r="F4629" s="24" t="n">
        <v>0.51512605</v>
      </c>
    </row>
    <row r="4630" customFormat="false" ht="15" hidden="false" customHeight="false" outlineLevel="0" collapsed="false">
      <c r="A4630" s="3" t="n">
        <v>4629</v>
      </c>
      <c r="B4630" s="3" t="n">
        <v>4628</v>
      </c>
      <c r="C4630" s="3" t="n">
        <v>5</v>
      </c>
      <c r="D4630" s="3" t="n">
        <v>25</v>
      </c>
      <c r="E4630" s="3" t="n">
        <v>8</v>
      </c>
      <c r="F4630" s="24" t="n">
        <v>0.51512605</v>
      </c>
    </row>
    <row r="4631" customFormat="false" ht="15" hidden="false" customHeight="false" outlineLevel="0" collapsed="false">
      <c r="A4631" s="3" t="n">
        <v>4630</v>
      </c>
      <c r="B4631" s="3" t="n">
        <v>4629</v>
      </c>
      <c r="C4631" s="3" t="n">
        <v>5</v>
      </c>
      <c r="D4631" s="3" t="n">
        <v>25</v>
      </c>
      <c r="E4631" s="3" t="n">
        <v>9</v>
      </c>
      <c r="F4631" s="24" t="n">
        <v>0.0495083332</v>
      </c>
    </row>
    <row r="4632" customFormat="false" ht="15" hidden="false" customHeight="false" outlineLevel="0" collapsed="false">
      <c r="A4632" s="3" t="n">
        <v>4631</v>
      </c>
      <c r="B4632" s="3" t="n">
        <v>4630</v>
      </c>
      <c r="C4632" s="3" t="n">
        <v>5</v>
      </c>
      <c r="D4632" s="3" t="n">
        <v>25</v>
      </c>
      <c r="E4632" s="3" t="n">
        <v>10</v>
      </c>
      <c r="F4632" s="24" t="n">
        <v>-0.761308312</v>
      </c>
    </row>
    <row r="4633" customFormat="false" ht="15" hidden="false" customHeight="false" outlineLevel="0" collapsed="false">
      <c r="A4633" s="3" t="n">
        <v>4632</v>
      </c>
      <c r="B4633" s="3" t="n">
        <v>4631</v>
      </c>
      <c r="C4633" s="3" t="n">
        <v>5</v>
      </c>
      <c r="D4633" s="3" t="n">
        <v>25</v>
      </c>
      <c r="E4633" s="3" t="n">
        <v>11</v>
      </c>
      <c r="F4633" s="24" t="n">
        <v>-1.72479117</v>
      </c>
    </row>
    <row r="4634" customFormat="false" ht="15" hidden="false" customHeight="false" outlineLevel="0" collapsed="false">
      <c r="A4634" s="3" t="n">
        <v>4633</v>
      </c>
      <c r="B4634" s="3" t="n">
        <v>4632</v>
      </c>
      <c r="C4634" s="3" t="n">
        <v>5</v>
      </c>
      <c r="D4634" s="3" t="n">
        <v>25</v>
      </c>
      <c r="E4634" s="3" t="n">
        <v>12</v>
      </c>
      <c r="F4634" s="24" t="n">
        <v>-2.25082159</v>
      </c>
    </row>
    <row r="4635" customFormat="false" ht="15" hidden="false" customHeight="false" outlineLevel="0" collapsed="false">
      <c r="A4635" s="3" t="n">
        <v>4634</v>
      </c>
      <c r="B4635" s="3" t="n">
        <v>4633</v>
      </c>
      <c r="C4635" s="3" t="n">
        <v>5</v>
      </c>
      <c r="D4635" s="3" t="n">
        <v>25</v>
      </c>
      <c r="E4635" s="3" t="n">
        <v>13</v>
      </c>
      <c r="F4635" s="24" t="n">
        <v>0.939822674</v>
      </c>
    </row>
    <row r="4636" customFormat="false" ht="15" hidden="false" customHeight="false" outlineLevel="0" collapsed="false">
      <c r="A4636" s="3" t="n">
        <v>4635</v>
      </c>
      <c r="B4636" s="3" t="n">
        <v>4634</v>
      </c>
      <c r="C4636" s="3" t="n">
        <v>5</v>
      </c>
      <c r="D4636" s="3" t="n">
        <v>25</v>
      </c>
      <c r="E4636" s="3" t="n">
        <v>14</v>
      </c>
      <c r="F4636" s="24" t="n">
        <v>1.90990746</v>
      </c>
    </row>
    <row r="4637" customFormat="false" ht="15" hidden="false" customHeight="false" outlineLevel="0" collapsed="false">
      <c r="A4637" s="3" t="n">
        <v>4636</v>
      </c>
      <c r="B4637" s="3" t="n">
        <v>4635</v>
      </c>
      <c r="C4637" s="3" t="n">
        <v>5</v>
      </c>
      <c r="D4637" s="3" t="n">
        <v>25</v>
      </c>
      <c r="E4637" s="3" t="n">
        <v>15</v>
      </c>
      <c r="F4637" s="24" t="n">
        <v>0.763644814</v>
      </c>
    </row>
    <row r="4638" customFormat="false" ht="15" hidden="false" customHeight="false" outlineLevel="0" collapsed="false">
      <c r="A4638" s="3" t="n">
        <v>4637</v>
      </c>
      <c r="B4638" s="3" t="n">
        <v>4636</v>
      </c>
      <c r="C4638" s="3" t="n">
        <v>5</v>
      </c>
      <c r="D4638" s="3" t="n">
        <v>25</v>
      </c>
      <c r="E4638" s="3" t="n">
        <v>16</v>
      </c>
      <c r="F4638" s="24" t="n">
        <v>0.51512605</v>
      </c>
    </row>
    <row r="4639" customFormat="false" ht="15" hidden="false" customHeight="false" outlineLevel="0" collapsed="false">
      <c r="A4639" s="3" t="n">
        <v>4638</v>
      </c>
      <c r="B4639" s="3" t="n">
        <v>4637</v>
      </c>
      <c r="C4639" s="3" t="n">
        <v>5</v>
      </c>
      <c r="D4639" s="3" t="n">
        <v>25</v>
      </c>
      <c r="E4639" s="3" t="n">
        <v>17</v>
      </c>
      <c r="F4639" s="24" t="n">
        <v>0.51512605</v>
      </c>
    </row>
    <row r="4640" customFormat="false" ht="15" hidden="false" customHeight="false" outlineLevel="0" collapsed="false">
      <c r="A4640" s="3" t="n">
        <v>4639</v>
      </c>
      <c r="B4640" s="3" t="n">
        <v>4638</v>
      </c>
      <c r="C4640" s="3" t="n">
        <v>5</v>
      </c>
      <c r="D4640" s="3" t="n">
        <v>25</v>
      </c>
      <c r="E4640" s="3" t="n">
        <v>18</v>
      </c>
      <c r="F4640" s="24" t="n">
        <v>0.51512605</v>
      </c>
    </row>
    <row r="4641" customFormat="false" ht="15" hidden="false" customHeight="false" outlineLevel="0" collapsed="false">
      <c r="A4641" s="3" t="n">
        <v>4640</v>
      </c>
      <c r="B4641" s="3" t="n">
        <v>4639</v>
      </c>
      <c r="C4641" s="3" t="n">
        <v>5</v>
      </c>
      <c r="D4641" s="3" t="n">
        <v>25</v>
      </c>
      <c r="E4641" s="3" t="n">
        <v>19</v>
      </c>
      <c r="F4641" s="24" t="n">
        <v>0.51512605</v>
      </c>
    </row>
    <row r="4642" customFormat="false" ht="15" hidden="false" customHeight="false" outlineLevel="0" collapsed="false">
      <c r="A4642" s="3" t="n">
        <v>4641</v>
      </c>
      <c r="B4642" s="3" t="n">
        <v>4640</v>
      </c>
      <c r="C4642" s="3" t="n">
        <v>5</v>
      </c>
      <c r="D4642" s="3" t="n">
        <v>25</v>
      </c>
      <c r="E4642" s="3" t="n">
        <v>20</v>
      </c>
      <c r="F4642" s="24" t="n">
        <v>0.51512605</v>
      </c>
    </row>
    <row r="4643" customFormat="false" ht="15" hidden="false" customHeight="false" outlineLevel="0" collapsed="false">
      <c r="A4643" s="3" t="n">
        <v>4642</v>
      </c>
      <c r="B4643" s="3" t="n">
        <v>4641</v>
      </c>
      <c r="C4643" s="3" t="n">
        <v>5</v>
      </c>
      <c r="D4643" s="3" t="n">
        <v>25</v>
      </c>
      <c r="E4643" s="3" t="n">
        <v>21</v>
      </c>
      <c r="F4643" s="24" t="n">
        <v>0.51512605</v>
      </c>
    </row>
    <row r="4644" customFormat="false" ht="15" hidden="false" customHeight="false" outlineLevel="0" collapsed="false">
      <c r="A4644" s="3" t="n">
        <v>4643</v>
      </c>
      <c r="B4644" s="3" t="n">
        <v>4642</v>
      </c>
      <c r="C4644" s="3" t="n">
        <v>5</v>
      </c>
      <c r="D4644" s="3" t="n">
        <v>25</v>
      </c>
      <c r="E4644" s="3" t="n">
        <v>22</v>
      </c>
      <c r="F4644" s="24" t="n">
        <v>0.51512605</v>
      </c>
    </row>
    <row r="4645" customFormat="false" ht="15" hidden="false" customHeight="false" outlineLevel="0" collapsed="false">
      <c r="A4645" s="3" t="n">
        <v>4644</v>
      </c>
      <c r="B4645" s="3" t="n">
        <v>4643</v>
      </c>
      <c r="C4645" s="3" t="n">
        <v>5</v>
      </c>
      <c r="D4645" s="3" t="n">
        <v>25</v>
      </c>
      <c r="E4645" s="3" t="n">
        <v>23</v>
      </c>
      <c r="F4645" s="24" t="n">
        <v>0.51512605</v>
      </c>
    </row>
    <row r="4646" customFormat="false" ht="15" hidden="false" customHeight="false" outlineLevel="0" collapsed="false">
      <c r="A4646" s="3" t="n">
        <v>4645</v>
      </c>
      <c r="B4646" s="3" t="n">
        <v>4644</v>
      </c>
      <c r="C4646" s="3" t="n">
        <v>5</v>
      </c>
      <c r="D4646" s="3" t="n">
        <v>25</v>
      </c>
      <c r="E4646" s="3" t="n">
        <v>24</v>
      </c>
      <c r="F4646" s="24" t="n">
        <v>0.51512605</v>
      </c>
    </row>
    <row r="4647" customFormat="false" ht="15" hidden="false" customHeight="false" outlineLevel="0" collapsed="false">
      <c r="A4647" s="3" t="n">
        <v>4646</v>
      </c>
      <c r="B4647" s="3" t="n">
        <v>4645</v>
      </c>
      <c r="C4647" s="3" t="n">
        <v>5</v>
      </c>
      <c r="D4647" s="3" t="n">
        <v>25</v>
      </c>
      <c r="E4647" s="3" t="n">
        <v>25</v>
      </c>
      <c r="F4647" s="24" t="n">
        <v>0.51512605</v>
      </c>
    </row>
    <row r="4648" customFormat="false" ht="15" hidden="false" customHeight="false" outlineLevel="0" collapsed="false">
      <c r="A4648" s="3" t="n">
        <v>4647</v>
      </c>
      <c r="B4648" s="3" t="n">
        <v>4646</v>
      </c>
      <c r="C4648" s="3" t="n">
        <v>5</v>
      </c>
      <c r="D4648" s="3" t="n">
        <v>25</v>
      </c>
      <c r="E4648" s="3" t="n">
        <v>26</v>
      </c>
      <c r="F4648" s="24" t="n">
        <v>0.51512605</v>
      </c>
    </row>
    <row r="4649" customFormat="false" ht="15" hidden="false" customHeight="false" outlineLevel="0" collapsed="false">
      <c r="A4649" s="3" t="n">
        <v>4648</v>
      </c>
      <c r="B4649" s="3" t="n">
        <v>4647</v>
      </c>
      <c r="C4649" s="3" t="n">
        <v>5</v>
      </c>
      <c r="D4649" s="3" t="n">
        <v>25</v>
      </c>
      <c r="E4649" s="3" t="n">
        <v>27</v>
      </c>
      <c r="F4649" s="24" t="n">
        <v>0.459515482</v>
      </c>
    </row>
    <row r="4650" customFormat="false" ht="15" hidden="false" customHeight="false" outlineLevel="0" collapsed="false">
      <c r="A4650" s="3" t="n">
        <v>4649</v>
      </c>
      <c r="B4650" s="3" t="n">
        <v>4648</v>
      </c>
      <c r="C4650" s="3" t="n">
        <v>5</v>
      </c>
      <c r="D4650" s="3" t="n">
        <v>26</v>
      </c>
      <c r="E4650" s="3" t="n">
        <v>0</v>
      </c>
      <c r="F4650" s="24" t="n">
        <v>0.354324996</v>
      </c>
    </row>
    <row r="4651" customFormat="false" ht="15" hidden="false" customHeight="false" outlineLevel="0" collapsed="false">
      <c r="A4651" s="3" t="n">
        <v>4650</v>
      </c>
      <c r="B4651" s="3" t="n">
        <v>4649</v>
      </c>
      <c r="C4651" s="3" t="n">
        <v>5</v>
      </c>
      <c r="D4651" s="3" t="n">
        <v>26</v>
      </c>
      <c r="E4651" s="3" t="n">
        <v>1</v>
      </c>
      <c r="F4651" s="24" t="n">
        <v>0.51512605</v>
      </c>
    </row>
    <row r="4652" customFormat="false" ht="15" hidden="false" customHeight="false" outlineLevel="0" collapsed="false">
      <c r="A4652" s="3" t="n">
        <v>4651</v>
      </c>
      <c r="B4652" s="3" t="n">
        <v>4650</v>
      </c>
      <c r="C4652" s="3" t="n">
        <v>5</v>
      </c>
      <c r="D4652" s="3" t="n">
        <v>26</v>
      </c>
      <c r="E4652" s="3" t="n">
        <v>2</v>
      </c>
      <c r="F4652" s="24" t="n">
        <v>0.51512605</v>
      </c>
    </row>
    <row r="4653" customFormat="false" ht="15" hidden="false" customHeight="false" outlineLevel="0" collapsed="false">
      <c r="A4653" s="3" t="n">
        <v>4652</v>
      </c>
      <c r="B4653" s="3" t="n">
        <v>4651</v>
      </c>
      <c r="C4653" s="3" t="n">
        <v>5</v>
      </c>
      <c r="D4653" s="3" t="n">
        <v>26</v>
      </c>
      <c r="E4653" s="3" t="n">
        <v>3</v>
      </c>
      <c r="F4653" s="24" t="n">
        <v>0.51512605</v>
      </c>
    </row>
    <row r="4654" customFormat="false" ht="15" hidden="false" customHeight="false" outlineLevel="0" collapsed="false">
      <c r="A4654" s="3" t="n">
        <v>4653</v>
      </c>
      <c r="B4654" s="3" t="n">
        <v>4652</v>
      </c>
      <c r="C4654" s="3" t="n">
        <v>5</v>
      </c>
      <c r="D4654" s="3" t="n">
        <v>26</v>
      </c>
      <c r="E4654" s="3" t="n">
        <v>4</v>
      </c>
      <c r="F4654" s="24" t="n">
        <v>0.51512605</v>
      </c>
    </row>
    <row r="4655" customFormat="false" ht="15" hidden="false" customHeight="false" outlineLevel="0" collapsed="false">
      <c r="A4655" s="3" t="n">
        <v>4654</v>
      </c>
      <c r="B4655" s="3" t="n">
        <v>4653</v>
      </c>
      <c r="C4655" s="3" t="n">
        <v>5</v>
      </c>
      <c r="D4655" s="3" t="n">
        <v>26</v>
      </c>
      <c r="E4655" s="3" t="n">
        <v>5</v>
      </c>
      <c r="F4655" s="24" t="n">
        <v>0.51512605</v>
      </c>
    </row>
    <row r="4656" customFormat="false" ht="15" hidden="false" customHeight="false" outlineLevel="0" collapsed="false">
      <c r="A4656" s="3" t="n">
        <v>4655</v>
      </c>
      <c r="B4656" s="3" t="n">
        <v>4654</v>
      </c>
      <c r="C4656" s="3" t="n">
        <v>5</v>
      </c>
      <c r="D4656" s="3" t="n">
        <v>26</v>
      </c>
      <c r="E4656" s="3" t="n">
        <v>6</v>
      </c>
      <c r="F4656" s="24" t="n">
        <v>0.51512605</v>
      </c>
    </row>
    <row r="4657" customFormat="false" ht="15" hidden="false" customHeight="false" outlineLevel="0" collapsed="false">
      <c r="A4657" s="3" t="n">
        <v>4656</v>
      </c>
      <c r="B4657" s="3" t="n">
        <v>4655</v>
      </c>
      <c r="C4657" s="3" t="n">
        <v>5</v>
      </c>
      <c r="D4657" s="3" t="n">
        <v>26</v>
      </c>
      <c r="E4657" s="3" t="n">
        <v>7</v>
      </c>
      <c r="F4657" s="24" t="n">
        <v>0.51512605</v>
      </c>
    </row>
    <row r="4658" customFormat="false" ht="15" hidden="false" customHeight="false" outlineLevel="0" collapsed="false">
      <c r="A4658" s="3" t="n">
        <v>4657</v>
      </c>
      <c r="B4658" s="3" t="n">
        <v>4656</v>
      </c>
      <c r="C4658" s="3" t="n">
        <v>5</v>
      </c>
      <c r="D4658" s="3" t="n">
        <v>26</v>
      </c>
      <c r="E4658" s="3" t="n">
        <v>8</v>
      </c>
      <c r="F4658" s="24" t="n">
        <v>0.51512605</v>
      </c>
    </row>
    <row r="4659" customFormat="false" ht="15" hidden="false" customHeight="false" outlineLevel="0" collapsed="false">
      <c r="A4659" s="3" t="n">
        <v>4658</v>
      </c>
      <c r="B4659" s="3" t="n">
        <v>4657</v>
      </c>
      <c r="C4659" s="3" t="n">
        <v>5</v>
      </c>
      <c r="D4659" s="3" t="n">
        <v>26</v>
      </c>
      <c r="E4659" s="3" t="n">
        <v>9</v>
      </c>
      <c r="F4659" s="24" t="n">
        <v>-0.29239893</v>
      </c>
    </row>
    <row r="4660" customFormat="false" ht="15" hidden="false" customHeight="false" outlineLevel="0" collapsed="false">
      <c r="A4660" s="3" t="n">
        <v>4659</v>
      </c>
      <c r="B4660" s="3" t="n">
        <v>4658</v>
      </c>
      <c r="C4660" s="3" t="n">
        <v>5</v>
      </c>
      <c r="D4660" s="3" t="n">
        <v>26</v>
      </c>
      <c r="E4660" s="3" t="n">
        <v>10</v>
      </c>
      <c r="F4660" s="24" t="n">
        <v>-0.477040052</v>
      </c>
    </row>
    <row r="4661" customFormat="false" ht="15" hidden="false" customHeight="false" outlineLevel="0" collapsed="false">
      <c r="A4661" s="3" t="n">
        <v>4660</v>
      </c>
      <c r="B4661" s="3" t="n">
        <v>4659</v>
      </c>
      <c r="C4661" s="3" t="n">
        <v>5</v>
      </c>
      <c r="D4661" s="3" t="n">
        <v>26</v>
      </c>
      <c r="E4661" s="3" t="n">
        <v>11</v>
      </c>
      <c r="F4661" s="24" t="n">
        <v>1.43113947</v>
      </c>
    </row>
    <row r="4662" customFormat="false" ht="15" hidden="false" customHeight="false" outlineLevel="0" collapsed="false">
      <c r="A4662" s="3" t="n">
        <v>4661</v>
      </c>
      <c r="B4662" s="3" t="n">
        <v>4660</v>
      </c>
      <c r="C4662" s="3" t="n">
        <v>5</v>
      </c>
      <c r="D4662" s="3" t="n">
        <v>26</v>
      </c>
      <c r="E4662" s="3" t="n">
        <v>12</v>
      </c>
      <c r="F4662" s="24" t="n">
        <v>4.14695263</v>
      </c>
    </row>
    <row r="4663" customFormat="false" ht="15" hidden="false" customHeight="false" outlineLevel="0" collapsed="false">
      <c r="A4663" s="3" t="n">
        <v>4662</v>
      </c>
      <c r="B4663" s="3" t="n">
        <v>4661</v>
      </c>
      <c r="C4663" s="3" t="n">
        <v>5</v>
      </c>
      <c r="D4663" s="3" t="n">
        <v>26</v>
      </c>
      <c r="E4663" s="3" t="n">
        <v>13</v>
      </c>
      <c r="F4663" s="24" t="n">
        <v>3.62587523</v>
      </c>
    </row>
    <row r="4664" customFormat="false" ht="15" hidden="false" customHeight="false" outlineLevel="0" collapsed="false">
      <c r="A4664" s="3" t="n">
        <v>4663</v>
      </c>
      <c r="B4664" s="3" t="n">
        <v>4662</v>
      </c>
      <c r="C4664" s="3" t="n">
        <v>5</v>
      </c>
      <c r="D4664" s="3" t="n">
        <v>26</v>
      </c>
      <c r="E4664" s="3" t="n">
        <v>14</v>
      </c>
      <c r="F4664" s="24" t="n">
        <v>1.68123245</v>
      </c>
    </row>
    <row r="4665" customFormat="false" ht="15" hidden="false" customHeight="false" outlineLevel="0" collapsed="false">
      <c r="A4665" s="3" t="n">
        <v>4664</v>
      </c>
      <c r="B4665" s="3" t="n">
        <v>4663</v>
      </c>
      <c r="C4665" s="3" t="n">
        <v>5</v>
      </c>
      <c r="D4665" s="3" t="n">
        <v>26</v>
      </c>
      <c r="E4665" s="3" t="n">
        <v>15</v>
      </c>
      <c r="F4665" s="24" t="n">
        <v>0.665566206</v>
      </c>
    </row>
    <row r="4666" customFormat="false" ht="15" hidden="false" customHeight="false" outlineLevel="0" collapsed="false">
      <c r="A4666" s="3" t="n">
        <v>4665</v>
      </c>
      <c r="B4666" s="3" t="n">
        <v>4664</v>
      </c>
      <c r="C4666" s="3" t="n">
        <v>5</v>
      </c>
      <c r="D4666" s="3" t="n">
        <v>26</v>
      </c>
      <c r="E4666" s="3" t="n">
        <v>16</v>
      </c>
      <c r="F4666" s="24" t="n">
        <v>0.51512605</v>
      </c>
    </row>
    <row r="4667" customFormat="false" ht="15" hidden="false" customHeight="false" outlineLevel="0" collapsed="false">
      <c r="A4667" s="3" t="n">
        <v>4666</v>
      </c>
      <c r="B4667" s="3" t="n">
        <v>4665</v>
      </c>
      <c r="C4667" s="3" t="n">
        <v>5</v>
      </c>
      <c r="D4667" s="3" t="n">
        <v>26</v>
      </c>
      <c r="E4667" s="3" t="n">
        <v>17</v>
      </c>
      <c r="F4667" s="24" t="n">
        <v>0.51512605</v>
      </c>
    </row>
    <row r="4668" customFormat="false" ht="15" hidden="false" customHeight="false" outlineLevel="0" collapsed="false">
      <c r="A4668" s="3" t="n">
        <v>4667</v>
      </c>
      <c r="B4668" s="3" t="n">
        <v>4666</v>
      </c>
      <c r="C4668" s="3" t="n">
        <v>5</v>
      </c>
      <c r="D4668" s="3" t="n">
        <v>26</v>
      </c>
      <c r="E4668" s="3" t="n">
        <v>18</v>
      </c>
      <c r="F4668" s="24" t="n">
        <v>0.51512605</v>
      </c>
    </row>
    <row r="4669" customFormat="false" ht="15" hidden="false" customHeight="false" outlineLevel="0" collapsed="false">
      <c r="A4669" s="3" t="n">
        <v>4668</v>
      </c>
      <c r="B4669" s="3" t="n">
        <v>4667</v>
      </c>
      <c r="C4669" s="3" t="n">
        <v>5</v>
      </c>
      <c r="D4669" s="3" t="n">
        <v>26</v>
      </c>
      <c r="E4669" s="3" t="n">
        <v>19</v>
      </c>
      <c r="F4669" s="24" t="n">
        <v>0.51512605</v>
      </c>
    </row>
    <row r="4670" customFormat="false" ht="15" hidden="false" customHeight="false" outlineLevel="0" collapsed="false">
      <c r="A4670" s="3" t="n">
        <v>4669</v>
      </c>
      <c r="B4670" s="3" t="n">
        <v>4668</v>
      </c>
      <c r="C4670" s="3" t="n">
        <v>5</v>
      </c>
      <c r="D4670" s="3" t="n">
        <v>26</v>
      </c>
      <c r="E4670" s="3" t="n">
        <v>20</v>
      </c>
      <c r="F4670" s="24" t="n">
        <v>0.51512605</v>
      </c>
    </row>
    <row r="4671" customFormat="false" ht="15" hidden="false" customHeight="false" outlineLevel="0" collapsed="false">
      <c r="A4671" s="3" t="n">
        <v>4670</v>
      </c>
      <c r="B4671" s="3" t="n">
        <v>4669</v>
      </c>
      <c r="C4671" s="3" t="n">
        <v>5</v>
      </c>
      <c r="D4671" s="3" t="n">
        <v>26</v>
      </c>
      <c r="E4671" s="3" t="n">
        <v>21</v>
      </c>
      <c r="F4671" s="24" t="n">
        <v>0.51512605</v>
      </c>
    </row>
    <row r="4672" customFormat="false" ht="15" hidden="false" customHeight="false" outlineLevel="0" collapsed="false">
      <c r="A4672" s="3" t="n">
        <v>4671</v>
      </c>
      <c r="B4672" s="3" t="n">
        <v>4670</v>
      </c>
      <c r="C4672" s="3" t="n">
        <v>5</v>
      </c>
      <c r="D4672" s="3" t="n">
        <v>26</v>
      </c>
      <c r="E4672" s="3" t="n">
        <v>22</v>
      </c>
      <c r="F4672" s="24" t="n">
        <v>0.51512605</v>
      </c>
    </row>
    <row r="4673" customFormat="false" ht="15" hidden="false" customHeight="false" outlineLevel="0" collapsed="false">
      <c r="A4673" s="3" t="n">
        <v>4672</v>
      </c>
      <c r="B4673" s="3" t="n">
        <v>4671</v>
      </c>
      <c r="C4673" s="3" t="n">
        <v>5</v>
      </c>
      <c r="D4673" s="3" t="n">
        <v>26</v>
      </c>
      <c r="E4673" s="3" t="n">
        <v>23</v>
      </c>
      <c r="F4673" s="24" t="n">
        <v>0.51512605</v>
      </c>
    </row>
    <row r="4674" customFormat="false" ht="15" hidden="false" customHeight="false" outlineLevel="0" collapsed="false">
      <c r="A4674" s="3" t="n">
        <v>4673</v>
      </c>
      <c r="B4674" s="3" t="n">
        <v>4672</v>
      </c>
      <c r="C4674" s="3" t="n">
        <v>5</v>
      </c>
      <c r="D4674" s="3" t="n">
        <v>26</v>
      </c>
      <c r="E4674" s="3" t="n">
        <v>24</v>
      </c>
      <c r="F4674" s="24" t="n">
        <v>0.51512605</v>
      </c>
    </row>
    <row r="4675" customFormat="false" ht="15" hidden="false" customHeight="false" outlineLevel="0" collapsed="false">
      <c r="A4675" s="3" t="n">
        <v>4674</v>
      </c>
      <c r="B4675" s="3" t="n">
        <v>4673</v>
      </c>
      <c r="C4675" s="3" t="n">
        <v>5</v>
      </c>
      <c r="D4675" s="3" t="n">
        <v>26</v>
      </c>
      <c r="E4675" s="3" t="n">
        <v>25</v>
      </c>
      <c r="F4675" s="24" t="n">
        <v>0.51512605</v>
      </c>
    </row>
    <row r="4676" customFormat="false" ht="15" hidden="false" customHeight="false" outlineLevel="0" collapsed="false">
      <c r="A4676" s="3" t="n">
        <v>4675</v>
      </c>
      <c r="B4676" s="3" t="n">
        <v>4674</v>
      </c>
      <c r="C4676" s="3" t="n">
        <v>5</v>
      </c>
      <c r="D4676" s="3" t="n">
        <v>26</v>
      </c>
      <c r="E4676" s="3" t="n">
        <v>26</v>
      </c>
      <c r="F4676" s="24" t="n">
        <v>0.51512605</v>
      </c>
    </row>
    <row r="4677" customFormat="false" ht="15" hidden="false" customHeight="false" outlineLevel="0" collapsed="false">
      <c r="A4677" s="3" t="n">
        <v>4676</v>
      </c>
      <c r="B4677" s="3" t="n">
        <v>4675</v>
      </c>
      <c r="C4677" s="3" t="n">
        <v>5</v>
      </c>
      <c r="D4677" s="3" t="n">
        <v>26</v>
      </c>
      <c r="E4677" s="3" t="n">
        <v>27</v>
      </c>
      <c r="F4677" s="24" t="n">
        <v>0.459515482</v>
      </c>
    </row>
    <row r="4678" customFormat="false" ht="15" hidden="false" customHeight="false" outlineLevel="0" collapsed="false">
      <c r="A4678" s="3" t="n">
        <v>4677</v>
      </c>
      <c r="B4678" s="3" t="n">
        <v>4676</v>
      </c>
      <c r="C4678" s="3" t="n">
        <v>5</v>
      </c>
      <c r="D4678" s="3" t="n">
        <v>27</v>
      </c>
      <c r="E4678" s="3" t="n">
        <v>0</v>
      </c>
      <c r="F4678" s="24" t="n">
        <v>0.23883608</v>
      </c>
    </row>
    <row r="4679" customFormat="false" ht="15" hidden="false" customHeight="false" outlineLevel="0" collapsed="false">
      <c r="A4679" s="3" t="n">
        <v>4678</v>
      </c>
      <c r="B4679" s="3" t="n">
        <v>4677</v>
      </c>
      <c r="C4679" s="3" t="n">
        <v>5</v>
      </c>
      <c r="D4679" s="3" t="n">
        <v>27</v>
      </c>
      <c r="E4679" s="3" t="n">
        <v>1</v>
      </c>
      <c r="F4679" s="24" t="n">
        <v>0.0693717003</v>
      </c>
    </row>
    <row r="4680" customFormat="false" ht="15" hidden="false" customHeight="false" outlineLevel="0" collapsed="false">
      <c r="A4680" s="3" t="n">
        <v>4679</v>
      </c>
      <c r="B4680" s="3" t="n">
        <v>4678</v>
      </c>
      <c r="C4680" s="3" t="n">
        <v>5</v>
      </c>
      <c r="D4680" s="3" t="n">
        <v>27</v>
      </c>
      <c r="E4680" s="3" t="n">
        <v>2</v>
      </c>
      <c r="F4680" s="24" t="n">
        <v>0.0693717003</v>
      </c>
    </row>
    <row r="4681" customFormat="false" ht="15" hidden="false" customHeight="false" outlineLevel="0" collapsed="false">
      <c r="A4681" s="3" t="n">
        <v>4680</v>
      </c>
      <c r="B4681" s="3" t="n">
        <v>4679</v>
      </c>
      <c r="C4681" s="3" t="n">
        <v>5</v>
      </c>
      <c r="D4681" s="3" t="n">
        <v>27</v>
      </c>
      <c r="E4681" s="3" t="n">
        <v>3</v>
      </c>
      <c r="F4681" s="24" t="n">
        <v>0.0693717003</v>
      </c>
    </row>
    <row r="4682" customFormat="false" ht="15" hidden="false" customHeight="false" outlineLevel="0" collapsed="false">
      <c r="A4682" s="3" t="n">
        <v>4681</v>
      </c>
      <c r="B4682" s="3" t="n">
        <v>4680</v>
      </c>
      <c r="C4682" s="3" t="n">
        <v>5</v>
      </c>
      <c r="D4682" s="3" t="n">
        <v>27</v>
      </c>
      <c r="E4682" s="3" t="n">
        <v>4</v>
      </c>
      <c r="F4682" s="24" t="n">
        <v>0.0693717003</v>
      </c>
    </row>
    <row r="4683" customFormat="false" ht="15" hidden="false" customHeight="false" outlineLevel="0" collapsed="false">
      <c r="A4683" s="3" t="n">
        <v>4682</v>
      </c>
      <c r="B4683" s="3" t="n">
        <v>4681</v>
      </c>
      <c r="C4683" s="3" t="n">
        <v>5</v>
      </c>
      <c r="D4683" s="3" t="n">
        <v>27</v>
      </c>
      <c r="E4683" s="3" t="n">
        <v>5</v>
      </c>
      <c r="F4683" s="24" t="n">
        <v>0.0693717003</v>
      </c>
    </row>
    <row r="4684" customFormat="false" ht="15" hidden="false" customHeight="false" outlineLevel="0" collapsed="false">
      <c r="A4684" s="3" t="n">
        <v>4683</v>
      </c>
      <c r="B4684" s="3" t="n">
        <v>4682</v>
      </c>
      <c r="C4684" s="3" t="n">
        <v>5</v>
      </c>
      <c r="D4684" s="3" t="n">
        <v>27</v>
      </c>
      <c r="E4684" s="3" t="n">
        <v>6</v>
      </c>
      <c r="F4684" s="24" t="n">
        <v>0.0693717003</v>
      </c>
    </row>
    <row r="4685" customFormat="false" ht="15" hidden="false" customHeight="false" outlineLevel="0" collapsed="false">
      <c r="A4685" s="3" t="n">
        <v>4684</v>
      </c>
      <c r="B4685" s="3" t="n">
        <v>4683</v>
      </c>
      <c r="C4685" s="3" t="n">
        <v>5</v>
      </c>
      <c r="D4685" s="3" t="n">
        <v>27</v>
      </c>
      <c r="E4685" s="3" t="n">
        <v>7</v>
      </c>
      <c r="F4685" s="24" t="n">
        <v>0.0693717003</v>
      </c>
    </row>
    <row r="4686" customFormat="false" ht="15" hidden="false" customHeight="false" outlineLevel="0" collapsed="false">
      <c r="A4686" s="3" t="n">
        <v>4685</v>
      </c>
      <c r="B4686" s="3" t="n">
        <v>4684</v>
      </c>
      <c r="C4686" s="3" t="n">
        <v>5</v>
      </c>
      <c r="D4686" s="3" t="n">
        <v>27</v>
      </c>
      <c r="E4686" s="3" t="n">
        <v>8</v>
      </c>
      <c r="F4686" s="24" t="n">
        <v>0.0693717003</v>
      </c>
    </row>
    <row r="4687" customFormat="false" ht="15" hidden="false" customHeight="false" outlineLevel="0" collapsed="false">
      <c r="A4687" s="3" t="n">
        <v>4686</v>
      </c>
      <c r="B4687" s="3" t="n">
        <v>4685</v>
      </c>
      <c r="C4687" s="3" t="n">
        <v>5</v>
      </c>
      <c r="D4687" s="3" t="n">
        <v>27</v>
      </c>
      <c r="E4687" s="3" t="n">
        <v>9</v>
      </c>
      <c r="F4687" s="24" t="n">
        <v>0.601211548</v>
      </c>
    </row>
    <row r="4688" customFormat="false" ht="15" hidden="false" customHeight="false" outlineLevel="0" collapsed="false">
      <c r="A4688" s="3" t="n">
        <v>4687</v>
      </c>
      <c r="B4688" s="3" t="n">
        <v>4686</v>
      </c>
      <c r="C4688" s="3" t="n">
        <v>5</v>
      </c>
      <c r="D4688" s="3" t="n">
        <v>27</v>
      </c>
      <c r="E4688" s="3" t="n">
        <v>10</v>
      </c>
      <c r="F4688" s="24" t="n">
        <v>2.1496222</v>
      </c>
    </row>
    <row r="4689" customFormat="false" ht="15" hidden="false" customHeight="false" outlineLevel="0" collapsed="false">
      <c r="A4689" s="3" t="n">
        <v>4688</v>
      </c>
      <c r="B4689" s="3" t="n">
        <v>4687</v>
      </c>
      <c r="C4689" s="3" t="n">
        <v>5</v>
      </c>
      <c r="D4689" s="3" t="n">
        <v>27</v>
      </c>
      <c r="E4689" s="3" t="n">
        <v>11</v>
      </c>
      <c r="F4689" s="24" t="n">
        <v>3.4575336</v>
      </c>
    </row>
    <row r="4690" customFormat="false" ht="15" hidden="false" customHeight="false" outlineLevel="0" collapsed="false">
      <c r="A4690" s="3" t="n">
        <v>4689</v>
      </c>
      <c r="B4690" s="3" t="n">
        <v>4688</v>
      </c>
      <c r="C4690" s="3" t="n">
        <v>5</v>
      </c>
      <c r="D4690" s="3" t="n">
        <v>27</v>
      </c>
      <c r="E4690" s="3" t="n">
        <v>12</v>
      </c>
      <c r="F4690" s="24" t="n">
        <v>2.75264335</v>
      </c>
    </row>
    <row r="4691" customFormat="false" ht="15" hidden="false" customHeight="false" outlineLevel="0" collapsed="false">
      <c r="A4691" s="3" t="n">
        <v>4690</v>
      </c>
      <c r="B4691" s="3" t="n">
        <v>4689</v>
      </c>
      <c r="C4691" s="3" t="n">
        <v>5</v>
      </c>
      <c r="D4691" s="3" t="n">
        <v>27</v>
      </c>
      <c r="E4691" s="3" t="n">
        <v>13</v>
      </c>
      <c r="F4691" s="24" t="n">
        <v>0.991278827</v>
      </c>
    </row>
    <row r="4692" customFormat="false" ht="15" hidden="false" customHeight="false" outlineLevel="0" collapsed="false">
      <c r="A4692" s="3" t="n">
        <v>4691</v>
      </c>
      <c r="B4692" s="3" t="n">
        <v>4690</v>
      </c>
      <c r="C4692" s="3" t="n">
        <v>5</v>
      </c>
      <c r="D4692" s="3" t="n">
        <v>27</v>
      </c>
      <c r="E4692" s="3" t="n">
        <v>14</v>
      </c>
      <c r="F4692" s="24" t="n">
        <v>0.137069732</v>
      </c>
    </row>
    <row r="4693" customFormat="false" ht="15" hidden="false" customHeight="false" outlineLevel="0" collapsed="false">
      <c r="A4693" s="3" t="n">
        <v>4692</v>
      </c>
      <c r="B4693" s="3" t="n">
        <v>4691</v>
      </c>
      <c r="C4693" s="3" t="n">
        <v>5</v>
      </c>
      <c r="D4693" s="3" t="n">
        <v>27</v>
      </c>
      <c r="E4693" s="3" t="n">
        <v>15</v>
      </c>
      <c r="F4693" s="24" t="n">
        <v>0.0693717003</v>
      </c>
    </row>
    <row r="4694" customFormat="false" ht="15" hidden="false" customHeight="false" outlineLevel="0" collapsed="false">
      <c r="A4694" s="3" t="n">
        <v>4693</v>
      </c>
      <c r="B4694" s="3" t="n">
        <v>4692</v>
      </c>
      <c r="C4694" s="3" t="n">
        <v>5</v>
      </c>
      <c r="D4694" s="3" t="n">
        <v>27</v>
      </c>
      <c r="E4694" s="3" t="n">
        <v>16</v>
      </c>
      <c r="F4694" s="24" t="n">
        <v>0.0693717003</v>
      </c>
    </row>
    <row r="4695" customFormat="false" ht="15" hidden="false" customHeight="false" outlineLevel="0" collapsed="false">
      <c r="A4695" s="3" t="n">
        <v>4694</v>
      </c>
      <c r="B4695" s="3" t="n">
        <v>4693</v>
      </c>
      <c r="C4695" s="3" t="n">
        <v>5</v>
      </c>
      <c r="D4695" s="3" t="n">
        <v>27</v>
      </c>
      <c r="E4695" s="3" t="n">
        <v>17</v>
      </c>
      <c r="F4695" s="24" t="n">
        <v>0.0693717003</v>
      </c>
    </row>
    <row r="4696" customFormat="false" ht="15" hidden="false" customHeight="false" outlineLevel="0" collapsed="false">
      <c r="A4696" s="3" t="n">
        <v>4695</v>
      </c>
      <c r="B4696" s="3" t="n">
        <v>4694</v>
      </c>
      <c r="C4696" s="3" t="n">
        <v>5</v>
      </c>
      <c r="D4696" s="3" t="n">
        <v>27</v>
      </c>
      <c r="E4696" s="3" t="n">
        <v>18</v>
      </c>
      <c r="F4696" s="24" t="n">
        <v>0.0693717003</v>
      </c>
    </row>
    <row r="4697" customFormat="false" ht="15" hidden="false" customHeight="false" outlineLevel="0" collapsed="false">
      <c r="A4697" s="3" t="n">
        <v>4696</v>
      </c>
      <c r="B4697" s="3" t="n">
        <v>4695</v>
      </c>
      <c r="C4697" s="3" t="n">
        <v>5</v>
      </c>
      <c r="D4697" s="3" t="n">
        <v>27</v>
      </c>
      <c r="E4697" s="3" t="n">
        <v>19</v>
      </c>
      <c r="F4697" s="24" t="n">
        <v>0.0693717003</v>
      </c>
    </row>
    <row r="4698" customFormat="false" ht="15" hidden="false" customHeight="false" outlineLevel="0" collapsed="false">
      <c r="A4698" s="3" t="n">
        <v>4697</v>
      </c>
      <c r="B4698" s="3" t="n">
        <v>4696</v>
      </c>
      <c r="C4698" s="3" t="n">
        <v>5</v>
      </c>
      <c r="D4698" s="3" t="n">
        <v>27</v>
      </c>
      <c r="E4698" s="3" t="n">
        <v>20</v>
      </c>
      <c r="F4698" s="24" t="n">
        <v>0.0693717003</v>
      </c>
    </row>
    <row r="4699" customFormat="false" ht="15" hidden="false" customHeight="false" outlineLevel="0" collapsed="false">
      <c r="A4699" s="3" t="n">
        <v>4698</v>
      </c>
      <c r="B4699" s="3" t="n">
        <v>4697</v>
      </c>
      <c r="C4699" s="3" t="n">
        <v>5</v>
      </c>
      <c r="D4699" s="3" t="n">
        <v>27</v>
      </c>
      <c r="E4699" s="3" t="n">
        <v>21</v>
      </c>
      <c r="F4699" s="24" t="n">
        <v>0.0693717003</v>
      </c>
    </row>
    <row r="4700" customFormat="false" ht="15" hidden="false" customHeight="false" outlineLevel="0" collapsed="false">
      <c r="A4700" s="3" t="n">
        <v>4699</v>
      </c>
      <c r="B4700" s="3" t="n">
        <v>4698</v>
      </c>
      <c r="C4700" s="3" t="n">
        <v>5</v>
      </c>
      <c r="D4700" s="3" t="n">
        <v>27</v>
      </c>
      <c r="E4700" s="3" t="n">
        <v>22</v>
      </c>
      <c r="F4700" s="24" t="n">
        <v>0.0693717003</v>
      </c>
    </row>
    <row r="4701" customFormat="false" ht="15" hidden="false" customHeight="false" outlineLevel="0" collapsed="false">
      <c r="A4701" s="3" t="n">
        <v>4700</v>
      </c>
      <c r="B4701" s="3" t="n">
        <v>4699</v>
      </c>
      <c r="C4701" s="3" t="n">
        <v>5</v>
      </c>
      <c r="D4701" s="3" t="n">
        <v>27</v>
      </c>
      <c r="E4701" s="3" t="n">
        <v>23</v>
      </c>
      <c r="F4701" s="24" t="n">
        <v>0.0693717003</v>
      </c>
    </row>
    <row r="4702" customFormat="false" ht="15" hidden="false" customHeight="false" outlineLevel="0" collapsed="false">
      <c r="A4702" s="3" t="n">
        <v>4701</v>
      </c>
      <c r="B4702" s="3" t="n">
        <v>4700</v>
      </c>
      <c r="C4702" s="3" t="n">
        <v>5</v>
      </c>
      <c r="D4702" s="3" t="n">
        <v>27</v>
      </c>
      <c r="E4702" s="3" t="n">
        <v>24</v>
      </c>
      <c r="F4702" s="24" t="n">
        <v>0.0693717003</v>
      </c>
    </row>
    <row r="4703" customFormat="false" ht="15" hidden="false" customHeight="false" outlineLevel="0" collapsed="false">
      <c r="A4703" s="3" t="n">
        <v>4702</v>
      </c>
      <c r="B4703" s="3" t="n">
        <v>4701</v>
      </c>
      <c r="C4703" s="3" t="n">
        <v>5</v>
      </c>
      <c r="D4703" s="3" t="n">
        <v>27</v>
      </c>
      <c r="E4703" s="3" t="n">
        <v>25</v>
      </c>
      <c r="F4703" s="24" t="n">
        <v>0.0693717003</v>
      </c>
    </row>
    <row r="4704" customFormat="false" ht="15" hidden="false" customHeight="false" outlineLevel="0" collapsed="false">
      <c r="A4704" s="3" t="n">
        <v>4703</v>
      </c>
      <c r="B4704" s="3" t="n">
        <v>4702</v>
      </c>
      <c r="C4704" s="3" t="n">
        <v>5</v>
      </c>
      <c r="D4704" s="3" t="n">
        <v>27</v>
      </c>
      <c r="E4704" s="3" t="n">
        <v>26</v>
      </c>
      <c r="F4704" s="24" t="n">
        <v>0.0693717003</v>
      </c>
    </row>
    <row r="4705" customFormat="false" ht="15" hidden="false" customHeight="false" outlineLevel="0" collapsed="false">
      <c r="A4705" s="3" t="n">
        <v>4704</v>
      </c>
      <c r="B4705" s="3" t="n">
        <v>4703</v>
      </c>
      <c r="C4705" s="3" t="n">
        <v>5</v>
      </c>
      <c r="D4705" s="3" t="n">
        <v>27</v>
      </c>
      <c r="E4705" s="3" t="n">
        <v>27</v>
      </c>
      <c r="F4705" s="24" t="n">
        <v>-0.153054759</v>
      </c>
    </row>
    <row r="4706" customFormat="false" ht="15" hidden="false" customHeight="false" outlineLevel="0" collapsed="false">
      <c r="A4706" s="3" t="n">
        <v>4705</v>
      </c>
      <c r="B4706" s="3" t="n">
        <v>4704</v>
      </c>
      <c r="C4706" s="3" t="n">
        <v>6</v>
      </c>
      <c r="D4706" s="3" t="n">
        <v>0</v>
      </c>
      <c r="E4706" s="3" t="n">
        <v>0</v>
      </c>
      <c r="F4706" s="24" t="n">
        <v>0.413793147</v>
      </c>
    </row>
    <row r="4707" customFormat="false" ht="15" hidden="false" customHeight="false" outlineLevel="0" collapsed="false">
      <c r="A4707" s="3" t="n">
        <v>4706</v>
      </c>
      <c r="B4707" s="3" t="n">
        <v>4705</v>
      </c>
      <c r="C4707" s="3" t="n">
        <v>6</v>
      </c>
      <c r="D4707" s="3" t="n">
        <v>0</v>
      </c>
      <c r="E4707" s="3" t="n">
        <v>1</v>
      </c>
      <c r="F4707" s="24" t="n">
        <v>0.251652449</v>
      </c>
    </row>
    <row r="4708" customFormat="false" ht="15" hidden="false" customHeight="false" outlineLevel="0" collapsed="false">
      <c r="A4708" s="3" t="n">
        <v>4707</v>
      </c>
      <c r="B4708" s="3" t="n">
        <v>4706</v>
      </c>
      <c r="C4708" s="3" t="n">
        <v>6</v>
      </c>
      <c r="D4708" s="3" t="n">
        <v>0</v>
      </c>
      <c r="E4708" s="3" t="n">
        <v>2</v>
      </c>
      <c r="F4708" s="24" t="n">
        <v>0.251652449</v>
      </c>
    </row>
    <row r="4709" customFormat="false" ht="15" hidden="false" customHeight="false" outlineLevel="0" collapsed="false">
      <c r="A4709" s="3" t="n">
        <v>4708</v>
      </c>
      <c r="B4709" s="3" t="n">
        <v>4707</v>
      </c>
      <c r="C4709" s="3" t="n">
        <v>6</v>
      </c>
      <c r="D4709" s="3" t="n">
        <v>0</v>
      </c>
      <c r="E4709" s="3" t="n">
        <v>3</v>
      </c>
      <c r="F4709" s="24" t="n">
        <v>0.251652449</v>
      </c>
    </row>
    <row r="4710" customFormat="false" ht="15" hidden="false" customHeight="false" outlineLevel="0" collapsed="false">
      <c r="A4710" s="3" t="n">
        <v>4709</v>
      </c>
      <c r="B4710" s="3" t="n">
        <v>4708</v>
      </c>
      <c r="C4710" s="3" t="n">
        <v>6</v>
      </c>
      <c r="D4710" s="3" t="n">
        <v>0</v>
      </c>
      <c r="E4710" s="3" t="n">
        <v>4</v>
      </c>
      <c r="F4710" s="24" t="n">
        <v>0.251652449</v>
      </c>
    </row>
    <row r="4711" customFormat="false" ht="15" hidden="false" customHeight="false" outlineLevel="0" collapsed="false">
      <c r="A4711" s="3" t="n">
        <v>4710</v>
      </c>
      <c r="B4711" s="3" t="n">
        <v>4709</v>
      </c>
      <c r="C4711" s="3" t="n">
        <v>6</v>
      </c>
      <c r="D4711" s="3" t="n">
        <v>0</v>
      </c>
      <c r="E4711" s="3" t="n">
        <v>5</v>
      </c>
      <c r="F4711" s="24" t="n">
        <v>0.251652449</v>
      </c>
    </row>
    <row r="4712" customFormat="false" ht="15" hidden="false" customHeight="false" outlineLevel="0" collapsed="false">
      <c r="A4712" s="3" t="n">
        <v>4711</v>
      </c>
      <c r="B4712" s="3" t="n">
        <v>4710</v>
      </c>
      <c r="C4712" s="3" t="n">
        <v>6</v>
      </c>
      <c r="D4712" s="3" t="n">
        <v>0</v>
      </c>
      <c r="E4712" s="3" t="n">
        <v>6</v>
      </c>
      <c r="F4712" s="24" t="n">
        <v>0.251652449</v>
      </c>
    </row>
    <row r="4713" customFormat="false" ht="15" hidden="false" customHeight="false" outlineLevel="0" collapsed="false">
      <c r="A4713" s="3" t="n">
        <v>4712</v>
      </c>
      <c r="B4713" s="3" t="n">
        <v>4711</v>
      </c>
      <c r="C4713" s="3" t="n">
        <v>6</v>
      </c>
      <c r="D4713" s="3" t="n">
        <v>0</v>
      </c>
      <c r="E4713" s="3" t="n">
        <v>7</v>
      </c>
      <c r="F4713" s="24" t="n">
        <v>0.251652449</v>
      </c>
    </row>
    <row r="4714" customFormat="false" ht="15" hidden="false" customHeight="false" outlineLevel="0" collapsed="false">
      <c r="A4714" s="3" t="n">
        <v>4713</v>
      </c>
      <c r="B4714" s="3" t="n">
        <v>4712</v>
      </c>
      <c r="C4714" s="3" t="n">
        <v>6</v>
      </c>
      <c r="D4714" s="3" t="n">
        <v>0</v>
      </c>
      <c r="E4714" s="3" t="n">
        <v>8</v>
      </c>
      <c r="F4714" s="24" t="n">
        <v>0.251652449</v>
      </c>
    </row>
    <row r="4715" customFormat="false" ht="15" hidden="false" customHeight="false" outlineLevel="0" collapsed="false">
      <c r="A4715" s="3" t="n">
        <v>4714</v>
      </c>
      <c r="B4715" s="3" t="n">
        <v>4713</v>
      </c>
      <c r="C4715" s="3" t="n">
        <v>6</v>
      </c>
      <c r="D4715" s="3" t="n">
        <v>0</v>
      </c>
      <c r="E4715" s="3" t="n">
        <v>9</v>
      </c>
      <c r="F4715" s="24" t="n">
        <v>0.251652449</v>
      </c>
    </row>
    <row r="4716" customFormat="false" ht="15" hidden="false" customHeight="false" outlineLevel="0" collapsed="false">
      <c r="A4716" s="3" t="n">
        <v>4715</v>
      </c>
      <c r="B4716" s="3" t="n">
        <v>4714</v>
      </c>
      <c r="C4716" s="3" t="n">
        <v>6</v>
      </c>
      <c r="D4716" s="3" t="n">
        <v>0</v>
      </c>
      <c r="E4716" s="3" t="n">
        <v>10</v>
      </c>
      <c r="F4716" s="24" t="n">
        <v>0.251652449</v>
      </c>
    </row>
    <row r="4717" customFormat="false" ht="15" hidden="false" customHeight="false" outlineLevel="0" collapsed="false">
      <c r="A4717" s="3" t="n">
        <v>4716</v>
      </c>
      <c r="B4717" s="3" t="n">
        <v>4715</v>
      </c>
      <c r="C4717" s="3" t="n">
        <v>6</v>
      </c>
      <c r="D4717" s="3" t="n">
        <v>0</v>
      </c>
      <c r="E4717" s="3" t="n">
        <v>11</v>
      </c>
      <c r="F4717" s="24" t="n">
        <v>0.251652449</v>
      </c>
    </row>
    <row r="4718" customFormat="false" ht="15" hidden="false" customHeight="false" outlineLevel="0" collapsed="false">
      <c r="A4718" s="3" t="n">
        <v>4717</v>
      </c>
      <c r="B4718" s="3" t="n">
        <v>4716</v>
      </c>
      <c r="C4718" s="3" t="n">
        <v>6</v>
      </c>
      <c r="D4718" s="3" t="n">
        <v>0</v>
      </c>
      <c r="E4718" s="3" t="n">
        <v>12</v>
      </c>
      <c r="F4718" s="24" t="n">
        <v>0.251652449</v>
      </c>
    </row>
    <row r="4719" customFormat="false" ht="15" hidden="false" customHeight="false" outlineLevel="0" collapsed="false">
      <c r="A4719" s="3" t="n">
        <v>4718</v>
      </c>
      <c r="B4719" s="3" t="n">
        <v>4717</v>
      </c>
      <c r="C4719" s="3" t="n">
        <v>6</v>
      </c>
      <c r="D4719" s="3" t="n">
        <v>0</v>
      </c>
      <c r="E4719" s="3" t="n">
        <v>13</v>
      </c>
      <c r="F4719" s="24" t="n">
        <v>0.251652449</v>
      </c>
    </row>
    <row r="4720" customFormat="false" ht="15" hidden="false" customHeight="false" outlineLevel="0" collapsed="false">
      <c r="A4720" s="3" t="n">
        <v>4719</v>
      </c>
      <c r="B4720" s="3" t="n">
        <v>4718</v>
      </c>
      <c r="C4720" s="3" t="n">
        <v>6</v>
      </c>
      <c r="D4720" s="3" t="n">
        <v>0</v>
      </c>
      <c r="E4720" s="3" t="n">
        <v>14</v>
      </c>
      <c r="F4720" s="24" t="n">
        <v>0.251652449</v>
      </c>
    </row>
    <row r="4721" customFormat="false" ht="15" hidden="false" customHeight="false" outlineLevel="0" collapsed="false">
      <c r="A4721" s="3" t="n">
        <v>4720</v>
      </c>
      <c r="B4721" s="3" t="n">
        <v>4719</v>
      </c>
      <c r="C4721" s="3" t="n">
        <v>6</v>
      </c>
      <c r="D4721" s="3" t="n">
        <v>0</v>
      </c>
      <c r="E4721" s="3" t="n">
        <v>15</v>
      </c>
      <c r="F4721" s="24" t="n">
        <v>0.251652449</v>
      </c>
    </row>
    <row r="4722" customFormat="false" ht="15" hidden="false" customHeight="false" outlineLevel="0" collapsed="false">
      <c r="A4722" s="3" t="n">
        <v>4721</v>
      </c>
      <c r="B4722" s="3" t="n">
        <v>4720</v>
      </c>
      <c r="C4722" s="3" t="n">
        <v>6</v>
      </c>
      <c r="D4722" s="3" t="n">
        <v>0</v>
      </c>
      <c r="E4722" s="3" t="n">
        <v>16</v>
      </c>
      <c r="F4722" s="24" t="n">
        <v>0.251652449</v>
      </c>
    </row>
    <row r="4723" customFormat="false" ht="15" hidden="false" customHeight="false" outlineLevel="0" collapsed="false">
      <c r="A4723" s="3" t="n">
        <v>4722</v>
      </c>
      <c r="B4723" s="3" t="n">
        <v>4721</v>
      </c>
      <c r="C4723" s="3" t="n">
        <v>6</v>
      </c>
      <c r="D4723" s="3" t="n">
        <v>0</v>
      </c>
      <c r="E4723" s="3" t="n">
        <v>17</v>
      </c>
      <c r="F4723" s="24" t="n">
        <v>0.251652449</v>
      </c>
    </row>
    <row r="4724" customFormat="false" ht="15" hidden="false" customHeight="false" outlineLevel="0" collapsed="false">
      <c r="A4724" s="3" t="n">
        <v>4723</v>
      </c>
      <c r="B4724" s="3" t="n">
        <v>4722</v>
      </c>
      <c r="C4724" s="3" t="n">
        <v>6</v>
      </c>
      <c r="D4724" s="3" t="n">
        <v>0</v>
      </c>
      <c r="E4724" s="3" t="n">
        <v>18</v>
      </c>
      <c r="F4724" s="24" t="n">
        <v>0.251652449</v>
      </c>
    </row>
    <row r="4725" customFormat="false" ht="15" hidden="false" customHeight="false" outlineLevel="0" collapsed="false">
      <c r="A4725" s="3" t="n">
        <v>4724</v>
      </c>
      <c r="B4725" s="3" t="n">
        <v>4723</v>
      </c>
      <c r="C4725" s="3" t="n">
        <v>6</v>
      </c>
      <c r="D4725" s="3" t="n">
        <v>0</v>
      </c>
      <c r="E4725" s="3" t="n">
        <v>19</v>
      </c>
      <c r="F4725" s="24" t="n">
        <v>0.251652449</v>
      </c>
    </row>
    <row r="4726" customFormat="false" ht="15" hidden="false" customHeight="false" outlineLevel="0" collapsed="false">
      <c r="A4726" s="3" t="n">
        <v>4725</v>
      </c>
      <c r="B4726" s="3" t="n">
        <v>4724</v>
      </c>
      <c r="C4726" s="3" t="n">
        <v>6</v>
      </c>
      <c r="D4726" s="3" t="n">
        <v>0</v>
      </c>
      <c r="E4726" s="3" t="n">
        <v>20</v>
      </c>
      <c r="F4726" s="24" t="n">
        <v>0.251652449</v>
      </c>
    </row>
    <row r="4727" customFormat="false" ht="15" hidden="false" customHeight="false" outlineLevel="0" collapsed="false">
      <c r="A4727" s="3" t="n">
        <v>4726</v>
      </c>
      <c r="B4727" s="3" t="n">
        <v>4725</v>
      </c>
      <c r="C4727" s="3" t="n">
        <v>6</v>
      </c>
      <c r="D4727" s="3" t="n">
        <v>0</v>
      </c>
      <c r="E4727" s="3" t="n">
        <v>21</v>
      </c>
      <c r="F4727" s="24" t="n">
        <v>0.251652449</v>
      </c>
    </row>
    <row r="4728" customFormat="false" ht="15" hidden="false" customHeight="false" outlineLevel="0" collapsed="false">
      <c r="A4728" s="3" t="n">
        <v>4727</v>
      </c>
      <c r="B4728" s="3" t="n">
        <v>4726</v>
      </c>
      <c r="C4728" s="3" t="n">
        <v>6</v>
      </c>
      <c r="D4728" s="3" t="n">
        <v>0</v>
      </c>
      <c r="E4728" s="3" t="n">
        <v>22</v>
      </c>
      <c r="F4728" s="24" t="n">
        <v>0.251652449</v>
      </c>
    </row>
    <row r="4729" customFormat="false" ht="15" hidden="false" customHeight="false" outlineLevel="0" collapsed="false">
      <c r="A4729" s="3" t="n">
        <v>4728</v>
      </c>
      <c r="B4729" s="3" t="n">
        <v>4727</v>
      </c>
      <c r="C4729" s="3" t="n">
        <v>6</v>
      </c>
      <c r="D4729" s="3" t="n">
        <v>0</v>
      </c>
      <c r="E4729" s="3" t="n">
        <v>23</v>
      </c>
      <c r="F4729" s="24" t="n">
        <v>0.251652449</v>
      </c>
    </row>
    <row r="4730" customFormat="false" ht="15" hidden="false" customHeight="false" outlineLevel="0" collapsed="false">
      <c r="A4730" s="3" t="n">
        <v>4729</v>
      </c>
      <c r="B4730" s="3" t="n">
        <v>4728</v>
      </c>
      <c r="C4730" s="3" t="n">
        <v>6</v>
      </c>
      <c r="D4730" s="3" t="n">
        <v>0</v>
      </c>
      <c r="E4730" s="3" t="n">
        <v>24</v>
      </c>
      <c r="F4730" s="24" t="n">
        <v>0.251652449</v>
      </c>
    </row>
    <row r="4731" customFormat="false" ht="15" hidden="false" customHeight="false" outlineLevel="0" collapsed="false">
      <c r="A4731" s="3" t="n">
        <v>4730</v>
      </c>
      <c r="B4731" s="3" t="n">
        <v>4729</v>
      </c>
      <c r="C4731" s="3" t="n">
        <v>6</v>
      </c>
      <c r="D4731" s="3" t="n">
        <v>0</v>
      </c>
      <c r="E4731" s="3" t="n">
        <v>25</v>
      </c>
      <c r="F4731" s="24" t="n">
        <v>0.251652449</v>
      </c>
    </row>
    <row r="4732" customFormat="false" ht="15" hidden="false" customHeight="false" outlineLevel="0" collapsed="false">
      <c r="A4732" s="3" t="n">
        <v>4731</v>
      </c>
      <c r="B4732" s="3" t="n">
        <v>4730</v>
      </c>
      <c r="C4732" s="3" t="n">
        <v>6</v>
      </c>
      <c r="D4732" s="3" t="n">
        <v>0</v>
      </c>
      <c r="E4732" s="3" t="n">
        <v>26</v>
      </c>
      <c r="F4732" s="24" t="n">
        <v>0.251652449</v>
      </c>
    </row>
    <row r="4733" customFormat="false" ht="15" hidden="false" customHeight="false" outlineLevel="0" collapsed="false">
      <c r="A4733" s="3" t="n">
        <v>4732</v>
      </c>
      <c r="B4733" s="3" t="n">
        <v>4731</v>
      </c>
      <c r="C4733" s="3" t="n">
        <v>6</v>
      </c>
      <c r="D4733" s="3" t="n">
        <v>0</v>
      </c>
      <c r="E4733" s="3" t="n">
        <v>27</v>
      </c>
      <c r="F4733" s="24" t="n">
        <v>0.058729127</v>
      </c>
    </row>
    <row r="4734" customFormat="false" ht="15" hidden="false" customHeight="false" outlineLevel="0" collapsed="false">
      <c r="A4734" s="3" t="n">
        <v>4733</v>
      </c>
      <c r="B4734" s="3" t="n">
        <v>4732</v>
      </c>
      <c r="C4734" s="3" t="n">
        <v>6</v>
      </c>
      <c r="D4734" s="3" t="n">
        <v>1</v>
      </c>
      <c r="E4734" s="3" t="n">
        <v>0</v>
      </c>
      <c r="F4734" s="24" t="n">
        <v>0.185572863</v>
      </c>
    </row>
    <row r="4735" customFormat="false" ht="15" hidden="false" customHeight="false" outlineLevel="0" collapsed="false">
      <c r="A4735" s="3" t="n">
        <v>4734</v>
      </c>
      <c r="B4735" s="3" t="n">
        <v>4733</v>
      </c>
      <c r="C4735" s="3" t="n">
        <v>6</v>
      </c>
      <c r="D4735" s="3" t="n">
        <v>1</v>
      </c>
      <c r="E4735" s="3" t="n">
        <v>1</v>
      </c>
      <c r="F4735" s="24" t="n">
        <v>-0.00670984387</v>
      </c>
    </row>
    <row r="4736" customFormat="false" ht="15" hidden="false" customHeight="false" outlineLevel="0" collapsed="false">
      <c r="A4736" s="3" t="n">
        <v>4735</v>
      </c>
      <c r="B4736" s="3" t="n">
        <v>4734</v>
      </c>
      <c r="C4736" s="3" t="n">
        <v>6</v>
      </c>
      <c r="D4736" s="3" t="n">
        <v>1</v>
      </c>
      <c r="E4736" s="3" t="n">
        <v>2</v>
      </c>
      <c r="F4736" s="24" t="n">
        <v>-0.00670984387</v>
      </c>
    </row>
    <row r="4737" customFormat="false" ht="15" hidden="false" customHeight="false" outlineLevel="0" collapsed="false">
      <c r="A4737" s="3" t="n">
        <v>4736</v>
      </c>
      <c r="B4737" s="3" t="n">
        <v>4735</v>
      </c>
      <c r="C4737" s="3" t="n">
        <v>6</v>
      </c>
      <c r="D4737" s="3" t="n">
        <v>1</v>
      </c>
      <c r="E4737" s="3" t="n">
        <v>3</v>
      </c>
      <c r="F4737" s="24" t="n">
        <v>-0.00670984387</v>
      </c>
    </row>
    <row r="4738" customFormat="false" ht="15" hidden="false" customHeight="false" outlineLevel="0" collapsed="false">
      <c r="A4738" s="3" t="n">
        <v>4737</v>
      </c>
      <c r="B4738" s="3" t="n">
        <v>4736</v>
      </c>
      <c r="C4738" s="3" t="n">
        <v>6</v>
      </c>
      <c r="D4738" s="3" t="n">
        <v>1</v>
      </c>
      <c r="E4738" s="3" t="n">
        <v>4</v>
      </c>
      <c r="F4738" s="24" t="n">
        <v>-0.00670984387</v>
      </c>
    </row>
    <row r="4739" customFormat="false" ht="15" hidden="false" customHeight="false" outlineLevel="0" collapsed="false">
      <c r="A4739" s="3" t="n">
        <v>4738</v>
      </c>
      <c r="B4739" s="3" t="n">
        <v>4737</v>
      </c>
      <c r="C4739" s="3" t="n">
        <v>6</v>
      </c>
      <c r="D4739" s="3" t="n">
        <v>1</v>
      </c>
      <c r="E4739" s="3" t="n">
        <v>5</v>
      </c>
      <c r="F4739" s="24" t="n">
        <v>-0.00670984387</v>
      </c>
    </row>
    <row r="4740" customFormat="false" ht="15" hidden="false" customHeight="false" outlineLevel="0" collapsed="false">
      <c r="A4740" s="3" t="n">
        <v>4739</v>
      </c>
      <c r="B4740" s="3" t="n">
        <v>4738</v>
      </c>
      <c r="C4740" s="3" t="n">
        <v>6</v>
      </c>
      <c r="D4740" s="3" t="n">
        <v>1</v>
      </c>
      <c r="E4740" s="3" t="n">
        <v>6</v>
      </c>
      <c r="F4740" s="24" t="n">
        <v>-0.00670984387</v>
      </c>
    </row>
    <row r="4741" customFormat="false" ht="15" hidden="false" customHeight="false" outlineLevel="0" collapsed="false">
      <c r="A4741" s="3" t="n">
        <v>4740</v>
      </c>
      <c r="B4741" s="3" t="n">
        <v>4739</v>
      </c>
      <c r="C4741" s="3" t="n">
        <v>6</v>
      </c>
      <c r="D4741" s="3" t="n">
        <v>1</v>
      </c>
      <c r="E4741" s="3" t="n">
        <v>7</v>
      </c>
      <c r="F4741" s="24" t="n">
        <v>-0.00670984387</v>
      </c>
    </row>
    <row r="4742" customFormat="false" ht="15" hidden="false" customHeight="false" outlineLevel="0" collapsed="false">
      <c r="A4742" s="3" t="n">
        <v>4741</v>
      </c>
      <c r="B4742" s="3" t="n">
        <v>4740</v>
      </c>
      <c r="C4742" s="3" t="n">
        <v>6</v>
      </c>
      <c r="D4742" s="3" t="n">
        <v>1</v>
      </c>
      <c r="E4742" s="3" t="n">
        <v>8</v>
      </c>
      <c r="F4742" s="24" t="n">
        <v>-0.00670984387</v>
      </c>
    </row>
    <row r="4743" customFormat="false" ht="15" hidden="false" customHeight="false" outlineLevel="0" collapsed="false">
      <c r="A4743" s="3" t="n">
        <v>4742</v>
      </c>
      <c r="B4743" s="3" t="n">
        <v>4741</v>
      </c>
      <c r="C4743" s="3" t="n">
        <v>6</v>
      </c>
      <c r="D4743" s="3" t="n">
        <v>1</v>
      </c>
      <c r="E4743" s="3" t="n">
        <v>9</v>
      </c>
      <c r="F4743" s="24" t="n">
        <v>-0.00670984387</v>
      </c>
    </row>
    <row r="4744" customFormat="false" ht="15" hidden="false" customHeight="false" outlineLevel="0" collapsed="false">
      <c r="A4744" s="3" t="n">
        <v>4743</v>
      </c>
      <c r="B4744" s="3" t="n">
        <v>4742</v>
      </c>
      <c r="C4744" s="3" t="n">
        <v>6</v>
      </c>
      <c r="D4744" s="3" t="n">
        <v>1</v>
      </c>
      <c r="E4744" s="3" t="n">
        <v>10</v>
      </c>
      <c r="F4744" s="24" t="n">
        <v>-0.00670984387</v>
      </c>
    </row>
    <row r="4745" customFormat="false" ht="15" hidden="false" customHeight="false" outlineLevel="0" collapsed="false">
      <c r="A4745" s="3" t="n">
        <v>4744</v>
      </c>
      <c r="B4745" s="3" t="n">
        <v>4743</v>
      </c>
      <c r="C4745" s="3" t="n">
        <v>6</v>
      </c>
      <c r="D4745" s="3" t="n">
        <v>1</v>
      </c>
      <c r="E4745" s="3" t="n">
        <v>11</v>
      </c>
      <c r="F4745" s="24" t="n">
        <v>-0.00670984387</v>
      </c>
    </row>
    <row r="4746" customFormat="false" ht="15" hidden="false" customHeight="false" outlineLevel="0" collapsed="false">
      <c r="A4746" s="3" t="n">
        <v>4745</v>
      </c>
      <c r="B4746" s="3" t="n">
        <v>4744</v>
      </c>
      <c r="C4746" s="3" t="n">
        <v>6</v>
      </c>
      <c r="D4746" s="3" t="n">
        <v>1</v>
      </c>
      <c r="E4746" s="3" t="n">
        <v>12</v>
      </c>
      <c r="F4746" s="24" t="n">
        <v>-0.00670984387</v>
      </c>
    </row>
    <row r="4747" customFormat="false" ht="15" hidden="false" customHeight="false" outlineLevel="0" collapsed="false">
      <c r="A4747" s="3" t="n">
        <v>4746</v>
      </c>
      <c r="B4747" s="3" t="n">
        <v>4745</v>
      </c>
      <c r="C4747" s="3" t="n">
        <v>6</v>
      </c>
      <c r="D4747" s="3" t="n">
        <v>1</v>
      </c>
      <c r="E4747" s="3" t="n">
        <v>13</v>
      </c>
      <c r="F4747" s="24" t="n">
        <v>-0.00670984387</v>
      </c>
    </row>
    <row r="4748" customFormat="false" ht="15" hidden="false" customHeight="false" outlineLevel="0" collapsed="false">
      <c r="A4748" s="3" t="n">
        <v>4747</v>
      </c>
      <c r="B4748" s="3" t="n">
        <v>4746</v>
      </c>
      <c r="C4748" s="3" t="n">
        <v>6</v>
      </c>
      <c r="D4748" s="3" t="n">
        <v>1</v>
      </c>
      <c r="E4748" s="3" t="n">
        <v>14</v>
      </c>
      <c r="F4748" s="24" t="n">
        <v>-0.00670984387</v>
      </c>
    </row>
    <row r="4749" customFormat="false" ht="15" hidden="false" customHeight="false" outlineLevel="0" collapsed="false">
      <c r="A4749" s="3" t="n">
        <v>4748</v>
      </c>
      <c r="B4749" s="3" t="n">
        <v>4747</v>
      </c>
      <c r="C4749" s="3" t="n">
        <v>6</v>
      </c>
      <c r="D4749" s="3" t="n">
        <v>1</v>
      </c>
      <c r="E4749" s="3" t="n">
        <v>15</v>
      </c>
      <c r="F4749" s="24" t="n">
        <v>-0.00670984387</v>
      </c>
    </row>
    <row r="4750" customFormat="false" ht="15" hidden="false" customHeight="false" outlineLevel="0" collapsed="false">
      <c r="A4750" s="3" t="n">
        <v>4749</v>
      </c>
      <c r="B4750" s="3" t="n">
        <v>4748</v>
      </c>
      <c r="C4750" s="3" t="n">
        <v>6</v>
      </c>
      <c r="D4750" s="3" t="n">
        <v>1</v>
      </c>
      <c r="E4750" s="3" t="n">
        <v>16</v>
      </c>
      <c r="F4750" s="24" t="n">
        <v>-0.00670984387</v>
      </c>
    </row>
    <row r="4751" customFormat="false" ht="15" hidden="false" customHeight="false" outlineLevel="0" collapsed="false">
      <c r="A4751" s="3" t="n">
        <v>4750</v>
      </c>
      <c r="B4751" s="3" t="n">
        <v>4749</v>
      </c>
      <c r="C4751" s="3" t="n">
        <v>6</v>
      </c>
      <c r="D4751" s="3" t="n">
        <v>1</v>
      </c>
      <c r="E4751" s="3" t="n">
        <v>17</v>
      </c>
      <c r="F4751" s="24" t="n">
        <v>-0.00670984387</v>
      </c>
    </row>
    <row r="4752" customFormat="false" ht="15" hidden="false" customHeight="false" outlineLevel="0" collapsed="false">
      <c r="A4752" s="3" t="n">
        <v>4751</v>
      </c>
      <c r="B4752" s="3" t="n">
        <v>4750</v>
      </c>
      <c r="C4752" s="3" t="n">
        <v>6</v>
      </c>
      <c r="D4752" s="3" t="n">
        <v>1</v>
      </c>
      <c r="E4752" s="3" t="n">
        <v>18</v>
      </c>
      <c r="F4752" s="24" t="n">
        <v>-0.00670984387</v>
      </c>
    </row>
    <row r="4753" customFormat="false" ht="15" hidden="false" customHeight="false" outlineLevel="0" collapsed="false">
      <c r="A4753" s="3" t="n">
        <v>4752</v>
      </c>
      <c r="B4753" s="3" t="n">
        <v>4751</v>
      </c>
      <c r="C4753" s="3" t="n">
        <v>6</v>
      </c>
      <c r="D4753" s="3" t="n">
        <v>1</v>
      </c>
      <c r="E4753" s="3" t="n">
        <v>19</v>
      </c>
      <c r="F4753" s="24" t="n">
        <v>-0.00670984387</v>
      </c>
    </row>
    <row r="4754" customFormat="false" ht="15" hidden="false" customHeight="false" outlineLevel="0" collapsed="false">
      <c r="A4754" s="3" t="n">
        <v>4753</v>
      </c>
      <c r="B4754" s="3" t="n">
        <v>4752</v>
      </c>
      <c r="C4754" s="3" t="n">
        <v>6</v>
      </c>
      <c r="D4754" s="3" t="n">
        <v>1</v>
      </c>
      <c r="E4754" s="3" t="n">
        <v>20</v>
      </c>
      <c r="F4754" s="24" t="n">
        <v>-0.00670984387</v>
      </c>
    </row>
    <row r="4755" customFormat="false" ht="15" hidden="false" customHeight="false" outlineLevel="0" collapsed="false">
      <c r="A4755" s="3" t="n">
        <v>4754</v>
      </c>
      <c r="B4755" s="3" t="n">
        <v>4753</v>
      </c>
      <c r="C4755" s="3" t="n">
        <v>6</v>
      </c>
      <c r="D4755" s="3" t="n">
        <v>1</v>
      </c>
      <c r="E4755" s="3" t="n">
        <v>21</v>
      </c>
      <c r="F4755" s="24" t="n">
        <v>-0.00670984387</v>
      </c>
    </row>
    <row r="4756" customFormat="false" ht="15" hidden="false" customHeight="false" outlineLevel="0" collapsed="false">
      <c r="A4756" s="3" t="n">
        <v>4755</v>
      </c>
      <c r="B4756" s="3" t="n">
        <v>4754</v>
      </c>
      <c r="C4756" s="3" t="n">
        <v>6</v>
      </c>
      <c r="D4756" s="3" t="n">
        <v>1</v>
      </c>
      <c r="E4756" s="3" t="n">
        <v>22</v>
      </c>
      <c r="F4756" s="24" t="n">
        <v>-0.00670984387</v>
      </c>
    </row>
    <row r="4757" customFormat="false" ht="15" hidden="false" customHeight="false" outlineLevel="0" collapsed="false">
      <c r="A4757" s="3" t="n">
        <v>4756</v>
      </c>
      <c r="B4757" s="3" t="n">
        <v>4755</v>
      </c>
      <c r="C4757" s="3" t="n">
        <v>6</v>
      </c>
      <c r="D4757" s="3" t="n">
        <v>1</v>
      </c>
      <c r="E4757" s="3" t="n">
        <v>23</v>
      </c>
      <c r="F4757" s="24" t="n">
        <v>-0.00670984387</v>
      </c>
    </row>
    <row r="4758" customFormat="false" ht="15" hidden="false" customHeight="false" outlineLevel="0" collapsed="false">
      <c r="A4758" s="3" t="n">
        <v>4757</v>
      </c>
      <c r="B4758" s="3" t="n">
        <v>4756</v>
      </c>
      <c r="C4758" s="3" t="n">
        <v>6</v>
      </c>
      <c r="D4758" s="3" t="n">
        <v>1</v>
      </c>
      <c r="E4758" s="3" t="n">
        <v>24</v>
      </c>
      <c r="F4758" s="24" t="n">
        <v>-0.00670984387</v>
      </c>
    </row>
    <row r="4759" customFormat="false" ht="15" hidden="false" customHeight="false" outlineLevel="0" collapsed="false">
      <c r="A4759" s="3" t="n">
        <v>4758</v>
      </c>
      <c r="B4759" s="3" t="n">
        <v>4757</v>
      </c>
      <c r="C4759" s="3" t="n">
        <v>6</v>
      </c>
      <c r="D4759" s="3" t="n">
        <v>1</v>
      </c>
      <c r="E4759" s="3" t="n">
        <v>25</v>
      </c>
      <c r="F4759" s="24" t="n">
        <v>-0.00670984387</v>
      </c>
    </row>
    <row r="4760" customFormat="false" ht="15" hidden="false" customHeight="false" outlineLevel="0" collapsed="false">
      <c r="A4760" s="3" t="n">
        <v>4759</v>
      </c>
      <c r="B4760" s="3" t="n">
        <v>4758</v>
      </c>
      <c r="C4760" s="3" t="n">
        <v>6</v>
      </c>
      <c r="D4760" s="3" t="n">
        <v>1</v>
      </c>
      <c r="E4760" s="3" t="n">
        <v>26</v>
      </c>
      <c r="F4760" s="24" t="n">
        <v>-0.00670984387</v>
      </c>
    </row>
    <row r="4761" customFormat="false" ht="15" hidden="false" customHeight="false" outlineLevel="0" collapsed="false">
      <c r="A4761" s="3" t="n">
        <v>4760</v>
      </c>
      <c r="B4761" s="3" t="n">
        <v>4759</v>
      </c>
      <c r="C4761" s="3" t="n">
        <v>6</v>
      </c>
      <c r="D4761" s="3" t="n">
        <v>1</v>
      </c>
      <c r="E4761" s="3" t="n">
        <v>27</v>
      </c>
      <c r="F4761" s="24" t="n">
        <v>-0.0790599883</v>
      </c>
    </row>
    <row r="4762" customFormat="false" ht="15" hidden="false" customHeight="false" outlineLevel="0" collapsed="false">
      <c r="A4762" s="3" t="n">
        <v>4761</v>
      </c>
      <c r="B4762" s="3" t="n">
        <v>4760</v>
      </c>
      <c r="C4762" s="3" t="n">
        <v>6</v>
      </c>
      <c r="D4762" s="3" t="n">
        <v>2</v>
      </c>
      <c r="E4762" s="3" t="n">
        <v>0</v>
      </c>
      <c r="F4762" s="24" t="n">
        <v>0.185572863</v>
      </c>
    </row>
    <row r="4763" customFormat="false" ht="15" hidden="false" customHeight="false" outlineLevel="0" collapsed="false">
      <c r="A4763" s="3" t="n">
        <v>4762</v>
      </c>
      <c r="B4763" s="3" t="n">
        <v>4761</v>
      </c>
      <c r="C4763" s="3" t="n">
        <v>6</v>
      </c>
      <c r="D4763" s="3" t="n">
        <v>2</v>
      </c>
      <c r="E4763" s="3" t="n">
        <v>1</v>
      </c>
      <c r="F4763" s="24" t="n">
        <v>-0.00670984387</v>
      </c>
    </row>
    <row r="4764" customFormat="false" ht="15" hidden="false" customHeight="false" outlineLevel="0" collapsed="false">
      <c r="A4764" s="3" t="n">
        <v>4763</v>
      </c>
      <c r="B4764" s="3" t="n">
        <v>4762</v>
      </c>
      <c r="C4764" s="3" t="n">
        <v>6</v>
      </c>
      <c r="D4764" s="3" t="n">
        <v>2</v>
      </c>
      <c r="E4764" s="3" t="n">
        <v>2</v>
      </c>
      <c r="F4764" s="24" t="n">
        <v>-0.00670984387</v>
      </c>
    </row>
    <row r="4765" customFormat="false" ht="15" hidden="false" customHeight="false" outlineLevel="0" collapsed="false">
      <c r="A4765" s="3" t="n">
        <v>4764</v>
      </c>
      <c r="B4765" s="3" t="n">
        <v>4763</v>
      </c>
      <c r="C4765" s="3" t="n">
        <v>6</v>
      </c>
      <c r="D4765" s="3" t="n">
        <v>2</v>
      </c>
      <c r="E4765" s="3" t="n">
        <v>3</v>
      </c>
      <c r="F4765" s="24" t="n">
        <v>-0.00670984387</v>
      </c>
    </row>
    <row r="4766" customFormat="false" ht="15" hidden="false" customHeight="false" outlineLevel="0" collapsed="false">
      <c r="A4766" s="3" t="n">
        <v>4765</v>
      </c>
      <c r="B4766" s="3" t="n">
        <v>4764</v>
      </c>
      <c r="C4766" s="3" t="n">
        <v>6</v>
      </c>
      <c r="D4766" s="3" t="n">
        <v>2</v>
      </c>
      <c r="E4766" s="3" t="n">
        <v>4</v>
      </c>
      <c r="F4766" s="24" t="n">
        <v>-0.00670984387</v>
      </c>
    </row>
    <row r="4767" customFormat="false" ht="15" hidden="false" customHeight="false" outlineLevel="0" collapsed="false">
      <c r="A4767" s="3" t="n">
        <v>4766</v>
      </c>
      <c r="B4767" s="3" t="n">
        <v>4765</v>
      </c>
      <c r="C4767" s="3" t="n">
        <v>6</v>
      </c>
      <c r="D4767" s="3" t="n">
        <v>2</v>
      </c>
      <c r="E4767" s="3" t="n">
        <v>5</v>
      </c>
      <c r="F4767" s="24" t="n">
        <v>-0.00670984387</v>
      </c>
    </row>
    <row r="4768" customFormat="false" ht="15" hidden="false" customHeight="false" outlineLevel="0" collapsed="false">
      <c r="A4768" s="3" t="n">
        <v>4767</v>
      </c>
      <c r="B4768" s="3" t="n">
        <v>4766</v>
      </c>
      <c r="C4768" s="3" t="n">
        <v>6</v>
      </c>
      <c r="D4768" s="3" t="n">
        <v>2</v>
      </c>
      <c r="E4768" s="3" t="n">
        <v>6</v>
      </c>
      <c r="F4768" s="24" t="n">
        <v>-0.00670984387</v>
      </c>
    </row>
    <row r="4769" customFormat="false" ht="15" hidden="false" customHeight="false" outlineLevel="0" collapsed="false">
      <c r="A4769" s="3" t="n">
        <v>4768</v>
      </c>
      <c r="B4769" s="3" t="n">
        <v>4767</v>
      </c>
      <c r="C4769" s="3" t="n">
        <v>6</v>
      </c>
      <c r="D4769" s="3" t="n">
        <v>2</v>
      </c>
      <c r="E4769" s="3" t="n">
        <v>7</v>
      </c>
      <c r="F4769" s="24" t="n">
        <v>-0.00670984387</v>
      </c>
    </row>
    <row r="4770" customFormat="false" ht="15" hidden="false" customHeight="false" outlineLevel="0" collapsed="false">
      <c r="A4770" s="3" t="n">
        <v>4769</v>
      </c>
      <c r="B4770" s="3" t="n">
        <v>4768</v>
      </c>
      <c r="C4770" s="3" t="n">
        <v>6</v>
      </c>
      <c r="D4770" s="3" t="n">
        <v>2</v>
      </c>
      <c r="E4770" s="3" t="n">
        <v>8</v>
      </c>
      <c r="F4770" s="24" t="n">
        <v>-0.00670984387</v>
      </c>
    </row>
    <row r="4771" customFormat="false" ht="15" hidden="false" customHeight="false" outlineLevel="0" collapsed="false">
      <c r="A4771" s="3" t="n">
        <v>4770</v>
      </c>
      <c r="B4771" s="3" t="n">
        <v>4769</v>
      </c>
      <c r="C4771" s="3" t="n">
        <v>6</v>
      </c>
      <c r="D4771" s="3" t="n">
        <v>2</v>
      </c>
      <c r="E4771" s="3" t="n">
        <v>9</v>
      </c>
      <c r="F4771" s="24" t="n">
        <v>-0.00670984387</v>
      </c>
    </row>
    <row r="4772" customFormat="false" ht="15" hidden="false" customHeight="false" outlineLevel="0" collapsed="false">
      <c r="A4772" s="3" t="n">
        <v>4771</v>
      </c>
      <c r="B4772" s="3" t="n">
        <v>4770</v>
      </c>
      <c r="C4772" s="3" t="n">
        <v>6</v>
      </c>
      <c r="D4772" s="3" t="n">
        <v>2</v>
      </c>
      <c r="E4772" s="3" t="n">
        <v>10</v>
      </c>
      <c r="F4772" s="24" t="n">
        <v>-0.00670984387</v>
      </c>
    </row>
    <row r="4773" customFormat="false" ht="15" hidden="false" customHeight="false" outlineLevel="0" collapsed="false">
      <c r="A4773" s="3" t="n">
        <v>4772</v>
      </c>
      <c r="B4773" s="3" t="n">
        <v>4771</v>
      </c>
      <c r="C4773" s="3" t="n">
        <v>6</v>
      </c>
      <c r="D4773" s="3" t="n">
        <v>2</v>
      </c>
      <c r="E4773" s="3" t="n">
        <v>11</v>
      </c>
      <c r="F4773" s="24" t="n">
        <v>-0.00670984387</v>
      </c>
    </row>
    <row r="4774" customFormat="false" ht="15" hidden="false" customHeight="false" outlineLevel="0" collapsed="false">
      <c r="A4774" s="3" t="n">
        <v>4773</v>
      </c>
      <c r="B4774" s="3" t="n">
        <v>4772</v>
      </c>
      <c r="C4774" s="3" t="n">
        <v>6</v>
      </c>
      <c r="D4774" s="3" t="n">
        <v>2</v>
      </c>
      <c r="E4774" s="3" t="n">
        <v>12</v>
      </c>
      <c r="F4774" s="24" t="n">
        <v>-0.00670984387</v>
      </c>
    </row>
    <row r="4775" customFormat="false" ht="15" hidden="false" customHeight="false" outlineLevel="0" collapsed="false">
      <c r="A4775" s="3" t="n">
        <v>4774</v>
      </c>
      <c r="B4775" s="3" t="n">
        <v>4773</v>
      </c>
      <c r="C4775" s="3" t="n">
        <v>6</v>
      </c>
      <c r="D4775" s="3" t="n">
        <v>2</v>
      </c>
      <c r="E4775" s="3" t="n">
        <v>13</v>
      </c>
      <c r="F4775" s="24" t="n">
        <v>-0.00670984387</v>
      </c>
    </row>
    <row r="4776" customFormat="false" ht="15" hidden="false" customHeight="false" outlineLevel="0" collapsed="false">
      <c r="A4776" s="3" t="n">
        <v>4775</v>
      </c>
      <c r="B4776" s="3" t="n">
        <v>4774</v>
      </c>
      <c r="C4776" s="3" t="n">
        <v>6</v>
      </c>
      <c r="D4776" s="3" t="n">
        <v>2</v>
      </c>
      <c r="E4776" s="3" t="n">
        <v>14</v>
      </c>
      <c r="F4776" s="24" t="n">
        <v>-0.00670984387</v>
      </c>
    </row>
    <row r="4777" customFormat="false" ht="15" hidden="false" customHeight="false" outlineLevel="0" collapsed="false">
      <c r="A4777" s="3" t="n">
        <v>4776</v>
      </c>
      <c r="B4777" s="3" t="n">
        <v>4775</v>
      </c>
      <c r="C4777" s="3" t="n">
        <v>6</v>
      </c>
      <c r="D4777" s="3" t="n">
        <v>2</v>
      </c>
      <c r="E4777" s="3" t="n">
        <v>15</v>
      </c>
      <c r="F4777" s="24" t="n">
        <v>-0.00670984387</v>
      </c>
    </row>
    <row r="4778" customFormat="false" ht="15" hidden="false" customHeight="false" outlineLevel="0" collapsed="false">
      <c r="A4778" s="3" t="n">
        <v>4777</v>
      </c>
      <c r="B4778" s="3" t="n">
        <v>4776</v>
      </c>
      <c r="C4778" s="3" t="n">
        <v>6</v>
      </c>
      <c r="D4778" s="3" t="n">
        <v>2</v>
      </c>
      <c r="E4778" s="3" t="n">
        <v>16</v>
      </c>
      <c r="F4778" s="24" t="n">
        <v>-0.00670984387</v>
      </c>
    </row>
    <row r="4779" customFormat="false" ht="15" hidden="false" customHeight="false" outlineLevel="0" collapsed="false">
      <c r="A4779" s="3" t="n">
        <v>4778</v>
      </c>
      <c r="B4779" s="3" t="n">
        <v>4777</v>
      </c>
      <c r="C4779" s="3" t="n">
        <v>6</v>
      </c>
      <c r="D4779" s="3" t="n">
        <v>2</v>
      </c>
      <c r="E4779" s="3" t="n">
        <v>17</v>
      </c>
      <c r="F4779" s="24" t="n">
        <v>-0.00670984387</v>
      </c>
    </row>
    <row r="4780" customFormat="false" ht="15" hidden="false" customHeight="false" outlineLevel="0" collapsed="false">
      <c r="A4780" s="3" t="n">
        <v>4779</v>
      </c>
      <c r="B4780" s="3" t="n">
        <v>4778</v>
      </c>
      <c r="C4780" s="3" t="n">
        <v>6</v>
      </c>
      <c r="D4780" s="3" t="n">
        <v>2</v>
      </c>
      <c r="E4780" s="3" t="n">
        <v>18</v>
      </c>
      <c r="F4780" s="24" t="n">
        <v>-0.00670984387</v>
      </c>
    </row>
    <row r="4781" customFormat="false" ht="15" hidden="false" customHeight="false" outlineLevel="0" collapsed="false">
      <c r="A4781" s="3" t="n">
        <v>4780</v>
      </c>
      <c r="B4781" s="3" t="n">
        <v>4779</v>
      </c>
      <c r="C4781" s="3" t="n">
        <v>6</v>
      </c>
      <c r="D4781" s="3" t="n">
        <v>2</v>
      </c>
      <c r="E4781" s="3" t="n">
        <v>19</v>
      </c>
      <c r="F4781" s="24" t="n">
        <v>-0.00670984387</v>
      </c>
    </row>
    <row r="4782" customFormat="false" ht="15" hidden="false" customHeight="false" outlineLevel="0" collapsed="false">
      <c r="A4782" s="3" t="n">
        <v>4781</v>
      </c>
      <c r="B4782" s="3" t="n">
        <v>4780</v>
      </c>
      <c r="C4782" s="3" t="n">
        <v>6</v>
      </c>
      <c r="D4782" s="3" t="n">
        <v>2</v>
      </c>
      <c r="E4782" s="3" t="n">
        <v>20</v>
      </c>
      <c r="F4782" s="24" t="n">
        <v>-0.00670984387</v>
      </c>
    </row>
    <row r="4783" customFormat="false" ht="15" hidden="false" customHeight="false" outlineLevel="0" collapsed="false">
      <c r="A4783" s="3" t="n">
        <v>4782</v>
      </c>
      <c r="B4783" s="3" t="n">
        <v>4781</v>
      </c>
      <c r="C4783" s="3" t="n">
        <v>6</v>
      </c>
      <c r="D4783" s="3" t="n">
        <v>2</v>
      </c>
      <c r="E4783" s="3" t="n">
        <v>21</v>
      </c>
      <c r="F4783" s="24" t="n">
        <v>-0.00670984387</v>
      </c>
    </row>
    <row r="4784" customFormat="false" ht="15" hidden="false" customHeight="false" outlineLevel="0" collapsed="false">
      <c r="A4784" s="3" t="n">
        <v>4783</v>
      </c>
      <c r="B4784" s="3" t="n">
        <v>4782</v>
      </c>
      <c r="C4784" s="3" t="n">
        <v>6</v>
      </c>
      <c r="D4784" s="3" t="n">
        <v>2</v>
      </c>
      <c r="E4784" s="3" t="n">
        <v>22</v>
      </c>
      <c r="F4784" s="24" t="n">
        <v>-0.00670984387</v>
      </c>
    </row>
    <row r="4785" customFormat="false" ht="15" hidden="false" customHeight="false" outlineLevel="0" collapsed="false">
      <c r="A4785" s="3" t="n">
        <v>4784</v>
      </c>
      <c r="B4785" s="3" t="n">
        <v>4783</v>
      </c>
      <c r="C4785" s="3" t="n">
        <v>6</v>
      </c>
      <c r="D4785" s="3" t="n">
        <v>2</v>
      </c>
      <c r="E4785" s="3" t="n">
        <v>23</v>
      </c>
      <c r="F4785" s="24" t="n">
        <v>-0.00670984387</v>
      </c>
    </row>
    <row r="4786" customFormat="false" ht="15" hidden="false" customHeight="false" outlineLevel="0" collapsed="false">
      <c r="A4786" s="3" t="n">
        <v>4785</v>
      </c>
      <c r="B4786" s="3" t="n">
        <v>4784</v>
      </c>
      <c r="C4786" s="3" t="n">
        <v>6</v>
      </c>
      <c r="D4786" s="3" t="n">
        <v>2</v>
      </c>
      <c r="E4786" s="3" t="n">
        <v>24</v>
      </c>
      <c r="F4786" s="24" t="n">
        <v>-0.00670984387</v>
      </c>
    </row>
    <row r="4787" customFormat="false" ht="15" hidden="false" customHeight="false" outlineLevel="0" collapsed="false">
      <c r="A4787" s="3" t="n">
        <v>4786</v>
      </c>
      <c r="B4787" s="3" t="n">
        <v>4785</v>
      </c>
      <c r="C4787" s="3" t="n">
        <v>6</v>
      </c>
      <c r="D4787" s="3" t="n">
        <v>2</v>
      </c>
      <c r="E4787" s="3" t="n">
        <v>25</v>
      </c>
      <c r="F4787" s="24" t="n">
        <v>-0.00670984387</v>
      </c>
    </row>
    <row r="4788" customFormat="false" ht="15" hidden="false" customHeight="false" outlineLevel="0" collapsed="false">
      <c r="A4788" s="3" t="n">
        <v>4787</v>
      </c>
      <c r="B4788" s="3" t="n">
        <v>4786</v>
      </c>
      <c r="C4788" s="3" t="n">
        <v>6</v>
      </c>
      <c r="D4788" s="3" t="n">
        <v>2</v>
      </c>
      <c r="E4788" s="3" t="n">
        <v>26</v>
      </c>
      <c r="F4788" s="24" t="n">
        <v>-0.00670984387</v>
      </c>
    </row>
    <row r="4789" customFormat="false" ht="15" hidden="false" customHeight="false" outlineLevel="0" collapsed="false">
      <c r="A4789" s="3" t="n">
        <v>4788</v>
      </c>
      <c r="B4789" s="3" t="n">
        <v>4787</v>
      </c>
      <c r="C4789" s="3" t="n">
        <v>6</v>
      </c>
      <c r="D4789" s="3" t="n">
        <v>2</v>
      </c>
      <c r="E4789" s="3" t="n">
        <v>27</v>
      </c>
      <c r="F4789" s="24" t="n">
        <v>-0.0790599883</v>
      </c>
    </row>
    <row r="4790" customFormat="false" ht="15" hidden="false" customHeight="false" outlineLevel="0" collapsed="false">
      <c r="A4790" s="3" t="n">
        <v>4789</v>
      </c>
      <c r="B4790" s="3" t="n">
        <v>4788</v>
      </c>
      <c r="C4790" s="3" t="n">
        <v>6</v>
      </c>
      <c r="D4790" s="3" t="n">
        <v>3</v>
      </c>
      <c r="E4790" s="3" t="n">
        <v>0</v>
      </c>
      <c r="F4790" s="24" t="n">
        <v>0.185572863</v>
      </c>
    </row>
    <row r="4791" customFormat="false" ht="15" hidden="false" customHeight="false" outlineLevel="0" collapsed="false">
      <c r="A4791" s="3" t="n">
        <v>4790</v>
      </c>
      <c r="B4791" s="3" t="n">
        <v>4789</v>
      </c>
      <c r="C4791" s="3" t="n">
        <v>6</v>
      </c>
      <c r="D4791" s="3" t="n">
        <v>3</v>
      </c>
      <c r="E4791" s="3" t="n">
        <v>1</v>
      </c>
      <c r="F4791" s="24" t="n">
        <v>-0.00670984387</v>
      </c>
    </row>
    <row r="4792" customFormat="false" ht="15" hidden="false" customHeight="false" outlineLevel="0" collapsed="false">
      <c r="A4792" s="3" t="n">
        <v>4791</v>
      </c>
      <c r="B4792" s="3" t="n">
        <v>4790</v>
      </c>
      <c r="C4792" s="3" t="n">
        <v>6</v>
      </c>
      <c r="D4792" s="3" t="n">
        <v>3</v>
      </c>
      <c r="E4792" s="3" t="n">
        <v>2</v>
      </c>
      <c r="F4792" s="24" t="n">
        <v>-0.00670984387</v>
      </c>
    </row>
    <row r="4793" customFormat="false" ht="15" hidden="false" customHeight="false" outlineLevel="0" collapsed="false">
      <c r="A4793" s="3" t="n">
        <v>4792</v>
      </c>
      <c r="B4793" s="3" t="n">
        <v>4791</v>
      </c>
      <c r="C4793" s="3" t="n">
        <v>6</v>
      </c>
      <c r="D4793" s="3" t="n">
        <v>3</v>
      </c>
      <c r="E4793" s="3" t="n">
        <v>3</v>
      </c>
      <c r="F4793" s="24" t="n">
        <v>-0.00670984387</v>
      </c>
    </row>
    <row r="4794" customFormat="false" ht="15" hidden="false" customHeight="false" outlineLevel="0" collapsed="false">
      <c r="A4794" s="3" t="n">
        <v>4793</v>
      </c>
      <c r="B4794" s="3" t="n">
        <v>4792</v>
      </c>
      <c r="C4794" s="3" t="n">
        <v>6</v>
      </c>
      <c r="D4794" s="3" t="n">
        <v>3</v>
      </c>
      <c r="E4794" s="3" t="n">
        <v>4</v>
      </c>
      <c r="F4794" s="24" t="n">
        <v>-0.00670984387</v>
      </c>
    </row>
    <row r="4795" customFormat="false" ht="15" hidden="false" customHeight="false" outlineLevel="0" collapsed="false">
      <c r="A4795" s="3" t="n">
        <v>4794</v>
      </c>
      <c r="B4795" s="3" t="n">
        <v>4793</v>
      </c>
      <c r="C4795" s="3" t="n">
        <v>6</v>
      </c>
      <c r="D4795" s="3" t="n">
        <v>3</v>
      </c>
      <c r="E4795" s="3" t="n">
        <v>5</v>
      </c>
      <c r="F4795" s="24" t="n">
        <v>-0.00670984387</v>
      </c>
    </row>
    <row r="4796" customFormat="false" ht="15" hidden="false" customHeight="false" outlineLevel="0" collapsed="false">
      <c r="A4796" s="3" t="n">
        <v>4795</v>
      </c>
      <c r="B4796" s="3" t="n">
        <v>4794</v>
      </c>
      <c r="C4796" s="3" t="n">
        <v>6</v>
      </c>
      <c r="D4796" s="3" t="n">
        <v>3</v>
      </c>
      <c r="E4796" s="3" t="n">
        <v>6</v>
      </c>
      <c r="F4796" s="24" t="n">
        <v>-0.00670984387</v>
      </c>
    </row>
    <row r="4797" customFormat="false" ht="15" hidden="false" customHeight="false" outlineLevel="0" collapsed="false">
      <c r="A4797" s="3" t="n">
        <v>4796</v>
      </c>
      <c r="B4797" s="3" t="n">
        <v>4795</v>
      </c>
      <c r="C4797" s="3" t="n">
        <v>6</v>
      </c>
      <c r="D4797" s="3" t="n">
        <v>3</v>
      </c>
      <c r="E4797" s="3" t="n">
        <v>7</v>
      </c>
      <c r="F4797" s="24" t="n">
        <v>-0.00670984387</v>
      </c>
    </row>
    <row r="4798" customFormat="false" ht="15" hidden="false" customHeight="false" outlineLevel="0" collapsed="false">
      <c r="A4798" s="3" t="n">
        <v>4797</v>
      </c>
      <c r="B4798" s="3" t="n">
        <v>4796</v>
      </c>
      <c r="C4798" s="3" t="n">
        <v>6</v>
      </c>
      <c r="D4798" s="3" t="n">
        <v>3</v>
      </c>
      <c r="E4798" s="3" t="n">
        <v>8</v>
      </c>
      <c r="F4798" s="24" t="n">
        <v>-0.00670984387</v>
      </c>
    </row>
    <row r="4799" customFormat="false" ht="15" hidden="false" customHeight="false" outlineLevel="0" collapsed="false">
      <c r="A4799" s="3" t="n">
        <v>4798</v>
      </c>
      <c r="B4799" s="3" t="n">
        <v>4797</v>
      </c>
      <c r="C4799" s="3" t="n">
        <v>6</v>
      </c>
      <c r="D4799" s="3" t="n">
        <v>3</v>
      </c>
      <c r="E4799" s="3" t="n">
        <v>9</v>
      </c>
      <c r="F4799" s="24" t="n">
        <v>-0.00670984387</v>
      </c>
    </row>
    <row r="4800" customFormat="false" ht="15" hidden="false" customHeight="false" outlineLevel="0" collapsed="false">
      <c r="A4800" s="3" t="n">
        <v>4799</v>
      </c>
      <c r="B4800" s="3" t="n">
        <v>4798</v>
      </c>
      <c r="C4800" s="3" t="n">
        <v>6</v>
      </c>
      <c r="D4800" s="3" t="n">
        <v>3</v>
      </c>
      <c r="E4800" s="3" t="n">
        <v>10</v>
      </c>
      <c r="F4800" s="24" t="n">
        <v>-0.00670984387</v>
      </c>
    </row>
    <row r="4801" customFormat="false" ht="15" hidden="false" customHeight="false" outlineLevel="0" collapsed="false">
      <c r="A4801" s="3" t="n">
        <v>4800</v>
      </c>
      <c r="B4801" s="3" t="n">
        <v>4799</v>
      </c>
      <c r="C4801" s="3" t="n">
        <v>6</v>
      </c>
      <c r="D4801" s="3" t="n">
        <v>3</v>
      </c>
      <c r="E4801" s="3" t="n">
        <v>11</v>
      </c>
      <c r="F4801" s="24" t="n">
        <v>-0.00670984387</v>
      </c>
    </row>
    <row r="4802" customFormat="false" ht="15" hidden="false" customHeight="false" outlineLevel="0" collapsed="false">
      <c r="A4802" s="3" t="n">
        <v>4801</v>
      </c>
      <c r="B4802" s="3" t="n">
        <v>4800</v>
      </c>
      <c r="C4802" s="3" t="n">
        <v>6</v>
      </c>
      <c r="D4802" s="3" t="n">
        <v>3</v>
      </c>
      <c r="E4802" s="3" t="n">
        <v>12</v>
      </c>
      <c r="F4802" s="24" t="n">
        <v>-0.00670984387</v>
      </c>
    </row>
    <row r="4803" customFormat="false" ht="15" hidden="false" customHeight="false" outlineLevel="0" collapsed="false">
      <c r="A4803" s="3" t="n">
        <v>4802</v>
      </c>
      <c r="B4803" s="3" t="n">
        <v>4801</v>
      </c>
      <c r="C4803" s="3" t="n">
        <v>6</v>
      </c>
      <c r="D4803" s="3" t="n">
        <v>3</v>
      </c>
      <c r="E4803" s="3" t="n">
        <v>13</v>
      </c>
      <c r="F4803" s="24" t="n">
        <v>-0.00670984387</v>
      </c>
    </row>
    <row r="4804" customFormat="false" ht="15" hidden="false" customHeight="false" outlineLevel="0" collapsed="false">
      <c r="A4804" s="3" t="n">
        <v>4803</v>
      </c>
      <c r="B4804" s="3" t="n">
        <v>4802</v>
      </c>
      <c r="C4804" s="3" t="n">
        <v>6</v>
      </c>
      <c r="D4804" s="3" t="n">
        <v>3</v>
      </c>
      <c r="E4804" s="3" t="n">
        <v>14</v>
      </c>
      <c r="F4804" s="24" t="n">
        <v>-0.00670984387</v>
      </c>
    </row>
    <row r="4805" customFormat="false" ht="15" hidden="false" customHeight="false" outlineLevel="0" collapsed="false">
      <c r="A4805" s="3" t="n">
        <v>4804</v>
      </c>
      <c r="B4805" s="3" t="n">
        <v>4803</v>
      </c>
      <c r="C4805" s="3" t="n">
        <v>6</v>
      </c>
      <c r="D4805" s="3" t="n">
        <v>3</v>
      </c>
      <c r="E4805" s="3" t="n">
        <v>15</v>
      </c>
      <c r="F4805" s="24" t="n">
        <v>-0.00670984387</v>
      </c>
    </row>
    <row r="4806" customFormat="false" ht="15" hidden="false" customHeight="false" outlineLevel="0" collapsed="false">
      <c r="A4806" s="3" t="n">
        <v>4805</v>
      </c>
      <c r="B4806" s="3" t="n">
        <v>4804</v>
      </c>
      <c r="C4806" s="3" t="n">
        <v>6</v>
      </c>
      <c r="D4806" s="3" t="n">
        <v>3</v>
      </c>
      <c r="E4806" s="3" t="n">
        <v>16</v>
      </c>
      <c r="F4806" s="24" t="n">
        <v>-0.00670984387</v>
      </c>
    </row>
    <row r="4807" customFormat="false" ht="15" hidden="false" customHeight="false" outlineLevel="0" collapsed="false">
      <c r="A4807" s="3" t="n">
        <v>4806</v>
      </c>
      <c r="B4807" s="3" t="n">
        <v>4805</v>
      </c>
      <c r="C4807" s="3" t="n">
        <v>6</v>
      </c>
      <c r="D4807" s="3" t="n">
        <v>3</v>
      </c>
      <c r="E4807" s="3" t="n">
        <v>17</v>
      </c>
      <c r="F4807" s="24" t="n">
        <v>-0.00670984387</v>
      </c>
    </row>
    <row r="4808" customFormat="false" ht="15" hidden="false" customHeight="false" outlineLevel="0" collapsed="false">
      <c r="A4808" s="3" t="n">
        <v>4807</v>
      </c>
      <c r="B4808" s="3" t="n">
        <v>4806</v>
      </c>
      <c r="C4808" s="3" t="n">
        <v>6</v>
      </c>
      <c r="D4808" s="3" t="n">
        <v>3</v>
      </c>
      <c r="E4808" s="3" t="n">
        <v>18</v>
      </c>
      <c r="F4808" s="24" t="n">
        <v>-0.00670984387</v>
      </c>
    </row>
    <row r="4809" customFormat="false" ht="15" hidden="false" customHeight="false" outlineLevel="0" collapsed="false">
      <c r="A4809" s="3" t="n">
        <v>4808</v>
      </c>
      <c r="B4809" s="3" t="n">
        <v>4807</v>
      </c>
      <c r="C4809" s="3" t="n">
        <v>6</v>
      </c>
      <c r="D4809" s="3" t="n">
        <v>3</v>
      </c>
      <c r="E4809" s="3" t="n">
        <v>19</v>
      </c>
      <c r="F4809" s="24" t="n">
        <v>-0.00670984387</v>
      </c>
    </row>
    <row r="4810" customFormat="false" ht="15" hidden="false" customHeight="false" outlineLevel="0" collapsed="false">
      <c r="A4810" s="3" t="n">
        <v>4809</v>
      </c>
      <c r="B4810" s="3" t="n">
        <v>4808</v>
      </c>
      <c r="C4810" s="3" t="n">
        <v>6</v>
      </c>
      <c r="D4810" s="3" t="n">
        <v>3</v>
      </c>
      <c r="E4810" s="3" t="n">
        <v>20</v>
      </c>
      <c r="F4810" s="24" t="n">
        <v>-0.00670984387</v>
      </c>
    </row>
    <row r="4811" customFormat="false" ht="15" hidden="false" customHeight="false" outlineLevel="0" collapsed="false">
      <c r="A4811" s="3" t="n">
        <v>4810</v>
      </c>
      <c r="B4811" s="3" t="n">
        <v>4809</v>
      </c>
      <c r="C4811" s="3" t="n">
        <v>6</v>
      </c>
      <c r="D4811" s="3" t="n">
        <v>3</v>
      </c>
      <c r="E4811" s="3" t="n">
        <v>21</v>
      </c>
      <c r="F4811" s="24" t="n">
        <v>-0.00670984387</v>
      </c>
    </row>
    <row r="4812" customFormat="false" ht="15" hidden="false" customHeight="false" outlineLevel="0" collapsed="false">
      <c r="A4812" s="3" t="n">
        <v>4811</v>
      </c>
      <c r="B4812" s="3" t="n">
        <v>4810</v>
      </c>
      <c r="C4812" s="3" t="n">
        <v>6</v>
      </c>
      <c r="D4812" s="3" t="n">
        <v>3</v>
      </c>
      <c r="E4812" s="3" t="n">
        <v>22</v>
      </c>
      <c r="F4812" s="24" t="n">
        <v>-0.00670984387</v>
      </c>
    </row>
    <row r="4813" customFormat="false" ht="15" hidden="false" customHeight="false" outlineLevel="0" collapsed="false">
      <c r="A4813" s="3" t="n">
        <v>4812</v>
      </c>
      <c r="B4813" s="3" t="n">
        <v>4811</v>
      </c>
      <c r="C4813" s="3" t="n">
        <v>6</v>
      </c>
      <c r="D4813" s="3" t="n">
        <v>3</v>
      </c>
      <c r="E4813" s="3" t="n">
        <v>23</v>
      </c>
      <c r="F4813" s="24" t="n">
        <v>-0.00670984387</v>
      </c>
    </row>
    <row r="4814" customFormat="false" ht="15" hidden="false" customHeight="false" outlineLevel="0" collapsed="false">
      <c r="A4814" s="3" t="n">
        <v>4813</v>
      </c>
      <c r="B4814" s="3" t="n">
        <v>4812</v>
      </c>
      <c r="C4814" s="3" t="n">
        <v>6</v>
      </c>
      <c r="D4814" s="3" t="n">
        <v>3</v>
      </c>
      <c r="E4814" s="3" t="n">
        <v>24</v>
      </c>
      <c r="F4814" s="24" t="n">
        <v>-0.00670984387</v>
      </c>
    </row>
    <row r="4815" customFormat="false" ht="15" hidden="false" customHeight="false" outlineLevel="0" collapsed="false">
      <c r="A4815" s="3" t="n">
        <v>4814</v>
      </c>
      <c r="B4815" s="3" t="n">
        <v>4813</v>
      </c>
      <c r="C4815" s="3" t="n">
        <v>6</v>
      </c>
      <c r="D4815" s="3" t="n">
        <v>3</v>
      </c>
      <c r="E4815" s="3" t="n">
        <v>25</v>
      </c>
      <c r="F4815" s="24" t="n">
        <v>-0.00670984387</v>
      </c>
    </row>
    <row r="4816" customFormat="false" ht="15" hidden="false" customHeight="false" outlineLevel="0" collapsed="false">
      <c r="A4816" s="3" t="n">
        <v>4815</v>
      </c>
      <c r="B4816" s="3" t="n">
        <v>4814</v>
      </c>
      <c r="C4816" s="3" t="n">
        <v>6</v>
      </c>
      <c r="D4816" s="3" t="n">
        <v>3</v>
      </c>
      <c r="E4816" s="3" t="n">
        <v>26</v>
      </c>
      <c r="F4816" s="24" t="n">
        <v>-0.00670984387</v>
      </c>
    </row>
    <row r="4817" customFormat="false" ht="15" hidden="false" customHeight="false" outlineLevel="0" collapsed="false">
      <c r="A4817" s="3" t="n">
        <v>4816</v>
      </c>
      <c r="B4817" s="3" t="n">
        <v>4815</v>
      </c>
      <c r="C4817" s="3" t="n">
        <v>6</v>
      </c>
      <c r="D4817" s="3" t="n">
        <v>3</v>
      </c>
      <c r="E4817" s="3" t="n">
        <v>27</v>
      </c>
      <c r="F4817" s="24" t="n">
        <v>-0.0790599883</v>
      </c>
    </row>
    <row r="4818" customFormat="false" ht="15" hidden="false" customHeight="false" outlineLevel="0" collapsed="false">
      <c r="A4818" s="3" t="n">
        <v>4817</v>
      </c>
      <c r="B4818" s="3" t="n">
        <v>4816</v>
      </c>
      <c r="C4818" s="3" t="n">
        <v>6</v>
      </c>
      <c r="D4818" s="3" t="n">
        <v>4</v>
      </c>
      <c r="E4818" s="3" t="n">
        <v>0</v>
      </c>
      <c r="F4818" s="24" t="n">
        <v>0.185572863</v>
      </c>
    </row>
    <row r="4819" customFormat="false" ht="15" hidden="false" customHeight="false" outlineLevel="0" collapsed="false">
      <c r="A4819" s="3" t="n">
        <v>4818</v>
      </c>
      <c r="B4819" s="3" t="n">
        <v>4817</v>
      </c>
      <c r="C4819" s="3" t="n">
        <v>6</v>
      </c>
      <c r="D4819" s="3" t="n">
        <v>4</v>
      </c>
      <c r="E4819" s="3" t="n">
        <v>1</v>
      </c>
      <c r="F4819" s="24" t="n">
        <v>-0.00670984387</v>
      </c>
    </row>
    <row r="4820" customFormat="false" ht="15" hidden="false" customHeight="false" outlineLevel="0" collapsed="false">
      <c r="A4820" s="3" t="n">
        <v>4819</v>
      </c>
      <c r="B4820" s="3" t="n">
        <v>4818</v>
      </c>
      <c r="C4820" s="3" t="n">
        <v>6</v>
      </c>
      <c r="D4820" s="3" t="n">
        <v>4</v>
      </c>
      <c r="E4820" s="3" t="n">
        <v>2</v>
      </c>
      <c r="F4820" s="24" t="n">
        <v>-0.00670984387</v>
      </c>
    </row>
    <row r="4821" customFormat="false" ht="15" hidden="false" customHeight="false" outlineLevel="0" collapsed="false">
      <c r="A4821" s="3" t="n">
        <v>4820</v>
      </c>
      <c r="B4821" s="3" t="n">
        <v>4819</v>
      </c>
      <c r="C4821" s="3" t="n">
        <v>6</v>
      </c>
      <c r="D4821" s="3" t="n">
        <v>4</v>
      </c>
      <c r="E4821" s="3" t="n">
        <v>3</v>
      </c>
      <c r="F4821" s="24" t="n">
        <v>-0.00670984387</v>
      </c>
    </row>
    <row r="4822" customFormat="false" ht="15" hidden="false" customHeight="false" outlineLevel="0" collapsed="false">
      <c r="A4822" s="3" t="n">
        <v>4821</v>
      </c>
      <c r="B4822" s="3" t="n">
        <v>4820</v>
      </c>
      <c r="C4822" s="3" t="n">
        <v>6</v>
      </c>
      <c r="D4822" s="3" t="n">
        <v>4</v>
      </c>
      <c r="E4822" s="3" t="n">
        <v>4</v>
      </c>
      <c r="F4822" s="24" t="n">
        <v>-0.00670984387</v>
      </c>
    </row>
    <row r="4823" customFormat="false" ht="15" hidden="false" customHeight="false" outlineLevel="0" collapsed="false">
      <c r="A4823" s="3" t="n">
        <v>4822</v>
      </c>
      <c r="B4823" s="3" t="n">
        <v>4821</v>
      </c>
      <c r="C4823" s="3" t="n">
        <v>6</v>
      </c>
      <c r="D4823" s="3" t="n">
        <v>4</v>
      </c>
      <c r="E4823" s="3" t="n">
        <v>5</v>
      </c>
      <c r="F4823" s="24" t="n">
        <v>-0.00670984387</v>
      </c>
    </row>
    <row r="4824" customFormat="false" ht="15" hidden="false" customHeight="false" outlineLevel="0" collapsed="false">
      <c r="A4824" s="3" t="n">
        <v>4823</v>
      </c>
      <c r="B4824" s="3" t="n">
        <v>4822</v>
      </c>
      <c r="C4824" s="3" t="n">
        <v>6</v>
      </c>
      <c r="D4824" s="3" t="n">
        <v>4</v>
      </c>
      <c r="E4824" s="3" t="n">
        <v>6</v>
      </c>
      <c r="F4824" s="24" t="n">
        <v>-0.00670984387</v>
      </c>
    </row>
    <row r="4825" customFormat="false" ht="15" hidden="false" customHeight="false" outlineLevel="0" collapsed="false">
      <c r="A4825" s="3" t="n">
        <v>4824</v>
      </c>
      <c r="B4825" s="3" t="n">
        <v>4823</v>
      </c>
      <c r="C4825" s="3" t="n">
        <v>6</v>
      </c>
      <c r="D4825" s="3" t="n">
        <v>4</v>
      </c>
      <c r="E4825" s="3" t="n">
        <v>7</v>
      </c>
      <c r="F4825" s="24" t="n">
        <v>-0.00670984387</v>
      </c>
    </row>
    <row r="4826" customFormat="false" ht="15" hidden="false" customHeight="false" outlineLevel="0" collapsed="false">
      <c r="A4826" s="3" t="n">
        <v>4825</v>
      </c>
      <c r="B4826" s="3" t="n">
        <v>4824</v>
      </c>
      <c r="C4826" s="3" t="n">
        <v>6</v>
      </c>
      <c r="D4826" s="3" t="n">
        <v>4</v>
      </c>
      <c r="E4826" s="3" t="n">
        <v>8</v>
      </c>
      <c r="F4826" s="24" t="n">
        <v>-0.00670984387</v>
      </c>
    </row>
    <row r="4827" customFormat="false" ht="15" hidden="false" customHeight="false" outlineLevel="0" collapsed="false">
      <c r="A4827" s="3" t="n">
        <v>4826</v>
      </c>
      <c r="B4827" s="3" t="n">
        <v>4825</v>
      </c>
      <c r="C4827" s="3" t="n">
        <v>6</v>
      </c>
      <c r="D4827" s="3" t="n">
        <v>4</v>
      </c>
      <c r="E4827" s="3" t="n">
        <v>9</v>
      </c>
      <c r="F4827" s="24" t="n">
        <v>-0.00670984387</v>
      </c>
    </row>
    <row r="4828" customFormat="false" ht="15" hidden="false" customHeight="false" outlineLevel="0" collapsed="false">
      <c r="A4828" s="3" t="n">
        <v>4827</v>
      </c>
      <c r="B4828" s="3" t="n">
        <v>4826</v>
      </c>
      <c r="C4828" s="3" t="n">
        <v>6</v>
      </c>
      <c r="D4828" s="3" t="n">
        <v>4</v>
      </c>
      <c r="E4828" s="3" t="n">
        <v>10</v>
      </c>
      <c r="F4828" s="24" t="n">
        <v>-0.00670984387</v>
      </c>
    </row>
    <row r="4829" customFormat="false" ht="15" hidden="false" customHeight="false" outlineLevel="0" collapsed="false">
      <c r="A4829" s="3" t="n">
        <v>4828</v>
      </c>
      <c r="B4829" s="3" t="n">
        <v>4827</v>
      </c>
      <c r="C4829" s="3" t="n">
        <v>6</v>
      </c>
      <c r="D4829" s="3" t="n">
        <v>4</v>
      </c>
      <c r="E4829" s="3" t="n">
        <v>11</v>
      </c>
      <c r="F4829" s="24" t="n">
        <v>-0.00670984387</v>
      </c>
    </row>
    <row r="4830" customFormat="false" ht="15" hidden="false" customHeight="false" outlineLevel="0" collapsed="false">
      <c r="A4830" s="3" t="n">
        <v>4829</v>
      </c>
      <c r="B4830" s="3" t="n">
        <v>4828</v>
      </c>
      <c r="C4830" s="3" t="n">
        <v>6</v>
      </c>
      <c r="D4830" s="3" t="n">
        <v>4</v>
      </c>
      <c r="E4830" s="3" t="n">
        <v>12</v>
      </c>
      <c r="F4830" s="24" t="n">
        <v>-0.00670984387</v>
      </c>
    </row>
    <row r="4831" customFormat="false" ht="15" hidden="false" customHeight="false" outlineLevel="0" collapsed="false">
      <c r="A4831" s="3" t="n">
        <v>4830</v>
      </c>
      <c r="B4831" s="3" t="n">
        <v>4829</v>
      </c>
      <c r="C4831" s="3" t="n">
        <v>6</v>
      </c>
      <c r="D4831" s="3" t="n">
        <v>4</v>
      </c>
      <c r="E4831" s="3" t="n">
        <v>13</v>
      </c>
      <c r="F4831" s="24" t="n">
        <v>-0.00670984387</v>
      </c>
    </row>
    <row r="4832" customFormat="false" ht="15" hidden="false" customHeight="false" outlineLevel="0" collapsed="false">
      <c r="A4832" s="3" t="n">
        <v>4831</v>
      </c>
      <c r="B4832" s="3" t="n">
        <v>4830</v>
      </c>
      <c r="C4832" s="3" t="n">
        <v>6</v>
      </c>
      <c r="D4832" s="3" t="n">
        <v>4</v>
      </c>
      <c r="E4832" s="3" t="n">
        <v>14</v>
      </c>
      <c r="F4832" s="24" t="n">
        <v>-0.00670984387</v>
      </c>
    </row>
    <row r="4833" customFormat="false" ht="15" hidden="false" customHeight="false" outlineLevel="0" collapsed="false">
      <c r="A4833" s="3" t="n">
        <v>4832</v>
      </c>
      <c r="B4833" s="3" t="n">
        <v>4831</v>
      </c>
      <c r="C4833" s="3" t="n">
        <v>6</v>
      </c>
      <c r="D4833" s="3" t="n">
        <v>4</v>
      </c>
      <c r="E4833" s="3" t="n">
        <v>15</v>
      </c>
      <c r="F4833" s="24" t="n">
        <v>-0.00670984387</v>
      </c>
    </row>
    <row r="4834" customFormat="false" ht="15" hidden="false" customHeight="false" outlineLevel="0" collapsed="false">
      <c r="A4834" s="3" t="n">
        <v>4833</v>
      </c>
      <c r="B4834" s="3" t="n">
        <v>4832</v>
      </c>
      <c r="C4834" s="3" t="n">
        <v>6</v>
      </c>
      <c r="D4834" s="3" t="n">
        <v>4</v>
      </c>
      <c r="E4834" s="3" t="n">
        <v>16</v>
      </c>
      <c r="F4834" s="24" t="n">
        <v>-0.00670984387</v>
      </c>
    </row>
    <row r="4835" customFormat="false" ht="15" hidden="false" customHeight="false" outlineLevel="0" collapsed="false">
      <c r="A4835" s="3" t="n">
        <v>4834</v>
      </c>
      <c r="B4835" s="3" t="n">
        <v>4833</v>
      </c>
      <c r="C4835" s="3" t="n">
        <v>6</v>
      </c>
      <c r="D4835" s="3" t="n">
        <v>4</v>
      </c>
      <c r="E4835" s="3" t="n">
        <v>17</v>
      </c>
      <c r="F4835" s="24" t="n">
        <v>-0.00670984387</v>
      </c>
    </row>
    <row r="4836" customFormat="false" ht="15" hidden="false" customHeight="false" outlineLevel="0" collapsed="false">
      <c r="A4836" s="3" t="n">
        <v>4835</v>
      </c>
      <c r="B4836" s="3" t="n">
        <v>4834</v>
      </c>
      <c r="C4836" s="3" t="n">
        <v>6</v>
      </c>
      <c r="D4836" s="3" t="n">
        <v>4</v>
      </c>
      <c r="E4836" s="3" t="n">
        <v>18</v>
      </c>
      <c r="F4836" s="24" t="n">
        <v>-0.00670984387</v>
      </c>
    </row>
    <row r="4837" customFormat="false" ht="15" hidden="false" customHeight="false" outlineLevel="0" collapsed="false">
      <c r="A4837" s="3" t="n">
        <v>4836</v>
      </c>
      <c r="B4837" s="3" t="n">
        <v>4835</v>
      </c>
      <c r="C4837" s="3" t="n">
        <v>6</v>
      </c>
      <c r="D4837" s="3" t="n">
        <v>4</v>
      </c>
      <c r="E4837" s="3" t="n">
        <v>19</v>
      </c>
      <c r="F4837" s="24" t="n">
        <v>-0.00670984387</v>
      </c>
    </row>
    <row r="4838" customFormat="false" ht="15" hidden="false" customHeight="false" outlineLevel="0" collapsed="false">
      <c r="A4838" s="3" t="n">
        <v>4837</v>
      </c>
      <c r="B4838" s="3" t="n">
        <v>4836</v>
      </c>
      <c r="C4838" s="3" t="n">
        <v>6</v>
      </c>
      <c r="D4838" s="3" t="n">
        <v>4</v>
      </c>
      <c r="E4838" s="3" t="n">
        <v>20</v>
      </c>
      <c r="F4838" s="24" t="n">
        <v>-0.00670984387</v>
      </c>
    </row>
    <row r="4839" customFormat="false" ht="15" hidden="false" customHeight="false" outlineLevel="0" collapsed="false">
      <c r="A4839" s="3" t="n">
        <v>4838</v>
      </c>
      <c r="B4839" s="3" t="n">
        <v>4837</v>
      </c>
      <c r="C4839" s="3" t="n">
        <v>6</v>
      </c>
      <c r="D4839" s="3" t="n">
        <v>4</v>
      </c>
      <c r="E4839" s="3" t="n">
        <v>21</v>
      </c>
      <c r="F4839" s="24" t="n">
        <v>-0.00670984387</v>
      </c>
    </row>
    <row r="4840" customFormat="false" ht="15" hidden="false" customHeight="false" outlineLevel="0" collapsed="false">
      <c r="A4840" s="3" t="n">
        <v>4839</v>
      </c>
      <c r="B4840" s="3" t="n">
        <v>4838</v>
      </c>
      <c r="C4840" s="3" t="n">
        <v>6</v>
      </c>
      <c r="D4840" s="3" t="n">
        <v>4</v>
      </c>
      <c r="E4840" s="3" t="n">
        <v>22</v>
      </c>
      <c r="F4840" s="24" t="n">
        <v>-0.00670984387</v>
      </c>
    </row>
    <row r="4841" customFormat="false" ht="15" hidden="false" customHeight="false" outlineLevel="0" collapsed="false">
      <c r="A4841" s="3" t="n">
        <v>4840</v>
      </c>
      <c r="B4841" s="3" t="n">
        <v>4839</v>
      </c>
      <c r="C4841" s="3" t="n">
        <v>6</v>
      </c>
      <c r="D4841" s="3" t="n">
        <v>4</v>
      </c>
      <c r="E4841" s="3" t="n">
        <v>23</v>
      </c>
      <c r="F4841" s="24" t="n">
        <v>-0.00670984387</v>
      </c>
    </row>
    <row r="4842" customFormat="false" ht="15" hidden="false" customHeight="false" outlineLevel="0" collapsed="false">
      <c r="A4842" s="3" t="n">
        <v>4841</v>
      </c>
      <c r="B4842" s="3" t="n">
        <v>4840</v>
      </c>
      <c r="C4842" s="3" t="n">
        <v>6</v>
      </c>
      <c r="D4842" s="3" t="n">
        <v>4</v>
      </c>
      <c r="E4842" s="3" t="n">
        <v>24</v>
      </c>
      <c r="F4842" s="24" t="n">
        <v>-0.00670984387</v>
      </c>
    </row>
    <row r="4843" customFormat="false" ht="15" hidden="false" customHeight="false" outlineLevel="0" collapsed="false">
      <c r="A4843" s="3" t="n">
        <v>4842</v>
      </c>
      <c r="B4843" s="3" t="n">
        <v>4841</v>
      </c>
      <c r="C4843" s="3" t="n">
        <v>6</v>
      </c>
      <c r="D4843" s="3" t="n">
        <v>4</v>
      </c>
      <c r="E4843" s="3" t="n">
        <v>25</v>
      </c>
      <c r="F4843" s="24" t="n">
        <v>-0.00670984387</v>
      </c>
    </row>
    <row r="4844" customFormat="false" ht="15" hidden="false" customHeight="false" outlineLevel="0" collapsed="false">
      <c r="A4844" s="3" t="n">
        <v>4843</v>
      </c>
      <c r="B4844" s="3" t="n">
        <v>4842</v>
      </c>
      <c r="C4844" s="3" t="n">
        <v>6</v>
      </c>
      <c r="D4844" s="3" t="n">
        <v>4</v>
      </c>
      <c r="E4844" s="3" t="n">
        <v>26</v>
      </c>
      <c r="F4844" s="24" t="n">
        <v>-0.00670984387</v>
      </c>
    </row>
    <row r="4845" customFormat="false" ht="15" hidden="false" customHeight="false" outlineLevel="0" collapsed="false">
      <c r="A4845" s="3" t="n">
        <v>4844</v>
      </c>
      <c r="B4845" s="3" t="n">
        <v>4843</v>
      </c>
      <c r="C4845" s="3" t="n">
        <v>6</v>
      </c>
      <c r="D4845" s="3" t="n">
        <v>4</v>
      </c>
      <c r="E4845" s="3" t="n">
        <v>27</v>
      </c>
      <c r="F4845" s="24" t="n">
        <v>-0.0790599883</v>
      </c>
    </row>
    <row r="4846" customFormat="false" ht="15" hidden="false" customHeight="false" outlineLevel="0" collapsed="false">
      <c r="A4846" s="3" t="n">
        <v>4845</v>
      </c>
      <c r="B4846" s="3" t="n">
        <v>4844</v>
      </c>
      <c r="C4846" s="3" t="n">
        <v>6</v>
      </c>
      <c r="D4846" s="3" t="n">
        <v>5</v>
      </c>
      <c r="E4846" s="3" t="n">
        <v>0</v>
      </c>
      <c r="F4846" s="24" t="n">
        <v>0.185572863</v>
      </c>
    </row>
    <row r="4847" customFormat="false" ht="15" hidden="false" customHeight="false" outlineLevel="0" collapsed="false">
      <c r="A4847" s="3" t="n">
        <v>4846</v>
      </c>
      <c r="B4847" s="3" t="n">
        <v>4845</v>
      </c>
      <c r="C4847" s="3" t="n">
        <v>6</v>
      </c>
      <c r="D4847" s="3" t="n">
        <v>5</v>
      </c>
      <c r="E4847" s="3" t="n">
        <v>1</v>
      </c>
      <c r="F4847" s="24" t="n">
        <v>-0.00670984387</v>
      </c>
    </row>
    <row r="4848" customFormat="false" ht="15" hidden="false" customHeight="false" outlineLevel="0" collapsed="false">
      <c r="A4848" s="3" t="n">
        <v>4847</v>
      </c>
      <c r="B4848" s="3" t="n">
        <v>4846</v>
      </c>
      <c r="C4848" s="3" t="n">
        <v>6</v>
      </c>
      <c r="D4848" s="3" t="n">
        <v>5</v>
      </c>
      <c r="E4848" s="3" t="n">
        <v>2</v>
      </c>
      <c r="F4848" s="24" t="n">
        <v>-0.00670984387</v>
      </c>
    </row>
    <row r="4849" customFormat="false" ht="15" hidden="false" customHeight="false" outlineLevel="0" collapsed="false">
      <c r="A4849" s="3" t="n">
        <v>4848</v>
      </c>
      <c r="B4849" s="3" t="n">
        <v>4847</v>
      </c>
      <c r="C4849" s="3" t="n">
        <v>6</v>
      </c>
      <c r="D4849" s="3" t="n">
        <v>5</v>
      </c>
      <c r="E4849" s="3" t="n">
        <v>3</v>
      </c>
      <c r="F4849" s="24" t="n">
        <v>-0.00670984387</v>
      </c>
    </row>
    <row r="4850" customFormat="false" ht="15" hidden="false" customHeight="false" outlineLevel="0" collapsed="false">
      <c r="A4850" s="3" t="n">
        <v>4849</v>
      </c>
      <c r="B4850" s="3" t="n">
        <v>4848</v>
      </c>
      <c r="C4850" s="3" t="n">
        <v>6</v>
      </c>
      <c r="D4850" s="3" t="n">
        <v>5</v>
      </c>
      <c r="E4850" s="3" t="n">
        <v>4</v>
      </c>
      <c r="F4850" s="24" t="n">
        <v>-0.00670984387</v>
      </c>
    </row>
    <row r="4851" customFormat="false" ht="15" hidden="false" customHeight="false" outlineLevel="0" collapsed="false">
      <c r="A4851" s="3" t="n">
        <v>4850</v>
      </c>
      <c r="B4851" s="3" t="n">
        <v>4849</v>
      </c>
      <c r="C4851" s="3" t="n">
        <v>6</v>
      </c>
      <c r="D4851" s="3" t="n">
        <v>5</v>
      </c>
      <c r="E4851" s="3" t="n">
        <v>5</v>
      </c>
      <c r="F4851" s="24" t="n">
        <v>-0.00670984387</v>
      </c>
    </row>
    <row r="4852" customFormat="false" ht="15" hidden="false" customHeight="false" outlineLevel="0" collapsed="false">
      <c r="A4852" s="3" t="n">
        <v>4851</v>
      </c>
      <c r="B4852" s="3" t="n">
        <v>4850</v>
      </c>
      <c r="C4852" s="3" t="n">
        <v>6</v>
      </c>
      <c r="D4852" s="3" t="n">
        <v>5</v>
      </c>
      <c r="E4852" s="3" t="n">
        <v>6</v>
      </c>
      <c r="F4852" s="24" t="n">
        <v>-0.00670984387</v>
      </c>
    </row>
    <row r="4853" customFormat="false" ht="15" hidden="false" customHeight="false" outlineLevel="0" collapsed="false">
      <c r="A4853" s="3" t="n">
        <v>4852</v>
      </c>
      <c r="B4853" s="3" t="n">
        <v>4851</v>
      </c>
      <c r="C4853" s="3" t="n">
        <v>6</v>
      </c>
      <c r="D4853" s="3" t="n">
        <v>5</v>
      </c>
      <c r="E4853" s="3" t="n">
        <v>7</v>
      </c>
      <c r="F4853" s="24" t="n">
        <v>-0.00670984387</v>
      </c>
    </row>
    <row r="4854" customFormat="false" ht="15" hidden="false" customHeight="false" outlineLevel="0" collapsed="false">
      <c r="A4854" s="3" t="n">
        <v>4853</v>
      </c>
      <c r="B4854" s="3" t="n">
        <v>4852</v>
      </c>
      <c r="C4854" s="3" t="n">
        <v>6</v>
      </c>
      <c r="D4854" s="3" t="n">
        <v>5</v>
      </c>
      <c r="E4854" s="3" t="n">
        <v>8</v>
      </c>
      <c r="F4854" s="24" t="n">
        <v>-0.00670984387</v>
      </c>
    </row>
    <row r="4855" customFormat="false" ht="15" hidden="false" customHeight="false" outlineLevel="0" collapsed="false">
      <c r="A4855" s="3" t="n">
        <v>4854</v>
      </c>
      <c r="B4855" s="3" t="n">
        <v>4853</v>
      </c>
      <c r="C4855" s="3" t="n">
        <v>6</v>
      </c>
      <c r="D4855" s="3" t="n">
        <v>5</v>
      </c>
      <c r="E4855" s="3" t="n">
        <v>9</v>
      </c>
      <c r="F4855" s="24" t="n">
        <v>-0.00670984387</v>
      </c>
    </row>
    <row r="4856" customFormat="false" ht="15" hidden="false" customHeight="false" outlineLevel="0" collapsed="false">
      <c r="A4856" s="3" t="n">
        <v>4855</v>
      </c>
      <c r="B4856" s="3" t="n">
        <v>4854</v>
      </c>
      <c r="C4856" s="3" t="n">
        <v>6</v>
      </c>
      <c r="D4856" s="3" t="n">
        <v>5</v>
      </c>
      <c r="E4856" s="3" t="n">
        <v>10</v>
      </c>
      <c r="F4856" s="24" t="n">
        <v>-0.00670984387</v>
      </c>
    </row>
    <row r="4857" customFormat="false" ht="15" hidden="false" customHeight="false" outlineLevel="0" collapsed="false">
      <c r="A4857" s="3" t="n">
        <v>4856</v>
      </c>
      <c r="B4857" s="3" t="n">
        <v>4855</v>
      </c>
      <c r="C4857" s="3" t="n">
        <v>6</v>
      </c>
      <c r="D4857" s="3" t="n">
        <v>5</v>
      </c>
      <c r="E4857" s="3" t="n">
        <v>11</v>
      </c>
      <c r="F4857" s="24" t="n">
        <v>-0.00670984387</v>
      </c>
    </row>
    <row r="4858" customFormat="false" ht="15" hidden="false" customHeight="false" outlineLevel="0" collapsed="false">
      <c r="A4858" s="3" t="n">
        <v>4857</v>
      </c>
      <c r="B4858" s="3" t="n">
        <v>4856</v>
      </c>
      <c r="C4858" s="3" t="n">
        <v>6</v>
      </c>
      <c r="D4858" s="3" t="n">
        <v>5</v>
      </c>
      <c r="E4858" s="3" t="n">
        <v>12</v>
      </c>
      <c r="F4858" s="24" t="n">
        <v>-0.00670984387</v>
      </c>
    </row>
    <row r="4859" customFormat="false" ht="15" hidden="false" customHeight="false" outlineLevel="0" collapsed="false">
      <c r="A4859" s="3" t="n">
        <v>4858</v>
      </c>
      <c r="B4859" s="3" t="n">
        <v>4857</v>
      </c>
      <c r="C4859" s="3" t="n">
        <v>6</v>
      </c>
      <c r="D4859" s="3" t="n">
        <v>5</v>
      </c>
      <c r="E4859" s="3" t="n">
        <v>13</v>
      </c>
      <c r="F4859" s="24" t="n">
        <v>-0.00670984387</v>
      </c>
    </row>
    <row r="4860" customFormat="false" ht="15" hidden="false" customHeight="false" outlineLevel="0" collapsed="false">
      <c r="A4860" s="3" t="n">
        <v>4859</v>
      </c>
      <c r="B4860" s="3" t="n">
        <v>4858</v>
      </c>
      <c r="C4860" s="3" t="n">
        <v>6</v>
      </c>
      <c r="D4860" s="3" t="n">
        <v>5</v>
      </c>
      <c r="E4860" s="3" t="n">
        <v>14</v>
      </c>
      <c r="F4860" s="24" t="n">
        <v>-0.00670984387</v>
      </c>
    </row>
    <row r="4861" customFormat="false" ht="15" hidden="false" customHeight="false" outlineLevel="0" collapsed="false">
      <c r="A4861" s="3" t="n">
        <v>4860</v>
      </c>
      <c r="B4861" s="3" t="n">
        <v>4859</v>
      </c>
      <c r="C4861" s="3" t="n">
        <v>6</v>
      </c>
      <c r="D4861" s="3" t="n">
        <v>5</v>
      </c>
      <c r="E4861" s="3" t="n">
        <v>15</v>
      </c>
      <c r="F4861" s="24" t="n">
        <v>-0.00670984387</v>
      </c>
    </row>
    <row r="4862" customFormat="false" ht="15" hidden="false" customHeight="false" outlineLevel="0" collapsed="false">
      <c r="A4862" s="3" t="n">
        <v>4861</v>
      </c>
      <c r="B4862" s="3" t="n">
        <v>4860</v>
      </c>
      <c r="C4862" s="3" t="n">
        <v>6</v>
      </c>
      <c r="D4862" s="3" t="n">
        <v>5</v>
      </c>
      <c r="E4862" s="3" t="n">
        <v>16</v>
      </c>
      <c r="F4862" s="24" t="n">
        <v>-0.00670984387</v>
      </c>
    </row>
    <row r="4863" customFormat="false" ht="15" hidden="false" customHeight="false" outlineLevel="0" collapsed="false">
      <c r="A4863" s="3" t="n">
        <v>4862</v>
      </c>
      <c r="B4863" s="3" t="n">
        <v>4861</v>
      </c>
      <c r="C4863" s="3" t="n">
        <v>6</v>
      </c>
      <c r="D4863" s="3" t="n">
        <v>5</v>
      </c>
      <c r="E4863" s="3" t="n">
        <v>17</v>
      </c>
      <c r="F4863" s="24" t="n">
        <v>-0.00670984387</v>
      </c>
    </row>
    <row r="4864" customFormat="false" ht="15" hidden="false" customHeight="false" outlineLevel="0" collapsed="false">
      <c r="A4864" s="3" t="n">
        <v>4863</v>
      </c>
      <c r="B4864" s="3" t="n">
        <v>4862</v>
      </c>
      <c r="C4864" s="3" t="n">
        <v>6</v>
      </c>
      <c r="D4864" s="3" t="n">
        <v>5</v>
      </c>
      <c r="E4864" s="3" t="n">
        <v>18</v>
      </c>
      <c r="F4864" s="24" t="n">
        <v>-0.00670984387</v>
      </c>
    </row>
    <row r="4865" customFormat="false" ht="15" hidden="false" customHeight="false" outlineLevel="0" collapsed="false">
      <c r="A4865" s="3" t="n">
        <v>4864</v>
      </c>
      <c r="B4865" s="3" t="n">
        <v>4863</v>
      </c>
      <c r="C4865" s="3" t="n">
        <v>6</v>
      </c>
      <c r="D4865" s="3" t="n">
        <v>5</v>
      </c>
      <c r="E4865" s="3" t="n">
        <v>19</v>
      </c>
      <c r="F4865" s="24" t="n">
        <v>-0.00670984387</v>
      </c>
    </row>
    <row r="4866" customFormat="false" ht="15" hidden="false" customHeight="false" outlineLevel="0" collapsed="false">
      <c r="A4866" s="3" t="n">
        <v>4865</v>
      </c>
      <c r="B4866" s="3" t="n">
        <v>4864</v>
      </c>
      <c r="C4866" s="3" t="n">
        <v>6</v>
      </c>
      <c r="D4866" s="3" t="n">
        <v>5</v>
      </c>
      <c r="E4866" s="3" t="n">
        <v>20</v>
      </c>
      <c r="F4866" s="24" t="n">
        <v>-0.00670984387</v>
      </c>
    </row>
    <row r="4867" customFormat="false" ht="15" hidden="false" customHeight="false" outlineLevel="0" collapsed="false">
      <c r="A4867" s="3" t="n">
        <v>4866</v>
      </c>
      <c r="B4867" s="3" t="n">
        <v>4865</v>
      </c>
      <c r="C4867" s="3" t="n">
        <v>6</v>
      </c>
      <c r="D4867" s="3" t="n">
        <v>5</v>
      </c>
      <c r="E4867" s="3" t="n">
        <v>21</v>
      </c>
      <c r="F4867" s="24" t="n">
        <v>-0.00670984387</v>
      </c>
    </row>
    <row r="4868" customFormat="false" ht="15" hidden="false" customHeight="false" outlineLevel="0" collapsed="false">
      <c r="A4868" s="3" t="n">
        <v>4867</v>
      </c>
      <c r="B4868" s="3" t="n">
        <v>4866</v>
      </c>
      <c r="C4868" s="3" t="n">
        <v>6</v>
      </c>
      <c r="D4868" s="3" t="n">
        <v>5</v>
      </c>
      <c r="E4868" s="3" t="n">
        <v>22</v>
      </c>
      <c r="F4868" s="24" t="n">
        <v>-0.00670984387</v>
      </c>
    </row>
    <row r="4869" customFormat="false" ht="15" hidden="false" customHeight="false" outlineLevel="0" collapsed="false">
      <c r="A4869" s="3" t="n">
        <v>4868</v>
      </c>
      <c r="B4869" s="3" t="n">
        <v>4867</v>
      </c>
      <c r="C4869" s="3" t="n">
        <v>6</v>
      </c>
      <c r="D4869" s="3" t="n">
        <v>5</v>
      </c>
      <c r="E4869" s="3" t="n">
        <v>23</v>
      </c>
      <c r="F4869" s="24" t="n">
        <v>-0.00670984387</v>
      </c>
    </row>
    <row r="4870" customFormat="false" ht="15" hidden="false" customHeight="false" outlineLevel="0" collapsed="false">
      <c r="A4870" s="3" t="n">
        <v>4869</v>
      </c>
      <c r="B4870" s="3" t="n">
        <v>4868</v>
      </c>
      <c r="C4870" s="3" t="n">
        <v>6</v>
      </c>
      <c r="D4870" s="3" t="n">
        <v>5</v>
      </c>
      <c r="E4870" s="3" t="n">
        <v>24</v>
      </c>
      <c r="F4870" s="24" t="n">
        <v>-0.00670984387</v>
      </c>
    </row>
    <row r="4871" customFormat="false" ht="15" hidden="false" customHeight="false" outlineLevel="0" collapsed="false">
      <c r="A4871" s="3" t="n">
        <v>4870</v>
      </c>
      <c r="B4871" s="3" t="n">
        <v>4869</v>
      </c>
      <c r="C4871" s="3" t="n">
        <v>6</v>
      </c>
      <c r="D4871" s="3" t="n">
        <v>5</v>
      </c>
      <c r="E4871" s="3" t="n">
        <v>25</v>
      </c>
      <c r="F4871" s="24" t="n">
        <v>-0.00670984387</v>
      </c>
    </row>
    <row r="4872" customFormat="false" ht="15" hidden="false" customHeight="false" outlineLevel="0" collapsed="false">
      <c r="A4872" s="3" t="n">
        <v>4871</v>
      </c>
      <c r="B4872" s="3" t="n">
        <v>4870</v>
      </c>
      <c r="C4872" s="3" t="n">
        <v>6</v>
      </c>
      <c r="D4872" s="3" t="n">
        <v>5</v>
      </c>
      <c r="E4872" s="3" t="n">
        <v>26</v>
      </c>
      <c r="F4872" s="24" t="n">
        <v>-0.00670984387</v>
      </c>
    </row>
    <row r="4873" customFormat="false" ht="15" hidden="false" customHeight="false" outlineLevel="0" collapsed="false">
      <c r="A4873" s="3" t="n">
        <v>4872</v>
      </c>
      <c r="B4873" s="3" t="n">
        <v>4871</v>
      </c>
      <c r="C4873" s="3" t="n">
        <v>6</v>
      </c>
      <c r="D4873" s="3" t="n">
        <v>5</v>
      </c>
      <c r="E4873" s="3" t="n">
        <v>27</v>
      </c>
      <c r="F4873" s="24" t="n">
        <v>-0.0790599883</v>
      </c>
    </row>
    <row r="4874" customFormat="false" ht="15" hidden="false" customHeight="false" outlineLevel="0" collapsed="false">
      <c r="A4874" s="3" t="n">
        <v>4873</v>
      </c>
      <c r="B4874" s="3" t="n">
        <v>4872</v>
      </c>
      <c r="C4874" s="3" t="n">
        <v>6</v>
      </c>
      <c r="D4874" s="3" t="n">
        <v>6</v>
      </c>
      <c r="E4874" s="3" t="n">
        <v>0</v>
      </c>
      <c r="F4874" s="24" t="n">
        <v>0.185572863</v>
      </c>
    </row>
    <row r="4875" customFormat="false" ht="15" hidden="false" customHeight="false" outlineLevel="0" collapsed="false">
      <c r="A4875" s="3" t="n">
        <v>4874</v>
      </c>
      <c r="B4875" s="3" t="n">
        <v>4873</v>
      </c>
      <c r="C4875" s="3" t="n">
        <v>6</v>
      </c>
      <c r="D4875" s="3" t="n">
        <v>6</v>
      </c>
      <c r="E4875" s="3" t="n">
        <v>1</v>
      </c>
      <c r="F4875" s="24" t="n">
        <v>-0.00670984387</v>
      </c>
    </row>
    <row r="4876" customFormat="false" ht="15" hidden="false" customHeight="false" outlineLevel="0" collapsed="false">
      <c r="A4876" s="3" t="n">
        <v>4875</v>
      </c>
      <c r="B4876" s="3" t="n">
        <v>4874</v>
      </c>
      <c r="C4876" s="3" t="n">
        <v>6</v>
      </c>
      <c r="D4876" s="3" t="n">
        <v>6</v>
      </c>
      <c r="E4876" s="3" t="n">
        <v>2</v>
      </c>
      <c r="F4876" s="24" t="n">
        <v>-0.00670984387</v>
      </c>
    </row>
    <row r="4877" customFormat="false" ht="15" hidden="false" customHeight="false" outlineLevel="0" collapsed="false">
      <c r="A4877" s="3" t="n">
        <v>4876</v>
      </c>
      <c r="B4877" s="3" t="n">
        <v>4875</v>
      </c>
      <c r="C4877" s="3" t="n">
        <v>6</v>
      </c>
      <c r="D4877" s="3" t="n">
        <v>6</v>
      </c>
      <c r="E4877" s="3" t="n">
        <v>3</v>
      </c>
      <c r="F4877" s="24" t="n">
        <v>-0.00670984387</v>
      </c>
    </row>
    <row r="4878" customFormat="false" ht="15" hidden="false" customHeight="false" outlineLevel="0" collapsed="false">
      <c r="A4878" s="3" t="n">
        <v>4877</v>
      </c>
      <c r="B4878" s="3" t="n">
        <v>4876</v>
      </c>
      <c r="C4878" s="3" t="n">
        <v>6</v>
      </c>
      <c r="D4878" s="3" t="n">
        <v>6</v>
      </c>
      <c r="E4878" s="3" t="n">
        <v>4</v>
      </c>
      <c r="F4878" s="24" t="n">
        <v>-0.00670984387</v>
      </c>
    </row>
    <row r="4879" customFormat="false" ht="15" hidden="false" customHeight="false" outlineLevel="0" collapsed="false">
      <c r="A4879" s="3" t="n">
        <v>4878</v>
      </c>
      <c r="B4879" s="3" t="n">
        <v>4877</v>
      </c>
      <c r="C4879" s="3" t="n">
        <v>6</v>
      </c>
      <c r="D4879" s="3" t="n">
        <v>6</v>
      </c>
      <c r="E4879" s="3" t="n">
        <v>5</v>
      </c>
      <c r="F4879" s="24" t="n">
        <v>-0.192476898</v>
      </c>
    </row>
    <row r="4880" customFormat="false" ht="15" hidden="false" customHeight="false" outlineLevel="0" collapsed="false">
      <c r="A4880" s="3" t="n">
        <v>4879</v>
      </c>
      <c r="B4880" s="3" t="n">
        <v>4878</v>
      </c>
      <c r="C4880" s="3" t="n">
        <v>6</v>
      </c>
      <c r="D4880" s="3" t="n">
        <v>6</v>
      </c>
      <c r="E4880" s="3" t="n">
        <v>6</v>
      </c>
      <c r="F4880" s="24" t="n">
        <v>-0.672243357</v>
      </c>
    </row>
    <row r="4881" customFormat="false" ht="15" hidden="false" customHeight="false" outlineLevel="0" collapsed="false">
      <c r="A4881" s="3" t="n">
        <v>4880</v>
      </c>
      <c r="B4881" s="3" t="n">
        <v>4879</v>
      </c>
      <c r="C4881" s="3" t="n">
        <v>6</v>
      </c>
      <c r="D4881" s="3" t="n">
        <v>6</v>
      </c>
      <c r="E4881" s="3" t="n">
        <v>7</v>
      </c>
      <c r="F4881" s="24" t="n">
        <v>-0.775196671</v>
      </c>
    </row>
    <row r="4882" customFormat="false" ht="15" hidden="false" customHeight="false" outlineLevel="0" collapsed="false">
      <c r="A4882" s="3" t="n">
        <v>4881</v>
      </c>
      <c r="B4882" s="3" t="n">
        <v>4880</v>
      </c>
      <c r="C4882" s="3" t="n">
        <v>6</v>
      </c>
      <c r="D4882" s="3" t="n">
        <v>6</v>
      </c>
      <c r="E4882" s="3" t="n">
        <v>8</v>
      </c>
      <c r="F4882" s="24" t="n">
        <v>-0.500378728</v>
      </c>
    </row>
    <row r="4883" customFormat="false" ht="15" hidden="false" customHeight="false" outlineLevel="0" collapsed="false">
      <c r="A4883" s="3" t="n">
        <v>4882</v>
      </c>
      <c r="B4883" s="3" t="n">
        <v>4881</v>
      </c>
      <c r="C4883" s="3" t="n">
        <v>6</v>
      </c>
      <c r="D4883" s="3" t="n">
        <v>6</v>
      </c>
      <c r="E4883" s="3" t="n">
        <v>9</v>
      </c>
      <c r="F4883" s="24" t="n">
        <v>-0.32047233</v>
      </c>
    </row>
    <row r="4884" customFormat="false" ht="15" hidden="false" customHeight="false" outlineLevel="0" collapsed="false">
      <c r="A4884" s="3" t="n">
        <v>4883</v>
      </c>
      <c r="B4884" s="3" t="n">
        <v>4882</v>
      </c>
      <c r="C4884" s="3" t="n">
        <v>6</v>
      </c>
      <c r="D4884" s="3" t="n">
        <v>6</v>
      </c>
      <c r="E4884" s="3" t="n">
        <v>10</v>
      </c>
      <c r="F4884" s="24" t="n">
        <v>-0.00370550156</v>
      </c>
    </row>
    <row r="4885" customFormat="false" ht="15" hidden="false" customHeight="false" outlineLevel="0" collapsed="false">
      <c r="A4885" s="3" t="n">
        <v>4884</v>
      </c>
      <c r="B4885" s="3" t="n">
        <v>4883</v>
      </c>
      <c r="C4885" s="3" t="n">
        <v>6</v>
      </c>
      <c r="D4885" s="3" t="n">
        <v>6</v>
      </c>
      <c r="E4885" s="3" t="n">
        <v>11</v>
      </c>
      <c r="F4885" s="24" t="n">
        <v>-0.0109954476</v>
      </c>
    </row>
    <row r="4886" customFormat="false" ht="15" hidden="false" customHeight="false" outlineLevel="0" collapsed="false">
      <c r="A4886" s="3" t="n">
        <v>4885</v>
      </c>
      <c r="B4886" s="3" t="n">
        <v>4884</v>
      </c>
      <c r="C4886" s="3" t="n">
        <v>6</v>
      </c>
      <c r="D4886" s="3" t="n">
        <v>6</v>
      </c>
      <c r="E4886" s="3" t="n">
        <v>12</v>
      </c>
      <c r="F4886" s="24" t="n">
        <v>0.056651175</v>
      </c>
    </row>
    <row r="4887" customFormat="false" ht="15" hidden="false" customHeight="false" outlineLevel="0" collapsed="false">
      <c r="A4887" s="3" t="n">
        <v>4886</v>
      </c>
      <c r="B4887" s="3" t="n">
        <v>4885</v>
      </c>
      <c r="C4887" s="3" t="n">
        <v>6</v>
      </c>
      <c r="D4887" s="3" t="n">
        <v>6</v>
      </c>
      <c r="E4887" s="3" t="n">
        <v>13</v>
      </c>
      <c r="F4887" s="24" t="n">
        <v>-0.00670984387</v>
      </c>
    </row>
    <row r="4888" customFormat="false" ht="15" hidden="false" customHeight="false" outlineLevel="0" collapsed="false">
      <c r="A4888" s="3" t="n">
        <v>4887</v>
      </c>
      <c r="B4888" s="3" t="n">
        <v>4886</v>
      </c>
      <c r="C4888" s="3" t="n">
        <v>6</v>
      </c>
      <c r="D4888" s="3" t="n">
        <v>6</v>
      </c>
      <c r="E4888" s="3" t="n">
        <v>14</v>
      </c>
      <c r="F4888" s="24" t="n">
        <v>-0.00670984387</v>
      </c>
    </row>
    <row r="4889" customFormat="false" ht="15" hidden="false" customHeight="false" outlineLevel="0" collapsed="false">
      <c r="A4889" s="3" t="n">
        <v>4888</v>
      </c>
      <c r="B4889" s="3" t="n">
        <v>4887</v>
      </c>
      <c r="C4889" s="3" t="n">
        <v>6</v>
      </c>
      <c r="D4889" s="3" t="n">
        <v>6</v>
      </c>
      <c r="E4889" s="3" t="n">
        <v>15</v>
      </c>
      <c r="F4889" s="24" t="n">
        <v>-0.00670984387</v>
      </c>
    </row>
    <row r="4890" customFormat="false" ht="15" hidden="false" customHeight="false" outlineLevel="0" collapsed="false">
      <c r="A4890" s="3" t="n">
        <v>4889</v>
      </c>
      <c r="B4890" s="3" t="n">
        <v>4888</v>
      </c>
      <c r="C4890" s="3" t="n">
        <v>6</v>
      </c>
      <c r="D4890" s="3" t="n">
        <v>6</v>
      </c>
      <c r="E4890" s="3" t="n">
        <v>16</v>
      </c>
      <c r="F4890" s="24" t="n">
        <v>-0.00670984387</v>
      </c>
    </row>
    <row r="4891" customFormat="false" ht="15" hidden="false" customHeight="false" outlineLevel="0" collapsed="false">
      <c r="A4891" s="3" t="n">
        <v>4890</v>
      </c>
      <c r="B4891" s="3" t="n">
        <v>4889</v>
      </c>
      <c r="C4891" s="3" t="n">
        <v>6</v>
      </c>
      <c r="D4891" s="3" t="n">
        <v>6</v>
      </c>
      <c r="E4891" s="3" t="n">
        <v>17</v>
      </c>
      <c r="F4891" s="24" t="n">
        <v>-0.00670984387</v>
      </c>
    </row>
    <row r="4892" customFormat="false" ht="15" hidden="false" customHeight="false" outlineLevel="0" collapsed="false">
      <c r="A4892" s="3" t="n">
        <v>4891</v>
      </c>
      <c r="B4892" s="3" t="n">
        <v>4890</v>
      </c>
      <c r="C4892" s="3" t="n">
        <v>6</v>
      </c>
      <c r="D4892" s="3" t="n">
        <v>6</v>
      </c>
      <c r="E4892" s="3" t="n">
        <v>18</v>
      </c>
      <c r="F4892" s="24" t="n">
        <v>-0.00670984387</v>
      </c>
    </row>
    <row r="4893" customFormat="false" ht="15" hidden="false" customHeight="false" outlineLevel="0" collapsed="false">
      <c r="A4893" s="3" t="n">
        <v>4892</v>
      </c>
      <c r="B4893" s="3" t="n">
        <v>4891</v>
      </c>
      <c r="C4893" s="3" t="n">
        <v>6</v>
      </c>
      <c r="D4893" s="3" t="n">
        <v>6</v>
      </c>
      <c r="E4893" s="3" t="n">
        <v>19</v>
      </c>
      <c r="F4893" s="24" t="n">
        <v>-0.00670984387</v>
      </c>
    </row>
    <row r="4894" customFormat="false" ht="15" hidden="false" customHeight="false" outlineLevel="0" collapsed="false">
      <c r="A4894" s="3" t="n">
        <v>4893</v>
      </c>
      <c r="B4894" s="3" t="n">
        <v>4892</v>
      </c>
      <c r="C4894" s="3" t="n">
        <v>6</v>
      </c>
      <c r="D4894" s="3" t="n">
        <v>6</v>
      </c>
      <c r="E4894" s="3" t="n">
        <v>20</v>
      </c>
      <c r="F4894" s="24" t="n">
        <v>-0.00670984387</v>
      </c>
    </row>
    <row r="4895" customFormat="false" ht="15" hidden="false" customHeight="false" outlineLevel="0" collapsed="false">
      <c r="A4895" s="3" t="n">
        <v>4894</v>
      </c>
      <c r="B4895" s="3" t="n">
        <v>4893</v>
      </c>
      <c r="C4895" s="3" t="n">
        <v>6</v>
      </c>
      <c r="D4895" s="3" t="n">
        <v>6</v>
      </c>
      <c r="E4895" s="3" t="n">
        <v>21</v>
      </c>
      <c r="F4895" s="24" t="n">
        <v>-0.00670984387</v>
      </c>
    </row>
    <row r="4896" customFormat="false" ht="15" hidden="false" customHeight="false" outlineLevel="0" collapsed="false">
      <c r="A4896" s="3" t="n">
        <v>4895</v>
      </c>
      <c r="B4896" s="3" t="n">
        <v>4894</v>
      </c>
      <c r="C4896" s="3" t="n">
        <v>6</v>
      </c>
      <c r="D4896" s="3" t="n">
        <v>6</v>
      </c>
      <c r="E4896" s="3" t="n">
        <v>22</v>
      </c>
      <c r="F4896" s="24" t="n">
        <v>-0.00670984387</v>
      </c>
    </row>
    <row r="4897" customFormat="false" ht="15" hidden="false" customHeight="false" outlineLevel="0" collapsed="false">
      <c r="A4897" s="3" t="n">
        <v>4896</v>
      </c>
      <c r="B4897" s="3" t="n">
        <v>4895</v>
      </c>
      <c r="C4897" s="3" t="n">
        <v>6</v>
      </c>
      <c r="D4897" s="3" t="n">
        <v>6</v>
      </c>
      <c r="E4897" s="3" t="n">
        <v>23</v>
      </c>
      <c r="F4897" s="24" t="n">
        <v>-0.00670984387</v>
      </c>
    </row>
    <row r="4898" customFormat="false" ht="15" hidden="false" customHeight="false" outlineLevel="0" collapsed="false">
      <c r="A4898" s="3" t="n">
        <v>4897</v>
      </c>
      <c r="B4898" s="3" t="n">
        <v>4896</v>
      </c>
      <c r="C4898" s="3" t="n">
        <v>6</v>
      </c>
      <c r="D4898" s="3" t="n">
        <v>6</v>
      </c>
      <c r="E4898" s="3" t="n">
        <v>24</v>
      </c>
      <c r="F4898" s="24" t="n">
        <v>-0.00670984387</v>
      </c>
    </row>
    <row r="4899" customFormat="false" ht="15" hidden="false" customHeight="false" outlineLevel="0" collapsed="false">
      <c r="A4899" s="3" t="n">
        <v>4898</v>
      </c>
      <c r="B4899" s="3" t="n">
        <v>4897</v>
      </c>
      <c r="C4899" s="3" t="n">
        <v>6</v>
      </c>
      <c r="D4899" s="3" t="n">
        <v>6</v>
      </c>
      <c r="E4899" s="3" t="n">
        <v>25</v>
      </c>
      <c r="F4899" s="24" t="n">
        <v>-0.00670984387</v>
      </c>
    </row>
    <row r="4900" customFormat="false" ht="15" hidden="false" customHeight="false" outlineLevel="0" collapsed="false">
      <c r="A4900" s="3" t="n">
        <v>4899</v>
      </c>
      <c r="B4900" s="3" t="n">
        <v>4898</v>
      </c>
      <c r="C4900" s="3" t="n">
        <v>6</v>
      </c>
      <c r="D4900" s="3" t="n">
        <v>6</v>
      </c>
      <c r="E4900" s="3" t="n">
        <v>26</v>
      </c>
      <c r="F4900" s="24" t="n">
        <v>-0.00670984387</v>
      </c>
    </row>
    <row r="4901" customFormat="false" ht="15" hidden="false" customHeight="false" outlineLevel="0" collapsed="false">
      <c r="A4901" s="3" t="n">
        <v>4900</v>
      </c>
      <c r="B4901" s="3" t="n">
        <v>4899</v>
      </c>
      <c r="C4901" s="3" t="n">
        <v>6</v>
      </c>
      <c r="D4901" s="3" t="n">
        <v>6</v>
      </c>
      <c r="E4901" s="3" t="n">
        <v>27</v>
      </c>
      <c r="F4901" s="24" t="n">
        <v>-0.0790599883</v>
      </c>
    </row>
    <row r="4902" customFormat="false" ht="15" hidden="false" customHeight="false" outlineLevel="0" collapsed="false">
      <c r="A4902" s="3" t="n">
        <v>4901</v>
      </c>
      <c r="B4902" s="3" t="n">
        <v>4900</v>
      </c>
      <c r="C4902" s="3" t="n">
        <v>6</v>
      </c>
      <c r="D4902" s="3" t="n">
        <v>7</v>
      </c>
      <c r="E4902" s="3" t="n">
        <v>0</v>
      </c>
      <c r="F4902" s="24" t="n">
        <v>0.185572863</v>
      </c>
    </row>
    <row r="4903" customFormat="false" ht="15" hidden="false" customHeight="false" outlineLevel="0" collapsed="false">
      <c r="A4903" s="3" t="n">
        <v>4902</v>
      </c>
      <c r="B4903" s="3" t="n">
        <v>4901</v>
      </c>
      <c r="C4903" s="3" t="n">
        <v>6</v>
      </c>
      <c r="D4903" s="3" t="n">
        <v>7</v>
      </c>
      <c r="E4903" s="3" t="n">
        <v>1</v>
      </c>
      <c r="F4903" s="24" t="n">
        <v>-0.00670984387</v>
      </c>
    </row>
    <row r="4904" customFormat="false" ht="15" hidden="false" customHeight="false" outlineLevel="0" collapsed="false">
      <c r="A4904" s="3" t="n">
        <v>4903</v>
      </c>
      <c r="B4904" s="3" t="n">
        <v>4902</v>
      </c>
      <c r="C4904" s="3" t="n">
        <v>6</v>
      </c>
      <c r="D4904" s="3" t="n">
        <v>7</v>
      </c>
      <c r="E4904" s="3" t="n">
        <v>2</v>
      </c>
      <c r="F4904" s="24" t="n">
        <v>-0.00670984387</v>
      </c>
    </row>
    <row r="4905" customFormat="false" ht="15" hidden="false" customHeight="false" outlineLevel="0" collapsed="false">
      <c r="A4905" s="3" t="n">
        <v>4904</v>
      </c>
      <c r="B4905" s="3" t="n">
        <v>4903</v>
      </c>
      <c r="C4905" s="3" t="n">
        <v>6</v>
      </c>
      <c r="D4905" s="3" t="n">
        <v>7</v>
      </c>
      <c r="E4905" s="3" t="n">
        <v>3</v>
      </c>
      <c r="F4905" s="24" t="n">
        <v>-0.00670984387</v>
      </c>
    </row>
    <row r="4906" customFormat="false" ht="15" hidden="false" customHeight="false" outlineLevel="0" collapsed="false">
      <c r="A4906" s="3" t="n">
        <v>4905</v>
      </c>
      <c r="B4906" s="3" t="n">
        <v>4904</v>
      </c>
      <c r="C4906" s="3" t="n">
        <v>6</v>
      </c>
      <c r="D4906" s="3" t="n">
        <v>7</v>
      </c>
      <c r="E4906" s="3" t="n">
        <v>4</v>
      </c>
      <c r="F4906" s="24" t="n">
        <v>-0.00670984387</v>
      </c>
    </row>
    <row r="4907" customFormat="false" ht="15" hidden="false" customHeight="false" outlineLevel="0" collapsed="false">
      <c r="A4907" s="3" t="n">
        <v>4906</v>
      </c>
      <c r="B4907" s="3" t="n">
        <v>4905</v>
      </c>
      <c r="C4907" s="3" t="n">
        <v>6</v>
      </c>
      <c r="D4907" s="3" t="n">
        <v>7</v>
      </c>
      <c r="E4907" s="3" t="n">
        <v>5</v>
      </c>
      <c r="F4907" s="24" t="n">
        <v>-0.798135757</v>
      </c>
    </row>
    <row r="4908" customFormat="false" ht="15" hidden="false" customHeight="false" outlineLevel="0" collapsed="false">
      <c r="A4908" s="3" t="n">
        <v>4907</v>
      </c>
      <c r="B4908" s="3" t="n">
        <v>4906</v>
      </c>
      <c r="C4908" s="3" t="n">
        <v>6</v>
      </c>
      <c r="D4908" s="3" t="n">
        <v>7</v>
      </c>
      <c r="E4908" s="3" t="n">
        <v>6</v>
      </c>
      <c r="F4908" s="24" t="n">
        <v>-1.44356024</v>
      </c>
    </row>
    <row r="4909" customFormat="false" ht="15" hidden="false" customHeight="false" outlineLevel="0" collapsed="false">
      <c r="A4909" s="3" t="n">
        <v>4908</v>
      </c>
      <c r="B4909" s="3" t="n">
        <v>4907</v>
      </c>
      <c r="C4909" s="3" t="n">
        <v>6</v>
      </c>
      <c r="D4909" s="3" t="n">
        <v>7</v>
      </c>
      <c r="E4909" s="3" t="n">
        <v>7</v>
      </c>
      <c r="F4909" s="24" t="n">
        <v>-0.238477796</v>
      </c>
    </row>
    <row r="4910" customFormat="false" ht="15" hidden="false" customHeight="false" outlineLevel="0" collapsed="false">
      <c r="A4910" s="3" t="n">
        <v>4909</v>
      </c>
      <c r="B4910" s="3" t="n">
        <v>4908</v>
      </c>
      <c r="C4910" s="3" t="n">
        <v>6</v>
      </c>
      <c r="D4910" s="3" t="n">
        <v>7</v>
      </c>
      <c r="E4910" s="3" t="n">
        <v>8</v>
      </c>
      <c r="F4910" s="24" t="n">
        <v>0.0163539648</v>
      </c>
    </row>
    <row r="4911" customFormat="false" ht="15" hidden="false" customHeight="false" outlineLevel="0" collapsed="false">
      <c r="A4911" s="3" t="n">
        <v>4910</v>
      </c>
      <c r="B4911" s="3" t="n">
        <v>4909</v>
      </c>
      <c r="C4911" s="3" t="n">
        <v>6</v>
      </c>
      <c r="D4911" s="3" t="n">
        <v>7</v>
      </c>
      <c r="E4911" s="3" t="n">
        <v>9</v>
      </c>
      <c r="F4911" s="24" t="n">
        <v>0.216920614</v>
      </c>
    </row>
    <row r="4912" customFormat="false" ht="15" hidden="false" customHeight="false" outlineLevel="0" collapsed="false">
      <c r="A4912" s="3" t="n">
        <v>4911</v>
      </c>
      <c r="B4912" s="3" t="n">
        <v>4910</v>
      </c>
      <c r="C4912" s="3" t="n">
        <v>6</v>
      </c>
      <c r="D4912" s="3" t="n">
        <v>7</v>
      </c>
      <c r="E4912" s="3" t="n">
        <v>10</v>
      </c>
      <c r="F4912" s="24" t="n">
        <v>-0.196270794</v>
      </c>
    </row>
    <row r="4913" customFormat="false" ht="15" hidden="false" customHeight="false" outlineLevel="0" collapsed="false">
      <c r="A4913" s="3" t="n">
        <v>4912</v>
      </c>
      <c r="B4913" s="3" t="n">
        <v>4911</v>
      </c>
      <c r="C4913" s="3" t="n">
        <v>6</v>
      </c>
      <c r="D4913" s="3" t="n">
        <v>7</v>
      </c>
      <c r="E4913" s="3" t="n">
        <v>11</v>
      </c>
      <c r="F4913" s="24" t="n">
        <v>-0.347913355</v>
      </c>
    </row>
    <row r="4914" customFormat="false" ht="15" hidden="false" customHeight="false" outlineLevel="0" collapsed="false">
      <c r="A4914" s="3" t="n">
        <v>4913</v>
      </c>
      <c r="B4914" s="3" t="n">
        <v>4912</v>
      </c>
      <c r="C4914" s="3" t="n">
        <v>6</v>
      </c>
      <c r="D4914" s="3" t="n">
        <v>7</v>
      </c>
      <c r="E4914" s="3" t="n">
        <v>12</v>
      </c>
      <c r="F4914" s="24" t="n">
        <v>-0.513026357</v>
      </c>
    </row>
    <row r="4915" customFormat="false" ht="15" hidden="false" customHeight="false" outlineLevel="0" collapsed="false">
      <c r="A4915" s="3" t="n">
        <v>4914</v>
      </c>
      <c r="B4915" s="3" t="n">
        <v>4913</v>
      </c>
      <c r="C4915" s="3" t="n">
        <v>6</v>
      </c>
      <c r="D4915" s="3" t="n">
        <v>7</v>
      </c>
      <c r="E4915" s="3" t="n">
        <v>13</v>
      </c>
      <c r="F4915" s="24" t="n">
        <v>-0.700483918</v>
      </c>
    </row>
    <row r="4916" customFormat="false" ht="15" hidden="false" customHeight="false" outlineLevel="0" collapsed="false">
      <c r="A4916" s="3" t="n">
        <v>4915</v>
      </c>
      <c r="B4916" s="3" t="n">
        <v>4914</v>
      </c>
      <c r="C4916" s="3" t="n">
        <v>6</v>
      </c>
      <c r="D4916" s="3" t="n">
        <v>7</v>
      </c>
      <c r="E4916" s="3" t="n">
        <v>14</v>
      </c>
      <c r="F4916" s="24" t="n">
        <v>-0.700483918</v>
      </c>
    </row>
    <row r="4917" customFormat="false" ht="15" hidden="false" customHeight="false" outlineLevel="0" collapsed="false">
      <c r="A4917" s="3" t="n">
        <v>4916</v>
      </c>
      <c r="B4917" s="3" t="n">
        <v>4915</v>
      </c>
      <c r="C4917" s="3" t="n">
        <v>6</v>
      </c>
      <c r="D4917" s="3" t="n">
        <v>7</v>
      </c>
      <c r="E4917" s="3" t="n">
        <v>15</v>
      </c>
      <c r="F4917" s="24" t="n">
        <v>-0.700483918</v>
      </c>
    </row>
    <row r="4918" customFormat="false" ht="15" hidden="false" customHeight="false" outlineLevel="0" collapsed="false">
      <c r="A4918" s="3" t="n">
        <v>4917</v>
      </c>
      <c r="B4918" s="3" t="n">
        <v>4916</v>
      </c>
      <c r="C4918" s="3" t="n">
        <v>6</v>
      </c>
      <c r="D4918" s="3" t="n">
        <v>7</v>
      </c>
      <c r="E4918" s="3" t="n">
        <v>16</v>
      </c>
      <c r="F4918" s="24" t="n">
        <v>-0.700483918</v>
      </c>
    </row>
    <row r="4919" customFormat="false" ht="15" hidden="false" customHeight="false" outlineLevel="0" collapsed="false">
      <c r="A4919" s="3" t="n">
        <v>4918</v>
      </c>
      <c r="B4919" s="3" t="n">
        <v>4917</v>
      </c>
      <c r="C4919" s="3" t="n">
        <v>6</v>
      </c>
      <c r="D4919" s="3" t="n">
        <v>7</v>
      </c>
      <c r="E4919" s="3" t="n">
        <v>17</v>
      </c>
      <c r="F4919" s="24" t="n">
        <v>-0.700483918</v>
      </c>
    </row>
    <row r="4920" customFormat="false" ht="15" hidden="false" customHeight="false" outlineLevel="0" collapsed="false">
      <c r="A4920" s="3" t="n">
        <v>4919</v>
      </c>
      <c r="B4920" s="3" t="n">
        <v>4918</v>
      </c>
      <c r="C4920" s="3" t="n">
        <v>6</v>
      </c>
      <c r="D4920" s="3" t="n">
        <v>7</v>
      </c>
      <c r="E4920" s="3" t="n">
        <v>18</v>
      </c>
      <c r="F4920" s="24" t="n">
        <v>-0.700483918</v>
      </c>
    </row>
    <row r="4921" customFormat="false" ht="15" hidden="false" customHeight="false" outlineLevel="0" collapsed="false">
      <c r="A4921" s="3" t="n">
        <v>4920</v>
      </c>
      <c r="B4921" s="3" t="n">
        <v>4919</v>
      </c>
      <c r="C4921" s="3" t="n">
        <v>6</v>
      </c>
      <c r="D4921" s="3" t="n">
        <v>7</v>
      </c>
      <c r="E4921" s="3" t="n">
        <v>19</v>
      </c>
      <c r="F4921" s="24" t="n">
        <v>-0.638561606</v>
      </c>
    </row>
    <row r="4922" customFormat="false" ht="15" hidden="false" customHeight="false" outlineLevel="0" collapsed="false">
      <c r="A4922" s="3" t="n">
        <v>4921</v>
      </c>
      <c r="B4922" s="3" t="n">
        <v>4920</v>
      </c>
      <c r="C4922" s="3" t="n">
        <v>6</v>
      </c>
      <c r="D4922" s="3" t="n">
        <v>7</v>
      </c>
      <c r="E4922" s="3" t="n">
        <v>20</v>
      </c>
      <c r="F4922" s="24" t="n">
        <v>-0.292135209</v>
      </c>
    </row>
    <row r="4923" customFormat="false" ht="15" hidden="false" customHeight="false" outlineLevel="0" collapsed="false">
      <c r="A4923" s="3" t="n">
        <v>4922</v>
      </c>
      <c r="B4923" s="3" t="n">
        <v>4921</v>
      </c>
      <c r="C4923" s="3" t="n">
        <v>6</v>
      </c>
      <c r="D4923" s="3" t="n">
        <v>7</v>
      </c>
      <c r="E4923" s="3" t="n">
        <v>21</v>
      </c>
      <c r="F4923" s="24" t="n">
        <v>0.133768812</v>
      </c>
    </row>
    <row r="4924" customFormat="false" ht="15" hidden="false" customHeight="false" outlineLevel="0" collapsed="false">
      <c r="A4924" s="3" t="n">
        <v>4923</v>
      </c>
      <c r="B4924" s="3" t="n">
        <v>4922</v>
      </c>
      <c r="C4924" s="3" t="n">
        <v>6</v>
      </c>
      <c r="D4924" s="3" t="n">
        <v>7</v>
      </c>
      <c r="E4924" s="3" t="n">
        <v>22</v>
      </c>
      <c r="F4924" s="24" t="n">
        <v>0.0848116279</v>
      </c>
    </row>
    <row r="4925" customFormat="false" ht="15" hidden="false" customHeight="false" outlineLevel="0" collapsed="false">
      <c r="A4925" s="3" t="n">
        <v>4924</v>
      </c>
      <c r="B4925" s="3" t="n">
        <v>4923</v>
      </c>
      <c r="C4925" s="3" t="n">
        <v>6</v>
      </c>
      <c r="D4925" s="3" t="n">
        <v>7</v>
      </c>
      <c r="E4925" s="3" t="n">
        <v>23</v>
      </c>
      <c r="F4925" s="24" t="n">
        <v>-0.00670984387</v>
      </c>
    </row>
    <row r="4926" customFormat="false" ht="15" hidden="false" customHeight="false" outlineLevel="0" collapsed="false">
      <c r="A4926" s="3" t="n">
        <v>4925</v>
      </c>
      <c r="B4926" s="3" t="n">
        <v>4924</v>
      </c>
      <c r="C4926" s="3" t="n">
        <v>6</v>
      </c>
      <c r="D4926" s="3" t="n">
        <v>7</v>
      </c>
      <c r="E4926" s="3" t="n">
        <v>24</v>
      </c>
      <c r="F4926" s="24" t="n">
        <v>-0.00670984387</v>
      </c>
    </row>
    <row r="4927" customFormat="false" ht="15" hidden="false" customHeight="false" outlineLevel="0" collapsed="false">
      <c r="A4927" s="3" t="n">
        <v>4926</v>
      </c>
      <c r="B4927" s="3" t="n">
        <v>4925</v>
      </c>
      <c r="C4927" s="3" t="n">
        <v>6</v>
      </c>
      <c r="D4927" s="3" t="n">
        <v>7</v>
      </c>
      <c r="E4927" s="3" t="n">
        <v>25</v>
      </c>
      <c r="F4927" s="24" t="n">
        <v>-0.00670984387</v>
      </c>
    </row>
    <row r="4928" customFormat="false" ht="15" hidden="false" customHeight="false" outlineLevel="0" collapsed="false">
      <c r="A4928" s="3" t="n">
        <v>4927</v>
      </c>
      <c r="B4928" s="3" t="n">
        <v>4926</v>
      </c>
      <c r="C4928" s="3" t="n">
        <v>6</v>
      </c>
      <c r="D4928" s="3" t="n">
        <v>7</v>
      </c>
      <c r="E4928" s="3" t="n">
        <v>26</v>
      </c>
      <c r="F4928" s="24" t="n">
        <v>-0.00670984387</v>
      </c>
    </row>
    <row r="4929" customFormat="false" ht="15" hidden="false" customHeight="false" outlineLevel="0" collapsed="false">
      <c r="A4929" s="3" t="n">
        <v>4928</v>
      </c>
      <c r="B4929" s="3" t="n">
        <v>4927</v>
      </c>
      <c r="C4929" s="3" t="n">
        <v>6</v>
      </c>
      <c r="D4929" s="3" t="n">
        <v>7</v>
      </c>
      <c r="E4929" s="3" t="n">
        <v>27</v>
      </c>
      <c r="F4929" s="24" t="n">
        <v>-0.0790599883</v>
      </c>
    </row>
    <row r="4930" customFormat="false" ht="15" hidden="false" customHeight="false" outlineLevel="0" collapsed="false">
      <c r="A4930" s="3" t="n">
        <v>4929</v>
      </c>
      <c r="B4930" s="3" t="n">
        <v>4928</v>
      </c>
      <c r="C4930" s="3" t="n">
        <v>6</v>
      </c>
      <c r="D4930" s="3" t="n">
        <v>8</v>
      </c>
      <c r="E4930" s="3" t="n">
        <v>0</v>
      </c>
      <c r="F4930" s="24" t="n">
        <v>0.185572863</v>
      </c>
    </row>
    <row r="4931" customFormat="false" ht="15" hidden="false" customHeight="false" outlineLevel="0" collapsed="false">
      <c r="A4931" s="3" t="n">
        <v>4930</v>
      </c>
      <c r="B4931" s="3" t="n">
        <v>4929</v>
      </c>
      <c r="C4931" s="3" t="n">
        <v>6</v>
      </c>
      <c r="D4931" s="3" t="n">
        <v>8</v>
      </c>
      <c r="E4931" s="3" t="n">
        <v>1</v>
      </c>
      <c r="F4931" s="24" t="n">
        <v>-0.00670984387</v>
      </c>
    </row>
    <row r="4932" customFormat="false" ht="15" hidden="false" customHeight="false" outlineLevel="0" collapsed="false">
      <c r="A4932" s="3" t="n">
        <v>4931</v>
      </c>
      <c r="B4932" s="3" t="n">
        <v>4930</v>
      </c>
      <c r="C4932" s="3" t="n">
        <v>6</v>
      </c>
      <c r="D4932" s="3" t="n">
        <v>8</v>
      </c>
      <c r="E4932" s="3" t="n">
        <v>2</v>
      </c>
      <c r="F4932" s="24" t="n">
        <v>-0.00670984387</v>
      </c>
    </row>
    <row r="4933" customFormat="false" ht="15" hidden="false" customHeight="false" outlineLevel="0" collapsed="false">
      <c r="A4933" s="3" t="n">
        <v>4932</v>
      </c>
      <c r="B4933" s="3" t="n">
        <v>4931</v>
      </c>
      <c r="C4933" s="3" t="n">
        <v>6</v>
      </c>
      <c r="D4933" s="3" t="n">
        <v>8</v>
      </c>
      <c r="E4933" s="3" t="n">
        <v>3</v>
      </c>
      <c r="F4933" s="24" t="n">
        <v>-0.00670984387</v>
      </c>
    </row>
    <row r="4934" customFormat="false" ht="15" hidden="false" customHeight="false" outlineLevel="0" collapsed="false">
      <c r="A4934" s="3" t="n">
        <v>4933</v>
      </c>
      <c r="B4934" s="3" t="n">
        <v>4932</v>
      </c>
      <c r="C4934" s="3" t="n">
        <v>6</v>
      </c>
      <c r="D4934" s="3" t="n">
        <v>8</v>
      </c>
      <c r="E4934" s="3" t="n">
        <v>4</v>
      </c>
      <c r="F4934" s="24" t="n">
        <v>-0.00670984387</v>
      </c>
    </row>
    <row r="4935" customFormat="false" ht="15" hidden="false" customHeight="false" outlineLevel="0" collapsed="false">
      <c r="A4935" s="3" t="n">
        <v>4934</v>
      </c>
      <c r="B4935" s="3" t="n">
        <v>4933</v>
      </c>
      <c r="C4935" s="3" t="n">
        <v>6</v>
      </c>
      <c r="D4935" s="3" t="n">
        <v>8</v>
      </c>
      <c r="E4935" s="3" t="n">
        <v>5</v>
      </c>
      <c r="F4935" s="24" t="n">
        <v>-0.645092487</v>
      </c>
    </row>
    <row r="4936" customFormat="false" ht="15" hidden="false" customHeight="false" outlineLevel="0" collapsed="false">
      <c r="A4936" s="3" t="n">
        <v>4935</v>
      </c>
      <c r="B4936" s="3" t="n">
        <v>4934</v>
      </c>
      <c r="C4936" s="3" t="n">
        <v>6</v>
      </c>
      <c r="D4936" s="3" t="n">
        <v>8</v>
      </c>
      <c r="E4936" s="3" t="n">
        <v>6</v>
      </c>
      <c r="F4936" s="24" t="n">
        <v>0.795666814</v>
      </c>
    </row>
    <row r="4937" customFormat="false" ht="15" hidden="false" customHeight="false" outlineLevel="0" collapsed="false">
      <c r="A4937" s="3" t="n">
        <v>4936</v>
      </c>
      <c r="B4937" s="3" t="n">
        <v>4935</v>
      </c>
      <c r="C4937" s="3" t="n">
        <v>6</v>
      </c>
      <c r="D4937" s="3" t="n">
        <v>8</v>
      </c>
      <c r="E4937" s="3" t="n">
        <v>7</v>
      </c>
      <c r="F4937" s="24" t="n">
        <v>2.03728366</v>
      </c>
    </row>
    <row r="4938" customFormat="false" ht="15" hidden="false" customHeight="false" outlineLevel="0" collapsed="false">
      <c r="A4938" s="3" t="n">
        <v>4937</v>
      </c>
      <c r="B4938" s="3" t="n">
        <v>4936</v>
      </c>
      <c r="C4938" s="3" t="n">
        <v>6</v>
      </c>
      <c r="D4938" s="3" t="n">
        <v>8</v>
      </c>
      <c r="E4938" s="3" t="n">
        <v>8</v>
      </c>
      <c r="F4938" s="24" t="n">
        <v>2.23310494</v>
      </c>
    </row>
    <row r="4939" customFormat="false" ht="15" hidden="false" customHeight="false" outlineLevel="0" collapsed="false">
      <c r="A4939" s="3" t="n">
        <v>4938</v>
      </c>
      <c r="B4939" s="3" t="n">
        <v>4937</v>
      </c>
      <c r="C4939" s="3" t="n">
        <v>6</v>
      </c>
      <c r="D4939" s="3" t="n">
        <v>8</v>
      </c>
      <c r="E4939" s="3" t="n">
        <v>9</v>
      </c>
      <c r="F4939" s="24" t="n">
        <v>1.54405212</v>
      </c>
    </row>
    <row r="4940" customFormat="false" ht="15" hidden="false" customHeight="false" outlineLevel="0" collapsed="false">
      <c r="A4940" s="3" t="n">
        <v>4939</v>
      </c>
      <c r="B4940" s="3" t="n">
        <v>4938</v>
      </c>
      <c r="C4940" s="3" t="n">
        <v>6</v>
      </c>
      <c r="D4940" s="3" t="n">
        <v>8</v>
      </c>
      <c r="E4940" s="3" t="n">
        <v>10</v>
      </c>
      <c r="F4940" s="24" t="n">
        <v>0.985389233</v>
      </c>
    </row>
    <row r="4941" customFormat="false" ht="15" hidden="false" customHeight="false" outlineLevel="0" collapsed="false">
      <c r="A4941" s="3" t="n">
        <v>4940</v>
      </c>
      <c r="B4941" s="3" t="n">
        <v>4939</v>
      </c>
      <c r="C4941" s="3" t="n">
        <v>6</v>
      </c>
      <c r="D4941" s="3" t="n">
        <v>8</v>
      </c>
      <c r="E4941" s="3" t="n">
        <v>11</v>
      </c>
      <c r="F4941" s="24" t="n">
        <v>0.60847187</v>
      </c>
    </row>
    <row r="4942" customFormat="false" ht="15" hidden="false" customHeight="false" outlineLevel="0" collapsed="false">
      <c r="A4942" s="3" t="n">
        <v>4941</v>
      </c>
      <c r="B4942" s="3" t="n">
        <v>4940</v>
      </c>
      <c r="C4942" s="3" t="n">
        <v>6</v>
      </c>
      <c r="D4942" s="3" t="n">
        <v>8</v>
      </c>
      <c r="E4942" s="3" t="n">
        <v>12</v>
      </c>
      <c r="F4942" s="24" t="n">
        <v>0.286829323</v>
      </c>
    </row>
    <row r="4943" customFormat="false" ht="15" hidden="false" customHeight="false" outlineLevel="0" collapsed="false">
      <c r="A4943" s="3" t="n">
        <v>4942</v>
      </c>
      <c r="B4943" s="3" t="n">
        <v>4941</v>
      </c>
      <c r="C4943" s="3" t="n">
        <v>6</v>
      </c>
      <c r="D4943" s="3" t="n">
        <v>8</v>
      </c>
      <c r="E4943" s="3" t="n">
        <v>13</v>
      </c>
      <c r="F4943" s="24" t="n">
        <v>0.192667872</v>
      </c>
    </row>
    <row r="4944" customFormat="false" ht="15" hidden="false" customHeight="false" outlineLevel="0" collapsed="false">
      <c r="A4944" s="3" t="n">
        <v>4943</v>
      </c>
      <c r="B4944" s="3" t="n">
        <v>4942</v>
      </c>
      <c r="C4944" s="3" t="n">
        <v>6</v>
      </c>
      <c r="D4944" s="3" t="n">
        <v>8</v>
      </c>
      <c r="E4944" s="3" t="n">
        <v>14</v>
      </c>
      <c r="F4944" s="24" t="n">
        <v>0.0531067252</v>
      </c>
    </row>
    <row r="4945" customFormat="false" ht="15" hidden="false" customHeight="false" outlineLevel="0" collapsed="false">
      <c r="A4945" s="3" t="n">
        <v>4944</v>
      </c>
      <c r="B4945" s="3" t="n">
        <v>4943</v>
      </c>
      <c r="C4945" s="3" t="n">
        <v>6</v>
      </c>
      <c r="D4945" s="3" t="n">
        <v>8</v>
      </c>
      <c r="E4945" s="3" t="n">
        <v>15</v>
      </c>
      <c r="F4945" s="24" t="n">
        <v>0.104147553</v>
      </c>
    </row>
    <row r="4946" customFormat="false" ht="15" hidden="false" customHeight="false" outlineLevel="0" collapsed="false">
      <c r="A4946" s="3" t="n">
        <v>4945</v>
      </c>
      <c r="B4946" s="3" t="n">
        <v>4944</v>
      </c>
      <c r="C4946" s="3" t="n">
        <v>6</v>
      </c>
      <c r="D4946" s="3" t="n">
        <v>8</v>
      </c>
      <c r="E4946" s="3" t="n">
        <v>16</v>
      </c>
      <c r="F4946" s="24" t="n">
        <v>0.112993598</v>
      </c>
    </row>
    <row r="4947" customFormat="false" ht="15" hidden="false" customHeight="false" outlineLevel="0" collapsed="false">
      <c r="A4947" s="3" t="n">
        <v>4946</v>
      </c>
      <c r="B4947" s="3" t="n">
        <v>4945</v>
      </c>
      <c r="C4947" s="3" t="n">
        <v>6</v>
      </c>
      <c r="D4947" s="3" t="n">
        <v>8</v>
      </c>
      <c r="E4947" s="3" t="n">
        <v>17</v>
      </c>
      <c r="F4947" s="24" t="n">
        <v>0.171645045</v>
      </c>
    </row>
    <row r="4948" customFormat="false" ht="15" hidden="false" customHeight="false" outlineLevel="0" collapsed="false">
      <c r="A4948" s="3" t="n">
        <v>4947</v>
      </c>
      <c r="B4948" s="3" t="n">
        <v>4946</v>
      </c>
      <c r="C4948" s="3" t="n">
        <v>6</v>
      </c>
      <c r="D4948" s="3" t="n">
        <v>8</v>
      </c>
      <c r="E4948" s="3" t="n">
        <v>18</v>
      </c>
      <c r="F4948" s="24" t="n">
        <v>0.173418045</v>
      </c>
    </row>
    <row r="4949" customFormat="false" ht="15" hidden="false" customHeight="false" outlineLevel="0" collapsed="false">
      <c r="A4949" s="3" t="n">
        <v>4948</v>
      </c>
      <c r="B4949" s="3" t="n">
        <v>4947</v>
      </c>
      <c r="C4949" s="3" t="n">
        <v>6</v>
      </c>
      <c r="D4949" s="3" t="n">
        <v>8</v>
      </c>
      <c r="E4949" s="3" t="n">
        <v>19</v>
      </c>
      <c r="F4949" s="24" t="n">
        <v>0.160303593</v>
      </c>
    </row>
    <row r="4950" customFormat="false" ht="15" hidden="false" customHeight="false" outlineLevel="0" collapsed="false">
      <c r="A4950" s="3" t="n">
        <v>4949</v>
      </c>
      <c r="B4950" s="3" t="n">
        <v>4948</v>
      </c>
      <c r="C4950" s="3" t="n">
        <v>6</v>
      </c>
      <c r="D4950" s="3" t="n">
        <v>8</v>
      </c>
      <c r="E4950" s="3" t="n">
        <v>20</v>
      </c>
      <c r="F4950" s="24" t="n">
        <v>0.723751783</v>
      </c>
    </row>
    <row r="4951" customFormat="false" ht="15" hidden="false" customHeight="false" outlineLevel="0" collapsed="false">
      <c r="A4951" s="3" t="n">
        <v>4950</v>
      </c>
      <c r="B4951" s="3" t="n">
        <v>4949</v>
      </c>
      <c r="C4951" s="3" t="n">
        <v>6</v>
      </c>
      <c r="D4951" s="3" t="n">
        <v>8</v>
      </c>
      <c r="E4951" s="3" t="n">
        <v>21</v>
      </c>
      <c r="F4951" s="24" t="n">
        <v>0.828230739</v>
      </c>
    </row>
    <row r="4952" customFormat="false" ht="15" hidden="false" customHeight="false" outlineLevel="0" collapsed="false">
      <c r="A4952" s="3" t="n">
        <v>4951</v>
      </c>
      <c r="B4952" s="3" t="n">
        <v>4950</v>
      </c>
      <c r="C4952" s="3" t="n">
        <v>6</v>
      </c>
      <c r="D4952" s="3" t="n">
        <v>8</v>
      </c>
      <c r="E4952" s="3" t="n">
        <v>22</v>
      </c>
      <c r="F4952" s="24" t="n">
        <v>0.401148796</v>
      </c>
    </row>
    <row r="4953" customFormat="false" ht="15" hidden="false" customHeight="false" outlineLevel="0" collapsed="false">
      <c r="A4953" s="3" t="n">
        <v>4952</v>
      </c>
      <c r="B4953" s="3" t="n">
        <v>4951</v>
      </c>
      <c r="C4953" s="3" t="n">
        <v>6</v>
      </c>
      <c r="D4953" s="3" t="n">
        <v>8</v>
      </c>
      <c r="E4953" s="3" t="n">
        <v>23</v>
      </c>
      <c r="F4953" s="24" t="n">
        <v>-0.00670984387</v>
      </c>
    </row>
    <row r="4954" customFormat="false" ht="15" hidden="false" customHeight="false" outlineLevel="0" collapsed="false">
      <c r="A4954" s="3" t="n">
        <v>4953</v>
      </c>
      <c r="B4954" s="3" t="n">
        <v>4952</v>
      </c>
      <c r="C4954" s="3" t="n">
        <v>6</v>
      </c>
      <c r="D4954" s="3" t="n">
        <v>8</v>
      </c>
      <c r="E4954" s="3" t="n">
        <v>24</v>
      </c>
      <c r="F4954" s="24" t="n">
        <v>-0.00670984387</v>
      </c>
    </row>
    <row r="4955" customFormat="false" ht="15" hidden="false" customHeight="false" outlineLevel="0" collapsed="false">
      <c r="A4955" s="3" t="n">
        <v>4954</v>
      </c>
      <c r="B4955" s="3" t="n">
        <v>4953</v>
      </c>
      <c r="C4955" s="3" t="n">
        <v>6</v>
      </c>
      <c r="D4955" s="3" t="n">
        <v>8</v>
      </c>
      <c r="E4955" s="3" t="n">
        <v>25</v>
      </c>
      <c r="F4955" s="24" t="n">
        <v>-0.00670984387</v>
      </c>
    </row>
    <row r="4956" customFormat="false" ht="15" hidden="false" customHeight="false" outlineLevel="0" collapsed="false">
      <c r="A4956" s="3" t="n">
        <v>4955</v>
      </c>
      <c r="B4956" s="3" t="n">
        <v>4954</v>
      </c>
      <c r="C4956" s="3" t="n">
        <v>6</v>
      </c>
      <c r="D4956" s="3" t="n">
        <v>8</v>
      </c>
      <c r="E4956" s="3" t="n">
        <v>26</v>
      </c>
      <c r="F4956" s="24" t="n">
        <v>-0.00670984387</v>
      </c>
    </row>
    <row r="4957" customFormat="false" ht="15" hidden="false" customHeight="false" outlineLevel="0" collapsed="false">
      <c r="A4957" s="3" t="n">
        <v>4956</v>
      </c>
      <c r="B4957" s="3" t="n">
        <v>4955</v>
      </c>
      <c r="C4957" s="3" t="n">
        <v>6</v>
      </c>
      <c r="D4957" s="3" t="n">
        <v>8</v>
      </c>
      <c r="E4957" s="3" t="n">
        <v>27</v>
      </c>
      <c r="F4957" s="24" t="n">
        <v>-0.0790599883</v>
      </c>
    </row>
    <row r="4958" customFormat="false" ht="15" hidden="false" customHeight="false" outlineLevel="0" collapsed="false">
      <c r="A4958" s="3" t="n">
        <v>4957</v>
      </c>
      <c r="B4958" s="3" t="n">
        <v>4956</v>
      </c>
      <c r="C4958" s="3" t="n">
        <v>6</v>
      </c>
      <c r="D4958" s="3" t="n">
        <v>9</v>
      </c>
      <c r="E4958" s="3" t="n">
        <v>0</v>
      </c>
      <c r="F4958" s="24" t="n">
        <v>0.185572863</v>
      </c>
    </row>
    <row r="4959" customFormat="false" ht="15" hidden="false" customHeight="false" outlineLevel="0" collapsed="false">
      <c r="A4959" s="3" t="n">
        <v>4958</v>
      </c>
      <c r="B4959" s="3" t="n">
        <v>4957</v>
      </c>
      <c r="C4959" s="3" t="n">
        <v>6</v>
      </c>
      <c r="D4959" s="3" t="n">
        <v>9</v>
      </c>
      <c r="E4959" s="3" t="n">
        <v>1</v>
      </c>
      <c r="F4959" s="24" t="n">
        <v>-0.00670984387</v>
      </c>
    </row>
    <row r="4960" customFormat="false" ht="15" hidden="false" customHeight="false" outlineLevel="0" collapsed="false">
      <c r="A4960" s="3" t="n">
        <v>4959</v>
      </c>
      <c r="B4960" s="3" t="n">
        <v>4958</v>
      </c>
      <c r="C4960" s="3" t="n">
        <v>6</v>
      </c>
      <c r="D4960" s="3" t="n">
        <v>9</v>
      </c>
      <c r="E4960" s="3" t="n">
        <v>2</v>
      </c>
      <c r="F4960" s="24" t="n">
        <v>-0.00670984387</v>
      </c>
    </row>
    <row r="4961" customFormat="false" ht="15" hidden="false" customHeight="false" outlineLevel="0" collapsed="false">
      <c r="A4961" s="3" t="n">
        <v>4960</v>
      </c>
      <c r="B4961" s="3" t="n">
        <v>4959</v>
      </c>
      <c r="C4961" s="3" t="n">
        <v>6</v>
      </c>
      <c r="D4961" s="3" t="n">
        <v>9</v>
      </c>
      <c r="E4961" s="3" t="n">
        <v>3</v>
      </c>
      <c r="F4961" s="24" t="n">
        <v>-0.00670984387</v>
      </c>
    </row>
    <row r="4962" customFormat="false" ht="15" hidden="false" customHeight="false" outlineLevel="0" collapsed="false">
      <c r="A4962" s="3" t="n">
        <v>4961</v>
      </c>
      <c r="B4962" s="3" t="n">
        <v>4960</v>
      </c>
      <c r="C4962" s="3" t="n">
        <v>6</v>
      </c>
      <c r="D4962" s="3" t="n">
        <v>9</v>
      </c>
      <c r="E4962" s="3" t="n">
        <v>4</v>
      </c>
      <c r="F4962" s="24" t="n">
        <v>-0.00670984387</v>
      </c>
    </row>
    <row r="4963" customFormat="false" ht="15" hidden="false" customHeight="false" outlineLevel="0" collapsed="false">
      <c r="A4963" s="3" t="n">
        <v>4962</v>
      </c>
      <c r="B4963" s="3" t="n">
        <v>4961</v>
      </c>
      <c r="C4963" s="3" t="n">
        <v>6</v>
      </c>
      <c r="D4963" s="3" t="n">
        <v>9</v>
      </c>
      <c r="E4963" s="3" t="n">
        <v>5</v>
      </c>
      <c r="F4963" s="24" t="n">
        <v>0.556763113</v>
      </c>
    </row>
    <row r="4964" customFormat="false" ht="15" hidden="false" customHeight="false" outlineLevel="0" collapsed="false">
      <c r="A4964" s="3" t="n">
        <v>4963</v>
      </c>
      <c r="B4964" s="3" t="n">
        <v>4962</v>
      </c>
      <c r="C4964" s="3" t="n">
        <v>6</v>
      </c>
      <c r="D4964" s="3" t="n">
        <v>9</v>
      </c>
      <c r="E4964" s="3" t="n">
        <v>6</v>
      </c>
      <c r="F4964" s="24" t="n">
        <v>1.59174788</v>
      </c>
    </row>
    <row r="4965" customFormat="false" ht="15" hidden="false" customHeight="false" outlineLevel="0" collapsed="false">
      <c r="A4965" s="3" t="n">
        <v>4964</v>
      </c>
      <c r="B4965" s="3" t="n">
        <v>4963</v>
      </c>
      <c r="C4965" s="3" t="n">
        <v>6</v>
      </c>
      <c r="D4965" s="3" t="n">
        <v>9</v>
      </c>
      <c r="E4965" s="3" t="n">
        <v>7</v>
      </c>
      <c r="F4965" s="24" t="n">
        <v>2.51390791</v>
      </c>
    </row>
    <row r="4966" customFormat="false" ht="15" hidden="false" customHeight="false" outlineLevel="0" collapsed="false">
      <c r="A4966" s="3" t="n">
        <v>4965</v>
      </c>
      <c r="B4966" s="3" t="n">
        <v>4964</v>
      </c>
      <c r="C4966" s="3" t="n">
        <v>6</v>
      </c>
      <c r="D4966" s="3" t="n">
        <v>9</v>
      </c>
      <c r="E4966" s="3" t="n">
        <v>8</v>
      </c>
      <c r="F4966" s="24" t="n">
        <v>2.30641294</v>
      </c>
    </row>
    <row r="4967" customFormat="false" ht="15" hidden="false" customHeight="false" outlineLevel="0" collapsed="false">
      <c r="A4967" s="3" t="n">
        <v>4966</v>
      </c>
      <c r="B4967" s="3" t="n">
        <v>4965</v>
      </c>
      <c r="C4967" s="3" t="n">
        <v>6</v>
      </c>
      <c r="D4967" s="3" t="n">
        <v>9</v>
      </c>
      <c r="E4967" s="3" t="n">
        <v>9</v>
      </c>
      <c r="F4967" s="24" t="n">
        <v>2.23286366</v>
      </c>
    </row>
    <row r="4968" customFormat="false" ht="15" hidden="false" customHeight="false" outlineLevel="0" collapsed="false">
      <c r="A4968" s="3" t="n">
        <v>4967</v>
      </c>
      <c r="B4968" s="3" t="n">
        <v>4966</v>
      </c>
      <c r="C4968" s="3" t="n">
        <v>6</v>
      </c>
      <c r="D4968" s="3" t="n">
        <v>9</v>
      </c>
      <c r="E4968" s="3" t="n">
        <v>10</v>
      </c>
      <c r="F4968" s="24" t="n">
        <v>2.32053328</v>
      </c>
    </row>
    <row r="4969" customFormat="false" ht="15" hidden="false" customHeight="false" outlineLevel="0" collapsed="false">
      <c r="A4969" s="3" t="n">
        <v>4968</v>
      </c>
      <c r="B4969" s="3" t="n">
        <v>4967</v>
      </c>
      <c r="C4969" s="3" t="n">
        <v>6</v>
      </c>
      <c r="D4969" s="3" t="n">
        <v>9</v>
      </c>
      <c r="E4969" s="3" t="n">
        <v>11</v>
      </c>
      <c r="F4969" s="24" t="n">
        <v>2.37201118</v>
      </c>
    </row>
    <row r="4970" customFormat="false" ht="15" hidden="false" customHeight="false" outlineLevel="0" collapsed="false">
      <c r="A4970" s="3" t="n">
        <v>4969</v>
      </c>
      <c r="B4970" s="3" t="n">
        <v>4968</v>
      </c>
      <c r="C4970" s="3" t="n">
        <v>6</v>
      </c>
      <c r="D4970" s="3" t="n">
        <v>9</v>
      </c>
      <c r="E4970" s="3" t="n">
        <v>12</v>
      </c>
      <c r="F4970" s="24" t="n">
        <v>2.66839337</v>
      </c>
    </row>
    <row r="4971" customFormat="false" ht="15" hidden="false" customHeight="false" outlineLevel="0" collapsed="false">
      <c r="A4971" s="3" t="n">
        <v>4970</v>
      </c>
      <c r="B4971" s="3" t="n">
        <v>4969</v>
      </c>
      <c r="C4971" s="3" t="n">
        <v>6</v>
      </c>
      <c r="D4971" s="3" t="n">
        <v>9</v>
      </c>
      <c r="E4971" s="3" t="n">
        <v>13</v>
      </c>
      <c r="F4971" s="24" t="n">
        <v>2.57707953</v>
      </c>
    </row>
    <row r="4972" customFormat="false" ht="15" hidden="false" customHeight="false" outlineLevel="0" collapsed="false">
      <c r="A4972" s="3" t="n">
        <v>4971</v>
      </c>
      <c r="B4972" s="3" t="n">
        <v>4970</v>
      </c>
      <c r="C4972" s="3" t="n">
        <v>6</v>
      </c>
      <c r="D4972" s="3" t="n">
        <v>9</v>
      </c>
      <c r="E4972" s="3" t="n">
        <v>14</v>
      </c>
      <c r="F4972" s="24" t="n">
        <v>2.39401865</v>
      </c>
    </row>
    <row r="4973" customFormat="false" ht="15" hidden="false" customHeight="false" outlineLevel="0" collapsed="false">
      <c r="A4973" s="3" t="n">
        <v>4972</v>
      </c>
      <c r="B4973" s="3" t="n">
        <v>4971</v>
      </c>
      <c r="C4973" s="3" t="n">
        <v>6</v>
      </c>
      <c r="D4973" s="3" t="n">
        <v>9</v>
      </c>
      <c r="E4973" s="3" t="n">
        <v>15</v>
      </c>
      <c r="F4973" s="24" t="n">
        <v>2.57734203</v>
      </c>
    </row>
    <row r="4974" customFormat="false" ht="15" hidden="false" customHeight="false" outlineLevel="0" collapsed="false">
      <c r="A4974" s="3" t="n">
        <v>4973</v>
      </c>
      <c r="B4974" s="3" t="n">
        <v>4972</v>
      </c>
      <c r="C4974" s="3" t="n">
        <v>6</v>
      </c>
      <c r="D4974" s="3" t="n">
        <v>9</v>
      </c>
      <c r="E4974" s="3" t="n">
        <v>16</v>
      </c>
      <c r="F4974" s="24" t="n">
        <v>2.6093421</v>
      </c>
    </row>
    <row r="4975" customFormat="false" ht="15" hidden="false" customHeight="false" outlineLevel="0" collapsed="false">
      <c r="A4975" s="3" t="n">
        <v>4974</v>
      </c>
      <c r="B4975" s="3" t="n">
        <v>4973</v>
      </c>
      <c r="C4975" s="3" t="n">
        <v>6</v>
      </c>
      <c r="D4975" s="3" t="n">
        <v>9</v>
      </c>
      <c r="E4975" s="3" t="n">
        <v>17</v>
      </c>
      <c r="F4975" s="24" t="n">
        <v>2.77080894</v>
      </c>
    </row>
    <row r="4976" customFormat="false" ht="15" hidden="false" customHeight="false" outlineLevel="0" collapsed="false">
      <c r="A4976" s="3" t="n">
        <v>4975</v>
      </c>
      <c r="B4976" s="3" t="n">
        <v>4974</v>
      </c>
      <c r="C4976" s="3" t="n">
        <v>6</v>
      </c>
      <c r="D4976" s="3" t="n">
        <v>9</v>
      </c>
      <c r="E4976" s="3" t="n">
        <v>18</v>
      </c>
      <c r="F4976" s="24" t="n">
        <v>2.17933488</v>
      </c>
    </row>
    <row r="4977" customFormat="false" ht="15" hidden="false" customHeight="false" outlineLevel="0" collapsed="false">
      <c r="A4977" s="3" t="n">
        <v>4976</v>
      </c>
      <c r="B4977" s="3" t="n">
        <v>4975</v>
      </c>
      <c r="C4977" s="3" t="n">
        <v>6</v>
      </c>
      <c r="D4977" s="3" t="n">
        <v>9</v>
      </c>
      <c r="E4977" s="3" t="n">
        <v>19</v>
      </c>
      <c r="F4977" s="24" t="n">
        <v>1.38804948</v>
      </c>
    </row>
    <row r="4978" customFormat="false" ht="15" hidden="false" customHeight="false" outlineLevel="0" collapsed="false">
      <c r="A4978" s="3" t="n">
        <v>4977</v>
      </c>
      <c r="B4978" s="3" t="n">
        <v>4976</v>
      </c>
      <c r="C4978" s="3" t="n">
        <v>6</v>
      </c>
      <c r="D4978" s="3" t="n">
        <v>9</v>
      </c>
      <c r="E4978" s="3" t="n">
        <v>20</v>
      </c>
      <c r="F4978" s="24" t="n">
        <v>2.00689149</v>
      </c>
    </row>
    <row r="4979" customFormat="false" ht="15" hidden="false" customHeight="false" outlineLevel="0" collapsed="false">
      <c r="A4979" s="3" t="n">
        <v>4978</v>
      </c>
      <c r="B4979" s="3" t="n">
        <v>4977</v>
      </c>
      <c r="C4979" s="3" t="n">
        <v>6</v>
      </c>
      <c r="D4979" s="3" t="n">
        <v>9</v>
      </c>
      <c r="E4979" s="3" t="n">
        <v>21</v>
      </c>
      <c r="F4979" s="24" t="n">
        <v>2.00089478</v>
      </c>
    </row>
    <row r="4980" customFormat="false" ht="15" hidden="false" customHeight="false" outlineLevel="0" collapsed="false">
      <c r="A4980" s="3" t="n">
        <v>4979</v>
      </c>
      <c r="B4980" s="3" t="n">
        <v>4978</v>
      </c>
      <c r="C4980" s="3" t="n">
        <v>6</v>
      </c>
      <c r="D4980" s="3" t="n">
        <v>9</v>
      </c>
      <c r="E4980" s="3" t="n">
        <v>22</v>
      </c>
      <c r="F4980" s="24" t="n">
        <v>0.661567271</v>
      </c>
    </row>
    <row r="4981" customFormat="false" ht="15" hidden="false" customHeight="false" outlineLevel="0" collapsed="false">
      <c r="A4981" s="3" t="n">
        <v>4980</v>
      </c>
      <c r="B4981" s="3" t="n">
        <v>4979</v>
      </c>
      <c r="C4981" s="3" t="n">
        <v>6</v>
      </c>
      <c r="D4981" s="3" t="n">
        <v>9</v>
      </c>
      <c r="E4981" s="3" t="n">
        <v>23</v>
      </c>
      <c r="F4981" s="24" t="n">
        <v>-0.00670984387</v>
      </c>
    </row>
    <row r="4982" customFormat="false" ht="15" hidden="false" customHeight="false" outlineLevel="0" collapsed="false">
      <c r="A4982" s="3" t="n">
        <v>4981</v>
      </c>
      <c r="B4982" s="3" t="n">
        <v>4980</v>
      </c>
      <c r="C4982" s="3" t="n">
        <v>6</v>
      </c>
      <c r="D4982" s="3" t="n">
        <v>9</v>
      </c>
      <c r="E4982" s="3" t="n">
        <v>24</v>
      </c>
      <c r="F4982" s="24" t="n">
        <v>-0.00670984387</v>
      </c>
    </row>
    <row r="4983" customFormat="false" ht="15" hidden="false" customHeight="false" outlineLevel="0" collapsed="false">
      <c r="A4983" s="3" t="n">
        <v>4982</v>
      </c>
      <c r="B4983" s="3" t="n">
        <v>4981</v>
      </c>
      <c r="C4983" s="3" t="n">
        <v>6</v>
      </c>
      <c r="D4983" s="3" t="n">
        <v>9</v>
      </c>
      <c r="E4983" s="3" t="n">
        <v>25</v>
      </c>
      <c r="F4983" s="24" t="n">
        <v>-0.00670984387</v>
      </c>
    </row>
    <row r="4984" customFormat="false" ht="15" hidden="false" customHeight="false" outlineLevel="0" collapsed="false">
      <c r="A4984" s="3" t="n">
        <v>4983</v>
      </c>
      <c r="B4984" s="3" t="n">
        <v>4982</v>
      </c>
      <c r="C4984" s="3" t="n">
        <v>6</v>
      </c>
      <c r="D4984" s="3" t="n">
        <v>9</v>
      </c>
      <c r="E4984" s="3" t="n">
        <v>26</v>
      </c>
      <c r="F4984" s="24" t="n">
        <v>-0.00670984387</v>
      </c>
    </row>
    <row r="4985" customFormat="false" ht="15" hidden="false" customHeight="false" outlineLevel="0" collapsed="false">
      <c r="A4985" s="3" t="n">
        <v>4984</v>
      </c>
      <c r="B4985" s="3" t="n">
        <v>4983</v>
      </c>
      <c r="C4985" s="3" t="n">
        <v>6</v>
      </c>
      <c r="D4985" s="3" t="n">
        <v>9</v>
      </c>
      <c r="E4985" s="3" t="n">
        <v>27</v>
      </c>
      <c r="F4985" s="24" t="n">
        <v>-0.0790599883</v>
      </c>
    </row>
    <row r="4986" customFormat="false" ht="15" hidden="false" customHeight="false" outlineLevel="0" collapsed="false">
      <c r="A4986" s="3" t="n">
        <v>4985</v>
      </c>
      <c r="B4986" s="3" t="n">
        <v>4984</v>
      </c>
      <c r="C4986" s="3" t="n">
        <v>6</v>
      </c>
      <c r="D4986" s="3" t="n">
        <v>10</v>
      </c>
      <c r="E4986" s="3" t="n">
        <v>0</v>
      </c>
      <c r="F4986" s="24" t="n">
        <v>0.185572863</v>
      </c>
    </row>
    <row r="4987" customFormat="false" ht="15" hidden="false" customHeight="false" outlineLevel="0" collapsed="false">
      <c r="A4987" s="3" t="n">
        <v>4986</v>
      </c>
      <c r="B4987" s="3" t="n">
        <v>4985</v>
      </c>
      <c r="C4987" s="3" t="n">
        <v>6</v>
      </c>
      <c r="D4987" s="3" t="n">
        <v>10</v>
      </c>
      <c r="E4987" s="3" t="n">
        <v>1</v>
      </c>
      <c r="F4987" s="24" t="n">
        <v>-0.00670984387</v>
      </c>
    </row>
    <row r="4988" customFormat="false" ht="15" hidden="false" customHeight="false" outlineLevel="0" collapsed="false">
      <c r="A4988" s="3" t="n">
        <v>4987</v>
      </c>
      <c r="B4988" s="3" t="n">
        <v>4986</v>
      </c>
      <c r="C4988" s="3" t="n">
        <v>6</v>
      </c>
      <c r="D4988" s="3" t="n">
        <v>10</v>
      </c>
      <c r="E4988" s="3" t="n">
        <v>2</v>
      </c>
      <c r="F4988" s="24" t="n">
        <v>-0.00670984387</v>
      </c>
    </row>
    <row r="4989" customFormat="false" ht="15" hidden="false" customHeight="false" outlineLevel="0" collapsed="false">
      <c r="A4989" s="3" t="n">
        <v>4988</v>
      </c>
      <c r="B4989" s="3" t="n">
        <v>4987</v>
      </c>
      <c r="C4989" s="3" t="n">
        <v>6</v>
      </c>
      <c r="D4989" s="3" t="n">
        <v>10</v>
      </c>
      <c r="E4989" s="3" t="n">
        <v>3</v>
      </c>
      <c r="F4989" s="24" t="n">
        <v>-0.00670984387</v>
      </c>
    </row>
    <row r="4990" customFormat="false" ht="15" hidden="false" customHeight="false" outlineLevel="0" collapsed="false">
      <c r="A4990" s="3" t="n">
        <v>4989</v>
      </c>
      <c r="B4990" s="3" t="n">
        <v>4988</v>
      </c>
      <c r="C4990" s="3" t="n">
        <v>6</v>
      </c>
      <c r="D4990" s="3" t="n">
        <v>10</v>
      </c>
      <c r="E4990" s="3" t="n">
        <v>4</v>
      </c>
      <c r="F4990" s="24" t="n">
        <v>-0.00670984387</v>
      </c>
    </row>
    <row r="4991" customFormat="false" ht="15" hidden="false" customHeight="false" outlineLevel="0" collapsed="false">
      <c r="A4991" s="3" t="n">
        <v>4990</v>
      </c>
      <c r="B4991" s="3" t="n">
        <v>4989</v>
      </c>
      <c r="C4991" s="3" t="n">
        <v>6</v>
      </c>
      <c r="D4991" s="3" t="n">
        <v>10</v>
      </c>
      <c r="E4991" s="3" t="n">
        <v>5</v>
      </c>
      <c r="F4991" s="24" t="n">
        <v>0.235677361</v>
      </c>
    </row>
    <row r="4992" customFormat="false" ht="15" hidden="false" customHeight="false" outlineLevel="0" collapsed="false">
      <c r="A4992" s="3" t="n">
        <v>4991</v>
      </c>
      <c r="B4992" s="3" t="n">
        <v>4990</v>
      </c>
      <c r="C4992" s="3" t="n">
        <v>6</v>
      </c>
      <c r="D4992" s="3" t="n">
        <v>10</v>
      </c>
      <c r="E4992" s="3" t="n">
        <v>6</v>
      </c>
      <c r="F4992" s="24" t="n">
        <v>0.622112215</v>
      </c>
    </row>
    <row r="4993" customFormat="false" ht="15" hidden="false" customHeight="false" outlineLevel="0" collapsed="false">
      <c r="A4993" s="3" t="n">
        <v>4992</v>
      </c>
      <c r="B4993" s="3" t="n">
        <v>4991</v>
      </c>
      <c r="C4993" s="3" t="n">
        <v>6</v>
      </c>
      <c r="D4993" s="3" t="n">
        <v>10</v>
      </c>
      <c r="E4993" s="3" t="n">
        <v>7</v>
      </c>
      <c r="F4993" s="24" t="n">
        <v>0.682566643</v>
      </c>
    </row>
    <row r="4994" customFormat="false" ht="15" hidden="false" customHeight="false" outlineLevel="0" collapsed="false">
      <c r="A4994" s="3" t="n">
        <v>4993</v>
      </c>
      <c r="B4994" s="3" t="n">
        <v>4992</v>
      </c>
      <c r="C4994" s="3" t="n">
        <v>6</v>
      </c>
      <c r="D4994" s="3" t="n">
        <v>10</v>
      </c>
      <c r="E4994" s="3" t="n">
        <v>8</v>
      </c>
      <c r="F4994" s="24" t="n">
        <v>0.741362274</v>
      </c>
    </row>
    <row r="4995" customFormat="false" ht="15" hidden="false" customHeight="false" outlineLevel="0" collapsed="false">
      <c r="A4995" s="3" t="n">
        <v>4994</v>
      </c>
      <c r="B4995" s="3" t="n">
        <v>4993</v>
      </c>
      <c r="C4995" s="3" t="n">
        <v>6</v>
      </c>
      <c r="D4995" s="3" t="n">
        <v>10</v>
      </c>
      <c r="E4995" s="3" t="n">
        <v>9</v>
      </c>
      <c r="F4995" s="24" t="n">
        <v>1.01630116</v>
      </c>
    </row>
    <row r="4996" customFormat="false" ht="15" hidden="false" customHeight="false" outlineLevel="0" collapsed="false">
      <c r="A4996" s="3" t="n">
        <v>4995</v>
      </c>
      <c r="B4996" s="3" t="n">
        <v>4994</v>
      </c>
      <c r="C4996" s="3" t="n">
        <v>6</v>
      </c>
      <c r="D4996" s="3" t="n">
        <v>10</v>
      </c>
      <c r="E4996" s="3" t="n">
        <v>10</v>
      </c>
      <c r="F4996" s="24" t="n">
        <v>1.38327444</v>
      </c>
    </row>
    <row r="4997" customFormat="false" ht="15" hidden="false" customHeight="false" outlineLevel="0" collapsed="false">
      <c r="A4997" s="3" t="n">
        <v>4996</v>
      </c>
      <c r="B4997" s="3" t="n">
        <v>4995</v>
      </c>
      <c r="C4997" s="3" t="n">
        <v>6</v>
      </c>
      <c r="D4997" s="3" t="n">
        <v>10</v>
      </c>
      <c r="E4997" s="3" t="n">
        <v>11</v>
      </c>
      <c r="F4997" s="24" t="n">
        <v>1.65066397</v>
      </c>
    </row>
    <row r="4998" customFormat="false" ht="15" hidden="false" customHeight="false" outlineLevel="0" collapsed="false">
      <c r="A4998" s="3" t="n">
        <v>4997</v>
      </c>
      <c r="B4998" s="3" t="n">
        <v>4996</v>
      </c>
      <c r="C4998" s="3" t="n">
        <v>6</v>
      </c>
      <c r="D4998" s="3" t="n">
        <v>10</v>
      </c>
      <c r="E4998" s="3" t="n">
        <v>12</v>
      </c>
      <c r="F4998" s="24" t="n">
        <v>2.20044613</v>
      </c>
    </row>
    <row r="4999" customFormat="false" ht="15" hidden="false" customHeight="false" outlineLevel="0" collapsed="false">
      <c r="A4999" s="3" t="n">
        <v>4998</v>
      </c>
      <c r="B4999" s="3" t="n">
        <v>4997</v>
      </c>
      <c r="C4999" s="3" t="n">
        <v>6</v>
      </c>
      <c r="D4999" s="3" t="n">
        <v>10</v>
      </c>
      <c r="E4999" s="3" t="n">
        <v>13</v>
      </c>
      <c r="F4999" s="24" t="n">
        <v>1.91126943</v>
      </c>
    </row>
    <row r="5000" customFormat="false" ht="15" hidden="false" customHeight="false" outlineLevel="0" collapsed="false">
      <c r="A5000" s="3" t="n">
        <v>4999</v>
      </c>
      <c r="B5000" s="3" t="n">
        <v>4998</v>
      </c>
      <c r="C5000" s="3" t="n">
        <v>6</v>
      </c>
      <c r="D5000" s="3" t="n">
        <v>10</v>
      </c>
      <c r="E5000" s="3" t="n">
        <v>14</v>
      </c>
      <c r="F5000" s="24" t="n">
        <v>2.11018109</v>
      </c>
    </row>
    <row r="5001" customFormat="false" ht="15" hidden="false" customHeight="false" outlineLevel="0" collapsed="false">
      <c r="A5001" s="3" t="n">
        <v>5000</v>
      </c>
      <c r="B5001" s="3" t="n">
        <v>4999</v>
      </c>
      <c r="C5001" s="3" t="n">
        <v>6</v>
      </c>
      <c r="D5001" s="3" t="n">
        <v>10</v>
      </c>
      <c r="E5001" s="3" t="n">
        <v>15</v>
      </c>
      <c r="F5001" s="24" t="n">
        <v>2.30096817</v>
      </c>
    </row>
    <row r="5002" customFormat="false" ht="15" hidden="false" customHeight="false" outlineLevel="0" collapsed="false">
      <c r="A5002" s="3" t="n">
        <v>5001</v>
      </c>
      <c r="B5002" s="3" t="n">
        <v>5000</v>
      </c>
      <c r="C5002" s="3" t="n">
        <v>6</v>
      </c>
      <c r="D5002" s="3" t="n">
        <v>10</v>
      </c>
      <c r="E5002" s="3" t="n">
        <v>16</v>
      </c>
      <c r="F5002" s="24" t="n">
        <v>2.31511331</v>
      </c>
    </row>
    <row r="5003" customFormat="false" ht="15" hidden="false" customHeight="false" outlineLevel="0" collapsed="false">
      <c r="A5003" s="3" t="n">
        <v>5002</v>
      </c>
      <c r="B5003" s="3" t="n">
        <v>5001</v>
      </c>
      <c r="C5003" s="3" t="n">
        <v>6</v>
      </c>
      <c r="D5003" s="3" t="n">
        <v>10</v>
      </c>
      <c r="E5003" s="3" t="n">
        <v>17</v>
      </c>
      <c r="F5003" s="24" t="n">
        <v>2.13437772</v>
      </c>
    </row>
    <row r="5004" customFormat="false" ht="15" hidden="false" customHeight="false" outlineLevel="0" collapsed="false">
      <c r="A5004" s="3" t="n">
        <v>5003</v>
      </c>
      <c r="B5004" s="3" t="n">
        <v>5002</v>
      </c>
      <c r="C5004" s="3" t="n">
        <v>6</v>
      </c>
      <c r="D5004" s="3" t="n">
        <v>10</v>
      </c>
      <c r="E5004" s="3" t="n">
        <v>18</v>
      </c>
      <c r="F5004" s="24" t="n">
        <v>0.520144284</v>
      </c>
    </row>
    <row r="5005" customFormat="false" ht="15" hidden="false" customHeight="false" outlineLevel="0" collapsed="false">
      <c r="A5005" s="3" t="n">
        <v>5004</v>
      </c>
      <c r="B5005" s="3" t="n">
        <v>5003</v>
      </c>
      <c r="C5005" s="3" t="n">
        <v>6</v>
      </c>
      <c r="D5005" s="3" t="n">
        <v>10</v>
      </c>
      <c r="E5005" s="3" t="n">
        <v>19</v>
      </c>
      <c r="F5005" s="24" t="n">
        <v>1.31229246</v>
      </c>
    </row>
    <row r="5006" customFormat="false" ht="15" hidden="false" customHeight="false" outlineLevel="0" collapsed="false">
      <c r="A5006" s="3" t="n">
        <v>5005</v>
      </c>
      <c r="B5006" s="3" t="n">
        <v>5004</v>
      </c>
      <c r="C5006" s="3" t="n">
        <v>6</v>
      </c>
      <c r="D5006" s="3" t="n">
        <v>10</v>
      </c>
      <c r="E5006" s="3" t="n">
        <v>20</v>
      </c>
      <c r="F5006" s="24" t="n">
        <v>3.07483029</v>
      </c>
    </row>
    <row r="5007" customFormat="false" ht="15" hidden="false" customHeight="false" outlineLevel="0" collapsed="false">
      <c r="A5007" s="3" t="n">
        <v>5006</v>
      </c>
      <c r="B5007" s="3" t="n">
        <v>5005</v>
      </c>
      <c r="C5007" s="3" t="n">
        <v>6</v>
      </c>
      <c r="D5007" s="3" t="n">
        <v>10</v>
      </c>
      <c r="E5007" s="3" t="n">
        <v>21</v>
      </c>
      <c r="F5007" s="24" t="n">
        <v>2.36258984</v>
      </c>
    </row>
    <row r="5008" customFormat="false" ht="15" hidden="false" customHeight="false" outlineLevel="0" collapsed="false">
      <c r="A5008" s="3" t="n">
        <v>5007</v>
      </c>
      <c r="B5008" s="3" t="n">
        <v>5006</v>
      </c>
      <c r="C5008" s="3" t="n">
        <v>6</v>
      </c>
      <c r="D5008" s="3" t="n">
        <v>10</v>
      </c>
      <c r="E5008" s="3" t="n">
        <v>22</v>
      </c>
      <c r="F5008" s="24" t="n">
        <v>0.480704665</v>
      </c>
    </row>
    <row r="5009" customFormat="false" ht="15" hidden="false" customHeight="false" outlineLevel="0" collapsed="false">
      <c r="A5009" s="3" t="n">
        <v>5008</v>
      </c>
      <c r="B5009" s="3" t="n">
        <v>5007</v>
      </c>
      <c r="C5009" s="3" t="n">
        <v>6</v>
      </c>
      <c r="D5009" s="3" t="n">
        <v>10</v>
      </c>
      <c r="E5009" s="3" t="n">
        <v>23</v>
      </c>
      <c r="F5009" s="24" t="n">
        <v>-0.00670984387</v>
      </c>
    </row>
    <row r="5010" customFormat="false" ht="15" hidden="false" customHeight="false" outlineLevel="0" collapsed="false">
      <c r="A5010" s="3" t="n">
        <v>5009</v>
      </c>
      <c r="B5010" s="3" t="n">
        <v>5008</v>
      </c>
      <c r="C5010" s="3" t="n">
        <v>6</v>
      </c>
      <c r="D5010" s="3" t="n">
        <v>10</v>
      </c>
      <c r="E5010" s="3" t="n">
        <v>24</v>
      </c>
      <c r="F5010" s="24" t="n">
        <v>-0.00670984387</v>
      </c>
    </row>
    <row r="5011" customFormat="false" ht="15" hidden="false" customHeight="false" outlineLevel="0" collapsed="false">
      <c r="A5011" s="3" t="n">
        <v>5010</v>
      </c>
      <c r="B5011" s="3" t="n">
        <v>5009</v>
      </c>
      <c r="C5011" s="3" t="n">
        <v>6</v>
      </c>
      <c r="D5011" s="3" t="n">
        <v>10</v>
      </c>
      <c r="E5011" s="3" t="n">
        <v>25</v>
      </c>
      <c r="F5011" s="24" t="n">
        <v>-0.00670984387</v>
      </c>
    </row>
    <row r="5012" customFormat="false" ht="15" hidden="false" customHeight="false" outlineLevel="0" collapsed="false">
      <c r="A5012" s="3" t="n">
        <v>5011</v>
      </c>
      <c r="B5012" s="3" t="n">
        <v>5010</v>
      </c>
      <c r="C5012" s="3" t="n">
        <v>6</v>
      </c>
      <c r="D5012" s="3" t="n">
        <v>10</v>
      </c>
      <c r="E5012" s="3" t="n">
        <v>26</v>
      </c>
      <c r="F5012" s="24" t="n">
        <v>-0.00670984387</v>
      </c>
    </row>
    <row r="5013" customFormat="false" ht="15" hidden="false" customHeight="false" outlineLevel="0" collapsed="false">
      <c r="A5013" s="3" t="n">
        <v>5012</v>
      </c>
      <c r="B5013" s="3" t="n">
        <v>5011</v>
      </c>
      <c r="C5013" s="3" t="n">
        <v>6</v>
      </c>
      <c r="D5013" s="3" t="n">
        <v>10</v>
      </c>
      <c r="E5013" s="3" t="n">
        <v>27</v>
      </c>
      <c r="F5013" s="24" t="n">
        <v>-0.0790599883</v>
      </c>
    </row>
    <row r="5014" customFormat="false" ht="15" hidden="false" customHeight="false" outlineLevel="0" collapsed="false">
      <c r="A5014" s="3" t="n">
        <v>5013</v>
      </c>
      <c r="B5014" s="3" t="n">
        <v>5012</v>
      </c>
      <c r="C5014" s="3" t="n">
        <v>6</v>
      </c>
      <c r="D5014" s="3" t="n">
        <v>11</v>
      </c>
      <c r="E5014" s="3" t="n">
        <v>0</v>
      </c>
      <c r="F5014" s="24" t="n">
        <v>0.185572863</v>
      </c>
    </row>
    <row r="5015" customFormat="false" ht="15" hidden="false" customHeight="false" outlineLevel="0" collapsed="false">
      <c r="A5015" s="3" t="n">
        <v>5014</v>
      </c>
      <c r="B5015" s="3" t="n">
        <v>5013</v>
      </c>
      <c r="C5015" s="3" t="n">
        <v>6</v>
      </c>
      <c r="D5015" s="3" t="n">
        <v>11</v>
      </c>
      <c r="E5015" s="3" t="n">
        <v>1</v>
      </c>
      <c r="F5015" s="24" t="n">
        <v>-0.00670984387</v>
      </c>
    </row>
    <row r="5016" customFormat="false" ht="15" hidden="false" customHeight="false" outlineLevel="0" collapsed="false">
      <c r="A5016" s="3" t="n">
        <v>5015</v>
      </c>
      <c r="B5016" s="3" t="n">
        <v>5014</v>
      </c>
      <c r="C5016" s="3" t="n">
        <v>6</v>
      </c>
      <c r="D5016" s="3" t="n">
        <v>11</v>
      </c>
      <c r="E5016" s="3" t="n">
        <v>2</v>
      </c>
      <c r="F5016" s="24" t="n">
        <v>-0.00670984387</v>
      </c>
    </row>
    <row r="5017" customFormat="false" ht="15" hidden="false" customHeight="false" outlineLevel="0" collapsed="false">
      <c r="A5017" s="3" t="n">
        <v>5016</v>
      </c>
      <c r="B5017" s="3" t="n">
        <v>5015</v>
      </c>
      <c r="C5017" s="3" t="n">
        <v>6</v>
      </c>
      <c r="D5017" s="3" t="n">
        <v>11</v>
      </c>
      <c r="E5017" s="3" t="n">
        <v>3</v>
      </c>
      <c r="F5017" s="24" t="n">
        <v>-0.00670984387</v>
      </c>
    </row>
    <row r="5018" customFormat="false" ht="15" hidden="false" customHeight="false" outlineLevel="0" collapsed="false">
      <c r="A5018" s="3" t="n">
        <v>5017</v>
      </c>
      <c r="B5018" s="3" t="n">
        <v>5016</v>
      </c>
      <c r="C5018" s="3" t="n">
        <v>6</v>
      </c>
      <c r="D5018" s="3" t="n">
        <v>11</v>
      </c>
      <c r="E5018" s="3" t="n">
        <v>4</v>
      </c>
      <c r="F5018" s="24" t="n">
        <v>-0.00670984387</v>
      </c>
    </row>
    <row r="5019" customFormat="false" ht="15" hidden="false" customHeight="false" outlineLevel="0" collapsed="false">
      <c r="A5019" s="3" t="n">
        <v>5018</v>
      </c>
      <c r="B5019" s="3" t="n">
        <v>5017</v>
      </c>
      <c r="C5019" s="3" t="n">
        <v>6</v>
      </c>
      <c r="D5019" s="3" t="n">
        <v>11</v>
      </c>
      <c r="E5019" s="3" t="n">
        <v>5</v>
      </c>
      <c r="F5019" s="24" t="n">
        <v>-0.00670984387</v>
      </c>
    </row>
    <row r="5020" customFormat="false" ht="15" hidden="false" customHeight="false" outlineLevel="0" collapsed="false">
      <c r="A5020" s="3" t="n">
        <v>5019</v>
      </c>
      <c r="B5020" s="3" t="n">
        <v>5018</v>
      </c>
      <c r="C5020" s="3" t="n">
        <v>6</v>
      </c>
      <c r="D5020" s="3" t="n">
        <v>11</v>
      </c>
      <c r="E5020" s="3" t="n">
        <v>6</v>
      </c>
      <c r="F5020" s="24" t="n">
        <v>-0.00670984387</v>
      </c>
    </row>
    <row r="5021" customFormat="false" ht="15" hidden="false" customHeight="false" outlineLevel="0" collapsed="false">
      <c r="A5021" s="3" t="n">
        <v>5020</v>
      </c>
      <c r="B5021" s="3" t="n">
        <v>5019</v>
      </c>
      <c r="C5021" s="3" t="n">
        <v>6</v>
      </c>
      <c r="D5021" s="3" t="n">
        <v>11</v>
      </c>
      <c r="E5021" s="3" t="n">
        <v>7</v>
      </c>
      <c r="F5021" s="24" t="n">
        <v>-0.00670984387</v>
      </c>
    </row>
    <row r="5022" customFormat="false" ht="15" hidden="false" customHeight="false" outlineLevel="0" collapsed="false">
      <c r="A5022" s="3" t="n">
        <v>5021</v>
      </c>
      <c r="B5022" s="3" t="n">
        <v>5020</v>
      </c>
      <c r="C5022" s="3" t="n">
        <v>6</v>
      </c>
      <c r="D5022" s="3" t="n">
        <v>11</v>
      </c>
      <c r="E5022" s="3" t="n">
        <v>8</v>
      </c>
      <c r="F5022" s="24" t="n">
        <v>-0.00670984387</v>
      </c>
    </row>
    <row r="5023" customFormat="false" ht="15" hidden="false" customHeight="false" outlineLevel="0" collapsed="false">
      <c r="A5023" s="3" t="n">
        <v>5022</v>
      </c>
      <c r="B5023" s="3" t="n">
        <v>5021</v>
      </c>
      <c r="C5023" s="3" t="n">
        <v>6</v>
      </c>
      <c r="D5023" s="3" t="n">
        <v>11</v>
      </c>
      <c r="E5023" s="3" t="n">
        <v>9</v>
      </c>
      <c r="F5023" s="24" t="n">
        <v>-0.00670984387</v>
      </c>
    </row>
    <row r="5024" customFormat="false" ht="15" hidden="false" customHeight="false" outlineLevel="0" collapsed="false">
      <c r="A5024" s="3" t="n">
        <v>5023</v>
      </c>
      <c r="B5024" s="3" t="n">
        <v>5022</v>
      </c>
      <c r="C5024" s="3" t="n">
        <v>6</v>
      </c>
      <c r="D5024" s="3" t="n">
        <v>11</v>
      </c>
      <c r="E5024" s="3" t="n">
        <v>10</v>
      </c>
      <c r="F5024" s="24" t="n">
        <v>0.0547913611</v>
      </c>
    </row>
    <row r="5025" customFormat="false" ht="15" hidden="false" customHeight="false" outlineLevel="0" collapsed="false">
      <c r="A5025" s="3" t="n">
        <v>5024</v>
      </c>
      <c r="B5025" s="3" t="n">
        <v>5023</v>
      </c>
      <c r="C5025" s="3" t="n">
        <v>6</v>
      </c>
      <c r="D5025" s="3" t="n">
        <v>11</v>
      </c>
      <c r="E5025" s="3" t="n">
        <v>11</v>
      </c>
      <c r="F5025" s="24" t="n">
        <v>0.286967635</v>
      </c>
    </row>
    <row r="5026" customFormat="false" ht="15" hidden="false" customHeight="false" outlineLevel="0" collapsed="false">
      <c r="A5026" s="3" t="n">
        <v>5025</v>
      </c>
      <c r="B5026" s="3" t="n">
        <v>5024</v>
      </c>
      <c r="C5026" s="3" t="n">
        <v>6</v>
      </c>
      <c r="D5026" s="3" t="n">
        <v>11</v>
      </c>
      <c r="E5026" s="3" t="n">
        <v>12</v>
      </c>
      <c r="F5026" s="24" t="n">
        <v>0.272485077</v>
      </c>
    </row>
    <row r="5027" customFormat="false" ht="15" hidden="false" customHeight="false" outlineLevel="0" collapsed="false">
      <c r="A5027" s="3" t="n">
        <v>5026</v>
      </c>
      <c r="B5027" s="3" t="n">
        <v>5025</v>
      </c>
      <c r="C5027" s="3" t="n">
        <v>6</v>
      </c>
      <c r="D5027" s="3" t="n">
        <v>11</v>
      </c>
      <c r="E5027" s="3" t="n">
        <v>13</v>
      </c>
      <c r="F5027" s="24" t="n">
        <v>0.34058553</v>
      </c>
    </row>
    <row r="5028" customFormat="false" ht="15" hidden="false" customHeight="false" outlineLevel="0" collapsed="false">
      <c r="A5028" s="3" t="n">
        <v>5027</v>
      </c>
      <c r="B5028" s="3" t="n">
        <v>5026</v>
      </c>
      <c r="C5028" s="3" t="n">
        <v>6</v>
      </c>
      <c r="D5028" s="3" t="n">
        <v>11</v>
      </c>
      <c r="E5028" s="3" t="n">
        <v>14</v>
      </c>
      <c r="F5028" s="24" t="n">
        <v>0.464740932</v>
      </c>
    </row>
    <row r="5029" customFormat="false" ht="15" hidden="false" customHeight="false" outlineLevel="0" collapsed="false">
      <c r="A5029" s="3" t="n">
        <v>5028</v>
      </c>
      <c r="B5029" s="3" t="n">
        <v>5027</v>
      </c>
      <c r="C5029" s="3" t="n">
        <v>6</v>
      </c>
      <c r="D5029" s="3" t="n">
        <v>11</v>
      </c>
      <c r="E5029" s="3" t="n">
        <v>15</v>
      </c>
      <c r="F5029" s="24" t="n">
        <v>0.512673676</v>
      </c>
    </row>
    <row r="5030" customFormat="false" ht="15" hidden="false" customHeight="false" outlineLevel="0" collapsed="false">
      <c r="A5030" s="3" t="n">
        <v>5029</v>
      </c>
      <c r="B5030" s="3" t="n">
        <v>5028</v>
      </c>
      <c r="C5030" s="3" t="n">
        <v>6</v>
      </c>
      <c r="D5030" s="3" t="n">
        <v>11</v>
      </c>
      <c r="E5030" s="3" t="n">
        <v>16</v>
      </c>
      <c r="F5030" s="24" t="n">
        <v>0.435078651</v>
      </c>
    </row>
    <row r="5031" customFormat="false" ht="15" hidden="false" customHeight="false" outlineLevel="0" collapsed="false">
      <c r="A5031" s="3" t="n">
        <v>5030</v>
      </c>
      <c r="B5031" s="3" t="n">
        <v>5029</v>
      </c>
      <c r="C5031" s="3" t="n">
        <v>6</v>
      </c>
      <c r="D5031" s="3" t="n">
        <v>11</v>
      </c>
      <c r="E5031" s="3" t="n">
        <v>17</v>
      </c>
      <c r="F5031" s="24" t="n">
        <v>-0.558909416</v>
      </c>
    </row>
    <row r="5032" customFormat="false" ht="15" hidden="false" customHeight="false" outlineLevel="0" collapsed="false">
      <c r="A5032" s="3" t="n">
        <v>5031</v>
      </c>
      <c r="B5032" s="3" t="n">
        <v>5030</v>
      </c>
      <c r="C5032" s="3" t="n">
        <v>6</v>
      </c>
      <c r="D5032" s="3" t="n">
        <v>11</v>
      </c>
      <c r="E5032" s="3" t="n">
        <v>18</v>
      </c>
      <c r="F5032" s="24" t="n">
        <v>-0.714424014</v>
      </c>
    </row>
    <row r="5033" customFormat="false" ht="15" hidden="false" customHeight="false" outlineLevel="0" collapsed="false">
      <c r="A5033" s="3" t="n">
        <v>5032</v>
      </c>
      <c r="B5033" s="3" t="n">
        <v>5031</v>
      </c>
      <c r="C5033" s="3" t="n">
        <v>6</v>
      </c>
      <c r="D5033" s="3" t="n">
        <v>11</v>
      </c>
      <c r="E5033" s="3" t="n">
        <v>19</v>
      </c>
      <c r="F5033" s="24" t="n">
        <v>2.05001879</v>
      </c>
    </row>
    <row r="5034" customFormat="false" ht="15" hidden="false" customHeight="false" outlineLevel="0" collapsed="false">
      <c r="A5034" s="3" t="n">
        <v>5033</v>
      </c>
      <c r="B5034" s="3" t="n">
        <v>5032</v>
      </c>
      <c r="C5034" s="3" t="n">
        <v>6</v>
      </c>
      <c r="D5034" s="3" t="n">
        <v>11</v>
      </c>
      <c r="E5034" s="3" t="n">
        <v>20</v>
      </c>
      <c r="F5034" s="24" t="n">
        <v>3.48233175</v>
      </c>
    </row>
    <row r="5035" customFormat="false" ht="15" hidden="false" customHeight="false" outlineLevel="0" collapsed="false">
      <c r="A5035" s="3" t="n">
        <v>5034</v>
      </c>
      <c r="B5035" s="3" t="n">
        <v>5033</v>
      </c>
      <c r="C5035" s="3" t="n">
        <v>6</v>
      </c>
      <c r="D5035" s="3" t="n">
        <v>11</v>
      </c>
      <c r="E5035" s="3" t="n">
        <v>21</v>
      </c>
      <c r="F5035" s="24" t="n">
        <v>1.45986378</v>
      </c>
    </row>
    <row r="5036" customFormat="false" ht="15" hidden="false" customHeight="false" outlineLevel="0" collapsed="false">
      <c r="A5036" s="3" t="n">
        <v>5035</v>
      </c>
      <c r="B5036" s="3" t="n">
        <v>5034</v>
      </c>
      <c r="C5036" s="3" t="n">
        <v>6</v>
      </c>
      <c r="D5036" s="3" t="n">
        <v>11</v>
      </c>
      <c r="E5036" s="3" t="n">
        <v>22</v>
      </c>
      <c r="F5036" s="24" t="n">
        <v>0.145043775</v>
      </c>
    </row>
    <row r="5037" customFormat="false" ht="15" hidden="false" customHeight="false" outlineLevel="0" collapsed="false">
      <c r="A5037" s="3" t="n">
        <v>5036</v>
      </c>
      <c r="B5037" s="3" t="n">
        <v>5035</v>
      </c>
      <c r="C5037" s="3" t="n">
        <v>6</v>
      </c>
      <c r="D5037" s="3" t="n">
        <v>11</v>
      </c>
      <c r="E5037" s="3" t="n">
        <v>23</v>
      </c>
      <c r="F5037" s="24" t="n">
        <v>-0.00670984387</v>
      </c>
    </row>
    <row r="5038" customFormat="false" ht="15" hidden="false" customHeight="false" outlineLevel="0" collapsed="false">
      <c r="A5038" s="3" t="n">
        <v>5037</v>
      </c>
      <c r="B5038" s="3" t="n">
        <v>5036</v>
      </c>
      <c r="C5038" s="3" t="n">
        <v>6</v>
      </c>
      <c r="D5038" s="3" t="n">
        <v>11</v>
      </c>
      <c r="E5038" s="3" t="n">
        <v>24</v>
      </c>
      <c r="F5038" s="24" t="n">
        <v>-0.00670984387</v>
      </c>
    </row>
    <row r="5039" customFormat="false" ht="15" hidden="false" customHeight="false" outlineLevel="0" collapsed="false">
      <c r="A5039" s="3" t="n">
        <v>5038</v>
      </c>
      <c r="B5039" s="3" t="n">
        <v>5037</v>
      </c>
      <c r="C5039" s="3" t="n">
        <v>6</v>
      </c>
      <c r="D5039" s="3" t="n">
        <v>11</v>
      </c>
      <c r="E5039" s="3" t="n">
        <v>25</v>
      </c>
      <c r="F5039" s="24" t="n">
        <v>-0.00670984387</v>
      </c>
    </row>
    <row r="5040" customFormat="false" ht="15" hidden="false" customHeight="false" outlineLevel="0" collapsed="false">
      <c r="A5040" s="3" t="n">
        <v>5039</v>
      </c>
      <c r="B5040" s="3" t="n">
        <v>5038</v>
      </c>
      <c r="C5040" s="3" t="n">
        <v>6</v>
      </c>
      <c r="D5040" s="3" t="n">
        <v>11</v>
      </c>
      <c r="E5040" s="3" t="n">
        <v>26</v>
      </c>
      <c r="F5040" s="24" t="n">
        <v>-0.00670984387</v>
      </c>
    </row>
    <row r="5041" customFormat="false" ht="15" hidden="false" customHeight="false" outlineLevel="0" collapsed="false">
      <c r="A5041" s="3" t="n">
        <v>5040</v>
      </c>
      <c r="B5041" s="3" t="n">
        <v>5039</v>
      </c>
      <c r="C5041" s="3" t="n">
        <v>6</v>
      </c>
      <c r="D5041" s="3" t="n">
        <v>11</v>
      </c>
      <c r="E5041" s="3" t="n">
        <v>27</v>
      </c>
      <c r="F5041" s="24" t="n">
        <v>-0.0790599883</v>
      </c>
    </row>
    <row r="5042" customFormat="false" ht="15" hidden="false" customHeight="false" outlineLevel="0" collapsed="false">
      <c r="A5042" s="3" t="n">
        <v>5041</v>
      </c>
      <c r="B5042" s="3" t="n">
        <v>5040</v>
      </c>
      <c r="C5042" s="3" t="n">
        <v>6</v>
      </c>
      <c r="D5042" s="3" t="n">
        <v>12</v>
      </c>
      <c r="E5042" s="3" t="n">
        <v>0</v>
      </c>
      <c r="F5042" s="24" t="n">
        <v>0.185572863</v>
      </c>
    </row>
    <row r="5043" customFormat="false" ht="15" hidden="false" customHeight="false" outlineLevel="0" collapsed="false">
      <c r="A5043" s="3" t="n">
        <v>5042</v>
      </c>
      <c r="B5043" s="3" t="n">
        <v>5041</v>
      </c>
      <c r="C5043" s="3" t="n">
        <v>6</v>
      </c>
      <c r="D5043" s="3" t="n">
        <v>12</v>
      </c>
      <c r="E5043" s="3" t="n">
        <v>1</v>
      </c>
      <c r="F5043" s="24" t="n">
        <v>-0.00670984387</v>
      </c>
    </row>
    <row r="5044" customFormat="false" ht="15" hidden="false" customHeight="false" outlineLevel="0" collapsed="false">
      <c r="A5044" s="3" t="n">
        <v>5043</v>
      </c>
      <c r="B5044" s="3" t="n">
        <v>5042</v>
      </c>
      <c r="C5044" s="3" t="n">
        <v>6</v>
      </c>
      <c r="D5044" s="3" t="n">
        <v>12</v>
      </c>
      <c r="E5044" s="3" t="n">
        <v>2</v>
      </c>
      <c r="F5044" s="24" t="n">
        <v>-0.00670984387</v>
      </c>
    </row>
    <row r="5045" customFormat="false" ht="15" hidden="false" customHeight="false" outlineLevel="0" collapsed="false">
      <c r="A5045" s="3" t="n">
        <v>5044</v>
      </c>
      <c r="B5045" s="3" t="n">
        <v>5043</v>
      </c>
      <c r="C5045" s="3" t="n">
        <v>6</v>
      </c>
      <c r="D5045" s="3" t="n">
        <v>12</v>
      </c>
      <c r="E5045" s="3" t="n">
        <v>3</v>
      </c>
      <c r="F5045" s="24" t="n">
        <v>-0.00670984387</v>
      </c>
    </row>
    <row r="5046" customFormat="false" ht="15" hidden="false" customHeight="false" outlineLevel="0" collapsed="false">
      <c r="A5046" s="3" t="n">
        <v>5045</v>
      </c>
      <c r="B5046" s="3" t="n">
        <v>5044</v>
      </c>
      <c r="C5046" s="3" t="n">
        <v>6</v>
      </c>
      <c r="D5046" s="3" t="n">
        <v>12</v>
      </c>
      <c r="E5046" s="3" t="n">
        <v>4</v>
      </c>
      <c r="F5046" s="24" t="n">
        <v>-0.00670984387</v>
      </c>
    </row>
    <row r="5047" customFormat="false" ht="15" hidden="false" customHeight="false" outlineLevel="0" collapsed="false">
      <c r="A5047" s="3" t="n">
        <v>5046</v>
      </c>
      <c r="B5047" s="3" t="n">
        <v>5045</v>
      </c>
      <c r="C5047" s="3" t="n">
        <v>6</v>
      </c>
      <c r="D5047" s="3" t="n">
        <v>12</v>
      </c>
      <c r="E5047" s="3" t="n">
        <v>5</v>
      </c>
      <c r="F5047" s="24" t="n">
        <v>-0.00670984387</v>
      </c>
    </row>
    <row r="5048" customFormat="false" ht="15" hidden="false" customHeight="false" outlineLevel="0" collapsed="false">
      <c r="A5048" s="3" t="n">
        <v>5047</v>
      </c>
      <c r="B5048" s="3" t="n">
        <v>5046</v>
      </c>
      <c r="C5048" s="3" t="n">
        <v>6</v>
      </c>
      <c r="D5048" s="3" t="n">
        <v>12</v>
      </c>
      <c r="E5048" s="3" t="n">
        <v>6</v>
      </c>
      <c r="F5048" s="24" t="n">
        <v>-0.00670984387</v>
      </c>
    </row>
    <row r="5049" customFormat="false" ht="15" hidden="false" customHeight="false" outlineLevel="0" collapsed="false">
      <c r="A5049" s="3" t="n">
        <v>5048</v>
      </c>
      <c r="B5049" s="3" t="n">
        <v>5047</v>
      </c>
      <c r="C5049" s="3" t="n">
        <v>6</v>
      </c>
      <c r="D5049" s="3" t="n">
        <v>12</v>
      </c>
      <c r="E5049" s="3" t="n">
        <v>7</v>
      </c>
      <c r="F5049" s="24" t="n">
        <v>-0.00670984387</v>
      </c>
    </row>
    <row r="5050" customFormat="false" ht="15" hidden="false" customHeight="false" outlineLevel="0" collapsed="false">
      <c r="A5050" s="3" t="n">
        <v>5049</v>
      </c>
      <c r="B5050" s="3" t="n">
        <v>5048</v>
      </c>
      <c r="C5050" s="3" t="n">
        <v>6</v>
      </c>
      <c r="D5050" s="3" t="n">
        <v>12</v>
      </c>
      <c r="E5050" s="3" t="n">
        <v>8</v>
      </c>
      <c r="F5050" s="24" t="n">
        <v>-0.00670984387</v>
      </c>
    </row>
    <row r="5051" customFormat="false" ht="15" hidden="false" customHeight="false" outlineLevel="0" collapsed="false">
      <c r="A5051" s="3" t="n">
        <v>5050</v>
      </c>
      <c r="B5051" s="3" t="n">
        <v>5049</v>
      </c>
      <c r="C5051" s="3" t="n">
        <v>6</v>
      </c>
      <c r="D5051" s="3" t="n">
        <v>12</v>
      </c>
      <c r="E5051" s="3" t="n">
        <v>9</v>
      </c>
      <c r="F5051" s="24" t="n">
        <v>-0.00670984387</v>
      </c>
    </row>
    <row r="5052" customFormat="false" ht="15" hidden="false" customHeight="false" outlineLevel="0" collapsed="false">
      <c r="A5052" s="3" t="n">
        <v>5051</v>
      </c>
      <c r="B5052" s="3" t="n">
        <v>5050</v>
      </c>
      <c r="C5052" s="3" t="n">
        <v>6</v>
      </c>
      <c r="D5052" s="3" t="n">
        <v>12</v>
      </c>
      <c r="E5052" s="3" t="n">
        <v>10</v>
      </c>
      <c r="F5052" s="24" t="n">
        <v>-0.00670984387</v>
      </c>
    </row>
    <row r="5053" customFormat="false" ht="15" hidden="false" customHeight="false" outlineLevel="0" collapsed="false">
      <c r="A5053" s="3" t="n">
        <v>5052</v>
      </c>
      <c r="B5053" s="3" t="n">
        <v>5051</v>
      </c>
      <c r="C5053" s="3" t="n">
        <v>6</v>
      </c>
      <c r="D5053" s="3" t="n">
        <v>12</v>
      </c>
      <c r="E5053" s="3" t="n">
        <v>11</v>
      </c>
      <c r="F5053" s="24" t="n">
        <v>-0.00670984387</v>
      </c>
    </row>
    <row r="5054" customFormat="false" ht="15" hidden="false" customHeight="false" outlineLevel="0" collapsed="false">
      <c r="A5054" s="3" t="n">
        <v>5053</v>
      </c>
      <c r="B5054" s="3" t="n">
        <v>5052</v>
      </c>
      <c r="C5054" s="3" t="n">
        <v>6</v>
      </c>
      <c r="D5054" s="3" t="n">
        <v>12</v>
      </c>
      <c r="E5054" s="3" t="n">
        <v>12</v>
      </c>
      <c r="F5054" s="24" t="n">
        <v>-0.00670984387</v>
      </c>
    </row>
    <row r="5055" customFormat="false" ht="15" hidden="false" customHeight="false" outlineLevel="0" collapsed="false">
      <c r="A5055" s="3" t="n">
        <v>5054</v>
      </c>
      <c r="B5055" s="3" t="n">
        <v>5053</v>
      </c>
      <c r="C5055" s="3" t="n">
        <v>6</v>
      </c>
      <c r="D5055" s="3" t="n">
        <v>12</v>
      </c>
      <c r="E5055" s="3" t="n">
        <v>13</v>
      </c>
      <c r="F5055" s="24" t="n">
        <v>-0.00670984387</v>
      </c>
    </row>
    <row r="5056" customFormat="false" ht="15" hidden="false" customHeight="false" outlineLevel="0" collapsed="false">
      <c r="A5056" s="3" t="n">
        <v>5055</v>
      </c>
      <c r="B5056" s="3" t="n">
        <v>5054</v>
      </c>
      <c r="C5056" s="3" t="n">
        <v>6</v>
      </c>
      <c r="D5056" s="3" t="n">
        <v>12</v>
      </c>
      <c r="E5056" s="3" t="n">
        <v>14</v>
      </c>
      <c r="F5056" s="24" t="n">
        <v>-0.00670984387</v>
      </c>
    </row>
    <row r="5057" customFormat="false" ht="15" hidden="false" customHeight="false" outlineLevel="0" collapsed="false">
      <c r="A5057" s="3" t="n">
        <v>5056</v>
      </c>
      <c r="B5057" s="3" t="n">
        <v>5055</v>
      </c>
      <c r="C5057" s="3" t="n">
        <v>6</v>
      </c>
      <c r="D5057" s="3" t="n">
        <v>12</v>
      </c>
      <c r="E5057" s="3" t="n">
        <v>15</v>
      </c>
      <c r="F5057" s="24" t="n">
        <v>-0.00670984387</v>
      </c>
    </row>
    <row r="5058" customFormat="false" ht="15" hidden="false" customHeight="false" outlineLevel="0" collapsed="false">
      <c r="A5058" s="3" t="n">
        <v>5057</v>
      </c>
      <c r="B5058" s="3" t="n">
        <v>5056</v>
      </c>
      <c r="C5058" s="3" t="n">
        <v>6</v>
      </c>
      <c r="D5058" s="3" t="n">
        <v>12</v>
      </c>
      <c r="E5058" s="3" t="n">
        <v>16</v>
      </c>
      <c r="F5058" s="24" t="n">
        <v>-0.370689541</v>
      </c>
    </row>
    <row r="5059" customFormat="false" ht="15" hidden="false" customHeight="false" outlineLevel="0" collapsed="false">
      <c r="A5059" s="3" t="n">
        <v>5058</v>
      </c>
      <c r="B5059" s="3" t="n">
        <v>5057</v>
      </c>
      <c r="C5059" s="3" t="n">
        <v>6</v>
      </c>
      <c r="D5059" s="3" t="n">
        <v>12</v>
      </c>
      <c r="E5059" s="3" t="n">
        <v>17</v>
      </c>
      <c r="F5059" s="24" t="n">
        <v>-1.37378085</v>
      </c>
    </row>
    <row r="5060" customFormat="false" ht="15" hidden="false" customHeight="false" outlineLevel="0" collapsed="false">
      <c r="A5060" s="3" t="n">
        <v>5059</v>
      </c>
      <c r="B5060" s="3" t="n">
        <v>5058</v>
      </c>
      <c r="C5060" s="3" t="n">
        <v>6</v>
      </c>
      <c r="D5060" s="3" t="n">
        <v>12</v>
      </c>
      <c r="E5060" s="3" t="n">
        <v>18</v>
      </c>
      <c r="F5060" s="24" t="n">
        <v>0.545981407</v>
      </c>
    </row>
    <row r="5061" customFormat="false" ht="15" hidden="false" customHeight="false" outlineLevel="0" collapsed="false">
      <c r="A5061" s="3" t="n">
        <v>5060</v>
      </c>
      <c r="B5061" s="3" t="n">
        <v>5059</v>
      </c>
      <c r="C5061" s="3" t="n">
        <v>6</v>
      </c>
      <c r="D5061" s="3" t="n">
        <v>12</v>
      </c>
      <c r="E5061" s="3" t="n">
        <v>19</v>
      </c>
      <c r="F5061" s="24" t="n">
        <v>3.10079622</v>
      </c>
    </row>
    <row r="5062" customFormat="false" ht="15" hidden="false" customHeight="false" outlineLevel="0" collapsed="false">
      <c r="A5062" s="3" t="n">
        <v>5061</v>
      </c>
      <c r="B5062" s="3" t="n">
        <v>5060</v>
      </c>
      <c r="C5062" s="3" t="n">
        <v>6</v>
      </c>
      <c r="D5062" s="3" t="n">
        <v>12</v>
      </c>
      <c r="E5062" s="3" t="n">
        <v>20</v>
      </c>
      <c r="F5062" s="24" t="n">
        <v>2.49732947</v>
      </c>
    </row>
    <row r="5063" customFormat="false" ht="15" hidden="false" customHeight="false" outlineLevel="0" collapsed="false">
      <c r="A5063" s="3" t="n">
        <v>5062</v>
      </c>
      <c r="B5063" s="3" t="n">
        <v>5061</v>
      </c>
      <c r="C5063" s="3" t="n">
        <v>6</v>
      </c>
      <c r="D5063" s="3" t="n">
        <v>12</v>
      </c>
      <c r="E5063" s="3" t="n">
        <v>21</v>
      </c>
      <c r="F5063" s="24" t="n">
        <v>0.575593591</v>
      </c>
    </row>
    <row r="5064" customFormat="false" ht="15" hidden="false" customHeight="false" outlineLevel="0" collapsed="false">
      <c r="A5064" s="3" t="n">
        <v>5063</v>
      </c>
      <c r="B5064" s="3" t="n">
        <v>5062</v>
      </c>
      <c r="C5064" s="3" t="n">
        <v>6</v>
      </c>
      <c r="D5064" s="3" t="n">
        <v>12</v>
      </c>
      <c r="E5064" s="3" t="n">
        <v>22</v>
      </c>
      <c r="F5064" s="24" t="n">
        <v>0.00956919789</v>
      </c>
    </row>
    <row r="5065" customFormat="false" ht="15" hidden="false" customHeight="false" outlineLevel="0" collapsed="false">
      <c r="A5065" s="3" t="n">
        <v>5064</v>
      </c>
      <c r="B5065" s="3" t="n">
        <v>5063</v>
      </c>
      <c r="C5065" s="3" t="n">
        <v>6</v>
      </c>
      <c r="D5065" s="3" t="n">
        <v>12</v>
      </c>
      <c r="E5065" s="3" t="n">
        <v>23</v>
      </c>
      <c r="F5065" s="24" t="n">
        <v>-0.00670984387</v>
      </c>
    </row>
    <row r="5066" customFormat="false" ht="15" hidden="false" customHeight="false" outlineLevel="0" collapsed="false">
      <c r="A5066" s="3" t="n">
        <v>5065</v>
      </c>
      <c r="B5066" s="3" t="n">
        <v>5064</v>
      </c>
      <c r="C5066" s="3" t="n">
        <v>6</v>
      </c>
      <c r="D5066" s="3" t="n">
        <v>12</v>
      </c>
      <c r="E5066" s="3" t="n">
        <v>24</v>
      </c>
      <c r="F5066" s="24" t="n">
        <v>-0.00670984387</v>
      </c>
    </row>
    <row r="5067" customFormat="false" ht="15" hidden="false" customHeight="false" outlineLevel="0" collapsed="false">
      <c r="A5067" s="3" t="n">
        <v>5066</v>
      </c>
      <c r="B5067" s="3" t="n">
        <v>5065</v>
      </c>
      <c r="C5067" s="3" t="n">
        <v>6</v>
      </c>
      <c r="D5067" s="3" t="n">
        <v>12</v>
      </c>
      <c r="E5067" s="3" t="n">
        <v>25</v>
      </c>
      <c r="F5067" s="24" t="n">
        <v>-0.00670984387</v>
      </c>
    </row>
    <row r="5068" customFormat="false" ht="15" hidden="false" customHeight="false" outlineLevel="0" collapsed="false">
      <c r="A5068" s="3" t="n">
        <v>5067</v>
      </c>
      <c r="B5068" s="3" t="n">
        <v>5066</v>
      </c>
      <c r="C5068" s="3" t="n">
        <v>6</v>
      </c>
      <c r="D5068" s="3" t="n">
        <v>12</v>
      </c>
      <c r="E5068" s="3" t="n">
        <v>26</v>
      </c>
      <c r="F5068" s="24" t="n">
        <v>-0.00670984387</v>
      </c>
    </row>
    <row r="5069" customFormat="false" ht="15" hidden="false" customHeight="false" outlineLevel="0" collapsed="false">
      <c r="A5069" s="3" t="n">
        <v>5068</v>
      </c>
      <c r="B5069" s="3" t="n">
        <v>5067</v>
      </c>
      <c r="C5069" s="3" t="n">
        <v>6</v>
      </c>
      <c r="D5069" s="3" t="n">
        <v>12</v>
      </c>
      <c r="E5069" s="3" t="n">
        <v>27</v>
      </c>
      <c r="F5069" s="24" t="n">
        <v>-0.0790599883</v>
      </c>
    </row>
    <row r="5070" customFormat="false" ht="15" hidden="false" customHeight="false" outlineLevel="0" collapsed="false">
      <c r="A5070" s="3" t="n">
        <v>5069</v>
      </c>
      <c r="B5070" s="3" t="n">
        <v>5068</v>
      </c>
      <c r="C5070" s="3" t="n">
        <v>6</v>
      </c>
      <c r="D5070" s="3" t="n">
        <v>13</v>
      </c>
      <c r="E5070" s="3" t="n">
        <v>0</v>
      </c>
      <c r="F5070" s="24" t="n">
        <v>0.185572863</v>
      </c>
    </row>
    <row r="5071" customFormat="false" ht="15" hidden="false" customHeight="false" outlineLevel="0" collapsed="false">
      <c r="A5071" s="3" t="n">
        <v>5070</v>
      </c>
      <c r="B5071" s="3" t="n">
        <v>5069</v>
      </c>
      <c r="C5071" s="3" t="n">
        <v>6</v>
      </c>
      <c r="D5071" s="3" t="n">
        <v>13</v>
      </c>
      <c r="E5071" s="3" t="n">
        <v>1</v>
      </c>
      <c r="F5071" s="24" t="n">
        <v>-0.00670984387</v>
      </c>
    </row>
    <row r="5072" customFormat="false" ht="15" hidden="false" customHeight="false" outlineLevel="0" collapsed="false">
      <c r="A5072" s="3" t="n">
        <v>5071</v>
      </c>
      <c r="B5072" s="3" t="n">
        <v>5070</v>
      </c>
      <c r="C5072" s="3" t="n">
        <v>6</v>
      </c>
      <c r="D5072" s="3" t="n">
        <v>13</v>
      </c>
      <c r="E5072" s="3" t="n">
        <v>2</v>
      </c>
      <c r="F5072" s="24" t="n">
        <v>-0.00670984387</v>
      </c>
    </row>
    <row r="5073" customFormat="false" ht="15" hidden="false" customHeight="false" outlineLevel="0" collapsed="false">
      <c r="A5073" s="3" t="n">
        <v>5072</v>
      </c>
      <c r="B5073" s="3" t="n">
        <v>5071</v>
      </c>
      <c r="C5073" s="3" t="n">
        <v>6</v>
      </c>
      <c r="D5073" s="3" t="n">
        <v>13</v>
      </c>
      <c r="E5073" s="3" t="n">
        <v>3</v>
      </c>
      <c r="F5073" s="24" t="n">
        <v>-0.00670984387</v>
      </c>
    </row>
    <row r="5074" customFormat="false" ht="15" hidden="false" customHeight="false" outlineLevel="0" collapsed="false">
      <c r="A5074" s="3" t="n">
        <v>5073</v>
      </c>
      <c r="B5074" s="3" t="n">
        <v>5072</v>
      </c>
      <c r="C5074" s="3" t="n">
        <v>6</v>
      </c>
      <c r="D5074" s="3" t="n">
        <v>13</v>
      </c>
      <c r="E5074" s="3" t="n">
        <v>4</v>
      </c>
      <c r="F5074" s="24" t="n">
        <v>-0.00670984387</v>
      </c>
    </row>
    <row r="5075" customFormat="false" ht="15" hidden="false" customHeight="false" outlineLevel="0" collapsed="false">
      <c r="A5075" s="3" t="n">
        <v>5074</v>
      </c>
      <c r="B5075" s="3" t="n">
        <v>5073</v>
      </c>
      <c r="C5075" s="3" t="n">
        <v>6</v>
      </c>
      <c r="D5075" s="3" t="n">
        <v>13</v>
      </c>
      <c r="E5075" s="3" t="n">
        <v>5</v>
      </c>
      <c r="F5075" s="24" t="n">
        <v>-0.00670984387</v>
      </c>
    </row>
    <row r="5076" customFormat="false" ht="15" hidden="false" customHeight="false" outlineLevel="0" collapsed="false">
      <c r="A5076" s="3" t="n">
        <v>5075</v>
      </c>
      <c r="B5076" s="3" t="n">
        <v>5074</v>
      </c>
      <c r="C5076" s="3" t="n">
        <v>6</v>
      </c>
      <c r="D5076" s="3" t="n">
        <v>13</v>
      </c>
      <c r="E5076" s="3" t="n">
        <v>6</v>
      </c>
      <c r="F5076" s="24" t="n">
        <v>-0.00670984387</v>
      </c>
    </row>
    <row r="5077" customFormat="false" ht="15" hidden="false" customHeight="false" outlineLevel="0" collapsed="false">
      <c r="A5077" s="3" t="n">
        <v>5076</v>
      </c>
      <c r="B5077" s="3" t="n">
        <v>5075</v>
      </c>
      <c r="C5077" s="3" t="n">
        <v>6</v>
      </c>
      <c r="D5077" s="3" t="n">
        <v>13</v>
      </c>
      <c r="E5077" s="3" t="n">
        <v>7</v>
      </c>
      <c r="F5077" s="24" t="n">
        <v>-0.00670984387</v>
      </c>
    </row>
    <row r="5078" customFormat="false" ht="15" hidden="false" customHeight="false" outlineLevel="0" collapsed="false">
      <c r="A5078" s="3" t="n">
        <v>5077</v>
      </c>
      <c r="B5078" s="3" t="n">
        <v>5076</v>
      </c>
      <c r="C5078" s="3" t="n">
        <v>6</v>
      </c>
      <c r="D5078" s="3" t="n">
        <v>13</v>
      </c>
      <c r="E5078" s="3" t="n">
        <v>8</v>
      </c>
      <c r="F5078" s="24" t="n">
        <v>-0.00670984387</v>
      </c>
    </row>
    <row r="5079" customFormat="false" ht="15" hidden="false" customHeight="false" outlineLevel="0" collapsed="false">
      <c r="A5079" s="3" t="n">
        <v>5078</v>
      </c>
      <c r="B5079" s="3" t="n">
        <v>5077</v>
      </c>
      <c r="C5079" s="3" t="n">
        <v>6</v>
      </c>
      <c r="D5079" s="3" t="n">
        <v>13</v>
      </c>
      <c r="E5079" s="3" t="n">
        <v>9</v>
      </c>
      <c r="F5079" s="24" t="n">
        <v>-0.00670984387</v>
      </c>
    </row>
    <row r="5080" customFormat="false" ht="15" hidden="false" customHeight="false" outlineLevel="0" collapsed="false">
      <c r="A5080" s="3" t="n">
        <v>5079</v>
      </c>
      <c r="B5080" s="3" t="n">
        <v>5078</v>
      </c>
      <c r="C5080" s="3" t="n">
        <v>6</v>
      </c>
      <c r="D5080" s="3" t="n">
        <v>13</v>
      </c>
      <c r="E5080" s="3" t="n">
        <v>10</v>
      </c>
      <c r="F5080" s="24" t="n">
        <v>-0.00670984387</v>
      </c>
    </row>
    <row r="5081" customFormat="false" ht="15" hidden="false" customHeight="false" outlineLevel="0" collapsed="false">
      <c r="A5081" s="3" t="n">
        <v>5080</v>
      </c>
      <c r="B5081" s="3" t="n">
        <v>5079</v>
      </c>
      <c r="C5081" s="3" t="n">
        <v>6</v>
      </c>
      <c r="D5081" s="3" t="n">
        <v>13</v>
      </c>
      <c r="E5081" s="3" t="n">
        <v>11</v>
      </c>
      <c r="F5081" s="24" t="n">
        <v>-0.00670984387</v>
      </c>
    </row>
    <row r="5082" customFormat="false" ht="15" hidden="false" customHeight="false" outlineLevel="0" collapsed="false">
      <c r="A5082" s="3" t="n">
        <v>5081</v>
      </c>
      <c r="B5082" s="3" t="n">
        <v>5080</v>
      </c>
      <c r="C5082" s="3" t="n">
        <v>6</v>
      </c>
      <c r="D5082" s="3" t="n">
        <v>13</v>
      </c>
      <c r="E5082" s="3" t="n">
        <v>12</v>
      </c>
      <c r="F5082" s="24" t="n">
        <v>-0.00670984387</v>
      </c>
    </row>
    <row r="5083" customFormat="false" ht="15" hidden="false" customHeight="false" outlineLevel="0" collapsed="false">
      <c r="A5083" s="3" t="n">
        <v>5082</v>
      </c>
      <c r="B5083" s="3" t="n">
        <v>5081</v>
      </c>
      <c r="C5083" s="3" t="n">
        <v>6</v>
      </c>
      <c r="D5083" s="3" t="n">
        <v>13</v>
      </c>
      <c r="E5083" s="3" t="n">
        <v>13</v>
      </c>
      <c r="F5083" s="24" t="n">
        <v>-0.00670984387</v>
      </c>
    </row>
    <row r="5084" customFormat="false" ht="15" hidden="false" customHeight="false" outlineLevel="0" collapsed="false">
      <c r="A5084" s="3" t="n">
        <v>5083</v>
      </c>
      <c r="B5084" s="3" t="n">
        <v>5082</v>
      </c>
      <c r="C5084" s="3" t="n">
        <v>6</v>
      </c>
      <c r="D5084" s="3" t="n">
        <v>13</v>
      </c>
      <c r="E5084" s="3" t="n">
        <v>14</v>
      </c>
      <c r="F5084" s="24" t="n">
        <v>-0.00670984387</v>
      </c>
    </row>
    <row r="5085" customFormat="false" ht="15" hidden="false" customHeight="false" outlineLevel="0" collapsed="false">
      <c r="A5085" s="3" t="n">
        <v>5084</v>
      </c>
      <c r="B5085" s="3" t="n">
        <v>5083</v>
      </c>
      <c r="C5085" s="3" t="n">
        <v>6</v>
      </c>
      <c r="D5085" s="3" t="n">
        <v>13</v>
      </c>
      <c r="E5085" s="3" t="n">
        <v>15</v>
      </c>
      <c r="F5085" s="24" t="n">
        <v>-0.13718906</v>
      </c>
    </row>
    <row r="5086" customFormat="false" ht="15" hidden="false" customHeight="false" outlineLevel="0" collapsed="false">
      <c r="A5086" s="3" t="n">
        <v>5085</v>
      </c>
      <c r="B5086" s="3" t="n">
        <v>5084</v>
      </c>
      <c r="C5086" s="3" t="n">
        <v>6</v>
      </c>
      <c r="D5086" s="3" t="n">
        <v>13</v>
      </c>
      <c r="E5086" s="3" t="n">
        <v>16</v>
      </c>
      <c r="F5086" s="24" t="n">
        <v>-1.1193161</v>
      </c>
    </row>
    <row r="5087" customFormat="false" ht="15" hidden="false" customHeight="false" outlineLevel="0" collapsed="false">
      <c r="A5087" s="3" t="n">
        <v>5086</v>
      </c>
      <c r="B5087" s="3" t="n">
        <v>5085</v>
      </c>
      <c r="C5087" s="3" t="n">
        <v>6</v>
      </c>
      <c r="D5087" s="3" t="n">
        <v>13</v>
      </c>
      <c r="E5087" s="3" t="n">
        <v>17</v>
      </c>
      <c r="F5087" s="24" t="n">
        <v>-0.506250978</v>
      </c>
    </row>
    <row r="5088" customFormat="false" ht="15" hidden="false" customHeight="false" outlineLevel="0" collapsed="false">
      <c r="A5088" s="3" t="n">
        <v>5087</v>
      </c>
      <c r="B5088" s="3" t="n">
        <v>5086</v>
      </c>
      <c r="C5088" s="3" t="n">
        <v>6</v>
      </c>
      <c r="D5088" s="3" t="n">
        <v>13</v>
      </c>
      <c r="E5088" s="3" t="n">
        <v>18</v>
      </c>
      <c r="F5088" s="24" t="n">
        <v>2.16712451</v>
      </c>
    </row>
    <row r="5089" customFormat="false" ht="15" hidden="false" customHeight="false" outlineLevel="0" collapsed="false">
      <c r="A5089" s="3" t="n">
        <v>5088</v>
      </c>
      <c r="B5089" s="3" t="n">
        <v>5087</v>
      </c>
      <c r="C5089" s="3" t="n">
        <v>6</v>
      </c>
      <c r="D5089" s="3" t="n">
        <v>13</v>
      </c>
      <c r="E5089" s="3" t="n">
        <v>19</v>
      </c>
      <c r="F5089" s="24" t="n">
        <v>3.53236461</v>
      </c>
    </row>
    <row r="5090" customFormat="false" ht="15" hidden="false" customHeight="false" outlineLevel="0" collapsed="false">
      <c r="A5090" s="3" t="n">
        <v>5089</v>
      </c>
      <c r="B5090" s="3" t="n">
        <v>5088</v>
      </c>
      <c r="C5090" s="3" t="n">
        <v>6</v>
      </c>
      <c r="D5090" s="3" t="n">
        <v>13</v>
      </c>
      <c r="E5090" s="3" t="n">
        <v>20</v>
      </c>
      <c r="F5090" s="24" t="n">
        <v>1.58326244</v>
      </c>
    </row>
    <row r="5091" customFormat="false" ht="15" hidden="false" customHeight="false" outlineLevel="0" collapsed="false">
      <c r="A5091" s="3" t="n">
        <v>5090</v>
      </c>
      <c r="B5091" s="3" t="n">
        <v>5089</v>
      </c>
      <c r="C5091" s="3" t="n">
        <v>6</v>
      </c>
      <c r="D5091" s="3" t="n">
        <v>13</v>
      </c>
      <c r="E5091" s="3" t="n">
        <v>21</v>
      </c>
      <c r="F5091" s="24" t="n">
        <v>0.204970151</v>
      </c>
    </row>
    <row r="5092" customFormat="false" ht="15" hidden="false" customHeight="false" outlineLevel="0" collapsed="false">
      <c r="A5092" s="3" t="n">
        <v>5091</v>
      </c>
      <c r="B5092" s="3" t="n">
        <v>5090</v>
      </c>
      <c r="C5092" s="3" t="n">
        <v>6</v>
      </c>
      <c r="D5092" s="3" t="n">
        <v>13</v>
      </c>
      <c r="E5092" s="3" t="n">
        <v>22</v>
      </c>
      <c r="F5092" s="24" t="n">
        <v>-0.00670984387</v>
      </c>
    </row>
    <row r="5093" customFormat="false" ht="15" hidden="false" customHeight="false" outlineLevel="0" collapsed="false">
      <c r="A5093" s="3" t="n">
        <v>5092</v>
      </c>
      <c r="B5093" s="3" t="n">
        <v>5091</v>
      </c>
      <c r="C5093" s="3" t="n">
        <v>6</v>
      </c>
      <c r="D5093" s="3" t="n">
        <v>13</v>
      </c>
      <c r="E5093" s="3" t="n">
        <v>23</v>
      </c>
      <c r="F5093" s="24" t="n">
        <v>-0.00670984387</v>
      </c>
    </row>
    <row r="5094" customFormat="false" ht="15" hidden="false" customHeight="false" outlineLevel="0" collapsed="false">
      <c r="A5094" s="3" t="n">
        <v>5093</v>
      </c>
      <c r="B5094" s="3" t="n">
        <v>5092</v>
      </c>
      <c r="C5094" s="3" t="n">
        <v>6</v>
      </c>
      <c r="D5094" s="3" t="n">
        <v>13</v>
      </c>
      <c r="E5094" s="3" t="n">
        <v>24</v>
      </c>
      <c r="F5094" s="24" t="n">
        <v>-0.00670984387</v>
      </c>
    </row>
    <row r="5095" customFormat="false" ht="15" hidden="false" customHeight="false" outlineLevel="0" collapsed="false">
      <c r="A5095" s="3" t="n">
        <v>5094</v>
      </c>
      <c r="B5095" s="3" t="n">
        <v>5093</v>
      </c>
      <c r="C5095" s="3" t="n">
        <v>6</v>
      </c>
      <c r="D5095" s="3" t="n">
        <v>13</v>
      </c>
      <c r="E5095" s="3" t="n">
        <v>25</v>
      </c>
      <c r="F5095" s="24" t="n">
        <v>-0.00670984387</v>
      </c>
    </row>
    <row r="5096" customFormat="false" ht="15" hidden="false" customHeight="false" outlineLevel="0" collapsed="false">
      <c r="A5096" s="3" t="n">
        <v>5095</v>
      </c>
      <c r="B5096" s="3" t="n">
        <v>5094</v>
      </c>
      <c r="C5096" s="3" t="n">
        <v>6</v>
      </c>
      <c r="D5096" s="3" t="n">
        <v>13</v>
      </c>
      <c r="E5096" s="3" t="n">
        <v>26</v>
      </c>
      <c r="F5096" s="24" t="n">
        <v>-0.00670984387</v>
      </c>
    </row>
    <row r="5097" customFormat="false" ht="15" hidden="false" customHeight="false" outlineLevel="0" collapsed="false">
      <c r="A5097" s="3" t="n">
        <v>5096</v>
      </c>
      <c r="B5097" s="3" t="n">
        <v>5095</v>
      </c>
      <c r="C5097" s="3" t="n">
        <v>6</v>
      </c>
      <c r="D5097" s="3" t="n">
        <v>13</v>
      </c>
      <c r="E5097" s="3" t="n">
        <v>27</v>
      </c>
      <c r="F5097" s="24" t="n">
        <v>-0.0790599883</v>
      </c>
    </row>
    <row r="5098" customFormat="false" ht="15" hidden="false" customHeight="false" outlineLevel="0" collapsed="false">
      <c r="A5098" s="3" t="n">
        <v>5097</v>
      </c>
      <c r="B5098" s="3" t="n">
        <v>5096</v>
      </c>
      <c r="C5098" s="3" t="n">
        <v>6</v>
      </c>
      <c r="D5098" s="3" t="n">
        <v>14</v>
      </c>
      <c r="E5098" s="3" t="n">
        <v>0</v>
      </c>
      <c r="F5098" s="24" t="n">
        <v>0.185572863</v>
      </c>
    </row>
    <row r="5099" customFormat="false" ht="15" hidden="false" customHeight="false" outlineLevel="0" collapsed="false">
      <c r="A5099" s="3" t="n">
        <v>5098</v>
      </c>
      <c r="B5099" s="3" t="n">
        <v>5097</v>
      </c>
      <c r="C5099" s="3" t="n">
        <v>6</v>
      </c>
      <c r="D5099" s="3" t="n">
        <v>14</v>
      </c>
      <c r="E5099" s="3" t="n">
        <v>1</v>
      </c>
      <c r="F5099" s="24" t="n">
        <v>-0.00670984387</v>
      </c>
    </row>
    <row r="5100" customFormat="false" ht="15" hidden="false" customHeight="false" outlineLevel="0" collapsed="false">
      <c r="A5100" s="3" t="n">
        <v>5099</v>
      </c>
      <c r="B5100" s="3" t="n">
        <v>5098</v>
      </c>
      <c r="C5100" s="3" t="n">
        <v>6</v>
      </c>
      <c r="D5100" s="3" t="n">
        <v>14</v>
      </c>
      <c r="E5100" s="3" t="n">
        <v>2</v>
      </c>
      <c r="F5100" s="24" t="n">
        <v>-0.00670984387</v>
      </c>
    </row>
    <row r="5101" customFormat="false" ht="15" hidden="false" customHeight="false" outlineLevel="0" collapsed="false">
      <c r="A5101" s="3" t="n">
        <v>5100</v>
      </c>
      <c r="B5101" s="3" t="n">
        <v>5099</v>
      </c>
      <c r="C5101" s="3" t="n">
        <v>6</v>
      </c>
      <c r="D5101" s="3" t="n">
        <v>14</v>
      </c>
      <c r="E5101" s="3" t="n">
        <v>3</v>
      </c>
      <c r="F5101" s="24" t="n">
        <v>-0.00670984387</v>
      </c>
    </row>
    <row r="5102" customFormat="false" ht="15" hidden="false" customHeight="false" outlineLevel="0" collapsed="false">
      <c r="A5102" s="3" t="n">
        <v>5101</v>
      </c>
      <c r="B5102" s="3" t="n">
        <v>5100</v>
      </c>
      <c r="C5102" s="3" t="n">
        <v>6</v>
      </c>
      <c r="D5102" s="3" t="n">
        <v>14</v>
      </c>
      <c r="E5102" s="3" t="n">
        <v>4</v>
      </c>
      <c r="F5102" s="24" t="n">
        <v>-0.00670984387</v>
      </c>
    </row>
    <row r="5103" customFormat="false" ht="15" hidden="false" customHeight="false" outlineLevel="0" collapsed="false">
      <c r="A5103" s="3" t="n">
        <v>5102</v>
      </c>
      <c r="B5103" s="3" t="n">
        <v>5101</v>
      </c>
      <c r="C5103" s="3" t="n">
        <v>6</v>
      </c>
      <c r="D5103" s="3" t="n">
        <v>14</v>
      </c>
      <c r="E5103" s="3" t="n">
        <v>5</v>
      </c>
      <c r="F5103" s="24" t="n">
        <v>-0.00670984387</v>
      </c>
    </row>
    <row r="5104" customFormat="false" ht="15" hidden="false" customHeight="false" outlineLevel="0" collapsed="false">
      <c r="A5104" s="3" t="n">
        <v>5103</v>
      </c>
      <c r="B5104" s="3" t="n">
        <v>5102</v>
      </c>
      <c r="C5104" s="3" t="n">
        <v>6</v>
      </c>
      <c r="D5104" s="3" t="n">
        <v>14</v>
      </c>
      <c r="E5104" s="3" t="n">
        <v>6</v>
      </c>
      <c r="F5104" s="24" t="n">
        <v>-0.00670984387</v>
      </c>
    </row>
    <row r="5105" customFormat="false" ht="15" hidden="false" customHeight="false" outlineLevel="0" collapsed="false">
      <c r="A5105" s="3" t="n">
        <v>5104</v>
      </c>
      <c r="B5105" s="3" t="n">
        <v>5103</v>
      </c>
      <c r="C5105" s="3" t="n">
        <v>6</v>
      </c>
      <c r="D5105" s="3" t="n">
        <v>14</v>
      </c>
      <c r="E5105" s="3" t="n">
        <v>7</v>
      </c>
      <c r="F5105" s="24" t="n">
        <v>-0.00670984387</v>
      </c>
    </row>
    <row r="5106" customFormat="false" ht="15" hidden="false" customHeight="false" outlineLevel="0" collapsed="false">
      <c r="A5106" s="3" t="n">
        <v>5105</v>
      </c>
      <c r="B5106" s="3" t="n">
        <v>5104</v>
      </c>
      <c r="C5106" s="3" t="n">
        <v>6</v>
      </c>
      <c r="D5106" s="3" t="n">
        <v>14</v>
      </c>
      <c r="E5106" s="3" t="n">
        <v>8</v>
      </c>
      <c r="F5106" s="24" t="n">
        <v>-0.00670984387</v>
      </c>
    </row>
    <row r="5107" customFormat="false" ht="15" hidden="false" customHeight="false" outlineLevel="0" collapsed="false">
      <c r="A5107" s="3" t="n">
        <v>5106</v>
      </c>
      <c r="B5107" s="3" t="n">
        <v>5105</v>
      </c>
      <c r="C5107" s="3" t="n">
        <v>6</v>
      </c>
      <c r="D5107" s="3" t="n">
        <v>14</v>
      </c>
      <c r="E5107" s="3" t="n">
        <v>9</v>
      </c>
      <c r="F5107" s="24" t="n">
        <v>-0.00670984387</v>
      </c>
    </row>
    <row r="5108" customFormat="false" ht="15" hidden="false" customHeight="false" outlineLevel="0" collapsed="false">
      <c r="A5108" s="3" t="n">
        <v>5107</v>
      </c>
      <c r="B5108" s="3" t="n">
        <v>5106</v>
      </c>
      <c r="C5108" s="3" t="n">
        <v>6</v>
      </c>
      <c r="D5108" s="3" t="n">
        <v>14</v>
      </c>
      <c r="E5108" s="3" t="n">
        <v>10</v>
      </c>
      <c r="F5108" s="24" t="n">
        <v>-0.00670984387</v>
      </c>
    </row>
    <row r="5109" customFormat="false" ht="15" hidden="false" customHeight="false" outlineLevel="0" collapsed="false">
      <c r="A5109" s="3" t="n">
        <v>5108</v>
      </c>
      <c r="B5109" s="3" t="n">
        <v>5107</v>
      </c>
      <c r="C5109" s="3" t="n">
        <v>6</v>
      </c>
      <c r="D5109" s="3" t="n">
        <v>14</v>
      </c>
      <c r="E5109" s="3" t="n">
        <v>11</v>
      </c>
      <c r="F5109" s="24" t="n">
        <v>-0.00670984387</v>
      </c>
    </row>
    <row r="5110" customFormat="false" ht="15" hidden="false" customHeight="false" outlineLevel="0" collapsed="false">
      <c r="A5110" s="3" t="n">
        <v>5109</v>
      </c>
      <c r="B5110" s="3" t="n">
        <v>5108</v>
      </c>
      <c r="C5110" s="3" t="n">
        <v>6</v>
      </c>
      <c r="D5110" s="3" t="n">
        <v>14</v>
      </c>
      <c r="E5110" s="3" t="n">
        <v>12</v>
      </c>
      <c r="F5110" s="24" t="n">
        <v>-0.00670984387</v>
      </c>
    </row>
    <row r="5111" customFormat="false" ht="15" hidden="false" customHeight="false" outlineLevel="0" collapsed="false">
      <c r="A5111" s="3" t="n">
        <v>5110</v>
      </c>
      <c r="B5111" s="3" t="n">
        <v>5109</v>
      </c>
      <c r="C5111" s="3" t="n">
        <v>6</v>
      </c>
      <c r="D5111" s="3" t="n">
        <v>14</v>
      </c>
      <c r="E5111" s="3" t="n">
        <v>13</v>
      </c>
      <c r="F5111" s="24" t="n">
        <v>-0.00670984387</v>
      </c>
    </row>
    <row r="5112" customFormat="false" ht="15" hidden="false" customHeight="false" outlineLevel="0" collapsed="false">
      <c r="A5112" s="3" t="n">
        <v>5111</v>
      </c>
      <c r="B5112" s="3" t="n">
        <v>5110</v>
      </c>
      <c r="C5112" s="3" t="n">
        <v>6</v>
      </c>
      <c r="D5112" s="3" t="n">
        <v>14</v>
      </c>
      <c r="E5112" s="3" t="n">
        <v>14</v>
      </c>
      <c r="F5112" s="24" t="n">
        <v>-0.00670984387</v>
      </c>
    </row>
    <row r="5113" customFormat="false" ht="15" hidden="false" customHeight="false" outlineLevel="0" collapsed="false">
      <c r="A5113" s="3" t="n">
        <v>5112</v>
      </c>
      <c r="B5113" s="3" t="n">
        <v>5111</v>
      </c>
      <c r="C5113" s="3" t="n">
        <v>6</v>
      </c>
      <c r="D5113" s="3" t="n">
        <v>14</v>
      </c>
      <c r="E5113" s="3" t="n">
        <v>15</v>
      </c>
      <c r="F5113" s="24" t="n">
        <v>-0.511885524</v>
      </c>
    </row>
    <row r="5114" customFormat="false" ht="15" hidden="false" customHeight="false" outlineLevel="0" collapsed="false">
      <c r="A5114" s="3" t="n">
        <v>5113</v>
      </c>
      <c r="B5114" s="3" t="n">
        <v>5112</v>
      </c>
      <c r="C5114" s="3" t="n">
        <v>6</v>
      </c>
      <c r="D5114" s="3" t="n">
        <v>14</v>
      </c>
      <c r="E5114" s="3" t="n">
        <v>16</v>
      </c>
      <c r="F5114" s="24" t="n">
        <v>-1.0723114</v>
      </c>
    </row>
    <row r="5115" customFormat="false" ht="15" hidden="false" customHeight="false" outlineLevel="0" collapsed="false">
      <c r="A5115" s="3" t="n">
        <v>5114</v>
      </c>
      <c r="B5115" s="3" t="n">
        <v>5113</v>
      </c>
      <c r="C5115" s="3" t="n">
        <v>6</v>
      </c>
      <c r="D5115" s="3" t="n">
        <v>14</v>
      </c>
      <c r="E5115" s="3" t="n">
        <v>17</v>
      </c>
      <c r="F5115" s="24" t="n">
        <v>1.02489007</v>
      </c>
    </row>
    <row r="5116" customFormat="false" ht="15" hidden="false" customHeight="false" outlineLevel="0" collapsed="false">
      <c r="A5116" s="3" t="n">
        <v>5115</v>
      </c>
      <c r="B5116" s="3" t="n">
        <v>5114</v>
      </c>
      <c r="C5116" s="3" t="n">
        <v>6</v>
      </c>
      <c r="D5116" s="3" t="n">
        <v>14</v>
      </c>
      <c r="E5116" s="3" t="n">
        <v>18</v>
      </c>
      <c r="F5116" s="24" t="n">
        <v>3.61173391</v>
      </c>
    </row>
    <row r="5117" customFormat="false" ht="15" hidden="false" customHeight="false" outlineLevel="0" collapsed="false">
      <c r="A5117" s="3" t="n">
        <v>5116</v>
      </c>
      <c r="B5117" s="3" t="n">
        <v>5115</v>
      </c>
      <c r="C5117" s="3" t="n">
        <v>6</v>
      </c>
      <c r="D5117" s="3" t="n">
        <v>14</v>
      </c>
      <c r="E5117" s="3" t="n">
        <v>19</v>
      </c>
      <c r="F5117" s="24" t="n">
        <v>2.59607387</v>
      </c>
    </row>
    <row r="5118" customFormat="false" ht="15" hidden="false" customHeight="false" outlineLevel="0" collapsed="false">
      <c r="A5118" s="3" t="n">
        <v>5117</v>
      </c>
      <c r="B5118" s="3" t="n">
        <v>5116</v>
      </c>
      <c r="C5118" s="3" t="n">
        <v>6</v>
      </c>
      <c r="D5118" s="3" t="n">
        <v>14</v>
      </c>
      <c r="E5118" s="3" t="n">
        <v>20</v>
      </c>
      <c r="F5118" s="24" t="n">
        <v>0.551953912</v>
      </c>
    </row>
    <row r="5119" customFormat="false" ht="15" hidden="false" customHeight="false" outlineLevel="0" collapsed="false">
      <c r="A5119" s="3" t="n">
        <v>5118</v>
      </c>
      <c r="B5119" s="3" t="n">
        <v>5117</v>
      </c>
      <c r="C5119" s="3" t="n">
        <v>6</v>
      </c>
      <c r="D5119" s="3" t="n">
        <v>14</v>
      </c>
      <c r="E5119" s="3" t="n">
        <v>21</v>
      </c>
      <c r="F5119" s="24" t="n">
        <v>0.0330833495</v>
      </c>
    </row>
    <row r="5120" customFormat="false" ht="15" hidden="false" customHeight="false" outlineLevel="0" collapsed="false">
      <c r="A5120" s="3" t="n">
        <v>5119</v>
      </c>
      <c r="B5120" s="3" t="n">
        <v>5118</v>
      </c>
      <c r="C5120" s="3" t="n">
        <v>6</v>
      </c>
      <c r="D5120" s="3" t="n">
        <v>14</v>
      </c>
      <c r="E5120" s="3" t="n">
        <v>22</v>
      </c>
      <c r="F5120" s="24" t="n">
        <v>-0.00670984387</v>
      </c>
    </row>
    <row r="5121" customFormat="false" ht="15" hidden="false" customHeight="false" outlineLevel="0" collapsed="false">
      <c r="A5121" s="3" t="n">
        <v>5120</v>
      </c>
      <c r="B5121" s="3" t="n">
        <v>5119</v>
      </c>
      <c r="C5121" s="3" t="n">
        <v>6</v>
      </c>
      <c r="D5121" s="3" t="n">
        <v>14</v>
      </c>
      <c r="E5121" s="3" t="n">
        <v>23</v>
      </c>
      <c r="F5121" s="24" t="n">
        <v>-0.00670984387</v>
      </c>
    </row>
    <row r="5122" customFormat="false" ht="15" hidden="false" customHeight="false" outlineLevel="0" collapsed="false">
      <c r="A5122" s="3" t="n">
        <v>5121</v>
      </c>
      <c r="B5122" s="3" t="n">
        <v>5120</v>
      </c>
      <c r="C5122" s="3" t="n">
        <v>6</v>
      </c>
      <c r="D5122" s="3" t="n">
        <v>14</v>
      </c>
      <c r="E5122" s="3" t="n">
        <v>24</v>
      </c>
      <c r="F5122" s="24" t="n">
        <v>-0.00670984387</v>
      </c>
    </row>
    <row r="5123" customFormat="false" ht="15" hidden="false" customHeight="false" outlineLevel="0" collapsed="false">
      <c r="A5123" s="3" t="n">
        <v>5122</v>
      </c>
      <c r="B5123" s="3" t="n">
        <v>5121</v>
      </c>
      <c r="C5123" s="3" t="n">
        <v>6</v>
      </c>
      <c r="D5123" s="3" t="n">
        <v>14</v>
      </c>
      <c r="E5123" s="3" t="n">
        <v>25</v>
      </c>
      <c r="F5123" s="24" t="n">
        <v>-0.00670984387</v>
      </c>
    </row>
    <row r="5124" customFormat="false" ht="15" hidden="false" customHeight="false" outlineLevel="0" collapsed="false">
      <c r="A5124" s="3" t="n">
        <v>5123</v>
      </c>
      <c r="B5124" s="3" t="n">
        <v>5122</v>
      </c>
      <c r="C5124" s="3" t="n">
        <v>6</v>
      </c>
      <c r="D5124" s="3" t="n">
        <v>14</v>
      </c>
      <c r="E5124" s="3" t="n">
        <v>26</v>
      </c>
      <c r="F5124" s="24" t="n">
        <v>-0.00670984387</v>
      </c>
    </row>
    <row r="5125" customFormat="false" ht="15" hidden="false" customHeight="false" outlineLevel="0" collapsed="false">
      <c r="A5125" s="3" t="n">
        <v>5124</v>
      </c>
      <c r="B5125" s="3" t="n">
        <v>5123</v>
      </c>
      <c r="C5125" s="3" t="n">
        <v>6</v>
      </c>
      <c r="D5125" s="3" t="n">
        <v>14</v>
      </c>
      <c r="E5125" s="3" t="n">
        <v>27</v>
      </c>
      <c r="F5125" s="24" t="n">
        <v>-0.0790599883</v>
      </c>
    </row>
    <row r="5126" customFormat="false" ht="15" hidden="false" customHeight="false" outlineLevel="0" collapsed="false">
      <c r="A5126" s="3" t="n">
        <v>5125</v>
      </c>
      <c r="B5126" s="3" t="n">
        <v>5124</v>
      </c>
      <c r="C5126" s="3" t="n">
        <v>6</v>
      </c>
      <c r="D5126" s="3" t="n">
        <v>15</v>
      </c>
      <c r="E5126" s="3" t="n">
        <v>0</v>
      </c>
      <c r="F5126" s="24" t="n">
        <v>0.185572863</v>
      </c>
    </row>
    <row r="5127" customFormat="false" ht="15" hidden="false" customHeight="false" outlineLevel="0" collapsed="false">
      <c r="A5127" s="3" t="n">
        <v>5126</v>
      </c>
      <c r="B5127" s="3" t="n">
        <v>5125</v>
      </c>
      <c r="C5127" s="3" t="n">
        <v>6</v>
      </c>
      <c r="D5127" s="3" t="n">
        <v>15</v>
      </c>
      <c r="E5127" s="3" t="n">
        <v>1</v>
      </c>
      <c r="F5127" s="24" t="n">
        <v>-0.00670984387</v>
      </c>
    </row>
    <row r="5128" customFormat="false" ht="15" hidden="false" customHeight="false" outlineLevel="0" collapsed="false">
      <c r="A5128" s="3" t="n">
        <v>5127</v>
      </c>
      <c r="B5128" s="3" t="n">
        <v>5126</v>
      </c>
      <c r="C5128" s="3" t="n">
        <v>6</v>
      </c>
      <c r="D5128" s="3" t="n">
        <v>15</v>
      </c>
      <c r="E5128" s="3" t="n">
        <v>2</v>
      </c>
      <c r="F5128" s="24" t="n">
        <v>-0.00670984387</v>
      </c>
    </row>
    <row r="5129" customFormat="false" ht="15" hidden="false" customHeight="false" outlineLevel="0" collapsed="false">
      <c r="A5129" s="3" t="n">
        <v>5128</v>
      </c>
      <c r="B5129" s="3" t="n">
        <v>5127</v>
      </c>
      <c r="C5129" s="3" t="n">
        <v>6</v>
      </c>
      <c r="D5129" s="3" t="n">
        <v>15</v>
      </c>
      <c r="E5129" s="3" t="n">
        <v>3</v>
      </c>
      <c r="F5129" s="24" t="n">
        <v>-0.00670984387</v>
      </c>
    </row>
    <row r="5130" customFormat="false" ht="15" hidden="false" customHeight="false" outlineLevel="0" collapsed="false">
      <c r="A5130" s="3" t="n">
        <v>5129</v>
      </c>
      <c r="B5130" s="3" t="n">
        <v>5128</v>
      </c>
      <c r="C5130" s="3" t="n">
        <v>6</v>
      </c>
      <c r="D5130" s="3" t="n">
        <v>15</v>
      </c>
      <c r="E5130" s="3" t="n">
        <v>4</v>
      </c>
      <c r="F5130" s="24" t="n">
        <v>-0.00670984387</v>
      </c>
    </row>
    <row r="5131" customFormat="false" ht="15" hidden="false" customHeight="false" outlineLevel="0" collapsed="false">
      <c r="A5131" s="3" t="n">
        <v>5130</v>
      </c>
      <c r="B5131" s="3" t="n">
        <v>5129</v>
      </c>
      <c r="C5131" s="3" t="n">
        <v>6</v>
      </c>
      <c r="D5131" s="3" t="n">
        <v>15</v>
      </c>
      <c r="E5131" s="3" t="n">
        <v>5</v>
      </c>
      <c r="F5131" s="24" t="n">
        <v>-0.00670984387</v>
      </c>
    </row>
    <row r="5132" customFormat="false" ht="15" hidden="false" customHeight="false" outlineLevel="0" collapsed="false">
      <c r="A5132" s="3" t="n">
        <v>5131</v>
      </c>
      <c r="B5132" s="3" t="n">
        <v>5130</v>
      </c>
      <c r="C5132" s="3" t="n">
        <v>6</v>
      </c>
      <c r="D5132" s="3" t="n">
        <v>15</v>
      </c>
      <c r="E5132" s="3" t="n">
        <v>6</v>
      </c>
      <c r="F5132" s="24" t="n">
        <v>-0.00670984387</v>
      </c>
    </row>
    <row r="5133" customFormat="false" ht="15" hidden="false" customHeight="false" outlineLevel="0" collapsed="false">
      <c r="A5133" s="3" t="n">
        <v>5132</v>
      </c>
      <c r="B5133" s="3" t="n">
        <v>5131</v>
      </c>
      <c r="C5133" s="3" t="n">
        <v>6</v>
      </c>
      <c r="D5133" s="3" t="n">
        <v>15</v>
      </c>
      <c r="E5133" s="3" t="n">
        <v>7</v>
      </c>
      <c r="F5133" s="24" t="n">
        <v>-0.00670984387</v>
      </c>
    </row>
    <row r="5134" customFormat="false" ht="15" hidden="false" customHeight="false" outlineLevel="0" collapsed="false">
      <c r="A5134" s="3" t="n">
        <v>5133</v>
      </c>
      <c r="B5134" s="3" t="n">
        <v>5132</v>
      </c>
      <c r="C5134" s="3" t="n">
        <v>6</v>
      </c>
      <c r="D5134" s="3" t="n">
        <v>15</v>
      </c>
      <c r="E5134" s="3" t="n">
        <v>8</v>
      </c>
      <c r="F5134" s="24" t="n">
        <v>-0.00670984387</v>
      </c>
    </row>
    <row r="5135" customFormat="false" ht="15" hidden="false" customHeight="false" outlineLevel="0" collapsed="false">
      <c r="A5135" s="3" t="n">
        <v>5134</v>
      </c>
      <c r="B5135" s="3" t="n">
        <v>5133</v>
      </c>
      <c r="C5135" s="3" t="n">
        <v>6</v>
      </c>
      <c r="D5135" s="3" t="n">
        <v>15</v>
      </c>
      <c r="E5135" s="3" t="n">
        <v>9</v>
      </c>
      <c r="F5135" s="24" t="n">
        <v>-0.00670984387</v>
      </c>
    </row>
    <row r="5136" customFormat="false" ht="15" hidden="false" customHeight="false" outlineLevel="0" collapsed="false">
      <c r="A5136" s="3" t="n">
        <v>5135</v>
      </c>
      <c r="B5136" s="3" t="n">
        <v>5134</v>
      </c>
      <c r="C5136" s="3" t="n">
        <v>6</v>
      </c>
      <c r="D5136" s="3" t="n">
        <v>15</v>
      </c>
      <c r="E5136" s="3" t="n">
        <v>10</v>
      </c>
      <c r="F5136" s="24" t="n">
        <v>-0.00670984387</v>
      </c>
    </row>
    <row r="5137" customFormat="false" ht="15" hidden="false" customHeight="false" outlineLevel="0" collapsed="false">
      <c r="A5137" s="3" t="n">
        <v>5136</v>
      </c>
      <c r="B5137" s="3" t="n">
        <v>5135</v>
      </c>
      <c r="C5137" s="3" t="n">
        <v>6</v>
      </c>
      <c r="D5137" s="3" t="n">
        <v>15</v>
      </c>
      <c r="E5137" s="3" t="n">
        <v>11</v>
      </c>
      <c r="F5137" s="24" t="n">
        <v>-0.00670984387</v>
      </c>
    </row>
    <row r="5138" customFormat="false" ht="15" hidden="false" customHeight="false" outlineLevel="0" collapsed="false">
      <c r="A5138" s="3" t="n">
        <v>5137</v>
      </c>
      <c r="B5138" s="3" t="n">
        <v>5136</v>
      </c>
      <c r="C5138" s="3" t="n">
        <v>6</v>
      </c>
      <c r="D5138" s="3" t="n">
        <v>15</v>
      </c>
      <c r="E5138" s="3" t="n">
        <v>12</v>
      </c>
      <c r="F5138" s="24" t="n">
        <v>-0.00670984387</v>
      </c>
    </row>
    <row r="5139" customFormat="false" ht="15" hidden="false" customHeight="false" outlineLevel="0" collapsed="false">
      <c r="A5139" s="3" t="n">
        <v>5138</v>
      </c>
      <c r="B5139" s="3" t="n">
        <v>5137</v>
      </c>
      <c r="C5139" s="3" t="n">
        <v>6</v>
      </c>
      <c r="D5139" s="3" t="n">
        <v>15</v>
      </c>
      <c r="E5139" s="3" t="n">
        <v>13</v>
      </c>
      <c r="F5139" s="24" t="n">
        <v>-0.00670984387</v>
      </c>
    </row>
    <row r="5140" customFormat="false" ht="15" hidden="false" customHeight="false" outlineLevel="0" collapsed="false">
      <c r="A5140" s="3" t="n">
        <v>5139</v>
      </c>
      <c r="B5140" s="3" t="n">
        <v>5138</v>
      </c>
      <c r="C5140" s="3" t="n">
        <v>6</v>
      </c>
      <c r="D5140" s="3" t="n">
        <v>15</v>
      </c>
      <c r="E5140" s="3" t="n">
        <v>14</v>
      </c>
      <c r="F5140" s="24" t="n">
        <v>-0.0266134441</v>
      </c>
    </row>
    <row r="5141" customFormat="false" ht="15" hidden="false" customHeight="false" outlineLevel="0" collapsed="false">
      <c r="A5141" s="3" t="n">
        <v>5140</v>
      </c>
      <c r="B5141" s="3" t="n">
        <v>5139</v>
      </c>
      <c r="C5141" s="3" t="n">
        <v>6</v>
      </c>
      <c r="D5141" s="3" t="n">
        <v>15</v>
      </c>
      <c r="E5141" s="3" t="n">
        <v>15</v>
      </c>
      <c r="F5141" s="24" t="n">
        <v>-0.749840736</v>
      </c>
    </row>
    <row r="5142" customFormat="false" ht="15" hidden="false" customHeight="false" outlineLevel="0" collapsed="false">
      <c r="A5142" s="3" t="n">
        <v>5141</v>
      </c>
      <c r="B5142" s="3" t="n">
        <v>5140</v>
      </c>
      <c r="C5142" s="3" t="n">
        <v>6</v>
      </c>
      <c r="D5142" s="3" t="n">
        <v>15</v>
      </c>
      <c r="E5142" s="3" t="n">
        <v>16</v>
      </c>
      <c r="F5142" s="24" t="n">
        <v>-0.247179717</v>
      </c>
    </row>
    <row r="5143" customFormat="false" ht="15" hidden="false" customHeight="false" outlineLevel="0" collapsed="false">
      <c r="A5143" s="3" t="n">
        <v>5142</v>
      </c>
      <c r="B5143" s="3" t="n">
        <v>5141</v>
      </c>
      <c r="C5143" s="3" t="n">
        <v>6</v>
      </c>
      <c r="D5143" s="3" t="n">
        <v>15</v>
      </c>
      <c r="E5143" s="3" t="n">
        <v>17</v>
      </c>
      <c r="F5143" s="24" t="n">
        <v>2.3932147</v>
      </c>
    </row>
    <row r="5144" customFormat="false" ht="15" hidden="false" customHeight="false" outlineLevel="0" collapsed="false">
      <c r="A5144" s="3" t="n">
        <v>5143</v>
      </c>
      <c r="B5144" s="3" t="n">
        <v>5142</v>
      </c>
      <c r="C5144" s="3" t="n">
        <v>6</v>
      </c>
      <c r="D5144" s="3" t="n">
        <v>15</v>
      </c>
      <c r="E5144" s="3" t="n">
        <v>18</v>
      </c>
      <c r="F5144" s="24" t="n">
        <v>3.32691312</v>
      </c>
    </row>
    <row r="5145" customFormat="false" ht="15" hidden="false" customHeight="false" outlineLevel="0" collapsed="false">
      <c r="A5145" s="3" t="n">
        <v>5144</v>
      </c>
      <c r="B5145" s="3" t="n">
        <v>5143</v>
      </c>
      <c r="C5145" s="3" t="n">
        <v>6</v>
      </c>
      <c r="D5145" s="3" t="n">
        <v>15</v>
      </c>
      <c r="E5145" s="3" t="n">
        <v>19</v>
      </c>
      <c r="F5145" s="24" t="n">
        <v>1.13359046</v>
      </c>
    </row>
    <row r="5146" customFormat="false" ht="15" hidden="false" customHeight="false" outlineLevel="0" collapsed="false">
      <c r="A5146" s="3" t="n">
        <v>5145</v>
      </c>
      <c r="B5146" s="3" t="n">
        <v>5144</v>
      </c>
      <c r="C5146" s="3" t="n">
        <v>6</v>
      </c>
      <c r="D5146" s="3" t="n">
        <v>15</v>
      </c>
      <c r="E5146" s="3" t="n">
        <v>20</v>
      </c>
      <c r="F5146" s="24" t="n">
        <v>0.064886868</v>
      </c>
    </row>
    <row r="5147" customFormat="false" ht="15" hidden="false" customHeight="false" outlineLevel="0" collapsed="false">
      <c r="A5147" s="3" t="n">
        <v>5146</v>
      </c>
      <c r="B5147" s="3" t="n">
        <v>5145</v>
      </c>
      <c r="C5147" s="3" t="n">
        <v>6</v>
      </c>
      <c r="D5147" s="3" t="n">
        <v>15</v>
      </c>
      <c r="E5147" s="3" t="n">
        <v>21</v>
      </c>
      <c r="F5147" s="24" t="n">
        <v>-0.00670984387</v>
      </c>
    </row>
    <row r="5148" customFormat="false" ht="15" hidden="false" customHeight="false" outlineLevel="0" collapsed="false">
      <c r="A5148" s="3" t="n">
        <v>5147</v>
      </c>
      <c r="B5148" s="3" t="n">
        <v>5146</v>
      </c>
      <c r="C5148" s="3" t="n">
        <v>6</v>
      </c>
      <c r="D5148" s="3" t="n">
        <v>15</v>
      </c>
      <c r="E5148" s="3" t="n">
        <v>22</v>
      </c>
      <c r="F5148" s="24" t="n">
        <v>-0.00670984387</v>
      </c>
    </row>
    <row r="5149" customFormat="false" ht="15" hidden="false" customHeight="false" outlineLevel="0" collapsed="false">
      <c r="A5149" s="3" t="n">
        <v>5148</v>
      </c>
      <c r="B5149" s="3" t="n">
        <v>5147</v>
      </c>
      <c r="C5149" s="3" t="n">
        <v>6</v>
      </c>
      <c r="D5149" s="3" t="n">
        <v>15</v>
      </c>
      <c r="E5149" s="3" t="n">
        <v>23</v>
      </c>
      <c r="F5149" s="24" t="n">
        <v>-0.00670984387</v>
      </c>
    </row>
    <row r="5150" customFormat="false" ht="15" hidden="false" customHeight="false" outlineLevel="0" collapsed="false">
      <c r="A5150" s="3" t="n">
        <v>5149</v>
      </c>
      <c r="B5150" s="3" t="n">
        <v>5148</v>
      </c>
      <c r="C5150" s="3" t="n">
        <v>6</v>
      </c>
      <c r="D5150" s="3" t="n">
        <v>15</v>
      </c>
      <c r="E5150" s="3" t="n">
        <v>24</v>
      </c>
      <c r="F5150" s="24" t="n">
        <v>-0.00670984387</v>
      </c>
    </row>
    <row r="5151" customFormat="false" ht="15" hidden="false" customHeight="false" outlineLevel="0" collapsed="false">
      <c r="A5151" s="3" t="n">
        <v>5150</v>
      </c>
      <c r="B5151" s="3" t="n">
        <v>5149</v>
      </c>
      <c r="C5151" s="3" t="n">
        <v>6</v>
      </c>
      <c r="D5151" s="3" t="n">
        <v>15</v>
      </c>
      <c r="E5151" s="3" t="n">
        <v>25</v>
      </c>
      <c r="F5151" s="24" t="n">
        <v>-0.00670984387</v>
      </c>
    </row>
    <row r="5152" customFormat="false" ht="15" hidden="false" customHeight="false" outlineLevel="0" collapsed="false">
      <c r="A5152" s="3" t="n">
        <v>5151</v>
      </c>
      <c r="B5152" s="3" t="n">
        <v>5150</v>
      </c>
      <c r="C5152" s="3" t="n">
        <v>6</v>
      </c>
      <c r="D5152" s="3" t="n">
        <v>15</v>
      </c>
      <c r="E5152" s="3" t="n">
        <v>26</v>
      </c>
      <c r="F5152" s="24" t="n">
        <v>-0.00670984387</v>
      </c>
    </row>
    <row r="5153" customFormat="false" ht="15" hidden="false" customHeight="false" outlineLevel="0" collapsed="false">
      <c r="A5153" s="3" t="n">
        <v>5152</v>
      </c>
      <c r="B5153" s="3" t="n">
        <v>5151</v>
      </c>
      <c r="C5153" s="3" t="n">
        <v>6</v>
      </c>
      <c r="D5153" s="3" t="n">
        <v>15</v>
      </c>
      <c r="E5153" s="3" t="n">
        <v>27</v>
      </c>
      <c r="F5153" s="24" t="n">
        <v>-0.0790599883</v>
      </c>
    </row>
    <row r="5154" customFormat="false" ht="15" hidden="false" customHeight="false" outlineLevel="0" collapsed="false">
      <c r="A5154" s="3" t="n">
        <v>5153</v>
      </c>
      <c r="B5154" s="3" t="n">
        <v>5152</v>
      </c>
      <c r="C5154" s="3" t="n">
        <v>6</v>
      </c>
      <c r="D5154" s="3" t="n">
        <v>16</v>
      </c>
      <c r="E5154" s="3" t="n">
        <v>0</v>
      </c>
      <c r="F5154" s="24" t="n">
        <v>0.185572863</v>
      </c>
    </row>
    <row r="5155" customFormat="false" ht="15" hidden="false" customHeight="false" outlineLevel="0" collapsed="false">
      <c r="A5155" s="3" t="n">
        <v>5154</v>
      </c>
      <c r="B5155" s="3" t="n">
        <v>5153</v>
      </c>
      <c r="C5155" s="3" t="n">
        <v>6</v>
      </c>
      <c r="D5155" s="3" t="n">
        <v>16</v>
      </c>
      <c r="E5155" s="3" t="n">
        <v>1</v>
      </c>
      <c r="F5155" s="24" t="n">
        <v>-0.00670984387</v>
      </c>
    </row>
    <row r="5156" customFormat="false" ht="15" hidden="false" customHeight="false" outlineLevel="0" collapsed="false">
      <c r="A5156" s="3" t="n">
        <v>5155</v>
      </c>
      <c r="B5156" s="3" t="n">
        <v>5154</v>
      </c>
      <c r="C5156" s="3" t="n">
        <v>6</v>
      </c>
      <c r="D5156" s="3" t="n">
        <v>16</v>
      </c>
      <c r="E5156" s="3" t="n">
        <v>2</v>
      </c>
      <c r="F5156" s="24" t="n">
        <v>-0.00670984387</v>
      </c>
    </row>
    <row r="5157" customFormat="false" ht="15" hidden="false" customHeight="false" outlineLevel="0" collapsed="false">
      <c r="A5157" s="3" t="n">
        <v>5156</v>
      </c>
      <c r="B5157" s="3" t="n">
        <v>5155</v>
      </c>
      <c r="C5157" s="3" t="n">
        <v>6</v>
      </c>
      <c r="D5157" s="3" t="n">
        <v>16</v>
      </c>
      <c r="E5157" s="3" t="n">
        <v>3</v>
      </c>
      <c r="F5157" s="24" t="n">
        <v>-0.00670984387</v>
      </c>
    </row>
    <row r="5158" customFormat="false" ht="15" hidden="false" customHeight="false" outlineLevel="0" collapsed="false">
      <c r="A5158" s="3" t="n">
        <v>5157</v>
      </c>
      <c r="B5158" s="3" t="n">
        <v>5156</v>
      </c>
      <c r="C5158" s="3" t="n">
        <v>6</v>
      </c>
      <c r="D5158" s="3" t="n">
        <v>16</v>
      </c>
      <c r="E5158" s="3" t="n">
        <v>4</v>
      </c>
      <c r="F5158" s="24" t="n">
        <v>-0.00670984387</v>
      </c>
    </row>
    <row r="5159" customFormat="false" ht="15" hidden="false" customHeight="false" outlineLevel="0" collapsed="false">
      <c r="A5159" s="3" t="n">
        <v>5158</v>
      </c>
      <c r="B5159" s="3" t="n">
        <v>5157</v>
      </c>
      <c r="C5159" s="3" t="n">
        <v>6</v>
      </c>
      <c r="D5159" s="3" t="n">
        <v>16</v>
      </c>
      <c r="E5159" s="3" t="n">
        <v>5</v>
      </c>
      <c r="F5159" s="24" t="n">
        <v>-0.00670984387</v>
      </c>
    </row>
    <row r="5160" customFormat="false" ht="15" hidden="false" customHeight="false" outlineLevel="0" collapsed="false">
      <c r="A5160" s="3" t="n">
        <v>5159</v>
      </c>
      <c r="B5160" s="3" t="n">
        <v>5158</v>
      </c>
      <c r="C5160" s="3" t="n">
        <v>6</v>
      </c>
      <c r="D5160" s="3" t="n">
        <v>16</v>
      </c>
      <c r="E5160" s="3" t="n">
        <v>6</v>
      </c>
      <c r="F5160" s="24" t="n">
        <v>-0.00670984387</v>
      </c>
    </row>
    <row r="5161" customFormat="false" ht="15" hidden="false" customHeight="false" outlineLevel="0" collapsed="false">
      <c r="A5161" s="3" t="n">
        <v>5160</v>
      </c>
      <c r="B5161" s="3" t="n">
        <v>5159</v>
      </c>
      <c r="C5161" s="3" t="n">
        <v>6</v>
      </c>
      <c r="D5161" s="3" t="n">
        <v>16</v>
      </c>
      <c r="E5161" s="3" t="n">
        <v>7</v>
      </c>
      <c r="F5161" s="24" t="n">
        <v>-0.00670984387</v>
      </c>
    </row>
    <row r="5162" customFormat="false" ht="15" hidden="false" customHeight="false" outlineLevel="0" collapsed="false">
      <c r="A5162" s="3" t="n">
        <v>5161</v>
      </c>
      <c r="B5162" s="3" t="n">
        <v>5160</v>
      </c>
      <c r="C5162" s="3" t="n">
        <v>6</v>
      </c>
      <c r="D5162" s="3" t="n">
        <v>16</v>
      </c>
      <c r="E5162" s="3" t="n">
        <v>8</v>
      </c>
      <c r="F5162" s="24" t="n">
        <v>-0.00670984387</v>
      </c>
    </row>
    <row r="5163" customFormat="false" ht="15" hidden="false" customHeight="false" outlineLevel="0" collapsed="false">
      <c r="A5163" s="3" t="n">
        <v>5162</v>
      </c>
      <c r="B5163" s="3" t="n">
        <v>5161</v>
      </c>
      <c r="C5163" s="3" t="n">
        <v>6</v>
      </c>
      <c r="D5163" s="3" t="n">
        <v>16</v>
      </c>
      <c r="E5163" s="3" t="n">
        <v>9</v>
      </c>
      <c r="F5163" s="24" t="n">
        <v>-0.00670984387</v>
      </c>
    </row>
    <row r="5164" customFormat="false" ht="15" hidden="false" customHeight="false" outlineLevel="0" collapsed="false">
      <c r="A5164" s="3" t="n">
        <v>5163</v>
      </c>
      <c r="B5164" s="3" t="n">
        <v>5162</v>
      </c>
      <c r="C5164" s="3" t="n">
        <v>6</v>
      </c>
      <c r="D5164" s="3" t="n">
        <v>16</v>
      </c>
      <c r="E5164" s="3" t="n">
        <v>10</v>
      </c>
      <c r="F5164" s="24" t="n">
        <v>-0.00670984387</v>
      </c>
    </row>
    <row r="5165" customFormat="false" ht="15" hidden="false" customHeight="false" outlineLevel="0" collapsed="false">
      <c r="A5165" s="3" t="n">
        <v>5164</v>
      </c>
      <c r="B5165" s="3" t="n">
        <v>5163</v>
      </c>
      <c r="C5165" s="3" t="n">
        <v>6</v>
      </c>
      <c r="D5165" s="3" t="n">
        <v>16</v>
      </c>
      <c r="E5165" s="3" t="n">
        <v>11</v>
      </c>
      <c r="F5165" s="24" t="n">
        <v>-0.00670984387</v>
      </c>
    </row>
    <row r="5166" customFormat="false" ht="15" hidden="false" customHeight="false" outlineLevel="0" collapsed="false">
      <c r="A5166" s="3" t="n">
        <v>5165</v>
      </c>
      <c r="B5166" s="3" t="n">
        <v>5164</v>
      </c>
      <c r="C5166" s="3" t="n">
        <v>6</v>
      </c>
      <c r="D5166" s="3" t="n">
        <v>16</v>
      </c>
      <c r="E5166" s="3" t="n">
        <v>12</v>
      </c>
      <c r="F5166" s="24" t="n">
        <v>-0.00670984387</v>
      </c>
    </row>
    <row r="5167" customFormat="false" ht="15" hidden="false" customHeight="false" outlineLevel="0" collapsed="false">
      <c r="A5167" s="3" t="n">
        <v>5166</v>
      </c>
      <c r="B5167" s="3" t="n">
        <v>5165</v>
      </c>
      <c r="C5167" s="3" t="n">
        <v>6</v>
      </c>
      <c r="D5167" s="3" t="n">
        <v>16</v>
      </c>
      <c r="E5167" s="3" t="n">
        <v>13</v>
      </c>
      <c r="F5167" s="24" t="n">
        <v>-0.00670984387</v>
      </c>
    </row>
    <row r="5168" customFormat="false" ht="15" hidden="false" customHeight="false" outlineLevel="0" collapsed="false">
      <c r="A5168" s="3" t="n">
        <v>5167</v>
      </c>
      <c r="B5168" s="3" t="n">
        <v>5166</v>
      </c>
      <c r="C5168" s="3" t="n">
        <v>6</v>
      </c>
      <c r="D5168" s="3" t="n">
        <v>16</v>
      </c>
      <c r="E5168" s="3" t="n">
        <v>14</v>
      </c>
      <c r="F5168" s="24" t="n">
        <v>-0.31755361</v>
      </c>
    </row>
    <row r="5169" customFormat="false" ht="15" hidden="false" customHeight="false" outlineLevel="0" collapsed="false">
      <c r="A5169" s="3" t="n">
        <v>5168</v>
      </c>
      <c r="B5169" s="3" t="n">
        <v>5167</v>
      </c>
      <c r="C5169" s="3" t="n">
        <v>6</v>
      </c>
      <c r="D5169" s="3" t="n">
        <v>16</v>
      </c>
      <c r="E5169" s="3" t="n">
        <v>15</v>
      </c>
      <c r="F5169" s="24" t="n">
        <v>-1.15543079</v>
      </c>
    </row>
    <row r="5170" customFormat="false" ht="15" hidden="false" customHeight="false" outlineLevel="0" collapsed="false">
      <c r="A5170" s="3" t="n">
        <v>5169</v>
      </c>
      <c r="B5170" s="3" t="n">
        <v>5168</v>
      </c>
      <c r="C5170" s="3" t="n">
        <v>6</v>
      </c>
      <c r="D5170" s="3" t="n">
        <v>16</v>
      </c>
      <c r="E5170" s="3" t="n">
        <v>16</v>
      </c>
      <c r="F5170" s="24" t="n">
        <v>0.659579396</v>
      </c>
    </row>
    <row r="5171" customFormat="false" ht="15" hidden="false" customHeight="false" outlineLevel="0" collapsed="false">
      <c r="A5171" s="3" t="n">
        <v>5170</v>
      </c>
      <c r="B5171" s="3" t="n">
        <v>5169</v>
      </c>
      <c r="C5171" s="3" t="n">
        <v>6</v>
      </c>
      <c r="D5171" s="3" t="n">
        <v>16</v>
      </c>
      <c r="E5171" s="3" t="n">
        <v>17</v>
      </c>
      <c r="F5171" s="24" t="n">
        <v>3.30169821</v>
      </c>
    </row>
    <row r="5172" customFormat="false" ht="15" hidden="false" customHeight="false" outlineLevel="0" collapsed="false">
      <c r="A5172" s="3" t="n">
        <v>5171</v>
      </c>
      <c r="B5172" s="3" t="n">
        <v>5170</v>
      </c>
      <c r="C5172" s="3" t="n">
        <v>6</v>
      </c>
      <c r="D5172" s="3" t="n">
        <v>16</v>
      </c>
      <c r="E5172" s="3" t="n">
        <v>18</v>
      </c>
      <c r="F5172" s="24" t="n">
        <v>2.25598383</v>
      </c>
    </row>
    <row r="5173" customFormat="false" ht="15" hidden="false" customHeight="false" outlineLevel="0" collapsed="false">
      <c r="A5173" s="3" t="n">
        <v>5172</v>
      </c>
      <c r="B5173" s="3" t="n">
        <v>5171</v>
      </c>
      <c r="C5173" s="3" t="n">
        <v>6</v>
      </c>
      <c r="D5173" s="3" t="n">
        <v>16</v>
      </c>
      <c r="E5173" s="3" t="n">
        <v>19</v>
      </c>
      <c r="F5173" s="24" t="n">
        <v>0.358644843</v>
      </c>
    </row>
    <row r="5174" customFormat="false" ht="15" hidden="false" customHeight="false" outlineLevel="0" collapsed="false">
      <c r="A5174" s="3" t="n">
        <v>5173</v>
      </c>
      <c r="B5174" s="3" t="n">
        <v>5172</v>
      </c>
      <c r="C5174" s="3" t="n">
        <v>6</v>
      </c>
      <c r="D5174" s="3" t="n">
        <v>16</v>
      </c>
      <c r="E5174" s="3" t="n">
        <v>20</v>
      </c>
      <c r="F5174" s="24" t="n">
        <v>-0.0021879375</v>
      </c>
    </row>
    <row r="5175" customFormat="false" ht="15" hidden="false" customHeight="false" outlineLevel="0" collapsed="false">
      <c r="A5175" s="3" t="n">
        <v>5174</v>
      </c>
      <c r="B5175" s="3" t="n">
        <v>5173</v>
      </c>
      <c r="C5175" s="3" t="n">
        <v>6</v>
      </c>
      <c r="D5175" s="3" t="n">
        <v>16</v>
      </c>
      <c r="E5175" s="3" t="n">
        <v>21</v>
      </c>
      <c r="F5175" s="24" t="n">
        <v>-0.00670984387</v>
      </c>
    </row>
    <row r="5176" customFormat="false" ht="15" hidden="false" customHeight="false" outlineLevel="0" collapsed="false">
      <c r="A5176" s="3" t="n">
        <v>5175</v>
      </c>
      <c r="B5176" s="3" t="n">
        <v>5174</v>
      </c>
      <c r="C5176" s="3" t="n">
        <v>6</v>
      </c>
      <c r="D5176" s="3" t="n">
        <v>16</v>
      </c>
      <c r="E5176" s="3" t="n">
        <v>22</v>
      </c>
      <c r="F5176" s="24" t="n">
        <v>-0.00670984387</v>
      </c>
    </row>
    <row r="5177" customFormat="false" ht="15" hidden="false" customHeight="false" outlineLevel="0" collapsed="false">
      <c r="A5177" s="3" t="n">
        <v>5176</v>
      </c>
      <c r="B5177" s="3" t="n">
        <v>5175</v>
      </c>
      <c r="C5177" s="3" t="n">
        <v>6</v>
      </c>
      <c r="D5177" s="3" t="n">
        <v>16</v>
      </c>
      <c r="E5177" s="3" t="n">
        <v>23</v>
      </c>
      <c r="F5177" s="24" t="n">
        <v>-0.00670984387</v>
      </c>
    </row>
    <row r="5178" customFormat="false" ht="15" hidden="false" customHeight="false" outlineLevel="0" collapsed="false">
      <c r="A5178" s="3" t="n">
        <v>5177</v>
      </c>
      <c r="B5178" s="3" t="n">
        <v>5176</v>
      </c>
      <c r="C5178" s="3" t="n">
        <v>6</v>
      </c>
      <c r="D5178" s="3" t="n">
        <v>16</v>
      </c>
      <c r="E5178" s="3" t="n">
        <v>24</v>
      </c>
      <c r="F5178" s="24" t="n">
        <v>-0.00670984387</v>
      </c>
    </row>
    <row r="5179" customFormat="false" ht="15" hidden="false" customHeight="false" outlineLevel="0" collapsed="false">
      <c r="A5179" s="3" t="n">
        <v>5178</v>
      </c>
      <c r="B5179" s="3" t="n">
        <v>5177</v>
      </c>
      <c r="C5179" s="3" t="n">
        <v>6</v>
      </c>
      <c r="D5179" s="3" t="n">
        <v>16</v>
      </c>
      <c r="E5179" s="3" t="n">
        <v>25</v>
      </c>
      <c r="F5179" s="24" t="n">
        <v>-0.00670984387</v>
      </c>
    </row>
    <row r="5180" customFormat="false" ht="15" hidden="false" customHeight="false" outlineLevel="0" collapsed="false">
      <c r="A5180" s="3" t="n">
        <v>5179</v>
      </c>
      <c r="B5180" s="3" t="n">
        <v>5178</v>
      </c>
      <c r="C5180" s="3" t="n">
        <v>6</v>
      </c>
      <c r="D5180" s="3" t="n">
        <v>16</v>
      </c>
      <c r="E5180" s="3" t="n">
        <v>26</v>
      </c>
      <c r="F5180" s="24" t="n">
        <v>-0.00670984387</v>
      </c>
    </row>
    <row r="5181" customFormat="false" ht="15" hidden="false" customHeight="false" outlineLevel="0" collapsed="false">
      <c r="A5181" s="3" t="n">
        <v>5180</v>
      </c>
      <c r="B5181" s="3" t="n">
        <v>5179</v>
      </c>
      <c r="C5181" s="3" t="n">
        <v>6</v>
      </c>
      <c r="D5181" s="3" t="n">
        <v>16</v>
      </c>
      <c r="E5181" s="3" t="n">
        <v>27</v>
      </c>
      <c r="F5181" s="24" t="n">
        <v>-0.0790599883</v>
      </c>
    </row>
    <row r="5182" customFormat="false" ht="15" hidden="false" customHeight="false" outlineLevel="0" collapsed="false">
      <c r="A5182" s="3" t="n">
        <v>5181</v>
      </c>
      <c r="B5182" s="3" t="n">
        <v>5180</v>
      </c>
      <c r="C5182" s="3" t="n">
        <v>6</v>
      </c>
      <c r="D5182" s="3" t="n">
        <v>17</v>
      </c>
      <c r="E5182" s="3" t="n">
        <v>0</v>
      </c>
      <c r="F5182" s="24" t="n">
        <v>0.185572863</v>
      </c>
    </row>
    <row r="5183" customFormat="false" ht="15" hidden="false" customHeight="false" outlineLevel="0" collapsed="false">
      <c r="A5183" s="3" t="n">
        <v>5182</v>
      </c>
      <c r="B5183" s="3" t="n">
        <v>5181</v>
      </c>
      <c r="C5183" s="3" t="n">
        <v>6</v>
      </c>
      <c r="D5183" s="3" t="n">
        <v>17</v>
      </c>
      <c r="E5183" s="3" t="n">
        <v>1</v>
      </c>
      <c r="F5183" s="24" t="n">
        <v>-0.00670984387</v>
      </c>
    </row>
    <row r="5184" customFormat="false" ht="15" hidden="false" customHeight="false" outlineLevel="0" collapsed="false">
      <c r="A5184" s="3" t="n">
        <v>5183</v>
      </c>
      <c r="B5184" s="3" t="n">
        <v>5182</v>
      </c>
      <c r="C5184" s="3" t="n">
        <v>6</v>
      </c>
      <c r="D5184" s="3" t="n">
        <v>17</v>
      </c>
      <c r="E5184" s="3" t="n">
        <v>2</v>
      </c>
      <c r="F5184" s="24" t="n">
        <v>-0.00670984387</v>
      </c>
    </row>
    <row r="5185" customFormat="false" ht="15" hidden="false" customHeight="false" outlineLevel="0" collapsed="false">
      <c r="A5185" s="3" t="n">
        <v>5184</v>
      </c>
      <c r="B5185" s="3" t="n">
        <v>5183</v>
      </c>
      <c r="C5185" s="3" t="n">
        <v>6</v>
      </c>
      <c r="D5185" s="3" t="n">
        <v>17</v>
      </c>
      <c r="E5185" s="3" t="n">
        <v>3</v>
      </c>
      <c r="F5185" s="24" t="n">
        <v>-0.00670984387</v>
      </c>
    </row>
    <row r="5186" customFormat="false" ht="15" hidden="false" customHeight="false" outlineLevel="0" collapsed="false">
      <c r="A5186" s="3" t="n">
        <v>5185</v>
      </c>
      <c r="B5186" s="3" t="n">
        <v>5184</v>
      </c>
      <c r="C5186" s="3" t="n">
        <v>6</v>
      </c>
      <c r="D5186" s="3" t="n">
        <v>17</v>
      </c>
      <c r="E5186" s="3" t="n">
        <v>4</v>
      </c>
      <c r="F5186" s="24" t="n">
        <v>-0.00670984387</v>
      </c>
    </row>
    <row r="5187" customFormat="false" ht="15" hidden="false" customHeight="false" outlineLevel="0" collapsed="false">
      <c r="A5187" s="3" t="n">
        <v>5186</v>
      </c>
      <c r="B5187" s="3" t="n">
        <v>5185</v>
      </c>
      <c r="C5187" s="3" t="n">
        <v>6</v>
      </c>
      <c r="D5187" s="3" t="n">
        <v>17</v>
      </c>
      <c r="E5187" s="3" t="n">
        <v>5</v>
      </c>
      <c r="F5187" s="24" t="n">
        <v>-0.00670984387</v>
      </c>
    </row>
    <row r="5188" customFormat="false" ht="15" hidden="false" customHeight="false" outlineLevel="0" collapsed="false">
      <c r="A5188" s="3" t="n">
        <v>5187</v>
      </c>
      <c r="B5188" s="3" t="n">
        <v>5186</v>
      </c>
      <c r="C5188" s="3" t="n">
        <v>6</v>
      </c>
      <c r="D5188" s="3" t="n">
        <v>17</v>
      </c>
      <c r="E5188" s="3" t="n">
        <v>6</v>
      </c>
      <c r="F5188" s="24" t="n">
        <v>-0.00670984387</v>
      </c>
    </row>
    <row r="5189" customFormat="false" ht="15" hidden="false" customHeight="false" outlineLevel="0" collapsed="false">
      <c r="A5189" s="3" t="n">
        <v>5188</v>
      </c>
      <c r="B5189" s="3" t="n">
        <v>5187</v>
      </c>
      <c r="C5189" s="3" t="n">
        <v>6</v>
      </c>
      <c r="D5189" s="3" t="n">
        <v>17</v>
      </c>
      <c r="E5189" s="3" t="n">
        <v>7</v>
      </c>
      <c r="F5189" s="24" t="n">
        <v>-0.00670984387</v>
      </c>
    </row>
    <row r="5190" customFormat="false" ht="15" hidden="false" customHeight="false" outlineLevel="0" collapsed="false">
      <c r="A5190" s="3" t="n">
        <v>5189</v>
      </c>
      <c r="B5190" s="3" t="n">
        <v>5188</v>
      </c>
      <c r="C5190" s="3" t="n">
        <v>6</v>
      </c>
      <c r="D5190" s="3" t="n">
        <v>17</v>
      </c>
      <c r="E5190" s="3" t="n">
        <v>8</v>
      </c>
      <c r="F5190" s="24" t="n">
        <v>-0.00670984387</v>
      </c>
    </row>
    <row r="5191" customFormat="false" ht="15" hidden="false" customHeight="false" outlineLevel="0" collapsed="false">
      <c r="A5191" s="3" t="n">
        <v>5190</v>
      </c>
      <c r="B5191" s="3" t="n">
        <v>5189</v>
      </c>
      <c r="C5191" s="3" t="n">
        <v>6</v>
      </c>
      <c r="D5191" s="3" t="n">
        <v>17</v>
      </c>
      <c r="E5191" s="3" t="n">
        <v>9</v>
      </c>
      <c r="F5191" s="24" t="n">
        <v>-0.00670984387</v>
      </c>
    </row>
    <row r="5192" customFormat="false" ht="15" hidden="false" customHeight="false" outlineLevel="0" collapsed="false">
      <c r="A5192" s="3" t="n">
        <v>5191</v>
      </c>
      <c r="B5192" s="3" t="n">
        <v>5190</v>
      </c>
      <c r="C5192" s="3" t="n">
        <v>6</v>
      </c>
      <c r="D5192" s="3" t="n">
        <v>17</v>
      </c>
      <c r="E5192" s="3" t="n">
        <v>10</v>
      </c>
      <c r="F5192" s="24" t="n">
        <v>-0.00670984387</v>
      </c>
    </row>
    <row r="5193" customFormat="false" ht="15" hidden="false" customHeight="false" outlineLevel="0" collapsed="false">
      <c r="A5193" s="3" t="n">
        <v>5192</v>
      </c>
      <c r="B5193" s="3" t="n">
        <v>5191</v>
      </c>
      <c r="C5193" s="3" t="n">
        <v>6</v>
      </c>
      <c r="D5193" s="3" t="n">
        <v>17</v>
      </c>
      <c r="E5193" s="3" t="n">
        <v>11</v>
      </c>
      <c r="F5193" s="24" t="n">
        <v>-0.00670984387</v>
      </c>
    </row>
    <row r="5194" customFormat="false" ht="15" hidden="false" customHeight="false" outlineLevel="0" collapsed="false">
      <c r="A5194" s="3" t="n">
        <v>5193</v>
      </c>
      <c r="B5194" s="3" t="n">
        <v>5192</v>
      </c>
      <c r="C5194" s="3" t="n">
        <v>6</v>
      </c>
      <c r="D5194" s="3" t="n">
        <v>17</v>
      </c>
      <c r="E5194" s="3" t="n">
        <v>12</v>
      </c>
      <c r="F5194" s="24" t="n">
        <v>-0.00670984387</v>
      </c>
    </row>
    <row r="5195" customFormat="false" ht="15" hidden="false" customHeight="false" outlineLevel="0" collapsed="false">
      <c r="A5195" s="3" t="n">
        <v>5194</v>
      </c>
      <c r="B5195" s="3" t="n">
        <v>5193</v>
      </c>
      <c r="C5195" s="3" t="n">
        <v>6</v>
      </c>
      <c r="D5195" s="3" t="n">
        <v>17</v>
      </c>
      <c r="E5195" s="3" t="n">
        <v>13</v>
      </c>
      <c r="F5195" s="24" t="n">
        <v>-0.172573268</v>
      </c>
    </row>
    <row r="5196" customFormat="false" ht="15" hidden="false" customHeight="false" outlineLevel="0" collapsed="false">
      <c r="A5196" s="3" t="n">
        <v>5195</v>
      </c>
      <c r="B5196" s="3" t="n">
        <v>5194</v>
      </c>
      <c r="C5196" s="3" t="n">
        <v>6</v>
      </c>
      <c r="D5196" s="3" t="n">
        <v>17</v>
      </c>
      <c r="E5196" s="3" t="n">
        <v>14</v>
      </c>
      <c r="F5196" s="24" t="n">
        <v>-1.20887709</v>
      </c>
    </row>
    <row r="5197" customFormat="false" ht="15" hidden="false" customHeight="false" outlineLevel="0" collapsed="false">
      <c r="A5197" s="3" t="n">
        <v>5196</v>
      </c>
      <c r="B5197" s="3" t="n">
        <v>5195</v>
      </c>
      <c r="C5197" s="3" t="n">
        <v>6</v>
      </c>
      <c r="D5197" s="3" t="n">
        <v>17</v>
      </c>
      <c r="E5197" s="3" t="n">
        <v>15</v>
      </c>
      <c r="F5197" s="24" t="n">
        <v>-0.613099694</v>
      </c>
    </row>
    <row r="5198" customFormat="false" ht="15" hidden="false" customHeight="false" outlineLevel="0" collapsed="false">
      <c r="A5198" s="3" t="n">
        <v>5197</v>
      </c>
      <c r="B5198" s="3" t="n">
        <v>5196</v>
      </c>
      <c r="C5198" s="3" t="n">
        <v>6</v>
      </c>
      <c r="D5198" s="3" t="n">
        <v>17</v>
      </c>
      <c r="E5198" s="3" t="n">
        <v>16</v>
      </c>
      <c r="F5198" s="24" t="n">
        <v>2.2879169</v>
      </c>
    </row>
    <row r="5199" customFormat="false" ht="15" hidden="false" customHeight="false" outlineLevel="0" collapsed="false">
      <c r="A5199" s="3" t="n">
        <v>5198</v>
      </c>
      <c r="B5199" s="3" t="n">
        <v>5197</v>
      </c>
      <c r="C5199" s="3" t="n">
        <v>6</v>
      </c>
      <c r="D5199" s="3" t="n">
        <v>17</v>
      </c>
      <c r="E5199" s="3" t="n">
        <v>17</v>
      </c>
      <c r="F5199" s="24" t="n">
        <v>3.23249245</v>
      </c>
    </row>
    <row r="5200" customFormat="false" ht="15" hidden="false" customHeight="false" outlineLevel="0" collapsed="false">
      <c r="A5200" s="3" t="n">
        <v>5199</v>
      </c>
      <c r="B5200" s="3" t="n">
        <v>5198</v>
      </c>
      <c r="C5200" s="3" t="n">
        <v>6</v>
      </c>
      <c r="D5200" s="3" t="n">
        <v>17</v>
      </c>
      <c r="E5200" s="3" t="n">
        <v>18</v>
      </c>
      <c r="F5200" s="24" t="n">
        <v>1.07032549</v>
      </c>
    </row>
    <row r="5201" customFormat="false" ht="15" hidden="false" customHeight="false" outlineLevel="0" collapsed="false">
      <c r="A5201" s="3" t="n">
        <v>5200</v>
      </c>
      <c r="B5201" s="3" t="n">
        <v>5199</v>
      </c>
      <c r="C5201" s="3" t="n">
        <v>6</v>
      </c>
      <c r="D5201" s="3" t="n">
        <v>17</v>
      </c>
      <c r="E5201" s="3" t="n">
        <v>19</v>
      </c>
      <c r="F5201" s="24" t="n">
        <v>0.0457448363</v>
      </c>
    </row>
    <row r="5202" customFormat="false" ht="15" hidden="false" customHeight="false" outlineLevel="0" collapsed="false">
      <c r="A5202" s="3" t="n">
        <v>5201</v>
      </c>
      <c r="B5202" s="3" t="n">
        <v>5200</v>
      </c>
      <c r="C5202" s="3" t="n">
        <v>6</v>
      </c>
      <c r="D5202" s="3" t="n">
        <v>17</v>
      </c>
      <c r="E5202" s="3" t="n">
        <v>20</v>
      </c>
      <c r="F5202" s="24" t="n">
        <v>-0.00670984387</v>
      </c>
    </row>
    <row r="5203" customFormat="false" ht="15" hidden="false" customHeight="false" outlineLevel="0" collapsed="false">
      <c r="A5203" s="3" t="n">
        <v>5202</v>
      </c>
      <c r="B5203" s="3" t="n">
        <v>5201</v>
      </c>
      <c r="C5203" s="3" t="n">
        <v>6</v>
      </c>
      <c r="D5203" s="3" t="n">
        <v>17</v>
      </c>
      <c r="E5203" s="3" t="n">
        <v>21</v>
      </c>
      <c r="F5203" s="24" t="n">
        <v>-0.00670984387</v>
      </c>
    </row>
    <row r="5204" customFormat="false" ht="15" hidden="false" customHeight="false" outlineLevel="0" collapsed="false">
      <c r="A5204" s="3" t="n">
        <v>5203</v>
      </c>
      <c r="B5204" s="3" t="n">
        <v>5202</v>
      </c>
      <c r="C5204" s="3" t="n">
        <v>6</v>
      </c>
      <c r="D5204" s="3" t="n">
        <v>17</v>
      </c>
      <c r="E5204" s="3" t="n">
        <v>22</v>
      </c>
      <c r="F5204" s="24" t="n">
        <v>-0.00670984387</v>
      </c>
    </row>
    <row r="5205" customFormat="false" ht="15" hidden="false" customHeight="false" outlineLevel="0" collapsed="false">
      <c r="A5205" s="3" t="n">
        <v>5204</v>
      </c>
      <c r="B5205" s="3" t="n">
        <v>5203</v>
      </c>
      <c r="C5205" s="3" t="n">
        <v>6</v>
      </c>
      <c r="D5205" s="3" t="n">
        <v>17</v>
      </c>
      <c r="E5205" s="3" t="n">
        <v>23</v>
      </c>
      <c r="F5205" s="24" t="n">
        <v>-0.00670984387</v>
      </c>
    </row>
    <row r="5206" customFormat="false" ht="15" hidden="false" customHeight="false" outlineLevel="0" collapsed="false">
      <c r="A5206" s="3" t="n">
        <v>5205</v>
      </c>
      <c r="B5206" s="3" t="n">
        <v>5204</v>
      </c>
      <c r="C5206" s="3" t="n">
        <v>6</v>
      </c>
      <c r="D5206" s="3" t="n">
        <v>17</v>
      </c>
      <c r="E5206" s="3" t="n">
        <v>24</v>
      </c>
      <c r="F5206" s="24" t="n">
        <v>-0.00670984387</v>
      </c>
    </row>
    <row r="5207" customFormat="false" ht="15" hidden="false" customHeight="false" outlineLevel="0" collapsed="false">
      <c r="A5207" s="3" t="n">
        <v>5206</v>
      </c>
      <c r="B5207" s="3" t="n">
        <v>5205</v>
      </c>
      <c r="C5207" s="3" t="n">
        <v>6</v>
      </c>
      <c r="D5207" s="3" t="n">
        <v>17</v>
      </c>
      <c r="E5207" s="3" t="n">
        <v>25</v>
      </c>
      <c r="F5207" s="24" t="n">
        <v>-0.00670984387</v>
      </c>
    </row>
    <row r="5208" customFormat="false" ht="15" hidden="false" customHeight="false" outlineLevel="0" collapsed="false">
      <c r="A5208" s="3" t="n">
        <v>5207</v>
      </c>
      <c r="B5208" s="3" t="n">
        <v>5206</v>
      </c>
      <c r="C5208" s="3" t="n">
        <v>6</v>
      </c>
      <c r="D5208" s="3" t="n">
        <v>17</v>
      </c>
      <c r="E5208" s="3" t="n">
        <v>26</v>
      </c>
      <c r="F5208" s="24" t="n">
        <v>-0.00670984387</v>
      </c>
    </row>
    <row r="5209" customFormat="false" ht="15" hidden="false" customHeight="false" outlineLevel="0" collapsed="false">
      <c r="A5209" s="3" t="n">
        <v>5208</v>
      </c>
      <c r="B5209" s="3" t="n">
        <v>5207</v>
      </c>
      <c r="C5209" s="3" t="n">
        <v>6</v>
      </c>
      <c r="D5209" s="3" t="n">
        <v>17</v>
      </c>
      <c r="E5209" s="3" t="n">
        <v>27</v>
      </c>
      <c r="F5209" s="24" t="n">
        <v>-0.0790599883</v>
      </c>
    </row>
    <row r="5210" customFormat="false" ht="15" hidden="false" customHeight="false" outlineLevel="0" collapsed="false">
      <c r="A5210" s="3" t="n">
        <v>5209</v>
      </c>
      <c r="B5210" s="3" t="n">
        <v>5208</v>
      </c>
      <c r="C5210" s="3" t="n">
        <v>6</v>
      </c>
      <c r="D5210" s="3" t="n">
        <v>18</v>
      </c>
      <c r="E5210" s="3" t="n">
        <v>0</v>
      </c>
      <c r="F5210" s="24" t="n">
        <v>0.185572863</v>
      </c>
    </row>
    <row r="5211" customFormat="false" ht="15" hidden="false" customHeight="false" outlineLevel="0" collapsed="false">
      <c r="A5211" s="3" t="n">
        <v>5210</v>
      </c>
      <c r="B5211" s="3" t="n">
        <v>5209</v>
      </c>
      <c r="C5211" s="3" t="n">
        <v>6</v>
      </c>
      <c r="D5211" s="3" t="n">
        <v>18</v>
      </c>
      <c r="E5211" s="3" t="n">
        <v>1</v>
      </c>
      <c r="F5211" s="24" t="n">
        <v>-0.00670984387</v>
      </c>
    </row>
    <row r="5212" customFormat="false" ht="15" hidden="false" customHeight="false" outlineLevel="0" collapsed="false">
      <c r="A5212" s="3" t="n">
        <v>5211</v>
      </c>
      <c r="B5212" s="3" t="n">
        <v>5210</v>
      </c>
      <c r="C5212" s="3" t="n">
        <v>6</v>
      </c>
      <c r="D5212" s="3" t="n">
        <v>18</v>
      </c>
      <c r="E5212" s="3" t="n">
        <v>2</v>
      </c>
      <c r="F5212" s="24" t="n">
        <v>-0.00670984387</v>
      </c>
    </row>
    <row r="5213" customFormat="false" ht="15" hidden="false" customHeight="false" outlineLevel="0" collapsed="false">
      <c r="A5213" s="3" t="n">
        <v>5212</v>
      </c>
      <c r="B5213" s="3" t="n">
        <v>5211</v>
      </c>
      <c r="C5213" s="3" t="n">
        <v>6</v>
      </c>
      <c r="D5213" s="3" t="n">
        <v>18</v>
      </c>
      <c r="E5213" s="3" t="n">
        <v>3</v>
      </c>
      <c r="F5213" s="24" t="n">
        <v>-0.00670984387</v>
      </c>
    </row>
    <row r="5214" customFormat="false" ht="15" hidden="false" customHeight="false" outlineLevel="0" collapsed="false">
      <c r="A5214" s="3" t="n">
        <v>5213</v>
      </c>
      <c r="B5214" s="3" t="n">
        <v>5212</v>
      </c>
      <c r="C5214" s="3" t="n">
        <v>6</v>
      </c>
      <c r="D5214" s="3" t="n">
        <v>18</v>
      </c>
      <c r="E5214" s="3" t="n">
        <v>4</v>
      </c>
      <c r="F5214" s="24" t="n">
        <v>-0.00670984387</v>
      </c>
    </row>
    <row r="5215" customFormat="false" ht="15" hidden="false" customHeight="false" outlineLevel="0" collapsed="false">
      <c r="A5215" s="3" t="n">
        <v>5214</v>
      </c>
      <c r="B5215" s="3" t="n">
        <v>5213</v>
      </c>
      <c r="C5215" s="3" t="n">
        <v>6</v>
      </c>
      <c r="D5215" s="3" t="n">
        <v>18</v>
      </c>
      <c r="E5215" s="3" t="n">
        <v>5</v>
      </c>
      <c r="F5215" s="24" t="n">
        <v>-0.00670984387</v>
      </c>
    </row>
    <row r="5216" customFormat="false" ht="15" hidden="false" customHeight="false" outlineLevel="0" collapsed="false">
      <c r="A5216" s="3" t="n">
        <v>5215</v>
      </c>
      <c r="B5216" s="3" t="n">
        <v>5214</v>
      </c>
      <c r="C5216" s="3" t="n">
        <v>6</v>
      </c>
      <c r="D5216" s="3" t="n">
        <v>18</v>
      </c>
      <c r="E5216" s="3" t="n">
        <v>6</v>
      </c>
      <c r="F5216" s="24" t="n">
        <v>-0.00670984387</v>
      </c>
    </row>
    <row r="5217" customFormat="false" ht="15" hidden="false" customHeight="false" outlineLevel="0" collapsed="false">
      <c r="A5217" s="3" t="n">
        <v>5216</v>
      </c>
      <c r="B5217" s="3" t="n">
        <v>5215</v>
      </c>
      <c r="C5217" s="3" t="n">
        <v>6</v>
      </c>
      <c r="D5217" s="3" t="n">
        <v>18</v>
      </c>
      <c r="E5217" s="3" t="n">
        <v>7</v>
      </c>
      <c r="F5217" s="24" t="n">
        <v>-0.00670984387</v>
      </c>
    </row>
    <row r="5218" customFormat="false" ht="15" hidden="false" customHeight="false" outlineLevel="0" collapsed="false">
      <c r="A5218" s="3" t="n">
        <v>5217</v>
      </c>
      <c r="B5218" s="3" t="n">
        <v>5216</v>
      </c>
      <c r="C5218" s="3" t="n">
        <v>6</v>
      </c>
      <c r="D5218" s="3" t="n">
        <v>18</v>
      </c>
      <c r="E5218" s="3" t="n">
        <v>8</v>
      </c>
      <c r="F5218" s="24" t="n">
        <v>-0.00670984387</v>
      </c>
    </row>
    <row r="5219" customFormat="false" ht="15" hidden="false" customHeight="false" outlineLevel="0" collapsed="false">
      <c r="A5219" s="3" t="n">
        <v>5218</v>
      </c>
      <c r="B5219" s="3" t="n">
        <v>5217</v>
      </c>
      <c r="C5219" s="3" t="n">
        <v>6</v>
      </c>
      <c r="D5219" s="3" t="n">
        <v>18</v>
      </c>
      <c r="E5219" s="3" t="n">
        <v>9</v>
      </c>
      <c r="F5219" s="24" t="n">
        <v>-0.00670984387</v>
      </c>
    </row>
    <row r="5220" customFormat="false" ht="15" hidden="false" customHeight="false" outlineLevel="0" collapsed="false">
      <c r="A5220" s="3" t="n">
        <v>5219</v>
      </c>
      <c r="B5220" s="3" t="n">
        <v>5218</v>
      </c>
      <c r="C5220" s="3" t="n">
        <v>6</v>
      </c>
      <c r="D5220" s="3" t="n">
        <v>18</v>
      </c>
      <c r="E5220" s="3" t="n">
        <v>10</v>
      </c>
      <c r="F5220" s="24" t="n">
        <v>-0.00670984387</v>
      </c>
    </row>
    <row r="5221" customFormat="false" ht="15" hidden="false" customHeight="false" outlineLevel="0" collapsed="false">
      <c r="A5221" s="3" t="n">
        <v>5220</v>
      </c>
      <c r="B5221" s="3" t="n">
        <v>5219</v>
      </c>
      <c r="C5221" s="3" t="n">
        <v>6</v>
      </c>
      <c r="D5221" s="3" t="n">
        <v>18</v>
      </c>
      <c r="E5221" s="3" t="n">
        <v>11</v>
      </c>
      <c r="F5221" s="24" t="n">
        <v>-0.00670984387</v>
      </c>
    </row>
    <row r="5222" customFormat="false" ht="15" hidden="false" customHeight="false" outlineLevel="0" collapsed="false">
      <c r="A5222" s="3" t="n">
        <v>5221</v>
      </c>
      <c r="B5222" s="3" t="n">
        <v>5220</v>
      </c>
      <c r="C5222" s="3" t="n">
        <v>6</v>
      </c>
      <c r="D5222" s="3" t="n">
        <v>18</v>
      </c>
      <c r="E5222" s="3" t="n">
        <v>12</v>
      </c>
      <c r="F5222" s="24" t="n">
        <v>-0.0487285852</v>
      </c>
    </row>
    <row r="5223" customFormat="false" ht="15" hidden="false" customHeight="false" outlineLevel="0" collapsed="false">
      <c r="A5223" s="3" t="n">
        <v>5222</v>
      </c>
      <c r="B5223" s="3" t="n">
        <v>5221</v>
      </c>
      <c r="C5223" s="3" t="n">
        <v>6</v>
      </c>
      <c r="D5223" s="3" t="n">
        <v>18</v>
      </c>
      <c r="E5223" s="3" t="n">
        <v>13</v>
      </c>
      <c r="F5223" s="24" t="n">
        <v>-0.821727037</v>
      </c>
    </row>
    <row r="5224" customFormat="false" ht="15" hidden="false" customHeight="false" outlineLevel="0" collapsed="false">
      <c r="A5224" s="3" t="n">
        <v>5223</v>
      </c>
      <c r="B5224" s="3" t="n">
        <v>5222</v>
      </c>
      <c r="C5224" s="3" t="n">
        <v>6</v>
      </c>
      <c r="D5224" s="3" t="n">
        <v>18</v>
      </c>
      <c r="E5224" s="3" t="n">
        <v>14</v>
      </c>
      <c r="F5224" s="24" t="n">
        <v>-1.23706079</v>
      </c>
    </row>
    <row r="5225" customFormat="false" ht="15" hidden="false" customHeight="false" outlineLevel="0" collapsed="false">
      <c r="A5225" s="3" t="n">
        <v>5224</v>
      </c>
      <c r="B5225" s="3" t="n">
        <v>5223</v>
      </c>
      <c r="C5225" s="3" t="n">
        <v>6</v>
      </c>
      <c r="D5225" s="3" t="n">
        <v>18</v>
      </c>
      <c r="E5225" s="3" t="n">
        <v>15</v>
      </c>
      <c r="F5225" s="24" t="n">
        <v>1.32733536</v>
      </c>
    </row>
    <row r="5226" customFormat="false" ht="15" hidden="false" customHeight="false" outlineLevel="0" collapsed="false">
      <c r="A5226" s="3" t="n">
        <v>5225</v>
      </c>
      <c r="B5226" s="3" t="n">
        <v>5224</v>
      </c>
      <c r="C5226" s="3" t="n">
        <v>6</v>
      </c>
      <c r="D5226" s="3" t="n">
        <v>18</v>
      </c>
      <c r="E5226" s="3" t="n">
        <v>16</v>
      </c>
      <c r="F5226" s="24" t="n">
        <v>3.42830443</v>
      </c>
    </row>
    <row r="5227" customFormat="false" ht="15" hidden="false" customHeight="false" outlineLevel="0" collapsed="false">
      <c r="A5227" s="3" t="n">
        <v>5226</v>
      </c>
      <c r="B5227" s="3" t="n">
        <v>5225</v>
      </c>
      <c r="C5227" s="3" t="n">
        <v>6</v>
      </c>
      <c r="D5227" s="3" t="n">
        <v>18</v>
      </c>
      <c r="E5227" s="3" t="n">
        <v>17</v>
      </c>
      <c r="F5227" s="24" t="n">
        <v>2.16321921</v>
      </c>
    </row>
    <row r="5228" customFormat="false" ht="15" hidden="false" customHeight="false" outlineLevel="0" collapsed="false">
      <c r="A5228" s="3" t="n">
        <v>5227</v>
      </c>
      <c r="B5228" s="3" t="n">
        <v>5226</v>
      </c>
      <c r="C5228" s="3" t="n">
        <v>6</v>
      </c>
      <c r="D5228" s="3" t="n">
        <v>18</v>
      </c>
      <c r="E5228" s="3" t="n">
        <v>18</v>
      </c>
      <c r="F5228" s="24" t="n">
        <v>0.33486858</v>
      </c>
    </row>
    <row r="5229" customFormat="false" ht="15" hidden="false" customHeight="false" outlineLevel="0" collapsed="false">
      <c r="A5229" s="3" t="n">
        <v>5228</v>
      </c>
      <c r="B5229" s="3" t="n">
        <v>5227</v>
      </c>
      <c r="C5229" s="3" t="n">
        <v>6</v>
      </c>
      <c r="D5229" s="3" t="n">
        <v>18</v>
      </c>
      <c r="E5229" s="3" t="n">
        <v>19</v>
      </c>
      <c r="F5229" s="24" t="n">
        <v>-0.00670984387</v>
      </c>
    </row>
    <row r="5230" customFormat="false" ht="15" hidden="false" customHeight="false" outlineLevel="0" collapsed="false">
      <c r="A5230" s="3" t="n">
        <v>5229</v>
      </c>
      <c r="B5230" s="3" t="n">
        <v>5228</v>
      </c>
      <c r="C5230" s="3" t="n">
        <v>6</v>
      </c>
      <c r="D5230" s="3" t="n">
        <v>18</v>
      </c>
      <c r="E5230" s="3" t="n">
        <v>20</v>
      </c>
      <c r="F5230" s="24" t="n">
        <v>-0.00670984387</v>
      </c>
    </row>
    <row r="5231" customFormat="false" ht="15" hidden="false" customHeight="false" outlineLevel="0" collapsed="false">
      <c r="A5231" s="3" t="n">
        <v>5230</v>
      </c>
      <c r="B5231" s="3" t="n">
        <v>5229</v>
      </c>
      <c r="C5231" s="3" t="n">
        <v>6</v>
      </c>
      <c r="D5231" s="3" t="n">
        <v>18</v>
      </c>
      <c r="E5231" s="3" t="n">
        <v>21</v>
      </c>
      <c r="F5231" s="24" t="n">
        <v>-0.00670984387</v>
      </c>
    </row>
    <row r="5232" customFormat="false" ht="15" hidden="false" customHeight="false" outlineLevel="0" collapsed="false">
      <c r="A5232" s="3" t="n">
        <v>5231</v>
      </c>
      <c r="B5232" s="3" t="n">
        <v>5230</v>
      </c>
      <c r="C5232" s="3" t="n">
        <v>6</v>
      </c>
      <c r="D5232" s="3" t="n">
        <v>18</v>
      </c>
      <c r="E5232" s="3" t="n">
        <v>22</v>
      </c>
      <c r="F5232" s="24" t="n">
        <v>-0.00670984387</v>
      </c>
    </row>
    <row r="5233" customFormat="false" ht="15" hidden="false" customHeight="false" outlineLevel="0" collapsed="false">
      <c r="A5233" s="3" t="n">
        <v>5232</v>
      </c>
      <c r="B5233" s="3" t="n">
        <v>5231</v>
      </c>
      <c r="C5233" s="3" t="n">
        <v>6</v>
      </c>
      <c r="D5233" s="3" t="n">
        <v>18</v>
      </c>
      <c r="E5233" s="3" t="n">
        <v>23</v>
      </c>
      <c r="F5233" s="24" t="n">
        <v>-0.00670984387</v>
      </c>
    </row>
    <row r="5234" customFormat="false" ht="15" hidden="false" customHeight="false" outlineLevel="0" collapsed="false">
      <c r="A5234" s="3" t="n">
        <v>5233</v>
      </c>
      <c r="B5234" s="3" t="n">
        <v>5232</v>
      </c>
      <c r="C5234" s="3" t="n">
        <v>6</v>
      </c>
      <c r="D5234" s="3" t="n">
        <v>18</v>
      </c>
      <c r="E5234" s="3" t="n">
        <v>24</v>
      </c>
      <c r="F5234" s="24" t="n">
        <v>-0.00670984387</v>
      </c>
    </row>
    <row r="5235" customFormat="false" ht="15" hidden="false" customHeight="false" outlineLevel="0" collapsed="false">
      <c r="A5235" s="3" t="n">
        <v>5234</v>
      </c>
      <c r="B5235" s="3" t="n">
        <v>5233</v>
      </c>
      <c r="C5235" s="3" t="n">
        <v>6</v>
      </c>
      <c r="D5235" s="3" t="n">
        <v>18</v>
      </c>
      <c r="E5235" s="3" t="n">
        <v>25</v>
      </c>
      <c r="F5235" s="24" t="n">
        <v>-0.00670984387</v>
      </c>
    </row>
    <row r="5236" customFormat="false" ht="15" hidden="false" customHeight="false" outlineLevel="0" collapsed="false">
      <c r="A5236" s="3" t="n">
        <v>5235</v>
      </c>
      <c r="B5236" s="3" t="n">
        <v>5234</v>
      </c>
      <c r="C5236" s="3" t="n">
        <v>6</v>
      </c>
      <c r="D5236" s="3" t="n">
        <v>18</v>
      </c>
      <c r="E5236" s="3" t="n">
        <v>26</v>
      </c>
      <c r="F5236" s="24" t="n">
        <v>-0.00670984387</v>
      </c>
    </row>
    <row r="5237" customFormat="false" ht="15" hidden="false" customHeight="false" outlineLevel="0" collapsed="false">
      <c r="A5237" s="3" t="n">
        <v>5236</v>
      </c>
      <c r="B5237" s="3" t="n">
        <v>5235</v>
      </c>
      <c r="C5237" s="3" t="n">
        <v>6</v>
      </c>
      <c r="D5237" s="3" t="n">
        <v>18</v>
      </c>
      <c r="E5237" s="3" t="n">
        <v>27</v>
      </c>
      <c r="F5237" s="24" t="n">
        <v>-0.0790599883</v>
      </c>
    </row>
    <row r="5238" customFormat="false" ht="15" hidden="false" customHeight="false" outlineLevel="0" collapsed="false">
      <c r="A5238" s="3" t="n">
        <v>5237</v>
      </c>
      <c r="B5238" s="3" t="n">
        <v>5236</v>
      </c>
      <c r="C5238" s="3" t="n">
        <v>6</v>
      </c>
      <c r="D5238" s="3" t="n">
        <v>19</v>
      </c>
      <c r="E5238" s="3" t="n">
        <v>0</v>
      </c>
      <c r="F5238" s="24" t="n">
        <v>0.185572863</v>
      </c>
    </row>
    <row r="5239" customFormat="false" ht="15" hidden="false" customHeight="false" outlineLevel="0" collapsed="false">
      <c r="A5239" s="3" t="n">
        <v>5238</v>
      </c>
      <c r="B5239" s="3" t="n">
        <v>5237</v>
      </c>
      <c r="C5239" s="3" t="n">
        <v>6</v>
      </c>
      <c r="D5239" s="3" t="n">
        <v>19</v>
      </c>
      <c r="E5239" s="3" t="n">
        <v>1</v>
      </c>
      <c r="F5239" s="24" t="n">
        <v>-0.00670984387</v>
      </c>
    </row>
    <row r="5240" customFormat="false" ht="15" hidden="false" customHeight="false" outlineLevel="0" collapsed="false">
      <c r="A5240" s="3" t="n">
        <v>5239</v>
      </c>
      <c r="B5240" s="3" t="n">
        <v>5238</v>
      </c>
      <c r="C5240" s="3" t="n">
        <v>6</v>
      </c>
      <c r="D5240" s="3" t="n">
        <v>19</v>
      </c>
      <c r="E5240" s="3" t="n">
        <v>2</v>
      </c>
      <c r="F5240" s="24" t="n">
        <v>-0.00670984387</v>
      </c>
    </row>
    <row r="5241" customFormat="false" ht="15" hidden="false" customHeight="false" outlineLevel="0" collapsed="false">
      <c r="A5241" s="3" t="n">
        <v>5240</v>
      </c>
      <c r="B5241" s="3" t="n">
        <v>5239</v>
      </c>
      <c r="C5241" s="3" t="n">
        <v>6</v>
      </c>
      <c r="D5241" s="3" t="n">
        <v>19</v>
      </c>
      <c r="E5241" s="3" t="n">
        <v>3</v>
      </c>
      <c r="F5241" s="24" t="n">
        <v>-0.00670984387</v>
      </c>
    </row>
    <row r="5242" customFormat="false" ht="15" hidden="false" customHeight="false" outlineLevel="0" collapsed="false">
      <c r="A5242" s="3" t="n">
        <v>5241</v>
      </c>
      <c r="B5242" s="3" t="n">
        <v>5240</v>
      </c>
      <c r="C5242" s="3" t="n">
        <v>6</v>
      </c>
      <c r="D5242" s="3" t="n">
        <v>19</v>
      </c>
      <c r="E5242" s="3" t="n">
        <v>4</v>
      </c>
      <c r="F5242" s="24" t="n">
        <v>-0.00670984387</v>
      </c>
    </row>
    <row r="5243" customFormat="false" ht="15" hidden="false" customHeight="false" outlineLevel="0" collapsed="false">
      <c r="A5243" s="3" t="n">
        <v>5242</v>
      </c>
      <c r="B5243" s="3" t="n">
        <v>5241</v>
      </c>
      <c r="C5243" s="3" t="n">
        <v>6</v>
      </c>
      <c r="D5243" s="3" t="n">
        <v>19</v>
      </c>
      <c r="E5243" s="3" t="n">
        <v>5</v>
      </c>
      <c r="F5243" s="24" t="n">
        <v>-0.00670984387</v>
      </c>
    </row>
    <row r="5244" customFormat="false" ht="15" hidden="false" customHeight="false" outlineLevel="0" collapsed="false">
      <c r="A5244" s="3" t="n">
        <v>5243</v>
      </c>
      <c r="B5244" s="3" t="n">
        <v>5242</v>
      </c>
      <c r="C5244" s="3" t="n">
        <v>6</v>
      </c>
      <c r="D5244" s="3" t="n">
        <v>19</v>
      </c>
      <c r="E5244" s="3" t="n">
        <v>6</v>
      </c>
      <c r="F5244" s="24" t="n">
        <v>-0.00670984387</v>
      </c>
    </row>
    <row r="5245" customFormat="false" ht="15" hidden="false" customHeight="false" outlineLevel="0" collapsed="false">
      <c r="A5245" s="3" t="n">
        <v>5244</v>
      </c>
      <c r="B5245" s="3" t="n">
        <v>5243</v>
      </c>
      <c r="C5245" s="3" t="n">
        <v>6</v>
      </c>
      <c r="D5245" s="3" t="n">
        <v>19</v>
      </c>
      <c r="E5245" s="3" t="n">
        <v>7</v>
      </c>
      <c r="F5245" s="24" t="n">
        <v>-0.00670984387</v>
      </c>
    </row>
    <row r="5246" customFormat="false" ht="15" hidden="false" customHeight="false" outlineLevel="0" collapsed="false">
      <c r="A5246" s="3" t="n">
        <v>5245</v>
      </c>
      <c r="B5246" s="3" t="n">
        <v>5244</v>
      </c>
      <c r="C5246" s="3" t="n">
        <v>6</v>
      </c>
      <c r="D5246" s="3" t="n">
        <v>19</v>
      </c>
      <c r="E5246" s="3" t="n">
        <v>8</v>
      </c>
      <c r="F5246" s="24" t="n">
        <v>-0.00670984387</v>
      </c>
    </row>
    <row r="5247" customFormat="false" ht="15" hidden="false" customHeight="false" outlineLevel="0" collapsed="false">
      <c r="A5247" s="3" t="n">
        <v>5246</v>
      </c>
      <c r="B5247" s="3" t="n">
        <v>5245</v>
      </c>
      <c r="C5247" s="3" t="n">
        <v>6</v>
      </c>
      <c r="D5247" s="3" t="n">
        <v>19</v>
      </c>
      <c r="E5247" s="3" t="n">
        <v>9</v>
      </c>
      <c r="F5247" s="24" t="n">
        <v>-0.00670984387</v>
      </c>
    </row>
    <row r="5248" customFormat="false" ht="15" hidden="false" customHeight="false" outlineLevel="0" collapsed="false">
      <c r="A5248" s="3" t="n">
        <v>5247</v>
      </c>
      <c r="B5248" s="3" t="n">
        <v>5246</v>
      </c>
      <c r="C5248" s="3" t="n">
        <v>6</v>
      </c>
      <c r="D5248" s="3" t="n">
        <v>19</v>
      </c>
      <c r="E5248" s="3" t="n">
        <v>10</v>
      </c>
      <c r="F5248" s="24" t="n">
        <v>-0.00670984387</v>
      </c>
    </row>
    <row r="5249" customFormat="false" ht="15" hidden="false" customHeight="false" outlineLevel="0" collapsed="false">
      <c r="A5249" s="3" t="n">
        <v>5248</v>
      </c>
      <c r="B5249" s="3" t="n">
        <v>5247</v>
      </c>
      <c r="C5249" s="3" t="n">
        <v>6</v>
      </c>
      <c r="D5249" s="3" t="n">
        <v>19</v>
      </c>
      <c r="E5249" s="3" t="n">
        <v>11</v>
      </c>
      <c r="F5249" s="24" t="n">
        <v>-0.0133443773</v>
      </c>
    </row>
    <row r="5250" customFormat="false" ht="15" hidden="false" customHeight="false" outlineLevel="0" collapsed="false">
      <c r="A5250" s="3" t="n">
        <v>5249</v>
      </c>
      <c r="B5250" s="3" t="n">
        <v>5248</v>
      </c>
      <c r="C5250" s="3" t="n">
        <v>6</v>
      </c>
      <c r="D5250" s="3" t="n">
        <v>19</v>
      </c>
      <c r="E5250" s="3" t="n">
        <v>12</v>
      </c>
      <c r="F5250" s="24" t="n">
        <v>-0.532767653</v>
      </c>
    </row>
    <row r="5251" customFormat="false" ht="15" hidden="false" customHeight="false" outlineLevel="0" collapsed="false">
      <c r="A5251" s="3" t="n">
        <v>5250</v>
      </c>
      <c r="B5251" s="3" t="n">
        <v>5249</v>
      </c>
      <c r="C5251" s="3" t="n">
        <v>6</v>
      </c>
      <c r="D5251" s="3" t="n">
        <v>19</v>
      </c>
      <c r="E5251" s="3" t="n">
        <v>13</v>
      </c>
      <c r="F5251" s="24" t="n">
        <v>-1.59697843</v>
      </c>
    </row>
    <row r="5252" customFormat="false" ht="15" hidden="false" customHeight="false" outlineLevel="0" collapsed="false">
      <c r="A5252" s="3" t="n">
        <v>5251</v>
      </c>
      <c r="B5252" s="3" t="n">
        <v>5250</v>
      </c>
      <c r="C5252" s="3" t="n">
        <v>6</v>
      </c>
      <c r="D5252" s="3" t="n">
        <v>19</v>
      </c>
      <c r="E5252" s="3" t="n">
        <v>14</v>
      </c>
      <c r="F5252" s="24" t="n">
        <v>0.613106847</v>
      </c>
    </row>
    <row r="5253" customFormat="false" ht="15" hidden="false" customHeight="false" outlineLevel="0" collapsed="false">
      <c r="A5253" s="3" t="n">
        <v>5252</v>
      </c>
      <c r="B5253" s="3" t="n">
        <v>5251</v>
      </c>
      <c r="C5253" s="3" t="n">
        <v>6</v>
      </c>
      <c r="D5253" s="3" t="n">
        <v>19</v>
      </c>
      <c r="E5253" s="3" t="n">
        <v>15</v>
      </c>
      <c r="F5253" s="24" t="n">
        <v>2.93747163</v>
      </c>
    </row>
    <row r="5254" customFormat="false" ht="15" hidden="false" customHeight="false" outlineLevel="0" collapsed="false">
      <c r="A5254" s="3" t="n">
        <v>5253</v>
      </c>
      <c r="B5254" s="3" t="n">
        <v>5252</v>
      </c>
      <c r="C5254" s="3" t="n">
        <v>6</v>
      </c>
      <c r="D5254" s="3" t="n">
        <v>19</v>
      </c>
      <c r="E5254" s="3" t="n">
        <v>16</v>
      </c>
      <c r="F5254" s="24" t="n">
        <v>3.1863997</v>
      </c>
    </row>
    <row r="5255" customFormat="false" ht="15" hidden="false" customHeight="false" outlineLevel="0" collapsed="false">
      <c r="A5255" s="3" t="n">
        <v>5254</v>
      </c>
      <c r="B5255" s="3" t="n">
        <v>5253</v>
      </c>
      <c r="C5255" s="3" t="n">
        <v>6</v>
      </c>
      <c r="D5255" s="3" t="n">
        <v>19</v>
      </c>
      <c r="E5255" s="3" t="n">
        <v>17</v>
      </c>
      <c r="F5255" s="24" t="n">
        <v>0.971461535</v>
      </c>
    </row>
    <row r="5256" customFormat="false" ht="15" hidden="false" customHeight="false" outlineLevel="0" collapsed="false">
      <c r="A5256" s="3" t="n">
        <v>5255</v>
      </c>
      <c r="B5256" s="3" t="n">
        <v>5254</v>
      </c>
      <c r="C5256" s="3" t="n">
        <v>6</v>
      </c>
      <c r="D5256" s="3" t="n">
        <v>19</v>
      </c>
      <c r="E5256" s="3" t="n">
        <v>18</v>
      </c>
      <c r="F5256" s="24" t="n">
        <v>0.0448404253</v>
      </c>
    </row>
    <row r="5257" customFormat="false" ht="15" hidden="false" customHeight="false" outlineLevel="0" collapsed="false">
      <c r="A5257" s="3" t="n">
        <v>5256</v>
      </c>
      <c r="B5257" s="3" t="n">
        <v>5255</v>
      </c>
      <c r="C5257" s="3" t="n">
        <v>6</v>
      </c>
      <c r="D5257" s="3" t="n">
        <v>19</v>
      </c>
      <c r="E5257" s="3" t="n">
        <v>19</v>
      </c>
      <c r="F5257" s="24" t="n">
        <v>-0.00670984387</v>
      </c>
    </row>
    <row r="5258" customFormat="false" ht="15" hidden="false" customHeight="false" outlineLevel="0" collapsed="false">
      <c r="A5258" s="3" t="n">
        <v>5257</v>
      </c>
      <c r="B5258" s="3" t="n">
        <v>5256</v>
      </c>
      <c r="C5258" s="3" t="n">
        <v>6</v>
      </c>
      <c r="D5258" s="3" t="n">
        <v>19</v>
      </c>
      <c r="E5258" s="3" t="n">
        <v>20</v>
      </c>
      <c r="F5258" s="24" t="n">
        <v>-0.00670984387</v>
      </c>
    </row>
    <row r="5259" customFormat="false" ht="15" hidden="false" customHeight="false" outlineLevel="0" collapsed="false">
      <c r="A5259" s="3" t="n">
        <v>5258</v>
      </c>
      <c r="B5259" s="3" t="n">
        <v>5257</v>
      </c>
      <c r="C5259" s="3" t="n">
        <v>6</v>
      </c>
      <c r="D5259" s="3" t="n">
        <v>19</v>
      </c>
      <c r="E5259" s="3" t="n">
        <v>21</v>
      </c>
      <c r="F5259" s="24" t="n">
        <v>-0.00670984387</v>
      </c>
    </row>
    <row r="5260" customFormat="false" ht="15" hidden="false" customHeight="false" outlineLevel="0" collapsed="false">
      <c r="A5260" s="3" t="n">
        <v>5259</v>
      </c>
      <c r="B5260" s="3" t="n">
        <v>5258</v>
      </c>
      <c r="C5260" s="3" t="n">
        <v>6</v>
      </c>
      <c r="D5260" s="3" t="n">
        <v>19</v>
      </c>
      <c r="E5260" s="3" t="n">
        <v>22</v>
      </c>
      <c r="F5260" s="24" t="n">
        <v>-0.00670984387</v>
      </c>
    </row>
    <row r="5261" customFormat="false" ht="15" hidden="false" customHeight="false" outlineLevel="0" collapsed="false">
      <c r="A5261" s="3" t="n">
        <v>5260</v>
      </c>
      <c r="B5261" s="3" t="n">
        <v>5259</v>
      </c>
      <c r="C5261" s="3" t="n">
        <v>6</v>
      </c>
      <c r="D5261" s="3" t="n">
        <v>19</v>
      </c>
      <c r="E5261" s="3" t="n">
        <v>23</v>
      </c>
      <c r="F5261" s="24" t="n">
        <v>-0.00670984387</v>
      </c>
    </row>
    <row r="5262" customFormat="false" ht="15" hidden="false" customHeight="false" outlineLevel="0" collapsed="false">
      <c r="A5262" s="3" t="n">
        <v>5261</v>
      </c>
      <c r="B5262" s="3" t="n">
        <v>5260</v>
      </c>
      <c r="C5262" s="3" t="n">
        <v>6</v>
      </c>
      <c r="D5262" s="3" t="n">
        <v>19</v>
      </c>
      <c r="E5262" s="3" t="n">
        <v>24</v>
      </c>
      <c r="F5262" s="24" t="n">
        <v>-0.00670984387</v>
      </c>
    </row>
    <row r="5263" customFormat="false" ht="15" hidden="false" customHeight="false" outlineLevel="0" collapsed="false">
      <c r="A5263" s="3" t="n">
        <v>5262</v>
      </c>
      <c r="B5263" s="3" t="n">
        <v>5261</v>
      </c>
      <c r="C5263" s="3" t="n">
        <v>6</v>
      </c>
      <c r="D5263" s="3" t="n">
        <v>19</v>
      </c>
      <c r="E5263" s="3" t="n">
        <v>25</v>
      </c>
      <c r="F5263" s="24" t="n">
        <v>-0.00670984387</v>
      </c>
    </row>
    <row r="5264" customFormat="false" ht="15" hidden="false" customHeight="false" outlineLevel="0" collapsed="false">
      <c r="A5264" s="3" t="n">
        <v>5263</v>
      </c>
      <c r="B5264" s="3" t="n">
        <v>5262</v>
      </c>
      <c r="C5264" s="3" t="n">
        <v>6</v>
      </c>
      <c r="D5264" s="3" t="n">
        <v>19</v>
      </c>
      <c r="E5264" s="3" t="n">
        <v>26</v>
      </c>
      <c r="F5264" s="24" t="n">
        <v>-0.00670984387</v>
      </c>
    </row>
    <row r="5265" customFormat="false" ht="15" hidden="false" customHeight="false" outlineLevel="0" collapsed="false">
      <c r="A5265" s="3" t="n">
        <v>5264</v>
      </c>
      <c r="B5265" s="3" t="n">
        <v>5263</v>
      </c>
      <c r="C5265" s="3" t="n">
        <v>6</v>
      </c>
      <c r="D5265" s="3" t="n">
        <v>19</v>
      </c>
      <c r="E5265" s="3" t="n">
        <v>27</v>
      </c>
      <c r="F5265" s="24" t="n">
        <v>-0.0790599883</v>
      </c>
    </row>
    <row r="5266" customFormat="false" ht="15" hidden="false" customHeight="false" outlineLevel="0" collapsed="false">
      <c r="A5266" s="3" t="n">
        <v>5265</v>
      </c>
      <c r="B5266" s="3" t="n">
        <v>5264</v>
      </c>
      <c r="C5266" s="3" t="n">
        <v>6</v>
      </c>
      <c r="D5266" s="3" t="n">
        <v>20</v>
      </c>
      <c r="E5266" s="3" t="n">
        <v>0</v>
      </c>
      <c r="F5266" s="24" t="n">
        <v>0.185572863</v>
      </c>
    </row>
    <row r="5267" customFormat="false" ht="15" hidden="false" customHeight="false" outlineLevel="0" collapsed="false">
      <c r="A5267" s="3" t="n">
        <v>5266</v>
      </c>
      <c r="B5267" s="3" t="n">
        <v>5265</v>
      </c>
      <c r="C5267" s="3" t="n">
        <v>6</v>
      </c>
      <c r="D5267" s="3" t="n">
        <v>20</v>
      </c>
      <c r="E5267" s="3" t="n">
        <v>1</v>
      </c>
      <c r="F5267" s="24" t="n">
        <v>-0.00670984387</v>
      </c>
    </row>
    <row r="5268" customFormat="false" ht="15" hidden="false" customHeight="false" outlineLevel="0" collapsed="false">
      <c r="A5268" s="3" t="n">
        <v>5267</v>
      </c>
      <c r="B5268" s="3" t="n">
        <v>5266</v>
      </c>
      <c r="C5268" s="3" t="n">
        <v>6</v>
      </c>
      <c r="D5268" s="3" t="n">
        <v>20</v>
      </c>
      <c r="E5268" s="3" t="n">
        <v>2</v>
      </c>
      <c r="F5268" s="24" t="n">
        <v>-0.00670984387</v>
      </c>
    </row>
    <row r="5269" customFormat="false" ht="15" hidden="false" customHeight="false" outlineLevel="0" collapsed="false">
      <c r="A5269" s="3" t="n">
        <v>5268</v>
      </c>
      <c r="B5269" s="3" t="n">
        <v>5267</v>
      </c>
      <c r="C5269" s="3" t="n">
        <v>6</v>
      </c>
      <c r="D5269" s="3" t="n">
        <v>20</v>
      </c>
      <c r="E5269" s="3" t="n">
        <v>3</v>
      </c>
      <c r="F5269" s="24" t="n">
        <v>-0.00670984387</v>
      </c>
    </row>
    <row r="5270" customFormat="false" ht="15" hidden="false" customHeight="false" outlineLevel="0" collapsed="false">
      <c r="A5270" s="3" t="n">
        <v>5269</v>
      </c>
      <c r="B5270" s="3" t="n">
        <v>5268</v>
      </c>
      <c r="C5270" s="3" t="n">
        <v>6</v>
      </c>
      <c r="D5270" s="3" t="n">
        <v>20</v>
      </c>
      <c r="E5270" s="3" t="n">
        <v>4</v>
      </c>
      <c r="F5270" s="24" t="n">
        <v>-0.00670984387</v>
      </c>
    </row>
    <row r="5271" customFormat="false" ht="15" hidden="false" customHeight="false" outlineLevel="0" collapsed="false">
      <c r="A5271" s="3" t="n">
        <v>5270</v>
      </c>
      <c r="B5271" s="3" t="n">
        <v>5269</v>
      </c>
      <c r="C5271" s="3" t="n">
        <v>6</v>
      </c>
      <c r="D5271" s="3" t="n">
        <v>20</v>
      </c>
      <c r="E5271" s="3" t="n">
        <v>5</v>
      </c>
      <c r="F5271" s="24" t="n">
        <v>-0.00670984387</v>
      </c>
    </row>
    <row r="5272" customFormat="false" ht="15" hidden="false" customHeight="false" outlineLevel="0" collapsed="false">
      <c r="A5272" s="3" t="n">
        <v>5271</v>
      </c>
      <c r="B5272" s="3" t="n">
        <v>5270</v>
      </c>
      <c r="C5272" s="3" t="n">
        <v>6</v>
      </c>
      <c r="D5272" s="3" t="n">
        <v>20</v>
      </c>
      <c r="E5272" s="3" t="n">
        <v>6</v>
      </c>
      <c r="F5272" s="24" t="n">
        <v>-0.00670984387</v>
      </c>
    </row>
    <row r="5273" customFormat="false" ht="15" hidden="false" customHeight="false" outlineLevel="0" collapsed="false">
      <c r="A5273" s="3" t="n">
        <v>5272</v>
      </c>
      <c r="B5273" s="3" t="n">
        <v>5271</v>
      </c>
      <c r="C5273" s="3" t="n">
        <v>6</v>
      </c>
      <c r="D5273" s="3" t="n">
        <v>20</v>
      </c>
      <c r="E5273" s="3" t="n">
        <v>7</v>
      </c>
      <c r="F5273" s="24" t="n">
        <v>-0.00670984387</v>
      </c>
    </row>
    <row r="5274" customFormat="false" ht="15" hidden="false" customHeight="false" outlineLevel="0" collapsed="false">
      <c r="A5274" s="3" t="n">
        <v>5273</v>
      </c>
      <c r="B5274" s="3" t="n">
        <v>5272</v>
      </c>
      <c r="C5274" s="3" t="n">
        <v>6</v>
      </c>
      <c r="D5274" s="3" t="n">
        <v>20</v>
      </c>
      <c r="E5274" s="3" t="n">
        <v>8</v>
      </c>
      <c r="F5274" s="24" t="n">
        <v>-0.00670984387</v>
      </c>
    </row>
    <row r="5275" customFormat="false" ht="15" hidden="false" customHeight="false" outlineLevel="0" collapsed="false">
      <c r="A5275" s="3" t="n">
        <v>5274</v>
      </c>
      <c r="B5275" s="3" t="n">
        <v>5273</v>
      </c>
      <c r="C5275" s="3" t="n">
        <v>6</v>
      </c>
      <c r="D5275" s="3" t="n">
        <v>20</v>
      </c>
      <c r="E5275" s="3" t="n">
        <v>9</v>
      </c>
      <c r="F5275" s="24" t="n">
        <v>-0.00670984387</v>
      </c>
    </row>
    <row r="5276" customFormat="false" ht="15" hidden="false" customHeight="false" outlineLevel="0" collapsed="false">
      <c r="A5276" s="3" t="n">
        <v>5275</v>
      </c>
      <c r="B5276" s="3" t="n">
        <v>5274</v>
      </c>
      <c r="C5276" s="3" t="n">
        <v>6</v>
      </c>
      <c r="D5276" s="3" t="n">
        <v>20</v>
      </c>
      <c r="E5276" s="3" t="n">
        <v>10</v>
      </c>
      <c r="F5276" s="24" t="n">
        <v>-0.00670984387</v>
      </c>
    </row>
    <row r="5277" customFormat="false" ht="15" hidden="false" customHeight="false" outlineLevel="0" collapsed="false">
      <c r="A5277" s="3" t="n">
        <v>5276</v>
      </c>
      <c r="B5277" s="3" t="n">
        <v>5275</v>
      </c>
      <c r="C5277" s="3" t="n">
        <v>6</v>
      </c>
      <c r="D5277" s="3" t="n">
        <v>20</v>
      </c>
      <c r="E5277" s="3" t="n">
        <v>11</v>
      </c>
      <c r="F5277" s="24" t="n">
        <v>-0.101478398</v>
      </c>
    </row>
    <row r="5278" customFormat="false" ht="15" hidden="false" customHeight="false" outlineLevel="0" collapsed="false">
      <c r="A5278" s="3" t="n">
        <v>5277</v>
      </c>
      <c r="B5278" s="3" t="n">
        <v>5276</v>
      </c>
      <c r="C5278" s="3" t="n">
        <v>6</v>
      </c>
      <c r="D5278" s="3" t="n">
        <v>20</v>
      </c>
      <c r="E5278" s="3" t="n">
        <v>12</v>
      </c>
      <c r="F5278" s="24" t="n">
        <v>-1.32524514</v>
      </c>
    </row>
    <row r="5279" customFormat="false" ht="15" hidden="false" customHeight="false" outlineLevel="0" collapsed="false">
      <c r="A5279" s="3" t="n">
        <v>5278</v>
      </c>
      <c r="B5279" s="3" t="n">
        <v>5277</v>
      </c>
      <c r="C5279" s="3" t="n">
        <v>6</v>
      </c>
      <c r="D5279" s="3" t="n">
        <v>20</v>
      </c>
      <c r="E5279" s="3" t="n">
        <v>13</v>
      </c>
      <c r="F5279" s="24" t="n">
        <v>-0.193268657</v>
      </c>
    </row>
    <row r="5280" customFormat="false" ht="15" hidden="false" customHeight="false" outlineLevel="0" collapsed="false">
      <c r="A5280" s="3" t="n">
        <v>5279</v>
      </c>
      <c r="B5280" s="3" t="n">
        <v>5278</v>
      </c>
      <c r="C5280" s="3" t="n">
        <v>6</v>
      </c>
      <c r="D5280" s="3" t="n">
        <v>20</v>
      </c>
      <c r="E5280" s="3" t="n">
        <v>14</v>
      </c>
      <c r="F5280" s="24" t="n">
        <v>2.39538836</v>
      </c>
    </row>
    <row r="5281" customFormat="false" ht="15" hidden="false" customHeight="false" outlineLevel="0" collapsed="false">
      <c r="A5281" s="3" t="n">
        <v>5280</v>
      </c>
      <c r="B5281" s="3" t="n">
        <v>5279</v>
      </c>
      <c r="C5281" s="3" t="n">
        <v>6</v>
      </c>
      <c r="D5281" s="3" t="n">
        <v>20</v>
      </c>
      <c r="E5281" s="3" t="n">
        <v>15</v>
      </c>
      <c r="F5281" s="24" t="n">
        <v>3.69994807</v>
      </c>
    </row>
    <row r="5282" customFormat="false" ht="15" hidden="false" customHeight="false" outlineLevel="0" collapsed="false">
      <c r="A5282" s="3" t="n">
        <v>5281</v>
      </c>
      <c r="B5282" s="3" t="n">
        <v>5280</v>
      </c>
      <c r="C5282" s="3" t="n">
        <v>6</v>
      </c>
      <c r="D5282" s="3" t="n">
        <v>20</v>
      </c>
      <c r="E5282" s="3" t="n">
        <v>16</v>
      </c>
      <c r="F5282" s="24" t="n">
        <v>1.76810336</v>
      </c>
    </row>
    <row r="5283" customFormat="false" ht="15" hidden="false" customHeight="false" outlineLevel="0" collapsed="false">
      <c r="A5283" s="3" t="n">
        <v>5282</v>
      </c>
      <c r="B5283" s="3" t="n">
        <v>5281</v>
      </c>
      <c r="C5283" s="3" t="n">
        <v>6</v>
      </c>
      <c r="D5283" s="3" t="n">
        <v>20</v>
      </c>
      <c r="E5283" s="3" t="n">
        <v>17</v>
      </c>
      <c r="F5283" s="24" t="n">
        <v>0.252090573</v>
      </c>
    </row>
    <row r="5284" customFormat="false" ht="15" hidden="false" customHeight="false" outlineLevel="0" collapsed="false">
      <c r="A5284" s="3" t="n">
        <v>5283</v>
      </c>
      <c r="B5284" s="3" t="n">
        <v>5282</v>
      </c>
      <c r="C5284" s="3" t="n">
        <v>6</v>
      </c>
      <c r="D5284" s="3" t="n">
        <v>20</v>
      </c>
      <c r="E5284" s="3" t="n">
        <v>18</v>
      </c>
      <c r="F5284" s="24" t="n">
        <v>-0.00670984387</v>
      </c>
    </row>
    <row r="5285" customFormat="false" ht="15" hidden="false" customHeight="false" outlineLevel="0" collapsed="false">
      <c r="A5285" s="3" t="n">
        <v>5284</v>
      </c>
      <c r="B5285" s="3" t="n">
        <v>5283</v>
      </c>
      <c r="C5285" s="3" t="n">
        <v>6</v>
      </c>
      <c r="D5285" s="3" t="n">
        <v>20</v>
      </c>
      <c r="E5285" s="3" t="n">
        <v>19</v>
      </c>
      <c r="F5285" s="24" t="n">
        <v>-0.00670984387</v>
      </c>
    </row>
    <row r="5286" customFormat="false" ht="15" hidden="false" customHeight="false" outlineLevel="0" collapsed="false">
      <c r="A5286" s="3" t="n">
        <v>5285</v>
      </c>
      <c r="B5286" s="3" t="n">
        <v>5284</v>
      </c>
      <c r="C5286" s="3" t="n">
        <v>6</v>
      </c>
      <c r="D5286" s="3" t="n">
        <v>20</v>
      </c>
      <c r="E5286" s="3" t="n">
        <v>20</v>
      </c>
      <c r="F5286" s="24" t="n">
        <v>-0.00670984387</v>
      </c>
    </row>
    <row r="5287" customFormat="false" ht="15" hidden="false" customHeight="false" outlineLevel="0" collapsed="false">
      <c r="A5287" s="3" t="n">
        <v>5286</v>
      </c>
      <c r="B5287" s="3" t="n">
        <v>5285</v>
      </c>
      <c r="C5287" s="3" t="n">
        <v>6</v>
      </c>
      <c r="D5287" s="3" t="n">
        <v>20</v>
      </c>
      <c r="E5287" s="3" t="n">
        <v>21</v>
      </c>
      <c r="F5287" s="24" t="n">
        <v>-0.00670984387</v>
      </c>
    </row>
    <row r="5288" customFormat="false" ht="15" hidden="false" customHeight="false" outlineLevel="0" collapsed="false">
      <c r="A5288" s="3" t="n">
        <v>5287</v>
      </c>
      <c r="B5288" s="3" t="n">
        <v>5286</v>
      </c>
      <c r="C5288" s="3" t="n">
        <v>6</v>
      </c>
      <c r="D5288" s="3" t="n">
        <v>20</v>
      </c>
      <c r="E5288" s="3" t="n">
        <v>22</v>
      </c>
      <c r="F5288" s="24" t="n">
        <v>-0.00670984387</v>
      </c>
    </row>
    <row r="5289" customFormat="false" ht="15" hidden="false" customHeight="false" outlineLevel="0" collapsed="false">
      <c r="A5289" s="3" t="n">
        <v>5288</v>
      </c>
      <c r="B5289" s="3" t="n">
        <v>5287</v>
      </c>
      <c r="C5289" s="3" t="n">
        <v>6</v>
      </c>
      <c r="D5289" s="3" t="n">
        <v>20</v>
      </c>
      <c r="E5289" s="3" t="n">
        <v>23</v>
      </c>
      <c r="F5289" s="24" t="n">
        <v>-0.00670984387</v>
      </c>
    </row>
    <row r="5290" customFormat="false" ht="15" hidden="false" customHeight="false" outlineLevel="0" collapsed="false">
      <c r="A5290" s="3" t="n">
        <v>5289</v>
      </c>
      <c r="B5290" s="3" t="n">
        <v>5288</v>
      </c>
      <c r="C5290" s="3" t="n">
        <v>6</v>
      </c>
      <c r="D5290" s="3" t="n">
        <v>20</v>
      </c>
      <c r="E5290" s="3" t="n">
        <v>24</v>
      </c>
      <c r="F5290" s="24" t="n">
        <v>-0.00670984387</v>
      </c>
    </row>
    <row r="5291" customFormat="false" ht="15" hidden="false" customHeight="false" outlineLevel="0" collapsed="false">
      <c r="A5291" s="3" t="n">
        <v>5290</v>
      </c>
      <c r="B5291" s="3" t="n">
        <v>5289</v>
      </c>
      <c r="C5291" s="3" t="n">
        <v>6</v>
      </c>
      <c r="D5291" s="3" t="n">
        <v>20</v>
      </c>
      <c r="E5291" s="3" t="n">
        <v>25</v>
      </c>
      <c r="F5291" s="24" t="n">
        <v>-0.00670984387</v>
      </c>
    </row>
    <row r="5292" customFormat="false" ht="15" hidden="false" customHeight="false" outlineLevel="0" collapsed="false">
      <c r="A5292" s="3" t="n">
        <v>5291</v>
      </c>
      <c r="B5292" s="3" t="n">
        <v>5290</v>
      </c>
      <c r="C5292" s="3" t="n">
        <v>6</v>
      </c>
      <c r="D5292" s="3" t="n">
        <v>20</v>
      </c>
      <c r="E5292" s="3" t="n">
        <v>26</v>
      </c>
      <c r="F5292" s="24" t="n">
        <v>-0.00670984387</v>
      </c>
    </row>
    <row r="5293" customFormat="false" ht="15" hidden="false" customHeight="false" outlineLevel="0" collapsed="false">
      <c r="A5293" s="3" t="n">
        <v>5292</v>
      </c>
      <c r="B5293" s="3" t="n">
        <v>5291</v>
      </c>
      <c r="C5293" s="3" t="n">
        <v>6</v>
      </c>
      <c r="D5293" s="3" t="n">
        <v>20</v>
      </c>
      <c r="E5293" s="3" t="n">
        <v>27</v>
      </c>
      <c r="F5293" s="24" t="n">
        <v>-0.0790599883</v>
      </c>
    </row>
    <row r="5294" customFormat="false" ht="15" hidden="false" customHeight="false" outlineLevel="0" collapsed="false">
      <c r="A5294" s="3" t="n">
        <v>5293</v>
      </c>
      <c r="B5294" s="3" t="n">
        <v>5292</v>
      </c>
      <c r="C5294" s="3" t="n">
        <v>6</v>
      </c>
      <c r="D5294" s="3" t="n">
        <v>21</v>
      </c>
      <c r="E5294" s="3" t="n">
        <v>0</v>
      </c>
      <c r="F5294" s="24" t="n">
        <v>0.185572863</v>
      </c>
    </row>
    <row r="5295" customFormat="false" ht="15" hidden="false" customHeight="false" outlineLevel="0" collapsed="false">
      <c r="A5295" s="3" t="n">
        <v>5294</v>
      </c>
      <c r="B5295" s="3" t="n">
        <v>5293</v>
      </c>
      <c r="C5295" s="3" t="n">
        <v>6</v>
      </c>
      <c r="D5295" s="3" t="n">
        <v>21</v>
      </c>
      <c r="E5295" s="3" t="n">
        <v>1</v>
      </c>
      <c r="F5295" s="24" t="n">
        <v>-0.00670984387</v>
      </c>
    </row>
    <row r="5296" customFormat="false" ht="15" hidden="false" customHeight="false" outlineLevel="0" collapsed="false">
      <c r="A5296" s="3" t="n">
        <v>5295</v>
      </c>
      <c r="B5296" s="3" t="n">
        <v>5294</v>
      </c>
      <c r="C5296" s="3" t="n">
        <v>6</v>
      </c>
      <c r="D5296" s="3" t="n">
        <v>21</v>
      </c>
      <c r="E5296" s="3" t="n">
        <v>2</v>
      </c>
      <c r="F5296" s="24" t="n">
        <v>-0.00670984387</v>
      </c>
    </row>
    <row r="5297" customFormat="false" ht="15" hidden="false" customHeight="false" outlineLevel="0" collapsed="false">
      <c r="A5297" s="3" t="n">
        <v>5296</v>
      </c>
      <c r="B5297" s="3" t="n">
        <v>5295</v>
      </c>
      <c r="C5297" s="3" t="n">
        <v>6</v>
      </c>
      <c r="D5297" s="3" t="n">
        <v>21</v>
      </c>
      <c r="E5297" s="3" t="n">
        <v>3</v>
      </c>
      <c r="F5297" s="24" t="n">
        <v>-0.00670984387</v>
      </c>
    </row>
    <row r="5298" customFormat="false" ht="15" hidden="false" customHeight="false" outlineLevel="0" collapsed="false">
      <c r="A5298" s="3" t="n">
        <v>5297</v>
      </c>
      <c r="B5298" s="3" t="n">
        <v>5296</v>
      </c>
      <c r="C5298" s="3" t="n">
        <v>6</v>
      </c>
      <c r="D5298" s="3" t="n">
        <v>21</v>
      </c>
      <c r="E5298" s="3" t="n">
        <v>4</v>
      </c>
      <c r="F5298" s="24" t="n">
        <v>-0.00670984387</v>
      </c>
    </row>
    <row r="5299" customFormat="false" ht="15" hidden="false" customHeight="false" outlineLevel="0" collapsed="false">
      <c r="A5299" s="3" t="n">
        <v>5298</v>
      </c>
      <c r="B5299" s="3" t="n">
        <v>5297</v>
      </c>
      <c r="C5299" s="3" t="n">
        <v>6</v>
      </c>
      <c r="D5299" s="3" t="n">
        <v>21</v>
      </c>
      <c r="E5299" s="3" t="n">
        <v>5</v>
      </c>
      <c r="F5299" s="24" t="n">
        <v>-0.00670984387</v>
      </c>
    </row>
    <row r="5300" customFormat="false" ht="15" hidden="false" customHeight="false" outlineLevel="0" collapsed="false">
      <c r="A5300" s="3" t="n">
        <v>5299</v>
      </c>
      <c r="B5300" s="3" t="n">
        <v>5298</v>
      </c>
      <c r="C5300" s="3" t="n">
        <v>6</v>
      </c>
      <c r="D5300" s="3" t="n">
        <v>21</v>
      </c>
      <c r="E5300" s="3" t="n">
        <v>6</v>
      </c>
      <c r="F5300" s="24" t="n">
        <v>-0.00670984387</v>
      </c>
    </row>
    <row r="5301" customFormat="false" ht="15" hidden="false" customHeight="false" outlineLevel="0" collapsed="false">
      <c r="A5301" s="3" t="n">
        <v>5300</v>
      </c>
      <c r="B5301" s="3" t="n">
        <v>5299</v>
      </c>
      <c r="C5301" s="3" t="n">
        <v>6</v>
      </c>
      <c r="D5301" s="3" t="n">
        <v>21</v>
      </c>
      <c r="E5301" s="3" t="n">
        <v>7</v>
      </c>
      <c r="F5301" s="24" t="n">
        <v>-0.00670984387</v>
      </c>
    </row>
    <row r="5302" customFormat="false" ht="15" hidden="false" customHeight="false" outlineLevel="0" collapsed="false">
      <c r="A5302" s="3" t="n">
        <v>5301</v>
      </c>
      <c r="B5302" s="3" t="n">
        <v>5300</v>
      </c>
      <c r="C5302" s="3" t="n">
        <v>6</v>
      </c>
      <c r="D5302" s="3" t="n">
        <v>21</v>
      </c>
      <c r="E5302" s="3" t="n">
        <v>8</v>
      </c>
      <c r="F5302" s="24" t="n">
        <v>-0.00670984387</v>
      </c>
    </row>
    <row r="5303" customFormat="false" ht="15" hidden="false" customHeight="false" outlineLevel="0" collapsed="false">
      <c r="A5303" s="3" t="n">
        <v>5302</v>
      </c>
      <c r="B5303" s="3" t="n">
        <v>5301</v>
      </c>
      <c r="C5303" s="3" t="n">
        <v>6</v>
      </c>
      <c r="D5303" s="3" t="n">
        <v>21</v>
      </c>
      <c r="E5303" s="3" t="n">
        <v>9</v>
      </c>
      <c r="F5303" s="24" t="n">
        <v>-0.00670984387</v>
      </c>
    </row>
    <row r="5304" customFormat="false" ht="15" hidden="false" customHeight="false" outlineLevel="0" collapsed="false">
      <c r="A5304" s="3" t="n">
        <v>5303</v>
      </c>
      <c r="B5304" s="3" t="n">
        <v>5302</v>
      </c>
      <c r="C5304" s="3" t="n">
        <v>6</v>
      </c>
      <c r="D5304" s="3" t="n">
        <v>21</v>
      </c>
      <c r="E5304" s="3" t="n">
        <v>10</v>
      </c>
      <c r="F5304" s="24" t="n">
        <v>-0.0752667189</v>
      </c>
    </row>
    <row r="5305" customFormat="false" ht="15" hidden="false" customHeight="false" outlineLevel="0" collapsed="false">
      <c r="A5305" s="3" t="n">
        <v>5304</v>
      </c>
      <c r="B5305" s="3" t="n">
        <v>5303</v>
      </c>
      <c r="C5305" s="3" t="n">
        <v>6</v>
      </c>
      <c r="D5305" s="3" t="n">
        <v>21</v>
      </c>
      <c r="E5305" s="3" t="n">
        <v>11</v>
      </c>
      <c r="F5305" s="24" t="n">
        <v>-0.721787691</v>
      </c>
    </row>
    <row r="5306" customFormat="false" ht="15" hidden="false" customHeight="false" outlineLevel="0" collapsed="false">
      <c r="A5306" s="3" t="n">
        <v>5305</v>
      </c>
      <c r="B5306" s="3" t="n">
        <v>5304</v>
      </c>
      <c r="C5306" s="3" t="n">
        <v>6</v>
      </c>
      <c r="D5306" s="3" t="n">
        <v>21</v>
      </c>
      <c r="E5306" s="3" t="n">
        <v>12</v>
      </c>
      <c r="F5306" s="24" t="n">
        <v>-1.152071</v>
      </c>
    </row>
    <row r="5307" customFormat="false" ht="15" hidden="false" customHeight="false" outlineLevel="0" collapsed="false">
      <c r="A5307" s="3" t="n">
        <v>5306</v>
      </c>
      <c r="B5307" s="3" t="n">
        <v>5305</v>
      </c>
      <c r="C5307" s="3" t="n">
        <v>6</v>
      </c>
      <c r="D5307" s="3" t="n">
        <v>21</v>
      </c>
      <c r="E5307" s="3" t="n">
        <v>13</v>
      </c>
      <c r="F5307" s="24" t="n">
        <v>1.54843783</v>
      </c>
    </row>
    <row r="5308" customFormat="false" ht="15" hidden="false" customHeight="false" outlineLevel="0" collapsed="false">
      <c r="A5308" s="3" t="n">
        <v>5307</v>
      </c>
      <c r="B5308" s="3" t="n">
        <v>5306</v>
      </c>
      <c r="C5308" s="3" t="n">
        <v>6</v>
      </c>
      <c r="D5308" s="3" t="n">
        <v>21</v>
      </c>
      <c r="E5308" s="3" t="n">
        <v>14</v>
      </c>
      <c r="F5308" s="24" t="n">
        <v>3.8004117</v>
      </c>
    </row>
    <row r="5309" customFormat="false" ht="15" hidden="false" customHeight="false" outlineLevel="0" collapsed="false">
      <c r="A5309" s="3" t="n">
        <v>5308</v>
      </c>
      <c r="B5309" s="3" t="n">
        <v>5307</v>
      </c>
      <c r="C5309" s="3" t="n">
        <v>6</v>
      </c>
      <c r="D5309" s="3" t="n">
        <v>21</v>
      </c>
      <c r="E5309" s="3" t="n">
        <v>15</v>
      </c>
      <c r="F5309" s="24" t="n">
        <v>2.47053838</v>
      </c>
    </row>
    <row r="5310" customFormat="false" ht="15" hidden="false" customHeight="false" outlineLevel="0" collapsed="false">
      <c r="A5310" s="3" t="n">
        <v>5309</v>
      </c>
      <c r="B5310" s="3" t="n">
        <v>5308</v>
      </c>
      <c r="C5310" s="3" t="n">
        <v>6</v>
      </c>
      <c r="D5310" s="3" t="n">
        <v>21</v>
      </c>
      <c r="E5310" s="3" t="n">
        <v>16</v>
      </c>
      <c r="F5310" s="24" t="n">
        <v>0.545234919</v>
      </c>
    </row>
    <row r="5311" customFormat="false" ht="15" hidden="false" customHeight="false" outlineLevel="0" collapsed="false">
      <c r="A5311" s="3" t="n">
        <v>5310</v>
      </c>
      <c r="B5311" s="3" t="n">
        <v>5309</v>
      </c>
      <c r="C5311" s="3" t="n">
        <v>6</v>
      </c>
      <c r="D5311" s="3" t="n">
        <v>21</v>
      </c>
      <c r="E5311" s="3" t="n">
        <v>17</v>
      </c>
      <c r="F5311" s="24" t="n">
        <v>0.0249438584</v>
      </c>
    </row>
    <row r="5312" customFormat="false" ht="15" hidden="false" customHeight="false" outlineLevel="0" collapsed="false">
      <c r="A5312" s="3" t="n">
        <v>5311</v>
      </c>
      <c r="B5312" s="3" t="n">
        <v>5310</v>
      </c>
      <c r="C5312" s="3" t="n">
        <v>6</v>
      </c>
      <c r="D5312" s="3" t="n">
        <v>21</v>
      </c>
      <c r="E5312" s="3" t="n">
        <v>18</v>
      </c>
      <c r="F5312" s="24" t="n">
        <v>-0.00670984387</v>
      </c>
    </row>
    <row r="5313" customFormat="false" ht="15" hidden="false" customHeight="false" outlineLevel="0" collapsed="false">
      <c r="A5313" s="3" t="n">
        <v>5312</v>
      </c>
      <c r="B5313" s="3" t="n">
        <v>5311</v>
      </c>
      <c r="C5313" s="3" t="n">
        <v>6</v>
      </c>
      <c r="D5313" s="3" t="n">
        <v>21</v>
      </c>
      <c r="E5313" s="3" t="n">
        <v>19</v>
      </c>
      <c r="F5313" s="24" t="n">
        <v>-0.00670984387</v>
      </c>
    </row>
    <row r="5314" customFormat="false" ht="15" hidden="false" customHeight="false" outlineLevel="0" collapsed="false">
      <c r="A5314" s="3" t="n">
        <v>5313</v>
      </c>
      <c r="B5314" s="3" t="n">
        <v>5312</v>
      </c>
      <c r="C5314" s="3" t="n">
        <v>6</v>
      </c>
      <c r="D5314" s="3" t="n">
        <v>21</v>
      </c>
      <c r="E5314" s="3" t="n">
        <v>20</v>
      </c>
      <c r="F5314" s="24" t="n">
        <v>-0.00670984387</v>
      </c>
    </row>
    <row r="5315" customFormat="false" ht="15" hidden="false" customHeight="false" outlineLevel="0" collapsed="false">
      <c r="A5315" s="3" t="n">
        <v>5314</v>
      </c>
      <c r="B5315" s="3" t="n">
        <v>5313</v>
      </c>
      <c r="C5315" s="3" t="n">
        <v>6</v>
      </c>
      <c r="D5315" s="3" t="n">
        <v>21</v>
      </c>
      <c r="E5315" s="3" t="n">
        <v>21</v>
      </c>
      <c r="F5315" s="24" t="n">
        <v>-0.00670984387</v>
      </c>
    </row>
    <row r="5316" customFormat="false" ht="15" hidden="false" customHeight="false" outlineLevel="0" collapsed="false">
      <c r="A5316" s="3" t="n">
        <v>5315</v>
      </c>
      <c r="B5316" s="3" t="n">
        <v>5314</v>
      </c>
      <c r="C5316" s="3" t="n">
        <v>6</v>
      </c>
      <c r="D5316" s="3" t="n">
        <v>21</v>
      </c>
      <c r="E5316" s="3" t="n">
        <v>22</v>
      </c>
      <c r="F5316" s="24" t="n">
        <v>-0.00670984387</v>
      </c>
    </row>
    <row r="5317" customFormat="false" ht="15" hidden="false" customHeight="false" outlineLevel="0" collapsed="false">
      <c r="A5317" s="3" t="n">
        <v>5316</v>
      </c>
      <c r="B5317" s="3" t="n">
        <v>5315</v>
      </c>
      <c r="C5317" s="3" t="n">
        <v>6</v>
      </c>
      <c r="D5317" s="3" t="n">
        <v>21</v>
      </c>
      <c r="E5317" s="3" t="n">
        <v>23</v>
      </c>
      <c r="F5317" s="24" t="n">
        <v>-0.00670984387</v>
      </c>
    </row>
    <row r="5318" customFormat="false" ht="15" hidden="false" customHeight="false" outlineLevel="0" collapsed="false">
      <c r="A5318" s="3" t="n">
        <v>5317</v>
      </c>
      <c r="B5318" s="3" t="n">
        <v>5316</v>
      </c>
      <c r="C5318" s="3" t="n">
        <v>6</v>
      </c>
      <c r="D5318" s="3" t="n">
        <v>21</v>
      </c>
      <c r="E5318" s="3" t="n">
        <v>24</v>
      </c>
      <c r="F5318" s="24" t="n">
        <v>-0.00670984387</v>
      </c>
    </row>
    <row r="5319" customFormat="false" ht="15" hidden="false" customHeight="false" outlineLevel="0" collapsed="false">
      <c r="A5319" s="3" t="n">
        <v>5318</v>
      </c>
      <c r="B5319" s="3" t="n">
        <v>5317</v>
      </c>
      <c r="C5319" s="3" t="n">
        <v>6</v>
      </c>
      <c r="D5319" s="3" t="n">
        <v>21</v>
      </c>
      <c r="E5319" s="3" t="n">
        <v>25</v>
      </c>
      <c r="F5319" s="24" t="n">
        <v>-0.00670984387</v>
      </c>
    </row>
    <row r="5320" customFormat="false" ht="15" hidden="false" customHeight="false" outlineLevel="0" collapsed="false">
      <c r="A5320" s="3" t="n">
        <v>5319</v>
      </c>
      <c r="B5320" s="3" t="n">
        <v>5318</v>
      </c>
      <c r="C5320" s="3" t="n">
        <v>6</v>
      </c>
      <c r="D5320" s="3" t="n">
        <v>21</v>
      </c>
      <c r="E5320" s="3" t="n">
        <v>26</v>
      </c>
      <c r="F5320" s="24" t="n">
        <v>-0.00670984387</v>
      </c>
    </row>
    <row r="5321" customFormat="false" ht="15" hidden="false" customHeight="false" outlineLevel="0" collapsed="false">
      <c r="A5321" s="3" t="n">
        <v>5320</v>
      </c>
      <c r="B5321" s="3" t="n">
        <v>5319</v>
      </c>
      <c r="C5321" s="3" t="n">
        <v>6</v>
      </c>
      <c r="D5321" s="3" t="n">
        <v>21</v>
      </c>
      <c r="E5321" s="3" t="n">
        <v>27</v>
      </c>
      <c r="F5321" s="24" t="n">
        <v>-0.0790599883</v>
      </c>
    </row>
    <row r="5322" customFormat="false" ht="15" hidden="false" customHeight="false" outlineLevel="0" collapsed="false">
      <c r="A5322" s="3" t="n">
        <v>5321</v>
      </c>
      <c r="B5322" s="3" t="n">
        <v>5320</v>
      </c>
      <c r="C5322" s="3" t="n">
        <v>6</v>
      </c>
      <c r="D5322" s="3" t="n">
        <v>22</v>
      </c>
      <c r="E5322" s="3" t="n">
        <v>0</v>
      </c>
      <c r="F5322" s="24" t="n">
        <v>0.185572863</v>
      </c>
    </row>
    <row r="5323" customFormat="false" ht="15" hidden="false" customHeight="false" outlineLevel="0" collapsed="false">
      <c r="A5323" s="3" t="n">
        <v>5322</v>
      </c>
      <c r="B5323" s="3" t="n">
        <v>5321</v>
      </c>
      <c r="C5323" s="3" t="n">
        <v>6</v>
      </c>
      <c r="D5323" s="3" t="n">
        <v>22</v>
      </c>
      <c r="E5323" s="3" t="n">
        <v>1</v>
      </c>
      <c r="F5323" s="24" t="n">
        <v>-0.00670984387</v>
      </c>
    </row>
    <row r="5324" customFormat="false" ht="15" hidden="false" customHeight="false" outlineLevel="0" collapsed="false">
      <c r="A5324" s="3" t="n">
        <v>5323</v>
      </c>
      <c r="B5324" s="3" t="n">
        <v>5322</v>
      </c>
      <c r="C5324" s="3" t="n">
        <v>6</v>
      </c>
      <c r="D5324" s="3" t="n">
        <v>22</v>
      </c>
      <c r="E5324" s="3" t="n">
        <v>2</v>
      </c>
      <c r="F5324" s="24" t="n">
        <v>-0.00670984387</v>
      </c>
    </row>
    <row r="5325" customFormat="false" ht="15" hidden="false" customHeight="false" outlineLevel="0" collapsed="false">
      <c r="A5325" s="3" t="n">
        <v>5324</v>
      </c>
      <c r="B5325" s="3" t="n">
        <v>5323</v>
      </c>
      <c r="C5325" s="3" t="n">
        <v>6</v>
      </c>
      <c r="D5325" s="3" t="n">
        <v>22</v>
      </c>
      <c r="E5325" s="3" t="n">
        <v>3</v>
      </c>
      <c r="F5325" s="24" t="n">
        <v>-0.00670984387</v>
      </c>
    </row>
    <row r="5326" customFormat="false" ht="15" hidden="false" customHeight="false" outlineLevel="0" collapsed="false">
      <c r="A5326" s="3" t="n">
        <v>5325</v>
      </c>
      <c r="B5326" s="3" t="n">
        <v>5324</v>
      </c>
      <c r="C5326" s="3" t="n">
        <v>6</v>
      </c>
      <c r="D5326" s="3" t="n">
        <v>22</v>
      </c>
      <c r="E5326" s="3" t="n">
        <v>4</v>
      </c>
      <c r="F5326" s="24" t="n">
        <v>-0.00670984387</v>
      </c>
    </row>
    <row r="5327" customFormat="false" ht="15" hidden="false" customHeight="false" outlineLevel="0" collapsed="false">
      <c r="A5327" s="3" t="n">
        <v>5326</v>
      </c>
      <c r="B5327" s="3" t="n">
        <v>5325</v>
      </c>
      <c r="C5327" s="3" t="n">
        <v>6</v>
      </c>
      <c r="D5327" s="3" t="n">
        <v>22</v>
      </c>
      <c r="E5327" s="3" t="n">
        <v>5</v>
      </c>
      <c r="F5327" s="24" t="n">
        <v>-0.00670984387</v>
      </c>
    </row>
    <row r="5328" customFormat="false" ht="15" hidden="false" customHeight="false" outlineLevel="0" collapsed="false">
      <c r="A5328" s="3" t="n">
        <v>5327</v>
      </c>
      <c r="B5328" s="3" t="n">
        <v>5326</v>
      </c>
      <c r="C5328" s="3" t="n">
        <v>6</v>
      </c>
      <c r="D5328" s="3" t="n">
        <v>22</v>
      </c>
      <c r="E5328" s="3" t="n">
        <v>6</v>
      </c>
      <c r="F5328" s="24" t="n">
        <v>-0.00670984387</v>
      </c>
    </row>
    <row r="5329" customFormat="false" ht="15" hidden="false" customHeight="false" outlineLevel="0" collapsed="false">
      <c r="A5329" s="3" t="n">
        <v>5328</v>
      </c>
      <c r="B5329" s="3" t="n">
        <v>5327</v>
      </c>
      <c r="C5329" s="3" t="n">
        <v>6</v>
      </c>
      <c r="D5329" s="3" t="n">
        <v>22</v>
      </c>
      <c r="E5329" s="3" t="n">
        <v>7</v>
      </c>
      <c r="F5329" s="24" t="n">
        <v>-0.00670984387</v>
      </c>
    </row>
    <row r="5330" customFormat="false" ht="15" hidden="false" customHeight="false" outlineLevel="0" collapsed="false">
      <c r="A5330" s="3" t="n">
        <v>5329</v>
      </c>
      <c r="B5330" s="3" t="n">
        <v>5328</v>
      </c>
      <c r="C5330" s="3" t="n">
        <v>6</v>
      </c>
      <c r="D5330" s="3" t="n">
        <v>22</v>
      </c>
      <c r="E5330" s="3" t="n">
        <v>8</v>
      </c>
      <c r="F5330" s="24" t="n">
        <v>-0.00670984387</v>
      </c>
    </row>
    <row r="5331" customFormat="false" ht="15" hidden="false" customHeight="false" outlineLevel="0" collapsed="false">
      <c r="A5331" s="3" t="n">
        <v>5330</v>
      </c>
      <c r="B5331" s="3" t="n">
        <v>5329</v>
      </c>
      <c r="C5331" s="3" t="n">
        <v>6</v>
      </c>
      <c r="D5331" s="3" t="n">
        <v>22</v>
      </c>
      <c r="E5331" s="3" t="n">
        <v>9</v>
      </c>
      <c r="F5331" s="24" t="n">
        <v>-0.00670984387</v>
      </c>
    </row>
    <row r="5332" customFormat="false" ht="15" hidden="false" customHeight="false" outlineLevel="0" collapsed="false">
      <c r="A5332" s="3" t="n">
        <v>5331</v>
      </c>
      <c r="B5332" s="3" t="n">
        <v>5330</v>
      </c>
      <c r="C5332" s="3" t="n">
        <v>6</v>
      </c>
      <c r="D5332" s="3" t="n">
        <v>22</v>
      </c>
      <c r="E5332" s="3" t="n">
        <v>10</v>
      </c>
      <c r="F5332" s="24" t="n">
        <v>-0.411728829</v>
      </c>
    </row>
    <row r="5333" customFormat="false" ht="15" hidden="false" customHeight="false" outlineLevel="0" collapsed="false">
      <c r="A5333" s="3" t="n">
        <v>5332</v>
      </c>
      <c r="B5333" s="3" t="n">
        <v>5331</v>
      </c>
      <c r="C5333" s="3" t="n">
        <v>6</v>
      </c>
      <c r="D5333" s="3" t="n">
        <v>22</v>
      </c>
      <c r="E5333" s="3" t="n">
        <v>11</v>
      </c>
      <c r="F5333" s="24" t="n">
        <v>-1.46685231</v>
      </c>
    </row>
    <row r="5334" customFormat="false" ht="15" hidden="false" customHeight="false" outlineLevel="0" collapsed="false">
      <c r="A5334" s="3" t="n">
        <v>5333</v>
      </c>
      <c r="B5334" s="3" t="n">
        <v>5332</v>
      </c>
      <c r="C5334" s="3" t="n">
        <v>6</v>
      </c>
      <c r="D5334" s="3" t="n">
        <v>22</v>
      </c>
      <c r="E5334" s="3" t="n">
        <v>12</v>
      </c>
      <c r="F5334" s="24" t="n">
        <v>0.357689142</v>
      </c>
    </row>
    <row r="5335" customFormat="false" ht="15" hidden="false" customHeight="false" outlineLevel="0" collapsed="false">
      <c r="A5335" s="3" t="n">
        <v>5334</v>
      </c>
      <c r="B5335" s="3" t="n">
        <v>5333</v>
      </c>
      <c r="C5335" s="3" t="n">
        <v>6</v>
      </c>
      <c r="D5335" s="3" t="n">
        <v>22</v>
      </c>
      <c r="E5335" s="3" t="n">
        <v>13</v>
      </c>
      <c r="F5335" s="24" t="n">
        <v>3.01165938</v>
      </c>
    </row>
    <row r="5336" customFormat="false" ht="15" hidden="false" customHeight="false" outlineLevel="0" collapsed="false">
      <c r="A5336" s="3" t="n">
        <v>5335</v>
      </c>
      <c r="B5336" s="3" t="n">
        <v>5334</v>
      </c>
      <c r="C5336" s="3" t="n">
        <v>6</v>
      </c>
      <c r="D5336" s="3" t="n">
        <v>22</v>
      </c>
      <c r="E5336" s="3" t="n">
        <v>14</v>
      </c>
      <c r="F5336" s="24" t="n">
        <v>3.03094506</v>
      </c>
    </row>
    <row r="5337" customFormat="false" ht="15" hidden="false" customHeight="false" outlineLevel="0" collapsed="false">
      <c r="A5337" s="3" t="n">
        <v>5336</v>
      </c>
      <c r="B5337" s="3" t="n">
        <v>5335</v>
      </c>
      <c r="C5337" s="3" t="n">
        <v>6</v>
      </c>
      <c r="D5337" s="3" t="n">
        <v>22</v>
      </c>
      <c r="E5337" s="3" t="n">
        <v>15</v>
      </c>
      <c r="F5337" s="24" t="n">
        <v>0.925818205</v>
      </c>
    </row>
    <row r="5338" customFormat="false" ht="15" hidden="false" customHeight="false" outlineLevel="0" collapsed="false">
      <c r="A5338" s="3" t="n">
        <v>5337</v>
      </c>
      <c r="B5338" s="3" t="n">
        <v>5336</v>
      </c>
      <c r="C5338" s="3" t="n">
        <v>6</v>
      </c>
      <c r="D5338" s="3" t="n">
        <v>22</v>
      </c>
      <c r="E5338" s="3" t="n">
        <v>16</v>
      </c>
      <c r="F5338" s="24" t="n">
        <v>0.0660331845</v>
      </c>
    </row>
    <row r="5339" customFormat="false" ht="15" hidden="false" customHeight="false" outlineLevel="0" collapsed="false">
      <c r="A5339" s="3" t="n">
        <v>5338</v>
      </c>
      <c r="B5339" s="3" t="n">
        <v>5337</v>
      </c>
      <c r="C5339" s="3" t="n">
        <v>6</v>
      </c>
      <c r="D5339" s="3" t="n">
        <v>22</v>
      </c>
      <c r="E5339" s="3" t="n">
        <v>17</v>
      </c>
      <c r="F5339" s="24" t="n">
        <v>-0.00670984387</v>
      </c>
    </row>
    <row r="5340" customFormat="false" ht="15" hidden="false" customHeight="false" outlineLevel="0" collapsed="false">
      <c r="A5340" s="3" t="n">
        <v>5339</v>
      </c>
      <c r="B5340" s="3" t="n">
        <v>5338</v>
      </c>
      <c r="C5340" s="3" t="n">
        <v>6</v>
      </c>
      <c r="D5340" s="3" t="n">
        <v>22</v>
      </c>
      <c r="E5340" s="3" t="n">
        <v>18</v>
      </c>
      <c r="F5340" s="24" t="n">
        <v>-0.00670984387</v>
      </c>
    </row>
    <row r="5341" customFormat="false" ht="15" hidden="false" customHeight="false" outlineLevel="0" collapsed="false">
      <c r="A5341" s="3" t="n">
        <v>5340</v>
      </c>
      <c r="B5341" s="3" t="n">
        <v>5339</v>
      </c>
      <c r="C5341" s="3" t="n">
        <v>6</v>
      </c>
      <c r="D5341" s="3" t="n">
        <v>22</v>
      </c>
      <c r="E5341" s="3" t="n">
        <v>19</v>
      </c>
      <c r="F5341" s="24" t="n">
        <v>-0.00670984387</v>
      </c>
    </row>
    <row r="5342" customFormat="false" ht="15" hidden="false" customHeight="false" outlineLevel="0" collapsed="false">
      <c r="A5342" s="3" t="n">
        <v>5341</v>
      </c>
      <c r="B5342" s="3" t="n">
        <v>5340</v>
      </c>
      <c r="C5342" s="3" t="n">
        <v>6</v>
      </c>
      <c r="D5342" s="3" t="n">
        <v>22</v>
      </c>
      <c r="E5342" s="3" t="n">
        <v>20</v>
      </c>
      <c r="F5342" s="24" t="n">
        <v>-0.00670984387</v>
      </c>
    </row>
    <row r="5343" customFormat="false" ht="15" hidden="false" customHeight="false" outlineLevel="0" collapsed="false">
      <c r="A5343" s="3" t="n">
        <v>5342</v>
      </c>
      <c r="B5343" s="3" t="n">
        <v>5341</v>
      </c>
      <c r="C5343" s="3" t="n">
        <v>6</v>
      </c>
      <c r="D5343" s="3" t="n">
        <v>22</v>
      </c>
      <c r="E5343" s="3" t="n">
        <v>21</v>
      </c>
      <c r="F5343" s="24" t="n">
        <v>-0.00670984387</v>
      </c>
    </row>
    <row r="5344" customFormat="false" ht="15" hidden="false" customHeight="false" outlineLevel="0" collapsed="false">
      <c r="A5344" s="3" t="n">
        <v>5343</v>
      </c>
      <c r="B5344" s="3" t="n">
        <v>5342</v>
      </c>
      <c r="C5344" s="3" t="n">
        <v>6</v>
      </c>
      <c r="D5344" s="3" t="n">
        <v>22</v>
      </c>
      <c r="E5344" s="3" t="n">
        <v>22</v>
      </c>
      <c r="F5344" s="24" t="n">
        <v>-0.00670984387</v>
      </c>
    </row>
    <row r="5345" customFormat="false" ht="15" hidden="false" customHeight="false" outlineLevel="0" collapsed="false">
      <c r="A5345" s="3" t="n">
        <v>5344</v>
      </c>
      <c r="B5345" s="3" t="n">
        <v>5343</v>
      </c>
      <c r="C5345" s="3" t="n">
        <v>6</v>
      </c>
      <c r="D5345" s="3" t="n">
        <v>22</v>
      </c>
      <c r="E5345" s="3" t="n">
        <v>23</v>
      </c>
      <c r="F5345" s="24" t="n">
        <v>-0.00670984387</v>
      </c>
    </row>
    <row r="5346" customFormat="false" ht="15" hidden="false" customHeight="false" outlineLevel="0" collapsed="false">
      <c r="A5346" s="3" t="n">
        <v>5345</v>
      </c>
      <c r="B5346" s="3" t="n">
        <v>5344</v>
      </c>
      <c r="C5346" s="3" t="n">
        <v>6</v>
      </c>
      <c r="D5346" s="3" t="n">
        <v>22</v>
      </c>
      <c r="E5346" s="3" t="n">
        <v>24</v>
      </c>
      <c r="F5346" s="24" t="n">
        <v>-0.00670984387</v>
      </c>
    </row>
    <row r="5347" customFormat="false" ht="15" hidden="false" customHeight="false" outlineLevel="0" collapsed="false">
      <c r="A5347" s="3" t="n">
        <v>5346</v>
      </c>
      <c r="B5347" s="3" t="n">
        <v>5345</v>
      </c>
      <c r="C5347" s="3" t="n">
        <v>6</v>
      </c>
      <c r="D5347" s="3" t="n">
        <v>22</v>
      </c>
      <c r="E5347" s="3" t="n">
        <v>25</v>
      </c>
      <c r="F5347" s="24" t="n">
        <v>-0.00670984387</v>
      </c>
    </row>
    <row r="5348" customFormat="false" ht="15" hidden="false" customHeight="false" outlineLevel="0" collapsed="false">
      <c r="A5348" s="3" t="n">
        <v>5347</v>
      </c>
      <c r="B5348" s="3" t="n">
        <v>5346</v>
      </c>
      <c r="C5348" s="3" t="n">
        <v>6</v>
      </c>
      <c r="D5348" s="3" t="n">
        <v>22</v>
      </c>
      <c r="E5348" s="3" t="n">
        <v>26</v>
      </c>
      <c r="F5348" s="24" t="n">
        <v>-0.00670984387</v>
      </c>
    </row>
    <row r="5349" customFormat="false" ht="15" hidden="false" customHeight="false" outlineLevel="0" collapsed="false">
      <c r="A5349" s="3" t="n">
        <v>5348</v>
      </c>
      <c r="B5349" s="3" t="n">
        <v>5347</v>
      </c>
      <c r="C5349" s="3" t="n">
        <v>6</v>
      </c>
      <c r="D5349" s="3" t="n">
        <v>22</v>
      </c>
      <c r="E5349" s="3" t="n">
        <v>27</v>
      </c>
      <c r="F5349" s="24" t="n">
        <v>-0.0790599883</v>
      </c>
    </row>
    <row r="5350" customFormat="false" ht="15" hidden="false" customHeight="false" outlineLevel="0" collapsed="false">
      <c r="A5350" s="3" t="n">
        <v>5349</v>
      </c>
      <c r="B5350" s="3" t="n">
        <v>5348</v>
      </c>
      <c r="C5350" s="3" t="n">
        <v>6</v>
      </c>
      <c r="D5350" s="3" t="n">
        <v>23</v>
      </c>
      <c r="E5350" s="3" t="n">
        <v>0</v>
      </c>
      <c r="F5350" s="24" t="n">
        <v>0.185572863</v>
      </c>
    </row>
    <row r="5351" customFormat="false" ht="15" hidden="false" customHeight="false" outlineLevel="0" collapsed="false">
      <c r="A5351" s="3" t="n">
        <v>5350</v>
      </c>
      <c r="B5351" s="3" t="n">
        <v>5349</v>
      </c>
      <c r="C5351" s="3" t="n">
        <v>6</v>
      </c>
      <c r="D5351" s="3" t="n">
        <v>23</v>
      </c>
      <c r="E5351" s="3" t="n">
        <v>1</v>
      </c>
      <c r="F5351" s="24" t="n">
        <v>-0.00670984387</v>
      </c>
    </row>
    <row r="5352" customFormat="false" ht="15" hidden="false" customHeight="false" outlineLevel="0" collapsed="false">
      <c r="A5352" s="3" t="n">
        <v>5351</v>
      </c>
      <c r="B5352" s="3" t="n">
        <v>5350</v>
      </c>
      <c r="C5352" s="3" t="n">
        <v>6</v>
      </c>
      <c r="D5352" s="3" t="n">
        <v>23</v>
      </c>
      <c r="E5352" s="3" t="n">
        <v>2</v>
      </c>
      <c r="F5352" s="24" t="n">
        <v>-0.00670984387</v>
      </c>
    </row>
    <row r="5353" customFormat="false" ht="15" hidden="false" customHeight="false" outlineLevel="0" collapsed="false">
      <c r="A5353" s="3" t="n">
        <v>5352</v>
      </c>
      <c r="B5353" s="3" t="n">
        <v>5351</v>
      </c>
      <c r="C5353" s="3" t="n">
        <v>6</v>
      </c>
      <c r="D5353" s="3" t="n">
        <v>23</v>
      </c>
      <c r="E5353" s="3" t="n">
        <v>3</v>
      </c>
      <c r="F5353" s="24" t="n">
        <v>-0.00670984387</v>
      </c>
    </row>
    <row r="5354" customFormat="false" ht="15" hidden="false" customHeight="false" outlineLevel="0" collapsed="false">
      <c r="A5354" s="3" t="n">
        <v>5353</v>
      </c>
      <c r="B5354" s="3" t="n">
        <v>5352</v>
      </c>
      <c r="C5354" s="3" t="n">
        <v>6</v>
      </c>
      <c r="D5354" s="3" t="n">
        <v>23</v>
      </c>
      <c r="E5354" s="3" t="n">
        <v>4</v>
      </c>
      <c r="F5354" s="24" t="n">
        <v>-0.00670984387</v>
      </c>
    </row>
    <row r="5355" customFormat="false" ht="15" hidden="false" customHeight="false" outlineLevel="0" collapsed="false">
      <c r="A5355" s="3" t="n">
        <v>5354</v>
      </c>
      <c r="B5355" s="3" t="n">
        <v>5353</v>
      </c>
      <c r="C5355" s="3" t="n">
        <v>6</v>
      </c>
      <c r="D5355" s="3" t="n">
        <v>23</v>
      </c>
      <c r="E5355" s="3" t="n">
        <v>5</v>
      </c>
      <c r="F5355" s="24" t="n">
        <v>-0.00670984387</v>
      </c>
    </row>
    <row r="5356" customFormat="false" ht="15" hidden="false" customHeight="false" outlineLevel="0" collapsed="false">
      <c r="A5356" s="3" t="n">
        <v>5355</v>
      </c>
      <c r="B5356" s="3" t="n">
        <v>5354</v>
      </c>
      <c r="C5356" s="3" t="n">
        <v>6</v>
      </c>
      <c r="D5356" s="3" t="n">
        <v>23</v>
      </c>
      <c r="E5356" s="3" t="n">
        <v>6</v>
      </c>
      <c r="F5356" s="24" t="n">
        <v>-0.00670984387</v>
      </c>
    </row>
    <row r="5357" customFormat="false" ht="15" hidden="false" customHeight="false" outlineLevel="0" collapsed="false">
      <c r="A5357" s="3" t="n">
        <v>5356</v>
      </c>
      <c r="B5357" s="3" t="n">
        <v>5355</v>
      </c>
      <c r="C5357" s="3" t="n">
        <v>6</v>
      </c>
      <c r="D5357" s="3" t="n">
        <v>23</v>
      </c>
      <c r="E5357" s="3" t="n">
        <v>7</v>
      </c>
      <c r="F5357" s="24" t="n">
        <v>-0.00670984387</v>
      </c>
    </row>
    <row r="5358" customFormat="false" ht="15" hidden="false" customHeight="false" outlineLevel="0" collapsed="false">
      <c r="A5358" s="3" t="n">
        <v>5357</v>
      </c>
      <c r="B5358" s="3" t="n">
        <v>5356</v>
      </c>
      <c r="C5358" s="3" t="n">
        <v>6</v>
      </c>
      <c r="D5358" s="3" t="n">
        <v>23</v>
      </c>
      <c r="E5358" s="3" t="n">
        <v>8</v>
      </c>
      <c r="F5358" s="24" t="n">
        <v>-0.00670984387</v>
      </c>
    </row>
    <row r="5359" customFormat="false" ht="15" hidden="false" customHeight="false" outlineLevel="0" collapsed="false">
      <c r="A5359" s="3" t="n">
        <v>5358</v>
      </c>
      <c r="B5359" s="3" t="n">
        <v>5357</v>
      </c>
      <c r="C5359" s="3" t="n">
        <v>6</v>
      </c>
      <c r="D5359" s="3" t="n">
        <v>23</v>
      </c>
      <c r="E5359" s="3" t="n">
        <v>9</v>
      </c>
      <c r="F5359" s="24" t="n">
        <v>-0.141612083</v>
      </c>
    </row>
    <row r="5360" customFormat="false" ht="15" hidden="false" customHeight="false" outlineLevel="0" collapsed="false">
      <c r="A5360" s="3" t="n">
        <v>5359</v>
      </c>
      <c r="B5360" s="3" t="n">
        <v>5358</v>
      </c>
      <c r="C5360" s="3" t="n">
        <v>6</v>
      </c>
      <c r="D5360" s="3" t="n">
        <v>23</v>
      </c>
      <c r="E5360" s="3" t="n">
        <v>10</v>
      </c>
      <c r="F5360" s="24" t="n">
        <v>-1.09168899</v>
      </c>
    </row>
    <row r="5361" customFormat="false" ht="15" hidden="false" customHeight="false" outlineLevel="0" collapsed="false">
      <c r="A5361" s="3" t="n">
        <v>5360</v>
      </c>
      <c r="B5361" s="3" t="n">
        <v>5359</v>
      </c>
      <c r="C5361" s="3" t="n">
        <v>6</v>
      </c>
      <c r="D5361" s="3" t="n">
        <v>23</v>
      </c>
      <c r="E5361" s="3" t="n">
        <v>11</v>
      </c>
      <c r="F5361" s="24" t="n">
        <v>-0.46274671</v>
      </c>
    </row>
    <row r="5362" customFormat="false" ht="15" hidden="false" customHeight="false" outlineLevel="0" collapsed="false">
      <c r="A5362" s="3" t="n">
        <v>5361</v>
      </c>
      <c r="B5362" s="3" t="n">
        <v>5360</v>
      </c>
      <c r="C5362" s="3" t="n">
        <v>6</v>
      </c>
      <c r="D5362" s="3" t="n">
        <v>23</v>
      </c>
      <c r="E5362" s="3" t="n">
        <v>12</v>
      </c>
      <c r="F5362" s="24" t="n">
        <v>1.66083384</v>
      </c>
    </row>
    <row r="5363" customFormat="false" ht="15" hidden="false" customHeight="false" outlineLevel="0" collapsed="false">
      <c r="A5363" s="3" t="n">
        <v>5362</v>
      </c>
      <c r="B5363" s="3" t="n">
        <v>5361</v>
      </c>
      <c r="C5363" s="3" t="n">
        <v>6</v>
      </c>
      <c r="D5363" s="3" t="n">
        <v>23</v>
      </c>
      <c r="E5363" s="3" t="n">
        <v>13</v>
      </c>
      <c r="F5363" s="24" t="n">
        <v>2.99551249</v>
      </c>
    </row>
    <row r="5364" customFormat="false" ht="15" hidden="false" customHeight="false" outlineLevel="0" collapsed="false">
      <c r="A5364" s="3" t="n">
        <v>5363</v>
      </c>
      <c r="B5364" s="3" t="n">
        <v>5362</v>
      </c>
      <c r="C5364" s="3" t="n">
        <v>6</v>
      </c>
      <c r="D5364" s="3" t="n">
        <v>23</v>
      </c>
      <c r="E5364" s="3" t="n">
        <v>14</v>
      </c>
      <c r="F5364" s="24" t="n">
        <v>1.96242511</v>
      </c>
    </row>
    <row r="5365" customFormat="false" ht="15" hidden="false" customHeight="false" outlineLevel="0" collapsed="false">
      <c r="A5365" s="3" t="n">
        <v>5364</v>
      </c>
      <c r="B5365" s="3" t="n">
        <v>5363</v>
      </c>
      <c r="C5365" s="3" t="n">
        <v>6</v>
      </c>
      <c r="D5365" s="3" t="n">
        <v>23</v>
      </c>
      <c r="E5365" s="3" t="n">
        <v>15</v>
      </c>
      <c r="F5365" s="24" t="n">
        <v>0.353501201</v>
      </c>
    </row>
    <row r="5366" customFormat="false" ht="15" hidden="false" customHeight="false" outlineLevel="0" collapsed="false">
      <c r="A5366" s="3" t="n">
        <v>5365</v>
      </c>
      <c r="B5366" s="3" t="n">
        <v>5364</v>
      </c>
      <c r="C5366" s="3" t="n">
        <v>6</v>
      </c>
      <c r="D5366" s="3" t="n">
        <v>23</v>
      </c>
      <c r="E5366" s="3" t="n">
        <v>16</v>
      </c>
      <c r="F5366" s="24" t="n">
        <v>-0.0058054626</v>
      </c>
    </row>
    <row r="5367" customFormat="false" ht="15" hidden="false" customHeight="false" outlineLevel="0" collapsed="false">
      <c r="A5367" s="3" t="n">
        <v>5366</v>
      </c>
      <c r="B5367" s="3" t="n">
        <v>5365</v>
      </c>
      <c r="C5367" s="3" t="n">
        <v>6</v>
      </c>
      <c r="D5367" s="3" t="n">
        <v>23</v>
      </c>
      <c r="E5367" s="3" t="n">
        <v>17</v>
      </c>
      <c r="F5367" s="24" t="n">
        <v>-0.00670984387</v>
      </c>
    </row>
    <row r="5368" customFormat="false" ht="15" hidden="false" customHeight="false" outlineLevel="0" collapsed="false">
      <c r="A5368" s="3" t="n">
        <v>5367</v>
      </c>
      <c r="B5368" s="3" t="n">
        <v>5366</v>
      </c>
      <c r="C5368" s="3" t="n">
        <v>6</v>
      </c>
      <c r="D5368" s="3" t="n">
        <v>23</v>
      </c>
      <c r="E5368" s="3" t="n">
        <v>18</v>
      </c>
      <c r="F5368" s="24" t="n">
        <v>-0.00670984387</v>
      </c>
    </row>
    <row r="5369" customFormat="false" ht="15" hidden="false" customHeight="false" outlineLevel="0" collapsed="false">
      <c r="A5369" s="3" t="n">
        <v>5368</v>
      </c>
      <c r="B5369" s="3" t="n">
        <v>5367</v>
      </c>
      <c r="C5369" s="3" t="n">
        <v>6</v>
      </c>
      <c r="D5369" s="3" t="n">
        <v>23</v>
      </c>
      <c r="E5369" s="3" t="n">
        <v>19</v>
      </c>
      <c r="F5369" s="24" t="n">
        <v>-0.00670984387</v>
      </c>
    </row>
    <row r="5370" customFormat="false" ht="15" hidden="false" customHeight="false" outlineLevel="0" collapsed="false">
      <c r="A5370" s="3" t="n">
        <v>5369</v>
      </c>
      <c r="B5370" s="3" t="n">
        <v>5368</v>
      </c>
      <c r="C5370" s="3" t="n">
        <v>6</v>
      </c>
      <c r="D5370" s="3" t="n">
        <v>23</v>
      </c>
      <c r="E5370" s="3" t="n">
        <v>20</v>
      </c>
      <c r="F5370" s="24" t="n">
        <v>-0.00670984387</v>
      </c>
    </row>
    <row r="5371" customFormat="false" ht="15" hidden="false" customHeight="false" outlineLevel="0" collapsed="false">
      <c r="A5371" s="3" t="n">
        <v>5370</v>
      </c>
      <c r="B5371" s="3" t="n">
        <v>5369</v>
      </c>
      <c r="C5371" s="3" t="n">
        <v>6</v>
      </c>
      <c r="D5371" s="3" t="n">
        <v>23</v>
      </c>
      <c r="E5371" s="3" t="n">
        <v>21</v>
      </c>
      <c r="F5371" s="24" t="n">
        <v>-0.00670984387</v>
      </c>
    </row>
    <row r="5372" customFormat="false" ht="15" hidden="false" customHeight="false" outlineLevel="0" collapsed="false">
      <c r="A5372" s="3" t="n">
        <v>5371</v>
      </c>
      <c r="B5372" s="3" t="n">
        <v>5370</v>
      </c>
      <c r="C5372" s="3" t="n">
        <v>6</v>
      </c>
      <c r="D5372" s="3" t="n">
        <v>23</v>
      </c>
      <c r="E5372" s="3" t="n">
        <v>22</v>
      </c>
      <c r="F5372" s="24" t="n">
        <v>-0.00670984387</v>
      </c>
    </row>
    <row r="5373" customFormat="false" ht="15" hidden="false" customHeight="false" outlineLevel="0" collapsed="false">
      <c r="A5373" s="3" t="n">
        <v>5372</v>
      </c>
      <c r="B5373" s="3" t="n">
        <v>5371</v>
      </c>
      <c r="C5373" s="3" t="n">
        <v>6</v>
      </c>
      <c r="D5373" s="3" t="n">
        <v>23</v>
      </c>
      <c r="E5373" s="3" t="n">
        <v>23</v>
      </c>
      <c r="F5373" s="24" t="n">
        <v>-0.00670984387</v>
      </c>
    </row>
    <row r="5374" customFormat="false" ht="15" hidden="false" customHeight="false" outlineLevel="0" collapsed="false">
      <c r="A5374" s="3" t="n">
        <v>5373</v>
      </c>
      <c r="B5374" s="3" t="n">
        <v>5372</v>
      </c>
      <c r="C5374" s="3" t="n">
        <v>6</v>
      </c>
      <c r="D5374" s="3" t="n">
        <v>23</v>
      </c>
      <c r="E5374" s="3" t="n">
        <v>24</v>
      </c>
      <c r="F5374" s="24" t="n">
        <v>-0.00670984387</v>
      </c>
    </row>
    <row r="5375" customFormat="false" ht="15" hidden="false" customHeight="false" outlineLevel="0" collapsed="false">
      <c r="A5375" s="3" t="n">
        <v>5374</v>
      </c>
      <c r="B5375" s="3" t="n">
        <v>5373</v>
      </c>
      <c r="C5375" s="3" t="n">
        <v>6</v>
      </c>
      <c r="D5375" s="3" t="n">
        <v>23</v>
      </c>
      <c r="E5375" s="3" t="n">
        <v>25</v>
      </c>
      <c r="F5375" s="24" t="n">
        <v>-0.00670984387</v>
      </c>
    </row>
    <row r="5376" customFormat="false" ht="15" hidden="false" customHeight="false" outlineLevel="0" collapsed="false">
      <c r="A5376" s="3" t="n">
        <v>5375</v>
      </c>
      <c r="B5376" s="3" t="n">
        <v>5374</v>
      </c>
      <c r="C5376" s="3" t="n">
        <v>6</v>
      </c>
      <c r="D5376" s="3" t="n">
        <v>23</v>
      </c>
      <c r="E5376" s="3" t="n">
        <v>26</v>
      </c>
      <c r="F5376" s="24" t="n">
        <v>-0.00670984387</v>
      </c>
    </row>
    <row r="5377" customFormat="false" ht="15" hidden="false" customHeight="false" outlineLevel="0" collapsed="false">
      <c r="A5377" s="3" t="n">
        <v>5376</v>
      </c>
      <c r="B5377" s="3" t="n">
        <v>5375</v>
      </c>
      <c r="C5377" s="3" t="n">
        <v>6</v>
      </c>
      <c r="D5377" s="3" t="n">
        <v>23</v>
      </c>
      <c r="E5377" s="3" t="n">
        <v>27</v>
      </c>
      <c r="F5377" s="24" t="n">
        <v>-0.0790599883</v>
      </c>
    </row>
    <row r="5378" customFormat="false" ht="15" hidden="false" customHeight="false" outlineLevel="0" collapsed="false">
      <c r="A5378" s="3" t="n">
        <v>5377</v>
      </c>
      <c r="B5378" s="3" t="n">
        <v>5376</v>
      </c>
      <c r="C5378" s="3" t="n">
        <v>6</v>
      </c>
      <c r="D5378" s="3" t="n">
        <v>24</v>
      </c>
      <c r="E5378" s="3" t="n">
        <v>0</v>
      </c>
      <c r="F5378" s="24" t="n">
        <v>0.185572863</v>
      </c>
    </row>
    <row r="5379" customFormat="false" ht="15" hidden="false" customHeight="false" outlineLevel="0" collapsed="false">
      <c r="A5379" s="3" t="n">
        <v>5378</v>
      </c>
      <c r="B5379" s="3" t="n">
        <v>5377</v>
      </c>
      <c r="C5379" s="3" t="n">
        <v>6</v>
      </c>
      <c r="D5379" s="3" t="n">
        <v>24</v>
      </c>
      <c r="E5379" s="3" t="n">
        <v>1</v>
      </c>
      <c r="F5379" s="24" t="n">
        <v>-0.00670984387</v>
      </c>
    </row>
    <row r="5380" customFormat="false" ht="15" hidden="false" customHeight="false" outlineLevel="0" collapsed="false">
      <c r="A5380" s="3" t="n">
        <v>5379</v>
      </c>
      <c r="B5380" s="3" t="n">
        <v>5378</v>
      </c>
      <c r="C5380" s="3" t="n">
        <v>6</v>
      </c>
      <c r="D5380" s="3" t="n">
        <v>24</v>
      </c>
      <c r="E5380" s="3" t="n">
        <v>2</v>
      </c>
      <c r="F5380" s="24" t="n">
        <v>-0.00670984387</v>
      </c>
    </row>
    <row r="5381" customFormat="false" ht="15" hidden="false" customHeight="false" outlineLevel="0" collapsed="false">
      <c r="A5381" s="3" t="n">
        <v>5380</v>
      </c>
      <c r="B5381" s="3" t="n">
        <v>5379</v>
      </c>
      <c r="C5381" s="3" t="n">
        <v>6</v>
      </c>
      <c r="D5381" s="3" t="n">
        <v>24</v>
      </c>
      <c r="E5381" s="3" t="n">
        <v>3</v>
      </c>
      <c r="F5381" s="24" t="n">
        <v>-0.00670984387</v>
      </c>
    </row>
    <row r="5382" customFormat="false" ht="15" hidden="false" customHeight="false" outlineLevel="0" collapsed="false">
      <c r="A5382" s="3" t="n">
        <v>5381</v>
      </c>
      <c r="B5382" s="3" t="n">
        <v>5380</v>
      </c>
      <c r="C5382" s="3" t="n">
        <v>6</v>
      </c>
      <c r="D5382" s="3" t="n">
        <v>24</v>
      </c>
      <c r="E5382" s="3" t="n">
        <v>4</v>
      </c>
      <c r="F5382" s="24" t="n">
        <v>-0.00670984387</v>
      </c>
    </row>
    <row r="5383" customFormat="false" ht="15" hidden="false" customHeight="false" outlineLevel="0" collapsed="false">
      <c r="A5383" s="3" t="n">
        <v>5382</v>
      </c>
      <c r="B5383" s="3" t="n">
        <v>5381</v>
      </c>
      <c r="C5383" s="3" t="n">
        <v>6</v>
      </c>
      <c r="D5383" s="3" t="n">
        <v>24</v>
      </c>
      <c r="E5383" s="3" t="n">
        <v>5</v>
      </c>
      <c r="F5383" s="24" t="n">
        <v>-0.00670984387</v>
      </c>
    </row>
    <row r="5384" customFormat="false" ht="15" hidden="false" customHeight="false" outlineLevel="0" collapsed="false">
      <c r="A5384" s="3" t="n">
        <v>5383</v>
      </c>
      <c r="B5384" s="3" t="n">
        <v>5382</v>
      </c>
      <c r="C5384" s="3" t="n">
        <v>6</v>
      </c>
      <c r="D5384" s="3" t="n">
        <v>24</v>
      </c>
      <c r="E5384" s="3" t="n">
        <v>6</v>
      </c>
      <c r="F5384" s="24" t="n">
        <v>-0.00670984387</v>
      </c>
    </row>
    <row r="5385" customFormat="false" ht="15" hidden="false" customHeight="false" outlineLevel="0" collapsed="false">
      <c r="A5385" s="3" t="n">
        <v>5384</v>
      </c>
      <c r="B5385" s="3" t="n">
        <v>5383</v>
      </c>
      <c r="C5385" s="3" t="n">
        <v>6</v>
      </c>
      <c r="D5385" s="3" t="n">
        <v>24</v>
      </c>
      <c r="E5385" s="3" t="n">
        <v>7</v>
      </c>
      <c r="F5385" s="24" t="n">
        <v>-0.00670984387</v>
      </c>
    </row>
    <row r="5386" customFormat="false" ht="15" hidden="false" customHeight="false" outlineLevel="0" collapsed="false">
      <c r="A5386" s="3" t="n">
        <v>5385</v>
      </c>
      <c r="B5386" s="3" t="n">
        <v>5384</v>
      </c>
      <c r="C5386" s="3" t="n">
        <v>6</v>
      </c>
      <c r="D5386" s="3" t="n">
        <v>24</v>
      </c>
      <c r="E5386" s="3" t="n">
        <v>8</v>
      </c>
      <c r="F5386" s="24" t="n">
        <v>-0.00670984387</v>
      </c>
    </row>
    <row r="5387" customFormat="false" ht="15" hidden="false" customHeight="false" outlineLevel="0" collapsed="false">
      <c r="A5387" s="3" t="n">
        <v>5386</v>
      </c>
      <c r="B5387" s="3" t="n">
        <v>5385</v>
      </c>
      <c r="C5387" s="3" t="n">
        <v>6</v>
      </c>
      <c r="D5387" s="3" t="n">
        <v>24</v>
      </c>
      <c r="E5387" s="3" t="n">
        <v>9</v>
      </c>
      <c r="F5387" s="24" t="n">
        <v>-0.492501408</v>
      </c>
    </row>
    <row r="5388" customFormat="false" ht="15" hidden="false" customHeight="false" outlineLevel="0" collapsed="false">
      <c r="A5388" s="3" t="n">
        <v>5387</v>
      </c>
      <c r="B5388" s="3" t="n">
        <v>5386</v>
      </c>
      <c r="C5388" s="3" t="n">
        <v>6</v>
      </c>
      <c r="D5388" s="3" t="n">
        <v>24</v>
      </c>
      <c r="E5388" s="3" t="n">
        <v>10</v>
      </c>
      <c r="F5388" s="24" t="n">
        <v>-0.985118389</v>
      </c>
    </row>
    <row r="5389" customFormat="false" ht="15" hidden="false" customHeight="false" outlineLevel="0" collapsed="false">
      <c r="A5389" s="3" t="n">
        <v>5388</v>
      </c>
      <c r="B5389" s="3" t="n">
        <v>5387</v>
      </c>
      <c r="C5389" s="3" t="n">
        <v>6</v>
      </c>
      <c r="D5389" s="3" t="n">
        <v>24</v>
      </c>
      <c r="E5389" s="3" t="n">
        <v>11</v>
      </c>
      <c r="F5389" s="24" t="n">
        <v>0.836039424</v>
      </c>
    </row>
    <row r="5390" customFormat="false" ht="15" hidden="false" customHeight="false" outlineLevel="0" collapsed="false">
      <c r="A5390" s="3" t="n">
        <v>5389</v>
      </c>
      <c r="B5390" s="3" t="n">
        <v>5388</v>
      </c>
      <c r="C5390" s="3" t="n">
        <v>6</v>
      </c>
      <c r="D5390" s="3" t="n">
        <v>24</v>
      </c>
      <c r="E5390" s="3" t="n">
        <v>12</v>
      </c>
      <c r="F5390" s="24" t="n">
        <v>2.28693533</v>
      </c>
    </row>
    <row r="5391" customFormat="false" ht="15" hidden="false" customHeight="false" outlineLevel="0" collapsed="false">
      <c r="A5391" s="3" t="n">
        <v>5390</v>
      </c>
      <c r="B5391" s="3" t="n">
        <v>5389</v>
      </c>
      <c r="C5391" s="3" t="n">
        <v>6</v>
      </c>
      <c r="D5391" s="3" t="n">
        <v>24</v>
      </c>
      <c r="E5391" s="3" t="n">
        <v>13</v>
      </c>
      <c r="F5391" s="24" t="n">
        <v>2.92810106</v>
      </c>
    </row>
    <row r="5392" customFormat="false" ht="15" hidden="false" customHeight="false" outlineLevel="0" collapsed="false">
      <c r="A5392" s="3" t="n">
        <v>5391</v>
      </c>
      <c r="B5392" s="3" t="n">
        <v>5390</v>
      </c>
      <c r="C5392" s="3" t="n">
        <v>6</v>
      </c>
      <c r="D5392" s="3" t="n">
        <v>24</v>
      </c>
      <c r="E5392" s="3" t="n">
        <v>14</v>
      </c>
      <c r="F5392" s="24" t="n">
        <v>1.73035288</v>
      </c>
    </row>
    <row r="5393" customFormat="false" ht="15" hidden="false" customHeight="false" outlineLevel="0" collapsed="false">
      <c r="A5393" s="3" t="n">
        <v>5392</v>
      </c>
      <c r="B5393" s="3" t="n">
        <v>5391</v>
      </c>
      <c r="C5393" s="3" t="n">
        <v>6</v>
      </c>
      <c r="D5393" s="3" t="n">
        <v>24</v>
      </c>
      <c r="E5393" s="3" t="n">
        <v>15</v>
      </c>
      <c r="F5393" s="24" t="n">
        <v>0.272174299</v>
      </c>
    </row>
    <row r="5394" customFormat="false" ht="15" hidden="false" customHeight="false" outlineLevel="0" collapsed="false">
      <c r="A5394" s="3" t="n">
        <v>5393</v>
      </c>
      <c r="B5394" s="3" t="n">
        <v>5392</v>
      </c>
      <c r="C5394" s="3" t="n">
        <v>6</v>
      </c>
      <c r="D5394" s="3" t="n">
        <v>24</v>
      </c>
      <c r="E5394" s="3" t="n">
        <v>16</v>
      </c>
      <c r="F5394" s="24" t="n">
        <v>-0.00670984387</v>
      </c>
    </row>
    <row r="5395" customFormat="false" ht="15" hidden="false" customHeight="false" outlineLevel="0" collapsed="false">
      <c r="A5395" s="3" t="n">
        <v>5394</v>
      </c>
      <c r="B5395" s="3" t="n">
        <v>5393</v>
      </c>
      <c r="C5395" s="3" t="n">
        <v>6</v>
      </c>
      <c r="D5395" s="3" t="n">
        <v>24</v>
      </c>
      <c r="E5395" s="3" t="n">
        <v>17</v>
      </c>
      <c r="F5395" s="24" t="n">
        <v>-0.00670984387</v>
      </c>
    </row>
    <row r="5396" customFormat="false" ht="15" hidden="false" customHeight="false" outlineLevel="0" collapsed="false">
      <c r="A5396" s="3" t="n">
        <v>5395</v>
      </c>
      <c r="B5396" s="3" t="n">
        <v>5394</v>
      </c>
      <c r="C5396" s="3" t="n">
        <v>6</v>
      </c>
      <c r="D5396" s="3" t="n">
        <v>24</v>
      </c>
      <c r="E5396" s="3" t="n">
        <v>18</v>
      </c>
      <c r="F5396" s="24" t="n">
        <v>-0.00670984387</v>
      </c>
    </row>
    <row r="5397" customFormat="false" ht="15" hidden="false" customHeight="false" outlineLevel="0" collapsed="false">
      <c r="A5397" s="3" t="n">
        <v>5396</v>
      </c>
      <c r="B5397" s="3" t="n">
        <v>5395</v>
      </c>
      <c r="C5397" s="3" t="n">
        <v>6</v>
      </c>
      <c r="D5397" s="3" t="n">
        <v>24</v>
      </c>
      <c r="E5397" s="3" t="n">
        <v>19</v>
      </c>
      <c r="F5397" s="24" t="n">
        <v>-0.00670984387</v>
      </c>
    </row>
    <row r="5398" customFormat="false" ht="15" hidden="false" customHeight="false" outlineLevel="0" collapsed="false">
      <c r="A5398" s="3" t="n">
        <v>5397</v>
      </c>
      <c r="B5398" s="3" t="n">
        <v>5396</v>
      </c>
      <c r="C5398" s="3" t="n">
        <v>6</v>
      </c>
      <c r="D5398" s="3" t="n">
        <v>24</v>
      </c>
      <c r="E5398" s="3" t="n">
        <v>20</v>
      </c>
      <c r="F5398" s="24" t="n">
        <v>-0.00670984387</v>
      </c>
    </row>
    <row r="5399" customFormat="false" ht="15" hidden="false" customHeight="false" outlineLevel="0" collapsed="false">
      <c r="A5399" s="3" t="n">
        <v>5398</v>
      </c>
      <c r="B5399" s="3" t="n">
        <v>5397</v>
      </c>
      <c r="C5399" s="3" t="n">
        <v>6</v>
      </c>
      <c r="D5399" s="3" t="n">
        <v>24</v>
      </c>
      <c r="E5399" s="3" t="n">
        <v>21</v>
      </c>
      <c r="F5399" s="24" t="n">
        <v>-0.00670984387</v>
      </c>
    </row>
    <row r="5400" customFormat="false" ht="15" hidden="false" customHeight="false" outlineLevel="0" collapsed="false">
      <c r="A5400" s="3" t="n">
        <v>5399</v>
      </c>
      <c r="B5400" s="3" t="n">
        <v>5398</v>
      </c>
      <c r="C5400" s="3" t="n">
        <v>6</v>
      </c>
      <c r="D5400" s="3" t="n">
        <v>24</v>
      </c>
      <c r="E5400" s="3" t="n">
        <v>22</v>
      </c>
      <c r="F5400" s="24" t="n">
        <v>-0.00670984387</v>
      </c>
    </row>
    <row r="5401" customFormat="false" ht="15" hidden="false" customHeight="false" outlineLevel="0" collapsed="false">
      <c r="A5401" s="3" t="n">
        <v>5400</v>
      </c>
      <c r="B5401" s="3" t="n">
        <v>5399</v>
      </c>
      <c r="C5401" s="3" t="n">
        <v>6</v>
      </c>
      <c r="D5401" s="3" t="n">
        <v>24</v>
      </c>
      <c r="E5401" s="3" t="n">
        <v>23</v>
      </c>
      <c r="F5401" s="24" t="n">
        <v>-0.00670984387</v>
      </c>
    </row>
    <row r="5402" customFormat="false" ht="15" hidden="false" customHeight="false" outlineLevel="0" collapsed="false">
      <c r="A5402" s="3" t="n">
        <v>5401</v>
      </c>
      <c r="B5402" s="3" t="n">
        <v>5400</v>
      </c>
      <c r="C5402" s="3" t="n">
        <v>6</v>
      </c>
      <c r="D5402" s="3" t="n">
        <v>24</v>
      </c>
      <c r="E5402" s="3" t="n">
        <v>24</v>
      </c>
      <c r="F5402" s="24" t="n">
        <v>-0.00670984387</v>
      </c>
    </row>
    <row r="5403" customFormat="false" ht="15" hidden="false" customHeight="false" outlineLevel="0" collapsed="false">
      <c r="A5403" s="3" t="n">
        <v>5402</v>
      </c>
      <c r="B5403" s="3" t="n">
        <v>5401</v>
      </c>
      <c r="C5403" s="3" t="n">
        <v>6</v>
      </c>
      <c r="D5403" s="3" t="n">
        <v>24</v>
      </c>
      <c r="E5403" s="3" t="n">
        <v>25</v>
      </c>
      <c r="F5403" s="24" t="n">
        <v>-0.00670984387</v>
      </c>
    </row>
    <row r="5404" customFormat="false" ht="15" hidden="false" customHeight="false" outlineLevel="0" collapsed="false">
      <c r="A5404" s="3" t="n">
        <v>5403</v>
      </c>
      <c r="B5404" s="3" t="n">
        <v>5402</v>
      </c>
      <c r="C5404" s="3" t="n">
        <v>6</v>
      </c>
      <c r="D5404" s="3" t="n">
        <v>24</v>
      </c>
      <c r="E5404" s="3" t="n">
        <v>26</v>
      </c>
      <c r="F5404" s="24" t="n">
        <v>-0.00670984387</v>
      </c>
    </row>
    <row r="5405" customFormat="false" ht="15" hidden="false" customHeight="false" outlineLevel="0" collapsed="false">
      <c r="A5405" s="3" t="n">
        <v>5404</v>
      </c>
      <c r="B5405" s="3" t="n">
        <v>5403</v>
      </c>
      <c r="C5405" s="3" t="n">
        <v>6</v>
      </c>
      <c r="D5405" s="3" t="n">
        <v>24</v>
      </c>
      <c r="E5405" s="3" t="n">
        <v>27</v>
      </c>
      <c r="F5405" s="24" t="n">
        <v>-0.0790599883</v>
      </c>
    </row>
    <row r="5406" customFormat="false" ht="15" hidden="false" customHeight="false" outlineLevel="0" collapsed="false">
      <c r="A5406" s="3" t="n">
        <v>5405</v>
      </c>
      <c r="B5406" s="3" t="n">
        <v>5404</v>
      </c>
      <c r="C5406" s="3" t="n">
        <v>6</v>
      </c>
      <c r="D5406" s="3" t="n">
        <v>25</v>
      </c>
      <c r="E5406" s="3" t="n">
        <v>0</v>
      </c>
      <c r="F5406" s="24" t="n">
        <v>0.185572863</v>
      </c>
    </row>
    <row r="5407" customFormat="false" ht="15" hidden="false" customHeight="false" outlineLevel="0" collapsed="false">
      <c r="A5407" s="3" t="n">
        <v>5406</v>
      </c>
      <c r="B5407" s="3" t="n">
        <v>5405</v>
      </c>
      <c r="C5407" s="3" t="n">
        <v>6</v>
      </c>
      <c r="D5407" s="3" t="n">
        <v>25</v>
      </c>
      <c r="E5407" s="3" t="n">
        <v>1</v>
      </c>
      <c r="F5407" s="24" t="n">
        <v>-0.00670984387</v>
      </c>
    </row>
    <row r="5408" customFormat="false" ht="15" hidden="false" customHeight="false" outlineLevel="0" collapsed="false">
      <c r="A5408" s="3" t="n">
        <v>5407</v>
      </c>
      <c r="B5408" s="3" t="n">
        <v>5406</v>
      </c>
      <c r="C5408" s="3" t="n">
        <v>6</v>
      </c>
      <c r="D5408" s="3" t="n">
        <v>25</v>
      </c>
      <c r="E5408" s="3" t="n">
        <v>2</v>
      </c>
      <c r="F5408" s="24" t="n">
        <v>-0.00670984387</v>
      </c>
    </row>
    <row r="5409" customFormat="false" ht="15" hidden="false" customHeight="false" outlineLevel="0" collapsed="false">
      <c r="A5409" s="3" t="n">
        <v>5408</v>
      </c>
      <c r="B5409" s="3" t="n">
        <v>5407</v>
      </c>
      <c r="C5409" s="3" t="n">
        <v>6</v>
      </c>
      <c r="D5409" s="3" t="n">
        <v>25</v>
      </c>
      <c r="E5409" s="3" t="n">
        <v>3</v>
      </c>
      <c r="F5409" s="24" t="n">
        <v>-0.00670984387</v>
      </c>
    </row>
    <row r="5410" customFormat="false" ht="15" hidden="false" customHeight="false" outlineLevel="0" collapsed="false">
      <c r="A5410" s="3" t="n">
        <v>5409</v>
      </c>
      <c r="B5410" s="3" t="n">
        <v>5408</v>
      </c>
      <c r="C5410" s="3" t="n">
        <v>6</v>
      </c>
      <c r="D5410" s="3" t="n">
        <v>25</v>
      </c>
      <c r="E5410" s="3" t="n">
        <v>4</v>
      </c>
      <c r="F5410" s="24" t="n">
        <v>-0.00670984387</v>
      </c>
    </row>
    <row r="5411" customFormat="false" ht="15" hidden="false" customHeight="false" outlineLevel="0" collapsed="false">
      <c r="A5411" s="3" t="n">
        <v>5410</v>
      </c>
      <c r="B5411" s="3" t="n">
        <v>5409</v>
      </c>
      <c r="C5411" s="3" t="n">
        <v>6</v>
      </c>
      <c r="D5411" s="3" t="n">
        <v>25</v>
      </c>
      <c r="E5411" s="3" t="n">
        <v>5</v>
      </c>
      <c r="F5411" s="24" t="n">
        <v>-0.00670984387</v>
      </c>
    </row>
    <row r="5412" customFormat="false" ht="15" hidden="false" customHeight="false" outlineLevel="0" collapsed="false">
      <c r="A5412" s="3" t="n">
        <v>5411</v>
      </c>
      <c r="B5412" s="3" t="n">
        <v>5410</v>
      </c>
      <c r="C5412" s="3" t="n">
        <v>6</v>
      </c>
      <c r="D5412" s="3" t="n">
        <v>25</v>
      </c>
      <c r="E5412" s="3" t="n">
        <v>6</v>
      </c>
      <c r="F5412" s="24" t="n">
        <v>-0.00670984387</v>
      </c>
    </row>
    <row r="5413" customFormat="false" ht="15" hidden="false" customHeight="false" outlineLevel="0" collapsed="false">
      <c r="A5413" s="3" t="n">
        <v>5412</v>
      </c>
      <c r="B5413" s="3" t="n">
        <v>5411</v>
      </c>
      <c r="C5413" s="3" t="n">
        <v>6</v>
      </c>
      <c r="D5413" s="3" t="n">
        <v>25</v>
      </c>
      <c r="E5413" s="3" t="n">
        <v>7</v>
      </c>
      <c r="F5413" s="24" t="n">
        <v>-0.00670984387</v>
      </c>
    </row>
    <row r="5414" customFormat="false" ht="15" hidden="false" customHeight="false" outlineLevel="0" collapsed="false">
      <c r="A5414" s="3" t="n">
        <v>5413</v>
      </c>
      <c r="B5414" s="3" t="n">
        <v>5412</v>
      </c>
      <c r="C5414" s="3" t="n">
        <v>6</v>
      </c>
      <c r="D5414" s="3" t="n">
        <v>25</v>
      </c>
      <c r="E5414" s="3" t="n">
        <v>8</v>
      </c>
      <c r="F5414" s="24" t="n">
        <v>-0.00670984387</v>
      </c>
    </row>
    <row r="5415" customFormat="false" ht="15" hidden="false" customHeight="false" outlineLevel="0" collapsed="false">
      <c r="A5415" s="3" t="n">
        <v>5414</v>
      </c>
      <c r="B5415" s="3" t="n">
        <v>5413</v>
      </c>
      <c r="C5415" s="3" t="n">
        <v>6</v>
      </c>
      <c r="D5415" s="3" t="n">
        <v>25</v>
      </c>
      <c r="E5415" s="3" t="n">
        <v>9</v>
      </c>
      <c r="F5415" s="24" t="n">
        <v>-0.486442059</v>
      </c>
    </row>
    <row r="5416" customFormat="false" ht="15" hidden="false" customHeight="false" outlineLevel="0" collapsed="false">
      <c r="A5416" s="3" t="n">
        <v>5415</v>
      </c>
      <c r="B5416" s="3" t="n">
        <v>5414</v>
      </c>
      <c r="C5416" s="3" t="n">
        <v>6</v>
      </c>
      <c r="D5416" s="3" t="n">
        <v>25</v>
      </c>
      <c r="E5416" s="3" t="n">
        <v>10</v>
      </c>
      <c r="F5416" s="24" t="n">
        <v>-0.105072796</v>
      </c>
    </row>
    <row r="5417" customFormat="false" ht="15" hidden="false" customHeight="false" outlineLevel="0" collapsed="false">
      <c r="A5417" s="3" t="n">
        <v>5416</v>
      </c>
      <c r="B5417" s="3" t="n">
        <v>5415</v>
      </c>
      <c r="C5417" s="3" t="n">
        <v>6</v>
      </c>
      <c r="D5417" s="3" t="n">
        <v>25</v>
      </c>
      <c r="E5417" s="3" t="n">
        <v>11</v>
      </c>
      <c r="F5417" s="24" t="n">
        <v>1.5998224</v>
      </c>
    </row>
    <row r="5418" customFormat="false" ht="15" hidden="false" customHeight="false" outlineLevel="0" collapsed="false">
      <c r="A5418" s="3" t="n">
        <v>5417</v>
      </c>
      <c r="B5418" s="3" t="n">
        <v>5416</v>
      </c>
      <c r="C5418" s="3" t="n">
        <v>6</v>
      </c>
      <c r="D5418" s="3" t="n">
        <v>25</v>
      </c>
      <c r="E5418" s="3" t="n">
        <v>12</v>
      </c>
      <c r="F5418" s="24" t="n">
        <v>3.13594699</v>
      </c>
    </row>
    <row r="5419" customFormat="false" ht="15" hidden="false" customHeight="false" outlineLevel="0" collapsed="false">
      <c r="A5419" s="3" t="n">
        <v>5418</v>
      </c>
      <c r="B5419" s="3" t="n">
        <v>5417</v>
      </c>
      <c r="C5419" s="3" t="n">
        <v>6</v>
      </c>
      <c r="D5419" s="3" t="n">
        <v>25</v>
      </c>
      <c r="E5419" s="3" t="n">
        <v>13</v>
      </c>
      <c r="F5419" s="24" t="n">
        <v>3.39685965</v>
      </c>
    </row>
    <row r="5420" customFormat="false" ht="15" hidden="false" customHeight="false" outlineLevel="0" collapsed="false">
      <c r="A5420" s="3" t="n">
        <v>5419</v>
      </c>
      <c r="B5420" s="3" t="n">
        <v>5418</v>
      </c>
      <c r="C5420" s="3" t="n">
        <v>6</v>
      </c>
      <c r="D5420" s="3" t="n">
        <v>25</v>
      </c>
      <c r="E5420" s="3" t="n">
        <v>14</v>
      </c>
      <c r="F5420" s="24" t="n">
        <v>1.32368982</v>
      </c>
    </row>
    <row r="5421" customFormat="false" ht="15" hidden="false" customHeight="false" outlineLevel="0" collapsed="false">
      <c r="A5421" s="3" t="n">
        <v>5420</v>
      </c>
      <c r="B5421" s="3" t="n">
        <v>5419</v>
      </c>
      <c r="C5421" s="3" t="n">
        <v>6</v>
      </c>
      <c r="D5421" s="3" t="n">
        <v>25</v>
      </c>
      <c r="E5421" s="3" t="n">
        <v>15</v>
      </c>
      <c r="F5421" s="24" t="n">
        <v>0.164514408</v>
      </c>
    </row>
    <row r="5422" customFormat="false" ht="15" hidden="false" customHeight="false" outlineLevel="0" collapsed="false">
      <c r="A5422" s="3" t="n">
        <v>5421</v>
      </c>
      <c r="B5422" s="3" t="n">
        <v>5420</v>
      </c>
      <c r="C5422" s="3" t="n">
        <v>6</v>
      </c>
      <c r="D5422" s="3" t="n">
        <v>25</v>
      </c>
      <c r="E5422" s="3" t="n">
        <v>16</v>
      </c>
      <c r="F5422" s="24" t="n">
        <v>-0.00670984387</v>
      </c>
    </row>
    <row r="5423" customFormat="false" ht="15" hidden="false" customHeight="false" outlineLevel="0" collapsed="false">
      <c r="A5423" s="3" t="n">
        <v>5422</v>
      </c>
      <c r="B5423" s="3" t="n">
        <v>5421</v>
      </c>
      <c r="C5423" s="3" t="n">
        <v>6</v>
      </c>
      <c r="D5423" s="3" t="n">
        <v>25</v>
      </c>
      <c r="E5423" s="3" t="n">
        <v>17</v>
      </c>
      <c r="F5423" s="24" t="n">
        <v>-0.00670984387</v>
      </c>
    </row>
    <row r="5424" customFormat="false" ht="15" hidden="false" customHeight="false" outlineLevel="0" collapsed="false">
      <c r="A5424" s="3" t="n">
        <v>5423</v>
      </c>
      <c r="B5424" s="3" t="n">
        <v>5422</v>
      </c>
      <c r="C5424" s="3" t="n">
        <v>6</v>
      </c>
      <c r="D5424" s="3" t="n">
        <v>25</v>
      </c>
      <c r="E5424" s="3" t="n">
        <v>18</v>
      </c>
      <c r="F5424" s="24" t="n">
        <v>-0.00670984387</v>
      </c>
    </row>
    <row r="5425" customFormat="false" ht="15" hidden="false" customHeight="false" outlineLevel="0" collapsed="false">
      <c r="A5425" s="3" t="n">
        <v>5424</v>
      </c>
      <c r="B5425" s="3" t="n">
        <v>5423</v>
      </c>
      <c r="C5425" s="3" t="n">
        <v>6</v>
      </c>
      <c r="D5425" s="3" t="n">
        <v>25</v>
      </c>
      <c r="E5425" s="3" t="n">
        <v>19</v>
      </c>
      <c r="F5425" s="24" t="n">
        <v>-0.00670984387</v>
      </c>
    </row>
    <row r="5426" customFormat="false" ht="15" hidden="false" customHeight="false" outlineLevel="0" collapsed="false">
      <c r="A5426" s="3" t="n">
        <v>5425</v>
      </c>
      <c r="B5426" s="3" t="n">
        <v>5424</v>
      </c>
      <c r="C5426" s="3" t="n">
        <v>6</v>
      </c>
      <c r="D5426" s="3" t="n">
        <v>25</v>
      </c>
      <c r="E5426" s="3" t="n">
        <v>20</v>
      </c>
      <c r="F5426" s="24" t="n">
        <v>-0.00670984387</v>
      </c>
    </row>
    <row r="5427" customFormat="false" ht="15" hidden="false" customHeight="false" outlineLevel="0" collapsed="false">
      <c r="A5427" s="3" t="n">
        <v>5426</v>
      </c>
      <c r="B5427" s="3" t="n">
        <v>5425</v>
      </c>
      <c r="C5427" s="3" t="n">
        <v>6</v>
      </c>
      <c r="D5427" s="3" t="n">
        <v>25</v>
      </c>
      <c r="E5427" s="3" t="n">
        <v>21</v>
      </c>
      <c r="F5427" s="24" t="n">
        <v>-0.00670984387</v>
      </c>
    </row>
    <row r="5428" customFormat="false" ht="15" hidden="false" customHeight="false" outlineLevel="0" collapsed="false">
      <c r="A5428" s="3" t="n">
        <v>5427</v>
      </c>
      <c r="B5428" s="3" t="n">
        <v>5426</v>
      </c>
      <c r="C5428" s="3" t="n">
        <v>6</v>
      </c>
      <c r="D5428" s="3" t="n">
        <v>25</v>
      </c>
      <c r="E5428" s="3" t="n">
        <v>22</v>
      </c>
      <c r="F5428" s="24" t="n">
        <v>-0.00670984387</v>
      </c>
    </row>
    <row r="5429" customFormat="false" ht="15" hidden="false" customHeight="false" outlineLevel="0" collapsed="false">
      <c r="A5429" s="3" t="n">
        <v>5428</v>
      </c>
      <c r="B5429" s="3" t="n">
        <v>5427</v>
      </c>
      <c r="C5429" s="3" t="n">
        <v>6</v>
      </c>
      <c r="D5429" s="3" t="n">
        <v>25</v>
      </c>
      <c r="E5429" s="3" t="n">
        <v>23</v>
      </c>
      <c r="F5429" s="24" t="n">
        <v>-0.00670984387</v>
      </c>
    </row>
    <row r="5430" customFormat="false" ht="15" hidden="false" customHeight="false" outlineLevel="0" collapsed="false">
      <c r="A5430" s="3" t="n">
        <v>5429</v>
      </c>
      <c r="B5430" s="3" t="n">
        <v>5428</v>
      </c>
      <c r="C5430" s="3" t="n">
        <v>6</v>
      </c>
      <c r="D5430" s="3" t="n">
        <v>25</v>
      </c>
      <c r="E5430" s="3" t="n">
        <v>24</v>
      </c>
      <c r="F5430" s="24" t="n">
        <v>-0.00670984387</v>
      </c>
    </row>
    <row r="5431" customFormat="false" ht="15" hidden="false" customHeight="false" outlineLevel="0" collapsed="false">
      <c r="A5431" s="3" t="n">
        <v>5430</v>
      </c>
      <c r="B5431" s="3" t="n">
        <v>5429</v>
      </c>
      <c r="C5431" s="3" t="n">
        <v>6</v>
      </c>
      <c r="D5431" s="3" t="n">
        <v>25</v>
      </c>
      <c r="E5431" s="3" t="n">
        <v>25</v>
      </c>
      <c r="F5431" s="24" t="n">
        <v>-0.00670984387</v>
      </c>
    </row>
    <row r="5432" customFormat="false" ht="15" hidden="false" customHeight="false" outlineLevel="0" collapsed="false">
      <c r="A5432" s="3" t="n">
        <v>5431</v>
      </c>
      <c r="B5432" s="3" t="n">
        <v>5430</v>
      </c>
      <c r="C5432" s="3" t="n">
        <v>6</v>
      </c>
      <c r="D5432" s="3" t="n">
        <v>25</v>
      </c>
      <c r="E5432" s="3" t="n">
        <v>26</v>
      </c>
      <c r="F5432" s="24" t="n">
        <v>-0.00670984387</v>
      </c>
    </row>
    <row r="5433" customFormat="false" ht="15" hidden="false" customHeight="false" outlineLevel="0" collapsed="false">
      <c r="A5433" s="3" t="n">
        <v>5432</v>
      </c>
      <c r="B5433" s="3" t="n">
        <v>5431</v>
      </c>
      <c r="C5433" s="3" t="n">
        <v>6</v>
      </c>
      <c r="D5433" s="3" t="n">
        <v>25</v>
      </c>
      <c r="E5433" s="3" t="n">
        <v>27</v>
      </c>
      <c r="F5433" s="24" t="n">
        <v>-0.0790599883</v>
      </c>
    </row>
    <row r="5434" customFormat="false" ht="15" hidden="false" customHeight="false" outlineLevel="0" collapsed="false">
      <c r="A5434" s="3" t="n">
        <v>5433</v>
      </c>
      <c r="B5434" s="3" t="n">
        <v>5432</v>
      </c>
      <c r="C5434" s="3" t="n">
        <v>6</v>
      </c>
      <c r="D5434" s="3" t="n">
        <v>26</v>
      </c>
      <c r="E5434" s="3" t="n">
        <v>0</v>
      </c>
      <c r="F5434" s="24" t="n">
        <v>0.185572863</v>
      </c>
    </row>
    <row r="5435" customFormat="false" ht="15" hidden="false" customHeight="false" outlineLevel="0" collapsed="false">
      <c r="A5435" s="3" t="n">
        <v>5434</v>
      </c>
      <c r="B5435" s="3" t="n">
        <v>5433</v>
      </c>
      <c r="C5435" s="3" t="n">
        <v>6</v>
      </c>
      <c r="D5435" s="3" t="n">
        <v>26</v>
      </c>
      <c r="E5435" s="3" t="n">
        <v>1</v>
      </c>
      <c r="F5435" s="24" t="n">
        <v>-0.00670984387</v>
      </c>
    </row>
    <row r="5436" customFormat="false" ht="15" hidden="false" customHeight="false" outlineLevel="0" collapsed="false">
      <c r="A5436" s="3" t="n">
        <v>5435</v>
      </c>
      <c r="B5436" s="3" t="n">
        <v>5434</v>
      </c>
      <c r="C5436" s="3" t="n">
        <v>6</v>
      </c>
      <c r="D5436" s="3" t="n">
        <v>26</v>
      </c>
      <c r="E5436" s="3" t="n">
        <v>2</v>
      </c>
      <c r="F5436" s="24" t="n">
        <v>-0.00670984387</v>
      </c>
    </row>
    <row r="5437" customFormat="false" ht="15" hidden="false" customHeight="false" outlineLevel="0" collapsed="false">
      <c r="A5437" s="3" t="n">
        <v>5436</v>
      </c>
      <c r="B5437" s="3" t="n">
        <v>5435</v>
      </c>
      <c r="C5437" s="3" t="n">
        <v>6</v>
      </c>
      <c r="D5437" s="3" t="n">
        <v>26</v>
      </c>
      <c r="E5437" s="3" t="n">
        <v>3</v>
      </c>
      <c r="F5437" s="24" t="n">
        <v>-0.00670984387</v>
      </c>
    </row>
    <row r="5438" customFormat="false" ht="15" hidden="false" customHeight="false" outlineLevel="0" collapsed="false">
      <c r="A5438" s="3" t="n">
        <v>5437</v>
      </c>
      <c r="B5438" s="3" t="n">
        <v>5436</v>
      </c>
      <c r="C5438" s="3" t="n">
        <v>6</v>
      </c>
      <c r="D5438" s="3" t="n">
        <v>26</v>
      </c>
      <c r="E5438" s="3" t="n">
        <v>4</v>
      </c>
      <c r="F5438" s="24" t="n">
        <v>-0.00670984387</v>
      </c>
    </row>
    <row r="5439" customFormat="false" ht="15" hidden="false" customHeight="false" outlineLevel="0" collapsed="false">
      <c r="A5439" s="3" t="n">
        <v>5438</v>
      </c>
      <c r="B5439" s="3" t="n">
        <v>5437</v>
      </c>
      <c r="C5439" s="3" t="n">
        <v>6</v>
      </c>
      <c r="D5439" s="3" t="n">
        <v>26</v>
      </c>
      <c r="E5439" s="3" t="n">
        <v>5</v>
      </c>
      <c r="F5439" s="24" t="n">
        <v>-0.00670984387</v>
      </c>
    </row>
    <row r="5440" customFormat="false" ht="15" hidden="false" customHeight="false" outlineLevel="0" collapsed="false">
      <c r="A5440" s="3" t="n">
        <v>5439</v>
      </c>
      <c r="B5440" s="3" t="n">
        <v>5438</v>
      </c>
      <c r="C5440" s="3" t="n">
        <v>6</v>
      </c>
      <c r="D5440" s="3" t="n">
        <v>26</v>
      </c>
      <c r="E5440" s="3" t="n">
        <v>6</v>
      </c>
      <c r="F5440" s="24" t="n">
        <v>-0.00670984387</v>
      </c>
    </row>
    <row r="5441" customFormat="false" ht="15" hidden="false" customHeight="false" outlineLevel="0" collapsed="false">
      <c r="A5441" s="3" t="n">
        <v>5440</v>
      </c>
      <c r="B5441" s="3" t="n">
        <v>5439</v>
      </c>
      <c r="C5441" s="3" t="n">
        <v>6</v>
      </c>
      <c r="D5441" s="3" t="n">
        <v>26</v>
      </c>
      <c r="E5441" s="3" t="n">
        <v>7</v>
      </c>
      <c r="F5441" s="24" t="n">
        <v>-0.00670984387</v>
      </c>
    </row>
    <row r="5442" customFormat="false" ht="15" hidden="false" customHeight="false" outlineLevel="0" collapsed="false">
      <c r="A5442" s="3" t="n">
        <v>5441</v>
      </c>
      <c r="B5442" s="3" t="n">
        <v>5440</v>
      </c>
      <c r="C5442" s="3" t="n">
        <v>6</v>
      </c>
      <c r="D5442" s="3" t="n">
        <v>26</v>
      </c>
      <c r="E5442" s="3" t="n">
        <v>8</v>
      </c>
      <c r="F5442" s="24" t="n">
        <v>-0.00670984387</v>
      </c>
    </row>
    <row r="5443" customFormat="false" ht="15" hidden="false" customHeight="false" outlineLevel="0" collapsed="false">
      <c r="A5443" s="3" t="n">
        <v>5442</v>
      </c>
      <c r="B5443" s="3" t="n">
        <v>5441</v>
      </c>
      <c r="C5443" s="3" t="n">
        <v>6</v>
      </c>
      <c r="D5443" s="3" t="n">
        <v>26</v>
      </c>
      <c r="E5443" s="3" t="n">
        <v>9</v>
      </c>
      <c r="F5443" s="24" t="n">
        <v>-0.00178590417</v>
      </c>
    </row>
    <row r="5444" customFormat="false" ht="15" hidden="false" customHeight="false" outlineLevel="0" collapsed="false">
      <c r="A5444" s="3" t="n">
        <v>5443</v>
      </c>
      <c r="B5444" s="3" t="n">
        <v>5442</v>
      </c>
      <c r="C5444" s="3" t="n">
        <v>6</v>
      </c>
      <c r="D5444" s="3" t="n">
        <v>26</v>
      </c>
      <c r="E5444" s="3" t="n">
        <v>10</v>
      </c>
      <c r="F5444" s="24" t="n">
        <v>1.06320024</v>
      </c>
    </row>
    <row r="5445" customFormat="false" ht="15" hidden="false" customHeight="false" outlineLevel="0" collapsed="false">
      <c r="A5445" s="3" t="n">
        <v>5444</v>
      </c>
      <c r="B5445" s="3" t="n">
        <v>5443</v>
      </c>
      <c r="C5445" s="3" t="n">
        <v>6</v>
      </c>
      <c r="D5445" s="3" t="n">
        <v>26</v>
      </c>
      <c r="E5445" s="3" t="n">
        <v>11</v>
      </c>
      <c r="F5445" s="24" t="n">
        <v>2.88110042</v>
      </c>
    </row>
    <row r="5446" customFormat="false" ht="15" hidden="false" customHeight="false" outlineLevel="0" collapsed="false">
      <c r="A5446" s="3" t="n">
        <v>5445</v>
      </c>
      <c r="B5446" s="3" t="n">
        <v>5444</v>
      </c>
      <c r="C5446" s="3" t="n">
        <v>6</v>
      </c>
      <c r="D5446" s="3" t="n">
        <v>26</v>
      </c>
      <c r="E5446" s="3" t="n">
        <v>12</v>
      </c>
      <c r="F5446" s="24" t="n">
        <v>3.7040081</v>
      </c>
    </row>
    <row r="5447" customFormat="false" ht="15" hidden="false" customHeight="false" outlineLevel="0" collapsed="false">
      <c r="A5447" s="3" t="n">
        <v>5446</v>
      </c>
      <c r="B5447" s="3" t="n">
        <v>5445</v>
      </c>
      <c r="C5447" s="3" t="n">
        <v>6</v>
      </c>
      <c r="D5447" s="3" t="n">
        <v>26</v>
      </c>
      <c r="E5447" s="3" t="n">
        <v>13</v>
      </c>
      <c r="F5447" s="24" t="n">
        <v>1.81725705</v>
      </c>
    </row>
    <row r="5448" customFormat="false" ht="15" hidden="false" customHeight="false" outlineLevel="0" collapsed="false">
      <c r="A5448" s="3" t="n">
        <v>5447</v>
      </c>
      <c r="B5448" s="3" t="n">
        <v>5446</v>
      </c>
      <c r="C5448" s="3" t="n">
        <v>6</v>
      </c>
      <c r="D5448" s="3" t="n">
        <v>26</v>
      </c>
      <c r="E5448" s="3" t="n">
        <v>14</v>
      </c>
      <c r="F5448" s="24" t="n">
        <v>0.37643531</v>
      </c>
    </row>
    <row r="5449" customFormat="false" ht="15" hidden="false" customHeight="false" outlineLevel="0" collapsed="false">
      <c r="A5449" s="3" t="n">
        <v>5448</v>
      </c>
      <c r="B5449" s="3" t="n">
        <v>5447</v>
      </c>
      <c r="C5449" s="3" t="n">
        <v>6</v>
      </c>
      <c r="D5449" s="3" t="n">
        <v>26</v>
      </c>
      <c r="E5449" s="3" t="n">
        <v>15</v>
      </c>
      <c r="F5449" s="24" t="n">
        <v>0.0294657648</v>
      </c>
    </row>
    <row r="5450" customFormat="false" ht="15" hidden="false" customHeight="false" outlineLevel="0" collapsed="false">
      <c r="A5450" s="3" t="n">
        <v>5449</v>
      </c>
      <c r="B5450" s="3" t="n">
        <v>5448</v>
      </c>
      <c r="C5450" s="3" t="n">
        <v>6</v>
      </c>
      <c r="D5450" s="3" t="n">
        <v>26</v>
      </c>
      <c r="E5450" s="3" t="n">
        <v>16</v>
      </c>
      <c r="F5450" s="24" t="n">
        <v>-0.00670984387</v>
      </c>
    </row>
    <row r="5451" customFormat="false" ht="15" hidden="false" customHeight="false" outlineLevel="0" collapsed="false">
      <c r="A5451" s="3" t="n">
        <v>5450</v>
      </c>
      <c r="B5451" s="3" t="n">
        <v>5449</v>
      </c>
      <c r="C5451" s="3" t="n">
        <v>6</v>
      </c>
      <c r="D5451" s="3" t="n">
        <v>26</v>
      </c>
      <c r="E5451" s="3" t="n">
        <v>17</v>
      </c>
      <c r="F5451" s="24" t="n">
        <v>-0.00670984387</v>
      </c>
    </row>
    <row r="5452" customFormat="false" ht="15" hidden="false" customHeight="false" outlineLevel="0" collapsed="false">
      <c r="A5452" s="3" t="n">
        <v>5451</v>
      </c>
      <c r="B5452" s="3" t="n">
        <v>5450</v>
      </c>
      <c r="C5452" s="3" t="n">
        <v>6</v>
      </c>
      <c r="D5452" s="3" t="n">
        <v>26</v>
      </c>
      <c r="E5452" s="3" t="n">
        <v>18</v>
      </c>
      <c r="F5452" s="24" t="n">
        <v>-0.00670984387</v>
      </c>
    </row>
    <row r="5453" customFormat="false" ht="15" hidden="false" customHeight="false" outlineLevel="0" collapsed="false">
      <c r="A5453" s="3" t="n">
        <v>5452</v>
      </c>
      <c r="B5453" s="3" t="n">
        <v>5451</v>
      </c>
      <c r="C5453" s="3" t="n">
        <v>6</v>
      </c>
      <c r="D5453" s="3" t="n">
        <v>26</v>
      </c>
      <c r="E5453" s="3" t="n">
        <v>19</v>
      </c>
      <c r="F5453" s="24" t="n">
        <v>-0.00670984387</v>
      </c>
    </row>
    <row r="5454" customFormat="false" ht="15" hidden="false" customHeight="false" outlineLevel="0" collapsed="false">
      <c r="A5454" s="3" t="n">
        <v>5453</v>
      </c>
      <c r="B5454" s="3" t="n">
        <v>5452</v>
      </c>
      <c r="C5454" s="3" t="n">
        <v>6</v>
      </c>
      <c r="D5454" s="3" t="n">
        <v>26</v>
      </c>
      <c r="E5454" s="3" t="n">
        <v>20</v>
      </c>
      <c r="F5454" s="24" t="n">
        <v>-0.00670984387</v>
      </c>
    </row>
    <row r="5455" customFormat="false" ht="15" hidden="false" customHeight="false" outlineLevel="0" collapsed="false">
      <c r="A5455" s="3" t="n">
        <v>5454</v>
      </c>
      <c r="B5455" s="3" t="n">
        <v>5453</v>
      </c>
      <c r="C5455" s="3" t="n">
        <v>6</v>
      </c>
      <c r="D5455" s="3" t="n">
        <v>26</v>
      </c>
      <c r="E5455" s="3" t="n">
        <v>21</v>
      </c>
      <c r="F5455" s="24" t="n">
        <v>-0.00670984387</v>
      </c>
    </row>
    <row r="5456" customFormat="false" ht="15" hidden="false" customHeight="false" outlineLevel="0" collapsed="false">
      <c r="A5456" s="3" t="n">
        <v>5455</v>
      </c>
      <c r="B5456" s="3" t="n">
        <v>5454</v>
      </c>
      <c r="C5456" s="3" t="n">
        <v>6</v>
      </c>
      <c r="D5456" s="3" t="n">
        <v>26</v>
      </c>
      <c r="E5456" s="3" t="n">
        <v>22</v>
      </c>
      <c r="F5456" s="24" t="n">
        <v>-0.00670984387</v>
      </c>
    </row>
    <row r="5457" customFormat="false" ht="15" hidden="false" customHeight="false" outlineLevel="0" collapsed="false">
      <c r="A5457" s="3" t="n">
        <v>5456</v>
      </c>
      <c r="B5457" s="3" t="n">
        <v>5455</v>
      </c>
      <c r="C5457" s="3" t="n">
        <v>6</v>
      </c>
      <c r="D5457" s="3" t="n">
        <v>26</v>
      </c>
      <c r="E5457" s="3" t="n">
        <v>23</v>
      </c>
      <c r="F5457" s="24" t="n">
        <v>-0.00670984387</v>
      </c>
    </row>
    <row r="5458" customFormat="false" ht="15" hidden="false" customHeight="false" outlineLevel="0" collapsed="false">
      <c r="A5458" s="3" t="n">
        <v>5457</v>
      </c>
      <c r="B5458" s="3" t="n">
        <v>5456</v>
      </c>
      <c r="C5458" s="3" t="n">
        <v>6</v>
      </c>
      <c r="D5458" s="3" t="n">
        <v>26</v>
      </c>
      <c r="E5458" s="3" t="n">
        <v>24</v>
      </c>
      <c r="F5458" s="24" t="n">
        <v>-0.00670984387</v>
      </c>
    </row>
    <row r="5459" customFormat="false" ht="15" hidden="false" customHeight="false" outlineLevel="0" collapsed="false">
      <c r="A5459" s="3" t="n">
        <v>5458</v>
      </c>
      <c r="B5459" s="3" t="n">
        <v>5457</v>
      </c>
      <c r="C5459" s="3" t="n">
        <v>6</v>
      </c>
      <c r="D5459" s="3" t="n">
        <v>26</v>
      </c>
      <c r="E5459" s="3" t="n">
        <v>25</v>
      </c>
      <c r="F5459" s="24" t="n">
        <v>-0.00670984387</v>
      </c>
    </row>
    <row r="5460" customFormat="false" ht="15" hidden="false" customHeight="false" outlineLevel="0" collapsed="false">
      <c r="A5460" s="3" t="n">
        <v>5459</v>
      </c>
      <c r="B5460" s="3" t="n">
        <v>5458</v>
      </c>
      <c r="C5460" s="3" t="n">
        <v>6</v>
      </c>
      <c r="D5460" s="3" t="n">
        <v>26</v>
      </c>
      <c r="E5460" s="3" t="n">
        <v>26</v>
      </c>
      <c r="F5460" s="24" t="n">
        <v>-0.00670984387</v>
      </c>
    </row>
    <row r="5461" customFormat="false" ht="15" hidden="false" customHeight="false" outlineLevel="0" collapsed="false">
      <c r="A5461" s="3" t="n">
        <v>5460</v>
      </c>
      <c r="B5461" s="3" t="n">
        <v>5459</v>
      </c>
      <c r="C5461" s="3" t="n">
        <v>6</v>
      </c>
      <c r="D5461" s="3" t="n">
        <v>26</v>
      </c>
      <c r="E5461" s="3" t="n">
        <v>27</v>
      </c>
      <c r="F5461" s="24" t="n">
        <v>-0.0790599883</v>
      </c>
    </row>
    <row r="5462" customFormat="false" ht="15" hidden="false" customHeight="false" outlineLevel="0" collapsed="false">
      <c r="A5462" s="3" t="n">
        <v>5461</v>
      </c>
      <c r="B5462" s="3" t="n">
        <v>5460</v>
      </c>
      <c r="C5462" s="3" t="n">
        <v>6</v>
      </c>
      <c r="D5462" s="3" t="n">
        <v>27</v>
      </c>
      <c r="E5462" s="3" t="n">
        <v>0</v>
      </c>
      <c r="F5462" s="24" t="n">
        <v>0.0101337135</v>
      </c>
    </row>
    <row r="5463" customFormat="false" ht="15" hidden="false" customHeight="false" outlineLevel="0" collapsed="false">
      <c r="A5463" s="3" t="n">
        <v>5462</v>
      </c>
      <c r="B5463" s="3" t="n">
        <v>5461</v>
      </c>
      <c r="C5463" s="3" t="n">
        <v>6</v>
      </c>
      <c r="D5463" s="3" t="n">
        <v>27</v>
      </c>
      <c r="E5463" s="3" t="n">
        <v>1</v>
      </c>
      <c r="F5463" s="24" t="n">
        <v>-0.123489887</v>
      </c>
    </row>
    <row r="5464" customFormat="false" ht="15" hidden="false" customHeight="false" outlineLevel="0" collapsed="false">
      <c r="A5464" s="3" t="n">
        <v>5463</v>
      </c>
      <c r="B5464" s="3" t="n">
        <v>5462</v>
      </c>
      <c r="C5464" s="3" t="n">
        <v>6</v>
      </c>
      <c r="D5464" s="3" t="n">
        <v>27</v>
      </c>
      <c r="E5464" s="3" t="n">
        <v>2</v>
      </c>
      <c r="F5464" s="24" t="n">
        <v>-0.123489887</v>
      </c>
    </row>
    <row r="5465" customFormat="false" ht="15" hidden="false" customHeight="false" outlineLevel="0" collapsed="false">
      <c r="A5465" s="3" t="n">
        <v>5464</v>
      </c>
      <c r="B5465" s="3" t="n">
        <v>5463</v>
      </c>
      <c r="C5465" s="3" t="n">
        <v>6</v>
      </c>
      <c r="D5465" s="3" t="n">
        <v>27</v>
      </c>
      <c r="E5465" s="3" t="n">
        <v>3</v>
      </c>
      <c r="F5465" s="24" t="n">
        <v>-0.123489887</v>
      </c>
    </row>
    <row r="5466" customFormat="false" ht="15" hidden="false" customHeight="false" outlineLevel="0" collapsed="false">
      <c r="A5466" s="3" t="n">
        <v>5465</v>
      </c>
      <c r="B5466" s="3" t="n">
        <v>5464</v>
      </c>
      <c r="C5466" s="3" t="n">
        <v>6</v>
      </c>
      <c r="D5466" s="3" t="n">
        <v>27</v>
      </c>
      <c r="E5466" s="3" t="n">
        <v>4</v>
      </c>
      <c r="F5466" s="24" t="n">
        <v>-0.123489887</v>
      </c>
    </row>
    <row r="5467" customFormat="false" ht="15" hidden="false" customHeight="false" outlineLevel="0" collapsed="false">
      <c r="A5467" s="3" t="n">
        <v>5466</v>
      </c>
      <c r="B5467" s="3" t="n">
        <v>5465</v>
      </c>
      <c r="C5467" s="3" t="n">
        <v>6</v>
      </c>
      <c r="D5467" s="3" t="n">
        <v>27</v>
      </c>
      <c r="E5467" s="3" t="n">
        <v>5</v>
      </c>
      <c r="F5467" s="24" t="n">
        <v>-0.123489887</v>
      </c>
    </row>
    <row r="5468" customFormat="false" ht="15" hidden="false" customHeight="false" outlineLevel="0" collapsed="false">
      <c r="A5468" s="3" t="n">
        <v>5467</v>
      </c>
      <c r="B5468" s="3" t="n">
        <v>5466</v>
      </c>
      <c r="C5468" s="3" t="n">
        <v>6</v>
      </c>
      <c r="D5468" s="3" t="n">
        <v>27</v>
      </c>
      <c r="E5468" s="3" t="n">
        <v>6</v>
      </c>
      <c r="F5468" s="24" t="n">
        <v>-0.123489887</v>
      </c>
    </row>
    <row r="5469" customFormat="false" ht="15" hidden="false" customHeight="false" outlineLevel="0" collapsed="false">
      <c r="A5469" s="3" t="n">
        <v>5468</v>
      </c>
      <c r="B5469" s="3" t="n">
        <v>5467</v>
      </c>
      <c r="C5469" s="3" t="n">
        <v>6</v>
      </c>
      <c r="D5469" s="3" t="n">
        <v>27</v>
      </c>
      <c r="E5469" s="3" t="n">
        <v>7</v>
      </c>
      <c r="F5469" s="24" t="n">
        <v>-0.123489887</v>
      </c>
    </row>
    <row r="5470" customFormat="false" ht="15" hidden="false" customHeight="false" outlineLevel="0" collapsed="false">
      <c r="A5470" s="3" t="n">
        <v>5469</v>
      </c>
      <c r="B5470" s="3" t="n">
        <v>5468</v>
      </c>
      <c r="C5470" s="3" t="n">
        <v>6</v>
      </c>
      <c r="D5470" s="3" t="n">
        <v>27</v>
      </c>
      <c r="E5470" s="3" t="n">
        <v>8</v>
      </c>
      <c r="F5470" s="24" t="n">
        <v>-0.123489887</v>
      </c>
    </row>
    <row r="5471" customFormat="false" ht="15" hidden="false" customHeight="false" outlineLevel="0" collapsed="false">
      <c r="A5471" s="3" t="n">
        <v>5470</v>
      </c>
      <c r="B5471" s="3" t="n">
        <v>5469</v>
      </c>
      <c r="C5471" s="3" t="n">
        <v>6</v>
      </c>
      <c r="D5471" s="3" t="n">
        <v>27</v>
      </c>
      <c r="E5471" s="3" t="n">
        <v>9</v>
      </c>
      <c r="F5471" s="24" t="n">
        <v>0.314254135</v>
      </c>
    </row>
    <row r="5472" customFormat="false" ht="15" hidden="false" customHeight="false" outlineLevel="0" collapsed="false">
      <c r="A5472" s="3" t="n">
        <v>5471</v>
      </c>
      <c r="B5472" s="3" t="n">
        <v>5470</v>
      </c>
      <c r="C5472" s="3" t="n">
        <v>6</v>
      </c>
      <c r="D5472" s="3" t="n">
        <v>27</v>
      </c>
      <c r="E5472" s="3" t="n">
        <v>10</v>
      </c>
      <c r="F5472" s="24" t="n">
        <v>1.18622661</v>
      </c>
    </row>
    <row r="5473" customFormat="false" ht="15" hidden="false" customHeight="false" outlineLevel="0" collapsed="false">
      <c r="A5473" s="3" t="n">
        <v>5472</v>
      </c>
      <c r="B5473" s="3" t="n">
        <v>5471</v>
      </c>
      <c r="C5473" s="3" t="n">
        <v>6</v>
      </c>
      <c r="D5473" s="3" t="n">
        <v>27</v>
      </c>
      <c r="E5473" s="3" t="n">
        <v>11</v>
      </c>
      <c r="F5473" s="24" t="n">
        <v>1.55519938</v>
      </c>
    </row>
    <row r="5474" customFormat="false" ht="15" hidden="false" customHeight="false" outlineLevel="0" collapsed="false">
      <c r="A5474" s="3" t="n">
        <v>5473</v>
      </c>
      <c r="B5474" s="3" t="n">
        <v>5472</v>
      </c>
      <c r="C5474" s="3" t="n">
        <v>6</v>
      </c>
      <c r="D5474" s="3" t="n">
        <v>27</v>
      </c>
      <c r="E5474" s="3" t="n">
        <v>12</v>
      </c>
      <c r="F5474" s="24" t="n">
        <v>0.839930058</v>
      </c>
    </row>
    <row r="5475" customFormat="false" ht="15" hidden="false" customHeight="false" outlineLevel="0" collapsed="false">
      <c r="A5475" s="3" t="n">
        <v>5474</v>
      </c>
      <c r="B5475" s="3" t="n">
        <v>5473</v>
      </c>
      <c r="C5475" s="3" t="n">
        <v>6</v>
      </c>
      <c r="D5475" s="3" t="n">
        <v>27</v>
      </c>
      <c r="E5475" s="3" t="n">
        <v>13</v>
      </c>
      <c r="F5475" s="24" t="n">
        <v>0.121857002</v>
      </c>
    </row>
    <row r="5476" customFormat="false" ht="15" hidden="false" customHeight="false" outlineLevel="0" collapsed="false">
      <c r="A5476" s="3" t="n">
        <v>5475</v>
      </c>
      <c r="B5476" s="3" t="n">
        <v>5474</v>
      </c>
      <c r="C5476" s="3" t="n">
        <v>6</v>
      </c>
      <c r="D5476" s="3" t="n">
        <v>27</v>
      </c>
      <c r="E5476" s="3" t="n">
        <v>14</v>
      </c>
      <c r="F5476" s="24" t="n">
        <v>-0.107210845</v>
      </c>
    </row>
    <row r="5477" customFormat="false" ht="15" hidden="false" customHeight="false" outlineLevel="0" collapsed="false">
      <c r="A5477" s="3" t="n">
        <v>5476</v>
      </c>
      <c r="B5477" s="3" t="n">
        <v>5475</v>
      </c>
      <c r="C5477" s="3" t="n">
        <v>6</v>
      </c>
      <c r="D5477" s="3" t="n">
        <v>27</v>
      </c>
      <c r="E5477" s="3" t="n">
        <v>15</v>
      </c>
      <c r="F5477" s="24" t="n">
        <v>-0.123489887</v>
      </c>
    </row>
    <row r="5478" customFormat="false" ht="15" hidden="false" customHeight="false" outlineLevel="0" collapsed="false">
      <c r="A5478" s="3" t="n">
        <v>5477</v>
      </c>
      <c r="B5478" s="3" t="n">
        <v>5476</v>
      </c>
      <c r="C5478" s="3" t="n">
        <v>6</v>
      </c>
      <c r="D5478" s="3" t="n">
        <v>27</v>
      </c>
      <c r="E5478" s="3" t="n">
        <v>16</v>
      </c>
      <c r="F5478" s="24" t="n">
        <v>-0.123489887</v>
      </c>
    </row>
    <row r="5479" customFormat="false" ht="15" hidden="false" customHeight="false" outlineLevel="0" collapsed="false">
      <c r="A5479" s="3" t="n">
        <v>5478</v>
      </c>
      <c r="B5479" s="3" t="n">
        <v>5477</v>
      </c>
      <c r="C5479" s="3" t="n">
        <v>6</v>
      </c>
      <c r="D5479" s="3" t="n">
        <v>27</v>
      </c>
      <c r="E5479" s="3" t="n">
        <v>17</v>
      </c>
      <c r="F5479" s="24" t="n">
        <v>-0.123489887</v>
      </c>
    </row>
    <row r="5480" customFormat="false" ht="15" hidden="false" customHeight="false" outlineLevel="0" collapsed="false">
      <c r="A5480" s="3" t="n">
        <v>5479</v>
      </c>
      <c r="B5480" s="3" t="n">
        <v>5478</v>
      </c>
      <c r="C5480" s="3" t="n">
        <v>6</v>
      </c>
      <c r="D5480" s="3" t="n">
        <v>27</v>
      </c>
      <c r="E5480" s="3" t="n">
        <v>18</v>
      </c>
      <c r="F5480" s="24" t="n">
        <v>-0.123489887</v>
      </c>
    </row>
    <row r="5481" customFormat="false" ht="15" hidden="false" customHeight="false" outlineLevel="0" collapsed="false">
      <c r="A5481" s="3" t="n">
        <v>5480</v>
      </c>
      <c r="B5481" s="3" t="n">
        <v>5479</v>
      </c>
      <c r="C5481" s="3" t="n">
        <v>6</v>
      </c>
      <c r="D5481" s="3" t="n">
        <v>27</v>
      </c>
      <c r="E5481" s="3" t="n">
        <v>19</v>
      </c>
      <c r="F5481" s="24" t="n">
        <v>-0.123489887</v>
      </c>
    </row>
    <row r="5482" customFormat="false" ht="15" hidden="false" customHeight="false" outlineLevel="0" collapsed="false">
      <c r="A5482" s="3" t="n">
        <v>5481</v>
      </c>
      <c r="B5482" s="3" t="n">
        <v>5480</v>
      </c>
      <c r="C5482" s="3" t="n">
        <v>6</v>
      </c>
      <c r="D5482" s="3" t="n">
        <v>27</v>
      </c>
      <c r="E5482" s="3" t="n">
        <v>20</v>
      </c>
      <c r="F5482" s="24" t="n">
        <v>-0.123489887</v>
      </c>
    </row>
    <row r="5483" customFormat="false" ht="15" hidden="false" customHeight="false" outlineLevel="0" collapsed="false">
      <c r="A5483" s="3" t="n">
        <v>5482</v>
      </c>
      <c r="B5483" s="3" t="n">
        <v>5481</v>
      </c>
      <c r="C5483" s="3" t="n">
        <v>6</v>
      </c>
      <c r="D5483" s="3" t="n">
        <v>27</v>
      </c>
      <c r="E5483" s="3" t="n">
        <v>21</v>
      </c>
      <c r="F5483" s="24" t="n">
        <v>-0.123489887</v>
      </c>
    </row>
    <row r="5484" customFormat="false" ht="15" hidden="false" customHeight="false" outlineLevel="0" collapsed="false">
      <c r="A5484" s="3" t="n">
        <v>5483</v>
      </c>
      <c r="B5484" s="3" t="n">
        <v>5482</v>
      </c>
      <c r="C5484" s="3" t="n">
        <v>6</v>
      </c>
      <c r="D5484" s="3" t="n">
        <v>27</v>
      </c>
      <c r="E5484" s="3" t="n">
        <v>22</v>
      </c>
      <c r="F5484" s="24" t="n">
        <v>-0.123489887</v>
      </c>
    </row>
    <row r="5485" customFormat="false" ht="15" hidden="false" customHeight="false" outlineLevel="0" collapsed="false">
      <c r="A5485" s="3" t="n">
        <v>5484</v>
      </c>
      <c r="B5485" s="3" t="n">
        <v>5483</v>
      </c>
      <c r="C5485" s="3" t="n">
        <v>6</v>
      </c>
      <c r="D5485" s="3" t="n">
        <v>27</v>
      </c>
      <c r="E5485" s="3" t="n">
        <v>23</v>
      </c>
      <c r="F5485" s="24" t="n">
        <v>-0.123489887</v>
      </c>
    </row>
    <row r="5486" customFormat="false" ht="15" hidden="false" customHeight="false" outlineLevel="0" collapsed="false">
      <c r="A5486" s="3" t="n">
        <v>5485</v>
      </c>
      <c r="B5486" s="3" t="n">
        <v>5484</v>
      </c>
      <c r="C5486" s="3" t="n">
        <v>6</v>
      </c>
      <c r="D5486" s="3" t="n">
        <v>27</v>
      </c>
      <c r="E5486" s="3" t="n">
        <v>24</v>
      </c>
      <c r="F5486" s="24" t="n">
        <v>-0.123489887</v>
      </c>
    </row>
    <row r="5487" customFormat="false" ht="15" hidden="false" customHeight="false" outlineLevel="0" collapsed="false">
      <c r="A5487" s="3" t="n">
        <v>5486</v>
      </c>
      <c r="B5487" s="3" t="n">
        <v>5485</v>
      </c>
      <c r="C5487" s="3" t="n">
        <v>6</v>
      </c>
      <c r="D5487" s="3" t="n">
        <v>27</v>
      </c>
      <c r="E5487" s="3" t="n">
        <v>25</v>
      </c>
      <c r="F5487" s="24" t="n">
        <v>-0.123489887</v>
      </c>
    </row>
    <row r="5488" customFormat="false" ht="15" hidden="false" customHeight="false" outlineLevel="0" collapsed="false">
      <c r="A5488" s="3" t="n">
        <v>5487</v>
      </c>
      <c r="B5488" s="3" t="n">
        <v>5486</v>
      </c>
      <c r="C5488" s="3" t="n">
        <v>6</v>
      </c>
      <c r="D5488" s="3" t="n">
        <v>27</v>
      </c>
      <c r="E5488" s="3" t="n">
        <v>26</v>
      </c>
      <c r="F5488" s="24" t="n">
        <v>-0.123489887</v>
      </c>
    </row>
    <row r="5489" customFormat="false" ht="15" hidden="false" customHeight="false" outlineLevel="0" collapsed="false">
      <c r="A5489" s="3" t="n">
        <v>5488</v>
      </c>
      <c r="B5489" s="3" t="n">
        <v>5487</v>
      </c>
      <c r="C5489" s="3" t="n">
        <v>6</v>
      </c>
      <c r="D5489" s="3" t="n">
        <v>27</v>
      </c>
      <c r="E5489" s="3" t="n">
        <v>27</v>
      </c>
      <c r="F5489" s="24" t="n">
        <v>-0.122133642</v>
      </c>
    </row>
    <row r="5490" customFormat="false" ht="15" hidden="false" customHeight="false" outlineLevel="0" collapsed="false">
      <c r="A5490" s="3" t="n">
        <v>5489</v>
      </c>
      <c r="B5490" s="3" t="n">
        <v>5488</v>
      </c>
      <c r="C5490" s="3" t="n">
        <v>7</v>
      </c>
      <c r="D5490" s="3" t="n">
        <v>0</v>
      </c>
      <c r="E5490" s="3" t="n">
        <v>0</v>
      </c>
      <c r="F5490" s="24" t="n">
        <v>0.0377224386</v>
      </c>
    </row>
    <row r="5491" customFormat="false" ht="15" hidden="false" customHeight="false" outlineLevel="0" collapsed="false">
      <c r="A5491" s="3" t="n">
        <v>5490</v>
      </c>
      <c r="B5491" s="3" t="n">
        <v>5489</v>
      </c>
      <c r="C5491" s="3" t="n">
        <v>7</v>
      </c>
      <c r="D5491" s="3" t="n">
        <v>0</v>
      </c>
      <c r="E5491" s="3" t="n">
        <v>1</v>
      </c>
      <c r="F5491" s="24" t="n">
        <v>-0.182142764</v>
      </c>
    </row>
    <row r="5492" customFormat="false" ht="15" hidden="false" customHeight="false" outlineLevel="0" collapsed="false">
      <c r="A5492" s="3" t="n">
        <v>5491</v>
      </c>
      <c r="B5492" s="3" t="n">
        <v>5490</v>
      </c>
      <c r="C5492" s="3" t="n">
        <v>7</v>
      </c>
      <c r="D5492" s="3" t="n">
        <v>0</v>
      </c>
      <c r="E5492" s="3" t="n">
        <v>2</v>
      </c>
      <c r="F5492" s="24" t="n">
        <v>-0.182142764</v>
      </c>
    </row>
    <row r="5493" customFormat="false" ht="15" hidden="false" customHeight="false" outlineLevel="0" collapsed="false">
      <c r="A5493" s="3" t="n">
        <v>5492</v>
      </c>
      <c r="B5493" s="3" t="n">
        <v>5491</v>
      </c>
      <c r="C5493" s="3" t="n">
        <v>7</v>
      </c>
      <c r="D5493" s="3" t="n">
        <v>0</v>
      </c>
      <c r="E5493" s="3" t="n">
        <v>3</v>
      </c>
      <c r="F5493" s="24" t="n">
        <v>-0.182142764</v>
      </c>
    </row>
    <row r="5494" customFormat="false" ht="15" hidden="false" customHeight="false" outlineLevel="0" collapsed="false">
      <c r="A5494" s="3" t="n">
        <v>5493</v>
      </c>
      <c r="B5494" s="3" t="n">
        <v>5492</v>
      </c>
      <c r="C5494" s="3" t="n">
        <v>7</v>
      </c>
      <c r="D5494" s="3" t="n">
        <v>0</v>
      </c>
      <c r="E5494" s="3" t="n">
        <v>4</v>
      </c>
      <c r="F5494" s="24" t="n">
        <v>-0.182142764</v>
      </c>
    </row>
    <row r="5495" customFormat="false" ht="15" hidden="false" customHeight="false" outlineLevel="0" collapsed="false">
      <c r="A5495" s="3" t="n">
        <v>5494</v>
      </c>
      <c r="B5495" s="3" t="n">
        <v>5493</v>
      </c>
      <c r="C5495" s="3" t="n">
        <v>7</v>
      </c>
      <c r="D5495" s="3" t="n">
        <v>0</v>
      </c>
      <c r="E5495" s="3" t="n">
        <v>5</v>
      </c>
      <c r="F5495" s="24" t="n">
        <v>-0.182142764</v>
      </c>
    </row>
    <row r="5496" customFormat="false" ht="15" hidden="false" customHeight="false" outlineLevel="0" collapsed="false">
      <c r="A5496" s="3" t="n">
        <v>5495</v>
      </c>
      <c r="B5496" s="3" t="n">
        <v>5494</v>
      </c>
      <c r="C5496" s="3" t="n">
        <v>7</v>
      </c>
      <c r="D5496" s="3" t="n">
        <v>0</v>
      </c>
      <c r="E5496" s="3" t="n">
        <v>6</v>
      </c>
      <c r="F5496" s="24" t="n">
        <v>-0.182142764</v>
      </c>
    </row>
    <row r="5497" customFormat="false" ht="15" hidden="false" customHeight="false" outlineLevel="0" collapsed="false">
      <c r="A5497" s="3" t="n">
        <v>5496</v>
      </c>
      <c r="B5497" s="3" t="n">
        <v>5495</v>
      </c>
      <c r="C5497" s="3" t="n">
        <v>7</v>
      </c>
      <c r="D5497" s="3" t="n">
        <v>0</v>
      </c>
      <c r="E5497" s="3" t="n">
        <v>7</v>
      </c>
      <c r="F5497" s="24" t="n">
        <v>-0.182142764</v>
      </c>
    </row>
    <row r="5498" customFormat="false" ht="15" hidden="false" customHeight="false" outlineLevel="0" collapsed="false">
      <c r="A5498" s="3" t="n">
        <v>5497</v>
      </c>
      <c r="B5498" s="3" t="n">
        <v>5496</v>
      </c>
      <c r="C5498" s="3" t="n">
        <v>7</v>
      </c>
      <c r="D5498" s="3" t="n">
        <v>0</v>
      </c>
      <c r="E5498" s="3" t="n">
        <v>8</v>
      </c>
      <c r="F5498" s="24" t="n">
        <v>-0.182142764</v>
      </c>
    </row>
    <row r="5499" customFormat="false" ht="15" hidden="false" customHeight="false" outlineLevel="0" collapsed="false">
      <c r="A5499" s="3" t="n">
        <v>5498</v>
      </c>
      <c r="B5499" s="3" t="n">
        <v>5497</v>
      </c>
      <c r="C5499" s="3" t="n">
        <v>7</v>
      </c>
      <c r="D5499" s="3" t="n">
        <v>0</v>
      </c>
      <c r="E5499" s="3" t="n">
        <v>9</v>
      </c>
      <c r="F5499" s="24" t="n">
        <v>-0.182142764</v>
      </c>
    </row>
    <row r="5500" customFormat="false" ht="15" hidden="false" customHeight="false" outlineLevel="0" collapsed="false">
      <c r="A5500" s="3" t="n">
        <v>5499</v>
      </c>
      <c r="B5500" s="3" t="n">
        <v>5498</v>
      </c>
      <c r="C5500" s="3" t="n">
        <v>7</v>
      </c>
      <c r="D5500" s="3" t="n">
        <v>0</v>
      </c>
      <c r="E5500" s="3" t="n">
        <v>10</v>
      </c>
      <c r="F5500" s="24" t="n">
        <v>-0.182142764</v>
      </c>
    </row>
    <row r="5501" customFormat="false" ht="15" hidden="false" customHeight="false" outlineLevel="0" collapsed="false">
      <c r="A5501" s="3" t="n">
        <v>5500</v>
      </c>
      <c r="B5501" s="3" t="n">
        <v>5499</v>
      </c>
      <c r="C5501" s="3" t="n">
        <v>7</v>
      </c>
      <c r="D5501" s="3" t="n">
        <v>0</v>
      </c>
      <c r="E5501" s="3" t="n">
        <v>11</v>
      </c>
      <c r="F5501" s="24" t="n">
        <v>-0.182142764</v>
      </c>
    </row>
    <row r="5502" customFormat="false" ht="15" hidden="false" customHeight="false" outlineLevel="0" collapsed="false">
      <c r="A5502" s="3" t="n">
        <v>5501</v>
      </c>
      <c r="B5502" s="3" t="n">
        <v>5500</v>
      </c>
      <c r="C5502" s="3" t="n">
        <v>7</v>
      </c>
      <c r="D5502" s="3" t="n">
        <v>0</v>
      </c>
      <c r="E5502" s="3" t="n">
        <v>12</v>
      </c>
      <c r="F5502" s="24" t="n">
        <v>-0.182142764</v>
      </c>
    </row>
    <row r="5503" customFormat="false" ht="15" hidden="false" customHeight="false" outlineLevel="0" collapsed="false">
      <c r="A5503" s="3" t="n">
        <v>5502</v>
      </c>
      <c r="B5503" s="3" t="n">
        <v>5501</v>
      </c>
      <c r="C5503" s="3" t="n">
        <v>7</v>
      </c>
      <c r="D5503" s="3" t="n">
        <v>0</v>
      </c>
      <c r="E5503" s="3" t="n">
        <v>13</v>
      </c>
      <c r="F5503" s="24" t="n">
        <v>-0.182142764</v>
      </c>
    </row>
    <row r="5504" customFormat="false" ht="15" hidden="false" customHeight="false" outlineLevel="0" collapsed="false">
      <c r="A5504" s="3" t="n">
        <v>5503</v>
      </c>
      <c r="B5504" s="3" t="n">
        <v>5502</v>
      </c>
      <c r="C5504" s="3" t="n">
        <v>7</v>
      </c>
      <c r="D5504" s="3" t="n">
        <v>0</v>
      </c>
      <c r="E5504" s="3" t="n">
        <v>14</v>
      </c>
      <c r="F5504" s="24" t="n">
        <v>-0.182142764</v>
      </c>
    </row>
    <row r="5505" customFormat="false" ht="15" hidden="false" customHeight="false" outlineLevel="0" collapsed="false">
      <c r="A5505" s="3" t="n">
        <v>5504</v>
      </c>
      <c r="B5505" s="3" t="n">
        <v>5503</v>
      </c>
      <c r="C5505" s="3" t="n">
        <v>7</v>
      </c>
      <c r="D5505" s="3" t="n">
        <v>0</v>
      </c>
      <c r="E5505" s="3" t="n">
        <v>15</v>
      </c>
      <c r="F5505" s="24" t="n">
        <v>-0.182142764</v>
      </c>
    </row>
    <row r="5506" customFormat="false" ht="15" hidden="false" customHeight="false" outlineLevel="0" collapsed="false">
      <c r="A5506" s="3" t="n">
        <v>5505</v>
      </c>
      <c r="B5506" s="3" t="n">
        <v>5504</v>
      </c>
      <c r="C5506" s="3" t="n">
        <v>7</v>
      </c>
      <c r="D5506" s="3" t="n">
        <v>0</v>
      </c>
      <c r="E5506" s="3" t="n">
        <v>16</v>
      </c>
      <c r="F5506" s="24" t="n">
        <v>-0.182142764</v>
      </c>
    </row>
    <row r="5507" customFormat="false" ht="15" hidden="false" customHeight="false" outlineLevel="0" collapsed="false">
      <c r="A5507" s="3" t="n">
        <v>5506</v>
      </c>
      <c r="B5507" s="3" t="n">
        <v>5505</v>
      </c>
      <c r="C5507" s="3" t="n">
        <v>7</v>
      </c>
      <c r="D5507" s="3" t="n">
        <v>0</v>
      </c>
      <c r="E5507" s="3" t="n">
        <v>17</v>
      </c>
      <c r="F5507" s="24" t="n">
        <v>-0.182142764</v>
      </c>
    </row>
    <row r="5508" customFormat="false" ht="15" hidden="false" customHeight="false" outlineLevel="0" collapsed="false">
      <c r="A5508" s="3" t="n">
        <v>5507</v>
      </c>
      <c r="B5508" s="3" t="n">
        <v>5506</v>
      </c>
      <c r="C5508" s="3" t="n">
        <v>7</v>
      </c>
      <c r="D5508" s="3" t="n">
        <v>0</v>
      </c>
      <c r="E5508" s="3" t="n">
        <v>18</v>
      </c>
      <c r="F5508" s="24" t="n">
        <v>-0.182142764</v>
      </c>
    </row>
    <row r="5509" customFormat="false" ht="15" hidden="false" customHeight="false" outlineLevel="0" collapsed="false">
      <c r="A5509" s="3" t="n">
        <v>5508</v>
      </c>
      <c r="B5509" s="3" t="n">
        <v>5507</v>
      </c>
      <c r="C5509" s="3" t="n">
        <v>7</v>
      </c>
      <c r="D5509" s="3" t="n">
        <v>0</v>
      </c>
      <c r="E5509" s="3" t="n">
        <v>19</v>
      </c>
      <c r="F5509" s="24" t="n">
        <v>-0.182142764</v>
      </c>
    </row>
    <row r="5510" customFormat="false" ht="15" hidden="false" customHeight="false" outlineLevel="0" collapsed="false">
      <c r="A5510" s="3" t="n">
        <v>5509</v>
      </c>
      <c r="B5510" s="3" t="n">
        <v>5508</v>
      </c>
      <c r="C5510" s="3" t="n">
        <v>7</v>
      </c>
      <c r="D5510" s="3" t="n">
        <v>0</v>
      </c>
      <c r="E5510" s="3" t="n">
        <v>20</v>
      </c>
      <c r="F5510" s="24" t="n">
        <v>-0.182142764</v>
      </c>
    </row>
    <row r="5511" customFormat="false" ht="15" hidden="false" customHeight="false" outlineLevel="0" collapsed="false">
      <c r="A5511" s="3" t="n">
        <v>5510</v>
      </c>
      <c r="B5511" s="3" t="n">
        <v>5509</v>
      </c>
      <c r="C5511" s="3" t="n">
        <v>7</v>
      </c>
      <c r="D5511" s="3" t="n">
        <v>0</v>
      </c>
      <c r="E5511" s="3" t="n">
        <v>21</v>
      </c>
      <c r="F5511" s="24" t="n">
        <v>-0.182142764</v>
      </c>
    </row>
    <row r="5512" customFormat="false" ht="15" hidden="false" customHeight="false" outlineLevel="0" collapsed="false">
      <c r="A5512" s="3" t="n">
        <v>5511</v>
      </c>
      <c r="B5512" s="3" t="n">
        <v>5510</v>
      </c>
      <c r="C5512" s="3" t="n">
        <v>7</v>
      </c>
      <c r="D5512" s="3" t="n">
        <v>0</v>
      </c>
      <c r="E5512" s="3" t="n">
        <v>22</v>
      </c>
      <c r="F5512" s="24" t="n">
        <v>-0.182142764</v>
      </c>
    </row>
    <row r="5513" customFormat="false" ht="15" hidden="false" customHeight="false" outlineLevel="0" collapsed="false">
      <c r="A5513" s="3" t="n">
        <v>5512</v>
      </c>
      <c r="B5513" s="3" t="n">
        <v>5511</v>
      </c>
      <c r="C5513" s="3" t="n">
        <v>7</v>
      </c>
      <c r="D5513" s="3" t="n">
        <v>0</v>
      </c>
      <c r="E5513" s="3" t="n">
        <v>23</v>
      </c>
      <c r="F5513" s="24" t="n">
        <v>-0.182142764</v>
      </c>
    </row>
    <row r="5514" customFormat="false" ht="15" hidden="false" customHeight="false" outlineLevel="0" collapsed="false">
      <c r="A5514" s="3" t="n">
        <v>5513</v>
      </c>
      <c r="B5514" s="3" t="n">
        <v>5512</v>
      </c>
      <c r="C5514" s="3" t="n">
        <v>7</v>
      </c>
      <c r="D5514" s="3" t="n">
        <v>0</v>
      </c>
      <c r="E5514" s="3" t="n">
        <v>24</v>
      </c>
      <c r="F5514" s="24" t="n">
        <v>-0.182142764</v>
      </c>
    </row>
    <row r="5515" customFormat="false" ht="15" hidden="false" customHeight="false" outlineLevel="0" collapsed="false">
      <c r="A5515" s="3" t="n">
        <v>5514</v>
      </c>
      <c r="B5515" s="3" t="n">
        <v>5513</v>
      </c>
      <c r="C5515" s="3" t="n">
        <v>7</v>
      </c>
      <c r="D5515" s="3" t="n">
        <v>0</v>
      </c>
      <c r="E5515" s="3" t="n">
        <v>25</v>
      </c>
      <c r="F5515" s="24" t="n">
        <v>-0.182142764</v>
      </c>
    </row>
    <row r="5516" customFormat="false" ht="15" hidden="false" customHeight="false" outlineLevel="0" collapsed="false">
      <c r="A5516" s="3" t="n">
        <v>5515</v>
      </c>
      <c r="B5516" s="3" t="n">
        <v>5514</v>
      </c>
      <c r="C5516" s="3" t="n">
        <v>7</v>
      </c>
      <c r="D5516" s="3" t="n">
        <v>0</v>
      </c>
      <c r="E5516" s="3" t="n">
        <v>26</v>
      </c>
      <c r="F5516" s="24" t="n">
        <v>-0.182142764</v>
      </c>
    </row>
    <row r="5517" customFormat="false" ht="15" hidden="false" customHeight="false" outlineLevel="0" collapsed="false">
      <c r="A5517" s="3" t="n">
        <v>5516</v>
      </c>
      <c r="B5517" s="3" t="n">
        <v>5515</v>
      </c>
      <c r="C5517" s="3" t="n">
        <v>7</v>
      </c>
      <c r="D5517" s="3" t="n">
        <v>0</v>
      </c>
      <c r="E5517" s="3" t="n">
        <v>27</v>
      </c>
      <c r="F5517" s="24" t="n">
        <v>-0.35008496</v>
      </c>
    </row>
    <row r="5518" customFormat="false" ht="15" hidden="false" customHeight="false" outlineLevel="0" collapsed="false">
      <c r="A5518" s="3" t="n">
        <v>5517</v>
      </c>
      <c r="B5518" s="3" t="n">
        <v>5516</v>
      </c>
      <c r="C5518" s="3" t="n">
        <v>7</v>
      </c>
      <c r="D5518" s="3" t="n">
        <v>1</v>
      </c>
      <c r="E5518" s="3" t="n">
        <v>0</v>
      </c>
      <c r="F5518" s="24" t="n">
        <v>0.259080142</v>
      </c>
    </row>
    <row r="5519" customFormat="false" ht="15" hidden="false" customHeight="false" outlineLevel="0" collapsed="false">
      <c r="A5519" s="3" t="n">
        <v>5518</v>
      </c>
      <c r="B5519" s="3" t="n">
        <v>5517</v>
      </c>
      <c r="C5519" s="3" t="n">
        <v>7</v>
      </c>
      <c r="D5519" s="3" t="n">
        <v>1</v>
      </c>
      <c r="E5519" s="3" t="n">
        <v>1</v>
      </c>
      <c r="F5519" s="24" t="n">
        <v>-0.0628041923</v>
      </c>
    </row>
    <row r="5520" customFormat="false" ht="15" hidden="false" customHeight="false" outlineLevel="0" collapsed="false">
      <c r="A5520" s="3" t="n">
        <v>5519</v>
      </c>
      <c r="B5520" s="3" t="n">
        <v>5518</v>
      </c>
      <c r="C5520" s="3" t="n">
        <v>7</v>
      </c>
      <c r="D5520" s="3" t="n">
        <v>1</v>
      </c>
      <c r="E5520" s="3" t="n">
        <v>2</v>
      </c>
      <c r="F5520" s="24" t="n">
        <v>-0.0628041923</v>
      </c>
    </row>
    <row r="5521" customFormat="false" ht="15" hidden="false" customHeight="false" outlineLevel="0" collapsed="false">
      <c r="A5521" s="3" t="n">
        <v>5520</v>
      </c>
      <c r="B5521" s="3" t="n">
        <v>5519</v>
      </c>
      <c r="C5521" s="3" t="n">
        <v>7</v>
      </c>
      <c r="D5521" s="3" t="n">
        <v>1</v>
      </c>
      <c r="E5521" s="3" t="n">
        <v>3</v>
      </c>
      <c r="F5521" s="24" t="n">
        <v>-0.0628041923</v>
      </c>
    </row>
    <row r="5522" customFormat="false" ht="15" hidden="false" customHeight="false" outlineLevel="0" collapsed="false">
      <c r="A5522" s="3" t="n">
        <v>5521</v>
      </c>
      <c r="B5522" s="3" t="n">
        <v>5520</v>
      </c>
      <c r="C5522" s="3" t="n">
        <v>7</v>
      </c>
      <c r="D5522" s="3" t="n">
        <v>1</v>
      </c>
      <c r="E5522" s="3" t="n">
        <v>4</v>
      </c>
      <c r="F5522" s="24" t="n">
        <v>-0.0628041923</v>
      </c>
    </row>
    <row r="5523" customFormat="false" ht="15" hidden="false" customHeight="false" outlineLevel="0" collapsed="false">
      <c r="A5523" s="3" t="n">
        <v>5522</v>
      </c>
      <c r="B5523" s="3" t="n">
        <v>5521</v>
      </c>
      <c r="C5523" s="3" t="n">
        <v>7</v>
      </c>
      <c r="D5523" s="3" t="n">
        <v>1</v>
      </c>
      <c r="E5523" s="3" t="n">
        <v>5</v>
      </c>
      <c r="F5523" s="24" t="n">
        <v>-0.0628041923</v>
      </c>
    </row>
    <row r="5524" customFormat="false" ht="15" hidden="false" customHeight="false" outlineLevel="0" collapsed="false">
      <c r="A5524" s="3" t="n">
        <v>5523</v>
      </c>
      <c r="B5524" s="3" t="n">
        <v>5522</v>
      </c>
      <c r="C5524" s="3" t="n">
        <v>7</v>
      </c>
      <c r="D5524" s="3" t="n">
        <v>1</v>
      </c>
      <c r="E5524" s="3" t="n">
        <v>6</v>
      </c>
      <c r="F5524" s="24" t="n">
        <v>-0.0628041923</v>
      </c>
    </row>
    <row r="5525" customFormat="false" ht="15" hidden="false" customHeight="false" outlineLevel="0" collapsed="false">
      <c r="A5525" s="3" t="n">
        <v>5524</v>
      </c>
      <c r="B5525" s="3" t="n">
        <v>5523</v>
      </c>
      <c r="C5525" s="3" t="n">
        <v>7</v>
      </c>
      <c r="D5525" s="3" t="n">
        <v>1</v>
      </c>
      <c r="E5525" s="3" t="n">
        <v>7</v>
      </c>
      <c r="F5525" s="24" t="n">
        <v>-0.0628041923</v>
      </c>
    </row>
    <row r="5526" customFormat="false" ht="15" hidden="false" customHeight="false" outlineLevel="0" collapsed="false">
      <c r="A5526" s="3" t="n">
        <v>5525</v>
      </c>
      <c r="B5526" s="3" t="n">
        <v>5524</v>
      </c>
      <c r="C5526" s="3" t="n">
        <v>7</v>
      </c>
      <c r="D5526" s="3" t="n">
        <v>1</v>
      </c>
      <c r="E5526" s="3" t="n">
        <v>8</v>
      </c>
      <c r="F5526" s="24" t="n">
        <v>-0.0628041923</v>
      </c>
    </row>
    <row r="5527" customFormat="false" ht="15" hidden="false" customHeight="false" outlineLevel="0" collapsed="false">
      <c r="A5527" s="3" t="n">
        <v>5526</v>
      </c>
      <c r="B5527" s="3" t="n">
        <v>5525</v>
      </c>
      <c r="C5527" s="3" t="n">
        <v>7</v>
      </c>
      <c r="D5527" s="3" t="n">
        <v>1</v>
      </c>
      <c r="E5527" s="3" t="n">
        <v>9</v>
      </c>
      <c r="F5527" s="24" t="n">
        <v>-0.0628041923</v>
      </c>
    </row>
    <row r="5528" customFormat="false" ht="15" hidden="false" customHeight="false" outlineLevel="0" collapsed="false">
      <c r="A5528" s="3" t="n">
        <v>5527</v>
      </c>
      <c r="B5528" s="3" t="n">
        <v>5526</v>
      </c>
      <c r="C5528" s="3" t="n">
        <v>7</v>
      </c>
      <c r="D5528" s="3" t="n">
        <v>1</v>
      </c>
      <c r="E5528" s="3" t="n">
        <v>10</v>
      </c>
      <c r="F5528" s="24" t="n">
        <v>-0.0628041923</v>
      </c>
    </row>
    <row r="5529" customFormat="false" ht="15" hidden="false" customHeight="false" outlineLevel="0" collapsed="false">
      <c r="A5529" s="3" t="n">
        <v>5528</v>
      </c>
      <c r="B5529" s="3" t="n">
        <v>5527</v>
      </c>
      <c r="C5529" s="3" t="n">
        <v>7</v>
      </c>
      <c r="D5529" s="3" t="n">
        <v>1</v>
      </c>
      <c r="E5529" s="3" t="n">
        <v>11</v>
      </c>
      <c r="F5529" s="24" t="n">
        <v>-0.0628041923</v>
      </c>
    </row>
    <row r="5530" customFormat="false" ht="15" hidden="false" customHeight="false" outlineLevel="0" collapsed="false">
      <c r="A5530" s="3" t="n">
        <v>5529</v>
      </c>
      <c r="B5530" s="3" t="n">
        <v>5528</v>
      </c>
      <c r="C5530" s="3" t="n">
        <v>7</v>
      </c>
      <c r="D5530" s="3" t="n">
        <v>1</v>
      </c>
      <c r="E5530" s="3" t="n">
        <v>12</v>
      </c>
      <c r="F5530" s="24" t="n">
        <v>-0.0628041923</v>
      </c>
    </row>
    <row r="5531" customFormat="false" ht="15" hidden="false" customHeight="false" outlineLevel="0" collapsed="false">
      <c r="A5531" s="3" t="n">
        <v>5530</v>
      </c>
      <c r="B5531" s="3" t="n">
        <v>5529</v>
      </c>
      <c r="C5531" s="3" t="n">
        <v>7</v>
      </c>
      <c r="D5531" s="3" t="n">
        <v>1</v>
      </c>
      <c r="E5531" s="3" t="n">
        <v>13</v>
      </c>
      <c r="F5531" s="24" t="n">
        <v>-0.0628041923</v>
      </c>
    </row>
    <row r="5532" customFormat="false" ht="15" hidden="false" customHeight="false" outlineLevel="0" collapsed="false">
      <c r="A5532" s="3" t="n">
        <v>5531</v>
      </c>
      <c r="B5532" s="3" t="n">
        <v>5530</v>
      </c>
      <c r="C5532" s="3" t="n">
        <v>7</v>
      </c>
      <c r="D5532" s="3" t="n">
        <v>1</v>
      </c>
      <c r="E5532" s="3" t="n">
        <v>14</v>
      </c>
      <c r="F5532" s="24" t="n">
        <v>-0.0628041923</v>
      </c>
    </row>
    <row r="5533" customFormat="false" ht="15" hidden="false" customHeight="false" outlineLevel="0" collapsed="false">
      <c r="A5533" s="3" t="n">
        <v>5532</v>
      </c>
      <c r="B5533" s="3" t="n">
        <v>5531</v>
      </c>
      <c r="C5533" s="3" t="n">
        <v>7</v>
      </c>
      <c r="D5533" s="3" t="n">
        <v>1</v>
      </c>
      <c r="E5533" s="3" t="n">
        <v>15</v>
      </c>
      <c r="F5533" s="24" t="n">
        <v>-0.0628041923</v>
      </c>
    </row>
    <row r="5534" customFormat="false" ht="15" hidden="false" customHeight="false" outlineLevel="0" collapsed="false">
      <c r="A5534" s="3" t="n">
        <v>5533</v>
      </c>
      <c r="B5534" s="3" t="n">
        <v>5532</v>
      </c>
      <c r="C5534" s="3" t="n">
        <v>7</v>
      </c>
      <c r="D5534" s="3" t="n">
        <v>1</v>
      </c>
      <c r="E5534" s="3" t="n">
        <v>16</v>
      </c>
      <c r="F5534" s="24" t="n">
        <v>-0.0628041923</v>
      </c>
    </row>
    <row r="5535" customFormat="false" ht="15" hidden="false" customHeight="false" outlineLevel="0" collapsed="false">
      <c r="A5535" s="3" t="n">
        <v>5534</v>
      </c>
      <c r="B5535" s="3" t="n">
        <v>5533</v>
      </c>
      <c r="C5535" s="3" t="n">
        <v>7</v>
      </c>
      <c r="D5535" s="3" t="n">
        <v>1</v>
      </c>
      <c r="E5535" s="3" t="n">
        <v>17</v>
      </c>
      <c r="F5535" s="24" t="n">
        <v>-0.0628041923</v>
      </c>
    </row>
    <row r="5536" customFormat="false" ht="15" hidden="false" customHeight="false" outlineLevel="0" collapsed="false">
      <c r="A5536" s="3" t="n">
        <v>5535</v>
      </c>
      <c r="B5536" s="3" t="n">
        <v>5534</v>
      </c>
      <c r="C5536" s="3" t="n">
        <v>7</v>
      </c>
      <c r="D5536" s="3" t="n">
        <v>1</v>
      </c>
      <c r="E5536" s="3" t="n">
        <v>18</v>
      </c>
      <c r="F5536" s="24" t="n">
        <v>-0.0628041923</v>
      </c>
    </row>
    <row r="5537" customFormat="false" ht="15" hidden="false" customHeight="false" outlineLevel="0" collapsed="false">
      <c r="A5537" s="3" t="n">
        <v>5536</v>
      </c>
      <c r="B5537" s="3" t="n">
        <v>5535</v>
      </c>
      <c r="C5537" s="3" t="n">
        <v>7</v>
      </c>
      <c r="D5537" s="3" t="n">
        <v>1</v>
      </c>
      <c r="E5537" s="3" t="n">
        <v>19</v>
      </c>
      <c r="F5537" s="24" t="n">
        <v>-0.0628041923</v>
      </c>
    </row>
    <row r="5538" customFormat="false" ht="15" hidden="false" customHeight="false" outlineLevel="0" collapsed="false">
      <c r="A5538" s="3" t="n">
        <v>5537</v>
      </c>
      <c r="B5538" s="3" t="n">
        <v>5536</v>
      </c>
      <c r="C5538" s="3" t="n">
        <v>7</v>
      </c>
      <c r="D5538" s="3" t="n">
        <v>1</v>
      </c>
      <c r="E5538" s="3" t="n">
        <v>20</v>
      </c>
      <c r="F5538" s="24" t="n">
        <v>-0.0628041923</v>
      </c>
    </row>
    <row r="5539" customFormat="false" ht="15" hidden="false" customHeight="false" outlineLevel="0" collapsed="false">
      <c r="A5539" s="3" t="n">
        <v>5538</v>
      </c>
      <c r="B5539" s="3" t="n">
        <v>5537</v>
      </c>
      <c r="C5539" s="3" t="n">
        <v>7</v>
      </c>
      <c r="D5539" s="3" t="n">
        <v>1</v>
      </c>
      <c r="E5539" s="3" t="n">
        <v>21</v>
      </c>
      <c r="F5539" s="24" t="n">
        <v>-0.0628041923</v>
      </c>
    </row>
    <row r="5540" customFormat="false" ht="15" hidden="false" customHeight="false" outlineLevel="0" collapsed="false">
      <c r="A5540" s="3" t="n">
        <v>5539</v>
      </c>
      <c r="B5540" s="3" t="n">
        <v>5538</v>
      </c>
      <c r="C5540" s="3" t="n">
        <v>7</v>
      </c>
      <c r="D5540" s="3" t="n">
        <v>1</v>
      </c>
      <c r="E5540" s="3" t="n">
        <v>22</v>
      </c>
      <c r="F5540" s="24" t="n">
        <v>-0.0628041923</v>
      </c>
    </row>
    <row r="5541" customFormat="false" ht="15" hidden="false" customHeight="false" outlineLevel="0" collapsed="false">
      <c r="A5541" s="3" t="n">
        <v>5540</v>
      </c>
      <c r="B5541" s="3" t="n">
        <v>5539</v>
      </c>
      <c r="C5541" s="3" t="n">
        <v>7</v>
      </c>
      <c r="D5541" s="3" t="n">
        <v>1</v>
      </c>
      <c r="E5541" s="3" t="n">
        <v>23</v>
      </c>
      <c r="F5541" s="24" t="n">
        <v>-0.0628041923</v>
      </c>
    </row>
    <row r="5542" customFormat="false" ht="15" hidden="false" customHeight="false" outlineLevel="0" collapsed="false">
      <c r="A5542" s="3" t="n">
        <v>5541</v>
      </c>
      <c r="B5542" s="3" t="n">
        <v>5540</v>
      </c>
      <c r="C5542" s="3" t="n">
        <v>7</v>
      </c>
      <c r="D5542" s="3" t="n">
        <v>1</v>
      </c>
      <c r="E5542" s="3" t="n">
        <v>24</v>
      </c>
      <c r="F5542" s="24" t="n">
        <v>-0.0628041923</v>
      </c>
    </row>
    <row r="5543" customFormat="false" ht="15" hidden="false" customHeight="false" outlineLevel="0" collapsed="false">
      <c r="A5543" s="3" t="n">
        <v>5542</v>
      </c>
      <c r="B5543" s="3" t="n">
        <v>5541</v>
      </c>
      <c r="C5543" s="3" t="n">
        <v>7</v>
      </c>
      <c r="D5543" s="3" t="n">
        <v>1</v>
      </c>
      <c r="E5543" s="3" t="n">
        <v>25</v>
      </c>
      <c r="F5543" s="24" t="n">
        <v>-0.0628041923</v>
      </c>
    </row>
    <row r="5544" customFormat="false" ht="15" hidden="false" customHeight="false" outlineLevel="0" collapsed="false">
      <c r="A5544" s="3" t="n">
        <v>5543</v>
      </c>
      <c r="B5544" s="3" t="n">
        <v>5542</v>
      </c>
      <c r="C5544" s="3" t="n">
        <v>7</v>
      </c>
      <c r="D5544" s="3" t="n">
        <v>1</v>
      </c>
      <c r="E5544" s="3" t="n">
        <v>26</v>
      </c>
      <c r="F5544" s="24" t="n">
        <v>-0.0628041923</v>
      </c>
    </row>
    <row r="5545" customFormat="false" ht="15" hidden="false" customHeight="false" outlineLevel="0" collapsed="false">
      <c r="A5545" s="3" t="n">
        <v>5544</v>
      </c>
      <c r="B5545" s="3" t="n">
        <v>5543</v>
      </c>
      <c r="C5545" s="3" t="n">
        <v>7</v>
      </c>
      <c r="D5545" s="3" t="n">
        <v>1</v>
      </c>
      <c r="E5545" s="3" t="n">
        <v>27</v>
      </c>
      <c r="F5545" s="24" t="n">
        <v>-0.504603028</v>
      </c>
    </row>
    <row r="5546" customFormat="false" ht="15" hidden="false" customHeight="false" outlineLevel="0" collapsed="false">
      <c r="A5546" s="3" t="n">
        <v>5545</v>
      </c>
      <c r="B5546" s="3" t="n">
        <v>5544</v>
      </c>
      <c r="C5546" s="3" t="n">
        <v>7</v>
      </c>
      <c r="D5546" s="3" t="n">
        <v>2</v>
      </c>
      <c r="E5546" s="3" t="n">
        <v>0</v>
      </c>
      <c r="F5546" s="24" t="n">
        <v>0.259080142</v>
      </c>
    </row>
    <row r="5547" customFormat="false" ht="15" hidden="false" customHeight="false" outlineLevel="0" collapsed="false">
      <c r="A5547" s="3" t="n">
        <v>5546</v>
      </c>
      <c r="B5547" s="3" t="n">
        <v>5545</v>
      </c>
      <c r="C5547" s="3" t="n">
        <v>7</v>
      </c>
      <c r="D5547" s="3" t="n">
        <v>2</v>
      </c>
      <c r="E5547" s="3" t="n">
        <v>1</v>
      </c>
      <c r="F5547" s="24" t="n">
        <v>-0.0628041923</v>
      </c>
    </row>
    <row r="5548" customFormat="false" ht="15" hidden="false" customHeight="false" outlineLevel="0" collapsed="false">
      <c r="A5548" s="3" t="n">
        <v>5547</v>
      </c>
      <c r="B5548" s="3" t="n">
        <v>5546</v>
      </c>
      <c r="C5548" s="3" t="n">
        <v>7</v>
      </c>
      <c r="D5548" s="3" t="n">
        <v>2</v>
      </c>
      <c r="E5548" s="3" t="n">
        <v>2</v>
      </c>
      <c r="F5548" s="24" t="n">
        <v>-0.0628041923</v>
      </c>
    </row>
    <row r="5549" customFormat="false" ht="15" hidden="false" customHeight="false" outlineLevel="0" collapsed="false">
      <c r="A5549" s="3" t="n">
        <v>5548</v>
      </c>
      <c r="B5549" s="3" t="n">
        <v>5547</v>
      </c>
      <c r="C5549" s="3" t="n">
        <v>7</v>
      </c>
      <c r="D5549" s="3" t="n">
        <v>2</v>
      </c>
      <c r="E5549" s="3" t="n">
        <v>3</v>
      </c>
      <c r="F5549" s="24" t="n">
        <v>-0.0628041923</v>
      </c>
    </row>
    <row r="5550" customFormat="false" ht="15" hidden="false" customHeight="false" outlineLevel="0" collapsed="false">
      <c r="A5550" s="3" t="n">
        <v>5549</v>
      </c>
      <c r="B5550" s="3" t="n">
        <v>5548</v>
      </c>
      <c r="C5550" s="3" t="n">
        <v>7</v>
      </c>
      <c r="D5550" s="3" t="n">
        <v>2</v>
      </c>
      <c r="E5550" s="3" t="n">
        <v>4</v>
      </c>
      <c r="F5550" s="24" t="n">
        <v>-0.0628041923</v>
      </c>
    </row>
    <row r="5551" customFormat="false" ht="15" hidden="false" customHeight="false" outlineLevel="0" collapsed="false">
      <c r="A5551" s="3" t="n">
        <v>5550</v>
      </c>
      <c r="B5551" s="3" t="n">
        <v>5549</v>
      </c>
      <c r="C5551" s="3" t="n">
        <v>7</v>
      </c>
      <c r="D5551" s="3" t="n">
        <v>2</v>
      </c>
      <c r="E5551" s="3" t="n">
        <v>5</v>
      </c>
      <c r="F5551" s="24" t="n">
        <v>-0.0628041923</v>
      </c>
    </row>
    <row r="5552" customFormat="false" ht="15" hidden="false" customHeight="false" outlineLevel="0" collapsed="false">
      <c r="A5552" s="3" t="n">
        <v>5551</v>
      </c>
      <c r="B5552" s="3" t="n">
        <v>5550</v>
      </c>
      <c r="C5552" s="3" t="n">
        <v>7</v>
      </c>
      <c r="D5552" s="3" t="n">
        <v>2</v>
      </c>
      <c r="E5552" s="3" t="n">
        <v>6</v>
      </c>
      <c r="F5552" s="24" t="n">
        <v>-0.0628041923</v>
      </c>
    </row>
    <row r="5553" customFormat="false" ht="15" hidden="false" customHeight="false" outlineLevel="0" collapsed="false">
      <c r="A5553" s="3" t="n">
        <v>5552</v>
      </c>
      <c r="B5553" s="3" t="n">
        <v>5551</v>
      </c>
      <c r="C5553" s="3" t="n">
        <v>7</v>
      </c>
      <c r="D5553" s="3" t="n">
        <v>2</v>
      </c>
      <c r="E5553" s="3" t="n">
        <v>7</v>
      </c>
      <c r="F5553" s="24" t="n">
        <v>-0.0628041923</v>
      </c>
    </row>
    <row r="5554" customFormat="false" ht="15" hidden="false" customHeight="false" outlineLevel="0" collapsed="false">
      <c r="A5554" s="3" t="n">
        <v>5553</v>
      </c>
      <c r="B5554" s="3" t="n">
        <v>5552</v>
      </c>
      <c r="C5554" s="3" t="n">
        <v>7</v>
      </c>
      <c r="D5554" s="3" t="n">
        <v>2</v>
      </c>
      <c r="E5554" s="3" t="n">
        <v>8</v>
      </c>
      <c r="F5554" s="24" t="n">
        <v>-0.0628041923</v>
      </c>
    </row>
    <row r="5555" customFormat="false" ht="15" hidden="false" customHeight="false" outlineLevel="0" collapsed="false">
      <c r="A5555" s="3" t="n">
        <v>5554</v>
      </c>
      <c r="B5555" s="3" t="n">
        <v>5553</v>
      </c>
      <c r="C5555" s="3" t="n">
        <v>7</v>
      </c>
      <c r="D5555" s="3" t="n">
        <v>2</v>
      </c>
      <c r="E5555" s="3" t="n">
        <v>9</v>
      </c>
      <c r="F5555" s="24" t="n">
        <v>-0.0628041923</v>
      </c>
    </row>
    <row r="5556" customFormat="false" ht="15" hidden="false" customHeight="false" outlineLevel="0" collapsed="false">
      <c r="A5556" s="3" t="n">
        <v>5555</v>
      </c>
      <c r="B5556" s="3" t="n">
        <v>5554</v>
      </c>
      <c r="C5556" s="3" t="n">
        <v>7</v>
      </c>
      <c r="D5556" s="3" t="n">
        <v>2</v>
      </c>
      <c r="E5556" s="3" t="n">
        <v>10</v>
      </c>
      <c r="F5556" s="24" t="n">
        <v>-0.0628041923</v>
      </c>
    </row>
    <row r="5557" customFormat="false" ht="15" hidden="false" customHeight="false" outlineLevel="0" collapsed="false">
      <c r="A5557" s="3" t="n">
        <v>5556</v>
      </c>
      <c r="B5557" s="3" t="n">
        <v>5555</v>
      </c>
      <c r="C5557" s="3" t="n">
        <v>7</v>
      </c>
      <c r="D5557" s="3" t="n">
        <v>2</v>
      </c>
      <c r="E5557" s="3" t="n">
        <v>11</v>
      </c>
      <c r="F5557" s="24" t="n">
        <v>-0.0628041923</v>
      </c>
    </row>
    <row r="5558" customFormat="false" ht="15" hidden="false" customHeight="false" outlineLevel="0" collapsed="false">
      <c r="A5558" s="3" t="n">
        <v>5557</v>
      </c>
      <c r="B5558" s="3" t="n">
        <v>5556</v>
      </c>
      <c r="C5558" s="3" t="n">
        <v>7</v>
      </c>
      <c r="D5558" s="3" t="n">
        <v>2</v>
      </c>
      <c r="E5558" s="3" t="n">
        <v>12</v>
      </c>
      <c r="F5558" s="24" t="n">
        <v>-0.0628041923</v>
      </c>
    </row>
    <row r="5559" customFormat="false" ht="15" hidden="false" customHeight="false" outlineLevel="0" collapsed="false">
      <c r="A5559" s="3" t="n">
        <v>5558</v>
      </c>
      <c r="B5559" s="3" t="n">
        <v>5557</v>
      </c>
      <c r="C5559" s="3" t="n">
        <v>7</v>
      </c>
      <c r="D5559" s="3" t="n">
        <v>2</v>
      </c>
      <c r="E5559" s="3" t="n">
        <v>13</v>
      </c>
      <c r="F5559" s="24" t="n">
        <v>-0.0628041923</v>
      </c>
    </row>
    <row r="5560" customFormat="false" ht="15" hidden="false" customHeight="false" outlineLevel="0" collapsed="false">
      <c r="A5560" s="3" t="n">
        <v>5559</v>
      </c>
      <c r="B5560" s="3" t="n">
        <v>5558</v>
      </c>
      <c r="C5560" s="3" t="n">
        <v>7</v>
      </c>
      <c r="D5560" s="3" t="n">
        <v>2</v>
      </c>
      <c r="E5560" s="3" t="n">
        <v>14</v>
      </c>
      <c r="F5560" s="24" t="n">
        <v>-0.0628041923</v>
      </c>
    </row>
    <row r="5561" customFormat="false" ht="15" hidden="false" customHeight="false" outlineLevel="0" collapsed="false">
      <c r="A5561" s="3" t="n">
        <v>5560</v>
      </c>
      <c r="B5561" s="3" t="n">
        <v>5559</v>
      </c>
      <c r="C5561" s="3" t="n">
        <v>7</v>
      </c>
      <c r="D5561" s="3" t="n">
        <v>2</v>
      </c>
      <c r="E5561" s="3" t="n">
        <v>15</v>
      </c>
      <c r="F5561" s="24" t="n">
        <v>-0.0628041923</v>
      </c>
    </row>
    <row r="5562" customFormat="false" ht="15" hidden="false" customHeight="false" outlineLevel="0" collapsed="false">
      <c r="A5562" s="3" t="n">
        <v>5561</v>
      </c>
      <c r="B5562" s="3" t="n">
        <v>5560</v>
      </c>
      <c r="C5562" s="3" t="n">
        <v>7</v>
      </c>
      <c r="D5562" s="3" t="n">
        <v>2</v>
      </c>
      <c r="E5562" s="3" t="n">
        <v>16</v>
      </c>
      <c r="F5562" s="24" t="n">
        <v>-0.0628041923</v>
      </c>
    </row>
    <row r="5563" customFormat="false" ht="15" hidden="false" customHeight="false" outlineLevel="0" collapsed="false">
      <c r="A5563" s="3" t="n">
        <v>5562</v>
      </c>
      <c r="B5563" s="3" t="n">
        <v>5561</v>
      </c>
      <c r="C5563" s="3" t="n">
        <v>7</v>
      </c>
      <c r="D5563" s="3" t="n">
        <v>2</v>
      </c>
      <c r="E5563" s="3" t="n">
        <v>17</v>
      </c>
      <c r="F5563" s="24" t="n">
        <v>-0.0628041923</v>
      </c>
    </row>
    <row r="5564" customFormat="false" ht="15" hidden="false" customHeight="false" outlineLevel="0" collapsed="false">
      <c r="A5564" s="3" t="n">
        <v>5563</v>
      </c>
      <c r="B5564" s="3" t="n">
        <v>5562</v>
      </c>
      <c r="C5564" s="3" t="n">
        <v>7</v>
      </c>
      <c r="D5564" s="3" t="n">
        <v>2</v>
      </c>
      <c r="E5564" s="3" t="n">
        <v>18</v>
      </c>
      <c r="F5564" s="24" t="n">
        <v>-0.0628041923</v>
      </c>
    </row>
    <row r="5565" customFormat="false" ht="15" hidden="false" customHeight="false" outlineLevel="0" collapsed="false">
      <c r="A5565" s="3" t="n">
        <v>5564</v>
      </c>
      <c r="B5565" s="3" t="n">
        <v>5563</v>
      </c>
      <c r="C5565" s="3" t="n">
        <v>7</v>
      </c>
      <c r="D5565" s="3" t="n">
        <v>2</v>
      </c>
      <c r="E5565" s="3" t="n">
        <v>19</v>
      </c>
      <c r="F5565" s="24" t="n">
        <v>-0.0628041923</v>
      </c>
    </row>
    <row r="5566" customFormat="false" ht="15" hidden="false" customHeight="false" outlineLevel="0" collapsed="false">
      <c r="A5566" s="3" t="n">
        <v>5565</v>
      </c>
      <c r="B5566" s="3" t="n">
        <v>5564</v>
      </c>
      <c r="C5566" s="3" t="n">
        <v>7</v>
      </c>
      <c r="D5566" s="3" t="n">
        <v>2</v>
      </c>
      <c r="E5566" s="3" t="n">
        <v>20</v>
      </c>
      <c r="F5566" s="24" t="n">
        <v>-0.0628041923</v>
      </c>
    </row>
    <row r="5567" customFormat="false" ht="15" hidden="false" customHeight="false" outlineLevel="0" collapsed="false">
      <c r="A5567" s="3" t="n">
        <v>5566</v>
      </c>
      <c r="B5567" s="3" t="n">
        <v>5565</v>
      </c>
      <c r="C5567" s="3" t="n">
        <v>7</v>
      </c>
      <c r="D5567" s="3" t="n">
        <v>2</v>
      </c>
      <c r="E5567" s="3" t="n">
        <v>21</v>
      </c>
      <c r="F5567" s="24" t="n">
        <v>-0.0628041923</v>
      </c>
    </row>
    <row r="5568" customFormat="false" ht="15" hidden="false" customHeight="false" outlineLevel="0" collapsed="false">
      <c r="A5568" s="3" t="n">
        <v>5567</v>
      </c>
      <c r="B5568" s="3" t="n">
        <v>5566</v>
      </c>
      <c r="C5568" s="3" t="n">
        <v>7</v>
      </c>
      <c r="D5568" s="3" t="n">
        <v>2</v>
      </c>
      <c r="E5568" s="3" t="n">
        <v>22</v>
      </c>
      <c r="F5568" s="24" t="n">
        <v>-0.0628041923</v>
      </c>
    </row>
    <row r="5569" customFormat="false" ht="15" hidden="false" customHeight="false" outlineLevel="0" collapsed="false">
      <c r="A5569" s="3" t="n">
        <v>5568</v>
      </c>
      <c r="B5569" s="3" t="n">
        <v>5567</v>
      </c>
      <c r="C5569" s="3" t="n">
        <v>7</v>
      </c>
      <c r="D5569" s="3" t="n">
        <v>2</v>
      </c>
      <c r="E5569" s="3" t="n">
        <v>23</v>
      </c>
      <c r="F5569" s="24" t="n">
        <v>-0.0628041923</v>
      </c>
    </row>
    <row r="5570" customFormat="false" ht="15" hidden="false" customHeight="false" outlineLevel="0" collapsed="false">
      <c r="A5570" s="3" t="n">
        <v>5569</v>
      </c>
      <c r="B5570" s="3" t="n">
        <v>5568</v>
      </c>
      <c r="C5570" s="3" t="n">
        <v>7</v>
      </c>
      <c r="D5570" s="3" t="n">
        <v>2</v>
      </c>
      <c r="E5570" s="3" t="n">
        <v>24</v>
      </c>
      <c r="F5570" s="24" t="n">
        <v>-0.0628041923</v>
      </c>
    </row>
    <row r="5571" customFormat="false" ht="15" hidden="false" customHeight="false" outlineLevel="0" collapsed="false">
      <c r="A5571" s="3" t="n">
        <v>5570</v>
      </c>
      <c r="B5571" s="3" t="n">
        <v>5569</v>
      </c>
      <c r="C5571" s="3" t="n">
        <v>7</v>
      </c>
      <c r="D5571" s="3" t="n">
        <v>2</v>
      </c>
      <c r="E5571" s="3" t="n">
        <v>25</v>
      </c>
      <c r="F5571" s="24" t="n">
        <v>-0.0628041923</v>
      </c>
    </row>
    <row r="5572" customFormat="false" ht="15" hidden="false" customHeight="false" outlineLevel="0" collapsed="false">
      <c r="A5572" s="3" t="n">
        <v>5571</v>
      </c>
      <c r="B5572" s="3" t="n">
        <v>5570</v>
      </c>
      <c r="C5572" s="3" t="n">
        <v>7</v>
      </c>
      <c r="D5572" s="3" t="n">
        <v>2</v>
      </c>
      <c r="E5572" s="3" t="n">
        <v>26</v>
      </c>
      <c r="F5572" s="24" t="n">
        <v>-0.0628041923</v>
      </c>
    </row>
    <row r="5573" customFormat="false" ht="15" hidden="false" customHeight="false" outlineLevel="0" collapsed="false">
      <c r="A5573" s="3" t="n">
        <v>5572</v>
      </c>
      <c r="B5573" s="3" t="n">
        <v>5571</v>
      </c>
      <c r="C5573" s="3" t="n">
        <v>7</v>
      </c>
      <c r="D5573" s="3" t="n">
        <v>2</v>
      </c>
      <c r="E5573" s="3" t="n">
        <v>27</v>
      </c>
      <c r="F5573" s="24" t="n">
        <v>-0.504603028</v>
      </c>
    </row>
    <row r="5574" customFormat="false" ht="15" hidden="false" customHeight="false" outlineLevel="0" collapsed="false">
      <c r="A5574" s="3" t="n">
        <v>5573</v>
      </c>
      <c r="B5574" s="3" t="n">
        <v>5572</v>
      </c>
      <c r="C5574" s="3" t="n">
        <v>7</v>
      </c>
      <c r="D5574" s="3" t="n">
        <v>3</v>
      </c>
      <c r="E5574" s="3" t="n">
        <v>0</v>
      </c>
      <c r="F5574" s="24" t="n">
        <v>0.259080142</v>
      </c>
    </row>
    <row r="5575" customFormat="false" ht="15" hidden="false" customHeight="false" outlineLevel="0" collapsed="false">
      <c r="A5575" s="3" t="n">
        <v>5574</v>
      </c>
      <c r="B5575" s="3" t="n">
        <v>5573</v>
      </c>
      <c r="C5575" s="3" t="n">
        <v>7</v>
      </c>
      <c r="D5575" s="3" t="n">
        <v>3</v>
      </c>
      <c r="E5575" s="3" t="n">
        <v>1</v>
      </c>
      <c r="F5575" s="24" t="n">
        <v>-0.0628041923</v>
      </c>
    </row>
    <row r="5576" customFormat="false" ht="15" hidden="false" customHeight="false" outlineLevel="0" collapsed="false">
      <c r="A5576" s="3" t="n">
        <v>5575</v>
      </c>
      <c r="B5576" s="3" t="n">
        <v>5574</v>
      </c>
      <c r="C5576" s="3" t="n">
        <v>7</v>
      </c>
      <c r="D5576" s="3" t="n">
        <v>3</v>
      </c>
      <c r="E5576" s="3" t="n">
        <v>2</v>
      </c>
      <c r="F5576" s="24" t="n">
        <v>-0.0628041923</v>
      </c>
    </row>
    <row r="5577" customFormat="false" ht="15" hidden="false" customHeight="false" outlineLevel="0" collapsed="false">
      <c r="A5577" s="3" t="n">
        <v>5576</v>
      </c>
      <c r="B5577" s="3" t="n">
        <v>5575</v>
      </c>
      <c r="C5577" s="3" t="n">
        <v>7</v>
      </c>
      <c r="D5577" s="3" t="n">
        <v>3</v>
      </c>
      <c r="E5577" s="3" t="n">
        <v>3</v>
      </c>
      <c r="F5577" s="24" t="n">
        <v>-0.0628041923</v>
      </c>
    </row>
    <row r="5578" customFormat="false" ht="15" hidden="false" customHeight="false" outlineLevel="0" collapsed="false">
      <c r="A5578" s="3" t="n">
        <v>5577</v>
      </c>
      <c r="B5578" s="3" t="n">
        <v>5576</v>
      </c>
      <c r="C5578" s="3" t="n">
        <v>7</v>
      </c>
      <c r="D5578" s="3" t="n">
        <v>3</v>
      </c>
      <c r="E5578" s="3" t="n">
        <v>4</v>
      </c>
      <c r="F5578" s="24" t="n">
        <v>-0.0628041923</v>
      </c>
    </row>
    <row r="5579" customFormat="false" ht="15" hidden="false" customHeight="false" outlineLevel="0" collapsed="false">
      <c r="A5579" s="3" t="n">
        <v>5578</v>
      </c>
      <c r="B5579" s="3" t="n">
        <v>5577</v>
      </c>
      <c r="C5579" s="3" t="n">
        <v>7</v>
      </c>
      <c r="D5579" s="3" t="n">
        <v>3</v>
      </c>
      <c r="E5579" s="3" t="n">
        <v>5</v>
      </c>
      <c r="F5579" s="24" t="n">
        <v>-0.0628041923</v>
      </c>
    </row>
    <row r="5580" customFormat="false" ht="15" hidden="false" customHeight="false" outlineLevel="0" collapsed="false">
      <c r="A5580" s="3" t="n">
        <v>5579</v>
      </c>
      <c r="B5580" s="3" t="n">
        <v>5578</v>
      </c>
      <c r="C5580" s="3" t="n">
        <v>7</v>
      </c>
      <c r="D5580" s="3" t="n">
        <v>3</v>
      </c>
      <c r="E5580" s="3" t="n">
        <v>6</v>
      </c>
      <c r="F5580" s="24" t="n">
        <v>-0.0628041923</v>
      </c>
    </row>
    <row r="5581" customFormat="false" ht="15" hidden="false" customHeight="false" outlineLevel="0" collapsed="false">
      <c r="A5581" s="3" t="n">
        <v>5580</v>
      </c>
      <c r="B5581" s="3" t="n">
        <v>5579</v>
      </c>
      <c r="C5581" s="3" t="n">
        <v>7</v>
      </c>
      <c r="D5581" s="3" t="n">
        <v>3</v>
      </c>
      <c r="E5581" s="3" t="n">
        <v>7</v>
      </c>
      <c r="F5581" s="24" t="n">
        <v>-0.0628041923</v>
      </c>
    </row>
    <row r="5582" customFormat="false" ht="15" hidden="false" customHeight="false" outlineLevel="0" collapsed="false">
      <c r="A5582" s="3" t="n">
        <v>5581</v>
      </c>
      <c r="B5582" s="3" t="n">
        <v>5580</v>
      </c>
      <c r="C5582" s="3" t="n">
        <v>7</v>
      </c>
      <c r="D5582" s="3" t="n">
        <v>3</v>
      </c>
      <c r="E5582" s="3" t="n">
        <v>8</v>
      </c>
      <c r="F5582" s="24" t="n">
        <v>-0.0628041923</v>
      </c>
    </row>
    <row r="5583" customFormat="false" ht="15" hidden="false" customHeight="false" outlineLevel="0" collapsed="false">
      <c r="A5583" s="3" t="n">
        <v>5582</v>
      </c>
      <c r="B5583" s="3" t="n">
        <v>5581</v>
      </c>
      <c r="C5583" s="3" t="n">
        <v>7</v>
      </c>
      <c r="D5583" s="3" t="n">
        <v>3</v>
      </c>
      <c r="E5583" s="3" t="n">
        <v>9</v>
      </c>
      <c r="F5583" s="24" t="n">
        <v>-0.0628041923</v>
      </c>
    </row>
    <row r="5584" customFormat="false" ht="15" hidden="false" customHeight="false" outlineLevel="0" collapsed="false">
      <c r="A5584" s="3" t="n">
        <v>5583</v>
      </c>
      <c r="B5584" s="3" t="n">
        <v>5582</v>
      </c>
      <c r="C5584" s="3" t="n">
        <v>7</v>
      </c>
      <c r="D5584" s="3" t="n">
        <v>3</v>
      </c>
      <c r="E5584" s="3" t="n">
        <v>10</v>
      </c>
      <c r="F5584" s="24" t="n">
        <v>-0.0628041923</v>
      </c>
    </row>
    <row r="5585" customFormat="false" ht="15" hidden="false" customHeight="false" outlineLevel="0" collapsed="false">
      <c r="A5585" s="3" t="n">
        <v>5584</v>
      </c>
      <c r="B5585" s="3" t="n">
        <v>5583</v>
      </c>
      <c r="C5585" s="3" t="n">
        <v>7</v>
      </c>
      <c r="D5585" s="3" t="n">
        <v>3</v>
      </c>
      <c r="E5585" s="3" t="n">
        <v>11</v>
      </c>
      <c r="F5585" s="24" t="n">
        <v>-0.0628041923</v>
      </c>
    </row>
    <row r="5586" customFormat="false" ht="15" hidden="false" customHeight="false" outlineLevel="0" collapsed="false">
      <c r="A5586" s="3" t="n">
        <v>5585</v>
      </c>
      <c r="B5586" s="3" t="n">
        <v>5584</v>
      </c>
      <c r="C5586" s="3" t="n">
        <v>7</v>
      </c>
      <c r="D5586" s="3" t="n">
        <v>3</v>
      </c>
      <c r="E5586" s="3" t="n">
        <v>12</v>
      </c>
      <c r="F5586" s="24" t="n">
        <v>-0.0628041923</v>
      </c>
    </row>
    <row r="5587" customFormat="false" ht="15" hidden="false" customHeight="false" outlineLevel="0" collapsed="false">
      <c r="A5587" s="3" t="n">
        <v>5586</v>
      </c>
      <c r="B5587" s="3" t="n">
        <v>5585</v>
      </c>
      <c r="C5587" s="3" t="n">
        <v>7</v>
      </c>
      <c r="D5587" s="3" t="n">
        <v>3</v>
      </c>
      <c r="E5587" s="3" t="n">
        <v>13</v>
      </c>
      <c r="F5587" s="24" t="n">
        <v>-0.0628041923</v>
      </c>
    </row>
    <row r="5588" customFormat="false" ht="15" hidden="false" customHeight="false" outlineLevel="0" collapsed="false">
      <c r="A5588" s="3" t="n">
        <v>5587</v>
      </c>
      <c r="B5588" s="3" t="n">
        <v>5586</v>
      </c>
      <c r="C5588" s="3" t="n">
        <v>7</v>
      </c>
      <c r="D5588" s="3" t="n">
        <v>3</v>
      </c>
      <c r="E5588" s="3" t="n">
        <v>14</v>
      </c>
      <c r="F5588" s="24" t="n">
        <v>-0.0628041923</v>
      </c>
    </row>
    <row r="5589" customFormat="false" ht="15" hidden="false" customHeight="false" outlineLevel="0" collapsed="false">
      <c r="A5589" s="3" t="n">
        <v>5588</v>
      </c>
      <c r="B5589" s="3" t="n">
        <v>5587</v>
      </c>
      <c r="C5589" s="3" t="n">
        <v>7</v>
      </c>
      <c r="D5589" s="3" t="n">
        <v>3</v>
      </c>
      <c r="E5589" s="3" t="n">
        <v>15</v>
      </c>
      <c r="F5589" s="24" t="n">
        <v>-0.0628041923</v>
      </c>
    </row>
    <row r="5590" customFormat="false" ht="15" hidden="false" customHeight="false" outlineLevel="0" collapsed="false">
      <c r="A5590" s="3" t="n">
        <v>5589</v>
      </c>
      <c r="B5590" s="3" t="n">
        <v>5588</v>
      </c>
      <c r="C5590" s="3" t="n">
        <v>7</v>
      </c>
      <c r="D5590" s="3" t="n">
        <v>3</v>
      </c>
      <c r="E5590" s="3" t="n">
        <v>16</v>
      </c>
      <c r="F5590" s="24" t="n">
        <v>-0.0628041923</v>
      </c>
    </row>
    <row r="5591" customFormat="false" ht="15" hidden="false" customHeight="false" outlineLevel="0" collapsed="false">
      <c r="A5591" s="3" t="n">
        <v>5590</v>
      </c>
      <c r="B5591" s="3" t="n">
        <v>5589</v>
      </c>
      <c r="C5591" s="3" t="n">
        <v>7</v>
      </c>
      <c r="D5591" s="3" t="n">
        <v>3</v>
      </c>
      <c r="E5591" s="3" t="n">
        <v>17</v>
      </c>
      <c r="F5591" s="24" t="n">
        <v>-0.0628041923</v>
      </c>
    </row>
    <row r="5592" customFormat="false" ht="15" hidden="false" customHeight="false" outlineLevel="0" collapsed="false">
      <c r="A5592" s="3" t="n">
        <v>5591</v>
      </c>
      <c r="B5592" s="3" t="n">
        <v>5590</v>
      </c>
      <c r="C5592" s="3" t="n">
        <v>7</v>
      </c>
      <c r="D5592" s="3" t="n">
        <v>3</v>
      </c>
      <c r="E5592" s="3" t="n">
        <v>18</v>
      </c>
      <c r="F5592" s="24" t="n">
        <v>-0.0628041923</v>
      </c>
    </row>
    <row r="5593" customFormat="false" ht="15" hidden="false" customHeight="false" outlineLevel="0" collapsed="false">
      <c r="A5593" s="3" t="n">
        <v>5592</v>
      </c>
      <c r="B5593" s="3" t="n">
        <v>5591</v>
      </c>
      <c r="C5593" s="3" t="n">
        <v>7</v>
      </c>
      <c r="D5593" s="3" t="n">
        <v>3</v>
      </c>
      <c r="E5593" s="3" t="n">
        <v>19</v>
      </c>
      <c r="F5593" s="24" t="n">
        <v>-0.0628041923</v>
      </c>
    </row>
    <row r="5594" customFormat="false" ht="15" hidden="false" customHeight="false" outlineLevel="0" collapsed="false">
      <c r="A5594" s="3" t="n">
        <v>5593</v>
      </c>
      <c r="B5594" s="3" t="n">
        <v>5592</v>
      </c>
      <c r="C5594" s="3" t="n">
        <v>7</v>
      </c>
      <c r="D5594" s="3" t="n">
        <v>3</v>
      </c>
      <c r="E5594" s="3" t="n">
        <v>20</v>
      </c>
      <c r="F5594" s="24" t="n">
        <v>-0.0628041923</v>
      </c>
    </row>
    <row r="5595" customFormat="false" ht="15" hidden="false" customHeight="false" outlineLevel="0" collapsed="false">
      <c r="A5595" s="3" t="n">
        <v>5594</v>
      </c>
      <c r="B5595" s="3" t="n">
        <v>5593</v>
      </c>
      <c r="C5595" s="3" t="n">
        <v>7</v>
      </c>
      <c r="D5595" s="3" t="n">
        <v>3</v>
      </c>
      <c r="E5595" s="3" t="n">
        <v>21</v>
      </c>
      <c r="F5595" s="24" t="n">
        <v>-0.0628041923</v>
      </c>
    </row>
    <row r="5596" customFormat="false" ht="15" hidden="false" customHeight="false" outlineLevel="0" collapsed="false">
      <c r="A5596" s="3" t="n">
        <v>5595</v>
      </c>
      <c r="B5596" s="3" t="n">
        <v>5594</v>
      </c>
      <c r="C5596" s="3" t="n">
        <v>7</v>
      </c>
      <c r="D5596" s="3" t="n">
        <v>3</v>
      </c>
      <c r="E5596" s="3" t="n">
        <v>22</v>
      </c>
      <c r="F5596" s="24" t="n">
        <v>-0.0628041923</v>
      </c>
    </row>
    <row r="5597" customFormat="false" ht="15" hidden="false" customHeight="false" outlineLevel="0" collapsed="false">
      <c r="A5597" s="3" t="n">
        <v>5596</v>
      </c>
      <c r="B5597" s="3" t="n">
        <v>5595</v>
      </c>
      <c r="C5597" s="3" t="n">
        <v>7</v>
      </c>
      <c r="D5597" s="3" t="n">
        <v>3</v>
      </c>
      <c r="E5597" s="3" t="n">
        <v>23</v>
      </c>
      <c r="F5597" s="24" t="n">
        <v>-0.0628041923</v>
      </c>
    </row>
    <row r="5598" customFormat="false" ht="15" hidden="false" customHeight="false" outlineLevel="0" collapsed="false">
      <c r="A5598" s="3" t="n">
        <v>5597</v>
      </c>
      <c r="B5598" s="3" t="n">
        <v>5596</v>
      </c>
      <c r="C5598" s="3" t="n">
        <v>7</v>
      </c>
      <c r="D5598" s="3" t="n">
        <v>3</v>
      </c>
      <c r="E5598" s="3" t="n">
        <v>24</v>
      </c>
      <c r="F5598" s="24" t="n">
        <v>-0.0628041923</v>
      </c>
    </row>
    <row r="5599" customFormat="false" ht="15" hidden="false" customHeight="false" outlineLevel="0" collapsed="false">
      <c r="A5599" s="3" t="n">
        <v>5598</v>
      </c>
      <c r="B5599" s="3" t="n">
        <v>5597</v>
      </c>
      <c r="C5599" s="3" t="n">
        <v>7</v>
      </c>
      <c r="D5599" s="3" t="n">
        <v>3</v>
      </c>
      <c r="E5599" s="3" t="n">
        <v>25</v>
      </c>
      <c r="F5599" s="24" t="n">
        <v>-0.0628041923</v>
      </c>
    </row>
    <row r="5600" customFormat="false" ht="15" hidden="false" customHeight="false" outlineLevel="0" collapsed="false">
      <c r="A5600" s="3" t="n">
        <v>5599</v>
      </c>
      <c r="B5600" s="3" t="n">
        <v>5598</v>
      </c>
      <c r="C5600" s="3" t="n">
        <v>7</v>
      </c>
      <c r="D5600" s="3" t="n">
        <v>3</v>
      </c>
      <c r="E5600" s="3" t="n">
        <v>26</v>
      </c>
      <c r="F5600" s="24" t="n">
        <v>-0.0628041923</v>
      </c>
    </row>
    <row r="5601" customFormat="false" ht="15" hidden="false" customHeight="false" outlineLevel="0" collapsed="false">
      <c r="A5601" s="3" t="n">
        <v>5600</v>
      </c>
      <c r="B5601" s="3" t="n">
        <v>5599</v>
      </c>
      <c r="C5601" s="3" t="n">
        <v>7</v>
      </c>
      <c r="D5601" s="3" t="n">
        <v>3</v>
      </c>
      <c r="E5601" s="3" t="n">
        <v>27</v>
      </c>
      <c r="F5601" s="24" t="n">
        <v>-0.504603028</v>
      </c>
    </row>
    <row r="5602" customFormat="false" ht="15" hidden="false" customHeight="false" outlineLevel="0" collapsed="false">
      <c r="A5602" s="3" t="n">
        <v>5601</v>
      </c>
      <c r="B5602" s="3" t="n">
        <v>5600</v>
      </c>
      <c r="C5602" s="3" t="n">
        <v>7</v>
      </c>
      <c r="D5602" s="3" t="n">
        <v>4</v>
      </c>
      <c r="E5602" s="3" t="n">
        <v>0</v>
      </c>
      <c r="F5602" s="24" t="n">
        <v>0.259080142</v>
      </c>
    </row>
    <row r="5603" customFormat="false" ht="15" hidden="false" customHeight="false" outlineLevel="0" collapsed="false">
      <c r="A5603" s="3" t="n">
        <v>5602</v>
      </c>
      <c r="B5603" s="3" t="n">
        <v>5601</v>
      </c>
      <c r="C5603" s="3" t="n">
        <v>7</v>
      </c>
      <c r="D5603" s="3" t="n">
        <v>4</v>
      </c>
      <c r="E5603" s="3" t="n">
        <v>1</v>
      </c>
      <c r="F5603" s="24" t="n">
        <v>-0.0628041923</v>
      </c>
    </row>
    <row r="5604" customFormat="false" ht="15" hidden="false" customHeight="false" outlineLevel="0" collapsed="false">
      <c r="A5604" s="3" t="n">
        <v>5603</v>
      </c>
      <c r="B5604" s="3" t="n">
        <v>5602</v>
      </c>
      <c r="C5604" s="3" t="n">
        <v>7</v>
      </c>
      <c r="D5604" s="3" t="n">
        <v>4</v>
      </c>
      <c r="E5604" s="3" t="n">
        <v>2</v>
      </c>
      <c r="F5604" s="24" t="n">
        <v>-0.0628041923</v>
      </c>
    </row>
    <row r="5605" customFormat="false" ht="15" hidden="false" customHeight="false" outlineLevel="0" collapsed="false">
      <c r="A5605" s="3" t="n">
        <v>5604</v>
      </c>
      <c r="B5605" s="3" t="n">
        <v>5603</v>
      </c>
      <c r="C5605" s="3" t="n">
        <v>7</v>
      </c>
      <c r="D5605" s="3" t="n">
        <v>4</v>
      </c>
      <c r="E5605" s="3" t="n">
        <v>3</v>
      </c>
      <c r="F5605" s="24" t="n">
        <v>-0.0628041923</v>
      </c>
    </row>
    <row r="5606" customFormat="false" ht="15" hidden="false" customHeight="false" outlineLevel="0" collapsed="false">
      <c r="A5606" s="3" t="n">
        <v>5605</v>
      </c>
      <c r="B5606" s="3" t="n">
        <v>5604</v>
      </c>
      <c r="C5606" s="3" t="n">
        <v>7</v>
      </c>
      <c r="D5606" s="3" t="n">
        <v>4</v>
      </c>
      <c r="E5606" s="3" t="n">
        <v>4</v>
      </c>
      <c r="F5606" s="24" t="n">
        <v>-0.0628041923</v>
      </c>
    </row>
    <row r="5607" customFormat="false" ht="15" hidden="false" customHeight="false" outlineLevel="0" collapsed="false">
      <c r="A5607" s="3" t="n">
        <v>5606</v>
      </c>
      <c r="B5607" s="3" t="n">
        <v>5605</v>
      </c>
      <c r="C5607" s="3" t="n">
        <v>7</v>
      </c>
      <c r="D5607" s="3" t="n">
        <v>4</v>
      </c>
      <c r="E5607" s="3" t="n">
        <v>5</v>
      </c>
      <c r="F5607" s="24" t="n">
        <v>-0.0628041923</v>
      </c>
    </row>
    <row r="5608" customFormat="false" ht="15" hidden="false" customHeight="false" outlineLevel="0" collapsed="false">
      <c r="A5608" s="3" t="n">
        <v>5607</v>
      </c>
      <c r="B5608" s="3" t="n">
        <v>5606</v>
      </c>
      <c r="C5608" s="3" t="n">
        <v>7</v>
      </c>
      <c r="D5608" s="3" t="n">
        <v>4</v>
      </c>
      <c r="E5608" s="3" t="n">
        <v>6</v>
      </c>
      <c r="F5608" s="24" t="n">
        <v>-0.0628041923</v>
      </c>
    </row>
    <row r="5609" customFormat="false" ht="15" hidden="false" customHeight="false" outlineLevel="0" collapsed="false">
      <c r="A5609" s="3" t="n">
        <v>5608</v>
      </c>
      <c r="B5609" s="3" t="n">
        <v>5607</v>
      </c>
      <c r="C5609" s="3" t="n">
        <v>7</v>
      </c>
      <c r="D5609" s="3" t="n">
        <v>4</v>
      </c>
      <c r="E5609" s="3" t="n">
        <v>7</v>
      </c>
      <c r="F5609" s="24" t="n">
        <v>-0.0628041923</v>
      </c>
    </row>
    <row r="5610" customFormat="false" ht="15" hidden="false" customHeight="false" outlineLevel="0" collapsed="false">
      <c r="A5610" s="3" t="n">
        <v>5609</v>
      </c>
      <c r="B5610" s="3" t="n">
        <v>5608</v>
      </c>
      <c r="C5610" s="3" t="n">
        <v>7</v>
      </c>
      <c r="D5610" s="3" t="n">
        <v>4</v>
      </c>
      <c r="E5610" s="3" t="n">
        <v>8</v>
      </c>
      <c r="F5610" s="24" t="n">
        <v>-0.0628041923</v>
      </c>
    </row>
    <row r="5611" customFormat="false" ht="15" hidden="false" customHeight="false" outlineLevel="0" collapsed="false">
      <c r="A5611" s="3" t="n">
        <v>5610</v>
      </c>
      <c r="B5611" s="3" t="n">
        <v>5609</v>
      </c>
      <c r="C5611" s="3" t="n">
        <v>7</v>
      </c>
      <c r="D5611" s="3" t="n">
        <v>4</v>
      </c>
      <c r="E5611" s="3" t="n">
        <v>9</v>
      </c>
      <c r="F5611" s="24" t="n">
        <v>-0.0628041923</v>
      </c>
    </row>
    <row r="5612" customFormat="false" ht="15" hidden="false" customHeight="false" outlineLevel="0" collapsed="false">
      <c r="A5612" s="3" t="n">
        <v>5611</v>
      </c>
      <c r="B5612" s="3" t="n">
        <v>5610</v>
      </c>
      <c r="C5612" s="3" t="n">
        <v>7</v>
      </c>
      <c r="D5612" s="3" t="n">
        <v>4</v>
      </c>
      <c r="E5612" s="3" t="n">
        <v>10</v>
      </c>
      <c r="F5612" s="24" t="n">
        <v>-0.0628041923</v>
      </c>
    </row>
    <row r="5613" customFormat="false" ht="15" hidden="false" customHeight="false" outlineLevel="0" collapsed="false">
      <c r="A5613" s="3" t="n">
        <v>5612</v>
      </c>
      <c r="B5613" s="3" t="n">
        <v>5611</v>
      </c>
      <c r="C5613" s="3" t="n">
        <v>7</v>
      </c>
      <c r="D5613" s="3" t="n">
        <v>4</v>
      </c>
      <c r="E5613" s="3" t="n">
        <v>11</v>
      </c>
      <c r="F5613" s="24" t="n">
        <v>-0.0628041923</v>
      </c>
    </row>
    <row r="5614" customFormat="false" ht="15" hidden="false" customHeight="false" outlineLevel="0" collapsed="false">
      <c r="A5614" s="3" t="n">
        <v>5613</v>
      </c>
      <c r="B5614" s="3" t="n">
        <v>5612</v>
      </c>
      <c r="C5614" s="3" t="n">
        <v>7</v>
      </c>
      <c r="D5614" s="3" t="n">
        <v>4</v>
      </c>
      <c r="E5614" s="3" t="n">
        <v>12</v>
      </c>
      <c r="F5614" s="24" t="n">
        <v>-0.0628041923</v>
      </c>
    </row>
    <row r="5615" customFormat="false" ht="15" hidden="false" customHeight="false" outlineLevel="0" collapsed="false">
      <c r="A5615" s="3" t="n">
        <v>5614</v>
      </c>
      <c r="B5615" s="3" t="n">
        <v>5613</v>
      </c>
      <c r="C5615" s="3" t="n">
        <v>7</v>
      </c>
      <c r="D5615" s="3" t="n">
        <v>4</v>
      </c>
      <c r="E5615" s="3" t="n">
        <v>13</v>
      </c>
      <c r="F5615" s="24" t="n">
        <v>-0.0628041923</v>
      </c>
    </row>
    <row r="5616" customFormat="false" ht="15" hidden="false" customHeight="false" outlineLevel="0" collapsed="false">
      <c r="A5616" s="3" t="n">
        <v>5615</v>
      </c>
      <c r="B5616" s="3" t="n">
        <v>5614</v>
      </c>
      <c r="C5616" s="3" t="n">
        <v>7</v>
      </c>
      <c r="D5616" s="3" t="n">
        <v>4</v>
      </c>
      <c r="E5616" s="3" t="n">
        <v>14</v>
      </c>
      <c r="F5616" s="24" t="n">
        <v>-0.0628041923</v>
      </c>
    </row>
    <row r="5617" customFormat="false" ht="15" hidden="false" customHeight="false" outlineLevel="0" collapsed="false">
      <c r="A5617" s="3" t="n">
        <v>5616</v>
      </c>
      <c r="B5617" s="3" t="n">
        <v>5615</v>
      </c>
      <c r="C5617" s="3" t="n">
        <v>7</v>
      </c>
      <c r="D5617" s="3" t="n">
        <v>4</v>
      </c>
      <c r="E5617" s="3" t="n">
        <v>15</v>
      </c>
      <c r="F5617" s="24" t="n">
        <v>-0.0628041923</v>
      </c>
    </row>
    <row r="5618" customFormat="false" ht="15" hidden="false" customHeight="false" outlineLevel="0" collapsed="false">
      <c r="A5618" s="3" t="n">
        <v>5617</v>
      </c>
      <c r="B5618" s="3" t="n">
        <v>5616</v>
      </c>
      <c r="C5618" s="3" t="n">
        <v>7</v>
      </c>
      <c r="D5618" s="3" t="n">
        <v>4</v>
      </c>
      <c r="E5618" s="3" t="n">
        <v>16</v>
      </c>
      <c r="F5618" s="24" t="n">
        <v>-0.0628041923</v>
      </c>
    </row>
    <row r="5619" customFormat="false" ht="15" hidden="false" customHeight="false" outlineLevel="0" collapsed="false">
      <c r="A5619" s="3" t="n">
        <v>5618</v>
      </c>
      <c r="B5619" s="3" t="n">
        <v>5617</v>
      </c>
      <c r="C5619" s="3" t="n">
        <v>7</v>
      </c>
      <c r="D5619" s="3" t="n">
        <v>4</v>
      </c>
      <c r="E5619" s="3" t="n">
        <v>17</v>
      </c>
      <c r="F5619" s="24" t="n">
        <v>-0.0628041923</v>
      </c>
    </row>
    <row r="5620" customFormat="false" ht="15" hidden="false" customHeight="false" outlineLevel="0" collapsed="false">
      <c r="A5620" s="3" t="n">
        <v>5619</v>
      </c>
      <c r="B5620" s="3" t="n">
        <v>5618</v>
      </c>
      <c r="C5620" s="3" t="n">
        <v>7</v>
      </c>
      <c r="D5620" s="3" t="n">
        <v>4</v>
      </c>
      <c r="E5620" s="3" t="n">
        <v>18</v>
      </c>
      <c r="F5620" s="24" t="n">
        <v>-0.0628041923</v>
      </c>
    </row>
    <row r="5621" customFormat="false" ht="15" hidden="false" customHeight="false" outlineLevel="0" collapsed="false">
      <c r="A5621" s="3" t="n">
        <v>5620</v>
      </c>
      <c r="B5621" s="3" t="n">
        <v>5619</v>
      </c>
      <c r="C5621" s="3" t="n">
        <v>7</v>
      </c>
      <c r="D5621" s="3" t="n">
        <v>4</v>
      </c>
      <c r="E5621" s="3" t="n">
        <v>19</v>
      </c>
      <c r="F5621" s="24" t="n">
        <v>-0.0628041923</v>
      </c>
    </row>
    <row r="5622" customFormat="false" ht="15" hidden="false" customHeight="false" outlineLevel="0" collapsed="false">
      <c r="A5622" s="3" t="n">
        <v>5621</v>
      </c>
      <c r="B5622" s="3" t="n">
        <v>5620</v>
      </c>
      <c r="C5622" s="3" t="n">
        <v>7</v>
      </c>
      <c r="D5622" s="3" t="n">
        <v>4</v>
      </c>
      <c r="E5622" s="3" t="n">
        <v>20</v>
      </c>
      <c r="F5622" s="24" t="n">
        <v>-0.0628041923</v>
      </c>
    </row>
    <row r="5623" customFormat="false" ht="15" hidden="false" customHeight="false" outlineLevel="0" collapsed="false">
      <c r="A5623" s="3" t="n">
        <v>5622</v>
      </c>
      <c r="B5623" s="3" t="n">
        <v>5621</v>
      </c>
      <c r="C5623" s="3" t="n">
        <v>7</v>
      </c>
      <c r="D5623" s="3" t="n">
        <v>4</v>
      </c>
      <c r="E5623" s="3" t="n">
        <v>21</v>
      </c>
      <c r="F5623" s="24" t="n">
        <v>-0.0628041923</v>
      </c>
    </row>
    <row r="5624" customFormat="false" ht="15" hidden="false" customHeight="false" outlineLevel="0" collapsed="false">
      <c r="A5624" s="3" t="n">
        <v>5623</v>
      </c>
      <c r="B5624" s="3" t="n">
        <v>5622</v>
      </c>
      <c r="C5624" s="3" t="n">
        <v>7</v>
      </c>
      <c r="D5624" s="3" t="n">
        <v>4</v>
      </c>
      <c r="E5624" s="3" t="n">
        <v>22</v>
      </c>
      <c r="F5624" s="24" t="n">
        <v>-0.0628041923</v>
      </c>
    </row>
    <row r="5625" customFormat="false" ht="15" hidden="false" customHeight="false" outlineLevel="0" collapsed="false">
      <c r="A5625" s="3" t="n">
        <v>5624</v>
      </c>
      <c r="B5625" s="3" t="n">
        <v>5623</v>
      </c>
      <c r="C5625" s="3" t="n">
        <v>7</v>
      </c>
      <c r="D5625" s="3" t="n">
        <v>4</v>
      </c>
      <c r="E5625" s="3" t="n">
        <v>23</v>
      </c>
      <c r="F5625" s="24" t="n">
        <v>-0.0628041923</v>
      </c>
    </row>
    <row r="5626" customFormat="false" ht="15" hidden="false" customHeight="false" outlineLevel="0" collapsed="false">
      <c r="A5626" s="3" t="n">
        <v>5625</v>
      </c>
      <c r="B5626" s="3" t="n">
        <v>5624</v>
      </c>
      <c r="C5626" s="3" t="n">
        <v>7</v>
      </c>
      <c r="D5626" s="3" t="n">
        <v>4</v>
      </c>
      <c r="E5626" s="3" t="n">
        <v>24</v>
      </c>
      <c r="F5626" s="24" t="n">
        <v>-0.0628041923</v>
      </c>
    </row>
    <row r="5627" customFormat="false" ht="15" hidden="false" customHeight="false" outlineLevel="0" collapsed="false">
      <c r="A5627" s="3" t="n">
        <v>5626</v>
      </c>
      <c r="B5627" s="3" t="n">
        <v>5625</v>
      </c>
      <c r="C5627" s="3" t="n">
        <v>7</v>
      </c>
      <c r="D5627" s="3" t="n">
        <v>4</v>
      </c>
      <c r="E5627" s="3" t="n">
        <v>25</v>
      </c>
      <c r="F5627" s="24" t="n">
        <v>-0.0628041923</v>
      </c>
    </row>
    <row r="5628" customFormat="false" ht="15" hidden="false" customHeight="false" outlineLevel="0" collapsed="false">
      <c r="A5628" s="3" t="n">
        <v>5627</v>
      </c>
      <c r="B5628" s="3" t="n">
        <v>5626</v>
      </c>
      <c r="C5628" s="3" t="n">
        <v>7</v>
      </c>
      <c r="D5628" s="3" t="n">
        <v>4</v>
      </c>
      <c r="E5628" s="3" t="n">
        <v>26</v>
      </c>
      <c r="F5628" s="24" t="n">
        <v>-0.0628041923</v>
      </c>
    </row>
    <row r="5629" customFormat="false" ht="15" hidden="false" customHeight="false" outlineLevel="0" collapsed="false">
      <c r="A5629" s="3" t="n">
        <v>5628</v>
      </c>
      <c r="B5629" s="3" t="n">
        <v>5627</v>
      </c>
      <c r="C5629" s="3" t="n">
        <v>7</v>
      </c>
      <c r="D5629" s="3" t="n">
        <v>4</v>
      </c>
      <c r="E5629" s="3" t="n">
        <v>27</v>
      </c>
      <c r="F5629" s="24" t="n">
        <v>-0.504603028</v>
      </c>
    </row>
    <row r="5630" customFormat="false" ht="15" hidden="false" customHeight="false" outlineLevel="0" collapsed="false">
      <c r="A5630" s="3" t="n">
        <v>5629</v>
      </c>
      <c r="B5630" s="3" t="n">
        <v>5628</v>
      </c>
      <c r="C5630" s="3" t="n">
        <v>7</v>
      </c>
      <c r="D5630" s="3" t="n">
        <v>5</v>
      </c>
      <c r="E5630" s="3" t="n">
        <v>0</v>
      </c>
      <c r="F5630" s="24" t="n">
        <v>0.259080142</v>
      </c>
    </row>
    <row r="5631" customFormat="false" ht="15" hidden="false" customHeight="false" outlineLevel="0" collapsed="false">
      <c r="A5631" s="3" t="n">
        <v>5630</v>
      </c>
      <c r="B5631" s="3" t="n">
        <v>5629</v>
      </c>
      <c r="C5631" s="3" t="n">
        <v>7</v>
      </c>
      <c r="D5631" s="3" t="n">
        <v>5</v>
      </c>
      <c r="E5631" s="3" t="n">
        <v>1</v>
      </c>
      <c r="F5631" s="24" t="n">
        <v>-0.0628041923</v>
      </c>
    </row>
    <row r="5632" customFormat="false" ht="15" hidden="false" customHeight="false" outlineLevel="0" collapsed="false">
      <c r="A5632" s="3" t="n">
        <v>5631</v>
      </c>
      <c r="B5632" s="3" t="n">
        <v>5630</v>
      </c>
      <c r="C5632" s="3" t="n">
        <v>7</v>
      </c>
      <c r="D5632" s="3" t="n">
        <v>5</v>
      </c>
      <c r="E5632" s="3" t="n">
        <v>2</v>
      </c>
      <c r="F5632" s="24" t="n">
        <v>-0.0628041923</v>
      </c>
    </row>
    <row r="5633" customFormat="false" ht="15" hidden="false" customHeight="false" outlineLevel="0" collapsed="false">
      <c r="A5633" s="3" t="n">
        <v>5632</v>
      </c>
      <c r="B5633" s="3" t="n">
        <v>5631</v>
      </c>
      <c r="C5633" s="3" t="n">
        <v>7</v>
      </c>
      <c r="D5633" s="3" t="n">
        <v>5</v>
      </c>
      <c r="E5633" s="3" t="n">
        <v>3</v>
      </c>
      <c r="F5633" s="24" t="n">
        <v>-0.0628041923</v>
      </c>
    </row>
    <row r="5634" customFormat="false" ht="15" hidden="false" customHeight="false" outlineLevel="0" collapsed="false">
      <c r="A5634" s="3" t="n">
        <v>5633</v>
      </c>
      <c r="B5634" s="3" t="n">
        <v>5632</v>
      </c>
      <c r="C5634" s="3" t="n">
        <v>7</v>
      </c>
      <c r="D5634" s="3" t="n">
        <v>5</v>
      </c>
      <c r="E5634" s="3" t="n">
        <v>4</v>
      </c>
      <c r="F5634" s="24" t="n">
        <v>-0.0628041923</v>
      </c>
    </row>
    <row r="5635" customFormat="false" ht="15" hidden="false" customHeight="false" outlineLevel="0" collapsed="false">
      <c r="A5635" s="3" t="n">
        <v>5634</v>
      </c>
      <c r="B5635" s="3" t="n">
        <v>5633</v>
      </c>
      <c r="C5635" s="3" t="n">
        <v>7</v>
      </c>
      <c r="D5635" s="3" t="n">
        <v>5</v>
      </c>
      <c r="E5635" s="3" t="n">
        <v>5</v>
      </c>
      <c r="F5635" s="24" t="n">
        <v>-0.0628041923</v>
      </c>
    </row>
    <row r="5636" customFormat="false" ht="15" hidden="false" customHeight="false" outlineLevel="0" collapsed="false">
      <c r="A5636" s="3" t="n">
        <v>5635</v>
      </c>
      <c r="B5636" s="3" t="n">
        <v>5634</v>
      </c>
      <c r="C5636" s="3" t="n">
        <v>7</v>
      </c>
      <c r="D5636" s="3" t="n">
        <v>5</v>
      </c>
      <c r="E5636" s="3" t="n">
        <v>6</v>
      </c>
      <c r="F5636" s="24" t="n">
        <v>-0.0628041923</v>
      </c>
    </row>
    <row r="5637" customFormat="false" ht="15" hidden="false" customHeight="false" outlineLevel="0" collapsed="false">
      <c r="A5637" s="3" t="n">
        <v>5636</v>
      </c>
      <c r="B5637" s="3" t="n">
        <v>5635</v>
      </c>
      <c r="C5637" s="3" t="n">
        <v>7</v>
      </c>
      <c r="D5637" s="3" t="n">
        <v>5</v>
      </c>
      <c r="E5637" s="3" t="n">
        <v>7</v>
      </c>
      <c r="F5637" s="24" t="n">
        <v>-0.0628041923</v>
      </c>
    </row>
    <row r="5638" customFormat="false" ht="15" hidden="false" customHeight="false" outlineLevel="0" collapsed="false">
      <c r="A5638" s="3" t="n">
        <v>5637</v>
      </c>
      <c r="B5638" s="3" t="n">
        <v>5636</v>
      </c>
      <c r="C5638" s="3" t="n">
        <v>7</v>
      </c>
      <c r="D5638" s="3" t="n">
        <v>5</v>
      </c>
      <c r="E5638" s="3" t="n">
        <v>8</v>
      </c>
      <c r="F5638" s="24" t="n">
        <v>-0.0628041923</v>
      </c>
    </row>
    <row r="5639" customFormat="false" ht="15" hidden="false" customHeight="false" outlineLevel="0" collapsed="false">
      <c r="A5639" s="3" t="n">
        <v>5638</v>
      </c>
      <c r="B5639" s="3" t="n">
        <v>5637</v>
      </c>
      <c r="C5639" s="3" t="n">
        <v>7</v>
      </c>
      <c r="D5639" s="3" t="n">
        <v>5</v>
      </c>
      <c r="E5639" s="3" t="n">
        <v>9</v>
      </c>
      <c r="F5639" s="24" t="n">
        <v>-0.0628041923</v>
      </c>
    </row>
    <row r="5640" customFormat="false" ht="15" hidden="false" customHeight="false" outlineLevel="0" collapsed="false">
      <c r="A5640" s="3" t="n">
        <v>5639</v>
      </c>
      <c r="B5640" s="3" t="n">
        <v>5638</v>
      </c>
      <c r="C5640" s="3" t="n">
        <v>7</v>
      </c>
      <c r="D5640" s="3" t="n">
        <v>5</v>
      </c>
      <c r="E5640" s="3" t="n">
        <v>10</v>
      </c>
      <c r="F5640" s="24" t="n">
        <v>-0.0628041923</v>
      </c>
    </row>
    <row r="5641" customFormat="false" ht="15" hidden="false" customHeight="false" outlineLevel="0" collapsed="false">
      <c r="A5641" s="3" t="n">
        <v>5640</v>
      </c>
      <c r="B5641" s="3" t="n">
        <v>5639</v>
      </c>
      <c r="C5641" s="3" t="n">
        <v>7</v>
      </c>
      <c r="D5641" s="3" t="n">
        <v>5</v>
      </c>
      <c r="E5641" s="3" t="n">
        <v>11</v>
      </c>
      <c r="F5641" s="24" t="n">
        <v>-0.0628041923</v>
      </c>
    </row>
    <row r="5642" customFormat="false" ht="15" hidden="false" customHeight="false" outlineLevel="0" collapsed="false">
      <c r="A5642" s="3" t="n">
        <v>5641</v>
      </c>
      <c r="B5642" s="3" t="n">
        <v>5640</v>
      </c>
      <c r="C5642" s="3" t="n">
        <v>7</v>
      </c>
      <c r="D5642" s="3" t="n">
        <v>5</v>
      </c>
      <c r="E5642" s="3" t="n">
        <v>12</v>
      </c>
      <c r="F5642" s="24" t="n">
        <v>-0.0628041923</v>
      </c>
    </row>
    <row r="5643" customFormat="false" ht="15" hidden="false" customHeight="false" outlineLevel="0" collapsed="false">
      <c r="A5643" s="3" t="n">
        <v>5642</v>
      </c>
      <c r="B5643" s="3" t="n">
        <v>5641</v>
      </c>
      <c r="C5643" s="3" t="n">
        <v>7</v>
      </c>
      <c r="D5643" s="3" t="n">
        <v>5</v>
      </c>
      <c r="E5643" s="3" t="n">
        <v>13</v>
      </c>
      <c r="F5643" s="24" t="n">
        <v>-0.0628041923</v>
      </c>
    </row>
    <row r="5644" customFormat="false" ht="15" hidden="false" customHeight="false" outlineLevel="0" collapsed="false">
      <c r="A5644" s="3" t="n">
        <v>5643</v>
      </c>
      <c r="B5644" s="3" t="n">
        <v>5642</v>
      </c>
      <c r="C5644" s="3" t="n">
        <v>7</v>
      </c>
      <c r="D5644" s="3" t="n">
        <v>5</v>
      </c>
      <c r="E5644" s="3" t="n">
        <v>14</v>
      </c>
      <c r="F5644" s="24" t="n">
        <v>-0.0628041923</v>
      </c>
    </row>
    <row r="5645" customFormat="false" ht="15" hidden="false" customHeight="false" outlineLevel="0" collapsed="false">
      <c r="A5645" s="3" t="n">
        <v>5644</v>
      </c>
      <c r="B5645" s="3" t="n">
        <v>5643</v>
      </c>
      <c r="C5645" s="3" t="n">
        <v>7</v>
      </c>
      <c r="D5645" s="3" t="n">
        <v>5</v>
      </c>
      <c r="E5645" s="3" t="n">
        <v>15</v>
      </c>
      <c r="F5645" s="24" t="n">
        <v>-0.0628041923</v>
      </c>
    </row>
    <row r="5646" customFormat="false" ht="15" hidden="false" customHeight="false" outlineLevel="0" collapsed="false">
      <c r="A5646" s="3" t="n">
        <v>5645</v>
      </c>
      <c r="B5646" s="3" t="n">
        <v>5644</v>
      </c>
      <c r="C5646" s="3" t="n">
        <v>7</v>
      </c>
      <c r="D5646" s="3" t="n">
        <v>5</v>
      </c>
      <c r="E5646" s="3" t="n">
        <v>16</v>
      </c>
      <c r="F5646" s="24" t="n">
        <v>-0.0628041923</v>
      </c>
    </row>
    <row r="5647" customFormat="false" ht="15" hidden="false" customHeight="false" outlineLevel="0" collapsed="false">
      <c r="A5647" s="3" t="n">
        <v>5646</v>
      </c>
      <c r="B5647" s="3" t="n">
        <v>5645</v>
      </c>
      <c r="C5647" s="3" t="n">
        <v>7</v>
      </c>
      <c r="D5647" s="3" t="n">
        <v>5</v>
      </c>
      <c r="E5647" s="3" t="n">
        <v>17</v>
      </c>
      <c r="F5647" s="24" t="n">
        <v>-0.0628041923</v>
      </c>
    </row>
    <row r="5648" customFormat="false" ht="15" hidden="false" customHeight="false" outlineLevel="0" collapsed="false">
      <c r="A5648" s="3" t="n">
        <v>5647</v>
      </c>
      <c r="B5648" s="3" t="n">
        <v>5646</v>
      </c>
      <c r="C5648" s="3" t="n">
        <v>7</v>
      </c>
      <c r="D5648" s="3" t="n">
        <v>5</v>
      </c>
      <c r="E5648" s="3" t="n">
        <v>18</v>
      </c>
      <c r="F5648" s="24" t="n">
        <v>-0.0628041923</v>
      </c>
    </row>
    <row r="5649" customFormat="false" ht="15" hidden="false" customHeight="false" outlineLevel="0" collapsed="false">
      <c r="A5649" s="3" t="n">
        <v>5648</v>
      </c>
      <c r="B5649" s="3" t="n">
        <v>5647</v>
      </c>
      <c r="C5649" s="3" t="n">
        <v>7</v>
      </c>
      <c r="D5649" s="3" t="n">
        <v>5</v>
      </c>
      <c r="E5649" s="3" t="n">
        <v>19</v>
      </c>
      <c r="F5649" s="24" t="n">
        <v>-0.0628041923</v>
      </c>
    </row>
    <row r="5650" customFormat="false" ht="15" hidden="false" customHeight="false" outlineLevel="0" collapsed="false">
      <c r="A5650" s="3" t="n">
        <v>5649</v>
      </c>
      <c r="B5650" s="3" t="n">
        <v>5648</v>
      </c>
      <c r="C5650" s="3" t="n">
        <v>7</v>
      </c>
      <c r="D5650" s="3" t="n">
        <v>5</v>
      </c>
      <c r="E5650" s="3" t="n">
        <v>20</v>
      </c>
      <c r="F5650" s="24" t="n">
        <v>-0.0628041923</v>
      </c>
    </row>
    <row r="5651" customFormat="false" ht="15" hidden="false" customHeight="false" outlineLevel="0" collapsed="false">
      <c r="A5651" s="3" t="n">
        <v>5650</v>
      </c>
      <c r="B5651" s="3" t="n">
        <v>5649</v>
      </c>
      <c r="C5651" s="3" t="n">
        <v>7</v>
      </c>
      <c r="D5651" s="3" t="n">
        <v>5</v>
      </c>
      <c r="E5651" s="3" t="n">
        <v>21</v>
      </c>
      <c r="F5651" s="24" t="n">
        <v>-0.0628041923</v>
      </c>
    </row>
    <row r="5652" customFormat="false" ht="15" hidden="false" customHeight="false" outlineLevel="0" collapsed="false">
      <c r="A5652" s="3" t="n">
        <v>5651</v>
      </c>
      <c r="B5652" s="3" t="n">
        <v>5650</v>
      </c>
      <c r="C5652" s="3" t="n">
        <v>7</v>
      </c>
      <c r="D5652" s="3" t="n">
        <v>5</v>
      </c>
      <c r="E5652" s="3" t="n">
        <v>22</v>
      </c>
      <c r="F5652" s="24" t="n">
        <v>-0.0628041923</v>
      </c>
    </row>
    <row r="5653" customFormat="false" ht="15" hidden="false" customHeight="false" outlineLevel="0" collapsed="false">
      <c r="A5653" s="3" t="n">
        <v>5652</v>
      </c>
      <c r="B5653" s="3" t="n">
        <v>5651</v>
      </c>
      <c r="C5653" s="3" t="n">
        <v>7</v>
      </c>
      <c r="D5653" s="3" t="n">
        <v>5</v>
      </c>
      <c r="E5653" s="3" t="n">
        <v>23</v>
      </c>
      <c r="F5653" s="24" t="n">
        <v>-0.0628041923</v>
      </c>
    </row>
    <row r="5654" customFormat="false" ht="15" hidden="false" customHeight="false" outlineLevel="0" collapsed="false">
      <c r="A5654" s="3" t="n">
        <v>5653</v>
      </c>
      <c r="B5654" s="3" t="n">
        <v>5652</v>
      </c>
      <c r="C5654" s="3" t="n">
        <v>7</v>
      </c>
      <c r="D5654" s="3" t="n">
        <v>5</v>
      </c>
      <c r="E5654" s="3" t="n">
        <v>24</v>
      </c>
      <c r="F5654" s="24" t="n">
        <v>-0.0628041923</v>
      </c>
    </row>
    <row r="5655" customFormat="false" ht="15" hidden="false" customHeight="false" outlineLevel="0" collapsed="false">
      <c r="A5655" s="3" t="n">
        <v>5654</v>
      </c>
      <c r="B5655" s="3" t="n">
        <v>5653</v>
      </c>
      <c r="C5655" s="3" t="n">
        <v>7</v>
      </c>
      <c r="D5655" s="3" t="n">
        <v>5</v>
      </c>
      <c r="E5655" s="3" t="n">
        <v>25</v>
      </c>
      <c r="F5655" s="24" t="n">
        <v>-0.0628041923</v>
      </c>
    </row>
    <row r="5656" customFormat="false" ht="15" hidden="false" customHeight="false" outlineLevel="0" collapsed="false">
      <c r="A5656" s="3" t="n">
        <v>5655</v>
      </c>
      <c r="B5656" s="3" t="n">
        <v>5654</v>
      </c>
      <c r="C5656" s="3" t="n">
        <v>7</v>
      </c>
      <c r="D5656" s="3" t="n">
        <v>5</v>
      </c>
      <c r="E5656" s="3" t="n">
        <v>26</v>
      </c>
      <c r="F5656" s="24" t="n">
        <v>-0.0628041923</v>
      </c>
    </row>
    <row r="5657" customFormat="false" ht="15" hidden="false" customHeight="false" outlineLevel="0" collapsed="false">
      <c r="A5657" s="3" t="n">
        <v>5656</v>
      </c>
      <c r="B5657" s="3" t="n">
        <v>5655</v>
      </c>
      <c r="C5657" s="3" t="n">
        <v>7</v>
      </c>
      <c r="D5657" s="3" t="n">
        <v>5</v>
      </c>
      <c r="E5657" s="3" t="n">
        <v>27</v>
      </c>
      <c r="F5657" s="24" t="n">
        <v>-0.504603028</v>
      </c>
    </row>
    <row r="5658" customFormat="false" ht="15" hidden="false" customHeight="false" outlineLevel="0" collapsed="false">
      <c r="A5658" s="3" t="n">
        <v>5657</v>
      </c>
      <c r="B5658" s="3" t="n">
        <v>5656</v>
      </c>
      <c r="C5658" s="3" t="n">
        <v>7</v>
      </c>
      <c r="D5658" s="3" t="n">
        <v>6</v>
      </c>
      <c r="E5658" s="3" t="n">
        <v>0</v>
      </c>
      <c r="F5658" s="24" t="n">
        <v>0.259080142</v>
      </c>
    </row>
    <row r="5659" customFormat="false" ht="15" hidden="false" customHeight="false" outlineLevel="0" collapsed="false">
      <c r="A5659" s="3" t="n">
        <v>5658</v>
      </c>
      <c r="B5659" s="3" t="n">
        <v>5657</v>
      </c>
      <c r="C5659" s="3" t="n">
        <v>7</v>
      </c>
      <c r="D5659" s="3" t="n">
        <v>6</v>
      </c>
      <c r="E5659" s="3" t="n">
        <v>1</v>
      </c>
      <c r="F5659" s="24" t="n">
        <v>-0.0628041923</v>
      </c>
    </row>
    <row r="5660" customFormat="false" ht="15" hidden="false" customHeight="false" outlineLevel="0" collapsed="false">
      <c r="A5660" s="3" t="n">
        <v>5659</v>
      </c>
      <c r="B5660" s="3" t="n">
        <v>5658</v>
      </c>
      <c r="C5660" s="3" t="n">
        <v>7</v>
      </c>
      <c r="D5660" s="3" t="n">
        <v>6</v>
      </c>
      <c r="E5660" s="3" t="n">
        <v>2</v>
      </c>
      <c r="F5660" s="24" t="n">
        <v>-0.0628041923</v>
      </c>
    </row>
    <row r="5661" customFormat="false" ht="15" hidden="false" customHeight="false" outlineLevel="0" collapsed="false">
      <c r="A5661" s="3" t="n">
        <v>5660</v>
      </c>
      <c r="B5661" s="3" t="n">
        <v>5659</v>
      </c>
      <c r="C5661" s="3" t="n">
        <v>7</v>
      </c>
      <c r="D5661" s="3" t="n">
        <v>6</v>
      </c>
      <c r="E5661" s="3" t="n">
        <v>3</v>
      </c>
      <c r="F5661" s="24" t="n">
        <v>-0.0628041923</v>
      </c>
    </row>
    <row r="5662" customFormat="false" ht="15" hidden="false" customHeight="false" outlineLevel="0" collapsed="false">
      <c r="A5662" s="3" t="n">
        <v>5661</v>
      </c>
      <c r="B5662" s="3" t="n">
        <v>5660</v>
      </c>
      <c r="C5662" s="3" t="n">
        <v>7</v>
      </c>
      <c r="D5662" s="3" t="n">
        <v>6</v>
      </c>
      <c r="E5662" s="3" t="n">
        <v>4</v>
      </c>
      <c r="F5662" s="24" t="n">
        <v>-0.0628041923</v>
      </c>
    </row>
    <row r="5663" customFormat="false" ht="15" hidden="false" customHeight="false" outlineLevel="0" collapsed="false">
      <c r="A5663" s="3" t="n">
        <v>5662</v>
      </c>
      <c r="B5663" s="3" t="n">
        <v>5661</v>
      </c>
      <c r="C5663" s="3" t="n">
        <v>7</v>
      </c>
      <c r="D5663" s="3" t="n">
        <v>6</v>
      </c>
      <c r="E5663" s="3" t="n">
        <v>5</v>
      </c>
      <c r="F5663" s="24" t="n">
        <v>0.06717401</v>
      </c>
    </row>
    <row r="5664" customFormat="false" ht="15" hidden="false" customHeight="false" outlineLevel="0" collapsed="false">
      <c r="A5664" s="3" t="n">
        <v>5663</v>
      </c>
      <c r="B5664" s="3" t="n">
        <v>5662</v>
      </c>
      <c r="C5664" s="3" t="n">
        <v>7</v>
      </c>
      <c r="D5664" s="3" t="n">
        <v>6</v>
      </c>
      <c r="E5664" s="3" t="n">
        <v>6</v>
      </c>
      <c r="F5664" s="24" t="n">
        <v>0.969775736</v>
      </c>
    </row>
    <row r="5665" customFormat="false" ht="15" hidden="false" customHeight="false" outlineLevel="0" collapsed="false">
      <c r="A5665" s="3" t="n">
        <v>5664</v>
      </c>
      <c r="B5665" s="3" t="n">
        <v>5663</v>
      </c>
      <c r="C5665" s="3" t="n">
        <v>7</v>
      </c>
      <c r="D5665" s="3" t="n">
        <v>6</v>
      </c>
      <c r="E5665" s="3" t="n">
        <v>7</v>
      </c>
      <c r="F5665" s="24" t="n">
        <v>1.81307673</v>
      </c>
    </row>
    <row r="5666" customFormat="false" ht="15" hidden="false" customHeight="false" outlineLevel="0" collapsed="false">
      <c r="A5666" s="3" t="n">
        <v>5665</v>
      </c>
      <c r="B5666" s="3" t="n">
        <v>5664</v>
      </c>
      <c r="C5666" s="3" t="n">
        <v>7</v>
      </c>
      <c r="D5666" s="3" t="n">
        <v>6</v>
      </c>
      <c r="E5666" s="3" t="n">
        <v>8</v>
      </c>
      <c r="F5666" s="24" t="n">
        <v>1.55306959</v>
      </c>
    </row>
    <row r="5667" customFormat="false" ht="15" hidden="false" customHeight="false" outlineLevel="0" collapsed="false">
      <c r="A5667" s="3" t="n">
        <v>5666</v>
      </c>
      <c r="B5667" s="3" t="n">
        <v>5665</v>
      </c>
      <c r="C5667" s="3" t="n">
        <v>7</v>
      </c>
      <c r="D5667" s="3" t="n">
        <v>6</v>
      </c>
      <c r="E5667" s="3" t="n">
        <v>9</v>
      </c>
      <c r="F5667" s="24" t="n">
        <v>1.34546161</v>
      </c>
    </row>
    <row r="5668" customFormat="false" ht="15" hidden="false" customHeight="false" outlineLevel="0" collapsed="false">
      <c r="A5668" s="3" t="n">
        <v>5667</v>
      </c>
      <c r="B5668" s="3" t="n">
        <v>5666</v>
      </c>
      <c r="C5668" s="3" t="n">
        <v>7</v>
      </c>
      <c r="D5668" s="3" t="n">
        <v>6</v>
      </c>
      <c r="E5668" s="3" t="n">
        <v>10</v>
      </c>
      <c r="F5668" s="24" t="n">
        <v>0.501130104</v>
      </c>
    </row>
    <row r="5669" customFormat="false" ht="15" hidden="false" customHeight="false" outlineLevel="0" collapsed="false">
      <c r="A5669" s="3" t="n">
        <v>5668</v>
      </c>
      <c r="B5669" s="3" t="n">
        <v>5667</v>
      </c>
      <c r="C5669" s="3" t="n">
        <v>7</v>
      </c>
      <c r="D5669" s="3" t="n">
        <v>6</v>
      </c>
      <c r="E5669" s="3" t="n">
        <v>11</v>
      </c>
      <c r="F5669" s="24" t="n">
        <v>0.247170329</v>
      </c>
    </row>
    <row r="5670" customFormat="false" ht="15" hidden="false" customHeight="false" outlineLevel="0" collapsed="false">
      <c r="A5670" s="3" t="n">
        <v>5669</v>
      </c>
      <c r="B5670" s="3" t="n">
        <v>5668</v>
      </c>
      <c r="C5670" s="3" t="n">
        <v>7</v>
      </c>
      <c r="D5670" s="3" t="n">
        <v>6</v>
      </c>
      <c r="E5670" s="3" t="n">
        <v>12</v>
      </c>
      <c r="F5670" s="24" t="n">
        <v>-0.0687299371</v>
      </c>
    </row>
    <row r="5671" customFormat="false" ht="15" hidden="false" customHeight="false" outlineLevel="0" collapsed="false">
      <c r="A5671" s="3" t="n">
        <v>5670</v>
      </c>
      <c r="B5671" s="3" t="n">
        <v>5669</v>
      </c>
      <c r="C5671" s="3" t="n">
        <v>7</v>
      </c>
      <c r="D5671" s="3" t="n">
        <v>6</v>
      </c>
      <c r="E5671" s="3" t="n">
        <v>13</v>
      </c>
      <c r="F5671" s="24" t="n">
        <v>-0.0628041923</v>
      </c>
    </row>
    <row r="5672" customFormat="false" ht="15" hidden="false" customHeight="false" outlineLevel="0" collapsed="false">
      <c r="A5672" s="3" t="n">
        <v>5671</v>
      </c>
      <c r="B5672" s="3" t="n">
        <v>5670</v>
      </c>
      <c r="C5672" s="3" t="n">
        <v>7</v>
      </c>
      <c r="D5672" s="3" t="n">
        <v>6</v>
      </c>
      <c r="E5672" s="3" t="n">
        <v>14</v>
      </c>
      <c r="F5672" s="24" t="n">
        <v>-0.0628041923</v>
      </c>
    </row>
    <row r="5673" customFormat="false" ht="15" hidden="false" customHeight="false" outlineLevel="0" collapsed="false">
      <c r="A5673" s="3" t="n">
        <v>5672</v>
      </c>
      <c r="B5673" s="3" t="n">
        <v>5671</v>
      </c>
      <c r="C5673" s="3" t="n">
        <v>7</v>
      </c>
      <c r="D5673" s="3" t="n">
        <v>6</v>
      </c>
      <c r="E5673" s="3" t="n">
        <v>15</v>
      </c>
      <c r="F5673" s="24" t="n">
        <v>-0.0628041923</v>
      </c>
    </row>
    <row r="5674" customFormat="false" ht="15" hidden="false" customHeight="false" outlineLevel="0" collapsed="false">
      <c r="A5674" s="3" t="n">
        <v>5673</v>
      </c>
      <c r="B5674" s="3" t="n">
        <v>5672</v>
      </c>
      <c r="C5674" s="3" t="n">
        <v>7</v>
      </c>
      <c r="D5674" s="3" t="n">
        <v>6</v>
      </c>
      <c r="E5674" s="3" t="n">
        <v>16</v>
      </c>
      <c r="F5674" s="24" t="n">
        <v>-0.0628041923</v>
      </c>
    </row>
    <row r="5675" customFormat="false" ht="15" hidden="false" customHeight="false" outlineLevel="0" collapsed="false">
      <c r="A5675" s="3" t="n">
        <v>5674</v>
      </c>
      <c r="B5675" s="3" t="n">
        <v>5673</v>
      </c>
      <c r="C5675" s="3" t="n">
        <v>7</v>
      </c>
      <c r="D5675" s="3" t="n">
        <v>6</v>
      </c>
      <c r="E5675" s="3" t="n">
        <v>17</v>
      </c>
      <c r="F5675" s="24" t="n">
        <v>-0.0628041923</v>
      </c>
    </row>
    <row r="5676" customFormat="false" ht="15" hidden="false" customHeight="false" outlineLevel="0" collapsed="false">
      <c r="A5676" s="3" t="n">
        <v>5675</v>
      </c>
      <c r="B5676" s="3" t="n">
        <v>5674</v>
      </c>
      <c r="C5676" s="3" t="n">
        <v>7</v>
      </c>
      <c r="D5676" s="3" t="n">
        <v>6</v>
      </c>
      <c r="E5676" s="3" t="n">
        <v>18</v>
      </c>
      <c r="F5676" s="24" t="n">
        <v>-0.0628041923</v>
      </c>
    </row>
    <row r="5677" customFormat="false" ht="15" hidden="false" customHeight="false" outlineLevel="0" collapsed="false">
      <c r="A5677" s="3" t="n">
        <v>5676</v>
      </c>
      <c r="B5677" s="3" t="n">
        <v>5675</v>
      </c>
      <c r="C5677" s="3" t="n">
        <v>7</v>
      </c>
      <c r="D5677" s="3" t="n">
        <v>6</v>
      </c>
      <c r="E5677" s="3" t="n">
        <v>19</v>
      </c>
      <c r="F5677" s="24" t="n">
        <v>-0.0628041923</v>
      </c>
    </row>
    <row r="5678" customFormat="false" ht="15" hidden="false" customHeight="false" outlineLevel="0" collapsed="false">
      <c r="A5678" s="3" t="n">
        <v>5677</v>
      </c>
      <c r="B5678" s="3" t="n">
        <v>5676</v>
      </c>
      <c r="C5678" s="3" t="n">
        <v>7</v>
      </c>
      <c r="D5678" s="3" t="n">
        <v>6</v>
      </c>
      <c r="E5678" s="3" t="n">
        <v>20</v>
      </c>
      <c r="F5678" s="24" t="n">
        <v>-0.0628041923</v>
      </c>
    </row>
    <row r="5679" customFormat="false" ht="15" hidden="false" customHeight="false" outlineLevel="0" collapsed="false">
      <c r="A5679" s="3" t="n">
        <v>5678</v>
      </c>
      <c r="B5679" s="3" t="n">
        <v>5677</v>
      </c>
      <c r="C5679" s="3" t="n">
        <v>7</v>
      </c>
      <c r="D5679" s="3" t="n">
        <v>6</v>
      </c>
      <c r="E5679" s="3" t="n">
        <v>21</v>
      </c>
      <c r="F5679" s="24" t="n">
        <v>-0.0628041923</v>
      </c>
    </row>
    <row r="5680" customFormat="false" ht="15" hidden="false" customHeight="false" outlineLevel="0" collapsed="false">
      <c r="A5680" s="3" t="n">
        <v>5679</v>
      </c>
      <c r="B5680" s="3" t="n">
        <v>5678</v>
      </c>
      <c r="C5680" s="3" t="n">
        <v>7</v>
      </c>
      <c r="D5680" s="3" t="n">
        <v>6</v>
      </c>
      <c r="E5680" s="3" t="n">
        <v>22</v>
      </c>
      <c r="F5680" s="24" t="n">
        <v>-0.0628041923</v>
      </c>
    </row>
    <row r="5681" customFormat="false" ht="15" hidden="false" customHeight="false" outlineLevel="0" collapsed="false">
      <c r="A5681" s="3" t="n">
        <v>5680</v>
      </c>
      <c r="B5681" s="3" t="n">
        <v>5679</v>
      </c>
      <c r="C5681" s="3" t="n">
        <v>7</v>
      </c>
      <c r="D5681" s="3" t="n">
        <v>6</v>
      </c>
      <c r="E5681" s="3" t="n">
        <v>23</v>
      </c>
      <c r="F5681" s="24" t="n">
        <v>-0.0628041923</v>
      </c>
    </row>
    <row r="5682" customFormat="false" ht="15" hidden="false" customHeight="false" outlineLevel="0" collapsed="false">
      <c r="A5682" s="3" t="n">
        <v>5681</v>
      </c>
      <c r="B5682" s="3" t="n">
        <v>5680</v>
      </c>
      <c r="C5682" s="3" t="n">
        <v>7</v>
      </c>
      <c r="D5682" s="3" t="n">
        <v>6</v>
      </c>
      <c r="E5682" s="3" t="n">
        <v>24</v>
      </c>
      <c r="F5682" s="24" t="n">
        <v>-0.0628041923</v>
      </c>
    </row>
    <row r="5683" customFormat="false" ht="15" hidden="false" customHeight="false" outlineLevel="0" collapsed="false">
      <c r="A5683" s="3" t="n">
        <v>5682</v>
      </c>
      <c r="B5683" s="3" t="n">
        <v>5681</v>
      </c>
      <c r="C5683" s="3" t="n">
        <v>7</v>
      </c>
      <c r="D5683" s="3" t="n">
        <v>6</v>
      </c>
      <c r="E5683" s="3" t="n">
        <v>25</v>
      </c>
      <c r="F5683" s="24" t="n">
        <v>-0.0628041923</v>
      </c>
    </row>
    <row r="5684" customFormat="false" ht="15" hidden="false" customHeight="false" outlineLevel="0" collapsed="false">
      <c r="A5684" s="3" t="n">
        <v>5683</v>
      </c>
      <c r="B5684" s="3" t="n">
        <v>5682</v>
      </c>
      <c r="C5684" s="3" t="n">
        <v>7</v>
      </c>
      <c r="D5684" s="3" t="n">
        <v>6</v>
      </c>
      <c r="E5684" s="3" t="n">
        <v>26</v>
      </c>
      <c r="F5684" s="24" t="n">
        <v>-0.0628041923</v>
      </c>
    </row>
    <row r="5685" customFormat="false" ht="15" hidden="false" customHeight="false" outlineLevel="0" collapsed="false">
      <c r="A5685" s="3" t="n">
        <v>5684</v>
      </c>
      <c r="B5685" s="3" t="n">
        <v>5683</v>
      </c>
      <c r="C5685" s="3" t="n">
        <v>7</v>
      </c>
      <c r="D5685" s="3" t="n">
        <v>6</v>
      </c>
      <c r="E5685" s="3" t="n">
        <v>27</v>
      </c>
      <c r="F5685" s="24" t="n">
        <v>-0.504603028</v>
      </c>
    </row>
    <row r="5686" customFormat="false" ht="15" hidden="false" customHeight="false" outlineLevel="0" collapsed="false">
      <c r="A5686" s="3" t="n">
        <v>5685</v>
      </c>
      <c r="B5686" s="3" t="n">
        <v>5684</v>
      </c>
      <c r="C5686" s="3" t="n">
        <v>7</v>
      </c>
      <c r="D5686" s="3" t="n">
        <v>7</v>
      </c>
      <c r="E5686" s="3" t="n">
        <v>0</v>
      </c>
      <c r="F5686" s="24" t="n">
        <v>0.259080142</v>
      </c>
    </row>
    <row r="5687" customFormat="false" ht="15" hidden="false" customHeight="false" outlineLevel="0" collapsed="false">
      <c r="A5687" s="3" t="n">
        <v>5686</v>
      </c>
      <c r="B5687" s="3" t="n">
        <v>5685</v>
      </c>
      <c r="C5687" s="3" t="n">
        <v>7</v>
      </c>
      <c r="D5687" s="3" t="n">
        <v>7</v>
      </c>
      <c r="E5687" s="3" t="n">
        <v>1</v>
      </c>
      <c r="F5687" s="24" t="n">
        <v>-0.0628041923</v>
      </c>
    </row>
    <row r="5688" customFormat="false" ht="15" hidden="false" customHeight="false" outlineLevel="0" collapsed="false">
      <c r="A5688" s="3" t="n">
        <v>5687</v>
      </c>
      <c r="B5688" s="3" t="n">
        <v>5686</v>
      </c>
      <c r="C5688" s="3" t="n">
        <v>7</v>
      </c>
      <c r="D5688" s="3" t="n">
        <v>7</v>
      </c>
      <c r="E5688" s="3" t="n">
        <v>2</v>
      </c>
      <c r="F5688" s="24" t="n">
        <v>-0.0628041923</v>
      </c>
    </row>
    <row r="5689" customFormat="false" ht="15" hidden="false" customHeight="false" outlineLevel="0" collapsed="false">
      <c r="A5689" s="3" t="n">
        <v>5688</v>
      </c>
      <c r="B5689" s="3" t="n">
        <v>5687</v>
      </c>
      <c r="C5689" s="3" t="n">
        <v>7</v>
      </c>
      <c r="D5689" s="3" t="n">
        <v>7</v>
      </c>
      <c r="E5689" s="3" t="n">
        <v>3</v>
      </c>
      <c r="F5689" s="24" t="n">
        <v>-0.0628041923</v>
      </c>
    </row>
    <row r="5690" customFormat="false" ht="15" hidden="false" customHeight="false" outlineLevel="0" collapsed="false">
      <c r="A5690" s="3" t="n">
        <v>5689</v>
      </c>
      <c r="B5690" s="3" t="n">
        <v>5688</v>
      </c>
      <c r="C5690" s="3" t="n">
        <v>7</v>
      </c>
      <c r="D5690" s="3" t="n">
        <v>7</v>
      </c>
      <c r="E5690" s="3" t="n">
        <v>4</v>
      </c>
      <c r="F5690" s="24" t="n">
        <v>-0.0628041923</v>
      </c>
    </row>
    <row r="5691" customFormat="false" ht="15" hidden="false" customHeight="false" outlineLevel="0" collapsed="false">
      <c r="A5691" s="3" t="n">
        <v>5690</v>
      </c>
      <c r="B5691" s="3" t="n">
        <v>5689</v>
      </c>
      <c r="C5691" s="3" t="n">
        <v>7</v>
      </c>
      <c r="D5691" s="3" t="n">
        <v>7</v>
      </c>
      <c r="E5691" s="3" t="n">
        <v>5</v>
      </c>
      <c r="F5691" s="24" t="n">
        <v>-0.272544235</v>
      </c>
    </row>
    <row r="5692" customFormat="false" ht="15" hidden="false" customHeight="false" outlineLevel="0" collapsed="false">
      <c r="A5692" s="3" t="n">
        <v>5691</v>
      </c>
      <c r="B5692" s="3" t="n">
        <v>5690</v>
      </c>
      <c r="C5692" s="3" t="n">
        <v>7</v>
      </c>
      <c r="D5692" s="3" t="n">
        <v>7</v>
      </c>
      <c r="E5692" s="3" t="n">
        <v>6</v>
      </c>
      <c r="F5692" s="24" t="n">
        <v>1.06371737</v>
      </c>
    </row>
    <row r="5693" customFormat="false" ht="15" hidden="false" customHeight="false" outlineLevel="0" collapsed="false">
      <c r="A5693" s="3" t="n">
        <v>5692</v>
      </c>
      <c r="B5693" s="3" t="n">
        <v>5691</v>
      </c>
      <c r="C5693" s="3" t="n">
        <v>7</v>
      </c>
      <c r="D5693" s="3" t="n">
        <v>7</v>
      </c>
      <c r="E5693" s="3" t="n">
        <v>7</v>
      </c>
      <c r="F5693" s="24" t="n">
        <v>2.02611732</v>
      </c>
    </row>
    <row r="5694" customFormat="false" ht="15" hidden="false" customHeight="false" outlineLevel="0" collapsed="false">
      <c r="A5694" s="3" t="n">
        <v>5693</v>
      </c>
      <c r="B5694" s="3" t="n">
        <v>5692</v>
      </c>
      <c r="C5694" s="3" t="n">
        <v>7</v>
      </c>
      <c r="D5694" s="3" t="n">
        <v>7</v>
      </c>
      <c r="E5694" s="3" t="n">
        <v>8</v>
      </c>
      <c r="F5694" s="24" t="n">
        <v>2.7627821</v>
      </c>
    </row>
    <row r="5695" customFormat="false" ht="15" hidden="false" customHeight="false" outlineLevel="0" collapsed="false">
      <c r="A5695" s="3" t="n">
        <v>5694</v>
      </c>
      <c r="B5695" s="3" t="n">
        <v>5693</v>
      </c>
      <c r="C5695" s="3" t="n">
        <v>7</v>
      </c>
      <c r="D5695" s="3" t="n">
        <v>7</v>
      </c>
      <c r="E5695" s="3" t="n">
        <v>9</v>
      </c>
      <c r="F5695" s="24" t="n">
        <v>3.18828821</v>
      </c>
    </row>
    <row r="5696" customFormat="false" ht="15" hidden="false" customHeight="false" outlineLevel="0" collapsed="false">
      <c r="A5696" s="3" t="n">
        <v>5695</v>
      </c>
      <c r="B5696" s="3" t="n">
        <v>5694</v>
      </c>
      <c r="C5696" s="3" t="n">
        <v>7</v>
      </c>
      <c r="D5696" s="3" t="n">
        <v>7</v>
      </c>
      <c r="E5696" s="3" t="n">
        <v>10</v>
      </c>
      <c r="F5696" s="24" t="n">
        <v>3.29430151</v>
      </c>
    </row>
    <row r="5697" customFormat="false" ht="15" hidden="false" customHeight="false" outlineLevel="0" collapsed="false">
      <c r="A5697" s="3" t="n">
        <v>5696</v>
      </c>
      <c r="B5697" s="3" t="n">
        <v>5695</v>
      </c>
      <c r="C5697" s="3" t="n">
        <v>7</v>
      </c>
      <c r="D5697" s="3" t="n">
        <v>7</v>
      </c>
      <c r="E5697" s="3" t="n">
        <v>11</v>
      </c>
      <c r="F5697" s="24" t="n">
        <v>2.73991561</v>
      </c>
    </row>
    <row r="5698" customFormat="false" ht="15" hidden="false" customHeight="false" outlineLevel="0" collapsed="false">
      <c r="A5698" s="3" t="n">
        <v>5697</v>
      </c>
      <c r="B5698" s="3" t="n">
        <v>5696</v>
      </c>
      <c r="C5698" s="3" t="n">
        <v>7</v>
      </c>
      <c r="D5698" s="3" t="n">
        <v>7</v>
      </c>
      <c r="E5698" s="3" t="n">
        <v>12</v>
      </c>
      <c r="F5698" s="24" t="n">
        <v>2.20649695</v>
      </c>
    </row>
    <row r="5699" customFormat="false" ht="15" hidden="false" customHeight="false" outlineLevel="0" collapsed="false">
      <c r="A5699" s="3" t="n">
        <v>5698</v>
      </c>
      <c r="B5699" s="3" t="n">
        <v>5697</v>
      </c>
      <c r="C5699" s="3" t="n">
        <v>7</v>
      </c>
      <c r="D5699" s="3" t="n">
        <v>7</v>
      </c>
      <c r="E5699" s="3" t="n">
        <v>13</v>
      </c>
      <c r="F5699" s="24" t="n">
        <v>1.97016048</v>
      </c>
    </row>
    <row r="5700" customFormat="false" ht="15" hidden="false" customHeight="false" outlineLevel="0" collapsed="false">
      <c r="A5700" s="3" t="n">
        <v>5699</v>
      </c>
      <c r="B5700" s="3" t="n">
        <v>5698</v>
      </c>
      <c r="C5700" s="3" t="n">
        <v>7</v>
      </c>
      <c r="D5700" s="3" t="n">
        <v>7</v>
      </c>
      <c r="E5700" s="3" t="n">
        <v>14</v>
      </c>
      <c r="F5700" s="24" t="n">
        <v>1.97016048</v>
      </c>
    </row>
    <row r="5701" customFormat="false" ht="15" hidden="false" customHeight="false" outlineLevel="0" collapsed="false">
      <c r="A5701" s="3" t="n">
        <v>5700</v>
      </c>
      <c r="B5701" s="3" t="n">
        <v>5699</v>
      </c>
      <c r="C5701" s="3" t="n">
        <v>7</v>
      </c>
      <c r="D5701" s="3" t="n">
        <v>7</v>
      </c>
      <c r="E5701" s="3" t="n">
        <v>15</v>
      </c>
      <c r="F5701" s="24" t="n">
        <v>1.97016048</v>
      </c>
    </row>
    <row r="5702" customFormat="false" ht="15" hidden="false" customHeight="false" outlineLevel="0" collapsed="false">
      <c r="A5702" s="3" t="n">
        <v>5701</v>
      </c>
      <c r="B5702" s="3" t="n">
        <v>5700</v>
      </c>
      <c r="C5702" s="3" t="n">
        <v>7</v>
      </c>
      <c r="D5702" s="3" t="n">
        <v>7</v>
      </c>
      <c r="E5702" s="3" t="n">
        <v>16</v>
      </c>
      <c r="F5702" s="24" t="n">
        <v>1.97016048</v>
      </c>
    </row>
    <row r="5703" customFormat="false" ht="15" hidden="false" customHeight="false" outlineLevel="0" collapsed="false">
      <c r="A5703" s="3" t="n">
        <v>5702</v>
      </c>
      <c r="B5703" s="3" t="n">
        <v>5701</v>
      </c>
      <c r="C5703" s="3" t="n">
        <v>7</v>
      </c>
      <c r="D5703" s="3" t="n">
        <v>7</v>
      </c>
      <c r="E5703" s="3" t="n">
        <v>17</v>
      </c>
      <c r="F5703" s="24" t="n">
        <v>1.97016048</v>
      </c>
    </row>
    <row r="5704" customFormat="false" ht="15" hidden="false" customHeight="false" outlineLevel="0" collapsed="false">
      <c r="A5704" s="3" t="n">
        <v>5703</v>
      </c>
      <c r="B5704" s="3" t="n">
        <v>5702</v>
      </c>
      <c r="C5704" s="3" t="n">
        <v>7</v>
      </c>
      <c r="D5704" s="3" t="n">
        <v>7</v>
      </c>
      <c r="E5704" s="3" t="n">
        <v>18</v>
      </c>
      <c r="F5704" s="24" t="n">
        <v>1.97016048</v>
      </c>
    </row>
    <row r="5705" customFormat="false" ht="15" hidden="false" customHeight="false" outlineLevel="0" collapsed="false">
      <c r="A5705" s="3" t="n">
        <v>5704</v>
      </c>
      <c r="B5705" s="3" t="n">
        <v>5703</v>
      </c>
      <c r="C5705" s="3" t="n">
        <v>7</v>
      </c>
      <c r="D5705" s="3" t="n">
        <v>7</v>
      </c>
      <c r="E5705" s="3" t="n">
        <v>19</v>
      </c>
      <c r="F5705" s="24" t="n">
        <v>1.92683434</v>
      </c>
    </row>
    <row r="5706" customFormat="false" ht="15" hidden="false" customHeight="false" outlineLevel="0" collapsed="false">
      <c r="A5706" s="3" t="n">
        <v>5705</v>
      </c>
      <c r="B5706" s="3" t="n">
        <v>5704</v>
      </c>
      <c r="C5706" s="3" t="n">
        <v>7</v>
      </c>
      <c r="D5706" s="3" t="n">
        <v>7</v>
      </c>
      <c r="E5706" s="3" t="n">
        <v>20</v>
      </c>
      <c r="F5706" s="24" t="n">
        <v>1.49547338</v>
      </c>
    </row>
    <row r="5707" customFormat="false" ht="15" hidden="false" customHeight="false" outlineLevel="0" collapsed="false">
      <c r="A5707" s="3" t="n">
        <v>5706</v>
      </c>
      <c r="B5707" s="3" t="n">
        <v>5705</v>
      </c>
      <c r="C5707" s="3" t="n">
        <v>7</v>
      </c>
      <c r="D5707" s="3" t="n">
        <v>7</v>
      </c>
      <c r="E5707" s="3" t="n">
        <v>21</v>
      </c>
      <c r="F5707" s="24" t="n">
        <v>0.371219814</v>
      </c>
    </row>
    <row r="5708" customFormat="false" ht="15" hidden="false" customHeight="false" outlineLevel="0" collapsed="false">
      <c r="A5708" s="3" t="n">
        <v>5707</v>
      </c>
      <c r="B5708" s="3" t="n">
        <v>5706</v>
      </c>
      <c r="C5708" s="3" t="n">
        <v>7</v>
      </c>
      <c r="D5708" s="3" t="n">
        <v>7</v>
      </c>
      <c r="E5708" s="3" t="n">
        <v>22</v>
      </c>
      <c r="F5708" s="24" t="n">
        <v>-0.0713635981</v>
      </c>
    </row>
    <row r="5709" customFormat="false" ht="15" hidden="false" customHeight="false" outlineLevel="0" collapsed="false">
      <c r="A5709" s="3" t="n">
        <v>5708</v>
      </c>
      <c r="B5709" s="3" t="n">
        <v>5707</v>
      </c>
      <c r="C5709" s="3" t="n">
        <v>7</v>
      </c>
      <c r="D5709" s="3" t="n">
        <v>7</v>
      </c>
      <c r="E5709" s="3" t="n">
        <v>23</v>
      </c>
      <c r="F5709" s="24" t="n">
        <v>-0.0628041923</v>
      </c>
    </row>
    <row r="5710" customFormat="false" ht="15" hidden="false" customHeight="false" outlineLevel="0" collapsed="false">
      <c r="A5710" s="3" t="n">
        <v>5709</v>
      </c>
      <c r="B5710" s="3" t="n">
        <v>5708</v>
      </c>
      <c r="C5710" s="3" t="n">
        <v>7</v>
      </c>
      <c r="D5710" s="3" t="n">
        <v>7</v>
      </c>
      <c r="E5710" s="3" t="n">
        <v>24</v>
      </c>
      <c r="F5710" s="24" t="n">
        <v>-0.0628041923</v>
      </c>
    </row>
    <row r="5711" customFormat="false" ht="15" hidden="false" customHeight="false" outlineLevel="0" collapsed="false">
      <c r="A5711" s="3" t="n">
        <v>5710</v>
      </c>
      <c r="B5711" s="3" t="n">
        <v>5709</v>
      </c>
      <c r="C5711" s="3" t="n">
        <v>7</v>
      </c>
      <c r="D5711" s="3" t="n">
        <v>7</v>
      </c>
      <c r="E5711" s="3" t="n">
        <v>25</v>
      </c>
      <c r="F5711" s="24" t="n">
        <v>-0.0628041923</v>
      </c>
    </row>
    <row r="5712" customFormat="false" ht="15" hidden="false" customHeight="false" outlineLevel="0" collapsed="false">
      <c r="A5712" s="3" t="n">
        <v>5711</v>
      </c>
      <c r="B5712" s="3" t="n">
        <v>5710</v>
      </c>
      <c r="C5712" s="3" t="n">
        <v>7</v>
      </c>
      <c r="D5712" s="3" t="n">
        <v>7</v>
      </c>
      <c r="E5712" s="3" t="n">
        <v>26</v>
      </c>
      <c r="F5712" s="24" t="n">
        <v>-0.0628041923</v>
      </c>
    </row>
    <row r="5713" customFormat="false" ht="15" hidden="false" customHeight="false" outlineLevel="0" collapsed="false">
      <c r="A5713" s="3" t="n">
        <v>5712</v>
      </c>
      <c r="B5713" s="3" t="n">
        <v>5711</v>
      </c>
      <c r="C5713" s="3" t="n">
        <v>7</v>
      </c>
      <c r="D5713" s="3" t="n">
        <v>7</v>
      </c>
      <c r="E5713" s="3" t="n">
        <v>27</v>
      </c>
      <c r="F5713" s="24" t="n">
        <v>-0.504603028</v>
      </c>
    </row>
    <row r="5714" customFormat="false" ht="15" hidden="false" customHeight="false" outlineLevel="0" collapsed="false">
      <c r="A5714" s="3" t="n">
        <v>5713</v>
      </c>
      <c r="B5714" s="3" t="n">
        <v>5712</v>
      </c>
      <c r="C5714" s="3" t="n">
        <v>7</v>
      </c>
      <c r="D5714" s="3" t="n">
        <v>8</v>
      </c>
      <c r="E5714" s="3" t="n">
        <v>0</v>
      </c>
      <c r="F5714" s="24" t="n">
        <v>0.259080142</v>
      </c>
    </row>
    <row r="5715" customFormat="false" ht="15" hidden="false" customHeight="false" outlineLevel="0" collapsed="false">
      <c r="A5715" s="3" t="n">
        <v>5714</v>
      </c>
      <c r="B5715" s="3" t="n">
        <v>5713</v>
      </c>
      <c r="C5715" s="3" t="n">
        <v>7</v>
      </c>
      <c r="D5715" s="3" t="n">
        <v>8</v>
      </c>
      <c r="E5715" s="3" t="n">
        <v>1</v>
      </c>
      <c r="F5715" s="24" t="n">
        <v>-0.0628041923</v>
      </c>
    </row>
    <row r="5716" customFormat="false" ht="15" hidden="false" customHeight="false" outlineLevel="0" collapsed="false">
      <c r="A5716" s="3" t="n">
        <v>5715</v>
      </c>
      <c r="B5716" s="3" t="n">
        <v>5714</v>
      </c>
      <c r="C5716" s="3" t="n">
        <v>7</v>
      </c>
      <c r="D5716" s="3" t="n">
        <v>8</v>
      </c>
      <c r="E5716" s="3" t="n">
        <v>2</v>
      </c>
      <c r="F5716" s="24" t="n">
        <v>-0.0628041923</v>
      </c>
    </row>
    <row r="5717" customFormat="false" ht="15" hidden="false" customHeight="false" outlineLevel="0" collapsed="false">
      <c r="A5717" s="3" t="n">
        <v>5716</v>
      </c>
      <c r="B5717" s="3" t="n">
        <v>5715</v>
      </c>
      <c r="C5717" s="3" t="n">
        <v>7</v>
      </c>
      <c r="D5717" s="3" t="n">
        <v>8</v>
      </c>
      <c r="E5717" s="3" t="n">
        <v>3</v>
      </c>
      <c r="F5717" s="24" t="n">
        <v>-0.0628041923</v>
      </c>
    </row>
    <row r="5718" customFormat="false" ht="15" hidden="false" customHeight="false" outlineLevel="0" collapsed="false">
      <c r="A5718" s="3" t="n">
        <v>5717</v>
      </c>
      <c r="B5718" s="3" t="n">
        <v>5716</v>
      </c>
      <c r="C5718" s="3" t="n">
        <v>7</v>
      </c>
      <c r="D5718" s="3" t="n">
        <v>8</v>
      </c>
      <c r="E5718" s="3" t="n">
        <v>4</v>
      </c>
      <c r="F5718" s="24" t="n">
        <v>-0.0628041923</v>
      </c>
    </row>
    <row r="5719" customFormat="false" ht="15" hidden="false" customHeight="false" outlineLevel="0" collapsed="false">
      <c r="A5719" s="3" t="n">
        <v>5718</v>
      </c>
      <c r="B5719" s="3" t="n">
        <v>5717</v>
      </c>
      <c r="C5719" s="3" t="n">
        <v>7</v>
      </c>
      <c r="D5719" s="3" t="n">
        <v>8</v>
      </c>
      <c r="E5719" s="3" t="n">
        <v>5</v>
      </c>
      <c r="F5719" s="24" t="n">
        <v>-2.11152077</v>
      </c>
    </row>
    <row r="5720" customFormat="false" ht="15" hidden="false" customHeight="false" outlineLevel="0" collapsed="false">
      <c r="A5720" s="3" t="n">
        <v>5719</v>
      </c>
      <c r="B5720" s="3" t="n">
        <v>5718</v>
      </c>
      <c r="C5720" s="3" t="n">
        <v>7</v>
      </c>
      <c r="D5720" s="3" t="n">
        <v>8</v>
      </c>
      <c r="E5720" s="3" t="n">
        <v>6</v>
      </c>
      <c r="F5720" s="24" t="n">
        <v>-2.40590262</v>
      </c>
    </row>
    <row r="5721" customFormat="false" ht="15" hidden="false" customHeight="false" outlineLevel="0" collapsed="false">
      <c r="A5721" s="3" t="n">
        <v>5720</v>
      </c>
      <c r="B5721" s="3" t="n">
        <v>5719</v>
      </c>
      <c r="C5721" s="3" t="n">
        <v>7</v>
      </c>
      <c r="D5721" s="3" t="n">
        <v>8</v>
      </c>
      <c r="E5721" s="3" t="n">
        <v>7</v>
      </c>
      <c r="F5721" s="24" t="n">
        <v>0.0587901324</v>
      </c>
    </row>
    <row r="5722" customFormat="false" ht="15" hidden="false" customHeight="false" outlineLevel="0" collapsed="false">
      <c r="A5722" s="3" t="n">
        <v>5721</v>
      </c>
      <c r="B5722" s="3" t="n">
        <v>5720</v>
      </c>
      <c r="C5722" s="3" t="n">
        <v>7</v>
      </c>
      <c r="D5722" s="3" t="n">
        <v>8</v>
      </c>
      <c r="E5722" s="3" t="n">
        <v>8</v>
      </c>
      <c r="F5722" s="24" t="n">
        <v>0.293194979</v>
      </c>
    </row>
    <row r="5723" customFormat="false" ht="15" hidden="false" customHeight="false" outlineLevel="0" collapsed="false">
      <c r="A5723" s="3" t="n">
        <v>5722</v>
      </c>
      <c r="B5723" s="3" t="n">
        <v>5721</v>
      </c>
      <c r="C5723" s="3" t="n">
        <v>7</v>
      </c>
      <c r="D5723" s="3" t="n">
        <v>8</v>
      </c>
      <c r="E5723" s="3" t="n">
        <v>9</v>
      </c>
      <c r="F5723" s="24" t="n">
        <v>1.40463734</v>
      </c>
    </row>
    <row r="5724" customFormat="false" ht="15" hidden="false" customHeight="false" outlineLevel="0" collapsed="false">
      <c r="A5724" s="3" t="n">
        <v>5723</v>
      </c>
      <c r="B5724" s="3" t="n">
        <v>5722</v>
      </c>
      <c r="C5724" s="3" t="n">
        <v>7</v>
      </c>
      <c r="D5724" s="3" t="n">
        <v>8</v>
      </c>
      <c r="E5724" s="3" t="n">
        <v>10</v>
      </c>
      <c r="F5724" s="24" t="n">
        <v>2.04710436</v>
      </c>
    </row>
    <row r="5725" customFormat="false" ht="15" hidden="false" customHeight="false" outlineLevel="0" collapsed="false">
      <c r="A5725" s="3" t="n">
        <v>5724</v>
      </c>
      <c r="B5725" s="3" t="n">
        <v>5723</v>
      </c>
      <c r="C5725" s="3" t="n">
        <v>7</v>
      </c>
      <c r="D5725" s="3" t="n">
        <v>8</v>
      </c>
      <c r="E5725" s="3" t="n">
        <v>11</v>
      </c>
      <c r="F5725" s="24" t="n">
        <v>2.91526914</v>
      </c>
    </row>
    <row r="5726" customFormat="false" ht="15" hidden="false" customHeight="false" outlineLevel="0" collapsed="false">
      <c r="A5726" s="3" t="n">
        <v>5725</v>
      </c>
      <c r="B5726" s="3" t="n">
        <v>5724</v>
      </c>
      <c r="C5726" s="3" t="n">
        <v>7</v>
      </c>
      <c r="D5726" s="3" t="n">
        <v>8</v>
      </c>
      <c r="E5726" s="3" t="n">
        <v>12</v>
      </c>
      <c r="F5726" s="24" t="n">
        <v>2.89214349</v>
      </c>
    </row>
    <row r="5727" customFormat="false" ht="15" hidden="false" customHeight="false" outlineLevel="0" collapsed="false">
      <c r="A5727" s="3" t="n">
        <v>5726</v>
      </c>
      <c r="B5727" s="3" t="n">
        <v>5725</v>
      </c>
      <c r="C5727" s="3" t="n">
        <v>7</v>
      </c>
      <c r="D5727" s="3" t="n">
        <v>8</v>
      </c>
      <c r="E5727" s="3" t="n">
        <v>13</v>
      </c>
      <c r="F5727" s="24" t="n">
        <v>2.27397346</v>
      </c>
    </row>
    <row r="5728" customFormat="false" ht="15" hidden="false" customHeight="false" outlineLevel="0" collapsed="false">
      <c r="A5728" s="3" t="n">
        <v>5727</v>
      </c>
      <c r="B5728" s="3" t="n">
        <v>5726</v>
      </c>
      <c r="C5728" s="3" t="n">
        <v>7</v>
      </c>
      <c r="D5728" s="3" t="n">
        <v>8</v>
      </c>
      <c r="E5728" s="3" t="n">
        <v>14</v>
      </c>
      <c r="F5728" s="24" t="n">
        <v>2.53640437</v>
      </c>
    </row>
    <row r="5729" customFormat="false" ht="15" hidden="false" customHeight="false" outlineLevel="0" collapsed="false">
      <c r="A5729" s="3" t="n">
        <v>5728</v>
      </c>
      <c r="B5729" s="3" t="n">
        <v>5727</v>
      </c>
      <c r="C5729" s="3" t="n">
        <v>7</v>
      </c>
      <c r="D5729" s="3" t="n">
        <v>8</v>
      </c>
      <c r="E5729" s="3" t="n">
        <v>15</v>
      </c>
      <c r="F5729" s="24" t="n">
        <v>2.53163099</v>
      </c>
    </row>
    <row r="5730" customFormat="false" ht="15" hidden="false" customHeight="false" outlineLevel="0" collapsed="false">
      <c r="A5730" s="3" t="n">
        <v>5729</v>
      </c>
      <c r="B5730" s="3" t="n">
        <v>5728</v>
      </c>
      <c r="C5730" s="3" t="n">
        <v>7</v>
      </c>
      <c r="D5730" s="3" t="n">
        <v>8</v>
      </c>
      <c r="E5730" s="3" t="n">
        <v>16</v>
      </c>
      <c r="F5730" s="24" t="n">
        <v>2.52544165</v>
      </c>
    </row>
    <row r="5731" customFormat="false" ht="15" hidden="false" customHeight="false" outlineLevel="0" collapsed="false">
      <c r="A5731" s="3" t="n">
        <v>5730</v>
      </c>
      <c r="B5731" s="3" t="n">
        <v>5729</v>
      </c>
      <c r="C5731" s="3" t="n">
        <v>7</v>
      </c>
      <c r="D5731" s="3" t="n">
        <v>8</v>
      </c>
      <c r="E5731" s="3" t="n">
        <v>17</v>
      </c>
      <c r="F5731" s="24" t="n">
        <v>2.45740795</v>
      </c>
    </row>
    <row r="5732" customFormat="false" ht="15" hidden="false" customHeight="false" outlineLevel="0" collapsed="false">
      <c r="A5732" s="3" t="n">
        <v>5731</v>
      </c>
      <c r="B5732" s="3" t="n">
        <v>5730</v>
      </c>
      <c r="C5732" s="3" t="n">
        <v>7</v>
      </c>
      <c r="D5732" s="3" t="n">
        <v>8</v>
      </c>
      <c r="E5732" s="3" t="n">
        <v>18</v>
      </c>
      <c r="F5732" s="24" t="n">
        <v>2.31017089</v>
      </c>
    </row>
    <row r="5733" customFormat="false" ht="15" hidden="false" customHeight="false" outlineLevel="0" collapsed="false">
      <c r="A5733" s="3" t="n">
        <v>5732</v>
      </c>
      <c r="B5733" s="3" t="n">
        <v>5731</v>
      </c>
      <c r="C5733" s="3" t="n">
        <v>7</v>
      </c>
      <c r="D5733" s="3" t="n">
        <v>8</v>
      </c>
      <c r="E5733" s="3" t="n">
        <v>19</v>
      </c>
      <c r="F5733" s="24" t="n">
        <v>2.72016382</v>
      </c>
    </row>
    <row r="5734" customFormat="false" ht="15" hidden="false" customHeight="false" outlineLevel="0" collapsed="false">
      <c r="A5734" s="3" t="n">
        <v>5733</v>
      </c>
      <c r="B5734" s="3" t="n">
        <v>5732</v>
      </c>
      <c r="C5734" s="3" t="n">
        <v>7</v>
      </c>
      <c r="D5734" s="3" t="n">
        <v>8</v>
      </c>
      <c r="E5734" s="3" t="n">
        <v>20</v>
      </c>
      <c r="F5734" s="24" t="n">
        <v>3.32365465</v>
      </c>
    </row>
    <row r="5735" customFormat="false" ht="15" hidden="false" customHeight="false" outlineLevel="0" collapsed="false">
      <c r="A5735" s="3" t="n">
        <v>5734</v>
      </c>
      <c r="B5735" s="3" t="n">
        <v>5733</v>
      </c>
      <c r="C5735" s="3" t="n">
        <v>7</v>
      </c>
      <c r="D5735" s="3" t="n">
        <v>8</v>
      </c>
      <c r="E5735" s="3" t="n">
        <v>21</v>
      </c>
      <c r="F5735" s="24" t="n">
        <v>2.276052</v>
      </c>
    </row>
    <row r="5736" customFormat="false" ht="15" hidden="false" customHeight="false" outlineLevel="0" collapsed="false">
      <c r="A5736" s="3" t="n">
        <v>5735</v>
      </c>
      <c r="B5736" s="3" t="n">
        <v>5734</v>
      </c>
      <c r="C5736" s="3" t="n">
        <v>7</v>
      </c>
      <c r="D5736" s="3" t="n">
        <v>8</v>
      </c>
      <c r="E5736" s="3" t="n">
        <v>22</v>
      </c>
      <c r="F5736" s="24" t="n">
        <v>0.26575011</v>
      </c>
    </row>
    <row r="5737" customFormat="false" ht="15" hidden="false" customHeight="false" outlineLevel="0" collapsed="false">
      <c r="A5737" s="3" t="n">
        <v>5736</v>
      </c>
      <c r="B5737" s="3" t="n">
        <v>5735</v>
      </c>
      <c r="C5737" s="3" t="n">
        <v>7</v>
      </c>
      <c r="D5737" s="3" t="n">
        <v>8</v>
      </c>
      <c r="E5737" s="3" t="n">
        <v>23</v>
      </c>
      <c r="F5737" s="24" t="n">
        <v>-0.0628041923</v>
      </c>
    </row>
    <row r="5738" customFormat="false" ht="15" hidden="false" customHeight="false" outlineLevel="0" collapsed="false">
      <c r="A5738" s="3" t="n">
        <v>5737</v>
      </c>
      <c r="B5738" s="3" t="n">
        <v>5736</v>
      </c>
      <c r="C5738" s="3" t="n">
        <v>7</v>
      </c>
      <c r="D5738" s="3" t="n">
        <v>8</v>
      </c>
      <c r="E5738" s="3" t="n">
        <v>24</v>
      </c>
      <c r="F5738" s="24" t="n">
        <v>-0.0628041923</v>
      </c>
    </row>
    <row r="5739" customFormat="false" ht="15" hidden="false" customHeight="false" outlineLevel="0" collapsed="false">
      <c r="A5739" s="3" t="n">
        <v>5738</v>
      </c>
      <c r="B5739" s="3" t="n">
        <v>5737</v>
      </c>
      <c r="C5739" s="3" t="n">
        <v>7</v>
      </c>
      <c r="D5739" s="3" t="n">
        <v>8</v>
      </c>
      <c r="E5739" s="3" t="n">
        <v>25</v>
      </c>
      <c r="F5739" s="24" t="n">
        <v>-0.0628041923</v>
      </c>
    </row>
    <row r="5740" customFormat="false" ht="15" hidden="false" customHeight="false" outlineLevel="0" collapsed="false">
      <c r="A5740" s="3" t="n">
        <v>5739</v>
      </c>
      <c r="B5740" s="3" t="n">
        <v>5738</v>
      </c>
      <c r="C5740" s="3" t="n">
        <v>7</v>
      </c>
      <c r="D5740" s="3" t="n">
        <v>8</v>
      </c>
      <c r="E5740" s="3" t="n">
        <v>26</v>
      </c>
      <c r="F5740" s="24" t="n">
        <v>-0.0628041923</v>
      </c>
    </row>
    <row r="5741" customFormat="false" ht="15" hidden="false" customHeight="false" outlineLevel="0" collapsed="false">
      <c r="A5741" s="3" t="n">
        <v>5740</v>
      </c>
      <c r="B5741" s="3" t="n">
        <v>5739</v>
      </c>
      <c r="C5741" s="3" t="n">
        <v>7</v>
      </c>
      <c r="D5741" s="3" t="n">
        <v>8</v>
      </c>
      <c r="E5741" s="3" t="n">
        <v>27</v>
      </c>
      <c r="F5741" s="24" t="n">
        <v>-0.504603028</v>
      </c>
    </row>
    <row r="5742" customFormat="false" ht="15" hidden="false" customHeight="false" outlineLevel="0" collapsed="false">
      <c r="A5742" s="3" t="n">
        <v>5741</v>
      </c>
      <c r="B5742" s="3" t="n">
        <v>5740</v>
      </c>
      <c r="C5742" s="3" t="n">
        <v>7</v>
      </c>
      <c r="D5742" s="3" t="n">
        <v>9</v>
      </c>
      <c r="E5742" s="3" t="n">
        <v>0</v>
      </c>
      <c r="F5742" s="24" t="n">
        <v>0.259080142</v>
      </c>
    </row>
    <row r="5743" customFormat="false" ht="15" hidden="false" customHeight="false" outlineLevel="0" collapsed="false">
      <c r="A5743" s="3" t="n">
        <v>5742</v>
      </c>
      <c r="B5743" s="3" t="n">
        <v>5741</v>
      </c>
      <c r="C5743" s="3" t="n">
        <v>7</v>
      </c>
      <c r="D5743" s="3" t="n">
        <v>9</v>
      </c>
      <c r="E5743" s="3" t="n">
        <v>1</v>
      </c>
      <c r="F5743" s="24" t="n">
        <v>-0.0628041923</v>
      </c>
    </row>
    <row r="5744" customFormat="false" ht="15" hidden="false" customHeight="false" outlineLevel="0" collapsed="false">
      <c r="A5744" s="3" t="n">
        <v>5743</v>
      </c>
      <c r="B5744" s="3" t="n">
        <v>5742</v>
      </c>
      <c r="C5744" s="3" t="n">
        <v>7</v>
      </c>
      <c r="D5744" s="3" t="n">
        <v>9</v>
      </c>
      <c r="E5744" s="3" t="n">
        <v>2</v>
      </c>
      <c r="F5744" s="24" t="n">
        <v>-0.0628041923</v>
      </c>
    </row>
    <row r="5745" customFormat="false" ht="15" hidden="false" customHeight="false" outlineLevel="0" collapsed="false">
      <c r="A5745" s="3" t="n">
        <v>5744</v>
      </c>
      <c r="B5745" s="3" t="n">
        <v>5743</v>
      </c>
      <c r="C5745" s="3" t="n">
        <v>7</v>
      </c>
      <c r="D5745" s="3" t="n">
        <v>9</v>
      </c>
      <c r="E5745" s="3" t="n">
        <v>3</v>
      </c>
      <c r="F5745" s="24" t="n">
        <v>-0.0628041923</v>
      </c>
    </row>
    <row r="5746" customFormat="false" ht="15" hidden="false" customHeight="false" outlineLevel="0" collapsed="false">
      <c r="A5746" s="3" t="n">
        <v>5745</v>
      </c>
      <c r="B5746" s="3" t="n">
        <v>5744</v>
      </c>
      <c r="C5746" s="3" t="n">
        <v>7</v>
      </c>
      <c r="D5746" s="3" t="n">
        <v>9</v>
      </c>
      <c r="E5746" s="3" t="n">
        <v>4</v>
      </c>
      <c r="F5746" s="24" t="n">
        <v>-0.0628041923</v>
      </c>
    </row>
    <row r="5747" customFormat="false" ht="15" hidden="false" customHeight="false" outlineLevel="0" collapsed="false">
      <c r="A5747" s="3" t="n">
        <v>5746</v>
      </c>
      <c r="B5747" s="3" t="n">
        <v>5745</v>
      </c>
      <c r="C5747" s="3" t="n">
        <v>7</v>
      </c>
      <c r="D5747" s="3" t="n">
        <v>9</v>
      </c>
      <c r="E5747" s="3" t="n">
        <v>5</v>
      </c>
      <c r="F5747" s="24" t="n">
        <v>-2.32823968</v>
      </c>
    </row>
    <row r="5748" customFormat="false" ht="15" hidden="false" customHeight="false" outlineLevel="0" collapsed="false">
      <c r="A5748" s="3" t="n">
        <v>5747</v>
      </c>
      <c r="B5748" s="3" t="n">
        <v>5746</v>
      </c>
      <c r="C5748" s="3" t="n">
        <v>7</v>
      </c>
      <c r="D5748" s="3" t="n">
        <v>9</v>
      </c>
      <c r="E5748" s="3" t="n">
        <v>6</v>
      </c>
      <c r="F5748" s="24" t="n">
        <v>-2.56735253</v>
      </c>
    </row>
    <row r="5749" customFormat="false" ht="15" hidden="false" customHeight="false" outlineLevel="0" collapsed="false">
      <c r="A5749" s="3" t="n">
        <v>5748</v>
      </c>
      <c r="B5749" s="3" t="n">
        <v>5747</v>
      </c>
      <c r="C5749" s="3" t="n">
        <v>7</v>
      </c>
      <c r="D5749" s="3" t="n">
        <v>9</v>
      </c>
      <c r="E5749" s="3" t="n">
        <v>7</v>
      </c>
      <c r="F5749" s="24" t="n">
        <v>-1.11919117</v>
      </c>
    </row>
    <row r="5750" customFormat="false" ht="15" hidden="false" customHeight="false" outlineLevel="0" collapsed="false">
      <c r="A5750" s="3" t="n">
        <v>5749</v>
      </c>
      <c r="B5750" s="3" t="n">
        <v>5748</v>
      </c>
      <c r="C5750" s="3" t="n">
        <v>7</v>
      </c>
      <c r="D5750" s="3" t="n">
        <v>9</v>
      </c>
      <c r="E5750" s="3" t="n">
        <v>8</v>
      </c>
      <c r="F5750" s="24" t="n">
        <v>-0.969851792</v>
      </c>
    </row>
    <row r="5751" customFormat="false" ht="15" hidden="false" customHeight="false" outlineLevel="0" collapsed="false">
      <c r="A5751" s="3" t="n">
        <v>5750</v>
      </c>
      <c r="B5751" s="3" t="n">
        <v>5749</v>
      </c>
      <c r="C5751" s="3" t="n">
        <v>7</v>
      </c>
      <c r="D5751" s="3" t="n">
        <v>9</v>
      </c>
      <c r="E5751" s="3" t="n">
        <v>9</v>
      </c>
      <c r="F5751" s="24" t="n">
        <v>-1.58678913</v>
      </c>
    </row>
    <row r="5752" customFormat="false" ht="15" hidden="false" customHeight="false" outlineLevel="0" collapsed="false">
      <c r="A5752" s="3" t="n">
        <v>5751</v>
      </c>
      <c r="B5752" s="3" t="n">
        <v>5750</v>
      </c>
      <c r="C5752" s="3" t="n">
        <v>7</v>
      </c>
      <c r="D5752" s="3" t="n">
        <v>9</v>
      </c>
      <c r="E5752" s="3" t="n">
        <v>10</v>
      </c>
      <c r="F5752" s="24" t="n">
        <v>-1.60313392</v>
      </c>
    </row>
    <row r="5753" customFormat="false" ht="15" hidden="false" customHeight="false" outlineLevel="0" collapsed="false">
      <c r="A5753" s="3" t="n">
        <v>5752</v>
      </c>
      <c r="B5753" s="3" t="n">
        <v>5751</v>
      </c>
      <c r="C5753" s="3" t="n">
        <v>7</v>
      </c>
      <c r="D5753" s="3" t="n">
        <v>9</v>
      </c>
      <c r="E5753" s="3" t="n">
        <v>11</v>
      </c>
      <c r="F5753" s="24" t="n">
        <v>-0.905517995</v>
      </c>
    </row>
    <row r="5754" customFormat="false" ht="15" hidden="false" customHeight="false" outlineLevel="0" collapsed="false">
      <c r="A5754" s="3" t="n">
        <v>5753</v>
      </c>
      <c r="B5754" s="3" t="n">
        <v>5752</v>
      </c>
      <c r="C5754" s="3" t="n">
        <v>7</v>
      </c>
      <c r="D5754" s="3" t="n">
        <v>9</v>
      </c>
      <c r="E5754" s="3" t="n">
        <v>12</v>
      </c>
      <c r="F5754" s="24" t="n">
        <v>-0.0437835604</v>
      </c>
    </row>
    <row r="5755" customFormat="false" ht="15" hidden="false" customHeight="false" outlineLevel="0" collapsed="false">
      <c r="A5755" s="3" t="n">
        <v>5754</v>
      </c>
      <c r="B5755" s="3" t="n">
        <v>5753</v>
      </c>
      <c r="C5755" s="3" t="n">
        <v>7</v>
      </c>
      <c r="D5755" s="3" t="n">
        <v>9</v>
      </c>
      <c r="E5755" s="3" t="n">
        <v>13</v>
      </c>
      <c r="F5755" s="24" t="n">
        <v>-0.564854503</v>
      </c>
    </row>
    <row r="5756" customFormat="false" ht="15" hidden="false" customHeight="false" outlineLevel="0" collapsed="false">
      <c r="A5756" s="3" t="n">
        <v>5755</v>
      </c>
      <c r="B5756" s="3" t="n">
        <v>5754</v>
      </c>
      <c r="C5756" s="3" t="n">
        <v>7</v>
      </c>
      <c r="D5756" s="3" t="n">
        <v>9</v>
      </c>
      <c r="E5756" s="3" t="n">
        <v>14</v>
      </c>
      <c r="F5756" s="24" t="n">
        <v>-0.288546026</v>
      </c>
    </row>
    <row r="5757" customFormat="false" ht="15" hidden="false" customHeight="false" outlineLevel="0" collapsed="false">
      <c r="A5757" s="3" t="n">
        <v>5756</v>
      </c>
      <c r="B5757" s="3" t="n">
        <v>5755</v>
      </c>
      <c r="C5757" s="3" t="n">
        <v>7</v>
      </c>
      <c r="D5757" s="3" t="n">
        <v>9</v>
      </c>
      <c r="E5757" s="3" t="n">
        <v>15</v>
      </c>
      <c r="F5757" s="24" t="n">
        <v>-0.101186037</v>
      </c>
    </row>
    <row r="5758" customFormat="false" ht="15" hidden="false" customHeight="false" outlineLevel="0" collapsed="false">
      <c r="A5758" s="3" t="n">
        <v>5757</v>
      </c>
      <c r="B5758" s="3" t="n">
        <v>5756</v>
      </c>
      <c r="C5758" s="3" t="n">
        <v>7</v>
      </c>
      <c r="D5758" s="3" t="n">
        <v>9</v>
      </c>
      <c r="E5758" s="3" t="n">
        <v>16</v>
      </c>
      <c r="F5758" s="24" t="n">
        <v>-0.0872195363</v>
      </c>
    </row>
    <row r="5759" customFormat="false" ht="15" hidden="false" customHeight="false" outlineLevel="0" collapsed="false">
      <c r="A5759" s="3" t="n">
        <v>5758</v>
      </c>
      <c r="B5759" s="3" t="n">
        <v>5757</v>
      </c>
      <c r="C5759" s="3" t="n">
        <v>7</v>
      </c>
      <c r="D5759" s="3" t="n">
        <v>9</v>
      </c>
      <c r="E5759" s="3" t="n">
        <v>17</v>
      </c>
      <c r="F5759" s="24" t="n">
        <v>-0.077810064</v>
      </c>
    </row>
    <row r="5760" customFormat="false" ht="15" hidden="false" customHeight="false" outlineLevel="0" collapsed="false">
      <c r="A5760" s="3" t="n">
        <v>5759</v>
      </c>
      <c r="B5760" s="3" t="n">
        <v>5758</v>
      </c>
      <c r="C5760" s="3" t="n">
        <v>7</v>
      </c>
      <c r="D5760" s="3" t="n">
        <v>9</v>
      </c>
      <c r="E5760" s="3" t="n">
        <v>18</v>
      </c>
      <c r="F5760" s="24" t="n">
        <v>-0.268024892</v>
      </c>
    </row>
    <row r="5761" customFormat="false" ht="15" hidden="false" customHeight="false" outlineLevel="0" collapsed="false">
      <c r="A5761" s="3" t="n">
        <v>5760</v>
      </c>
      <c r="B5761" s="3" t="n">
        <v>5759</v>
      </c>
      <c r="C5761" s="3" t="n">
        <v>7</v>
      </c>
      <c r="D5761" s="3" t="n">
        <v>9</v>
      </c>
      <c r="E5761" s="3" t="n">
        <v>19</v>
      </c>
      <c r="F5761" s="24" t="n">
        <v>1.7582984</v>
      </c>
    </row>
    <row r="5762" customFormat="false" ht="15" hidden="false" customHeight="false" outlineLevel="0" collapsed="false">
      <c r="A5762" s="3" t="n">
        <v>5761</v>
      </c>
      <c r="B5762" s="3" t="n">
        <v>5760</v>
      </c>
      <c r="C5762" s="3" t="n">
        <v>7</v>
      </c>
      <c r="D5762" s="3" t="n">
        <v>9</v>
      </c>
      <c r="E5762" s="3" t="n">
        <v>20</v>
      </c>
      <c r="F5762" s="24" t="n">
        <v>3.49919486</v>
      </c>
    </row>
    <row r="5763" customFormat="false" ht="15" hidden="false" customHeight="false" outlineLevel="0" collapsed="false">
      <c r="A5763" s="3" t="n">
        <v>5762</v>
      </c>
      <c r="B5763" s="3" t="n">
        <v>5761</v>
      </c>
      <c r="C5763" s="3" t="n">
        <v>7</v>
      </c>
      <c r="D5763" s="3" t="n">
        <v>9</v>
      </c>
      <c r="E5763" s="3" t="n">
        <v>21</v>
      </c>
      <c r="F5763" s="24" t="n">
        <v>3.12280297</v>
      </c>
    </row>
    <row r="5764" customFormat="false" ht="15" hidden="false" customHeight="false" outlineLevel="0" collapsed="false">
      <c r="A5764" s="3" t="n">
        <v>5763</v>
      </c>
      <c r="B5764" s="3" t="n">
        <v>5762</v>
      </c>
      <c r="C5764" s="3" t="n">
        <v>7</v>
      </c>
      <c r="D5764" s="3" t="n">
        <v>9</v>
      </c>
      <c r="E5764" s="3" t="n">
        <v>22</v>
      </c>
      <c r="F5764" s="24" t="n">
        <v>1.02553296</v>
      </c>
    </row>
    <row r="5765" customFormat="false" ht="15" hidden="false" customHeight="false" outlineLevel="0" collapsed="false">
      <c r="A5765" s="3" t="n">
        <v>5764</v>
      </c>
      <c r="B5765" s="3" t="n">
        <v>5763</v>
      </c>
      <c r="C5765" s="3" t="n">
        <v>7</v>
      </c>
      <c r="D5765" s="3" t="n">
        <v>9</v>
      </c>
      <c r="E5765" s="3" t="n">
        <v>23</v>
      </c>
      <c r="F5765" s="24" t="n">
        <v>-0.0628041923</v>
      </c>
    </row>
    <row r="5766" customFormat="false" ht="15" hidden="false" customHeight="false" outlineLevel="0" collapsed="false">
      <c r="A5766" s="3" t="n">
        <v>5765</v>
      </c>
      <c r="B5766" s="3" t="n">
        <v>5764</v>
      </c>
      <c r="C5766" s="3" t="n">
        <v>7</v>
      </c>
      <c r="D5766" s="3" t="n">
        <v>9</v>
      </c>
      <c r="E5766" s="3" t="n">
        <v>24</v>
      </c>
      <c r="F5766" s="24" t="n">
        <v>-0.0628041923</v>
      </c>
    </row>
    <row r="5767" customFormat="false" ht="15" hidden="false" customHeight="false" outlineLevel="0" collapsed="false">
      <c r="A5767" s="3" t="n">
        <v>5766</v>
      </c>
      <c r="B5767" s="3" t="n">
        <v>5765</v>
      </c>
      <c r="C5767" s="3" t="n">
        <v>7</v>
      </c>
      <c r="D5767" s="3" t="n">
        <v>9</v>
      </c>
      <c r="E5767" s="3" t="n">
        <v>25</v>
      </c>
      <c r="F5767" s="24" t="n">
        <v>-0.0628041923</v>
      </c>
    </row>
    <row r="5768" customFormat="false" ht="15" hidden="false" customHeight="false" outlineLevel="0" collapsed="false">
      <c r="A5768" s="3" t="n">
        <v>5767</v>
      </c>
      <c r="B5768" s="3" t="n">
        <v>5766</v>
      </c>
      <c r="C5768" s="3" t="n">
        <v>7</v>
      </c>
      <c r="D5768" s="3" t="n">
        <v>9</v>
      </c>
      <c r="E5768" s="3" t="n">
        <v>26</v>
      </c>
      <c r="F5768" s="24" t="n">
        <v>-0.0628041923</v>
      </c>
    </row>
    <row r="5769" customFormat="false" ht="15" hidden="false" customHeight="false" outlineLevel="0" collapsed="false">
      <c r="A5769" s="3" t="n">
        <v>5768</v>
      </c>
      <c r="B5769" s="3" t="n">
        <v>5767</v>
      </c>
      <c r="C5769" s="3" t="n">
        <v>7</v>
      </c>
      <c r="D5769" s="3" t="n">
        <v>9</v>
      </c>
      <c r="E5769" s="3" t="n">
        <v>27</v>
      </c>
      <c r="F5769" s="24" t="n">
        <v>-0.504603028</v>
      </c>
    </row>
    <row r="5770" customFormat="false" ht="15" hidden="false" customHeight="false" outlineLevel="0" collapsed="false">
      <c r="A5770" s="3" t="n">
        <v>5769</v>
      </c>
      <c r="B5770" s="3" t="n">
        <v>5768</v>
      </c>
      <c r="C5770" s="3" t="n">
        <v>7</v>
      </c>
      <c r="D5770" s="3" t="n">
        <v>10</v>
      </c>
      <c r="E5770" s="3" t="n">
        <v>0</v>
      </c>
      <c r="F5770" s="24" t="n">
        <v>0.259080142</v>
      </c>
    </row>
    <row r="5771" customFormat="false" ht="15" hidden="false" customHeight="false" outlineLevel="0" collapsed="false">
      <c r="A5771" s="3" t="n">
        <v>5770</v>
      </c>
      <c r="B5771" s="3" t="n">
        <v>5769</v>
      </c>
      <c r="C5771" s="3" t="n">
        <v>7</v>
      </c>
      <c r="D5771" s="3" t="n">
        <v>10</v>
      </c>
      <c r="E5771" s="3" t="n">
        <v>1</v>
      </c>
      <c r="F5771" s="24" t="n">
        <v>-0.0628041923</v>
      </c>
    </row>
    <row r="5772" customFormat="false" ht="15" hidden="false" customHeight="false" outlineLevel="0" collapsed="false">
      <c r="A5772" s="3" t="n">
        <v>5771</v>
      </c>
      <c r="B5772" s="3" t="n">
        <v>5770</v>
      </c>
      <c r="C5772" s="3" t="n">
        <v>7</v>
      </c>
      <c r="D5772" s="3" t="n">
        <v>10</v>
      </c>
      <c r="E5772" s="3" t="n">
        <v>2</v>
      </c>
      <c r="F5772" s="24" t="n">
        <v>-0.0628041923</v>
      </c>
    </row>
    <row r="5773" customFormat="false" ht="15" hidden="false" customHeight="false" outlineLevel="0" collapsed="false">
      <c r="A5773" s="3" t="n">
        <v>5772</v>
      </c>
      <c r="B5773" s="3" t="n">
        <v>5771</v>
      </c>
      <c r="C5773" s="3" t="n">
        <v>7</v>
      </c>
      <c r="D5773" s="3" t="n">
        <v>10</v>
      </c>
      <c r="E5773" s="3" t="n">
        <v>3</v>
      </c>
      <c r="F5773" s="24" t="n">
        <v>-0.0628041923</v>
      </c>
    </row>
    <row r="5774" customFormat="false" ht="15" hidden="false" customHeight="false" outlineLevel="0" collapsed="false">
      <c r="A5774" s="3" t="n">
        <v>5773</v>
      </c>
      <c r="B5774" s="3" t="n">
        <v>5772</v>
      </c>
      <c r="C5774" s="3" t="n">
        <v>7</v>
      </c>
      <c r="D5774" s="3" t="n">
        <v>10</v>
      </c>
      <c r="E5774" s="3" t="n">
        <v>4</v>
      </c>
      <c r="F5774" s="24" t="n">
        <v>-0.0628041923</v>
      </c>
    </row>
    <row r="5775" customFormat="false" ht="15" hidden="false" customHeight="false" outlineLevel="0" collapsed="false">
      <c r="A5775" s="3" t="n">
        <v>5774</v>
      </c>
      <c r="B5775" s="3" t="n">
        <v>5773</v>
      </c>
      <c r="C5775" s="3" t="n">
        <v>7</v>
      </c>
      <c r="D5775" s="3" t="n">
        <v>10</v>
      </c>
      <c r="E5775" s="3" t="n">
        <v>5</v>
      </c>
      <c r="F5775" s="24" t="n">
        <v>-0.613335907</v>
      </c>
    </row>
    <row r="5776" customFormat="false" ht="15" hidden="false" customHeight="false" outlineLevel="0" collapsed="false">
      <c r="A5776" s="3" t="n">
        <v>5775</v>
      </c>
      <c r="B5776" s="3" t="n">
        <v>5774</v>
      </c>
      <c r="C5776" s="3" t="n">
        <v>7</v>
      </c>
      <c r="D5776" s="3" t="n">
        <v>10</v>
      </c>
      <c r="E5776" s="3" t="n">
        <v>6</v>
      </c>
      <c r="F5776" s="24" t="n">
        <v>-0.893991411</v>
      </c>
    </row>
    <row r="5777" customFormat="false" ht="15" hidden="false" customHeight="false" outlineLevel="0" collapsed="false">
      <c r="A5777" s="3" t="n">
        <v>5776</v>
      </c>
      <c r="B5777" s="3" t="n">
        <v>5775</v>
      </c>
      <c r="C5777" s="3" t="n">
        <v>7</v>
      </c>
      <c r="D5777" s="3" t="n">
        <v>10</v>
      </c>
      <c r="E5777" s="3" t="n">
        <v>7</v>
      </c>
      <c r="F5777" s="24" t="n">
        <v>-0.269759744</v>
      </c>
    </row>
    <row r="5778" customFormat="false" ht="15" hidden="false" customHeight="false" outlineLevel="0" collapsed="false">
      <c r="A5778" s="3" t="n">
        <v>5777</v>
      </c>
      <c r="B5778" s="3" t="n">
        <v>5776</v>
      </c>
      <c r="C5778" s="3" t="n">
        <v>7</v>
      </c>
      <c r="D5778" s="3" t="n">
        <v>10</v>
      </c>
      <c r="E5778" s="3" t="n">
        <v>8</v>
      </c>
      <c r="F5778" s="24" t="n">
        <v>-0.537159562</v>
      </c>
    </row>
    <row r="5779" customFormat="false" ht="15" hidden="false" customHeight="false" outlineLevel="0" collapsed="false">
      <c r="A5779" s="3" t="n">
        <v>5778</v>
      </c>
      <c r="B5779" s="3" t="n">
        <v>5777</v>
      </c>
      <c r="C5779" s="3" t="n">
        <v>7</v>
      </c>
      <c r="D5779" s="3" t="n">
        <v>10</v>
      </c>
      <c r="E5779" s="3" t="n">
        <v>9</v>
      </c>
      <c r="F5779" s="24" t="n">
        <v>-1.00219178</v>
      </c>
    </row>
    <row r="5780" customFormat="false" ht="15" hidden="false" customHeight="false" outlineLevel="0" collapsed="false">
      <c r="A5780" s="3" t="n">
        <v>5779</v>
      </c>
      <c r="B5780" s="3" t="n">
        <v>5778</v>
      </c>
      <c r="C5780" s="3" t="n">
        <v>7</v>
      </c>
      <c r="D5780" s="3" t="n">
        <v>10</v>
      </c>
      <c r="E5780" s="3" t="n">
        <v>10</v>
      </c>
      <c r="F5780" s="24" t="n">
        <v>-1.43429351</v>
      </c>
    </row>
    <row r="5781" customFormat="false" ht="15" hidden="false" customHeight="false" outlineLevel="0" collapsed="false">
      <c r="A5781" s="3" t="n">
        <v>5780</v>
      </c>
      <c r="B5781" s="3" t="n">
        <v>5779</v>
      </c>
      <c r="C5781" s="3" t="n">
        <v>7</v>
      </c>
      <c r="D5781" s="3" t="n">
        <v>10</v>
      </c>
      <c r="E5781" s="3" t="n">
        <v>11</v>
      </c>
      <c r="F5781" s="24" t="n">
        <v>-1.73221588</v>
      </c>
    </row>
    <row r="5782" customFormat="false" ht="15" hidden="false" customHeight="false" outlineLevel="0" collapsed="false">
      <c r="A5782" s="3" t="n">
        <v>5781</v>
      </c>
      <c r="B5782" s="3" t="n">
        <v>5780</v>
      </c>
      <c r="C5782" s="3" t="n">
        <v>7</v>
      </c>
      <c r="D5782" s="3" t="n">
        <v>10</v>
      </c>
      <c r="E5782" s="3" t="n">
        <v>12</v>
      </c>
      <c r="F5782" s="24" t="n">
        <v>-0.80998075</v>
      </c>
    </row>
    <row r="5783" customFormat="false" ht="15" hidden="false" customHeight="false" outlineLevel="0" collapsed="false">
      <c r="A5783" s="3" t="n">
        <v>5782</v>
      </c>
      <c r="B5783" s="3" t="n">
        <v>5781</v>
      </c>
      <c r="C5783" s="3" t="n">
        <v>7</v>
      </c>
      <c r="D5783" s="3" t="n">
        <v>10</v>
      </c>
      <c r="E5783" s="3" t="n">
        <v>13</v>
      </c>
      <c r="F5783" s="24" t="n">
        <v>-1.01640987</v>
      </c>
    </row>
    <row r="5784" customFormat="false" ht="15" hidden="false" customHeight="false" outlineLevel="0" collapsed="false">
      <c r="A5784" s="3" t="n">
        <v>5783</v>
      </c>
      <c r="B5784" s="3" t="n">
        <v>5782</v>
      </c>
      <c r="C5784" s="3" t="n">
        <v>7</v>
      </c>
      <c r="D5784" s="3" t="n">
        <v>10</v>
      </c>
      <c r="E5784" s="3" t="n">
        <v>14</v>
      </c>
      <c r="F5784" s="24" t="n">
        <v>-1.4239974</v>
      </c>
    </row>
    <row r="5785" customFormat="false" ht="15" hidden="false" customHeight="false" outlineLevel="0" collapsed="false">
      <c r="A5785" s="3" t="n">
        <v>5784</v>
      </c>
      <c r="B5785" s="3" t="n">
        <v>5783</v>
      </c>
      <c r="C5785" s="3" t="n">
        <v>7</v>
      </c>
      <c r="D5785" s="3" t="n">
        <v>10</v>
      </c>
      <c r="E5785" s="3" t="n">
        <v>15</v>
      </c>
      <c r="F5785" s="24" t="n">
        <v>-0.976867378</v>
      </c>
    </row>
    <row r="5786" customFormat="false" ht="15" hidden="false" customHeight="false" outlineLevel="0" collapsed="false">
      <c r="A5786" s="3" t="n">
        <v>5785</v>
      </c>
      <c r="B5786" s="3" t="n">
        <v>5784</v>
      </c>
      <c r="C5786" s="3" t="n">
        <v>7</v>
      </c>
      <c r="D5786" s="3" t="n">
        <v>10</v>
      </c>
      <c r="E5786" s="3" t="n">
        <v>16</v>
      </c>
      <c r="F5786" s="24" t="n">
        <v>-0.891309083</v>
      </c>
    </row>
    <row r="5787" customFormat="false" ht="15" hidden="false" customHeight="false" outlineLevel="0" collapsed="false">
      <c r="A5787" s="3" t="n">
        <v>5786</v>
      </c>
      <c r="B5787" s="3" t="n">
        <v>5785</v>
      </c>
      <c r="C5787" s="3" t="n">
        <v>7</v>
      </c>
      <c r="D5787" s="3" t="n">
        <v>10</v>
      </c>
      <c r="E5787" s="3" t="n">
        <v>17</v>
      </c>
      <c r="F5787" s="24" t="n">
        <v>-0.344395638</v>
      </c>
    </row>
    <row r="5788" customFormat="false" ht="15" hidden="false" customHeight="false" outlineLevel="0" collapsed="false">
      <c r="A5788" s="3" t="n">
        <v>5787</v>
      </c>
      <c r="B5788" s="3" t="n">
        <v>5786</v>
      </c>
      <c r="C5788" s="3" t="n">
        <v>7</v>
      </c>
      <c r="D5788" s="3" t="n">
        <v>10</v>
      </c>
      <c r="E5788" s="3" t="n">
        <v>18</v>
      </c>
      <c r="F5788" s="24" t="n">
        <v>-1.05556583</v>
      </c>
    </row>
    <row r="5789" customFormat="false" ht="15" hidden="false" customHeight="false" outlineLevel="0" collapsed="false">
      <c r="A5789" s="3" t="n">
        <v>5788</v>
      </c>
      <c r="B5789" s="3" t="n">
        <v>5787</v>
      </c>
      <c r="C5789" s="3" t="n">
        <v>7</v>
      </c>
      <c r="D5789" s="3" t="n">
        <v>10</v>
      </c>
      <c r="E5789" s="3" t="n">
        <v>19</v>
      </c>
      <c r="F5789" s="24" t="n">
        <v>-0.0796281397</v>
      </c>
    </row>
    <row r="5790" customFormat="false" ht="15" hidden="false" customHeight="false" outlineLevel="0" collapsed="false">
      <c r="A5790" s="3" t="n">
        <v>5789</v>
      </c>
      <c r="B5790" s="3" t="n">
        <v>5788</v>
      </c>
      <c r="C5790" s="3" t="n">
        <v>7</v>
      </c>
      <c r="D5790" s="3" t="n">
        <v>10</v>
      </c>
      <c r="E5790" s="3" t="n">
        <v>20</v>
      </c>
      <c r="F5790" s="24" t="n">
        <v>2.64329123</v>
      </c>
    </row>
    <row r="5791" customFormat="false" ht="15" hidden="false" customHeight="false" outlineLevel="0" collapsed="false">
      <c r="A5791" s="3" t="n">
        <v>5790</v>
      </c>
      <c r="B5791" s="3" t="n">
        <v>5789</v>
      </c>
      <c r="C5791" s="3" t="n">
        <v>7</v>
      </c>
      <c r="D5791" s="3" t="n">
        <v>10</v>
      </c>
      <c r="E5791" s="3" t="n">
        <v>21</v>
      </c>
      <c r="F5791" s="24" t="n">
        <v>2.75237107</v>
      </c>
    </row>
    <row r="5792" customFormat="false" ht="15" hidden="false" customHeight="false" outlineLevel="0" collapsed="false">
      <c r="A5792" s="3" t="n">
        <v>5791</v>
      </c>
      <c r="B5792" s="3" t="n">
        <v>5790</v>
      </c>
      <c r="C5792" s="3" t="n">
        <v>7</v>
      </c>
      <c r="D5792" s="3" t="n">
        <v>10</v>
      </c>
      <c r="E5792" s="3" t="n">
        <v>22</v>
      </c>
      <c r="F5792" s="24" t="n">
        <v>1.07949615</v>
      </c>
    </row>
    <row r="5793" customFormat="false" ht="15" hidden="false" customHeight="false" outlineLevel="0" collapsed="false">
      <c r="A5793" s="3" t="n">
        <v>5792</v>
      </c>
      <c r="B5793" s="3" t="n">
        <v>5791</v>
      </c>
      <c r="C5793" s="3" t="n">
        <v>7</v>
      </c>
      <c r="D5793" s="3" t="n">
        <v>10</v>
      </c>
      <c r="E5793" s="3" t="n">
        <v>23</v>
      </c>
      <c r="F5793" s="24" t="n">
        <v>-0.0628041923</v>
      </c>
    </row>
    <row r="5794" customFormat="false" ht="15" hidden="false" customHeight="false" outlineLevel="0" collapsed="false">
      <c r="A5794" s="3" t="n">
        <v>5793</v>
      </c>
      <c r="B5794" s="3" t="n">
        <v>5792</v>
      </c>
      <c r="C5794" s="3" t="n">
        <v>7</v>
      </c>
      <c r="D5794" s="3" t="n">
        <v>10</v>
      </c>
      <c r="E5794" s="3" t="n">
        <v>24</v>
      </c>
      <c r="F5794" s="24" t="n">
        <v>-0.0628041923</v>
      </c>
    </row>
    <row r="5795" customFormat="false" ht="15" hidden="false" customHeight="false" outlineLevel="0" collapsed="false">
      <c r="A5795" s="3" t="n">
        <v>5794</v>
      </c>
      <c r="B5795" s="3" t="n">
        <v>5793</v>
      </c>
      <c r="C5795" s="3" t="n">
        <v>7</v>
      </c>
      <c r="D5795" s="3" t="n">
        <v>10</v>
      </c>
      <c r="E5795" s="3" t="n">
        <v>25</v>
      </c>
      <c r="F5795" s="24" t="n">
        <v>-0.0628041923</v>
      </c>
    </row>
    <row r="5796" customFormat="false" ht="15" hidden="false" customHeight="false" outlineLevel="0" collapsed="false">
      <c r="A5796" s="3" t="n">
        <v>5795</v>
      </c>
      <c r="B5796" s="3" t="n">
        <v>5794</v>
      </c>
      <c r="C5796" s="3" t="n">
        <v>7</v>
      </c>
      <c r="D5796" s="3" t="n">
        <v>10</v>
      </c>
      <c r="E5796" s="3" t="n">
        <v>26</v>
      </c>
      <c r="F5796" s="24" t="n">
        <v>-0.0628041923</v>
      </c>
    </row>
    <row r="5797" customFormat="false" ht="15" hidden="false" customHeight="false" outlineLevel="0" collapsed="false">
      <c r="A5797" s="3" t="n">
        <v>5796</v>
      </c>
      <c r="B5797" s="3" t="n">
        <v>5795</v>
      </c>
      <c r="C5797" s="3" t="n">
        <v>7</v>
      </c>
      <c r="D5797" s="3" t="n">
        <v>10</v>
      </c>
      <c r="E5797" s="3" t="n">
        <v>27</v>
      </c>
      <c r="F5797" s="24" t="n">
        <v>-0.504603028</v>
      </c>
    </row>
    <row r="5798" customFormat="false" ht="15" hidden="false" customHeight="false" outlineLevel="0" collapsed="false">
      <c r="A5798" s="3" t="n">
        <v>5797</v>
      </c>
      <c r="B5798" s="3" t="n">
        <v>5796</v>
      </c>
      <c r="C5798" s="3" t="n">
        <v>7</v>
      </c>
      <c r="D5798" s="3" t="n">
        <v>11</v>
      </c>
      <c r="E5798" s="3" t="n">
        <v>0</v>
      </c>
      <c r="F5798" s="24" t="n">
        <v>0.259080142</v>
      </c>
    </row>
    <row r="5799" customFormat="false" ht="15" hidden="false" customHeight="false" outlineLevel="0" collapsed="false">
      <c r="A5799" s="3" t="n">
        <v>5798</v>
      </c>
      <c r="B5799" s="3" t="n">
        <v>5797</v>
      </c>
      <c r="C5799" s="3" t="n">
        <v>7</v>
      </c>
      <c r="D5799" s="3" t="n">
        <v>11</v>
      </c>
      <c r="E5799" s="3" t="n">
        <v>1</v>
      </c>
      <c r="F5799" s="24" t="n">
        <v>-0.0628041923</v>
      </c>
    </row>
    <row r="5800" customFormat="false" ht="15" hidden="false" customHeight="false" outlineLevel="0" collapsed="false">
      <c r="A5800" s="3" t="n">
        <v>5799</v>
      </c>
      <c r="B5800" s="3" t="n">
        <v>5798</v>
      </c>
      <c r="C5800" s="3" t="n">
        <v>7</v>
      </c>
      <c r="D5800" s="3" t="n">
        <v>11</v>
      </c>
      <c r="E5800" s="3" t="n">
        <v>2</v>
      </c>
      <c r="F5800" s="24" t="n">
        <v>-0.0628041923</v>
      </c>
    </row>
    <row r="5801" customFormat="false" ht="15" hidden="false" customHeight="false" outlineLevel="0" collapsed="false">
      <c r="A5801" s="3" t="n">
        <v>5800</v>
      </c>
      <c r="B5801" s="3" t="n">
        <v>5799</v>
      </c>
      <c r="C5801" s="3" t="n">
        <v>7</v>
      </c>
      <c r="D5801" s="3" t="n">
        <v>11</v>
      </c>
      <c r="E5801" s="3" t="n">
        <v>3</v>
      </c>
      <c r="F5801" s="24" t="n">
        <v>-0.0628041923</v>
      </c>
    </row>
    <row r="5802" customFormat="false" ht="15" hidden="false" customHeight="false" outlineLevel="0" collapsed="false">
      <c r="A5802" s="3" t="n">
        <v>5801</v>
      </c>
      <c r="B5802" s="3" t="n">
        <v>5800</v>
      </c>
      <c r="C5802" s="3" t="n">
        <v>7</v>
      </c>
      <c r="D5802" s="3" t="n">
        <v>11</v>
      </c>
      <c r="E5802" s="3" t="n">
        <v>4</v>
      </c>
      <c r="F5802" s="24" t="n">
        <v>-0.0628041923</v>
      </c>
    </row>
    <row r="5803" customFormat="false" ht="15" hidden="false" customHeight="false" outlineLevel="0" collapsed="false">
      <c r="A5803" s="3" t="n">
        <v>5802</v>
      </c>
      <c r="B5803" s="3" t="n">
        <v>5801</v>
      </c>
      <c r="C5803" s="3" t="n">
        <v>7</v>
      </c>
      <c r="D5803" s="3" t="n">
        <v>11</v>
      </c>
      <c r="E5803" s="3" t="n">
        <v>5</v>
      </c>
      <c r="F5803" s="24" t="n">
        <v>-0.0628041923</v>
      </c>
    </row>
    <row r="5804" customFormat="false" ht="15" hidden="false" customHeight="false" outlineLevel="0" collapsed="false">
      <c r="A5804" s="3" t="n">
        <v>5803</v>
      </c>
      <c r="B5804" s="3" t="n">
        <v>5802</v>
      </c>
      <c r="C5804" s="3" t="n">
        <v>7</v>
      </c>
      <c r="D5804" s="3" t="n">
        <v>11</v>
      </c>
      <c r="E5804" s="3" t="n">
        <v>6</v>
      </c>
      <c r="F5804" s="24" t="n">
        <v>-0.0628041923</v>
      </c>
    </row>
    <row r="5805" customFormat="false" ht="15" hidden="false" customHeight="false" outlineLevel="0" collapsed="false">
      <c r="A5805" s="3" t="n">
        <v>5804</v>
      </c>
      <c r="B5805" s="3" t="n">
        <v>5803</v>
      </c>
      <c r="C5805" s="3" t="n">
        <v>7</v>
      </c>
      <c r="D5805" s="3" t="n">
        <v>11</v>
      </c>
      <c r="E5805" s="3" t="n">
        <v>7</v>
      </c>
      <c r="F5805" s="24" t="n">
        <v>-0.0628041923</v>
      </c>
    </row>
    <row r="5806" customFormat="false" ht="15" hidden="false" customHeight="false" outlineLevel="0" collapsed="false">
      <c r="A5806" s="3" t="n">
        <v>5805</v>
      </c>
      <c r="B5806" s="3" t="n">
        <v>5804</v>
      </c>
      <c r="C5806" s="3" t="n">
        <v>7</v>
      </c>
      <c r="D5806" s="3" t="n">
        <v>11</v>
      </c>
      <c r="E5806" s="3" t="n">
        <v>8</v>
      </c>
      <c r="F5806" s="24" t="n">
        <v>-0.0628041923</v>
      </c>
    </row>
    <row r="5807" customFormat="false" ht="15" hidden="false" customHeight="false" outlineLevel="0" collapsed="false">
      <c r="A5807" s="3" t="n">
        <v>5806</v>
      </c>
      <c r="B5807" s="3" t="n">
        <v>5805</v>
      </c>
      <c r="C5807" s="3" t="n">
        <v>7</v>
      </c>
      <c r="D5807" s="3" t="n">
        <v>11</v>
      </c>
      <c r="E5807" s="3" t="n">
        <v>9</v>
      </c>
      <c r="F5807" s="24" t="n">
        <v>-0.0628041923</v>
      </c>
    </row>
    <row r="5808" customFormat="false" ht="15" hidden="false" customHeight="false" outlineLevel="0" collapsed="false">
      <c r="A5808" s="3" t="n">
        <v>5807</v>
      </c>
      <c r="B5808" s="3" t="n">
        <v>5806</v>
      </c>
      <c r="C5808" s="3" t="n">
        <v>7</v>
      </c>
      <c r="D5808" s="3" t="n">
        <v>11</v>
      </c>
      <c r="E5808" s="3" t="n">
        <v>10</v>
      </c>
      <c r="F5808" s="24" t="n">
        <v>-0.202491313</v>
      </c>
    </row>
    <row r="5809" customFormat="false" ht="15" hidden="false" customHeight="false" outlineLevel="0" collapsed="false">
      <c r="A5809" s="3" t="n">
        <v>5808</v>
      </c>
      <c r="B5809" s="3" t="n">
        <v>5807</v>
      </c>
      <c r="C5809" s="3" t="n">
        <v>7</v>
      </c>
      <c r="D5809" s="3" t="n">
        <v>11</v>
      </c>
      <c r="E5809" s="3" t="n">
        <v>11</v>
      </c>
      <c r="F5809" s="24" t="n">
        <v>-0.57834065</v>
      </c>
    </row>
    <row r="5810" customFormat="false" ht="15" hidden="false" customHeight="false" outlineLevel="0" collapsed="false">
      <c r="A5810" s="3" t="n">
        <v>5809</v>
      </c>
      <c r="B5810" s="3" t="n">
        <v>5808</v>
      </c>
      <c r="C5810" s="3" t="n">
        <v>7</v>
      </c>
      <c r="D5810" s="3" t="n">
        <v>11</v>
      </c>
      <c r="E5810" s="3" t="n">
        <v>12</v>
      </c>
      <c r="F5810" s="24" t="n">
        <v>-0.0218403637</v>
      </c>
    </row>
    <row r="5811" customFormat="false" ht="15" hidden="false" customHeight="false" outlineLevel="0" collapsed="false">
      <c r="A5811" s="3" t="n">
        <v>5810</v>
      </c>
      <c r="B5811" s="3" t="n">
        <v>5809</v>
      </c>
      <c r="C5811" s="3" t="n">
        <v>7</v>
      </c>
      <c r="D5811" s="3" t="n">
        <v>11</v>
      </c>
      <c r="E5811" s="3" t="n">
        <v>13</v>
      </c>
      <c r="F5811" s="24" t="n">
        <v>-0.389255941</v>
      </c>
    </row>
    <row r="5812" customFormat="false" ht="15" hidden="false" customHeight="false" outlineLevel="0" collapsed="false">
      <c r="A5812" s="3" t="n">
        <v>5811</v>
      </c>
      <c r="B5812" s="3" t="n">
        <v>5810</v>
      </c>
      <c r="C5812" s="3" t="n">
        <v>7</v>
      </c>
      <c r="D5812" s="3" t="n">
        <v>11</v>
      </c>
      <c r="E5812" s="3" t="n">
        <v>14</v>
      </c>
      <c r="F5812" s="24" t="n">
        <v>-0.464943469</v>
      </c>
    </row>
    <row r="5813" customFormat="false" ht="15" hidden="false" customHeight="false" outlineLevel="0" collapsed="false">
      <c r="A5813" s="3" t="n">
        <v>5812</v>
      </c>
      <c r="B5813" s="3" t="n">
        <v>5811</v>
      </c>
      <c r="C5813" s="3" t="n">
        <v>7</v>
      </c>
      <c r="D5813" s="3" t="n">
        <v>11</v>
      </c>
      <c r="E5813" s="3" t="n">
        <v>15</v>
      </c>
      <c r="F5813" s="24" t="n">
        <v>-0.30270949</v>
      </c>
    </row>
    <row r="5814" customFormat="false" ht="15" hidden="false" customHeight="false" outlineLevel="0" collapsed="false">
      <c r="A5814" s="3" t="n">
        <v>5813</v>
      </c>
      <c r="B5814" s="3" t="n">
        <v>5812</v>
      </c>
      <c r="C5814" s="3" t="n">
        <v>7</v>
      </c>
      <c r="D5814" s="3" t="n">
        <v>11</v>
      </c>
      <c r="E5814" s="3" t="n">
        <v>16</v>
      </c>
      <c r="F5814" s="24" t="n">
        <v>-0.202932447</v>
      </c>
    </row>
    <row r="5815" customFormat="false" ht="15" hidden="false" customHeight="false" outlineLevel="0" collapsed="false">
      <c r="A5815" s="3" t="n">
        <v>5814</v>
      </c>
      <c r="B5815" s="3" t="n">
        <v>5813</v>
      </c>
      <c r="C5815" s="3" t="n">
        <v>7</v>
      </c>
      <c r="D5815" s="3" t="n">
        <v>11</v>
      </c>
      <c r="E5815" s="3" t="n">
        <v>17</v>
      </c>
      <c r="F5815" s="24" t="n">
        <v>0.0719975308</v>
      </c>
    </row>
    <row r="5816" customFormat="false" ht="15" hidden="false" customHeight="false" outlineLevel="0" collapsed="false">
      <c r="A5816" s="3" t="n">
        <v>5815</v>
      </c>
      <c r="B5816" s="3" t="n">
        <v>5814</v>
      </c>
      <c r="C5816" s="3" t="n">
        <v>7</v>
      </c>
      <c r="D5816" s="3" t="n">
        <v>11</v>
      </c>
      <c r="E5816" s="3" t="n">
        <v>18</v>
      </c>
      <c r="F5816" s="24" t="n">
        <v>-1.01375985</v>
      </c>
    </row>
    <row r="5817" customFormat="false" ht="15" hidden="false" customHeight="false" outlineLevel="0" collapsed="false">
      <c r="A5817" s="3" t="n">
        <v>5816</v>
      </c>
      <c r="B5817" s="3" t="n">
        <v>5815</v>
      </c>
      <c r="C5817" s="3" t="n">
        <v>7</v>
      </c>
      <c r="D5817" s="3" t="n">
        <v>11</v>
      </c>
      <c r="E5817" s="3" t="n">
        <v>19</v>
      </c>
      <c r="F5817" s="24" t="n">
        <v>-0.235099375</v>
      </c>
    </row>
    <row r="5818" customFormat="false" ht="15" hidden="false" customHeight="false" outlineLevel="0" collapsed="false">
      <c r="A5818" s="3" t="n">
        <v>5817</v>
      </c>
      <c r="B5818" s="3" t="n">
        <v>5816</v>
      </c>
      <c r="C5818" s="3" t="n">
        <v>7</v>
      </c>
      <c r="D5818" s="3" t="n">
        <v>11</v>
      </c>
      <c r="E5818" s="3" t="n">
        <v>20</v>
      </c>
      <c r="F5818" s="24" t="n">
        <v>2.4254055</v>
      </c>
    </row>
    <row r="5819" customFormat="false" ht="15" hidden="false" customHeight="false" outlineLevel="0" collapsed="false">
      <c r="A5819" s="3" t="n">
        <v>5818</v>
      </c>
      <c r="B5819" s="3" t="n">
        <v>5817</v>
      </c>
      <c r="C5819" s="3" t="n">
        <v>7</v>
      </c>
      <c r="D5819" s="3" t="n">
        <v>11</v>
      </c>
      <c r="E5819" s="3" t="n">
        <v>21</v>
      </c>
      <c r="F5819" s="24" t="n">
        <v>2.27677894</v>
      </c>
    </row>
    <row r="5820" customFormat="false" ht="15" hidden="false" customHeight="false" outlineLevel="0" collapsed="false">
      <c r="A5820" s="3" t="n">
        <v>5819</v>
      </c>
      <c r="B5820" s="3" t="n">
        <v>5818</v>
      </c>
      <c r="C5820" s="3" t="n">
        <v>7</v>
      </c>
      <c r="D5820" s="3" t="n">
        <v>11</v>
      </c>
      <c r="E5820" s="3" t="n">
        <v>22</v>
      </c>
      <c r="F5820" s="24" t="n">
        <v>0.383370996</v>
      </c>
    </row>
    <row r="5821" customFormat="false" ht="15" hidden="false" customHeight="false" outlineLevel="0" collapsed="false">
      <c r="A5821" s="3" t="n">
        <v>5820</v>
      </c>
      <c r="B5821" s="3" t="n">
        <v>5819</v>
      </c>
      <c r="C5821" s="3" t="n">
        <v>7</v>
      </c>
      <c r="D5821" s="3" t="n">
        <v>11</v>
      </c>
      <c r="E5821" s="3" t="n">
        <v>23</v>
      </c>
      <c r="F5821" s="24" t="n">
        <v>-0.0628041923</v>
      </c>
    </row>
    <row r="5822" customFormat="false" ht="15" hidden="false" customHeight="false" outlineLevel="0" collapsed="false">
      <c r="A5822" s="3" t="n">
        <v>5821</v>
      </c>
      <c r="B5822" s="3" t="n">
        <v>5820</v>
      </c>
      <c r="C5822" s="3" t="n">
        <v>7</v>
      </c>
      <c r="D5822" s="3" t="n">
        <v>11</v>
      </c>
      <c r="E5822" s="3" t="n">
        <v>24</v>
      </c>
      <c r="F5822" s="24" t="n">
        <v>-0.0628041923</v>
      </c>
    </row>
    <row r="5823" customFormat="false" ht="15" hidden="false" customHeight="false" outlineLevel="0" collapsed="false">
      <c r="A5823" s="3" t="n">
        <v>5822</v>
      </c>
      <c r="B5823" s="3" t="n">
        <v>5821</v>
      </c>
      <c r="C5823" s="3" t="n">
        <v>7</v>
      </c>
      <c r="D5823" s="3" t="n">
        <v>11</v>
      </c>
      <c r="E5823" s="3" t="n">
        <v>25</v>
      </c>
      <c r="F5823" s="24" t="n">
        <v>-0.0628041923</v>
      </c>
    </row>
    <row r="5824" customFormat="false" ht="15" hidden="false" customHeight="false" outlineLevel="0" collapsed="false">
      <c r="A5824" s="3" t="n">
        <v>5823</v>
      </c>
      <c r="B5824" s="3" t="n">
        <v>5822</v>
      </c>
      <c r="C5824" s="3" t="n">
        <v>7</v>
      </c>
      <c r="D5824" s="3" t="n">
        <v>11</v>
      </c>
      <c r="E5824" s="3" t="n">
        <v>26</v>
      </c>
      <c r="F5824" s="24" t="n">
        <v>-0.0628041923</v>
      </c>
    </row>
    <row r="5825" customFormat="false" ht="15" hidden="false" customHeight="false" outlineLevel="0" collapsed="false">
      <c r="A5825" s="3" t="n">
        <v>5824</v>
      </c>
      <c r="B5825" s="3" t="n">
        <v>5823</v>
      </c>
      <c r="C5825" s="3" t="n">
        <v>7</v>
      </c>
      <c r="D5825" s="3" t="n">
        <v>11</v>
      </c>
      <c r="E5825" s="3" t="n">
        <v>27</v>
      </c>
      <c r="F5825" s="24" t="n">
        <v>-0.504603028</v>
      </c>
    </row>
    <row r="5826" customFormat="false" ht="15" hidden="false" customHeight="false" outlineLevel="0" collapsed="false">
      <c r="A5826" s="3" t="n">
        <v>5825</v>
      </c>
      <c r="B5826" s="3" t="n">
        <v>5824</v>
      </c>
      <c r="C5826" s="3" t="n">
        <v>7</v>
      </c>
      <c r="D5826" s="3" t="n">
        <v>12</v>
      </c>
      <c r="E5826" s="3" t="n">
        <v>0</v>
      </c>
      <c r="F5826" s="24" t="n">
        <v>0.259080142</v>
      </c>
    </row>
    <row r="5827" customFormat="false" ht="15" hidden="false" customHeight="false" outlineLevel="0" collapsed="false">
      <c r="A5827" s="3" t="n">
        <v>5826</v>
      </c>
      <c r="B5827" s="3" t="n">
        <v>5825</v>
      </c>
      <c r="C5827" s="3" t="n">
        <v>7</v>
      </c>
      <c r="D5827" s="3" t="n">
        <v>12</v>
      </c>
      <c r="E5827" s="3" t="n">
        <v>1</v>
      </c>
      <c r="F5827" s="24" t="n">
        <v>-0.0628041923</v>
      </c>
    </row>
    <row r="5828" customFormat="false" ht="15" hidden="false" customHeight="false" outlineLevel="0" collapsed="false">
      <c r="A5828" s="3" t="n">
        <v>5827</v>
      </c>
      <c r="B5828" s="3" t="n">
        <v>5826</v>
      </c>
      <c r="C5828" s="3" t="n">
        <v>7</v>
      </c>
      <c r="D5828" s="3" t="n">
        <v>12</v>
      </c>
      <c r="E5828" s="3" t="n">
        <v>2</v>
      </c>
      <c r="F5828" s="24" t="n">
        <v>-0.0628041923</v>
      </c>
    </row>
    <row r="5829" customFormat="false" ht="15" hidden="false" customHeight="false" outlineLevel="0" collapsed="false">
      <c r="A5829" s="3" t="n">
        <v>5828</v>
      </c>
      <c r="B5829" s="3" t="n">
        <v>5827</v>
      </c>
      <c r="C5829" s="3" t="n">
        <v>7</v>
      </c>
      <c r="D5829" s="3" t="n">
        <v>12</v>
      </c>
      <c r="E5829" s="3" t="n">
        <v>3</v>
      </c>
      <c r="F5829" s="24" t="n">
        <v>-0.0628041923</v>
      </c>
    </row>
    <row r="5830" customFormat="false" ht="15" hidden="false" customHeight="false" outlineLevel="0" collapsed="false">
      <c r="A5830" s="3" t="n">
        <v>5829</v>
      </c>
      <c r="B5830" s="3" t="n">
        <v>5828</v>
      </c>
      <c r="C5830" s="3" t="n">
        <v>7</v>
      </c>
      <c r="D5830" s="3" t="n">
        <v>12</v>
      </c>
      <c r="E5830" s="3" t="n">
        <v>4</v>
      </c>
      <c r="F5830" s="24" t="n">
        <v>-0.0628041923</v>
      </c>
    </row>
    <row r="5831" customFormat="false" ht="15" hidden="false" customHeight="false" outlineLevel="0" collapsed="false">
      <c r="A5831" s="3" t="n">
        <v>5830</v>
      </c>
      <c r="B5831" s="3" t="n">
        <v>5829</v>
      </c>
      <c r="C5831" s="3" t="n">
        <v>7</v>
      </c>
      <c r="D5831" s="3" t="n">
        <v>12</v>
      </c>
      <c r="E5831" s="3" t="n">
        <v>5</v>
      </c>
      <c r="F5831" s="24" t="n">
        <v>-0.0628041923</v>
      </c>
    </row>
    <row r="5832" customFormat="false" ht="15" hidden="false" customHeight="false" outlineLevel="0" collapsed="false">
      <c r="A5832" s="3" t="n">
        <v>5831</v>
      </c>
      <c r="B5832" s="3" t="n">
        <v>5830</v>
      </c>
      <c r="C5832" s="3" t="n">
        <v>7</v>
      </c>
      <c r="D5832" s="3" t="n">
        <v>12</v>
      </c>
      <c r="E5832" s="3" t="n">
        <v>6</v>
      </c>
      <c r="F5832" s="24" t="n">
        <v>-0.0628041923</v>
      </c>
    </row>
    <row r="5833" customFormat="false" ht="15" hidden="false" customHeight="false" outlineLevel="0" collapsed="false">
      <c r="A5833" s="3" t="n">
        <v>5832</v>
      </c>
      <c r="B5833" s="3" t="n">
        <v>5831</v>
      </c>
      <c r="C5833" s="3" t="n">
        <v>7</v>
      </c>
      <c r="D5833" s="3" t="n">
        <v>12</v>
      </c>
      <c r="E5833" s="3" t="n">
        <v>7</v>
      </c>
      <c r="F5833" s="24" t="n">
        <v>-0.0628041923</v>
      </c>
    </row>
    <row r="5834" customFormat="false" ht="15" hidden="false" customHeight="false" outlineLevel="0" collapsed="false">
      <c r="A5834" s="3" t="n">
        <v>5833</v>
      </c>
      <c r="B5834" s="3" t="n">
        <v>5832</v>
      </c>
      <c r="C5834" s="3" t="n">
        <v>7</v>
      </c>
      <c r="D5834" s="3" t="n">
        <v>12</v>
      </c>
      <c r="E5834" s="3" t="n">
        <v>8</v>
      </c>
      <c r="F5834" s="24" t="n">
        <v>-0.0628041923</v>
      </c>
    </row>
    <row r="5835" customFormat="false" ht="15" hidden="false" customHeight="false" outlineLevel="0" collapsed="false">
      <c r="A5835" s="3" t="n">
        <v>5834</v>
      </c>
      <c r="B5835" s="3" t="n">
        <v>5833</v>
      </c>
      <c r="C5835" s="3" t="n">
        <v>7</v>
      </c>
      <c r="D5835" s="3" t="n">
        <v>12</v>
      </c>
      <c r="E5835" s="3" t="n">
        <v>9</v>
      </c>
      <c r="F5835" s="24" t="n">
        <v>-0.0628041923</v>
      </c>
    </row>
    <row r="5836" customFormat="false" ht="15" hidden="false" customHeight="false" outlineLevel="0" collapsed="false">
      <c r="A5836" s="3" t="n">
        <v>5835</v>
      </c>
      <c r="B5836" s="3" t="n">
        <v>5834</v>
      </c>
      <c r="C5836" s="3" t="n">
        <v>7</v>
      </c>
      <c r="D5836" s="3" t="n">
        <v>12</v>
      </c>
      <c r="E5836" s="3" t="n">
        <v>10</v>
      </c>
      <c r="F5836" s="24" t="n">
        <v>-0.0628041923</v>
      </c>
    </row>
    <row r="5837" customFormat="false" ht="15" hidden="false" customHeight="false" outlineLevel="0" collapsed="false">
      <c r="A5837" s="3" t="n">
        <v>5836</v>
      </c>
      <c r="B5837" s="3" t="n">
        <v>5835</v>
      </c>
      <c r="C5837" s="3" t="n">
        <v>7</v>
      </c>
      <c r="D5837" s="3" t="n">
        <v>12</v>
      </c>
      <c r="E5837" s="3" t="n">
        <v>11</v>
      </c>
      <c r="F5837" s="24" t="n">
        <v>-0.0628041923</v>
      </c>
    </row>
    <row r="5838" customFormat="false" ht="15" hidden="false" customHeight="false" outlineLevel="0" collapsed="false">
      <c r="A5838" s="3" t="n">
        <v>5837</v>
      </c>
      <c r="B5838" s="3" t="n">
        <v>5836</v>
      </c>
      <c r="C5838" s="3" t="n">
        <v>7</v>
      </c>
      <c r="D5838" s="3" t="n">
        <v>12</v>
      </c>
      <c r="E5838" s="3" t="n">
        <v>12</v>
      </c>
      <c r="F5838" s="24" t="n">
        <v>-0.0628041923</v>
      </c>
    </row>
    <row r="5839" customFormat="false" ht="15" hidden="false" customHeight="false" outlineLevel="0" collapsed="false">
      <c r="A5839" s="3" t="n">
        <v>5838</v>
      </c>
      <c r="B5839" s="3" t="n">
        <v>5837</v>
      </c>
      <c r="C5839" s="3" t="n">
        <v>7</v>
      </c>
      <c r="D5839" s="3" t="n">
        <v>12</v>
      </c>
      <c r="E5839" s="3" t="n">
        <v>13</v>
      </c>
      <c r="F5839" s="24" t="n">
        <v>-0.0628041923</v>
      </c>
    </row>
    <row r="5840" customFormat="false" ht="15" hidden="false" customHeight="false" outlineLevel="0" collapsed="false">
      <c r="A5840" s="3" t="n">
        <v>5839</v>
      </c>
      <c r="B5840" s="3" t="n">
        <v>5838</v>
      </c>
      <c r="C5840" s="3" t="n">
        <v>7</v>
      </c>
      <c r="D5840" s="3" t="n">
        <v>12</v>
      </c>
      <c r="E5840" s="3" t="n">
        <v>14</v>
      </c>
      <c r="F5840" s="24" t="n">
        <v>-0.0628041923</v>
      </c>
    </row>
    <row r="5841" customFormat="false" ht="15" hidden="false" customHeight="false" outlineLevel="0" collapsed="false">
      <c r="A5841" s="3" t="n">
        <v>5840</v>
      </c>
      <c r="B5841" s="3" t="n">
        <v>5839</v>
      </c>
      <c r="C5841" s="3" t="n">
        <v>7</v>
      </c>
      <c r="D5841" s="3" t="n">
        <v>12</v>
      </c>
      <c r="E5841" s="3" t="n">
        <v>15</v>
      </c>
      <c r="F5841" s="24" t="n">
        <v>-0.0628041923</v>
      </c>
    </row>
    <row r="5842" customFormat="false" ht="15" hidden="false" customHeight="false" outlineLevel="0" collapsed="false">
      <c r="A5842" s="3" t="n">
        <v>5841</v>
      </c>
      <c r="B5842" s="3" t="n">
        <v>5840</v>
      </c>
      <c r="C5842" s="3" t="n">
        <v>7</v>
      </c>
      <c r="D5842" s="3" t="n">
        <v>12</v>
      </c>
      <c r="E5842" s="3" t="n">
        <v>16</v>
      </c>
      <c r="F5842" s="24" t="n">
        <v>-0.00809460878</v>
      </c>
    </row>
    <row r="5843" customFormat="false" ht="15" hidden="false" customHeight="false" outlineLevel="0" collapsed="false">
      <c r="A5843" s="3" t="n">
        <v>5842</v>
      </c>
      <c r="B5843" s="3" t="n">
        <v>5841</v>
      </c>
      <c r="C5843" s="3" t="n">
        <v>7</v>
      </c>
      <c r="D5843" s="3" t="n">
        <v>12</v>
      </c>
      <c r="E5843" s="3" t="n">
        <v>17</v>
      </c>
      <c r="F5843" s="24" t="n">
        <v>-0.745620251</v>
      </c>
    </row>
    <row r="5844" customFormat="false" ht="15" hidden="false" customHeight="false" outlineLevel="0" collapsed="false">
      <c r="A5844" s="3" t="n">
        <v>5843</v>
      </c>
      <c r="B5844" s="3" t="n">
        <v>5842</v>
      </c>
      <c r="C5844" s="3" t="n">
        <v>7</v>
      </c>
      <c r="D5844" s="3" t="n">
        <v>12</v>
      </c>
      <c r="E5844" s="3" t="n">
        <v>18</v>
      </c>
      <c r="F5844" s="24" t="n">
        <v>-0.99465102</v>
      </c>
    </row>
    <row r="5845" customFormat="false" ht="15" hidden="false" customHeight="false" outlineLevel="0" collapsed="false">
      <c r="A5845" s="3" t="n">
        <v>5844</v>
      </c>
      <c r="B5845" s="3" t="n">
        <v>5843</v>
      </c>
      <c r="C5845" s="3" t="n">
        <v>7</v>
      </c>
      <c r="D5845" s="3" t="n">
        <v>12</v>
      </c>
      <c r="E5845" s="3" t="n">
        <v>19</v>
      </c>
      <c r="F5845" s="24" t="n">
        <v>1.9799993</v>
      </c>
    </row>
    <row r="5846" customFormat="false" ht="15" hidden="false" customHeight="false" outlineLevel="0" collapsed="false">
      <c r="A5846" s="3" t="n">
        <v>5845</v>
      </c>
      <c r="B5846" s="3" t="n">
        <v>5844</v>
      </c>
      <c r="C5846" s="3" t="n">
        <v>7</v>
      </c>
      <c r="D5846" s="3" t="n">
        <v>12</v>
      </c>
      <c r="E5846" s="3" t="n">
        <v>20</v>
      </c>
      <c r="F5846" s="24" t="n">
        <v>2.94868374</v>
      </c>
    </row>
    <row r="5847" customFormat="false" ht="15" hidden="false" customHeight="false" outlineLevel="0" collapsed="false">
      <c r="A5847" s="3" t="n">
        <v>5846</v>
      </c>
      <c r="B5847" s="3" t="n">
        <v>5845</v>
      </c>
      <c r="C5847" s="3" t="n">
        <v>7</v>
      </c>
      <c r="D5847" s="3" t="n">
        <v>12</v>
      </c>
      <c r="E5847" s="3" t="n">
        <v>21</v>
      </c>
      <c r="F5847" s="24" t="n">
        <v>1.15926528</v>
      </c>
    </row>
    <row r="5848" customFormat="false" ht="15" hidden="false" customHeight="false" outlineLevel="0" collapsed="false">
      <c r="A5848" s="3" t="n">
        <v>5847</v>
      </c>
      <c r="B5848" s="3" t="n">
        <v>5846</v>
      </c>
      <c r="C5848" s="3" t="n">
        <v>7</v>
      </c>
      <c r="D5848" s="3" t="n">
        <v>12</v>
      </c>
      <c r="E5848" s="3" t="n">
        <v>22</v>
      </c>
      <c r="F5848" s="24" t="n">
        <v>-0.00770588219</v>
      </c>
    </row>
    <row r="5849" customFormat="false" ht="15" hidden="false" customHeight="false" outlineLevel="0" collapsed="false">
      <c r="A5849" s="3" t="n">
        <v>5848</v>
      </c>
      <c r="B5849" s="3" t="n">
        <v>5847</v>
      </c>
      <c r="C5849" s="3" t="n">
        <v>7</v>
      </c>
      <c r="D5849" s="3" t="n">
        <v>12</v>
      </c>
      <c r="E5849" s="3" t="n">
        <v>23</v>
      </c>
      <c r="F5849" s="24" t="n">
        <v>-0.0628041923</v>
      </c>
    </row>
    <row r="5850" customFormat="false" ht="15" hidden="false" customHeight="false" outlineLevel="0" collapsed="false">
      <c r="A5850" s="3" t="n">
        <v>5849</v>
      </c>
      <c r="B5850" s="3" t="n">
        <v>5848</v>
      </c>
      <c r="C5850" s="3" t="n">
        <v>7</v>
      </c>
      <c r="D5850" s="3" t="n">
        <v>12</v>
      </c>
      <c r="E5850" s="3" t="n">
        <v>24</v>
      </c>
      <c r="F5850" s="24" t="n">
        <v>-0.0628041923</v>
      </c>
    </row>
    <row r="5851" customFormat="false" ht="15" hidden="false" customHeight="false" outlineLevel="0" collapsed="false">
      <c r="A5851" s="3" t="n">
        <v>5850</v>
      </c>
      <c r="B5851" s="3" t="n">
        <v>5849</v>
      </c>
      <c r="C5851" s="3" t="n">
        <v>7</v>
      </c>
      <c r="D5851" s="3" t="n">
        <v>12</v>
      </c>
      <c r="E5851" s="3" t="n">
        <v>25</v>
      </c>
      <c r="F5851" s="24" t="n">
        <v>-0.0628041923</v>
      </c>
    </row>
    <row r="5852" customFormat="false" ht="15" hidden="false" customHeight="false" outlineLevel="0" collapsed="false">
      <c r="A5852" s="3" t="n">
        <v>5851</v>
      </c>
      <c r="B5852" s="3" t="n">
        <v>5850</v>
      </c>
      <c r="C5852" s="3" t="n">
        <v>7</v>
      </c>
      <c r="D5852" s="3" t="n">
        <v>12</v>
      </c>
      <c r="E5852" s="3" t="n">
        <v>26</v>
      </c>
      <c r="F5852" s="24" t="n">
        <v>-0.0628041923</v>
      </c>
    </row>
    <row r="5853" customFormat="false" ht="15" hidden="false" customHeight="false" outlineLevel="0" collapsed="false">
      <c r="A5853" s="3" t="n">
        <v>5852</v>
      </c>
      <c r="B5853" s="3" t="n">
        <v>5851</v>
      </c>
      <c r="C5853" s="3" t="n">
        <v>7</v>
      </c>
      <c r="D5853" s="3" t="n">
        <v>12</v>
      </c>
      <c r="E5853" s="3" t="n">
        <v>27</v>
      </c>
      <c r="F5853" s="24" t="n">
        <v>-0.504603028</v>
      </c>
    </row>
    <row r="5854" customFormat="false" ht="15" hidden="false" customHeight="false" outlineLevel="0" collapsed="false">
      <c r="A5854" s="3" t="n">
        <v>5853</v>
      </c>
      <c r="B5854" s="3" t="n">
        <v>5852</v>
      </c>
      <c r="C5854" s="3" t="n">
        <v>7</v>
      </c>
      <c r="D5854" s="3" t="n">
        <v>13</v>
      </c>
      <c r="E5854" s="3" t="n">
        <v>0</v>
      </c>
      <c r="F5854" s="24" t="n">
        <v>0.259080142</v>
      </c>
    </row>
    <row r="5855" customFormat="false" ht="15" hidden="false" customHeight="false" outlineLevel="0" collapsed="false">
      <c r="A5855" s="3" t="n">
        <v>5854</v>
      </c>
      <c r="B5855" s="3" t="n">
        <v>5853</v>
      </c>
      <c r="C5855" s="3" t="n">
        <v>7</v>
      </c>
      <c r="D5855" s="3" t="n">
        <v>13</v>
      </c>
      <c r="E5855" s="3" t="n">
        <v>1</v>
      </c>
      <c r="F5855" s="24" t="n">
        <v>-0.0628041923</v>
      </c>
    </row>
    <row r="5856" customFormat="false" ht="15" hidden="false" customHeight="false" outlineLevel="0" collapsed="false">
      <c r="A5856" s="3" t="n">
        <v>5855</v>
      </c>
      <c r="B5856" s="3" t="n">
        <v>5854</v>
      </c>
      <c r="C5856" s="3" t="n">
        <v>7</v>
      </c>
      <c r="D5856" s="3" t="n">
        <v>13</v>
      </c>
      <c r="E5856" s="3" t="n">
        <v>2</v>
      </c>
      <c r="F5856" s="24" t="n">
        <v>-0.0628041923</v>
      </c>
    </row>
    <row r="5857" customFormat="false" ht="15" hidden="false" customHeight="false" outlineLevel="0" collapsed="false">
      <c r="A5857" s="3" t="n">
        <v>5856</v>
      </c>
      <c r="B5857" s="3" t="n">
        <v>5855</v>
      </c>
      <c r="C5857" s="3" t="n">
        <v>7</v>
      </c>
      <c r="D5857" s="3" t="n">
        <v>13</v>
      </c>
      <c r="E5857" s="3" t="n">
        <v>3</v>
      </c>
      <c r="F5857" s="24" t="n">
        <v>-0.0628041923</v>
      </c>
    </row>
    <row r="5858" customFormat="false" ht="15" hidden="false" customHeight="false" outlineLevel="0" collapsed="false">
      <c r="A5858" s="3" t="n">
        <v>5857</v>
      </c>
      <c r="B5858" s="3" t="n">
        <v>5856</v>
      </c>
      <c r="C5858" s="3" t="n">
        <v>7</v>
      </c>
      <c r="D5858" s="3" t="n">
        <v>13</v>
      </c>
      <c r="E5858" s="3" t="n">
        <v>4</v>
      </c>
      <c r="F5858" s="24" t="n">
        <v>-0.0628041923</v>
      </c>
    </row>
    <row r="5859" customFormat="false" ht="15" hidden="false" customHeight="false" outlineLevel="0" collapsed="false">
      <c r="A5859" s="3" t="n">
        <v>5858</v>
      </c>
      <c r="B5859" s="3" t="n">
        <v>5857</v>
      </c>
      <c r="C5859" s="3" t="n">
        <v>7</v>
      </c>
      <c r="D5859" s="3" t="n">
        <v>13</v>
      </c>
      <c r="E5859" s="3" t="n">
        <v>5</v>
      </c>
      <c r="F5859" s="24" t="n">
        <v>-0.0628041923</v>
      </c>
    </row>
    <row r="5860" customFormat="false" ht="15" hidden="false" customHeight="false" outlineLevel="0" collapsed="false">
      <c r="A5860" s="3" t="n">
        <v>5859</v>
      </c>
      <c r="B5860" s="3" t="n">
        <v>5858</v>
      </c>
      <c r="C5860" s="3" t="n">
        <v>7</v>
      </c>
      <c r="D5860" s="3" t="n">
        <v>13</v>
      </c>
      <c r="E5860" s="3" t="n">
        <v>6</v>
      </c>
      <c r="F5860" s="24" t="n">
        <v>-0.0628041923</v>
      </c>
    </row>
    <row r="5861" customFormat="false" ht="15" hidden="false" customHeight="false" outlineLevel="0" collapsed="false">
      <c r="A5861" s="3" t="n">
        <v>5860</v>
      </c>
      <c r="B5861" s="3" t="n">
        <v>5859</v>
      </c>
      <c r="C5861" s="3" t="n">
        <v>7</v>
      </c>
      <c r="D5861" s="3" t="n">
        <v>13</v>
      </c>
      <c r="E5861" s="3" t="n">
        <v>7</v>
      </c>
      <c r="F5861" s="24" t="n">
        <v>-0.0628041923</v>
      </c>
    </row>
    <row r="5862" customFormat="false" ht="15" hidden="false" customHeight="false" outlineLevel="0" collapsed="false">
      <c r="A5862" s="3" t="n">
        <v>5861</v>
      </c>
      <c r="B5862" s="3" t="n">
        <v>5860</v>
      </c>
      <c r="C5862" s="3" t="n">
        <v>7</v>
      </c>
      <c r="D5862" s="3" t="n">
        <v>13</v>
      </c>
      <c r="E5862" s="3" t="n">
        <v>8</v>
      </c>
      <c r="F5862" s="24" t="n">
        <v>-0.0628041923</v>
      </c>
    </row>
    <row r="5863" customFormat="false" ht="15" hidden="false" customHeight="false" outlineLevel="0" collapsed="false">
      <c r="A5863" s="3" t="n">
        <v>5862</v>
      </c>
      <c r="B5863" s="3" t="n">
        <v>5861</v>
      </c>
      <c r="C5863" s="3" t="n">
        <v>7</v>
      </c>
      <c r="D5863" s="3" t="n">
        <v>13</v>
      </c>
      <c r="E5863" s="3" t="n">
        <v>9</v>
      </c>
      <c r="F5863" s="24" t="n">
        <v>-0.0628041923</v>
      </c>
    </row>
    <row r="5864" customFormat="false" ht="15" hidden="false" customHeight="false" outlineLevel="0" collapsed="false">
      <c r="A5864" s="3" t="n">
        <v>5863</v>
      </c>
      <c r="B5864" s="3" t="n">
        <v>5862</v>
      </c>
      <c r="C5864" s="3" t="n">
        <v>7</v>
      </c>
      <c r="D5864" s="3" t="n">
        <v>13</v>
      </c>
      <c r="E5864" s="3" t="n">
        <v>10</v>
      </c>
      <c r="F5864" s="24" t="n">
        <v>-0.0628041923</v>
      </c>
    </row>
    <row r="5865" customFormat="false" ht="15" hidden="false" customHeight="false" outlineLevel="0" collapsed="false">
      <c r="A5865" s="3" t="n">
        <v>5864</v>
      </c>
      <c r="B5865" s="3" t="n">
        <v>5863</v>
      </c>
      <c r="C5865" s="3" t="n">
        <v>7</v>
      </c>
      <c r="D5865" s="3" t="n">
        <v>13</v>
      </c>
      <c r="E5865" s="3" t="n">
        <v>11</v>
      </c>
      <c r="F5865" s="24" t="n">
        <v>-0.0628041923</v>
      </c>
    </row>
    <row r="5866" customFormat="false" ht="15" hidden="false" customHeight="false" outlineLevel="0" collapsed="false">
      <c r="A5866" s="3" t="n">
        <v>5865</v>
      </c>
      <c r="B5866" s="3" t="n">
        <v>5864</v>
      </c>
      <c r="C5866" s="3" t="n">
        <v>7</v>
      </c>
      <c r="D5866" s="3" t="n">
        <v>13</v>
      </c>
      <c r="E5866" s="3" t="n">
        <v>12</v>
      </c>
      <c r="F5866" s="24" t="n">
        <v>-0.0628041923</v>
      </c>
    </row>
    <row r="5867" customFormat="false" ht="15" hidden="false" customHeight="false" outlineLevel="0" collapsed="false">
      <c r="A5867" s="3" t="n">
        <v>5866</v>
      </c>
      <c r="B5867" s="3" t="n">
        <v>5865</v>
      </c>
      <c r="C5867" s="3" t="n">
        <v>7</v>
      </c>
      <c r="D5867" s="3" t="n">
        <v>13</v>
      </c>
      <c r="E5867" s="3" t="n">
        <v>13</v>
      </c>
      <c r="F5867" s="24" t="n">
        <v>-0.0628041923</v>
      </c>
    </row>
    <row r="5868" customFormat="false" ht="15" hidden="false" customHeight="false" outlineLevel="0" collapsed="false">
      <c r="A5868" s="3" t="n">
        <v>5867</v>
      </c>
      <c r="B5868" s="3" t="n">
        <v>5866</v>
      </c>
      <c r="C5868" s="3" t="n">
        <v>7</v>
      </c>
      <c r="D5868" s="3" t="n">
        <v>13</v>
      </c>
      <c r="E5868" s="3" t="n">
        <v>14</v>
      </c>
      <c r="F5868" s="24" t="n">
        <v>-0.0628041923</v>
      </c>
    </row>
    <row r="5869" customFormat="false" ht="15" hidden="false" customHeight="false" outlineLevel="0" collapsed="false">
      <c r="A5869" s="3" t="n">
        <v>5868</v>
      </c>
      <c r="B5869" s="3" t="n">
        <v>5867</v>
      </c>
      <c r="C5869" s="3" t="n">
        <v>7</v>
      </c>
      <c r="D5869" s="3" t="n">
        <v>13</v>
      </c>
      <c r="E5869" s="3" t="n">
        <v>15</v>
      </c>
      <c r="F5869" s="24" t="n">
        <v>0.0284900218</v>
      </c>
    </row>
    <row r="5870" customFormat="false" ht="15" hidden="false" customHeight="false" outlineLevel="0" collapsed="false">
      <c r="A5870" s="3" t="n">
        <v>5869</v>
      </c>
      <c r="B5870" s="3" t="n">
        <v>5868</v>
      </c>
      <c r="C5870" s="3" t="n">
        <v>7</v>
      </c>
      <c r="D5870" s="3" t="n">
        <v>13</v>
      </c>
      <c r="E5870" s="3" t="n">
        <v>16</v>
      </c>
      <c r="F5870" s="24" t="n">
        <v>-0.183723241</v>
      </c>
    </row>
    <row r="5871" customFormat="false" ht="15" hidden="false" customHeight="false" outlineLevel="0" collapsed="false">
      <c r="A5871" s="3" t="n">
        <v>5870</v>
      </c>
      <c r="B5871" s="3" t="n">
        <v>5869</v>
      </c>
      <c r="C5871" s="3" t="n">
        <v>7</v>
      </c>
      <c r="D5871" s="3" t="n">
        <v>13</v>
      </c>
      <c r="E5871" s="3" t="n">
        <v>17</v>
      </c>
      <c r="F5871" s="24" t="n">
        <v>-1.05139852</v>
      </c>
    </row>
    <row r="5872" customFormat="false" ht="15" hidden="false" customHeight="false" outlineLevel="0" collapsed="false">
      <c r="A5872" s="3" t="n">
        <v>5871</v>
      </c>
      <c r="B5872" s="3" t="n">
        <v>5870</v>
      </c>
      <c r="C5872" s="3" t="n">
        <v>7</v>
      </c>
      <c r="D5872" s="3" t="n">
        <v>13</v>
      </c>
      <c r="E5872" s="3" t="n">
        <v>18</v>
      </c>
      <c r="F5872" s="24" t="n">
        <v>-0.169211745</v>
      </c>
    </row>
    <row r="5873" customFormat="false" ht="15" hidden="false" customHeight="false" outlineLevel="0" collapsed="false">
      <c r="A5873" s="3" t="n">
        <v>5872</v>
      </c>
      <c r="B5873" s="3" t="n">
        <v>5871</v>
      </c>
      <c r="C5873" s="3" t="n">
        <v>7</v>
      </c>
      <c r="D5873" s="3" t="n">
        <v>13</v>
      </c>
      <c r="E5873" s="3" t="n">
        <v>19</v>
      </c>
      <c r="F5873" s="24" t="n">
        <v>2.24882913</v>
      </c>
    </row>
    <row r="5874" customFormat="false" ht="15" hidden="false" customHeight="false" outlineLevel="0" collapsed="false">
      <c r="A5874" s="3" t="n">
        <v>5873</v>
      </c>
      <c r="B5874" s="3" t="n">
        <v>5872</v>
      </c>
      <c r="C5874" s="3" t="n">
        <v>7</v>
      </c>
      <c r="D5874" s="3" t="n">
        <v>13</v>
      </c>
      <c r="E5874" s="3" t="n">
        <v>20</v>
      </c>
      <c r="F5874" s="24" t="n">
        <v>2.43682289</v>
      </c>
    </row>
    <row r="5875" customFormat="false" ht="15" hidden="false" customHeight="false" outlineLevel="0" collapsed="false">
      <c r="A5875" s="3" t="n">
        <v>5874</v>
      </c>
      <c r="B5875" s="3" t="n">
        <v>5873</v>
      </c>
      <c r="C5875" s="3" t="n">
        <v>7</v>
      </c>
      <c r="D5875" s="3" t="n">
        <v>13</v>
      </c>
      <c r="E5875" s="3" t="n">
        <v>21</v>
      </c>
      <c r="F5875" s="24" t="n">
        <v>0.488766998</v>
      </c>
    </row>
    <row r="5876" customFormat="false" ht="15" hidden="false" customHeight="false" outlineLevel="0" collapsed="false">
      <c r="A5876" s="3" t="n">
        <v>5875</v>
      </c>
      <c r="B5876" s="3" t="n">
        <v>5874</v>
      </c>
      <c r="C5876" s="3" t="n">
        <v>7</v>
      </c>
      <c r="D5876" s="3" t="n">
        <v>13</v>
      </c>
      <c r="E5876" s="3" t="n">
        <v>22</v>
      </c>
      <c r="F5876" s="24" t="n">
        <v>-0.0628041923</v>
      </c>
    </row>
    <row r="5877" customFormat="false" ht="15" hidden="false" customHeight="false" outlineLevel="0" collapsed="false">
      <c r="A5877" s="3" t="n">
        <v>5876</v>
      </c>
      <c r="B5877" s="3" t="n">
        <v>5875</v>
      </c>
      <c r="C5877" s="3" t="n">
        <v>7</v>
      </c>
      <c r="D5877" s="3" t="n">
        <v>13</v>
      </c>
      <c r="E5877" s="3" t="n">
        <v>23</v>
      </c>
      <c r="F5877" s="24" t="n">
        <v>-0.0628041923</v>
      </c>
    </row>
    <row r="5878" customFormat="false" ht="15" hidden="false" customHeight="false" outlineLevel="0" collapsed="false">
      <c r="A5878" s="3" t="n">
        <v>5877</v>
      </c>
      <c r="B5878" s="3" t="n">
        <v>5876</v>
      </c>
      <c r="C5878" s="3" t="n">
        <v>7</v>
      </c>
      <c r="D5878" s="3" t="n">
        <v>13</v>
      </c>
      <c r="E5878" s="3" t="n">
        <v>24</v>
      </c>
      <c r="F5878" s="24" t="n">
        <v>-0.0628041923</v>
      </c>
    </row>
    <row r="5879" customFormat="false" ht="15" hidden="false" customHeight="false" outlineLevel="0" collapsed="false">
      <c r="A5879" s="3" t="n">
        <v>5878</v>
      </c>
      <c r="B5879" s="3" t="n">
        <v>5877</v>
      </c>
      <c r="C5879" s="3" t="n">
        <v>7</v>
      </c>
      <c r="D5879" s="3" t="n">
        <v>13</v>
      </c>
      <c r="E5879" s="3" t="n">
        <v>25</v>
      </c>
      <c r="F5879" s="24" t="n">
        <v>-0.0628041923</v>
      </c>
    </row>
    <row r="5880" customFormat="false" ht="15" hidden="false" customHeight="false" outlineLevel="0" collapsed="false">
      <c r="A5880" s="3" t="n">
        <v>5879</v>
      </c>
      <c r="B5880" s="3" t="n">
        <v>5878</v>
      </c>
      <c r="C5880" s="3" t="n">
        <v>7</v>
      </c>
      <c r="D5880" s="3" t="n">
        <v>13</v>
      </c>
      <c r="E5880" s="3" t="n">
        <v>26</v>
      </c>
      <c r="F5880" s="24" t="n">
        <v>-0.0628041923</v>
      </c>
    </row>
    <row r="5881" customFormat="false" ht="15" hidden="false" customHeight="false" outlineLevel="0" collapsed="false">
      <c r="A5881" s="3" t="n">
        <v>5880</v>
      </c>
      <c r="B5881" s="3" t="n">
        <v>5879</v>
      </c>
      <c r="C5881" s="3" t="n">
        <v>7</v>
      </c>
      <c r="D5881" s="3" t="n">
        <v>13</v>
      </c>
      <c r="E5881" s="3" t="n">
        <v>27</v>
      </c>
      <c r="F5881" s="24" t="n">
        <v>-0.504603028</v>
      </c>
    </row>
    <row r="5882" customFormat="false" ht="15" hidden="false" customHeight="false" outlineLevel="0" collapsed="false">
      <c r="A5882" s="3" t="n">
        <v>5881</v>
      </c>
      <c r="B5882" s="3" t="n">
        <v>5880</v>
      </c>
      <c r="C5882" s="3" t="n">
        <v>7</v>
      </c>
      <c r="D5882" s="3" t="n">
        <v>14</v>
      </c>
      <c r="E5882" s="3" t="n">
        <v>0</v>
      </c>
      <c r="F5882" s="24" t="n">
        <v>0.259080142</v>
      </c>
    </row>
    <row r="5883" customFormat="false" ht="15" hidden="false" customHeight="false" outlineLevel="0" collapsed="false">
      <c r="A5883" s="3" t="n">
        <v>5882</v>
      </c>
      <c r="B5883" s="3" t="n">
        <v>5881</v>
      </c>
      <c r="C5883" s="3" t="n">
        <v>7</v>
      </c>
      <c r="D5883" s="3" t="n">
        <v>14</v>
      </c>
      <c r="E5883" s="3" t="n">
        <v>1</v>
      </c>
      <c r="F5883" s="24" t="n">
        <v>-0.0628041923</v>
      </c>
    </row>
    <row r="5884" customFormat="false" ht="15" hidden="false" customHeight="false" outlineLevel="0" collapsed="false">
      <c r="A5884" s="3" t="n">
        <v>5883</v>
      </c>
      <c r="B5884" s="3" t="n">
        <v>5882</v>
      </c>
      <c r="C5884" s="3" t="n">
        <v>7</v>
      </c>
      <c r="D5884" s="3" t="n">
        <v>14</v>
      </c>
      <c r="E5884" s="3" t="n">
        <v>2</v>
      </c>
      <c r="F5884" s="24" t="n">
        <v>-0.0628041923</v>
      </c>
    </row>
    <row r="5885" customFormat="false" ht="15" hidden="false" customHeight="false" outlineLevel="0" collapsed="false">
      <c r="A5885" s="3" t="n">
        <v>5884</v>
      </c>
      <c r="B5885" s="3" t="n">
        <v>5883</v>
      </c>
      <c r="C5885" s="3" t="n">
        <v>7</v>
      </c>
      <c r="D5885" s="3" t="n">
        <v>14</v>
      </c>
      <c r="E5885" s="3" t="n">
        <v>3</v>
      </c>
      <c r="F5885" s="24" t="n">
        <v>-0.0628041923</v>
      </c>
    </row>
    <row r="5886" customFormat="false" ht="15" hidden="false" customHeight="false" outlineLevel="0" collapsed="false">
      <c r="A5886" s="3" t="n">
        <v>5885</v>
      </c>
      <c r="B5886" s="3" t="n">
        <v>5884</v>
      </c>
      <c r="C5886" s="3" t="n">
        <v>7</v>
      </c>
      <c r="D5886" s="3" t="n">
        <v>14</v>
      </c>
      <c r="E5886" s="3" t="n">
        <v>4</v>
      </c>
      <c r="F5886" s="24" t="n">
        <v>-0.0628041923</v>
      </c>
    </row>
    <row r="5887" customFormat="false" ht="15" hidden="false" customHeight="false" outlineLevel="0" collapsed="false">
      <c r="A5887" s="3" t="n">
        <v>5886</v>
      </c>
      <c r="B5887" s="3" t="n">
        <v>5885</v>
      </c>
      <c r="C5887" s="3" t="n">
        <v>7</v>
      </c>
      <c r="D5887" s="3" t="n">
        <v>14</v>
      </c>
      <c r="E5887" s="3" t="n">
        <v>5</v>
      </c>
      <c r="F5887" s="24" t="n">
        <v>-0.0628041923</v>
      </c>
    </row>
    <row r="5888" customFormat="false" ht="15" hidden="false" customHeight="false" outlineLevel="0" collapsed="false">
      <c r="A5888" s="3" t="n">
        <v>5887</v>
      </c>
      <c r="B5888" s="3" t="n">
        <v>5886</v>
      </c>
      <c r="C5888" s="3" t="n">
        <v>7</v>
      </c>
      <c r="D5888" s="3" t="n">
        <v>14</v>
      </c>
      <c r="E5888" s="3" t="n">
        <v>6</v>
      </c>
      <c r="F5888" s="24" t="n">
        <v>-0.0628041923</v>
      </c>
    </row>
    <row r="5889" customFormat="false" ht="15" hidden="false" customHeight="false" outlineLevel="0" collapsed="false">
      <c r="A5889" s="3" t="n">
        <v>5888</v>
      </c>
      <c r="B5889" s="3" t="n">
        <v>5887</v>
      </c>
      <c r="C5889" s="3" t="n">
        <v>7</v>
      </c>
      <c r="D5889" s="3" t="n">
        <v>14</v>
      </c>
      <c r="E5889" s="3" t="n">
        <v>7</v>
      </c>
      <c r="F5889" s="24" t="n">
        <v>-0.0628041923</v>
      </c>
    </row>
    <row r="5890" customFormat="false" ht="15" hidden="false" customHeight="false" outlineLevel="0" collapsed="false">
      <c r="A5890" s="3" t="n">
        <v>5889</v>
      </c>
      <c r="B5890" s="3" t="n">
        <v>5888</v>
      </c>
      <c r="C5890" s="3" t="n">
        <v>7</v>
      </c>
      <c r="D5890" s="3" t="n">
        <v>14</v>
      </c>
      <c r="E5890" s="3" t="n">
        <v>8</v>
      </c>
      <c r="F5890" s="24" t="n">
        <v>-0.0628041923</v>
      </c>
    </row>
    <row r="5891" customFormat="false" ht="15" hidden="false" customHeight="false" outlineLevel="0" collapsed="false">
      <c r="A5891" s="3" t="n">
        <v>5890</v>
      </c>
      <c r="B5891" s="3" t="n">
        <v>5889</v>
      </c>
      <c r="C5891" s="3" t="n">
        <v>7</v>
      </c>
      <c r="D5891" s="3" t="n">
        <v>14</v>
      </c>
      <c r="E5891" s="3" t="n">
        <v>9</v>
      </c>
      <c r="F5891" s="24" t="n">
        <v>-0.0628041923</v>
      </c>
    </row>
    <row r="5892" customFormat="false" ht="15" hidden="false" customHeight="false" outlineLevel="0" collapsed="false">
      <c r="A5892" s="3" t="n">
        <v>5891</v>
      </c>
      <c r="B5892" s="3" t="n">
        <v>5890</v>
      </c>
      <c r="C5892" s="3" t="n">
        <v>7</v>
      </c>
      <c r="D5892" s="3" t="n">
        <v>14</v>
      </c>
      <c r="E5892" s="3" t="n">
        <v>10</v>
      </c>
      <c r="F5892" s="24" t="n">
        <v>-0.0628041923</v>
      </c>
    </row>
    <row r="5893" customFormat="false" ht="15" hidden="false" customHeight="false" outlineLevel="0" collapsed="false">
      <c r="A5893" s="3" t="n">
        <v>5892</v>
      </c>
      <c r="B5893" s="3" t="n">
        <v>5891</v>
      </c>
      <c r="C5893" s="3" t="n">
        <v>7</v>
      </c>
      <c r="D5893" s="3" t="n">
        <v>14</v>
      </c>
      <c r="E5893" s="3" t="n">
        <v>11</v>
      </c>
      <c r="F5893" s="24" t="n">
        <v>-0.0628041923</v>
      </c>
    </row>
    <row r="5894" customFormat="false" ht="15" hidden="false" customHeight="false" outlineLevel="0" collapsed="false">
      <c r="A5894" s="3" t="n">
        <v>5893</v>
      </c>
      <c r="B5894" s="3" t="n">
        <v>5892</v>
      </c>
      <c r="C5894" s="3" t="n">
        <v>7</v>
      </c>
      <c r="D5894" s="3" t="n">
        <v>14</v>
      </c>
      <c r="E5894" s="3" t="n">
        <v>12</v>
      </c>
      <c r="F5894" s="24" t="n">
        <v>-0.0628041923</v>
      </c>
    </row>
    <row r="5895" customFormat="false" ht="15" hidden="false" customHeight="false" outlineLevel="0" collapsed="false">
      <c r="A5895" s="3" t="n">
        <v>5894</v>
      </c>
      <c r="B5895" s="3" t="n">
        <v>5893</v>
      </c>
      <c r="C5895" s="3" t="n">
        <v>7</v>
      </c>
      <c r="D5895" s="3" t="n">
        <v>14</v>
      </c>
      <c r="E5895" s="3" t="n">
        <v>13</v>
      </c>
      <c r="F5895" s="24" t="n">
        <v>-0.0628041923</v>
      </c>
    </row>
    <row r="5896" customFormat="false" ht="15" hidden="false" customHeight="false" outlineLevel="0" collapsed="false">
      <c r="A5896" s="3" t="n">
        <v>5895</v>
      </c>
      <c r="B5896" s="3" t="n">
        <v>5894</v>
      </c>
      <c r="C5896" s="3" t="n">
        <v>7</v>
      </c>
      <c r="D5896" s="3" t="n">
        <v>14</v>
      </c>
      <c r="E5896" s="3" t="n">
        <v>14</v>
      </c>
      <c r="F5896" s="24" t="n">
        <v>-0.0628041923</v>
      </c>
    </row>
    <row r="5897" customFormat="false" ht="15" hidden="false" customHeight="false" outlineLevel="0" collapsed="false">
      <c r="A5897" s="3" t="n">
        <v>5896</v>
      </c>
      <c r="B5897" s="3" t="n">
        <v>5895</v>
      </c>
      <c r="C5897" s="3" t="n">
        <v>7</v>
      </c>
      <c r="D5897" s="3" t="n">
        <v>14</v>
      </c>
      <c r="E5897" s="3" t="n">
        <v>15</v>
      </c>
      <c r="F5897" s="24" t="n">
        <v>-0.245600313</v>
      </c>
    </row>
    <row r="5898" customFormat="false" ht="15" hidden="false" customHeight="false" outlineLevel="0" collapsed="false">
      <c r="A5898" s="3" t="n">
        <v>5897</v>
      </c>
      <c r="B5898" s="3" t="n">
        <v>5896</v>
      </c>
      <c r="C5898" s="3" t="n">
        <v>7</v>
      </c>
      <c r="D5898" s="3" t="n">
        <v>14</v>
      </c>
      <c r="E5898" s="3" t="n">
        <v>16</v>
      </c>
      <c r="F5898" s="24" t="n">
        <v>-1.20244551</v>
      </c>
    </row>
    <row r="5899" customFormat="false" ht="15" hidden="false" customHeight="false" outlineLevel="0" collapsed="false">
      <c r="A5899" s="3" t="n">
        <v>5898</v>
      </c>
      <c r="B5899" s="3" t="n">
        <v>5897</v>
      </c>
      <c r="C5899" s="3" t="n">
        <v>7</v>
      </c>
      <c r="D5899" s="3" t="n">
        <v>14</v>
      </c>
      <c r="E5899" s="3" t="n">
        <v>17</v>
      </c>
      <c r="F5899" s="24" t="n">
        <v>-0.75711453</v>
      </c>
    </row>
    <row r="5900" customFormat="false" ht="15" hidden="false" customHeight="false" outlineLevel="0" collapsed="false">
      <c r="A5900" s="3" t="n">
        <v>5899</v>
      </c>
      <c r="B5900" s="3" t="n">
        <v>5898</v>
      </c>
      <c r="C5900" s="3" t="n">
        <v>7</v>
      </c>
      <c r="D5900" s="3" t="n">
        <v>14</v>
      </c>
      <c r="E5900" s="3" t="n">
        <v>18</v>
      </c>
      <c r="F5900" s="24" t="n">
        <v>1.61736369</v>
      </c>
    </row>
    <row r="5901" customFormat="false" ht="15" hidden="false" customHeight="false" outlineLevel="0" collapsed="false">
      <c r="A5901" s="3" t="n">
        <v>5900</v>
      </c>
      <c r="B5901" s="3" t="n">
        <v>5899</v>
      </c>
      <c r="C5901" s="3" t="n">
        <v>7</v>
      </c>
      <c r="D5901" s="3" t="n">
        <v>14</v>
      </c>
      <c r="E5901" s="3" t="n">
        <v>19</v>
      </c>
      <c r="F5901" s="24" t="n">
        <v>2.44402575</v>
      </c>
    </row>
    <row r="5902" customFormat="false" ht="15" hidden="false" customHeight="false" outlineLevel="0" collapsed="false">
      <c r="A5902" s="3" t="n">
        <v>5901</v>
      </c>
      <c r="B5902" s="3" t="n">
        <v>5900</v>
      </c>
      <c r="C5902" s="3" t="n">
        <v>7</v>
      </c>
      <c r="D5902" s="3" t="n">
        <v>14</v>
      </c>
      <c r="E5902" s="3" t="n">
        <v>20</v>
      </c>
      <c r="F5902" s="24" t="n">
        <v>1.15341759</v>
      </c>
    </row>
    <row r="5903" customFormat="false" ht="15" hidden="false" customHeight="false" outlineLevel="0" collapsed="false">
      <c r="A5903" s="3" t="n">
        <v>5902</v>
      </c>
      <c r="B5903" s="3" t="n">
        <v>5901</v>
      </c>
      <c r="C5903" s="3" t="n">
        <v>7</v>
      </c>
      <c r="D5903" s="3" t="n">
        <v>14</v>
      </c>
      <c r="E5903" s="3" t="n">
        <v>21</v>
      </c>
      <c r="F5903" s="24" t="n">
        <v>0.0718805939</v>
      </c>
    </row>
    <row r="5904" customFormat="false" ht="15" hidden="false" customHeight="false" outlineLevel="0" collapsed="false">
      <c r="A5904" s="3" t="n">
        <v>5903</v>
      </c>
      <c r="B5904" s="3" t="n">
        <v>5902</v>
      </c>
      <c r="C5904" s="3" t="n">
        <v>7</v>
      </c>
      <c r="D5904" s="3" t="n">
        <v>14</v>
      </c>
      <c r="E5904" s="3" t="n">
        <v>22</v>
      </c>
      <c r="F5904" s="24" t="n">
        <v>-0.0628041923</v>
      </c>
    </row>
    <row r="5905" customFormat="false" ht="15" hidden="false" customHeight="false" outlineLevel="0" collapsed="false">
      <c r="A5905" s="3" t="n">
        <v>5904</v>
      </c>
      <c r="B5905" s="3" t="n">
        <v>5903</v>
      </c>
      <c r="C5905" s="3" t="n">
        <v>7</v>
      </c>
      <c r="D5905" s="3" t="n">
        <v>14</v>
      </c>
      <c r="E5905" s="3" t="n">
        <v>23</v>
      </c>
      <c r="F5905" s="24" t="n">
        <v>-0.0628041923</v>
      </c>
    </row>
    <row r="5906" customFormat="false" ht="15" hidden="false" customHeight="false" outlineLevel="0" collapsed="false">
      <c r="A5906" s="3" t="n">
        <v>5905</v>
      </c>
      <c r="B5906" s="3" t="n">
        <v>5904</v>
      </c>
      <c r="C5906" s="3" t="n">
        <v>7</v>
      </c>
      <c r="D5906" s="3" t="n">
        <v>14</v>
      </c>
      <c r="E5906" s="3" t="n">
        <v>24</v>
      </c>
      <c r="F5906" s="24" t="n">
        <v>-0.0628041923</v>
      </c>
    </row>
    <row r="5907" customFormat="false" ht="15" hidden="false" customHeight="false" outlineLevel="0" collapsed="false">
      <c r="A5907" s="3" t="n">
        <v>5906</v>
      </c>
      <c r="B5907" s="3" t="n">
        <v>5905</v>
      </c>
      <c r="C5907" s="3" t="n">
        <v>7</v>
      </c>
      <c r="D5907" s="3" t="n">
        <v>14</v>
      </c>
      <c r="E5907" s="3" t="n">
        <v>25</v>
      </c>
      <c r="F5907" s="24" t="n">
        <v>-0.0628041923</v>
      </c>
    </row>
    <row r="5908" customFormat="false" ht="15" hidden="false" customHeight="false" outlineLevel="0" collapsed="false">
      <c r="A5908" s="3" t="n">
        <v>5907</v>
      </c>
      <c r="B5908" s="3" t="n">
        <v>5906</v>
      </c>
      <c r="C5908" s="3" t="n">
        <v>7</v>
      </c>
      <c r="D5908" s="3" t="n">
        <v>14</v>
      </c>
      <c r="E5908" s="3" t="n">
        <v>26</v>
      </c>
      <c r="F5908" s="24" t="n">
        <v>-0.0628041923</v>
      </c>
    </row>
    <row r="5909" customFormat="false" ht="15" hidden="false" customHeight="false" outlineLevel="0" collapsed="false">
      <c r="A5909" s="3" t="n">
        <v>5908</v>
      </c>
      <c r="B5909" s="3" t="n">
        <v>5907</v>
      </c>
      <c r="C5909" s="3" t="n">
        <v>7</v>
      </c>
      <c r="D5909" s="3" t="n">
        <v>14</v>
      </c>
      <c r="E5909" s="3" t="n">
        <v>27</v>
      </c>
      <c r="F5909" s="24" t="n">
        <v>-0.504603028</v>
      </c>
    </row>
    <row r="5910" customFormat="false" ht="15" hidden="false" customHeight="false" outlineLevel="0" collapsed="false">
      <c r="A5910" s="3" t="n">
        <v>5909</v>
      </c>
      <c r="B5910" s="3" t="n">
        <v>5908</v>
      </c>
      <c r="C5910" s="3" t="n">
        <v>7</v>
      </c>
      <c r="D5910" s="3" t="n">
        <v>15</v>
      </c>
      <c r="E5910" s="3" t="n">
        <v>0</v>
      </c>
      <c r="F5910" s="24" t="n">
        <v>0.259080142</v>
      </c>
    </row>
    <row r="5911" customFormat="false" ht="15" hidden="false" customHeight="false" outlineLevel="0" collapsed="false">
      <c r="A5911" s="3" t="n">
        <v>5910</v>
      </c>
      <c r="B5911" s="3" t="n">
        <v>5909</v>
      </c>
      <c r="C5911" s="3" t="n">
        <v>7</v>
      </c>
      <c r="D5911" s="3" t="n">
        <v>15</v>
      </c>
      <c r="E5911" s="3" t="n">
        <v>1</v>
      </c>
      <c r="F5911" s="24" t="n">
        <v>-0.0628041923</v>
      </c>
    </row>
    <row r="5912" customFormat="false" ht="15" hidden="false" customHeight="false" outlineLevel="0" collapsed="false">
      <c r="A5912" s="3" t="n">
        <v>5911</v>
      </c>
      <c r="B5912" s="3" t="n">
        <v>5910</v>
      </c>
      <c r="C5912" s="3" t="n">
        <v>7</v>
      </c>
      <c r="D5912" s="3" t="n">
        <v>15</v>
      </c>
      <c r="E5912" s="3" t="n">
        <v>2</v>
      </c>
      <c r="F5912" s="24" t="n">
        <v>-0.0628041923</v>
      </c>
    </row>
    <row r="5913" customFormat="false" ht="15" hidden="false" customHeight="false" outlineLevel="0" collapsed="false">
      <c r="A5913" s="3" t="n">
        <v>5912</v>
      </c>
      <c r="B5913" s="3" t="n">
        <v>5911</v>
      </c>
      <c r="C5913" s="3" t="n">
        <v>7</v>
      </c>
      <c r="D5913" s="3" t="n">
        <v>15</v>
      </c>
      <c r="E5913" s="3" t="n">
        <v>3</v>
      </c>
      <c r="F5913" s="24" t="n">
        <v>-0.0628041923</v>
      </c>
    </row>
    <row r="5914" customFormat="false" ht="15" hidden="false" customHeight="false" outlineLevel="0" collapsed="false">
      <c r="A5914" s="3" t="n">
        <v>5913</v>
      </c>
      <c r="B5914" s="3" t="n">
        <v>5912</v>
      </c>
      <c r="C5914" s="3" t="n">
        <v>7</v>
      </c>
      <c r="D5914" s="3" t="n">
        <v>15</v>
      </c>
      <c r="E5914" s="3" t="n">
        <v>4</v>
      </c>
      <c r="F5914" s="24" t="n">
        <v>-0.0628041923</v>
      </c>
    </row>
    <row r="5915" customFormat="false" ht="15" hidden="false" customHeight="false" outlineLevel="0" collapsed="false">
      <c r="A5915" s="3" t="n">
        <v>5914</v>
      </c>
      <c r="B5915" s="3" t="n">
        <v>5913</v>
      </c>
      <c r="C5915" s="3" t="n">
        <v>7</v>
      </c>
      <c r="D5915" s="3" t="n">
        <v>15</v>
      </c>
      <c r="E5915" s="3" t="n">
        <v>5</v>
      </c>
      <c r="F5915" s="24" t="n">
        <v>-0.0628041923</v>
      </c>
    </row>
    <row r="5916" customFormat="false" ht="15" hidden="false" customHeight="false" outlineLevel="0" collapsed="false">
      <c r="A5916" s="3" t="n">
        <v>5915</v>
      </c>
      <c r="B5916" s="3" t="n">
        <v>5914</v>
      </c>
      <c r="C5916" s="3" t="n">
        <v>7</v>
      </c>
      <c r="D5916" s="3" t="n">
        <v>15</v>
      </c>
      <c r="E5916" s="3" t="n">
        <v>6</v>
      </c>
      <c r="F5916" s="24" t="n">
        <v>-0.0628041923</v>
      </c>
    </row>
    <row r="5917" customFormat="false" ht="15" hidden="false" customHeight="false" outlineLevel="0" collapsed="false">
      <c r="A5917" s="3" t="n">
        <v>5916</v>
      </c>
      <c r="B5917" s="3" t="n">
        <v>5915</v>
      </c>
      <c r="C5917" s="3" t="n">
        <v>7</v>
      </c>
      <c r="D5917" s="3" t="n">
        <v>15</v>
      </c>
      <c r="E5917" s="3" t="n">
        <v>7</v>
      </c>
      <c r="F5917" s="24" t="n">
        <v>-0.0628041923</v>
      </c>
    </row>
    <row r="5918" customFormat="false" ht="15" hidden="false" customHeight="false" outlineLevel="0" collapsed="false">
      <c r="A5918" s="3" t="n">
        <v>5917</v>
      </c>
      <c r="B5918" s="3" t="n">
        <v>5916</v>
      </c>
      <c r="C5918" s="3" t="n">
        <v>7</v>
      </c>
      <c r="D5918" s="3" t="n">
        <v>15</v>
      </c>
      <c r="E5918" s="3" t="n">
        <v>8</v>
      </c>
      <c r="F5918" s="24" t="n">
        <v>-0.0628041923</v>
      </c>
    </row>
    <row r="5919" customFormat="false" ht="15" hidden="false" customHeight="false" outlineLevel="0" collapsed="false">
      <c r="A5919" s="3" t="n">
        <v>5918</v>
      </c>
      <c r="B5919" s="3" t="n">
        <v>5917</v>
      </c>
      <c r="C5919" s="3" t="n">
        <v>7</v>
      </c>
      <c r="D5919" s="3" t="n">
        <v>15</v>
      </c>
      <c r="E5919" s="3" t="n">
        <v>9</v>
      </c>
      <c r="F5919" s="24" t="n">
        <v>-0.0628041923</v>
      </c>
    </row>
    <row r="5920" customFormat="false" ht="15" hidden="false" customHeight="false" outlineLevel="0" collapsed="false">
      <c r="A5920" s="3" t="n">
        <v>5919</v>
      </c>
      <c r="B5920" s="3" t="n">
        <v>5918</v>
      </c>
      <c r="C5920" s="3" t="n">
        <v>7</v>
      </c>
      <c r="D5920" s="3" t="n">
        <v>15</v>
      </c>
      <c r="E5920" s="3" t="n">
        <v>10</v>
      </c>
      <c r="F5920" s="24" t="n">
        <v>-0.0628041923</v>
      </c>
    </row>
    <row r="5921" customFormat="false" ht="15" hidden="false" customHeight="false" outlineLevel="0" collapsed="false">
      <c r="A5921" s="3" t="n">
        <v>5920</v>
      </c>
      <c r="B5921" s="3" t="n">
        <v>5919</v>
      </c>
      <c r="C5921" s="3" t="n">
        <v>7</v>
      </c>
      <c r="D5921" s="3" t="n">
        <v>15</v>
      </c>
      <c r="E5921" s="3" t="n">
        <v>11</v>
      </c>
      <c r="F5921" s="24" t="n">
        <v>-0.0628041923</v>
      </c>
    </row>
    <row r="5922" customFormat="false" ht="15" hidden="false" customHeight="false" outlineLevel="0" collapsed="false">
      <c r="A5922" s="3" t="n">
        <v>5921</v>
      </c>
      <c r="B5922" s="3" t="n">
        <v>5920</v>
      </c>
      <c r="C5922" s="3" t="n">
        <v>7</v>
      </c>
      <c r="D5922" s="3" t="n">
        <v>15</v>
      </c>
      <c r="E5922" s="3" t="n">
        <v>12</v>
      </c>
      <c r="F5922" s="24" t="n">
        <v>-0.0628041923</v>
      </c>
    </row>
    <row r="5923" customFormat="false" ht="15" hidden="false" customHeight="false" outlineLevel="0" collapsed="false">
      <c r="A5923" s="3" t="n">
        <v>5922</v>
      </c>
      <c r="B5923" s="3" t="n">
        <v>5921</v>
      </c>
      <c r="C5923" s="3" t="n">
        <v>7</v>
      </c>
      <c r="D5923" s="3" t="n">
        <v>15</v>
      </c>
      <c r="E5923" s="3" t="n">
        <v>13</v>
      </c>
      <c r="F5923" s="24" t="n">
        <v>-0.0628041923</v>
      </c>
    </row>
    <row r="5924" customFormat="false" ht="15" hidden="false" customHeight="false" outlineLevel="0" collapsed="false">
      <c r="A5924" s="3" t="n">
        <v>5923</v>
      </c>
      <c r="B5924" s="3" t="n">
        <v>5922</v>
      </c>
      <c r="C5924" s="3" t="n">
        <v>7</v>
      </c>
      <c r="D5924" s="3" t="n">
        <v>15</v>
      </c>
      <c r="E5924" s="3" t="n">
        <v>14</v>
      </c>
      <c r="F5924" s="24" t="n">
        <v>-0.0488779545</v>
      </c>
    </row>
    <row r="5925" customFormat="false" ht="15" hidden="false" customHeight="false" outlineLevel="0" collapsed="false">
      <c r="A5925" s="3" t="n">
        <v>5924</v>
      </c>
      <c r="B5925" s="3" t="n">
        <v>5923</v>
      </c>
      <c r="C5925" s="3" t="n">
        <v>7</v>
      </c>
      <c r="D5925" s="3" t="n">
        <v>15</v>
      </c>
      <c r="E5925" s="3" t="n">
        <v>15</v>
      </c>
      <c r="F5925" s="24" t="n">
        <v>-1.02641463</v>
      </c>
    </row>
    <row r="5926" customFormat="false" ht="15" hidden="false" customHeight="false" outlineLevel="0" collapsed="false">
      <c r="A5926" s="3" t="n">
        <v>5925</v>
      </c>
      <c r="B5926" s="3" t="n">
        <v>5924</v>
      </c>
      <c r="C5926" s="3" t="n">
        <v>7</v>
      </c>
      <c r="D5926" s="3" t="n">
        <v>15</v>
      </c>
      <c r="E5926" s="3" t="n">
        <v>16</v>
      </c>
      <c r="F5926" s="24" t="n">
        <v>-1.5175426</v>
      </c>
    </row>
    <row r="5927" customFormat="false" ht="15" hidden="false" customHeight="false" outlineLevel="0" collapsed="false">
      <c r="A5927" s="3" t="n">
        <v>5926</v>
      </c>
      <c r="B5927" s="3" t="n">
        <v>5925</v>
      </c>
      <c r="C5927" s="3" t="n">
        <v>7</v>
      </c>
      <c r="D5927" s="3" t="n">
        <v>15</v>
      </c>
      <c r="E5927" s="3" t="n">
        <v>17</v>
      </c>
      <c r="F5927" s="24" t="n">
        <v>0.288160801</v>
      </c>
    </row>
    <row r="5928" customFormat="false" ht="15" hidden="false" customHeight="false" outlineLevel="0" collapsed="false">
      <c r="A5928" s="3" t="n">
        <v>5927</v>
      </c>
      <c r="B5928" s="3" t="n">
        <v>5926</v>
      </c>
      <c r="C5928" s="3" t="n">
        <v>7</v>
      </c>
      <c r="D5928" s="3" t="n">
        <v>15</v>
      </c>
      <c r="E5928" s="3" t="n">
        <v>18</v>
      </c>
      <c r="F5928" s="24" t="n">
        <v>2.70351434</v>
      </c>
    </row>
    <row r="5929" customFormat="false" ht="15" hidden="false" customHeight="false" outlineLevel="0" collapsed="false">
      <c r="A5929" s="3" t="n">
        <v>5928</v>
      </c>
      <c r="B5929" s="3" t="n">
        <v>5927</v>
      </c>
      <c r="C5929" s="3" t="n">
        <v>7</v>
      </c>
      <c r="D5929" s="3" t="n">
        <v>15</v>
      </c>
      <c r="E5929" s="3" t="n">
        <v>19</v>
      </c>
      <c r="F5929" s="24" t="n">
        <v>2.06599617</v>
      </c>
    </row>
    <row r="5930" customFormat="false" ht="15" hidden="false" customHeight="false" outlineLevel="0" collapsed="false">
      <c r="A5930" s="3" t="n">
        <v>5929</v>
      </c>
      <c r="B5930" s="3" t="n">
        <v>5928</v>
      </c>
      <c r="C5930" s="3" t="n">
        <v>7</v>
      </c>
      <c r="D5930" s="3" t="n">
        <v>15</v>
      </c>
      <c r="E5930" s="3" t="n">
        <v>20</v>
      </c>
      <c r="F5930" s="24" t="n">
        <v>0.160786495</v>
      </c>
    </row>
    <row r="5931" customFormat="false" ht="15" hidden="false" customHeight="false" outlineLevel="0" collapsed="false">
      <c r="A5931" s="3" t="n">
        <v>5930</v>
      </c>
      <c r="B5931" s="3" t="n">
        <v>5929</v>
      </c>
      <c r="C5931" s="3" t="n">
        <v>7</v>
      </c>
      <c r="D5931" s="3" t="n">
        <v>15</v>
      </c>
      <c r="E5931" s="3" t="n">
        <v>21</v>
      </c>
      <c r="F5931" s="24" t="n">
        <v>-0.0628041923</v>
      </c>
    </row>
    <row r="5932" customFormat="false" ht="15" hidden="false" customHeight="false" outlineLevel="0" collapsed="false">
      <c r="A5932" s="3" t="n">
        <v>5931</v>
      </c>
      <c r="B5932" s="3" t="n">
        <v>5930</v>
      </c>
      <c r="C5932" s="3" t="n">
        <v>7</v>
      </c>
      <c r="D5932" s="3" t="n">
        <v>15</v>
      </c>
      <c r="E5932" s="3" t="n">
        <v>22</v>
      </c>
      <c r="F5932" s="24" t="n">
        <v>-0.0628041923</v>
      </c>
    </row>
    <row r="5933" customFormat="false" ht="15" hidden="false" customHeight="false" outlineLevel="0" collapsed="false">
      <c r="A5933" s="3" t="n">
        <v>5932</v>
      </c>
      <c r="B5933" s="3" t="n">
        <v>5931</v>
      </c>
      <c r="C5933" s="3" t="n">
        <v>7</v>
      </c>
      <c r="D5933" s="3" t="n">
        <v>15</v>
      </c>
      <c r="E5933" s="3" t="n">
        <v>23</v>
      </c>
      <c r="F5933" s="24" t="n">
        <v>-0.0628041923</v>
      </c>
    </row>
    <row r="5934" customFormat="false" ht="15" hidden="false" customHeight="false" outlineLevel="0" collapsed="false">
      <c r="A5934" s="3" t="n">
        <v>5933</v>
      </c>
      <c r="B5934" s="3" t="n">
        <v>5932</v>
      </c>
      <c r="C5934" s="3" t="n">
        <v>7</v>
      </c>
      <c r="D5934" s="3" t="n">
        <v>15</v>
      </c>
      <c r="E5934" s="3" t="n">
        <v>24</v>
      </c>
      <c r="F5934" s="24" t="n">
        <v>-0.0628041923</v>
      </c>
    </row>
    <row r="5935" customFormat="false" ht="15" hidden="false" customHeight="false" outlineLevel="0" collapsed="false">
      <c r="A5935" s="3" t="n">
        <v>5934</v>
      </c>
      <c r="B5935" s="3" t="n">
        <v>5933</v>
      </c>
      <c r="C5935" s="3" t="n">
        <v>7</v>
      </c>
      <c r="D5935" s="3" t="n">
        <v>15</v>
      </c>
      <c r="E5935" s="3" t="n">
        <v>25</v>
      </c>
      <c r="F5935" s="24" t="n">
        <v>-0.0628041923</v>
      </c>
    </row>
    <row r="5936" customFormat="false" ht="15" hidden="false" customHeight="false" outlineLevel="0" collapsed="false">
      <c r="A5936" s="3" t="n">
        <v>5935</v>
      </c>
      <c r="B5936" s="3" t="n">
        <v>5934</v>
      </c>
      <c r="C5936" s="3" t="n">
        <v>7</v>
      </c>
      <c r="D5936" s="3" t="n">
        <v>15</v>
      </c>
      <c r="E5936" s="3" t="n">
        <v>26</v>
      </c>
      <c r="F5936" s="24" t="n">
        <v>-0.0628041923</v>
      </c>
    </row>
    <row r="5937" customFormat="false" ht="15" hidden="false" customHeight="false" outlineLevel="0" collapsed="false">
      <c r="A5937" s="3" t="n">
        <v>5936</v>
      </c>
      <c r="B5937" s="3" t="n">
        <v>5935</v>
      </c>
      <c r="C5937" s="3" t="n">
        <v>7</v>
      </c>
      <c r="D5937" s="3" t="n">
        <v>15</v>
      </c>
      <c r="E5937" s="3" t="n">
        <v>27</v>
      </c>
      <c r="F5937" s="24" t="n">
        <v>-0.504603028</v>
      </c>
    </row>
    <row r="5938" customFormat="false" ht="15" hidden="false" customHeight="false" outlineLevel="0" collapsed="false">
      <c r="A5938" s="3" t="n">
        <v>5937</v>
      </c>
      <c r="B5938" s="3" t="n">
        <v>5936</v>
      </c>
      <c r="C5938" s="3" t="n">
        <v>7</v>
      </c>
      <c r="D5938" s="3" t="n">
        <v>16</v>
      </c>
      <c r="E5938" s="3" t="n">
        <v>0</v>
      </c>
      <c r="F5938" s="24" t="n">
        <v>0.259080142</v>
      </c>
    </row>
    <row r="5939" customFormat="false" ht="15" hidden="false" customHeight="false" outlineLevel="0" collapsed="false">
      <c r="A5939" s="3" t="n">
        <v>5938</v>
      </c>
      <c r="B5939" s="3" t="n">
        <v>5937</v>
      </c>
      <c r="C5939" s="3" t="n">
        <v>7</v>
      </c>
      <c r="D5939" s="3" t="n">
        <v>16</v>
      </c>
      <c r="E5939" s="3" t="n">
        <v>1</v>
      </c>
      <c r="F5939" s="24" t="n">
        <v>-0.0628041923</v>
      </c>
    </row>
    <row r="5940" customFormat="false" ht="15" hidden="false" customHeight="false" outlineLevel="0" collapsed="false">
      <c r="A5940" s="3" t="n">
        <v>5939</v>
      </c>
      <c r="B5940" s="3" t="n">
        <v>5938</v>
      </c>
      <c r="C5940" s="3" t="n">
        <v>7</v>
      </c>
      <c r="D5940" s="3" t="n">
        <v>16</v>
      </c>
      <c r="E5940" s="3" t="n">
        <v>2</v>
      </c>
      <c r="F5940" s="24" t="n">
        <v>-0.0628041923</v>
      </c>
    </row>
    <row r="5941" customFormat="false" ht="15" hidden="false" customHeight="false" outlineLevel="0" collapsed="false">
      <c r="A5941" s="3" t="n">
        <v>5940</v>
      </c>
      <c r="B5941" s="3" t="n">
        <v>5939</v>
      </c>
      <c r="C5941" s="3" t="n">
        <v>7</v>
      </c>
      <c r="D5941" s="3" t="n">
        <v>16</v>
      </c>
      <c r="E5941" s="3" t="n">
        <v>3</v>
      </c>
      <c r="F5941" s="24" t="n">
        <v>-0.0628041923</v>
      </c>
    </row>
    <row r="5942" customFormat="false" ht="15" hidden="false" customHeight="false" outlineLevel="0" collapsed="false">
      <c r="A5942" s="3" t="n">
        <v>5941</v>
      </c>
      <c r="B5942" s="3" t="n">
        <v>5940</v>
      </c>
      <c r="C5942" s="3" t="n">
        <v>7</v>
      </c>
      <c r="D5942" s="3" t="n">
        <v>16</v>
      </c>
      <c r="E5942" s="3" t="n">
        <v>4</v>
      </c>
      <c r="F5942" s="24" t="n">
        <v>-0.0628041923</v>
      </c>
    </row>
    <row r="5943" customFormat="false" ht="15" hidden="false" customHeight="false" outlineLevel="0" collapsed="false">
      <c r="A5943" s="3" t="n">
        <v>5942</v>
      </c>
      <c r="B5943" s="3" t="n">
        <v>5941</v>
      </c>
      <c r="C5943" s="3" t="n">
        <v>7</v>
      </c>
      <c r="D5943" s="3" t="n">
        <v>16</v>
      </c>
      <c r="E5943" s="3" t="n">
        <v>5</v>
      </c>
      <c r="F5943" s="24" t="n">
        <v>-0.0628041923</v>
      </c>
    </row>
    <row r="5944" customFormat="false" ht="15" hidden="false" customHeight="false" outlineLevel="0" collapsed="false">
      <c r="A5944" s="3" t="n">
        <v>5943</v>
      </c>
      <c r="B5944" s="3" t="n">
        <v>5942</v>
      </c>
      <c r="C5944" s="3" t="n">
        <v>7</v>
      </c>
      <c r="D5944" s="3" t="n">
        <v>16</v>
      </c>
      <c r="E5944" s="3" t="n">
        <v>6</v>
      </c>
      <c r="F5944" s="24" t="n">
        <v>-0.0628041923</v>
      </c>
    </row>
    <row r="5945" customFormat="false" ht="15" hidden="false" customHeight="false" outlineLevel="0" collapsed="false">
      <c r="A5945" s="3" t="n">
        <v>5944</v>
      </c>
      <c r="B5945" s="3" t="n">
        <v>5943</v>
      </c>
      <c r="C5945" s="3" t="n">
        <v>7</v>
      </c>
      <c r="D5945" s="3" t="n">
        <v>16</v>
      </c>
      <c r="E5945" s="3" t="n">
        <v>7</v>
      </c>
      <c r="F5945" s="24" t="n">
        <v>-0.0628041923</v>
      </c>
    </row>
    <row r="5946" customFormat="false" ht="15" hidden="false" customHeight="false" outlineLevel="0" collapsed="false">
      <c r="A5946" s="3" t="n">
        <v>5945</v>
      </c>
      <c r="B5946" s="3" t="n">
        <v>5944</v>
      </c>
      <c r="C5946" s="3" t="n">
        <v>7</v>
      </c>
      <c r="D5946" s="3" t="n">
        <v>16</v>
      </c>
      <c r="E5946" s="3" t="n">
        <v>8</v>
      </c>
      <c r="F5946" s="24" t="n">
        <v>-0.0628041923</v>
      </c>
    </row>
    <row r="5947" customFormat="false" ht="15" hidden="false" customHeight="false" outlineLevel="0" collapsed="false">
      <c r="A5947" s="3" t="n">
        <v>5946</v>
      </c>
      <c r="B5947" s="3" t="n">
        <v>5945</v>
      </c>
      <c r="C5947" s="3" t="n">
        <v>7</v>
      </c>
      <c r="D5947" s="3" t="n">
        <v>16</v>
      </c>
      <c r="E5947" s="3" t="n">
        <v>9</v>
      </c>
      <c r="F5947" s="24" t="n">
        <v>-0.0628041923</v>
      </c>
    </row>
    <row r="5948" customFormat="false" ht="15" hidden="false" customHeight="false" outlineLevel="0" collapsed="false">
      <c r="A5948" s="3" t="n">
        <v>5947</v>
      </c>
      <c r="B5948" s="3" t="n">
        <v>5946</v>
      </c>
      <c r="C5948" s="3" t="n">
        <v>7</v>
      </c>
      <c r="D5948" s="3" t="n">
        <v>16</v>
      </c>
      <c r="E5948" s="3" t="n">
        <v>10</v>
      </c>
      <c r="F5948" s="24" t="n">
        <v>-0.0628041923</v>
      </c>
    </row>
    <row r="5949" customFormat="false" ht="15" hidden="false" customHeight="false" outlineLevel="0" collapsed="false">
      <c r="A5949" s="3" t="n">
        <v>5948</v>
      </c>
      <c r="B5949" s="3" t="n">
        <v>5947</v>
      </c>
      <c r="C5949" s="3" t="n">
        <v>7</v>
      </c>
      <c r="D5949" s="3" t="n">
        <v>16</v>
      </c>
      <c r="E5949" s="3" t="n">
        <v>11</v>
      </c>
      <c r="F5949" s="24" t="n">
        <v>-0.0628041923</v>
      </c>
    </row>
    <row r="5950" customFormat="false" ht="15" hidden="false" customHeight="false" outlineLevel="0" collapsed="false">
      <c r="A5950" s="3" t="n">
        <v>5949</v>
      </c>
      <c r="B5950" s="3" t="n">
        <v>5948</v>
      </c>
      <c r="C5950" s="3" t="n">
        <v>7</v>
      </c>
      <c r="D5950" s="3" t="n">
        <v>16</v>
      </c>
      <c r="E5950" s="3" t="n">
        <v>12</v>
      </c>
      <c r="F5950" s="24" t="n">
        <v>-0.0628041923</v>
      </c>
    </row>
    <row r="5951" customFormat="false" ht="15" hidden="false" customHeight="false" outlineLevel="0" collapsed="false">
      <c r="A5951" s="3" t="n">
        <v>5950</v>
      </c>
      <c r="B5951" s="3" t="n">
        <v>5949</v>
      </c>
      <c r="C5951" s="3" t="n">
        <v>7</v>
      </c>
      <c r="D5951" s="3" t="n">
        <v>16</v>
      </c>
      <c r="E5951" s="3" t="n">
        <v>13</v>
      </c>
      <c r="F5951" s="24" t="n">
        <v>-0.0628041923</v>
      </c>
    </row>
    <row r="5952" customFormat="false" ht="15" hidden="false" customHeight="false" outlineLevel="0" collapsed="false">
      <c r="A5952" s="3" t="n">
        <v>5951</v>
      </c>
      <c r="B5952" s="3" t="n">
        <v>5950</v>
      </c>
      <c r="C5952" s="3" t="n">
        <v>7</v>
      </c>
      <c r="D5952" s="3" t="n">
        <v>16</v>
      </c>
      <c r="E5952" s="3" t="n">
        <v>14</v>
      </c>
      <c r="F5952" s="24" t="n">
        <v>0.0728859007</v>
      </c>
    </row>
    <row r="5953" customFormat="false" ht="15" hidden="false" customHeight="false" outlineLevel="0" collapsed="false">
      <c r="A5953" s="3" t="n">
        <v>5952</v>
      </c>
      <c r="B5953" s="3" t="n">
        <v>5951</v>
      </c>
      <c r="C5953" s="3" t="n">
        <v>7</v>
      </c>
      <c r="D5953" s="3" t="n">
        <v>16</v>
      </c>
      <c r="E5953" s="3" t="n">
        <v>15</v>
      </c>
      <c r="F5953" s="24" t="n">
        <v>-0.995537221</v>
      </c>
    </row>
    <row r="5954" customFormat="false" ht="15" hidden="false" customHeight="false" outlineLevel="0" collapsed="false">
      <c r="A5954" s="3" t="n">
        <v>5953</v>
      </c>
      <c r="B5954" s="3" t="n">
        <v>5952</v>
      </c>
      <c r="C5954" s="3" t="n">
        <v>7</v>
      </c>
      <c r="D5954" s="3" t="n">
        <v>16</v>
      </c>
      <c r="E5954" s="3" t="n">
        <v>16</v>
      </c>
      <c r="F5954" s="24" t="n">
        <v>-1.0452466</v>
      </c>
    </row>
    <row r="5955" customFormat="false" ht="15" hidden="false" customHeight="false" outlineLevel="0" collapsed="false">
      <c r="A5955" s="3" t="n">
        <v>5954</v>
      </c>
      <c r="B5955" s="3" t="n">
        <v>5953</v>
      </c>
      <c r="C5955" s="3" t="n">
        <v>7</v>
      </c>
      <c r="D5955" s="3" t="n">
        <v>16</v>
      </c>
      <c r="E5955" s="3" t="n">
        <v>17</v>
      </c>
      <c r="F5955" s="24" t="n">
        <v>1.72680759</v>
      </c>
    </row>
    <row r="5956" customFormat="false" ht="15" hidden="false" customHeight="false" outlineLevel="0" collapsed="false">
      <c r="A5956" s="3" t="n">
        <v>5955</v>
      </c>
      <c r="B5956" s="3" t="n">
        <v>5954</v>
      </c>
      <c r="C5956" s="3" t="n">
        <v>7</v>
      </c>
      <c r="D5956" s="3" t="n">
        <v>16</v>
      </c>
      <c r="E5956" s="3" t="n">
        <v>18</v>
      </c>
      <c r="F5956" s="24" t="n">
        <v>2.60095286</v>
      </c>
    </row>
    <row r="5957" customFormat="false" ht="15" hidden="false" customHeight="false" outlineLevel="0" collapsed="false">
      <c r="A5957" s="3" t="n">
        <v>5956</v>
      </c>
      <c r="B5957" s="3" t="n">
        <v>5955</v>
      </c>
      <c r="C5957" s="3" t="n">
        <v>7</v>
      </c>
      <c r="D5957" s="3" t="n">
        <v>16</v>
      </c>
      <c r="E5957" s="3" t="n">
        <v>19</v>
      </c>
      <c r="F5957" s="24" t="n">
        <v>0.909650087</v>
      </c>
    </row>
    <row r="5958" customFormat="false" ht="15" hidden="false" customHeight="false" outlineLevel="0" collapsed="false">
      <c r="A5958" s="3" t="n">
        <v>5957</v>
      </c>
      <c r="B5958" s="3" t="n">
        <v>5956</v>
      </c>
      <c r="C5958" s="3" t="n">
        <v>7</v>
      </c>
      <c r="D5958" s="3" t="n">
        <v>16</v>
      </c>
      <c r="E5958" s="3" t="n">
        <v>20</v>
      </c>
      <c r="F5958" s="24" t="n">
        <v>-0.0474990904</v>
      </c>
    </row>
    <row r="5959" customFormat="false" ht="15" hidden="false" customHeight="false" outlineLevel="0" collapsed="false">
      <c r="A5959" s="3" t="n">
        <v>5958</v>
      </c>
      <c r="B5959" s="3" t="n">
        <v>5957</v>
      </c>
      <c r="C5959" s="3" t="n">
        <v>7</v>
      </c>
      <c r="D5959" s="3" t="n">
        <v>16</v>
      </c>
      <c r="E5959" s="3" t="n">
        <v>21</v>
      </c>
      <c r="F5959" s="24" t="n">
        <v>-0.0628041923</v>
      </c>
    </row>
    <row r="5960" customFormat="false" ht="15" hidden="false" customHeight="false" outlineLevel="0" collapsed="false">
      <c r="A5960" s="3" t="n">
        <v>5959</v>
      </c>
      <c r="B5960" s="3" t="n">
        <v>5958</v>
      </c>
      <c r="C5960" s="3" t="n">
        <v>7</v>
      </c>
      <c r="D5960" s="3" t="n">
        <v>16</v>
      </c>
      <c r="E5960" s="3" t="n">
        <v>22</v>
      </c>
      <c r="F5960" s="24" t="n">
        <v>-0.0628041923</v>
      </c>
    </row>
    <row r="5961" customFormat="false" ht="15" hidden="false" customHeight="false" outlineLevel="0" collapsed="false">
      <c r="A5961" s="3" t="n">
        <v>5960</v>
      </c>
      <c r="B5961" s="3" t="n">
        <v>5959</v>
      </c>
      <c r="C5961" s="3" t="n">
        <v>7</v>
      </c>
      <c r="D5961" s="3" t="n">
        <v>16</v>
      </c>
      <c r="E5961" s="3" t="n">
        <v>23</v>
      </c>
      <c r="F5961" s="24" t="n">
        <v>-0.0628041923</v>
      </c>
    </row>
    <row r="5962" customFormat="false" ht="15" hidden="false" customHeight="false" outlineLevel="0" collapsed="false">
      <c r="A5962" s="3" t="n">
        <v>5961</v>
      </c>
      <c r="B5962" s="3" t="n">
        <v>5960</v>
      </c>
      <c r="C5962" s="3" t="n">
        <v>7</v>
      </c>
      <c r="D5962" s="3" t="n">
        <v>16</v>
      </c>
      <c r="E5962" s="3" t="n">
        <v>24</v>
      </c>
      <c r="F5962" s="24" t="n">
        <v>-0.0628041923</v>
      </c>
    </row>
    <row r="5963" customFormat="false" ht="15" hidden="false" customHeight="false" outlineLevel="0" collapsed="false">
      <c r="A5963" s="3" t="n">
        <v>5962</v>
      </c>
      <c r="B5963" s="3" t="n">
        <v>5961</v>
      </c>
      <c r="C5963" s="3" t="n">
        <v>7</v>
      </c>
      <c r="D5963" s="3" t="n">
        <v>16</v>
      </c>
      <c r="E5963" s="3" t="n">
        <v>25</v>
      </c>
      <c r="F5963" s="24" t="n">
        <v>-0.0628041923</v>
      </c>
    </row>
    <row r="5964" customFormat="false" ht="15" hidden="false" customHeight="false" outlineLevel="0" collapsed="false">
      <c r="A5964" s="3" t="n">
        <v>5963</v>
      </c>
      <c r="B5964" s="3" t="n">
        <v>5962</v>
      </c>
      <c r="C5964" s="3" t="n">
        <v>7</v>
      </c>
      <c r="D5964" s="3" t="n">
        <v>16</v>
      </c>
      <c r="E5964" s="3" t="n">
        <v>26</v>
      </c>
      <c r="F5964" s="24" t="n">
        <v>-0.0628041923</v>
      </c>
    </row>
    <row r="5965" customFormat="false" ht="15" hidden="false" customHeight="false" outlineLevel="0" collapsed="false">
      <c r="A5965" s="3" t="n">
        <v>5964</v>
      </c>
      <c r="B5965" s="3" t="n">
        <v>5963</v>
      </c>
      <c r="C5965" s="3" t="n">
        <v>7</v>
      </c>
      <c r="D5965" s="3" t="n">
        <v>16</v>
      </c>
      <c r="E5965" s="3" t="n">
        <v>27</v>
      </c>
      <c r="F5965" s="24" t="n">
        <v>-0.504603028</v>
      </c>
    </row>
    <row r="5966" customFormat="false" ht="15" hidden="false" customHeight="false" outlineLevel="0" collapsed="false">
      <c r="A5966" s="3" t="n">
        <v>5965</v>
      </c>
      <c r="B5966" s="3" t="n">
        <v>5964</v>
      </c>
      <c r="C5966" s="3" t="n">
        <v>7</v>
      </c>
      <c r="D5966" s="3" t="n">
        <v>17</v>
      </c>
      <c r="E5966" s="3" t="n">
        <v>0</v>
      </c>
      <c r="F5966" s="24" t="n">
        <v>0.259080142</v>
      </c>
    </row>
    <row r="5967" customFormat="false" ht="15" hidden="false" customHeight="false" outlineLevel="0" collapsed="false">
      <c r="A5967" s="3" t="n">
        <v>5966</v>
      </c>
      <c r="B5967" s="3" t="n">
        <v>5965</v>
      </c>
      <c r="C5967" s="3" t="n">
        <v>7</v>
      </c>
      <c r="D5967" s="3" t="n">
        <v>17</v>
      </c>
      <c r="E5967" s="3" t="n">
        <v>1</v>
      </c>
      <c r="F5967" s="24" t="n">
        <v>-0.0628041923</v>
      </c>
    </row>
    <row r="5968" customFormat="false" ht="15" hidden="false" customHeight="false" outlineLevel="0" collapsed="false">
      <c r="A5968" s="3" t="n">
        <v>5967</v>
      </c>
      <c r="B5968" s="3" t="n">
        <v>5966</v>
      </c>
      <c r="C5968" s="3" t="n">
        <v>7</v>
      </c>
      <c r="D5968" s="3" t="n">
        <v>17</v>
      </c>
      <c r="E5968" s="3" t="n">
        <v>2</v>
      </c>
      <c r="F5968" s="24" t="n">
        <v>-0.0628041923</v>
      </c>
    </row>
    <row r="5969" customFormat="false" ht="15" hidden="false" customHeight="false" outlineLevel="0" collapsed="false">
      <c r="A5969" s="3" t="n">
        <v>5968</v>
      </c>
      <c r="B5969" s="3" t="n">
        <v>5967</v>
      </c>
      <c r="C5969" s="3" t="n">
        <v>7</v>
      </c>
      <c r="D5969" s="3" t="n">
        <v>17</v>
      </c>
      <c r="E5969" s="3" t="n">
        <v>3</v>
      </c>
      <c r="F5969" s="24" t="n">
        <v>-0.0628041923</v>
      </c>
    </row>
    <row r="5970" customFormat="false" ht="15" hidden="false" customHeight="false" outlineLevel="0" collapsed="false">
      <c r="A5970" s="3" t="n">
        <v>5969</v>
      </c>
      <c r="B5970" s="3" t="n">
        <v>5968</v>
      </c>
      <c r="C5970" s="3" t="n">
        <v>7</v>
      </c>
      <c r="D5970" s="3" t="n">
        <v>17</v>
      </c>
      <c r="E5970" s="3" t="n">
        <v>4</v>
      </c>
      <c r="F5970" s="24" t="n">
        <v>-0.0628041923</v>
      </c>
    </row>
    <row r="5971" customFormat="false" ht="15" hidden="false" customHeight="false" outlineLevel="0" collapsed="false">
      <c r="A5971" s="3" t="n">
        <v>5970</v>
      </c>
      <c r="B5971" s="3" t="n">
        <v>5969</v>
      </c>
      <c r="C5971" s="3" t="n">
        <v>7</v>
      </c>
      <c r="D5971" s="3" t="n">
        <v>17</v>
      </c>
      <c r="E5971" s="3" t="n">
        <v>5</v>
      </c>
      <c r="F5971" s="24" t="n">
        <v>-0.0628041923</v>
      </c>
    </row>
    <row r="5972" customFormat="false" ht="15" hidden="false" customHeight="false" outlineLevel="0" collapsed="false">
      <c r="A5972" s="3" t="n">
        <v>5971</v>
      </c>
      <c r="B5972" s="3" t="n">
        <v>5970</v>
      </c>
      <c r="C5972" s="3" t="n">
        <v>7</v>
      </c>
      <c r="D5972" s="3" t="n">
        <v>17</v>
      </c>
      <c r="E5972" s="3" t="n">
        <v>6</v>
      </c>
      <c r="F5972" s="24" t="n">
        <v>-0.0628041923</v>
      </c>
    </row>
    <row r="5973" customFormat="false" ht="15" hidden="false" customHeight="false" outlineLevel="0" collapsed="false">
      <c r="A5973" s="3" t="n">
        <v>5972</v>
      </c>
      <c r="B5973" s="3" t="n">
        <v>5971</v>
      </c>
      <c r="C5973" s="3" t="n">
        <v>7</v>
      </c>
      <c r="D5973" s="3" t="n">
        <v>17</v>
      </c>
      <c r="E5973" s="3" t="n">
        <v>7</v>
      </c>
      <c r="F5973" s="24" t="n">
        <v>-0.0628041923</v>
      </c>
    </row>
    <row r="5974" customFormat="false" ht="15" hidden="false" customHeight="false" outlineLevel="0" collapsed="false">
      <c r="A5974" s="3" t="n">
        <v>5973</v>
      </c>
      <c r="B5974" s="3" t="n">
        <v>5972</v>
      </c>
      <c r="C5974" s="3" t="n">
        <v>7</v>
      </c>
      <c r="D5974" s="3" t="n">
        <v>17</v>
      </c>
      <c r="E5974" s="3" t="n">
        <v>8</v>
      </c>
      <c r="F5974" s="24" t="n">
        <v>-0.0628041923</v>
      </c>
    </row>
    <row r="5975" customFormat="false" ht="15" hidden="false" customHeight="false" outlineLevel="0" collapsed="false">
      <c r="A5975" s="3" t="n">
        <v>5974</v>
      </c>
      <c r="B5975" s="3" t="n">
        <v>5973</v>
      </c>
      <c r="C5975" s="3" t="n">
        <v>7</v>
      </c>
      <c r="D5975" s="3" t="n">
        <v>17</v>
      </c>
      <c r="E5975" s="3" t="n">
        <v>9</v>
      </c>
      <c r="F5975" s="24" t="n">
        <v>-0.0628041923</v>
      </c>
    </row>
    <row r="5976" customFormat="false" ht="15" hidden="false" customHeight="false" outlineLevel="0" collapsed="false">
      <c r="A5976" s="3" t="n">
        <v>5975</v>
      </c>
      <c r="B5976" s="3" t="n">
        <v>5974</v>
      </c>
      <c r="C5976" s="3" t="n">
        <v>7</v>
      </c>
      <c r="D5976" s="3" t="n">
        <v>17</v>
      </c>
      <c r="E5976" s="3" t="n">
        <v>10</v>
      </c>
      <c r="F5976" s="24" t="n">
        <v>-0.0628041923</v>
      </c>
    </row>
    <row r="5977" customFormat="false" ht="15" hidden="false" customHeight="false" outlineLevel="0" collapsed="false">
      <c r="A5977" s="3" t="n">
        <v>5976</v>
      </c>
      <c r="B5977" s="3" t="n">
        <v>5975</v>
      </c>
      <c r="C5977" s="3" t="n">
        <v>7</v>
      </c>
      <c r="D5977" s="3" t="n">
        <v>17</v>
      </c>
      <c r="E5977" s="3" t="n">
        <v>11</v>
      </c>
      <c r="F5977" s="24" t="n">
        <v>-0.0628041923</v>
      </c>
    </row>
    <row r="5978" customFormat="false" ht="15" hidden="false" customHeight="false" outlineLevel="0" collapsed="false">
      <c r="A5978" s="3" t="n">
        <v>5977</v>
      </c>
      <c r="B5978" s="3" t="n">
        <v>5976</v>
      </c>
      <c r="C5978" s="3" t="n">
        <v>7</v>
      </c>
      <c r="D5978" s="3" t="n">
        <v>17</v>
      </c>
      <c r="E5978" s="3" t="n">
        <v>12</v>
      </c>
      <c r="F5978" s="24" t="n">
        <v>-0.0628041923</v>
      </c>
    </row>
    <row r="5979" customFormat="false" ht="15" hidden="false" customHeight="false" outlineLevel="0" collapsed="false">
      <c r="A5979" s="3" t="n">
        <v>5978</v>
      </c>
      <c r="B5979" s="3" t="n">
        <v>5977</v>
      </c>
      <c r="C5979" s="3" t="n">
        <v>7</v>
      </c>
      <c r="D5979" s="3" t="n">
        <v>17</v>
      </c>
      <c r="E5979" s="3" t="n">
        <v>13</v>
      </c>
      <c r="F5979" s="24" t="n">
        <v>0.0532477722</v>
      </c>
    </row>
    <row r="5980" customFormat="false" ht="15" hidden="false" customHeight="false" outlineLevel="0" collapsed="false">
      <c r="A5980" s="3" t="n">
        <v>5979</v>
      </c>
      <c r="B5980" s="3" t="n">
        <v>5978</v>
      </c>
      <c r="C5980" s="3" t="n">
        <v>7</v>
      </c>
      <c r="D5980" s="3" t="n">
        <v>17</v>
      </c>
      <c r="E5980" s="3" t="n">
        <v>14</v>
      </c>
      <c r="F5980" s="24" t="n">
        <v>0.0881060809</v>
      </c>
    </row>
    <row r="5981" customFormat="false" ht="15" hidden="false" customHeight="false" outlineLevel="0" collapsed="false">
      <c r="A5981" s="3" t="n">
        <v>5980</v>
      </c>
      <c r="B5981" s="3" t="n">
        <v>5979</v>
      </c>
      <c r="C5981" s="3" t="n">
        <v>7</v>
      </c>
      <c r="D5981" s="3" t="n">
        <v>17</v>
      </c>
      <c r="E5981" s="3" t="n">
        <v>15</v>
      </c>
      <c r="F5981" s="24" t="n">
        <v>-0.847599924</v>
      </c>
    </row>
    <row r="5982" customFormat="false" ht="15" hidden="false" customHeight="false" outlineLevel="0" collapsed="false">
      <c r="A5982" s="3" t="n">
        <v>5981</v>
      </c>
      <c r="B5982" s="3" t="n">
        <v>5980</v>
      </c>
      <c r="C5982" s="3" t="n">
        <v>7</v>
      </c>
      <c r="D5982" s="3" t="n">
        <v>17</v>
      </c>
      <c r="E5982" s="3" t="n">
        <v>16</v>
      </c>
      <c r="F5982" s="24" t="n">
        <v>0.0205068141</v>
      </c>
    </row>
    <row r="5983" customFormat="false" ht="15" hidden="false" customHeight="false" outlineLevel="0" collapsed="false">
      <c r="A5983" s="3" t="n">
        <v>5982</v>
      </c>
      <c r="B5983" s="3" t="n">
        <v>5981</v>
      </c>
      <c r="C5983" s="3" t="n">
        <v>7</v>
      </c>
      <c r="D5983" s="3" t="n">
        <v>17</v>
      </c>
      <c r="E5983" s="3" t="n">
        <v>17</v>
      </c>
      <c r="F5983" s="24" t="n">
        <v>2.61882687</v>
      </c>
    </row>
    <row r="5984" customFormat="false" ht="15" hidden="false" customHeight="false" outlineLevel="0" collapsed="false">
      <c r="A5984" s="3" t="n">
        <v>5983</v>
      </c>
      <c r="B5984" s="3" t="n">
        <v>5982</v>
      </c>
      <c r="C5984" s="3" t="n">
        <v>7</v>
      </c>
      <c r="D5984" s="3" t="n">
        <v>17</v>
      </c>
      <c r="E5984" s="3" t="n">
        <v>18</v>
      </c>
      <c r="F5984" s="24" t="n">
        <v>2.00890303</v>
      </c>
    </row>
    <row r="5985" customFormat="false" ht="15" hidden="false" customHeight="false" outlineLevel="0" collapsed="false">
      <c r="A5985" s="3" t="n">
        <v>5984</v>
      </c>
      <c r="B5985" s="3" t="n">
        <v>5983</v>
      </c>
      <c r="C5985" s="3" t="n">
        <v>7</v>
      </c>
      <c r="D5985" s="3" t="n">
        <v>17</v>
      </c>
      <c r="E5985" s="3" t="n">
        <v>19</v>
      </c>
      <c r="F5985" s="24" t="n">
        <v>0.114734843</v>
      </c>
    </row>
    <row r="5986" customFormat="false" ht="15" hidden="false" customHeight="false" outlineLevel="0" collapsed="false">
      <c r="A5986" s="3" t="n">
        <v>5985</v>
      </c>
      <c r="B5986" s="3" t="n">
        <v>5984</v>
      </c>
      <c r="C5986" s="3" t="n">
        <v>7</v>
      </c>
      <c r="D5986" s="3" t="n">
        <v>17</v>
      </c>
      <c r="E5986" s="3" t="n">
        <v>20</v>
      </c>
      <c r="F5986" s="24" t="n">
        <v>-0.0628041923</v>
      </c>
    </row>
    <row r="5987" customFormat="false" ht="15" hidden="false" customHeight="false" outlineLevel="0" collapsed="false">
      <c r="A5987" s="3" t="n">
        <v>5986</v>
      </c>
      <c r="B5987" s="3" t="n">
        <v>5985</v>
      </c>
      <c r="C5987" s="3" t="n">
        <v>7</v>
      </c>
      <c r="D5987" s="3" t="n">
        <v>17</v>
      </c>
      <c r="E5987" s="3" t="n">
        <v>21</v>
      </c>
      <c r="F5987" s="24" t="n">
        <v>-0.0628041923</v>
      </c>
    </row>
    <row r="5988" customFormat="false" ht="15" hidden="false" customHeight="false" outlineLevel="0" collapsed="false">
      <c r="A5988" s="3" t="n">
        <v>5987</v>
      </c>
      <c r="B5988" s="3" t="n">
        <v>5986</v>
      </c>
      <c r="C5988" s="3" t="n">
        <v>7</v>
      </c>
      <c r="D5988" s="3" t="n">
        <v>17</v>
      </c>
      <c r="E5988" s="3" t="n">
        <v>22</v>
      </c>
      <c r="F5988" s="24" t="n">
        <v>-0.0628041923</v>
      </c>
    </row>
    <row r="5989" customFormat="false" ht="15" hidden="false" customHeight="false" outlineLevel="0" collapsed="false">
      <c r="A5989" s="3" t="n">
        <v>5988</v>
      </c>
      <c r="B5989" s="3" t="n">
        <v>5987</v>
      </c>
      <c r="C5989" s="3" t="n">
        <v>7</v>
      </c>
      <c r="D5989" s="3" t="n">
        <v>17</v>
      </c>
      <c r="E5989" s="3" t="n">
        <v>23</v>
      </c>
      <c r="F5989" s="24" t="n">
        <v>-0.0628041923</v>
      </c>
    </row>
    <row r="5990" customFormat="false" ht="15" hidden="false" customHeight="false" outlineLevel="0" collapsed="false">
      <c r="A5990" s="3" t="n">
        <v>5989</v>
      </c>
      <c r="B5990" s="3" t="n">
        <v>5988</v>
      </c>
      <c r="C5990" s="3" t="n">
        <v>7</v>
      </c>
      <c r="D5990" s="3" t="n">
        <v>17</v>
      </c>
      <c r="E5990" s="3" t="n">
        <v>24</v>
      </c>
      <c r="F5990" s="24" t="n">
        <v>-0.0628041923</v>
      </c>
    </row>
    <row r="5991" customFormat="false" ht="15" hidden="false" customHeight="false" outlineLevel="0" collapsed="false">
      <c r="A5991" s="3" t="n">
        <v>5990</v>
      </c>
      <c r="B5991" s="3" t="n">
        <v>5989</v>
      </c>
      <c r="C5991" s="3" t="n">
        <v>7</v>
      </c>
      <c r="D5991" s="3" t="n">
        <v>17</v>
      </c>
      <c r="E5991" s="3" t="n">
        <v>25</v>
      </c>
      <c r="F5991" s="24" t="n">
        <v>-0.0628041923</v>
      </c>
    </row>
    <row r="5992" customFormat="false" ht="15" hidden="false" customHeight="false" outlineLevel="0" collapsed="false">
      <c r="A5992" s="3" t="n">
        <v>5991</v>
      </c>
      <c r="B5992" s="3" t="n">
        <v>5990</v>
      </c>
      <c r="C5992" s="3" t="n">
        <v>7</v>
      </c>
      <c r="D5992" s="3" t="n">
        <v>17</v>
      </c>
      <c r="E5992" s="3" t="n">
        <v>26</v>
      </c>
      <c r="F5992" s="24" t="n">
        <v>-0.0628041923</v>
      </c>
    </row>
    <row r="5993" customFormat="false" ht="15" hidden="false" customHeight="false" outlineLevel="0" collapsed="false">
      <c r="A5993" s="3" t="n">
        <v>5992</v>
      </c>
      <c r="B5993" s="3" t="n">
        <v>5991</v>
      </c>
      <c r="C5993" s="3" t="n">
        <v>7</v>
      </c>
      <c r="D5993" s="3" t="n">
        <v>17</v>
      </c>
      <c r="E5993" s="3" t="n">
        <v>27</v>
      </c>
      <c r="F5993" s="24" t="n">
        <v>-0.504603028</v>
      </c>
    </row>
    <row r="5994" customFormat="false" ht="15" hidden="false" customHeight="false" outlineLevel="0" collapsed="false">
      <c r="A5994" s="3" t="n">
        <v>5993</v>
      </c>
      <c r="B5994" s="3" t="n">
        <v>5992</v>
      </c>
      <c r="C5994" s="3" t="n">
        <v>7</v>
      </c>
      <c r="D5994" s="3" t="n">
        <v>18</v>
      </c>
      <c r="E5994" s="3" t="n">
        <v>0</v>
      </c>
      <c r="F5994" s="24" t="n">
        <v>0.259080142</v>
      </c>
    </row>
    <row r="5995" customFormat="false" ht="15" hidden="false" customHeight="false" outlineLevel="0" collapsed="false">
      <c r="A5995" s="3" t="n">
        <v>5994</v>
      </c>
      <c r="B5995" s="3" t="n">
        <v>5993</v>
      </c>
      <c r="C5995" s="3" t="n">
        <v>7</v>
      </c>
      <c r="D5995" s="3" t="n">
        <v>18</v>
      </c>
      <c r="E5995" s="3" t="n">
        <v>1</v>
      </c>
      <c r="F5995" s="24" t="n">
        <v>-0.0628041923</v>
      </c>
    </row>
    <row r="5996" customFormat="false" ht="15" hidden="false" customHeight="false" outlineLevel="0" collapsed="false">
      <c r="A5996" s="3" t="n">
        <v>5995</v>
      </c>
      <c r="B5996" s="3" t="n">
        <v>5994</v>
      </c>
      <c r="C5996" s="3" t="n">
        <v>7</v>
      </c>
      <c r="D5996" s="3" t="n">
        <v>18</v>
      </c>
      <c r="E5996" s="3" t="n">
        <v>2</v>
      </c>
      <c r="F5996" s="24" t="n">
        <v>-0.0628041923</v>
      </c>
    </row>
    <row r="5997" customFormat="false" ht="15" hidden="false" customHeight="false" outlineLevel="0" collapsed="false">
      <c r="A5997" s="3" t="n">
        <v>5996</v>
      </c>
      <c r="B5997" s="3" t="n">
        <v>5995</v>
      </c>
      <c r="C5997" s="3" t="n">
        <v>7</v>
      </c>
      <c r="D5997" s="3" t="n">
        <v>18</v>
      </c>
      <c r="E5997" s="3" t="n">
        <v>3</v>
      </c>
      <c r="F5997" s="24" t="n">
        <v>-0.0628041923</v>
      </c>
    </row>
    <row r="5998" customFormat="false" ht="15" hidden="false" customHeight="false" outlineLevel="0" collapsed="false">
      <c r="A5998" s="3" t="n">
        <v>5997</v>
      </c>
      <c r="B5998" s="3" t="n">
        <v>5996</v>
      </c>
      <c r="C5998" s="3" t="n">
        <v>7</v>
      </c>
      <c r="D5998" s="3" t="n">
        <v>18</v>
      </c>
      <c r="E5998" s="3" t="n">
        <v>4</v>
      </c>
      <c r="F5998" s="24" t="n">
        <v>-0.0628041923</v>
      </c>
    </row>
    <row r="5999" customFormat="false" ht="15" hidden="false" customHeight="false" outlineLevel="0" collapsed="false">
      <c r="A5999" s="3" t="n">
        <v>5998</v>
      </c>
      <c r="B5999" s="3" t="n">
        <v>5997</v>
      </c>
      <c r="C5999" s="3" t="n">
        <v>7</v>
      </c>
      <c r="D5999" s="3" t="n">
        <v>18</v>
      </c>
      <c r="E5999" s="3" t="n">
        <v>5</v>
      </c>
      <c r="F5999" s="24" t="n">
        <v>-0.0628041923</v>
      </c>
    </row>
    <row r="6000" customFormat="false" ht="15" hidden="false" customHeight="false" outlineLevel="0" collapsed="false">
      <c r="A6000" s="3" t="n">
        <v>5999</v>
      </c>
      <c r="B6000" s="3" t="n">
        <v>5998</v>
      </c>
      <c r="C6000" s="3" t="n">
        <v>7</v>
      </c>
      <c r="D6000" s="3" t="n">
        <v>18</v>
      </c>
      <c r="E6000" s="3" t="n">
        <v>6</v>
      </c>
      <c r="F6000" s="24" t="n">
        <v>-0.0628041923</v>
      </c>
    </row>
    <row r="6001" customFormat="false" ht="15" hidden="false" customHeight="false" outlineLevel="0" collapsed="false">
      <c r="A6001" s="3" t="n">
        <v>6000</v>
      </c>
      <c r="B6001" s="3" t="n">
        <v>5999</v>
      </c>
      <c r="C6001" s="3" t="n">
        <v>7</v>
      </c>
      <c r="D6001" s="3" t="n">
        <v>18</v>
      </c>
      <c r="E6001" s="3" t="n">
        <v>7</v>
      </c>
      <c r="F6001" s="24" t="n">
        <v>-0.0628041923</v>
      </c>
    </row>
    <row r="6002" customFormat="false" ht="15" hidden="false" customHeight="false" outlineLevel="0" collapsed="false">
      <c r="A6002" s="3" t="n">
        <v>6001</v>
      </c>
      <c r="B6002" s="3" t="n">
        <v>6000</v>
      </c>
      <c r="C6002" s="3" t="n">
        <v>7</v>
      </c>
      <c r="D6002" s="3" t="n">
        <v>18</v>
      </c>
      <c r="E6002" s="3" t="n">
        <v>8</v>
      </c>
      <c r="F6002" s="24" t="n">
        <v>-0.0628041923</v>
      </c>
    </row>
    <row r="6003" customFormat="false" ht="15" hidden="false" customHeight="false" outlineLevel="0" collapsed="false">
      <c r="A6003" s="3" t="n">
        <v>6002</v>
      </c>
      <c r="B6003" s="3" t="n">
        <v>6001</v>
      </c>
      <c r="C6003" s="3" t="n">
        <v>7</v>
      </c>
      <c r="D6003" s="3" t="n">
        <v>18</v>
      </c>
      <c r="E6003" s="3" t="n">
        <v>9</v>
      </c>
      <c r="F6003" s="24" t="n">
        <v>-0.0628041923</v>
      </c>
    </row>
    <row r="6004" customFormat="false" ht="15" hidden="false" customHeight="false" outlineLevel="0" collapsed="false">
      <c r="A6004" s="3" t="n">
        <v>6003</v>
      </c>
      <c r="B6004" s="3" t="n">
        <v>6002</v>
      </c>
      <c r="C6004" s="3" t="n">
        <v>7</v>
      </c>
      <c r="D6004" s="3" t="n">
        <v>18</v>
      </c>
      <c r="E6004" s="3" t="n">
        <v>10</v>
      </c>
      <c r="F6004" s="24" t="n">
        <v>-0.0628041923</v>
      </c>
    </row>
    <row r="6005" customFormat="false" ht="15" hidden="false" customHeight="false" outlineLevel="0" collapsed="false">
      <c r="A6005" s="3" t="n">
        <v>6004</v>
      </c>
      <c r="B6005" s="3" t="n">
        <v>6003</v>
      </c>
      <c r="C6005" s="3" t="n">
        <v>7</v>
      </c>
      <c r="D6005" s="3" t="n">
        <v>18</v>
      </c>
      <c r="E6005" s="3" t="n">
        <v>11</v>
      </c>
      <c r="F6005" s="24" t="n">
        <v>-0.0628041923</v>
      </c>
    </row>
    <row r="6006" customFormat="false" ht="15" hidden="false" customHeight="false" outlineLevel="0" collapsed="false">
      <c r="A6006" s="3" t="n">
        <v>6005</v>
      </c>
      <c r="B6006" s="3" t="n">
        <v>6004</v>
      </c>
      <c r="C6006" s="3" t="n">
        <v>7</v>
      </c>
      <c r="D6006" s="3" t="n">
        <v>18</v>
      </c>
      <c r="E6006" s="3" t="n">
        <v>12</v>
      </c>
      <c r="F6006" s="24" t="n">
        <v>-0.0334043503</v>
      </c>
    </row>
    <row r="6007" customFormat="false" ht="15" hidden="false" customHeight="false" outlineLevel="0" collapsed="false">
      <c r="A6007" s="3" t="n">
        <v>6006</v>
      </c>
      <c r="B6007" s="3" t="n">
        <v>6005</v>
      </c>
      <c r="C6007" s="3" t="n">
        <v>7</v>
      </c>
      <c r="D6007" s="3" t="n">
        <v>18</v>
      </c>
      <c r="E6007" s="3" t="n">
        <v>13</v>
      </c>
      <c r="F6007" s="24" t="n">
        <v>-0.0460042357</v>
      </c>
    </row>
    <row r="6008" customFormat="false" ht="15" hidden="false" customHeight="false" outlineLevel="0" collapsed="false">
      <c r="A6008" s="3" t="n">
        <v>6007</v>
      </c>
      <c r="B6008" s="3" t="n">
        <v>6006</v>
      </c>
      <c r="C6008" s="3" t="n">
        <v>7</v>
      </c>
      <c r="D6008" s="3" t="n">
        <v>18</v>
      </c>
      <c r="E6008" s="3" t="n">
        <v>14</v>
      </c>
      <c r="F6008" s="24" t="n">
        <v>-0.416131854</v>
      </c>
    </row>
    <row r="6009" customFormat="false" ht="15" hidden="false" customHeight="false" outlineLevel="0" collapsed="false">
      <c r="A6009" s="3" t="n">
        <v>6008</v>
      </c>
      <c r="B6009" s="3" t="n">
        <v>6007</v>
      </c>
      <c r="C6009" s="3" t="n">
        <v>7</v>
      </c>
      <c r="D6009" s="3" t="n">
        <v>18</v>
      </c>
      <c r="E6009" s="3" t="n">
        <v>15</v>
      </c>
      <c r="F6009" s="24" t="n">
        <v>-0.608913302</v>
      </c>
    </row>
    <row r="6010" customFormat="false" ht="15" hidden="false" customHeight="false" outlineLevel="0" collapsed="false">
      <c r="A6010" s="3" t="n">
        <v>6009</v>
      </c>
      <c r="B6010" s="3" t="n">
        <v>6008</v>
      </c>
      <c r="C6010" s="3" t="n">
        <v>7</v>
      </c>
      <c r="D6010" s="3" t="n">
        <v>18</v>
      </c>
      <c r="E6010" s="3" t="n">
        <v>16</v>
      </c>
      <c r="F6010" s="24" t="n">
        <v>1.92387247</v>
      </c>
    </row>
    <row r="6011" customFormat="false" ht="15" hidden="false" customHeight="false" outlineLevel="0" collapsed="false">
      <c r="A6011" s="3" t="n">
        <v>6010</v>
      </c>
      <c r="B6011" s="3" t="n">
        <v>6009</v>
      </c>
      <c r="C6011" s="3" t="n">
        <v>7</v>
      </c>
      <c r="D6011" s="3" t="n">
        <v>18</v>
      </c>
      <c r="E6011" s="3" t="n">
        <v>17</v>
      </c>
      <c r="F6011" s="24" t="n">
        <v>2.58294654</v>
      </c>
    </row>
    <row r="6012" customFormat="false" ht="15" hidden="false" customHeight="false" outlineLevel="0" collapsed="false">
      <c r="A6012" s="3" t="n">
        <v>6011</v>
      </c>
      <c r="B6012" s="3" t="n">
        <v>6010</v>
      </c>
      <c r="C6012" s="3" t="n">
        <v>7</v>
      </c>
      <c r="D6012" s="3" t="n">
        <v>18</v>
      </c>
      <c r="E6012" s="3" t="n">
        <v>18</v>
      </c>
      <c r="F6012" s="24" t="n">
        <v>0.879707456</v>
      </c>
    </row>
    <row r="6013" customFormat="false" ht="15" hidden="false" customHeight="false" outlineLevel="0" collapsed="false">
      <c r="A6013" s="3" t="n">
        <v>6012</v>
      </c>
      <c r="B6013" s="3" t="n">
        <v>6011</v>
      </c>
      <c r="C6013" s="3" t="n">
        <v>7</v>
      </c>
      <c r="D6013" s="3" t="n">
        <v>18</v>
      </c>
      <c r="E6013" s="3" t="n">
        <v>19</v>
      </c>
      <c r="F6013" s="24" t="n">
        <v>-0.0628041923</v>
      </c>
    </row>
    <row r="6014" customFormat="false" ht="15" hidden="false" customHeight="false" outlineLevel="0" collapsed="false">
      <c r="A6014" s="3" t="n">
        <v>6013</v>
      </c>
      <c r="B6014" s="3" t="n">
        <v>6012</v>
      </c>
      <c r="C6014" s="3" t="n">
        <v>7</v>
      </c>
      <c r="D6014" s="3" t="n">
        <v>18</v>
      </c>
      <c r="E6014" s="3" t="n">
        <v>20</v>
      </c>
      <c r="F6014" s="24" t="n">
        <v>-0.0628041923</v>
      </c>
    </row>
    <row r="6015" customFormat="false" ht="15" hidden="false" customHeight="false" outlineLevel="0" collapsed="false">
      <c r="A6015" s="3" t="n">
        <v>6014</v>
      </c>
      <c r="B6015" s="3" t="n">
        <v>6013</v>
      </c>
      <c r="C6015" s="3" t="n">
        <v>7</v>
      </c>
      <c r="D6015" s="3" t="n">
        <v>18</v>
      </c>
      <c r="E6015" s="3" t="n">
        <v>21</v>
      </c>
      <c r="F6015" s="24" t="n">
        <v>-0.0628041923</v>
      </c>
    </row>
    <row r="6016" customFormat="false" ht="15" hidden="false" customHeight="false" outlineLevel="0" collapsed="false">
      <c r="A6016" s="3" t="n">
        <v>6015</v>
      </c>
      <c r="B6016" s="3" t="n">
        <v>6014</v>
      </c>
      <c r="C6016" s="3" t="n">
        <v>7</v>
      </c>
      <c r="D6016" s="3" t="n">
        <v>18</v>
      </c>
      <c r="E6016" s="3" t="n">
        <v>22</v>
      </c>
      <c r="F6016" s="24" t="n">
        <v>-0.0628041923</v>
      </c>
    </row>
    <row r="6017" customFormat="false" ht="15" hidden="false" customHeight="false" outlineLevel="0" collapsed="false">
      <c r="A6017" s="3" t="n">
        <v>6016</v>
      </c>
      <c r="B6017" s="3" t="n">
        <v>6015</v>
      </c>
      <c r="C6017" s="3" t="n">
        <v>7</v>
      </c>
      <c r="D6017" s="3" t="n">
        <v>18</v>
      </c>
      <c r="E6017" s="3" t="n">
        <v>23</v>
      </c>
      <c r="F6017" s="24" t="n">
        <v>-0.0628041923</v>
      </c>
    </row>
    <row r="6018" customFormat="false" ht="15" hidden="false" customHeight="false" outlineLevel="0" collapsed="false">
      <c r="A6018" s="3" t="n">
        <v>6017</v>
      </c>
      <c r="B6018" s="3" t="n">
        <v>6016</v>
      </c>
      <c r="C6018" s="3" t="n">
        <v>7</v>
      </c>
      <c r="D6018" s="3" t="n">
        <v>18</v>
      </c>
      <c r="E6018" s="3" t="n">
        <v>24</v>
      </c>
      <c r="F6018" s="24" t="n">
        <v>-0.0628041923</v>
      </c>
    </row>
    <row r="6019" customFormat="false" ht="15" hidden="false" customHeight="false" outlineLevel="0" collapsed="false">
      <c r="A6019" s="3" t="n">
        <v>6018</v>
      </c>
      <c r="B6019" s="3" t="n">
        <v>6017</v>
      </c>
      <c r="C6019" s="3" t="n">
        <v>7</v>
      </c>
      <c r="D6019" s="3" t="n">
        <v>18</v>
      </c>
      <c r="E6019" s="3" t="n">
        <v>25</v>
      </c>
      <c r="F6019" s="24" t="n">
        <v>-0.0628041923</v>
      </c>
    </row>
    <row r="6020" customFormat="false" ht="15" hidden="false" customHeight="false" outlineLevel="0" collapsed="false">
      <c r="A6020" s="3" t="n">
        <v>6019</v>
      </c>
      <c r="B6020" s="3" t="n">
        <v>6018</v>
      </c>
      <c r="C6020" s="3" t="n">
        <v>7</v>
      </c>
      <c r="D6020" s="3" t="n">
        <v>18</v>
      </c>
      <c r="E6020" s="3" t="n">
        <v>26</v>
      </c>
      <c r="F6020" s="24" t="n">
        <v>-0.0628041923</v>
      </c>
    </row>
    <row r="6021" customFormat="false" ht="15" hidden="false" customHeight="false" outlineLevel="0" collapsed="false">
      <c r="A6021" s="3" t="n">
        <v>6020</v>
      </c>
      <c r="B6021" s="3" t="n">
        <v>6019</v>
      </c>
      <c r="C6021" s="3" t="n">
        <v>7</v>
      </c>
      <c r="D6021" s="3" t="n">
        <v>18</v>
      </c>
      <c r="E6021" s="3" t="n">
        <v>27</v>
      </c>
      <c r="F6021" s="24" t="n">
        <v>-0.504603028</v>
      </c>
    </row>
    <row r="6022" customFormat="false" ht="15" hidden="false" customHeight="false" outlineLevel="0" collapsed="false">
      <c r="A6022" s="3" t="n">
        <v>6021</v>
      </c>
      <c r="B6022" s="3" t="n">
        <v>6020</v>
      </c>
      <c r="C6022" s="3" t="n">
        <v>7</v>
      </c>
      <c r="D6022" s="3" t="n">
        <v>19</v>
      </c>
      <c r="E6022" s="3" t="n">
        <v>0</v>
      </c>
      <c r="F6022" s="24" t="n">
        <v>0.259080142</v>
      </c>
    </row>
    <row r="6023" customFormat="false" ht="15" hidden="false" customHeight="false" outlineLevel="0" collapsed="false">
      <c r="A6023" s="3" t="n">
        <v>6022</v>
      </c>
      <c r="B6023" s="3" t="n">
        <v>6021</v>
      </c>
      <c r="C6023" s="3" t="n">
        <v>7</v>
      </c>
      <c r="D6023" s="3" t="n">
        <v>19</v>
      </c>
      <c r="E6023" s="3" t="n">
        <v>1</v>
      </c>
      <c r="F6023" s="24" t="n">
        <v>-0.0628041923</v>
      </c>
    </row>
    <row r="6024" customFormat="false" ht="15" hidden="false" customHeight="false" outlineLevel="0" collapsed="false">
      <c r="A6024" s="3" t="n">
        <v>6023</v>
      </c>
      <c r="B6024" s="3" t="n">
        <v>6022</v>
      </c>
      <c r="C6024" s="3" t="n">
        <v>7</v>
      </c>
      <c r="D6024" s="3" t="n">
        <v>19</v>
      </c>
      <c r="E6024" s="3" t="n">
        <v>2</v>
      </c>
      <c r="F6024" s="24" t="n">
        <v>-0.0628041923</v>
      </c>
    </row>
    <row r="6025" customFormat="false" ht="15" hidden="false" customHeight="false" outlineLevel="0" collapsed="false">
      <c r="A6025" s="3" t="n">
        <v>6024</v>
      </c>
      <c r="B6025" s="3" t="n">
        <v>6023</v>
      </c>
      <c r="C6025" s="3" t="n">
        <v>7</v>
      </c>
      <c r="D6025" s="3" t="n">
        <v>19</v>
      </c>
      <c r="E6025" s="3" t="n">
        <v>3</v>
      </c>
      <c r="F6025" s="24" t="n">
        <v>-0.0628041923</v>
      </c>
    </row>
    <row r="6026" customFormat="false" ht="15" hidden="false" customHeight="false" outlineLevel="0" collapsed="false">
      <c r="A6026" s="3" t="n">
        <v>6025</v>
      </c>
      <c r="B6026" s="3" t="n">
        <v>6024</v>
      </c>
      <c r="C6026" s="3" t="n">
        <v>7</v>
      </c>
      <c r="D6026" s="3" t="n">
        <v>19</v>
      </c>
      <c r="E6026" s="3" t="n">
        <v>4</v>
      </c>
      <c r="F6026" s="24" t="n">
        <v>-0.0628041923</v>
      </c>
    </row>
    <row r="6027" customFormat="false" ht="15" hidden="false" customHeight="false" outlineLevel="0" collapsed="false">
      <c r="A6027" s="3" t="n">
        <v>6026</v>
      </c>
      <c r="B6027" s="3" t="n">
        <v>6025</v>
      </c>
      <c r="C6027" s="3" t="n">
        <v>7</v>
      </c>
      <c r="D6027" s="3" t="n">
        <v>19</v>
      </c>
      <c r="E6027" s="3" t="n">
        <v>5</v>
      </c>
      <c r="F6027" s="24" t="n">
        <v>-0.0628041923</v>
      </c>
    </row>
    <row r="6028" customFormat="false" ht="15" hidden="false" customHeight="false" outlineLevel="0" collapsed="false">
      <c r="A6028" s="3" t="n">
        <v>6027</v>
      </c>
      <c r="B6028" s="3" t="n">
        <v>6026</v>
      </c>
      <c r="C6028" s="3" t="n">
        <v>7</v>
      </c>
      <c r="D6028" s="3" t="n">
        <v>19</v>
      </c>
      <c r="E6028" s="3" t="n">
        <v>6</v>
      </c>
      <c r="F6028" s="24" t="n">
        <v>-0.0628041923</v>
      </c>
    </row>
    <row r="6029" customFormat="false" ht="15" hidden="false" customHeight="false" outlineLevel="0" collapsed="false">
      <c r="A6029" s="3" t="n">
        <v>6028</v>
      </c>
      <c r="B6029" s="3" t="n">
        <v>6027</v>
      </c>
      <c r="C6029" s="3" t="n">
        <v>7</v>
      </c>
      <c r="D6029" s="3" t="n">
        <v>19</v>
      </c>
      <c r="E6029" s="3" t="n">
        <v>7</v>
      </c>
      <c r="F6029" s="24" t="n">
        <v>-0.0628041923</v>
      </c>
    </row>
    <row r="6030" customFormat="false" ht="15" hidden="false" customHeight="false" outlineLevel="0" collapsed="false">
      <c r="A6030" s="3" t="n">
        <v>6029</v>
      </c>
      <c r="B6030" s="3" t="n">
        <v>6028</v>
      </c>
      <c r="C6030" s="3" t="n">
        <v>7</v>
      </c>
      <c r="D6030" s="3" t="n">
        <v>19</v>
      </c>
      <c r="E6030" s="3" t="n">
        <v>8</v>
      </c>
      <c r="F6030" s="24" t="n">
        <v>-0.0628041923</v>
      </c>
    </row>
    <row r="6031" customFormat="false" ht="15" hidden="false" customHeight="false" outlineLevel="0" collapsed="false">
      <c r="A6031" s="3" t="n">
        <v>6030</v>
      </c>
      <c r="B6031" s="3" t="n">
        <v>6029</v>
      </c>
      <c r="C6031" s="3" t="n">
        <v>7</v>
      </c>
      <c r="D6031" s="3" t="n">
        <v>19</v>
      </c>
      <c r="E6031" s="3" t="n">
        <v>9</v>
      </c>
      <c r="F6031" s="24" t="n">
        <v>-0.0628041923</v>
      </c>
    </row>
    <row r="6032" customFormat="false" ht="15" hidden="false" customHeight="false" outlineLevel="0" collapsed="false">
      <c r="A6032" s="3" t="n">
        <v>6031</v>
      </c>
      <c r="B6032" s="3" t="n">
        <v>6030</v>
      </c>
      <c r="C6032" s="3" t="n">
        <v>7</v>
      </c>
      <c r="D6032" s="3" t="n">
        <v>19</v>
      </c>
      <c r="E6032" s="3" t="n">
        <v>10</v>
      </c>
      <c r="F6032" s="24" t="n">
        <v>-0.0628041923</v>
      </c>
    </row>
    <row r="6033" customFormat="false" ht="15" hidden="false" customHeight="false" outlineLevel="0" collapsed="false">
      <c r="A6033" s="3" t="n">
        <v>6032</v>
      </c>
      <c r="B6033" s="3" t="n">
        <v>6031</v>
      </c>
      <c r="C6033" s="3" t="n">
        <v>7</v>
      </c>
      <c r="D6033" s="3" t="n">
        <v>19</v>
      </c>
      <c r="E6033" s="3" t="n">
        <v>11</v>
      </c>
      <c r="F6033" s="24" t="n">
        <v>-0.0581621081</v>
      </c>
    </row>
    <row r="6034" customFormat="false" ht="15" hidden="false" customHeight="false" outlineLevel="0" collapsed="false">
      <c r="A6034" s="3" t="n">
        <v>6033</v>
      </c>
      <c r="B6034" s="3" t="n">
        <v>6032</v>
      </c>
      <c r="C6034" s="3" t="n">
        <v>7</v>
      </c>
      <c r="D6034" s="3" t="n">
        <v>19</v>
      </c>
      <c r="E6034" s="3" t="n">
        <v>12</v>
      </c>
      <c r="F6034" s="24" t="n">
        <v>0.152823254</v>
      </c>
    </row>
    <row r="6035" customFormat="false" ht="15" hidden="false" customHeight="false" outlineLevel="0" collapsed="false">
      <c r="A6035" s="3" t="n">
        <v>6034</v>
      </c>
      <c r="B6035" s="3" t="n">
        <v>6033</v>
      </c>
      <c r="C6035" s="3" t="n">
        <v>7</v>
      </c>
      <c r="D6035" s="3" t="n">
        <v>19</v>
      </c>
      <c r="E6035" s="3" t="n">
        <v>13</v>
      </c>
      <c r="F6035" s="24" t="n">
        <v>0.0568584651</v>
      </c>
    </row>
    <row r="6036" customFormat="false" ht="15" hidden="false" customHeight="false" outlineLevel="0" collapsed="false">
      <c r="A6036" s="3" t="n">
        <v>6035</v>
      </c>
      <c r="B6036" s="3" t="n">
        <v>6034</v>
      </c>
      <c r="C6036" s="3" t="n">
        <v>7</v>
      </c>
      <c r="D6036" s="3" t="n">
        <v>19</v>
      </c>
      <c r="E6036" s="3" t="n">
        <v>14</v>
      </c>
      <c r="F6036" s="24" t="n">
        <v>-1.04317689</v>
      </c>
    </row>
    <row r="6037" customFormat="false" ht="15" hidden="false" customHeight="false" outlineLevel="0" collapsed="false">
      <c r="A6037" s="3" t="n">
        <v>6036</v>
      </c>
      <c r="B6037" s="3" t="n">
        <v>6035</v>
      </c>
      <c r="C6037" s="3" t="n">
        <v>7</v>
      </c>
      <c r="D6037" s="3" t="n">
        <v>19</v>
      </c>
      <c r="E6037" s="3" t="n">
        <v>15</v>
      </c>
      <c r="F6037" s="24" t="n">
        <v>0.8873384</v>
      </c>
    </row>
    <row r="6038" customFormat="false" ht="15" hidden="false" customHeight="false" outlineLevel="0" collapsed="false">
      <c r="A6038" s="3" t="n">
        <v>6037</v>
      </c>
      <c r="B6038" s="3" t="n">
        <v>6036</v>
      </c>
      <c r="C6038" s="3" t="n">
        <v>7</v>
      </c>
      <c r="D6038" s="3" t="n">
        <v>19</v>
      </c>
      <c r="E6038" s="3" t="n">
        <v>16</v>
      </c>
      <c r="F6038" s="24" t="n">
        <v>2.56713557</v>
      </c>
    </row>
    <row r="6039" customFormat="false" ht="15" hidden="false" customHeight="false" outlineLevel="0" collapsed="false">
      <c r="A6039" s="3" t="n">
        <v>6038</v>
      </c>
      <c r="B6039" s="3" t="n">
        <v>6037</v>
      </c>
      <c r="C6039" s="3" t="n">
        <v>7</v>
      </c>
      <c r="D6039" s="3" t="n">
        <v>19</v>
      </c>
      <c r="E6039" s="3" t="n">
        <v>17</v>
      </c>
      <c r="F6039" s="24" t="n">
        <v>1.87827682</v>
      </c>
    </row>
    <row r="6040" customFormat="false" ht="15" hidden="false" customHeight="false" outlineLevel="0" collapsed="false">
      <c r="A6040" s="3" t="n">
        <v>6039</v>
      </c>
      <c r="B6040" s="3" t="n">
        <v>6038</v>
      </c>
      <c r="C6040" s="3" t="n">
        <v>7</v>
      </c>
      <c r="D6040" s="3" t="n">
        <v>19</v>
      </c>
      <c r="E6040" s="3" t="n">
        <v>18</v>
      </c>
      <c r="F6040" s="24" t="n">
        <v>0.111673817</v>
      </c>
    </row>
    <row r="6041" customFormat="false" ht="15" hidden="false" customHeight="false" outlineLevel="0" collapsed="false">
      <c r="A6041" s="3" t="n">
        <v>6040</v>
      </c>
      <c r="B6041" s="3" t="n">
        <v>6039</v>
      </c>
      <c r="C6041" s="3" t="n">
        <v>7</v>
      </c>
      <c r="D6041" s="3" t="n">
        <v>19</v>
      </c>
      <c r="E6041" s="3" t="n">
        <v>19</v>
      </c>
      <c r="F6041" s="24" t="n">
        <v>-0.0628041923</v>
      </c>
    </row>
    <row r="6042" customFormat="false" ht="15" hidden="false" customHeight="false" outlineLevel="0" collapsed="false">
      <c r="A6042" s="3" t="n">
        <v>6041</v>
      </c>
      <c r="B6042" s="3" t="n">
        <v>6040</v>
      </c>
      <c r="C6042" s="3" t="n">
        <v>7</v>
      </c>
      <c r="D6042" s="3" t="n">
        <v>19</v>
      </c>
      <c r="E6042" s="3" t="n">
        <v>20</v>
      </c>
      <c r="F6042" s="24" t="n">
        <v>-0.0628041923</v>
      </c>
    </row>
    <row r="6043" customFormat="false" ht="15" hidden="false" customHeight="false" outlineLevel="0" collapsed="false">
      <c r="A6043" s="3" t="n">
        <v>6042</v>
      </c>
      <c r="B6043" s="3" t="n">
        <v>6041</v>
      </c>
      <c r="C6043" s="3" t="n">
        <v>7</v>
      </c>
      <c r="D6043" s="3" t="n">
        <v>19</v>
      </c>
      <c r="E6043" s="3" t="n">
        <v>21</v>
      </c>
      <c r="F6043" s="24" t="n">
        <v>-0.0628041923</v>
      </c>
    </row>
    <row r="6044" customFormat="false" ht="15" hidden="false" customHeight="false" outlineLevel="0" collapsed="false">
      <c r="A6044" s="3" t="n">
        <v>6043</v>
      </c>
      <c r="B6044" s="3" t="n">
        <v>6042</v>
      </c>
      <c r="C6044" s="3" t="n">
        <v>7</v>
      </c>
      <c r="D6044" s="3" t="n">
        <v>19</v>
      </c>
      <c r="E6044" s="3" t="n">
        <v>22</v>
      </c>
      <c r="F6044" s="24" t="n">
        <v>-0.0628041923</v>
      </c>
    </row>
    <row r="6045" customFormat="false" ht="15" hidden="false" customHeight="false" outlineLevel="0" collapsed="false">
      <c r="A6045" s="3" t="n">
        <v>6044</v>
      </c>
      <c r="B6045" s="3" t="n">
        <v>6043</v>
      </c>
      <c r="C6045" s="3" t="n">
        <v>7</v>
      </c>
      <c r="D6045" s="3" t="n">
        <v>19</v>
      </c>
      <c r="E6045" s="3" t="n">
        <v>23</v>
      </c>
      <c r="F6045" s="24" t="n">
        <v>-0.0628041923</v>
      </c>
    </row>
    <row r="6046" customFormat="false" ht="15" hidden="false" customHeight="false" outlineLevel="0" collapsed="false">
      <c r="A6046" s="3" t="n">
        <v>6045</v>
      </c>
      <c r="B6046" s="3" t="n">
        <v>6044</v>
      </c>
      <c r="C6046" s="3" t="n">
        <v>7</v>
      </c>
      <c r="D6046" s="3" t="n">
        <v>19</v>
      </c>
      <c r="E6046" s="3" t="n">
        <v>24</v>
      </c>
      <c r="F6046" s="24" t="n">
        <v>-0.0628041923</v>
      </c>
    </row>
    <row r="6047" customFormat="false" ht="15" hidden="false" customHeight="false" outlineLevel="0" collapsed="false">
      <c r="A6047" s="3" t="n">
        <v>6046</v>
      </c>
      <c r="B6047" s="3" t="n">
        <v>6045</v>
      </c>
      <c r="C6047" s="3" t="n">
        <v>7</v>
      </c>
      <c r="D6047" s="3" t="n">
        <v>19</v>
      </c>
      <c r="E6047" s="3" t="n">
        <v>25</v>
      </c>
      <c r="F6047" s="24" t="n">
        <v>-0.0628041923</v>
      </c>
    </row>
    <row r="6048" customFormat="false" ht="15" hidden="false" customHeight="false" outlineLevel="0" collapsed="false">
      <c r="A6048" s="3" t="n">
        <v>6047</v>
      </c>
      <c r="B6048" s="3" t="n">
        <v>6046</v>
      </c>
      <c r="C6048" s="3" t="n">
        <v>7</v>
      </c>
      <c r="D6048" s="3" t="n">
        <v>19</v>
      </c>
      <c r="E6048" s="3" t="n">
        <v>26</v>
      </c>
      <c r="F6048" s="24" t="n">
        <v>-0.0628041923</v>
      </c>
    </row>
    <row r="6049" customFormat="false" ht="15" hidden="false" customHeight="false" outlineLevel="0" collapsed="false">
      <c r="A6049" s="3" t="n">
        <v>6048</v>
      </c>
      <c r="B6049" s="3" t="n">
        <v>6047</v>
      </c>
      <c r="C6049" s="3" t="n">
        <v>7</v>
      </c>
      <c r="D6049" s="3" t="n">
        <v>19</v>
      </c>
      <c r="E6049" s="3" t="n">
        <v>27</v>
      </c>
      <c r="F6049" s="24" t="n">
        <v>-0.504603028</v>
      </c>
    </row>
    <row r="6050" customFormat="false" ht="15" hidden="false" customHeight="false" outlineLevel="0" collapsed="false">
      <c r="A6050" s="3" t="n">
        <v>6049</v>
      </c>
      <c r="B6050" s="3" t="n">
        <v>6048</v>
      </c>
      <c r="C6050" s="3" t="n">
        <v>7</v>
      </c>
      <c r="D6050" s="3" t="n">
        <v>20</v>
      </c>
      <c r="E6050" s="3" t="n">
        <v>0</v>
      </c>
      <c r="F6050" s="24" t="n">
        <v>0.259080142</v>
      </c>
    </row>
    <row r="6051" customFormat="false" ht="15" hidden="false" customHeight="false" outlineLevel="0" collapsed="false">
      <c r="A6051" s="3" t="n">
        <v>6050</v>
      </c>
      <c r="B6051" s="3" t="n">
        <v>6049</v>
      </c>
      <c r="C6051" s="3" t="n">
        <v>7</v>
      </c>
      <c r="D6051" s="3" t="n">
        <v>20</v>
      </c>
      <c r="E6051" s="3" t="n">
        <v>1</v>
      </c>
      <c r="F6051" s="24" t="n">
        <v>-0.0628041923</v>
      </c>
    </row>
    <row r="6052" customFormat="false" ht="15" hidden="false" customHeight="false" outlineLevel="0" collapsed="false">
      <c r="A6052" s="3" t="n">
        <v>6051</v>
      </c>
      <c r="B6052" s="3" t="n">
        <v>6050</v>
      </c>
      <c r="C6052" s="3" t="n">
        <v>7</v>
      </c>
      <c r="D6052" s="3" t="n">
        <v>20</v>
      </c>
      <c r="E6052" s="3" t="n">
        <v>2</v>
      </c>
      <c r="F6052" s="24" t="n">
        <v>-0.0628041923</v>
      </c>
    </row>
    <row r="6053" customFormat="false" ht="15" hidden="false" customHeight="false" outlineLevel="0" collapsed="false">
      <c r="A6053" s="3" t="n">
        <v>6052</v>
      </c>
      <c r="B6053" s="3" t="n">
        <v>6051</v>
      </c>
      <c r="C6053" s="3" t="n">
        <v>7</v>
      </c>
      <c r="D6053" s="3" t="n">
        <v>20</v>
      </c>
      <c r="E6053" s="3" t="n">
        <v>3</v>
      </c>
      <c r="F6053" s="24" t="n">
        <v>-0.0628041923</v>
      </c>
    </row>
    <row r="6054" customFormat="false" ht="15" hidden="false" customHeight="false" outlineLevel="0" collapsed="false">
      <c r="A6054" s="3" t="n">
        <v>6053</v>
      </c>
      <c r="B6054" s="3" t="n">
        <v>6052</v>
      </c>
      <c r="C6054" s="3" t="n">
        <v>7</v>
      </c>
      <c r="D6054" s="3" t="n">
        <v>20</v>
      </c>
      <c r="E6054" s="3" t="n">
        <v>4</v>
      </c>
      <c r="F6054" s="24" t="n">
        <v>-0.0628041923</v>
      </c>
    </row>
    <row r="6055" customFormat="false" ht="15" hidden="false" customHeight="false" outlineLevel="0" collapsed="false">
      <c r="A6055" s="3" t="n">
        <v>6054</v>
      </c>
      <c r="B6055" s="3" t="n">
        <v>6053</v>
      </c>
      <c r="C6055" s="3" t="n">
        <v>7</v>
      </c>
      <c r="D6055" s="3" t="n">
        <v>20</v>
      </c>
      <c r="E6055" s="3" t="n">
        <v>5</v>
      </c>
      <c r="F6055" s="24" t="n">
        <v>-0.0628041923</v>
      </c>
    </row>
    <row r="6056" customFormat="false" ht="15" hidden="false" customHeight="false" outlineLevel="0" collapsed="false">
      <c r="A6056" s="3" t="n">
        <v>6055</v>
      </c>
      <c r="B6056" s="3" t="n">
        <v>6054</v>
      </c>
      <c r="C6056" s="3" t="n">
        <v>7</v>
      </c>
      <c r="D6056" s="3" t="n">
        <v>20</v>
      </c>
      <c r="E6056" s="3" t="n">
        <v>6</v>
      </c>
      <c r="F6056" s="24" t="n">
        <v>-0.0628041923</v>
      </c>
    </row>
    <row r="6057" customFormat="false" ht="15" hidden="false" customHeight="false" outlineLevel="0" collapsed="false">
      <c r="A6057" s="3" t="n">
        <v>6056</v>
      </c>
      <c r="B6057" s="3" t="n">
        <v>6055</v>
      </c>
      <c r="C6057" s="3" t="n">
        <v>7</v>
      </c>
      <c r="D6057" s="3" t="n">
        <v>20</v>
      </c>
      <c r="E6057" s="3" t="n">
        <v>7</v>
      </c>
      <c r="F6057" s="24" t="n">
        <v>-0.0628041923</v>
      </c>
    </row>
    <row r="6058" customFormat="false" ht="15" hidden="false" customHeight="false" outlineLevel="0" collapsed="false">
      <c r="A6058" s="3" t="n">
        <v>6057</v>
      </c>
      <c r="B6058" s="3" t="n">
        <v>6056</v>
      </c>
      <c r="C6058" s="3" t="n">
        <v>7</v>
      </c>
      <c r="D6058" s="3" t="n">
        <v>20</v>
      </c>
      <c r="E6058" s="3" t="n">
        <v>8</v>
      </c>
      <c r="F6058" s="24" t="n">
        <v>-0.0628041923</v>
      </c>
    </row>
    <row r="6059" customFormat="false" ht="15" hidden="false" customHeight="false" outlineLevel="0" collapsed="false">
      <c r="A6059" s="3" t="n">
        <v>6058</v>
      </c>
      <c r="B6059" s="3" t="n">
        <v>6057</v>
      </c>
      <c r="C6059" s="3" t="n">
        <v>7</v>
      </c>
      <c r="D6059" s="3" t="n">
        <v>20</v>
      </c>
      <c r="E6059" s="3" t="n">
        <v>9</v>
      </c>
      <c r="F6059" s="24" t="n">
        <v>-0.0628041923</v>
      </c>
    </row>
    <row r="6060" customFormat="false" ht="15" hidden="false" customHeight="false" outlineLevel="0" collapsed="false">
      <c r="A6060" s="3" t="n">
        <v>6059</v>
      </c>
      <c r="B6060" s="3" t="n">
        <v>6058</v>
      </c>
      <c r="C6060" s="3" t="n">
        <v>7</v>
      </c>
      <c r="D6060" s="3" t="n">
        <v>20</v>
      </c>
      <c r="E6060" s="3" t="n">
        <v>10</v>
      </c>
      <c r="F6060" s="24" t="n">
        <v>-0.0628041923</v>
      </c>
    </row>
    <row r="6061" customFormat="false" ht="15" hidden="false" customHeight="false" outlineLevel="0" collapsed="false">
      <c r="A6061" s="3" t="n">
        <v>6060</v>
      </c>
      <c r="B6061" s="3" t="n">
        <v>6059</v>
      </c>
      <c r="C6061" s="3" t="n">
        <v>7</v>
      </c>
      <c r="D6061" s="3" t="n">
        <v>20</v>
      </c>
      <c r="E6061" s="3" t="n">
        <v>11</v>
      </c>
      <c r="F6061" s="24" t="n">
        <v>-0.023763597</v>
      </c>
    </row>
    <row r="6062" customFormat="false" ht="15" hidden="false" customHeight="false" outlineLevel="0" collapsed="false">
      <c r="A6062" s="3" t="n">
        <v>6061</v>
      </c>
      <c r="B6062" s="3" t="n">
        <v>6060</v>
      </c>
      <c r="C6062" s="3" t="n">
        <v>7</v>
      </c>
      <c r="D6062" s="3" t="n">
        <v>20</v>
      </c>
      <c r="E6062" s="3" t="n">
        <v>12</v>
      </c>
      <c r="F6062" s="24" t="n">
        <v>-0.826035738</v>
      </c>
    </row>
    <row r="6063" customFormat="false" ht="15" hidden="false" customHeight="false" outlineLevel="0" collapsed="false">
      <c r="A6063" s="3" t="n">
        <v>6062</v>
      </c>
      <c r="B6063" s="3" t="n">
        <v>6061</v>
      </c>
      <c r="C6063" s="3" t="n">
        <v>7</v>
      </c>
      <c r="D6063" s="3" t="n">
        <v>20</v>
      </c>
      <c r="E6063" s="3" t="n">
        <v>13</v>
      </c>
      <c r="F6063" s="24" t="n">
        <v>-0.907367289</v>
      </c>
    </row>
    <row r="6064" customFormat="false" ht="15" hidden="false" customHeight="false" outlineLevel="0" collapsed="false">
      <c r="A6064" s="3" t="n">
        <v>6063</v>
      </c>
      <c r="B6064" s="3" t="n">
        <v>6062</v>
      </c>
      <c r="C6064" s="3" t="n">
        <v>7</v>
      </c>
      <c r="D6064" s="3" t="n">
        <v>20</v>
      </c>
      <c r="E6064" s="3" t="n">
        <v>14</v>
      </c>
      <c r="F6064" s="24" t="n">
        <v>0.458800197</v>
      </c>
    </row>
    <row r="6065" customFormat="false" ht="15" hidden="false" customHeight="false" outlineLevel="0" collapsed="false">
      <c r="A6065" s="3" t="n">
        <v>6064</v>
      </c>
      <c r="B6065" s="3" t="n">
        <v>6063</v>
      </c>
      <c r="C6065" s="3" t="n">
        <v>7</v>
      </c>
      <c r="D6065" s="3" t="n">
        <v>20</v>
      </c>
      <c r="E6065" s="3" t="n">
        <v>15</v>
      </c>
      <c r="F6065" s="24" t="n">
        <v>1.72569275</v>
      </c>
    </row>
    <row r="6066" customFormat="false" ht="15" hidden="false" customHeight="false" outlineLevel="0" collapsed="false">
      <c r="A6066" s="3" t="n">
        <v>6065</v>
      </c>
      <c r="B6066" s="3" t="n">
        <v>6064</v>
      </c>
      <c r="C6066" s="3" t="n">
        <v>7</v>
      </c>
      <c r="D6066" s="3" t="n">
        <v>20</v>
      </c>
      <c r="E6066" s="3" t="n">
        <v>16</v>
      </c>
      <c r="F6066" s="24" t="n">
        <v>2.43575597</v>
      </c>
    </row>
    <row r="6067" customFormat="false" ht="15" hidden="false" customHeight="false" outlineLevel="0" collapsed="false">
      <c r="A6067" s="3" t="n">
        <v>6066</v>
      </c>
      <c r="B6067" s="3" t="n">
        <v>6065</v>
      </c>
      <c r="C6067" s="3" t="n">
        <v>7</v>
      </c>
      <c r="D6067" s="3" t="n">
        <v>20</v>
      </c>
      <c r="E6067" s="3" t="n">
        <v>17</v>
      </c>
      <c r="F6067" s="24" t="n">
        <v>0.681977868</v>
      </c>
    </row>
    <row r="6068" customFormat="false" ht="15" hidden="false" customHeight="false" outlineLevel="0" collapsed="false">
      <c r="A6068" s="3" t="n">
        <v>6067</v>
      </c>
      <c r="B6068" s="3" t="n">
        <v>6066</v>
      </c>
      <c r="C6068" s="3" t="n">
        <v>7</v>
      </c>
      <c r="D6068" s="3" t="n">
        <v>20</v>
      </c>
      <c r="E6068" s="3" t="n">
        <v>18</v>
      </c>
      <c r="F6068" s="24" t="n">
        <v>-0.0628041923</v>
      </c>
    </row>
    <row r="6069" customFormat="false" ht="15" hidden="false" customHeight="false" outlineLevel="0" collapsed="false">
      <c r="A6069" s="3" t="n">
        <v>6068</v>
      </c>
      <c r="B6069" s="3" t="n">
        <v>6067</v>
      </c>
      <c r="C6069" s="3" t="n">
        <v>7</v>
      </c>
      <c r="D6069" s="3" t="n">
        <v>20</v>
      </c>
      <c r="E6069" s="3" t="n">
        <v>19</v>
      </c>
      <c r="F6069" s="24" t="n">
        <v>-0.0628041923</v>
      </c>
    </row>
    <row r="6070" customFormat="false" ht="15" hidden="false" customHeight="false" outlineLevel="0" collapsed="false">
      <c r="A6070" s="3" t="n">
        <v>6069</v>
      </c>
      <c r="B6070" s="3" t="n">
        <v>6068</v>
      </c>
      <c r="C6070" s="3" t="n">
        <v>7</v>
      </c>
      <c r="D6070" s="3" t="n">
        <v>20</v>
      </c>
      <c r="E6070" s="3" t="n">
        <v>20</v>
      </c>
      <c r="F6070" s="24" t="n">
        <v>-0.0628041923</v>
      </c>
    </row>
    <row r="6071" customFormat="false" ht="15" hidden="false" customHeight="false" outlineLevel="0" collapsed="false">
      <c r="A6071" s="3" t="n">
        <v>6070</v>
      </c>
      <c r="B6071" s="3" t="n">
        <v>6069</v>
      </c>
      <c r="C6071" s="3" t="n">
        <v>7</v>
      </c>
      <c r="D6071" s="3" t="n">
        <v>20</v>
      </c>
      <c r="E6071" s="3" t="n">
        <v>21</v>
      </c>
      <c r="F6071" s="24" t="n">
        <v>-0.0628041923</v>
      </c>
    </row>
    <row r="6072" customFormat="false" ht="15" hidden="false" customHeight="false" outlineLevel="0" collapsed="false">
      <c r="A6072" s="3" t="n">
        <v>6071</v>
      </c>
      <c r="B6072" s="3" t="n">
        <v>6070</v>
      </c>
      <c r="C6072" s="3" t="n">
        <v>7</v>
      </c>
      <c r="D6072" s="3" t="n">
        <v>20</v>
      </c>
      <c r="E6072" s="3" t="n">
        <v>22</v>
      </c>
      <c r="F6072" s="24" t="n">
        <v>-0.0628041923</v>
      </c>
    </row>
    <row r="6073" customFormat="false" ht="15" hidden="false" customHeight="false" outlineLevel="0" collapsed="false">
      <c r="A6073" s="3" t="n">
        <v>6072</v>
      </c>
      <c r="B6073" s="3" t="n">
        <v>6071</v>
      </c>
      <c r="C6073" s="3" t="n">
        <v>7</v>
      </c>
      <c r="D6073" s="3" t="n">
        <v>20</v>
      </c>
      <c r="E6073" s="3" t="n">
        <v>23</v>
      </c>
      <c r="F6073" s="24" t="n">
        <v>-0.0628041923</v>
      </c>
    </row>
    <row r="6074" customFormat="false" ht="15" hidden="false" customHeight="false" outlineLevel="0" collapsed="false">
      <c r="A6074" s="3" t="n">
        <v>6073</v>
      </c>
      <c r="B6074" s="3" t="n">
        <v>6072</v>
      </c>
      <c r="C6074" s="3" t="n">
        <v>7</v>
      </c>
      <c r="D6074" s="3" t="n">
        <v>20</v>
      </c>
      <c r="E6074" s="3" t="n">
        <v>24</v>
      </c>
      <c r="F6074" s="24" t="n">
        <v>-0.0628041923</v>
      </c>
    </row>
    <row r="6075" customFormat="false" ht="15" hidden="false" customHeight="false" outlineLevel="0" collapsed="false">
      <c r="A6075" s="3" t="n">
        <v>6074</v>
      </c>
      <c r="B6075" s="3" t="n">
        <v>6073</v>
      </c>
      <c r="C6075" s="3" t="n">
        <v>7</v>
      </c>
      <c r="D6075" s="3" t="n">
        <v>20</v>
      </c>
      <c r="E6075" s="3" t="n">
        <v>25</v>
      </c>
      <c r="F6075" s="24" t="n">
        <v>-0.0628041923</v>
      </c>
    </row>
    <row r="6076" customFormat="false" ht="15" hidden="false" customHeight="false" outlineLevel="0" collapsed="false">
      <c r="A6076" s="3" t="n">
        <v>6075</v>
      </c>
      <c r="B6076" s="3" t="n">
        <v>6074</v>
      </c>
      <c r="C6076" s="3" t="n">
        <v>7</v>
      </c>
      <c r="D6076" s="3" t="n">
        <v>20</v>
      </c>
      <c r="E6076" s="3" t="n">
        <v>26</v>
      </c>
      <c r="F6076" s="24" t="n">
        <v>-0.0628041923</v>
      </c>
    </row>
    <row r="6077" customFormat="false" ht="15" hidden="false" customHeight="false" outlineLevel="0" collapsed="false">
      <c r="A6077" s="3" t="n">
        <v>6076</v>
      </c>
      <c r="B6077" s="3" t="n">
        <v>6075</v>
      </c>
      <c r="C6077" s="3" t="n">
        <v>7</v>
      </c>
      <c r="D6077" s="3" t="n">
        <v>20</v>
      </c>
      <c r="E6077" s="3" t="n">
        <v>27</v>
      </c>
      <c r="F6077" s="24" t="n">
        <v>-0.504603028</v>
      </c>
    </row>
    <row r="6078" customFormat="false" ht="15" hidden="false" customHeight="false" outlineLevel="0" collapsed="false">
      <c r="A6078" s="3" t="n">
        <v>6077</v>
      </c>
      <c r="B6078" s="3" t="n">
        <v>6076</v>
      </c>
      <c r="C6078" s="3" t="n">
        <v>7</v>
      </c>
      <c r="D6078" s="3" t="n">
        <v>21</v>
      </c>
      <c r="E6078" s="3" t="n">
        <v>0</v>
      </c>
      <c r="F6078" s="24" t="n">
        <v>0.259080142</v>
      </c>
    </row>
    <row r="6079" customFormat="false" ht="15" hidden="false" customHeight="false" outlineLevel="0" collapsed="false">
      <c r="A6079" s="3" t="n">
        <v>6078</v>
      </c>
      <c r="B6079" s="3" t="n">
        <v>6077</v>
      </c>
      <c r="C6079" s="3" t="n">
        <v>7</v>
      </c>
      <c r="D6079" s="3" t="n">
        <v>21</v>
      </c>
      <c r="E6079" s="3" t="n">
        <v>1</v>
      </c>
      <c r="F6079" s="24" t="n">
        <v>-0.0628041923</v>
      </c>
    </row>
    <row r="6080" customFormat="false" ht="15" hidden="false" customHeight="false" outlineLevel="0" collapsed="false">
      <c r="A6080" s="3" t="n">
        <v>6079</v>
      </c>
      <c r="B6080" s="3" t="n">
        <v>6078</v>
      </c>
      <c r="C6080" s="3" t="n">
        <v>7</v>
      </c>
      <c r="D6080" s="3" t="n">
        <v>21</v>
      </c>
      <c r="E6080" s="3" t="n">
        <v>2</v>
      </c>
      <c r="F6080" s="24" t="n">
        <v>-0.0628041923</v>
      </c>
    </row>
    <row r="6081" customFormat="false" ht="15" hidden="false" customHeight="false" outlineLevel="0" collapsed="false">
      <c r="A6081" s="3" t="n">
        <v>6080</v>
      </c>
      <c r="B6081" s="3" t="n">
        <v>6079</v>
      </c>
      <c r="C6081" s="3" t="n">
        <v>7</v>
      </c>
      <c r="D6081" s="3" t="n">
        <v>21</v>
      </c>
      <c r="E6081" s="3" t="n">
        <v>3</v>
      </c>
      <c r="F6081" s="24" t="n">
        <v>-0.0628041923</v>
      </c>
    </row>
    <row r="6082" customFormat="false" ht="15" hidden="false" customHeight="false" outlineLevel="0" collapsed="false">
      <c r="A6082" s="3" t="n">
        <v>6081</v>
      </c>
      <c r="B6082" s="3" t="n">
        <v>6080</v>
      </c>
      <c r="C6082" s="3" t="n">
        <v>7</v>
      </c>
      <c r="D6082" s="3" t="n">
        <v>21</v>
      </c>
      <c r="E6082" s="3" t="n">
        <v>4</v>
      </c>
      <c r="F6082" s="24" t="n">
        <v>-0.0628041923</v>
      </c>
    </row>
    <row r="6083" customFormat="false" ht="15" hidden="false" customHeight="false" outlineLevel="0" collapsed="false">
      <c r="A6083" s="3" t="n">
        <v>6082</v>
      </c>
      <c r="B6083" s="3" t="n">
        <v>6081</v>
      </c>
      <c r="C6083" s="3" t="n">
        <v>7</v>
      </c>
      <c r="D6083" s="3" t="n">
        <v>21</v>
      </c>
      <c r="E6083" s="3" t="n">
        <v>5</v>
      </c>
      <c r="F6083" s="24" t="n">
        <v>-0.0628041923</v>
      </c>
    </row>
    <row r="6084" customFormat="false" ht="15" hidden="false" customHeight="false" outlineLevel="0" collapsed="false">
      <c r="A6084" s="3" t="n">
        <v>6083</v>
      </c>
      <c r="B6084" s="3" t="n">
        <v>6082</v>
      </c>
      <c r="C6084" s="3" t="n">
        <v>7</v>
      </c>
      <c r="D6084" s="3" t="n">
        <v>21</v>
      </c>
      <c r="E6084" s="3" t="n">
        <v>6</v>
      </c>
      <c r="F6084" s="24" t="n">
        <v>-0.0628041923</v>
      </c>
    </row>
    <row r="6085" customFormat="false" ht="15" hidden="false" customHeight="false" outlineLevel="0" collapsed="false">
      <c r="A6085" s="3" t="n">
        <v>6084</v>
      </c>
      <c r="B6085" s="3" t="n">
        <v>6083</v>
      </c>
      <c r="C6085" s="3" t="n">
        <v>7</v>
      </c>
      <c r="D6085" s="3" t="n">
        <v>21</v>
      </c>
      <c r="E6085" s="3" t="n">
        <v>7</v>
      </c>
      <c r="F6085" s="24" t="n">
        <v>-0.0628041923</v>
      </c>
    </row>
    <row r="6086" customFormat="false" ht="15" hidden="false" customHeight="false" outlineLevel="0" collapsed="false">
      <c r="A6086" s="3" t="n">
        <v>6085</v>
      </c>
      <c r="B6086" s="3" t="n">
        <v>6084</v>
      </c>
      <c r="C6086" s="3" t="n">
        <v>7</v>
      </c>
      <c r="D6086" s="3" t="n">
        <v>21</v>
      </c>
      <c r="E6086" s="3" t="n">
        <v>8</v>
      </c>
      <c r="F6086" s="24" t="n">
        <v>-0.0628041923</v>
      </c>
    </row>
    <row r="6087" customFormat="false" ht="15" hidden="false" customHeight="false" outlineLevel="0" collapsed="false">
      <c r="A6087" s="3" t="n">
        <v>6086</v>
      </c>
      <c r="B6087" s="3" t="n">
        <v>6085</v>
      </c>
      <c r="C6087" s="3" t="n">
        <v>7</v>
      </c>
      <c r="D6087" s="3" t="n">
        <v>21</v>
      </c>
      <c r="E6087" s="3" t="n">
        <v>9</v>
      </c>
      <c r="F6087" s="24" t="n">
        <v>-0.0628041923</v>
      </c>
    </row>
    <row r="6088" customFormat="false" ht="15" hidden="false" customHeight="false" outlineLevel="0" collapsed="false">
      <c r="A6088" s="3" t="n">
        <v>6087</v>
      </c>
      <c r="B6088" s="3" t="n">
        <v>6086</v>
      </c>
      <c r="C6088" s="3" t="n">
        <v>7</v>
      </c>
      <c r="D6088" s="3" t="n">
        <v>21</v>
      </c>
      <c r="E6088" s="3" t="n">
        <v>10</v>
      </c>
      <c r="F6088" s="24" t="n">
        <v>-0.0148360431</v>
      </c>
    </row>
    <row r="6089" customFormat="false" ht="15" hidden="false" customHeight="false" outlineLevel="0" collapsed="false">
      <c r="A6089" s="3" t="n">
        <v>6088</v>
      </c>
      <c r="B6089" s="3" t="n">
        <v>6087</v>
      </c>
      <c r="C6089" s="3" t="n">
        <v>7</v>
      </c>
      <c r="D6089" s="3" t="n">
        <v>21</v>
      </c>
      <c r="E6089" s="3" t="n">
        <v>11</v>
      </c>
      <c r="F6089" s="24" t="n">
        <v>0.284299165</v>
      </c>
    </row>
    <row r="6090" customFormat="false" ht="15" hidden="false" customHeight="false" outlineLevel="0" collapsed="false">
      <c r="A6090" s="3" t="n">
        <v>6089</v>
      </c>
      <c r="B6090" s="3" t="n">
        <v>6088</v>
      </c>
      <c r="C6090" s="3" t="n">
        <v>7</v>
      </c>
      <c r="D6090" s="3" t="n">
        <v>21</v>
      </c>
      <c r="E6090" s="3" t="n">
        <v>12</v>
      </c>
      <c r="F6090" s="24" t="n">
        <v>-1.03018141</v>
      </c>
    </row>
    <row r="6091" customFormat="false" ht="15" hidden="false" customHeight="false" outlineLevel="0" collapsed="false">
      <c r="A6091" s="3" t="n">
        <v>6090</v>
      </c>
      <c r="B6091" s="3" t="n">
        <v>6089</v>
      </c>
      <c r="C6091" s="3" t="n">
        <v>7</v>
      </c>
      <c r="D6091" s="3" t="n">
        <v>21</v>
      </c>
      <c r="E6091" s="3" t="n">
        <v>13</v>
      </c>
      <c r="F6091" s="24" t="n">
        <v>-0.900964558</v>
      </c>
    </row>
    <row r="6092" customFormat="false" ht="15" hidden="false" customHeight="false" outlineLevel="0" collapsed="false">
      <c r="A6092" s="3" t="n">
        <v>6091</v>
      </c>
      <c r="B6092" s="3" t="n">
        <v>6090</v>
      </c>
      <c r="C6092" s="3" t="n">
        <v>7</v>
      </c>
      <c r="D6092" s="3" t="n">
        <v>21</v>
      </c>
      <c r="E6092" s="3" t="n">
        <v>14</v>
      </c>
      <c r="F6092" s="24" t="n">
        <v>1.28912115</v>
      </c>
    </row>
    <row r="6093" customFormat="false" ht="15" hidden="false" customHeight="false" outlineLevel="0" collapsed="false">
      <c r="A6093" s="3" t="n">
        <v>6092</v>
      </c>
      <c r="B6093" s="3" t="n">
        <v>6091</v>
      </c>
      <c r="C6093" s="3" t="n">
        <v>7</v>
      </c>
      <c r="D6093" s="3" t="n">
        <v>21</v>
      </c>
      <c r="E6093" s="3" t="n">
        <v>15</v>
      </c>
      <c r="F6093" s="24" t="n">
        <v>2.46071053</v>
      </c>
    </row>
    <row r="6094" customFormat="false" ht="15" hidden="false" customHeight="false" outlineLevel="0" collapsed="false">
      <c r="A6094" s="3" t="n">
        <v>6093</v>
      </c>
      <c r="B6094" s="3" t="n">
        <v>6092</v>
      </c>
      <c r="C6094" s="3" t="n">
        <v>7</v>
      </c>
      <c r="D6094" s="3" t="n">
        <v>21</v>
      </c>
      <c r="E6094" s="3" t="n">
        <v>16</v>
      </c>
      <c r="F6094" s="24" t="n">
        <v>1.18316269</v>
      </c>
    </row>
    <row r="6095" customFormat="false" ht="15" hidden="false" customHeight="false" outlineLevel="0" collapsed="false">
      <c r="A6095" s="3" t="n">
        <v>6094</v>
      </c>
      <c r="B6095" s="3" t="n">
        <v>6093</v>
      </c>
      <c r="C6095" s="3" t="n">
        <v>7</v>
      </c>
      <c r="D6095" s="3" t="n">
        <v>21</v>
      </c>
      <c r="E6095" s="3" t="n">
        <v>17</v>
      </c>
      <c r="F6095" s="24" t="n">
        <v>0.0443314314</v>
      </c>
    </row>
    <row r="6096" customFormat="false" ht="15" hidden="false" customHeight="false" outlineLevel="0" collapsed="false">
      <c r="A6096" s="3" t="n">
        <v>6095</v>
      </c>
      <c r="B6096" s="3" t="n">
        <v>6094</v>
      </c>
      <c r="C6096" s="3" t="n">
        <v>7</v>
      </c>
      <c r="D6096" s="3" t="n">
        <v>21</v>
      </c>
      <c r="E6096" s="3" t="n">
        <v>18</v>
      </c>
      <c r="F6096" s="24" t="n">
        <v>-0.0628041923</v>
      </c>
    </row>
    <row r="6097" customFormat="false" ht="15" hidden="false" customHeight="false" outlineLevel="0" collapsed="false">
      <c r="A6097" s="3" t="n">
        <v>6096</v>
      </c>
      <c r="B6097" s="3" t="n">
        <v>6095</v>
      </c>
      <c r="C6097" s="3" t="n">
        <v>7</v>
      </c>
      <c r="D6097" s="3" t="n">
        <v>21</v>
      </c>
      <c r="E6097" s="3" t="n">
        <v>19</v>
      </c>
      <c r="F6097" s="24" t="n">
        <v>-0.0628041923</v>
      </c>
    </row>
    <row r="6098" customFormat="false" ht="15" hidden="false" customHeight="false" outlineLevel="0" collapsed="false">
      <c r="A6098" s="3" t="n">
        <v>6097</v>
      </c>
      <c r="B6098" s="3" t="n">
        <v>6096</v>
      </c>
      <c r="C6098" s="3" t="n">
        <v>7</v>
      </c>
      <c r="D6098" s="3" t="n">
        <v>21</v>
      </c>
      <c r="E6098" s="3" t="n">
        <v>20</v>
      </c>
      <c r="F6098" s="24" t="n">
        <v>-0.0628041923</v>
      </c>
    </row>
    <row r="6099" customFormat="false" ht="15" hidden="false" customHeight="false" outlineLevel="0" collapsed="false">
      <c r="A6099" s="3" t="n">
        <v>6098</v>
      </c>
      <c r="B6099" s="3" t="n">
        <v>6097</v>
      </c>
      <c r="C6099" s="3" t="n">
        <v>7</v>
      </c>
      <c r="D6099" s="3" t="n">
        <v>21</v>
      </c>
      <c r="E6099" s="3" t="n">
        <v>21</v>
      </c>
      <c r="F6099" s="24" t="n">
        <v>-0.0628041923</v>
      </c>
    </row>
    <row r="6100" customFormat="false" ht="15" hidden="false" customHeight="false" outlineLevel="0" collapsed="false">
      <c r="A6100" s="3" t="n">
        <v>6099</v>
      </c>
      <c r="B6100" s="3" t="n">
        <v>6098</v>
      </c>
      <c r="C6100" s="3" t="n">
        <v>7</v>
      </c>
      <c r="D6100" s="3" t="n">
        <v>21</v>
      </c>
      <c r="E6100" s="3" t="n">
        <v>22</v>
      </c>
      <c r="F6100" s="24" t="n">
        <v>-0.0628041923</v>
      </c>
    </row>
    <row r="6101" customFormat="false" ht="15" hidden="false" customHeight="false" outlineLevel="0" collapsed="false">
      <c r="A6101" s="3" t="n">
        <v>6100</v>
      </c>
      <c r="B6101" s="3" t="n">
        <v>6099</v>
      </c>
      <c r="C6101" s="3" t="n">
        <v>7</v>
      </c>
      <c r="D6101" s="3" t="n">
        <v>21</v>
      </c>
      <c r="E6101" s="3" t="n">
        <v>23</v>
      </c>
      <c r="F6101" s="24" t="n">
        <v>-0.0628041923</v>
      </c>
    </row>
    <row r="6102" customFormat="false" ht="15" hidden="false" customHeight="false" outlineLevel="0" collapsed="false">
      <c r="A6102" s="3" t="n">
        <v>6101</v>
      </c>
      <c r="B6102" s="3" t="n">
        <v>6100</v>
      </c>
      <c r="C6102" s="3" t="n">
        <v>7</v>
      </c>
      <c r="D6102" s="3" t="n">
        <v>21</v>
      </c>
      <c r="E6102" s="3" t="n">
        <v>24</v>
      </c>
      <c r="F6102" s="24" t="n">
        <v>-0.0628041923</v>
      </c>
    </row>
    <row r="6103" customFormat="false" ht="15" hidden="false" customHeight="false" outlineLevel="0" collapsed="false">
      <c r="A6103" s="3" t="n">
        <v>6102</v>
      </c>
      <c r="B6103" s="3" t="n">
        <v>6101</v>
      </c>
      <c r="C6103" s="3" t="n">
        <v>7</v>
      </c>
      <c r="D6103" s="3" t="n">
        <v>21</v>
      </c>
      <c r="E6103" s="3" t="n">
        <v>25</v>
      </c>
      <c r="F6103" s="24" t="n">
        <v>-0.0628041923</v>
      </c>
    </row>
    <row r="6104" customFormat="false" ht="15" hidden="false" customHeight="false" outlineLevel="0" collapsed="false">
      <c r="A6104" s="3" t="n">
        <v>6103</v>
      </c>
      <c r="B6104" s="3" t="n">
        <v>6102</v>
      </c>
      <c r="C6104" s="3" t="n">
        <v>7</v>
      </c>
      <c r="D6104" s="3" t="n">
        <v>21</v>
      </c>
      <c r="E6104" s="3" t="n">
        <v>26</v>
      </c>
      <c r="F6104" s="24" t="n">
        <v>-0.0628041923</v>
      </c>
    </row>
    <row r="6105" customFormat="false" ht="15" hidden="false" customHeight="false" outlineLevel="0" collapsed="false">
      <c r="A6105" s="3" t="n">
        <v>6104</v>
      </c>
      <c r="B6105" s="3" t="n">
        <v>6103</v>
      </c>
      <c r="C6105" s="3" t="n">
        <v>7</v>
      </c>
      <c r="D6105" s="3" t="n">
        <v>21</v>
      </c>
      <c r="E6105" s="3" t="n">
        <v>27</v>
      </c>
      <c r="F6105" s="24" t="n">
        <v>-0.504603028</v>
      </c>
    </row>
    <row r="6106" customFormat="false" ht="15" hidden="false" customHeight="false" outlineLevel="0" collapsed="false">
      <c r="A6106" s="3" t="n">
        <v>6105</v>
      </c>
      <c r="B6106" s="3" t="n">
        <v>6104</v>
      </c>
      <c r="C6106" s="3" t="n">
        <v>7</v>
      </c>
      <c r="D6106" s="3" t="n">
        <v>22</v>
      </c>
      <c r="E6106" s="3" t="n">
        <v>0</v>
      </c>
      <c r="F6106" s="24" t="n">
        <v>0.259080142</v>
      </c>
    </row>
    <row r="6107" customFormat="false" ht="15" hidden="false" customHeight="false" outlineLevel="0" collapsed="false">
      <c r="A6107" s="3" t="n">
        <v>6106</v>
      </c>
      <c r="B6107" s="3" t="n">
        <v>6105</v>
      </c>
      <c r="C6107" s="3" t="n">
        <v>7</v>
      </c>
      <c r="D6107" s="3" t="n">
        <v>22</v>
      </c>
      <c r="E6107" s="3" t="n">
        <v>1</v>
      </c>
      <c r="F6107" s="24" t="n">
        <v>-0.0628041923</v>
      </c>
    </row>
    <row r="6108" customFormat="false" ht="15" hidden="false" customHeight="false" outlineLevel="0" collapsed="false">
      <c r="A6108" s="3" t="n">
        <v>6107</v>
      </c>
      <c r="B6108" s="3" t="n">
        <v>6106</v>
      </c>
      <c r="C6108" s="3" t="n">
        <v>7</v>
      </c>
      <c r="D6108" s="3" t="n">
        <v>22</v>
      </c>
      <c r="E6108" s="3" t="n">
        <v>2</v>
      </c>
      <c r="F6108" s="24" t="n">
        <v>-0.0628041923</v>
      </c>
    </row>
    <row r="6109" customFormat="false" ht="15" hidden="false" customHeight="false" outlineLevel="0" collapsed="false">
      <c r="A6109" s="3" t="n">
        <v>6108</v>
      </c>
      <c r="B6109" s="3" t="n">
        <v>6107</v>
      </c>
      <c r="C6109" s="3" t="n">
        <v>7</v>
      </c>
      <c r="D6109" s="3" t="n">
        <v>22</v>
      </c>
      <c r="E6109" s="3" t="n">
        <v>3</v>
      </c>
      <c r="F6109" s="24" t="n">
        <v>-0.0628041923</v>
      </c>
    </row>
    <row r="6110" customFormat="false" ht="15" hidden="false" customHeight="false" outlineLevel="0" collapsed="false">
      <c r="A6110" s="3" t="n">
        <v>6109</v>
      </c>
      <c r="B6110" s="3" t="n">
        <v>6108</v>
      </c>
      <c r="C6110" s="3" t="n">
        <v>7</v>
      </c>
      <c r="D6110" s="3" t="n">
        <v>22</v>
      </c>
      <c r="E6110" s="3" t="n">
        <v>4</v>
      </c>
      <c r="F6110" s="24" t="n">
        <v>-0.0628041923</v>
      </c>
    </row>
    <row r="6111" customFormat="false" ht="15" hidden="false" customHeight="false" outlineLevel="0" collapsed="false">
      <c r="A6111" s="3" t="n">
        <v>6110</v>
      </c>
      <c r="B6111" s="3" t="n">
        <v>6109</v>
      </c>
      <c r="C6111" s="3" t="n">
        <v>7</v>
      </c>
      <c r="D6111" s="3" t="n">
        <v>22</v>
      </c>
      <c r="E6111" s="3" t="n">
        <v>5</v>
      </c>
      <c r="F6111" s="24" t="n">
        <v>-0.0628041923</v>
      </c>
    </row>
    <row r="6112" customFormat="false" ht="15" hidden="false" customHeight="false" outlineLevel="0" collapsed="false">
      <c r="A6112" s="3" t="n">
        <v>6111</v>
      </c>
      <c r="B6112" s="3" t="n">
        <v>6110</v>
      </c>
      <c r="C6112" s="3" t="n">
        <v>7</v>
      </c>
      <c r="D6112" s="3" t="n">
        <v>22</v>
      </c>
      <c r="E6112" s="3" t="n">
        <v>6</v>
      </c>
      <c r="F6112" s="24" t="n">
        <v>-0.0628041923</v>
      </c>
    </row>
    <row r="6113" customFormat="false" ht="15" hidden="false" customHeight="false" outlineLevel="0" collapsed="false">
      <c r="A6113" s="3" t="n">
        <v>6112</v>
      </c>
      <c r="B6113" s="3" t="n">
        <v>6111</v>
      </c>
      <c r="C6113" s="3" t="n">
        <v>7</v>
      </c>
      <c r="D6113" s="3" t="n">
        <v>22</v>
      </c>
      <c r="E6113" s="3" t="n">
        <v>7</v>
      </c>
      <c r="F6113" s="24" t="n">
        <v>-0.0628041923</v>
      </c>
    </row>
    <row r="6114" customFormat="false" ht="15" hidden="false" customHeight="false" outlineLevel="0" collapsed="false">
      <c r="A6114" s="3" t="n">
        <v>6113</v>
      </c>
      <c r="B6114" s="3" t="n">
        <v>6112</v>
      </c>
      <c r="C6114" s="3" t="n">
        <v>7</v>
      </c>
      <c r="D6114" s="3" t="n">
        <v>22</v>
      </c>
      <c r="E6114" s="3" t="n">
        <v>8</v>
      </c>
      <c r="F6114" s="24" t="n">
        <v>-0.0628041923</v>
      </c>
    </row>
    <row r="6115" customFormat="false" ht="15" hidden="false" customHeight="false" outlineLevel="0" collapsed="false">
      <c r="A6115" s="3" t="n">
        <v>6114</v>
      </c>
      <c r="B6115" s="3" t="n">
        <v>6113</v>
      </c>
      <c r="C6115" s="3" t="n">
        <v>7</v>
      </c>
      <c r="D6115" s="3" t="n">
        <v>22</v>
      </c>
      <c r="E6115" s="3" t="n">
        <v>9</v>
      </c>
      <c r="F6115" s="24" t="n">
        <v>-0.0628041923</v>
      </c>
    </row>
    <row r="6116" customFormat="false" ht="15" hidden="false" customHeight="false" outlineLevel="0" collapsed="false">
      <c r="A6116" s="3" t="n">
        <v>6115</v>
      </c>
      <c r="B6116" s="3" t="n">
        <v>6114</v>
      </c>
      <c r="C6116" s="3" t="n">
        <v>7</v>
      </c>
      <c r="D6116" s="3" t="n">
        <v>22</v>
      </c>
      <c r="E6116" s="3" t="n">
        <v>10</v>
      </c>
      <c r="F6116" s="24" t="n">
        <v>-0.0611823648</v>
      </c>
    </row>
    <row r="6117" customFormat="false" ht="15" hidden="false" customHeight="false" outlineLevel="0" collapsed="false">
      <c r="A6117" s="3" t="n">
        <v>6116</v>
      </c>
      <c r="B6117" s="3" t="n">
        <v>6115</v>
      </c>
      <c r="C6117" s="3" t="n">
        <v>7</v>
      </c>
      <c r="D6117" s="3" t="n">
        <v>22</v>
      </c>
      <c r="E6117" s="3" t="n">
        <v>11</v>
      </c>
      <c r="F6117" s="24" t="n">
        <v>-0.283234358</v>
      </c>
    </row>
    <row r="6118" customFormat="false" ht="15" hidden="false" customHeight="false" outlineLevel="0" collapsed="false">
      <c r="A6118" s="3" t="n">
        <v>6117</v>
      </c>
      <c r="B6118" s="3" t="n">
        <v>6116</v>
      </c>
      <c r="C6118" s="3" t="n">
        <v>7</v>
      </c>
      <c r="D6118" s="3" t="n">
        <v>22</v>
      </c>
      <c r="E6118" s="3" t="n">
        <v>12</v>
      </c>
      <c r="F6118" s="24" t="n">
        <v>-0.980022252</v>
      </c>
    </row>
    <row r="6119" customFormat="false" ht="15" hidden="false" customHeight="false" outlineLevel="0" collapsed="false">
      <c r="A6119" s="3" t="n">
        <v>6118</v>
      </c>
      <c r="B6119" s="3" t="n">
        <v>6117</v>
      </c>
      <c r="C6119" s="3" t="n">
        <v>7</v>
      </c>
      <c r="D6119" s="3" t="n">
        <v>22</v>
      </c>
      <c r="E6119" s="3" t="n">
        <v>13</v>
      </c>
      <c r="F6119" s="24" t="n">
        <v>1.35722971</v>
      </c>
    </row>
    <row r="6120" customFormat="false" ht="15" hidden="false" customHeight="false" outlineLevel="0" collapsed="false">
      <c r="A6120" s="3" t="n">
        <v>6119</v>
      </c>
      <c r="B6120" s="3" t="n">
        <v>6118</v>
      </c>
      <c r="C6120" s="3" t="n">
        <v>7</v>
      </c>
      <c r="D6120" s="3" t="n">
        <v>22</v>
      </c>
      <c r="E6120" s="3" t="n">
        <v>14</v>
      </c>
      <c r="F6120" s="24" t="n">
        <v>2.58513951</v>
      </c>
    </row>
    <row r="6121" customFormat="false" ht="15" hidden="false" customHeight="false" outlineLevel="0" collapsed="false">
      <c r="A6121" s="3" t="n">
        <v>6120</v>
      </c>
      <c r="B6121" s="3" t="n">
        <v>6119</v>
      </c>
      <c r="C6121" s="3" t="n">
        <v>7</v>
      </c>
      <c r="D6121" s="3" t="n">
        <v>22</v>
      </c>
      <c r="E6121" s="3" t="n">
        <v>15</v>
      </c>
      <c r="F6121" s="24" t="n">
        <v>1.60475588</v>
      </c>
    </row>
    <row r="6122" customFormat="false" ht="15" hidden="false" customHeight="false" outlineLevel="0" collapsed="false">
      <c r="A6122" s="3" t="n">
        <v>6121</v>
      </c>
      <c r="B6122" s="3" t="n">
        <v>6120</v>
      </c>
      <c r="C6122" s="3" t="n">
        <v>7</v>
      </c>
      <c r="D6122" s="3" t="n">
        <v>22</v>
      </c>
      <c r="E6122" s="3" t="n">
        <v>16</v>
      </c>
      <c r="F6122" s="24" t="n">
        <v>0.179655716</v>
      </c>
    </row>
    <row r="6123" customFormat="false" ht="15" hidden="false" customHeight="false" outlineLevel="0" collapsed="false">
      <c r="A6123" s="3" t="n">
        <v>6122</v>
      </c>
      <c r="B6123" s="3" t="n">
        <v>6121</v>
      </c>
      <c r="C6123" s="3" t="n">
        <v>7</v>
      </c>
      <c r="D6123" s="3" t="n">
        <v>22</v>
      </c>
      <c r="E6123" s="3" t="n">
        <v>17</v>
      </c>
      <c r="F6123" s="24" t="n">
        <v>-0.0628041923</v>
      </c>
    </row>
    <row r="6124" customFormat="false" ht="15" hidden="false" customHeight="false" outlineLevel="0" collapsed="false">
      <c r="A6124" s="3" t="n">
        <v>6123</v>
      </c>
      <c r="B6124" s="3" t="n">
        <v>6122</v>
      </c>
      <c r="C6124" s="3" t="n">
        <v>7</v>
      </c>
      <c r="D6124" s="3" t="n">
        <v>22</v>
      </c>
      <c r="E6124" s="3" t="n">
        <v>18</v>
      </c>
      <c r="F6124" s="24" t="n">
        <v>-0.0628041923</v>
      </c>
    </row>
    <row r="6125" customFormat="false" ht="15" hidden="false" customHeight="false" outlineLevel="0" collapsed="false">
      <c r="A6125" s="3" t="n">
        <v>6124</v>
      </c>
      <c r="B6125" s="3" t="n">
        <v>6123</v>
      </c>
      <c r="C6125" s="3" t="n">
        <v>7</v>
      </c>
      <c r="D6125" s="3" t="n">
        <v>22</v>
      </c>
      <c r="E6125" s="3" t="n">
        <v>19</v>
      </c>
      <c r="F6125" s="24" t="n">
        <v>-0.0628041923</v>
      </c>
    </row>
    <row r="6126" customFormat="false" ht="15" hidden="false" customHeight="false" outlineLevel="0" collapsed="false">
      <c r="A6126" s="3" t="n">
        <v>6125</v>
      </c>
      <c r="B6126" s="3" t="n">
        <v>6124</v>
      </c>
      <c r="C6126" s="3" t="n">
        <v>7</v>
      </c>
      <c r="D6126" s="3" t="n">
        <v>22</v>
      </c>
      <c r="E6126" s="3" t="n">
        <v>20</v>
      </c>
      <c r="F6126" s="24" t="n">
        <v>-0.0628041923</v>
      </c>
    </row>
    <row r="6127" customFormat="false" ht="15" hidden="false" customHeight="false" outlineLevel="0" collapsed="false">
      <c r="A6127" s="3" t="n">
        <v>6126</v>
      </c>
      <c r="B6127" s="3" t="n">
        <v>6125</v>
      </c>
      <c r="C6127" s="3" t="n">
        <v>7</v>
      </c>
      <c r="D6127" s="3" t="n">
        <v>22</v>
      </c>
      <c r="E6127" s="3" t="n">
        <v>21</v>
      </c>
      <c r="F6127" s="24" t="n">
        <v>-0.0628041923</v>
      </c>
    </row>
    <row r="6128" customFormat="false" ht="15" hidden="false" customHeight="false" outlineLevel="0" collapsed="false">
      <c r="A6128" s="3" t="n">
        <v>6127</v>
      </c>
      <c r="B6128" s="3" t="n">
        <v>6126</v>
      </c>
      <c r="C6128" s="3" t="n">
        <v>7</v>
      </c>
      <c r="D6128" s="3" t="n">
        <v>22</v>
      </c>
      <c r="E6128" s="3" t="n">
        <v>22</v>
      </c>
      <c r="F6128" s="24" t="n">
        <v>-0.0628041923</v>
      </c>
    </row>
    <row r="6129" customFormat="false" ht="15" hidden="false" customHeight="false" outlineLevel="0" collapsed="false">
      <c r="A6129" s="3" t="n">
        <v>6128</v>
      </c>
      <c r="B6129" s="3" t="n">
        <v>6127</v>
      </c>
      <c r="C6129" s="3" t="n">
        <v>7</v>
      </c>
      <c r="D6129" s="3" t="n">
        <v>22</v>
      </c>
      <c r="E6129" s="3" t="n">
        <v>23</v>
      </c>
      <c r="F6129" s="24" t="n">
        <v>-0.0628041923</v>
      </c>
    </row>
    <row r="6130" customFormat="false" ht="15" hidden="false" customHeight="false" outlineLevel="0" collapsed="false">
      <c r="A6130" s="3" t="n">
        <v>6129</v>
      </c>
      <c r="B6130" s="3" t="n">
        <v>6128</v>
      </c>
      <c r="C6130" s="3" t="n">
        <v>7</v>
      </c>
      <c r="D6130" s="3" t="n">
        <v>22</v>
      </c>
      <c r="E6130" s="3" t="n">
        <v>24</v>
      </c>
      <c r="F6130" s="24" t="n">
        <v>-0.0628041923</v>
      </c>
    </row>
    <row r="6131" customFormat="false" ht="15" hidden="false" customHeight="false" outlineLevel="0" collapsed="false">
      <c r="A6131" s="3" t="n">
        <v>6130</v>
      </c>
      <c r="B6131" s="3" t="n">
        <v>6129</v>
      </c>
      <c r="C6131" s="3" t="n">
        <v>7</v>
      </c>
      <c r="D6131" s="3" t="n">
        <v>22</v>
      </c>
      <c r="E6131" s="3" t="n">
        <v>25</v>
      </c>
      <c r="F6131" s="24" t="n">
        <v>-0.0628041923</v>
      </c>
    </row>
    <row r="6132" customFormat="false" ht="15" hidden="false" customHeight="false" outlineLevel="0" collapsed="false">
      <c r="A6132" s="3" t="n">
        <v>6131</v>
      </c>
      <c r="B6132" s="3" t="n">
        <v>6130</v>
      </c>
      <c r="C6132" s="3" t="n">
        <v>7</v>
      </c>
      <c r="D6132" s="3" t="n">
        <v>22</v>
      </c>
      <c r="E6132" s="3" t="n">
        <v>26</v>
      </c>
      <c r="F6132" s="24" t="n">
        <v>-0.0628041923</v>
      </c>
    </row>
    <row r="6133" customFormat="false" ht="15" hidden="false" customHeight="false" outlineLevel="0" collapsed="false">
      <c r="A6133" s="3" t="n">
        <v>6132</v>
      </c>
      <c r="B6133" s="3" t="n">
        <v>6131</v>
      </c>
      <c r="C6133" s="3" t="n">
        <v>7</v>
      </c>
      <c r="D6133" s="3" t="n">
        <v>22</v>
      </c>
      <c r="E6133" s="3" t="n">
        <v>27</v>
      </c>
      <c r="F6133" s="24" t="n">
        <v>-0.504603028</v>
      </c>
    </row>
    <row r="6134" customFormat="false" ht="15" hidden="false" customHeight="false" outlineLevel="0" collapsed="false">
      <c r="A6134" s="3" t="n">
        <v>6133</v>
      </c>
      <c r="B6134" s="3" t="n">
        <v>6132</v>
      </c>
      <c r="C6134" s="3" t="n">
        <v>7</v>
      </c>
      <c r="D6134" s="3" t="n">
        <v>23</v>
      </c>
      <c r="E6134" s="3" t="n">
        <v>0</v>
      </c>
      <c r="F6134" s="24" t="n">
        <v>0.259080142</v>
      </c>
    </row>
    <row r="6135" customFormat="false" ht="15" hidden="false" customHeight="false" outlineLevel="0" collapsed="false">
      <c r="A6135" s="3" t="n">
        <v>6134</v>
      </c>
      <c r="B6135" s="3" t="n">
        <v>6133</v>
      </c>
      <c r="C6135" s="3" t="n">
        <v>7</v>
      </c>
      <c r="D6135" s="3" t="n">
        <v>23</v>
      </c>
      <c r="E6135" s="3" t="n">
        <v>1</v>
      </c>
      <c r="F6135" s="24" t="n">
        <v>-0.0628041923</v>
      </c>
    </row>
    <row r="6136" customFormat="false" ht="15" hidden="false" customHeight="false" outlineLevel="0" collapsed="false">
      <c r="A6136" s="3" t="n">
        <v>6135</v>
      </c>
      <c r="B6136" s="3" t="n">
        <v>6134</v>
      </c>
      <c r="C6136" s="3" t="n">
        <v>7</v>
      </c>
      <c r="D6136" s="3" t="n">
        <v>23</v>
      </c>
      <c r="E6136" s="3" t="n">
        <v>2</v>
      </c>
      <c r="F6136" s="24" t="n">
        <v>-0.0628041923</v>
      </c>
    </row>
    <row r="6137" customFormat="false" ht="15" hidden="false" customHeight="false" outlineLevel="0" collapsed="false">
      <c r="A6137" s="3" t="n">
        <v>6136</v>
      </c>
      <c r="B6137" s="3" t="n">
        <v>6135</v>
      </c>
      <c r="C6137" s="3" t="n">
        <v>7</v>
      </c>
      <c r="D6137" s="3" t="n">
        <v>23</v>
      </c>
      <c r="E6137" s="3" t="n">
        <v>3</v>
      </c>
      <c r="F6137" s="24" t="n">
        <v>-0.0628041923</v>
      </c>
    </row>
    <row r="6138" customFormat="false" ht="15" hidden="false" customHeight="false" outlineLevel="0" collapsed="false">
      <c r="A6138" s="3" t="n">
        <v>6137</v>
      </c>
      <c r="B6138" s="3" t="n">
        <v>6136</v>
      </c>
      <c r="C6138" s="3" t="n">
        <v>7</v>
      </c>
      <c r="D6138" s="3" t="n">
        <v>23</v>
      </c>
      <c r="E6138" s="3" t="n">
        <v>4</v>
      </c>
      <c r="F6138" s="24" t="n">
        <v>-0.0628041923</v>
      </c>
    </row>
    <row r="6139" customFormat="false" ht="15" hidden="false" customHeight="false" outlineLevel="0" collapsed="false">
      <c r="A6139" s="3" t="n">
        <v>6138</v>
      </c>
      <c r="B6139" s="3" t="n">
        <v>6137</v>
      </c>
      <c r="C6139" s="3" t="n">
        <v>7</v>
      </c>
      <c r="D6139" s="3" t="n">
        <v>23</v>
      </c>
      <c r="E6139" s="3" t="n">
        <v>5</v>
      </c>
      <c r="F6139" s="24" t="n">
        <v>-0.0628041923</v>
      </c>
    </row>
    <row r="6140" customFormat="false" ht="15" hidden="false" customHeight="false" outlineLevel="0" collapsed="false">
      <c r="A6140" s="3" t="n">
        <v>6139</v>
      </c>
      <c r="B6140" s="3" t="n">
        <v>6138</v>
      </c>
      <c r="C6140" s="3" t="n">
        <v>7</v>
      </c>
      <c r="D6140" s="3" t="n">
        <v>23</v>
      </c>
      <c r="E6140" s="3" t="n">
        <v>6</v>
      </c>
      <c r="F6140" s="24" t="n">
        <v>-0.0628041923</v>
      </c>
    </row>
    <row r="6141" customFormat="false" ht="15" hidden="false" customHeight="false" outlineLevel="0" collapsed="false">
      <c r="A6141" s="3" t="n">
        <v>6140</v>
      </c>
      <c r="B6141" s="3" t="n">
        <v>6139</v>
      </c>
      <c r="C6141" s="3" t="n">
        <v>7</v>
      </c>
      <c r="D6141" s="3" t="n">
        <v>23</v>
      </c>
      <c r="E6141" s="3" t="n">
        <v>7</v>
      </c>
      <c r="F6141" s="24" t="n">
        <v>-0.0628041923</v>
      </c>
    </row>
    <row r="6142" customFormat="false" ht="15" hidden="false" customHeight="false" outlineLevel="0" collapsed="false">
      <c r="A6142" s="3" t="n">
        <v>6141</v>
      </c>
      <c r="B6142" s="3" t="n">
        <v>6140</v>
      </c>
      <c r="C6142" s="3" t="n">
        <v>7</v>
      </c>
      <c r="D6142" s="3" t="n">
        <v>23</v>
      </c>
      <c r="E6142" s="3" t="n">
        <v>8</v>
      </c>
      <c r="F6142" s="24" t="n">
        <v>-0.0628041923</v>
      </c>
    </row>
    <row r="6143" customFormat="false" ht="15" hidden="false" customHeight="false" outlineLevel="0" collapsed="false">
      <c r="A6143" s="3" t="n">
        <v>6142</v>
      </c>
      <c r="B6143" s="3" t="n">
        <v>6141</v>
      </c>
      <c r="C6143" s="3" t="n">
        <v>7</v>
      </c>
      <c r="D6143" s="3" t="n">
        <v>23</v>
      </c>
      <c r="E6143" s="3" t="n">
        <v>9</v>
      </c>
      <c r="F6143" s="24" t="n">
        <v>0.0315847397</v>
      </c>
    </row>
    <row r="6144" customFormat="false" ht="15" hidden="false" customHeight="false" outlineLevel="0" collapsed="false">
      <c r="A6144" s="3" t="n">
        <v>6143</v>
      </c>
      <c r="B6144" s="3" t="n">
        <v>6142</v>
      </c>
      <c r="C6144" s="3" t="n">
        <v>7</v>
      </c>
      <c r="D6144" s="3" t="n">
        <v>23</v>
      </c>
      <c r="E6144" s="3" t="n">
        <v>10</v>
      </c>
      <c r="F6144" s="24" t="n">
        <v>-0.277082741</v>
      </c>
    </row>
    <row r="6145" customFormat="false" ht="15" hidden="false" customHeight="false" outlineLevel="0" collapsed="false">
      <c r="A6145" s="3" t="n">
        <v>6144</v>
      </c>
      <c r="B6145" s="3" t="n">
        <v>6143</v>
      </c>
      <c r="C6145" s="3" t="n">
        <v>7</v>
      </c>
      <c r="D6145" s="3" t="n">
        <v>23</v>
      </c>
      <c r="E6145" s="3" t="n">
        <v>11</v>
      </c>
      <c r="F6145" s="24" t="n">
        <v>-1.02676558</v>
      </c>
    </row>
    <row r="6146" customFormat="false" ht="15" hidden="false" customHeight="false" outlineLevel="0" collapsed="false">
      <c r="A6146" s="3" t="n">
        <v>6145</v>
      </c>
      <c r="B6146" s="3" t="n">
        <v>6144</v>
      </c>
      <c r="C6146" s="3" t="n">
        <v>7</v>
      </c>
      <c r="D6146" s="3" t="n">
        <v>23</v>
      </c>
      <c r="E6146" s="3" t="n">
        <v>12</v>
      </c>
      <c r="F6146" s="24" t="n">
        <v>0.0722873062</v>
      </c>
    </row>
    <row r="6147" customFormat="false" ht="15" hidden="false" customHeight="false" outlineLevel="0" collapsed="false">
      <c r="A6147" s="3" t="n">
        <v>6146</v>
      </c>
      <c r="B6147" s="3" t="n">
        <v>6145</v>
      </c>
      <c r="C6147" s="3" t="n">
        <v>7</v>
      </c>
      <c r="D6147" s="3" t="n">
        <v>23</v>
      </c>
      <c r="E6147" s="3" t="n">
        <v>13</v>
      </c>
      <c r="F6147" s="24" t="n">
        <v>3.68651271</v>
      </c>
    </row>
    <row r="6148" customFormat="false" ht="15" hidden="false" customHeight="false" outlineLevel="0" collapsed="false">
      <c r="A6148" s="3" t="n">
        <v>6147</v>
      </c>
      <c r="B6148" s="3" t="n">
        <v>6146</v>
      </c>
      <c r="C6148" s="3" t="n">
        <v>7</v>
      </c>
      <c r="D6148" s="3" t="n">
        <v>23</v>
      </c>
      <c r="E6148" s="3" t="n">
        <v>14</v>
      </c>
      <c r="F6148" s="24" t="n">
        <v>3.01259112</v>
      </c>
    </row>
    <row r="6149" customFormat="false" ht="15" hidden="false" customHeight="false" outlineLevel="0" collapsed="false">
      <c r="A6149" s="3" t="n">
        <v>6148</v>
      </c>
      <c r="B6149" s="3" t="n">
        <v>6147</v>
      </c>
      <c r="C6149" s="3" t="n">
        <v>7</v>
      </c>
      <c r="D6149" s="3" t="n">
        <v>23</v>
      </c>
      <c r="E6149" s="3" t="n">
        <v>15</v>
      </c>
      <c r="F6149" s="24" t="n">
        <v>0.633827567</v>
      </c>
    </row>
    <row r="6150" customFormat="false" ht="15" hidden="false" customHeight="false" outlineLevel="0" collapsed="false">
      <c r="A6150" s="3" t="n">
        <v>6149</v>
      </c>
      <c r="B6150" s="3" t="n">
        <v>6148</v>
      </c>
      <c r="C6150" s="3" t="n">
        <v>7</v>
      </c>
      <c r="D6150" s="3" t="n">
        <v>23</v>
      </c>
      <c r="E6150" s="3" t="n">
        <v>16</v>
      </c>
      <c r="F6150" s="24" t="n">
        <v>-0.0597431809</v>
      </c>
    </row>
    <row r="6151" customFormat="false" ht="15" hidden="false" customHeight="false" outlineLevel="0" collapsed="false">
      <c r="A6151" s="3" t="n">
        <v>6150</v>
      </c>
      <c r="B6151" s="3" t="n">
        <v>6149</v>
      </c>
      <c r="C6151" s="3" t="n">
        <v>7</v>
      </c>
      <c r="D6151" s="3" t="n">
        <v>23</v>
      </c>
      <c r="E6151" s="3" t="n">
        <v>17</v>
      </c>
      <c r="F6151" s="24" t="n">
        <v>-0.0628041923</v>
      </c>
    </row>
    <row r="6152" customFormat="false" ht="15" hidden="false" customHeight="false" outlineLevel="0" collapsed="false">
      <c r="A6152" s="3" t="n">
        <v>6151</v>
      </c>
      <c r="B6152" s="3" t="n">
        <v>6150</v>
      </c>
      <c r="C6152" s="3" t="n">
        <v>7</v>
      </c>
      <c r="D6152" s="3" t="n">
        <v>23</v>
      </c>
      <c r="E6152" s="3" t="n">
        <v>18</v>
      </c>
      <c r="F6152" s="24" t="n">
        <v>-0.0628041923</v>
      </c>
    </row>
    <row r="6153" customFormat="false" ht="15" hidden="false" customHeight="false" outlineLevel="0" collapsed="false">
      <c r="A6153" s="3" t="n">
        <v>6152</v>
      </c>
      <c r="B6153" s="3" t="n">
        <v>6151</v>
      </c>
      <c r="C6153" s="3" t="n">
        <v>7</v>
      </c>
      <c r="D6153" s="3" t="n">
        <v>23</v>
      </c>
      <c r="E6153" s="3" t="n">
        <v>19</v>
      </c>
      <c r="F6153" s="24" t="n">
        <v>-0.0628041923</v>
      </c>
    </row>
    <row r="6154" customFormat="false" ht="15" hidden="false" customHeight="false" outlineLevel="0" collapsed="false">
      <c r="A6154" s="3" t="n">
        <v>6153</v>
      </c>
      <c r="B6154" s="3" t="n">
        <v>6152</v>
      </c>
      <c r="C6154" s="3" t="n">
        <v>7</v>
      </c>
      <c r="D6154" s="3" t="n">
        <v>23</v>
      </c>
      <c r="E6154" s="3" t="n">
        <v>20</v>
      </c>
      <c r="F6154" s="24" t="n">
        <v>-0.0628041923</v>
      </c>
    </row>
    <row r="6155" customFormat="false" ht="15" hidden="false" customHeight="false" outlineLevel="0" collapsed="false">
      <c r="A6155" s="3" t="n">
        <v>6154</v>
      </c>
      <c r="B6155" s="3" t="n">
        <v>6153</v>
      </c>
      <c r="C6155" s="3" t="n">
        <v>7</v>
      </c>
      <c r="D6155" s="3" t="n">
        <v>23</v>
      </c>
      <c r="E6155" s="3" t="n">
        <v>21</v>
      </c>
      <c r="F6155" s="24" t="n">
        <v>-0.0628041923</v>
      </c>
    </row>
    <row r="6156" customFormat="false" ht="15" hidden="false" customHeight="false" outlineLevel="0" collapsed="false">
      <c r="A6156" s="3" t="n">
        <v>6155</v>
      </c>
      <c r="B6156" s="3" t="n">
        <v>6154</v>
      </c>
      <c r="C6156" s="3" t="n">
        <v>7</v>
      </c>
      <c r="D6156" s="3" t="n">
        <v>23</v>
      </c>
      <c r="E6156" s="3" t="n">
        <v>22</v>
      </c>
      <c r="F6156" s="24" t="n">
        <v>-0.0628041923</v>
      </c>
    </row>
    <row r="6157" customFormat="false" ht="15" hidden="false" customHeight="false" outlineLevel="0" collapsed="false">
      <c r="A6157" s="3" t="n">
        <v>6156</v>
      </c>
      <c r="B6157" s="3" t="n">
        <v>6155</v>
      </c>
      <c r="C6157" s="3" t="n">
        <v>7</v>
      </c>
      <c r="D6157" s="3" t="n">
        <v>23</v>
      </c>
      <c r="E6157" s="3" t="n">
        <v>23</v>
      </c>
      <c r="F6157" s="24" t="n">
        <v>-0.0628041923</v>
      </c>
    </row>
    <row r="6158" customFormat="false" ht="15" hidden="false" customHeight="false" outlineLevel="0" collapsed="false">
      <c r="A6158" s="3" t="n">
        <v>6157</v>
      </c>
      <c r="B6158" s="3" t="n">
        <v>6156</v>
      </c>
      <c r="C6158" s="3" t="n">
        <v>7</v>
      </c>
      <c r="D6158" s="3" t="n">
        <v>23</v>
      </c>
      <c r="E6158" s="3" t="n">
        <v>24</v>
      </c>
      <c r="F6158" s="24" t="n">
        <v>-0.0628041923</v>
      </c>
    </row>
    <row r="6159" customFormat="false" ht="15" hidden="false" customHeight="false" outlineLevel="0" collapsed="false">
      <c r="A6159" s="3" t="n">
        <v>6158</v>
      </c>
      <c r="B6159" s="3" t="n">
        <v>6157</v>
      </c>
      <c r="C6159" s="3" t="n">
        <v>7</v>
      </c>
      <c r="D6159" s="3" t="n">
        <v>23</v>
      </c>
      <c r="E6159" s="3" t="n">
        <v>25</v>
      </c>
      <c r="F6159" s="24" t="n">
        <v>-0.0628041923</v>
      </c>
    </row>
    <row r="6160" customFormat="false" ht="15" hidden="false" customHeight="false" outlineLevel="0" collapsed="false">
      <c r="A6160" s="3" t="n">
        <v>6159</v>
      </c>
      <c r="B6160" s="3" t="n">
        <v>6158</v>
      </c>
      <c r="C6160" s="3" t="n">
        <v>7</v>
      </c>
      <c r="D6160" s="3" t="n">
        <v>23</v>
      </c>
      <c r="E6160" s="3" t="n">
        <v>26</v>
      </c>
      <c r="F6160" s="24" t="n">
        <v>-0.0628041923</v>
      </c>
    </row>
    <row r="6161" customFormat="false" ht="15" hidden="false" customHeight="false" outlineLevel="0" collapsed="false">
      <c r="A6161" s="3" t="n">
        <v>6160</v>
      </c>
      <c r="B6161" s="3" t="n">
        <v>6159</v>
      </c>
      <c r="C6161" s="3" t="n">
        <v>7</v>
      </c>
      <c r="D6161" s="3" t="n">
        <v>23</v>
      </c>
      <c r="E6161" s="3" t="n">
        <v>27</v>
      </c>
      <c r="F6161" s="24" t="n">
        <v>-0.504603028</v>
      </c>
    </row>
    <row r="6162" customFormat="false" ht="15" hidden="false" customHeight="false" outlineLevel="0" collapsed="false">
      <c r="A6162" s="3" t="n">
        <v>6161</v>
      </c>
      <c r="B6162" s="3" t="n">
        <v>6160</v>
      </c>
      <c r="C6162" s="3" t="n">
        <v>7</v>
      </c>
      <c r="D6162" s="3" t="n">
        <v>24</v>
      </c>
      <c r="E6162" s="3" t="n">
        <v>0</v>
      </c>
      <c r="F6162" s="24" t="n">
        <v>0.259080142</v>
      </c>
    </row>
    <row r="6163" customFormat="false" ht="15" hidden="false" customHeight="false" outlineLevel="0" collapsed="false">
      <c r="A6163" s="3" t="n">
        <v>6162</v>
      </c>
      <c r="B6163" s="3" t="n">
        <v>6161</v>
      </c>
      <c r="C6163" s="3" t="n">
        <v>7</v>
      </c>
      <c r="D6163" s="3" t="n">
        <v>24</v>
      </c>
      <c r="E6163" s="3" t="n">
        <v>1</v>
      </c>
      <c r="F6163" s="24" t="n">
        <v>-0.0628041923</v>
      </c>
    </row>
    <row r="6164" customFormat="false" ht="15" hidden="false" customHeight="false" outlineLevel="0" collapsed="false">
      <c r="A6164" s="3" t="n">
        <v>6163</v>
      </c>
      <c r="B6164" s="3" t="n">
        <v>6162</v>
      </c>
      <c r="C6164" s="3" t="n">
        <v>7</v>
      </c>
      <c r="D6164" s="3" t="n">
        <v>24</v>
      </c>
      <c r="E6164" s="3" t="n">
        <v>2</v>
      </c>
      <c r="F6164" s="24" t="n">
        <v>-0.0628041923</v>
      </c>
    </row>
    <row r="6165" customFormat="false" ht="15" hidden="false" customHeight="false" outlineLevel="0" collapsed="false">
      <c r="A6165" s="3" t="n">
        <v>6164</v>
      </c>
      <c r="B6165" s="3" t="n">
        <v>6163</v>
      </c>
      <c r="C6165" s="3" t="n">
        <v>7</v>
      </c>
      <c r="D6165" s="3" t="n">
        <v>24</v>
      </c>
      <c r="E6165" s="3" t="n">
        <v>3</v>
      </c>
      <c r="F6165" s="24" t="n">
        <v>-0.0628041923</v>
      </c>
    </row>
    <row r="6166" customFormat="false" ht="15" hidden="false" customHeight="false" outlineLevel="0" collapsed="false">
      <c r="A6166" s="3" t="n">
        <v>6165</v>
      </c>
      <c r="B6166" s="3" t="n">
        <v>6164</v>
      </c>
      <c r="C6166" s="3" t="n">
        <v>7</v>
      </c>
      <c r="D6166" s="3" t="n">
        <v>24</v>
      </c>
      <c r="E6166" s="3" t="n">
        <v>4</v>
      </c>
      <c r="F6166" s="24" t="n">
        <v>-0.0628041923</v>
      </c>
    </row>
    <row r="6167" customFormat="false" ht="15" hidden="false" customHeight="false" outlineLevel="0" collapsed="false">
      <c r="A6167" s="3" t="n">
        <v>6166</v>
      </c>
      <c r="B6167" s="3" t="n">
        <v>6165</v>
      </c>
      <c r="C6167" s="3" t="n">
        <v>7</v>
      </c>
      <c r="D6167" s="3" t="n">
        <v>24</v>
      </c>
      <c r="E6167" s="3" t="n">
        <v>5</v>
      </c>
      <c r="F6167" s="24" t="n">
        <v>-0.0628041923</v>
      </c>
    </row>
    <row r="6168" customFormat="false" ht="15" hidden="false" customHeight="false" outlineLevel="0" collapsed="false">
      <c r="A6168" s="3" t="n">
        <v>6167</v>
      </c>
      <c r="B6168" s="3" t="n">
        <v>6166</v>
      </c>
      <c r="C6168" s="3" t="n">
        <v>7</v>
      </c>
      <c r="D6168" s="3" t="n">
        <v>24</v>
      </c>
      <c r="E6168" s="3" t="n">
        <v>6</v>
      </c>
      <c r="F6168" s="24" t="n">
        <v>-0.0628041923</v>
      </c>
    </row>
    <row r="6169" customFormat="false" ht="15" hidden="false" customHeight="false" outlineLevel="0" collapsed="false">
      <c r="A6169" s="3" t="n">
        <v>6168</v>
      </c>
      <c r="B6169" s="3" t="n">
        <v>6167</v>
      </c>
      <c r="C6169" s="3" t="n">
        <v>7</v>
      </c>
      <c r="D6169" s="3" t="n">
        <v>24</v>
      </c>
      <c r="E6169" s="3" t="n">
        <v>7</v>
      </c>
      <c r="F6169" s="24" t="n">
        <v>-0.0628041923</v>
      </c>
    </row>
    <row r="6170" customFormat="false" ht="15" hidden="false" customHeight="false" outlineLevel="0" collapsed="false">
      <c r="A6170" s="3" t="n">
        <v>6169</v>
      </c>
      <c r="B6170" s="3" t="n">
        <v>6168</v>
      </c>
      <c r="C6170" s="3" t="n">
        <v>7</v>
      </c>
      <c r="D6170" s="3" t="n">
        <v>24</v>
      </c>
      <c r="E6170" s="3" t="n">
        <v>8</v>
      </c>
      <c r="F6170" s="24" t="n">
        <v>-0.0628041923</v>
      </c>
    </row>
    <row r="6171" customFormat="false" ht="15" hidden="false" customHeight="false" outlineLevel="0" collapsed="false">
      <c r="A6171" s="3" t="n">
        <v>6170</v>
      </c>
      <c r="B6171" s="3" t="n">
        <v>6169</v>
      </c>
      <c r="C6171" s="3" t="n">
        <v>7</v>
      </c>
      <c r="D6171" s="3" t="n">
        <v>24</v>
      </c>
      <c r="E6171" s="3" t="n">
        <v>9</v>
      </c>
      <c r="F6171" s="24" t="n">
        <v>-0.277341336</v>
      </c>
    </row>
    <row r="6172" customFormat="false" ht="15" hidden="false" customHeight="false" outlineLevel="0" collapsed="false">
      <c r="A6172" s="3" t="n">
        <v>6171</v>
      </c>
      <c r="B6172" s="3" t="n">
        <v>6170</v>
      </c>
      <c r="C6172" s="3" t="n">
        <v>7</v>
      </c>
      <c r="D6172" s="3" t="n">
        <v>24</v>
      </c>
      <c r="E6172" s="3" t="n">
        <v>10</v>
      </c>
      <c r="F6172" s="24" t="n">
        <v>-1.29631233</v>
      </c>
    </row>
    <row r="6173" customFormat="false" ht="15" hidden="false" customHeight="false" outlineLevel="0" collapsed="false">
      <c r="A6173" s="3" t="n">
        <v>6172</v>
      </c>
      <c r="B6173" s="3" t="n">
        <v>6171</v>
      </c>
      <c r="C6173" s="3" t="n">
        <v>7</v>
      </c>
      <c r="D6173" s="3" t="n">
        <v>24</v>
      </c>
      <c r="E6173" s="3" t="n">
        <v>11</v>
      </c>
      <c r="F6173" s="24" t="n">
        <v>-0.629938602</v>
      </c>
    </row>
    <row r="6174" customFormat="false" ht="15" hidden="false" customHeight="false" outlineLevel="0" collapsed="false">
      <c r="A6174" s="3" t="n">
        <v>6173</v>
      </c>
      <c r="B6174" s="3" t="n">
        <v>6172</v>
      </c>
      <c r="C6174" s="3" t="n">
        <v>7</v>
      </c>
      <c r="D6174" s="3" t="n">
        <v>24</v>
      </c>
      <c r="E6174" s="3" t="n">
        <v>12</v>
      </c>
      <c r="F6174" s="24" t="n">
        <v>1.11263931</v>
      </c>
    </row>
    <row r="6175" customFormat="false" ht="15" hidden="false" customHeight="false" outlineLevel="0" collapsed="false">
      <c r="A6175" s="3" t="n">
        <v>6174</v>
      </c>
      <c r="B6175" s="3" t="n">
        <v>6173</v>
      </c>
      <c r="C6175" s="3" t="n">
        <v>7</v>
      </c>
      <c r="D6175" s="3" t="n">
        <v>24</v>
      </c>
      <c r="E6175" s="3" t="n">
        <v>13</v>
      </c>
      <c r="F6175" s="24" t="n">
        <v>3.96647334</v>
      </c>
    </row>
    <row r="6176" customFormat="false" ht="15" hidden="false" customHeight="false" outlineLevel="0" collapsed="false">
      <c r="A6176" s="3" t="n">
        <v>6175</v>
      </c>
      <c r="B6176" s="3" t="n">
        <v>6174</v>
      </c>
      <c r="C6176" s="3" t="n">
        <v>7</v>
      </c>
      <c r="D6176" s="3" t="n">
        <v>24</v>
      </c>
      <c r="E6176" s="3" t="n">
        <v>14</v>
      </c>
      <c r="F6176" s="24" t="n">
        <v>2.82071495</v>
      </c>
    </row>
    <row r="6177" customFormat="false" ht="15" hidden="false" customHeight="false" outlineLevel="0" collapsed="false">
      <c r="A6177" s="3" t="n">
        <v>6176</v>
      </c>
      <c r="B6177" s="3" t="n">
        <v>6175</v>
      </c>
      <c r="C6177" s="3" t="n">
        <v>7</v>
      </c>
      <c r="D6177" s="3" t="n">
        <v>24</v>
      </c>
      <c r="E6177" s="3" t="n">
        <v>15</v>
      </c>
      <c r="F6177" s="24" t="n">
        <v>0.441383451</v>
      </c>
    </row>
    <row r="6178" customFormat="false" ht="15" hidden="false" customHeight="false" outlineLevel="0" collapsed="false">
      <c r="A6178" s="3" t="n">
        <v>6177</v>
      </c>
      <c r="B6178" s="3" t="n">
        <v>6176</v>
      </c>
      <c r="C6178" s="3" t="n">
        <v>7</v>
      </c>
      <c r="D6178" s="3" t="n">
        <v>24</v>
      </c>
      <c r="E6178" s="3" t="n">
        <v>16</v>
      </c>
      <c r="F6178" s="24" t="n">
        <v>-0.0628041923</v>
      </c>
    </row>
    <row r="6179" customFormat="false" ht="15" hidden="false" customHeight="false" outlineLevel="0" collapsed="false">
      <c r="A6179" s="3" t="n">
        <v>6178</v>
      </c>
      <c r="B6179" s="3" t="n">
        <v>6177</v>
      </c>
      <c r="C6179" s="3" t="n">
        <v>7</v>
      </c>
      <c r="D6179" s="3" t="n">
        <v>24</v>
      </c>
      <c r="E6179" s="3" t="n">
        <v>17</v>
      </c>
      <c r="F6179" s="24" t="n">
        <v>-0.0628041923</v>
      </c>
    </row>
    <row r="6180" customFormat="false" ht="15" hidden="false" customHeight="false" outlineLevel="0" collapsed="false">
      <c r="A6180" s="3" t="n">
        <v>6179</v>
      </c>
      <c r="B6180" s="3" t="n">
        <v>6178</v>
      </c>
      <c r="C6180" s="3" t="n">
        <v>7</v>
      </c>
      <c r="D6180" s="3" t="n">
        <v>24</v>
      </c>
      <c r="E6180" s="3" t="n">
        <v>18</v>
      </c>
      <c r="F6180" s="24" t="n">
        <v>-0.0628041923</v>
      </c>
    </row>
    <row r="6181" customFormat="false" ht="15" hidden="false" customHeight="false" outlineLevel="0" collapsed="false">
      <c r="A6181" s="3" t="n">
        <v>6180</v>
      </c>
      <c r="B6181" s="3" t="n">
        <v>6179</v>
      </c>
      <c r="C6181" s="3" t="n">
        <v>7</v>
      </c>
      <c r="D6181" s="3" t="n">
        <v>24</v>
      </c>
      <c r="E6181" s="3" t="n">
        <v>19</v>
      </c>
      <c r="F6181" s="24" t="n">
        <v>-0.0628041923</v>
      </c>
    </row>
    <row r="6182" customFormat="false" ht="15" hidden="false" customHeight="false" outlineLevel="0" collapsed="false">
      <c r="A6182" s="3" t="n">
        <v>6181</v>
      </c>
      <c r="B6182" s="3" t="n">
        <v>6180</v>
      </c>
      <c r="C6182" s="3" t="n">
        <v>7</v>
      </c>
      <c r="D6182" s="3" t="n">
        <v>24</v>
      </c>
      <c r="E6182" s="3" t="n">
        <v>20</v>
      </c>
      <c r="F6182" s="24" t="n">
        <v>-0.0628041923</v>
      </c>
    </row>
    <row r="6183" customFormat="false" ht="15" hidden="false" customHeight="false" outlineLevel="0" collapsed="false">
      <c r="A6183" s="3" t="n">
        <v>6182</v>
      </c>
      <c r="B6183" s="3" t="n">
        <v>6181</v>
      </c>
      <c r="C6183" s="3" t="n">
        <v>7</v>
      </c>
      <c r="D6183" s="3" t="n">
        <v>24</v>
      </c>
      <c r="E6183" s="3" t="n">
        <v>21</v>
      </c>
      <c r="F6183" s="24" t="n">
        <v>-0.0628041923</v>
      </c>
    </row>
    <row r="6184" customFormat="false" ht="15" hidden="false" customHeight="false" outlineLevel="0" collapsed="false">
      <c r="A6184" s="3" t="n">
        <v>6183</v>
      </c>
      <c r="B6184" s="3" t="n">
        <v>6182</v>
      </c>
      <c r="C6184" s="3" t="n">
        <v>7</v>
      </c>
      <c r="D6184" s="3" t="n">
        <v>24</v>
      </c>
      <c r="E6184" s="3" t="n">
        <v>22</v>
      </c>
      <c r="F6184" s="24" t="n">
        <v>-0.0628041923</v>
      </c>
    </row>
    <row r="6185" customFormat="false" ht="15" hidden="false" customHeight="false" outlineLevel="0" collapsed="false">
      <c r="A6185" s="3" t="n">
        <v>6184</v>
      </c>
      <c r="B6185" s="3" t="n">
        <v>6183</v>
      </c>
      <c r="C6185" s="3" t="n">
        <v>7</v>
      </c>
      <c r="D6185" s="3" t="n">
        <v>24</v>
      </c>
      <c r="E6185" s="3" t="n">
        <v>23</v>
      </c>
      <c r="F6185" s="24" t="n">
        <v>-0.0628041923</v>
      </c>
    </row>
    <row r="6186" customFormat="false" ht="15" hidden="false" customHeight="false" outlineLevel="0" collapsed="false">
      <c r="A6186" s="3" t="n">
        <v>6185</v>
      </c>
      <c r="B6186" s="3" t="n">
        <v>6184</v>
      </c>
      <c r="C6186" s="3" t="n">
        <v>7</v>
      </c>
      <c r="D6186" s="3" t="n">
        <v>24</v>
      </c>
      <c r="E6186" s="3" t="n">
        <v>24</v>
      </c>
      <c r="F6186" s="24" t="n">
        <v>-0.0628041923</v>
      </c>
    </row>
    <row r="6187" customFormat="false" ht="15" hidden="false" customHeight="false" outlineLevel="0" collapsed="false">
      <c r="A6187" s="3" t="n">
        <v>6186</v>
      </c>
      <c r="B6187" s="3" t="n">
        <v>6185</v>
      </c>
      <c r="C6187" s="3" t="n">
        <v>7</v>
      </c>
      <c r="D6187" s="3" t="n">
        <v>24</v>
      </c>
      <c r="E6187" s="3" t="n">
        <v>25</v>
      </c>
      <c r="F6187" s="24" t="n">
        <v>-0.0628041923</v>
      </c>
    </row>
    <row r="6188" customFormat="false" ht="15" hidden="false" customHeight="false" outlineLevel="0" collapsed="false">
      <c r="A6188" s="3" t="n">
        <v>6187</v>
      </c>
      <c r="B6188" s="3" t="n">
        <v>6186</v>
      </c>
      <c r="C6188" s="3" t="n">
        <v>7</v>
      </c>
      <c r="D6188" s="3" t="n">
        <v>24</v>
      </c>
      <c r="E6188" s="3" t="n">
        <v>26</v>
      </c>
      <c r="F6188" s="24" t="n">
        <v>-0.0628041923</v>
      </c>
    </row>
    <row r="6189" customFormat="false" ht="15" hidden="false" customHeight="false" outlineLevel="0" collapsed="false">
      <c r="A6189" s="3" t="n">
        <v>6188</v>
      </c>
      <c r="B6189" s="3" t="n">
        <v>6187</v>
      </c>
      <c r="C6189" s="3" t="n">
        <v>7</v>
      </c>
      <c r="D6189" s="3" t="n">
        <v>24</v>
      </c>
      <c r="E6189" s="3" t="n">
        <v>27</v>
      </c>
      <c r="F6189" s="24" t="n">
        <v>-0.504603028</v>
      </c>
    </row>
    <row r="6190" customFormat="false" ht="15" hidden="false" customHeight="false" outlineLevel="0" collapsed="false">
      <c r="A6190" s="3" t="n">
        <v>6189</v>
      </c>
      <c r="B6190" s="3" t="n">
        <v>6188</v>
      </c>
      <c r="C6190" s="3" t="n">
        <v>7</v>
      </c>
      <c r="D6190" s="3" t="n">
        <v>25</v>
      </c>
      <c r="E6190" s="3" t="n">
        <v>0</v>
      </c>
      <c r="F6190" s="24" t="n">
        <v>0.259080142</v>
      </c>
    </row>
    <row r="6191" customFormat="false" ht="15" hidden="false" customHeight="false" outlineLevel="0" collapsed="false">
      <c r="A6191" s="3" t="n">
        <v>6190</v>
      </c>
      <c r="B6191" s="3" t="n">
        <v>6189</v>
      </c>
      <c r="C6191" s="3" t="n">
        <v>7</v>
      </c>
      <c r="D6191" s="3" t="n">
        <v>25</v>
      </c>
      <c r="E6191" s="3" t="n">
        <v>1</v>
      </c>
      <c r="F6191" s="24" t="n">
        <v>-0.0628041923</v>
      </c>
    </row>
    <row r="6192" customFormat="false" ht="15" hidden="false" customHeight="false" outlineLevel="0" collapsed="false">
      <c r="A6192" s="3" t="n">
        <v>6191</v>
      </c>
      <c r="B6192" s="3" t="n">
        <v>6190</v>
      </c>
      <c r="C6192" s="3" t="n">
        <v>7</v>
      </c>
      <c r="D6192" s="3" t="n">
        <v>25</v>
      </c>
      <c r="E6192" s="3" t="n">
        <v>2</v>
      </c>
      <c r="F6192" s="24" t="n">
        <v>-0.0628041923</v>
      </c>
    </row>
    <row r="6193" customFormat="false" ht="15" hidden="false" customHeight="false" outlineLevel="0" collapsed="false">
      <c r="A6193" s="3" t="n">
        <v>6192</v>
      </c>
      <c r="B6193" s="3" t="n">
        <v>6191</v>
      </c>
      <c r="C6193" s="3" t="n">
        <v>7</v>
      </c>
      <c r="D6193" s="3" t="n">
        <v>25</v>
      </c>
      <c r="E6193" s="3" t="n">
        <v>3</v>
      </c>
      <c r="F6193" s="24" t="n">
        <v>-0.0628041923</v>
      </c>
    </row>
    <row r="6194" customFormat="false" ht="15" hidden="false" customHeight="false" outlineLevel="0" collapsed="false">
      <c r="A6194" s="3" t="n">
        <v>6193</v>
      </c>
      <c r="B6194" s="3" t="n">
        <v>6192</v>
      </c>
      <c r="C6194" s="3" t="n">
        <v>7</v>
      </c>
      <c r="D6194" s="3" t="n">
        <v>25</v>
      </c>
      <c r="E6194" s="3" t="n">
        <v>4</v>
      </c>
      <c r="F6194" s="24" t="n">
        <v>-0.0628041923</v>
      </c>
    </row>
    <row r="6195" customFormat="false" ht="15" hidden="false" customHeight="false" outlineLevel="0" collapsed="false">
      <c r="A6195" s="3" t="n">
        <v>6194</v>
      </c>
      <c r="B6195" s="3" t="n">
        <v>6193</v>
      </c>
      <c r="C6195" s="3" t="n">
        <v>7</v>
      </c>
      <c r="D6195" s="3" t="n">
        <v>25</v>
      </c>
      <c r="E6195" s="3" t="n">
        <v>5</v>
      </c>
      <c r="F6195" s="24" t="n">
        <v>-0.0628041923</v>
      </c>
    </row>
    <row r="6196" customFormat="false" ht="15" hidden="false" customHeight="false" outlineLevel="0" collapsed="false">
      <c r="A6196" s="3" t="n">
        <v>6195</v>
      </c>
      <c r="B6196" s="3" t="n">
        <v>6194</v>
      </c>
      <c r="C6196" s="3" t="n">
        <v>7</v>
      </c>
      <c r="D6196" s="3" t="n">
        <v>25</v>
      </c>
      <c r="E6196" s="3" t="n">
        <v>6</v>
      </c>
      <c r="F6196" s="24" t="n">
        <v>-0.0628041923</v>
      </c>
    </row>
    <row r="6197" customFormat="false" ht="15" hidden="false" customHeight="false" outlineLevel="0" collapsed="false">
      <c r="A6197" s="3" t="n">
        <v>6196</v>
      </c>
      <c r="B6197" s="3" t="n">
        <v>6195</v>
      </c>
      <c r="C6197" s="3" t="n">
        <v>7</v>
      </c>
      <c r="D6197" s="3" t="n">
        <v>25</v>
      </c>
      <c r="E6197" s="3" t="n">
        <v>7</v>
      </c>
      <c r="F6197" s="24" t="n">
        <v>-0.0628041923</v>
      </c>
    </row>
    <row r="6198" customFormat="false" ht="15" hidden="false" customHeight="false" outlineLevel="0" collapsed="false">
      <c r="A6198" s="3" t="n">
        <v>6197</v>
      </c>
      <c r="B6198" s="3" t="n">
        <v>6196</v>
      </c>
      <c r="C6198" s="3" t="n">
        <v>7</v>
      </c>
      <c r="D6198" s="3" t="n">
        <v>25</v>
      </c>
      <c r="E6198" s="3" t="n">
        <v>8</v>
      </c>
      <c r="F6198" s="24" t="n">
        <v>-0.0628041923</v>
      </c>
    </row>
    <row r="6199" customFormat="false" ht="15" hidden="false" customHeight="false" outlineLevel="0" collapsed="false">
      <c r="A6199" s="3" t="n">
        <v>6198</v>
      </c>
      <c r="B6199" s="3" t="n">
        <v>6197</v>
      </c>
      <c r="C6199" s="3" t="n">
        <v>7</v>
      </c>
      <c r="D6199" s="3" t="n">
        <v>25</v>
      </c>
      <c r="E6199" s="3" t="n">
        <v>9</v>
      </c>
      <c r="F6199" s="24" t="n">
        <v>-1.17375278</v>
      </c>
    </row>
    <row r="6200" customFormat="false" ht="15" hidden="false" customHeight="false" outlineLevel="0" collapsed="false">
      <c r="A6200" s="3" t="n">
        <v>6199</v>
      </c>
      <c r="B6200" s="3" t="n">
        <v>6198</v>
      </c>
      <c r="C6200" s="3" t="n">
        <v>7</v>
      </c>
      <c r="D6200" s="3" t="n">
        <v>25</v>
      </c>
      <c r="E6200" s="3" t="n">
        <v>10</v>
      </c>
      <c r="F6200" s="24" t="n">
        <v>-2.18950629</v>
      </c>
    </row>
    <row r="6201" customFormat="false" ht="15" hidden="false" customHeight="false" outlineLevel="0" collapsed="false">
      <c r="A6201" s="3" t="n">
        <v>6200</v>
      </c>
      <c r="B6201" s="3" t="n">
        <v>6199</v>
      </c>
      <c r="C6201" s="3" t="n">
        <v>7</v>
      </c>
      <c r="D6201" s="3" t="n">
        <v>25</v>
      </c>
      <c r="E6201" s="3" t="n">
        <v>11</v>
      </c>
      <c r="F6201" s="24" t="n">
        <v>0.0585242361</v>
      </c>
    </row>
    <row r="6202" customFormat="false" ht="15" hidden="false" customHeight="false" outlineLevel="0" collapsed="false">
      <c r="A6202" s="3" t="n">
        <v>6201</v>
      </c>
      <c r="B6202" s="3" t="n">
        <v>6200</v>
      </c>
      <c r="C6202" s="3" t="n">
        <v>7</v>
      </c>
      <c r="D6202" s="3" t="n">
        <v>25</v>
      </c>
      <c r="E6202" s="3" t="n">
        <v>12</v>
      </c>
      <c r="F6202" s="24" t="n">
        <v>1.02934873</v>
      </c>
    </row>
    <row r="6203" customFormat="false" ht="15" hidden="false" customHeight="false" outlineLevel="0" collapsed="false">
      <c r="A6203" s="3" t="n">
        <v>6202</v>
      </c>
      <c r="B6203" s="3" t="n">
        <v>6201</v>
      </c>
      <c r="C6203" s="3" t="n">
        <v>7</v>
      </c>
      <c r="D6203" s="3" t="n">
        <v>25</v>
      </c>
      <c r="E6203" s="3" t="n">
        <v>13</v>
      </c>
      <c r="F6203" s="24" t="n">
        <v>2.2140367</v>
      </c>
    </row>
    <row r="6204" customFormat="false" ht="15" hidden="false" customHeight="false" outlineLevel="0" collapsed="false">
      <c r="A6204" s="3" t="n">
        <v>6203</v>
      </c>
      <c r="B6204" s="3" t="n">
        <v>6202</v>
      </c>
      <c r="C6204" s="3" t="n">
        <v>7</v>
      </c>
      <c r="D6204" s="3" t="n">
        <v>25</v>
      </c>
      <c r="E6204" s="3" t="n">
        <v>14</v>
      </c>
      <c r="F6204" s="24" t="n">
        <v>2.264678</v>
      </c>
    </row>
    <row r="6205" customFormat="false" ht="15" hidden="false" customHeight="false" outlineLevel="0" collapsed="false">
      <c r="A6205" s="3" t="n">
        <v>6204</v>
      </c>
      <c r="B6205" s="3" t="n">
        <v>6203</v>
      </c>
      <c r="C6205" s="3" t="n">
        <v>7</v>
      </c>
      <c r="D6205" s="3" t="n">
        <v>25</v>
      </c>
      <c r="E6205" s="3" t="n">
        <v>15</v>
      </c>
      <c r="F6205" s="24" t="n">
        <v>0.366829395</v>
      </c>
    </row>
    <row r="6206" customFormat="false" ht="15" hidden="false" customHeight="false" outlineLevel="0" collapsed="false">
      <c r="A6206" s="3" t="n">
        <v>6205</v>
      </c>
      <c r="B6206" s="3" t="n">
        <v>6204</v>
      </c>
      <c r="C6206" s="3" t="n">
        <v>7</v>
      </c>
      <c r="D6206" s="3" t="n">
        <v>25</v>
      </c>
      <c r="E6206" s="3" t="n">
        <v>16</v>
      </c>
      <c r="F6206" s="24" t="n">
        <v>-0.0628041923</v>
      </c>
    </row>
    <row r="6207" customFormat="false" ht="15" hidden="false" customHeight="false" outlineLevel="0" collapsed="false">
      <c r="A6207" s="3" t="n">
        <v>6206</v>
      </c>
      <c r="B6207" s="3" t="n">
        <v>6205</v>
      </c>
      <c r="C6207" s="3" t="n">
        <v>7</v>
      </c>
      <c r="D6207" s="3" t="n">
        <v>25</v>
      </c>
      <c r="E6207" s="3" t="n">
        <v>17</v>
      </c>
      <c r="F6207" s="24" t="n">
        <v>-0.0628041923</v>
      </c>
    </row>
    <row r="6208" customFormat="false" ht="15" hidden="false" customHeight="false" outlineLevel="0" collapsed="false">
      <c r="A6208" s="3" t="n">
        <v>6207</v>
      </c>
      <c r="B6208" s="3" t="n">
        <v>6206</v>
      </c>
      <c r="C6208" s="3" t="n">
        <v>7</v>
      </c>
      <c r="D6208" s="3" t="n">
        <v>25</v>
      </c>
      <c r="E6208" s="3" t="n">
        <v>18</v>
      </c>
      <c r="F6208" s="24" t="n">
        <v>-0.0628041923</v>
      </c>
    </row>
    <row r="6209" customFormat="false" ht="15" hidden="false" customHeight="false" outlineLevel="0" collapsed="false">
      <c r="A6209" s="3" t="n">
        <v>6208</v>
      </c>
      <c r="B6209" s="3" t="n">
        <v>6207</v>
      </c>
      <c r="C6209" s="3" t="n">
        <v>7</v>
      </c>
      <c r="D6209" s="3" t="n">
        <v>25</v>
      </c>
      <c r="E6209" s="3" t="n">
        <v>19</v>
      </c>
      <c r="F6209" s="24" t="n">
        <v>-0.0628041923</v>
      </c>
    </row>
    <row r="6210" customFormat="false" ht="15" hidden="false" customHeight="false" outlineLevel="0" collapsed="false">
      <c r="A6210" s="3" t="n">
        <v>6209</v>
      </c>
      <c r="B6210" s="3" t="n">
        <v>6208</v>
      </c>
      <c r="C6210" s="3" t="n">
        <v>7</v>
      </c>
      <c r="D6210" s="3" t="n">
        <v>25</v>
      </c>
      <c r="E6210" s="3" t="n">
        <v>20</v>
      </c>
      <c r="F6210" s="24" t="n">
        <v>-0.0628041923</v>
      </c>
    </row>
    <row r="6211" customFormat="false" ht="15" hidden="false" customHeight="false" outlineLevel="0" collapsed="false">
      <c r="A6211" s="3" t="n">
        <v>6210</v>
      </c>
      <c r="B6211" s="3" t="n">
        <v>6209</v>
      </c>
      <c r="C6211" s="3" t="n">
        <v>7</v>
      </c>
      <c r="D6211" s="3" t="n">
        <v>25</v>
      </c>
      <c r="E6211" s="3" t="n">
        <v>21</v>
      </c>
      <c r="F6211" s="24" t="n">
        <v>-0.0628041923</v>
      </c>
    </row>
    <row r="6212" customFormat="false" ht="15" hidden="false" customHeight="false" outlineLevel="0" collapsed="false">
      <c r="A6212" s="3" t="n">
        <v>6211</v>
      </c>
      <c r="B6212" s="3" t="n">
        <v>6210</v>
      </c>
      <c r="C6212" s="3" t="n">
        <v>7</v>
      </c>
      <c r="D6212" s="3" t="n">
        <v>25</v>
      </c>
      <c r="E6212" s="3" t="n">
        <v>22</v>
      </c>
      <c r="F6212" s="24" t="n">
        <v>-0.0628041923</v>
      </c>
    </row>
    <row r="6213" customFormat="false" ht="15" hidden="false" customHeight="false" outlineLevel="0" collapsed="false">
      <c r="A6213" s="3" t="n">
        <v>6212</v>
      </c>
      <c r="B6213" s="3" t="n">
        <v>6211</v>
      </c>
      <c r="C6213" s="3" t="n">
        <v>7</v>
      </c>
      <c r="D6213" s="3" t="n">
        <v>25</v>
      </c>
      <c r="E6213" s="3" t="n">
        <v>23</v>
      </c>
      <c r="F6213" s="24" t="n">
        <v>-0.0628041923</v>
      </c>
    </row>
    <row r="6214" customFormat="false" ht="15" hidden="false" customHeight="false" outlineLevel="0" collapsed="false">
      <c r="A6214" s="3" t="n">
        <v>6213</v>
      </c>
      <c r="B6214" s="3" t="n">
        <v>6212</v>
      </c>
      <c r="C6214" s="3" t="n">
        <v>7</v>
      </c>
      <c r="D6214" s="3" t="n">
        <v>25</v>
      </c>
      <c r="E6214" s="3" t="n">
        <v>24</v>
      </c>
      <c r="F6214" s="24" t="n">
        <v>-0.0628041923</v>
      </c>
    </row>
    <row r="6215" customFormat="false" ht="15" hidden="false" customHeight="false" outlineLevel="0" collapsed="false">
      <c r="A6215" s="3" t="n">
        <v>6214</v>
      </c>
      <c r="B6215" s="3" t="n">
        <v>6213</v>
      </c>
      <c r="C6215" s="3" t="n">
        <v>7</v>
      </c>
      <c r="D6215" s="3" t="n">
        <v>25</v>
      </c>
      <c r="E6215" s="3" t="n">
        <v>25</v>
      </c>
      <c r="F6215" s="24" t="n">
        <v>-0.0628041923</v>
      </c>
    </row>
    <row r="6216" customFormat="false" ht="15" hidden="false" customHeight="false" outlineLevel="0" collapsed="false">
      <c r="A6216" s="3" t="n">
        <v>6215</v>
      </c>
      <c r="B6216" s="3" t="n">
        <v>6214</v>
      </c>
      <c r="C6216" s="3" t="n">
        <v>7</v>
      </c>
      <c r="D6216" s="3" t="n">
        <v>25</v>
      </c>
      <c r="E6216" s="3" t="n">
        <v>26</v>
      </c>
      <c r="F6216" s="24" t="n">
        <v>-0.0628041923</v>
      </c>
    </row>
    <row r="6217" customFormat="false" ht="15" hidden="false" customHeight="false" outlineLevel="0" collapsed="false">
      <c r="A6217" s="3" t="n">
        <v>6216</v>
      </c>
      <c r="B6217" s="3" t="n">
        <v>6215</v>
      </c>
      <c r="C6217" s="3" t="n">
        <v>7</v>
      </c>
      <c r="D6217" s="3" t="n">
        <v>25</v>
      </c>
      <c r="E6217" s="3" t="n">
        <v>27</v>
      </c>
      <c r="F6217" s="24" t="n">
        <v>-0.504603028</v>
      </c>
    </row>
    <row r="6218" customFormat="false" ht="15" hidden="false" customHeight="false" outlineLevel="0" collapsed="false">
      <c r="A6218" s="3" t="n">
        <v>6217</v>
      </c>
      <c r="B6218" s="3" t="n">
        <v>6216</v>
      </c>
      <c r="C6218" s="3" t="n">
        <v>7</v>
      </c>
      <c r="D6218" s="3" t="n">
        <v>26</v>
      </c>
      <c r="E6218" s="3" t="n">
        <v>0</v>
      </c>
      <c r="F6218" s="24" t="n">
        <v>0.259080142</v>
      </c>
    </row>
    <row r="6219" customFormat="false" ht="15" hidden="false" customHeight="false" outlineLevel="0" collapsed="false">
      <c r="A6219" s="3" t="n">
        <v>6218</v>
      </c>
      <c r="B6219" s="3" t="n">
        <v>6217</v>
      </c>
      <c r="C6219" s="3" t="n">
        <v>7</v>
      </c>
      <c r="D6219" s="3" t="n">
        <v>26</v>
      </c>
      <c r="E6219" s="3" t="n">
        <v>1</v>
      </c>
      <c r="F6219" s="24" t="n">
        <v>-0.0628041923</v>
      </c>
    </row>
    <row r="6220" customFormat="false" ht="15" hidden="false" customHeight="false" outlineLevel="0" collapsed="false">
      <c r="A6220" s="3" t="n">
        <v>6219</v>
      </c>
      <c r="B6220" s="3" t="n">
        <v>6218</v>
      </c>
      <c r="C6220" s="3" t="n">
        <v>7</v>
      </c>
      <c r="D6220" s="3" t="n">
        <v>26</v>
      </c>
      <c r="E6220" s="3" t="n">
        <v>2</v>
      </c>
      <c r="F6220" s="24" t="n">
        <v>-0.0628041923</v>
      </c>
    </row>
    <row r="6221" customFormat="false" ht="15" hidden="false" customHeight="false" outlineLevel="0" collapsed="false">
      <c r="A6221" s="3" t="n">
        <v>6220</v>
      </c>
      <c r="B6221" s="3" t="n">
        <v>6219</v>
      </c>
      <c r="C6221" s="3" t="n">
        <v>7</v>
      </c>
      <c r="D6221" s="3" t="n">
        <v>26</v>
      </c>
      <c r="E6221" s="3" t="n">
        <v>3</v>
      </c>
      <c r="F6221" s="24" t="n">
        <v>-0.0628041923</v>
      </c>
    </row>
    <row r="6222" customFormat="false" ht="15" hidden="false" customHeight="false" outlineLevel="0" collapsed="false">
      <c r="A6222" s="3" t="n">
        <v>6221</v>
      </c>
      <c r="B6222" s="3" t="n">
        <v>6220</v>
      </c>
      <c r="C6222" s="3" t="n">
        <v>7</v>
      </c>
      <c r="D6222" s="3" t="n">
        <v>26</v>
      </c>
      <c r="E6222" s="3" t="n">
        <v>4</v>
      </c>
      <c r="F6222" s="24" t="n">
        <v>-0.0628041923</v>
      </c>
    </row>
    <row r="6223" customFormat="false" ht="15" hidden="false" customHeight="false" outlineLevel="0" collapsed="false">
      <c r="A6223" s="3" t="n">
        <v>6222</v>
      </c>
      <c r="B6223" s="3" t="n">
        <v>6221</v>
      </c>
      <c r="C6223" s="3" t="n">
        <v>7</v>
      </c>
      <c r="D6223" s="3" t="n">
        <v>26</v>
      </c>
      <c r="E6223" s="3" t="n">
        <v>5</v>
      </c>
      <c r="F6223" s="24" t="n">
        <v>-0.0628041923</v>
      </c>
    </row>
    <row r="6224" customFormat="false" ht="15" hidden="false" customHeight="false" outlineLevel="0" collapsed="false">
      <c r="A6224" s="3" t="n">
        <v>6223</v>
      </c>
      <c r="B6224" s="3" t="n">
        <v>6222</v>
      </c>
      <c r="C6224" s="3" t="n">
        <v>7</v>
      </c>
      <c r="D6224" s="3" t="n">
        <v>26</v>
      </c>
      <c r="E6224" s="3" t="n">
        <v>6</v>
      </c>
      <c r="F6224" s="24" t="n">
        <v>-0.0628041923</v>
      </c>
    </row>
    <row r="6225" customFormat="false" ht="15" hidden="false" customHeight="false" outlineLevel="0" collapsed="false">
      <c r="A6225" s="3" t="n">
        <v>6224</v>
      </c>
      <c r="B6225" s="3" t="n">
        <v>6223</v>
      </c>
      <c r="C6225" s="3" t="n">
        <v>7</v>
      </c>
      <c r="D6225" s="3" t="n">
        <v>26</v>
      </c>
      <c r="E6225" s="3" t="n">
        <v>7</v>
      </c>
      <c r="F6225" s="24" t="n">
        <v>-0.0628041923</v>
      </c>
    </row>
    <row r="6226" customFormat="false" ht="15" hidden="false" customHeight="false" outlineLevel="0" collapsed="false">
      <c r="A6226" s="3" t="n">
        <v>6225</v>
      </c>
      <c r="B6226" s="3" t="n">
        <v>6224</v>
      </c>
      <c r="C6226" s="3" t="n">
        <v>7</v>
      </c>
      <c r="D6226" s="3" t="n">
        <v>26</v>
      </c>
      <c r="E6226" s="3" t="n">
        <v>8</v>
      </c>
      <c r="F6226" s="24" t="n">
        <v>-0.0628041923</v>
      </c>
    </row>
    <row r="6227" customFormat="false" ht="15" hidden="false" customHeight="false" outlineLevel="0" collapsed="false">
      <c r="A6227" s="3" t="n">
        <v>6226</v>
      </c>
      <c r="B6227" s="3" t="n">
        <v>6225</v>
      </c>
      <c r="C6227" s="3" t="n">
        <v>7</v>
      </c>
      <c r="D6227" s="3" t="n">
        <v>26</v>
      </c>
      <c r="E6227" s="3" t="n">
        <v>9</v>
      </c>
      <c r="F6227" s="24" t="n">
        <v>-1.85399699</v>
      </c>
    </row>
    <row r="6228" customFormat="false" ht="15" hidden="false" customHeight="false" outlineLevel="0" collapsed="false">
      <c r="A6228" s="3" t="n">
        <v>6227</v>
      </c>
      <c r="B6228" s="3" t="n">
        <v>6226</v>
      </c>
      <c r="C6228" s="3" t="n">
        <v>7</v>
      </c>
      <c r="D6228" s="3" t="n">
        <v>26</v>
      </c>
      <c r="E6228" s="3" t="n">
        <v>10</v>
      </c>
      <c r="F6228" s="24" t="n">
        <v>-3.66168022</v>
      </c>
    </row>
    <row r="6229" customFormat="false" ht="15" hidden="false" customHeight="false" outlineLevel="0" collapsed="false">
      <c r="A6229" s="3" t="n">
        <v>6228</v>
      </c>
      <c r="B6229" s="3" t="n">
        <v>6227</v>
      </c>
      <c r="C6229" s="3" t="n">
        <v>7</v>
      </c>
      <c r="D6229" s="3" t="n">
        <v>26</v>
      </c>
      <c r="E6229" s="3" t="n">
        <v>11</v>
      </c>
      <c r="F6229" s="24" t="n">
        <v>-1.98646474</v>
      </c>
    </row>
    <row r="6230" customFormat="false" ht="15" hidden="false" customHeight="false" outlineLevel="0" collapsed="false">
      <c r="A6230" s="3" t="n">
        <v>6229</v>
      </c>
      <c r="B6230" s="3" t="n">
        <v>6228</v>
      </c>
      <c r="C6230" s="3" t="n">
        <v>7</v>
      </c>
      <c r="D6230" s="3" t="n">
        <v>26</v>
      </c>
      <c r="E6230" s="3" t="n">
        <v>12</v>
      </c>
      <c r="F6230" s="24" t="n">
        <v>0.863783956</v>
      </c>
    </row>
    <row r="6231" customFormat="false" ht="15" hidden="false" customHeight="false" outlineLevel="0" collapsed="false">
      <c r="A6231" s="3" t="n">
        <v>6230</v>
      </c>
      <c r="B6231" s="3" t="n">
        <v>6229</v>
      </c>
      <c r="C6231" s="3" t="n">
        <v>7</v>
      </c>
      <c r="D6231" s="3" t="n">
        <v>26</v>
      </c>
      <c r="E6231" s="3" t="n">
        <v>13</v>
      </c>
      <c r="F6231" s="24" t="n">
        <v>2.12623954</v>
      </c>
    </row>
    <row r="6232" customFormat="false" ht="15" hidden="false" customHeight="false" outlineLevel="0" collapsed="false">
      <c r="A6232" s="3" t="n">
        <v>6231</v>
      </c>
      <c r="B6232" s="3" t="n">
        <v>6230</v>
      </c>
      <c r="C6232" s="3" t="n">
        <v>7</v>
      </c>
      <c r="D6232" s="3" t="n">
        <v>26</v>
      </c>
      <c r="E6232" s="3" t="n">
        <v>14</v>
      </c>
      <c r="F6232" s="24" t="n">
        <v>0.792273819</v>
      </c>
    </row>
    <row r="6233" customFormat="false" ht="15" hidden="false" customHeight="false" outlineLevel="0" collapsed="false">
      <c r="A6233" s="3" t="n">
        <v>6232</v>
      </c>
      <c r="B6233" s="3" t="n">
        <v>6231</v>
      </c>
      <c r="C6233" s="3" t="n">
        <v>7</v>
      </c>
      <c r="D6233" s="3" t="n">
        <v>26</v>
      </c>
      <c r="E6233" s="3" t="n">
        <v>15</v>
      </c>
      <c r="F6233" s="24" t="n">
        <v>0.0596365184</v>
      </c>
    </row>
    <row r="6234" customFormat="false" ht="15" hidden="false" customHeight="false" outlineLevel="0" collapsed="false">
      <c r="A6234" s="3" t="n">
        <v>6233</v>
      </c>
      <c r="B6234" s="3" t="n">
        <v>6232</v>
      </c>
      <c r="C6234" s="3" t="n">
        <v>7</v>
      </c>
      <c r="D6234" s="3" t="n">
        <v>26</v>
      </c>
      <c r="E6234" s="3" t="n">
        <v>16</v>
      </c>
      <c r="F6234" s="24" t="n">
        <v>-0.0628041923</v>
      </c>
    </row>
    <row r="6235" customFormat="false" ht="15" hidden="false" customHeight="false" outlineLevel="0" collapsed="false">
      <c r="A6235" s="3" t="n">
        <v>6234</v>
      </c>
      <c r="B6235" s="3" t="n">
        <v>6233</v>
      </c>
      <c r="C6235" s="3" t="n">
        <v>7</v>
      </c>
      <c r="D6235" s="3" t="n">
        <v>26</v>
      </c>
      <c r="E6235" s="3" t="n">
        <v>17</v>
      </c>
      <c r="F6235" s="24" t="n">
        <v>-0.0628041923</v>
      </c>
    </row>
    <row r="6236" customFormat="false" ht="15" hidden="false" customHeight="false" outlineLevel="0" collapsed="false">
      <c r="A6236" s="3" t="n">
        <v>6235</v>
      </c>
      <c r="B6236" s="3" t="n">
        <v>6234</v>
      </c>
      <c r="C6236" s="3" t="n">
        <v>7</v>
      </c>
      <c r="D6236" s="3" t="n">
        <v>26</v>
      </c>
      <c r="E6236" s="3" t="n">
        <v>18</v>
      </c>
      <c r="F6236" s="24" t="n">
        <v>-0.0628041923</v>
      </c>
    </row>
    <row r="6237" customFormat="false" ht="15" hidden="false" customHeight="false" outlineLevel="0" collapsed="false">
      <c r="A6237" s="3" t="n">
        <v>6236</v>
      </c>
      <c r="B6237" s="3" t="n">
        <v>6235</v>
      </c>
      <c r="C6237" s="3" t="n">
        <v>7</v>
      </c>
      <c r="D6237" s="3" t="n">
        <v>26</v>
      </c>
      <c r="E6237" s="3" t="n">
        <v>19</v>
      </c>
      <c r="F6237" s="24" t="n">
        <v>-0.0628041923</v>
      </c>
    </row>
    <row r="6238" customFormat="false" ht="15" hidden="false" customHeight="false" outlineLevel="0" collapsed="false">
      <c r="A6238" s="3" t="n">
        <v>6237</v>
      </c>
      <c r="B6238" s="3" t="n">
        <v>6236</v>
      </c>
      <c r="C6238" s="3" t="n">
        <v>7</v>
      </c>
      <c r="D6238" s="3" t="n">
        <v>26</v>
      </c>
      <c r="E6238" s="3" t="n">
        <v>20</v>
      </c>
      <c r="F6238" s="24" t="n">
        <v>-0.0628041923</v>
      </c>
    </row>
    <row r="6239" customFormat="false" ht="15" hidden="false" customHeight="false" outlineLevel="0" collapsed="false">
      <c r="A6239" s="3" t="n">
        <v>6238</v>
      </c>
      <c r="B6239" s="3" t="n">
        <v>6237</v>
      </c>
      <c r="C6239" s="3" t="n">
        <v>7</v>
      </c>
      <c r="D6239" s="3" t="n">
        <v>26</v>
      </c>
      <c r="E6239" s="3" t="n">
        <v>21</v>
      </c>
      <c r="F6239" s="24" t="n">
        <v>-0.0628041923</v>
      </c>
    </row>
    <row r="6240" customFormat="false" ht="15" hidden="false" customHeight="false" outlineLevel="0" collapsed="false">
      <c r="A6240" s="3" t="n">
        <v>6239</v>
      </c>
      <c r="B6240" s="3" t="n">
        <v>6238</v>
      </c>
      <c r="C6240" s="3" t="n">
        <v>7</v>
      </c>
      <c r="D6240" s="3" t="n">
        <v>26</v>
      </c>
      <c r="E6240" s="3" t="n">
        <v>22</v>
      </c>
      <c r="F6240" s="24" t="n">
        <v>-0.0628041923</v>
      </c>
    </row>
    <row r="6241" customFormat="false" ht="15" hidden="false" customHeight="false" outlineLevel="0" collapsed="false">
      <c r="A6241" s="3" t="n">
        <v>6240</v>
      </c>
      <c r="B6241" s="3" t="n">
        <v>6239</v>
      </c>
      <c r="C6241" s="3" t="n">
        <v>7</v>
      </c>
      <c r="D6241" s="3" t="n">
        <v>26</v>
      </c>
      <c r="E6241" s="3" t="n">
        <v>23</v>
      </c>
      <c r="F6241" s="24" t="n">
        <v>-0.0628041923</v>
      </c>
    </row>
    <row r="6242" customFormat="false" ht="15" hidden="false" customHeight="false" outlineLevel="0" collapsed="false">
      <c r="A6242" s="3" t="n">
        <v>6241</v>
      </c>
      <c r="B6242" s="3" t="n">
        <v>6240</v>
      </c>
      <c r="C6242" s="3" t="n">
        <v>7</v>
      </c>
      <c r="D6242" s="3" t="n">
        <v>26</v>
      </c>
      <c r="E6242" s="3" t="n">
        <v>24</v>
      </c>
      <c r="F6242" s="24" t="n">
        <v>-0.0628041923</v>
      </c>
    </row>
    <row r="6243" customFormat="false" ht="15" hidden="false" customHeight="false" outlineLevel="0" collapsed="false">
      <c r="A6243" s="3" t="n">
        <v>6242</v>
      </c>
      <c r="B6243" s="3" t="n">
        <v>6241</v>
      </c>
      <c r="C6243" s="3" t="n">
        <v>7</v>
      </c>
      <c r="D6243" s="3" t="n">
        <v>26</v>
      </c>
      <c r="E6243" s="3" t="n">
        <v>25</v>
      </c>
      <c r="F6243" s="24" t="n">
        <v>-0.0628041923</v>
      </c>
    </row>
    <row r="6244" customFormat="false" ht="15" hidden="false" customHeight="false" outlineLevel="0" collapsed="false">
      <c r="A6244" s="3" t="n">
        <v>6243</v>
      </c>
      <c r="B6244" s="3" t="n">
        <v>6242</v>
      </c>
      <c r="C6244" s="3" t="n">
        <v>7</v>
      </c>
      <c r="D6244" s="3" t="n">
        <v>26</v>
      </c>
      <c r="E6244" s="3" t="n">
        <v>26</v>
      </c>
      <c r="F6244" s="24" t="n">
        <v>-0.0628041923</v>
      </c>
    </row>
    <row r="6245" customFormat="false" ht="15" hidden="false" customHeight="false" outlineLevel="0" collapsed="false">
      <c r="A6245" s="3" t="n">
        <v>6244</v>
      </c>
      <c r="B6245" s="3" t="n">
        <v>6243</v>
      </c>
      <c r="C6245" s="3" t="n">
        <v>7</v>
      </c>
      <c r="D6245" s="3" t="n">
        <v>26</v>
      </c>
      <c r="E6245" s="3" t="n">
        <v>27</v>
      </c>
      <c r="F6245" s="24" t="n">
        <v>-0.504603028</v>
      </c>
    </row>
    <row r="6246" customFormat="false" ht="15" hidden="false" customHeight="false" outlineLevel="0" collapsed="false">
      <c r="A6246" s="3" t="n">
        <v>6245</v>
      </c>
      <c r="B6246" s="3" t="n">
        <v>6244</v>
      </c>
      <c r="C6246" s="3" t="n">
        <v>7</v>
      </c>
      <c r="D6246" s="3" t="n">
        <v>27</v>
      </c>
      <c r="E6246" s="3" t="n">
        <v>0</v>
      </c>
      <c r="F6246" s="24" t="n">
        <v>0.606766462</v>
      </c>
    </row>
    <row r="6247" customFormat="false" ht="15" hidden="false" customHeight="false" outlineLevel="0" collapsed="false">
      <c r="A6247" s="3" t="n">
        <v>6246</v>
      </c>
      <c r="B6247" s="3" t="n">
        <v>6245</v>
      </c>
      <c r="C6247" s="3" t="n">
        <v>7</v>
      </c>
      <c r="D6247" s="3" t="n">
        <v>27</v>
      </c>
      <c r="E6247" s="3" t="n">
        <v>1</v>
      </c>
      <c r="F6247" s="24" t="n">
        <v>0.279396147</v>
      </c>
    </row>
    <row r="6248" customFormat="false" ht="15" hidden="false" customHeight="false" outlineLevel="0" collapsed="false">
      <c r="A6248" s="3" t="n">
        <v>6247</v>
      </c>
      <c r="B6248" s="3" t="n">
        <v>6246</v>
      </c>
      <c r="C6248" s="3" t="n">
        <v>7</v>
      </c>
      <c r="D6248" s="3" t="n">
        <v>27</v>
      </c>
      <c r="E6248" s="3" t="n">
        <v>2</v>
      </c>
      <c r="F6248" s="24" t="n">
        <v>0.279396147</v>
      </c>
    </row>
    <row r="6249" customFormat="false" ht="15" hidden="false" customHeight="false" outlineLevel="0" collapsed="false">
      <c r="A6249" s="3" t="n">
        <v>6248</v>
      </c>
      <c r="B6249" s="3" t="n">
        <v>6247</v>
      </c>
      <c r="C6249" s="3" t="n">
        <v>7</v>
      </c>
      <c r="D6249" s="3" t="n">
        <v>27</v>
      </c>
      <c r="E6249" s="3" t="n">
        <v>3</v>
      </c>
      <c r="F6249" s="24" t="n">
        <v>0.279396147</v>
      </c>
    </row>
    <row r="6250" customFormat="false" ht="15" hidden="false" customHeight="false" outlineLevel="0" collapsed="false">
      <c r="A6250" s="3" t="n">
        <v>6249</v>
      </c>
      <c r="B6250" s="3" t="n">
        <v>6248</v>
      </c>
      <c r="C6250" s="3" t="n">
        <v>7</v>
      </c>
      <c r="D6250" s="3" t="n">
        <v>27</v>
      </c>
      <c r="E6250" s="3" t="n">
        <v>4</v>
      </c>
      <c r="F6250" s="24" t="n">
        <v>0.279396147</v>
      </c>
    </row>
    <row r="6251" customFormat="false" ht="15" hidden="false" customHeight="false" outlineLevel="0" collapsed="false">
      <c r="A6251" s="3" t="n">
        <v>6250</v>
      </c>
      <c r="B6251" s="3" t="n">
        <v>6249</v>
      </c>
      <c r="C6251" s="3" t="n">
        <v>7</v>
      </c>
      <c r="D6251" s="3" t="n">
        <v>27</v>
      </c>
      <c r="E6251" s="3" t="n">
        <v>5</v>
      </c>
      <c r="F6251" s="24" t="n">
        <v>0.279396147</v>
      </c>
    </row>
    <row r="6252" customFormat="false" ht="15" hidden="false" customHeight="false" outlineLevel="0" collapsed="false">
      <c r="A6252" s="3" t="n">
        <v>6251</v>
      </c>
      <c r="B6252" s="3" t="n">
        <v>6250</v>
      </c>
      <c r="C6252" s="3" t="n">
        <v>7</v>
      </c>
      <c r="D6252" s="3" t="n">
        <v>27</v>
      </c>
      <c r="E6252" s="3" t="n">
        <v>6</v>
      </c>
      <c r="F6252" s="24" t="n">
        <v>0.279396147</v>
      </c>
    </row>
    <row r="6253" customFormat="false" ht="15" hidden="false" customHeight="false" outlineLevel="0" collapsed="false">
      <c r="A6253" s="3" t="n">
        <v>6252</v>
      </c>
      <c r="B6253" s="3" t="n">
        <v>6251</v>
      </c>
      <c r="C6253" s="3" t="n">
        <v>7</v>
      </c>
      <c r="D6253" s="3" t="n">
        <v>27</v>
      </c>
      <c r="E6253" s="3" t="n">
        <v>7</v>
      </c>
      <c r="F6253" s="24" t="n">
        <v>0.279396147</v>
      </c>
    </row>
    <row r="6254" customFormat="false" ht="15" hidden="false" customHeight="false" outlineLevel="0" collapsed="false">
      <c r="A6254" s="3" t="n">
        <v>6253</v>
      </c>
      <c r="B6254" s="3" t="n">
        <v>6252</v>
      </c>
      <c r="C6254" s="3" t="n">
        <v>7</v>
      </c>
      <c r="D6254" s="3" t="n">
        <v>27</v>
      </c>
      <c r="E6254" s="3" t="n">
        <v>8</v>
      </c>
      <c r="F6254" s="24" t="n">
        <v>0.279396147</v>
      </c>
    </row>
    <row r="6255" customFormat="false" ht="15" hidden="false" customHeight="false" outlineLevel="0" collapsed="false">
      <c r="A6255" s="3" t="n">
        <v>6254</v>
      </c>
      <c r="B6255" s="3" t="n">
        <v>6253</v>
      </c>
      <c r="C6255" s="3" t="n">
        <v>7</v>
      </c>
      <c r="D6255" s="3" t="n">
        <v>27</v>
      </c>
      <c r="E6255" s="3" t="n">
        <v>9</v>
      </c>
      <c r="F6255" s="24" t="n">
        <v>-0.714847565</v>
      </c>
    </row>
    <row r="6256" customFormat="false" ht="15" hidden="false" customHeight="false" outlineLevel="0" collapsed="false">
      <c r="A6256" s="3" t="n">
        <v>6255</v>
      </c>
      <c r="B6256" s="3" t="n">
        <v>6254</v>
      </c>
      <c r="C6256" s="3" t="n">
        <v>7</v>
      </c>
      <c r="D6256" s="3" t="n">
        <v>27</v>
      </c>
      <c r="E6256" s="3" t="n">
        <v>10</v>
      </c>
      <c r="F6256" s="24" t="n">
        <v>-1.61709547</v>
      </c>
    </row>
    <row r="6257" customFormat="false" ht="15" hidden="false" customHeight="false" outlineLevel="0" collapsed="false">
      <c r="A6257" s="3" t="n">
        <v>6256</v>
      </c>
      <c r="B6257" s="3" t="n">
        <v>6255</v>
      </c>
      <c r="C6257" s="3" t="n">
        <v>7</v>
      </c>
      <c r="D6257" s="3" t="n">
        <v>27</v>
      </c>
      <c r="E6257" s="3" t="n">
        <v>11</v>
      </c>
      <c r="F6257" s="24" t="n">
        <v>-0.651017189</v>
      </c>
    </row>
    <row r="6258" customFormat="false" ht="15" hidden="false" customHeight="false" outlineLevel="0" collapsed="false">
      <c r="A6258" s="3" t="n">
        <v>6257</v>
      </c>
      <c r="B6258" s="3" t="n">
        <v>6256</v>
      </c>
      <c r="C6258" s="3" t="n">
        <v>7</v>
      </c>
      <c r="D6258" s="3" t="n">
        <v>27</v>
      </c>
      <c r="E6258" s="3" t="n">
        <v>12</v>
      </c>
      <c r="F6258" s="24" t="n">
        <v>1.2350564</v>
      </c>
    </row>
    <row r="6259" customFormat="false" ht="15" hidden="false" customHeight="false" outlineLevel="0" collapsed="false">
      <c r="A6259" s="3" t="n">
        <v>6258</v>
      </c>
      <c r="B6259" s="3" t="n">
        <v>6257</v>
      </c>
      <c r="C6259" s="3" t="n">
        <v>7</v>
      </c>
      <c r="D6259" s="3" t="n">
        <v>27</v>
      </c>
      <c r="E6259" s="3" t="n">
        <v>13</v>
      </c>
      <c r="F6259" s="24" t="n">
        <v>0.941380322</v>
      </c>
    </row>
    <row r="6260" customFormat="false" ht="15" hidden="false" customHeight="false" outlineLevel="0" collapsed="false">
      <c r="A6260" s="3" t="n">
        <v>6259</v>
      </c>
      <c r="B6260" s="3" t="n">
        <v>6258</v>
      </c>
      <c r="C6260" s="3" t="n">
        <v>7</v>
      </c>
      <c r="D6260" s="3" t="n">
        <v>27</v>
      </c>
      <c r="E6260" s="3" t="n">
        <v>14</v>
      </c>
      <c r="F6260" s="24" t="n">
        <v>0.334494472</v>
      </c>
    </row>
    <row r="6261" customFormat="false" ht="15" hidden="false" customHeight="false" outlineLevel="0" collapsed="false">
      <c r="A6261" s="3" t="n">
        <v>6260</v>
      </c>
      <c r="B6261" s="3" t="n">
        <v>6259</v>
      </c>
      <c r="C6261" s="3" t="n">
        <v>7</v>
      </c>
      <c r="D6261" s="3" t="n">
        <v>27</v>
      </c>
      <c r="E6261" s="3" t="n">
        <v>15</v>
      </c>
      <c r="F6261" s="24" t="n">
        <v>0.279396147</v>
      </c>
    </row>
    <row r="6262" customFormat="false" ht="15" hidden="false" customHeight="false" outlineLevel="0" collapsed="false">
      <c r="A6262" s="3" t="n">
        <v>6261</v>
      </c>
      <c r="B6262" s="3" t="n">
        <v>6260</v>
      </c>
      <c r="C6262" s="3" t="n">
        <v>7</v>
      </c>
      <c r="D6262" s="3" t="n">
        <v>27</v>
      </c>
      <c r="E6262" s="3" t="n">
        <v>16</v>
      </c>
      <c r="F6262" s="24" t="n">
        <v>0.279396147</v>
      </c>
    </row>
    <row r="6263" customFormat="false" ht="15" hidden="false" customHeight="false" outlineLevel="0" collapsed="false">
      <c r="A6263" s="3" t="n">
        <v>6262</v>
      </c>
      <c r="B6263" s="3" t="n">
        <v>6261</v>
      </c>
      <c r="C6263" s="3" t="n">
        <v>7</v>
      </c>
      <c r="D6263" s="3" t="n">
        <v>27</v>
      </c>
      <c r="E6263" s="3" t="n">
        <v>17</v>
      </c>
      <c r="F6263" s="24" t="n">
        <v>0.279396147</v>
      </c>
    </row>
    <row r="6264" customFormat="false" ht="15" hidden="false" customHeight="false" outlineLevel="0" collapsed="false">
      <c r="A6264" s="3" t="n">
        <v>6263</v>
      </c>
      <c r="B6264" s="3" t="n">
        <v>6262</v>
      </c>
      <c r="C6264" s="3" t="n">
        <v>7</v>
      </c>
      <c r="D6264" s="3" t="n">
        <v>27</v>
      </c>
      <c r="E6264" s="3" t="n">
        <v>18</v>
      </c>
      <c r="F6264" s="24" t="n">
        <v>0.279396147</v>
      </c>
    </row>
    <row r="6265" customFormat="false" ht="15" hidden="false" customHeight="false" outlineLevel="0" collapsed="false">
      <c r="A6265" s="3" t="n">
        <v>6264</v>
      </c>
      <c r="B6265" s="3" t="n">
        <v>6263</v>
      </c>
      <c r="C6265" s="3" t="n">
        <v>7</v>
      </c>
      <c r="D6265" s="3" t="n">
        <v>27</v>
      </c>
      <c r="E6265" s="3" t="n">
        <v>19</v>
      </c>
      <c r="F6265" s="24" t="n">
        <v>0.279396147</v>
      </c>
    </row>
    <row r="6266" customFormat="false" ht="15" hidden="false" customHeight="false" outlineLevel="0" collapsed="false">
      <c r="A6266" s="3" t="n">
        <v>6265</v>
      </c>
      <c r="B6266" s="3" t="n">
        <v>6264</v>
      </c>
      <c r="C6266" s="3" t="n">
        <v>7</v>
      </c>
      <c r="D6266" s="3" t="n">
        <v>27</v>
      </c>
      <c r="E6266" s="3" t="n">
        <v>20</v>
      </c>
      <c r="F6266" s="24" t="n">
        <v>0.279396147</v>
      </c>
    </row>
    <row r="6267" customFormat="false" ht="15" hidden="false" customHeight="false" outlineLevel="0" collapsed="false">
      <c r="A6267" s="3" t="n">
        <v>6266</v>
      </c>
      <c r="B6267" s="3" t="n">
        <v>6265</v>
      </c>
      <c r="C6267" s="3" t="n">
        <v>7</v>
      </c>
      <c r="D6267" s="3" t="n">
        <v>27</v>
      </c>
      <c r="E6267" s="3" t="n">
        <v>21</v>
      </c>
      <c r="F6267" s="24" t="n">
        <v>0.279396147</v>
      </c>
    </row>
    <row r="6268" customFormat="false" ht="15" hidden="false" customHeight="false" outlineLevel="0" collapsed="false">
      <c r="A6268" s="3" t="n">
        <v>6267</v>
      </c>
      <c r="B6268" s="3" t="n">
        <v>6266</v>
      </c>
      <c r="C6268" s="3" t="n">
        <v>7</v>
      </c>
      <c r="D6268" s="3" t="n">
        <v>27</v>
      </c>
      <c r="E6268" s="3" t="n">
        <v>22</v>
      </c>
      <c r="F6268" s="24" t="n">
        <v>0.279396147</v>
      </c>
    </row>
    <row r="6269" customFormat="false" ht="15" hidden="false" customHeight="false" outlineLevel="0" collapsed="false">
      <c r="A6269" s="3" t="n">
        <v>6268</v>
      </c>
      <c r="B6269" s="3" t="n">
        <v>6267</v>
      </c>
      <c r="C6269" s="3" t="n">
        <v>7</v>
      </c>
      <c r="D6269" s="3" t="n">
        <v>27</v>
      </c>
      <c r="E6269" s="3" t="n">
        <v>23</v>
      </c>
      <c r="F6269" s="24" t="n">
        <v>0.279396147</v>
      </c>
    </row>
    <row r="6270" customFormat="false" ht="15" hidden="false" customHeight="false" outlineLevel="0" collapsed="false">
      <c r="A6270" s="3" t="n">
        <v>6269</v>
      </c>
      <c r="B6270" s="3" t="n">
        <v>6268</v>
      </c>
      <c r="C6270" s="3" t="n">
        <v>7</v>
      </c>
      <c r="D6270" s="3" t="n">
        <v>27</v>
      </c>
      <c r="E6270" s="3" t="n">
        <v>24</v>
      </c>
      <c r="F6270" s="24" t="n">
        <v>0.279396147</v>
      </c>
    </row>
    <row r="6271" customFormat="false" ht="15" hidden="false" customHeight="false" outlineLevel="0" collapsed="false">
      <c r="A6271" s="3" t="n">
        <v>6270</v>
      </c>
      <c r="B6271" s="3" t="n">
        <v>6269</v>
      </c>
      <c r="C6271" s="3" t="n">
        <v>7</v>
      </c>
      <c r="D6271" s="3" t="n">
        <v>27</v>
      </c>
      <c r="E6271" s="3" t="n">
        <v>25</v>
      </c>
      <c r="F6271" s="24" t="n">
        <v>0.279396147</v>
      </c>
    </row>
    <row r="6272" customFormat="false" ht="15" hidden="false" customHeight="false" outlineLevel="0" collapsed="false">
      <c r="A6272" s="3" t="n">
        <v>6271</v>
      </c>
      <c r="B6272" s="3" t="n">
        <v>6270</v>
      </c>
      <c r="C6272" s="3" t="n">
        <v>7</v>
      </c>
      <c r="D6272" s="3" t="n">
        <v>27</v>
      </c>
      <c r="E6272" s="3" t="n">
        <v>26</v>
      </c>
      <c r="F6272" s="24" t="n">
        <v>0.279396147</v>
      </c>
    </row>
    <row r="6273" customFormat="false" ht="15" hidden="false" customHeight="false" outlineLevel="0" collapsed="false">
      <c r="A6273" s="3" t="n">
        <v>6272</v>
      </c>
      <c r="B6273" s="3" t="n">
        <v>6271</v>
      </c>
      <c r="C6273" s="3" t="n">
        <v>7</v>
      </c>
      <c r="D6273" s="3" t="n">
        <v>27</v>
      </c>
      <c r="E6273" s="3" t="n">
        <v>27</v>
      </c>
      <c r="F6273" s="24" t="n">
        <v>-0.21397385</v>
      </c>
    </row>
  </sheetData>
  <autoFilter ref="A1:F62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5" min="3" style="0" width="8"/>
    <col collapsed="false" customWidth="true" hidden="false" outlineLevel="0" max="6" min="6" style="0" width="14"/>
  </cols>
  <sheetData>
    <row r="1" customFormat="false" ht="23.85" hidden="false" customHeight="false" outlineLevel="0" collapsed="false">
      <c r="A1" s="9" t="s">
        <v>109</v>
      </c>
      <c r="B1" s="9" t="s">
        <v>110</v>
      </c>
      <c r="C1" s="9" t="s">
        <v>121</v>
      </c>
      <c r="D1" s="9" t="s">
        <v>122</v>
      </c>
      <c r="E1" s="9" t="s">
        <v>123</v>
      </c>
      <c r="F1" s="9" t="s">
        <v>114</v>
      </c>
      <c r="H1" s="4" t="s">
        <v>126</v>
      </c>
    </row>
    <row r="2" customFormat="false" ht="15" hidden="false" customHeight="false" outlineLevel="0" collapsed="false">
      <c r="A2" s="3" t="n">
        <v>1</v>
      </c>
      <c r="B2" s="3" t="n">
        <v>0</v>
      </c>
      <c r="C2" s="3" t="n">
        <v>0</v>
      </c>
      <c r="D2" s="3" t="n">
        <v>0</v>
      </c>
      <c r="E2" s="3" t="n">
        <v>0</v>
      </c>
      <c r="F2" s="24" t="n">
        <v>0.0487543344</v>
      </c>
    </row>
    <row r="3" customFormat="false" ht="15" hidden="false" customHeight="false" outlineLevel="0" collapsed="false">
      <c r="A3" s="3" t="n">
        <v>2</v>
      </c>
      <c r="B3" s="3" t="n">
        <v>1</v>
      </c>
      <c r="C3" s="3" t="n">
        <v>0</v>
      </c>
      <c r="D3" s="3" t="n">
        <v>0</v>
      </c>
      <c r="E3" s="3" t="n">
        <v>1</v>
      </c>
      <c r="F3" s="24" t="n">
        <v>0.0582036376</v>
      </c>
    </row>
    <row r="4" customFormat="false" ht="15" hidden="false" customHeight="false" outlineLevel="0" collapsed="false">
      <c r="A4" s="3" t="n">
        <v>3</v>
      </c>
      <c r="B4" s="3" t="n">
        <v>2</v>
      </c>
      <c r="C4" s="3" t="n">
        <v>0</v>
      </c>
      <c r="D4" s="3" t="n">
        <v>0</v>
      </c>
      <c r="E4" s="3" t="n">
        <v>2</v>
      </c>
      <c r="F4" s="24" t="n">
        <v>0.0582036376</v>
      </c>
    </row>
    <row r="5" customFormat="false" ht="15" hidden="false" customHeight="false" outlineLevel="0" collapsed="false">
      <c r="A5" s="3" t="n">
        <v>4</v>
      </c>
      <c r="B5" s="3" t="n">
        <v>3</v>
      </c>
      <c r="C5" s="3" t="n">
        <v>0</v>
      </c>
      <c r="D5" s="3" t="n">
        <v>0</v>
      </c>
      <c r="E5" s="3" t="n">
        <v>3</v>
      </c>
      <c r="F5" s="24" t="n">
        <v>0.0582036376</v>
      </c>
    </row>
    <row r="6" customFormat="false" ht="15" hidden="false" customHeight="false" outlineLevel="0" collapsed="false">
      <c r="A6" s="3" t="n">
        <v>5</v>
      </c>
      <c r="B6" s="3" t="n">
        <v>4</v>
      </c>
      <c r="C6" s="3" t="n">
        <v>0</v>
      </c>
      <c r="D6" s="3" t="n">
        <v>0</v>
      </c>
      <c r="E6" s="3" t="n">
        <v>4</v>
      </c>
      <c r="F6" s="24" t="n">
        <v>0.0582036376</v>
      </c>
    </row>
    <row r="7" customFormat="false" ht="15" hidden="false" customHeight="false" outlineLevel="0" collapsed="false">
      <c r="A7" s="3" t="n">
        <v>6</v>
      </c>
      <c r="B7" s="3" t="n">
        <v>5</v>
      </c>
      <c r="C7" s="3" t="n">
        <v>0</v>
      </c>
      <c r="D7" s="3" t="n">
        <v>0</v>
      </c>
      <c r="E7" s="3" t="n">
        <v>5</v>
      </c>
      <c r="F7" s="24" t="n">
        <v>0.0582036376</v>
      </c>
    </row>
    <row r="8" customFormat="false" ht="15" hidden="false" customHeight="false" outlineLevel="0" collapsed="false">
      <c r="A8" s="3" t="n">
        <v>7</v>
      </c>
      <c r="B8" s="3" t="n">
        <v>6</v>
      </c>
      <c r="C8" s="3" t="n">
        <v>0</v>
      </c>
      <c r="D8" s="3" t="n">
        <v>0</v>
      </c>
      <c r="E8" s="3" t="n">
        <v>6</v>
      </c>
      <c r="F8" s="24" t="n">
        <v>0.0582036376</v>
      </c>
    </row>
    <row r="9" customFormat="false" ht="15" hidden="false" customHeight="false" outlineLevel="0" collapsed="false">
      <c r="A9" s="3" t="n">
        <v>8</v>
      </c>
      <c r="B9" s="3" t="n">
        <v>7</v>
      </c>
      <c r="C9" s="3" t="n">
        <v>0</v>
      </c>
      <c r="D9" s="3" t="n">
        <v>0</v>
      </c>
      <c r="E9" s="3" t="n">
        <v>7</v>
      </c>
      <c r="F9" s="24" t="n">
        <v>0.0582036376</v>
      </c>
    </row>
    <row r="10" customFormat="false" ht="15" hidden="false" customHeight="false" outlineLevel="0" collapsed="false">
      <c r="A10" s="3" t="n">
        <v>9</v>
      </c>
      <c r="B10" s="3" t="n">
        <v>8</v>
      </c>
      <c r="C10" s="3" t="n">
        <v>0</v>
      </c>
      <c r="D10" s="3" t="n">
        <v>0</v>
      </c>
      <c r="E10" s="3" t="n">
        <v>8</v>
      </c>
      <c r="F10" s="24" t="n">
        <v>0.0582036376</v>
      </c>
    </row>
    <row r="11" customFormat="false" ht="15" hidden="false" customHeight="false" outlineLevel="0" collapsed="false">
      <c r="A11" s="3" t="n">
        <v>10</v>
      </c>
      <c r="B11" s="3" t="n">
        <v>9</v>
      </c>
      <c r="C11" s="3" t="n">
        <v>0</v>
      </c>
      <c r="D11" s="3" t="n">
        <v>0</v>
      </c>
      <c r="E11" s="3" t="n">
        <v>9</v>
      </c>
      <c r="F11" s="24" t="n">
        <v>0.0582036376</v>
      </c>
    </row>
    <row r="12" customFormat="false" ht="15" hidden="false" customHeight="false" outlineLevel="0" collapsed="false">
      <c r="A12" s="3" t="n">
        <v>11</v>
      </c>
      <c r="B12" s="3" t="n">
        <v>10</v>
      </c>
      <c r="C12" s="3" t="n">
        <v>0</v>
      </c>
      <c r="D12" s="3" t="n">
        <v>0</v>
      </c>
      <c r="E12" s="3" t="n">
        <v>10</v>
      </c>
      <c r="F12" s="24" t="n">
        <v>0.0582036376</v>
      </c>
    </row>
    <row r="13" customFormat="false" ht="15" hidden="false" customHeight="false" outlineLevel="0" collapsed="false">
      <c r="A13" s="3" t="n">
        <v>12</v>
      </c>
      <c r="B13" s="3" t="n">
        <v>11</v>
      </c>
      <c r="C13" s="3" t="n">
        <v>0</v>
      </c>
      <c r="D13" s="3" t="n">
        <v>0</v>
      </c>
      <c r="E13" s="3" t="n">
        <v>11</v>
      </c>
      <c r="F13" s="24" t="n">
        <v>0.0582036376</v>
      </c>
    </row>
    <row r="14" customFormat="false" ht="15" hidden="false" customHeight="false" outlineLevel="0" collapsed="false">
      <c r="A14" s="3" t="n">
        <v>13</v>
      </c>
      <c r="B14" s="3" t="n">
        <v>12</v>
      </c>
      <c r="C14" s="3" t="n">
        <v>0</v>
      </c>
      <c r="D14" s="3" t="n">
        <v>0</v>
      </c>
      <c r="E14" s="3" t="n">
        <v>12</v>
      </c>
      <c r="F14" s="24" t="n">
        <v>0.0582036376</v>
      </c>
    </row>
    <row r="15" customFormat="false" ht="15" hidden="false" customHeight="false" outlineLevel="0" collapsed="false">
      <c r="A15" s="3" t="n">
        <v>14</v>
      </c>
      <c r="B15" s="3" t="n">
        <v>13</v>
      </c>
      <c r="C15" s="3" t="n">
        <v>0</v>
      </c>
      <c r="D15" s="3" t="n">
        <v>0</v>
      </c>
      <c r="E15" s="3" t="n">
        <v>13</v>
      </c>
      <c r="F15" s="24" t="n">
        <v>0.0582036376</v>
      </c>
    </row>
    <row r="16" customFormat="false" ht="15" hidden="false" customHeight="false" outlineLevel="0" collapsed="false">
      <c r="A16" s="3" t="n">
        <v>15</v>
      </c>
      <c r="B16" s="3" t="n">
        <v>14</v>
      </c>
      <c r="C16" s="3" t="n">
        <v>0</v>
      </c>
      <c r="D16" s="3" t="n">
        <v>0</v>
      </c>
      <c r="E16" s="3" t="n">
        <v>14</v>
      </c>
      <c r="F16" s="24" t="n">
        <v>0.0582036376</v>
      </c>
    </row>
    <row r="17" customFormat="false" ht="15" hidden="false" customHeight="false" outlineLevel="0" collapsed="false">
      <c r="A17" s="3" t="n">
        <v>16</v>
      </c>
      <c r="B17" s="3" t="n">
        <v>15</v>
      </c>
      <c r="C17" s="3" t="n">
        <v>0</v>
      </c>
      <c r="D17" s="3" t="n">
        <v>0</v>
      </c>
      <c r="E17" s="3" t="n">
        <v>15</v>
      </c>
      <c r="F17" s="24" t="n">
        <v>0.0582036376</v>
      </c>
    </row>
    <row r="18" customFormat="false" ht="15" hidden="false" customHeight="false" outlineLevel="0" collapsed="false">
      <c r="A18" s="3" t="n">
        <v>17</v>
      </c>
      <c r="B18" s="3" t="n">
        <v>16</v>
      </c>
      <c r="C18" s="3" t="n">
        <v>0</v>
      </c>
      <c r="D18" s="3" t="n">
        <v>0</v>
      </c>
      <c r="E18" s="3" t="n">
        <v>16</v>
      </c>
      <c r="F18" s="24" t="n">
        <v>0.0582036376</v>
      </c>
    </row>
    <row r="19" customFormat="false" ht="15" hidden="false" customHeight="false" outlineLevel="0" collapsed="false">
      <c r="A19" s="3" t="n">
        <v>18</v>
      </c>
      <c r="B19" s="3" t="n">
        <v>17</v>
      </c>
      <c r="C19" s="3" t="n">
        <v>0</v>
      </c>
      <c r="D19" s="3" t="n">
        <v>0</v>
      </c>
      <c r="E19" s="3" t="n">
        <v>17</v>
      </c>
      <c r="F19" s="24" t="n">
        <v>0.0582036376</v>
      </c>
    </row>
    <row r="20" customFormat="false" ht="15" hidden="false" customHeight="false" outlineLevel="0" collapsed="false">
      <c r="A20" s="3" t="n">
        <v>19</v>
      </c>
      <c r="B20" s="3" t="n">
        <v>18</v>
      </c>
      <c r="C20" s="3" t="n">
        <v>0</v>
      </c>
      <c r="D20" s="3" t="n">
        <v>0</v>
      </c>
      <c r="E20" s="3" t="n">
        <v>18</v>
      </c>
      <c r="F20" s="24" t="n">
        <v>0.0582036376</v>
      </c>
    </row>
    <row r="21" customFormat="false" ht="15" hidden="false" customHeight="false" outlineLevel="0" collapsed="false">
      <c r="A21" s="3" t="n">
        <v>20</v>
      </c>
      <c r="B21" s="3" t="n">
        <v>19</v>
      </c>
      <c r="C21" s="3" t="n">
        <v>0</v>
      </c>
      <c r="D21" s="3" t="n">
        <v>0</v>
      </c>
      <c r="E21" s="3" t="n">
        <v>19</v>
      </c>
      <c r="F21" s="24" t="n">
        <v>0.0582036376</v>
      </c>
    </row>
    <row r="22" customFormat="false" ht="15" hidden="false" customHeight="false" outlineLevel="0" collapsed="false">
      <c r="A22" s="3" t="n">
        <v>21</v>
      </c>
      <c r="B22" s="3" t="n">
        <v>20</v>
      </c>
      <c r="C22" s="3" t="n">
        <v>0</v>
      </c>
      <c r="D22" s="3" t="n">
        <v>0</v>
      </c>
      <c r="E22" s="3" t="n">
        <v>20</v>
      </c>
      <c r="F22" s="24" t="n">
        <v>0.0582036376</v>
      </c>
    </row>
    <row r="23" customFormat="false" ht="15" hidden="false" customHeight="false" outlineLevel="0" collapsed="false">
      <c r="A23" s="3" t="n">
        <v>22</v>
      </c>
      <c r="B23" s="3" t="n">
        <v>21</v>
      </c>
      <c r="C23" s="3" t="n">
        <v>0</v>
      </c>
      <c r="D23" s="3" t="n">
        <v>0</v>
      </c>
      <c r="E23" s="3" t="n">
        <v>21</v>
      </c>
      <c r="F23" s="24" t="n">
        <v>0.0582036376</v>
      </c>
    </row>
    <row r="24" customFormat="false" ht="15" hidden="false" customHeight="false" outlineLevel="0" collapsed="false">
      <c r="A24" s="3" t="n">
        <v>23</v>
      </c>
      <c r="B24" s="3" t="n">
        <v>22</v>
      </c>
      <c r="C24" s="3" t="n">
        <v>0</v>
      </c>
      <c r="D24" s="3" t="n">
        <v>0</v>
      </c>
      <c r="E24" s="3" t="n">
        <v>22</v>
      </c>
      <c r="F24" s="24" t="n">
        <v>0.0582036376</v>
      </c>
    </row>
    <row r="25" customFormat="false" ht="15" hidden="false" customHeight="false" outlineLevel="0" collapsed="false">
      <c r="A25" s="3" t="n">
        <v>24</v>
      </c>
      <c r="B25" s="3" t="n">
        <v>23</v>
      </c>
      <c r="C25" s="3" t="n">
        <v>0</v>
      </c>
      <c r="D25" s="3" t="n">
        <v>0</v>
      </c>
      <c r="E25" s="3" t="n">
        <v>23</v>
      </c>
      <c r="F25" s="24" t="n">
        <v>0.0582036376</v>
      </c>
    </row>
    <row r="26" customFormat="false" ht="15" hidden="false" customHeight="false" outlineLevel="0" collapsed="false">
      <c r="A26" s="3" t="n">
        <v>25</v>
      </c>
      <c r="B26" s="3" t="n">
        <v>24</v>
      </c>
      <c r="C26" s="3" t="n">
        <v>0</v>
      </c>
      <c r="D26" s="3" t="n">
        <v>0</v>
      </c>
      <c r="E26" s="3" t="n">
        <v>24</v>
      </c>
      <c r="F26" s="24" t="n">
        <v>0.0582036376</v>
      </c>
    </row>
    <row r="27" customFormat="false" ht="15" hidden="false" customHeight="false" outlineLevel="0" collapsed="false">
      <c r="A27" s="3" t="n">
        <v>26</v>
      </c>
      <c r="B27" s="3" t="n">
        <v>25</v>
      </c>
      <c r="C27" s="3" t="n">
        <v>0</v>
      </c>
      <c r="D27" s="3" t="n">
        <v>0</v>
      </c>
      <c r="E27" s="3" t="n">
        <v>25</v>
      </c>
      <c r="F27" s="24" t="n">
        <v>0.0582036376</v>
      </c>
    </row>
    <row r="28" customFormat="false" ht="15" hidden="false" customHeight="false" outlineLevel="0" collapsed="false">
      <c r="A28" s="3" t="n">
        <v>27</v>
      </c>
      <c r="B28" s="3" t="n">
        <v>26</v>
      </c>
      <c r="C28" s="3" t="n">
        <v>0</v>
      </c>
      <c r="D28" s="3" t="n">
        <v>0</v>
      </c>
      <c r="E28" s="3" t="n">
        <v>26</v>
      </c>
      <c r="F28" s="24" t="n">
        <v>0.0582036376</v>
      </c>
    </row>
    <row r="29" customFormat="false" ht="15" hidden="false" customHeight="false" outlineLevel="0" collapsed="false">
      <c r="A29" s="3" t="n">
        <v>28</v>
      </c>
      <c r="B29" s="3" t="n">
        <v>27</v>
      </c>
      <c r="C29" s="3" t="n">
        <v>0</v>
      </c>
      <c r="D29" s="3" t="n">
        <v>0</v>
      </c>
      <c r="E29" s="3" t="n">
        <v>27</v>
      </c>
      <c r="F29" s="24" t="n">
        <v>0.304429382</v>
      </c>
    </row>
    <row r="30" customFormat="false" ht="15" hidden="false" customHeight="false" outlineLevel="0" collapsed="false">
      <c r="A30" s="3" t="n">
        <v>29</v>
      </c>
      <c r="B30" s="3" t="n">
        <v>28</v>
      </c>
      <c r="C30" s="3" t="n">
        <v>0</v>
      </c>
      <c r="D30" s="3" t="n">
        <v>1</v>
      </c>
      <c r="E30" s="3" t="n">
        <v>0</v>
      </c>
      <c r="F30" s="24" t="n">
        <v>0.10001415</v>
      </c>
    </row>
    <row r="31" customFormat="false" ht="15" hidden="false" customHeight="false" outlineLevel="0" collapsed="false">
      <c r="A31" s="3" t="n">
        <v>30</v>
      </c>
      <c r="B31" s="3" t="n">
        <v>29</v>
      </c>
      <c r="C31" s="3" t="n">
        <v>0</v>
      </c>
      <c r="D31" s="3" t="n">
        <v>1</v>
      </c>
      <c r="E31" s="3" t="n">
        <v>1</v>
      </c>
      <c r="F31" s="24" t="n">
        <v>0</v>
      </c>
    </row>
    <row r="32" customFormat="false" ht="15" hidden="false" customHeight="false" outlineLevel="0" collapsed="false">
      <c r="A32" s="3" t="n">
        <v>31</v>
      </c>
      <c r="B32" s="3" t="n">
        <v>30</v>
      </c>
      <c r="C32" s="3" t="n">
        <v>0</v>
      </c>
      <c r="D32" s="3" t="n">
        <v>1</v>
      </c>
      <c r="E32" s="3" t="n">
        <v>2</v>
      </c>
      <c r="F32" s="24" t="n">
        <v>0</v>
      </c>
    </row>
    <row r="33" customFormat="false" ht="15" hidden="false" customHeight="false" outlineLevel="0" collapsed="false">
      <c r="A33" s="3" t="n">
        <v>32</v>
      </c>
      <c r="B33" s="3" t="n">
        <v>31</v>
      </c>
      <c r="C33" s="3" t="n">
        <v>0</v>
      </c>
      <c r="D33" s="3" t="n">
        <v>1</v>
      </c>
      <c r="E33" s="3" t="n">
        <v>3</v>
      </c>
      <c r="F33" s="24" t="n">
        <v>0</v>
      </c>
    </row>
    <row r="34" customFormat="false" ht="15" hidden="false" customHeight="false" outlineLevel="0" collapsed="false">
      <c r="A34" s="3" t="n">
        <v>33</v>
      </c>
      <c r="B34" s="3" t="n">
        <v>32</v>
      </c>
      <c r="C34" s="3" t="n">
        <v>0</v>
      </c>
      <c r="D34" s="3" t="n">
        <v>1</v>
      </c>
      <c r="E34" s="3" t="n">
        <v>4</v>
      </c>
      <c r="F34" s="24" t="n">
        <v>0</v>
      </c>
    </row>
    <row r="35" customFormat="false" ht="15" hidden="false" customHeight="false" outlineLevel="0" collapsed="false">
      <c r="A35" s="3" t="n">
        <v>34</v>
      </c>
      <c r="B35" s="3" t="n">
        <v>33</v>
      </c>
      <c r="C35" s="3" t="n">
        <v>0</v>
      </c>
      <c r="D35" s="3" t="n">
        <v>1</v>
      </c>
      <c r="E35" s="3" t="n">
        <v>5</v>
      </c>
      <c r="F35" s="24" t="n">
        <v>0</v>
      </c>
    </row>
    <row r="36" customFormat="false" ht="15" hidden="false" customHeight="false" outlineLevel="0" collapsed="false">
      <c r="A36" s="3" t="n">
        <v>35</v>
      </c>
      <c r="B36" s="3" t="n">
        <v>34</v>
      </c>
      <c r="C36" s="3" t="n">
        <v>0</v>
      </c>
      <c r="D36" s="3" t="n">
        <v>1</v>
      </c>
      <c r="E36" s="3" t="n">
        <v>6</v>
      </c>
      <c r="F36" s="24" t="n">
        <v>0</v>
      </c>
    </row>
    <row r="37" customFormat="false" ht="15" hidden="false" customHeight="false" outlineLevel="0" collapsed="false">
      <c r="A37" s="3" t="n">
        <v>36</v>
      </c>
      <c r="B37" s="3" t="n">
        <v>35</v>
      </c>
      <c r="C37" s="3" t="n">
        <v>0</v>
      </c>
      <c r="D37" s="3" t="n">
        <v>1</v>
      </c>
      <c r="E37" s="3" t="n">
        <v>7</v>
      </c>
      <c r="F37" s="24" t="n">
        <v>0</v>
      </c>
    </row>
    <row r="38" customFormat="false" ht="15" hidden="false" customHeight="false" outlineLevel="0" collapsed="false">
      <c r="A38" s="3" t="n">
        <v>37</v>
      </c>
      <c r="B38" s="3" t="n">
        <v>36</v>
      </c>
      <c r="C38" s="3" t="n">
        <v>0</v>
      </c>
      <c r="D38" s="3" t="n">
        <v>1</v>
      </c>
      <c r="E38" s="3" t="n">
        <v>8</v>
      </c>
      <c r="F38" s="24" t="n">
        <v>0</v>
      </c>
    </row>
    <row r="39" customFormat="false" ht="15" hidden="false" customHeight="false" outlineLevel="0" collapsed="false">
      <c r="A39" s="3" t="n">
        <v>38</v>
      </c>
      <c r="B39" s="3" t="n">
        <v>37</v>
      </c>
      <c r="C39" s="3" t="n">
        <v>0</v>
      </c>
      <c r="D39" s="3" t="n">
        <v>1</v>
      </c>
      <c r="E39" s="3" t="n">
        <v>9</v>
      </c>
      <c r="F39" s="24" t="n">
        <v>0</v>
      </c>
    </row>
    <row r="40" customFormat="false" ht="15" hidden="false" customHeight="false" outlineLevel="0" collapsed="false">
      <c r="A40" s="3" t="n">
        <v>39</v>
      </c>
      <c r="B40" s="3" t="n">
        <v>38</v>
      </c>
      <c r="C40" s="3" t="n">
        <v>0</v>
      </c>
      <c r="D40" s="3" t="n">
        <v>1</v>
      </c>
      <c r="E40" s="3" t="n">
        <v>10</v>
      </c>
      <c r="F40" s="24" t="n">
        <v>0</v>
      </c>
    </row>
    <row r="41" customFormat="false" ht="15" hidden="false" customHeight="false" outlineLevel="0" collapsed="false">
      <c r="A41" s="3" t="n">
        <v>40</v>
      </c>
      <c r="B41" s="3" t="n">
        <v>39</v>
      </c>
      <c r="C41" s="3" t="n">
        <v>0</v>
      </c>
      <c r="D41" s="3" t="n">
        <v>1</v>
      </c>
      <c r="E41" s="3" t="n">
        <v>11</v>
      </c>
      <c r="F41" s="24" t="n">
        <v>0</v>
      </c>
    </row>
    <row r="42" customFormat="false" ht="15" hidden="false" customHeight="false" outlineLevel="0" collapsed="false">
      <c r="A42" s="3" t="n">
        <v>41</v>
      </c>
      <c r="B42" s="3" t="n">
        <v>40</v>
      </c>
      <c r="C42" s="3" t="n">
        <v>0</v>
      </c>
      <c r="D42" s="3" t="n">
        <v>1</v>
      </c>
      <c r="E42" s="3" t="n">
        <v>12</v>
      </c>
      <c r="F42" s="24" t="n">
        <v>0</v>
      </c>
    </row>
    <row r="43" customFormat="false" ht="15" hidden="false" customHeight="false" outlineLevel="0" collapsed="false">
      <c r="A43" s="3" t="n">
        <v>42</v>
      </c>
      <c r="B43" s="3" t="n">
        <v>41</v>
      </c>
      <c r="C43" s="3" t="n">
        <v>0</v>
      </c>
      <c r="D43" s="3" t="n">
        <v>1</v>
      </c>
      <c r="E43" s="3" t="n">
        <v>13</v>
      </c>
      <c r="F43" s="24" t="n">
        <v>0</v>
      </c>
    </row>
    <row r="44" customFormat="false" ht="15" hidden="false" customHeight="false" outlineLevel="0" collapsed="false">
      <c r="A44" s="3" t="n">
        <v>43</v>
      </c>
      <c r="B44" s="3" t="n">
        <v>42</v>
      </c>
      <c r="C44" s="3" t="n">
        <v>0</v>
      </c>
      <c r="D44" s="3" t="n">
        <v>1</v>
      </c>
      <c r="E44" s="3" t="n">
        <v>14</v>
      </c>
      <c r="F44" s="24" t="n">
        <v>0</v>
      </c>
    </row>
    <row r="45" customFormat="false" ht="15" hidden="false" customHeight="false" outlineLevel="0" collapsed="false">
      <c r="A45" s="3" t="n">
        <v>44</v>
      </c>
      <c r="B45" s="3" t="n">
        <v>43</v>
      </c>
      <c r="C45" s="3" t="n">
        <v>0</v>
      </c>
      <c r="D45" s="3" t="n">
        <v>1</v>
      </c>
      <c r="E45" s="3" t="n">
        <v>15</v>
      </c>
      <c r="F45" s="24" t="n">
        <v>0</v>
      </c>
    </row>
    <row r="46" customFormat="false" ht="15" hidden="false" customHeight="false" outlineLevel="0" collapsed="false">
      <c r="A46" s="3" t="n">
        <v>45</v>
      </c>
      <c r="B46" s="3" t="n">
        <v>44</v>
      </c>
      <c r="C46" s="3" t="n">
        <v>0</v>
      </c>
      <c r="D46" s="3" t="n">
        <v>1</v>
      </c>
      <c r="E46" s="3" t="n">
        <v>16</v>
      </c>
      <c r="F46" s="24" t="n">
        <v>0</v>
      </c>
    </row>
    <row r="47" customFormat="false" ht="15" hidden="false" customHeight="false" outlineLevel="0" collapsed="false">
      <c r="A47" s="3" t="n">
        <v>46</v>
      </c>
      <c r="B47" s="3" t="n">
        <v>45</v>
      </c>
      <c r="C47" s="3" t="n">
        <v>0</v>
      </c>
      <c r="D47" s="3" t="n">
        <v>1</v>
      </c>
      <c r="E47" s="3" t="n">
        <v>17</v>
      </c>
      <c r="F47" s="24" t="n">
        <v>0</v>
      </c>
    </row>
    <row r="48" customFormat="false" ht="15" hidden="false" customHeight="false" outlineLevel="0" collapsed="false">
      <c r="A48" s="3" t="n">
        <v>47</v>
      </c>
      <c r="B48" s="3" t="n">
        <v>46</v>
      </c>
      <c r="C48" s="3" t="n">
        <v>0</v>
      </c>
      <c r="D48" s="3" t="n">
        <v>1</v>
      </c>
      <c r="E48" s="3" t="n">
        <v>18</v>
      </c>
      <c r="F48" s="24" t="n">
        <v>0</v>
      </c>
    </row>
    <row r="49" customFormat="false" ht="15" hidden="false" customHeight="false" outlineLevel="0" collapsed="false">
      <c r="A49" s="3" t="n">
        <v>48</v>
      </c>
      <c r="B49" s="3" t="n">
        <v>47</v>
      </c>
      <c r="C49" s="3" t="n">
        <v>0</v>
      </c>
      <c r="D49" s="3" t="n">
        <v>1</v>
      </c>
      <c r="E49" s="3" t="n">
        <v>19</v>
      </c>
      <c r="F49" s="24" t="n">
        <v>0</v>
      </c>
    </row>
    <row r="50" customFormat="false" ht="15" hidden="false" customHeight="false" outlineLevel="0" collapsed="false">
      <c r="A50" s="3" t="n">
        <v>49</v>
      </c>
      <c r="B50" s="3" t="n">
        <v>48</v>
      </c>
      <c r="C50" s="3" t="n">
        <v>0</v>
      </c>
      <c r="D50" s="3" t="n">
        <v>1</v>
      </c>
      <c r="E50" s="3" t="n">
        <v>20</v>
      </c>
      <c r="F50" s="24" t="n">
        <v>0</v>
      </c>
    </row>
    <row r="51" customFormat="false" ht="15" hidden="false" customHeight="false" outlineLevel="0" collapsed="false">
      <c r="A51" s="3" t="n">
        <v>50</v>
      </c>
      <c r="B51" s="3" t="n">
        <v>49</v>
      </c>
      <c r="C51" s="3" t="n">
        <v>0</v>
      </c>
      <c r="D51" s="3" t="n">
        <v>1</v>
      </c>
      <c r="E51" s="3" t="n">
        <v>21</v>
      </c>
      <c r="F51" s="24" t="n">
        <v>0</v>
      </c>
    </row>
    <row r="52" customFormat="false" ht="15" hidden="false" customHeight="false" outlineLevel="0" collapsed="false">
      <c r="A52" s="3" t="n">
        <v>51</v>
      </c>
      <c r="B52" s="3" t="n">
        <v>50</v>
      </c>
      <c r="C52" s="3" t="n">
        <v>0</v>
      </c>
      <c r="D52" s="3" t="n">
        <v>1</v>
      </c>
      <c r="E52" s="3" t="n">
        <v>22</v>
      </c>
      <c r="F52" s="24" t="n">
        <v>0</v>
      </c>
    </row>
    <row r="53" customFormat="false" ht="15" hidden="false" customHeight="false" outlineLevel="0" collapsed="false">
      <c r="A53" s="3" t="n">
        <v>52</v>
      </c>
      <c r="B53" s="3" t="n">
        <v>51</v>
      </c>
      <c r="C53" s="3" t="n">
        <v>0</v>
      </c>
      <c r="D53" s="3" t="n">
        <v>1</v>
      </c>
      <c r="E53" s="3" t="n">
        <v>23</v>
      </c>
      <c r="F53" s="24" t="n">
        <v>0</v>
      </c>
    </row>
    <row r="54" customFormat="false" ht="15" hidden="false" customHeight="false" outlineLevel="0" collapsed="false">
      <c r="A54" s="3" t="n">
        <v>53</v>
      </c>
      <c r="B54" s="3" t="n">
        <v>52</v>
      </c>
      <c r="C54" s="3" t="n">
        <v>0</v>
      </c>
      <c r="D54" s="3" t="n">
        <v>1</v>
      </c>
      <c r="E54" s="3" t="n">
        <v>24</v>
      </c>
      <c r="F54" s="24" t="n">
        <v>0</v>
      </c>
    </row>
    <row r="55" customFormat="false" ht="15" hidden="false" customHeight="false" outlineLevel="0" collapsed="false">
      <c r="A55" s="3" t="n">
        <v>54</v>
      </c>
      <c r="B55" s="3" t="n">
        <v>53</v>
      </c>
      <c r="C55" s="3" t="n">
        <v>0</v>
      </c>
      <c r="D55" s="3" t="n">
        <v>1</v>
      </c>
      <c r="E55" s="3" t="n">
        <v>25</v>
      </c>
      <c r="F55" s="24" t="n">
        <v>0</v>
      </c>
    </row>
    <row r="56" customFormat="false" ht="15" hidden="false" customHeight="false" outlineLevel="0" collapsed="false">
      <c r="A56" s="3" t="n">
        <v>55</v>
      </c>
      <c r="B56" s="3" t="n">
        <v>54</v>
      </c>
      <c r="C56" s="3" t="n">
        <v>0</v>
      </c>
      <c r="D56" s="3" t="n">
        <v>1</v>
      </c>
      <c r="E56" s="3" t="n">
        <v>26</v>
      </c>
      <c r="F56" s="24" t="n">
        <v>0</v>
      </c>
    </row>
    <row r="57" customFormat="false" ht="15" hidden="false" customHeight="false" outlineLevel="0" collapsed="false">
      <c r="A57" s="3" t="n">
        <v>56</v>
      </c>
      <c r="B57" s="3" t="n">
        <v>55</v>
      </c>
      <c r="C57" s="3" t="n">
        <v>0</v>
      </c>
      <c r="D57" s="3" t="n">
        <v>1</v>
      </c>
      <c r="E57" s="3" t="n">
        <v>27</v>
      </c>
      <c r="F57" s="24" t="n">
        <v>0.0673455298</v>
      </c>
    </row>
    <row r="58" customFormat="false" ht="15" hidden="false" customHeight="false" outlineLevel="0" collapsed="false">
      <c r="A58" s="3" t="n">
        <v>57</v>
      </c>
      <c r="B58" s="3" t="n">
        <v>56</v>
      </c>
      <c r="C58" s="3" t="n">
        <v>0</v>
      </c>
      <c r="D58" s="3" t="n">
        <v>2</v>
      </c>
      <c r="E58" s="3" t="n">
        <v>0</v>
      </c>
      <c r="F58" s="24" t="n">
        <v>0.10001415</v>
      </c>
    </row>
    <row r="59" customFormat="false" ht="15" hidden="false" customHeight="false" outlineLevel="0" collapsed="false">
      <c r="A59" s="3" t="n">
        <v>58</v>
      </c>
      <c r="B59" s="3" t="n">
        <v>57</v>
      </c>
      <c r="C59" s="3" t="n">
        <v>0</v>
      </c>
      <c r="D59" s="3" t="n">
        <v>2</v>
      </c>
      <c r="E59" s="3" t="n">
        <v>1</v>
      </c>
      <c r="F59" s="24" t="n">
        <v>0</v>
      </c>
    </row>
    <row r="60" customFormat="false" ht="15" hidden="false" customHeight="false" outlineLevel="0" collapsed="false">
      <c r="A60" s="3" t="n">
        <v>59</v>
      </c>
      <c r="B60" s="3" t="n">
        <v>58</v>
      </c>
      <c r="C60" s="3" t="n">
        <v>0</v>
      </c>
      <c r="D60" s="3" t="n">
        <v>2</v>
      </c>
      <c r="E60" s="3" t="n">
        <v>2</v>
      </c>
      <c r="F60" s="24" t="n">
        <v>0</v>
      </c>
    </row>
    <row r="61" customFormat="false" ht="15" hidden="false" customHeight="false" outlineLevel="0" collapsed="false">
      <c r="A61" s="3" t="n">
        <v>60</v>
      </c>
      <c r="B61" s="3" t="n">
        <v>59</v>
      </c>
      <c r="C61" s="3" t="n">
        <v>0</v>
      </c>
      <c r="D61" s="3" t="n">
        <v>2</v>
      </c>
      <c r="E61" s="3" t="n">
        <v>3</v>
      </c>
      <c r="F61" s="24" t="n">
        <v>0</v>
      </c>
    </row>
    <row r="62" customFormat="false" ht="15" hidden="false" customHeight="false" outlineLevel="0" collapsed="false">
      <c r="A62" s="3" t="n">
        <v>61</v>
      </c>
      <c r="B62" s="3" t="n">
        <v>60</v>
      </c>
      <c r="C62" s="3" t="n">
        <v>0</v>
      </c>
      <c r="D62" s="3" t="n">
        <v>2</v>
      </c>
      <c r="E62" s="3" t="n">
        <v>4</v>
      </c>
      <c r="F62" s="24" t="n">
        <v>0</v>
      </c>
    </row>
    <row r="63" customFormat="false" ht="15" hidden="false" customHeight="false" outlineLevel="0" collapsed="false">
      <c r="A63" s="3" t="n">
        <v>62</v>
      </c>
      <c r="B63" s="3" t="n">
        <v>61</v>
      </c>
      <c r="C63" s="3" t="n">
        <v>0</v>
      </c>
      <c r="D63" s="3" t="n">
        <v>2</v>
      </c>
      <c r="E63" s="3" t="n">
        <v>5</v>
      </c>
      <c r="F63" s="24" t="n">
        <v>0</v>
      </c>
    </row>
    <row r="64" customFormat="false" ht="15" hidden="false" customHeight="false" outlineLevel="0" collapsed="false">
      <c r="A64" s="3" t="n">
        <v>63</v>
      </c>
      <c r="B64" s="3" t="n">
        <v>62</v>
      </c>
      <c r="C64" s="3" t="n">
        <v>0</v>
      </c>
      <c r="D64" s="3" t="n">
        <v>2</v>
      </c>
      <c r="E64" s="3" t="n">
        <v>6</v>
      </c>
      <c r="F64" s="24" t="n">
        <v>0</v>
      </c>
    </row>
    <row r="65" customFormat="false" ht="15" hidden="false" customHeight="false" outlineLevel="0" collapsed="false">
      <c r="A65" s="3" t="n">
        <v>64</v>
      </c>
      <c r="B65" s="3" t="n">
        <v>63</v>
      </c>
      <c r="C65" s="3" t="n">
        <v>0</v>
      </c>
      <c r="D65" s="3" t="n">
        <v>2</v>
      </c>
      <c r="E65" s="3" t="n">
        <v>7</v>
      </c>
      <c r="F65" s="24" t="n">
        <v>0</v>
      </c>
    </row>
    <row r="66" customFormat="false" ht="15" hidden="false" customHeight="false" outlineLevel="0" collapsed="false">
      <c r="A66" s="3" t="n">
        <v>65</v>
      </c>
      <c r="B66" s="3" t="n">
        <v>64</v>
      </c>
      <c r="C66" s="3" t="n">
        <v>0</v>
      </c>
      <c r="D66" s="3" t="n">
        <v>2</v>
      </c>
      <c r="E66" s="3" t="n">
        <v>8</v>
      </c>
      <c r="F66" s="24" t="n">
        <v>0</v>
      </c>
    </row>
    <row r="67" customFormat="false" ht="15" hidden="false" customHeight="false" outlineLevel="0" collapsed="false">
      <c r="A67" s="3" t="n">
        <v>66</v>
      </c>
      <c r="B67" s="3" t="n">
        <v>65</v>
      </c>
      <c r="C67" s="3" t="n">
        <v>0</v>
      </c>
      <c r="D67" s="3" t="n">
        <v>2</v>
      </c>
      <c r="E67" s="3" t="n">
        <v>9</v>
      </c>
      <c r="F67" s="24" t="n">
        <v>0</v>
      </c>
    </row>
    <row r="68" customFormat="false" ht="15" hidden="false" customHeight="false" outlineLevel="0" collapsed="false">
      <c r="A68" s="3" t="n">
        <v>67</v>
      </c>
      <c r="B68" s="3" t="n">
        <v>66</v>
      </c>
      <c r="C68" s="3" t="n">
        <v>0</v>
      </c>
      <c r="D68" s="3" t="n">
        <v>2</v>
      </c>
      <c r="E68" s="3" t="n">
        <v>10</v>
      </c>
      <c r="F68" s="24" t="n">
        <v>0</v>
      </c>
    </row>
    <row r="69" customFormat="false" ht="15" hidden="false" customHeight="false" outlineLevel="0" collapsed="false">
      <c r="A69" s="3" t="n">
        <v>68</v>
      </c>
      <c r="B69" s="3" t="n">
        <v>67</v>
      </c>
      <c r="C69" s="3" t="n">
        <v>0</v>
      </c>
      <c r="D69" s="3" t="n">
        <v>2</v>
      </c>
      <c r="E69" s="3" t="n">
        <v>11</v>
      </c>
      <c r="F69" s="24" t="n">
        <v>0</v>
      </c>
    </row>
    <row r="70" customFormat="false" ht="15" hidden="false" customHeight="false" outlineLevel="0" collapsed="false">
      <c r="A70" s="3" t="n">
        <v>69</v>
      </c>
      <c r="B70" s="3" t="n">
        <v>68</v>
      </c>
      <c r="C70" s="3" t="n">
        <v>0</v>
      </c>
      <c r="D70" s="3" t="n">
        <v>2</v>
      </c>
      <c r="E70" s="3" t="n">
        <v>12</v>
      </c>
      <c r="F70" s="24" t="n">
        <v>0</v>
      </c>
    </row>
    <row r="71" customFormat="false" ht="15" hidden="false" customHeight="false" outlineLevel="0" collapsed="false">
      <c r="A71" s="3" t="n">
        <v>70</v>
      </c>
      <c r="B71" s="3" t="n">
        <v>69</v>
      </c>
      <c r="C71" s="3" t="n">
        <v>0</v>
      </c>
      <c r="D71" s="3" t="n">
        <v>2</v>
      </c>
      <c r="E71" s="3" t="n">
        <v>13</v>
      </c>
      <c r="F71" s="24" t="n">
        <v>0</v>
      </c>
    </row>
    <row r="72" customFormat="false" ht="15" hidden="false" customHeight="false" outlineLevel="0" collapsed="false">
      <c r="A72" s="3" t="n">
        <v>71</v>
      </c>
      <c r="B72" s="3" t="n">
        <v>70</v>
      </c>
      <c r="C72" s="3" t="n">
        <v>0</v>
      </c>
      <c r="D72" s="3" t="n">
        <v>2</v>
      </c>
      <c r="E72" s="3" t="n">
        <v>14</v>
      </c>
      <c r="F72" s="24" t="n">
        <v>0</v>
      </c>
    </row>
    <row r="73" customFormat="false" ht="15" hidden="false" customHeight="false" outlineLevel="0" collapsed="false">
      <c r="A73" s="3" t="n">
        <v>72</v>
      </c>
      <c r="B73" s="3" t="n">
        <v>71</v>
      </c>
      <c r="C73" s="3" t="n">
        <v>0</v>
      </c>
      <c r="D73" s="3" t="n">
        <v>2</v>
      </c>
      <c r="E73" s="3" t="n">
        <v>15</v>
      </c>
      <c r="F73" s="24" t="n">
        <v>0</v>
      </c>
    </row>
    <row r="74" customFormat="false" ht="15" hidden="false" customHeight="false" outlineLevel="0" collapsed="false">
      <c r="A74" s="3" t="n">
        <v>73</v>
      </c>
      <c r="B74" s="3" t="n">
        <v>72</v>
      </c>
      <c r="C74" s="3" t="n">
        <v>0</v>
      </c>
      <c r="D74" s="3" t="n">
        <v>2</v>
      </c>
      <c r="E74" s="3" t="n">
        <v>16</v>
      </c>
      <c r="F74" s="24" t="n">
        <v>0</v>
      </c>
    </row>
    <row r="75" customFormat="false" ht="15" hidden="false" customHeight="false" outlineLevel="0" collapsed="false">
      <c r="A75" s="3" t="n">
        <v>74</v>
      </c>
      <c r="B75" s="3" t="n">
        <v>73</v>
      </c>
      <c r="C75" s="3" t="n">
        <v>0</v>
      </c>
      <c r="D75" s="3" t="n">
        <v>2</v>
      </c>
      <c r="E75" s="3" t="n">
        <v>17</v>
      </c>
      <c r="F75" s="24" t="n">
        <v>0</v>
      </c>
    </row>
    <row r="76" customFormat="false" ht="15" hidden="false" customHeight="false" outlineLevel="0" collapsed="false">
      <c r="A76" s="3" t="n">
        <v>75</v>
      </c>
      <c r="B76" s="3" t="n">
        <v>74</v>
      </c>
      <c r="C76" s="3" t="n">
        <v>0</v>
      </c>
      <c r="D76" s="3" t="n">
        <v>2</v>
      </c>
      <c r="E76" s="3" t="n">
        <v>18</v>
      </c>
      <c r="F76" s="24" t="n">
        <v>0</v>
      </c>
    </row>
    <row r="77" customFormat="false" ht="15" hidden="false" customHeight="false" outlineLevel="0" collapsed="false">
      <c r="A77" s="3" t="n">
        <v>76</v>
      </c>
      <c r="B77" s="3" t="n">
        <v>75</v>
      </c>
      <c r="C77" s="3" t="n">
        <v>0</v>
      </c>
      <c r="D77" s="3" t="n">
        <v>2</v>
      </c>
      <c r="E77" s="3" t="n">
        <v>19</v>
      </c>
      <c r="F77" s="24" t="n">
        <v>0</v>
      </c>
    </row>
    <row r="78" customFormat="false" ht="15" hidden="false" customHeight="false" outlineLevel="0" collapsed="false">
      <c r="A78" s="3" t="n">
        <v>77</v>
      </c>
      <c r="B78" s="3" t="n">
        <v>76</v>
      </c>
      <c r="C78" s="3" t="n">
        <v>0</v>
      </c>
      <c r="D78" s="3" t="n">
        <v>2</v>
      </c>
      <c r="E78" s="3" t="n">
        <v>20</v>
      </c>
      <c r="F78" s="24" t="n">
        <v>0</v>
      </c>
    </row>
    <row r="79" customFormat="false" ht="15" hidden="false" customHeight="false" outlineLevel="0" collapsed="false">
      <c r="A79" s="3" t="n">
        <v>78</v>
      </c>
      <c r="B79" s="3" t="n">
        <v>77</v>
      </c>
      <c r="C79" s="3" t="n">
        <v>0</v>
      </c>
      <c r="D79" s="3" t="n">
        <v>2</v>
      </c>
      <c r="E79" s="3" t="n">
        <v>21</v>
      </c>
      <c r="F79" s="24" t="n">
        <v>0</v>
      </c>
    </row>
    <row r="80" customFormat="false" ht="15" hidden="false" customHeight="false" outlineLevel="0" collapsed="false">
      <c r="A80" s="3" t="n">
        <v>79</v>
      </c>
      <c r="B80" s="3" t="n">
        <v>78</v>
      </c>
      <c r="C80" s="3" t="n">
        <v>0</v>
      </c>
      <c r="D80" s="3" t="n">
        <v>2</v>
      </c>
      <c r="E80" s="3" t="n">
        <v>22</v>
      </c>
      <c r="F80" s="24" t="n">
        <v>0</v>
      </c>
    </row>
    <row r="81" customFormat="false" ht="15" hidden="false" customHeight="false" outlineLevel="0" collapsed="false">
      <c r="A81" s="3" t="n">
        <v>80</v>
      </c>
      <c r="B81" s="3" t="n">
        <v>79</v>
      </c>
      <c r="C81" s="3" t="n">
        <v>0</v>
      </c>
      <c r="D81" s="3" t="n">
        <v>2</v>
      </c>
      <c r="E81" s="3" t="n">
        <v>23</v>
      </c>
      <c r="F81" s="24" t="n">
        <v>0</v>
      </c>
    </row>
    <row r="82" customFormat="false" ht="15" hidden="false" customHeight="false" outlineLevel="0" collapsed="false">
      <c r="A82" s="3" t="n">
        <v>81</v>
      </c>
      <c r="B82" s="3" t="n">
        <v>80</v>
      </c>
      <c r="C82" s="3" t="n">
        <v>0</v>
      </c>
      <c r="D82" s="3" t="n">
        <v>2</v>
      </c>
      <c r="E82" s="3" t="n">
        <v>24</v>
      </c>
      <c r="F82" s="24" t="n">
        <v>0</v>
      </c>
    </row>
    <row r="83" customFormat="false" ht="15" hidden="false" customHeight="false" outlineLevel="0" collapsed="false">
      <c r="A83" s="3" t="n">
        <v>82</v>
      </c>
      <c r="B83" s="3" t="n">
        <v>81</v>
      </c>
      <c r="C83" s="3" t="n">
        <v>0</v>
      </c>
      <c r="D83" s="3" t="n">
        <v>2</v>
      </c>
      <c r="E83" s="3" t="n">
        <v>25</v>
      </c>
      <c r="F83" s="24" t="n">
        <v>0</v>
      </c>
    </row>
    <row r="84" customFormat="false" ht="15" hidden="false" customHeight="false" outlineLevel="0" collapsed="false">
      <c r="A84" s="3" t="n">
        <v>83</v>
      </c>
      <c r="B84" s="3" t="n">
        <v>82</v>
      </c>
      <c r="C84" s="3" t="n">
        <v>0</v>
      </c>
      <c r="D84" s="3" t="n">
        <v>2</v>
      </c>
      <c r="E84" s="3" t="n">
        <v>26</v>
      </c>
      <c r="F84" s="24" t="n">
        <v>0</v>
      </c>
    </row>
    <row r="85" customFormat="false" ht="15" hidden="false" customHeight="false" outlineLevel="0" collapsed="false">
      <c r="A85" s="3" t="n">
        <v>84</v>
      </c>
      <c r="B85" s="3" t="n">
        <v>83</v>
      </c>
      <c r="C85" s="3" t="n">
        <v>0</v>
      </c>
      <c r="D85" s="3" t="n">
        <v>2</v>
      </c>
      <c r="E85" s="3" t="n">
        <v>27</v>
      </c>
      <c r="F85" s="24" t="n">
        <v>0.0673455298</v>
      </c>
    </row>
    <row r="86" customFormat="false" ht="15" hidden="false" customHeight="false" outlineLevel="0" collapsed="false">
      <c r="A86" s="3" t="n">
        <v>85</v>
      </c>
      <c r="B86" s="3" t="n">
        <v>84</v>
      </c>
      <c r="C86" s="3" t="n">
        <v>0</v>
      </c>
      <c r="D86" s="3" t="n">
        <v>3</v>
      </c>
      <c r="E86" s="3" t="n">
        <v>0</v>
      </c>
      <c r="F86" s="24" t="n">
        <v>0.10001415</v>
      </c>
    </row>
    <row r="87" customFormat="false" ht="15" hidden="false" customHeight="false" outlineLevel="0" collapsed="false">
      <c r="A87" s="3" t="n">
        <v>86</v>
      </c>
      <c r="B87" s="3" t="n">
        <v>85</v>
      </c>
      <c r="C87" s="3" t="n">
        <v>0</v>
      </c>
      <c r="D87" s="3" t="n">
        <v>3</v>
      </c>
      <c r="E87" s="3" t="n">
        <v>1</v>
      </c>
      <c r="F87" s="24" t="n">
        <v>0</v>
      </c>
    </row>
    <row r="88" customFormat="false" ht="15" hidden="false" customHeight="false" outlineLevel="0" collapsed="false">
      <c r="A88" s="3" t="n">
        <v>87</v>
      </c>
      <c r="B88" s="3" t="n">
        <v>86</v>
      </c>
      <c r="C88" s="3" t="n">
        <v>0</v>
      </c>
      <c r="D88" s="3" t="n">
        <v>3</v>
      </c>
      <c r="E88" s="3" t="n">
        <v>2</v>
      </c>
      <c r="F88" s="24" t="n">
        <v>0</v>
      </c>
    </row>
    <row r="89" customFormat="false" ht="15" hidden="false" customHeight="false" outlineLevel="0" collapsed="false">
      <c r="A89" s="3" t="n">
        <v>88</v>
      </c>
      <c r="B89" s="3" t="n">
        <v>87</v>
      </c>
      <c r="C89" s="3" t="n">
        <v>0</v>
      </c>
      <c r="D89" s="3" t="n">
        <v>3</v>
      </c>
      <c r="E89" s="3" t="n">
        <v>3</v>
      </c>
      <c r="F89" s="24" t="n">
        <v>0</v>
      </c>
    </row>
    <row r="90" customFormat="false" ht="15" hidden="false" customHeight="false" outlineLevel="0" collapsed="false">
      <c r="A90" s="3" t="n">
        <v>89</v>
      </c>
      <c r="B90" s="3" t="n">
        <v>88</v>
      </c>
      <c r="C90" s="3" t="n">
        <v>0</v>
      </c>
      <c r="D90" s="3" t="n">
        <v>3</v>
      </c>
      <c r="E90" s="3" t="n">
        <v>4</v>
      </c>
      <c r="F90" s="24" t="n">
        <v>0</v>
      </c>
    </row>
    <row r="91" customFormat="false" ht="15" hidden="false" customHeight="false" outlineLevel="0" collapsed="false">
      <c r="A91" s="3" t="n">
        <v>90</v>
      </c>
      <c r="B91" s="3" t="n">
        <v>89</v>
      </c>
      <c r="C91" s="3" t="n">
        <v>0</v>
      </c>
      <c r="D91" s="3" t="n">
        <v>3</v>
      </c>
      <c r="E91" s="3" t="n">
        <v>5</v>
      </c>
      <c r="F91" s="24" t="n">
        <v>0</v>
      </c>
    </row>
    <row r="92" customFormat="false" ht="15" hidden="false" customHeight="false" outlineLevel="0" collapsed="false">
      <c r="A92" s="3" t="n">
        <v>91</v>
      </c>
      <c r="B92" s="3" t="n">
        <v>90</v>
      </c>
      <c r="C92" s="3" t="n">
        <v>0</v>
      </c>
      <c r="D92" s="3" t="n">
        <v>3</v>
      </c>
      <c r="E92" s="3" t="n">
        <v>6</v>
      </c>
      <c r="F92" s="24" t="n">
        <v>0</v>
      </c>
    </row>
    <row r="93" customFormat="false" ht="15" hidden="false" customHeight="false" outlineLevel="0" collapsed="false">
      <c r="A93" s="3" t="n">
        <v>92</v>
      </c>
      <c r="B93" s="3" t="n">
        <v>91</v>
      </c>
      <c r="C93" s="3" t="n">
        <v>0</v>
      </c>
      <c r="D93" s="3" t="n">
        <v>3</v>
      </c>
      <c r="E93" s="3" t="n">
        <v>7</v>
      </c>
      <c r="F93" s="24" t="n">
        <v>0</v>
      </c>
    </row>
    <row r="94" customFormat="false" ht="15" hidden="false" customHeight="false" outlineLevel="0" collapsed="false">
      <c r="A94" s="3" t="n">
        <v>93</v>
      </c>
      <c r="B94" s="3" t="n">
        <v>92</v>
      </c>
      <c r="C94" s="3" t="n">
        <v>0</v>
      </c>
      <c r="D94" s="3" t="n">
        <v>3</v>
      </c>
      <c r="E94" s="3" t="n">
        <v>8</v>
      </c>
      <c r="F94" s="24" t="n">
        <v>0</v>
      </c>
    </row>
    <row r="95" customFormat="false" ht="15" hidden="false" customHeight="false" outlineLevel="0" collapsed="false">
      <c r="A95" s="3" t="n">
        <v>94</v>
      </c>
      <c r="B95" s="3" t="n">
        <v>93</v>
      </c>
      <c r="C95" s="3" t="n">
        <v>0</v>
      </c>
      <c r="D95" s="3" t="n">
        <v>3</v>
      </c>
      <c r="E95" s="3" t="n">
        <v>9</v>
      </c>
      <c r="F95" s="24" t="n">
        <v>0</v>
      </c>
    </row>
    <row r="96" customFormat="false" ht="15" hidden="false" customHeight="false" outlineLevel="0" collapsed="false">
      <c r="A96" s="3" t="n">
        <v>95</v>
      </c>
      <c r="B96" s="3" t="n">
        <v>94</v>
      </c>
      <c r="C96" s="3" t="n">
        <v>0</v>
      </c>
      <c r="D96" s="3" t="n">
        <v>3</v>
      </c>
      <c r="E96" s="3" t="n">
        <v>10</v>
      </c>
      <c r="F96" s="24" t="n">
        <v>0</v>
      </c>
    </row>
    <row r="97" customFormat="false" ht="15" hidden="false" customHeight="false" outlineLevel="0" collapsed="false">
      <c r="A97" s="3" t="n">
        <v>96</v>
      </c>
      <c r="B97" s="3" t="n">
        <v>95</v>
      </c>
      <c r="C97" s="3" t="n">
        <v>0</v>
      </c>
      <c r="D97" s="3" t="n">
        <v>3</v>
      </c>
      <c r="E97" s="3" t="n">
        <v>11</v>
      </c>
      <c r="F97" s="24" t="n">
        <v>0</v>
      </c>
    </row>
    <row r="98" customFormat="false" ht="15" hidden="false" customHeight="false" outlineLevel="0" collapsed="false">
      <c r="A98" s="3" t="n">
        <v>97</v>
      </c>
      <c r="B98" s="3" t="n">
        <v>96</v>
      </c>
      <c r="C98" s="3" t="n">
        <v>0</v>
      </c>
      <c r="D98" s="3" t="n">
        <v>3</v>
      </c>
      <c r="E98" s="3" t="n">
        <v>12</v>
      </c>
      <c r="F98" s="24" t="n">
        <v>0</v>
      </c>
    </row>
    <row r="99" customFormat="false" ht="15" hidden="false" customHeight="false" outlineLevel="0" collapsed="false">
      <c r="A99" s="3" t="n">
        <v>98</v>
      </c>
      <c r="B99" s="3" t="n">
        <v>97</v>
      </c>
      <c r="C99" s="3" t="n">
        <v>0</v>
      </c>
      <c r="D99" s="3" t="n">
        <v>3</v>
      </c>
      <c r="E99" s="3" t="n">
        <v>13</v>
      </c>
      <c r="F99" s="24" t="n">
        <v>0</v>
      </c>
    </row>
    <row r="100" customFormat="false" ht="15" hidden="false" customHeight="false" outlineLevel="0" collapsed="false">
      <c r="A100" s="3" t="n">
        <v>99</v>
      </c>
      <c r="B100" s="3" t="n">
        <v>98</v>
      </c>
      <c r="C100" s="3" t="n">
        <v>0</v>
      </c>
      <c r="D100" s="3" t="n">
        <v>3</v>
      </c>
      <c r="E100" s="3" t="n">
        <v>14</v>
      </c>
      <c r="F100" s="24" t="n">
        <v>0</v>
      </c>
    </row>
    <row r="101" customFormat="false" ht="15" hidden="false" customHeight="false" outlineLevel="0" collapsed="false">
      <c r="A101" s="3" t="n">
        <v>100</v>
      </c>
      <c r="B101" s="3" t="n">
        <v>99</v>
      </c>
      <c r="C101" s="3" t="n">
        <v>0</v>
      </c>
      <c r="D101" s="3" t="n">
        <v>3</v>
      </c>
      <c r="E101" s="3" t="n">
        <v>15</v>
      </c>
      <c r="F101" s="24" t="n">
        <v>0</v>
      </c>
    </row>
    <row r="102" customFormat="false" ht="15" hidden="false" customHeight="false" outlineLevel="0" collapsed="false">
      <c r="A102" s="3" t="n">
        <v>101</v>
      </c>
      <c r="B102" s="3" t="n">
        <v>100</v>
      </c>
      <c r="C102" s="3" t="n">
        <v>0</v>
      </c>
      <c r="D102" s="3" t="n">
        <v>3</v>
      </c>
      <c r="E102" s="3" t="n">
        <v>16</v>
      </c>
      <c r="F102" s="24" t="n">
        <v>0</v>
      </c>
    </row>
    <row r="103" customFormat="false" ht="15" hidden="false" customHeight="false" outlineLevel="0" collapsed="false">
      <c r="A103" s="3" t="n">
        <v>102</v>
      </c>
      <c r="B103" s="3" t="n">
        <v>101</v>
      </c>
      <c r="C103" s="3" t="n">
        <v>0</v>
      </c>
      <c r="D103" s="3" t="n">
        <v>3</v>
      </c>
      <c r="E103" s="3" t="n">
        <v>17</v>
      </c>
      <c r="F103" s="24" t="n">
        <v>0</v>
      </c>
    </row>
    <row r="104" customFormat="false" ht="15" hidden="false" customHeight="false" outlineLevel="0" collapsed="false">
      <c r="A104" s="3" t="n">
        <v>103</v>
      </c>
      <c r="B104" s="3" t="n">
        <v>102</v>
      </c>
      <c r="C104" s="3" t="n">
        <v>0</v>
      </c>
      <c r="D104" s="3" t="n">
        <v>3</v>
      </c>
      <c r="E104" s="3" t="n">
        <v>18</v>
      </c>
      <c r="F104" s="24" t="n">
        <v>0</v>
      </c>
    </row>
    <row r="105" customFormat="false" ht="15" hidden="false" customHeight="false" outlineLevel="0" collapsed="false">
      <c r="A105" s="3" t="n">
        <v>104</v>
      </c>
      <c r="B105" s="3" t="n">
        <v>103</v>
      </c>
      <c r="C105" s="3" t="n">
        <v>0</v>
      </c>
      <c r="D105" s="3" t="n">
        <v>3</v>
      </c>
      <c r="E105" s="3" t="n">
        <v>19</v>
      </c>
      <c r="F105" s="24" t="n">
        <v>0</v>
      </c>
    </row>
    <row r="106" customFormat="false" ht="15" hidden="false" customHeight="false" outlineLevel="0" collapsed="false">
      <c r="A106" s="3" t="n">
        <v>105</v>
      </c>
      <c r="B106" s="3" t="n">
        <v>104</v>
      </c>
      <c r="C106" s="3" t="n">
        <v>0</v>
      </c>
      <c r="D106" s="3" t="n">
        <v>3</v>
      </c>
      <c r="E106" s="3" t="n">
        <v>20</v>
      </c>
      <c r="F106" s="24" t="n">
        <v>0</v>
      </c>
    </row>
    <row r="107" customFormat="false" ht="15" hidden="false" customHeight="false" outlineLevel="0" collapsed="false">
      <c r="A107" s="3" t="n">
        <v>106</v>
      </c>
      <c r="B107" s="3" t="n">
        <v>105</v>
      </c>
      <c r="C107" s="3" t="n">
        <v>0</v>
      </c>
      <c r="D107" s="3" t="n">
        <v>3</v>
      </c>
      <c r="E107" s="3" t="n">
        <v>21</v>
      </c>
      <c r="F107" s="24" t="n">
        <v>0</v>
      </c>
    </row>
    <row r="108" customFormat="false" ht="15" hidden="false" customHeight="false" outlineLevel="0" collapsed="false">
      <c r="A108" s="3" t="n">
        <v>107</v>
      </c>
      <c r="B108" s="3" t="n">
        <v>106</v>
      </c>
      <c r="C108" s="3" t="n">
        <v>0</v>
      </c>
      <c r="D108" s="3" t="n">
        <v>3</v>
      </c>
      <c r="E108" s="3" t="n">
        <v>22</v>
      </c>
      <c r="F108" s="24" t="n">
        <v>0</v>
      </c>
    </row>
    <row r="109" customFormat="false" ht="15" hidden="false" customHeight="false" outlineLevel="0" collapsed="false">
      <c r="A109" s="3" t="n">
        <v>108</v>
      </c>
      <c r="B109" s="3" t="n">
        <v>107</v>
      </c>
      <c r="C109" s="3" t="n">
        <v>0</v>
      </c>
      <c r="D109" s="3" t="n">
        <v>3</v>
      </c>
      <c r="E109" s="3" t="n">
        <v>23</v>
      </c>
      <c r="F109" s="24" t="n">
        <v>0</v>
      </c>
    </row>
    <row r="110" customFormat="false" ht="15" hidden="false" customHeight="false" outlineLevel="0" collapsed="false">
      <c r="A110" s="3" t="n">
        <v>109</v>
      </c>
      <c r="B110" s="3" t="n">
        <v>108</v>
      </c>
      <c r="C110" s="3" t="n">
        <v>0</v>
      </c>
      <c r="D110" s="3" t="n">
        <v>3</v>
      </c>
      <c r="E110" s="3" t="n">
        <v>24</v>
      </c>
      <c r="F110" s="24" t="n">
        <v>0</v>
      </c>
    </row>
    <row r="111" customFormat="false" ht="15" hidden="false" customHeight="false" outlineLevel="0" collapsed="false">
      <c r="A111" s="3" t="n">
        <v>110</v>
      </c>
      <c r="B111" s="3" t="n">
        <v>109</v>
      </c>
      <c r="C111" s="3" t="n">
        <v>0</v>
      </c>
      <c r="D111" s="3" t="n">
        <v>3</v>
      </c>
      <c r="E111" s="3" t="n">
        <v>25</v>
      </c>
      <c r="F111" s="24" t="n">
        <v>0</v>
      </c>
    </row>
    <row r="112" customFormat="false" ht="15" hidden="false" customHeight="false" outlineLevel="0" collapsed="false">
      <c r="A112" s="3" t="n">
        <v>111</v>
      </c>
      <c r="B112" s="3" t="n">
        <v>110</v>
      </c>
      <c r="C112" s="3" t="n">
        <v>0</v>
      </c>
      <c r="D112" s="3" t="n">
        <v>3</v>
      </c>
      <c r="E112" s="3" t="n">
        <v>26</v>
      </c>
      <c r="F112" s="24" t="n">
        <v>0</v>
      </c>
    </row>
    <row r="113" customFormat="false" ht="15" hidden="false" customHeight="false" outlineLevel="0" collapsed="false">
      <c r="A113" s="3" t="n">
        <v>112</v>
      </c>
      <c r="B113" s="3" t="n">
        <v>111</v>
      </c>
      <c r="C113" s="3" t="n">
        <v>0</v>
      </c>
      <c r="D113" s="3" t="n">
        <v>3</v>
      </c>
      <c r="E113" s="3" t="n">
        <v>27</v>
      </c>
      <c r="F113" s="24" t="n">
        <v>0.0673455298</v>
      </c>
    </row>
    <row r="114" customFormat="false" ht="15" hidden="false" customHeight="false" outlineLevel="0" collapsed="false">
      <c r="A114" s="3" t="n">
        <v>113</v>
      </c>
      <c r="B114" s="3" t="n">
        <v>112</v>
      </c>
      <c r="C114" s="3" t="n">
        <v>0</v>
      </c>
      <c r="D114" s="3" t="n">
        <v>4</v>
      </c>
      <c r="E114" s="3" t="n">
        <v>0</v>
      </c>
      <c r="F114" s="24" t="n">
        <v>0.10001415</v>
      </c>
    </row>
    <row r="115" customFormat="false" ht="15" hidden="false" customHeight="false" outlineLevel="0" collapsed="false">
      <c r="A115" s="3" t="n">
        <v>114</v>
      </c>
      <c r="B115" s="3" t="n">
        <v>113</v>
      </c>
      <c r="C115" s="3" t="n">
        <v>0</v>
      </c>
      <c r="D115" s="3" t="n">
        <v>4</v>
      </c>
      <c r="E115" s="3" t="n">
        <v>1</v>
      </c>
      <c r="F115" s="24" t="n">
        <v>0</v>
      </c>
    </row>
    <row r="116" customFormat="false" ht="15" hidden="false" customHeight="false" outlineLevel="0" collapsed="false">
      <c r="A116" s="3" t="n">
        <v>115</v>
      </c>
      <c r="B116" s="3" t="n">
        <v>114</v>
      </c>
      <c r="C116" s="3" t="n">
        <v>0</v>
      </c>
      <c r="D116" s="3" t="n">
        <v>4</v>
      </c>
      <c r="E116" s="3" t="n">
        <v>2</v>
      </c>
      <c r="F116" s="24" t="n">
        <v>0</v>
      </c>
    </row>
    <row r="117" customFormat="false" ht="15" hidden="false" customHeight="false" outlineLevel="0" collapsed="false">
      <c r="A117" s="3" t="n">
        <v>116</v>
      </c>
      <c r="B117" s="3" t="n">
        <v>115</v>
      </c>
      <c r="C117" s="3" t="n">
        <v>0</v>
      </c>
      <c r="D117" s="3" t="n">
        <v>4</v>
      </c>
      <c r="E117" s="3" t="n">
        <v>3</v>
      </c>
      <c r="F117" s="24" t="n">
        <v>0</v>
      </c>
    </row>
    <row r="118" customFormat="false" ht="15" hidden="false" customHeight="false" outlineLevel="0" collapsed="false">
      <c r="A118" s="3" t="n">
        <v>117</v>
      </c>
      <c r="B118" s="3" t="n">
        <v>116</v>
      </c>
      <c r="C118" s="3" t="n">
        <v>0</v>
      </c>
      <c r="D118" s="3" t="n">
        <v>4</v>
      </c>
      <c r="E118" s="3" t="n">
        <v>4</v>
      </c>
      <c r="F118" s="24" t="n">
        <v>0</v>
      </c>
    </row>
    <row r="119" customFormat="false" ht="15" hidden="false" customHeight="false" outlineLevel="0" collapsed="false">
      <c r="A119" s="3" t="n">
        <v>118</v>
      </c>
      <c r="B119" s="3" t="n">
        <v>117</v>
      </c>
      <c r="C119" s="3" t="n">
        <v>0</v>
      </c>
      <c r="D119" s="3" t="n">
        <v>4</v>
      </c>
      <c r="E119" s="3" t="n">
        <v>5</v>
      </c>
      <c r="F119" s="24" t="n">
        <v>0</v>
      </c>
    </row>
    <row r="120" customFormat="false" ht="15" hidden="false" customHeight="false" outlineLevel="0" collapsed="false">
      <c r="A120" s="3" t="n">
        <v>119</v>
      </c>
      <c r="B120" s="3" t="n">
        <v>118</v>
      </c>
      <c r="C120" s="3" t="n">
        <v>0</v>
      </c>
      <c r="D120" s="3" t="n">
        <v>4</v>
      </c>
      <c r="E120" s="3" t="n">
        <v>6</v>
      </c>
      <c r="F120" s="24" t="n">
        <v>0</v>
      </c>
    </row>
    <row r="121" customFormat="false" ht="15" hidden="false" customHeight="false" outlineLevel="0" collapsed="false">
      <c r="A121" s="3" t="n">
        <v>120</v>
      </c>
      <c r="B121" s="3" t="n">
        <v>119</v>
      </c>
      <c r="C121" s="3" t="n">
        <v>0</v>
      </c>
      <c r="D121" s="3" t="n">
        <v>4</v>
      </c>
      <c r="E121" s="3" t="n">
        <v>7</v>
      </c>
      <c r="F121" s="24" t="n">
        <v>0</v>
      </c>
    </row>
    <row r="122" customFormat="false" ht="15" hidden="false" customHeight="false" outlineLevel="0" collapsed="false">
      <c r="A122" s="3" t="n">
        <v>121</v>
      </c>
      <c r="B122" s="3" t="n">
        <v>120</v>
      </c>
      <c r="C122" s="3" t="n">
        <v>0</v>
      </c>
      <c r="D122" s="3" t="n">
        <v>4</v>
      </c>
      <c r="E122" s="3" t="n">
        <v>8</v>
      </c>
      <c r="F122" s="24" t="n">
        <v>0</v>
      </c>
    </row>
    <row r="123" customFormat="false" ht="15" hidden="false" customHeight="false" outlineLevel="0" collapsed="false">
      <c r="A123" s="3" t="n">
        <v>122</v>
      </c>
      <c r="B123" s="3" t="n">
        <v>121</v>
      </c>
      <c r="C123" s="3" t="n">
        <v>0</v>
      </c>
      <c r="D123" s="3" t="n">
        <v>4</v>
      </c>
      <c r="E123" s="3" t="n">
        <v>9</v>
      </c>
      <c r="F123" s="24" t="n">
        <v>0</v>
      </c>
    </row>
    <row r="124" customFormat="false" ht="15" hidden="false" customHeight="false" outlineLevel="0" collapsed="false">
      <c r="A124" s="3" t="n">
        <v>123</v>
      </c>
      <c r="B124" s="3" t="n">
        <v>122</v>
      </c>
      <c r="C124" s="3" t="n">
        <v>0</v>
      </c>
      <c r="D124" s="3" t="n">
        <v>4</v>
      </c>
      <c r="E124" s="3" t="n">
        <v>10</v>
      </c>
      <c r="F124" s="24" t="n">
        <v>0</v>
      </c>
    </row>
    <row r="125" customFormat="false" ht="15" hidden="false" customHeight="false" outlineLevel="0" collapsed="false">
      <c r="A125" s="3" t="n">
        <v>124</v>
      </c>
      <c r="B125" s="3" t="n">
        <v>123</v>
      </c>
      <c r="C125" s="3" t="n">
        <v>0</v>
      </c>
      <c r="D125" s="3" t="n">
        <v>4</v>
      </c>
      <c r="E125" s="3" t="n">
        <v>11</v>
      </c>
      <c r="F125" s="24" t="n">
        <v>0</v>
      </c>
    </row>
    <row r="126" customFormat="false" ht="15" hidden="false" customHeight="false" outlineLevel="0" collapsed="false">
      <c r="A126" s="3" t="n">
        <v>125</v>
      </c>
      <c r="B126" s="3" t="n">
        <v>124</v>
      </c>
      <c r="C126" s="3" t="n">
        <v>0</v>
      </c>
      <c r="D126" s="3" t="n">
        <v>4</v>
      </c>
      <c r="E126" s="3" t="n">
        <v>12</v>
      </c>
      <c r="F126" s="24" t="n">
        <v>0</v>
      </c>
    </row>
    <row r="127" customFormat="false" ht="15" hidden="false" customHeight="false" outlineLevel="0" collapsed="false">
      <c r="A127" s="3" t="n">
        <v>126</v>
      </c>
      <c r="B127" s="3" t="n">
        <v>125</v>
      </c>
      <c r="C127" s="3" t="n">
        <v>0</v>
      </c>
      <c r="D127" s="3" t="n">
        <v>4</v>
      </c>
      <c r="E127" s="3" t="n">
        <v>13</v>
      </c>
      <c r="F127" s="24" t="n">
        <v>0</v>
      </c>
    </row>
    <row r="128" customFormat="false" ht="15" hidden="false" customHeight="false" outlineLevel="0" collapsed="false">
      <c r="A128" s="3" t="n">
        <v>127</v>
      </c>
      <c r="B128" s="3" t="n">
        <v>126</v>
      </c>
      <c r="C128" s="3" t="n">
        <v>0</v>
      </c>
      <c r="D128" s="3" t="n">
        <v>4</v>
      </c>
      <c r="E128" s="3" t="n">
        <v>14</v>
      </c>
      <c r="F128" s="24" t="n">
        <v>0</v>
      </c>
    </row>
    <row r="129" customFormat="false" ht="15" hidden="false" customHeight="false" outlineLevel="0" collapsed="false">
      <c r="A129" s="3" t="n">
        <v>128</v>
      </c>
      <c r="B129" s="3" t="n">
        <v>127</v>
      </c>
      <c r="C129" s="3" t="n">
        <v>0</v>
      </c>
      <c r="D129" s="3" t="n">
        <v>4</v>
      </c>
      <c r="E129" s="3" t="n">
        <v>15</v>
      </c>
      <c r="F129" s="24" t="n">
        <v>0</v>
      </c>
    </row>
    <row r="130" customFormat="false" ht="15" hidden="false" customHeight="false" outlineLevel="0" collapsed="false">
      <c r="A130" s="3" t="n">
        <v>129</v>
      </c>
      <c r="B130" s="3" t="n">
        <v>128</v>
      </c>
      <c r="C130" s="3" t="n">
        <v>0</v>
      </c>
      <c r="D130" s="3" t="n">
        <v>4</v>
      </c>
      <c r="E130" s="3" t="n">
        <v>16</v>
      </c>
      <c r="F130" s="24" t="n">
        <v>0</v>
      </c>
    </row>
    <row r="131" customFormat="false" ht="15" hidden="false" customHeight="false" outlineLevel="0" collapsed="false">
      <c r="A131" s="3" t="n">
        <v>130</v>
      </c>
      <c r="B131" s="3" t="n">
        <v>129</v>
      </c>
      <c r="C131" s="3" t="n">
        <v>0</v>
      </c>
      <c r="D131" s="3" t="n">
        <v>4</v>
      </c>
      <c r="E131" s="3" t="n">
        <v>17</v>
      </c>
      <c r="F131" s="24" t="n">
        <v>0</v>
      </c>
    </row>
    <row r="132" customFormat="false" ht="15" hidden="false" customHeight="false" outlineLevel="0" collapsed="false">
      <c r="A132" s="3" t="n">
        <v>131</v>
      </c>
      <c r="B132" s="3" t="n">
        <v>130</v>
      </c>
      <c r="C132" s="3" t="n">
        <v>0</v>
      </c>
      <c r="D132" s="3" t="n">
        <v>4</v>
      </c>
      <c r="E132" s="3" t="n">
        <v>18</v>
      </c>
      <c r="F132" s="24" t="n">
        <v>0</v>
      </c>
    </row>
    <row r="133" customFormat="false" ht="15" hidden="false" customHeight="false" outlineLevel="0" collapsed="false">
      <c r="A133" s="3" t="n">
        <v>132</v>
      </c>
      <c r="B133" s="3" t="n">
        <v>131</v>
      </c>
      <c r="C133" s="3" t="n">
        <v>0</v>
      </c>
      <c r="D133" s="3" t="n">
        <v>4</v>
      </c>
      <c r="E133" s="3" t="n">
        <v>19</v>
      </c>
      <c r="F133" s="24" t="n">
        <v>0</v>
      </c>
    </row>
    <row r="134" customFormat="false" ht="15" hidden="false" customHeight="false" outlineLevel="0" collapsed="false">
      <c r="A134" s="3" t="n">
        <v>133</v>
      </c>
      <c r="B134" s="3" t="n">
        <v>132</v>
      </c>
      <c r="C134" s="3" t="n">
        <v>0</v>
      </c>
      <c r="D134" s="3" t="n">
        <v>4</v>
      </c>
      <c r="E134" s="3" t="n">
        <v>20</v>
      </c>
      <c r="F134" s="24" t="n">
        <v>0</v>
      </c>
    </row>
    <row r="135" customFormat="false" ht="15" hidden="false" customHeight="false" outlineLevel="0" collapsed="false">
      <c r="A135" s="3" t="n">
        <v>134</v>
      </c>
      <c r="B135" s="3" t="n">
        <v>133</v>
      </c>
      <c r="C135" s="3" t="n">
        <v>0</v>
      </c>
      <c r="D135" s="3" t="n">
        <v>4</v>
      </c>
      <c r="E135" s="3" t="n">
        <v>21</v>
      </c>
      <c r="F135" s="24" t="n">
        <v>0</v>
      </c>
    </row>
    <row r="136" customFormat="false" ht="15" hidden="false" customHeight="false" outlineLevel="0" collapsed="false">
      <c r="A136" s="3" t="n">
        <v>135</v>
      </c>
      <c r="B136" s="3" t="n">
        <v>134</v>
      </c>
      <c r="C136" s="3" t="n">
        <v>0</v>
      </c>
      <c r="D136" s="3" t="n">
        <v>4</v>
      </c>
      <c r="E136" s="3" t="n">
        <v>22</v>
      </c>
      <c r="F136" s="24" t="n">
        <v>0</v>
      </c>
    </row>
    <row r="137" customFormat="false" ht="15" hidden="false" customHeight="false" outlineLevel="0" collapsed="false">
      <c r="A137" s="3" t="n">
        <v>136</v>
      </c>
      <c r="B137" s="3" t="n">
        <v>135</v>
      </c>
      <c r="C137" s="3" t="n">
        <v>0</v>
      </c>
      <c r="D137" s="3" t="n">
        <v>4</v>
      </c>
      <c r="E137" s="3" t="n">
        <v>23</v>
      </c>
      <c r="F137" s="24" t="n">
        <v>0</v>
      </c>
    </row>
    <row r="138" customFormat="false" ht="15" hidden="false" customHeight="false" outlineLevel="0" collapsed="false">
      <c r="A138" s="3" t="n">
        <v>137</v>
      </c>
      <c r="B138" s="3" t="n">
        <v>136</v>
      </c>
      <c r="C138" s="3" t="n">
        <v>0</v>
      </c>
      <c r="D138" s="3" t="n">
        <v>4</v>
      </c>
      <c r="E138" s="3" t="n">
        <v>24</v>
      </c>
      <c r="F138" s="24" t="n">
        <v>0</v>
      </c>
    </row>
    <row r="139" customFormat="false" ht="15" hidden="false" customHeight="false" outlineLevel="0" collapsed="false">
      <c r="A139" s="3" t="n">
        <v>138</v>
      </c>
      <c r="B139" s="3" t="n">
        <v>137</v>
      </c>
      <c r="C139" s="3" t="n">
        <v>0</v>
      </c>
      <c r="D139" s="3" t="n">
        <v>4</v>
      </c>
      <c r="E139" s="3" t="n">
        <v>25</v>
      </c>
      <c r="F139" s="24" t="n">
        <v>0</v>
      </c>
    </row>
    <row r="140" customFormat="false" ht="15" hidden="false" customHeight="false" outlineLevel="0" collapsed="false">
      <c r="A140" s="3" t="n">
        <v>139</v>
      </c>
      <c r="B140" s="3" t="n">
        <v>138</v>
      </c>
      <c r="C140" s="3" t="n">
        <v>0</v>
      </c>
      <c r="D140" s="3" t="n">
        <v>4</v>
      </c>
      <c r="E140" s="3" t="n">
        <v>26</v>
      </c>
      <c r="F140" s="24" t="n">
        <v>0</v>
      </c>
    </row>
    <row r="141" customFormat="false" ht="15" hidden="false" customHeight="false" outlineLevel="0" collapsed="false">
      <c r="A141" s="3" t="n">
        <v>140</v>
      </c>
      <c r="B141" s="3" t="n">
        <v>139</v>
      </c>
      <c r="C141" s="3" t="n">
        <v>0</v>
      </c>
      <c r="D141" s="3" t="n">
        <v>4</v>
      </c>
      <c r="E141" s="3" t="n">
        <v>27</v>
      </c>
      <c r="F141" s="24" t="n">
        <v>0.0673455298</v>
      </c>
    </row>
    <row r="142" customFormat="false" ht="15" hidden="false" customHeight="false" outlineLevel="0" collapsed="false">
      <c r="A142" s="3" t="n">
        <v>141</v>
      </c>
      <c r="B142" s="3" t="n">
        <v>140</v>
      </c>
      <c r="C142" s="3" t="n">
        <v>0</v>
      </c>
      <c r="D142" s="3" t="n">
        <v>5</v>
      </c>
      <c r="E142" s="3" t="n">
        <v>0</v>
      </c>
      <c r="F142" s="24" t="n">
        <v>0.10001415</v>
      </c>
    </row>
    <row r="143" customFormat="false" ht="15" hidden="false" customHeight="false" outlineLevel="0" collapsed="false">
      <c r="A143" s="3" t="n">
        <v>142</v>
      </c>
      <c r="B143" s="3" t="n">
        <v>141</v>
      </c>
      <c r="C143" s="3" t="n">
        <v>0</v>
      </c>
      <c r="D143" s="3" t="n">
        <v>5</v>
      </c>
      <c r="E143" s="3" t="n">
        <v>1</v>
      </c>
      <c r="F143" s="24" t="n">
        <v>0</v>
      </c>
    </row>
    <row r="144" customFormat="false" ht="15" hidden="false" customHeight="false" outlineLevel="0" collapsed="false">
      <c r="A144" s="3" t="n">
        <v>143</v>
      </c>
      <c r="B144" s="3" t="n">
        <v>142</v>
      </c>
      <c r="C144" s="3" t="n">
        <v>0</v>
      </c>
      <c r="D144" s="3" t="n">
        <v>5</v>
      </c>
      <c r="E144" s="3" t="n">
        <v>2</v>
      </c>
      <c r="F144" s="24" t="n">
        <v>0</v>
      </c>
    </row>
    <row r="145" customFormat="false" ht="15" hidden="false" customHeight="false" outlineLevel="0" collapsed="false">
      <c r="A145" s="3" t="n">
        <v>144</v>
      </c>
      <c r="B145" s="3" t="n">
        <v>143</v>
      </c>
      <c r="C145" s="3" t="n">
        <v>0</v>
      </c>
      <c r="D145" s="3" t="n">
        <v>5</v>
      </c>
      <c r="E145" s="3" t="n">
        <v>3</v>
      </c>
      <c r="F145" s="24" t="n">
        <v>0</v>
      </c>
    </row>
    <row r="146" customFormat="false" ht="15" hidden="false" customHeight="false" outlineLevel="0" collapsed="false">
      <c r="A146" s="3" t="n">
        <v>145</v>
      </c>
      <c r="B146" s="3" t="n">
        <v>144</v>
      </c>
      <c r="C146" s="3" t="n">
        <v>0</v>
      </c>
      <c r="D146" s="3" t="n">
        <v>5</v>
      </c>
      <c r="E146" s="3" t="n">
        <v>4</v>
      </c>
      <c r="F146" s="24" t="n">
        <v>0</v>
      </c>
    </row>
    <row r="147" customFormat="false" ht="15" hidden="false" customHeight="false" outlineLevel="0" collapsed="false">
      <c r="A147" s="3" t="n">
        <v>146</v>
      </c>
      <c r="B147" s="3" t="n">
        <v>145</v>
      </c>
      <c r="C147" s="3" t="n">
        <v>0</v>
      </c>
      <c r="D147" s="3" t="n">
        <v>5</v>
      </c>
      <c r="E147" s="3" t="n">
        <v>5</v>
      </c>
      <c r="F147" s="24" t="n">
        <v>0</v>
      </c>
    </row>
    <row r="148" customFormat="false" ht="15" hidden="false" customHeight="false" outlineLevel="0" collapsed="false">
      <c r="A148" s="3" t="n">
        <v>147</v>
      </c>
      <c r="B148" s="3" t="n">
        <v>146</v>
      </c>
      <c r="C148" s="3" t="n">
        <v>0</v>
      </c>
      <c r="D148" s="3" t="n">
        <v>5</v>
      </c>
      <c r="E148" s="3" t="n">
        <v>6</v>
      </c>
      <c r="F148" s="24" t="n">
        <v>0</v>
      </c>
    </row>
    <row r="149" customFormat="false" ht="15" hidden="false" customHeight="false" outlineLevel="0" collapsed="false">
      <c r="A149" s="3" t="n">
        <v>148</v>
      </c>
      <c r="B149" s="3" t="n">
        <v>147</v>
      </c>
      <c r="C149" s="3" t="n">
        <v>0</v>
      </c>
      <c r="D149" s="3" t="n">
        <v>5</v>
      </c>
      <c r="E149" s="3" t="n">
        <v>7</v>
      </c>
      <c r="F149" s="24" t="n">
        <v>0</v>
      </c>
    </row>
    <row r="150" customFormat="false" ht="15" hidden="false" customHeight="false" outlineLevel="0" collapsed="false">
      <c r="A150" s="3" t="n">
        <v>149</v>
      </c>
      <c r="B150" s="3" t="n">
        <v>148</v>
      </c>
      <c r="C150" s="3" t="n">
        <v>0</v>
      </c>
      <c r="D150" s="3" t="n">
        <v>5</v>
      </c>
      <c r="E150" s="3" t="n">
        <v>8</v>
      </c>
      <c r="F150" s="24" t="n">
        <v>0</v>
      </c>
    </row>
    <row r="151" customFormat="false" ht="15" hidden="false" customHeight="false" outlineLevel="0" collapsed="false">
      <c r="A151" s="3" t="n">
        <v>150</v>
      </c>
      <c r="B151" s="3" t="n">
        <v>149</v>
      </c>
      <c r="C151" s="3" t="n">
        <v>0</v>
      </c>
      <c r="D151" s="3" t="n">
        <v>5</v>
      </c>
      <c r="E151" s="3" t="n">
        <v>9</v>
      </c>
      <c r="F151" s="24" t="n">
        <v>0</v>
      </c>
    </row>
    <row r="152" customFormat="false" ht="15" hidden="false" customHeight="false" outlineLevel="0" collapsed="false">
      <c r="A152" s="3" t="n">
        <v>151</v>
      </c>
      <c r="B152" s="3" t="n">
        <v>150</v>
      </c>
      <c r="C152" s="3" t="n">
        <v>0</v>
      </c>
      <c r="D152" s="3" t="n">
        <v>5</v>
      </c>
      <c r="E152" s="3" t="n">
        <v>10</v>
      </c>
      <c r="F152" s="24" t="n">
        <v>0</v>
      </c>
    </row>
    <row r="153" customFormat="false" ht="15" hidden="false" customHeight="false" outlineLevel="0" collapsed="false">
      <c r="A153" s="3" t="n">
        <v>152</v>
      </c>
      <c r="B153" s="3" t="n">
        <v>151</v>
      </c>
      <c r="C153" s="3" t="n">
        <v>0</v>
      </c>
      <c r="D153" s="3" t="n">
        <v>5</v>
      </c>
      <c r="E153" s="3" t="n">
        <v>11</v>
      </c>
      <c r="F153" s="24" t="n">
        <v>0</v>
      </c>
    </row>
    <row r="154" customFormat="false" ht="15" hidden="false" customHeight="false" outlineLevel="0" collapsed="false">
      <c r="A154" s="3" t="n">
        <v>153</v>
      </c>
      <c r="B154" s="3" t="n">
        <v>152</v>
      </c>
      <c r="C154" s="3" t="n">
        <v>0</v>
      </c>
      <c r="D154" s="3" t="n">
        <v>5</v>
      </c>
      <c r="E154" s="3" t="n">
        <v>12</v>
      </c>
      <c r="F154" s="24" t="n">
        <v>0</v>
      </c>
    </row>
    <row r="155" customFormat="false" ht="15" hidden="false" customHeight="false" outlineLevel="0" collapsed="false">
      <c r="A155" s="3" t="n">
        <v>154</v>
      </c>
      <c r="B155" s="3" t="n">
        <v>153</v>
      </c>
      <c r="C155" s="3" t="n">
        <v>0</v>
      </c>
      <c r="D155" s="3" t="n">
        <v>5</v>
      </c>
      <c r="E155" s="3" t="n">
        <v>13</v>
      </c>
      <c r="F155" s="24" t="n">
        <v>0</v>
      </c>
    </row>
    <row r="156" customFormat="false" ht="15" hidden="false" customHeight="false" outlineLevel="0" collapsed="false">
      <c r="A156" s="3" t="n">
        <v>155</v>
      </c>
      <c r="B156" s="3" t="n">
        <v>154</v>
      </c>
      <c r="C156" s="3" t="n">
        <v>0</v>
      </c>
      <c r="D156" s="3" t="n">
        <v>5</v>
      </c>
      <c r="E156" s="3" t="n">
        <v>14</v>
      </c>
      <c r="F156" s="24" t="n">
        <v>0</v>
      </c>
    </row>
    <row r="157" customFormat="false" ht="15" hidden="false" customHeight="false" outlineLevel="0" collapsed="false">
      <c r="A157" s="3" t="n">
        <v>156</v>
      </c>
      <c r="B157" s="3" t="n">
        <v>155</v>
      </c>
      <c r="C157" s="3" t="n">
        <v>0</v>
      </c>
      <c r="D157" s="3" t="n">
        <v>5</v>
      </c>
      <c r="E157" s="3" t="n">
        <v>15</v>
      </c>
      <c r="F157" s="24" t="n">
        <v>0</v>
      </c>
    </row>
    <row r="158" customFormat="false" ht="15" hidden="false" customHeight="false" outlineLevel="0" collapsed="false">
      <c r="A158" s="3" t="n">
        <v>157</v>
      </c>
      <c r="B158" s="3" t="n">
        <v>156</v>
      </c>
      <c r="C158" s="3" t="n">
        <v>0</v>
      </c>
      <c r="D158" s="3" t="n">
        <v>5</v>
      </c>
      <c r="E158" s="3" t="n">
        <v>16</v>
      </c>
      <c r="F158" s="24" t="n">
        <v>0</v>
      </c>
    </row>
    <row r="159" customFormat="false" ht="15" hidden="false" customHeight="false" outlineLevel="0" collapsed="false">
      <c r="A159" s="3" t="n">
        <v>158</v>
      </c>
      <c r="B159" s="3" t="n">
        <v>157</v>
      </c>
      <c r="C159" s="3" t="n">
        <v>0</v>
      </c>
      <c r="D159" s="3" t="n">
        <v>5</v>
      </c>
      <c r="E159" s="3" t="n">
        <v>17</v>
      </c>
      <c r="F159" s="24" t="n">
        <v>0</v>
      </c>
    </row>
    <row r="160" customFormat="false" ht="15" hidden="false" customHeight="false" outlineLevel="0" collapsed="false">
      <c r="A160" s="3" t="n">
        <v>159</v>
      </c>
      <c r="B160" s="3" t="n">
        <v>158</v>
      </c>
      <c r="C160" s="3" t="n">
        <v>0</v>
      </c>
      <c r="D160" s="3" t="n">
        <v>5</v>
      </c>
      <c r="E160" s="3" t="n">
        <v>18</v>
      </c>
      <c r="F160" s="24" t="n">
        <v>0</v>
      </c>
    </row>
    <row r="161" customFormat="false" ht="15" hidden="false" customHeight="false" outlineLevel="0" collapsed="false">
      <c r="A161" s="3" t="n">
        <v>160</v>
      </c>
      <c r="B161" s="3" t="n">
        <v>159</v>
      </c>
      <c r="C161" s="3" t="n">
        <v>0</v>
      </c>
      <c r="D161" s="3" t="n">
        <v>5</v>
      </c>
      <c r="E161" s="3" t="n">
        <v>19</v>
      </c>
      <c r="F161" s="24" t="n">
        <v>0</v>
      </c>
    </row>
    <row r="162" customFormat="false" ht="15" hidden="false" customHeight="false" outlineLevel="0" collapsed="false">
      <c r="A162" s="3" t="n">
        <v>161</v>
      </c>
      <c r="B162" s="3" t="n">
        <v>160</v>
      </c>
      <c r="C162" s="3" t="n">
        <v>0</v>
      </c>
      <c r="D162" s="3" t="n">
        <v>5</v>
      </c>
      <c r="E162" s="3" t="n">
        <v>20</v>
      </c>
      <c r="F162" s="24" t="n">
        <v>0</v>
      </c>
    </row>
    <row r="163" customFormat="false" ht="15" hidden="false" customHeight="false" outlineLevel="0" collapsed="false">
      <c r="A163" s="3" t="n">
        <v>162</v>
      </c>
      <c r="B163" s="3" t="n">
        <v>161</v>
      </c>
      <c r="C163" s="3" t="n">
        <v>0</v>
      </c>
      <c r="D163" s="3" t="n">
        <v>5</v>
      </c>
      <c r="E163" s="3" t="n">
        <v>21</v>
      </c>
      <c r="F163" s="24" t="n">
        <v>0</v>
      </c>
    </row>
    <row r="164" customFormat="false" ht="15" hidden="false" customHeight="false" outlineLevel="0" collapsed="false">
      <c r="A164" s="3" t="n">
        <v>163</v>
      </c>
      <c r="B164" s="3" t="n">
        <v>162</v>
      </c>
      <c r="C164" s="3" t="n">
        <v>0</v>
      </c>
      <c r="D164" s="3" t="n">
        <v>5</v>
      </c>
      <c r="E164" s="3" t="n">
        <v>22</v>
      </c>
      <c r="F164" s="24" t="n">
        <v>0</v>
      </c>
    </row>
    <row r="165" customFormat="false" ht="15" hidden="false" customHeight="false" outlineLevel="0" collapsed="false">
      <c r="A165" s="3" t="n">
        <v>164</v>
      </c>
      <c r="B165" s="3" t="n">
        <v>163</v>
      </c>
      <c r="C165" s="3" t="n">
        <v>0</v>
      </c>
      <c r="D165" s="3" t="n">
        <v>5</v>
      </c>
      <c r="E165" s="3" t="n">
        <v>23</v>
      </c>
      <c r="F165" s="24" t="n">
        <v>0</v>
      </c>
    </row>
    <row r="166" customFormat="false" ht="15" hidden="false" customHeight="false" outlineLevel="0" collapsed="false">
      <c r="A166" s="3" t="n">
        <v>165</v>
      </c>
      <c r="B166" s="3" t="n">
        <v>164</v>
      </c>
      <c r="C166" s="3" t="n">
        <v>0</v>
      </c>
      <c r="D166" s="3" t="n">
        <v>5</v>
      </c>
      <c r="E166" s="3" t="n">
        <v>24</v>
      </c>
      <c r="F166" s="24" t="n">
        <v>0</v>
      </c>
    </row>
    <row r="167" customFormat="false" ht="15" hidden="false" customHeight="false" outlineLevel="0" collapsed="false">
      <c r="A167" s="3" t="n">
        <v>166</v>
      </c>
      <c r="B167" s="3" t="n">
        <v>165</v>
      </c>
      <c r="C167" s="3" t="n">
        <v>0</v>
      </c>
      <c r="D167" s="3" t="n">
        <v>5</v>
      </c>
      <c r="E167" s="3" t="n">
        <v>25</v>
      </c>
      <c r="F167" s="24" t="n">
        <v>0</v>
      </c>
    </row>
    <row r="168" customFormat="false" ht="15" hidden="false" customHeight="false" outlineLevel="0" collapsed="false">
      <c r="A168" s="3" t="n">
        <v>167</v>
      </c>
      <c r="B168" s="3" t="n">
        <v>166</v>
      </c>
      <c r="C168" s="3" t="n">
        <v>0</v>
      </c>
      <c r="D168" s="3" t="n">
        <v>5</v>
      </c>
      <c r="E168" s="3" t="n">
        <v>26</v>
      </c>
      <c r="F168" s="24" t="n">
        <v>0</v>
      </c>
    </row>
    <row r="169" customFormat="false" ht="15" hidden="false" customHeight="false" outlineLevel="0" collapsed="false">
      <c r="A169" s="3" t="n">
        <v>168</v>
      </c>
      <c r="B169" s="3" t="n">
        <v>167</v>
      </c>
      <c r="C169" s="3" t="n">
        <v>0</v>
      </c>
      <c r="D169" s="3" t="n">
        <v>5</v>
      </c>
      <c r="E169" s="3" t="n">
        <v>27</v>
      </c>
      <c r="F169" s="24" t="n">
        <v>0.0673455298</v>
      </c>
    </row>
    <row r="170" customFormat="false" ht="15" hidden="false" customHeight="false" outlineLevel="0" collapsed="false">
      <c r="A170" s="3" t="n">
        <v>169</v>
      </c>
      <c r="B170" s="3" t="n">
        <v>168</v>
      </c>
      <c r="C170" s="3" t="n">
        <v>0</v>
      </c>
      <c r="D170" s="3" t="n">
        <v>6</v>
      </c>
      <c r="E170" s="3" t="n">
        <v>0</v>
      </c>
      <c r="F170" s="24" t="n">
        <v>0.10001415</v>
      </c>
    </row>
    <row r="171" customFormat="false" ht="15" hidden="false" customHeight="false" outlineLevel="0" collapsed="false">
      <c r="A171" s="3" t="n">
        <v>170</v>
      </c>
      <c r="B171" s="3" t="n">
        <v>169</v>
      </c>
      <c r="C171" s="3" t="n">
        <v>0</v>
      </c>
      <c r="D171" s="3" t="n">
        <v>6</v>
      </c>
      <c r="E171" s="3" t="n">
        <v>1</v>
      </c>
      <c r="F171" s="24" t="n">
        <v>0</v>
      </c>
    </row>
    <row r="172" customFormat="false" ht="15" hidden="false" customHeight="false" outlineLevel="0" collapsed="false">
      <c r="A172" s="3" t="n">
        <v>171</v>
      </c>
      <c r="B172" s="3" t="n">
        <v>170</v>
      </c>
      <c r="C172" s="3" t="n">
        <v>0</v>
      </c>
      <c r="D172" s="3" t="n">
        <v>6</v>
      </c>
      <c r="E172" s="3" t="n">
        <v>2</v>
      </c>
      <c r="F172" s="24" t="n">
        <v>0</v>
      </c>
    </row>
    <row r="173" customFormat="false" ht="15" hidden="false" customHeight="false" outlineLevel="0" collapsed="false">
      <c r="A173" s="3" t="n">
        <v>172</v>
      </c>
      <c r="B173" s="3" t="n">
        <v>171</v>
      </c>
      <c r="C173" s="3" t="n">
        <v>0</v>
      </c>
      <c r="D173" s="3" t="n">
        <v>6</v>
      </c>
      <c r="E173" s="3" t="n">
        <v>3</v>
      </c>
      <c r="F173" s="24" t="n">
        <v>0</v>
      </c>
    </row>
    <row r="174" customFormat="false" ht="15" hidden="false" customHeight="false" outlineLevel="0" collapsed="false">
      <c r="A174" s="3" t="n">
        <v>173</v>
      </c>
      <c r="B174" s="3" t="n">
        <v>172</v>
      </c>
      <c r="C174" s="3" t="n">
        <v>0</v>
      </c>
      <c r="D174" s="3" t="n">
        <v>6</v>
      </c>
      <c r="E174" s="3" t="n">
        <v>4</v>
      </c>
      <c r="F174" s="24" t="n">
        <v>0</v>
      </c>
    </row>
    <row r="175" customFormat="false" ht="15" hidden="false" customHeight="false" outlineLevel="0" collapsed="false">
      <c r="A175" s="3" t="n">
        <v>174</v>
      </c>
      <c r="B175" s="3" t="n">
        <v>173</v>
      </c>
      <c r="C175" s="3" t="n">
        <v>0</v>
      </c>
      <c r="D175" s="3" t="n">
        <v>6</v>
      </c>
      <c r="E175" s="3" t="n">
        <v>5</v>
      </c>
      <c r="F175" s="24" t="n">
        <v>0.207864061</v>
      </c>
    </row>
    <row r="176" customFormat="false" ht="15" hidden="false" customHeight="false" outlineLevel="0" collapsed="false">
      <c r="A176" s="3" t="n">
        <v>175</v>
      </c>
      <c r="B176" s="3" t="n">
        <v>174</v>
      </c>
      <c r="C176" s="3" t="n">
        <v>0</v>
      </c>
      <c r="D176" s="3" t="n">
        <v>6</v>
      </c>
      <c r="E176" s="3" t="n">
        <v>6</v>
      </c>
      <c r="F176" s="24" t="n">
        <v>0.515329242</v>
      </c>
    </row>
    <row r="177" customFormat="false" ht="15" hidden="false" customHeight="false" outlineLevel="0" collapsed="false">
      <c r="A177" s="3" t="n">
        <v>176</v>
      </c>
      <c r="B177" s="3" t="n">
        <v>175</v>
      </c>
      <c r="C177" s="3" t="n">
        <v>0</v>
      </c>
      <c r="D177" s="3" t="n">
        <v>6</v>
      </c>
      <c r="E177" s="3" t="n">
        <v>7</v>
      </c>
      <c r="F177" s="24" t="n">
        <v>0.0980961323</v>
      </c>
    </row>
    <row r="178" customFormat="false" ht="15" hidden="false" customHeight="false" outlineLevel="0" collapsed="false">
      <c r="A178" s="3" t="n">
        <v>177</v>
      </c>
      <c r="B178" s="3" t="n">
        <v>176</v>
      </c>
      <c r="C178" s="3" t="n">
        <v>0</v>
      </c>
      <c r="D178" s="3" t="n">
        <v>6</v>
      </c>
      <c r="E178" s="3" t="n">
        <v>8</v>
      </c>
      <c r="F178" s="24" t="n">
        <v>0</v>
      </c>
    </row>
    <row r="179" customFormat="false" ht="15" hidden="false" customHeight="false" outlineLevel="0" collapsed="false">
      <c r="A179" s="3" t="n">
        <v>178</v>
      </c>
      <c r="B179" s="3" t="n">
        <v>177</v>
      </c>
      <c r="C179" s="3" t="n">
        <v>0</v>
      </c>
      <c r="D179" s="3" t="n">
        <v>6</v>
      </c>
      <c r="E179" s="3" t="n">
        <v>9</v>
      </c>
      <c r="F179" s="24" t="n">
        <v>0</v>
      </c>
    </row>
    <row r="180" customFormat="false" ht="15" hidden="false" customHeight="false" outlineLevel="0" collapsed="false">
      <c r="A180" s="3" t="n">
        <v>179</v>
      </c>
      <c r="B180" s="3" t="n">
        <v>178</v>
      </c>
      <c r="C180" s="3" t="n">
        <v>0</v>
      </c>
      <c r="D180" s="3" t="n">
        <v>6</v>
      </c>
      <c r="E180" s="3" t="n">
        <v>10</v>
      </c>
      <c r="F180" s="24" t="n">
        <v>0</v>
      </c>
    </row>
    <row r="181" customFormat="false" ht="15" hidden="false" customHeight="false" outlineLevel="0" collapsed="false">
      <c r="A181" s="3" t="n">
        <v>180</v>
      </c>
      <c r="B181" s="3" t="n">
        <v>179</v>
      </c>
      <c r="C181" s="3" t="n">
        <v>0</v>
      </c>
      <c r="D181" s="3" t="n">
        <v>6</v>
      </c>
      <c r="E181" s="3" t="n">
        <v>11</v>
      </c>
      <c r="F181" s="24" t="n">
        <v>0</v>
      </c>
    </row>
    <row r="182" customFormat="false" ht="15" hidden="false" customHeight="false" outlineLevel="0" collapsed="false">
      <c r="A182" s="3" t="n">
        <v>181</v>
      </c>
      <c r="B182" s="3" t="n">
        <v>180</v>
      </c>
      <c r="C182" s="3" t="n">
        <v>0</v>
      </c>
      <c r="D182" s="3" t="n">
        <v>6</v>
      </c>
      <c r="E182" s="3" t="n">
        <v>12</v>
      </c>
      <c r="F182" s="24" t="n">
        <v>0</v>
      </c>
    </row>
    <row r="183" customFormat="false" ht="15" hidden="false" customHeight="false" outlineLevel="0" collapsed="false">
      <c r="A183" s="3" t="n">
        <v>182</v>
      </c>
      <c r="B183" s="3" t="n">
        <v>181</v>
      </c>
      <c r="C183" s="3" t="n">
        <v>0</v>
      </c>
      <c r="D183" s="3" t="n">
        <v>6</v>
      </c>
      <c r="E183" s="3" t="n">
        <v>13</v>
      </c>
      <c r="F183" s="24" t="n">
        <v>0</v>
      </c>
    </row>
    <row r="184" customFormat="false" ht="15" hidden="false" customHeight="false" outlineLevel="0" collapsed="false">
      <c r="A184" s="3" t="n">
        <v>183</v>
      </c>
      <c r="B184" s="3" t="n">
        <v>182</v>
      </c>
      <c r="C184" s="3" t="n">
        <v>0</v>
      </c>
      <c r="D184" s="3" t="n">
        <v>6</v>
      </c>
      <c r="E184" s="3" t="n">
        <v>14</v>
      </c>
      <c r="F184" s="24" t="n">
        <v>0</v>
      </c>
    </row>
    <row r="185" customFormat="false" ht="15" hidden="false" customHeight="false" outlineLevel="0" collapsed="false">
      <c r="A185" s="3" t="n">
        <v>184</v>
      </c>
      <c r="B185" s="3" t="n">
        <v>183</v>
      </c>
      <c r="C185" s="3" t="n">
        <v>0</v>
      </c>
      <c r="D185" s="3" t="n">
        <v>6</v>
      </c>
      <c r="E185" s="3" t="n">
        <v>15</v>
      </c>
      <c r="F185" s="24" t="n">
        <v>0</v>
      </c>
    </row>
    <row r="186" customFormat="false" ht="15" hidden="false" customHeight="false" outlineLevel="0" collapsed="false">
      <c r="A186" s="3" t="n">
        <v>185</v>
      </c>
      <c r="B186" s="3" t="n">
        <v>184</v>
      </c>
      <c r="C186" s="3" t="n">
        <v>0</v>
      </c>
      <c r="D186" s="3" t="n">
        <v>6</v>
      </c>
      <c r="E186" s="3" t="n">
        <v>16</v>
      </c>
      <c r="F186" s="24" t="n">
        <v>0</v>
      </c>
    </row>
    <row r="187" customFormat="false" ht="15" hidden="false" customHeight="false" outlineLevel="0" collapsed="false">
      <c r="A187" s="3" t="n">
        <v>186</v>
      </c>
      <c r="B187" s="3" t="n">
        <v>185</v>
      </c>
      <c r="C187" s="3" t="n">
        <v>0</v>
      </c>
      <c r="D187" s="3" t="n">
        <v>6</v>
      </c>
      <c r="E187" s="3" t="n">
        <v>17</v>
      </c>
      <c r="F187" s="24" t="n">
        <v>0</v>
      </c>
    </row>
    <row r="188" customFormat="false" ht="15" hidden="false" customHeight="false" outlineLevel="0" collapsed="false">
      <c r="A188" s="3" t="n">
        <v>187</v>
      </c>
      <c r="B188" s="3" t="n">
        <v>186</v>
      </c>
      <c r="C188" s="3" t="n">
        <v>0</v>
      </c>
      <c r="D188" s="3" t="n">
        <v>6</v>
      </c>
      <c r="E188" s="3" t="n">
        <v>18</v>
      </c>
      <c r="F188" s="24" t="n">
        <v>0</v>
      </c>
    </row>
    <row r="189" customFormat="false" ht="15" hidden="false" customHeight="false" outlineLevel="0" collapsed="false">
      <c r="A189" s="3" t="n">
        <v>188</v>
      </c>
      <c r="B189" s="3" t="n">
        <v>187</v>
      </c>
      <c r="C189" s="3" t="n">
        <v>0</v>
      </c>
      <c r="D189" s="3" t="n">
        <v>6</v>
      </c>
      <c r="E189" s="3" t="n">
        <v>19</v>
      </c>
      <c r="F189" s="24" t="n">
        <v>0</v>
      </c>
    </row>
    <row r="190" customFormat="false" ht="15" hidden="false" customHeight="false" outlineLevel="0" collapsed="false">
      <c r="A190" s="3" t="n">
        <v>189</v>
      </c>
      <c r="B190" s="3" t="n">
        <v>188</v>
      </c>
      <c r="C190" s="3" t="n">
        <v>0</v>
      </c>
      <c r="D190" s="3" t="n">
        <v>6</v>
      </c>
      <c r="E190" s="3" t="n">
        <v>20</v>
      </c>
      <c r="F190" s="24" t="n">
        <v>0</v>
      </c>
    </row>
    <row r="191" customFormat="false" ht="15" hidden="false" customHeight="false" outlineLevel="0" collapsed="false">
      <c r="A191" s="3" t="n">
        <v>190</v>
      </c>
      <c r="B191" s="3" t="n">
        <v>189</v>
      </c>
      <c r="C191" s="3" t="n">
        <v>0</v>
      </c>
      <c r="D191" s="3" t="n">
        <v>6</v>
      </c>
      <c r="E191" s="3" t="n">
        <v>21</v>
      </c>
      <c r="F191" s="24" t="n">
        <v>0</v>
      </c>
    </row>
    <row r="192" customFormat="false" ht="15" hidden="false" customHeight="false" outlineLevel="0" collapsed="false">
      <c r="A192" s="3" t="n">
        <v>191</v>
      </c>
      <c r="B192" s="3" t="n">
        <v>190</v>
      </c>
      <c r="C192" s="3" t="n">
        <v>0</v>
      </c>
      <c r="D192" s="3" t="n">
        <v>6</v>
      </c>
      <c r="E192" s="3" t="n">
        <v>22</v>
      </c>
      <c r="F192" s="24" t="n">
        <v>0</v>
      </c>
    </row>
    <row r="193" customFormat="false" ht="15" hidden="false" customHeight="false" outlineLevel="0" collapsed="false">
      <c r="A193" s="3" t="n">
        <v>192</v>
      </c>
      <c r="B193" s="3" t="n">
        <v>191</v>
      </c>
      <c r="C193" s="3" t="n">
        <v>0</v>
      </c>
      <c r="D193" s="3" t="n">
        <v>6</v>
      </c>
      <c r="E193" s="3" t="n">
        <v>23</v>
      </c>
      <c r="F193" s="24" t="n">
        <v>0</v>
      </c>
    </row>
    <row r="194" customFormat="false" ht="15" hidden="false" customHeight="false" outlineLevel="0" collapsed="false">
      <c r="A194" s="3" t="n">
        <v>193</v>
      </c>
      <c r="B194" s="3" t="n">
        <v>192</v>
      </c>
      <c r="C194" s="3" t="n">
        <v>0</v>
      </c>
      <c r="D194" s="3" t="n">
        <v>6</v>
      </c>
      <c r="E194" s="3" t="n">
        <v>24</v>
      </c>
      <c r="F194" s="24" t="n">
        <v>0</v>
      </c>
    </row>
    <row r="195" customFormat="false" ht="15" hidden="false" customHeight="false" outlineLevel="0" collapsed="false">
      <c r="A195" s="3" t="n">
        <v>194</v>
      </c>
      <c r="B195" s="3" t="n">
        <v>193</v>
      </c>
      <c r="C195" s="3" t="n">
        <v>0</v>
      </c>
      <c r="D195" s="3" t="n">
        <v>6</v>
      </c>
      <c r="E195" s="3" t="n">
        <v>25</v>
      </c>
      <c r="F195" s="24" t="n">
        <v>0</v>
      </c>
    </row>
    <row r="196" customFormat="false" ht="15" hidden="false" customHeight="false" outlineLevel="0" collapsed="false">
      <c r="A196" s="3" t="n">
        <v>195</v>
      </c>
      <c r="B196" s="3" t="n">
        <v>194</v>
      </c>
      <c r="C196" s="3" t="n">
        <v>0</v>
      </c>
      <c r="D196" s="3" t="n">
        <v>6</v>
      </c>
      <c r="E196" s="3" t="n">
        <v>26</v>
      </c>
      <c r="F196" s="24" t="n">
        <v>0</v>
      </c>
    </row>
    <row r="197" customFormat="false" ht="15" hidden="false" customHeight="false" outlineLevel="0" collapsed="false">
      <c r="A197" s="3" t="n">
        <v>196</v>
      </c>
      <c r="B197" s="3" t="n">
        <v>195</v>
      </c>
      <c r="C197" s="3" t="n">
        <v>0</v>
      </c>
      <c r="D197" s="3" t="n">
        <v>6</v>
      </c>
      <c r="E197" s="3" t="n">
        <v>27</v>
      </c>
      <c r="F197" s="24" t="n">
        <v>0.0673455298</v>
      </c>
    </row>
    <row r="198" customFormat="false" ht="15" hidden="false" customHeight="false" outlineLevel="0" collapsed="false">
      <c r="A198" s="3" t="n">
        <v>197</v>
      </c>
      <c r="B198" s="3" t="n">
        <v>196</v>
      </c>
      <c r="C198" s="3" t="n">
        <v>0</v>
      </c>
      <c r="D198" s="3" t="n">
        <v>7</v>
      </c>
      <c r="E198" s="3" t="n">
        <v>0</v>
      </c>
      <c r="F198" s="24" t="n">
        <v>0.10001415</v>
      </c>
    </row>
    <row r="199" customFormat="false" ht="15" hidden="false" customHeight="false" outlineLevel="0" collapsed="false">
      <c r="A199" s="3" t="n">
        <v>198</v>
      </c>
      <c r="B199" s="3" t="n">
        <v>197</v>
      </c>
      <c r="C199" s="3" t="n">
        <v>0</v>
      </c>
      <c r="D199" s="3" t="n">
        <v>7</v>
      </c>
      <c r="E199" s="3" t="n">
        <v>1</v>
      </c>
      <c r="F199" s="24" t="n">
        <v>0</v>
      </c>
    </row>
    <row r="200" customFormat="false" ht="15" hidden="false" customHeight="false" outlineLevel="0" collapsed="false">
      <c r="A200" s="3" t="n">
        <v>199</v>
      </c>
      <c r="B200" s="3" t="n">
        <v>198</v>
      </c>
      <c r="C200" s="3" t="n">
        <v>0</v>
      </c>
      <c r="D200" s="3" t="n">
        <v>7</v>
      </c>
      <c r="E200" s="3" t="n">
        <v>2</v>
      </c>
      <c r="F200" s="24" t="n">
        <v>0</v>
      </c>
    </row>
    <row r="201" customFormat="false" ht="15" hidden="false" customHeight="false" outlineLevel="0" collapsed="false">
      <c r="A201" s="3" t="n">
        <v>200</v>
      </c>
      <c r="B201" s="3" t="n">
        <v>199</v>
      </c>
      <c r="C201" s="3" t="n">
        <v>0</v>
      </c>
      <c r="D201" s="3" t="n">
        <v>7</v>
      </c>
      <c r="E201" s="3" t="n">
        <v>3</v>
      </c>
      <c r="F201" s="24" t="n">
        <v>0</v>
      </c>
    </row>
    <row r="202" customFormat="false" ht="15" hidden="false" customHeight="false" outlineLevel="0" collapsed="false">
      <c r="A202" s="3" t="n">
        <v>201</v>
      </c>
      <c r="B202" s="3" t="n">
        <v>200</v>
      </c>
      <c r="C202" s="3" t="n">
        <v>0</v>
      </c>
      <c r="D202" s="3" t="n">
        <v>7</v>
      </c>
      <c r="E202" s="3" t="n">
        <v>4</v>
      </c>
      <c r="F202" s="24" t="n">
        <v>0</v>
      </c>
    </row>
    <row r="203" customFormat="false" ht="15" hidden="false" customHeight="false" outlineLevel="0" collapsed="false">
      <c r="A203" s="3" t="n">
        <v>202</v>
      </c>
      <c r="B203" s="3" t="n">
        <v>201</v>
      </c>
      <c r="C203" s="3" t="n">
        <v>0</v>
      </c>
      <c r="D203" s="3" t="n">
        <v>7</v>
      </c>
      <c r="E203" s="3" t="n">
        <v>5</v>
      </c>
      <c r="F203" s="24" t="n">
        <v>0.978731275</v>
      </c>
    </row>
    <row r="204" customFormat="false" ht="15" hidden="false" customHeight="false" outlineLevel="0" collapsed="false">
      <c r="A204" s="3" t="n">
        <v>203</v>
      </c>
      <c r="B204" s="3" t="n">
        <v>202</v>
      </c>
      <c r="C204" s="3" t="n">
        <v>0</v>
      </c>
      <c r="D204" s="3" t="n">
        <v>7</v>
      </c>
      <c r="E204" s="3" t="n">
        <v>6</v>
      </c>
      <c r="F204" s="24" t="n">
        <v>1.84406316</v>
      </c>
    </row>
    <row r="205" customFormat="false" ht="15" hidden="false" customHeight="false" outlineLevel="0" collapsed="false">
      <c r="A205" s="3" t="n">
        <v>204</v>
      </c>
      <c r="B205" s="3" t="n">
        <v>203</v>
      </c>
      <c r="C205" s="3" t="n">
        <v>0</v>
      </c>
      <c r="D205" s="3" t="n">
        <v>7</v>
      </c>
      <c r="E205" s="3" t="n">
        <v>7</v>
      </c>
      <c r="F205" s="24" t="n">
        <v>1.3822825</v>
      </c>
    </row>
    <row r="206" customFormat="false" ht="15" hidden="false" customHeight="false" outlineLevel="0" collapsed="false">
      <c r="A206" s="3" t="n">
        <v>205</v>
      </c>
      <c r="B206" s="3" t="n">
        <v>204</v>
      </c>
      <c r="C206" s="3" t="n">
        <v>0</v>
      </c>
      <c r="D206" s="3" t="n">
        <v>7</v>
      </c>
      <c r="E206" s="3" t="n">
        <v>8</v>
      </c>
      <c r="F206" s="24" t="n">
        <v>1.55139136</v>
      </c>
    </row>
    <row r="207" customFormat="false" ht="15" hidden="false" customHeight="false" outlineLevel="0" collapsed="false">
      <c r="A207" s="3" t="n">
        <v>206</v>
      </c>
      <c r="B207" s="3" t="n">
        <v>205</v>
      </c>
      <c r="C207" s="3" t="n">
        <v>0</v>
      </c>
      <c r="D207" s="3" t="n">
        <v>7</v>
      </c>
      <c r="E207" s="3" t="n">
        <v>9</v>
      </c>
      <c r="F207" s="24" t="n">
        <v>1.0001725</v>
      </c>
    </row>
    <row r="208" customFormat="false" ht="15" hidden="false" customHeight="false" outlineLevel="0" collapsed="false">
      <c r="A208" s="3" t="n">
        <v>207</v>
      </c>
      <c r="B208" s="3" t="n">
        <v>206</v>
      </c>
      <c r="C208" s="3" t="n">
        <v>0</v>
      </c>
      <c r="D208" s="3" t="n">
        <v>7</v>
      </c>
      <c r="E208" s="3" t="n">
        <v>10</v>
      </c>
      <c r="F208" s="24" t="n">
        <v>0.558254719</v>
      </c>
    </row>
    <row r="209" customFormat="false" ht="15" hidden="false" customHeight="false" outlineLevel="0" collapsed="false">
      <c r="A209" s="3" t="n">
        <v>208</v>
      </c>
      <c r="B209" s="3" t="n">
        <v>207</v>
      </c>
      <c r="C209" s="3" t="n">
        <v>0</v>
      </c>
      <c r="D209" s="3" t="n">
        <v>7</v>
      </c>
      <c r="E209" s="3" t="n">
        <v>11</v>
      </c>
      <c r="F209" s="24" t="n">
        <v>0</v>
      </c>
    </row>
    <row r="210" customFormat="false" ht="15" hidden="false" customHeight="false" outlineLevel="0" collapsed="false">
      <c r="A210" s="3" t="n">
        <v>209</v>
      </c>
      <c r="B210" s="3" t="n">
        <v>208</v>
      </c>
      <c r="C210" s="3" t="n">
        <v>0</v>
      </c>
      <c r="D210" s="3" t="n">
        <v>7</v>
      </c>
      <c r="E210" s="3" t="n">
        <v>12</v>
      </c>
      <c r="F210" s="24" t="n">
        <v>0</v>
      </c>
    </row>
    <row r="211" customFormat="false" ht="15" hidden="false" customHeight="false" outlineLevel="0" collapsed="false">
      <c r="A211" s="3" t="n">
        <v>210</v>
      </c>
      <c r="B211" s="3" t="n">
        <v>209</v>
      </c>
      <c r="C211" s="3" t="n">
        <v>0</v>
      </c>
      <c r="D211" s="3" t="n">
        <v>7</v>
      </c>
      <c r="E211" s="3" t="n">
        <v>13</v>
      </c>
      <c r="F211" s="24" t="n">
        <v>0</v>
      </c>
    </row>
    <row r="212" customFormat="false" ht="15" hidden="false" customHeight="false" outlineLevel="0" collapsed="false">
      <c r="A212" s="3" t="n">
        <v>211</v>
      </c>
      <c r="B212" s="3" t="n">
        <v>210</v>
      </c>
      <c r="C212" s="3" t="n">
        <v>0</v>
      </c>
      <c r="D212" s="3" t="n">
        <v>7</v>
      </c>
      <c r="E212" s="3" t="n">
        <v>14</v>
      </c>
      <c r="F212" s="24" t="n">
        <v>0</v>
      </c>
    </row>
    <row r="213" customFormat="false" ht="15" hidden="false" customHeight="false" outlineLevel="0" collapsed="false">
      <c r="A213" s="3" t="n">
        <v>212</v>
      </c>
      <c r="B213" s="3" t="n">
        <v>211</v>
      </c>
      <c r="C213" s="3" t="n">
        <v>0</v>
      </c>
      <c r="D213" s="3" t="n">
        <v>7</v>
      </c>
      <c r="E213" s="3" t="n">
        <v>15</v>
      </c>
      <c r="F213" s="24" t="n">
        <v>0</v>
      </c>
    </row>
    <row r="214" customFormat="false" ht="15" hidden="false" customHeight="false" outlineLevel="0" collapsed="false">
      <c r="A214" s="3" t="n">
        <v>213</v>
      </c>
      <c r="B214" s="3" t="n">
        <v>212</v>
      </c>
      <c r="C214" s="3" t="n">
        <v>0</v>
      </c>
      <c r="D214" s="3" t="n">
        <v>7</v>
      </c>
      <c r="E214" s="3" t="n">
        <v>16</v>
      </c>
      <c r="F214" s="24" t="n">
        <v>0</v>
      </c>
    </row>
    <row r="215" customFormat="false" ht="15" hidden="false" customHeight="false" outlineLevel="0" collapsed="false">
      <c r="A215" s="3" t="n">
        <v>214</v>
      </c>
      <c r="B215" s="3" t="n">
        <v>213</v>
      </c>
      <c r="C215" s="3" t="n">
        <v>0</v>
      </c>
      <c r="D215" s="3" t="n">
        <v>7</v>
      </c>
      <c r="E215" s="3" t="n">
        <v>17</v>
      </c>
      <c r="F215" s="24" t="n">
        <v>0</v>
      </c>
    </row>
    <row r="216" customFormat="false" ht="15" hidden="false" customHeight="false" outlineLevel="0" collapsed="false">
      <c r="A216" s="3" t="n">
        <v>215</v>
      </c>
      <c r="B216" s="3" t="n">
        <v>214</v>
      </c>
      <c r="C216" s="3" t="n">
        <v>0</v>
      </c>
      <c r="D216" s="3" t="n">
        <v>7</v>
      </c>
      <c r="E216" s="3" t="n">
        <v>18</v>
      </c>
      <c r="F216" s="24" t="n">
        <v>0</v>
      </c>
    </row>
    <row r="217" customFormat="false" ht="15" hidden="false" customHeight="false" outlineLevel="0" collapsed="false">
      <c r="A217" s="3" t="n">
        <v>216</v>
      </c>
      <c r="B217" s="3" t="n">
        <v>215</v>
      </c>
      <c r="C217" s="3" t="n">
        <v>0</v>
      </c>
      <c r="D217" s="3" t="n">
        <v>7</v>
      </c>
      <c r="E217" s="3" t="n">
        <v>19</v>
      </c>
      <c r="F217" s="24" t="n">
        <v>0</v>
      </c>
    </row>
    <row r="218" customFormat="false" ht="15" hidden="false" customHeight="false" outlineLevel="0" collapsed="false">
      <c r="A218" s="3" t="n">
        <v>217</v>
      </c>
      <c r="B218" s="3" t="n">
        <v>216</v>
      </c>
      <c r="C218" s="3" t="n">
        <v>0</v>
      </c>
      <c r="D218" s="3" t="n">
        <v>7</v>
      </c>
      <c r="E218" s="3" t="n">
        <v>20</v>
      </c>
      <c r="F218" s="24" t="n">
        <v>0</v>
      </c>
    </row>
    <row r="219" customFormat="false" ht="15" hidden="false" customHeight="false" outlineLevel="0" collapsed="false">
      <c r="A219" s="3" t="n">
        <v>218</v>
      </c>
      <c r="B219" s="3" t="n">
        <v>217</v>
      </c>
      <c r="C219" s="3" t="n">
        <v>0</v>
      </c>
      <c r="D219" s="3" t="n">
        <v>7</v>
      </c>
      <c r="E219" s="3" t="n">
        <v>21</v>
      </c>
      <c r="F219" s="24" t="n">
        <v>0</v>
      </c>
    </row>
    <row r="220" customFormat="false" ht="15" hidden="false" customHeight="false" outlineLevel="0" collapsed="false">
      <c r="A220" s="3" t="n">
        <v>219</v>
      </c>
      <c r="B220" s="3" t="n">
        <v>218</v>
      </c>
      <c r="C220" s="3" t="n">
        <v>0</v>
      </c>
      <c r="D220" s="3" t="n">
        <v>7</v>
      </c>
      <c r="E220" s="3" t="n">
        <v>22</v>
      </c>
      <c r="F220" s="24" t="n">
        <v>0</v>
      </c>
    </row>
    <row r="221" customFormat="false" ht="15" hidden="false" customHeight="false" outlineLevel="0" collapsed="false">
      <c r="A221" s="3" t="n">
        <v>220</v>
      </c>
      <c r="B221" s="3" t="n">
        <v>219</v>
      </c>
      <c r="C221" s="3" t="n">
        <v>0</v>
      </c>
      <c r="D221" s="3" t="n">
        <v>7</v>
      </c>
      <c r="E221" s="3" t="n">
        <v>23</v>
      </c>
      <c r="F221" s="24" t="n">
        <v>0</v>
      </c>
    </row>
    <row r="222" customFormat="false" ht="15" hidden="false" customHeight="false" outlineLevel="0" collapsed="false">
      <c r="A222" s="3" t="n">
        <v>221</v>
      </c>
      <c r="B222" s="3" t="n">
        <v>220</v>
      </c>
      <c r="C222" s="3" t="n">
        <v>0</v>
      </c>
      <c r="D222" s="3" t="n">
        <v>7</v>
      </c>
      <c r="E222" s="3" t="n">
        <v>24</v>
      </c>
      <c r="F222" s="24" t="n">
        <v>0</v>
      </c>
    </row>
    <row r="223" customFormat="false" ht="15" hidden="false" customHeight="false" outlineLevel="0" collapsed="false">
      <c r="A223" s="3" t="n">
        <v>222</v>
      </c>
      <c r="B223" s="3" t="n">
        <v>221</v>
      </c>
      <c r="C223" s="3" t="n">
        <v>0</v>
      </c>
      <c r="D223" s="3" t="n">
        <v>7</v>
      </c>
      <c r="E223" s="3" t="n">
        <v>25</v>
      </c>
      <c r="F223" s="24" t="n">
        <v>0</v>
      </c>
    </row>
    <row r="224" customFormat="false" ht="15" hidden="false" customHeight="false" outlineLevel="0" collapsed="false">
      <c r="A224" s="3" t="n">
        <v>223</v>
      </c>
      <c r="B224" s="3" t="n">
        <v>222</v>
      </c>
      <c r="C224" s="3" t="n">
        <v>0</v>
      </c>
      <c r="D224" s="3" t="n">
        <v>7</v>
      </c>
      <c r="E224" s="3" t="n">
        <v>26</v>
      </c>
      <c r="F224" s="24" t="n">
        <v>0</v>
      </c>
    </row>
    <row r="225" customFormat="false" ht="15" hidden="false" customHeight="false" outlineLevel="0" collapsed="false">
      <c r="A225" s="3" t="n">
        <v>224</v>
      </c>
      <c r="B225" s="3" t="n">
        <v>223</v>
      </c>
      <c r="C225" s="3" t="n">
        <v>0</v>
      </c>
      <c r="D225" s="3" t="n">
        <v>7</v>
      </c>
      <c r="E225" s="3" t="n">
        <v>27</v>
      </c>
      <c r="F225" s="24" t="n">
        <v>0.0673455298</v>
      </c>
    </row>
    <row r="226" customFormat="false" ht="15" hidden="false" customHeight="false" outlineLevel="0" collapsed="false">
      <c r="A226" s="3" t="n">
        <v>225</v>
      </c>
      <c r="B226" s="3" t="n">
        <v>224</v>
      </c>
      <c r="C226" s="3" t="n">
        <v>0</v>
      </c>
      <c r="D226" s="3" t="n">
        <v>8</v>
      </c>
      <c r="E226" s="3" t="n">
        <v>0</v>
      </c>
      <c r="F226" s="24" t="n">
        <v>0.10001415</v>
      </c>
    </row>
    <row r="227" customFormat="false" ht="15" hidden="false" customHeight="false" outlineLevel="0" collapsed="false">
      <c r="A227" s="3" t="n">
        <v>226</v>
      </c>
      <c r="B227" s="3" t="n">
        <v>225</v>
      </c>
      <c r="C227" s="3" t="n">
        <v>0</v>
      </c>
      <c r="D227" s="3" t="n">
        <v>8</v>
      </c>
      <c r="E227" s="3" t="n">
        <v>1</v>
      </c>
      <c r="F227" s="24" t="n">
        <v>0</v>
      </c>
    </row>
    <row r="228" customFormat="false" ht="15" hidden="false" customHeight="false" outlineLevel="0" collapsed="false">
      <c r="A228" s="3" t="n">
        <v>227</v>
      </c>
      <c r="B228" s="3" t="n">
        <v>226</v>
      </c>
      <c r="C228" s="3" t="n">
        <v>0</v>
      </c>
      <c r="D228" s="3" t="n">
        <v>8</v>
      </c>
      <c r="E228" s="3" t="n">
        <v>2</v>
      </c>
      <c r="F228" s="24" t="n">
        <v>0</v>
      </c>
    </row>
    <row r="229" customFormat="false" ht="15" hidden="false" customHeight="false" outlineLevel="0" collapsed="false">
      <c r="A229" s="3" t="n">
        <v>228</v>
      </c>
      <c r="B229" s="3" t="n">
        <v>227</v>
      </c>
      <c r="C229" s="3" t="n">
        <v>0</v>
      </c>
      <c r="D229" s="3" t="n">
        <v>8</v>
      </c>
      <c r="E229" s="3" t="n">
        <v>3</v>
      </c>
      <c r="F229" s="24" t="n">
        <v>0</v>
      </c>
    </row>
    <row r="230" customFormat="false" ht="15" hidden="false" customHeight="false" outlineLevel="0" collapsed="false">
      <c r="A230" s="3" t="n">
        <v>229</v>
      </c>
      <c r="B230" s="3" t="n">
        <v>228</v>
      </c>
      <c r="C230" s="3" t="n">
        <v>0</v>
      </c>
      <c r="D230" s="3" t="n">
        <v>8</v>
      </c>
      <c r="E230" s="3" t="n">
        <v>4</v>
      </c>
      <c r="F230" s="24" t="n">
        <v>0</v>
      </c>
    </row>
    <row r="231" customFormat="false" ht="15" hidden="false" customHeight="false" outlineLevel="0" collapsed="false">
      <c r="A231" s="3" t="n">
        <v>230</v>
      </c>
      <c r="B231" s="3" t="n">
        <v>229</v>
      </c>
      <c r="C231" s="3" t="n">
        <v>0</v>
      </c>
      <c r="D231" s="3" t="n">
        <v>8</v>
      </c>
      <c r="E231" s="3" t="n">
        <v>5</v>
      </c>
      <c r="F231" s="24" t="n">
        <v>0.797279</v>
      </c>
    </row>
    <row r="232" customFormat="false" ht="15" hidden="false" customHeight="false" outlineLevel="0" collapsed="false">
      <c r="A232" s="3" t="n">
        <v>231</v>
      </c>
      <c r="B232" s="3" t="n">
        <v>230</v>
      </c>
      <c r="C232" s="3" t="n">
        <v>0</v>
      </c>
      <c r="D232" s="3" t="n">
        <v>8</v>
      </c>
      <c r="E232" s="3" t="n">
        <v>6</v>
      </c>
      <c r="F232" s="24" t="n">
        <v>1.5275104</v>
      </c>
    </row>
    <row r="233" customFormat="false" ht="15" hidden="false" customHeight="false" outlineLevel="0" collapsed="false">
      <c r="A233" s="3" t="n">
        <v>232</v>
      </c>
      <c r="B233" s="3" t="n">
        <v>231</v>
      </c>
      <c r="C233" s="3" t="n">
        <v>0</v>
      </c>
      <c r="D233" s="3" t="n">
        <v>8</v>
      </c>
      <c r="E233" s="3" t="n">
        <v>7</v>
      </c>
      <c r="F233" s="24" t="n">
        <v>2.91805315</v>
      </c>
    </row>
    <row r="234" customFormat="false" ht="15" hidden="false" customHeight="false" outlineLevel="0" collapsed="false">
      <c r="A234" s="3" t="n">
        <v>233</v>
      </c>
      <c r="B234" s="3" t="n">
        <v>232</v>
      </c>
      <c r="C234" s="3" t="n">
        <v>0</v>
      </c>
      <c r="D234" s="3" t="n">
        <v>8</v>
      </c>
      <c r="E234" s="3" t="n">
        <v>8</v>
      </c>
      <c r="F234" s="24" t="n">
        <v>3.31308222</v>
      </c>
    </row>
    <row r="235" customFormat="false" ht="15" hidden="false" customHeight="false" outlineLevel="0" collapsed="false">
      <c r="A235" s="3" t="n">
        <v>234</v>
      </c>
      <c r="B235" s="3" t="n">
        <v>233</v>
      </c>
      <c r="C235" s="3" t="n">
        <v>0</v>
      </c>
      <c r="D235" s="3" t="n">
        <v>8</v>
      </c>
      <c r="E235" s="3" t="n">
        <v>9</v>
      </c>
      <c r="F235" s="24" t="n">
        <v>3.93855238</v>
      </c>
    </row>
    <row r="236" customFormat="false" ht="15" hidden="false" customHeight="false" outlineLevel="0" collapsed="false">
      <c r="A236" s="3" t="n">
        <v>235</v>
      </c>
      <c r="B236" s="3" t="n">
        <v>234</v>
      </c>
      <c r="C236" s="3" t="n">
        <v>0</v>
      </c>
      <c r="D236" s="3" t="n">
        <v>8</v>
      </c>
      <c r="E236" s="3" t="n">
        <v>10</v>
      </c>
      <c r="F236" s="24" t="n">
        <v>3.68386793</v>
      </c>
    </row>
    <row r="237" customFormat="false" ht="15" hidden="false" customHeight="false" outlineLevel="0" collapsed="false">
      <c r="A237" s="3" t="n">
        <v>236</v>
      </c>
      <c r="B237" s="3" t="n">
        <v>235</v>
      </c>
      <c r="C237" s="3" t="n">
        <v>0</v>
      </c>
      <c r="D237" s="3" t="n">
        <v>8</v>
      </c>
      <c r="E237" s="3" t="n">
        <v>11</v>
      </c>
      <c r="F237" s="24" t="n">
        <v>3.04639626</v>
      </c>
    </row>
    <row r="238" customFormat="false" ht="15" hidden="false" customHeight="false" outlineLevel="0" collapsed="false">
      <c r="A238" s="3" t="n">
        <v>237</v>
      </c>
      <c r="B238" s="3" t="n">
        <v>236</v>
      </c>
      <c r="C238" s="3" t="n">
        <v>0</v>
      </c>
      <c r="D238" s="3" t="n">
        <v>8</v>
      </c>
      <c r="E238" s="3" t="n">
        <v>12</v>
      </c>
      <c r="F238" s="24" t="n">
        <v>2.30168056</v>
      </c>
    </row>
    <row r="239" customFormat="false" ht="15" hidden="false" customHeight="false" outlineLevel="0" collapsed="false">
      <c r="A239" s="3" t="n">
        <v>238</v>
      </c>
      <c r="B239" s="3" t="n">
        <v>237</v>
      </c>
      <c r="C239" s="3" t="n">
        <v>0</v>
      </c>
      <c r="D239" s="3" t="n">
        <v>8</v>
      </c>
      <c r="E239" s="3" t="n">
        <v>13</v>
      </c>
      <c r="F239" s="24" t="n">
        <v>1.92542958</v>
      </c>
    </row>
    <row r="240" customFormat="false" ht="15" hidden="false" customHeight="false" outlineLevel="0" collapsed="false">
      <c r="A240" s="3" t="n">
        <v>239</v>
      </c>
      <c r="B240" s="3" t="n">
        <v>238</v>
      </c>
      <c r="C240" s="3" t="n">
        <v>0</v>
      </c>
      <c r="D240" s="3" t="n">
        <v>8</v>
      </c>
      <c r="E240" s="3" t="n">
        <v>14</v>
      </c>
      <c r="F240" s="24" t="n">
        <v>2.06454301</v>
      </c>
    </row>
    <row r="241" customFormat="false" ht="15" hidden="false" customHeight="false" outlineLevel="0" collapsed="false">
      <c r="A241" s="3" t="n">
        <v>240</v>
      </c>
      <c r="B241" s="3" t="n">
        <v>239</v>
      </c>
      <c r="C241" s="3" t="n">
        <v>0</v>
      </c>
      <c r="D241" s="3" t="n">
        <v>8</v>
      </c>
      <c r="E241" s="3" t="n">
        <v>15</v>
      </c>
      <c r="F241" s="24" t="n">
        <v>1.9345336</v>
      </c>
    </row>
    <row r="242" customFormat="false" ht="15" hidden="false" customHeight="false" outlineLevel="0" collapsed="false">
      <c r="A242" s="3" t="n">
        <v>241</v>
      </c>
      <c r="B242" s="3" t="n">
        <v>240</v>
      </c>
      <c r="C242" s="3" t="n">
        <v>0</v>
      </c>
      <c r="D242" s="3" t="n">
        <v>8</v>
      </c>
      <c r="E242" s="3" t="n">
        <v>16</v>
      </c>
      <c r="F242" s="24" t="n">
        <v>1.92340112</v>
      </c>
    </row>
    <row r="243" customFormat="false" ht="15" hidden="false" customHeight="false" outlineLevel="0" collapsed="false">
      <c r="A243" s="3" t="n">
        <v>242</v>
      </c>
      <c r="B243" s="3" t="n">
        <v>241</v>
      </c>
      <c r="C243" s="3" t="n">
        <v>0</v>
      </c>
      <c r="D243" s="3" t="n">
        <v>8</v>
      </c>
      <c r="E243" s="3" t="n">
        <v>17</v>
      </c>
      <c r="F243" s="24" t="n">
        <v>1.86369979</v>
      </c>
    </row>
    <row r="244" customFormat="false" ht="15" hidden="false" customHeight="false" outlineLevel="0" collapsed="false">
      <c r="A244" s="3" t="n">
        <v>243</v>
      </c>
      <c r="B244" s="3" t="n">
        <v>242</v>
      </c>
      <c r="C244" s="3" t="n">
        <v>0</v>
      </c>
      <c r="D244" s="3" t="n">
        <v>8</v>
      </c>
      <c r="E244" s="3" t="n">
        <v>18</v>
      </c>
      <c r="F244" s="24" t="n">
        <v>1.94461751</v>
      </c>
    </row>
    <row r="245" customFormat="false" ht="15" hidden="false" customHeight="false" outlineLevel="0" collapsed="false">
      <c r="A245" s="3" t="n">
        <v>244</v>
      </c>
      <c r="B245" s="3" t="n">
        <v>243</v>
      </c>
      <c r="C245" s="3" t="n">
        <v>0</v>
      </c>
      <c r="D245" s="3" t="n">
        <v>8</v>
      </c>
      <c r="E245" s="3" t="n">
        <v>19</v>
      </c>
      <c r="F245" s="24" t="n">
        <v>1.91767848</v>
      </c>
    </row>
    <row r="246" customFormat="false" ht="15" hidden="false" customHeight="false" outlineLevel="0" collapsed="false">
      <c r="A246" s="3" t="n">
        <v>245</v>
      </c>
      <c r="B246" s="3" t="n">
        <v>244</v>
      </c>
      <c r="C246" s="3" t="n">
        <v>0</v>
      </c>
      <c r="D246" s="3" t="n">
        <v>8</v>
      </c>
      <c r="E246" s="3" t="n">
        <v>20</v>
      </c>
      <c r="F246" s="24" t="n">
        <v>0.864467561</v>
      </c>
    </row>
    <row r="247" customFormat="false" ht="15" hidden="false" customHeight="false" outlineLevel="0" collapsed="false">
      <c r="A247" s="3" t="n">
        <v>246</v>
      </c>
      <c r="B247" s="3" t="n">
        <v>245</v>
      </c>
      <c r="C247" s="3" t="n">
        <v>0</v>
      </c>
      <c r="D247" s="3" t="n">
        <v>8</v>
      </c>
      <c r="E247" s="3" t="n">
        <v>21</v>
      </c>
      <c r="F247" s="24" t="n">
        <v>0</v>
      </c>
    </row>
    <row r="248" customFormat="false" ht="15" hidden="false" customHeight="false" outlineLevel="0" collapsed="false">
      <c r="A248" s="3" t="n">
        <v>247</v>
      </c>
      <c r="B248" s="3" t="n">
        <v>246</v>
      </c>
      <c r="C248" s="3" t="n">
        <v>0</v>
      </c>
      <c r="D248" s="3" t="n">
        <v>8</v>
      </c>
      <c r="E248" s="3" t="n">
        <v>22</v>
      </c>
      <c r="F248" s="24" t="n">
        <v>0</v>
      </c>
    </row>
    <row r="249" customFormat="false" ht="15" hidden="false" customHeight="false" outlineLevel="0" collapsed="false">
      <c r="A249" s="3" t="n">
        <v>248</v>
      </c>
      <c r="B249" s="3" t="n">
        <v>247</v>
      </c>
      <c r="C249" s="3" t="n">
        <v>0</v>
      </c>
      <c r="D249" s="3" t="n">
        <v>8</v>
      </c>
      <c r="E249" s="3" t="n">
        <v>23</v>
      </c>
      <c r="F249" s="24" t="n">
        <v>0</v>
      </c>
    </row>
    <row r="250" customFormat="false" ht="15" hidden="false" customHeight="false" outlineLevel="0" collapsed="false">
      <c r="A250" s="3" t="n">
        <v>249</v>
      </c>
      <c r="B250" s="3" t="n">
        <v>248</v>
      </c>
      <c r="C250" s="3" t="n">
        <v>0</v>
      </c>
      <c r="D250" s="3" t="n">
        <v>8</v>
      </c>
      <c r="E250" s="3" t="n">
        <v>24</v>
      </c>
      <c r="F250" s="24" t="n">
        <v>0</v>
      </c>
    </row>
    <row r="251" customFormat="false" ht="15" hidden="false" customHeight="false" outlineLevel="0" collapsed="false">
      <c r="A251" s="3" t="n">
        <v>250</v>
      </c>
      <c r="B251" s="3" t="n">
        <v>249</v>
      </c>
      <c r="C251" s="3" t="n">
        <v>0</v>
      </c>
      <c r="D251" s="3" t="n">
        <v>8</v>
      </c>
      <c r="E251" s="3" t="n">
        <v>25</v>
      </c>
      <c r="F251" s="24" t="n">
        <v>0</v>
      </c>
    </row>
    <row r="252" customFormat="false" ht="15" hidden="false" customHeight="false" outlineLevel="0" collapsed="false">
      <c r="A252" s="3" t="n">
        <v>251</v>
      </c>
      <c r="B252" s="3" t="n">
        <v>250</v>
      </c>
      <c r="C252" s="3" t="n">
        <v>0</v>
      </c>
      <c r="D252" s="3" t="n">
        <v>8</v>
      </c>
      <c r="E252" s="3" t="n">
        <v>26</v>
      </c>
      <c r="F252" s="24" t="n">
        <v>0</v>
      </c>
    </row>
    <row r="253" customFormat="false" ht="15" hidden="false" customHeight="false" outlineLevel="0" collapsed="false">
      <c r="A253" s="3" t="n">
        <v>252</v>
      </c>
      <c r="B253" s="3" t="n">
        <v>251</v>
      </c>
      <c r="C253" s="3" t="n">
        <v>0</v>
      </c>
      <c r="D253" s="3" t="n">
        <v>8</v>
      </c>
      <c r="E253" s="3" t="n">
        <v>27</v>
      </c>
      <c r="F253" s="24" t="n">
        <v>0.0673455298</v>
      </c>
    </row>
    <row r="254" customFormat="false" ht="15" hidden="false" customHeight="false" outlineLevel="0" collapsed="false">
      <c r="A254" s="3" t="n">
        <v>253</v>
      </c>
      <c r="B254" s="3" t="n">
        <v>252</v>
      </c>
      <c r="C254" s="3" t="n">
        <v>0</v>
      </c>
      <c r="D254" s="3" t="n">
        <v>9</v>
      </c>
      <c r="E254" s="3" t="n">
        <v>0</v>
      </c>
      <c r="F254" s="24" t="n">
        <v>0.10001415</v>
      </c>
    </row>
    <row r="255" customFormat="false" ht="15" hidden="false" customHeight="false" outlineLevel="0" collapsed="false">
      <c r="A255" s="3" t="n">
        <v>254</v>
      </c>
      <c r="B255" s="3" t="n">
        <v>253</v>
      </c>
      <c r="C255" s="3" t="n">
        <v>0</v>
      </c>
      <c r="D255" s="3" t="n">
        <v>9</v>
      </c>
      <c r="E255" s="3" t="n">
        <v>1</v>
      </c>
      <c r="F255" s="24" t="n">
        <v>0</v>
      </c>
    </row>
    <row r="256" customFormat="false" ht="15" hidden="false" customHeight="false" outlineLevel="0" collapsed="false">
      <c r="A256" s="3" t="n">
        <v>255</v>
      </c>
      <c r="B256" s="3" t="n">
        <v>254</v>
      </c>
      <c r="C256" s="3" t="n">
        <v>0</v>
      </c>
      <c r="D256" s="3" t="n">
        <v>9</v>
      </c>
      <c r="E256" s="3" t="n">
        <v>2</v>
      </c>
      <c r="F256" s="24" t="n">
        <v>0</v>
      </c>
    </row>
    <row r="257" customFormat="false" ht="15" hidden="false" customHeight="false" outlineLevel="0" collapsed="false">
      <c r="A257" s="3" t="n">
        <v>256</v>
      </c>
      <c r="B257" s="3" t="n">
        <v>255</v>
      </c>
      <c r="C257" s="3" t="n">
        <v>0</v>
      </c>
      <c r="D257" s="3" t="n">
        <v>9</v>
      </c>
      <c r="E257" s="3" t="n">
        <v>3</v>
      </c>
      <c r="F257" s="24" t="n">
        <v>0</v>
      </c>
    </row>
    <row r="258" customFormat="false" ht="15" hidden="false" customHeight="false" outlineLevel="0" collapsed="false">
      <c r="A258" s="3" t="n">
        <v>257</v>
      </c>
      <c r="B258" s="3" t="n">
        <v>256</v>
      </c>
      <c r="C258" s="3" t="n">
        <v>0</v>
      </c>
      <c r="D258" s="3" t="n">
        <v>9</v>
      </c>
      <c r="E258" s="3" t="n">
        <v>4</v>
      </c>
      <c r="F258" s="24" t="n">
        <v>0</v>
      </c>
    </row>
    <row r="259" customFormat="false" ht="15" hidden="false" customHeight="false" outlineLevel="0" collapsed="false">
      <c r="A259" s="3" t="n">
        <v>258</v>
      </c>
      <c r="B259" s="3" t="n">
        <v>257</v>
      </c>
      <c r="C259" s="3" t="n">
        <v>0</v>
      </c>
      <c r="D259" s="3" t="n">
        <v>9</v>
      </c>
      <c r="E259" s="3" t="n">
        <v>5</v>
      </c>
      <c r="F259" s="24" t="n">
        <v>0</v>
      </c>
    </row>
    <row r="260" customFormat="false" ht="15" hidden="false" customHeight="false" outlineLevel="0" collapsed="false">
      <c r="A260" s="3" t="n">
        <v>259</v>
      </c>
      <c r="B260" s="3" t="n">
        <v>258</v>
      </c>
      <c r="C260" s="3" t="n">
        <v>0</v>
      </c>
      <c r="D260" s="3" t="n">
        <v>9</v>
      </c>
      <c r="E260" s="3" t="n">
        <v>6</v>
      </c>
      <c r="F260" s="24" t="n">
        <v>0.203342348</v>
      </c>
    </row>
    <row r="261" customFormat="false" ht="15" hidden="false" customHeight="false" outlineLevel="0" collapsed="false">
      <c r="A261" s="3" t="n">
        <v>260</v>
      </c>
      <c r="B261" s="3" t="n">
        <v>259</v>
      </c>
      <c r="C261" s="3" t="n">
        <v>0</v>
      </c>
      <c r="D261" s="3" t="n">
        <v>9</v>
      </c>
      <c r="E261" s="3" t="n">
        <v>7</v>
      </c>
      <c r="F261" s="24" t="n">
        <v>1.42586029</v>
      </c>
    </row>
    <row r="262" customFormat="false" ht="15" hidden="false" customHeight="false" outlineLevel="0" collapsed="false">
      <c r="A262" s="3" t="n">
        <v>261</v>
      </c>
      <c r="B262" s="3" t="n">
        <v>260</v>
      </c>
      <c r="C262" s="3" t="n">
        <v>0</v>
      </c>
      <c r="D262" s="3" t="n">
        <v>9</v>
      </c>
      <c r="E262" s="3" t="n">
        <v>8</v>
      </c>
      <c r="F262" s="24" t="n">
        <v>1.82587206</v>
      </c>
    </row>
    <row r="263" customFormat="false" ht="15" hidden="false" customHeight="false" outlineLevel="0" collapsed="false">
      <c r="A263" s="3" t="n">
        <v>262</v>
      </c>
      <c r="B263" s="3" t="n">
        <v>261</v>
      </c>
      <c r="C263" s="3" t="n">
        <v>0</v>
      </c>
      <c r="D263" s="3" t="n">
        <v>9</v>
      </c>
      <c r="E263" s="3" t="n">
        <v>9</v>
      </c>
      <c r="F263" s="24" t="n">
        <v>1.99587309</v>
      </c>
    </row>
    <row r="264" customFormat="false" ht="15" hidden="false" customHeight="false" outlineLevel="0" collapsed="false">
      <c r="A264" s="3" t="n">
        <v>263</v>
      </c>
      <c r="B264" s="3" t="n">
        <v>262</v>
      </c>
      <c r="C264" s="3" t="n">
        <v>0</v>
      </c>
      <c r="D264" s="3" t="n">
        <v>9</v>
      </c>
      <c r="E264" s="3" t="n">
        <v>10</v>
      </c>
      <c r="F264" s="24" t="n">
        <v>2.71481061</v>
      </c>
    </row>
    <row r="265" customFormat="false" ht="15" hidden="false" customHeight="false" outlineLevel="0" collapsed="false">
      <c r="A265" s="3" t="n">
        <v>264</v>
      </c>
      <c r="B265" s="3" t="n">
        <v>263</v>
      </c>
      <c r="C265" s="3" t="n">
        <v>0</v>
      </c>
      <c r="D265" s="3" t="n">
        <v>9</v>
      </c>
      <c r="E265" s="3" t="n">
        <v>11</v>
      </c>
      <c r="F265" s="24" t="n">
        <v>3.52830839</v>
      </c>
    </row>
    <row r="266" customFormat="false" ht="15" hidden="false" customHeight="false" outlineLevel="0" collapsed="false">
      <c r="A266" s="3" t="n">
        <v>265</v>
      </c>
      <c r="B266" s="3" t="n">
        <v>264</v>
      </c>
      <c r="C266" s="3" t="n">
        <v>0</v>
      </c>
      <c r="D266" s="3" t="n">
        <v>9</v>
      </c>
      <c r="E266" s="3" t="n">
        <v>12</v>
      </c>
      <c r="F266" s="24" t="n">
        <v>3.3515954</v>
      </c>
    </row>
    <row r="267" customFormat="false" ht="15" hidden="false" customHeight="false" outlineLevel="0" collapsed="false">
      <c r="A267" s="3" t="n">
        <v>266</v>
      </c>
      <c r="B267" s="3" t="n">
        <v>265</v>
      </c>
      <c r="C267" s="3" t="n">
        <v>0</v>
      </c>
      <c r="D267" s="3" t="n">
        <v>9</v>
      </c>
      <c r="E267" s="3" t="n">
        <v>13</v>
      </c>
      <c r="F267" s="24" t="n">
        <v>3.25198746</v>
      </c>
    </row>
    <row r="268" customFormat="false" ht="15" hidden="false" customHeight="false" outlineLevel="0" collapsed="false">
      <c r="A268" s="3" t="n">
        <v>267</v>
      </c>
      <c r="B268" s="3" t="n">
        <v>266</v>
      </c>
      <c r="C268" s="3" t="n">
        <v>0</v>
      </c>
      <c r="D268" s="3" t="n">
        <v>9</v>
      </c>
      <c r="E268" s="3" t="n">
        <v>14</v>
      </c>
      <c r="F268" s="24" t="n">
        <v>3.46333456</v>
      </c>
    </row>
    <row r="269" customFormat="false" ht="15" hidden="false" customHeight="false" outlineLevel="0" collapsed="false">
      <c r="A269" s="3" t="n">
        <v>268</v>
      </c>
      <c r="B269" s="3" t="n">
        <v>267</v>
      </c>
      <c r="C269" s="3" t="n">
        <v>0</v>
      </c>
      <c r="D269" s="3" t="n">
        <v>9</v>
      </c>
      <c r="E269" s="3" t="n">
        <v>15</v>
      </c>
      <c r="F269" s="24" t="n">
        <v>3.34751844</v>
      </c>
    </row>
    <row r="270" customFormat="false" ht="15" hidden="false" customHeight="false" outlineLevel="0" collapsed="false">
      <c r="A270" s="3" t="n">
        <v>269</v>
      </c>
      <c r="B270" s="3" t="n">
        <v>268</v>
      </c>
      <c r="C270" s="3" t="n">
        <v>0</v>
      </c>
      <c r="D270" s="3" t="n">
        <v>9</v>
      </c>
      <c r="E270" s="3" t="n">
        <v>16</v>
      </c>
      <c r="F270" s="24" t="n">
        <v>3.30683446</v>
      </c>
    </row>
    <row r="271" customFormat="false" ht="15" hidden="false" customHeight="false" outlineLevel="0" collapsed="false">
      <c r="A271" s="3" t="n">
        <v>270</v>
      </c>
      <c r="B271" s="3" t="n">
        <v>269</v>
      </c>
      <c r="C271" s="3" t="n">
        <v>0</v>
      </c>
      <c r="D271" s="3" t="n">
        <v>9</v>
      </c>
      <c r="E271" s="3" t="n">
        <v>17</v>
      </c>
      <c r="F271" s="24" t="n">
        <v>3.09036493</v>
      </c>
    </row>
    <row r="272" customFormat="false" ht="15" hidden="false" customHeight="false" outlineLevel="0" collapsed="false">
      <c r="A272" s="3" t="n">
        <v>271</v>
      </c>
      <c r="B272" s="3" t="n">
        <v>270</v>
      </c>
      <c r="C272" s="3" t="n">
        <v>0</v>
      </c>
      <c r="D272" s="3" t="n">
        <v>9</v>
      </c>
      <c r="E272" s="3" t="n">
        <v>18</v>
      </c>
      <c r="F272" s="24" t="n">
        <v>3.75061512</v>
      </c>
    </row>
    <row r="273" customFormat="false" ht="15" hidden="false" customHeight="false" outlineLevel="0" collapsed="false">
      <c r="A273" s="3" t="n">
        <v>272</v>
      </c>
      <c r="B273" s="3" t="n">
        <v>271</v>
      </c>
      <c r="C273" s="3" t="n">
        <v>0</v>
      </c>
      <c r="D273" s="3" t="n">
        <v>9</v>
      </c>
      <c r="E273" s="3" t="n">
        <v>19</v>
      </c>
      <c r="F273" s="24" t="n">
        <v>4.15075588</v>
      </c>
    </row>
    <row r="274" customFormat="false" ht="15" hidden="false" customHeight="false" outlineLevel="0" collapsed="false">
      <c r="A274" s="3" t="n">
        <v>273</v>
      </c>
      <c r="B274" s="3" t="n">
        <v>272</v>
      </c>
      <c r="C274" s="3" t="n">
        <v>0</v>
      </c>
      <c r="D274" s="3" t="n">
        <v>9</v>
      </c>
      <c r="E274" s="3" t="n">
        <v>20</v>
      </c>
      <c r="F274" s="24" t="n">
        <v>2.81681442</v>
      </c>
    </row>
    <row r="275" customFormat="false" ht="15" hidden="false" customHeight="false" outlineLevel="0" collapsed="false">
      <c r="A275" s="3" t="n">
        <v>274</v>
      </c>
      <c r="B275" s="3" t="n">
        <v>273</v>
      </c>
      <c r="C275" s="3" t="n">
        <v>0</v>
      </c>
      <c r="D275" s="3" t="n">
        <v>9</v>
      </c>
      <c r="E275" s="3" t="n">
        <v>21</v>
      </c>
      <c r="F275" s="24" t="n">
        <v>1.18707252</v>
      </c>
    </row>
    <row r="276" customFormat="false" ht="15" hidden="false" customHeight="false" outlineLevel="0" collapsed="false">
      <c r="A276" s="3" t="n">
        <v>275</v>
      </c>
      <c r="B276" s="3" t="n">
        <v>274</v>
      </c>
      <c r="C276" s="3" t="n">
        <v>0</v>
      </c>
      <c r="D276" s="3" t="n">
        <v>9</v>
      </c>
      <c r="E276" s="3" t="n">
        <v>22</v>
      </c>
      <c r="F276" s="24" t="n">
        <v>0.298039764</v>
      </c>
    </row>
    <row r="277" customFormat="false" ht="15" hidden="false" customHeight="false" outlineLevel="0" collapsed="false">
      <c r="A277" s="3" t="n">
        <v>276</v>
      </c>
      <c r="B277" s="3" t="n">
        <v>275</v>
      </c>
      <c r="C277" s="3" t="n">
        <v>0</v>
      </c>
      <c r="D277" s="3" t="n">
        <v>9</v>
      </c>
      <c r="E277" s="3" t="n">
        <v>23</v>
      </c>
      <c r="F277" s="24" t="n">
        <v>0</v>
      </c>
    </row>
    <row r="278" customFormat="false" ht="15" hidden="false" customHeight="false" outlineLevel="0" collapsed="false">
      <c r="A278" s="3" t="n">
        <v>277</v>
      </c>
      <c r="B278" s="3" t="n">
        <v>276</v>
      </c>
      <c r="C278" s="3" t="n">
        <v>0</v>
      </c>
      <c r="D278" s="3" t="n">
        <v>9</v>
      </c>
      <c r="E278" s="3" t="n">
        <v>24</v>
      </c>
      <c r="F278" s="24" t="n">
        <v>0</v>
      </c>
    </row>
    <row r="279" customFormat="false" ht="15" hidden="false" customHeight="false" outlineLevel="0" collapsed="false">
      <c r="A279" s="3" t="n">
        <v>278</v>
      </c>
      <c r="B279" s="3" t="n">
        <v>277</v>
      </c>
      <c r="C279" s="3" t="n">
        <v>0</v>
      </c>
      <c r="D279" s="3" t="n">
        <v>9</v>
      </c>
      <c r="E279" s="3" t="n">
        <v>25</v>
      </c>
      <c r="F279" s="24" t="n">
        <v>0</v>
      </c>
    </row>
    <row r="280" customFormat="false" ht="15" hidden="false" customHeight="false" outlineLevel="0" collapsed="false">
      <c r="A280" s="3" t="n">
        <v>279</v>
      </c>
      <c r="B280" s="3" t="n">
        <v>278</v>
      </c>
      <c r="C280" s="3" t="n">
        <v>0</v>
      </c>
      <c r="D280" s="3" t="n">
        <v>9</v>
      </c>
      <c r="E280" s="3" t="n">
        <v>26</v>
      </c>
      <c r="F280" s="24" t="n">
        <v>0</v>
      </c>
    </row>
    <row r="281" customFormat="false" ht="15" hidden="false" customHeight="false" outlineLevel="0" collapsed="false">
      <c r="A281" s="3" t="n">
        <v>280</v>
      </c>
      <c r="B281" s="3" t="n">
        <v>279</v>
      </c>
      <c r="C281" s="3" t="n">
        <v>0</v>
      </c>
      <c r="D281" s="3" t="n">
        <v>9</v>
      </c>
      <c r="E281" s="3" t="n">
        <v>27</v>
      </c>
      <c r="F281" s="24" t="n">
        <v>0.0673455298</v>
      </c>
    </row>
    <row r="282" customFormat="false" ht="15" hidden="false" customHeight="false" outlineLevel="0" collapsed="false">
      <c r="A282" s="3" t="n">
        <v>281</v>
      </c>
      <c r="B282" s="3" t="n">
        <v>280</v>
      </c>
      <c r="C282" s="3" t="n">
        <v>0</v>
      </c>
      <c r="D282" s="3" t="n">
        <v>10</v>
      </c>
      <c r="E282" s="3" t="n">
        <v>0</v>
      </c>
      <c r="F282" s="24" t="n">
        <v>0.10001415</v>
      </c>
    </row>
    <row r="283" customFormat="false" ht="15" hidden="false" customHeight="false" outlineLevel="0" collapsed="false">
      <c r="A283" s="3" t="n">
        <v>282</v>
      </c>
      <c r="B283" s="3" t="n">
        <v>281</v>
      </c>
      <c r="C283" s="3" t="n">
        <v>0</v>
      </c>
      <c r="D283" s="3" t="n">
        <v>10</v>
      </c>
      <c r="E283" s="3" t="n">
        <v>1</v>
      </c>
      <c r="F283" s="24" t="n">
        <v>0</v>
      </c>
    </row>
    <row r="284" customFormat="false" ht="15" hidden="false" customHeight="false" outlineLevel="0" collapsed="false">
      <c r="A284" s="3" t="n">
        <v>283</v>
      </c>
      <c r="B284" s="3" t="n">
        <v>282</v>
      </c>
      <c r="C284" s="3" t="n">
        <v>0</v>
      </c>
      <c r="D284" s="3" t="n">
        <v>10</v>
      </c>
      <c r="E284" s="3" t="n">
        <v>2</v>
      </c>
      <c r="F284" s="24" t="n">
        <v>0</v>
      </c>
    </row>
    <row r="285" customFormat="false" ht="15" hidden="false" customHeight="false" outlineLevel="0" collapsed="false">
      <c r="A285" s="3" t="n">
        <v>284</v>
      </c>
      <c r="B285" s="3" t="n">
        <v>283</v>
      </c>
      <c r="C285" s="3" t="n">
        <v>0</v>
      </c>
      <c r="D285" s="3" t="n">
        <v>10</v>
      </c>
      <c r="E285" s="3" t="n">
        <v>3</v>
      </c>
      <c r="F285" s="24" t="n">
        <v>0</v>
      </c>
    </row>
    <row r="286" customFormat="false" ht="15" hidden="false" customHeight="false" outlineLevel="0" collapsed="false">
      <c r="A286" s="3" t="n">
        <v>285</v>
      </c>
      <c r="B286" s="3" t="n">
        <v>284</v>
      </c>
      <c r="C286" s="3" t="n">
        <v>0</v>
      </c>
      <c r="D286" s="3" t="n">
        <v>10</v>
      </c>
      <c r="E286" s="3" t="n">
        <v>4</v>
      </c>
      <c r="F286" s="24" t="n">
        <v>0</v>
      </c>
    </row>
    <row r="287" customFormat="false" ht="15" hidden="false" customHeight="false" outlineLevel="0" collapsed="false">
      <c r="A287" s="3" t="n">
        <v>286</v>
      </c>
      <c r="B287" s="3" t="n">
        <v>285</v>
      </c>
      <c r="C287" s="3" t="n">
        <v>0</v>
      </c>
      <c r="D287" s="3" t="n">
        <v>10</v>
      </c>
      <c r="E287" s="3" t="n">
        <v>5</v>
      </c>
      <c r="F287" s="24" t="n">
        <v>0</v>
      </c>
    </row>
    <row r="288" customFormat="false" ht="15" hidden="false" customHeight="false" outlineLevel="0" collapsed="false">
      <c r="A288" s="3" t="n">
        <v>287</v>
      </c>
      <c r="B288" s="3" t="n">
        <v>286</v>
      </c>
      <c r="C288" s="3" t="n">
        <v>0</v>
      </c>
      <c r="D288" s="3" t="n">
        <v>10</v>
      </c>
      <c r="E288" s="3" t="n">
        <v>6</v>
      </c>
      <c r="F288" s="24" t="n">
        <v>0</v>
      </c>
    </row>
    <row r="289" customFormat="false" ht="15" hidden="false" customHeight="false" outlineLevel="0" collapsed="false">
      <c r="A289" s="3" t="n">
        <v>288</v>
      </c>
      <c r="B289" s="3" t="n">
        <v>287</v>
      </c>
      <c r="C289" s="3" t="n">
        <v>0</v>
      </c>
      <c r="D289" s="3" t="n">
        <v>10</v>
      </c>
      <c r="E289" s="3" t="n">
        <v>7</v>
      </c>
      <c r="F289" s="24" t="n">
        <v>0.263664544</v>
      </c>
    </row>
    <row r="290" customFormat="false" ht="15" hidden="false" customHeight="false" outlineLevel="0" collapsed="false">
      <c r="A290" s="3" t="n">
        <v>289</v>
      </c>
      <c r="B290" s="3" t="n">
        <v>288</v>
      </c>
      <c r="C290" s="3" t="n">
        <v>0</v>
      </c>
      <c r="D290" s="3" t="n">
        <v>10</v>
      </c>
      <c r="E290" s="3" t="n">
        <v>8</v>
      </c>
      <c r="F290" s="24" t="n">
        <v>0.133655936</v>
      </c>
    </row>
    <row r="291" customFormat="false" ht="15" hidden="false" customHeight="false" outlineLevel="0" collapsed="false">
      <c r="A291" s="3" t="n">
        <v>290</v>
      </c>
      <c r="B291" s="3" t="n">
        <v>289</v>
      </c>
      <c r="C291" s="3" t="n">
        <v>0</v>
      </c>
      <c r="D291" s="3" t="n">
        <v>10</v>
      </c>
      <c r="E291" s="3" t="n">
        <v>9</v>
      </c>
      <c r="F291" s="24" t="n">
        <v>0</v>
      </c>
    </row>
    <row r="292" customFormat="false" ht="15" hidden="false" customHeight="false" outlineLevel="0" collapsed="false">
      <c r="A292" s="3" t="n">
        <v>291</v>
      </c>
      <c r="B292" s="3" t="n">
        <v>290</v>
      </c>
      <c r="C292" s="3" t="n">
        <v>0</v>
      </c>
      <c r="D292" s="3" t="n">
        <v>10</v>
      </c>
      <c r="E292" s="3" t="n">
        <v>10</v>
      </c>
      <c r="F292" s="24" t="n">
        <v>0</v>
      </c>
    </row>
    <row r="293" customFormat="false" ht="15" hidden="false" customHeight="false" outlineLevel="0" collapsed="false">
      <c r="A293" s="3" t="n">
        <v>292</v>
      </c>
      <c r="B293" s="3" t="n">
        <v>291</v>
      </c>
      <c r="C293" s="3" t="n">
        <v>0</v>
      </c>
      <c r="D293" s="3" t="n">
        <v>10</v>
      </c>
      <c r="E293" s="3" t="n">
        <v>11</v>
      </c>
      <c r="F293" s="24" t="n">
        <v>0.515933037</v>
      </c>
    </row>
    <row r="294" customFormat="false" ht="15" hidden="false" customHeight="false" outlineLevel="0" collapsed="false">
      <c r="A294" s="3" t="n">
        <v>293</v>
      </c>
      <c r="B294" s="3" t="n">
        <v>292</v>
      </c>
      <c r="C294" s="3" t="n">
        <v>0</v>
      </c>
      <c r="D294" s="3" t="n">
        <v>10</v>
      </c>
      <c r="E294" s="3" t="n">
        <v>12</v>
      </c>
      <c r="F294" s="24" t="n">
        <v>0.964213669</v>
      </c>
    </row>
    <row r="295" customFormat="false" ht="15" hidden="false" customHeight="false" outlineLevel="0" collapsed="false">
      <c r="A295" s="3" t="n">
        <v>294</v>
      </c>
      <c r="B295" s="3" t="n">
        <v>293</v>
      </c>
      <c r="C295" s="3" t="n">
        <v>0</v>
      </c>
      <c r="D295" s="3" t="n">
        <v>10</v>
      </c>
      <c r="E295" s="3" t="n">
        <v>13</v>
      </c>
      <c r="F295" s="24" t="n">
        <v>1.1526258</v>
      </c>
    </row>
    <row r="296" customFormat="false" ht="15" hidden="false" customHeight="false" outlineLevel="0" collapsed="false">
      <c r="A296" s="3" t="n">
        <v>295</v>
      </c>
      <c r="B296" s="3" t="n">
        <v>294</v>
      </c>
      <c r="C296" s="3" t="n">
        <v>0</v>
      </c>
      <c r="D296" s="3" t="n">
        <v>10</v>
      </c>
      <c r="E296" s="3" t="n">
        <v>14</v>
      </c>
      <c r="F296" s="24" t="n">
        <v>1.05731988</v>
      </c>
    </row>
    <row r="297" customFormat="false" ht="15" hidden="false" customHeight="false" outlineLevel="0" collapsed="false">
      <c r="A297" s="3" t="n">
        <v>296</v>
      </c>
      <c r="B297" s="3" t="n">
        <v>295</v>
      </c>
      <c r="C297" s="3" t="n">
        <v>0</v>
      </c>
      <c r="D297" s="3" t="n">
        <v>10</v>
      </c>
      <c r="E297" s="3" t="n">
        <v>15</v>
      </c>
      <c r="F297" s="24" t="n">
        <v>1.39769554</v>
      </c>
    </row>
    <row r="298" customFormat="false" ht="15" hidden="false" customHeight="false" outlineLevel="0" collapsed="false">
      <c r="A298" s="3" t="n">
        <v>297</v>
      </c>
      <c r="B298" s="3" t="n">
        <v>296</v>
      </c>
      <c r="C298" s="3" t="n">
        <v>0</v>
      </c>
      <c r="D298" s="3" t="n">
        <v>10</v>
      </c>
      <c r="E298" s="3" t="n">
        <v>16</v>
      </c>
      <c r="F298" s="24" t="n">
        <v>1.37921596</v>
      </c>
    </row>
    <row r="299" customFormat="false" ht="15" hidden="false" customHeight="false" outlineLevel="0" collapsed="false">
      <c r="A299" s="3" t="n">
        <v>298</v>
      </c>
      <c r="B299" s="3" t="n">
        <v>297</v>
      </c>
      <c r="C299" s="3" t="n">
        <v>0</v>
      </c>
      <c r="D299" s="3" t="n">
        <v>10</v>
      </c>
      <c r="E299" s="3" t="n">
        <v>17</v>
      </c>
      <c r="F299" s="24" t="n">
        <v>1.49640918</v>
      </c>
    </row>
    <row r="300" customFormat="false" ht="15" hidden="false" customHeight="false" outlineLevel="0" collapsed="false">
      <c r="A300" s="3" t="n">
        <v>299</v>
      </c>
      <c r="B300" s="3" t="n">
        <v>298</v>
      </c>
      <c r="C300" s="3" t="n">
        <v>0</v>
      </c>
      <c r="D300" s="3" t="n">
        <v>10</v>
      </c>
      <c r="E300" s="3" t="n">
        <v>18</v>
      </c>
      <c r="F300" s="24" t="n">
        <v>2.64769554</v>
      </c>
    </row>
    <row r="301" customFormat="false" ht="15" hidden="false" customHeight="false" outlineLevel="0" collapsed="false">
      <c r="A301" s="3" t="n">
        <v>300</v>
      </c>
      <c r="B301" s="3" t="n">
        <v>299</v>
      </c>
      <c r="C301" s="3" t="n">
        <v>0</v>
      </c>
      <c r="D301" s="3" t="n">
        <v>10</v>
      </c>
      <c r="E301" s="3" t="n">
        <v>19</v>
      </c>
      <c r="F301" s="24" t="n">
        <v>2.73892808</v>
      </c>
    </row>
    <row r="302" customFormat="false" ht="15" hidden="false" customHeight="false" outlineLevel="0" collapsed="false">
      <c r="A302" s="3" t="n">
        <v>301</v>
      </c>
      <c r="B302" s="3" t="n">
        <v>300</v>
      </c>
      <c r="C302" s="3" t="n">
        <v>0</v>
      </c>
      <c r="D302" s="3" t="n">
        <v>10</v>
      </c>
      <c r="E302" s="3" t="n">
        <v>20</v>
      </c>
      <c r="F302" s="24" t="n">
        <v>2.32933021</v>
      </c>
    </row>
    <row r="303" customFormat="false" ht="15" hidden="false" customHeight="false" outlineLevel="0" collapsed="false">
      <c r="A303" s="3" t="n">
        <v>302</v>
      </c>
      <c r="B303" s="3" t="n">
        <v>301</v>
      </c>
      <c r="C303" s="3" t="n">
        <v>0</v>
      </c>
      <c r="D303" s="3" t="n">
        <v>10</v>
      </c>
      <c r="E303" s="3" t="n">
        <v>21</v>
      </c>
      <c r="F303" s="24" t="n">
        <v>1.87317824</v>
      </c>
    </row>
    <row r="304" customFormat="false" ht="15" hidden="false" customHeight="false" outlineLevel="0" collapsed="false">
      <c r="A304" s="3" t="n">
        <v>303</v>
      </c>
      <c r="B304" s="3" t="n">
        <v>302</v>
      </c>
      <c r="C304" s="3" t="n">
        <v>0</v>
      </c>
      <c r="D304" s="3" t="n">
        <v>10</v>
      </c>
      <c r="E304" s="3" t="n">
        <v>22</v>
      </c>
      <c r="F304" s="24" t="n">
        <v>0.907224715</v>
      </c>
    </row>
    <row r="305" customFormat="false" ht="15" hidden="false" customHeight="false" outlineLevel="0" collapsed="false">
      <c r="A305" s="3" t="n">
        <v>304</v>
      </c>
      <c r="B305" s="3" t="n">
        <v>303</v>
      </c>
      <c r="C305" s="3" t="n">
        <v>0</v>
      </c>
      <c r="D305" s="3" t="n">
        <v>10</v>
      </c>
      <c r="E305" s="3" t="n">
        <v>23</v>
      </c>
      <c r="F305" s="24" t="n">
        <v>0</v>
      </c>
    </row>
    <row r="306" customFormat="false" ht="15" hidden="false" customHeight="false" outlineLevel="0" collapsed="false">
      <c r="A306" s="3" t="n">
        <v>305</v>
      </c>
      <c r="B306" s="3" t="n">
        <v>304</v>
      </c>
      <c r="C306" s="3" t="n">
        <v>0</v>
      </c>
      <c r="D306" s="3" t="n">
        <v>10</v>
      </c>
      <c r="E306" s="3" t="n">
        <v>24</v>
      </c>
      <c r="F306" s="24" t="n">
        <v>0</v>
      </c>
    </row>
    <row r="307" customFormat="false" ht="15" hidden="false" customHeight="false" outlineLevel="0" collapsed="false">
      <c r="A307" s="3" t="n">
        <v>306</v>
      </c>
      <c r="B307" s="3" t="n">
        <v>305</v>
      </c>
      <c r="C307" s="3" t="n">
        <v>0</v>
      </c>
      <c r="D307" s="3" t="n">
        <v>10</v>
      </c>
      <c r="E307" s="3" t="n">
        <v>25</v>
      </c>
      <c r="F307" s="24" t="n">
        <v>0</v>
      </c>
    </row>
    <row r="308" customFormat="false" ht="15" hidden="false" customHeight="false" outlineLevel="0" collapsed="false">
      <c r="A308" s="3" t="n">
        <v>307</v>
      </c>
      <c r="B308" s="3" t="n">
        <v>306</v>
      </c>
      <c r="C308" s="3" t="n">
        <v>0</v>
      </c>
      <c r="D308" s="3" t="n">
        <v>10</v>
      </c>
      <c r="E308" s="3" t="n">
        <v>26</v>
      </c>
      <c r="F308" s="24" t="n">
        <v>0</v>
      </c>
    </row>
    <row r="309" customFormat="false" ht="15" hidden="false" customHeight="false" outlineLevel="0" collapsed="false">
      <c r="A309" s="3" t="n">
        <v>308</v>
      </c>
      <c r="B309" s="3" t="n">
        <v>307</v>
      </c>
      <c r="C309" s="3" t="n">
        <v>0</v>
      </c>
      <c r="D309" s="3" t="n">
        <v>10</v>
      </c>
      <c r="E309" s="3" t="n">
        <v>27</v>
      </c>
      <c r="F309" s="24" t="n">
        <v>0.0673455298</v>
      </c>
    </row>
    <row r="310" customFormat="false" ht="15" hidden="false" customHeight="false" outlineLevel="0" collapsed="false">
      <c r="A310" s="3" t="n">
        <v>309</v>
      </c>
      <c r="B310" s="3" t="n">
        <v>308</v>
      </c>
      <c r="C310" s="3" t="n">
        <v>0</v>
      </c>
      <c r="D310" s="3" t="n">
        <v>11</v>
      </c>
      <c r="E310" s="3" t="n">
        <v>0</v>
      </c>
      <c r="F310" s="24" t="n">
        <v>0.10001415</v>
      </c>
    </row>
    <row r="311" customFormat="false" ht="15" hidden="false" customHeight="false" outlineLevel="0" collapsed="false">
      <c r="A311" s="3" t="n">
        <v>310</v>
      </c>
      <c r="B311" s="3" t="n">
        <v>309</v>
      </c>
      <c r="C311" s="3" t="n">
        <v>0</v>
      </c>
      <c r="D311" s="3" t="n">
        <v>11</v>
      </c>
      <c r="E311" s="3" t="n">
        <v>1</v>
      </c>
      <c r="F311" s="24" t="n">
        <v>0</v>
      </c>
    </row>
    <row r="312" customFormat="false" ht="15" hidden="false" customHeight="false" outlineLevel="0" collapsed="false">
      <c r="A312" s="3" t="n">
        <v>311</v>
      </c>
      <c r="B312" s="3" t="n">
        <v>310</v>
      </c>
      <c r="C312" s="3" t="n">
        <v>0</v>
      </c>
      <c r="D312" s="3" t="n">
        <v>11</v>
      </c>
      <c r="E312" s="3" t="n">
        <v>2</v>
      </c>
      <c r="F312" s="24" t="n">
        <v>0</v>
      </c>
    </row>
    <row r="313" customFormat="false" ht="15" hidden="false" customHeight="false" outlineLevel="0" collapsed="false">
      <c r="A313" s="3" t="n">
        <v>312</v>
      </c>
      <c r="B313" s="3" t="n">
        <v>311</v>
      </c>
      <c r="C313" s="3" t="n">
        <v>0</v>
      </c>
      <c r="D313" s="3" t="n">
        <v>11</v>
      </c>
      <c r="E313" s="3" t="n">
        <v>3</v>
      </c>
      <c r="F313" s="24" t="n">
        <v>0</v>
      </c>
    </row>
    <row r="314" customFormat="false" ht="15" hidden="false" customHeight="false" outlineLevel="0" collapsed="false">
      <c r="A314" s="3" t="n">
        <v>313</v>
      </c>
      <c r="B314" s="3" t="n">
        <v>312</v>
      </c>
      <c r="C314" s="3" t="n">
        <v>0</v>
      </c>
      <c r="D314" s="3" t="n">
        <v>11</v>
      </c>
      <c r="E314" s="3" t="n">
        <v>4</v>
      </c>
      <c r="F314" s="24" t="n">
        <v>0</v>
      </c>
    </row>
    <row r="315" customFormat="false" ht="15" hidden="false" customHeight="false" outlineLevel="0" collapsed="false">
      <c r="A315" s="3" t="n">
        <v>314</v>
      </c>
      <c r="B315" s="3" t="n">
        <v>313</v>
      </c>
      <c r="C315" s="3" t="n">
        <v>0</v>
      </c>
      <c r="D315" s="3" t="n">
        <v>11</v>
      </c>
      <c r="E315" s="3" t="n">
        <v>5</v>
      </c>
      <c r="F315" s="24" t="n">
        <v>0</v>
      </c>
    </row>
    <row r="316" customFormat="false" ht="15" hidden="false" customHeight="false" outlineLevel="0" collapsed="false">
      <c r="A316" s="3" t="n">
        <v>315</v>
      </c>
      <c r="B316" s="3" t="n">
        <v>314</v>
      </c>
      <c r="C316" s="3" t="n">
        <v>0</v>
      </c>
      <c r="D316" s="3" t="n">
        <v>11</v>
      </c>
      <c r="E316" s="3" t="n">
        <v>6</v>
      </c>
      <c r="F316" s="24" t="n">
        <v>0</v>
      </c>
    </row>
    <row r="317" customFormat="false" ht="15" hidden="false" customHeight="false" outlineLevel="0" collapsed="false">
      <c r="A317" s="3" t="n">
        <v>316</v>
      </c>
      <c r="B317" s="3" t="n">
        <v>315</v>
      </c>
      <c r="C317" s="3" t="n">
        <v>0</v>
      </c>
      <c r="D317" s="3" t="n">
        <v>11</v>
      </c>
      <c r="E317" s="3" t="n">
        <v>7</v>
      </c>
      <c r="F317" s="24" t="n">
        <v>0</v>
      </c>
    </row>
    <row r="318" customFormat="false" ht="15" hidden="false" customHeight="false" outlineLevel="0" collapsed="false">
      <c r="A318" s="3" t="n">
        <v>317</v>
      </c>
      <c r="B318" s="3" t="n">
        <v>316</v>
      </c>
      <c r="C318" s="3" t="n">
        <v>0</v>
      </c>
      <c r="D318" s="3" t="n">
        <v>11</v>
      </c>
      <c r="E318" s="3" t="n">
        <v>8</v>
      </c>
      <c r="F318" s="24" t="n">
        <v>0</v>
      </c>
    </row>
    <row r="319" customFormat="false" ht="15" hidden="false" customHeight="false" outlineLevel="0" collapsed="false">
      <c r="A319" s="3" t="n">
        <v>318</v>
      </c>
      <c r="B319" s="3" t="n">
        <v>317</v>
      </c>
      <c r="C319" s="3" t="n">
        <v>0</v>
      </c>
      <c r="D319" s="3" t="n">
        <v>11</v>
      </c>
      <c r="E319" s="3" t="n">
        <v>9</v>
      </c>
      <c r="F319" s="24" t="n">
        <v>0</v>
      </c>
    </row>
    <row r="320" customFormat="false" ht="15" hidden="false" customHeight="false" outlineLevel="0" collapsed="false">
      <c r="A320" s="3" t="n">
        <v>319</v>
      </c>
      <c r="B320" s="3" t="n">
        <v>318</v>
      </c>
      <c r="C320" s="3" t="n">
        <v>0</v>
      </c>
      <c r="D320" s="3" t="n">
        <v>11</v>
      </c>
      <c r="E320" s="3" t="n">
        <v>10</v>
      </c>
      <c r="F320" s="24" t="n">
        <v>0</v>
      </c>
    </row>
    <row r="321" customFormat="false" ht="15" hidden="false" customHeight="false" outlineLevel="0" collapsed="false">
      <c r="A321" s="3" t="n">
        <v>320</v>
      </c>
      <c r="B321" s="3" t="n">
        <v>319</v>
      </c>
      <c r="C321" s="3" t="n">
        <v>0</v>
      </c>
      <c r="D321" s="3" t="n">
        <v>11</v>
      </c>
      <c r="E321" s="3" t="n">
        <v>11</v>
      </c>
      <c r="F321" s="24" t="n">
        <v>0</v>
      </c>
    </row>
    <row r="322" customFormat="false" ht="15" hidden="false" customHeight="false" outlineLevel="0" collapsed="false">
      <c r="A322" s="3" t="n">
        <v>321</v>
      </c>
      <c r="B322" s="3" t="n">
        <v>320</v>
      </c>
      <c r="C322" s="3" t="n">
        <v>0</v>
      </c>
      <c r="D322" s="3" t="n">
        <v>11</v>
      </c>
      <c r="E322" s="3" t="n">
        <v>12</v>
      </c>
      <c r="F322" s="24" t="n">
        <v>0.180283189</v>
      </c>
    </row>
    <row r="323" customFormat="false" ht="15" hidden="false" customHeight="false" outlineLevel="0" collapsed="false">
      <c r="A323" s="3" t="n">
        <v>322</v>
      </c>
      <c r="B323" s="3" t="n">
        <v>321</v>
      </c>
      <c r="C323" s="3" t="n">
        <v>0</v>
      </c>
      <c r="D323" s="3" t="n">
        <v>11</v>
      </c>
      <c r="E323" s="3" t="n">
        <v>13</v>
      </c>
      <c r="F323" s="24" t="n">
        <v>0</v>
      </c>
    </row>
    <row r="324" customFormat="false" ht="15" hidden="false" customHeight="false" outlineLevel="0" collapsed="false">
      <c r="A324" s="3" t="n">
        <v>323</v>
      </c>
      <c r="B324" s="3" t="n">
        <v>322</v>
      </c>
      <c r="C324" s="3" t="n">
        <v>0</v>
      </c>
      <c r="D324" s="3" t="n">
        <v>11</v>
      </c>
      <c r="E324" s="3" t="n">
        <v>14</v>
      </c>
      <c r="F324" s="24" t="n">
        <v>0</v>
      </c>
    </row>
    <row r="325" customFormat="false" ht="15" hidden="false" customHeight="false" outlineLevel="0" collapsed="false">
      <c r="A325" s="3" t="n">
        <v>324</v>
      </c>
      <c r="B325" s="3" t="n">
        <v>323</v>
      </c>
      <c r="C325" s="3" t="n">
        <v>0</v>
      </c>
      <c r="D325" s="3" t="n">
        <v>11</v>
      </c>
      <c r="E325" s="3" t="n">
        <v>15</v>
      </c>
      <c r="F325" s="24" t="n">
        <v>0.14319095</v>
      </c>
    </row>
    <row r="326" customFormat="false" ht="15" hidden="false" customHeight="false" outlineLevel="0" collapsed="false">
      <c r="A326" s="3" t="n">
        <v>325</v>
      </c>
      <c r="B326" s="3" t="n">
        <v>324</v>
      </c>
      <c r="C326" s="3" t="n">
        <v>0</v>
      </c>
      <c r="D326" s="3" t="n">
        <v>11</v>
      </c>
      <c r="E326" s="3" t="n">
        <v>16</v>
      </c>
      <c r="F326" s="24" t="n">
        <v>0.241135851</v>
      </c>
    </row>
    <row r="327" customFormat="false" ht="15" hidden="false" customHeight="false" outlineLevel="0" collapsed="false">
      <c r="A327" s="3" t="n">
        <v>326</v>
      </c>
      <c r="B327" s="3" t="n">
        <v>325</v>
      </c>
      <c r="C327" s="3" t="n">
        <v>0</v>
      </c>
      <c r="D327" s="3" t="n">
        <v>11</v>
      </c>
      <c r="E327" s="3" t="n">
        <v>17</v>
      </c>
      <c r="F327" s="24" t="n">
        <v>1.36746264</v>
      </c>
    </row>
    <row r="328" customFormat="false" ht="15" hidden="false" customHeight="false" outlineLevel="0" collapsed="false">
      <c r="A328" s="3" t="n">
        <v>327</v>
      </c>
      <c r="B328" s="3" t="n">
        <v>326</v>
      </c>
      <c r="C328" s="3" t="n">
        <v>0</v>
      </c>
      <c r="D328" s="3" t="n">
        <v>11</v>
      </c>
      <c r="E328" s="3" t="n">
        <v>18</v>
      </c>
      <c r="F328" s="24" t="n">
        <v>1.28252983</v>
      </c>
    </row>
    <row r="329" customFormat="false" ht="15" hidden="false" customHeight="false" outlineLevel="0" collapsed="false">
      <c r="A329" s="3" t="n">
        <v>328</v>
      </c>
      <c r="B329" s="3" t="n">
        <v>327</v>
      </c>
      <c r="C329" s="3" t="n">
        <v>0</v>
      </c>
      <c r="D329" s="3" t="n">
        <v>11</v>
      </c>
      <c r="E329" s="3" t="n">
        <v>19</v>
      </c>
      <c r="F329" s="24" t="n">
        <v>0.918626487</v>
      </c>
    </row>
    <row r="330" customFormat="false" ht="15" hidden="false" customHeight="false" outlineLevel="0" collapsed="false">
      <c r="A330" s="3" t="n">
        <v>329</v>
      </c>
      <c r="B330" s="3" t="n">
        <v>328</v>
      </c>
      <c r="C330" s="3" t="n">
        <v>0</v>
      </c>
      <c r="D330" s="3" t="n">
        <v>11</v>
      </c>
      <c r="E330" s="3" t="n">
        <v>20</v>
      </c>
      <c r="F330" s="24" t="n">
        <v>1.85044098</v>
      </c>
    </row>
    <row r="331" customFormat="false" ht="15" hidden="false" customHeight="false" outlineLevel="0" collapsed="false">
      <c r="A331" s="3" t="n">
        <v>330</v>
      </c>
      <c r="B331" s="3" t="n">
        <v>329</v>
      </c>
      <c r="C331" s="3" t="n">
        <v>0</v>
      </c>
      <c r="D331" s="3" t="n">
        <v>11</v>
      </c>
      <c r="E331" s="3" t="n">
        <v>21</v>
      </c>
      <c r="F331" s="24" t="n">
        <v>1.88666177</v>
      </c>
    </row>
    <row r="332" customFormat="false" ht="15" hidden="false" customHeight="false" outlineLevel="0" collapsed="false">
      <c r="A332" s="3" t="n">
        <v>331</v>
      </c>
      <c r="B332" s="3" t="n">
        <v>330</v>
      </c>
      <c r="C332" s="3" t="n">
        <v>0</v>
      </c>
      <c r="D332" s="3" t="n">
        <v>11</v>
      </c>
      <c r="E332" s="3" t="n">
        <v>22</v>
      </c>
      <c r="F332" s="24" t="n">
        <v>0.480249465</v>
      </c>
    </row>
    <row r="333" customFormat="false" ht="15" hidden="false" customHeight="false" outlineLevel="0" collapsed="false">
      <c r="A333" s="3" t="n">
        <v>332</v>
      </c>
      <c r="B333" s="3" t="n">
        <v>331</v>
      </c>
      <c r="C333" s="3" t="n">
        <v>0</v>
      </c>
      <c r="D333" s="3" t="n">
        <v>11</v>
      </c>
      <c r="E333" s="3" t="n">
        <v>23</v>
      </c>
      <c r="F333" s="24" t="n">
        <v>0</v>
      </c>
    </row>
    <row r="334" customFormat="false" ht="15" hidden="false" customHeight="false" outlineLevel="0" collapsed="false">
      <c r="A334" s="3" t="n">
        <v>333</v>
      </c>
      <c r="B334" s="3" t="n">
        <v>332</v>
      </c>
      <c r="C334" s="3" t="n">
        <v>0</v>
      </c>
      <c r="D334" s="3" t="n">
        <v>11</v>
      </c>
      <c r="E334" s="3" t="n">
        <v>24</v>
      </c>
      <c r="F334" s="24" t="n">
        <v>0</v>
      </c>
    </row>
    <row r="335" customFormat="false" ht="15" hidden="false" customHeight="false" outlineLevel="0" collapsed="false">
      <c r="A335" s="3" t="n">
        <v>334</v>
      </c>
      <c r="B335" s="3" t="n">
        <v>333</v>
      </c>
      <c r="C335" s="3" t="n">
        <v>0</v>
      </c>
      <c r="D335" s="3" t="n">
        <v>11</v>
      </c>
      <c r="E335" s="3" t="n">
        <v>25</v>
      </c>
      <c r="F335" s="24" t="n">
        <v>0</v>
      </c>
    </row>
    <row r="336" customFormat="false" ht="15" hidden="false" customHeight="false" outlineLevel="0" collapsed="false">
      <c r="A336" s="3" t="n">
        <v>335</v>
      </c>
      <c r="B336" s="3" t="n">
        <v>334</v>
      </c>
      <c r="C336" s="3" t="n">
        <v>0</v>
      </c>
      <c r="D336" s="3" t="n">
        <v>11</v>
      </c>
      <c r="E336" s="3" t="n">
        <v>26</v>
      </c>
      <c r="F336" s="24" t="n">
        <v>0</v>
      </c>
    </row>
    <row r="337" customFormat="false" ht="15" hidden="false" customHeight="false" outlineLevel="0" collapsed="false">
      <c r="A337" s="3" t="n">
        <v>336</v>
      </c>
      <c r="B337" s="3" t="n">
        <v>335</v>
      </c>
      <c r="C337" s="3" t="n">
        <v>0</v>
      </c>
      <c r="D337" s="3" t="n">
        <v>11</v>
      </c>
      <c r="E337" s="3" t="n">
        <v>27</v>
      </c>
      <c r="F337" s="24" t="n">
        <v>0.0673455298</v>
      </c>
    </row>
    <row r="338" customFormat="false" ht="15" hidden="false" customHeight="false" outlineLevel="0" collapsed="false">
      <c r="A338" s="3" t="n">
        <v>337</v>
      </c>
      <c r="B338" s="3" t="n">
        <v>336</v>
      </c>
      <c r="C338" s="3" t="n">
        <v>0</v>
      </c>
      <c r="D338" s="3" t="n">
        <v>12</v>
      </c>
      <c r="E338" s="3" t="n">
        <v>0</v>
      </c>
      <c r="F338" s="24" t="n">
        <v>0.10001415</v>
      </c>
    </row>
    <row r="339" customFormat="false" ht="15" hidden="false" customHeight="false" outlineLevel="0" collapsed="false">
      <c r="A339" s="3" t="n">
        <v>338</v>
      </c>
      <c r="B339" s="3" t="n">
        <v>337</v>
      </c>
      <c r="C339" s="3" t="n">
        <v>0</v>
      </c>
      <c r="D339" s="3" t="n">
        <v>12</v>
      </c>
      <c r="E339" s="3" t="n">
        <v>1</v>
      </c>
      <c r="F339" s="24" t="n">
        <v>0</v>
      </c>
    </row>
    <row r="340" customFormat="false" ht="15" hidden="false" customHeight="false" outlineLevel="0" collapsed="false">
      <c r="A340" s="3" t="n">
        <v>339</v>
      </c>
      <c r="B340" s="3" t="n">
        <v>338</v>
      </c>
      <c r="C340" s="3" t="n">
        <v>0</v>
      </c>
      <c r="D340" s="3" t="n">
        <v>12</v>
      </c>
      <c r="E340" s="3" t="n">
        <v>2</v>
      </c>
      <c r="F340" s="24" t="n">
        <v>0</v>
      </c>
    </row>
    <row r="341" customFormat="false" ht="15" hidden="false" customHeight="false" outlineLevel="0" collapsed="false">
      <c r="A341" s="3" t="n">
        <v>340</v>
      </c>
      <c r="B341" s="3" t="n">
        <v>339</v>
      </c>
      <c r="C341" s="3" t="n">
        <v>0</v>
      </c>
      <c r="D341" s="3" t="n">
        <v>12</v>
      </c>
      <c r="E341" s="3" t="n">
        <v>3</v>
      </c>
      <c r="F341" s="24" t="n">
        <v>0</v>
      </c>
    </row>
    <row r="342" customFormat="false" ht="15" hidden="false" customHeight="false" outlineLevel="0" collapsed="false">
      <c r="A342" s="3" t="n">
        <v>341</v>
      </c>
      <c r="B342" s="3" t="n">
        <v>340</v>
      </c>
      <c r="C342" s="3" t="n">
        <v>0</v>
      </c>
      <c r="D342" s="3" t="n">
        <v>12</v>
      </c>
      <c r="E342" s="3" t="n">
        <v>4</v>
      </c>
      <c r="F342" s="24" t="n">
        <v>0</v>
      </c>
    </row>
    <row r="343" customFormat="false" ht="15" hidden="false" customHeight="false" outlineLevel="0" collapsed="false">
      <c r="A343" s="3" t="n">
        <v>342</v>
      </c>
      <c r="B343" s="3" t="n">
        <v>341</v>
      </c>
      <c r="C343" s="3" t="n">
        <v>0</v>
      </c>
      <c r="D343" s="3" t="n">
        <v>12</v>
      </c>
      <c r="E343" s="3" t="n">
        <v>5</v>
      </c>
      <c r="F343" s="24" t="n">
        <v>0</v>
      </c>
    </row>
    <row r="344" customFormat="false" ht="15" hidden="false" customHeight="false" outlineLevel="0" collapsed="false">
      <c r="A344" s="3" t="n">
        <v>343</v>
      </c>
      <c r="B344" s="3" t="n">
        <v>342</v>
      </c>
      <c r="C344" s="3" t="n">
        <v>0</v>
      </c>
      <c r="D344" s="3" t="n">
        <v>12</v>
      </c>
      <c r="E344" s="3" t="n">
        <v>6</v>
      </c>
      <c r="F344" s="24" t="n">
        <v>0</v>
      </c>
    </row>
    <row r="345" customFormat="false" ht="15" hidden="false" customHeight="false" outlineLevel="0" collapsed="false">
      <c r="A345" s="3" t="n">
        <v>344</v>
      </c>
      <c r="B345" s="3" t="n">
        <v>343</v>
      </c>
      <c r="C345" s="3" t="n">
        <v>0</v>
      </c>
      <c r="D345" s="3" t="n">
        <v>12</v>
      </c>
      <c r="E345" s="3" t="n">
        <v>7</v>
      </c>
      <c r="F345" s="24" t="n">
        <v>0</v>
      </c>
    </row>
    <row r="346" customFormat="false" ht="15" hidden="false" customHeight="false" outlineLevel="0" collapsed="false">
      <c r="A346" s="3" t="n">
        <v>345</v>
      </c>
      <c r="B346" s="3" t="n">
        <v>344</v>
      </c>
      <c r="C346" s="3" t="n">
        <v>0</v>
      </c>
      <c r="D346" s="3" t="n">
        <v>12</v>
      </c>
      <c r="E346" s="3" t="n">
        <v>8</v>
      </c>
      <c r="F346" s="24" t="n">
        <v>0</v>
      </c>
    </row>
    <row r="347" customFormat="false" ht="15" hidden="false" customHeight="false" outlineLevel="0" collapsed="false">
      <c r="A347" s="3" t="n">
        <v>346</v>
      </c>
      <c r="B347" s="3" t="n">
        <v>345</v>
      </c>
      <c r="C347" s="3" t="n">
        <v>0</v>
      </c>
      <c r="D347" s="3" t="n">
        <v>12</v>
      </c>
      <c r="E347" s="3" t="n">
        <v>9</v>
      </c>
      <c r="F347" s="24" t="n">
        <v>0</v>
      </c>
    </row>
    <row r="348" customFormat="false" ht="15" hidden="false" customHeight="false" outlineLevel="0" collapsed="false">
      <c r="A348" s="3" t="n">
        <v>347</v>
      </c>
      <c r="B348" s="3" t="n">
        <v>346</v>
      </c>
      <c r="C348" s="3" t="n">
        <v>0</v>
      </c>
      <c r="D348" s="3" t="n">
        <v>12</v>
      </c>
      <c r="E348" s="3" t="n">
        <v>10</v>
      </c>
      <c r="F348" s="24" t="n">
        <v>0</v>
      </c>
    </row>
    <row r="349" customFormat="false" ht="15" hidden="false" customHeight="false" outlineLevel="0" collapsed="false">
      <c r="A349" s="3" t="n">
        <v>348</v>
      </c>
      <c r="B349" s="3" t="n">
        <v>347</v>
      </c>
      <c r="C349" s="3" t="n">
        <v>0</v>
      </c>
      <c r="D349" s="3" t="n">
        <v>12</v>
      </c>
      <c r="E349" s="3" t="n">
        <v>11</v>
      </c>
      <c r="F349" s="24" t="n">
        <v>0</v>
      </c>
    </row>
    <row r="350" customFormat="false" ht="15" hidden="false" customHeight="false" outlineLevel="0" collapsed="false">
      <c r="A350" s="3" t="n">
        <v>349</v>
      </c>
      <c r="B350" s="3" t="n">
        <v>348</v>
      </c>
      <c r="C350" s="3" t="n">
        <v>0</v>
      </c>
      <c r="D350" s="3" t="n">
        <v>12</v>
      </c>
      <c r="E350" s="3" t="n">
        <v>12</v>
      </c>
      <c r="F350" s="24" t="n">
        <v>0</v>
      </c>
    </row>
    <row r="351" customFormat="false" ht="15" hidden="false" customHeight="false" outlineLevel="0" collapsed="false">
      <c r="A351" s="3" t="n">
        <v>350</v>
      </c>
      <c r="B351" s="3" t="n">
        <v>349</v>
      </c>
      <c r="C351" s="3" t="n">
        <v>0</v>
      </c>
      <c r="D351" s="3" t="n">
        <v>12</v>
      </c>
      <c r="E351" s="3" t="n">
        <v>13</v>
      </c>
      <c r="F351" s="24" t="n">
        <v>0</v>
      </c>
    </row>
    <row r="352" customFormat="false" ht="15" hidden="false" customHeight="false" outlineLevel="0" collapsed="false">
      <c r="A352" s="3" t="n">
        <v>351</v>
      </c>
      <c r="B352" s="3" t="n">
        <v>350</v>
      </c>
      <c r="C352" s="3" t="n">
        <v>0</v>
      </c>
      <c r="D352" s="3" t="n">
        <v>12</v>
      </c>
      <c r="E352" s="3" t="n">
        <v>14</v>
      </c>
      <c r="F352" s="24" t="n">
        <v>0</v>
      </c>
    </row>
    <row r="353" customFormat="false" ht="15" hidden="false" customHeight="false" outlineLevel="0" collapsed="false">
      <c r="A353" s="3" t="n">
        <v>352</v>
      </c>
      <c r="B353" s="3" t="n">
        <v>351</v>
      </c>
      <c r="C353" s="3" t="n">
        <v>0</v>
      </c>
      <c r="D353" s="3" t="n">
        <v>12</v>
      </c>
      <c r="E353" s="3" t="n">
        <v>15</v>
      </c>
      <c r="F353" s="24" t="n">
        <v>0</v>
      </c>
    </row>
    <row r="354" customFormat="false" ht="15" hidden="false" customHeight="false" outlineLevel="0" collapsed="false">
      <c r="A354" s="3" t="n">
        <v>353</v>
      </c>
      <c r="B354" s="3" t="n">
        <v>352</v>
      </c>
      <c r="C354" s="3" t="n">
        <v>0</v>
      </c>
      <c r="D354" s="3" t="n">
        <v>12</v>
      </c>
      <c r="E354" s="3" t="n">
        <v>16</v>
      </c>
      <c r="F354" s="24" t="n">
        <v>0.434408337</v>
      </c>
    </row>
    <row r="355" customFormat="false" ht="15" hidden="false" customHeight="false" outlineLevel="0" collapsed="false">
      <c r="A355" s="3" t="n">
        <v>354</v>
      </c>
      <c r="B355" s="3" t="n">
        <v>353</v>
      </c>
      <c r="C355" s="3" t="n">
        <v>0</v>
      </c>
      <c r="D355" s="3" t="n">
        <v>12</v>
      </c>
      <c r="E355" s="3" t="n">
        <v>17</v>
      </c>
      <c r="F355" s="24" t="n">
        <v>1.47671139</v>
      </c>
    </row>
    <row r="356" customFormat="false" ht="15" hidden="false" customHeight="false" outlineLevel="0" collapsed="false">
      <c r="A356" s="3" t="n">
        <v>355</v>
      </c>
      <c r="B356" s="3" t="n">
        <v>354</v>
      </c>
      <c r="C356" s="3" t="n">
        <v>0</v>
      </c>
      <c r="D356" s="3" t="n">
        <v>12</v>
      </c>
      <c r="E356" s="3" t="n">
        <v>18</v>
      </c>
      <c r="F356" s="24" t="n">
        <v>1.16648495</v>
      </c>
    </row>
    <row r="357" customFormat="false" ht="15" hidden="false" customHeight="false" outlineLevel="0" collapsed="false">
      <c r="A357" s="3" t="n">
        <v>356</v>
      </c>
      <c r="B357" s="3" t="n">
        <v>355</v>
      </c>
      <c r="C357" s="3" t="n">
        <v>0</v>
      </c>
      <c r="D357" s="3" t="n">
        <v>12</v>
      </c>
      <c r="E357" s="3" t="n">
        <v>19</v>
      </c>
      <c r="F357" s="24" t="n">
        <v>1.27634335</v>
      </c>
    </row>
    <row r="358" customFormat="false" ht="15" hidden="false" customHeight="false" outlineLevel="0" collapsed="false">
      <c r="A358" s="3" t="n">
        <v>357</v>
      </c>
      <c r="B358" s="3" t="n">
        <v>356</v>
      </c>
      <c r="C358" s="3" t="n">
        <v>0</v>
      </c>
      <c r="D358" s="3" t="n">
        <v>12</v>
      </c>
      <c r="E358" s="3" t="n">
        <v>20</v>
      </c>
      <c r="F358" s="24" t="n">
        <v>1.81328583</v>
      </c>
    </row>
    <row r="359" customFormat="false" ht="15" hidden="false" customHeight="false" outlineLevel="0" collapsed="false">
      <c r="A359" s="3" t="n">
        <v>358</v>
      </c>
      <c r="B359" s="3" t="n">
        <v>357</v>
      </c>
      <c r="C359" s="3" t="n">
        <v>0</v>
      </c>
      <c r="D359" s="3" t="n">
        <v>12</v>
      </c>
      <c r="E359" s="3" t="n">
        <v>21</v>
      </c>
      <c r="F359" s="24" t="n">
        <v>1.02928185</v>
      </c>
    </row>
    <row r="360" customFormat="false" ht="15" hidden="false" customHeight="false" outlineLevel="0" collapsed="false">
      <c r="A360" s="3" t="n">
        <v>359</v>
      </c>
      <c r="B360" s="3" t="n">
        <v>358</v>
      </c>
      <c r="C360" s="3" t="n">
        <v>0</v>
      </c>
      <c r="D360" s="3" t="n">
        <v>12</v>
      </c>
      <c r="E360" s="3" t="n">
        <v>22</v>
      </c>
      <c r="F360" s="24" t="n">
        <v>0.0471986234</v>
      </c>
    </row>
    <row r="361" customFormat="false" ht="15" hidden="false" customHeight="false" outlineLevel="0" collapsed="false">
      <c r="A361" s="3" t="n">
        <v>360</v>
      </c>
      <c r="B361" s="3" t="n">
        <v>359</v>
      </c>
      <c r="C361" s="3" t="n">
        <v>0</v>
      </c>
      <c r="D361" s="3" t="n">
        <v>12</v>
      </c>
      <c r="E361" s="3" t="n">
        <v>23</v>
      </c>
      <c r="F361" s="24" t="n">
        <v>0</v>
      </c>
    </row>
    <row r="362" customFormat="false" ht="15" hidden="false" customHeight="false" outlineLevel="0" collapsed="false">
      <c r="A362" s="3" t="n">
        <v>361</v>
      </c>
      <c r="B362" s="3" t="n">
        <v>360</v>
      </c>
      <c r="C362" s="3" t="n">
        <v>0</v>
      </c>
      <c r="D362" s="3" t="n">
        <v>12</v>
      </c>
      <c r="E362" s="3" t="n">
        <v>24</v>
      </c>
      <c r="F362" s="24" t="n">
        <v>0</v>
      </c>
    </row>
    <row r="363" customFormat="false" ht="15" hidden="false" customHeight="false" outlineLevel="0" collapsed="false">
      <c r="A363" s="3" t="n">
        <v>362</v>
      </c>
      <c r="B363" s="3" t="n">
        <v>361</v>
      </c>
      <c r="C363" s="3" t="n">
        <v>0</v>
      </c>
      <c r="D363" s="3" t="n">
        <v>12</v>
      </c>
      <c r="E363" s="3" t="n">
        <v>25</v>
      </c>
      <c r="F363" s="24" t="n">
        <v>0</v>
      </c>
    </row>
    <row r="364" customFormat="false" ht="15" hidden="false" customHeight="false" outlineLevel="0" collapsed="false">
      <c r="A364" s="3" t="n">
        <v>363</v>
      </c>
      <c r="B364" s="3" t="n">
        <v>362</v>
      </c>
      <c r="C364" s="3" t="n">
        <v>0</v>
      </c>
      <c r="D364" s="3" t="n">
        <v>12</v>
      </c>
      <c r="E364" s="3" t="n">
        <v>26</v>
      </c>
      <c r="F364" s="24" t="n">
        <v>0</v>
      </c>
    </row>
    <row r="365" customFormat="false" ht="15" hidden="false" customHeight="false" outlineLevel="0" collapsed="false">
      <c r="A365" s="3" t="n">
        <v>364</v>
      </c>
      <c r="B365" s="3" t="n">
        <v>363</v>
      </c>
      <c r="C365" s="3" t="n">
        <v>0</v>
      </c>
      <c r="D365" s="3" t="n">
        <v>12</v>
      </c>
      <c r="E365" s="3" t="n">
        <v>27</v>
      </c>
      <c r="F365" s="24" t="n">
        <v>0.0673455298</v>
      </c>
    </row>
    <row r="366" customFormat="false" ht="15" hidden="false" customHeight="false" outlineLevel="0" collapsed="false">
      <c r="A366" s="3" t="n">
        <v>365</v>
      </c>
      <c r="B366" s="3" t="n">
        <v>364</v>
      </c>
      <c r="C366" s="3" t="n">
        <v>0</v>
      </c>
      <c r="D366" s="3" t="n">
        <v>13</v>
      </c>
      <c r="E366" s="3" t="n">
        <v>0</v>
      </c>
      <c r="F366" s="24" t="n">
        <v>0.10001415</v>
      </c>
    </row>
    <row r="367" customFormat="false" ht="15" hidden="false" customHeight="false" outlineLevel="0" collapsed="false">
      <c r="A367" s="3" t="n">
        <v>366</v>
      </c>
      <c r="B367" s="3" t="n">
        <v>365</v>
      </c>
      <c r="C367" s="3" t="n">
        <v>0</v>
      </c>
      <c r="D367" s="3" t="n">
        <v>13</v>
      </c>
      <c r="E367" s="3" t="n">
        <v>1</v>
      </c>
      <c r="F367" s="24" t="n">
        <v>0</v>
      </c>
    </row>
    <row r="368" customFormat="false" ht="15" hidden="false" customHeight="false" outlineLevel="0" collapsed="false">
      <c r="A368" s="3" t="n">
        <v>367</v>
      </c>
      <c r="B368" s="3" t="n">
        <v>366</v>
      </c>
      <c r="C368" s="3" t="n">
        <v>0</v>
      </c>
      <c r="D368" s="3" t="n">
        <v>13</v>
      </c>
      <c r="E368" s="3" t="n">
        <v>2</v>
      </c>
      <c r="F368" s="24" t="n">
        <v>0</v>
      </c>
    </row>
    <row r="369" customFormat="false" ht="15" hidden="false" customHeight="false" outlineLevel="0" collapsed="false">
      <c r="A369" s="3" t="n">
        <v>368</v>
      </c>
      <c r="B369" s="3" t="n">
        <v>367</v>
      </c>
      <c r="C369" s="3" t="n">
        <v>0</v>
      </c>
      <c r="D369" s="3" t="n">
        <v>13</v>
      </c>
      <c r="E369" s="3" t="n">
        <v>3</v>
      </c>
      <c r="F369" s="24" t="n">
        <v>0</v>
      </c>
    </row>
    <row r="370" customFormat="false" ht="15" hidden="false" customHeight="false" outlineLevel="0" collapsed="false">
      <c r="A370" s="3" t="n">
        <v>369</v>
      </c>
      <c r="B370" s="3" t="n">
        <v>368</v>
      </c>
      <c r="C370" s="3" t="n">
        <v>0</v>
      </c>
      <c r="D370" s="3" t="n">
        <v>13</v>
      </c>
      <c r="E370" s="3" t="n">
        <v>4</v>
      </c>
      <c r="F370" s="24" t="n">
        <v>0</v>
      </c>
    </row>
    <row r="371" customFormat="false" ht="15" hidden="false" customHeight="false" outlineLevel="0" collapsed="false">
      <c r="A371" s="3" t="n">
        <v>370</v>
      </c>
      <c r="B371" s="3" t="n">
        <v>369</v>
      </c>
      <c r="C371" s="3" t="n">
        <v>0</v>
      </c>
      <c r="D371" s="3" t="n">
        <v>13</v>
      </c>
      <c r="E371" s="3" t="n">
        <v>5</v>
      </c>
      <c r="F371" s="24" t="n">
        <v>0</v>
      </c>
    </row>
    <row r="372" customFormat="false" ht="15" hidden="false" customHeight="false" outlineLevel="0" collapsed="false">
      <c r="A372" s="3" t="n">
        <v>371</v>
      </c>
      <c r="B372" s="3" t="n">
        <v>370</v>
      </c>
      <c r="C372" s="3" t="n">
        <v>0</v>
      </c>
      <c r="D372" s="3" t="n">
        <v>13</v>
      </c>
      <c r="E372" s="3" t="n">
        <v>6</v>
      </c>
      <c r="F372" s="24" t="n">
        <v>0</v>
      </c>
    </row>
    <row r="373" customFormat="false" ht="15" hidden="false" customHeight="false" outlineLevel="0" collapsed="false">
      <c r="A373" s="3" t="n">
        <v>372</v>
      </c>
      <c r="B373" s="3" t="n">
        <v>371</v>
      </c>
      <c r="C373" s="3" t="n">
        <v>0</v>
      </c>
      <c r="D373" s="3" t="n">
        <v>13</v>
      </c>
      <c r="E373" s="3" t="n">
        <v>7</v>
      </c>
      <c r="F373" s="24" t="n">
        <v>0</v>
      </c>
    </row>
    <row r="374" customFormat="false" ht="15" hidden="false" customHeight="false" outlineLevel="0" collapsed="false">
      <c r="A374" s="3" t="n">
        <v>373</v>
      </c>
      <c r="B374" s="3" t="n">
        <v>372</v>
      </c>
      <c r="C374" s="3" t="n">
        <v>0</v>
      </c>
      <c r="D374" s="3" t="n">
        <v>13</v>
      </c>
      <c r="E374" s="3" t="n">
        <v>8</v>
      </c>
      <c r="F374" s="24" t="n">
        <v>0</v>
      </c>
    </row>
    <row r="375" customFormat="false" ht="15" hidden="false" customHeight="false" outlineLevel="0" collapsed="false">
      <c r="A375" s="3" t="n">
        <v>374</v>
      </c>
      <c r="B375" s="3" t="n">
        <v>373</v>
      </c>
      <c r="C375" s="3" t="n">
        <v>0</v>
      </c>
      <c r="D375" s="3" t="n">
        <v>13</v>
      </c>
      <c r="E375" s="3" t="n">
        <v>9</v>
      </c>
      <c r="F375" s="24" t="n">
        <v>0</v>
      </c>
    </row>
    <row r="376" customFormat="false" ht="15" hidden="false" customHeight="false" outlineLevel="0" collapsed="false">
      <c r="A376" s="3" t="n">
        <v>375</v>
      </c>
      <c r="B376" s="3" t="n">
        <v>374</v>
      </c>
      <c r="C376" s="3" t="n">
        <v>0</v>
      </c>
      <c r="D376" s="3" t="n">
        <v>13</v>
      </c>
      <c r="E376" s="3" t="n">
        <v>10</v>
      </c>
      <c r="F376" s="24" t="n">
        <v>0</v>
      </c>
    </row>
    <row r="377" customFormat="false" ht="15" hidden="false" customHeight="false" outlineLevel="0" collapsed="false">
      <c r="A377" s="3" t="n">
        <v>376</v>
      </c>
      <c r="B377" s="3" t="n">
        <v>375</v>
      </c>
      <c r="C377" s="3" t="n">
        <v>0</v>
      </c>
      <c r="D377" s="3" t="n">
        <v>13</v>
      </c>
      <c r="E377" s="3" t="n">
        <v>11</v>
      </c>
      <c r="F377" s="24" t="n">
        <v>0</v>
      </c>
    </row>
    <row r="378" customFormat="false" ht="15" hidden="false" customHeight="false" outlineLevel="0" collapsed="false">
      <c r="A378" s="3" t="n">
        <v>377</v>
      </c>
      <c r="B378" s="3" t="n">
        <v>376</v>
      </c>
      <c r="C378" s="3" t="n">
        <v>0</v>
      </c>
      <c r="D378" s="3" t="n">
        <v>13</v>
      </c>
      <c r="E378" s="3" t="n">
        <v>12</v>
      </c>
      <c r="F378" s="24" t="n">
        <v>0</v>
      </c>
    </row>
    <row r="379" customFormat="false" ht="15" hidden="false" customHeight="false" outlineLevel="0" collapsed="false">
      <c r="A379" s="3" t="n">
        <v>378</v>
      </c>
      <c r="B379" s="3" t="n">
        <v>377</v>
      </c>
      <c r="C379" s="3" t="n">
        <v>0</v>
      </c>
      <c r="D379" s="3" t="n">
        <v>13</v>
      </c>
      <c r="E379" s="3" t="n">
        <v>13</v>
      </c>
      <c r="F379" s="24" t="n">
        <v>0</v>
      </c>
    </row>
    <row r="380" customFormat="false" ht="15" hidden="false" customHeight="false" outlineLevel="0" collapsed="false">
      <c r="A380" s="3" t="n">
        <v>379</v>
      </c>
      <c r="B380" s="3" t="n">
        <v>378</v>
      </c>
      <c r="C380" s="3" t="n">
        <v>0</v>
      </c>
      <c r="D380" s="3" t="n">
        <v>13</v>
      </c>
      <c r="E380" s="3" t="n">
        <v>14</v>
      </c>
      <c r="F380" s="24" t="n">
        <v>0</v>
      </c>
    </row>
    <row r="381" customFormat="false" ht="15" hidden="false" customHeight="false" outlineLevel="0" collapsed="false">
      <c r="A381" s="3" t="n">
        <v>380</v>
      </c>
      <c r="B381" s="3" t="n">
        <v>379</v>
      </c>
      <c r="C381" s="3" t="n">
        <v>0</v>
      </c>
      <c r="D381" s="3" t="n">
        <v>13</v>
      </c>
      <c r="E381" s="3" t="n">
        <v>15</v>
      </c>
      <c r="F381" s="24" t="n">
        <v>0.138286084</v>
      </c>
    </row>
    <row r="382" customFormat="false" ht="15" hidden="false" customHeight="false" outlineLevel="0" collapsed="false">
      <c r="A382" s="3" t="n">
        <v>381</v>
      </c>
      <c r="B382" s="3" t="n">
        <v>380</v>
      </c>
      <c r="C382" s="3" t="n">
        <v>0</v>
      </c>
      <c r="D382" s="3" t="n">
        <v>13</v>
      </c>
      <c r="E382" s="3" t="n">
        <v>16</v>
      </c>
      <c r="F382" s="24" t="n">
        <v>1.17864037</v>
      </c>
    </row>
    <row r="383" customFormat="false" ht="15" hidden="false" customHeight="false" outlineLevel="0" collapsed="false">
      <c r="A383" s="3" t="n">
        <v>382</v>
      </c>
      <c r="B383" s="3" t="n">
        <v>381</v>
      </c>
      <c r="C383" s="3" t="n">
        <v>0</v>
      </c>
      <c r="D383" s="3" t="n">
        <v>13</v>
      </c>
      <c r="E383" s="3" t="n">
        <v>17</v>
      </c>
      <c r="F383" s="24" t="n">
        <v>1.03291154</v>
      </c>
    </row>
    <row r="384" customFormat="false" ht="15" hidden="false" customHeight="false" outlineLevel="0" collapsed="false">
      <c r="A384" s="3" t="n">
        <v>383</v>
      </c>
      <c r="B384" s="3" t="n">
        <v>382</v>
      </c>
      <c r="C384" s="3" t="n">
        <v>0</v>
      </c>
      <c r="D384" s="3" t="n">
        <v>13</v>
      </c>
      <c r="E384" s="3" t="n">
        <v>18</v>
      </c>
      <c r="F384" s="24" t="n">
        <v>1.10804772</v>
      </c>
    </row>
    <row r="385" customFormat="false" ht="15" hidden="false" customHeight="false" outlineLevel="0" collapsed="false">
      <c r="A385" s="3" t="n">
        <v>384</v>
      </c>
      <c r="B385" s="3" t="n">
        <v>383</v>
      </c>
      <c r="C385" s="3" t="n">
        <v>0</v>
      </c>
      <c r="D385" s="3" t="n">
        <v>13</v>
      </c>
      <c r="E385" s="3" t="n">
        <v>19</v>
      </c>
      <c r="F385" s="24" t="n">
        <v>2.15205431</v>
      </c>
    </row>
    <row r="386" customFormat="false" ht="15" hidden="false" customHeight="false" outlineLevel="0" collapsed="false">
      <c r="A386" s="3" t="n">
        <v>385</v>
      </c>
      <c r="B386" s="3" t="n">
        <v>384</v>
      </c>
      <c r="C386" s="3" t="n">
        <v>0</v>
      </c>
      <c r="D386" s="3" t="n">
        <v>13</v>
      </c>
      <c r="E386" s="3" t="n">
        <v>20</v>
      </c>
      <c r="F386" s="24" t="n">
        <v>2.11122179</v>
      </c>
    </row>
    <row r="387" customFormat="false" ht="15" hidden="false" customHeight="false" outlineLevel="0" collapsed="false">
      <c r="A387" s="3" t="n">
        <v>386</v>
      </c>
      <c r="B387" s="3" t="n">
        <v>385</v>
      </c>
      <c r="C387" s="3" t="n">
        <v>0</v>
      </c>
      <c r="D387" s="3" t="n">
        <v>13</v>
      </c>
      <c r="E387" s="3" t="n">
        <v>21</v>
      </c>
      <c r="F387" s="24" t="n">
        <v>0.496011436</v>
      </c>
    </row>
    <row r="388" customFormat="false" ht="15" hidden="false" customHeight="false" outlineLevel="0" collapsed="false">
      <c r="A388" s="3" t="n">
        <v>387</v>
      </c>
      <c r="B388" s="3" t="n">
        <v>386</v>
      </c>
      <c r="C388" s="3" t="n">
        <v>0</v>
      </c>
      <c r="D388" s="3" t="n">
        <v>13</v>
      </c>
      <c r="E388" s="3" t="n">
        <v>22</v>
      </c>
      <c r="F388" s="24" t="n">
        <v>0</v>
      </c>
    </row>
    <row r="389" customFormat="false" ht="15" hidden="false" customHeight="false" outlineLevel="0" collapsed="false">
      <c r="A389" s="3" t="n">
        <v>388</v>
      </c>
      <c r="B389" s="3" t="n">
        <v>387</v>
      </c>
      <c r="C389" s="3" t="n">
        <v>0</v>
      </c>
      <c r="D389" s="3" t="n">
        <v>13</v>
      </c>
      <c r="E389" s="3" t="n">
        <v>23</v>
      </c>
      <c r="F389" s="24" t="n">
        <v>0</v>
      </c>
    </row>
    <row r="390" customFormat="false" ht="15" hidden="false" customHeight="false" outlineLevel="0" collapsed="false">
      <c r="A390" s="3" t="n">
        <v>389</v>
      </c>
      <c r="B390" s="3" t="n">
        <v>388</v>
      </c>
      <c r="C390" s="3" t="n">
        <v>0</v>
      </c>
      <c r="D390" s="3" t="n">
        <v>13</v>
      </c>
      <c r="E390" s="3" t="n">
        <v>24</v>
      </c>
      <c r="F390" s="24" t="n">
        <v>0</v>
      </c>
    </row>
    <row r="391" customFormat="false" ht="15" hidden="false" customHeight="false" outlineLevel="0" collapsed="false">
      <c r="A391" s="3" t="n">
        <v>390</v>
      </c>
      <c r="B391" s="3" t="n">
        <v>389</v>
      </c>
      <c r="C391" s="3" t="n">
        <v>0</v>
      </c>
      <c r="D391" s="3" t="n">
        <v>13</v>
      </c>
      <c r="E391" s="3" t="n">
        <v>25</v>
      </c>
      <c r="F391" s="24" t="n">
        <v>0</v>
      </c>
    </row>
    <row r="392" customFormat="false" ht="15" hidden="false" customHeight="false" outlineLevel="0" collapsed="false">
      <c r="A392" s="3" t="n">
        <v>391</v>
      </c>
      <c r="B392" s="3" t="n">
        <v>390</v>
      </c>
      <c r="C392" s="3" t="n">
        <v>0</v>
      </c>
      <c r="D392" s="3" t="n">
        <v>13</v>
      </c>
      <c r="E392" s="3" t="n">
        <v>26</v>
      </c>
      <c r="F392" s="24" t="n">
        <v>0</v>
      </c>
    </row>
    <row r="393" customFormat="false" ht="15" hidden="false" customHeight="false" outlineLevel="0" collapsed="false">
      <c r="A393" s="3" t="n">
        <v>392</v>
      </c>
      <c r="B393" s="3" t="n">
        <v>391</v>
      </c>
      <c r="C393" s="3" t="n">
        <v>0</v>
      </c>
      <c r="D393" s="3" t="n">
        <v>13</v>
      </c>
      <c r="E393" s="3" t="n">
        <v>27</v>
      </c>
      <c r="F393" s="24" t="n">
        <v>0.0673455298</v>
      </c>
    </row>
    <row r="394" customFormat="false" ht="15" hidden="false" customHeight="false" outlineLevel="0" collapsed="false">
      <c r="A394" s="3" t="n">
        <v>393</v>
      </c>
      <c r="B394" s="3" t="n">
        <v>392</v>
      </c>
      <c r="C394" s="3" t="n">
        <v>0</v>
      </c>
      <c r="D394" s="3" t="n">
        <v>14</v>
      </c>
      <c r="E394" s="3" t="n">
        <v>0</v>
      </c>
      <c r="F394" s="24" t="n">
        <v>0.10001415</v>
      </c>
    </row>
    <row r="395" customFormat="false" ht="15" hidden="false" customHeight="false" outlineLevel="0" collapsed="false">
      <c r="A395" s="3" t="n">
        <v>394</v>
      </c>
      <c r="B395" s="3" t="n">
        <v>393</v>
      </c>
      <c r="C395" s="3" t="n">
        <v>0</v>
      </c>
      <c r="D395" s="3" t="n">
        <v>14</v>
      </c>
      <c r="E395" s="3" t="n">
        <v>1</v>
      </c>
      <c r="F395" s="24" t="n">
        <v>0</v>
      </c>
    </row>
    <row r="396" customFormat="false" ht="15" hidden="false" customHeight="false" outlineLevel="0" collapsed="false">
      <c r="A396" s="3" t="n">
        <v>395</v>
      </c>
      <c r="B396" s="3" t="n">
        <v>394</v>
      </c>
      <c r="C396" s="3" t="n">
        <v>0</v>
      </c>
      <c r="D396" s="3" t="n">
        <v>14</v>
      </c>
      <c r="E396" s="3" t="n">
        <v>2</v>
      </c>
      <c r="F396" s="24" t="n">
        <v>0</v>
      </c>
    </row>
    <row r="397" customFormat="false" ht="15" hidden="false" customHeight="false" outlineLevel="0" collapsed="false">
      <c r="A397" s="3" t="n">
        <v>396</v>
      </c>
      <c r="B397" s="3" t="n">
        <v>395</v>
      </c>
      <c r="C397" s="3" t="n">
        <v>0</v>
      </c>
      <c r="D397" s="3" t="n">
        <v>14</v>
      </c>
      <c r="E397" s="3" t="n">
        <v>3</v>
      </c>
      <c r="F397" s="24" t="n">
        <v>0</v>
      </c>
    </row>
    <row r="398" customFormat="false" ht="15" hidden="false" customHeight="false" outlineLevel="0" collapsed="false">
      <c r="A398" s="3" t="n">
        <v>397</v>
      </c>
      <c r="B398" s="3" t="n">
        <v>396</v>
      </c>
      <c r="C398" s="3" t="n">
        <v>0</v>
      </c>
      <c r="D398" s="3" t="n">
        <v>14</v>
      </c>
      <c r="E398" s="3" t="n">
        <v>4</v>
      </c>
      <c r="F398" s="24" t="n">
        <v>0</v>
      </c>
    </row>
    <row r="399" customFormat="false" ht="15" hidden="false" customHeight="false" outlineLevel="0" collapsed="false">
      <c r="A399" s="3" t="n">
        <v>398</v>
      </c>
      <c r="B399" s="3" t="n">
        <v>397</v>
      </c>
      <c r="C399" s="3" t="n">
        <v>0</v>
      </c>
      <c r="D399" s="3" t="n">
        <v>14</v>
      </c>
      <c r="E399" s="3" t="n">
        <v>5</v>
      </c>
      <c r="F399" s="24" t="n">
        <v>0</v>
      </c>
    </row>
    <row r="400" customFormat="false" ht="15" hidden="false" customHeight="false" outlineLevel="0" collapsed="false">
      <c r="A400" s="3" t="n">
        <v>399</v>
      </c>
      <c r="B400" s="3" t="n">
        <v>398</v>
      </c>
      <c r="C400" s="3" t="n">
        <v>0</v>
      </c>
      <c r="D400" s="3" t="n">
        <v>14</v>
      </c>
      <c r="E400" s="3" t="n">
        <v>6</v>
      </c>
      <c r="F400" s="24" t="n">
        <v>0</v>
      </c>
    </row>
    <row r="401" customFormat="false" ht="15" hidden="false" customHeight="false" outlineLevel="0" collapsed="false">
      <c r="A401" s="3" t="n">
        <v>400</v>
      </c>
      <c r="B401" s="3" t="n">
        <v>399</v>
      </c>
      <c r="C401" s="3" t="n">
        <v>0</v>
      </c>
      <c r="D401" s="3" t="n">
        <v>14</v>
      </c>
      <c r="E401" s="3" t="n">
        <v>7</v>
      </c>
      <c r="F401" s="24" t="n">
        <v>0</v>
      </c>
    </row>
    <row r="402" customFormat="false" ht="15" hidden="false" customHeight="false" outlineLevel="0" collapsed="false">
      <c r="A402" s="3" t="n">
        <v>401</v>
      </c>
      <c r="B402" s="3" t="n">
        <v>400</v>
      </c>
      <c r="C402" s="3" t="n">
        <v>0</v>
      </c>
      <c r="D402" s="3" t="n">
        <v>14</v>
      </c>
      <c r="E402" s="3" t="n">
        <v>8</v>
      </c>
      <c r="F402" s="24" t="n">
        <v>0</v>
      </c>
    </row>
    <row r="403" customFormat="false" ht="15" hidden="false" customHeight="false" outlineLevel="0" collapsed="false">
      <c r="A403" s="3" t="n">
        <v>402</v>
      </c>
      <c r="B403" s="3" t="n">
        <v>401</v>
      </c>
      <c r="C403" s="3" t="n">
        <v>0</v>
      </c>
      <c r="D403" s="3" t="n">
        <v>14</v>
      </c>
      <c r="E403" s="3" t="n">
        <v>9</v>
      </c>
      <c r="F403" s="24" t="n">
        <v>0</v>
      </c>
    </row>
    <row r="404" customFormat="false" ht="15" hidden="false" customHeight="false" outlineLevel="0" collapsed="false">
      <c r="A404" s="3" t="n">
        <v>403</v>
      </c>
      <c r="B404" s="3" t="n">
        <v>402</v>
      </c>
      <c r="C404" s="3" t="n">
        <v>0</v>
      </c>
      <c r="D404" s="3" t="n">
        <v>14</v>
      </c>
      <c r="E404" s="3" t="n">
        <v>10</v>
      </c>
      <c r="F404" s="24" t="n">
        <v>0</v>
      </c>
    </row>
    <row r="405" customFormat="false" ht="15" hidden="false" customHeight="false" outlineLevel="0" collapsed="false">
      <c r="A405" s="3" t="n">
        <v>404</v>
      </c>
      <c r="B405" s="3" t="n">
        <v>403</v>
      </c>
      <c r="C405" s="3" t="n">
        <v>0</v>
      </c>
      <c r="D405" s="3" t="n">
        <v>14</v>
      </c>
      <c r="E405" s="3" t="n">
        <v>11</v>
      </c>
      <c r="F405" s="24" t="n">
        <v>0</v>
      </c>
    </row>
    <row r="406" customFormat="false" ht="15" hidden="false" customHeight="false" outlineLevel="0" collapsed="false">
      <c r="A406" s="3" t="n">
        <v>405</v>
      </c>
      <c r="B406" s="3" t="n">
        <v>404</v>
      </c>
      <c r="C406" s="3" t="n">
        <v>0</v>
      </c>
      <c r="D406" s="3" t="n">
        <v>14</v>
      </c>
      <c r="E406" s="3" t="n">
        <v>12</v>
      </c>
      <c r="F406" s="24" t="n">
        <v>0</v>
      </c>
    </row>
    <row r="407" customFormat="false" ht="15" hidden="false" customHeight="false" outlineLevel="0" collapsed="false">
      <c r="A407" s="3" t="n">
        <v>406</v>
      </c>
      <c r="B407" s="3" t="n">
        <v>405</v>
      </c>
      <c r="C407" s="3" t="n">
        <v>0</v>
      </c>
      <c r="D407" s="3" t="n">
        <v>14</v>
      </c>
      <c r="E407" s="3" t="n">
        <v>13</v>
      </c>
      <c r="F407" s="24" t="n">
        <v>0</v>
      </c>
    </row>
    <row r="408" customFormat="false" ht="15" hidden="false" customHeight="false" outlineLevel="0" collapsed="false">
      <c r="A408" s="3" t="n">
        <v>407</v>
      </c>
      <c r="B408" s="3" t="n">
        <v>406</v>
      </c>
      <c r="C408" s="3" t="n">
        <v>0</v>
      </c>
      <c r="D408" s="3" t="n">
        <v>14</v>
      </c>
      <c r="E408" s="3" t="n">
        <v>14</v>
      </c>
      <c r="F408" s="24" t="n">
        <v>0</v>
      </c>
    </row>
    <row r="409" customFormat="false" ht="15" hidden="false" customHeight="false" outlineLevel="0" collapsed="false">
      <c r="A409" s="3" t="n">
        <v>408</v>
      </c>
      <c r="B409" s="3" t="n">
        <v>407</v>
      </c>
      <c r="C409" s="3" t="n">
        <v>0</v>
      </c>
      <c r="D409" s="3" t="n">
        <v>14</v>
      </c>
      <c r="E409" s="3" t="n">
        <v>15</v>
      </c>
      <c r="F409" s="24" t="n">
        <v>0.615915656</v>
      </c>
    </row>
    <row r="410" customFormat="false" ht="15" hidden="false" customHeight="false" outlineLevel="0" collapsed="false">
      <c r="A410" s="3" t="n">
        <v>409</v>
      </c>
      <c r="B410" s="3" t="n">
        <v>408</v>
      </c>
      <c r="C410" s="3" t="n">
        <v>0</v>
      </c>
      <c r="D410" s="3" t="n">
        <v>14</v>
      </c>
      <c r="E410" s="3" t="n">
        <v>16</v>
      </c>
      <c r="F410" s="24" t="n">
        <v>1.44690001</v>
      </c>
    </row>
    <row r="411" customFormat="false" ht="15" hidden="false" customHeight="false" outlineLevel="0" collapsed="false">
      <c r="A411" s="3" t="n">
        <v>410</v>
      </c>
      <c r="B411" s="3" t="n">
        <v>409</v>
      </c>
      <c r="C411" s="3" t="n">
        <v>0</v>
      </c>
      <c r="D411" s="3" t="n">
        <v>14</v>
      </c>
      <c r="E411" s="3" t="n">
        <v>17</v>
      </c>
      <c r="F411" s="24" t="n">
        <v>1.33917332</v>
      </c>
    </row>
    <row r="412" customFormat="false" ht="15" hidden="false" customHeight="false" outlineLevel="0" collapsed="false">
      <c r="A412" s="3" t="n">
        <v>411</v>
      </c>
      <c r="B412" s="3" t="n">
        <v>410</v>
      </c>
      <c r="C412" s="3" t="n">
        <v>0</v>
      </c>
      <c r="D412" s="3" t="n">
        <v>14</v>
      </c>
      <c r="E412" s="3" t="n">
        <v>18</v>
      </c>
      <c r="F412" s="24" t="n">
        <v>1.17621851</v>
      </c>
    </row>
    <row r="413" customFormat="false" ht="15" hidden="false" customHeight="false" outlineLevel="0" collapsed="false">
      <c r="A413" s="3" t="n">
        <v>412</v>
      </c>
      <c r="B413" s="3" t="n">
        <v>411</v>
      </c>
      <c r="C413" s="3" t="n">
        <v>0</v>
      </c>
      <c r="D413" s="3" t="n">
        <v>14</v>
      </c>
      <c r="E413" s="3" t="n">
        <v>19</v>
      </c>
      <c r="F413" s="24" t="n">
        <v>1.93833292</v>
      </c>
    </row>
    <row r="414" customFormat="false" ht="15" hidden="false" customHeight="false" outlineLevel="0" collapsed="false">
      <c r="A414" s="3" t="n">
        <v>413</v>
      </c>
      <c r="B414" s="3" t="n">
        <v>412</v>
      </c>
      <c r="C414" s="3" t="n">
        <v>0</v>
      </c>
      <c r="D414" s="3" t="n">
        <v>14</v>
      </c>
      <c r="E414" s="3" t="n">
        <v>20</v>
      </c>
      <c r="F414" s="24" t="n">
        <v>1.31306982</v>
      </c>
    </row>
    <row r="415" customFormat="false" ht="15" hidden="false" customHeight="false" outlineLevel="0" collapsed="false">
      <c r="A415" s="3" t="n">
        <v>414</v>
      </c>
      <c r="B415" s="3" t="n">
        <v>413</v>
      </c>
      <c r="C415" s="3" t="n">
        <v>0</v>
      </c>
      <c r="D415" s="3" t="n">
        <v>14</v>
      </c>
      <c r="E415" s="3" t="n">
        <v>21</v>
      </c>
      <c r="F415" s="24" t="n">
        <v>0.152811408</v>
      </c>
    </row>
    <row r="416" customFormat="false" ht="15" hidden="false" customHeight="false" outlineLevel="0" collapsed="false">
      <c r="A416" s="3" t="n">
        <v>415</v>
      </c>
      <c r="B416" s="3" t="n">
        <v>414</v>
      </c>
      <c r="C416" s="3" t="n">
        <v>0</v>
      </c>
      <c r="D416" s="3" t="n">
        <v>14</v>
      </c>
      <c r="E416" s="3" t="n">
        <v>22</v>
      </c>
      <c r="F416" s="24" t="n">
        <v>0</v>
      </c>
    </row>
    <row r="417" customFormat="false" ht="15" hidden="false" customHeight="false" outlineLevel="0" collapsed="false">
      <c r="A417" s="3" t="n">
        <v>416</v>
      </c>
      <c r="B417" s="3" t="n">
        <v>415</v>
      </c>
      <c r="C417" s="3" t="n">
        <v>0</v>
      </c>
      <c r="D417" s="3" t="n">
        <v>14</v>
      </c>
      <c r="E417" s="3" t="n">
        <v>23</v>
      </c>
      <c r="F417" s="24" t="n">
        <v>0</v>
      </c>
    </row>
    <row r="418" customFormat="false" ht="15" hidden="false" customHeight="false" outlineLevel="0" collapsed="false">
      <c r="A418" s="3" t="n">
        <v>417</v>
      </c>
      <c r="B418" s="3" t="n">
        <v>416</v>
      </c>
      <c r="C418" s="3" t="n">
        <v>0</v>
      </c>
      <c r="D418" s="3" t="n">
        <v>14</v>
      </c>
      <c r="E418" s="3" t="n">
        <v>24</v>
      </c>
      <c r="F418" s="24" t="n">
        <v>0</v>
      </c>
    </row>
    <row r="419" customFormat="false" ht="15" hidden="false" customHeight="false" outlineLevel="0" collapsed="false">
      <c r="A419" s="3" t="n">
        <v>418</v>
      </c>
      <c r="B419" s="3" t="n">
        <v>417</v>
      </c>
      <c r="C419" s="3" t="n">
        <v>0</v>
      </c>
      <c r="D419" s="3" t="n">
        <v>14</v>
      </c>
      <c r="E419" s="3" t="n">
        <v>25</v>
      </c>
      <c r="F419" s="24" t="n">
        <v>0</v>
      </c>
    </row>
    <row r="420" customFormat="false" ht="15" hidden="false" customHeight="false" outlineLevel="0" collapsed="false">
      <c r="A420" s="3" t="n">
        <v>419</v>
      </c>
      <c r="B420" s="3" t="n">
        <v>418</v>
      </c>
      <c r="C420" s="3" t="n">
        <v>0</v>
      </c>
      <c r="D420" s="3" t="n">
        <v>14</v>
      </c>
      <c r="E420" s="3" t="n">
        <v>26</v>
      </c>
      <c r="F420" s="24" t="n">
        <v>0</v>
      </c>
    </row>
    <row r="421" customFormat="false" ht="15" hidden="false" customHeight="false" outlineLevel="0" collapsed="false">
      <c r="A421" s="3" t="n">
        <v>420</v>
      </c>
      <c r="B421" s="3" t="n">
        <v>419</v>
      </c>
      <c r="C421" s="3" t="n">
        <v>0</v>
      </c>
      <c r="D421" s="3" t="n">
        <v>14</v>
      </c>
      <c r="E421" s="3" t="n">
        <v>27</v>
      </c>
      <c r="F421" s="24" t="n">
        <v>0.0673455298</v>
      </c>
    </row>
    <row r="422" customFormat="false" ht="15" hidden="false" customHeight="false" outlineLevel="0" collapsed="false">
      <c r="A422" s="3" t="n">
        <v>421</v>
      </c>
      <c r="B422" s="3" t="n">
        <v>420</v>
      </c>
      <c r="C422" s="3" t="n">
        <v>0</v>
      </c>
      <c r="D422" s="3" t="n">
        <v>15</v>
      </c>
      <c r="E422" s="3" t="n">
        <v>0</v>
      </c>
      <c r="F422" s="24" t="n">
        <v>0.10001415</v>
      </c>
    </row>
    <row r="423" customFormat="false" ht="15" hidden="false" customHeight="false" outlineLevel="0" collapsed="false">
      <c r="A423" s="3" t="n">
        <v>422</v>
      </c>
      <c r="B423" s="3" t="n">
        <v>421</v>
      </c>
      <c r="C423" s="3" t="n">
        <v>0</v>
      </c>
      <c r="D423" s="3" t="n">
        <v>15</v>
      </c>
      <c r="E423" s="3" t="n">
        <v>1</v>
      </c>
      <c r="F423" s="24" t="n">
        <v>0</v>
      </c>
    </row>
    <row r="424" customFormat="false" ht="15" hidden="false" customHeight="false" outlineLevel="0" collapsed="false">
      <c r="A424" s="3" t="n">
        <v>423</v>
      </c>
      <c r="B424" s="3" t="n">
        <v>422</v>
      </c>
      <c r="C424" s="3" t="n">
        <v>0</v>
      </c>
      <c r="D424" s="3" t="n">
        <v>15</v>
      </c>
      <c r="E424" s="3" t="n">
        <v>2</v>
      </c>
      <c r="F424" s="24" t="n">
        <v>0</v>
      </c>
    </row>
    <row r="425" customFormat="false" ht="15" hidden="false" customHeight="false" outlineLevel="0" collapsed="false">
      <c r="A425" s="3" t="n">
        <v>424</v>
      </c>
      <c r="B425" s="3" t="n">
        <v>423</v>
      </c>
      <c r="C425" s="3" t="n">
        <v>0</v>
      </c>
      <c r="D425" s="3" t="n">
        <v>15</v>
      </c>
      <c r="E425" s="3" t="n">
        <v>3</v>
      </c>
      <c r="F425" s="24" t="n">
        <v>0</v>
      </c>
    </row>
    <row r="426" customFormat="false" ht="15" hidden="false" customHeight="false" outlineLevel="0" collapsed="false">
      <c r="A426" s="3" t="n">
        <v>425</v>
      </c>
      <c r="B426" s="3" t="n">
        <v>424</v>
      </c>
      <c r="C426" s="3" t="n">
        <v>0</v>
      </c>
      <c r="D426" s="3" t="n">
        <v>15</v>
      </c>
      <c r="E426" s="3" t="n">
        <v>4</v>
      </c>
      <c r="F426" s="24" t="n">
        <v>0</v>
      </c>
    </row>
    <row r="427" customFormat="false" ht="15" hidden="false" customHeight="false" outlineLevel="0" collapsed="false">
      <c r="A427" s="3" t="n">
        <v>426</v>
      </c>
      <c r="B427" s="3" t="n">
        <v>425</v>
      </c>
      <c r="C427" s="3" t="n">
        <v>0</v>
      </c>
      <c r="D427" s="3" t="n">
        <v>15</v>
      </c>
      <c r="E427" s="3" t="n">
        <v>5</v>
      </c>
      <c r="F427" s="24" t="n">
        <v>0</v>
      </c>
    </row>
    <row r="428" customFormat="false" ht="15" hidden="false" customHeight="false" outlineLevel="0" collapsed="false">
      <c r="A428" s="3" t="n">
        <v>427</v>
      </c>
      <c r="B428" s="3" t="n">
        <v>426</v>
      </c>
      <c r="C428" s="3" t="n">
        <v>0</v>
      </c>
      <c r="D428" s="3" t="n">
        <v>15</v>
      </c>
      <c r="E428" s="3" t="n">
        <v>6</v>
      </c>
      <c r="F428" s="24" t="n">
        <v>0</v>
      </c>
    </row>
    <row r="429" customFormat="false" ht="15" hidden="false" customHeight="false" outlineLevel="0" collapsed="false">
      <c r="A429" s="3" t="n">
        <v>428</v>
      </c>
      <c r="B429" s="3" t="n">
        <v>427</v>
      </c>
      <c r="C429" s="3" t="n">
        <v>0</v>
      </c>
      <c r="D429" s="3" t="n">
        <v>15</v>
      </c>
      <c r="E429" s="3" t="n">
        <v>7</v>
      </c>
      <c r="F429" s="24" t="n">
        <v>0</v>
      </c>
    </row>
    <row r="430" customFormat="false" ht="15" hidden="false" customHeight="false" outlineLevel="0" collapsed="false">
      <c r="A430" s="3" t="n">
        <v>429</v>
      </c>
      <c r="B430" s="3" t="n">
        <v>428</v>
      </c>
      <c r="C430" s="3" t="n">
        <v>0</v>
      </c>
      <c r="D430" s="3" t="n">
        <v>15</v>
      </c>
      <c r="E430" s="3" t="n">
        <v>8</v>
      </c>
      <c r="F430" s="24" t="n">
        <v>0</v>
      </c>
    </row>
    <row r="431" customFormat="false" ht="15" hidden="false" customHeight="false" outlineLevel="0" collapsed="false">
      <c r="A431" s="3" t="n">
        <v>430</v>
      </c>
      <c r="B431" s="3" t="n">
        <v>429</v>
      </c>
      <c r="C431" s="3" t="n">
        <v>0</v>
      </c>
      <c r="D431" s="3" t="n">
        <v>15</v>
      </c>
      <c r="E431" s="3" t="n">
        <v>9</v>
      </c>
      <c r="F431" s="24" t="n">
        <v>0</v>
      </c>
    </row>
    <row r="432" customFormat="false" ht="15" hidden="false" customHeight="false" outlineLevel="0" collapsed="false">
      <c r="A432" s="3" t="n">
        <v>431</v>
      </c>
      <c r="B432" s="3" t="n">
        <v>430</v>
      </c>
      <c r="C432" s="3" t="n">
        <v>0</v>
      </c>
      <c r="D432" s="3" t="n">
        <v>15</v>
      </c>
      <c r="E432" s="3" t="n">
        <v>10</v>
      </c>
      <c r="F432" s="24" t="n">
        <v>0</v>
      </c>
    </row>
    <row r="433" customFormat="false" ht="15" hidden="false" customHeight="false" outlineLevel="0" collapsed="false">
      <c r="A433" s="3" t="n">
        <v>432</v>
      </c>
      <c r="B433" s="3" t="n">
        <v>431</v>
      </c>
      <c r="C433" s="3" t="n">
        <v>0</v>
      </c>
      <c r="D433" s="3" t="n">
        <v>15</v>
      </c>
      <c r="E433" s="3" t="n">
        <v>11</v>
      </c>
      <c r="F433" s="24" t="n">
        <v>0</v>
      </c>
    </row>
    <row r="434" customFormat="false" ht="15" hidden="false" customHeight="false" outlineLevel="0" collapsed="false">
      <c r="A434" s="3" t="n">
        <v>433</v>
      </c>
      <c r="B434" s="3" t="n">
        <v>432</v>
      </c>
      <c r="C434" s="3" t="n">
        <v>0</v>
      </c>
      <c r="D434" s="3" t="n">
        <v>15</v>
      </c>
      <c r="E434" s="3" t="n">
        <v>12</v>
      </c>
      <c r="F434" s="24" t="n">
        <v>0</v>
      </c>
    </row>
    <row r="435" customFormat="false" ht="15" hidden="false" customHeight="false" outlineLevel="0" collapsed="false">
      <c r="A435" s="3" t="n">
        <v>434</v>
      </c>
      <c r="B435" s="3" t="n">
        <v>433</v>
      </c>
      <c r="C435" s="3" t="n">
        <v>0</v>
      </c>
      <c r="D435" s="3" t="n">
        <v>15</v>
      </c>
      <c r="E435" s="3" t="n">
        <v>13</v>
      </c>
      <c r="F435" s="24" t="n">
        <v>0</v>
      </c>
    </row>
    <row r="436" customFormat="false" ht="15" hidden="false" customHeight="false" outlineLevel="0" collapsed="false">
      <c r="A436" s="3" t="n">
        <v>435</v>
      </c>
      <c r="B436" s="3" t="n">
        <v>434</v>
      </c>
      <c r="C436" s="3" t="n">
        <v>0</v>
      </c>
      <c r="D436" s="3" t="n">
        <v>15</v>
      </c>
      <c r="E436" s="3" t="n">
        <v>14</v>
      </c>
      <c r="F436" s="24" t="n">
        <v>0</v>
      </c>
    </row>
    <row r="437" customFormat="false" ht="15" hidden="false" customHeight="false" outlineLevel="0" collapsed="false">
      <c r="A437" s="3" t="n">
        <v>436</v>
      </c>
      <c r="B437" s="3" t="n">
        <v>435</v>
      </c>
      <c r="C437" s="3" t="n">
        <v>0</v>
      </c>
      <c r="D437" s="3" t="n">
        <v>15</v>
      </c>
      <c r="E437" s="3" t="n">
        <v>15</v>
      </c>
      <c r="F437" s="24" t="n">
        <v>0.889092684</v>
      </c>
    </row>
    <row r="438" customFormat="false" ht="15" hidden="false" customHeight="false" outlineLevel="0" collapsed="false">
      <c r="A438" s="3" t="n">
        <v>437</v>
      </c>
      <c r="B438" s="3" t="n">
        <v>436</v>
      </c>
      <c r="C438" s="3" t="n">
        <v>0</v>
      </c>
      <c r="D438" s="3" t="n">
        <v>15</v>
      </c>
      <c r="E438" s="3" t="n">
        <v>16</v>
      </c>
      <c r="F438" s="24" t="n">
        <v>1.27752781</v>
      </c>
    </row>
    <row r="439" customFormat="false" ht="15" hidden="false" customHeight="false" outlineLevel="0" collapsed="false">
      <c r="A439" s="3" t="n">
        <v>438</v>
      </c>
      <c r="B439" s="3" t="n">
        <v>437</v>
      </c>
      <c r="C439" s="3" t="n">
        <v>0</v>
      </c>
      <c r="D439" s="3" t="n">
        <v>15</v>
      </c>
      <c r="E439" s="3" t="n">
        <v>17</v>
      </c>
      <c r="F439" s="24" t="n">
        <v>1.27795351</v>
      </c>
    </row>
    <row r="440" customFormat="false" ht="15" hidden="false" customHeight="false" outlineLevel="0" collapsed="false">
      <c r="A440" s="3" t="n">
        <v>439</v>
      </c>
      <c r="B440" s="3" t="n">
        <v>438</v>
      </c>
      <c r="C440" s="3" t="n">
        <v>0</v>
      </c>
      <c r="D440" s="3" t="n">
        <v>15</v>
      </c>
      <c r="E440" s="3" t="n">
        <v>18</v>
      </c>
      <c r="F440" s="24" t="n">
        <v>2.00980759</v>
      </c>
    </row>
    <row r="441" customFormat="false" ht="15" hidden="false" customHeight="false" outlineLevel="0" collapsed="false">
      <c r="A441" s="3" t="n">
        <v>440</v>
      </c>
      <c r="B441" s="3" t="n">
        <v>439</v>
      </c>
      <c r="C441" s="3" t="n">
        <v>0</v>
      </c>
      <c r="D441" s="3" t="n">
        <v>15</v>
      </c>
      <c r="E441" s="3" t="n">
        <v>19</v>
      </c>
      <c r="F441" s="24" t="n">
        <v>1.7347064</v>
      </c>
    </row>
    <row r="442" customFormat="false" ht="15" hidden="false" customHeight="false" outlineLevel="0" collapsed="false">
      <c r="A442" s="3" t="n">
        <v>441</v>
      </c>
      <c r="B442" s="3" t="n">
        <v>440</v>
      </c>
      <c r="C442" s="3" t="n">
        <v>0</v>
      </c>
      <c r="D442" s="3" t="n">
        <v>15</v>
      </c>
      <c r="E442" s="3" t="n">
        <v>20</v>
      </c>
      <c r="F442" s="24" t="n">
        <v>0.246925786</v>
      </c>
    </row>
    <row r="443" customFormat="false" ht="15" hidden="false" customHeight="false" outlineLevel="0" collapsed="false">
      <c r="A443" s="3" t="n">
        <v>442</v>
      </c>
      <c r="B443" s="3" t="n">
        <v>441</v>
      </c>
      <c r="C443" s="3" t="n">
        <v>0</v>
      </c>
      <c r="D443" s="3" t="n">
        <v>15</v>
      </c>
      <c r="E443" s="3" t="n">
        <v>21</v>
      </c>
      <c r="F443" s="24" t="n">
        <v>0</v>
      </c>
    </row>
    <row r="444" customFormat="false" ht="15" hidden="false" customHeight="false" outlineLevel="0" collapsed="false">
      <c r="A444" s="3" t="n">
        <v>443</v>
      </c>
      <c r="B444" s="3" t="n">
        <v>442</v>
      </c>
      <c r="C444" s="3" t="n">
        <v>0</v>
      </c>
      <c r="D444" s="3" t="n">
        <v>15</v>
      </c>
      <c r="E444" s="3" t="n">
        <v>22</v>
      </c>
      <c r="F444" s="24" t="n">
        <v>0</v>
      </c>
    </row>
    <row r="445" customFormat="false" ht="15" hidden="false" customHeight="false" outlineLevel="0" collapsed="false">
      <c r="A445" s="3" t="n">
        <v>444</v>
      </c>
      <c r="B445" s="3" t="n">
        <v>443</v>
      </c>
      <c r="C445" s="3" t="n">
        <v>0</v>
      </c>
      <c r="D445" s="3" t="n">
        <v>15</v>
      </c>
      <c r="E445" s="3" t="n">
        <v>23</v>
      </c>
      <c r="F445" s="24" t="n">
        <v>0</v>
      </c>
    </row>
    <row r="446" customFormat="false" ht="15" hidden="false" customHeight="false" outlineLevel="0" collapsed="false">
      <c r="A446" s="3" t="n">
        <v>445</v>
      </c>
      <c r="B446" s="3" t="n">
        <v>444</v>
      </c>
      <c r="C446" s="3" t="n">
        <v>0</v>
      </c>
      <c r="D446" s="3" t="n">
        <v>15</v>
      </c>
      <c r="E446" s="3" t="n">
        <v>24</v>
      </c>
      <c r="F446" s="24" t="n">
        <v>0</v>
      </c>
    </row>
    <row r="447" customFormat="false" ht="15" hidden="false" customHeight="false" outlineLevel="0" collapsed="false">
      <c r="A447" s="3" t="n">
        <v>446</v>
      </c>
      <c r="B447" s="3" t="n">
        <v>445</v>
      </c>
      <c r="C447" s="3" t="n">
        <v>0</v>
      </c>
      <c r="D447" s="3" t="n">
        <v>15</v>
      </c>
      <c r="E447" s="3" t="n">
        <v>25</v>
      </c>
      <c r="F447" s="24" t="n">
        <v>0</v>
      </c>
    </row>
    <row r="448" customFormat="false" ht="15" hidden="false" customHeight="false" outlineLevel="0" collapsed="false">
      <c r="A448" s="3" t="n">
        <v>447</v>
      </c>
      <c r="B448" s="3" t="n">
        <v>446</v>
      </c>
      <c r="C448" s="3" t="n">
        <v>0</v>
      </c>
      <c r="D448" s="3" t="n">
        <v>15</v>
      </c>
      <c r="E448" s="3" t="n">
        <v>26</v>
      </c>
      <c r="F448" s="24" t="n">
        <v>0</v>
      </c>
    </row>
    <row r="449" customFormat="false" ht="15" hidden="false" customHeight="false" outlineLevel="0" collapsed="false">
      <c r="A449" s="3" t="n">
        <v>448</v>
      </c>
      <c r="B449" s="3" t="n">
        <v>447</v>
      </c>
      <c r="C449" s="3" t="n">
        <v>0</v>
      </c>
      <c r="D449" s="3" t="n">
        <v>15</v>
      </c>
      <c r="E449" s="3" t="n">
        <v>27</v>
      </c>
      <c r="F449" s="24" t="n">
        <v>0.0673455298</v>
      </c>
    </row>
    <row r="450" customFormat="false" ht="15" hidden="false" customHeight="false" outlineLevel="0" collapsed="false">
      <c r="A450" s="3" t="n">
        <v>449</v>
      </c>
      <c r="B450" s="3" t="n">
        <v>448</v>
      </c>
      <c r="C450" s="3" t="n">
        <v>0</v>
      </c>
      <c r="D450" s="3" t="n">
        <v>16</v>
      </c>
      <c r="E450" s="3" t="n">
        <v>0</v>
      </c>
      <c r="F450" s="24" t="n">
        <v>0.10001415</v>
      </c>
    </row>
    <row r="451" customFormat="false" ht="15" hidden="false" customHeight="false" outlineLevel="0" collapsed="false">
      <c r="A451" s="3" t="n">
        <v>450</v>
      </c>
      <c r="B451" s="3" t="n">
        <v>449</v>
      </c>
      <c r="C451" s="3" t="n">
        <v>0</v>
      </c>
      <c r="D451" s="3" t="n">
        <v>16</v>
      </c>
      <c r="E451" s="3" t="n">
        <v>1</v>
      </c>
      <c r="F451" s="24" t="n">
        <v>0</v>
      </c>
    </row>
    <row r="452" customFormat="false" ht="15" hidden="false" customHeight="false" outlineLevel="0" collapsed="false">
      <c r="A452" s="3" t="n">
        <v>451</v>
      </c>
      <c r="B452" s="3" t="n">
        <v>450</v>
      </c>
      <c r="C452" s="3" t="n">
        <v>0</v>
      </c>
      <c r="D452" s="3" t="n">
        <v>16</v>
      </c>
      <c r="E452" s="3" t="n">
        <v>2</v>
      </c>
      <c r="F452" s="24" t="n">
        <v>0</v>
      </c>
    </row>
    <row r="453" customFormat="false" ht="15" hidden="false" customHeight="false" outlineLevel="0" collapsed="false">
      <c r="A453" s="3" t="n">
        <v>452</v>
      </c>
      <c r="B453" s="3" t="n">
        <v>451</v>
      </c>
      <c r="C453" s="3" t="n">
        <v>0</v>
      </c>
      <c r="D453" s="3" t="n">
        <v>16</v>
      </c>
      <c r="E453" s="3" t="n">
        <v>3</v>
      </c>
      <c r="F453" s="24" t="n">
        <v>0</v>
      </c>
    </row>
    <row r="454" customFormat="false" ht="15" hidden="false" customHeight="false" outlineLevel="0" collapsed="false">
      <c r="A454" s="3" t="n">
        <v>453</v>
      </c>
      <c r="B454" s="3" t="n">
        <v>452</v>
      </c>
      <c r="C454" s="3" t="n">
        <v>0</v>
      </c>
      <c r="D454" s="3" t="n">
        <v>16</v>
      </c>
      <c r="E454" s="3" t="n">
        <v>4</v>
      </c>
      <c r="F454" s="24" t="n">
        <v>0</v>
      </c>
    </row>
    <row r="455" customFormat="false" ht="15" hidden="false" customHeight="false" outlineLevel="0" collapsed="false">
      <c r="A455" s="3" t="n">
        <v>454</v>
      </c>
      <c r="B455" s="3" t="n">
        <v>453</v>
      </c>
      <c r="C455" s="3" t="n">
        <v>0</v>
      </c>
      <c r="D455" s="3" t="n">
        <v>16</v>
      </c>
      <c r="E455" s="3" t="n">
        <v>5</v>
      </c>
      <c r="F455" s="24" t="n">
        <v>0</v>
      </c>
    </row>
    <row r="456" customFormat="false" ht="15" hidden="false" customHeight="false" outlineLevel="0" collapsed="false">
      <c r="A456" s="3" t="n">
        <v>455</v>
      </c>
      <c r="B456" s="3" t="n">
        <v>454</v>
      </c>
      <c r="C456" s="3" t="n">
        <v>0</v>
      </c>
      <c r="D456" s="3" t="n">
        <v>16</v>
      </c>
      <c r="E456" s="3" t="n">
        <v>6</v>
      </c>
      <c r="F456" s="24" t="n">
        <v>0</v>
      </c>
    </row>
    <row r="457" customFormat="false" ht="15" hidden="false" customHeight="false" outlineLevel="0" collapsed="false">
      <c r="A457" s="3" t="n">
        <v>456</v>
      </c>
      <c r="B457" s="3" t="n">
        <v>455</v>
      </c>
      <c r="C457" s="3" t="n">
        <v>0</v>
      </c>
      <c r="D457" s="3" t="n">
        <v>16</v>
      </c>
      <c r="E457" s="3" t="n">
        <v>7</v>
      </c>
      <c r="F457" s="24" t="n">
        <v>0</v>
      </c>
    </row>
    <row r="458" customFormat="false" ht="15" hidden="false" customHeight="false" outlineLevel="0" collapsed="false">
      <c r="A458" s="3" t="n">
        <v>457</v>
      </c>
      <c r="B458" s="3" t="n">
        <v>456</v>
      </c>
      <c r="C458" s="3" t="n">
        <v>0</v>
      </c>
      <c r="D458" s="3" t="n">
        <v>16</v>
      </c>
      <c r="E458" s="3" t="n">
        <v>8</v>
      </c>
      <c r="F458" s="24" t="n">
        <v>0</v>
      </c>
    </row>
    <row r="459" customFormat="false" ht="15" hidden="false" customHeight="false" outlineLevel="0" collapsed="false">
      <c r="A459" s="3" t="n">
        <v>458</v>
      </c>
      <c r="B459" s="3" t="n">
        <v>457</v>
      </c>
      <c r="C459" s="3" t="n">
        <v>0</v>
      </c>
      <c r="D459" s="3" t="n">
        <v>16</v>
      </c>
      <c r="E459" s="3" t="n">
        <v>9</v>
      </c>
      <c r="F459" s="24" t="n">
        <v>0</v>
      </c>
    </row>
    <row r="460" customFormat="false" ht="15" hidden="false" customHeight="false" outlineLevel="0" collapsed="false">
      <c r="A460" s="3" t="n">
        <v>459</v>
      </c>
      <c r="B460" s="3" t="n">
        <v>458</v>
      </c>
      <c r="C460" s="3" t="n">
        <v>0</v>
      </c>
      <c r="D460" s="3" t="n">
        <v>16</v>
      </c>
      <c r="E460" s="3" t="n">
        <v>10</v>
      </c>
      <c r="F460" s="24" t="n">
        <v>0</v>
      </c>
    </row>
    <row r="461" customFormat="false" ht="15" hidden="false" customHeight="false" outlineLevel="0" collapsed="false">
      <c r="A461" s="3" t="n">
        <v>460</v>
      </c>
      <c r="B461" s="3" t="n">
        <v>459</v>
      </c>
      <c r="C461" s="3" t="n">
        <v>0</v>
      </c>
      <c r="D461" s="3" t="n">
        <v>16</v>
      </c>
      <c r="E461" s="3" t="n">
        <v>11</v>
      </c>
      <c r="F461" s="24" t="n">
        <v>0</v>
      </c>
    </row>
    <row r="462" customFormat="false" ht="15" hidden="false" customHeight="false" outlineLevel="0" collapsed="false">
      <c r="A462" s="3" t="n">
        <v>461</v>
      </c>
      <c r="B462" s="3" t="n">
        <v>460</v>
      </c>
      <c r="C462" s="3" t="n">
        <v>0</v>
      </c>
      <c r="D462" s="3" t="n">
        <v>16</v>
      </c>
      <c r="E462" s="3" t="n">
        <v>12</v>
      </c>
      <c r="F462" s="24" t="n">
        <v>0</v>
      </c>
    </row>
    <row r="463" customFormat="false" ht="15" hidden="false" customHeight="false" outlineLevel="0" collapsed="false">
      <c r="A463" s="3" t="n">
        <v>462</v>
      </c>
      <c r="B463" s="3" t="n">
        <v>461</v>
      </c>
      <c r="C463" s="3" t="n">
        <v>0</v>
      </c>
      <c r="D463" s="3" t="n">
        <v>16</v>
      </c>
      <c r="E463" s="3" t="n">
        <v>13</v>
      </c>
      <c r="F463" s="24" t="n">
        <v>0</v>
      </c>
    </row>
    <row r="464" customFormat="false" ht="15" hidden="false" customHeight="false" outlineLevel="0" collapsed="false">
      <c r="A464" s="3" t="n">
        <v>463</v>
      </c>
      <c r="B464" s="3" t="n">
        <v>462</v>
      </c>
      <c r="C464" s="3" t="n">
        <v>0</v>
      </c>
      <c r="D464" s="3" t="n">
        <v>16</v>
      </c>
      <c r="E464" s="3" t="n">
        <v>14</v>
      </c>
      <c r="F464" s="24" t="n">
        <v>0.366197526</v>
      </c>
    </row>
    <row r="465" customFormat="false" ht="15" hidden="false" customHeight="false" outlineLevel="0" collapsed="false">
      <c r="A465" s="3" t="n">
        <v>464</v>
      </c>
      <c r="B465" s="3" t="n">
        <v>463</v>
      </c>
      <c r="C465" s="3" t="n">
        <v>0</v>
      </c>
      <c r="D465" s="3" t="n">
        <v>16</v>
      </c>
      <c r="E465" s="3" t="n">
        <v>15</v>
      </c>
      <c r="F465" s="24" t="n">
        <v>1.07998526</v>
      </c>
    </row>
    <row r="466" customFormat="false" ht="15" hidden="false" customHeight="false" outlineLevel="0" collapsed="false">
      <c r="A466" s="3" t="n">
        <v>465</v>
      </c>
      <c r="B466" s="3" t="n">
        <v>464</v>
      </c>
      <c r="C466" s="3" t="n">
        <v>0</v>
      </c>
      <c r="D466" s="3" t="n">
        <v>16</v>
      </c>
      <c r="E466" s="3" t="n">
        <v>16</v>
      </c>
      <c r="F466" s="24" t="n">
        <v>1.00473785</v>
      </c>
    </row>
    <row r="467" customFormat="false" ht="15" hidden="false" customHeight="false" outlineLevel="0" collapsed="false">
      <c r="A467" s="3" t="n">
        <v>466</v>
      </c>
      <c r="B467" s="3" t="n">
        <v>465</v>
      </c>
      <c r="C467" s="3" t="n">
        <v>0</v>
      </c>
      <c r="D467" s="3" t="n">
        <v>16</v>
      </c>
      <c r="E467" s="3" t="n">
        <v>17</v>
      </c>
      <c r="F467" s="24" t="n">
        <v>1.19059777</v>
      </c>
    </row>
    <row r="468" customFormat="false" ht="15" hidden="false" customHeight="false" outlineLevel="0" collapsed="false">
      <c r="A468" s="3" t="n">
        <v>467</v>
      </c>
      <c r="B468" s="3" t="n">
        <v>466</v>
      </c>
      <c r="C468" s="3" t="n">
        <v>0</v>
      </c>
      <c r="D468" s="3" t="n">
        <v>16</v>
      </c>
      <c r="E468" s="3" t="n">
        <v>18</v>
      </c>
      <c r="F468" s="24" t="n">
        <v>1.94584572</v>
      </c>
    </row>
    <row r="469" customFormat="false" ht="15" hidden="false" customHeight="false" outlineLevel="0" collapsed="false">
      <c r="A469" s="3" t="n">
        <v>468</v>
      </c>
      <c r="B469" s="3" t="n">
        <v>467</v>
      </c>
      <c r="C469" s="3" t="n">
        <v>0</v>
      </c>
      <c r="D469" s="3" t="n">
        <v>16</v>
      </c>
      <c r="E469" s="3" t="n">
        <v>19</v>
      </c>
      <c r="F469" s="24" t="n">
        <v>0.992514133</v>
      </c>
    </row>
    <row r="470" customFormat="false" ht="15" hidden="false" customHeight="false" outlineLevel="0" collapsed="false">
      <c r="A470" s="3" t="n">
        <v>469</v>
      </c>
      <c r="B470" s="3" t="n">
        <v>468</v>
      </c>
      <c r="C470" s="3" t="n">
        <v>0</v>
      </c>
      <c r="D470" s="3" t="n">
        <v>16</v>
      </c>
      <c r="E470" s="3" t="n">
        <v>20</v>
      </c>
      <c r="F470" s="24" t="n">
        <v>0</v>
      </c>
    </row>
    <row r="471" customFormat="false" ht="15" hidden="false" customHeight="false" outlineLevel="0" collapsed="false">
      <c r="A471" s="3" t="n">
        <v>470</v>
      </c>
      <c r="B471" s="3" t="n">
        <v>469</v>
      </c>
      <c r="C471" s="3" t="n">
        <v>0</v>
      </c>
      <c r="D471" s="3" t="n">
        <v>16</v>
      </c>
      <c r="E471" s="3" t="n">
        <v>21</v>
      </c>
      <c r="F471" s="24" t="n">
        <v>0</v>
      </c>
    </row>
    <row r="472" customFormat="false" ht="15" hidden="false" customHeight="false" outlineLevel="0" collapsed="false">
      <c r="A472" s="3" t="n">
        <v>471</v>
      </c>
      <c r="B472" s="3" t="n">
        <v>470</v>
      </c>
      <c r="C472" s="3" t="n">
        <v>0</v>
      </c>
      <c r="D472" s="3" t="n">
        <v>16</v>
      </c>
      <c r="E472" s="3" t="n">
        <v>22</v>
      </c>
      <c r="F472" s="24" t="n">
        <v>0</v>
      </c>
    </row>
    <row r="473" customFormat="false" ht="15" hidden="false" customHeight="false" outlineLevel="0" collapsed="false">
      <c r="A473" s="3" t="n">
        <v>472</v>
      </c>
      <c r="B473" s="3" t="n">
        <v>471</v>
      </c>
      <c r="C473" s="3" t="n">
        <v>0</v>
      </c>
      <c r="D473" s="3" t="n">
        <v>16</v>
      </c>
      <c r="E473" s="3" t="n">
        <v>23</v>
      </c>
      <c r="F473" s="24" t="n">
        <v>0</v>
      </c>
    </row>
    <row r="474" customFormat="false" ht="15" hidden="false" customHeight="false" outlineLevel="0" collapsed="false">
      <c r="A474" s="3" t="n">
        <v>473</v>
      </c>
      <c r="B474" s="3" t="n">
        <v>472</v>
      </c>
      <c r="C474" s="3" t="n">
        <v>0</v>
      </c>
      <c r="D474" s="3" t="n">
        <v>16</v>
      </c>
      <c r="E474" s="3" t="n">
        <v>24</v>
      </c>
      <c r="F474" s="24" t="n">
        <v>0</v>
      </c>
    </row>
    <row r="475" customFormat="false" ht="15" hidden="false" customHeight="false" outlineLevel="0" collapsed="false">
      <c r="A475" s="3" t="n">
        <v>474</v>
      </c>
      <c r="B475" s="3" t="n">
        <v>473</v>
      </c>
      <c r="C475" s="3" t="n">
        <v>0</v>
      </c>
      <c r="D475" s="3" t="n">
        <v>16</v>
      </c>
      <c r="E475" s="3" t="n">
        <v>25</v>
      </c>
      <c r="F475" s="24" t="n">
        <v>0</v>
      </c>
    </row>
    <row r="476" customFormat="false" ht="15" hidden="false" customHeight="false" outlineLevel="0" collapsed="false">
      <c r="A476" s="3" t="n">
        <v>475</v>
      </c>
      <c r="B476" s="3" t="n">
        <v>474</v>
      </c>
      <c r="C476" s="3" t="n">
        <v>0</v>
      </c>
      <c r="D476" s="3" t="n">
        <v>16</v>
      </c>
      <c r="E476" s="3" t="n">
        <v>26</v>
      </c>
      <c r="F476" s="24" t="n">
        <v>0</v>
      </c>
    </row>
    <row r="477" customFormat="false" ht="15" hidden="false" customHeight="false" outlineLevel="0" collapsed="false">
      <c r="A477" s="3" t="n">
        <v>476</v>
      </c>
      <c r="B477" s="3" t="n">
        <v>475</v>
      </c>
      <c r="C477" s="3" t="n">
        <v>0</v>
      </c>
      <c r="D477" s="3" t="n">
        <v>16</v>
      </c>
      <c r="E477" s="3" t="n">
        <v>27</v>
      </c>
      <c r="F477" s="24" t="n">
        <v>0.0673455298</v>
      </c>
    </row>
    <row r="478" customFormat="false" ht="15" hidden="false" customHeight="false" outlineLevel="0" collapsed="false">
      <c r="A478" s="3" t="n">
        <v>477</v>
      </c>
      <c r="B478" s="3" t="n">
        <v>476</v>
      </c>
      <c r="C478" s="3" t="n">
        <v>0</v>
      </c>
      <c r="D478" s="3" t="n">
        <v>17</v>
      </c>
      <c r="E478" s="3" t="n">
        <v>0</v>
      </c>
      <c r="F478" s="24" t="n">
        <v>0.10001415</v>
      </c>
    </row>
    <row r="479" customFormat="false" ht="15" hidden="false" customHeight="false" outlineLevel="0" collapsed="false">
      <c r="A479" s="3" t="n">
        <v>478</v>
      </c>
      <c r="B479" s="3" t="n">
        <v>477</v>
      </c>
      <c r="C479" s="3" t="n">
        <v>0</v>
      </c>
      <c r="D479" s="3" t="n">
        <v>17</v>
      </c>
      <c r="E479" s="3" t="n">
        <v>1</v>
      </c>
      <c r="F479" s="24" t="n">
        <v>0</v>
      </c>
    </row>
    <row r="480" customFormat="false" ht="15" hidden="false" customHeight="false" outlineLevel="0" collapsed="false">
      <c r="A480" s="3" t="n">
        <v>479</v>
      </c>
      <c r="B480" s="3" t="n">
        <v>478</v>
      </c>
      <c r="C480" s="3" t="n">
        <v>0</v>
      </c>
      <c r="D480" s="3" t="n">
        <v>17</v>
      </c>
      <c r="E480" s="3" t="n">
        <v>2</v>
      </c>
      <c r="F480" s="24" t="n">
        <v>0</v>
      </c>
    </row>
    <row r="481" customFormat="false" ht="15" hidden="false" customHeight="false" outlineLevel="0" collapsed="false">
      <c r="A481" s="3" t="n">
        <v>480</v>
      </c>
      <c r="B481" s="3" t="n">
        <v>479</v>
      </c>
      <c r="C481" s="3" t="n">
        <v>0</v>
      </c>
      <c r="D481" s="3" t="n">
        <v>17</v>
      </c>
      <c r="E481" s="3" t="n">
        <v>3</v>
      </c>
      <c r="F481" s="24" t="n">
        <v>0</v>
      </c>
    </row>
    <row r="482" customFormat="false" ht="15" hidden="false" customHeight="false" outlineLevel="0" collapsed="false">
      <c r="A482" s="3" t="n">
        <v>481</v>
      </c>
      <c r="B482" s="3" t="n">
        <v>480</v>
      </c>
      <c r="C482" s="3" t="n">
        <v>0</v>
      </c>
      <c r="D482" s="3" t="n">
        <v>17</v>
      </c>
      <c r="E482" s="3" t="n">
        <v>4</v>
      </c>
      <c r="F482" s="24" t="n">
        <v>0</v>
      </c>
    </row>
    <row r="483" customFormat="false" ht="15" hidden="false" customHeight="false" outlineLevel="0" collapsed="false">
      <c r="A483" s="3" t="n">
        <v>482</v>
      </c>
      <c r="B483" s="3" t="n">
        <v>481</v>
      </c>
      <c r="C483" s="3" t="n">
        <v>0</v>
      </c>
      <c r="D483" s="3" t="n">
        <v>17</v>
      </c>
      <c r="E483" s="3" t="n">
        <v>5</v>
      </c>
      <c r="F483" s="24" t="n">
        <v>0</v>
      </c>
    </row>
    <row r="484" customFormat="false" ht="15" hidden="false" customHeight="false" outlineLevel="0" collapsed="false">
      <c r="A484" s="3" t="n">
        <v>483</v>
      </c>
      <c r="B484" s="3" t="n">
        <v>482</v>
      </c>
      <c r="C484" s="3" t="n">
        <v>0</v>
      </c>
      <c r="D484" s="3" t="n">
        <v>17</v>
      </c>
      <c r="E484" s="3" t="n">
        <v>6</v>
      </c>
      <c r="F484" s="24" t="n">
        <v>0</v>
      </c>
    </row>
    <row r="485" customFormat="false" ht="15" hidden="false" customHeight="false" outlineLevel="0" collapsed="false">
      <c r="A485" s="3" t="n">
        <v>484</v>
      </c>
      <c r="B485" s="3" t="n">
        <v>483</v>
      </c>
      <c r="C485" s="3" t="n">
        <v>0</v>
      </c>
      <c r="D485" s="3" t="n">
        <v>17</v>
      </c>
      <c r="E485" s="3" t="n">
        <v>7</v>
      </c>
      <c r="F485" s="24" t="n">
        <v>0</v>
      </c>
    </row>
    <row r="486" customFormat="false" ht="15" hidden="false" customHeight="false" outlineLevel="0" collapsed="false">
      <c r="A486" s="3" t="n">
        <v>485</v>
      </c>
      <c r="B486" s="3" t="n">
        <v>484</v>
      </c>
      <c r="C486" s="3" t="n">
        <v>0</v>
      </c>
      <c r="D486" s="3" t="n">
        <v>17</v>
      </c>
      <c r="E486" s="3" t="n">
        <v>8</v>
      </c>
      <c r="F486" s="24" t="n">
        <v>0</v>
      </c>
    </row>
    <row r="487" customFormat="false" ht="15" hidden="false" customHeight="false" outlineLevel="0" collapsed="false">
      <c r="A487" s="3" t="n">
        <v>486</v>
      </c>
      <c r="B487" s="3" t="n">
        <v>485</v>
      </c>
      <c r="C487" s="3" t="n">
        <v>0</v>
      </c>
      <c r="D487" s="3" t="n">
        <v>17</v>
      </c>
      <c r="E487" s="3" t="n">
        <v>9</v>
      </c>
      <c r="F487" s="24" t="n">
        <v>0</v>
      </c>
    </row>
    <row r="488" customFormat="false" ht="15" hidden="false" customHeight="false" outlineLevel="0" collapsed="false">
      <c r="A488" s="3" t="n">
        <v>487</v>
      </c>
      <c r="B488" s="3" t="n">
        <v>486</v>
      </c>
      <c r="C488" s="3" t="n">
        <v>0</v>
      </c>
      <c r="D488" s="3" t="n">
        <v>17</v>
      </c>
      <c r="E488" s="3" t="n">
        <v>10</v>
      </c>
      <c r="F488" s="24" t="n">
        <v>0</v>
      </c>
    </row>
    <row r="489" customFormat="false" ht="15" hidden="false" customHeight="false" outlineLevel="0" collapsed="false">
      <c r="A489" s="3" t="n">
        <v>488</v>
      </c>
      <c r="B489" s="3" t="n">
        <v>487</v>
      </c>
      <c r="C489" s="3" t="n">
        <v>0</v>
      </c>
      <c r="D489" s="3" t="n">
        <v>17</v>
      </c>
      <c r="E489" s="3" t="n">
        <v>11</v>
      </c>
      <c r="F489" s="24" t="n">
        <v>0</v>
      </c>
    </row>
    <row r="490" customFormat="false" ht="15" hidden="false" customHeight="false" outlineLevel="0" collapsed="false">
      <c r="A490" s="3" t="n">
        <v>489</v>
      </c>
      <c r="B490" s="3" t="n">
        <v>488</v>
      </c>
      <c r="C490" s="3" t="n">
        <v>0</v>
      </c>
      <c r="D490" s="3" t="n">
        <v>17</v>
      </c>
      <c r="E490" s="3" t="n">
        <v>12</v>
      </c>
      <c r="F490" s="24" t="n">
        <v>0</v>
      </c>
    </row>
    <row r="491" customFormat="false" ht="15" hidden="false" customHeight="false" outlineLevel="0" collapsed="false">
      <c r="A491" s="3" t="n">
        <v>490</v>
      </c>
      <c r="B491" s="3" t="n">
        <v>489</v>
      </c>
      <c r="C491" s="3" t="n">
        <v>0</v>
      </c>
      <c r="D491" s="3" t="n">
        <v>17</v>
      </c>
      <c r="E491" s="3" t="n">
        <v>13</v>
      </c>
      <c r="F491" s="24" t="n">
        <v>0.182815984</v>
      </c>
    </row>
    <row r="492" customFormat="false" ht="15" hidden="false" customHeight="false" outlineLevel="0" collapsed="false">
      <c r="A492" s="3" t="n">
        <v>491</v>
      </c>
      <c r="B492" s="3" t="n">
        <v>490</v>
      </c>
      <c r="C492" s="3" t="n">
        <v>0</v>
      </c>
      <c r="D492" s="3" t="n">
        <v>17</v>
      </c>
      <c r="E492" s="3" t="n">
        <v>14</v>
      </c>
      <c r="F492" s="24" t="n">
        <v>1.23507917</v>
      </c>
    </row>
    <row r="493" customFormat="false" ht="15" hidden="false" customHeight="false" outlineLevel="0" collapsed="false">
      <c r="A493" s="3" t="n">
        <v>492</v>
      </c>
      <c r="B493" s="3" t="n">
        <v>491</v>
      </c>
      <c r="C493" s="3" t="n">
        <v>0</v>
      </c>
      <c r="D493" s="3" t="n">
        <v>17</v>
      </c>
      <c r="E493" s="3" t="n">
        <v>15</v>
      </c>
      <c r="F493" s="24" t="n">
        <v>1.00305843</v>
      </c>
    </row>
    <row r="494" customFormat="false" ht="15" hidden="false" customHeight="false" outlineLevel="0" collapsed="false">
      <c r="A494" s="3" t="n">
        <v>493</v>
      </c>
      <c r="B494" s="3" t="n">
        <v>492</v>
      </c>
      <c r="C494" s="3" t="n">
        <v>0</v>
      </c>
      <c r="D494" s="3" t="n">
        <v>17</v>
      </c>
      <c r="E494" s="3" t="n">
        <v>16</v>
      </c>
      <c r="F494" s="24" t="n">
        <v>0.704185545</v>
      </c>
    </row>
    <row r="495" customFormat="false" ht="15" hidden="false" customHeight="false" outlineLevel="0" collapsed="false">
      <c r="A495" s="3" t="n">
        <v>494</v>
      </c>
      <c r="B495" s="3" t="n">
        <v>493</v>
      </c>
      <c r="C495" s="3" t="n">
        <v>0</v>
      </c>
      <c r="D495" s="3" t="n">
        <v>17</v>
      </c>
      <c r="E495" s="3" t="n">
        <v>17</v>
      </c>
      <c r="F495" s="24" t="n">
        <v>1.8292793</v>
      </c>
    </row>
    <row r="496" customFormat="false" ht="15" hidden="false" customHeight="false" outlineLevel="0" collapsed="false">
      <c r="A496" s="3" t="n">
        <v>495</v>
      </c>
      <c r="B496" s="3" t="n">
        <v>494</v>
      </c>
      <c r="C496" s="3" t="n">
        <v>0</v>
      </c>
      <c r="D496" s="3" t="n">
        <v>17</v>
      </c>
      <c r="E496" s="3" t="n">
        <v>18</v>
      </c>
      <c r="F496" s="24" t="n">
        <v>1.66723847</v>
      </c>
    </row>
    <row r="497" customFormat="false" ht="15" hidden="false" customHeight="false" outlineLevel="0" collapsed="false">
      <c r="A497" s="3" t="n">
        <v>496</v>
      </c>
      <c r="B497" s="3" t="n">
        <v>495</v>
      </c>
      <c r="C497" s="3" t="n">
        <v>0</v>
      </c>
      <c r="D497" s="3" t="n">
        <v>17</v>
      </c>
      <c r="E497" s="3" t="n">
        <v>19</v>
      </c>
      <c r="F497" s="24" t="n">
        <v>0.209679857</v>
      </c>
    </row>
    <row r="498" customFormat="false" ht="15" hidden="false" customHeight="false" outlineLevel="0" collapsed="false">
      <c r="A498" s="3" t="n">
        <v>497</v>
      </c>
      <c r="B498" s="3" t="n">
        <v>496</v>
      </c>
      <c r="C498" s="3" t="n">
        <v>0</v>
      </c>
      <c r="D498" s="3" t="n">
        <v>17</v>
      </c>
      <c r="E498" s="3" t="n">
        <v>20</v>
      </c>
      <c r="F498" s="24" t="n">
        <v>0</v>
      </c>
    </row>
    <row r="499" customFormat="false" ht="15" hidden="false" customHeight="false" outlineLevel="0" collapsed="false">
      <c r="A499" s="3" t="n">
        <v>498</v>
      </c>
      <c r="B499" s="3" t="n">
        <v>497</v>
      </c>
      <c r="C499" s="3" t="n">
        <v>0</v>
      </c>
      <c r="D499" s="3" t="n">
        <v>17</v>
      </c>
      <c r="E499" s="3" t="n">
        <v>21</v>
      </c>
      <c r="F499" s="24" t="n">
        <v>0</v>
      </c>
    </row>
    <row r="500" customFormat="false" ht="15" hidden="false" customHeight="false" outlineLevel="0" collapsed="false">
      <c r="A500" s="3" t="n">
        <v>499</v>
      </c>
      <c r="B500" s="3" t="n">
        <v>498</v>
      </c>
      <c r="C500" s="3" t="n">
        <v>0</v>
      </c>
      <c r="D500" s="3" t="n">
        <v>17</v>
      </c>
      <c r="E500" s="3" t="n">
        <v>22</v>
      </c>
      <c r="F500" s="24" t="n">
        <v>0</v>
      </c>
    </row>
    <row r="501" customFormat="false" ht="15" hidden="false" customHeight="false" outlineLevel="0" collapsed="false">
      <c r="A501" s="3" t="n">
        <v>500</v>
      </c>
      <c r="B501" s="3" t="n">
        <v>499</v>
      </c>
      <c r="C501" s="3" t="n">
        <v>0</v>
      </c>
      <c r="D501" s="3" t="n">
        <v>17</v>
      </c>
      <c r="E501" s="3" t="n">
        <v>23</v>
      </c>
      <c r="F501" s="24" t="n">
        <v>0</v>
      </c>
    </row>
    <row r="502" customFormat="false" ht="15" hidden="false" customHeight="false" outlineLevel="0" collapsed="false">
      <c r="A502" s="3" t="n">
        <v>501</v>
      </c>
      <c r="B502" s="3" t="n">
        <v>500</v>
      </c>
      <c r="C502" s="3" t="n">
        <v>0</v>
      </c>
      <c r="D502" s="3" t="n">
        <v>17</v>
      </c>
      <c r="E502" s="3" t="n">
        <v>24</v>
      </c>
      <c r="F502" s="24" t="n">
        <v>0</v>
      </c>
    </row>
    <row r="503" customFormat="false" ht="15" hidden="false" customHeight="false" outlineLevel="0" collapsed="false">
      <c r="A503" s="3" t="n">
        <v>502</v>
      </c>
      <c r="B503" s="3" t="n">
        <v>501</v>
      </c>
      <c r="C503" s="3" t="n">
        <v>0</v>
      </c>
      <c r="D503" s="3" t="n">
        <v>17</v>
      </c>
      <c r="E503" s="3" t="n">
        <v>25</v>
      </c>
      <c r="F503" s="24" t="n">
        <v>0</v>
      </c>
    </row>
    <row r="504" customFormat="false" ht="15" hidden="false" customHeight="false" outlineLevel="0" collapsed="false">
      <c r="A504" s="3" t="n">
        <v>503</v>
      </c>
      <c r="B504" s="3" t="n">
        <v>502</v>
      </c>
      <c r="C504" s="3" t="n">
        <v>0</v>
      </c>
      <c r="D504" s="3" t="n">
        <v>17</v>
      </c>
      <c r="E504" s="3" t="n">
        <v>26</v>
      </c>
      <c r="F504" s="24" t="n">
        <v>0</v>
      </c>
    </row>
    <row r="505" customFormat="false" ht="15" hidden="false" customHeight="false" outlineLevel="0" collapsed="false">
      <c r="A505" s="3" t="n">
        <v>504</v>
      </c>
      <c r="B505" s="3" t="n">
        <v>503</v>
      </c>
      <c r="C505" s="3" t="n">
        <v>0</v>
      </c>
      <c r="D505" s="3" t="n">
        <v>17</v>
      </c>
      <c r="E505" s="3" t="n">
        <v>27</v>
      </c>
      <c r="F505" s="24" t="n">
        <v>0.0673455298</v>
      </c>
    </row>
    <row r="506" customFormat="false" ht="15" hidden="false" customHeight="false" outlineLevel="0" collapsed="false">
      <c r="A506" s="3" t="n">
        <v>505</v>
      </c>
      <c r="B506" s="3" t="n">
        <v>504</v>
      </c>
      <c r="C506" s="3" t="n">
        <v>0</v>
      </c>
      <c r="D506" s="3" t="n">
        <v>18</v>
      </c>
      <c r="E506" s="3" t="n">
        <v>0</v>
      </c>
      <c r="F506" s="24" t="n">
        <v>0.10001415</v>
      </c>
    </row>
    <row r="507" customFormat="false" ht="15" hidden="false" customHeight="false" outlineLevel="0" collapsed="false">
      <c r="A507" s="3" t="n">
        <v>506</v>
      </c>
      <c r="B507" s="3" t="n">
        <v>505</v>
      </c>
      <c r="C507" s="3" t="n">
        <v>0</v>
      </c>
      <c r="D507" s="3" t="n">
        <v>18</v>
      </c>
      <c r="E507" s="3" t="n">
        <v>1</v>
      </c>
      <c r="F507" s="24" t="n">
        <v>0</v>
      </c>
    </row>
    <row r="508" customFormat="false" ht="15" hidden="false" customHeight="false" outlineLevel="0" collapsed="false">
      <c r="A508" s="3" t="n">
        <v>507</v>
      </c>
      <c r="B508" s="3" t="n">
        <v>506</v>
      </c>
      <c r="C508" s="3" t="n">
        <v>0</v>
      </c>
      <c r="D508" s="3" t="n">
        <v>18</v>
      </c>
      <c r="E508" s="3" t="n">
        <v>2</v>
      </c>
      <c r="F508" s="24" t="n">
        <v>0</v>
      </c>
    </row>
    <row r="509" customFormat="false" ht="15" hidden="false" customHeight="false" outlineLevel="0" collapsed="false">
      <c r="A509" s="3" t="n">
        <v>508</v>
      </c>
      <c r="B509" s="3" t="n">
        <v>507</v>
      </c>
      <c r="C509" s="3" t="n">
        <v>0</v>
      </c>
      <c r="D509" s="3" t="n">
        <v>18</v>
      </c>
      <c r="E509" s="3" t="n">
        <v>3</v>
      </c>
      <c r="F509" s="24" t="n">
        <v>0</v>
      </c>
    </row>
    <row r="510" customFormat="false" ht="15" hidden="false" customHeight="false" outlineLevel="0" collapsed="false">
      <c r="A510" s="3" t="n">
        <v>509</v>
      </c>
      <c r="B510" s="3" t="n">
        <v>508</v>
      </c>
      <c r="C510" s="3" t="n">
        <v>0</v>
      </c>
      <c r="D510" s="3" t="n">
        <v>18</v>
      </c>
      <c r="E510" s="3" t="n">
        <v>4</v>
      </c>
      <c r="F510" s="24" t="n">
        <v>0</v>
      </c>
    </row>
    <row r="511" customFormat="false" ht="15" hidden="false" customHeight="false" outlineLevel="0" collapsed="false">
      <c r="A511" s="3" t="n">
        <v>510</v>
      </c>
      <c r="B511" s="3" t="n">
        <v>509</v>
      </c>
      <c r="C511" s="3" t="n">
        <v>0</v>
      </c>
      <c r="D511" s="3" t="n">
        <v>18</v>
      </c>
      <c r="E511" s="3" t="n">
        <v>5</v>
      </c>
      <c r="F511" s="24" t="n">
        <v>0</v>
      </c>
    </row>
    <row r="512" customFormat="false" ht="15" hidden="false" customHeight="false" outlineLevel="0" collapsed="false">
      <c r="A512" s="3" t="n">
        <v>511</v>
      </c>
      <c r="B512" s="3" t="n">
        <v>510</v>
      </c>
      <c r="C512" s="3" t="n">
        <v>0</v>
      </c>
      <c r="D512" s="3" t="n">
        <v>18</v>
      </c>
      <c r="E512" s="3" t="n">
        <v>6</v>
      </c>
      <c r="F512" s="24" t="n">
        <v>0</v>
      </c>
    </row>
    <row r="513" customFormat="false" ht="15" hidden="false" customHeight="false" outlineLevel="0" collapsed="false">
      <c r="A513" s="3" t="n">
        <v>512</v>
      </c>
      <c r="B513" s="3" t="n">
        <v>511</v>
      </c>
      <c r="C513" s="3" t="n">
        <v>0</v>
      </c>
      <c r="D513" s="3" t="n">
        <v>18</v>
      </c>
      <c r="E513" s="3" t="n">
        <v>7</v>
      </c>
      <c r="F513" s="24" t="n">
        <v>0</v>
      </c>
    </row>
    <row r="514" customFormat="false" ht="15" hidden="false" customHeight="false" outlineLevel="0" collapsed="false">
      <c r="A514" s="3" t="n">
        <v>513</v>
      </c>
      <c r="B514" s="3" t="n">
        <v>512</v>
      </c>
      <c r="C514" s="3" t="n">
        <v>0</v>
      </c>
      <c r="D514" s="3" t="n">
        <v>18</v>
      </c>
      <c r="E514" s="3" t="n">
        <v>8</v>
      </c>
      <c r="F514" s="24" t="n">
        <v>0</v>
      </c>
    </row>
    <row r="515" customFormat="false" ht="15" hidden="false" customHeight="false" outlineLevel="0" collapsed="false">
      <c r="A515" s="3" t="n">
        <v>514</v>
      </c>
      <c r="B515" s="3" t="n">
        <v>513</v>
      </c>
      <c r="C515" s="3" t="n">
        <v>0</v>
      </c>
      <c r="D515" s="3" t="n">
        <v>18</v>
      </c>
      <c r="E515" s="3" t="n">
        <v>9</v>
      </c>
      <c r="F515" s="24" t="n">
        <v>0</v>
      </c>
    </row>
    <row r="516" customFormat="false" ht="15" hidden="false" customHeight="false" outlineLevel="0" collapsed="false">
      <c r="A516" s="3" t="n">
        <v>515</v>
      </c>
      <c r="B516" s="3" t="n">
        <v>514</v>
      </c>
      <c r="C516" s="3" t="n">
        <v>0</v>
      </c>
      <c r="D516" s="3" t="n">
        <v>18</v>
      </c>
      <c r="E516" s="3" t="n">
        <v>10</v>
      </c>
      <c r="F516" s="24" t="n">
        <v>0</v>
      </c>
    </row>
    <row r="517" customFormat="false" ht="15" hidden="false" customHeight="false" outlineLevel="0" collapsed="false">
      <c r="A517" s="3" t="n">
        <v>516</v>
      </c>
      <c r="B517" s="3" t="n">
        <v>515</v>
      </c>
      <c r="C517" s="3" t="n">
        <v>0</v>
      </c>
      <c r="D517" s="3" t="n">
        <v>18</v>
      </c>
      <c r="E517" s="3" t="n">
        <v>11</v>
      </c>
      <c r="F517" s="24" t="n">
        <v>0</v>
      </c>
    </row>
    <row r="518" customFormat="false" ht="15" hidden="false" customHeight="false" outlineLevel="0" collapsed="false">
      <c r="A518" s="3" t="n">
        <v>517</v>
      </c>
      <c r="B518" s="3" t="n">
        <v>516</v>
      </c>
      <c r="C518" s="3" t="n">
        <v>0</v>
      </c>
      <c r="D518" s="3" t="n">
        <v>18</v>
      </c>
      <c r="E518" s="3" t="n">
        <v>12</v>
      </c>
      <c r="F518" s="24" t="n">
        <v>0.0269613266</v>
      </c>
    </row>
    <row r="519" customFormat="false" ht="15" hidden="false" customHeight="false" outlineLevel="0" collapsed="false">
      <c r="A519" s="3" t="n">
        <v>518</v>
      </c>
      <c r="B519" s="3" t="n">
        <v>517</v>
      </c>
      <c r="C519" s="3" t="n">
        <v>0</v>
      </c>
      <c r="D519" s="3" t="n">
        <v>18</v>
      </c>
      <c r="E519" s="3" t="n">
        <v>13</v>
      </c>
      <c r="F519" s="24" t="n">
        <v>0.940470338</v>
      </c>
    </row>
    <row r="520" customFormat="false" ht="15" hidden="false" customHeight="false" outlineLevel="0" collapsed="false">
      <c r="A520" s="3" t="n">
        <v>519</v>
      </c>
      <c r="B520" s="3" t="n">
        <v>518</v>
      </c>
      <c r="C520" s="3" t="n">
        <v>0</v>
      </c>
      <c r="D520" s="3" t="n">
        <v>18</v>
      </c>
      <c r="E520" s="3" t="n">
        <v>14</v>
      </c>
      <c r="F520" s="24" t="n">
        <v>1.45832598</v>
      </c>
    </row>
    <row r="521" customFormat="false" ht="15" hidden="false" customHeight="false" outlineLevel="0" collapsed="false">
      <c r="A521" s="3" t="n">
        <v>520</v>
      </c>
      <c r="B521" s="3" t="n">
        <v>519</v>
      </c>
      <c r="C521" s="3" t="n">
        <v>0</v>
      </c>
      <c r="D521" s="3" t="n">
        <v>18</v>
      </c>
      <c r="E521" s="3" t="n">
        <v>15</v>
      </c>
      <c r="F521" s="24" t="n">
        <v>0.885538995</v>
      </c>
    </row>
    <row r="522" customFormat="false" ht="15" hidden="false" customHeight="false" outlineLevel="0" collapsed="false">
      <c r="A522" s="3" t="n">
        <v>521</v>
      </c>
      <c r="B522" s="3" t="n">
        <v>520</v>
      </c>
      <c r="C522" s="3" t="n">
        <v>0</v>
      </c>
      <c r="D522" s="3" t="n">
        <v>18</v>
      </c>
      <c r="E522" s="3" t="n">
        <v>16</v>
      </c>
      <c r="F522" s="24" t="n">
        <v>1.34566331</v>
      </c>
    </row>
    <row r="523" customFormat="false" ht="15" hidden="false" customHeight="false" outlineLevel="0" collapsed="false">
      <c r="A523" s="3" t="n">
        <v>522</v>
      </c>
      <c r="B523" s="3" t="n">
        <v>521</v>
      </c>
      <c r="C523" s="3" t="n">
        <v>0</v>
      </c>
      <c r="D523" s="3" t="n">
        <v>18</v>
      </c>
      <c r="E523" s="3" t="n">
        <v>17</v>
      </c>
      <c r="F523" s="24" t="n">
        <v>1.98879361</v>
      </c>
    </row>
    <row r="524" customFormat="false" ht="15" hidden="false" customHeight="false" outlineLevel="0" collapsed="false">
      <c r="A524" s="3" t="n">
        <v>523</v>
      </c>
      <c r="B524" s="3" t="n">
        <v>522</v>
      </c>
      <c r="C524" s="3" t="n">
        <v>0</v>
      </c>
      <c r="D524" s="3" t="n">
        <v>18</v>
      </c>
      <c r="E524" s="3" t="n">
        <v>18</v>
      </c>
      <c r="F524" s="24" t="n">
        <v>0.952746809</v>
      </c>
    </row>
    <row r="525" customFormat="false" ht="15" hidden="false" customHeight="false" outlineLevel="0" collapsed="false">
      <c r="A525" s="3" t="n">
        <v>524</v>
      </c>
      <c r="B525" s="3" t="n">
        <v>523</v>
      </c>
      <c r="C525" s="3" t="n">
        <v>0</v>
      </c>
      <c r="D525" s="3" t="n">
        <v>18</v>
      </c>
      <c r="E525" s="3" t="n">
        <v>19</v>
      </c>
      <c r="F525" s="24" t="n">
        <v>0</v>
      </c>
    </row>
    <row r="526" customFormat="false" ht="15" hidden="false" customHeight="false" outlineLevel="0" collapsed="false">
      <c r="A526" s="3" t="n">
        <v>525</v>
      </c>
      <c r="B526" s="3" t="n">
        <v>524</v>
      </c>
      <c r="C526" s="3" t="n">
        <v>0</v>
      </c>
      <c r="D526" s="3" t="n">
        <v>18</v>
      </c>
      <c r="E526" s="3" t="n">
        <v>20</v>
      </c>
      <c r="F526" s="24" t="n">
        <v>0</v>
      </c>
    </row>
    <row r="527" customFormat="false" ht="15" hidden="false" customHeight="false" outlineLevel="0" collapsed="false">
      <c r="A527" s="3" t="n">
        <v>526</v>
      </c>
      <c r="B527" s="3" t="n">
        <v>525</v>
      </c>
      <c r="C527" s="3" t="n">
        <v>0</v>
      </c>
      <c r="D527" s="3" t="n">
        <v>18</v>
      </c>
      <c r="E527" s="3" t="n">
        <v>21</v>
      </c>
      <c r="F527" s="24" t="n">
        <v>0</v>
      </c>
    </row>
    <row r="528" customFormat="false" ht="15" hidden="false" customHeight="false" outlineLevel="0" collapsed="false">
      <c r="A528" s="3" t="n">
        <v>527</v>
      </c>
      <c r="B528" s="3" t="n">
        <v>526</v>
      </c>
      <c r="C528" s="3" t="n">
        <v>0</v>
      </c>
      <c r="D528" s="3" t="n">
        <v>18</v>
      </c>
      <c r="E528" s="3" t="n">
        <v>22</v>
      </c>
      <c r="F528" s="24" t="n">
        <v>0</v>
      </c>
    </row>
    <row r="529" customFormat="false" ht="15" hidden="false" customHeight="false" outlineLevel="0" collapsed="false">
      <c r="A529" s="3" t="n">
        <v>528</v>
      </c>
      <c r="B529" s="3" t="n">
        <v>527</v>
      </c>
      <c r="C529" s="3" t="n">
        <v>0</v>
      </c>
      <c r="D529" s="3" t="n">
        <v>18</v>
      </c>
      <c r="E529" s="3" t="n">
        <v>23</v>
      </c>
      <c r="F529" s="24" t="n">
        <v>0</v>
      </c>
    </row>
    <row r="530" customFormat="false" ht="15" hidden="false" customHeight="false" outlineLevel="0" collapsed="false">
      <c r="A530" s="3" t="n">
        <v>529</v>
      </c>
      <c r="B530" s="3" t="n">
        <v>528</v>
      </c>
      <c r="C530" s="3" t="n">
        <v>0</v>
      </c>
      <c r="D530" s="3" t="n">
        <v>18</v>
      </c>
      <c r="E530" s="3" t="n">
        <v>24</v>
      </c>
      <c r="F530" s="24" t="n">
        <v>0</v>
      </c>
    </row>
    <row r="531" customFormat="false" ht="15" hidden="false" customHeight="false" outlineLevel="0" collapsed="false">
      <c r="A531" s="3" t="n">
        <v>530</v>
      </c>
      <c r="B531" s="3" t="n">
        <v>529</v>
      </c>
      <c r="C531" s="3" t="n">
        <v>0</v>
      </c>
      <c r="D531" s="3" t="n">
        <v>18</v>
      </c>
      <c r="E531" s="3" t="n">
        <v>25</v>
      </c>
      <c r="F531" s="24" t="n">
        <v>0</v>
      </c>
    </row>
    <row r="532" customFormat="false" ht="15" hidden="false" customHeight="false" outlineLevel="0" collapsed="false">
      <c r="A532" s="3" t="n">
        <v>531</v>
      </c>
      <c r="B532" s="3" t="n">
        <v>530</v>
      </c>
      <c r="C532" s="3" t="n">
        <v>0</v>
      </c>
      <c r="D532" s="3" t="n">
        <v>18</v>
      </c>
      <c r="E532" s="3" t="n">
        <v>26</v>
      </c>
      <c r="F532" s="24" t="n">
        <v>0</v>
      </c>
    </row>
    <row r="533" customFormat="false" ht="15" hidden="false" customHeight="false" outlineLevel="0" collapsed="false">
      <c r="A533" s="3" t="n">
        <v>532</v>
      </c>
      <c r="B533" s="3" t="n">
        <v>531</v>
      </c>
      <c r="C533" s="3" t="n">
        <v>0</v>
      </c>
      <c r="D533" s="3" t="n">
        <v>18</v>
      </c>
      <c r="E533" s="3" t="n">
        <v>27</v>
      </c>
      <c r="F533" s="24" t="n">
        <v>0.0673455298</v>
      </c>
    </row>
    <row r="534" customFormat="false" ht="15" hidden="false" customHeight="false" outlineLevel="0" collapsed="false">
      <c r="A534" s="3" t="n">
        <v>533</v>
      </c>
      <c r="B534" s="3" t="n">
        <v>532</v>
      </c>
      <c r="C534" s="3" t="n">
        <v>0</v>
      </c>
      <c r="D534" s="3" t="n">
        <v>19</v>
      </c>
      <c r="E534" s="3" t="n">
        <v>0</v>
      </c>
      <c r="F534" s="24" t="n">
        <v>0.10001415</v>
      </c>
    </row>
    <row r="535" customFormat="false" ht="15" hidden="false" customHeight="false" outlineLevel="0" collapsed="false">
      <c r="A535" s="3" t="n">
        <v>534</v>
      </c>
      <c r="B535" s="3" t="n">
        <v>533</v>
      </c>
      <c r="C535" s="3" t="n">
        <v>0</v>
      </c>
      <c r="D535" s="3" t="n">
        <v>19</v>
      </c>
      <c r="E535" s="3" t="n">
        <v>1</v>
      </c>
      <c r="F535" s="24" t="n">
        <v>0</v>
      </c>
    </row>
    <row r="536" customFormat="false" ht="15" hidden="false" customHeight="false" outlineLevel="0" collapsed="false">
      <c r="A536" s="3" t="n">
        <v>535</v>
      </c>
      <c r="B536" s="3" t="n">
        <v>534</v>
      </c>
      <c r="C536" s="3" t="n">
        <v>0</v>
      </c>
      <c r="D536" s="3" t="n">
        <v>19</v>
      </c>
      <c r="E536" s="3" t="n">
        <v>2</v>
      </c>
      <c r="F536" s="24" t="n">
        <v>0</v>
      </c>
    </row>
    <row r="537" customFormat="false" ht="15" hidden="false" customHeight="false" outlineLevel="0" collapsed="false">
      <c r="A537" s="3" t="n">
        <v>536</v>
      </c>
      <c r="B537" s="3" t="n">
        <v>535</v>
      </c>
      <c r="C537" s="3" t="n">
        <v>0</v>
      </c>
      <c r="D537" s="3" t="n">
        <v>19</v>
      </c>
      <c r="E537" s="3" t="n">
        <v>3</v>
      </c>
      <c r="F537" s="24" t="n">
        <v>0</v>
      </c>
    </row>
    <row r="538" customFormat="false" ht="15" hidden="false" customHeight="false" outlineLevel="0" collapsed="false">
      <c r="A538" s="3" t="n">
        <v>537</v>
      </c>
      <c r="B538" s="3" t="n">
        <v>536</v>
      </c>
      <c r="C538" s="3" t="n">
        <v>0</v>
      </c>
      <c r="D538" s="3" t="n">
        <v>19</v>
      </c>
      <c r="E538" s="3" t="n">
        <v>4</v>
      </c>
      <c r="F538" s="24" t="n">
        <v>0</v>
      </c>
    </row>
    <row r="539" customFormat="false" ht="15" hidden="false" customHeight="false" outlineLevel="0" collapsed="false">
      <c r="A539" s="3" t="n">
        <v>538</v>
      </c>
      <c r="B539" s="3" t="n">
        <v>537</v>
      </c>
      <c r="C539" s="3" t="n">
        <v>0</v>
      </c>
      <c r="D539" s="3" t="n">
        <v>19</v>
      </c>
      <c r="E539" s="3" t="n">
        <v>5</v>
      </c>
      <c r="F539" s="24" t="n">
        <v>0</v>
      </c>
    </row>
    <row r="540" customFormat="false" ht="15" hidden="false" customHeight="false" outlineLevel="0" collapsed="false">
      <c r="A540" s="3" t="n">
        <v>539</v>
      </c>
      <c r="B540" s="3" t="n">
        <v>538</v>
      </c>
      <c r="C540" s="3" t="n">
        <v>0</v>
      </c>
      <c r="D540" s="3" t="n">
        <v>19</v>
      </c>
      <c r="E540" s="3" t="n">
        <v>6</v>
      </c>
      <c r="F540" s="24" t="n">
        <v>0</v>
      </c>
    </row>
    <row r="541" customFormat="false" ht="15" hidden="false" customHeight="false" outlineLevel="0" collapsed="false">
      <c r="A541" s="3" t="n">
        <v>540</v>
      </c>
      <c r="B541" s="3" t="n">
        <v>539</v>
      </c>
      <c r="C541" s="3" t="n">
        <v>0</v>
      </c>
      <c r="D541" s="3" t="n">
        <v>19</v>
      </c>
      <c r="E541" s="3" t="n">
        <v>7</v>
      </c>
      <c r="F541" s="24" t="n">
        <v>0</v>
      </c>
    </row>
    <row r="542" customFormat="false" ht="15" hidden="false" customHeight="false" outlineLevel="0" collapsed="false">
      <c r="A542" s="3" t="n">
        <v>541</v>
      </c>
      <c r="B542" s="3" t="n">
        <v>540</v>
      </c>
      <c r="C542" s="3" t="n">
        <v>0</v>
      </c>
      <c r="D542" s="3" t="n">
        <v>19</v>
      </c>
      <c r="E542" s="3" t="n">
        <v>8</v>
      </c>
      <c r="F542" s="24" t="n">
        <v>0</v>
      </c>
    </row>
    <row r="543" customFormat="false" ht="15" hidden="false" customHeight="false" outlineLevel="0" collapsed="false">
      <c r="A543" s="3" t="n">
        <v>542</v>
      </c>
      <c r="B543" s="3" t="n">
        <v>541</v>
      </c>
      <c r="C543" s="3" t="n">
        <v>0</v>
      </c>
      <c r="D543" s="3" t="n">
        <v>19</v>
      </c>
      <c r="E543" s="3" t="n">
        <v>9</v>
      </c>
      <c r="F543" s="24" t="n">
        <v>0</v>
      </c>
    </row>
    <row r="544" customFormat="false" ht="15" hidden="false" customHeight="false" outlineLevel="0" collapsed="false">
      <c r="A544" s="3" t="n">
        <v>543</v>
      </c>
      <c r="B544" s="3" t="n">
        <v>542</v>
      </c>
      <c r="C544" s="3" t="n">
        <v>0</v>
      </c>
      <c r="D544" s="3" t="n">
        <v>19</v>
      </c>
      <c r="E544" s="3" t="n">
        <v>10</v>
      </c>
      <c r="F544" s="24" t="n">
        <v>0</v>
      </c>
    </row>
    <row r="545" customFormat="false" ht="15" hidden="false" customHeight="false" outlineLevel="0" collapsed="false">
      <c r="A545" s="3" t="n">
        <v>544</v>
      </c>
      <c r="B545" s="3" t="n">
        <v>543</v>
      </c>
      <c r="C545" s="3" t="n">
        <v>0</v>
      </c>
      <c r="D545" s="3" t="n">
        <v>19</v>
      </c>
      <c r="E545" s="3" t="n">
        <v>11</v>
      </c>
      <c r="F545" s="24" t="n">
        <v>0</v>
      </c>
    </row>
    <row r="546" customFormat="false" ht="15" hidden="false" customHeight="false" outlineLevel="0" collapsed="false">
      <c r="A546" s="3" t="n">
        <v>545</v>
      </c>
      <c r="B546" s="3" t="n">
        <v>544</v>
      </c>
      <c r="C546" s="3" t="n">
        <v>0</v>
      </c>
      <c r="D546" s="3" t="n">
        <v>19</v>
      </c>
      <c r="E546" s="3" t="n">
        <v>12</v>
      </c>
      <c r="F546" s="24" t="n">
        <v>0.627486706</v>
      </c>
    </row>
    <row r="547" customFormat="false" ht="15" hidden="false" customHeight="false" outlineLevel="0" collapsed="false">
      <c r="A547" s="3" t="n">
        <v>546</v>
      </c>
      <c r="B547" s="3" t="n">
        <v>545</v>
      </c>
      <c r="C547" s="3" t="n">
        <v>0</v>
      </c>
      <c r="D547" s="3" t="n">
        <v>19</v>
      </c>
      <c r="E547" s="3" t="n">
        <v>13</v>
      </c>
      <c r="F547" s="24" t="n">
        <v>1.45932758</v>
      </c>
    </row>
    <row r="548" customFormat="false" ht="15" hidden="false" customHeight="false" outlineLevel="0" collapsed="false">
      <c r="A548" s="3" t="n">
        <v>547</v>
      </c>
      <c r="B548" s="3" t="n">
        <v>546</v>
      </c>
      <c r="C548" s="3" t="n">
        <v>0</v>
      </c>
      <c r="D548" s="3" t="n">
        <v>19</v>
      </c>
      <c r="E548" s="3" t="n">
        <v>14</v>
      </c>
      <c r="F548" s="24" t="n">
        <v>0.714920759</v>
      </c>
    </row>
    <row r="549" customFormat="false" ht="15" hidden="false" customHeight="false" outlineLevel="0" collapsed="false">
      <c r="A549" s="3" t="n">
        <v>548</v>
      </c>
      <c r="B549" s="3" t="n">
        <v>547</v>
      </c>
      <c r="C549" s="3" t="n">
        <v>0</v>
      </c>
      <c r="D549" s="3" t="n">
        <v>19</v>
      </c>
      <c r="E549" s="3" t="n">
        <v>15</v>
      </c>
      <c r="F549" s="24" t="n">
        <v>1.39337802</v>
      </c>
    </row>
    <row r="550" customFormat="false" ht="15" hidden="false" customHeight="false" outlineLevel="0" collapsed="false">
      <c r="A550" s="3" t="n">
        <v>549</v>
      </c>
      <c r="B550" s="3" t="n">
        <v>548</v>
      </c>
      <c r="C550" s="3" t="n">
        <v>0</v>
      </c>
      <c r="D550" s="3" t="n">
        <v>19</v>
      </c>
      <c r="E550" s="3" t="n">
        <v>16</v>
      </c>
      <c r="F550" s="24" t="n">
        <v>2.03754807</v>
      </c>
    </row>
    <row r="551" customFormat="false" ht="15" hidden="false" customHeight="false" outlineLevel="0" collapsed="false">
      <c r="A551" s="3" t="n">
        <v>550</v>
      </c>
      <c r="B551" s="3" t="n">
        <v>549</v>
      </c>
      <c r="C551" s="3" t="n">
        <v>0</v>
      </c>
      <c r="D551" s="3" t="n">
        <v>19</v>
      </c>
      <c r="E551" s="3" t="n">
        <v>17</v>
      </c>
      <c r="F551" s="24" t="n">
        <v>1.66312551</v>
      </c>
    </row>
    <row r="552" customFormat="false" ht="15" hidden="false" customHeight="false" outlineLevel="0" collapsed="false">
      <c r="A552" s="3" t="n">
        <v>551</v>
      </c>
      <c r="B552" s="3" t="n">
        <v>550</v>
      </c>
      <c r="C552" s="3" t="n">
        <v>0</v>
      </c>
      <c r="D552" s="3" t="n">
        <v>19</v>
      </c>
      <c r="E552" s="3" t="n">
        <v>18</v>
      </c>
      <c r="F552" s="24" t="n">
        <v>0.205617815</v>
      </c>
    </row>
    <row r="553" customFormat="false" ht="15" hidden="false" customHeight="false" outlineLevel="0" collapsed="false">
      <c r="A553" s="3" t="n">
        <v>552</v>
      </c>
      <c r="B553" s="3" t="n">
        <v>551</v>
      </c>
      <c r="C553" s="3" t="n">
        <v>0</v>
      </c>
      <c r="D553" s="3" t="n">
        <v>19</v>
      </c>
      <c r="E553" s="3" t="n">
        <v>19</v>
      </c>
      <c r="F553" s="24" t="n">
        <v>0</v>
      </c>
    </row>
    <row r="554" customFormat="false" ht="15" hidden="false" customHeight="false" outlineLevel="0" collapsed="false">
      <c r="A554" s="3" t="n">
        <v>553</v>
      </c>
      <c r="B554" s="3" t="n">
        <v>552</v>
      </c>
      <c r="C554" s="3" t="n">
        <v>0</v>
      </c>
      <c r="D554" s="3" t="n">
        <v>19</v>
      </c>
      <c r="E554" s="3" t="n">
        <v>20</v>
      </c>
      <c r="F554" s="24" t="n">
        <v>0</v>
      </c>
    </row>
    <row r="555" customFormat="false" ht="15" hidden="false" customHeight="false" outlineLevel="0" collapsed="false">
      <c r="A555" s="3" t="n">
        <v>554</v>
      </c>
      <c r="B555" s="3" t="n">
        <v>553</v>
      </c>
      <c r="C555" s="3" t="n">
        <v>0</v>
      </c>
      <c r="D555" s="3" t="n">
        <v>19</v>
      </c>
      <c r="E555" s="3" t="n">
        <v>21</v>
      </c>
      <c r="F555" s="24" t="n">
        <v>0</v>
      </c>
    </row>
    <row r="556" customFormat="false" ht="15" hidden="false" customHeight="false" outlineLevel="0" collapsed="false">
      <c r="A556" s="3" t="n">
        <v>555</v>
      </c>
      <c r="B556" s="3" t="n">
        <v>554</v>
      </c>
      <c r="C556" s="3" t="n">
        <v>0</v>
      </c>
      <c r="D556" s="3" t="n">
        <v>19</v>
      </c>
      <c r="E556" s="3" t="n">
        <v>22</v>
      </c>
      <c r="F556" s="24" t="n">
        <v>0</v>
      </c>
    </row>
    <row r="557" customFormat="false" ht="15" hidden="false" customHeight="false" outlineLevel="0" collapsed="false">
      <c r="A557" s="3" t="n">
        <v>556</v>
      </c>
      <c r="B557" s="3" t="n">
        <v>555</v>
      </c>
      <c r="C557" s="3" t="n">
        <v>0</v>
      </c>
      <c r="D557" s="3" t="n">
        <v>19</v>
      </c>
      <c r="E557" s="3" t="n">
        <v>23</v>
      </c>
      <c r="F557" s="24" t="n">
        <v>0</v>
      </c>
    </row>
    <row r="558" customFormat="false" ht="15" hidden="false" customHeight="false" outlineLevel="0" collapsed="false">
      <c r="A558" s="3" t="n">
        <v>557</v>
      </c>
      <c r="B558" s="3" t="n">
        <v>556</v>
      </c>
      <c r="C558" s="3" t="n">
        <v>0</v>
      </c>
      <c r="D558" s="3" t="n">
        <v>19</v>
      </c>
      <c r="E558" s="3" t="n">
        <v>24</v>
      </c>
      <c r="F558" s="24" t="n">
        <v>0</v>
      </c>
    </row>
    <row r="559" customFormat="false" ht="15" hidden="false" customHeight="false" outlineLevel="0" collapsed="false">
      <c r="A559" s="3" t="n">
        <v>558</v>
      </c>
      <c r="B559" s="3" t="n">
        <v>557</v>
      </c>
      <c r="C559" s="3" t="n">
        <v>0</v>
      </c>
      <c r="D559" s="3" t="n">
        <v>19</v>
      </c>
      <c r="E559" s="3" t="n">
        <v>25</v>
      </c>
      <c r="F559" s="24" t="n">
        <v>0</v>
      </c>
    </row>
    <row r="560" customFormat="false" ht="15" hidden="false" customHeight="false" outlineLevel="0" collapsed="false">
      <c r="A560" s="3" t="n">
        <v>559</v>
      </c>
      <c r="B560" s="3" t="n">
        <v>558</v>
      </c>
      <c r="C560" s="3" t="n">
        <v>0</v>
      </c>
      <c r="D560" s="3" t="n">
        <v>19</v>
      </c>
      <c r="E560" s="3" t="n">
        <v>26</v>
      </c>
      <c r="F560" s="24" t="n">
        <v>0</v>
      </c>
    </row>
    <row r="561" customFormat="false" ht="15" hidden="false" customHeight="false" outlineLevel="0" collapsed="false">
      <c r="A561" s="3" t="n">
        <v>560</v>
      </c>
      <c r="B561" s="3" t="n">
        <v>559</v>
      </c>
      <c r="C561" s="3" t="n">
        <v>0</v>
      </c>
      <c r="D561" s="3" t="n">
        <v>19</v>
      </c>
      <c r="E561" s="3" t="n">
        <v>27</v>
      </c>
      <c r="F561" s="24" t="n">
        <v>0.0673455298</v>
      </c>
    </row>
    <row r="562" customFormat="false" ht="15" hidden="false" customHeight="false" outlineLevel="0" collapsed="false">
      <c r="A562" s="3" t="n">
        <v>561</v>
      </c>
      <c r="B562" s="3" t="n">
        <v>560</v>
      </c>
      <c r="C562" s="3" t="n">
        <v>0</v>
      </c>
      <c r="D562" s="3" t="n">
        <v>20</v>
      </c>
      <c r="E562" s="3" t="n">
        <v>0</v>
      </c>
      <c r="F562" s="24" t="n">
        <v>0.10001415</v>
      </c>
    </row>
    <row r="563" customFormat="false" ht="15" hidden="false" customHeight="false" outlineLevel="0" collapsed="false">
      <c r="A563" s="3" t="n">
        <v>562</v>
      </c>
      <c r="B563" s="3" t="n">
        <v>561</v>
      </c>
      <c r="C563" s="3" t="n">
        <v>0</v>
      </c>
      <c r="D563" s="3" t="n">
        <v>20</v>
      </c>
      <c r="E563" s="3" t="n">
        <v>1</v>
      </c>
      <c r="F563" s="24" t="n">
        <v>0</v>
      </c>
    </row>
    <row r="564" customFormat="false" ht="15" hidden="false" customHeight="false" outlineLevel="0" collapsed="false">
      <c r="A564" s="3" t="n">
        <v>563</v>
      </c>
      <c r="B564" s="3" t="n">
        <v>562</v>
      </c>
      <c r="C564" s="3" t="n">
        <v>0</v>
      </c>
      <c r="D564" s="3" t="n">
        <v>20</v>
      </c>
      <c r="E564" s="3" t="n">
        <v>2</v>
      </c>
      <c r="F564" s="24" t="n">
        <v>0</v>
      </c>
    </row>
    <row r="565" customFormat="false" ht="15" hidden="false" customHeight="false" outlineLevel="0" collapsed="false">
      <c r="A565" s="3" t="n">
        <v>564</v>
      </c>
      <c r="B565" s="3" t="n">
        <v>563</v>
      </c>
      <c r="C565" s="3" t="n">
        <v>0</v>
      </c>
      <c r="D565" s="3" t="n">
        <v>20</v>
      </c>
      <c r="E565" s="3" t="n">
        <v>3</v>
      </c>
      <c r="F565" s="24" t="n">
        <v>0</v>
      </c>
    </row>
    <row r="566" customFormat="false" ht="15" hidden="false" customHeight="false" outlineLevel="0" collapsed="false">
      <c r="A566" s="3" t="n">
        <v>565</v>
      </c>
      <c r="B566" s="3" t="n">
        <v>564</v>
      </c>
      <c r="C566" s="3" t="n">
        <v>0</v>
      </c>
      <c r="D566" s="3" t="n">
        <v>20</v>
      </c>
      <c r="E566" s="3" t="n">
        <v>4</v>
      </c>
      <c r="F566" s="24" t="n">
        <v>0</v>
      </c>
    </row>
    <row r="567" customFormat="false" ht="15" hidden="false" customHeight="false" outlineLevel="0" collapsed="false">
      <c r="A567" s="3" t="n">
        <v>566</v>
      </c>
      <c r="B567" s="3" t="n">
        <v>565</v>
      </c>
      <c r="C567" s="3" t="n">
        <v>0</v>
      </c>
      <c r="D567" s="3" t="n">
        <v>20</v>
      </c>
      <c r="E567" s="3" t="n">
        <v>5</v>
      </c>
      <c r="F567" s="24" t="n">
        <v>0</v>
      </c>
    </row>
    <row r="568" customFormat="false" ht="15" hidden="false" customHeight="false" outlineLevel="0" collapsed="false">
      <c r="A568" s="3" t="n">
        <v>567</v>
      </c>
      <c r="B568" s="3" t="n">
        <v>566</v>
      </c>
      <c r="C568" s="3" t="n">
        <v>0</v>
      </c>
      <c r="D568" s="3" t="n">
        <v>20</v>
      </c>
      <c r="E568" s="3" t="n">
        <v>6</v>
      </c>
      <c r="F568" s="24" t="n">
        <v>0</v>
      </c>
    </row>
    <row r="569" customFormat="false" ht="15" hidden="false" customHeight="false" outlineLevel="0" collapsed="false">
      <c r="A569" s="3" t="n">
        <v>568</v>
      </c>
      <c r="B569" s="3" t="n">
        <v>567</v>
      </c>
      <c r="C569" s="3" t="n">
        <v>0</v>
      </c>
      <c r="D569" s="3" t="n">
        <v>20</v>
      </c>
      <c r="E569" s="3" t="n">
        <v>7</v>
      </c>
      <c r="F569" s="24" t="n">
        <v>0</v>
      </c>
    </row>
    <row r="570" customFormat="false" ht="15" hidden="false" customHeight="false" outlineLevel="0" collapsed="false">
      <c r="A570" s="3" t="n">
        <v>569</v>
      </c>
      <c r="B570" s="3" t="n">
        <v>568</v>
      </c>
      <c r="C570" s="3" t="n">
        <v>0</v>
      </c>
      <c r="D570" s="3" t="n">
        <v>20</v>
      </c>
      <c r="E570" s="3" t="n">
        <v>8</v>
      </c>
      <c r="F570" s="24" t="n">
        <v>0</v>
      </c>
    </row>
    <row r="571" customFormat="false" ht="15" hidden="false" customHeight="false" outlineLevel="0" collapsed="false">
      <c r="A571" s="3" t="n">
        <v>570</v>
      </c>
      <c r="B571" s="3" t="n">
        <v>569</v>
      </c>
      <c r="C571" s="3" t="n">
        <v>0</v>
      </c>
      <c r="D571" s="3" t="n">
        <v>20</v>
      </c>
      <c r="E571" s="3" t="n">
        <v>9</v>
      </c>
      <c r="F571" s="24" t="n">
        <v>0</v>
      </c>
    </row>
    <row r="572" customFormat="false" ht="15" hidden="false" customHeight="false" outlineLevel="0" collapsed="false">
      <c r="A572" s="3" t="n">
        <v>571</v>
      </c>
      <c r="B572" s="3" t="n">
        <v>570</v>
      </c>
      <c r="C572" s="3" t="n">
        <v>0</v>
      </c>
      <c r="D572" s="3" t="n">
        <v>20</v>
      </c>
      <c r="E572" s="3" t="n">
        <v>10</v>
      </c>
      <c r="F572" s="24" t="n">
        <v>0</v>
      </c>
    </row>
    <row r="573" customFormat="false" ht="15" hidden="false" customHeight="false" outlineLevel="0" collapsed="false">
      <c r="A573" s="3" t="n">
        <v>572</v>
      </c>
      <c r="B573" s="3" t="n">
        <v>571</v>
      </c>
      <c r="C573" s="3" t="n">
        <v>0</v>
      </c>
      <c r="D573" s="3" t="n">
        <v>20</v>
      </c>
      <c r="E573" s="3" t="n">
        <v>11</v>
      </c>
      <c r="F573" s="24" t="n">
        <v>0.0936547518</v>
      </c>
    </row>
    <row r="574" customFormat="false" ht="15" hidden="false" customHeight="false" outlineLevel="0" collapsed="false">
      <c r="A574" s="3" t="n">
        <v>573</v>
      </c>
      <c r="B574" s="3" t="n">
        <v>572</v>
      </c>
      <c r="C574" s="3" t="n">
        <v>0</v>
      </c>
      <c r="D574" s="3" t="n">
        <v>20</v>
      </c>
      <c r="E574" s="3" t="n">
        <v>12</v>
      </c>
      <c r="F574" s="24" t="n">
        <v>1.5491066</v>
      </c>
    </row>
    <row r="575" customFormat="false" ht="15" hidden="false" customHeight="false" outlineLevel="0" collapsed="false">
      <c r="A575" s="3" t="n">
        <v>574</v>
      </c>
      <c r="B575" s="3" t="n">
        <v>573</v>
      </c>
      <c r="C575" s="3" t="n">
        <v>0</v>
      </c>
      <c r="D575" s="3" t="n">
        <v>20</v>
      </c>
      <c r="E575" s="3" t="n">
        <v>13</v>
      </c>
      <c r="F575" s="24" t="n">
        <v>1.3998965</v>
      </c>
    </row>
    <row r="576" customFormat="false" ht="15" hidden="false" customHeight="false" outlineLevel="0" collapsed="false">
      <c r="A576" s="3" t="n">
        <v>575</v>
      </c>
      <c r="B576" s="3" t="n">
        <v>574</v>
      </c>
      <c r="C576" s="3" t="n">
        <v>0</v>
      </c>
      <c r="D576" s="3" t="n">
        <v>20</v>
      </c>
      <c r="E576" s="3" t="n">
        <v>14</v>
      </c>
      <c r="F576" s="24" t="n">
        <v>1.30644226</v>
      </c>
    </row>
    <row r="577" customFormat="false" ht="15" hidden="false" customHeight="false" outlineLevel="0" collapsed="false">
      <c r="A577" s="3" t="n">
        <v>576</v>
      </c>
      <c r="B577" s="3" t="n">
        <v>575</v>
      </c>
      <c r="C577" s="3" t="n">
        <v>0</v>
      </c>
      <c r="D577" s="3" t="n">
        <v>20</v>
      </c>
      <c r="E577" s="3" t="n">
        <v>15</v>
      </c>
      <c r="F577" s="24" t="n">
        <v>1.62796807</v>
      </c>
    </row>
    <row r="578" customFormat="false" ht="15" hidden="false" customHeight="false" outlineLevel="0" collapsed="false">
      <c r="A578" s="3" t="n">
        <v>577</v>
      </c>
      <c r="B578" s="3" t="n">
        <v>576</v>
      </c>
      <c r="C578" s="3" t="n">
        <v>0</v>
      </c>
      <c r="D578" s="3" t="n">
        <v>20</v>
      </c>
      <c r="E578" s="3" t="n">
        <v>16</v>
      </c>
      <c r="F578" s="24" t="n">
        <v>2.18752241</v>
      </c>
    </row>
    <row r="579" customFormat="false" ht="15" hidden="false" customHeight="false" outlineLevel="0" collapsed="false">
      <c r="A579" s="3" t="n">
        <v>578</v>
      </c>
      <c r="B579" s="3" t="n">
        <v>577</v>
      </c>
      <c r="C579" s="3" t="n">
        <v>0</v>
      </c>
      <c r="D579" s="3" t="n">
        <v>20</v>
      </c>
      <c r="E579" s="3" t="n">
        <v>17</v>
      </c>
      <c r="F579" s="24" t="n">
        <v>0.795364022</v>
      </c>
    </row>
    <row r="580" customFormat="false" ht="15" hidden="false" customHeight="false" outlineLevel="0" collapsed="false">
      <c r="A580" s="3" t="n">
        <v>579</v>
      </c>
      <c r="B580" s="3" t="n">
        <v>578</v>
      </c>
      <c r="C580" s="3" t="n">
        <v>0</v>
      </c>
      <c r="D580" s="3" t="n">
        <v>20</v>
      </c>
      <c r="E580" s="3" t="n">
        <v>18</v>
      </c>
      <c r="F580" s="24" t="n">
        <v>0</v>
      </c>
    </row>
    <row r="581" customFormat="false" ht="15" hidden="false" customHeight="false" outlineLevel="0" collapsed="false">
      <c r="A581" s="3" t="n">
        <v>580</v>
      </c>
      <c r="B581" s="3" t="n">
        <v>579</v>
      </c>
      <c r="C581" s="3" t="n">
        <v>0</v>
      </c>
      <c r="D581" s="3" t="n">
        <v>20</v>
      </c>
      <c r="E581" s="3" t="n">
        <v>19</v>
      </c>
      <c r="F581" s="24" t="n">
        <v>0</v>
      </c>
    </row>
    <row r="582" customFormat="false" ht="15" hidden="false" customHeight="false" outlineLevel="0" collapsed="false">
      <c r="A582" s="3" t="n">
        <v>581</v>
      </c>
      <c r="B582" s="3" t="n">
        <v>580</v>
      </c>
      <c r="C582" s="3" t="n">
        <v>0</v>
      </c>
      <c r="D582" s="3" t="n">
        <v>20</v>
      </c>
      <c r="E582" s="3" t="n">
        <v>20</v>
      </c>
      <c r="F582" s="24" t="n">
        <v>0</v>
      </c>
    </row>
    <row r="583" customFormat="false" ht="15" hidden="false" customHeight="false" outlineLevel="0" collapsed="false">
      <c r="A583" s="3" t="n">
        <v>582</v>
      </c>
      <c r="B583" s="3" t="n">
        <v>581</v>
      </c>
      <c r="C583" s="3" t="n">
        <v>0</v>
      </c>
      <c r="D583" s="3" t="n">
        <v>20</v>
      </c>
      <c r="E583" s="3" t="n">
        <v>21</v>
      </c>
      <c r="F583" s="24" t="n">
        <v>0</v>
      </c>
    </row>
    <row r="584" customFormat="false" ht="15" hidden="false" customHeight="false" outlineLevel="0" collapsed="false">
      <c r="A584" s="3" t="n">
        <v>583</v>
      </c>
      <c r="B584" s="3" t="n">
        <v>582</v>
      </c>
      <c r="C584" s="3" t="n">
        <v>0</v>
      </c>
      <c r="D584" s="3" t="n">
        <v>20</v>
      </c>
      <c r="E584" s="3" t="n">
        <v>22</v>
      </c>
      <c r="F584" s="24" t="n">
        <v>0</v>
      </c>
    </row>
    <row r="585" customFormat="false" ht="15" hidden="false" customHeight="false" outlineLevel="0" collapsed="false">
      <c r="A585" s="3" t="n">
        <v>584</v>
      </c>
      <c r="B585" s="3" t="n">
        <v>583</v>
      </c>
      <c r="C585" s="3" t="n">
        <v>0</v>
      </c>
      <c r="D585" s="3" t="n">
        <v>20</v>
      </c>
      <c r="E585" s="3" t="n">
        <v>23</v>
      </c>
      <c r="F585" s="24" t="n">
        <v>0</v>
      </c>
    </row>
    <row r="586" customFormat="false" ht="15" hidden="false" customHeight="false" outlineLevel="0" collapsed="false">
      <c r="A586" s="3" t="n">
        <v>585</v>
      </c>
      <c r="B586" s="3" t="n">
        <v>584</v>
      </c>
      <c r="C586" s="3" t="n">
        <v>0</v>
      </c>
      <c r="D586" s="3" t="n">
        <v>20</v>
      </c>
      <c r="E586" s="3" t="n">
        <v>24</v>
      </c>
      <c r="F586" s="24" t="n">
        <v>0</v>
      </c>
    </row>
    <row r="587" customFormat="false" ht="15" hidden="false" customHeight="false" outlineLevel="0" collapsed="false">
      <c r="A587" s="3" t="n">
        <v>586</v>
      </c>
      <c r="B587" s="3" t="n">
        <v>585</v>
      </c>
      <c r="C587" s="3" t="n">
        <v>0</v>
      </c>
      <c r="D587" s="3" t="n">
        <v>20</v>
      </c>
      <c r="E587" s="3" t="n">
        <v>25</v>
      </c>
      <c r="F587" s="24" t="n">
        <v>0</v>
      </c>
    </row>
    <row r="588" customFormat="false" ht="15" hidden="false" customHeight="false" outlineLevel="0" collapsed="false">
      <c r="A588" s="3" t="n">
        <v>587</v>
      </c>
      <c r="B588" s="3" t="n">
        <v>586</v>
      </c>
      <c r="C588" s="3" t="n">
        <v>0</v>
      </c>
      <c r="D588" s="3" t="n">
        <v>20</v>
      </c>
      <c r="E588" s="3" t="n">
        <v>26</v>
      </c>
      <c r="F588" s="24" t="n">
        <v>0</v>
      </c>
    </row>
    <row r="589" customFormat="false" ht="15" hidden="false" customHeight="false" outlineLevel="0" collapsed="false">
      <c r="A589" s="3" t="n">
        <v>588</v>
      </c>
      <c r="B589" s="3" t="n">
        <v>587</v>
      </c>
      <c r="C589" s="3" t="n">
        <v>0</v>
      </c>
      <c r="D589" s="3" t="n">
        <v>20</v>
      </c>
      <c r="E589" s="3" t="n">
        <v>27</v>
      </c>
      <c r="F589" s="24" t="n">
        <v>0.0673455298</v>
      </c>
    </row>
    <row r="590" customFormat="false" ht="15" hidden="false" customHeight="false" outlineLevel="0" collapsed="false">
      <c r="A590" s="3" t="n">
        <v>589</v>
      </c>
      <c r="B590" s="3" t="n">
        <v>588</v>
      </c>
      <c r="C590" s="3" t="n">
        <v>0</v>
      </c>
      <c r="D590" s="3" t="n">
        <v>21</v>
      </c>
      <c r="E590" s="3" t="n">
        <v>0</v>
      </c>
      <c r="F590" s="24" t="n">
        <v>0.10001415</v>
      </c>
    </row>
    <row r="591" customFormat="false" ht="15" hidden="false" customHeight="false" outlineLevel="0" collapsed="false">
      <c r="A591" s="3" t="n">
        <v>590</v>
      </c>
      <c r="B591" s="3" t="n">
        <v>589</v>
      </c>
      <c r="C591" s="3" t="n">
        <v>0</v>
      </c>
      <c r="D591" s="3" t="n">
        <v>21</v>
      </c>
      <c r="E591" s="3" t="n">
        <v>1</v>
      </c>
      <c r="F591" s="24" t="n">
        <v>0</v>
      </c>
    </row>
    <row r="592" customFormat="false" ht="15" hidden="false" customHeight="false" outlineLevel="0" collapsed="false">
      <c r="A592" s="3" t="n">
        <v>591</v>
      </c>
      <c r="B592" s="3" t="n">
        <v>590</v>
      </c>
      <c r="C592" s="3" t="n">
        <v>0</v>
      </c>
      <c r="D592" s="3" t="n">
        <v>21</v>
      </c>
      <c r="E592" s="3" t="n">
        <v>2</v>
      </c>
      <c r="F592" s="24" t="n">
        <v>0</v>
      </c>
    </row>
    <row r="593" customFormat="false" ht="15" hidden="false" customHeight="false" outlineLevel="0" collapsed="false">
      <c r="A593" s="3" t="n">
        <v>592</v>
      </c>
      <c r="B593" s="3" t="n">
        <v>591</v>
      </c>
      <c r="C593" s="3" t="n">
        <v>0</v>
      </c>
      <c r="D593" s="3" t="n">
        <v>21</v>
      </c>
      <c r="E593" s="3" t="n">
        <v>3</v>
      </c>
      <c r="F593" s="24" t="n">
        <v>0</v>
      </c>
    </row>
    <row r="594" customFormat="false" ht="15" hidden="false" customHeight="false" outlineLevel="0" collapsed="false">
      <c r="A594" s="3" t="n">
        <v>593</v>
      </c>
      <c r="B594" s="3" t="n">
        <v>592</v>
      </c>
      <c r="C594" s="3" t="n">
        <v>0</v>
      </c>
      <c r="D594" s="3" t="n">
        <v>21</v>
      </c>
      <c r="E594" s="3" t="n">
        <v>4</v>
      </c>
      <c r="F594" s="24" t="n">
        <v>0</v>
      </c>
    </row>
    <row r="595" customFormat="false" ht="15" hidden="false" customHeight="false" outlineLevel="0" collapsed="false">
      <c r="A595" s="3" t="n">
        <v>594</v>
      </c>
      <c r="B595" s="3" t="n">
        <v>593</v>
      </c>
      <c r="C595" s="3" t="n">
        <v>0</v>
      </c>
      <c r="D595" s="3" t="n">
        <v>21</v>
      </c>
      <c r="E595" s="3" t="n">
        <v>5</v>
      </c>
      <c r="F595" s="24" t="n">
        <v>0</v>
      </c>
    </row>
    <row r="596" customFormat="false" ht="15" hidden="false" customHeight="false" outlineLevel="0" collapsed="false">
      <c r="A596" s="3" t="n">
        <v>595</v>
      </c>
      <c r="B596" s="3" t="n">
        <v>594</v>
      </c>
      <c r="C596" s="3" t="n">
        <v>0</v>
      </c>
      <c r="D596" s="3" t="n">
        <v>21</v>
      </c>
      <c r="E596" s="3" t="n">
        <v>6</v>
      </c>
      <c r="F596" s="24" t="n">
        <v>0</v>
      </c>
    </row>
    <row r="597" customFormat="false" ht="15" hidden="false" customHeight="false" outlineLevel="0" collapsed="false">
      <c r="A597" s="3" t="n">
        <v>596</v>
      </c>
      <c r="B597" s="3" t="n">
        <v>595</v>
      </c>
      <c r="C597" s="3" t="n">
        <v>0</v>
      </c>
      <c r="D597" s="3" t="n">
        <v>21</v>
      </c>
      <c r="E597" s="3" t="n">
        <v>7</v>
      </c>
      <c r="F597" s="24" t="n">
        <v>0</v>
      </c>
    </row>
    <row r="598" customFormat="false" ht="15" hidden="false" customHeight="false" outlineLevel="0" collapsed="false">
      <c r="A598" s="3" t="n">
        <v>597</v>
      </c>
      <c r="B598" s="3" t="n">
        <v>596</v>
      </c>
      <c r="C598" s="3" t="n">
        <v>0</v>
      </c>
      <c r="D598" s="3" t="n">
        <v>21</v>
      </c>
      <c r="E598" s="3" t="n">
        <v>8</v>
      </c>
      <c r="F598" s="24" t="n">
        <v>0</v>
      </c>
    </row>
    <row r="599" customFormat="false" ht="15" hidden="false" customHeight="false" outlineLevel="0" collapsed="false">
      <c r="A599" s="3" t="n">
        <v>598</v>
      </c>
      <c r="B599" s="3" t="n">
        <v>597</v>
      </c>
      <c r="C599" s="3" t="n">
        <v>0</v>
      </c>
      <c r="D599" s="3" t="n">
        <v>21</v>
      </c>
      <c r="E599" s="3" t="n">
        <v>9</v>
      </c>
      <c r="F599" s="24" t="n">
        <v>0</v>
      </c>
    </row>
    <row r="600" customFormat="false" ht="15" hidden="false" customHeight="false" outlineLevel="0" collapsed="false">
      <c r="A600" s="3" t="n">
        <v>599</v>
      </c>
      <c r="B600" s="3" t="n">
        <v>598</v>
      </c>
      <c r="C600" s="3" t="n">
        <v>0</v>
      </c>
      <c r="D600" s="3" t="n">
        <v>21</v>
      </c>
      <c r="E600" s="3" t="n">
        <v>10</v>
      </c>
      <c r="F600" s="24" t="n">
        <v>0.0603587627</v>
      </c>
    </row>
    <row r="601" customFormat="false" ht="15" hidden="false" customHeight="false" outlineLevel="0" collapsed="false">
      <c r="A601" s="3" t="n">
        <v>600</v>
      </c>
      <c r="B601" s="3" t="n">
        <v>599</v>
      </c>
      <c r="C601" s="3" t="n">
        <v>0</v>
      </c>
      <c r="D601" s="3" t="n">
        <v>21</v>
      </c>
      <c r="E601" s="3" t="n">
        <v>11</v>
      </c>
      <c r="F601" s="24" t="n">
        <v>0.768443406</v>
      </c>
    </row>
    <row r="602" customFormat="false" ht="15" hidden="false" customHeight="false" outlineLevel="0" collapsed="false">
      <c r="A602" s="3" t="n">
        <v>601</v>
      </c>
      <c r="B602" s="3" t="n">
        <v>600</v>
      </c>
      <c r="C602" s="3" t="n">
        <v>0</v>
      </c>
      <c r="D602" s="3" t="n">
        <v>21</v>
      </c>
      <c r="E602" s="3" t="n">
        <v>12</v>
      </c>
      <c r="F602" s="24" t="n">
        <v>0.968669355</v>
      </c>
    </row>
    <row r="603" customFormat="false" ht="15" hidden="false" customHeight="false" outlineLevel="0" collapsed="false">
      <c r="A603" s="3" t="n">
        <v>602</v>
      </c>
      <c r="B603" s="3" t="n">
        <v>601</v>
      </c>
      <c r="C603" s="3" t="n">
        <v>0</v>
      </c>
      <c r="D603" s="3" t="n">
        <v>21</v>
      </c>
      <c r="E603" s="3" t="n">
        <v>13</v>
      </c>
      <c r="F603" s="24" t="n">
        <v>0.895010829</v>
      </c>
    </row>
    <row r="604" customFormat="false" ht="15" hidden="false" customHeight="false" outlineLevel="0" collapsed="false">
      <c r="A604" s="3" t="n">
        <v>603</v>
      </c>
      <c r="B604" s="3" t="n">
        <v>602</v>
      </c>
      <c r="C604" s="3" t="n">
        <v>0</v>
      </c>
      <c r="D604" s="3" t="n">
        <v>21</v>
      </c>
      <c r="E604" s="3" t="n">
        <v>14</v>
      </c>
      <c r="F604" s="24" t="n">
        <v>1.62034321</v>
      </c>
    </row>
    <row r="605" customFormat="false" ht="15" hidden="false" customHeight="false" outlineLevel="0" collapsed="false">
      <c r="A605" s="3" t="n">
        <v>604</v>
      </c>
      <c r="B605" s="3" t="n">
        <v>603</v>
      </c>
      <c r="C605" s="3" t="n">
        <v>0</v>
      </c>
      <c r="D605" s="3" t="n">
        <v>21</v>
      </c>
      <c r="E605" s="3" t="n">
        <v>15</v>
      </c>
      <c r="F605" s="24" t="n">
        <v>2.28631163</v>
      </c>
    </row>
    <row r="606" customFormat="false" ht="15" hidden="false" customHeight="false" outlineLevel="0" collapsed="false">
      <c r="A606" s="3" t="n">
        <v>605</v>
      </c>
      <c r="B606" s="3" t="n">
        <v>604</v>
      </c>
      <c r="C606" s="3" t="n">
        <v>0</v>
      </c>
      <c r="D606" s="3" t="n">
        <v>21</v>
      </c>
      <c r="E606" s="3" t="n">
        <v>16</v>
      </c>
      <c r="F606" s="24" t="n">
        <v>1.28935337</v>
      </c>
    </row>
    <row r="607" customFormat="false" ht="15" hidden="false" customHeight="false" outlineLevel="0" collapsed="false">
      <c r="A607" s="3" t="n">
        <v>606</v>
      </c>
      <c r="B607" s="3" t="n">
        <v>605</v>
      </c>
      <c r="C607" s="3" t="n">
        <v>0</v>
      </c>
      <c r="D607" s="3" t="n">
        <v>21</v>
      </c>
      <c r="E607" s="3" t="n">
        <v>17</v>
      </c>
      <c r="F607" s="24" t="n">
        <v>0.116253138</v>
      </c>
    </row>
    <row r="608" customFormat="false" ht="15" hidden="false" customHeight="false" outlineLevel="0" collapsed="false">
      <c r="A608" s="3" t="n">
        <v>607</v>
      </c>
      <c r="B608" s="3" t="n">
        <v>606</v>
      </c>
      <c r="C608" s="3" t="n">
        <v>0</v>
      </c>
      <c r="D608" s="3" t="n">
        <v>21</v>
      </c>
      <c r="E608" s="3" t="n">
        <v>18</v>
      </c>
      <c r="F608" s="24" t="n">
        <v>0</v>
      </c>
    </row>
    <row r="609" customFormat="false" ht="15" hidden="false" customHeight="false" outlineLevel="0" collapsed="false">
      <c r="A609" s="3" t="n">
        <v>608</v>
      </c>
      <c r="B609" s="3" t="n">
        <v>607</v>
      </c>
      <c r="C609" s="3" t="n">
        <v>0</v>
      </c>
      <c r="D609" s="3" t="n">
        <v>21</v>
      </c>
      <c r="E609" s="3" t="n">
        <v>19</v>
      </c>
      <c r="F609" s="24" t="n">
        <v>0</v>
      </c>
    </row>
    <row r="610" customFormat="false" ht="15" hidden="false" customHeight="false" outlineLevel="0" collapsed="false">
      <c r="A610" s="3" t="n">
        <v>609</v>
      </c>
      <c r="B610" s="3" t="n">
        <v>608</v>
      </c>
      <c r="C610" s="3" t="n">
        <v>0</v>
      </c>
      <c r="D610" s="3" t="n">
        <v>21</v>
      </c>
      <c r="E610" s="3" t="n">
        <v>20</v>
      </c>
      <c r="F610" s="24" t="n">
        <v>0</v>
      </c>
    </row>
    <row r="611" customFormat="false" ht="15" hidden="false" customHeight="false" outlineLevel="0" collapsed="false">
      <c r="A611" s="3" t="n">
        <v>610</v>
      </c>
      <c r="B611" s="3" t="n">
        <v>609</v>
      </c>
      <c r="C611" s="3" t="n">
        <v>0</v>
      </c>
      <c r="D611" s="3" t="n">
        <v>21</v>
      </c>
      <c r="E611" s="3" t="n">
        <v>21</v>
      </c>
      <c r="F611" s="24" t="n">
        <v>0</v>
      </c>
    </row>
    <row r="612" customFormat="false" ht="15" hidden="false" customHeight="false" outlineLevel="0" collapsed="false">
      <c r="A612" s="3" t="n">
        <v>611</v>
      </c>
      <c r="B612" s="3" t="n">
        <v>610</v>
      </c>
      <c r="C612" s="3" t="n">
        <v>0</v>
      </c>
      <c r="D612" s="3" t="n">
        <v>21</v>
      </c>
      <c r="E612" s="3" t="n">
        <v>22</v>
      </c>
      <c r="F612" s="24" t="n">
        <v>0</v>
      </c>
    </row>
    <row r="613" customFormat="false" ht="15" hidden="false" customHeight="false" outlineLevel="0" collapsed="false">
      <c r="A613" s="3" t="n">
        <v>612</v>
      </c>
      <c r="B613" s="3" t="n">
        <v>611</v>
      </c>
      <c r="C613" s="3" t="n">
        <v>0</v>
      </c>
      <c r="D613" s="3" t="n">
        <v>21</v>
      </c>
      <c r="E613" s="3" t="n">
        <v>23</v>
      </c>
      <c r="F613" s="24" t="n">
        <v>0</v>
      </c>
    </row>
    <row r="614" customFormat="false" ht="15" hidden="false" customHeight="false" outlineLevel="0" collapsed="false">
      <c r="A614" s="3" t="n">
        <v>613</v>
      </c>
      <c r="B614" s="3" t="n">
        <v>612</v>
      </c>
      <c r="C614" s="3" t="n">
        <v>0</v>
      </c>
      <c r="D614" s="3" t="n">
        <v>21</v>
      </c>
      <c r="E614" s="3" t="n">
        <v>24</v>
      </c>
      <c r="F614" s="24" t="n">
        <v>0</v>
      </c>
    </row>
    <row r="615" customFormat="false" ht="15" hidden="false" customHeight="false" outlineLevel="0" collapsed="false">
      <c r="A615" s="3" t="n">
        <v>614</v>
      </c>
      <c r="B615" s="3" t="n">
        <v>613</v>
      </c>
      <c r="C615" s="3" t="n">
        <v>0</v>
      </c>
      <c r="D615" s="3" t="n">
        <v>21</v>
      </c>
      <c r="E615" s="3" t="n">
        <v>25</v>
      </c>
      <c r="F615" s="24" t="n">
        <v>0</v>
      </c>
    </row>
    <row r="616" customFormat="false" ht="15" hidden="false" customHeight="false" outlineLevel="0" collapsed="false">
      <c r="A616" s="3" t="n">
        <v>615</v>
      </c>
      <c r="B616" s="3" t="n">
        <v>614</v>
      </c>
      <c r="C616" s="3" t="n">
        <v>0</v>
      </c>
      <c r="D616" s="3" t="n">
        <v>21</v>
      </c>
      <c r="E616" s="3" t="n">
        <v>26</v>
      </c>
      <c r="F616" s="24" t="n">
        <v>0</v>
      </c>
    </row>
    <row r="617" customFormat="false" ht="15" hidden="false" customHeight="false" outlineLevel="0" collapsed="false">
      <c r="A617" s="3" t="n">
        <v>616</v>
      </c>
      <c r="B617" s="3" t="n">
        <v>615</v>
      </c>
      <c r="C617" s="3" t="n">
        <v>0</v>
      </c>
      <c r="D617" s="3" t="n">
        <v>21</v>
      </c>
      <c r="E617" s="3" t="n">
        <v>27</v>
      </c>
      <c r="F617" s="24" t="n">
        <v>0.0673455298</v>
      </c>
    </row>
    <row r="618" customFormat="false" ht="15" hidden="false" customHeight="false" outlineLevel="0" collapsed="false">
      <c r="A618" s="3" t="n">
        <v>617</v>
      </c>
      <c r="B618" s="3" t="n">
        <v>616</v>
      </c>
      <c r="C618" s="3" t="n">
        <v>0</v>
      </c>
      <c r="D618" s="3" t="n">
        <v>22</v>
      </c>
      <c r="E618" s="3" t="n">
        <v>0</v>
      </c>
      <c r="F618" s="24" t="n">
        <v>0.10001415</v>
      </c>
    </row>
    <row r="619" customFormat="false" ht="15" hidden="false" customHeight="false" outlineLevel="0" collapsed="false">
      <c r="A619" s="3" t="n">
        <v>618</v>
      </c>
      <c r="B619" s="3" t="n">
        <v>617</v>
      </c>
      <c r="C619" s="3" t="n">
        <v>0</v>
      </c>
      <c r="D619" s="3" t="n">
        <v>22</v>
      </c>
      <c r="E619" s="3" t="n">
        <v>1</v>
      </c>
      <c r="F619" s="24" t="n">
        <v>0</v>
      </c>
    </row>
    <row r="620" customFormat="false" ht="15" hidden="false" customHeight="false" outlineLevel="0" collapsed="false">
      <c r="A620" s="3" t="n">
        <v>619</v>
      </c>
      <c r="B620" s="3" t="n">
        <v>618</v>
      </c>
      <c r="C620" s="3" t="n">
        <v>0</v>
      </c>
      <c r="D620" s="3" t="n">
        <v>22</v>
      </c>
      <c r="E620" s="3" t="n">
        <v>2</v>
      </c>
      <c r="F620" s="24" t="n">
        <v>0</v>
      </c>
    </row>
    <row r="621" customFormat="false" ht="15" hidden="false" customHeight="false" outlineLevel="0" collapsed="false">
      <c r="A621" s="3" t="n">
        <v>620</v>
      </c>
      <c r="B621" s="3" t="n">
        <v>619</v>
      </c>
      <c r="C621" s="3" t="n">
        <v>0</v>
      </c>
      <c r="D621" s="3" t="n">
        <v>22</v>
      </c>
      <c r="E621" s="3" t="n">
        <v>3</v>
      </c>
      <c r="F621" s="24" t="n">
        <v>0</v>
      </c>
    </row>
    <row r="622" customFormat="false" ht="15" hidden="false" customHeight="false" outlineLevel="0" collapsed="false">
      <c r="A622" s="3" t="n">
        <v>621</v>
      </c>
      <c r="B622" s="3" t="n">
        <v>620</v>
      </c>
      <c r="C622" s="3" t="n">
        <v>0</v>
      </c>
      <c r="D622" s="3" t="n">
        <v>22</v>
      </c>
      <c r="E622" s="3" t="n">
        <v>4</v>
      </c>
      <c r="F622" s="24" t="n">
        <v>0</v>
      </c>
    </row>
    <row r="623" customFormat="false" ht="15" hidden="false" customHeight="false" outlineLevel="0" collapsed="false">
      <c r="A623" s="3" t="n">
        <v>622</v>
      </c>
      <c r="B623" s="3" t="n">
        <v>621</v>
      </c>
      <c r="C623" s="3" t="n">
        <v>0</v>
      </c>
      <c r="D623" s="3" t="n">
        <v>22</v>
      </c>
      <c r="E623" s="3" t="n">
        <v>5</v>
      </c>
      <c r="F623" s="24" t="n">
        <v>0</v>
      </c>
    </row>
    <row r="624" customFormat="false" ht="15" hidden="false" customHeight="false" outlineLevel="0" collapsed="false">
      <c r="A624" s="3" t="n">
        <v>623</v>
      </c>
      <c r="B624" s="3" t="n">
        <v>622</v>
      </c>
      <c r="C624" s="3" t="n">
        <v>0</v>
      </c>
      <c r="D624" s="3" t="n">
        <v>22</v>
      </c>
      <c r="E624" s="3" t="n">
        <v>6</v>
      </c>
      <c r="F624" s="24" t="n">
        <v>0</v>
      </c>
    </row>
    <row r="625" customFormat="false" ht="15" hidden="false" customHeight="false" outlineLevel="0" collapsed="false">
      <c r="A625" s="3" t="n">
        <v>624</v>
      </c>
      <c r="B625" s="3" t="n">
        <v>623</v>
      </c>
      <c r="C625" s="3" t="n">
        <v>0</v>
      </c>
      <c r="D625" s="3" t="n">
        <v>22</v>
      </c>
      <c r="E625" s="3" t="n">
        <v>7</v>
      </c>
      <c r="F625" s="24" t="n">
        <v>0</v>
      </c>
    </row>
    <row r="626" customFormat="false" ht="15" hidden="false" customHeight="false" outlineLevel="0" collapsed="false">
      <c r="A626" s="3" t="n">
        <v>625</v>
      </c>
      <c r="B626" s="3" t="n">
        <v>624</v>
      </c>
      <c r="C626" s="3" t="n">
        <v>0</v>
      </c>
      <c r="D626" s="3" t="n">
        <v>22</v>
      </c>
      <c r="E626" s="3" t="n">
        <v>8</v>
      </c>
      <c r="F626" s="24" t="n">
        <v>0</v>
      </c>
    </row>
    <row r="627" customFormat="false" ht="15" hidden="false" customHeight="false" outlineLevel="0" collapsed="false">
      <c r="A627" s="3" t="n">
        <v>626</v>
      </c>
      <c r="B627" s="3" t="n">
        <v>625</v>
      </c>
      <c r="C627" s="3" t="n">
        <v>0</v>
      </c>
      <c r="D627" s="3" t="n">
        <v>22</v>
      </c>
      <c r="E627" s="3" t="n">
        <v>9</v>
      </c>
      <c r="F627" s="24" t="n">
        <v>0</v>
      </c>
    </row>
    <row r="628" customFormat="false" ht="15" hidden="false" customHeight="false" outlineLevel="0" collapsed="false">
      <c r="A628" s="3" t="n">
        <v>627</v>
      </c>
      <c r="B628" s="3" t="n">
        <v>626</v>
      </c>
      <c r="C628" s="3" t="n">
        <v>0</v>
      </c>
      <c r="D628" s="3" t="n">
        <v>22</v>
      </c>
      <c r="E628" s="3" t="n">
        <v>10</v>
      </c>
      <c r="F628" s="24" t="n">
        <v>0.486983329</v>
      </c>
    </row>
    <row r="629" customFormat="false" ht="15" hidden="false" customHeight="false" outlineLevel="0" collapsed="false">
      <c r="A629" s="3" t="n">
        <v>628</v>
      </c>
      <c r="B629" s="3" t="n">
        <v>627</v>
      </c>
      <c r="C629" s="3" t="n">
        <v>0</v>
      </c>
      <c r="D629" s="3" t="n">
        <v>22</v>
      </c>
      <c r="E629" s="3" t="n">
        <v>11</v>
      </c>
      <c r="F629" s="24" t="n">
        <v>1.66892886</v>
      </c>
    </row>
    <row r="630" customFormat="false" ht="15" hidden="false" customHeight="false" outlineLevel="0" collapsed="false">
      <c r="A630" s="3" t="n">
        <v>629</v>
      </c>
      <c r="B630" s="3" t="n">
        <v>628</v>
      </c>
      <c r="C630" s="3" t="n">
        <v>0</v>
      </c>
      <c r="D630" s="3" t="n">
        <v>22</v>
      </c>
      <c r="E630" s="3" t="n">
        <v>12</v>
      </c>
      <c r="F630" s="24" t="n">
        <v>1.05849087</v>
      </c>
    </row>
    <row r="631" customFormat="false" ht="15" hidden="false" customHeight="false" outlineLevel="0" collapsed="false">
      <c r="A631" s="3" t="n">
        <v>630</v>
      </c>
      <c r="B631" s="3" t="n">
        <v>629</v>
      </c>
      <c r="C631" s="3" t="n">
        <v>0</v>
      </c>
      <c r="D631" s="3" t="n">
        <v>22</v>
      </c>
      <c r="E631" s="3" t="n">
        <v>13</v>
      </c>
      <c r="F631" s="24" t="n">
        <v>1.02404225</v>
      </c>
    </row>
    <row r="632" customFormat="false" ht="15" hidden="false" customHeight="false" outlineLevel="0" collapsed="false">
      <c r="A632" s="3" t="n">
        <v>631</v>
      </c>
      <c r="B632" s="3" t="n">
        <v>630</v>
      </c>
      <c r="C632" s="3" t="n">
        <v>0</v>
      </c>
      <c r="D632" s="3" t="n">
        <v>22</v>
      </c>
      <c r="E632" s="3" t="n">
        <v>14</v>
      </c>
      <c r="F632" s="24" t="n">
        <v>1.70707202</v>
      </c>
    </row>
    <row r="633" customFormat="false" ht="15" hidden="false" customHeight="false" outlineLevel="0" collapsed="false">
      <c r="A633" s="3" t="n">
        <v>632</v>
      </c>
      <c r="B633" s="3" t="n">
        <v>631</v>
      </c>
      <c r="C633" s="3" t="n">
        <v>0</v>
      </c>
      <c r="D633" s="3" t="n">
        <v>22</v>
      </c>
      <c r="E633" s="3" t="n">
        <v>15</v>
      </c>
      <c r="F633" s="24" t="n">
        <v>1.49350905</v>
      </c>
    </row>
    <row r="634" customFormat="false" ht="15" hidden="false" customHeight="false" outlineLevel="0" collapsed="false">
      <c r="A634" s="3" t="n">
        <v>633</v>
      </c>
      <c r="B634" s="3" t="n">
        <v>632</v>
      </c>
      <c r="C634" s="3" t="n">
        <v>0</v>
      </c>
      <c r="D634" s="3" t="n">
        <v>22</v>
      </c>
      <c r="E634" s="3" t="n">
        <v>16</v>
      </c>
      <c r="F634" s="24" t="n">
        <v>0.291058004</v>
      </c>
    </row>
    <row r="635" customFormat="false" ht="15" hidden="false" customHeight="false" outlineLevel="0" collapsed="false">
      <c r="A635" s="3" t="n">
        <v>634</v>
      </c>
      <c r="B635" s="3" t="n">
        <v>633</v>
      </c>
      <c r="C635" s="3" t="n">
        <v>0</v>
      </c>
      <c r="D635" s="3" t="n">
        <v>22</v>
      </c>
      <c r="E635" s="3" t="n">
        <v>17</v>
      </c>
      <c r="F635" s="24" t="n">
        <v>0</v>
      </c>
    </row>
    <row r="636" customFormat="false" ht="15" hidden="false" customHeight="false" outlineLevel="0" collapsed="false">
      <c r="A636" s="3" t="n">
        <v>635</v>
      </c>
      <c r="B636" s="3" t="n">
        <v>634</v>
      </c>
      <c r="C636" s="3" t="n">
        <v>0</v>
      </c>
      <c r="D636" s="3" t="n">
        <v>22</v>
      </c>
      <c r="E636" s="3" t="n">
        <v>18</v>
      </c>
      <c r="F636" s="24" t="n">
        <v>0</v>
      </c>
    </row>
    <row r="637" customFormat="false" ht="15" hidden="false" customHeight="false" outlineLevel="0" collapsed="false">
      <c r="A637" s="3" t="n">
        <v>636</v>
      </c>
      <c r="B637" s="3" t="n">
        <v>635</v>
      </c>
      <c r="C637" s="3" t="n">
        <v>0</v>
      </c>
      <c r="D637" s="3" t="n">
        <v>22</v>
      </c>
      <c r="E637" s="3" t="n">
        <v>19</v>
      </c>
      <c r="F637" s="24" t="n">
        <v>0</v>
      </c>
    </row>
    <row r="638" customFormat="false" ht="15" hidden="false" customHeight="false" outlineLevel="0" collapsed="false">
      <c r="A638" s="3" t="n">
        <v>637</v>
      </c>
      <c r="B638" s="3" t="n">
        <v>636</v>
      </c>
      <c r="C638" s="3" t="n">
        <v>0</v>
      </c>
      <c r="D638" s="3" t="n">
        <v>22</v>
      </c>
      <c r="E638" s="3" t="n">
        <v>20</v>
      </c>
      <c r="F638" s="24" t="n">
        <v>0</v>
      </c>
    </row>
    <row r="639" customFormat="false" ht="15" hidden="false" customHeight="false" outlineLevel="0" collapsed="false">
      <c r="A639" s="3" t="n">
        <v>638</v>
      </c>
      <c r="B639" s="3" t="n">
        <v>637</v>
      </c>
      <c r="C639" s="3" t="n">
        <v>0</v>
      </c>
      <c r="D639" s="3" t="n">
        <v>22</v>
      </c>
      <c r="E639" s="3" t="n">
        <v>21</v>
      </c>
      <c r="F639" s="24" t="n">
        <v>0</v>
      </c>
    </row>
    <row r="640" customFormat="false" ht="15" hidden="false" customHeight="false" outlineLevel="0" collapsed="false">
      <c r="A640" s="3" t="n">
        <v>639</v>
      </c>
      <c r="B640" s="3" t="n">
        <v>638</v>
      </c>
      <c r="C640" s="3" t="n">
        <v>0</v>
      </c>
      <c r="D640" s="3" t="n">
        <v>22</v>
      </c>
      <c r="E640" s="3" t="n">
        <v>22</v>
      </c>
      <c r="F640" s="24" t="n">
        <v>0</v>
      </c>
    </row>
    <row r="641" customFormat="false" ht="15" hidden="false" customHeight="false" outlineLevel="0" collapsed="false">
      <c r="A641" s="3" t="n">
        <v>640</v>
      </c>
      <c r="B641" s="3" t="n">
        <v>639</v>
      </c>
      <c r="C641" s="3" t="n">
        <v>0</v>
      </c>
      <c r="D641" s="3" t="n">
        <v>22</v>
      </c>
      <c r="E641" s="3" t="n">
        <v>23</v>
      </c>
      <c r="F641" s="24" t="n">
        <v>0</v>
      </c>
    </row>
    <row r="642" customFormat="false" ht="15" hidden="false" customHeight="false" outlineLevel="0" collapsed="false">
      <c r="A642" s="3" t="n">
        <v>641</v>
      </c>
      <c r="B642" s="3" t="n">
        <v>640</v>
      </c>
      <c r="C642" s="3" t="n">
        <v>0</v>
      </c>
      <c r="D642" s="3" t="n">
        <v>22</v>
      </c>
      <c r="E642" s="3" t="n">
        <v>24</v>
      </c>
      <c r="F642" s="24" t="n">
        <v>0</v>
      </c>
    </row>
    <row r="643" customFormat="false" ht="15" hidden="false" customHeight="false" outlineLevel="0" collapsed="false">
      <c r="A643" s="3" t="n">
        <v>642</v>
      </c>
      <c r="B643" s="3" t="n">
        <v>641</v>
      </c>
      <c r="C643" s="3" t="n">
        <v>0</v>
      </c>
      <c r="D643" s="3" t="n">
        <v>22</v>
      </c>
      <c r="E643" s="3" t="n">
        <v>25</v>
      </c>
      <c r="F643" s="24" t="n">
        <v>0</v>
      </c>
    </row>
    <row r="644" customFormat="false" ht="15" hidden="false" customHeight="false" outlineLevel="0" collapsed="false">
      <c r="A644" s="3" t="n">
        <v>643</v>
      </c>
      <c r="B644" s="3" t="n">
        <v>642</v>
      </c>
      <c r="C644" s="3" t="n">
        <v>0</v>
      </c>
      <c r="D644" s="3" t="n">
        <v>22</v>
      </c>
      <c r="E644" s="3" t="n">
        <v>26</v>
      </c>
      <c r="F644" s="24" t="n">
        <v>0</v>
      </c>
    </row>
    <row r="645" customFormat="false" ht="15" hidden="false" customHeight="false" outlineLevel="0" collapsed="false">
      <c r="A645" s="3" t="n">
        <v>644</v>
      </c>
      <c r="B645" s="3" t="n">
        <v>643</v>
      </c>
      <c r="C645" s="3" t="n">
        <v>0</v>
      </c>
      <c r="D645" s="3" t="n">
        <v>22</v>
      </c>
      <c r="E645" s="3" t="n">
        <v>27</v>
      </c>
      <c r="F645" s="24" t="n">
        <v>0.0673455298</v>
      </c>
    </row>
    <row r="646" customFormat="false" ht="15" hidden="false" customHeight="false" outlineLevel="0" collapsed="false">
      <c r="A646" s="3" t="n">
        <v>645</v>
      </c>
      <c r="B646" s="3" t="n">
        <v>644</v>
      </c>
      <c r="C646" s="3" t="n">
        <v>0</v>
      </c>
      <c r="D646" s="3" t="n">
        <v>23</v>
      </c>
      <c r="E646" s="3" t="n">
        <v>0</v>
      </c>
      <c r="F646" s="24" t="n">
        <v>0.10001415</v>
      </c>
    </row>
    <row r="647" customFormat="false" ht="15" hidden="false" customHeight="false" outlineLevel="0" collapsed="false">
      <c r="A647" s="3" t="n">
        <v>646</v>
      </c>
      <c r="B647" s="3" t="n">
        <v>645</v>
      </c>
      <c r="C647" s="3" t="n">
        <v>0</v>
      </c>
      <c r="D647" s="3" t="n">
        <v>23</v>
      </c>
      <c r="E647" s="3" t="n">
        <v>1</v>
      </c>
      <c r="F647" s="24" t="n">
        <v>0</v>
      </c>
    </row>
    <row r="648" customFormat="false" ht="15" hidden="false" customHeight="false" outlineLevel="0" collapsed="false">
      <c r="A648" s="3" t="n">
        <v>647</v>
      </c>
      <c r="B648" s="3" t="n">
        <v>646</v>
      </c>
      <c r="C648" s="3" t="n">
        <v>0</v>
      </c>
      <c r="D648" s="3" t="n">
        <v>23</v>
      </c>
      <c r="E648" s="3" t="n">
        <v>2</v>
      </c>
      <c r="F648" s="24" t="n">
        <v>0</v>
      </c>
    </row>
    <row r="649" customFormat="false" ht="15" hidden="false" customHeight="false" outlineLevel="0" collapsed="false">
      <c r="A649" s="3" t="n">
        <v>648</v>
      </c>
      <c r="B649" s="3" t="n">
        <v>647</v>
      </c>
      <c r="C649" s="3" t="n">
        <v>0</v>
      </c>
      <c r="D649" s="3" t="n">
        <v>23</v>
      </c>
      <c r="E649" s="3" t="n">
        <v>3</v>
      </c>
      <c r="F649" s="24" t="n">
        <v>0</v>
      </c>
    </row>
    <row r="650" customFormat="false" ht="15" hidden="false" customHeight="false" outlineLevel="0" collapsed="false">
      <c r="A650" s="3" t="n">
        <v>649</v>
      </c>
      <c r="B650" s="3" t="n">
        <v>648</v>
      </c>
      <c r="C650" s="3" t="n">
        <v>0</v>
      </c>
      <c r="D650" s="3" t="n">
        <v>23</v>
      </c>
      <c r="E650" s="3" t="n">
        <v>4</v>
      </c>
      <c r="F650" s="24" t="n">
        <v>0</v>
      </c>
    </row>
    <row r="651" customFormat="false" ht="15" hidden="false" customHeight="false" outlineLevel="0" collapsed="false">
      <c r="A651" s="3" t="n">
        <v>650</v>
      </c>
      <c r="B651" s="3" t="n">
        <v>649</v>
      </c>
      <c r="C651" s="3" t="n">
        <v>0</v>
      </c>
      <c r="D651" s="3" t="n">
        <v>23</v>
      </c>
      <c r="E651" s="3" t="n">
        <v>5</v>
      </c>
      <c r="F651" s="24" t="n">
        <v>0</v>
      </c>
    </row>
    <row r="652" customFormat="false" ht="15" hidden="false" customHeight="false" outlineLevel="0" collapsed="false">
      <c r="A652" s="3" t="n">
        <v>651</v>
      </c>
      <c r="B652" s="3" t="n">
        <v>650</v>
      </c>
      <c r="C652" s="3" t="n">
        <v>0</v>
      </c>
      <c r="D652" s="3" t="n">
        <v>23</v>
      </c>
      <c r="E652" s="3" t="n">
        <v>6</v>
      </c>
      <c r="F652" s="24" t="n">
        <v>0</v>
      </c>
    </row>
    <row r="653" customFormat="false" ht="15" hidden="false" customHeight="false" outlineLevel="0" collapsed="false">
      <c r="A653" s="3" t="n">
        <v>652</v>
      </c>
      <c r="B653" s="3" t="n">
        <v>651</v>
      </c>
      <c r="C653" s="3" t="n">
        <v>0</v>
      </c>
      <c r="D653" s="3" t="n">
        <v>23</v>
      </c>
      <c r="E653" s="3" t="n">
        <v>7</v>
      </c>
      <c r="F653" s="24" t="n">
        <v>0</v>
      </c>
    </row>
    <row r="654" customFormat="false" ht="15" hidden="false" customHeight="false" outlineLevel="0" collapsed="false">
      <c r="A654" s="3" t="n">
        <v>653</v>
      </c>
      <c r="B654" s="3" t="n">
        <v>652</v>
      </c>
      <c r="C654" s="3" t="n">
        <v>0</v>
      </c>
      <c r="D654" s="3" t="n">
        <v>23</v>
      </c>
      <c r="E654" s="3" t="n">
        <v>8</v>
      </c>
      <c r="F654" s="24" t="n">
        <v>0</v>
      </c>
    </row>
    <row r="655" customFormat="false" ht="15" hidden="false" customHeight="false" outlineLevel="0" collapsed="false">
      <c r="A655" s="3" t="n">
        <v>654</v>
      </c>
      <c r="B655" s="3" t="n">
        <v>653</v>
      </c>
      <c r="C655" s="3" t="n">
        <v>0</v>
      </c>
      <c r="D655" s="3" t="n">
        <v>23</v>
      </c>
      <c r="E655" s="3" t="n">
        <v>9</v>
      </c>
      <c r="F655" s="24" t="n">
        <v>0.143852323</v>
      </c>
    </row>
    <row r="656" customFormat="false" ht="15" hidden="false" customHeight="false" outlineLevel="0" collapsed="false">
      <c r="A656" s="3" t="n">
        <v>655</v>
      </c>
      <c r="B656" s="3" t="n">
        <v>654</v>
      </c>
      <c r="C656" s="3" t="n">
        <v>0</v>
      </c>
      <c r="D656" s="3" t="n">
        <v>23</v>
      </c>
      <c r="E656" s="3" t="n">
        <v>10</v>
      </c>
      <c r="F656" s="24" t="n">
        <v>1.13689947</v>
      </c>
    </row>
    <row r="657" customFormat="false" ht="15" hidden="false" customHeight="false" outlineLevel="0" collapsed="false">
      <c r="A657" s="3" t="n">
        <v>656</v>
      </c>
      <c r="B657" s="3" t="n">
        <v>655</v>
      </c>
      <c r="C657" s="3" t="n">
        <v>0</v>
      </c>
      <c r="D657" s="3" t="n">
        <v>23</v>
      </c>
      <c r="E657" s="3" t="n">
        <v>11</v>
      </c>
      <c r="F657" s="24" t="n">
        <v>1.1020174</v>
      </c>
    </row>
    <row r="658" customFormat="false" ht="15" hidden="false" customHeight="false" outlineLevel="0" collapsed="false">
      <c r="A658" s="3" t="n">
        <v>657</v>
      </c>
      <c r="B658" s="3" t="n">
        <v>656</v>
      </c>
      <c r="C658" s="3" t="n">
        <v>0</v>
      </c>
      <c r="D658" s="3" t="n">
        <v>23</v>
      </c>
      <c r="E658" s="3" t="n">
        <v>12</v>
      </c>
      <c r="F658" s="24" t="n">
        <v>1.77794611</v>
      </c>
    </row>
    <row r="659" customFormat="false" ht="15" hidden="false" customHeight="false" outlineLevel="0" collapsed="false">
      <c r="A659" s="3" t="n">
        <v>658</v>
      </c>
      <c r="B659" s="3" t="n">
        <v>657</v>
      </c>
      <c r="C659" s="3" t="n">
        <v>0</v>
      </c>
      <c r="D659" s="3" t="n">
        <v>23</v>
      </c>
      <c r="E659" s="3" t="n">
        <v>13</v>
      </c>
      <c r="F659" s="24" t="n">
        <v>2.25341463</v>
      </c>
    </row>
    <row r="660" customFormat="false" ht="15" hidden="false" customHeight="false" outlineLevel="0" collapsed="false">
      <c r="A660" s="3" t="n">
        <v>659</v>
      </c>
      <c r="B660" s="3" t="n">
        <v>658</v>
      </c>
      <c r="C660" s="3" t="n">
        <v>0</v>
      </c>
      <c r="D660" s="3" t="n">
        <v>23</v>
      </c>
      <c r="E660" s="3" t="n">
        <v>14</v>
      </c>
      <c r="F660" s="24" t="n">
        <v>1.44598436</v>
      </c>
    </row>
    <row r="661" customFormat="false" ht="15" hidden="false" customHeight="false" outlineLevel="0" collapsed="false">
      <c r="A661" s="3" t="n">
        <v>660</v>
      </c>
      <c r="B661" s="3" t="n">
        <v>659</v>
      </c>
      <c r="C661" s="3" t="n">
        <v>0</v>
      </c>
      <c r="D661" s="3" t="n">
        <v>23</v>
      </c>
      <c r="E661" s="3" t="n">
        <v>15</v>
      </c>
      <c r="F661" s="24" t="n">
        <v>0.429524064</v>
      </c>
    </row>
    <row r="662" customFormat="false" ht="15" hidden="false" customHeight="false" outlineLevel="0" collapsed="false">
      <c r="A662" s="3" t="n">
        <v>661</v>
      </c>
      <c r="B662" s="3" t="n">
        <v>660</v>
      </c>
      <c r="C662" s="3" t="n">
        <v>0</v>
      </c>
      <c r="D662" s="3" t="n">
        <v>23</v>
      </c>
      <c r="E662" s="3" t="n">
        <v>16</v>
      </c>
      <c r="F662" s="24" t="n">
        <v>0</v>
      </c>
    </row>
    <row r="663" customFormat="false" ht="15" hidden="false" customHeight="false" outlineLevel="0" collapsed="false">
      <c r="A663" s="3" t="n">
        <v>662</v>
      </c>
      <c r="B663" s="3" t="n">
        <v>661</v>
      </c>
      <c r="C663" s="3" t="n">
        <v>0</v>
      </c>
      <c r="D663" s="3" t="n">
        <v>23</v>
      </c>
      <c r="E663" s="3" t="n">
        <v>17</v>
      </c>
      <c r="F663" s="24" t="n">
        <v>0</v>
      </c>
    </row>
    <row r="664" customFormat="false" ht="15" hidden="false" customHeight="false" outlineLevel="0" collapsed="false">
      <c r="A664" s="3" t="n">
        <v>663</v>
      </c>
      <c r="B664" s="3" t="n">
        <v>662</v>
      </c>
      <c r="C664" s="3" t="n">
        <v>0</v>
      </c>
      <c r="D664" s="3" t="n">
        <v>23</v>
      </c>
      <c r="E664" s="3" t="n">
        <v>18</v>
      </c>
      <c r="F664" s="24" t="n">
        <v>0</v>
      </c>
    </row>
    <row r="665" customFormat="false" ht="15" hidden="false" customHeight="false" outlineLevel="0" collapsed="false">
      <c r="A665" s="3" t="n">
        <v>664</v>
      </c>
      <c r="B665" s="3" t="n">
        <v>663</v>
      </c>
      <c r="C665" s="3" t="n">
        <v>0</v>
      </c>
      <c r="D665" s="3" t="n">
        <v>23</v>
      </c>
      <c r="E665" s="3" t="n">
        <v>19</v>
      </c>
      <c r="F665" s="24" t="n">
        <v>0</v>
      </c>
    </row>
    <row r="666" customFormat="false" ht="15" hidden="false" customHeight="false" outlineLevel="0" collapsed="false">
      <c r="A666" s="3" t="n">
        <v>665</v>
      </c>
      <c r="B666" s="3" t="n">
        <v>664</v>
      </c>
      <c r="C666" s="3" t="n">
        <v>0</v>
      </c>
      <c r="D666" s="3" t="n">
        <v>23</v>
      </c>
      <c r="E666" s="3" t="n">
        <v>20</v>
      </c>
      <c r="F666" s="24" t="n">
        <v>0</v>
      </c>
    </row>
    <row r="667" customFormat="false" ht="15" hidden="false" customHeight="false" outlineLevel="0" collapsed="false">
      <c r="A667" s="3" t="n">
        <v>666</v>
      </c>
      <c r="B667" s="3" t="n">
        <v>665</v>
      </c>
      <c r="C667" s="3" t="n">
        <v>0</v>
      </c>
      <c r="D667" s="3" t="n">
        <v>23</v>
      </c>
      <c r="E667" s="3" t="n">
        <v>21</v>
      </c>
      <c r="F667" s="24" t="n">
        <v>0</v>
      </c>
    </row>
    <row r="668" customFormat="false" ht="15" hidden="false" customHeight="false" outlineLevel="0" collapsed="false">
      <c r="A668" s="3" t="n">
        <v>667</v>
      </c>
      <c r="B668" s="3" t="n">
        <v>666</v>
      </c>
      <c r="C668" s="3" t="n">
        <v>0</v>
      </c>
      <c r="D668" s="3" t="n">
        <v>23</v>
      </c>
      <c r="E668" s="3" t="n">
        <v>22</v>
      </c>
      <c r="F668" s="24" t="n">
        <v>0</v>
      </c>
    </row>
    <row r="669" customFormat="false" ht="15" hidden="false" customHeight="false" outlineLevel="0" collapsed="false">
      <c r="A669" s="3" t="n">
        <v>668</v>
      </c>
      <c r="B669" s="3" t="n">
        <v>667</v>
      </c>
      <c r="C669" s="3" t="n">
        <v>0</v>
      </c>
      <c r="D669" s="3" t="n">
        <v>23</v>
      </c>
      <c r="E669" s="3" t="n">
        <v>23</v>
      </c>
      <c r="F669" s="24" t="n">
        <v>0</v>
      </c>
    </row>
    <row r="670" customFormat="false" ht="15" hidden="false" customHeight="false" outlineLevel="0" collapsed="false">
      <c r="A670" s="3" t="n">
        <v>669</v>
      </c>
      <c r="B670" s="3" t="n">
        <v>668</v>
      </c>
      <c r="C670" s="3" t="n">
        <v>0</v>
      </c>
      <c r="D670" s="3" t="n">
        <v>23</v>
      </c>
      <c r="E670" s="3" t="n">
        <v>24</v>
      </c>
      <c r="F670" s="24" t="n">
        <v>0</v>
      </c>
    </row>
    <row r="671" customFormat="false" ht="15" hidden="false" customHeight="false" outlineLevel="0" collapsed="false">
      <c r="A671" s="3" t="n">
        <v>670</v>
      </c>
      <c r="B671" s="3" t="n">
        <v>669</v>
      </c>
      <c r="C671" s="3" t="n">
        <v>0</v>
      </c>
      <c r="D671" s="3" t="n">
        <v>23</v>
      </c>
      <c r="E671" s="3" t="n">
        <v>25</v>
      </c>
      <c r="F671" s="24" t="n">
        <v>0</v>
      </c>
    </row>
    <row r="672" customFormat="false" ht="15" hidden="false" customHeight="false" outlineLevel="0" collapsed="false">
      <c r="A672" s="3" t="n">
        <v>671</v>
      </c>
      <c r="B672" s="3" t="n">
        <v>670</v>
      </c>
      <c r="C672" s="3" t="n">
        <v>0</v>
      </c>
      <c r="D672" s="3" t="n">
        <v>23</v>
      </c>
      <c r="E672" s="3" t="n">
        <v>26</v>
      </c>
      <c r="F672" s="24" t="n">
        <v>0</v>
      </c>
    </row>
    <row r="673" customFormat="false" ht="15" hidden="false" customHeight="false" outlineLevel="0" collapsed="false">
      <c r="A673" s="3" t="n">
        <v>672</v>
      </c>
      <c r="B673" s="3" t="n">
        <v>671</v>
      </c>
      <c r="C673" s="3" t="n">
        <v>0</v>
      </c>
      <c r="D673" s="3" t="n">
        <v>23</v>
      </c>
      <c r="E673" s="3" t="n">
        <v>27</v>
      </c>
      <c r="F673" s="24" t="n">
        <v>0.0673455298</v>
      </c>
    </row>
    <row r="674" customFormat="false" ht="15" hidden="false" customHeight="false" outlineLevel="0" collapsed="false">
      <c r="A674" s="3" t="n">
        <v>673</v>
      </c>
      <c r="B674" s="3" t="n">
        <v>672</v>
      </c>
      <c r="C674" s="3" t="n">
        <v>0</v>
      </c>
      <c r="D674" s="3" t="n">
        <v>24</v>
      </c>
      <c r="E674" s="3" t="n">
        <v>0</v>
      </c>
      <c r="F674" s="24" t="n">
        <v>0.10001415</v>
      </c>
    </row>
    <row r="675" customFormat="false" ht="15" hidden="false" customHeight="false" outlineLevel="0" collapsed="false">
      <c r="A675" s="3" t="n">
        <v>674</v>
      </c>
      <c r="B675" s="3" t="n">
        <v>673</v>
      </c>
      <c r="C675" s="3" t="n">
        <v>0</v>
      </c>
      <c r="D675" s="3" t="n">
        <v>24</v>
      </c>
      <c r="E675" s="3" t="n">
        <v>1</v>
      </c>
      <c r="F675" s="24" t="n">
        <v>0</v>
      </c>
    </row>
    <row r="676" customFormat="false" ht="15" hidden="false" customHeight="false" outlineLevel="0" collapsed="false">
      <c r="A676" s="3" t="n">
        <v>675</v>
      </c>
      <c r="B676" s="3" t="n">
        <v>674</v>
      </c>
      <c r="C676" s="3" t="n">
        <v>0</v>
      </c>
      <c r="D676" s="3" t="n">
        <v>24</v>
      </c>
      <c r="E676" s="3" t="n">
        <v>2</v>
      </c>
      <c r="F676" s="24" t="n">
        <v>0</v>
      </c>
    </row>
    <row r="677" customFormat="false" ht="15" hidden="false" customHeight="false" outlineLevel="0" collapsed="false">
      <c r="A677" s="3" t="n">
        <v>676</v>
      </c>
      <c r="B677" s="3" t="n">
        <v>675</v>
      </c>
      <c r="C677" s="3" t="n">
        <v>0</v>
      </c>
      <c r="D677" s="3" t="n">
        <v>24</v>
      </c>
      <c r="E677" s="3" t="n">
        <v>3</v>
      </c>
      <c r="F677" s="24" t="n">
        <v>0</v>
      </c>
    </row>
    <row r="678" customFormat="false" ht="15" hidden="false" customHeight="false" outlineLevel="0" collapsed="false">
      <c r="A678" s="3" t="n">
        <v>677</v>
      </c>
      <c r="B678" s="3" t="n">
        <v>676</v>
      </c>
      <c r="C678" s="3" t="n">
        <v>0</v>
      </c>
      <c r="D678" s="3" t="n">
        <v>24</v>
      </c>
      <c r="E678" s="3" t="n">
        <v>4</v>
      </c>
      <c r="F678" s="24" t="n">
        <v>0</v>
      </c>
    </row>
    <row r="679" customFormat="false" ht="15" hidden="false" customHeight="false" outlineLevel="0" collapsed="false">
      <c r="A679" s="3" t="n">
        <v>678</v>
      </c>
      <c r="B679" s="3" t="n">
        <v>677</v>
      </c>
      <c r="C679" s="3" t="n">
        <v>0</v>
      </c>
      <c r="D679" s="3" t="n">
        <v>24</v>
      </c>
      <c r="E679" s="3" t="n">
        <v>5</v>
      </c>
      <c r="F679" s="24" t="n">
        <v>0</v>
      </c>
    </row>
    <row r="680" customFormat="false" ht="15" hidden="false" customHeight="false" outlineLevel="0" collapsed="false">
      <c r="A680" s="3" t="n">
        <v>679</v>
      </c>
      <c r="B680" s="3" t="n">
        <v>678</v>
      </c>
      <c r="C680" s="3" t="n">
        <v>0</v>
      </c>
      <c r="D680" s="3" t="n">
        <v>24</v>
      </c>
      <c r="E680" s="3" t="n">
        <v>6</v>
      </c>
      <c r="F680" s="24" t="n">
        <v>0</v>
      </c>
    </row>
    <row r="681" customFormat="false" ht="15" hidden="false" customHeight="false" outlineLevel="0" collapsed="false">
      <c r="A681" s="3" t="n">
        <v>680</v>
      </c>
      <c r="B681" s="3" t="n">
        <v>679</v>
      </c>
      <c r="C681" s="3" t="n">
        <v>0</v>
      </c>
      <c r="D681" s="3" t="n">
        <v>24</v>
      </c>
      <c r="E681" s="3" t="n">
        <v>7</v>
      </c>
      <c r="F681" s="24" t="n">
        <v>0</v>
      </c>
    </row>
    <row r="682" customFormat="false" ht="15" hidden="false" customHeight="false" outlineLevel="0" collapsed="false">
      <c r="A682" s="3" t="n">
        <v>681</v>
      </c>
      <c r="B682" s="3" t="n">
        <v>680</v>
      </c>
      <c r="C682" s="3" t="n">
        <v>0</v>
      </c>
      <c r="D682" s="3" t="n">
        <v>24</v>
      </c>
      <c r="E682" s="3" t="n">
        <v>8</v>
      </c>
      <c r="F682" s="24" t="n">
        <v>0</v>
      </c>
    </row>
    <row r="683" customFormat="false" ht="15" hidden="false" customHeight="false" outlineLevel="0" collapsed="false">
      <c r="A683" s="3" t="n">
        <v>682</v>
      </c>
      <c r="B683" s="3" t="n">
        <v>681</v>
      </c>
      <c r="C683" s="3" t="n">
        <v>0</v>
      </c>
      <c r="D683" s="3" t="n">
        <v>24</v>
      </c>
      <c r="E683" s="3" t="n">
        <v>9</v>
      </c>
      <c r="F683" s="24" t="n">
        <v>0.591727614</v>
      </c>
    </row>
    <row r="684" customFormat="false" ht="15" hidden="false" customHeight="false" outlineLevel="0" collapsed="false">
      <c r="A684" s="3" t="n">
        <v>683</v>
      </c>
      <c r="B684" s="3" t="n">
        <v>682</v>
      </c>
      <c r="C684" s="3" t="n">
        <v>0</v>
      </c>
      <c r="D684" s="3" t="n">
        <v>24</v>
      </c>
      <c r="E684" s="3" t="n">
        <v>10</v>
      </c>
      <c r="F684" s="24" t="n">
        <v>1.39829183</v>
      </c>
    </row>
    <row r="685" customFormat="false" ht="15" hidden="false" customHeight="false" outlineLevel="0" collapsed="false">
      <c r="A685" s="3" t="n">
        <v>684</v>
      </c>
      <c r="B685" s="3" t="n">
        <v>683</v>
      </c>
      <c r="C685" s="3" t="n">
        <v>0</v>
      </c>
      <c r="D685" s="3" t="n">
        <v>24</v>
      </c>
      <c r="E685" s="3" t="n">
        <v>11</v>
      </c>
      <c r="F685" s="24" t="n">
        <v>1.57991946</v>
      </c>
    </row>
    <row r="686" customFormat="false" ht="15" hidden="false" customHeight="false" outlineLevel="0" collapsed="false">
      <c r="A686" s="3" t="n">
        <v>685</v>
      </c>
      <c r="B686" s="3" t="n">
        <v>684</v>
      </c>
      <c r="C686" s="3" t="n">
        <v>0</v>
      </c>
      <c r="D686" s="3" t="n">
        <v>24</v>
      </c>
      <c r="E686" s="3" t="n">
        <v>12</v>
      </c>
      <c r="F686" s="24" t="n">
        <v>2.59036517</v>
      </c>
    </row>
    <row r="687" customFormat="false" ht="15" hidden="false" customHeight="false" outlineLevel="0" collapsed="false">
      <c r="A687" s="3" t="n">
        <v>686</v>
      </c>
      <c r="B687" s="3" t="n">
        <v>685</v>
      </c>
      <c r="C687" s="3" t="n">
        <v>0</v>
      </c>
      <c r="D687" s="3" t="n">
        <v>24</v>
      </c>
      <c r="E687" s="3" t="n">
        <v>13</v>
      </c>
      <c r="F687" s="24" t="n">
        <v>2.62003136</v>
      </c>
    </row>
    <row r="688" customFormat="false" ht="15" hidden="false" customHeight="false" outlineLevel="0" collapsed="false">
      <c r="A688" s="3" t="n">
        <v>687</v>
      </c>
      <c r="B688" s="3" t="n">
        <v>686</v>
      </c>
      <c r="C688" s="3" t="n">
        <v>0</v>
      </c>
      <c r="D688" s="3" t="n">
        <v>24</v>
      </c>
      <c r="E688" s="3" t="n">
        <v>14</v>
      </c>
      <c r="F688" s="24" t="n">
        <v>1.41146922</v>
      </c>
    </row>
    <row r="689" customFormat="false" ht="15" hidden="false" customHeight="false" outlineLevel="0" collapsed="false">
      <c r="A689" s="3" t="n">
        <v>688</v>
      </c>
      <c r="B689" s="3" t="n">
        <v>687</v>
      </c>
      <c r="C689" s="3" t="n">
        <v>0</v>
      </c>
      <c r="D689" s="3" t="n">
        <v>24</v>
      </c>
      <c r="E689" s="3" t="n">
        <v>15</v>
      </c>
      <c r="F689" s="24" t="n">
        <v>0.224361613</v>
      </c>
    </row>
    <row r="690" customFormat="false" ht="15" hidden="false" customHeight="false" outlineLevel="0" collapsed="false">
      <c r="A690" s="3" t="n">
        <v>689</v>
      </c>
      <c r="B690" s="3" t="n">
        <v>688</v>
      </c>
      <c r="C690" s="3" t="n">
        <v>0</v>
      </c>
      <c r="D690" s="3" t="n">
        <v>24</v>
      </c>
      <c r="E690" s="3" t="n">
        <v>16</v>
      </c>
      <c r="F690" s="24" t="n">
        <v>0</v>
      </c>
    </row>
    <row r="691" customFormat="false" ht="15" hidden="false" customHeight="false" outlineLevel="0" collapsed="false">
      <c r="A691" s="3" t="n">
        <v>690</v>
      </c>
      <c r="B691" s="3" t="n">
        <v>689</v>
      </c>
      <c r="C691" s="3" t="n">
        <v>0</v>
      </c>
      <c r="D691" s="3" t="n">
        <v>24</v>
      </c>
      <c r="E691" s="3" t="n">
        <v>17</v>
      </c>
      <c r="F691" s="24" t="n">
        <v>0</v>
      </c>
    </row>
    <row r="692" customFormat="false" ht="15" hidden="false" customHeight="false" outlineLevel="0" collapsed="false">
      <c r="A692" s="3" t="n">
        <v>691</v>
      </c>
      <c r="B692" s="3" t="n">
        <v>690</v>
      </c>
      <c r="C692" s="3" t="n">
        <v>0</v>
      </c>
      <c r="D692" s="3" t="n">
        <v>24</v>
      </c>
      <c r="E692" s="3" t="n">
        <v>18</v>
      </c>
      <c r="F692" s="24" t="n">
        <v>0</v>
      </c>
    </row>
    <row r="693" customFormat="false" ht="15" hidden="false" customHeight="false" outlineLevel="0" collapsed="false">
      <c r="A693" s="3" t="n">
        <v>692</v>
      </c>
      <c r="B693" s="3" t="n">
        <v>691</v>
      </c>
      <c r="C693" s="3" t="n">
        <v>0</v>
      </c>
      <c r="D693" s="3" t="n">
        <v>24</v>
      </c>
      <c r="E693" s="3" t="n">
        <v>19</v>
      </c>
      <c r="F693" s="24" t="n">
        <v>0</v>
      </c>
    </row>
    <row r="694" customFormat="false" ht="15" hidden="false" customHeight="false" outlineLevel="0" collapsed="false">
      <c r="A694" s="3" t="n">
        <v>693</v>
      </c>
      <c r="B694" s="3" t="n">
        <v>692</v>
      </c>
      <c r="C694" s="3" t="n">
        <v>0</v>
      </c>
      <c r="D694" s="3" t="n">
        <v>24</v>
      </c>
      <c r="E694" s="3" t="n">
        <v>20</v>
      </c>
      <c r="F694" s="24" t="n">
        <v>0</v>
      </c>
    </row>
    <row r="695" customFormat="false" ht="15" hidden="false" customHeight="false" outlineLevel="0" collapsed="false">
      <c r="A695" s="3" t="n">
        <v>694</v>
      </c>
      <c r="B695" s="3" t="n">
        <v>693</v>
      </c>
      <c r="C695" s="3" t="n">
        <v>0</v>
      </c>
      <c r="D695" s="3" t="n">
        <v>24</v>
      </c>
      <c r="E695" s="3" t="n">
        <v>21</v>
      </c>
      <c r="F695" s="24" t="n">
        <v>0</v>
      </c>
    </row>
    <row r="696" customFormat="false" ht="15" hidden="false" customHeight="false" outlineLevel="0" collapsed="false">
      <c r="A696" s="3" t="n">
        <v>695</v>
      </c>
      <c r="B696" s="3" t="n">
        <v>694</v>
      </c>
      <c r="C696" s="3" t="n">
        <v>0</v>
      </c>
      <c r="D696" s="3" t="n">
        <v>24</v>
      </c>
      <c r="E696" s="3" t="n">
        <v>22</v>
      </c>
      <c r="F696" s="24" t="n">
        <v>0</v>
      </c>
    </row>
    <row r="697" customFormat="false" ht="15" hidden="false" customHeight="false" outlineLevel="0" collapsed="false">
      <c r="A697" s="3" t="n">
        <v>696</v>
      </c>
      <c r="B697" s="3" t="n">
        <v>695</v>
      </c>
      <c r="C697" s="3" t="n">
        <v>0</v>
      </c>
      <c r="D697" s="3" t="n">
        <v>24</v>
      </c>
      <c r="E697" s="3" t="n">
        <v>23</v>
      </c>
      <c r="F697" s="24" t="n">
        <v>0</v>
      </c>
    </row>
    <row r="698" customFormat="false" ht="15" hidden="false" customHeight="false" outlineLevel="0" collapsed="false">
      <c r="A698" s="3" t="n">
        <v>697</v>
      </c>
      <c r="B698" s="3" t="n">
        <v>696</v>
      </c>
      <c r="C698" s="3" t="n">
        <v>0</v>
      </c>
      <c r="D698" s="3" t="n">
        <v>24</v>
      </c>
      <c r="E698" s="3" t="n">
        <v>24</v>
      </c>
      <c r="F698" s="24" t="n">
        <v>0</v>
      </c>
    </row>
    <row r="699" customFormat="false" ht="15" hidden="false" customHeight="false" outlineLevel="0" collapsed="false">
      <c r="A699" s="3" t="n">
        <v>698</v>
      </c>
      <c r="B699" s="3" t="n">
        <v>697</v>
      </c>
      <c r="C699" s="3" t="n">
        <v>0</v>
      </c>
      <c r="D699" s="3" t="n">
        <v>24</v>
      </c>
      <c r="E699" s="3" t="n">
        <v>25</v>
      </c>
      <c r="F699" s="24" t="n">
        <v>0</v>
      </c>
    </row>
    <row r="700" customFormat="false" ht="15" hidden="false" customHeight="false" outlineLevel="0" collapsed="false">
      <c r="A700" s="3" t="n">
        <v>699</v>
      </c>
      <c r="B700" s="3" t="n">
        <v>698</v>
      </c>
      <c r="C700" s="3" t="n">
        <v>0</v>
      </c>
      <c r="D700" s="3" t="n">
        <v>24</v>
      </c>
      <c r="E700" s="3" t="n">
        <v>26</v>
      </c>
      <c r="F700" s="24" t="n">
        <v>0</v>
      </c>
    </row>
    <row r="701" customFormat="false" ht="15" hidden="false" customHeight="false" outlineLevel="0" collapsed="false">
      <c r="A701" s="3" t="n">
        <v>700</v>
      </c>
      <c r="B701" s="3" t="n">
        <v>699</v>
      </c>
      <c r="C701" s="3" t="n">
        <v>0</v>
      </c>
      <c r="D701" s="3" t="n">
        <v>24</v>
      </c>
      <c r="E701" s="3" t="n">
        <v>27</v>
      </c>
      <c r="F701" s="24" t="n">
        <v>0.0673455298</v>
      </c>
    </row>
    <row r="702" customFormat="false" ht="15" hidden="false" customHeight="false" outlineLevel="0" collapsed="false">
      <c r="A702" s="3" t="n">
        <v>701</v>
      </c>
      <c r="B702" s="3" t="n">
        <v>700</v>
      </c>
      <c r="C702" s="3" t="n">
        <v>0</v>
      </c>
      <c r="D702" s="3" t="n">
        <v>25</v>
      </c>
      <c r="E702" s="3" t="n">
        <v>0</v>
      </c>
      <c r="F702" s="24" t="n">
        <v>0.10001415</v>
      </c>
    </row>
    <row r="703" customFormat="false" ht="15" hidden="false" customHeight="false" outlineLevel="0" collapsed="false">
      <c r="A703" s="3" t="n">
        <v>702</v>
      </c>
      <c r="B703" s="3" t="n">
        <v>701</v>
      </c>
      <c r="C703" s="3" t="n">
        <v>0</v>
      </c>
      <c r="D703" s="3" t="n">
        <v>25</v>
      </c>
      <c r="E703" s="3" t="n">
        <v>1</v>
      </c>
      <c r="F703" s="24" t="n">
        <v>0</v>
      </c>
    </row>
    <row r="704" customFormat="false" ht="15" hidden="false" customHeight="false" outlineLevel="0" collapsed="false">
      <c r="A704" s="3" t="n">
        <v>703</v>
      </c>
      <c r="B704" s="3" t="n">
        <v>702</v>
      </c>
      <c r="C704" s="3" t="n">
        <v>0</v>
      </c>
      <c r="D704" s="3" t="n">
        <v>25</v>
      </c>
      <c r="E704" s="3" t="n">
        <v>2</v>
      </c>
      <c r="F704" s="24" t="n">
        <v>0</v>
      </c>
    </row>
    <row r="705" customFormat="false" ht="15" hidden="false" customHeight="false" outlineLevel="0" collapsed="false">
      <c r="A705" s="3" t="n">
        <v>704</v>
      </c>
      <c r="B705" s="3" t="n">
        <v>703</v>
      </c>
      <c r="C705" s="3" t="n">
        <v>0</v>
      </c>
      <c r="D705" s="3" t="n">
        <v>25</v>
      </c>
      <c r="E705" s="3" t="n">
        <v>3</v>
      </c>
      <c r="F705" s="24" t="n">
        <v>0</v>
      </c>
    </row>
    <row r="706" customFormat="false" ht="15" hidden="false" customHeight="false" outlineLevel="0" collapsed="false">
      <c r="A706" s="3" t="n">
        <v>705</v>
      </c>
      <c r="B706" s="3" t="n">
        <v>704</v>
      </c>
      <c r="C706" s="3" t="n">
        <v>0</v>
      </c>
      <c r="D706" s="3" t="n">
        <v>25</v>
      </c>
      <c r="E706" s="3" t="n">
        <v>4</v>
      </c>
      <c r="F706" s="24" t="n">
        <v>0</v>
      </c>
    </row>
    <row r="707" customFormat="false" ht="15" hidden="false" customHeight="false" outlineLevel="0" collapsed="false">
      <c r="A707" s="3" t="n">
        <v>706</v>
      </c>
      <c r="B707" s="3" t="n">
        <v>705</v>
      </c>
      <c r="C707" s="3" t="n">
        <v>0</v>
      </c>
      <c r="D707" s="3" t="n">
        <v>25</v>
      </c>
      <c r="E707" s="3" t="n">
        <v>5</v>
      </c>
      <c r="F707" s="24" t="n">
        <v>0</v>
      </c>
    </row>
    <row r="708" customFormat="false" ht="15" hidden="false" customHeight="false" outlineLevel="0" collapsed="false">
      <c r="A708" s="3" t="n">
        <v>707</v>
      </c>
      <c r="B708" s="3" t="n">
        <v>706</v>
      </c>
      <c r="C708" s="3" t="n">
        <v>0</v>
      </c>
      <c r="D708" s="3" t="n">
        <v>25</v>
      </c>
      <c r="E708" s="3" t="n">
        <v>6</v>
      </c>
      <c r="F708" s="24" t="n">
        <v>0</v>
      </c>
    </row>
    <row r="709" customFormat="false" ht="15" hidden="false" customHeight="false" outlineLevel="0" collapsed="false">
      <c r="A709" s="3" t="n">
        <v>708</v>
      </c>
      <c r="B709" s="3" t="n">
        <v>707</v>
      </c>
      <c r="C709" s="3" t="n">
        <v>0</v>
      </c>
      <c r="D709" s="3" t="n">
        <v>25</v>
      </c>
      <c r="E709" s="3" t="n">
        <v>7</v>
      </c>
      <c r="F709" s="24" t="n">
        <v>0</v>
      </c>
    </row>
    <row r="710" customFormat="false" ht="15" hidden="false" customHeight="false" outlineLevel="0" collapsed="false">
      <c r="A710" s="3" t="n">
        <v>709</v>
      </c>
      <c r="B710" s="3" t="n">
        <v>708</v>
      </c>
      <c r="C710" s="3" t="n">
        <v>0</v>
      </c>
      <c r="D710" s="3" t="n">
        <v>25</v>
      </c>
      <c r="E710" s="3" t="n">
        <v>8</v>
      </c>
      <c r="F710" s="24" t="n">
        <v>0</v>
      </c>
    </row>
    <row r="711" customFormat="false" ht="15" hidden="false" customHeight="false" outlineLevel="0" collapsed="false">
      <c r="A711" s="3" t="n">
        <v>710</v>
      </c>
      <c r="B711" s="3" t="n">
        <v>709</v>
      </c>
      <c r="C711" s="3" t="n">
        <v>0</v>
      </c>
      <c r="D711" s="3" t="n">
        <v>25</v>
      </c>
      <c r="E711" s="3" t="n">
        <v>9</v>
      </c>
      <c r="F711" s="24" t="n">
        <v>0.588049471</v>
      </c>
    </row>
    <row r="712" customFormat="false" ht="15" hidden="false" customHeight="false" outlineLevel="0" collapsed="false">
      <c r="A712" s="3" t="n">
        <v>711</v>
      </c>
      <c r="B712" s="3" t="n">
        <v>710</v>
      </c>
      <c r="C712" s="3" t="n">
        <v>0</v>
      </c>
      <c r="D712" s="3" t="n">
        <v>25</v>
      </c>
      <c r="E712" s="3" t="n">
        <v>10</v>
      </c>
      <c r="F712" s="24" t="n">
        <v>1.3119334</v>
      </c>
    </row>
    <row r="713" customFormat="false" ht="15" hidden="false" customHeight="false" outlineLevel="0" collapsed="false">
      <c r="A713" s="3" t="n">
        <v>712</v>
      </c>
      <c r="B713" s="3" t="n">
        <v>711</v>
      </c>
      <c r="C713" s="3" t="n">
        <v>0</v>
      </c>
      <c r="D713" s="3" t="n">
        <v>25</v>
      </c>
      <c r="E713" s="3" t="n">
        <v>11</v>
      </c>
      <c r="F713" s="24" t="n">
        <v>2.31598616</v>
      </c>
    </row>
    <row r="714" customFormat="false" ht="15" hidden="false" customHeight="false" outlineLevel="0" collapsed="false">
      <c r="A714" s="3" t="n">
        <v>713</v>
      </c>
      <c r="B714" s="3" t="n">
        <v>712</v>
      </c>
      <c r="C714" s="3" t="n">
        <v>0</v>
      </c>
      <c r="D714" s="3" t="n">
        <v>25</v>
      </c>
      <c r="E714" s="3" t="n">
        <v>12</v>
      </c>
      <c r="F714" s="24" t="n">
        <v>2.34819412</v>
      </c>
    </row>
    <row r="715" customFormat="false" ht="15" hidden="false" customHeight="false" outlineLevel="0" collapsed="false">
      <c r="A715" s="3" t="n">
        <v>714</v>
      </c>
      <c r="B715" s="3" t="n">
        <v>713</v>
      </c>
      <c r="C715" s="3" t="n">
        <v>0</v>
      </c>
      <c r="D715" s="3" t="n">
        <v>25</v>
      </c>
      <c r="E715" s="3" t="n">
        <v>13</v>
      </c>
      <c r="F715" s="24" t="n">
        <v>2.50042868</v>
      </c>
    </row>
    <row r="716" customFormat="false" ht="15" hidden="false" customHeight="false" outlineLevel="0" collapsed="false">
      <c r="A716" s="3" t="n">
        <v>715</v>
      </c>
      <c r="B716" s="3" t="n">
        <v>714</v>
      </c>
      <c r="C716" s="3" t="n">
        <v>0</v>
      </c>
      <c r="D716" s="3" t="n">
        <v>25</v>
      </c>
      <c r="E716" s="3" t="n">
        <v>14</v>
      </c>
      <c r="F716" s="24" t="n">
        <v>2.1185267</v>
      </c>
    </row>
    <row r="717" customFormat="false" ht="15" hidden="false" customHeight="false" outlineLevel="0" collapsed="false">
      <c r="A717" s="3" t="n">
        <v>716</v>
      </c>
      <c r="B717" s="3" t="n">
        <v>715</v>
      </c>
      <c r="C717" s="3" t="n">
        <v>0</v>
      </c>
      <c r="D717" s="3" t="n">
        <v>25</v>
      </c>
      <c r="E717" s="3" t="n">
        <v>15</v>
      </c>
      <c r="F717" s="24" t="n">
        <v>0.3532902</v>
      </c>
    </row>
    <row r="718" customFormat="false" ht="15" hidden="false" customHeight="false" outlineLevel="0" collapsed="false">
      <c r="A718" s="3" t="n">
        <v>717</v>
      </c>
      <c r="B718" s="3" t="n">
        <v>716</v>
      </c>
      <c r="C718" s="3" t="n">
        <v>0</v>
      </c>
      <c r="D718" s="3" t="n">
        <v>25</v>
      </c>
      <c r="E718" s="3" t="n">
        <v>16</v>
      </c>
      <c r="F718" s="24" t="n">
        <v>0</v>
      </c>
    </row>
    <row r="719" customFormat="false" ht="15" hidden="false" customHeight="false" outlineLevel="0" collapsed="false">
      <c r="A719" s="3" t="n">
        <v>718</v>
      </c>
      <c r="B719" s="3" t="n">
        <v>717</v>
      </c>
      <c r="C719" s="3" t="n">
        <v>0</v>
      </c>
      <c r="D719" s="3" t="n">
        <v>25</v>
      </c>
      <c r="E719" s="3" t="n">
        <v>17</v>
      </c>
      <c r="F719" s="24" t="n">
        <v>0</v>
      </c>
    </row>
    <row r="720" customFormat="false" ht="15" hidden="false" customHeight="false" outlineLevel="0" collapsed="false">
      <c r="A720" s="3" t="n">
        <v>719</v>
      </c>
      <c r="B720" s="3" t="n">
        <v>718</v>
      </c>
      <c r="C720" s="3" t="n">
        <v>0</v>
      </c>
      <c r="D720" s="3" t="n">
        <v>25</v>
      </c>
      <c r="E720" s="3" t="n">
        <v>18</v>
      </c>
      <c r="F720" s="24" t="n">
        <v>0</v>
      </c>
    </row>
    <row r="721" customFormat="false" ht="15" hidden="false" customHeight="false" outlineLevel="0" collapsed="false">
      <c r="A721" s="3" t="n">
        <v>720</v>
      </c>
      <c r="B721" s="3" t="n">
        <v>719</v>
      </c>
      <c r="C721" s="3" t="n">
        <v>0</v>
      </c>
      <c r="D721" s="3" t="n">
        <v>25</v>
      </c>
      <c r="E721" s="3" t="n">
        <v>19</v>
      </c>
      <c r="F721" s="24" t="n">
        <v>0</v>
      </c>
    </row>
    <row r="722" customFormat="false" ht="15" hidden="false" customHeight="false" outlineLevel="0" collapsed="false">
      <c r="A722" s="3" t="n">
        <v>721</v>
      </c>
      <c r="B722" s="3" t="n">
        <v>720</v>
      </c>
      <c r="C722" s="3" t="n">
        <v>0</v>
      </c>
      <c r="D722" s="3" t="n">
        <v>25</v>
      </c>
      <c r="E722" s="3" t="n">
        <v>20</v>
      </c>
      <c r="F722" s="24" t="n">
        <v>0</v>
      </c>
    </row>
    <row r="723" customFormat="false" ht="15" hidden="false" customHeight="false" outlineLevel="0" collapsed="false">
      <c r="A723" s="3" t="n">
        <v>722</v>
      </c>
      <c r="B723" s="3" t="n">
        <v>721</v>
      </c>
      <c r="C723" s="3" t="n">
        <v>0</v>
      </c>
      <c r="D723" s="3" t="n">
        <v>25</v>
      </c>
      <c r="E723" s="3" t="n">
        <v>21</v>
      </c>
      <c r="F723" s="24" t="n">
        <v>0</v>
      </c>
    </row>
    <row r="724" customFormat="false" ht="15" hidden="false" customHeight="false" outlineLevel="0" collapsed="false">
      <c r="A724" s="3" t="n">
        <v>723</v>
      </c>
      <c r="B724" s="3" t="n">
        <v>722</v>
      </c>
      <c r="C724" s="3" t="n">
        <v>0</v>
      </c>
      <c r="D724" s="3" t="n">
        <v>25</v>
      </c>
      <c r="E724" s="3" t="n">
        <v>22</v>
      </c>
      <c r="F724" s="24" t="n">
        <v>0</v>
      </c>
    </row>
    <row r="725" customFormat="false" ht="15" hidden="false" customHeight="false" outlineLevel="0" collapsed="false">
      <c r="A725" s="3" t="n">
        <v>724</v>
      </c>
      <c r="B725" s="3" t="n">
        <v>723</v>
      </c>
      <c r="C725" s="3" t="n">
        <v>0</v>
      </c>
      <c r="D725" s="3" t="n">
        <v>25</v>
      </c>
      <c r="E725" s="3" t="n">
        <v>23</v>
      </c>
      <c r="F725" s="24" t="n">
        <v>0</v>
      </c>
    </row>
    <row r="726" customFormat="false" ht="15" hidden="false" customHeight="false" outlineLevel="0" collapsed="false">
      <c r="A726" s="3" t="n">
        <v>725</v>
      </c>
      <c r="B726" s="3" t="n">
        <v>724</v>
      </c>
      <c r="C726" s="3" t="n">
        <v>0</v>
      </c>
      <c r="D726" s="3" t="n">
        <v>25</v>
      </c>
      <c r="E726" s="3" t="n">
        <v>24</v>
      </c>
      <c r="F726" s="24" t="n">
        <v>0</v>
      </c>
    </row>
    <row r="727" customFormat="false" ht="15" hidden="false" customHeight="false" outlineLevel="0" collapsed="false">
      <c r="A727" s="3" t="n">
        <v>726</v>
      </c>
      <c r="B727" s="3" t="n">
        <v>725</v>
      </c>
      <c r="C727" s="3" t="n">
        <v>0</v>
      </c>
      <c r="D727" s="3" t="n">
        <v>25</v>
      </c>
      <c r="E727" s="3" t="n">
        <v>25</v>
      </c>
      <c r="F727" s="24" t="n">
        <v>0</v>
      </c>
    </row>
    <row r="728" customFormat="false" ht="15" hidden="false" customHeight="false" outlineLevel="0" collapsed="false">
      <c r="A728" s="3" t="n">
        <v>727</v>
      </c>
      <c r="B728" s="3" t="n">
        <v>726</v>
      </c>
      <c r="C728" s="3" t="n">
        <v>0</v>
      </c>
      <c r="D728" s="3" t="n">
        <v>25</v>
      </c>
      <c r="E728" s="3" t="n">
        <v>26</v>
      </c>
      <c r="F728" s="24" t="n">
        <v>0</v>
      </c>
    </row>
    <row r="729" customFormat="false" ht="15" hidden="false" customHeight="false" outlineLevel="0" collapsed="false">
      <c r="A729" s="3" t="n">
        <v>728</v>
      </c>
      <c r="B729" s="3" t="n">
        <v>727</v>
      </c>
      <c r="C729" s="3" t="n">
        <v>0</v>
      </c>
      <c r="D729" s="3" t="n">
        <v>25</v>
      </c>
      <c r="E729" s="3" t="n">
        <v>27</v>
      </c>
      <c r="F729" s="24" t="n">
        <v>0.0673455298</v>
      </c>
    </row>
    <row r="730" customFormat="false" ht="15" hidden="false" customHeight="false" outlineLevel="0" collapsed="false">
      <c r="A730" s="3" t="n">
        <v>729</v>
      </c>
      <c r="B730" s="3" t="n">
        <v>728</v>
      </c>
      <c r="C730" s="3" t="n">
        <v>0</v>
      </c>
      <c r="D730" s="3" t="n">
        <v>26</v>
      </c>
      <c r="E730" s="3" t="n">
        <v>0</v>
      </c>
      <c r="F730" s="24" t="n">
        <v>0.10001415</v>
      </c>
    </row>
    <row r="731" customFormat="false" ht="15" hidden="false" customHeight="false" outlineLevel="0" collapsed="false">
      <c r="A731" s="3" t="n">
        <v>730</v>
      </c>
      <c r="B731" s="3" t="n">
        <v>729</v>
      </c>
      <c r="C731" s="3" t="n">
        <v>0</v>
      </c>
      <c r="D731" s="3" t="n">
        <v>26</v>
      </c>
      <c r="E731" s="3" t="n">
        <v>1</v>
      </c>
      <c r="F731" s="24" t="n">
        <v>0</v>
      </c>
    </row>
    <row r="732" customFormat="false" ht="15" hidden="false" customHeight="false" outlineLevel="0" collapsed="false">
      <c r="A732" s="3" t="n">
        <v>731</v>
      </c>
      <c r="B732" s="3" t="n">
        <v>730</v>
      </c>
      <c r="C732" s="3" t="n">
        <v>0</v>
      </c>
      <c r="D732" s="3" t="n">
        <v>26</v>
      </c>
      <c r="E732" s="3" t="n">
        <v>2</v>
      </c>
      <c r="F732" s="24" t="n">
        <v>0</v>
      </c>
    </row>
    <row r="733" customFormat="false" ht="15" hidden="false" customHeight="false" outlineLevel="0" collapsed="false">
      <c r="A733" s="3" t="n">
        <v>732</v>
      </c>
      <c r="B733" s="3" t="n">
        <v>731</v>
      </c>
      <c r="C733" s="3" t="n">
        <v>0</v>
      </c>
      <c r="D733" s="3" t="n">
        <v>26</v>
      </c>
      <c r="E733" s="3" t="n">
        <v>3</v>
      </c>
      <c r="F733" s="24" t="n">
        <v>0</v>
      </c>
    </row>
    <row r="734" customFormat="false" ht="15" hidden="false" customHeight="false" outlineLevel="0" collapsed="false">
      <c r="A734" s="3" t="n">
        <v>733</v>
      </c>
      <c r="B734" s="3" t="n">
        <v>732</v>
      </c>
      <c r="C734" s="3" t="n">
        <v>0</v>
      </c>
      <c r="D734" s="3" t="n">
        <v>26</v>
      </c>
      <c r="E734" s="3" t="n">
        <v>4</v>
      </c>
      <c r="F734" s="24" t="n">
        <v>0</v>
      </c>
    </row>
    <row r="735" customFormat="false" ht="15" hidden="false" customHeight="false" outlineLevel="0" collapsed="false">
      <c r="A735" s="3" t="n">
        <v>734</v>
      </c>
      <c r="B735" s="3" t="n">
        <v>733</v>
      </c>
      <c r="C735" s="3" t="n">
        <v>0</v>
      </c>
      <c r="D735" s="3" t="n">
        <v>26</v>
      </c>
      <c r="E735" s="3" t="n">
        <v>5</v>
      </c>
      <c r="F735" s="24" t="n">
        <v>0</v>
      </c>
    </row>
    <row r="736" customFormat="false" ht="15" hidden="false" customHeight="false" outlineLevel="0" collapsed="false">
      <c r="A736" s="3" t="n">
        <v>735</v>
      </c>
      <c r="B736" s="3" t="n">
        <v>734</v>
      </c>
      <c r="C736" s="3" t="n">
        <v>0</v>
      </c>
      <c r="D736" s="3" t="n">
        <v>26</v>
      </c>
      <c r="E736" s="3" t="n">
        <v>6</v>
      </c>
      <c r="F736" s="24" t="n">
        <v>0</v>
      </c>
    </row>
    <row r="737" customFormat="false" ht="15" hidden="false" customHeight="false" outlineLevel="0" collapsed="false">
      <c r="A737" s="3" t="n">
        <v>736</v>
      </c>
      <c r="B737" s="3" t="n">
        <v>735</v>
      </c>
      <c r="C737" s="3" t="n">
        <v>0</v>
      </c>
      <c r="D737" s="3" t="n">
        <v>26</v>
      </c>
      <c r="E737" s="3" t="n">
        <v>7</v>
      </c>
      <c r="F737" s="24" t="n">
        <v>0</v>
      </c>
    </row>
    <row r="738" customFormat="false" ht="15" hidden="false" customHeight="false" outlineLevel="0" collapsed="false">
      <c r="A738" s="3" t="n">
        <v>737</v>
      </c>
      <c r="B738" s="3" t="n">
        <v>736</v>
      </c>
      <c r="C738" s="3" t="n">
        <v>0</v>
      </c>
      <c r="D738" s="3" t="n">
        <v>26</v>
      </c>
      <c r="E738" s="3" t="n">
        <v>8</v>
      </c>
      <c r="F738" s="24" t="n">
        <v>0</v>
      </c>
    </row>
    <row r="739" customFormat="false" ht="15" hidden="false" customHeight="false" outlineLevel="0" collapsed="false">
      <c r="A739" s="3" t="n">
        <v>738</v>
      </c>
      <c r="B739" s="3" t="n">
        <v>737</v>
      </c>
      <c r="C739" s="3" t="n">
        <v>0</v>
      </c>
      <c r="D739" s="3" t="n">
        <v>26</v>
      </c>
      <c r="E739" s="3" t="n">
        <v>9</v>
      </c>
      <c r="F739" s="24" t="n">
        <v>0</v>
      </c>
    </row>
    <row r="740" customFormat="false" ht="15" hidden="false" customHeight="false" outlineLevel="0" collapsed="false">
      <c r="A740" s="3" t="n">
        <v>739</v>
      </c>
      <c r="B740" s="3" t="n">
        <v>738</v>
      </c>
      <c r="C740" s="3" t="n">
        <v>0</v>
      </c>
      <c r="D740" s="3" t="n">
        <v>26</v>
      </c>
      <c r="E740" s="3" t="n">
        <v>10</v>
      </c>
      <c r="F740" s="24" t="n">
        <v>0.695052147</v>
      </c>
    </row>
    <row r="741" customFormat="false" ht="15" hidden="false" customHeight="false" outlineLevel="0" collapsed="false">
      <c r="A741" s="3" t="n">
        <v>740</v>
      </c>
      <c r="B741" s="3" t="n">
        <v>739</v>
      </c>
      <c r="C741" s="3" t="n">
        <v>0</v>
      </c>
      <c r="D741" s="3" t="n">
        <v>26</v>
      </c>
      <c r="E741" s="3" t="n">
        <v>11</v>
      </c>
      <c r="F741" s="24" t="n">
        <v>2.26651311</v>
      </c>
    </row>
    <row r="742" customFormat="false" ht="15" hidden="false" customHeight="false" outlineLevel="0" collapsed="false">
      <c r="A742" s="3" t="n">
        <v>741</v>
      </c>
      <c r="B742" s="3" t="n">
        <v>740</v>
      </c>
      <c r="C742" s="3" t="n">
        <v>0</v>
      </c>
      <c r="D742" s="3" t="n">
        <v>26</v>
      </c>
      <c r="E742" s="3" t="n">
        <v>12</v>
      </c>
      <c r="F742" s="24" t="n">
        <v>2.52051997</v>
      </c>
    </row>
    <row r="743" customFormat="false" ht="15" hidden="false" customHeight="false" outlineLevel="0" collapsed="false">
      <c r="A743" s="3" t="n">
        <v>742</v>
      </c>
      <c r="B743" s="3" t="n">
        <v>741</v>
      </c>
      <c r="C743" s="3" t="n">
        <v>0</v>
      </c>
      <c r="D743" s="3" t="n">
        <v>26</v>
      </c>
      <c r="E743" s="3" t="n">
        <v>13</v>
      </c>
      <c r="F743" s="24" t="n">
        <v>2.41159892</v>
      </c>
    </row>
    <row r="744" customFormat="false" ht="15" hidden="false" customHeight="false" outlineLevel="0" collapsed="false">
      <c r="A744" s="3" t="n">
        <v>743</v>
      </c>
      <c r="B744" s="3" t="n">
        <v>742</v>
      </c>
      <c r="C744" s="3" t="n">
        <v>0</v>
      </c>
      <c r="D744" s="3" t="n">
        <v>26</v>
      </c>
      <c r="E744" s="3" t="n">
        <v>14</v>
      </c>
      <c r="F744" s="24" t="n">
        <v>1.06131971</v>
      </c>
    </row>
    <row r="745" customFormat="false" ht="15" hidden="false" customHeight="false" outlineLevel="0" collapsed="false">
      <c r="A745" s="3" t="n">
        <v>744</v>
      </c>
      <c r="B745" s="3" t="n">
        <v>743</v>
      </c>
      <c r="C745" s="3" t="n">
        <v>0</v>
      </c>
      <c r="D745" s="3" t="n">
        <v>26</v>
      </c>
      <c r="E745" s="3" t="n">
        <v>15</v>
      </c>
      <c r="F745" s="24" t="n">
        <v>0.136563301</v>
      </c>
    </row>
    <row r="746" customFormat="false" ht="15" hidden="false" customHeight="false" outlineLevel="0" collapsed="false">
      <c r="A746" s="3" t="n">
        <v>745</v>
      </c>
      <c r="B746" s="3" t="n">
        <v>744</v>
      </c>
      <c r="C746" s="3" t="n">
        <v>0</v>
      </c>
      <c r="D746" s="3" t="n">
        <v>26</v>
      </c>
      <c r="E746" s="3" t="n">
        <v>16</v>
      </c>
      <c r="F746" s="24" t="n">
        <v>0</v>
      </c>
    </row>
    <row r="747" customFormat="false" ht="15" hidden="false" customHeight="false" outlineLevel="0" collapsed="false">
      <c r="A747" s="3" t="n">
        <v>746</v>
      </c>
      <c r="B747" s="3" t="n">
        <v>745</v>
      </c>
      <c r="C747" s="3" t="n">
        <v>0</v>
      </c>
      <c r="D747" s="3" t="n">
        <v>26</v>
      </c>
      <c r="E747" s="3" t="n">
        <v>17</v>
      </c>
      <c r="F747" s="24" t="n">
        <v>0</v>
      </c>
    </row>
    <row r="748" customFormat="false" ht="15" hidden="false" customHeight="false" outlineLevel="0" collapsed="false">
      <c r="A748" s="3" t="n">
        <v>747</v>
      </c>
      <c r="B748" s="3" t="n">
        <v>746</v>
      </c>
      <c r="C748" s="3" t="n">
        <v>0</v>
      </c>
      <c r="D748" s="3" t="n">
        <v>26</v>
      </c>
      <c r="E748" s="3" t="n">
        <v>18</v>
      </c>
      <c r="F748" s="24" t="n">
        <v>0</v>
      </c>
    </row>
    <row r="749" customFormat="false" ht="15" hidden="false" customHeight="false" outlineLevel="0" collapsed="false">
      <c r="A749" s="3" t="n">
        <v>748</v>
      </c>
      <c r="B749" s="3" t="n">
        <v>747</v>
      </c>
      <c r="C749" s="3" t="n">
        <v>0</v>
      </c>
      <c r="D749" s="3" t="n">
        <v>26</v>
      </c>
      <c r="E749" s="3" t="n">
        <v>19</v>
      </c>
      <c r="F749" s="24" t="n">
        <v>0</v>
      </c>
    </row>
    <row r="750" customFormat="false" ht="15" hidden="false" customHeight="false" outlineLevel="0" collapsed="false">
      <c r="A750" s="3" t="n">
        <v>749</v>
      </c>
      <c r="B750" s="3" t="n">
        <v>748</v>
      </c>
      <c r="C750" s="3" t="n">
        <v>0</v>
      </c>
      <c r="D750" s="3" t="n">
        <v>26</v>
      </c>
      <c r="E750" s="3" t="n">
        <v>20</v>
      </c>
      <c r="F750" s="24" t="n">
        <v>0</v>
      </c>
    </row>
    <row r="751" customFormat="false" ht="15" hidden="false" customHeight="false" outlineLevel="0" collapsed="false">
      <c r="A751" s="3" t="n">
        <v>750</v>
      </c>
      <c r="B751" s="3" t="n">
        <v>749</v>
      </c>
      <c r="C751" s="3" t="n">
        <v>0</v>
      </c>
      <c r="D751" s="3" t="n">
        <v>26</v>
      </c>
      <c r="E751" s="3" t="n">
        <v>21</v>
      </c>
      <c r="F751" s="24" t="n">
        <v>0</v>
      </c>
    </row>
    <row r="752" customFormat="false" ht="15" hidden="false" customHeight="false" outlineLevel="0" collapsed="false">
      <c r="A752" s="3" t="n">
        <v>751</v>
      </c>
      <c r="B752" s="3" t="n">
        <v>750</v>
      </c>
      <c r="C752" s="3" t="n">
        <v>0</v>
      </c>
      <c r="D752" s="3" t="n">
        <v>26</v>
      </c>
      <c r="E752" s="3" t="n">
        <v>22</v>
      </c>
      <c r="F752" s="24" t="n">
        <v>0</v>
      </c>
    </row>
    <row r="753" customFormat="false" ht="15" hidden="false" customHeight="false" outlineLevel="0" collapsed="false">
      <c r="A753" s="3" t="n">
        <v>752</v>
      </c>
      <c r="B753" s="3" t="n">
        <v>751</v>
      </c>
      <c r="C753" s="3" t="n">
        <v>0</v>
      </c>
      <c r="D753" s="3" t="n">
        <v>26</v>
      </c>
      <c r="E753" s="3" t="n">
        <v>23</v>
      </c>
      <c r="F753" s="24" t="n">
        <v>0</v>
      </c>
    </row>
    <row r="754" customFormat="false" ht="15" hidden="false" customHeight="false" outlineLevel="0" collapsed="false">
      <c r="A754" s="3" t="n">
        <v>753</v>
      </c>
      <c r="B754" s="3" t="n">
        <v>752</v>
      </c>
      <c r="C754" s="3" t="n">
        <v>0</v>
      </c>
      <c r="D754" s="3" t="n">
        <v>26</v>
      </c>
      <c r="E754" s="3" t="n">
        <v>24</v>
      </c>
      <c r="F754" s="24" t="n">
        <v>0</v>
      </c>
    </row>
    <row r="755" customFormat="false" ht="15" hidden="false" customHeight="false" outlineLevel="0" collapsed="false">
      <c r="A755" s="3" t="n">
        <v>754</v>
      </c>
      <c r="B755" s="3" t="n">
        <v>753</v>
      </c>
      <c r="C755" s="3" t="n">
        <v>0</v>
      </c>
      <c r="D755" s="3" t="n">
        <v>26</v>
      </c>
      <c r="E755" s="3" t="n">
        <v>25</v>
      </c>
      <c r="F755" s="24" t="n">
        <v>0</v>
      </c>
    </row>
    <row r="756" customFormat="false" ht="15" hidden="false" customHeight="false" outlineLevel="0" collapsed="false">
      <c r="A756" s="3" t="n">
        <v>755</v>
      </c>
      <c r="B756" s="3" t="n">
        <v>754</v>
      </c>
      <c r="C756" s="3" t="n">
        <v>0</v>
      </c>
      <c r="D756" s="3" t="n">
        <v>26</v>
      </c>
      <c r="E756" s="3" t="n">
        <v>26</v>
      </c>
      <c r="F756" s="24" t="n">
        <v>0</v>
      </c>
    </row>
    <row r="757" customFormat="false" ht="15" hidden="false" customHeight="false" outlineLevel="0" collapsed="false">
      <c r="A757" s="3" t="n">
        <v>756</v>
      </c>
      <c r="B757" s="3" t="n">
        <v>755</v>
      </c>
      <c r="C757" s="3" t="n">
        <v>0</v>
      </c>
      <c r="D757" s="3" t="n">
        <v>26</v>
      </c>
      <c r="E757" s="3" t="n">
        <v>27</v>
      </c>
      <c r="F757" s="24" t="n">
        <v>0.0673455298</v>
      </c>
    </row>
    <row r="758" customFormat="false" ht="15" hidden="false" customHeight="false" outlineLevel="0" collapsed="false">
      <c r="A758" s="3" t="n">
        <v>757</v>
      </c>
      <c r="B758" s="3" t="n">
        <v>756</v>
      </c>
      <c r="C758" s="3" t="n">
        <v>0</v>
      </c>
      <c r="D758" s="3" t="n">
        <v>27</v>
      </c>
      <c r="E758" s="3" t="n">
        <v>0</v>
      </c>
      <c r="F758" s="24" t="n">
        <v>0.203234181</v>
      </c>
    </row>
    <row r="759" customFormat="false" ht="15" hidden="false" customHeight="false" outlineLevel="0" collapsed="false">
      <c r="A759" s="3" t="n">
        <v>758</v>
      </c>
      <c r="B759" s="3" t="n">
        <v>757</v>
      </c>
      <c r="C759" s="3" t="n">
        <v>0</v>
      </c>
      <c r="D759" s="3" t="n">
        <v>27</v>
      </c>
      <c r="E759" s="3" t="n">
        <v>1</v>
      </c>
      <c r="F759" s="24" t="n">
        <v>0</v>
      </c>
    </row>
    <row r="760" customFormat="false" ht="15" hidden="false" customHeight="false" outlineLevel="0" collapsed="false">
      <c r="A760" s="3" t="n">
        <v>759</v>
      </c>
      <c r="B760" s="3" t="n">
        <v>758</v>
      </c>
      <c r="C760" s="3" t="n">
        <v>0</v>
      </c>
      <c r="D760" s="3" t="n">
        <v>27</v>
      </c>
      <c r="E760" s="3" t="n">
        <v>2</v>
      </c>
      <c r="F760" s="24" t="n">
        <v>0</v>
      </c>
    </row>
    <row r="761" customFormat="false" ht="15" hidden="false" customHeight="false" outlineLevel="0" collapsed="false">
      <c r="A761" s="3" t="n">
        <v>760</v>
      </c>
      <c r="B761" s="3" t="n">
        <v>759</v>
      </c>
      <c r="C761" s="3" t="n">
        <v>0</v>
      </c>
      <c r="D761" s="3" t="n">
        <v>27</v>
      </c>
      <c r="E761" s="3" t="n">
        <v>3</v>
      </c>
      <c r="F761" s="24" t="n">
        <v>0</v>
      </c>
    </row>
    <row r="762" customFormat="false" ht="15" hidden="false" customHeight="false" outlineLevel="0" collapsed="false">
      <c r="A762" s="3" t="n">
        <v>761</v>
      </c>
      <c r="B762" s="3" t="n">
        <v>760</v>
      </c>
      <c r="C762" s="3" t="n">
        <v>0</v>
      </c>
      <c r="D762" s="3" t="n">
        <v>27</v>
      </c>
      <c r="E762" s="3" t="n">
        <v>4</v>
      </c>
      <c r="F762" s="24" t="n">
        <v>0</v>
      </c>
    </row>
    <row r="763" customFormat="false" ht="15" hidden="false" customHeight="false" outlineLevel="0" collapsed="false">
      <c r="A763" s="3" t="n">
        <v>762</v>
      </c>
      <c r="B763" s="3" t="n">
        <v>761</v>
      </c>
      <c r="C763" s="3" t="n">
        <v>0</v>
      </c>
      <c r="D763" s="3" t="n">
        <v>27</v>
      </c>
      <c r="E763" s="3" t="n">
        <v>5</v>
      </c>
      <c r="F763" s="24" t="n">
        <v>0</v>
      </c>
    </row>
    <row r="764" customFormat="false" ht="15" hidden="false" customHeight="false" outlineLevel="0" collapsed="false">
      <c r="A764" s="3" t="n">
        <v>763</v>
      </c>
      <c r="B764" s="3" t="n">
        <v>762</v>
      </c>
      <c r="C764" s="3" t="n">
        <v>0</v>
      </c>
      <c r="D764" s="3" t="n">
        <v>27</v>
      </c>
      <c r="E764" s="3" t="n">
        <v>6</v>
      </c>
      <c r="F764" s="24" t="n">
        <v>0</v>
      </c>
    </row>
    <row r="765" customFormat="false" ht="15" hidden="false" customHeight="false" outlineLevel="0" collapsed="false">
      <c r="A765" s="3" t="n">
        <v>764</v>
      </c>
      <c r="B765" s="3" t="n">
        <v>763</v>
      </c>
      <c r="C765" s="3" t="n">
        <v>0</v>
      </c>
      <c r="D765" s="3" t="n">
        <v>27</v>
      </c>
      <c r="E765" s="3" t="n">
        <v>7</v>
      </c>
      <c r="F765" s="24" t="n">
        <v>0</v>
      </c>
    </row>
    <row r="766" customFormat="false" ht="15" hidden="false" customHeight="false" outlineLevel="0" collapsed="false">
      <c r="A766" s="3" t="n">
        <v>765</v>
      </c>
      <c r="B766" s="3" t="n">
        <v>764</v>
      </c>
      <c r="C766" s="3" t="n">
        <v>0</v>
      </c>
      <c r="D766" s="3" t="n">
        <v>27</v>
      </c>
      <c r="E766" s="3" t="n">
        <v>8</v>
      </c>
      <c r="F766" s="24" t="n">
        <v>0</v>
      </c>
    </row>
    <row r="767" customFormat="false" ht="15" hidden="false" customHeight="false" outlineLevel="0" collapsed="false">
      <c r="A767" s="3" t="n">
        <v>766</v>
      </c>
      <c r="B767" s="3" t="n">
        <v>765</v>
      </c>
      <c r="C767" s="3" t="n">
        <v>0</v>
      </c>
      <c r="D767" s="3" t="n">
        <v>27</v>
      </c>
      <c r="E767" s="3" t="n">
        <v>9</v>
      </c>
      <c r="F767" s="24" t="n">
        <v>0</v>
      </c>
    </row>
    <row r="768" customFormat="false" ht="15" hidden="false" customHeight="false" outlineLevel="0" collapsed="false">
      <c r="A768" s="3" t="n">
        <v>767</v>
      </c>
      <c r="B768" s="3" t="n">
        <v>766</v>
      </c>
      <c r="C768" s="3" t="n">
        <v>0</v>
      </c>
      <c r="D768" s="3" t="n">
        <v>27</v>
      </c>
      <c r="E768" s="3" t="n">
        <v>10</v>
      </c>
      <c r="F768" s="24" t="n">
        <v>0</v>
      </c>
    </row>
    <row r="769" customFormat="false" ht="15" hidden="false" customHeight="false" outlineLevel="0" collapsed="false">
      <c r="A769" s="3" t="n">
        <v>768</v>
      </c>
      <c r="B769" s="3" t="n">
        <v>767</v>
      </c>
      <c r="C769" s="3" t="n">
        <v>0</v>
      </c>
      <c r="D769" s="3" t="n">
        <v>27</v>
      </c>
      <c r="E769" s="3" t="n">
        <v>11</v>
      </c>
      <c r="F769" s="24" t="n">
        <v>0.244445041</v>
      </c>
    </row>
    <row r="770" customFormat="false" ht="15" hidden="false" customHeight="false" outlineLevel="0" collapsed="false">
      <c r="A770" s="3" t="n">
        <v>769</v>
      </c>
      <c r="B770" s="3" t="n">
        <v>768</v>
      </c>
      <c r="C770" s="3" t="n">
        <v>0</v>
      </c>
      <c r="D770" s="3" t="n">
        <v>27</v>
      </c>
      <c r="E770" s="3" t="n">
        <v>12</v>
      </c>
      <c r="F770" s="24" t="n">
        <v>1.50869572</v>
      </c>
    </row>
    <row r="771" customFormat="false" ht="15" hidden="false" customHeight="false" outlineLevel="0" collapsed="false">
      <c r="A771" s="3" t="n">
        <v>770</v>
      </c>
      <c r="B771" s="3" t="n">
        <v>769</v>
      </c>
      <c r="C771" s="3" t="n">
        <v>0</v>
      </c>
      <c r="D771" s="3" t="n">
        <v>27</v>
      </c>
      <c r="E771" s="3" t="n">
        <v>13</v>
      </c>
      <c r="F771" s="24" t="n">
        <v>0.823655367</v>
      </c>
    </row>
    <row r="772" customFormat="false" ht="15" hidden="false" customHeight="false" outlineLevel="0" collapsed="false">
      <c r="A772" s="3" t="n">
        <v>771</v>
      </c>
      <c r="B772" s="3" t="n">
        <v>770</v>
      </c>
      <c r="C772" s="3" t="n">
        <v>0</v>
      </c>
      <c r="D772" s="3" t="n">
        <v>27</v>
      </c>
      <c r="E772" s="3" t="n">
        <v>14</v>
      </c>
      <c r="F772" s="24" t="n">
        <v>0.00100415945</v>
      </c>
    </row>
    <row r="773" customFormat="false" ht="15" hidden="false" customHeight="false" outlineLevel="0" collapsed="false">
      <c r="A773" s="3" t="n">
        <v>772</v>
      </c>
      <c r="B773" s="3" t="n">
        <v>771</v>
      </c>
      <c r="C773" s="3" t="n">
        <v>0</v>
      </c>
      <c r="D773" s="3" t="n">
        <v>27</v>
      </c>
      <c r="E773" s="3" t="n">
        <v>15</v>
      </c>
      <c r="F773" s="24" t="n">
        <v>0</v>
      </c>
    </row>
    <row r="774" customFormat="false" ht="15" hidden="false" customHeight="false" outlineLevel="0" collapsed="false">
      <c r="A774" s="3" t="n">
        <v>773</v>
      </c>
      <c r="B774" s="3" t="n">
        <v>772</v>
      </c>
      <c r="C774" s="3" t="n">
        <v>0</v>
      </c>
      <c r="D774" s="3" t="n">
        <v>27</v>
      </c>
      <c r="E774" s="3" t="n">
        <v>16</v>
      </c>
      <c r="F774" s="24" t="n">
        <v>0</v>
      </c>
    </row>
    <row r="775" customFormat="false" ht="15" hidden="false" customHeight="false" outlineLevel="0" collapsed="false">
      <c r="A775" s="3" t="n">
        <v>774</v>
      </c>
      <c r="B775" s="3" t="n">
        <v>773</v>
      </c>
      <c r="C775" s="3" t="n">
        <v>0</v>
      </c>
      <c r="D775" s="3" t="n">
        <v>27</v>
      </c>
      <c r="E775" s="3" t="n">
        <v>17</v>
      </c>
      <c r="F775" s="24" t="n">
        <v>0</v>
      </c>
    </row>
    <row r="776" customFormat="false" ht="15" hidden="false" customHeight="false" outlineLevel="0" collapsed="false">
      <c r="A776" s="3" t="n">
        <v>775</v>
      </c>
      <c r="B776" s="3" t="n">
        <v>774</v>
      </c>
      <c r="C776" s="3" t="n">
        <v>0</v>
      </c>
      <c r="D776" s="3" t="n">
        <v>27</v>
      </c>
      <c r="E776" s="3" t="n">
        <v>18</v>
      </c>
      <c r="F776" s="24" t="n">
        <v>0</v>
      </c>
    </row>
    <row r="777" customFormat="false" ht="15" hidden="false" customHeight="false" outlineLevel="0" collapsed="false">
      <c r="A777" s="3" t="n">
        <v>776</v>
      </c>
      <c r="B777" s="3" t="n">
        <v>775</v>
      </c>
      <c r="C777" s="3" t="n">
        <v>0</v>
      </c>
      <c r="D777" s="3" t="n">
        <v>27</v>
      </c>
      <c r="E777" s="3" t="n">
        <v>19</v>
      </c>
      <c r="F777" s="24" t="n">
        <v>0</v>
      </c>
    </row>
    <row r="778" customFormat="false" ht="15" hidden="false" customHeight="false" outlineLevel="0" collapsed="false">
      <c r="A778" s="3" t="n">
        <v>777</v>
      </c>
      <c r="B778" s="3" t="n">
        <v>776</v>
      </c>
      <c r="C778" s="3" t="n">
        <v>0</v>
      </c>
      <c r="D778" s="3" t="n">
        <v>27</v>
      </c>
      <c r="E778" s="3" t="n">
        <v>20</v>
      </c>
      <c r="F778" s="24" t="n">
        <v>0</v>
      </c>
    </row>
    <row r="779" customFormat="false" ht="15" hidden="false" customHeight="false" outlineLevel="0" collapsed="false">
      <c r="A779" s="3" t="n">
        <v>778</v>
      </c>
      <c r="B779" s="3" t="n">
        <v>777</v>
      </c>
      <c r="C779" s="3" t="n">
        <v>0</v>
      </c>
      <c r="D779" s="3" t="n">
        <v>27</v>
      </c>
      <c r="E779" s="3" t="n">
        <v>21</v>
      </c>
      <c r="F779" s="24" t="n">
        <v>0</v>
      </c>
    </row>
    <row r="780" customFormat="false" ht="15" hidden="false" customHeight="false" outlineLevel="0" collapsed="false">
      <c r="A780" s="3" t="n">
        <v>779</v>
      </c>
      <c r="B780" s="3" t="n">
        <v>778</v>
      </c>
      <c r="C780" s="3" t="n">
        <v>0</v>
      </c>
      <c r="D780" s="3" t="n">
        <v>27</v>
      </c>
      <c r="E780" s="3" t="n">
        <v>22</v>
      </c>
      <c r="F780" s="24" t="n">
        <v>0</v>
      </c>
    </row>
    <row r="781" customFormat="false" ht="15" hidden="false" customHeight="false" outlineLevel="0" collapsed="false">
      <c r="A781" s="3" t="n">
        <v>780</v>
      </c>
      <c r="B781" s="3" t="n">
        <v>779</v>
      </c>
      <c r="C781" s="3" t="n">
        <v>0</v>
      </c>
      <c r="D781" s="3" t="n">
        <v>27</v>
      </c>
      <c r="E781" s="3" t="n">
        <v>23</v>
      </c>
      <c r="F781" s="24" t="n">
        <v>0</v>
      </c>
    </row>
    <row r="782" customFormat="false" ht="15" hidden="false" customHeight="false" outlineLevel="0" collapsed="false">
      <c r="A782" s="3" t="n">
        <v>781</v>
      </c>
      <c r="B782" s="3" t="n">
        <v>780</v>
      </c>
      <c r="C782" s="3" t="n">
        <v>0</v>
      </c>
      <c r="D782" s="3" t="n">
        <v>27</v>
      </c>
      <c r="E782" s="3" t="n">
        <v>24</v>
      </c>
      <c r="F782" s="24" t="n">
        <v>0</v>
      </c>
    </row>
    <row r="783" customFormat="false" ht="15" hidden="false" customHeight="false" outlineLevel="0" collapsed="false">
      <c r="A783" s="3" t="n">
        <v>782</v>
      </c>
      <c r="B783" s="3" t="n">
        <v>781</v>
      </c>
      <c r="C783" s="3" t="n">
        <v>0</v>
      </c>
      <c r="D783" s="3" t="n">
        <v>27</v>
      </c>
      <c r="E783" s="3" t="n">
        <v>25</v>
      </c>
      <c r="F783" s="24" t="n">
        <v>0</v>
      </c>
    </row>
    <row r="784" customFormat="false" ht="15" hidden="false" customHeight="false" outlineLevel="0" collapsed="false">
      <c r="A784" s="3" t="n">
        <v>783</v>
      </c>
      <c r="B784" s="3" t="n">
        <v>782</v>
      </c>
      <c r="C784" s="3" t="n">
        <v>0</v>
      </c>
      <c r="D784" s="3" t="n">
        <v>27</v>
      </c>
      <c r="E784" s="3" t="n">
        <v>26</v>
      </c>
      <c r="F784" s="24" t="n">
        <v>0</v>
      </c>
    </row>
    <row r="785" customFormat="false" ht="15" hidden="false" customHeight="false" outlineLevel="0" collapsed="false">
      <c r="A785" s="3" t="n">
        <v>784</v>
      </c>
      <c r="B785" s="3" t="n">
        <v>783</v>
      </c>
      <c r="C785" s="3" t="n">
        <v>0</v>
      </c>
      <c r="D785" s="3" t="n">
        <v>27</v>
      </c>
      <c r="E785" s="3" t="n">
        <v>27</v>
      </c>
      <c r="F785" s="24" t="n">
        <v>0</v>
      </c>
    </row>
    <row r="786" customFormat="false" ht="15" hidden="false" customHeight="false" outlineLevel="0" collapsed="false">
      <c r="A786" s="3" t="n">
        <v>785</v>
      </c>
      <c r="B786" s="3" t="n">
        <v>784</v>
      </c>
      <c r="C786" s="3" t="n">
        <v>1</v>
      </c>
      <c r="D786" s="3" t="n">
        <v>0</v>
      </c>
      <c r="E786" s="3" t="n">
        <v>0</v>
      </c>
      <c r="F786" s="24" t="n">
        <v>0</v>
      </c>
    </row>
    <row r="787" customFormat="false" ht="15" hidden="false" customHeight="false" outlineLevel="0" collapsed="false">
      <c r="A787" s="3" t="n">
        <v>786</v>
      </c>
      <c r="B787" s="3" t="n">
        <v>785</v>
      </c>
      <c r="C787" s="3" t="n">
        <v>1</v>
      </c>
      <c r="D787" s="3" t="n">
        <v>0</v>
      </c>
      <c r="E787" s="3" t="n">
        <v>1</v>
      </c>
      <c r="F787" s="24" t="n">
        <v>0</v>
      </c>
    </row>
    <row r="788" customFormat="false" ht="15" hidden="false" customHeight="false" outlineLevel="0" collapsed="false">
      <c r="A788" s="3" t="n">
        <v>787</v>
      </c>
      <c r="B788" s="3" t="n">
        <v>786</v>
      </c>
      <c r="C788" s="3" t="n">
        <v>1</v>
      </c>
      <c r="D788" s="3" t="n">
        <v>0</v>
      </c>
      <c r="E788" s="3" t="n">
        <v>2</v>
      </c>
      <c r="F788" s="24" t="n">
        <v>0</v>
      </c>
    </row>
    <row r="789" customFormat="false" ht="15" hidden="false" customHeight="false" outlineLevel="0" collapsed="false">
      <c r="A789" s="3" t="n">
        <v>788</v>
      </c>
      <c r="B789" s="3" t="n">
        <v>787</v>
      </c>
      <c r="C789" s="3" t="n">
        <v>1</v>
      </c>
      <c r="D789" s="3" t="n">
        <v>0</v>
      </c>
      <c r="E789" s="3" t="n">
        <v>3</v>
      </c>
      <c r="F789" s="24" t="n">
        <v>0</v>
      </c>
    </row>
    <row r="790" customFormat="false" ht="15" hidden="false" customHeight="false" outlineLevel="0" collapsed="false">
      <c r="A790" s="3" t="n">
        <v>789</v>
      </c>
      <c r="B790" s="3" t="n">
        <v>788</v>
      </c>
      <c r="C790" s="3" t="n">
        <v>1</v>
      </c>
      <c r="D790" s="3" t="n">
        <v>0</v>
      </c>
      <c r="E790" s="3" t="n">
        <v>4</v>
      </c>
      <c r="F790" s="24" t="n">
        <v>0</v>
      </c>
    </row>
    <row r="791" customFormat="false" ht="15" hidden="false" customHeight="false" outlineLevel="0" collapsed="false">
      <c r="A791" s="3" t="n">
        <v>790</v>
      </c>
      <c r="B791" s="3" t="n">
        <v>789</v>
      </c>
      <c r="C791" s="3" t="n">
        <v>1</v>
      </c>
      <c r="D791" s="3" t="n">
        <v>0</v>
      </c>
      <c r="E791" s="3" t="n">
        <v>5</v>
      </c>
      <c r="F791" s="24" t="n">
        <v>0</v>
      </c>
    </row>
    <row r="792" customFormat="false" ht="15" hidden="false" customHeight="false" outlineLevel="0" collapsed="false">
      <c r="A792" s="3" t="n">
        <v>791</v>
      </c>
      <c r="B792" s="3" t="n">
        <v>790</v>
      </c>
      <c r="C792" s="3" t="n">
        <v>1</v>
      </c>
      <c r="D792" s="3" t="n">
        <v>0</v>
      </c>
      <c r="E792" s="3" t="n">
        <v>6</v>
      </c>
      <c r="F792" s="24" t="n">
        <v>0</v>
      </c>
    </row>
    <row r="793" customFormat="false" ht="15" hidden="false" customHeight="false" outlineLevel="0" collapsed="false">
      <c r="A793" s="3" t="n">
        <v>792</v>
      </c>
      <c r="B793" s="3" t="n">
        <v>791</v>
      </c>
      <c r="C793" s="3" t="n">
        <v>1</v>
      </c>
      <c r="D793" s="3" t="n">
        <v>0</v>
      </c>
      <c r="E793" s="3" t="n">
        <v>7</v>
      </c>
      <c r="F793" s="24" t="n">
        <v>0</v>
      </c>
    </row>
    <row r="794" customFormat="false" ht="15" hidden="false" customHeight="false" outlineLevel="0" collapsed="false">
      <c r="A794" s="3" t="n">
        <v>793</v>
      </c>
      <c r="B794" s="3" t="n">
        <v>792</v>
      </c>
      <c r="C794" s="3" t="n">
        <v>1</v>
      </c>
      <c r="D794" s="3" t="n">
        <v>0</v>
      </c>
      <c r="E794" s="3" t="n">
        <v>8</v>
      </c>
      <c r="F794" s="24" t="n">
        <v>0</v>
      </c>
    </row>
    <row r="795" customFormat="false" ht="15" hidden="false" customHeight="false" outlineLevel="0" collapsed="false">
      <c r="A795" s="3" t="n">
        <v>794</v>
      </c>
      <c r="B795" s="3" t="n">
        <v>793</v>
      </c>
      <c r="C795" s="3" t="n">
        <v>1</v>
      </c>
      <c r="D795" s="3" t="n">
        <v>0</v>
      </c>
      <c r="E795" s="3" t="n">
        <v>9</v>
      </c>
      <c r="F795" s="24" t="n">
        <v>0</v>
      </c>
    </row>
    <row r="796" customFormat="false" ht="15" hidden="false" customHeight="false" outlineLevel="0" collapsed="false">
      <c r="A796" s="3" t="n">
        <v>795</v>
      </c>
      <c r="B796" s="3" t="n">
        <v>794</v>
      </c>
      <c r="C796" s="3" t="n">
        <v>1</v>
      </c>
      <c r="D796" s="3" t="n">
        <v>0</v>
      </c>
      <c r="E796" s="3" t="n">
        <v>10</v>
      </c>
      <c r="F796" s="24" t="n">
        <v>0</v>
      </c>
    </row>
    <row r="797" customFormat="false" ht="15" hidden="false" customHeight="false" outlineLevel="0" collapsed="false">
      <c r="A797" s="3" t="n">
        <v>796</v>
      </c>
      <c r="B797" s="3" t="n">
        <v>795</v>
      </c>
      <c r="C797" s="3" t="n">
        <v>1</v>
      </c>
      <c r="D797" s="3" t="n">
        <v>0</v>
      </c>
      <c r="E797" s="3" t="n">
        <v>11</v>
      </c>
      <c r="F797" s="24" t="n">
        <v>0</v>
      </c>
    </row>
    <row r="798" customFormat="false" ht="15" hidden="false" customHeight="false" outlineLevel="0" collapsed="false">
      <c r="A798" s="3" t="n">
        <v>797</v>
      </c>
      <c r="B798" s="3" t="n">
        <v>796</v>
      </c>
      <c r="C798" s="3" t="n">
        <v>1</v>
      </c>
      <c r="D798" s="3" t="n">
        <v>0</v>
      </c>
      <c r="E798" s="3" t="n">
        <v>12</v>
      </c>
      <c r="F798" s="24" t="n">
        <v>0</v>
      </c>
    </row>
    <row r="799" customFormat="false" ht="15" hidden="false" customHeight="false" outlineLevel="0" collapsed="false">
      <c r="A799" s="3" t="n">
        <v>798</v>
      </c>
      <c r="B799" s="3" t="n">
        <v>797</v>
      </c>
      <c r="C799" s="3" t="n">
        <v>1</v>
      </c>
      <c r="D799" s="3" t="n">
        <v>0</v>
      </c>
      <c r="E799" s="3" t="n">
        <v>13</v>
      </c>
      <c r="F799" s="24" t="n">
        <v>0</v>
      </c>
    </row>
    <row r="800" customFormat="false" ht="15" hidden="false" customHeight="false" outlineLevel="0" collapsed="false">
      <c r="A800" s="3" t="n">
        <v>799</v>
      </c>
      <c r="B800" s="3" t="n">
        <v>798</v>
      </c>
      <c r="C800" s="3" t="n">
        <v>1</v>
      </c>
      <c r="D800" s="3" t="n">
        <v>0</v>
      </c>
      <c r="E800" s="3" t="n">
        <v>14</v>
      </c>
      <c r="F800" s="24" t="n">
        <v>0</v>
      </c>
    </row>
    <row r="801" customFormat="false" ht="15" hidden="false" customHeight="false" outlineLevel="0" collapsed="false">
      <c r="A801" s="3" t="n">
        <v>800</v>
      </c>
      <c r="B801" s="3" t="n">
        <v>799</v>
      </c>
      <c r="C801" s="3" t="n">
        <v>1</v>
      </c>
      <c r="D801" s="3" t="n">
        <v>0</v>
      </c>
      <c r="E801" s="3" t="n">
        <v>15</v>
      </c>
      <c r="F801" s="24" t="n">
        <v>0</v>
      </c>
    </row>
    <row r="802" customFormat="false" ht="15" hidden="false" customHeight="false" outlineLevel="0" collapsed="false">
      <c r="A802" s="3" t="n">
        <v>801</v>
      </c>
      <c r="B802" s="3" t="n">
        <v>800</v>
      </c>
      <c r="C802" s="3" t="n">
        <v>1</v>
      </c>
      <c r="D802" s="3" t="n">
        <v>0</v>
      </c>
      <c r="E802" s="3" t="n">
        <v>16</v>
      </c>
      <c r="F802" s="24" t="n">
        <v>0</v>
      </c>
    </row>
    <row r="803" customFormat="false" ht="15" hidden="false" customHeight="false" outlineLevel="0" collapsed="false">
      <c r="A803" s="3" t="n">
        <v>802</v>
      </c>
      <c r="B803" s="3" t="n">
        <v>801</v>
      </c>
      <c r="C803" s="3" t="n">
        <v>1</v>
      </c>
      <c r="D803" s="3" t="n">
        <v>0</v>
      </c>
      <c r="E803" s="3" t="n">
        <v>17</v>
      </c>
      <c r="F803" s="24" t="n">
        <v>0</v>
      </c>
    </row>
    <row r="804" customFormat="false" ht="15" hidden="false" customHeight="false" outlineLevel="0" collapsed="false">
      <c r="A804" s="3" t="n">
        <v>803</v>
      </c>
      <c r="B804" s="3" t="n">
        <v>802</v>
      </c>
      <c r="C804" s="3" t="n">
        <v>1</v>
      </c>
      <c r="D804" s="3" t="n">
        <v>0</v>
      </c>
      <c r="E804" s="3" t="n">
        <v>18</v>
      </c>
      <c r="F804" s="24" t="n">
        <v>0</v>
      </c>
    </row>
    <row r="805" customFormat="false" ht="15" hidden="false" customHeight="false" outlineLevel="0" collapsed="false">
      <c r="A805" s="3" t="n">
        <v>804</v>
      </c>
      <c r="B805" s="3" t="n">
        <v>803</v>
      </c>
      <c r="C805" s="3" t="n">
        <v>1</v>
      </c>
      <c r="D805" s="3" t="n">
        <v>0</v>
      </c>
      <c r="E805" s="3" t="n">
        <v>19</v>
      </c>
      <c r="F805" s="24" t="n">
        <v>0</v>
      </c>
    </row>
    <row r="806" customFormat="false" ht="15" hidden="false" customHeight="false" outlineLevel="0" collapsed="false">
      <c r="A806" s="3" t="n">
        <v>805</v>
      </c>
      <c r="B806" s="3" t="n">
        <v>804</v>
      </c>
      <c r="C806" s="3" t="n">
        <v>1</v>
      </c>
      <c r="D806" s="3" t="n">
        <v>0</v>
      </c>
      <c r="E806" s="3" t="n">
        <v>20</v>
      </c>
      <c r="F806" s="24" t="n">
        <v>0</v>
      </c>
    </row>
    <row r="807" customFormat="false" ht="15" hidden="false" customHeight="false" outlineLevel="0" collapsed="false">
      <c r="A807" s="3" t="n">
        <v>806</v>
      </c>
      <c r="B807" s="3" t="n">
        <v>805</v>
      </c>
      <c r="C807" s="3" t="n">
        <v>1</v>
      </c>
      <c r="D807" s="3" t="n">
        <v>0</v>
      </c>
      <c r="E807" s="3" t="n">
        <v>21</v>
      </c>
      <c r="F807" s="24" t="n">
        <v>0</v>
      </c>
    </row>
    <row r="808" customFormat="false" ht="15" hidden="false" customHeight="false" outlineLevel="0" collapsed="false">
      <c r="A808" s="3" t="n">
        <v>807</v>
      </c>
      <c r="B808" s="3" t="n">
        <v>806</v>
      </c>
      <c r="C808" s="3" t="n">
        <v>1</v>
      </c>
      <c r="D808" s="3" t="n">
        <v>0</v>
      </c>
      <c r="E808" s="3" t="n">
        <v>22</v>
      </c>
      <c r="F808" s="24" t="n">
        <v>0</v>
      </c>
    </row>
    <row r="809" customFormat="false" ht="15" hidden="false" customHeight="false" outlineLevel="0" collapsed="false">
      <c r="A809" s="3" t="n">
        <v>808</v>
      </c>
      <c r="B809" s="3" t="n">
        <v>807</v>
      </c>
      <c r="C809" s="3" t="n">
        <v>1</v>
      </c>
      <c r="D809" s="3" t="n">
        <v>0</v>
      </c>
      <c r="E809" s="3" t="n">
        <v>23</v>
      </c>
      <c r="F809" s="24" t="n">
        <v>0</v>
      </c>
    </row>
    <row r="810" customFormat="false" ht="15" hidden="false" customHeight="false" outlineLevel="0" collapsed="false">
      <c r="A810" s="3" t="n">
        <v>809</v>
      </c>
      <c r="B810" s="3" t="n">
        <v>808</v>
      </c>
      <c r="C810" s="3" t="n">
        <v>1</v>
      </c>
      <c r="D810" s="3" t="n">
        <v>0</v>
      </c>
      <c r="E810" s="3" t="n">
        <v>24</v>
      </c>
      <c r="F810" s="24" t="n">
        <v>0</v>
      </c>
    </row>
    <row r="811" customFormat="false" ht="15" hidden="false" customHeight="false" outlineLevel="0" collapsed="false">
      <c r="A811" s="3" t="n">
        <v>810</v>
      </c>
      <c r="B811" s="3" t="n">
        <v>809</v>
      </c>
      <c r="C811" s="3" t="n">
        <v>1</v>
      </c>
      <c r="D811" s="3" t="n">
        <v>0</v>
      </c>
      <c r="E811" s="3" t="n">
        <v>25</v>
      </c>
      <c r="F811" s="24" t="n">
        <v>0</v>
      </c>
    </row>
    <row r="812" customFormat="false" ht="15" hidden="false" customHeight="false" outlineLevel="0" collapsed="false">
      <c r="A812" s="3" t="n">
        <v>811</v>
      </c>
      <c r="B812" s="3" t="n">
        <v>810</v>
      </c>
      <c r="C812" s="3" t="n">
        <v>1</v>
      </c>
      <c r="D812" s="3" t="n">
        <v>0</v>
      </c>
      <c r="E812" s="3" t="n">
        <v>26</v>
      </c>
      <c r="F812" s="24" t="n">
        <v>0</v>
      </c>
    </row>
    <row r="813" customFormat="false" ht="15" hidden="false" customHeight="false" outlineLevel="0" collapsed="false">
      <c r="A813" s="3" t="n">
        <v>812</v>
      </c>
      <c r="B813" s="3" t="n">
        <v>811</v>
      </c>
      <c r="C813" s="3" t="n">
        <v>1</v>
      </c>
      <c r="D813" s="3" t="n">
        <v>0</v>
      </c>
      <c r="E813" s="3" t="n">
        <v>27</v>
      </c>
      <c r="F813" s="24" t="n">
        <v>0</v>
      </c>
    </row>
    <row r="814" customFormat="false" ht="15" hidden="false" customHeight="false" outlineLevel="0" collapsed="false">
      <c r="A814" s="3" t="n">
        <v>813</v>
      </c>
      <c r="B814" s="3" t="n">
        <v>812</v>
      </c>
      <c r="C814" s="3" t="n">
        <v>1</v>
      </c>
      <c r="D814" s="3" t="n">
        <v>1</v>
      </c>
      <c r="E814" s="3" t="n">
        <v>0</v>
      </c>
      <c r="F814" s="24" t="n">
        <v>0</v>
      </c>
    </row>
    <row r="815" customFormat="false" ht="15" hidden="false" customHeight="false" outlineLevel="0" collapsed="false">
      <c r="A815" s="3" t="n">
        <v>814</v>
      </c>
      <c r="B815" s="3" t="n">
        <v>813</v>
      </c>
      <c r="C815" s="3" t="n">
        <v>1</v>
      </c>
      <c r="D815" s="3" t="n">
        <v>1</v>
      </c>
      <c r="E815" s="3" t="n">
        <v>1</v>
      </c>
      <c r="F815" s="24" t="n">
        <v>0</v>
      </c>
    </row>
    <row r="816" customFormat="false" ht="15" hidden="false" customHeight="false" outlineLevel="0" collapsed="false">
      <c r="A816" s="3" t="n">
        <v>815</v>
      </c>
      <c r="B816" s="3" t="n">
        <v>814</v>
      </c>
      <c r="C816" s="3" t="n">
        <v>1</v>
      </c>
      <c r="D816" s="3" t="n">
        <v>1</v>
      </c>
      <c r="E816" s="3" t="n">
        <v>2</v>
      </c>
      <c r="F816" s="24" t="n">
        <v>0</v>
      </c>
    </row>
    <row r="817" customFormat="false" ht="15" hidden="false" customHeight="false" outlineLevel="0" collapsed="false">
      <c r="A817" s="3" t="n">
        <v>816</v>
      </c>
      <c r="B817" s="3" t="n">
        <v>815</v>
      </c>
      <c r="C817" s="3" t="n">
        <v>1</v>
      </c>
      <c r="D817" s="3" t="n">
        <v>1</v>
      </c>
      <c r="E817" s="3" t="n">
        <v>3</v>
      </c>
      <c r="F817" s="24" t="n">
        <v>0</v>
      </c>
    </row>
    <row r="818" customFormat="false" ht="15" hidden="false" customHeight="false" outlineLevel="0" collapsed="false">
      <c r="A818" s="3" t="n">
        <v>817</v>
      </c>
      <c r="B818" s="3" t="n">
        <v>816</v>
      </c>
      <c r="C818" s="3" t="n">
        <v>1</v>
      </c>
      <c r="D818" s="3" t="n">
        <v>1</v>
      </c>
      <c r="E818" s="3" t="n">
        <v>4</v>
      </c>
      <c r="F818" s="24" t="n">
        <v>0</v>
      </c>
    </row>
    <row r="819" customFormat="false" ht="15" hidden="false" customHeight="false" outlineLevel="0" collapsed="false">
      <c r="A819" s="3" t="n">
        <v>818</v>
      </c>
      <c r="B819" s="3" t="n">
        <v>817</v>
      </c>
      <c r="C819" s="3" t="n">
        <v>1</v>
      </c>
      <c r="D819" s="3" t="n">
        <v>1</v>
      </c>
      <c r="E819" s="3" t="n">
        <v>5</v>
      </c>
      <c r="F819" s="24" t="n">
        <v>0</v>
      </c>
    </row>
    <row r="820" customFormat="false" ht="15" hidden="false" customHeight="false" outlineLevel="0" collapsed="false">
      <c r="A820" s="3" t="n">
        <v>819</v>
      </c>
      <c r="B820" s="3" t="n">
        <v>818</v>
      </c>
      <c r="C820" s="3" t="n">
        <v>1</v>
      </c>
      <c r="D820" s="3" t="n">
        <v>1</v>
      </c>
      <c r="E820" s="3" t="n">
        <v>6</v>
      </c>
      <c r="F820" s="24" t="n">
        <v>0</v>
      </c>
    </row>
    <row r="821" customFormat="false" ht="15" hidden="false" customHeight="false" outlineLevel="0" collapsed="false">
      <c r="A821" s="3" t="n">
        <v>820</v>
      </c>
      <c r="B821" s="3" t="n">
        <v>819</v>
      </c>
      <c r="C821" s="3" t="n">
        <v>1</v>
      </c>
      <c r="D821" s="3" t="n">
        <v>1</v>
      </c>
      <c r="E821" s="3" t="n">
        <v>7</v>
      </c>
      <c r="F821" s="24" t="n">
        <v>0</v>
      </c>
    </row>
    <row r="822" customFormat="false" ht="15" hidden="false" customHeight="false" outlineLevel="0" collapsed="false">
      <c r="A822" s="3" t="n">
        <v>821</v>
      </c>
      <c r="B822" s="3" t="n">
        <v>820</v>
      </c>
      <c r="C822" s="3" t="n">
        <v>1</v>
      </c>
      <c r="D822" s="3" t="n">
        <v>1</v>
      </c>
      <c r="E822" s="3" t="n">
        <v>8</v>
      </c>
      <c r="F822" s="24" t="n">
        <v>0</v>
      </c>
    </row>
    <row r="823" customFormat="false" ht="15" hidden="false" customHeight="false" outlineLevel="0" collapsed="false">
      <c r="A823" s="3" t="n">
        <v>822</v>
      </c>
      <c r="B823" s="3" t="n">
        <v>821</v>
      </c>
      <c r="C823" s="3" t="n">
        <v>1</v>
      </c>
      <c r="D823" s="3" t="n">
        <v>1</v>
      </c>
      <c r="E823" s="3" t="n">
        <v>9</v>
      </c>
      <c r="F823" s="24" t="n">
        <v>0</v>
      </c>
    </row>
    <row r="824" customFormat="false" ht="15" hidden="false" customHeight="false" outlineLevel="0" collapsed="false">
      <c r="A824" s="3" t="n">
        <v>823</v>
      </c>
      <c r="B824" s="3" t="n">
        <v>822</v>
      </c>
      <c r="C824" s="3" t="n">
        <v>1</v>
      </c>
      <c r="D824" s="3" t="n">
        <v>1</v>
      </c>
      <c r="E824" s="3" t="n">
        <v>10</v>
      </c>
      <c r="F824" s="24" t="n">
        <v>0</v>
      </c>
    </row>
    <row r="825" customFormat="false" ht="15" hidden="false" customHeight="false" outlineLevel="0" collapsed="false">
      <c r="A825" s="3" t="n">
        <v>824</v>
      </c>
      <c r="B825" s="3" t="n">
        <v>823</v>
      </c>
      <c r="C825" s="3" t="n">
        <v>1</v>
      </c>
      <c r="D825" s="3" t="n">
        <v>1</v>
      </c>
      <c r="E825" s="3" t="n">
        <v>11</v>
      </c>
      <c r="F825" s="24" t="n">
        <v>0</v>
      </c>
    </row>
    <row r="826" customFormat="false" ht="15" hidden="false" customHeight="false" outlineLevel="0" collapsed="false">
      <c r="A826" s="3" t="n">
        <v>825</v>
      </c>
      <c r="B826" s="3" t="n">
        <v>824</v>
      </c>
      <c r="C826" s="3" t="n">
        <v>1</v>
      </c>
      <c r="D826" s="3" t="n">
        <v>1</v>
      </c>
      <c r="E826" s="3" t="n">
        <v>12</v>
      </c>
      <c r="F826" s="24" t="n">
        <v>0</v>
      </c>
    </row>
    <row r="827" customFormat="false" ht="15" hidden="false" customHeight="false" outlineLevel="0" collapsed="false">
      <c r="A827" s="3" t="n">
        <v>826</v>
      </c>
      <c r="B827" s="3" t="n">
        <v>825</v>
      </c>
      <c r="C827" s="3" t="n">
        <v>1</v>
      </c>
      <c r="D827" s="3" t="n">
        <v>1</v>
      </c>
      <c r="E827" s="3" t="n">
        <v>13</v>
      </c>
      <c r="F827" s="24" t="n">
        <v>0</v>
      </c>
    </row>
    <row r="828" customFormat="false" ht="15" hidden="false" customHeight="false" outlineLevel="0" collapsed="false">
      <c r="A828" s="3" t="n">
        <v>827</v>
      </c>
      <c r="B828" s="3" t="n">
        <v>826</v>
      </c>
      <c r="C828" s="3" t="n">
        <v>1</v>
      </c>
      <c r="D828" s="3" t="n">
        <v>1</v>
      </c>
      <c r="E828" s="3" t="n">
        <v>14</v>
      </c>
      <c r="F828" s="24" t="n">
        <v>0</v>
      </c>
    </row>
    <row r="829" customFormat="false" ht="15" hidden="false" customHeight="false" outlineLevel="0" collapsed="false">
      <c r="A829" s="3" t="n">
        <v>828</v>
      </c>
      <c r="B829" s="3" t="n">
        <v>827</v>
      </c>
      <c r="C829" s="3" t="n">
        <v>1</v>
      </c>
      <c r="D829" s="3" t="n">
        <v>1</v>
      </c>
      <c r="E829" s="3" t="n">
        <v>15</v>
      </c>
      <c r="F829" s="24" t="n">
        <v>0</v>
      </c>
    </row>
    <row r="830" customFormat="false" ht="15" hidden="false" customHeight="false" outlineLevel="0" collapsed="false">
      <c r="A830" s="3" t="n">
        <v>829</v>
      </c>
      <c r="B830" s="3" t="n">
        <v>828</v>
      </c>
      <c r="C830" s="3" t="n">
        <v>1</v>
      </c>
      <c r="D830" s="3" t="n">
        <v>1</v>
      </c>
      <c r="E830" s="3" t="n">
        <v>16</v>
      </c>
      <c r="F830" s="24" t="n">
        <v>0</v>
      </c>
    </row>
    <row r="831" customFormat="false" ht="15" hidden="false" customHeight="false" outlineLevel="0" collapsed="false">
      <c r="A831" s="3" t="n">
        <v>830</v>
      </c>
      <c r="B831" s="3" t="n">
        <v>829</v>
      </c>
      <c r="C831" s="3" t="n">
        <v>1</v>
      </c>
      <c r="D831" s="3" t="n">
        <v>1</v>
      </c>
      <c r="E831" s="3" t="n">
        <v>17</v>
      </c>
      <c r="F831" s="24" t="n">
        <v>0</v>
      </c>
    </row>
    <row r="832" customFormat="false" ht="15" hidden="false" customHeight="false" outlineLevel="0" collapsed="false">
      <c r="A832" s="3" t="n">
        <v>831</v>
      </c>
      <c r="B832" s="3" t="n">
        <v>830</v>
      </c>
      <c r="C832" s="3" t="n">
        <v>1</v>
      </c>
      <c r="D832" s="3" t="n">
        <v>1</v>
      </c>
      <c r="E832" s="3" t="n">
        <v>18</v>
      </c>
      <c r="F832" s="24" t="n">
        <v>0</v>
      </c>
    </row>
    <row r="833" customFormat="false" ht="15" hidden="false" customHeight="false" outlineLevel="0" collapsed="false">
      <c r="A833" s="3" t="n">
        <v>832</v>
      </c>
      <c r="B833" s="3" t="n">
        <v>831</v>
      </c>
      <c r="C833" s="3" t="n">
        <v>1</v>
      </c>
      <c r="D833" s="3" t="n">
        <v>1</v>
      </c>
      <c r="E833" s="3" t="n">
        <v>19</v>
      </c>
      <c r="F833" s="24" t="n">
        <v>0</v>
      </c>
    </row>
    <row r="834" customFormat="false" ht="15" hidden="false" customHeight="false" outlineLevel="0" collapsed="false">
      <c r="A834" s="3" t="n">
        <v>833</v>
      </c>
      <c r="B834" s="3" t="n">
        <v>832</v>
      </c>
      <c r="C834" s="3" t="n">
        <v>1</v>
      </c>
      <c r="D834" s="3" t="n">
        <v>1</v>
      </c>
      <c r="E834" s="3" t="n">
        <v>20</v>
      </c>
      <c r="F834" s="24" t="n">
        <v>0</v>
      </c>
    </row>
    <row r="835" customFormat="false" ht="15" hidden="false" customHeight="false" outlineLevel="0" collapsed="false">
      <c r="A835" s="3" t="n">
        <v>834</v>
      </c>
      <c r="B835" s="3" t="n">
        <v>833</v>
      </c>
      <c r="C835" s="3" t="n">
        <v>1</v>
      </c>
      <c r="D835" s="3" t="n">
        <v>1</v>
      </c>
      <c r="E835" s="3" t="n">
        <v>21</v>
      </c>
      <c r="F835" s="24" t="n">
        <v>0</v>
      </c>
    </row>
    <row r="836" customFormat="false" ht="15" hidden="false" customHeight="false" outlineLevel="0" collapsed="false">
      <c r="A836" s="3" t="n">
        <v>835</v>
      </c>
      <c r="B836" s="3" t="n">
        <v>834</v>
      </c>
      <c r="C836" s="3" t="n">
        <v>1</v>
      </c>
      <c r="D836" s="3" t="n">
        <v>1</v>
      </c>
      <c r="E836" s="3" t="n">
        <v>22</v>
      </c>
      <c r="F836" s="24" t="n">
        <v>0</v>
      </c>
    </row>
    <row r="837" customFormat="false" ht="15" hidden="false" customHeight="false" outlineLevel="0" collapsed="false">
      <c r="A837" s="3" t="n">
        <v>836</v>
      </c>
      <c r="B837" s="3" t="n">
        <v>835</v>
      </c>
      <c r="C837" s="3" t="n">
        <v>1</v>
      </c>
      <c r="D837" s="3" t="n">
        <v>1</v>
      </c>
      <c r="E837" s="3" t="n">
        <v>23</v>
      </c>
      <c r="F837" s="24" t="n">
        <v>0</v>
      </c>
    </row>
    <row r="838" customFormat="false" ht="15" hidden="false" customHeight="false" outlineLevel="0" collapsed="false">
      <c r="A838" s="3" t="n">
        <v>837</v>
      </c>
      <c r="B838" s="3" t="n">
        <v>836</v>
      </c>
      <c r="C838" s="3" t="n">
        <v>1</v>
      </c>
      <c r="D838" s="3" t="n">
        <v>1</v>
      </c>
      <c r="E838" s="3" t="n">
        <v>24</v>
      </c>
      <c r="F838" s="24" t="n">
        <v>0</v>
      </c>
    </row>
    <row r="839" customFormat="false" ht="15" hidden="false" customHeight="false" outlineLevel="0" collapsed="false">
      <c r="A839" s="3" t="n">
        <v>838</v>
      </c>
      <c r="B839" s="3" t="n">
        <v>837</v>
      </c>
      <c r="C839" s="3" t="n">
        <v>1</v>
      </c>
      <c r="D839" s="3" t="n">
        <v>1</v>
      </c>
      <c r="E839" s="3" t="n">
        <v>25</v>
      </c>
      <c r="F839" s="24" t="n">
        <v>0</v>
      </c>
    </row>
    <row r="840" customFormat="false" ht="15" hidden="false" customHeight="false" outlineLevel="0" collapsed="false">
      <c r="A840" s="3" t="n">
        <v>839</v>
      </c>
      <c r="B840" s="3" t="n">
        <v>838</v>
      </c>
      <c r="C840" s="3" t="n">
        <v>1</v>
      </c>
      <c r="D840" s="3" t="n">
        <v>1</v>
      </c>
      <c r="E840" s="3" t="n">
        <v>26</v>
      </c>
      <c r="F840" s="24" t="n">
        <v>0</v>
      </c>
    </row>
    <row r="841" customFormat="false" ht="15" hidden="false" customHeight="false" outlineLevel="0" collapsed="false">
      <c r="A841" s="3" t="n">
        <v>840</v>
      </c>
      <c r="B841" s="3" t="n">
        <v>839</v>
      </c>
      <c r="C841" s="3" t="n">
        <v>1</v>
      </c>
      <c r="D841" s="3" t="n">
        <v>1</v>
      </c>
      <c r="E841" s="3" t="n">
        <v>27</v>
      </c>
      <c r="F841" s="24" t="n">
        <v>0</v>
      </c>
    </row>
    <row r="842" customFormat="false" ht="15" hidden="false" customHeight="false" outlineLevel="0" collapsed="false">
      <c r="A842" s="3" t="n">
        <v>841</v>
      </c>
      <c r="B842" s="3" t="n">
        <v>840</v>
      </c>
      <c r="C842" s="3" t="n">
        <v>1</v>
      </c>
      <c r="D842" s="3" t="n">
        <v>2</v>
      </c>
      <c r="E842" s="3" t="n">
        <v>0</v>
      </c>
      <c r="F842" s="24" t="n">
        <v>0</v>
      </c>
    </row>
    <row r="843" customFormat="false" ht="15" hidden="false" customHeight="false" outlineLevel="0" collapsed="false">
      <c r="A843" s="3" t="n">
        <v>842</v>
      </c>
      <c r="B843" s="3" t="n">
        <v>841</v>
      </c>
      <c r="C843" s="3" t="n">
        <v>1</v>
      </c>
      <c r="D843" s="3" t="n">
        <v>2</v>
      </c>
      <c r="E843" s="3" t="n">
        <v>1</v>
      </c>
      <c r="F843" s="24" t="n">
        <v>0</v>
      </c>
    </row>
    <row r="844" customFormat="false" ht="15" hidden="false" customHeight="false" outlineLevel="0" collapsed="false">
      <c r="A844" s="3" t="n">
        <v>843</v>
      </c>
      <c r="B844" s="3" t="n">
        <v>842</v>
      </c>
      <c r="C844" s="3" t="n">
        <v>1</v>
      </c>
      <c r="D844" s="3" t="n">
        <v>2</v>
      </c>
      <c r="E844" s="3" t="n">
        <v>2</v>
      </c>
      <c r="F844" s="24" t="n">
        <v>0</v>
      </c>
    </row>
    <row r="845" customFormat="false" ht="15" hidden="false" customHeight="false" outlineLevel="0" collapsed="false">
      <c r="A845" s="3" t="n">
        <v>844</v>
      </c>
      <c r="B845" s="3" t="n">
        <v>843</v>
      </c>
      <c r="C845" s="3" t="n">
        <v>1</v>
      </c>
      <c r="D845" s="3" t="n">
        <v>2</v>
      </c>
      <c r="E845" s="3" t="n">
        <v>3</v>
      </c>
      <c r="F845" s="24" t="n">
        <v>0</v>
      </c>
    </row>
    <row r="846" customFormat="false" ht="15" hidden="false" customHeight="false" outlineLevel="0" collapsed="false">
      <c r="A846" s="3" t="n">
        <v>845</v>
      </c>
      <c r="B846" s="3" t="n">
        <v>844</v>
      </c>
      <c r="C846" s="3" t="n">
        <v>1</v>
      </c>
      <c r="D846" s="3" t="n">
        <v>2</v>
      </c>
      <c r="E846" s="3" t="n">
        <v>4</v>
      </c>
      <c r="F846" s="24" t="n">
        <v>0</v>
      </c>
    </row>
    <row r="847" customFormat="false" ht="15" hidden="false" customHeight="false" outlineLevel="0" collapsed="false">
      <c r="A847" s="3" t="n">
        <v>846</v>
      </c>
      <c r="B847" s="3" t="n">
        <v>845</v>
      </c>
      <c r="C847" s="3" t="n">
        <v>1</v>
      </c>
      <c r="D847" s="3" t="n">
        <v>2</v>
      </c>
      <c r="E847" s="3" t="n">
        <v>5</v>
      </c>
      <c r="F847" s="24" t="n">
        <v>0</v>
      </c>
    </row>
    <row r="848" customFormat="false" ht="15" hidden="false" customHeight="false" outlineLevel="0" collapsed="false">
      <c r="A848" s="3" t="n">
        <v>847</v>
      </c>
      <c r="B848" s="3" t="n">
        <v>846</v>
      </c>
      <c r="C848" s="3" t="n">
        <v>1</v>
      </c>
      <c r="D848" s="3" t="n">
        <v>2</v>
      </c>
      <c r="E848" s="3" t="n">
        <v>6</v>
      </c>
      <c r="F848" s="24" t="n">
        <v>0</v>
      </c>
    </row>
    <row r="849" customFormat="false" ht="15" hidden="false" customHeight="false" outlineLevel="0" collapsed="false">
      <c r="A849" s="3" t="n">
        <v>848</v>
      </c>
      <c r="B849" s="3" t="n">
        <v>847</v>
      </c>
      <c r="C849" s="3" t="n">
        <v>1</v>
      </c>
      <c r="D849" s="3" t="n">
        <v>2</v>
      </c>
      <c r="E849" s="3" t="n">
        <v>7</v>
      </c>
      <c r="F849" s="24" t="n">
        <v>0</v>
      </c>
    </row>
    <row r="850" customFormat="false" ht="15" hidden="false" customHeight="false" outlineLevel="0" collapsed="false">
      <c r="A850" s="3" t="n">
        <v>849</v>
      </c>
      <c r="B850" s="3" t="n">
        <v>848</v>
      </c>
      <c r="C850" s="3" t="n">
        <v>1</v>
      </c>
      <c r="D850" s="3" t="n">
        <v>2</v>
      </c>
      <c r="E850" s="3" t="n">
        <v>8</v>
      </c>
      <c r="F850" s="24" t="n">
        <v>0</v>
      </c>
    </row>
    <row r="851" customFormat="false" ht="15" hidden="false" customHeight="false" outlineLevel="0" collapsed="false">
      <c r="A851" s="3" t="n">
        <v>850</v>
      </c>
      <c r="B851" s="3" t="n">
        <v>849</v>
      </c>
      <c r="C851" s="3" t="n">
        <v>1</v>
      </c>
      <c r="D851" s="3" t="n">
        <v>2</v>
      </c>
      <c r="E851" s="3" t="n">
        <v>9</v>
      </c>
      <c r="F851" s="24" t="n">
        <v>0</v>
      </c>
    </row>
    <row r="852" customFormat="false" ht="15" hidden="false" customHeight="false" outlineLevel="0" collapsed="false">
      <c r="A852" s="3" t="n">
        <v>851</v>
      </c>
      <c r="B852" s="3" t="n">
        <v>850</v>
      </c>
      <c r="C852" s="3" t="n">
        <v>1</v>
      </c>
      <c r="D852" s="3" t="n">
        <v>2</v>
      </c>
      <c r="E852" s="3" t="n">
        <v>10</v>
      </c>
      <c r="F852" s="24" t="n">
        <v>0</v>
      </c>
    </row>
    <row r="853" customFormat="false" ht="15" hidden="false" customHeight="false" outlineLevel="0" collapsed="false">
      <c r="A853" s="3" t="n">
        <v>852</v>
      </c>
      <c r="B853" s="3" t="n">
        <v>851</v>
      </c>
      <c r="C853" s="3" t="n">
        <v>1</v>
      </c>
      <c r="D853" s="3" t="n">
        <v>2</v>
      </c>
      <c r="E853" s="3" t="n">
        <v>11</v>
      </c>
      <c r="F853" s="24" t="n">
        <v>0</v>
      </c>
    </row>
    <row r="854" customFormat="false" ht="15" hidden="false" customHeight="false" outlineLevel="0" collapsed="false">
      <c r="A854" s="3" t="n">
        <v>853</v>
      </c>
      <c r="B854" s="3" t="n">
        <v>852</v>
      </c>
      <c r="C854" s="3" t="n">
        <v>1</v>
      </c>
      <c r="D854" s="3" t="n">
        <v>2</v>
      </c>
      <c r="E854" s="3" t="n">
        <v>12</v>
      </c>
      <c r="F854" s="24" t="n">
        <v>0</v>
      </c>
    </row>
    <row r="855" customFormat="false" ht="15" hidden="false" customHeight="false" outlineLevel="0" collapsed="false">
      <c r="A855" s="3" t="n">
        <v>854</v>
      </c>
      <c r="B855" s="3" t="n">
        <v>853</v>
      </c>
      <c r="C855" s="3" t="n">
        <v>1</v>
      </c>
      <c r="D855" s="3" t="n">
        <v>2</v>
      </c>
      <c r="E855" s="3" t="n">
        <v>13</v>
      </c>
      <c r="F855" s="24" t="n">
        <v>0</v>
      </c>
    </row>
    <row r="856" customFormat="false" ht="15" hidden="false" customHeight="false" outlineLevel="0" collapsed="false">
      <c r="A856" s="3" t="n">
        <v>855</v>
      </c>
      <c r="B856" s="3" t="n">
        <v>854</v>
      </c>
      <c r="C856" s="3" t="n">
        <v>1</v>
      </c>
      <c r="D856" s="3" t="n">
        <v>2</v>
      </c>
      <c r="E856" s="3" t="n">
        <v>14</v>
      </c>
      <c r="F856" s="24" t="n">
        <v>0</v>
      </c>
    </row>
    <row r="857" customFormat="false" ht="15" hidden="false" customHeight="false" outlineLevel="0" collapsed="false">
      <c r="A857" s="3" t="n">
        <v>856</v>
      </c>
      <c r="B857" s="3" t="n">
        <v>855</v>
      </c>
      <c r="C857" s="3" t="n">
        <v>1</v>
      </c>
      <c r="D857" s="3" t="n">
        <v>2</v>
      </c>
      <c r="E857" s="3" t="n">
        <v>15</v>
      </c>
      <c r="F857" s="24" t="n">
        <v>0</v>
      </c>
    </row>
    <row r="858" customFormat="false" ht="15" hidden="false" customHeight="false" outlineLevel="0" collapsed="false">
      <c r="A858" s="3" t="n">
        <v>857</v>
      </c>
      <c r="B858" s="3" t="n">
        <v>856</v>
      </c>
      <c r="C858" s="3" t="n">
        <v>1</v>
      </c>
      <c r="D858" s="3" t="n">
        <v>2</v>
      </c>
      <c r="E858" s="3" t="n">
        <v>16</v>
      </c>
      <c r="F858" s="24" t="n">
        <v>0</v>
      </c>
    </row>
    <row r="859" customFormat="false" ht="15" hidden="false" customHeight="false" outlineLevel="0" collapsed="false">
      <c r="A859" s="3" t="n">
        <v>858</v>
      </c>
      <c r="B859" s="3" t="n">
        <v>857</v>
      </c>
      <c r="C859" s="3" t="n">
        <v>1</v>
      </c>
      <c r="D859" s="3" t="n">
        <v>2</v>
      </c>
      <c r="E859" s="3" t="n">
        <v>17</v>
      </c>
      <c r="F859" s="24" t="n">
        <v>0</v>
      </c>
    </row>
    <row r="860" customFormat="false" ht="15" hidden="false" customHeight="false" outlineLevel="0" collapsed="false">
      <c r="A860" s="3" t="n">
        <v>859</v>
      </c>
      <c r="B860" s="3" t="n">
        <v>858</v>
      </c>
      <c r="C860" s="3" t="n">
        <v>1</v>
      </c>
      <c r="D860" s="3" t="n">
        <v>2</v>
      </c>
      <c r="E860" s="3" t="n">
        <v>18</v>
      </c>
      <c r="F860" s="24" t="n">
        <v>0</v>
      </c>
    </row>
    <row r="861" customFormat="false" ht="15" hidden="false" customHeight="false" outlineLevel="0" collapsed="false">
      <c r="A861" s="3" t="n">
        <v>860</v>
      </c>
      <c r="B861" s="3" t="n">
        <v>859</v>
      </c>
      <c r="C861" s="3" t="n">
        <v>1</v>
      </c>
      <c r="D861" s="3" t="n">
        <v>2</v>
      </c>
      <c r="E861" s="3" t="n">
        <v>19</v>
      </c>
      <c r="F861" s="24" t="n">
        <v>0</v>
      </c>
    </row>
    <row r="862" customFormat="false" ht="15" hidden="false" customHeight="false" outlineLevel="0" collapsed="false">
      <c r="A862" s="3" t="n">
        <v>861</v>
      </c>
      <c r="B862" s="3" t="n">
        <v>860</v>
      </c>
      <c r="C862" s="3" t="n">
        <v>1</v>
      </c>
      <c r="D862" s="3" t="n">
        <v>2</v>
      </c>
      <c r="E862" s="3" t="n">
        <v>20</v>
      </c>
      <c r="F862" s="24" t="n">
        <v>0</v>
      </c>
    </row>
    <row r="863" customFormat="false" ht="15" hidden="false" customHeight="false" outlineLevel="0" collapsed="false">
      <c r="A863" s="3" t="n">
        <v>862</v>
      </c>
      <c r="B863" s="3" t="n">
        <v>861</v>
      </c>
      <c r="C863" s="3" t="n">
        <v>1</v>
      </c>
      <c r="D863" s="3" t="n">
        <v>2</v>
      </c>
      <c r="E863" s="3" t="n">
        <v>21</v>
      </c>
      <c r="F863" s="24" t="n">
        <v>0</v>
      </c>
    </row>
    <row r="864" customFormat="false" ht="15" hidden="false" customHeight="false" outlineLevel="0" collapsed="false">
      <c r="A864" s="3" t="n">
        <v>863</v>
      </c>
      <c r="B864" s="3" t="n">
        <v>862</v>
      </c>
      <c r="C864" s="3" t="n">
        <v>1</v>
      </c>
      <c r="D864" s="3" t="n">
        <v>2</v>
      </c>
      <c r="E864" s="3" t="n">
        <v>22</v>
      </c>
      <c r="F864" s="24" t="n">
        <v>0</v>
      </c>
    </row>
    <row r="865" customFormat="false" ht="15" hidden="false" customHeight="false" outlineLevel="0" collapsed="false">
      <c r="A865" s="3" t="n">
        <v>864</v>
      </c>
      <c r="B865" s="3" t="n">
        <v>863</v>
      </c>
      <c r="C865" s="3" t="n">
        <v>1</v>
      </c>
      <c r="D865" s="3" t="n">
        <v>2</v>
      </c>
      <c r="E865" s="3" t="n">
        <v>23</v>
      </c>
      <c r="F865" s="24" t="n">
        <v>0</v>
      </c>
    </row>
    <row r="866" customFormat="false" ht="15" hidden="false" customHeight="false" outlineLevel="0" collapsed="false">
      <c r="A866" s="3" t="n">
        <v>865</v>
      </c>
      <c r="B866" s="3" t="n">
        <v>864</v>
      </c>
      <c r="C866" s="3" t="n">
        <v>1</v>
      </c>
      <c r="D866" s="3" t="n">
        <v>2</v>
      </c>
      <c r="E866" s="3" t="n">
        <v>24</v>
      </c>
      <c r="F866" s="24" t="n">
        <v>0</v>
      </c>
    </row>
    <row r="867" customFormat="false" ht="15" hidden="false" customHeight="false" outlineLevel="0" collapsed="false">
      <c r="A867" s="3" t="n">
        <v>866</v>
      </c>
      <c r="B867" s="3" t="n">
        <v>865</v>
      </c>
      <c r="C867" s="3" t="n">
        <v>1</v>
      </c>
      <c r="D867" s="3" t="n">
        <v>2</v>
      </c>
      <c r="E867" s="3" t="n">
        <v>25</v>
      </c>
      <c r="F867" s="24" t="n">
        <v>0</v>
      </c>
    </row>
    <row r="868" customFormat="false" ht="15" hidden="false" customHeight="false" outlineLevel="0" collapsed="false">
      <c r="A868" s="3" t="n">
        <v>867</v>
      </c>
      <c r="B868" s="3" t="n">
        <v>866</v>
      </c>
      <c r="C868" s="3" t="n">
        <v>1</v>
      </c>
      <c r="D868" s="3" t="n">
        <v>2</v>
      </c>
      <c r="E868" s="3" t="n">
        <v>26</v>
      </c>
      <c r="F868" s="24" t="n">
        <v>0</v>
      </c>
    </row>
    <row r="869" customFormat="false" ht="15" hidden="false" customHeight="false" outlineLevel="0" collapsed="false">
      <c r="A869" s="3" t="n">
        <v>868</v>
      </c>
      <c r="B869" s="3" t="n">
        <v>867</v>
      </c>
      <c r="C869" s="3" t="n">
        <v>1</v>
      </c>
      <c r="D869" s="3" t="n">
        <v>2</v>
      </c>
      <c r="E869" s="3" t="n">
        <v>27</v>
      </c>
      <c r="F869" s="24" t="n">
        <v>0</v>
      </c>
    </row>
    <row r="870" customFormat="false" ht="15" hidden="false" customHeight="false" outlineLevel="0" collapsed="false">
      <c r="A870" s="3" t="n">
        <v>869</v>
      </c>
      <c r="B870" s="3" t="n">
        <v>868</v>
      </c>
      <c r="C870" s="3" t="n">
        <v>1</v>
      </c>
      <c r="D870" s="3" t="n">
        <v>3</v>
      </c>
      <c r="E870" s="3" t="n">
        <v>0</v>
      </c>
      <c r="F870" s="24" t="n">
        <v>0</v>
      </c>
    </row>
    <row r="871" customFormat="false" ht="15" hidden="false" customHeight="false" outlineLevel="0" collapsed="false">
      <c r="A871" s="3" t="n">
        <v>870</v>
      </c>
      <c r="B871" s="3" t="n">
        <v>869</v>
      </c>
      <c r="C871" s="3" t="n">
        <v>1</v>
      </c>
      <c r="D871" s="3" t="n">
        <v>3</v>
      </c>
      <c r="E871" s="3" t="n">
        <v>1</v>
      </c>
      <c r="F871" s="24" t="n">
        <v>0</v>
      </c>
    </row>
    <row r="872" customFormat="false" ht="15" hidden="false" customHeight="false" outlineLevel="0" collapsed="false">
      <c r="A872" s="3" t="n">
        <v>871</v>
      </c>
      <c r="B872" s="3" t="n">
        <v>870</v>
      </c>
      <c r="C872" s="3" t="n">
        <v>1</v>
      </c>
      <c r="D872" s="3" t="n">
        <v>3</v>
      </c>
      <c r="E872" s="3" t="n">
        <v>2</v>
      </c>
      <c r="F872" s="24" t="n">
        <v>0</v>
      </c>
    </row>
    <row r="873" customFormat="false" ht="15" hidden="false" customHeight="false" outlineLevel="0" collapsed="false">
      <c r="A873" s="3" t="n">
        <v>872</v>
      </c>
      <c r="B873" s="3" t="n">
        <v>871</v>
      </c>
      <c r="C873" s="3" t="n">
        <v>1</v>
      </c>
      <c r="D873" s="3" t="n">
        <v>3</v>
      </c>
      <c r="E873" s="3" t="n">
        <v>3</v>
      </c>
      <c r="F873" s="24" t="n">
        <v>0</v>
      </c>
    </row>
    <row r="874" customFormat="false" ht="15" hidden="false" customHeight="false" outlineLevel="0" collapsed="false">
      <c r="A874" s="3" t="n">
        <v>873</v>
      </c>
      <c r="B874" s="3" t="n">
        <v>872</v>
      </c>
      <c r="C874" s="3" t="n">
        <v>1</v>
      </c>
      <c r="D874" s="3" t="n">
        <v>3</v>
      </c>
      <c r="E874" s="3" t="n">
        <v>4</v>
      </c>
      <c r="F874" s="24" t="n">
        <v>0</v>
      </c>
    </row>
    <row r="875" customFormat="false" ht="15" hidden="false" customHeight="false" outlineLevel="0" collapsed="false">
      <c r="A875" s="3" t="n">
        <v>874</v>
      </c>
      <c r="B875" s="3" t="n">
        <v>873</v>
      </c>
      <c r="C875" s="3" t="n">
        <v>1</v>
      </c>
      <c r="D875" s="3" t="n">
        <v>3</v>
      </c>
      <c r="E875" s="3" t="n">
        <v>5</v>
      </c>
      <c r="F875" s="24" t="n">
        <v>0</v>
      </c>
    </row>
    <row r="876" customFormat="false" ht="15" hidden="false" customHeight="false" outlineLevel="0" collapsed="false">
      <c r="A876" s="3" t="n">
        <v>875</v>
      </c>
      <c r="B876" s="3" t="n">
        <v>874</v>
      </c>
      <c r="C876" s="3" t="n">
        <v>1</v>
      </c>
      <c r="D876" s="3" t="n">
        <v>3</v>
      </c>
      <c r="E876" s="3" t="n">
        <v>6</v>
      </c>
      <c r="F876" s="24" t="n">
        <v>0</v>
      </c>
    </row>
    <row r="877" customFormat="false" ht="15" hidden="false" customHeight="false" outlineLevel="0" collapsed="false">
      <c r="A877" s="3" t="n">
        <v>876</v>
      </c>
      <c r="B877" s="3" t="n">
        <v>875</v>
      </c>
      <c r="C877" s="3" t="n">
        <v>1</v>
      </c>
      <c r="D877" s="3" t="n">
        <v>3</v>
      </c>
      <c r="E877" s="3" t="n">
        <v>7</v>
      </c>
      <c r="F877" s="24" t="n">
        <v>0</v>
      </c>
    </row>
    <row r="878" customFormat="false" ht="15" hidden="false" customHeight="false" outlineLevel="0" collapsed="false">
      <c r="A878" s="3" t="n">
        <v>877</v>
      </c>
      <c r="B878" s="3" t="n">
        <v>876</v>
      </c>
      <c r="C878" s="3" t="n">
        <v>1</v>
      </c>
      <c r="D878" s="3" t="n">
        <v>3</v>
      </c>
      <c r="E878" s="3" t="n">
        <v>8</v>
      </c>
      <c r="F878" s="24" t="n">
        <v>0</v>
      </c>
    </row>
    <row r="879" customFormat="false" ht="15" hidden="false" customHeight="false" outlineLevel="0" collapsed="false">
      <c r="A879" s="3" t="n">
        <v>878</v>
      </c>
      <c r="B879" s="3" t="n">
        <v>877</v>
      </c>
      <c r="C879" s="3" t="n">
        <v>1</v>
      </c>
      <c r="D879" s="3" t="n">
        <v>3</v>
      </c>
      <c r="E879" s="3" t="n">
        <v>9</v>
      </c>
      <c r="F879" s="24" t="n">
        <v>0</v>
      </c>
    </row>
    <row r="880" customFormat="false" ht="15" hidden="false" customHeight="false" outlineLevel="0" collapsed="false">
      <c r="A880" s="3" t="n">
        <v>879</v>
      </c>
      <c r="B880" s="3" t="n">
        <v>878</v>
      </c>
      <c r="C880" s="3" t="n">
        <v>1</v>
      </c>
      <c r="D880" s="3" t="n">
        <v>3</v>
      </c>
      <c r="E880" s="3" t="n">
        <v>10</v>
      </c>
      <c r="F880" s="24" t="n">
        <v>0</v>
      </c>
    </row>
    <row r="881" customFormat="false" ht="15" hidden="false" customHeight="false" outlineLevel="0" collapsed="false">
      <c r="A881" s="3" t="n">
        <v>880</v>
      </c>
      <c r="B881" s="3" t="n">
        <v>879</v>
      </c>
      <c r="C881" s="3" t="n">
        <v>1</v>
      </c>
      <c r="D881" s="3" t="n">
        <v>3</v>
      </c>
      <c r="E881" s="3" t="n">
        <v>11</v>
      </c>
      <c r="F881" s="24" t="n">
        <v>0</v>
      </c>
    </row>
    <row r="882" customFormat="false" ht="15" hidden="false" customHeight="false" outlineLevel="0" collapsed="false">
      <c r="A882" s="3" t="n">
        <v>881</v>
      </c>
      <c r="B882" s="3" t="n">
        <v>880</v>
      </c>
      <c r="C882" s="3" t="n">
        <v>1</v>
      </c>
      <c r="D882" s="3" t="n">
        <v>3</v>
      </c>
      <c r="E882" s="3" t="n">
        <v>12</v>
      </c>
      <c r="F882" s="24" t="n">
        <v>0</v>
      </c>
    </row>
    <row r="883" customFormat="false" ht="15" hidden="false" customHeight="false" outlineLevel="0" collapsed="false">
      <c r="A883" s="3" t="n">
        <v>882</v>
      </c>
      <c r="B883" s="3" t="n">
        <v>881</v>
      </c>
      <c r="C883" s="3" t="n">
        <v>1</v>
      </c>
      <c r="D883" s="3" t="n">
        <v>3</v>
      </c>
      <c r="E883" s="3" t="n">
        <v>13</v>
      </c>
      <c r="F883" s="24" t="n">
        <v>0</v>
      </c>
    </row>
    <row r="884" customFormat="false" ht="15" hidden="false" customHeight="false" outlineLevel="0" collapsed="false">
      <c r="A884" s="3" t="n">
        <v>883</v>
      </c>
      <c r="B884" s="3" t="n">
        <v>882</v>
      </c>
      <c r="C884" s="3" t="n">
        <v>1</v>
      </c>
      <c r="D884" s="3" t="n">
        <v>3</v>
      </c>
      <c r="E884" s="3" t="n">
        <v>14</v>
      </c>
      <c r="F884" s="24" t="n">
        <v>0</v>
      </c>
    </row>
    <row r="885" customFormat="false" ht="15" hidden="false" customHeight="false" outlineLevel="0" collapsed="false">
      <c r="A885" s="3" t="n">
        <v>884</v>
      </c>
      <c r="B885" s="3" t="n">
        <v>883</v>
      </c>
      <c r="C885" s="3" t="n">
        <v>1</v>
      </c>
      <c r="D885" s="3" t="n">
        <v>3</v>
      </c>
      <c r="E885" s="3" t="n">
        <v>15</v>
      </c>
      <c r="F885" s="24" t="n">
        <v>0</v>
      </c>
    </row>
    <row r="886" customFormat="false" ht="15" hidden="false" customHeight="false" outlineLevel="0" collapsed="false">
      <c r="A886" s="3" t="n">
        <v>885</v>
      </c>
      <c r="B886" s="3" t="n">
        <v>884</v>
      </c>
      <c r="C886" s="3" t="n">
        <v>1</v>
      </c>
      <c r="D886" s="3" t="n">
        <v>3</v>
      </c>
      <c r="E886" s="3" t="n">
        <v>16</v>
      </c>
      <c r="F886" s="24" t="n">
        <v>0</v>
      </c>
    </row>
    <row r="887" customFormat="false" ht="15" hidden="false" customHeight="false" outlineLevel="0" collapsed="false">
      <c r="A887" s="3" t="n">
        <v>886</v>
      </c>
      <c r="B887" s="3" t="n">
        <v>885</v>
      </c>
      <c r="C887" s="3" t="n">
        <v>1</v>
      </c>
      <c r="D887" s="3" t="n">
        <v>3</v>
      </c>
      <c r="E887" s="3" t="n">
        <v>17</v>
      </c>
      <c r="F887" s="24" t="n">
        <v>0</v>
      </c>
    </row>
    <row r="888" customFormat="false" ht="15" hidden="false" customHeight="false" outlineLevel="0" collapsed="false">
      <c r="A888" s="3" t="n">
        <v>887</v>
      </c>
      <c r="B888" s="3" t="n">
        <v>886</v>
      </c>
      <c r="C888" s="3" t="n">
        <v>1</v>
      </c>
      <c r="D888" s="3" t="n">
        <v>3</v>
      </c>
      <c r="E888" s="3" t="n">
        <v>18</v>
      </c>
      <c r="F888" s="24" t="n">
        <v>0</v>
      </c>
    </row>
    <row r="889" customFormat="false" ht="15" hidden="false" customHeight="false" outlineLevel="0" collapsed="false">
      <c r="A889" s="3" t="n">
        <v>888</v>
      </c>
      <c r="B889" s="3" t="n">
        <v>887</v>
      </c>
      <c r="C889" s="3" t="n">
        <v>1</v>
      </c>
      <c r="D889" s="3" t="n">
        <v>3</v>
      </c>
      <c r="E889" s="3" t="n">
        <v>19</v>
      </c>
      <c r="F889" s="24" t="n">
        <v>0</v>
      </c>
    </row>
    <row r="890" customFormat="false" ht="15" hidden="false" customHeight="false" outlineLevel="0" collapsed="false">
      <c r="A890" s="3" t="n">
        <v>889</v>
      </c>
      <c r="B890" s="3" t="n">
        <v>888</v>
      </c>
      <c r="C890" s="3" t="n">
        <v>1</v>
      </c>
      <c r="D890" s="3" t="n">
        <v>3</v>
      </c>
      <c r="E890" s="3" t="n">
        <v>20</v>
      </c>
      <c r="F890" s="24" t="n">
        <v>0</v>
      </c>
    </row>
    <row r="891" customFormat="false" ht="15" hidden="false" customHeight="false" outlineLevel="0" collapsed="false">
      <c r="A891" s="3" t="n">
        <v>890</v>
      </c>
      <c r="B891" s="3" t="n">
        <v>889</v>
      </c>
      <c r="C891" s="3" t="n">
        <v>1</v>
      </c>
      <c r="D891" s="3" t="n">
        <v>3</v>
      </c>
      <c r="E891" s="3" t="n">
        <v>21</v>
      </c>
      <c r="F891" s="24" t="n">
        <v>0</v>
      </c>
    </row>
    <row r="892" customFormat="false" ht="15" hidden="false" customHeight="false" outlineLevel="0" collapsed="false">
      <c r="A892" s="3" t="n">
        <v>891</v>
      </c>
      <c r="B892" s="3" t="n">
        <v>890</v>
      </c>
      <c r="C892" s="3" t="n">
        <v>1</v>
      </c>
      <c r="D892" s="3" t="n">
        <v>3</v>
      </c>
      <c r="E892" s="3" t="n">
        <v>22</v>
      </c>
      <c r="F892" s="24" t="n">
        <v>0</v>
      </c>
    </row>
    <row r="893" customFormat="false" ht="15" hidden="false" customHeight="false" outlineLevel="0" collapsed="false">
      <c r="A893" s="3" t="n">
        <v>892</v>
      </c>
      <c r="B893" s="3" t="n">
        <v>891</v>
      </c>
      <c r="C893" s="3" t="n">
        <v>1</v>
      </c>
      <c r="D893" s="3" t="n">
        <v>3</v>
      </c>
      <c r="E893" s="3" t="n">
        <v>23</v>
      </c>
      <c r="F893" s="24" t="n">
        <v>0</v>
      </c>
    </row>
    <row r="894" customFormat="false" ht="15" hidden="false" customHeight="false" outlineLevel="0" collapsed="false">
      <c r="A894" s="3" t="n">
        <v>893</v>
      </c>
      <c r="B894" s="3" t="n">
        <v>892</v>
      </c>
      <c r="C894" s="3" t="n">
        <v>1</v>
      </c>
      <c r="D894" s="3" t="n">
        <v>3</v>
      </c>
      <c r="E894" s="3" t="n">
        <v>24</v>
      </c>
      <c r="F894" s="24" t="n">
        <v>0</v>
      </c>
    </row>
    <row r="895" customFormat="false" ht="15" hidden="false" customHeight="false" outlineLevel="0" collapsed="false">
      <c r="A895" s="3" t="n">
        <v>894</v>
      </c>
      <c r="B895" s="3" t="n">
        <v>893</v>
      </c>
      <c r="C895" s="3" t="n">
        <v>1</v>
      </c>
      <c r="D895" s="3" t="n">
        <v>3</v>
      </c>
      <c r="E895" s="3" t="n">
        <v>25</v>
      </c>
      <c r="F895" s="24" t="n">
        <v>0</v>
      </c>
    </row>
    <row r="896" customFormat="false" ht="15" hidden="false" customHeight="false" outlineLevel="0" collapsed="false">
      <c r="A896" s="3" t="n">
        <v>895</v>
      </c>
      <c r="B896" s="3" t="n">
        <v>894</v>
      </c>
      <c r="C896" s="3" t="n">
        <v>1</v>
      </c>
      <c r="D896" s="3" t="n">
        <v>3</v>
      </c>
      <c r="E896" s="3" t="n">
        <v>26</v>
      </c>
      <c r="F896" s="24" t="n">
        <v>0</v>
      </c>
    </row>
    <row r="897" customFormat="false" ht="15" hidden="false" customHeight="false" outlineLevel="0" collapsed="false">
      <c r="A897" s="3" t="n">
        <v>896</v>
      </c>
      <c r="B897" s="3" t="n">
        <v>895</v>
      </c>
      <c r="C897" s="3" t="n">
        <v>1</v>
      </c>
      <c r="D897" s="3" t="n">
        <v>3</v>
      </c>
      <c r="E897" s="3" t="n">
        <v>27</v>
      </c>
      <c r="F897" s="24" t="n">
        <v>0</v>
      </c>
    </row>
    <row r="898" customFormat="false" ht="15" hidden="false" customHeight="false" outlineLevel="0" collapsed="false">
      <c r="A898" s="3" t="n">
        <v>897</v>
      </c>
      <c r="B898" s="3" t="n">
        <v>896</v>
      </c>
      <c r="C898" s="3" t="n">
        <v>1</v>
      </c>
      <c r="D898" s="3" t="n">
        <v>4</v>
      </c>
      <c r="E898" s="3" t="n">
        <v>0</v>
      </c>
      <c r="F898" s="24" t="n">
        <v>0</v>
      </c>
    </row>
    <row r="899" customFormat="false" ht="15" hidden="false" customHeight="false" outlineLevel="0" collapsed="false">
      <c r="A899" s="3" t="n">
        <v>898</v>
      </c>
      <c r="B899" s="3" t="n">
        <v>897</v>
      </c>
      <c r="C899" s="3" t="n">
        <v>1</v>
      </c>
      <c r="D899" s="3" t="n">
        <v>4</v>
      </c>
      <c r="E899" s="3" t="n">
        <v>1</v>
      </c>
      <c r="F899" s="24" t="n">
        <v>0</v>
      </c>
    </row>
    <row r="900" customFormat="false" ht="15" hidden="false" customHeight="false" outlineLevel="0" collapsed="false">
      <c r="A900" s="3" t="n">
        <v>899</v>
      </c>
      <c r="B900" s="3" t="n">
        <v>898</v>
      </c>
      <c r="C900" s="3" t="n">
        <v>1</v>
      </c>
      <c r="D900" s="3" t="n">
        <v>4</v>
      </c>
      <c r="E900" s="3" t="n">
        <v>2</v>
      </c>
      <c r="F900" s="24" t="n">
        <v>0</v>
      </c>
    </row>
    <row r="901" customFormat="false" ht="15" hidden="false" customHeight="false" outlineLevel="0" collapsed="false">
      <c r="A901" s="3" t="n">
        <v>900</v>
      </c>
      <c r="B901" s="3" t="n">
        <v>899</v>
      </c>
      <c r="C901" s="3" t="n">
        <v>1</v>
      </c>
      <c r="D901" s="3" t="n">
        <v>4</v>
      </c>
      <c r="E901" s="3" t="n">
        <v>3</v>
      </c>
      <c r="F901" s="24" t="n">
        <v>0</v>
      </c>
    </row>
    <row r="902" customFormat="false" ht="15" hidden="false" customHeight="false" outlineLevel="0" collapsed="false">
      <c r="A902" s="3" t="n">
        <v>901</v>
      </c>
      <c r="B902" s="3" t="n">
        <v>900</v>
      </c>
      <c r="C902" s="3" t="n">
        <v>1</v>
      </c>
      <c r="D902" s="3" t="n">
        <v>4</v>
      </c>
      <c r="E902" s="3" t="n">
        <v>4</v>
      </c>
      <c r="F902" s="24" t="n">
        <v>0</v>
      </c>
    </row>
    <row r="903" customFormat="false" ht="15" hidden="false" customHeight="false" outlineLevel="0" collapsed="false">
      <c r="A903" s="3" t="n">
        <v>902</v>
      </c>
      <c r="B903" s="3" t="n">
        <v>901</v>
      </c>
      <c r="C903" s="3" t="n">
        <v>1</v>
      </c>
      <c r="D903" s="3" t="n">
        <v>4</v>
      </c>
      <c r="E903" s="3" t="n">
        <v>5</v>
      </c>
      <c r="F903" s="24" t="n">
        <v>0</v>
      </c>
    </row>
    <row r="904" customFormat="false" ht="15" hidden="false" customHeight="false" outlineLevel="0" collapsed="false">
      <c r="A904" s="3" t="n">
        <v>903</v>
      </c>
      <c r="B904" s="3" t="n">
        <v>902</v>
      </c>
      <c r="C904" s="3" t="n">
        <v>1</v>
      </c>
      <c r="D904" s="3" t="n">
        <v>4</v>
      </c>
      <c r="E904" s="3" t="n">
        <v>6</v>
      </c>
      <c r="F904" s="24" t="n">
        <v>0</v>
      </c>
    </row>
    <row r="905" customFormat="false" ht="15" hidden="false" customHeight="false" outlineLevel="0" collapsed="false">
      <c r="A905" s="3" t="n">
        <v>904</v>
      </c>
      <c r="B905" s="3" t="n">
        <v>903</v>
      </c>
      <c r="C905" s="3" t="n">
        <v>1</v>
      </c>
      <c r="D905" s="3" t="n">
        <v>4</v>
      </c>
      <c r="E905" s="3" t="n">
        <v>7</v>
      </c>
      <c r="F905" s="24" t="n">
        <v>0</v>
      </c>
    </row>
    <row r="906" customFormat="false" ht="15" hidden="false" customHeight="false" outlineLevel="0" collapsed="false">
      <c r="A906" s="3" t="n">
        <v>905</v>
      </c>
      <c r="B906" s="3" t="n">
        <v>904</v>
      </c>
      <c r="C906" s="3" t="n">
        <v>1</v>
      </c>
      <c r="D906" s="3" t="n">
        <v>4</v>
      </c>
      <c r="E906" s="3" t="n">
        <v>8</v>
      </c>
      <c r="F906" s="24" t="n">
        <v>0</v>
      </c>
    </row>
    <row r="907" customFormat="false" ht="15" hidden="false" customHeight="false" outlineLevel="0" collapsed="false">
      <c r="A907" s="3" t="n">
        <v>906</v>
      </c>
      <c r="B907" s="3" t="n">
        <v>905</v>
      </c>
      <c r="C907" s="3" t="n">
        <v>1</v>
      </c>
      <c r="D907" s="3" t="n">
        <v>4</v>
      </c>
      <c r="E907" s="3" t="n">
        <v>9</v>
      </c>
      <c r="F907" s="24" t="n">
        <v>0</v>
      </c>
    </row>
    <row r="908" customFormat="false" ht="15" hidden="false" customHeight="false" outlineLevel="0" collapsed="false">
      <c r="A908" s="3" t="n">
        <v>907</v>
      </c>
      <c r="B908" s="3" t="n">
        <v>906</v>
      </c>
      <c r="C908" s="3" t="n">
        <v>1</v>
      </c>
      <c r="D908" s="3" t="n">
        <v>4</v>
      </c>
      <c r="E908" s="3" t="n">
        <v>10</v>
      </c>
      <c r="F908" s="24" t="n">
        <v>0</v>
      </c>
    </row>
    <row r="909" customFormat="false" ht="15" hidden="false" customHeight="false" outlineLevel="0" collapsed="false">
      <c r="A909" s="3" t="n">
        <v>908</v>
      </c>
      <c r="B909" s="3" t="n">
        <v>907</v>
      </c>
      <c r="C909" s="3" t="n">
        <v>1</v>
      </c>
      <c r="D909" s="3" t="n">
        <v>4</v>
      </c>
      <c r="E909" s="3" t="n">
        <v>11</v>
      </c>
      <c r="F909" s="24" t="n">
        <v>0</v>
      </c>
    </row>
    <row r="910" customFormat="false" ht="15" hidden="false" customHeight="false" outlineLevel="0" collapsed="false">
      <c r="A910" s="3" t="n">
        <v>909</v>
      </c>
      <c r="B910" s="3" t="n">
        <v>908</v>
      </c>
      <c r="C910" s="3" t="n">
        <v>1</v>
      </c>
      <c r="D910" s="3" t="n">
        <v>4</v>
      </c>
      <c r="E910" s="3" t="n">
        <v>12</v>
      </c>
      <c r="F910" s="24" t="n">
        <v>0</v>
      </c>
    </row>
    <row r="911" customFormat="false" ht="15" hidden="false" customHeight="false" outlineLevel="0" collapsed="false">
      <c r="A911" s="3" t="n">
        <v>910</v>
      </c>
      <c r="B911" s="3" t="n">
        <v>909</v>
      </c>
      <c r="C911" s="3" t="n">
        <v>1</v>
      </c>
      <c r="D911" s="3" t="n">
        <v>4</v>
      </c>
      <c r="E911" s="3" t="n">
        <v>13</v>
      </c>
      <c r="F911" s="24" t="n">
        <v>0</v>
      </c>
    </row>
    <row r="912" customFormat="false" ht="15" hidden="false" customHeight="false" outlineLevel="0" collapsed="false">
      <c r="A912" s="3" t="n">
        <v>911</v>
      </c>
      <c r="B912" s="3" t="n">
        <v>910</v>
      </c>
      <c r="C912" s="3" t="n">
        <v>1</v>
      </c>
      <c r="D912" s="3" t="n">
        <v>4</v>
      </c>
      <c r="E912" s="3" t="n">
        <v>14</v>
      </c>
      <c r="F912" s="24" t="n">
        <v>0</v>
      </c>
    </row>
    <row r="913" customFormat="false" ht="15" hidden="false" customHeight="false" outlineLevel="0" collapsed="false">
      <c r="A913" s="3" t="n">
        <v>912</v>
      </c>
      <c r="B913" s="3" t="n">
        <v>911</v>
      </c>
      <c r="C913" s="3" t="n">
        <v>1</v>
      </c>
      <c r="D913" s="3" t="n">
        <v>4</v>
      </c>
      <c r="E913" s="3" t="n">
        <v>15</v>
      </c>
      <c r="F913" s="24" t="n">
        <v>0</v>
      </c>
    </row>
    <row r="914" customFormat="false" ht="15" hidden="false" customHeight="false" outlineLevel="0" collapsed="false">
      <c r="A914" s="3" t="n">
        <v>913</v>
      </c>
      <c r="B914" s="3" t="n">
        <v>912</v>
      </c>
      <c r="C914" s="3" t="n">
        <v>1</v>
      </c>
      <c r="D914" s="3" t="n">
        <v>4</v>
      </c>
      <c r="E914" s="3" t="n">
        <v>16</v>
      </c>
      <c r="F914" s="24" t="n">
        <v>0</v>
      </c>
    </row>
    <row r="915" customFormat="false" ht="15" hidden="false" customHeight="false" outlineLevel="0" collapsed="false">
      <c r="A915" s="3" t="n">
        <v>914</v>
      </c>
      <c r="B915" s="3" t="n">
        <v>913</v>
      </c>
      <c r="C915" s="3" t="n">
        <v>1</v>
      </c>
      <c r="D915" s="3" t="n">
        <v>4</v>
      </c>
      <c r="E915" s="3" t="n">
        <v>17</v>
      </c>
      <c r="F915" s="24" t="n">
        <v>0</v>
      </c>
    </row>
    <row r="916" customFormat="false" ht="15" hidden="false" customHeight="false" outlineLevel="0" collapsed="false">
      <c r="A916" s="3" t="n">
        <v>915</v>
      </c>
      <c r="B916" s="3" t="n">
        <v>914</v>
      </c>
      <c r="C916" s="3" t="n">
        <v>1</v>
      </c>
      <c r="D916" s="3" t="n">
        <v>4</v>
      </c>
      <c r="E916" s="3" t="n">
        <v>18</v>
      </c>
      <c r="F916" s="24" t="n">
        <v>0</v>
      </c>
    </row>
    <row r="917" customFormat="false" ht="15" hidden="false" customHeight="false" outlineLevel="0" collapsed="false">
      <c r="A917" s="3" t="n">
        <v>916</v>
      </c>
      <c r="B917" s="3" t="n">
        <v>915</v>
      </c>
      <c r="C917" s="3" t="n">
        <v>1</v>
      </c>
      <c r="D917" s="3" t="n">
        <v>4</v>
      </c>
      <c r="E917" s="3" t="n">
        <v>19</v>
      </c>
      <c r="F917" s="24" t="n">
        <v>0</v>
      </c>
    </row>
    <row r="918" customFormat="false" ht="15" hidden="false" customHeight="false" outlineLevel="0" collapsed="false">
      <c r="A918" s="3" t="n">
        <v>917</v>
      </c>
      <c r="B918" s="3" t="n">
        <v>916</v>
      </c>
      <c r="C918" s="3" t="n">
        <v>1</v>
      </c>
      <c r="D918" s="3" t="n">
        <v>4</v>
      </c>
      <c r="E918" s="3" t="n">
        <v>20</v>
      </c>
      <c r="F918" s="24" t="n">
        <v>0</v>
      </c>
    </row>
    <row r="919" customFormat="false" ht="15" hidden="false" customHeight="false" outlineLevel="0" collapsed="false">
      <c r="A919" s="3" t="n">
        <v>918</v>
      </c>
      <c r="B919" s="3" t="n">
        <v>917</v>
      </c>
      <c r="C919" s="3" t="n">
        <v>1</v>
      </c>
      <c r="D919" s="3" t="n">
        <v>4</v>
      </c>
      <c r="E919" s="3" t="n">
        <v>21</v>
      </c>
      <c r="F919" s="24" t="n">
        <v>0</v>
      </c>
    </row>
    <row r="920" customFormat="false" ht="15" hidden="false" customHeight="false" outlineLevel="0" collapsed="false">
      <c r="A920" s="3" t="n">
        <v>919</v>
      </c>
      <c r="B920" s="3" t="n">
        <v>918</v>
      </c>
      <c r="C920" s="3" t="n">
        <v>1</v>
      </c>
      <c r="D920" s="3" t="n">
        <v>4</v>
      </c>
      <c r="E920" s="3" t="n">
        <v>22</v>
      </c>
      <c r="F920" s="24" t="n">
        <v>0</v>
      </c>
    </row>
    <row r="921" customFormat="false" ht="15" hidden="false" customHeight="false" outlineLevel="0" collapsed="false">
      <c r="A921" s="3" t="n">
        <v>920</v>
      </c>
      <c r="B921" s="3" t="n">
        <v>919</v>
      </c>
      <c r="C921" s="3" t="n">
        <v>1</v>
      </c>
      <c r="D921" s="3" t="n">
        <v>4</v>
      </c>
      <c r="E921" s="3" t="n">
        <v>23</v>
      </c>
      <c r="F921" s="24" t="n">
        <v>0</v>
      </c>
    </row>
    <row r="922" customFormat="false" ht="15" hidden="false" customHeight="false" outlineLevel="0" collapsed="false">
      <c r="A922" s="3" t="n">
        <v>921</v>
      </c>
      <c r="B922" s="3" t="n">
        <v>920</v>
      </c>
      <c r="C922" s="3" t="n">
        <v>1</v>
      </c>
      <c r="D922" s="3" t="n">
        <v>4</v>
      </c>
      <c r="E922" s="3" t="n">
        <v>24</v>
      </c>
      <c r="F922" s="24" t="n">
        <v>0</v>
      </c>
    </row>
    <row r="923" customFormat="false" ht="15" hidden="false" customHeight="false" outlineLevel="0" collapsed="false">
      <c r="A923" s="3" t="n">
        <v>922</v>
      </c>
      <c r="B923" s="3" t="n">
        <v>921</v>
      </c>
      <c r="C923" s="3" t="n">
        <v>1</v>
      </c>
      <c r="D923" s="3" t="n">
        <v>4</v>
      </c>
      <c r="E923" s="3" t="n">
        <v>25</v>
      </c>
      <c r="F923" s="24" t="n">
        <v>0</v>
      </c>
    </row>
    <row r="924" customFormat="false" ht="15" hidden="false" customHeight="false" outlineLevel="0" collapsed="false">
      <c r="A924" s="3" t="n">
        <v>923</v>
      </c>
      <c r="B924" s="3" t="n">
        <v>922</v>
      </c>
      <c r="C924" s="3" t="n">
        <v>1</v>
      </c>
      <c r="D924" s="3" t="n">
        <v>4</v>
      </c>
      <c r="E924" s="3" t="n">
        <v>26</v>
      </c>
      <c r="F924" s="24" t="n">
        <v>0</v>
      </c>
    </row>
    <row r="925" customFormat="false" ht="15" hidden="false" customHeight="false" outlineLevel="0" collapsed="false">
      <c r="A925" s="3" t="n">
        <v>924</v>
      </c>
      <c r="B925" s="3" t="n">
        <v>923</v>
      </c>
      <c r="C925" s="3" t="n">
        <v>1</v>
      </c>
      <c r="D925" s="3" t="n">
        <v>4</v>
      </c>
      <c r="E925" s="3" t="n">
        <v>27</v>
      </c>
      <c r="F925" s="24" t="n">
        <v>0</v>
      </c>
    </row>
    <row r="926" customFormat="false" ht="15" hidden="false" customHeight="false" outlineLevel="0" collapsed="false">
      <c r="A926" s="3" t="n">
        <v>925</v>
      </c>
      <c r="B926" s="3" t="n">
        <v>924</v>
      </c>
      <c r="C926" s="3" t="n">
        <v>1</v>
      </c>
      <c r="D926" s="3" t="n">
        <v>5</v>
      </c>
      <c r="E926" s="3" t="n">
        <v>0</v>
      </c>
      <c r="F926" s="24" t="n">
        <v>0</v>
      </c>
    </row>
    <row r="927" customFormat="false" ht="15" hidden="false" customHeight="false" outlineLevel="0" collapsed="false">
      <c r="A927" s="3" t="n">
        <v>926</v>
      </c>
      <c r="B927" s="3" t="n">
        <v>925</v>
      </c>
      <c r="C927" s="3" t="n">
        <v>1</v>
      </c>
      <c r="D927" s="3" t="n">
        <v>5</v>
      </c>
      <c r="E927" s="3" t="n">
        <v>1</v>
      </c>
      <c r="F927" s="24" t="n">
        <v>0</v>
      </c>
    </row>
    <row r="928" customFormat="false" ht="15" hidden="false" customHeight="false" outlineLevel="0" collapsed="false">
      <c r="A928" s="3" t="n">
        <v>927</v>
      </c>
      <c r="B928" s="3" t="n">
        <v>926</v>
      </c>
      <c r="C928" s="3" t="n">
        <v>1</v>
      </c>
      <c r="D928" s="3" t="n">
        <v>5</v>
      </c>
      <c r="E928" s="3" t="n">
        <v>2</v>
      </c>
      <c r="F928" s="24" t="n">
        <v>0</v>
      </c>
    </row>
    <row r="929" customFormat="false" ht="15" hidden="false" customHeight="false" outlineLevel="0" collapsed="false">
      <c r="A929" s="3" t="n">
        <v>928</v>
      </c>
      <c r="B929" s="3" t="n">
        <v>927</v>
      </c>
      <c r="C929" s="3" t="n">
        <v>1</v>
      </c>
      <c r="D929" s="3" t="n">
        <v>5</v>
      </c>
      <c r="E929" s="3" t="n">
        <v>3</v>
      </c>
      <c r="F929" s="24" t="n">
        <v>0</v>
      </c>
    </row>
    <row r="930" customFormat="false" ht="15" hidden="false" customHeight="false" outlineLevel="0" collapsed="false">
      <c r="A930" s="3" t="n">
        <v>929</v>
      </c>
      <c r="B930" s="3" t="n">
        <v>928</v>
      </c>
      <c r="C930" s="3" t="n">
        <v>1</v>
      </c>
      <c r="D930" s="3" t="n">
        <v>5</v>
      </c>
      <c r="E930" s="3" t="n">
        <v>4</v>
      </c>
      <c r="F930" s="24" t="n">
        <v>0</v>
      </c>
    </row>
    <row r="931" customFormat="false" ht="15" hidden="false" customHeight="false" outlineLevel="0" collapsed="false">
      <c r="A931" s="3" t="n">
        <v>930</v>
      </c>
      <c r="B931" s="3" t="n">
        <v>929</v>
      </c>
      <c r="C931" s="3" t="n">
        <v>1</v>
      </c>
      <c r="D931" s="3" t="n">
        <v>5</v>
      </c>
      <c r="E931" s="3" t="n">
        <v>5</v>
      </c>
      <c r="F931" s="24" t="n">
        <v>0</v>
      </c>
    </row>
    <row r="932" customFormat="false" ht="15" hidden="false" customHeight="false" outlineLevel="0" collapsed="false">
      <c r="A932" s="3" t="n">
        <v>931</v>
      </c>
      <c r="B932" s="3" t="n">
        <v>930</v>
      </c>
      <c r="C932" s="3" t="n">
        <v>1</v>
      </c>
      <c r="D932" s="3" t="n">
        <v>5</v>
      </c>
      <c r="E932" s="3" t="n">
        <v>6</v>
      </c>
      <c r="F932" s="24" t="n">
        <v>0</v>
      </c>
    </row>
    <row r="933" customFormat="false" ht="15" hidden="false" customHeight="false" outlineLevel="0" collapsed="false">
      <c r="A933" s="3" t="n">
        <v>932</v>
      </c>
      <c r="B933" s="3" t="n">
        <v>931</v>
      </c>
      <c r="C933" s="3" t="n">
        <v>1</v>
      </c>
      <c r="D933" s="3" t="n">
        <v>5</v>
      </c>
      <c r="E933" s="3" t="n">
        <v>7</v>
      </c>
      <c r="F933" s="24" t="n">
        <v>0</v>
      </c>
    </row>
    <row r="934" customFormat="false" ht="15" hidden="false" customHeight="false" outlineLevel="0" collapsed="false">
      <c r="A934" s="3" t="n">
        <v>933</v>
      </c>
      <c r="B934" s="3" t="n">
        <v>932</v>
      </c>
      <c r="C934" s="3" t="n">
        <v>1</v>
      </c>
      <c r="D934" s="3" t="n">
        <v>5</v>
      </c>
      <c r="E934" s="3" t="n">
        <v>8</v>
      </c>
      <c r="F934" s="24" t="n">
        <v>0</v>
      </c>
    </row>
    <row r="935" customFormat="false" ht="15" hidden="false" customHeight="false" outlineLevel="0" collapsed="false">
      <c r="A935" s="3" t="n">
        <v>934</v>
      </c>
      <c r="B935" s="3" t="n">
        <v>933</v>
      </c>
      <c r="C935" s="3" t="n">
        <v>1</v>
      </c>
      <c r="D935" s="3" t="n">
        <v>5</v>
      </c>
      <c r="E935" s="3" t="n">
        <v>9</v>
      </c>
      <c r="F935" s="24" t="n">
        <v>0</v>
      </c>
    </row>
    <row r="936" customFormat="false" ht="15" hidden="false" customHeight="false" outlineLevel="0" collapsed="false">
      <c r="A936" s="3" t="n">
        <v>935</v>
      </c>
      <c r="B936" s="3" t="n">
        <v>934</v>
      </c>
      <c r="C936" s="3" t="n">
        <v>1</v>
      </c>
      <c r="D936" s="3" t="n">
        <v>5</v>
      </c>
      <c r="E936" s="3" t="n">
        <v>10</v>
      </c>
      <c r="F936" s="24" t="n">
        <v>0</v>
      </c>
    </row>
    <row r="937" customFormat="false" ht="15" hidden="false" customHeight="false" outlineLevel="0" collapsed="false">
      <c r="A937" s="3" t="n">
        <v>936</v>
      </c>
      <c r="B937" s="3" t="n">
        <v>935</v>
      </c>
      <c r="C937" s="3" t="n">
        <v>1</v>
      </c>
      <c r="D937" s="3" t="n">
        <v>5</v>
      </c>
      <c r="E937" s="3" t="n">
        <v>11</v>
      </c>
      <c r="F937" s="24" t="n">
        <v>0</v>
      </c>
    </row>
    <row r="938" customFormat="false" ht="15" hidden="false" customHeight="false" outlineLevel="0" collapsed="false">
      <c r="A938" s="3" t="n">
        <v>937</v>
      </c>
      <c r="B938" s="3" t="n">
        <v>936</v>
      </c>
      <c r="C938" s="3" t="n">
        <v>1</v>
      </c>
      <c r="D938" s="3" t="n">
        <v>5</v>
      </c>
      <c r="E938" s="3" t="n">
        <v>12</v>
      </c>
      <c r="F938" s="24" t="n">
        <v>0</v>
      </c>
    </row>
    <row r="939" customFormat="false" ht="15" hidden="false" customHeight="false" outlineLevel="0" collapsed="false">
      <c r="A939" s="3" t="n">
        <v>938</v>
      </c>
      <c r="B939" s="3" t="n">
        <v>937</v>
      </c>
      <c r="C939" s="3" t="n">
        <v>1</v>
      </c>
      <c r="D939" s="3" t="n">
        <v>5</v>
      </c>
      <c r="E939" s="3" t="n">
        <v>13</v>
      </c>
      <c r="F939" s="24" t="n">
        <v>0</v>
      </c>
    </row>
    <row r="940" customFormat="false" ht="15" hidden="false" customHeight="false" outlineLevel="0" collapsed="false">
      <c r="A940" s="3" t="n">
        <v>939</v>
      </c>
      <c r="B940" s="3" t="n">
        <v>938</v>
      </c>
      <c r="C940" s="3" t="n">
        <v>1</v>
      </c>
      <c r="D940" s="3" t="n">
        <v>5</v>
      </c>
      <c r="E940" s="3" t="n">
        <v>14</v>
      </c>
      <c r="F940" s="24" t="n">
        <v>0</v>
      </c>
    </row>
    <row r="941" customFormat="false" ht="15" hidden="false" customHeight="false" outlineLevel="0" collapsed="false">
      <c r="A941" s="3" t="n">
        <v>940</v>
      </c>
      <c r="B941" s="3" t="n">
        <v>939</v>
      </c>
      <c r="C941" s="3" t="n">
        <v>1</v>
      </c>
      <c r="D941" s="3" t="n">
        <v>5</v>
      </c>
      <c r="E941" s="3" t="n">
        <v>15</v>
      </c>
      <c r="F941" s="24" t="n">
        <v>0</v>
      </c>
    </row>
    <row r="942" customFormat="false" ht="15" hidden="false" customHeight="false" outlineLevel="0" collapsed="false">
      <c r="A942" s="3" t="n">
        <v>941</v>
      </c>
      <c r="B942" s="3" t="n">
        <v>940</v>
      </c>
      <c r="C942" s="3" t="n">
        <v>1</v>
      </c>
      <c r="D942" s="3" t="n">
        <v>5</v>
      </c>
      <c r="E942" s="3" t="n">
        <v>16</v>
      </c>
      <c r="F942" s="24" t="n">
        <v>0</v>
      </c>
    </row>
    <row r="943" customFormat="false" ht="15" hidden="false" customHeight="false" outlineLevel="0" collapsed="false">
      <c r="A943" s="3" t="n">
        <v>942</v>
      </c>
      <c r="B943" s="3" t="n">
        <v>941</v>
      </c>
      <c r="C943" s="3" t="n">
        <v>1</v>
      </c>
      <c r="D943" s="3" t="n">
        <v>5</v>
      </c>
      <c r="E943" s="3" t="n">
        <v>17</v>
      </c>
      <c r="F943" s="24" t="n">
        <v>0</v>
      </c>
    </row>
    <row r="944" customFormat="false" ht="15" hidden="false" customHeight="false" outlineLevel="0" collapsed="false">
      <c r="A944" s="3" t="n">
        <v>943</v>
      </c>
      <c r="B944" s="3" t="n">
        <v>942</v>
      </c>
      <c r="C944" s="3" t="n">
        <v>1</v>
      </c>
      <c r="D944" s="3" t="n">
        <v>5</v>
      </c>
      <c r="E944" s="3" t="n">
        <v>18</v>
      </c>
      <c r="F944" s="24" t="n">
        <v>0</v>
      </c>
    </row>
    <row r="945" customFormat="false" ht="15" hidden="false" customHeight="false" outlineLevel="0" collapsed="false">
      <c r="A945" s="3" t="n">
        <v>944</v>
      </c>
      <c r="B945" s="3" t="n">
        <v>943</v>
      </c>
      <c r="C945" s="3" t="n">
        <v>1</v>
      </c>
      <c r="D945" s="3" t="n">
        <v>5</v>
      </c>
      <c r="E945" s="3" t="n">
        <v>19</v>
      </c>
      <c r="F945" s="24" t="n">
        <v>0</v>
      </c>
    </row>
    <row r="946" customFormat="false" ht="15" hidden="false" customHeight="false" outlineLevel="0" collapsed="false">
      <c r="A946" s="3" t="n">
        <v>945</v>
      </c>
      <c r="B946" s="3" t="n">
        <v>944</v>
      </c>
      <c r="C946" s="3" t="n">
        <v>1</v>
      </c>
      <c r="D946" s="3" t="n">
        <v>5</v>
      </c>
      <c r="E946" s="3" t="n">
        <v>20</v>
      </c>
      <c r="F946" s="24" t="n">
        <v>0</v>
      </c>
    </row>
    <row r="947" customFormat="false" ht="15" hidden="false" customHeight="false" outlineLevel="0" collapsed="false">
      <c r="A947" s="3" t="n">
        <v>946</v>
      </c>
      <c r="B947" s="3" t="n">
        <v>945</v>
      </c>
      <c r="C947" s="3" t="n">
        <v>1</v>
      </c>
      <c r="D947" s="3" t="n">
        <v>5</v>
      </c>
      <c r="E947" s="3" t="n">
        <v>21</v>
      </c>
      <c r="F947" s="24" t="n">
        <v>0</v>
      </c>
    </row>
    <row r="948" customFormat="false" ht="15" hidden="false" customHeight="false" outlineLevel="0" collapsed="false">
      <c r="A948" s="3" t="n">
        <v>947</v>
      </c>
      <c r="B948" s="3" t="n">
        <v>946</v>
      </c>
      <c r="C948" s="3" t="n">
        <v>1</v>
      </c>
      <c r="D948" s="3" t="n">
        <v>5</v>
      </c>
      <c r="E948" s="3" t="n">
        <v>22</v>
      </c>
      <c r="F948" s="24" t="n">
        <v>0</v>
      </c>
    </row>
    <row r="949" customFormat="false" ht="15" hidden="false" customHeight="false" outlineLevel="0" collapsed="false">
      <c r="A949" s="3" t="n">
        <v>948</v>
      </c>
      <c r="B949" s="3" t="n">
        <v>947</v>
      </c>
      <c r="C949" s="3" t="n">
        <v>1</v>
      </c>
      <c r="D949" s="3" t="n">
        <v>5</v>
      </c>
      <c r="E949" s="3" t="n">
        <v>23</v>
      </c>
      <c r="F949" s="24" t="n">
        <v>0</v>
      </c>
    </row>
    <row r="950" customFormat="false" ht="15" hidden="false" customHeight="false" outlineLevel="0" collapsed="false">
      <c r="A950" s="3" t="n">
        <v>949</v>
      </c>
      <c r="B950" s="3" t="n">
        <v>948</v>
      </c>
      <c r="C950" s="3" t="n">
        <v>1</v>
      </c>
      <c r="D950" s="3" t="n">
        <v>5</v>
      </c>
      <c r="E950" s="3" t="n">
        <v>24</v>
      </c>
      <c r="F950" s="24" t="n">
        <v>0</v>
      </c>
    </row>
    <row r="951" customFormat="false" ht="15" hidden="false" customHeight="false" outlineLevel="0" collapsed="false">
      <c r="A951" s="3" t="n">
        <v>950</v>
      </c>
      <c r="B951" s="3" t="n">
        <v>949</v>
      </c>
      <c r="C951" s="3" t="n">
        <v>1</v>
      </c>
      <c r="D951" s="3" t="n">
        <v>5</v>
      </c>
      <c r="E951" s="3" t="n">
        <v>25</v>
      </c>
      <c r="F951" s="24" t="n">
        <v>0</v>
      </c>
    </row>
    <row r="952" customFormat="false" ht="15" hidden="false" customHeight="false" outlineLevel="0" collapsed="false">
      <c r="A952" s="3" t="n">
        <v>951</v>
      </c>
      <c r="B952" s="3" t="n">
        <v>950</v>
      </c>
      <c r="C952" s="3" t="n">
        <v>1</v>
      </c>
      <c r="D952" s="3" t="n">
        <v>5</v>
      </c>
      <c r="E952" s="3" t="n">
        <v>26</v>
      </c>
      <c r="F952" s="24" t="n">
        <v>0</v>
      </c>
    </row>
    <row r="953" customFormat="false" ht="15" hidden="false" customHeight="false" outlineLevel="0" collapsed="false">
      <c r="A953" s="3" t="n">
        <v>952</v>
      </c>
      <c r="B953" s="3" t="n">
        <v>951</v>
      </c>
      <c r="C953" s="3" t="n">
        <v>1</v>
      </c>
      <c r="D953" s="3" t="n">
        <v>5</v>
      </c>
      <c r="E953" s="3" t="n">
        <v>27</v>
      </c>
      <c r="F953" s="24" t="n">
        <v>0</v>
      </c>
    </row>
    <row r="954" customFormat="false" ht="15" hidden="false" customHeight="false" outlineLevel="0" collapsed="false">
      <c r="A954" s="3" t="n">
        <v>953</v>
      </c>
      <c r="B954" s="3" t="n">
        <v>952</v>
      </c>
      <c r="C954" s="3" t="n">
        <v>1</v>
      </c>
      <c r="D954" s="3" t="n">
        <v>6</v>
      </c>
      <c r="E954" s="3" t="n">
        <v>0</v>
      </c>
      <c r="F954" s="24" t="n">
        <v>0</v>
      </c>
    </row>
    <row r="955" customFormat="false" ht="15" hidden="false" customHeight="false" outlineLevel="0" collapsed="false">
      <c r="A955" s="3" t="n">
        <v>954</v>
      </c>
      <c r="B955" s="3" t="n">
        <v>953</v>
      </c>
      <c r="C955" s="3" t="n">
        <v>1</v>
      </c>
      <c r="D955" s="3" t="n">
        <v>6</v>
      </c>
      <c r="E955" s="3" t="n">
        <v>1</v>
      </c>
      <c r="F955" s="24" t="n">
        <v>0</v>
      </c>
    </row>
    <row r="956" customFormat="false" ht="15" hidden="false" customHeight="false" outlineLevel="0" collapsed="false">
      <c r="A956" s="3" t="n">
        <v>955</v>
      </c>
      <c r="B956" s="3" t="n">
        <v>954</v>
      </c>
      <c r="C956" s="3" t="n">
        <v>1</v>
      </c>
      <c r="D956" s="3" t="n">
        <v>6</v>
      </c>
      <c r="E956" s="3" t="n">
        <v>2</v>
      </c>
      <c r="F956" s="24" t="n">
        <v>0</v>
      </c>
    </row>
    <row r="957" customFormat="false" ht="15" hidden="false" customHeight="false" outlineLevel="0" collapsed="false">
      <c r="A957" s="3" t="n">
        <v>956</v>
      </c>
      <c r="B957" s="3" t="n">
        <v>955</v>
      </c>
      <c r="C957" s="3" t="n">
        <v>1</v>
      </c>
      <c r="D957" s="3" t="n">
        <v>6</v>
      </c>
      <c r="E957" s="3" t="n">
        <v>3</v>
      </c>
      <c r="F957" s="24" t="n">
        <v>0</v>
      </c>
    </row>
    <row r="958" customFormat="false" ht="15" hidden="false" customHeight="false" outlineLevel="0" collapsed="false">
      <c r="A958" s="3" t="n">
        <v>957</v>
      </c>
      <c r="B958" s="3" t="n">
        <v>956</v>
      </c>
      <c r="C958" s="3" t="n">
        <v>1</v>
      </c>
      <c r="D958" s="3" t="n">
        <v>6</v>
      </c>
      <c r="E958" s="3" t="n">
        <v>4</v>
      </c>
      <c r="F958" s="24" t="n">
        <v>0</v>
      </c>
    </row>
    <row r="959" customFormat="false" ht="15" hidden="false" customHeight="false" outlineLevel="0" collapsed="false">
      <c r="A959" s="3" t="n">
        <v>958</v>
      </c>
      <c r="B959" s="3" t="n">
        <v>957</v>
      </c>
      <c r="C959" s="3" t="n">
        <v>1</v>
      </c>
      <c r="D959" s="3" t="n">
        <v>6</v>
      </c>
      <c r="E959" s="3" t="n">
        <v>5</v>
      </c>
      <c r="F959" s="24" t="n">
        <v>0</v>
      </c>
    </row>
    <row r="960" customFormat="false" ht="15" hidden="false" customHeight="false" outlineLevel="0" collapsed="false">
      <c r="A960" s="3" t="n">
        <v>959</v>
      </c>
      <c r="B960" s="3" t="n">
        <v>958</v>
      </c>
      <c r="C960" s="3" t="n">
        <v>1</v>
      </c>
      <c r="D960" s="3" t="n">
        <v>6</v>
      </c>
      <c r="E960" s="3" t="n">
        <v>6</v>
      </c>
      <c r="F960" s="24" t="n">
        <v>0</v>
      </c>
    </row>
    <row r="961" customFormat="false" ht="15" hidden="false" customHeight="false" outlineLevel="0" collapsed="false">
      <c r="A961" s="3" t="n">
        <v>960</v>
      </c>
      <c r="B961" s="3" t="n">
        <v>959</v>
      </c>
      <c r="C961" s="3" t="n">
        <v>1</v>
      </c>
      <c r="D961" s="3" t="n">
        <v>6</v>
      </c>
      <c r="E961" s="3" t="n">
        <v>7</v>
      </c>
      <c r="F961" s="24" t="n">
        <v>0.231576234</v>
      </c>
    </row>
    <row r="962" customFormat="false" ht="15" hidden="false" customHeight="false" outlineLevel="0" collapsed="false">
      <c r="A962" s="3" t="n">
        <v>961</v>
      </c>
      <c r="B962" s="3" t="n">
        <v>960</v>
      </c>
      <c r="C962" s="3" t="n">
        <v>1</v>
      </c>
      <c r="D962" s="3" t="n">
        <v>6</v>
      </c>
      <c r="E962" s="3" t="n">
        <v>8</v>
      </c>
      <c r="F962" s="24" t="n">
        <v>0.00737822056</v>
      </c>
    </row>
    <row r="963" customFormat="false" ht="15" hidden="false" customHeight="false" outlineLevel="0" collapsed="false">
      <c r="A963" s="3" t="n">
        <v>962</v>
      </c>
      <c r="B963" s="3" t="n">
        <v>961</v>
      </c>
      <c r="C963" s="3" t="n">
        <v>1</v>
      </c>
      <c r="D963" s="3" t="n">
        <v>6</v>
      </c>
      <c r="E963" s="3" t="n">
        <v>9</v>
      </c>
      <c r="F963" s="24" t="n">
        <v>0</v>
      </c>
    </row>
    <row r="964" customFormat="false" ht="15" hidden="false" customHeight="false" outlineLevel="0" collapsed="false">
      <c r="A964" s="3" t="n">
        <v>963</v>
      </c>
      <c r="B964" s="3" t="n">
        <v>962</v>
      </c>
      <c r="C964" s="3" t="n">
        <v>1</v>
      </c>
      <c r="D964" s="3" t="n">
        <v>6</v>
      </c>
      <c r="E964" s="3" t="n">
        <v>10</v>
      </c>
      <c r="F964" s="24" t="n">
        <v>0</v>
      </c>
    </row>
    <row r="965" customFormat="false" ht="15" hidden="false" customHeight="false" outlineLevel="0" collapsed="false">
      <c r="A965" s="3" t="n">
        <v>964</v>
      </c>
      <c r="B965" s="3" t="n">
        <v>963</v>
      </c>
      <c r="C965" s="3" t="n">
        <v>1</v>
      </c>
      <c r="D965" s="3" t="n">
        <v>6</v>
      </c>
      <c r="E965" s="3" t="n">
        <v>11</v>
      </c>
      <c r="F965" s="24" t="n">
        <v>0</v>
      </c>
    </row>
    <row r="966" customFormat="false" ht="15" hidden="false" customHeight="false" outlineLevel="0" collapsed="false">
      <c r="A966" s="3" t="n">
        <v>965</v>
      </c>
      <c r="B966" s="3" t="n">
        <v>964</v>
      </c>
      <c r="C966" s="3" t="n">
        <v>1</v>
      </c>
      <c r="D966" s="3" t="n">
        <v>6</v>
      </c>
      <c r="E966" s="3" t="n">
        <v>12</v>
      </c>
      <c r="F966" s="24" t="n">
        <v>0</v>
      </c>
    </row>
    <row r="967" customFormat="false" ht="15" hidden="false" customHeight="false" outlineLevel="0" collapsed="false">
      <c r="A967" s="3" t="n">
        <v>966</v>
      </c>
      <c r="B967" s="3" t="n">
        <v>965</v>
      </c>
      <c r="C967" s="3" t="n">
        <v>1</v>
      </c>
      <c r="D967" s="3" t="n">
        <v>6</v>
      </c>
      <c r="E967" s="3" t="n">
        <v>13</v>
      </c>
      <c r="F967" s="24" t="n">
        <v>0</v>
      </c>
    </row>
    <row r="968" customFormat="false" ht="15" hidden="false" customHeight="false" outlineLevel="0" collapsed="false">
      <c r="A968" s="3" t="n">
        <v>967</v>
      </c>
      <c r="B968" s="3" t="n">
        <v>966</v>
      </c>
      <c r="C968" s="3" t="n">
        <v>1</v>
      </c>
      <c r="D968" s="3" t="n">
        <v>6</v>
      </c>
      <c r="E968" s="3" t="n">
        <v>14</v>
      </c>
      <c r="F968" s="24" t="n">
        <v>0</v>
      </c>
    </row>
    <row r="969" customFormat="false" ht="15" hidden="false" customHeight="false" outlineLevel="0" collapsed="false">
      <c r="A969" s="3" t="n">
        <v>968</v>
      </c>
      <c r="B969" s="3" t="n">
        <v>967</v>
      </c>
      <c r="C969" s="3" t="n">
        <v>1</v>
      </c>
      <c r="D969" s="3" t="n">
        <v>6</v>
      </c>
      <c r="E969" s="3" t="n">
        <v>15</v>
      </c>
      <c r="F969" s="24" t="n">
        <v>0</v>
      </c>
    </row>
    <row r="970" customFormat="false" ht="15" hidden="false" customHeight="false" outlineLevel="0" collapsed="false">
      <c r="A970" s="3" t="n">
        <v>969</v>
      </c>
      <c r="B970" s="3" t="n">
        <v>968</v>
      </c>
      <c r="C970" s="3" t="n">
        <v>1</v>
      </c>
      <c r="D970" s="3" t="n">
        <v>6</v>
      </c>
      <c r="E970" s="3" t="n">
        <v>16</v>
      </c>
      <c r="F970" s="24" t="n">
        <v>0</v>
      </c>
    </row>
    <row r="971" customFormat="false" ht="15" hidden="false" customHeight="false" outlineLevel="0" collapsed="false">
      <c r="A971" s="3" t="n">
        <v>970</v>
      </c>
      <c r="B971" s="3" t="n">
        <v>969</v>
      </c>
      <c r="C971" s="3" t="n">
        <v>1</v>
      </c>
      <c r="D971" s="3" t="n">
        <v>6</v>
      </c>
      <c r="E971" s="3" t="n">
        <v>17</v>
      </c>
      <c r="F971" s="24" t="n">
        <v>0</v>
      </c>
    </row>
    <row r="972" customFormat="false" ht="15" hidden="false" customHeight="false" outlineLevel="0" collapsed="false">
      <c r="A972" s="3" t="n">
        <v>971</v>
      </c>
      <c r="B972" s="3" t="n">
        <v>970</v>
      </c>
      <c r="C972" s="3" t="n">
        <v>1</v>
      </c>
      <c r="D972" s="3" t="n">
        <v>6</v>
      </c>
      <c r="E972" s="3" t="n">
        <v>18</v>
      </c>
      <c r="F972" s="24" t="n">
        <v>0</v>
      </c>
    </row>
    <row r="973" customFormat="false" ht="15" hidden="false" customHeight="false" outlineLevel="0" collapsed="false">
      <c r="A973" s="3" t="n">
        <v>972</v>
      </c>
      <c r="B973" s="3" t="n">
        <v>971</v>
      </c>
      <c r="C973" s="3" t="n">
        <v>1</v>
      </c>
      <c r="D973" s="3" t="n">
        <v>6</v>
      </c>
      <c r="E973" s="3" t="n">
        <v>19</v>
      </c>
      <c r="F973" s="24" t="n">
        <v>0</v>
      </c>
    </row>
    <row r="974" customFormat="false" ht="15" hidden="false" customHeight="false" outlineLevel="0" collapsed="false">
      <c r="A974" s="3" t="n">
        <v>973</v>
      </c>
      <c r="B974" s="3" t="n">
        <v>972</v>
      </c>
      <c r="C974" s="3" t="n">
        <v>1</v>
      </c>
      <c r="D974" s="3" t="n">
        <v>6</v>
      </c>
      <c r="E974" s="3" t="n">
        <v>20</v>
      </c>
      <c r="F974" s="24" t="n">
        <v>0</v>
      </c>
    </row>
    <row r="975" customFormat="false" ht="15" hidden="false" customHeight="false" outlineLevel="0" collapsed="false">
      <c r="A975" s="3" t="n">
        <v>974</v>
      </c>
      <c r="B975" s="3" t="n">
        <v>973</v>
      </c>
      <c r="C975" s="3" t="n">
        <v>1</v>
      </c>
      <c r="D975" s="3" t="n">
        <v>6</v>
      </c>
      <c r="E975" s="3" t="n">
        <v>21</v>
      </c>
      <c r="F975" s="24" t="n">
        <v>0</v>
      </c>
    </row>
    <row r="976" customFormat="false" ht="15" hidden="false" customHeight="false" outlineLevel="0" collapsed="false">
      <c r="A976" s="3" t="n">
        <v>975</v>
      </c>
      <c r="B976" s="3" t="n">
        <v>974</v>
      </c>
      <c r="C976" s="3" t="n">
        <v>1</v>
      </c>
      <c r="D976" s="3" t="n">
        <v>6</v>
      </c>
      <c r="E976" s="3" t="n">
        <v>22</v>
      </c>
      <c r="F976" s="24" t="n">
        <v>0</v>
      </c>
    </row>
    <row r="977" customFormat="false" ht="15" hidden="false" customHeight="false" outlineLevel="0" collapsed="false">
      <c r="A977" s="3" t="n">
        <v>976</v>
      </c>
      <c r="B977" s="3" t="n">
        <v>975</v>
      </c>
      <c r="C977" s="3" t="n">
        <v>1</v>
      </c>
      <c r="D977" s="3" t="n">
        <v>6</v>
      </c>
      <c r="E977" s="3" t="n">
        <v>23</v>
      </c>
      <c r="F977" s="24" t="n">
        <v>0</v>
      </c>
    </row>
    <row r="978" customFormat="false" ht="15" hidden="false" customHeight="false" outlineLevel="0" collapsed="false">
      <c r="A978" s="3" t="n">
        <v>977</v>
      </c>
      <c r="B978" s="3" t="n">
        <v>976</v>
      </c>
      <c r="C978" s="3" t="n">
        <v>1</v>
      </c>
      <c r="D978" s="3" t="n">
        <v>6</v>
      </c>
      <c r="E978" s="3" t="n">
        <v>24</v>
      </c>
      <c r="F978" s="24" t="n">
        <v>0</v>
      </c>
    </row>
    <row r="979" customFormat="false" ht="15" hidden="false" customHeight="false" outlineLevel="0" collapsed="false">
      <c r="A979" s="3" t="n">
        <v>978</v>
      </c>
      <c r="B979" s="3" t="n">
        <v>977</v>
      </c>
      <c r="C979" s="3" t="n">
        <v>1</v>
      </c>
      <c r="D979" s="3" t="n">
        <v>6</v>
      </c>
      <c r="E979" s="3" t="n">
        <v>25</v>
      </c>
      <c r="F979" s="24" t="n">
        <v>0</v>
      </c>
    </row>
    <row r="980" customFormat="false" ht="15" hidden="false" customHeight="false" outlineLevel="0" collapsed="false">
      <c r="A980" s="3" t="n">
        <v>979</v>
      </c>
      <c r="B980" s="3" t="n">
        <v>978</v>
      </c>
      <c r="C980" s="3" t="n">
        <v>1</v>
      </c>
      <c r="D980" s="3" t="n">
        <v>6</v>
      </c>
      <c r="E980" s="3" t="n">
        <v>26</v>
      </c>
      <c r="F980" s="24" t="n">
        <v>0</v>
      </c>
    </row>
    <row r="981" customFormat="false" ht="15" hidden="false" customHeight="false" outlineLevel="0" collapsed="false">
      <c r="A981" s="3" t="n">
        <v>980</v>
      </c>
      <c r="B981" s="3" t="n">
        <v>979</v>
      </c>
      <c r="C981" s="3" t="n">
        <v>1</v>
      </c>
      <c r="D981" s="3" t="n">
        <v>6</v>
      </c>
      <c r="E981" s="3" t="n">
        <v>27</v>
      </c>
      <c r="F981" s="24" t="n">
        <v>0</v>
      </c>
    </row>
    <row r="982" customFormat="false" ht="15" hidden="false" customHeight="false" outlineLevel="0" collapsed="false">
      <c r="A982" s="3" t="n">
        <v>981</v>
      </c>
      <c r="B982" s="3" t="n">
        <v>980</v>
      </c>
      <c r="C982" s="3" t="n">
        <v>1</v>
      </c>
      <c r="D982" s="3" t="n">
        <v>7</v>
      </c>
      <c r="E982" s="3" t="n">
        <v>0</v>
      </c>
      <c r="F982" s="24" t="n">
        <v>0</v>
      </c>
    </row>
    <row r="983" customFormat="false" ht="15" hidden="false" customHeight="false" outlineLevel="0" collapsed="false">
      <c r="A983" s="3" t="n">
        <v>982</v>
      </c>
      <c r="B983" s="3" t="n">
        <v>981</v>
      </c>
      <c r="C983" s="3" t="n">
        <v>1</v>
      </c>
      <c r="D983" s="3" t="n">
        <v>7</v>
      </c>
      <c r="E983" s="3" t="n">
        <v>1</v>
      </c>
      <c r="F983" s="24" t="n">
        <v>0</v>
      </c>
    </row>
    <row r="984" customFormat="false" ht="15" hidden="false" customHeight="false" outlineLevel="0" collapsed="false">
      <c r="A984" s="3" t="n">
        <v>983</v>
      </c>
      <c r="B984" s="3" t="n">
        <v>982</v>
      </c>
      <c r="C984" s="3" t="n">
        <v>1</v>
      </c>
      <c r="D984" s="3" t="n">
        <v>7</v>
      </c>
      <c r="E984" s="3" t="n">
        <v>2</v>
      </c>
      <c r="F984" s="24" t="n">
        <v>0</v>
      </c>
    </row>
    <row r="985" customFormat="false" ht="15" hidden="false" customHeight="false" outlineLevel="0" collapsed="false">
      <c r="A985" s="3" t="n">
        <v>984</v>
      </c>
      <c r="B985" s="3" t="n">
        <v>983</v>
      </c>
      <c r="C985" s="3" t="n">
        <v>1</v>
      </c>
      <c r="D985" s="3" t="n">
        <v>7</v>
      </c>
      <c r="E985" s="3" t="n">
        <v>3</v>
      </c>
      <c r="F985" s="24" t="n">
        <v>0</v>
      </c>
    </row>
    <row r="986" customFormat="false" ht="15" hidden="false" customHeight="false" outlineLevel="0" collapsed="false">
      <c r="A986" s="3" t="n">
        <v>985</v>
      </c>
      <c r="B986" s="3" t="n">
        <v>984</v>
      </c>
      <c r="C986" s="3" t="n">
        <v>1</v>
      </c>
      <c r="D986" s="3" t="n">
        <v>7</v>
      </c>
      <c r="E986" s="3" t="n">
        <v>4</v>
      </c>
      <c r="F986" s="24" t="n">
        <v>0</v>
      </c>
    </row>
    <row r="987" customFormat="false" ht="15" hidden="false" customHeight="false" outlineLevel="0" collapsed="false">
      <c r="A987" s="3" t="n">
        <v>986</v>
      </c>
      <c r="B987" s="3" t="n">
        <v>985</v>
      </c>
      <c r="C987" s="3" t="n">
        <v>1</v>
      </c>
      <c r="D987" s="3" t="n">
        <v>7</v>
      </c>
      <c r="E987" s="3" t="n">
        <v>5</v>
      </c>
      <c r="F987" s="24" t="n">
        <v>0</v>
      </c>
    </row>
    <row r="988" customFormat="false" ht="15" hidden="false" customHeight="false" outlineLevel="0" collapsed="false">
      <c r="A988" s="3" t="n">
        <v>987</v>
      </c>
      <c r="B988" s="3" t="n">
        <v>986</v>
      </c>
      <c r="C988" s="3" t="n">
        <v>1</v>
      </c>
      <c r="D988" s="3" t="n">
        <v>7</v>
      </c>
      <c r="E988" s="3" t="n">
        <v>6</v>
      </c>
      <c r="F988" s="24" t="n">
        <v>1.75522518</v>
      </c>
    </row>
    <row r="989" customFormat="false" ht="15" hidden="false" customHeight="false" outlineLevel="0" collapsed="false">
      <c r="A989" s="3" t="n">
        <v>988</v>
      </c>
      <c r="B989" s="3" t="n">
        <v>987</v>
      </c>
      <c r="C989" s="3" t="n">
        <v>1</v>
      </c>
      <c r="D989" s="3" t="n">
        <v>7</v>
      </c>
      <c r="E989" s="3" t="n">
        <v>7</v>
      </c>
      <c r="F989" s="24" t="n">
        <v>2.13951111</v>
      </c>
    </row>
    <row r="990" customFormat="false" ht="15" hidden="false" customHeight="false" outlineLevel="0" collapsed="false">
      <c r="A990" s="3" t="n">
        <v>989</v>
      </c>
      <c r="B990" s="3" t="n">
        <v>988</v>
      </c>
      <c r="C990" s="3" t="n">
        <v>1</v>
      </c>
      <c r="D990" s="3" t="n">
        <v>7</v>
      </c>
      <c r="E990" s="3" t="n">
        <v>8</v>
      </c>
      <c r="F990" s="24" t="n">
        <v>2.31036425</v>
      </c>
    </row>
    <row r="991" customFormat="false" ht="15" hidden="false" customHeight="false" outlineLevel="0" collapsed="false">
      <c r="A991" s="3" t="n">
        <v>990</v>
      </c>
      <c r="B991" s="3" t="n">
        <v>989</v>
      </c>
      <c r="C991" s="3" t="n">
        <v>1</v>
      </c>
      <c r="D991" s="3" t="n">
        <v>7</v>
      </c>
      <c r="E991" s="3" t="n">
        <v>9</v>
      </c>
      <c r="F991" s="24" t="n">
        <v>1.76137316</v>
      </c>
    </row>
    <row r="992" customFormat="false" ht="15" hidden="false" customHeight="false" outlineLevel="0" collapsed="false">
      <c r="A992" s="3" t="n">
        <v>991</v>
      </c>
      <c r="B992" s="3" t="n">
        <v>990</v>
      </c>
      <c r="C992" s="3" t="n">
        <v>1</v>
      </c>
      <c r="D992" s="3" t="n">
        <v>7</v>
      </c>
      <c r="E992" s="3" t="n">
        <v>10</v>
      </c>
      <c r="F992" s="24" t="n">
        <v>1.31153965</v>
      </c>
    </row>
    <row r="993" customFormat="false" ht="15" hidden="false" customHeight="false" outlineLevel="0" collapsed="false">
      <c r="A993" s="3" t="n">
        <v>992</v>
      </c>
      <c r="B993" s="3" t="n">
        <v>991</v>
      </c>
      <c r="C993" s="3" t="n">
        <v>1</v>
      </c>
      <c r="D993" s="3" t="n">
        <v>7</v>
      </c>
      <c r="E993" s="3" t="n">
        <v>11</v>
      </c>
      <c r="F993" s="24" t="n">
        <v>0.658998787</v>
      </c>
    </row>
    <row r="994" customFormat="false" ht="15" hidden="false" customHeight="false" outlineLevel="0" collapsed="false">
      <c r="A994" s="3" t="n">
        <v>993</v>
      </c>
      <c r="B994" s="3" t="n">
        <v>992</v>
      </c>
      <c r="C994" s="3" t="n">
        <v>1</v>
      </c>
      <c r="D994" s="3" t="n">
        <v>7</v>
      </c>
      <c r="E994" s="3" t="n">
        <v>12</v>
      </c>
      <c r="F994" s="24" t="n">
        <v>0.292817324</v>
      </c>
    </row>
    <row r="995" customFormat="false" ht="15" hidden="false" customHeight="false" outlineLevel="0" collapsed="false">
      <c r="A995" s="3" t="n">
        <v>994</v>
      </c>
      <c r="B995" s="3" t="n">
        <v>993</v>
      </c>
      <c r="C995" s="3" t="n">
        <v>1</v>
      </c>
      <c r="D995" s="3" t="n">
        <v>7</v>
      </c>
      <c r="E995" s="3" t="n">
        <v>13</v>
      </c>
      <c r="F995" s="24" t="n">
        <v>0.220227093</v>
      </c>
    </row>
    <row r="996" customFormat="false" ht="15" hidden="false" customHeight="false" outlineLevel="0" collapsed="false">
      <c r="A996" s="3" t="n">
        <v>995</v>
      </c>
      <c r="B996" s="3" t="n">
        <v>994</v>
      </c>
      <c r="C996" s="3" t="n">
        <v>1</v>
      </c>
      <c r="D996" s="3" t="n">
        <v>7</v>
      </c>
      <c r="E996" s="3" t="n">
        <v>14</v>
      </c>
      <c r="F996" s="24" t="n">
        <v>0.220227093</v>
      </c>
    </row>
    <row r="997" customFormat="false" ht="15" hidden="false" customHeight="false" outlineLevel="0" collapsed="false">
      <c r="A997" s="3" t="n">
        <v>996</v>
      </c>
      <c r="B997" s="3" t="n">
        <v>995</v>
      </c>
      <c r="C997" s="3" t="n">
        <v>1</v>
      </c>
      <c r="D997" s="3" t="n">
        <v>7</v>
      </c>
      <c r="E997" s="3" t="n">
        <v>15</v>
      </c>
      <c r="F997" s="24" t="n">
        <v>0.220227093</v>
      </c>
    </row>
    <row r="998" customFormat="false" ht="15" hidden="false" customHeight="false" outlineLevel="0" collapsed="false">
      <c r="A998" s="3" t="n">
        <v>997</v>
      </c>
      <c r="B998" s="3" t="n">
        <v>996</v>
      </c>
      <c r="C998" s="3" t="n">
        <v>1</v>
      </c>
      <c r="D998" s="3" t="n">
        <v>7</v>
      </c>
      <c r="E998" s="3" t="n">
        <v>16</v>
      </c>
      <c r="F998" s="24" t="n">
        <v>0.220227093</v>
      </c>
    </row>
    <row r="999" customFormat="false" ht="15" hidden="false" customHeight="false" outlineLevel="0" collapsed="false">
      <c r="A999" s="3" t="n">
        <v>998</v>
      </c>
      <c r="B999" s="3" t="n">
        <v>997</v>
      </c>
      <c r="C999" s="3" t="n">
        <v>1</v>
      </c>
      <c r="D999" s="3" t="n">
        <v>7</v>
      </c>
      <c r="E999" s="3" t="n">
        <v>17</v>
      </c>
      <c r="F999" s="24" t="n">
        <v>0.220227093</v>
      </c>
    </row>
    <row r="1000" customFormat="false" ht="15" hidden="false" customHeight="false" outlineLevel="0" collapsed="false">
      <c r="A1000" s="3" t="n">
        <v>999</v>
      </c>
      <c r="B1000" s="3" t="n">
        <v>998</v>
      </c>
      <c r="C1000" s="3" t="n">
        <v>1</v>
      </c>
      <c r="D1000" s="3" t="n">
        <v>7</v>
      </c>
      <c r="E1000" s="3" t="n">
        <v>18</v>
      </c>
      <c r="F1000" s="24" t="n">
        <v>0.220227093</v>
      </c>
    </row>
    <row r="1001" customFormat="false" ht="15" hidden="false" customHeight="false" outlineLevel="0" collapsed="false">
      <c r="A1001" s="3" t="n">
        <v>1000</v>
      </c>
      <c r="B1001" s="3" t="n">
        <v>999</v>
      </c>
      <c r="C1001" s="3" t="n">
        <v>1</v>
      </c>
      <c r="D1001" s="3" t="n">
        <v>7</v>
      </c>
      <c r="E1001" s="3" t="n">
        <v>19</v>
      </c>
      <c r="F1001" s="24" t="n">
        <v>0.186288774</v>
      </c>
    </row>
    <row r="1002" customFormat="false" ht="15" hidden="false" customHeight="false" outlineLevel="0" collapsed="false">
      <c r="A1002" s="3" t="n">
        <v>1001</v>
      </c>
      <c r="B1002" s="3" t="n">
        <v>1000</v>
      </c>
      <c r="C1002" s="3" t="n">
        <v>1</v>
      </c>
      <c r="D1002" s="3" t="n">
        <v>7</v>
      </c>
      <c r="E1002" s="3" t="n">
        <v>20</v>
      </c>
      <c r="F1002" s="24" t="n">
        <v>0</v>
      </c>
    </row>
    <row r="1003" customFormat="false" ht="15" hidden="false" customHeight="false" outlineLevel="0" collapsed="false">
      <c r="A1003" s="3" t="n">
        <v>1002</v>
      </c>
      <c r="B1003" s="3" t="n">
        <v>1001</v>
      </c>
      <c r="C1003" s="3" t="n">
        <v>1</v>
      </c>
      <c r="D1003" s="3" t="n">
        <v>7</v>
      </c>
      <c r="E1003" s="3" t="n">
        <v>21</v>
      </c>
      <c r="F1003" s="24" t="n">
        <v>0</v>
      </c>
    </row>
    <row r="1004" customFormat="false" ht="15" hidden="false" customHeight="false" outlineLevel="0" collapsed="false">
      <c r="A1004" s="3" t="n">
        <v>1003</v>
      </c>
      <c r="B1004" s="3" t="n">
        <v>1002</v>
      </c>
      <c r="C1004" s="3" t="n">
        <v>1</v>
      </c>
      <c r="D1004" s="3" t="n">
        <v>7</v>
      </c>
      <c r="E1004" s="3" t="n">
        <v>22</v>
      </c>
      <c r="F1004" s="24" t="n">
        <v>0</v>
      </c>
    </row>
    <row r="1005" customFormat="false" ht="15" hidden="false" customHeight="false" outlineLevel="0" collapsed="false">
      <c r="A1005" s="3" t="n">
        <v>1004</v>
      </c>
      <c r="B1005" s="3" t="n">
        <v>1003</v>
      </c>
      <c r="C1005" s="3" t="n">
        <v>1</v>
      </c>
      <c r="D1005" s="3" t="n">
        <v>7</v>
      </c>
      <c r="E1005" s="3" t="n">
        <v>23</v>
      </c>
      <c r="F1005" s="24" t="n">
        <v>0</v>
      </c>
    </row>
    <row r="1006" customFormat="false" ht="15" hidden="false" customHeight="false" outlineLevel="0" collapsed="false">
      <c r="A1006" s="3" t="n">
        <v>1005</v>
      </c>
      <c r="B1006" s="3" t="n">
        <v>1004</v>
      </c>
      <c r="C1006" s="3" t="n">
        <v>1</v>
      </c>
      <c r="D1006" s="3" t="n">
        <v>7</v>
      </c>
      <c r="E1006" s="3" t="n">
        <v>24</v>
      </c>
      <c r="F1006" s="24" t="n">
        <v>0</v>
      </c>
    </row>
    <row r="1007" customFormat="false" ht="15" hidden="false" customHeight="false" outlineLevel="0" collapsed="false">
      <c r="A1007" s="3" t="n">
        <v>1006</v>
      </c>
      <c r="B1007" s="3" t="n">
        <v>1005</v>
      </c>
      <c r="C1007" s="3" t="n">
        <v>1</v>
      </c>
      <c r="D1007" s="3" t="n">
        <v>7</v>
      </c>
      <c r="E1007" s="3" t="n">
        <v>25</v>
      </c>
      <c r="F1007" s="24" t="n">
        <v>0</v>
      </c>
    </row>
    <row r="1008" customFormat="false" ht="15" hidden="false" customHeight="false" outlineLevel="0" collapsed="false">
      <c r="A1008" s="3" t="n">
        <v>1007</v>
      </c>
      <c r="B1008" s="3" t="n">
        <v>1006</v>
      </c>
      <c r="C1008" s="3" t="n">
        <v>1</v>
      </c>
      <c r="D1008" s="3" t="n">
        <v>7</v>
      </c>
      <c r="E1008" s="3" t="n">
        <v>26</v>
      </c>
      <c r="F1008" s="24" t="n">
        <v>0</v>
      </c>
    </row>
    <row r="1009" customFormat="false" ht="15" hidden="false" customHeight="false" outlineLevel="0" collapsed="false">
      <c r="A1009" s="3" t="n">
        <v>1008</v>
      </c>
      <c r="B1009" s="3" t="n">
        <v>1007</v>
      </c>
      <c r="C1009" s="3" t="n">
        <v>1</v>
      </c>
      <c r="D1009" s="3" t="n">
        <v>7</v>
      </c>
      <c r="E1009" s="3" t="n">
        <v>27</v>
      </c>
      <c r="F1009" s="24" t="n">
        <v>0</v>
      </c>
    </row>
    <row r="1010" customFormat="false" ht="15" hidden="false" customHeight="false" outlineLevel="0" collapsed="false">
      <c r="A1010" s="3" t="n">
        <v>1009</v>
      </c>
      <c r="B1010" s="3" t="n">
        <v>1008</v>
      </c>
      <c r="C1010" s="3" t="n">
        <v>1</v>
      </c>
      <c r="D1010" s="3" t="n">
        <v>8</v>
      </c>
      <c r="E1010" s="3" t="n">
        <v>0</v>
      </c>
      <c r="F1010" s="24" t="n">
        <v>0</v>
      </c>
    </row>
    <row r="1011" customFormat="false" ht="15" hidden="false" customHeight="false" outlineLevel="0" collapsed="false">
      <c r="A1011" s="3" t="n">
        <v>1010</v>
      </c>
      <c r="B1011" s="3" t="n">
        <v>1009</v>
      </c>
      <c r="C1011" s="3" t="n">
        <v>1</v>
      </c>
      <c r="D1011" s="3" t="n">
        <v>8</v>
      </c>
      <c r="E1011" s="3" t="n">
        <v>1</v>
      </c>
      <c r="F1011" s="24" t="n">
        <v>0</v>
      </c>
    </row>
    <row r="1012" customFormat="false" ht="15" hidden="false" customHeight="false" outlineLevel="0" collapsed="false">
      <c r="A1012" s="3" t="n">
        <v>1011</v>
      </c>
      <c r="B1012" s="3" t="n">
        <v>1010</v>
      </c>
      <c r="C1012" s="3" t="n">
        <v>1</v>
      </c>
      <c r="D1012" s="3" t="n">
        <v>8</v>
      </c>
      <c r="E1012" s="3" t="n">
        <v>2</v>
      </c>
      <c r="F1012" s="24" t="n">
        <v>0</v>
      </c>
    </row>
    <row r="1013" customFormat="false" ht="15" hidden="false" customHeight="false" outlineLevel="0" collapsed="false">
      <c r="A1013" s="3" t="n">
        <v>1012</v>
      </c>
      <c r="B1013" s="3" t="n">
        <v>1011</v>
      </c>
      <c r="C1013" s="3" t="n">
        <v>1</v>
      </c>
      <c r="D1013" s="3" t="n">
        <v>8</v>
      </c>
      <c r="E1013" s="3" t="n">
        <v>3</v>
      </c>
      <c r="F1013" s="24" t="n">
        <v>0</v>
      </c>
    </row>
    <row r="1014" customFormat="false" ht="15" hidden="false" customHeight="false" outlineLevel="0" collapsed="false">
      <c r="A1014" s="3" t="n">
        <v>1013</v>
      </c>
      <c r="B1014" s="3" t="n">
        <v>1012</v>
      </c>
      <c r="C1014" s="3" t="n">
        <v>1</v>
      </c>
      <c r="D1014" s="3" t="n">
        <v>8</v>
      </c>
      <c r="E1014" s="3" t="n">
        <v>4</v>
      </c>
      <c r="F1014" s="24" t="n">
        <v>0</v>
      </c>
    </row>
    <row r="1015" customFormat="false" ht="15" hidden="false" customHeight="false" outlineLevel="0" collapsed="false">
      <c r="A1015" s="3" t="n">
        <v>1014</v>
      </c>
      <c r="B1015" s="3" t="n">
        <v>1013</v>
      </c>
      <c r="C1015" s="3" t="n">
        <v>1</v>
      </c>
      <c r="D1015" s="3" t="n">
        <v>8</v>
      </c>
      <c r="E1015" s="3" t="n">
        <v>5</v>
      </c>
      <c r="F1015" s="24" t="n">
        <v>0.663830638</v>
      </c>
    </row>
    <row r="1016" customFormat="false" ht="15" hidden="false" customHeight="false" outlineLevel="0" collapsed="false">
      <c r="A1016" s="3" t="n">
        <v>1015</v>
      </c>
      <c r="B1016" s="3" t="n">
        <v>1014</v>
      </c>
      <c r="C1016" s="3" t="n">
        <v>1</v>
      </c>
      <c r="D1016" s="3" t="n">
        <v>8</v>
      </c>
      <c r="E1016" s="3" t="n">
        <v>6</v>
      </c>
      <c r="F1016" s="24" t="n">
        <v>2.29682016</v>
      </c>
    </row>
    <row r="1017" customFormat="false" ht="15" hidden="false" customHeight="false" outlineLevel="0" collapsed="false">
      <c r="A1017" s="3" t="n">
        <v>1016</v>
      </c>
      <c r="B1017" s="3" t="n">
        <v>1015</v>
      </c>
      <c r="C1017" s="3" t="n">
        <v>1</v>
      </c>
      <c r="D1017" s="3" t="n">
        <v>8</v>
      </c>
      <c r="E1017" s="3" t="n">
        <v>7</v>
      </c>
      <c r="F1017" s="24" t="n">
        <v>3.00481844</v>
      </c>
    </row>
    <row r="1018" customFormat="false" ht="15" hidden="false" customHeight="false" outlineLevel="0" collapsed="false">
      <c r="A1018" s="3" t="n">
        <v>1017</v>
      </c>
      <c r="B1018" s="3" t="n">
        <v>1016</v>
      </c>
      <c r="C1018" s="3" t="n">
        <v>1</v>
      </c>
      <c r="D1018" s="3" t="n">
        <v>8</v>
      </c>
      <c r="E1018" s="3" t="n">
        <v>8</v>
      </c>
      <c r="F1018" s="24" t="n">
        <v>2.41123867</v>
      </c>
    </row>
    <row r="1019" customFormat="false" ht="15" hidden="false" customHeight="false" outlineLevel="0" collapsed="false">
      <c r="A1019" s="3" t="n">
        <v>1018</v>
      </c>
      <c r="B1019" s="3" t="n">
        <v>1017</v>
      </c>
      <c r="C1019" s="3" t="n">
        <v>1</v>
      </c>
      <c r="D1019" s="3" t="n">
        <v>8</v>
      </c>
      <c r="E1019" s="3" t="n">
        <v>9</v>
      </c>
      <c r="F1019" s="24" t="n">
        <v>2.58619213</v>
      </c>
    </row>
    <row r="1020" customFormat="false" ht="15" hidden="false" customHeight="false" outlineLevel="0" collapsed="false">
      <c r="A1020" s="3" t="n">
        <v>1019</v>
      </c>
      <c r="B1020" s="3" t="n">
        <v>1018</v>
      </c>
      <c r="C1020" s="3" t="n">
        <v>1</v>
      </c>
      <c r="D1020" s="3" t="n">
        <v>8</v>
      </c>
      <c r="E1020" s="3" t="n">
        <v>10</v>
      </c>
      <c r="F1020" s="24" t="n">
        <v>2.54476547</v>
      </c>
    </row>
    <row r="1021" customFormat="false" ht="15" hidden="false" customHeight="false" outlineLevel="0" collapsed="false">
      <c r="A1021" s="3" t="n">
        <v>1020</v>
      </c>
      <c r="B1021" s="3" t="n">
        <v>1019</v>
      </c>
      <c r="C1021" s="3" t="n">
        <v>1</v>
      </c>
      <c r="D1021" s="3" t="n">
        <v>8</v>
      </c>
      <c r="E1021" s="3" t="n">
        <v>11</v>
      </c>
      <c r="F1021" s="24" t="n">
        <v>2.81787062</v>
      </c>
    </row>
    <row r="1022" customFormat="false" ht="15" hidden="false" customHeight="false" outlineLevel="0" collapsed="false">
      <c r="A1022" s="3" t="n">
        <v>1021</v>
      </c>
      <c r="B1022" s="3" t="n">
        <v>1020</v>
      </c>
      <c r="C1022" s="3" t="n">
        <v>1</v>
      </c>
      <c r="D1022" s="3" t="n">
        <v>8</v>
      </c>
      <c r="E1022" s="3" t="n">
        <v>12</v>
      </c>
      <c r="F1022" s="24" t="n">
        <v>2.67793989</v>
      </c>
    </row>
    <row r="1023" customFormat="false" ht="15" hidden="false" customHeight="false" outlineLevel="0" collapsed="false">
      <c r="A1023" s="3" t="n">
        <v>1022</v>
      </c>
      <c r="B1023" s="3" t="n">
        <v>1021</v>
      </c>
      <c r="C1023" s="3" t="n">
        <v>1</v>
      </c>
      <c r="D1023" s="3" t="n">
        <v>8</v>
      </c>
      <c r="E1023" s="3" t="n">
        <v>13</v>
      </c>
      <c r="F1023" s="24" t="n">
        <v>2.57890272</v>
      </c>
    </row>
    <row r="1024" customFormat="false" ht="15" hidden="false" customHeight="false" outlineLevel="0" collapsed="false">
      <c r="A1024" s="3" t="n">
        <v>1023</v>
      </c>
      <c r="B1024" s="3" t="n">
        <v>1022</v>
      </c>
      <c r="C1024" s="3" t="n">
        <v>1</v>
      </c>
      <c r="D1024" s="3" t="n">
        <v>8</v>
      </c>
      <c r="E1024" s="3" t="n">
        <v>14</v>
      </c>
      <c r="F1024" s="24" t="n">
        <v>2.7338028</v>
      </c>
    </row>
    <row r="1025" customFormat="false" ht="15" hidden="false" customHeight="false" outlineLevel="0" collapsed="false">
      <c r="A1025" s="3" t="n">
        <v>1024</v>
      </c>
      <c r="B1025" s="3" t="n">
        <v>1023</v>
      </c>
      <c r="C1025" s="3" t="n">
        <v>1</v>
      </c>
      <c r="D1025" s="3" t="n">
        <v>8</v>
      </c>
      <c r="E1025" s="3" t="n">
        <v>15</v>
      </c>
      <c r="F1025" s="24" t="n">
        <v>2.70456123</v>
      </c>
    </row>
    <row r="1026" customFormat="false" ht="15" hidden="false" customHeight="false" outlineLevel="0" collapsed="false">
      <c r="A1026" s="3" t="n">
        <v>1025</v>
      </c>
      <c r="B1026" s="3" t="n">
        <v>1024</v>
      </c>
      <c r="C1026" s="3" t="n">
        <v>1</v>
      </c>
      <c r="D1026" s="3" t="n">
        <v>8</v>
      </c>
      <c r="E1026" s="3" t="n">
        <v>16</v>
      </c>
      <c r="F1026" s="24" t="n">
        <v>2.69971323</v>
      </c>
    </row>
    <row r="1027" customFormat="false" ht="15" hidden="false" customHeight="false" outlineLevel="0" collapsed="false">
      <c r="A1027" s="3" t="n">
        <v>1026</v>
      </c>
      <c r="B1027" s="3" t="n">
        <v>1025</v>
      </c>
      <c r="C1027" s="3" t="n">
        <v>1</v>
      </c>
      <c r="D1027" s="3" t="n">
        <v>8</v>
      </c>
      <c r="E1027" s="3" t="n">
        <v>17</v>
      </c>
      <c r="F1027" s="24" t="n">
        <v>2.65692711</v>
      </c>
    </row>
    <row r="1028" customFormat="false" ht="15" hidden="false" customHeight="false" outlineLevel="0" collapsed="false">
      <c r="A1028" s="3" t="n">
        <v>1027</v>
      </c>
      <c r="B1028" s="3" t="n">
        <v>1026</v>
      </c>
      <c r="C1028" s="3" t="n">
        <v>1</v>
      </c>
      <c r="D1028" s="3" t="n">
        <v>8</v>
      </c>
      <c r="E1028" s="3" t="n">
        <v>18</v>
      </c>
      <c r="F1028" s="24" t="n">
        <v>2.60026789</v>
      </c>
    </row>
    <row r="1029" customFormat="false" ht="15" hidden="false" customHeight="false" outlineLevel="0" collapsed="false">
      <c r="A1029" s="3" t="n">
        <v>1028</v>
      </c>
      <c r="B1029" s="3" t="n">
        <v>1027</v>
      </c>
      <c r="C1029" s="3" t="n">
        <v>1</v>
      </c>
      <c r="D1029" s="3" t="n">
        <v>8</v>
      </c>
      <c r="E1029" s="3" t="n">
        <v>19</v>
      </c>
      <c r="F1029" s="24" t="n">
        <v>2.59452486</v>
      </c>
    </row>
    <row r="1030" customFormat="false" ht="15" hidden="false" customHeight="false" outlineLevel="0" collapsed="false">
      <c r="A1030" s="3" t="n">
        <v>1029</v>
      </c>
      <c r="B1030" s="3" t="n">
        <v>1028</v>
      </c>
      <c r="C1030" s="3" t="n">
        <v>1</v>
      </c>
      <c r="D1030" s="3" t="n">
        <v>8</v>
      </c>
      <c r="E1030" s="3" t="n">
        <v>20</v>
      </c>
      <c r="F1030" s="24" t="n">
        <v>1.77121282</v>
      </c>
    </row>
    <row r="1031" customFormat="false" ht="15" hidden="false" customHeight="false" outlineLevel="0" collapsed="false">
      <c r="A1031" s="3" t="n">
        <v>1030</v>
      </c>
      <c r="B1031" s="3" t="n">
        <v>1029</v>
      </c>
      <c r="C1031" s="3" t="n">
        <v>1</v>
      </c>
      <c r="D1031" s="3" t="n">
        <v>8</v>
      </c>
      <c r="E1031" s="3" t="n">
        <v>21</v>
      </c>
      <c r="F1031" s="24" t="n">
        <v>0.387063146</v>
      </c>
    </row>
    <row r="1032" customFormat="false" ht="15" hidden="false" customHeight="false" outlineLevel="0" collapsed="false">
      <c r="A1032" s="3" t="n">
        <v>1031</v>
      </c>
      <c r="B1032" s="3" t="n">
        <v>1030</v>
      </c>
      <c r="C1032" s="3" t="n">
        <v>1</v>
      </c>
      <c r="D1032" s="3" t="n">
        <v>8</v>
      </c>
      <c r="E1032" s="3" t="n">
        <v>22</v>
      </c>
      <c r="F1032" s="24" t="n">
        <v>0</v>
      </c>
    </row>
    <row r="1033" customFormat="false" ht="15" hidden="false" customHeight="false" outlineLevel="0" collapsed="false">
      <c r="A1033" s="3" t="n">
        <v>1032</v>
      </c>
      <c r="B1033" s="3" t="n">
        <v>1031</v>
      </c>
      <c r="C1033" s="3" t="n">
        <v>1</v>
      </c>
      <c r="D1033" s="3" t="n">
        <v>8</v>
      </c>
      <c r="E1033" s="3" t="n">
        <v>23</v>
      </c>
      <c r="F1033" s="24" t="n">
        <v>0</v>
      </c>
    </row>
    <row r="1034" customFormat="false" ht="15" hidden="false" customHeight="false" outlineLevel="0" collapsed="false">
      <c r="A1034" s="3" t="n">
        <v>1033</v>
      </c>
      <c r="B1034" s="3" t="n">
        <v>1032</v>
      </c>
      <c r="C1034" s="3" t="n">
        <v>1</v>
      </c>
      <c r="D1034" s="3" t="n">
        <v>8</v>
      </c>
      <c r="E1034" s="3" t="n">
        <v>24</v>
      </c>
      <c r="F1034" s="24" t="n">
        <v>0</v>
      </c>
    </row>
    <row r="1035" customFormat="false" ht="15" hidden="false" customHeight="false" outlineLevel="0" collapsed="false">
      <c r="A1035" s="3" t="n">
        <v>1034</v>
      </c>
      <c r="B1035" s="3" t="n">
        <v>1033</v>
      </c>
      <c r="C1035" s="3" t="n">
        <v>1</v>
      </c>
      <c r="D1035" s="3" t="n">
        <v>8</v>
      </c>
      <c r="E1035" s="3" t="n">
        <v>25</v>
      </c>
      <c r="F1035" s="24" t="n">
        <v>0</v>
      </c>
    </row>
    <row r="1036" customFormat="false" ht="15" hidden="false" customHeight="false" outlineLevel="0" collapsed="false">
      <c r="A1036" s="3" t="n">
        <v>1035</v>
      </c>
      <c r="B1036" s="3" t="n">
        <v>1034</v>
      </c>
      <c r="C1036" s="3" t="n">
        <v>1</v>
      </c>
      <c r="D1036" s="3" t="n">
        <v>8</v>
      </c>
      <c r="E1036" s="3" t="n">
        <v>26</v>
      </c>
      <c r="F1036" s="24" t="n">
        <v>0</v>
      </c>
    </row>
    <row r="1037" customFormat="false" ht="15" hidden="false" customHeight="false" outlineLevel="0" collapsed="false">
      <c r="A1037" s="3" t="n">
        <v>1036</v>
      </c>
      <c r="B1037" s="3" t="n">
        <v>1035</v>
      </c>
      <c r="C1037" s="3" t="n">
        <v>1</v>
      </c>
      <c r="D1037" s="3" t="n">
        <v>8</v>
      </c>
      <c r="E1037" s="3" t="n">
        <v>27</v>
      </c>
      <c r="F1037" s="24" t="n">
        <v>0</v>
      </c>
    </row>
    <row r="1038" customFormat="false" ht="15" hidden="false" customHeight="false" outlineLevel="0" collapsed="false">
      <c r="A1038" s="3" t="n">
        <v>1037</v>
      </c>
      <c r="B1038" s="3" t="n">
        <v>1036</v>
      </c>
      <c r="C1038" s="3" t="n">
        <v>1</v>
      </c>
      <c r="D1038" s="3" t="n">
        <v>9</v>
      </c>
      <c r="E1038" s="3" t="n">
        <v>0</v>
      </c>
      <c r="F1038" s="24" t="n">
        <v>0</v>
      </c>
    </row>
    <row r="1039" customFormat="false" ht="15" hidden="false" customHeight="false" outlineLevel="0" collapsed="false">
      <c r="A1039" s="3" t="n">
        <v>1038</v>
      </c>
      <c r="B1039" s="3" t="n">
        <v>1037</v>
      </c>
      <c r="C1039" s="3" t="n">
        <v>1</v>
      </c>
      <c r="D1039" s="3" t="n">
        <v>9</v>
      </c>
      <c r="E1039" s="3" t="n">
        <v>1</v>
      </c>
      <c r="F1039" s="24" t="n">
        <v>0</v>
      </c>
    </row>
    <row r="1040" customFormat="false" ht="15" hidden="false" customHeight="false" outlineLevel="0" collapsed="false">
      <c r="A1040" s="3" t="n">
        <v>1039</v>
      </c>
      <c r="B1040" s="3" t="n">
        <v>1038</v>
      </c>
      <c r="C1040" s="3" t="n">
        <v>1</v>
      </c>
      <c r="D1040" s="3" t="n">
        <v>9</v>
      </c>
      <c r="E1040" s="3" t="n">
        <v>2</v>
      </c>
      <c r="F1040" s="24" t="n">
        <v>0</v>
      </c>
    </row>
    <row r="1041" customFormat="false" ht="15" hidden="false" customHeight="false" outlineLevel="0" collapsed="false">
      <c r="A1041" s="3" t="n">
        <v>1040</v>
      </c>
      <c r="B1041" s="3" t="n">
        <v>1039</v>
      </c>
      <c r="C1041" s="3" t="n">
        <v>1</v>
      </c>
      <c r="D1041" s="3" t="n">
        <v>9</v>
      </c>
      <c r="E1041" s="3" t="n">
        <v>3</v>
      </c>
      <c r="F1041" s="24" t="n">
        <v>0</v>
      </c>
    </row>
    <row r="1042" customFormat="false" ht="15" hidden="false" customHeight="false" outlineLevel="0" collapsed="false">
      <c r="A1042" s="3" t="n">
        <v>1041</v>
      </c>
      <c r="B1042" s="3" t="n">
        <v>1040</v>
      </c>
      <c r="C1042" s="3" t="n">
        <v>1</v>
      </c>
      <c r="D1042" s="3" t="n">
        <v>9</v>
      </c>
      <c r="E1042" s="3" t="n">
        <v>4</v>
      </c>
      <c r="F1042" s="24" t="n">
        <v>0</v>
      </c>
    </row>
    <row r="1043" customFormat="false" ht="15" hidden="false" customHeight="false" outlineLevel="0" collapsed="false">
      <c r="A1043" s="3" t="n">
        <v>1042</v>
      </c>
      <c r="B1043" s="3" t="n">
        <v>1041</v>
      </c>
      <c r="C1043" s="3" t="n">
        <v>1</v>
      </c>
      <c r="D1043" s="3" t="n">
        <v>9</v>
      </c>
      <c r="E1043" s="3" t="n">
        <v>5</v>
      </c>
      <c r="F1043" s="24" t="n">
        <v>0.143428832</v>
      </c>
    </row>
    <row r="1044" customFormat="false" ht="15" hidden="false" customHeight="false" outlineLevel="0" collapsed="false">
      <c r="A1044" s="3" t="n">
        <v>1043</v>
      </c>
      <c r="B1044" s="3" t="n">
        <v>1042</v>
      </c>
      <c r="C1044" s="3" t="n">
        <v>1</v>
      </c>
      <c r="D1044" s="3" t="n">
        <v>9</v>
      </c>
      <c r="E1044" s="3" t="n">
        <v>6</v>
      </c>
      <c r="F1044" s="24" t="n">
        <v>1.16316974</v>
      </c>
    </row>
    <row r="1045" customFormat="false" ht="15" hidden="false" customHeight="false" outlineLevel="0" collapsed="false">
      <c r="A1045" s="3" t="n">
        <v>1044</v>
      </c>
      <c r="B1045" s="3" t="n">
        <v>1043</v>
      </c>
      <c r="C1045" s="3" t="n">
        <v>1</v>
      </c>
      <c r="D1045" s="3" t="n">
        <v>9</v>
      </c>
      <c r="E1045" s="3" t="n">
        <v>7</v>
      </c>
      <c r="F1045" s="24" t="n">
        <v>0.430657923</v>
      </c>
    </row>
    <row r="1046" customFormat="false" ht="15" hidden="false" customHeight="false" outlineLevel="0" collapsed="false">
      <c r="A1046" s="3" t="n">
        <v>1045</v>
      </c>
      <c r="B1046" s="3" t="n">
        <v>1044</v>
      </c>
      <c r="C1046" s="3" t="n">
        <v>1</v>
      </c>
      <c r="D1046" s="3" t="n">
        <v>9</v>
      </c>
      <c r="E1046" s="3" t="n">
        <v>8</v>
      </c>
      <c r="F1046" s="24" t="n">
        <v>0.510230601</v>
      </c>
    </row>
    <row r="1047" customFormat="false" ht="15" hidden="false" customHeight="false" outlineLevel="0" collapsed="false">
      <c r="A1047" s="3" t="n">
        <v>1046</v>
      </c>
      <c r="B1047" s="3" t="n">
        <v>1045</v>
      </c>
      <c r="C1047" s="3" t="n">
        <v>1</v>
      </c>
      <c r="D1047" s="3" t="n">
        <v>9</v>
      </c>
      <c r="E1047" s="3" t="n">
        <v>9</v>
      </c>
      <c r="F1047" s="24" t="n">
        <v>0.746583223</v>
      </c>
    </row>
    <row r="1048" customFormat="false" ht="15" hidden="false" customHeight="false" outlineLevel="0" collapsed="false">
      <c r="A1048" s="3" t="n">
        <v>1047</v>
      </c>
      <c r="B1048" s="3" t="n">
        <v>1046</v>
      </c>
      <c r="C1048" s="3" t="n">
        <v>1</v>
      </c>
      <c r="D1048" s="3" t="n">
        <v>9</v>
      </c>
      <c r="E1048" s="3" t="n">
        <v>10</v>
      </c>
      <c r="F1048" s="24" t="n">
        <v>1.33987761</v>
      </c>
    </row>
    <row r="1049" customFormat="false" ht="15" hidden="false" customHeight="false" outlineLevel="0" collapsed="false">
      <c r="A1049" s="3" t="n">
        <v>1048</v>
      </c>
      <c r="B1049" s="3" t="n">
        <v>1047</v>
      </c>
      <c r="C1049" s="3" t="n">
        <v>1</v>
      </c>
      <c r="D1049" s="3" t="n">
        <v>9</v>
      </c>
      <c r="E1049" s="3" t="n">
        <v>11</v>
      </c>
      <c r="F1049" s="24" t="n">
        <v>1.84075344</v>
      </c>
    </row>
    <row r="1050" customFormat="false" ht="15" hidden="false" customHeight="false" outlineLevel="0" collapsed="false">
      <c r="A1050" s="3" t="n">
        <v>1049</v>
      </c>
      <c r="B1050" s="3" t="n">
        <v>1048</v>
      </c>
      <c r="C1050" s="3" t="n">
        <v>1</v>
      </c>
      <c r="D1050" s="3" t="n">
        <v>9</v>
      </c>
      <c r="E1050" s="3" t="n">
        <v>12</v>
      </c>
      <c r="F1050" s="24" t="n">
        <v>2.08452606</v>
      </c>
    </row>
    <row r="1051" customFormat="false" ht="15" hidden="false" customHeight="false" outlineLevel="0" collapsed="false">
      <c r="A1051" s="3" t="n">
        <v>1050</v>
      </c>
      <c r="B1051" s="3" t="n">
        <v>1049</v>
      </c>
      <c r="C1051" s="3" t="n">
        <v>1</v>
      </c>
      <c r="D1051" s="3" t="n">
        <v>9</v>
      </c>
      <c r="E1051" s="3" t="n">
        <v>13</v>
      </c>
      <c r="F1051" s="24" t="n">
        <v>2.19565344</v>
      </c>
    </row>
    <row r="1052" customFormat="false" ht="15" hidden="false" customHeight="false" outlineLevel="0" collapsed="false">
      <c r="A1052" s="3" t="n">
        <v>1051</v>
      </c>
      <c r="B1052" s="3" t="n">
        <v>1050</v>
      </c>
      <c r="C1052" s="3" t="n">
        <v>1</v>
      </c>
      <c r="D1052" s="3" t="n">
        <v>9</v>
      </c>
      <c r="E1052" s="3" t="n">
        <v>14</v>
      </c>
      <c r="F1052" s="24" t="n">
        <v>2.47751379</v>
      </c>
    </row>
    <row r="1053" customFormat="false" ht="15" hidden="false" customHeight="false" outlineLevel="0" collapsed="false">
      <c r="A1053" s="3" t="n">
        <v>1052</v>
      </c>
      <c r="B1053" s="3" t="n">
        <v>1051</v>
      </c>
      <c r="C1053" s="3" t="n">
        <v>1</v>
      </c>
      <c r="D1053" s="3" t="n">
        <v>9</v>
      </c>
      <c r="E1053" s="3" t="n">
        <v>15</v>
      </c>
      <c r="F1053" s="24" t="n">
        <v>2.51747513</v>
      </c>
    </row>
    <row r="1054" customFormat="false" ht="15" hidden="false" customHeight="false" outlineLevel="0" collapsed="false">
      <c r="A1054" s="3" t="n">
        <v>1053</v>
      </c>
      <c r="B1054" s="3" t="n">
        <v>1052</v>
      </c>
      <c r="C1054" s="3" t="n">
        <v>1</v>
      </c>
      <c r="D1054" s="3" t="n">
        <v>9</v>
      </c>
      <c r="E1054" s="3" t="n">
        <v>16</v>
      </c>
      <c r="F1054" s="24" t="n">
        <v>2.48845768</v>
      </c>
    </row>
    <row r="1055" customFormat="false" ht="15" hidden="false" customHeight="false" outlineLevel="0" collapsed="false">
      <c r="A1055" s="3" t="n">
        <v>1054</v>
      </c>
      <c r="B1055" s="3" t="n">
        <v>1053</v>
      </c>
      <c r="C1055" s="3" t="n">
        <v>1</v>
      </c>
      <c r="D1055" s="3" t="n">
        <v>9</v>
      </c>
      <c r="E1055" s="3" t="n">
        <v>17</v>
      </c>
      <c r="F1055" s="24" t="n">
        <v>2.29344797</v>
      </c>
    </row>
    <row r="1056" customFormat="false" ht="15" hidden="false" customHeight="false" outlineLevel="0" collapsed="false">
      <c r="A1056" s="3" t="n">
        <v>1055</v>
      </c>
      <c r="B1056" s="3" t="n">
        <v>1054</v>
      </c>
      <c r="C1056" s="3" t="n">
        <v>1</v>
      </c>
      <c r="D1056" s="3" t="n">
        <v>9</v>
      </c>
      <c r="E1056" s="3" t="n">
        <v>18</v>
      </c>
      <c r="F1056" s="24" t="n">
        <v>2.43785381</v>
      </c>
    </row>
    <row r="1057" customFormat="false" ht="15" hidden="false" customHeight="false" outlineLevel="0" collapsed="false">
      <c r="A1057" s="3" t="n">
        <v>1056</v>
      </c>
      <c r="B1057" s="3" t="n">
        <v>1055</v>
      </c>
      <c r="C1057" s="3" t="n">
        <v>1</v>
      </c>
      <c r="D1057" s="3" t="n">
        <v>9</v>
      </c>
      <c r="E1057" s="3" t="n">
        <v>19</v>
      </c>
      <c r="F1057" s="24" t="n">
        <v>3.37949085</v>
      </c>
    </row>
    <row r="1058" customFormat="false" ht="15" hidden="false" customHeight="false" outlineLevel="0" collapsed="false">
      <c r="A1058" s="3" t="n">
        <v>1057</v>
      </c>
      <c r="B1058" s="3" t="n">
        <v>1056</v>
      </c>
      <c r="C1058" s="3" t="n">
        <v>1</v>
      </c>
      <c r="D1058" s="3" t="n">
        <v>9</v>
      </c>
      <c r="E1058" s="3" t="n">
        <v>20</v>
      </c>
      <c r="F1058" s="24" t="n">
        <v>2.26277304</v>
      </c>
    </row>
    <row r="1059" customFormat="false" ht="15" hidden="false" customHeight="false" outlineLevel="0" collapsed="false">
      <c r="A1059" s="3" t="n">
        <v>1058</v>
      </c>
      <c r="B1059" s="3" t="n">
        <v>1057</v>
      </c>
      <c r="C1059" s="3" t="n">
        <v>1</v>
      </c>
      <c r="D1059" s="3" t="n">
        <v>9</v>
      </c>
      <c r="E1059" s="3" t="n">
        <v>21</v>
      </c>
      <c r="F1059" s="24" t="n">
        <v>0.169192582</v>
      </c>
    </row>
    <row r="1060" customFormat="false" ht="15" hidden="false" customHeight="false" outlineLevel="0" collapsed="false">
      <c r="A1060" s="3" t="n">
        <v>1059</v>
      </c>
      <c r="B1060" s="3" t="n">
        <v>1058</v>
      </c>
      <c r="C1060" s="3" t="n">
        <v>1</v>
      </c>
      <c r="D1060" s="3" t="n">
        <v>9</v>
      </c>
      <c r="E1060" s="3" t="n">
        <v>22</v>
      </c>
      <c r="F1060" s="24" t="n">
        <v>0</v>
      </c>
    </row>
    <row r="1061" customFormat="false" ht="15" hidden="false" customHeight="false" outlineLevel="0" collapsed="false">
      <c r="A1061" s="3" t="n">
        <v>1060</v>
      </c>
      <c r="B1061" s="3" t="n">
        <v>1059</v>
      </c>
      <c r="C1061" s="3" t="n">
        <v>1</v>
      </c>
      <c r="D1061" s="3" t="n">
        <v>9</v>
      </c>
      <c r="E1061" s="3" t="n">
        <v>23</v>
      </c>
      <c r="F1061" s="24" t="n">
        <v>0</v>
      </c>
    </row>
    <row r="1062" customFormat="false" ht="15" hidden="false" customHeight="false" outlineLevel="0" collapsed="false">
      <c r="A1062" s="3" t="n">
        <v>1061</v>
      </c>
      <c r="B1062" s="3" t="n">
        <v>1060</v>
      </c>
      <c r="C1062" s="3" t="n">
        <v>1</v>
      </c>
      <c r="D1062" s="3" t="n">
        <v>9</v>
      </c>
      <c r="E1062" s="3" t="n">
        <v>24</v>
      </c>
      <c r="F1062" s="24" t="n">
        <v>0</v>
      </c>
    </row>
    <row r="1063" customFormat="false" ht="15" hidden="false" customHeight="false" outlineLevel="0" collapsed="false">
      <c r="A1063" s="3" t="n">
        <v>1062</v>
      </c>
      <c r="B1063" s="3" t="n">
        <v>1061</v>
      </c>
      <c r="C1063" s="3" t="n">
        <v>1</v>
      </c>
      <c r="D1063" s="3" t="n">
        <v>9</v>
      </c>
      <c r="E1063" s="3" t="n">
        <v>25</v>
      </c>
      <c r="F1063" s="24" t="n">
        <v>0</v>
      </c>
    </row>
    <row r="1064" customFormat="false" ht="15" hidden="false" customHeight="false" outlineLevel="0" collapsed="false">
      <c r="A1064" s="3" t="n">
        <v>1063</v>
      </c>
      <c r="B1064" s="3" t="n">
        <v>1062</v>
      </c>
      <c r="C1064" s="3" t="n">
        <v>1</v>
      </c>
      <c r="D1064" s="3" t="n">
        <v>9</v>
      </c>
      <c r="E1064" s="3" t="n">
        <v>26</v>
      </c>
      <c r="F1064" s="24" t="n">
        <v>0</v>
      </c>
    </row>
    <row r="1065" customFormat="false" ht="15" hidden="false" customHeight="false" outlineLevel="0" collapsed="false">
      <c r="A1065" s="3" t="n">
        <v>1064</v>
      </c>
      <c r="B1065" s="3" t="n">
        <v>1063</v>
      </c>
      <c r="C1065" s="3" t="n">
        <v>1</v>
      </c>
      <c r="D1065" s="3" t="n">
        <v>9</v>
      </c>
      <c r="E1065" s="3" t="n">
        <v>27</v>
      </c>
      <c r="F1065" s="24" t="n">
        <v>0</v>
      </c>
    </row>
    <row r="1066" customFormat="false" ht="15" hidden="false" customHeight="false" outlineLevel="0" collapsed="false">
      <c r="A1066" s="3" t="n">
        <v>1065</v>
      </c>
      <c r="B1066" s="3" t="n">
        <v>1064</v>
      </c>
      <c r="C1066" s="3" t="n">
        <v>1</v>
      </c>
      <c r="D1066" s="3" t="n">
        <v>10</v>
      </c>
      <c r="E1066" s="3" t="n">
        <v>0</v>
      </c>
      <c r="F1066" s="24" t="n">
        <v>0</v>
      </c>
    </row>
    <row r="1067" customFormat="false" ht="15" hidden="false" customHeight="false" outlineLevel="0" collapsed="false">
      <c r="A1067" s="3" t="n">
        <v>1066</v>
      </c>
      <c r="B1067" s="3" t="n">
        <v>1065</v>
      </c>
      <c r="C1067" s="3" t="n">
        <v>1</v>
      </c>
      <c r="D1067" s="3" t="n">
        <v>10</v>
      </c>
      <c r="E1067" s="3" t="n">
        <v>1</v>
      </c>
      <c r="F1067" s="24" t="n">
        <v>0</v>
      </c>
    </row>
    <row r="1068" customFormat="false" ht="15" hidden="false" customHeight="false" outlineLevel="0" collapsed="false">
      <c r="A1068" s="3" t="n">
        <v>1067</v>
      </c>
      <c r="B1068" s="3" t="n">
        <v>1066</v>
      </c>
      <c r="C1068" s="3" t="n">
        <v>1</v>
      </c>
      <c r="D1068" s="3" t="n">
        <v>10</v>
      </c>
      <c r="E1068" s="3" t="n">
        <v>2</v>
      </c>
      <c r="F1068" s="24" t="n">
        <v>0</v>
      </c>
    </row>
    <row r="1069" customFormat="false" ht="15" hidden="false" customHeight="false" outlineLevel="0" collapsed="false">
      <c r="A1069" s="3" t="n">
        <v>1068</v>
      </c>
      <c r="B1069" s="3" t="n">
        <v>1067</v>
      </c>
      <c r="C1069" s="3" t="n">
        <v>1</v>
      </c>
      <c r="D1069" s="3" t="n">
        <v>10</v>
      </c>
      <c r="E1069" s="3" t="n">
        <v>3</v>
      </c>
      <c r="F1069" s="24" t="n">
        <v>0</v>
      </c>
    </row>
    <row r="1070" customFormat="false" ht="15" hidden="false" customHeight="false" outlineLevel="0" collapsed="false">
      <c r="A1070" s="3" t="n">
        <v>1069</v>
      </c>
      <c r="B1070" s="3" t="n">
        <v>1068</v>
      </c>
      <c r="C1070" s="3" t="n">
        <v>1</v>
      </c>
      <c r="D1070" s="3" t="n">
        <v>10</v>
      </c>
      <c r="E1070" s="3" t="n">
        <v>4</v>
      </c>
      <c r="F1070" s="24" t="n">
        <v>0</v>
      </c>
    </row>
    <row r="1071" customFormat="false" ht="15" hidden="false" customHeight="false" outlineLevel="0" collapsed="false">
      <c r="A1071" s="3" t="n">
        <v>1070</v>
      </c>
      <c r="B1071" s="3" t="n">
        <v>1069</v>
      </c>
      <c r="C1071" s="3" t="n">
        <v>1</v>
      </c>
      <c r="D1071" s="3" t="n">
        <v>10</v>
      </c>
      <c r="E1071" s="3" t="n">
        <v>5</v>
      </c>
      <c r="F1071" s="24" t="n">
        <v>0</v>
      </c>
    </row>
    <row r="1072" customFormat="false" ht="15" hidden="false" customHeight="false" outlineLevel="0" collapsed="false">
      <c r="A1072" s="3" t="n">
        <v>1071</v>
      </c>
      <c r="B1072" s="3" t="n">
        <v>1070</v>
      </c>
      <c r="C1072" s="3" t="n">
        <v>1</v>
      </c>
      <c r="D1072" s="3" t="n">
        <v>10</v>
      </c>
      <c r="E1072" s="3" t="n">
        <v>6</v>
      </c>
      <c r="F1072" s="24" t="n">
        <v>0</v>
      </c>
    </row>
    <row r="1073" customFormat="false" ht="15" hidden="false" customHeight="false" outlineLevel="0" collapsed="false">
      <c r="A1073" s="3" t="n">
        <v>1072</v>
      </c>
      <c r="B1073" s="3" t="n">
        <v>1071</v>
      </c>
      <c r="C1073" s="3" t="n">
        <v>1</v>
      </c>
      <c r="D1073" s="3" t="n">
        <v>10</v>
      </c>
      <c r="E1073" s="3" t="n">
        <v>7</v>
      </c>
      <c r="F1073" s="24" t="n">
        <v>0</v>
      </c>
    </row>
    <row r="1074" customFormat="false" ht="15" hidden="false" customHeight="false" outlineLevel="0" collapsed="false">
      <c r="A1074" s="3" t="n">
        <v>1073</v>
      </c>
      <c r="B1074" s="3" t="n">
        <v>1072</v>
      </c>
      <c r="C1074" s="3" t="n">
        <v>1</v>
      </c>
      <c r="D1074" s="3" t="n">
        <v>10</v>
      </c>
      <c r="E1074" s="3" t="n">
        <v>8</v>
      </c>
      <c r="F1074" s="24" t="n">
        <v>0</v>
      </c>
    </row>
    <row r="1075" customFormat="false" ht="15" hidden="false" customHeight="false" outlineLevel="0" collapsed="false">
      <c r="A1075" s="3" t="n">
        <v>1074</v>
      </c>
      <c r="B1075" s="3" t="n">
        <v>1073</v>
      </c>
      <c r="C1075" s="3" t="n">
        <v>1</v>
      </c>
      <c r="D1075" s="3" t="n">
        <v>10</v>
      </c>
      <c r="E1075" s="3" t="n">
        <v>9</v>
      </c>
      <c r="F1075" s="24" t="n">
        <v>0</v>
      </c>
    </row>
    <row r="1076" customFormat="false" ht="15" hidden="false" customHeight="false" outlineLevel="0" collapsed="false">
      <c r="A1076" s="3" t="n">
        <v>1075</v>
      </c>
      <c r="B1076" s="3" t="n">
        <v>1074</v>
      </c>
      <c r="C1076" s="3" t="n">
        <v>1</v>
      </c>
      <c r="D1076" s="3" t="n">
        <v>10</v>
      </c>
      <c r="E1076" s="3" t="n">
        <v>10</v>
      </c>
      <c r="F1076" s="24" t="n">
        <v>0</v>
      </c>
    </row>
    <row r="1077" customFormat="false" ht="15" hidden="false" customHeight="false" outlineLevel="0" collapsed="false">
      <c r="A1077" s="3" t="n">
        <v>1076</v>
      </c>
      <c r="B1077" s="3" t="n">
        <v>1075</v>
      </c>
      <c r="C1077" s="3" t="n">
        <v>1</v>
      </c>
      <c r="D1077" s="3" t="n">
        <v>10</v>
      </c>
      <c r="E1077" s="3" t="n">
        <v>11</v>
      </c>
      <c r="F1077" s="24" t="n">
        <v>0.070335269</v>
      </c>
    </row>
    <row r="1078" customFormat="false" ht="15" hidden="false" customHeight="false" outlineLevel="0" collapsed="false">
      <c r="A1078" s="3" t="n">
        <v>1077</v>
      </c>
      <c r="B1078" s="3" t="n">
        <v>1076</v>
      </c>
      <c r="C1078" s="3" t="n">
        <v>1</v>
      </c>
      <c r="D1078" s="3" t="n">
        <v>10</v>
      </c>
      <c r="E1078" s="3" t="n">
        <v>12</v>
      </c>
      <c r="F1078" s="24" t="n">
        <v>0</v>
      </c>
    </row>
    <row r="1079" customFormat="false" ht="15" hidden="false" customHeight="false" outlineLevel="0" collapsed="false">
      <c r="A1079" s="3" t="n">
        <v>1078</v>
      </c>
      <c r="B1079" s="3" t="n">
        <v>1077</v>
      </c>
      <c r="C1079" s="3" t="n">
        <v>1</v>
      </c>
      <c r="D1079" s="3" t="n">
        <v>10</v>
      </c>
      <c r="E1079" s="3" t="n">
        <v>13</v>
      </c>
      <c r="F1079" s="24" t="n">
        <v>0</v>
      </c>
    </row>
    <row r="1080" customFormat="false" ht="15" hidden="false" customHeight="false" outlineLevel="0" collapsed="false">
      <c r="A1080" s="3" t="n">
        <v>1079</v>
      </c>
      <c r="B1080" s="3" t="n">
        <v>1078</v>
      </c>
      <c r="C1080" s="3" t="n">
        <v>1</v>
      </c>
      <c r="D1080" s="3" t="n">
        <v>10</v>
      </c>
      <c r="E1080" s="3" t="n">
        <v>14</v>
      </c>
      <c r="F1080" s="24" t="n">
        <v>0.071693182</v>
      </c>
    </row>
    <row r="1081" customFormat="false" ht="15" hidden="false" customHeight="false" outlineLevel="0" collapsed="false">
      <c r="A1081" s="3" t="n">
        <v>1080</v>
      </c>
      <c r="B1081" s="3" t="n">
        <v>1079</v>
      </c>
      <c r="C1081" s="3" t="n">
        <v>1</v>
      </c>
      <c r="D1081" s="3" t="n">
        <v>10</v>
      </c>
      <c r="E1081" s="3" t="n">
        <v>15</v>
      </c>
      <c r="F1081" s="24" t="n">
        <v>0.115769714</v>
      </c>
    </row>
    <row r="1082" customFormat="false" ht="15" hidden="false" customHeight="false" outlineLevel="0" collapsed="false">
      <c r="A1082" s="3" t="n">
        <v>1081</v>
      </c>
      <c r="B1082" s="3" t="n">
        <v>1080</v>
      </c>
      <c r="C1082" s="3" t="n">
        <v>1</v>
      </c>
      <c r="D1082" s="3" t="n">
        <v>10</v>
      </c>
      <c r="E1082" s="3" t="n">
        <v>16</v>
      </c>
      <c r="F1082" s="24" t="n">
        <v>0.0681576729</v>
      </c>
    </row>
    <row r="1083" customFormat="false" ht="15" hidden="false" customHeight="false" outlineLevel="0" collapsed="false">
      <c r="A1083" s="3" t="n">
        <v>1082</v>
      </c>
      <c r="B1083" s="3" t="n">
        <v>1081</v>
      </c>
      <c r="C1083" s="3" t="n">
        <v>1</v>
      </c>
      <c r="D1083" s="3" t="n">
        <v>10</v>
      </c>
      <c r="E1083" s="3" t="n">
        <v>17</v>
      </c>
      <c r="F1083" s="24" t="n">
        <v>0</v>
      </c>
    </row>
    <row r="1084" customFormat="false" ht="15" hidden="false" customHeight="false" outlineLevel="0" collapsed="false">
      <c r="A1084" s="3" t="n">
        <v>1083</v>
      </c>
      <c r="B1084" s="3" t="n">
        <v>1082</v>
      </c>
      <c r="C1084" s="3" t="n">
        <v>1</v>
      </c>
      <c r="D1084" s="3" t="n">
        <v>10</v>
      </c>
      <c r="E1084" s="3" t="n">
        <v>18</v>
      </c>
      <c r="F1084" s="24" t="n">
        <v>1.38532448</v>
      </c>
    </row>
    <row r="1085" customFormat="false" ht="15" hidden="false" customHeight="false" outlineLevel="0" collapsed="false">
      <c r="A1085" s="3" t="n">
        <v>1084</v>
      </c>
      <c r="B1085" s="3" t="n">
        <v>1083</v>
      </c>
      <c r="C1085" s="3" t="n">
        <v>1</v>
      </c>
      <c r="D1085" s="3" t="n">
        <v>10</v>
      </c>
      <c r="E1085" s="3" t="n">
        <v>19</v>
      </c>
      <c r="F1085" s="24" t="n">
        <v>2.78891659</v>
      </c>
    </row>
    <row r="1086" customFormat="false" ht="15" hidden="false" customHeight="false" outlineLevel="0" collapsed="false">
      <c r="A1086" s="3" t="n">
        <v>1085</v>
      </c>
      <c r="B1086" s="3" t="n">
        <v>1084</v>
      </c>
      <c r="C1086" s="3" t="n">
        <v>1</v>
      </c>
      <c r="D1086" s="3" t="n">
        <v>10</v>
      </c>
      <c r="E1086" s="3" t="n">
        <v>20</v>
      </c>
      <c r="F1086" s="24" t="n">
        <v>1.86595404</v>
      </c>
    </row>
    <row r="1087" customFormat="false" ht="15" hidden="false" customHeight="false" outlineLevel="0" collapsed="false">
      <c r="A1087" s="3" t="n">
        <v>1086</v>
      </c>
      <c r="B1087" s="3" t="n">
        <v>1085</v>
      </c>
      <c r="C1087" s="3" t="n">
        <v>1</v>
      </c>
      <c r="D1087" s="3" t="n">
        <v>10</v>
      </c>
      <c r="E1087" s="3" t="n">
        <v>21</v>
      </c>
      <c r="F1087" s="24" t="n">
        <v>0</v>
      </c>
    </row>
    <row r="1088" customFormat="false" ht="15" hidden="false" customHeight="false" outlineLevel="0" collapsed="false">
      <c r="A1088" s="3" t="n">
        <v>1087</v>
      </c>
      <c r="B1088" s="3" t="n">
        <v>1086</v>
      </c>
      <c r="C1088" s="3" t="n">
        <v>1</v>
      </c>
      <c r="D1088" s="3" t="n">
        <v>10</v>
      </c>
      <c r="E1088" s="3" t="n">
        <v>22</v>
      </c>
      <c r="F1088" s="24" t="n">
        <v>0</v>
      </c>
    </row>
    <row r="1089" customFormat="false" ht="15" hidden="false" customHeight="false" outlineLevel="0" collapsed="false">
      <c r="A1089" s="3" t="n">
        <v>1088</v>
      </c>
      <c r="B1089" s="3" t="n">
        <v>1087</v>
      </c>
      <c r="C1089" s="3" t="n">
        <v>1</v>
      </c>
      <c r="D1089" s="3" t="n">
        <v>10</v>
      </c>
      <c r="E1089" s="3" t="n">
        <v>23</v>
      </c>
      <c r="F1089" s="24" t="n">
        <v>0</v>
      </c>
    </row>
    <row r="1090" customFormat="false" ht="15" hidden="false" customHeight="false" outlineLevel="0" collapsed="false">
      <c r="A1090" s="3" t="n">
        <v>1089</v>
      </c>
      <c r="B1090" s="3" t="n">
        <v>1088</v>
      </c>
      <c r="C1090" s="3" t="n">
        <v>1</v>
      </c>
      <c r="D1090" s="3" t="n">
        <v>10</v>
      </c>
      <c r="E1090" s="3" t="n">
        <v>24</v>
      </c>
      <c r="F1090" s="24" t="n">
        <v>0</v>
      </c>
    </row>
    <row r="1091" customFormat="false" ht="15" hidden="false" customHeight="false" outlineLevel="0" collapsed="false">
      <c r="A1091" s="3" t="n">
        <v>1090</v>
      </c>
      <c r="B1091" s="3" t="n">
        <v>1089</v>
      </c>
      <c r="C1091" s="3" t="n">
        <v>1</v>
      </c>
      <c r="D1091" s="3" t="n">
        <v>10</v>
      </c>
      <c r="E1091" s="3" t="n">
        <v>25</v>
      </c>
      <c r="F1091" s="24" t="n">
        <v>0</v>
      </c>
    </row>
    <row r="1092" customFormat="false" ht="15" hidden="false" customHeight="false" outlineLevel="0" collapsed="false">
      <c r="A1092" s="3" t="n">
        <v>1091</v>
      </c>
      <c r="B1092" s="3" t="n">
        <v>1090</v>
      </c>
      <c r="C1092" s="3" t="n">
        <v>1</v>
      </c>
      <c r="D1092" s="3" t="n">
        <v>10</v>
      </c>
      <c r="E1092" s="3" t="n">
        <v>26</v>
      </c>
      <c r="F1092" s="24" t="n">
        <v>0</v>
      </c>
    </row>
    <row r="1093" customFormat="false" ht="15" hidden="false" customHeight="false" outlineLevel="0" collapsed="false">
      <c r="A1093" s="3" t="n">
        <v>1092</v>
      </c>
      <c r="B1093" s="3" t="n">
        <v>1091</v>
      </c>
      <c r="C1093" s="3" t="n">
        <v>1</v>
      </c>
      <c r="D1093" s="3" t="n">
        <v>10</v>
      </c>
      <c r="E1093" s="3" t="n">
        <v>27</v>
      </c>
      <c r="F1093" s="24" t="n">
        <v>0</v>
      </c>
    </row>
    <row r="1094" customFormat="false" ht="15" hidden="false" customHeight="false" outlineLevel="0" collapsed="false">
      <c r="A1094" s="3" t="n">
        <v>1093</v>
      </c>
      <c r="B1094" s="3" t="n">
        <v>1092</v>
      </c>
      <c r="C1094" s="3" t="n">
        <v>1</v>
      </c>
      <c r="D1094" s="3" t="n">
        <v>11</v>
      </c>
      <c r="E1094" s="3" t="n">
        <v>0</v>
      </c>
      <c r="F1094" s="24" t="n">
        <v>0</v>
      </c>
    </row>
    <row r="1095" customFormat="false" ht="15" hidden="false" customHeight="false" outlineLevel="0" collapsed="false">
      <c r="A1095" s="3" t="n">
        <v>1094</v>
      </c>
      <c r="B1095" s="3" t="n">
        <v>1093</v>
      </c>
      <c r="C1095" s="3" t="n">
        <v>1</v>
      </c>
      <c r="D1095" s="3" t="n">
        <v>11</v>
      </c>
      <c r="E1095" s="3" t="n">
        <v>1</v>
      </c>
      <c r="F1095" s="24" t="n">
        <v>0</v>
      </c>
    </row>
    <row r="1096" customFormat="false" ht="15" hidden="false" customHeight="false" outlineLevel="0" collapsed="false">
      <c r="A1096" s="3" t="n">
        <v>1095</v>
      </c>
      <c r="B1096" s="3" t="n">
        <v>1094</v>
      </c>
      <c r="C1096" s="3" t="n">
        <v>1</v>
      </c>
      <c r="D1096" s="3" t="n">
        <v>11</v>
      </c>
      <c r="E1096" s="3" t="n">
        <v>2</v>
      </c>
      <c r="F1096" s="24" t="n">
        <v>0</v>
      </c>
    </row>
    <row r="1097" customFormat="false" ht="15" hidden="false" customHeight="false" outlineLevel="0" collapsed="false">
      <c r="A1097" s="3" t="n">
        <v>1096</v>
      </c>
      <c r="B1097" s="3" t="n">
        <v>1095</v>
      </c>
      <c r="C1097" s="3" t="n">
        <v>1</v>
      </c>
      <c r="D1097" s="3" t="n">
        <v>11</v>
      </c>
      <c r="E1097" s="3" t="n">
        <v>3</v>
      </c>
      <c r="F1097" s="24" t="n">
        <v>0</v>
      </c>
    </row>
    <row r="1098" customFormat="false" ht="15" hidden="false" customHeight="false" outlineLevel="0" collapsed="false">
      <c r="A1098" s="3" t="n">
        <v>1097</v>
      </c>
      <c r="B1098" s="3" t="n">
        <v>1096</v>
      </c>
      <c r="C1098" s="3" t="n">
        <v>1</v>
      </c>
      <c r="D1098" s="3" t="n">
        <v>11</v>
      </c>
      <c r="E1098" s="3" t="n">
        <v>4</v>
      </c>
      <c r="F1098" s="24" t="n">
        <v>0</v>
      </c>
    </row>
    <row r="1099" customFormat="false" ht="15" hidden="false" customHeight="false" outlineLevel="0" collapsed="false">
      <c r="A1099" s="3" t="n">
        <v>1098</v>
      </c>
      <c r="B1099" s="3" t="n">
        <v>1097</v>
      </c>
      <c r="C1099" s="3" t="n">
        <v>1</v>
      </c>
      <c r="D1099" s="3" t="n">
        <v>11</v>
      </c>
      <c r="E1099" s="3" t="n">
        <v>5</v>
      </c>
      <c r="F1099" s="24" t="n">
        <v>0</v>
      </c>
    </row>
    <row r="1100" customFormat="false" ht="15" hidden="false" customHeight="false" outlineLevel="0" collapsed="false">
      <c r="A1100" s="3" t="n">
        <v>1099</v>
      </c>
      <c r="B1100" s="3" t="n">
        <v>1098</v>
      </c>
      <c r="C1100" s="3" t="n">
        <v>1</v>
      </c>
      <c r="D1100" s="3" t="n">
        <v>11</v>
      </c>
      <c r="E1100" s="3" t="n">
        <v>6</v>
      </c>
      <c r="F1100" s="24" t="n">
        <v>0</v>
      </c>
    </row>
    <row r="1101" customFormat="false" ht="15" hidden="false" customHeight="false" outlineLevel="0" collapsed="false">
      <c r="A1101" s="3" t="n">
        <v>1100</v>
      </c>
      <c r="B1101" s="3" t="n">
        <v>1099</v>
      </c>
      <c r="C1101" s="3" t="n">
        <v>1</v>
      </c>
      <c r="D1101" s="3" t="n">
        <v>11</v>
      </c>
      <c r="E1101" s="3" t="n">
        <v>7</v>
      </c>
      <c r="F1101" s="24" t="n">
        <v>0</v>
      </c>
    </row>
    <row r="1102" customFormat="false" ht="15" hidden="false" customHeight="false" outlineLevel="0" collapsed="false">
      <c r="A1102" s="3" t="n">
        <v>1101</v>
      </c>
      <c r="B1102" s="3" t="n">
        <v>1100</v>
      </c>
      <c r="C1102" s="3" t="n">
        <v>1</v>
      </c>
      <c r="D1102" s="3" t="n">
        <v>11</v>
      </c>
      <c r="E1102" s="3" t="n">
        <v>8</v>
      </c>
      <c r="F1102" s="24" t="n">
        <v>0</v>
      </c>
    </row>
    <row r="1103" customFormat="false" ht="15" hidden="false" customHeight="false" outlineLevel="0" collapsed="false">
      <c r="A1103" s="3" t="n">
        <v>1102</v>
      </c>
      <c r="B1103" s="3" t="n">
        <v>1101</v>
      </c>
      <c r="C1103" s="3" t="n">
        <v>1</v>
      </c>
      <c r="D1103" s="3" t="n">
        <v>11</v>
      </c>
      <c r="E1103" s="3" t="n">
        <v>9</v>
      </c>
      <c r="F1103" s="24" t="n">
        <v>0</v>
      </c>
    </row>
    <row r="1104" customFormat="false" ht="15" hidden="false" customHeight="false" outlineLevel="0" collapsed="false">
      <c r="A1104" s="3" t="n">
        <v>1103</v>
      </c>
      <c r="B1104" s="3" t="n">
        <v>1102</v>
      </c>
      <c r="C1104" s="3" t="n">
        <v>1</v>
      </c>
      <c r="D1104" s="3" t="n">
        <v>11</v>
      </c>
      <c r="E1104" s="3" t="n">
        <v>10</v>
      </c>
      <c r="F1104" s="24" t="n">
        <v>0</v>
      </c>
    </row>
    <row r="1105" customFormat="false" ht="15" hidden="false" customHeight="false" outlineLevel="0" collapsed="false">
      <c r="A1105" s="3" t="n">
        <v>1104</v>
      </c>
      <c r="B1105" s="3" t="n">
        <v>1103</v>
      </c>
      <c r="C1105" s="3" t="n">
        <v>1</v>
      </c>
      <c r="D1105" s="3" t="n">
        <v>11</v>
      </c>
      <c r="E1105" s="3" t="n">
        <v>11</v>
      </c>
      <c r="F1105" s="24" t="n">
        <v>0</v>
      </c>
    </row>
    <row r="1106" customFormat="false" ht="15" hidden="false" customHeight="false" outlineLevel="0" collapsed="false">
      <c r="A1106" s="3" t="n">
        <v>1105</v>
      </c>
      <c r="B1106" s="3" t="n">
        <v>1104</v>
      </c>
      <c r="C1106" s="3" t="n">
        <v>1</v>
      </c>
      <c r="D1106" s="3" t="n">
        <v>11</v>
      </c>
      <c r="E1106" s="3" t="n">
        <v>12</v>
      </c>
      <c r="F1106" s="24" t="n">
        <v>0</v>
      </c>
    </row>
    <row r="1107" customFormat="false" ht="15" hidden="false" customHeight="false" outlineLevel="0" collapsed="false">
      <c r="A1107" s="3" t="n">
        <v>1106</v>
      </c>
      <c r="B1107" s="3" t="n">
        <v>1105</v>
      </c>
      <c r="C1107" s="3" t="n">
        <v>1</v>
      </c>
      <c r="D1107" s="3" t="n">
        <v>11</v>
      </c>
      <c r="E1107" s="3" t="n">
        <v>13</v>
      </c>
      <c r="F1107" s="24" t="n">
        <v>0</v>
      </c>
    </row>
    <row r="1108" customFormat="false" ht="15" hidden="false" customHeight="false" outlineLevel="0" collapsed="false">
      <c r="A1108" s="3" t="n">
        <v>1107</v>
      </c>
      <c r="B1108" s="3" t="n">
        <v>1106</v>
      </c>
      <c r="C1108" s="3" t="n">
        <v>1</v>
      </c>
      <c r="D1108" s="3" t="n">
        <v>11</v>
      </c>
      <c r="E1108" s="3" t="n">
        <v>14</v>
      </c>
      <c r="F1108" s="24" t="n">
        <v>0</v>
      </c>
    </row>
    <row r="1109" customFormat="false" ht="15" hidden="false" customHeight="false" outlineLevel="0" collapsed="false">
      <c r="A1109" s="3" t="n">
        <v>1108</v>
      </c>
      <c r="B1109" s="3" t="n">
        <v>1107</v>
      </c>
      <c r="C1109" s="3" t="n">
        <v>1</v>
      </c>
      <c r="D1109" s="3" t="n">
        <v>11</v>
      </c>
      <c r="E1109" s="3" t="n">
        <v>15</v>
      </c>
      <c r="F1109" s="24" t="n">
        <v>0</v>
      </c>
    </row>
    <row r="1110" customFormat="false" ht="15" hidden="false" customHeight="false" outlineLevel="0" collapsed="false">
      <c r="A1110" s="3" t="n">
        <v>1109</v>
      </c>
      <c r="B1110" s="3" t="n">
        <v>1108</v>
      </c>
      <c r="C1110" s="3" t="n">
        <v>1</v>
      </c>
      <c r="D1110" s="3" t="n">
        <v>11</v>
      </c>
      <c r="E1110" s="3" t="n">
        <v>16</v>
      </c>
      <c r="F1110" s="24" t="n">
        <v>0</v>
      </c>
    </row>
    <row r="1111" customFormat="false" ht="15" hidden="false" customHeight="false" outlineLevel="0" collapsed="false">
      <c r="A1111" s="3" t="n">
        <v>1110</v>
      </c>
      <c r="B1111" s="3" t="n">
        <v>1109</v>
      </c>
      <c r="C1111" s="3" t="n">
        <v>1</v>
      </c>
      <c r="D1111" s="3" t="n">
        <v>11</v>
      </c>
      <c r="E1111" s="3" t="n">
        <v>17</v>
      </c>
      <c r="F1111" s="24" t="n">
        <v>0</v>
      </c>
    </row>
    <row r="1112" customFormat="false" ht="15" hidden="false" customHeight="false" outlineLevel="0" collapsed="false">
      <c r="A1112" s="3" t="n">
        <v>1111</v>
      </c>
      <c r="B1112" s="3" t="n">
        <v>1110</v>
      </c>
      <c r="C1112" s="3" t="n">
        <v>1</v>
      </c>
      <c r="D1112" s="3" t="n">
        <v>11</v>
      </c>
      <c r="E1112" s="3" t="n">
        <v>18</v>
      </c>
      <c r="F1112" s="24" t="n">
        <v>2.4266386</v>
      </c>
    </row>
    <row r="1113" customFormat="false" ht="15" hidden="false" customHeight="false" outlineLevel="0" collapsed="false">
      <c r="A1113" s="3" t="n">
        <v>1112</v>
      </c>
      <c r="B1113" s="3" t="n">
        <v>1111</v>
      </c>
      <c r="C1113" s="3" t="n">
        <v>1</v>
      </c>
      <c r="D1113" s="3" t="n">
        <v>11</v>
      </c>
      <c r="E1113" s="3" t="n">
        <v>19</v>
      </c>
      <c r="F1113" s="24" t="n">
        <v>3.39777327</v>
      </c>
    </row>
    <row r="1114" customFormat="false" ht="15" hidden="false" customHeight="false" outlineLevel="0" collapsed="false">
      <c r="A1114" s="3" t="n">
        <v>1113</v>
      </c>
      <c r="B1114" s="3" t="n">
        <v>1112</v>
      </c>
      <c r="C1114" s="3" t="n">
        <v>1</v>
      </c>
      <c r="D1114" s="3" t="n">
        <v>11</v>
      </c>
      <c r="E1114" s="3" t="n">
        <v>20</v>
      </c>
      <c r="F1114" s="24" t="n">
        <v>0.783611178</v>
      </c>
    </row>
    <row r="1115" customFormat="false" ht="15" hidden="false" customHeight="false" outlineLevel="0" collapsed="false">
      <c r="A1115" s="3" t="n">
        <v>1114</v>
      </c>
      <c r="B1115" s="3" t="n">
        <v>1113</v>
      </c>
      <c r="C1115" s="3" t="n">
        <v>1</v>
      </c>
      <c r="D1115" s="3" t="n">
        <v>11</v>
      </c>
      <c r="E1115" s="3" t="n">
        <v>21</v>
      </c>
      <c r="F1115" s="24" t="n">
        <v>0</v>
      </c>
    </row>
    <row r="1116" customFormat="false" ht="15" hidden="false" customHeight="false" outlineLevel="0" collapsed="false">
      <c r="A1116" s="3" t="n">
        <v>1115</v>
      </c>
      <c r="B1116" s="3" t="n">
        <v>1114</v>
      </c>
      <c r="C1116" s="3" t="n">
        <v>1</v>
      </c>
      <c r="D1116" s="3" t="n">
        <v>11</v>
      </c>
      <c r="E1116" s="3" t="n">
        <v>22</v>
      </c>
      <c r="F1116" s="24" t="n">
        <v>0</v>
      </c>
    </row>
    <row r="1117" customFormat="false" ht="15" hidden="false" customHeight="false" outlineLevel="0" collapsed="false">
      <c r="A1117" s="3" t="n">
        <v>1116</v>
      </c>
      <c r="B1117" s="3" t="n">
        <v>1115</v>
      </c>
      <c r="C1117" s="3" t="n">
        <v>1</v>
      </c>
      <c r="D1117" s="3" t="n">
        <v>11</v>
      </c>
      <c r="E1117" s="3" t="n">
        <v>23</v>
      </c>
      <c r="F1117" s="24" t="n">
        <v>0</v>
      </c>
    </row>
    <row r="1118" customFormat="false" ht="15" hidden="false" customHeight="false" outlineLevel="0" collapsed="false">
      <c r="A1118" s="3" t="n">
        <v>1117</v>
      </c>
      <c r="B1118" s="3" t="n">
        <v>1116</v>
      </c>
      <c r="C1118" s="3" t="n">
        <v>1</v>
      </c>
      <c r="D1118" s="3" t="n">
        <v>11</v>
      </c>
      <c r="E1118" s="3" t="n">
        <v>24</v>
      </c>
      <c r="F1118" s="24" t="n">
        <v>0</v>
      </c>
    </row>
    <row r="1119" customFormat="false" ht="15" hidden="false" customHeight="false" outlineLevel="0" collapsed="false">
      <c r="A1119" s="3" t="n">
        <v>1118</v>
      </c>
      <c r="B1119" s="3" t="n">
        <v>1117</v>
      </c>
      <c r="C1119" s="3" t="n">
        <v>1</v>
      </c>
      <c r="D1119" s="3" t="n">
        <v>11</v>
      </c>
      <c r="E1119" s="3" t="n">
        <v>25</v>
      </c>
      <c r="F1119" s="24" t="n">
        <v>0</v>
      </c>
    </row>
    <row r="1120" customFormat="false" ht="15" hidden="false" customHeight="false" outlineLevel="0" collapsed="false">
      <c r="A1120" s="3" t="n">
        <v>1119</v>
      </c>
      <c r="B1120" s="3" t="n">
        <v>1118</v>
      </c>
      <c r="C1120" s="3" t="n">
        <v>1</v>
      </c>
      <c r="D1120" s="3" t="n">
        <v>11</v>
      </c>
      <c r="E1120" s="3" t="n">
        <v>26</v>
      </c>
      <c r="F1120" s="24" t="n">
        <v>0</v>
      </c>
    </row>
    <row r="1121" customFormat="false" ht="15" hidden="false" customHeight="false" outlineLevel="0" collapsed="false">
      <c r="A1121" s="3" t="n">
        <v>1120</v>
      </c>
      <c r="B1121" s="3" t="n">
        <v>1119</v>
      </c>
      <c r="C1121" s="3" t="n">
        <v>1</v>
      </c>
      <c r="D1121" s="3" t="n">
        <v>11</v>
      </c>
      <c r="E1121" s="3" t="n">
        <v>27</v>
      </c>
      <c r="F1121" s="24" t="n">
        <v>0</v>
      </c>
    </row>
    <row r="1122" customFormat="false" ht="15" hidden="false" customHeight="false" outlineLevel="0" collapsed="false">
      <c r="A1122" s="3" t="n">
        <v>1121</v>
      </c>
      <c r="B1122" s="3" t="n">
        <v>1120</v>
      </c>
      <c r="C1122" s="3" t="n">
        <v>1</v>
      </c>
      <c r="D1122" s="3" t="n">
        <v>12</v>
      </c>
      <c r="E1122" s="3" t="n">
        <v>0</v>
      </c>
      <c r="F1122" s="24" t="n">
        <v>0</v>
      </c>
    </row>
    <row r="1123" customFormat="false" ht="15" hidden="false" customHeight="false" outlineLevel="0" collapsed="false">
      <c r="A1123" s="3" t="n">
        <v>1122</v>
      </c>
      <c r="B1123" s="3" t="n">
        <v>1121</v>
      </c>
      <c r="C1123" s="3" t="n">
        <v>1</v>
      </c>
      <c r="D1123" s="3" t="n">
        <v>12</v>
      </c>
      <c r="E1123" s="3" t="n">
        <v>1</v>
      </c>
      <c r="F1123" s="24" t="n">
        <v>0</v>
      </c>
    </row>
    <row r="1124" customFormat="false" ht="15" hidden="false" customHeight="false" outlineLevel="0" collapsed="false">
      <c r="A1124" s="3" t="n">
        <v>1123</v>
      </c>
      <c r="B1124" s="3" t="n">
        <v>1122</v>
      </c>
      <c r="C1124" s="3" t="n">
        <v>1</v>
      </c>
      <c r="D1124" s="3" t="n">
        <v>12</v>
      </c>
      <c r="E1124" s="3" t="n">
        <v>2</v>
      </c>
      <c r="F1124" s="24" t="n">
        <v>0</v>
      </c>
    </row>
    <row r="1125" customFormat="false" ht="15" hidden="false" customHeight="false" outlineLevel="0" collapsed="false">
      <c r="A1125" s="3" t="n">
        <v>1124</v>
      </c>
      <c r="B1125" s="3" t="n">
        <v>1123</v>
      </c>
      <c r="C1125" s="3" t="n">
        <v>1</v>
      </c>
      <c r="D1125" s="3" t="n">
        <v>12</v>
      </c>
      <c r="E1125" s="3" t="n">
        <v>3</v>
      </c>
      <c r="F1125" s="24" t="n">
        <v>0</v>
      </c>
    </row>
    <row r="1126" customFormat="false" ht="15" hidden="false" customHeight="false" outlineLevel="0" collapsed="false">
      <c r="A1126" s="3" t="n">
        <v>1125</v>
      </c>
      <c r="B1126" s="3" t="n">
        <v>1124</v>
      </c>
      <c r="C1126" s="3" t="n">
        <v>1</v>
      </c>
      <c r="D1126" s="3" t="n">
        <v>12</v>
      </c>
      <c r="E1126" s="3" t="n">
        <v>4</v>
      </c>
      <c r="F1126" s="24" t="n">
        <v>0</v>
      </c>
    </row>
    <row r="1127" customFormat="false" ht="15" hidden="false" customHeight="false" outlineLevel="0" collapsed="false">
      <c r="A1127" s="3" t="n">
        <v>1126</v>
      </c>
      <c r="B1127" s="3" t="n">
        <v>1125</v>
      </c>
      <c r="C1127" s="3" t="n">
        <v>1</v>
      </c>
      <c r="D1127" s="3" t="n">
        <v>12</v>
      </c>
      <c r="E1127" s="3" t="n">
        <v>5</v>
      </c>
      <c r="F1127" s="24" t="n">
        <v>0</v>
      </c>
    </row>
    <row r="1128" customFormat="false" ht="15" hidden="false" customHeight="false" outlineLevel="0" collapsed="false">
      <c r="A1128" s="3" t="n">
        <v>1127</v>
      </c>
      <c r="B1128" s="3" t="n">
        <v>1126</v>
      </c>
      <c r="C1128" s="3" t="n">
        <v>1</v>
      </c>
      <c r="D1128" s="3" t="n">
        <v>12</v>
      </c>
      <c r="E1128" s="3" t="n">
        <v>6</v>
      </c>
      <c r="F1128" s="24" t="n">
        <v>0</v>
      </c>
    </row>
    <row r="1129" customFormat="false" ht="15" hidden="false" customHeight="false" outlineLevel="0" collapsed="false">
      <c r="A1129" s="3" t="n">
        <v>1128</v>
      </c>
      <c r="B1129" s="3" t="n">
        <v>1127</v>
      </c>
      <c r="C1129" s="3" t="n">
        <v>1</v>
      </c>
      <c r="D1129" s="3" t="n">
        <v>12</v>
      </c>
      <c r="E1129" s="3" t="n">
        <v>7</v>
      </c>
      <c r="F1129" s="24" t="n">
        <v>0</v>
      </c>
    </row>
    <row r="1130" customFormat="false" ht="15" hidden="false" customHeight="false" outlineLevel="0" collapsed="false">
      <c r="A1130" s="3" t="n">
        <v>1129</v>
      </c>
      <c r="B1130" s="3" t="n">
        <v>1128</v>
      </c>
      <c r="C1130" s="3" t="n">
        <v>1</v>
      </c>
      <c r="D1130" s="3" t="n">
        <v>12</v>
      </c>
      <c r="E1130" s="3" t="n">
        <v>8</v>
      </c>
      <c r="F1130" s="24" t="n">
        <v>0</v>
      </c>
    </row>
    <row r="1131" customFormat="false" ht="15" hidden="false" customHeight="false" outlineLevel="0" collapsed="false">
      <c r="A1131" s="3" t="n">
        <v>1130</v>
      </c>
      <c r="B1131" s="3" t="n">
        <v>1129</v>
      </c>
      <c r="C1131" s="3" t="n">
        <v>1</v>
      </c>
      <c r="D1131" s="3" t="n">
        <v>12</v>
      </c>
      <c r="E1131" s="3" t="n">
        <v>9</v>
      </c>
      <c r="F1131" s="24" t="n">
        <v>0</v>
      </c>
    </row>
    <row r="1132" customFormat="false" ht="15" hidden="false" customHeight="false" outlineLevel="0" collapsed="false">
      <c r="A1132" s="3" t="n">
        <v>1131</v>
      </c>
      <c r="B1132" s="3" t="n">
        <v>1130</v>
      </c>
      <c r="C1132" s="3" t="n">
        <v>1</v>
      </c>
      <c r="D1132" s="3" t="n">
        <v>12</v>
      </c>
      <c r="E1132" s="3" t="n">
        <v>10</v>
      </c>
      <c r="F1132" s="24" t="n">
        <v>0</v>
      </c>
    </row>
    <row r="1133" customFormat="false" ht="15" hidden="false" customHeight="false" outlineLevel="0" collapsed="false">
      <c r="A1133" s="3" t="n">
        <v>1132</v>
      </c>
      <c r="B1133" s="3" t="n">
        <v>1131</v>
      </c>
      <c r="C1133" s="3" t="n">
        <v>1</v>
      </c>
      <c r="D1133" s="3" t="n">
        <v>12</v>
      </c>
      <c r="E1133" s="3" t="n">
        <v>11</v>
      </c>
      <c r="F1133" s="24" t="n">
        <v>0</v>
      </c>
    </row>
    <row r="1134" customFormat="false" ht="15" hidden="false" customHeight="false" outlineLevel="0" collapsed="false">
      <c r="A1134" s="3" t="n">
        <v>1133</v>
      </c>
      <c r="B1134" s="3" t="n">
        <v>1132</v>
      </c>
      <c r="C1134" s="3" t="n">
        <v>1</v>
      </c>
      <c r="D1134" s="3" t="n">
        <v>12</v>
      </c>
      <c r="E1134" s="3" t="n">
        <v>12</v>
      </c>
      <c r="F1134" s="24" t="n">
        <v>0</v>
      </c>
    </row>
    <row r="1135" customFormat="false" ht="15" hidden="false" customHeight="false" outlineLevel="0" collapsed="false">
      <c r="A1135" s="3" t="n">
        <v>1134</v>
      </c>
      <c r="B1135" s="3" t="n">
        <v>1133</v>
      </c>
      <c r="C1135" s="3" t="n">
        <v>1</v>
      </c>
      <c r="D1135" s="3" t="n">
        <v>12</v>
      </c>
      <c r="E1135" s="3" t="n">
        <v>13</v>
      </c>
      <c r="F1135" s="24" t="n">
        <v>0</v>
      </c>
    </row>
    <row r="1136" customFormat="false" ht="15" hidden="false" customHeight="false" outlineLevel="0" collapsed="false">
      <c r="A1136" s="3" t="n">
        <v>1135</v>
      </c>
      <c r="B1136" s="3" t="n">
        <v>1134</v>
      </c>
      <c r="C1136" s="3" t="n">
        <v>1</v>
      </c>
      <c r="D1136" s="3" t="n">
        <v>12</v>
      </c>
      <c r="E1136" s="3" t="n">
        <v>14</v>
      </c>
      <c r="F1136" s="24" t="n">
        <v>0</v>
      </c>
    </row>
    <row r="1137" customFormat="false" ht="15" hidden="false" customHeight="false" outlineLevel="0" collapsed="false">
      <c r="A1137" s="3" t="n">
        <v>1136</v>
      </c>
      <c r="B1137" s="3" t="n">
        <v>1135</v>
      </c>
      <c r="C1137" s="3" t="n">
        <v>1</v>
      </c>
      <c r="D1137" s="3" t="n">
        <v>12</v>
      </c>
      <c r="E1137" s="3" t="n">
        <v>15</v>
      </c>
      <c r="F1137" s="24" t="n">
        <v>0</v>
      </c>
    </row>
    <row r="1138" customFormat="false" ht="15" hidden="false" customHeight="false" outlineLevel="0" collapsed="false">
      <c r="A1138" s="3" t="n">
        <v>1137</v>
      </c>
      <c r="B1138" s="3" t="n">
        <v>1136</v>
      </c>
      <c r="C1138" s="3" t="n">
        <v>1</v>
      </c>
      <c r="D1138" s="3" t="n">
        <v>12</v>
      </c>
      <c r="E1138" s="3" t="n">
        <v>16</v>
      </c>
      <c r="F1138" s="24" t="n">
        <v>0</v>
      </c>
    </row>
    <row r="1139" customFormat="false" ht="15" hidden="false" customHeight="false" outlineLevel="0" collapsed="false">
      <c r="A1139" s="3" t="n">
        <v>1138</v>
      </c>
      <c r="B1139" s="3" t="n">
        <v>1137</v>
      </c>
      <c r="C1139" s="3" t="n">
        <v>1</v>
      </c>
      <c r="D1139" s="3" t="n">
        <v>12</v>
      </c>
      <c r="E1139" s="3" t="n">
        <v>17</v>
      </c>
      <c r="F1139" s="24" t="n">
        <v>1.57103109</v>
      </c>
    </row>
    <row r="1140" customFormat="false" ht="15" hidden="false" customHeight="false" outlineLevel="0" collapsed="false">
      <c r="A1140" s="3" t="n">
        <v>1139</v>
      </c>
      <c r="B1140" s="3" t="n">
        <v>1138</v>
      </c>
      <c r="C1140" s="3" t="n">
        <v>1</v>
      </c>
      <c r="D1140" s="3" t="n">
        <v>12</v>
      </c>
      <c r="E1140" s="3" t="n">
        <v>18</v>
      </c>
      <c r="F1140" s="24" t="n">
        <v>3.38857841</v>
      </c>
    </row>
    <row r="1141" customFormat="false" ht="15" hidden="false" customHeight="false" outlineLevel="0" collapsed="false">
      <c r="A1141" s="3" t="n">
        <v>1140</v>
      </c>
      <c r="B1141" s="3" t="n">
        <v>1139</v>
      </c>
      <c r="C1141" s="3" t="n">
        <v>1</v>
      </c>
      <c r="D1141" s="3" t="n">
        <v>12</v>
      </c>
      <c r="E1141" s="3" t="n">
        <v>19</v>
      </c>
      <c r="F1141" s="24" t="n">
        <v>2.8036952</v>
      </c>
    </row>
    <row r="1142" customFormat="false" ht="15" hidden="false" customHeight="false" outlineLevel="0" collapsed="false">
      <c r="A1142" s="3" t="n">
        <v>1141</v>
      </c>
      <c r="B1142" s="3" t="n">
        <v>1140</v>
      </c>
      <c r="C1142" s="3" t="n">
        <v>1</v>
      </c>
      <c r="D1142" s="3" t="n">
        <v>12</v>
      </c>
      <c r="E1142" s="3" t="n">
        <v>20</v>
      </c>
      <c r="F1142" s="24" t="n">
        <v>0</v>
      </c>
    </row>
    <row r="1143" customFormat="false" ht="15" hidden="false" customHeight="false" outlineLevel="0" collapsed="false">
      <c r="A1143" s="3" t="n">
        <v>1142</v>
      </c>
      <c r="B1143" s="3" t="n">
        <v>1141</v>
      </c>
      <c r="C1143" s="3" t="n">
        <v>1</v>
      </c>
      <c r="D1143" s="3" t="n">
        <v>12</v>
      </c>
      <c r="E1143" s="3" t="n">
        <v>21</v>
      </c>
      <c r="F1143" s="24" t="n">
        <v>0</v>
      </c>
    </row>
    <row r="1144" customFormat="false" ht="15" hidden="false" customHeight="false" outlineLevel="0" collapsed="false">
      <c r="A1144" s="3" t="n">
        <v>1143</v>
      </c>
      <c r="B1144" s="3" t="n">
        <v>1142</v>
      </c>
      <c r="C1144" s="3" t="n">
        <v>1</v>
      </c>
      <c r="D1144" s="3" t="n">
        <v>12</v>
      </c>
      <c r="E1144" s="3" t="n">
        <v>22</v>
      </c>
      <c r="F1144" s="24" t="n">
        <v>0</v>
      </c>
    </row>
    <row r="1145" customFormat="false" ht="15" hidden="false" customHeight="false" outlineLevel="0" collapsed="false">
      <c r="A1145" s="3" t="n">
        <v>1144</v>
      </c>
      <c r="B1145" s="3" t="n">
        <v>1143</v>
      </c>
      <c r="C1145" s="3" t="n">
        <v>1</v>
      </c>
      <c r="D1145" s="3" t="n">
        <v>12</v>
      </c>
      <c r="E1145" s="3" t="n">
        <v>23</v>
      </c>
      <c r="F1145" s="24" t="n">
        <v>0</v>
      </c>
    </row>
    <row r="1146" customFormat="false" ht="15" hidden="false" customHeight="false" outlineLevel="0" collapsed="false">
      <c r="A1146" s="3" t="n">
        <v>1145</v>
      </c>
      <c r="B1146" s="3" t="n">
        <v>1144</v>
      </c>
      <c r="C1146" s="3" t="n">
        <v>1</v>
      </c>
      <c r="D1146" s="3" t="n">
        <v>12</v>
      </c>
      <c r="E1146" s="3" t="n">
        <v>24</v>
      </c>
      <c r="F1146" s="24" t="n">
        <v>0</v>
      </c>
    </row>
    <row r="1147" customFormat="false" ht="15" hidden="false" customHeight="false" outlineLevel="0" collapsed="false">
      <c r="A1147" s="3" t="n">
        <v>1146</v>
      </c>
      <c r="B1147" s="3" t="n">
        <v>1145</v>
      </c>
      <c r="C1147" s="3" t="n">
        <v>1</v>
      </c>
      <c r="D1147" s="3" t="n">
        <v>12</v>
      </c>
      <c r="E1147" s="3" t="n">
        <v>25</v>
      </c>
      <c r="F1147" s="24" t="n">
        <v>0</v>
      </c>
    </row>
    <row r="1148" customFormat="false" ht="15" hidden="false" customHeight="false" outlineLevel="0" collapsed="false">
      <c r="A1148" s="3" t="n">
        <v>1147</v>
      </c>
      <c r="B1148" s="3" t="n">
        <v>1146</v>
      </c>
      <c r="C1148" s="3" t="n">
        <v>1</v>
      </c>
      <c r="D1148" s="3" t="n">
        <v>12</v>
      </c>
      <c r="E1148" s="3" t="n">
        <v>26</v>
      </c>
      <c r="F1148" s="24" t="n">
        <v>0</v>
      </c>
    </row>
    <row r="1149" customFormat="false" ht="15" hidden="false" customHeight="false" outlineLevel="0" collapsed="false">
      <c r="A1149" s="3" t="n">
        <v>1148</v>
      </c>
      <c r="B1149" s="3" t="n">
        <v>1147</v>
      </c>
      <c r="C1149" s="3" t="n">
        <v>1</v>
      </c>
      <c r="D1149" s="3" t="n">
        <v>12</v>
      </c>
      <c r="E1149" s="3" t="n">
        <v>27</v>
      </c>
      <c r="F1149" s="24" t="n">
        <v>0</v>
      </c>
    </row>
    <row r="1150" customFormat="false" ht="15" hidden="false" customHeight="false" outlineLevel="0" collapsed="false">
      <c r="A1150" s="3" t="n">
        <v>1149</v>
      </c>
      <c r="B1150" s="3" t="n">
        <v>1148</v>
      </c>
      <c r="C1150" s="3" t="n">
        <v>1</v>
      </c>
      <c r="D1150" s="3" t="n">
        <v>13</v>
      </c>
      <c r="E1150" s="3" t="n">
        <v>0</v>
      </c>
      <c r="F1150" s="24" t="n">
        <v>0</v>
      </c>
    </row>
    <row r="1151" customFormat="false" ht="15" hidden="false" customHeight="false" outlineLevel="0" collapsed="false">
      <c r="A1151" s="3" t="n">
        <v>1150</v>
      </c>
      <c r="B1151" s="3" t="n">
        <v>1149</v>
      </c>
      <c r="C1151" s="3" t="n">
        <v>1</v>
      </c>
      <c r="D1151" s="3" t="n">
        <v>13</v>
      </c>
      <c r="E1151" s="3" t="n">
        <v>1</v>
      </c>
      <c r="F1151" s="24" t="n">
        <v>0</v>
      </c>
    </row>
    <row r="1152" customFormat="false" ht="15" hidden="false" customHeight="false" outlineLevel="0" collapsed="false">
      <c r="A1152" s="3" t="n">
        <v>1151</v>
      </c>
      <c r="B1152" s="3" t="n">
        <v>1150</v>
      </c>
      <c r="C1152" s="3" t="n">
        <v>1</v>
      </c>
      <c r="D1152" s="3" t="n">
        <v>13</v>
      </c>
      <c r="E1152" s="3" t="n">
        <v>2</v>
      </c>
      <c r="F1152" s="24" t="n">
        <v>0</v>
      </c>
    </row>
    <row r="1153" customFormat="false" ht="15" hidden="false" customHeight="false" outlineLevel="0" collapsed="false">
      <c r="A1153" s="3" t="n">
        <v>1152</v>
      </c>
      <c r="B1153" s="3" t="n">
        <v>1151</v>
      </c>
      <c r="C1153" s="3" t="n">
        <v>1</v>
      </c>
      <c r="D1153" s="3" t="n">
        <v>13</v>
      </c>
      <c r="E1153" s="3" t="n">
        <v>3</v>
      </c>
      <c r="F1153" s="24" t="n">
        <v>0</v>
      </c>
    </row>
    <row r="1154" customFormat="false" ht="15" hidden="false" customHeight="false" outlineLevel="0" collapsed="false">
      <c r="A1154" s="3" t="n">
        <v>1153</v>
      </c>
      <c r="B1154" s="3" t="n">
        <v>1152</v>
      </c>
      <c r="C1154" s="3" t="n">
        <v>1</v>
      </c>
      <c r="D1154" s="3" t="n">
        <v>13</v>
      </c>
      <c r="E1154" s="3" t="n">
        <v>4</v>
      </c>
      <c r="F1154" s="24" t="n">
        <v>0</v>
      </c>
    </row>
    <row r="1155" customFormat="false" ht="15" hidden="false" customHeight="false" outlineLevel="0" collapsed="false">
      <c r="A1155" s="3" t="n">
        <v>1154</v>
      </c>
      <c r="B1155" s="3" t="n">
        <v>1153</v>
      </c>
      <c r="C1155" s="3" t="n">
        <v>1</v>
      </c>
      <c r="D1155" s="3" t="n">
        <v>13</v>
      </c>
      <c r="E1155" s="3" t="n">
        <v>5</v>
      </c>
      <c r="F1155" s="24" t="n">
        <v>0</v>
      </c>
    </row>
    <row r="1156" customFormat="false" ht="15" hidden="false" customHeight="false" outlineLevel="0" collapsed="false">
      <c r="A1156" s="3" t="n">
        <v>1155</v>
      </c>
      <c r="B1156" s="3" t="n">
        <v>1154</v>
      </c>
      <c r="C1156" s="3" t="n">
        <v>1</v>
      </c>
      <c r="D1156" s="3" t="n">
        <v>13</v>
      </c>
      <c r="E1156" s="3" t="n">
        <v>6</v>
      </c>
      <c r="F1156" s="24" t="n">
        <v>0</v>
      </c>
    </row>
    <row r="1157" customFormat="false" ht="15" hidden="false" customHeight="false" outlineLevel="0" collapsed="false">
      <c r="A1157" s="3" t="n">
        <v>1156</v>
      </c>
      <c r="B1157" s="3" t="n">
        <v>1155</v>
      </c>
      <c r="C1157" s="3" t="n">
        <v>1</v>
      </c>
      <c r="D1157" s="3" t="n">
        <v>13</v>
      </c>
      <c r="E1157" s="3" t="n">
        <v>7</v>
      </c>
      <c r="F1157" s="24" t="n">
        <v>0</v>
      </c>
    </row>
    <row r="1158" customFormat="false" ht="15" hidden="false" customHeight="false" outlineLevel="0" collapsed="false">
      <c r="A1158" s="3" t="n">
        <v>1157</v>
      </c>
      <c r="B1158" s="3" t="n">
        <v>1156</v>
      </c>
      <c r="C1158" s="3" t="n">
        <v>1</v>
      </c>
      <c r="D1158" s="3" t="n">
        <v>13</v>
      </c>
      <c r="E1158" s="3" t="n">
        <v>8</v>
      </c>
      <c r="F1158" s="24" t="n">
        <v>0</v>
      </c>
    </row>
    <row r="1159" customFormat="false" ht="15" hidden="false" customHeight="false" outlineLevel="0" collapsed="false">
      <c r="A1159" s="3" t="n">
        <v>1158</v>
      </c>
      <c r="B1159" s="3" t="n">
        <v>1157</v>
      </c>
      <c r="C1159" s="3" t="n">
        <v>1</v>
      </c>
      <c r="D1159" s="3" t="n">
        <v>13</v>
      </c>
      <c r="E1159" s="3" t="n">
        <v>9</v>
      </c>
      <c r="F1159" s="24" t="n">
        <v>0</v>
      </c>
    </row>
    <row r="1160" customFormat="false" ht="15" hidden="false" customHeight="false" outlineLevel="0" collapsed="false">
      <c r="A1160" s="3" t="n">
        <v>1159</v>
      </c>
      <c r="B1160" s="3" t="n">
        <v>1158</v>
      </c>
      <c r="C1160" s="3" t="n">
        <v>1</v>
      </c>
      <c r="D1160" s="3" t="n">
        <v>13</v>
      </c>
      <c r="E1160" s="3" t="n">
        <v>10</v>
      </c>
      <c r="F1160" s="24" t="n">
        <v>0</v>
      </c>
    </row>
    <row r="1161" customFormat="false" ht="15" hidden="false" customHeight="false" outlineLevel="0" collapsed="false">
      <c r="A1161" s="3" t="n">
        <v>1160</v>
      </c>
      <c r="B1161" s="3" t="n">
        <v>1159</v>
      </c>
      <c r="C1161" s="3" t="n">
        <v>1</v>
      </c>
      <c r="D1161" s="3" t="n">
        <v>13</v>
      </c>
      <c r="E1161" s="3" t="n">
        <v>11</v>
      </c>
      <c r="F1161" s="24" t="n">
        <v>0</v>
      </c>
    </row>
    <row r="1162" customFormat="false" ht="15" hidden="false" customHeight="false" outlineLevel="0" collapsed="false">
      <c r="A1162" s="3" t="n">
        <v>1161</v>
      </c>
      <c r="B1162" s="3" t="n">
        <v>1160</v>
      </c>
      <c r="C1162" s="3" t="n">
        <v>1</v>
      </c>
      <c r="D1162" s="3" t="n">
        <v>13</v>
      </c>
      <c r="E1162" s="3" t="n">
        <v>12</v>
      </c>
      <c r="F1162" s="24" t="n">
        <v>0</v>
      </c>
    </row>
    <row r="1163" customFormat="false" ht="15" hidden="false" customHeight="false" outlineLevel="0" collapsed="false">
      <c r="A1163" s="3" t="n">
        <v>1162</v>
      </c>
      <c r="B1163" s="3" t="n">
        <v>1161</v>
      </c>
      <c r="C1163" s="3" t="n">
        <v>1</v>
      </c>
      <c r="D1163" s="3" t="n">
        <v>13</v>
      </c>
      <c r="E1163" s="3" t="n">
        <v>13</v>
      </c>
      <c r="F1163" s="24" t="n">
        <v>0</v>
      </c>
    </row>
    <row r="1164" customFormat="false" ht="15" hidden="false" customHeight="false" outlineLevel="0" collapsed="false">
      <c r="A1164" s="3" t="n">
        <v>1163</v>
      </c>
      <c r="B1164" s="3" t="n">
        <v>1162</v>
      </c>
      <c r="C1164" s="3" t="n">
        <v>1</v>
      </c>
      <c r="D1164" s="3" t="n">
        <v>13</v>
      </c>
      <c r="E1164" s="3" t="n">
        <v>14</v>
      </c>
      <c r="F1164" s="24" t="n">
        <v>0</v>
      </c>
    </row>
    <row r="1165" customFormat="false" ht="15" hidden="false" customHeight="false" outlineLevel="0" collapsed="false">
      <c r="A1165" s="3" t="n">
        <v>1164</v>
      </c>
      <c r="B1165" s="3" t="n">
        <v>1163</v>
      </c>
      <c r="C1165" s="3" t="n">
        <v>1</v>
      </c>
      <c r="D1165" s="3" t="n">
        <v>13</v>
      </c>
      <c r="E1165" s="3" t="n">
        <v>15</v>
      </c>
      <c r="F1165" s="24" t="n">
        <v>0</v>
      </c>
    </row>
    <row r="1166" customFormat="false" ht="15" hidden="false" customHeight="false" outlineLevel="0" collapsed="false">
      <c r="A1166" s="3" t="n">
        <v>1165</v>
      </c>
      <c r="B1166" s="3" t="n">
        <v>1164</v>
      </c>
      <c r="C1166" s="3" t="n">
        <v>1</v>
      </c>
      <c r="D1166" s="3" t="n">
        <v>13</v>
      </c>
      <c r="E1166" s="3" t="n">
        <v>16</v>
      </c>
      <c r="F1166" s="24" t="n">
        <v>0.551829696</v>
      </c>
    </row>
    <row r="1167" customFormat="false" ht="15" hidden="false" customHeight="false" outlineLevel="0" collapsed="false">
      <c r="A1167" s="3" t="n">
        <v>1166</v>
      </c>
      <c r="B1167" s="3" t="n">
        <v>1165</v>
      </c>
      <c r="C1167" s="3" t="n">
        <v>1</v>
      </c>
      <c r="D1167" s="3" t="n">
        <v>13</v>
      </c>
      <c r="E1167" s="3" t="n">
        <v>17</v>
      </c>
      <c r="F1167" s="24" t="n">
        <v>2.86324453</v>
      </c>
    </row>
    <row r="1168" customFormat="false" ht="15" hidden="false" customHeight="false" outlineLevel="0" collapsed="false">
      <c r="A1168" s="3" t="n">
        <v>1167</v>
      </c>
      <c r="B1168" s="3" t="n">
        <v>1166</v>
      </c>
      <c r="C1168" s="3" t="n">
        <v>1</v>
      </c>
      <c r="D1168" s="3" t="n">
        <v>13</v>
      </c>
      <c r="E1168" s="3" t="n">
        <v>18</v>
      </c>
      <c r="F1168" s="24" t="n">
        <v>3.63434076</v>
      </c>
    </row>
    <row r="1169" customFormat="false" ht="15" hidden="false" customHeight="false" outlineLevel="0" collapsed="false">
      <c r="A1169" s="3" t="n">
        <v>1168</v>
      </c>
      <c r="B1169" s="3" t="n">
        <v>1167</v>
      </c>
      <c r="C1169" s="3" t="n">
        <v>1</v>
      </c>
      <c r="D1169" s="3" t="n">
        <v>13</v>
      </c>
      <c r="E1169" s="3" t="n">
        <v>19</v>
      </c>
      <c r="F1169" s="24" t="n">
        <v>0.879404783</v>
      </c>
    </row>
    <row r="1170" customFormat="false" ht="15" hidden="false" customHeight="false" outlineLevel="0" collapsed="false">
      <c r="A1170" s="3" t="n">
        <v>1169</v>
      </c>
      <c r="B1170" s="3" t="n">
        <v>1168</v>
      </c>
      <c r="C1170" s="3" t="n">
        <v>1</v>
      </c>
      <c r="D1170" s="3" t="n">
        <v>13</v>
      </c>
      <c r="E1170" s="3" t="n">
        <v>20</v>
      </c>
      <c r="F1170" s="24" t="n">
        <v>0</v>
      </c>
    </row>
    <row r="1171" customFormat="false" ht="15" hidden="false" customHeight="false" outlineLevel="0" collapsed="false">
      <c r="A1171" s="3" t="n">
        <v>1170</v>
      </c>
      <c r="B1171" s="3" t="n">
        <v>1169</v>
      </c>
      <c r="C1171" s="3" t="n">
        <v>1</v>
      </c>
      <c r="D1171" s="3" t="n">
        <v>13</v>
      </c>
      <c r="E1171" s="3" t="n">
        <v>21</v>
      </c>
      <c r="F1171" s="24" t="n">
        <v>0</v>
      </c>
    </row>
    <row r="1172" customFormat="false" ht="15" hidden="false" customHeight="false" outlineLevel="0" collapsed="false">
      <c r="A1172" s="3" t="n">
        <v>1171</v>
      </c>
      <c r="B1172" s="3" t="n">
        <v>1170</v>
      </c>
      <c r="C1172" s="3" t="n">
        <v>1</v>
      </c>
      <c r="D1172" s="3" t="n">
        <v>13</v>
      </c>
      <c r="E1172" s="3" t="n">
        <v>22</v>
      </c>
      <c r="F1172" s="24" t="n">
        <v>0</v>
      </c>
    </row>
    <row r="1173" customFormat="false" ht="15" hidden="false" customHeight="false" outlineLevel="0" collapsed="false">
      <c r="A1173" s="3" t="n">
        <v>1172</v>
      </c>
      <c r="B1173" s="3" t="n">
        <v>1171</v>
      </c>
      <c r="C1173" s="3" t="n">
        <v>1</v>
      </c>
      <c r="D1173" s="3" t="n">
        <v>13</v>
      </c>
      <c r="E1173" s="3" t="n">
        <v>23</v>
      </c>
      <c r="F1173" s="24" t="n">
        <v>0</v>
      </c>
    </row>
    <row r="1174" customFormat="false" ht="15" hidden="false" customHeight="false" outlineLevel="0" collapsed="false">
      <c r="A1174" s="3" t="n">
        <v>1173</v>
      </c>
      <c r="B1174" s="3" t="n">
        <v>1172</v>
      </c>
      <c r="C1174" s="3" t="n">
        <v>1</v>
      </c>
      <c r="D1174" s="3" t="n">
        <v>13</v>
      </c>
      <c r="E1174" s="3" t="n">
        <v>24</v>
      </c>
      <c r="F1174" s="24" t="n">
        <v>0</v>
      </c>
    </row>
    <row r="1175" customFormat="false" ht="15" hidden="false" customHeight="false" outlineLevel="0" collapsed="false">
      <c r="A1175" s="3" t="n">
        <v>1174</v>
      </c>
      <c r="B1175" s="3" t="n">
        <v>1173</v>
      </c>
      <c r="C1175" s="3" t="n">
        <v>1</v>
      </c>
      <c r="D1175" s="3" t="n">
        <v>13</v>
      </c>
      <c r="E1175" s="3" t="n">
        <v>25</v>
      </c>
      <c r="F1175" s="24" t="n">
        <v>0</v>
      </c>
    </row>
    <row r="1176" customFormat="false" ht="15" hidden="false" customHeight="false" outlineLevel="0" collapsed="false">
      <c r="A1176" s="3" t="n">
        <v>1175</v>
      </c>
      <c r="B1176" s="3" t="n">
        <v>1174</v>
      </c>
      <c r="C1176" s="3" t="n">
        <v>1</v>
      </c>
      <c r="D1176" s="3" t="n">
        <v>13</v>
      </c>
      <c r="E1176" s="3" t="n">
        <v>26</v>
      </c>
      <c r="F1176" s="24" t="n">
        <v>0</v>
      </c>
    </row>
    <row r="1177" customFormat="false" ht="15" hidden="false" customHeight="false" outlineLevel="0" collapsed="false">
      <c r="A1177" s="3" t="n">
        <v>1176</v>
      </c>
      <c r="B1177" s="3" t="n">
        <v>1175</v>
      </c>
      <c r="C1177" s="3" t="n">
        <v>1</v>
      </c>
      <c r="D1177" s="3" t="n">
        <v>13</v>
      </c>
      <c r="E1177" s="3" t="n">
        <v>27</v>
      </c>
      <c r="F1177" s="24" t="n">
        <v>0</v>
      </c>
    </row>
    <row r="1178" customFormat="false" ht="15" hidden="false" customHeight="false" outlineLevel="0" collapsed="false">
      <c r="A1178" s="3" t="n">
        <v>1177</v>
      </c>
      <c r="B1178" s="3" t="n">
        <v>1176</v>
      </c>
      <c r="C1178" s="3" t="n">
        <v>1</v>
      </c>
      <c r="D1178" s="3" t="n">
        <v>14</v>
      </c>
      <c r="E1178" s="3" t="n">
        <v>0</v>
      </c>
      <c r="F1178" s="24" t="n">
        <v>0</v>
      </c>
    </row>
    <row r="1179" customFormat="false" ht="15" hidden="false" customHeight="false" outlineLevel="0" collapsed="false">
      <c r="A1179" s="3" t="n">
        <v>1178</v>
      </c>
      <c r="B1179" s="3" t="n">
        <v>1177</v>
      </c>
      <c r="C1179" s="3" t="n">
        <v>1</v>
      </c>
      <c r="D1179" s="3" t="n">
        <v>14</v>
      </c>
      <c r="E1179" s="3" t="n">
        <v>1</v>
      </c>
      <c r="F1179" s="24" t="n">
        <v>0</v>
      </c>
    </row>
    <row r="1180" customFormat="false" ht="15" hidden="false" customHeight="false" outlineLevel="0" collapsed="false">
      <c r="A1180" s="3" t="n">
        <v>1179</v>
      </c>
      <c r="B1180" s="3" t="n">
        <v>1178</v>
      </c>
      <c r="C1180" s="3" t="n">
        <v>1</v>
      </c>
      <c r="D1180" s="3" t="n">
        <v>14</v>
      </c>
      <c r="E1180" s="3" t="n">
        <v>2</v>
      </c>
      <c r="F1180" s="24" t="n">
        <v>0</v>
      </c>
    </row>
    <row r="1181" customFormat="false" ht="15" hidden="false" customHeight="false" outlineLevel="0" collapsed="false">
      <c r="A1181" s="3" t="n">
        <v>1180</v>
      </c>
      <c r="B1181" s="3" t="n">
        <v>1179</v>
      </c>
      <c r="C1181" s="3" t="n">
        <v>1</v>
      </c>
      <c r="D1181" s="3" t="n">
        <v>14</v>
      </c>
      <c r="E1181" s="3" t="n">
        <v>3</v>
      </c>
      <c r="F1181" s="24" t="n">
        <v>0</v>
      </c>
    </row>
    <row r="1182" customFormat="false" ht="15" hidden="false" customHeight="false" outlineLevel="0" collapsed="false">
      <c r="A1182" s="3" t="n">
        <v>1181</v>
      </c>
      <c r="B1182" s="3" t="n">
        <v>1180</v>
      </c>
      <c r="C1182" s="3" t="n">
        <v>1</v>
      </c>
      <c r="D1182" s="3" t="n">
        <v>14</v>
      </c>
      <c r="E1182" s="3" t="n">
        <v>4</v>
      </c>
      <c r="F1182" s="24" t="n">
        <v>0</v>
      </c>
    </row>
    <row r="1183" customFormat="false" ht="15" hidden="false" customHeight="false" outlineLevel="0" collapsed="false">
      <c r="A1183" s="3" t="n">
        <v>1182</v>
      </c>
      <c r="B1183" s="3" t="n">
        <v>1181</v>
      </c>
      <c r="C1183" s="3" t="n">
        <v>1</v>
      </c>
      <c r="D1183" s="3" t="n">
        <v>14</v>
      </c>
      <c r="E1183" s="3" t="n">
        <v>5</v>
      </c>
      <c r="F1183" s="24" t="n">
        <v>0</v>
      </c>
    </row>
    <row r="1184" customFormat="false" ht="15" hidden="false" customHeight="false" outlineLevel="0" collapsed="false">
      <c r="A1184" s="3" t="n">
        <v>1183</v>
      </c>
      <c r="B1184" s="3" t="n">
        <v>1182</v>
      </c>
      <c r="C1184" s="3" t="n">
        <v>1</v>
      </c>
      <c r="D1184" s="3" t="n">
        <v>14</v>
      </c>
      <c r="E1184" s="3" t="n">
        <v>6</v>
      </c>
      <c r="F1184" s="24" t="n">
        <v>0</v>
      </c>
    </row>
    <row r="1185" customFormat="false" ht="15" hidden="false" customHeight="false" outlineLevel="0" collapsed="false">
      <c r="A1185" s="3" t="n">
        <v>1184</v>
      </c>
      <c r="B1185" s="3" t="n">
        <v>1183</v>
      </c>
      <c r="C1185" s="3" t="n">
        <v>1</v>
      </c>
      <c r="D1185" s="3" t="n">
        <v>14</v>
      </c>
      <c r="E1185" s="3" t="n">
        <v>7</v>
      </c>
      <c r="F1185" s="24" t="n">
        <v>0</v>
      </c>
    </row>
    <row r="1186" customFormat="false" ht="15" hidden="false" customHeight="false" outlineLevel="0" collapsed="false">
      <c r="A1186" s="3" t="n">
        <v>1185</v>
      </c>
      <c r="B1186" s="3" t="n">
        <v>1184</v>
      </c>
      <c r="C1186" s="3" t="n">
        <v>1</v>
      </c>
      <c r="D1186" s="3" t="n">
        <v>14</v>
      </c>
      <c r="E1186" s="3" t="n">
        <v>8</v>
      </c>
      <c r="F1186" s="24" t="n">
        <v>0</v>
      </c>
    </row>
    <row r="1187" customFormat="false" ht="15" hidden="false" customHeight="false" outlineLevel="0" collapsed="false">
      <c r="A1187" s="3" t="n">
        <v>1186</v>
      </c>
      <c r="B1187" s="3" t="n">
        <v>1185</v>
      </c>
      <c r="C1187" s="3" t="n">
        <v>1</v>
      </c>
      <c r="D1187" s="3" t="n">
        <v>14</v>
      </c>
      <c r="E1187" s="3" t="n">
        <v>9</v>
      </c>
      <c r="F1187" s="24" t="n">
        <v>0</v>
      </c>
    </row>
    <row r="1188" customFormat="false" ht="15" hidden="false" customHeight="false" outlineLevel="0" collapsed="false">
      <c r="A1188" s="3" t="n">
        <v>1187</v>
      </c>
      <c r="B1188" s="3" t="n">
        <v>1186</v>
      </c>
      <c r="C1188" s="3" t="n">
        <v>1</v>
      </c>
      <c r="D1188" s="3" t="n">
        <v>14</v>
      </c>
      <c r="E1188" s="3" t="n">
        <v>10</v>
      </c>
      <c r="F1188" s="24" t="n">
        <v>0</v>
      </c>
    </row>
    <row r="1189" customFormat="false" ht="15" hidden="false" customHeight="false" outlineLevel="0" collapsed="false">
      <c r="A1189" s="3" t="n">
        <v>1188</v>
      </c>
      <c r="B1189" s="3" t="n">
        <v>1187</v>
      </c>
      <c r="C1189" s="3" t="n">
        <v>1</v>
      </c>
      <c r="D1189" s="3" t="n">
        <v>14</v>
      </c>
      <c r="E1189" s="3" t="n">
        <v>11</v>
      </c>
      <c r="F1189" s="24" t="n">
        <v>0</v>
      </c>
    </row>
    <row r="1190" customFormat="false" ht="15" hidden="false" customHeight="false" outlineLevel="0" collapsed="false">
      <c r="A1190" s="3" t="n">
        <v>1189</v>
      </c>
      <c r="B1190" s="3" t="n">
        <v>1188</v>
      </c>
      <c r="C1190" s="3" t="n">
        <v>1</v>
      </c>
      <c r="D1190" s="3" t="n">
        <v>14</v>
      </c>
      <c r="E1190" s="3" t="n">
        <v>12</v>
      </c>
      <c r="F1190" s="24" t="n">
        <v>0</v>
      </c>
    </row>
    <row r="1191" customFormat="false" ht="15" hidden="false" customHeight="false" outlineLevel="0" collapsed="false">
      <c r="A1191" s="3" t="n">
        <v>1190</v>
      </c>
      <c r="B1191" s="3" t="n">
        <v>1189</v>
      </c>
      <c r="C1191" s="3" t="n">
        <v>1</v>
      </c>
      <c r="D1191" s="3" t="n">
        <v>14</v>
      </c>
      <c r="E1191" s="3" t="n">
        <v>13</v>
      </c>
      <c r="F1191" s="24" t="n">
        <v>0</v>
      </c>
    </row>
    <row r="1192" customFormat="false" ht="15" hidden="false" customHeight="false" outlineLevel="0" collapsed="false">
      <c r="A1192" s="3" t="n">
        <v>1191</v>
      </c>
      <c r="B1192" s="3" t="n">
        <v>1190</v>
      </c>
      <c r="C1192" s="3" t="n">
        <v>1</v>
      </c>
      <c r="D1192" s="3" t="n">
        <v>14</v>
      </c>
      <c r="E1192" s="3" t="n">
        <v>14</v>
      </c>
      <c r="F1192" s="24" t="n">
        <v>0</v>
      </c>
    </row>
    <row r="1193" customFormat="false" ht="15" hidden="false" customHeight="false" outlineLevel="0" collapsed="false">
      <c r="A1193" s="3" t="n">
        <v>1192</v>
      </c>
      <c r="B1193" s="3" t="n">
        <v>1191</v>
      </c>
      <c r="C1193" s="3" t="n">
        <v>1</v>
      </c>
      <c r="D1193" s="3" t="n">
        <v>14</v>
      </c>
      <c r="E1193" s="3" t="n">
        <v>15</v>
      </c>
      <c r="F1193" s="24" t="n">
        <v>0</v>
      </c>
    </row>
    <row r="1194" customFormat="false" ht="15" hidden="false" customHeight="false" outlineLevel="0" collapsed="false">
      <c r="A1194" s="3" t="n">
        <v>1193</v>
      </c>
      <c r="B1194" s="3" t="n">
        <v>1192</v>
      </c>
      <c r="C1194" s="3" t="n">
        <v>1</v>
      </c>
      <c r="D1194" s="3" t="n">
        <v>14</v>
      </c>
      <c r="E1194" s="3" t="n">
        <v>16</v>
      </c>
      <c r="F1194" s="24" t="n">
        <v>1.88769019</v>
      </c>
    </row>
    <row r="1195" customFormat="false" ht="15" hidden="false" customHeight="false" outlineLevel="0" collapsed="false">
      <c r="A1195" s="3" t="n">
        <v>1194</v>
      </c>
      <c r="B1195" s="3" t="n">
        <v>1193</v>
      </c>
      <c r="C1195" s="3" t="n">
        <v>1</v>
      </c>
      <c r="D1195" s="3" t="n">
        <v>14</v>
      </c>
      <c r="E1195" s="3" t="n">
        <v>17</v>
      </c>
      <c r="F1195" s="24" t="n">
        <v>3.59550095</v>
      </c>
    </row>
    <row r="1196" customFormat="false" ht="15" hidden="false" customHeight="false" outlineLevel="0" collapsed="false">
      <c r="A1196" s="3" t="n">
        <v>1195</v>
      </c>
      <c r="B1196" s="3" t="n">
        <v>1194</v>
      </c>
      <c r="C1196" s="3" t="n">
        <v>1</v>
      </c>
      <c r="D1196" s="3" t="n">
        <v>14</v>
      </c>
      <c r="E1196" s="3" t="n">
        <v>18</v>
      </c>
      <c r="F1196" s="24" t="n">
        <v>2.34878397</v>
      </c>
    </row>
    <row r="1197" customFormat="false" ht="15" hidden="false" customHeight="false" outlineLevel="0" collapsed="false">
      <c r="A1197" s="3" t="n">
        <v>1196</v>
      </c>
      <c r="B1197" s="3" t="n">
        <v>1195</v>
      </c>
      <c r="C1197" s="3" t="n">
        <v>1</v>
      </c>
      <c r="D1197" s="3" t="n">
        <v>14</v>
      </c>
      <c r="E1197" s="3" t="n">
        <v>19</v>
      </c>
      <c r="F1197" s="24" t="n">
        <v>0</v>
      </c>
    </row>
    <row r="1198" customFormat="false" ht="15" hidden="false" customHeight="false" outlineLevel="0" collapsed="false">
      <c r="A1198" s="3" t="n">
        <v>1197</v>
      </c>
      <c r="B1198" s="3" t="n">
        <v>1196</v>
      </c>
      <c r="C1198" s="3" t="n">
        <v>1</v>
      </c>
      <c r="D1198" s="3" t="n">
        <v>14</v>
      </c>
      <c r="E1198" s="3" t="n">
        <v>20</v>
      </c>
      <c r="F1198" s="24" t="n">
        <v>0</v>
      </c>
    </row>
    <row r="1199" customFormat="false" ht="15" hidden="false" customHeight="false" outlineLevel="0" collapsed="false">
      <c r="A1199" s="3" t="n">
        <v>1198</v>
      </c>
      <c r="B1199" s="3" t="n">
        <v>1197</v>
      </c>
      <c r="C1199" s="3" t="n">
        <v>1</v>
      </c>
      <c r="D1199" s="3" t="n">
        <v>14</v>
      </c>
      <c r="E1199" s="3" t="n">
        <v>21</v>
      </c>
      <c r="F1199" s="24" t="n">
        <v>0</v>
      </c>
    </row>
    <row r="1200" customFormat="false" ht="15" hidden="false" customHeight="false" outlineLevel="0" collapsed="false">
      <c r="A1200" s="3" t="n">
        <v>1199</v>
      </c>
      <c r="B1200" s="3" t="n">
        <v>1198</v>
      </c>
      <c r="C1200" s="3" t="n">
        <v>1</v>
      </c>
      <c r="D1200" s="3" t="n">
        <v>14</v>
      </c>
      <c r="E1200" s="3" t="n">
        <v>22</v>
      </c>
      <c r="F1200" s="24" t="n">
        <v>0</v>
      </c>
    </row>
    <row r="1201" customFormat="false" ht="15" hidden="false" customHeight="false" outlineLevel="0" collapsed="false">
      <c r="A1201" s="3" t="n">
        <v>1200</v>
      </c>
      <c r="B1201" s="3" t="n">
        <v>1199</v>
      </c>
      <c r="C1201" s="3" t="n">
        <v>1</v>
      </c>
      <c r="D1201" s="3" t="n">
        <v>14</v>
      </c>
      <c r="E1201" s="3" t="n">
        <v>23</v>
      </c>
      <c r="F1201" s="24" t="n">
        <v>0</v>
      </c>
    </row>
    <row r="1202" customFormat="false" ht="15" hidden="false" customHeight="false" outlineLevel="0" collapsed="false">
      <c r="A1202" s="3" t="n">
        <v>1201</v>
      </c>
      <c r="B1202" s="3" t="n">
        <v>1200</v>
      </c>
      <c r="C1202" s="3" t="n">
        <v>1</v>
      </c>
      <c r="D1202" s="3" t="n">
        <v>14</v>
      </c>
      <c r="E1202" s="3" t="n">
        <v>24</v>
      </c>
      <c r="F1202" s="24" t="n">
        <v>0</v>
      </c>
    </row>
    <row r="1203" customFormat="false" ht="15" hidden="false" customHeight="false" outlineLevel="0" collapsed="false">
      <c r="A1203" s="3" t="n">
        <v>1202</v>
      </c>
      <c r="B1203" s="3" t="n">
        <v>1201</v>
      </c>
      <c r="C1203" s="3" t="n">
        <v>1</v>
      </c>
      <c r="D1203" s="3" t="n">
        <v>14</v>
      </c>
      <c r="E1203" s="3" t="n">
        <v>25</v>
      </c>
      <c r="F1203" s="24" t="n">
        <v>0</v>
      </c>
    </row>
    <row r="1204" customFormat="false" ht="15" hidden="false" customHeight="false" outlineLevel="0" collapsed="false">
      <c r="A1204" s="3" t="n">
        <v>1203</v>
      </c>
      <c r="B1204" s="3" t="n">
        <v>1202</v>
      </c>
      <c r="C1204" s="3" t="n">
        <v>1</v>
      </c>
      <c r="D1204" s="3" t="n">
        <v>14</v>
      </c>
      <c r="E1204" s="3" t="n">
        <v>26</v>
      </c>
      <c r="F1204" s="24" t="n">
        <v>0</v>
      </c>
    </row>
    <row r="1205" customFormat="false" ht="15" hidden="false" customHeight="false" outlineLevel="0" collapsed="false">
      <c r="A1205" s="3" t="n">
        <v>1204</v>
      </c>
      <c r="B1205" s="3" t="n">
        <v>1203</v>
      </c>
      <c r="C1205" s="3" t="n">
        <v>1</v>
      </c>
      <c r="D1205" s="3" t="n">
        <v>14</v>
      </c>
      <c r="E1205" s="3" t="n">
        <v>27</v>
      </c>
      <c r="F1205" s="24" t="n">
        <v>0</v>
      </c>
    </row>
    <row r="1206" customFormat="false" ht="15" hidden="false" customHeight="false" outlineLevel="0" collapsed="false">
      <c r="A1206" s="3" t="n">
        <v>1205</v>
      </c>
      <c r="B1206" s="3" t="n">
        <v>1204</v>
      </c>
      <c r="C1206" s="3" t="n">
        <v>1</v>
      </c>
      <c r="D1206" s="3" t="n">
        <v>15</v>
      </c>
      <c r="E1206" s="3" t="n">
        <v>0</v>
      </c>
      <c r="F1206" s="24" t="n">
        <v>0</v>
      </c>
    </row>
    <row r="1207" customFormat="false" ht="15" hidden="false" customHeight="false" outlineLevel="0" collapsed="false">
      <c r="A1207" s="3" t="n">
        <v>1206</v>
      </c>
      <c r="B1207" s="3" t="n">
        <v>1205</v>
      </c>
      <c r="C1207" s="3" t="n">
        <v>1</v>
      </c>
      <c r="D1207" s="3" t="n">
        <v>15</v>
      </c>
      <c r="E1207" s="3" t="n">
        <v>1</v>
      </c>
      <c r="F1207" s="24" t="n">
        <v>0</v>
      </c>
    </row>
    <row r="1208" customFormat="false" ht="15" hidden="false" customHeight="false" outlineLevel="0" collapsed="false">
      <c r="A1208" s="3" t="n">
        <v>1207</v>
      </c>
      <c r="B1208" s="3" t="n">
        <v>1206</v>
      </c>
      <c r="C1208" s="3" t="n">
        <v>1</v>
      </c>
      <c r="D1208" s="3" t="n">
        <v>15</v>
      </c>
      <c r="E1208" s="3" t="n">
        <v>2</v>
      </c>
      <c r="F1208" s="24" t="n">
        <v>0</v>
      </c>
    </row>
    <row r="1209" customFormat="false" ht="15" hidden="false" customHeight="false" outlineLevel="0" collapsed="false">
      <c r="A1209" s="3" t="n">
        <v>1208</v>
      </c>
      <c r="B1209" s="3" t="n">
        <v>1207</v>
      </c>
      <c r="C1209" s="3" t="n">
        <v>1</v>
      </c>
      <c r="D1209" s="3" t="n">
        <v>15</v>
      </c>
      <c r="E1209" s="3" t="n">
        <v>3</v>
      </c>
      <c r="F1209" s="24" t="n">
        <v>0</v>
      </c>
    </row>
    <row r="1210" customFormat="false" ht="15" hidden="false" customHeight="false" outlineLevel="0" collapsed="false">
      <c r="A1210" s="3" t="n">
        <v>1209</v>
      </c>
      <c r="B1210" s="3" t="n">
        <v>1208</v>
      </c>
      <c r="C1210" s="3" t="n">
        <v>1</v>
      </c>
      <c r="D1210" s="3" t="n">
        <v>15</v>
      </c>
      <c r="E1210" s="3" t="n">
        <v>4</v>
      </c>
      <c r="F1210" s="24" t="n">
        <v>0</v>
      </c>
    </row>
    <row r="1211" customFormat="false" ht="15" hidden="false" customHeight="false" outlineLevel="0" collapsed="false">
      <c r="A1211" s="3" t="n">
        <v>1210</v>
      </c>
      <c r="B1211" s="3" t="n">
        <v>1209</v>
      </c>
      <c r="C1211" s="3" t="n">
        <v>1</v>
      </c>
      <c r="D1211" s="3" t="n">
        <v>15</v>
      </c>
      <c r="E1211" s="3" t="n">
        <v>5</v>
      </c>
      <c r="F1211" s="24" t="n">
        <v>0</v>
      </c>
    </row>
    <row r="1212" customFormat="false" ht="15" hidden="false" customHeight="false" outlineLevel="0" collapsed="false">
      <c r="A1212" s="3" t="n">
        <v>1211</v>
      </c>
      <c r="B1212" s="3" t="n">
        <v>1210</v>
      </c>
      <c r="C1212" s="3" t="n">
        <v>1</v>
      </c>
      <c r="D1212" s="3" t="n">
        <v>15</v>
      </c>
      <c r="E1212" s="3" t="n">
        <v>6</v>
      </c>
      <c r="F1212" s="24" t="n">
        <v>0</v>
      </c>
    </row>
    <row r="1213" customFormat="false" ht="15" hidden="false" customHeight="false" outlineLevel="0" collapsed="false">
      <c r="A1213" s="3" t="n">
        <v>1212</v>
      </c>
      <c r="B1213" s="3" t="n">
        <v>1211</v>
      </c>
      <c r="C1213" s="3" t="n">
        <v>1</v>
      </c>
      <c r="D1213" s="3" t="n">
        <v>15</v>
      </c>
      <c r="E1213" s="3" t="n">
        <v>7</v>
      </c>
      <c r="F1213" s="24" t="n">
        <v>0</v>
      </c>
    </row>
    <row r="1214" customFormat="false" ht="15" hidden="false" customHeight="false" outlineLevel="0" collapsed="false">
      <c r="A1214" s="3" t="n">
        <v>1213</v>
      </c>
      <c r="B1214" s="3" t="n">
        <v>1212</v>
      </c>
      <c r="C1214" s="3" t="n">
        <v>1</v>
      </c>
      <c r="D1214" s="3" t="n">
        <v>15</v>
      </c>
      <c r="E1214" s="3" t="n">
        <v>8</v>
      </c>
      <c r="F1214" s="24" t="n">
        <v>0</v>
      </c>
    </row>
    <row r="1215" customFormat="false" ht="15" hidden="false" customHeight="false" outlineLevel="0" collapsed="false">
      <c r="A1215" s="3" t="n">
        <v>1214</v>
      </c>
      <c r="B1215" s="3" t="n">
        <v>1213</v>
      </c>
      <c r="C1215" s="3" t="n">
        <v>1</v>
      </c>
      <c r="D1215" s="3" t="n">
        <v>15</v>
      </c>
      <c r="E1215" s="3" t="n">
        <v>9</v>
      </c>
      <c r="F1215" s="24" t="n">
        <v>0</v>
      </c>
    </row>
    <row r="1216" customFormat="false" ht="15" hidden="false" customHeight="false" outlineLevel="0" collapsed="false">
      <c r="A1216" s="3" t="n">
        <v>1215</v>
      </c>
      <c r="B1216" s="3" t="n">
        <v>1214</v>
      </c>
      <c r="C1216" s="3" t="n">
        <v>1</v>
      </c>
      <c r="D1216" s="3" t="n">
        <v>15</v>
      </c>
      <c r="E1216" s="3" t="n">
        <v>10</v>
      </c>
      <c r="F1216" s="24" t="n">
        <v>0</v>
      </c>
    </row>
    <row r="1217" customFormat="false" ht="15" hidden="false" customHeight="false" outlineLevel="0" collapsed="false">
      <c r="A1217" s="3" t="n">
        <v>1216</v>
      </c>
      <c r="B1217" s="3" t="n">
        <v>1215</v>
      </c>
      <c r="C1217" s="3" t="n">
        <v>1</v>
      </c>
      <c r="D1217" s="3" t="n">
        <v>15</v>
      </c>
      <c r="E1217" s="3" t="n">
        <v>11</v>
      </c>
      <c r="F1217" s="24" t="n">
        <v>0</v>
      </c>
    </row>
    <row r="1218" customFormat="false" ht="15" hidden="false" customHeight="false" outlineLevel="0" collapsed="false">
      <c r="A1218" s="3" t="n">
        <v>1217</v>
      </c>
      <c r="B1218" s="3" t="n">
        <v>1216</v>
      </c>
      <c r="C1218" s="3" t="n">
        <v>1</v>
      </c>
      <c r="D1218" s="3" t="n">
        <v>15</v>
      </c>
      <c r="E1218" s="3" t="n">
        <v>12</v>
      </c>
      <c r="F1218" s="24" t="n">
        <v>0</v>
      </c>
    </row>
    <row r="1219" customFormat="false" ht="15" hidden="false" customHeight="false" outlineLevel="0" collapsed="false">
      <c r="A1219" s="3" t="n">
        <v>1218</v>
      </c>
      <c r="B1219" s="3" t="n">
        <v>1217</v>
      </c>
      <c r="C1219" s="3" t="n">
        <v>1</v>
      </c>
      <c r="D1219" s="3" t="n">
        <v>15</v>
      </c>
      <c r="E1219" s="3" t="n">
        <v>13</v>
      </c>
      <c r="F1219" s="24" t="n">
        <v>0</v>
      </c>
    </row>
    <row r="1220" customFormat="false" ht="15" hidden="false" customHeight="false" outlineLevel="0" collapsed="false">
      <c r="A1220" s="3" t="n">
        <v>1219</v>
      </c>
      <c r="B1220" s="3" t="n">
        <v>1218</v>
      </c>
      <c r="C1220" s="3" t="n">
        <v>1</v>
      </c>
      <c r="D1220" s="3" t="n">
        <v>15</v>
      </c>
      <c r="E1220" s="3" t="n">
        <v>14</v>
      </c>
      <c r="F1220" s="24" t="n">
        <v>0</v>
      </c>
    </row>
    <row r="1221" customFormat="false" ht="15" hidden="false" customHeight="false" outlineLevel="0" collapsed="false">
      <c r="A1221" s="3" t="n">
        <v>1220</v>
      </c>
      <c r="B1221" s="3" t="n">
        <v>1219</v>
      </c>
      <c r="C1221" s="3" t="n">
        <v>1</v>
      </c>
      <c r="D1221" s="3" t="n">
        <v>15</v>
      </c>
      <c r="E1221" s="3" t="n">
        <v>15</v>
      </c>
      <c r="F1221" s="24" t="n">
        <v>0.38414371</v>
      </c>
    </row>
    <row r="1222" customFormat="false" ht="15" hidden="false" customHeight="false" outlineLevel="0" collapsed="false">
      <c r="A1222" s="3" t="n">
        <v>1221</v>
      </c>
      <c r="B1222" s="3" t="n">
        <v>1220</v>
      </c>
      <c r="C1222" s="3" t="n">
        <v>1</v>
      </c>
      <c r="D1222" s="3" t="n">
        <v>15</v>
      </c>
      <c r="E1222" s="3" t="n">
        <v>16</v>
      </c>
      <c r="F1222" s="24" t="n">
        <v>2.84874964</v>
      </c>
    </row>
    <row r="1223" customFormat="false" ht="15" hidden="false" customHeight="false" outlineLevel="0" collapsed="false">
      <c r="A1223" s="3" t="n">
        <v>1222</v>
      </c>
      <c r="B1223" s="3" t="n">
        <v>1221</v>
      </c>
      <c r="C1223" s="3" t="n">
        <v>1</v>
      </c>
      <c r="D1223" s="3" t="n">
        <v>15</v>
      </c>
      <c r="E1223" s="3" t="n">
        <v>17</v>
      </c>
      <c r="F1223" s="24" t="n">
        <v>3.28705072</v>
      </c>
    </row>
    <row r="1224" customFormat="false" ht="15" hidden="false" customHeight="false" outlineLevel="0" collapsed="false">
      <c r="A1224" s="3" t="n">
        <v>1223</v>
      </c>
      <c r="B1224" s="3" t="n">
        <v>1222</v>
      </c>
      <c r="C1224" s="3" t="n">
        <v>1</v>
      </c>
      <c r="D1224" s="3" t="n">
        <v>15</v>
      </c>
      <c r="E1224" s="3" t="n">
        <v>18</v>
      </c>
      <c r="F1224" s="24" t="n">
        <v>0.39664501</v>
      </c>
    </row>
    <row r="1225" customFormat="false" ht="15" hidden="false" customHeight="false" outlineLevel="0" collapsed="false">
      <c r="A1225" s="3" t="n">
        <v>1224</v>
      </c>
      <c r="B1225" s="3" t="n">
        <v>1223</v>
      </c>
      <c r="C1225" s="3" t="n">
        <v>1</v>
      </c>
      <c r="D1225" s="3" t="n">
        <v>15</v>
      </c>
      <c r="E1225" s="3" t="n">
        <v>19</v>
      </c>
      <c r="F1225" s="24" t="n">
        <v>0</v>
      </c>
    </row>
    <row r="1226" customFormat="false" ht="15" hidden="false" customHeight="false" outlineLevel="0" collapsed="false">
      <c r="A1226" s="3" t="n">
        <v>1225</v>
      </c>
      <c r="B1226" s="3" t="n">
        <v>1224</v>
      </c>
      <c r="C1226" s="3" t="n">
        <v>1</v>
      </c>
      <c r="D1226" s="3" t="n">
        <v>15</v>
      </c>
      <c r="E1226" s="3" t="n">
        <v>20</v>
      </c>
      <c r="F1226" s="24" t="n">
        <v>0</v>
      </c>
    </row>
    <row r="1227" customFormat="false" ht="15" hidden="false" customHeight="false" outlineLevel="0" collapsed="false">
      <c r="A1227" s="3" t="n">
        <v>1226</v>
      </c>
      <c r="B1227" s="3" t="n">
        <v>1225</v>
      </c>
      <c r="C1227" s="3" t="n">
        <v>1</v>
      </c>
      <c r="D1227" s="3" t="n">
        <v>15</v>
      </c>
      <c r="E1227" s="3" t="n">
        <v>21</v>
      </c>
      <c r="F1227" s="24" t="n">
        <v>0</v>
      </c>
    </row>
    <row r="1228" customFormat="false" ht="15" hidden="false" customHeight="false" outlineLevel="0" collapsed="false">
      <c r="A1228" s="3" t="n">
        <v>1227</v>
      </c>
      <c r="B1228" s="3" t="n">
        <v>1226</v>
      </c>
      <c r="C1228" s="3" t="n">
        <v>1</v>
      </c>
      <c r="D1228" s="3" t="n">
        <v>15</v>
      </c>
      <c r="E1228" s="3" t="n">
        <v>22</v>
      </c>
      <c r="F1228" s="24" t="n">
        <v>0</v>
      </c>
    </row>
    <row r="1229" customFormat="false" ht="15" hidden="false" customHeight="false" outlineLevel="0" collapsed="false">
      <c r="A1229" s="3" t="n">
        <v>1228</v>
      </c>
      <c r="B1229" s="3" t="n">
        <v>1227</v>
      </c>
      <c r="C1229" s="3" t="n">
        <v>1</v>
      </c>
      <c r="D1229" s="3" t="n">
        <v>15</v>
      </c>
      <c r="E1229" s="3" t="n">
        <v>23</v>
      </c>
      <c r="F1229" s="24" t="n">
        <v>0</v>
      </c>
    </row>
    <row r="1230" customFormat="false" ht="15" hidden="false" customHeight="false" outlineLevel="0" collapsed="false">
      <c r="A1230" s="3" t="n">
        <v>1229</v>
      </c>
      <c r="B1230" s="3" t="n">
        <v>1228</v>
      </c>
      <c r="C1230" s="3" t="n">
        <v>1</v>
      </c>
      <c r="D1230" s="3" t="n">
        <v>15</v>
      </c>
      <c r="E1230" s="3" t="n">
        <v>24</v>
      </c>
      <c r="F1230" s="24" t="n">
        <v>0</v>
      </c>
    </row>
    <row r="1231" customFormat="false" ht="15" hidden="false" customHeight="false" outlineLevel="0" collapsed="false">
      <c r="A1231" s="3" t="n">
        <v>1230</v>
      </c>
      <c r="B1231" s="3" t="n">
        <v>1229</v>
      </c>
      <c r="C1231" s="3" t="n">
        <v>1</v>
      </c>
      <c r="D1231" s="3" t="n">
        <v>15</v>
      </c>
      <c r="E1231" s="3" t="n">
        <v>25</v>
      </c>
      <c r="F1231" s="24" t="n">
        <v>0</v>
      </c>
    </row>
    <row r="1232" customFormat="false" ht="15" hidden="false" customHeight="false" outlineLevel="0" collapsed="false">
      <c r="A1232" s="3" t="n">
        <v>1231</v>
      </c>
      <c r="B1232" s="3" t="n">
        <v>1230</v>
      </c>
      <c r="C1232" s="3" t="n">
        <v>1</v>
      </c>
      <c r="D1232" s="3" t="n">
        <v>15</v>
      </c>
      <c r="E1232" s="3" t="n">
        <v>26</v>
      </c>
      <c r="F1232" s="24" t="n">
        <v>0</v>
      </c>
    </row>
    <row r="1233" customFormat="false" ht="15" hidden="false" customHeight="false" outlineLevel="0" collapsed="false">
      <c r="A1233" s="3" t="n">
        <v>1232</v>
      </c>
      <c r="B1233" s="3" t="n">
        <v>1231</v>
      </c>
      <c r="C1233" s="3" t="n">
        <v>1</v>
      </c>
      <c r="D1233" s="3" t="n">
        <v>15</v>
      </c>
      <c r="E1233" s="3" t="n">
        <v>27</v>
      </c>
      <c r="F1233" s="24" t="n">
        <v>0</v>
      </c>
    </row>
    <row r="1234" customFormat="false" ht="15" hidden="false" customHeight="false" outlineLevel="0" collapsed="false">
      <c r="A1234" s="3" t="n">
        <v>1233</v>
      </c>
      <c r="B1234" s="3" t="n">
        <v>1232</v>
      </c>
      <c r="C1234" s="3" t="n">
        <v>1</v>
      </c>
      <c r="D1234" s="3" t="n">
        <v>16</v>
      </c>
      <c r="E1234" s="3" t="n">
        <v>0</v>
      </c>
      <c r="F1234" s="24" t="n">
        <v>0</v>
      </c>
    </row>
    <row r="1235" customFormat="false" ht="15" hidden="false" customHeight="false" outlineLevel="0" collapsed="false">
      <c r="A1235" s="3" t="n">
        <v>1234</v>
      </c>
      <c r="B1235" s="3" t="n">
        <v>1233</v>
      </c>
      <c r="C1235" s="3" t="n">
        <v>1</v>
      </c>
      <c r="D1235" s="3" t="n">
        <v>16</v>
      </c>
      <c r="E1235" s="3" t="n">
        <v>1</v>
      </c>
      <c r="F1235" s="24" t="n">
        <v>0</v>
      </c>
    </row>
    <row r="1236" customFormat="false" ht="15" hidden="false" customHeight="false" outlineLevel="0" collapsed="false">
      <c r="A1236" s="3" t="n">
        <v>1235</v>
      </c>
      <c r="B1236" s="3" t="n">
        <v>1234</v>
      </c>
      <c r="C1236" s="3" t="n">
        <v>1</v>
      </c>
      <c r="D1236" s="3" t="n">
        <v>16</v>
      </c>
      <c r="E1236" s="3" t="n">
        <v>2</v>
      </c>
      <c r="F1236" s="24" t="n">
        <v>0</v>
      </c>
    </row>
    <row r="1237" customFormat="false" ht="15" hidden="false" customHeight="false" outlineLevel="0" collapsed="false">
      <c r="A1237" s="3" t="n">
        <v>1236</v>
      </c>
      <c r="B1237" s="3" t="n">
        <v>1235</v>
      </c>
      <c r="C1237" s="3" t="n">
        <v>1</v>
      </c>
      <c r="D1237" s="3" t="n">
        <v>16</v>
      </c>
      <c r="E1237" s="3" t="n">
        <v>3</v>
      </c>
      <c r="F1237" s="24" t="n">
        <v>0</v>
      </c>
    </row>
    <row r="1238" customFormat="false" ht="15" hidden="false" customHeight="false" outlineLevel="0" collapsed="false">
      <c r="A1238" s="3" t="n">
        <v>1237</v>
      </c>
      <c r="B1238" s="3" t="n">
        <v>1236</v>
      </c>
      <c r="C1238" s="3" t="n">
        <v>1</v>
      </c>
      <c r="D1238" s="3" t="n">
        <v>16</v>
      </c>
      <c r="E1238" s="3" t="n">
        <v>4</v>
      </c>
      <c r="F1238" s="24" t="n">
        <v>0</v>
      </c>
    </row>
    <row r="1239" customFormat="false" ht="15" hidden="false" customHeight="false" outlineLevel="0" collapsed="false">
      <c r="A1239" s="3" t="n">
        <v>1238</v>
      </c>
      <c r="B1239" s="3" t="n">
        <v>1237</v>
      </c>
      <c r="C1239" s="3" t="n">
        <v>1</v>
      </c>
      <c r="D1239" s="3" t="n">
        <v>16</v>
      </c>
      <c r="E1239" s="3" t="n">
        <v>5</v>
      </c>
      <c r="F1239" s="24" t="n">
        <v>0</v>
      </c>
    </row>
    <row r="1240" customFormat="false" ht="15" hidden="false" customHeight="false" outlineLevel="0" collapsed="false">
      <c r="A1240" s="3" t="n">
        <v>1239</v>
      </c>
      <c r="B1240" s="3" t="n">
        <v>1238</v>
      </c>
      <c r="C1240" s="3" t="n">
        <v>1</v>
      </c>
      <c r="D1240" s="3" t="n">
        <v>16</v>
      </c>
      <c r="E1240" s="3" t="n">
        <v>6</v>
      </c>
      <c r="F1240" s="24" t="n">
        <v>0</v>
      </c>
    </row>
    <row r="1241" customFormat="false" ht="15" hidden="false" customHeight="false" outlineLevel="0" collapsed="false">
      <c r="A1241" s="3" t="n">
        <v>1240</v>
      </c>
      <c r="B1241" s="3" t="n">
        <v>1239</v>
      </c>
      <c r="C1241" s="3" t="n">
        <v>1</v>
      </c>
      <c r="D1241" s="3" t="n">
        <v>16</v>
      </c>
      <c r="E1241" s="3" t="n">
        <v>7</v>
      </c>
      <c r="F1241" s="24" t="n">
        <v>0</v>
      </c>
    </row>
    <row r="1242" customFormat="false" ht="15" hidden="false" customHeight="false" outlineLevel="0" collapsed="false">
      <c r="A1242" s="3" t="n">
        <v>1241</v>
      </c>
      <c r="B1242" s="3" t="n">
        <v>1240</v>
      </c>
      <c r="C1242" s="3" t="n">
        <v>1</v>
      </c>
      <c r="D1242" s="3" t="n">
        <v>16</v>
      </c>
      <c r="E1242" s="3" t="n">
        <v>8</v>
      </c>
      <c r="F1242" s="24" t="n">
        <v>0</v>
      </c>
    </row>
    <row r="1243" customFormat="false" ht="15" hidden="false" customHeight="false" outlineLevel="0" collapsed="false">
      <c r="A1243" s="3" t="n">
        <v>1242</v>
      </c>
      <c r="B1243" s="3" t="n">
        <v>1241</v>
      </c>
      <c r="C1243" s="3" t="n">
        <v>1</v>
      </c>
      <c r="D1243" s="3" t="n">
        <v>16</v>
      </c>
      <c r="E1243" s="3" t="n">
        <v>9</v>
      </c>
      <c r="F1243" s="24" t="n">
        <v>0</v>
      </c>
    </row>
    <row r="1244" customFormat="false" ht="15" hidden="false" customHeight="false" outlineLevel="0" collapsed="false">
      <c r="A1244" s="3" t="n">
        <v>1243</v>
      </c>
      <c r="B1244" s="3" t="n">
        <v>1242</v>
      </c>
      <c r="C1244" s="3" t="n">
        <v>1</v>
      </c>
      <c r="D1244" s="3" t="n">
        <v>16</v>
      </c>
      <c r="E1244" s="3" t="n">
        <v>10</v>
      </c>
      <c r="F1244" s="24" t="n">
        <v>0</v>
      </c>
    </row>
    <row r="1245" customFormat="false" ht="15" hidden="false" customHeight="false" outlineLevel="0" collapsed="false">
      <c r="A1245" s="3" t="n">
        <v>1244</v>
      </c>
      <c r="B1245" s="3" t="n">
        <v>1243</v>
      </c>
      <c r="C1245" s="3" t="n">
        <v>1</v>
      </c>
      <c r="D1245" s="3" t="n">
        <v>16</v>
      </c>
      <c r="E1245" s="3" t="n">
        <v>11</v>
      </c>
      <c r="F1245" s="24" t="n">
        <v>0</v>
      </c>
    </row>
    <row r="1246" customFormat="false" ht="15" hidden="false" customHeight="false" outlineLevel="0" collapsed="false">
      <c r="A1246" s="3" t="n">
        <v>1245</v>
      </c>
      <c r="B1246" s="3" t="n">
        <v>1244</v>
      </c>
      <c r="C1246" s="3" t="n">
        <v>1</v>
      </c>
      <c r="D1246" s="3" t="n">
        <v>16</v>
      </c>
      <c r="E1246" s="3" t="n">
        <v>12</v>
      </c>
      <c r="F1246" s="24" t="n">
        <v>0</v>
      </c>
    </row>
    <row r="1247" customFormat="false" ht="15" hidden="false" customHeight="false" outlineLevel="0" collapsed="false">
      <c r="A1247" s="3" t="n">
        <v>1246</v>
      </c>
      <c r="B1247" s="3" t="n">
        <v>1245</v>
      </c>
      <c r="C1247" s="3" t="n">
        <v>1</v>
      </c>
      <c r="D1247" s="3" t="n">
        <v>16</v>
      </c>
      <c r="E1247" s="3" t="n">
        <v>13</v>
      </c>
      <c r="F1247" s="24" t="n">
        <v>0</v>
      </c>
    </row>
    <row r="1248" customFormat="false" ht="15" hidden="false" customHeight="false" outlineLevel="0" collapsed="false">
      <c r="A1248" s="3" t="n">
        <v>1247</v>
      </c>
      <c r="B1248" s="3" t="n">
        <v>1246</v>
      </c>
      <c r="C1248" s="3" t="n">
        <v>1</v>
      </c>
      <c r="D1248" s="3" t="n">
        <v>16</v>
      </c>
      <c r="E1248" s="3" t="n">
        <v>14</v>
      </c>
      <c r="F1248" s="24" t="n">
        <v>0</v>
      </c>
    </row>
    <row r="1249" customFormat="false" ht="15" hidden="false" customHeight="false" outlineLevel="0" collapsed="false">
      <c r="A1249" s="3" t="n">
        <v>1248</v>
      </c>
      <c r="B1249" s="3" t="n">
        <v>1247</v>
      </c>
      <c r="C1249" s="3" t="n">
        <v>1</v>
      </c>
      <c r="D1249" s="3" t="n">
        <v>16</v>
      </c>
      <c r="E1249" s="3" t="n">
        <v>15</v>
      </c>
      <c r="F1249" s="24" t="n">
        <v>1.49314988</v>
      </c>
    </row>
    <row r="1250" customFormat="false" ht="15" hidden="false" customHeight="false" outlineLevel="0" collapsed="false">
      <c r="A1250" s="3" t="n">
        <v>1249</v>
      </c>
      <c r="B1250" s="3" t="n">
        <v>1248</v>
      </c>
      <c r="C1250" s="3" t="n">
        <v>1</v>
      </c>
      <c r="D1250" s="3" t="n">
        <v>16</v>
      </c>
      <c r="E1250" s="3" t="n">
        <v>16</v>
      </c>
      <c r="F1250" s="24" t="n">
        <v>3.27421618</v>
      </c>
    </row>
    <row r="1251" customFormat="false" ht="15" hidden="false" customHeight="false" outlineLevel="0" collapsed="false">
      <c r="A1251" s="3" t="n">
        <v>1250</v>
      </c>
      <c r="B1251" s="3" t="n">
        <v>1249</v>
      </c>
      <c r="C1251" s="3" t="n">
        <v>1</v>
      </c>
      <c r="D1251" s="3" t="n">
        <v>16</v>
      </c>
      <c r="E1251" s="3" t="n">
        <v>17</v>
      </c>
      <c r="F1251" s="24" t="n">
        <v>2.0089035</v>
      </c>
    </row>
    <row r="1252" customFormat="false" ht="15" hidden="false" customHeight="false" outlineLevel="0" collapsed="false">
      <c r="A1252" s="3" t="n">
        <v>1251</v>
      </c>
      <c r="B1252" s="3" t="n">
        <v>1250</v>
      </c>
      <c r="C1252" s="3" t="n">
        <v>1</v>
      </c>
      <c r="D1252" s="3" t="n">
        <v>16</v>
      </c>
      <c r="E1252" s="3" t="n">
        <v>18</v>
      </c>
      <c r="F1252" s="24" t="n">
        <v>0</v>
      </c>
    </row>
    <row r="1253" customFormat="false" ht="15" hidden="false" customHeight="false" outlineLevel="0" collapsed="false">
      <c r="A1253" s="3" t="n">
        <v>1252</v>
      </c>
      <c r="B1253" s="3" t="n">
        <v>1251</v>
      </c>
      <c r="C1253" s="3" t="n">
        <v>1</v>
      </c>
      <c r="D1253" s="3" t="n">
        <v>16</v>
      </c>
      <c r="E1253" s="3" t="n">
        <v>19</v>
      </c>
      <c r="F1253" s="24" t="n">
        <v>0</v>
      </c>
    </row>
    <row r="1254" customFormat="false" ht="15" hidden="false" customHeight="false" outlineLevel="0" collapsed="false">
      <c r="A1254" s="3" t="n">
        <v>1253</v>
      </c>
      <c r="B1254" s="3" t="n">
        <v>1252</v>
      </c>
      <c r="C1254" s="3" t="n">
        <v>1</v>
      </c>
      <c r="D1254" s="3" t="n">
        <v>16</v>
      </c>
      <c r="E1254" s="3" t="n">
        <v>20</v>
      </c>
      <c r="F1254" s="24" t="n">
        <v>0</v>
      </c>
    </row>
    <row r="1255" customFormat="false" ht="15" hidden="false" customHeight="false" outlineLevel="0" collapsed="false">
      <c r="A1255" s="3" t="n">
        <v>1254</v>
      </c>
      <c r="B1255" s="3" t="n">
        <v>1253</v>
      </c>
      <c r="C1255" s="3" t="n">
        <v>1</v>
      </c>
      <c r="D1255" s="3" t="n">
        <v>16</v>
      </c>
      <c r="E1255" s="3" t="n">
        <v>21</v>
      </c>
      <c r="F1255" s="24" t="n">
        <v>0</v>
      </c>
    </row>
    <row r="1256" customFormat="false" ht="15" hidden="false" customHeight="false" outlineLevel="0" collapsed="false">
      <c r="A1256" s="3" t="n">
        <v>1255</v>
      </c>
      <c r="B1256" s="3" t="n">
        <v>1254</v>
      </c>
      <c r="C1256" s="3" t="n">
        <v>1</v>
      </c>
      <c r="D1256" s="3" t="n">
        <v>16</v>
      </c>
      <c r="E1256" s="3" t="n">
        <v>22</v>
      </c>
      <c r="F1256" s="24" t="n">
        <v>0</v>
      </c>
    </row>
    <row r="1257" customFormat="false" ht="15" hidden="false" customHeight="false" outlineLevel="0" collapsed="false">
      <c r="A1257" s="3" t="n">
        <v>1256</v>
      </c>
      <c r="B1257" s="3" t="n">
        <v>1255</v>
      </c>
      <c r="C1257" s="3" t="n">
        <v>1</v>
      </c>
      <c r="D1257" s="3" t="n">
        <v>16</v>
      </c>
      <c r="E1257" s="3" t="n">
        <v>23</v>
      </c>
      <c r="F1257" s="24" t="n">
        <v>0</v>
      </c>
    </row>
    <row r="1258" customFormat="false" ht="15" hidden="false" customHeight="false" outlineLevel="0" collapsed="false">
      <c r="A1258" s="3" t="n">
        <v>1257</v>
      </c>
      <c r="B1258" s="3" t="n">
        <v>1256</v>
      </c>
      <c r="C1258" s="3" t="n">
        <v>1</v>
      </c>
      <c r="D1258" s="3" t="n">
        <v>16</v>
      </c>
      <c r="E1258" s="3" t="n">
        <v>24</v>
      </c>
      <c r="F1258" s="24" t="n">
        <v>0</v>
      </c>
    </row>
    <row r="1259" customFormat="false" ht="15" hidden="false" customHeight="false" outlineLevel="0" collapsed="false">
      <c r="A1259" s="3" t="n">
        <v>1258</v>
      </c>
      <c r="B1259" s="3" t="n">
        <v>1257</v>
      </c>
      <c r="C1259" s="3" t="n">
        <v>1</v>
      </c>
      <c r="D1259" s="3" t="n">
        <v>16</v>
      </c>
      <c r="E1259" s="3" t="n">
        <v>25</v>
      </c>
      <c r="F1259" s="24" t="n">
        <v>0</v>
      </c>
    </row>
    <row r="1260" customFormat="false" ht="15" hidden="false" customHeight="false" outlineLevel="0" collapsed="false">
      <c r="A1260" s="3" t="n">
        <v>1259</v>
      </c>
      <c r="B1260" s="3" t="n">
        <v>1258</v>
      </c>
      <c r="C1260" s="3" t="n">
        <v>1</v>
      </c>
      <c r="D1260" s="3" t="n">
        <v>16</v>
      </c>
      <c r="E1260" s="3" t="n">
        <v>26</v>
      </c>
      <c r="F1260" s="24" t="n">
        <v>0</v>
      </c>
    </row>
    <row r="1261" customFormat="false" ht="15" hidden="false" customHeight="false" outlineLevel="0" collapsed="false">
      <c r="A1261" s="3" t="n">
        <v>1260</v>
      </c>
      <c r="B1261" s="3" t="n">
        <v>1259</v>
      </c>
      <c r="C1261" s="3" t="n">
        <v>1</v>
      </c>
      <c r="D1261" s="3" t="n">
        <v>16</v>
      </c>
      <c r="E1261" s="3" t="n">
        <v>27</v>
      </c>
      <c r="F1261" s="24" t="n">
        <v>0</v>
      </c>
    </row>
    <row r="1262" customFormat="false" ht="15" hidden="false" customHeight="false" outlineLevel="0" collapsed="false">
      <c r="A1262" s="3" t="n">
        <v>1261</v>
      </c>
      <c r="B1262" s="3" t="n">
        <v>1260</v>
      </c>
      <c r="C1262" s="3" t="n">
        <v>1</v>
      </c>
      <c r="D1262" s="3" t="n">
        <v>17</v>
      </c>
      <c r="E1262" s="3" t="n">
        <v>0</v>
      </c>
      <c r="F1262" s="24" t="n">
        <v>0</v>
      </c>
    </row>
    <row r="1263" customFormat="false" ht="15" hidden="false" customHeight="false" outlineLevel="0" collapsed="false">
      <c r="A1263" s="3" t="n">
        <v>1262</v>
      </c>
      <c r="B1263" s="3" t="n">
        <v>1261</v>
      </c>
      <c r="C1263" s="3" t="n">
        <v>1</v>
      </c>
      <c r="D1263" s="3" t="n">
        <v>17</v>
      </c>
      <c r="E1263" s="3" t="n">
        <v>1</v>
      </c>
      <c r="F1263" s="24" t="n">
        <v>0</v>
      </c>
    </row>
    <row r="1264" customFormat="false" ht="15" hidden="false" customHeight="false" outlineLevel="0" collapsed="false">
      <c r="A1264" s="3" t="n">
        <v>1263</v>
      </c>
      <c r="B1264" s="3" t="n">
        <v>1262</v>
      </c>
      <c r="C1264" s="3" t="n">
        <v>1</v>
      </c>
      <c r="D1264" s="3" t="n">
        <v>17</v>
      </c>
      <c r="E1264" s="3" t="n">
        <v>2</v>
      </c>
      <c r="F1264" s="24" t="n">
        <v>0</v>
      </c>
    </row>
    <row r="1265" customFormat="false" ht="15" hidden="false" customHeight="false" outlineLevel="0" collapsed="false">
      <c r="A1265" s="3" t="n">
        <v>1264</v>
      </c>
      <c r="B1265" s="3" t="n">
        <v>1263</v>
      </c>
      <c r="C1265" s="3" t="n">
        <v>1</v>
      </c>
      <c r="D1265" s="3" t="n">
        <v>17</v>
      </c>
      <c r="E1265" s="3" t="n">
        <v>3</v>
      </c>
      <c r="F1265" s="24" t="n">
        <v>0</v>
      </c>
    </row>
    <row r="1266" customFormat="false" ht="15" hidden="false" customHeight="false" outlineLevel="0" collapsed="false">
      <c r="A1266" s="3" t="n">
        <v>1265</v>
      </c>
      <c r="B1266" s="3" t="n">
        <v>1264</v>
      </c>
      <c r="C1266" s="3" t="n">
        <v>1</v>
      </c>
      <c r="D1266" s="3" t="n">
        <v>17</v>
      </c>
      <c r="E1266" s="3" t="n">
        <v>4</v>
      </c>
      <c r="F1266" s="24" t="n">
        <v>0</v>
      </c>
    </row>
    <row r="1267" customFormat="false" ht="15" hidden="false" customHeight="false" outlineLevel="0" collapsed="false">
      <c r="A1267" s="3" t="n">
        <v>1266</v>
      </c>
      <c r="B1267" s="3" t="n">
        <v>1265</v>
      </c>
      <c r="C1267" s="3" t="n">
        <v>1</v>
      </c>
      <c r="D1267" s="3" t="n">
        <v>17</v>
      </c>
      <c r="E1267" s="3" t="n">
        <v>5</v>
      </c>
      <c r="F1267" s="24" t="n">
        <v>0</v>
      </c>
    </row>
    <row r="1268" customFormat="false" ht="15" hidden="false" customHeight="false" outlineLevel="0" collapsed="false">
      <c r="A1268" s="3" t="n">
        <v>1267</v>
      </c>
      <c r="B1268" s="3" t="n">
        <v>1266</v>
      </c>
      <c r="C1268" s="3" t="n">
        <v>1</v>
      </c>
      <c r="D1268" s="3" t="n">
        <v>17</v>
      </c>
      <c r="E1268" s="3" t="n">
        <v>6</v>
      </c>
      <c r="F1268" s="24" t="n">
        <v>0</v>
      </c>
    </row>
    <row r="1269" customFormat="false" ht="15" hidden="false" customHeight="false" outlineLevel="0" collapsed="false">
      <c r="A1269" s="3" t="n">
        <v>1268</v>
      </c>
      <c r="B1269" s="3" t="n">
        <v>1267</v>
      </c>
      <c r="C1269" s="3" t="n">
        <v>1</v>
      </c>
      <c r="D1269" s="3" t="n">
        <v>17</v>
      </c>
      <c r="E1269" s="3" t="n">
        <v>7</v>
      </c>
      <c r="F1269" s="24" t="n">
        <v>0</v>
      </c>
    </row>
    <row r="1270" customFormat="false" ht="15" hidden="false" customHeight="false" outlineLevel="0" collapsed="false">
      <c r="A1270" s="3" t="n">
        <v>1269</v>
      </c>
      <c r="B1270" s="3" t="n">
        <v>1268</v>
      </c>
      <c r="C1270" s="3" t="n">
        <v>1</v>
      </c>
      <c r="D1270" s="3" t="n">
        <v>17</v>
      </c>
      <c r="E1270" s="3" t="n">
        <v>8</v>
      </c>
      <c r="F1270" s="24" t="n">
        <v>0</v>
      </c>
    </row>
    <row r="1271" customFormat="false" ht="15" hidden="false" customHeight="false" outlineLevel="0" collapsed="false">
      <c r="A1271" s="3" t="n">
        <v>1270</v>
      </c>
      <c r="B1271" s="3" t="n">
        <v>1269</v>
      </c>
      <c r="C1271" s="3" t="n">
        <v>1</v>
      </c>
      <c r="D1271" s="3" t="n">
        <v>17</v>
      </c>
      <c r="E1271" s="3" t="n">
        <v>9</v>
      </c>
      <c r="F1271" s="24" t="n">
        <v>0</v>
      </c>
    </row>
    <row r="1272" customFormat="false" ht="15" hidden="false" customHeight="false" outlineLevel="0" collapsed="false">
      <c r="A1272" s="3" t="n">
        <v>1271</v>
      </c>
      <c r="B1272" s="3" t="n">
        <v>1270</v>
      </c>
      <c r="C1272" s="3" t="n">
        <v>1</v>
      </c>
      <c r="D1272" s="3" t="n">
        <v>17</v>
      </c>
      <c r="E1272" s="3" t="n">
        <v>10</v>
      </c>
      <c r="F1272" s="24" t="n">
        <v>0</v>
      </c>
    </row>
    <row r="1273" customFormat="false" ht="15" hidden="false" customHeight="false" outlineLevel="0" collapsed="false">
      <c r="A1273" s="3" t="n">
        <v>1272</v>
      </c>
      <c r="B1273" s="3" t="n">
        <v>1271</v>
      </c>
      <c r="C1273" s="3" t="n">
        <v>1</v>
      </c>
      <c r="D1273" s="3" t="n">
        <v>17</v>
      </c>
      <c r="E1273" s="3" t="n">
        <v>11</v>
      </c>
      <c r="F1273" s="24" t="n">
        <v>0</v>
      </c>
    </row>
    <row r="1274" customFormat="false" ht="15" hidden="false" customHeight="false" outlineLevel="0" collapsed="false">
      <c r="A1274" s="3" t="n">
        <v>1273</v>
      </c>
      <c r="B1274" s="3" t="n">
        <v>1272</v>
      </c>
      <c r="C1274" s="3" t="n">
        <v>1</v>
      </c>
      <c r="D1274" s="3" t="n">
        <v>17</v>
      </c>
      <c r="E1274" s="3" t="n">
        <v>12</v>
      </c>
      <c r="F1274" s="24" t="n">
        <v>0</v>
      </c>
    </row>
    <row r="1275" customFormat="false" ht="15" hidden="false" customHeight="false" outlineLevel="0" collapsed="false">
      <c r="A1275" s="3" t="n">
        <v>1274</v>
      </c>
      <c r="B1275" s="3" t="n">
        <v>1273</v>
      </c>
      <c r="C1275" s="3" t="n">
        <v>1</v>
      </c>
      <c r="D1275" s="3" t="n">
        <v>17</v>
      </c>
      <c r="E1275" s="3" t="n">
        <v>13</v>
      </c>
      <c r="F1275" s="24" t="n">
        <v>0</v>
      </c>
    </row>
    <row r="1276" customFormat="false" ht="15" hidden="false" customHeight="false" outlineLevel="0" collapsed="false">
      <c r="A1276" s="3" t="n">
        <v>1275</v>
      </c>
      <c r="B1276" s="3" t="n">
        <v>1274</v>
      </c>
      <c r="C1276" s="3" t="n">
        <v>1</v>
      </c>
      <c r="D1276" s="3" t="n">
        <v>17</v>
      </c>
      <c r="E1276" s="3" t="n">
        <v>14</v>
      </c>
      <c r="F1276" s="24" t="n">
        <v>0.579937816</v>
      </c>
    </row>
    <row r="1277" customFormat="false" ht="15" hidden="false" customHeight="false" outlineLevel="0" collapsed="false">
      <c r="A1277" s="3" t="n">
        <v>1276</v>
      </c>
      <c r="B1277" s="3" t="n">
        <v>1275</v>
      </c>
      <c r="C1277" s="3" t="n">
        <v>1</v>
      </c>
      <c r="D1277" s="3" t="n">
        <v>17</v>
      </c>
      <c r="E1277" s="3" t="n">
        <v>15</v>
      </c>
      <c r="F1277" s="24" t="n">
        <v>2.736763</v>
      </c>
    </row>
    <row r="1278" customFormat="false" ht="15" hidden="false" customHeight="false" outlineLevel="0" collapsed="false">
      <c r="A1278" s="3" t="n">
        <v>1277</v>
      </c>
      <c r="B1278" s="3" t="n">
        <v>1276</v>
      </c>
      <c r="C1278" s="3" t="n">
        <v>1</v>
      </c>
      <c r="D1278" s="3" t="n">
        <v>17</v>
      </c>
      <c r="E1278" s="3" t="n">
        <v>16</v>
      </c>
      <c r="F1278" s="24" t="n">
        <v>3.26273251</v>
      </c>
    </row>
    <row r="1279" customFormat="false" ht="15" hidden="false" customHeight="false" outlineLevel="0" collapsed="false">
      <c r="A1279" s="3" t="n">
        <v>1278</v>
      </c>
      <c r="B1279" s="3" t="n">
        <v>1277</v>
      </c>
      <c r="C1279" s="3" t="n">
        <v>1</v>
      </c>
      <c r="D1279" s="3" t="n">
        <v>17</v>
      </c>
      <c r="E1279" s="3" t="n">
        <v>17</v>
      </c>
      <c r="F1279" s="24" t="n">
        <v>0.529646516</v>
      </c>
    </row>
    <row r="1280" customFormat="false" ht="15" hidden="false" customHeight="false" outlineLevel="0" collapsed="false">
      <c r="A1280" s="3" t="n">
        <v>1279</v>
      </c>
      <c r="B1280" s="3" t="n">
        <v>1278</v>
      </c>
      <c r="C1280" s="3" t="n">
        <v>1</v>
      </c>
      <c r="D1280" s="3" t="n">
        <v>17</v>
      </c>
      <c r="E1280" s="3" t="n">
        <v>18</v>
      </c>
      <c r="F1280" s="24" t="n">
        <v>0</v>
      </c>
    </row>
    <row r="1281" customFormat="false" ht="15" hidden="false" customHeight="false" outlineLevel="0" collapsed="false">
      <c r="A1281" s="3" t="n">
        <v>1280</v>
      </c>
      <c r="B1281" s="3" t="n">
        <v>1279</v>
      </c>
      <c r="C1281" s="3" t="n">
        <v>1</v>
      </c>
      <c r="D1281" s="3" t="n">
        <v>17</v>
      </c>
      <c r="E1281" s="3" t="n">
        <v>19</v>
      </c>
      <c r="F1281" s="24" t="n">
        <v>0</v>
      </c>
    </row>
    <row r="1282" customFormat="false" ht="15" hidden="false" customHeight="false" outlineLevel="0" collapsed="false">
      <c r="A1282" s="3" t="n">
        <v>1281</v>
      </c>
      <c r="B1282" s="3" t="n">
        <v>1280</v>
      </c>
      <c r="C1282" s="3" t="n">
        <v>1</v>
      </c>
      <c r="D1282" s="3" t="n">
        <v>17</v>
      </c>
      <c r="E1282" s="3" t="n">
        <v>20</v>
      </c>
      <c r="F1282" s="24" t="n">
        <v>0</v>
      </c>
    </row>
    <row r="1283" customFormat="false" ht="15" hidden="false" customHeight="false" outlineLevel="0" collapsed="false">
      <c r="A1283" s="3" t="n">
        <v>1282</v>
      </c>
      <c r="B1283" s="3" t="n">
        <v>1281</v>
      </c>
      <c r="C1283" s="3" t="n">
        <v>1</v>
      </c>
      <c r="D1283" s="3" t="n">
        <v>17</v>
      </c>
      <c r="E1283" s="3" t="n">
        <v>21</v>
      </c>
      <c r="F1283" s="24" t="n">
        <v>0</v>
      </c>
    </row>
    <row r="1284" customFormat="false" ht="15" hidden="false" customHeight="false" outlineLevel="0" collapsed="false">
      <c r="A1284" s="3" t="n">
        <v>1283</v>
      </c>
      <c r="B1284" s="3" t="n">
        <v>1282</v>
      </c>
      <c r="C1284" s="3" t="n">
        <v>1</v>
      </c>
      <c r="D1284" s="3" t="n">
        <v>17</v>
      </c>
      <c r="E1284" s="3" t="n">
        <v>22</v>
      </c>
      <c r="F1284" s="24" t="n">
        <v>0</v>
      </c>
    </row>
    <row r="1285" customFormat="false" ht="15" hidden="false" customHeight="false" outlineLevel="0" collapsed="false">
      <c r="A1285" s="3" t="n">
        <v>1284</v>
      </c>
      <c r="B1285" s="3" t="n">
        <v>1283</v>
      </c>
      <c r="C1285" s="3" t="n">
        <v>1</v>
      </c>
      <c r="D1285" s="3" t="n">
        <v>17</v>
      </c>
      <c r="E1285" s="3" t="n">
        <v>23</v>
      </c>
      <c r="F1285" s="24" t="n">
        <v>0</v>
      </c>
    </row>
    <row r="1286" customFormat="false" ht="15" hidden="false" customHeight="false" outlineLevel="0" collapsed="false">
      <c r="A1286" s="3" t="n">
        <v>1285</v>
      </c>
      <c r="B1286" s="3" t="n">
        <v>1284</v>
      </c>
      <c r="C1286" s="3" t="n">
        <v>1</v>
      </c>
      <c r="D1286" s="3" t="n">
        <v>17</v>
      </c>
      <c r="E1286" s="3" t="n">
        <v>24</v>
      </c>
      <c r="F1286" s="24" t="n">
        <v>0</v>
      </c>
    </row>
    <row r="1287" customFormat="false" ht="15" hidden="false" customHeight="false" outlineLevel="0" collapsed="false">
      <c r="A1287" s="3" t="n">
        <v>1286</v>
      </c>
      <c r="B1287" s="3" t="n">
        <v>1285</v>
      </c>
      <c r="C1287" s="3" t="n">
        <v>1</v>
      </c>
      <c r="D1287" s="3" t="n">
        <v>17</v>
      </c>
      <c r="E1287" s="3" t="n">
        <v>25</v>
      </c>
      <c r="F1287" s="24" t="n">
        <v>0</v>
      </c>
    </row>
    <row r="1288" customFormat="false" ht="15" hidden="false" customHeight="false" outlineLevel="0" collapsed="false">
      <c r="A1288" s="3" t="n">
        <v>1287</v>
      </c>
      <c r="B1288" s="3" t="n">
        <v>1286</v>
      </c>
      <c r="C1288" s="3" t="n">
        <v>1</v>
      </c>
      <c r="D1288" s="3" t="n">
        <v>17</v>
      </c>
      <c r="E1288" s="3" t="n">
        <v>26</v>
      </c>
      <c r="F1288" s="24" t="n">
        <v>0</v>
      </c>
    </row>
    <row r="1289" customFormat="false" ht="15" hidden="false" customHeight="false" outlineLevel="0" collapsed="false">
      <c r="A1289" s="3" t="n">
        <v>1288</v>
      </c>
      <c r="B1289" s="3" t="n">
        <v>1287</v>
      </c>
      <c r="C1289" s="3" t="n">
        <v>1</v>
      </c>
      <c r="D1289" s="3" t="n">
        <v>17</v>
      </c>
      <c r="E1289" s="3" t="n">
        <v>27</v>
      </c>
      <c r="F1289" s="24" t="n">
        <v>0</v>
      </c>
    </row>
    <row r="1290" customFormat="false" ht="15" hidden="false" customHeight="false" outlineLevel="0" collapsed="false">
      <c r="A1290" s="3" t="n">
        <v>1289</v>
      </c>
      <c r="B1290" s="3" t="n">
        <v>1288</v>
      </c>
      <c r="C1290" s="3" t="n">
        <v>1</v>
      </c>
      <c r="D1290" s="3" t="n">
        <v>18</v>
      </c>
      <c r="E1290" s="3" t="n">
        <v>0</v>
      </c>
      <c r="F1290" s="24" t="n">
        <v>0</v>
      </c>
    </row>
    <row r="1291" customFormat="false" ht="15" hidden="false" customHeight="false" outlineLevel="0" collapsed="false">
      <c r="A1291" s="3" t="n">
        <v>1290</v>
      </c>
      <c r="B1291" s="3" t="n">
        <v>1289</v>
      </c>
      <c r="C1291" s="3" t="n">
        <v>1</v>
      </c>
      <c r="D1291" s="3" t="n">
        <v>18</v>
      </c>
      <c r="E1291" s="3" t="n">
        <v>1</v>
      </c>
      <c r="F1291" s="24" t="n">
        <v>0</v>
      </c>
    </row>
    <row r="1292" customFormat="false" ht="15" hidden="false" customHeight="false" outlineLevel="0" collapsed="false">
      <c r="A1292" s="3" t="n">
        <v>1291</v>
      </c>
      <c r="B1292" s="3" t="n">
        <v>1290</v>
      </c>
      <c r="C1292" s="3" t="n">
        <v>1</v>
      </c>
      <c r="D1292" s="3" t="n">
        <v>18</v>
      </c>
      <c r="E1292" s="3" t="n">
        <v>2</v>
      </c>
      <c r="F1292" s="24" t="n">
        <v>0</v>
      </c>
    </row>
    <row r="1293" customFormat="false" ht="15" hidden="false" customHeight="false" outlineLevel="0" collapsed="false">
      <c r="A1293" s="3" t="n">
        <v>1292</v>
      </c>
      <c r="B1293" s="3" t="n">
        <v>1291</v>
      </c>
      <c r="C1293" s="3" t="n">
        <v>1</v>
      </c>
      <c r="D1293" s="3" t="n">
        <v>18</v>
      </c>
      <c r="E1293" s="3" t="n">
        <v>3</v>
      </c>
      <c r="F1293" s="24" t="n">
        <v>0</v>
      </c>
    </row>
    <row r="1294" customFormat="false" ht="15" hidden="false" customHeight="false" outlineLevel="0" collapsed="false">
      <c r="A1294" s="3" t="n">
        <v>1293</v>
      </c>
      <c r="B1294" s="3" t="n">
        <v>1292</v>
      </c>
      <c r="C1294" s="3" t="n">
        <v>1</v>
      </c>
      <c r="D1294" s="3" t="n">
        <v>18</v>
      </c>
      <c r="E1294" s="3" t="n">
        <v>4</v>
      </c>
      <c r="F1294" s="24" t="n">
        <v>0</v>
      </c>
    </row>
    <row r="1295" customFormat="false" ht="15" hidden="false" customHeight="false" outlineLevel="0" collapsed="false">
      <c r="A1295" s="3" t="n">
        <v>1294</v>
      </c>
      <c r="B1295" s="3" t="n">
        <v>1293</v>
      </c>
      <c r="C1295" s="3" t="n">
        <v>1</v>
      </c>
      <c r="D1295" s="3" t="n">
        <v>18</v>
      </c>
      <c r="E1295" s="3" t="n">
        <v>5</v>
      </c>
      <c r="F1295" s="24" t="n">
        <v>0</v>
      </c>
    </row>
    <row r="1296" customFormat="false" ht="15" hidden="false" customHeight="false" outlineLevel="0" collapsed="false">
      <c r="A1296" s="3" t="n">
        <v>1295</v>
      </c>
      <c r="B1296" s="3" t="n">
        <v>1294</v>
      </c>
      <c r="C1296" s="3" t="n">
        <v>1</v>
      </c>
      <c r="D1296" s="3" t="n">
        <v>18</v>
      </c>
      <c r="E1296" s="3" t="n">
        <v>6</v>
      </c>
      <c r="F1296" s="24" t="n">
        <v>0</v>
      </c>
    </row>
    <row r="1297" customFormat="false" ht="15" hidden="false" customHeight="false" outlineLevel="0" collapsed="false">
      <c r="A1297" s="3" t="n">
        <v>1296</v>
      </c>
      <c r="B1297" s="3" t="n">
        <v>1295</v>
      </c>
      <c r="C1297" s="3" t="n">
        <v>1</v>
      </c>
      <c r="D1297" s="3" t="n">
        <v>18</v>
      </c>
      <c r="E1297" s="3" t="n">
        <v>7</v>
      </c>
      <c r="F1297" s="24" t="n">
        <v>0</v>
      </c>
    </row>
    <row r="1298" customFormat="false" ht="15" hidden="false" customHeight="false" outlineLevel="0" collapsed="false">
      <c r="A1298" s="3" t="n">
        <v>1297</v>
      </c>
      <c r="B1298" s="3" t="n">
        <v>1296</v>
      </c>
      <c r="C1298" s="3" t="n">
        <v>1</v>
      </c>
      <c r="D1298" s="3" t="n">
        <v>18</v>
      </c>
      <c r="E1298" s="3" t="n">
        <v>8</v>
      </c>
      <c r="F1298" s="24" t="n">
        <v>0</v>
      </c>
    </row>
    <row r="1299" customFormat="false" ht="15" hidden="false" customHeight="false" outlineLevel="0" collapsed="false">
      <c r="A1299" s="3" t="n">
        <v>1298</v>
      </c>
      <c r="B1299" s="3" t="n">
        <v>1297</v>
      </c>
      <c r="C1299" s="3" t="n">
        <v>1</v>
      </c>
      <c r="D1299" s="3" t="n">
        <v>18</v>
      </c>
      <c r="E1299" s="3" t="n">
        <v>9</v>
      </c>
      <c r="F1299" s="24" t="n">
        <v>0</v>
      </c>
    </row>
    <row r="1300" customFormat="false" ht="15" hidden="false" customHeight="false" outlineLevel="0" collapsed="false">
      <c r="A1300" s="3" t="n">
        <v>1299</v>
      </c>
      <c r="B1300" s="3" t="n">
        <v>1298</v>
      </c>
      <c r="C1300" s="3" t="n">
        <v>1</v>
      </c>
      <c r="D1300" s="3" t="n">
        <v>18</v>
      </c>
      <c r="E1300" s="3" t="n">
        <v>10</v>
      </c>
      <c r="F1300" s="24" t="n">
        <v>0</v>
      </c>
    </row>
    <row r="1301" customFormat="false" ht="15" hidden="false" customHeight="false" outlineLevel="0" collapsed="false">
      <c r="A1301" s="3" t="n">
        <v>1300</v>
      </c>
      <c r="B1301" s="3" t="n">
        <v>1299</v>
      </c>
      <c r="C1301" s="3" t="n">
        <v>1</v>
      </c>
      <c r="D1301" s="3" t="n">
        <v>18</v>
      </c>
      <c r="E1301" s="3" t="n">
        <v>11</v>
      </c>
      <c r="F1301" s="24" t="n">
        <v>0</v>
      </c>
    </row>
    <row r="1302" customFormat="false" ht="15" hidden="false" customHeight="false" outlineLevel="0" collapsed="false">
      <c r="A1302" s="3" t="n">
        <v>1301</v>
      </c>
      <c r="B1302" s="3" t="n">
        <v>1300</v>
      </c>
      <c r="C1302" s="3" t="n">
        <v>1</v>
      </c>
      <c r="D1302" s="3" t="n">
        <v>18</v>
      </c>
      <c r="E1302" s="3" t="n">
        <v>12</v>
      </c>
      <c r="F1302" s="24" t="n">
        <v>0</v>
      </c>
    </row>
    <row r="1303" customFormat="false" ht="15" hidden="false" customHeight="false" outlineLevel="0" collapsed="false">
      <c r="A1303" s="3" t="n">
        <v>1302</v>
      </c>
      <c r="B1303" s="3" t="n">
        <v>1301</v>
      </c>
      <c r="C1303" s="3" t="n">
        <v>1</v>
      </c>
      <c r="D1303" s="3" t="n">
        <v>18</v>
      </c>
      <c r="E1303" s="3" t="n">
        <v>13</v>
      </c>
      <c r="F1303" s="24" t="n">
        <v>0.0344009995</v>
      </c>
    </row>
    <row r="1304" customFormat="false" ht="15" hidden="false" customHeight="false" outlineLevel="0" collapsed="false">
      <c r="A1304" s="3" t="n">
        <v>1303</v>
      </c>
      <c r="B1304" s="3" t="n">
        <v>1302</v>
      </c>
      <c r="C1304" s="3" t="n">
        <v>1</v>
      </c>
      <c r="D1304" s="3" t="n">
        <v>18</v>
      </c>
      <c r="E1304" s="3" t="n">
        <v>14</v>
      </c>
      <c r="F1304" s="24" t="n">
        <v>2.30418205</v>
      </c>
    </row>
    <row r="1305" customFormat="false" ht="15" hidden="false" customHeight="false" outlineLevel="0" collapsed="false">
      <c r="A1305" s="3" t="n">
        <v>1304</v>
      </c>
      <c r="B1305" s="3" t="n">
        <v>1303</v>
      </c>
      <c r="C1305" s="3" t="n">
        <v>1</v>
      </c>
      <c r="D1305" s="3" t="n">
        <v>18</v>
      </c>
      <c r="E1305" s="3" t="n">
        <v>15</v>
      </c>
      <c r="F1305" s="24" t="n">
        <v>3.46481657</v>
      </c>
    </row>
    <row r="1306" customFormat="false" ht="15" hidden="false" customHeight="false" outlineLevel="0" collapsed="false">
      <c r="A1306" s="3" t="n">
        <v>1305</v>
      </c>
      <c r="B1306" s="3" t="n">
        <v>1304</v>
      </c>
      <c r="C1306" s="3" t="n">
        <v>1</v>
      </c>
      <c r="D1306" s="3" t="n">
        <v>18</v>
      </c>
      <c r="E1306" s="3" t="n">
        <v>16</v>
      </c>
      <c r="F1306" s="24" t="n">
        <v>2.07654858</v>
      </c>
    </row>
    <row r="1307" customFormat="false" ht="15" hidden="false" customHeight="false" outlineLevel="0" collapsed="false">
      <c r="A1307" s="3" t="n">
        <v>1306</v>
      </c>
      <c r="B1307" s="3" t="n">
        <v>1305</v>
      </c>
      <c r="C1307" s="3" t="n">
        <v>1</v>
      </c>
      <c r="D1307" s="3" t="n">
        <v>18</v>
      </c>
      <c r="E1307" s="3" t="n">
        <v>17</v>
      </c>
      <c r="F1307" s="24" t="n">
        <v>0</v>
      </c>
    </row>
    <row r="1308" customFormat="false" ht="15" hidden="false" customHeight="false" outlineLevel="0" collapsed="false">
      <c r="A1308" s="3" t="n">
        <v>1307</v>
      </c>
      <c r="B1308" s="3" t="n">
        <v>1306</v>
      </c>
      <c r="C1308" s="3" t="n">
        <v>1</v>
      </c>
      <c r="D1308" s="3" t="n">
        <v>18</v>
      </c>
      <c r="E1308" s="3" t="n">
        <v>18</v>
      </c>
      <c r="F1308" s="24" t="n">
        <v>0</v>
      </c>
    </row>
    <row r="1309" customFormat="false" ht="15" hidden="false" customHeight="false" outlineLevel="0" collapsed="false">
      <c r="A1309" s="3" t="n">
        <v>1308</v>
      </c>
      <c r="B1309" s="3" t="n">
        <v>1307</v>
      </c>
      <c r="C1309" s="3" t="n">
        <v>1</v>
      </c>
      <c r="D1309" s="3" t="n">
        <v>18</v>
      </c>
      <c r="E1309" s="3" t="n">
        <v>19</v>
      </c>
      <c r="F1309" s="24" t="n">
        <v>0</v>
      </c>
    </row>
    <row r="1310" customFormat="false" ht="15" hidden="false" customHeight="false" outlineLevel="0" collapsed="false">
      <c r="A1310" s="3" t="n">
        <v>1309</v>
      </c>
      <c r="B1310" s="3" t="n">
        <v>1308</v>
      </c>
      <c r="C1310" s="3" t="n">
        <v>1</v>
      </c>
      <c r="D1310" s="3" t="n">
        <v>18</v>
      </c>
      <c r="E1310" s="3" t="n">
        <v>20</v>
      </c>
      <c r="F1310" s="24" t="n">
        <v>0</v>
      </c>
    </row>
    <row r="1311" customFormat="false" ht="15" hidden="false" customHeight="false" outlineLevel="0" collapsed="false">
      <c r="A1311" s="3" t="n">
        <v>1310</v>
      </c>
      <c r="B1311" s="3" t="n">
        <v>1309</v>
      </c>
      <c r="C1311" s="3" t="n">
        <v>1</v>
      </c>
      <c r="D1311" s="3" t="n">
        <v>18</v>
      </c>
      <c r="E1311" s="3" t="n">
        <v>21</v>
      </c>
      <c r="F1311" s="24" t="n">
        <v>0</v>
      </c>
    </row>
    <row r="1312" customFormat="false" ht="15" hidden="false" customHeight="false" outlineLevel="0" collapsed="false">
      <c r="A1312" s="3" t="n">
        <v>1311</v>
      </c>
      <c r="B1312" s="3" t="n">
        <v>1310</v>
      </c>
      <c r="C1312" s="3" t="n">
        <v>1</v>
      </c>
      <c r="D1312" s="3" t="n">
        <v>18</v>
      </c>
      <c r="E1312" s="3" t="n">
        <v>22</v>
      </c>
      <c r="F1312" s="24" t="n">
        <v>0</v>
      </c>
    </row>
    <row r="1313" customFormat="false" ht="15" hidden="false" customHeight="false" outlineLevel="0" collapsed="false">
      <c r="A1313" s="3" t="n">
        <v>1312</v>
      </c>
      <c r="B1313" s="3" t="n">
        <v>1311</v>
      </c>
      <c r="C1313" s="3" t="n">
        <v>1</v>
      </c>
      <c r="D1313" s="3" t="n">
        <v>18</v>
      </c>
      <c r="E1313" s="3" t="n">
        <v>23</v>
      </c>
      <c r="F1313" s="24" t="n">
        <v>0</v>
      </c>
    </row>
    <row r="1314" customFormat="false" ht="15" hidden="false" customHeight="false" outlineLevel="0" collapsed="false">
      <c r="A1314" s="3" t="n">
        <v>1313</v>
      </c>
      <c r="B1314" s="3" t="n">
        <v>1312</v>
      </c>
      <c r="C1314" s="3" t="n">
        <v>1</v>
      </c>
      <c r="D1314" s="3" t="n">
        <v>18</v>
      </c>
      <c r="E1314" s="3" t="n">
        <v>24</v>
      </c>
      <c r="F1314" s="24" t="n">
        <v>0</v>
      </c>
    </row>
    <row r="1315" customFormat="false" ht="15" hidden="false" customHeight="false" outlineLevel="0" collapsed="false">
      <c r="A1315" s="3" t="n">
        <v>1314</v>
      </c>
      <c r="B1315" s="3" t="n">
        <v>1313</v>
      </c>
      <c r="C1315" s="3" t="n">
        <v>1</v>
      </c>
      <c r="D1315" s="3" t="n">
        <v>18</v>
      </c>
      <c r="E1315" s="3" t="n">
        <v>25</v>
      </c>
      <c r="F1315" s="24" t="n">
        <v>0</v>
      </c>
    </row>
    <row r="1316" customFormat="false" ht="15" hidden="false" customHeight="false" outlineLevel="0" collapsed="false">
      <c r="A1316" s="3" t="n">
        <v>1315</v>
      </c>
      <c r="B1316" s="3" t="n">
        <v>1314</v>
      </c>
      <c r="C1316" s="3" t="n">
        <v>1</v>
      </c>
      <c r="D1316" s="3" t="n">
        <v>18</v>
      </c>
      <c r="E1316" s="3" t="n">
        <v>26</v>
      </c>
      <c r="F1316" s="24" t="n">
        <v>0</v>
      </c>
    </row>
    <row r="1317" customFormat="false" ht="15" hidden="false" customHeight="false" outlineLevel="0" collapsed="false">
      <c r="A1317" s="3" t="n">
        <v>1316</v>
      </c>
      <c r="B1317" s="3" t="n">
        <v>1315</v>
      </c>
      <c r="C1317" s="3" t="n">
        <v>1</v>
      </c>
      <c r="D1317" s="3" t="n">
        <v>18</v>
      </c>
      <c r="E1317" s="3" t="n">
        <v>27</v>
      </c>
      <c r="F1317" s="24" t="n">
        <v>0</v>
      </c>
    </row>
    <row r="1318" customFormat="false" ht="15" hidden="false" customHeight="false" outlineLevel="0" collapsed="false">
      <c r="A1318" s="3" t="n">
        <v>1317</v>
      </c>
      <c r="B1318" s="3" t="n">
        <v>1316</v>
      </c>
      <c r="C1318" s="3" t="n">
        <v>1</v>
      </c>
      <c r="D1318" s="3" t="n">
        <v>19</v>
      </c>
      <c r="E1318" s="3" t="n">
        <v>0</v>
      </c>
      <c r="F1318" s="24" t="n">
        <v>0</v>
      </c>
    </row>
    <row r="1319" customFormat="false" ht="15" hidden="false" customHeight="false" outlineLevel="0" collapsed="false">
      <c r="A1319" s="3" t="n">
        <v>1318</v>
      </c>
      <c r="B1319" s="3" t="n">
        <v>1317</v>
      </c>
      <c r="C1319" s="3" t="n">
        <v>1</v>
      </c>
      <c r="D1319" s="3" t="n">
        <v>19</v>
      </c>
      <c r="E1319" s="3" t="n">
        <v>1</v>
      </c>
      <c r="F1319" s="24" t="n">
        <v>0</v>
      </c>
    </row>
    <row r="1320" customFormat="false" ht="15" hidden="false" customHeight="false" outlineLevel="0" collapsed="false">
      <c r="A1320" s="3" t="n">
        <v>1319</v>
      </c>
      <c r="B1320" s="3" t="n">
        <v>1318</v>
      </c>
      <c r="C1320" s="3" t="n">
        <v>1</v>
      </c>
      <c r="D1320" s="3" t="n">
        <v>19</v>
      </c>
      <c r="E1320" s="3" t="n">
        <v>2</v>
      </c>
      <c r="F1320" s="24" t="n">
        <v>0</v>
      </c>
    </row>
    <row r="1321" customFormat="false" ht="15" hidden="false" customHeight="false" outlineLevel="0" collapsed="false">
      <c r="A1321" s="3" t="n">
        <v>1320</v>
      </c>
      <c r="B1321" s="3" t="n">
        <v>1319</v>
      </c>
      <c r="C1321" s="3" t="n">
        <v>1</v>
      </c>
      <c r="D1321" s="3" t="n">
        <v>19</v>
      </c>
      <c r="E1321" s="3" t="n">
        <v>3</v>
      </c>
      <c r="F1321" s="24" t="n">
        <v>0</v>
      </c>
    </row>
    <row r="1322" customFormat="false" ht="15" hidden="false" customHeight="false" outlineLevel="0" collapsed="false">
      <c r="A1322" s="3" t="n">
        <v>1321</v>
      </c>
      <c r="B1322" s="3" t="n">
        <v>1320</v>
      </c>
      <c r="C1322" s="3" t="n">
        <v>1</v>
      </c>
      <c r="D1322" s="3" t="n">
        <v>19</v>
      </c>
      <c r="E1322" s="3" t="n">
        <v>4</v>
      </c>
      <c r="F1322" s="24" t="n">
        <v>0</v>
      </c>
    </row>
    <row r="1323" customFormat="false" ht="15" hidden="false" customHeight="false" outlineLevel="0" collapsed="false">
      <c r="A1323" s="3" t="n">
        <v>1322</v>
      </c>
      <c r="B1323" s="3" t="n">
        <v>1321</v>
      </c>
      <c r="C1323" s="3" t="n">
        <v>1</v>
      </c>
      <c r="D1323" s="3" t="n">
        <v>19</v>
      </c>
      <c r="E1323" s="3" t="n">
        <v>5</v>
      </c>
      <c r="F1323" s="24" t="n">
        <v>0</v>
      </c>
    </row>
    <row r="1324" customFormat="false" ht="15" hidden="false" customHeight="false" outlineLevel="0" collapsed="false">
      <c r="A1324" s="3" t="n">
        <v>1323</v>
      </c>
      <c r="B1324" s="3" t="n">
        <v>1322</v>
      </c>
      <c r="C1324" s="3" t="n">
        <v>1</v>
      </c>
      <c r="D1324" s="3" t="n">
        <v>19</v>
      </c>
      <c r="E1324" s="3" t="n">
        <v>6</v>
      </c>
      <c r="F1324" s="24" t="n">
        <v>0</v>
      </c>
    </row>
    <row r="1325" customFormat="false" ht="15" hidden="false" customHeight="false" outlineLevel="0" collapsed="false">
      <c r="A1325" s="3" t="n">
        <v>1324</v>
      </c>
      <c r="B1325" s="3" t="n">
        <v>1323</v>
      </c>
      <c r="C1325" s="3" t="n">
        <v>1</v>
      </c>
      <c r="D1325" s="3" t="n">
        <v>19</v>
      </c>
      <c r="E1325" s="3" t="n">
        <v>7</v>
      </c>
      <c r="F1325" s="24" t="n">
        <v>0</v>
      </c>
    </row>
    <row r="1326" customFormat="false" ht="15" hidden="false" customHeight="false" outlineLevel="0" collapsed="false">
      <c r="A1326" s="3" t="n">
        <v>1325</v>
      </c>
      <c r="B1326" s="3" t="n">
        <v>1324</v>
      </c>
      <c r="C1326" s="3" t="n">
        <v>1</v>
      </c>
      <c r="D1326" s="3" t="n">
        <v>19</v>
      </c>
      <c r="E1326" s="3" t="n">
        <v>8</v>
      </c>
      <c r="F1326" s="24" t="n">
        <v>0</v>
      </c>
    </row>
    <row r="1327" customFormat="false" ht="15" hidden="false" customHeight="false" outlineLevel="0" collapsed="false">
      <c r="A1327" s="3" t="n">
        <v>1326</v>
      </c>
      <c r="B1327" s="3" t="n">
        <v>1325</v>
      </c>
      <c r="C1327" s="3" t="n">
        <v>1</v>
      </c>
      <c r="D1327" s="3" t="n">
        <v>19</v>
      </c>
      <c r="E1327" s="3" t="n">
        <v>9</v>
      </c>
      <c r="F1327" s="24" t="n">
        <v>0</v>
      </c>
    </row>
    <row r="1328" customFormat="false" ht="15" hidden="false" customHeight="false" outlineLevel="0" collapsed="false">
      <c r="A1328" s="3" t="n">
        <v>1327</v>
      </c>
      <c r="B1328" s="3" t="n">
        <v>1326</v>
      </c>
      <c r="C1328" s="3" t="n">
        <v>1</v>
      </c>
      <c r="D1328" s="3" t="n">
        <v>19</v>
      </c>
      <c r="E1328" s="3" t="n">
        <v>10</v>
      </c>
      <c r="F1328" s="24" t="n">
        <v>0</v>
      </c>
    </row>
    <row r="1329" customFormat="false" ht="15" hidden="false" customHeight="false" outlineLevel="0" collapsed="false">
      <c r="A1329" s="3" t="n">
        <v>1328</v>
      </c>
      <c r="B1329" s="3" t="n">
        <v>1327</v>
      </c>
      <c r="C1329" s="3" t="n">
        <v>1</v>
      </c>
      <c r="D1329" s="3" t="n">
        <v>19</v>
      </c>
      <c r="E1329" s="3" t="n">
        <v>11</v>
      </c>
      <c r="F1329" s="24" t="n">
        <v>0</v>
      </c>
    </row>
    <row r="1330" customFormat="false" ht="15" hidden="false" customHeight="false" outlineLevel="0" collapsed="false">
      <c r="A1330" s="3" t="n">
        <v>1329</v>
      </c>
      <c r="B1330" s="3" t="n">
        <v>1328</v>
      </c>
      <c r="C1330" s="3" t="n">
        <v>1</v>
      </c>
      <c r="D1330" s="3" t="n">
        <v>19</v>
      </c>
      <c r="E1330" s="3" t="n">
        <v>12</v>
      </c>
      <c r="F1330" s="24" t="n">
        <v>0</v>
      </c>
    </row>
    <row r="1331" customFormat="false" ht="15" hidden="false" customHeight="false" outlineLevel="0" collapsed="false">
      <c r="A1331" s="3" t="n">
        <v>1330</v>
      </c>
      <c r="B1331" s="3" t="n">
        <v>1329</v>
      </c>
      <c r="C1331" s="3" t="n">
        <v>1</v>
      </c>
      <c r="D1331" s="3" t="n">
        <v>19</v>
      </c>
      <c r="E1331" s="3" t="n">
        <v>13</v>
      </c>
      <c r="F1331" s="24" t="n">
        <v>1.80311</v>
      </c>
    </row>
    <row r="1332" customFormat="false" ht="15" hidden="false" customHeight="false" outlineLevel="0" collapsed="false">
      <c r="A1332" s="3" t="n">
        <v>1331</v>
      </c>
      <c r="B1332" s="3" t="n">
        <v>1330</v>
      </c>
      <c r="C1332" s="3" t="n">
        <v>1</v>
      </c>
      <c r="D1332" s="3" t="n">
        <v>19</v>
      </c>
      <c r="E1332" s="3" t="n">
        <v>14</v>
      </c>
      <c r="F1332" s="24" t="n">
        <v>3.21517515</v>
      </c>
    </row>
    <row r="1333" customFormat="false" ht="15" hidden="false" customHeight="false" outlineLevel="0" collapsed="false">
      <c r="A1333" s="3" t="n">
        <v>1332</v>
      </c>
      <c r="B1333" s="3" t="n">
        <v>1331</v>
      </c>
      <c r="C1333" s="3" t="n">
        <v>1</v>
      </c>
      <c r="D1333" s="3" t="n">
        <v>19</v>
      </c>
      <c r="E1333" s="3" t="n">
        <v>15</v>
      </c>
      <c r="F1333" s="24" t="n">
        <v>3.16939831</v>
      </c>
    </row>
    <row r="1334" customFormat="false" ht="15" hidden="false" customHeight="false" outlineLevel="0" collapsed="false">
      <c r="A1334" s="3" t="n">
        <v>1333</v>
      </c>
      <c r="B1334" s="3" t="n">
        <v>1332</v>
      </c>
      <c r="C1334" s="3" t="n">
        <v>1</v>
      </c>
      <c r="D1334" s="3" t="n">
        <v>19</v>
      </c>
      <c r="E1334" s="3" t="n">
        <v>16</v>
      </c>
      <c r="F1334" s="24" t="n">
        <v>0.182765752</v>
      </c>
    </row>
    <row r="1335" customFormat="false" ht="15" hidden="false" customHeight="false" outlineLevel="0" collapsed="false">
      <c r="A1335" s="3" t="n">
        <v>1334</v>
      </c>
      <c r="B1335" s="3" t="n">
        <v>1333</v>
      </c>
      <c r="C1335" s="3" t="n">
        <v>1</v>
      </c>
      <c r="D1335" s="3" t="n">
        <v>19</v>
      </c>
      <c r="E1335" s="3" t="n">
        <v>17</v>
      </c>
      <c r="F1335" s="24" t="n">
        <v>0</v>
      </c>
    </row>
    <row r="1336" customFormat="false" ht="15" hidden="false" customHeight="false" outlineLevel="0" collapsed="false">
      <c r="A1336" s="3" t="n">
        <v>1335</v>
      </c>
      <c r="B1336" s="3" t="n">
        <v>1334</v>
      </c>
      <c r="C1336" s="3" t="n">
        <v>1</v>
      </c>
      <c r="D1336" s="3" t="n">
        <v>19</v>
      </c>
      <c r="E1336" s="3" t="n">
        <v>18</v>
      </c>
      <c r="F1336" s="24" t="n">
        <v>0</v>
      </c>
    </row>
    <row r="1337" customFormat="false" ht="15" hidden="false" customHeight="false" outlineLevel="0" collapsed="false">
      <c r="A1337" s="3" t="n">
        <v>1336</v>
      </c>
      <c r="B1337" s="3" t="n">
        <v>1335</v>
      </c>
      <c r="C1337" s="3" t="n">
        <v>1</v>
      </c>
      <c r="D1337" s="3" t="n">
        <v>19</v>
      </c>
      <c r="E1337" s="3" t="n">
        <v>19</v>
      </c>
      <c r="F1337" s="24" t="n">
        <v>0</v>
      </c>
    </row>
    <row r="1338" customFormat="false" ht="15" hidden="false" customHeight="false" outlineLevel="0" collapsed="false">
      <c r="A1338" s="3" t="n">
        <v>1337</v>
      </c>
      <c r="B1338" s="3" t="n">
        <v>1336</v>
      </c>
      <c r="C1338" s="3" t="n">
        <v>1</v>
      </c>
      <c r="D1338" s="3" t="n">
        <v>19</v>
      </c>
      <c r="E1338" s="3" t="n">
        <v>20</v>
      </c>
      <c r="F1338" s="24" t="n">
        <v>0</v>
      </c>
    </row>
    <row r="1339" customFormat="false" ht="15" hidden="false" customHeight="false" outlineLevel="0" collapsed="false">
      <c r="A1339" s="3" t="n">
        <v>1338</v>
      </c>
      <c r="B1339" s="3" t="n">
        <v>1337</v>
      </c>
      <c r="C1339" s="3" t="n">
        <v>1</v>
      </c>
      <c r="D1339" s="3" t="n">
        <v>19</v>
      </c>
      <c r="E1339" s="3" t="n">
        <v>21</v>
      </c>
      <c r="F1339" s="24" t="n">
        <v>0</v>
      </c>
    </row>
    <row r="1340" customFormat="false" ht="15" hidden="false" customHeight="false" outlineLevel="0" collapsed="false">
      <c r="A1340" s="3" t="n">
        <v>1339</v>
      </c>
      <c r="B1340" s="3" t="n">
        <v>1338</v>
      </c>
      <c r="C1340" s="3" t="n">
        <v>1</v>
      </c>
      <c r="D1340" s="3" t="n">
        <v>19</v>
      </c>
      <c r="E1340" s="3" t="n">
        <v>22</v>
      </c>
      <c r="F1340" s="24" t="n">
        <v>0</v>
      </c>
    </row>
    <row r="1341" customFormat="false" ht="15" hidden="false" customHeight="false" outlineLevel="0" collapsed="false">
      <c r="A1341" s="3" t="n">
        <v>1340</v>
      </c>
      <c r="B1341" s="3" t="n">
        <v>1339</v>
      </c>
      <c r="C1341" s="3" t="n">
        <v>1</v>
      </c>
      <c r="D1341" s="3" t="n">
        <v>19</v>
      </c>
      <c r="E1341" s="3" t="n">
        <v>23</v>
      </c>
      <c r="F1341" s="24" t="n">
        <v>0</v>
      </c>
    </row>
    <row r="1342" customFormat="false" ht="15" hidden="false" customHeight="false" outlineLevel="0" collapsed="false">
      <c r="A1342" s="3" t="n">
        <v>1341</v>
      </c>
      <c r="B1342" s="3" t="n">
        <v>1340</v>
      </c>
      <c r="C1342" s="3" t="n">
        <v>1</v>
      </c>
      <c r="D1342" s="3" t="n">
        <v>19</v>
      </c>
      <c r="E1342" s="3" t="n">
        <v>24</v>
      </c>
      <c r="F1342" s="24" t="n">
        <v>0</v>
      </c>
    </row>
    <row r="1343" customFormat="false" ht="15" hidden="false" customHeight="false" outlineLevel="0" collapsed="false">
      <c r="A1343" s="3" t="n">
        <v>1342</v>
      </c>
      <c r="B1343" s="3" t="n">
        <v>1341</v>
      </c>
      <c r="C1343" s="3" t="n">
        <v>1</v>
      </c>
      <c r="D1343" s="3" t="n">
        <v>19</v>
      </c>
      <c r="E1343" s="3" t="n">
        <v>25</v>
      </c>
      <c r="F1343" s="24" t="n">
        <v>0</v>
      </c>
    </row>
    <row r="1344" customFormat="false" ht="15" hidden="false" customHeight="false" outlineLevel="0" collapsed="false">
      <c r="A1344" s="3" t="n">
        <v>1343</v>
      </c>
      <c r="B1344" s="3" t="n">
        <v>1342</v>
      </c>
      <c r="C1344" s="3" t="n">
        <v>1</v>
      </c>
      <c r="D1344" s="3" t="n">
        <v>19</v>
      </c>
      <c r="E1344" s="3" t="n">
        <v>26</v>
      </c>
      <c r="F1344" s="24" t="n">
        <v>0</v>
      </c>
    </row>
    <row r="1345" customFormat="false" ht="15" hidden="false" customHeight="false" outlineLevel="0" collapsed="false">
      <c r="A1345" s="3" t="n">
        <v>1344</v>
      </c>
      <c r="B1345" s="3" t="n">
        <v>1343</v>
      </c>
      <c r="C1345" s="3" t="n">
        <v>1</v>
      </c>
      <c r="D1345" s="3" t="n">
        <v>19</v>
      </c>
      <c r="E1345" s="3" t="n">
        <v>27</v>
      </c>
      <c r="F1345" s="24" t="n">
        <v>0</v>
      </c>
    </row>
    <row r="1346" customFormat="false" ht="15" hidden="false" customHeight="false" outlineLevel="0" collapsed="false">
      <c r="A1346" s="3" t="n">
        <v>1345</v>
      </c>
      <c r="B1346" s="3" t="n">
        <v>1344</v>
      </c>
      <c r="C1346" s="3" t="n">
        <v>1</v>
      </c>
      <c r="D1346" s="3" t="n">
        <v>20</v>
      </c>
      <c r="E1346" s="3" t="n">
        <v>0</v>
      </c>
      <c r="F1346" s="24" t="n">
        <v>0</v>
      </c>
    </row>
    <row r="1347" customFormat="false" ht="15" hidden="false" customHeight="false" outlineLevel="0" collapsed="false">
      <c r="A1347" s="3" t="n">
        <v>1346</v>
      </c>
      <c r="B1347" s="3" t="n">
        <v>1345</v>
      </c>
      <c r="C1347" s="3" t="n">
        <v>1</v>
      </c>
      <c r="D1347" s="3" t="n">
        <v>20</v>
      </c>
      <c r="E1347" s="3" t="n">
        <v>1</v>
      </c>
      <c r="F1347" s="24" t="n">
        <v>0</v>
      </c>
    </row>
    <row r="1348" customFormat="false" ht="15" hidden="false" customHeight="false" outlineLevel="0" collapsed="false">
      <c r="A1348" s="3" t="n">
        <v>1347</v>
      </c>
      <c r="B1348" s="3" t="n">
        <v>1346</v>
      </c>
      <c r="C1348" s="3" t="n">
        <v>1</v>
      </c>
      <c r="D1348" s="3" t="n">
        <v>20</v>
      </c>
      <c r="E1348" s="3" t="n">
        <v>2</v>
      </c>
      <c r="F1348" s="24" t="n">
        <v>0</v>
      </c>
    </row>
    <row r="1349" customFormat="false" ht="15" hidden="false" customHeight="false" outlineLevel="0" collapsed="false">
      <c r="A1349" s="3" t="n">
        <v>1348</v>
      </c>
      <c r="B1349" s="3" t="n">
        <v>1347</v>
      </c>
      <c r="C1349" s="3" t="n">
        <v>1</v>
      </c>
      <c r="D1349" s="3" t="n">
        <v>20</v>
      </c>
      <c r="E1349" s="3" t="n">
        <v>3</v>
      </c>
      <c r="F1349" s="24" t="n">
        <v>0</v>
      </c>
    </row>
    <row r="1350" customFormat="false" ht="15" hidden="false" customHeight="false" outlineLevel="0" collapsed="false">
      <c r="A1350" s="3" t="n">
        <v>1349</v>
      </c>
      <c r="B1350" s="3" t="n">
        <v>1348</v>
      </c>
      <c r="C1350" s="3" t="n">
        <v>1</v>
      </c>
      <c r="D1350" s="3" t="n">
        <v>20</v>
      </c>
      <c r="E1350" s="3" t="n">
        <v>4</v>
      </c>
      <c r="F1350" s="24" t="n">
        <v>0</v>
      </c>
    </row>
    <row r="1351" customFormat="false" ht="15" hidden="false" customHeight="false" outlineLevel="0" collapsed="false">
      <c r="A1351" s="3" t="n">
        <v>1350</v>
      </c>
      <c r="B1351" s="3" t="n">
        <v>1349</v>
      </c>
      <c r="C1351" s="3" t="n">
        <v>1</v>
      </c>
      <c r="D1351" s="3" t="n">
        <v>20</v>
      </c>
      <c r="E1351" s="3" t="n">
        <v>5</v>
      </c>
      <c r="F1351" s="24" t="n">
        <v>0</v>
      </c>
    </row>
    <row r="1352" customFormat="false" ht="15" hidden="false" customHeight="false" outlineLevel="0" collapsed="false">
      <c r="A1352" s="3" t="n">
        <v>1351</v>
      </c>
      <c r="B1352" s="3" t="n">
        <v>1350</v>
      </c>
      <c r="C1352" s="3" t="n">
        <v>1</v>
      </c>
      <c r="D1352" s="3" t="n">
        <v>20</v>
      </c>
      <c r="E1352" s="3" t="n">
        <v>6</v>
      </c>
      <c r="F1352" s="24" t="n">
        <v>0</v>
      </c>
    </row>
    <row r="1353" customFormat="false" ht="15" hidden="false" customHeight="false" outlineLevel="0" collapsed="false">
      <c r="A1353" s="3" t="n">
        <v>1352</v>
      </c>
      <c r="B1353" s="3" t="n">
        <v>1351</v>
      </c>
      <c r="C1353" s="3" t="n">
        <v>1</v>
      </c>
      <c r="D1353" s="3" t="n">
        <v>20</v>
      </c>
      <c r="E1353" s="3" t="n">
        <v>7</v>
      </c>
      <c r="F1353" s="24" t="n">
        <v>0</v>
      </c>
    </row>
    <row r="1354" customFormat="false" ht="15" hidden="false" customHeight="false" outlineLevel="0" collapsed="false">
      <c r="A1354" s="3" t="n">
        <v>1353</v>
      </c>
      <c r="B1354" s="3" t="n">
        <v>1352</v>
      </c>
      <c r="C1354" s="3" t="n">
        <v>1</v>
      </c>
      <c r="D1354" s="3" t="n">
        <v>20</v>
      </c>
      <c r="E1354" s="3" t="n">
        <v>8</v>
      </c>
      <c r="F1354" s="24" t="n">
        <v>0</v>
      </c>
    </row>
    <row r="1355" customFormat="false" ht="15" hidden="false" customHeight="false" outlineLevel="0" collapsed="false">
      <c r="A1355" s="3" t="n">
        <v>1354</v>
      </c>
      <c r="B1355" s="3" t="n">
        <v>1353</v>
      </c>
      <c r="C1355" s="3" t="n">
        <v>1</v>
      </c>
      <c r="D1355" s="3" t="n">
        <v>20</v>
      </c>
      <c r="E1355" s="3" t="n">
        <v>9</v>
      </c>
      <c r="F1355" s="24" t="n">
        <v>0</v>
      </c>
    </row>
    <row r="1356" customFormat="false" ht="15" hidden="false" customHeight="false" outlineLevel="0" collapsed="false">
      <c r="A1356" s="3" t="n">
        <v>1355</v>
      </c>
      <c r="B1356" s="3" t="n">
        <v>1354</v>
      </c>
      <c r="C1356" s="3" t="n">
        <v>1</v>
      </c>
      <c r="D1356" s="3" t="n">
        <v>20</v>
      </c>
      <c r="E1356" s="3" t="n">
        <v>10</v>
      </c>
      <c r="F1356" s="24" t="n">
        <v>0</v>
      </c>
    </row>
    <row r="1357" customFormat="false" ht="15" hidden="false" customHeight="false" outlineLevel="0" collapsed="false">
      <c r="A1357" s="3" t="n">
        <v>1356</v>
      </c>
      <c r="B1357" s="3" t="n">
        <v>1355</v>
      </c>
      <c r="C1357" s="3" t="n">
        <v>1</v>
      </c>
      <c r="D1357" s="3" t="n">
        <v>20</v>
      </c>
      <c r="E1357" s="3" t="n">
        <v>11</v>
      </c>
      <c r="F1357" s="24" t="n">
        <v>0</v>
      </c>
    </row>
    <row r="1358" customFormat="false" ht="15" hidden="false" customHeight="false" outlineLevel="0" collapsed="false">
      <c r="A1358" s="3" t="n">
        <v>1357</v>
      </c>
      <c r="B1358" s="3" t="n">
        <v>1356</v>
      </c>
      <c r="C1358" s="3" t="n">
        <v>1</v>
      </c>
      <c r="D1358" s="3" t="n">
        <v>20</v>
      </c>
      <c r="E1358" s="3" t="n">
        <v>12</v>
      </c>
      <c r="F1358" s="24" t="n">
        <v>0.827240288</v>
      </c>
    </row>
    <row r="1359" customFormat="false" ht="15" hidden="false" customHeight="false" outlineLevel="0" collapsed="false">
      <c r="A1359" s="3" t="n">
        <v>1358</v>
      </c>
      <c r="B1359" s="3" t="n">
        <v>1357</v>
      </c>
      <c r="C1359" s="3" t="n">
        <v>1</v>
      </c>
      <c r="D1359" s="3" t="n">
        <v>20</v>
      </c>
      <c r="E1359" s="3" t="n">
        <v>13</v>
      </c>
      <c r="F1359" s="24" t="n">
        <v>3.11976624</v>
      </c>
    </row>
    <row r="1360" customFormat="false" ht="15" hidden="false" customHeight="false" outlineLevel="0" collapsed="false">
      <c r="A1360" s="3" t="n">
        <v>1359</v>
      </c>
      <c r="B1360" s="3" t="n">
        <v>1358</v>
      </c>
      <c r="C1360" s="3" t="n">
        <v>1</v>
      </c>
      <c r="D1360" s="3" t="n">
        <v>20</v>
      </c>
      <c r="E1360" s="3" t="n">
        <v>14</v>
      </c>
      <c r="F1360" s="24" t="n">
        <v>3.77756786</v>
      </c>
    </row>
    <row r="1361" customFormat="false" ht="15" hidden="false" customHeight="false" outlineLevel="0" collapsed="false">
      <c r="A1361" s="3" t="n">
        <v>1360</v>
      </c>
      <c r="B1361" s="3" t="n">
        <v>1359</v>
      </c>
      <c r="C1361" s="3" t="n">
        <v>1</v>
      </c>
      <c r="D1361" s="3" t="n">
        <v>20</v>
      </c>
      <c r="E1361" s="3" t="n">
        <v>15</v>
      </c>
      <c r="F1361" s="24" t="n">
        <v>1.0761404</v>
      </c>
    </row>
    <row r="1362" customFormat="false" ht="15" hidden="false" customHeight="false" outlineLevel="0" collapsed="false">
      <c r="A1362" s="3" t="n">
        <v>1361</v>
      </c>
      <c r="B1362" s="3" t="n">
        <v>1360</v>
      </c>
      <c r="C1362" s="3" t="n">
        <v>1</v>
      </c>
      <c r="D1362" s="3" t="n">
        <v>20</v>
      </c>
      <c r="E1362" s="3" t="n">
        <v>16</v>
      </c>
      <c r="F1362" s="24" t="n">
        <v>0</v>
      </c>
    </row>
    <row r="1363" customFormat="false" ht="15" hidden="false" customHeight="false" outlineLevel="0" collapsed="false">
      <c r="A1363" s="3" t="n">
        <v>1362</v>
      </c>
      <c r="B1363" s="3" t="n">
        <v>1361</v>
      </c>
      <c r="C1363" s="3" t="n">
        <v>1</v>
      </c>
      <c r="D1363" s="3" t="n">
        <v>20</v>
      </c>
      <c r="E1363" s="3" t="n">
        <v>17</v>
      </c>
      <c r="F1363" s="24" t="n">
        <v>0</v>
      </c>
    </row>
    <row r="1364" customFormat="false" ht="15" hidden="false" customHeight="false" outlineLevel="0" collapsed="false">
      <c r="A1364" s="3" t="n">
        <v>1363</v>
      </c>
      <c r="B1364" s="3" t="n">
        <v>1362</v>
      </c>
      <c r="C1364" s="3" t="n">
        <v>1</v>
      </c>
      <c r="D1364" s="3" t="n">
        <v>20</v>
      </c>
      <c r="E1364" s="3" t="n">
        <v>18</v>
      </c>
      <c r="F1364" s="24" t="n">
        <v>0</v>
      </c>
    </row>
    <row r="1365" customFormat="false" ht="15" hidden="false" customHeight="false" outlineLevel="0" collapsed="false">
      <c r="A1365" s="3" t="n">
        <v>1364</v>
      </c>
      <c r="B1365" s="3" t="n">
        <v>1363</v>
      </c>
      <c r="C1365" s="3" t="n">
        <v>1</v>
      </c>
      <c r="D1365" s="3" t="n">
        <v>20</v>
      </c>
      <c r="E1365" s="3" t="n">
        <v>19</v>
      </c>
      <c r="F1365" s="24" t="n">
        <v>0</v>
      </c>
    </row>
    <row r="1366" customFormat="false" ht="15" hidden="false" customHeight="false" outlineLevel="0" collapsed="false">
      <c r="A1366" s="3" t="n">
        <v>1365</v>
      </c>
      <c r="B1366" s="3" t="n">
        <v>1364</v>
      </c>
      <c r="C1366" s="3" t="n">
        <v>1</v>
      </c>
      <c r="D1366" s="3" t="n">
        <v>20</v>
      </c>
      <c r="E1366" s="3" t="n">
        <v>20</v>
      </c>
      <c r="F1366" s="24" t="n">
        <v>0</v>
      </c>
    </row>
    <row r="1367" customFormat="false" ht="15" hidden="false" customHeight="false" outlineLevel="0" collapsed="false">
      <c r="A1367" s="3" t="n">
        <v>1366</v>
      </c>
      <c r="B1367" s="3" t="n">
        <v>1365</v>
      </c>
      <c r="C1367" s="3" t="n">
        <v>1</v>
      </c>
      <c r="D1367" s="3" t="n">
        <v>20</v>
      </c>
      <c r="E1367" s="3" t="n">
        <v>21</v>
      </c>
      <c r="F1367" s="24" t="n">
        <v>0</v>
      </c>
    </row>
    <row r="1368" customFormat="false" ht="15" hidden="false" customHeight="false" outlineLevel="0" collapsed="false">
      <c r="A1368" s="3" t="n">
        <v>1367</v>
      </c>
      <c r="B1368" s="3" t="n">
        <v>1366</v>
      </c>
      <c r="C1368" s="3" t="n">
        <v>1</v>
      </c>
      <c r="D1368" s="3" t="n">
        <v>20</v>
      </c>
      <c r="E1368" s="3" t="n">
        <v>22</v>
      </c>
      <c r="F1368" s="24" t="n">
        <v>0</v>
      </c>
    </row>
    <row r="1369" customFormat="false" ht="15" hidden="false" customHeight="false" outlineLevel="0" collapsed="false">
      <c r="A1369" s="3" t="n">
        <v>1368</v>
      </c>
      <c r="B1369" s="3" t="n">
        <v>1367</v>
      </c>
      <c r="C1369" s="3" t="n">
        <v>1</v>
      </c>
      <c r="D1369" s="3" t="n">
        <v>20</v>
      </c>
      <c r="E1369" s="3" t="n">
        <v>23</v>
      </c>
      <c r="F1369" s="24" t="n">
        <v>0</v>
      </c>
    </row>
    <row r="1370" customFormat="false" ht="15" hidden="false" customHeight="false" outlineLevel="0" collapsed="false">
      <c r="A1370" s="3" t="n">
        <v>1369</v>
      </c>
      <c r="B1370" s="3" t="n">
        <v>1368</v>
      </c>
      <c r="C1370" s="3" t="n">
        <v>1</v>
      </c>
      <c r="D1370" s="3" t="n">
        <v>20</v>
      </c>
      <c r="E1370" s="3" t="n">
        <v>24</v>
      </c>
      <c r="F1370" s="24" t="n">
        <v>0</v>
      </c>
    </row>
    <row r="1371" customFormat="false" ht="15" hidden="false" customHeight="false" outlineLevel="0" collapsed="false">
      <c r="A1371" s="3" t="n">
        <v>1370</v>
      </c>
      <c r="B1371" s="3" t="n">
        <v>1369</v>
      </c>
      <c r="C1371" s="3" t="n">
        <v>1</v>
      </c>
      <c r="D1371" s="3" t="n">
        <v>20</v>
      </c>
      <c r="E1371" s="3" t="n">
        <v>25</v>
      </c>
      <c r="F1371" s="24" t="n">
        <v>0</v>
      </c>
    </row>
    <row r="1372" customFormat="false" ht="15" hidden="false" customHeight="false" outlineLevel="0" collapsed="false">
      <c r="A1372" s="3" t="n">
        <v>1371</v>
      </c>
      <c r="B1372" s="3" t="n">
        <v>1370</v>
      </c>
      <c r="C1372" s="3" t="n">
        <v>1</v>
      </c>
      <c r="D1372" s="3" t="n">
        <v>20</v>
      </c>
      <c r="E1372" s="3" t="n">
        <v>26</v>
      </c>
      <c r="F1372" s="24" t="n">
        <v>0</v>
      </c>
    </row>
    <row r="1373" customFormat="false" ht="15" hidden="false" customHeight="false" outlineLevel="0" collapsed="false">
      <c r="A1373" s="3" t="n">
        <v>1372</v>
      </c>
      <c r="B1373" s="3" t="n">
        <v>1371</v>
      </c>
      <c r="C1373" s="3" t="n">
        <v>1</v>
      </c>
      <c r="D1373" s="3" t="n">
        <v>20</v>
      </c>
      <c r="E1373" s="3" t="n">
        <v>27</v>
      </c>
      <c r="F1373" s="24" t="n">
        <v>0</v>
      </c>
    </row>
    <row r="1374" customFormat="false" ht="15" hidden="false" customHeight="false" outlineLevel="0" collapsed="false">
      <c r="A1374" s="3" t="n">
        <v>1373</v>
      </c>
      <c r="B1374" s="3" t="n">
        <v>1372</v>
      </c>
      <c r="C1374" s="3" t="n">
        <v>1</v>
      </c>
      <c r="D1374" s="3" t="n">
        <v>21</v>
      </c>
      <c r="E1374" s="3" t="n">
        <v>0</v>
      </c>
      <c r="F1374" s="24" t="n">
        <v>0</v>
      </c>
    </row>
    <row r="1375" customFormat="false" ht="15" hidden="false" customHeight="false" outlineLevel="0" collapsed="false">
      <c r="A1375" s="3" t="n">
        <v>1374</v>
      </c>
      <c r="B1375" s="3" t="n">
        <v>1373</v>
      </c>
      <c r="C1375" s="3" t="n">
        <v>1</v>
      </c>
      <c r="D1375" s="3" t="n">
        <v>21</v>
      </c>
      <c r="E1375" s="3" t="n">
        <v>1</v>
      </c>
      <c r="F1375" s="24" t="n">
        <v>0</v>
      </c>
    </row>
    <row r="1376" customFormat="false" ht="15" hidden="false" customHeight="false" outlineLevel="0" collapsed="false">
      <c r="A1376" s="3" t="n">
        <v>1375</v>
      </c>
      <c r="B1376" s="3" t="n">
        <v>1374</v>
      </c>
      <c r="C1376" s="3" t="n">
        <v>1</v>
      </c>
      <c r="D1376" s="3" t="n">
        <v>21</v>
      </c>
      <c r="E1376" s="3" t="n">
        <v>2</v>
      </c>
      <c r="F1376" s="24" t="n">
        <v>0</v>
      </c>
    </row>
    <row r="1377" customFormat="false" ht="15" hidden="false" customHeight="false" outlineLevel="0" collapsed="false">
      <c r="A1377" s="3" t="n">
        <v>1376</v>
      </c>
      <c r="B1377" s="3" t="n">
        <v>1375</v>
      </c>
      <c r="C1377" s="3" t="n">
        <v>1</v>
      </c>
      <c r="D1377" s="3" t="n">
        <v>21</v>
      </c>
      <c r="E1377" s="3" t="n">
        <v>3</v>
      </c>
      <c r="F1377" s="24" t="n">
        <v>0</v>
      </c>
    </row>
    <row r="1378" customFormat="false" ht="15" hidden="false" customHeight="false" outlineLevel="0" collapsed="false">
      <c r="A1378" s="3" t="n">
        <v>1377</v>
      </c>
      <c r="B1378" s="3" t="n">
        <v>1376</v>
      </c>
      <c r="C1378" s="3" t="n">
        <v>1</v>
      </c>
      <c r="D1378" s="3" t="n">
        <v>21</v>
      </c>
      <c r="E1378" s="3" t="n">
        <v>4</v>
      </c>
      <c r="F1378" s="24" t="n">
        <v>0</v>
      </c>
    </row>
    <row r="1379" customFormat="false" ht="15" hidden="false" customHeight="false" outlineLevel="0" collapsed="false">
      <c r="A1379" s="3" t="n">
        <v>1378</v>
      </c>
      <c r="B1379" s="3" t="n">
        <v>1377</v>
      </c>
      <c r="C1379" s="3" t="n">
        <v>1</v>
      </c>
      <c r="D1379" s="3" t="n">
        <v>21</v>
      </c>
      <c r="E1379" s="3" t="n">
        <v>5</v>
      </c>
      <c r="F1379" s="24" t="n">
        <v>0</v>
      </c>
    </row>
    <row r="1380" customFormat="false" ht="15" hidden="false" customHeight="false" outlineLevel="0" collapsed="false">
      <c r="A1380" s="3" t="n">
        <v>1379</v>
      </c>
      <c r="B1380" s="3" t="n">
        <v>1378</v>
      </c>
      <c r="C1380" s="3" t="n">
        <v>1</v>
      </c>
      <c r="D1380" s="3" t="n">
        <v>21</v>
      </c>
      <c r="E1380" s="3" t="n">
        <v>6</v>
      </c>
      <c r="F1380" s="24" t="n">
        <v>0</v>
      </c>
    </row>
    <row r="1381" customFormat="false" ht="15" hidden="false" customHeight="false" outlineLevel="0" collapsed="false">
      <c r="A1381" s="3" t="n">
        <v>1380</v>
      </c>
      <c r="B1381" s="3" t="n">
        <v>1379</v>
      </c>
      <c r="C1381" s="3" t="n">
        <v>1</v>
      </c>
      <c r="D1381" s="3" t="n">
        <v>21</v>
      </c>
      <c r="E1381" s="3" t="n">
        <v>7</v>
      </c>
      <c r="F1381" s="24" t="n">
        <v>0</v>
      </c>
    </row>
    <row r="1382" customFormat="false" ht="15" hidden="false" customHeight="false" outlineLevel="0" collapsed="false">
      <c r="A1382" s="3" t="n">
        <v>1381</v>
      </c>
      <c r="B1382" s="3" t="n">
        <v>1380</v>
      </c>
      <c r="C1382" s="3" t="n">
        <v>1</v>
      </c>
      <c r="D1382" s="3" t="n">
        <v>21</v>
      </c>
      <c r="E1382" s="3" t="n">
        <v>8</v>
      </c>
      <c r="F1382" s="24" t="n">
        <v>0</v>
      </c>
    </row>
    <row r="1383" customFormat="false" ht="15" hidden="false" customHeight="false" outlineLevel="0" collapsed="false">
      <c r="A1383" s="3" t="n">
        <v>1382</v>
      </c>
      <c r="B1383" s="3" t="n">
        <v>1381</v>
      </c>
      <c r="C1383" s="3" t="n">
        <v>1</v>
      </c>
      <c r="D1383" s="3" t="n">
        <v>21</v>
      </c>
      <c r="E1383" s="3" t="n">
        <v>9</v>
      </c>
      <c r="F1383" s="24" t="n">
        <v>0</v>
      </c>
    </row>
    <row r="1384" customFormat="false" ht="15" hidden="false" customHeight="false" outlineLevel="0" collapsed="false">
      <c r="A1384" s="3" t="n">
        <v>1383</v>
      </c>
      <c r="B1384" s="3" t="n">
        <v>1382</v>
      </c>
      <c r="C1384" s="3" t="n">
        <v>1</v>
      </c>
      <c r="D1384" s="3" t="n">
        <v>21</v>
      </c>
      <c r="E1384" s="3" t="n">
        <v>10</v>
      </c>
      <c r="F1384" s="24" t="n">
        <v>0</v>
      </c>
    </row>
    <row r="1385" customFormat="false" ht="15" hidden="false" customHeight="false" outlineLevel="0" collapsed="false">
      <c r="A1385" s="3" t="n">
        <v>1384</v>
      </c>
      <c r="B1385" s="3" t="n">
        <v>1383</v>
      </c>
      <c r="C1385" s="3" t="n">
        <v>1</v>
      </c>
      <c r="D1385" s="3" t="n">
        <v>21</v>
      </c>
      <c r="E1385" s="3" t="n">
        <v>11</v>
      </c>
      <c r="F1385" s="24" t="n">
        <v>0</v>
      </c>
    </row>
    <row r="1386" customFormat="false" ht="15" hidden="false" customHeight="false" outlineLevel="0" collapsed="false">
      <c r="A1386" s="3" t="n">
        <v>1385</v>
      </c>
      <c r="B1386" s="3" t="n">
        <v>1384</v>
      </c>
      <c r="C1386" s="3" t="n">
        <v>1</v>
      </c>
      <c r="D1386" s="3" t="n">
        <v>21</v>
      </c>
      <c r="E1386" s="3" t="n">
        <v>12</v>
      </c>
      <c r="F1386" s="24" t="n">
        <v>2.38020706</v>
      </c>
    </row>
    <row r="1387" customFormat="false" ht="15" hidden="false" customHeight="false" outlineLevel="0" collapsed="false">
      <c r="A1387" s="3" t="n">
        <v>1386</v>
      </c>
      <c r="B1387" s="3" t="n">
        <v>1385</v>
      </c>
      <c r="C1387" s="3" t="n">
        <v>1</v>
      </c>
      <c r="D1387" s="3" t="n">
        <v>21</v>
      </c>
      <c r="E1387" s="3" t="n">
        <v>13</v>
      </c>
      <c r="F1387" s="24" t="n">
        <v>3.52036333</v>
      </c>
    </row>
    <row r="1388" customFormat="false" ht="15" hidden="false" customHeight="false" outlineLevel="0" collapsed="false">
      <c r="A1388" s="3" t="n">
        <v>1387</v>
      </c>
      <c r="B1388" s="3" t="n">
        <v>1386</v>
      </c>
      <c r="C1388" s="3" t="n">
        <v>1</v>
      </c>
      <c r="D1388" s="3" t="n">
        <v>21</v>
      </c>
      <c r="E1388" s="3" t="n">
        <v>14</v>
      </c>
      <c r="F1388" s="24" t="n">
        <v>1.75478768</v>
      </c>
    </row>
    <row r="1389" customFormat="false" ht="15" hidden="false" customHeight="false" outlineLevel="0" collapsed="false">
      <c r="A1389" s="3" t="n">
        <v>1388</v>
      </c>
      <c r="B1389" s="3" t="n">
        <v>1387</v>
      </c>
      <c r="C1389" s="3" t="n">
        <v>1</v>
      </c>
      <c r="D1389" s="3" t="n">
        <v>21</v>
      </c>
      <c r="E1389" s="3" t="n">
        <v>15</v>
      </c>
      <c r="F1389" s="24" t="n">
        <v>0</v>
      </c>
    </row>
    <row r="1390" customFormat="false" ht="15" hidden="false" customHeight="false" outlineLevel="0" collapsed="false">
      <c r="A1390" s="3" t="n">
        <v>1389</v>
      </c>
      <c r="B1390" s="3" t="n">
        <v>1388</v>
      </c>
      <c r="C1390" s="3" t="n">
        <v>1</v>
      </c>
      <c r="D1390" s="3" t="n">
        <v>21</v>
      </c>
      <c r="E1390" s="3" t="n">
        <v>16</v>
      </c>
      <c r="F1390" s="24" t="n">
        <v>0</v>
      </c>
    </row>
    <row r="1391" customFormat="false" ht="15" hidden="false" customHeight="false" outlineLevel="0" collapsed="false">
      <c r="A1391" s="3" t="n">
        <v>1390</v>
      </c>
      <c r="B1391" s="3" t="n">
        <v>1389</v>
      </c>
      <c r="C1391" s="3" t="n">
        <v>1</v>
      </c>
      <c r="D1391" s="3" t="n">
        <v>21</v>
      </c>
      <c r="E1391" s="3" t="n">
        <v>17</v>
      </c>
      <c r="F1391" s="24" t="n">
        <v>0</v>
      </c>
    </row>
    <row r="1392" customFormat="false" ht="15" hidden="false" customHeight="false" outlineLevel="0" collapsed="false">
      <c r="A1392" s="3" t="n">
        <v>1391</v>
      </c>
      <c r="B1392" s="3" t="n">
        <v>1390</v>
      </c>
      <c r="C1392" s="3" t="n">
        <v>1</v>
      </c>
      <c r="D1392" s="3" t="n">
        <v>21</v>
      </c>
      <c r="E1392" s="3" t="n">
        <v>18</v>
      </c>
      <c r="F1392" s="24" t="n">
        <v>0</v>
      </c>
    </row>
    <row r="1393" customFormat="false" ht="15" hidden="false" customHeight="false" outlineLevel="0" collapsed="false">
      <c r="A1393" s="3" t="n">
        <v>1392</v>
      </c>
      <c r="B1393" s="3" t="n">
        <v>1391</v>
      </c>
      <c r="C1393" s="3" t="n">
        <v>1</v>
      </c>
      <c r="D1393" s="3" t="n">
        <v>21</v>
      </c>
      <c r="E1393" s="3" t="n">
        <v>19</v>
      </c>
      <c r="F1393" s="24" t="n">
        <v>0</v>
      </c>
    </row>
    <row r="1394" customFormat="false" ht="15" hidden="false" customHeight="false" outlineLevel="0" collapsed="false">
      <c r="A1394" s="3" t="n">
        <v>1393</v>
      </c>
      <c r="B1394" s="3" t="n">
        <v>1392</v>
      </c>
      <c r="C1394" s="3" t="n">
        <v>1</v>
      </c>
      <c r="D1394" s="3" t="n">
        <v>21</v>
      </c>
      <c r="E1394" s="3" t="n">
        <v>20</v>
      </c>
      <c r="F1394" s="24" t="n">
        <v>0</v>
      </c>
    </row>
    <row r="1395" customFormat="false" ht="15" hidden="false" customHeight="false" outlineLevel="0" collapsed="false">
      <c r="A1395" s="3" t="n">
        <v>1394</v>
      </c>
      <c r="B1395" s="3" t="n">
        <v>1393</v>
      </c>
      <c r="C1395" s="3" t="n">
        <v>1</v>
      </c>
      <c r="D1395" s="3" t="n">
        <v>21</v>
      </c>
      <c r="E1395" s="3" t="n">
        <v>21</v>
      </c>
      <c r="F1395" s="24" t="n">
        <v>0</v>
      </c>
    </row>
    <row r="1396" customFormat="false" ht="15" hidden="false" customHeight="false" outlineLevel="0" collapsed="false">
      <c r="A1396" s="3" t="n">
        <v>1395</v>
      </c>
      <c r="B1396" s="3" t="n">
        <v>1394</v>
      </c>
      <c r="C1396" s="3" t="n">
        <v>1</v>
      </c>
      <c r="D1396" s="3" t="n">
        <v>21</v>
      </c>
      <c r="E1396" s="3" t="n">
        <v>22</v>
      </c>
      <c r="F1396" s="24" t="n">
        <v>0</v>
      </c>
    </row>
    <row r="1397" customFormat="false" ht="15" hidden="false" customHeight="false" outlineLevel="0" collapsed="false">
      <c r="A1397" s="3" t="n">
        <v>1396</v>
      </c>
      <c r="B1397" s="3" t="n">
        <v>1395</v>
      </c>
      <c r="C1397" s="3" t="n">
        <v>1</v>
      </c>
      <c r="D1397" s="3" t="n">
        <v>21</v>
      </c>
      <c r="E1397" s="3" t="n">
        <v>23</v>
      </c>
      <c r="F1397" s="24" t="n">
        <v>0</v>
      </c>
    </row>
    <row r="1398" customFormat="false" ht="15" hidden="false" customHeight="false" outlineLevel="0" collapsed="false">
      <c r="A1398" s="3" t="n">
        <v>1397</v>
      </c>
      <c r="B1398" s="3" t="n">
        <v>1396</v>
      </c>
      <c r="C1398" s="3" t="n">
        <v>1</v>
      </c>
      <c r="D1398" s="3" t="n">
        <v>21</v>
      </c>
      <c r="E1398" s="3" t="n">
        <v>24</v>
      </c>
      <c r="F1398" s="24" t="n">
        <v>0</v>
      </c>
    </row>
    <row r="1399" customFormat="false" ht="15" hidden="false" customHeight="false" outlineLevel="0" collapsed="false">
      <c r="A1399" s="3" t="n">
        <v>1398</v>
      </c>
      <c r="B1399" s="3" t="n">
        <v>1397</v>
      </c>
      <c r="C1399" s="3" t="n">
        <v>1</v>
      </c>
      <c r="D1399" s="3" t="n">
        <v>21</v>
      </c>
      <c r="E1399" s="3" t="n">
        <v>25</v>
      </c>
      <c r="F1399" s="24" t="n">
        <v>0</v>
      </c>
    </row>
    <row r="1400" customFormat="false" ht="15" hidden="false" customHeight="false" outlineLevel="0" collapsed="false">
      <c r="A1400" s="3" t="n">
        <v>1399</v>
      </c>
      <c r="B1400" s="3" t="n">
        <v>1398</v>
      </c>
      <c r="C1400" s="3" t="n">
        <v>1</v>
      </c>
      <c r="D1400" s="3" t="n">
        <v>21</v>
      </c>
      <c r="E1400" s="3" t="n">
        <v>26</v>
      </c>
      <c r="F1400" s="24" t="n">
        <v>0</v>
      </c>
    </row>
    <row r="1401" customFormat="false" ht="15" hidden="false" customHeight="false" outlineLevel="0" collapsed="false">
      <c r="A1401" s="3" t="n">
        <v>1400</v>
      </c>
      <c r="B1401" s="3" t="n">
        <v>1399</v>
      </c>
      <c r="C1401" s="3" t="n">
        <v>1</v>
      </c>
      <c r="D1401" s="3" t="n">
        <v>21</v>
      </c>
      <c r="E1401" s="3" t="n">
        <v>27</v>
      </c>
      <c r="F1401" s="24" t="n">
        <v>0</v>
      </c>
    </row>
    <row r="1402" customFormat="false" ht="15" hidden="false" customHeight="false" outlineLevel="0" collapsed="false">
      <c r="A1402" s="3" t="n">
        <v>1401</v>
      </c>
      <c r="B1402" s="3" t="n">
        <v>1400</v>
      </c>
      <c r="C1402" s="3" t="n">
        <v>1</v>
      </c>
      <c r="D1402" s="3" t="n">
        <v>22</v>
      </c>
      <c r="E1402" s="3" t="n">
        <v>0</v>
      </c>
      <c r="F1402" s="24" t="n">
        <v>0</v>
      </c>
    </row>
    <row r="1403" customFormat="false" ht="15" hidden="false" customHeight="false" outlineLevel="0" collapsed="false">
      <c r="A1403" s="3" t="n">
        <v>1402</v>
      </c>
      <c r="B1403" s="3" t="n">
        <v>1401</v>
      </c>
      <c r="C1403" s="3" t="n">
        <v>1</v>
      </c>
      <c r="D1403" s="3" t="n">
        <v>22</v>
      </c>
      <c r="E1403" s="3" t="n">
        <v>1</v>
      </c>
      <c r="F1403" s="24" t="n">
        <v>0</v>
      </c>
    </row>
    <row r="1404" customFormat="false" ht="15" hidden="false" customHeight="false" outlineLevel="0" collapsed="false">
      <c r="A1404" s="3" t="n">
        <v>1403</v>
      </c>
      <c r="B1404" s="3" t="n">
        <v>1402</v>
      </c>
      <c r="C1404" s="3" t="n">
        <v>1</v>
      </c>
      <c r="D1404" s="3" t="n">
        <v>22</v>
      </c>
      <c r="E1404" s="3" t="n">
        <v>2</v>
      </c>
      <c r="F1404" s="24" t="n">
        <v>0</v>
      </c>
    </row>
    <row r="1405" customFormat="false" ht="15" hidden="false" customHeight="false" outlineLevel="0" collapsed="false">
      <c r="A1405" s="3" t="n">
        <v>1404</v>
      </c>
      <c r="B1405" s="3" t="n">
        <v>1403</v>
      </c>
      <c r="C1405" s="3" t="n">
        <v>1</v>
      </c>
      <c r="D1405" s="3" t="n">
        <v>22</v>
      </c>
      <c r="E1405" s="3" t="n">
        <v>3</v>
      </c>
      <c r="F1405" s="24" t="n">
        <v>0</v>
      </c>
    </row>
    <row r="1406" customFormat="false" ht="15" hidden="false" customHeight="false" outlineLevel="0" collapsed="false">
      <c r="A1406" s="3" t="n">
        <v>1405</v>
      </c>
      <c r="B1406" s="3" t="n">
        <v>1404</v>
      </c>
      <c r="C1406" s="3" t="n">
        <v>1</v>
      </c>
      <c r="D1406" s="3" t="n">
        <v>22</v>
      </c>
      <c r="E1406" s="3" t="n">
        <v>4</v>
      </c>
      <c r="F1406" s="24" t="n">
        <v>0</v>
      </c>
    </row>
    <row r="1407" customFormat="false" ht="15" hidden="false" customHeight="false" outlineLevel="0" collapsed="false">
      <c r="A1407" s="3" t="n">
        <v>1406</v>
      </c>
      <c r="B1407" s="3" t="n">
        <v>1405</v>
      </c>
      <c r="C1407" s="3" t="n">
        <v>1</v>
      </c>
      <c r="D1407" s="3" t="n">
        <v>22</v>
      </c>
      <c r="E1407" s="3" t="n">
        <v>5</v>
      </c>
      <c r="F1407" s="24" t="n">
        <v>0</v>
      </c>
    </row>
    <row r="1408" customFormat="false" ht="15" hidden="false" customHeight="false" outlineLevel="0" collapsed="false">
      <c r="A1408" s="3" t="n">
        <v>1407</v>
      </c>
      <c r="B1408" s="3" t="n">
        <v>1406</v>
      </c>
      <c r="C1408" s="3" t="n">
        <v>1</v>
      </c>
      <c r="D1408" s="3" t="n">
        <v>22</v>
      </c>
      <c r="E1408" s="3" t="n">
        <v>6</v>
      </c>
      <c r="F1408" s="24" t="n">
        <v>0</v>
      </c>
    </row>
    <row r="1409" customFormat="false" ht="15" hidden="false" customHeight="false" outlineLevel="0" collapsed="false">
      <c r="A1409" s="3" t="n">
        <v>1408</v>
      </c>
      <c r="B1409" s="3" t="n">
        <v>1407</v>
      </c>
      <c r="C1409" s="3" t="n">
        <v>1</v>
      </c>
      <c r="D1409" s="3" t="n">
        <v>22</v>
      </c>
      <c r="E1409" s="3" t="n">
        <v>7</v>
      </c>
      <c r="F1409" s="24" t="n">
        <v>0</v>
      </c>
    </row>
    <row r="1410" customFormat="false" ht="15" hidden="false" customHeight="false" outlineLevel="0" collapsed="false">
      <c r="A1410" s="3" t="n">
        <v>1409</v>
      </c>
      <c r="B1410" s="3" t="n">
        <v>1408</v>
      </c>
      <c r="C1410" s="3" t="n">
        <v>1</v>
      </c>
      <c r="D1410" s="3" t="n">
        <v>22</v>
      </c>
      <c r="E1410" s="3" t="n">
        <v>8</v>
      </c>
      <c r="F1410" s="24" t="n">
        <v>0</v>
      </c>
    </row>
    <row r="1411" customFormat="false" ht="15" hidden="false" customHeight="false" outlineLevel="0" collapsed="false">
      <c r="A1411" s="3" t="n">
        <v>1410</v>
      </c>
      <c r="B1411" s="3" t="n">
        <v>1409</v>
      </c>
      <c r="C1411" s="3" t="n">
        <v>1</v>
      </c>
      <c r="D1411" s="3" t="n">
        <v>22</v>
      </c>
      <c r="E1411" s="3" t="n">
        <v>9</v>
      </c>
      <c r="F1411" s="24" t="n">
        <v>0</v>
      </c>
    </row>
    <row r="1412" customFormat="false" ht="15" hidden="false" customHeight="false" outlineLevel="0" collapsed="false">
      <c r="A1412" s="3" t="n">
        <v>1411</v>
      </c>
      <c r="B1412" s="3" t="n">
        <v>1410</v>
      </c>
      <c r="C1412" s="3" t="n">
        <v>1</v>
      </c>
      <c r="D1412" s="3" t="n">
        <v>22</v>
      </c>
      <c r="E1412" s="3" t="n">
        <v>10</v>
      </c>
      <c r="F1412" s="24" t="n">
        <v>0</v>
      </c>
    </row>
    <row r="1413" customFormat="false" ht="15" hidden="false" customHeight="false" outlineLevel="0" collapsed="false">
      <c r="A1413" s="3" t="n">
        <v>1412</v>
      </c>
      <c r="B1413" s="3" t="n">
        <v>1411</v>
      </c>
      <c r="C1413" s="3" t="n">
        <v>1</v>
      </c>
      <c r="D1413" s="3" t="n">
        <v>22</v>
      </c>
      <c r="E1413" s="3" t="n">
        <v>11</v>
      </c>
      <c r="F1413" s="24" t="n">
        <v>1.47288978</v>
      </c>
    </row>
    <row r="1414" customFormat="false" ht="15" hidden="false" customHeight="false" outlineLevel="0" collapsed="false">
      <c r="A1414" s="3" t="n">
        <v>1413</v>
      </c>
      <c r="B1414" s="3" t="n">
        <v>1412</v>
      </c>
      <c r="C1414" s="3" t="n">
        <v>1</v>
      </c>
      <c r="D1414" s="3" t="n">
        <v>22</v>
      </c>
      <c r="E1414" s="3" t="n">
        <v>12</v>
      </c>
      <c r="F1414" s="24" t="n">
        <v>3.29891729</v>
      </c>
    </row>
    <row r="1415" customFormat="false" ht="15" hidden="false" customHeight="false" outlineLevel="0" collapsed="false">
      <c r="A1415" s="3" t="n">
        <v>1414</v>
      </c>
      <c r="B1415" s="3" t="n">
        <v>1413</v>
      </c>
      <c r="C1415" s="3" t="n">
        <v>1</v>
      </c>
      <c r="D1415" s="3" t="n">
        <v>22</v>
      </c>
      <c r="E1415" s="3" t="n">
        <v>13</v>
      </c>
      <c r="F1415" s="24" t="n">
        <v>3.30477142</v>
      </c>
    </row>
    <row r="1416" customFormat="false" ht="15" hidden="false" customHeight="false" outlineLevel="0" collapsed="false">
      <c r="A1416" s="3" t="n">
        <v>1415</v>
      </c>
      <c r="B1416" s="3" t="n">
        <v>1414</v>
      </c>
      <c r="C1416" s="3" t="n">
        <v>1</v>
      </c>
      <c r="D1416" s="3" t="n">
        <v>22</v>
      </c>
      <c r="E1416" s="3" t="n">
        <v>14</v>
      </c>
      <c r="F1416" s="24" t="n">
        <v>0.125745416</v>
      </c>
    </row>
    <row r="1417" customFormat="false" ht="15" hidden="false" customHeight="false" outlineLevel="0" collapsed="false">
      <c r="A1417" s="3" t="n">
        <v>1416</v>
      </c>
      <c r="B1417" s="3" t="n">
        <v>1415</v>
      </c>
      <c r="C1417" s="3" t="n">
        <v>1</v>
      </c>
      <c r="D1417" s="3" t="n">
        <v>22</v>
      </c>
      <c r="E1417" s="3" t="n">
        <v>15</v>
      </c>
      <c r="F1417" s="24" t="n">
        <v>0</v>
      </c>
    </row>
    <row r="1418" customFormat="false" ht="15" hidden="false" customHeight="false" outlineLevel="0" collapsed="false">
      <c r="A1418" s="3" t="n">
        <v>1417</v>
      </c>
      <c r="B1418" s="3" t="n">
        <v>1416</v>
      </c>
      <c r="C1418" s="3" t="n">
        <v>1</v>
      </c>
      <c r="D1418" s="3" t="n">
        <v>22</v>
      </c>
      <c r="E1418" s="3" t="n">
        <v>16</v>
      </c>
      <c r="F1418" s="24" t="n">
        <v>0</v>
      </c>
    </row>
    <row r="1419" customFormat="false" ht="15" hidden="false" customHeight="false" outlineLevel="0" collapsed="false">
      <c r="A1419" s="3" t="n">
        <v>1418</v>
      </c>
      <c r="B1419" s="3" t="n">
        <v>1417</v>
      </c>
      <c r="C1419" s="3" t="n">
        <v>1</v>
      </c>
      <c r="D1419" s="3" t="n">
        <v>22</v>
      </c>
      <c r="E1419" s="3" t="n">
        <v>17</v>
      </c>
      <c r="F1419" s="24" t="n">
        <v>0</v>
      </c>
    </row>
    <row r="1420" customFormat="false" ht="15" hidden="false" customHeight="false" outlineLevel="0" collapsed="false">
      <c r="A1420" s="3" t="n">
        <v>1419</v>
      </c>
      <c r="B1420" s="3" t="n">
        <v>1418</v>
      </c>
      <c r="C1420" s="3" t="n">
        <v>1</v>
      </c>
      <c r="D1420" s="3" t="n">
        <v>22</v>
      </c>
      <c r="E1420" s="3" t="n">
        <v>18</v>
      </c>
      <c r="F1420" s="24" t="n">
        <v>0</v>
      </c>
    </row>
    <row r="1421" customFormat="false" ht="15" hidden="false" customHeight="false" outlineLevel="0" collapsed="false">
      <c r="A1421" s="3" t="n">
        <v>1420</v>
      </c>
      <c r="B1421" s="3" t="n">
        <v>1419</v>
      </c>
      <c r="C1421" s="3" t="n">
        <v>1</v>
      </c>
      <c r="D1421" s="3" t="n">
        <v>22</v>
      </c>
      <c r="E1421" s="3" t="n">
        <v>19</v>
      </c>
      <c r="F1421" s="24" t="n">
        <v>0</v>
      </c>
    </row>
    <row r="1422" customFormat="false" ht="15" hidden="false" customHeight="false" outlineLevel="0" collapsed="false">
      <c r="A1422" s="3" t="n">
        <v>1421</v>
      </c>
      <c r="B1422" s="3" t="n">
        <v>1420</v>
      </c>
      <c r="C1422" s="3" t="n">
        <v>1</v>
      </c>
      <c r="D1422" s="3" t="n">
        <v>22</v>
      </c>
      <c r="E1422" s="3" t="n">
        <v>20</v>
      </c>
      <c r="F1422" s="24" t="n">
        <v>0</v>
      </c>
    </row>
    <row r="1423" customFormat="false" ht="15" hidden="false" customHeight="false" outlineLevel="0" collapsed="false">
      <c r="A1423" s="3" t="n">
        <v>1422</v>
      </c>
      <c r="B1423" s="3" t="n">
        <v>1421</v>
      </c>
      <c r="C1423" s="3" t="n">
        <v>1</v>
      </c>
      <c r="D1423" s="3" t="n">
        <v>22</v>
      </c>
      <c r="E1423" s="3" t="n">
        <v>21</v>
      </c>
      <c r="F1423" s="24" t="n">
        <v>0</v>
      </c>
    </row>
    <row r="1424" customFormat="false" ht="15" hidden="false" customHeight="false" outlineLevel="0" collapsed="false">
      <c r="A1424" s="3" t="n">
        <v>1423</v>
      </c>
      <c r="B1424" s="3" t="n">
        <v>1422</v>
      </c>
      <c r="C1424" s="3" t="n">
        <v>1</v>
      </c>
      <c r="D1424" s="3" t="n">
        <v>22</v>
      </c>
      <c r="E1424" s="3" t="n">
        <v>22</v>
      </c>
      <c r="F1424" s="24" t="n">
        <v>0</v>
      </c>
    </row>
    <row r="1425" customFormat="false" ht="15" hidden="false" customHeight="false" outlineLevel="0" collapsed="false">
      <c r="A1425" s="3" t="n">
        <v>1424</v>
      </c>
      <c r="B1425" s="3" t="n">
        <v>1423</v>
      </c>
      <c r="C1425" s="3" t="n">
        <v>1</v>
      </c>
      <c r="D1425" s="3" t="n">
        <v>22</v>
      </c>
      <c r="E1425" s="3" t="n">
        <v>23</v>
      </c>
      <c r="F1425" s="24" t="n">
        <v>0</v>
      </c>
    </row>
    <row r="1426" customFormat="false" ht="15" hidden="false" customHeight="false" outlineLevel="0" collapsed="false">
      <c r="A1426" s="3" t="n">
        <v>1425</v>
      </c>
      <c r="B1426" s="3" t="n">
        <v>1424</v>
      </c>
      <c r="C1426" s="3" t="n">
        <v>1</v>
      </c>
      <c r="D1426" s="3" t="n">
        <v>22</v>
      </c>
      <c r="E1426" s="3" t="n">
        <v>24</v>
      </c>
      <c r="F1426" s="24" t="n">
        <v>0</v>
      </c>
    </row>
    <row r="1427" customFormat="false" ht="15" hidden="false" customHeight="false" outlineLevel="0" collapsed="false">
      <c r="A1427" s="3" t="n">
        <v>1426</v>
      </c>
      <c r="B1427" s="3" t="n">
        <v>1425</v>
      </c>
      <c r="C1427" s="3" t="n">
        <v>1</v>
      </c>
      <c r="D1427" s="3" t="n">
        <v>22</v>
      </c>
      <c r="E1427" s="3" t="n">
        <v>25</v>
      </c>
      <c r="F1427" s="24" t="n">
        <v>0</v>
      </c>
    </row>
    <row r="1428" customFormat="false" ht="15" hidden="false" customHeight="false" outlineLevel="0" collapsed="false">
      <c r="A1428" s="3" t="n">
        <v>1427</v>
      </c>
      <c r="B1428" s="3" t="n">
        <v>1426</v>
      </c>
      <c r="C1428" s="3" t="n">
        <v>1</v>
      </c>
      <c r="D1428" s="3" t="n">
        <v>22</v>
      </c>
      <c r="E1428" s="3" t="n">
        <v>26</v>
      </c>
      <c r="F1428" s="24" t="n">
        <v>0</v>
      </c>
    </row>
    <row r="1429" customFormat="false" ht="15" hidden="false" customHeight="false" outlineLevel="0" collapsed="false">
      <c r="A1429" s="3" t="n">
        <v>1428</v>
      </c>
      <c r="B1429" s="3" t="n">
        <v>1427</v>
      </c>
      <c r="C1429" s="3" t="n">
        <v>1</v>
      </c>
      <c r="D1429" s="3" t="n">
        <v>22</v>
      </c>
      <c r="E1429" s="3" t="n">
        <v>27</v>
      </c>
      <c r="F1429" s="24" t="n">
        <v>0</v>
      </c>
    </row>
    <row r="1430" customFormat="false" ht="15" hidden="false" customHeight="false" outlineLevel="0" collapsed="false">
      <c r="A1430" s="3" t="n">
        <v>1429</v>
      </c>
      <c r="B1430" s="3" t="n">
        <v>1428</v>
      </c>
      <c r="C1430" s="3" t="n">
        <v>1</v>
      </c>
      <c r="D1430" s="3" t="n">
        <v>23</v>
      </c>
      <c r="E1430" s="3" t="n">
        <v>0</v>
      </c>
      <c r="F1430" s="24" t="n">
        <v>0</v>
      </c>
    </row>
    <row r="1431" customFormat="false" ht="15" hidden="false" customHeight="false" outlineLevel="0" collapsed="false">
      <c r="A1431" s="3" t="n">
        <v>1430</v>
      </c>
      <c r="B1431" s="3" t="n">
        <v>1429</v>
      </c>
      <c r="C1431" s="3" t="n">
        <v>1</v>
      </c>
      <c r="D1431" s="3" t="n">
        <v>23</v>
      </c>
      <c r="E1431" s="3" t="n">
        <v>1</v>
      </c>
      <c r="F1431" s="24" t="n">
        <v>0</v>
      </c>
    </row>
    <row r="1432" customFormat="false" ht="15" hidden="false" customHeight="false" outlineLevel="0" collapsed="false">
      <c r="A1432" s="3" t="n">
        <v>1431</v>
      </c>
      <c r="B1432" s="3" t="n">
        <v>1430</v>
      </c>
      <c r="C1432" s="3" t="n">
        <v>1</v>
      </c>
      <c r="D1432" s="3" t="n">
        <v>23</v>
      </c>
      <c r="E1432" s="3" t="n">
        <v>2</v>
      </c>
      <c r="F1432" s="24" t="n">
        <v>0</v>
      </c>
    </row>
    <row r="1433" customFormat="false" ht="15" hidden="false" customHeight="false" outlineLevel="0" collapsed="false">
      <c r="A1433" s="3" t="n">
        <v>1432</v>
      </c>
      <c r="B1433" s="3" t="n">
        <v>1431</v>
      </c>
      <c r="C1433" s="3" t="n">
        <v>1</v>
      </c>
      <c r="D1433" s="3" t="n">
        <v>23</v>
      </c>
      <c r="E1433" s="3" t="n">
        <v>3</v>
      </c>
      <c r="F1433" s="24" t="n">
        <v>0</v>
      </c>
    </row>
    <row r="1434" customFormat="false" ht="15" hidden="false" customHeight="false" outlineLevel="0" collapsed="false">
      <c r="A1434" s="3" t="n">
        <v>1433</v>
      </c>
      <c r="B1434" s="3" t="n">
        <v>1432</v>
      </c>
      <c r="C1434" s="3" t="n">
        <v>1</v>
      </c>
      <c r="D1434" s="3" t="n">
        <v>23</v>
      </c>
      <c r="E1434" s="3" t="n">
        <v>4</v>
      </c>
      <c r="F1434" s="24" t="n">
        <v>0</v>
      </c>
    </row>
    <row r="1435" customFormat="false" ht="15" hidden="false" customHeight="false" outlineLevel="0" collapsed="false">
      <c r="A1435" s="3" t="n">
        <v>1434</v>
      </c>
      <c r="B1435" s="3" t="n">
        <v>1433</v>
      </c>
      <c r="C1435" s="3" t="n">
        <v>1</v>
      </c>
      <c r="D1435" s="3" t="n">
        <v>23</v>
      </c>
      <c r="E1435" s="3" t="n">
        <v>5</v>
      </c>
      <c r="F1435" s="24" t="n">
        <v>0</v>
      </c>
    </row>
    <row r="1436" customFormat="false" ht="15" hidden="false" customHeight="false" outlineLevel="0" collapsed="false">
      <c r="A1436" s="3" t="n">
        <v>1435</v>
      </c>
      <c r="B1436" s="3" t="n">
        <v>1434</v>
      </c>
      <c r="C1436" s="3" t="n">
        <v>1</v>
      </c>
      <c r="D1436" s="3" t="n">
        <v>23</v>
      </c>
      <c r="E1436" s="3" t="n">
        <v>6</v>
      </c>
      <c r="F1436" s="24" t="n">
        <v>0</v>
      </c>
    </row>
    <row r="1437" customFormat="false" ht="15" hidden="false" customHeight="false" outlineLevel="0" collapsed="false">
      <c r="A1437" s="3" t="n">
        <v>1436</v>
      </c>
      <c r="B1437" s="3" t="n">
        <v>1435</v>
      </c>
      <c r="C1437" s="3" t="n">
        <v>1</v>
      </c>
      <c r="D1437" s="3" t="n">
        <v>23</v>
      </c>
      <c r="E1437" s="3" t="n">
        <v>7</v>
      </c>
      <c r="F1437" s="24" t="n">
        <v>0</v>
      </c>
    </row>
    <row r="1438" customFormat="false" ht="15" hidden="false" customHeight="false" outlineLevel="0" collapsed="false">
      <c r="A1438" s="3" t="n">
        <v>1437</v>
      </c>
      <c r="B1438" s="3" t="n">
        <v>1436</v>
      </c>
      <c r="C1438" s="3" t="n">
        <v>1</v>
      </c>
      <c r="D1438" s="3" t="n">
        <v>23</v>
      </c>
      <c r="E1438" s="3" t="n">
        <v>8</v>
      </c>
      <c r="F1438" s="24" t="n">
        <v>0</v>
      </c>
    </row>
    <row r="1439" customFormat="false" ht="15" hidden="false" customHeight="false" outlineLevel="0" collapsed="false">
      <c r="A1439" s="3" t="n">
        <v>1438</v>
      </c>
      <c r="B1439" s="3" t="n">
        <v>1437</v>
      </c>
      <c r="C1439" s="3" t="n">
        <v>1</v>
      </c>
      <c r="D1439" s="3" t="n">
        <v>23</v>
      </c>
      <c r="E1439" s="3" t="n">
        <v>9</v>
      </c>
      <c r="F1439" s="24" t="n">
        <v>0</v>
      </c>
    </row>
    <row r="1440" customFormat="false" ht="15" hidden="false" customHeight="false" outlineLevel="0" collapsed="false">
      <c r="A1440" s="3" t="n">
        <v>1439</v>
      </c>
      <c r="B1440" s="3" t="n">
        <v>1438</v>
      </c>
      <c r="C1440" s="3" t="n">
        <v>1</v>
      </c>
      <c r="D1440" s="3" t="n">
        <v>23</v>
      </c>
      <c r="E1440" s="3" t="n">
        <v>10</v>
      </c>
      <c r="F1440" s="24" t="n">
        <v>0.591515779</v>
      </c>
    </row>
    <row r="1441" customFormat="false" ht="15" hidden="false" customHeight="false" outlineLevel="0" collapsed="false">
      <c r="A1441" s="3" t="n">
        <v>1440</v>
      </c>
      <c r="B1441" s="3" t="n">
        <v>1439</v>
      </c>
      <c r="C1441" s="3" t="n">
        <v>1</v>
      </c>
      <c r="D1441" s="3" t="n">
        <v>23</v>
      </c>
      <c r="E1441" s="3" t="n">
        <v>11</v>
      </c>
      <c r="F1441" s="24" t="n">
        <v>2.84406567</v>
      </c>
    </row>
    <row r="1442" customFormat="false" ht="15" hidden="false" customHeight="false" outlineLevel="0" collapsed="false">
      <c r="A1442" s="3" t="n">
        <v>1441</v>
      </c>
      <c r="B1442" s="3" t="n">
        <v>1440</v>
      </c>
      <c r="C1442" s="3" t="n">
        <v>1</v>
      </c>
      <c r="D1442" s="3" t="n">
        <v>23</v>
      </c>
      <c r="E1442" s="3" t="n">
        <v>12</v>
      </c>
      <c r="F1442" s="24" t="n">
        <v>3.90224409</v>
      </c>
    </row>
    <row r="1443" customFormat="false" ht="15" hidden="false" customHeight="false" outlineLevel="0" collapsed="false">
      <c r="A1443" s="3" t="n">
        <v>1442</v>
      </c>
      <c r="B1443" s="3" t="n">
        <v>1441</v>
      </c>
      <c r="C1443" s="3" t="n">
        <v>1</v>
      </c>
      <c r="D1443" s="3" t="n">
        <v>23</v>
      </c>
      <c r="E1443" s="3" t="n">
        <v>13</v>
      </c>
      <c r="F1443" s="24" t="n">
        <v>1.97321522</v>
      </c>
    </row>
    <row r="1444" customFormat="false" ht="15" hidden="false" customHeight="false" outlineLevel="0" collapsed="false">
      <c r="A1444" s="3" t="n">
        <v>1443</v>
      </c>
      <c r="B1444" s="3" t="n">
        <v>1442</v>
      </c>
      <c r="C1444" s="3" t="n">
        <v>1</v>
      </c>
      <c r="D1444" s="3" t="n">
        <v>23</v>
      </c>
      <c r="E1444" s="3" t="n">
        <v>14</v>
      </c>
      <c r="F1444" s="24" t="n">
        <v>0</v>
      </c>
    </row>
    <row r="1445" customFormat="false" ht="15" hidden="false" customHeight="false" outlineLevel="0" collapsed="false">
      <c r="A1445" s="3" t="n">
        <v>1444</v>
      </c>
      <c r="B1445" s="3" t="n">
        <v>1443</v>
      </c>
      <c r="C1445" s="3" t="n">
        <v>1</v>
      </c>
      <c r="D1445" s="3" t="n">
        <v>23</v>
      </c>
      <c r="E1445" s="3" t="n">
        <v>15</v>
      </c>
      <c r="F1445" s="24" t="n">
        <v>0</v>
      </c>
    </row>
    <row r="1446" customFormat="false" ht="15" hidden="false" customHeight="false" outlineLevel="0" collapsed="false">
      <c r="A1446" s="3" t="n">
        <v>1445</v>
      </c>
      <c r="B1446" s="3" t="n">
        <v>1444</v>
      </c>
      <c r="C1446" s="3" t="n">
        <v>1</v>
      </c>
      <c r="D1446" s="3" t="n">
        <v>23</v>
      </c>
      <c r="E1446" s="3" t="n">
        <v>16</v>
      </c>
      <c r="F1446" s="24" t="n">
        <v>0</v>
      </c>
    </row>
    <row r="1447" customFormat="false" ht="15" hidden="false" customHeight="false" outlineLevel="0" collapsed="false">
      <c r="A1447" s="3" t="n">
        <v>1446</v>
      </c>
      <c r="B1447" s="3" t="n">
        <v>1445</v>
      </c>
      <c r="C1447" s="3" t="n">
        <v>1</v>
      </c>
      <c r="D1447" s="3" t="n">
        <v>23</v>
      </c>
      <c r="E1447" s="3" t="n">
        <v>17</v>
      </c>
      <c r="F1447" s="24" t="n">
        <v>0</v>
      </c>
    </row>
    <row r="1448" customFormat="false" ht="15" hidden="false" customHeight="false" outlineLevel="0" collapsed="false">
      <c r="A1448" s="3" t="n">
        <v>1447</v>
      </c>
      <c r="B1448" s="3" t="n">
        <v>1446</v>
      </c>
      <c r="C1448" s="3" t="n">
        <v>1</v>
      </c>
      <c r="D1448" s="3" t="n">
        <v>23</v>
      </c>
      <c r="E1448" s="3" t="n">
        <v>18</v>
      </c>
      <c r="F1448" s="24" t="n">
        <v>0</v>
      </c>
    </row>
    <row r="1449" customFormat="false" ht="15" hidden="false" customHeight="false" outlineLevel="0" collapsed="false">
      <c r="A1449" s="3" t="n">
        <v>1448</v>
      </c>
      <c r="B1449" s="3" t="n">
        <v>1447</v>
      </c>
      <c r="C1449" s="3" t="n">
        <v>1</v>
      </c>
      <c r="D1449" s="3" t="n">
        <v>23</v>
      </c>
      <c r="E1449" s="3" t="n">
        <v>19</v>
      </c>
      <c r="F1449" s="24" t="n">
        <v>0</v>
      </c>
    </row>
    <row r="1450" customFormat="false" ht="15" hidden="false" customHeight="false" outlineLevel="0" collapsed="false">
      <c r="A1450" s="3" t="n">
        <v>1449</v>
      </c>
      <c r="B1450" s="3" t="n">
        <v>1448</v>
      </c>
      <c r="C1450" s="3" t="n">
        <v>1</v>
      </c>
      <c r="D1450" s="3" t="n">
        <v>23</v>
      </c>
      <c r="E1450" s="3" t="n">
        <v>20</v>
      </c>
      <c r="F1450" s="24" t="n">
        <v>0</v>
      </c>
    </row>
    <row r="1451" customFormat="false" ht="15" hidden="false" customHeight="false" outlineLevel="0" collapsed="false">
      <c r="A1451" s="3" t="n">
        <v>1450</v>
      </c>
      <c r="B1451" s="3" t="n">
        <v>1449</v>
      </c>
      <c r="C1451" s="3" t="n">
        <v>1</v>
      </c>
      <c r="D1451" s="3" t="n">
        <v>23</v>
      </c>
      <c r="E1451" s="3" t="n">
        <v>21</v>
      </c>
      <c r="F1451" s="24" t="n">
        <v>0</v>
      </c>
    </row>
    <row r="1452" customFormat="false" ht="15" hidden="false" customHeight="false" outlineLevel="0" collapsed="false">
      <c r="A1452" s="3" t="n">
        <v>1451</v>
      </c>
      <c r="B1452" s="3" t="n">
        <v>1450</v>
      </c>
      <c r="C1452" s="3" t="n">
        <v>1</v>
      </c>
      <c r="D1452" s="3" t="n">
        <v>23</v>
      </c>
      <c r="E1452" s="3" t="n">
        <v>22</v>
      </c>
      <c r="F1452" s="24" t="n">
        <v>0</v>
      </c>
    </row>
    <row r="1453" customFormat="false" ht="15" hidden="false" customHeight="false" outlineLevel="0" collapsed="false">
      <c r="A1453" s="3" t="n">
        <v>1452</v>
      </c>
      <c r="B1453" s="3" t="n">
        <v>1451</v>
      </c>
      <c r="C1453" s="3" t="n">
        <v>1</v>
      </c>
      <c r="D1453" s="3" t="n">
        <v>23</v>
      </c>
      <c r="E1453" s="3" t="n">
        <v>23</v>
      </c>
      <c r="F1453" s="24" t="n">
        <v>0</v>
      </c>
    </row>
    <row r="1454" customFormat="false" ht="15" hidden="false" customHeight="false" outlineLevel="0" collapsed="false">
      <c r="A1454" s="3" t="n">
        <v>1453</v>
      </c>
      <c r="B1454" s="3" t="n">
        <v>1452</v>
      </c>
      <c r="C1454" s="3" t="n">
        <v>1</v>
      </c>
      <c r="D1454" s="3" t="n">
        <v>23</v>
      </c>
      <c r="E1454" s="3" t="n">
        <v>24</v>
      </c>
      <c r="F1454" s="24" t="n">
        <v>0</v>
      </c>
    </row>
    <row r="1455" customFormat="false" ht="15" hidden="false" customHeight="false" outlineLevel="0" collapsed="false">
      <c r="A1455" s="3" t="n">
        <v>1454</v>
      </c>
      <c r="B1455" s="3" t="n">
        <v>1453</v>
      </c>
      <c r="C1455" s="3" t="n">
        <v>1</v>
      </c>
      <c r="D1455" s="3" t="n">
        <v>23</v>
      </c>
      <c r="E1455" s="3" t="n">
        <v>25</v>
      </c>
      <c r="F1455" s="24" t="n">
        <v>0</v>
      </c>
    </row>
    <row r="1456" customFormat="false" ht="15" hidden="false" customHeight="false" outlineLevel="0" collapsed="false">
      <c r="A1456" s="3" t="n">
        <v>1455</v>
      </c>
      <c r="B1456" s="3" t="n">
        <v>1454</v>
      </c>
      <c r="C1456" s="3" t="n">
        <v>1</v>
      </c>
      <c r="D1456" s="3" t="n">
        <v>23</v>
      </c>
      <c r="E1456" s="3" t="n">
        <v>26</v>
      </c>
      <c r="F1456" s="24" t="n">
        <v>0</v>
      </c>
    </row>
    <row r="1457" customFormat="false" ht="15" hidden="false" customHeight="false" outlineLevel="0" collapsed="false">
      <c r="A1457" s="3" t="n">
        <v>1456</v>
      </c>
      <c r="B1457" s="3" t="n">
        <v>1455</v>
      </c>
      <c r="C1457" s="3" t="n">
        <v>1</v>
      </c>
      <c r="D1457" s="3" t="n">
        <v>23</v>
      </c>
      <c r="E1457" s="3" t="n">
        <v>27</v>
      </c>
      <c r="F1457" s="24" t="n">
        <v>0</v>
      </c>
    </row>
    <row r="1458" customFormat="false" ht="15" hidden="false" customHeight="false" outlineLevel="0" collapsed="false">
      <c r="A1458" s="3" t="n">
        <v>1457</v>
      </c>
      <c r="B1458" s="3" t="n">
        <v>1456</v>
      </c>
      <c r="C1458" s="3" t="n">
        <v>1</v>
      </c>
      <c r="D1458" s="3" t="n">
        <v>24</v>
      </c>
      <c r="E1458" s="3" t="n">
        <v>0</v>
      </c>
      <c r="F1458" s="24" t="n">
        <v>0</v>
      </c>
    </row>
    <row r="1459" customFormat="false" ht="15" hidden="false" customHeight="false" outlineLevel="0" collapsed="false">
      <c r="A1459" s="3" t="n">
        <v>1458</v>
      </c>
      <c r="B1459" s="3" t="n">
        <v>1457</v>
      </c>
      <c r="C1459" s="3" t="n">
        <v>1</v>
      </c>
      <c r="D1459" s="3" t="n">
        <v>24</v>
      </c>
      <c r="E1459" s="3" t="n">
        <v>1</v>
      </c>
      <c r="F1459" s="24" t="n">
        <v>0</v>
      </c>
    </row>
    <row r="1460" customFormat="false" ht="15" hidden="false" customHeight="false" outlineLevel="0" collapsed="false">
      <c r="A1460" s="3" t="n">
        <v>1459</v>
      </c>
      <c r="B1460" s="3" t="n">
        <v>1458</v>
      </c>
      <c r="C1460" s="3" t="n">
        <v>1</v>
      </c>
      <c r="D1460" s="3" t="n">
        <v>24</v>
      </c>
      <c r="E1460" s="3" t="n">
        <v>2</v>
      </c>
      <c r="F1460" s="24" t="n">
        <v>0</v>
      </c>
    </row>
    <row r="1461" customFormat="false" ht="15" hidden="false" customHeight="false" outlineLevel="0" collapsed="false">
      <c r="A1461" s="3" t="n">
        <v>1460</v>
      </c>
      <c r="B1461" s="3" t="n">
        <v>1459</v>
      </c>
      <c r="C1461" s="3" t="n">
        <v>1</v>
      </c>
      <c r="D1461" s="3" t="n">
        <v>24</v>
      </c>
      <c r="E1461" s="3" t="n">
        <v>3</v>
      </c>
      <c r="F1461" s="24" t="n">
        <v>0</v>
      </c>
    </row>
    <row r="1462" customFormat="false" ht="15" hidden="false" customHeight="false" outlineLevel="0" collapsed="false">
      <c r="A1462" s="3" t="n">
        <v>1461</v>
      </c>
      <c r="B1462" s="3" t="n">
        <v>1460</v>
      </c>
      <c r="C1462" s="3" t="n">
        <v>1</v>
      </c>
      <c r="D1462" s="3" t="n">
        <v>24</v>
      </c>
      <c r="E1462" s="3" t="n">
        <v>4</v>
      </c>
      <c r="F1462" s="24" t="n">
        <v>0</v>
      </c>
    </row>
    <row r="1463" customFormat="false" ht="15" hidden="false" customHeight="false" outlineLevel="0" collapsed="false">
      <c r="A1463" s="3" t="n">
        <v>1462</v>
      </c>
      <c r="B1463" s="3" t="n">
        <v>1461</v>
      </c>
      <c r="C1463" s="3" t="n">
        <v>1</v>
      </c>
      <c r="D1463" s="3" t="n">
        <v>24</v>
      </c>
      <c r="E1463" s="3" t="n">
        <v>5</v>
      </c>
      <c r="F1463" s="24" t="n">
        <v>0</v>
      </c>
    </row>
    <row r="1464" customFormat="false" ht="15" hidden="false" customHeight="false" outlineLevel="0" collapsed="false">
      <c r="A1464" s="3" t="n">
        <v>1463</v>
      </c>
      <c r="B1464" s="3" t="n">
        <v>1462</v>
      </c>
      <c r="C1464" s="3" t="n">
        <v>1</v>
      </c>
      <c r="D1464" s="3" t="n">
        <v>24</v>
      </c>
      <c r="E1464" s="3" t="n">
        <v>6</v>
      </c>
      <c r="F1464" s="24" t="n">
        <v>0</v>
      </c>
    </row>
    <row r="1465" customFormat="false" ht="15" hidden="false" customHeight="false" outlineLevel="0" collapsed="false">
      <c r="A1465" s="3" t="n">
        <v>1464</v>
      </c>
      <c r="B1465" s="3" t="n">
        <v>1463</v>
      </c>
      <c r="C1465" s="3" t="n">
        <v>1</v>
      </c>
      <c r="D1465" s="3" t="n">
        <v>24</v>
      </c>
      <c r="E1465" s="3" t="n">
        <v>7</v>
      </c>
      <c r="F1465" s="24" t="n">
        <v>0</v>
      </c>
    </row>
    <row r="1466" customFormat="false" ht="15" hidden="false" customHeight="false" outlineLevel="0" collapsed="false">
      <c r="A1466" s="3" t="n">
        <v>1465</v>
      </c>
      <c r="B1466" s="3" t="n">
        <v>1464</v>
      </c>
      <c r="C1466" s="3" t="n">
        <v>1</v>
      </c>
      <c r="D1466" s="3" t="n">
        <v>24</v>
      </c>
      <c r="E1466" s="3" t="n">
        <v>8</v>
      </c>
      <c r="F1466" s="24" t="n">
        <v>0</v>
      </c>
    </row>
    <row r="1467" customFormat="false" ht="15" hidden="false" customHeight="false" outlineLevel="0" collapsed="false">
      <c r="A1467" s="3" t="n">
        <v>1466</v>
      </c>
      <c r="B1467" s="3" t="n">
        <v>1465</v>
      </c>
      <c r="C1467" s="3" t="n">
        <v>1</v>
      </c>
      <c r="D1467" s="3" t="n">
        <v>24</v>
      </c>
      <c r="E1467" s="3" t="n">
        <v>9</v>
      </c>
      <c r="F1467" s="24" t="n">
        <v>0</v>
      </c>
    </row>
    <row r="1468" customFormat="false" ht="15" hidden="false" customHeight="false" outlineLevel="0" collapsed="false">
      <c r="A1468" s="3" t="n">
        <v>1467</v>
      </c>
      <c r="B1468" s="3" t="n">
        <v>1466</v>
      </c>
      <c r="C1468" s="3" t="n">
        <v>1</v>
      </c>
      <c r="D1468" s="3" t="n">
        <v>24</v>
      </c>
      <c r="E1468" s="3" t="n">
        <v>10</v>
      </c>
      <c r="F1468" s="24" t="n">
        <v>1.81727874</v>
      </c>
    </row>
    <row r="1469" customFormat="false" ht="15" hidden="false" customHeight="false" outlineLevel="0" collapsed="false">
      <c r="A1469" s="3" t="n">
        <v>1468</v>
      </c>
      <c r="B1469" s="3" t="n">
        <v>1467</v>
      </c>
      <c r="C1469" s="3" t="n">
        <v>1</v>
      </c>
      <c r="D1469" s="3" t="n">
        <v>24</v>
      </c>
      <c r="E1469" s="3" t="n">
        <v>11</v>
      </c>
      <c r="F1469" s="24" t="n">
        <v>3.68187237</v>
      </c>
    </row>
    <row r="1470" customFormat="false" ht="15" hidden="false" customHeight="false" outlineLevel="0" collapsed="false">
      <c r="A1470" s="3" t="n">
        <v>1469</v>
      </c>
      <c r="B1470" s="3" t="n">
        <v>1468</v>
      </c>
      <c r="C1470" s="3" t="n">
        <v>1</v>
      </c>
      <c r="D1470" s="3" t="n">
        <v>24</v>
      </c>
      <c r="E1470" s="3" t="n">
        <v>12</v>
      </c>
      <c r="F1470" s="24" t="n">
        <v>3.82175064</v>
      </c>
    </row>
    <row r="1471" customFormat="false" ht="15" hidden="false" customHeight="false" outlineLevel="0" collapsed="false">
      <c r="A1471" s="3" t="n">
        <v>1470</v>
      </c>
      <c r="B1471" s="3" t="n">
        <v>1469</v>
      </c>
      <c r="C1471" s="3" t="n">
        <v>1</v>
      </c>
      <c r="D1471" s="3" t="n">
        <v>24</v>
      </c>
      <c r="E1471" s="3" t="n">
        <v>13</v>
      </c>
      <c r="F1471" s="24" t="n">
        <v>1.53473401</v>
      </c>
    </row>
    <row r="1472" customFormat="false" ht="15" hidden="false" customHeight="false" outlineLevel="0" collapsed="false">
      <c r="A1472" s="3" t="n">
        <v>1471</v>
      </c>
      <c r="B1472" s="3" t="n">
        <v>1470</v>
      </c>
      <c r="C1472" s="3" t="n">
        <v>1</v>
      </c>
      <c r="D1472" s="3" t="n">
        <v>24</v>
      </c>
      <c r="E1472" s="3" t="n">
        <v>14</v>
      </c>
      <c r="F1472" s="24" t="n">
        <v>0</v>
      </c>
    </row>
    <row r="1473" customFormat="false" ht="15" hidden="false" customHeight="false" outlineLevel="0" collapsed="false">
      <c r="A1473" s="3" t="n">
        <v>1472</v>
      </c>
      <c r="B1473" s="3" t="n">
        <v>1471</v>
      </c>
      <c r="C1473" s="3" t="n">
        <v>1</v>
      </c>
      <c r="D1473" s="3" t="n">
        <v>24</v>
      </c>
      <c r="E1473" s="3" t="n">
        <v>15</v>
      </c>
      <c r="F1473" s="24" t="n">
        <v>0</v>
      </c>
    </row>
    <row r="1474" customFormat="false" ht="15" hidden="false" customHeight="false" outlineLevel="0" collapsed="false">
      <c r="A1474" s="3" t="n">
        <v>1473</v>
      </c>
      <c r="B1474" s="3" t="n">
        <v>1472</v>
      </c>
      <c r="C1474" s="3" t="n">
        <v>1</v>
      </c>
      <c r="D1474" s="3" t="n">
        <v>24</v>
      </c>
      <c r="E1474" s="3" t="n">
        <v>16</v>
      </c>
      <c r="F1474" s="24" t="n">
        <v>0</v>
      </c>
    </row>
    <row r="1475" customFormat="false" ht="15" hidden="false" customHeight="false" outlineLevel="0" collapsed="false">
      <c r="A1475" s="3" t="n">
        <v>1474</v>
      </c>
      <c r="B1475" s="3" t="n">
        <v>1473</v>
      </c>
      <c r="C1475" s="3" t="n">
        <v>1</v>
      </c>
      <c r="D1475" s="3" t="n">
        <v>24</v>
      </c>
      <c r="E1475" s="3" t="n">
        <v>17</v>
      </c>
      <c r="F1475" s="24" t="n">
        <v>0</v>
      </c>
    </row>
    <row r="1476" customFormat="false" ht="15" hidden="false" customHeight="false" outlineLevel="0" collapsed="false">
      <c r="A1476" s="3" t="n">
        <v>1475</v>
      </c>
      <c r="B1476" s="3" t="n">
        <v>1474</v>
      </c>
      <c r="C1476" s="3" t="n">
        <v>1</v>
      </c>
      <c r="D1476" s="3" t="n">
        <v>24</v>
      </c>
      <c r="E1476" s="3" t="n">
        <v>18</v>
      </c>
      <c r="F1476" s="24" t="n">
        <v>0</v>
      </c>
    </row>
    <row r="1477" customFormat="false" ht="15" hidden="false" customHeight="false" outlineLevel="0" collapsed="false">
      <c r="A1477" s="3" t="n">
        <v>1476</v>
      </c>
      <c r="B1477" s="3" t="n">
        <v>1475</v>
      </c>
      <c r="C1477" s="3" t="n">
        <v>1</v>
      </c>
      <c r="D1477" s="3" t="n">
        <v>24</v>
      </c>
      <c r="E1477" s="3" t="n">
        <v>19</v>
      </c>
      <c r="F1477" s="24" t="n">
        <v>0</v>
      </c>
    </row>
    <row r="1478" customFormat="false" ht="15" hidden="false" customHeight="false" outlineLevel="0" collapsed="false">
      <c r="A1478" s="3" t="n">
        <v>1477</v>
      </c>
      <c r="B1478" s="3" t="n">
        <v>1476</v>
      </c>
      <c r="C1478" s="3" t="n">
        <v>1</v>
      </c>
      <c r="D1478" s="3" t="n">
        <v>24</v>
      </c>
      <c r="E1478" s="3" t="n">
        <v>20</v>
      </c>
      <c r="F1478" s="24" t="n">
        <v>0</v>
      </c>
    </row>
    <row r="1479" customFormat="false" ht="15" hidden="false" customHeight="false" outlineLevel="0" collapsed="false">
      <c r="A1479" s="3" t="n">
        <v>1478</v>
      </c>
      <c r="B1479" s="3" t="n">
        <v>1477</v>
      </c>
      <c r="C1479" s="3" t="n">
        <v>1</v>
      </c>
      <c r="D1479" s="3" t="n">
        <v>24</v>
      </c>
      <c r="E1479" s="3" t="n">
        <v>21</v>
      </c>
      <c r="F1479" s="24" t="n">
        <v>0</v>
      </c>
    </row>
    <row r="1480" customFormat="false" ht="15" hidden="false" customHeight="false" outlineLevel="0" collapsed="false">
      <c r="A1480" s="3" t="n">
        <v>1479</v>
      </c>
      <c r="B1480" s="3" t="n">
        <v>1478</v>
      </c>
      <c r="C1480" s="3" t="n">
        <v>1</v>
      </c>
      <c r="D1480" s="3" t="n">
        <v>24</v>
      </c>
      <c r="E1480" s="3" t="n">
        <v>22</v>
      </c>
      <c r="F1480" s="24" t="n">
        <v>0</v>
      </c>
    </row>
    <row r="1481" customFormat="false" ht="15" hidden="false" customHeight="false" outlineLevel="0" collapsed="false">
      <c r="A1481" s="3" t="n">
        <v>1480</v>
      </c>
      <c r="B1481" s="3" t="n">
        <v>1479</v>
      </c>
      <c r="C1481" s="3" t="n">
        <v>1</v>
      </c>
      <c r="D1481" s="3" t="n">
        <v>24</v>
      </c>
      <c r="E1481" s="3" t="n">
        <v>23</v>
      </c>
      <c r="F1481" s="24" t="n">
        <v>0</v>
      </c>
    </row>
    <row r="1482" customFormat="false" ht="15" hidden="false" customHeight="false" outlineLevel="0" collapsed="false">
      <c r="A1482" s="3" t="n">
        <v>1481</v>
      </c>
      <c r="B1482" s="3" t="n">
        <v>1480</v>
      </c>
      <c r="C1482" s="3" t="n">
        <v>1</v>
      </c>
      <c r="D1482" s="3" t="n">
        <v>24</v>
      </c>
      <c r="E1482" s="3" t="n">
        <v>24</v>
      </c>
      <c r="F1482" s="24" t="n">
        <v>0</v>
      </c>
    </row>
    <row r="1483" customFormat="false" ht="15" hidden="false" customHeight="false" outlineLevel="0" collapsed="false">
      <c r="A1483" s="3" t="n">
        <v>1482</v>
      </c>
      <c r="B1483" s="3" t="n">
        <v>1481</v>
      </c>
      <c r="C1483" s="3" t="n">
        <v>1</v>
      </c>
      <c r="D1483" s="3" t="n">
        <v>24</v>
      </c>
      <c r="E1483" s="3" t="n">
        <v>25</v>
      </c>
      <c r="F1483" s="24" t="n">
        <v>0</v>
      </c>
    </row>
    <row r="1484" customFormat="false" ht="15" hidden="false" customHeight="false" outlineLevel="0" collapsed="false">
      <c r="A1484" s="3" t="n">
        <v>1483</v>
      </c>
      <c r="B1484" s="3" t="n">
        <v>1482</v>
      </c>
      <c r="C1484" s="3" t="n">
        <v>1</v>
      </c>
      <c r="D1484" s="3" t="n">
        <v>24</v>
      </c>
      <c r="E1484" s="3" t="n">
        <v>26</v>
      </c>
      <c r="F1484" s="24" t="n">
        <v>0</v>
      </c>
    </row>
    <row r="1485" customFormat="false" ht="15" hidden="false" customHeight="false" outlineLevel="0" collapsed="false">
      <c r="A1485" s="3" t="n">
        <v>1484</v>
      </c>
      <c r="B1485" s="3" t="n">
        <v>1483</v>
      </c>
      <c r="C1485" s="3" t="n">
        <v>1</v>
      </c>
      <c r="D1485" s="3" t="n">
        <v>24</v>
      </c>
      <c r="E1485" s="3" t="n">
        <v>27</v>
      </c>
      <c r="F1485" s="24" t="n">
        <v>0</v>
      </c>
    </row>
    <row r="1486" customFormat="false" ht="15" hidden="false" customHeight="false" outlineLevel="0" collapsed="false">
      <c r="A1486" s="3" t="n">
        <v>1485</v>
      </c>
      <c r="B1486" s="3" t="n">
        <v>1484</v>
      </c>
      <c r="C1486" s="3" t="n">
        <v>1</v>
      </c>
      <c r="D1486" s="3" t="n">
        <v>25</v>
      </c>
      <c r="E1486" s="3" t="n">
        <v>0</v>
      </c>
      <c r="F1486" s="24" t="n">
        <v>0</v>
      </c>
    </row>
    <row r="1487" customFormat="false" ht="15" hidden="false" customHeight="false" outlineLevel="0" collapsed="false">
      <c r="A1487" s="3" t="n">
        <v>1486</v>
      </c>
      <c r="B1487" s="3" t="n">
        <v>1485</v>
      </c>
      <c r="C1487" s="3" t="n">
        <v>1</v>
      </c>
      <c r="D1487" s="3" t="n">
        <v>25</v>
      </c>
      <c r="E1487" s="3" t="n">
        <v>1</v>
      </c>
      <c r="F1487" s="24" t="n">
        <v>0</v>
      </c>
    </row>
    <row r="1488" customFormat="false" ht="15" hidden="false" customHeight="false" outlineLevel="0" collapsed="false">
      <c r="A1488" s="3" t="n">
        <v>1487</v>
      </c>
      <c r="B1488" s="3" t="n">
        <v>1486</v>
      </c>
      <c r="C1488" s="3" t="n">
        <v>1</v>
      </c>
      <c r="D1488" s="3" t="n">
        <v>25</v>
      </c>
      <c r="E1488" s="3" t="n">
        <v>2</v>
      </c>
      <c r="F1488" s="24" t="n">
        <v>0</v>
      </c>
    </row>
    <row r="1489" customFormat="false" ht="15" hidden="false" customHeight="false" outlineLevel="0" collapsed="false">
      <c r="A1489" s="3" t="n">
        <v>1488</v>
      </c>
      <c r="B1489" s="3" t="n">
        <v>1487</v>
      </c>
      <c r="C1489" s="3" t="n">
        <v>1</v>
      </c>
      <c r="D1489" s="3" t="n">
        <v>25</v>
      </c>
      <c r="E1489" s="3" t="n">
        <v>3</v>
      </c>
      <c r="F1489" s="24" t="n">
        <v>0</v>
      </c>
    </row>
    <row r="1490" customFormat="false" ht="15" hidden="false" customHeight="false" outlineLevel="0" collapsed="false">
      <c r="A1490" s="3" t="n">
        <v>1489</v>
      </c>
      <c r="B1490" s="3" t="n">
        <v>1488</v>
      </c>
      <c r="C1490" s="3" t="n">
        <v>1</v>
      </c>
      <c r="D1490" s="3" t="n">
        <v>25</v>
      </c>
      <c r="E1490" s="3" t="n">
        <v>4</v>
      </c>
      <c r="F1490" s="24" t="n">
        <v>0</v>
      </c>
    </row>
    <row r="1491" customFormat="false" ht="15" hidden="false" customHeight="false" outlineLevel="0" collapsed="false">
      <c r="A1491" s="3" t="n">
        <v>1490</v>
      </c>
      <c r="B1491" s="3" t="n">
        <v>1489</v>
      </c>
      <c r="C1491" s="3" t="n">
        <v>1</v>
      </c>
      <c r="D1491" s="3" t="n">
        <v>25</v>
      </c>
      <c r="E1491" s="3" t="n">
        <v>5</v>
      </c>
      <c r="F1491" s="24" t="n">
        <v>0</v>
      </c>
    </row>
    <row r="1492" customFormat="false" ht="15" hidden="false" customHeight="false" outlineLevel="0" collapsed="false">
      <c r="A1492" s="3" t="n">
        <v>1491</v>
      </c>
      <c r="B1492" s="3" t="n">
        <v>1490</v>
      </c>
      <c r="C1492" s="3" t="n">
        <v>1</v>
      </c>
      <c r="D1492" s="3" t="n">
        <v>25</v>
      </c>
      <c r="E1492" s="3" t="n">
        <v>6</v>
      </c>
      <c r="F1492" s="24" t="n">
        <v>0</v>
      </c>
    </row>
    <row r="1493" customFormat="false" ht="15" hidden="false" customHeight="false" outlineLevel="0" collapsed="false">
      <c r="A1493" s="3" t="n">
        <v>1492</v>
      </c>
      <c r="B1493" s="3" t="n">
        <v>1491</v>
      </c>
      <c r="C1493" s="3" t="n">
        <v>1</v>
      </c>
      <c r="D1493" s="3" t="n">
        <v>25</v>
      </c>
      <c r="E1493" s="3" t="n">
        <v>7</v>
      </c>
      <c r="F1493" s="24" t="n">
        <v>0</v>
      </c>
    </row>
    <row r="1494" customFormat="false" ht="15" hidden="false" customHeight="false" outlineLevel="0" collapsed="false">
      <c r="A1494" s="3" t="n">
        <v>1493</v>
      </c>
      <c r="B1494" s="3" t="n">
        <v>1492</v>
      </c>
      <c r="C1494" s="3" t="n">
        <v>1</v>
      </c>
      <c r="D1494" s="3" t="n">
        <v>25</v>
      </c>
      <c r="E1494" s="3" t="n">
        <v>8</v>
      </c>
      <c r="F1494" s="24" t="n">
        <v>0</v>
      </c>
    </row>
    <row r="1495" customFormat="false" ht="15" hidden="false" customHeight="false" outlineLevel="0" collapsed="false">
      <c r="A1495" s="3" t="n">
        <v>1494</v>
      </c>
      <c r="B1495" s="3" t="n">
        <v>1493</v>
      </c>
      <c r="C1495" s="3" t="n">
        <v>1</v>
      </c>
      <c r="D1495" s="3" t="n">
        <v>25</v>
      </c>
      <c r="E1495" s="3" t="n">
        <v>9</v>
      </c>
      <c r="F1495" s="24" t="n">
        <v>0.189854205</v>
      </c>
    </row>
    <row r="1496" customFormat="false" ht="15" hidden="false" customHeight="false" outlineLevel="0" collapsed="false">
      <c r="A1496" s="3" t="n">
        <v>1495</v>
      </c>
      <c r="B1496" s="3" t="n">
        <v>1494</v>
      </c>
      <c r="C1496" s="3" t="n">
        <v>1</v>
      </c>
      <c r="D1496" s="3" t="n">
        <v>25</v>
      </c>
      <c r="E1496" s="3" t="n">
        <v>10</v>
      </c>
      <c r="F1496" s="24" t="n">
        <v>2.45142078</v>
      </c>
    </row>
    <row r="1497" customFormat="false" ht="15" hidden="false" customHeight="false" outlineLevel="0" collapsed="false">
      <c r="A1497" s="3" t="n">
        <v>1496</v>
      </c>
      <c r="B1497" s="3" t="n">
        <v>1495</v>
      </c>
      <c r="C1497" s="3" t="n">
        <v>1</v>
      </c>
      <c r="D1497" s="3" t="n">
        <v>25</v>
      </c>
      <c r="E1497" s="3" t="n">
        <v>11</v>
      </c>
      <c r="F1497" s="24" t="n">
        <v>3.8386445</v>
      </c>
    </row>
    <row r="1498" customFormat="false" ht="15" hidden="false" customHeight="false" outlineLevel="0" collapsed="false">
      <c r="A1498" s="3" t="n">
        <v>1497</v>
      </c>
      <c r="B1498" s="3" t="n">
        <v>1496</v>
      </c>
      <c r="C1498" s="3" t="n">
        <v>1</v>
      </c>
      <c r="D1498" s="3" t="n">
        <v>25</v>
      </c>
      <c r="E1498" s="3" t="n">
        <v>12</v>
      </c>
      <c r="F1498" s="24" t="n">
        <v>2.76812315</v>
      </c>
    </row>
    <row r="1499" customFormat="false" ht="15" hidden="false" customHeight="false" outlineLevel="0" collapsed="false">
      <c r="A1499" s="3" t="n">
        <v>1498</v>
      </c>
      <c r="B1499" s="3" t="n">
        <v>1497</v>
      </c>
      <c r="C1499" s="3" t="n">
        <v>1</v>
      </c>
      <c r="D1499" s="3" t="n">
        <v>25</v>
      </c>
      <c r="E1499" s="3" t="n">
        <v>13</v>
      </c>
      <c r="F1499" s="24" t="n">
        <v>0.492279112</v>
      </c>
    </row>
    <row r="1500" customFormat="false" ht="15" hidden="false" customHeight="false" outlineLevel="0" collapsed="false">
      <c r="A1500" s="3" t="n">
        <v>1499</v>
      </c>
      <c r="B1500" s="3" t="n">
        <v>1498</v>
      </c>
      <c r="C1500" s="3" t="n">
        <v>1</v>
      </c>
      <c r="D1500" s="3" t="n">
        <v>25</v>
      </c>
      <c r="E1500" s="3" t="n">
        <v>14</v>
      </c>
      <c r="F1500" s="24" t="n">
        <v>0</v>
      </c>
    </row>
    <row r="1501" customFormat="false" ht="15" hidden="false" customHeight="false" outlineLevel="0" collapsed="false">
      <c r="A1501" s="3" t="n">
        <v>1500</v>
      </c>
      <c r="B1501" s="3" t="n">
        <v>1499</v>
      </c>
      <c r="C1501" s="3" t="n">
        <v>1</v>
      </c>
      <c r="D1501" s="3" t="n">
        <v>25</v>
      </c>
      <c r="E1501" s="3" t="n">
        <v>15</v>
      </c>
      <c r="F1501" s="24" t="n">
        <v>0</v>
      </c>
    </row>
    <row r="1502" customFormat="false" ht="15" hidden="false" customHeight="false" outlineLevel="0" collapsed="false">
      <c r="A1502" s="3" t="n">
        <v>1501</v>
      </c>
      <c r="B1502" s="3" t="n">
        <v>1500</v>
      </c>
      <c r="C1502" s="3" t="n">
        <v>1</v>
      </c>
      <c r="D1502" s="3" t="n">
        <v>25</v>
      </c>
      <c r="E1502" s="3" t="n">
        <v>16</v>
      </c>
      <c r="F1502" s="24" t="n">
        <v>0</v>
      </c>
    </row>
    <row r="1503" customFormat="false" ht="15" hidden="false" customHeight="false" outlineLevel="0" collapsed="false">
      <c r="A1503" s="3" t="n">
        <v>1502</v>
      </c>
      <c r="B1503" s="3" t="n">
        <v>1501</v>
      </c>
      <c r="C1503" s="3" t="n">
        <v>1</v>
      </c>
      <c r="D1503" s="3" t="n">
        <v>25</v>
      </c>
      <c r="E1503" s="3" t="n">
        <v>17</v>
      </c>
      <c r="F1503" s="24" t="n">
        <v>0</v>
      </c>
    </row>
    <row r="1504" customFormat="false" ht="15" hidden="false" customHeight="false" outlineLevel="0" collapsed="false">
      <c r="A1504" s="3" t="n">
        <v>1503</v>
      </c>
      <c r="B1504" s="3" t="n">
        <v>1502</v>
      </c>
      <c r="C1504" s="3" t="n">
        <v>1</v>
      </c>
      <c r="D1504" s="3" t="n">
        <v>25</v>
      </c>
      <c r="E1504" s="3" t="n">
        <v>18</v>
      </c>
      <c r="F1504" s="24" t="n">
        <v>0</v>
      </c>
    </row>
    <row r="1505" customFormat="false" ht="15" hidden="false" customHeight="false" outlineLevel="0" collapsed="false">
      <c r="A1505" s="3" t="n">
        <v>1504</v>
      </c>
      <c r="B1505" s="3" t="n">
        <v>1503</v>
      </c>
      <c r="C1505" s="3" t="n">
        <v>1</v>
      </c>
      <c r="D1505" s="3" t="n">
        <v>25</v>
      </c>
      <c r="E1505" s="3" t="n">
        <v>19</v>
      </c>
      <c r="F1505" s="24" t="n">
        <v>0</v>
      </c>
    </row>
    <row r="1506" customFormat="false" ht="15" hidden="false" customHeight="false" outlineLevel="0" collapsed="false">
      <c r="A1506" s="3" t="n">
        <v>1505</v>
      </c>
      <c r="B1506" s="3" t="n">
        <v>1504</v>
      </c>
      <c r="C1506" s="3" t="n">
        <v>1</v>
      </c>
      <c r="D1506" s="3" t="n">
        <v>25</v>
      </c>
      <c r="E1506" s="3" t="n">
        <v>20</v>
      </c>
      <c r="F1506" s="24" t="n">
        <v>0</v>
      </c>
    </row>
    <row r="1507" customFormat="false" ht="15" hidden="false" customHeight="false" outlineLevel="0" collapsed="false">
      <c r="A1507" s="3" t="n">
        <v>1506</v>
      </c>
      <c r="B1507" s="3" t="n">
        <v>1505</v>
      </c>
      <c r="C1507" s="3" t="n">
        <v>1</v>
      </c>
      <c r="D1507" s="3" t="n">
        <v>25</v>
      </c>
      <c r="E1507" s="3" t="n">
        <v>21</v>
      </c>
      <c r="F1507" s="24" t="n">
        <v>0</v>
      </c>
    </row>
    <row r="1508" customFormat="false" ht="15" hidden="false" customHeight="false" outlineLevel="0" collapsed="false">
      <c r="A1508" s="3" t="n">
        <v>1507</v>
      </c>
      <c r="B1508" s="3" t="n">
        <v>1506</v>
      </c>
      <c r="C1508" s="3" t="n">
        <v>1</v>
      </c>
      <c r="D1508" s="3" t="n">
        <v>25</v>
      </c>
      <c r="E1508" s="3" t="n">
        <v>22</v>
      </c>
      <c r="F1508" s="24" t="n">
        <v>0</v>
      </c>
    </row>
    <row r="1509" customFormat="false" ht="15" hidden="false" customHeight="false" outlineLevel="0" collapsed="false">
      <c r="A1509" s="3" t="n">
        <v>1508</v>
      </c>
      <c r="B1509" s="3" t="n">
        <v>1507</v>
      </c>
      <c r="C1509" s="3" t="n">
        <v>1</v>
      </c>
      <c r="D1509" s="3" t="n">
        <v>25</v>
      </c>
      <c r="E1509" s="3" t="n">
        <v>23</v>
      </c>
      <c r="F1509" s="24" t="n">
        <v>0</v>
      </c>
    </row>
    <row r="1510" customFormat="false" ht="15" hidden="false" customHeight="false" outlineLevel="0" collapsed="false">
      <c r="A1510" s="3" t="n">
        <v>1509</v>
      </c>
      <c r="B1510" s="3" t="n">
        <v>1508</v>
      </c>
      <c r="C1510" s="3" t="n">
        <v>1</v>
      </c>
      <c r="D1510" s="3" t="n">
        <v>25</v>
      </c>
      <c r="E1510" s="3" t="n">
        <v>24</v>
      </c>
      <c r="F1510" s="24" t="n">
        <v>0</v>
      </c>
    </row>
    <row r="1511" customFormat="false" ht="15" hidden="false" customHeight="false" outlineLevel="0" collapsed="false">
      <c r="A1511" s="3" t="n">
        <v>1510</v>
      </c>
      <c r="B1511" s="3" t="n">
        <v>1509</v>
      </c>
      <c r="C1511" s="3" t="n">
        <v>1</v>
      </c>
      <c r="D1511" s="3" t="n">
        <v>25</v>
      </c>
      <c r="E1511" s="3" t="n">
        <v>25</v>
      </c>
      <c r="F1511" s="24" t="n">
        <v>0</v>
      </c>
    </row>
    <row r="1512" customFormat="false" ht="15" hidden="false" customHeight="false" outlineLevel="0" collapsed="false">
      <c r="A1512" s="3" t="n">
        <v>1511</v>
      </c>
      <c r="B1512" s="3" t="n">
        <v>1510</v>
      </c>
      <c r="C1512" s="3" t="n">
        <v>1</v>
      </c>
      <c r="D1512" s="3" t="n">
        <v>25</v>
      </c>
      <c r="E1512" s="3" t="n">
        <v>26</v>
      </c>
      <c r="F1512" s="24" t="n">
        <v>0</v>
      </c>
    </row>
    <row r="1513" customFormat="false" ht="15" hidden="false" customHeight="false" outlineLevel="0" collapsed="false">
      <c r="A1513" s="3" t="n">
        <v>1512</v>
      </c>
      <c r="B1513" s="3" t="n">
        <v>1511</v>
      </c>
      <c r="C1513" s="3" t="n">
        <v>1</v>
      </c>
      <c r="D1513" s="3" t="n">
        <v>25</v>
      </c>
      <c r="E1513" s="3" t="n">
        <v>27</v>
      </c>
      <c r="F1513" s="24" t="n">
        <v>0</v>
      </c>
    </row>
    <row r="1514" customFormat="false" ht="15" hidden="false" customHeight="false" outlineLevel="0" collapsed="false">
      <c r="A1514" s="3" t="n">
        <v>1513</v>
      </c>
      <c r="B1514" s="3" t="n">
        <v>1512</v>
      </c>
      <c r="C1514" s="3" t="n">
        <v>1</v>
      </c>
      <c r="D1514" s="3" t="n">
        <v>26</v>
      </c>
      <c r="E1514" s="3" t="n">
        <v>0</v>
      </c>
      <c r="F1514" s="24" t="n">
        <v>0</v>
      </c>
    </row>
    <row r="1515" customFormat="false" ht="15" hidden="false" customHeight="false" outlineLevel="0" collapsed="false">
      <c r="A1515" s="3" t="n">
        <v>1514</v>
      </c>
      <c r="B1515" s="3" t="n">
        <v>1513</v>
      </c>
      <c r="C1515" s="3" t="n">
        <v>1</v>
      </c>
      <c r="D1515" s="3" t="n">
        <v>26</v>
      </c>
      <c r="E1515" s="3" t="n">
        <v>1</v>
      </c>
      <c r="F1515" s="24" t="n">
        <v>0</v>
      </c>
    </row>
    <row r="1516" customFormat="false" ht="15" hidden="false" customHeight="false" outlineLevel="0" collapsed="false">
      <c r="A1516" s="3" t="n">
        <v>1515</v>
      </c>
      <c r="B1516" s="3" t="n">
        <v>1514</v>
      </c>
      <c r="C1516" s="3" t="n">
        <v>1</v>
      </c>
      <c r="D1516" s="3" t="n">
        <v>26</v>
      </c>
      <c r="E1516" s="3" t="n">
        <v>2</v>
      </c>
      <c r="F1516" s="24" t="n">
        <v>0</v>
      </c>
    </row>
    <row r="1517" customFormat="false" ht="15" hidden="false" customHeight="false" outlineLevel="0" collapsed="false">
      <c r="A1517" s="3" t="n">
        <v>1516</v>
      </c>
      <c r="B1517" s="3" t="n">
        <v>1515</v>
      </c>
      <c r="C1517" s="3" t="n">
        <v>1</v>
      </c>
      <c r="D1517" s="3" t="n">
        <v>26</v>
      </c>
      <c r="E1517" s="3" t="n">
        <v>3</v>
      </c>
      <c r="F1517" s="24" t="n">
        <v>0</v>
      </c>
    </row>
    <row r="1518" customFormat="false" ht="15" hidden="false" customHeight="false" outlineLevel="0" collapsed="false">
      <c r="A1518" s="3" t="n">
        <v>1517</v>
      </c>
      <c r="B1518" s="3" t="n">
        <v>1516</v>
      </c>
      <c r="C1518" s="3" t="n">
        <v>1</v>
      </c>
      <c r="D1518" s="3" t="n">
        <v>26</v>
      </c>
      <c r="E1518" s="3" t="n">
        <v>4</v>
      </c>
      <c r="F1518" s="24" t="n">
        <v>0</v>
      </c>
    </row>
    <row r="1519" customFormat="false" ht="15" hidden="false" customHeight="false" outlineLevel="0" collapsed="false">
      <c r="A1519" s="3" t="n">
        <v>1518</v>
      </c>
      <c r="B1519" s="3" t="n">
        <v>1517</v>
      </c>
      <c r="C1519" s="3" t="n">
        <v>1</v>
      </c>
      <c r="D1519" s="3" t="n">
        <v>26</v>
      </c>
      <c r="E1519" s="3" t="n">
        <v>5</v>
      </c>
      <c r="F1519" s="24" t="n">
        <v>0</v>
      </c>
    </row>
    <row r="1520" customFormat="false" ht="15" hidden="false" customHeight="false" outlineLevel="0" collapsed="false">
      <c r="A1520" s="3" t="n">
        <v>1519</v>
      </c>
      <c r="B1520" s="3" t="n">
        <v>1518</v>
      </c>
      <c r="C1520" s="3" t="n">
        <v>1</v>
      </c>
      <c r="D1520" s="3" t="n">
        <v>26</v>
      </c>
      <c r="E1520" s="3" t="n">
        <v>6</v>
      </c>
      <c r="F1520" s="24" t="n">
        <v>0</v>
      </c>
    </row>
    <row r="1521" customFormat="false" ht="15" hidden="false" customHeight="false" outlineLevel="0" collapsed="false">
      <c r="A1521" s="3" t="n">
        <v>1520</v>
      </c>
      <c r="B1521" s="3" t="n">
        <v>1519</v>
      </c>
      <c r="C1521" s="3" t="n">
        <v>1</v>
      </c>
      <c r="D1521" s="3" t="n">
        <v>26</v>
      </c>
      <c r="E1521" s="3" t="n">
        <v>7</v>
      </c>
      <c r="F1521" s="24" t="n">
        <v>0</v>
      </c>
    </row>
    <row r="1522" customFormat="false" ht="15" hidden="false" customHeight="false" outlineLevel="0" collapsed="false">
      <c r="A1522" s="3" t="n">
        <v>1521</v>
      </c>
      <c r="B1522" s="3" t="n">
        <v>1520</v>
      </c>
      <c r="C1522" s="3" t="n">
        <v>1</v>
      </c>
      <c r="D1522" s="3" t="n">
        <v>26</v>
      </c>
      <c r="E1522" s="3" t="n">
        <v>8</v>
      </c>
      <c r="F1522" s="24" t="n">
        <v>0</v>
      </c>
    </row>
    <row r="1523" customFormat="false" ht="15" hidden="false" customHeight="false" outlineLevel="0" collapsed="false">
      <c r="A1523" s="3" t="n">
        <v>1522</v>
      </c>
      <c r="B1523" s="3" t="n">
        <v>1521</v>
      </c>
      <c r="C1523" s="3" t="n">
        <v>1</v>
      </c>
      <c r="D1523" s="3" t="n">
        <v>26</v>
      </c>
      <c r="E1523" s="3" t="n">
        <v>9</v>
      </c>
      <c r="F1523" s="24" t="n">
        <v>0.177750975</v>
      </c>
    </row>
    <row r="1524" customFormat="false" ht="15" hidden="false" customHeight="false" outlineLevel="0" collapsed="false">
      <c r="A1524" s="3" t="n">
        <v>1523</v>
      </c>
      <c r="B1524" s="3" t="n">
        <v>1522</v>
      </c>
      <c r="C1524" s="3" t="n">
        <v>1</v>
      </c>
      <c r="D1524" s="3" t="n">
        <v>26</v>
      </c>
      <c r="E1524" s="3" t="n">
        <v>10</v>
      </c>
      <c r="F1524" s="24" t="n">
        <v>1.78283465</v>
      </c>
    </row>
    <row r="1525" customFormat="false" ht="15" hidden="false" customHeight="false" outlineLevel="0" collapsed="false">
      <c r="A1525" s="3" t="n">
        <v>1524</v>
      </c>
      <c r="B1525" s="3" t="n">
        <v>1523</v>
      </c>
      <c r="C1525" s="3" t="n">
        <v>1</v>
      </c>
      <c r="D1525" s="3" t="n">
        <v>26</v>
      </c>
      <c r="E1525" s="3" t="n">
        <v>11</v>
      </c>
      <c r="F1525" s="24" t="n">
        <v>2.14748573</v>
      </c>
    </row>
    <row r="1526" customFormat="false" ht="15" hidden="false" customHeight="false" outlineLevel="0" collapsed="false">
      <c r="A1526" s="3" t="n">
        <v>1525</v>
      </c>
      <c r="B1526" s="3" t="n">
        <v>1524</v>
      </c>
      <c r="C1526" s="3" t="n">
        <v>1</v>
      </c>
      <c r="D1526" s="3" t="n">
        <v>26</v>
      </c>
      <c r="E1526" s="3" t="n">
        <v>12</v>
      </c>
      <c r="F1526" s="24" t="n">
        <v>0.852711082</v>
      </c>
    </row>
    <row r="1527" customFormat="false" ht="15" hidden="false" customHeight="false" outlineLevel="0" collapsed="false">
      <c r="A1527" s="3" t="n">
        <v>1526</v>
      </c>
      <c r="B1527" s="3" t="n">
        <v>1525</v>
      </c>
      <c r="C1527" s="3" t="n">
        <v>1</v>
      </c>
      <c r="D1527" s="3" t="n">
        <v>26</v>
      </c>
      <c r="E1527" s="3" t="n">
        <v>13</v>
      </c>
      <c r="F1527" s="24" t="n">
        <v>0</v>
      </c>
    </row>
    <row r="1528" customFormat="false" ht="15" hidden="false" customHeight="false" outlineLevel="0" collapsed="false">
      <c r="A1528" s="3" t="n">
        <v>1527</v>
      </c>
      <c r="B1528" s="3" t="n">
        <v>1526</v>
      </c>
      <c r="C1528" s="3" t="n">
        <v>1</v>
      </c>
      <c r="D1528" s="3" t="n">
        <v>26</v>
      </c>
      <c r="E1528" s="3" t="n">
        <v>14</v>
      </c>
      <c r="F1528" s="24" t="n">
        <v>0</v>
      </c>
    </row>
    <row r="1529" customFormat="false" ht="15" hidden="false" customHeight="false" outlineLevel="0" collapsed="false">
      <c r="A1529" s="3" t="n">
        <v>1528</v>
      </c>
      <c r="B1529" s="3" t="n">
        <v>1527</v>
      </c>
      <c r="C1529" s="3" t="n">
        <v>1</v>
      </c>
      <c r="D1529" s="3" t="n">
        <v>26</v>
      </c>
      <c r="E1529" s="3" t="n">
        <v>15</v>
      </c>
      <c r="F1529" s="24" t="n">
        <v>0</v>
      </c>
    </row>
    <row r="1530" customFormat="false" ht="15" hidden="false" customHeight="false" outlineLevel="0" collapsed="false">
      <c r="A1530" s="3" t="n">
        <v>1529</v>
      </c>
      <c r="B1530" s="3" t="n">
        <v>1528</v>
      </c>
      <c r="C1530" s="3" t="n">
        <v>1</v>
      </c>
      <c r="D1530" s="3" t="n">
        <v>26</v>
      </c>
      <c r="E1530" s="3" t="n">
        <v>16</v>
      </c>
      <c r="F1530" s="24" t="n">
        <v>0</v>
      </c>
    </row>
    <row r="1531" customFormat="false" ht="15" hidden="false" customHeight="false" outlineLevel="0" collapsed="false">
      <c r="A1531" s="3" t="n">
        <v>1530</v>
      </c>
      <c r="B1531" s="3" t="n">
        <v>1529</v>
      </c>
      <c r="C1531" s="3" t="n">
        <v>1</v>
      </c>
      <c r="D1531" s="3" t="n">
        <v>26</v>
      </c>
      <c r="E1531" s="3" t="n">
        <v>17</v>
      </c>
      <c r="F1531" s="24" t="n">
        <v>0</v>
      </c>
    </row>
    <row r="1532" customFormat="false" ht="15" hidden="false" customHeight="false" outlineLevel="0" collapsed="false">
      <c r="A1532" s="3" t="n">
        <v>1531</v>
      </c>
      <c r="B1532" s="3" t="n">
        <v>1530</v>
      </c>
      <c r="C1532" s="3" t="n">
        <v>1</v>
      </c>
      <c r="D1532" s="3" t="n">
        <v>26</v>
      </c>
      <c r="E1532" s="3" t="n">
        <v>18</v>
      </c>
      <c r="F1532" s="24" t="n">
        <v>0</v>
      </c>
    </row>
    <row r="1533" customFormat="false" ht="15" hidden="false" customHeight="false" outlineLevel="0" collapsed="false">
      <c r="A1533" s="3" t="n">
        <v>1532</v>
      </c>
      <c r="B1533" s="3" t="n">
        <v>1531</v>
      </c>
      <c r="C1533" s="3" t="n">
        <v>1</v>
      </c>
      <c r="D1533" s="3" t="n">
        <v>26</v>
      </c>
      <c r="E1533" s="3" t="n">
        <v>19</v>
      </c>
      <c r="F1533" s="24" t="n">
        <v>0</v>
      </c>
    </row>
    <row r="1534" customFormat="false" ht="15" hidden="false" customHeight="false" outlineLevel="0" collapsed="false">
      <c r="A1534" s="3" t="n">
        <v>1533</v>
      </c>
      <c r="B1534" s="3" t="n">
        <v>1532</v>
      </c>
      <c r="C1534" s="3" t="n">
        <v>1</v>
      </c>
      <c r="D1534" s="3" t="n">
        <v>26</v>
      </c>
      <c r="E1534" s="3" t="n">
        <v>20</v>
      </c>
      <c r="F1534" s="24" t="n">
        <v>0</v>
      </c>
    </row>
    <row r="1535" customFormat="false" ht="15" hidden="false" customHeight="false" outlineLevel="0" collapsed="false">
      <c r="A1535" s="3" t="n">
        <v>1534</v>
      </c>
      <c r="B1535" s="3" t="n">
        <v>1533</v>
      </c>
      <c r="C1535" s="3" t="n">
        <v>1</v>
      </c>
      <c r="D1535" s="3" t="n">
        <v>26</v>
      </c>
      <c r="E1535" s="3" t="n">
        <v>21</v>
      </c>
      <c r="F1535" s="24" t="n">
        <v>0</v>
      </c>
    </row>
    <row r="1536" customFormat="false" ht="15" hidden="false" customHeight="false" outlineLevel="0" collapsed="false">
      <c r="A1536" s="3" t="n">
        <v>1535</v>
      </c>
      <c r="B1536" s="3" t="n">
        <v>1534</v>
      </c>
      <c r="C1536" s="3" t="n">
        <v>1</v>
      </c>
      <c r="D1536" s="3" t="n">
        <v>26</v>
      </c>
      <c r="E1536" s="3" t="n">
        <v>22</v>
      </c>
      <c r="F1536" s="24" t="n">
        <v>0</v>
      </c>
    </row>
    <row r="1537" customFormat="false" ht="15" hidden="false" customHeight="false" outlineLevel="0" collapsed="false">
      <c r="A1537" s="3" t="n">
        <v>1536</v>
      </c>
      <c r="B1537" s="3" t="n">
        <v>1535</v>
      </c>
      <c r="C1537" s="3" t="n">
        <v>1</v>
      </c>
      <c r="D1537" s="3" t="n">
        <v>26</v>
      </c>
      <c r="E1537" s="3" t="n">
        <v>23</v>
      </c>
      <c r="F1537" s="24" t="n">
        <v>0</v>
      </c>
    </row>
    <row r="1538" customFormat="false" ht="15" hidden="false" customHeight="false" outlineLevel="0" collapsed="false">
      <c r="A1538" s="3" t="n">
        <v>1537</v>
      </c>
      <c r="B1538" s="3" t="n">
        <v>1536</v>
      </c>
      <c r="C1538" s="3" t="n">
        <v>1</v>
      </c>
      <c r="D1538" s="3" t="n">
        <v>26</v>
      </c>
      <c r="E1538" s="3" t="n">
        <v>24</v>
      </c>
      <c r="F1538" s="24" t="n">
        <v>0</v>
      </c>
    </row>
    <row r="1539" customFormat="false" ht="15" hidden="false" customHeight="false" outlineLevel="0" collapsed="false">
      <c r="A1539" s="3" t="n">
        <v>1538</v>
      </c>
      <c r="B1539" s="3" t="n">
        <v>1537</v>
      </c>
      <c r="C1539" s="3" t="n">
        <v>1</v>
      </c>
      <c r="D1539" s="3" t="n">
        <v>26</v>
      </c>
      <c r="E1539" s="3" t="n">
        <v>25</v>
      </c>
      <c r="F1539" s="24" t="n">
        <v>0</v>
      </c>
    </row>
    <row r="1540" customFormat="false" ht="15" hidden="false" customHeight="false" outlineLevel="0" collapsed="false">
      <c r="A1540" s="3" t="n">
        <v>1539</v>
      </c>
      <c r="B1540" s="3" t="n">
        <v>1538</v>
      </c>
      <c r="C1540" s="3" t="n">
        <v>1</v>
      </c>
      <c r="D1540" s="3" t="n">
        <v>26</v>
      </c>
      <c r="E1540" s="3" t="n">
        <v>26</v>
      </c>
      <c r="F1540" s="24" t="n">
        <v>0</v>
      </c>
    </row>
    <row r="1541" customFormat="false" ht="15" hidden="false" customHeight="false" outlineLevel="0" collapsed="false">
      <c r="A1541" s="3" t="n">
        <v>1540</v>
      </c>
      <c r="B1541" s="3" t="n">
        <v>1539</v>
      </c>
      <c r="C1541" s="3" t="n">
        <v>1</v>
      </c>
      <c r="D1541" s="3" t="n">
        <v>26</v>
      </c>
      <c r="E1541" s="3" t="n">
        <v>27</v>
      </c>
      <c r="F1541" s="24" t="n">
        <v>0</v>
      </c>
    </row>
    <row r="1542" customFormat="false" ht="15" hidden="false" customHeight="false" outlineLevel="0" collapsed="false">
      <c r="A1542" s="3" t="n">
        <v>1541</v>
      </c>
      <c r="B1542" s="3" t="n">
        <v>1540</v>
      </c>
      <c r="C1542" s="3" t="n">
        <v>1</v>
      </c>
      <c r="D1542" s="3" t="n">
        <v>27</v>
      </c>
      <c r="E1542" s="3" t="n">
        <v>0</v>
      </c>
      <c r="F1542" s="24" t="n">
        <v>0</v>
      </c>
    </row>
    <row r="1543" customFormat="false" ht="15" hidden="false" customHeight="false" outlineLevel="0" collapsed="false">
      <c r="A1543" s="3" t="n">
        <v>1542</v>
      </c>
      <c r="B1543" s="3" t="n">
        <v>1541</v>
      </c>
      <c r="C1543" s="3" t="n">
        <v>1</v>
      </c>
      <c r="D1543" s="3" t="n">
        <v>27</v>
      </c>
      <c r="E1543" s="3" t="n">
        <v>1</v>
      </c>
      <c r="F1543" s="24" t="n">
        <v>0</v>
      </c>
    </row>
    <row r="1544" customFormat="false" ht="15" hidden="false" customHeight="false" outlineLevel="0" collapsed="false">
      <c r="A1544" s="3" t="n">
        <v>1543</v>
      </c>
      <c r="B1544" s="3" t="n">
        <v>1542</v>
      </c>
      <c r="C1544" s="3" t="n">
        <v>1</v>
      </c>
      <c r="D1544" s="3" t="n">
        <v>27</v>
      </c>
      <c r="E1544" s="3" t="n">
        <v>2</v>
      </c>
      <c r="F1544" s="24" t="n">
        <v>0</v>
      </c>
    </row>
    <row r="1545" customFormat="false" ht="15" hidden="false" customHeight="false" outlineLevel="0" collapsed="false">
      <c r="A1545" s="3" t="n">
        <v>1544</v>
      </c>
      <c r="B1545" s="3" t="n">
        <v>1543</v>
      </c>
      <c r="C1545" s="3" t="n">
        <v>1</v>
      </c>
      <c r="D1545" s="3" t="n">
        <v>27</v>
      </c>
      <c r="E1545" s="3" t="n">
        <v>3</v>
      </c>
      <c r="F1545" s="24" t="n">
        <v>0</v>
      </c>
    </row>
    <row r="1546" customFormat="false" ht="15" hidden="false" customHeight="false" outlineLevel="0" collapsed="false">
      <c r="A1546" s="3" t="n">
        <v>1545</v>
      </c>
      <c r="B1546" s="3" t="n">
        <v>1544</v>
      </c>
      <c r="C1546" s="3" t="n">
        <v>1</v>
      </c>
      <c r="D1546" s="3" t="n">
        <v>27</v>
      </c>
      <c r="E1546" s="3" t="n">
        <v>4</v>
      </c>
      <c r="F1546" s="24" t="n">
        <v>0</v>
      </c>
    </row>
    <row r="1547" customFormat="false" ht="15" hidden="false" customHeight="false" outlineLevel="0" collapsed="false">
      <c r="A1547" s="3" t="n">
        <v>1546</v>
      </c>
      <c r="B1547" s="3" t="n">
        <v>1545</v>
      </c>
      <c r="C1547" s="3" t="n">
        <v>1</v>
      </c>
      <c r="D1547" s="3" t="n">
        <v>27</v>
      </c>
      <c r="E1547" s="3" t="n">
        <v>5</v>
      </c>
      <c r="F1547" s="24" t="n">
        <v>0</v>
      </c>
    </row>
    <row r="1548" customFormat="false" ht="15" hidden="false" customHeight="false" outlineLevel="0" collapsed="false">
      <c r="A1548" s="3" t="n">
        <v>1547</v>
      </c>
      <c r="B1548" s="3" t="n">
        <v>1546</v>
      </c>
      <c r="C1548" s="3" t="n">
        <v>1</v>
      </c>
      <c r="D1548" s="3" t="n">
        <v>27</v>
      </c>
      <c r="E1548" s="3" t="n">
        <v>6</v>
      </c>
      <c r="F1548" s="24" t="n">
        <v>0</v>
      </c>
    </row>
    <row r="1549" customFormat="false" ht="15" hidden="false" customHeight="false" outlineLevel="0" collapsed="false">
      <c r="A1549" s="3" t="n">
        <v>1548</v>
      </c>
      <c r="B1549" s="3" t="n">
        <v>1547</v>
      </c>
      <c r="C1549" s="3" t="n">
        <v>1</v>
      </c>
      <c r="D1549" s="3" t="n">
        <v>27</v>
      </c>
      <c r="E1549" s="3" t="n">
        <v>7</v>
      </c>
      <c r="F1549" s="24" t="n">
        <v>0</v>
      </c>
    </row>
    <row r="1550" customFormat="false" ht="15" hidden="false" customHeight="false" outlineLevel="0" collapsed="false">
      <c r="A1550" s="3" t="n">
        <v>1549</v>
      </c>
      <c r="B1550" s="3" t="n">
        <v>1548</v>
      </c>
      <c r="C1550" s="3" t="n">
        <v>1</v>
      </c>
      <c r="D1550" s="3" t="n">
        <v>27</v>
      </c>
      <c r="E1550" s="3" t="n">
        <v>8</v>
      </c>
      <c r="F1550" s="24" t="n">
        <v>0</v>
      </c>
    </row>
    <row r="1551" customFormat="false" ht="15" hidden="false" customHeight="false" outlineLevel="0" collapsed="false">
      <c r="A1551" s="3" t="n">
        <v>1550</v>
      </c>
      <c r="B1551" s="3" t="n">
        <v>1549</v>
      </c>
      <c r="C1551" s="3" t="n">
        <v>1</v>
      </c>
      <c r="D1551" s="3" t="n">
        <v>27</v>
      </c>
      <c r="E1551" s="3" t="n">
        <v>9</v>
      </c>
      <c r="F1551" s="24" t="n">
        <v>0</v>
      </c>
    </row>
    <row r="1552" customFormat="false" ht="15" hidden="false" customHeight="false" outlineLevel="0" collapsed="false">
      <c r="A1552" s="3" t="n">
        <v>1551</v>
      </c>
      <c r="B1552" s="3" t="n">
        <v>1550</v>
      </c>
      <c r="C1552" s="3" t="n">
        <v>1</v>
      </c>
      <c r="D1552" s="3" t="n">
        <v>27</v>
      </c>
      <c r="E1552" s="3" t="n">
        <v>10</v>
      </c>
      <c r="F1552" s="24" t="n">
        <v>0.318397611</v>
      </c>
    </row>
    <row r="1553" customFormat="false" ht="15" hidden="false" customHeight="false" outlineLevel="0" collapsed="false">
      <c r="A1553" s="3" t="n">
        <v>1552</v>
      </c>
      <c r="B1553" s="3" t="n">
        <v>1551</v>
      </c>
      <c r="C1553" s="3" t="n">
        <v>1</v>
      </c>
      <c r="D1553" s="3" t="n">
        <v>27</v>
      </c>
      <c r="E1553" s="3" t="n">
        <v>11</v>
      </c>
      <c r="F1553" s="24" t="n">
        <v>0</v>
      </c>
    </row>
    <row r="1554" customFormat="false" ht="15" hidden="false" customHeight="false" outlineLevel="0" collapsed="false">
      <c r="A1554" s="3" t="n">
        <v>1553</v>
      </c>
      <c r="B1554" s="3" t="n">
        <v>1552</v>
      </c>
      <c r="C1554" s="3" t="n">
        <v>1</v>
      </c>
      <c r="D1554" s="3" t="n">
        <v>27</v>
      </c>
      <c r="E1554" s="3" t="n">
        <v>12</v>
      </c>
      <c r="F1554" s="24" t="n">
        <v>0</v>
      </c>
    </row>
    <row r="1555" customFormat="false" ht="15" hidden="false" customHeight="false" outlineLevel="0" collapsed="false">
      <c r="A1555" s="3" t="n">
        <v>1554</v>
      </c>
      <c r="B1555" s="3" t="n">
        <v>1553</v>
      </c>
      <c r="C1555" s="3" t="n">
        <v>1</v>
      </c>
      <c r="D1555" s="3" t="n">
        <v>27</v>
      </c>
      <c r="E1555" s="3" t="n">
        <v>13</v>
      </c>
      <c r="F1555" s="24" t="n">
        <v>0</v>
      </c>
    </row>
    <row r="1556" customFormat="false" ht="15" hidden="false" customHeight="false" outlineLevel="0" collapsed="false">
      <c r="A1556" s="3" t="n">
        <v>1555</v>
      </c>
      <c r="B1556" s="3" t="n">
        <v>1554</v>
      </c>
      <c r="C1556" s="3" t="n">
        <v>1</v>
      </c>
      <c r="D1556" s="3" t="n">
        <v>27</v>
      </c>
      <c r="E1556" s="3" t="n">
        <v>14</v>
      </c>
      <c r="F1556" s="24" t="n">
        <v>0</v>
      </c>
    </row>
    <row r="1557" customFormat="false" ht="15" hidden="false" customHeight="false" outlineLevel="0" collapsed="false">
      <c r="A1557" s="3" t="n">
        <v>1556</v>
      </c>
      <c r="B1557" s="3" t="n">
        <v>1555</v>
      </c>
      <c r="C1557" s="3" t="n">
        <v>1</v>
      </c>
      <c r="D1557" s="3" t="n">
        <v>27</v>
      </c>
      <c r="E1557" s="3" t="n">
        <v>15</v>
      </c>
      <c r="F1557" s="24" t="n">
        <v>0</v>
      </c>
    </row>
    <row r="1558" customFormat="false" ht="15" hidden="false" customHeight="false" outlineLevel="0" collapsed="false">
      <c r="A1558" s="3" t="n">
        <v>1557</v>
      </c>
      <c r="B1558" s="3" t="n">
        <v>1556</v>
      </c>
      <c r="C1558" s="3" t="n">
        <v>1</v>
      </c>
      <c r="D1558" s="3" t="n">
        <v>27</v>
      </c>
      <c r="E1558" s="3" t="n">
        <v>16</v>
      </c>
      <c r="F1558" s="24" t="n">
        <v>0</v>
      </c>
    </row>
    <row r="1559" customFormat="false" ht="15" hidden="false" customHeight="false" outlineLevel="0" collapsed="false">
      <c r="A1559" s="3" t="n">
        <v>1558</v>
      </c>
      <c r="B1559" s="3" t="n">
        <v>1557</v>
      </c>
      <c r="C1559" s="3" t="n">
        <v>1</v>
      </c>
      <c r="D1559" s="3" t="n">
        <v>27</v>
      </c>
      <c r="E1559" s="3" t="n">
        <v>17</v>
      </c>
      <c r="F1559" s="24" t="n">
        <v>0</v>
      </c>
    </row>
    <row r="1560" customFormat="false" ht="15" hidden="false" customHeight="false" outlineLevel="0" collapsed="false">
      <c r="A1560" s="3" t="n">
        <v>1559</v>
      </c>
      <c r="B1560" s="3" t="n">
        <v>1558</v>
      </c>
      <c r="C1560" s="3" t="n">
        <v>1</v>
      </c>
      <c r="D1560" s="3" t="n">
        <v>27</v>
      </c>
      <c r="E1560" s="3" t="n">
        <v>18</v>
      </c>
      <c r="F1560" s="24" t="n">
        <v>0</v>
      </c>
    </row>
    <row r="1561" customFormat="false" ht="15" hidden="false" customHeight="false" outlineLevel="0" collapsed="false">
      <c r="A1561" s="3" t="n">
        <v>1560</v>
      </c>
      <c r="B1561" s="3" t="n">
        <v>1559</v>
      </c>
      <c r="C1561" s="3" t="n">
        <v>1</v>
      </c>
      <c r="D1561" s="3" t="n">
        <v>27</v>
      </c>
      <c r="E1561" s="3" t="n">
        <v>19</v>
      </c>
      <c r="F1561" s="24" t="n">
        <v>0</v>
      </c>
    </row>
    <row r="1562" customFormat="false" ht="15" hidden="false" customHeight="false" outlineLevel="0" collapsed="false">
      <c r="A1562" s="3" t="n">
        <v>1561</v>
      </c>
      <c r="B1562" s="3" t="n">
        <v>1560</v>
      </c>
      <c r="C1562" s="3" t="n">
        <v>1</v>
      </c>
      <c r="D1562" s="3" t="n">
        <v>27</v>
      </c>
      <c r="E1562" s="3" t="n">
        <v>20</v>
      </c>
      <c r="F1562" s="24" t="n">
        <v>0</v>
      </c>
    </row>
    <row r="1563" customFormat="false" ht="15" hidden="false" customHeight="false" outlineLevel="0" collapsed="false">
      <c r="A1563" s="3" t="n">
        <v>1562</v>
      </c>
      <c r="B1563" s="3" t="n">
        <v>1561</v>
      </c>
      <c r="C1563" s="3" t="n">
        <v>1</v>
      </c>
      <c r="D1563" s="3" t="n">
        <v>27</v>
      </c>
      <c r="E1563" s="3" t="n">
        <v>21</v>
      </c>
      <c r="F1563" s="24" t="n">
        <v>0</v>
      </c>
    </row>
    <row r="1564" customFormat="false" ht="15" hidden="false" customHeight="false" outlineLevel="0" collapsed="false">
      <c r="A1564" s="3" t="n">
        <v>1563</v>
      </c>
      <c r="B1564" s="3" t="n">
        <v>1562</v>
      </c>
      <c r="C1564" s="3" t="n">
        <v>1</v>
      </c>
      <c r="D1564" s="3" t="n">
        <v>27</v>
      </c>
      <c r="E1564" s="3" t="n">
        <v>22</v>
      </c>
      <c r="F1564" s="24" t="n">
        <v>0</v>
      </c>
    </row>
    <row r="1565" customFormat="false" ht="15" hidden="false" customHeight="false" outlineLevel="0" collapsed="false">
      <c r="A1565" s="3" t="n">
        <v>1564</v>
      </c>
      <c r="B1565" s="3" t="n">
        <v>1563</v>
      </c>
      <c r="C1565" s="3" t="n">
        <v>1</v>
      </c>
      <c r="D1565" s="3" t="n">
        <v>27</v>
      </c>
      <c r="E1565" s="3" t="n">
        <v>23</v>
      </c>
      <c r="F1565" s="24" t="n">
        <v>0</v>
      </c>
    </row>
    <row r="1566" customFormat="false" ht="15" hidden="false" customHeight="false" outlineLevel="0" collapsed="false">
      <c r="A1566" s="3" t="n">
        <v>1565</v>
      </c>
      <c r="B1566" s="3" t="n">
        <v>1564</v>
      </c>
      <c r="C1566" s="3" t="n">
        <v>1</v>
      </c>
      <c r="D1566" s="3" t="n">
        <v>27</v>
      </c>
      <c r="E1566" s="3" t="n">
        <v>24</v>
      </c>
      <c r="F1566" s="24" t="n">
        <v>0</v>
      </c>
    </row>
    <row r="1567" customFormat="false" ht="15" hidden="false" customHeight="false" outlineLevel="0" collapsed="false">
      <c r="A1567" s="3" t="n">
        <v>1566</v>
      </c>
      <c r="B1567" s="3" t="n">
        <v>1565</v>
      </c>
      <c r="C1567" s="3" t="n">
        <v>1</v>
      </c>
      <c r="D1567" s="3" t="n">
        <v>27</v>
      </c>
      <c r="E1567" s="3" t="n">
        <v>25</v>
      </c>
      <c r="F1567" s="24" t="n">
        <v>0</v>
      </c>
    </row>
    <row r="1568" customFormat="false" ht="15" hidden="false" customHeight="false" outlineLevel="0" collapsed="false">
      <c r="A1568" s="3" t="n">
        <v>1567</v>
      </c>
      <c r="B1568" s="3" t="n">
        <v>1566</v>
      </c>
      <c r="C1568" s="3" t="n">
        <v>1</v>
      </c>
      <c r="D1568" s="3" t="n">
        <v>27</v>
      </c>
      <c r="E1568" s="3" t="n">
        <v>26</v>
      </c>
      <c r="F1568" s="24" t="n">
        <v>0</v>
      </c>
    </row>
    <row r="1569" customFormat="false" ht="15" hidden="false" customHeight="false" outlineLevel="0" collapsed="false">
      <c r="A1569" s="3" t="n">
        <v>1568</v>
      </c>
      <c r="B1569" s="3" t="n">
        <v>1567</v>
      </c>
      <c r="C1569" s="3" t="n">
        <v>1</v>
      </c>
      <c r="D1569" s="3" t="n">
        <v>27</v>
      </c>
      <c r="E1569" s="3" t="n">
        <v>27</v>
      </c>
      <c r="F1569" s="24" t="n">
        <v>0</v>
      </c>
    </row>
    <row r="1570" customFormat="false" ht="15" hidden="false" customHeight="false" outlineLevel="0" collapsed="false">
      <c r="A1570" s="3" t="n">
        <v>1569</v>
      </c>
      <c r="B1570" s="3" t="n">
        <v>1568</v>
      </c>
      <c r="C1570" s="3" t="n">
        <v>2</v>
      </c>
      <c r="D1570" s="3" t="n">
        <v>0</v>
      </c>
      <c r="E1570" s="3" t="n">
        <v>0</v>
      </c>
      <c r="F1570" s="24" t="n">
        <v>0</v>
      </c>
    </row>
    <row r="1571" customFormat="false" ht="15" hidden="false" customHeight="false" outlineLevel="0" collapsed="false">
      <c r="A1571" s="3" t="n">
        <v>1570</v>
      </c>
      <c r="B1571" s="3" t="n">
        <v>1569</v>
      </c>
      <c r="C1571" s="3" t="n">
        <v>2</v>
      </c>
      <c r="D1571" s="3" t="n">
        <v>0</v>
      </c>
      <c r="E1571" s="3" t="n">
        <v>1</v>
      </c>
      <c r="F1571" s="24" t="n">
        <v>0</v>
      </c>
    </row>
    <row r="1572" customFormat="false" ht="15" hidden="false" customHeight="false" outlineLevel="0" collapsed="false">
      <c r="A1572" s="3" t="n">
        <v>1571</v>
      </c>
      <c r="B1572" s="3" t="n">
        <v>1570</v>
      </c>
      <c r="C1572" s="3" t="n">
        <v>2</v>
      </c>
      <c r="D1572" s="3" t="n">
        <v>0</v>
      </c>
      <c r="E1572" s="3" t="n">
        <v>2</v>
      </c>
      <c r="F1572" s="24" t="n">
        <v>0</v>
      </c>
    </row>
    <row r="1573" customFormat="false" ht="15" hidden="false" customHeight="false" outlineLevel="0" collapsed="false">
      <c r="A1573" s="3" t="n">
        <v>1572</v>
      </c>
      <c r="B1573" s="3" t="n">
        <v>1571</v>
      </c>
      <c r="C1573" s="3" t="n">
        <v>2</v>
      </c>
      <c r="D1573" s="3" t="n">
        <v>0</v>
      </c>
      <c r="E1573" s="3" t="n">
        <v>3</v>
      </c>
      <c r="F1573" s="24" t="n">
        <v>0</v>
      </c>
    </row>
    <row r="1574" customFormat="false" ht="15" hidden="false" customHeight="false" outlineLevel="0" collapsed="false">
      <c r="A1574" s="3" t="n">
        <v>1573</v>
      </c>
      <c r="B1574" s="3" t="n">
        <v>1572</v>
      </c>
      <c r="C1574" s="3" t="n">
        <v>2</v>
      </c>
      <c r="D1574" s="3" t="n">
        <v>0</v>
      </c>
      <c r="E1574" s="3" t="n">
        <v>4</v>
      </c>
      <c r="F1574" s="24" t="n">
        <v>0</v>
      </c>
    </row>
    <row r="1575" customFormat="false" ht="15" hidden="false" customHeight="false" outlineLevel="0" collapsed="false">
      <c r="A1575" s="3" t="n">
        <v>1574</v>
      </c>
      <c r="B1575" s="3" t="n">
        <v>1573</v>
      </c>
      <c r="C1575" s="3" t="n">
        <v>2</v>
      </c>
      <c r="D1575" s="3" t="n">
        <v>0</v>
      </c>
      <c r="E1575" s="3" t="n">
        <v>5</v>
      </c>
      <c r="F1575" s="24" t="n">
        <v>0</v>
      </c>
    </row>
    <row r="1576" customFormat="false" ht="15" hidden="false" customHeight="false" outlineLevel="0" collapsed="false">
      <c r="A1576" s="3" t="n">
        <v>1575</v>
      </c>
      <c r="B1576" s="3" t="n">
        <v>1574</v>
      </c>
      <c r="C1576" s="3" t="n">
        <v>2</v>
      </c>
      <c r="D1576" s="3" t="n">
        <v>0</v>
      </c>
      <c r="E1576" s="3" t="n">
        <v>6</v>
      </c>
      <c r="F1576" s="24" t="n">
        <v>0</v>
      </c>
    </row>
    <row r="1577" customFormat="false" ht="15" hidden="false" customHeight="false" outlineLevel="0" collapsed="false">
      <c r="A1577" s="3" t="n">
        <v>1576</v>
      </c>
      <c r="B1577" s="3" t="n">
        <v>1575</v>
      </c>
      <c r="C1577" s="3" t="n">
        <v>2</v>
      </c>
      <c r="D1577" s="3" t="n">
        <v>0</v>
      </c>
      <c r="E1577" s="3" t="n">
        <v>7</v>
      </c>
      <c r="F1577" s="24" t="n">
        <v>0</v>
      </c>
    </row>
    <row r="1578" customFormat="false" ht="15" hidden="false" customHeight="false" outlineLevel="0" collapsed="false">
      <c r="A1578" s="3" t="n">
        <v>1577</v>
      </c>
      <c r="B1578" s="3" t="n">
        <v>1576</v>
      </c>
      <c r="C1578" s="3" t="n">
        <v>2</v>
      </c>
      <c r="D1578" s="3" t="n">
        <v>0</v>
      </c>
      <c r="E1578" s="3" t="n">
        <v>8</v>
      </c>
      <c r="F1578" s="24" t="n">
        <v>0</v>
      </c>
    </row>
    <row r="1579" customFormat="false" ht="15" hidden="false" customHeight="false" outlineLevel="0" collapsed="false">
      <c r="A1579" s="3" t="n">
        <v>1578</v>
      </c>
      <c r="B1579" s="3" t="n">
        <v>1577</v>
      </c>
      <c r="C1579" s="3" t="n">
        <v>2</v>
      </c>
      <c r="D1579" s="3" t="n">
        <v>0</v>
      </c>
      <c r="E1579" s="3" t="n">
        <v>9</v>
      </c>
      <c r="F1579" s="24" t="n">
        <v>0</v>
      </c>
    </row>
    <row r="1580" customFormat="false" ht="15" hidden="false" customHeight="false" outlineLevel="0" collapsed="false">
      <c r="A1580" s="3" t="n">
        <v>1579</v>
      </c>
      <c r="B1580" s="3" t="n">
        <v>1578</v>
      </c>
      <c r="C1580" s="3" t="n">
        <v>2</v>
      </c>
      <c r="D1580" s="3" t="n">
        <v>0</v>
      </c>
      <c r="E1580" s="3" t="n">
        <v>10</v>
      </c>
      <c r="F1580" s="24" t="n">
        <v>0</v>
      </c>
    </row>
    <row r="1581" customFormat="false" ht="15" hidden="false" customHeight="false" outlineLevel="0" collapsed="false">
      <c r="A1581" s="3" t="n">
        <v>1580</v>
      </c>
      <c r="B1581" s="3" t="n">
        <v>1579</v>
      </c>
      <c r="C1581" s="3" t="n">
        <v>2</v>
      </c>
      <c r="D1581" s="3" t="n">
        <v>0</v>
      </c>
      <c r="E1581" s="3" t="n">
        <v>11</v>
      </c>
      <c r="F1581" s="24" t="n">
        <v>0</v>
      </c>
    </row>
    <row r="1582" customFormat="false" ht="15" hidden="false" customHeight="false" outlineLevel="0" collapsed="false">
      <c r="A1582" s="3" t="n">
        <v>1581</v>
      </c>
      <c r="B1582" s="3" t="n">
        <v>1580</v>
      </c>
      <c r="C1582" s="3" t="n">
        <v>2</v>
      </c>
      <c r="D1582" s="3" t="n">
        <v>0</v>
      </c>
      <c r="E1582" s="3" t="n">
        <v>12</v>
      </c>
      <c r="F1582" s="24" t="n">
        <v>0</v>
      </c>
    </row>
    <row r="1583" customFormat="false" ht="15" hidden="false" customHeight="false" outlineLevel="0" collapsed="false">
      <c r="A1583" s="3" t="n">
        <v>1582</v>
      </c>
      <c r="B1583" s="3" t="n">
        <v>1581</v>
      </c>
      <c r="C1583" s="3" t="n">
        <v>2</v>
      </c>
      <c r="D1583" s="3" t="n">
        <v>0</v>
      </c>
      <c r="E1583" s="3" t="n">
        <v>13</v>
      </c>
      <c r="F1583" s="24" t="n">
        <v>0</v>
      </c>
    </row>
    <row r="1584" customFormat="false" ht="15" hidden="false" customHeight="false" outlineLevel="0" collapsed="false">
      <c r="A1584" s="3" t="n">
        <v>1583</v>
      </c>
      <c r="B1584" s="3" t="n">
        <v>1582</v>
      </c>
      <c r="C1584" s="3" t="n">
        <v>2</v>
      </c>
      <c r="D1584" s="3" t="n">
        <v>0</v>
      </c>
      <c r="E1584" s="3" t="n">
        <v>14</v>
      </c>
      <c r="F1584" s="24" t="n">
        <v>0</v>
      </c>
    </row>
    <row r="1585" customFormat="false" ht="15" hidden="false" customHeight="false" outlineLevel="0" collapsed="false">
      <c r="A1585" s="3" t="n">
        <v>1584</v>
      </c>
      <c r="B1585" s="3" t="n">
        <v>1583</v>
      </c>
      <c r="C1585" s="3" t="n">
        <v>2</v>
      </c>
      <c r="D1585" s="3" t="n">
        <v>0</v>
      </c>
      <c r="E1585" s="3" t="n">
        <v>15</v>
      </c>
      <c r="F1585" s="24" t="n">
        <v>0</v>
      </c>
    </row>
    <row r="1586" customFormat="false" ht="15" hidden="false" customHeight="false" outlineLevel="0" collapsed="false">
      <c r="A1586" s="3" t="n">
        <v>1585</v>
      </c>
      <c r="B1586" s="3" t="n">
        <v>1584</v>
      </c>
      <c r="C1586" s="3" t="n">
        <v>2</v>
      </c>
      <c r="D1586" s="3" t="n">
        <v>0</v>
      </c>
      <c r="E1586" s="3" t="n">
        <v>16</v>
      </c>
      <c r="F1586" s="24" t="n">
        <v>0</v>
      </c>
    </row>
    <row r="1587" customFormat="false" ht="15" hidden="false" customHeight="false" outlineLevel="0" collapsed="false">
      <c r="A1587" s="3" t="n">
        <v>1586</v>
      </c>
      <c r="B1587" s="3" t="n">
        <v>1585</v>
      </c>
      <c r="C1587" s="3" t="n">
        <v>2</v>
      </c>
      <c r="D1587" s="3" t="n">
        <v>0</v>
      </c>
      <c r="E1587" s="3" t="n">
        <v>17</v>
      </c>
      <c r="F1587" s="24" t="n">
        <v>0</v>
      </c>
    </row>
    <row r="1588" customFormat="false" ht="15" hidden="false" customHeight="false" outlineLevel="0" collapsed="false">
      <c r="A1588" s="3" t="n">
        <v>1587</v>
      </c>
      <c r="B1588" s="3" t="n">
        <v>1586</v>
      </c>
      <c r="C1588" s="3" t="n">
        <v>2</v>
      </c>
      <c r="D1588" s="3" t="n">
        <v>0</v>
      </c>
      <c r="E1588" s="3" t="n">
        <v>18</v>
      </c>
      <c r="F1588" s="24" t="n">
        <v>0</v>
      </c>
    </row>
    <row r="1589" customFormat="false" ht="15" hidden="false" customHeight="false" outlineLevel="0" collapsed="false">
      <c r="A1589" s="3" t="n">
        <v>1588</v>
      </c>
      <c r="B1589" s="3" t="n">
        <v>1587</v>
      </c>
      <c r="C1589" s="3" t="n">
        <v>2</v>
      </c>
      <c r="D1589" s="3" t="n">
        <v>0</v>
      </c>
      <c r="E1589" s="3" t="n">
        <v>19</v>
      </c>
      <c r="F1589" s="24" t="n">
        <v>0</v>
      </c>
    </row>
    <row r="1590" customFormat="false" ht="15" hidden="false" customHeight="false" outlineLevel="0" collapsed="false">
      <c r="A1590" s="3" t="n">
        <v>1589</v>
      </c>
      <c r="B1590" s="3" t="n">
        <v>1588</v>
      </c>
      <c r="C1590" s="3" t="n">
        <v>2</v>
      </c>
      <c r="D1590" s="3" t="n">
        <v>0</v>
      </c>
      <c r="E1590" s="3" t="n">
        <v>20</v>
      </c>
      <c r="F1590" s="24" t="n">
        <v>0</v>
      </c>
    </row>
    <row r="1591" customFormat="false" ht="15" hidden="false" customHeight="false" outlineLevel="0" collapsed="false">
      <c r="A1591" s="3" t="n">
        <v>1590</v>
      </c>
      <c r="B1591" s="3" t="n">
        <v>1589</v>
      </c>
      <c r="C1591" s="3" t="n">
        <v>2</v>
      </c>
      <c r="D1591" s="3" t="n">
        <v>0</v>
      </c>
      <c r="E1591" s="3" t="n">
        <v>21</v>
      </c>
      <c r="F1591" s="24" t="n">
        <v>0</v>
      </c>
    </row>
    <row r="1592" customFormat="false" ht="15" hidden="false" customHeight="false" outlineLevel="0" collapsed="false">
      <c r="A1592" s="3" t="n">
        <v>1591</v>
      </c>
      <c r="B1592" s="3" t="n">
        <v>1590</v>
      </c>
      <c r="C1592" s="3" t="n">
        <v>2</v>
      </c>
      <c r="D1592" s="3" t="n">
        <v>0</v>
      </c>
      <c r="E1592" s="3" t="n">
        <v>22</v>
      </c>
      <c r="F1592" s="24" t="n">
        <v>0</v>
      </c>
    </row>
    <row r="1593" customFormat="false" ht="15" hidden="false" customHeight="false" outlineLevel="0" collapsed="false">
      <c r="A1593" s="3" t="n">
        <v>1592</v>
      </c>
      <c r="B1593" s="3" t="n">
        <v>1591</v>
      </c>
      <c r="C1593" s="3" t="n">
        <v>2</v>
      </c>
      <c r="D1593" s="3" t="n">
        <v>0</v>
      </c>
      <c r="E1593" s="3" t="n">
        <v>23</v>
      </c>
      <c r="F1593" s="24" t="n">
        <v>0</v>
      </c>
    </row>
    <row r="1594" customFormat="false" ht="15" hidden="false" customHeight="false" outlineLevel="0" collapsed="false">
      <c r="A1594" s="3" t="n">
        <v>1593</v>
      </c>
      <c r="B1594" s="3" t="n">
        <v>1592</v>
      </c>
      <c r="C1594" s="3" t="n">
        <v>2</v>
      </c>
      <c r="D1594" s="3" t="n">
        <v>0</v>
      </c>
      <c r="E1594" s="3" t="n">
        <v>24</v>
      </c>
      <c r="F1594" s="24" t="n">
        <v>0</v>
      </c>
    </row>
    <row r="1595" customFormat="false" ht="15" hidden="false" customHeight="false" outlineLevel="0" collapsed="false">
      <c r="A1595" s="3" t="n">
        <v>1594</v>
      </c>
      <c r="B1595" s="3" t="n">
        <v>1593</v>
      </c>
      <c r="C1595" s="3" t="n">
        <v>2</v>
      </c>
      <c r="D1595" s="3" t="n">
        <v>0</v>
      </c>
      <c r="E1595" s="3" t="n">
        <v>25</v>
      </c>
      <c r="F1595" s="24" t="n">
        <v>0</v>
      </c>
    </row>
    <row r="1596" customFormat="false" ht="15" hidden="false" customHeight="false" outlineLevel="0" collapsed="false">
      <c r="A1596" s="3" t="n">
        <v>1595</v>
      </c>
      <c r="B1596" s="3" t="n">
        <v>1594</v>
      </c>
      <c r="C1596" s="3" t="n">
        <v>2</v>
      </c>
      <c r="D1596" s="3" t="n">
        <v>0</v>
      </c>
      <c r="E1596" s="3" t="n">
        <v>26</v>
      </c>
      <c r="F1596" s="24" t="n">
        <v>0</v>
      </c>
    </row>
    <row r="1597" customFormat="false" ht="15" hidden="false" customHeight="false" outlineLevel="0" collapsed="false">
      <c r="A1597" s="3" t="n">
        <v>1596</v>
      </c>
      <c r="B1597" s="3" t="n">
        <v>1595</v>
      </c>
      <c r="C1597" s="3" t="n">
        <v>2</v>
      </c>
      <c r="D1597" s="3" t="n">
        <v>0</v>
      </c>
      <c r="E1597" s="3" t="n">
        <v>27</v>
      </c>
      <c r="F1597" s="24" t="n">
        <v>0.206411541</v>
      </c>
    </row>
    <row r="1598" customFormat="false" ht="15" hidden="false" customHeight="false" outlineLevel="0" collapsed="false">
      <c r="A1598" s="3" t="n">
        <v>1597</v>
      </c>
      <c r="B1598" s="3" t="n">
        <v>1596</v>
      </c>
      <c r="C1598" s="3" t="n">
        <v>2</v>
      </c>
      <c r="D1598" s="3" t="n">
        <v>1</v>
      </c>
      <c r="E1598" s="3" t="n">
        <v>0</v>
      </c>
      <c r="F1598" s="24" t="n">
        <v>0</v>
      </c>
    </row>
    <row r="1599" customFormat="false" ht="15" hidden="false" customHeight="false" outlineLevel="0" collapsed="false">
      <c r="A1599" s="3" t="n">
        <v>1598</v>
      </c>
      <c r="B1599" s="3" t="n">
        <v>1597</v>
      </c>
      <c r="C1599" s="3" t="n">
        <v>2</v>
      </c>
      <c r="D1599" s="3" t="n">
        <v>1</v>
      </c>
      <c r="E1599" s="3" t="n">
        <v>1</v>
      </c>
      <c r="F1599" s="24" t="n">
        <v>0</v>
      </c>
    </row>
    <row r="1600" customFormat="false" ht="15" hidden="false" customHeight="false" outlineLevel="0" collapsed="false">
      <c r="A1600" s="3" t="n">
        <v>1599</v>
      </c>
      <c r="B1600" s="3" t="n">
        <v>1598</v>
      </c>
      <c r="C1600" s="3" t="n">
        <v>2</v>
      </c>
      <c r="D1600" s="3" t="n">
        <v>1</v>
      </c>
      <c r="E1600" s="3" t="n">
        <v>2</v>
      </c>
      <c r="F1600" s="24" t="n">
        <v>0</v>
      </c>
    </row>
    <row r="1601" customFormat="false" ht="15" hidden="false" customHeight="false" outlineLevel="0" collapsed="false">
      <c r="A1601" s="3" t="n">
        <v>1600</v>
      </c>
      <c r="B1601" s="3" t="n">
        <v>1599</v>
      </c>
      <c r="C1601" s="3" t="n">
        <v>2</v>
      </c>
      <c r="D1601" s="3" t="n">
        <v>1</v>
      </c>
      <c r="E1601" s="3" t="n">
        <v>3</v>
      </c>
      <c r="F1601" s="24" t="n">
        <v>0</v>
      </c>
    </row>
    <row r="1602" customFormat="false" ht="15" hidden="false" customHeight="false" outlineLevel="0" collapsed="false">
      <c r="A1602" s="3" t="n">
        <v>1601</v>
      </c>
      <c r="B1602" s="3" t="n">
        <v>1600</v>
      </c>
      <c r="C1602" s="3" t="n">
        <v>2</v>
      </c>
      <c r="D1602" s="3" t="n">
        <v>1</v>
      </c>
      <c r="E1602" s="3" t="n">
        <v>4</v>
      </c>
      <c r="F1602" s="24" t="n">
        <v>0</v>
      </c>
    </row>
    <row r="1603" customFormat="false" ht="15" hidden="false" customHeight="false" outlineLevel="0" collapsed="false">
      <c r="A1603" s="3" t="n">
        <v>1602</v>
      </c>
      <c r="B1603" s="3" t="n">
        <v>1601</v>
      </c>
      <c r="C1603" s="3" t="n">
        <v>2</v>
      </c>
      <c r="D1603" s="3" t="n">
        <v>1</v>
      </c>
      <c r="E1603" s="3" t="n">
        <v>5</v>
      </c>
      <c r="F1603" s="24" t="n">
        <v>0</v>
      </c>
    </row>
    <row r="1604" customFormat="false" ht="15" hidden="false" customHeight="false" outlineLevel="0" collapsed="false">
      <c r="A1604" s="3" t="n">
        <v>1603</v>
      </c>
      <c r="B1604" s="3" t="n">
        <v>1602</v>
      </c>
      <c r="C1604" s="3" t="n">
        <v>2</v>
      </c>
      <c r="D1604" s="3" t="n">
        <v>1</v>
      </c>
      <c r="E1604" s="3" t="n">
        <v>6</v>
      </c>
      <c r="F1604" s="24" t="n">
        <v>0</v>
      </c>
    </row>
    <row r="1605" customFormat="false" ht="15" hidden="false" customHeight="false" outlineLevel="0" collapsed="false">
      <c r="A1605" s="3" t="n">
        <v>1604</v>
      </c>
      <c r="B1605" s="3" t="n">
        <v>1603</v>
      </c>
      <c r="C1605" s="3" t="n">
        <v>2</v>
      </c>
      <c r="D1605" s="3" t="n">
        <v>1</v>
      </c>
      <c r="E1605" s="3" t="n">
        <v>7</v>
      </c>
      <c r="F1605" s="24" t="n">
        <v>0</v>
      </c>
    </row>
    <row r="1606" customFormat="false" ht="15" hidden="false" customHeight="false" outlineLevel="0" collapsed="false">
      <c r="A1606" s="3" t="n">
        <v>1605</v>
      </c>
      <c r="B1606" s="3" t="n">
        <v>1604</v>
      </c>
      <c r="C1606" s="3" t="n">
        <v>2</v>
      </c>
      <c r="D1606" s="3" t="n">
        <v>1</v>
      </c>
      <c r="E1606" s="3" t="n">
        <v>8</v>
      </c>
      <c r="F1606" s="24" t="n">
        <v>0</v>
      </c>
    </row>
    <row r="1607" customFormat="false" ht="15" hidden="false" customHeight="false" outlineLevel="0" collapsed="false">
      <c r="A1607" s="3" t="n">
        <v>1606</v>
      </c>
      <c r="B1607" s="3" t="n">
        <v>1605</v>
      </c>
      <c r="C1607" s="3" t="n">
        <v>2</v>
      </c>
      <c r="D1607" s="3" t="n">
        <v>1</v>
      </c>
      <c r="E1607" s="3" t="n">
        <v>9</v>
      </c>
      <c r="F1607" s="24" t="n">
        <v>0</v>
      </c>
    </row>
    <row r="1608" customFormat="false" ht="15" hidden="false" customHeight="false" outlineLevel="0" collapsed="false">
      <c r="A1608" s="3" t="n">
        <v>1607</v>
      </c>
      <c r="B1608" s="3" t="n">
        <v>1606</v>
      </c>
      <c r="C1608" s="3" t="n">
        <v>2</v>
      </c>
      <c r="D1608" s="3" t="n">
        <v>1</v>
      </c>
      <c r="E1608" s="3" t="n">
        <v>10</v>
      </c>
      <c r="F1608" s="24" t="n">
        <v>0</v>
      </c>
    </row>
    <row r="1609" customFormat="false" ht="15" hidden="false" customHeight="false" outlineLevel="0" collapsed="false">
      <c r="A1609" s="3" t="n">
        <v>1608</v>
      </c>
      <c r="B1609" s="3" t="n">
        <v>1607</v>
      </c>
      <c r="C1609" s="3" t="n">
        <v>2</v>
      </c>
      <c r="D1609" s="3" t="n">
        <v>1</v>
      </c>
      <c r="E1609" s="3" t="n">
        <v>11</v>
      </c>
      <c r="F1609" s="24" t="n">
        <v>0</v>
      </c>
    </row>
    <row r="1610" customFormat="false" ht="15" hidden="false" customHeight="false" outlineLevel="0" collapsed="false">
      <c r="A1610" s="3" t="n">
        <v>1609</v>
      </c>
      <c r="B1610" s="3" t="n">
        <v>1608</v>
      </c>
      <c r="C1610" s="3" t="n">
        <v>2</v>
      </c>
      <c r="D1610" s="3" t="n">
        <v>1</v>
      </c>
      <c r="E1610" s="3" t="n">
        <v>12</v>
      </c>
      <c r="F1610" s="24" t="n">
        <v>0</v>
      </c>
    </row>
    <row r="1611" customFormat="false" ht="15" hidden="false" customHeight="false" outlineLevel="0" collapsed="false">
      <c r="A1611" s="3" t="n">
        <v>1610</v>
      </c>
      <c r="B1611" s="3" t="n">
        <v>1609</v>
      </c>
      <c r="C1611" s="3" t="n">
        <v>2</v>
      </c>
      <c r="D1611" s="3" t="n">
        <v>1</v>
      </c>
      <c r="E1611" s="3" t="n">
        <v>13</v>
      </c>
      <c r="F1611" s="24" t="n">
        <v>0</v>
      </c>
    </row>
    <row r="1612" customFormat="false" ht="15" hidden="false" customHeight="false" outlineLevel="0" collapsed="false">
      <c r="A1612" s="3" t="n">
        <v>1611</v>
      </c>
      <c r="B1612" s="3" t="n">
        <v>1610</v>
      </c>
      <c r="C1612" s="3" t="n">
        <v>2</v>
      </c>
      <c r="D1612" s="3" t="n">
        <v>1</v>
      </c>
      <c r="E1612" s="3" t="n">
        <v>14</v>
      </c>
      <c r="F1612" s="24" t="n">
        <v>0</v>
      </c>
    </row>
    <row r="1613" customFormat="false" ht="15" hidden="false" customHeight="false" outlineLevel="0" collapsed="false">
      <c r="A1613" s="3" t="n">
        <v>1612</v>
      </c>
      <c r="B1613" s="3" t="n">
        <v>1611</v>
      </c>
      <c r="C1613" s="3" t="n">
        <v>2</v>
      </c>
      <c r="D1613" s="3" t="n">
        <v>1</v>
      </c>
      <c r="E1613" s="3" t="n">
        <v>15</v>
      </c>
      <c r="F1613" s="24" t="n">
        <v>0</v>
      </c>
    </row>
    <row r="1614" customFormat="false" ht="15" hidden="false" customHeight="false" outlineLevel="0" collapsed="false">
      <c r="A1614" s="3" t="n">
        <v>1613</v>
      </c>
      <c r="B1614" s="3" t="n">
        <v>1612</v>
      </c>
      <c r="C1614" s="3" t="n">
        <v>2</v>
      </c>
      <c r="D1614" s="3" t="n">
        <v>1</v>
      </c>
      <c r="E1614" s="3" t="n">
        <v>16</v>
      </c>
      <c r="F1614" s="24" t="n">
        <v>0</v>
      </c>
    </row>
    <row r="1615" customFormat="false" ht="15" hidden="false" customHeight="false" outlineLevel="0" collapsed="false">
      <c r="A1615" s="3" t="n">
        <v>1614</v>
      </c>
      <c r="B1615" s="3" t="n">
        <v>1613</v>
      </c>
      <c r="C1615" s="3" t="n">
        <v>2</v>
      </c>
      <c r="D1615" s="3" t="n">
        <v>1</v>
      </c>
      <c r="E1615" s="3" t="n">
        <v>17</v>
      </c>
      <c r="F1615" s="24" t="n">
        <v>0</v>
      </c>
    </row>
    <row r="1616" customFormat="false" ht="15" hidden="false" customHeight="false" outlineLevel="0" collapsed="false">
      <c r="A1616" s="3" t="n">
        <v>1615</v>
      </c>
      <c r="B1616" s="3" t="n">
        <v>1614</v>
      </c>
      <c r="C1616" s="3" t="n">
        <v>2</v>
      </c>
      <c r="D1616" s="3" t="n">
        <v>1</v>
      </c>
      <c r="E1616" s="3" t="n">
        <v>18</v>
      </c>
      <c r="F1616" s="24" t="n">
        <v>0</v>
      </c>
    </row>
    <row r="1617" customFormat="false" ht="15" hidden="false" customHeight="false" outlineLevel="0" collapsed="false">
      <c r="A1617" s="3" t="n">
        <v>1616</v>
      </c>
      <c r="B1617" s="3" t="n">
        <v>1615</v>
      </c>
      <c r="C1617" s="3" t="n">
        <v>2</v>
      </c>
      <c r="D1617" s="3" t="n">
        <v>1</v>
      </c>
      <c r="E1617" s="3" t="n">
        <v>19</v>
      </c>
      <c r="F1617" s="24" t="n">
        <v>0</v>
      </c>
    </row>
    <row r="1618" customFormat="false" ht="15" hidden="false" customHeight="false" outlineLevel="0" collapsed="false">
      <c r="A1618" s="3" t="n">
        <v>1617</v>
      </c>
      <c r="B1618" s="3" t="n">
        <v>1616</v>
      </c>
      <c r="C1618" s="3" t="n">
        <v>2</v>
      </c>
      <c r="D1618" s="3" t="n">
        <v>1</v>
      </c>
      <c r="E1618" s="3" t="n">
        <v>20</v>
      </c>
      <c r="F1618" s="24" t="n">
        <v>0</v>
      </c>
    </row>
    <row r="1619" customFormat="false" ht="15" hidden="false" customHeight="false" outlineLevel="0" collapsed="false">
      <c r="A1619" s="3" t="n">
        <v>1618</v>
      </c>
      <c r="B1619" s="3" t="n">
        <v>1617</v>
      </c>
      <c r="C1619" s="3" t="n">
        <v>2</v>
      </c>
      <c r="D1619" s="3" t="n">
        <v>1</v>
      </c>
      <c r="E1619" s="3" t="n">
        <v>21</v>
      </c>
      <c r="F1619" s="24" t="n">
        <v>0</v>
      </c>
    </row>
    <row r="1620" customFormat="false" ht="15" hidden="false" customHeight="false" outlineLevel="0" collapsed="false">
      <c r="A1620" s="3" t="n">
        <v>1619</v>
      </c>
      <c r="B1620" s="3" t="n">
        <v>1618</v>
      </c>
      <c r="C1620" s="3" t="n">
        <v>2</v>
      </c>
      <c r="D1620" s="3" t="n">
        <v>1</v>
      </c>
      <c r="E1620" s="3" t="n">
        <v>22</v>
      </c>
      <c r="F1620" s="24" t="n">
        <v>0</v>
      </c>
    </row>
    <row r="1621" customFormat="false" ht="15" hidden="false" customHeight="false" outlineLevel="0" collapsed="false">
      <c r="A1621" s="3" t="n">
        <v>1620</v>
      </c>
      <c r="B1621" s="3" t="n">
        <v>1619</v>
      </c>
      <c r="C1621" s="3" t="n">
        <v>2</v>
      </c>
      <c r="D1621" s="3" t="n">
        <v>1</v>
      </c>
      <c r="E1621" s="3" t="n">
        <v>23</v>
      </c>
      <c r="F1621" s="24" t="n">
        <v>0</v>
      </c>
    </row>
    <row r="1622" customFormat="false" ht="15" hidden="false" customHeight="false" outlineLevel="0" collapsed="false">
      <c r="A1622" s="3" t="n">
        <v>1621</v>
      </c>
      <c r="B1622" s="3" t="n">
        <v>1620</v>
      </c>
      <c r="C1622" s="3" t="n">
        <v>2</v>
      </c>
      <c r="D1622" s="3" t="n">
        <v>1</v>
      </c>
      <c r="E1622" s="3" t="n">
        <v>24</v>
      </c>
      <c r="F1622" s="24" t="n">
        <v>0</v>
      </c>
    </row>
    <row r="1623" customFormat="false" ht="15" hidden="false" customHeight="false" outlineLevel="0" collapsed="false">
      <c r="A1623" s="3" t="n">
        <v>1622</v>
      </c>
      <c r="B1623" s="3" t="n">
        <v>1621</v>
      </c>
      <c r="C1623" s="3" t="n">
        <v>2</v>
      </c>
      <c r="D1623" s="3" t="n">
        <v>1</v>
      </c>
      <c r="E1623" s="3" t="n">
        <v>25</v>
      </c>
      <c r="F1623" s="24" t="n">
        <v>0</v>
      </c>
    </row>
    <row r="1624" customFormat="false" ht="15" hidden="false" customHeight="false" outlineLevel="0" collapsed="false">
      <c r="A1624" s="3" t="n">
        <v>1623</v>
      </c>
      <c r="B1624" s="3" t="n">
        <v>1622</v>
      </c>
      <c r="C1624" s="3" t="n">
        <v>2</v>
      </c>
      <c r="D1624" s="3" t="n">
        <v>1</v>
      </c>
      <c r="E1624" s="3" t="n">
        <v>26</v>
      </c>
      <c r="F1624" s="24" t="n">
        <v>0</v>
      </c>
    </row>
    <row r="1625" customFormat="false" ht="15" hidden="false" customHeight="false" outlineLevel="0" collapsed="false">
      <c r="A1625" s="3" t="n">
        <v>1624</v>
      </c>
      <c r="B1625" s="3" t="n">
        <v>1623</v>
      </c>
      <c r="C1625" s="3" t="n">
        <v>2</v>
      </c>
      <c r="D1625" s="3" t="n">
        <v>1</v>
      </c>
      <c r="E1625" s="3" t="n">
        <v>27</v>
      </c>
      <c r="F1625" s="24" t="n">
        <v>0.387737483</v>
      </c>
    </row>
    <row r="1626" customFormat="false" ht="15" hidden="false" customHeight="false" outlineLevel="0" collapsed="false">
      <c r="A1626" s="3" t="n">
        <v>1625</v>
      </c>
      <c r="B1626" s="3" t="n">
        <v>1624</v>
      </c>
      <c r="C1626" s="3" t="n">
        <v>2</v>
      </c>
      <c r="D1626" s="3" t="n">
        <v>2</v>
      </c>
      <c r="E1626" s="3" t="n">
        <v>0</v>
      </c>
      <c r="F1626" s="24" t="n">
        <v>0</v>
      </c>
    </row>
    <row r="1627" customFormat="false" ht="15" hidden="false" customHeight="false" outlineLevel="0" collapsed="false">
      <c r="A1627" s="3" t="n">
        <v>1626</v>
      </c>
      <c r="B1627" s="3" t="n">
        <v>1625</v>
      </c>
      <c r="C1627" s="3" t="n">
        <v>2</v>
      </c>
      <c r="D1627" s="3" t="n">
        <v>2</v>
      </c>
      <c r="E1627" s="3" t="n">
        <v>1</v>
      </c>
      <c r="F1627" s="24" t="n">
        <v>0</v>
      </c>
    </row>
    <row r="1628" customFormat="false" ht="15" hidden="false" customHeight="false" outlineLevel="0" collapsed="false">
      <c r="A1628" s="3" t="n">
        <v>1627</v>
      </c>
      <c r="B1628" s="3" t="n">
        <v>1626</v>
      </c>
      <c r="C1628" s="3" t="n">
        <v>2</v>
      </c>
      <c r="D1628" s="3" t="n">
        <v>2</v>
      </c>
      <c r="E1628" s="3" t="n">
        <v>2</v>
      </c>
      <c r="F1628" s="24" t="n">
        <v>0</v>
      </c>
    </row>
    <row r="1629" customFormat="false" ht="15" hidden="false" customHeight="false" outlineLevel="0" collapsed="false">
      <c r="A1629" s="3" t="n">
        <v>1628</v>
      </c>
      <c r="B1629" s="3" t="n">
        <v>1627</v>
      </c>
      <c r="C1629" s="3" t="n">
        <v>2</v>
      </c>
      <c r="D1629" s="3" t="n">
        <v>2</v>
      </c>
      <c r="E1629" s="3" t="n">
        <v>3</v>
      </c>
      <c r="F1629" s="24" t="n">
        <v>0</v>
      </c>
    </row>
    <row r="1630" customFormat="false" ht="15" hidden="false" customHeight="false" outlineLevel="0" collapsed="false">
      <c r="A1630" s="3" t="n">
        <v>1629</v>
      </c>
      <c r="B1630" s="3" t="n">
        <v>1628</v>
      </c>
      <c r="C1630" s="3" t="n">
        <v>2</v>
      </c>
      <c r="D1630" s="3" t="n">
        <v>2</v>
      </c>
      <c r="E1630" s="3" t="n">
        <v>4</v>
      </c>
      <c r="F1630" s="24" t="n">
        <v>0</v>
      </c>
    </row>
    <row r="1631" customFormat="false" ht="15" hidden="false" customHeight="false" outlineLevel="0" collapsed="false">
      <c r="A1631" s="3" t="n">
        <v>1630</v>
      </c>
      <c r="B1631" s="3" t="n">
        <v>1629</v>
      </c>
      <c r="C1631" s="3" t="n">
        <v>2</v>
      </c>
      <c r="D1631" s="3" t="n">
        <v>2</v>
      </c>
      <c r="E1631" s="3" t="n">
        <v>5</v>
      </c>
      <c r="F1631" s="24" t="n">
        <v>0</v>
      </c>
    </row>
    <row r="1632" customFormat="false" ht="15" hidden="false" customHeight="false" outlineLevel="0" collapsed="false">
      <c r="A1632" s="3" t="n">
        <v>1631</v>
      </c>
      <c r="B1632" s="3" t="n">
        <v>1630</v>
      </c>
      <c r="C1632" s="3" t="n">
        <v>2</v>
      </c>
      <c r="D1632" s="3" t="n">
        <v>2</v>
      </c>
      <c r="E1632" s="3" t="n">
        <v>6</v>
      </c>
      <c r="F1632" s="24" t="n">
        <v>0</v>
      </c>
    </row>
    <row r="1633" customFormat="false" ht="15" hidden="false" customHeight="false" outlineLevel="0" collapsed="false">
      <c r="A1633" s="3" t="n">
        <v>1632</v>
      </c>
      <c r="B1633" s="3" t="n">
        <v>1631</v>
      </c>
      <c r="C1633" s="3" t="n">
        <v>2</v>
      </c>
      <c r="D1633" s="3" t="n">
        <v>2</v>
      </c>
      <c r="E1633" s="3" t="n">
        <v>7</v>
      </c>
      <c r="F1633" s="24" t="n">
        <v>0</v>
      </c>
    </row>
    <row r="1634" customFormat="false" ht="15" hidden="false" customHeight="false" outlineLevel="0" collapsed="false">
      <c r="A1634" s="3" t="n">
        <v>1633</v>
      </c>
      <c r="B1634" s="3" t="n">
        <v>1632</v>
      </c>
      <c r="C1634" s="3" t="n">
        <v>2</v>
      </c>
      <c r="D1634" s="3" t="n">
        <v>2</v>
      </c>
      <c r="E1634" s="3" t="n">
        <v>8</v>
      </c>
      <c r="F1634" s="24" t="n">
        <v>0</v>
      </c>
    </row>
    <row r="1635" customFormat="false" ht="15" hidden="false" customHeight="false" outlineLevel="0" collapsed="false">
      <c r="A1635" s="3" t="n">
        <v>1634</v>
      </c>
      <c r="B1635" s="3" t="n">
        <v>1633</v>
      </c>
      <c r="C1635" s="3" t="n">
        <v>2</v>
      </c>
      <c r="D1635" s="3" t="n">
        <v>2</v>
      </c>
      <c r="E1635" s="3" t="n">
        <v>9</v>
      </c>
      <c r="F1635" s="24" t="n">
        <v>0</v>
      </c>
    </row>
    <row r="1636" customFormat="false" ht="15" hidden="false" customHeight="false" outlineLevel="0" collapsed="false">
      <c r="A1636" s="3" t="n">
        <v>1635</v>
      </c>
      <c r="B1636" s="3" t="n">
        <v>1634</v>
      </c>
      <c r="C1636" s="3" t="n">
        <v>2</v>
      </c>
      <c r="D1636" s="3" t="n">
        <v>2</v>
      </c>
      <c r="E1636" s="3" t="n">
        <v>10</v>
      </c>
      <c r="F1636" s="24" t="n">
        <v>0</v>
      </c>
    </row>
    <row r="1637" customFormat="false" ht="15" hidden="false" customHeight="false" outlineLevel="0" collapsed="false">
      <c r="A1637" s="3" t="n">
        <v>1636</v>
      </c>
      <c r="B1637" s="3" t="n">
        <v>1635</v>
      </c>
      <c r="C1637" s="3" t="n">
        <v>2</v>
      </c>
      <c r="D1637" s="3" t="n">
        <v>2</v>
      </c>
      <c r="E1637" s="3" t="n">
        <v>11</v>
      </c>
      <c r="F1637" s="24" t="n">
        <v>0</v>
      </c>
    </row>
    <row r="1638" customFormat="false" ht="15" hidden="false" customHeight="false" outlineLevel="0" collapsed="false">
      <c r="A1638" s="3" t="n">
        <v>1637</v>
      </c>
      <c r="B1638" s="3" t="n">
        <v>1636</v>
      </c>
      <c r="C1638" s="3" t="n">
        <v>2</v>
      </c>
      <c r="D1638" s="3" t="n">
        <v>2</v>
      </c>
      <c r="E1638" s="3" t="n">
        <v>12</v>
      </c>
      <c r="F1638" s="24" t="n">
        <v>0</v>
      </c>
    </row>
    <row r="1639" customFormat="false" ht="15" hidden="false" customHeight="false" outlineLevel="0" collapsed="false">
      <c r="A1639" s="3" t="n">
        <v>1638</v>
      </c>
      <c r="B1639" s="3" t="n">
        <v>1637</v>
      </c>
      <c r="C1639" s="3" t="n">
        <v>2</v>
      </c>
      <c r="D1639" s="3" t="n">
        <v>2</v>
      </c>
      <c r="E1639" s="3" t="n">
        <v>13</v>
      </c>
      <c r="F1639" s="24" t="n">
        <v>0</v>
      </c>
    </row>
    <row r="1640" customFormat="false" ht="15" hidden="false" customHeight="false" outlineLevel="0" collapsed="false">
      <c r="A1640" s="3" t="n">
        <v>1639</v>
      </c>
      <c r="B1640" s="3" t="n">
        <v>1638</v>
      </c>
      <c r="C1640" s="3" t="n">
        <v>2</v>
      </c>
      <c r="D1640" s="3" t="n">
        <v>2</v>
      </c>
      <c r="E1640" s="3" t="n">
        <v>14</v>
      </c>
      <c r="F1640" s="24" t="n">
        <v>0</v>
      </c>
    </row>
    <row r="1641" customFormat="false" ht="15" hidden="false" customHeight="false" outlineLevel="0" collapsed="false">
      <c r="A1641" s="3" t="n">
        <v>1640</v>
      </c>
      <c r="B1641" s="3" t="n">
        <v>1639</v>
      </c>
      <c r="C1641" s="3" t="n">
        <v>2</v>
      </c>
      <c r="D1641" s="3" t="n">
        <v>2</v>
      </c>
      <c r="E1641" s="3" t="n">
        <v>15</v>
      </c>
      <c r="F1641" s="24" t="n">
        <v>0</v>
      </c>
    </row>
    <row r="1642" customFormat="false" ht="15" hidden="false" customHeight="false" outlineLevel="0" collapsed="false">
      <c r="A1642" s="3" t="n">
        <v>1641</v>
      </c>
      <c r="B1642" s="3" t="n">
        <v>1640</v>
      </c>
      <c r="C1642" s="3" t="n">
        <v>2</v>
      </c>
      <c r="D1642" s="3" t="n">
        <v>2</v>
      </c>
      <c r="E1642" s="3" t="n">
        <v>16</v>
      </c>
      <c r="F1642" s="24" t="n">
        <v>0</v>
      </c>
    </row>
    <row r="1643" customFormat="false" ht="15" hidden="false" customHeight="false" outlineLevel="0" collapsed="false">
      <c r="A1643" s="3" t="n">
        <v>1642</v>
      </c>
      <c r="B1643" s="3" t="n">
        <v>1641</v>
      </c>
      <c r="C1643" s="3" t="n">
        <v>2</v>
      </c>
      <c r="D1643" s="3" t="n">
        <v>2</v>
      </c>
      <c r="E1643" s="3" t="n">
        <v>17</v>
      </c>
      <c r="F1643" s="24" t="n">
        <v>0</v>
      </c>
    </row>
    <row r="1644" customFormat="false" ht="15" hidden="false" customHeight="false" outlineLevel="0" collapsed="false">
      <c r="A1644" s="3" t="n">
        <v>1643</v>
      </c>
      <c r="B1644" s="3" t="n">
        <v>1642</v>
      </c>
      <c r="C1644" s="3" t="n">
        <v>2</v>
      </c>
      <c r="D1644" s="3" t="n">
        <v>2</v>
      </c>
      <c r="E1644" s="3" t="n">
        <v>18</v>
      </c>
      <c r="F1644" s="24" t="n">
        <v>0</v>
      </c>
    </row>
    <row r="1645" customFormat="false" ht="15" hidden="false" customHeight="false" outlineLevel="0" collapsed="false">
      <c r="A1645" s="3" t="n">
        <v>1644</v>
      </c>
      <c r="B1645" s="3" t="n">
        <v>1643</v>
      </c>
      <c r="C1645" s="3" t="n">
        <v>2</v>
      </c>
      <c r="D1645" s="3" t="n">
        <v>2</v>
      </c>
      <c r="E1645" s="3" t="n">
        <v>19</v>
      </c>
      <c r="F1645" s="24" t="n">
        <v>0</v>
      </c>
    </row>
    <row r="1646" customFormat="false" ht="15" hidden="false" customHeight="false" outlineLevel="0" collapsed="false">
      <c r="A1646" s="3" t="n">
        <v>1645</v>
      </c>
      <c r="B1646" s="3" t="n">
        <v>1644</v>
      </c>
      <c r="C1646" s="3" t="n">
        <v>2</v>
      </c>
      <c r="D1646" s="3" t="n">
        <v>2</v>
      </c>
      <c r="E1646" s="3" t="n">
        <v>20</v>
      </c>
      <c r="F1646" s="24" t="n">
        <v>0</v>
      </c>
    </row>
    <row r="1647" customFormat="false" ht="15" hidden="false" customHeight="false" outlineLevel="0" collapsed="false">
      <c r="A1647" s="3" t="n">
        <v>1646</v>
      </c>
      <c r="B1647" s="3" t="n">
        <v>1645</v>
      </c>
      <c r="C1647" s="3" t="n">
        <v>2</v>
      </c>
      <c r="D1647" s="3" t="n">
        <v>2</v>
      </c>
      <c r="E1647" s="3" t="n">
        <v>21</v>
      </c>
      <c r="F1647" s="24" t="n">
        <v>0</v>
      </c>
    </row>
    <row r="1648" customFormat="false" ht="15" hidden="false" customHeight="false" outlineLevel="0" collapsed="false">
      <c r="A1648" s="3" t="n">
        <v>1647</v>
      </c>
      <c r="B1648" s="3" t="n">
        <v>1646</v>
      </c>
      <c r="C1648" s="3" t="n">
        <v>2</v>
      </c>
      <c r="D1648" s="3" t="n">
        <v>2</v>
      </c>
      <c r="E1648" s="3" t="n">
        <v>22</v>
      </c>
      <c r="F1648" s="24" t="n">
        <v>0</v>
      </c>
    </row>
    <row r="1649" customFormat="false" ht="15" hidden="false" customHeight="false" outlineLevel="0" collapsed="false">
      <c r="A1649" s="3" t="n">
        <v>1648</v>
      </c>
      <c r="B1649" s="3" t="n">
        <v>1647</v>
      </c>
      <c r="C1649" s="3" t="n">
        <v>2</v>
      </c>
      <c r="D1649" s="3" t="n">
        <v>2</v>
      </c>
      <c r="E1649" s="3" t="n">
        <v>23</v>
      </c>
      <c r="F1649" s="24" t="n">
        <v>0</v>
      </c>
    </row>
    <row r="1650" customFormat="false" ht="15" hidden="false" customHeight="false" outlineLevel="0" collapsed="false">
      <c r="A1650" s="3" t="n">
        <v>1649</v>
      </c>
      <c r="B1650" s="3" t="n">
        <v>1648</v>
      </c>
      <c r="C1650" s="3" t="n">
        <v>2</v>
      </c>
      <c r="D1650" s="3" t="n">
        <v>2</v>
      </c>
      <c r="E1650" s="3" t="n">
        <v>24</v>
      </c>
      <c r="F1650" s="24" t="n">
        <v>0</v>
      </c>
    </row>
    <row r="1651" customFormat="false" ht="15" hidden="false" customHeight="false" outlineLevel="0" collapsed="false">
      <c r="A1651" s="3" t="n">
        <v>1650</v>
      </c>
      <c r="B1651" s="3" t="n">
        <v>1649</v>
      </c>
      <c r="C1651" s="3" t="n">
        <v>2</v>
      </c>
      <c r="D1651" s="3" t="n">
        <v>2</v>
      </c>
      <c r="E1651" s="3" t="n">
        <v>25</v>
      </c>
      <c r="F1651" s="24" t="n">
        <v>0</v>
      </c>
    </row>
    <row r="1652" customFormat="false" ht="15" hidden="false" customHeight="false" outlineLevel="0" collapsed="false">
      <c r="A1652" s="3" t="n">
        <v>1651</v>
      </c>
      <c r="B1652" s="3" t="n">
        <v>1650</v>
      </c>
      <c r="C1652" s="3" t="n">
        <v>2</v>
      </c>
      <c r="D1652" s="3" t="n">
        <v>2</v>
      </c>
      <c r="E1652" s="3" t="n">
        <v>26</v>
      </c>
      <c r="F1652" s="24" t="n">
        <v>0</v>
      </c>
    </row>
    <row r="1653" customFormat="false" ht="15" hidden="false" customHeight="false" outlineLevel="0" collapsed="false">
      <c r="A1653" s="3" t="n">
        <v>1652</v>
      </c>
      <c r="B1653" s="3" t="n">
        <v>1651</v>
      </c>
      <c r="C1653" s="3" t="n">
        <v>2</v>
      </c>
      <c r="D1653" s="3" t="n">
        <v>2</v>
      </c>
      <c r="E1653" s="3" t="n">
        <v>27</v>
      </c>
      <c r="F1653" s="24" t="n">
        <v>0.387737483</v>
      </c>
    </row>
    <row r="1654" customFormat="false" ht="15" hidden="false" customHeight="false" outlineLevel="0" collapsed="false">
      <c r="A1654" s="3" t="n">
        <v>1653</v>
      </c>
      <c r="B1654" s="3" t="n">
        <v>1652</v>
      </c>
      <c r="C1654" s="3" t="n">
        <v>2</v>
      </c>
      <c r="D1654" s="3" t="n">
        <v>3</v>
      </c>
      <c r="E1654" s="3" t="n">
        <v>0</v>
      </c>
      <c r="F1654" s="24" t="n">
        <v>0</v>
      </c>
    </row>
    <row r="1655" customFormat="false" ht="15" hidden="false" customHeight="false" outlineLevel="0" collapsed="false">
      <c r="A1655" s="3" t="n">
        <v>1654</v>
      </c>
      <c r="B1655" s="3" t="n">
        <v>1653</v>
      </c>
      <c r="C1655" s="3" t="n">
        <v>2</v>
      </c>
      <c r="D1655" s="3" t="n">
        <v>3</v>
      </c>
      <c r="E1655" s="3" t="n">
        <v>1</v>
      </c>
      <c r="F1655" s="24" t="n">
        <v>0</v>
      </c>
    </row>
    <row r="1656" customFormat="false" ht="15" hidden="false" customHeight="false" outlineLevel="0" collapsed="false">
      <c r="A1656" s="3" t="n">
        <v>1655</v>
      </c>
      <c r="B1656" s="3" t="n">
        <v>1654</v>
      </c>
      <c r="C1656" s="3" t="n">
        <v>2</v>
      </c>
      <c r="D1656" s="3" t="n">
        <v>3</v>
      </c>
      <c r="E1656" s="3" t="n">
        <v>2</v>
      </c>
      <c r="F1656" s="24" t="n">
        <v>0</v>
      </c>
    </row>
    <row r="1657" customFormat="false" ht="15" hidden="false" customHeight="false" outlineLevel="0" collapsed="false">
      <c r="A1657" s="3" t="n">
        <v>1656</v>
      </c>
      <c r="B1657" s="3" t="n">
        <v>1655</v>
      </c>
      <c r="C1657" s="3" t="n">
        <v>2</v>
      </c>
      <c r="D1657" s="3" t="n">
        <v>3</v>
      </c>
      <c r="E1657" s="3" t="n">
        <v>3</v>
      </c>
      <c r="F1657" s="24" t="n">
        <v>0</v>
      </c>
    </row>
    <row r="1658" customFormat="false" ht="15" hidden="false" customHeight="false" outlineLevel="0" collapsed="false">
      <c r="A1658" s="3" t="n">
        <v>1657</v>
      </c>
      <c r="B1658" s="3" t="n">
        <v>1656</v>
      </c>
      <c r="C1658" s="3" t="n">
        <v>2</v>
      </c>
      <c r="D1658" s="3" t="n">
        <v>3</v>
      </c>
      <c r="E1658" s="3" t="n">
        <v>4</v>
      </c>
      <c r="F1658" s="24" t="n">
        <v>0</v>
      </c>
    </row>
    <row r="1659" customFormat="false" ht="15" hidden="false" customHeight="false" outlineLevel="0" collapsed="false">
      <c r="A1659" s="3" t="n">
        <v>1658</v>
      </c>
      <c r="B1659" s="3" t="n">
        <v>1657</v>
      </c>
      <c r="C1659" s="3" t="n">
        <v>2</v>
      </c>
      <c r="D1659" s="3" t="n">
        <v>3</v>
      </c>
      <c r="E1659" s="3" t="n">
        <v>5</v>
      </c>
      <c r="F1659" s="24" t="n">
        <v>0</v>
      </c>
    </row>
    <row r="1660" customFormat="false" ht="15" hidden="false" customHeight="false" outlineLevel="0" collapsed="false">
      <c r="A1660" s="3" t="n">
        <v>1659</v>
      </c>
      <c r="B1660" s="3" t="n">
        <v>1658</v>
      </c>
      <c r="C1660" s="3" t="n">
        <v>2</v>
      </c>
      <c r="D1660" s="3" t="n">
        <v>3</v>
      </c>
      <c r="E1660" s="3" t="n">
        <v>6</v>
      </c>
      <c r="F1660" s="24" t="n">
        <v>0</v>
      </c>
    </row>
    <row r="1661" customFormat="false" ht="15" hidden="false" customHeight="false" outlineLevel="0" collapsed="false">
      <c r="A1661" s="3" t="n">
        <v>1660</v>
      </c>
      <c r="B1661" s="3" t="n">
        <v>1659</v>
      </c>
      <c r="C1661" s="3" t="n">
        <v>2</v>
      </c>
      <c r="D1661" s="3" t="n">
        <v>3</v>
      </c>
      <c r="E1661" s="3" t="n">
        <v>7</v>
      </c>
      <c r="F1661" s="24" t="n">
        <v>0</v>
      </c>
    </row>
    <row r="1662" customFormat="false" ht="15" hidden="false" customHeight="false" outlineLevel="0" collapsed="false">
      <c r="A1662" s="3" t="n">
        <v>1661</v>
      </c>
      <c r="B1662" s="3" t="n">
        <v>1660</v>
      </c>
      <c r="C1662" s="3" t="n">
        <v>2</v>
      </c>
      <c r="D1662" s="3" t="n">
        <v>3</v>
      </c>
      <c r="E1662" s="3" t="n">
        <v>8</v>
      </c>
      <c r="F1662" s="24" t="n">
        <v>0</v>
      </c>
    </row>
    <row r="1663" customFormat="false" ht="15" hidden="false" customHeight="false" outlineLevel="0" collapsed="false">
      <c r="A1663" s="3" t="n">
        <v>1662</v>
      </c>
      <c r="B1663" s="3" t="n">
        <v>1661</v>
      </c>
      <c r="C1663" s="3" t="n">
        <v>2</v>
      </c>
      <c r="D1663" s="3" t="n">
        <v>3</v>
      </c>
      <c r="E1663" s="3" t="n">
        <v>9</v>
      </c>
      <c r="F1663" s="24" t="n">
        <v>0</v>
      </c>
    </row>
    <row r="1664" customFormat="false" ht="15" hidden="false" customHeight="false" outlineLevel="0" collapsed="false">
      <c r="A1664" s="3" t="n">
        <v>1663</v>
      </c>
      <c r="B1664" s="3" t="n">
        <v>1662</v>
      </c>
      <c r="C1664" s="3" t="n">
        <v>2</v>
      </c>
      <c r="D1664" s="3" t="n">
        <v>3</v>
      </c>
      <c r="E1664" s="3" t="n">
        <v>10</v>
      </c>
      <c r="F1664" s="24" t="n">
        <v>0</v>
      </c>
    </row>
    <row r="1665" customFormat="false" ht="15" hidden="false" customHeight="false" outlineLevel="0" collapsed="false">
      <c r="A1665" s="3" t="n">
        <v>1664</v>
      </c>
      <c r="B1665" s="3" t="n">
        <v>1663</v>
      </c>
      <c r="C1665" s="3" t="n">
        <v>2</v>
      </c>
      <c r="D1665" s="3" t="n">
        <v>3</v>
      </c>
      <c r="E1665" s="3" t="n">
        <v>11</v>
      </c>
      <c r="F1665" s="24" t="n">
        <v>0</v>
      </c>
    </row>
    <row r="1666" customFormat="false" ht="15" hidden="false" customHeight="false" outlineLevel="0" collapsed="false">
      <c r="A1666" s="3" t="n">
        <v>1665</v>
      </c>
      <c r="B1666" s="3" t="n">
        <v>1664</v>
      </c>
      <c r="C1666" s="3" t="n">
        <v>2</v>
      </c>
      <c r="D1666" s="3" t="n">
        <v>3</v>
      </c>
      <c r="E1666" s="3" t="n">
        <v>12</v>
      </c>
      <c r="F1666" s="24" t="n">
        <v>0</v>
      </c>
    </row>
    <row r="1667" customFormat="false" ht="15" hidden="false" customHeight="false" outlineLevel="0" collapsed="false">
      <c r="A1667" s="3" t="n">
        <v>1666</v>
      </c>
      <c r="B1667" s="3" t="n">
        <v>1665</v>
      </c>
      <c r="C1667" s="3" t="n">
        <v>2</v>
      </c>
      <c r="D1667" s="3" t="n">
        <v>3</v>
      </c>
      <c r="E1667" s="3" t="n">
        <v>13</v>
      </c>
      <c r="F1667" s="24" t="n">
        <v>0</v>
      </c>
    </row>
    <row r="1668" customFormat="false" ht="15" hidden="false" customHeight="false" outlineLevel="0" collapsed="false">
      <c r="A1668" s="3" t="n">
        <v>1667</v>
      </c>
      <c r="B1668" s="3" t="n">
        <v>1666</v>
      </c>
      <c r="C1668" s="3" t="n">
        <v>2</v>
      </c>
      <c r="D1668" s="3" t="n">
        <v>3</v>
      </c>
      <c r="E1668" s="3" t="n">
        <v>14</v>
      </c>
      <c r="F1668" s="24" t="n">
        <v>0</v>
      </c>
    </row>
    <row r="1669" customFormat="false" ht="15" hidden="false" customHeight="false" outlineLevel="0" collapsed="false">
      <c r="A1669" s="3" t="n">
        <v>1668</v>
      </c>
      <c r="B1669" s="3" t="n">
        <v>1667</v>
      </c>
      <c r="C1669" s="3" t="n">
        <v>2</v>
      </c>
      <c r="D1669" s="3" t="n">
        <v>3</v>
      </c>
      <c r="E1669" s="3" t="n">
        <v>15</v>
      </c>
      <c r="F1669" s="24" t="n">
        <v>0</v>
      </c>
    </row>
    <row r="1670" customFormat="false" ht="15" hidden="false" customHeight="false" outlineLevel="0" collapsed="false">
      <c r="A1670" s="3" t="n">
        <v>1669</v>
      </c>
      <c r="B1670" s="3" t="n">
        <v>1668</v>
      </c>
      <c r="C1670" s="3" t="n">
        <v>2</v>
      </c>
      <c r="D1670" s="3" t="n">
        <v>3</v>
      </c>
      <c r="E1670" s="3" t="n">
        <v>16</v>
      </c>
      <c r="F1670" s="24" t="n">
        <v>0</v>
      </c>
    </row>
    <row r="1671" customFormat="false" ht="15" hidden="false" customHeight="false" outlineLevel="0" collapsed="false">
      <c r="A1671" s="3" t="n">
        <v>1670</v>
      </c>
      <c r="B1671" s="3" t="n">
        <v>1669</v>
      </c>
      <c r="C1671" s="3" t="n">
        <v>2</v>
      </c>
      <c r="D1671" s="3" t="n">
        <v>3</v>
      </c>
      <c r="E1671" s="3" t="n">
        <v>17</v>
      </c>
      <c r="F1671" s="24" t="n">
        <v>0</v>
      </c>
    </row>
    <row r="1672" customFormat="false" ht="15" hidden="false" customHeight="false" outlineLevel="0" collapsed="false">
      <c r="A1672" s="3" t="n">
        <v>1671</v>
      </c>
      <c r="B1672" s="3" t="n">
        <v>1670</v>
      </c>
      <c r="C1672" s="3" t="n">
        <v>2</v>
      </c>
      <c r="D1672" s="3" t="n">
        <v>3</v>
      </c>
      <c r="E1672" s="3" t="n">
        <v>18</v>
      </c>
      <c r="F1672" s="24" t="n">
        <v>0</v>
      </c>
    </row>
    <row r="1673" customFormat="false" ht="15" hidden="false" customHeight="false" outlineLevel="0" collapsed="false">
      <c r="A1673" s="3" t="n">
        <v>1672</v>
      </c>
      <c r="B1673" s="3" t="n">
        <v>1671</v>
      </c>
      <c r="C1673" s="3" t="n">
        <v>2</v>
      </c>
      <c r="D1673" s="3" t="n">
        <v>3</v>
      </c>
      <c r="E1673" s="3" t="n">
        <v>19</v>
      </c>
      <c r="F1673" s="24" t="n">
        <v>0</v>
      </c>
    </row>
    <row r="1674" customFormat="false" ht="15" hidden="false" customHeight="false" outlineLevel="0" collapsed="false">
      <c r="A1674" s="3" t="n">
        <v>1673</v>
      </c>
      <c r="B1674" s="3" t="n">
        <v>1672</v>
      </c>
      <c r="C1674" s="3" t="n">
        <v>2</v>
      </c>
      <c r="D1674" s="3" t="n">
        <v>3</v>
      </c>
      <c r="E1674" s="3" t="n">
        <v>20</v>
      </c>
      <c r="F1674" s="24" t="n">
        <v>0</v>
      </c>
    </row>
    <row r="1675" customFormat="false" ht="15" hidden="false" customHeight="false" outlineLevel="0" collapsed="false">
      <c r="A1675" s="3" t="n">
        <v>1674</v>
      </c>
      <c r="B1675" s="3" t="n">
        <v>1673</v>
      </c>
      <c r="C1675" s="3" t="n">
        <v>2</v>
      </c>
      <c r="D1675" s="3" t="n">
        <v>3</v>
      </c>
      <c r="E1675" s="3" t="n">
        <v>21</v>
      </c>
      <c r="F1675" s="24" t="n">
        <v>0</v>
      </c>
    </row>
    <row r="1676" customFormat="false" ht="15" hidden="false" customHeight="false" outlineLevel="0" collapsed="false">
      <c r="A1676" s="3" t="n">
        <v>1675</v>
      </c>
      <c r="B1676" s="3" t="n">
        <v>1674</v>
      </c>
      <c r="C1676" s="3" t="n">
        <v>2</v>
      </c>
      <c r="D1676" s="3" t="n">
        <v>3</v>
      </c>
      <c r="E1676" s="3" t="n">
        <v>22</v>
      </c>
      <c r="F1676" s="24" t="n">
        <v>0</v>
      </c>
    </row>
    <row r="1677" customFormat="false" ht="15" hidden="false" customHeight="false" outlineLevel="0" collapsed="false">
      <c r="A1677" s="3" t="n">
        <v>1676</v>
      </c>
      <c r="B1677" s="3" t="n">
        <v>1675</v>
      </c>
      <c r="C1677" s="3" t="n">
        <v>2</v>
      </c>
      <c r="D1677" s="3" t="n">
        <v>3</v>
      </c>
      <c r="E1677" s="3" t="n">
        <v>23</v>
      </c>
      <c r="F1677" s="24" t="n">
        <v>0</v>
      </c>
    </row>
    <row r="1678" customFormat="false" ht="15" hidden="false" customHeight="false" outlineLevel="0" collapsed="false">
      <c r="A1678" s="3" t="n">
        <v>1677</v>
      </c>
      <c r="B1678" s="3" t="n">
        <v>1676</v>
      </c>
      <c r="C1678" s="3" t="n">
        <v>2</v>
      </c>
      <c r="D1678" s="3" t="n">
        <v>3</v>
      </c>
      <c r="E1678" s="3" t="n">
        <v>24</v>
      </c>
      <c r="F1678" s="24" t="n">
        <v>0</v>
      </c>
    </row>
    <row r="1679" customFormat="false" ht="15" hidden="false" customHeight="false" outlineLevel="0" collapsed="false">
      <c r="A1679" s="3" t="n">
        <v>1678</v>
      </c>
      <c r="B1679" s="3" t="n">
        <v>1677</v>
      </c>
      <c r="C1679" s="3" t="n">
        <v>2</v>
      </c>
      <c r="D1679" s="3" t="n">
        <v>3</v>
      </c>
      <c r="E1679" s="3" t="n">
        <v>25</v>
      </c>
      <c r="F1679" s="24" t="n">
        <v>0</v>
      </c>
    </row>
    <row r="1680" customFormat="false" ht="15" hidden="false" customHeight="false" outlineLevel="0" collapsed="false">
      <c r="A1680" s="3" t="n">
        <v>1679</v>
      </c>
      <c r="B1680" s="3" t="n">
        <v>1678</v>
      </c>
      <c r="C1680" s="3" t="n">
        <v>2</v>
      </c>
      <c r="D1680" s="3" t="n">
        <v>3</v>
      </c>
      <c r="E1680" s="3" t="n">
        <v>26</v>
      </c>
      <c r="F1680" s="24" t="n">
        <v>0</v>
      </c>
    </row>
    <row r="1681" customFormat="false" ht="15" hidden="false" customHeight="false" outlineLevel="0" collapsed="false">
      <c r="A1681" s="3" t="n">
        <v>1680</v>
      </c>
      <c r="B1681" s="3" t="n">
        <v>1679</v>
      </c>
      <c r="C1681" s="3" t="n">
        <v>2</v>
      </c>
      <c r="D1681" s="3" t="n">
        <v>3</v>
      </c>
      <c r="E1681" s="3" t="n">
        <v>27</v>
      </c>
      <c r="F1681" s="24" t="n">
        <v>0.387737483</v>
      </c>
    </row>
    <row r="1682" customFormat="false" ht="15" hidden="false" customHeight="false" outlineLevel="0" collapsed="false">
      <c r="A1682" s="3" t="n">
        <v>1681</v>
      </c>
      <c r="B1682" s="3" t="n">
        <v>1680</v>
      </c>
      <c r="C1682" s="3" t="n">
        <v>2</v>
      </c>
      <c r="D1682" s="3" t="n">
        <v>4</v>
      </c>
      <c r="E1682" s="3" t="n">
        <v>0</v>
      </c>
      <c r="F1682" s="24" t="n">
        <v>0</v>
      </c>
    </row>
    <row r="1683" customFormat="false" ht="15" hidden="false" customHeight="false" outlineLevel="0" collapsed="false">
      <c r="A1683" s="3" t="n">
        <v>1682</v>
      </c>
      <c r="B1683" s="3" t="n">
        <v>1681</v>
      </c>
      <c r="C1683" s="3" t="n">
        <v>2</v>
      </c>
      <c r="D1683" s="3" t="n">
        <v>4</v>
      </c>
      <c r="E1683" s="3" t="n">
        <v>1</v>
      </c>
      <c r="F1683" s="24" t="n">
        <v>0</v>
      </c>
    </row>
    <row r="1684" customFormat="false" ht="15" hidden="false" customHeight="false" outlineLevel="0" collapsed="false">
      <c r="A1684" s="3" t="n">
        <v>1683</v>
      </c>
      <c r="B1684" s="3" t="n">
        <v>1682</v>
      </c>
      <c r="C1684" s="3" t="n">
        <v>2</v>
      </c>
      <c r="D1684" s="3" t="n">
        <v>4</v>
      </c>
      <c r="E1684" s="3" t="n">
        <v>2</v>
      </c>
      <c r="F1684" s="24" t="n">
        <v>0</v>
      </c>
    </row>
    <row r="1685" customFormat="false" ht="15" hidden="false" customHeight="false" outlineLevel="0" collapsed="false">
      <c r="A1685" s="3" t="n">
        <v>1684</v>
      </c>
      <c r="B1685" s="3" t="n">
        <v>1683</v>
      </c>
      <c r="C1685" s="3" t="n">
        <v>2</v>
      </c>
      <c r="D1685" s="3" t="n">
        <v>4</v>
      </c>
      <c r="E1685" s="3" t="n">
        <v>3</v>
      </c>
      <c r="F1685" s="24" t="n">
        <v>0</v>
      </c>
    </row>
    <row r="1686" customFormat="false" ht="15" hidden="false" customHeight="false" outlineLevel="0" collapsed="false">
      <c r="A1686" s="3" t="n">
        <v>1685</v>
      </c>
      <c r="B1686" s="3" t="n">
        <v>1684</v>
      </c>
      <c r="C1686" s="3" t="n">
        <v>2</v>
      </c>
      <c r="D1686" s="3" t="n">
        <v>4</v>
      </c>
      <c r="E1686" s="3" t="n">
        <v>4</v>
      </c>
      <c r="F1686" s="24" t="n">
        <v>0</v>
      </c>
    </row>
    <row r="1687" customFormat="false" ht="15" hidden="false" customHeight="false" outlineLevel="0" collapsed="false">
      <c r="A1687" s="3" t="n">
        <v>1686</v>
      </c>
      <c r="B1687" s="3" t="n">
        <v>1685</v>
      </c>
      <c r="C1687" s="3" t="n">
        <v>2</v>
      </c>
      <c r="D1687" s="3" t="n">
        <v>4</v>
      </c>
      <c r="E1687" s="3" t="n">
        <v>5</v>
      </c>
      <c r="F1687" s="24" t="n">
        <v>0</v>
      </c>
    </row>
    <row r="1688" customFormat="false" ht="15" hidden="false" customHeight="false" outlineLevel="0" collapsed="false">
      <c r="A1688" s="3" t="n">
        <v>1687</v>
      </c>
      <c r="B1688" s="3" t="n">
        <v>1686</v>
      </c>
      <c r="C1688" s="3" t="n">
        <v>2</v>
      </c>
      <c r="D1688" s="3" t="n">
        <v>4</v>
      </c>
      <c r="E1688" s="3" t="n">
        <v>6</v>
      </c>
      <c r="F1688" s="24" t="n">
        <v>0</v>
      </c>
    </row>
    <row r="1689" customFormat="false" ht="15" hidden="false" customHeight="false" outlineLevel="0" collapsed="false">
      <c r="A1689" s="3" t="n">
        <v>1688</v>
      </c>
      <c r="B1689" s="3" t="n">
        <v>1687</v>
      </c>
      <c r="C1689" s="3" t="n">
        <v>2</v>
      </c>
      <c r="D1689" s="3" t="n">
        <v>4</v>
      </c>
      <c r="E1689" s="3" t="n">
        <v>7</v>
      </c>
      <c r="F1689" s="24" t="n">
        <v>0</v>
      </c>
    </row>
    <row r="1690" customFormat="false" ht="15" hidden="false" customHeight="false" outlineLevel="0" collapsed="false">
      <c r="A1690" s="3" t="n">
        <v>1689</v>
      </c>
      <c r="B1690" s="3" t="n">
        <v>1688</v>
      </c>
      <c r="C1690" s="3" t="n">
        <v>2</v>
      </c>
      <c r="D1690" s="3" t="n">
        <v>4</v>
      </c>
      <c r="E1690" s="3" t="n">
        <v>8</v>
      </c>
      <c r="F1690" s="24" t="n">
        <v>0</v>
      </c>
    </row>
    <row r="1691" customFormat="false" ht="15" hidden="false" customHeight="false" outlineLevel="0" collapsed="false">
      <c r="A1691" s="3" t="n">
        <v>1690</v>
      </c>
      <c r="B1691" s="3" t="n">
        <v>1689</v>
      </c>
      <c r="C1691" s="3" t="n">
        <v>2</v>
      </c>
      <c r="D1691" s="3" t="n">
        <v>4</v>
      </c>
      <c r="E1691" s="3" t="n">
        <v>9</v>
      </c>
      <c r="F1691" s="24" t="n">
        <v>0</v>
      </c>
    </row>
    <row r="1692" customFormat="false" ht="15" hidden="false" customHeight="false" outlineLevel="0" collapsed="false">
      <c r="A1692" s="3" t="n">
        <v>1691</v>
      </c>
      <c r="B1692" s="3" t="n">
        <v>1690</v>
      </c>
      <c r="C1692" s="3" t="n">
        <v>2</v>
      </c>
      <c r="D1692" s="3" t="n">
        <v>4</v>
      </c>
      <c r="E1692" s="3" t="n">
        <v>10</v>
      </c>
      <c r="F1692" s="24" t="n">
        <v>0</v>
      </c>
    </row>
    <row r="1693" customFormat="false" ht="15" hidden="false" customHeight="false" outlineLevel="0" collapsed="false">
      <c r="A1693" s="3" t="n">
        <v>1692</v>
      </c>
      <c r="B1693" s="3" t="n">
        <v>1691</v>
      </c>
      <c r="C1693" s="3" t="n">
        <v>2</v>
      </c>
      <c r="D1693" s="3" t="n">
        <v>4</v>
      </c>
      <c r="E1693" s="3" t="n">
        <v>11</v>
      </c>
      <c r="F1693" s="24" t="n">
        <v>0</v>
      </c>
    </row>
    <row r="1694" customFormat="false" ht="15" hidden="false" customHeight="false" outlineLevel="0" collapsed="false">
      <c r="A1694" s="3" t="n">
        <v>1693</v>
      </c>
      <c r="B1694" s="3" t="n">
        <v>1692</v>
      </c>
      <c r="C1694" s="3" t="n">
        <v>2</v>
      </c>
      <c r="D1694" s="3" t="n">
        <v>4</v>
      </c>
      <c r="E1694" s="3" t="n">
        <v>12</v>
      </c>
      <c r="F1694" s="24" t="n">
        <v>0</v>
      </c>
    </row>
    <row r="1695" customFormat="false" ht="15" hidden="false" customHeight="false" outlineLevel="0" collapsed="false">
      <c r="A1695" s="3" t="n">
        <v>1694</v>
      </c>
      <c r="B1695" s="3" t="n">
        <v>1693</v>
      </c>
      <c r="C1695" s="3" t="n">
        <v>2</v>
      </c>
      <c r="D1695" s="3" t="n">
        <v>4</v>
      </c>
      <c r="E1695" s="3" t="n">
        <v>13</v>
      </c>
      <c r="F1695" s="24" t="n">
        <v>0</v>
      </c>
    </row>
    <row r="1696" customFormat="false" ht="15" hidden="false" customHeight="false" outlineLevel="0" collapsed="false">
      <c r="A1696" s="3" t="n">
        <v>1695</v>
      </c>
      <c r="B1696" s="3" t="n">
        <v>1694</v>
      </c>
      <c r="C1696" s="3" t="n">
        <v>2</v>
      </c>
      <c r="D1696" s="3" t="n">
        <v>4</v>
      </c>
      <c r="E1696" s="3" t="n">
        <v>14</v>
      </c>
      <c r="F1696" s="24" t="n">
        <v>0</v>
      </c>
    </row>
    <row r="1697" customFormat="false" ht="15" hidden="false" customHeight="false" outlineLevel="0" collapsed="false">
      <c r="A1697" s="3" t="n">
        <v>1696</v>
      </c>
      <c r="B1697" s="3" t="n">
        <v>1695</v>
      </c>
      <c r="C1697" s="3" t="n">
        <v>2</v>
      </c>
      <c r="D1697" s="3" t="n">
        <v>4</v>
      </c>
      <c r="E1697" s="3" t="n">
        <v>15</v>
      </c>
      <c r="F1697" s="24" t="n">
        <v>0</v>
      </c>
    </row>
    <row r="1698" customFormat="false" ht="15" hidden="false" customHeight="false" outlineLevel="0" collapsed="false">
      <c r="A1698" s="3" t="n">
        <v>1697</v>
      </c>
      <c r="B1698" s="3" t="n">
        <v>1696</v>
      </c>
      <c r="C1698" s="3" t="n">
        <v>2</v>
      </c>
      <c r="D1698" s="3" t="n">
        <v>4</v>
      </c>
      <c r="E1698" s="3" t="n">
        <v>16</v>
      </c>
      <c r="F1698" s="24" t="n">
        <v>0</v>
      </c>
    </row>
    <row r="1699" customFormat="false" ht="15" hidden="false" customHeight="false" outlineLevel="0" collapsed="false">
      <c r="A1699" s="3" t="n">
        <v>1698</v>
      </c>
      <c r="B1699" s="3" t="n">
        <v>1697</v>
      </c>
      <c r="C1699" s="3" t="n">
        <v>2</v>
      </c>
      <c r="D1699" s="3" t="n">
        <v>4</v>
      </c>
      <c r="E1699" s="3" t="n">
        <v>17</v>
      </c>
      <c r="F1699" s="24" t="n">
        <v>0</v>
      </c>
    </row>
    <row r="1700" customFormat="false" ht="15" hidden="false" customHeight="false" outlineLevel="0" collapsed="false">
      <c r="A1700" s="3" t="n">
        <v>1699</v>
      </c>
      <c r="B1700" s="3" t="n">
        <v>1698</v>
      </c>
      <c r="C1700" s="3" t="n">
        <v>2</v>
      </c>
      <c r="D1700" s="3" t="n">
        <v>4</v>
      </c>
      <c r="E1700" s="3" t="n">
        <v>18</v>
      </c>
      <c r="F1700" s="24" t="n">
        <v>0</v>
      </c>
    </row>
    <row r="1701" customFormat="false" ht="15" hidden="false" customHeight="false" outlineLevel="0" collapsed="false">
      <c r="A1701" s="3" t="n">
        <v>1700</v>
      </c>
      <c r="B1701" s="3" t="n">
        <v>1699</v>
      </c>
      <c r="C1701" s="3" t="n">
        <v>2</v>
      </c>
      <c r="D1701" s="3" t="n">
        <v>4</v>
      </c>
      <c r="E1701" s="3" t="n">
        <v>19</v>
      </c>
      <c r="F1701" s="24" t="n">
        <v>0</v>
      </c>
    </row>
    <row r="1702" customFormat="false" ht="15" hidden="false" customHeight="false" outlineLevel="0" collapsed="false">
      <c r="A1702" s="3" t="n">
        <v>1701</v>
      </c>
      <c r="B1702" s="3" t="n">
        <v>1700</v>
      </c>
      <c r="C1702" s="3" t="n">
        <v>2</v>
      </c>
      <c r="D1702" s="3" t="n">
        <v>4</v>
      </c>
      <c r="E1702" s="3" t="n">
        <v>20</v>
      </c>
      <c r="F1702" s="24" t="n">
        <v>0</v>
      </c>
    </row>
    <row r="1703" customFormat="false" ht="15" hidden="false" customHeight="false" outlineLevel="0" collapsed="false">
      <c r="A1703" s="3" t="n">
        <v>1702</v>
      </c>
      <c r="B1703" s="3" t="n">
        <v>1701</v>
      </c>
      <c r="C1703" s="3" t="n">
        <v>2</v>
      </c>
      <c r="D1703" s="3" t="n">
        <v>4</v>
      </c>
      <c r="E1703" s="3" t="n">
        <v>21</v>
      </c>
      <c r="F1703" s="24" t="n">
        <v>0</v>
      </c>
    </row>
    <row r="1704" customFormat="false" ht="15" hidden="false" customHeight="false" outlineLevel="0" collapsed="false">
      <c r="A1704" s="3" t="n">
        <v>1703</v>
      </c>
      <c r="B1704" s="3" t="n">
        <v>1702</v>
      </c>
      <c r="C1704" s="3" t="n">
        <v>2</v>
      </c>
      <c r="D1704" s="3" t="n">
        <v>4</v>
      </c>
      <c r="E1704" s="3" t="n">
        <v>22</v>
      </c>
      <c r="F1704" s="24" t="n">
        <v>0</v>
      </c>
    </row>
    <row r="1705" customFormat="false" ht="15" hidden="false" customHeight="false" outlineLevel="0" collapsed="false">
      <c r="A1705" s="3" t="n">
        <v>1704</v>
      </c>
      <c r="B1705" s="3" t="n">
        <v>1703</v>
      </c>
      <c r="C1705" s="3" t="n">
        <v>2</v>
      </c>
      <c r="D1705" s="3" t="n">
        <v>4</v>
      </c>
      <c r="E1705" s="3" t="n">
        <v>23</v>
      </c>
      <c r="F1705" s="24" t="n">
        <v>0</v>
      </c>
    </row>
    <row r="1706" customFormat="false" ht="15" hidden="false" customHeight="false" outlineLevel="0" collapsed="false">
      <c r="A1706" s="3" t="n">
        <v>1705</v>
      </c>
      <c r="B1706" s="3" t="n">
        <v>1704</v>
      </c>
      <c r="C1706" s="3" t="n">
        <v>2</v>
      </c>
      <c r="D1706" s="3" t="n">
        <v>4</v>
      </c>
      <c r="E1706" s="3" t="n">
        <v>24</v>
      </c>
      <c r="F1706" s="24" t="n">
        <v>0</v>
      </c>
    </row>
    <row r="1707" customFormat="false" ht="15" hidden="false" customHeight="false" outlineLevel="0" collapsed="false">
      <c r="A1707" s="3" t="n">
        <v>1706</v>
      </c>
      <c r="B1707" s="3" t="n">
        <v>1705</v>
      </c>
      <c r="C1707" s="3" t="n">
        <v>2</v>
      </c>
      <c r="D1707" s="3" t="n">
        <v>4</v>
      </c>
      <c r="E1707" s="3" t="n">
        <v>25</v>
      </c>
      <c r="F1707" s="24" t="n">
        <v>0</v>
      </c>
    </row>
    <row r="1708" customFormat="false" ht="15" hidden="false" customHeight="false" outlineLevel="0" collapsed="false">
      <c r="A1708" s="3" t="n">
        <v>1707</v>
      </c>
      <c r="B1708" s="3" t="n">
        <v>1706</v>
      </c>
      <c r="C1708" s="3" t="n">
        <v>2</v>
      </c>
      <c r="D1708" s="3" t="n">
        <v>4</v>
      </c>
      <c r="E1708" s="3" t="n">
        <v>26</v>
      </c>
      <c r="F1708" s="24" t="n">
        <v>0</v>
      </c>
    </row>
    <row r="1709" customFormat="false" ht="15" hidden="false" customHeight="false" outlineLevel="0" collapsed="false">
      <c r="A1709" s="3" t="n">
        <v>1708</v>
      </c>
      <c r="B1709" s="3" t="n">
        <v>1707</v>
      </c>
      <c r="C1709" s="3" t="n">
        <v>2</v>
      </c>
      <c r="D1709" s="3" t="n">
        <v>4</v>
      </c>
      <c r="E1709" s="3" t="n">
        <v>27</v>
      </c>
      <c r="F1709" s="24" t="n">
        <v>0.387737483</v>
      </c>
    </row>
    <row r="1710" customFormat="false" ht="15" hidden="false" customHeight="false" outlineLevel="0" collapsed="false">
      <c r="A1710" s="3" t="n">
        <v>1709</v>
      </c>
      <c r="B1710" s="3" t="n">
        <v>1708</v>
      </c>
      <c r="C1710" s="3" t="n">
        <v>2</v>
      </c>
      <c r="D1710" s="3" t="n">
        <v>5</v>
      </c>
      <c r="E1710" s="3" t="n">
        <v>0</v>
      </c>
      <c r="F1710" s="24" t="n">
        <v>0</v>
      </c>
    </row>
    <row r="1711" customFormat="false" ht="15" hidden="false" customHeight="false" outlineLevel="0" collapsed="false">
      <c r="A1711" s="3" t="n">
        <v>1710</v>
      </c>
      <c r="B1711" s="3" t="n">
        <v>1709</v>
      </c>
      <c r="C1711" s="3" t="n">
        <v>2</v>
      </c>
      <c r="D1711" s="3" t="n">
        <v>5</v>
      </c>
      <c r="E1711" s="3" t="n">
        <v>1</v>
      </c>
      <c r="F1711" s="24" t="n">
        <v>0</v>
      </c>
    </row>
    <row r="1712" customFormat="false" ht="15" hidden="false" customHeight="false" outlineLevel="0" collapsed="false">
      <c r="A1712" s="3" t="n">
        <v>1711</v>
      </c>
      <c r="B1712" s="3" t="n">
        <v>1710</v>
      </c>
      <c r="C1712" s="3" t="n">
        <v>2</v>
      </c>
      <c r="D1712" s="3" t="n">
        <v>5</v>
      </c>
      <c r="E1712" s="3" t="n">
        <v>2</v>
      </c>
      <c r="F1712" s="24" t="n">
        <v>0</v>
      </c>
    </row>
    <row r="1713" customFormat="false" ht="15" hidden="false" customHeight="false" outlineLevel="0" collapsed="false">
      <c r="A1713" s="3" t="n">
        <v>1712</v>
      </c>
      <c r="B1713" s="3" t="n">
        <v>1711</v>
      </c>
      <c r="C1713" s="3" t="n">
        <v>2</v>
      </c>
      <c r="D1713" s="3" t="n">
        <v>5</v>
      </c>
      <c r="E1713" s="3" t="n">
        <v>3</v>
      </c>
      <c r="F1713" s="24" t="n">
        <v>0</v>
      </c>
    </row>
    <row r="1714" customFormat="false" ht="15" hidden="false" customHeight="false" outlineLevel="0" collapsed="false">
      <c r="A1714" s="3" t="n">
        <v>1713</v>
      </c>
      <c r="B1714" s="3" t="n">
        <v>1712</v>
      </c>
      <c r="C1714" s="3" t="n">
        <v>2</v>
      </c>
      <c r="D1714" s="3" t="n">
        <v>5</v>
      </c>
      <c r="E1714" s="3" t="n">
        <v>4</v>
      </c>
      <c r="F1714" s="24" t="n">
        <v>0</v>
      </c>
    </row>
    <row r="1715" customFormat="false" ht="15" hidden="false" customHeight="false" outlineLevel="0" collapsed="false">
      <c r="A1715" s="3" t="n">
        <v>1714</v>
      </c>
      <c r="B1715" s="3" t="n">
        <v>1713</v>
      </c>
      <c r="C1715" s="3" t="n">
        <v>2</v>
      </c>
      <c r="D1715" s="3" t="n">
        <v>5</v>
      </c>
      <c r="E1715" s="3" t="n">
        <v>5</v>
      </c>
      <c r="F1715" s="24" t="n">
        <v>0</v>
      </c>
    </row>
    <row r="1716" customFormat="false" ht="15" hidden="false" customHeight="false" outlineLevel="0" collapsed="false">
      <c r="A1716" s="3" t="n">
        <v>1715</v>
      </c>
      <c r="B1716" s="3" t="n">
        <v>1714</v>
      </c>
      <c r="C1716" s="3" t="n">
        <v>2</v>
      </c>
      <c r="D1716" s="3" t="n">
        <v>5</v>
      </c>
      <c r="E1716" s="3" t="n">
        <v>6</v>
      </c>
      <c r="F1716" s="24" t="n">
        <v>0</v>
      </c>
    </row>
    <row r="1717" customFormat="false" ht="15" hidden="false" customHeight="false" outlineLevel="0" collapsed="false">
      <c r="A1717" s="3" t="n">
        <v>1716</v>
      </c>
      <c r="B1717" s="3" t="n">
        <v>1715</v>
      </c>
      <c r="C1717" s="3" t="n">
        <v>2</v>
      </c>
      <c r="D1717" s="3" t="n">
        <v>5</v>
      </c>
      <c r="E1717" s="3" t="n">
        <v>7</v>
      </c>
      <c r="F1717" s="24" t="n">
        <v>0</v>
      </c>
    </row>
    <row r="1718" customFormat="false" ht="15" hidden="false" customHeight="false" outlineLevel="0" collapsed="false">
      <c r="A1718" s="3" t="n">
        <v>1717</v>
      </c>
      <c r="B1718" s="3" t="n">
        <v>1716</v>
      </c>
      <c r="C1718" s="3" t="n">
        <v>2</v>
      </c>
      <c r="D1718" s="3" t="n">
        <v>5</v>
      </c>
      <c r="E1718" s="3" t="n">
        <v>8</v>
      </c>
      <c r="F1718" s="24" t="n">
        <v>0</v>
      </c>
    </row>
    <row r="1719" customFormat="false" ht="15" hidden="false" customHeight="false" outlineLevel="0" collapsed="false">
      <c r="A1719" s="3" t="n">
        <v>1718</v>
      </c>
      <c r="B1719" s="3" t="n">
        <v>1717</v>
      </c>
      <c r="C1719" s="3" t="n">
        <v>2</v>
      </c>
      <c r="D1719" s="3" t="n">
        <v>5</v>
      </c>
      <c r="E1719" s="3" t="n">
        <v>9</v>
      </c>
      <c r="F1719" s="24" t="n">
        <v>0</v>
      </c>
    </row>
    <row r="1720" customFormat="false" ht="15" hidden="false" customHeight="false" outlineLevel="0" collapsed="false">
      <c r="A1720" s="3" t="n">
        <v>1719</v>
      </c>
      <c r="B1720" s="3" t="n">
        <v>1718</v>
      </c>
      <c r="C1720" s="3" t="n">
        <v>2</v>
      </c>
      <c r="D1720" s="3" t="n">
        <v>5</v>
      </c>
      <c r="E1720" s="3" t="n">
        <v>10</v>
      </c>
      <c r="F1720" s="24" t="n">
        <v>0</v>
      </c>
    </row>
    <row r="1721" customFormat="false" ht="15" hidden="false" customHeight="false" outlineLevel="0" collapsed="false">
      <c r="A1721" s="3" t="n">
        <v>1720</v>
      </c>
      <c r="B1721" s="3" t="n">
        <v>1719</v>
      </c>
      <c r="C1721" s="3" t="n">
        <v>2</v>
      </c>
      <c r="D1721" s="3" t="n">
        <v>5</v>
      </c>
      <c r="E1721" s="3" t="n">
        <v>11</v>
      </c>
      <c r="F1721" s="24" t="n">
        <v>0</v>
      </c>
    </row>
    <row r="1722" customFormat="false" ht="15" hidden="false" customHeight="false" outlineLevel="0" collapsed="false">
      <c r="A1722" s="3" t="n">
        <v>1721</v>
      </c>
      <c r="B1722" s="3" t="n">
        <v>1720</v>
      </c>
      <c r="C1722" s="3" t="n">
        <v>2</v>
      </c>
      <c r="D1722" s="3" t="n">
        <v>5</v>
      </c>
      <c r="E1722" s="3" t="n">
        <v>12</v>
      </c>
      <c r="F1722" s="24" t="n">
        <v>0</v>
      </c>
    </row>
    <row r="1723" customFormat="false" ht="15" hidden="false" customHeight="false" outlineLevel="0" collapsed="false">
      <c r="A1723" s="3" t="n">
        <v>1722</v>
      </c>
      <c r="B1723" s="3" t="n">
        <v>1721</v>
      </c>
      <c r="C1723" s="3" t="n">
        <v>2</v>
      </c>
      <c r="D1723" s="3" t="n">
        <v>5</v>
      </c>
      <c r="E1723" s="3" t="n">
        <v>13</v>
      </c>
      <c r="F1723" s="24" t="n">
        <v>0</v>
      </c>
    </row>
    <row r="1724" customFormat="false" ht="15" hidden="false" customHeight="false" outlineLevel="0" collapsed="false">
      <c r="A1724" s="3" t="n">
        <v>1723</v>
      </c>
      <c r="B1724" s="3" t="n">
        <v>1722</v>
      </c>
      <c r="C1724" s="3" t="n">
        <v>2</v>
      </c>
      <c r="D1724" s="3" t="n">
        <v>5</v>
      </c>
      <c r="E1724" s="3" t="n">
        <v>14</v>
      </c>
      <c r="F1724" s="24" t="n">
        <v>0</v>
      </c>
    </row>
    <row r="1725" customFormat="false" ht="15" hidden="false" customHeight="false" outlineLevel="0" collapsed="false">
      <c r="A1725" s="3" t="n">
        <v>1724</v>
      </c>
      <c r="B1725" s="3" t="n">
        <v>1723</v>
      </c>
      <c r="C1725" s="3" t="n">
        <v>2</v>
      </c>
      <c r="D1725" s="3" t="n">
        <v>5</v>
      </c>
      <c r="E1725" s="3" t="n">
        <v>15</v>
      </c>
      <c r="F1725" s="24" t="n">
        <v>0</v>
      </c>
    </row>
    <row r="1726" customFormat="false" ht="15" hidden="false" customHeight="false" outlineLevel="0" collapsed="false">
      <c r="A1726" s="3" t="n">
        <v>1725</v>
      </c>
      <c r="B1726" s="3" t="n">
        <v>1724</v>
      </c>
      <c r="C1726" s="3" t="n">
        <v>2</v>
      </c>
      <c r="D1726" s="3" t="n">
        <v>5</v>
      </c>
      <c r="E1726" s="3" t="n">
        <v>16</v>
      </c>
      <c r="F1726" s="24" t="n">
        <v>0</v>
      </c>
    </row>
    <row r="1727" customFormat="false" ht="15" hidden="false" customHeight="false" outlineLevel="0" collapsed="false">
      <c r="A1727" s="3" t="n">
        <v>1726</v>
      </c>
      <c r="B1727" s="3" t="n">
        <v>1725</v>
      </c>
      <c r="C1727" s="3" t="n">
        <v>2</v>
      </c>
      <c r="D1727" s="3" t="n">
        <v>5</v>
      </c>
      <c r="E1727" s="3" t="n">
        <v>17</v>
      </c>
      <c r="F1727" s="24" t="n">
        <v>0</v>
      </c>
    </row>
    <row r="1728" customFormat="false" ht="15" hidden="false" customHeight="false" outlineLevel="0" collapsed="false">
      <c r="A1728" s="3" t="n">
        <v>1727</v>
      </c>
      <c r="B1728" s="3" t="n">
        <v>1726</v>
      </c>
      <c r="C1728" s="3" t="n">
        <v>2</v>
      </c>
      <c r="D1728" s="3" t="n">
        <v>5</v>
      </c>
      <c r="E1728" s="3" t="n">
        <v>18</v>
      </c>
      <c r="F1728" s="24" t="n">
        <v>0</v>
      </c>
    </row>
    <row r="1729" customFormat="false" ht="15" hidden="false" customHeight="false" outlineLevel="0" collapsed="false">
      <c r="A1729" s="3" t="n">
        <v>1728</v>
      </c>
      <c r="B1729" s="3" t="n">
        <v>1727</v>
      </c>
      <c r="C1729" s="3" t="n">
        <v>2</v>
      </c>
      <c r="D1729" s="3" t="n">
        <v>5</v>
      </c>
      <c r="E1729" s="3" t="n">
        <v>19</v>
      </c>
      <c r="F1729" s="24" t="n">
        <v>0</v>
      </c>
    </row>
    <row r="1730" customFormat="false" ht="15" hidden="false" customHeight="false" outlineLevel="0" collapsed="false">
      <c r="A1730" s="3" t="n">
        <v>1729</v>
      </c>
      <c r="B1730" s="3" t="n">
        <v>1728</v>
      </c>
      <c r="C1730" s="3" t="n">
        <v>2</v>
      </c>
      <c r="D1730" s="3" t="n">
        <v>5</v>
      </c>
      <c r="E1730" s="3" t="n">
        <v>20</v>
      </c>
      <c r="F1730" s="24" t="n">
        <v>0</v>
      </c>
    </row>
    <row r="1731" customFormat="false" ht="15" hidden="false" customHeight="false" outlineLevel="0" collapsed="false">
      <c r="A1731" s="3" t="n">
        <v>1730</v>
      </c>
      <c r="B1731" s="3" t="n">
        <v>1729</v>
      </c>
      <c r="C1731" s="3" t="n">
        <v>2</v>
      </c>
      <c r="D1731" s="3" t="n">
        <v>5</v>
      </c>
      <c r="E1731" s="3" t="n">
        <v>21</v>
      </c>
      <c r="F1731" s="24" t="n">
        <v>0</v>
      </c>
    </row>
    <row r="1732" customFormat="false" ht="15" hidden="false" customHeight="false" outlineLevel="0" collapsed="false">
      <c r="A1732" s="3" t="n">
        <v>1731</v>
      </c>
      <c r="B1732" s="3" t="n">
        <v>1730</v>
      </c>
      <c r="C1732" s="3" t="n">
        <v>2</v>
      </c>
      <c r="D1732" s="3" t="n">
        <v>5</v>
      </c>
      <c r="E1732" s="3" t="n">
        <v>22</v>
      </c>
      <c r="F1732" s="24" t="n">
        <v>0</v>
      </c>
    </row>
    <row r="1733" customFormat="false" ht="15" hidden="false" customHeight="false" outlineLevel="0" collapsed="false">
      <c r="A1733" s="3" t="n">
        <v>1732</v>
      </c>
      <c r="B1733" s="3" t="n">
        <v>1731</v>
      </c>
      <c r="C1733" s="3" t="n">
        <v>2</v>
      </c>
      <c r="D1733" s="3" t="n">
        <v>5</v>
      </c>
      <c r="E1733" s="3" t="n">
        <v>23</v>
      </c>
      <c r="F1733" s="24" t="n">
        <v>0</v>
      </c>
    </row>
    <row r="1734" customFormat="false" ht="15" hidden="false" customHeight="false" outlineLevel="0" collapsed="false">
      <c r="A1734" s="3" t="n">
        <v>1733</v>
      </c>
      <c r="B1734" s="3" t="n">
        <v>1732</v>
      </c>
      <c r="C1734" s="3" t="n">
        <v>2</v>
      </c>
      <c r="D1734" s="3" t="n">
        <v>5</v>
      </c>
      <c r="E1734" s="3" t="n">
        <v>24</v>
      </c>
      <c r="F1734" s="24" t="n">
        <v>0</v>
      </c>
    </row>
    <row r="1735" customFormat="false" ht="15" hidden="false" customHeight="false" outlineLevel="0" collapsed="false">
      <c r="A1735" s="3" t="n">
        <v>1734</v>
      </c>
      <c r="B1735" s="3" t="n">
        <v>1733</v>
      </c>
      <c r="C1735" s="3" t="n">
        <v>2</v>
      </c>
      <c r="D1735" s="3" t="n">
        <v>5</v>
      </c>
      <c r="E1735" s="3" t="n">
        <v>25</v>
      </c>
      <c r="F1735" s="24" t="n">
        <v>0</v>
      </c>
    </row>
    <row r="1736" customFormat="false" ht="15" hidden="false" customHeight="false" outlineLevel="0" collapsed="false">
      <c r="A1736" s="3" t="n">
        <v>1735</v>
      </c>
      <c r="B1736" s="3" t="n">
        <v>1734</v>
      </c>
      <c r="C1736" s="3" t="n">
        <v>2</v>
      </c>
      <c r="D1736" s="3" t="n">
        <v>5</v>
      </c>
      <c r="E1736" s="3" t="n">
        <v>26</v>
      </c>
      <c r="F1736" s="24" t="n">
        <v>0</v>
      </c>
    </row>
    <row r="1737" customFormat="false" ht="15" hidden="false" customHeight="false" outlineLevel="0" collapsed="false">
      <c r="A1737" s="3" t="n">
        <v>1736</v>
      </c>
      <c r="B1737" s="3" t="n">
        <v>1735</v>
      </c>
      <c r="C1737" s="3" t="n">
        <v>2</v>
      </c>
      <c r="D1737" s="3" t="n">
        <v>5</v>
      </c>
      <c r="E1737" s="3" t="n">
        <v>27</v>
      </c>
      <c r="F1737" s="24" t="n">
        <v>0.387737483</v>
      </c>
    </row>
    <row r="1738" customFormat="false" ht="15" hidden="false" customHeight="false" outlineLevel="0" collapsed="false">
      <c r="A1738" s="3" t="n">
        <v>1737</v>
      </c>
      <c r="B1738" s="3" t="n">
        <v>1736</v>
      </c>
      <c r="C1738" s="3" t="n">
        <v>2</v>
      </c>
      <c r="D1738" s="3" t="n">
        <v>6</v>
      </c>
      <c r="E1738" s="3" t="n">
        <v>0</v>
      </c>
      <c r="F1738" s="24" t="n">
        <v>0</v>
      </c>
    </row>
    <row r="1739" customFormat="false" ht="15" hidden="false" customHeight="false" outlineLevel="0" collapsed="false">
      <c r="A1739" s="3" t="n">
        <v>1738</v>
      </c>
      <c r="B1739" s="3" t="n">
        <v>1737</v>
      </c>
      <c r="C1739" s="3" t="n">
        <v>2</v>
      </c>
      <c r="D1739" s="3" t="n">
        <v>6</v>
      </c>
      <c r="E1739" s="3" t="n">
        <v>1</v>
      </c>
      <c r="F1739" s="24" t="n">
        <v>0</v>
      </c>
    </row>
    <row r="1740" customFormat="false" ht="15" hidden="false" customHeight="false" outlineLevel="0" collapsed="false">
      <c r="A1740" s="3" t="n">
        <v>1739</v>
      </c>
      <c r="B1740" s="3" t="n">
        <v>1738</v>
      </c>
      <c r="C1740" s="3" t="n">
        <v>2</v>
      </c>
      <c r="D1740" s="3" t="n">
        <v>6</v>
      </c>
      <c r="E1740" s="3" t="n">
        <v>2</v>
      </c>
      <c r="F1740" s="24" t="n">
        <v>0</v>
      </c>
    </row>
    <row r="1741" customFormat="false" ht="15" hidden="false" customHeight="false" outlineLevel="0" collapsed="false">
      <c r="A1741" s="3" t="n">
        <v>1740</v>
      </c>
      <c r="B1741" s="3" t="n">
        <v>1739</v>
      </c>
      <c r="C1741" s="3" t="n">
        <v>2</v>
      </c>
      <c r="D1741" s="3" t="n">
        <v>6</v>
      </c>
      <c r="E1741" s="3" t="n">
        <v>3</v>
      </c>
      <c r="F1741" s="24" t="n">
        <v>0</v>
      </c>
    </row>
    <row r="1742" customFormat="false" ht="15" hidden="false" customHeight="false" outlineLevel="0" collapsed="false">
      <c r="A1742" s="3" t="n">
        <v>1741</v>
      </c>
      <c r="B1742" s="3" t="n">
        <v>1740</v>
      </c>
      <c r="C1742" s="3" t="n">
        <v>2</v>
      </c>
      <c r="D1742" s="3" t="n">
        <v>6</v>
      </c>
      <c r="E1742" s="3" t="n">
        <v>4</v>
      </c>
      <c r="F1742" s="24" t="n">
        <v>0</v>
      </c>
    </row>
    <row r="1743" customFormat="false" ht="15" hidden="false" customHeight="false" outlineLevel="0" collapsed="false">
      <c r="A1743" s="3" t="n">
        <v>1742</v>
      </c>
      <c r="B1743" s="3" t="n">
        <v>1741</v>
      </c>
      <c r="C1743" s="3" t="n">
        <v>2</v>
      </c>
      <c r="D1743" s="3" t="n">
        <v>6</v>
      </c>
      <c r="E1743" s="3" t="n">
        <v>5</v>
      </c>
      <c r="F1743" s="24" t="n">
        <v>0.27084583</v>
      </c>
    </row>
    <row r="1744" customFormat="false" ht="15" hidden="false" customHeight="false" outlineLevel="0" collapsed="false">
      <c r="A1744" s="3" t="n">
        <v>1743</v>
      </c>
      <c r="B1744" s="3" t="n">
        <v>1742</v>
      </c>
      <c r="C1744" s="3" t="n">
        <v>2</v>
      </c>
      <c r="D1744" s="3" t="n">
        <v>6</v>
      </c>
      <c r="E1744" s="3" t="n">
        <v>6</v>
      </c>
      <c r="F1744" s="24" t="n">
        <v>0.976603389</v>
      </c>
    </row>
    <row r="1745" customFormat="false" ht="15" hidden="false" customHeight="false" outlineLevel="0" collapsed="false">
      <c r="A1745" s="3" t="n">
        <v>1744</v>
      </c>
      <c r="B1745" s="3" t="n">
        <v>1743</v>
      </c>
      <c r="C1745" s="3" t="n">
        <v>2</v>
      </c>
      <c r="D1745" s="3" t="n">
        <v>6</v>
      </c>
      <c r="E1745" s="3" t="n">
        <v>7</v>
      </c>
      <c r="F1745" s="24" t="n">
        <v>0.68377614</v>
      </c>
    </row>
    <row r="1746" customFormat="false" ht="15" hidden="false" customHeight="false" outlineLevel="0" collapsed="false">
      <c r="A1746" s="3" t="n">
        <v>1745</v>
      </c>
      <c r="B1746" s="3" t="n">
        <v>1744</v>
      </c>
      <c r="C1746" s="3" t="n">
        <v>2</v>
      </c>
      <c r="D1746" s="3" t="n">
        <v>6</v>
      </c>
      <c r="E1746" s="3" t="n">
        <v>8</v>
      </c>
      <c r="F1746" s="24" t="n">
        <v>0</v>
      </c>
    </row>
    <row r="1747" customFormat="false" ht="15" hidden="false" customHeight="false" outlineLevel="0" collapsed="false">
      <c r="A1747" s="3" t="n">
        <v>1746</v>
      </c>
      <c r="B1747" s="3" t="n">
        <v>1745</v>
      </c>
      <c r="C1747" s="3" t="n">
        <v>2</v>
      </c>
      <c r="D1747" s="3" t="n">
        <v>6</v>
      </c>
      <c r="E1747" s="3" t="n">
        <v>9</v>
      </c>
      <c r="F1747" s="24" t="n">
        <v>0</v>
      </c>
    </row>
    <row r="1748" customFormat="false" ht="15" hidden="false" customHeight="false" outlineLevel="0" collapsed="false">
      <c r="A1748" s="3" t="n">
        <v>1747</v>
      </c>
      <c r="B1748" s="3" t="n">
        <v>1746</v>
      </c>
      <c r="C1748" s="3" t="n">
        <v>2</v>
      </c>
      <c r="D1748" s="3" t="n">
        <v>6</v>
      </c>
      <c r="E1748" s="3" t="n">
        <v>10</v>
      </c>
      <c r="F1748" s="24" t="n">
        <v>0</v>
      </c>
    </row>
    <row r="1749" customFormat="false" ht="15" hidden="false" customHeight="false" outlineLevel="0" collapsed="false">
      <c r="A1749" s="3" t="n">
        <v>1748</v>
      </c>
      <c r="B1749" s="3" t="n">
        <v>1747</v>
      </c>
      <c r="C1749" s="3" t="n">
        <v>2</v>
      </c>
      <c r="D1749" s="3" t="n">
        <v>6</v>
      </c>
      <c r="E1749" s="3" t="n">
        <v>11</v>
      </c>
      <c r="F1749" s="24" t="n">
        <v>0</v>
      </c>
    </row>
    <row r="1750" customFormat="false" ht="15" hidden="false" customHeight="false" outlineLevel="0" collapsed="false">
      <c r="A1750" s="3" t="n">
        <v>1749</v>
      </c>
      <c r="B1750" s="3" t="n">
        <v>1748</v>
      </c>
      <c r="C1750" s="3" t="n">
        <v>2</v>
      </c>
      <c r="D1750" s="3" t="n">
        <v>6</v>
      </c>
      <c r="E1750" s="3" t="n">
        <v>12</v>
      </c>
      <c r="F1750" s="24" t="n">
        <v>0</v>
      </c>
    </row>
    <row r="1751" customFormat="false" ht="15" hidden="false" customHeight="false" outlineLevel="0" collapsed="false">
      <c r="A1751" s="3" t="n">
        <v>1750</v>
      </c>
      <c r="B1751" s="3" t="n">
        <v>1749</v>
      </c>
      <c r="C1751" s="3" t="n">
        <v>2</v>
      </c>
      <c r="D1751" s="3" t="n">
        <v>6</v>
      </c>
      <c r="E1751" s="3" t="n">
        <v>13</v>
      </c>
      <c r="F1751" s="24" t="n">
        <v>0</v>
      </c>
    </row>
    <row r="1752" customFormat="false" ht="15" hidden="false" customHeight="false" outlineLevel="0" collapsed="false">
      <c r="A1752" s="3" t="n">
        <v>1751</v>
      </c>
      <c r="B1752" s="3" t="n">
        <v>1750</v>
      </c>
      <c r="C1752" s="3" t="n">
        <v>2</v>
      </c>
      <c r="D1752" s="3" t="n">
        <v>6</v>
      </c>
      <c r="E1752" s="3" t="n">
        <v>14</v>
      </c>
      <c r="F1752" s="24" t="n">
        <v>0</v>
      </c>
    </row>
    <row r="1753" customFormat="false" ht="15" hidden="false" customHeight="false" outlineLevel="0" collapsed="false">
      <c r="A1753" s="3" t="n">
        <v>1752</v>
      </c>
      <c r="B1753" s="3" t="n">
        <v>1751</v>
      </c>
      <c r="C1753" s="3" t="n">
        <v>2</v>
      </c>
      <c r="D1753" s="3" t="n">
        <v>6</v>
      </c>
      <c r="E1753" s="3" t="n">
        <v>15</v>
      </c>
      <c r="F1753" s="24" t="n">
        <v>0</v>
      </c>
    </row>
    <row r="1754" customFormat="false" ht="15" hidden="false" customHeight="false" outlineLevel="0" collapsed="false">
      <c r="A1754" s="3" t="n">
        <v>1753</v>
      </c>
      <c r="B1754" s="3" t="n">
        <v>1752</v>
      </c>
      <c r="C1754" s="3" t="n">
        <v>2</v>
      </c>
      <c r="D1754" s="3" t="n">
        <v>6</v>
      </c>
      <c r="E1754" s="3" t="n">
        <v>16</v>
      </c>
      <c r="F1754" s="24" t="n">
        <v>0</v>
      </c>
    </row>
    <row r="1755" customFormat="false" ht="15" hidden="false" customHeight="false" outlineLevel="0" collapsed="false">
      <c r="A1755" s="3" t="n">
        <v>1754</v>
      </c>
      <c r="B1755" s="3" t="n">
        <v>1753</v>
      </c>
      <c r="C1755" s="3" t="n">
        <v>2</v>
      </c>
      <c r="D1755" s="3" t="n">
        <v>6</v>
      </c>
      <c r="E1755" s="3" t="n">
        <v>17</v>
      </c>
      <c r="F1755" s="24" t="n">
        <v>0</v>
      </c>
    </row>
    <row r="1756" customFormat="false" ht="15" hidden="false" customHeight="false" outlineLevel="0" collapsed="false">
      <c r="A1756" s="3" t="n">
        <v>1755</v>
      </c>
      <c r="B1756" s="3" t="n">
        <v>1754</v>
      </c>
      <c r="C1756" s="3" t="n">
        <v>2</v>
      </c>
      <c r="D1756" s="3" t="n">
        <v>6</v>
      </c>
      <c r="E1756" s="3" t="n">
        <v>18</v>
      </c>
      <c r="F1756" s="24" t="n">
        <v>0</v>
      </c>
    </row>
    <row r="1757" customFormat="false" ht="15" hidden="false" customHeight="false" outlineLevel="0" collapsed="false">
      <c r="A1757" s="3" t="n">
        <v>1756</v>
      </c>
      <c r="B1757" s="3" t="n">
        <v>1755</v>
      </c>
      <c r="C1757" s="3" t="n">
        <v>2</v>
      </c>
      <c r="D1757" s="3" t="n">
        <v>6</v>
      </c>
      <c r="E1757" s="3" t="n">
        <v>19</v>
      </c>
      <c r="F1757" s="24" t="n">
        <v>0</v>
      </c>
    </row>
    <row r="1758" customFormat="false" ht="15" hidden="false" customHeight="false" outlineLevel="0" collapsed="false">
      <c r="A1758" s="3" t="n">
        <v>1757</v>
      </c>
      <c r="B1758" s="3" t="n">
        <v>1756</v>
      </c>
      <c r="C1758" s="3" t="n">
        <v>2</v>
      </c>
      <c r="D1758" s="3" t="n">
        <v>6</v>
      </c>
      <c r="E1758" s="3" t="n">
        <v>20</v>
      </c>
      <c r="F1758" s="24" t="n">
        <v>0</v>
      </c>
    </row>
    <row r="1759" customFormat="false" ht="15" hidden="false" customHeight="false" outlineLevel="0" collapsed="false">
      <c r="A1759" s="3" t="n">
        <v>1758</v>
      </c>
      <c r="B1759" s="3" t="n">
        <v>1757</v>
      </c>
      <c r="C1759" s="3" t="n">
        <v>2</v>
      </c>
      <c r="D1759" s="3" t="n">
        <v>6</v>
      </c>
      <c r="E1759" s="3" t="n">
        <v>21</v>
      </c>
      <c r="F1759" s="24" t="n">
        <v>0</v>
      </c>
    </row>
    <row r="1760" customFormat="false" ht="15" hidden="false" customHeight="false" outlineLevel="0" collapsed="false">
      <c r="A1760" s="3" t="n">
        <v>1759</v>
      </c>
      <c r="B1760" s="3" t="n">
        <v>1758</v>
      </c>
      <c r="C1760" s="3" t="n">
        <v>2</v>
      </c>
      <c r="D1760" s="3" t="n">
        <v>6</v>
      </c>
      <c r="E1760" s="3" t="n">
        <v>22</v>
      </c>
      <c r="F1760" s="24" t="n">
        <v>0</v>
      </c>
    </row>
    <row r="1761" customFormat="false" ht="15" hidden="false" customHeight="false" outlineLevel="0" collapsed="false">
      <c r="A1761" s="3" t="n">
        <v>1760</v>
      </c>
      <c r="B1761" s="3" t="n">
        <v>1759</v>
      </c>
      <c r="C1761" s="3" t="n">
        <v>2</v>
      </c>
      <c r="D1761" s="3" t="n">
        <v>6</v>
      </c>
      <c r="E1761" s="3" t="n">
        <v>23</v>
      </c>
      <c r="F1761" s="24" t="n">
        <v>0</v>
      </c>
    </row>
    <row r="1762" customFormat="false" ht="15" hidden="false" customHeight="false" outlineLevel="0" collapsed="false">
      <c r="A1762" s="3" t="n">
        <v>1761</v>
      </c>
      <c r="B1762" s="3" t="n">
        <v>1760</v>
      </c>
      <c r="C1762" s="3" t="n">
        <v>2</v>
      </c>
      <c r="D1762" s="3" t="n">
        <v>6</v>
      </c>
      <c r="E1762" s="3" t="n">
        <v>24</v>
      </c>
      <c r="F1762" s="24" t="n">
        <v>0</v>
      </c>
    </row>
    <row r="1763" customFormat="false" ht="15" hidden="false" customHeight="false" outlineLevel="0" collapsed="false">
      <c r="A1763" s="3" t="n">
        <v>1762</v>
      </c>
      <c r="B1763" s="3" t="n">
        <v>1761</v>
      </c>
      <c r="C1763" s="3" t="n">
        <v>2</v>
      </c>
      <c r="D1763" s="3" t="n">
        <v>6</v>
      </c>
      <c r="E1763" s="3" t="n">
        <v>25</v>
      </c>
      <c r="F1763" s="24" t="n">
        <v>0</v>
      </c>
    </row>
    <row r="1764" customFormat="false" ht="15" hidden="false" customHeight="false" outlineLevel="0" collapsed="false">
      <c r="A1764" s="3" t="n">
        <v>1763</v>
      </c>
      <c r="B1764" s="3" t="n">
        <v>1762</v>
      </c>
      <c r="C1764" s="3" t="n">
        <v>2</v>
      </c>
      <c r="D1764" s="3" t="n">
        <v>6</v>
      </c>
      <c r="E1764" s="3" t="n">
        <v>26</v>
      </c>
      <c r="F1764" s="24" t="n">
        <v>0</v>
      </c>
    </row>
    <row r="1765" customFormat="false" ht="15" hidden="false" customHeight="false" outlineLevel="0" collapsed="false">
      <c r="A1765" s="3" t="n">
        <v>1764</v>
      </c>
      <c r="B1765" s="3" t="n">
        <v>1763</v>
      </c>
      <c r="C1765" s="3" t="n">
        <v>2</v>
      </c>
      <c r="D1765" s="3" t="n">
        <v>6</v>
      </c>
      <c r="E1765" s="3" t="n">
        <v>27</v>
      </c>
      <c r="F1765" s="24" t="n">
        <v>0.387737483</v>
      </c>
    </row>
    <row r="1766" customFormat="false" ht="15" hidden="false" customHeight="false" outlineLevel="0" collapsed="false">
      <c r="A1766" s="3" t="n">
        <v>1765</v>
      </c>
      <c r="B1766" s="3" t="n">
        <v>1764</v>
      </c>
      <c r="C1766" s="3" t="n">
        <v>2</v>
      </c>
      <c r="D1766" s="3" t="n">
        <v>7</v>
      </c>
      <c r="E1766" s="3" t="n">
        <v>0</v>
      </c>
      <c r="F1766" s="24" t="n">
        <v>0</v>
      </c>
    </row>
    <row r="1767" customFormat="false" ht="15" hidden="false" customHeight="false" outlineLevel="0" collapsed="false">
      <c r="A1767" s="3" t="n">
        <v>1766</v>
      </c>
      <c r="B1767" s="3" t="n">
        <v>1765</v>
      </c>
      <c r="C1767" s="3" t="n">
        <v>2</v>
      </c>
      <c r="D1767" s="3" t="n">
        <v>7</v>
      </c>
      <c r="E1767" s="3" t="n">
        <v>1</v>
      </c>
      <c r="F1767" s="24" t="n">
        <v>0</v>
      </c>
    </row>
    <row r="1768" customFormat="false" ht="15" hidden="false" customHeight="false" outlineLevel="0" collapsed="false">
      <c r="A1768" s="3" t="n">
        <v>1767</v>
      </c>
      <c r="B1768" s="3" t="n">
        <v>1766</v>
      </c>
      <c r="C1768" s="3" t="n">
        <v>2</v>
      </c>
      <c r="D1768" s="3" t="n">
        <v>7</v>
      </c>
      <c r="E1768" s="3" t="n">
        <v>2</v>
      </c>
      <c r="F1768" s="24" t="n">
        <v>0</v>
      </c>
    </row>
    <row r="1769" customFormat="false" ht="15" hidden="false" customHeight="false" outlineLevel="0" collapsed="false">
      <c r="A1769" s="3" t="n">
        <v>1768</v>
      </c>
      <c r="B1769" s="3" t="n">
        <v>1767</v>
      </c>
      <c r="C1769" s="3" t="n">
        <v>2</v>
      </c>
      <c r="D1769" s="3" t="n">
        <v>7</v>
      </c>
      <c r="E1769" s="3" t="n">
        <v>3</v>
      </c>
      <c r="F1769" s="24" t="n">
        <v>0</v>
      </c>
    </row>
    <row r="1770" customFormat="false" ht="15" hidden="false" customHeight="false" outlineLevel="0" collapsed="false">
      <c r="A1770" s="3" t="n">
        <v>1769</v>
      </c>
      <c r="B1770" s="3" t="n">
        <v>1768</v>
      </c>
      <c r="C1770" s="3" t="n">
        <v>2</v>
      </c>
      <c r="D1770" s="3" t="n">
        <v>7</v>
      </c>
      <c r="E1770" s="3" t="n">
        <v>4</v>
      </c>
      <c r="F1770" s="24" t="n">
        <v>0</v>
      </c>
    </row>
    <row r="1771" customFormat="false" ht="15" hidden="false" customHeight="false" outlineLevel="0" collapsed="false">
      <c r="A1771" s="3" t="n">
        <v>1770</v>
      </c>
      <c r="B1771" s="3" t="n">
        <v>1769</v>
      </c>
      <c r="C1771" s="3" t="n">
        <v>2</v>
      </c>
      <c r="D1771" s="3" t="n">
        <v>7</v>
      </c>
      <c r="E1771" s="3" t="n">
        <v>5</v>
      </c>
      <c r="F1771" s="24" t="n">
        <v>1.48653948</v>
      </c>
    </row>
    <row r="1772" customFormat="false" ht="15" hidden="false" customHeight="false" outlineLevel="0" collapsed="false">
      <c r="A1772" s="3" t="n">
        <v>1771</v>
      </c>
      <c r="B1772" s="3" t="n">
        <v>1770</v>
      </c>
      <c r="C1772" s="3" t="n">
        <v>2</v>
      </c>
      <c r="D1772" s="3" t="n">
        <v>7</v>
      </c>
      <c r="E1772" s="3" t="n">
        <v>6</v>
      </c>
      <c r="F1772" s="24" t="n">
        <v>3.08932257</v>
      </c>
    </row>
    <row r="1773" customFormat="false" ht="15" hidden="false" customHeight="false" outlineLevel="0" collapsed="false">
      <c r="A1773" s="3" t="n">
        <v>1772</v>
      </c>
      <c r="B1773" s="3" t="n">
        <v>1771</v>
      </c>
      <c r="C1773" s="3" t="n">
        <v>2</v>
      </c>
      <c r="D1773" s="3" t="n">
        <v>7</v>
      </c>
      <c r="E1773" s="3" t="n">
        <v>7</v>
      </c>
      <c r="F1773" s="24" t="n">
        <v>0.866377592</v>
      </c>
    </row>
    <row r="1774" customFormat="false" ht="15" hidden="false" customHeight="false" outlineLevel="0" collapsed="false">
      <c r="A1774" s="3" t="n">
        <v>1773</v>
      </c>
      <c r="B1774" s="3" t="n">
        <v>1772</v>
      </c>
      <c r="C1774" s="3" t="n">
        <v>2</v>
      </c>
      <c r="D1774" s="3" t="n">
        <v>7</v>
      </c>
      <c r="E1774" s="3" t="n">
        <v>8</v>
      </c>
      <c r="F1774" s="24" t="n">
        <v>0</v>
      </c>
    </row>
    <row r="1775" customFormat="false" ht="15" hidden="false" customHeight="false" outlineLevel="0" collapsed="false">
      <c r="A1775" s="3" t="n">
        <v>1774</v>
      </c>
      <c r="B1775" s="3" t="n">
        <v>1773</v>
      </c>
      <c r="C1775" s="3" t="n">
        <v>2</v>
      </c>
      <c r="D1775" s="3" t="n">
        <v>7</v>
      </c>
      <c r="E1775" s="3" t="n">
        <v>9</v>
      </c>
      <c r="F1775" s="24" t="n">
        <v>0</v>
      </c>
    </row>
    <row r="1776" customFormat="false" ht="15" hidden="false" customHeight="false" outlineLevel="0" collapsed="false">
      <c r="A1776" s="3" t="n">
        <v>1775</v>
      </c>
      <c r="B1776" s="3" t="n">
        <v>1774</v>
      </c>
      <c r="C1776" s="3" t="n">
        <v>2</v>
      </c>
      <c r="D1776" s="3" t="n">
        <v>7</v>
      </c>
      <c r="E1776" s="3" t="n">
        <v>10</v>
      </c>
      <c r="F1776" s="24" t="n">
        <v>0</v>
      </c>
    </row>
    <row r="1777" customFormat="false" ht="15" hidden="false" customHeight="false" outlineLevel="0" collapsed="false">
      <c r="A1777" s="3" t="n">
        <v>1776</v>
      </c>
      <c r="B1777" s="3" t="n">
        <v>1775</v>
      </c>
      <c r="C1777" s="3" t="n">
        <v>2</v>
      </c>
      <c r="D1777" s="3" t="n">
        <v>7</v>
      </c>
      <c r="E1777" s="3" t="n">
        <v>11</v>
      </c>
      <c r="F1777" s="24" t="n">
        <v>0</v>
      </c>
    </row>
    <row r="1778" customFormat="false" ht="15" hidden="false" customHeight="false" outlineLevel="0" collapsed="false">
      <c r="A1778" s="3" t="n">
        <v>1777</v>
      </c>
      <c r="B1778" s="3" t="n">
        <v>1776</v>
      </c>
      <c r="C1778" s="3" t="n">
        <v>2</v>
      </c>
      <c r="D1778" s="3" t="n">
        <v>7</v>
      </c>
      <c r="E1778" s="3" t="n">
        <v>12</v>
      </c>
      <c r="F1778" s="24" t="n">
        <v>0</v>
      </c>
    </row>
    <row r="1779" customFormat="false" ht="15" hidden="false" customHeight="false" outlineLevel="0" collapsed="false">
      <c r="A1779" s="3" t="n">
        <v>1778</v>
      </c>
      <c r="B1779" s="3" t="n">
        <v>1777</v>
      </c>
      <c r="C1779" s="3" t="n">
        <v>2</v>
      </c>
      <c r="D1779" s="3" t="n">
        <v>7</v>
      </c>
      <c r="E1779" s="3" t="n">
        <v>13</v>
      </c>
      <c r="F1779" s="24" t="n">
        <v>0.171371073</v>
      </c>
    </row>
    <row r="1780" customFormat="false" ht="15" hidden="false" customHeight="false" outlineLevel="0" collapsed="false">
      <c r="A1780" s="3" t="n">
        <v>1779</v>
      </c>
      <c r="B1780" s="3" t="n">
        <v>1778</v>
      </c>
      <c r="C1780" s="3" t="n">
        <v>2</v>
      </c>
      <c r="D1780" s="3" t="n">
        <v>7</v>
      </c>
      <c r="E1780" s="3" t="n">
        <v>14</v>
      </c>
      <c r="F1780" s="24" t="n">
        <v>0.171371073</v>
      </c>
    </row>
    <row r="1781" customFormat="false" ht="15" hidden="false" customHeight="false" outlineLevel="0" collapsed="false">
      <c r="A1781" s="3" t="n">
        <v>1780</v>
      </c>
      <c r="B1781" s="3" t="n">
        <v>1779</v>
      </c>
      <c r="C1781" s="3" t="n">
        <v>2</v>
      </c>
      <c r="D1781" s="3" t="n">
        <v>7</v>
      </c>
      <c r="E1781" s="3" t="n">
        <v>15</v>
      </c>
      <c r="F1781" s="24" t="n">
        <v>0.171371073</v>
      </c>
    </row>
    <row r="1782" customFormat="false" ht="15" hidden="false" customHeight="false" outlineLevel="0" collapsed="false">
      <c r="A1782" s="3" t="n">
        <v>1781</v>
      </c>
      <c r="B1782" s="3" t="n">
        <v>1780</v>
      </c>
      <c r="C1782" s="3" t="n">
        <v>2</v>
      </c>
      <c r="D1782" s="3" t="n">
        <v>7</v>
      </c>
      <c r="E1782" s="3" t="n">
        <v>16</v>
      </c>
      <c r="F1782" s="24" t="n">
        <v>0.171371073</v>
      </c>
    </row>
    <row r="1783" customFormat="false" ht="15" hidden="false" customHeight="false" outlineLevel="0" collapsed="false">
      <c r="A1783" s="3" t="n">
        <v>1782</v>
      </c>
      <c r="B1783" s="3" t="n">
        <v>1781</v>
      </c>
      <c r="C1783" s="3" t="n">
        <v>2</v>
      </c>
      <c r="D1783" s="3" t="n">
        <v>7</v>
      </c>
      <c r="E1783" s="3" t="n">
        <v>17</v>
      </c>
      <c r="F1783" s="24" t="n">
        <v>0.171371073</v>
      </c>
    </row>
    <row r="1784" customFormat="false" ht="15" hidden="false" customHeight="false" outlineLevel="0" collapsed="false">
      <c r="A1784" s="3" t="n">
        <v>1783</v>
      </c>
      <c r="B1784" s="3" t="n">
        <v>1782</v>
      </c>
      <c r="C1784" s="3" t="n">
        <v>2</v>
      </c>
      <c r="D1784" s="3" t="n">
        <v>7</v>
      </c>
      <c r="E1784" s="3" t="n">
        <v>18</v>
      </c>
      <c r="F1784" s="24" t="n">
        <v>0.171371073</v>
      </c>
    </row>
    <row r="1785" customFormat="false" ht="15" hidden="false" customHeight="false" outlineLevel="0" collapsed="false">
      <c r="A1785" s="3" t="n">
        <v>1784</v>
      </c>
      <c r="B1785" s="3" t="n">
        <v>1783</v>
      </c>
      <c r="C1785" s="3" t="n">
        <v>2</v>
      </c>
      <c r="D1785" s="3" t="n">
        <v>7</v>
      </c>
      <c r="E1785" s="3" t="n">
        <v>19</v>
      </c>
      <c r="F1785" s="24" t="n">
        <v>0.0551649779</v>
      </c>
    </row>
    <row r="1786" customFormat="false" ht="15" hidden="false" customHeight="false" outlineLevel="0" collapsed="false">
      <c r="A1786" s="3" t="n">
        <v>1785</v>
      </c>
      <c r="B1786" s="3" t="n">
        <v>1784</v>
      </c>
      <c r="C1786" s="3" t="n">
        <v>2</v>
      </c>
      <c r="D1786" s="3" t="n">
        <v>7</v>
      </c>
      <c r="E1786" s="3" t="n">
        <v>20</v>
      </c>
      <c r="F1786" s="24" t="n">
        <v>0</v>
      </c>
    </row>
    <row r="1787" customFormat="false" ht="15" hidden="false" customHeight="false" outlineLevel="0" collapsed="false">
      <c r="A1787" s="3" t="n">
        <v>1786</v>
      </c>
      <c r="B1787" s="3" t="n">
        <v>1785</v>
      </c>
      <c r="C1787" s="3" t="n">
        <v>2</v>
      </c>
      <c r="D1787" s="3" t="n">
        <v>7</v>
      </c>
      <c r="E1787" s="3" t="n">
        <v>21</v>
      </c>
      <c r="F1787" s="24" t="n">
        <v>0</v>
      </c>
    </row>
    <row r="1788" customFormat="false" ht="15" hidden="false" customHeight="false" outlineLevel="0" collapsed="false">
      <c r="A1788" s="3" t="n">
        <v>1787</v>
      </c>
      <c r="B1788" s="3" t="n">
        <v>1786</v>
      </c>
      <c r="C1788" s="3" t="n">
        <v>2</v>
      </c>
      <c r="D1788" s="3" t="n">
        <v>7</v>
      </c>
      <c r="E1788" s="3" t="n">
        <v>22</v>
      </c>
      <c r="F1788" s="24" t="n">
        <v>0</v>
      </c>
    </row>
    <row r="1789" customFormat="false" ht="15" hidden="false" customHeight="false" outlineLevel="0" collapsed="false">
      <c r="A1789" s="3" t="n">
        <v>1788</v>
      </c>
      <c r="B1789" s="3" t="n">
        <v>1787</v>
      </c>
      <c r="C1789" s="3" t="n">
        <v>2</v>
      </c>
      <c r="D1789" s="3" t="n">
        <v>7</v>
      </c>
      <c r="E1789" s="3" t="n">
        <v>23</v>
      </c>
      <c r="F1789" s="24" t="n">
        <v>0</v>
      </c>
    </row>
    <row r="1790" customFormat="false" ht="15" hidden="false" customHeight="false" outlineLevel="0" collapsed="false">
      <c r="A1790" s="3" t="n">
        <v>1789</v>
      </c>
      <c r="B1790" s="3" t="n">
        <v>1788</v>
      </c>
      <c r="C1790" s="3" t="n">
        <v>2</v>
      </c>
      <c r="D1790" s="3" t="n">
        <v>7</v>
      </c>
      <c r="E1790" s="3" t="n">
        <v>24</v>
      </c>
      <c r="F1790" s="24" t="n">
        <v>0</v>
      </c>
    </row>
    <row r="1791" customFormat="false" ht="15" hidden="false" customHeight="false" outlineLevel="0" collapsed="false">
      <c r="A1791" s="3" t="n">
        <v>1790</v>
      </c>
      <c r="B1791" s="3" t="n">
        <v>1789</v>
      </c>
      <c r="C1791" s="3" t="n">
        <v>2</v>
      </c>
      <c r="D1791" s="3" t="n">
        <v>7</v>
      </c>
      <c r="E1791" s="3" t="n">
        <v>25</v>
      </c>
      <c r="F1791" s="24" t="n">
        <v>0</v>
      </c>
    </row>
    <row r="1792" customFormat="false" ht="15" hidden="false" customHeight="false" outlineLevel="0" collapsed="false">
      <c r="A1792" s="3" t="n">
        <v>1791</v>
      </c>
      <c r="B1792" s="3" t="n">
        <v>1790</v>
      </c>
      <c r="C1792" s="3" t="n">
        <v>2</v>
      </c>
      <c r="D1792" s="3" t="n">
        <v>7</v>
      </c>
      <c r="E1792" s="3" t="n">
        <v>26</v>
      </c>
      <c r="F1792" s="24" t="n">
        <v>0</v>
      </c>
    </row>
    <row r="1793" customFormat="false" ht="15" hidden="false" customHeight="false" outlineLevel="0" collapsed="false">
      <c r="A1793" s="3" t="n">
        <v>1792</v>
      </c>
      <c r="B1793" s="3" t="n">
        <v>1791</v>
      </c>
      <c r="C1793" s="3" t="n">
        <v>2</v>
      </c>
      <c r="D1793" s="3" t="n">
        <v>7</v>
      </c>
      <c r="E1793" s="3" t="n">
        <v>27</v>
      </c>
      <c r="F1793" s="24" t="n">
        <v>0.387737483</v>
      </c>
    </row>
    <row r="1794" customFormat="false" ht="15" hidden="false" customHeight="false" outlineLevel="0" collapsed="false">
      <c r="A1794" s="3" t="n">
        <v>1793</v>
      </c>
      <c r="B1794" s="3" t="n">
        <v>1792</v>
      </c>
      <c r="C1794" s="3" t="n">
        <v>2</v>
      </c>
      <c r="D1794" s="3" t="n">
        <v>8</v>
      </c>
      <c r="E1794" s="3" t="n">
        <v>0</v>
      </c>
      <c r="F1794" s="24" t="n">
        <v>0</v>
      </c>
    </row>
    <row r="1795" customFormat="false" ht="15" hidden="false" customHeight="false" outlineLevel="0" collapsed="false">
      <c r="A1795" s="3" t="n">
        <v>1794</v>
      </c>
      <c r="B1795" s="3" t="n">
        <v>1793</v>
      </c>
      <c r="C1795" s="3" t="n">
        <v>2</v>
      </c>
      <c r="D1795" s="3" t="n">
        <v>8</v>
      </c>
      <c r="E1795" s="3" t="n">
        <v>1</v>
      </c>
      <c r="F1795" s="24" t="n">
        <v>0</v>
      </c>
    </row>
    <row r="1796" customFormat="false" ht="15" hidden="false" customHeight="false" outlineLevel="0" collapsed="false">
      <c r="A1796" s="3" t="n">
        <v>1795</v>
      </c>
      <c r="B1796" s="3" t="n">
        <v>1794</v>
      </c>
      <c r="C1796" s="3" t="n">
        <v>2</v>
      </c>
      <c r="D1796" s="3" t="n">
        <v>8</v>
      </c>
      <c r="E1796" s="3" t="n">
        <v>2</v>
      </c>
      <c r="F1796" s="24" t="n">
        <v>0</v>
      </c>
    </row>
    <row r="1797" customFormat="false" ht="15" hidden="false" customHeight="false" outlineLevel="0" collapsed="false">
      <c r="A1797" s="3" t="n">
        <v>1796</v>
      </c>
      <c r="B1797" s="3" t="n">
        <v>1795</v>
      </c>
      <c r="C1797" s="3" t="n">
        <v>2</v>
      </c>
      <c r="D1797" s="3" t="n">
        <v>8</v>
      </c>
      <c r="E1797" s="3" t="n">
        <v>3</v>
      </c>
      <c r="F1797" s="24" t="n">
        <v>0</v>
      </c>
    </row>
    <row r="1798" customFormat="false" ht="15" hidden="false" customHeight="false" outlineLevel="0" collapsed="false">
      <c r="A1798" s="3" t="n">
        <v>1797</v>
      </c>
      <c r="B1798" s="3" t="n">
        <v>1796</v>
      </c>
      <c r="C1798" s="3" t="n">
        <v>2</v>
      </c>
      <c r="D1798" s="3" t="n">
        <v>8</v>
      </c>
      <c r="E1798" s="3" t="n">
        <v>4</v>
      </c>
      <c r="F1798" s="24" t="n">
        <v>0</v>
      </c>
    </row>
    <row r="1799" customFormat="false" ht="15" hidden="false" customHeight="false" outlineLevel="0" collapsed="false">
      <c r="A1799" s="3" t="n">
        <v>1798</v>
      </c>
      <c r="B1799" s="3" t="n">
        <v>1797</v>
      </c>
      <c r="C1799" s="3" t="n">
        <v>2</v>
      </c>
      <c r="D1799" s="3" t="n">
        <v>8</v>
      </c>
      <c r="E1799" s="3" t="n">
        <v>5</v>
      </c>
      <c r="F1799" s="24" t="n">
        <v>2.08122587</v>
      </c>
    </row>
    <row r="1800" customFormat="false" ht="15" hidden="false" customHeight="false" outlineLevel="0" collapsed="false">
      <c r="A1800" s="3" t="n">
        <v>1799</v>
      </c>
      <c r="B1800" s="3" t="n">
        <v>1798</v>
      </c>
      <c r="C1800" s="3" t="n">
        <v>2</v>
      </c>
      <c r="D1800" s="3" t="n">
        <v>8</v>
      </c>
      <c r="E1800" s="3" t="n">
        <v>6</v>
      </c>
      <c r="F1800" s="24" t="n">
        <v>2.83156371</v>
      </c>
    </row>
    <row r="1801" customFormat="false" ht="15" hidden="false" customHeight="false" outlineLevel="0" collapsed="false">
      <c r="A1801" s="3" t="n">
        <v>1800</v>
      </c>
      <c r="B1801" s="3" t="n">
        <v>1799</v>
      </c>
      <c r="C1801" s="3" t="n">
        <v>2</v>
      </c>
      <c r="D1801" s="3" t="n">
        <v>8</v>
      </c>
      <c r="E1801" s="3" t="n">
        <v>7</v>
      </c>
      <c r="F1801" s="24" t="n">
        <v>0.116916895</v>
      </c>
    </row>
    <row r="1802" customFormat="false" ht="15" hidden="false" customHeight="false" outlineLevel="0" collapsed="false">
      <c r="A1802" s="3" t="n">
        <v>1801</v>
      </c>
      <c r="B1802" s="3" t="n">
        <v>1800</v>
      </c>
      <c r="C1802" s="3" t="n">
        <v>2</v>
      </c>
      <c r="D1802" s="3" t="n">
        <v>8</v>
      </c>
      <c r="E1802" s="3" t="n">
        <v>8</v>
      </c>
      <c r="F1802" s="24" t="n">
        <v>0</v>
      </c>
    </row>
    <row r="1803" customFormat="false" ht="15" hidden="false" customHeight="false" outlineLevel="0" collapsed="false">
      <c r="A1803" s="3" t="n">
        <v>1802</v>
      </c>
      <c r="B1803" s="3" t="n">
        <v>1801</v>
      </c>
      <c r="C1803" s="3" t="n">
        <v>2</v>
      </c>
      <c r="D1803" s="3" t="n">
        <v>8</v>
      </c>
      <c r="E1803" s="3" t="n">
        <v>9</v>
      </c>
      <c r="F1803" s="24" t="n">
        <v>0</v>
      </c>
    </row>
    <row r="1804" customFormat="false" ht="15" hidden="false" customHeight="false" outlineLevel="0" collapsed="false">
      <c r="A1804" s="3" t="n">
        <v>1803</v>
      </c>
      <c r="B1804" s="3" t="n">
        <v>1802</v>
      </c>
      <c r="C1804" s="3" t="n">
        <v>2</v>
      </c>
      <c r="D1804" s="3" t="n">
        <v>8</v>
      </c>
      <c r="E1804" s="3" t="n">
        <v>10</v>
      </c>
      <c r="F1804" s="24" t="n">
        <v>0</v>
      </c>
    </row>
    <row r="1805" customFormat="false" ht="15" hidden="false" customHeight="false" outlineLevel="0" collapsed="false">
      <c r="A1805" s="3" t="n">
        <v>1804</v>
      </c>
      <c r="B1805" s="3" t="n">
        <v>1803</v>
      </c>
      <c r="C1805" s="3" t="n">
        <v>2</v>
      </c>
      <c r="D1805" s="3" t="n">
        <v>8</v>
      </c>
      <c r="E1805" s="3" t="n">
        <v>11</v>
      </c>
      <c r="F1805" s="24" t="n">
        <v>0</v>
      </c>
    </row>
    <row r="1806" customFormat="false" ht="15" hidden="false" customHeight="false" outlineLevel="0" collapsed="false">
      <c r="A1806" s="3" t="n">
        <v>1805</v>
      </c>
      <c r="B1806" s="3" t="n">
        <v>1804</v>
      </c>
      <c r="C1806" s="3" t="n">
        <v>2</v>
      </c>
      <c r="D1806" s="3" t="n">
        <v>8</v>
      </c>
      <c r="E1806" s="3" t="n">
        <v>12</v>
      </c>
      <c r="F1806" s="24" t="n">
        <v>0</v>
      </c>
    </row>
    <row r="1807" customFormat="false" ht="15" hidden="false" customHeight="false" outlineLevel="0" collapsed="false">
      <c r="A1807" s="3" t="n">
        <v>1806</v>
      </c>
      <c r="B1807" s="3" t="n">
        <v>1805</v>
      </c>
      <c r="C1807" s="3" t="n">
        <v>2</v>
      </c>
      <c r="D1807" s="3" t="n">
        <v>8</v>
      </c>
      <c r="E1807" s="3" t="n">
        <v>13</v>
      </c>
      <c r="F1807" s="24" t="n">
        <v>0</v>
      </c>
    </row>
    <row r="1808" customFormat="false" ht="15" hidden="false" customHeight="false" outlineLevel="0" collapsed="false">
      <c r="A1808" s="3" t="n">
        <v>1807</v>
      </c>
      <c r="B1808" s="3" t="n">
        <v>1806</v>
      </c>
      <c r="C1808" s="3" t="n">
        <v>2</v>
      </c>
      <c r="D1808" s="3" t="n">
        <v>8</v>
      </c>
      <c r="E1808" s="3" t="n">
        <v>14</v>
      </c>
      <c r="F1808" s="24" t="n">
        <v>0.239636987</v>
      </c>
    </row>
    <row r="1809" customFormat="false" ht="15" hidden="false" customHeight="false" outlineLevel="0" collapsed="false">
      <c r="A1809" s="3" t="n">
        <v>1808</v>
      </c>
      <c r="B1809" s="3" t="n">
        <v>1807</v>
      </c>
      <c r="C1809" s="3" t="n">
        <v>2</v>
      </c>
      <c r="D1809" s="3" t="n">
        <v>8</v>
      </c>
      <c r="E1809" s="3" t="n">
        <v>15</v>
      </c>
      <c r="F1809" s="24" t="n">
        <v>0.0568312109</v>
      </c>
    </row>
    <row r="1810" customFormat="false" ht="15" hidden="false" customHeight="false" outlineLevel="0" collapsed="false">
      <c r="A1810" s="3" t="n">
        <v>1809</v>
      </c>
      <c r="B1810" s="3" t="n">
        <v>1808</v>
      </c>
      <c r="C1810" s="3" t="n">
        <v>2</v>
      </c>
      <c r="D1810" s="3" t="n">
        <v>8</v>
      </c>
      <c r="E1810" s="3" t="n">
        <v>16</v>
      </c>
      <c r="F1810" s="24" t="n">
        <v>0.0402303636</v>
      </c>
    </row>
    <row r="1811" customFormat="false" ht="15" hidden="false" customHeight="false" outlineLevel="0" collapsed="false">
      <c r="A1811" s="3" t="n">
        <v>1810</v>
      </c>
      <c r="B1811" s="3" t="n">
        <v>1809</v>
      </c>
      <c r="C1811" s="3" t="n">
        <v>2</v>
      </c>
      <c r="D1811" s="3" t="n">
        <v>8</v>
      </c>
      <c r="E1811" s="3" t="n">
        <v>17</v>
      </c>
      <c r="F1811" s="24" t="n">
        <v>0</v>
      </c>
    </row>
    <row r="1812" customFormat="false" ht="15" hidden="false" customHeight="false" outlineLevel="0" collapsed="false">
      <c r="A1812" s="3" t="n">
        <v>1811</v>
      </c>
      <c r="B1812" s="3" t="n">
        <v>1810</v>
      </c>
      <c r="C1812" s="3" t="n">
        <v>2</v>
      </c>
      <c r="D1812" s="3" t="n">
        <v>8</v>
      </c>
      <c r="E1812" s="3" t="n">
        <v>18</v>
      </c>
      <c r="F1812" s="24" t="n">
        <v>0</v>
      </c>
    </row>
    <row r="1813" customFormat="false" ht="15" hidden="false" customHeight="false" outlineLevel="0" collapsed="false">
      <c r="A1813" s="3" t="n">
        <v>1812</v>
      </c>
      <c r="B1813" s="3" t="n">
        <v>1811</v>
      </c>
      <c r="C1813" s="3" t="n">
        <v>2</v>
      </c>
      <c r="D1813" s="3" t="n">
        <v>8</v>
      </c>
      <c r="E1813" s="3" t="n">
        <v>19</v>
      </c>
      <c r="F1813" s="24" t="n">
        <v>0.000101417303</v>
      </c>
    </row>
    <row r="1814" customFormat="false" ht="15" hidden="false" customHeight="false" outlineLevel="0" collapsed="false">
      <c r="A1814" s="3" t="n">
        <v>1813</v>
      </c>
      <c r="B1814" s="3" t="n">
        <v>1812</v>
      </c>
      <c r="C1814" s="3" t="n">
        <v>2</v>
      </c>
      <c r="D1814" s="3" t="n">
        <v>8</v>
      </c>
      <c r="E1814" s="3" t="n">
        <v>20</v>
      </c>
      <c r="F1814" s="24" t="n">
        <v>0</v>
      </c>
    </row>
    <row r="1815" customFormat="false" ht="15" hidden="false" customHeight="false" outlineLevel="0" collapsed="false">
      <c r="A1815" s="3" t="n">
        <v>1814</v>
      </c>
      <c r="B1815" s="3" t="n">
        <v>1813</v>
      </c>
      <c r="C1815" s="3" t="n">
        <v>2</v>
      </c>
      <c r="D1815" s="3" t="n">
        <v>8</v>
      </c>
      <c r="E1815" s="3" t="n">
        <v>21</v>
      </c>
      <c r="F1815" s="24" t="n">
        <v>0</v>
      </c>
    </row>
    <row r="1816" customFormat="false" ht="15" hidden="false" customHeight="false" outlineLevel="0" collapsed="false">
      <c r="A1816" s="3" t="n">
        <v>1815</v>
      </c>
      <c r="B1816" s="3" t="n">
        <v>1814</v>
      </c>
      <c r="C1816" s="3" t="n">
        <v>2</v>
      </c>
      <c r="D1816" s="3" t="n">
        <v>8</v>
      </c>
      <c r="E1816" s="3" t="n">
        <v>22</v>
      </c>
      <c r="F1816" s="24" t="n">
        <v>0</v>
      </c>
    </row>
    <row r="1817" customFormat="false" ht="15" hidden="false" customHeight="false" outlineLevel="0" collapsed="false">
      <c r="A1817" s="3" t="n">
        <v>1816</v>
      </c>
      <c r="B1817" s="3" t="n">
        <v>1815</v>
      </c>
      <c r="C1817" s="3" t="n">
        <v>2</v>
      </c>
      <c r="D1817" s="3" t="n">
        <v>8</v>
      </c>
      <c r="E1817" s="3" t="n">
        <v>23</v>
      </c>
      <c r="F1817" s="24" t="n">
        <v>0</v>
      </c>
    </row>
    <row r="1818" customFormat="false" ht="15" hidden="false" customHeight="false" outlineLevel="0" collapsed="false">
      <c r="A1818" s="3" t="n">
        <v>1817</v>
      </c>
      <c r="B1818" s="3" t="n">
        <v>1816</v>
      </c>
      <c r="C1818" s="3" t="n">
        <v>2</v>
      </c>
      <c r="D1818" s="3" t="n">
        <v>8</v>
      </c>
      <c r="E1818" s="3" t="n">
        <v>24</v>
      </c>
      <c r="F1818" s="24" t="n">
        <v>0</v>
      </c>
    </row>
    <row r="1819" customFormat="false" ht="15" hidden="false" customHeight="false" outlineLevel="0" collapsed="false">
      <c r="A1819" s="3" t="n">
        <v>1818</v>
      </c>
      <c r="B1819" s="3" t="n">
        <v>1817</v>
      </c>
      <c r="C1819" s="3" t="n">
        <v>2</v>
      </c>
      <c r="D1819" s="3" t="n">
        <v>8</v>
      </c>
      <c r="E1819" s="3" t="n">
        <v>25</v>
      </c>
      <c r="F1819" s="24" t="n">
        <v>0</v>
      </c>
    </row>
    <row r="1820" customFormat="false" ht="15" hidden="false" customHeight="false" outlineLevel="0" collapsed="false">
      <c r="A1820" s="3" t="n">
        <v>1819</v>
      </c>
      <c r="B1820" s="3" t="n">
        <v>1818</v>
      </c>
      <c r="C1820" s="3" t="n">
        <v>2</v>
      </c>
      <c r="D1820" s="3" t="n">
        <v>8</v>
      </c>
      <c r="E1820" s="3" t="n">
        <v>26</v>
      </c>
      <c r="F1820" s="24" t="n">
        <v>0</v>
      </c>
    </row>
    <row r="1821" customFormat="false" ht="15" hidden="false" customHeight="false" outlineLevel="0" collapsed="false">
      <c r="A1821" s="3" t="n">
        <v>1820</v>
      </c>
      <c r="B1821" s="3" t="n">
        <v>1819</v>
      </c>
      <c r="C1821" s="3" t="n">
        <v>2</v>
      </c>
      <c r="D1821" s="3" t="n">
        <v>8</v>
      </c>
      <c r="E1821" s="3" t="n">
        <v>27</v>
      </c>
      <c r="F1821" s="24" t="n">
        <v>0.387737483</v>
      </c>
    </row>
    <row r="1822" customFormat="false" ht="15" hidden="false" customHeight="false" outlineLevel="0" collapsed="false">
      <c r="A1822" s="3" t="n">
        <v>1821</v>
      </c>
      <c r="B1822" s="3" t="n">
        <v>1820</v>
      </c>
      <c r="C1822" s="3" t="n">
        <v>2</v>
      </c>
      <c r="D1822" s="3" t="n">
        <v>9</v>
      </c>
      <c r="E1822" s="3" t="n">
        <v>0</v>
      </c>
      <c r="F1822" s="24" t="n">
        <v>0</v>
      </c>
    </row>
    <row r="1823" customFormat="false" ht="15" hidden="false" customHeight="false" outlineLevel="0" collapsed="false">
      <c r="A1823" s="3" t="n">
        <v>1822</v>
      </c>
      <c r="B1823" s="3" t="n">
        <v>1821</v>
      </c>
      <c r="C1823" s="3" t="n">
        <v>2</v>
      </c>
      <c r="D1823" s="3" t="n">
        <v>9</v>
      </c>
      <c r="E1823" s="3" t="n">
        <v>1</v>
      </c>
      <c r="F1823" s="24" t="n">
        <v>0</v>
      </c>
    </row>
    <row r="1824" customFormat="false" ht="15" hidden="false" customHeight="false" outlineLevel="0" collapsed="false">
      <c r="A1824" s="3" t="n">
        <v>1823</v>
      </c>
      <c r="B1824" s="3" t="n">
        <v>1822</v>
      </c>
      <c r="C1824" s="3" t="n">
        <v>2</v>
      </c>
      <c r="D1824" s="3" t="n">
        <v>9</v>
      </c>
      <c r="E1824" s="3" t="n">
        <v>2</v>
      </c>
      <c r="F1824" s="24" t="n">
        <v>0</v>
      </c>
    </row>
    <row r="1825" customFormat="false" ht="15" hidden="false" customHeight="false" outlineLevel="0" collapsed="false">
      <c r="A1825" s="3" t="n">
        <v>1824</v>
      </c>
      <c r="B1825" s="3" t="n">
        <v>1823</v>
      </c>
      <c r="C1825" s="3" t="n">
        <v>2</v>
      </c>
      <c r="D1825" s="3" t="n">
        <v>9</v>
      </c>
      <c r="E1825" s="3" t="n">
        <v>3</v>
      </c>
      <c r="F1825" s="24" t="n">
        <v>0</v>
      </c>
    </row>
    <row r="1826" customFormat="false" ht="15" hidden="false" customHeight="false" outlineLevel="0" collapsed="false">
      <c r="A1826" s="3" t="n">
        <v>1825</v>
      </c>
      <c r="B1826" s="3" t="n">
        <v>1824</v>
      </c>
      <c r="C1826" s="3" t="n">
        <v>2</v>
      </c>
      <c r="D1826" s="3" t="n">
        <v>9</v>
      </c>
      <c r="E1826" s="3" t="n">
        <v>4</v>
      </c>
      <c r="F1826" s="24" t="n">
        <v>0</v>
      </c>
    </row>
    <row r="1827" customFormat="false" ht="15" hidden="false" customHeight="false" outlineLevel="0" collapsed="false">
      <c r="A1827" s="3" t="n">
        <v>1826</v>
      </c>
      <c r="B1827" s="3" t="n">
        <v>1825</v>
      </c>
      <c r="C1827" s="3" t="n">
        <v>2</v>
      </c>
      <c r="D1827" s="3" t="n">
        <v>9</v>
      </c>
      <c r="E1827" s="3" t="n">
        <v>5</v>
      </c>
      <c r="F1827" s="24" t="n">
        <v>0.915204406</v>
      </c>
    </row>
    <row r="1828" customFormat="false" ht="15" hidden="false" customHeight="false" outlineLevel="0" collapsed="false">
      <c r="A1828" s="3" t="n">
        <v>1827</v>
      </c>
      <c r="B1828" s="3" t="n">
        <v>1826</v>
      </c>
      <c r="C1828" s="3" t="n">
        <v>2</v>
      </c>
      <c r="D1828" s="3" t="n">
        <v>9</v>
      </c>
      <c r="E1828" s="3" t="n">
        <v>6</v>
      </c>
      <c r="F1828" s="24" t="n">
        <v>1.35733473</v>
      </c>
    </row>
    <row r="1829" customFormat="false" ht="15" hidden="false" customHeight="false" outlineLevel="0" collapsed="false">
      <c r="A1829" s="3" t="n">
        <v>1828</v>
      </c>
      <c r="B1829" s="3" t="n">
        <v>1827</v>
      </c>
      <c r="C1829" s="3" t="n">
        <v>2</v>
      </c>
      <c r="D1829" s="3" t="n">
        <v>9</v>
      </c>
      <c r="E1829" s="3" t="n">
        <v>7</v>
      </c>
      <c r="F1829" s="24" t="n">
        <v>0</v>
      </c>
    </row>
    <row r="1830" customFormat="false" ht="15" hidden="false" customHeight="false" outlineLevel="0" collapsed="false">
      <c r="A1830" s="3" t="n">
        <v>1829</v>
      </c>
      <c r="B1830" s="3" t="n">
        <v>1828</v>
      </c>
      <c r="C1830" s="3" t="n">
        <v>2</v>
      </c>
      <c r="D1830" s="3" t="n">
        <v>9</v>
      </c>
      <c r="E1830" s="3" t="n">
        <v>8</v>
      </c>
      <c r="F1830" s="24" t="n">
        <v>0</v>
      </c>
    </row>
    <row r="1831" customFormat="false" ht="15" hidden="false" customHeight="false" outlineLevel="0" collapsed="false">
      <c r="A1831" s="3" t="n">
        <v>1830</v>
      </c>
      <c r="B1831" s="3" t="n">
        <v>1829</v>
      </c>
      <c r="C1831" s="3" t="n">
        <v>2</v>
      </c>
      <c r="D1831" s="3" t="n">
        <v>9</v>
      </c>
      <c r="E1831" s="3" t="n">
        <v>9</v>
      </c>
      <c r="F1831" s="24" t="n">
        <v>0</v>
      </c>
    </row>
    <row r="1832" customFormat="false" ht="15" hidden="false" customHeight="false" outlineLevel="0" collapsed="false">
      <c r="A1832" s="3" t="n">
        <v>1831</v>
      </c>
      <c r="B1832" s="3" t="n">
        <v>1830</v>
      </c>
      <c r="C1832" s="3" t="n">
        <v>2</v>
      </c>
      <c r="D1832" s="3" t="n">
        <v>9</v>
      </c>
      <c r="E1832" s="3" t="n">
        <v>10</v>
      </c>
      <c r="F1832" s="24" t="n">
        <v>0</v>
      </c>
    </row>
    <row r="1833" customFormat="false" ht="15" hidden="false" customHeight="false" outlineLevel="0" collapsed="false">
      <c r="A1833" s="3" t="n">
        <v>1832</v>
      </c>
      <c r="B1833" s="3" t="n">
        <v>1831</v>
      </c>
      <c r="C1833" s="3" t="n">
        <v>2</v>
      </c>
      <c r="D1833" s="3" t="n">
        <v>9</v>
      </c>
      <c r="E1833" s="3" t="n">
        <v>11</v>
      </c>
      <c r="F1833" s="24" t="n">
        <v>0</v>
      </c>
    </row>
    <row r="1834" customFormat="false" ht="15" hidden="false" customHeight="false" outlineLevel="0" collapsed="false">
      <c r="A1834" s="3" t="n">
        <v>1833</v>
      </c>
      <c r="B1834" s="3" t="n">
        <v>1832</v>
      </c>
      <c r="C1834" s="3" t="n">
        <v>2</v>
      </c>
      <c r="D1834" s="3" t="n">
        <v>9</v>
      </c>
      <c r="E1834" s="3" t="n">
        <v>12</v>
      </c>
      <c r="F1834" s="24" t="n">
        <v>0</v>
      </c>
    </row>
    <row r="1835" customFormat="false" ht="15" hidden="false" customHeight="false" outlineLevel="0" collapsed="false">
      <c r="A1835" s="3" t="n">
        <v>1834</v>
      </c>
      <c r="B1835" s="3" t="n">
        <v>1833</v>
      </c>
      <c r="C1835" s="3" t="n">
        <v>2</v>
      </c>
      <c r="D1835" s="3" t="n">
        <v>9</v>
      </c>
      <c r="E1835" s="3" t="n">
        <v>13</v>
      </c>
      <c r="F1835" s="24" t="n">
        <v>0</v>
      </c>
    </row>
    <row r="1836" customFormat="false" ht="15" hidden="false" customHeight="false" outlineLevel="0" collapsed="false">
      <c r="A1836" s="3" t="n">
        <v>1835</v>
      </c>
      <c r="B1836" s="3" t="n">
        <v>1834</v>
      </c>
      <c r="C1836" s="3" t="n">
        <v>2</v>
      </c>
      <c r="D1836" s="3" t="n">
        <v>9</v>
      </c>
      <c r="E1836" s="3" t="n">
        <v>14</v>
      </c>
      <c r="F1836" s="24" t="n">
        <v>0</v>
      </c>
    </row>
    <row r="1837" customFormat="false" ht="15" hidden="false" customHeight="false" outlineLevel="0" collapsed="false">
      <c r="A1837" s="3" t="n">
        <v>1836</v>
      </c>
      <c r="B1837" s="3" t="n">
        <v>1835</v>
      </c>
      <c r="C1837" s="3" t="n">
        <v>2</v>
      </c>
      <c r="D1837" s="3" t="n">
        <v>9</v>
      </c>
      <c r="E1837" s="3" t="n">
        <v>15</v>
      </c>
      <c r="F1837" s="24" t="n">
        <v>0</v>
      </c>
    </row>
    <row r="1838" customFormat="false" ht="15" hidden="false" customHeight="false" outlineLevel="0" collapsed="false">
      <c r="A1838" s="3" t="n">
        <v>1837</v>
      </c>
      <c r="B1838" s="3" t="n">
        <v>1836</v>
      </c>
      <c r="C1838" s="3" t="n">
        <v>2</v>
      </c>
      <c r="D1838" s="3" t="n">
        <v>9</v>
      </c>
      <c r="E1838" s="3" t="n">
        <v>16</v>
      </c>
      <c r="F1838" s="24" t="n">
        <v>0</v>
      </c>
    </row>
    <row r="1839" customFormat="false" ht="15" hidden="false" customHeight="false" outlineLevel="0" collapsed="false">
      <c r="A1839" s="3" t="n">
        <v>1838</v>
      </c>
      <c r="B1839" s="3" t="n">
        <v>1837</v>
      </c>
      <c r="C1839" s="3" t="n">
        <v>2</v>
      </c>
      <c r="D1839" s="3" t="n">
        <v>9</v>
      </c>
      <c r="E1839" s="3" t="n">
        <v>17</v>
      </c>
      <c r="F1839" s="24" t="n">
        <v>0</v>
      </c>
    </row>
    <row r="1840" customFormat="false" ht="15" hidden="false" customHeight="false" outlineLevel="0" collapsed="false">
      <c r="A1840" s="3" t="n">
        <v>1839</v>
      </c>
      <c r="B1840" s="3" t="n">
        <v>1838</v>
      </c>
      <c r="C1840" s="3" t="n">
        <v>2</v>
      </c>
      <c r="D1840" s="3" t="n">
        <v>9</v>
      </c>
      <c r="E1840" s="3" t="n">
        <v>18</v>
      </c>
      <c r="F1840" s="24" t="n">
        <v>0</v>
      </c>
    </row>
    <row r="1841" customFormat="false" ht="15" hidden="false" customHeight="false" outlineLevel="0" collapsed="false">
      <c r="A1841" s="3" t="n">
        <v>1840</v>
      </c>
      <c r="B1841" s="3" t="n">
        <v>1839</v>
      </c>
      <c r="C1841" s="3" t="n">
        <v>2</v>
      </c>
      <c r="D1841" s="3" t="n">
        <v>9</v>
      </c>
      <c r="E1841" s="3" t="n">
        <v>19</v>
      </c>
      <c r="F1841" s="24" t="n">
        <v>0.898993373</v>
      </c>
    </row>
    <row r="1842" customFormat="false" ht="15" hidden="false" customHeight="false" outlineLevel="0" collapsed="false">
      <c r="A1842" s="3" t="n">
        <v>1841</v>
      </c>
      <c r="B1842" s="3" t="n">
        <v>1840</v>
      </c>
      <c r="C1842" s="3" t="n">
        <v>2</v>
      </c>
      <c r="D1842" s="3" t="n">
        <v>9</v>
      </c>
      <c r="E1842" s="3" t="n">
        <v>20</v>
      </c>
      <c r="F1842" s="24" t="n">
        <v>0</v>
      </c>
    </row>
    <row r="1843" customFormat="false" ht="15" hidden="false" customHeight="false" outlineLevel="0" collapsed="false">
      <c r="A1843" s="3" t="n">
        <v>1842</v>
      </c>
      <c r="B1843" s="3" t="n">
        <v>1841</v>
      </c>
      <c r="C1843" s="3" t="n">
        <v>2</v>
      </c>
      <c r="D1843" s="3" t="n">
        <v>9</v>
      </c>
      <c r="E1843" s="3" t="n">
        <v>21</v>
      </c>
      <c r="F1843" s="24" t="n">
        <v>0</v>
      </c>
    </row>
    <row r="1844" customFormat="false" ht="15" hidden="false" customHeight="false" outlineLevel="0" collapsed="false">
      <c r="A1844" s="3" t="n">
        <v>1843</v>
      </c>
      <c r="B1844" s="3" t="n">
        <v>1842</v>
      </c>
      <c r="C1844" s="3" t="n">
        <v>2</v>
      </c>
      <c r="D1844" s="3" t="n">
        <v>9</v>
      </c>
      <c r="E1844" s="3" t="n">
        <v>22</v>
      </c>
      <c r="F1844" s="24" t="n">
        <v>0</v>
      </c>
    </row>
    <row r="1845" customFormat="false" ht="15" hidden="false" customHeight="false" outlineLevel="0" collapsed="false">
      <c r="A1845" s="3" t="n">
        <v>1844</v>
      </c>
      <c r="B1845" s="3" t="n">
        <v>1843</v>
      </c>
      <c r="C1845" s="3" t="n">
        <v>2</v>
      </c>
      <c r="D1845" s="3" t="n">
        <v>9</v>
      </c>
      <c r="E1845" s="3" t="n">
        <v>23</v>
      </c>
      <c r="F1845" s="24" t="n">
        <v>0</v>
      </c>
    </row>
    <row r="1846" customFormat="false" ht="15" hidden="false" customHeight="false" outlineLevel="0" collapsed="false">
      <c r="A1846" s="3" t="n">
        <v>1845</v>
      </c>
      <c r="B1846" s="3" t="n">
        <v>1844</v>
      </c>
      <c r="C1846" s="3" t="n">
        <v>2</v>
      </c>
      <c r="D1846" s="3" t="n">
        <v>9</v>
      </c>
      <c r="E1846" s="3" t="n">
        <v>24</v>
      </c>
      <c r="F1846" s="24" t="n">
        <v>0</v>
      </c>
    </row>
    <row r="1847" customFormat="false" ht="15" hidden="false" customHeight="false" outlineLevel="0" collapsed="false">
      <c r="A1847" s="3" t="n">
        <v>1846</v>
      </c>
      <c r="B1847" s="3" t="n">
        <v>1845</v>
      </c>
      <c r="C1847" s="3" t="n">
        <v>2</v>
      </c>
      <c r="D1847" s="3" t="n">
        <v>9</v>
      </c>
      <c r="E1847" s="3" t="n">
        <v>25</v>
      </c>
      <c r="F1847" s="24" t="n">
        <v>0</v>
      </c>
    </row>
    <row r="1848" customFormat="false" ht="15" hidden="false" customHeight="false" outlineLevel="0" collapsed="false">
      <c r="A1848" s="3" t="n">
        <v>1847</v>
      </c>
      <c r="B1848" s="3" t="n">
        <v>1846</v>
      </c>
      <c r="C1848" s="3" t="n">
        <v>2</v>
      </c>
      <c r="D1848" s="3" t="n">
        <v>9</v>
      </c>
      <c r="E1848" s="3" t="n">
        <v>26</v>
      </c>
      <c r="F1848" s="24" t="n">
        <v>0</v>
      </c>
    </row>
    <row r="1849" customFormat="false" ht="15" hidden="false" customHeight="false" outlineLevel="0" collapsed="false">
      <c r="A1849" s="3" t="n">
        <v>1848</v>
      </c>
      <c r="B1849" s="3" t="n">
        <v>1847</v>
      </c>
      <c r="C1849" s="3" t="n">
        <v>2</v>
      </c>
      <c r="D1849" s="3" t="n">
        <v>9</v>
      </c>
      <c r="E1849" s="3" t="n">
        <v>27</v>
      </c>
      <c r="F1849" s="24" t="n">
        <v>0.387737483</v>
      </c>
    </row>
    <row r="1850" customFormat="false" ht="15" hidden="false" customHeight="false" outlineLevel="0" collapsed="false">
      <c r="A1850" s="3" t="n">
        <v>1849</v>
      </c>
      <c r="B1850" s="3" t="n">
        <v>1848</v>
      </c>
      <c r="C1850" s="3" t="n">
        <v>2</v>
      </c>
      <c r="D1850" s="3" t="n">
        <v>10</v>
      </c>
      <c r="E1850" s="3" t="n">
        <v>0</v>
      </c>
      <c r="F1850" s="24" t="n">
        <v>0</v>
      </c>
    </row>
    <row r="1851" customFormat="false" ht="15" hidden="false" customHeight="false" outlineLevel="0" collapsed="false">
      <c r="A1851" s="3" t="n">
        <v>1850</v>
      </c>
      <c r="B1851" s="3" t="n">
        <v>1849</v>
      </c>
      <c r="C1851" s="3" t="n">
        <v>2</v>
      </c>
      <c r="D1851" s="3" t="n">
        <v>10</v>
      </c>
      <c r="E1851" s="3" t="n">
        <v>1</v>
      </c>
      <c r="F1851" s="24" t="n">
        <v>0</v>
      </c>
    </row>
    <row r="1852" customFormat="false" ht="15" hidden="false" customHeight="false" outlineLevel="0" collapsed="false">
      <c r="A1852" s="3" t="n">
        <v>1851</v>
      </c>
      <c r="B1852" s="3" t="n">
        <v>1850</v>
      </c>
      <c r="C1852" s="3" t="n">
        <v>2</v>
      </c>
      <c r="D1852" s="3" t="n">
        <v>10</v>
      </c>
      <c r="E1852" s="3" t="n">
        <v>2</v>
      </c>
      <c r="F1852" s="24" t="n">
        <v>0</v>
      </c>
    </row>
    <row r="1853" customFormat="false" ht="15" hidden="false" customHeight="false" outlineLevel="0" collapsed="false">
      <c r="A1853" s="3" t="n">
        <v>1852</v>
      </c>
      <c r="B1853" s="3" t="n">
        <v>1851</v>
      </c>
      <c r="C1853" s="3" t="n">
        <v>2</v>
      </c>
      <c r="D1853" s="3" t="n">
        <v>10</v>
      </c>
      <c r="E1853" s="3" t="n">
        <v>3</v>
      </c>
      <c r="F1853" s="24" t="n">
        <v>0</v>
      </c>
    </row>
    <row r="1854" customFormat="false" ht="15" hidden="false" customHeight="false" outlineLevel="0" collapsed="false">
      <c r="A1854" s="3" t="n">
        <v>1853</v>
      </c>
      <c r="B1854" s="3" t="n">
        <v>1852</v>
      </c>
      <c r="C1854" s="3" t="n">
        <v>2</v>
      </c>
      <c r="D1854" s="3" t="n">
        <v>10</v>
      </c>
      <c r="E1854" s="3" t="n">
        <v>4</v>
      </c>
      <c r="F1854" s="24" t="n">
        <v>0</v>
      </c>
    </row>
    <row r="1855" customFormat="false" ht="15" hidden="false" customHeight="false" outlineLevel="0" collapsed="false">
      <c r="A1855" s="3" t="n">
        <v>1854</v>
      </c>
      <c r="B1855" s="3" t="n">
        <v>1853</v>
      </c>
      <c r="C1855" s="3" t="n">
        <v>2</v>
      </c>
      <c r="D1855" s="3" t="n">
        <v>10</v>
      </c>
      <c r="E1855" s="3" t="n">
        <v>5</v>
      </c>
      <c r="F1855" s="24" t="n">
        <v>0.06713368</v>
      </c>
    </row>
    <row r="1856" customFormat="false" ht="15" hidden="false" customHeight="false" outlineLevel="0" collapsed="false">
      <c r="A1856" s="3" t="n">
        <v>1855</v>
      </c>
      <c r="B1856" s="3" t="n">
        <v>1854</v>
      </c>
      <c r="C1856" s="3" t="n">
        <v>2</v>
      </c>
      <c r="D1856" s="3" t="n">
        <v>10</v>
      </c>
      <c r="E1856" s="3" t="n">
        <v>6</v>
      </c>
      <c r="F1856" s="24" t="n">
        <v>0.187325954</v>
      </c>
    </row>
    <row r="1857" customFormat="false" ht="15" hidden="false" customHeight="false" outlineLevel="0" collapsed="false">
      <c r="A1857" s="3" t="n">
        <v>1856</v>
      </c>
      <c r="B1857" s="3" t="n">
        <v>1855</v>
      </c>
      <c r="C1857" s="3" t="n">
        <v>2</v>
      </c>
      <c r="D1857" s="3" t="n">
        <v>10</v>
      </c>
      <c r="E1857" s="3" t="n">
        <v>7</v>
      </c>
      <c r="F1857" s="24" t="n">
        <v>0</v>
      </c>
    </row>
    <row r="1858" customFormat="false" ht="15" hidden="false" customHeight="false" outlineLevel="0" collapsed="false">
      <c r="A1858" s="3" t="n">
        <v>1857</v>
      </c>
      <c r="B1858" s="3" t="n">
        <v>1856</v>
      </c>
      <c r="C1858" s="3" t="n">
        <v>2</v>
      </c>
      <c r="D1858" s="3" t="n">
        <v>10</v>
      </c>
      <c r="E1858" s="3" t="n">
        <v>8</v>
      </c>
      <c r="F1858" s="24" t="n">
        <v>0</v>
      </c>
    </row>
    <row r="1859" customFormat="false" ht="15" hidden="false" customHeight="false" outlineLevel="0" collapsed="false">
      <c r="A1859" s="3" t="n">
        <v>1858</v>
      </c>
      <c r="B1859" s="3" t="n">
        <v>1857</v>
      </c>
      <c r="C1859" s="3" t="n">
        <v>2</v>
      </c>
      <c r="D1859" s="3" t="n">
        <v>10</v>
      </c>
      <c r="E1859" s="3" t="n">
        <v>9</v>
      </c>
      <c r="F1859" s="24" t="n">
        <v>0</v>
      </c>
    </row>
    <row r="1860" customFormat="false" ht="15" hidden="false" customHeight="false" outlineLevel="0" collapsed="false">
      <c r="A1860" s="3" t="n">
        <v>1859</v>
      </c>
      <c r="B1860" s="3" t="n">
        <v>1858</v>
      </c>
      <c r="C1860" s="3" t="n">
        <v>2</v>
      </c>
      <c r="D1860" s="3" t="n">
        <v>10</v>
      </c>
      <c r="E1860" s="3" t="n">
        <v>10</v>
      </c>
      <c r="F1860" s="24" t="n">
        <v>0</v>
      </c>
    </row>
    <row r="1861" customFormat="false" ht="15" hidden="false" customHeight="false" outlineLevel="0" collapsed="false">
      <c r="A1861" s="3" t="n">
        <v>1860</v>
      </c>
      <c r="B1861" s="3" t="n">
        <v>1859</v>
      </c>
      <c r="C1861" s="3" t="n">
        <v>2</v>
      </c>
      <c r="D1861" s="3" t="n">
        <v>10</v>
      </c>
      <c r="E1861" s="3" t="n">
        <v>11</v>
      </c>
      <c r="F1861" s="24" t="n">
        <v>0.0954111516</v>
      </c>
    </row>
    <row r="1862" customFormat="false" ht="15" hidden="false" customHeight="false" outlineLevel="0" collapsed="false">
      <c r="A1862" s="3" t="n">
        <v>1861</v>
      </c>
      <c r="B1862" s="3" t="n">
        <v>1860</v>
      </c>
      <c r="C1862" s="3" t="n">
        <v>2</v>
      </c>
      <c r="D1862" s="3" t="n">
        <v>10</v>
      </c>
      <c r="E1862" s="3" t="n">
        <v>12</v>
      </c>
      <c r="F1862" s="24" t="n">
        <v>0</v>
      </c>
    </row>
    <row r="1863" customFormat="false" ht="15" hidden="false" customHeight="false" outlineLevel="0" collapsed="false">
      <c r="A1863" s="3" t="n">
        <v>1862</v>
      </c>
      <c r="B1863" s="3" t="n">
        <v>1861</v>
      </c>
      <c r="C1863" s="3" t="n">
        <v>2</v>
      </c>
      <c r="D1863" s="3" t="n">
        <v>10</v>
      </c>
      <c r="E1863" s="3" t="n">
        <v>13</v>
      </c>
      <c r="F1863" s="24" t="n">
        <v>0</v>
      </c>
    </row>
    <row r="1864" customFormat="false" ht="15" hidden="false" customHeight="false" outlineLevel="0" collapsed="false">
      <c r="A1864" s="3" t="n">
        <v>1863</v>
      </c>
      <c r="B1864" s="3" t="n">
        <v>1862</v>
      </c>
      <c r="C1864" s="3" t="n">
        <v>2</v>
      </c>
      <c r="D1864" s="3" t="n">
        <v>10</v>
      </c>
      <c r="E1864" s="3" t="n">
        <v>14</v>
      </c>
      <c r="F1864" s="24" t="n">
        <v>0</v>
      </c>
    </row>
    <row r="1865" customFormat="false" ht="15" hidden="false" customHeight="false" outlineLevel="0" collapsed="false">
      <c r="A1865" s="3" t="n">
        <v>1864</v>
      </c>
      <c r="B1865" s="3" t="n">
        <v>1863</v>
      </c>
      <c r="C1865" s="3" t="n">
        <v>2</v>
      </c>
      <c r="D1865" s="3" t="n">
        <v>10</v>
      </c>
      <c r="E1865" s="3" t="n">
        <v>15</v>
      </c>
      <c r="F1865" s="24" t="n">
        <v>0</v>
      </c>
    </row>
    <row r="1866" customFormat="false" ht="15" hidden="false" customHeight="false" outlineLevel="0" collapsed="false">
      <c r="A1866" s="3" t="n">
        <v>1865</v>
      </c>
      <c r="B1866" s="3" t="n">
        <v>1864</v>
      </c>
      <c r="C1866" s="3" t="n">
        <v>2</v>
      </c>
      <c r="D1866" s="3" t="n">
        <v>10</v>
      </c>
      <c r="E1866" s="3" t="n">
        <v>16</v>
      </c>
      <c r="F1866" s="24" t="n">
        <v>0</v>
      </c>
    </row>
    <row r="1867" customFormat="false" ht="15" hidden="false" customHeight="false" outlineLevel="0" collapsed="false">
      <c r="A1867" s="3" t="n">
        <v>1866</v>
      </c>
      <c r="B1867" s="3" t="n">
        <v>1865</v>
      </c>
      <c r="C1867" s="3" t="n">
        <v>2</v>
      </c>
      <c r="D1867" s="3" t="n">
        <v>10</v>
      </c>
      <c r="E1867" s="3" t="n">
        <v>17</v>
      </c>
      <c r="F1867" s="24" t="n">
        <v>0</v>
      </c>
    </row>
    <row r="1868" customFormat="false" ht="15" hidden="false" customHeight="false" outlineLevel="0" collapsed="false">
      <c r="A1868" s="3" t="n">
        <v>1867</v>
      </c>
      <c r="B1868" s="3" t="n">
        <v>1866</v>
      </c>
      <c r="C1868" s="3" t="n">
        <v>2</v>
      </c>
      <c r="D1868" s="3" t="n">
        <v>10</v>
      </c>
      <c r="E1868" s="3" t="n">
        <v>18</v>
      </c>
      <c r="F1868" s="24" t="n">
        <v>1.76586401</v>
      </c>
    </row>
    <row r="1869" customFormat="false" ht="15" hidden="false" customHeight="false" outlineLevel="0" collapsed="false">
      <c r="A1869" s="3" t="n">
        <v>1868</v>
      </c>
      <c r="B1869" s="3" t="n">
        <v>1867</v>
      </c>
      <c r="C1869" s="3" t="n">
        <v>2</v>
      </c>
      <c r="D1869" s="3" t="n">
        <v>10</v>
      </c>
      <c r="E1869" s="3" t="n">
        <v>19</v>
      </c>
      <c r="F1869" s="24" t="n">
        <v>2.04890895</v>
      </c>
    </row>
    <row r="1870" customFormat="false" ht="15" hidden="false" customHeight="false" outlineLevel="0" collapsed="false">
      <c r="A1870" s="3" t="n">
        <v>1869</v>
      </c>
      <c r="B1870" s="3" t="n">
        <v>1868</v>
      </c>
      <c r="C1870" s="3" t="n">
        <v>2</v>
      </c>
      <c r="D1870" s="3" t="n">
        <v>10</v>
      </c>
      <c r="E1870" s="3" t="n">
        <v>20</v>
      </c>
      <c r="F1870" s="24" t="n">
        <v>0</v>
      </c>
    </row>
    <row r="1871" customFormat="false" ht="15" hidden="false" customHeight="false" outlineLevel="0" collapsed="false">
      <c r="A1871" s="3" t="n">
        <v>1870</v>
      </c>
      <c r="B1871" s="3" t="n">
        <v>1869</v>
      </c>
      <c r="C1871" s="3" t="n">
        <v>2</v>
      </c>
      <c r="D1871" s="3" t="n">
        <v>10</v>
      </c>
      <c r="E1871" s="3" t="n">
        <v>21</v>
      </c>
      <c r="F1871" s="24" t="n">
        <v>0</v>
      </c>
    </row>
    <row r="1872" customFormat="false" ht="15" hidden="false" customHeight="false" outlineLevel="0" collapsed="false">
      <c r="A1872" s="3" t="n">
        <v>1871</v>
      </c>
      <c r="B1872" s="3" t="n">
        <v>1870</v>
      </c>
      <c r="C1872" s="3" t="n">
        <v>2</v>
      </c>
      <c r="D1872" s="3" t="n">
        <v>10</v>
      </c>
      <c r="E1872" s="3" t="n">
        <v>22</v>
      </c>
      <c r="F1872" s="24" t="n">
        <v>0</v>
      </c>
    </row>
    <row r="1873" customFormat="false" ht="15" hidden="false" customHeight="false" outlineLevel="0" collapsed="false">
      <c r="A1873" s="3" t="n">
        <v>1872</v>
      </c>
      <c r="B1873" s="3" t="n">
        <v>1871</v>
      </c>
      <c r="C1873" s="3" t="n">
        <v>2</v>
      </c>
      <c r="D1873" s="3" t="n">
        <v>10</v>
      </c>
      <c r="E1873" s="3" t="n">
        <v>23</v>
      </c>
      <c r="F1873" s="24" t="n">
        <v>0</v>
      </c>
    </row>
    <row r="1874" customFormat="false" ht="15" hidden="false" customHeight="false" outlineLevel="0" collapsed="false">
      <c r="A1874" s="3" t="n">
        <v>1873</v>
      </c>
      <c r="B1874" s="3" t="n">
        <v>1872</v>
      </c>
      <c r="C1874" s="3" t="n">
        <v>2</v>
      </c>
      <c r="D1874" s="3" t="n">
        <v>10</v>
      </c>
      <c r="E1874" s="3" t="n">
        <v>24</v>
      </c>
      <c r="F1874" s="24" t="n">
        <v>0</v>
      </c>
    </row>
    <row r="1875" customFormat="false" ht="15" hidden="false" customHeight="false" outlineLevel="0" collapsed="false">
      <c r="A1875" s="3" t="n">
        <v>1874</v>
      </c>
      <c r="B1875" s="3" t="n">
        <v>1873</v>
      </c>
      <c r="C1875" s="3" t="n">
        <v>2</v>
      </c>
      <c r="D1875" s="3" t="n">
        <v>10</v>
      </c>
      <c r="E1875" s="3" t="n">
        <v>25</v>
      </c>
      <c r="F1875" s="24" t="n">
        <v>0</v>
      </c>
    </row>
    <row r="1876" customFormat="false" ht="15" hidden="false" customHeight="false" outlineLevel="0" collapsed="false">
      <c r="A1876" s="3" t="n">
        <v>1875</v>
      </c>
      <c r="B1876" s="3" t="n">
        <v>1874</v>
      </c>
      <c r="C1876" s="3" t="n">
        <v>2</v>
      </c>
      <c r="D1876" s="3" t="n">
        <v>10</v>
      </c>
      <c r="E1876" s="3" t="n">
        <v>26</v>
      </c>
      <c r="F1876" s="24" t="n">
        <v>0</v>
      </c>
    </row>
    <row r="1877" customFormat="false" ht="15" hidden="false" customHeight="false" outlineLevel="0" collapsed="false">
      <c r="A1877" s="3" t="n">
        <v>1876</v>
      </c>
      <c r="B1877" s="3" t="n">
        <v>1875</v>
      </c>
      <c r="C1877" s="3" t="n">
        <v>2</v>
      </c>
      <c r="D1877" s="3" t="n">
        <v>10</v>
      </c>
      <c r="E1877" s="3" t="n">
        <v>27</v>
      </c>
      <c r="F1877" s="24" t="n">
        <v>0.387737483</v>
      </c>
    </row>
    <row r="1878" customFormat="false" ht="15" hidden="false" customHeight="false" outlineLevel="0" collapsed="false">
      <c r="A1878" s="3" t="n">
        <v>1877</v>
      </c>
      <c r="B1878" s="3" t="n">
        <v>1876</v>
      </c>
      <c r="C1878" s="3" t="n">
        <v>2</v>
      </c>
      <c r="D1878" s="3" t="n">
        <v>11</v>
      </c>
      <c r="E1878" s="3" t="n">
        <v>0</v>
      </c>
      <c r="F1878" s="24" t="n">
        <v>0</v>
      </c>
    </row>
    <row r="1879" customFormat="false" ht="15" hidden="false" customHeight="false" outlineLevel="0" collapsed="false">
      <c r="A1879" s="3" t="n">
        <v>1878</v>
      </c>
      <c r="B1879" s="3" t="n">
        <v>1877</v>
      </c>
      <c r="C1879" s="3" t="n">
        <v>2</v>
      </c>
      <c r="D1879" s="3" t="n">
        <v>11</v>
      </c>
      <c r="E1879" s="3" t="n">
        <v>1</v>
      </c>
      <c r="F1879" s="24" t="n">
        <v>0</v>
      </c>
    </row>
    <row r="1880" customFormat="false" ht="15" hidden="false" customHeight="false" outlineLevel="0" collapsed="false">
      <c r="A1880" s="3" t="n">
        <v>1879</v>
      </c>
      <c r="B1880" s="3" t="n">
        <v>1878</v>
      </c>
      <c r="C1880" s="3" t="n">
        <v>2</v>
      </c>
      <c r="D1880" s="3" t="n">
        <v>11</v>
      </c>
      <c r="E1880" s="3" t="n">
        <v>2</v>
      </c>
      <c r="F1880" s="24" t="n">
        <v>0</v>
      </c>
    </row>
    <row r="1881" customFormat="false" ht="15" hidden="false" customHeight="false" outlineLevel="0" collapsed="false">
      <c r="A1881" s="3" t="n">
        <v>1880</v>
      </c>
      <c r="B1881" s="3" t="n">
        <v>1879</v>
      </c>
      <c r="C1881" s="3" t="n">
        <v>2</v>
      </c>
      <c r="D1881" s="3" t="n">
        <v>11</v>
      </c>
      <c r="E1881" s="3" t="n">
        <v>3</v>
      </c>
      <c r="F1881" s="24" t="n">
        <v>0</v>
      </c>
    </row>
    <row r="1882" customFormat="false" ht="15" hidden="false" customHeight="false" outlineLevel="0" collapsed="false">
      <c r="A1882" s="3" t="n">
        <v>1881</v>
      </c>
      <c r="B1882" s="3" t="n">
        <v>1880</v>
      </c>
      <c r="C1882" s="3" t="n">
        <v>2</v>
      </c>
      <c r="D1882" s="3" t="n">
        <v>11</v>
      </c>
      <c r="E1882" s="3" t="n">
        <v>4</v>
      </c>
      <c r="F1882" s="24" t="n">
        <v>0</v>
      </c>
    </row>
    <row r="1883" customFormat="false" ht="15" hidden="false" customHeight="false" outlineLevel="0" collapsed="false">
      <c r="A1883" s="3" t="n">
        <v>1882</v>
      </c>
      <c r="B1883" s="3" t="n">
        <v>1881</v>
      </c>
      <c r="C1883" s="3" t="n">
        <v>2</v>
      </c>
      <c r="D1883" s="3" t="n">
        <v>11</v>
      </c>
      <c r="E1883" s="3" t="n">
        <v>5</v>
      </c>
      <c r="F1883" s="24" t="n">
        <v>0</v>
      </c>
    </row>
    <row r="1884" customFormat="false" ht="15" hidden="false" customHeight="false" outlineLevel="0" collapsed="false">
      <c r="A1884" s="3" t="n">
        <v>1883</v>
      </c>
      <c r="B1884" s="3" t="n">
        <v>1882</v>
      </c>
      <c r="C1884" s="3" t="n">
        <v>2</v>
      </c>
      <c r="D1884" s="3" t="n">
        <v>11</v>
      </c>
      <c r="E1884" s="3" t="n">
        <v>6</v>
      </c>
      <c r="F1884" s="24" t="n">
        <v>0</v>
      </c>
    </row>
    <row r="1885" customFormat="false" ht="15" hidden="false" customHeight="false" outlineLevel="0" collapsed="false">
      <c r="A1885" s="3" t="n">
        <v>1884</v>
      </c>
      <c r="B1885" s="3" t="n">
        <v>1883</v>
      </c>
      <c r="C1885" s="3" t="n">
        <v>2</v>
      </c>
      <c r="D1885" s="3" t="n">
        <v>11</v>
      </c>
      <c r="E1885" s="3" t="n">
        <v>7</v>
      </c>
      <c r="F1885" s="24" t="n">
        <v>0</v>
      </c>
    </row>
    <row r="1886" customFormat="false" ht="15" hidden="false" customHeight="false" outlineLevel="0" collapsed="false">
      <c r="A1886" s="3" t="n">
        <v>1885</v>
      </c>
      <c r="B1886" s="3" t="n">
        <v>1884</v>
      </c>
      <c r="C1886" s="3" t="n">
        <v>2</v>
      </c>
      <c r="D1886" s="3" t="n">
        <v>11</v>
      </c>
      <c r="E1886" s="3" t="n">
        <v>8</v>
      </c>
      <c r="F1886" s="24" t="n">
        <v>0</v>
      </c>
    </row>
    <row r="1887" customFormat="false" ht="15" hidden="false" customHeight="false" outlineLevel="0" collapsed="false">
      <c r="A1887" s="3" t="n">
        <v>1886</v>
      </c>
      <c r="B1887" s="3" t="n">
        <v>1885</v>
      </c>
      <c r="C1887" s="3" t="n">
        <v>2</v>
      </c>
      <c r="D1887" s="3" t="n">
        <v>11</v>
      </c>
      <c r="E1887" s="3" t="n">
        <v>9</v>
      </c>
      <c r="F1887" s="24" t="n">
        <v>0</v>
      </c>
    </row>
    <row r="1888" customFormat="false" ht="15" hidden="false" customHeight="false" outlineLevel="0" collapsed="false">
      <c r="A1888" s="3" t="n">
        <v>1887</v>
      </c>
      <c r="B1888" s="3" t="n">
        <v>1886</v>
      </c>
      <c r="C1888" s="3" t="n">
        <v>2</v>
      </c>
      <c r="D1888" s="3" t="n">
        <v>11</v>
      </c>
      <c r="E1888" s="3" t="n">
        <v>10</v>
      </c>
      <c r="F1888" s="24" t="n">
        <v>0</v>
      </c>
    </row>
    <row r="1889" customFormat="false" ht="15" hidden="false" customHeight="false" outlineLevel="0" collapsed="false">
      <c r="A1889" s="3" t="n">
        <v>1888</v>
      </c>
      <c r="B1889" s="3" t="n">
        <v>1887</v>
      </c>
      <c r="C1889" s="3" t="n">
        <v>2</v>
      </c>
      <c r="D1889" s="3" t="n">
        <v>11</v>
      </c>
      <c r="E1889" s="3" t="n">
        <v>11</v>
      </c>
      <c r="F1889" s="24" t="n">
        <v>0.0696754605</v>
      </c>
    </row>
    <row r="1890" customFormat="false" ht="15" hidden="false" customHeight="false" outlineLevel="0" collapsed="false">
      <c r="A1890" s="3" t="n">
        <v>1889</v>
      </c>
      <c r="B1890" s="3" t="n">
        <v>1888</v>
      </c>
      <c r="C1890" s="3" t="n">
        <v>2</v>
      </c>
      <c r="D1890" s="3" t="n">
        <v>11</v>
      </c>
      <c r="E1890" s="3" t="n">
        <v>12</v>
      </c>
      <c r="F1890" s="24" t="n">
        <v>0</v>
      </c>
    </row>
    <row r="1891" customFormat="false" ht="15" hidden="false" customHeight="false" outlineLevel="0" collapsed="false">
      <c r="A1891" s="3" t="n">
        <v>1890</v>
      </c>
      <c r="B1891" s="3" t="n">
        <v>1889</v>
      </c>
      <c r="C1891" s="3" t="n">
        <v>2</v>
      </c>
      <c r="D1891" s="3" t="n">
        <v>11</v>
      </c>
      <c r="E1891" s="3" t="n">
        <v>13</v>
      </c>
      <c r="F1891" s="24" t="n">
        <v>0</v>
      </c>
    </row>
    <row r="1892" customFormat="false" ht="15" hidden="false" customHeight="false" outlineLevel="0" collapsed="false">
      <c r="A1892" s="3" t="n">
        <v>1891</v>
      </c>
      <c r="B1892" s="3" t="n">
        <v>1890</v>
      </c>
      <c r="C1892" s="3" t="n">
        <v>2</v>
      </c>
      <c r="D1892" s="3" t="n">
        <v>11</v>
      </c>
      <c r="E1892" s="3" t="n">
        <v>14</v>
      </c>
      <c r="F1892" s="24" t="n">
        <v>0.00563301146</v>
      </c>
    </row>
    <row r="1893" customFormat="false" ht="15" hidden="false" customHeight="false" outlineLevel="0" collapsed="false">
      <c r="A1893" s="3" t="n">
        <v>1892</v>
      </c>
      <c r="B1893" s="3" t="n">
        <v>1891</v>
      </c>
      <c r="C1893" s="3" t="n">
        <v>2</v>
      </c>
      <c r="D1893" s="3" t="n">
        <v>11</v>
      </c>
      <c r="E1893" s="3" t="n">
        <v>15</v>
      </c>
      <c r="F1893" s="24" t="n">
        <v>0</v>
      </c>
    </row>
    <row r="1894" customFormat="false" ht="15" hidden="false" customHeight="false" outlineLevel="0" collapsed="false">
      <c r="A1894" s="3" t="n">
        <v>1893</v>
      </c>
      <c r="B1894" s="3" t="n">
        <v>1892</v>
      </c>
      <c r="C1894" s="3" t="n">
        <v>2</v>
      </c>
      <c r="D1894" s="3" t="n">
        <v>11</v>
      </c>
      <c r="E1894" s="3" t="n">
        <v>16</v>
      </c>
      <c r="F1894" s="24" t="n">
        <v>0</v>
      </c>
    </row>
    <row r="1895" customFormat="false" ht="15" hidden="false" customHeight="false" outlineLevel="0" collapsed="false">
      <c r="A1895" s="3" t="n">
        <v>1894</v>
      </c>
      <c r="B1895" s="3" t="n">
        <v>1893</v>
      </c>
      <c r="C1895" s="3" t="n">
        <v>2</v>
      </c>
      <c r="D1895" s="3" t="n">
        <v>11</v>
      </c>
      <c r="E1895" s="3" t="n">
        <v>17</v>
      </c>
      <c r="F1895" s="24" t="n">
        <v>1.27828228</v>
      </c>
    </row>
    <row r="1896" customFormat="false" ht="15" hidden="false" customHeight="false" outlineLevel="0" collapsed="false">
      <c r="A1896" s="3" t="n">
        <v>1895</v>
      </c>
      <c r="B1896" s="3" t="n">
        <v>1894</v>
      </c>
      <c r="C1896" s="3" t="n">
        <v>2</v>
      </c>
      <c r="D1896" s="3" t="n">
        <v>11</v>
      </c>
      <c r="E1896" s="3" t="n">
        <v>18</v>
      </c>
      <c r="F1896" s="24" t="n">
        <v>3.69244266</v>
      </c>
    </row>
    <row r="1897" customFormat="false" ht="15" hidden="false" customHeight="false" outlineLevel="0" collapsed="false">
      <c r="A1897" s="3" t="n">
        <v>1896</v>
      </c>
      <c r="B1897" s="3" t="n">
        <v>1895</v>
      </c>
      <c r="C1897" s="3" t="n">
        <v>2</v>
      </c>
      <c r="D1897" s="3" t="n">
        <v>11</v>
      </c>
      <c r="E1897" s="3" t="n">
        <v>19</v>
      </c>
      <c r="F1897" s="24" t="n">
        <v>0.926950932</v>
      </c>
    </row>
    <row r="1898" customFormat="false" ht="15" hidden="false" customHeight="false" outlineLevel="0" collapsed="false">
      <c r="A1898" s="3" t="n">
        <v>1897</v>
      </c>
      <c r="B1898" s="3" t="n">
        <v>1896</v>
      </c>
      <c r="C1898" s="3" t="n">
        <v>2</v>
      </c>
      <c r="D1898" s="3" t="n">
        <v>11</v>
      </c>
      <c r="E1898" s="3" t="n">
        <v>20</v>
      </c>
      <c r="F1898" s="24" t="n">
        <v>0</v>
      </c>
    </row>
    <row r="1899" customFormat="false" ht="15" hidden="false" customHeight="false" outlineLevel="0" collapsed="false">
      <c r="A1899" s="3" t="n">
        <v>1898</v>
      </c>
      <c r="B1899" s="3" t="n">
        <v>1897</v>
      </c>
      <c r="C1899" s="3" t="n">
        <v>2</v>
      </c>
      <c r="D1899" s="3" t="n">
        <v>11</v>
      </c>
      <c r="E1899" s="3" t="n">
        <v>21</v>
      </c>
      <c r="F1899" s="24" t="n">
        <v>0</v>
      </c>
    </row>
    <row r="1900" customFormat="false" ht="15" hidden="false" customHeight="false" outlineLevel="0" collapsed="false">
      <c r="A1900" s="3" t="n">
        <v>1899</v>
      </c>
      <c r="B1900" s="3" t="n">
        <v>1898</v>
      </c>
      <c r="C1900" s="3" t="n">
        <v>2</v>
      </c>
      <c r="D1900" s="3" t="n">
        <v>11</v>
      </c>
      <c r="E1900" s="3" t="n">
        <v>22</v>
      </c>
      <c r="F1900" s="24" t="n">
        <v>0</v>
      </c>
    </row>
    <row r="1901" customFormat="false" ht="15" hidden="false" customHeight="false" outlineLevel="0" collapsed="false">
      <c r="A1901" s="3" t="n">
        <v>1900</v>
      </c>
      <c r="B1901" s="3" t="n">
        <v>1899</v>
      </c>
      <c r="C1901" s="3" t="n">
        <v>2</v>
      </c>
      <c r="D1901" s="3" t="n">
        <v>11</v>
      </c>
      <c r="E1901" s="3" t="n">
        <v>23</v>
      </c>
      <c r="F1901" s="24" t="n">
        <v>0</v>
      </c>
    </row>
    <row r="1902" customFormat="false" ht="15" hidden="false" customHeight="false" outlineLevel="0" collapsed="false">
      <c r="A1902" s="3" t="n">
        <v>1901</v>
      </c>
      <c r="B1902" s="3" t="n">
        <v>1900</v>
      </c>
      <c r="C1902" s="3" t="n">
        <v>2</v>
      </c>
      <c r="D1902" s="3" t="n">
        <v>11</v>
      </c>
      <c r="E1902" s="3" t="n">
        <v>24</v>
      </c>
      <c r="F1902" s="24" t="n">
        <v>0</v>
      </c>
    </row>
    <row r="1903" customFormat="false" ht="15" hidden="false" customHeight="false" outlineLevel="0" collapsed="false">
      <c r="A1903" s="3" t="n">
        <v>1902</v>
      </c>
      <c r="B1903" s="3" t="n">
        <v>1901</v>
      </c>
      <c r="C1903" s="3" t="n">
        <v>2</v>
      </c>
      <c r="D1903" s="3" t="n">
        <v>11</v>
      </c>
      <c r="E1903" s="3" t="n">
        <v>25</v>
      </c>
      <c r="F1903" s="24" t="n">
        <v>0</v>
      </c>
    </row>
    <row r="1904" customFormat="false" ht="15" hidden="false" customHeight="false" outlineLevel="0" collapsed="false">
      <c r="A1904" s="3" t="n">
        <v>1903</v>
      </c>
      <c r="B1904" s="3" t="n">
        <v>1902</v>
      </c>
      <c r="C1904" s="3" t="n">
        <v>2</v>
      </c>
      <c r="D1904" s="3" t="n">
        <v>11</v>
      </c>
      <c r="E1904" s="3" t="n">
        <v>26</v>
      </c>
      <c r="F1904" s="24" t="n">
        <v>0</v>
      </c>
    </row>
    <row r="1905" customFormat="false" ht="15" hidden="false" customHeight="false" outlineLevel="0" collapsed="false">
      <c r="A1905" s="3" t="n">
        <v>1904</v>
      </c>
      <c r="B1905" s="3" t="n">
        <v>1903</v>
      </c>
      <c r="C1905" s="3" t="n">
        <v>2</v>
      </c>
      <c r="D1905" s="3" t="n">
        <v>11</v>
      </c>
      <c r="E1905" s="3" t="n">
        <v>27</v>
      </c>
      <c r="F1905" s="24" t="n">
        <v>0.387737483</v>
      </c>
    </row>
    <row r="1906" customFormat="false" ht="15" hidden="false" customHeight="false" outlineLevel="0" collapsed="false">
      <c r="A1906" s="3" t="n">
        <v>1905</v>
      </c>
      <c r="B1906" s="3" t="n">
        <v>1904</v>
      </c>
      <c r="C1906" s="3" t="n">
        <v>2</v>
      </c>
      <c r="D1906" s="3" t="n">
        <v>12</v>
      </c>
      <c r="E1906" s="3" t="n">
        <v>0</v>
      </c>
      <c r="F1906" s="24" t="n">
        <v>0</v>
      </c>
    </row>
    <row r="1907" customFormat="false" ht="15" hidden="false" customHeight="false" outlineLevel="0" collapsed="false">
      <c r="A1907" s="3" t="n">
        <v>1906</v>
      </c>
      <c r="B1907" s="3" t="n">
        <v>1905</v>
      </c>
      <c r="C1907" s="3" t="n">
        <v>2</v>
      </c>
      <c r="D1907" s="3" t="n">
        <v>12</v>
      </c>
      <c r="E1907" s="3" t="n">
        <v>1</v>
      </c>
      <c r="F1907" s="24" t="n">
        <v>0</v>
      </c>
    </row>
    <row r="1908" customFormat="false" ht="15" hidden="false" customHeight="false" outlineLevel="0" collapsed="false">
      <c r="A1908" s="3" t="n">
        <v>1907</v>
      </c>
      <c r="B1908" s="3" t="n">
        <v>1906</v>
      </c>
      <c r="C1908" s="3" t="n">
        <v>2</v>
      </c>
      <c r="D1908" s="3" t="n">
        <v>12</v>
      </c>
      <c r="E1908" s="3" t="n">
        <v>2</v>
      </c>
      <c r="F1908" s="24" t="n">
        <v>0</v>
      </c>
    </row>
    <row r="1909" customFormat="false" ht="15" hidden="false" customHeight="false" outlineLevel="0" collapsed="false">
      <c r="A1909" s="3" t="n">
        <v>1908</v>
      </c>
      <c r="B1909" s="3" t="n">
        <v>1907</v>
      </c>
      <c r="C1909" s="3" t="n">
        <v>2</v>
      </c>
      <c r="D1909" s="3" t="n">
        <v>12</v>
      </c>
      <c r="E1909" s="3" t="n">
        <v>3</v>
      </c>
      <c r="F1909" s="24" t="n">
        <v>0</v>
      </c>
    </row>
    <row r="1910" customFormat="false" ht="15" hidden="false" customHeight="false" outlineLevel="0" collapsed="false">
      <c r="A1910" s="3" t="n">
        <v>1909</v>
      </c>
      <c r="B1910" s="3" t="n">
        <v>1908</v>
      </c>
      <c r="C1910" s="3" t="n">
        <v>2</v>
      </c>
      <c r="D1910" s="3" t="n">
        <v>12</v>
      </c>
      <c r="E1910" s="3" t="n">
        <v>4</v>
      </c>
      <c r="F1910" s="24" t="n">
        <v>0</v>
      </c>
    </row>
    <row r="1911" customFormat="false" ht="15" hidden="false" customHeight="false" outlineLevel="0" collapsed="false">
      <c r="A1911" s="3" t="n">
        <v>1910</v>
      </c>
      <c r="B1911" s="3" t="n">
        <v>1909</v>
      </c>
      <c r="C1911" s="3" t="n">
        <v>2</v>
      </c>
      <c r="D1911" s="3" t="n">
        <v>12</v>
      </c>
      <c r="E1911" s="3" t="n">
        <v>5</v>
      </c>
      <c r="F1911" s="24" t="n">
        <v>0</v>
      </c>
    </row>
    <row r="1912" customFormat="false" ht="15" hidden="false" customHeight="false" outlineLevel="0" collapsed="false">
      <c r="A1912" s="3" t="n">
        <v>1911</v>
      </c>
      <c r="B1912" s="3" t="n">
        <v>1910</v>
      </c>
      <c r="C1912" s="3" t="n">
        <v>2</v>
      </c>
      <c r="D1912" s="3" t="n">
        <v>12</v>
      </c>
      <c r="E1912" s="3" t="n">
        <v>6</v>
      </c>
      <c r="F1912" s="24" t="n">
        <v>0</v>
      </c>
    </row>
    <row r="1913" customFormat="false" ht="15" hidden="false" customHeight="false" outlineLevel="0" collapsed="false">
      <c r="A1913" s="3" t="n">
        <v>1912</v>
      </c>
      <c r="B1913" s="3" t="n">
        <v>1911</v>
      </c>
      <c r="C1913" s="3" t="n">
        <v>2</v>
      </c>
      <c r="D1913" s="3" t="n">
        <v>12</v>
      </c>
      <c r="E1913" s="3" t="n">
        <v>7</v>
      </c>
      <c r="F1913" s="24" t="n">
        <v>0</v>
      </c>
    </row>
    <row r="1914" customFormat="false" ht="15" hidden="false" customHeight="false" outlineLevel="0" collapsed="false">
      <c r="A1914" s="3" t="n">
        <v>1913</v>
      </c>
      <c r="B1914" s="3" t="n">
        <v>1912</v>
      </c>
      <c r="C1914" s="3" t="n">
        <v>2</v>
      </c>
      <c r="D1914" s="3" t="n">
        <v>12</v>
      </c>
      <c r="E1914" s="3" t="n">
        <v>8</v>
      </c>
      <c r="F1914" s="24" t="n">
        <v>0</v>
      </c>
    </row>
    <row r="1915" customFormat="false" ht="15" hidden="false" customHeight="false" outlineLevel="0" collapsed="false">
      <c r="A1915" s="3" t="n">
        <v>1914</v>
      </c>
      <c r="B1915" s="3" t="n">
        <v>1913</v>
      </c>
      <c r="C1915" s="3" t="n">
        <v>2</v>
      </c>
      <c r="D1915" s="3" t="n">
        <v>12</v>
      </c>
      <c r="E1915" s="3" t="n">
        <v>9</v>
      </c>
      <c r="F1915" s="24" t="n">
        <v>0</v>
      </c>
    </row>
    <row r="1916" customFormat="false" ht="15" hidden="false" customHeight="false" outlineLevel="0" collapsed="false">
      <c r="A1916" s="3" t="n">
        <v>1915</v>
      </c>
      <c r="B1916" s="3" t="n">
        <v>1914</v>
      </c>
      <c r="C1916" s="3" t="n">
        <v>2</v>
      </c>
      <c r="D1916" s="3" t="n">
        <v>12</v>
      </c>
      <c r="E1916" s="3" t="n">
        <v>10</v>
      </c>
      <c r="F1916" s="24" t="n">
        <v>0</v>
      </c>
    </row>
    <row r="1917" customFormat="false" ht="15" hidden="false" customHeight="false" outlineLevel="0" collapsed="false">
      <c r="A1917" s="3" t="n">
        <v>1916</v>
      </c>
      <c r="B1917" s="3" t="n">
        <v>1915</v>
      </c>
      <c r="C1917" s="3" t="n">
        <v>2</v>
      </c>
      <c r="D1917" s="3" t="n">
        <v>12</v>
      </c>
      <c r="E1917" s="3" t="n">
        <v>11</v>
      </c>
      <c r="F1917" s="24" t="n">
        <v>0</v>
      </c>
    </row>
    <row r="1918" customFormat="false" ht="15" hidden="false" customHeight="false" outlineLevel="0" collapsed="false">
      <c r="A1918" s="3" t="n">
        <v>1917</v>
      </c>
      <c r="B1918" s="3" t="n">
        <v>1916</v>
      </c>
      <c r="C1918" s="3" t="n">
        <v>2</v>
      </c>
      <c r="D1918" s="3" t="n">
        <v>12</v>
      </c>
      <c r="E1918" s="3" t="n">
        <v>12</v>
      </c>
      <c r="F1918" s="24" t="n">
        <v>0</v>
      </c>
    </row>
    <row r="1919" customFormat="false" ht="15" hidden="false" customHeight="false" outlineLevel="0" collapsed="false">
      <c r="A1919" s="3" t="n">
        <v>1918</v>
      </c>
      <c r="B1919" s="3" t="n">
        <v>1917</v>
      </c>
      <c r="C1919" s="3" t="n">
        <v>2</v>
      </c>
      <c r="D1919" s="3" t="n">
        <v>12</v>
      </c>
      <c r="E1919" s="3" t="n">
        <v>13</v>
      </c>
      <c r="F1919" s="24" t="n">
        <v>0</v>
      </c>
    </row>
    <row r="1920" customFormat="false" ht="15" hidden="false" customHeight="false" outlineLevel="0" collapsed="false">
      <c r="A1920" s="3" t="n">
        <v>1919</v>
      </c>
      <c r="B1920" s="3" t="n">
        <v>1918</v>
      </c>
      <c r="C1920" s="3" t="n">
        <v>2</v>
      </c>
      <c r="D1920" s="3" t="n">
        <v>12</v>
      </c>
      <c r="E1920" s="3" t="n">
        <v>14</v>
      </c>
      <c r="F1920" s="24" t="n">
        <v>0</v>
      </c>
    </row>
    <row r="1921" customFormat="false" ht="15" hidden="false" customHeight="false" outlineLevel="0" collapsed="false">
      <c r="A1921" s="3" t="n">
        <v>1920</v>
      </c>
      <c r="B1921" s="3" t="n">
        <v>1919</v>
      </c>
      <c r="C1921" s="3" t="n">
        <v>2</v>
      </c>
      <c r="D1921" s="3" t="n">
        <v>12</v>
      </c>
      <c r="E1921" s="3" t="n">
        <v>15</v>
      </c>
      <c r="F1921" s="24" t="n">
        <v>0</v>
      </c>
    </row>
    <row r="1922" customFormat="false" ht="15" hidden="false" customHeight="false" outlineLevel="0" collapsed="false">
      <c r="A1922" s="3" t="n">
        <v>1921</v>
      </c>
      <c r="B1922" s="3" t="n">
        <v>1920</v>
      </c>
      <c r="C1922" s="3" t="n">
        <v>2</v>
      </c>
      <c r="D1922" s="3" t="n">
        <v>12</v>
      </c>
      <c r="E1922" s="3" t="n">
        <v>16</v>
      </c>
      <c r="F1922" s="24" t="n">
        <v>0.626000881</v>
      </c>
    </row>
    <row r="1923" customFormat="false" ht="15" hidden="false" customHeight="false" outlineLevel="0" collapsed="false">
      <c r="A1923" s="3" t="n">
        <v>1922</v>
      </c>
      <c r="B1923" s="3" t="n">
        <v>1921</v>
      </c>
      <c r="C1923" s="3" t="n">
        <v>2</v>
      </c>
      <c r="D1923" s="3" t="n">
        <v>12</v>
      </c>
      <c r="E1923" s="3" t="n">
        <v>17</v>
      </c>
      <c r="F1923" s="24" t="n">
        <v>3.36361599</v>
      </c>
    </row>
    <row r="1924" customFormat="false" ht="15" hidden="false" customHeight="false" outlineLevel="0" collapsed="false">
      <c r="A1924" s="3" t="n">
        <v>1923</v>
      </c>
      <c r="B1924" s="3" t="n">
        <v>1922</v>
      </c>
      <c r="C1924" s="3" t="n">
        <v>2</v>
      </c>
      <c r="D1924" s="3" t="n">
        <v>12</v>
      </c>
      <c r="E1924" s="3" t="n">
        <v>18</v>
      </c>
      <c r="F1924" s="24" t="n">
        <v>3.14443398</v>
      </c>
    </row>
    <row r="1925" customFormat="false" ht="15" hidden="false" customHeight="false" outlineLevel="0" collapsed="false">
      <c r="A1925" s="3" t="n">
        <v>1924</v>
      </c>
      <c r="B1925" s="3" t="n">
        <v>1923</v>
      </c>
      <c r="C1925" s="3" t="n">
        <v>2</v>
      </c>
      <c r="D1925" s="3" t="n">
        <v>12</v>
      </c>
      <c r="E1925" s="3" t="n">
        <v>19</v>
      </c>
      <c r="F1925" s="24" t="n">
        <v>0</v>
      </c>
    </row>
    <row r="1926" customFormat="false" ht="15" hidden="false" customHeight="false" outlineLevel="0" collapsed="false">
      <c r="A1926" s="3" t="n">
        <v>1925</v>
      </c>
      <c r="B1926" s="3" t="n">
        <v>1924</v>
      </c>
      <c r="C1926" s="3" t="n">
        <v>2</v>
      </c>
      <c r="D1926" s="3" t="n">
        <v>12</v>
      </c>
      <c r="E1926" s="3" t="n">
        <v>20</v>
      </c>
      <c r="F1926" s="24" t="n">
        <v>0</v>
      </c>
    </row>
    <row r="1927" customFormat="false" ht="15" hidden="false" customHeight="false" outlineLevel="0" collapsed="false">
      <c r="A1927" s="3" t="n">
        <v>1926</v>
      </c>
      <c r="B1927" s="3" t="n">
        <v>1925</v>
      </c>
      <c r="C1927" s="3" t="n">
        <v>2</v>
      </c>
      <c r="D1927" s="3" t="n">
        <v>12</v>
      </c>
      <c r="E1927" s="3" t="n">
        <v>21</v>
      </c>
      <c r="F1927" s="24" t="n">
        <v>0</v>
      </c>
    </row>
    <row r="1928" customFormat="false" ht="15" hidden="false" customHeight="false" outlineLevel="0" collapsed="false">
      <c r="A1928" s="3" t="n">
        <v>1927</v>
      </c>
      <c r="B1928" s="3" t="n">
        <v>1926</v>
      </c>
      <c r="C1928" s="3" t="n">
        <v>2</v>
      </c>
      <c r="D1928" s="3" t="n">
        <v>12</v>
      </c>
      <c r="E1928" s="3" t="n">
        <v>22</v>
      </c>
      <c r="F1928" s="24" t="n">
        <v>0</v>
      </c>
    </row>
    <row r="1929" customFormat="false" ht="15" hidden="false" customHeight="false" outlineLevel="0" collapsed="false">
      <c r="A1929" s="3" t="n">
        <v>1928</v>
      </c>
      <c r="B1929" s="3" t="n">
        <v>1927</v>
      </c>
      <c r="C1929" s="3" t="n">
        <v>2</v>
      </c>
      <c r="D1929" s="3" t="n">
        <v>12</v>
      </c>
      <c r="E1929" s="3" t="n">
        <v>23</v>
      </c>
      <c r="F1929" s="24" t="n">
        <v>0</v>
      </c>
    </row>
    <row r="1930" customFormat="false" ht="15" hidden="false" customHeight="false" outlineLevel="0" collapsed="false">
      <c r="A1930" s="3" t="n">
        <v>1929</v>
      </c>
      <c r="B1930" s="3" t="n">
        <v>1928</v>
      </c>
      <c r="C1930" s="3" t="n">
        <v>2</v>
      </c>
      <c r="D1930" s="3" t="n">
        <v>12</v>
      </c>
      <c r="E1930" s="3" t="n">
        <v>24</v>
      </c>
      <c r="F1930" s="24" t="n">
        <v>0</v>
      </c>
    </row>
    <row r="1931" customFormat="false" ht="15" hidden="false" customHeight="false" outlineLevel="0" collapsed="false">
      <c r="A1931" s="3" t="n">
        <v>1930</v>
      </c>
      <c r="B1931" s="3" t="n">
        <v>1929</v>
      </c>
      <c r="C1931" s="3" t="n">
        <v>2</v>
      </c>
      <c r="D1931" s="3" t="n">
        <v>12</v>
      </c>
      <c r="E1931" s="3" t="n">
        <v>25</v>
      </c>
      <c r="F1931" s="24" t="n">
        <v>0</v>
      </c>
    </row>
    <row r="1932" customFormat="false" ht="15" hidden="false" customHeight="false" outlineLevel="0" collapsed="false">
      <c r="A1932" s="3" t="n">
        <v>1931</v>
      </c>
      <c r="B1932" s="3" t="n">
        <v>1930</v>
      </c>
      <c r="C1932" s="3" t="n">
        <v>2</v>
      </c>
      <c r="D1932" s="3" t="n">
        <v>12</v>
      </c>
      <c r="E1932" s="3" t="n">
        <v>26</v>
      </c>
      <c r="F1932" s="24" t="n">
        <v>0</v>
      </c>
    </row>
    <row r="1933" customFormat="false" ht="15" hidden="false" customHeight="false" outlineLevel="0" collapsed="false">
      <c r="A1933" s="3" t="n">
        <v>1932</v>
      </c>
      <c r="B1933" s="3" t="n">
        <v>1931</v>
      </c>
      <c r="C1933" s="3" t="n">
        <v>2</v>
      </c>
      <c r="D1933" s="3" t="n">
        <v>12</v>
      </c>
      <c r="E1933" s="3" t="n">
        <v>27</v>
      </c>
      <c r="F1933" s="24" t="n">
        <v>0.387737483</v>
      </c>
    </row>
    <row r="1934" customFormat="false" ht="15" hidden="false" customHeight="false" outlineLevel="0" collapsed="false">
      <c r="A1934" s="3" t="n">
        <v>1933</v>
      </c>
      <c r="B1934" s="3" t="n">
        <v>1932</v>
      </c>
      <c r="C1934" s="3" t="n">
        <v>2</v>
      </c>
      <c r="D1934" s="3" t="n">
        <v>13</v>
      </c>
      <c r="E1934" s="3" t="n">
        <v>0</v>
      </c>
      <c r="F1934" s="24" t="n">
        <v>0</v>
      </c>
    </row>
    <row r="1935" customFormat="false" ht="15" hidden="false" customHeight="false" outlineLevel="0" collapsed="false">
      <c r="A1935" s="3" t="n">
        <v>1934</v>
      </c>
      <c r="B1935" s="3" t="n">
        <v>1933</v>
      </c>
      <c r="C1935" s="3" t="n">
        <v>2</v>
      </c>
      <c r="D1935" s="3" t="n">
        <v>13</v>
      </c>
      <c r="E1935" s="3" t="n">
        <v>1</v>
      </c>
      <c r="F1935" s="24" t="n">
        <v>0</v>
      </c>
    </row>
    <row r="1936" customFormat="false" ht="15" hidden="false" customHeight="false" outlineLevel="0" collapsed="false">
      <c r="A1936" s="3" t="n">
        <v>1935</v>
      </c>
      <c r="B1936" s="3" t="n">
        <v>1934</v>
      </c>
      <c r="C1936" s="3" t="n">
        <v>2</v>
      </c>
      <c r="D1936" s="3" t="n">
        <v>13</v>
      </c>
      <c r="E1936" s="3" t="n">
        <v>2</v>
      </c>
      <c r="F1936" s="24" t="n">
        <v>0</v>
      </c>
    </row>
    <row r="1937" customFormat="false" ht="15" hidden="false" customHeight="false" outlineLevel="0" collapsed="false">
      <c r="A1937" s="3" t="n">
        <v>1936</v>
      </c>
      <c r="B1937" s="3" t="n">
        <v>1935</v>
      </c>
      <c r="C1937" s="3" t="n">
        <v>2</v>
      </c>
      <c r="D1937" s="3" t="n">
        <v>13</v>
      </c>
      <c r="E1937" s="3" t="n">
        <v>3</v>
      </c>
      <c r="F1937" s="24" t="n">
        <v>0</v>
      </c>
    </row>
    <row r="1938" customFormat="false" ht="15" hidden="false" customHeight="false" outlineLevel="0" collapsed="false">
      <c r="A1938" s="3" t="n">
        <v>1937</v>
      </c>
      <c r="B1938" s="3" t="n">
        <v>1936</v>
      </c>
      <c r="C1938" s="3" t="n">
        <v>2</v>
      </c>
      <c r="D1938" s="3" t="n">
        <v>13</v>
      </c>
      <c r="E1938" s="3" t="n">
        <v>4</v>
      </c>
      <c r="F1938" s="24" t="n">
        <v>0</v>
      </c>
    </row>
    <row r="1939" customFormat="false" ht="15" hidden="false" customHeight="false" outlineLevel="0" collapsed="false">
      <c r="A1939" s="3" t="n">
        <v>1938</v>
      </c>
      <c r="B1939" s="3" t="n">
        <v>1937</v>
      </c>
      <c r="C1939" s="3" t="n">
        <v>2</v>
      </c>
      <c r="D1939" s="3" t="n">
        <v>13</v>
      </c>
      <c r="E1939" s="3" t="n">
        <v>5</v>
      </c>
      <c r="F1939" s="24" t="n">
        <v>0</v>
      </c>
    </row>
    <row r="1940" customFormat="false" ht="15" hidden="false" customHeight="false" outlineLevel="0" collapsed="false">
      <c r="A1940" s="3" t="n">
        <v>1939</v>
      </c>
      <c r="B1940" s="3" t="n">
        <v>1938</v>
      </c>
      <c r="C1940" s="3" t="n">
        <v>2</v>
      </c>
      <c r="D1940" s="3" t="n">
        <v>13</v>
      </c>
      <c r="E1940" s="3" t="n">
        <v>6</v>
      </c>
      <c r="F1940" s="24" t="n">
        <v>0</v>
      </c>
    </row>
    <row r="1941" customFormat="false" ht="15" hidden="false" customHeight="false" outlineLevel="0" collapsed="false">
      <c r="A1941" s="3" t="n">
        <v>1940</v>
      </c>
      <c r="B1941" s="3" t="n">
        <v>1939</v>
      </c>
      <c r="C1941" s="3" t="n">
        <v>2</v>
      </c>
      <c r="D1941" s="3" t="n">
        <v>13</v>
      </c>
      <c r="E1941" s="3" t="n">
        <v>7</v>
      </c>
      <c r="F1941" s="24" t="n">
        <v>0</v>
      </c>
    </row>
    <row r="1942" customFormat="false" ht="15" hidden="false" customHeight="false" outlineLevel="0" collapsed="false">
      <c r="A1942" s="3" t="n">
        <v>1941</v>
      </c>
      <c r="B1942" s="3" t="n">
        <v>1940</v>
      </c>
      <c r="C1942" s="3" t="n">
        <v>2</v>
      </c>
      <c r="D1942" s="3" t="n">
        <v>13</v>
      </c>
      <c r="E1942" s="3" t="n">
        <v>8</v>
      </c>
      <c r="F1942" s="24" t="n">
        <v>0</v>
      </c>
    </row>
    <row r="1943" customFormat="false" ht="15" hidden="false" customHeight="false" outlineLevel="0" collapsed="false">
      <c r="A1943" s="3" t="n">
        <v>1942</v>
      </c>
      <c r="B1943" s="3" t="n">
        <v>1941</v>
      </c>
      <c r="C1943" s="3" t="n">
        <v>2</v>
      </c>
      <c r="D1943" s="3" t="n">
        <v>13</v>
      </c>
      <c r="E1943" s="3" t="n">
        <v>9</v>
      </c>
      <c r="F1943" s="24" t="n">
        <v>0</v>
      </c>
    </row>
    <row r="1944" customFormat="false" ht="15" hidden="false" customHeight="false" outlineLevel="0" collapsed="false">
      <c r="A1944" s="3" t="n">
        <v>1943</v>
      </c>
      <c r="B1944" s="3" t="n">
        <v>1942</v>
      </c>
      <c r="C1944" s="3" t="n">
        <v>2</v>
      </c>
      <c r="D1944" s="3" t="n">
        <v>13</v>
      </c>
      <c r="E1944" s="3" t="n">
        <v>10</v>
      </c>
      <c r="F1944" s="24" t="n">
        <v>0</v>
      </c>
    </row>
    <row r="1945" customFormat="false" ht="15" hidden="false" customHeight="false" outlineLevel="0" collapsed="false">
      <c r="A1945" s="3" t="n">
        <v>1944</v>
      </c>
      <c r="B1945" s="3" t="n">
        <v>1943</v>
      </c>
      <c r="C1945" s="3" t="n">
        <v>2</v>
      </c>
      <c r="D1945" s="3" t="n">
        <v>13</v>
      </c>
      <c r="E1945" s="3" t="n">
        <v>11</v>
      </c>
      <c r="F1945" s="24" t="n">
        <v>0</v>
      </c>
    </row>
    <row r="1946" customFormat="false" ht="15" hidden="false" customHeight="false" outlineLevel="0" collapsed="false">
      <c r="A1946" s="3" t="n">
        <v>1945</v>
      </c>
      <c r="B1946" s="3" t="n">
        <v>1944</v>
      </c>
      <c r="C1946" s="3" t="n">
        <v>2</v>
      </c>
      <c r="D1946" s="3" t="n">
        <v>13</v>
      </c>
      <c r="E1946" s="3" t="n">
        <v>12</v>
      </c>
      <c r="F1946" s="24" t="n">
        <v>0</v>
      </c>
    </row>
    <row r="1947" customFormat="false" ht="15" hidden="false" customHeight="false" outlineLevel="0" collapsed="false">
      <c r="A1947" s="3" t="n">
        <v>1946</v>
      </c>
      <c r="B1947" s="3" t="n">
        <v>1945</v>
      </c>
      <c r="C1947" s="3" t="n">
        <v>2</v>
      </c>
      <c r="D1947" s="3" t="n">
        <v>13</v>
      </c>
      <c r="E1947" s="3" t="n">
        <v>13</v>
      </c>
      <c r="F1947" s="24" t="n">
        <v>0</v>
      </c>
    </row>
    <row r="1948" customFormat="false" ht="15" hidden="false" customHeight="false" outlineLevel="0" collapsed="false">
      <c r="A1948" s="3" t="n">
        <v>1947</v>
      </c>
      <c r="B1948" s="3" t="n">
        <v>1946</v>
      </c>
      <c r="C1948" s="3" t="n">
        <v>2</v>
      </c>
      <c r="D1948" s="3" t="n">
        <v>13</v>
      </c>
      <c r="E1948" s="3" t="n">
        <v>14</v>
      </c>
      <c r="F1948" s="24" t="n">
        <v>0</v>
      </c>
    </row>
    <row r="1949" customFormat="false" ht="15" hidden="false" customHeight="false" outlineLevel="0" collapsed="false">
      <c r="A1949" s="3" t="n">
        <v>1948</v>
      </c>
      <c r="B1949" s="3" t="n">
        <v>1947</v>
      </c>
      <c r="C1949" s="3" t="n">
        <v>2</v>
      </c>
      <c r="D1949" s="3" t="n">
        <v>13</v>
      </c>
      <c r="E1949" s="3" t="n">
        <v>15</v>
      </c>
      <c r="F1949" s="24" t="n">
        <v>0.167090327</v>
      </c>
    </row>
    <row r="1950" customFormat="false" ht="15" hidden="false" customHeight="false" outlineLevel="0" collapsed="false">
      <c r="A1950" s="3" t="n">
        <v>1949</v>
      </c>
      <c r="B1950" s="3" t="n">
        <v>1948</v>
      </c>
      <c r="C1950" s="3" t="n">
        <v>2</v>
      </c>
      <c r="D1950" s="3" t="n">
        <v>13</v>
      </c>
      <c r="E1950" s="3" t="n">
        <v>16</v>
      </c>
      <c r="F1950" s="24" t="n">
        <v>2.1919136</v>
      </c>
    </row>
    <row r="1951" customFormat="false" ht="15" hidden="false" customHeight="false" outlineLevel="0" collapsed="false">
      <c r="A1951" s="3" t="n">
        <v>1950</v>
      </c>
      <c r="B1951" s="3" t="n">
        <v>1949</v>
      </c>
      <c r="C1951" s="3" t="n">
        <v>2</v>
      </c>
      <c r="D1951" s="3" t="n">
        <v>13</v>
      </c>
      <c r="E1951" s="3" t="n">
        <v>17</v>
      </c>
      <c r="F1951" s="24" t="n">
        <v>3.81526923</v>
      </c>
    </row>
    <row r="1952" customFormat="false" ht="15" hidden="false" customHeight="false" outlineLevel="0" collapsed="false">
      <c r="A1952" s="3" t="n">
        <v>1951</v>
      </c>
      <c r="B1952" s="3" t="n">
        <v>1950</v>
      </c>
      <c r="C1952" s="3" t="n">
        <v>2</v>
      </c>
      <c r="D1952" s="3" t="n">
        <v>13</v>
      </c>
      <c r="E1952" s="3" t="n">
        <v>18</v>
      </c>
      <c r="F1952" s="24" t="n">
        <v>0.590456009</v>
      </c>
    </row>
    <row r="1953" customFormat="false" ht="15" hidden="false" customHeight="false" outlineLevel="0" collapsed="false">
      <c r="A1953" s="3" t="n">
        <v>1952</v>
      </c>
      <c r="B1953" s="3" t="n">
        <v>1951</v>
      </c>
      <c r="C1953" s="3" t="n">
        <v>2</v>
      </c>
      <c r="D1953" s="3" t="n">
        <v>13</v>
      </c>
      <c r="E1953" s="3" t="n">
        <v>19</v>
      </c>
      <c r="F1953" s="24" t="n">
        <v>0</v>
      </c>
    </row>
    <row r="1954" customFormat="false" ht="15" hidden="false" customHeight="false" outlineLevel="0" collapsed="false">
      <c r="A1954" s="3" t="n">
        <v>1953</v>
      </c>
      <c r="B1954" s="3" t="n">
        <v>1952</v>
      </c>
      <c r="C1954" s="3" t="n">
        <v>2</v>
      </c>
      <c r="D1954" s="3" t="n">
        <v>13</v>
      </c>
      <c r="E1954" s="3" t="n">
        <v>20</v>
      </c>
      <c r="F1954" s="24" t="n">
        <v>0</v>
      </c>
    </row>
    <row r="1955" customFormat="false" ht="15" hidden="false" customHeight="false" outlineLevel="0" collapsed="false">
      <c r="A1955" s="3" t="n">
        <v>1954</v>
      </c>
      <c r="B1955" s="3" t="n">
        <v>1953</v>
      </c>
      <c r="C1955" s="3" t="n">
        <v>2</v>
      </c>
      <c r="D1955" s="3" t="n">
        <v>13</v>
      </c>
      <c r="E1955" s="3" t="n">
        <v>21</v>
      </c>
      <c r="F1955" s="24" t="n">
        <v>0</v>
      </c>
    </row>
    <row r="1956" customFormat="false" ht="15" hidden="false" customHeight="false" outlineLevel="0" collapsed="false">
      <c r="A1956" s="3" t="n">
        <v>1955</v>
      </c>
      <c r="B1956" s="3" t="n">
        <v>1954</v>
      </c>
      <c r="C1956" s="3" t="n">
        <v>2</v>
      </c>
      <c r="D1956" s="3" t="n">
        <v>13</v>
      </c>
      <c r="E1956" s="3" t="n">
        <v>22</v>
      </c>
      <c r="F1956" s="24" t="n">
        <v>0</v>
      </c>
    </row>
    <row r="1957" customFormat="false" ht="15" hidden="false" customHeight="false" outlineLevel="0" collapsed="false">
      <c r="A1957" s="3" t="n">
        <v>1956</v>
      </c>
      <c r="B1957" s="3" t="n">
        <v>1955</v>
      </c>
      <c r="C1957" s="3" t="n">
        <v>2</v>
      </c>
      <c r="D1957" s="3" t="n">
        <v>13</v>
      </c>
      <c r="E1957" s="3" t="n">
        <v>23</v>
      </c>
      <c r="F1957" s="24" t="n">
        <v>0</v>
      </c>
    </row>
    <row r="1958" customFormat="false" ht="15" hidden="false" customHeight="false" outlineLevel="0" collapsed="false">
      <c r="A1958" s="3" t="n">
        <v>1957</v>
      </c>
      <c r="B1958" s="3" t="n">
        <v>1956</v>
      </c>
      <c r="C1958" s="3" t="n">
        <v>2</v>
      </c>
      <c r="D1958" s="3" t="n">
        <v>13</v>
      </c>
      <c r="E1958" s="3" t="n">
        <v>24</v>
      </c>
      <c r="F1958" s="24" t="n">
        <v>0</v>
      </c>
    </row>
    <row r="1959" customFormat="false" ht="15" hidden="false" customHeight="false" outlineLevel="0" collapsed="false">
      <c r="A1959" s="3" t="n">
        <v>1958</v>
      </c>
      <c r="B1959" s="3" t="n">
        <v>1957</v>
      </c>
      <c r="C1959" s="3" t="n">
        <v>2</v>
      </c>
      <c r="D1959" s="3" t="n">
        <v>13</v>
      </c>
      <c r="E1959" s="3" t="n">
        <v>25</v>
      </c>
      <c r="F1959" s="24" t="n">
        <v>0</v>
      </c>
    </row>
    <row r="1960" customFormat="false" ht="15" hidden="false" customHeight="false" outlineLevel="0" collapsed="false">
      <c r="A1960" s="3" t="n">
        <v>1959</v>
      </c>
      <c r="B1960" s="3" t="n">
        <v>1958</v>
      </c>
      <c r="C1960" s="3" t="n">
        <v>2</v>
      </c>
      <c r="D1960" s="3" t="n">
        <v>13</v>
      </c>
      <c r="E1960" s="3" t="n">
        <v>26</v>
      </c>
      <c r="F1960" s="24" t="n">
        <v>0</v>
      </c>
    </row>
    <row r="1961" customFormat="false" ht="15" hidden="false" customHeight="false" outlineLevel="0" collapsed="false">
      <c r="A1961" s="3" t="n">
        <v>1960</v>
      </c>
      <c r="B1961" s="3" t="n">
        <v>1959</v>
      </c>
      <c r="C1961" s="3" t="n">
        <v>2</v>
      </c>
      <c r="D1961" s="3" t="n">
        <v>13</v>
      </c>
      <c r="E1961" s="3" t="n">
        <v>27</v>
      </c>
      <c r="F1961" s="24" t="n">
        <v>0.387737483</v>
      </c>
    </row>
    <row r="1962" customFormat="false" ht="15" hidden="false" customHeight="false" outlineLevel="0" collapsed="false">
      <c r="A1962" s="3" t="n">
        <v>1961</v>
      </c>
      <c r="B1962" s="3" t="n">
        <v>1960</v>
      </c>
      <c r="C1962" s="3" t="n">
        <v>2</v>
      </c>
      <c r="D1962" s="3" t="n">
        <v>14</v>
      </c>
      <c r="E1962" s="3" t="n">
        <v>0</v>
      </c>
      <c r="F1962" s="24" t="n">
        <v>0</v>
      </c>
    </row>
    <row r="1963" customFormat="false" ht="15" hidden="false" customHeight="false" outlineLevel="0" collapsed="false">
      <c r="A1963" s="3" t="n">
        <v>1962</v>
      </c>
      <c r="B1963" s="3" t="n">
        <v>1961</v>
      </c>
      <c r="C1963" s="3" t="n">
        <v>2</v>
      </c>
      <c r="D1963" s="3" t="n">
        <v>14</v>
      </c>
      <c r="E1963" s="3" t="n">
        <v>1</v>
      </c>
      <c r="F1963" s="24" t="n">
        <v>0</v>
      </c>
    </row>
    <row r="1964" customFormat="false" ht="15" hidden="false" customHeight="false" outlineLevel="0" collapsed="false">
      <c r="A1964" s="3" t="n">
        <v>1963</v>
      </c>
      <c r="B1964" s="3" t="n">
        <v>1962</v>
      </c>
      <c r="C1964" s="3" t="n">
        <v>2</v>
      </c>
      <c r="D1964" s="3" t="n">
        <v>14</v>
      </c>
      <c r="E1964" s="3" t="n">
        <v>2</v>
      </c>
      <c r="F1964" s="24" t="n">
        <v>0</v>
      </c>
    </row>
    <row r="1965" customFormat="false" ht="15" hidden="false" customHeight="false" outlineLevel="0" collapsed="false">
      <c r="A1965" s="3" t="n">
        <v>1964</v>
      </c>
      <c r="B1965" s="3" t="n">
        <v>1963</v>
      </c>
      <c r="C1965" s="3" t="n">
        <v>2</v>
      </c>
      <c r="D1965" s="3" t="n">
        <v>14</v>
      </c>
      <c r="E1965" s="3" t="n">
        <v>3</v>
      </c>
      <c r="F1965" s="24" t="n">
        <v>0</v>
      </c>
    </row>
    <row r="1966" customFormat="false" ht="15" hidden="false" customHeight="false" outlineLevel="0" collapsed="false">
      <c r="A1966" s="3" t="n">
        <v>1965</v>
      </c>
      <c r="B1966" s="3" t="n">
        <v>1964</v>
      </c>
      <c r="C1966" s="3" t="n">
        <v>2</v>
      </c>
      <c r="D1966" s="3" t="n">
        <v>14</v>
      </c>
      <c r="E1966" s="3" t="n">
        <v>4</v>
      </c>
      <c r="F1966" s="24" t="n">
        <v>0</v>
      </c>
    </row>
    <row r="1967" customFormat="false" ht="15" hidden="false" customHeight="false" outlineLevel="0" collapsed="false">
      <c r="A1967" s="3" t="n">
        <v>1966</v>
      </c>
      <c r="B1967" s="3" t="n">
        <v>1965</v>
      </c>
      <c r="C1967" s="3" t="n">
        <v>2</v>
      </c>
      <c r="D1967" s="3" t="n">
        <v>14</v>
      </c>
      <c r="E1967" s="3" t="n">
        <v>5</v>
      </c>
      <c r="F1967" s="24" t="n">
        <v>0</v>
      </c>
    </row>
    <row r="1968" customFormat="false" ht="15" hidden="false" customHeight="false" outlineLevel="0" collapsed="false">
      <c r="A1968" s="3" t="n">
        <v>1967</v>
      </c>
      <c r="B1968" s="3" t="n">
        <v>1966</v>
      </c>
      <c r="C1968" s="3" t="n">
        <v>2</v>
      </c>
      <c r="D1968" s="3" t="n">
        <v>14</v>
      </c>
      <c r="E1968" s="3" t="n">
        <v>6</v>
      </c>
      <c r="F1968" s="24" t="n">
        <v>0</v>
      </c>
    </row>
    <row r="1969" customFormat="false" ht="15" hidden="false" customHeight="false" outlineLevel="0" collapsed="false">
      <c r="A1969" s="3" t="n">
        <v>1968</v>
      </c>
      <c r="B1969" s="3" t="n">
        <v>1967</v>
      </c>
      <c r="C1969" s="3" t="n">
        <v>2</v>
      </c>
      <c r="D1969" s="3" t="n">
        <v>14</v>
      </c>
      <c r="E1969" s="3" t="n">
        <v>7</v>
      </c>
      <c r="F1969" s="24" t="n">
        <v>0</v>
      </c>
    </row>
    <row r="1970" customFormat="false" ht="15" hidden="false" customHeight="false" outlineLevel="0" collapsed="false">
      <c r="A1970" s="3" t="n">
        <v>1969</v>
      </c>
      <c r="B1970" s="3" t="n">
        <v>1968</v>
      </c>
      <c r="C1970" s="3" t="n">
        <v>2</v>
      </c>
      <c r="D1970" s="3" t="n">
        <v>14</v>
      </c>
      <c r="E1970" s="3" t="n">
        <v>8</v>
      </c>
      <c r="F1970" s="24" t="n">
        <v>0</v>
      </c>
    </row>
    <row r="1971" customFormat="false" ht="15" hidden="false" customHeight="false" outlineLevel="0" collapsed="false">
      <c r="A1971" s="3" t="n">
        <v>1970</v>
      </c>
      <c r="B1971" s="3" t="n">
        <v>1969</v>
      </c>
      <c r="C1971" s="3" t="n">
        <v>2</v>
      </c>
      <c r="D1971" s="3" t="n">
        <v>14</v>
      </c>
      <c r="E1971" s="3" t="n">
        <v>9</v>
      </c>
      <c r="F1971" s="24" t="n">
        <v>0</v>
      </c>
    </row>
    <row r="1972" customFormat="false" ht="15" hidden="false" customHeight="false" outlineLevel="0" collapsed="false">
      <c r="A1972" s="3" t="n">
        <v>1971</v>
      </c>
      <c r="B1972" s="3" t="n">
        <v>1970</v>
      </c>
      <c r="C1972" s="3" t="n">
        <v>2</v>
      </c>
      <c r="D1972" s="3" t="n">
        <v>14</v>
      </c>
      <c r="E1972" s="3" t="n">
        <v>10</v>
      </c>
      <c r="F1972" s="24" t="n">
        <v>0</v>
      </c>
    </row>
    <row r="1973" customFormat="false" ht="15" hidden="false" customHeight="false" outlineLevel="0" collapsed="false">
      <c r="A1973" s="3" t="n">
        <v>1972</v>
      </c>
      <c r="B1973" s="3" t="n">
        <v>1971</v>
      </c>
      <c r="C1973" s="3" t="n">
        <v>2</v>
      </c>
      <c r="D1973" s="3" t="n">
        <v>14</v>
      </c>
      <c r="E1973" s="3" t="n">
        <v>11</v>
      </c>
      <c r="F1973" s="24" t="n">
        <v>0</v>
      </c>
    </row>
    <row r="1974" customFormat="false" ht="15" hidden="false" customHeight="false" outlineLevel="0" collapsed="false">
      <c r="A1974" s="3" t="n">
        <v>1973</v>
      </c>
      <c r="B1974" s="3" t="n">
        <v>1972</v>
      </c>
      <c r="C1974" s="3" t="n">
        <v>2</v>
      </c>
      <c r="D1974" s="3" t="n">
        <v>14</v>
      </c>
      <c r="E1974" s="3" t="n">
        <v>12</v>
      </c>
      <c r="F1974" s="24" t="n">
        <v>0</v>
      </c>
    </row>
    <row r="1975" customFormat="false" ht="15" hidden="false" customHeight="false" outlineLevel="0" collapsed="false">
      <c r="A1975" s="3" t="n">
        <v>1974</v>
      </c>
      <c r="B1975" s="3" t="n">
        <v>1973</v>
      </c>
      <c r="C1975" s="3" t="n">
        <v>2</v>
      </c>
      <c r="D1975" s="3" t="n">
        <v>14</v>
      </c>
      <c r="E1975" s="3" t="n">
        <v>13</v>
      </c>
      <c r="F1975" s="24" t="n">
        <v>0</v>
      </c>
    </row>
    <row r="1976" customFormat="false" ht="15" hidden="false" customHeight="false" outlineLevel="0" collapsed="false">
      <c r="A1976" s="3" t="n">
        <v>1975</v>
      </c>
      <c r="B1976" s="3" t="n">
        <v>1974</v>
      </c>
      <c r="C1976" s="3" t="n">
        <v>2</v>
      </c>
      <c r="D1976" s="3" t="n">
        <v>14</v>
      </c>
      <c r="E1976" s="3" t="n">
        <v>14</v>
      </c>
      <c r="F1976" s="24" t="n">
        <v>0</v>
      </c>
    </row>
    <row r="1977" customFormat="false" ht="15" hidden="false" customHeight="false" outlineLevel="0" collapsed="false">
      <c r="A1977" s="3" t="n">
        <v>1976</v>
      </c>
      <c r="B1977" s="3" t="n">
        <v>1975</v>
      </c>
      <c r="C1977" s="3" t="n">
        <v>2</v>
      </c>
      <c r="D1977" s="3" t="n">
        <v>14</v>
      </c>
      <c r="E1977" s="3" t="n">
        <v>15</v>
      </c>
      <c r="F1977" s="24" t="n">
        <v>0.925811887</v>
      </c>
    </row>
    <row r="1978" customFormat="false" ht="15" hidden="false" customHeight="false" outlineLevel="0" collapsed="false">
      <c r="A1978" s="3" t="n">
        <v>1977</v>
      </c>
      <c r="B1978" s="3" t="n">
        <v>1976</v>
      </c>
      <c r="C1978" s="3" t="n">
        <v>2</v>
      </c>
      <c r="D1978" s="3" t="n">
        <v>14</v>
      </c>
      <c r="E1978" s="3" t="n">
        <v>16</v>
      </c>
      <c r="F1978" s="24" t="n">
        <v>3.57256436</v>
      </c>
    </row>
    <row r="1979" customFormat="false" ht="15" hidden="false" customHeight="false" outlineLevel="0" collapsed="false">
      <c r="A1979" s="3" t="n">
        <v>1978</v>
      </c>
      <c r="B1979" s="3" t="n">
        <v>1977</v>
      </c>
      <c r="C1979" s="3" t="n">
        <v>2</v>
      </c>
      <c r="D1979" s="3" t="n">
        <v>14</v>
      </c>
      <c r="E1979" s="3" t="n">
        <v>17</v>
      </c>
      <c r="F1979" s="24" t="n">
        <v>2.61214399</v>
      </c>
    </row>
    <row r="1980" customFormat="false" ht="15" hidden="false" customHeight="false" outlineLevel="0" collapsed="false">
      <c r="A1980" s="3" t="n">
        <v>1979</v>
      </c>
      <c r="B1980" s="3" t="n">
        <v>1978</v>
      </c>
      <c r="C1980" s="3" t="n">
        <v>2</v>
      </c>
      <c r="D1980" s="3" t="n">
        <v>14</v>
      </c>
      <c r="E1980" s="3" t="n">
        <v>18</v>
      </c>
      <c r="F1980" s="24" t="n">
        <v>0</v>
      </c>
    </row>
    <row r="1981" customFormat="false" ht="15" hidden="false" customHeight="false" outlineLevel="0" collapsed="false">
      <c r="A1981" s="3" t="n">
        <v>1980</v>
      </c>
      <c r="B1981" s="3" t="n">
        <v>1979</v>
      </c>
      <c r="C1981" s="3" t="n">
        <v>2</v>
      </c>
      <c r="D1981" s="3" t="n">
        <v>14</v>
      </c>
      <c r="E1981" s="3" t="n">
        <v>19</v>
      </c>
      <c r="F1981" s="24" t="n">
        <v>0</v>
      </c>
    </row>
    <row r="1982" customFormat="false" ht="15" hidden="false" customHeight="false" outlineLevel="0" collapsed="false">
      <c r="A1982" s="3" t="n">
        <v>1981</v>
      </c>
      <c r="B1982" s="3" t="n">
        <v>1980</v>
      </c>
      <c r="C1982" s="3" t="n">
        <v>2</v>
      </c>
      <c r="D1982" s="3" t="n">
        <v>14</v>
      </c>
      <c r="E1982" s="3" t="n">
        <v>20</v>
      </c>
      <c r="F1982" s="24" t="n">
        <v>0</v>
      </c>
    </row>
    <row r="1983" customFormat="false" ht="15" hidden="false" customHeight="false" outlineLevel="0" collapsed="false">
      <c r="A1983" s="3" t="n">
        <v>1982</v>
      </c>
      <c r="B1983" s="3" t="n">
        <v>1981</v>
      </c>
      <c r="C1983" s="3" t="n">
        <v>2</v>
      </c>
      <c r="D1983" s="3" t="n">
        <v>14</v>
      </c>
      <c r="E1983" s="3" t="n">
        <v>21</v>
      </c>
      <c r="F1983" s="24" t="n">
        <v>0</v>
      </c>
    </row>
    <row r="1984" customFormat="false" ht="15" hidden="false" customHeight="false" outlineLevel="0" collapsed="false">
      <c r="A1984" s="3" t="n">
        <v>1983</v>
      </c>
      <c r="B1984" s="3" t="n">
        <v>1982</v>
      </c>
      <c r="C1984" s="3" t="n">
        <v>2</v>
      </c>
      <c r="D1984" s="3" t="n">
        <v>14</v>
      </c>
      <c r="E1984" s="3" t="n">
        <v>22</v>
      </c>
      <c r="F1984" s="24" t="n">
        <v>0</v>
      </c>
    </row>
    <row r="1985" customFormat="false" ht="15" hidden="false" customHeight="false" outlineLevel="0" collapsed="false">
      <c r="A1985" s="3" t="n">
        <v>1984</v>
      </c>
      <c r="B1985" s="3" t="n">
        <v>1983</v>
      </c>
      <c r="C1985" s="3" t="n">
        <v>2</v>
      </c>
      <c r="D1985" s="3" t="n">
        <v>14</v>
      </c>
      <c r="E1985" s="3" t="n">
        <v>23</v>
      </c>
      <c r="F1985" s="24" t="n">
        <v>0</v>
      </c>
    </row>
    <row r="1986" customFormat="false" ht="15" hidden="false" customHeight="false" outlineLevel="0" collapsed="false">
      <c r="A1986" s="3" t="n">
        <v>1985</v>
      </c>
      <c r="B1986" s="3" t="n">
        <v>1984</v>
      </c>
      <c r="C1986" s="3" t="n">
        <v>2</v>
      </c>
      <c r="D1986" s="3" t="n">
        <v>14</v>
      </c>
      <c r="E1986" s="3" t="n">
        <v>24</v>
      </c>
      <c r="F1986" s="24" t="n">
        <v>0</v>
      </c>
    </row>
    <row r="1987" customFormat="false" ht="15" hidden="false" customHeight="false" outlineLevel="0" collapsed="false">
      <c r="A1987" s="3" t="n">
        <v>1986</v>
      </c>
      <c r="B1987" s="3" t="n">
        <v>1985</v>
      </c>
      <c r="C1987" s="3" t="n">
        <v>2</v>
      </c>
      <c r="D1987" s="3" t="n">
        <v>14</v>
      </c>
      <c r="E1987" s="3" t="n">
        <v>25</v>
      </c>
      <c r="F1987" s="24" t="n">
        <v>0</v>
      </c>
    </row>
    <row r="1988" customFormat="false" ht="15" hidden="false" customHeight="false" outlineLevel="0" collapsed="false">
      <c r="A1988" s="3" t="n">
        <v>1987</v>
      </c>
      <c r="B1988" s="3" t="n">
        <v>1986</v>
      </c>
      <c r="C1988" s="3" t="n">
        <v>2</v>
      </c>
      <c r="D1988" s="3" t="n">
        <v>14</v>
      </c>
      <c r="E1988" s="3" t="n">
        <v>26</v>
      </c>
      <c r="F1988" s="24" t="n">
        <v>0</v>
      </c>
    </row>
    <row r="1989" customFormat="false" ht="15" hidden="false" customHeight="false" outlineLevel="0" collapsed="false">
      <c r="A1989" s="3" t="n">
        <v>1988</v>
      </c>
      <c r="B1989" s="3" t="n">
        <v>1987</v>
      </c>
      <c r="C1989" s="3" t="n">
        <v>2</v>
      </c>
      <c r="D1989" s="3" t="n">
        <v>14</v>
      </c>
      <c r="E1989" s="3" t="n">
        <v>27</v>
      </c>
      <c r="F1989" s="24" t="n">
        <v>0.387737483</v>
      </c>
    </row>
    <row r="1990" customFormat="false" ht="15" hidden="false" customHeight="false" outlineLevel="0" collapsed="false">
      <c r="A1990" s="3" t="n">
        <v>1989</v>
      </c>
      <c r="B1990" s="3" t="n">
        <v>1988</v>
      </c>
      <c r="C1990" s="3" t="n">
        <v>2</v>
      </c>
      <c r="D1990" s="3" t="n">
        <v>15</v>
      </c>
      <c r="E1990" s="3" t="n">
        <v>0</v>
      </c>
      <c r="F1990" s="24" t="n">
        <v>0</v>
      </c>
    </row>
    <row r="1991" customFormat="false" ht="15" hidden="false" customHeight="false" outlineLevel="0" collapsed="false">
      <c r="A1991" s="3" t="n">
        <v>1990</v>
      </c>
      <c r="B1991" s="3" t="n">
        <v>1989</v>
      </c>
      <c r="C1991" s="3" t="n">
        <v>2</v>
      </c>
      <c r="D1991" s="3" t="n">
        <v>15</v>
      </c>
      <c r="E1991" s="3" t="n">
        <v>1</v>
      </c>
      <c r="F1991" s="24" t="n">
        <v>0</v>
      </c>
    </row>
    <row r="1992" customFormat="false" ht="15" hidden="false" customHeight="false" outlineLevel="0" collapsed="false">
      <c r="A1992" s="3" t="n">
        <v>1991</v>
      </c>
      <c r="B1992" s="3" t="n">
        <v>1990</v>
      </c>
      <c r="C1992" s="3" t="n">
        <v>2</v>
      </c>
      <c r="D1992" s="3" t="n">
        <v>15</v>
      </c>
      <c r="E1992" s="3" t="n">
        <v>2</v>
      </c>
      <c r="F1992" s="24" t="n">
        <v>0</v>
      </c>
    </row>
    <row r="1993" customFormat="false" ht="15" hidden="false" customHeight="false" outlineLevel="0" collapsed="false">
      <c r="A1993" s="3" t="n">
        <v>1992</v>
      </c>
      <c r="B1993" s="3" t="n">
        <v>1991</v>
      </c>
      <c r="C1993" s="3" t="n">
        <v>2</v>
      </c>
      <c r="D1993" s="3" t="n">
        <v>15</v>
      </c>
      <c r="E1993" s="3" t="n">
        <v>3</v>
      </c>
      <c r="F1993" s="24" t="n">
        <v>0</v>
      </c>
    </row>
    <row r="1994" customFormat="false" ht="15" hidden="false" customHeight="false" outlineLevel="0" collapsed="false">
      <c r="A1994" s="3" t="n">
        <v>1993</v>
      </c>
      <c r="B1994" s="3" t="n">
        <v>1992</v>
      </c>
      <c r="C1994" s="3" t="n">
        <v>2</v>
      </c>
      <c r="D1994" s="3" t="n">
        <v>15</v>
      </c>
      <c r="E1994" s="3" t="n">
        <v>4</v>
      </c>
      <c r="F1994" s="24" t="n">
        <v>0</v>
      </c>
    </row>
    <row r="1995" customFormat="false" ht="15" hidden="false" customHeight="false" outlineLevel="0" collapsed="false">
      <c r="A1995" s="3" t="n">
        <v>1994</v>
      </c>
      <c r="B1995" s="3" t="n">
        <v>1993</v>
      </c>
      <c r="C1995" s="3" t="n">
        <v>2</v>
      </c>
      <c r="D1995" s="3" t="n">
        <v>15</v>
      </c>
      <c r="E1995" s="3" t="n">
        <v>5</v>
      </c>
      <c r="F1995" s="24" t="n">
        <v>0</v>
      </c>
    </row>
    <row r="1996" customFormat="false" ht="15" hidden="false" customHeight="false" outlineLevel="0" collapsed="false">
      <c r="A1996" s="3" t="n">
        <v>1995</v>
      </c>
      <c r="B1996" s="3" t="n">
        <v>1994</v>
      </c>
      <c r="C1996" s="3" t="n">
        <v>2</v>
      </c>
      <c r="D1996" s="3" t="n">
        <v>15</v>
      </c>
      <c r="E1996" s="3" t="n">
        <v>6</v>
      </c>
      <c r="F1996" s="24" t="n">
        <v>0</v>
      </c>
    </row>
    <row r="1997" customFormat="false" ht="15" hidden="false" customHeight="false" outlineLevel="0" collapsed="false">
      <c r="A1997" s="3" t="n">
        <v>1996</v>
      </c>
      <c r="B1997" s="3" t="n">
        <v>1995</v>
      </c>
      <c r="C1997" s="3" t="n">
        <v>2</v>
      </c>
      <c r="D1997" s="3" t="n">
        <v>15</v>
      </c>
      <c r="E1997" s="3" t="n">
        <v>7</v>
      </c>
      <c r="F1997" s="24" t="n">
        <v>0</v>
      </c>
    </row>
    <row r="1998" customFormat="false" ht="15" hidden="false" customHeight="false" outlineLevel="0" collapsed="false">
      <c r="A1998" s="3" t="n">
        <v>1997</v>
      </c>
      <c r="B1998" s="3" t="n">
        <v>1996</v>
      </c>
      <c r="C1998" s="3" t="n">
        <v>2</v>
      </c>
      <c r="D1998" s="3" t="n">
        <v>15</v>
      </c>
      <c r="E1998" s="3" t="n">
        <v>8</v>
      </c>
      <c r="F1998" s="24" t="n">
        <v>0</v>
      </c>
    </row>
    <row r="1999" customFormat="false" ht="15" hidden="false" customHeight="false" outlineLevel="0" collapsed="false">
      <c r="A1999" s="3" t="n">
        <v>1998</v>
      </c>
      <c r="B1999" s="3" t="n">
        <v>1997</v>
      </c>
      <c r="C1999" s="3" t="n">
        <v>2</v>
      </c>
      <c r="D1999" s="3" t="n">
        <v>15</v>
      </c>
      <c r="E1999" s="3" t="n">
        <v>9</v>
      </c>
      <c r="F1999" s="24" t="n">
        <v>0</v>
      </c>
    </row>
    <row r="2000" customFormat="false" ht="15" hidden="false" customHeight="false" outlineLevel="0" collapsed="false">
      <c r="A2000" s="3" t="n">
        <v>1999</v>
      </c>
      <c r="B2000" s="3" t="n">
        <v>1998</v>
      </c>
      <c r="C2000" s="3" t="n">
        <v>2</v>
      </c>
      <c r="D2000" s="3" t="n">
        <v>15</v>
      </c>
      <c r="E2000" s="3" t="n">
        <v>10</v>
      </c>
      <c r="F2000" s="24" t="n">
        <v>0</v>
      </c>
    </row>
    <row r="2001" customFormat="false" ht="15" hidden="false" customHeight="false" outlineLevel="0" collapsed="false">
      <c r="A2001" s="3" t="n">
        <v>2000</v>
      </c>
      <c r="B2001" s="3" t="n">
        <v>1999</v>
      </c>
      <c r="C2001" s="3" t="n">
        <v>2</v>
      </c>
      <c r="D2001" s="3" t="n">
        <v>15</v>
      </c>
      <c r="E2001" s="3" t="n">
        <v>11</v>
      </c>
      <c r="F2001" s="24" t="n">
        <v>0</v>
      </c>
    </row>
    <row r="2002" customFormat="false" ht="15" hidden="false" customHeight="false" outlineLevel="0" collapsed="false">
      <c r="A2002" s="3" t="n">
        <v>2001</v>
      </c>
      <c r="B2002" s="3" t="n">
        <v>2000</v>
      </c>
      <c r="C2002" s="3" t="n">
        <v>2</v>
      </c>
      <c r="D2002" s="3" t="n">
        <v>15</v>
      </c>
      <c r="E2002" s="3" t="n">
        <v>12</v>
      </c>
      <c r="F2002" s="24" t="n">
        <v>0</v>
      </c>
    </row>
    <row r="2003" customFormat="false" ht="15" hidden="false" customHeight="false" outlineLevel="0" collapsed="false">
      <c r="A2003" s="3" t="n">
        <v>2002</v>
      </c>
      <c r="B2003" s="3" t="n">
        <v>2001</v>
      </c>
      <c r="C2003" s="3" t="n">
        <v>2</v>
      </c>
      <c r="D2003" s="3" t="n">
        <v>15</v>
      </c>
      <c r="E2003" s="3" t="n">
        <v>13</v>
      </c>
      <c r="F2003" s="24" t="n">
        <v>0</v>
      </c>
    </row>
    <row r="2004" customFormat="false" ht="15" hidden="false" customHeight="false" outlineLevel="0" collapsed="false">
      <c r="A2004" s="3" t="n">
        <v>2003</v>
      </c>
      <c r="B2004" s="3" t="n">
        <v>2002</v>
      </c>
      <c r="C2004" s="3" t="n">
        <v>2</v>
      </c>
      <c r="D2004" s="3" t="n">
        <v>15</v>
      </c>
      <c r="E2004" s="3" t="n">
        <v>14</v>
      </c>
      <c r="F2004" s="24" t="n">
        <v>0</v>
      </c>
    </row>
    <row r="2005" customFormat="false" ht="15" hidden="false" customHeight="false" outlineLevel="0" collapsed="false">
      <c r="A2005" s="3" t="n">
        <v>2004</v>
      </c>
      <c r="B2005" s="3" t="n">
        <v>2003</v>
      </c>
      <c r="C2005" s="3" t="n">
        <v>2</v>
      </c>
      <c r="D2005" s="3" t="n">
        <v>15</v>
      </c>
      <c r="E2005" s="3" t="n">
        <v>15</v>
      </c>
      <c r="F2005" s="24" t="n">
        <v>1.94935739</v>
      </c>
    </row>
    <row r="2006" customFormat="false" ht="15" hidden="false" customHeight="false" outlineLevel="0" collapsed="false">
      <c r="A2006" s="3" t="n">
        <v>2005</v>
      </c>
      <c r="B2006" s="3" t="n">
        <v>2004</v>
      </c>
      <c r="C2006" s="3" t="n">
        <v>2</v>
      </c>
      <c r="D2006" s="3" t="n">
        <v>15</v>
      </c>
      <c r="E2006" s="3" t="n">
        <v>16</v>
      </c>
      <c r="F2006" s="24" t="n">
        <v>3.99739647</v>
      </c>
    </row>
    <row r="2007" customFormat="false" ht="15" hidden="false" customHeight="false" outlineLevel="0" collapsed="false">
      <c r="A2007" s="3" t="n">
        <v>2006</v>
      </c>
      <c r="B2007" s="3" t="n">
        <v>2005</v>
      </c>
      <c r="C2007" s="3" t="n">
        <v>2</v>
      </c>
      <c r="D2007" s="3" t="n">
        <v>15</v>
      </c>
      <c r="E2007" s="3" t="n">
        <v>17</v>
      </c>
      <c r="F2007" s="24" t="n">
        <v>0.199626416</v>
      </c>
    </row>
    <row r="2008" customFormat="false" ht="15" hidden="false" customHeight="false" outlineLevel="0" collapsed="false">
      <c r="A2008" s="3" t="n">
        <v>2007</v>
      </c>
      <c r="B2008" s="3" t="n">
        <v>2006</v>
      </c>
      <c r="C2008" s="3" t="n">
        <v>2</v>
      </c>
      <c r="D2008" s="3" t="n">
        <v>15</v>
      </c>
      <c r="E2008" s="3" t="n">
        <v>18</v>
      </c>
      <c r="F2008" s="24" t="n">
        <v>0</v>
      </c>
    </row>
    <row r="2009" customFormat="false" ht="15" hidden="false" customHeight="false" outlineLevel="0" collapsed="false">
      <c r="A2009" s="3" t="n">
        <v>2008</v>
      </c>
      <c r="B2009" s="3" t="n">
        <v>2007</v>
      </c>
      <c r="C2009" s="3" t="n">
        <v>2</v>
      </c>
      <c r="D2009" s="3" t="n">
        <v>15</v>
      </c>
      <c r="E2009" s="3" t="n">
        <v>19</v>
      </c>
      <c r="F2009" s="24" t="n">
        <v>0</v>
      </c>
    </row>
    <row r="2010" customFormat="false" ht="15" hidden="false" customHeight="false" outlineLevel="0" collapsed="false">
      <c r="A2010" s="3" t="n">
        <v>2009</v>
      </c>
      <c r="B2010" s="3" t="n">
        <v>2008</v>
      </c>
      <c r="C2010" s="3" t="n">
        <v>2</v>
      </c>
      <c r="D2010" s="3" t="n">
        <v>15</v>
      </c>
      <c r="E2010" s="3" t="n">
        <v>20</v>
      </c>
      <c r="F2010" s="24" t="n">
        <v>0</v>
      </c>
    </row>
    <row r="2011" customFormat="false" ht="15" hidden="false" customHeight="false" outlineLevel="0" collapsed="false">
      <c r="A2011" s="3" t="n">
        <v>2010</v>
      </c>
      <c r="B2011" s="3" t="n">
        <v>2009</v>
      </c>
      <c r="C2011" s="3" t="n">
        <v>2</v>
      </c>
      <c r="D2011" s="3" t="n">
        <v>15</v>
      </c>
      <c r="E2011" s="3" t="n">
        <v>21</v>
      </c>
      <c r="F2011" s="24" t="n">
        <v>0</v>
      </c>
    </row>
    <row r="2012" customFormat="false" ht="15" hidden="false" customHeight="false" outlineLevel="0" collapsed="false">
      <c r="A2012" s="3" t="n">
        <v>2011</v>
      </c>
      <c r="B2012" s="3" t="n">
        <v>2010</v>
      </c>
      <c r="C2012" s="3" t="n">
        <v>2</v>
      </c>
      <c r="D2012" s="3" t="n">
        <v>15</v>
      </c>
      <c r="E2012" s="3" t="n">
        <v>22</v>
      </c>
      <c r="F2012" s="24" t="n">
        <v>0</v>
      </c>
    </row>
    <row r="2013" customFormat="false" ht="15" hidden="false" customHeight="false" outlineLevel="0" collapsed="false">
      <c r="A2013" s="3" t="n">
        <v>2012</v>
      </c>
      <c r="B2013" s="3" t="n">
        <v>2011</v>
      </c>
      <c r="C2013" s="3" t="n">
        <v>2</v>
      </c>
      <c r="D2013" s="3" t="n">
        <v>15</v>
      </c>
      <c r="E2013" s="3" t="n">
        <v>23</v>
      </c>
      <c r="F2013" s="24" t="n">
        <v>0</v>
      </c>
    </row>
    <row r="2014" customFormat="false" ht="15" hidden="false" customHeight="false" outlineLevel="0" collapsed="false">
      <c r="A2014" s="3" t="n">
        <v>2013</v>
      </c>
      <c r="B2014" s="3" t="n">
        <v>2012</v>
      </c>
      <c r="C2014" s="3" t="n">
        <v>2</v>
      </c>
      <c r="D2014" s="3" t="n">
        <v>15</v>
      </c>
      <c r="E2014" s="3" t="n">
        <v>24</v>
      </c>
      <c r="F2014" s="24" t="n">
        <v>0</v>
      </c>
    </row>
    <row r="2015" customFormat="false" ht="15" hidden="false" customHeight="false" outlineLevel="0" collapsed="false">
      <c r="A2015" s="3" t="n">
        <v>2014</v>
      </c>
      <c r="B2015" s="3" t="n">
        <v>2013</v>
      </c>
      <c r="C2015" s="3" t="n">
        <v>2</v>
      </c>
      <c r="D2015" s="3" t="n">
        <v>15</v>
      </c>
      <c r="E2015" s="3" t="n">
        <v>25</v>
      </c>
      <c r="F2015" s="24" t="n">
        <v>0</v>
      </c>
    </row>
    <row r="2016" customFormat="false" ht="15" hidden="false" customHeight="false" outlineLevel="0" collapsed="false">
      <c r="A2016" s="3" t="n">
        <v>2015</v>
      </c>
      <c r="B2016" s="3" t="n">
        <v>2014</v>
      </c>
      <c r="C2016" s="3" t="n">
        <v>2</v>
      </c>
      <c r="D2016" s="3" t="n">
        <v>15</v>
      </c>
      <c r="E2016" s="3" t="n">
        <v>26</v>
      </c>
      <c r="F2016" s="24" t="n">
        <v>0</v>
      </c>
    </row>
    <row r="2017" customFormat="false" ht="15" hidden="false" customHeight="false" outlineLevel="0" collapsed="false">
      <c r="A2017" s="3" t="n">
        <v>2016</v>
      </c>
      <c r="B2017" s="3" t="n">
        <v>2015</v>
      </c>
      <c r="C2017" s="3" t="n">
        <v>2</v>
      </c>
      <c r="D2017" s="3" t="n">
        <v>15</v>
      </c>
      <c r="E2017" s="3" t="n">
        <v>27</v>
      </c>
      <c r="F2017" s="24" t="n">
        <v>0.387737483</v>
      </c>
    </row>
    <row r="2018" customFormat="false" ht="15" hidden="false" customHeight="false" outlineLevel="0" collapsed="false">
      <c r="A2018" s="3" t="n">
        <v>2017</v>
      </c>
      <c r="B2018" s="3" t="n">
        <v>2016</v>
      </c>
      <c r="C2018" s="3" t="n">
        <v>2</v>
      </c>
      <c r="D2018" s="3" t="n">
        <v>16</v>
      </c>
      <c r="E2018" s="3" t="n">
        <v>0</v>
      </c>
      <c r="F2018" s="24" t="n">
        <v>0</v>
      </c>
    </row>
    <row r="2019" customFormat="false" ht="15" hidden="false" customHeight="false" outlineLevel="0" collapsed="false">
      <c r="A2019" s="3" t="n">
        <v>2018</v>
      </c>
      <c r="B2019" s="3" t="n">
        <v>2017</v>
      </c>
      <c r="C2019" s="3" t="n">
        <v>2</v>
      </c>
      <c r="D2019" s="3" t="n">
        <v>16</v>
      </c>
      <c r="E2019" s="3" t="n">
        <v>1</v>
      </c>
      <c r="F2019" s="24" t="n">
        <v>0</v>
      </c>
    </row>
    <row r="2020" customFormat="false" ht="15" hidden="false" customHeight="false" outlineLevel="0" collapsed="false">
      <c r="A2020" s="3" t="n">
        <v>2019</v>
      </c>
      <c r="B2020" s="3" t="n">
        <v>2018</v>
      </c>
      <c r="C2020" s="3" t="n">
        <v>2</v>
      </c>
      <c r="D2020" s="3" t="n">
        <v>16</v>
      </c>
      <c r="E2020" s="3" t="n">
        <v>2</v>
      </c>
      <c r="F2020" s="24" t="n">
        <v>0</v>
      </c>
    </row>
    <row r="2021" customFormat="false" ht="15" hidden="false" customHeight="false" outlineLevel="0" collapsed="false">
      <c r="A2021" s="3" t="n">
        <v>2020</v>
      </c>
      <c r="B2021" s="3" t="n">
        <v>2019</v>
      </c>
      <c r="C2021" s="3" t="n">
        <v>2</v>
      </c>
      <c r="D2021" s="3" t="n">
        <v>16</v>
      </c>
      <c r="E2021" s="3" t="n">
        <v>3</v>
      </c>
      <c r="F2021" s="24" t="n">
        <v>0</v>
      </c>
    </row>
    <row r="2022" customFormat="false" ht="15" hidden="false" customHeight="false" outlineLevel="0" collapsed="false">
      <c r="A2022" s="3" t="n">
        <v>2021</v>
      </c>
      <c r="B2022" s="3" t="n">
        <v>2020</v>
      </c>
      <c r="C2022" s="3" t="n">
        <v>2</v>
      </c>
      <c r="D2022" s="3" t="n">
        <v>16</v>
      </c>
      <c r="E2022" s="3" t="n">
        <v>4</v>
      </c>
      <c r="F2022" s="24" t="n">
        <v>0</v>
      </c>
    </row>
    <row r="2023" customFormat="false" ht="15" hidden="false" customHeight="false" outlineLevel="0" collapsed="false">
      <c r="A2023" s="3" t="n">
        <v>2022</v>
      </c>
      <c r="B2023" s="3" t="n">
        <v>2021</v>
      </c>
      <c r="C2023" s="3" t="n">
        <v>2</v>
      </c>
      <c r="D2023" s="3" t="n">
        <v>16</v>
      </c>
      <c r="E2023" s="3" t="n">
        <v>5</v>
      </c>
      <c r="F2023" s="24" t="n">
        <v>0</v>
      </c>
    </row>
    <row r="2024" customFormat="false" ht="15" hidden="false" customHeight="false" outlineLevel="0" collapsed="false">
      <c r="A2024" s="3" t="n">
        <v>2023</v>
      </c>
      <c r="B2024" s="3" t="n">
        <v>2022</v>
      </c>
      <c r="C2024" s="3" t="n">
        <v>2</v>
      </c>
      <c r="D2024" s="3" t="n">
        <v>16</v>
      </c>
      <c r="E2024" s="3" t="n">
        <v>6</v>
      </c>
      <c r="F2024" s="24" t="n">
        <v>0</v>
      </c>
    </row>
    <row r="2025" customFormat="false" ht="15" hidden="false" customHeight="false" outlineLevel="0" collapsed="false">
      <c r="A2025" s="3" t="n">
        <v>2024</v>
      </c>
      <c r="B2025" s="3" t="n">
        <v>2023</v>
      </c>
      <c r="C2025" s="3" t="n">
        <v>2</v>
      </c>
      <c r="D2025" s="3" t="n">
        <v>16</v>
      </c>
      <c r="E2025" s="3" t="n">
        <v>7</v>
      </c>
      <c r="F2025" s="24" t="n">
        <v>0</v>
      </c>
    </row>
    <row r="2026" customFormat="false" ht="15" hidden="false" customHeight="false" outlineLevel="0" collapsed="false">
      <c r="A2026" s="3" t="n">
        <v>2025</v>
      </c>
      <c r="B2026" s="3" t="n">
        <v>2024</v>
      </c>
      <c r="C2026" s="3" t="n">
        <v>2</v>
      </c>
      <c r="D2026" s="3" t="n">
        <v>16</v>
      </c>
      <c r="E2026" s="3" t="n">
        <v>8</v>
      </c>
      <c r="F2026" s="24" t="n">
        <v>0</v>
      </c>
    </row>
    <row r="2027" customFormat="false" ht="15" hidden="false" customHeight="false" outlineLevel="0" collapsed="false">
      <c r="A2027" s="3" t="n">
        <v>2026</v>
      </c>
      <c r="B2027" s="3" t="n">
        <v>2025</v>
      </c>
      <c r="C2027" s="3" t="n">
        <v>2</v>
      </c>
      <c r="D2027" s="3" t="n">
        <v>16</v>
      </c>
      <c r="E2027" s="3" t="n">
        <v>9</v>
      </c>
      <c r="F2027" s="24" t="n">
        <v>0</v>
      </c>
    </row>
    <row r="2028" customFormat="false" ht="15" hidden="false" customHeight="false" outlineLevel="0" collapsed="false">
      <c r="A2028" s="3" t="n">
        <v>2027</v>
      </c>
      <c r="B2028" s="3" t="n">
        <v>2026</v>
      </c>
      <c r="C2028" s="3" t="n">
        <v>2</v>
      </c>
      <c r="D2028" s="3" t="n">
        <v>16</v>
      </c>
      <c r="E2028" s="3" t="n">
        <v>10</v>
      </c>
      <c r="F2028" s="24" t="n">
        <v>0</v>
      </c>
    </row>
    <row r="2029" customFormat="false" ht="15" hidden="false" customHeight="false" outlineLevel="0" collapsed="false">
      <c r="A2029" s="3" t="n">
        <v>2028</v>
      </c>
      <c r="B2029" s="3" t="n">
        <v>2027</v>
      </c>
      <c r="C2029" s="3" t="n">
        <v>2</v>
      </c>
      <c r="D2029" s="3" t="n">
        <v>16</v>
      </c>
      <c r="E2029" s="3" t="n">
        <v>11</v>
      </c>
      <c r="F2029" s="24" t="n">
        <v>0</v>
      </c>
    </row>
    <row r="2030" customFormat="false" ht="15" hidden="false" customHeight="false" outlineLevel="0" collapsed="false">
      <c r="A2030" s="3" t="n">
        <v>2029</v>
      </c>
      <c r="B2030" s="3" t="n">
        <v>2028</v>
      </c>
      <c r="C2030" s="3" t="n">
        <v>2</v>
      </c>
      <c r="D2030" s="3" t="n">
        <v>16</v>
      </c>
      <c r="E2030" s="3" t="n">
        <v>12</v>
      </c>
      <c r="F2030" s="24" t="n">
        <v>0</v>
      </c>
    </row>
    <row r="2031" customFormat="false" ht="15" hidden="false" customHeight="false" outlineLevel="0" collapsed="false">
      <c r="A2031" s="3" t="n">
        <v>2030</v>
      </c>
      <c r="B2031" s="3" t="n">
        <v>2029</v>
      </c>
      <c r="C2031" s="3" t="n">
        <v>2</v>
      </c>
      <c r="D2031" s="3" t="n">
        <v>16</v>
      </c>
      <c r="E2031" s="3" t="n">
        <v>13</v>
      </c>
      <c r="F2031" s="24" t="n">
        <v>0</v>
      </c>
    </row>
    <row r="2032" customFormat="false" ht="15" hidden="false" customHeight="false" outlineLevel="0" collapsed="false">
      <c r="A2032" s="3" t="n">
        <v>2031</v>
      </c>
      <c r="B2032" s="3" t="n">
        <v>2030</v>
      </c>
      <c r="C2032" s="3" t="n">
        <v>2</v>
      </c>
      <c r="D2032" s="3" t="n">
        <v>16</v>
      </c>
      <c r="E2032" s="3" t="n">
        <v>14</v>
      </c>
      <c r="F2032" s="24" t="n">
        <v>0.514043927</v>
      </c>
    </row>
    <row r="2033" customFormat="false" ht="15" hidden="false" customHeight="false" outlineLevel="0" collapsed="false">
      <c r="A2033" s="3" t="n">
        <v>2032</v>
      </c>
      <c r="B2033" s="3" t="n">
        <v>2031</v>
      </c>
      <c r="C2033" s="3" t="n">
        <v>2</v>
      </c>
      <c r="D2033" s="3" t="n">
        <v>16</v>
      </c>
      <c r="E2033" s="3" t="n">
        <v>15</v>
      </c>
      <c r="F2033" s="24" t="n">
        <v>3.25656414</v>
      </c>
    </row>
    <row r="2034" customFormat="false" ht="15" hidden="false" customHeight="false" outlineLevel="0" collapsed="false">
      <c r="A2034" s="3" t="n">
        <v>2033</v>
      </c>
      <c r="B2034" s="3" t="n">
        <v>2032</v>
      </c>
      <c r="C2034" s="3" t="n">
        <v>2</v>
      </c>
      <c r="D2034" s="3" t="n">
        <v>16</v>
      </c>
      <c r="E2034" s="3" t="n">
        <v>16</v>
      </c>
      <c r="F2034" s="24" t="n">
        <v>3.01581168</v>
      </c>
    </row>
    <row r="2035" customFormat="false" ht="15" hidden="false" customHeight="false" outlineLevel="0" collapsed="false">
      <c r="A2035" s="3" t="n">
        <v>2034</v>
      </c>
      <c r="B2035" s="3" t="n">
        <v>2033</v>
      </c>
      <c r="C2035" s="3" t="n">
        <v>2</v>
      </c>
      <c r="D2035" s="3" t="n">
        <v>16</v>
      </c>
      <c r="E2035" s="3" t="n">
        <v>17</v>
      </c>
      <c r="F2035" s="24" t="n">
        <v>0</v>
      </c>
    </row>
    <row r="2036" customFormat="false" ht="15" hidden="false" customHeight="false" outlineLevel="0" collapsed="false">
      <c r="A2036" s="3" t="n">
        <v>2035</v>
      </c>
      <c r="B2036" s="3" t="n">
        <v>2034</v>
      </c>
      <c r="C2036" s="3" t="n">
        <v>2</v>
      </c>
      <c r="D2036" s="3" t="n">
        <v>16</v>
      </c>
      <c r="E2036" s="3" t="n">
        <v>18</v>
      </c>
      <c r="F2036" s="24" t="n">
        <v>0</v>
      </c>
    </row>
    <row r="2037" customFormat="false" ht="15" hidden="false" customHeight="false" outlineLevel="0" collapsed="false">
      <c r="A2037" s="3" t="n">
        <v>2036</v>
      </c>
      <c r="B2037" s="3" t="n">
        <v>2035</v>
      </c>
      <c r="C2037" s="3" t="n">
        <v>2</v>
      </c>
      <c r="D2037" s="3" t="n">
        <v>16</v>
      </c>
      <c r="E2037" s="3" t="n">
        <v>19</v>
      </c>
      <c r="F2037" s="24" t="n">
        <v>0</v>
      </c>
    </row>
    <row r="2038" customFormat="false" ht="15" hidden="false" customHeight="false" outlineLevel="0" collapsed="false">
      <c r="A2038" s="3" t="n">
        <v>2037</v>
      </c>
      <c r="B2038" s="3" t="n">
        <v>2036</v>
      </c>
      <c r="C2038" s="3" t="n">
        <v>2</v>
      </c>
      <c r="D2038" s="3" t="n">
        <v>16</v>
      </c>
      <c r="E2038" s="3" t="n">
        <v>20</v>
      </c>
      <c r="F2038" s="24" t="n">
        <v>0</v>
      </c>
    </row>
    <row r="2039" customFormat="false" ht="15" hidden="false" customHeight="false" outlineLevel="0" collapsed="false">
      <c r="A2039" s="3" t="n">
        <v>2038</v>
      </c>
      <c r="B2039" s="3" t="n">
        <v>2037</v>
      </c>
      <c r="C2039" s="3" t="n">
        <v>2</v>
      </c>
      <c r="D2039" s="3" t="n">
        <v>16</v>
      </c>
      <c r="E2039" s="3" t="n">
        <v>21</v>
      </c>
      <c r="F2039" s="24" t="n">
        <v>0</v>
      </c>
    </row>
    <row r="2040" customFormat="false" ht="15" hidden="false" customHeight="false" outlineLevel="0" collapsed="false">
      <c r="A2040" s="3" t="n">
        <v>2039</v>
      </c>
      <c r="B2040" s="3" t="n">
        <v>2038</v>
      </c>
      <c r="C2040" s="3" t="n">
        <v>2</v>
      </c>
      <c r="D2040" s="3" t="n">
        <v>16</v>
      </c>
      <c r="E2040" s="3" t="n">
        <v>22</v>
      </c>
      <c r="F2040" s="24" t="n">
        <v>0</v>
      </c>
    </row>
    <row r="2041" customFormat="false" ht="15" hidden="false" customHeight="false" outlineLevel="0" collapsed="false">
      <c r="A2041" s="3" t="n">
        <v>2040</v>
      </c>
      <c r="B2041" s="3" t="n">
        <v>2039</v>
      </c>
      <c r="C2041" s="3" t="n">
        <v>2</v>
      </c>
      <c r="D2041" s="3" t="n">
        <v>16</v>
      </c>
      <c r="E2041" s="3" t="n">
        <v>23</v>
      </c>
      <c r="F2041" s="24" t="n">
        <v>0</v>
      </c>
    </row>
    <row r="2042" customFormat="false" ht="15" hidden="false" customHeight="false" outlineLevel="0" collapsed="false">
      <c r="A2042" s="3" t="n">
        <v>2041</v>
      </c>
      <c r="B2042" s="3" t="n">
        <v>2040</v>
      </c>
      <c r="C2042" s="3" t="n">
        <v>2</v>
      </c>
      <c r="D2042" s="3" t="n">
        <v>16</v>
      </c>
      <c r="E2042" s="3" t="n">
        <v>24</v>
      </c>
      <c r="F2042" s="24" t="n">
        <v>0</v>
      </c>
    </row>
    <row r="2043" customFormat="false" ht="15" hidden="false" customHeight="false" outlineLevel="0" collapsed="false">
      <c r="A2043" s="3" t="n">
        <v>2042</v>
      </c>
      <c r="B2043" s="3" t="n">
        <v>2041</v>
      </c>
      <c r="C2043" s="3" t="n">
        <v>2</v>
      </c>
      <c r="D2043" s="3" t="n">
        <v>16</v>
      </c>
      <c r="E2043" s="3" t="n">
        <v>25</v>
      </c>
      <c r="F2043" s="24" t="n">
        <v>0</v>
      </c>
    </row>
    <row r="2044" customFormat="false" ht="15" hidden="false" customHeight="false" outlineLevel="0" collapsed="false">
      <c r="A2044" s="3" t="n">
        <v>2043</v>
      </c>
      <c r="B2044" s="3" t="n">
        <v>2042</v>
      </c>
      <c r="C2044" s="3" t="n">
        <v>2</v>
      </c>
      <c r="D2044" s="3" t="n">
        <v>16</v>
      </c>
      <c r="E2044" s="3" t="n">
        <v>26</v>
      </c>
      <c r="F2044" s="24" t="n">
        <v>0</v>
      </c>
    </row>
    <row r="2045" customFormat="false" ht="15" hidden="false" customHeight="false" outlineLevel="0" collapsed="false">
      <c r="A2045" s="3" t="n">
        <v>2044</v>
      </c>
      <c r="B2045" s="3" t="n">
        <v>2043</v>
      </c>
      <c r="C2045" s="3" t="n">
        <v>2</v>
      </c>
      <c r="D2045" s="3" t="n">
        <v>16</v>
      </c>
      <c r="E2045" s="3" t="n">
        <v>27</v>
      </c>
      <c r="F2045" s="24" t="n">
        <v>0.387737483</v>
      </c>
    </row>
    <row r="2046" customFormat="false" ht="15" hidden="false" customHeight="false" outlineLevel="0" collapsed="false">
      <c r="A2046" s="3" t="n">
        <v>2045</v>
      </c>
      <c r="B2046" s="3" t="n">
        <v>2044</v>
      </c>
      <c r="C2046" s="3" t="n">
        <v>2</v>
      </c>
      <c r="D2046" s="3" t="n">
        <v>17</v>
      </c>
      <c r="E2046" s="3" t="n">
        <v>0</v>
      </c>
      <c r="F2046" s="24" t="n">
        <v>0</v>
      </c>
    </row>
    <row r="2047" customFormat="false" ht="15" hidden="false" customHeight="false" outlineLevel="0" collapsed="false">
      <c r="A2047" s="3" t="n">
        <v>2046</v>
      </c>
      <c r="B2047" s="3" t="n">
        <v>2045</v>
      </c>
      <c r="C2047" s="3" t="n">
        <v>2</v>
      </c>
      <c r="D2047" s="3" t="n">
        <v>17</v>
      </c>
      <c r="E2047" s="3" t="n">
        <v>1</v>
      </c>
      <c r="F2047" s="24" t="n">
        <v>0</v>
      </c>
    </row>
    <row r="2048" customFormat="false" ht="15" hidden="false" customHeight="false" outlineLevel="0" collapsed="false">
      <c r="A2048" s="3" t="n">
        <v>2047</v>
      </c>
      <c r="B2048" s="3" t="n">
        <v>2046</v>
      </c>
      <c r="C2048" s="3" t="n">
        <v>2</v>
      </c>
      <c r="D2048" s="3" t="n">
        <v>17</v>
      </c>
      <c r="E2048" s="3" t="n">
        <v>2</v>
      </c>
      <c r="F2048" s="24" t="n">
        <v>0</v>
      </c>
    </row>
    <row r="2049" customFormat="false" ht="15" hidden="false" customHeight="false" outlineLevel="0" collapsed="false">
      <c r="A2049" s="3" t="n">
        <v>2048</v>
      </c>
      <c r="B2049" s="3" t="n">
        <v>2047</v>
      </c>
      <c r="C2049" s="3" t="n">
        <v>2</v>
      </c>
      <c r="D2049" s="3" t="n">
        <v>17</v>
      </c>
      <c r="E2049" s="3" t="n">
        <v>3</v>
      </c>
      <c r="F2049" s="24" t="n">
        <v>0</v>
      </c>
    </row>
    <row r="2050" customFormat="false" ht="15" hidden="false" customHeight="false" outlineLevel="0" collapsed="false">
      <c r="A2050" s="3" t="n">
        <v>2049</v>
      </c>
      <c r="B2050" s="3" t="n">
        <v>2048</v>
      </c>
      <c r="C2050" s="3" t="n">
        <v>2</v>
      </c>
      <c r="D2050" s="3" t="n">
        <v>17</v>
      </c>
      <c r="E2050" s="3" t="n">
        <v>4</v>
      </c>
      <c r="F2050" s="24" t="n">
        <v>0</v>
      </c>
    </row>
    <row r="2051" customFormat="false" ht="15" hidden="false" customHeight="false" outlineLevel="0" collapsed="false">
      <c r="A2051" s="3" t="n">
        <v>2050</v>
      </c>
      <c r="B2051" s="3" t="n">
        <v>2049</v>
      </c>
      <c r="C2051" s="3" t="n">
        <v>2</v>
      </c>
      <c r="D2051" s="3" t="n">
        <v>17</v>
      </c>
      <c r="E2051" s="3" t="n">
        <v>5</v>
      </c>
      <c r="F2051" s="24" t="n">
        <v>0</v>
      </c>
    </row>
    <row r="2052" customFormat="false" ht="15" hidden="false" customHeight="false" outlineLevel="0" collapsed="false">
      <c r="A2052" s="3" t="n">
        <v>2051</v>
      </c>
      <c r="B2052" s="3" t="n">
        <v>2050</v>
      </c>
      <c r="C2052" s="3" t="n">
        <v>2</v>
      </c>
      <c r="D2052" s="3" t="n">
        <v>17</v>
      </c>
      <c r="E2052" s="3" t="n">
        <v>6</v>
      </c>
      <c r="F2052" s="24" t="n">
        <v>0</v>
      </c>
    </row>
    <row r="2053" customFormat="false" ht="15" hidden="false" customHeight="false" outlineLevel="0" collapsed="false">
      <c r="A2053" s="3" t="n">
        <v>2052</v>
      </c>
      <c r="B2053" s="3" t="n">
        <v>2051</v>
      </c>
      <c r="C2053" s="3" t="n">
        <v>2</v>
      </c>
      <c r="D2053" s="3" t="n">
        <v>17</v>
      </c>
      <c r="E2053" s="3" t="n">
        <v>7</v>
      </c>
      <c r="F2053" s="24" t="n">
        <v>0</v>
      </c>
    </row>
    <row r="2054" customFormat="false" ht="15" hidden="false" customHeight="false" outlineLevel="0" collapsed="false">
      <c r="A2054" s="3" t="n">
        <v>2053</v>
      </c>
      <c r="B2054" s="3" t="n">
        <v>2052</v>
      </c>
      <c r="C2054" s="3" t="n">
        <v>2</v>
      </c>
      <c r="D2054" s="3" t="n">
        <v>17</v>
      </c>
      <c r="E2054" s="3" t="n">
        <v>8</v>
      </c>
      <c r="F2054" s="24" t="n">
        <v>0</v>
      </c>
    </row>
    <row r="2055" customFormat="false" ht="15" hidden="false" customHeight="false" outlineLevel="0" collapsed="false">
      <c r="A2055" s="3" t="n">
        <v>2054</v>
      </c>
      <c r="B2055" s="3" t="n">
        <v>2053</v>
      </c>
      <c r="C2055" s="3" t="n">
        <v>2</v>
      </c>
      <c r="D2055" s="3" t="n">
        <v>17</v>
      </c>
      <c r="E2055" s="3" t="n">
        <v>9</v>
      </c>
      <c r="F2055" s="24" t="n">
        <v>0</v>
      </c>
    </row>
    <row r="2056" customFormat="false" ht="15" hidden="false" customHeight="false" outlineLevel="0" collapsed="false">
      <c r="A2056" s="3" t="n">
        <v>2055</v>
      </c>
      <c r="B2056" s="3" t="n">
        <v>2054</v>
      </c>
      <c r="C2056" s="3" t="n">
        <v>2</v>
      </c>
      <c r="D2056" s="3" t="n">
        <v>17</v>
      </c>
      <c r="E2056" s="3" t="n">
        <v>10</v>
      </c>
      <c r="F2056" s="24" t="n">
        <v>0</v>
      </c>
    </row>
    <row r="2057" customFormat="false" ht="15" hidden="false" customHeight="false" outlineLevel="0" collapsed="false">
      <c r="A2057" s="3" t="n">
        <v>2056</v>
      </c>
      <c r="B2057" s="3" t="n">
        <v>2055</v>
      </c>
      <c r="C2057" s="3" t="n">
        <v>2</v>
      </c>
      <c r="D2057" s="3" t="n">
        <v>17</v>
      </c>
      <c r="E2057" s="3" t="n">
        <v>11</v>
      </c>
      <c r="F2057" s="24" t="n">
        <v>0</v>
      </c>
    </row>
    <row r="2058" customFormat="false" ht="15" hidden="false" customHeight="false" outlineLevel="0" collapsed="false">
      <c r="A2058" s="3" t="n">
        <v>2057</v>
      </c>
      <c r="B2058" s="3" t="n">
        <v>2056</v>
      </c>
      <c r="C2058" s="3" t="n">
        <v>2</v>
      </c>
      <c r="D2058" s="3" t="n">
        <v>17</v>
      </c>
      <c r="E2058" s="3" t="n">
        <v>12</v>
      </c>
      <c r="F2058" s="24" t="n">
        <v>0</v>
      </c>
    </row>
    <row r="2059" customFormat="false" ht="15" hidden="false" customHeight="false" outlineLevel="0" collapsed="false">
      <c r="A2059" s="3" t="n">
        <v>2058</v>
      </c>
      <c r="B2059" s="3" t="n">
        <v>2057</v>
      </c>
      <c r="C2059" s="3" t="n">
        <v>2</v>
      </c>
      <c r="D2059" s="3" t="n">
        <v>17</v>
      </c>
      <c r="E2059" s="3" t="n">
        <v>13</v>
      </c>
      <c r="F2059" s="24" t="n">
        <v>0.233493835</v>
      </c>
    </row>
    <row r="2060" customFormat="false" ht="15" hidden="false" customHeight="false" outlineLevel="0" collapsed="false">
      <c r="A2060" s="3" t="n">
        <v>2059</v>
      </c>
      <c r="B2060" s="3" t="n">
        <v>2058</v>
      </c>
      <c r="C2060" s="3" t="n">
        <v>2</v>
      </c>
      <c r="D2060" s="3" t="n">
        <v>17</v>
      </c>
      <c r="E2060" s="3" t="n">
        <v>14</v>
      </c>
      <c r="F2060" s="24" t="n">
        <v>2.20372272</v>
      </c>
    </row>
    <row r="2061" customFormat="false" ht="15" hidden="false" customHeight="false" outlineLevel="0" collapsed="false">
      <c r="A2061" s="3" t="n">
        <v>2060</v>
      </c>
      <c r="B2061" s="3" t="n">
        <v>2059</v>
      </c>
      <c r="C2061" s="3" t="n">
        <v>2</v>
      </c>
      <c r="D2061" s="3" t="n">
        <v>17</v>
      </c>
      <c r="E2061" s="3" t="n">
        <v>15</v>
      </c>
      <c r="F2061" s="24" t="n">
        <v>3.60113716</v>
      </c>
    </row>
    <row r="2062" customFormat="false" ht="15" hidden="false" customHeight="false" outlineLevel="0" collapsed="false">
      <c r="A2062" s="3" t="n">
        <v>2061</v>
      </c>
      <c r="B2062" s="3" t="n">
        <v>2060</v>
      </c>
      <c r="C2062" s="3" t="n">
        <v>2</v>
      </c>
      <c r="D2062" s="3" t="n">
        <v>17</v>
      </c>
      <c r="E2062" s="3" t="n">
        <v>16</v>
      </c>
      <c r="F2062" s="24" t="n">
        <v>0.155732781</v>
      </c>
    </row>
    <row r="2063" customFormat="false" ht="15" hidden="false" customHeight="false" outlineLevel="0" collapsed="false">
      <c r="A2063" s="3" t="n">
        <v>2062</v>
      </c>
      <c r="B2063" s="3" t="n">
        <v>2061</v>
      </c>
      <c r="C2063" s="3" t="n">
        <v>2</v>
      </c>
      <c r="D2063" s="3" t="n">
        <v>17</v>
      </c>
      <c r="E2063" s="3" t="n">
        <v>17</v>
      </c>
      <c r="F2063" s="24" t="n">
        <v>0</v>
      </c>
    </row>
    <row r="2064" customFormat="false" ht="15" hidden="false" customHeight="false" outlineLevel="0" collapsed="false">
      <c r="A2064" s="3" t="n">
        <v>2063</v>
      </c>
      <c r="B2064" s="3" t="n">
        <v>2062</v>
      </c>
      <c r="C2064" s="3" t="n">
        <v>2</v>
      </c>
      <c r="D2064" s="3" t="n">
        <v>17</v>
      </c>
      <c r="E2064" s="3" t="n">
        <v>18</v>
      </c>
      <c r="F2064" s="24" t="n">
        <v>0</v>
      </c>
    </row>
    <row r="2065" customFormat="false" ht="15" hidden="false" customHeight="false" outlineLevel="0" collapsed="false">
      <c r="A2065" s="3" t="n">
        <v>2064</v>
      </c>
      <c r="B2065" s="3" t="n">
        <v>2063</v>
      </c>
      <c r="C2065" s="3" t="n">
        <v>2</v>
      </c>
      <c r="D2065" s="3" t="n">
        <v>17</v>
      </c>
      <c r="E2065" s="3" t="n">
        <v>19</v>
      </c>
      <c r="F2065" s="24" t="n">
        <v>0</v>
      </c>
    </row>
    <row r="2066" customFormat="false" ht="15" hidden="false" customHeight="false" outlineLevel="0" collapsed="false">
      <c r="A2066" s="3" t="n">
        <v>2065</v>
      </c>
      <c r="B2066" s="3" t="n">
        <v>2064</v>
      </c>
      <c r="C2066" s="3" t="n">
        <v>2</v>
      </c>
      <c r="D2066" s="3" t="n">
        <v>17</v>
      </c>
      <c r="E2066" s="3" t="n">
        <v>20</v>
      </c>
      <c r="F2066" s="24" t="n">
        <v>0</v>
      </c>
    </row>
    <row r="2067" customFormat="false" ht="15" hidden="false" customHeight="false" outlineLevel="0" collapsed="false">
      <c r="A2067" s="3" t="n">
        <v>2066</v>
      </c>
      <c r="B2067" s="3" t="n">
        <v>2065</v>
      </c>
      <c r="C2067" s="3" t="n">
        <v>2</v>
      </c>
      <c r="D2067" s="3" t="n">
        <v>17</v>
      </c>
      <c r="E2067" s="3" t="n">
        <v>21</v>
      </c>
      <c r="F2067" s="24" t="n">
        <v>0</v>
      </c>
    </row>
    <row r="2068" customFormat="false" ht="15" hidden="false" customHeight="false" outlineLevel="0" collapsed="false">
      <c r="A2068" s="3" t="n">
        <v>2067</v>
      </c>
      <c r="B2068" s="3" t="n">
        <v>2066</v>
      </c>
      <c r="C2068" s="3" t="n">
        <v>2</v>
      </c>
      <c r="D2068" s="3" t="n">
        <v>17</v>
      </c>
      <c r="E2068" s="3" t="n">
        <v>22</v>
      </c>
      <c r="F2068" s="24" t="n">
        <v>0</v>
      </c>
    </row>
    <row r="2069" customFormat="false" ht="15" hidden="false" customHeight="false" outlineLevel="0" collapsed="false">
      <c r="A2069" s="3" t="n">
        <v>2068</v>
      </c>
      <c r="B2069" s="3" t="n">
        <v>2067</v>
      </c>
      <c r="C2069" s="3" t="n">
        <v>2</v>
      </c>
      <c r="D2069" s="3" t="n">
        <v>17</v>
      </c>
      <c r="E2069" s="3" t="n">
        <v>23</v>
      </c>
      <c r="F2069" s="24" t="n">
        <v>0</v>
      </c>
    </row>
    <row r="2070" customFormat="false" ht="15" hidden="false" customHeight="false" outlineLevel="0" collapsed="false">
      <c r="A2070" s="3" t="n">
        <v>2069</v>
      </c>
      <c r="B2070" s="3" t="n">
        <v>2068</v>
      </c>
      <c r="C2070" s="3" t="n">
        <v>2</v>
      </c>
      <c r="D2070" s="3" t="n">
        <v>17</v>
      </c>
      <c r="E2070" s="3" t="n">
        <v>24</v>
      </c>
      <c r="F2070" s="24" t="n">
        <v>0</v>
      </c>
    </row>
    <row r="2071" customFormat="false" ht="15" hidden="false" customHeight="false" outlineLevel="0" collapsed="false">
      <c r="A2071" s="3" t="n">
        <v>2070</v>
      </c>
      <c r="B2071" s="3" t="n">
        <v>2069</v>
      </c>
      <c r="C2071" s="3" t="n">
        <v>2</v>
      </c>
      <c r="D2071" s="3" t="n">
        <v>17</v>
      </c>
      <c r="E2071" s="3" t="n">
        <v>25</v>
      </c>
      <c r="F2071" s="24" t="n">
        <v>0</v>
      </c>
    </row>
    <row r="2072" customFormat="false" ht="15" hidden="false" customHeight="false" outlineLevel="0" collapsed="false">
      <c r="A2072" s="3" t="n">
        <v>2071</v>
      </c>
      <c r="B2072" s="3" t="n">
        <v>2070</v>
      </c>
      <c r="C2072" s="3" t="n">
        <v>2</v>
      </c>
      <c r="D2072" s="3" t="n">
        <v>17</v>
      </c>
      <c r="E2072" s="3" t="n">
        <v>26</v>
      </c>
      <c r="F2072" s="24" t="n">
        <v>0</v>
      </c>
    </row>
    <row r="2073" customFormat="false" ht="15" hidden="false" customHeight="false" outlineLevel="0" collapsed="false">
      <c r="A2073" s="3" t="n">
        <v>2072</v>
      </c>
      <c r="B2073" s="3" t="n">
        <v>2071</v>
      </c>
      <c r="C2073" s="3" t="n">
        <v>2</v>
      </c>
      <c r="D2073" s="3" t="n">
        <v>17</v>
      </c>
      <c r="E2073" s="3" t="n">
        <v>27</v>
      </c>
      <c r="F2073" s="24" t="n">
        <v>0.387737483</v>
      </c>
    </row>
    <row r="2074" customFormat="false" ht="15" hidden="false" customHeight="false" outlineLevel="0" collapsed="false">
      <c r="A2074" s="3" t="n">
        <v>2073</v>
      </c>
      <c r="B2074" s="3" t="n">
        <v>2072</v>
      </c>
      <c r="C2074" s="3" t="n">
        <v>2</v>
      </c>
      <c r="D2074" s="3" t="n">
        <v>18</v>
      </c>
      <c r="E2074" s="3" t="n">
        <v>0</v>
      </c>
      <c r="F2074" s="24" t="n">
        <v>0</v>
      </c>
    </row>
    <row r="2075" customFormat="false" ht="15" hidden="false" customHeight="false" outlineLevel="0" collapsed="false">
      <c r="A2075" s="3" t="n">
        <v>2074</v>
      </c>
      <c r="B2075" s="3" t="n">
        <v>2073</v>
      </c>
      <c r="C2075" s="3" t="n">
        <v>2</v>
      </c>
      <c r="D2075" s="3" t="n">
        <v>18</v>
      </c>
      <c r="E2075" s="3" t="n">
        <v>1</v>
      </c>
      <c r="F2075" s="24" t="n">
        <v>0</v>
      </c>
    </row>
    <row r="2076" customFormat="false" ht="15" hidden="false" customHeight="false" outlineLevel="0" collapsed="false">
      <c r="A2076" s="3" t="n">
        <v>2075</v>
      </c>
      <c r="B2076" s="3" t="n">
        <v>2074</v>
      </c>
      <c r="C2076" s="3" t="n">
        <v>2</v>
      </c>
      <c r="D2076" s="3" t="n">
        <v>18</v>
      </c>
      <c r="E2076" s="3" t="n">
        <v>2</v>
      </c>
      <c r="F2076" s="24" t="n">
        <v>0</v>
      </c>
    </row>
    <row r="2077" customFormat="false" ht="15" hidden="false" customHeight="false" outlineLevel="0" collapsed="false">
      <c r="A2077" s="3" t="n">
        <v>2076</v>
      </c>
      <c r="B2077" s="3" t="n">
        <v>2075</v>
      </c>
      <c r="C2077" s="3" t="n">
        <v>2</v>
      </c>
      <c r="D2077" s="3" t="n">
        <v>18</v>
      </c>
      <c r="E2077" s="3" t="n">
        <v>3</v>
      </c>
      <c r="F2077" s="24" t="n">
        <v>0</v>
      </c>
    </row>
    <row r="2078" customFormat="false" ht="15" hidden="false" customHeight="false" outlineLevel="0" collapsed="false">
      <c r="A2078" s="3" t="n">
        <v>2077</v>
      </c>
      <c r="B2078" s="3" t="n">
        <v>2076</v>
      </c>
      <c r="C2078" s="3" t="n">
        <v>2</v>
      </c>
      <c r="D2078" s="3" t="n">
        <v>18</v>
      </c>
      <c r="E2078" s="3" t="n">
        <v>4</v>
      </c>
      <c r="F2078" s="24" t="n">
        <v>0</v>
      </c>
    </row>
    <row r="2079" customFormat="false" ht="15" hidden="false" customHeight="false" outlineLevel="0" collapsed="false">
      <c r="A2079" s="3" t="n">
        <v>2078</v>
      </c>
      <c r="B2079" s="3" t="n">
        <v>2077</v>
      </c>
      <c r="C2079" s="3" t="n">
        <v>2</v>
      </c>
      <c r="D2079" s="3" t="n">
        <v>18</v>
      </c>
      <c r="E2079" s="3" t="n">
        <v>5</v>
      </c>
      <c r="F2079" s="24" t="n">
        <v>0</v>
      </c>
    </row>
    <row r="2080" customFormat="false" ht="15" hidden="false" customHeight="false" outlineLevel="0" collapsed="false">
      <c r="A2080" s="3" t="n">
        <v>2079</v>
      </c>
      <c r="B2080" s="3" t="n">
        <v>2078</v>
      </c>
      <c r="C2080" s="3" t="n">
        <v>2</v>
      </c>
      <c r="D2080" s="3" t="n">
        <v>18</v>
      </c>
      <c r="E2080" s="3" t="n">
        <v>6</v>
      </c>
      <c r="F2080" s="24" t="n">
        <v>0</v>
      </c>
    </row>
    <row r="2081" customFormat="false" ht="15" hidden="false" customHeight="false" outlineLevel="0" collapsed="false">
      <c r="A2081" s="3" t="n">
        <v>2080</v>
      </c>
      <c r="B2081" s="3" t="n">
        <v>2079</v>
      </c>
      <c r="C2081" s="3" t="n">
        <v>2</v>
      </c>
      <c r="D2081" s="3" t="n">
        <v>18</v>
      </c>
      <c r="E2081" s="3" t="n">
        <v>7</v>
      </c>
      <c r="F2081" s="24" t="n">
        <v>0</v>
      </c>
    </row>
    <row r="2082" customFormat="false" ht="15" hidden="false" customHeight="false" outlineLevel="0" collapsed="false">
      <c r="A2082" s="3" t="n">
        <v>2081</v>
      </c>
      <c r="B2082" s="3" t="n">
        <v>2080</v>
      </c>
      <c r="C2082" s="3" t="n">
        <v>2</v>
      </c>
      <c r="D2082" s="3" t="n">
        <v>18</v>
      </c>
      <c r="E2082" s="3" t="n">
        <v>8</v>
      </c>
      <c r="F2082" s="24" t="n">
        <v>0</v>
      </c>
    </row>
    <row r="2083" customFormat="false" ht="15" hidden="false" customHeight="false" outlineLevel="0" collapsed="false">
      <c r="A2083" s="3" t="n">
        <v>2082</v>
      </c>
      <c r="B2083" s="3" t="n">
        <v>2081</v>
      </c>
      <c r="C2083" s="3" t="n">
        <v>2</v>
      </c>
      <c r="D2083" s="3" t="n">
        <v>18</v>
      </c>
      <c r="E2083" s="3" t="n">
        <v>9</v>
      </c>
      <c r="F2083" s="24" t="n">
        <v>0</v>
      </c>
    </row>
    <row r="2084" customFormat="false" ht="15" hidden="false" customHeight="false" outlineLevel="0" collapsed="false">
      <c r="A2084" s="3" t="n">
        <v>2083</v>
      </c>
      <c r="B2084" s="3" t="n">
        <v>2082</v>
      </c>
      <c r="C2084" s="3" t="n">
        <v>2</v>
      </c>
      <c r="D2084" s="3" t="n">
        <v>18</v>
      </c>
      <c r="E2084" s="3" t="n">
        <v>10</v>
      </c>
      <c r="F2084" s="24" t="n">
        <v>0</v>
      </c>
    </row>
    <row r="2085" customFormat="false" ht="15" hidden="false" customHeight="false" outlineLevel="0" collapsed="false">
      <c r="A2085" s="3" t="n">
        <v>2084</v>
      </c>
      <c r="B2085" s="3" t="n">
        <v>2083</v>
      </c>
      <c r="C2085" s="3" t="n">
        <v>2</v>
      </c>
      <c r="D2085" s="3" t="n">
        <v>18</v>
      </c>
      <c r="E2085" s="3" t="n">
        <v>11</v>
      </c>
      <c r="F2085" s="24" t="n">
        <v>0</v>
      </c>
    </row>
    <row r="2086" customFormat="false" ht="15" hidden="false" customHeight="false" outlineLevel="0" collapsed="false">
      <c r="A2086" s="3" t="n">
        <v>2085</v>
      </c>
      <c r="B2086" s="3" t="n">
        <v>2084</v>
      </c>
      <c r="C2086" s="3" t="n">
        <v>2</v>
      </c>
      <c r="D2086" s="3" t="n">
        <v>18</v>
      </c>
      <c r="E2086" s="3" t="n">
        <v>12</v>
      </c>
      <c r="F2086" s="24" t="n">
        <v>0.00108155608</v>
      </c>
    </row>
    <row r="2087" customFormat="false" ht="15" hidden="false" customHeight="false" outlineLevel="0" collapsed="false">
      <c r="A2087" s="3" t="n">
        <v>2086</v>
      </c>
      <c r="B2087" s="3" t="n">
        <v>2085</v>
      </c>
      <c r="C2087" s="3" t="n">
        <v>2</v>
      </c>
      <c r="D2087" s="3" t="n">
        <v>18</v>
      </c>
      <c r="E2087" s="3" t="n">
        <v>13</v>
      </c>
      <c r="F2087" s="24" t="n">
        <v>1.47832322</v>
      </c>
    </row>
    <row r="2088" customFormat="false" ht="15" hidden="false" customHeight="false" outlineLevel="0" collapsed="false">
      <c r="A2088" s="3" t="n">
        <v>2087</v>
      </c>
      <c r="B2088" s="3" t="n">
        <v>2086</v>
      </c>
      <c r="C2088" s="3" t="n">
        <v>2</v>
      </c>
      <c r="D2088" s="3" t="n">
        <v>18</v>
      </c>
      <c r="E2088" s="3" t="n">
        <v>14</v>
      </c>
      <c r="F2088" s="24" t="n">
        <v>3.75032115</v>
      </c>
    </row>
    <row r="2089" customFormat="false" ht="15" hidden="false" customHeight="false" outlineLevel="0" collapsed="false">
      <c r="A2089" s="3" t="n">
        <v>2088</v>
      </c>
      <c r="B2089" s="3" t="n">
        <v>2087</v>
      </c>
      <c r="C2089" s="3" t="n">
        <v>2</v>
      </c>
      <c r="D2089" s="3" t="n">
        <v>18</v>
      </c>
      <c r="E2089" s="3" t="n">
        <v>15</v>
      </c>
      <c r="F2089" s="24" t="n">
        <v>1.73494422</v>
      </c>
    </row>
    <row r="2090" customFormat="false" ht="15" hidden="false" customHeight="false" outlineLevel="0" collapsed="false">
      <c r="A2090" s="3" t="n">
        <v>2089</v>
      </c>
      <c r="B2090" s="3" t="n">
        <v>2088</v>
      </c>
      <c r="C2090" s="3" t="n">
        <v>2</v>
      </c>
      <c r="D2090" s="3" t="n">
        <v>18</v>
      </c>
      <c r="E2090" s="3" t="n">
        <v>16</v>
      </c>
      <c r="F2090" s="24" t="n">
        <v>0</v>
      </c>
    </row>
    <row r="2091" customFormat="false" ht="15" hidden="false" customHeight="false" outlineLevel="0" collapsed="false">
      <c r="A2091" s="3" t="n">
        <v>2090</v>
      </c>
      <c r="B2091" s="3" t="n">
        <v>2089</v>
      </c>
      <c r="C2091" s="3" t="n">
        <v>2</v>
      </c>
      <c r="D2091" s="3" t="n">
        <v>18</v>
      </c>
      <c r="E2091" s="3" t="n">
        <v>17</v>
      </c>
      <c r="F2091" s="24" t="n">
        <v>0</v>
      </c>
    </row>
    <row r="2092" customFormat="false" ht="15" hidden="false" customHeight="false" outlineLevel="0" collapsed="false">
      <c r="A2092" s="3" t="n">
        <v>2091</v>
      </c>
      <c r="B2092" s="3" t="n">
        <v>2090</v>
      </c>
      <c r="C2092" s="3" t="n">
        <v>2</v>
      </c>
      <c r="D2092" s="3" t="n">
        <v>18</v>
      </c>
      <c r="E2092" s="3" t="n">
        <v>18</v>
      </c>
      <c r="F2092" s="24" t="n">
        <v>0</v>
      </c>
    </row>
    <row r="2093" customFormat="false" ht="15" hidden="false" customHeight="false" outlineLevel="0" collapsed="false">
      <c r="A2093" s="3" t="n">
        <v>2092</v>
      </c>
      <c r="B2093" s="3" t="n">
        <v>2091</v>
      </c>
      <c r="C2093" s="3" t="n">
        <v>2</v>
      </c>
      <c r="D2093" s="3" t="n">
        <v>18</v>
      </c>
      <c r="E2093" s="3" t="n">
        <v>19</v>
      </c>
      <c r="F2093" s="24" t="n">
        <v>0</v>
      </c>
    </row>
    <row r="2094" customFormat="false" ht="15" hidden="false" customHeight="false" outlineLevel="0" collapsed="false">
      <c r="A2094" s="3" t="n">
        <v>2093</v>
      </c>
      <c r="B2094" s="3" t="n">
        <v>2092</v>
      </c>
      <c r="C2094" s="3" t="n">
        <v>2</v>
      </c>
      <c r="D2094" s="3" t="n">
        <v>18</v>
      </c>
      <c r="E2094" s="3" t="n">
        <v>20</v>
      </c>
      <c r="F2094" s="24" t="n">
        <v>0</v>
      </c>
    </row>
    <row r="2095" customFormat="false" ht="15" hidden="false" customHeight="false" outlineLevel="0" collapsed="false">
      <c r="A2095" s="3" t="n">
        <v>2094</v>
      </c>
      <c r="B2095" s="3" t="n">
        <v>2093</v>
      </c>
      <c r="C2095" s="3" t="n">
        <v>2</v>
      </c>
      <c r="D2095" s="3" t="n">
        <v>18</v>
      </c>
      <c r="E2095" s="3" t="n">
        <v>21</v>
      </c>
      <c r="F2095" s="24" t="n">
        <v>0</v>
      </c>
    </row>
    <row r="2096" customFormat="false" ht="15" hidden="false" customHeight="false" outlineLevel="0" collapsed="false">
      <c r="A2096" s="3" t="n">
        <v>2095</v>
      </c>
      <c r="B2096" s="3" t="n">
        <v>2094</v>
      </c>
      <c r="C2096" s="3" t="n">
        <v>2</v>
      </c>
      <c r="D2096" s="3" t="n">
        <v>18</v>
      </c>
      <c r="E2096" s="3" t="n">
        <v>22</v>
      </c>
      <c r="F2096" s="24" t="n">
        <v>0</v>
      </c>
    </row>
    <row r="2097" customFormat="false" ht="15" hidden="false" customHeight="false" outlineLevel="0" collapsed="false">
      <c r="A2097" s="3" t="n">
        <v>2096</v>
      </c>
      <c r="B2097" s="3" t="n">
        <v>2095</v>
      </c>
      <c r="C2097" s="3" t="n">
        <v>2</v>
      </c>
      <c r="D2097" s="3" t="n">
        <v>18</v>
      </c>
      <c r="E2097" s="3" t="n">
        <v>23</v>
      </c>
      <c r="F2097" s="24" t="n">
        <v>0</v>
      </c>
    </row>
    <row r="2098" customFormat="false" ht="15" hidden="false" customHeight="false" outlineLevel="0" collapsed="false">
      <c r="A2098" s="3" t="n">
        <v>2097</v>
      </c>
      <c r="B2098" s="3" t="n">
        <v>2096</v>
      </c>
      <c r="C2098" s="3" t="n">
        <v>2</v>
      </c>
      <c r="D2098" s="3" t="n">
        <v>18</v>
      </c>
      <c r="E2098" s="3" t="n">
        <v>24</v>
      </c>
      <c r="F2098" s="24" t="n">
        <v>0</v>
      </c>
    </row>
    <row r="2099" customFormat="false" ht="15" hidden="false" customHeight="false" outlineLevel="0" collapsed="false">
      <c r="A2099" s="3" t="n">
        <v>2098</v>
      </c>
      <c r="B2099" s="3" t="n">
        <v>2097</v>
      </c>
      <c r="C2099" s="3" t="n">
        <v>2</v>
      </c>
      <c r="D2099" s="3" t="n">
        <v>18</v>
      </c>
      <c r="E2099" s="3" t="n">
        <v>25</v>
      </c>
      <c r="F2099" s="24" t="n">
        <v>0</v>
      </c>
    </row>
    <row r="2100" customFormat="false" ht="15" hidden="false" customHeight="false" outlineLevel="0" collapsed="false">
      <c r="A2100" s="3" t="n">
        <v>2099</v>
      </c>
      <c r="B2100" s="3" t="n">
        <v>2098</v>
      </c>
      <c r="C2100" s="3" t="n">
        <v>2</v>
      </c>
      <c r="D2100" s="3" t="n">
        <v>18</v>
      </c>
      <c r="E2100" s="3" t="n">
        <v>26</v>
      </c>
      <c r="F2100" s="24" t="n">
        <v>0</v>
      </c>
    </row>
    <row r="2101" customFormat="false" ht="15" hidden="false" customHeight="false" outlineLevel="0" collapsed="false">
      <c r="A2101" s="3" t="n">
        <v>2100</v>
      </c>
      <c r="B2101" s="3" t="n">
        <v>2099</v>
      </c>
      <c r="C2101" s="3" t="n">
        <v>2</v>
      </c>
      <c r="D2101" s="3" t="n">
        <v>18</v>
      </c>
      <c r="E2101" s="3" t="n">
        <v>27</v>
      </c>
      <c r="F2101" s="24" t="n">
        <v>0.387737483</v>
      </c>
    </row>
    <row r="2102" customFormat="false" ht="15" hidden="false" customHeight="false" outlineLevel="0" collapsed="false">
      <c r="A2102" s="3" t="n">
        <v>2101</v>
      </c>
      <c r="B2102" s="3" t="n">
        <v>2100</v>
      </c>
      <c r="C2102" s="3" t="n">
        <v>2</v>
      </c>
      <c r="D2102" s="3" t="n">
        <v>19</v>
      </c>
      <c r="E2102" s="3" t="n">
        <v>0</v>
      </c>
      <c r="F2102" s="24" t="n">
        <v>0</v>
      </c>
    </row>
    <row r="2103" customFormat="false" ht="15" hidden="false" customHeight="false" outlineLevel="0" collapsed="false">
      <c r="A2103" s="3" t="n">
        <v>2102</v>
      </c>
      <c r="B2103" s="3" t="n">
        <v>2101</v>
      </c>
      <c r="C2103" s="3" t="n">
        <v>2</v>
      </c>
      <c r="D2103" s="3" t="n">
        <v>19</v>
      </c>
      <c r="E2103" s="3" t="n">
        <v>1</v>
      </c>
      <c r="F2103" s="24" t="n">
        <v>0</v>
      </c>
    </row>
    <row r="2104" customFormat="false" ht="15" hidden="false" customHeight="false" outlineLevel="0" collapsed="false">
      <c r="A2104" s="3" t="n">
        <v>2103</v>
      </c>
      <c r="B2104" s="3" t="n">
        <v>2102</v>
      </c>
      <c r="C2104" s="3" t="n">
        <v>2</v>
      </c>
      <c r="D2104" s="3" t="n">
        <v>19</v>
      </c>
      <c r="E2104" s="3" t="n">
        <v>2</v>
      </c>
      <c r="F2104" s="24" t="n">
        <v>0</v>
      </c>
    </row>
    <row r="2105" customFormat="false" ht="15" hidden="false" customHeight="false" outlineLevel="0" collapsed="false">
      <c r="A2105" s="3" t="n">
        <v>2104</v>
      </c>
      <c r="B2105" s="3" t="n">
        <v>2103</v>
      </c>
      <c r="C2105" s="3" t="n">
        <v>2</v>
      </c>
      <c r="D2105" s="3" t="n">
        <v>19</v>
      </c>
      <c r="E2105" s="3" t="n">
        <v>3</v>
      </c>
      <c r="F2105" s="24" t="n">
        <v>0</v>
      </c>
    </row>
    <row r="2106" customFormat="false" ht="15" hidden="false" customHeight="false" outlineLevel="0" collapsed="false">
      <c r="A2106" s="3" t="n">
        <v>2105</v>
      </c>
      <c r="B2106" s="3" t="n">
        <v>2104</v>
      </c>
      <c r="C2106" s="3" t="n">
        <v>2</v>
      </c>
      <c r="D2106" s="3" t="n">
        <v>19</v>
      </c>
      <c r="E2106" s="3" t="n">
        <v>4</v>
      </c>
      <c r="F2106" s="24" t="n">
        <v>0</v>
      </c>
    </row>
    <row r="2107" customFormat="false" ht="15" hidden="false" customHeight="false" outlineLevel="0" collapsed="false">
      <c r="A2107" s="3" t="n">
        <v>2106</v>
      </c>
      <c r="B2107" s="3" t="n">
        <v>2105</v>
      </c>
      <c r="C2107" s="3" t="n">
        <v>2</v>
      </c>
      <c r="D2107" s="3" t="n">
        <v>19</v>
      </c>
      <c r="E2107" s="3" t="n">
        <v>5</v>
      </c>
      <c r="F2107" s="24" t="n">
        <v>0</v>
      </c>
    </row>
    <row r="2108" customFormat="false" ht="15" hidden="false" customHeight="false" outlineLevel="0" collapsed="false">
      <c r="A2108" s="3" t="n">
        <v>2107</v>
      </c>
      <c r="B2108" s="3" t="n">
        <v>2106</v>
      </c>
      <c r="C2108" s="3" t="n">
        <v>2</v>
      </c>
      <c r="D2108" s="3" t="n">
        <v>19</v>
      </c>
      <c r="E2108" s="3" t="n">
        <v>6</v>
      </c>
      <c r="F2108" s="24" t="n">
        <v>0</v>
      </c>
    </row>
    <row r="2109" customFormat="false" ht="15" hidden="false" customHeight="false" outlineLevel="0" collapsed="false">
      <c r="A2109" s="3" t="n">
        <v>2108</v>
      </c>
      <c r="B2109" s="3" t="n">
        <v>2107</v>
      </c>
      <c r="C2109" s="3" t="n">
        <v>2</v>
      </c>
      <c r="D2109" s="3" t="n">
        <v>19</v>
      </c>
      <c r="E2109" s="3" t="n">
        <v>7</v>
      </c>
      <c r="F2109" s="24" t="n">
        <v>0</v>
      </c>
    </row>
    <row r="2110" customFormat="false" ht="15" hidden="false" customHeight="false" outlineLevel="0" collapsed="false">
      <c r="A2110" s="3" t="n">
        <v>2109</v>
      </c>
      <c r="B2110" s="3" t="n">
        <v>2108</v>
      </c>
      <c r="C2110" s="3" t="n">
        <v>2</v>
      </c>
      <c r="D2110" s="3" t="n">
        <v>19</v>
      </c>
      <c r="E2110" s="3" t="n">
        <v>8</v>
      </c>
      <c r="F2110" s="24" t="n">
        <v>0</v>
      </c>
    </row>
    <row r="2111" customFormat="false" ht="15" hidden="false" customHeight="false" outlineLevel="0" collapsed="false">
      <c r="A2111" s="3" t="n">
        <v>2110</v>
      </c>
      <c r="B2111" s="3" t="n">
        <v>2109</v>
      </c>
      <c r="C2111" s="3" t="n">
        <v>2</v>
      </c>
      <c r="D2111" s="3" t="n">
        <v>19</v>
      </c>
      <c r="E2111" s="3" t="n">
        <v>9</v>
      </c>
      <c r="F2111" s="24" t="n">
        <v>0</v>
      </c>
    </row>
    <row r="2112" customFormat="false" ht="15" hidden="false" customHeight="false" outlineLevel="0" collapsed="false">
      <c r="A2112" s="3" t="n">
        <v>2111</v>
      </c>
      <c r="B2112" s="3" t="n">
        <v>2110</v>
      </c>
      <c r="C2112" s="3" t="n">
        <v>2</v>
      </c>
      <c r="D2112" s="3" t="n">
        <v>19</v>
      </c>
      <c r="E2112" s="3" t="n">
        <v>10</v>
      </c>
      <c r="F2112" s="24" t="n">
        <v>0</v>
      </c>
    </row>
    <row r="2113" customFormat="false" ht="15" hidden="false" customHeight="false" outlineLevel="0" collapsed="false">
      <c r="A2113" s="3" t="n">
        <v>2112</v>
      </c>
      <c r="B2113" s="3" t="n">
        <v>2111</v>
      </c>
      <c r="C2113" s="3" t="n">
        <v>2</v>
      </c>
      <c r="D2113" s="3" t="n">
        <v>19</v>
      </c>
      <c r="E2113" s="3" t="n">
        <v>11</v>
      </c>
      <c r="F2113" s="24" t="n">
        <v>0</v>
      </c>
    </row>
    <row r="2114" customFormat="false" ht="15" hidden="false" customHeight="false" outlineLevel="0" collapsed="false">
      <c r="A2114" s="3" t="n">
        <v>2113</v>
      </c>
      <c r="B2114" s="3" t="n">
        <v>2112</v>
      </c>
      <c r="C2114" s="3" t="n">
        <v>2</v>
      </c>
      <c r="D2114" s="3" t="n">
        <v>19</v>
      </c>
      <c r="E2114" s="3" t="n">
        <v>12</v>
      </c>
      <c r="F2114" s="24" t="n">
        <v>0.920389295</v>
      </c>
    </row>
    <row r="2115" customFormat="false" ht="15" hidden="false" customHeight="false" outlineLevel="0" collapsed="false">
      <c r="A2115" s="3" t="n">
        <v>2114</v>
      </c>
      <c r="B2115" s="3" t="n">
        <v>2113</v>
      </c>
      <c r="C2115" s="3" t="n">
        <v>2</v>
      </c>
      <c r="D2115" s="3" t="n">
        <v>19</v>
      </c>
      <c r="E2115" s="3" t="n">
        <v>13</v>
      </c>
      <c r="F2115" s="24" t="n">
        <v>3.49018049</v>
      </c>
    </row>
    <row r="2116" customFormat="false" ht="15" hidden="false" customHeight="false" outlineLevel="0" collapsed="false">
      <c r="A2116" s="3" t="n">
        <v>2115</v>
      </c>
      <c r="B2116" s="3" t="n">
        <v>2114</v>
      </c>
      <c r="C2116" s="3" t="n">
        <v>2</v>
      </c>
      <c r="D2116" s="3" t="n">
        <v>19</v>
      </c>
      <c r="E2116" s="3" t="n">
        <v>14</v>
      </c>
      <c r="F2116" s="24" t="n">
        <v>2.6171658</v>
      </c>
    </row>
    <row r="2117" customFormat="false" ht="15" hidden="false" customHeight="false" outlineLevel="0" collapsed="false">
      <c r="A2117" s="3" t="n">
        <v>2116</v>
      </c>
      <c r="B2117" s="3" t="n">
        <v>2115</v>
      </c>
      <c r="C2117" s="3" t="n">
        <v>2</v>
      </c>
      <c r="D2117" s="3" t="n">
        <v>19</v>
      </c>
      <c r="E2117" s="3" t="n">
        <v>15</v>
      </c>
      <c r="F2117" s="24" t="n">
        <v>0</v>
      </c>
    </row>
    <row r="2118" customFormat="false" ht="15" hidden="false" customHeight="false" outlineLevel="0" collapsed="false">
      <c r="A2118" s="3" t="n">
        <v>2117</v>
      </c>
      <c r="B2118" s="3" t="n">
        <v>2116</v>
      </c>
      <c r="C2118" s="3" t="n">
        <v>2</v>
      </c>
      <c r="D2118" s="3" t="n">
        <v>19</v>
      </c>
      <c r="E2118" s="3" t="n">
        <v>16</v>
      </c>
      <c r="F2118" s="24" t="n">
        <v>0</v>
      </c>
    </row>
    <row r="2119" customFormat="false" ht="15" hidden="false" customHeight="false" outlineLevel="0" collapsed="false">
      <c r="A2119" s="3" t="n">
        <v>2118</v>
      </c>
      <c r="B2119" s="3" t="n">
        <v>2117</v>
      </c>
      <c r="C2119" s="3" t="n">
        <v>2</v>
      </c>
      <c r="D2119" s="3" t="n">
        <v>19</v>
      </c>
      <c r="E2119" s="3" t="n">
        <v>17</v>
      </c>
      <c r="F2119" s="24" t="n">
        <v>0</v>
      </c>
    </row>
    <row r="2120" customFormat="false" ht="15" hidden="false" customHeight="false" outlineLevel="0" collapsed="false">
      <c r="A2120" s="3" t="n">
        <v>2119</v>
      </c>
      <c r="B2120" s="3" t="n">
        <v>2118</v>
      </c>
      <c r="C2120" s="3" t="n">
        <v>2</v>
      </c>
      <c r="D2120" s="3" t="n">
        <v>19</v>
      </c>
      <c r="E2120" s="3" t="n">
        <v>18</v>
      </c>
      <c r="F2120" s="24" t="n">
        <v>0</v>
      </c>
    </row>
    <row r="2121" customFormat="false" ht="15" hidden="false" customHeight="false" outlineLevel="0" collapsed="false">
      <c r="A2121" s="3" t="n">
        <v>2120</v>
      </c>
      <c r="B2121" s="3" t="n">
        <v>2119</v>
      </c>
      <c r="C2121" s="3" t="n">
        <v>2</v>
      </c>
      <c r="D2121" s="3" t="n">
        <v>19</v>
      </c>
      <c r="E2121" s="3" t="n">
        <v>19</v>
      </c>
      <c r="F2121" s="24" t="n">
        <v>0</v>
      </c>
    </row>
    <row r="2122" customFormat="false" ht="15" hidden="false" customHeight="false" outlineLevel="0" collapsed="false">
      <c r="A2122" s="3" t="n">
        <v>2121</v>
      </c>
      <c r="B2122" s="3" t="n">
        <v>2120</v>
      </c>
      <c r="C2122" s="3" t="n">
        <v>2</v>
      </c>
      <c r="D2122" s="3" t="n">
        <v>19</v>
      </c>
      <c r="E2122" s="3" t="n">
        <v>20</v>
      </c>
      <c r="F2122" s="24" t="n">
        <v>0</v>
      </c>
    </row>
    <row r="2123" customFormat="false" ht="15" hidden="false" customHeight="false" outlineLevel="0" collapsed="false">
      <c r="A2123" s="3" t="n">
        <v>2122</v>
      </c>
      <c r="B2123" s="3" t="n">
        <v>2121</v>
      </c>
      <c r="C2123" s="3" t="n">
        <v>2</v>
      </c>
      <c r="D2123" s="3" t="n">
        <v>19</v>
      </c>
      <c r="E2123" s="3" t="n">
        <v>21</v>
      </c>
      <c r="F2123" s="24" t="n">
        <v>0</v>
      </c>
    </row>
    <row r="2124" customFormat="false" ht="15" hidden="false" customHeight="false" outlineLevel="0" collapsed="false">
      <c r="A2124" s="3" t="n">
        <v>2123</v>
      </c>
      <c r="B2124" s="3" t="n">
        <v>2122</v>
      </c>
      <c r="C2124" s="3" t="n">
        <v>2</v>
      </c>
      <c r="D2124" s="3" t="n">
        <v>19</v>
      </c>
      <c r="E2124" s="3" t="n">
        <v>22</v>
      </c>
      <c r="F2124" s="24" t="n">
        <v>0</v>
      </c>
    </row>
    <row r="2125" customFormat="false" ht="15" hidden="false" customHeight="false" outlineLevel="0" collapsed="false">
      <c r="A2125" s="3" t="n">
        <v>2124</v>
      </c>
      <c r="B2125" s="3" t="n">
        <v>2123</v>
      </c>
      <c r="C2125" s="3" t="n">
        <v>2</v>
      </c>
      <c r="D2125" s="3" t="n">
        <v>19</v>
      </c>
      <c r="E2125" s="3" t="n">
        <v>23</v>
      </c>
      <c r="F2125" s="24" t="n">
        <v>0</v>
      </c>
    </row>
    <row r="2126" customFormat="false" ht="15" hidden="false" customHeight="false" outlineLevel="0" collapsed="false">
      <c r="A2126" s="3" t="n">
        <v>2125</v>
      </c>
      <c r="B2126" s="3" t="n">
        <v>2124</v>
      </c>
      <c r="C2126" s="3" t="n">
        <v>2</v>
      </c>
      <c r="D2126" s="3" t="n">
        <v>19</v>
      </c>
      <c r="E2126" s="3" t="n">
        <v>24</v>
      </c>
      <c r="F2126" s="24" t="n">
        <v>0</v>
      </c>
    </row>
    <row r="2127" customFormat="false" ht="15" hidden="false" customHeight="false" outlineLevel="0" collapsed="false">
      <c r="A2127" s="3" t="n">
        <v>2126</v>
      </c>
      <c r="B2127" s="3" t="n">
        <v>2125</v>
      </c>
      <c r="C2127" s="3" t="n">
        <v>2</v>
      </c>
      <c r="D2127" s="3" t="n">
        <v>19</v>
      </c>
      <c r="E2127" s="3" t="n">
        <v>25</v>
      </c>
      <c r="F2127" s="24" t="n">
        <v>0</v>
      </c>
    </row>
    <row r="2128" customFormat="false" ht="15" hidden="false" customHeight="false" outlineLevel="0" collapsed="false">
      <c r="A2128" s="3" t="n">
        <v>2127</v>
      </c>
      <c r="B2128" s="3" t="n">
        <v>2126</v>
      </c>
      <c r="C2128" s="3" t="n">
        <v>2</v>
      </c>
      <c r="D2128" s="3" t="n">
        <v>19</v>
      </c>
      <c r="E2128" s="3" t="n">
        <v>26</v>
      </c>
      <c r="F2128" s="24" t="n">
        <v>0</v>
      </c>
    </row>
    <row r="2129" customFormat="false" ht="15" hidden="false" customHeight="false" outlineLevel="0" collapsed="false">
      <c r="A2129" s="3" t="n">
        <v>2128</v>
      </c>
      <c r="B2129" s="3" t="n">
        <v>2127</v>
      </c>
      <c r="C2129" s="3" t="n">
        <v>2</v>
      </c>
      <c r="D2129" s="3" t="n">
        <v>19</v>
      </c>
      <c r="E2129" s="3" t="n">
        <v>27</v>
      </c>
      <c r="F2129" s="24" t="n">
        <v>0.387737483</v>
      </c>
    </row>
    <row r="2130" customFormat="false" ht="15" hidden="false" customHeight="false" outlineLevel="0" collapsed="false">
      <c r="A2130" s="3" t="n">
        <v>2129</v>
      </c>
      <c r="B2130" s="3" t="n">
        <v>2128</v>
      </c>
      <c r="C2130" s="3" t="n">
        <v>2</v>
      </c>
      <c r="D2130" s="3" t="n">
        <v>20</v>
      </c>
      <c r="E2130" s="3" t="n">
        <v>0</v>
      </c>
      <c r="F2130" s="24" t="n">
        <v>0</v>
      </c>
    </row>
    <row r="2131" customFormat="false" ht="15" hidden="false" customHeight="false" outlineLevel="0" collapsed="false">
      <c r="A2131" s="3" t="n">
        <v>2130</v>
      </c>
      <c r="B2131" s="3" t="n">
        <v>2129</v>
      </c>
      <c r="C2131" s="3" t="n">
        <v>2</v>
      </c>
      <c r="D2131" s="3" t="n">
        <v>20</v>
      </c>
      <c r="E2131" s="3" t="n">
        <v>1</v>
      </c>
      <c r="F2131" s="24" t="n">
        <v>0</v>
      </c>
    </row>
    <row r="2132" customFormat="false" ht="15" hidden="false" customHeight="false" outlineLevel="0" collapsed="false">
      <c r="A2132" s="3" t="n">
        <v>2131</v>
      </c>
      <c r="B2132" s="3" t="n">
        <v>2130</v>
      </c>
      <c r="C2132" s="3" t="n">
        <v>2</v>
      </c>
      <c r="D2132" s="3" t="n">
        <v>20</v>
      </c>
      <c r="E2132" s="3" t="n">
        <v>2</v>
      </c>
      <c r="F2132" s="24" t="n">
        <v>0</v>
      </c>
    </row>
    <row r="2133" customFormat="false" ht="15" hidden="false" customHeight="false" outlineLevel="0" collapsed="false">
      <c r="A2133" s="3" t="n">
        <v>2132</v>
      </c>
      <c r="B2133" s="3" t="n">
        <v>2131</v>
      </c>
      <c r="C2133" s="3" t="n">
        <v>2</v>
      </c>
      <c r="D2133" s="3" t="n">
        <v>20</v>
      </c>
      <c r="E2133" s="3" t="n">
        <v>3</v>
      </c>
      <c r="F2133" s="24" t="n">
        <v>0</v>
      </c>
    </row>
    <row r="2134" customFormat="false" ht="15" hidden="false" customHeight="false" outlineLevel="0" collapsed="false">
      <c r="A2134" s="3" t="n">
        <v>2133</v>
      </c>
      <c r="B2134" s="3" t="n">
        <v>2132</v>
      </c>
      <c r="C2134" s="3" t="n">
        <v>2</v>
      </c>
      <c r="D2134" s="3" t="n">
        <v>20</v>
      </c>
      <c r="E2134" s="3" t="n">
        <v>4</v>
      </c>
      <c r="F2134" s="24" t="n">
        <v>0</v>
      </c>
    </row>
    <row r="2135" customFormat="false" ht="15" hidden="false" customHeight="false" outlineLevel="0" collapsed="false">
      <c r="A2135" s="3" t="n">
        <v>2134</v>
      </c>
      <c r="B2135" s="3" t="n">
        <v>2133</v>
      </c>
      <c r="C2135" s="3" t="n">
        <v>2</v>
      </c>
      <c r="D2135" s="3" t="n">
        <v>20</v>
      </c>
      <c r="E2135" s="3" t="n">
        <v>5</v>
      </c>
      <c r="F2135" s="24" t="n">
        <v>0</v>
      </c>
    </row>
    <row r="2136" customFormat="false" ht="15" hidden="false" customHeight="false" outlineLevel="0" collapsed="false">
      <c r="A2136" s="3" t="n">
        <v>2135</v>
      </c>
      <c r="B2136" s="3" t="n">
        <v>2134</v>
      </c>
      <c r="C2136" s="3" t="n">
        <v>2</v>
      </c>
      <c r="D2136" s="3" t="n">
        <v>20</v>
      </c>
      <c r="E2136" s="3" t="n">
        <v>6</v>
      </c>
      <c r="F2136" s="24" t="n">
        <v>0</v>
      </c>
    </row>
    <row r="2137" customFormat="false" ht="15" hidden="false" customHeight="false" outlineLevel="0" collapsed="false">
      <c r="A2137" s="3" t="n">
        <v>2136</v>
      </c>
      <c r="B2137" s="3" t="n">
        <v>2135</v>
      </c>
      <c r="C2137" s="3" t="n">
        <v>2</v>
      </c>
      <c r="D2137" s="3" t="n">
        <v>20</v>
      </c>
      <c r="E2137" s="3" t="n">
        <v>7</v>
      </c>
      <c r="F2137" s="24" t="n">
        <v>0</v>
      </c>
    </row>
    <row r="2138" customFormat="false" ht="15" hidden="false" customHeight="false" outlineLevel="0" collapsed="false">
      <c r="A2138" s="3" t="n">
        <v>2137</v>
      </c>
      <c r="B2138" s="3" t="n">
        <v>2136</v>
      </c>
      <c r="C2138" s="3" t="n">
        <v>2</v>
      </c>
      <c r="D2138" s="3" t="n">
        <v>20</v>
      </c>
      <c r="E2138" s="3" t="n">
        <v>8</v>
      </c>
      <c r="F2138" s="24" t="n">
        <v>0</v>
      </c>
    </row>
    <row r="2139" customFormat="false" ht="15" hidden="false" customHeight="false" outlineLevel="0" collapsed="false">
      <c r="A2139" s="3" t="n">
        <v>2138</v>
      </c>
      <c r="B2139" s="3" t="n">
        <v>2137</v>
      </c>
      <c r="C2139" s="3" t="n">
        <v>2</v>
      </c>
      <c r="D2139" s="3" t="n">
        <v>20</v>
      </c>
      <c r="E2139" s="3" t="n">
        <v>9</v>
      </c>
      <c r="F2139" s="24" t="n">
        <v>0</v>
      </c>
    </row>
    <row r="2140" customFormat="false" ht="15" hidden="false" customHeight="false" outlineLevel="0" collapsed="false">
      <c r="A2140" s="3" t="n">
        <v>2139</v>
      </c>
      <c r="B2140" s="3" t="n">
        <v>2138</v>
      </c>
      <c r="C2140" s="3" t="n">
        <v>2</v>
      </c>
      <c r="D2140" s="3" t="n">
        <v>20</v>
      </c>
      <c r="E2140" s="3" t="n">
        <v>10</v>
      </c>
      <c r="F2140" s="24" t="n">
        <v>0</v>
      </c>
    </row>
    <row r="2141" customFormat="false" ht="15" hidden="false" customHeight="false" outlineLevel="0" collapsed="false">
      <c r="A2141" s="3" t="n">
        <v>2140</v>
      </c>
      <c r="B2141" s="3" t="n">
        <v>2139</v>
      </c>
      <c r="C2141" s="3" t="n">
        <v>2</v>
      </c>
      <c r="D2141" s="3" t="n">
        <v>20</v>
      </c>
      <c r="E2141" s="3" t="n">
        <v>11</v>
      </c>
      <c r="F2141" s="24" t="n">
        <v>0.102898717</v>
      </c>
    </row>
    <row r="2142" customFormat="false" ht="15" hidden="false" customHeight="false" outlineLevel="0" collapsed="false">
      <c r="A2142" s="3" t="n">
        <v>2141</v>
      </c>
      <c r="B2142" s="3" t="n">
        <v>2140</v>
      </c>
      <c r="C2142" s="3" t="n">
        <v>2</v>
      </c>
      <c r="D2142" s="3" t="n">
        <v>20</v>
      </c>
      <c r="E2142" s="3" t="n">
        <v>12</v>
      </c>
      <c r="F2142" s="24" t="n">
        <v>2.69878888</v>
      </c>
    </row>
    <row r="2143" customFormat="false" ht="15" hidden="false" customHeight="false" outlineLevel="0" collapsed="false">
      <c r="A2143" s="3" t="n">
        <v>2142</v>
      </c>
      <c r="B2143" s="3" t="n">
        <v>2141</v>
      </c>
      <c r="C2143" s="3" t="n">
        <v>2</v>
      </c>
      <c r="D2143" s="3" t="n">
        <v>20</v>
      </c>
      <c r="E2143" s="3" t="n">
        <v>13</v>
      </c>
      <c r="F2143" s="24" t="n">
        <v>3.86100483</v>
      </c>
    </row>
    <row r="2144" customFormat="false" ht="15" hidden="false" customHeight="false" outlineLevel="0" collapsed="false">
      <c r="A2144" s="3" t="n">
        <v>2143</v>
      </c>
      <c r="B2144" s="3" t="n">
        <v>2142</v>
      </c>
      <c r="C2144" s="3" t="n">
        <v>2</v>
      </c>
      <c r="D2144" s="3" t="n">
        <v>20</v>
      </c>
      <c r="E2144" s="3" t="n">
        <v>14</v>
      </c>
      <c r="F2144" s="24" t="n">
        <v>0</v>
      </c>
    </row>
    <row r="2145" customFormat="false" ht="15" hidden="false" customHeight="false" outlineLevel="0" collapsed="false">
      <c r="A2145" s="3" t="n">
        <v>2144</v>
      </c>
      <c r="B2145" s="3" t="n">
        <v>2143</v>
      </c>
      <c r="C2145" s="3" t="n">
        <v>2</v>
      </c>
      <c r="D2145" s="3" t="n">
        <v>20</v>
      </c>
      <c r="E2145" s="3" t="n">
        <v>15</v>
      </c>
      <c r="F2145" s="24" t="n">
        <v>0</v>
      </c>
    </row>
    <row r="2146" customFormat="false" ht="15" hidden="false" customHeight="false" outlineLevel="0" collapsed="false">
      <c r="A2146" s="3" t="n">
        <v>2145</v>
      </c>
      <c r="B2146" s="3" t="n">
        <v>2144</v>
      </c>
      <c r="C2146" s="3" t="n">
        <v>2</v>
      </c>
      <c r="D2146" s="3" t="n">
        <v>20</v>
      </c>
      <c r="E2146" s="3" t="n">
        <v>16</v>
      </c>
      <c r="F2146" s="24" t="n">
        <v>0</v>
      </c>
    </row>
    <row r="2147" customFormat="false" ht="15" hidden="false" customHeight="false" outlineLevel="0" collapsed="false">
      <c r="A2147" s="3" t="n">
        <v>2146</v>
      </c>
      <c r="B2147" s="3" t="n">
        <v>2145</v>
      </c>
      <c r="C2147" s="3" t="n">
        <v>2</v>
      </c>
      <c r="D2147" s="3" t="n">
        <v>20</v>
      </c>
      <c r="E2147" s="3" t="n">
        <v>17</v>
      </c>
      <c r="F2147" s="24" t="n">
        <v>0</v>
      </c>
    </row>
    <row r="2148" customFormat="false" ht="15" hidden="false" customHeight="false" outlineLevel="0" collapsed="false">
      <c r="A2148" s="3" t="n">
        <v>2147</v>
      </c>
      <c r="B2148" s="3" t="n">
        <v>2146</v>
      </c>
      <c r="C2148" s="3" t="n">
        <v>2</v>
      </c>
      <c r="D2148" s="3" t="n">
        <v>20</v>
      </c>
      <c r="E2148" s="3" t="n">
        <v>18</v>
      </c>
      <c r="F2148" s="24" t="n">
        <v>0</v>
      </c>
    </row>
    <row r="2149" customFormat="false" ht="15" hidden="false" customHeight="false" outlineLevel="0" collapsed="false">
      <c r="A2149" s="3" t="n">
        <v>2148</v>
      </c>
      <c r="B2149" s="3" t="n">
        <v>2147</v>
      </c>
      <c r="C2149" s="3" t="n">
        <v>2</v>
      </c>
      <c r="D2149" s="3" t="n">
        <v>20</v>
      </c>
      <c r="E2149" s="3" t="n">
        <v>19</v>
      </c>
      <c r="F2149" s="24" t="n">
        <v>0</v>
      </c>
    </row>
    <row r="2150" customFormat="false" ht="15" hidden="false" customHeight="false" outlineLevel="0" collapsed="false">
      <c r="A2150" s="3" t="n">
        <v>2149</v>
      </c>
      <c r="B2150" s="3" t="n">
        <v>2148</v>
      </c>
      <c r="C2150" s="3" t="n">
        <v>2</v>
      </c>
      <c r="D2150" s="3" t="n">
        <v>20</v>
      </c>
      <c r="E2150" s="3" t="n">
        <v>20</v>
      </c>
      <c r="F2150" s="24" t="n">
        <v>0</v>
      </c>
    </row>
    <row r="2151" customFormat="false" ht="15" hidden="false" customHeight="false" outlineLevel="0" collapsed="false">
      <c r="A2151" s="3" t="n">
        <v>2150</v>
      </c>
      <c r="B2151" s="3" t="n">
        <v>2149</v>
      </c>
      <c r="C2151" s="3" t="n">
        <v>2</v>
      </c>
      <c r="D2151" s="3" t="n">
        <v>20</v>
      </c>
      <c r="E2151" s="3" t="n">
        <v>21</v>
      </c>
      <c r="F2151" s="24" t="n">
        <v>0</v>
      </c>
    </row>
    <row r="2152" customFormat="false" ht="15" hidden="false" customHeight="false" outlineLevel="0" collapsed="false">
      <c r="A2152" s="3" t="n">
        <v>2151</v>
      </c>
      <c r="B2152" s="3" t="n">
        <v>2150</v>
      </c>
      <c r="C2152" s="3" t="n">
        <v>2</v>
      </c>
      <c r="D2152" s="3" t="n">
        <v>20</v>
      </c>
      <c r="E2152" s="3" t="n">
        <v>22</v>
      </c>
      <c r="F2152" s="24" t="n">
        <v>0</v>
      </c>
    </row>
    <row r="2153" customFormat="false" ht="15" hidden="false" customHeight="false" outlineLevel="0" collapsed="false">
      <c r="A2153" s="3" t="n">
        <v>2152</v>
      </c>
      <c r="B2153" s="3" t="n">
        <v>2151</v>
      </c>
      <c r="C2153" s="3" t="n">
        <v>2</v>
      </c>
      <c r="D2153" s="3" t="n">
        <v>20</v>
      </c>
      <c r="E2153" s="3" t="n">
        <v>23</v>
      </c>
      <c r="F2153" s="24" t="n">
        <v>0</v>
      </c>
    </row>
    <row r="2154" customFormat="false" ht="15" hidden="false" customHeight="false" outlineLevel="0" collapsed="false">
      <c r="A2154" s="3" t="n">
        <v>2153</v>
      </c>
      <c r="B2154" s="3" t="n">
        <v>2152</v>
      </c>
      <c r="C2154" s="3" t="n">
        <v>2</v>
      </c>
      <c r="D2154" s="3" t="n">
        <v>20</v>
      </c>
      <c r="E2154" s="3" t="n">
        <v>24</v>
      </c>
      <c r="F2154" s="24" t="n">
        <v>0</v>
      </c>
    </row>
    <row r="2155" customFormat="false" ht="15" hidden="false" customHeight="false" outlineLevel="0" collapsed="false">
      <c r="A2155" s="3" t="n">
        <v>2154</v>
      </c>
      <c r="B2155" s="3" t="n">
        <v>2153</v>
      </c>
      <c r="C2155" s="3" t="n">
        <v>2</v>
      </c>
      <c r="D2155" s="3" t="n">
        <v>20</v>
      </c>
      <c r="E2155" s="3" t="n">
        <v>25</v>
      </c>
      <c r="F2155" s="24" t="n">
        <v>0</v>
      </c>
    </row>
    <row r="2156" customFormat="false" ht="15" hidden="false" customHeight="false" outlineLevel="0" collapsed="false">
      <c r="A2156" s="3" t="n">
        <v>2155</v>
      </c>
      <c r="B2156" s="3" t="n">
        <v>2154</v>
      </c>
      <c r="C2156" s="3" t="n">
        <v>2</v>
      </c>
      <c r="D2156" s="3" t="n">
        <v>20</v>
      </c>
      <c r="E2156" s="3" t="n">
        <v>26</v>
      </c>
      <c r="F2156" s="24" t="n">
        <v>0</v>
      </c>
    </row>
    <row r="2157" customFormat="false" ht="15" hidden="false" customHeight="false" outlineLevel="0" collapsed="false">
      <c r="A2157" s="3" t="n">
        <v>2156</v>
      </c>
      <c r="B2157" s="3" t="n">
        <v>2155</v>
      </c>
      <c r="C2157" s="3" t="n">
        <v>2</v>
      </c>
      <c r="D2157" s="3" t="n">
        <v>20</v>
      </c>
      <c r="E2157" s="3" t="n">
        <v>27</v>
      </c>
      <c r="F2157" s="24" t="n">
        <v>0.387737483</v>
      </c>
    </row>
    <row r="2158" customFormat="false" ht="15" hidden="false" customHeight="false" outlineLevel="0" collapsed="false">
      <c r="A2158" s="3" t="n">
        <v>2157</v>
      </c>
      <c r="B2158" s="3" t="n">
        <v>2156</v>
      </c>
      <c r="C2158" s="3" t="n">
        <v>2</v>
      </c>
      <c r="D2158" s="3" t="n">
        <v>21</v>
      </c>
      <c r="E2158" s="3" t="n">
        <v>0</v>
      </c>
      <c r="F2158" s="24" t="n">
        <v>0</v>
      </c>
    </row>
    <row r="2159" customFormat="false" ht="15" hidden="false" customHeight="false" outlineLevel="0" collapsed="false">
      <c r="A2159" s="3" t="n">
        <v>2158</v>
      </c>
      <c r="B2159" s="3" t="n">
        <v>2157</v>
      </c>
      <c r="C2159" s="3" t="n">
        <v>2</v>
      </c>
      <c r="D2159" s="3" t="n">
        <v>21</v>
      </c>
      <c r="E2159" s="3" t="n">
        <v>1</v>
      </c>
      <c r="F2159" s="24" t="n">
        <v>0</v>
      </c>
    </row>
    <row r="2160" customFormat="false" ht="15" hidden="false" customHeight="false" outlineLevel="0" collapsed="false">
      <c r="A2160" s="3" t="n">
        <v>2159</v>
      </c>
      <c r="B2160" s="3" t="n">
        <v>2158</v>
      </c>
      <c r="C2160" s="3" t="n">
        <v>2</v>
      </c>
      <c r="D2160" s="3" t="n">
        <v>21</v>
      </c>
      <c r="E2160" s="3" t="n">
        <v>2</v>
      </c>
      <c r="F2160" s="24" t="n">
        <v>0</v>
      </c>
    </row>
    <row r="2161" customFormat="false" ht="15" hidden="false" customHeight="false" outlineLevel="0" collapsed="false">
      <c r="A2161" s="3" t="n">
        <v>2160</v>
      </c>
      <c r="B2161" s="3" t="n">
        <v>2159</v>
      </c>
      <c r="C2161" s="3" t="n">
        <v>2</v>
      </c>
      <c r="D2161" s="3" t="n">
        <v>21</v>
      </c>
      <c r="E2161" s="3" t="n">
        <v>3</v>
      </c>
      <c r="F2161" s="24" t="n">
        <v>0</v>
      </c>
    </row>
    <row r="2162" customFormat="false" ht="15" hidden="false" customHeight="false" outlineLevel="0" collapsed="false">
      <c r="A2162" s="3" t="n">
        <v>2161</v>
      </c>
      <c r="B2162" s="3" t="n">
        <v>2160</v>
      </c>
      <c r="C2162" s="3" t="n">
        <v>2</v>
      </c>
      <c r="D2162" s="3" t="n">
        <v>21</v>
      </c>
      <c r="E2162" s="3" t="n">
        <v>4</v>
      </c>
      <c r="F2162" s="24" t="n">
        <v>0</v>
      </c>
    </row>
    <row r="2163" customFormat="false" ht="15" hidden="false" customHeight="false" outlineLevel="0" collapsed="false">
      <c r="A2163" s="3" t="n">
        <v>2162</v>
      </c>
      <c r="B2163" s="3" t="n">
        <v>2161</v>
      </c>
      <c r="C2163" s="3" t="n">
        <v>2</v>
      </c>
      <c r="D2163" s="3" t="n">
        <v>21</v>
      </c>
      <c r="E2163" s="3" t="n">
        <v>5</v>
      </c>
      <c r="F2163" s="24" t="n">
        <v>0</v>
      </c>
    </row>
    <row r="2164" customFormat="false" ht="15" hidden="false" customHeight="false" outlineLevel="0" collapsed="false">
      <c r="A2164" s="3" t="n">
        <v>2163</v>
      </c>
      <c r="B2164" s="3" t="n">
        <v>2162</v>
      </c>
      <c r="C2164" s="3" t="n">
        <v>2</v>
      </c>
      <c r="D2164" s="3" t="n">
        <v>21</v>
      </c>
      <c r="E2164" s="3" t="n">
        <v>6</v>
      </c>
      <c r="F2164" s="24" t="n">
        <v>0</v>
      </c>
    </row>
    <row r="2165" customFormat="false" ht="15" hidden="false" customHeight="false" outlineLevel="0" collapsed="false">
      <c r="A2165" s="3" t="n">
        <v>2164</v>
      </c>
      <c r="B2165" s="3" t="n">
        <v>2163</v>
      </c>
      <c r="C2165" s="3" t="n">
        <v>2</v>
      </c>
      <c r="D2165" s="3" t="n">
        <v>21</v>
      </c>
      <c r="E2165" s="3" t="n">
        <v>7</v>
      </c>
      <c r="F2165" s="24" t="n">
        <v>0</v>
      </c>
    </row>
    <row r="2166" customFormat="false" ht="15" hidden="false" customHeight="false" outlineLevel="0" collapsed="false">
      <c r="A2166" s="3" t="n">
        <v>2165</v>
      </c>
      <c r="B2166" s="3" t="n">
        <v>2164</v>
      </c>
      <c r="C2166" s="3" t="n">
        <v>2</v>
      </c>
      <c r="D2166" s="3" t="n">
        <v>21</v>
      </c>
      <c r="E2166" s="3" t="n">
        <v>8</v>
      </c>
      <c r="F2166" s="24" t="n">
        <v>0</v>
      </c>
    </row>
    <row r="2167" customFormat="false" ht="15" hidden="false" customHeight="false" outlineLevel="0" collapsed="false">
      <c r="A2167" s="3" t="n">
        <v>2166</v>
      </c>
      <c r="B2167" s="3" t="n">
        <v>2165</v>
      </c>
      <c r="C2167" s="3" t="n">
        <v>2</v>
      </c>
      <c r="D2167" s="3" t="n">
        <v>21</v>
      </c>
      <c r="E2167" s="3" t="n">
        <v>9</v>
      </c>
      <c r="F2167" s="24" t="n">
        <v>0</v>
      </c>
    </row>
    <row r="2168" customFormat="false" ht="15" hidden="false" customHeight="false" outlineLevel="0" collapsed="false">
      <c r="A2168" s="3" t="n">
        <v>2167</v>
      </c>
      <c r="B2168" s="3" t="n">
        <v>2166</v>
      </c>
      <c r="C2168" s="3" t="n">
        <v>2</v>
      </c>
      <c r="D2168" s="3" t="n">
        <v>21</v>
      </c>
      <c r="E2168" s="3" t="n">
        <v>10</v>
      </c>
      <c r="F2168" s="24" t="n">
        <v>0.0508841872</v>
      </c>
    </row>
    <row r="2169" customFormat="false" ht="15" hidden="false" customHeight="false" outlineLevel="0" collapsed="false">
      <c r="A2169" s="3" t="n">
        <v>2168</v>
      </c>
      <c r="B2169" s="3" t="n">
        <v>2167</v>
      </c>
      <c r="C2169" s="3" t="n">
        <v>2</v>
      </c>
      <c r="D2169" s="3" t="n">
        <v>21</v>
      </c>
      <c r="E2169" s="3" t="n">
        <v>11</v>
      </c>
      <c r="F2169" s="24" t="n">
        <v>1.25499284</v>
      </c>
    </row>
    <row r="2170" customFormat="false" ht="15" hidden="false" customHeight="false" outlineLevel="0" collapsed="false">
      <c r="A2170" s="3" t="n">
        <v>2169</v>
      </c>
      <c r="B2170" s="3" t="n">
        <v>2168</v>
      </c>
      <c r="C2170" s="3" t="n">
        <v>2</v>
      </c>
      <c r="D2170" s="3" t="n">
        <v>21</v>
      </c>
      <c r="E2170" s="3" t="n">
        <v>12</v>
      </c>
      <c r="F2170" s="24" t="n">
        <v>3.90189505</v>
      </c>
    </row>
    <row r="2171" customFormat="false" ht="15" hidden="false" customHeight="false" outlineLevel="0" collapsed="false">
      <c r="A2171" s="3" t="n">
        <v>2170</v>
      </c>
      <c r="B2171" s="3" t="n">
        <v>2169</v>
      </c>
      <c r="C2171" s="3" t="n">
        <v>2</v>
      </c>
      <c r="D2171" s="3" t="n">
        <v>21</v>
      </c>
      <c r="E2171" s="3" t="n">
        <v>13</v>
      </c>
      <c r="F2171" s="24" t="n">
        <v>1.90465462</v>
      </c>
    </row>
    <row r="2172" customFormat="false" ht="15" hidden="false" customHeight="false" outlineLevel="0" collapsed="false">
      <c r="A2172" s="3" t="n">
        <v>2171</v>
      </c>
      <c r="B2172" s="3" t="n">
        <v>2170</v>
      </c>
      <c r="C2172" s="3" t="n">
        <v>2</v>
      </c>
      <c r="D2172" s="3" t="n">
        <v>21</v>
      </c>
      <c r="E2172" s="3" t="n">
        <v>14</v>
      </c>
      <c r="F2172" s="24" t="n">
        <v>0</v>
      </c>
    </row>
    <row r="2173" customFormat="false" ht="15" hidden="false" customHeight="false" outlineLevel="0" collapsed="false">
      <c r="A2173" s="3" t="n">
        <v>2172</v>
      </c>
      <c r="B2173" s="3" t="n">
        <v>2171</v>
      </c>
      <c r="C2173" s="3" t="n">
        <v>2</v>
      </c>
      <c r="D2173" s="3" t="n">
        <v>21</v>
      </c>
      <c r="E2173" s="3" t="n">
        <v>15</v>
      </c>
      <c r="F2173" s="24" t="n">
        <v>0</v>
      </c>
    </row>
    <row r="2174" customFormat="false" ht="15" hidden="false" customHeight="false" outlineLevel="0" collapsed="false">
      <c r="A2174" s="3" t="n">
        <v>2173</v>
      </c>
      <c r="B2174" s="3" t="n">
        <v>2172</v>
      </c>
      <c r="C2174" s="3" t="n">
        <v>2</v>
      </c>
      <c r="D2174" s="3" t="n">
        <v>21</v>
      </c>
      <c r="E2174" s="3" t="n">
        <v>16</v>
      </c>
      <c r="F2174" s="24" t="n">
        <v>0</v>
      </c>
    </row>
    <row r="2175" customFormat="false" ht="15" hidden="false" customHeight="false" outlineLevel="0" collapsed="false">
      <c r="A2175" s="3" t="n">
        <v>2174</v>
      </c>
      <c r="B2175" s="3" t="n">
        <v>2173</v>
      </c>
      <c r="C2175" s="3" t="n">
        <v>2</v>
      </c>
      <c r="D2175" s="3" t="n">
        <v>21</v>
      </c>
      <c r="E2175" s="3" t="n">
        <v>17</v>
      </c>
      <c r="F2175" s="24" t="n">
        <v>0</v>
      </c>
    </row>
    <row r="2176" customFormat="false" ht="15" hidden="false" customHeight="false" outlineLevel="0" collapsed="false">
      <c r="A2176" s="3" t="n">
        <v>2175</v>
      </c>
      <c r="B2176" s="3" t="n">
        <v>2174</v>
      </c>
      <c r="C2176" s="3" t="n">
        <v>2</v>
      </c>
      <c r="D2176" s="3" t="n">
        <v>21</v>
      </c>
      <c r="E2176" s="3" t="n">
        <v>18</v>
      </c>
      <c r="F2176" s="24" t="n">
        <v>0</v>
      </c>
    </row>
    <row r="2177" customFormat="false" ht="15" hidden="false" customHeight="false" outlineLevel="0" collapsed="false">
      <c r="A2177" s="3" t="n">
        <v>2176</v>
      </c>
      <c r="B2177" s="3" t="n">
        <v>2175</v>
      </c>
      <c r="C2177" s="3" t="n">
        <v>2</v>
      </c>
      <c r="D2177" s="3" t="n">
        <v>21</v>
      </c>
      <c r="E2177" s="3" t="n">
        <v>19</v>
      </c>
      <c r="F2177" s="24" t="n">
        <v>0</v>
      </c>
    </row>
    <row r="2178" customFormat="false" ht="15" hidden="false" customHeight="false" outlineLevel="0" collapsed="false">
      <c r="A2178" s="3" t="n">
        <v>2177</v>
      </c>
      <c r="B2178" s="3" t="n">
        <v>2176</v>
      </c>
      <c r="C2178" s="3" t="n">
        <v>2</v>
      </c>
      <c r="D2178" s="3" t="n">
        <v>21</v>
      </c>
      <c r="E2178" s="3" t="n">
        <v>20</v>
      </c>
      <c r="F2178" s="24" t="n">
        <v>0</v>
      </c>
    </row>
    <row r="2179" customFormat="false" ht="15" hidden="false" customHeight="false" outlineLevel="0" collapsed="false">
      <c r="A2179" s="3" t="n">
        <v>2178</v>
      </c>
      <c r="B2179" s="3" t="n">
        <v>2177</v>
      </c>
      <c r="C2179" s="3" t="n">
        <v>2</v>
      </c>
      <c r="D2179" s="3" t="n">
        <v>21</v>
      </c>
      <c r="E2179" s="3" t="n">
        <v>21</v>
      </c>
      <c r="F2179" s="24" t="n">
        <v>0</v>
      </c>
    </row>
    <row r="2180" customFormat="false" ht="15" hidden="false" customHeight="false" outlineLevel="0" collapsed="false">
      <c r="A2180" s="3" t="n">
        <v>2179</v>
      </c>
      <c r="B2180" s="3" t="n">
        <v>2178</v>
      </c>
      <c r="C2180" s="3" t="n">
        <v>2</v>
      </c>
      <c r="D2180" s="3" t="n">
        <v>21</v>
      </c>
      <c r="E2180" s="3" t="n">
        <v>22</v>
      </c>
      <c r="F2180" s="24" t="n">
        <v>0</v>
      </c>
    </row>
    <row r="2181" customFormat="false" ht="15" hidden="false" customHeight="false" outlineLevel="0" collapsed="false">
      <c r="A2181" s="3" t="n">
        <v>2180</v>
      </c>
      <c r="B2181" s="3" t="n">
        <v>2179</v>
      </c>
      <c r="C2181" s="3" t="n">
        <v>2</v>
      </c>
      <c r="D2181" s="3" t="n">
        <v>21</v>
      </c>
      <c r="E2181" s="3" t="n">
        <v>23</v>
      </c>
      <c r="F2181" s="24" t="n">
        <v>0</v>
      </c>
    </row>
    <row r="2182" customFormat="false" ht="15" hidden="false" customHeight="false" outlineLevel="0" collapsed="false">
      <c r="A2182" s="3" t="n">
        <v>2181</v>
      </c>
      <c r="B2182" s="3" t="n">
        <v>2180</v>
      </c>
      <c r="C2182" s="3" t="n">
        <v>2</v>
      </c>
      <c r="D2182" s="3" t="n">
        <v>21</v>
      </c>
      <c r="E2182" s="3" t="n">
        <v>24</v>
      </c>
      <c r="F2182" s="24" t="n">
        <v>0</v>
      </c>
    </row>
    <row r="2183" customFormat="false" ht="15" hidden="false" customHeight="false" outlineLevel="0" collapsed="false">
      <c r="A2183" s="3" t="n">
        <v>2182</v>
      </c>
      <c r="B2183" s="3" t="n">
        <v>2181</v>
      </c>
      <c r="C2183" s="3" t="n">
        <v>2</v>
      </c>
      <c r="D2183" s="3" t="n">
        <v>21</v>
      </c>
      <c r="E2183" s="3" t="n">
        <v>25</v>
      </c>
      <c r="F2183" s="24" t="n">
        <v>0</v>
      </c>
    </row>
    <row r="2184" customFormat="false" ht="15" hidden="false" customHeight="false" outlineLevel="0" collapsed="false">
      <c r="A2184" s="3" t="n">
        <v>2183</v>
      </c>
      <c r="B2184" s="3" t="n">
        <v>2182</v>
      </c>
      <c r="C2184" s="3" t="n">
        <v>2</v>
      </c>
      <c r="D2184" s="3" t="n">
        <v>21</v>
      </c>
      <c r="E2184" s="3" t="n">
        <v>26</v>
      </c>
      <c r="F2184" s="24" t="n">
        <v>0</v>
      </c>
    </row>
    <row r="2185" customFormat="false" ht="15" hidden="false" customHeight="false" outlineLevel="0" collapsed="false">
      <c r="A2185" s="3" t="n">
        <v>2184</v>
      </c>
      <c r="B2185" s="3" t="n">
        <v>2183</v>
      </c>
      <c r="C2185" s="3" t="n">
        <v>2</v>
      </c>
      <c r="D2185" s="3" t="n">
        <v>21</v>
      </c>
      <c r="E2185" s="3" t="n">
        <v>27</v>
      </c>
      <c r="F2185" s="24" t="n">
        <v>0.387737483</v>
      </c>
    </row>
    <row r="2186" customFormat="false" ht="15" hidden="false" customHeight="false" outlineLevel="0" collapsed="false">
      <c r="A2186" s="3" t="n">
        <v>2185</v>
      </c>
      <c r="B2186" s="3" t="n">
        <v>2184</v>
      </c>
      <c r="C2186" s="3" t="n">
        <v>2</v>
      </c>
      <c r="D2186" s="3" t="n">
        <v>22</v>
      </c>
      <c r="E2186" s="3" t="n">
        <v>0</v>
      </c>
      <c r="F2186" s="24" t="n">
        <v>0</v>
      </c>
    </row>
    <row r="2187" customFormat="false" ht="15" hidden="false" customHeight="false" outlineLevel="0" collapsed="false">
      <c r="A2187" s="3" t="n">
        <v>2186</v>
      </c>
      <c r="B2187" s="3" t="n">
        <v>2185</v>
      </c>
      <c r="C2187" s="3" t="n">
        <v>2</v>
      </c>
      <c r="D2187" s="3" t="n">
        <v>22</v>
      </c>
      <c r="E2187" s="3" t="n">
        <v>1</v>
      </c>
      <c r="F2187" s="24" t="n">
        <v>0</v>
      </c>
    </row>
    <row r="2188" customFormat="false" ht="15" hidden="false" customHeight="false" outlineLevel="0" collapsed="false">
      <c r="A2188" s="3" t="n">
        <v>2187</v>
      </c>
      <c r="B2188" s="3" t="n">
        <v>2186</v>
      </c>
      <c r="C2188" s="3" t="n">
        <v>2</v>
      </c>
      <c r="D2188" s="3" t="n">
        <v>22</v>
      </c>
      <c r="E2188" s="3" t="n">
        <v>2</v>
      </c>
      <c r="F2188" s="24" t="n">
        <v>0</v>
      </c>
    </row>
    <row r="2189" customFormat="false" ht="15" hidden="false" customHeight="false" outlineLevel="0" collapsed="false">
      <c r="A2189" s="3" t="n">
        <v>2188</v>
      </c>
      <c r="B2189" s="3" t="n">
        <v>2187</v>
      </c>
      <c r="C2189" s="3" t="n">
        <v>2</v>
      </c>
      <c r="D2189" s="3" t="n">
        <v>22</v>
      </c>
      <c r="E2189" s="3" t="n">
        <v>3</v>
      </c>
      <c r="F2189" s="24" t="n">
        <v>0</v>
      </c>
    </row>
    <row r="2190" customFormat="false" ht="15" hidden="false" customHeight="false" outlineLevel="0" collapsed="false">
      <c r="A2190" s="3" t="n">
        <v>2189</v>
      </c>
      <c r="B2190" s="3" t="n">
        <v>2188</v>
      </c>
      <c r="C2190" s="3" t="n">
        <v>2</v>
      </c>
      <c r="D2190" s="3" t="n">
        <v>22</v>
      </c>
      <c r="E2190" s="3" t="n">
        <v>4</v>
      </c>
      <c r="F2190" s="24" t="n">
        <v>0</v>
      </c>
    </row>
    <row r="2191" customFormat="false" ht="15" hidden="false" customHeight="false" outlineLevel="0" collapsed="false">
      <c r="A2191" s="3" t="n">
        <v>2190</v>
      </c>
      <c r="B2191" s="3" t="n">
        <v>2189</v>
      </c>
      <c r="C2191" s="3" t="n">
        <v>2</v>
      </c>
      <c r="D2191" s="3" t="n">
        <v>22</v>
      </c>
      <c r="E2191" s="3" t="n">
        <v>5</v>
      </c>
      <c r="F2191" s="24" t="n">
        <v>0</v>
      </c>
    </row>
    <row r="2192" customFormat="false" ht="15" hidden="false" customHeight="false" outlineLevel="0" collapsed="false">
      <c r="A2192" s="3" t="n">
        <v>2191</v>
      </c>
      <c r="B2192" s="3" t="n">
        <v>2190</v>
      </c>
      <c r="C2192" s="3" t="n">
        <v>2</v>
      </c>
      <c r="D2192" s="3" t="n">
        <v>22</v>
      </c>
      <c r="E2192" s="3" t="n">
        <v>6</v>
      </c>
      <c r="F2192" s="24" t="n">
        <v>0</v>
      </c>
    </row>
    <row r="2193" customFormat="false" ht="15" hidden="false" customHeight="false" outlineLevel="0" collapsed="false">
      <c r="A2193" s="3" t="n">
        <v>2192</v>
      </c>
      <c r="B2193" s="3" t="n">
        <v>2191</v>
      </c>
      <c r="C2193" s="3" t="n">
        <v>2</v>
      </c>
      <c r="D2193" s="3" t="n">
        <v>22</v>
      </c>
      <c r="E2193" s="3" t="n">
        <v>7</v>
      </c>
      <c r="F2193" s="24" t="n">
        <v>0</v>
      </c>
    </row>
    <row r="2194" customFormat="false" ht="15" hidden="false" customHeight="false" outlineLevel="0" collapsed="false">
      <c r="A2194" s="3" t="n">
        <v>2193</v>
      </c>
      <c r="B2194" s="3" t="n">
        <v>2192</v>
      </c>
      <c r="C2194" s="3" t="n">
        <v>2</v>
      </c>
      <c r="D2194" s="3" t="n">
        <v>22</v>
      </c>
      <c r="E2194" s="3" t="n">
        <v>8</v>
      </c>
      <c r="F2194" s="24" t="n">
        <v>0</v>
      </c>
    </row>
    <row r="2195" customFormat="false" ht="15" hidden="false" customHeight="false" outlineLevel="0" collapsed="false">
      <c r="A2195" s="3" t="n">
        <v>2194</v>
      </c>
      <c r="B2195" s="3" t="n">
        <v>2193</v>
      </c>
      <c r="C2195" s="3" t="n">
        <v>2</v>
      </c>
      <c r="D2195" s="3" t="n">
        <v>22</v>
      </c>
      <c r="E2195" s="3" t="n">
        <v>9</v>
      </c>
      <c r="F2195" s="24" t="n">
        <v>0</v>
      </c>
    </row>
    <row r="2196" customFormat="false" ht="15" hidden="false" customHeight="false" outlineLevel="0" collapsed="false">
      <c r="A2196" s="3" t="n">
        <v>2195</v>
      </c>
      <c r="B2196" s="3" t="n">
        <v>2194</v>
      </c>
      <c r="C2196" s="3" t="n">
        <v>2</v>
      </c>
      <c r="D2196" s="3" t="n">
        <v>22</v>
      </c>
      <c r="E2196" s="3" t="n">
        <v>10</v>
      </c>
      <c r="F2196" s="24" t="n">
        <v>0.71149075</v>
      </c>
    </row>
    <row r="2197" customFormat="false" ht="15" hidden="false" customHeight="false" outlineLevel="0" collapsed="false">
      <c r="A2197" s="3" t="n">
        <v>2196</v>
      </c>
      <c r="B2197" s="3" t="n">
        <v>2195</v>
      </c>
      <c r="C2197" s="3" t="n">
        <v>2</v>
      </c>
      <c r="D2197" s="3" t="n">
        <v>22</v>
      </c>
      <c r="E2197" s="3" t="n">
        <v>11</v>
      </c>
      <c r="F2197" s="24" t="n">
        <v>3.20456529</v>
      </c>
    </row>
    <row r="2198" customFormat="false" ht="15" hidden="false" customHeight="false" outlineLevel="0" collapsed="false">
      <c r="A2198" s="3" t="n">
        <v>2197</v>
      </c>
      <c r="B2198" s="3" t="n">
        <v>2196</v>
      </c>
      <c r="C2198" s="3" t="n">
        <v>2</v>
      </c>
      <c r="D2198" s="3" t="n">
        <v>22</v>
      </c>
      <c r="E2198" s="3" t="n">
        <v>12</v>
      </c>
      <c r="F2198" s="24" t="n">
        <v>3.10334754</v>
      </c>
    </row>
    <row r="2199" customFormat="false" ht="15" hidden="false" customHeight="false" outlineLevel="0" collapsed="false">
      <c r="A2199" s="3" t="n">
        <v>2198</v>
      </c>
      <c r="B2199" s="3" t="n">
        <v>2197</v>
      </c>
      <c r="C2199" s="3" t="n">
        <v>2</v>
      </c>
      <c r="D2199" s="3" t="n">
        <v>22</v>
      </c>
      <c r="E2199" s="3" t="n">
        <v>13</v>
      </c>
      <c r="F2199" s="24" t="n">
        <v>0</v>
      </c>
    </row>
    <row r="2200" customFormat="false" ht="15" hidden="false" customHeight="false" outlineLevel="0" collapsed="false">
      <c r="A2200" s="3" t="n">
        <v>2199</v>
      </c>
      <c r="B2200" s="3" t="n">
        <v>2198</v>
      </c>
      <c r="C2200" s="3" t="n">
        <v>2</v>
      </c>
      <c r="D2200" s="3" t="n">
        <v>22</v>
      </c>
      <c r="E2200" s="3" t="n">
        <v>14</v>
      </c>
      <c r="F2200" s="24" t="n">
        <v>0</v>
      </c>
    </row>
    <row r="2201" customFormat="false" ht="15" hidden="false" customHeight="false" outlineLevel="0" collapsed="false">
      <c r="A2201" s="3" t="n">
        <v>2200</v>
      </c>
      <c r="B2201" s="3" t="n">
        <v>2199</v>
      </c>
      <c r="C2201" s="3" t="n">
        <v>2</v>
      </c>
      <c r="D2201" s="3" t="n">
        <v>22</v>
      </c>
      <c r="E2201" s="3" t="n">
        <v>15</v>
      </c>
      <c r="F2201" s="24" t="n">
        <v>0</v>
      </c>
    </row>
    <row r="2202" customFormat="false" ht="15" hidden="false" customHeight="false" outlineLevel="0" collapsed="false">
      <c r="A2202" s="3" t="n">
        <v>2201</v>
      </c>
      <c r="B2202" s="3" t="n">
        <v>2200</v>
      </c>
      <c r="C2202" s="3" t="n">
        <v>2</v>
      </c>
      <c r="D2202" s="3" t="n">
        <v>22</v>
      </c>
      <c r="E2202" s="3" t="n">
        <v>16</v>
      </c>
      <c r="F2202" s="24" t="n">
        <v>0</v>
      </c>
    </row>
    <row r="2203" customFormat="false" ht="15" hidden="false" customHeight="false" outlineLevel="0" collapsed="false">
      <c r="A2203" s="3" t="n">
        <v>2202</v>
      </c>
      <c r="B2203" s="3" t="n">
        <v>2201</v>
      </c>
      <c r="C2203" s="3" t="n">
        <v>2</v>
      </c>
      <c r="D2203" s="3" t="n">
        <v>22</v>
      </c>
      <c r="E2203" s="3" t="n">
        <v>17</v>
      </c>
      <c r="F2203" s="24" t="n">
        <v>0</v>
      </c>
    </row>
    <row r="2204" customFormat="false" ht="15" hidden="false" customHeight="false" outlineLevel="0" collapsed="false">
      <c r="A2204" s="3" t="n">
        <v>2203</v>
      </c>
      <c r="B2204" s="3" t="n">
        <v>2202</v>
      </c>
      <c r="C2204" s="3" t="n">
        <v>2</v>
      </c>
      <c r="D2204" s="3" t="n">
        <v>22</v>
      </c>
      <c r="E2204" s="3" t="n">
        <v>18</v>
      </c>
      <c r="F2204" s="24" t="n">
        <v>0</v>
      </c>
    </row>
    <row r="2205" customFormat="false" ht="15" hidden="false" customHeight="false" outlineLevel="0" collapsed="false">
      <c r="A2205" s="3" t="n">
        <v>2204</v>
      </c>
      <c r="B2205" s="3" t="n">
        <v>2203</v>
      </c>
      <c r="C2205" s="3" t="n">
        <v>2</v>
      </c>
      <c r="D2205" s="3" t="n">
        <v>22</v>
      </c>
      <c r="E2205" s="3" t="n">
        <v>19</v>
      </c>
      <c r="F2205" s="24" t="n">
        <v>0</v>
      </c>
    </row>
    <row r="2206" customFormat="false" ht="15" hidden="false" customHeight="false" outlineLevel="0" collapsed="false">
      <c r="A2206" s="3" t="n">
        <v>2205</v>
      </c>
      <c r="B2206" s="3" t="n">
        <v>2204</v>
      </c>
      <c r="C2206" s="3" t="n">
        <v>2</v>
      </c>
      <c r="D2206" s="3" t="n">
        <v>22</v>
      </c>
      <c r="E2206" s="3" t="n">
        <v>20</v>
      </c>
      <c r="F2206" s="24" t="n">
        <v>0</v>
      </c>
    </row>
    <row r="2207" customFormat="false" ht="15" hidden="false" customHeight="false" outlineLevel="0" collapsed="false">
      <c r="A2207" s="3" t="n">
        <v>2206</v>
      </c>
      <c r="B2207" s="3" t="n">
        <v>2205</v>
      </c>
      <c r="C2207" s="3" t="n">
        <v>2</v>
      </c>
      <c r="D2207" s="3" t="n">
        <v>22</v>
      </c>
      <c r="E2207" s="3" t="n">
        <v>21</v>
      </c>
      <c r="F2207" s="24" t="n">
        <v>0</v>
      </c>
    </row>
    <row r="2208" customFormat="false" ht="15" hidden="false" customHeight="false" outlineLevel="0" collapsed="false">
      <c r="A2208" s="3" t="n">
        <v>2207</v>
      </c>
      <c r="B2208" s="3" t="n">
        <v>2206</v>
      </c>
      <c r="C2208" s="3" t="n">
        <v>2</v>
      </c>
      <c r="D2208" s="3" t="n">
        <v>22</v>
      </c>
      <c r="E2208" s="3" t="n">
        <v>22</v>
      </c>
      <c r="F2208" s="24" t="n">
        <v>0</v>
      </c>
    </row>
    <row r="2209" customFormat="false" ht="15" hidden="false" customHeight="false" outlineLevel="0" collapsed="false">
      <c r="A2209" s="3" t="n">
        <v>2208</v>
      </c>
      <c r="B2209" s="3" t="n">
        <v>2207</v>
      </c>
      <c r="C2209" s="3" t="n">
        <v>2</v>
      </c>
      <c r="D2209" s="3" t="n">
        <v>22</v>
      </c>
      <c r="E2209" s="3" t="n">
        <v>23</v>
      </c>
      <c r="F2209" s="24" t="n">
        <v>0</v>
      </c>
    </row>
    <row r="2210" customFormat="false" ht="15" hidden="false" customHeight="false" outlineLevel="0" collapsed="false">
      <c r="A2210" s="3" t="n">
        <v>2209</v>
      </c>
      <c r="B2210" s="3" t="n">
        <v>2208</v>
      </c>
      <c r="C2210" s="3" t="n">
        <v>2</v>
      </c>
      <c r="D2210" s="3" t="n">
        <v>22</v>
      </c>
      <c r="E2210" s="3" t="n">
        <v>24</v>
      </c>
      <c r="F2210" s="24" t="n">
        <v>0</v>
      </c>
    </row>
    <row r="2211" customFormat="false" ht="15" hidden="false" customHeight="false" outlineLevel="0" collapsed="false">
      <c r="A2211" s="3" t="n">
        <v>2210</v>
      </c>
      <c r="B2211" s="3" t="n">
        <v>2209</v>
      </c>
      <c r="C2211" s="3" t="n">
        <v>2</v>
      </c>
      <c r="D2211" s="3" t="n">
        <v>22</v>
      </c>
      <c r="E2211" s="3" t="n">
        <v>25</v>
      </c>
      <c r="F2211" s="24" t="n">
        <v>0</v>
      </c>
    </row>
    <row r="2212" customFormat="false" ht="15" hidden="false" customHeight="false" outlineLevel="0" collapsed="false">
      <c r="A2212" s="3" t="n">
        <v>2211</v>
      </c>
      <c r="B2212" s="3" t="n">
        <v>2210</v>
      </c>
      <c r="C2212" s="3" t="n">
        <v>2</v>
      </c>
      <c r="D2212" s="3" t="n">
        <v>22</v>
      </c>
      <c r="E2212" s="3" t="n">
        <v>26</v>
      </c>
      <c r="F2212" s="24" t="n">
        <v>0</v>
      </c>
    </row>
    <row r="2213" customFormat="false" ht="15" hidden="false" customHeight="false" outlineLevel="0" collapsed="false">
      <c r="A2213" s="3" t="n">
        <v>2212</v>
      </c>
      <c r="B2213" s="3" t="n">
        <v>2211</v>
      </c>
      <c r="C2213" s="3" t="n">
        <v>2</v>
      </c>
      <c r="D2213" s="3" t="n">
        <v>22</v>
      </c>
      <c r="E2213" s="3" t="n">
        <v>27</v>
      </c>
      <c r="F2213" s="24" t="n">
        <v>0.387737483</v>
      </c>
    </row>
    <row r="2214" customFormat="false" ht="15" hidden="false" customHeight="false" outlineLevel="0" collapsed="false">
      <c r="A2214" s="3" t="n">
        <v>2213</v>
      </c>
      <c r="B2214" s="3" t="n">
        <v>2212</v>
      </c>
      <c r="C2214" s="3" t="n">
        <v>2</v>
      </c>
      <c r="D2214" s="3" t="n">
        <v>23</v>
      </c>
      <c r="E2214" s="3" t="n">
        <v>0</v>
      </c>
      <c r="F2214" s="24" t="n">
        <v>0</v>
      </c>
    </row>
    <row r="2215" customFormat="false" ht="15" hidden="false" customHeight="false" outlineLevel="0" collapsed="false">
      <c r="A2215" s="3" t="n">
        <v>2214</v>
      </c>
      <c r="B2215" s="3" t="n">
        <v>2213</v>
      </c>
      <c r="C2215" s="3" t="n">
        <v>2</v>
      </c>
      <c r="D2215" s="3" t="n">
        <v>23</v>
      </c>
      <c r="E2215" s="3" t="n">
        <v>1</v>
      </c>
      <c r="F2215" s="24" t="n">
        <v>0</v>
      </c>
    </row>
    <row r="2216" customFormat="false" ht="15" hidden="false" customHeight="false" outlineLevel="0" collapsed="false">
      <c r="A2216" s="3" t="n">
        <v>2215</v>
      </c>
      <c r="B2216" s="3" t="n">
        <v>2214</v>
      </c>
      <c r="C2216" s="3" t="n">
        <v>2</v>
      </c>
      <c r="D2216" s="3" t="n">
        <v>23</v>
      </c>
      <c r="E2216" s="3" t="n">
        <v>2</v>
      </c>
      <c r="F2216" s="24" t="n">
        <v>0</v>
      </c>
    </row>
    <row r="2217" customFormat="false" ht="15" hidden="false" customHeight="false" outlineLevel="0" collapsed="false">
      <c r="A2217" s="3" t="n">
        <v>2216</v>
      </c>
      <c r="B2217" s="3" t="n">
        <v>2215</v>
      </c>
      <c r="C2217" s="3" t="n">
        <v>2</v>
      </c>
      <c r="D2217" s="3" t="n">
        <v>23</v>
      </c>
      <c r="E2217" s="3" t="n">
        <v>3</v>
      </c>
      <c r="F2217" s="24" t="n">
        <v>0</v>
      </c>
    </row>
    <row r="2218" customFormat="false" ht="15" hidden="false" customHeight="false" outlineLevel="0" collapsed="false">
      <c r="A2218" s="3" t="n">
        <v>2217</v>
      </c>
      <c r="B2218" s="3" t="n">
        <v>2216</v>
      </c>
      <c r="C2218" s="3" t="n">
        <v>2</v>
      </c>
      <c r="D2218" s="3" t="n">
        <v>23</v>
      </c>
      <c r="E2218" s="3" t="n">
        <v>4</v>
      </c>
      <c r="F2218" s="24" t="n">
        <v>0</v>
      </c>
    </row>
    <row r="2219" customFormat="false" ht="15" hidden="false" customHeight="false" outlineLevel="0" collapsed="false">
      <c r="A2219" s="3" t="n">
        <v>2218</v>
      </c>
      <c r="B2219" s="3" t="n">
        <v>2217</v>
      </c>
      <c r="C2219" s="3" t="n">
        <v>2</v>
      </c>
      <c r="D2219" s="3" t="n">
        <v>23</v>
      </c>
      <c r="E2219" s="3" t="n">
        <v>5</v>
      </c>
      <c r="F2219" s="24" t="n">
        <v>0</v>
      </c>
    </row>
    <row r="2220" customFormat="false" ht="15" hidden="false" customHeight="false" outlineLevel="0" collapsed="false">
      <c r="A2220" s="3" t="n">
        <v>2219</v>
      </c>
      <c r="B2220" s="3" t="n">
        <v>2218</v>
      </c>
      <c r="C2220" s="3" t="n">
        <v>2</v>
      </c>
      <c r="D2220" s="3" t="n">
        <v>23</v>
      </c>
      <c r="E2220" s="3" t="n">
        <v>6</v>
      </c>
      <c r="F2220" s="24" t="n">
        <v>0</v>
      </c>
    </row>
    <row r="2221" customFormat="false" ht="15" hidden="false" customHeight="false" outlineLevel="0" collapsed="false">
      <c r="A2221" s="3" t="n">
        <v>2220</v>
      </c>
      <c r="B2221" s="3" t="n">
        <v>2219</v>
      </c>
      <c r="C2221" s="3" t="n">
        <v>2</v>
      </c>
      <c r="D2221" s="3" t="n">
        <v>23</v>
      </c>
      <c r="E2221" s="3" t="n">
        <v>7</v>
      </c>
      <c r="F2221" s="24" t="n">
        <v>0</v>
      </c>
    </row>
    <row r="2222" customFormat="false" ht="15" hidden="false" customHeight="false" outlineLevel="0" collapsed="false">
      <c r="A2222" s="3" t="n">
        <v>2221</v>
      </c>
      <c r="B2222" s="3" t="n">
        <v>2220</v>
      </c>
      <c r="C2222" s="3" t="n">
        <v>2</v>
      </c>
      <c r="D2222" s="3" t="n">
        <v>23</v>
      </c>
      <c r="E2222" s="3" t="n">
        <v>8</v>
      </c>
      <c r="F2222" s="24" t="n">
        <v>0</v>
      </c>
    </row>
    <row r="2223" customFormat="false" ht="15" hidden="false" customHeight="false" outlineLevel="0" collapsed="false">
      <c r="A2223" s="3" t="n">
        <v>2222</v>
      </c>
      <c r="B2223" s="3" t="n">
        <v>2221</v>
      </c>
      <c r="C2223" s="3" t="n">
        <v>2</v>
      </c>
      <c r="D2223" s="3" t="n">
        <v>23</v>
      </c>
      <c r="E2223" s="3" t="n">
        <v>9</v>
      </c>
      <c r="F2223" s="24" t="n">
        <v>0.17539075</v>
      </c>
    </row>
    <row r="2224" customFormat="false" ht="15" hidden="false" customHeight="false" outlineLevel="0" collapsed="false">
      <c r="A2224" s="3" t="n">
        <v>2223</v>
      </c>
      <c r="B2224" s="3" t="n">
        <v>2222</v>
      </c>
      <c r="C2224" s="3" t="n">
        <v>2</v>
      </c>
      <c r="D2224" s="3" t="n">
        <v>23</v>
      </c>
      <c r="E2224" s="3" t="n">
        <v>10</v>
      </c>
      <c r="F2224" s="24" t="n">
        <v>2.21976781</v>
      </c>
    </row>
    <row r="2225" customFormat="false" ht="15" hidden="false" customHeight="false" outlineLevel="0" collapsed="false">
      <c r="A2225" s="3" t="n">
        <v>2224</v>
      </c>
      <c r="B2225" s="3" t="n">
        <v>2223</v>
      </c>
      <c r="C2225" s="3" t="n">
        <v>2</v>
      </c>
      <c r="D2225" s="3" t="n">
        <v>23</v>
      </c>
      <c r="E2225" s="3" t="n">
        <v>11</v>
      </c>
      <c r="F2225" s="24" t="n">
        <v>3.75892401</v>
      </c>
    </row>
    <row r="2226" customFormat="false" ht="15" hidden="false" customHeight="false" outlineLevel="0" collapsed="false">
      <c r="A2226" s="3" t="n">
        <v>2225</v>
      </c>
      <c r="B2226" s="3" t="n">
        <v>2224</v>
      </c>
      <c r="C2226" s="3" t="n">
        <v>2</v>
      </c>
      <c r="D2226" s="3" t="n">
        <v>23</v>
      </c>
      <c r="E2226" s="3" t="n">
        <v>12</v>
      </c>
      <c r="F2226" s="24" t="n">
        <v>1.46631062</v>
      </c>
    </row>
    <row r="2227" customFormat="false" ht="15" hidden="false" customHeight="false" outlineLevel="0" collapsed="false">
      <c r="A2227" s="3" t="n">
        <v>2226</v>
      </c>
      <c r="B2227" s="3" t="n">
        <v>2225</v>
      </c>
      <c r="C2227" s="3" t="n">
        <v>2</v>
      </c>
      <c r="D2227" s="3" t="n">
        <v>23</v>
      </c>
      <c r="E2227" s="3" t="n">
        <v>13</v>
      </c>
      <c r="F2227" s="24" t="n">
        <v>0</v>
      </c>
    </row>
    <row r="2228" customFormat="false" ht="15" hidden="false" customHeight="false" outlineLevel="0" collapsed="false">
      <c r="A2228" s="3" t="n">
        <v>2227</v>
      </c>
      <c r="B2228" s="3" t="n">
        <v>2226</v>
      </c>
      <c r="C2228" s="3" t="n">
        <v>2</v>
      </c>
      <c r="D2228" s="3" t="n">
        <v>23</v>
      </c>
      <c r="E2228" s="3" t="n">
        <v>14</v>
      </c>
      <c r="F2228" s="24" t="n">
        <v>0</v>
      </c>
    </row>
    <row r="2229" customFormat="false" ht="15" hidden="false" customHeight="false" outlineLevel="0" collapsed="false">
      <c r="A2229" s="3" t="n">
        <v>2228</v>
      </c>
      <c r="B2229" s="3" t="n">
        <v>2227</v>
      </c>
      <c r="C2229" s="3" t="n">
        <v>2</v>
      </c>
      <c r="D2229" s="3" t="n">
        <v>23</v>
      </c>
      <c r="E2229" s="3" t="n">
        <v>15</v>
      </c>
      <c r="F2229" s="24" t="n">
        <v>0</v>
      </c>
    </row>
    <row r="2230" customFormat="false" ht="15" hidden="false" customHeight="false" outlineLevel="0" collapsed="false">
      <c r="A2230" s="3" t="n">
        <v>2229</v>
      </c>
      <c r="B2230" s="3" t="n">
        <v>2228</v>
      </c>
      <c r="C2230" s="3" t="n">
        <v>2</v>
      </c>
      <c r="D2230" s="3" t="n">
        <v>23</v>
      </c>
      <c r="E2230" s="3" t="n">
        <v>16</v>
      </c>
      <c r="F2230" s="24" t="n">
        <v>0</v>
      </c>
    </row>
    <row r="2231" customFormat="false" ht="15" hidden="false" customHeight="false" outlineLevel="0" collapsed="false">
      <c r="A2231" s="3" t="n">
        <v>2230</v>
      </c>
      <c r="B2231" s="3" t="n">
        <v>2229</v>
      </c>
      <c r="C2231" s="3" t="n">
        <v>2</v>
      </c>
      <c r="D2231" s="3" t="n">
        <v>23</v>
      </c>
      <c r="E2231" s="3" t="n">
        <v>17</v>
      </c>
      <c r="F2231" s="24" t="n">
        <v>0</v>
      </c>
    </row>
    <row r="2232" customFormat="false" ht="15" hidden="false" customHeight="false" outlineLevel="0" collapsed="false">
      <c r="A2232" s="3" t="n">
        <v>2231</v>
      </c>
      <c r="B2232" s="3" t="n">
        <v>2230</v>
      </c>
      <c r="C2232" s="3" t="n">
        <v>2</v>
      </c>
      <c r="D2232" s="3" t="n">
        <v>23</v>
      </c>
      <c r="E2232" s="3" t="n">
        <v>18</v>
      </c>
      <c r="F2232" s="24" t="n">
        <v>0</v>
      </c>
    </row>
    <row r="2233" customFormat="false" ht="15" hidden="false" customHeight="false" outlineLevel="0" collapsed="false">
      <c r="A2233" s="3" t="n">
        <v>2232</v>
      </c>
      <c r="B2233" s="3" t="n">
        <v>2231</v>
      </c>
      <c r="C2233" s="3" t="n">
        <v>2</v>
      </c>
      <c r="D2233" s="3" t="n">
        <v>23</v>
      </c>
      <c r="E2233" s="3" t="n">
        <v>19</v>
      </c>
      <c r="F2233" s="24" t="n">
        <v>0</v>
      </c>
    </row>
    <row r="2234" customFormat="false" ht="15" hidden="false" customHeight="false" outlineLevel="0" collapsed="false">
      <c r="A2234" s="3" t="n">
        <v>2233</v>
      </c>
      <c r="B2234" s="3" t="n">
        <v>2232</v>
      </c>
      <c r="C2234" s="3" t="n">
        <v>2</v>
      </c>
      <c r="D2234" s="3" t="n">
        <v>23</v>
      </c>
      <c r="E2234" s="3" t="n">
        <v>20</v>
      </c>
      <c r="F2234" s="24" t="n">
        <v>0</v>
      </c>
    </row>
    <row r="2235" customFormat="false" ht="15" hidden="false" customHeight="false" outlineLevel="0" collapsed="false">
      <c r="A2235" s="3" t="n">
        <v>2234</v>
      </c>
      <c r="B2235" s="3" t="n">
        <v>2233</v>
      </c>
      <c r="C2235" s="3" t="n">
        <v>2</v>
      </c>
      <c r="D2235" s="3" t="n">
        <v>23</v>
      </c>
      <c r="E2235" s="3" t="n">
        <v>21</v>
      </c>
      <c r="F2235" s="24" t="n">
        <v>0</v>
      </c>
    </row>
    <row r="2236" customFormat="false" ht="15" hidden="false" customHeight="false" outlineLevel="0" collapsed="false">
      <c r="A2236" s="3" t="n">
        <v>2235</v>
      </c>
      <c r="B2236" s="3" t="n">
        <v>2234</v>
      </c>
      <c r="C2236" s="3" t="n">
        <v>2</v>
      </c>
      <c r="D2236" s="3" t="n">
        <v>23</v>
      </c>
      <c r="E2236" s="3" t="n">
        <v>22</v>
      </c>
      <c r="F2236" s="24" t="n">
        <v>0</v>
      </c>
    </row>
    <row r="2237" customFormat="false" ht="15" hidden="false" customHeight="false" outlineLevel="0" collapsed="false">
      <c r="A2237" s="3" t="n">
        <v>2236</v>
      </c>
      <c r="B2237" s="3" t="n">
        <v>2235</v>
      </c>
      <c r="C2237" s="3" t="n">
        <v>2</v>
      </c>
      <c r="D2237" s="3" t="n">
        <v>23</v>
      </c>
      <c r="E2237" s="3" t="n">
        <v>23</v>
      </c>
      <c r="F2237" s="24" t="n">
        <v>0</v>
      </c>
    </row>
    <row r="2238" customFormat="false" ht="15" hidden="false" customHeight="false" outlineLevel="0" collapsed="false">
      <c r="A2238" s="3" t="n">
        <v>2237</v>
      </c>
      <c r="B2238" s="3" t="n">
        <v>2236</v>
      </c>
      <c r="C2238" s="3" t="n">
        <v>2</v>
      </c>
      <c r="D2238" s="3" t="n">
        <v>23</v>
      </c>
      <c r="E2238" s="3" t="n">
        <v>24</v>
      </c>
      <c r="F2238" s="24" t="n">
        <v>0</v>
      </c>
    </row>
    <row r="2239" customFormat="false" ht="15" hidden="false" customHeight="false" outlineLevel="0" collapsed="false">
      <c r="A2239" s="3" t="n">
        <v>2238</v>
      </c>
      <c r="B2239" s="3" t="n">
        <v>2237</v>
      </c>
      <c r="C2239" s="3" t="n">
        <v>2</v>
      </c>
      <c r="D2239" s="3" t="n">
        <v>23</v>
      </c>
      <c r="E2239" s="3" t="n">
        <v>25</v>
      </c>
      <c r="F2239" s="24" t="n">
        <v>0</v>
      </c>
    </row>
    <row r="2240" customFormat="false" ht="15" hidden="false" customHeight="false" outlineLevel="0" collapsed="false">
      <c r="A2240" s="3" t="n">
        <v>2239</v>
      </c>
      <c r="B2240" s="3" t="n">
        <v>2238</v>
      </c>
      <c r="C2240" s="3" t="n">
        <v>2</v>
      </c>
      <c r="D2240" s="3" t="n">
        <v>23</v>
      </c>
      <c r="E2240" s="3" t="n">
        <v>26</v>
      </c>
      <c r="F2240" s="24" t="n">
        <v>0</v>
      </c>
    </row>
    <row r="2241" customFormat="false" ht="15" hidden="false" customHeight="false" outlineLevel="0" collapsed="false">
      <c r="A2241" s="3" t="n">
        <v>2240</v>
      </c>
      <c r="B2241" s="3" t="n">
        <v>2239</v>
      </c>
      <c r="C2241" s="3" t="n">
        <v>2</v>
      </c>
      <c r="D2241" s="3" t="n">
        <v>23</v>
      </c>
      <c r="E2241" s="3" t="n">
        <v>27</v>
      </c>
      <c r="F2241" s="24" t="n">
        <v>0.387737483</v>
      </c>
    </row>
    <row r="2242" customFormat="false" ht="15" hidden="false" customHeight="false" outlineLevel="0" collapsed="false">
      <c r="A2242" s="3" t="n">
        <v>2241</v>
      </c>
      <c r="B2242" s="3" t="n">
        <v>2240</v>
      </c>
      <c r="C2242" s="3" t="n">
        <v>2</v>
      </c>
      <c r="D2242" s="3" t="n">
        <v>24</v>
      </c>
      <c r="E2242" s="3" t="n">
        <v>0</v>
      </c>
      <c r="F2242" s="24" t="n">
        <v>0</v>
      </c>
    </row>
    <row r="2243" customFormat="false" ht="15" hidden="false" customHeight="false" outlineLevel="0" collapsed="false">
      <c r="A2243" s="3" t="n">
        <v>2242</v>
      </c>
      <c r="B2243" s="3" t="n">
        <v>2241</v>
      </c>
      <c r="C2243" s="3" t="n">
        <v>2</v>
      </c>
      <c r="D2243" s="3" t="n">
        <v>24</v>
      </c>
      <c r="E2243" s="3" t="n">
        <v>1</v>
      </c>
      <c r="F2243" s="24" t="n">
        <v>0</v>
      </c>
    </row>
    <row r="2244" customFormat="false" ht="15" hidden="false" customHeight="false" outlineLevel="0" collapsed="false">
      <c r="A2244" s="3" t="n">
        <v>2243</v>
      </c>
      <c r="B2244" s="3" t="n">
        <v>2242</v>
      </c>
      <c r="C2244" s="3" t="n">
        <v>2</v>
      </c>
      <c r="D2244" s="3" t="n">
        <v>24</v>
      </c>
      <c r="E2244" s="3" t="n">
        <v>2</v>
      </c>
      <c r="F2244" s="24" t="n">
        <v>0</v>
      </c>
    </row>
    <row r="2245" customFormat="false" ht="15" hidden="false" customHeight="false" outlineLevel="0" collapsed="false">
      <c r="A2245" s="3" t="n">
        <v>2244</v>
      </c>
      <c r="B2245" s="3" t="n">
        <v>2243</v>
      </c>
      <c r="C2245" s="3" t="n">
        <v>2</v>
      </c>
      <c r="D2245" s="3" t="n">
        <v>24</v>
      </c>
      <c r="E2245" s="3" t="n">
        <v>3</v>
      </c>
      <c r="F2245" s="24" t="n">
        <v>0</v>
      </c>
    </row>
    <row r="2246" customFormat="false" ht="15" hidden="false" customHeight="false" outlineLevel="0" collapsed="false">
      <c r="A2246" s="3" t="n">
        <v>2245</v>
      </c>
      <c r="B2246" s="3" t="n">
        <v>2244</v>
      </c>
      <c r="C2246" s="3" t="n">
        <v>2</v>
      </c>
      <c r="D2246" s="3" t="n">
        <v>24</v>
      </c>
      <c r="E2246" s="3" t="n">
        <v>4</v>
      </c>
      <c r="F2246" s="24" t="n">
        <v>0</v>
      </c>
    </row>
    <row r="2247" customFormat="false" ht="15" hidden="false" customHeight="false" outlineLevel="0" collapsed="false">
      <c r="A2247" s="3" t="n">
        <v>2246</v>
      </c>
      <c r="B2247" s="3" t="n">
        <v>2245</v>
      </c>
      <c r="C2247" s="3" t="n">
        <v>2</v>
      </c>
      <c r="D2247" s="3" t="n">
        <v>24</v>
      </c>
      <c r="E2247" s="3" t="n">
        <v>5</v>
      </c>
      <c r="F2247" s="24" t="n">
        <v>0</v>
      </c>
    </row>
    <row r="2248" customFormat="false" ht="15" hidden="false" customHeight="false" outlineLevel="0" collapsed="false">
      <c r="A2248" s="3" t="n">
        <v>2247</v>
      </c>
      <c r="B2248" s="3" t="n">
        <v>2246</v>
      </c>
      <c r="C2248" s="3" t="n">
        <v>2</v>
      </c>
      <c r="D2248" s="3" t="n">
        <v>24</v>
      </c>
      <c r="E2248" s="3" t="n">
        <v>6</v>
      </c>
      <c r="F2248" s="24" t="n">
        <v>0</v>
      </c>
    </row>
    <row r="2249" customFormat="false" ht="15" hidden="false" customHeight="false" outlineLevel="0" collapsed="false">
      <c r="A2249" s="3" t="n">
        <v>2248</v>
      </c>
      <c r="B2249" s="3" t="n">
        <v>2247</v>
      </c>
      <c r="C2249" s="3" t="n">
        <v>2</v>
      </c>
      <c r="D2249" s="3" t="n">
        <v>24</v>
      </c>
      <c r="E2249" s="3" t="n">
        <v>7</v>
      </c>
      <c r="F2249" s="24" t="n">
        <v>0</v>
      </c>
    </row>
    <row r="2250" customFormat="false" ht="15" hidden="false" customHeight="false" outlineLevel="0" collapsed="false">
      <c r="A2250" s="3" t="n">
        <v>2249</v>
      </c>
      <c r="B2250" s="3" t="n">
        <v>2248</v>
      </c>
      <c r="C2250" s="3" t="n">
        <v>2</v>
      </c>
      <c r="D2250" s="3" t="n">
        <v>24</v>
      </c>
      <c r="E2250" s="3" t="n">
        <v>8</v>
      </c>
      <c r="F2250" s="24" t="n">
        <v>0</v>
      </c>
    </row>
    <row r="2251" customFormat="false" ht="15" hidden="false" customHeight="false" outlineLevel="0" collapsed="false">
      <c r="A2251" s="3" t="n">
        <v>2250</v>
      </c>
      <c r="B2251" s="3" t="n">
        <v>2249</v>
      </c>
      <c r="C2251" s="3" t="n">
        <v>2</v>
      </c>
      <c r="D2251" s="3" t="n">
        <v>24</v>
      </c>
      <c r="E2251" s="3" t="n">
        <v>9</v>
      </c>
      <c r="F2251" s="24" t="n">
        <v>0.891317844</v>
      </c>
    </row>
    <row r="2252" customFormat="false" ht="15" hidden="false" customHeight="false" outlineLevel="0" collapsed="false">
      <c r="A2252" s="3" t="n">
        <v>2251</v>
      </c>
      <c r="B2252" s="3" t="n">
        <v>2250</v>
      </c>
      <c r="C2252" s="3" t="n">
        <v>2</v>
      </c>
      <c r="D2252" s="3" t="n">
        <v>24</v>
      </c>
      <c r="E2252" s="3" t="n">
        <v>10</v>
      </c>
      <c r="F2252" s="24" t="n">
        <v>3.48525357</v>
      </c>
    </row>
    <row r="2253" customFormat="false" ht="15" hidden="false" customHeight="false" outlineLevel="0" collapsed="false">
      <c r="A2253" s="3" t="n">
        <v>2252</v>
      </c>
      <c r="B2253" s="3" t="n">
        <v>2251</v>
      </c>
      <c r="C2253" s="3" t="n">
        <v>2</v>
      </c>
      <c r="D2253" s="3" t="n">
        <v>24</v>
      </c>
      <c r="E2253" s="3" t="n">
        <v>11</v>
      </c>
      <c r="F2253" s="24" t="n">
        <v>2.95626593</v>
      </c>
    </row>
    <row r="2254" customFormat="false" ht="15" hidden="false" customHeight="false" outlineLevel="0" collapsed="false">
      <c r="A2254" s="3" t="n">
        <v>2253</v>
      </c>
      <c r="B2254" s="3" t="n">
        <v>2252</v>
      </c>
      <c r="C2254" s="3" t="n">
        <v>2</v>
      </c>
      <c r="D2254" s="3" t="n">
        <v>24</v>
      </c>
      <c r="E2254" s="3" t="n">
        <v>12</v>
      </c>
      <c r="F2254" s="24" t="n">
        <v>0</v>
      </c>
    </row>
    <row r="2255" customFormat="false" ht="15" hidden="false" customHeight="false" outlineLevel="0" collapsed="false">
      <c r="A2255" s="3" t="n">
        <v>2254</v>
      </c>
      <c r="B2255" s="3" t="n">
        <v>2253</v>
      </c>
      <c r="C2255" s="3" t="n">
        <v>2</v>
      </c>
      <c r="D2255" s="3" t="n">
        <v>24</v>
      </c>
      <c r="E2255" s="3" t="n">
        <v>13</v>
      </c>
      <c r="F2255" s="24" t="n">
        <v>0</v>
      </c>
    </row>
    <row r="2256" customFormat="false" ht="15" hidden="false" customHeight="false" outlineLevel="0" collapsed="false">
      <c r="A2256" s="3" t="n">
        <v>2255</v>
      </c>
      <c r="B2256" s="3" t="n">
        <v>2254</v>
      </c>
      <c r="C2256" s="3" t="n">
        <v>2</v>
      </c>
      <c r="D2256" s="3" t="n">
        <v>24</v>
      </c>
      <c r="E2256" s="3" t="n">
        <v>14</v>
      </c>
      <c r="F2256" s="24" t="n">
        <v>0</v>
      </c>
    </row>
    <row r="2257" customFormat="false" ht="15" hidden="false" customHeight="false" outlineLevel="0" collapsed="false">
      <c r="A2257" s="3" t="n">
        <v>2256</v>
      </c>
      <c r="B2257" s="3" t="n">
        <v>2255</v>
      </c>
      <c r="C2257" s="3" t="n">
        <v>2</v>
      </c>
      <c r="D2257" s="3" t="n">
        <v>24</v>
      </c>
      <c r="E2257" s="3" t="n">
        <v>15</v>
      </c>
      <c r="F2257" s="24" t="n">
        <v>0</v>
      </c>
    </row>
    <row r="2258" customFormat="false" ht="15" hidden="false" customHeight="false" outlineLevel="0" collapsed="false">
      <c r="A2258" s="3" t="n">
        <v>2257</v>
      </c>
      <c r="B2258" s="3" t="n">
        <v>2256</v>
      </c>
      <c r="C2258" s="3" t="n">
        <v>2</v>
      </c>
      <c r="D2258" s="3" t="n">
        <v>24</v>
      </c>
      <c r="E2258" s="3" t="n">
        <v>16</v>
      </c>
      <c r="F2258" s="24" t="n">
        <v>0</v>
      </c>
    </row>
    <row r="2259" customFormat="false" ht="15" hidden="false" customHeight="false" outlineLevel="0" collapsed="false">
      <c r="A2259" s="3" t="n">
        <v>2258</v>
      </c>
      <c r="B2259" s="3" t="n">
        <v>2257</v>
      </c>
      <c r="C2259" s="3" t="n">
        <v>2</v>
      </c>
      <c r="D2259" s="3" t="n">
        <v>24</v>
      </c>
      <c r="E2259" s="3" t="n">
        <v>17</v>
      </c>
      <c r="F2259" s="24" t="n">
        <v>0</v>
      </c>
    </row>
    <row r="2260" customFormat="false" ht="15" hidden="false" customHeight="false" outlineLevel="0" collapsed="false">
      <c r="A2260" s="3" t="n">
        <v>2259</v>
      </c>
      <c r="B2260" s="3" t="n">
        <v>2258</v>
      </c>
      <c r="C2260" s="3" t="n">
        <v>2</v>
      </c>
      <c r="D2260" s="3" t="n">
        <v>24</v>
      </c>
      <c r="E2260" s="3" t="n">
        <v>18</v>
      </c>
      <c r="F2260" s="24" t="n">
        <v>0</v>
      </c>
    </row>
    <row r="2261" customFormat="false" ht="15" hidden="false" customHeight="false" outlineLevel="0" collapsed="false">
      <c r="A2261" s="3" t="n">
        <v>2260</v>
      </c>
      <c r="B2261" s="3" t="n">
        <v>2259</v>
      </c>
      <c r="C2261" s="3" t="n">
        <v>2</v>
      </c>
      <c r="D2261" s="3" t="n">
        <v>24</v>
      </c>
      <c r="E2261" s="3" t="n">
        <v>19</v>
      </c>
      <c r="F2261" s="24" t="n">
        <v>0</v>
      </c>
    </row>
    <row r="2262" customFormat="false" ht="15" hidden="false" customHeight="false" outlineLevel="0" collapsed="false">
      <c r="A2262" s="3" t="n">
        <v>2261</v>
      </c>
      <c r="B2262" s="3" t="n">
        <v>2260</v>
      </c>
      <c r="C2262" s="3" t="n">
        <v>2</v>
      </c>
      <c r="D2262" s="3" t="n">
        <v>24</v>
      </c>
      <c r="E2262" s="3" t="n">
        <v>20</v>
      </c>
      <c r="F2262" s="24" t="n">
        <v>0</v>
      </c>
    </row>
    <row r="2263" customFormat="false" ht="15" hidden="false" customHeight="false" outlineLevel="0" collapsed="false">
      <c r="A2263" s="3" t="n">
        <v>2262</v>
      </c>
      <c r="B2263" s="3" t="n">
        <v>2261</v>
      </c>
      <c r="C2263" s="3" t="n">
        <v>2</v>
      </c>
      <c r="D2263" s="3" t="n">
        <v>24</v>
      </c>
      <c r="E2263" s="3" t="n">
        <v>21</v>
      </c>
      <c r="F2263" s="24" t="n">
        <v>0</v>
      </c>
    </row>
    <row r="2264" customFormat="false" ht="15" hidden="false" customHeight="false" outlineLevel="0" collapsed="false">
      <c r="A2264" s="3" t="n">
        <v>2263</v>
      </c>
      <c r="B2264" s="3" t="n">
        <v>2262</v>
      </c>
      <c r="C2264" s="3" t="n">
        <v>2</v>
      </c>
      <c r="D2264" s="3" t="n">
        <v>24</v>
      </c>
      <c r="E2264" s="3" t="n">
        <v>22</v>
      </c>
      <c r="F2264" s="24" t="n">
        <v>0</v>
      </c>
    </row>
    <row r="2265" customFormat="false" ht="15" hidden="false" customHeight="false" outlineLevel="0" collapsed="false">
      <c r="A2265" s="3" t="n">
        <v>2264</v>
      </c>
      <c r="B2265" s="3" t="n">
        <v>2263</v>
      </c>
      <c r="C2265" s="3" t="n">
        <v>2</v>
      </c>
      <c r="D2265" s="3" t="n">
        <v>24</v>
      </c>
      <c r="E2265" s="3" t="n">
        <v>23</v>
      </c>
      <c r="F2265" s="24" t="n">
        <v>0</v>
      </c>
    </row>
    <row r="2266" customFormat="false" ht="15" hidden="false" customHeight="false" outlineLevel="0" collapsed="false">
      <c r="A2266" s="3" t="n">
        <v>2265</v>
      </c>
      <c r="B2266" s="3" t="n">
        <v>2264</v>
      </c>
      <c r="C2266" s="3" t="n">
        <v>2</v>
      </c>
      <c r="D2266" s="3" t="n">
        <v>24</v>
      </c>
      <c r="E2266" s="3" t="n">
        <v>24</v>
      </c>
      <c r="F2266" s="24" t="n">
        <v>0</v>
      </c>
    </row>
    <row r="2267" customFormat="false" ht="15" hidden="false" customHeight="false" outlineLevel="0" collapsed="false">
      <c r="A2267" s="3" t="n">
        <v>2266</v>
      </c>
      <c r="B2267" s="3" t="n">
        <v>2265</v>
      </c>
      <c r="C2267" s="3" t="n">
        <v>2</v>
      </c>
      <c r="D2267" s="3" t="n">
        <v>24</v>
      </c>
      <c r="E2267" s="3" t="n">
        <v>25</v>
      </c>
      <c r="F2267" s="24" t="n">
        <v>0</v>
      </c>
    </row>
    <row r="2268" customFormat="false" ht="15" hidden="false" customHeight="false" outlineLevel="0" collapsed="false">
      <c r="A2268" s="3" t="n">
        <v>2267</v>
      </c>
      <c r="B2268" s="3" t="n">
        <v>2266</v>
      </c>
      <c r="C2268" s="3" t="n">
        <v>2</v>
      </c>
      <c r="D2268" s="3" t="n">
        <v>24</v>
      </c>
      <c r="E2268" s="3" t="n">
        <v>26</v>
      </c>
      <c r="F2268" s="24" t="n">
        <v>0</v>
      </c>
    </row>
    <row r="2269" customFormat="false" ht="15" hidden="false" customHeight="false" outlineLevel="0" collapsed="false">
      <c r="A2269" s="3" t="n">
        <v>2268</v>
      </c>
      <c r="B2269" s="3" t="n">
        <v>2267</v>
      </c>
      <c r="C2269" s="3" t="n">
        <v>2</v>
      </c>
      <c r="D2269" s="3" t="n">
        <v>24</v>
      </c>
      <c r="E2269" s="3" t="n">
        <v>27</v>
      </c>
      <c r="F2269" s="24" t="n">
        <v>0.387737483</v>
      </c>
    </row>
    <row r="2270" customFormat="false" ht="15" hidden="false" customHeight="false" outlineLevel="0" collapsed="false">
      <c r="A2270" s="3" t="n">
        <v>2269</v>
      </c>
      <c r="B2270" s="3" t="n">
        <v>2268</v>
      </c>
      <c r="C2270" s="3" t="n">
        <v>2</v>
      </c>
      <c r="D2270" s="3" t="n">
        <v>25</v>
      </c>
      <c r="E2270" s="3" t="n">
        <v>0</v>
      </c>
      <c r="F2270" s="24" t="n">
        <v>0</v>
      </c>
    </row>
    <row r="2271" customFormat="false" ht="15" hidden="false" customHeight="false" outlineLevel="0" collapsed="false">
      <c r="A2271" s="3" t="n">
        <v>2270</v>
      </c>
      <c r="B2271" s="3" t="n">
        <v>2269</v>
      </c>
      <c r="C2271" s="3" t="n">
        <v>2</v>
      </c>
      <c r="D2271" s="3" t="n">
        <v>25</v>
      </c>
      <c r="E2271" s="3" t="n">
        <v>1</v>
      </c>
      <c r="F2271" s="24" t="n">
        <v>0</v>
      </c>
    </row>
    <row r="2272" customFormat="false" ht="15" hidden="false" customHeight="false" outlineLevel="0" collapsed="false">
      <c r="A2272" s="3" t="n">
        <v>2271</v>
      </c>
      <c r="B2272" s="3" t="n">
        <v>2270</v>
      </c>
      <c r="C2272" s="3" t="n">
        <v>2</v>
      </c>
      <c r="D2272" s="3" t="n">
        <v>25</v>
      </c>
      <c r="E2272" s="3" t="n">
        <v>2</v>
      </c>
      <c r="F2272" s="24" t="n">
        <v>0</v>
      </c>
    </row>
    <row r="2273" customFormat="false" ht="15" hidden="false" customHeight="false" outlineLevel="0" collapsed="false">
      <c r="A2273" s="3" t="n">
        <v>2272</v>
      </c>
      <c r="B2273" s="3" t="n">
        <v>2271</v>
      </c>
      <c r="C2273" s="3" t="n">
        <v>2</v>
      </c>
      <c r="D2273" s="3" t="n">
        <v>25</v>
      </c>
      <c r="E2273" s="3" t="n">
        <v>3</v>
      </c>
      <c r="F2273" s="24" t="n">
        <v>0</v>
      </c>
    </row>
    <row r="2274" customFormat="false" ht="15" hidden="false" customHeight="false" outlineLevel="0" collapsed="false">
      <c r="A2274" s="3" t="n">
        <v>2273</v>
      </c>
      <c r="B2274" s="3" t="n">
        <v>2272</v>
      </c>
      <c r="C2274" s="3" t="n">
        <v>2</v>
      </c>
      <c r="D2274" s="3" t="n">
        <v>25</v>
      </c>
      <c r="E2274" s="3" t="n">
        <v>4</v>
      </c>
      <c r="F2274" s="24" t="n">
        <v>0</v>
      </c>
    </row>
    <row r="2275" customFormat="false" ht="15" hidden="false" customHeight="false" outlineLevel="0" collapsed="false">
      <c r="A2275" s="3" t="n">
        <v>2274</v>
      </c>
      <c r="B2275" s="3" t="n">
        <v>2273</v>
      </c>
      <c r="C2275" s="3" t="n">
        <v>2</v>
      </c>
      <c r="D2275" s="3" t="n">
        <v>25</v>
      </c>
      <c r="E2275" s="3" t="n">
        <v>5</v>
      </c>
      <c r="F2275" s="24" t="n">
        <v>0</v>
      </c>
    </row>
    <row r="2276" customFormat="false" ht="15" hidden="false" customHeight="false" outlineLevel="0" collapsed="false">
      <c r="A2276" s="3" t="n">
        <v>2275</v>
      </c>
      <c r="B2276" s="3" t="n">
        <v>2274</v>
      </c>
      <c r="C2276" s="3" t="n">
        <v>2</v>
      </c>
      <c r="D2276" s="3" t="n">
        <v>25</v>
      </c>
      <c r="E2276" s="3" t="n">
        <v>6</v>
      </c>
      <c r="F2276" s="24" t="n">
        <v>0</v>
      </c>
    </row>
    <row r="2277" customFormat="false" ht="15" hidden="false" customHeight="false" outlineLevel="0" collapsed="false">
      <c r="A2277" s="3" t="n">
        <v>2276</v>
      </c>
      <c r="B2277" s="3" t="n">
        <v>2275</v>
      </c>
      <c r="C2277" s="3" t="n">
        <v>2</v>
      </c>
      <c r="D2277" s="3" t="n">
        <v>25</v>
      </c>
      <c r="E2277" s="3" t="n">
        <v>7</v>
      </c>
      <c r="F2277" s="24" t="n">
        <v>0</v>
      </c>
    </row>
    <row r="2278" customFormat="false" ht="15" hidden="false" customHeight="false" outlineLevel="0" collapsed="false">
      <c r="A2278" s="3" t="n">
        <v>2277</v>
      </c>
      <c r="B2278" s="3" t="n">
        <v>2276</v>
      </c>
      <c r="C2278" s="3" t="n">
        <v>2</v>
      </c>
      <c r="D2278" s="3" t="n">
        <v>25</v>
      </c>
      <c r="E2278" s="3" t="n">
        <v>8</v>
      </c>
      <c r="F2278" s="24" t="n">
        <v>0</v>
      </c>
    </row>
    <row r="2279" customFormat="false" ht="15" hidden="false" customHeight="false" outlineLevel="0" collapsed="false">
      <c r="A2279" s="3" t="n">
        <v>2278</v>
      </c>
      <c r="B2279" s="3" t="n">
        <v>2277</v>
      </c>
      <c r="C2279" s="3" t="n">
        <v>2</v>
      </c>
      <c r="D2279" s="3" t="n">
        <v>25</v>
      </c>
      <c r="E2279" s="3" t="n">
        <v>9</v>
      </c>
      <c r="F2279" s="24" t="n">
        <v>1.48250699</v>
      </c>
    </row>
    <row r="2280" customFormat="false" ht="15" hidden="false" customHeight="false" outlineLevel="0" collapsed="false">
      <c r="A2280" s="3" t="n">
        <v>2279</v>
      </c>
      <c r="B2280" s="3" t="n">
        <v>2278</v>
      </c>
      <c r="C2280" s="3" t="n">
        <v>2</v>
      </c>
      <c r="D2280" s="3" t="n">
        <v>25</v>
      </c>
      <c r="E2280" s="3" t="n">
        <v>10</v>
      </c>
      <c r="F2280" s="24" t="n">
        <v>3.78650403</v>
      </c>
    </row>
    <row r="2281" customFormat="false" ht="15" hidden="false" customHeight="false" outlineLevel="0" collapsed="false">
      <c r="A2281" s="3" t="n">
        <v>2280</v>
      </c>
      <c r="B2281" s="3" t="n">
        <v>2279</v>
      </c>
      <c r="C2281" s="3" t="n">
        <v>2</v>
      </c>
      <c r="D2281" s="3" t="n">
        <v>25</v>
      </c>
      <c r="E2281" s="3" t="n">
        <v>11</v>
      </c>
      <c r="F2281" s="24" t="n">
        <v>1.96187341</v>
      </c>
    </row>
    <row r="2282" customFormat="false" ht="15" hidden="false" customHeight="false" outlineLevel="0" collapsed="false">
      <c r="A2282" s="3" t="n">
        <v>2281</v>
      </c>
      <c r="B2282" s="3" t="n">
        <v>2280</v>
      </c>
      <c r="C2282" s="3" t="n">
        <v>2</v>
      </c>
      <c r="D2282" s="3" t="n">
        <v>25</v>
      </c>
      <c r="E2282" s="3" t="n">
        <v>12</v>
      </c>
      <c r="F2282" s="24" t="n">
        <v>0</v>
      </c>
    </row>
    <row r="2283" customFormat="false" ht="15" hidden="false" customHeight="false" outlineLevel="0" collapsed="false">
      <c r="A2283" s="3" t="n">
        <v>2282</v>
      </c>
      <c r="B2283" s="3" t="n">
        <v>2281</v>
      </c>
      <c r="C2283" s="3" t="n">
        <v>2</v>
      </c>
      <c r="D2283" s="3" t="n">
        <v>25</v>
      </c>
      <c r="E2283" s="3" t="n">
        <v>13</v>
      </c>
      <c r="F2283" s="24" t="n">
        <v>0</v>
      </c>
    </row>
    <row r="2284" customFormat="false" ht="15" hidden="false" customHeight="false" outlineLevel="0" collapsed="false">
      <c r="A2284" s="3" t="n">
        <v>2283</v>
      </c>
      <c r="B2284" s="3" t="n">
        <v>2282</v>
      </c>
      <c r="C2284" s="3" t="n">
        <v>2</v>
      </c>
      <c r="D2284" s="3" t="n">
        <v>25</v>
      </c>
      <c r="E2284" s="3" t="n">
        <v>14</v>
      </c>
      <c r="F2284" s="24" t="n">
        <v>0</v>
      </c>
    </row>
    <row r="2285" customFormat="false" ht="15" hidden="false" customHeight="false" outlineLevel="0" collapsed="false">
      <c r="A2285" s="3" t="n">
        <v>2284</v>
      </c>
      <c r="B2285" s="3" t="n">
        <v>2283</v>
      </c>
      <c r="C2285" s="3" t="n">
        <v>2</v>
      </c>
      <c r="D2285" s="3" t="n">
        <v>25</v>
      </c>
      <c r="E2285" s="3" t="n">
        <v>15</v>
      </c>
      <c r="F2285" s="24" t="n">
        <v>0</v>
      </c>
    </row>
    <row r="2286" customFormat="false" ht="15" hidden="false" customHeight="false" outlineLevel="0" collapsed="false">
      <c r="A2286" s="3" t="n">
        <v>2285</v>
      </c>
      <c r="B2286" s="3" t="n">
        <v>2284</v>
      </c>
      <c r="C2286" s="3" t="n">
        <v>2</v>
      </c>
      <c r="D2286" s="3" t="n">
        <v>25</v>
      </c>
      <c r="E2286" s="3" t="n">
        <v>16</v>
      </c>
      <c r="F2286" s="24" t="n">
        <v>0</v>
      </c>
    </row>
    <row r="2287" customFormat="false" ht="15" hidden="false" customHeight="false" outlineLevel="0" collapsed="false">
      <c r="A2287" s="3" t="n">
        <v>2286</v>
      </c>
      <c r="B2287" s="3" t="n">
        <v>2285</v>
      </c>
      <c r="C2287" s="3" t="n">
        <v>2</v>
      </c>
      <c r="D2287" s="3" t="n">
        <v>25</v>
      </c>
      <c r="E2287" s="3" t="n">
        <v>17</v>
      </c>
      <c r="F2287" s="24" t="n">
        <v>0</v>
      </c>
    </row>
    <row r="2288" customFormat="false" ht="15" hidden="false" customHeight="false" outlineLevel="0" collapsed="false">
      <c r="A2288" s="3" t="n">
        <v>2287</v>
      </c>
      <c r="B2288" s="3" t="n">
        <v>2286</v>
      </c>
      <c r="C2288" s="3" t="n">
        <v>2</v>
      </c>
      <c r="D2288" s="3" t="n">
        <v>25</v>
      </c>
      <c r="E2288" s="3" t="n">
        <v>18</v>
      </c>
      <c r="F2288" s="24" t="n">
        <v>0</v>
      </c>
    </row>
    <row r="2289" customFormat="false" ht="15" hidden="false" customHeight="false" outlineLevel="0" collapsed="false">
      <c r="A2289" s="3" t="n">
        <v>2288</v>
      </c>
      <c r="B2289" s="3" t="n">
        <v>2287</v>
      </c>
      <c r="C2289" s="3" t="n">
        <v>2</v>
      </c>
      <c r="D2289" s="3" t="n">
        <v>25</v>
      </c>
      <c r="E2289" s="3" t="n">
        <v>19</v>
      </c>
      <c r="F2289" s="24" t="n">
        <v>0</v>
      </c>
    </row>
    <row r="2290" customFormat="false" ht="15" hidden="false" customHeight="false" outlineLevel="0" collapsed="false">
      <c r="A2290" s="3" t="n">
        <v>2289</v>
      </c>
      <c r="B2290" s="3" t="n">
        <v>2288</v>
      </c>
      <c r="C2290" s="3" t="n">
        <v>2</v>
      </c>
      <c r="D2290" s="3" t="n">
        <v>25</v>
      </c>
      <c r="E2290" s="3" t="n">
        <v>20</v>
      </c>
      <c r="F2290" s="24" t="n">
        <v>0</v>
      </c>
    </row>
    <row r="2291" customFormat="false" ht="15" hidden="false" customHeight="false" outlineLevel="0" collapsed="false">
      <c r="A2291" s="3" t="n">
        <v>2290</v>
      </c>
      <c r="B2291" s="3" t="n">
        <v>2289</v>
      </c>
      <c r="C2291" s="3" t="n">
        <v>2</v>
      </c>
      <c r="D2291" s="3" t="n">
        <v>25</v>
      </c>
      <c r="E2291" s="3" t="n">
        <v>21</v>
      </c>
      <c r="F2291" s="24" t="n">
        <v>0</v>
      </c>
    </row>
    <row r="2292" customFormat="false" ht="15" hidden="false" customHeight="false" outlineLevel="0" collapsed="false">
      <c r="A2292" s="3" t="n">
        <v>2291</v>
      </c>
      <c r="B2292" s="3" t="n">
        <v>2290</v>
      </c>
      <c r="C2292" s="3" t="n">
        <v>2</v>
      </c>
      <c r="D2292" s="3" t="n">
        <v>25</v>
      </c>
      <c r="E2292" s="3" t="n">
        <v>22</v>
      </c>
      <c r="F2292" s="24" t="n">
        <v>0</v>
      </c>
    </row>
    <row r="2293" customFormat="false" ht="15" hidden="false" customHeight="false" outlineLevel="0" collapsed="false">
      <c r="A2293" s="3" t="n">
        <v>2292</v>
      </c>
      <c r="B2293" s="3" t="n">
        <v>2291</v>
      </c>
      <c r="C2293" s="3" t="n">
        <v>2</v>
      </c>
      <c r="D2293" s="3" t="n">
        <v>25</v>
      </c>
      <c r="E2293" s="3" t="n">
        <v>23</v>
      </c>
      <c r="F2293" s="24" t="n">
        <v>0</v>
      </c>
    </row>
    <row r="2294" customFormat="false" ht="15" hidden="false" customHeight="false" outlineLevel="0" collapsed="false">
      <c r="A2294" s="3" t="n">
        <v>2293</v>
      </c>
      <c r="B2294" s="3" t="n">
        <v>2292</v>
      </c>
      <c r="C2294" s="3" t="n">
        <v>2</v>
      </c>
      <c r="D2294" s="3" t="n">
        <v>25</v>
      </c>
      <c r="E2294" s="3" t="n">
        <v>24</v>
      </c>
      <c r="F2294" s="24" t="n">
        <v>0</v>
      </c>
    </row>
    <row r="2295" customFormat="false" ht="15" hidden="false" customHeight="false" outlineLevel="0" collapsed="false">
      <c r="A2295" s="3" t="n">
        <v>2294</v>
      </c>
      <c r="B2295" s="3" t="n">
        <v>2293</v>
      </c>
      <c r="C2295" s="3" t="n">
        <v>2</v>
      </c>
      <c r="D2295" s="3" t="n">
        <v>25</v>
      </c>
      <c r="E2295" s="3" t="n">
        <v>25</v>
      </c>
      <c r="F2295" s="24" t="n">
        <v>0</v>
      </c>
    </row>
    <row r="2296" customFormat="false" ht="15" hidden="false" customHeight="false" outlineLevel="0" collapsed="false">
      <c r="A2296" s="3" t="n">
        <v>2295</v>
      </c>
      <c r="B2296" s="3" t="n">
        <v>2294</v>
      </c>
      <c r="C2296" s="3" t="n">
        <v>2</v>
      </c>
      <c r="D2296" s="3" t="n">
        <v>25</v>
      </c>
      <c r="E2296" s="3" t="n">
        <v>26</v>
      </c>
      <c r="F2296" s="24" t="n">
        <v>0</v>
      </c>
    </row>
    <row r="2297" customFormat="false" ht="15" hidden="false" customHeight="false" outlineLevel="0" collapsed="false">
      <c r="A2297" s="3" t="n">
        <v>2296</v>
      </c>
      <c r="B2297" s="3" t="n">
        <v>2295</v>
      </c>
      <c r="C2297" s="3" t="n">
        <v>2</v>
      </c>
      <c r="D2297" s="3" t="n">
        <v>25</v>
      </c>
      <c r="E2297" s="3" t="n">
        <v>27</v>
      </c>
      <c r="F2297" s="24" t="n">
        <v>0.387737483</v>
      </c>
    </row>
    <row r="2298" customFormat="false" ht="15" hidden="false" customHeight="false" outlineLevel="0" collapsed="false">
      <c r="A2298" s="3" t="n">
        <v>2297</v>
      </c>
      <c r="B2298" s="3" t="n">
        <v>2296</v>
      </c>
      <c r="C2298" s="3" t="n">
        <v>2</v>
      </c>
      <c r="D2298" s="3" t="n">
        <v>26</v>
      </c>
      <c r="E2298" s="3" t="n">
        <v>0</v>
      </c>
      <c r="F2298" s="24" t="n">
        <v>0</v>
      </c>
    </row>
    <row r="2299" customFormat="false" ht="15" hidden="false" customHeight="false" outlineLevel="0" collapsed="false">
      <c r="A2299" s="3" t="n">
        <v>2298</v>
      </c>
      <c r="B2299" s="3" t="n">
        <v>2297</v>
      </c>
      <c r="C2299" s="3" t="n">
        <v>2</v>
      </c>
      <c r="D2299" s="3" t="n">
        <v>26</v>
      </c>
      <c r="E2299" s="3" t="n">
        <v>1</v>
      </c>
      <c r="F2299" s="24" t="n">
        <v>0</v>
      </c>
    </row>
    <row r="2300" customFormat="false" ht="15" hidden="false" customHeight="false" outlineLevel="0" collapsed="false">
      <c r="A2300" s="3" t="n">
        <v>2299</v>
      </c>
      <c r="B2300" s="3" t="n">
        <v>2298</v>
      </c>
      <c r="C2300" s="3" t="n">
        <v>2</v>
      </c>
      <c r="D2300" s="3" t="n">
        <v>26</v>
      </c>
      <c r="E2300" s="3" t="n">
        <v>2</v>
      </c>
      <c r="F2300" s="24" t="n">
        <v>0</v>
      </c>
    </row>
    <row r="2301" customFormat="false" ht="15" hidden="false" customHeight="false" outlineLevel="0" collapsed="false">
      <c r="A2301" s="3" t="n">
        <v>2300</v>
      </c>
      <c r="B2301" s="3" t="n">
        <v>2299</v>
      </c>
      <c r="C2301" s="3" t="n">
        <v>2</v>
      </c>
      <c r="D2301" s="3" t="n">
        <v>26</v>
      </c>
      <c r="E2301" s="3" t="n">
        <v>3</v>
      </c>
      <c r="F2301" s="24" t="n">
        <v>0</v>
      </c>
    </row>
    <row r="2302" customFormat="false" ht="15" hidden="false" customHeight="false" outlineLevel="0" collapsed="false">
      <c r="A2302" s="3" t="n">
        <v>2301</v>
      </c>
      <c r="B2302" s="3" t="n">
        <v>2300</v>
      </c>
      <c r="C2302" s="3" t="n">
        <v>2</v>
      </c>
      <c r="D2302" s="3" t="n">
        <v>26</v>
      </c>
      <c r="E2302" s="3" t="n">
        <v>4</v>
      </c>
      <c r="F2302" s="24" t="n">
        <v>0</v>
      </c>
    </row>
    <row r="2303" customFormat="false" ht="15" hidden="false" customHeight="false" outlineLevel="0" collapsed="false">
      <c r="A2303" s="3" t="n">
        <v>2302</v>
      </c>
      <c r="B2303" s="3" t="n">
        <v>2301</v>
      </c>
      <c r="C2303" s="3" t="n">
        <v>2</v>
      </c>
      <c r="D2303" s="3" t="n">
        <v>26</v>
      </c>
      <c r="E2303" s="3" t="n">
        <v>5</v>
      </c>
      <c r="F2303" s="24" t="n">
        <v>0</v>
      </c>
    </row>
    <row r="2304" customFormat="false" ht="15" hidden="false" customHeight="false" outlineLevel="0" collapsed="false">
      <c r="A2304" s="3" t="n">
        <v>2303</v>
      </c>
      <c r="B2304" s="3" t="n">
        <v>2302</v>
      </c>
      <c r="C2304" s="3" t="n">
        <v>2</v>
      </c>
      <c r="D2304" s="3" t="n">
        <v>26</v>
      </c>
      <c r="E2304" s="3" t="n">
        <v>6</v>
      </c>
      <c r="F2304" s="24" t="n">
        <v>0</v>
      </c>
    </row>
    <row r="2305" customFormat="false" ht="15" hidden="false" customHeight="false" outlineLevel="0" collapsed="false">
      <c r="A2305" s="3" t="n">
        <v>2304</v>
      </c>
      <c r="B2305" s="3" t="n">
        <v>2303</v>
      </c>
      <c r="C2305" s="3" t="n">
        <v>2</v>
      </c>
      <c r="D2305" s="3" t="n">
        <v>26</v>
      </c>
      <c r="E2305" s="3" t="n">
        <v>7</v>
      </c>
      <c r="F2305" s="24" t="n">
        <v>0</v>
      </c>
    </row>
    <row r="2306" customFormat="false" ht="15" hidden="false" customHeight="false" outlineLevel="0" collapsed="false">
      <c r="A2306" s="3" t="n">
        <v>2305</v>
      </c>
      <c r="B2306" s="3" t="n">
        <v>2304</v>
      </c>
      <c r="C2306" s="3" t="n">
        <v>2</v>
      </c>
      <c r="D2306" s="3" t="n">
        <v>26</v>
      </c>
      <c r="E2306" s="3" t="n">
        <v>8</v>
      </c>
      <c r="F2306" s="24" t="n">
        <v>0</v>
      </c>
    </row>
    <row r="2307" customFormat="false" ht="15" hidden="false" customHeight="false" outlineLevel="0" collapsed="false">
      <c r="A2307" s="3" t="n">
        <v>2306</v>
      </c>
      <c r="B2307" s="3" t="n">
        <v>2305</v>
      </c>
      <c r="C2307" s="3" t="n">
        <v>2</v>
      </c>
      <c r="D2307" s="3" t="n">
        <v>26</v>
      </c>
      <c r="E2307" s="3" t="n">
        <v>9</v>
      </c>
      <c r="F2307" s="24" t="n">
        <v>1.11009717</v>
      </c>
    </row>
    <row r="2308" customFormat="false" ht="15" hidden="false" customHeight="false" outlineLevel="0" collapsed="false">
      <c r="A2308" s="3" t="n">
        <v>2307</v>
      </c>
      <c r="B2308" s="3" t="n">
        <v>2306</v>
      </c>
      <c r="C2308" s="3" t="n">
        <v>2</v>
      </c>
      <c r="D2308" s="3" t="n">
        <v>26</v>
      </c>
      <c r="E2308" s="3" t="n">
        <v>10</v>
      </c>
      <c r="F2308" s="24" t="n">
        <v>2.36208653</v>
      </c>
    </row>
    <row r="2309" customFormat="false" ht="15" hidden="false" customHeight="false" outlineLevel="0" collapsed="false">
      <c r="A2309" s="3" t="n">
        <v>2308</v>
      </c>
      <c r="B2309" s="3" t="n">
        <v>2307</v>
      </c>
      <c r="C2309" s="3" t="n">
        <v>2</v>
      </c>
      <c r="D2309" s="3" t="n">
        <v>26</v>
      </c>
      <c r="E2309" s="3" t="n">
        <v>11</v>
      </c>
      <c r="F2309" s="24" t="n">
        <v>0.299468994</v>
      </c>
    </row>
    <row r="2310" customFormat="false" ht="15" hidden="false" customHeight="false" outlineLevel="0" collapsed="false">
      <c r="A2310" s="3" t="n">
        <v>2309</v>
      </c>
      <c r="B2310" s="3" t="n">
        <v>2308</v>
      </c>
      <c r="C2310" s="3" t="n">
        <v>2</v>
      </c>
      <c r="D2310" s="3" t="n">
        <v>26</v>
      </c>
      <c r="E2310" s="3" t="n">
        <v>12</v>
      </c>
      <c r="F2310" s="24" t="n">
        <v>0</v>
      </c>
    </row>
    <row r="2311" customFormat="false" ht="15" hidden="false" customHeight="false" outlineLevel="0" collapsed="false">
      <c r="A2311" s="3" t="n">
        <v>2310</v>
      </c>
      <c r="B2311" s="3" t="n">
        <v>2309</v>
      </c>
      <c r="C2311" s="3" t="n">
        <v>2</v>
      </c>
      <c r="D2311" s="3" t="n">
        <v>26</v>
      </c>
      <c r="E2311" s="3" t="n">
        <v>13</v>
      </c>
      <c r="F2311" s="24" t="n">
        <v>0</v>
      </c>
    </row>
    <row r="2312" customFormat="false" ht="15" hidden="false" customHeight="false" outlineLevel="0" collapsed="false">
      <c r="A2312" s="3" t="n">
        <v>2311</v>
      </c>
      <c r="B2312" s="3" t="n">
        <v>2310</v>
      </c>
      <c r="C2312" s="3" t="n">
        <v>2</v>
      </c>
      <c r="D2312" s="3" t="n">
        <v>26</v>
      </c>
      <c r="E2312" s="3" t="n">
        <v>14</v>
      </c>
      <c r="F2312" s="24" t="n">
        <v>0</v>
      </c>
    </row>
    <row r="2313" customFormat="false" ht="15" hidden="false" customHeight="false" outlineLevel="0" collapsed="false">
      <c r="A2313" s="3" t="n">
        <v>2312</v>
      </c>
      <c r="B2313" s="3" t="n">
        <v>2311</v>
      </c>
      <c r="C2313" s="3" t="n">
        <v>2</v>
      </c>
      <c r="D2313" s="3" t="n">
        <v>26</v>
      </c>
      <c r="E2313" s="3" t="n">
        <v>15</v>
      </c>
      <c r="F2313" s="24" t="n">
        <v>0</v>
      </c>
    </row>
    <row r="2314" customFormat="false" ht="15" hidden="false" customHeight="false" outlineLevel="0" collapsed="false">
      <c r="A2314" s="3" t="n">
        <v>2313</v>
      </c>
      <c r="B2314" s="3" t="n">
        <v>2312</v>
      </c>
      <c r="C2314" s="3" t="n">
        <v>2</v>
      </c>
      <c r="D2314" s="3" t="n">
        <v>26</v>
      </c>
      <c r="E2314" s="3" t="n">
        <v>16</v>
      </c>
      <c r="F2314" s="24" t="n">
        <v>0</v>
      </c>
    </row>
    <row r="2315" customFormat="false" ht="15" hidden="false" customHeight="false" outlineLevel="0" collapsed="false">
      <c r="A2315" s="3" t="n">
        <v>2314</v>
      </c>
      <c r="B2315" s="3" t="n">
        <v>2313</v>
      </c>
      <c r="C2315" s="3" t="n">
        <v>2</v>
      </c>
      <c r="D2315" s="3" t="n">
        <v>26</v>
      </c>
      <c r="E2315" s="3" t="n">
        <v>17</v>
      </c>
      <c r="F2315" s="24" t="n">
        <v>0</v>
      </c>
    </row>
    <row r="2316" customFormat="false" ht="15" hidden="false" customHeight="false" outlineLevel="0" collapsed="false">
      <c r="A2316" s="3" t="n">
        <v>2315</v>
      </c>
      <c r="B2316" s="3" t="n">
        <v>2314</v>
      </c>
      <c r="C2316" s="3" t="n">
        <v>2</v>
      </c>
      <c r="D2316" s="3" t="n">
        <v>26</v>
      </c>
      <c r="E2316" s="3" t="n">
        <v>18</v>
      </c>
      <c r="F2316" s="24" t="n">
        <v>0</v>
      </c>
    </row>
    <row r="2317" customFormat="false" ht="15" hidden="false" customHeight="false" outlineLevel="0" collapsed="false">
      <c r="A2317" s="3" t="n">
        <v>2316</v>
      </c>
      <c r="B2317" s="3" t="n">
        <v>2315</v>
      </c>
      <c r="C2317" s="3" t="n">
        <v>2</v>
      </c>
      <c r="D2317" s="3" t="n">
        <v>26</v>
      </c>
      <c r="E2317" s="3" t="n">
        <v>19</v>
      </c>
      <c r="F2317" s="24" t="n">
        <v>0</v>
      </c>
    </row>
    <row r="2318" customFormat="false" ht="15" hidden="false" customHeight="false" outlineLevel="0" collapsed="false">
      <c r="A2318" s="3" t="n">
        <v>2317</v>
      </c>
      <c r="B2318" s="3" t="n">
        <v>2316</v>
      </c>
      <c r="C2318" s="3" t="n">
        <v>2</v>
      </c>
      <c r="D2318" s="3" t="n">
        <v>26</v>
      </c>
      <c r="E2318" s="3" t="n">
        <v>20</v>
      </c>
      <c r="F2318" s="24" t="n">
        <v>0</v>
      </c>
    </row>
    <row r="2319" customFormat="false" ht="15" hidden="false" customHeight="false" outlineLevel="0" collapsed="false">
      <c r="A2319" s="3" t="n">
        <v>2318</v>
      </c>
      <c r="B2319" s="3" t="n">
        <v>2317</v>
      </c>
      <c r="C2319" s="3" t="n">
        <v>2</v>
      </c>
      <c r="D2319" s="3" t="n">
        <v>26</v>
      </c>
      <c r="E2319" s="3" t="n">
        <v>21</v>
      </c>
      <c r="F2319" s="24" t="n">
        <v>0</v>
      </c>
    </row>
    <row r="2320" customFormat="false" ht="15" hidden="false" customHeight="false" outlineLevel="0" collapsed="false">
      <c r="A2320" s="3" t="n">
        <v>2319</v>
      </c>
      <c r="B2320" s="3" t="n">
        <v>2318</v>
      </c>
      <c r="C2320" s="3" t="n">
        <v>2</v>
      </c>
      <c r="D2320" s="3" t="n">
        <v>26</v>
      </c>
      <c r="E2320" s="3" t="n">
        <v>22</v>
      </c>
      <c r="F2320" s="24" t="n">
        <v>0</v>
      </c>
    </row>
    <row r="2321" customFormat="false" ht="15" hidden="false" customHeight="false" outlineLevel="0" collapsed="false">
      <c r="A2321" s="3" t="n">
        <v>2320</v>
      </c>
      <c r="B2321" s="3" t="n">
        <v>2319</v>
      </c>
      <c r="C2321" s="3" t="n">
        <v>2</v>
      </c>
      <c r="D2321" s="3" t="n">
        <v>26</v>
      </c>
      <c r="E2321" s="3" t="n">
        <v>23</v>
      </c>
      <c r="F2321" s="24" t="n">
        <v>0</v>
      </c>
    </row>
    <row r="2322" customFormat="false" ht="15" hidden="false" customHeight="false" outlineLevel="0" collapsed="false">
      <c r="A2322" s="3" t="n">
        <v>2321</v>
      </c>
      <c r="B2322" s="3" t="n">
        <v>2320</v>
      </c>
      <c r="C2322" s="3" t="n">
        <v>2</v>
      </c>
      <c r="D2322" s="3" t="n">
        <v>26</v>
      </c>
      <c r="E2322" s="3" t="n">
        <v>24</v>
      </c>
      <c r="F2322" s="24" t="n">
        <v>0</v>
      </c>
    </row>
    <row r="2323" customFormat="false" ht="15" hidden="false" customHeight="false" outlineLevel="0" collapsed="false">
      <c r="A2323" s="3" t="n">
        <v>2322</v>
      </c>
      <c r="B2323" s="3" t="n">
        <v>2321</v>
      </c>
      <c r="C2323" s="3" t="n">
        <v>2</v>
      </c>
      <c r="D2323" s="3" t="n">
        <v>26</v>
      </c>
      <c r="E2323" s="3" t="n">
        <v>25</v>
      </c>
      <c r="F2323" s="24" t="n">
        <v>0</v>
      </c>
    </row>
    <row r="2324" customFormat="false" ht="15" hidden="false" customHeight="false" outlineLevel="0" collapsed="false">
      <c r="A2324" s="3" t="n">
        <v>2323</v>
      </c>
      <c r="B2324" s="3" t="n">
        <v>2322</v>
      </c>
      <c r="C2324" s="3" t="n">
        <v>2</v>
      </c>
      <c r="D2324" s="3" t="n">
        <v>26</v>
      </c>
      <c r="E2324" s="3" t="n">
        <v>26</v>
      </c>
      <c r="F2324" s="24" t="n">
        <v>0</v>
      </c>
    </row>
    <row r="2325" customFormat="false" ht="15" hidden="false" customHeight="false" outlineLevel="0" collapsed="false">
      <c r="A2325" s="3" t="n">
        <v>2324</v>
      </c>
      <c r="B2325" s="3" t="n">
        <v>2323</v>
      </c>
      <c r="C2325" s="3" t="n">
        <v>2</v>
      </c>
      <c r="D2325" s="3" t="n">
        <v>26</v>
      </c>
      <c r="E2325" s="3" t="n">
        <v>27</v>
      </c>
      <c r="F2325" s="24" t="n">
        <v>0.387737483</v>
      </c>
    </row>
    <row r="2326" customFormat="false" ht="15" hidden="false" customHeight="false" outlineLevel="0" collapsed="false">
      <c r="A2326" s="3" t="n">
        <v>2325</v>
      </c>
      <c r="B2326" s="3" t="n">
        <v>2324</v>
      </c>
      <c r="C2326" s="3" t="n">
        <v>2</v>
      </c>
      <c r="D2326" s="3" t="n">
        <v>27</v>
      </c>
      <c r="E2326" s="3" t="n">
        <v>0</v>
      </c>
      <c r="F2326" s="24" t="n">
        <v>0</v>
      </c>
    </row>
    <row r="2327" customFormat="false" ht="15" hidden="false" customHeight="false" outlineLevel="0" collapsed="false">
      <c r="A2327" s="3" t="n">
        <v>2326</v>
      </c>
      <c r="B2327" s="3" t="n">
        <v>2325</v>
      </c>
      <c r="C2327" s="3" t="n">
        <v>2</v>
      </c>
      <c r="D2327" s="3" t="n">
        <v>27</v>
      </c>
      <c r="E2327" s="3" t="n">
        <v>1</v>
      </c>
      <c r="F2327" s="24" t="n">
        <v>0</v>
      </c>
    </row>
    <row r="2328" customFormat="false" ht="15" hidden="false" customHeight="false" outlineLevel="0" collapsed="false">
      <c r="A2328" s="3" t="n">
        <v>2327</v>
      </c>
      <c r="B2328" s="3" t="n">
        <v>2326</v>
      </c>
      <c r="C2328" s="3" t="n">
        <v>2</v>
      </c>
      <c r="D2328" s="3" t="n">
        <v>27</v>
      </c>
      <c r="E2328" s="3" t="n">
        <v>2</v>
      </c>
      <c r="F2328" s="24" t="n">
        <v>0</v>
      </c>
    </row>
    <row r="2329" customFormat="false" ht="15" hidden="false" customHeight="false" outlineLevel="0" collapsed="false">
      <c r="A2329" s="3" t="n">
        <v>2328</v>
      </c>
      <c r="B2329" s="3" t="n">
        <v>2327</v>
      </c>
      <c r="C2329" s="3" t="n">
        <v>2</v>
      </c>
      <c r="D2329" s="3" t="n">
        <v>27</v>
      </c>
      <c r="E2329" s="3" t="n">
        <v>3</v>
      </c>
      <c r="F2329" s="24" t="n">
        <v>0</v>
      </c>
    </row>
    <row r="2330" customFormat="false" ht="15" hidden="false" customHeight="false" outlineLevel="0" collapsed="false">
      <c r="A2330" s="3" t="n">
        <v>2329</v>
      </c>
      <c r="B2330" s="3" t="n">
        <v>2328</v>
      </c>
      <c r="C2330" s="3" t="n">
        <v>2</v>
      </c>
      <c r="D2330" s="3" t="n">
        <v>27</v>
      </c>
      <c r="E2330" s="3" t="n">
        <v>4</v>
      </c>
      <c r="F2330" s="24" t="n">
        <v>0</v>
      </c>
    </row>
    <row r="2331" customFormat="false" ht="15" hidden="false" customHeight="false" outlineLevel="0" collapsed="false">
      <c r="A2331" s="3" t="n">
        <v>2330</v>
      </c>
      <c r="B2331" s="3" t="n">
        <v>2329</v>
      </c>
      <c r="C2331" s="3" t="n">
        <v>2</v>
      </c>
      <c r="D2331" s="3" t="n">
        <v>27</v>
      </c>
      <c r="E2331" s="3" t="n">
        <v>5</v>
      </c>
      <c r="F2331" s="24" t="n">
        <v>0</v>
      </c>
    </row>
    <row r="2332" customFormat="false" ht="15" hidden="false" customHeight="false" outlineLevel="0" collapsed="false">
      <c r="A2332" s="3" t="n">
        <v>2331</v>
      </c>
      <c r="B2332" s="3" t="n">
        <v>2330</v>
      </c>
      <c r="C2332" s="3" t="n">
        <v>2</v>
      </c>
      <c r="D2332" s="3" t="n">
        <v>27</v>
      </c>
      <c r="E2332" s="3" t="n">
        <v>6</v>
      </c>
      <c r="F2332" s="24" t="n">
        <v>0</v>
      </c>
    </row>
    <row r="2333" customFormat="false" ht="15" hidden="false" customHeight="false" outlineLevel="0" collapsed="false">
      <c r="A2333" s="3" t="n">
        <v>2332</v>
      </c>
      <c r="B2333" s="3" t="n">
        <v>2331</v>
      </c>
      <c r="C2333" s="3" t="n">
        <v>2</v>
      </c>
      <c r="D2333" s="3" t="n">
        <v>27</v>
      </c>
      <c r="E2333" s="3" t="n">
        <v>7</v>
      </c>
      <c r="F2333" s="24" t="n">
        <v>0</v>
      </c>
    </row>
    <row r="2334" customFormat="false" ht="15" hidden="false" customHeight="false" outlineLevel="0" collapsed="false">
      <c r="A2334" s="3" t="n">
        <v>2333</v>
      </c>
      <c r="B2334" s="3" t="n">
        <v>2332</v>
      </c>
      <c r="C2334" s="3" t="n">
        <v>2</v>
      </c>
      <c r="D2334" s="3" t="n">
        <v>27</v>
      </c>
      <c r="E2334" s="3" t="n">
        <v>8</v>
      </c>
      <c r="F2334" s="24" t="n">
        <v>0</v>
      </c>
    </row>
    <row r="2335" customFormat="false" ht="15" hidden="false" customHeight="false" outlineLevel="0" collapsed="false">
      <c r="A2335" s="3" t="n">
        <v>2334</v>
      </c>
      <c r="B2335" s="3" t="n">
        <v>2333</v>
      </c>
      <c r="C2335" s="3" t="n">
        <v>2</v>
      </c>
      <c r="D2335" s="3" t="n">
        <v>27</v>
      </c>
      <c r="E2335" s="3" t="n">
        <v>9</v>
      </c>
      <c r="F2335" s="24" t="n">
        <v>0.225861043</v>
      </c>
    </row>
    <row r="2336" customFormat="false" ht="15" hidden="false" customHeight="false" outlineLevel="0" collapsed="false">
      <c r="A2336" s="3" t="n">
        <v>2335</v>
      </c>
      <c r="B2336" s="3" t="n">
        <v>2334</v>
      </c>
      <c r="C2336" s="3" t="n">
        <v>2</v>
      </c>
      <c r="D2336" s="3" t="n">
        <v>27</v>
      </c>
      <c r="E2336" s="3" t="n">
        <v>10</v>
      </c>
      <c r="F2336" s="24" t="n">
        <v>0.546996474</v>
      </c>
    </row>
    <row r="2337" customFormat="false" ht="15" hidden="false" customHeight="false" outlineLevel="0" collapsed="false">
      <c r="A2337" s="3" t="n">
        <v>2336</v>
      </c>
      <c r="B2337" s="3" t="n">
        <v>2335</v>
      </c>
      <c r="C2337" s="3" t="n">
        <v>2</v>
      </c>
      <c r="D2337" s="3" t="n">
        <v>27</v>
      </c>
      <c r="E2337" s="3" t="n">
        <v>11</v>
      </c>
      <c r="F2337" s="24" t="n">
        <v>0</v>
      </c>
    </row>
    <row r="2338" customFormat="false" ht="15" hidden="false" customHeight="false" outlineLevel="0" collapsed="false">
      <c r="A2338" s="3" t="n">
        <v>2337</v>
      </c>
      <c r="B2338" s="3" t="n">
        <v>2336</v>
      </c>
      <c r="C2338" s="3" t="n">
        <v>2</v>
      </c>
      <c r="D2338" s="3" t="n">
        <v>27</v>
      </c>
      <c r="E2338" s="3" t="n">
        <v>12</v>
      </c>
      <c r="F2338" s="24" t="n">
        <v>0</v>
      </c>
    </row>
    <row r="2339" customFormat="false" ht="15" hidden="false" customHeight="false" outlineLevel="0" collapsed="false">
      <c r="A2339" s="3" t="n">
        <v>2338</v>
      </c>
      <c r="B2339" s="3" t="n">
        <v>2337</v>
      </c>
      <c r="C2339" s="3" t="n">
        <v>2</v>
      </c>
      <c r="D2339" s="3" t="n">
        <v>27</v>
      </c>
      <c r="E2339" s="3" t="n">
        <v>13</v>
      </c>
      <c r="F2339" s="24" t="n">
        <v>0</v>
      </c>
    </row>
    <row r="2340" customFormat="false" ht="15" hidden="false" customHeight="false" outlineLevel="0" collapsed="false">
      <c r="A2340" s="3" t="n">
        <v>2339</v>
      </c>
      <c r="B2340" s="3" t="n">
        <v>2338</v>
      </c>
      <c r="C2340" s="3" t="n">
        <v>2</v>
      </c>
      <c r="D2340" s="3" t="n">
        <v>27</v>
      </c>
      <c r="E2340" s="3" t="n">
        <v>14</v>
      </c>
      <c r="F2340" s="24" t="n">
        <v>0</v>
      </c>
    </row>
    <row r="2341" customFormat="false" ht="15" hidden="false" customHeight="false" outlineLevel="0" collapsed="false">
      <c r="A2341" s="3" t="n">
        <v>2340</v>
      </c>
      <c r="B2341" s="3" t="n">
        <v>2339</v>
      </c>
      <c r="C2341" s="3" t="n">
        <v>2</v>
      </c>
      <c r="D2341" s="3" t="n">
        <v>27</v>
      </c>
      <c r="E2341" s="3" t="n">
        <v>15</v>
      </c>
      <c r="F2341" s="24" t="n">
        <v>0</v>
      </c>
    </row>
    <row r="2342" customFormat="false" ht="15" hidden="false" customHeight="false" outlineLevel="0" collapsed="false">
      <c r="A2342" s="3" t="n">
        <v>2341</v>
      </c>
      <c r="B2342" s="3" t="n">
        <v>2340</v>
      </c>
      <c r="C2342" s="3" t="n">
        <v>2</v>
      </c>
      <c r="D2342" s="3" t="n">
        <v>27</v>
      </c>
      <c r="E2342" s="3" t="n">
        <v>16</v>
      </c>
      <c r="F2342" s="24" t="n">
        <v>0</v>
      </c>
    </row>
    <row r="2343" customFormat="false" ht="15" hidden="false" customHeight="false" outlineLevel="0" collapsed="false">
      <c r="A2343" s="3" t="n">
        <v>2342</v>
      </c>
      <c r="B2343" s="3" t="n">
        <v>2341</v>
      </c>
      <c r="C2343" s="3" t="n">
        <v>2</v>
      </c>
      <c r="D2343" s="3" t="n">
        <v>27</v>
      </c>
      <c r="E2343" s="3" t="n">
        <v>17</v>
      </c>
      <c r="F2343" s="24" t="n">
        <v>0</v>
      </c>
    </row>
    <row r="2344" customFormat="false" ht="15" hidden="false" customHeight="false" outlineLevel="0" collapsed="false">
      <c r="A2344" s="3" t="n">
        <v>2343</v>
      </c>
      <c r="B2344" s="3" t="n">
        <v>2342</v>
      </c>
      <c r="C2344" s="3" t="n">
        <v>2</v>
      </c>
      <c r="D2344" s="3" t="n">
        <v>27</v>
      </c>
      <c r="E2344" s="3" t="n">
        <v>18</v>
      </c>
      <c r="F2344" s="24" t="n">
        <v>0</v>
      </c>
    </row>
    <row r="2345" customFormat="false" ht="15" hidden="false" customHeight="false" outlineLevel="0" collapsed="false">
      <c r="A2345" s="3" t="n">
        <v>2344</v>
      </c>
      <c r="B2345" s="3" t="n">
        <v>2343</v>
      </c>
      <c r="C2345" s="3" t="n">
        <v>2</v>
      </c>
      <c r="D2345" s="3" t="n">
        <v>27</v>
      </c>
      <c r="E2345" s="3" t="n">
        <v>19</v>
      </c>
      <c r="F2345" s="24" t="n">
        <v>0</v>
      </c>
    </row>
    <row r="2346" customFormat="false" ht="15" hidden="false" customHeight="false" outlineLevel="0" collapsed="false">
      <c r="A2346" s="3" t="n">
        <v>2345</v>
      </c>
      <c r="B2346" s="3" t="n">
        <v>2344</v>
      </c>
      <c r="C2346" s="3" t="n">
        <v>2</v>
      </c>
      <c r="D2346" s="3" t="n">
        <v>27</v>
      </c>
      <c r="E2346" s="3" t="n">
        <v>20</v>
      </c>
      <c r="F2346" s="24" t="n">
        <v>0</v>
      </c>
    </row>
    <row r="2347" customFormat="false" ht="15" hidden="false" customHeight="false" outlineLevel="0" collapsed="false">
      <c r="A2347" s="3" t="n">
        <v>2346</v>
      </c>
      <c r="B2347" s="3" t="n">
        <v>2345</v>
      </c>
      <c r="C2347" s="3" t="n">
        <v>2</v>
      </c>
      <c r="D2347" s="3" t="n">
        <v>27</v>
      </c>
      <c r="E2347" s="3" t="n">
        <v>21</v>
      </c>
      <c r="F2347" s="24" t="n">
        <v>0</v>
      </c>
    </row>
    <row r="2348" customFormat="false" ht="15" hidden="false" customHeight="false" outlineLevel="0" collapsed="false">
      <c r="A2348" s="3" t="n">
        <v>2347</v>
      </c>
      <c r="B2348" s="3" t="n">
        <v>2346</v>
      </c>
      <c r="C2348" s="3" t="n">
        <v>2</v>
      </c>
      <c r="D2348" s="3" t="n">
        <v>27</v>
      </c>
      <c r="E2348" s="3" t="n">
        <v>22</v>
      </c>
      <c r="F2348" s="24" t="n">
        <v>0</v>
      </c>
    </row>
    <row r="2349" customFormat="false" ht="15" hidden="false" customHeight="false" outlineLevel="0" collapsed="false">
      <c r="A2349" s="3" t="n">
        <v>2348</v>
      </c>
      <c r="B2349" s="3" t="n">
        <v>2347</v>
      </c>
      <c r="C2349" s="3" t="n">
        <v>2</v>
      </c>
      <c r="D2349" s="3" t="n">
        <v>27</v>
      </c>
      <c r="E2349" s="3" t="n">
        <v>23</v>
      </c>
      <c r="F2349" s="24" t="n">
        <v>0</v>
      </c>
    </row>
    <row r="2350" customFormat="false" ht="15" hidden="false" customHeight="false" outlineLevel="0" collapsed="false">
      <c r="A2350" s="3" t="n">
        <v>2349</v>
      </c>
      <c r="B2350" s="3" t="n">
        <v>2348</v>
      </c>
      <c r="C2350" s="3" t="n">
        <v>2</v>
      </c>
      <c r="D2350" s="3" t="n">
        <v>27</v>
      </c>
      <c r="E2350" s="3" t="n">
        <v>24</v>
      </c>
      <c r="F2350" s="24" t="n">
        <v>0</v>
      </c>
    </row>
    <row r="2351" customFormat="false" ht="15" hidden="false" customHeight="false" outlineLevel="0" collapsed="false">
      <c r="A2351" s="3" t="n">
        <v>2350</v>
      </c>
      <c r="B2351" s="3" t="n">
        <v>2349</v>
      </c>
      <c r="C2351" s="3" t="n">
        <v>2</v>
      </c>
      <c r="D2351" s="3" t="n">
        <v>27</v>
      </c>
      <c r="E2351" s="3" t="n">
        <v>25</v>
      </c>
      <c r="F2351" s="24" t="n">
        <v>0</v>
      </c>
    </row>
    <row r="2352" customFormat="false" ht="15" hidden="false" customHeight="false" outlineLevel="0" collapsed="false">
      <c r="A2352" s="3" t="n">
        <v>2351</v>
      </c>
      <c r="B2352" s="3" t="n">
        <v>2350</v>
      </c>
      <c r="C2352" s="3" t="n">
        <v>2</v>
      </c>
      <c r="D2352" s="3" t="n">
        <v>27</v>
      </c>
      <c r="E2352" s="3" t="n">
        <v>26</v>
      </c>
      <c r="F2352" s="24" t="n">
        <v>0</v>
      </c>
    </row>
    <row r="2353" customFormat="false" ht="15" hidden="false" customHeight="false" outlineLevel="0" collapsed="false">
      <c r="A2353" s="3" t="n">
        <v>2352</v>
      </c>
      <c r="B2353" s="3" t="n">
        <v>2351</v>
      </c>
      <c r="C2353" s="3" t="n">
        <v>2</v>
      </c>
      <c r="D2353" s="3" t="n">
        <v>27</v>
      </c>
      <c r="E2353" s="3" t="n">
        <v>27</v>
      </c>
      <c r="F2353" s="24" t="n">
        <v>0.29135415</v>
      </c>
    </row>
    <row r="2354" customFormat="false" ht="15" hidden="false" customHeight="false" outlineLevel="0" collapsed="false">
      <c r="A2354" s="3" t="n">
        <v>2353</v>
      </c>
      <c r="B2354" s="3" t="n">
        <v>2352</v>
      </c>
      <c r="C2354" s="3" t="n">
        <v>3</v>
      </c>
      <c r="D2354" s="3" t="n">
        <v>0</v>
      </c>
      <c r="E2354" s="3" t="n">
        <v>0</v>
      </c>
      <c r="F2354" s="24" t="n">
        <v>0</v>
      </c>
    </row>
    <row r="2355" customFormat="false" ht="15" hidden="false" customHeight="false" outlineLevel="0" collapsed="false">
      <c r="A2355" s="3" t="n">
        <v>2354</v>
      </c>
      <c r="B2355" s="3" t="n">
        <v>2353</v>
      </c>
      <c r="C2355" s="3" t="n">
        <v>3</v>
      </c>
      <c r="D2355" s="3" t="n">
        <v>0</v>
      </c>
      <c r="E2355" s="3" t="n">
        <v>1</v>
      </c>
      <c r="F2355" s="24" t="n">
        <v>0</v>
      </c>
    </row>
    <row r="2356" customFormat="false" ht="15" hidden="false" customHeight="false" outlineLevel="0" collapsed="false">
      <c r="A2356" s="3" t="n">
        <v>2355</v>
      </c>
      <c r="B2356" s="3" t="n">
        <v>2354</v>
      </c>
      <c r="C2356" s="3" t="n">
        <v>3</v>
      </c>
      <c r="D2356" s="3" t="n">
        <v>0</v>
      </c>
      <c r="E2356" s="3" t="n">
        <v>2</v>
      </c>
      <c r="F2356" s="24" t="n">
        <v>0</v>
      </c>
    </row>
    <row r="2357" customFormat="false" ht="15" hidden="false" customHeight="false" outlineLevel="0" collapsed="false">
      <c r="A2357" s="3" t="n">
        <v>2356</v>
      </c>
      <c r="B2357" s="3" t="n">
        <v>2355</v>
      </c>
      <c r="C2357" s="3" t="n">
        <v>3</v>
      </c>
      <c r="D2357" s="3" t="n">
        <v>0</v>
      </c>
      <c r="E2357" s="3" t="n">
        <v>3</v>
      </c>
      <c r="F2357" s="24" t="n">
        <v>0</v>
      </c>
    </row>
    <row r="2358" customFormat="false" ht="15" hidden="false" customHeight="false" outlineLevel="0" collapsed="false">
      <c r="A2358" s="3" t="n">
        <v>2357</v>
      </c>
      <c r="B2358" s="3" t="n">
        <v>2356</v>
      </c>
      <c r="C2358" s="3" t="n">
        <v>3</v>
      </c>
      <c r="D2358" s="3" t="n">
        <v>0</v>
      </c>
      <c r="E2358" s="3" t="n">
        <v>4</v>
      </c>
      <c r="F2358" s="24" t="n">
        <v>0</v>
      </c>
    </row>
    <row r="2359" customFormat="false" ht="15" hidden="false" customHeight="false" outlineLevel="0" collapsed="false">
      <c r="A2359" s="3" t="n">
        <v>2358</v>
      </c>
      <c r="B2359" s="3" t="n">
        <v>2357</v>
      </c>
      <c r="C2359" s="3" t="n">
        <v>3</v>
      </c>
      <c r="D2359" s="3" t="n">
        <v>0</v>
      </c>
      <c r="E2359" s="3" t="n">
        <v>5</v>
      </c>
      <c r="F2359" s="24" t="n">
        <v>0</v>
      </c>
    </row>
    <row r="2360" customFormat="false" ht="15" hidden="false" customHeight="false" outlineLevel="0" collapsed="false">
      <c r="A2360" s="3" t="n">
        <v>2359</v>
      </c>
      <c r="B2360" s="3" t="n">
        <v>2358</v>
      </c>
      <c r="C2360" s="3" t="n">
        <v>3</v>
      </c>
      <c r="D2360" s="3" t="n">
        <v>0</v>
      </c>
      <c r="E2360" s="3" t="n">
        <v>6</v>
      </c>
      <c r="F2360" s="24" t="n">
        <v>0</v>
      </c>
    </row>
    <row r="2361" customFormat="false" ht="15" hidden="false" customHeight="false" outlineLevel="0" collapsed="false">
      <c r="A2361" s="3" t="n">
        <v>2360</v>
      </c>
      <c r="B2361" s="3" t="n">
        <v>2359</v>
      </c>
      <c r="C2361" s="3" t="n">
        <v>3</v>
      </c>
      <c r="D2361" s="3" t="n">
        <v>0</v>
      </c>
      <c r="E2361" s="3" t="n">
        <v>7</v>
      </c>
      <c r="F2361" s="24" t="n">
        <v>0</v>
      </c>
    </row>
    <row r="2362" customFormat="false" ht="15" hidden="false" customHeight="false" outlineLevel="0" collapsed="false">
      <c r="A2362" s="3" t="n">
        <v>2361</v>
      </c>
      <c r="B2362" s="3" t="n">
        <v>2360</v>
      </c>
      <c r="C2362" s="3" t="n">
        <v>3</v>
      </c>
      <c r="D2362" s="3" t="n">
        <v>0</v>
      </c>
      <c r="E2362" s="3" t="n">
        <v>8</v>
      </c>
      <c r="F2362" s="24" t="n">
        <v>0</v>
      </c>
    </row>
    <row r="2363" customFormat="false" ht="15" hidden="false" customHeight="false" outlineLevel="0" collapsed="false">
      <c r="A2363" s="3" t="n">
        <v>2362</v>
      </c>
      <c r="B2363" s="3" t="n">
        <v>2361</v>
      </c>
      <c r="C2363" s="3" t="n">
        <v>3</v>
      </c>
      <c r="D2363" s="3" t="n">
        <v>0</v>
      </c>
      <c r="E2363" s="3" t="n">
        <v>9</v>
      </c>
      <c r="F2363" s="24" t="n">
        <v>0</v>
      </c>
    </row>
    <row r="2364" customFormat="false" ht="15" hidden="false" customHeight="false" outlineLevel="0" collapsed="false">
      <c r="A2364" s="3" t="n">
        <v>2363</v>
      </c>
      <c r="B2364" s="3" t="n">
        <v>2362</v>
      </c>
      <c r="C2364" s="3" t="n">
        <v>3</v>
      </c>
      <c r="D2364" s="3" t="n">
        <v>0</v>
      </c>
      <c r="E2364" s="3" t="n">
        <v>10</v>
      </c>
      <c r="F2364" s="24" t="n">
        <v>0</v>
      </c>
    </row>
    <row r="2365" customFormat="false" ht="15" hidden="false" customHeight="false" outlineLevel="0" collapsed="false">
      <c r="A2365" s="3" t="n">
        <v>2364</v>
      </c>
      <c r="B2365" s="3" t="n">
        <v>2363</v>
      </c>
      <c r="C2365" s="3" t="n">
        <v>3</v>
      </c>
      <c r="D2365" s="3" t="n">
        <v>0</v>
      </c>
      <c r="E2365" s="3" t="n">
        <v>11</v>
      </c>
      <c r="F2365" s="24" t="n">
        <v>0</v>
      </c>
    </row>
    <row r="2366" customFormat="false" ht="15" hidden="false" customHeight="false" outlineLevel="0" collapsed="false">
      <c r="A2366" s="3" t="n">
        <v>2365</v>
      </c>
      <c r="B2366" s="3" t="n">
        <v>2364</v>
      </c>
      <c r="C2366" s="3" t="n">
        <v>3</v>
      </c>
      <c r="D2366" s="3" t="n">
        <v>0</v>
      </c>
      <c r="E2366" s="3" t="n">
        <v>12</v>
      </c>
      <c r="F2366" s="24" t="n">
        <v>0</v>
      </c>
    </row>
    <row r="2367" customFormat="false" ht="15" hidden="false" customHeight="false" outlineLevel="0" collapsed="false">
      <c r="A2367" s="3" t="n">
        <v>2366</v>
      </c>
      <c r="B2367" s="3" t="n">
        <v>2365</v>
      </c>
      <c r="C2367" s="3" t="n">
        <v>3</v>
      </c>
      <c r="D2367" s="3" t="n">
        <v>0</v>
      </c>
      <c r="E2367" s="3" t="n">
        <v>13</v>
      </c>
      <c r="F2367" s="24" t="n">
        <v>0</v>
      </c>
    </row>
    <row r="2368" customFormat="false" ht="15" hidden="false" customHeight="false" outlineLevel="0" collapsed="false">
      <c r="A2368" s="3" t="n">
        <v>2367</v>
      </c>
      <c r="B2368" s="3" t="n">
        <v>2366</v>
      </c>
      <c r="C2368" s="3" t="n">
        <v>3</v>
      </c>
      <c r="D2368" s="3" t="n">
        <v>0</v>
      </c>
      <c r="E2368" s="3" t="n">
        <v>14</v>
      </c>
      <c r="F2368" s="24" t="n">
        <v>0</v>
      </c>
    </row>
    <row r="2369" customFormat="false" ht="15" hidden="false" customHeight="false" outlineLevel="0" collapsed="false">
      <c r="A2369" s="3" t="n">
        <v>2368</v>
      </c>
      <c r="B2369" s="3" t="n">
        <v>2367</v>
      </c>
      <c r="C2369" s="3" t="n">
        <v>3</v>
      </c>
      <c r="D2369" s="3" t="n">
        <v>0</v>
      </c>
      <c r="E2369" s="3" t="n">
        <v>15</v>
      </c>
      <c r="F2369" s="24" t="n">
        <v>0</v>
      </c>
    </row>
    <row r="2370" customFormat="false" ht="15" hidden="false" customHeight="false" outlineLevel="0" collapsed="false">
      <c r="A2370" s="3" t="n">
        <v>2369</v>
      </c>
      <c r="B2370" s="3" t="n">
        <v>2368</v>
      </c>
      <c r="C2370" s="3" t="n">
        <v>3</v>
      </c>
      <c r="D2370" s="3" t="n">
        <v>0</v>
      </c>
      <c r="E2370" s="3" t="n">
        <v>16</v>
      </c>
      <c r="F2370" s="24" t="n">
        <v>0</v>
      </c>
    </row>
    <row r="2371" customFormat="false" ht="15" hidden="false" customHeight="false" outlineLevel="0" collapsed="false">
      <c r="A2371" s="3" t="n">
        <v>2370</v>
      </c>
      <c r="B2371" s="3" t="n">
        <v>2369</v>
      </c>
      <c r="C2371" s="3" t="n">
        <v>3</v>
      </c>
      <c r="D2371" s="3" t="n">
        <v>0</v>
      </c>
      <c r="E2371" s="3" t="n">
        <v>17</v>
      </c>
      <c r="F2371" s="24" t="n">
        <v>0</v>
      </c>
    </row>
    <row r="2372" customFormat="false" ht="15" hidden="false" customHeight="false" outlineLevel="0" collapsed="false">
      <c r="A2372" s="3" t="n">
        <v>2371</v>
      </c>
      <c r="B2372" s="3" t="n">
        <v>2370</v>
      </c>
      <c r="C2372" s="3" t="n">
        <v>3</v>
      </c>
      <c r="D2372" s="3" t="n">
        <v>0</v>
      </c>
      <c r="E2372" s="3" t="n">
        <v>18</v>
      </c>
      <c r="F2372" s="24" t="n">
        <v>0</v>
      </c>
    </row>
    <row r="2373" customFormat="false" ht="15" hidden="false" customHeight="false" outlineLevel="0" collapsed="false">
      <c r="A2373" s="3" t="n">
        <v>2372</v>
      </c>
      <c r="B2373" s="3" t="n">
        <v>2371</v>
      </c>
      <c r="C2373" s="3" t="n">
        <v>3</v>
      </c>
      <c r="D2373" s="3" t="n">
        <v>0</v>
      </c>
      <c r="E2373" s="3" t="n">
        <v>19</v>
      </c>
      <c r="F2373" s="24" t="n">
        <v>0</v>
      </c>
    </row>
    <row r="2374" customFormat="false" ht="15" hidden="false" customHeight="false" outlineLevel="0" collapsed="false">
      <c r="A2374" s="3" t="n">
        <v>2373</v>
      </c>
      <c r="B2374" s="3" t="n">
        <v>2372</v>
      </c>
      <c r="C2374" s="3" t="n">
        <v>3</v>
      </c>
      <c r="D2374" s="3" t="n">
        <v>0</v>
      </c>
      <c r="E2374" s="3" t="n">
        <v>20</v>
      </c>
      <c r="F2374" s="24" t="n">
        <v>0</v>
      </c>
    </row>
    <row r="2375" customFormat="false" ht="15" hidden="false" customHeight="false" outlineLevel="0" collapsed="false">
      <c r="A2375" s="3" t="n">
        <v>2374</v>
      </c>
      <c r="B2375" s="3" t="n">
        <v>2373</v>
      </c>
      <c r="C2375" s="3" t="n">
        <v>3</v>
      </c>
      <c r="D2375" s="3" t="n">
        <v>0</v>
      </c>
      <c r="E2375" s="3" t="n">
        <v>21</v>
      </c>
      <c r="F2375" s="24" t="n">
        <v>0</v>
      </c>
    </row>
    <row r="2376" customFormat="false" ht="15" hidden="false" customHeight="false" outlineLevel="0" collapsed="false">
      <c r="A2376" s="3" t="n">
        <v>2375</v>
      </c>
      <c r="B2376" s="3" t="n">
        <v>2374</v>
      </c>
      <c r="C2376" s="3" t="n">
        <v>3</v>
      </c>
      <c r="D2376" s="3" t="n">
        <v>0</v>
      </c>
      <c r="E2376" s="3" t="n">
        <v>22</v>
      </c>
      <c r="F2376" s="24" t="n">
        <v>0</v>
      </c>
    </row>
    <row r="2377" customFormat="false" ht="15" hidden="false" customHeight="false" outlineLevel="0" collapsed="false">
      <c r="A2377" s="3" t="n">
        <v>2376</v>
      </c>
      <c r="B2377" s="3" t="n">
        <v>2375</v>
      </c>
      <c r="C2377" s="3" t="n">
        <v>3</v>
      </c>
      <c r="D2377" s="3" t="n">
        <v>0</v>
      </c>
      <c r="E2377" s="3" t="n">
        <v>23</v>
      </c>
      <c r="F2377" s="24" t="n">
        <v>0</v>
      </c>
    </row>
    <row r="2378" customFormat="false" ht="15" hidden="false" customHeight="false" outlineLevel="0" collapsed="false">
      <c r="A2378" s="3" t="n">
        <v>2377</v>
      </c>
      <c r="B2378" s="3" t="n">
        <v>2376</v>
      </c>
      <c r="C2378" s="3" t="n">
        <v>3</v>
      </c>
      <c r="D2378" s="3" t="n">
        <v>0</v>
      </c>
      <c r="E2378" s="3" t="n">
        <v>24</v>
      </c>
      <c r="F2378" s="24" t="n">
        <v>0</v>
      </c>
    </row>
    <row r="2379" customFormat="false" ht="15" hidden="false" customHeight="false" outlineLevel="0" collapsed="false">
      <c r="A2379" s="3" t="n">
        <v>2378</v>
      </c>
      <c r="B2379" s="3" t="n">
        <v>2377</v>
      </c>
      <c r="C2379" s="3" t="n">
        <v>3</v>
      </c>
      <c r="D2379" s="3" t="n">
        <v>0</v>
      </c>
      <c r="E2379" s="3" t="n">
        <v>25</v>
      </c>
      <c r="F2379" s="24" t="n">
        <v>0</v>
      </c>
    </row>
    <row r="2380" customFormat="false" ht="15" hidden="false" customHeight="false" outlineLevel="0" collapsed="false">
      <c r="A2380" s="3" t="n">
        <v>2379</v>
      </c>
      <c r="B2380" s="3" t="n">
        <v>2378</v>
      </c>
      <c r="C2380" s="3" t="n">
        <v>3</v>
      </c>
      <c r="D2380" s="3" t="n">
        <v>0</v>
      </c>
      <c r="E2380" s="3" t="n">
        <v>26</v>
      </c>
      <c r="F2380" s="24" t="n">
        <v>0</v>
      </c>
    </row>
    <row r="2381" customFormat="false" ht="15" hidden="false" customHeight="false" outlineLevel="0" collapsed="false">
      <c r="A2381" s="3" t="n">
        <v>2380</v>
      </c>
      <c r="B2381" s="3" t="n">
        <v>2379</v>
      </c>
      <c r="C2381" s="3" t="n">
        <v>3</v>
      </c>
      <c r="D2381" s="3" t="n">
        <v>0</v>
      </c>
      <c r="E2381" s="3" t="n">
        <v>27</v>
      </c>
      <c r="F2381" s="24" t="n">
        <v>0</v>
      </c>
    </row>
    <row r="2382" customFormat="false" ht="15" hidden="false" customHeight="false" outlineLevel="0" collapsed="false">
      <c r="A2382" s="3" t="n">
        <v>2381</v>
      </c>
      <c r="B2382" s="3" t="n">
        <v>2380</v>
      </c>
      <c r="C2382" s="3" t="n">
        <v>3</v>
      </c>
      <c r="D2382" s="3" t="n">
        <v>1</v>
      </c>
      <c r="E2382" s="3" t="n">
        <v>0</v>
      </c>
      <c r="F2382" s="24" t="n">
        <v>0.0962923914</v>
      </c>
    </row>
    <row r="2383" customFormat="false" ht="15" hidden="false" customHeight="false" outlineLevel="0" collapsed="false">
      <c r="A2383" s="3" t="n">
        <v>2382</v>
      </c>
      <c r="B2383" s="3" t="n">
        <v>2381</v>
      </c>
      <c r="C2383" s="3" t="n">
        <v>3</v>
      </c>
      <c r="D2383" s="3" t="n">
        <v>1</v>
      </c>
      <c r="E2383" s="3" t="n">
        <v>1</v>
      </c>
      <c r="F2383" s="24" t="n">
        <v>0</v>
      </c>
    </row>
    <row r="2384" customFormat="false" ht="15" hidden="false" customHeight="false" outlineLevel="0" collapsed="false">
      <c r="A2384" s="3" t="n">
        <v>2383</v>
      </c>
      <c r="B2384" s="3" t="n">
        <v>2382</v>
      </c>
      <c r="C2384" s="3" t="n">
        <v>3</v>
      </c>
      <c r="D2384" s="3" t="n">
        <v>1</v>
      </c>
      <c r="E2384" s="3" t="n">
        <v>2</v>
      </c>
      <c r="F2384" s="24" t="n">
        <v>0</v>
      </c>
    </row>
    <row r="2385" customFormat="false" ht="15" hidden="false" customHeight="false" outlineLevel="0" collapsed="false">
      <c r="A2385" s="3" t="n">
        <v>2384</v>
      </c>
      <c r="B2385" s="3" t="n">
        <v>2383</v>
      </c>
      <c r="C2385" s="3" t="n">
        <v>3</v>
      </c>
      <c r="D2385" s="3" t="n">
        <v>1</v>
      </c>
      <c r="E2385" s="3" t="n">
        <v>3</v>
      </c>
      <c r="F2385" s="24" t="n">
        <v>0</v>
      </c>
    </row>
    <row r="2386" customFormat="false" ht="15" hidden="false" customHeight="false" outlineLevel="0" collapsed="false">
      <c r="A2386" s="3" t="n">
        <v>2385</v>
      </c>
      <c r="B2386" s="3" t="n">
        <v>2384</v>
      </c>
      <c r="C2386" s="3" t="n">
        <v>3</v>
      </c>
      <c r="D2386" s="3" t="n">
        <v>1</v>
      </c>
      <c r="E2386" s="3" t="n">
        <v>4</v>
      </c>
      <c r="F2386" s="24" t="n">
        <v>0</v>
      </c>
    </row>
    <row r="2387" customFormat="false" ht="15" hidden="false" customHeight="false" outlineLevel="0" collapsed="false">
      <c r="A2387" s="3" t="n">
        <v>2386</v>
      </c>
      <c r="B2387" s="3" t="n">
        <v>2385</v>
      </c>
      <c r="C2387" s="3" t="n">
        <v>3</v>
      </c>
      <c r="D2387" s="3" t="n">
        <v>1</v>
      </c>
      <c r="E2387" s="3" t="n">
        <v>5</v>
      </c>
      <c r="F2387" s="24" t="n">
        <v>0</v>
      </c>
    </row>
    <row r="2388" customFormat="false" ht="15" hidden="false" customHeight="false" outlineLevel="0" collapsed="false">
      <c r="A2388" s="3" t="n">
        <v>2387</v>
      </c>
      <c r="B2388" s="3" t="n">
        <v>2386</v>
      </c>
      <c r="C2388" s="3" t="n">
        <v>3</v>
      </c>
      <c r="D2388" s="3" t="n">
        <v>1</v>
      </c>
      <c r="E2388" s="3" t="n">
        <v>6</v>
      </c>
      <c r="F2388" s="24" t="n">
        <v>0</v>
      </c>
    </row>
    <row r="2389" customFormat="false" ht="15" hidden="false" customHeight="false" outlineLevel="0" collapsed="false">
      <c r="A2389" s="3" t="n">
        <v>2388</v>
      </c>
      <c r="B2389" s="3" t="n">
        <v>2387</v>
      </c>
      <c r="C2389" s="3" t="n">
        <v>3</v>
      </c>
      <c r="D2389" s="3" t="n">
        <v>1</v>
      </c>
      <c r="E2389" s="3" t="n">
        <v>7</v>
      </c>
      <c r="F2389" s="24" t="n">
        <v>0</v>
      </c>
    </row>
    <row r="2390" customFormat="false" ht="15" hidden="false" customHeight="false" outlineLevel="0" collapsed="false">
      <c r="A2390" s="3" t="n">
        <v>2389</v>
      </c>
      <c r="B2390" s="3" t="n">
        <v>2388</v>
      </c>
      <c r="C2390" s="3" t="n">
        <v>3</v>
      </c>
      <c r="D2390" s="3" t="n">
        <v>1</v>
      </c>
      <c r="E2390" s="3" t="n">
        <v>8</v>
      </c>
      <c r="F2390" s="24" t="n">
        <v>0</v>
      </c>
    </row>
    <row r="2391" customFormat="false" ht="15" hidden="false" customHeight="false" outlineLevel="0" collapsed="false">
      <c r="A2391" s="3" t="n">
        <v>2390</v>
      </c>
      <c r="B2391" s="3" t="n">
        <v>2389</v>
      </c>
      <c r="C2391" s="3" t="n">
        <v>3</v>
      </c>
      <c r="D2391" s="3" t="n">
        <v>1</v>
      </c>
      <c r="E2391" s="3" t="n">
        <v>9</v>
      </c>
      <c r="F2391" s="24" t="n">
        <v>0</v>
      </c>
    </row>
    <row r="2392" customFormat="false" ht="15" hidden="false" customHeight="false" outlineLevel="0" collapsed="false">
      <c r="A2392" s="3" t="n">
        <v>2391</v>
      </c>
      <c r="B2392" s="3" t="n">
        <v>2390</v>
      </c>
      <c r="C2392" s="3" t="n">
        <v>3</v>
      </c>
      <c r="D2392" s="3" t="n">
        <v>1</v>
      </c>
      <c r="E2392" s="3" t="n">
        <v>10</v>
      </c>
      <c r="F2392" s="24" t="n">
        <v>0</v>
      </c>
    </row>
    <row r="2393" customFormat="false" ht="15" hidden="false" customHeight="false" outlineLevel="0" collapsed="false">
      <c r="A2393" s="3" t="n">
        <v>2392</v>
      </c>
      <c r="B2393" s="3" t="n">
        <v>2391</v>
      </c>
      <c r="C2393" s="3" t="n">
        <v>3</v>
      </c>
      <c r="D2393" s="3" t="n">
        <v>1</v>
      </c>
      <c r="E2393" s="3" t="n">
        <v>11</v>
      </c>
      <c r="F2393" s="24" t="n">
        <v>0</v>
      </c>
    </row>
    <row r="2394" customFormat="false" ht="15" hidden="false" customHeight="false" outlineLevel="0" collapsed="false">
      <c r="A2394" s="3" t="n">
        <v>2393</v>
      </c>
      <c r="B2394" s="3" t="n">
        <v>2392</v>
      </c>
      <c r="C2394" s="3" t="n">
        <v>3</v>
      </c>
      <c r="D2394" s="3" t="n">
        <v>1</v>
      </c>
      <c r="E2394" s="3" t="n">
        <v>12</v>
      </c>
      <c r="F2394" s="24" t="n">
        <v>0</v>
      </c>
    </row>
    <row r="2395" customFormat="false" ht="15" hidden="false" customHeight="false" outlineLevel="0" collapsed="false">
      <c r="A2395" s="3" t="n">
        <v>2394</v>
      </c>
      <c r="B2395" s="3" t="n">
        <v>2393</v>
      </c>
      <c r="C2395" s="3" t="n">
        <v>3</v>
      </c>
      <c r="D2395" s="3" t="n">
        <v>1</v>
      </c>
      <c r="E2395" s="3" t="n">
        <v>13</v>
      </c>
      <c r="F2395" s="24" t="n">
        <v>0</v>
      </c>
    </row>
    <row r="2396" customFormat="false" ht="15" hidden="false" customHeight="false" outlineLevel="0" collapsed="false">
      <c r="A2396" s="3" t="n">
        <v>2395</v>
      </c>
      <c r="B2396" s="3" t="n">
        <v>2394</v>
      </c>
      <c r="C2396" s="3" t="n">
        <v>3</v>
      </c>
      <c r="D2396" s="3" t="n">
        <v>1</v>
      </c>
      <c r="E2396" s="3" t="n">
        <v>14</v>
      </c>
      <c r="F2396" s="24" t="n">
        <v>0</v>
      </c>
    </row>
    <row r="2397" customFormat="false" ht="15" hidden="false" customHeight="false" outlineLevel="0" collapsed="false">
      <c r="A2397" s="3" t="n">
        <v>2396</v>
      </c>
      <c r="B2397" s="3" t="n">
        <v>2395</v>
      </c>
      <c r="C2397" s="3" t="n">
        <v>3</v>
      </c>
      <c r="D2397" s="3" t="n">
        <v>1</v>
      </c>
      <c r="E2397" s="3" t="n">
        <v>15</v>
      </c>
      <c r="F2397" s="24" t="n">
        <v>0</v>
      </c>
    </row>
    <row r="2398" customFormat="false" ht="15" hidden="false" customHeight="false" outlineLevel="0" collapsed="false">
      <c r="A2398" s="3" t="n">
        <v>2397</v>
      </c>
      <c r="B2398" s="3" t="n">
        <v>2396</v>
      </c>
      <c r="C2398" s="3" t="n">
        <v>3</v>
      </c>
      <c r="D2398" s="3" t="n">
        <v>1</v>
      </c>
      <c r="E2398" s="3" t="n">
        <v>16</v>
      </c>
      <c r="F2398" s="24" t="n">
        <v>0</v>
      </c>
    </row>
    <row r="2399" customFormat="false" ht="15" hidden="false" customHeight="false" outlineLevel="0" collapsed="false">
      <c r="A2399" s="3" t="n">
        <v>2398</v>
      </c>
      <c r="B2399" s="3" t="n">
        <v>2397</v>
      </c>
      <c r="C2399" s="3" t="n">
        <v>3</v>
      </c>
      <c r="D2399" s="3" t="n">
        <v>1</v>
      </c>
      <c r="E2399" s="3" t="n">
        <v>17</v>
      </c>
      <c r="F2399" s="24" t="n">
        <v>0</v>
      </c>
    </row>
    <row r="2400" customFormat="false" ht="15" hidden="false" customHeight="false" outlineLevel="0" collapsed="false">
      <c r="A2400" s="3" t="n">
        <v>2399</v>
      </c>
      <c r="B2400" s="3" t="n">
        <v>2398</v>
      </c>
      <c r="C2400" s="3" t="n">
        <v>3</v>
      </c>
      <c r="D2400" s="3" t="n">
        <v>1</v>
      </c>
      <c r="E2400" s="3" t="n">
        <v>18</v>
      </c>
      <c r="F2400" s="24" t="n">
        <v>0</v>
      </c>
    </row>
    <row r="2401" customFormat="false" ht="15" hidden="false" customHeight="false" outlineLevel="0" collapsed="false">
      <c r="A2401" s="3" t="n">
        <v>2400</v>
      </c>
      <c r="B2401" s="3" t="n">
        <v>2399</v>
      </c>
      <c r="C2401" s="3" t="n">
        <v>3</v>
      </c>
      <c r="D2401" s="3" t="n">
        <v>1</v>
      </c>
      <c r="E2401" s="3" t="n">
        <v>19</v>
      </c>
      <c r="F2401" s="24" t="n">
        <v>0</v>
      </c>
    </row>
    <row r="2402" customFormat="false" ht="15" hidden="false" customHeight="false" outlineLevel="0" collapsed="false">
      <c r="A2402" s="3" t="n">
        <v>2401</v>
      </c>
      <c r="B2402" s="3" t="n">
        <v>2400</v>
      </c>
      <c r="C2402" s="3" t="n">
        <v>3</v>
      </c>
      <c r="D2402" s="3" t="n">
        <v>1</v>
      </c>
      <c r="E2402" s="3" t="n">
        <v>20</v>
      </c>
      <c r="F2402" s="24" t="n">
        <v>0</v>
      </c>
    </row>
    <row r="2403" customFormat="false" ht="15" hidden="false" customHeight="false" outlineLevel="0" collapsed="false">
      <c r="A2403" s="3" t="n">
        <v>2402</v>
      </c>
      <c r="B2403" s="3" t="n">
        <v>2401</v>
      </c>
      <c r="C2403" s="3" t="n">
        <v>3</v>
      </c>
      <c r="D2403" s="3" t="n">
        <v>1</v>
      </c>
      <c r="E2403" s="3" t="n">
        <v>21</v>
      </c>
      <c r="F2403" s="24" t="n">
        <v>0</v>
      </c>
    </row>
    <row r="2404" customFormat="false" ht="15" hidden="false" customHeight="false" outlineLevel="0" collapsed="false">
      <c r="A2404" s="3" t="n">
        <v>2403</v>
      </c>
      <c r="B2404" s="3" t="n">
        <v>2402</v>
      </c>
      <c r="C2404" s="3" t="n">
        <v>3</v>
      </c>
      <c r="D2404" s="3" t="n">
        <v>1</v>
      </c>
      <c r="E2404" s="3" t="n">
        <v>22</v>
      </c>
      <c r="F2404" s="24" t="n">
        <v>0</v>
      </c>
    </row>
    <row r="2405" customFormat="false" ht="15" hidden="false" customHeight="false" outlineLevel="0" collapsed="false">
      <c r="A2405" s="3" t="n">
        <v>2404</v>
      </c>
      <c r="B2405" s="3" t="n">
        <v>2403</v>
      </c>
      <c r="C2405" s="3" t="n">
        <v>3</v>
      </c>
      <c r="D2405" s="3" t="n">
        <v>1</v>
      </c>
      <c r="E2405" s="3" t="n">
        <v>23</v>
      </c>
      <c r="F2405" s="24" t="n">
        <v>0</v>
      </c>
    </row>
    <row r="2406" customFormat="false" ht="15" hidden="false" customHeight="false" outlineLevel="0" collapsed="false">
      <c r="A2406" s="3" t="n">
        <v>2405</v>
      </c>
      <c r="B2406" s="3" t="n">
        <v>2404</v>
      </c>
      <c r="C2406" s="3" t="n">
        <v>3</v>
      </c>
      <c r="D2406" s="3" t="n">
        <v>1</v>
      </c>
      <c r="E2406" s="3" t="n">
        <v>24</v>
      </c>
      <c r="F2406" s="24" t="n">
        <v>0</v>
      </c>
    </row>
    <row r="2407" customFormat="false" ht="15" hidden="false" customHeight="false" outlineLevel="0" collapsed="false">
      <c r="A2407" s="3" t="n">
        <v>2406</v>
      </c>
      <c r="B2407" s="3" t="n">
        <v>2405</v>
      </c>
      <c r="C2407" s="3" t="n">
        <v>3</v>
      </c>
      <c r="D2407" s="3" t="n">
        <v>1</v>
      </c>
      <c r="E2407" s="3" t="n">
        <v>25</v>
      </c>
      <c r="F2407" s="24" t="n">
        <v>0</v>
      </c>
    </row>
    <row r="2408" customFormat="false" ht="15" hidden="false" customHeight="false" outlineLevel="0" collapsed="false">
      <c r="A2408" s="3" t="n">
        <v>2407</v>
      </c>
      <c r="B2408" s="3" t="n">
        <v>2406</v>
      </c>
      <c r="C2408" s="3" t="n">
        <v>3</v>
      </c>
      <c r="D2408" s="3" t="n">
        <v>1</v>
      </c>
      <c r="E2408" s="3" t="n">
        <v>26</v>
      </c>
      <c r="F2408" s="24" t="n">
        <v>0</v>
      </c>
    </row>
    <row r="2409" customFormat="false" ht="15" hidden="false" customHeight="false" outlineLevel="0" collapsed="false">
      <c r="A2409" s="3" t="n">
        <v>2408</v>
      </c>
      <c r="B2409" s="3" t="n">
        <v>2407</v>
      </c>
      <c r="C2409" s="3" t="n">
        <v>3</v>
      </c>
      <c r="D2409" s="3" t="n">
        <v>1</v>
      </c>
      <c r="E2409" s="3" t="n">
        <v>27</v>
      </c>
      <c r="F2409" s="24" t="n">
        <v>0</v>
      </c>
    </row>
    <row r="2410" customFormat="false" ht="15" hidden="false" customHeight="false" outlineLevel="0" collapsed="false">
      <c r="A2410" s="3" t="n">
        <v>2409</v>
      </c>
      <c r="B2410" s="3" t="n">
        <v>2408</v>
      </c>
      <c r="C2410" s="3" t="n">
        <v>3</v>
      </c>
      <c r="D2410" s="3" t="n">
        <v>2</v>
      </c>
      <c r="E2410" s="3" t="n">
        <v>0</v>
      </c>
      <c r="F2410" s="24" t="n">
        <v>0.0962923914</v>
      </c>
    </row>
    <row r="2411" customFormat="false" ht="15" hidden="false" customHeight="false" outlineLevel="0" collapsed="false">
      <c r="A2411" s="3" t="n">
        <v>2410</v>
      </c>
      <c r="B2411" s="3" t="n">
        <v>2409</v>
      </c>
      <c r="C2411" s="3" t="n">
        <v>3</v>
      </c>
      <c r="D2411" s="3" t="n">
        <v>2</v>
      </c>
      <c r="E2411" s="3" t="n">
        <v>1</v>
      </c>
      <c r="F2411" s="24" t="n">
        <v>0</v>
      </c>
    </row>
    <row r="2412" customFormat="false" ht="15" hidden="false" customHeight="false" outlineLevel="0" collapsed="false">
      <c r="A2412" s="3" t="n">
        <v>2411</v>
      </c>
      <c r="B2412" s="3" t="n">
        <v>2410</v>
      </c>
      <c r="C2412" s="3" t="n">
        <v>3</v>
      </c>
      <c r="D2412" s="3" t="n">
        <v>2</v>
      </c>
      <c r="E2412" s="3" t="n">
        <v>2</v>
      </c>
      <c r="F2412" s="24" t="n">
        <v>0</v>
      </c>
    </row>
    <row r="2413" customFormat="false" ht="15" hidden="false" customHeight="false" outlineLevel="0" collapsed="false">
      <c r="A2413" s="3" t="n">
        <v>2412</v>
      </c>
      <c r="B2413" s="3" t="n">
        <v>2411</v>
      </c>
      <c r="C2413" s="3" t="n">
        <v>3</v>
      </c>
      <c r="D2413" s="3" t="n">
        <v>2</v>
      </c>
      <c r="E2413" s="3" t="n">
        <v>3</v>
      </c>
      <c r="F2413" s="24" t="n">
        <v>0</v>
      </c>
    </row>
    <row r="2414" customFormat="false" ht="15" hidden="false" customHeight="false" outlineLevel="0" collapsed="false">
      <c r="A2414" s="3" t="n">
        <v>2413</v>
      </c>
      <c r="B2414" s="3" t="n">
        <v>2412</v>
      </c>
      <c r="C2414" s="3" t="n">
        <v>3</v>
      </c>
      <c r="D2414" s="3" t="n">
        <v>2</v>
      </c>
      <c r="E2414" s="3" t="n">
        <v>4</v>
      </c>
      <c r="F2414" s="24" t="n">
        <v>0</v>
      </c>
    </row>
    <row r="2415" customFormat="false" ht="15" hidden="false" customHeight="false" outlineLevel="0" collapsed="false">
      <c r="A2415" s="3" t="n">
        <v>2414</v>
      </c>
      <c r="B2415" s="3" t="n">
        <v>2413</v>
      </c>
      <c r="C2415" s="3" t="n">
        <v>3</v>
      </c>
      <c r="D2415" s="3" t="n">
        <v>2</v>
      </c>
      <c r="E2415" s="3" t="n">
        <v>5</v>
      </c>
      <c r="F2415" s="24" t="n">
        <v>0</v>
      </c>
    </row>
    <row r="2416" customFormat="false" ht="15" hidden="false" customHeight="false" outlineLevel="0" collapsed="false">
      <c r="A2416" s="3" t="n">
        <v>2415</v>
      </c>
      <c r="B2416" s="3" t="n">
        <v>2414</v>
      </c>
      <c r="C2416" s="3" t="n">
        <v>3</v>
      </c>
      <c r="D2416" s="3" t="n">
        <v>2</v>
      </c>
      <c r="E2416" s="3" t="n">
        <v>6</v>
      </c>
      <c r="F2416" s="24" t="n">
        <v>0</v>
      </c>
    </row>
    <row r="2417" customFormat="false" ht="15" hidden="false" customHeight="false" outlineLevel="0" collapsed="false">
      <c r="A2417" s="3" t="n">
        <v>2416</v>
      </c>
      <c r="B2417" s="3" t="n">
        <v>2415</v>
      </c>
      <c r="C2417" s="3" t="n">
        <v>3</v>
      </c>
      <c r="D2417" s="3" t="n">
        <v>2</v>
      </c>
      <c r="E2417" s="3" t="n">
        <v>7</v>
      </c>
      <c r="F2417" s="24" t="n">
        <v>0</v>
      </c>
    </row>
    <row r="2418" customFormat="false" ht="15" hidden="false" customHeight="false" outlineLevel="0" collapsed="false">
      <c r="A2418" s="3" t="n">
        <v>2417</v>
      </c>
      <c r="B2418" s="3" t="n">
        <v>2416</v>
      </c>
      <c r="C2418" s="3" t="n">
        <v>3</v>
      </c>
      <c r="D2418" s="3" t="n">
        <v>2</v>
      </c>
      <c r="E2418" s="3" t="n">
        <v>8</v>
      </c>
      <c r="F2418" s="24" t="n">
        <v>0</v>
      </c>
    </row>
    <row r="2419" customFormat="false" ht="15" hidden="false" customHeight="false" outlineLevel="0" collapsed="false">
      <c r="A2419" s="3" t="n">
        <v>2418</v>
      </c>
      <c r="B2419" s="3" t="n">
        <v>2417</v>
      </c>
      <c r="C2419" s="3" t="n">
        <v>3</v>
      </c>
      <c r="D2419" s="3" t="n">
        <v>2</v>
      </c>
      <c r="E2419" s="3" t="n">
        <v>9</v>
      </c>
      <c r="F2419" s="24" t="n">
        <v>0</v>
      </c>
    </row>
    <row r="2420" customFormat="false" ht="15" hidden="false" customHeight="false" outlineLevel="0" collapsed="false">
      <c r="A2420" s="3" t="n">
        <v>2419</v>
      </c>
      <c r="B2420" s="3" t="n">
        <v>2418</v>
      </c>
      <c r="C2420" s="3" t="n">
        <v>3</v>
      </c>
      <c r="D2420" s="3" t="n">
        <v>2</v>
      </c>
      <c r="E2420" s="3" t="n">
        <v>10</v>
      </c>
      <c r="F2420" s="24" t="n">
        <v>0</v>
      </c>
    </row>
    <row r="2421" customFormat="false" ht="15" hidden="false" customHeight="false" outlineLevel="0" collapsed="false">
      <c r="A2421" s="3" t="n">
        <v>2420</v>
      </c>
      <c r="B2421" s="3" t="n">
        <v>2419</v>
      </c>
      <c r="C2421" s="3" t="n">
        <v>3</v>
      </c>
      <c r="D2421" s="3" t="n">
        <v>2</v>
      </c>
      <c r="E2421" s="3" t="n">
        <v>11</v>
      </c>
      <c r="F2421" s="24" t="n">
        <v>0</v>
      </c>
    </row>
    <row r="2422" customFormat="false" ht="15" hidden="false" customHeight="false" outlineLevel="0" collapsed="false">
      <c r="A2422" s="3" t="n">
        <v>2421</v>
      </c>
      <c r="B2422" s="3" t="n">
        <v>2420</v>
      </c>
      <c r="C2422" s="3" t="n">
        <v>3</v>
      </c>
      <c r="D2422" s="3" t="n">
        <v>2</v>
      </c>
      <c r="E2422" s="3" t="n">
        <v>12</v>
      </c>
      <c r="F2422" s="24" t="n">
        <v>0</v>
      </c>
    </row>
    <row r="2423" customFormat="false" ht="15" hidden="false" customHeight="false" outlineLevel="0" collapsed="false">
      <c r="A2423" s="3" t="n">
        <v>2422</v>
      </c>
      <c r="B2423" s="3" t="n">
        <v>2421</v>
      </c>
      <c r="C2423" s="3" t="n">
        <v>3</v>
      </c>
      <c r="D2423" s="3" t="n">
        <v>2</v>
      </c>
      <c r="E2423" s="3" t="n">
        <v>13</v>
      </c>
      <c r="F2423" s="24" t="n">
        <v>0</v>
      </c>
    </row>
    <row r="2424" customFormat="false" ht="15" hidden="false" customHeight="false" outlineLevel="0" collapsed="false">
      <c r="A2424" s="3" t="n">
        <v>2423</v>
      </c>
      <c r="B2424" s="3" t="n">
        <v>2422</v>
      </c>
      <c r="C2424" s="3" t="n">
        <v>3</v>
      </c>
      <c r="D2424" s="3" t="n">
        <v>2</v>
      </c>
      <c r="E2424" s="3" t="n">
        <v>14</v>
      </c>
      <c r="F2424" s="24" t="n">
        <v>0</v>
      </c>
    </row>
    <row r="2425" customFormat="false" ht="15" hidden="false" customHeight="false" outlineLevel="0" collapsed="false">
      <c r="A2425" s="3" t="n">
        <v>2424</v>
      </c>
      <c r="B2425" s="3" t="n">
        <v>2423</v>
      </c>
      <c r="C2425" s="3" t="n">
        <v>3</v>
      </c>
      <c r="D2425" s="3" t="n">
        <v>2</v>
      </c>
      <c r="E2425" s="3" t="n">
        <v>15</v>
      </c>
      <c r="F2425" s="24" t="n">
        <v>0</v>
      </c>
    </row>
    <row r="2426" customFormat="false" ht="15" hidden="false" customHeight="false" outlineLevel="0" collapsed="false">
      <c r="A2426" s="3" t="n">
        <v>2425</v>
      </c>
      <c r="B2426" s="3" t="n">
        <v>2424</v>
      </c>
      <c r="C2426" s="3" t="n">
        <v>3</v>
      </c>
      <c r="D2426" s="3" t="n">
        <v>2</v>
      </c>
      <c r="E2426" s="3" t="n">
        <v>16</v>
      </c>
      <c r="F2426" s="24" t="n">
        <v>0</v>
      </c>
    </row>
    <row r="2427" customFormat="false" ht="15" hidden="false" customHeight="false" outlineLevel="0" collapsed="false">
      <c r="A2427" s="3" t="n">
        <v>2426</v>
      </c>
      <c r="B2427" s="3" t="n">
        <v>2425</v>
      </c>
      <c r="C2427" s="3" t="n">
        <v>3</v>
      </c>
      <c r="D2427" s="3" t="n">
        <v>2</v>
      </c>
      <c r="E2427" s="3" t="n">
        <v>17</v>
      </c>
      <c r="F2427" s="24" t="n">
        <v>0</v>
      </c>
    </row>
    <row r="2428" customFormat="false" ht="15" hidden="false" customHeight="false" outlineLevel="0" collapsed="false">
      <c r="A2428" s="3" t="n">
        <v>2427</v>
      </c>
      <c r="B2428" s="3" t="n">
        <v>2426</v>
      </c>
      <c r="C2428" s="3" t="n">
        <v>3</v>
      </c>
      <c r="D2428" s="3" t="n">
        <v>2</v>
      </c>
      <c r="E2428" s="3" t="n">
        <v>18</v>
      </c>
      <c r="F2428" s="24" t="n">
        <v>0</v>
      </c>
    </row>
    <row r="2429" customFormat="false" ht="15" hidden="false" customHeight="false" outlineLevel="0" collapsed="false">
      <c r="A2429" s="3" t="n">
        <v>2428</v>
      </c>
      <c r="B2429" s="3" t="n">
        <v>2427</v>
      </c>
      <c r="C2429" s="3" t="n">
        <v>3</v>
      </c>
      <c r="D2429" s="3" t="n">
        <v>2</v>
      </c>
      <c r="E2429" s="3" t="n">
        <v>19</v>
      </c>
      <c r="F2429" s="24" t="n">
        <v>0</v>
      </c>
    </row>
    <row r="2430" customFormat="false" ht="15" hidden="false" customHeight="false" outlineLevel="0" collapsed="false">
      <c r="A2430" s="3" t="n">
        <v>2429</v>
      </c>
      <c r="B2430" s="3" t="n">
        <v>2428</v>
      </c>
      <c r="C2430" s="3" t="n">
        <v>3</v>
      </c>
      <c r="D2430" s="3" t="n">
        <v>2</v>
      </c>
      <c r="E2430" s="3" t="n">
        <v>20</v>
      </c>
      <c r="F2430" s="24" t="n">
        <v>0</v>
      </c>
    </row>
    <row r="2431" customFormat="false" ht="15" hidden="false" customHeight="false" outlineLevel="0" collapsed="false">
      <c r="A2431" s="3" t="n">
        <v>2430</v>
      </c>
      <c r="B2431" s="3" t="n">
        <v>2429</v>
      </c>
      <c r="C2431" s="3" t="n">
        <v>3</v>
      </c>
      <c r="D2431" s="3" t="n">
        <v>2</v>
      </c>
      <c r="E2431" s="3" t="n">
        <v>21</v>
      </c>
      <c r="F2431" s="24" t="n">
        <v>0</v>
      </c>
    </row>
    <row r="2432" customFormat="false" ht="15" hidden="false" customHeight="false" outlineLevel="0" collapsed="false">
      <c r="A2432" s="3" t="n">
        <v>2431</v>
      </c>
      <c r="B2432" s="3" t="n">
        <v>2430</v>
      </c>
      <c r="C2432" s="3" t="n">
        <v>3</v>
      </c>
      <c r="D2432" s="3" t="n">
        <v>2</v>
      </c>
      <c r="E2432" s="3" t="n">
        <v>22</v>
      </c>
      <c r="F2432" s="24" t="n">
        <v>0</v>
      </c>
    </row>
    <row r="2433" customFormat="false" ht="15" hidden="false" customHeight="false" outlineLevel="0" collapsed="false">
      <c r="A2433" s="3" t="n">
        <v>2432</v>
      </c>
      <c r="B2433" s="3" t="n">
        <v>2431</v>
      </c>
      <c r="C2433" s="3" t="n">
        <v>3</v>
      </c>
      <c r="D2433" s="3" t="n">
        <v>2</v>
      </c>
      <c r="E2433" s="3" t="n">
        <v>23</v>
      </c>
      <c r="F2433" s="24" t="n">
        <v>0</v>
      </c>
    </row>
    <row r="2434" customFormat="false" ht="15" hidden="false" customHeight="false" outlineLevel="0" collapsed="false">
      <c r="A2434" s="3" t="n">
        <v>2433</v>
      </c>
      <c r="B2434" s="3" t="n">
        <v>2432</v>
      </c>
      <c r="C2434" s="3" t="n">
        <v>3</v>
      </c>
      <c r="D2434" s="3" t="n">
        <v>2</v>
      </c>
      <c r="E2434" s="3" t="n">
        <v>24</v>
      </c>
      <c r="F2434" s="24" t="n">
        <v>0</v>
      </c>
    </row>
    <row r="2435" customFormat="false" ht="15" hidden="false" customHeight="false" outlineLevel="0" collapsed="false">
      <c r="A2435" s="3" t="n">
        <v>2434</v>
      </c>
      <c r="B2435" s="3" t="n">
        <v>2433</v>
      </c>
      <c r="C2435" s="3" t="n">
        <v>3</v>
      </c>
      <c r="D2435" s="3" t="n">
        <v>2</v>
      </c>
      <c r="E2435" s="3" t="n">
        <v>25</v>
      </c>
      <c r="F2435" s="24" t="n">
        <v>0</v>
      </c>
    </row>
    <row r="2436" customFormat="false" ht="15" hidden="false" customHeight="false" outlineLevel="0" collapsed="false">
      <c r="A2436" s="3" t="n">
        <v>2435</v>
      </c>
      <c r="B2436" s="3" t="n">
        <v>2434</v>
      </c>
      <c r="C2436" s="3" t="n">
        <v>3</v>
      </c>
      <c r="D2436" s="3" t="n">
        <v>2</v>
      </c>
      <c r="E2436" s="3" t="n">
        <v>26</v>
      </c>
      <c r="F2436" s="24" t="n">
        <v>0</v>
      </c>
    </row>
    <row r="2437" customFormat="false" ht="15" hidden="false" customHeight="false" outlineLevel="0" collapsed="false">
      <c r="A2437" s="3" t="n">
        <v>2436</v>
      </c>
      <c r="B2437" s="3" t="n">
        <v>2435</v>
      </c>
      <c r="C2437" s="3" t="n">
        <v>3</v>
      </c>
      <c r="D2437" s="3" t="n">
        <v>2</v>
      </c>
      <c r="E2437" s="3" t="n">
        <v>27</v>
      </c>
      <c r="F2437" s="24" t="n">
        <v>0</v>
      </c>
    </row>
    <row r="2438" customFormat="false" ht="15" hidden="false" customHeight="false" outlineLevel="0" collapsed="false">
      <c r="A2438" s="3" t="n">
        <v>2437</v>
      </c>
      <c r="B2438" s="3" t="n">
        <v>2436</v>
      </c>
      <c r="C2438" s="3" t="n">
        <v>3</v>
      </c>
      <c r="D2438" s="3" t="n">
        <v>3</v>
      </c>
      <c r="E2438" s="3" t="n">
        <v>0</v>
      </c>
      <c r="F2438" s="24" t="n">
        <v>0.0962923914</v>
      </c>
    </row>
    <row r="2439" customFormat="false" ht="15" hidden="false" customHeight="false" outlineLevel="0" collapsed="false">
      <c r="A2439" s="3" t="n">
        <v>2438</v>
      </c>
      <c r="B2439" s="3" t="n">
        <v>2437</v>
      </c>
      <c r="C2439" s="3" t="n">
        <v>3</v>
      </c>
      <c r="D2439" s="3" t="n">
        <v>3</v>
      </c>
      <c r="E2439" s="3" t="n">
        <v>1</v>
      </c>
      <c r="F2439" s="24" t="n">
        <v>0</v>
      </c>
    </row>
    <row r="2440" customFormat="false" ht="15" hidden="false" customHeight="false" outlineLevel="0" collapsed="false">
      <c r="A2440" s="3" t="n">
        <v>2439</v>
      </c>
      <c r="B2440" s="3" t="n">
        <v>2438</v>
      </c>
      <c r="C2440" s="3" t="n">
        <v>3</v>
      </c>
      <c r="D2440" s="3" t="n">
        <v>3</v>
      </c>
      <c r="E2440" s="3" t="n">
        <v>2</v>
      </c>
      <c r="F2440" s="24" t="n">
        <v>0</v>
      </c>
    </row>
    <row r="2441" customFormat="false" ht="15" hidden="false" customHeight="false" outlineLevel="0" collapsed="false">
      <c r="A2441" s="3" t="n">
        <v>2440</v>
      </c>
      <c r="B2441" s="3" t="n">
        <v>2439</v>
      </c>
      <c r="C2441" s="3" t="n">
        <v>3</v>
      </c>
      <c r="D2441" s="3" t="n">
        <v>3</v>
      </c>
      <c r="E2441" s="3" t="n">
        <v>3</v>
      </c>
      <c r="F2441" s="24" t="n">
        <v>0</v>
      </c>
    </row>
    <row r="2442" customFormat="false" ht="15" hidden="false" customHeight="false" outlineLevel="0" collapsed="false">
      <c r="A2442" s="3" t="n">
        <v>2441</v>
      </c>
      <c r="B2442" s="3" t="n">
        <v>2440</v>
      </c>
      <c r="C2442" s="3" t="n">
        <v>3</v>
      </c>
      <c r="D2442" s="3" t="n">
        <v>3</v>
      </c>
      <c r="E2442" s="3" t="n">
        <v>4</v>
      </c>
      <c r="F2442" s="24" t="n">
        <v>0</v>
      </c>
    </row>
    <row r="2443" customFormat="false" ht="15" hidden="false" customHeight="false" outlineLevel="0" collapsed="false">
      <c r="A2443" s="3" t="n">
        <v>2442</v>
      </c>
      <c r="B2443" s="3" t="n">
        <v>2441</v>
      </c>
      <c r="C2443" s="3" t="n">
        <v>3</v>
      </c>
      <c r="D2443" s="3" t="n">
        <v>3</v>
      </c>
      <c r="E2443" s="3" t="n">
        <v>5</v>
      </c>
      <c r="F2443" s="24" t="n">
        <v>0</v>
      </c>
    </row>
    <row r="2444" customFormat="false" ht="15" hidden="false" customHeight="false" outlineLevel="0" collapsed="false">
      <c r="A2444" s="3" t="n">
        <v>2443</v>
      </c>
      <c r="B2444" s="3" t="n">
        <v>2442</v>
      </c>
      <c r="C2444" s="3" t="n">
        <v>3</v>
      </c>
      <c r="D2444" s="3" t="n">
        <v>3</v>
      </c>
      <c r="E2444" s="3" t="n">
        <v>6</v>
      </c>
      <c r="F2444" s="24" t="n">
        <v>0</v>
      </c>
    </row>
    <row r="2445" customFormat="false" ht="15" hidden="false" customHeight="false" outlineLevel="0" collapsed="false">
      <c r="A2445" s="3" t="n">
        <v>2444</v>
      </c>
      <c r="B2445" s="3" t="n">
        <v>2443</v>
      </c>
      <c r="C2445" s="3" t="n">
        <v>3</v>
      </c>
      <c r="D2445" s="3" t="n">
        <v>3</v>
      </c>
      <c r="E2445" s="3" t="n">
        <v>7</v>
      </c>
      <c r="F2445" s="24" t="n">
        <v>0</v>
      </c>
    </row>
    <row r="2446" customFormat="false" ht="15" hidden="false" customHeight="false" outlineLevel="0" collapsed="false">
      <c r="A2446" s="3" t="n">
        <v>2445</v>
      </c>
      <c r="B2446" s="3" t="n">
        <v>2444</v>
      </c>
      <c r="C2446" s="3" t="n">
        <v>3</v>
      </c>
      <c r="D2446" s="3" t="n">
        <v>3</v>
      </c>
      <c r="E2446" s="3" t="n">
        <v>8</v>
      </c>
      <c r="F2446" s="24" t="n">
        <v>0</v>
      </c>
    </row>
    <row r="2447" customFormat="false" ht="15" hidden="false" customHeight="false" outlineLevel="0" collapsed="false">
      <c r="A2447" s="3" t="n">
        <v>2446</v>
      </c>
      <c r="B2447" s="3" t="n">
        <v>2445</v>
      </c>
      <c r="C2447" s="3" t="n">
        <v>3</v>
      </c>
      <c r="D2447" s="3" t="n">
        <v>3</v>
      </c>
      <c r="E2447" s="3" t="n">
        <v>9</v>
      </c>
      <c r="F2447" s="24" t="n">
        <v>0</v>
      </c>
    </row>
    <row r="2448" customFormat="false" ht="15" hidden="false" customHeight="false" outlineLevel="0" collapsed="false">
      <c r="A2448" s="3" t="n">
        <v>2447</v>
      </c>
      <c r="B2448" s="3" t="n">
        <v>2446</v>
      </c>
      <c r="C2448" s="3" t="n">
        <v>3</v>
      </c>
      <c r="D2448" s="3" t="n">
        <v>3</v>
      </c>
      <c r="E2448" s="3" t="n">
        <v>10</v>
      </c>
      <c r="F2448" s="24" t="n">
        <v>0</v>
      </c>
    </row>
    <row r="2449" customFormat="false" ht="15" hidden="false" customHeight="false" outlineLevel="0" collapsed="false">
      <c r="A2449" s="3" t="n">
        <v>2448</v>
      </c>
      <c r="B2449" s="3" t="n">
        <v>2447</v>
      </c>
      <c r="C2449" s="3" t="n">
        <v>3</v>
      </c>
      <c r="D2449" s="3" t="n">
        <v>3</v>
      </c>
      <c r="E2449" s="3" t="n">
        <v>11</v>
      </c>
      <c r="F2449" s="24" t="n">
        <v>0</v>
      </c>
    </row>
    <row r="2450" customFormat="false" ht="15" hidden="false" customHeight="false" outlineLevel="0" collapsed="false">
      <c r="A2450" s="3" t="n">
        <v>2449</v>
      </c>
      <c r="B2450" s="3" t="n">
        <v>2448</v>
      </c>
      <c r="C2450" s="3" t="n">
        <v>3</v>
      </c>
      <c r="D2450" s="3" t="n">
        <v>3</v>
      </c>
      <c r="E2450" s="3" t="n">
        <v>12</v>
      </c>
      <c r="F2450" s="24" t="n">
        <v>0</v>
      </c>
    </row>
    <row r="2451" customFormat="false" ht="15" hidden="false" customHeight="false" outlineLevel="0" collapsed="false">
      <c r="A2451" s="3" t="n">
        <v>2450</v>
      </c>
      <c r="B2451" s="3" t="n">
        <v>2449</v>
      </c>
      <c r="C2451" s="3" t="n">
        <v>3</v>
      </c>
      <c r="D2451" s="3" t="n">
        <v>3</v>
      </c>
      <c r="E2451" s="3" t="n">
        <v>13</v>
      </c>
      <c r="F2451" s="24" t="n">
        <v>0</v>
      </c>
    </row>
    <row r="2452" customFormat="false" ht="15" hidden="false" customHeight="false" outlineLevel="0" collapsed="false">
      <c r="A2452" s="3" t="n">
        <v>2451</v>
      </c>
      <c r="B2452" s="3" t="n">
        <v>2450</v>
      </c>
      <c r="C2452" s="3" t="n">
        <v>3</v>
      </c>
      <c r="D2452" s="3" t="n">
        <v>3</v>
      </c>
      <c r="E2452" s="3" t="n">
        <v>14</v>
      </c>
      <c r="F2452" s="24" t="n">
        <v>0</v>
      </c>
    </row>
    <row r="2453" customFormat="false" ht="15" hidden="false" customHeight="false" outlineLevel="0" collapsed="false">
      <c r="A2453" s="3" t="n">
        <v>2452</v>
      </c>
      <c r="B2453" s="3" t="n">
        <v>2451</v>
      </c>
      <c r="C2453" s="3" t="n">
        <v>3</v>
      </c>
      <c r="D2453" s="3" t="n">
        <v>3</v>
      </c>
      <c r="E2453" s="3" t="n">
        <v>15</v>
      </c>
      <c r="F2453" s="24" t="n">
        <v>0</v>
      </c>
    </row>
    <row r="2454" customFormat="false" ht="15" hidden="false" customHeight="false" outlineLevel="0" collapsed="false">
      <c r="A2454" s="3" t="n">
        <v>2453</v>
      </c>
      <c r="B2454" s="3" t="n">
        <v>2452</v>
      </c>
      <c r="C2454" s="3" t="n">
        <v>3</v>
      </c>
      <c r="D2454" s="3" t="n">
        <v>3</v>
      </c>
      <c r="E2454" s="3" t="n">
        <v>16</v>
      </c>
      <c r="F2454" s="24" t="n">
        <v>0</v>
      </c>
    </row>
    <row r="2455" customFormat="false" ht="15" hidden="false" customHeight="false" outlineLevel="0" collapsed="false">
      <c r="A2455" s="3" t="n">
        <v>2454</v>
      </c>
      <c r="B2455" s="3" t="n">
        <v>2453</v>
      </c>
      <c r="C2455" s="3" t="n">
        <v>3</v>
      </c>
      <c r="D2455" s="3" t="n">
        <v>3</v>
      </c>
      <c r="E2455" s="3" t="n">
        <v>17</v>
      </c>
      <c r="F2455" s="24" t="n">
        <v>0</v>
      </c>
    </row>
    <row r="2456" customFormat="false" ht="15" hidden="false" customHeight="false" outlineLevel="0" collapsed="false">
      <c r="A2456" s="3" t="n">
        <v>2455</v>
      </c>
      <c r="B2456" s="3" t="n">
        <v>2454</v>
      </c>
      <c r="C2456" s="3" t="n">
        <v>3</v>
      </c>
      <c r="D2456" s="3" t="n">
        <v>3</v>
      </c>
      <c r="E2456" s="3" t="n">
        <v>18</v>
      </c>
      <c r="F2456" s="24" t="n">
        <v>0</v>
      </c>
    </row>
    <row r="2457" customFormat="false" ht="15" hidden="false" customHeight="false" outlineLevel="0" collapsed="false">
      <c r="A2457" s="3" t="n">
        <v>2456</v>
      </c>
      <c r="B2457" s="3" t="n">
        <v>2455</v>
      </c>
      <c r="C2457" s="3" t="n">
        <v>3</v>
      </c>
      <c r="D2457" s="3" t="n">
        <v>3</v>
      </c>
      <c r="E2457" s="3" t="n">
        <v>19</v>
      </c>
      <c r="F2457" s="24" t="n">
        <v>0</v>
      </c>
    </row>
    <row r="2458" customFormat="false" ht="15" hidden="false" customHeight="false" outlineLevel="0" collapsed="false">
      <c r="A2458" s="3" t="n">
        <v>2457</v>
      </c>
      <c r="B2458" s="3" t="n">
        <v>2456</v>
      </c>
      <c r="C2458" s="3" t="n">
        <v>3</v>
      </c>
      <c r="D2458" s="3" t="n">
        <v>3</v>
      </c>
      <c r="E2458" s="3" t="n">
        <v>20</v>
      </c>
      <c r="F2458" s="24" t="n">
        <v>0</v>
      </c>
    </row>
    <row r="2459" customFormat="false" ht="15" hidden="false" customHeight="false" outlineLevel="0" collapsed="false">
      <c r="A2459" s="3" t="n">
        <v>2458</v>
      </c>
      <c r="B2459" s="3" t="n">
        <v>2457</v>
      </c>
      <c r="C2459" s="3" t="n">
        <v>3</v>
      </c>
      <c r="D2459" s="3" t="n">
        <v>3</v>
      </c>
      <c r="E2459" s="3" t="n">
        <v>21</v>
      </c>
      <c r="F2459" s="24" t="n">
        <v>0</v>
      </c>
    </row>
    <row r="2460" customFormat="false" ht="15" hidden="false" customHeight="false" outlineLevel="0" collapsed="false">
      <c r="A2460" s="3" t="n">
        <v>2459</v>
      </c>
      <c r="B2460" s="3" t="n">
        <v>2458</v>
      </c>
      <c r="C2460" s="3" t="n">
        <v>3</v>
      </c>
      <c r="D2460" s="3" t="n">
        <v>3</v>
      </c>
      <c r="E2460" s="3" t="n">
        <v>22</v>
      </c>
      <c r="F2460" s="24" t="n">
        <v>0</v>
      </c>
    </row>
    <row r="2461" customFormat="false" ht="15" hidden="false" customHeight="false" outlineLevel="0" collapsed="false">
      <c r="A2461" s="3" t="n">
        <v>2460</v>
      </c>
      <c r="B2461" s="3" t="n">
        <v>2459</v>
      </c>
      <c r="C2461" s="3" t="n">
        <v>3</v>
      </c>
      <c r="D2461" s="3" t="n">
        <v>3</v>
      </c>
      <c r="E2461" s="3" t="n">
        <v>23</v>
      </c>
      <c r="F2461" s="24" t="n">
        <v>0</v>
      </c>
    </row>
    <row r="2462" customFormat="false" ht="15" hidden="false" customHeight="false" outlineLevel="0" collapsed="false">
      <c r="A2462" s="3" t="n">
        <v>2461</v>
      </c>
      <c r="B2462" s="3" t="n">
        <v>2460</v>
      </c>
      <c r="C2462" s="3" t="n">
        <v>3</v>
      </c>
      <c r="D2462" s="3" t="n">
        <v>3</v>
      </c>
      <c r="E2462" s="3" t="n">
        <v>24</v>
      </c>
      <c r="F2462" s="24" t="n">
        <v>0</v>
      </c>
    </row>
    <row r="2463" customFormat="false" ht="15" hidden="false" customHeight="false" outlineLevel="0" collapsed="false">
      <c r="A2463" s="3" t="n">
        <v>2462</v>
      </c>
      <c r="B2463" s="3" t="n">
        <v>2461</v>
      </c>
      <c r="C2463" s="3" t="n">
        <v>3</v>
      </c>
      <c r="D2463" s="3" t="n">
        <v>3</v>
      </c>
      <c r="E2463" s="3" t="n">
        <v>25</v>
      </c>
      <c r="F2463" s="24" t="n">
        <v>0</v>
      </c>
    </row>
    <row r="2464" customFormat="false" ht="15" hidden="false" customHeight="false" outlineLevel="0" collapsed="false">
      <c r="A2464" s="3" t="n">
        <v>2463</v>
      </c>
      <c r="B2464" s="3" t="n">
        <v>2462</v>
      </c>
      <c r="C2464" s="3" t="n">
        <v>3</v>
      </c>
      <c r="D2464" s="3" t="n">
        <v>3</v>
      </c>
      <c r="E2464" s="3" t="n">
        <v>26</v>
      </c>
      <c r="F2464" s="24" t="n">
        <v>0</v>
      </c>
    </row>
    <row r="2465" customFormat="false" ht="15" hidden="false" customHeight="false" outlineLevel="0" collapsed="false">
      <c r="A2465" s="3" t="n">
        <v>2464</v>
      </c>
      <c r="B2465" s="3" t="n">
        <v>2463</v>
      </c>
      <c r="C2465" s="3" t="n">
        <v>3</v>
      </c>
      <c r="D2465" s="3" t="n">
        <v>3</v>
      </c>
      <c r="E2465" s="3" t="n">
        <v>27</v>
      </c>
      <c r="F2465" s="24" t="n">
        <v>0</v>
      </c>
    </row>
    <row r="2466" customFormat="false" ht="15" hidden="false" customHeight="false" outlineLevel="0" collapsed="false">
      <c r="A2466" s="3" t="n">
        <v>2465</v>
      </c>
      <c r="B2466" s="3" t="n">
        <v>2464</v>
      </c>
      <c r="C2466" s="3" t="n">
        <v>3</v>
      </c>
      <c r="D2466" s="3" t="n">
        <v>4</v>
      </c>
      <c r="E2466" s="3" t="n">
        <v>0</v>
      </c>
      <c r="F2466" s="24" t="n">
        <v>0.0962923914</v>
      </c>
    </row>
    <row r="2467" customFormat="false" ht="15" hidden="false" customHeight="false" outlineLevel="0" collapsed="false">
      <c r="A2467" s="3" t="n">
        <v>2466</v>
      </c>
      <c r="B2467" s="3" t="n">
        <v>2465</v>
      </c>
      <c r="C2467" s="3" t="n">
        <v>3</v>
      </c>
      <c r="D2467" s="3" t="n">
        <v>4</v>
      </c>
      <c r="E2467" s="3" t="n">
        <v>1</v>
      </c>
      <c r="F2467" s="24" t="n">
        <v>0</v>
      </c>
    </row>
    <row r="2468" customFormat="false" ht="15" hidden="false" customHeight="false" outlineLevel="0" collapsed="false">
      <c r="A2468" s="3" t="n">
        <v>2467</v>
      </c>
      <c r="B2468" s="3" t="n">
        <v>2466</v>
      </c>
      <c r="C2468" s="3" t="n">
        <v>3</v>
      </c>
      <c r="D2468" s="3" t="n">
        <v>4</v>
      </c>
      <c r="E2468" s="3" t="n">
        <v>2</v>
      </c>
      <c r="F2468" s="24" t="n">
        <v>0</v>
      </c>
    </row>
    <row r="2469" customFormat="false" ht="15" hidden="false" customHeight="false" outlineLevel="0" collapsed="false">
      <c r="A2469" s="3" t="n">
        <v>2468</v>
      </c>
      <c r="B2469" s="3" t="n">
        <v>2467</v>
      </c>
      <c r="C2469" s="3" t="n">
        <v>3</v>
      </c>
      <c r="D2469" s="3" t="n">
        <v>4</v>
      </c>
      <c r="E2469" s="3" t="n">
        <v>3</v>
      </c>
      <c r="F2469" s="24" t="n">
        <v>0</v>
      </c>
    </row>
    <row r="2470" customFormat="false" ht="15" hidden="false" customHeight="false" outlineLevel="0" collapsed="false">
      <c r="A2470" s="3" t="n">
        <v>2469</v>
      </c>
      <c r="B2470" s="3" t="n">
        <v>2468</v>
      </c>
      <c r="C2470" s="3" t="n">
        <v>3</v>
      </c>
      <c r="D2470" s="3" t="n">
        <v>4</v>
      </c>
      <c r="E2470" s="3" t="n">
        <v>4</v>
      </c>
      <c r="F2470" s="24" t="n">
        <v>0</v>
      </c>
    </row>
    <row r="2471" customFormat="false" ht="15" hidden="false" customHeight="false" outlineLevel="0" collapsed="false">
      <c r="A2471" s="3" t="n">
        <v>2470</v>
      </c>
      <c r="B2471" s="3" t="n">
        <v>2469</v>
      </c>
      <c r="C2471" s="3" t="n">
        <v>3</v>
      </c>
      <c r="D2471" s="3" t="n">
        <v>4</v>
      </c>
      <c r="E2471" s="3" t="n">
        <v>5</v>
      </c>
      <c r="F2471" s="24" t="n">
        <v>0</v>
      </c>
    </row>
    <row r="2472" customFormat="false" ht="15" hidden="false" customHeight="false" outlineLevel="0" collapsed="false">
      <c r="A2472" s="3" t="n">
        <v>2471</v>
      </c>
      <c r="B2472" s="3" t="n">
        <v>2470</v>
      </c>
      <c r="C2472" s="3" t="n">
        <v>3</v>
      </c>
      <c r="D2472" s="3" t="n">
        <v>4</v>
      </c>
      <c r="E2472" s="3" t="n">
        <v>6</v>
      </c>
      <c r="F2472" s="24" t="n">
        <v>0</v>
      </c>
    </row>
    <row r="2473" customFormat="false" ht="15" hidden="false" customHeight="false" outlineLevel="0" collapsed="false">
      <c r="A2473" s="3" t="n">
        <v>2472</v>
      </c>
      <c r="B2473" s="3" t="n">
        <v>2471</v>
      </c>
      <c r="C2473" s="3" t="n">
        <v>3</v>
      </c>
      <c r="D2473" s="3" t="n">
        <v>4</v>
      </c>
      <c r="E2473" s="3" t="n">
        <v>7</v>
      </c>
      <c r="F2473" s="24" t="n">
        <v>0</v>
      </c>
    </row>
    <row r="2474" customFormat="false" ht="15" hidden="false" customHeight="false" outlineLevel="0" collapsed="false">
      <c r="A2474" s="3" t="n">
        <v>2473</v>
      </c>
      <c r="B2474" s="3" t="n">
        <v>2472</v>
      </c>
      <c r="C2474" s="3" t="n">
        <v>3</v>
      </c>
      <c r="D2474" s="3" t="n">
        <v>4</v>
      </c>
      <c r="E2474" s="3" t="n">
        <v>8</v>
      </c>
      <c r="F2474" s="24" t="n">
        <v>0</v>
      </c>
    </row>
    <row r="2475" customFormat="false" ht="15" hidden="false" customHeight="false" outlineLevel="0" collapsed="false">
      <c r="A2475" s="3" t="n">
        <v>2474</v>
      </c>
      <c r="B2475" s="3" t="n">
        <v>2473</v>
      </c>
      <c r="C2475" s="3" t="n">
        <v>3</v>
      </c>
      <c r="D2475" s="3" t="n">
        <v>4</v>
      </c>
      <c r="E2475" s="3" t="n">
        <v>9</v>
      </c>
      <c r="F2475" s="24" t="n">
        <v>0</v>
      </c>
    </row>
    <row r="2476" customFormat="false" ht="15" hidden="false" customHeight="false" outlineLevel="0" collapsed="false">
      <c r="A2476" s="3" t="n">
        <v>2475</v>
      </c>
      <c r="B2476" s="3" t="n">
        <v>2474</v>
      </c>
      <c r="C2476" s="3" t="n">
        <v>3</v>
      </c>
      <c r="D2476" s="3" t="n">
        <v>4</v>
      </c>
      <c r="E2476" s="3" t="n">
        <v>10</v>
      </c>
      <c r="F2476" s="24" t="n">
        <v>0</v>
      </c>
    </row>
    <row r="2477" customFormat="false" ht="15" hidden="false" customHeight="false" outlineLevel="0" collapsed="false">
      <c r="A2477" s="3" t="n">
        <v>2476</v>
      </c>
      <c r="B2477" s="3" t="n">
        <v>2475</v>
      </c>
      <c r="C2477" s="3" t="n">
        <v>3</v>
      </c>
      <c r="D2477" s="3" t="n">
        <v>4</v>
      </c>
      <c r="E2477" s="3" t="n">
        <v>11</v>
      </c>
      <c r="F2477" s="24" t="n">
        <v>0</v>
      </c>
    </row>
    <row r="2478" customFormat="false" ht="15" hidden="false" customHeight="false" outlineLevel="0" collapsed="false">
      <c r="A2478" s="3" t="n">
        <v>2477</v>
      </c>
      <c r="B2478" s="3" t="n">
        <v>2476</v>
      </c>
      <c r="C2478" s="3" t="n">
        <v>3</v>
      </c>
      <c r="D2478" s="3" t="n">
        <v>4</v>
      </c>
      <c r="E2478" s="3" t="n">
        <v>12</v>
      </c>
      <c r="F2478" s="24" t="n">
        <v>0</v>
      </c>
    </row>
    <row r="2479" customFormat="false" ht="15" hidden="false" customHeight="false" outlineLevel="0" collapsed="false">
      <c r="A2479" s="3" t="n">
        <v>2478</v>
      </c>
      <c r="B2479" s="3" t="n">
        <v>2477</v>
      </c>
      <c r="C2479" s="3" t="n">
        <v>3</v>
      </c>
      <c r="D2479" s="3" t="n">
        <v>4</v>
      </c>
      <c r="E2479" s="3" t="n">
        <v>13</v>
      </c>
      <c r="F2479" s="24" t="n">
        <v>0</v>
      </c>
    </row>
    <row r="2480" customFormat="false" ht="15" hidden="false" customHeight="false" outlineLevel="0" collapsed="false">
      <c r="A2480" s="3" t="n">
        <v>2479</v>
      </c>
      <c r="B2480" s="3" t="n">
        <v>2478</v>
      </c>
      <c r="C2480" s="3" t="n">
        <v>3</v>
      </c>
      <c r="D2480" s="3" t="n">
        <v>4</v>
      </c>
      <c r="E2480" s="3" t="n">
        <v>14</v>
      </c>
      <c r="F2480" s="24" t="n">
        <v>0</v>
      </c>
    </row>
    <row r="2481" customFormat="false" ht="15" hidden="false" customHeight="false" outlineLevel="0" collapsed="false">
      <c r="A2481" s="3" t="n">
        <v>2480</v>
      </c>
      <c r="B2481" s="3" t="n">
        <v>2479</v>
      </c>
      <c r="C2481" s="3" t="n">
        <v>3</v>
      </c>
      <c r="D2481" s="3" t="n">
        <v>4</v>
      </c>
      <c r="E2481" s="3" t="n">
        <v>15</v>
      </c>
      <c r="F2481" s="24" t="n">
        <v>0</v>
      </c>
    </row>
    <row r="2482" customFormat="false" ht="15" hidden="false" customHeight="false" outlineLevel="0" collapsed="false">
      <c r="A2482" s="3" t="n">
        <v>2481</v>
      </c>
      <c r="B2482" s="3" t="n">
        <v>2480</v>
      </c>
      <c r="C2482" s="3" t="n">
        <v>3</v>
      </c>
      <c r="D2482" s="3" t="n">
        <v>4</v>
      </c>
      <c r="E2482" s="3" t="n">
        <v>16</v>
      </c>
      <c r="F2482" s="24" t="n">
        <v>0</v>
      </c>
    </row>
    <row r="2483" customFormat="false" ht="15" hidden="false" customHeight="false" outlineLevel="0" collapsed="false">
      <c r="A2483" s="3" t="n">
        <v>2482</v>
      </c>
      <c r="B2483" s="3" t="n">
        <v>2481</v>
      </c>
      <c r="C2483" s="3" t="n">
        <v>3</v>
      </c>
      <c r="D2483" s="3" t="n">
        <v>4</v>
      </c>
      <c r="E2483" s="3" t="n">
        <v>17</v>
      </c>
      <c r="F2483" s="24" t="n">
        <v>0</v>
      </c>
    </row>
    <row r="2484" customFormat="false" ht="15" hidden="false" customHeight="false" outlineLevel="0" collapsed="false">
      <c r="A2484" s="3" t="n">
        <v>2483</v>
      </c>
      <c r="B2484" s="3" t="n">
        <v>2482</v>
      </c>
      <c r="C2484" s="3" t="n">
        <v>3</v>
      </c>
      <c r="D2484" s="3" t="n">
        <v>4</v>
      </c>
      <c r="E2484" s="3" t="n">
        <v>18</v>
      </c>
      <c r="F2484" s="24" t="n">
        <v>0</v>
      </c>
    </row>
    <row r="2485" customFormat="false" ht="15" hidden="false" customHeight="false" outlineLevel="0" collapsed="false">
      <c r="A2485" s="3" t="n">
        <v>2484</v>
      </c>
      <c r="B2485" s="3" t="n">
        <v>2483</v>
      </c>
      <c r="C2485" s="3" t="n">
        <v>3</v>
      </c>
      <c r="D2485" s="3" t="n">
        <v>4</v>
      </c>
      <c r="E2485" s="3" t="n">
        <v>19</v>
      </c>
      <c r="F2485" s="24" t="n">
        <v>0</v>
      </c>
    </row>
    <row r="2486" customFormat="false" ht="15" hidden="false" customHeight="false" outlineLevel="0" collapsed="false">
      <c r="A2486" s="3" t="n">
        <v>2485</v>
      </c>
      <c r="B2486" s="3" t="n">
        <v>2484</v>
      </c>
      <c r="C2486" s="3" t="n">
        <v>3</v>
      </c>
      <c r="D2486" s="3" t="n">
        <v>4</v>
      </c>
      <c r="E2486" s="3" t="n">
        <v>20</v>
      </c>
      <c r="F2486" s="24" t="n">
        <v>0</v>
      </c>
    </row>
    <row r="2487" customFormat="false" ht="15" hidden="false" customHeight="false" outlineLevel="0" collapsed="false">
      <c r="A2487" s="3" t="n">
        <v>2486</v>
      </c>
      <c r="B2487" s="3" t="n">
        <v>2485</v>
      </c>
      <c r="C2487" s="3" t="n">
        <v>3</v>
      </c>
      <c r="D2487" s="3" t="n">
        <v>4</v>
      </c>
      <c r="E2487" s="3" t="n">
        <v>21</v>
      </c>
      <c r="F2487" s="24" t="n">
        <v>0</v>
      </c>
    </row>
    <row r="2488" customFormat="false" ht="15" hidden="false" customHeight="false" outlineLevel="0" collapsed="false">
      <c r="A2488" s="3" t="n">
        <v>2487</v>
      </c>
      <c r="B2488" s="3" t="n">
        <v>2486</v>
      </c>
      <c r="C2488" s="3" t="n">
        <v>3</v>
      </c>
      <c r="D2488" s="3" t="n">
        <v>4</v>
      </c>
      <c r="E2488" s="3" t="n">
        <v>22</v>
      </c>
      <c r="F2488" s="24" t="n">
        <v>0</v>
      </c>
    </row>
    <row r="2489" customFormat="false" ht="15" hidden="false" customHeight="false" outlineLevel="0" collapsed="false">
      <c r="A2489" s="3" t="n">
        <v>2488</v>
      </c>
      <c r="B2489" s="3" t="n">
        <v>2487</v>
      </c>
      <c r="C2489" s="3" t="n">
        <v>3</v>
      </c>
      <c r="D2489" s="3" t="n">
        <v>4</v>
      </c>
      <c r="E2489" s="3" t="n">
        <v>23</v>
      </c>
      <c r="F2489" s="24" t="n">
        <v>0</v>
      </c>
    </row>
    <row r="2490" customFormat="false" ht="15" hidden="false" customHeight="false" outlineLevel="0" collapsed="false">
      <c r="A2490" s="3" t="n">
        <v>2489</v>
      </c>
      <c r="B2490" s="3" t="n">
        <v>2488</v>
      </c>
      <c r="C2490" s="3" t="n">
        <v>3</v>
      </c>
      <c r="D2490" s="3" t="n">
        <v>4</v>
      </c>
      <c r="E2490" s="3" t="n">
        <v>24</v>
      </c>
      <c r="F2490" s="24" t="n">
        <v>0</v>
      </c>
    </row>
    <row r="2491" customFormat="false" ht="15" hidden="false" customHeight="false" outlineLevel="0" collapsed="false">
      <c r="A2491" s="3" t="n">
        <v>2490</v>
      </c>
      <c r="B2491" s="3" t="n">
        <v>2489</v>
      </c>
      <c r="C2491" s="3" t="n">
        <v>3</v>
      </c>
      <c r="D2491" s="3" t="n">
        <v>4</v>
      </c>
      <c r="E2491" s="3" t="n">
        <v>25</v>
      </c>
      <c r="F2491" s="24" t="n">
        <v>0</v>
      </c>
    </row>
    <row r="2492" customFormat="false" ht="15" hidden="false" customHeight="false" outlineLevel="0" collapsed="false">
      <c r="A2492" s="3" t="n">
        <v>2491</v>
      </c>
      <c r="B2492" s="3" t="n">
        <v>2490</v>
      </c>
      <c r="C2492" s="3" t="n">
        <v>3</v>
      </c>
      <c r="D2492" s="3" t="n">
        <v>4</v>
      </c>
      <c r="E2492" s="3" t="n">
        <v>26</v>
      </c>
      <c r="F2492" s="24" t="n">
        <v>0</v>
      </c>
    </row>
    <row r="2493" customFormat="false" ht="15" hidden="false" customHeight="false" outlineLevel="0" collapsed="false">
      <c r="A2493" s="3" t="n">
        <v>2492</v>
      </c>
      <c r="B2493" s="3" t="n">
        <v>2491</v>
      </c>
      <c r="C2493" s="3" t="n">
        <v>3</v>
      </c>
      <c r="D2493" s="3" t="n">
        <v>4</v>
      </c>
      <c r="E2493" s="3" t="n">
        <v>27</v>
      </c>
      <c r="F2493" s="24" t="n">
        <v>0</v>
      </c>
    </row>
    <row r="2494" customFormat="false" ht="15" hidden="false" customHeight="false" outlineLevel="0" collapsed="false">
      <c r="A2494" s="3" t="n">
        <v>2493</v>
      </c>
      <c r="B2494" s="3" t="n">
        <v>2492</v>
      </c>
      <c r="C2494" s="3" t="n">
        <v>3</v>
      </c>
      <c r="D2494" s="3" t="n">
        <v>5</v>
      </c>
      <c r="E2494" s="3" t="n">
        <v>0</v>
      </c>
      <c r="F2494" s="24" t="n">
        <v>0.0962923914</v>
      </c>
    </row>
    <row r="2495" customFormat="false" ht="15" hidden="false" customHeight="false" outlineLevel="0" collapsed="false">
      <c r="A2495" s="3" t="n">
        <v>2494</v>
      </c>
      <c r="B2495" s="3" t="n">
        <v>2493</v>
      </c>
      <c r="C2495" s="3" t="n">
        <v>3</v>
      </c>
      <c r="D2495" s="3" t="n">
        <v>5</v>
      </c>
      <c r="E2495" s="3" t="n">
        <v>1</v>
      </c>
      <c r="F2495" s="24" t="n">
        <v>0</v>
      </c>
    </row>
    <row r="2496" customFormat="false" ht="15" hidden="false" customHeight="false" outlineLevel="0" collapsed="false">
      <c r="A2496" s="3" t="n">
        <v>2495</v>
      </c>
      <c r="B2496" s="3" t="n">
        <v>2494</v>
      </c>
      <c r="C2496" s="3" t="n">
        <v>3</v>
      </c>
      <c r="D2496" s="3" t="n">
        <v>5</v>
      </c>
      <c r="E2496" s="3" t="n">
        <v>2</v>
      </c>
      <c r="F2496" s="24" t="n">
        <v>0</v>
      </c>
    </row>
    <row r="2497" customFormat="false" ht="15" hidden="false" customHeight="false" outlineLevel="0" collapsed="false">
      <c r="A2497" s="3" t="n">
        <v>2496</v>
      </c>
      <c r="B2497" s="3" t="n">
        <v>2495</v>
      </c>
      <c r="C2497" s="3" t="n">
        <v>3</v>
      </c>
      <c r="D2497" s="3" t="n">
        <v>5</v>
      </c>
      <c r="E2497" s="3" t="n">
        <v>3</v>
      </c>
      <c r="F2497" s="24" t="n">
        <v>0</v>
      </c>
    </row>
    <row r="2498" customFormat="false" ht="15" hidden="false" customHeight="false" outlineLevel="0" collapsed="false">
      <c r="A2498" s="3" t="n">
        <v>2497</v>
      </c>
      <c r="B2498" s="3" t="n">
        <v>2496</v>
      </c>
      <c r="C2498" s="3" t="n">
        <v>3</v>
      </c>
      <c r="D2498" s="3" t="n">
        <v>5</v>
      </c>
      <c r="E2498" s="3" t="n">
        <v>4</v>
      </c>
      <c r="F2498" s="24" t="n">
        <v>0</v>
      </c>
    </row>
    <row r="2499" customFormat="false" ht="15" hidden="false" customHeight="false" outlineLevel="0" collapsed="false">
      <c r="A2499" s="3" t="n">
        <v>2498</v>
      </c>
      <c r="B2499" s="3" t="n">
        <v>2497</v>
      </c>
      <c r="C2499" s="3" t="n">
        <v>3</v>
      </c>
      <c r="D2499" s="3" t="n">
        <v>5</v>
      </c>
      <c r="E2499" s="3" t="n">
        <v>5</v>
      </c>
      <c r="F2499" s="24" t="n">
        <v>0</v>
      </c>
    </row>
    <row r="2500" customFormat="false" ht="15" hidden="false" customHeight="false" outlineLevel="0" collapsed="false">
      <c r="A2500" s="3" t="n">
        <v>2499</v>
      </c>
      <c r="B2500" s="3" t="n">
        <v>2498</v>
      </c>
      <c r="C2500" s="3" t="n">
        <v>3</v>
      </c>
      <c r="D2500" s="3" t="n">
        <v>5</v>
      </c>
      <c r="E2500" s="3" t="n">
        <v>6</v>
      </c>
      <c r="F2500" s="24" t="n">
        <v>0</v>
      </c>
    </row>
    <row r="2501" customFormat="false" ht="15" hidden="false" customHeight="false" outlineLevel="0" collapsed="false">
      <c r="A2501" s="3" t="n">
        <v>2500</v>
      </c>
      <c r="B2501" s="3" t="n">
        <v>2499</v>
      </c>
      <c r="C2501" s="3" t="n">
        <v>3</v>
      </c>
      <c r="D2501" s="3" t="n">
        <v>5</v>
      </c>
      <c r="E2501" s="3" t="n">
        <v>7</v>
      </c>
      <c r="F2501" s="24" t="n">
        <v>0</v>
      </c>
    </row>
    <row r="2502" customFormat="false" ht="15" hidden="false" customHeight="false" outlineLevel="0" collapsed="false">
      <c r="A2502" s="3" t="n">
        <v>2501</v>
      </c>
      <c r="B2502" s="3" t="n">
        <v>2500</v>
      </c>
      <c r="C2502" s="3" t="n">
        <v>3</v>
      </c>
      <c r="D2502" s="3" t="n">
        <v>5</v>
      </c>
      <c r="E2502" s="3" t="n">
        <v>8</v>
      </c>
      <c r="F2502" s="24" t="n">
        <v>0</v>
      </c>
    </row>
    <row r="2503" customFormat="false" ht="15" hidden="false" customHeight="false" outlineLevel="0" collapsed="false">
      <c r="A2503" s="3" t="n">
        <v>2502</v>
      </c>
      <c r="B2503" s="3" t="n">
        <v>2501</v>
      </c>
      <c r="C2503" s="3" t="n">
        <v>3</v>
      </c>
      <c r="D2503" s="3" t="n">
        <v>5</v>
      </c>
      <c r="E2503" s="3" t="n">
        <v>9</v>
      </c>
      <c r="F2503" s="24" t="n">
        <v>0</v>
      </c>
    </row>
    <row r="2504" customFormat="false" ht="15" hidden="false" customHeight="false" outlineLevel="0" collapsed="false">
      <c r="A2504" s="3" t="n">
        <v>2503</v>
      </c>
      <c r="B2504" s="3" t="n">
        <v>2502</v>
      </c>
      <c r="C2504" s="3" t="n">
        <v>3</v>
      </c>
      <c r="D2504" s="3" t="n">
        <v>5</v>
      </c>
      <c r="E2504" s="3" t="n">
        <v>10</v>
      </c>
      <c r="F2504" s="24" t="n">
        <v>0</v>
      </c>
    </row>
    <row r="2505" customFormat="false" ht="15" hidden="false" customHeight="false" outlineLevel="0" collapsed="false">
      <c r="A2505" s="3" t="n">
        <v>2504</v>
      </c>
      <c r="B2505" s="3" t="n">
        <v>2503</v>
      </c>
      <c r="C2505" s="3" t="n">
        <v>3</v>
      </c>
      <c r="D2505" s="3" t="n">
        <v>5</v>
      </c>
      <c r="E2505" s="3" t="n">
        <v>11</v>
      </c>
      <c r="F2505" s="24" t="n">
        <v>0</v>
      </c>
    </row>
    <row r="2506" customFormat="false" ht="15" hidden="false" customHeight="false" outlineLevel="0" collapsed="false">
      <c r="A2506" s="3" t="n">
        <v>2505</v>
      </c>
      <c r="B2506" s="3" t="n">
        <v>2504</v>
      </c>
      <c r="C2506" s="3" t="n">
        <v>3</v>
      </c>
      <c r="D2506" s="3" t="n">
        <v>5</v>
      </c>
      <c r="E2506" s="3" t="n">
        <v>12</v>
      </c>
      <c r="F2506" s="24" t="n">
        <v>0</v>
      </c>
    </row>
    <row r="2507" customFormat="false" ht="15" hidden="false" customHeight="false" outlineLevel="0" collapsed="false">
      <c r="A2507" s="3" t="n">
        <v>2506</v>
      </c>
      <c r="B2507" s="3" t="n">
        <v>2505</v>
      </c>
      <c r="C2507" s="3" t="n">
        <v>3</v>
      </c>
      <c r="D2507" s="3" t="n">
        <v>5</v>
      </c>
      <c r="E2507" s="3" t="n">
        <v>13</v>
      </c>
      <c r="F2507" s="24" t="n">
        <v>0</v>
      </c>
    </row>
    <row r="2508" customFormat="false" ht="15" hidden="false" customHeight="false" outlineLevel="0" collapsed="false">
      <c r="A2508" s="3" t="n">
        <v>2507</v>
      </c>
      <c r="B2508" s="3" t="n">
        <v>2506</v>
      </c>
      <c r="C2508" s="3" t="n">
        <v>3</v>
      </c>
      <c r="D2508" s="3" t="n">
        <v>5</v>
      </c>
      <c r="E2508" s="3" t="n">
        <v>14</v>
      </c>
      <c r="F2508" s="24" t="n">
        <v>0</v>
      </c>
    </row>
    <row r="2509" customFormat="false" ht="15" hidden="false" customHeight="false" outlineLevel="0" collapsed="false">
      <c r="A2509" s="3" t="n">
        <v>2508</v>
      </c>
      <c r="B2509" s="3" t="n">
        <v>2507</v>
      </c>
      <c r="C2509" s="3" t="n">
        <v>3</v>
      </c>
      <c r="D2509" s="3" t="n">
        <v>5</v>
      </c>
      <c r="E2509" s="3" t="n">
        <v>15</v>
      </c>
      <c r="F2509" s="24" t="n">
        <v>0</v>
      </c>
    </row>
    <row r="2510" customFormat="false" ht="15" hidden="false" customHeight="false" outlineLevel="0" collapsed="false">
      <c r="A2510" s="3" t="n">
        <v>2509</v>
      </c>
      <c r="B2510" s="3" t="n">
        <v>2508</v>
      </c>
      <c r="C2510" s="3" t="n">
        <v>3</v>
      </c>
      <c r="D2510" s="3" t="n">
        <v>5</v>
      </c>
      <c r="E2510" s="3" t="n">
        <v>16</v>
      </c>
      <c r="F2510" s="24" t="n">
        <v>0</v>
      </c>
    </row>
    <row r="2511" customFormat="false" ht="15" hidden="false" customHeight="false" outlineLevel="0" collapsed="false">
      <c r="A2511" s="3" t="n">
        <v>2510</v>
      </c>
      <c r="B2511" s="3" t="n">
        <v>2509</v>
      </c>
      <c r="C2511" s="3" t="n">
        <v>3</v>
      </c>
      <c r="D2511" s="3" t="n">
        <v>5</v>
      </c>
      <c r="E2511" s="3" t="n">
        <v>17</v>
      </c>
      <c r="F2511" s="24" t="n">
        <v>0</v>
      </c>
    </row>
    <row r="2512" customFormat="false" ht="15" hidden="false" customHeight="false" outlineLevel="0" collapsed="false">
      <c r="A2512" s="3" t="n">
        <v>2511</v>
      </c>
      <c r="B2512" s="3" t="n">
        <v>2510</v>
      </c>
      <c r="C2512" s="3" t="n">
        <v>3</v>
      </c>
      <c r="D2512" s="3" t="n">
        <v>5</v>
      </c>
      <c r="E2512" s="3" t="n">
        <v>18</v>
      </c>
      <c r="F2512" s="24" t="n">
        <v>0</v>
      </c>
    </row>
    <row r="2513" customFormat="false" ht="15" hidden="false" customHeight="false" outlineLevel="0" collapsed="false">
      <c r="A2513" s="3" t="n">
        <v>2512</v>
      </c>
      <c r="B2513" s="3" t="n">
        <v>2511</v>
      </c>
      <c r="C2513" s="3" t="n">
        <v>3</v>
      </c>
      <c r="D2513" s="3" t="n">
        <v>5</v>
      </c>
      <c r="E2513" s="3" t="n">
        <v>19</v>
      </c>
      <c r="F2513" s="24" t="n">
        <v>0</v>
      </c>
    </row>
    <row r="2514" customFormat="false" ht="15" hidden="false" customHeight="false" outlineLevel="0" collapsed="false">
      <c r="A2514" s="3" t="n">
        <v>2513</v>
      </c>
      <c r="B2514" s="3" t="n">
        <v>2512</v>
      </c>
      <c r="C2514" s="3" t="n">
        <v>3</v>
      </c>
      <c r="D2514" s="3" t="n">
        <v>5</v>
      </c>
      <c r="E2514" s="3" t="n">
        <v>20</v>
      </c>
      <c r="F2514" s="24" t="n">
        <v>0</v>
      </c>
    </row>
    <row r="2515" customFormat="false" ht="15" hidden="false" customHeight="false" outlineLevel="0" collapsed="false">
      <c r="A2515" s="3" t="n">
        <v>2514</v>
      </c>
      <c r="B2515" s="3" t="n">
        <v>2513</v>
      </c>
      <c r="C2515" s="3" t="n">
        <v>3</v>
      </c>
      <c r="D2515" s="3" t="n">
        <v>5</v>
      </c>
      <c r="E2515" s="3" t="n">
        <v>21</v>
      </c>
      <c r="F2515" s="24" t="n">
        <v>0</v>
      </c>
    </row>
    <row r="2516" customFormat="false" ht="15" hidden="false" customHeight="false" outlineLevel="0" collapsed="false">
      <c r="A2516" s="3" t="n">
        <v>2515</v>
      </c>
      <c r="B2516" s="3" t="n">
        <v>2514</v>
      </c>
      <c r="C2516" s="3" t="n">
        <v>3</v>
      </c>
      <c r="D2516" s="3" t="n">
        <v>5</v>
      </c>
      <c r="E2516" s="3" t="n">
        <v>22</v>
      </c>
      <c r="F2516" s="24" t="n">
        <v>0</v>
      </c>
    </row>
    <row r="2517" customFormat="false" ht="15" hidden="false" customHeight="false" outlineLevel="0" collapsed="false">
      <c r="A2517" s="3" t="n">
        <v>2516</v>
      </c>
      <c r="B2517" s="3" t="n">
        <v>2515</v>
      </c>
      <c r="C2517" s="3" t="n">
        <v>3</v>
      </c>
      <c r="D2517" s="3" t="n">
        <v>5</v>
      </c>
      <c r="E2517" s="3" t="n">
        <v>23</v>
      </c>
      <c r="F2517" s="24" t="n">
        <v>0</v>
      </c>
    </row>
    <row r="2518" customFormat="false" ht="15" hidden="false" customHeight="false" outlineLevel="0" collapsed="false">
      <c r="A2518" s="3" t="n">
        <v>2517</v>
      </c>
      <c r="B2518" s="3" t="n">
        <v>2516</v>
      </c>
      <c r="C2518" s="3" t="n">
        <v>3</v>
      </c>
      <c r="D2518" s="3" t="n">
        <v>5</v>
      </c>
      <c r="E2518" s="3" t="n">
        <v>24</v>
      </c>
      <c r="F2518" s="24" t="n">
        <v>0</v>
      </c>
    </row>
    <row r="2519" customFormat="false" ht="15" hidden="false" customHeight="false" outlineLevel="0" collapsed="false">
      <c r="A2519" s="3" t="n">
        <v>2518</v>
      </c>
      <c r="B2519" s="3" t="n">
        <v>2517</v>
      </c>
      <c r="C2519" s="3" t="n">
        <v>3</v>
      </c>
      <c r="D2519" s="3" t="n">
        <v>5</v>
      </c>
      <c r="E2519" s="3" t="n">
        <v>25</v>
      </c>
      <c r="F2519" s="24" t="n">
        <v>0</v>
      </c>
    </row>
    <row r="2520" customFormat="false" ht="15" hidden="false" customHeight="false" outlineLevel="0" collapsed="false">
      <c r="A2520" s="3" t="n">
        <v>2519</v>
      </c>
      <c r="B2520" s="3" t="n">
        <v>2518</v>
      </c>
      <c r="C2520" s="3" t="n">
        <v>3</v>
      </c>
      <c r="D2520" s="3" t="n">
        <v>5</v>
      </c>
      <c r="E2520" s="3" t="n">
        <v>26</v>
      </c>
      <c r="F2520" s="24" t="n">
        <v>0</v>
      </c>
    </row>
    <row r="2521" customFormat="false" ht="15" hidden="false" customHeight="false" outlineLevel="0" collapsed="false">
      <c r="A2521" s="3" t="n">
        <v>2520</v>
      </c>
      <c r="B2521" s="3" t="n">
        <v>2519</v>
      </c>
      <c r="C2521" s="3" t="n">
        <v>3</v>
      </c>
      <c r="D2521" s="3" t="n">
        <v>5</v>
      </c>
      <c r="E2521" s="3" t="n">
        <v>27</v>
      </c>
      <c r="F2521" s="24" t="n">
        <v>0</v>
      </c>
    </row>
    <row r="2522" customFormat="false" ht="15" hidden="false" customHeight="false" outlineLevel="0" collapsed="false">
      <c r="A2522" s="3" t="n">
        <v>2521</v>
      </c>
      <c r="B2522" s="3" t="n">
        <v>2520</v>
      </c>
      <c r="C2522" s="3" t="n">
        <v>3</v>
      </c>
      <c r="D2522" s="3" t="n">
        <v>6</v>
      </c>
      <c r="E2522" s="3" t="n">
        <v>0</v>
      </c>
      <c r="F2522" s="24" t="n">
        <v>0.0962923914</v>
      </c>
    </row>
    <row r="2523" customFormat="false" ht="15" hidden="false" customHeight="false" outlineLevel="0" collapsed="false">
      <c r="A2523" s="3" t="n">
        <v>2522</v>
      </c>
      <c r="B2523" s="3" t="n">
        <v>2521</v>
      </c>
      <c r="C2523" s="3" t="n">
        <v>3</v>
      </c>
      <c r="D2523" s="3" t="n">
        <v>6</v>
      </c>
      <c r="E2523" s="3" t="n">
        <v>1</v>
      </c>
      <c r="F2523" s="24" t="n">
        <v>0</v>
      </c>
    </row>
    <row r="2524" customFormat="false" ht="15" hidden="false" customHeight="false" outlineLevel="0" collapsed="false">
      <c r="A2524" s="3" t="n">
        <v>2523</v>
      </c>
      <c r="B2524" s="3" t="n">
        <v>2522</v>
      </c>
      <c r="C2524" s="3" t="n">
        <v>3</v>
      </c>
      <c r="D2524" s="3" t="n">
        <v>6</v>
      </c>
      <c r="E2524" s="3" t="n">
        <v>2</v>
      </c>
      <c r="F2524" s="24" t="n">
        <v>0</v>
      </c>
    </row>
    <row r="2525" customFormat="false" ht="15" hidden="false" customHeight="false" outlineLevel="0" collapsed="false">
      <c r="A2525" s="3" t="n">
        <v>2524</v>
      </c>
      <c r="B2525" s="3" t="n">
        <v>2523</v>
      </c>
      <c r="C2525" s="3" t="n">
        <v>3</v>
      </c>
      <c r="D2525" s="3" t="n">
        <v>6</v>
      </c>
      <c r="E2525" s="3" t="n">
        <v>3</v>
      </c>
      <c r="F2525" s="24" t="n">
        <v>0</v>
      </c>
    </row>
    <row r="2526" customFormat="false" ht="15" hidden="false" customHeight="false" outlineLevel="0" collapsed="false">
      <c r="A2526" s="3" t="n">
        <v>2525</v>
      </c>
      <c r="B2526" s="3" t="n">
        <v>2524</v>
      </c>
      <c r="C2526" s="3" t="n">
        <v>3</v>
      </c>
      <c r="D2526" s="3" t="n">
        <v>6</v>
      </c>
      <c r="E2526" s="3" t="n">
        <v>4</v>
      </c>
      <c r="F2526" s="24" t="n">
        <v>0</v>
      </c>
    </row>
    <row r="2527" customFormat="false" ht="15" hidden="false" customHeight="false" outlineLevel="0" collapsed="false">
      <c r="A2527" s="3" t="n">
        <v>2526</v>
      </c>
      <c r="B2527" s="3" t="n">
        <v>2525</v>
      </c>
      <c r="C2527" s="3" t="n">
        <v>3</v>
      </c>
      <c r="D2527" s="3" t="n">
        <v>6</v>
      </c>
      <c r="E2527" s="3" t="n">
        <v>5</v>
      </c>
      <c r="F2527" s="24" t="n">
        <v>0.478796542</v>
      </c>
    </row>
    <row r="2528" customFormat="false" ht="15" hidden="false" customHeight="false" outlineLevel="0" collapsed="false">
      <c r="A2528" s="3" t="n">
        <v>2527</v>
      </c>
      <c r="B2528" s="3" t="n">
        <v>2526</v>
      </c>
      <c r="C2528" s="3" t="n">
        <v>3</v>
      </c>
      <c r="D2528" s="3" t="n">
        <v>6</v>
      </c>
      <c r="E2528" s="3" t="n">
        <v>6</v>
      </c>
      <c r="F2528" s="24" t="n">
        <v>1.41845345</v>
      </c>
    </row>
    <row r="2529" customFormat="false" ht="15" hidden="false" customHeight="false" outlineLevel="0" collapsed="false">
      <c r="A2529" s="3" t="n">
        <v>2528</v>
      </c>
      <c r="B2529" s="3" t="n">
        <v>2527</v>
      </c>
      <c r="C2529" s="3" t="n">
        <v>3</v>
      </c>
      <c r="D2529" s="3" t="n">
        <v>6</v>
      </c>
      <c r="E2529" s="3" t="n">
        <v>7</v>
      </c>
      <c r="F2529" s="24" t="n">
        <v>1.89324617</v>
      </c>
    </row>
    <row r="2530" customFormat="false" ht="15" hidden="false" customHeight="false" outlineLevel="0" collapsed="false">
      <c r="A2530" s="3" t="n">
        <v>2529</v>
      </c>
      <c r="B2530" s="3" t="n">
        <v>2528</v>
      </c>
      <c r="C2530" s="3" t="n">
        <v>3</v>
      </c>
      <c r="D2530" s="3" t="n">
        <v>6</v>
      </c>
      <c r="E2530" s="3" t="n">
        <v>8</v>
      </c>
      <c r="F2530" s="24" t="n">
        <v>2.01198864</v>
      </c>
    </row>
    <row r="2531" customFormat="false" ht="15" hidden="false" customHeight="false" outlineLevel="0" collapsed="false">
      <c r="A2531" s="3" t="n">
        <v>2530</v>
      </c>
      <c r="B2531" s="3" t="n">
        <v>2529</v>
      </c>
      <c r="C2531" s="3" t="n">
        <v>3</v>
      </c>
      <c r="D2531" s="3" t="n">
        <v>6</v>
      </c>
      <c r="E2531" s="3" t="n">
        <v>9</v>
      </c>
      <c r="F2531" s="24" t="n">
        <v>1.36698115</v>
      </c>
    </row>
    <row r="2532" customFormat="false" ht="15" hidden="false" customHeight="false" outlineLevel="0" collapsed="false">
      <c r="A2532" s="3" t="n">
        <v>2531</v>
      </c>
      <c r="B2532" s="3" t="n">
        <v>2530</v>
      </c>
      <c r="C2532" s="3" t="n">
        <v>3</v>
      </c>
      <c r="D2532" s="3" t="n">
        <v>6</v>
      </c>
      <c r="E2532" s="3" t="n">
        <v>10</v>
      </c>
      <c r="F2532" s="24" t="n">
        <v>0.837494433</v>
      </c>
    </row>
    <row r="2533" customFormat="false" ht="15" hidden="false" customHeight="false" outlineLevel="0" collapsed="false">
      <c r="A2533" s="3" t="n">
        <v>2532</v>
      </c>
      <c r="B2533" s="3" t="n">
        <v>2531</v>
      </c>
      <c r="C2533" s="3" t="n">
        <v>3</v>
      </c>
      <c r="D2533" s="3" t="n">
        <v>6</v>
      </c>
      <c r="E2533" s="3" t="n">
        <v>11</v>
      </c>
      <c r="F2533" s="24" t="n">
        <v>0.28246358</v>
      </c>
    </row>
    <row r="2534" customFormat="false" ht="15" hidden="false" customHeight="false" outlineLevel="0" collapsed="false">
      <c r="A2534" s="3" t="n">
        <v>2533</v>
      </c>
      <c r="B2534" s="3" t="n">
        <v>2532</v>
      </c>
      <c r="C2534" s="3" t="n">
        <v>3</v>
      </c>
      <c r="D2534" s="3" t="n">
        <v>6</v>
      </c>
      <c r="E2534" s="3" t="n">
        <v>12</v>
      </c>
      <c r="F2534" s="24" t="n">
        <v>0.0738298893</v>
      </c>
    </row>
    <row r="2535" customFormat="false" ht="15" hidden="false" customHeight="false" outlineLevel="0" collapsed="false">
      <c r="A2535" s="3" t="n">
        <v>2534</v>
      </c>
      <c r="B2535" s="3" t="n">
        <v>2533</v>
      </c>
      <c r="C2535" s="3" t="n">
        <v>3</v>
      </c>
      <c r="D2535" s="3" t="n">
        <v>6</v>
      </c>
      <c r="E2535" s="3" t="n">
        <v>13</v>
      </c>
      <c r="F2535" s="24" t="n">
        <v>0</v>
      </c>
    </row>
    <row r="2536" customFormat="false" ht="15" hidden="false" customHeight="false" outlineLevel="0" collapsed="false">
      <c r="A2536" s="3" t="n">
        <v>2535</v>
      </c>
      <c r="B2536" s="3" t="n">
        <v>2534</v>
      </c>
      <c r="C2536" s="3" t="n">
        <v>3</v>
      </c>
      <c r="D2536" s="3" t="n">
        <v>6</v>
      </c>
      <c r="E2536" s="3" t="n">
        <v>14</v>
      </c>
      <c r="F2536" s="24" t="n">
        <v>0</v>
      </c>
    </row>
    <row r="2537" customFormat="false" ht="15" hidden="false" customHeight="false" outlineLevel="0" collapsed="false">
      <c r="A2537" s="3" t="n">
        <v>2536</v>
      </c>
      <c r="B2537" s="3" t="n">
        <v>2535</v>
      </c>
      <c r="C2537" s="3" t="n">
        <v>3</v>
      </c>
      <c r="D2537" s="3" t="n">
        <v>6</v>
      </c>
      <c r="E2537" s="3" t="n">
        <v>15</v>
      </c>
      <c r="F2537" s="24" t="n">
        <v>0</v>
      </c>
    </row>
    <row r="2538" customFormat="false" ht="15" hidden="false" customHeight="false" outlineLevel="0" collapsed="false">
      <c r="A2538" s="3" t="n">
        <v>2537</v>
      </c>
      <c r="B2538" s="3" t="n">
        <v>2536</v>
      </c>
      <c r="C2538" s="3" t="n">
        <v>3</v>
      </c>
      <c r="D2538" s="3" t="n">
        <v>6</v>
      </c>
      <c r="E2538" s="3" t="n">
        <v>16</v>
      </c>
      <c r="F2538" s="24" t="n">
        <v>0</v>
      </c>
    </row>
    <row r="2539" customFormat="false" ht="15" hidden="false" customHeight="false" outlineLevel="0" collapsed="false">
      <c r="A2539" s="3" t="n">
        <v>2538</v>
      </c>
      <c r="B2539" s="3" t="n">
        <v>2537</v>
      </c>
      <c r="C2539" s="3" t="n">
        <v>3</v>
      </c>
      <c r="D2539" s="3" t="n">
        <v>6</v>
      </c>
      <c r="E2539" s="3" t="n">
        <v>17</v>
      </c>
      <c r="F2539" s="24" t="n">
        <v>0</v>
      </c>
    </row>
    <row r="2540" customFormat="false" ht="15" hidden="false" customHeight="false" outlineLevel="0" collapsed="false">
      <c r="A2540" s="3" t="n">
        <v>2539</v>
      </c>
      <c r="B2540" s="3" t="n">
        <v>2538</v>
      </c>
      <c r="C2540" s="3" t="n">
        <v>3</v>
      </c>
      <c r="D2540" s="3" t="n">
        <v>6</v>
      </c>
      <c r="E2540" s="3" t="n">
        <v>18</v>
      </c>
      <c r="F2540" s="24" t="n">
        <v>0</v>
      </c>
    </row>
    <row r="2541" customFormat="false" ht="15" hidden="false" customHeight="false" outlineLevel="0" collapsed="false">
      <c r="A2541" s="3" t="n">
        <v>2540</v>
      </c>
      <c r="B2541" s="3" t="n">
        <v>2539</v>
      </c>
      <c r="C2541" s="3" t="n">
        <v>3</v>
      </c>
      <c r="D2541" s="3" t="n">
        <v>6</v>
      </c>
      <c r="E2541" s="3" t="n">
        <v>19</v>
      </c>
      <c r="F2541" s="24" t="n">
        <v>0</v>
      </c>
    </row>
    <row r="2542" customFormat="false" ht="15" hidden="false" customHeight="false" outlineLevel="0" collapsed="false">
      <c r="A2542" s="3" t="n">
        <v>2541</v>
      </c>
      <c r="B2542" s="3" t="n">
        <v>2540</v>
      </c>
      <c r="C2542" s="3" t="n">
        <v>3</v>
      </c>
      <c r="D2542" s="3" t="n">
        <v>6</v>
      </c>
      <c r="E2542" s="3" t="n">
        <v>20</v>
      </c>
      <c r="F2542" s="24" t="n">
        <v>0</v>
      </c>
    </row>
    <row r="2543" customFormat="false" ht="15" hidden="false" customHeight="false" outlineLevel="0" collapsed="false">
      <c r="A2543" s="3" t="n">
        <v>2542</v>
      </c>
      <c r="B2543" s="3" t="n">
        <v>2541</v>
      </c>
      <c r="C2543" s="3" t="n">
        <v>3</v>
      </c>
      <c r="D2543" s="3" t="n">
        <v>6</v>
      </c>
      <c r="E2543" s="3" t="n">
        <v>21</v>
      </c>
      <c r="F2543" s="24" t="n">
        <v>0</v>
      </c>
    </row>
    <row r="2544" customFormat="false" ht="15" hidden="false" customHeight="false" outlineLevel="0" collapsed="false">
      <c r="A2544" s="3" t="n">
        <v>2543</v>
      </c>
      <c r="B2544" s="3" t="n">
        <v>2542</v>
      </c>
      <c r="C2544" s="3" t="n">
        <v>3</v>
      </c>
      <c r="D2544" s="3" t="n">
        <v>6</v>
      </c>
      <c r="E2544" s="3" t="n">
        <v>22</v>
      </c>
      <c r="F2544" s="24" t="n">
        <v>0</v>
      </c>
    </row>
    <row r="2545" customFormat="false" ht="15" hidden="false" customHeight="false" outlineLevel="0" collapsed="false">
      <c r="A2545" s="3" t="n">
        <v>2544</v>
      </c>
      <c r="B2545" s="3" t="n">
        <v>2543</v>
      </c>
      <c r="C2545" s="3" t="n">
        <v>3</v>
      </c>
      <c r="D2545" s="3" t="n">
        <v>6</v>
      </c>
      <c r="E2545" s="3" t="n">
        <v>23</v>
      </c>
      <c r="F2545" s="24" t="n">
        <v>0</v>
      </c>
    </row>
    <row r="2546" customFormat="false" ht="15" hidden="false" customHeight="false" outlineLevel="0" collapsed="false">
      <c r="A2546" s="3" t="n">
        <v>2545</v>
      </c>
      <c r="B2546" s="3" t="n">
        <v>2544</v>
      </c>
      <c r="C2546" s="3" t="n">
        <v>3</v>
      </c>
      <c r="D2546" s="3" t="n">
        <v>6</v>
      </c>
      <c r="E2546" s="3" t="n">
        <v>24</v>
      </c>
      <c r="F2546" s="24" t="n">
        <v>0</v>
      </c>
    </row>
    <row r="2547" customFormat="false" ht="15" hidden="false" customHeight="false" outlineLevel="0" collapsed="false">
      <c r="A2547" s="3" t="n">
        <v>2546</v>
      </c>
      <c r="B2547" s="3" t="n">
        <v>2545</v>
      </c>
      <c r="C2547" s="3" t="n">
        <v>3</v>
      </c>
      <c r="D2547" s="3" t="n">
        <v>6</v>
      </c>
      <c r="E2547" s="3" t="n">
        <v>25</v>
      </c>
      <c r="F2547" s="24" t="n">
        <v>0</v>
      </c>
    </row>
    <row r="2548" customFormat="false" ht="15" hidden="false" customHeight="false" outlineLevel="0" collapsed="false">
      <c r="A2548" s="3" t="n">
        <v>2547</v>
      </c>
      <c r="B2548" s="3" t="n">
        <v>2546</v>
      </c>
      <c r="C2548" s="3" t="n">
        <v>3</v>
      </c>
      <c r="D2548" s="3" t="n">
        <v>6</v>
      </c>
      <c r="E2548" s="3" t="n">
        <v>26</v>
      </c>
      <c r="F2548" s="24" t="n">
        <v>0</v>
      </c>
    </row>
    <row r="2549" customFormat="false" ht="15" hidden="false" customHeight="false" outlineLevel="0" collapsed="false">
      <c r="A2549" s="3" t="n">
        <v>2548</v>
      </c>
      <c r="B2549" s="3" t="n">
        <v>2547</v>
      </c>
      <c r="C2549" s="3" t="n">
        <v>3</v>
      </c>
      <c r="D2549" s="3" t="n">
        <v>6</v>
      </c>
      <c r="E2549" s="3" t="n">
        <v>27</v>
      </c>
      <c r="F2549" s="24" t="n">
        <v>0</v>
      </c>
    </row>
    <row r="2550" customFormat="false" ht="15" hidden="false" customHeight="false" outlineLevel="0" collapsed="false">
      <c r="A2550" s="3" t="n">
        <v>2549</v>
      </c>
      <c r="B2550" s="3" t="n">
        <v>2548</v>
      </c>
      <c r="C2550" s="3" t="n">
        <v>3</v>
      </c>
      <c r="D2550" s="3" t="n">
        <v>7</v>
      </c>
      <c r="E2550" s="3" t="n">
        <v>0</v>
      </c>
      <c r="F2550" s="24" t="n">
        <v>0.0962923914</v>
      </c>
    </row>
    <row r="2551" customFormat="false" ht="15" hidden="false" customHeight="false" outlineLevel="0" collapsed="false">
      <c r="A2551" s="3" t="n">
        <v>2550</v>
      </c>
      <c r="B2551" s="3" t="n">
        <v>2549</v>
      </c>
      <c r="C2551" s="3" t="n">
        <v>3</v>
      </c>
      <c r="D2551" s="3" t="n">
        <v>7</v>
      </c>
      <c r="E2551" s="3" t="n">
        <v>1</v>
      </c>
      <c r="F2551" s="24" t="n">
        <v>0</v>
      </c>
    </row>
    <row r="2552" customFormat="false" ht="15" hidden="false" customHeight="false" outlineLevel="0" collapsed="false">
      <c r="A2552" s="3" t="n">
        <v>2551</v>
      </c>
      <c r="B2552" s="3" t="n">
        <v>2550</v>
      </c>
      <c r="C2552" s="3" t="n">
        <v>3</v>
      </c>
      <c r="D2552" s="3" t="n">
        <v>7</v>
      </c>
      <c r="E2552" s="3" t="n">
        <v>2</v>
      </c>
      <c r="F2552" s="24" t="n">
        <v>0</v>
      </c>
    </row>
    <row r="2553" customFormat="false" ht="15" hidden="false" customHeight="false" outlineLevel="0" collapsed="false">
      <c r="A2553" s="3" t="n">
        <v>2552</v>
      </c>
      <c r="B2553" s="3" t="n">
        <v>2551</v>
      </c>
      <c r="C2553" s="3" t="n">
        <v>3</v>
      </c>
      <c r="D2553" s="3" t="n">
        <v>7</v>
      </c>
      <c r="E2553" s="3" t="n">
        <v>3</v>
      </c>
      <c r="F2553" s="24" t="n">
        <v>0</v>
      </c>
    </row>
    <row r="2554" customFormat="false" ht="15" hidden="false" customHeight="false" outlineLevel="0" collapsed="false">
      <c r="A2554" s="3" t="n">
        <v>2553</v>
      </c>
      <c r="B2554" s="3" t="n">
        <v>2552</v>
      </c>
      <c r="C2554" s="3" t="n">
        <v>3</v>
      </c>
      <c r="D2554" s="3" t="n">
        <v>7</v>
      </c>
      <c r="E2554" s="3" t="n">
        <v>4</v>
      </c>
      <c r="F2554" s="24" t="n">
        <v>0</v>
      </c>
    </row>
    <row r="2555" customFormat="false" ht="15" hidden="false" customHeight="false" outlineLevel="0" collapsed="false">
      <c r="A2555" s="3" t="n">
        <v>2554</v>
      </c>
      <c r="B2555" s="3" t="n">
        <v>2553</v>
      </c>
      <c r="C2555" s="3" t="n">
        <v>3</v>
      </c>
      <c r="D2555" s="3" t="n">
        <v>7</v>
      </c>
      <c r="E2555" s="3" t="n">
        <v>5</v>
      </c>
      <c r="F2555" s="24" t="n">
        <v>1.68832505</v>
      </c>
    </row>
    <row r="2556" customFormat="false" ht="15" hidden="false" customHeight="false" outlineLevel="0" collapsed="false">
      <c r="A2556" s="3" t="n">
        <v>2555</v>
      </c>
      <c r="B2556" s="3" t="n">
        <v>2554</v>
      </c>
      <c r="C2556" s="3" t="n">
        <v>3</v>
      </c>
      <c r="D2556" s="3" t="n">
        <v>7</v>
      </c>
      <c r="E2556" s="3" t="n">
        <v>6</v>
      </c>
      <c r="F2556" s="24" t="n">
        <v>3.18664622</v>
      </c>
    </row>
    <row r="2557" customFormat="false" ht="15" hidden="false" customHeight="false" outlineLevel="0" collapsed="false">
      <c r="A2557" s="3" t="n">
        <v>2556</v>
      </c>
      <c r="B2557" s="3" t="n">
        <v>2555</v>
      </c>
      <c r="C2557" s="3" t="n">
        <v>3</v>
      </c>
      <c r="D2557" s="3" t="n">
        <v>7</v>
      </c>
      <c r="E2557" s="3" t="n">
        <v>7</v>
      </c>
      <c r="F2557" s="24" t="n">
        <v>4.24948072</v>
      </c>
    </row>
    <row r="2558" customFormat="false" ht="15" hidden="false" customHeight="false" outlineLevel="0" collapsed="false">
      <c r="A2558" s="3" t="n">
        <v>2557</v>
      </c>
      <c r="B2558" s="3" t="n">
        <v>2556</v>
      </c>
      <c r="C2558" s="3" t="n">
        <v>3</v>
      </c>
      <c r="D2558" s="3" t="n">
        <v>7</v>
      </c>
      <c r="E2558" s="3" t="n">
        <v>8</v>
      </c>
      <c r="F2558" s="24" t="n">
        <v>4.93163776</v>
      </c>
    </row>
    <row r="2559" customFormat="false" ht="15" hidden="false" customHeight="false" outlineLevel="0" collapsed="false">
      <c r="A2559" s="3" t="n">
        <v>2558</v>
      </c>
      <c r="B2559" s="3" t="n">
        <v>2557</v>
      </c>
      <c r="C2559" s="3" t="n">
        <v>3</v>
      </c>
      <c r="D2559" s="3" t="n">
        <v>7</v>
      </c>
      <c r="E2559" s="3" t="n">
        <v>9</v>
      </c>
      <c r="F2559" s="24" t="n">
        <v>4.35892248</v>
      </c>
    </row>
    <row r="2560" customFormat="false" ht="15" hidden="false" customHeight="false" outlineLevel="0" collapsed="false">
      <c r="A2560" s="3" t="n">
        <v>2559</v>
      </c>
      <c r="B2560" s="3" t="n">
        <v>2558</v>
      </c>
      <c r="C2560" s="3" t="n">
        <v>3</v>
      </c>
      <c r="D2560" s="3" t="n">
        <v>7</v>
      </c>
      <c r="E2560" s="3" t="n">
        <v>10</v>
      </c>
      <c r="F2560" s="24" t="n">
        <v>4.17231083</v>
      </c>
    </row>
    <row r="2561" customFormat="false" ht="15" hidden="false" customHeight="false" outlineLevel="0" collapsed="false">
      <c r="A2561" s="3" t="n">
        <v>2560</v>
      </c>
      <c r="B2561" s="3" t="n">
        <v>2559</v>
      </c>
      <c r="C2561" s="3" t="n">
        <v>3</v>
      </c>
      <c r="D2561" s="3" t="n">
        <v>7</v>
      </c>
      <c r="E2561" s="3" t="n">
        <v>11</v>
      </c>
      <c r="F2561" s="24" t="n">
        <v>3.15393376</v>
      </c>
    </row>
    <row r="2562" customFormat="false" ht="15" hidden="false" customHeight="false" outlineLevel="0" collapsed="false">
      <c r="A2562" s="3" t="n">
        <v>2561</v>
      </c>
      <c r="B2562" s="3" t="n">
        <v>2560</v>
      </c>
      <c r="C2562" s="3" t="n">
        <v>3</v>
      </c>
      <c r="D2562" s="3" t="n">
        <v>7</v>
      </c>
      <c r="E2562" s="3" t="n">
        <v>12</v>
      </c>
      <c r="F2562" s="24" t="n">
        <v>2.81955218</v>
      </c>
    </row>
    <row r="2563" customFormat="false" ht="15" hidden="false" customHeight="false" outlineLevel="0" collapsed="false">
      <c r="A2563" s="3" t="n">
        <v>2562</v>
      </c>
      <c r="B2563" s="3" t="n">
        <v>2561</v>
      </c>
      <c r="C2563" s="3" t="n">
        <v>3</v>
      </c>
      <c r="D2563" s="3" t="n">
        <v>7</v>
      </c>
      <c r="E2563" s="3" t="n">
        <v>13</v>
      </c>
      <c r="F2563" s="24" t="n">
        <v>2.48374248</v>
      </c>
    </row>
    <row r="2564" customFormat="false" ht="15" hidden="false" customHeight="false" outlineLevel="0" collapsed="false">
      <c r="A2564" s="3" t="n">
        <v>2563</v>
      </c>
      <c r="B2564" s="3" t="n">
        <v>2562</v>
      </c>
      <c r="C2564" s="3" t="n">
        <v>3</v>
      </c>
      <c r="D2564" s="3" t="n">
        <v>7</v>
      </c>
      <c r="E2564" s="3" t="n">
        <v>14</v>
      </c>
      <c r="F2564" s="24" t="n">
        <v>2.48374248</v>
      </c>
    </row>
    <row r="2565" customFormat="false" ht="15" hidden="false" customHeight="false" outlineLevel="0" collapsed="false">
      <c r="A2565" s="3" t="n">
        <v>2564</v>
      </c>
      <c r="B2565" s="3" t="n">
        <v>2563</v>
      </c>
      <c r="C2565" s="3" t="n">
        <v>3</v>
      </c>
      <c r="D2565" s="3" t="n">
        <v>7</v>
      </c>
      <c r="E2565" s="3" t="n">
        <v>15</v>
      </c>
      <c r="F2565" s="24" t="n">
        <v>2.48374248</v>
      </c>
    </row>
    <row r="2566" customFormat="false" ht="15" hidden="false" customHeight="false" outlineLevel="0" collapsed="false">
      <c r="A2566" s="3" t="n">
        <v>2565</v>
      </c>
      <c r="B2566" s="3" t="n">
        <v>2564</v>
      </c>
      <c r="C2566" s="3" t="n">
        <v>3</v>
      </c>
      <c r="D2566" s="3" t="n">
        <v>7</v>
      </c>
      <c r="E2566" s="3" t="n">
        <v>16</v>
      </c>
      <c r="F2566" s="24" t="n">
        <v>2.48374248</v>
      </c>
    </row>
    <row r="2567" customFormat="false" ht="15" hidden="false" customHeight="false" outlineLevel="0" collapsed="false">
      <c r="A2567" s="3" t="n">
        <v>2566</v>
      </c>
      <c r="B2567" s="3" t="n">
        <v>2565</v>
      </c>
      <c r="C2567" s="3" t="n">
        <v>3</v>
      </c>
      <c r="D2567" s="3" t="n">
        <v>7</v>
      </c>
      <c r="E2567" s="3" t="n">
        <v>17</v>
      </c>
      <c r="F2567" s="24" t="n">
        <v>2.48374248</v>
      </c>
    </row>
    <row r="2568" customFormat="false" ht="15" hidden="false" customHeight="false" outlineLevel="0" collapsed="false">
      <c r="A2568" s="3" t="n">
        <v>2567</v>
      </c>
      <c r="B2568" s="3" t="n">
        <v>2566</v>
      </c>
      <c r="C2568" s="3" t="n">
        <v>3</v>
      </c>
      <c r="D2568" s="3" t="n">
        <v>7</v>
      </c>
      <c r="E2568" s="3" t="n">
        <v>18</v>
      </c>
      <c r="F2568" s="24" t="n">
        <v>2.48374248</v>
      </c>
    </row>
    <row r="2569" customFormat="false" ht="15" hidden="false" customHeight="false" outlineLevel="0" collapsed="false">
      <c r="A2569" s="3" t="n">
        <v>2568</v>
      </c>
      <c r="B2569" s="3" t="n">
        <v>2567</v>
      </c>
      <c r="C2569" s="3" t="n">
        <v>3</v>
      </c>
      <c r="D2569" s="3" t="n">
        <v>7</v>
      </c>
      <c r="E2569" s="3" t="n">
        <v>19</v>
      </c>
      <c r="F2569" s="24" t="n">
        <v>2.31658888</v>
      </c>
    </row>
    <row r="2570" customFormat="false" ht="15" hidden="false" customHeight="false" outlineLevel="0" collapsed="false">
      <c r="A2570" s="3" t="n">
        <v>2569</v>
      </c>
      <c r="B2570" s="3" t="n">
        <v>2568</v>
      </c>
      <c r="C2570" s="3" t="n">
        <v>3</v>
      </c>
      <c r="D2570" s="3" t="n">
        <v>7</v>
      </c>
      <c r="E2570" s="3" t="n">
        <v>20</v>
      </c>
      <c r="F2570" s="24" t="n">
        <v>1.49991894</v>
      </c>
    </row>
    <row r="2571" customFormat="false" ht="15" hidden="false" customHeight="false" outlineLevel="0" collapsed="false">
      <c r="A2571" s="3" t="n">
        <v>2570</v>
      </c>
      <c r="B2571" s="3" t="n">
        <v>2569</v>
      </c>
      <c r="C2571" s="3" t="n">
        <v>3</v>
      </c>
      <c r="D2571" s="3" t="n">
        <v>7</v>
      </c>
      <c r="E2571" s="3" t="n">
        <v>21</v>
      </c>
      <c r="F2571" s="24" t="n">
        <v>0.641442537</v>
      </c>
    </row>
    <row r="2572" customFormat="false" ht="15" hidden="false" customHeight="false" outlineLevel="0" collapsed="false">
      <c r="A2572" s="3" t="n">
        <v>2571</v>
      </c>
      <c r="B2572" s="3" t="n">
        <v>2570</v>
      </c>
      <c r="C2572" s="3" t="n">
        <v>3</v>
      </c>
      <c r="D2572" s="3" t="n">
        <v>7</v>
      </c>
      <c r="E2572" s="3" t="n">
        <v>22</v>
      </c>
      <c r="F2572" s="24" t="n">
        <v>0.116716251</v>
      </c>
    </row>
    <row r="2573" customFormat="false" ht="15" hidden="false" customHeight="false" outlineLevel="0" collapsed="false">
      <c r="A2573" s="3" t="n">
        <v>2572</v>
      </c>
      <c r="B2573" s="3" t="n">
        <v>2571</v>
      </c>
      <c r="C2573" s="3" t="n">
        <v>3</v>
      </c>
      <c r="D2573" s="3" t="n">
        <v>7</v>
      </c>
      <c r="E2573" s="3" t="n">
        <v>23</v>
      </c>
      <c r="F2573" s="24" t="n">
        <v>0</v>
      </c>
    </row>
    <row r="2574" customFormat="false" ht="15" hidden="false" customHeight="false" outlineLevel="0" collapsed="false">
      <c r="A2574" s="3" t="n">
        <v>2573</v>
      </c>
      <c r="B2574" s="3" t="n">
        <v>2572</v>
      </c>
      <c r="C2574" s="3" t="n">
        <v>3</v>
      </c>
      <c r="D2574" s="3" t="n">
        <v>7</v>
      </c>
      <c r="E2574" s="3" t="n">
        <v>24</v>
      </c>
      <c r="F2574" s="24" t="n">
        <v>0</v>
      </c>
    </row>
    <row r="2575" customFormat="false" ht="15" hidden="false" customHeight="false" outlineLevel="0" collapsed="false">
      <c r="A2575" s="3" t="n">
        <v>2574</v>
      </c>
      <c r="B2575" s="3" t="n">
        <v>2573</v>
      </c>
      <c r="C2575" s="3" t="n">
        <v>3</v>
      </c>
      <c r="D2575" s="3" t="n">
        <v>7</v>
      </c>
      <c r="E2575" s="3" t="n">
        <v>25</v>
      </c>
      <c r="F2575" s="24" t="n">
        <v>0</v>
      </c>
    </row>
    <row r="2576" customFormat="false" ht="15" hidden="false" customHeight="false" outlineLevel="0" collapsed="false">
      <c r="A2576" s="3" t="n">
        <v>2575</v>
      </c>
      <c r="B2576" s="3" t="n">
        <v>2574</v>
      </c>
      <c r="C2576" s="3" t="n">
        <v>3</v>
      </c>
      <c r="D2576" s="3" t="n">
        <v>7</v>
      </c>
      <c r="E2576" s="3" t="n">
        <v>26</v>
      </c>
      <c r="F2576" s="24" t="n">
        <v>0</v>
      </c>
    </row>
    <row r="2577" customFormat="false" ht="15" hidden="false" customHeight="false" outlineLevel="0" collapsed="false">
      <c r="A2577" s="3" t="n">
        <v>2576</v>
      </c>
      <c r="B2577" s="3" t="n">
        <v>2575</v>
      </c>
      <c r="C2577" s="3" t="n">
        <v>3</v>
      </c>
      <c r="D2577" s="3" t="n">
        <v>7</v>
      </c>
      <c r="E2577" s="3" t="n">
        <v>27</v>
      </c>
      <c r="F2577" s="24" t="n">
        <v>0</v>
      </c>
    </row>
    <row r="2578" customFormat="false" ht="15" hidden="false" customHeight="false" outlineLevel="0" collapsed="false">
      <c r="A2578" s="3" t="n">
        <v>2577</v>
      </c>
      <c r="B2578" s="3" t="n">
        <v>2576</v>
      </c>
      <c r="C2578" s="3" t="n">
        <v>3</v>
      </c>
      <c r="D2578" s="3" t="n">
        <v>8</v>
      </c>
      <c r="E2578" s="3" t="n">
        <v>0</v>
      </c>
      <c r="F2578" s="24" t="n">
        <v>0.0962923914</v>
      </c>
    </row>
    <row r="2579" customFormat="false" ht="15" hidden="false" customHeight="false" outlineLevel="0" collapsed="false">
      <c r="A2579" s="3" t="n">
        <v>2578</v>
      </c>
      <c r="B2579" s="3" t="n">
        <v>2577</v>
      </c>
      <c r="C2579" s="3" t="n">
        <v>3</v>
      </c>
      <c r="D2579" s="3" t="n">
        <v>8</v>
      </c>
      <c r="E2579" s="3" t="n">
        <v>1</v>
      </c>
      <c r="F2579" s="24" t="n">
        <v>0</v>
      </c>
    </row>
    <row r="2580" customFormat="false" ht="15" hidden="false" customHeight="false" outlineLevel="0" collapsed="false">
      <c r="A2580" s="3" t="n">
        <v>2579</v>
      </c>
      <c r="B2580" s="3" t="n">
        <v>2578</v>
      </c>
      <c r="C2580" s="3" t="n">
        <v>3</v>
      </c>
      <c r="D2580" s="3" t="n">
        <v>8</v>
      </c>
      <c r="E2580" s="3" t="n">
        <v>2</v>
      </c>
      <c r="F2580" s="24" t="n">
        <v>0</v>
      </c>
    </row>
    <row r="2581" customFormat="false" ht="15" hidden="false" customHeight="false" outlineLevel="0" collapsed="false">
      <c r="A2581" s="3" t="n">
        <v>2580</v>
      </c>
      <c r="B2581" s="3" t="n">
        <v>2579</v>
      </c>
      <c r="C2581" s="3" t="n">
        <v>3</v>
      </c>
      <c r="D2581" s="3" t="n">
        <v>8</v>
      </c>
      <c r="E2581" s="3" t="n">
        <v>3</v>
      </c>
      <c r="F2581" s="24" t="n">
        <v>0</v>
      </c>
    </row>
    <row r="2582" customFormat="false" ht="15" hidden="false" customHeight="false" outlineLevel="0" collapsed="false">
      <c r="A2582" s="3" t="n">
        <v>2581</v>
      </c>
      <c r="B2582" s="3" t="n">
        <v>2580</v>
      </c>
      <c r="C2582" s="3" t="n">
        <v>3</v>
      </c>
      <c r="D2582" s="3" t="n">
        <v>8</v>
      </c>
      <c r="E2582" s="3" t="n">
        <v>4</v>
      </c>
      <c r="F2582" s="24" t="n">
        <v>0</v>
      </c>
    </row>
    <row r="2583" customFormat="false" ht="15" hidden="false" customHeight="false" outlineLevel="0" collapsed="false">
      <c r="A2583" s="3" t="n">
        <v>2582</v>
      </c>
      <c r="B2583" s="3" t="n">
        <v>2581</v>
      </c>
      <c r="C2583" s="3" t="n">
        <v>3</v>
      </c>
      <c r="D2583" s="3" t="n">
        <v>8</v>
      </c>
      <c r="E2583" s="3" t="n">
        <v>5</v>
      </c>
      <c r="F2583" s="24" t="n">
        <v>0.547937453</v>
      </c>
    </row>
    <row r="2584" customFormat="false" ht="15" hidden="false" customHeight="false" outlineLevel="0" collapsed="false">
      <c r="A2584" s="3" t="n">
        <v>2583</v>
      </c>
      <c r="B2584" s="3" t="n">
        <v>2582</v>
      </c>
      <c r="C2584" s="3" t="n">
        <v>3</v>
      </c>
      <c r="D2584" s="3" t="n">
        <v>8</v>
      </c>
      <c r="E2584" s="3" t="n">
        <v>6</v>
      </c>
      <c r="F2584" s="24" t="n">
        <v>0</v>
      </c>
    </row>
    <row r="2585" customFormat="false" ht="15" hidden="false" customHeight="false" outlineLevel="0" collapsed="false">
      <c r="A2585" s="3" t="n">
        <v>2584</v>
      </c>
      <c r="B2585" s="3" t="n">
        <v>2583</v>
      </c>
      <c r="C2585" s="3" t="n">
        <v>3</v>
      </c>
      <c r="D2585" s="3" t="n">
        <v>8</v>
      </c>
      <c r="E2585" s="3" t="n">
        <v>7</v>
      </c>
      <c r="F2585" s="24" t="n">
        <v>0</v>
      </c>
    </row>
    <row r="2586" customFormat="false" ht="15" hidden="false" customHeight="false" outlineLevel="0" collapsed="false">
      <c r="A2586" s="3" t="n">
        <v>2585</v>
      </c>
      <c r="B2586" s="3" t="n">
        <v>2584</v>
      </c>
      <c r="C2586" s="3" t="n">
        <v>3</v>
      </c>
      <c r="D2586" s="3" t="n">
        <v>8</v>
      </c>
      <c r="E2586" s="3" t="n">
        <v>8</v>
      </c>
      <c r="F2586" s="24" t="n">
        <v>0.0954377502</v>
      </c>
    </row>
    <row r="2587" customFormat="false" ht="15" hidden="false" customHeight="false" outlineLevel="0" collapsed="false">
      <c r="A2587" s="3" t="n">
        <v>2586</v>
      </c>
      <c r="B2587" s="3" t="n">
        <v>2585</v>
      </c>
      <c r="C2587" s="3" t="n">
        <v>3</v>
      </c>
      <c r="D2587" s="3" t="n">
        <v>8</v>
      </c>
      <c r="E2587" s="3" t="n">
        <v>9</v>
      </c>
      <c r="F2587" s="24" t="n">
        <v>1.56196606</v>
      </c>
    </row>
    <row r="2588" customFormat="false" ht="15" hidden="false" customHeight="false" outlineLevel="0" collapsed="false">
      <c r="A2588" s="3" t="n">
        <v>2587</v>
      </c>
      <c r="B2588" s="3" t="n">
        <v>2586</v>
      </c>
      <c r="C2588" s="3" t="n">
        <v>3</v>
      </c>
      <c r="D2588" s="3" t="n">
        <v>8</v>
      </c>
      <c r="E2588" s="3" t="n">
        <v>10</v>
      </c>
      <c r="F2588" s="24" t="n">
        <v>3.18984151</v>
      </c>
    </row>
    <row r="2589" customFormat="false" ht="15" hidden="false" customHeight="false" outlineLevel="0" collapsed="false">
      <c r="A2589" s="3" t="n">
        <v>2588</v>
      </c>
      <c r="B2589" s="3" t="n">
        <v>2587</v>
      </c>
      <c r="C2589" s="3" t="n">
        <v>3</v>
      </c>
      <c r="D2589" s="3" t="n">
        <v>8</v>
      </c>
      <c r="E2589" s="3" t="n">
        <v>11</v>
      </c>
      <c r="F2589" s="24" t="n">
        <v>4.57681084</v>
      </c>
    </row>
    <row r="2590" customFormat="false" ht="15" hidden="false" customHeight="false" outlineLevel="0" collapsed="false">
      <c r="A2590" s="3" t="n">
        <v>2589</v>
      </c>
      <c r="B2590" s="3" t="n">
        <v>2588</v>
      </c>
      <c r="C2590" s="3" t="n">
        <v>3</v>
      </c>
      <c r="D2590" s="3" t="n">
        <v>8</v>
      </c>
      <c r="E2590" s="3" t="n">
        <v>12</v>
      </c>
      <c r="F2590" s="24" t="n">
        <v>5.0349617</v>
      </c>
    </row>
    <row r="2591" customFormat="false" ht="15" hidden="false" customHeight="false" outlineLevel="0" collapsed="false">
      <c r="A2591" s="3" t="n">
        <v>2590</v>
      </c>
      <c r="B2591" s="3" t="n">
        <v>2589</v>
      </c>
      <c r="C2591" s="3" t="n">
        <v>3</v>
      </c>
      <c r="D2591" s="3" t="n">
        <v>8</v>
      </c>
      <c r="E2591" s="3" t="n">
        <v>13</v>
      </c>
      <c r="F2591" s="24" t="n">
        <v>5.08932781</v>
      </c>
    </row>
    <row r="2592" customFormat="false" ht="15" hidden="false" customHeight="false" outlineLevel="0" collapsed="false">
      <c r="A2592" s="3" t="n">
        <v>2591</v>
      </c>
      <c r="B2592" s="3" t="n">
        <v>2590</v>
      </c>
      <c r="C2592" s="3" t="n">
        <v>3</v>
      </c>
      <c r="D2592" s="3" t="n">
        <v>8</v>
      </c>
      <c r="E2592" s="3" t="n">
        <v>14</v>
      </c>
      <c r="F2592" s="24" t="n">
        <v>5.127841</v>
      </c>
    </row>
    <row r="2593" customFormat="false" ht="15" hidden="false" customHeight="false" outlineLevel="0" collapsed="false">
      <c r="A2593" s="3" t="n">
        <v>2592</v>
      </c>
      <c r="B2593" s="3" t="n">
        <v>2591</v>
      </c>
      <c r="C2593" s="3" t="n">
        <v>3</v>
      </c>
      <c r="D2593" s="3" t="n">
        <v>8</v>
      </c>
      <c r="E2593" s="3" t="n">
        <v>15</v>
      </c>
      <c r="F2593" s="24" t="n">
        <v>5.20557261</v>
      </c>
    </row>
    <row r="2594" customFormat="false" ht="15" hidden="false" customHeight="false" outlineLevel="0" collapsed="false">
      <c r="A2594" s="3" t="n">
        <v>2593</v>
      </c>
      <c r="B2594" s="3" t="n">
        <v>2592</v>
      </c>
      <c r="C2594" s="3" t="n">
        <v>3</v>
      </c>
      <c r="D2594" s="3" t="n">
        <v>8</v>
      </c>
      <c r="E2594" s="3" t="n">
        <v>16</v>
      </c>
      <c r="F2594" s="24" t="n">
        <v>5.18169355</v>
      </c>
    </row>
    <row r="2595" customFormat="false" ht="15" hidden="false" customHeight="false" outlineLevel="0" collapsed="false">
      <c r="A2595" s="3" t="n">
        <v>2594</v>
      </c>
      <c r="B2595" s="3" t="n">
        <v>2593</v>
      </c>
      <c r="C2595" s="3" t="n">
        <v>3</v>
      </c>
      <c r="D2595" s="3" t="n">
        <v>8</v>
      </c>
      <c r="E2595" s="3" t="n">
        <v>17</v>
      </c>
      <c r="F2595" s="24" t="n">
        <v>5.04029417</v>
      </c>
    </row>
    <row r="2596" customFormat="false" ht="15" hidden="false" customHeight="false" outlineLevel="0" collapsed="false">
      <c r="A2596" s="3" t="n">
        <v>2595</v>
      </c>
      <c r="B2596" s="3" t="n">
        <v>2594</v>
      </c>
      <c r="C2596" s="3" t="n">
        <v>3</v>
      </c>
      <c r="D2596" s="3" t="n">
        <v>8</v>
      </c>
      <c r="E2596" s="3" t="n">
        <v>18</v>
      </c>
      <c r="F2596" s="24" t="n">
        <v>5.09463978</v>
      </c>
    </row>
    <row r="2597" customFormat="false" ht="15" hidden="false" customHeight="false" outlineLevel="0" collapsed="false">
      <c r="A2597" s="3" t="n">
        <v>2596</v>
      </c>
      <c r="B2597" s="3" t="n">
        <v>2595</v>
      </c>
      <c r="C2597" s="3" t="n">
        <v>3</v>
      </c>
      <c r="D2597" s="3" t="n">
        <v>8</v>
      </c>
      <c r="E2597" s="3" t="n">
        <v>19</v>
      </c>
      <c r="F2597" s="24" t="n">
        <v>5.00999641</v>
      </c>
    </row>
    <row r="2598" customFormat="false" ht="15" hidden="false" customHeight="false" outlineLevel="0" collapsed="false">
      <c r="A2598" s="3" t="n">
        <v>2597</v>
      </c>
      <c r="B2598" s="3" t="n">
        <v>2596</v>
      </c>
      <c r="C2598" s="3" t="n">
        <v>3</v>
      </c>
      <c r="D2598" s="3" t="n">
        <v>8</v>
      </c>
      <c r="E2598" s="3" t="n">
        <v>20</v>
      </c>
      <c r="F2598" s="24" t="n">
        <v>3.87008405</v>
      </c>
    </row>
    <row r="2599" customFormat="false" ht="15" hidden="false" customHeight="false" outlineLevel="0" collapsed="false">
      <c r="A2599" s="3" t="n">
        <v>2598</v>
      </c>
      <c r="B2599" s="3" t="n">
        <v>2597</v>
      </c>
      <c r="C2599" s="3" t="n">
        <v>3</v>
      </c>
      <c r="D2599" s="3" t="n">
        <v>8</v>
      </c>
      <c r="E2599" s="3" t="n">
        <v>21</v>
      </c>
      <c r="F2599" s="24" t="n">
        <v>2.23214865</v>
      </c>
    </row>
    <row r="2600" customFormat="false" ht="15" hidden="false" customHeight="false" outlineLevel="0" collapsed="false">
      <c r="A2600" s="3" t="n">
        <v>2599</v>
      </c>
      <c r="B2600" s="3" t="n">
        <v>2598</v>
      </c>
      <c r="C2600" s="3" t="n">
        <v>3</v>
      </c>
      <c r="D2600" s="3" t="n">
        <v>8</v>
      </c>
      <c r="E2600" s="3" t="n">
        <v>22</v>
      </c>
      <c r="F2600" s="24" t="n">
        <v>0.671167433</v>
      </c>
    </row>
    <row r="2601" customFormat="false" ht="15" hidden="false" customHeight="false" outlineLevel="0" collapsed="false">
      <c r="A2601" s="3" t="n">
        <v>2600</v>
      </c>
      <c r="B2601" s="3" t="n">
        <v>2599</v>
      </c>
      <c r="C2601" s="3" t="n">
        <v>3</v>
      </c>
      <c r="D2601" s="3" t="n">
        <v>8</v>
      </c>
      <c r="E2601" s="3" t="n">
        <v>23</v>
      </c>
      <c r="F2601" s="24" t="n">
        <v>0</v>
      </c>
    </row>
    <row r="2602" customFormat="false" ht="15" hidden="false" customHeight="false" outlineLevel="0" collapsed="false">
      <c r="A2602" s="3" t="n">
        <v>2601</v>
      </c>
      <c r="B2602" s="3" t="n">
        <v>2600</v>
      </c>
      <c r="C2602" s="3" t="n">
        <v>3</v>
      </c>
      <c r="D2602" s="3" t="n">
        <v>8</v>
      </c>
      <c r="E2602" s="3" t="n">
        <v>24</v>
      </c>
      <c r="F2602" s="24" t="n">
        <v>0</v>
      </c>
    </row>
    <row r="2603" customFormat="false" ht="15" hidden="false" customHeight="false" outlineLevel="0" collapsed="false">
      <c r="A2603" s="3" t="n">
        <v>2602</v>
      </c>
      <c r="B2603" s="3" t="n">
        <v>2601</v>
      </c>
      <c r="C2603" s="3" t="n">
        <v>3</v>
      </c>
      <c r="D2603" s="3" t="n">
        <v>8</v>
      </c>
      <c r="E2603" s="3" t="n">
        <v>25</v>
      </c>
      <c r="F2603" s="24" t="n">
        <v>0</v>
      </c>
    </row>
    <row r="2604" customFormat="false" ht="15" hidden="false" customHeight="false" outlineLevel="0" collapsed="false">
      <c r="A2604" s="3" t="n">
        <v>2603</v>
      </c>
      <c r="B2604" s="3" t="n">
        <v>2602</v>
      </c>
      <c r="C2604" s="3" t="n">
        <v>3</v>
      </c>
      <c r="D2604" s="3" t="n">
        <v>8</v>
      </c>
      <c r="E2604" s="3" t="n">
        <v>26</v>
      </c>
      <c r="F2604" s="24" t="n">
        <v>0</v>
      </c>
    </row>
    <row r="2605" customFormat="false" ht="15" hidden="false" customHeight="false" outlineLevel="0" collapsed="false">
      <c r="A2605" s="3" t="n">
        <v>2604</v>
      </c>
      <c r="B2605" s="3" t="n">
        <v>2603</v>
      </c>
      <c r="C2605" s="3" t="n">
        <v>3</v>
      </c>
      <c r="D2605" s="3" t="n">
        <v>8</v>
      </c>
      <c r="E2605" s="3" t="n">
        <v>27</v>
      </c>
      <c r="F2605" s="24" t="n">
        <v>0</v>
      </c>
    </row>
    <row r="2606" customFormat="false" ht="15" hidden="false" customHeight="false" outlineLevel="0" collapsed="false">
      <c r="A2606" s="3" t="n">
        <v>2605</v>
      </c>
      <c r="B2606" s="3" t="n">
        <v>2604</v>
      </c>
      <c r="C2606" s="3" t="n">
        <v>3</v>
      </c>
      <c r="D2606" s="3" t="n">
        <v>9</v>
      </c>
      <c r="E2606" s="3" t="n">
        <v>0</v>
      </c>
      <c r="F2606" s="24" t="n">
        <v>0.0962923914</v>
      </c>
    </row>
    <row r="2607" customFormat="false" ht="15" hidden="false" customHeight="false" outlineLevel="0" collapsed="false">
      <c r="A2607" s="3" t="n">
        <v>2606</v>
      </c>
      <c r="B2607" s="3" t="n">
        <v>2605</v>
      </c>
      <c r="C2607" s="3" t="n">
        <v>3</v>
      </c>
      <c r="D2607" s="3" t="n">
        <v>9</v>
      </c>
      <c r="E2607" s="3" t="n">
        <v>1</v>
      </c>
      <c r="F2607" s="24" t="n">
        <v>0</v>
      </c>
    </row>
    <row r="2608" customFormat="false" ht="15" hidden="false" customHeight="false" outlineLevel="0" collapsed="false">
      <c r="A2608" s="3" t="n">
        <v>2607</v>
      </c>
      <c r="B2608" s="3" t="n">
        <v>2606</v>
      </c>
      <c r="C2608" s="3" t="n">
        <v>3</v>
      </c>
      <c r="D2608" s="3" t="n">
        <v>9</v>
      </c>
      <c r="E2608" s="3" t="n">
        <v>2</v>
      </c>
      <c r="F2608" s="24" t="n">
        <v>0</v>
      </c>
    </row>
    <row r="2609" customFormat="false" ht="15" hidden="false" customHeight="false" outlineLevel="0" collapsed="false">
      <c r="A2609" s="3" t="n">
        <v>2608</v>
      </c>
      <c r="B2609" s="3" t="n">
        <v>2607</v>
      </c>
      <c r="C2609" s="3" t="n">
        <v>3</v>
      </c>
      <c r="D2609" s="3" t="n">
        <v>9</v>
      </c>
      <c r="E2609" s="3" t="n">
        <v>3</v>
      </c>
      <c r="F2609" s="24" t="n">
        <v>0</v>
      </c>
    </row>
    <row r="2610" customFormat="false" ht="15" hidden="false" customHeight="false" outlineLevel="0" collapsed="false">
      <c r="A2610" s="3" t="n">
        <v>2609</v>
      </c>
      <c r="B2610" s="3" t="n">
        <v>2608</v>
      </c>
      <c r="C2610" s="3" t="n">
        <v>3</v>
      </c>
      <c r="D2610" s="3" t="n">
        <v>9</v>
      </c>
      <c r="E2610" s="3" t="n">
        <v>4</v>
      </c>
      <c r="F2610" s="24" t="n">
        <v>0</v>
      </c>
    </row>
    <row r="2611" customFormat="false" ht="15" hidden="false" customHeight="false" outlineLevel="0" collapsed="false">
      <c r="A2611" s="3" t="n">
        <v>2610</v>
      </c>
      <c r="B2611" s="3" t="n">
        <v>2609</v>
      </c>
      <c r="C2611" s="3" t="n">
        <v>3</v>
      </c>
      <c r="D2611" s="3" t="n">
        <v>9</v>
      </c>
      <c r="E2611" s="3" t="n">
        <v>5</v>
      </c>
      <c r="F2611" s="24" t="n">
        <v>0</v>
      </c>
    </row>
    <row r="2612" customFormat="false" ht="15" hidden="false" customHeight="false" outlineLevel="0" collapsed="false">
      <c r="A2612" s="3" t="n">
        <v>2611</v>
      </c>
      <c r="B2612" s="3" t="n">
        <v>2610</v>
      </c>
      <c r="C2612" s="3" t="n">
        <v>3</v>
      </c>
      <c r="D2612" s="3" t="n">
        <v>9</v>
      </c>
      <c r="E2612" s="3" t="n">
        <v>6</v>
      </c>
      <c r="F2612" s="24" t="n">
        <v>0</v>
      </c>
    </row>
    <row r="2613" customFormat="false" ht="15" hidden="false" customHeight="false" outlineLevel="0" collapsed="false">
      <c r="A2613" s="3" t="n">
        <v>2612</v>
      </c>
      <c r="B2613" s="3" t="n">
        <v>2611</v>
      </c>
      <c r="C2613" s="3" t="n">
        <v>3</v>
      </c>
      <c r="D2613" s="3" t="n">
        <v>9</v>
      </c>
      <c r="E2613" s="3" t="n">
        <v>7</v>
      </c>
      <c r="F2613" s="24" t="n">
        <v>0</v>
      </c>
    </row>
    <row r="2614" customFormat="false" ht="15" hidden="false" customHeight="false" outlineLevel="0" collapsed="false">
      <c r="A2614" s="3" t="n">
        <v>2613</v>
      </c>
      <c r="B2614" s="3" t="n">
        <v>2612</v>
      </c>
      <c r="C2614" s="3" t="n">
        <v>3</v>
      </c>
      <c r="D2614" s="3" t="n">
        <v>9</v>
      </c>
      <c r="E2614" s="3" t="n">
        <v>8</v>
      </c>
      <c r="F2614" s="24" t="n">
        <v>0</v>
      </c>
    </row>
    <row r="2615" customFormat="false" ht="15" hidden="false" customHeight="false" outlineLevel="0" collapsed="false">
      <c r="A2615" s="3" t="n">
        <v>2614</v>
      </c>
      <c r="B2615" s="3" t="n">
        <v>2613</v>
      </c>
      <c r="C2615" s="3" t="n">
        <v>3</v>
      </c>
      <c r="D2615" s="3" t="n">
        <v>9</v>
      </c>
      <c r="E2615" s="3" t="n">
        <v>9</v>
      </c>
      <c r="F2615" s="24" t="n">
        <v>0</v>
      </c>
    </row>
    <row r="2616" customFormat="false" ht="15" hidden="false" customHeight="false" outlineLevel="0" collapsed="false">
      <c r="A2616" s="3" t="n">
        <v>2615</v>
      </c>
      <c r="B2616" s="3" t="n">
        <v>2614</v>
      </c>
      <c r="C2616" s="3" t="n">
        <v>3</v>
      </c>
      <c r="D2616" s="3" t="n">
        <v>9</v>
      </c>
      <c r="E2616" s="3" t="n">
        <v>10</v>
      </c>
      <c r="F2616" s="24" t="n">
        <v>0</v>
      </c>
    </row>
    <row r="2617" customFormat="false" ht="15" hidden="false" customHeight="false" outlineLevel="0" collapsed="false">
      <c r="A2617" s="3" t="n">
        <v>2616</v>
      </c>
      <c r="B2617" s="3" t="n">
        <v>2615</v>
      </c>
      <c r="C2617" s="3" t="n">
        <v>3</v>
      </c>
      <c r="D2617" s="3" t="n">
        <v>9</v>
      </c>
      <c r="E2617" s="3" t="n">
        <v>11</v>
      </c>
      <c r="F2617" s="24" t="n">
        <v>0</v>
      </c>
    </row>
    <row r="2618" customFormat="false" ht="15" hidden="false" customHeight="false" outlineLevel="0" collapsed="false">
      <c r="A2618" s="3" t="n">
        <v>2617</v>
      </c>
      <c r="B2618" s="3" t="n">
        <v>2616</v>
      </c>
      <c r="C2618" s="3" t="n">
        <v>3</v>
      </c>
      <c r="D2618" s="3" t="n">
        <v>9</v>
      </c>
      <c r="E2618" s="3" t="n">
        <v>12</v>
      </c>
      <c r="F2618" s="24" t="n">
        <v>0</v>
      </c>
    </row>
    <row r="2619" customFormat="false" ht="15" hidden="false" customHeight="false" outlineLevel="0" collapsed="false">
      <c r="A2619" s="3" t="n">
        <v>2618</v>
      </c>
      <c r="B2619" s="3" t="n">
        <v>2617</v>
      </c>
      <c r="C2619" s="3" t="n">
        <v>3</v>
      </c>
      <c r="D2619" s="3" t="n">
        <v>9</v>
      </c>
      <c r="E2619" s="3" t="n">
        <v>13</v>
      </c>
      <c r="F2619" s="24" t="n">
        <v>0</v>
      </c>
    </row>
    <row r="2620" customFormat="false" ht="15" hidden="false" customHeight="false" outlineLevel="0" collapsed="false">
      <c r="A2620" s="3" t="n">
        <v>2619</v>
      </c>
      <c r="B2620" s="3" t="n">
        <v>2618</v>
      </c>
      <c r="C2620" s="3" t="n">
        <v>3</v>
      </c>
      <c r="D2620" s="3" t="n">
        <v>9</v>
      </c>
      <c r="E2620" s="3" t="n">
        <v>14</v>
      </c>
      <c r="F2620" s="24" t="n">
        <v>0</v>
      </c>
    </row>
    <row r="2621" customFormat="false" ht="15" hidden="false" customHeight="false" outlineLevel="0" collapsed="false">
      <c r="A2621" s="3" t="n">
        <v>2620</v>
      </c>
      <c r="B2621" s="3" t="n">
        <v>2619</v>
      </c>
      <c r="C2621" s="3" t="n">
        <v>3</v>
      </c>
      <c r="D2621" s="3" t="n">
        <v>9</v>
      </c>
      <c r="E2621" s="3" t="n">
        <v>15</v>
      </c>
      <c r="F2621" s="24" t="n">
        <v>0</v>
      </c>
    </row>
    <row r="2622" customFormat="false" ht="15" hidden="false" customHeight="false" outlineLevel="0" collapsed="false">
      <c r="A2622" s="3" t="n">
        <v>2621</v>
      </c>
      <c r="B2622" s="3" t="n">
        <v>2620</v>
      </c>
      <c r="C2622" s="3" t="n">
        <v>3</v>
      </c>
      <c r="D2622" s="3" t="n">
        <v>9</v>
      </c>
      <c r="E2622" s="3" t="n">
        <v>16</v>
      </c>
      <c r="F2622" s="24" t="n">
        <v>0</v>
      </c>
    </row>
    <row r="2623" customFormat="false" ht="15" hidden="false" customHeight="false" outlineLevel="0" collapsed="false">
      <c r="A2623" s="3" t="n">
        <v>2622</v>
      </c>
      <c r="B2623" s="3" t="n">
        <v>2621</v>
      </c>
      <c r="C2623" s="3" t="n">
        <v>3</v>
      </c>
      <c r="D2623" s="3" t="n">
        <v>9</v>
      </c>
      <c r="E2623" s="3" t="n">
        <v>17</v>
      </c>
      <c r="F2623" s="24" t="n">
        <v>0</v>
      </c>
    </row>
    <row r="2624" customFormat="false" ht="15" hidden="false" customHeight="false" outlineLevel="0" collapsed="false">
      <c r="A2624" s="3" t="n">
        <v>2623</v>
      </c>
      <c r="B2624" s="3" t="n">
        <v>2622</v>
      </c>
      <c r="C2624" s="3" t="n">
        <v>3</v>
      </c>
      <c r="D2624" s="3" t="n">
        <v>9</v>
      </c>
      <c r="E2624" s="3" t="n">
        <v>18</v>
      </c>
      <c r="F2624" s="24" t="n">
        <v>0</v>
      </c>
    </row>
    <row r="2625" customFormat="false" ht="15" hidden="false" customHeight="false" outlineLevel="0" collapsed="false">
      <c r="A2625" s="3" t="n">
        <v>2624</v>
      </c>
      <c r="B2625" s="3" t="n">
        <v>2623</v>
      </c>
      <c r="C2625" s="3" t="n">
        <v>3</v>
      </c>
      <c r="D2625" s="3" t="n">
        <v>9</v>
      </c>
      <c r="E2625" s="3" t="n">
        <v>19</v>
      </c>
      <c r="F2625" s="24" t="n">
        <v>0.620897889</v>
      </c>
    </row>
    <row r="2626" customFormat="false" ht="15" hidden="false" customHeight="false" outlineLevel="0" collapsed="false">
      <c r="A2626" s="3" t="n">
        <v>2625</v>
      </c>
      <c r="B2626" s="3" t="n">
        <v>2624</v>
      </c>
      <c r="C2626" s="3" t="n">
        <v>3</v>
      </c>
      <c r="D2626" s="3" t="n">
        <v>9</v>
      </c>
      <c r="E2626" s="3" t="n">
        <v>20</v>
      </c>
      <c r="F2626" s="24" t="n">
        <v>1.4268868</v>
      </c>
    </row>
    <row r="2627" customFormat="false" ht="15" hidden="false" customHeight="false" outlineLevel="0" collapsed="false">
      <c r="A2627" s="3" t="n">
        <v>2626</v>
      </c>
      <c r="B2627" s="3" t="n">
        <v>2625</v>
      </c>
      <c r="C2627" s="3" t="n">
        <v>3</v>
      </c>
      <c r="D2627" s="3" t="n">
        <v>9</v>
      </c>
      <c r="E2627" s="3" t="n">
        <v>21</v>
      </c>
      <c r="F2627" s="24" t="n">
        <v>1.26460981</v>
      </c>
    </row>
    <row r="2628" customFormat="false" ht="15" hidden="false" customHeight="false" outlineLevel="0" collapsed="false">
      <c r="A2628" s="3" t="n">
        <v>2627</v>
      </c>
      <c r="B2628" s="3" t="n">
        <v>2626</v>
      </c>
      <c r="C2628" s="3" t="n">
        <v>3</v>
      </c>
      <c r="D2628" s="3" t="n">
        <v>9</v>
      </c>
      <c r="E2628" s="3" t="n">
        <v>22</v>
      </c>
      <c r="F2628" s="24" t="n">
        <v>0.846805513</v>
      </c>
    </row>
    <row r="2629" customFormat="false" ht="15" hidden="false" customHeight="false" outlineLevel="0" collapsed="false">
      <c r="A2629" s="3" t="n">
        <v>2628</v>
      </c>
      <c r="B2629" s="3" t="n">
        <v>2627</v>
      </c>
      <c r="C2629" s="3" t="n">
        <v>3</v>
      </c>
      <c r="D2629" s="3" t="n">
        <v>9</v>
      </c>
      <c r="E2629" s="3" t="n">
        <v>23</v>
      </c>
      <c r="F2629" s="24" t="n">
        <v>0</v>
      </c>
    </row>
    <row r="2630" customFormat="false" ht="15" hidden="false" customHeight="false" outlineLevel="0" collapsed="false">
      <c r="A2630" s="3" t="n">
        <v>2629</v>
      </c>
      <c r="B2630" s="3" t="n">
        <v>2628</v>
      </c>
      <c r="C2630" s="3" t="n">
        <v>3</v>
      </c>
      <c r="D2630" s="3" t="n">
        <v>9</v>
      </c>
      <c r="E2630" s="3" t="n">
        <v>24</v>
      </c>
      <c r="F2630" s="24" t="n">
        <v>0</v>
      </c>
    </row>
    <row r="2631" customFormat="false" ht="15" hidden="false" customHeight="false" outlineLevel="0" collapsed="false">
      <c r="A2631" s="3" t="n">
        <v>2630</v>
      </c>
      <c r="B2631" s="3" t="n">
        <v>2629</v>
      </c>
      <c r="C2631" s="3" t="n">
        <v>3</v>
      </c>
      <c r="D2631" s="3" t="n">
        <v>9</v>
      </c>
      <c r="E2631" s="3" t="n">
        <v>25</v>
      </c>
      <c r="F2631" s="24" t="n">
        <v>0</v>
      </c>
    </row>
    <row r="2632" customFormat="false" ht="15" hidden="false" customHeight="false" outlineLevel="0" collapsed="false">
      <c r="A2632" s="3" t="n">
        <v>2631</v>
      </c>
      <c r="B2632" s="3" t="n">
        <v>2630</v>
      </c>
      <c r="C2632" s="3" t="n">
        <v>3</v>
      </c>
      <c r="D2632" s="3" t="n">
        <v>9</v>
      </c>
      <c r="E2632" s="3" t="n">
        <v>26</v>
      </c>
      <c r="F2632" s="24" t="n">
        <v>0</v>
      </c>
    </row>
    <row r="2633" customFormat="false" ht="15" hidden="false" customHeight="false" outlineLevel="0" collapsed="false">
      <c r="A2633" s="3" t="n">
        <v>2632</v>
      </c>
      <c r="B2633" s="3" t="n">
        <v>2631</v>
      </c>
      <c r="C2633" s="3" t="n">
        <v>3</v>
      </c>
      <c r="D2633" s="3" t="n">
        <v>9</v>
      </c>
      <c r="E2633" s="3" t="n">
        <v>27</v>
      </c>
      <c r="F2633" s="24" t="n">
        <v>0</v>
      </c>
    </row>
    <row r="2634" customFormat="false" ht="15" hidden="false" customHeight="false" outlineLevel="0" collapsed="false">
      <c r="A2634" s="3" t="n">
        <v>2633</v>
      </c>
      <c r="B2634" s="3" t="n">
        <v>2632</v>
      </c>
      <c r="C2634" s="3" t="n">
        <v>3</v>
      </c>
      <c r="D2634" s="3" t="n">
        <v>10</v>
      </c>
      <c r="E2634" s="3" t="n">
        <v>0</v>
      </c>
      <c r="F2634" s="24" t="n">
        <v>0.0962923914</v>
      </c>
    </row>
    <row r="2635" customFormat="false" ht="15" hidden="false" customHeight="false" outlineLevel="0" collapsed="false">
      <c r="A2635" s="3" t="n">
        <v>2634</v>
      </c>
      <c r="B2635" s="3" t="n">
        <v>2633</v>
      </c>
      <c r="C2635" s="3" t="n">
        <v>3</v>
      </c>
      <c r="D2635" s="3" t="n">
        <v>10</v>
      </c>
      <c r="E2635" s="3" t="n">
        <v>1</v>
      </c>
      <c r="F2635" s="24" t="n">
        <v>0</v>
      </c>
    </row>
    <row r="2636" customFormat="false" ht="15" hidden="false" customHeight="false" outlineLevel="0" collapsed="false">
      <c r="A2636" s="3" t="n">
        <v>2635</v>
      </c>
      <c r="B2636" s="3" t="n">
        <v>2634</v>
      </c>
      <c r="C2636" s="3" t="n">
        <v>3</v>
      </c>
      <c r="D2636" s="3" t="n">
        <v>10</v>
      </c>
      <c r="E2636" s="3" t="n">
        <v>2</v>
      </c>
      <c r="F2636" s="24" t="n">
        <v>0</v>
      </c>
    </row>
    <row r="2637" customFormat="false" ht="15" hidden="false" customHeight="false" outlineLevel="0" collapsed="false">
      <c r="A2637" s="3" t="n">
        <v>2636</v>
      </c>
      <c r="B2637" s="3" t="n">
        <v>2635</v>
      </c>
      <c r="C2637" s="3" t="n">
        <v>3</v>
      </c>
      <c r="D2637" s="3" t="n">
        <v>10</v>
      </c>
      <c r="E2637" s="3" t="n">
        <v>3</v>
      </c>
      <c r="F2637" s="24" t="n">
        <v>0</v>
      </c>
    </row>
    <row r="2638" customFormat="false" ht="15" hidden="false" customHeight="false" outlineLevel="0" collapsed="false">
      <c r="A2638" s="3" t="n">
        <v>2637</v>
      </c>
      <c r="B2638" s="3" t="n">
        <v>2636</v>
      </c>
      <c r="C2638" s="3" t="n">
        <v>3</v>
      </c>
      <c r="D2638" s="3" t="n">
        <v>10</v>
      </c>
      <c r="E2638" s="3" t="n">
        <v>4</v>
      </c>
      <c r="F2638" s="24" t="n">
        <v>0</v>
      </c>
    </row>
    <row r="2639" customFormat="false" ht="15" hidden="false" customHeight="false" outlineLevel="0" collapsed="false">
      <c r="A2639" s="3" t="n">
        <v>2638</v>
      </c>
      <c r="B2639" s="3" t="n">
        <v>2637</v>
      </c>
      <c r="C2639" s="3" t="n">
        <v>3</v>
      </c>
      <c r="D2639" s="3" t="n">
        <v>10</v>
      </c>
      <c r="E2639" s="3" t="n">
        <v>5</v>
      </c>
      <c r="F2639" s="24" t="n">
        <v>0</v>
      </c>
    </row>
    <row r="2640" customFormat="false" ht="15" hidden="false" customHeight="false" outlineLevel="0" collapsed="false">
      <c r="A2640" s="3" t="n">
        <v>2639</v>
      </c>
      <c r="B2640" s="3" t="n">
        <v>2638</v>
      </c>
      <c r="C2640" s="3" t="n">
        <v>3</v>
      </c>
      <c r="D2640" s="3" t="n">
        <v>10</v>
      </c>
      <c r="E2640" s="3" t="n">
        <v>6</v>
      </c>
      <c r="F2640" s="24" t="n">
        <v>0</v>
      </c>
    </row>
    <row r="2641" customFormat="false" ht="15" hidden="false" customHeight="false" outlineLevel="0" collapsed="false">
      <c r="A2641" s="3" t="n">
        <v>2640</v>
      </c>
      <c r="B2641" s="3" t="n">
        <v>2639</v>
      </c>
      <c r="C2641" s="3" t="n">
        <v>3</v>
      </c>
      <c r="D2641" s="3" t="n">
        <v>10</v>
      </c>
      <c r="E2641" s="3" t="n">
        <v>7</v>
      </c>
      <c r="F2641" s="24" t="n">
        <v>0</v>
      </c>
    </row>
    <row r="2642" customFormat="false" ht="15" hidden="false" customHeight="false" outlineLevel="0" collapsed="false">
      <c r="A2642" s="3" t="n">
        <v>2641</v>
      </c>
      <c r="B2642" s="3" t="n">
        <v>2640</v>
      </c>
      <c r="C2642" s="3" t="n">
        <v>3</v>
      </c>
      <c r="D2642" s="3" t="n">
        <v>10</v>
      </c>
      <c r="E2642" s="3" t="n">
        <v>8</v>
      </c>
      <c r="F2642" s="24" t="n">
        <v>0</v>
      </c>
    </row>
    <row r="2643" customFormat="false" ht="15" hidden="false" customHeight="false" outlineLevel="0" collapsed="false">
      <c r="A2643" s="3" t="n">
        <v>2642</v>
      </c>
      <c r="B2643" s="3" t="n">
        <v>2641</v>
      </c>
      <c r="C2643" s="3" t="n">
        <v>3</v>
      </c>
      <c r="D2643" s="3" t="n">
        <v>10</v>
      </c>
      <c r="E2643" s="3" t="n">
        <v>9</v>
      </c>
      <c r="F2643" s="24" t="n">
        <v>0</v>
      </c>
    </row>
    <row r="2644" customFormat="false" ht="15" hidden="false" customHeight="false" outlineLevel="0" collapsed="false">
      <c r="A2644" s="3" t="n">
        <v>2643</v>
      </c>
      <c r="B2644" s="3" t="n">
        <v>2642</v>
      </c>
      <c r="C2644" s="3" t="n">
        <v>3</v>
      </c>
      <c r="D2644" s="3" t="n">
        <v>10</v>
      </c>
      <c r="E2644" s="3" t="n">
        <v>10</v>
      </c>
      <c r="F2644" s="24" t="n">
        <v>0</v>
      </c>
    </row>
    <row r="2645" customFormat="false" ht="15" hidden="false" customHeight="false" outlineLevel="0" collapsed="false">
      <c r="A2645" s="3" t="n">
        <v>2644</v>
      </c>
      <c r="B2645" s="3" t="n">
        <v>2643</v>
      </c>
      <c r="C2645" s="3" t="n">
        <v>3</v>
      </c>
      <c r="D2645" s="3" t="n">
        <v>10</v>
      </c>
      <c r="E2645" s="3" t="n">
        <v>11</v>
      </c>
      <c r="F2645" s="24" t="n">
        <v>0</v>
      </c>
    </row>
    <row r="2646" customFormat="false" ht="15" hidden="false" customHeight="false" outlineLevel="0" collapsed="false">
      <c r="A2646" s="3" t="n">
        <v>2645</v>
      </c>
      <c r="B2646" s="3" t="n">
        <v>2644</v>
      </c>
      <c r="C2646" s="3" t="n">
        <v>3</v>
      </c>
      <c r="D2646" s="3" t="n">
        <v>10</v>
      </c>
      <c r="E2646" s="3" t="n">
        <v>12</v>
      </c>
      <c r="F2646" s="24" t="n">
        <v>0</v>
      </c>
    </row>
    <row r="2647" customFormat="false" ht="15" hidden="false" customHeight="false" outlineLevel="0" collapsed="false">
      <c r="A2647" s="3" t="n">
        <v>2646</v>
      </c>
      <c r="B2647" s="3" t="n">
        <v>2645</v>
      </c>
      <c r="C2647" s="3" t="n">
        <v>3</v>
      </c>
      <c r="D2647" s="3" t="n">
        <v>10</v>
      </c>
      <c r="E2647" s="3" t="n">
        <v>13</v>
      </c>
      <c r="F2647" s="24" t="n">
        <v>0</v>
      </c>
    </row>
    <row r="2648" customFormat="false" ht="15" hidden="false" customHeight="false" outlineLevel="0" collapsed="false">
      <c r="A2648" s="3" t="n">
        <v>2647</v>
      </c>
      <c r="B2648" s="3" t="n">
        <v>2646</v>
      </c>
      <c r="C2648" s="3" t="n">
        <v>3</v>
      </c>
      <c r="D2648" s="3" t="n">
        <v>10</v>
      </c>
      <c r="E2648" s="3" t="n">
        <v>14</v>
      </c>
      <c r="F2648" s="24" t="n">
        <v>0</v>
      </c>
    </row>
    <row r="2649" customFormat="false" ht="15" hidden="false" customHeight="false" outlineLevel="0" collapsed="false">
      <c r="A2649" s="3" t="n">
        <v>2648</v>
      </c>
      <c r="B2649" s="3" t="n">
        <v>2647</v>
      </c>
      <c r="C2649" s="3" t="n">
        <v>3</v>
      </c>
      <c r="D2649" s="3" t="n">
        <v>10</v>
      </c>
      <c r="E2649" s="3" t="n">
        <v>15</v>
      </c>
      <c r="F2649" s="24" t="n">
        <v>0</v>
      </c>
    </row>
    <row r="2650" customFormat="false" ht="15" hidden="false" customHeight="false" outlineLevel="0" collapsed="false">
      <c r="A2650" s="3" t="n">
        <v>2649</v>
      </c>
      <c r="B2650" s="3" t="n">
        <v>2648</v>
      </c>
      <c r="C2650" s="3" t="n">
        <v>3</v>
      </c>
      <c r="D2650" s="3" t="n">
        <v>10</v>
      </c>
      <c r="E2650" s="3" t="n">
        <v>16</v>
      </c>
      <c r="F2650" s="24" t="n">
        <v>0</v>
      </c>
    </row>
    <row r="2651" customFormat="false" ht="15" hidden="false" customHeight="false" outlineLevel="0" collapsed="false">
      <c r="A2651" s="3" t="n">
        <v>2650</v>
      </c>
      <c r="B2651" s="3" t="n">
        <v>2649</v>
      </c>
      <c r="C2651" s="3" t="n">
        <v>3</v>
      </c>
      <c r="D2651" s="3" t="n">
        <v>10</v>
      </c>
      <c r="E2651" s="3" t="n">
        <v>17</v>
      </c>
      <c r="F2651" s="24" t="n">
        <v>0</v>
      </c>
    </row>
    <row r="2652" customFormat="false" ht="15" hidden="false" customHeight="false" outlineLevel="0" collapsed="false">
      <c r="A2652" s="3" t="n">
        <v>2651</v>
      </c>
      <c r="B2652" s="3" t="n">
        <v>2650</v>
      </c>
      <c r="C2652" s="3" t="n">
        <v>3</v>
      </c>
      <c r="D2652" s="3" t="n">
        <v>10</v>
      </c>
      <c r="E2652" s="3" t="n">
        <v>18</v>
      </c>
      <c r="F2652" s="24" t="n">
        <v>0</v>
      </c>
    </row>
    <row r="2653" customFormat="false" ht="15" hidden="false" customHeight="false" outlineLevel="0" collapsed="false">
      <c r="A2653" s="3" t="n">
        <v>2652</v>
      </c>
      <c r="B2653" s="3" t="n">
        <v>2651</v>
      </c>
      <c r="C2653" s="3" t="n">
        <v>3</v>
      </c>
      <c r="D2653" s="3" t="n">
        <v>10</v>
      </c>
      <c r="E2653" s="3" t="n">
        <v>19</v>
      </c>
      <c r="F2653" s="24" t="n">
        <v>0</v>
      </c>
    </row>
    <row r="2654" customFormat="false" ht="15" hidden="false" customHeight="false" outlineLevel="0" collapsed="false">
      <c r="A2654" s="3" t="n">
        <v>2653</v>
      </c>
      <c r="B2654" s="3" t="n">
        <v>2652</v>
      </c>
      <c r="C2654" s="3" t="n">
        <v>3</v>
      </c>
      <c r="D2654" s="3" t="n">
        <v>10</v>
      </c>
      <c r="E2654" s="3" t="n">
        <v>20</v>
      </c>
      <c r="F2654" s="24" t="n">
        <v>0</v>
      </c>
    </row>
    <row r="2655" customFormat="false" ht="15" hidden="false" customHeight="false" outlineLevel="0" collapsed="false">
      <c r="A2655" s="3" t="n">
        <v>2654</v>
      </c>
      <c r="B2655" s="3" t="n">
        <v>2653</v>
      </c>
      <c r="C2655" s="3" t="n">
        <v>3</v>
      </c>
      <c r="D2655" s="3" t="n">
        <v>10</v>
      </c>
      <c r="E2655" s="3" t="n">
        <v>21</v>
      </c>
      <c r="F2655" s="24" t="n">
        <v>0</v>
      </c>
    </row>
    <row r="2656" customFormat="false" ht="15" hidden="false" customHeight="false" outlineLevel="0" collapsed="false">
      <c r="A2656" s="3" t="n">
        <v>2655</v>
      </c>
      <c r="B2656" s="3" t="n">
        <v>2654</v>
      </c>
      <c r="C2656" s="3" t="n">
        <v>3</v>
      </c>
      <c r="D2656" s="3" t="n">
        <v>10</v>
      </c>
      <c r="E2656" s="3" t="n">
        <v>22</v>
      </c>
      <c r="F2656" s="24" t="n">
        <v>0</v>
      </c>
    </row>
    <row r="2657" customFormat="false" ht="15" hidden="false" customHeight="false" outlineLevel="0" collapsed="false">
      <c r="A2657" s="3" t="n">
        <v>2656</v>
      </c>
      <c r="B2657" s="3" t="n">
        <v>2655</v>
      </c>
      <c r="C2657" s="3" t="n">
        <v>3</v>
      </c>
      <c r="D2657" s="3" t="n">
        <v>10</v>
      </c>
      <c r="E2657" s="3" t="n">
        <v>23</v>
      </c>
      <c r="F2657" s="24" t="n">
        <v>0</v>
      </c>
    </row>
    <row r="2658" customFormat="false" ht="15" hidden="false" customHeight="false" outlineLevel="0" collapsed="false">
      <c r="A2658" s="3" t="n">
        <v>2657</v>
      </c>
      <c r="B2658" s="3" t="n">
        <v>2656</v>
      </c>
      <c r="C2658" s="3" t="n">
        <v>3</v>
      </c>
      <c r="D2658" s="3" t="n">
        <v>10</v>
      </c>
      <c r="E2658" s="3" t="n">
        <v>24</v>
      </c>
      <c r="F2658" s="24" t="n">
        <v>0</v>
      </c>
    </row>
    <row r="2659" customFormat="false" ht="15" hidden="false" customHeight="false" outlineLevel="0" collapsed="false">
      <c r="A2659" s="3" t="n">
        <v>2658</v>
      </c>
      <c r="B2659" s="3" t="n">
        <v>2657</v>
      </c>
      <c r="C2659" s="3" t="n">
        <v>3</v>
      </c>
      <c r="D2659" s="3" t="n">
        <v>10</v>
      </c>
      <c r="E2659" s="3" t="n">
        <v>25</v>
      </c>
      <c r="F2659" s="24" t="n">
        <v>0</v>
      </c>
    </row>
    <row r="2660" customFormat="false" ht="15" hidden="false" customHeight="false" outlineLevel="0" collapsed="false">
      <c r="A2660" s="3" t="n">
        <v>2659</v>
      </c>
      <c r="B2660" s="3" t="n">
        <v>2658</v>
      </c>
      <c r="C2660" s="3" t="n">
        <v>3</v>
      </c>
      <c r="D2660" s="3" t="n">
        <v>10</v>
      </c>
      <c r="E2660" s="3" t="n">
        <v>26</v>
      </c>
      <c r="F2660" s="24" t="n">
        <v>0</v>
      </c>
    </row>
    <row r="2661" customFormat="false" ht="15" hidden="false" customHeight="false" outlineLevel="0" collapsed="false">
      <c r="A2661" s="3" t="n">
        <v>2660</v>
      </c>
      <c r="B2661" s="3" t="n">
        <v>2659</v>
      </c>
      <c r="C2661" s="3" t="n">
        <v>3</v>
      </c>
      <c r="D2661" s="3" t="n">
        <v>10</v>
      </c>
      <c r="E2661" s="3" t="n">
        <v>27</v>
      </c>
      <c r="F2661" s="24" t="n">
        <v>0</v>
      </c>
    </row>
    <row r="2662" customFormat="false" ht="15" hidden="false" customHeight="false" outlineLevel="0" collapsed="false">
      <c r="A2662" s="3" t="n">
        <v>2661</v>
      </c>
      <c r="B2662" s="3" t="n">
        <v>2660</v>
      </c>
      <c r="C2662" s="3" t="n">
        <v>3</v>
      </c>
      <c r="D2662" s="3" t="n">
        <v>11</v>
      </c>
      <c r="E2662" s="3" t="n">
        <v>0</v>
      </c>
      <c r="F2662" s="24" t="n">
        <v>0.0962923914</v>
      </c>
    </row>
    <row r="2663" customFormat="false" ht="15" hidden="false" customHeight="false" outlineLevel="0" collapsed="false">
      <c r="A2663" s="3" t="n">
        <v>2662</v>
      </c>
      <c r="B2663" s="3" t="n">
        <v>2661</v>
      </c>
      <c r="C2663" s="3" t="n">
        <v>3</v>
      </c>
      <c r="D2663" s="3" t="n">
        <v>11</v>
      </c>
      <c r="E2663" s="3" t="n">
        <v>1</v>
      </c>
      <c r="F2663" s="24" t="n">
        <v>0</v>
      </c>
    </row>
    <row r="2664" customFormat="false" ht="15" hidden="false" customHeight="false" outlineLevel="0" collapsed="false">
      <c r="A2664" s="3" t="n">
        <v>2663</v>
      </c>
      <c r="B2664" s="3" t="n">
        <v>2662</v>
      </c>
      <c r="C2664" s="3" t="n">
        <v>3</v>
      </c>
      <c r="D2664" s="3" t="n">
        <v>11</v>
      </c>
      <c r="E2664" s="3" t="n">
        <v>2</v>
      </c>
      <c r="F2664" s="24" t="n">
        <v>0</v>
      </c>
    </row>
    <row r="2665" customFormat="false" ht="15" hidden="false" customHeight="false" outlineLevel="0" collapsed="false">
      <c r="A2665" s="3" t="n">
        <v>2664</v>
      </c>
      <c r="B2665" s="3" t="n">
        <v>2663</v>
      </c>
      <c r="C2665" s="3" t="n">
        <v>3</v>
      </c>
      <c r="D2665" s="3" t="n">
        <v>11</v>
      </c>
      <c r="E2665" s="3" t="n">
        <v>3</v>
      </c>
      <c r="F2665" s="24" t="n">
        <v>0</v>
      </c>
    </row>
    <row r="2666" customFormat="false" ht="15" hidden="false" customHeight="false" outlineLevel="0" collapsed="false">
      <c r="A2666" s="3" t="n">
        <v>2665</v>
      </c>
      <c r="B2666" s="3" t="n">
        <v>2664</v>
      </c>
      <c r="C2666" s="3" t="n">
        <v>3</v>
      </c>
      <c r="D2666" s="3" t="n">
        <v>11</v>
      </c>
      <c r="E2666" s="3" t="n">
        <v>4</v>
      </c>
      <c r="F2666" s="24" t="n">
        <v>0</v>
      </c>
    </row>
    <row r="2667" customFormat="false" ht="15" hidden="false" customHeight="false" outlineLevel="0" collapsed="false">
      <c r="A2667" s="3" t="n">
        <v>2666</v>
      </c>
      <c r="B2667" s="3" t="n">
        <v>2665</v>
      </c>
      <c r="C2667" s="3" t="n">
        <v>3</v>
      </c>
      <c r="D2667" s="3" t="n">
        <v>11</v>
      </c>
      <c r="E2667" s="3" t="n">
        <v>5</v>
      </c>
      <c r="F2667" s="24" t="n">
        <v>0</v>
      </c>
    </row>
    <row r="2668" customFormat="false" ht="15" hidden="false" customHeight="false" outlineLevel="0" collapsed="false">
      <c r="A2668" s="3" t="n">
        <v>2667</v>
      </c>
      <c r="B2668" s="3" t="n">
        <v>2666</v>
      </c>
      <c r="C2668" s="3" t="n">
        <v>3</v>
      </c>
      <c r="D2668" s="3" t="n">
        <v>11</v>
      </c>
      <c r="E2668" s="3" t="n">
        <v>6</v>
      </c>
      <c r="F2668" s="24" t="n">
        <v>0</v>
      </c>
    </row>
    <row r="2669" customFormat="false" ht="15" hidden="false" customHeight="false" outlineLevel="0" collapsed="false">
      <c r="A2669" s="3" t="n">
        <v>2668</v>
      </c>
      <c r="B2669" s="3" t="n">
        <v>2667</v>
      </c>
      <c r="C2669" s="3" t="n">
        <v>3</v>
      </c>
      <c r="D2669" s="3" t="n">
        <v>11</v>
      </c>
      <c r="E2669" s="3" t="n">
        <v>7</v>
      </c>
      <c r="F2669" s="24" t="n">
        <v>0</v>
      </c>
    </row>
    <row r="2670" customFormat="false" ht="15" hidden="false" customHeight="false" outlineLevel="0" collapsed="false">
      <c r="A2670" s="3" t="n">
        <v>2669</v>
      </c>
      <c r="B2670" s="3" t="n">
        <v>2668</v>
      </c>
      <c r="C2670" s="3" t="n">
        <v>3</v>
      </c>
      <c r="D2670" s="3" t="n">
        <v>11</v>
      </c>
      <c r="E2670" s="3" t="n">
        <v>8</v>
      </c>
      <c r="F2670" s="24" t="n">
        <v>0</v>
      </c>
    </row>
    <row r="2671" customFormat="false" ht="15" hidden="false" customHeight="false" outlineLevel="0" collapsed="false">
      <c r="A2671" s="3" t="n">
        <v>2670</v>
      </c>
      <c r="B2671" s="3" t="n">
        <v>2669</v>
      </c>
      <c r="C2671" s="3" t="n">
        <v>3</v>
      </c>
      <c r="D2671" s="3" t="n">
        <v>11</v>
      </c>
      <c r="E2671" s="3" t="n">
        <v>9</v>
      </c>
      <c r="F2671" s="24" t="n">
        <v>0</v>
      </c>
    </row>
    <row r="2672" customFormat="false" ht="15" hidden="false" customHeight="false" outlineLevel="0" collapsed="false">
      <c r="A2672" s="3" t="n">
        <v>2671</v>
      </c>
      <c r="B2672" s="3" t="n">
        <v>2670</v>
      </c>
      <c r="C2672" s="3" t="n">
        <v>3</v>
      </c>
      <c r="D2672" s="3" t="n">
        <v>11</v>
      </c>
      <c r="E2672" s="3" t="n">
        <v>10</v>
      </c>
      <c r="F2672" s="24" t="n">
        <v>0</v>
      </c>
    </row>
    <row r="2673" customFormat="false" ht="15" hidden="false" customHeight="false" outlineLevel="0" collapsed="false">
      <c r="A2673" s="3" t="n">
        <v>2672</v>
      </c>
      <c r="B2673" s="3" t="n">
        <v>2671</v>
      </c>
      <c r="C2673" s="3" t="n">
        <v>3</v>
      </c>
      <c r="D2673" s="3" t="n">
        <v>11</v>
      </c>
      <c r="E2673" s="3" t="n">
        <v>11</v>
      </c>
      <c r="F2673" s="24" t="n">
        <v>0</v>
      </c>
    </row>
    <row r="2674" customFormat="false" ht="15" hidden="false" customHeight="false" outlineLevel="0" collapsed="false">
      <c r="A2674" s="3" t="n">
        <v>2673</v>
      </c>
      <c r="B2674" s="3" t="n">
        <v>2672</v>
      </c>
      <c r="C2674" s="3" t="n">
        <v>3</v>
      </c>
      <c r="D2674" s="3" t="n">
        <v>11</v>
      </c>
      <c r="E2674" s="3" t="n">
        <v>12</v>
      </c>
      <c r="F2674" s="24" t="n">
        <v>0</v>
      </c>
    </row>
    <row r="2675" customFormat="false" ht="15" hidden="false" customHeight="false" outlineLevel="0" collapsed="false">
      <c r="A2675" s="3" t="n">
        <v>2674</v>
      </c>
      <c r="B2675" s="3" t="n">
        <v>2673</v>
      </c>
      <c r="C2675" s="3" t="n">
        <v>3</v>
      </c>
      <c r="D2675" s="3" t="n">
        <v>11</v>
      </c>
      <c r="E2675" s="3" t="n">
        <v>13</v>
      </c>
      <c r="F2675" s="24" t="n">
        <v>0</v>
      </c>
    </row>
    <row r="2676" customFormat="false" ht="15" hidden="false" customHeight="false" outlineLevel="0" collapsed="false">
      <c r="A2676" s="3" t="n">
        <v>2675</v>
      </c>
      <c r="B2676" s="3" t="n">
        <v>2674</v>
      </c>
      <c r="C2676" s="3" t="n">
        <v>3</v>
      </c>
      <c r="D2676" s="3" t="n">
        <v>11</v>
      </c>
      <c r="E2676" s="3" t="n">
        <v>14</v>
      </c>
      <c r="F2676" s="24" t="n">
        <v>0</v>
      </c>
    </row>
    <row r="2677" customFormat="false" ht="15" hidden="false" customHeight="false" outlineLevel="0" collapsed="false">
      <c r="A2677" s="3" t="n">
        <v>2676</v>
      </c>
      <c r="B2677" s="3" t="n">
        <v>2675</v>
      </c>
      <c r="C2677" s="3" t="n">
        <v>3</v>
      </c>
      <c r="D2677" s="3" t="n">
        <v>11</v>
      </c>
      <c r="E2677" s="3" t="n">
        <v>15</v>
      </c>
      <c r="F2677" s="24" t="n">
        <v>0</v>
      </c>
    </row>
    <row r="2678" customFormat="false" ht="15" hidden="false" customHeight="false" outlineLevel="0" collapsed="false">
      <c r="A2678" s="3" t="n">
        <v>2677</v>
      </c>
      <c r="B2678" s="3" t="n">
        <v>2676</v>
      </c>
      <c r="C2678" s="3" t="n">
        <v>3</v>
      </c>
      <c r="D2678" s="3" t="n">
        <v>11</v>
      </c>
      <c r="E2678" s="3" t="n">
        <v>16</v>
      </c>
      <c r="F2678" s="24" t="n">
        <v>0</v>
      </c>
    </row>
    <row r="2679" customFormat="false" ht="15" hidden="false" customHeight="false" outlineLevel="0" collapsed="false">
      <c r="A2679" s="3" t="n">
        <v>2678</v>
      </c>
      <c r="B2679" s="3" t="n">
        <v>2677</v>
      </c>
      <c r="C2679" s="3" t="n">
        <v>3</v>
      </c>
      <c r="D2679" s="3" t="n">
        <v>11</v>
      </c>
      <c r="E2679" s="3" t="n">
        <v>17</v>
      </c>
      <c r="F2679" s="24" t="n">
        <v>0.812781811</v>
      </c>
    </row>
    <row r="2680" customFormat="false" ht="15" hidden="false" customHeight="false" outlineLevel="0" collapsed="false">
      <c r="A2680" s="3" t="n">
        <v>2679</v>
      </c>
      <c r="B2680" s="3" t="n">
        <v>2678</v>
      </c>
      <c r="C2680" s="3" t="n">
        <v>3</v>
      </c>
      <c r="D2680" s="3" t="n">
        <v>11</v>
      </c>
      <c r="E2680" s="3" t="n">
        <v>18</v>
      </c>
      <c r="F2680" s="24" t="n">
        <v>0.750602424</v>
      </c>
    </row>
    <row r="2681" customFormat="false" ht="15" hidden="false" customHeight="false" outlineLevel="0" collapsed="false">
      <c r="A2681" s="3" t="n">
        <v>2680</v>
      </c>
      <c r="B2681" s="3" t="n">
        <v>2679</v>
      </c>
      <c r="C2681" s="3" t="n">
        <v>3</v>
      </c>
      <c r="D2681" s="3" t="n">
        <v>11</v>
      </c>
      <c r="E2681" s="3" t="n">
        <v>19</v>
      </c>
      <c r="F2681" s="24" t="n">
        <v>0</v>
      </c>
    </row>
    <row r="2682" customFormat="false" ht="15" hidden="false" customHeight="false" outlineLevel="0" collapsed="false">
      <c r="A2682" s="3" t="n">
        <v>2681</v>
      </c>
      <c r="B2682" s="3" t="n">
        <v>2680</v>
      </c>
      <c r="C2682" s="3" t="n">
        <v>3</v>
      </c>
      <c r="D2682" s="3" t="n">
        <v>11</v>
      </c>
      <c r="E2682" s="3" t="n">
        <v>20</v>
      </c>
      <c r="F2682" s="24" t="n">
        <v>0</v>
      </c>
    </row>
    <row r="2683" customFormat="false" ht="15" hidden="false" customHeight="false" outlineLevel="0" collapsed="false">
      <c r="A2683" s="3" t="n">
        <v>2682</v>
      </c>
      <c r="B2683" s="3" t="n">
        <v>2681</v>
      </c>
      <c r="C2683" s="3" t="n">
        <v>3</v>
      </c>
      <c r="D2683" s="3" t="n">
        <v>11</v>
      </c>
      <c r="E2683" s="3" t="n">
        <v>21</v>
      </c>
      <c r="F2683" s="24" t="n">
        <v>0</v>
      </c>
    </row>
    <row r="2684" customFormat="false" ht="15" hidden="false" customHeight="false" outlineLevel="0" collapsed="false">
      <c r="A2684" s="3" t="n">
        <v>2683</v>
      </c>
      <c r="B2684" s="3" t="n">
        <v>2682</v>
      </c>
      <c r="C2684" s="3" t="n">
        <v>3</v>
      </c>
      <c r="D2684" s="3" t="n">
        <v>11</v>
      </c>
      <c r="E2684" s="3" t="n">
        <v>22</v>
      </c>
      <c r="F2684" s="24" t="n">
        <v>0</v>
      </c>
    </row>
    <row r="2685" customFormat="false" ht="15" hidden="false" customHeight="false" outlineLevel="0" collapsed="false">
      <c r="A2685" s="3" t="n">
        <v>2684</v>
      </c>
      <c r="B2685" s="3" t="n">
        <v>2683</v>
      </c>
      <c r="C2685" s="3" t="n">
        <v>3</v>
      </c>
      <c r="D2685" s="3" t="n">
        <v>11</v>
      </c>
      <c r="E2685" s="3" t="n">
        <v>23</v>
      </c>
      <c r="F2685" s="24" t="n">
        <v>0</v>
      </c>
    </row>
    <row r="2686" customFormat="false" ht="15" hidden="false" customHeight="false" outlineLevel="0" collapsed="false">
      <c r="A2686" s="3" t="n">
        <v>2685</v>
      </c>
      <c r="B2686" s="3" t="n">
        <v>2684</v>
      </c>
      <c r="C2686" s="3" t="n">
        <v>3</v>
      </c>
      <c r="D2686" s="3" t="n">
        <v>11</v>
      </c>
      <c r="E2686" s="3" t="n">
        <v>24</v>
      </c>
      <c r="F2686" s="24" t="n">
        <v>0</v>
      </c>
    </row>
    <row r="2687" customFormat="false" ht="15" hidden="false" customHeight="false" outlineLevel="0" collapsed="false">
      <c r="A2687" s="3" t="n">
        <v>2686</v>
      </c>
      <c r="B2687" s="3" t="n">
        <v>2685</v>
      </c>
      <c r="C2687" s="3" t="n">
        <v>3</v>
      </c>
      <c r="D2687" s="3" t="n">
        <v>11</v>
      </c>
      <c r="E2687" s="3" t="n">
        <v>25</v>
      </c>
      <c r="F2687" s="24" t="n">
        <v>0</v>
      </c>
    </row>
    <row r="2688" customFormat="false" ht="15" hidden="false" customHeight="false" outlineLevel="0" collapsed="false">
      <c r="A2688" s="3" t="n">
        <v>2687</v>
      </c>
      <c r="B2688" s="3" t="n">
        <v>2686</v>
      </c>
      <c r="C2688" s="3" t="n">
        <v>3</v>
      </c>
      <c r="D2688" s="3" t="n">
        <v>11</v>
      </c>
      <c r="E2688" s="3" t="n">
        <v>26</v>
      </c>
      <c r="F2688" s="24" t="n">
        <v>0</v>
      </c>
    </row>
    <row r="2689" customFormat="false" ht="15" hidden="false" customHeight="false" outlineLevel="0" collapsed="false">
      <c r="A2689" s="3" t="n">
        <v>2688</v>
      </c>
      <c r="B2689" s="3" t="n">
        <v>2687</v>
      </c>
      <c r="C2689" s="3" t="n">
        <v>3</v>
      </c>
      <c r="D2689" s="3" t="n">
        <v>11</v>
      </c>
      <c r="E2689" s="3" t="n">
        <v>27</v>
      </c>
      <c r="F2689" s="24" t="n">
        <v>0</v>
      </c>
    </row>
    <row r="2690" customFormat="false" ht="15" hidden="false" customHeight="false" outlineLevel="0" collapsed="false">
      <c r="A2690" s="3" t="n">
        <v>2689</v>
      </c>
      <c r="B2690" s="3" t="n">
        <v>2688</v>
      </c>
      <c r="C2690" s="3" t="n">
        <v>3</v>
      </c>
      <c r="D2690" s="3" t="n">
        <v>12</v>
      </c>
      <c r="E2690" s="3" t="n">
        <v>0</v>
      </c>
      <c r="F2690" s="24" t="n">
        <v>0.0962923914</v>
      </c>
    </row>
    <row r="2691" customFormat="false" ht="15" hidden="false" customHeight="false" outlineLevel="0" collapsed="false">
      <c r="A2691" s="3" t="n">
        <v>2690</v>
      </c>
      <c r="B2691" s="3" t="n">
        <v>2689</v>
      </c>
      <c r="C2691" s="3" t="n">
        <v>3</v>
      </c>
      <c r="D2691" s="3" t="n">
        <v>12</v>
      </c>
      <c r="E2691" s="3" t="n">
        <v>1</v>
      </c>
      <c r="F2691" s="24" t="n">
        <v>0</v>
      </c>
    </row>
    <row r="2692" customFormat="false" ht="15" hidden="false" customHeight="false" outlineLevel="0" collapsed="false">
      <c r="A2692" s="3" t="n">
        <v>2691</v>
      </c>
      <c r="B2692" s="3" t="n">
        <v>2690</v>
      </c>
      <c r="C2692" s="3" t="n">
        <v>3</v>
      </c>
      <c r="D2692" s="3" t="n">
        <v>12</v>
      </c>
      <c r="E2692" s="3" t="n">
        <v>2</v>
      </c>
      <c r="F2692" s="24" t="n">
        <v>0</v>
      </c>
    </row>
    <row r="2693" customFormat="false" ht="15" hidden="false" customHeight="false" outlineLevel="0" collapsed="false">
      <c r="A2693" s="3" t="n">
        <v>2692</v>
      </c>
      <c r="B2693" s="3" t="n">
        <v>2691</v>
      </c>
      <c r="C2693" s="3" t="n">
        <v>3</v>
      </c>
      <c r="D2693" s="3" t="n">
        <v>12</v>
      </c>
      <c r="E2693" s="3" t="n">
        <v>3</v>
      </c>
      <c r="F2693" s="24" t="n">
        <v>0</v>
      </c>
    </row>
    <row r="2694" customFormat="false" ht="15" hidden="false" customHeight="false" outlineLevel="0" collapsed="false">
      <c r="A2694" s="3" t="n">
        <v>2693</v>
      </c>
      <c r="B2694" s="3" t="n">
        <v>2692</v>
      </c>
      <c r="C2694" s="3" t="n">
        <v>3</v>
      </c>
      <c r="D2694" s="3" t="n">
        <v>12</v>
      </c>
      <c r="E2694" s="3" t="n">
        <v>4</v>
      </c>
      <c r="F2694" s="24" t="n">
        <v>0</v>
      </c>
    </row>
    <row r="2695" customFormat="false" ht="15" hidden="false" customHeight="false" outlineLevel="0" collapsed="false">
      <c r="A2695" s="3" t="n">
        <v>2694</v>
      </c>
      <c r="B2695" s="3" t="n">
        <v>2693</v>
      </c>
      <c r="C2695" s="3" t="n">
        <v>3</v>
      </c>
      <c r="D2695" s="3" t="n">
        <v>12</v>
      </c>
      <c r="E2695" s="3" t="n">
        <v>5</v>
      </c>
      <c r="F2695" s="24" t="n">
        <v>0</v>
      </c>
    </row>
    <row r="2696" customFormat="false" ht="15" hidden="false" customHeight="false" outlineLevel="0" collapsed="false">
      <c r="A2696" s="3" t="n">
        <v>2695</v>
      </c>
      <c r="B2696" s="3" t="n">
        <v>2694</v>
      </c>
      <c r="C2696" s="3" t="n">
        <v>3</v>
      </c>
      <c r="D2696" s="3" t="n">
        <v>12</v>
      </c>
      <c r="E2696" s="3" t="n">
        <v>6</v>
      </c>
      <c r="F2696" s="24" t="n">
        <v>0</v>
      </c>
    </row>
    <row r="2697" customFormat="false" ht="15" hidden="false" customHeight="false" outlineLevel="0" collapsed="false">
      <c r="A2697" s="3" t="n">
        <v>2696</v>
      </c>
      <c r="B2697" s="3" t="n">
        <v>2695</v>
      </c>
      <c r="C2697" s="3" t="n">
        <v>3</v>
      </c>
      <c r="D2697" s="3" t="n">
        <v>12</v>
      </c>
      <c r="E2697" s="3" t="n">
        <v>7</v>
      </c>
      <c r="F2697" s="24" t="n">
        <v>0</v>
      </c>
    </row>
    <row r="2698" customFormat="false" ht="15" hidden="false" customHeight="false" outlineLevel="0" collapsed="false">
      <c r="A2698" s="3" t="n">
        <v>2697</v>
      </c>
      <c r="B2698" s="3" t="n">
        <v>2696</v>
      </c>
      <c r="C2698" s="3" t="n">
        <v>3</v>
      </c>
      <c r="D2698" s="3" t="n">
        <v>12</v>
      </c>
      <c r="E2698" s="3" t="n">
        <v>8</v>
      </c>
      <c r="F2698" s="24" t="n">
        <v>0</v>
      </c>
    </row>
    <row r="2699" customFormat="false" ht="15" hidden="false" customHeight="false" outlineLevel="0" collapsed="false">
      <c r="A2699" s="3" t="n">
        <v>2698</v>
      </c>
      <c r="B2699" s="3" t="n">
        <v>2697</v>
      </c>
      <c r="C2699" s="3" t="n">
        <v>3</v>
      </c>
      <c r="D2699" s="3" t="n">
        <v>12</v>
      </c>
      <c r="E2699" s="3" t="n">
        <v>9</v>
      </c>
      <c r="F2699" s="24" t="n">
        <v>0</v>
      </c>
    </row>
    <row r="2700" customFormat="false" ht="15" hidden="false" customHeight="false" outlineLevel="0" collapsed="false">
      <c r="A2700" s="3" t="n">
        <v>2699</v>
      </c>
      <c r="B2700" s="3" t="n">
        <v>2698</v>
      </c>
      <c r="C2700" s="3" t="n">
        <v>3</v>
      </c>
      <c r="D2700" s="3" t="n">
        <v>12</v>
      </c>
      <c r="E2700" s="3" t="n">
        <v>10</v>
      </c>
      <c r="F2700" s="24" t="n">
        <v>0</v>
      </c>
    </row>
    <row r="2701" customFormat="false" ht="15" hidden="false" customHeight="false" outlineLevel="0" collapsed="false">
      <c r="A2701" s="3" t="n">
        <v>2700</v>
      </c>
      <c r="B2701" s="3" t="n">
        <v>2699</v>
      </c>
      <c r="C2701" s="3" t="n">
        <v>3</v>
      </c>
      <c r="D2701" s="3" t="n">
        <v>12</v>
      </c>
      <c r="E2701" s="3" t="n">
        <v>11</v>
      </c>
      <c r="F2701" s="24" t="n">
        <v>0</v>
      </c>
    </row>
    <row r="2702" customFormat="false" ht="15" hidden="false" customHeight="false" outlineLevel="0" collapsed="false">
      <c r="A2702" s="3" t="n">
        <v>2701</v>
      </c>
      <c r="B2702" s="3" t="n">
        <v>2700</v>
      </c>
      <c r="C2702" s="3" t="n">
        <v>3</v>
      </c>
      <c r="D2702" s="3" t="n">
        <v>12</v>
      </c>
      <c r="E2702" s="3" t="n">
        <v>12</v>
      </c>
      <c r="F2702" s="24" t="n">
        <v>0</v>
      </c>
    </row>
    <row r="2703" customFormat="false" ht="15" hidden="false" customHeight="false" outlineLevel="0" collapsed="false">
      <c r="A2703" s="3" t="n">
        <v>2702</v>
      </c>
      <c r="B2703" s="3" t="n">
        <v>2701</v>
      </c>
      <c r="C2703" s="3" t="n">
        <v>3</v>
      </c>
      <c r="D2703" s="3" t="n">
        <v>12</v>
      </c>
      <c r="E2703" s="3" t="n">
        <v>13</v>
      </c>
      <c r="F2703" s="24" t="n">
        <v>0</v>
      </c>
    </row>
    <row r="2704" customFormat="false" ht="15" hidden="false" customHeight="false" outlineLevel="0" collapsed="false">
      <c r="A2704" s="3" t="n">
        <v>2703</v>
      </c>
      <c r="B2704" s="3" t="n">
        <v>2702</v>
      </c>
      <c r="C2704" s="3" t="n">
        <v>3</v>
      </c>
      <c r="D2704" s="3" t="n">
        <v>12</v>
      </c>
      <c r="E2704" s="3" t="n">
        <v>14</v>
      </c>
      <c r="F2704" s="24" t="n">
        <v>0</v>
      </c>
    </row>
    <row r="2705" customFormat="false" ht="15" hidden="false" customHeight="false" outlineLevel="0" collapsed="false">
      <c r="A2705" s="3" t="n">
        <v>2704</v>
      </c>
      <c r="B2705" s="3" t="n">
        <v>2703</v>
      </c>
      <c r="C2705" s="3" t="n">
        <v>3</v>
      </c>
      <c r="D2705" s="3" t="n">
        <v>12</v>
      </c>
      <c r="E2705" s="3" t="n">
        <v>15</v>
      </c>
      <c r="F2705" s="24" t="n">
        <v>0</v>
      </c>
    </row>
    <row r="2706" customFormat="false" ht="15" hidden="false" customHeight="false" outlineLevel="0" collapsed="false">
      <c r="A2706" s="3" t="n">
        <v>2705</v>
      </c>
      <c r="B2706" s="3" t="n">
        <v>2704</v>
      </c>
      <c r="C2706" s="3" t="n">
        <v>3</v>
      </c>
      <c r="D2706" s="3" t="n">
        <v>12</v>
      </c>
      <c r="E2706" s="3" t="n">
        <v>16</v>
      </c>
      <c r="F2706" s="24" t="n">
        <v>0.848452985</v>
      </c>
    </row>
    <row r="2707" customFormat="false" ht="15" hidden="false" customHeight="false" outlineLevel="0" collapsed="false">
      <c r="A2707" s="3" t="n">
        <v>2706</v>
      </c>
      <c r="B2707" s="3" t="n">
        <v>2705</v>
      </c>
      <c r="C2707" s="3" t="n">
        <v>3</v>
      </c>
      <c r="D2707" s="3" t="n">
        <v>12</v>
      </c>
      <c r="E2707" s="3" t="n">
        <v>17</v>
      </c>
      <c r="F2707" s="24" t="n">
        <v>2.22984934</v>
      </c>
    </row>
    <row r="2708" customFormat="false" ht="15" hidden="false" customHeight="false" outlineLevel="0" collapsed="false">
      <c r="A2708" s="3" t="n">
        <v>2707</v>
      </c>
      <c r="B2708" s="3" t="n">
        <v>2706</v>
      </c>
      <c r="C2708" s="3" t="n">
        <v>3</v>
      </c>
      <c r="D2708" s="3" t="n">
        <v>12</v>
      </c>
      <c r="E2708" s="3" t="n">
        <v>18</v>
      </c>
      <c r="F2708" s="24" t="n">
        <v>0.733379602</v>
      </c>
    </row>
    <row r="2709" customFormat="false" ht="15" hidden="false" customHeight="false" outlineLevel="0" collapsed="false">
      <c r="A2709" s="3" t="n">
        <v>2708</v>
      </c>
      <c r="B2709" s="3" t="n">
        <v>2707</v>
      </c>
      <c r="C2709" s="3" t="n">
        <v>3</v>
      </c>
      <c r="D2709" s="3" t="n">
        <v>12</v>
      </c>
      <c r="E2709" s="3" t="n">
        <v>19</v>
      </c>
      <c r="F2709" s="24" t="n">
        <v>0</v>
      </c>
    </row>
    <row r="2710" customFormat="false" ht="15" hidden="false" customHeight="false" outlineLevel="0" collapsed="false">
      <c r="A2710" s="3" t="n">
        <v>2709</v>
      </c>
      <c r="B2710" s="3" t="n">
        <v>2708</v>
      </c>
      <c r="C2710" s="3" t="n">
        <v>3</v>
      </c>
      <c r="D2710" s="3" t="n">
        <v>12</v>
      </c>
      <c r="E2710" s="3" t="n">
        <v>20</v>
      </c>
      <c r="F2710" s="24" t="n">
        <v>0</v>
      </c>
    </row>
    <row r="2711" customFormat="false" ht="15" hidden="false" customHeight="false" outlineLevel="0" collapsed="false">
      <c r="A2711" s="3" t="n">
        <v>2710</v>
      </c>
      <c r="B2711" s="3" t="n">
        <v>2709</v>
      </c>
      <c r="C2711" s="3" t="n">
        <v>3</v>
      </c>
      <c r="D2711" s="3" t="n">
        <v>12</v>
      </c>
      <c r="E2711" s="3" t="n">
        <v>21</v>
      </c>
      <c r="F2711" s="24" t="n">
        <v>0</v>
      </c>
    </row>
    <row r="2712" customFormat="false" ht="15" hidden="false" customHeight="false" outlineLevel="0" collapsed="false">
      <c r="A2712" s="3" t="n">
        <v>2711</v>
      </c>
      <c r="B2712" s="3" t="n">
        <v>2710</v>
      </c>
      <c r="C2712" s="3" t="n">
        <v>3</v>
      </c>
      <c r="D2712" s="3" t="n">
        <v>12</v>
      </c>
      <c r="E2712" s="3" t="n">
        <v>22</v>
      </c>
      <c r="F2712" s="24" t="n">
        <v>0</v>
      </c>
    </row>
    <row r="2713" customFormat="false" ht="15" hidden="false" customHeight="false" outlineLevel="0" collapsed="false">
      <c r="A2713" s="3" t="n">
        <v>2712</v>
      </c>
      <c r="B2713" s="3" t="n">
        <v>2711</v>
      </c>
      <c r="C2713" s="3" t="n">
        <v>3</v>
      </c>
      <c r="D2713" s="3" t="n">
        <v>12</v>
      </c>
      <c r="E2713" s="3" t="n">
        <v>23</v>
      </c>
      <c r="F2713" s="24" t="n">
        <v>0</v>
      </c>
    </row>
    <row r="2714" customFormat="false" ht="15" hidden="false" customHeight="false" outlineLevel="0" collapsed="false">
      <c r="A2714" s="3" t="n">
        <v>2713</v>
      </c>
      <c r="B2714" s="3" t="n">
        <v>2712</v>
      </c>
      <c r="C2714" s="3" t="n">
        <v>3</v>
      </c>
      <c r="D2714" s="3" t="n">
        <v>12</v>
      </c>
      <c r="E2714" s="3" t="n">
        <v>24</v>
      </c>
      <c r="F2714" s="24" t="n">
        <v>0</v>
      </c>
    </row>
    <row r="2715" customFormat="false" ht="15" hidden="false" customHeight="false" outlineLevel="0" collapsed="false">
      <c r="A2715" s="3" t="n">
        <v>2714</v>
      </c>
      <c r="B2715" s="3" t="n">
        <v>2713</v>
      </c>
      <c r="C2715" s="3" t="n">
        <v>3</v>
      </c>
      <c r="D2715" s="3" t="n">
        <v>12</v>
      </c>
      <c r="E2715" s="3" t="n">
        <v>25</v>
      </c>
      <c r="F2715" s="24" t="n">
        <v>0</v>
      </c>
    </row>
    <row r="2716" customFormat="false" ht="15" hidden="false" customHeight="false" outlineLevel="0" collapsed="false">
      <c r="A2716" s="3" t="n">
        <v>2715</v>
      </c>
      <c r="B2716" s="3" t="n">
        <v>2714</v>
      </c>
      <c r="C2716" s="3" t="n">
        <v>3</v>
      </c>
      <c r="D2716" s="3" t="n">
        <v>12</v>
      </c>
      <c r="E2716" s="3" t="n">
        <v>26</v>
      </c>
      <c r="F2716" s="24" t="n">
        <v>0</v>
      </c>
    </row>
    <row r="2717" customFormat="false" ht="15" hidden="false" customHeight="false" outlineLevel="0" collapsed="false">
      <c r="A2717" s="3" t="n">
        <v>2716</v>
      </c>
      <c r="B2717" s="3" t="n">
        <v>2715</v>
      </c>
      <c r="C2717" s="3" t="n">
        <v>3</v>
      </c>
      <c r="D2717" s="3" t="n">
        <v>12</v>
      </c>
      <c r="E2717" s="3" t="n">
        <v>27</v>
      </c>
      <c r="F2717" s="24" t="n">
        <v>0</v>
      </c>
    </row>
    <row r="2718" customFormat="false" ht="15" hidden="false" customHeight="false" outlineLevel="0" collapsed="false">
      <c r="A2718" s="3" t="n">
        <v>2717</v>
      </c>
      <c r="B2718" s="3" t="n">
        <v>2716</v>
      </c>
      <c r="C2718" s="3" t="n">
        <v>3</v>
      </c>
      <c r="D2718" s="3" t="n">
        <v>13</v>
      </c>
      <c r="E2718" s="3" t="n">
        <v>0</v>
      </c>
      <c r="F2718" s="24" t="n">
        <v>0.0962923914</v>
      </c>
    </row>
    <row r="2719" customFormat="false" ht="15" hidden="false" customHeight="false" outlineLevel="0" collapsed="false">
      <c r="A2719" s="3" t="n">
        <v>2718</v>
      </c>
      <c r="B2719" s="3" t="n">
        <v>2717</v>
      </c>
      <c r="C2719" s="3" t="n">
        <v>3</v>
      </c>
      <c r="D2719" s="3" t="n">
        <v>13</v>
      </c>
      <c r="E2719" s="3" t="n">
        <v>1</v>
      </c>
      <c r="F2719" s="24" t="n">
        <v>0</v>
      </c>
    </row>
    <row r="2720" customFormat="false" ht="15" hidden="false" customHeight="false" outlineLevel="0" collapsed="false">
      <c r="A2720" s="3" t="n">
        <v>2719</v>
      </c>
      <c r="B2720" s="3" t="n">
        <v>2718</v>
      </c>
      <c r="C2720" s="3" t="n">
        <v>3</v>
      </c>
      <c r="D2720" s="3" t="n">
        <v>13</v>
      </c>
      <c r="E2720" s="3" t="n">
        <v>2</v>
      </c>
      <c r="F2720" s="24" t="n">
        <v>0</v>
      </c>
    </row>
    <row r="2721" customFormat="false" ht="15" hidden="false" customHeight="false" outlineLevel="0" collapsed="false">
      <c r="A2721" s="3" t="n">
        <v>2720</v>
      </c>
      <c r="B2721" s="3" t="n">
        <v>2719</v>
      </c>
      <c r="C2721" s="3" t="n">
        <v>3</v>
      </c>
      <c r="D2721" s="3" t="n">
        <v>13</v>
      </c>
      <c r="E2721" s="3" t="n">
        <v>3</v>
      </c>
      <c r="F2721" s="24" t="n">
        <v>0</v>
      </c>
    </row>
    <row r="2722" customFormat="false" ht="15" hidden="false" customHeight="false" outlineLevel="0" collapsed="false">
      <c r="A2722" s="3" t="n">
        <v>2721</v>
      </c>
      <c r="B2722" s="3" t="n">
        <v>2720</v>
      </c>
      <c r="C2722" s="3" t="n">
        <v>3</v>
      </c>
      <c r="D2722" s="3" t="n">
        <v>13</v>
      </c>
      <c r="E2722" s="3" t="n">
        <v>4</v>
      </c>
      <c r="F2722" s="24" t="n">
        <v>0</v>
      </c>
    </row>
    <row r="2723" customFormat="false" ht="15" hidden="false" customHeight="false" outlineLevel="0" collapsed="false">
      <c r="A2723" s="3" t="n">
        <v>2722</v>
      </c>
      <c r="B2723" s="3" t="n">
        <v>2721</v>
      </c>
      <c r="C2723" s="3" t="n">
        <v>3</v>
      </c>
      <c r="D2723" s="3" t="n">
        <v>13</v>
      </c>
      <c r="E2723" s="3" t="n">
        <v>5</v>
      </c>
      <c r="F2723" s="24" t="n">
        <v>0</v>
      </c>
    </row>
    <row r="2724" customFormat="false" ht="15" hidden="false" customHeight="false" outlineLevel="0" collapsed="false">
      <c r="A2724" s="3" t="n">
        <v>2723</v>
      </c>
      <c r="B2724" s="3" t="n">
        <v>2722</v>
      </c>
      <c r="C2724" s="3" t="n">
        <v>3</v>
      </c>
      <c r="D2724" s="3" t="n">
        <v>13</v>
      </c>
      <c r="E2724" s="3" t="n">
        <v>6</v>
      </c>
      <c r="F2724" s="24" t="n">
        <v>0</v>
      </c>
    </row>
    <row r="2725" customFormat="false" ht="15" hidden="false" customHeight="false" outlineLevel="0" collapsed="false">
      <c r="A2725" s="3" t="n">
        <v>2724</v>
      </c>
      <c r="B2725" s="3" t="n">
        <v>2723</v>
      </c>
      <c r="C2725" s="3" t="n">
        <v>3</v>
      </c>
      <c r="D2725" s="3" t="n">
        <v>13</v>
      </c>
      <c r="E2725" s="3" t="n">
        <v>7</v>
      </c>
      <c r="F2725" s="24" t="n">
        <v>0</v>
      </c>
    </row>
    <row r="2726" customFormat="false" ht="15" hidden="false" customHeight="false" outlineLevel="0" collapsed="false">
      <c r="A2726" s="3" t="n">
        <v>2725</v>
      </c>
      <c r="B2726" s="3" t="n">
        <v>2724</v>
      </c>
      <c r="C2726" s="3" t="n">
        <v>3</v>
      </c>
      <c r="D2726" s="3" t="n">
        <v>13</v>
      </c>
      <c r="E2726" s="3" t="n">
        <v>8</v>
      </c>
      <c r="F2726" s="24" t="n">
        <v>0</v>
      </c>
    </row>
    <row r="2727" customFormat="false" ht="15" hidden="false" customHeight="false" outlineLevel="0" collapsed="false">
      <c r="A2727" s="3" t="n">
        <v>2726</v>
      </c>
      <c r="B2727" s="3" t="n">
        <v>2725</v>
      </c>
      <c r="C2727" s="3" t="n">
        <v>3</v>
      </c>
      <c r="D2727" s="3" t="n">
        <v>13</v>
      </c>
      <c r="E2727" s="3" t="n">
        <v>9</v>
      </c>
      <c r="F2727" s="24" t="n">
        <v>0</v>
      </c>
    </row>
    <row r="2728" customFormat="false" ht="15" hidden="false" customHeight="false" outlineLevel="0" collapsed="false">
      <c r="A2728" s="3" t="n">
        <v>2727</v>
      </c>
      <c r="B2728" s="3" t="n">
        <v>2726</v>
      </c>
      <c r="C2728" s="3" t="n">
        <v>3</v>
      </c>
      <c r="D2728" s="3" t="n">
        <v>13</v>
      </c>
      <c r="E2728" s="3" t="n">
        <v>10</v>
      </c>
      <c r="F2728" s="24" t="n">
        <v>0</v>
      </c>
    </row>
    <row r="2729" customFormat="false" ht="15" hidden="false" customHeight="false" outlineLevel="0" collapsed="false">
      <c r="A2729" s="3" t="n">
        <v>2728</v>
      </c>
      <c r="B2729" s="3" t="n">
        <v>2727</v>
      </c>
      <c r="C2729" s="3" t="n">
        <v>3</v>
      </c>
      <c r="D2729" s="3" t="n">
        <v>13</v>
      </c>
      <c r="E2729" s="3" t="n">
        <v>11</v>
      </c>
      <c r="F2729" s="24" t="n">
        <v>0</v>
      </c>
    </row>
    <row r="2730" customFormat="false" ht="15" hidden="false" customHeight="false" outlineLevel="0" collapsed="false">
      <c r="A2730" s="3" t="n">
        <v>2729</v>
      </c>
      <c r="B2730" s="3" t="n">
        <v>2728</v>
      </c>
      <c r="C2730" s="3" t="n">
        <v>3</v>
      </c>
      <c r="D2730" s="3" t="n">
        <v>13</v>
      </c>
      <c r="E2730" s="3" t="n">
        <v>12</v>
      </c>
      <c r="F2730" s="24" t="n">
        <v>0</v>
      </c>
    </row>
    <row r="2731" customFormat="false" ht="15" hidden="false" customHeight="false" outlineLevel="0" collapsed="false">
      <c r="A2731" s="3" t="n">
        <v>2730</v>
      </c>
      <c r="B2731" s="3" t="n">
        <v>2729</v>
      </c>
      <c r="C2731" s="3" t="n">
        <v>3</v>
      </c>
      <c r="D2731" s="3" t="n">
        <v>13</v>
      </c>
      <c r="E2731" s="3" t="n">
        <v>13</v>
      </c>
      <c r="F2731" s="24" t="n">
        <v>0</v>
      </c>
    </row>
    <row r="2732" customFormat="false" ht="15" hidden="false" customHeight="false" outlineLevel="0" collapsed="false">
      <c r="A2732" s="3" t="n">
        <v>2731</v>
      </c>
      <c r="B2732" s="3" t="n">
        <v>2730</v>
      </c>
      <c r="C2732" s="3" t="n">
        <v>3</v>
      </c>
      <c r="D2732" s="3" t="n">
        <v>13</v>
      </c>
      <c r="E2732" s="3" t="n">
        <v>14</v>
      </c>
      <c r="F2732" s="24" t="n">
        <v>0</v>
      </c>
    </row>
    <row r="2733" customFormat="false" ht="15" hidden="false" customHeight="false" outlineLevel="0" collapsed="false">
      <c r="A2733" s="3" t="n">
        <v>2732</v>
      </c>
      <c r="B2733" s="3" t="n">
        <v>2731</v>
      </c>
      <c r="C2733" s="3" t="n">
        <v>3</v>
      </c>
      <c r="D2733" s="3" t="n">
        <v>13</v>
      </c>
      <c r="E2733" s="3" t="n">
        <v>15</v>
      </c>
      <c r="F2733" s="24" t="n">
        <v>0.329552144</v>
      </c>
    </row>
    <row r="2734" customFormat="false" ht="15" hidden="false" customHeight="false" outlineLevel="0" collapsed="false">
      <c r="A2734" s="3" t="n">
        <v>2733</v>
      </c>
      <c r="B2734" s="3" t="n">
        <v>2732</v>
      </c>
      <c r="C2734" s="3" t="n">
        <v>3</v>
      </c>
      <c r="D2734" s="3" t="n">
        <v>13</v>
      </c>
      <c r="E2734" s="3" t="n">
        <v>16</v>
      </c>
      <c r="F2734" s="24" t="n">
        <v>2.07034779</v>
      </c>
    </row>
    <row r="2735" customFormat="false" ht="15" hidden="false" customHeight="false" outlineLevel="0" collapsed="false">
      <c r="A2735" s="3" t="n">
        <v>2734</v>
      </c>
      <c r="B2735" s="3" t="n">
        <v>2733</v>
      </c>
      <c r="C2735" s="3" t="n">
        <v>3</v>
      </c>
      <c r="D2735" s="3" t="n">
        <v>13</v>
      </c>
      <c r="E2735" s="3" t="n">
        <v>17</v>
      </c>
      <c r="F2735" s="24" t="n">
        <v>1.21866155</v>
      </c>
    </row>
    <row r="2736" customFormat="false" ht="15" hidden="false" customHeight="false" outlineLevel="0" collapsed="false">
      <c r="A2736" s="3" t="n">
        <v>2735</v>
      </c>
      <c r="B2736" s="3" t="n">
        <v>2734</v>
      </c>
      <c r="C2736" s="3" t="n">
        <v>3</v>
      </c>
      <c r="D2736" s="3" t="n">
        <v>13</v>
      </c>
      <c r="E2736" s="3" t="n">
        <v>18</v>
      </c>
      <c r="F2736" s="24" t="n">
        <v>0</v>
      </c>
    </row>
    <row r="2737" customFormat="false" ht="15" hidden="false" customHeight="false" outlineLevel="0" collapsed="false">
      <c r="A2737" s="3" t="n">
        <v>2736</v>
      </c>
      <c r="B2737" s="3" t="n">
        <v>2735</v>
      </c>
      <c r="C2737" s="3" t="n">
        <v>3</v>
      </c>
      <c r="D2737" s="3" t="n">
        <v>13</v>
      </c>
      <c r="E2737" s="3" t="n">
        <v>19</v>
      </c>
      <c r="F2737" s="24" t="n">
        <v>0</v>
      </c>
    </row>
    <row r="2738" customFormat="false" ht="15" hidden="false" customHeight="false" outlineLevel="0" collapsed="false">
      <c r="A2738" s="3" t="n">
        <v>2737</v>
      </c>
      <c r="B2738" s="3" t="n">
        <v>2736</v>
      </c>
      <c r="C2738" s="3" t="n">
        <v>3</v>
      </c>
      <c r="D2738" s="3" t="n">
        <v>13</v>
      </c>
      <c r="E2738" s="3" t="n">
        <v>20</v>
      </c>
      <c r="F2738" s="24" t="n">
        <v>0</v>
      </c>
    </row>
    <row r="2739" customFormat="false" ht="15" hidden="false" customHeight="false" outlineLevel="0" collapsed="false">
      <c r="A2739" s="3" t="n">
        <v>2738</v>
      </c>
      <c r="B2739" s="3" t="n">
        <v>2737</v>
      </c>
      <c r="C2739" s="3" t="n">
        <v>3</v>
      </c>
      <c r="D2739" s="3" t="n">
        <v>13</v>
      </c>
      <c r="E2739" s="3" t="n">
        <v>21</v>
      </c>
      <c r="F2739" s="24" t="n">
        <v>0</v>
      </c>
    </row>
    <row r="2740" customFormat="false" ht="15" hidden="false" customHeight="false" outlineLevel="0" collapsed="false">
      <c r="A2740" s="3" t="n">
        <v>2739</v>
      </c>
      <c r="B2740" s="3" t="n">
        <v>2738</v>
      </c>
      <c r="C2740" s="3" t="n">
        <v>3</v>
      </c>
      <c r="D2740" s="3" t="n">
        <v>13</v>
      </c>
      <c r="E2740" s="3" t="n">
        <v>22</v>
      </c>
      <c r="F2740" s="24" t="n">
        <v>0</v>
      </c>
    </row>
    <row r="2741" customFormat="false" ht="15" hidden="false" customHeight="false" outlineLevel="0" collapsed="false">
      <c r="A2741" s="3" t="n">
        <v>2740</v>
      </c>
      <c r="B2741" s="3" t="n">
        <v>2739</v>
      </c>
      <c r="C2741" s="3" t="n">
        <v>3</v>
      </c>
      <c r="D2741" s="3" t="n">
        <v>13</v>
      </c>
      <c r="E2741" s="3" t="n">
        <v>23</v>
      </c>
      <c r="F2741" s="24" t="n">
        <v>0</v>
      </c>
    </row>
    <row r="2742" customFormat="false" ht="15" hidden="false" customHeight="false" outlineLevel="0" collapsed="false">
      <c r="A2742" s="3" t="n">
        <v>2741</v>
      </c>
      <c r="B2742" s="3" t="n">
        <v>2740</v>
      </c>
      <c r="C2742" s="3" t="n">
        <v>3</v>
      </c>
      <c r="D2742" s="3" t="n">
        <v>13</v>
      </c>
      <c r="E2742" s="3" t="n">
        <v>24</v>
      </c>
      <c r="F2742" s="24" t="n">
        <v>0</v>
      </c>
    </row>
    <row r="2743" customFormat="false" ht="15" hidden="false" customHeight="false" outlineLevel="0" collapsed="false">
      <c r="A2743" s="3" t="n">
        <v>2742</v>
      </c>
      <c r="B2743" s="3" t="n">
        <v>2741</v>
      </c>
      <c r="C2743" s="3" t="n">
        <v>3</v>
      </c>
      <c r="D2743" s="3" t="n">
        <v>13</v>
      </c>
      <c r="E2743" s="3" t="n">
        <v>25</v>
      </c>
      <c r="F2743" s="24" t="n">
        <v>0</v>
      </c>
    </row>
    <row r="2744" customFormat="false" ht="15" hidden="false" customHeight="false" outlineLevel="0" collapsed="false">
      <c r="A2744" s="3" t="n">
        <v>2743</v>
      </c>
      <c r="B2744" s="3" t="n">
        <v>2742</v>
      </c>
      <c r="C2744" s="3" t="n">
        <v>3</v>
      </c>
      <c r="D2744" s="3" t="n">
        <v>13</v>
      </c>
      <c r="E2744" s="3" t="n">
        <v>26</v>
      </c>
      <c r="F2744" s="24" t="n">
        <v>0</v>
      </c>
    </row>
    <row r="2745" customFormat="false" ht="15" hidden="false" customHeight="false" outlineLevel="0" collapsed="false">
      <c r="A2745" s="3" t="n">
        <v>2744</v>
      </c>
      <c r="B2745" s="3" t="n">
        <v>2743</v>
      </c>
      <c r="C2745" s="3" t="n">
        <v>3</v>
      </c>
      <c r="D2745" s="3" t="n">
        <v>13</v>
      </c>
      <c r="E2745" s="3" t="n">
        <v>27</v>
      </c>
      <c r="F2745" s="24" t="n">
        <v>0</v>
      </c>
    </row>
    <row r="2746" customFormat="false" ht="15" hidden="false" customHeight="false" outlineLevel="0" collapsed="false">
      <c r="A2746" s="3" t="n">
        <v>2745</v>
      </c>
      <c r="B2746" s="3" t="n">
        <v>2744</v>
      </c>
      <c r="C2746" s="3" t="n">
        <v>3</v>
      </c>
      <c r="D2746" s="3" t="n">
        <v>14</v>
      </c>
      <c r="E2746" s="3" t="n">
        <v>0</v>
      </c>
      <c r="F2746" s="24" t="n">
        <v>0.0962923914</v>
      </c>
    </row>
    <row r="2747" customFormat="false" ht="15" hidden="false" customHeight="false" outlineLevel="0" collapsed="false">
      <c r="A2747" s="3" t="n">
        <v>2746</v>
      </c>
      <c r="B2747" s="3" t="n">
        <v>2745</v>
      </c>
      <c r="C2747" s="3" t="n">
        <v>3</v>
      </c>
      <c r="D2747" s="3" t="n">
        <v>14</v>
      </c>
      <c r="E2747" s="3" t="n">
        <v>1</v>
      </c>
      <c r="F2747" s="24" t="n">
        <v>0</v>
      </c>
    </row>
    <row r="2748" customFormat="false" ht="15" hidden="false" customHeight="false" outlineLevel="0" collapsed="false">
      <c r="A2748" s="3" t="n">
        <v>2747</v>
      </c>
      <c r="B2748" s="3" t="n">
        <v>2746</v>
      </c>
      <c r="C2748" s="3" t="n">
        <v>3</v>
      </c>
      <c r="D2748" s="3" t="n">
        <v>14</v>
      </c>
      <c r="E2748" s="3" t="n">
        <v>2</v>
      </c>
      <c r="F2748" s="24" t="n">
        <v>0</v>
      </c>
    </row>
    <row r="2749" customFormat="false" ht="15" hidden="false" customHeight="false" outlineLevel="0" collapsed="false">
      <c r="A2749" s="3" t="n">
        <v>2748</v>
      </c>
      <c r="B2749" s="3" t="n">
        <v>2747</v>
      </c>
      <c r="C2749" s="3" t="n">
        <v>3</v>
      </c>
      <c r="D2749" s="3" t="n">
        <v>14</v>
      </c>
      <c r="E2749" s="3" t="n">
        <v>3</v>
      </c>
      <c r="F2749" s="24" t="n">
        <v>0</v>
      </c>
    </row>
    <row r="2750" customFormat="false" ht="15" hidden="false" customHeight="false" outlineLevel="0" collapsed="false">
      <c r="A2750" s="3" t="n">
        <v>2749</v>
      </c>
      <c r="B2750" s="3" t="n">
        <v>2748</v>
      </c>
      <c r="C2750" s="3" t="n">
        <v>3</v>
      </c>
      <c r="D2750" s="3" t="n">
        <v>14</v>
      </c>
      <c r="E2750" s="3" t="n">
        <v>4</v>
      </c>
      <c r="F2750" s="24" t="n">
        <v>0</v>
      </c>
    </row>
    <row r="2751" customFormat="false" ht="15" hidden="false" customHeight="false" outlineLevel="0" collapsed="false">
      <c r="A2751" s="3" t="n">
        <v>2750</v>
      </c>
      <c r="B2751" s="3" t="n">
        <v>2749</v>
      </c>
      <c r="C2751" s="3" t="n">
        <v>3</v>
      </c>
      <c r="D2751" s="3" t="n">
        <v>14</v>
      </c>
      <c r="E2751" s="3" t="n">
        <v>5</v>
      </c>
      <c r="F2751" s="24" t="n">
        <v>0</v>
      </c>
    </row>
    <row r="2752" customFormat="false" ht="15" hidden="false" customHeight="false" outlineLevel="0" collapsed="false">
      <c r="A2752" s="3" t="n">
        <v>2751</v>
      </c>
      <c r="B2752" s="3" t="n">
        <v>2750</v>
      </c>
      <c r="C2752" s="3" t="n">
        <v>3</v>
      </c>
      <c r="D2752" s="3" t="n">
        <v>14</v>
      </c>
      <c r="E2752" s="3" t="n">
        <v>6</v>
      </c>
      <c r="F2752" s="24" t="n">
        <v>0</v>
      </c>
    </row>
    <row r="2753" customFormat="false" ht="15" hidden="false" customHeight="false" outlineLevel="0" collapsed="false">
      <c r="A2753" s="3" t="n">
        <v>2752</v>
      </c>
      <c r="B2753" s="3" t="n">
        <v>2751</v>
      </c>
      <c r="C2753" s="3" t="n">
        <v>3</v>
      </c>
      <c r="D2753" s="3" t="n">
        <v>14</v>
      </c>
      <c r="E2753" s="3" t="n">
        <v>7</v>
      </c>
      <c r="F2753" s="24" t="n">
        <v>0</v>
      </c>
    </row>
    <row r="2754" customFormat="false" ht="15" hidden="false" customHeight="false" outlineLevel="0" collapsed="false">
      <c r="A2754" s="3" t="n">
        <v>2753</v>
      </c>
      <c r="B2754" s="3" t="n">
        <v>2752</v>
      </c>
      <c r="C2754" s="3" t="n">
        <v>3</v>
      </c>
      <c r="D2754" s="3" t="n">
        <v>14</v>
      </c>
      <c r="E2754" s="3" t="n">
        <v>8</v>
      </c>
      <c r="F2754" s="24" t="n">
        <v>0</v>
      </c>
    </row>
    <row r="2755" customFormat="false" ht="15" hidden="false" customHeight="false" outlineLevel="0" collapsed="false">
      <c r="A2755" s="3" t="n">
        <v>2754</v>
      </c>
      <c r="B2755" s="3" t="n">
        <v>2753</v>
      </c>
      <c r="C2755" s="3" t="n">
        <v>3</v>
      </c>
      <c r="D2755" s="3" t="n">
        <v>14</v>
      </c>
      <c r="E2755" s="3" t="n">
        <v>9</v>
      </c>
      <c r="F2755" s="24" t="n">
        <v>0</v>
      </c>
    </row>
    <row r="2756" customFormat="false" ht="15" hidden="false" customHeight="false" outlineLevel="0" collapsed="false">
      <c r="A2756" s="3" t="n">
        <v>2755</v>
      </c>
      <c r="B2756" s="3" t="n">
        <v>2754</v>
      </c>
      <c r="C2756" s="3" t="n">
        <v>3</v>
      </c>
      <c r="D2756" s="3" t="n">
        <v>14</v>
      </c>
      <c r="E2756" s="3" t="n">
        <v>10</v>
      </c>
      <c r="F2756" s="24" t="n">
        <v>0</v>
      </c>
    </row>
    <row r="2757" customFormat="false" ht="15" hidden="false" customHeight="false" outlineLevel="0" collapsed="false">
      <c r="A2757" s="3" t="n">
        <v>2756</v>
      </c>
      <c r="B2757" s="3" t="n">
        <v>2755</v>
      </c>
      <c r="C2757" s="3" t="n">
        <v>3</v>
      </c>
      <c r="D2757" s="3" t="n">
        <v>14</v>
      </c>
      <c r="E2757" s="3" t="n">
        <v>11</v>
      </c>
      <c r="F2757" s="24" t="n">
        <v>0</v>
      </c>
    </row>
    <row r="2758" customFormat="false" ht="15" hidden="false" customHeight="false" outlineLevel="0" collapsed="false">
      <c r="A2758" s="3" t="n">
        <v>2757</v>
      </c>
      <c r="B2758" s="3" t="n">
        <v>2756</v>
      </c>
      <c r="C2758" s="3" t="n">
        <v>3</v>
      </c>
      <c r="D2758" s="3" t="n">
        <v>14</v>
      </c>
      <c r="E2758" s="3" t="n">
        <v>12</v>
      </c>
      <c r="F2758" s="24" t="n">
        <v>0</v>
      </c>
    </row>
    <row r="2759" customFormat="false" ht="15" hidden="false" customHeight="false" outlineLevel="0" collapsed="false">
      <c r="A2759" s="3" t="n">
        <v>2758</v>
      </c>
      <c r="B2759" s="3" t="n">
        <v>2757</v>
      </c>
      <c r="C2759" s="3" t="n">
        <v>3</v>
      </c>
      <c r="D2759" s="3" t="n">
        <v>14</v>
      </c>
      <c r="E2759" s="3" t="n">
        <v>13</v>
      </c>
      <c r="F2759" s="24" t="n">
        <v>0</v>
      </c>
    </row>
    <row r="2760" customFormat="false" ht="15" hidden="false" customHeight="false" outlineLevel="0" collapsed="false">
      <c r="A2760" s="3" t="n">
        <v>2759</v>
      </c>
      <c r="B2760" s="3" t="n">
        <v>2758</v>
      </c>
      <c r="C2760" s="3" t="n">
        <v>3</v>
      </c>
      <c r="D2760" s="3" t="n">
        <v>14</v>
      </c>
      <c r="E2760" s="3" t="n">
        <v>14</v>
      </c>
      <c r="F2760" s="24" t="n">
        <v>0</v>
      </c>
    </row>
    <row r="2761" customFormat="false" ht="15" hidden="false" customHeight="false" outlineLevel="0" collapsed="false">
      <c r="A2761" s="3" t="n">
        <v>2760</v>
      </c>
      <c r="B2761" s="3" t="n">
        <v>2759</v>
      </c>
      <c r="C2761" s="3" t="n">
        <v>3</v>
      </c>
      <c r="D2761" s="3" t="n">
        <v>14</v>
      </c>
      <c r="E2761" s="3" t="n">
        <v>15</v>
      </c>
      <c r="F2761" s="24" t="n">
        <v>1.04222369</v>
      </c>
    </row>
    <row r="2762" customFormat="false" ht="15" hidden="false" customHeight="false" outlineLevel="0" collapsed="false">
      <c r="A2762" s="3" t="n">
        <v>2761</v>
      </c>
      <c r="B2762" s="3" t="n">
        <v>2760</v>
      </c>
      <c r="C2762" s="3" t="n">
        <v>3</v>
      </c>
      <c r="D2762" s="3" t="n">
        <v>14</v>
      </c>
      <c r="E2762" s="3" t="n">
        <v>16</v>
      </c>
      <c r="F2762" s="24" t="n">
        <v>1.83415937</v>
      </c>
    </row>
    <row r="2763" customFormat="false" ht="15" hidden="false" customHeight="false" outlineLevel="0" collapsed="false">
      <c r="A2763" s="3" t="n">
        <v>2762</v>
      </c>
      <c r="B2763" s="3" t="n">
        <v>2761</v>
      </c>
      <c r="C2763" s="3" t="n">
        <v>3</v>
      </c>
      <c r="D2763" s="3" t="n">
        <v>14</v>
      </c>
      <c r="E2763" s="3" t="n">
        <v>17</v>
      </c>
      <c r="F2763" s="24" t="n">
        <v>0.282826841</v>
      </c>
    </row>
    <row r="2764" customFormat="false" ht="15" hidden="false" customHeight="false" outlineLevel="0" collapsed="false">
      <c r="A2764" s="3" t="n">
        <v>2763</v>
      </c>
      <c r="B2764" s="3" t="n">
        <v>2762</v>
      </c>
      <c r="C2764" s="3" t="n">
        <v>3</v>
      </c>
      <c r="D2764" s="3" t="n">
        <v>14</v>
      </c>
      <c r="E2764" s="3" t="n">
        <v>18</v>
      </c>
      <c r="F2764" s="24" t="n">
        <v>0</v>
      </c>
    </row>
    <row r="2765" customFormat="false" ht="15" hidden="false" customHeight="false" outlineLevel="0" collapsed="false">
      <c r="A2765" s="3" t="n">
        <v>2764</v>
      </c>
      <c r="B2765" s="3" t="n">
        <v>2763</v>
      </c>
      <c r="C2765" s="3" t="n">
        <v>3</v>
      </c>
      <c r="D2765" s="3" t="n">
        <v>14</v>
      </c>
      <c r="E2765" s="3" t="n">
        <v>19</v>
      </c>
      <c r="F2765" s="24" t="n">
        <v>0</v>
      </c>
    </row>
    <row r="2766" customFormat="false" ht="15" hidden="false" customHeight="false" outlineLevel="0" collapsed="false">
      <c r="A2766" s="3" t="n">
        <v>2765</v>
      </c>
      <c r="B2766" s="3" t="n">
        <v>2764</v>
      </c>
      <c r="C2766" s="3" t="n">
        <v>3</v>
      </c>
      <c r="D2766" s="3" t="n">
        <v>14</v>
      </c>
      <c r="E2766" s="3" t="n">
        <v>20</v>
      </c>
      <c r="F2766" s="24" t="n">
        <v>0</v>
      </c>
    </row>
    <row r="2767" customFormat="false" ht="15" hidden="false" customHeight="false" outlineLevel="0" collapsed="false">
      <c r="A2767" s="3" t="n">
        <v>2766</v>
      </c>
      <c r="B2767" s="3" t="n">
        <v>2765</v>
      </c>
      <c r="C2767" s="3" t="n">
        <v>3</v>
      </c>
      <c r="D2767" s="3" t="n">
        <v>14</v>
      </c>
      <c r="E2767" s="3" t="n">
        <v>21</v>
      </c>
      <c r="F2767" s="24" t="n">
        <v>0</v>
      </c>
    </row>
    <row r="2768" customFormat="false" ht="15" hidden="false" customHeight="false" outlineLevel="0" collapsed="false">
      <c r="A2768" s="3" t="n">
        <v>2767</v>
      </c>
      <c r="B2768" s="3" t="n">
        <v>2766</v>
      </c>
      <c r="C2768" s="3" t="n">
        <v>3</v>
      </c>
      <c r="D2768" s="3" t="n">
        <v>14</v>
      </c>
      <c r="E2768" s="3" t="n">
        <v>22</v>
      </c>
      <c r="F2768" s="24" t="n">
        <v>0</v>
      </c>
    </row>
    <row r="2769" customFormat="false" ht="15" hidden="false" customHeight="false" outlineLevel="0" collapsed="false">
      <c r="A2769" s="3" t="n">
        <v>2768</v>
      </c>
      <c r="B2769" s="3" t="n">
        <v>2767</v>
      </c>
      <c r="C2769" s="3" t="n">
        <v>3</v>
      </c>
      <c r="D2769" s="3" t="n">
        <v>14</v>
      </c>
      <c r="E2769" s="3" t="n">
        <v>23</v>
      </c>
      <c r="F2769" s="24" t="n">
        <v>0</v>
      </c>
    </row>
    <row r="2770" customFormat="false" ht="15" hidden="false" customHeight="false" outlineLevel="0" collapsed="false">
      <c r="A2770" s="3" t="n">
        <v>2769</v>
      </c>
      <c r="B2770" s="3" t="n">
        <v>2768</v>
      </c>
      <c r="C2770" s="3" t="n">
        <v>3</v>
      </c>
      <c r="D2770" s="3" t="n">
        <v>14</v>
      </c>
      <c r="E2770" s="3" t="n">
        <v>24</v>
      </c>
      <c r="F2770" s="24" t="n">
        <v>0</v>
      </c>
    </row>
    <row r="2771" customFormat="false" ht="15" hidden="false" customHeight="false" outlineLevel="0" collapsed="false">
      <c r="A2771" s="3" t="n">
        <v>2770</v>
      </c>
      <c r="B2771" s="3" t="n">
        <v>2769</v>
      </c>
      <c r="C2771" s="3" t="n">
        <v>3</v>
      </c>
      <c r="D2771" s="3" t="n">
        <v>14</v>
      </c>
      <c r="E2771" s="3" t="n">
        <v>25</v>
      </c>
      <c r="F2771" s="24" t="n">
        <v>0</v>
      </c>
    </row>
    <row r="2772" customFormat="false" ht="15" hidden="false" customHeight="false" outlineLevel="0" collapsed="false">
      <c r="A2772" s="3" t="n">
        <v>2771</v>
      </c>
      <c r="B2772" s="3" t="n">
        <v>2770</v>
      </c>
      <c r="C2772" s="3" t="n">
        <v>3</v>
      </c>
      <c r="D2772" s="3" t="n">
        <v>14</v>
      </c>
      <c r="E2772" s="3" t="n">
        <v>26</v>
      </c>
      <c r="F2772" s="24" t="n">
        <v>0</v>
      </c>
    </row>
    <row r="2773" customFormat="false" ht="15" hidden="false" customHeight="false" outlineLevel="0" collapsed="false">
      <c r="A2773" s="3" t="n">
        <v>2772</v>
      </c>
      <c r="B2773" s="3" t="n">
        <v>2771</v>
      </c>
      <c r="C2773" s="3" t="n">
        <v>3</v>
      </c>
      <c r="D2773" s="3" t="n">
        <v>14</v>
      </c>
      <c r="E2773" s="3" t="n">
        <v>27</v>
      </c>
      <c r="F2773" s="24" t="n">
        <v>0</v>
      </c>
    </row>
    <row r="2774" customFormat="false" ht="15" hidden="false" customHeight="false" outlineLevel="0" collapsed="false">
      <c r="A2774" s="3" t="n">
        <v>2773</v>
      </c>
      <c r="B2774" s="3" t="n">
        <v>2772</v>
      </c>
      <c r="C2774" s="3" t="n">
        <v>3</v>
      </c>
      <c r="D2774" s="3" t="n">
        <v>15</v>
      </c>
      <c r="E2774" s="3" t="n">
        <v>0</v>
      </c>
      <c r="F2774" s="24" t="n">
        <v>0.0962923914</v>
      </c>
    </row>
    <row r="2775" customFormat="false" ht="15" hidden="false" customHeight="false" outlineLevel="0" collapsed="false">
      <c r="A2775" s="3" t="n">
        <v>2774</v>
      </c>
      <c r="B2775" s="3" t="n">
        <v>2773</v>
      </c>
      <c r="C2775" s="3" t="n">
        <v>3</v>
      </c>
      <c r="D2775" s="3" t="n">
        <v>15</v>
      </c>
      <c r="E2775" s="3" t="n">
        <v>1</v>
      </c>
      <c r="F2775" s="24" t="n">
        <v>0</v>
      </c>
    </row>
    <row r="2776" customFormat="false" ht="15" hidden="false" customHeight="false" outlineLevel="0" collapsed="false">
      <c r="A2776" s="3" t="n">
        <v>2775</v>
      </c>
      <c r="B2776" s="3" t="n">
        <v>2774</v>
      </c>
      <c r="C2776" s="3" t="n">
        <v>3</v>
      </c>
      <c r="D2776" s="3" t="n">
        <v>15</v>
      </c>
      <c r="E2776" s="3" t="n">
        <v>2</v>
      </c>
      <c r="F2776" s="24" t="n">
        <v>0</v>
      </c>
    </row>
    <row r="2777" customFormat="false" ht="15" hidden="false" customHeight="false" outlineLevel="0" collapsed="false">
      <c r="A2777" s="3" t="n">
        <v>2776</v>
      </c>
      <c r="B2777" s="3" t="n">
        <v>2775</v>
      </c>
      <c r="C2777" s="3" t="n">
        <v>3</v>
      </c>
      <c r="D2777" s="3" t="n">
        <v>15</v>
      </c>
      <c r="E2777" s="3" t="n">
        <v>3</v>
      </c>
      <c r="F2777" s="24" t="n">
        <v>0</v>
      </c>
    </row>
    <row r="2778" customFormat="false" ht="15" hidden="false" customHeight="false" outlineLevel="0" collapsed="false">
      <c r="A2778" s="3" t="n">
        <v>2777</v>
      </c>
      <c r="B2778" s="3" t="n">
        <v>2776</v>
      </c>
      <c r="C2778" s="3" t="n">
        <v>3</v>
      </c>
      <c r="D2778" s="3" t="n">
        <v>15</v>
      </c>
      <c r="E2778" s="3" t="n">
        <v>4</v>
      </c>
      <c r="F2778" s="24" t="n">
        <v>0</v>
      </c>
    </row>
    <row r="2779" customFormat="false" ht="15" hidden="false" customHeight="false" outlineLevel="0" collapsed="false">
      <c r="A2779" s="3" t="n">
        <v>2778</v>
      </c>
      <c r="B2779" s="3" t="n">
        <v>2777</v>
      </c>
      <c r="C2779" s="3" t="n">
        <v>3</v>
      </c>
      <c r="D2779" s="3" t="n">
        <v>15</v>
      </c>
      <c r="E2779" s="3" t="n">
        <v>5</v>
      </c>
      <c r="F2779" s="24" t="n">
        <v>0</v>
      </c>
    </row>
    <row r="2780" customFormat="false" ht="15" hidden="false" customHeight="false" outlineLevel="0" collapsed="false">
      <c r="A2780" s="3" t="n">
        <v>2779</v>
      </c>
      <c r="B2780" s="3" t="n">
        <v>2778</v>
      </c>
      <c r="C2780" s="3" t="n">
        <v>3</v>
      </c>
      <c r="D2780" s="3" t="n">
        <v>15</v>
      </c>
      <c r="E2780" s="3" t="n">
        <v>6</v>
      </c>
      <c r="F2780" s="24" t="n">
        <v>0</v>
      </c>
    </row>
    <row r="2781" customFormat="false" ht="15" hidden="false" customHeight="false" outlineLevel="0" collapsed="false">
      <c r="A2781" s="3" t="n">
        <v>2780</v>
      </c>
      <c r="B2781" s="3" t="n">
        <v>2779</v>
      </c>
      <c r="C2781" s="3" t="n">
        <v>3</v>
      </c>
      <c r="D2781" s="3" t="n">
        <v>15</v>
      </c>
      <c r="E2781" s="3" t="n">
        <v>7</v>
      </c>
      <c r="F2781" s="24" t="n">
        <v>0</v>
      </c>
    </row>
    <row r="2782" customFormat="false" ht="15" hidden="false" customHeight="false" outlineLevel="0" collapsed="false">
      <c r="A2782" s="3" t="n">
        <v>2781</v>
      </c>
      <c r="B2782" s="3" t="n">
        <v>2780</v>
      </c>
      <c r="C2782" s="3" t="n">
        <v>3</v>
      </c>
      <c r="D2782" s="3" t="n">
        <v>15</v>
      </c>
      <c r="E2782" s="3" t="n">
        <v>8</v>
      </c>
      <c r="F2782" s="24" t="n">
        <v>0</v>
      </c>
    </row>
    <row r="2783" customFormat="false" ht="15" hidden="false" customHeight="false" outlineLevel="0" collapsed="false">
      <c r="A2783" s="3" t="n">
        <v>2782</v>
      </c>
      <c r="B2783" s="3" t="n">
        <v>2781</v>
      </c>
      <c r="C2783" s="3" t="n">
        <v>3</v>
      </c>
      <c r="D2783" s="3" t="n">
        <v>15</v>
      </c>
      <c r="E2783" s="3" t="n">
        <v>9</v>
      </c>
      <c r="F2783" s="24" t="n">
        <v>0</v>
      </c>
    </row>
    <row r="2784" customFormat="false" ht="15" hidden="false" customHeight="false" outlineLevel="0" collapsed="false">
      <c r="A2784" s="3" t="n">
        <v>2783</v>
      </c>
      <c r="B2784" s="3" t="n">
        <v>2782</v>
      </c>
      <c r="C2784" s="3" t="n">
        <v>3</v>
      </c>
      <c r="D2784" s="3" t="n">
        <v>15</v>
      </c>
      <c r="E2784" s="3" t="n">
        <v>10</v>
      </c>
      <c r="F2784" s="24" t="n">
        <v>0</v>
      </c>
    </row>
    <row r="2785" customFormat="false" ht="15" hidden="false" customHeight="false" outlineLevel="0" collapsed="false">
      <c r="A2785" s="3" t="n">
        <v>2784</v>
      </c>
      <c r="B2785" s="3" t="n">
        <v>2783</v>
      </c>
      <c r="C2785" s="3" t="n">
        <v>3</v>
      </c>
      <c r="D2785" s="3" t="n">
        <v>15</v>
      </c>
      <c r="E2785" s="3" t="n">
        <v>11</v>
      </c>
      <c r="F2785" s="24" t="n">
        <v>0</v>
      </c>
    </row>
    <row r="2786" customFormat="false" ht="15" hidden="false" customHeight="false" outlineLevel="0" collapsed="false">
      <c r="A2786" s="3" t="n">
        <v>2785</v>
      </c>
      <c r="B2786" s="3" t="n">
        <v>2784</v>
      </c>
      <c r="C2786" s="3" t="n">
        <v>3</v>
      </c>
      <c r="D2786" s="3" t="n">
        <v>15</v>
      </c>
      <c r="E2786" s="3" t="n">
        <v>12</v>
      </c>
      <c r="F2786" s="24" t="n">
        <v>0</v>
      </c>
    </row>
    <row r="2787" customFormat="false" ht="15" hidden="false" customHeight="false" outlineLevel="0" collapsed="false">
      <c r="A2787" s="3" t="n">
        <v>2786</v>
      </c>
      <c r="B2787" s="3" t="n">
        <v>2785</v>
      </c>
      <c r="C2787" s="3" t="n">
        <v>3</v>
      </c>
      <c r="D2787" s="3" t="n">
        <v>15</v>
      </c>
      <c r="E2787" s="3" t="n">
        <v>13</v>
      </c>
      <c r="F2787" s="24" t="n">
        <v>0</v>
      </c>
    </row>
    <row r="2788" customFormat="false" ht="15" hidden="false" customHeight="false" outlineLevel="0" collapsed="false">
      <c r="A2788" s="3" t="n">
        <v>2787</v>
      </c>
      <c r="B2788" s="3" t="n">
        <v>2786</v>
      </c>
      <c r="C2788" s="3" t="n">
        <v>3</v>
      </c>
      <c r="D2788" s="3" t="n">
        <v>15</v>
      </c>
      <c r="E2788" s="3" t="n">
        <v>14</v>
      </c>
      <c r="F2788" s="24" t="n">
        <v>0.0310634561</v>
      </c>
    </row>
    <row r="2789" customFormat="false" ht="15" hidden="false" customHeight="false" outlineLevel="0" collapsed="false">
      <c r="A2789" s="3" t="n">
        <v>2788</v>
      </c>
      <c r="B2789" s="3" t="n">
        <v>2787</v>
      </c>
      <c r="C2789" s="3" t="n">
        <v>3</v>
      </c>
      <c r="D2789" s="3" t="n">
        <v>15</v>
      </c>
      <c r="E2789" s="3" t="n">
        <v>15</v>
      </c>
      <c r="F2789" s="24" t="n">
        <v>1.25178027</v>
      </c>
    </row>
    <row r="2790" customFormat="false" ht="15" hidden="false" customHeight="false" outlineLevel="0" collapsed="false">
      <c r="A2790" s="3" t="n">
        <v>2789</v>
      </c>
      <c r="B2790" s="3" t="n">
        <v>2788</v>
      </c>
      <c r="C2790" s="3" t="n">
        <v>3</v>
      </c>
      <c r="D2790" s="3" t="n">
        <v>15</v>
      </c>
      <c r="E2790" s="3" t="n">
        <v>16</v>
      </c>
      <c r="F2790" s="24" t="n">
        <v>0.419040471</v>
      </c>
    </row>
    <row r="2791" customFormat="false" ht="15" hidden="false" customHeight="false" outlineLevel="0" collapsed="false">
      <c r="A2791" s="3" t="n">
        <v>2790</v>
      </c>
      <c r="B2791" s="3" t="n">
        <v>2789</v>
      </c>
      <c r="C2791" s="3" t="n">
        <v>3</v>
      </c>
      <c r="D2791" s="3" t="n">
        <v>15</v>
      </c>
      <c r="E2791" s="3" t="n">
        <v>17</v>
      </c>
      <c r="F2791" s="24" t="n">
        <v>0</v>
      </c>
    </row>
    <row r="2792" customFormat="false" ht="15" hidden="false" customHeight="false" outlineLevel="0" collapsed="false">
      <c r="A2792" s="3" t="n">
        <v>2791</v>
      </c>
      <c r="B2792" s="3" t="n">
        <v>2790</v>
      </c>
      <c r="C2792" s="3" t="n">
        <v>3</v>
      </c>
      <c r="D2792" s="3" t="n">
        <v>15</v>
      </c>
      <c r="E2792" s="3" t="n">
        <v>18</v>
      </c>
      <c r="F2792" s="24" t="n">
        <v>0</v>
      </c>
    </row>
    <row r="2793" customFormat="false" ht="15" hidden="false" customHeight="false" outlineLevel="0" collapsed="false">
      <c r="A2793" s="3" t="n">
        <v>2792</v>
      </c>
      <c r="B2793" s="3" t="n">
        <v>2791</v>
      </c>
      <c r="C2793" s="3" t="n">
        <v>3</v>
      </c>
      <c r="D2793" s="3" t="n">
        <v>15</v>
      </c>
      <c r="E2793" s="3" t="n">
        <v>19</v>
      </c>
      <c r="F2793" s="24" t="n">
        <v>0</v>
      </c>
    </row>
    <row r="2794" customFormat="false" ht="15" hidden="false" customHeight="false" outlineLevel="0" collapsed="false">
      <c r="A2794" s="3" t="n">
        <v>2793</v>
      </c>
      <c r="B2794" s="3" t="n">
        <v>2792</v>
      </c>
      <c r="C2794" s="3" t="n">
        <v>3</v>
      </c>
      <c r="D2794" s="3" t="n">
        <v>15</v>
      </c>
      <c r="E2794" s="3" t="n">
        <v>20</v>
      </c>
      <c r="F2794" s="24" t="n">
        <v>0</v>
      </c>
    </row>
    <row r="2795" customFormat="false" ht="15" hidden="false" customHeight="false" outlineLevel="0" collapsed="false">
      <c r="A2795" s="3" t="n">
        <v>2794</v>
      </c>
      <c r="B2795" s="3" t="n">
        <v>2793</v>
      </c>
      <c r="C2795" s="3" t="n">
        <v>3</v>
      </c>
      <c r="D2795" s="3" t="n">
        <v>15</v>
      </c>
      <c r="E2795" s="3" t="n">
        <v>21</v>
      </c>
      <c r="F2795" s="24" t="n">
        <v>0</v>
      </c>
    </row>
    <row r="2796" customFormat="false" ht="15" hidden="false" customHeight="false" outlineLevel="0" collapsed="false">
      <c r="A2796" s="3" t="n">
        <v>2795</v>
      </c>
      <c r="B2796" s="3" t="n">
        <v>2794</v>
      </c>
      <c r="C2796" s="3" t="n">
        <v>3</v>
      </c>
      <c r="D2796" s="3" t="n">
        <v>15</v>
      </c>
      <c r="E2796" s="3" t="n">
        <v>22</v>
      </c>
      <c r="F2796" s="24" t="n">
        <v>0</v>
      </c>
    </row>
    <row r="2797" customFormat="false" ht="15" hidden="false" customHeight="false" outlineLevel="0" collapsed="false">
      <c r="A2797" s="3" t="n">
        <v>2796</v>
      </c>
      <c r="B2797" s="3" t="n">
        <v>2795</v>
      </c>
      <c r="C2797" s="3" t="n">
        <v>3</v>
      </c>
      <c r="D2797" s="3" t="n">
        <v>15</v>
      </c>
      <c r="E2797" s="3" t="n">
        <v>23</v>
      </c>
      <c r="F2797" s="24" t="n">
        <v>0</v>
      </c>
    </row>
    <row r="2798" customFormat="false" ht="15" hidden="false" customHeight="false" outlineLevel="0" collapsed="false">
      <c r="A2798" s="3" t="n">
        <v>2797</v>
      </c>
      <c r="B2798" s="3" t="n">
        <v>2796</v>
      </c>
      <c r="C2798" s="3" t="n">
        <v>3</v>
      </c>
      <c r="D2798" s="3" t="n">
        <v>15</v>
      </c>
      <c r="E2798" s="3" t="n">
        <v>24</v>
      </c>
      <c r="F2798" s="24" t="n">
        <v>0</v>
      </c>
    </row>
    <row r="2799" customFormat="false" ht="15" hidden="false" customHeight="false" outlineLevel="0" collapsed="false">
      <c r="A2799" s="3" t="n">
        <v>2798</v>
      </c>
      <c r="B2799" s="3" t="n">
        <v>2797</v>
      </c>
      <c r="C2799" s="3" t="n">
        <v>3</v>
      </c>
      <c r="D2799" s="3" t="n">
        <v>15</v>
      </c>
      <c r="E2799" s="3" t="n">
        <v>25</v>
      </c>
      <c r="F2799" s="24" t="n">
        <v>0</v>
      </c>
    </row>
    <row r="2800" customFormat="false" ht="15" hidden="false" customHeight="false" outlineLevel="0" collapsed="false">
      <c r="A2800" s="3" t="n">
        <v>2799</v>
      </c>
      <c r="B2800" s="3" t="n">
        <v>2798</v>
      </c>
      <c r="C2800" s="3" t="n">
        <v>3</v>
      </c>
      <c r="D2800" s="3" t="n">
        <v>15</v>
      </c>
      <c r="E2800" s="3" t="n">
        <v>26</v>
      </c>
      <c r="F2800" s="24" t="n">
        <v>0</v>
      </c>
    </row>
    <row r="2801" customFormat="false" ht="15" hidden="false" customHeight="false" outlineLevel="0" collapsed="false">
      <c r="A2801" s="3" t="n">
        <v>2800</v>
      </c>
      <c r="B2801" s="3" t="n">
        <v>2799</v>
      </c>
      <c r="C2801" s="3" t="n">
        <v>3</v>
      </c>
      <c r="D2801" s="3" t="n">
        <v>15</v>
      </c>
      <c r="E2801" s="3" t="n">
        <v>27</v>
      </c>
      <c r="F2801" s="24" t="n">
        <v>0</v>
      </c>
    </row>
    <row r="2802" customFormat="false" ht="15" hidden="false" customHeight="false" outlineLevel="0" collapsed="false">
      <c r="A2802" s="3" t="n">
        <v>2801</v>
      </c>
      <c r="B2802" s="3" t="n">
        <v>2800</v>
      </c>
      <c r="C2802" s="3" t="n">
        <v>3</v>
      </c>
      <c r="D2802" s="3" t="n">
        <v>16</v>
      </c>
      <c r="E2802" s="3" t="n">
        <v>0</v>
      </c>
      <c r="F2802" s="24" t="n">
        <v>0.0962923914</v>
      </c>
    </row>
    <row r="2803" customFormat="false" ht="15" hidden="false" customHeight="false" outlineLevel="0" collapsed="false">
      <c r="A2803" s="3" t="n">
        <v>2802</v>
      </c>
      <c r="B2803" s="3" t="n">
        <v>2801</v>
      </c>
      <c r="C2803" s="3" t="n">
        <v>3</v>
      </c>
      <c r="D2803" s="3" t="n">
        <v>16</v>
      </c>
      <c r="E2803" s="3" t="n">
        <v>1</v>
      </c>
      <c r="F2803" s="24" t="n">
        <v>0</v>
      </c>
    </row>
    <row r="2804" customFormat="false" ht="15" hidden="false" customHeight="false" outlineLevel="0" collapsed="false">
      <c r="A2804" s="3" t="n">
        <v>2803</v>
      </c>
      <c r="B2804" s="3" t="n">
        <v>2802</v>
      </c>
      <c r="C2804" s="3" t="n">
        <v>3</v>
      </c>
      <c r="D2804" s="3" t="n">
        <v>16</v>
      </c>
      <c r="E2804" s="3" t="n">
        <v>2</v>
      </c>
      <c r="F2804" s="24" t="n">
        <v>0</v>
      </c>
    </row>
    <row r="2805" customFormat="false" ht="15" hidden="false" customHeight="false" outlineLevel="0" collapsed="false">
      <c r="A2805" s="3" t="n">
        <v>2804</v>
      </c>
      <c r="B2805" s="3" t="n">
        <v>2803</v>
      </c>
      <c r="C2805" s="3" t="n">
        <v>3</v>
      </c>
      <c r="D2805" s="3" t="n">
        <v>16</v>
      </c>
      <c r="E2805" s="3" t="n">
        <v>3</v>
      </c>
      <c r="F2805" s="24" t="n">
        <v>0</v>
      </c>
    </row>
    <row r="2806" customFormat="false" ht="15" hidden="false" customHeight="false" outlineLevel="0" collapsed="false">
      <c r="A2806" s="3" t="n">
        <v>2805</v>
      </c>
      <c r="B2806" s="3" t="n">
        <v>2804</v>
      </c>
      <c r="C2806" s="3" t="n">
        <v>3</v>
      </c>
      <c r="D2806" s="3" t="n">
        <v>16</v>
      </c>
      <c r="E2806" s="3" t="n">
        <v>4</v>
      </c>
      <c r="F2806" s="24" t="n">
        <v>0</v>
      </c>
    </row>
    <row r="2807" customFormat="false" ht="15" hidden="false" customHeight="false" outlineLevel="0" collapsed="false">
      <c r="A2807" s="3" t="n">
        <v>2806</v>
      </c>
      <c r="B2807" s="3" t="n">
        <v>2805</v>
      </c>
      <c r="C2807" s="3" t="n">
        <v>3</v>
      </c>
      <c r="D2807" s="3" t="n">
        <v>16</v>
      </c>
      <c r="E2807" s="3" t="n">
        <v>5</v>
      </c>
      <c r="F2807" s="24" t="n">
        <v>0</v>
      </c>
    </row>
    <row r="2808" customFormat="false" ht="15" hidden="false" customHeight="false" outlineLevel="0" collapsed="false">
      <c r="A2808" s="3" t="n">
        <v>2807</v>
      </c>
      <c r="B2808" s="3" t="n">
        <v>2806</v>
      </c>
      <c r="C2808" s="3" t="n">
        <v>3</v>
      </c>
      <c r="D2808" s="3" t="n">
        <v>16</v>
      </c>
      <c r="E2808" s="3" t="n">
        <v>6</v>
      </c>
      <c r="F2808" s="24" t="n">
        <v>0</v>
      </c>
    </row>
    <row r="2809" customFormat="false" ht="15" hidden="false" customHeight="false" outlineLevel="0" collapsed="false">
      <c r="A2809" s="3" t="n">
        <v>2808</v>
      </c>
      <c r="B2809" s="3" t="n">
        <v>2807</v>
      </c>
      <c r="C2809" s="3" t="n">
        <v>3</v>
      </c>
      <c r="D2809" s="3" t="n">
        <v>16</v>
      </c>
      <c r="E2809" s="3" t="n">
        <v>7</v>
      </c>
      <c r="F2809" s="24" t="n">
        <v>0</v>
      </c>
    </row>
    <row r="2810" customFormat="false" ht="15" hidden="false" customHeight="false" outlineLevel="0" collapsed="false">
      <c r="A2810" s="3" t="n">
        <v>2809</v>
      </c>
      <c r="B2810" s="3" t="n">
        <v>2808</v>
      </c>
      <c r="C2810" s="3" t="n">
        <v>3</v>
      </c>
      <c r="D2810" s="3" t="n">
        <v>16</v>
      </c>
      <c r="E2810" s="3" t="n">
        <v>8</v>
      </c>
      <c r="F2810" s="24" t="n">
        <v>0</v>
      </c>
    </row>
    <row r="2811" customFormat="false" ht="15" hidden="false" customHeight="false" outlineLevel="0" collapsed="false">
      <c r="A2811" s="3" t="n">
        <v>2810</v>
      </c>
      <c r="B2811" s="3" t="n">
        <v>2809</v>
      </c>
      <c r="C2811" s="3" t="n">
        <v>3</v>
      </c>
      <c r="D2811" s="3" t="n">
        <v>16</v>
      </c>
      <c r="E2811" s="3" t="n">
        <v>9</v>
      </c>
      <c r="F2811" s="24" t="n">
        <v>0</v>
      </c>
    </row>
    <row r="2812" customFormat="false" ht="15" hidden="false" customHeight="false" outlineLevel="0" collapsed="false">
      <c r="A2812" s="3" t="n">
        <v>2811</v>
      </c>
      <c r="B2812" s="3" t="n">
        <v>2810</v>
      </c>
      <c r="C2812" s="3" t="n">
        <v>3</v>
      </c>
      <c r="D2812" s="3" t="n">
        <v>16</v>
      </c>
      <c r="E2812" s="3" t="n">
        <v>10</v>
      </c>
      <c r="F2812" s="24" t="n">
        <v>0</v>
      </c>
    </row>
    <row r="2813" customFormat="false" ht="15" hidden="false" customHeight="false" outlineLevel="0" collapsed="false">
      <c r="A2813" s="3" t="n">
        <v>2812</v>
      </c>
      <c r="B2813" s="3" t="n">
        <v>2811</v>
      </c>
      <c r="C2813" s="3" t="n">
        <v>3</v>
      </c>
      <c r="D2813" s="3" t="n">
        <v>16</v>
      </c>
      <c r="E2813" s="3" t="n">
        <v>11</v>
      </c>
      <c r="F2813" s="24" t="n">
        <v>0</v>
      </c>
    </row>
    <row r="2814" customFormat="false" ht="15" hidden="false" customHeight="false" outlineLevel="0" collapsed="false">
      <c r="A2814" s="3" t="n">
        <v>2813</v>
      </c>
      <c r="B2814" s="3" t="n">
        <v>2812</v>
      </c>
      <c r="C2814" s="3" t="n">
        <v>3</v>
      </c>
      <c r="D2814" s="3" t="n">
        <v>16</v>
      </c>
      <c r="E2814" s="3" t="n">
        <v>12</v>
      </c>
      <c r="F2814" s="24" t="n">
        <v>0</v>
      </c>
    </row>
    <row r="2815" customFormat="false" ht="15" hidden="false" customHeight="false" outlineLevel="0" collapsed="false">
      <c r="A2815" s="3" t="n">
        <v>2814</v>
      </c>
      <c r="B2815" s="3" t="n">
        <v>2813</v>
      </c>
      <c r="C2815" s="3" t="n">
        <v>3</v>
      </c>
      <c r="D2815" s="3" t="n">
        <v>16</v>
      </c>
      <c r="E2815" s="3" t="n">
        <v>13</v>
      </c>
      <c r="F2815" s="24" t="n">
        <v>0</v>
      </c>
    </row>
    <row r="2816" customFormat="false" ht="15" hidden="false" customHeight="false" outlineLevel="0" collapsed="false">
      <c r="A2816" s="3" t="n">
        <v>2815</v>
      </c>
      <c r="B2816" s="3" t="n">
        <v>2814</v>
      </c>
      <c r="C2816" s="3" t="n">
        <v>3</v>
      </c>
      <c r="D2816" s="3" t="n">
        <v>16</v>
      </c>
      <c r="E2816" s="3" t="n">
        <v>14</v>
      </c>
      <c r="F2816" s="24" t="n">
        <v>0.77085197</v>
      </c>
    </row>
    <row r="2817" customFormat="false" ht="15" hidden="false" customHeight="false" outlineLevel="0" collapsed="false">
      <c r="A2817" s="3" t="n">
        <v>2816</v>
      </c>
      <c r="B2817" s="3" t="n">
        <v>2815</v>
      </c>
      <c r="C2817" s="3" t="n">
        <v>3</v>
      </c>
      <c r="D2817" s="3" t="n">
        <v>16</v>
      </c>
      <c r="E2817" s="3" t="n">
        <v>15</v>
      </c>
      <c r="F2817" s="24" t="n">
        <v>1.59123802</v>
      </c>
    </row>
    <row r="2818" customFormat="false" ht="15" hidden="false" customHeight="false" outlineLevel="0" collapsed="false">
      <c r="A2818" s="3" t="n">
        <v>2817</v>
      </c>
      <c r="B2818" s="3" t="n">
        <v>2816</v>
      </c>
      <c r="C2818" s="3" t="n">
        <v>3</v>
      </c>
      <c r="D2818" s="3" t="n">
        <v>16</v>
      </c>
      <c r="E2818" s="3" t="n">
        <v>16</v>
      </c>
      <c r="F2818" s="24" t="n">
        <v>0</v>
      </c>
    </row>
    <row r="2819" customFormat="false" ht="15" hidden="false" customHeight="false" outlineLevel="0" collapsed="false">
      <c r="A2819" s="3" t="n">
        <v>2818</v>
      </c>
      <c r="B2819" s="3" t="n">
        <v>2817</v>
      </c>
      <c r="C2819" s="3" t="n">
        <v>3</v>
      </c>
      <c r="D2819" s="3" t="n">
        <v>16</v>
      </c>
      <c r="E2819" s="3" t="n">
        <v>17</v>
      </c>
      <c r="F2819" s="24" t="n">
        <v>0</v>
      </c>
    </row>
    <row r="2820" customFormat="false" ht="15" hidden="false" customHeight="false" outlineLevel="0" collapsed="false">
      <c r="A2820" s="3" t="n">
        <v>2819</v>
      </c>
      <c r="B2820" s="3" t="n">
        <v>2818</v>
      </c>
      <c r="C2820" s="3" t="n">
        <v>3</v>
      </c>
      <c r="D2820" s="3" t="n">
        <v>16</v>
      </c>
      <c r="E2820" s="3" t="n">
        <v>18</v>
      </c>
      <c r="F2820" s="24" t="n">
        <v>0</v>
      </c>
    </row>
    <row r="2821" customFormat="false" ht="15" hidden="false" customHeight="false" outlineLevel="0" collapsed="false">
      <c r="A2821" s="3" t="n">
        <v>2820</v>
      </c>
      <c r="B2821" s="3" t="n">
        <v>2819</v>
      </c>
      <c r="C2821" s="3" t="n">
        <v>3</v>
      </c>
      <c r="D2821" s="3" t="n">
        <v>16</v>
      </c>
      <c r="E2821" s="3" t="n">
        <v>19</v>
      </c>
      <c r="F2821" s="24" t="n">
        <v>0</v>
      </c>
    </row>
    <row r="2822" customFormat="false" ht="15" hidden="false" customHeight="false" outlineLevel="0" collapsed="false">
      <c r="A2822" s="3" t="n">
        <v>2821</v>
      </c>
      <c r="B2822" s="3" t="n">
        <v>2820</v>
      </c>
      <c r="C2822" s="3" t="n">
        <v>3</v>
      </c>
      <c r="D2822" s="3" t="n">
        <v>16</v>
      </c>
      <c r="E2822" s="3" t="n">
        <v>20</v>
      </c>
      <c r="F2822" s="24" t="n">
        <v>0</v>
      </c>
    </row>
    <row r="2823" customFormat="false" ht="15" hidden="false" customHeight="false" outlineLevel="0" collapsed="false">
      <c r="A2823" s="3" t="n">
        <v>2822</v>
      </c>
      <c r="B2823" s="3" t="n">
        <v>2821</v>
      </c>
      <c r="C2823" s="3" t="n">
        <v>3</v>
      </c>
      <c r="D2823" s="3" t="n">
        <v>16</v>
      </c>
      <c r="E2823" s="3" t="n">
        <v>21</v>
      </c>
      <c r="F2823" s="24" t="n">
        <v>0</v>
      </c>
    </row>
    <row r="2824" customFormat="false" ht="15" hidden="false" customHeight="false" outlineLevel="0" collapsed="false">
      <c r="A2824" s="3" t="n">
        <v>2823</v>
      </c>
      <c r="B2824" s="3" t="n">
        <v>2822</v>
      </c>
      <c r="C2824" s="3" t="n">
        <v>3</v>
      </c>
      <c r="D2824" s="3" t="n">
        <v>16</v>
      </c>
      <c r="E2824" s="3" t="n">
        <v>22</v>
      </c>
      <c r="F2824" s="24" t="n">
        <v>0</v>
      </c>
    </row>
    <row r="2825" customFormat="false" ht="15" hidden="false" customHeight="false" outlineLevel="0" collapsed="false">
      <c r="A2825" s="3" t="n">
        <v>2824</v>
      </c>
      <c r="B2825" s="3" t="n">
        <v>2823</v>
      </c>
      <c r="C2825" s="3" t="n">
        <v>3</v>
      </c>
      <c r="D2825" s="3" t="n">
        <v>16</v>
      </c>
      <c r="E2825" s="3" t="n">
        <v>23</v>
      </c>
      <c r="F2825" s="24" t="n">
        <v>0</v>
      </c>
    </row>
    <row r="2826" customFormat="false" ht="15" hidden="false" customHeight="false" outlineLevel="0" collapsed="false">
      <c r="A2826" s="3" t="n">
        <v>2825</v>
      </c>
      <c r="B2826" s="3" t="n">
        <v>2824</v>
      </c>
      <c r="C2826" s="3" t="n">
        <v>3</v>
      </c>
      <c r="D2826" s="3" t="n">
        <v>16</v>
      </c>
      <c r="E2826" s="3" t="n">
        <v>24</v>
      </c>
      <c r="F2826" s="24" t="n">
        <v>0</v>
      </c>
    </row>
    <row r="2827" customFormat="false" ht="15" hidden="false" customHeight="false" outlineLevel="0" collapsed="false">
      <c r="A2827" s="3" t="n">
        <v>2826</v>
      </c>
      <c r="B2827" s="3" t="n">
        <v>2825</v>
      </c>
      <c r="C2827" s="3" t="n">
        <v>3</v>
      </c>
      <c r="D2827" s="3" t="n">
        <v>16</v>
      </c>
      <c r="E2827" s="3" t="n">
        <v>25</v>
      </c>
      <c r="F2827" s="24" t="n">
        <v>0</v>
      </c>
    </row>
    <row r="2828" customFormat="false" ht="15" hidden="false" customHeight="false" outlineLevel="0" collapsed="false">
      <c r="A2828" s="3" t="n">
        <v>2827</v>
      </c>
      <c r="B2828" s="3" t="n">
        <v>2826</v>
      </c>
      <c r="C2828" s="3" t="n">
        <v>3</v>
      </c>
      <c r="D2828" s="3" t="n">
        <v>16</v>
      </c>
      <c r="E2828" s="3" t="n">
        <v>26</v>
      </c>
      <c r="F2828" s="24" t="n">
        <v>0</v>
      </c>
    </row>
    <row r="2829" customFormat="false" ht="15" hidden="false" customHeight="false" outlineLevel="0" collapsed="false">
      <c r="A2829" s="3" t="n">
        <v>2828</v>
      </c>
      <c r="B2829" s="3" t="n">
        <v>2827</v>
      </c>
      <c r="C2829" s="3" t="n">
        <v>3</v>
      </c>
      <c r="D2829" s="3" t="n">
        <v>16</v>
      </c>
      <c r="E2829" s="3" t="n">
        <v>27</v>
      </c>
      <c r="F2829" s="24" t="n">
        <v>0</v>
      </c>
    </row>
    <row r="2830" customFormat="false" ht="15" hidden="false" customHeight="false" outlineLevel="0" collapsed="false">
      <c r="A2830" s="3" t="n">
        <v>2829</v>
      </c>
      <c r="B2830" s="3" t="n">
        <v>2828</v>
      </c>
      <c r="C2830" s="3" t="n">
        <v>3</v>
      </c>
      <c r="D2830" s="3" t="n">
        <v>17</v>
      </c>
      <c r="E2830" s="3" t="n">
        <v>0</v>
      </c>
      <c r="F2830" s="24" t="n">
        <v>0.0962923914</v>
      </c>
    </row>
    <row r="2831" customFormat="false" ht="15" hidden="false" customHeight="false" outlineLevel="0" collapsed="false">
      <c r="A2831" s="3" t="n">
        <v>2830</v>
      </c>
      <c r="B2831" s="3" t="n">
        <v>2829</v>
      </c>
      <c r="C2831" s="3" t="n">
        <v>3</v>
      </c>
      <c r="D2831" s="3" t="n">
        <v>17</v>
      </c>
      <c r="E2831" s="3" t="n">
        <v>1</v>
      </c>
      <c r="F2831" s="24" t="n">
        <v>0</v>
      </c>
    </row>
    <row r="2832" customFormat="false" ht="15" hidden="false" customHeight="false" outlineLevel="0" collapsed="false">
      <c r="A2832" s="3" t="n">
        <v>2831</v>
      </c>
      <c r="B2832" s="3" t="n">
        <v>2830</v>
      </c>
      <c r="C2832" s="3" t="n">
        <v>3</v>
      </c>
      <c r="D2832" s="3" t="n">
        <v>17</v>
      </c>
      <c r="E2832" s="3" t="n">
        <v>2</v>
      </c>
      <c r="F2832" s="24" t="n">
        <v>0</v>
      </c>
    </row>
    <row r="2833" customFormat="false" ht="15" hidden="false" customHeight="false" outlineLevel="0" collapsed="false">
      <c r="A2833" s="3" t="n">
        <v>2832</v>
      </c>
      <c r="B2833" s="3" t="n">
        <v>2831</v>
      </c>
      <c r="C2833" s="3" t="n">
        <v>3</v>
      </c>
      <c r="D2833" s="3" t="n">
        <v>17</v>
      </c>
      <c r="E2833" s="3" t="n">
        <v>3</v>
      </c>
      <c r="F2833" s="24" t="n">
        <v>0</v>
      </c>
    </row>
    <row r="2834" customFormat="false" ht="15" hidden="false" customHeight="false" outlineLevel="0" collapsed="false">
      <c r="A2834" s="3" t="n">
        <v>2833</v>
      </c>
      <c r="B2834" s="3" t="n">
        <v>2832</v>
      </c>
      <c r="C2834" s="3" t="n">
        <v>3</v>
      </c>
      <c r="D2834" s="3" t="n">
        <v>17</v>
      </c>
      <c r="E2834" s="3" t="n">
        <v>4</v>
      </c>
      <c r="F2834" s="24" t="n">
        <v>0</v>
      </c>
    </row>
    <row r="2835" customFormat="false" ht="15" hidden="false" customHeight="false" outlineLevel="0" collapsed="false">
      <c r="A2835" s="3" t="n">
        <v>2834</v>
      </c>
      <c r="B2835" s="3" t="n">
        <v>2833</v>
      </c>
      <c r="C2835" s="3" t="n">
        <v>3</v>
      </c>
      <c r="D2835" s="3" t="n">
        <v>17</v>
      </c>
      <c r="E2835" s="3" t="n">
        <v>5</v>
      </c>
      <c r="F2835" s="24" t="n">
        <v>0</v>
      </c>
    </row>
    <row r="2836" customFormat="false" ht="15" hidden="false" customHeight="false" outlineLevel="0" collapsed="false">
      <c r="A2836" s="3" t="n">
        <v>2835</v>
      </c>
      <c r="B2836" s="3" t="n">
        <v>2834</v>
      </c>
      <c r="C2836" s="3" t="n">
        <v>3</v>
      </c>
      <c r="D2836" s="3" t="n">
        <v>17</v>
      </c>
      <c r="E2836" s="3" t="n">
        <v>6</v>
      </c>
      <c r="F2836" s="24" t="n">
        <v>0</v>
      </c>
    </row>
    <row r="2837" customFormat="false" ht="15" hidden="false" customHeight="false" outlineLevel="0" collapsed="false">
      <c r="A2837" s="3" t="n">
        <v>2836</v>
      </c>
      <c r="B2837" s="3" t="n">
        <v>2835</v>
      </c>
      <c r="C2837" s="3" t="n">
        <v>3</v>
      </c>
      <c r="D2837" s="3" t="n">
        <v>17</v>
      </c>
      <c r="E2837" s="3" t="n">
        <v>7</v>
      </c>
      <c r="F2837" s="24" t="n">
        <v>0</v>
      </c>
    </row>
    <row r="2838" customFormat="false" ht="15" hidden="false" customHeight="false" outlineLevel="0" collapsed="false">
      <c r="A2838" s="3" t="n">
        <v>2837</v>
      </c>
      <c r="B2838" s="3" t="n">
        <v>2836</v>
      </c>
      <c r="C2838" s="3" t="n">
        <v>3</v>
      </c>
      <c r="D2838" s="3" t="n">
        <v>17</v>
      </c>
      <c r="E2838" s="3" t="n">
        <v>8</v>
      </c>
      <c r="F2838" s="24" t="n">
        <v>0</v>
      </c>
    </row>
    <row r="2839" customFormat="false" ht="15" hidden="false" customHeight="false" outlineLevel="0" collapsed="false">
      <c r="A2839" s="3" t="n">
        <v>2838</v>
      </c>
      <c r="B2839" s="3" t="n">
        <v>2837</v>
      </c>
      <c r="C2839" s="3" t="n">
        <v>3</v>
      </c>
      <c r="D2839" s="3" t="n">
        <v>17</v>
      </c>
      <c r="E2839" s="3" t="n">
        <v>9</v>
      </c>
      <c r="F2839" s="24" t="n">
        <v>0</v>
      </c>
    </row>
    <row r="2840" customFormat="false" ht="15" hidden="false" customHeight="false" outlineLevel="0" collapsed="false">
      <c r="A2840" s="3" t="n">
        <v>2839</v>
      </c>
      <c r="B2840" s="3" t="n">
        <v>2838</v>
      </c>
      <c r="C2840" s="3" t="n">
        <v>3</v>
      </c>
      <c r="D2840" s="3" t="n">
        <v>17</v>
      </c>
      <c r="E2840" s="3" t="n">
        <v>10</v>
      </c>
      <c r="F2840" s="24" t="n">
        <v>0</v>
      </c>
    </row>
    <row r="2841" customFormat="false" ht="15" hidden="false" customHeight="false" outlineLevel="0" collapsed="false">
      <c r="A2841" s="3" t="n">
        <v>2840</v>
      </c>
      <c r="B2841" s="3" t="n">
        <v>2839</v>
      </c>
      <c r="C2841" s="3" t="n">
        <v>3</v>
      </c>
      <c r="D2841" s="3" t="n">
        <v>17</v>
      </c>
      <c r="E2841" s="3" t="n">
        <v>11</v>
      </c>
      <c r="F2841" s="24" t="n">
        <v>0</v>
      </c>
    </row>
    <row r="2842" customFormat="false" ht="15" hidden="false" customHeight="false" outlineLevel="0" collapsed="false">
      <c r="A2842" s="3" t="n">
        <v>2841</v>
      </c>
      <c r="B2842" s="3" t="n">
        <v>2840</v>
      </c>
      <c r="C2842" s="3" t="n">
        <v>3</v>
      </c>
      <c r="D2842" s="3" t="n">
        <v>17</v>
      </c>
      <c r="E2842" s="3" t="n">
        <v>12</v>
      </c>
      <c r="F2842" s="24" t="n">
        <v>0</v>
      </c>
    </row>
    <row r="2843" customFormat="false" ht="15" hidden="false" customHeight="false" outlineLevel="0" collapsed="false">
      <c r="A2843" s="3" t="n">
        <v>2842</v>
      </c>
      <c r="B2843" s="3" t="n">
        <v>2841</v>
      </c>
      <c r="C2843" s="3" t="n">
        <v>3</v>
      </c>
      <c r="D2843" s="3" t="n">
        <v>17</v>
      </c>
      <c r="E2843" s="3" t="n">
        <v>13</v>
      </c>
      <c r="F2843" s="24" t="n">
        <v>0.425068557</v>
      </c>
    </row>
    <row r="2844" customFormat="false" ht="15" hidden="false" customHeight="false" outlineLevel="0" collapsed="false">
      <c r="A2844" s="3" t="n">
        <v>2843</v>
      </c>
      <c r="B2844" s="3" t="n">
        <v>2842</v>
      </c>
      <c r="C2844" s="3" t="n">
        <v>3</v>
      </c>
      <c r="D2844" s="3" t="n">
        <v>17</v>
      </c>
      <c r="E2844" s="3" t="n">
        <v>14</v>
      </c>
      <c r="F2844" s="24" t="n">
        <v>2.26399755</v>
      </c>
    </row>
    <row r="2845" customFormat="false" ht="15" hidden="false" customHeight="false" outlineLevel="0" collapsed="false">
      <c r="A2845" s="3" t="n">
        <v>2844</v>
      </c>
      <c r="B2845" s="3" t="n">
        <v>2843</v>
      </c>
      <c r="C2845" s="3" t="n">
        <v>3</v>
      </c>
      <c r="D2845" s="3" t="n">
        <v>17</v>
      </c>
      <c r="E2845" s="3" t="n">
        <v>15</v>
      </c>
      <c r="F2845" s="24" t="n">
        <v>1.5722816</v>
      </c>
    </row>
    <row r="2846" customFormat="false" ht="15" hidden="false" customHeight="false" outlineLevel="0" collapsed="false">
      <c r="A2846" s="3" t="n">
        <v>2845</v>
      </c>
      <c r="B2846" s="3" t="n">
        <v>2844</v>
      </c>
      <c r="C2846" s="3" t="n">
        <v>3</v>
      </c>
      <c r="D2846" s="3" t="n">
        <v>17</v>
      </c>
      <c r="E2846" s="3" t="n">
        <v>16</v>
      </c>
      <c r="F2846" s="24" t="n">
        <v>0</v>
      </c>
    </row>
    <row r="2847" customFormat="false" ht="15" hidden="false" customHeight="false" outlineLevel="0" collapsed="false">
      <c r="A2847" s="3" t="n">
        <v>2846</v>
      </c>
      <c r="B2847" s="3" t="n">
        <v>2845</v>
      </c>
      <c r="C2847" s="3" t="n">
        <v>3</v>
      </c>
      <c r="D2847" s="3" t="n">
        <v>17</v>
      </c>
      <c r="E2847" s="3" t="n">
        <v>17</v>
      </c>
      <c r="F2847" s="24" t="n">
        <v>0</v>
      </c>
    </row>
    <row r="2848" customFormat="false" ht="15" hidden="false" customHeight="false" outlineLevel="0" collapsed="false">
      <c r="A2848" s="3" t="n">
        <v>2847</v>
      </c>
      <c r="B2848" s="3" t="n">
        <v>2846</v>
      </c>
      <c r="C2848" s="3" t="n">
        <v>3</v>
      </c>
      <c r="D2848" s="3" t="n">
        <v>17</v>
      </c>
      <c r="E2848" s="3" t="n">
        <v>18</v>
      </c>
      <c r="F2848" s="24" t="n">
        <v>0</v>
      </c>
    </row>
    <row r="2849" customFormat="false" ht="15" hidden="false" customHeight="false" outlineLevel="0" collapsed="false">
      <c r="A2849" s="3" t="n">
        <v>2848</v>
      </c>
      <c r="B2849" s="3" t="n">
        <v>2847</v>
      </c>
      <c r="C2849" s="3" t="n">
        <v>3</v>
      </c>
      <c r="D2849" s="3" t="n">
        <v>17</v>
      </c>
      <c r="E2849" s="3" t="n">
        <v>19</v>
      </c>
      <c r="F2849" s="24" t="n">
        <v>0</v>
      </c>
    </row>
    <row r="2850" customFormat="false" ht="15" hidden="false" customHeight="false" outlineLevel="0" collapsed="false">
      <c r="A2850" s="3" t="n">
        <v>2849</v>
      </c>
      <c r="B2850" s="3" t="n">
        <v>2848</v>
      </c>
      <c r="C2850" s="3" t="n">
        <v>3</v>
      </c>
      <c r="D2850" s="3" t="n">
        <v>17</v>
      </c>
      <c r="E2850" s="3" t="n">
        <v>20</v>
      </c>
      <c r="F2850" s="24" t="n">
        <v>0</v>
      </c>
    </row>
    <row r="2851" customFormat="false" ht="15" hidden="false" customHeight="false" outlineLevel="0" collapsed="false">
      <c r="A2851" s="3" t="n">
        <v>2850</v>
      </c>
      <c r="B2851" s="3" t="n">
        <v>2849</v>
      </c>
      <c r="C2851" s="3" t="n">
        <v>3</v>
      </c>
      <c r="D2851" s="3" t="n">
        <v>17</v>
      </c>
      <c r="E2851" s="3" t="n">
        <v>21</v>
      </c>
      <c r="F2851" s="24" t="n">
        <v>0</v>
      </c>
    </row>
    <row r="2852" customFormat="false" ht="15" hidden="false" customHeight="false" outlineLevel="0" collapsed="false">
      <c r="A2852" s="3" t="n">
        <v>2851</v>
      </c>
      <c r="B2852" s="3" t="n">
        <v>2850</v>
      </c>
      <c r="C2852" s="3" t="n">
        <v>3</v>
      </c>
      <c r="D2852" s="3" t="n">
        <v>17</v>
      </c>
      <c r="E2852" s="3" t="n">
        <v>22</v>
      </c>
      <c r="F2852" s="24" t="n">
        <v>0</v>
      </c>
    </row>
    <row r="2853" customFormat="false" ht="15" hidden="false" customHeight="false" outlineLevel="0" collapsed="false">
      <c r="A2853" s="3" t="n">
        <v>2852</v>
      </c>
      <c r="B2853" s="3" t="n">
        <v>2851</v>
      </c>
      <c r="C2853" s="3" t="n">
        <v>3</v>
      </c>
      <c r="D2853" s="3" t="n">
        <v>17</v>
      </c>
      <c r="E2853" s="3" t="n">
        <v>23</v>
      </c>
      <c r="F2853" s="24" t="n">
        <v>0</v>
      </c>
    </row>
    <row r="2854" customFormat="false" ht="15" hidden="false" customHeight="false" outlineLevel="0" collapsed="false">
      <c r="A2854" s="3" t="n">
        <v>2853</v>
      </c>
      <c r="B2854" s="3" t="n">
        <v>2852</v>
      </c>
      <c r="C2854" s="3" t="n">
        <v>3</v>
      </c>
      <c r="D2854" s="3" t="n">
        <v>17</v>
      </c>
      <c r="E2854" s="3" t="n">
        <v>24</v>
      </c>
      <c r="F2854" s="24" t="n">
        <v>0</v>
      </c>
    </row>
    <row r="2855" customFormat="false" ht="15" hidden="false" customHeight="false" outlineLevel="0" collapsed="false">
      <c r="A2855" s="3" t="n">
        <v>2854</v>
      </c>
      <c r="B2855" s="3" t="n">
        <v>2853</v>
      </c>
      <c r="C2855" s="3" t="n">
        <v>3</v>
      </c>
      <c r="D2855" s="3" t="n">
        <v>17</v>
      </c>
      <c r="E2855" s="3" t="n">
        <v>25</v>
      </c>
      <c r="F2855" s="24" t="n">
        <v>0</v>
      </c>
    </row>
    <row r="2856" customFormat="false" ht="15" hidden="false" customHeight="false" outlineLevel="0" collapsed="false">
      <c r="A2856" s="3" t="n">
        <v>2855</v>
      </c>
      <c r="B2856" s="3" t="n">
        <v>2854</v>
      </c>
      <c r="C2856" s="3" t="n">
        <v>3</v>
      </c>
      <c r="D2856" s="3" t="n">
        <v>17</v>
      </c>
      <c r="E2856" s="3" t="n">
        <v>26</v>
      </c>
      <c r="F2856" s="24" t="n">
        <v>0</v>
      </c>
    </row>
    <row r="2857" customFormat="false" ht="15" hidden="false" customHeight="false" outlineLevel="0" collapsed="false">
      <c r="A2857" s="3" t="n">
        <v>2856</v>
      </c>
      <c r="B2857" s="3" t="n">
        <v>2855</v>
      </c>
      <c r="C2857" s="3" t="n">
        <v>3</v>
      </c>
      <c r="D2857" s="3" t="n">
        <v>17</v>
      </c>
      <c r="E2857" s="3" t="n">
        <v>27</v>
      </c>
      <c r="F2857" s="24" t="n">
        <v>0</v>
      </c>
    </row>
    <row r="2858" customFormat="false" ht="15" hidden="false" customHeight="false" outlineLevel="0" collapsed="false">
      <c r="A2858" s="3" t="n">
        <v>2857</v>
      </c>
      <c r="B2858" s="3" t="n">
        <v>2856</v>
      </c>
      <c r="C2858" s="3" t="n">
        <v>3</v>
      </c>
      <c r="D2858" s="3" t="n">
        <v>18</v>
      </c>
      <c r="E2858" s="3" t="n">
        <v>0</v>
      </c>
      <c r="F2858" s="24" t="n">
        <v>0.0962923914</v>
      </c>
    </row>
    <row r="2859" customFormat="false" ht="15" hidden="false" customHeight="false" outlineLevel="0" collapsed="false">
      <c r="A2859" s="3" t="n">
        <v>2858</v>
      </c>
      <c r="B2859" s="3" t="n">
        <v>2857</v>
      </c>
      <c r="C2859" s="3" t="n">
        <v>3</v>
      </c>
      <c r="D2859" s="3" t="n">
        <v>18</v>
      </c>
      <c r="E2859" s="3" t="n">
        <v>1</v>
      </c>
      <c r="F2859" s="24" t="n">
        <v>0</v>
      </c>
    </row>
    <row r="2860" customFormat="false" ht="15" hidden="false" customHeight="false" outlineLevel="0" collapsed="false">
      <c r="A2860" s="3" t="n">
        <v>2859</v>
      </c>
      <c r="B2860" s="3" t="n">
        <v>2858</v>
      </c>
      <c r="C2860" s="3" t="n">
        <v>3</v>
      </c>
      <c r="D2860" s="3" t="n">
        <v>18</v>
      </c>
      <c r="E2860" s="3" t="n">
        <v>2</v>
      </c>
      <c r="F2860" s="24" t="n">
        <v>0</v>
      </c>
    </row>
    <row r="2861" customFormat="false" ht="15" hidden="false" customHeight="false" outlineLevel="0" collapsed="false">
      <c r="A2861" s="3" t="n">
        <v>2860</v>
      </c>
      <c r="B2861" s="3" t="n">
        <v>2859</v>
      </c>
      <c r="C2861" s="3" t="n">
        <v>3</v>
      </c>
      <c r="D2861" s="3" t="n">
        <v>18</v>
      </c>
      <c r="E2861" s="3" t="n">
        <v>3</v>
      </c>
      <c r="F2861" s="24" t="n">
        <v>0</v>
      </c>
    </row>
    <row r="2862" customFormat="false" ht="15" hidden="false" customHeight="false" outlineLevel="0" collapsed="false">
      <c r="A2862" s="3" t="n">
        <v>2861</v>
      </c>
      <c r="B2862" s="3" t="n">
        <v>2860</v>
      </c>
      <c r="C2862" s="3" t="n">
        <v>3</v>
      </c>
      <c r="D2862" s="3" t="n">
        <v>18</v>
      </c>
      <c r="E2862" s="3" t="n">
        <v>4</v>
      </c>
      <c r="F2862" s="24" t="n">
        <v>0</v>
      </c>
    </row>
    <row r="2863" customFormat="false" ht="15" hidden="false" customHeight="false" outlineLevel="0" collapsed="false">
      <c r="A2863" s="3" t="n">
        <v>2862</v>
      </c>
      <c r="B2863" s="3" t="n">
        <v>2861</v>
      </c>
      <c r="C2863" s="3" t="n">
        <v>3</v>
      </c>
      <c r="D2863" s="3" t="n">
        <v>18</v>
      </c>
      <c r="E2863" s="3" t="n">
        <v>5</v>
      </c>
      <c r="F2863" s="24" t="n">
        <v>0</v>
      </c>
    </row>
    <row r="2864" customFormat="false" ht="15" hidden="false" customHeight="false" outlineLevel="0" collapsed="false">
      <c r="A2864" s="3" t="n">
        <v>2863</v>
      </c>
      <c r="B2864" s="3" t="n">
        <v>2862</v>
      </c>
      <c r="C2864" s="3" t="n">
        <v>3</v>
      </c>
      <c r="D2864" s="3" t="n">
        <v>18</v>
      </c>
      <c r="E2864" s="3" t="n">
        <v>6</v>
      </c>
      <c r="F2864" s="24" t="n">
        <v>0</v>
      </c>
    </row>
    <row r="2865" customFormat="false" ht="15" hidden="false" customHeight="false" outlineLevel="0" collapsed="false">
      <c r="A2865" s="3" t="n">
        <v>2864</v>
      </c>
      <c r="B2865" s="3" t="n">
        <v>2863</v>
      </c>
      <c r="C2865" s="3" t="n">
        <v>3</v>
      </c>
      <c r="D2865" s="3" t="n">
        <v>18</v>
      </c>
      <c r="E2865" s="3" t="n">
        <v>7</v>
      </c>
      <c r="F2865" s="24" t="n">
        <v>0</v>
      </c>
    </row>
    <row r="2866" customFormat="false" ht="15" hidden="false" customHeight="false" outlineLevel="0" collapsed="false">
      <c r="A2866" s="3" t="n">
        <v>2865</v>
      </c>
      <c r="B2866" s="3" t="n">
        <v>2864</v>
      </c>
      <c r="C2866" s="3" t="n">
        <v>3</v>
      </c>
      <c r="D2866" s="3" t="n">
        <v>18</v>
      </c>
      <c r="E2866" s="3" t="n">
        <v>8</v>
      </c>
      <c r="F2866" s="24" t="n">
        <v>0</v>
      </c>
    </row>
    <row r="2867" customFormat="false" ht="15" hidden="false" customHeight="false" outlineLevel="0" collapsed="false">
      <c r="A2867" s="3" t="n">
        <v>2866</v>
      </c>
      <c r="B2867" s="3" t="n">
        <v>2865</v>
      </c>
      <c r="C2867" s="3" t="n">
        <v>3</v>
      </c>
      <c r="D2867" s="3" t="n">
        <v>18</v>
      </c>
      <c r="E2867" s="3" t="n">
        <v>9</v>
      </c>
      <c r="F2867" s="24" t="n">
        <v>0</v>
      </c>
    </row>
    <row r="2868" customFormat="false" ht="15" hidden="false" customHeight="false" outlineLevel="0" collapsed="false">
      <c r="A2868" s="3" t="n">
        <v>2867</v>
      </c>
      <c r="B2868" s="3" t="n">
        <v>2866</v>
      </c>
      <c r="C2868" s="3" t="n">
        <v>3</v>
      </c>
      <c r="D2868" s="3" t="n">
        <v>18</v>
      </c>
      <c r="E2868" s="3" t="n">
        <v>10</v>
      </c>
      <c r="F2868" s="24" t="n">
        <v>0</v>
      </c>
    </row>
    <row r="2869" customFormat="false" ht="15" hidden="false" customHeight="false" outlineLevel="0" collapsed="false">
      <c r="A2869" s="3" t="n">
        <v>2868</v>
      </c>
      <c r="B2869" s="3" t="n">
        <v>2867</v>
      </c>
      <c r="C2869" s="3" t="n">
        <v>3</v>
      </c>
      <c r="D2869" s="3" t="n">
        <v>18</v>
      </c>
      <c r="E2869" s="3" t="n">
        <v>11</v>
      </c>
      <c r="F2869" s="24" t="n">
        <v>0</v>
      </c>
    </row>
    <row r="2870" customFormat="false" ht="15" hidden="false" customHeight="false" outlineLevel="0" collapsed="false">
      <c r="A2870" s="3" t="n">
        <v>2869</v>
      </c>
      <c r="B2870" s="3" t="n">
        <v>2868</v>
      </c>
      <c r="C2870" s="3" t="n">
        <v>3</v>
      </c>
      <c r="D2870" s="3" t="n">
        <v>18</v>
      </c>
      <c r="E2870" s="3" t="n">
        <v>12</v>
      </c>
      <c r="F2870" s="24" t="n">
        <v>0.0907611996</v>
      </c>
    </row>
    <row r="2871" customFormat="false" ht="15" hidden="false" customHeight="false" outlineLevel="0" collapsed="false">
      <c r="A2871" s="3" t="n">
        <v>2870</v>
      </c>
      <c r="B2871" s="3" t="n">
        <v>2869</v>
      </c>
      <c r="C2871" s="3" t="n">
        <v>3</v>
      </c>
      <c r="D2871" s="3" t="n">
        <v>18</v>
      </c>
      <c r="E2871" s="3" t="n">
        <v>13</v>
      </c>
      <c r="F2871" s="24" t="n">
        <v>1.71719086</v>
      </c>
    </row>
    <row r="2872" customFormat="false" ht="15" hidden="false" customHeight="false" outlineLevel="0" collapsed="false">
      <c r="A2872" s="3" t="n">
        <v>2871</v>
      </c>
      <c r="B2872" s="3" t="n">
        <v>2870</v>
      </c>
      <c r="C2872" s="3" t="n">
        <v>3</v>
      </c>
      <c r="D2872" s="3" t="n">
        <v>18</v>
      </c>
      <c r="E2872" s="3" t="n">
        <v>14</v>
      </c>
      <c r="F2872" s="24" t="n">
        <v>2.26849771</v>
      </c>
    </row>
    <row r="2873" customFormat="false" ht="15" hidden="false" customHeight="false" outlineLevel="0" collapsed="false">
      <c r="A2873" s="3" t="n">
        <v>2872</v>
      </c>
      <c r="B2873" s="3" t="n">
        <v>2871</v>
      </c>
      <c r="C2873" s="3" t="n">
        <v>3</v>
      </c>
      <c r="D2873" s="3" t="n">
        <v>18</v>
      </c>
      <c r="E2873" s="3" t="n">
        <v>15</v>
      </c>
      <c r="F2873" s="24" t="n">
        <v>0.449450135</v>
      </c>
    </row>
    <row r="2874" customFormat="false" ht="15" hidden="false" customHeight="false" outlineLevel="0" collapsed="false">
      <c r="A2874" s="3" t="n">
        <v>2873</v>
      </c>
      <c r="B2874" s="3" t="n">
        <v>2872</v>
      </c>
      <c r="C2874" s="3" t="n">
        <v>3</v>
      </c>
      <c r="D2874" s="3" t="n">
        <v>18</v>
      </c>
      <c r="E2874" s="3" t="n">
        <v>16</v>
      </c>
      <c r="F2874" s="24" t="n">
        <v>0</v>
      </c>
    </row>
    <row r="2875" customFormat="false" ht="15" hidden="false" customHeight="false" outlineLevel="0" collapsed="false">
      <c r="A2875" s="3" t="n">
        <v>2874</v>
      </c>
      <c r="B2875" s="3" t="n">
        <v>2873</v>
      </c>
      <c r="C2875" s="3" t="n">
        <v>3</v>
      </c>
      <c r="D2875" s="3" t="n">
        <v>18</v>
      </c>
      <c r="E2875" s="3" t="n">
        <v>17</v>
      </c>
      <c r="F2875" s="24" t="n">
        <v>0</v>
      </c>
    </row>
    <row r="2876" customFormat="false" ht="15" hidden="false" customHeight="false" outlineLevel="0" collapsed="false">
      <c r="A2876" s="3" t="n">
        <v>2875</v>
      </c>
      <c r="B2876" s="3" t="n">
        <v>2874</v>
      </c>
      <c r="C2876" s="3" t="n">
        <v>3</v>
      </c>
      <c r="D2876" s="3" t="n">
        <v>18</v>
      </c>
      <c r="E2876" s="3" t="n">
        <v>18</v>
      </c>
      <c r="F2876" s="24" t="n">
        <v>0</v>
      </c>
    </row>
    <row r="2877" customFormat="false" ht="15" hidden="false" customHeight="false" outlineLevel="0" collapsed="false">
      <c r="A2877" s="3" t="n">
        <v>2876</v>
      </c>
      <c r="B2877" s="3" t="n">
        <v>2875</v>
      </c>
      <c r="C2877" s="3" t="n">
        <v>3</v>
      </c>
      <c r="D2877" s="3" t="n">
        <v>18</v>
      </c>
      <c r="E2877" s="3" t="n">
        <v>19</v>
      </c>
      <c r="F2877" s="24" t="n">
        <v>0</v>
      </c>
    </row>
    <row r="2878" customFormat="false" ht="15" hidden="false" customHeight="false" outlineLevel="0" collapsed="false">
      <c r="A2878" s="3" t="n">
        <v>2877</v>
      </c>
      <c r="B2878" s="3" t="n">
        <v>2876</v>
      </c>
      <c r="C2878" s="3" t="n">
        <v>3</v>
      </c>
      <c r="D2878" s="3" t="n">
        <v>18</v>
      </c>
      <c r="E2878" s="3" t="n">
        <v>20</v>
      </c>
      <c r="F2878" s="24" t="n">
        <v>0</v>
      </c>
    </row>
    <row r="2879" customFormat="false" ht="15" hidden="false" customHeight="false" outlineLevel="0" collapsed="false">
      <c r="A2879" s="3" t="n">
        <v>2878</v>
      </c>
      <c r="B2879" s="3" t="n">
        <v>2877</v>
      </c>
      <c r="C2879" s="3" t="n">
        <v>3</v>
      </c>
      <c r="D2879" s="3" t="n">
        <v>18</v>
      </c>
      <c r="E2879" s="3" t="n">
        <v>21</v>
      </c>
      <c r="F2879" s="24" t="n">
        <v>0</v>
      </c>
    </row>
    <row r="2880" customFormat="false" ht="15" hidden="false" customHeight="false" outlineLevel="0" collapsed="false">
      <c r="A2880" s="3" t="n">
        <v>2879</v>
      </c>
      <c r="B2880" s="3" t="n">
        <v>2878</v>
      </c>
      <c r="C2880" s="3" t="n">
        <v>3</v>
      </c>
      <c r="D2880" s="3" t="n">
        <v>18</v>
      </c>
      <c r="E2880" s="3" t="n">
        <v>22</v>
      </c>
      <c r="F2880" s="24" t="n">
        <v>0</v>
      </c>
    </row>
    <row r="2881" customFormat="false" ht="15" hidden="false" customHeight="false" outlineLevel="0" collapsed="false">
      <c r="A2881" s="3" t="n">
        <v>2880</v>
      </c>
      <c r="B2881" s="3" t="n">
        <v>2879</v>
      </c>
      <c r="C2881" s="3" t="n">
        <v>3</v>
      </c>
      <c r="D2881" s="3" t="n">
        <v>18</v>
      </c>
      <c r="E2881" s="3" t="n">
        <v>23</v>
      </c>
      <c r="F2881" s="24" t="n">
        <v>0</v>
      </c>
    </row>
    <row r="2882" customFormat="false" ht="15" hidden="false" customHeight="false" outlineLevel="0" collapsed="false">
      <c r="A2882" s="3" t="n">
        <v>2881</v>
      </c>
      <c r="B2882" s="3" t="n">
        <v>2880</v>
      </c>
      <c r="C2882" s="3" t="n">
        <v>3</v>
      </c>
      <c r="D2882" s="3" t="n">
        <v>18</v>
      </c>
      <c r="E2882" s="3" t="n">
        <v>24</v>
      </c>
      <c r="F2882" s="24" t="n">
        <v>0</v>
      </c>
    </row>
    <row r="2883" customFormat="false" ht="15" hidden="false" customHeight="false" outlineLevel="0" collapsed="false">
      <c r="A2883" s="3" t="n">
        <v>2882</v>
      </c>
      <c r="B2883" s="3" t="n">
        <v>2881</v>
      </c>
      <c r="C2883" s="3" t="n">
        <v>3</v>
      </c>
      <c r="D2883" s="3" t="n">
        <v>18</v>
      </c>
      <c r="E2883" s="3" t="n">
        <v>25</v>
      </c>
      <c r="F2883" s="24" t="n">
        <v>0</v>
      </c>
    </row>
    <row r="2884" customFormat="false" ht="15" hidden="false" customHeight="false" outlineLevel="0" collapsed="false">
      <c r="A2884" s="3" t="n">
        <v>2883</v>
      </c>
      <c r="B2884" s="3" t="n">
        <v>2882</v>
      </c>
      <c r="C2884" s="3" t="n">
        <v>3</v>
      </c>
      <c r="D2884" s="3" t="n">
        <v>18</v>
      </c>
      <c r="E2884" s="3" t="n">
        <v>26</v>
      </c>
      <c r="F2884" s="24" t="n">
        <v>0</v>
      </c>
    </row>
    <row r="2885" customFormat="false" ht="15" hidden="false" customHeight="false" outlineLevel="0" collapsed="false">
      <c r="A2885" s="3" t="n">
        <v>2884</v>
      </c>
      <c r="B2885" s="3" t="n">
        <v>2883</v>
      </c>
      <c r="C2885" s="3" t="n">
        <v>3</v>
      </c>
      <c r="D2885" s="3" t="n">
        <v>18</v>
      </c>
      <c r="E2885" s="3" t="n">
        <v>27</v>
      </c>
      <c r="F2885" s="24" t="n">
        <v>0</v>
      </c>
    </row>
    <row r="2886" customFormat="false" ht="15" hidden="false" customHeight="false" outlineLevel="0" collapsed="false">
      <c r="A2886" s="3" t="n">
        <v>2885</v>
      </c>
      <c r="B2886" s="3" t="n">
        <v>2884</v>
      </c>
      <c r="C2886" s="3" t="n">
        <v>3</v>
      </c>
      <c r="D2886" s="3" t="n">
        <v>19</v>
      </c>
      <c r="E2886" s="3" t="n">
        <v>0</v>
      </c>
      <c r="F2886" s="24" t="n">
        <v>0.0962923914</v>
      </c>
    </row>
    <row r="2887" customFormat="false" ht="15" hidden="false" customHeight="false" outlineLevel="0" collapsed="false">
      <c r="A2887" s="3" t="n">
        <v>2886</v>
      </c>
      <c r="B2887" s="3" t="n">
        <v>2885</v>
      </c>
      <c r="C2887" s="3" t="n">
        <v>3</v>
      </c>
      <c r="D2887" s="3" t="n">
        <v>19</v>
      </c>
      <c r="E2887" s="3" t="n">
        <v>1</v>
      </c>
      <c r="F2887" s="24" t="n">
        <v>0</v>
      </c>
    </row>
    <row r="2888" customFormat="false" ht="15" hidden="false" customHeight="false" outlineLevel="0" collapsed="false">
      <c r="A2888" s="3" t="n">
        <v>2887</v>
      </c>
      <c r="B2888" s="3" t="n">
        <v>2886</v>
      </c>
      <c r="C2888" s="3" t="n">
        <v>3</v>
      </c>
      <c r="D2888" s="3" t="n">
        <v>19</v>
      </c>
      <c r="E2888" s="3" t="n">
        <v>2</v>
      </c>
      <c r="F2888" s="24" t="n">
        <v>0</v>
      </c>
    </row>
    <row r="2889" customFormat="false" ht="15" hidden="false" customHeight="false" outlineLevel="0" collapsed="false">
      <c r="A2889" s="3" t="n">
        <v>2888</v>
      </c>
      <c r="B2889" s="3" t="n">
        <v>2887</v>
      </c>
      <c r="C2889" s="3" t="n">
        <v>3</v>
      </c>
      <c r="D2889" s="3" t="n">
        <v>19</v>
      </c>
      <c r="E2889" s="3" t="n">
        <v>3</v>
      </c>
      <c r="F2889" s="24" t="n">
        <v>0</v>
      </c>
    </row>
    <row r="2890" customFormat="false" ht="15" hidden="false" customHeight="false" outlineLevel="0" collapsed="false">
      <c r="A2890" s="3" t="n">
        <v>2889</v>
      </c>
      <c r="B2890" s="3" t="n">
        <v>2888</v>
      </c>
      <c r="C2890" s="3" t="n">
        <v>3</v>
      </c>
      <c r="D2890" s="3" t="n">
        <v>19</v>
      </c>
      <c r="E2890" s="3" t="n">
        <v>4</v>
      </c>
      <c r="F2890" s="24" t="n">
        <v>0</v>
      </c>
    </row>
    <row r="2891" customFormat="false" ht="15" hidden="false" customHeight="false" outlineLevel="0" collapsed="false">
      <c r="A2891" s="3" t="n">
        <v>2890</v>
      </c>
      <c r="B2891" s="3" t="n">
        <v>2889</v>
      </c>
      <c r="C2891" s="3" t="n">
        <v>3</v>
      </c>
      <c r="D2891" s="3" t="n">
        <v>19</v>
      </c>
      <c r="E2891" s="3" t="n">
        <v>5</v>
      </c>
      <c r="F2891" s="24" t="n">
        <v>0</v>
      </c>
    </row>
    <row r="2892" customFormat="false" ht="15" hidden="false" customHeight="false" outlineLevel="0" collapsed="false">
      <c r="A2892" s="3" t="n">
        <v>2891</v>
      </c>
      <c r="B2892" s="3" t="n">
        <v>2890</v>
      </c>
      <c r="C2892" s="3" t="n">
        <v>3</v>
      </c>
      <c r="D2892" s="3" t="n">
        <v>19</v>
      </c>
      <c r="E2892" s="3" t="n">
        <v>6</v>
      </c>
      <c r="F2892" s="24" t="n">
        <v>0</v>
      </c>
    </row>
    <row r="2893" customFormat="false" ht="15" hidden="false" customHeight="false" outlineLevel="0" collapsed="false">
      <c r="A2893" s="3" t="n">
        <v>2892</v>
      </c>
      <c r="B2893" s="3" t="n">
        <v>2891</v>
      </c>
      <c r="C2893" s="3" t="n">
        <v>3</v>
      </c>
      <c r="D2893" s="3" t="n">
        <v>19</v>
      </c>
      <c r="E2893" s="3" t="n">
        <v>7</v>
      </c>
      <c r="F2893" s="24" t="n">
        <v>0</v>
      </c>
    </row>
    <row r="2894" customFormat="false" ht="15" hidden="false" customHeight="false" outlineLevel="0" collapsed="false">
      <c r="A2894" s="3" t="n">
        <v>2893</v>
      </c>
      <c r="B2894" s="3" t="n">
        <v>2892</v>
      </c>
      <c r="C2894" s="3" t="n">
        <v>3</v>
      </c>
      <c r="D2894" s="3" t="n">
        <v>19</v>
      </c>
      <c r="E2894" s="3" t="n">
        <v>8</v>
      </c>
      <c r="F2894" s="24" t="n">
        <v>0</v>
      </c>
    </row>
    <row r="2895" customFormat="false" ht="15" hidden="false" customHeight="false" outlineLevel="0" collapsed="false">
      <c r="A2895" s="3" t="n">
        <v>2894</v>
      </c>
      <c r="B2895" s="3" t="n">
        <v>2893</v>
      </c>
      <c r="C2895" s="3" t="n">
        <v>3</v>
      </c>
      <c r="D2895" s="3" t="n">
        <v>19</v>
      </c>
      <c r="E2895" s="3" t="n">
        <v>9</v>
      </c>
      <c r="F2895" s="24" t="n">
        <v>0</v>
      </c>
    </row>
    <row r="2896" customFormat="false" ht="15" hidden="false" customHeight="false" outlineLevel="0" collapsed="false">
      <c r="A2896" s="3" t="n">
        <v>2895</v>
      </c>
      <c r="B2896" s="3" t="n">
        <v>2894</v>
      </c>
      <c r="C2896" s="3" t="n">
        <v>3</v>
      </c>
      <c r="D2896" s="3" t="n">
        <v>19</v>
      </c>
      <c r="E2896" s="3" t="n">
        <v>10</v>
      </c>
      <c r="F2896" s="24" t="n">
        <v>0</v>
      </c>
    </row>
    <row r="2897" customFormat="false" ht="15" hidden="false" customHeight="false" outlineLevel="0" collapsed="false">
      <c r="A2897" s="3" t="n">
        <v>2896</v>
      </c>
      <c r="B2897" s="3" t="n">
        <v>2895</v>
      </c>
      <c r="C2897" s="3" t="n">
        <v>3</v>
      </c>
      <c r="D2897" s="3" t="n">
        <v>19</v>
      </c>
      <c r="E2897" s="3" t="n">
        <v>11</v>
      </c>
      <c r="F2897" s="24" t="n">
        <v>0</v>
      </c>
    </row>
    <row r="2898" customFormat="false" ht="15" hidden="false" customHeight="false" outlineLevel="0" collapsed="false">
      <c r="A2898" s="3" t="n">
        <v>2897</v>
      </c>
      <c r="B2898" s="3" t="n">
        <v>2896</v>
      </c>
      <c r="C2898" s="3" t="n">
        <v>3</v>
      </c>
      <c r="D2898" s="3" t="n">
        <v>19</v>
      </c>
      <c r="E2898" s="3" t="n">
        <v>12</v>
      </c>
      <c r="F2898" s="24" t="n">
        <v>1.28846669</v>
      </c>
    </row>
    <row r="2899" customFormat="false" ht="15" hidden="false" customHeight="false" outlineLevel="0" collapsed="false">
      <c r="A2899" s="3" t="n">
        <v>2898</v>
      </c>
      <c r="B2899" s="3" t="n">
        <v>2897</v>
      </c>
      <c r="C2899" s="3" t="n">
        <v>3</v>
      </c>
      <c r="D2899" s="3" t="n">
        <v>19</v>
      </c>
      <c r="E2899" s="3" t="n">
        <v>13</v>
      </c>
      <c r="F2899" s="24" t="n">
        <v>2.56190157</v>
      </c>
    </row>
    <row r="2900" customFormat="false" ht="15" hidden="false" customHeight="false" outlineLevel="0" collapsed="false">
      <c r="A2900" s="3" t="n">
        <v>2899</v>
      </c>
      <c r="B2900" s="3" t="n">
        <v>2898</v>
      </c>
      <c r="C2900" s="3" t="n">
        <v>3</v>
      </c>
      <c r="D2900" s="3" t="n">
        <v>19</v>
      </c>
      <c r="E2900" s="3" t="n">
        <v>14</v>
      </c>
      <c r="F2900" s="24" t="n">
        <v>0.884764135</v>
      </c>
    </row>
    <row r="2901" customFormat="false" ht="15" hidden="false" customHeight="false" outlineLevel="0" collapsed="false">
      <c r="A2901" s="3" t="n">
        <v>2900</v>
      </c>
      <c r="B2901" s="3" t="n">
        <v>2899</v>
      </c>
      <c r="C2901" s="3" t="n">
        <v>3</v>
      </c>
      <c r="D2901" s="3" t="n">
        <v>19</v>
      </c>
      <c r="E2901" s="3" t="n">
        <v>15</v>
      </c>
      <c r="F2901" s="24" t="n">
        <v>0</v>
      </c>
    </row>
    <row r="2902" customFormat="false" ht="15" hidden="false" customHeight="false" outlineLevel="0" collapsed="false">
      <c r="A2902" s="3" t="n">
        <v>2901</v>
      </c>
      <c r="B2902" s="3" t="n">
        <v>2900</v>
      </c>
      <c r="C2902" s="3" t="n">
        <v>3</v>
      </c>
      <c r="D2902" s="3" t="n">
        <v>19</v>
      </c>
      <c r="E2902" s="3" t="n">
        <v>16</v>
      </c>
      <c r="F2902" s="24" t="n">
        <v>0</v>
      </c>
    </row>
    <row r="2903" customFormat="false" ht="15" hidden="false" customHeight="false" outlineLevel="0" collapsed="false">
      <c r="A2903" s="3" t="n">
        <v>2902</v>
      </c>
      <c r="B2903" s="3" t="n">
        <v>2901</v>
      </c>
      <c r="C2903" s="3" t="n">
        <v>3</v>
      </c>
      <c r="D2903" s="3" t="n">
        <v>19</v>
      </c>
      <c r="E2903" s="3" t="n">
        <v>17</v>
      </c>
      <c r="F2903" s="24" t="n">
        <v>0</v>
      </c>
    </row>
    <row r="2904" customFormat="false" ht="15" hidden="false" customHeight="false" outlineLevel="0" collapsed="false">
      <c r="A2904" s="3" t="n">
        <v>2903</v>
      </c>
      <c r="B2904" s="3" t="n">
        <v>2902</v>
      </c>
      <c r="C2904" s="3" t="n">
        <v>3</v>
      </c>
      <c r="D2904" s="3" t="n">
        <v>19</v>
      </c>
      <c r="E2904" s="3" t="n">
        <v>18</v>
      </c>
      <c r="F2904" s="24" t="n">
        <v>0</v>
      </c>
    </row>
    <row r="2905" customFormat="false" ht="15" hidden="false" customHeight="false" outlineLevel="0" collapsed="false">
      <c r="A2905" s="3" t="n">
        <v>2904</v>
      </c>
      <c r="B2905" s="3" t="n">
        <v>2903</v>
      </c>
      <c r="C2905" s="3" t="n">
        <v>3</v>
      </c>
      <c r="D2905" s="3" t="n">
        <v>19</v>
      </c>
      <c r="E2905" s="3" t="n">
        <v>19</v>
      </c>
      <c r="F2905" s="24" t="n">
        <v>0</v>
      </c>
    </row>
    <row r="2906" customFormat="false" ht="15" hidden="false" customHeight="false" outlineLevel="0" collapsed="false">
      <c r="A2906" s="3" t="n">
        <v>2905</v>
      </c>
      <c r="B2906" s="3" t="n">
        <v>2904</v>
      </c>
      <c r="C2906" s="3" t="n">
        <v>3</v>
      </c>
      <c r="D2906" s="3" t="n">
        <v>19</v>
      </c>
      <c r="E2906" s="3" t="n">
        <v>20</v>
      </c>
      <c r="F2906" s="24" t="n">
        <v>0</v>
      </c>
    </row>
    <row r="2907" customFormat="false" ht="15" hidden="false" customHeight="false" outlineLevel="0" collapsed="false">
      <c r="A2907" s="3" t="n">
        <v>2906</v>
      </c>
      <c r="B2907" s="3" t="n">
        <v>2905</v>
      </c>
      <c r="C2907" s="3" t="n">
        <v>3</v>
      </c>
      <c r="D2907" s="3" t="n">
        <v>19</v>
      </c>
      <c r="E2907" s="3" t="n">
        <v>21</v>
      </c>
      <c r="F2907" s="24" t="n">
        <v>0</v>
      </c>
    </row>
    <row r="2908" customFormat="false" ht="15" hidden="false" customHeight="false" outlineLevel="0" collapsed="false">
      <c r="A2908" s="3" t="n">
        <v>2907</v>
      </c>
      <c r="B2908" s="3" t="n">
        <v>2906</v>
      </c>
      <c r="C2908" s="3" t="n">
        <v>3</v>
      </c>
      <c r="D2908" s="3" t="n">
        <v>19</v>
      </c>
      <c r="E2908" s="3" t="n">
        <v>22</v>
      </c>
      <c r="F2908" s="24" t="n">
        <v>0</v>
      </c>
    </row>
    <row r="2909" customFormat="false" ht="15" hidden="false" customHeight="false" outlineLevel="0" collapsed="false">
      <c r="A2909" s="3" t="n">
        <v>2908</v>
      </c>
      <c r="B2909" s="3" t="n">
        <v>2907</v>
      </c>
      <c r="C2909" s="3" t="n">
        <v>3</v>
      </c>
      <c r="D2909" s="3" t="n">
        <v>19</v>
      </c>
      <c r="E2909" s="3" t="n">
        <v>23</v>
      </c>
      <c r="F2909" s="24" t="n">
        <v>0</v>
      </c>
    </row>
    <row r="2910" customFormat="false" ht="15" hidden="false" customHeight="false" outlineLevel="0" collapsed="false">
      <c r="A2910" s="3" t="n">
        <v>2909</v>
      </c>
      <c r="B2910" s="3" t="n">
        <v>2908</v>
      </c>
      <c r="C2910" s="3" t="n">
        <v>3</v>
      </c>
      <c r="D2910" s="3" t="n">
        <v>19</v>
      </c>
      <c r="E2910" s="3" t="n">
        <v>24</v>
      </c>
      <c r="F2910" s="24" t="n">
        <v>0</v>
      </c>
    </row>
    <row r="2911" customFormat="false" ht="15" hidden="false" customHeight="false" outlineLevel="0" collapsed="false">
      <c r="A2911" s="3" t="n">
        <v>2910</v>
      </c>
      <c r="B2911" s="3" t="n">
        <v>2909</v>
      </c>
      <c r="C2911" s="3" t="n">
        <v>3</v>
      </c>
      <c r="D2911" s="3" t="n">
        <v>19</v>
      </c>
      <c r="E2911" s="3" t="n">
        <v>25</v>
      </c>
      <c r="F2911" s="24" t="n">
        <v>0</v>
      </c>
    </row>
    <row r="2912" customFormat="false" ht="15" hidden="false" customHeight="false" outlineLevel="0" collapsed="false">
      <c r="A2912" s="3" t="n">
        <v>2911</v>
      </c>
      <c r="B2912" s="3" t="n">
        <v>2910</v>
      </c>
      <c r="C2912" s="3" t="n">
        <v>3</v>
      </c>
      <c r="D2912" s="3" t="n">
        <v>19</v>
      </c>
      <c r="E2912" s="3" t="n">
        <v>26</v>
      </c>
      <c r="F2912" s="24" t="n">
        <v>0</v>
      </c>
    </row>
    <row r="2913" customFormat="false" ht="15" hidden="false" customHeight="false" outlineLevel="0" collapsed="false">
      <c r="A2913" s="3" t="n">
        <v>2912</v>
      </c>
      <c r="B2913" s="3" t="n">
        <v>2911</v>
      </c>
      <c r="C2913" s="3" t="n">
        <v>3</v>
      </c>
      <c r="D2913" s="3" t="n">
        <v>19</v>
      </c>
      <c r="E2913" s="3" t="n">
        <v>27</v>
      </c>
      <c r="F2913" s="24" t="n">
        <v>0</v>
      </c>
    </row>
    <row r="2914" customFormat="false" ht="15" hidden="false" customHeight="false" outlineLevel="0" collapsed="false">
      <c r="A2914" s="3" t="n">
        <v>2913</v>
      </c>
      <c r="B2914" s="3" t="n">
        <v>2912</v>
      </c>
      <c r="C2914" s="3" t="n">
        <v>3</v>
      </c>
      <c r="D2914" s="3" t="n">
        <v>20</v>
      </c>
      <c r="E2914" s="3" t="n">
        <v>0</v>
      </c>
      <c r="F2914" s="24" t="n">
        <v>0.0962923914</v>
      </c>
    </row>
    <row r="2915" customFormat="false" ht="15" hidden="false" customHeight="false" outlineLevel="0" collapsed="false">
      <c r="A2915" s="3" t="n">
        <v>2914</v>
      </c>
      <c r="B2915" s="3" t="n">
        <v>2913</v>
      </c>
      <c r="C2915" s="3" t="n">
        <v>3</v>
      </c>
      <c r="D2915" s="3" t="n">
        <v>20</v>
      </c>
      <c r="E2915" s="3" t="n">
        <v>1</v>
      </c>
      <c r="F2915" s="24" t="n">
        <v>0</v>
      </c>
    </row>
    <row r="2916" customFormat="false" ht="15" hidden="false" customHeight="false" outlineLevel="0" collapsed="false">
      <c r="A2916" s="3" t="n">
        <v>2915</v>
      </c>
      <c r="B2916" s="3" t="n">
        <v>2914</v>
      </c>
      <c r="C2916" s="3" t="n">
        <v>3</v>
      </c>
      <c r="D2916" s="3" t="n">
        <v>20</v>
      </c>
      <c r="E2916" s="3" t="n">
        <v>2</v>
      </c>
      <c r="F2916" s="24" t="n">
        <v>0</v>
      </c>
    </row>
    <row r="2917" customFormat="false" ht="15" hidden="false" customHeight="false" outlineLevel="0" collapsed="false">
      <c r="A2917" s="3" t="n">
        <v>2916</v>
      </c>
      <c r="B2917" s="3" t="n">
        <v>2915</v>
      </c>
      <c r="C2917" s="3" t="n">
        <v>3</v>
      </c>
      <c r="D2917" s="3" t="n">
        <v>20</v>
      </c>
      <c r="E2917" s="3" t="n">
        <v>3</v>
      </c>
      <c r="F2917" s="24" t="n">
        <v>0</v>
      </c>
    </row>
    <row r="2918" customFormat="false" ht="15" hidden="false" customHeight="false" outlineLevel="0" collapsed="false">
      <c r="A2918" s="3" t="n">
        <v>2917</v>
      </c>
      <c r="B2918" s="3" t="n">
        <v>2916</v>
      </c>
      <c r="C2918" s="3" t="n">
        <v>3</v>
      </c>
      <c r="D2918" s="3" t="n">
        <v>20</v>
      </c>
      <c r="E2918" s="3" t="n">
        <v>4</v>
      </c>
      <c r="F2918" s="24" t="n">
        <v>0</v>
      </c>
    </row>
    <row r="2919" customFormat="false" ht="15" hidden="false" customHeight="false" outlineLevel="0" collapsed="false">
      <c r="A2919" s="3" t="n">
        <v>2918</v>
      </c>
      <c r="B2919" s="3" t="n">
        <v>2917</v>
      </c>
      <c r="C2919" s="3" t="n">
        <v>3</v>
      </c>
      <c r="D2919" s="3" t="n">
        <v>20</v>
      </c>
      <c r="E2919" s="3" t="n">
        <v>5</v>
      </c>
      <c r="F2919" s="24" t="n">
        <v>0</v>
      </c>
    </row>
    <row r="2920" customFormat="false" ht="15" hidden="false" customHeight="false" outlineLevel="0" collapsed="false">
      <c r="A2920" s="3" t="n">
        <v>2919</v>
      </c>
      <c r="B2920" s="3" t="n">
        <v>2918</v>
      </c>
      <c r="C2920" s="3" t="n">
        <v>3</v>
      </c>
      <c r="D2920" s="3" t="n">
        <v>20</v>
      </c>
      <c r="E2920" s="3" t="n">
        <v>6</v>
      </c>
      <c r="F2920" s="24" t="n">
        <v>0</v>
      </c>
    </row>
    <row r="2921" customFormat="false" ht="15" hidden="false" customHeight="false" outlineLevel="0" collapsed="false">
      <c r="A2921" s="3" t="n">
        <v>2920</v>
      </c>
      <c r="B2921" s="3" t="n">
        <v>2919</v>
      </c>
      <c r="C2921" s="3" t="n">
        <v>3</v>
      </c>
      <c r="D2921" s="3" t="n">
        <v>20</v>
      </c>
      <c r="E2921" s="3" t="n">
        <v>7</v>
      </c>
      <c r="F2921" s="24" t="n">
        <v>0</v>
      </c>
    </row>
    <row r="2922" customFormat="false" ht="15" hidden="false" customHeight="false" outlineLevel="0" collapsed="false">
      <c r="A2922" s="3" t="n">
        <v>2921</v>
      </c>
      <c r="B2922" s="3" t="n">
        <v>2920</v>
      </c>
      <c r="C2922" s="3" t="n">
        <v>3</v>
      </c>
      <c r="D2922" s="3" t="n">
        <v>20</v>
      </c>
      <c r="E2922" s="3" t="n">
        <v>8</v>
      </c>
      <c r="F2922" s="24" t="n">
        <v>0</v>
      </c>
    </row>
    <row r="2923" customFormat="false" ht="15" hidden="false" customHeight="false" outlineLevel="0" collapsed="false">
      <c r="A2923" s="3" t="n">
        <v>2922</v>
      </c>
      <c r="B2923" s="3" t="n">
        <v>2921</v>
      </c>
      <c r="C2923" s="3" t="n">
        <v>3</v>
      </c>
      <c r="D2923" s="3" t="n">
        <v>20</v>
      </c>
      <c r="E2923" s="3" t="n">
        <v>9</v>
      </c>
      <c r="F2923" s="24" t="n">
        <v>0</v>
      </c>
    </row>
    <row r="2924" customFormat="false" ht="15" hidden="false" customHeight="false" outlineLevel="0" collapsed="false">
      <c r="A2924" s="3" t="n">
        <v>2923</v>
      </c>
      <c r="B2924" s="3" t="n">
        <v>2922</v>
      </c>
      <c r="C2924" s="3" t="n">
        <v>3</v>
      </c>
      <c r="D2924" s="3" t="n">
        <v>20</v>
      </c>
      <c r="E2924" s="3" t="n">
        <v>10</v>
      </c>
      <c r="F2924" s="24" t="n">
        <v>0</v>
      </c>
    </row>
    <row r="2925" customFormat="false" ht="15" hidden="false" customHeight="false" outlineLevel="0" collapsed="false">
      <c r="A2925" s="3" t="n">
        <v>2924</v>
      </c>
      <c r="B2925" s="3" t="n">
        <v>2923</v>
      </c>
      <c r="C2925" s="3" t="n">
        <v>3</v>
      </c>
      <c r="D2925" s="3" t="n">
        <v>20</v>
      </c>
      <c r="E2925" s="3" t="n">
        <v>11</v>
      </c>
      <c r="F2925" s="24" t="n">
        <v>0.217961907</v>
      </c>
    </row>
    <row r="2926" customFormat="false" ht="15" hidden="false" customHeight="false" outlineLevel="0" collapsed="false">
      <c r="A2926" s="3" t="n">
        <v>2925</v>
      </c>
      <c r="B2926" s="3" t="n">
        <v>2924</v>
      </c>
      <c r="C2926" s="3" t="n">
        <v>3</v>
      </c>
      <c r="D2926" s="3" t="n">
        <v>20</v>
      </c>
      <c r="E2926" s="3" t="n">
        <v>12</v>
      </c>
      <c r="F2926" s="24" t="n">
        <v>2.38445878</v>
      </c>
    </row>
    <row r="2927" customFormat="false" ht="15" hidden="false" customHeight="false" outlineLevel="0" collapsed="false">
      <c r="A2927" s="3" t="n">
        <v>2926</v>
      </c>
      <c r="B2927" s="3" t="n">
        <v>2925</v>
      </c>
      <c r="C2927" s="3" t="n">
        <v>3</v>
      </c>
      <c r="D2927" s="3" t="n">
        <v>20</v>
      </c>
      <c r="E2927" s="3" t="n">
        <v>13</v>
      </c>
      <c r="F2927" s="24" t="n">
        <v>1.30468953</v>
      </c>
    </row>
    <row r="2928" customFormat="false" ht="15" hidden="false" customHeight="false" outlineLevel="0" collapsed="false">
      <c r="A2928" s="3" t="n">
        <v>2927</v>
      </c>
      <c r="B2928" s="3" t="n">
        <v>2926</v>
      </c>
      <c r="C2928" s="3" t="n">
        <v>3</v>
      </c>
      <c r="D2928" s="3" t="n">
        <v>20</v>
      </c>
      <c r="E2928" s="3" t="n">
        <v>14</v>
      </c>
      <c r="F2928" s="24" t="n">
        <v>0</v>
      </c>
    </row>
    <row r="2929" customFormat="false" ht="15" hidden="false" customHeight="false" outlineLevel="0" collapsed="false">
      <c r="A2929" s="3" t="n">
        <v>2928</v>
      </c>
      <c r="B2929" s="3" t="n">
        <v>2927</v>
      </c>
      <c r="C2929" s="3" t="n">
        <v>3</v>
      </c>
      <c r="D2929" s="3" t="n">
        <v>20</v>
      </c>
      <c r="E2929" s="3" t="n">
        <v>15</v>
      </c>
      <c r="F2929" s="24" t="n">
        <v>0</v>
      </c>
    </row>
    <row r="2930" customFormat="false" ht="15" hidden="false" customHeight="false" outlineLevel="0" collapsed="false">
      <c r="A2930" s="3" t="n">
        <v>2929</v>
      </c>
      <c r="B2930" s="3" t="n">
        <v>2928</v>
      </c>
      <c r="C2930" s="3" t="n">
        <v>3</v>
      </c>
      <c r="D2930" s="3" t="n">
        <v>20</v>
      </c>
      <c r="E2930" s="3" t="n">
        <v>16</v>
      </c>
      <c r="F2930" s="24" t="n">
        <v>0</v>
      </c>
    </row>
    <row r="2931" customFormat="false" ht="15" hidden="false" customHeight="false" outlineLevel="0" collapsed="false">
      <c r="A2931" s="3" t="n">
        <v>2930</v>
      </c>
      <c r="B2931" s="3" t="n">
        <v>2929</v>
      </c>
      <c r="C2931" s="3" t="n">
        <v>3</v>
      </c>
      <c r="D2931" s="3" t="n">
        <v>20</v>
      </c>
      <c r="E2931" s="3" t="n">
        <v>17</v>
      </c>
      <c r="F2931" s="24" t="n">
        <v>0</v>
      </c>
    </row>
    <row r="2932" customFormat="false" ht="15" hidden="false" customHeight="false" outlineLevel="0" collapsed="false">
      <c r="A2932" s="3" t="n">
        <v>2931</v>
      </c>
      <c r="B2932" s="3" t="n">
        <v>2930</v>
      </c>
      <c r="C2932" s="3" t="n">
        <v>3</v>
      </c>
      <c r="D2932" s="3" t="n">
        <v>20</v>
      </c>
      <c r="E2932" s="3" t="n">
        <v>18</v>
      </c>
      <c r="F2932" s="24" t="n">
        <v>0</v>
      </c>
    </row>
    <row r="2933" customFormat="false" ht="15" hidden="false" customHeight="false" outlineLevel="0" collapsed="false">
      <c r="A2933" s="3" t="n">
        <v>2932</v>
      </c>
      <c r="B2933" s="3" t="n">
        <v>2931</v>
      </c>
      <c r="C2933" s="3" t="n">
        <v>3</v>
      </c>
      <c r="D2933" s="3" t="n">
        <v>20</v>
      </c>
      <c r="E2933" s="3" t="n">
        <v>19</v>
      </c>
      <c r="F2933" s="24" t="n">
        <v>0</v>
      </c>
    </row>
    <row r="2934" customFormat="false" ht="15" hidden="false" customHeight="false" outlineLevel="0" collapsed="false">
      <c r="A2934" s="3" t="n">
        <v>2933</v>
      </c>
      <c r="B2934" s="3" t="n">
        <v>2932</v>
      </c>
      <c r="C2934" s="3" t="n">
        <v>3</v>
      </c>
      <c r="D2934" s="3" t="n">
        <v>20</v>
      </c>
      <c r="E2934" s="3" t="n">
        <v>20</v>
      </c>
      <c r="F2934" s="24" t="n">
        <v>0</v>
      </c>
    </row>
    <row r="2935" customFormat="false" ht="15" hidden="false" customHeight="false" outlineLevel="0" collapsed="false">
      <c r="A2935" s="3" t="n">
        <v>2934</v>
      </c>
      <c r="B2935" s="3" t="n">
        <v>2933</v>
      </c>
      <c r="C2935" s="3" t="n">
        <v>3</v>
      </c>
      <c r="D2935" s="3" t="n">
        <v>20</v>
      </c>
      <c r="E2935" s="3" t="n">
        <v>21</v>
      </c>
      <c r="F2935" s="24" t="n">
        <v>0</v>
      </c>
    </row>
    <row r="2936" customFormat="false" ht="15" hidden="false" customHeight="false" outlineLevel="0" collapsed="false">
      <c r="A2936" s="3" t="n">
        <v>2935</v>
      </c>
      <c r="B2936" s="3" t="n">
        <v>2934</v>
      </c>
      <c r="C2936" s="3" t="n">
        <v>3</v>
      </c>
      <c r="D2936" s="3" t="n">
        <v>20</v>
      </c>
      <c r="E2936" s="3" t="n">
        <v>22</v>
      </c>
      <c r="F2936" s="24" t="n">
        <v>0</v>
      </c>
    </row>
    <row r="2937" customFormat="false" ht="15" hidden="false" customHeight="false" outlineLevel="0" collapsed="false">
      <c r="A2937" s="3" t="n">
        <v>2936</v>
      </c>
      <c r="B2937" s="3" t="n">
        <v>2935</v>
      </c>
      <c r="C2937" s="3" t="n">
        <v>3</v>
      </c>
      <c r="D2937" s="3" t="n">
        <v>20</v>
      </c>
      <c r="E2937" s="3" t="n">
        <v>23</v>
      </c>
      <c r="F2937" s="24" t="n">
        <v>0</v>
      </c>
    </row>
    <row r="2938" customFormat="false" ht="15" hidden="false" customHeight="false" outlineLevel="0" collapsed="false">
      <c r="A2938" s="3" t="n">
        <v>2937</v>
      </c>
      <c r="B2938" s="3" t="n">
        <v>2936</v>
      </c>
      <c r="C2938" s="3" t="n">
        <v>3</v>
      </c>
      <c r="D2938" s="3" t="n">
        <v>20</v>
      </c>
      <c r="E2938" s="3" t="n">
        <v>24</v>
      </c>
      <c r="F2938" s="24" t="n">
        <v>0</v>
      </c>
    </row>
    <row r="2939" customFormat="false" ht="15" hidden="false" customHeight="false" outlineLevel="0" collapsed="false">
      <c r="A2939" s="3" t="n">
        <v>2938</v>
      </c>
      <c r="B2939" s="3" t="n">
        <v>2937</v>
      </c>
      <c r="C2939" s="3" t="n">
        <v>3</v>
      </c>
      <c r="D2939" s="3" t="n">
        <v>20</v>
      </c>
      <c r="E2939" s="3" t="n">
        <v>25</v>
      </c>
      <c r="F2939" s="24" t="n">
        <v>0</v>
      </c>
    </row>
    <row r="2940" customFormat="false" ht="15" hidden="false" customHeight="false" outlineLevel="0" collapsed="false">
      <c r="A2940" s="3" t="n">
        <v>2939</v>
      </c>
      <c r="B2940" s="3" t="n">
        <v>2938</v>
      </c>
      <c r="C2940" s="3" t="n">
        <v>3</v>
      </c>
      <c r="D2940" s="3" t="n">
        <v>20</v>
      </c>
      <c r="E2940" s="3" t="n">
        <v>26</v>
      </c>
      <c r="F2940" s="24" t="n">
        <v>0</v>
      </c>
    </row>
    <row r="2941" customFormat="false" ht="15" hidden="false" customHeight="false" outlineLevel="0" collapsed="false">
      <c r="A2941" s="3" t="n">
        <v>2940</v>
      </c>
      <c r="B2941" s="3" t="n">
        <v>2939</v>
      </c>
      <c r="C2941" s="3" t="n">
        <v>3</v>
      </c>
      <c r="D2941" s="3" t="n">
        <v>20</v>
      </c>
      <c r="E2941" s="3" t="n">
        <v>27</v>
      </c>
      <c r="F2941" s="24" t="n">
        <v>0</v>
      </c>
    </row>
    <row r="2942" customFormat="false" ht="15" hidden="false" customHeight="false" outlineLevel="0" collapsed="false">
      <c r="A2942" s="3" t="n">
        <v>2941</v>
      </c>
      <c r="B2942" s="3" t="n">
        <v>2940</v>
      </c>
      <c r="C2942" s="3" t="n">
        <v>3</v>
      </c>
      <c r="D2942" s="3" t="n">
        <v>21</v>
      </c>
      <c r="E2942" s="3" t="n">
        <v>0</v>
      </c>
      <c r="F2942" s="24" t="n">
        <v>0.0962923914</v>
      </c>
    </row>
    <row r="2943" customFormat="false" ht="15" hidden="false" customHeight="false" outlineLevel="0" collapsed="false">
      <c r="A2943" s="3" t="n">
        <v>2942</v>
      </c>
      <c r="B2943" s="3" t="n">
        <v>2941</v>
      </c>
      <c r="C2943" s="3" t="n">
        <v>3</v>
      </c>
      <c r="D2943" s="3" t="n">
        <v>21</v>
      </c>
      <c r="E2943" s="3" t="n">
        <v>1</v>
      </c>
      <c r="F2943" s="24" t="n">
        <v>0</v>
      </c>
    </row>
    <row r="2944" customFormat="false" ht="15" hidden="false" customHeight="false" outlineLevel="0" collapsed="false">
      <c r="A2944" s="3" t="n">
        <v>2943</v>
      </c>
      <c r="B2944" s="3" t="n">
        <v>2942</v>
      </c>
      <c r="C2944" s="3" t="n">
        <v>3</v>
      </c>
      <c r="D2944" s="3" t="n">
        <v>21</v>
      </c>
      <c r="E2944" s="3" t="n">
        <v>2</v>
      </c>
      <c r="F2944" s="24" t="n">
        <v>0</v>
      </c>
    </row>
    <row r="2945" customFormat="false" ht="15" hidden="false" customHeight="false" outlineLevel="0" collapsed="false">
      <c r="A2945" s="3" t="n">
        <v>2944</v>
      </c>
      <c r="B2945" s="3" t="n">
        <v>2943</v>
      </c>
      <c r="C2945" s="3" t="n">
        <v>3</v>
      </c>
      <c r="D2945" s="3" t="n">
        <v>21</v>
      </c>
      <c r="E2945" s="3" t="n">
        <v>3</v>
      </c>
      <c r="F2945" s="24" t="n">
        <v>0</v>
      </c>
    </row>
    <row r="2946" customFormat="false" ht="15" hidden="false" customHeight="false" outlineLevel="0" collapsed="false">
      <c r="A2946" s="3" t="n">
        <v>2945</v>
      </c>
      <c r="B2946" s="3" t="n">
        <v>2944</v>
      </c>
      <c r="C2946" s="3" t="n">
        <v>3</v>
      </c>
      <c r="D2946" s="3" t="n">
        <v>21</v>
      </c>
      <c r="E2946" s="3" t="n">
        <v>4</v>
      </c>
      <c r="F2946" s="24" t="n">
        <v>0</v>
      </c>
    </row>
    <row r="2947" customFormat="false" ht="15" hidden="false" customHeight="false" outlineLevel="0" collapsed="false">
      <c r="A2947" s="3" t="n">
        <v>2946</v>
      </c>
      <c r="B2947" s="3" t="n">
        <v>2945</v>
      </c>
      <c r="C2947" s="3" t="n">
        <v>3</v>
      </c>
      <c r="D2947" s="3" t="n">
        <v>21</v>
      </c>
      <c r="E2947" s="3" t="n">
        <v>5</v>
      </c>
      <c r="F2947" s="24" t="n">
        <v>0</v>
      </c>
    </row>
    <row r="2948" customFormat="false" ht="15" hidden="false" customHeight="false" outlineLevel="0" collapsed="false">
      <c r="A2948" s="3" t="n">
        <v>2947</v>
      </c>
      <c r="B2948" s="3" t="n">
        <v>2946</v>
      </c>
      <c r="C2948" s="3" t="n">
        <v>3</v>
      </c>
      <c r="D2948" s="3" t="n">
        <v>21</v>
      </c>
      <c r="E2948" s="3" t="n">
        <v>6</v>
      </c>
      <c r="F2948" s="24" t="n">
        <v>0</v>
      </c>
    </row>
    <row r="2949" customFormat="false" ht="15" hidden="false" customHeight="false" outlineLevel="0" collapsed="false">
      <c r="A2949" s="3" t="n">
        <v>2948</v>
      </c>
      <c r="B2949" s="3" t="n">
        <v>2947</v>
      </c>
      <c r="C2949" s="3" t="n">
        <v>3</v>
      </c>
      <c r="D2949" s="3" t="n">
        <v>21</v>
      </c>
      <c r="E2949" s="3" t="n">
        <v>7</v>
      </c>
      <c r="F2949" s="24" t="n">
        <v>0</v>
      </c>
    </row>
    <row r="2950" customFormat="false" ht="15" hidden="false" customHeight="false" outlineLevel="0" collapsed="false">
      <c r="A2950" s="3" t="n">
        <v>2949</v>
      </c>
      <c r="B2950" s="3" t="n">
        <v>2948</v>
      </c>
      <c r="C2950" s="3" t="n">
        <v>3</v>
      </c>
      <c r="D2950" s="3" t="n">
        <v>21</v>
      </c>
      <c r="E2950" s="3" t="n">
        <v>8</v>
      </c>
      <c r="F2950" s="24" t="n">
        <v>0</v>
      </c>
    </row>
    <row r="2951" customFormat="false" ht="15" hidden="false" customHeight="false" outlineLevel="0" collapsed="false">
      <c r="A2951" s="3" t="n">
        <v>2950</v>
      </c>
      <c r="B2951" s="3" t="n">
        <v>2949</v>
      </c>
      <c r="C2951" s="3" t="n">
        <v>3</v>
      </c>
      <c r="D2951" s="3" t="n">
        <v>21</v>
      </c>
      <c r="E2951" s="3" t="n">
        <v>9</v>
      </c>
      <c r="F2951" s="24" t="n">
        <v>0</v>
      </c>
    </row>
    <row r="2952" customFormat="false" ht="15" hidden="false" customHeight="false" outlineLevel="0" collapsed="false">
      <c r="A2952" s="3" t="n">
        <v>2951</v>
      </c>
      <c r="B2952" s="3" t="n">
        <v>2950</v>
      </c>
      <c r="C2952" s="3" t="n">
        <v>3</v>
      </c>
      <c r="D2952" s="3" t="n">
        <v>21</v>
      </c>
      <c r="E2952" s="3" t="n">
        <v>10</v>
      </c>
      <c r="F2952" s="24" t="n">
        <v>0.162398487</v>
      </c>
    </row>
    <row r="2953" customFormat="false" ht="15" hidden="false" customHeight="false" outlineLevel="0" collapsed="false">
      <c r="A2953" s="3" t="n">
        <v>2952</v>
      </c>
      <c r="B2953" s="3" t="n">
        <v>2951</v>
      </c>
      <c r="C2953" s="3" t="n">
        <v>3</v>
      </c>
      <c r="D2953" s="3" t="n">
        <v>21</v>
      </c>
      <c r="E2953" s="3" t="n">
        <v>11</v>
      </c>
      <c r="F2953" s="24" t="n">
        <v>1.58299851</v>
      </c>
    </row>
    <row r="2954" customFormat="false" ht="15" hidden="false" customHeight="false" outlineLevel="0" collapsed="false">
      <c r="A2954" s="3" t="n">
        <v>2953</v>
      </c>
      <c r="B2954" s="3" t="n">
        <v>2952</v>
      </c>
      <c r="C2954" s="3" t="n">
        <v>3</v>
      </c>
      <c r="D2954" s="3" t="n">
        <v>21</v>
      </c>
      <c r="E2954" s="3" t="n">
        <v>12</v>
      </c>
      <c r="F2954" s="24" t="n">
        <v>1.54540503</v>
      </c>
    </row>
    <row r="2955" customFormat="false" ht="15" hidden="false" customHeight="false" outlineLevel="0" collapsed="false">
      <c r="A2955" s="3" t="n">
        <v>2954</v>
      </c>
      <c r="B2955" s="3" t="n">
        <v>2953</v>
      </c>
      <c r="C2955" s="3" t="n">
        <v>3</v>
      </c>
      <c r="D2955" s="3" t="n">
        <v>21</v>
      </c>
      <c r="E2955" s="3" t="n">
        <v>13</v>
      </c>
      <c r="F2955" s="24" t="n">
        <v>0</v>
      </c>
    </row>
    <row r="2956" customFormat="false" ht="15" hidden="false" customHeight="false" outlineLevel="0" collapsed="false">
      <c r="A2956" s="3" t="n">
        <v>2955</v>
      </c>
      <c r="B2956" s="3" t="n">
        <v>2954</v>
      </c>
      <c r="C2956" s="3" t="n">
        <v>3</v>
      </c>
      <c r="D2956" s="3" t="n">
        <v>21</v>
      </c>
      <c r="E2956" s="3" t="n">
        <v>14</v>
      </c>
      <c r="F2956" s="24" t="n">
        <v>0</v>
      </c>
    </row>
    <row r="2957" customFormat="false" ht="15" hidden="false" customHeight="false" outlineLevel="0" collapsed="false">
      <c r="A2957" s="3" t="n">
        <v>2956</v>
      </c>
      <c r="B2957" s="3" t="n">
        <v>2955</v>
      </c>
      <c r="C2957" s="3" t="n">
        <v>3</v>
      </c>
      <c r="D2957" s="3" t="n">
        <v>21</v>
      </c>
      <c r="E2957" s="3" t="n">
        <v>15</v>
      </c>
      <c r="F2957" s="24" t="n">
        <v>0</v>
      </c>
    </row>
    <row r="2958" customFormat="false" ht="15" hidden="false" customHeight="false" outlineLevel="0" collapsed="false">
      <c r="A2958" s="3" t="n">
        <v>2957</v>
      </c>
      <c r="B2958" s="3" t="n">
        <v>2956</v>
      </c>
      <c r="C2958" s="3" t="n">
        <v>3</v>
      </c>
      <c r="D2958" s="3" t="n">
        <v>21</v>
      </c>
      <c r="E2958" s="3" t="n">
        <v>16</v>
      </c>
      <c r="F2958" s="24" t="n">
        <v>0</v>
      </c>
    </row>
    <row r="2959" customFormat="false" ht="15" hidden="false" customHeight="false" outlineLevel="0" collapsed="false">
      <c r="A2959" s="3" t="n">
        <v>2958</v>
      </c>
      <c r="B2959" s="3" t="n">
        <v>2957</v>
      </c>
      <c r="C2959" s="3" t="n">
        <v>3</v>
      </c>
      <c r="D2959" s="3" t="n">
        <v>21</v>
      </c>
      <c r="E2959" s="3" t="n">
        <v>17</v>
      </c>
      <c r="F2959" s="24" t="n">
        <v>0</v>
      </c>
    </row>
    <row r="2960" customFormat="false" ht="15" hidden="false" customHeight="false" outlineLevel="0" collapsed="false">
      <c r="A2960" s="3" t="n">
        <v>2959</v>
      </c>
      <c r="B2960" s="3" t="n">
        <v>2958</v>
      </c>
      <c r="C2960" s="3" t="n">
        <v>3</v>
      </c>
      <c r="D2960" s="3" t="n">
        <v>21</v>
      </c>
      <c r="E2960" s="3" t="n">
        <v>18</v>
      </c>
      <c r="F2960" s="24" t="n">
        <v>0</v>
      </c>
    </row>
    <row r="2961" customFormat="false" ht="15" hidden="false" customHeight="false" outlineLevel="0" collapsed="false">
      <c r="A2961" s="3" t="n">
        <v>2960</v>
      </c>
      <c r="B2961" s="3" t="n">
        <v>2959</v>
      </c>
      <c r="C2961" s="3" t="n">
        <v>3</v>
      </c>
      <c r="D2961" s="3" t="n">
        <v>21</v>
      </c>
      <c r="E2961" s="3" t="n">
        <v>19</v>
      </c>
      <c r="F2961" s="24" t="n">
        <v>0</v>
      </c>
    </row>
    <row r="2962" customFormat="false" ht="15" hidden="false" customHeight="false" outlineLevel="0" collapsed="false">
      <c r="A2962" s="3" t="n">
        <v>2961</v>
      </c>
      <c r="B2962" s="3" t="n">
        <v>2960</v>
      </c>
      <c r="C2962" s="3" t="n">
        <v>3</v>
      </c>
      <c r="D2962" s="3" t="n">
        <v>21</v>
      </c>
      <c r="E2962" s="3" t="n">
        <v>20</v>
      </c>
      <c r="F2962" s="24" t="n">
        <v>0</v>
      </c>
    </row>
    <row r="2963" customFormat="false" ht="15" hidden="false" customHeight="false" outlineLevel="0" collapsed="false">
      <c r="A2963" s="3" t="n">
        <v>2962</v>
      </c>
      <c r="B2963" s="3" t="n">
        <v>2961</v>
      </c>
      <c r="C2963" s="3" t="n">
        <v>3</v>
      </c>
      <c r="D2963" s="3" t="n">
        <v>21</v>
      </c>
      <c r="E2963" s="3" t="n">
        <v>21</v>
      </c>
      <c r="F2963" s="24" t="n">
        <v>0</v>
      </c>
    </row>
    <row r="2964" customFormat="false" ht="15" hidden="false" customHeight="false" outlineLevel="0" collapsed="false">
      <c r="A2964" s="3" t="n">
        <v>2963</v>
      </c>
      <c r="B2964" s="3" t="n">
        <v>2962</v>
      </c>
      <c r="C2964" s="3" t="n">
        <v>3</v>
      </c>
      <c r="D2964" s="3" t="n">
        <v>21</v>
      </c>
      <c r="E2964" s="3" t="n">
        <v>22</v>
      </c>
      <c r="F2964" s="24" t="n">
        <v>0</v>
      </c>
    </row>
    <row r="2965" customFormat="false" ht="15" hidden="false" customHeight="false" outlineLevel="0" collapsed="false">
      <c r="A2965" s="3" t="n">
        <v>2964</v>
      </c>
      <c r="B2965" s="3" t="n">
        <v>2963</v>
      </c>
      <c r="C2965" s="3" t="n">
        <v>3</v>
      </c>
      <c r="D2965" s="3" t="n">
        <v>21</v>
      </c>
      <c r="E2965" s="3" t="n">
        <v>23</v>
      </c>
      <c r="F2965" s="24" t="n">
        <v>0</v>
      </c>
    </row>
    <row r="2966" customFormat="false" ht="15" hidden="false" customHeight="false" outlineLevel="0" collapsed="false">
      <c r="A2966" s="3" t="n">
        <v>2965</v>
      </c>
      <c r="B2966" s="3" t="n">
        <v>2964</v>
      </c>
      <c r="C2966" s="3" t="n">
        <v>3</v>
      </c>
      <c r="D2966" s="3" t="n">
        <v>21</v>
      </c>
      <c r="E2966" s="3" t="n">
        <v>24</v>
      </c>
      <c r="F2966" s="24" t="n">
        <v>0</v>
      </c>
    </row>
    <row r="2967" customFormat="false" ht="15" hidden="false" customHeight="false" outlineLevel="0" collapsed="false">
      <c r="A2967" s="3" t="n">
        <v>2966</v>
      </c>
      <c r="B2967" s="3" t="n">
        <v>2965</v>
      </c>
      <c r="C2967" s="3" t="n">
        <v>3</v>
      </c>
      <c r="D2967" s="3" t="n">
        <v>21</v>
      </c>
      <c r="E2967" s="3" t="n">
        <v>25</v>
      </c>
      <c r="F2967" s="24" t="n">
        <v>0</v>
      </c>
    </row>
    <row r="2968" customFormat="false" ht="15" hidden="false" customHeight="false" outlineLevel="0" collapsed="false">
      <c r="A2968" s="3" t="n">
        <v>2967</v>
      </c>
      <c r="B2968" s="3" t="n">
        <v>2966</v>
      </c>
      <c r="C2968" s="3" t="n">
        <v>3</v>
      </c>
      <c r="D2968" s="3" t="n">
        <v>21</v>
      </c>
      <c r="E2968" s="3" t="n">
        <v>26</v>
      </c>
      <c r="F2968" s="24" t="n">
        <v>0</v>
      </c>
    </row>
    <row r="2969" customFormat="false" ht="15" hidden="false" customHeight="false" outlineLevel="0" collapsed="false">
      <c r="A2969" s="3" t="n">
        <v>2968</v>
      </c>
      <c r="B2969" s="3" t="n">
        <v>2967</v>
      </c>
      <c r="C2969" s="3" t="n">
        <v>3</v>
      </c>
      <c r="D2969" s="3" t="n">
        <v>21</v>
      </c>
      <c r="E2969" s="3" t="n">
        <v>27</v>
      </c>
      <c r="F2969" s="24" t="n">
        <v>0</v>
      </c>
    </row>
    <row r="2970" customFormat="false" ht="15" hidden="false" customHeight="false" outlineLevel="0" collapsed="false">
      <c r="A2970" s="3" t="n">
        <v>2969</v>
      </c>
      <c r="B2970" s="3" t="n">
        <v>2968</v>
      </c>
      <c r="C2970" s="3" t="n">
        <v>3</v>
      </c>
      <c r="D2970" s="3" t="n">
        <v>22</v>
      </c>
      <c r="E2970" s="3" t="n">
        <v>0</v>
      </c>
      <c r="F2970" s="24" t="n">
        <v>0.0962923914</v>
      </c>
    </row>
    <row r="2971" customFormat="false" ht="15" hidden="false" customHeight="false" outlineLevel="0" collapsed="false">
      <c r="A2971" s="3" t="n">
        <v>2970</v>
      </c>
      <c r="B2971" s="3" t="n">
        <v>2969</v>
      </c>
      <c r="C2971" s="3" t="n">
        <v>3</v>
      </c>
      <c r="D2971" s="3" t="n">
        <v>22</v>
      </c>
      <c r="E2971" s="3" t="n">
        <v>1</v>
      </c>
      <c r="F2971" s="24" t="n">
        <v>0</v>
      </c>
    </row>
    <row r="2972" customFormat="false" ht="15" hidden="false" customHeight="false" outlineLevel="0" collapsed="false">
      <c r="A2972" s="3" t="n">
        <v>2971</v>
      </c>
      <c r="B2972" s="3" t="n">
        <v>2970</v>
      </c>
      <c r="C2972" s="3" t="n">
        <v>3</v>
      </c>
      <c r="D2972" s="3" t="n">
        <v>22</v>
      </c>
      <c r="E2972" s="3" t="n">
        <v>2</v>
      </c>
      <c r="F2972" s="24" t="n">
        <v>0</v>
      </c>
    </row>
    <row r="2973" customFormat="false" ht="15" hidden="false" customHeight="false" outlineLevel="0" collapsed="false">
      <c r="A2973" s="3" t="n">
        <v>2972</v>
      </c>
      <c r="B2973" s="3" t="n">
        <v>2971</v>
      </c>
      <c r="C2973" s="3" t="n">
        <v>3</v>
      </c>
      <c r="D2973" s="3" t="n">
        <v>22</v>
      </c>
      <c r="E2973" s="3" t="n">
        <v>3</v>
      </c>
      <c r="F2973" s="24" t="n">
        <v>0</v>
      </c>
    </row>
    <row r="2974" customFormat="false" ht="15" hidden="false" customHeight="false" outlineLevel="0" collapsed="false">
      <c r="A2974" s="3" t="n">
        <v>2973</v>
      </c>
      <c r="B2974" s="3" t="n">
        <v>2972</v>
      </c>
      <c r="C2974" s="3" t="n">
        <v>3</v>
      </c>
      <c r="D2974" s="3" t="n">
        <v>22</v>
      </c>
      <c r="E2974" s="3" t="n">
        <v>4</v>
      </c>
      <c r="F2974" s="24" t="n">
        <v>0</v>
      </c>
    </row>
    <row r="2975" customFormat="false" ht="15" hidden="false" customHeight="false" outlineLevel="0" collapsed="false">
      <c r="A2975" s="3" t="n">
        <v>2974</v>
      </c>
      <c r="B2975" s="3" t="n">
        <v>2973</v>
      </c>
      <c r="C2975" s="3" t="n">
        <v>3</v>
      </c>
      <c r="D2975" s="3" t="n">
        <v>22</v>
      </c>
      <c r="E2975" s="3" t="n">
        <v>5</v>
      </c>
      <c r="F2975" s="24" t="n">
        <v>0</v>
      </c>
    </row>
    <row r="2976" customFormat="false" ht="15" hidden="false" customHeight="false" outlineLevel="0" collapsed="false">
      <c r="A2976" s="3" t="n">
        <v>2975</v>
      </c>
      <c r="B2976" s="3" t="n">
        <v>2974</v>
      </c>
      <c r="C2976" s="3" t="n">
        <v>3</v>
      </c>
      <c r="D2976" s="3" t="n">
        <v>22</v>
      </c>
      <c r="E2976" s="3" t="n">
        <v>6</v>
      </c>
      <c r="F2976" s="24" t="n">
        <v>0</v>
      </c>
    </row>
    <row r="2977" customFormat="false" ht="15" hidden="false" customHeight="false" outlineLevel="0" collapsed="false">
      <c r="A2977" s="3" t="n">
        <v>2976</v>
      </c>
      <c r="B2977" s="3" t="n">
        <v>2975</v>
      </c>
      <c r="C2977" s="3" t="n">
        <v>3</v>
      </c>
      <c r="D2977" s="3" t="n">
        <v>22</v>
      </c>
      <c r="E2977" s="3" t="n">
        <v>7</v>
      </c>
      <c r="F2977" s="24" t="n">
        <v>0</v>
      </c>
    </row>
    <row r="2978" customFormat="false" ht="15" hidden="false" customHeight="false" outlineLevel="0" collapsed="false">
      <c r="A2978" s="3" t="n">
        <v>2977</v>
      </c>
      <c r="B2978" s="3" t="n">
        <v>2976</v>
      </c>
      <c r="C2978" s="3" t="n">
        <v>3</v>
      </c>
      <c r="D2978" s="3" t="n">
        <v>22</v>
      </c>
      <c r="E2978" s="3" t="n">
        <v>8</v>
      </c>
      <c r="F2978" s="24" t="n">
        <v>0</v>
      </c>
    </row>
    <row r="2979" customFormat="false" ht="15" hidden="false" customHeight="false" outlineLevel="0" collapsed="false">
      <c r="A2979" s="3" t="n">
        <v>2978</v>
      </c>
      <c r="B2979" s="3" t="n">
        <v>2977</v>
      </c>
      <c r="C2979" s="3" t="n">
        <v>3</v>
      </c>
      <c r="D2979" s="3" t="n">
        <v>22</v>
      </c>
      <c r="E2979" s="3" t="n">
        <v>9</v>
      </c>
      <c r="F2979" s="24" t="n">
        <v>0</v>
      </c>
    </row>
    <row r="2980" customFormat="false" ht="15" hidden="false" customHeight="false" outlineLevel="0" collapsed="false">
      <c r="A2980" s="3" t="n">
        <v>2979</v>
      </c>
      <c r="B2980" s="3" t="n">
        <v>2978</v>
      </c>
      <c r="C2980" s="3" t="n">
        <v>3</v>
      </c>
      <c r="D2980" s="3" t="n">
        <v>22</v>
      </c>
      <c r="E2980" s="3" t="n">
        <v>10</v>
      </c>
      <c r="F2980" s="24" t="n">
        <v>0.913657069</v>
      </c>
    </row>
    <row r="2981" customFormat="false" ht="15" hidden="false" customHeight="false" outlineLevel="0" collapsed="false">
      <c r="A2981" s="3" t="n">
        <v>2980</v>
      </c>
      <c r="B2981" s="3" t="n">
        <v>2979</v>
      </c>
      <c r="C2981" s="3" t="n">
        <v>3</v>
      </c>
      <c r="D2981" s="3" t="n">
        <v>22</v>
      </c>
      <c r="E2981" s="3" t="n">
        <v>11</v>
      </c>
      <c r="F2981" s="24" t="n">
        <v>2.65426493</v>
      </c>
    </row>
    <row r="2982" customFormat="false" ht="15" hidden="false" customHeight="false" outlineLevel="0" collapsed="false">
      <c r="A2982" s="3" t="n">
        <v>2981</v>
      </c>
      <c r="B2982" s="3" t="n">
        <v>2980</v>
      </c>
      <c r="C2982" s="3" t="n">
        <v>3</v>
      </c>
      <c r="D2982" s="3" t="n">
        <v>22</v>
      </c>
      <c r="E2982" s="3" t="n">
        <v>12</v>
      </c>
      <c r="F2982" s="24" t="n">
        <v>1.23717177</v>
      </c>
    </row>
    <row r="2983" customFormat="false" ht="15" hidden="false" customHeight="false" outlineLevel="0" collapsed="false">
      <c r="A2983" s="3" t="n">
        <v>2982</v>
      </c>
      <c r="B2983" s="3" t="n">
        <v>2981</v>
      </c>
      <c r="C2983" s="3" t="n">
        <v>3</v>
      </c>
      <c r="D2983" s="3" t="n">
        <v>22</v>
      </c>
      <c r="E2983" s="3" t="n">
        <v>13</v>
      </c>
      <c r="F2983" s="24" t="n">
        <v>0</v>
      </c>
    </row>
    <row r="2984" customFormat="false" ht="15" hidden="false" customHeight="false" outlineLevel="0" collapsed="false">
      <c r="A2984" s="3" t="n">
        <v>2983</v>
      </c>
      <c r="B2984" s="3" t="n">
        <v>2982</v>
      </c>
      <c r="C2984" s="3" t="n">
        <v>3</v>
      </c>
      <c r="D2984" s="3" t="n">
        <v>22</v>
      </c>
      <c r="E2984" s="3" t="n">
        <v>14</v>
      </c>
      <c r="F2984" s="24" t="n">
        <v>0</v>
      </c>
    </row>
    <row r="2985" customFormat="false" ht="15" hidden="false" customHeight="false" outlineLevel="0" collapsed="false">
      <c r="A2985" s="3" t="n">
        <v>2984</v>
      </c>
      <c r="B2985" s="3" t="n">
        <v>2983</v>
      </c>
      <c r="C2985" s="3" t="n">
        <v>3</v>
      </c>
      <c r="D2985" s="3" t="n">
        <v>22</v>
      </c>
      <c r="E2985" s="3" t="n">
        <v>15</v>
      </c>
      <c r="F2985" s="24" t="n">
        <v>0</v>
      </c>
    </row>
    <row r="2986" customFormat="false" ht="15" hidden="false" customHeight="false" outlineLevel="0" collapsed="false">
      <c r="A2986" s="3" t="n">
        <v>2985</v>
      </c>
      <c r="B2986" s="3" t="n">
        <v>2984</v>
      </c>
      <c r="C2986" s="3" t="n">
        <v>3</v>
      </c>
      <c r="D2986" s="3" t="n">
        <v>22</v>
      </c>
      <c r="E2986" s="3" t="n">
        <v>16</v>
      </c>
      <c r="F2986" s="24" t="n">
        <v>0</v>
      </c>
    </row>
    <row r="2987" customFormat="false" ht="15" hidden="false" customHeight="false" outlineLevel="0" collapsed="false">
      <c r="A2987" s="3" t="n">
        <v>2986</v>
      </c>
      <c r="B2987" s="3" t="n">
        <v>2985</v>
      </c>
      <c r="C2987" s="3" t="n">
        <v>3</v>
      </c>
      <c r="D2987" s="3" t="n">
        <v>22</v>
      </c>
      <c r="E2987" s="3" t="n">
        <v>17</v>
      </c>
      <c r="F2987" s="24" t="n">
        <v>0</v>
      </c>
    </row>
    <row r="2988" customFormat="false" ht="15" hidden="false" customHeight="false" outlineLevel="0" collapsed="false">
      <c r="A2988" s="3" t="n">
        <v>2987</v>
      </c>
      <c r="B2988" s="3" t="n">
        <v>2986</v>
      </c>
      <c r="C2988" s="3" t="n">
        <v>3</v>
      </c>
      <c r="D2988" s="3" t="n">
        <v>22</v>
      </c>
      <c r="E2988" s="3" t="n">
        <v>18</v>
      </c>
      <c r="F2988" s="24" t="n">
        <v>0</v>
      </c>
    </row>
    <row r="2989" customFormat="false" ht="15" hidden="false" customHeight="false" outlineLevel="0" collapsed="false">
      <c r="A2989" s="3" t="n">
        <v>2988</v>
      </c>
      <c r="B2989" s="3" t="n">
        <v>2987</v>
      </c>
      <c r="C2989" s="3" t="n">
        <v>3</v>
      </c>
      <c r="D2989" s="3" t="n">
        <v>22</v>
      </c>
      <c r="E2989" s="3" t="n">
        <v>19</v>
      </c>
      <c r="F2989" s="24" t="n">
        <v>0</v>
      </c>
    </row>
    <row r="2990" customFormat="false" ht="15" hidden="false" customHeight="false" outlineLevel="0" collapsed="false">
      <c r="A2990" s="3" t="n">
        <v>2989</v>
      </c>
      <c r="B2990" s="3" t="n">
        <v>2988</v>
      </c>
      <c r="C2990" s="3" t="n">
        <v>3</v>
      </c>
      <c r="D2990" s="3" t="n">
        <v>22</v>
      </c>
      <c r="E2990" s="3" t="n">
        <v>20</v>
      </c>
      <c r="F2990" s="24" t="n">
        <v>0</v>
      </c>
    </row>
    <row r="2991" customFormat="false" ht="15" hidden="false" customHeight="false" outlineLevel="0" collapsed="false">
      <c r="A2991" s="3" t="n">
        <v>2990</v>
      </c>
      <c r="B2991" s="3" t="n">
        <v>2989</v>
      </c>
      <c r="C2991" s="3" t="n">
        <v>3</v>
      </c>
      <c r="D2991" s="3" t="n">
        <v>22</v>
      </c>
      <c r="E2991" s="3" t="n">
        <v>21</v>
      </c>
      <c r="F2991" s="24" t="n">
        <v>0</v>
      </c>
    </row>
    <row r="2992" customFormat="false" ht="15" hidden="false" customHeight="false" outlineLevel="0" collapsed="false">
      <c r="A2992" s="3" t="n">
        <v>2991</v>
      </c>
      <c r="B2992" s="3" t="n">
        <v>2990</v>
      </c>
      <c r="C2992" s="3" t="n">
        <v>3</v>
      </c>
      <c r="D2992" s="3" t="n">
        <v>22</v>
      </c>
      <c r="E2992" s="3" t="n">
        <v>22</v>
      </c>
      <c r="F2992" s="24" t="n">
        <v>0</v>
      </c>
    </row>
    <row r="2993" customFormat="false" ht="15" hidden="false" customHeight="false" outlineLevel="0" collapsed="false">
      <c r="A2993" s="3" t="n">
        <v>2992</v>
      </c>
      <c r="B2993" s="3" t="n">
        <v>2991</v>
      </c>
      <c r="C2993" s="3" t="n">
        <v>3</v>
      </c>
      <c r="D2993" s="3" t="n">
        <v>22</v>
      </c>
      <c r="E2993" s="3" t="n">
        <v>23</v>
      </c>
      <c r="F2993" s="24" t="n">
        <v>0</v>
      </c>
    </row>
    <row r="2994" customFormat="false" ht="15" hidden="false" customHeight="false" outlineLevel="0" collapsed="false">
      <c r="A2994" s="3" t="n">
        <v>2993</v>
      </c>
      <c r="B2994" s="3" t="n">
        <v>2992</v>
      </c>
      <c r="C2994" s="3" t="n">
        <v>3</v>
      </c>
      <c r="D2994" s="3" t="n">
        <v>22</v>
      </c>
      <c r="E2994" s="3" t="n">
        <v>24</v>
      </c>
      <c r="F2994" s="24" t="n">
        <v>0</v>
      </c>
    </row>
    <row r="2995" customFormat="false" ht="15" hidden="false" customHeight="false" outlineLevel="0" collapsed="false">
      <c r="A2995" s="3" t="n">
        <v>2994</v>
      </c>
      <c r="B2995" s="3" t="n">
        <v>2993</v>
      </c>
      <c r="C2995" s="3" t="n">
        <v>3</v>
      </c>
      <c r="D2995" s="3" t="n">
        <v>22</v>
      </c>
      <c r="E2995" s="3" t="n">
        <v>25</v>
      </c>
      <c r="F2995" s="24" t="n">
        <v>0</v>
      </c>
    </row>
    <row r="2996" customFormat="false" ht="15" hidden="false" customHeight="false" outlineLevel="0" collapsed="false">
      <c r="A2996" s="3" t="n">
        <v>2995</v>
      </c>
      <c r="B2996" s="3" t="n">
        <v>2994</v>
      </c>
      <c r="C2996" s="3" t="n">
        <v>3</v>
      </c>
      <c r="D2996" s="3" t="n">
        <v>22</v>
      </c>
      <c r="E2996" s="3" t="n">
        <v>26</v>
      </c>
      <c r="F2996" s="24" t="n">
        <v>0</v>
      </c>
    </row>
    <row r="2997" customFormat="false" ht="15" hidden="false" customHeight="false" outlineLevel="0" collapsed="false">
      <c r="A2997" s="3" t="n">
        <v>2996</v>
      </c>
      <c r="B2997" s="3" t="n">
        <v>2995</v>
      </c>
      <c r="C2997" s="3" t="n">
        <v>3</v>
      </c>
      <c r="D2997" s="3" t="n">
        <v>22</v>
      </c>
      <c r="E2997" s="3" t="n">
        <v>27</v>
      </c>
      <c r="F2997" s="24" t="n">
        <v>0</v>
      </c>
    </row>
    <row r="2998" customFormat="false" ht="15" hidden="false" customHeight="false" outlineLevel="0" collapsed="false">
      <c r="A2998" s="3" t="n">
        <v>2997</v>
      </c>
      <c r="B2998" s="3" t="n">
        <v>2996</v>
      </c>
      <c r="C2998" s="3" t="n">
        <v>3</v>
      </c>
      <c r="D2998" s="3" t="n">
        <v>23</v>
      </c>
      <c r="E2998" s="3" t="n">
        <v>0</v>
      </c>
      <c r="F2998" s="24" t="n">
        <v>0.0962923914</v>
      </c>
    </row>
    <row r="2999" customFormat="false" ht="15" hidden="false" customHeight="false" outlineLevel="0" collapsed="false">
      <c r="A2999" s="3" t="n">
        <v>2998</v>
      </c>
      <c r="B2999" s="3" t="n">
        <v>2997</v>
      </c>
      <c r="C2999" s="3" t="n">
        <v>3</v>
      </c>
      <c r="D2999" s="3" t="n">
        <v>23</v>
      </c>
      <c r="E2999" s="3" t="n">
        <v>1</v>
      </c>
      <c r="F2999" s="24" t="n">
        <v>0</v>
      </c>
    </row>
    <row r="3000" customFormat="false" ht="15" hidden="false" customHeight="false" outlineLevel="0" collapsed="false">
      <c r="A3000" s="3" t="n">
        <v>2999</v>
      </c>
      <c r="B3000" s="3" t="n">
        <v>2998</v>
      </c>
      <c r="C3000" s="3" t="n">
        <v>3</v>
      </c>
      <c r="D3000" s="3" t="n">
        <v>23</v>
      </c>
      <c r="E3000" s="3" t="n">
        <v>2</v>
      </c>
      <c r="F3000" s="24" t="n">
        <v>0</v>
      </c>
    </row>
    <row r="3001" customFormat="false" ht="15" hidden="false" customHeight="false" outlineLevel="0" collapsed="false">
      <c r="A3001" s="3" t="n">
        <v>3000</v>
      </c>
      <c r="B3001" s="3" t="n">
        <v>2999</v>
      </c>
      <c r="C3001" s="3" t="n">
        <v>3</v>
      </c>
      <c r="D3001" s="3" t="n">
        <v>23</v>
      </c>
      <c r="E3001" s="3" t="n">
        <v>3</v>
      </c>
      <c r="F3001" s="24" t="n">
        <v>0</v>
      </c>
    </row>
    <row r="3002" customFormat="false" ht="15" hidden="false" customHeight="false" outlineLevel="0" collapsed="false">
      <c r="A3002" s="3" t="n">
        <v>3001</v>
      </c>
      <c r="B3002" s="3" t="n">
        <v>3000</v>
      </c>
      <c r="C3002" s="3" t="n">
        <v>3</v>
      </c>
      <c r="D3002" s="3" t="n">
        <v>23</v>
      </c>
      <c r="E3002" s="3" t="n">
        <v>4</v>
      </c>
      <c r="F3002" s="24" t="n">
        <v>0</v>
      </c>
    </row>
    <row r="3003" customFormat="false" ht="15" hidden="false" customHeight="false" outlineLevel="0" collapsed="false">
      <c r="A3003" s="3" t="n">
        <v>3002</v>
      </c>
      <c r="B3003" s="3" t="n">
        <v>3001</v>
      </c>
      <c r="C3003" s="3" t="n">
        <v>3</v>
      </c>
      <c r="D3003" s="3" t="n">
        <v>23</v>
      </c>
      <c r="E3003" s="3" t="n">
        <v>5</v>
      </c>
      <c r="F3003" s="24" t="n">
        <v>0</v>
      </c>
    </row>
    <row r="3004" customFormat="false" ht="15" hidden="false" customHeight="false" outlineLevel="0" collapsed="false">
      <c r="A3004" s="3" t="n">
        <v>3003</v>
      </c>
      <c r="B3004" s="3" t="n">
        <v>3002</v>
      </c>
      <c r="C3004" s="3" t="n">
        <v>3</v>
      </c>
      <c r="D3004" s="3" t="n">
        <v>23</v>
      </c>
      <c r="E3004" s="3" t="n">
        <v>6</v>
      </c>
      <c r="F3004" s="24" t="n">
        <v>0</v>
      </c>
    </row>
    <row r="3005" customFormat="false" ht="15" hidden="false" customHeight="false" outlineLevel="0" collapsed="false">
      <c r="A3005" s="3" t="n">
        <v>3004</v>
      </c>
      <c r="B3005" s="3" t="n">
        <v>3003</v>
      </c>
      <c r="C3005" s="3" t="n">
        <v>3</v>
      </c>
      <c r="D3005" s="3" t="n">
        <v>23</v>
      </c>
      <c r="E3005" s="3" t="n">
        <v>7</v>
      </c>
      <c r="F3005" s="24" t="n">
        <v>0</v>
      </c>
    </row>
    <row r="3006" customFormat="false" ht="15" hidden="false" customHeight="false" outlineLevel="0" collapsed="false">
      <c r="A3006" s="3" t="n">
        <v>3005</v>
      </c>
      <c r="B3006" s="3" t="n">
        <v>3004</v>
      </c>
      <c r="C3006" s="3" t="n">
        <v>3</v>
      </c>
      <c r="D3006" s="3" t="n">
        <v>23</v>
      </c>
      <c r="E3006" s="3" t="n">
        <v>8</v>
      </c>
      <c r="F3006" s="24" t="n">
        <v>0</v>
      </c>
    </row>
    <row r="3007" customFormat="false" ht="15" hidden="false" customHeight="false" outlineLevel="0" collapsed="false">
      <c r="A3007" s="3" t="n">
        <v>3006</v>
      </c>
      <c r="B3007" s="3" t="n">
        <v>3005</v>
      </c>
      <c r="C3007" s="3" t="n">
        <v>3</v>
      </c>
      <c r="D3007" s="3" t="n">
        <v>23</v>
      </c>
      <c r="E3007" s="3" t="n">
        <v>9</v>
      </c>
      <c r="F3007" s="24" t="n">
        <v>0.341491699</v>
      </c>
    </row>
    <row r="3008" customFormat="false" ht="15" hidden="false" customHeight="false" outlineLevel="0" collapsed="false">
      <c r="A3008" s="3" t="n">
        <v>3007</v>
      </c>
      <c r="B3008" s="3" t="n">
        <v>3006</v>
      </c>
      <c r="C3008" s="3" t="n">
        <v>3</v>
      </c>
      <c r="D3008" s="3" t="n">
        <v>23</v>
      </c>
      <c r="E3008" s="3" t="n">
        <v>10</v>
      </c>
      <c r="F3008" s="24" t="n">
        <v>1.96400857</v>
      </c>
    </row>
    <row r="3009" customFormat="false" ht="15" hidden="false" customHeight="false" outlineLevel="0" collapsed="false">
      <c r="A3009" s="3" t="n">
        <v>3008</v>
      </c>
      <c r="B3009" s="3" t="n">
        <v>3007</v>
      </c>
      <c r="C3009" s="3" t="n">
        <v>3</v>
      </c>
      <c r="D3009" s="3" t="n">
        <v>23</v>
      </c>
      <c r="E3009" s="3" t="n">
        <v>11</v>
      </c>
      <c r="F3009" s="24" t="n">
        <v>1.21426177</v>
      </c>
    </row>
    <row r="3010" customFormat="false" ht="15" hidden="false" customHeight="false" outlineLevel="0" collapsed="false">
      <c r="A3010" s="3" t="n">
        <v>3009</v>
      </c>
      <c r="B3010" s="3" t="n">
        <v>3008</v>
      </c>
      <c r="C3010" s="3" t="n">
        <v>3</v>
      </c>
      <c r="D3010" s="3" t="n">
        <v>23</v>
      </c>
      <c r="E3010" s="3" t="n">
        <v>12</v>
      </c>
      <c r="F3010" s="24" t="n">
        <v>0.519779027</v>
      </c>
    </row>
    <row r="3011" customFormat="false" ht="15" hidden="false" customHeight="false" outlineLevel="0" collapsed="false">
      <c r="A3011" s="3" t="n">
        <v>3010</v>
      </c>
      <c r="B3011" s="3" t="n">
        <v>3009</v>
      </c>
      <c r="C3011" s="3" t="n">
        <v>3</v>
      </c>
      <c r="D3011" s="3" t="n">
        <v>23</v>
      </c>
      <c r="E3011" s="3" t="n">
        <v>13</v>
      </c>
      <c r="F3011" s="24" t="n">
        <v>0</v>
      </c>
    </row>
    <row r="3012" customFormat="false" ht="15" hidden="false" customHeight="false" outlineLevel="0" collapsed="false">
      <c r="A3012" s="3" t="n">
        <v>3011</v>
      </c>
      <c r="B3012" s="3" t="n">
        <v>3010</v>
      </c>
      <c r="C3012" s="3" t="n">
        <v>3</v>
      </c>
      <c r="D3012" s="3" t="n">
        <v>23</v>
      </c>
      <c r="E3012" s="3" t="n">
        <v>14</v>
      </c>
      <c r="F3012" s="24" t="n">
        <v>0.153635487</v>
      </c>
    </row>
    <row r="3013" customFormat="false" ht="15" hidden="false" customHeight="false" outlineLevel="0" collapsed="false">
      <c r="A3013" s="3" t="n">
        <v>3012</v>
      </c>
      <c r="B3013" s="3" t="n">
        <v>3011</v>
      </c>
      <c r="C3013" s="3" t="n">
        <v>3</v>
      </c>
      <c r="D3013" s="3" t="n">
        <v>23</v>
      </c>
      <c r="E3013" s="3" t="n">
        <v>15</v>
      </c>
      <c r="F3013" s="24" t="n">
        <v>0</v>
      </c>
    </row>
    <row r="3014" customFormat="false" ht="15" hidden="false" customHeight="false" outlineLevel="0" collapsed="false">
      <c r="A3014" s="3" t="n">
        <v>3013</v>
      </c>
      <c r="B3014" s="3" t="n">
        <v>3012</v>
      </c>
      <c r="C3014" s="3" t="n">
        <v>3</v>
      </c>
      <c r="D3014" s="3" t="n">
        <v>23</v>
      </c>
      <c r="E3014" s="3" t="n">
        <v>16</v>
      </c>
      <c r="F3014" s="24" t="n">
        <v>0</v>
      </c>
    </row>
    <row r="3015" customFormat="false" ht="15" hidden="false" customHeight="false" outlineLevel="0" collapsed="false">
      <c r="A3015" s="3" t="n">
        <v>3014</v>
      </c>
      <c r="B3015" s="3" t="n">
        <v>3013</v>
      </c>
      <c r="C3015" s="3" t="n">
        <v>3</v>
      </c>
      <c r="D3015" s="3" t="n">
        <v>23</v>
      </c>
      <c r="E3015" s="3" t="n">
        <v>17</v>
      </c>
      <c r="F3015" s="24" t="n">
        <v>0</v>
      </c>
    </row>
    <row r="3016" customFormat="false" ht="15" hidden="false" customHeight="false" outlineLevel="0" collapsed="false">
      <c r="A3016" s="3" t="n">
        <v>3015</v>
      </c>
      <c r="B3016" s="3" t="n">
        <v>3014</v>
      </c>
      <c r="C3016" s="3" t="n">
        <v>3</v>
      </c>
      <c r="D3016" s="3" t="n">
        <v>23</v>
      </c>
      <c r="E3016" s="3" t="n">
        <v>18</v>
      </c>
      <c r="F3016" s="24" t="n">
        <v>0</v>
      </c>
    </row>
    <row r="3017" customFormat="false" ht="15" hidden="false" customHeight="false" outlineLevel="0" collapsed="false">
      <c r="A3017" s="3" t="n">
        <v>3016</v>
      </c>
      <c r="B3017" s="3" t="n">
        <v>3015</v>
      </c>
      <c r="C3017" s="3" t="n">
        <v>3</v>
      </c>
      <c r="D3017" s="3" t="n">
        <v>23</v>
      </c>
      <c r="E3017" s="3" t="n">
        <v>19</v>
      </c>
      <c r="F3017" s="24" t="n">
        <v>0</v>
      </c>
    </row>
    <row r="3018" customFormat="false" ht="15" hidden="false" customHeight="false" outlineLevel="0" collapsed="false">
      <c r="A3018" s="3" t="n">
        <v>3017</v>
      </c>
      <c r="B3018" s="3" t="n">
        <v>3016</v>
      </c>
      <c r="C3018" s="3" t="n">
        <v>3</v>
      </c>
      <c r="D3018" s="3" t="n">
        <v>23</v>
      </c>
      <c r="E3018" s="3" t="n">
        <v>20</v>
      </c>
      <c r="F3018" s="24" t="n">
        <v>0</v>
      </c>
    </row>
    <row r="3019" customFormat="false" ht="15" hidden="false" customHeight="false" outlineLevel="0" collapsed="false">
      <c r="A3019" s="3" t="n">
        <v>3018</v>
      </c>
      <c r="B3019" s="3" t="n">
        <v>3017</v>
      </c>
      <c r="C3019" s="3" t="n">
        <v>3</v>
      </c>
      <c r="D3019" s="3" t="n">
        <v>23</v>
      </c>
      <c r="E3019" s="3" t="n">
        <v>21</v>
      </c>
      <c r="F3019" s="24" t="n">
        <v>0</v>
      </c>
    </row>
    <row r="3020" customFormat="false" ht="15" hidden="false" customHeight="false" outlineLevel="0" collapsed="false">
      <c r="A3020" s="3" t="n">
        <v>3019</v>
      </c>
      <c r="B3020" s="3" t="n">
        <v>3018</v>
      </c>
      <c r="C3020" s="3" t="n">
        <v>3</v>
      </c>
      <c r="D3020" s="3" t="n">
        <v>23</v>
      </c>
      <c r="E3020" s="3" t="n">
        <v>22</v>
      </c>
      <c r="F3020" s="24" t="n">
        <v>0</v>
      </c>
    </row>
    <row r="3021" customFormat="false" ht="15" hidden="false" customHeight="false" outlineLevel="0" collapsed="false">
      <c r="A3021" s="3" t="n">
        <v>3020</v>
      </c>
      <c r="B3021" s="3" t="n">
        <v>3019</v>
      </c>
      <c r="C3021" s="3" t="n">
        <v>3</v>
      </c>
      <c r="D3021" s="3" t="n">
        <v>23</v>
      </c>
      <c r="E3021" s="3" t="n">
        <v>23</v>
      </c>
      <c r="F3021" s="24" t="n">
        <v>0</v>
      </c>
    </row>
    <row r="3022" customFormat="false" ht="15" hidden="false" customHeight="false" outlineLevel="0" collapsed="false">
      <c r="A3022" s="3" t="n">
        <v>3021</v>
      </c>
      <c r="B3022" s="3" t="n">
        <v>3020</v>
      </c>
      <c r="C3022" s="3" t="n">
        <v>3</v>
      </c>
      <c r="D3022" s="3" t="n">
        <v>23</v>
      </c>
      <c r="E3022" s="3" t="n">
        <v>24</v>
      </c>
      <c r="F3022" s="24" t="n">
        <v>0</v>
      </c>
    </row>
    <row r="3023" customFormat="false" ht="15" hidden="false" customHeight="false" outlineLevel="0" collapsed="false">
      <c r="A3023" s="3" t="n">
        <v>3022</v>
      </c>
      <c r="B3023" s="3" t="n">
        <v>3021</v>
      </c>
      <c r="C3023" s="3" t="n">
        <v>3</v>
      </c>
      <c r="D3023" s="3" t="n">
        <v>23</v>
      </c>
      <c r="E3023" s="3" t="n">
        <v>25</v>
      </c>
      <c r="F3023" s="24" t="n">
        <v>0</v>
      </c>
    </row>
    <row r="3024" customFormat="false" ht="15" hidden="false" customHeight="false" outlineLevel="0" collapsed="false">
      <c r="A3024" s="3" t="n">
        <v>3023</v>
      </c>
      <c r="B3024" s="3" t="n">
        <v>3022</v>
      </c>
      <c r="C3024" s="3" t="n">
        <v>3</v>
      </c>
      <c r="D3024" s="3" t="n">
        <v>23</v>
      </c>
      <c r="E3024" s="3" t="n">
        <v>26</v>
      </c>
      <c r="F3024" s="24" t="n">
        <v>0</v>
      </c>
    </row>
    <row r="3025" customFormat="false" ht="15" hidden="false" customHeight="false" outlineLevel="0" collapsed="false">
      <c r="A3025" s="3" t="n">
        <v>3024</v>
      </c>
      <c r="B3025" s="3" t="n">
        <v>3023</v>
      </c>
      <c r="C3025" s="3" t="n">
        <v>3</v>
      </c>
      <c r="D3025" s="3" t="n">
        <v>23</v>
      </c>
      <c r="E3025" s="3" t="n">
        <v>27</v>
      </c>
      <c r="F3025" s="24" t="n">
        <v>0</v>
      </c>
    </row>
    <row r="3026" customFormat="false" ht="15" hidden="false" customHeight="false" outlineLevel="0" collapsed="false">
      <c r="A3026" s="3" t="n">
        <v>3025</v>
      </c>
      <c r="B3026" s="3" t="n">
        <v>3024</v>
      </c>
      <c r="C3026" s="3" t="n">
        <v>3</v>
      </c>
      <c r="D3026" s="3" t="n">
        <v>24</v>
      </c>
      <c r="E3026" s="3" t="n">
        <v>0</v>
      </c>
      <c r="F3026" s="24" t="n">
        <v>0.0962923914</v>
      </c>
    </row>
    <row r="3027" customFormat="false" ht="15" hidden="false" customHeight="false" outlineLevel="0" collapsed="false">
      <c r="A3027" s="3" t="n">
        <v>3026</v>
      </c>
      <c r="B3027" s="3" t="n">
        <v>3025</v>
      </c>
      <c r="C3027" s="3" t="n">
        <v>3</v>
      </c>
      <c r="D3027" s="3" t="n">
        <v>24</v>
      </c>
      <c r="E3027" s="3" t="n">
        <v>1</v>
      </c>
      <c r="F3027" s="24" t="n">
        <v>0</v>
      </c>
    </row>
    <row r="3028" customFormat="false" ht="15" hidden="false" customHeight="false" outlineLevel="0" collapsed="false">
      <c r="A3028" s="3" t="n">
        <v>3027</v>
      </c>
      <c r="B3028" s="3" t="n">
        <v>3026</v>
      </c>
      <c r="C3028" s="3" t="n">
        <v>3</v>
      </c>
      <c r="D3028" s="3" t="n">
        <v>24</v>
      </c>
      <c r="E3028" s="3" t="n">
        <v>2</v>
      </c>
      <c r="F3028" s="24" t="n">
        <v>0</v>
      </c>
    </row>
    <row r="3029" customFormat="false" ht="15" hidden="false" customHeight="false" outlineLevel="0" collapsed="false">
      <c r="A3029" s="3" t="n">
        <v>3028</v>
      </c>
      <c r="B3029" s="3" t="n">
        <v>3027</v>
      </c>
      <c r="C3029" s="3" t="n">
        <v>3</v>
      </c>
      <c r="D3029" s="3" t="n">
        <v>24</v>
      </c>
      <c r="E3029" s="3" t="n">
        <v>3</v>
      </c>
      <c r="F3029" s="24" t="n">
        <v>0</v>
      </c>
    </row>
    <row r="3030" customFormat="false" ht="15" hidden="false" customHeight="false" outlineLevel="0" collapsed="false">
      <c r="A3030" s="3" t="n">
        <v>3029</v>
      </c>
      <c r="B3030" s="3" t="n">
        <v>3028</v>
      </c>
      <c r="C3030" s="3" t="n">
        <v>3</v>
      </c>
      <c r="D3030" s="3" t="n">
        <v>24</v>
      </c>
      <c r="E3030" s="3" t="n">
        <v>4</v>
      </c>
      <c r="F3030" s="24" t="n">
        <v>0</v>
      </c>
    </row>
    <row r="3031" customFormat="false" ht="15" hidden="false" customHeight="false" outlineLevel="0" collapsed="false">
      <c r="A3031" s="3" t="n">
        <v>3030</v>
      </c>
      <c r="B3031" s="3" t="n">
        <v>3029</v>
      </c>
      <c r="C3031" s="3" t="n">
        <v>3</v>
      </c>
      <c r="D3031" s="3" t="n">
        <v>24</v>
      </c>
      <c r="E3031" s="3" t="n">
        <v>5</v>
      </c>
      <c r="F3031" s="24" t="n">
        <v>0</v>
      </c>
    </row>
    <row r="3032" customFormat="false" ht="15" hidden="false" customHeight="false" outlineLevel="0" collapsed="false">
      <c r="A3032" s="3" t="n">
        <v>3031</v>
      </c>
      <c r="B3032" s="3" t="n">
        <v>3030</v>
      </c>
      <c r="C3032" s="3" t="n">
        <v>3</v>
      </c>
      <c r="D3032" s="3" t="n">
        <v>24</v>
      </c>
      <c r="E3032" s="3" t="n">
        <v>6</v>
      </c>
      <c r="F3032" s="24" t="n">
        <v>0</v>
      </c>
    </row>
    <row r="3033" customFormat="false" ht="15" hidden="false" customHeight="false" outlineLevel="0" collapsed="false">
      <c r="A3033" s="3" t="n">
        <v>3032</v>
      </c>
      <c r="B3033" s="3" t="n">
        <v>3031</v>
      </c>
      <c r="C3033" s="3" t="n">
        <v>3</v>
      </c>
      <c r="D3033" s="3" t="n">
        <v>24</v>
      </c>
      <c r="E3033" s="3" t="n">
        <v>7</v>
      </c>
      <c r="F3033" s="24" t="n">
        <v>0</v>
      </c>
    </row>
    <row r="3034" customFormat="false" ht="15" hidden="false" customHeight="false" outlineLevel="0" collapsed="false">
      <c r="A3034" s="3" t="n">
        <v>3033</v>
      </c>
      <c r="B3034" s="3" t="n">
        <v>3032</v>
      </c>
      <c r="C3034" s="3" t="n">
        <v>3</v>
      </c>
      <c r="D3034" s="3" t="n">
        <v>24</v>
      </c>
      <c r="E3034" s="3" t="n">
        <v>8</v>
      </c>
      <c r="F3034" s="24" t="n">
        <v>0</v>
      </c>
    </row>
    <row r="3035" customFormat="false" ht="15" hidden="false" customHeight="false" outlineLevel="0" collapsed="false">
      <c r="A3035" s="3" t="n">
        <v>3034</v>
      </c>
      <c r="B3035" s="3" t="n">
        <v>3033</v>
      </c>
      <c r="C3035" s="3" t="n">
        <v>3</v>
      </c>
      <c r="D3035" s="3" t="n">
        <v>24</v>
      </c>
      <c r="E3035" s="3" t="n">
        <v>9</v>
      </c>
      <c r="F3035" s="24" t="n">
        <v>0.979769528</v>
      </c>
    </row>
    <row r="3036" customFormat="false" ht="15" hidden="false" customHeight="false" outlineLevel="0" collapsed="false">
      <c r="A3036" s="3" t="n">
        <v>3035</v>
      </c>
      <c r="B3036" s="3" t="n">
        <v>3034</v>
      </c>
      <c r="C3036" s="3" t="n">
        <v>3</v>
      </c>
      <c r="D3036" s="3" t="n">
        <v>24</v>
      </c>
      <c r="E3036" s="3" t="n">
        <v>10</v>
      </c>
      <c r="F3036" s="24" t="n">
        <v>1.71239746</v>
      </c>
    </row>
    <row r="3037" customFormat="false" ht="15" hidden="false" customHeight="false" outlineLevel="0" collapsed="false">
      <c r="A3037" s="3" t="n">
        <v>3036</v>
      </c>
      <c r="B3037" s="3" t="n">
        <v>3035</v>
      </c>
      <c r="C3037" s="3" t="n">
        <v>3</v>
      </c>
      <c r="D3037" s="3" t="n">
        <v>24</v>
      </c>
      <c r="E3037" s="3" t="n">
        <v>11</v>
      </c>
      <c r="F3037" s="24" t="n">
        <v>0.635450304</v>
      </c>
    </row>
    <row r="3038" customFormat="false" ht="15" hidden="false" customHeight="false" outlineLevel="0" collapsed="false">
      <c r="A3038" s="3" t="n">
        <v>3037</v>
      </c>
      <c r="B3038" s="3" t="n">
        <v>3036</v>
      </c>
      <c r="C3038" s="3" t="n">
        <v>3</v>
      </c>
      <c r="D3038" s="3" t="n">
        <v>24</v>
      </c>
      <c r="E3038" s="3" t="n">
        <v>12</v>
      </c>
      <c r="F3038" s="24" t="n">
        <v>0.241783053</v>
      </c>
    </row>
    <row r="3039" customFormat="false" ht="15" hidden="false" customHeight="false" outlineLevel="0" collapsed="false">
      <c r="A3039" s="3" t="n">
        <v>3038</v>
      </c>
      <c r="B3039" s="3" t="n">
        <v>3037</v>
      </c>
      <c r="C3039" s="3" t="n">
        <v>3</v>
      </c>
      <c r="D3039" s="3" t="n">
        <v>24</v>
      </c>
      <c r="E3039" s="3" t="n">
        <v>13</v>
      </c>
      <c r="F3039" s="24" t="n">
        <v>0</v>
      </c>
    </row>
    <row r="3040" customFormat="false" ht="15" hidden="false" customHeight="false" outlineLevel="0" collapsed="false">
      <c r="A3040" s="3" t="n">
        <v>3039</v>
      </c>
      <c r="B3040" s="3" t="n">
        <v>3038</v>
      </c>
      <c r="C3040" s="3" t="n">
        <v>3</v>
      </c>
      <c r="D3040" s="3" t="n">
        <v>24</v>
      </c>
      <c r="E3040" s="3" t="n">
        <v>14</v>
      </c>
      <c r="F3040" s="24" t="n">
        <v>0.514828265</v>
      </c>
    </row>
    <row r="3041" customFormat="false" ht="15" hidden="false" customHeight="false" outlineLevel="0" collapsed="false">
      <c r="A3041" s="3" t="n">
        <v>3040</v>
      </c>
      <c r="B3041" s="3" t="n">
        <v>3039</v>
      </c>
      <c r="C3041" s="3" t="n">
        <v>3</v>
      </c>
      <c r="D3041" s="3" t="n">
        <v>24</v>
      </c>
      <c r="E3041" s="3" t="n">
        <v>15</v>
      </c>
      <c r="F3041" s="24" t="n">
        <v>0.1307704</v>
      </c>
    </row>
    <row r="3042" customFormat="false" ht="15" hidden="false" customHeight="false" outlineLevel="0" collapsed="false">
      <c r="A3042" s="3" t="n">
        <v>3041</v>
      </c>
      <c r="B3042" s="3" t="n">
        <v>3040</v>
      </c>
      <c r="C3042" s="3" t="n">
        <v>3</v>
      </c>
      <c r="D3042" s="3" t="n">
        <v>24</v>
      </c>
      <c r="E3042" s="3" t="n">
        <v>16</v>
      </c>
      <c r="F3042" s="24" t="n">
        <v>0</v>
      </c>
    </row>
    <row r="3043" customFormat="false" ht="15" hidden="false" customHeight="false" outlineLevel="0" collapsed="false">
      <c r="A3043" s="3" t="n">
        <v>3042</v>
      </c>
      <c r="B3043" s="3" t="n">
        <v>3041</v>
      </c>
      <c r="C3043" s="3" t="n">
        <v>3</v>
      </c>
      <c r="D3043" s="3" t="n">
        <v>24</v>
      </c>
      <c r="E3043" s="3" t="n">
        <v>17</v>
      </c>
      <c r="F3043" s="24" t="n">
        <v>0</v>
      </c>
    </row>
    <row r="3044" customFormat="false" ht="15" hidden="false" customHeight="false" outlineLevel="0" collapsed="false">
      <c r="A3044" s="3" t="n">
        <v>3043</v>
      </c>
      <c r="B3044" s="3" t="n">
        <v>3042</v>
      </c>
      <c r="C3044" s="3" t="n">
        <v>3</v>
      </c>
      <c r="D3044" s="3" t="n">
        <v>24</v>
      </c>
      <c r="E3044" s="3" t="n">
        <v>18</v>
      </c>
      <c r="F3044" s="24" t="n">
        <v>0</v>
      </c>
    </row>
    <row r="3045" customFormat="false" ht="15" hidden="false" customHeight="false" outlineLevel="0" collapsed="false">
      <c r="A3045" s="3" t="n">
        <v>3044</v>
      </c>
      <c r="B3045" s="3" t="n">
        <v>3043</v>
      </c>
      <c r="C3045" s="3" t="n">
        <v>3</v>
      </c>
      <c r="D3045" s="3" t="n">
        <v>24</v>
      </c>
      <c r="E3045" s="3" t="n">
        <v>19</v>
      </c>
      <c r="F3045" s="24" t="n">
        <v>0</v>
      </c>
    </row>
    <row r="3046" customFormat="false" ht="15" hidden="false" customHeight="false" outlineLevel="0" collapsed="false">
      <c r="A3046" s="3" t="n">
        <v>3045</v>
      </c>
      <c r="B3046" s="3" t="n">
        <v>3044</v>
      </c>
      <c r="C3046" s="3" t="n">
        <v>3</v>
      </c>
      <c r="D3046" s="3" t="n">
        <v>24</v>
      </c>
      <c r="E3046" s="3" t="n">
        <v>20</v>
      </c>
      <c r="F3046" s="24" t="n">
        <v>0</v>
      </c>
    </row>
    <row r="3047" customFormat="false" ht="15" hidden="false" customHeight="false" outlineLevel="0" collapsed="false">
      <c r="A3047" s="3" t="n">
        <v>3046</v>
      </c>
      <c r="B3047" s="3" t="n">
        <v>3045</v>
      </c>
      <c r="C3047" s="3" t="n">
        <v>3</v>
      </c>
      <c r="D3047" s="3" t="n">
        <v>24</v>
      </c>
      <c r="E3047" s="3" t="n">
        <v>21</v>
      </c>
      <c r="F3047" s="24" t="n">
        <v>0</v>
      </c>
    </row>
    <row r="3048" customFormat="false" ht="15" hidden="false" customHeight="false" outlineLevel="0" collapsed="false">
      <c r="A3048" s="3" t="n">
        <v>3047</v>
      </c>
      <c r="B3048" s="3" t="n">
        <v>3046</v>
      </c>
      <c r="C3048" s="3" t="n">
        <v>3</v>
      </c>
      <c r="D3048" s="3" t="n">
        <v>24</v>
      </c>
      <c r="E3048" s="3" t="n">
        <v>22</v>
      </c>
      <c r="F3048" s="24" t="n">
        <v>0</v>
      </c>
    </row>
    <row r="3049" customFormat="false" ht="15" hidden="false" customHeight="false" outlineLevel="0" collapsed="false">
      <c r="A3049" s="3" t="n">
        <v>3048</v>
      </c>
      <c r="B3049" s="3" t="n">
        <v>3047</v>
      </c>
      <c r="C3049" s="3" t="n">
        <v>3</v>
      </c>
      <c r="D3049" s="3" t="n">
        <v>24</v>
      </c>
      <c r="E3049" s="3" t="n">
        <v>23</v>
      </c>
      <c r="F3049" s="24" t="n">
        <v>0</v>
      </c>
    </row>
    <row r="3050" customFormat="false" ht="15" hidden="false" customHeight="false" outlineLevel="0" collapsed="false">
      <c r="A3050" s="3" t="n">
        <v>3049</v>
      </c>
      <c r="B3050" s="3" t="n">
        <v>3048</v>
      </c>
      <c r="C3050" s="3" t="n">
        <v>3</v>
      </c>
      <c r="D3050" s="3" t="n">
        <v>24</v>
      </c>
      <c r="E3050" s="3" t="n">
        <v>24</v>
      </c>
      <c r="F3050" s="24" t="n">
        <v>0</v>
      </c>
    </row>
    <row r="3051" customFormat="false" ht="15" hidden="false" customHeight="false" outlineLevel="0" collapsed="false">
      <c r="A3051" s="3" t="n">
        <v>3050</v>
      </c>
      <c r="B3051" s="3" t="n">
        <v>3049</v>
      </c>
      <c r="C3051" s="3" t="n">
        <v>3</v>
      </c>
      <c r="D3051" s="3" t="n">
        <v>24</v>
      </c>
      <c r="E3051" s="3" t="n">
        <v>25</v>
      </c>
      <c r="F3051" s="24" t="n">
        <v>0</v>
      </c>
    </row>
    <row r="3052" customFormat="false" ht="15" hidden="false" customHeight="false" outlineLevel="0" collapsed="false">
      <c r="A3052" s="3" t="n">
        <v>3051</v>
      </c>
      <c r="B3052" s="3" t="n">
        <v>3050</v>
      </c>
      <c r="C3052" s="3" t="n">
        <v>3</v>
      </c>
      <c r="D3052" s="3" t="n">
        <v>24</v>
      </c>
      <c r="E3052" s="3" t="n">
        <v>26</v>
      </c>
      <c r="F3052" s="24" t="n">
        <v>0</v>
      </c>
    </row>
    <row r="3053" customFormat="false" ht="15" hidden="false" customHeight="false" outlineLevel="0" collapsed="false">
      <c r="A3053" s="3" t="n">
        <v>3052</v>
      </c>
      <c r="B3053" s="3" t="n">
        <v>3051</v>
      </c>
      <c r="C3053" s="3" t="n">
        <v>3</v>
      </c>
      <c r="D3053" s="3" t="n">
        <v>24</v>
      </c>
      <c r="E3053" s="3" t="n">
        <v>27</v>
      </c>
      <c r="F3053" s="24" t="n">
        <v>0</v>
      </c>
    </row>
    <row r="3054" customFormat="false" ht="15" hidden="false" customHeight="false" outlineLevel="0" collapsed="false">
      <c r="A3054" s="3" t="n">
        <v>3053</v>
      </c>
      <c r="B3054" s="3" t="n">
        <v>3052</v>
      </c>
      <c r="C3054" s="3" t="n">
        <v>3</v>
      </c>
      <c r="D3054" s="3" t="n">
        <v>25</v>
      </c>
      <c r="E3054" s="3" t="n">
        <v>0</v>
      </c>
      <c r="F3054" s="24" t="n">
        <v>0.0962923914</v>
      </c>
    </row>
    <row r="3055" customFormat="false" ht="15" hidden="false" customHeight="false" outlineLevel="0" collapsed="false">
      <c r="A3055" s="3" t="n">
        <v>3054</v>
      </c>
      <c r="B3055" s="3" t="n">
        <v>3053</v>
      </c>
      <c r="C3055" s="3" t="n">
        <v>3</v>
      </c>
      <c r="D3055" s="3" t="n">
        <v>25</v>
      </c>
      <c r="E3055" s="3" t="n">
        <v>1</v>
      </c>
      <c r="F3055" s="24" t="n">
        <v>0</v>
      </c>
    </row>
    <row r="3056" customFormat="false" ht="15" hidden="false" customHeight="false" outlineLevel="0" collapsed="false">
      <c r="A3056" s="3" t="n">
        <v>3055</v>
      </c>
      <c r="B3056" s="3" t="n">
        <v>3054</v>
      </c>
      <c r="C3056" s="3" t="n">
        <v>3</v>
      </c>
      <c r="D3056" s="3" t="n">
        <v>25</v>
      </c>
      <c r="E3056" s="3" t="n">
        <v>2</v>
      </c>
      <c r="F3056" s="24" t="n">
        <v>0</v>
      </c>
    </row>
    <row r="3057" customFormat="false" ht="15" hidden="false" customHeight="false" outlineLevel="0" collapsed="false">
      <c r="A3057" s="3" t="n">
        <v>3056</v>
      </c>
      <c r="B3057" s="3" t="n">
        <v>3055</v>
      </c>
      <c r="C3057" s="3" t="n">
        <v>3</v>
      </c>
      <c r="D3057" s="3" t="n">
        <v>25</v>
      </c>
      <c r="E3057" s="3" t="n">
        <v>3</v>
      </c>
      <c r="F3057" s="24" t="n">
        <v>0</v>
      </c>
    </row>
    <row r="3058" customFormat="false" ht="15" hidden="false" customHeight="false" outlineLevel="0" collapsed="false">
      <c r="A3058" s="3" t="n">
        <v>3057</v>
      </c>
      <c r="B3058" s="3" t="n">
        <v>3056</v>
      </c>
      <c r="C3058" s="3" t="n">
        <v>3</v>
      </c>
      <c r="D3058" s="3" t="n">
        <v>25</v>
      </c>
      <c r="E3058" s="3" t="n">
        <v>4</v>
      </c>
      <c r="F3058" s="24" t="n">
        <v>0</v>
      </c>
    </row>
    <row r="3059" customFormat="false" ht="15" hidden="false" customHeight="false" outlineLevel="0" collapsed="false">
      <c r="A3059" s="3" t="n">
        <v>3058</v>
      </c>
      <c r="B3059" s="3" t="n">
        <v>3057</v>
      </c>
      <c r="C3059" s="3" t="n">
        <v>3</v>
      </c>
      <c r="D3059" s="3" t="n">
        <v>25</v>
      </c>
      <c r="E3059" s="3" t="n">
        <v>5</v>
      </c>
      <c r="F3059" s="24" t="n">
        <v>0</v>
      </c>
    </row>
    <row r="3060" customFormat="false" ht="15" hidden="false" customHeight="false" outlineLevel="0" collapsed="false">
      <c r="A3060" s="3" t="n">
        <v>3059</v>
      </c>
      <c r="B3060" s="3" t="n">
        <v>3058</v>
      </c>
      <c r="C3060" s="3" t="n">
        <v>3</v>
      </c>
      <c r="D3060" s="3" t="n">
        <v>25</v>
      </c>
      <c r="E3060" s="3" t="n">
        <v>6</v>
      </c>
      <c r="F3060" s="24" t="n">
        <v>0</v>
      </c>
    </row>
    <row r="3061" customFormat="false" ht="15" hidden="false" customHeight="false" outlineLevel="0" collapsed="false">
      <c r="A3061" s="3" t="n">
        <v>3060</v>
      </c>
      <c r="B3061" s="3" t="n">
        <v>3059</v>
      </c>
      <c r="C3061" s="3" t="n">
        <v>3</v>
      </c>
      <c r="D3061" s="3" t="n">
        <v>25</v>
      </c>
      <c r="E3061" s="3" t="n">
        <v>7</v>
      </c>
      <c r="F3061" s="24" t="n">
        <v>0</v>
      </c>
    </row>
    <row r="3062" customFormat="false" ht="15" hidden="false" customHeight="false" outlineLevel="0" collapsed="false">
      <c r="A3062" s="3" t="n">
        <v>3061</v>
      </c>
      <c r="B3062" s="3" t="n">
        <v>3060</v>
      </c>
      <c r="C3062" s="3" t="n">
        <v>3</v>
      </c>
      <c r="D3062" s="3" t="n">
        <v>25</v>
      </c>
      <c r="E3062" s="3" t="n">
        <v>8</v>
      </c>
      <c r="F3062" s="24" t="n">
        <v>0</v>
      </c>
    </row>
    <row r="3063" customFormat="false" ht="15" hidden="false" customHeight="false" outlineLevel="0" collapsed="false">
      <c r="A3063" s="3" t="n">
        <v>3062</v>
      </c>
      <c r="B3063" s="3" t="n">
        <v>3061</v>
      </c>
      <c r="C3063" s="3" t="n">
        <v>3</v>
      </c>
      <c r="D3063" s="3" t="n">
        <v>25</v>
      </c>
      <c r="E3063" s="3" t="n">
        <v>9</v>
      </c>
      <c r="F3063" s="24" t="n">
        <v>0.638935447</v>
      </c>
    </row>
    <row r="3064" customFormat="false" ht="15" hidden="false" customHeight="false" outlineLevel="0" collapsed="false">
      <c r="A3064" s="3" t="n">
        <v>3063</v>
      </c>
      <c r="B3064" s="3" t="n">
        <v>3062</v>
      </c>
      <c r="C3064" s="3" t="n">
        <v>3</v>
      </c>
      <c r="D3064" s="3" t="n">
        <v>25</v>
      </c>
      <c r="E3064" s="3" t="n">
        <v>10</v>
      </c>
      <c r="F3064" s="24" t="n">
        <v>0.155722469</v>
      </c>
    </row>
    <row r="3065" customFormat="false" ht="15" hidden="false" customHeight="false" outlineLevel="0" collapsed="false">
      <c r="A3065" s="3" t="n">
        <v>3064</v>
      </c>
      <c r="B3065" s="3" t="n">
        <v>3063</v>
      </c>
      <c r="C3065" s="3" t="n">
        <v>3</v>
      </c>
      <c r="D3065" s="3" t="n">
        <v>25</v>
      </c>
      <c r="E3065" s="3" t="n">
        <v>11</v>
      </c>
      <c r="F3065" s="24" t="n">
        <v>0</v>
      </c>
    </row>
    <row r="3066" customFormat="false" ht="15" hidden="false" customHeight="false" outlineLevel="0" collapsed="false">
      <c r="A3066" s="3" t="n">
        <v>3065</v>
      </c>
      <c r="B3066" s="3" t="n">
        <v>3064</v>
      </c>
      <c r="C3066" s="3" t="n">
        <v>3</v>
      </c>
      <c r="D3066" s="3" t="n">
        <v>25</v>
      </c>
      <c r="E3066" s="3" t="n">
        <v>12</v>
      </c>
      <c r="F3066" s="24" t="n">
        <v>0</v>
      </c>
    </row>
    <row r="3067" customFormat="false" ht="15" hidden="false" customHeight="false" outlineLevel="0" collapsed="false">
      <c r="A3067" s="3" t="n">
        <v>3066</v>
      </c>
      <c r="B3067" s="3" t="n">
        <v>3065</v>
      </c>
      <c r="C3067" s="3" t="n">
        <v>3</v>
      </c>
      <c r="D3067" s="3" t="n">
        <v>25</v>
      </c>
      <c r="E3067" s="3" t="n">
        <v>13</v>
      </c>
      <c r="F3067" s="24" t="n">
        <v>0</v>
      </c>
    </row>
    <row r="3068" customFormat="false" ht="15" hidden="false" customHeight="false" outlineLevel="0" collapsed="false">
      <c r="A3068" s="3" t="n">
        <v>3067</v>
      </c>
      <c r="B3068" s="3" t="n">
        <v>3066</v>
      </c>
      <c r="C3068" s="3" t="n">
        <v>3</v>
      </c>
      <c r="D3068" s="3" t="n">
        <v>25</v>
      </c>
      <c r="E3068" s="3" t="n">
        <v>14</v>
      </c>
      <c r="F3068" s="24" t="n">
        <v>0</v>
      </c>
    </row>
    <row r="3069" customFormat="false" ht="15" hidden="false" customHeight="false" outlineLevel="0" collapsed="false">
      <c r="A3069" s="3" t="n">
        <v>3068</v>
      </c>
      <c r="B3069" s="3" t="n">
        <v>3067</v>
      </c>
      <c r="C3069" s="3" t="n">
        <v>3</v>
      </c>
      <c r="D3069" s="3" t="n">
        <v>25</v>
      </c>
      <c r="E3069" s="3" t="n">
        <v>15</v>
      </c>
      <c r="F3069" s="24" t="n">
        <v>0</v>
      </c>
    </row>
    <row r="3070" customFormat="false" ht="15" hidden="false" customHeight="false" outlineLevel="0" collapsed="false">
      <c r="A3070" s="3" t="n">
        <v>3069</v>
      </c>
      <c r="B3070" s="3" t="n">
        <v>3068</v>
      </c>
      <c r="C3070" s="3" t="n">
        <v>3</v>
      </c>
      <c r="D3070" s="3" t="n">
        <v>25</v>
      </c>
      <c r="E3070" s="3" t="n">
        <v>16</v>
      </c>
      <c r="F3070" s="24" t="n">
        <v>0</v>
      </c>
    </row>
    <row r="3071" customFormat="false" ht="15" hidden="false" customHeight="false" outlineLevel="0" collapsed="false">
      <c r="A3071" s="3" t="n">
        <v>3070</v>
      </c>
      <c r="B3071" s="3" t="n">
        <v>3069</v>
      </c>
      <c r="C3071" s="3" t="n">
        <v>3</v>
      </c>
      <c r="D3071" s="3" t="n">
        <v>25</v>
      </c>
      <c r="E3071" s="3" t="n">
        <v>17</v>
      </c>
      <c r="F3071" s="24" t="n">
        <v>0</v>
      </c>
    </row>
    <row r="3072" customFormat="false" ht="15" hidden="false" customHeight="false" outlineLevel="0" collapsed="false">
      <c r="A3072" s="3" t="n">
        <v>3071</v>
      </c>
      <c r="B3072" s="3" t="n">
        <v>3070</v>
      </c>
      <c r="C3072" s="3" t="n">
        <v>3</v>
      </c>
      <c r="D3072" s="3" t="n">
        <v>25</v>
      </c>
      <c r="E3072" s="3" t="n">
        <v>18</v>
      </c>
      <c r="F3072" s="24" t="n">
        <v>0</v>
      </c>
    </row>
    <row r="3073" customFormat="false" ht="15" hidden="false" customHeight="false" outlineLevel="0" collapsed="false">
      <c r="A3073" s="3" t="n">
        <v>3072</v>
      </c>
      <c r="B3073" s="3" t="n">
        <v>3071</v>
      </c>
      <c r="C3073" s="3" t="n">
        <v>3</v>
      </c>
      <c r="D3073" s="3" t="n">
        <v>25</v>
      </c>
      <c r="E3073" s="3" t="n">
        <v>19</v>
      </c>
      <c r="F3073" s="24" t="n">
        <v>0</v>
      </c>
    </row>
    <row r="3074" customFormat="false" ht="15" hidden="false" customHeight="false" outlineLevel="0" collapsed="false">
      <c r="A3074" s="3" t="n">
        <v>3073</v>
      </c>
      <c r="B3074" s="3" t="n">
        <v>3072</v>
      </c>
      <c r="C3074" s="3" t="n">
        <v>3</v>
      </c>
      <c r="D3074" s="3" t="n">
        <v>25</v>
      </c>
      <c r="E3074" s="3" t="n">
        <v>20</v>
      </c>
      <c r="F3074" s="24" t="n">
        <v>0</v>
      </c>
    </row>
    <row r="3075" customFormat="false" ht="15" hidden="false" customHeight="false" outlineLevel="0" collapsed="false">
      <c r="A3075" s="3" t="n">
        <v>3074</v>
      </c>
      <c r="B3075" s="3" t="n">
        <v>3073</v>
      </c>
      <c r="C3075" s="3" t="n">
        <v>3</v>
      </c>
      <c r="D3075" s="3" t="n">
        <v>25</v>
      </c>
      <c r="E3075" s="3" t="n">
        <v>21</v>
      </c>
      <c r="F3075" s="24" t="n">
        <v>0</v>
      </c>
    </row>
    <row r="3076" customFormat="false" ht="15" hidden="false" customHeight="false" outlineLevel="0" collapsed="false">
      <c r="A3076" s="3" t="n">
        <v>3075</v>
      </c>
      <c r="B3076" s="3" t="n">
        <v>3074</v>
      </c>
      <c r="C3076" s="3" t="n">
        <v>3</v>
      </c>
      <c r="D3076" s="3" t="n">
        <v>25</v>
      </c>
      <c r="E3076" s="3" t="n">
        <v>22</v>
      </c>
      <c r="F3076" s="24" t="n">
        <v>0</v>
      </c>
    </row>
    <row r="3077" customFormat="false" ht="15" hidden="false" customHeight="false" outlineLevel="0" collapsed="false">
      <c r="A3077" s="3" t="n">
        <v>3076</v>
      </c>
      <c r="B3077" s="3" t="n">
        <v>3075</v>
      </c>
      <c r="C3077" s="3" t="n">
        <v>3</v>
      </c>
      <c r="D3077" s="3" t="n">
        <v>25</v>
      </c>
      <c r="E3077" s="3" t="n">
        <v>23</v>
      </c>
      <c r="F3077" s="24" t="n">
        <v>0</v>
      </c>
    </row>
    <row r="3078" customFormat="false" ht="15" hidden="false" customHeight="false" outlineLevel="0" collapsed="false">
      <c r="A3078" s="3" t="n">
        <v>3077</v>
      </c>
      <c r="B3078" s="3" t="n">
        <v>3076</v>
      </c>
      <c r="C3078" s="3" t="n">
        <v>3</v>
      </c>
      <c r="D3078" s="3" t="n">
        <v>25</v>
      </c>
      <c r="E3078" s="3" t="n">
        <v>24</v>
      </c>
      <c r="F3078" s="24" t="n">
        <v>0</v>
      </c>
    </row>
    <row r="3079" customFormat="false" ht="15" hidden="false" customHeight="false" outlineLevel="0" collapsed="false">
      <c r="A3079" s="3" t="n">
        <v>3078</v>
      </c>
      <c r="B3079" s="3" t="n">
        <v>3077</v>
      </c>
      <c r="C3079" s="3" t="n">
        <v>3</v>
      </c>
      <c r="D3079" s="3" t="n">
        <v>25</v>
      </c>
      <c r="E3079" s="3" t="n">
        <v>25</v>
      </c>
      <c r="F3079" s="24" t="n">
        <v>0</v>
      </c>
    </row>
    <row r="3080" customFormat="false" ht="15" hidden="false" customHeight="false" outlineLevel="0" collapsed="false">
      <c r="A3080" s="3" t="n">
        <v>3079</v>
      </c>
      <c r="B3080" s="3" t="n">
        <v>3078</v>
      </c>
      <c r="C3080" s="3" t="n">
        <v>3</v>
      </c>
      <c r="D3080" s="3" t="n">
        <v>25</v>
      </c>
      <c r="E3080" s="3" t="n">
        <v>26</v>
      </c>
      <c r="F3080" s="24" t="n">
        <v>0</v>
      </c>
    </row>
    <row r="3081" customFormat="false" ht="15" hidden="false" customHeight="false" outlineLevel="0" collapsed="false">
      <c r="A3081" s="3" t="n">
        <v>3080</v>
      </c>
      <c r="B3081" s="3" t="n">
        <v>3079</v>
      </c>
      <c r="C3081" s="3" t="n">
        <v>3</v>
      </c>
      <c r="D3081" s="3" t="n">
        <v>25</v>
      </c>
      <c r="E3081" s="3" t="n">
        <v>27</v>
      </c>
      <c r="F3081" s="24" t="n">
        <v>0</v>
      </c>
    </row>
    <row r="3082" customFormat="false" ht="15" hidden="false" customHeight="false" outlineLevel="0" collapsed="false">
      <c r="A3082" s="3" t="n">
        <v>3081</v>
      </c>
      <c r="B3082" s="3" t="n">
        <v>3080</v>
      </c>
      <c r="C3082" s="3" t="n">
        <v>3</v>
      </c>
      <c r="D3082" s="3" t="n">
        <v>26</v>
      </c>
      <c r="E3082" s="3" t="n">
        <v>0</v>
      </c>
      <c r="F3082" s="24" t="n">
        <v>0.0962923914</v>
      </c>
    </row>
    <row r="3083" customFormat="false" ht="15" hidden="false" customHeight="false" outlineLevel="0" collapsed="false">
      <c r="A3083" s="3" t="n">
        <v>3082</v>
      </c>
      <c r="B3083" s="3" t="n">
        <v>3081</v>
      </c>
      <c r="C3083" s="3" t="n">
        <v>3</v>
      </c>
      <c r="D3083" s="3" t="n">
        <v>26</v>
      </c>
      <c r="E3083" s="3" t="n">
        <v>1</v>
      </c>
      <c r="F3083" s="24" t="n">
        <v>0</v>
      </c>
    </row>
    <row r="3084" customFormat="false" ht="15" hidden="false" customHeight="false" outlineLevel="0" collapsed="false">
      <c r="A3084" s="3" t="n">
        <v>3083</v>
      </c>
      <c r="B3084" s="3" t="n">
        <v>3082</v>
      </c>
      <c r="C3084" s="3" t="n">
        <v>3</v>
      </c>
      <c r="D3084" s="3" t="n">
        <v>26</v>
      </c>
      <c r="E3084" s="3" t="n">
        <v>2</v>
      </c>
      <c r="F3084" s="24" t="n">
        <v>0</v>
      </c>
    </row>
    <row r="3085" customFormat="false" ht="15" hidden="false" customHeight="false" outlineLevel="0" collapsed="false">
      <c r="A3085" s="3" t="n">
        <v>3084</v>
      </c>
      <c r="B3085" s="3" t="n">
        <v>3083</v>
      </c>
      <c r="C3085" s="3" t="n">
        <v>3</v>
      </c>
      <c r="D3085" s="3" t="n">
        <v>26</v>
      </c>
      <c r="E3085" s="3" t="n">
        <v>3</v>
      </c>
      <c r="F3085" s="24" t="n">
        <v>0</v>
      </c>
    </row>
    <row r="3086" customFormat="false" ht="15" hidden="false" customHeight="false" outlineLevel="0" collapsed="false">
      <c r="A3086" s="3" t="n">
        <v>3085</v>
      </c>
      <c r="B3086" s="3" t="n">
        <v>3084</v>
      </c>
      <c r="C3086" s="3" t="n">
        <v>3</v>
      </c>
      <c r="D3086" s="3" t="n">
        <v>26</v>
      </c>
      <c r="E3086" s="3" t="n">
        <v>4</v>
      </c>
      <c r="F3086" s="24" t="n">
        <v>0</v>
      </c>
    </row>
    <row r="3087" customFormat="false" ht="15" hidden="false" customHeight="false" outlineLevel="0" collapsed="false">
      <c r="A3087" s="3" t="n">
        <v>3086</v>
      </c>
      <c r="B3087" s="3" t="n">
        <v>3085</v>
      </c>
      <c r="C3087" s="3" t="n">
        <v>3</v>
      </c>
      <c r="D3087" s="3" t="n">
        <v>26</v>
      </c>
      <c r="E3087" s="3" t="n">
        <v>5</v>
      </c>
      <c r="F3087" s="24" t="n">
        <v>0</v>
      </c>
    </row>
    <row r="3088" customFormat="false" ht="15" hidden="false" customHeight="false" outlineLevel="0" collapsed="false">
      <c r="A3088" s="3" t="n">
        <v>3087</v>
      </c>
      <c r="B3088" s="3" t="n">
        <v>3086</v>
      </c>
      <c r="C3088" s="3" t="n">
        <v>3</v>
      </c>
      <c r="D3088" s="3" t="n">
        <v>26</v>
      </c>
      <c r="E3088" s="3" t="n">
        <v>6</v>
      </c>
      <c r="F3088" s="24" t="n">
        <v>0</v>
      </c>
    </row>
    <row r="3089" customFormat="false" ht="15" hidden="false" customHeight="false" outlineLevel="0" collapsed="false">
      <c r="A3089" s="3" t="n">
        <v>3088</v>
      </c>
      <c r="B3089" s="3" t="n">
        <v>3087</v>
      </c>
      <c r="C3089" s="3" t="n">
        <v>3</v>
      </c>
      <c r="D3089" s="3" t="n">
        <v>26</v>
      </c>
      <c r="E3089" s="3" t="n">
        <v>7</v>
      </c>
      <c r="F3089" s="24" t="n">
        <v>0</v>
      </c>
    </row>
    <row r="3090" customFormat="false" ht="15" hidden="false" customHeight="false" outlineLevel="0" collapsed="false">
      <c r="A3090" s="3" t="n">
        <v>3089</v>
      </c>
      <c r="B3090" s="3" t="n">
        <v>3088</v>
      </c>
      <c r="C3090" s="3" t="n">
        <v>3</v>
      </c>
      <c r="D3090" s="3" t="n">
        <v>26</v>
      </c>
      <c r="E3090" s="3" t="n">
        <v>8</v>
      </c>
      <c r="F3090" s="24" t="n">
        <v>0</v>
      </c>
    </row>
    <row r="3091" customFormat="false" ht="15" hidden="false" customHeight="false" outlineLevel="0" collapsed="false">
      <c r="A3091" s="3" t="n">
        <v>3090</v>
      </c>
      <c r="B3091" s="3" t="n">
        <v>3089</v>
      </c>
      <c r="C3091" s="3" t="n">
        <v>3</v>
      </c>
      <c r="D3091" s="3" t="n">
        <v>26</v>
      </c>
      <c r="E3091" s="3" t="n">
        <v>9</v>
      </c>
      <c r="F3091" s="24" t="n">
        <v>0</v>
      </c>
    </row>
    <row r="3092" customFormat="false" ht="15" hidden="false" customHeight="false" outlineLevel="0" collapsed="false">
      <c r="A3092" s="3" t="n">
        <v>3091</v>
      </c>
      <c r="B3092" s="3" t="n">
        <v>3090</v>
      </c>
      <c r="C3092" s="3" t="n">
        <v>3</v>
      </c>
      <c r="D3092" s="3" t="n">
        <v>26</v>
      </c>
      <c r="E3092" s="3" t="n">
        <v>10</v>
      </c>
      <c r="F3092" s="24" t="n">
        <v>0</v>
      </c>
    </row>
    <row r="3093" customFormat="false" ht="15" hidden="false" customHeight="false" outlineLevel="0" collapsed="false">
      <c r="A3093" s="3" t="n">
        <v>3092</v>
      </c>
      <c r="B3093" s="3" t="n">
        <v>3091</v>
      </c>
      <c r="C3093" s="3" t="n">
        <v>3</v>
      </c>
      <c r="D3093" s="3" t="n">
        <v>26</v>
      </c>
      <c r="E3093" s="3" t="n">
        <v>11</v>
      </c>
      <c r="F3093" s="24" t="n">
        <v>0</v>
      </c>
    </row>
    <row r="3094" customFormat="false" ht="15" hidden="false" customHeight="false" outlineLevel="0" collapsed="false">
      <c r="A3094" s="3" t="n">
        <v>3093</v>
      </c>
      <c r="B3094" s="3" t="n">
        <v>3092</v>
      </c>
      <c r="C3094" s="3" t="n">
        <v>3</v>
      </c>
      <c r="D3094" s="3" t="n">
        <v>26</v>
      </c>
      <c r="E3094" s="3" t="n">
        <v>12</v>
      </c>
      <c r="F3094" s="24" t="n">
        <v>0</v>
      </c>
    </row>
    <row r="3095" customFormat="false" ht="15" hidden="false" customHeight="false" outlineLevel="0" collapsed="false">
      <c r="A3095" s="3" t="n">
        <v>3094</v>
      </c>
      <c r="B3095" s="3" t="n">
        <v>3093</v>
      </c>
      <c r="C3095" s="3" t="n">
        <v>3</v>
      </c>
      <c r="D3095" s="3" t="n">
        <v>26</v>
      </c>
      <c r="E3095" s="3" t="n">
        <v>13</v>
      </c>
      <c r="F3095" s="24" t="n">
        <v>0</v>
      </c>
    </row>
    <row r="3096" customFormat="false" ht="15" hidden="false" customHeight="false" outlineLevel="0" collapsed="false">
      <c r="A3096" s="3" t="n">
        <v>3095</v>
      </c>
      <c r="B3096" s="3" t="n">
        <v>3094</v>
      </c>
      <c r="C3096" s="3" t="n">
        <v>3</v>
      </c>
      <c r="D3096" s="3" t="n">
        <v>26</v>
      </c>
      <c r="E3096" s="3" t="n">
        <v>14</v>
      </c>
      <c r="F3096" s="24" t="n">
        <v>0</v>
      </c>
    </row>
    <row r="3097" customFormat="false" ht="15" hidden="false" customHeight="false" outlineLevel="0" collapsed="false">
      <c r="A3097" s="3" t="n">
        <v>3096</v>
      </c>
      <c r="B3097" s="3" t="n">
        <v>3095</v>
      </c>
      <c r="C3097" s="3" t="n">
        <v>3</v>
      </c>
      <c r="D3097" s="3" t="n">
        <v>26</v>
      </c>
      <c r="E3097" s="3" t="n">
        <v>15</v>
      </c>
      <c r="F3097" s="24" t="n">
        <v>0</v>
      </c>
    </row>
    <row r="3098" customFormat="false" ht="15" hidden="false" customHeight="false" outlineLevel="0" collapsed="false">
      <c r="A3098" s="3" t="n">
        <v>3097</v>
      </c>
      <c r="B3098" s="3" t="n">
        <v>3096</v>
      </c>
      <c r="C3098" s="3" t="n">
        <v>3</v>
      </c>
      <c r="D3098" s="3" t="n">
        <v>26</v>
      </c>
      <c r="E3098" s="3" t="n">
        <v>16</v>
      </c>
      <c r="F3098" s="24" t="n">
        <v>0</v>
      </c>
    </row>
    <row r="3099" customFormat="false" ht="15" hidden="false" customHeight="false" outlineLevel="0" collapsed="false">
      <c r="A3099" s="3" t="n">
        <v>3098</v>
      </c>
      <c r="B3099" s="3" t="n">
        <v>3097</v>
      </c>
      <c r="C3099" s="3" t="n">
        <v>3</v>
      </c>
      <c r="D3099" s="3" t="n">
        <v>26</v>
      </c>
      <c r="E3099" s="3" t="n">
        <v>17</v>
      </c>
      <c r="F3099" s="24" t="n">
        <v>0</v>
      </c>
    </row>
    <row r="3100" customFormat="false" ht="15" hidden="false" customHeight="false" outlineLevel="0" collapsed="false">
      <c r="A3100" s="3" t="n">
        <v>3099</v>
      </c>
      <c r="B3100" s="3" t="n">
        <v>3098</v>
      </c>
      <c r="C3100" s="3" t="n">
        <v>3</v>
      </c>
      <c r="D3100" s="3" t="n">
        <v>26</v>
      </c>
      <c r="E3100" s="3" t="n">
        <v>18</v>
      </c>
      <c r="F3100" s="24" t="n">
        <v>0</v>
      </c>
    </row>
    <row r="3101" customFormat="false" ht="15" hidden="false" customHeight="false" outlineLevel="0" collapsed="false">
      <c r="A3101" s="3" t="n">
        <v>3100</v>
      </c>
      <c r="B3101" s="3" t="n">
        <v>3099</v>
      </c>
      <c r="C3101" s="3" t="n">
        <v>3</v>
      </c>
      <c r="D3101" s="3" t="n">
        <v>26</v>
      </c>
      <c r="E3101" s="3" t="n">
        <v>19</v>
      </c>
      <c r="F3101" s="24" t="n">
        <v>0</v>
      </c>
    </row>
    <row r="3102" customFormat="false" ht="15" hidden="false" customHeight="false" outlineLevel="0" collapsed="false">
      <c r="A3102" s="3" t="n">
        <v>3101</v>
      </c>
      <c r="B3102" s="3" t="n">
        <v>3100</v>
      </c>
      <c r="C3102" s="3" t="n">
        <v>3</v>
      </c>
      <c r="D3102" s="3" t="n">
        <v>26</v>
      </c>
      <c r="E3102" s="3" t="n">
        <v>20</v>
      </c>
      <c r="F3102" s="24" t="n">
        <v>0</v>
      </c>
    </row>
    <row r="3103" customFormat="false" ht="15" hidden="false" customHeight="false" outlineLevel="0" collapsed="false">
      <c r="A3103" s="3" t="n">
        <v>3102</v>
      </c>
      <c r="B3103" s="3" t="n">
        <v>3101</v>
      </c>
      <c r="C3103" s="3" t="n">
        <v>3</v>
      </c>
      <c r="D3103" s="3" t="n">
        <v>26</v>
      </c>
      <c r="E3103" s="3" t="n">
        <v>21</v>
      </c>
      <c r="F3103" s="24" t="n">
        <v>0</v>
      </c>
    </row>
    <row r="3104" customFormat="false" ht="15" hidden="false" customHeight="false" outlineLevel="0" collapsed="false">
      <c r="A3104" s="3" t="n">
        <v>3103</v>
      </c>
      <c r="B3104" s="3" t="n">
        <v>3102</v>
      </c>
      <c r="C3104" s="3" t="n">
        <v>3</v>
      </c>
      <c r="D3104" s="3" t="n">
        <v>26</v>
      </c>
      <c r="E3104" s="3" t="n">
        <v>22</v>
      </c>
      <c r="F3104" s="24" t="n">
        <v>0</v>
      </c>
    </row>
    <row r="3105" customFormat="false" ht="15" hidden="false" customHeight="false" outlineLevel="0" collapsed="false">
      <c r="A3105" s="3" t="n">
        <v>3104</v>
      </c>
      <c r="B3105" s="3" t="n">
        <v>3103</v>
      </c>
      <c r="C3105" s="3" t="n">
        <v>3</v>
      </c>
      <c r="D3105" s="3" t="n">
        <v>26</v>
      </c>
      <c r="E3105" s="3" t="n">
        <v>23</v>
      </c>
      <c r="F3105" s="24" t="n">
        <v>0</v>
      </c>
    </row>
    <row r="3106" customFormat="false" ht="15" hidden="false" customHeight="false" outlineLevel="0" collapsed="false">
      <c r="A3106" s="3" t="n">
        <v>3105</v>
      </c>
      <c r="B3106" s="3" t="n">
        <v>3104</v>
      </c>
      <c r="C3106" s="3" t="n">
        <v>3</v>
      </c>
      <c r="D3106" s="3" t="n">
        <v>26</v>
      </c>
      <c r="E3106" s="3" t="n">
        <v>24</v>
      </c>
      <c r="F3106" s="24" t="n">
        <v>0</v>
      </c>
    </row>
    <row r="3107" customFormat="false" ht="15" hidden="false" customHeight="false" outlineLevel="0" collapsed="false">
      <c r="A3107" s="3" t="n">
        <v>3106</v>
      </c>
      <c r="B3107" s="3" t="n">
        <v>3105</v>
      </c>
      <c r="C3107" s="3" t="n">
        <v>3</v>
      </c>
      <c r="D3107" s="3" t="n">
        <v>26</v>
      </c>
      <c r="E3107" s="3" t="n">
        <v>25</v>
      </c>
      <c r="F3107" s="24" t="n">
        <v>0</v>
      </c>
    </row>
    <row r="3108" customFormat="false" ht="15" hidden="false" customHeight="false" outlineLevel="0" collapsed="false">
      <c r="A3108" s="3" t="n">
        <v>3107</v>
      </c>
      <c r="B3108" s="3" t="n">
        <v>3106</v>
      </c>
      <c r="C3108" s="3" t="n">
        <v>3</v>
      </c>
      <c r="D3108" s="3" t="n">
        <v>26</v>
      </c>
      <c r="E3108" s="3" t="n">
        <v>26</v>
      </c>
      <c r="F3108" s="24" t="n">
        <v>0</v>
      </c>
    </row>
    <row r="3109" customFormat="false" ht="15" hidden="false" customHeight="false" outlineLevel="0" collapsed="false">
      <c r="A3109" s="3" t="n">
        <v>3108</v>
      </c>
      <c r="B3109" s="3" t="n">
        <v>3107</v>
      </c>
      <c r="C3109" s="3" t="n">
        <v>3</v>
      </c>
      <c r="D3109" s="3" t="n">
        <v>26</v>
      </c>
      <c r="E3109" s="3" t="n">
        <v>27</v>
      </c>
      <c r="F3109" s="24" t="n">
        <v>0</v>
      </c>
    </row>
    <row r="3110" customFormat="false" ht="15" hidden="false" customHeight="false" outlineLevel="0" collapsed="false">
      <c r="A3110" s="3" t="n">
        <v>3109</v>
      </c>
      <c r="B3110" s="3" t="n">
        <v>3108</v>
      </c>
      <c r="C3110" s="3" t="n">
        <v>3</v>
      </c>
      <c r="D3110" s="3" t="n">
        <v>27</v>
      </c>
      <c r="E3110" s="3" t="n">
        <v>0</v>
      </c>
      <c r="F3110" s="24" t="n">
        <v>0.428851575</v>
      </c>
    </row>
    <row r="3111" customFormat="false" ht="15" hidden="false" customHeight="false" outlineLevel="0" collapsed="false">
      <c r="A3111" s="3" t="n">
        <v>3110</v>
      </c>
      <c r="B3111" s="3" t="n">
        <v>3109</v>
      </c>
      <c r="C3111" s="3" t="n">
        <v>3</v>
      </c>
      <c r="D3111" s="3" t="n">
        <v>27</v>
      </c>
      <c r="E3111" s="3" t="n">
        <v>1</v>
      </c>
      <c r="F3111" s="24" t="n">
        <v>0.399228364</v>
      </c>
    </row>
    <row r="3112" customFormat="false" ht="15" hidden="false" customHeight="false" outlineLevel="0" collapsed="false">
      <c r="A3112" s="3" t="n">
        <v>3111</v>
      </c>
      <c r="B3112" s="3" t="n">
        <v>3110</v>
      </c>
      <c r="C3112" s="3" t="n">
        <v>3</v>
      </c>
      <c r="D3112" s="3" t="n">
        <v>27</v>
      </c>
      <c r="E3112" s="3" t="n">
        <v>2</v>
      </c>
      <c r="F3112" s="24" t="n">
        <v>0.399228364</v>
      </c>
    </row>
    <row r="3113" customFormat="false" ht="15" hidden="false" customHeight="false" outlineLevel="0" collapsed="false">
      <c r="A3113" s="3" t="n">
        <v>3112</v>
      </c>
      <c r="B3113" s="3" t="n">
        <v>3111</v>
      </c>
      <c r="C3113" s="3" t="n">
        <v>3</v>
      </c>
      <c r="D3113" s="3" t="n">
        <v>27</v>
      </c>
      <c r="E3113" s="3" t="n">
        <v>3</v>
      </c>
      <c r="F3113" s="24" t="n">
        <v>0.399228364</v>
      </c>
    </row>
    <row r="3114" customFormat="false" ht="15" hidden="false" customHeight="false" outlineLevel="0" collapsed="false">
      <c r="A3114" s="3" t="n">
        <v>3113</v>
      </c>
      <c r="B3114" s="3" t="n">
        <v>3112</v>
      </c>
      <c r="C3114" s="3" t="n">
        <v>3</v>
      </c>
      <c r="D3114" s="3" t="n">
        <v>27</v>
      </c>
      <c r="E3114" s="3" t="n">
        <v>4</v>
      </c>
      <c r="F3114" s="24" t="n">
        <v>0.399228364</v>
      </c>
    </row>
    <row r="3115" customFormat="false" ht="15" hidden="false" customHeight="false" outlineLevel="0" collapsed="false">
      <c r="A3115" s="3" t="n">
        <v>3114</v>
      </c>
      <c r="B3115" s="3" t="n">
        <v>3113</v>
      </c>
      <c r="C3115" s="3" t="n">
        <v>3</v>
      </c>
      <c r="D3115" s="3" t="n">
        <v>27</v>
      </c>
      <c r="E3115" s="3" t="n">
        <v>5</v>
      </c>
      <c r="F3115" s="24" t="n">
        <v>0.399228364</v>
      </c>
    </row>
    <row r="3116" customFormat="false" ht="15" hidden="false" customHeight="false" outlineLevel="0" collapsed="false">
      <c r="A3116" s="3" t="n">
        <v>3115</v>
      </c>
      <c r="B3116" s="3" t="n">
        <v>3114</v>
      </c>
      <c r="C3116" s="3" t="n">
        <v>3</v>
      </c>
      <c r="D3116" s="3" t="n">
        <v>27</v>
      </c>
      <c r="E3116" s="3" t="n">
        <v>6</v>
      </c>
      <c r="F3116" s="24" t="n">
        <v>0.399228364</v>
      </c>
    </row>
    <row r="3117" customFormat="false" ht="15" hidden="false" customHeight="false" outlineLevel="0" collapsed="false">
      <c r="A3117" s="3" t="n">
        <v>3116</v>
      </c>
      <c r="B3117" s="3" t="n">
        <v>3115</v>
      </c>
      <c r="C3117" s="3" t="n">
        <v>3</v>
      </c>
      <c r="D3117" s="3" t="n">
        <v>27</v>
      </c>
      <c r="E3117" s="3" t="n">
        <v>7</v>
      </c>
      <c r="F3117" s="24" t="n">
        <v>0.399228364</v>
      </c>
    </row>
    <row r="3118" customFormat="false" ht="15" hidden="false" customHeight="false" outlineLevel="0" collapsed="false">
      <c r="A3118" s="3" t="n">
        <v>3117</v>
      </c>
      <c r="B3118" s="3" t="n">
        <v>3116</v>
      </c>
      <c r="C3118" s="3" t="n">
        <v>3</v>
      </c>
      <c r="D3118" s="3" t="n">
        <v>27</v>
      </c>
      <c r="E3118" s="3" t="n">
        <v>8</v>
      </c>
      <c r="F3118" s="24" t="n">
        <v>0.399228364</v>
      </c>
    </row>
    <row r="3119" customFormat="false" ht="15" hidden="false" customHeight="false" outlineLevel="0" collapsed="false">
      <c r="A3119" s="3" t="n">
        <v>3118</v>
      </c>
      <c r="B3119" s="3" t="n">
        <v>3117</v>
      </c>
      <c r="C3119" s="3" t="n">
        <v>3</v>
      </c>
      <c r="D3119" s="3" t="n">
        <v>27</v>
      </c>
      <c r="E3119" s="3" t="n">
        <v>9</v>
      </c>
      <c r="F3119" s="24" t="n">
        <v>0</v>
      </c>
    </row>
    <row r="3120" customFormat="false" ht="15" hidden="false" customHeight="false" outlineLevel="0" collapsed="false">
      <c r="A3120" s="3" t="n">
        <v>3119</v>
      </c>
      <c r="B3120" s="3" t="n">
        <v>3118</v>
      </c>
      <c r="C3120" s="3" t="n">
        <v>3</v>
      </c>
      <c r="D3120" s="3" t="n">
        <v>27</v>
      </c>
      <c r="E3120" s="3" t="n">
        <v>10</v>
      </c>
      <c r="F3120" s="24" t="n">
        <v>0</v>
      </c>
    </row>
    <row r="3121" customFormat="false" ht="15" hidden="false" customHeight="false" outlineLevel="0" collapsed="false">
      <c r="A3121" s="3" t="n">
        <v>3120</v>
      </c>
      <c r="B3121" s="3" t="n">
        <v>3119</v>
      </c>
      <c r="C3121" s="3" t="n">
        <v>3</v>
      </c>
      <c r="D3121" s="3" t="n">
        <v>27</v>
      </c>
      <c r="E3121" s="3" t="n">
        <v>11</v>
      </c>
      <c r="F3121" s="24" t="n">
        <v>0</v>
      </c>
    </row>
    <row r="3122" customFormat="false" ht="15" hidden="false" customHeight="false" outlineLevel="0" collapsed="false">
      <c r="A3122" s="3" t="n">
        <v>3121</v>
      </c>
      <c r="B3122" s="3" t="n">
        <v>3120</v>
      </c>
      <c r="C3122" s="3" t="n">
        <v>3</v>
      </c>
      <c r="D3122" s="3" t="n">
        <v>27</v>
      </c>
      <c r="E3122" s="3" t="n">
        <v>12</v>
      </c>
      <c r="F3122" s="24" t="n">
        <v>0</v>
      </c>
    </row>
    <row r="3123" customFormat="false" ht="15" hidden="false" customHeight="false" outlineLevel="0" collapsed="false">
      <c r="A3123" s="3" t="n">
        <v>3122</v>
      </c>
      <c r="B3123" s="3" t="n">
        <v>3121</v>
      </c>
      <c r="C3123" s="3" t="n">
        <v>3</v>
      </c>
      <c r="D3123" s="3" t="n">
        <v>27</v>
      </c>
      <c r="E3123" s="3" t="n">
        <v>13</v>
      </c>
      <c r="F3123" s="24" t="n">
        <v>0</v>
      </c>
    </row>
    <row r="3124" customFormat="false" ht="15" hidden="false" customHeight="false" outlineLevel="0" collapsed="false">
      <c r="A3124" s="3" t="n">
        <v>3123</v>
      </c>
      <c r="B3124" s="3" t="n">
        <v>3122</v>
      </c>
      <c r="C3124" s="3" t="n">
        <v>3</v>
      </c>
      <c r="D3124" s="3" t="n">
        <v>27</v>
      </c>
      <c r="E3124" s="3" t="n">
        <v>14</v>
      </c>
      <c r="F3124" s="24" t="n">
        <v>0.304950893</v>
      </c>
    </row>
    <row r="3125" customFormat="false" ht="15" hidden="false" customHeight="false" outlineLevel="0" collapsed="false">
      <c r="A3125" s="3" t="n">
        <v>3124</v>
      </c>
      <c r="B3125" s="3" t="n">
        <v>3123</v>
      </c>
      <c r="C3125" s="3" t="n">
        <v>3</v>
      </c>
      <c r="D3125" s="3" t="n">
        <v>27</v>
      </c>
      <c r="E3125" s="3" t="n">
        <v>15</v>
      </c>
      <c r="F3125" s="24" t="n">
        <v>0.399228364</v>
      </c>
    </row>
    <row r="3126" customFormat="false" ht="15" hidden="false" customHeight="false" outlineLevel="0" collapsed="false">
      <c r="A3126" s="3" t="n">
        <v>3125</v>
      </c>
      <c r="B3126" s="3" t="n">
        <v>3124</v>
      </c>
      <c r="C3126" s="3" t="n">
        <v>3</v>
      </c>
      <c r="D3126" s="3" t="n">
        <v>27</v>
      </c>
      <c r="E3126" s="3" t="n">
        <v>16</v>
      </c>
      <c r="F3126" s="24" t="n">
        <v>0.399228364</v>
      </c>
    </row>
    <row r="3127" customFormat="false" ht="15" hidden="false" customHeight="false" outlineLevel="0" collapsed="false">
      <c r="A3127" s="3" t="n">
        <v>3126</v>
      </c>
      <c r="B3127" s="3" t="n">
        <v>3125</v>
      </c>
      <c r="C3127" s="3" t="n">
        <v>3</v>
      </c>
      <c r="D3127" s="3" t="n">
        <v>27</v>
      </c>
      <c r="E3127" s="3" t="n">
        <v>17</v>
      </c>
      <c r="F3127" s="24" t="n">
        <v>0.399228364</v>
      </c>
    </row>
    <row r="3128" customFormat="false" ht="15" hidden="false" customHeight="false" outlineLevel="0" collapsed="false">
      <c r="A3128" s="3" t="n">
        <v>3127</v>
      </c>
      <c r="B3128" s="3" t="n">
        <v>3126</v>
      </c>
      <c r="C3128" s="3" t="n">
        <v>3</v>
      </c>
      <c r="D3128" s="3" t="n">
        <v>27</v>
      </c>
      <c r="E3128" s="3" t="n">
        <v>18</v>
      </c>
      <c r="F3128" s="24" t="n">
        <v>0.399228364</v>
      </c>
    </row>
    <row r="3129" customFormat="false" ht="15" hidden="false" customHeight="false" outlineLevel="0" collapsed="false">
      <c r="A3129" s="3" t="n">
        <v>3128</v>
      </c>
      <c r="B3129" s="3" t="n">
        <v>3127</v>
      </c>
      <c r="C3129" s="3" t="n">
        <v>3</v>
      </c>
      <c r="D3129" s="3" t="n">
        <v>27</v>
      </c>
      <c r="E3129" s="3" t="n">
        <v>19</v>
      </c>
      <c r="F3129" s="24" t="n">
        <v>0.399228364</v>
      </c>
    </row>
    <row r="3130" customFormat="false" ht="15" hidden="false" customHeight="false" outlineLevel="0" collapsed="false">
      <c r="A3130" s="3" t="n">
        <v>3129</v>
      </c>
      <c r="B3130" s="3" t="n">
        <v>3128</v>
      </c>
      <c r="C3130" s="3" t="n">
        <v>3</v>
      </c>
      <c r="D3130" s="3" t="n">
        <v>27</v>
      </c>
      <c r="E3130" s="3" t="n">
        <v>20</v>
      </c>
      <c r="F3130" s="24" t="n">
        <v>0.399228364</v>
      </c>
    </row>
    <row r="3131" customFormat="false" ht="15" hidden="false" customHeight="false" outlineLevel="0" collapsed="false">
      <c r="A3131" s="3" t="n">
        <v>3130</v>
      </c>
      <c r="B3131" s="3" t="n">
        <v>3129</v>
      </c>
      <c r="C3131" s="3" t="n">
        <v>3</v>
      </c>
      <c r="D3131" s="3" t="n">
        <v>27</v>
      </c>
      <c r="E3131" s="3" t="n">
        <v>21</v>
      </c>
      <c r="F3131" s="24" t="n">
        <v>0.399228364</v>
      </c>
    </row>
    <row r="3132" customFormat="false" ht="15" hidden="false" customHeight="false" outlineLevel="0" collapsed="false">
      <c r="A3132" s="3" t="n">
        <v>3131</v>
      </c>
      <c r="B3132" s="3" t="n">
        <v>3130</v>
      </c>
      <c r="C3132" s="3" t="n">
        <v>3</v>
      </c>
      <c r="D3132" s="3" t="n">
        <v>27</v>
      </c>
      <c r="E3132" s="3" t="n">
        <v>22</v>
      </c>
      <c r="F3132" s="24" t="n">
        <v>0.399228364</v>
      </c>
    </row>
    <row r="3133" customFormat="false" ht="15" hidden="false" customHeight="false" outlineLevel="0" collapsed="false">
      <c r="A3133" s="3" t="n">
        <v>3132</v>
      </c>
      <c r="B3133" s="3" t="n">
        <v>3131</v>
      </c>
      <c r="C3133" s="3" t="n">
        <v>3</v>
      </c>
      <c r="D3133" s="3" t="n">
        <v>27</v>
      </c>
      <c r="E3133" s="3" t="n">
        <v>23</v>
      </c>
      <c r="F3133" s="24" t="n">
        <v>0.399228364</v>
      </c>
    </row>
    <row r="3134" customFormat="false" ht="15" hidden="false" customHeight="false" outlineLevel="0" collapsed="false">
      <c r="A3134" s="3" t="n">
        <v>3133</v>
      </c>
      <c r="B3134" s="3" t="n">
        <v>3132</v>
      </c>
      <c r="C3134" s="3" t="n">
        <v>3</v>
      </c>
      <c r="D3134" s="3" t="n">
        <v>27</v>
      </c>
      <c r="E3134" s="3" t="n">
        <v>24</v>
      </c>
      <c r="F3134" s="24" t="n">
        <v>0.399228364</v>
      </c>
    </row>
    <row r="3135" customFormat="false" ht="15" hidden="false" customHeight="false" outlineLevel="0" collapsed="false">
      <c r="A3135" s="3" t="n">
        <v>3134</v>
      </c>
      <c r="B3135" s="3" t="n">
        <v>3133</v>
      </c>
      <c r="C3135" s="3" t="n">
        <v>3</v>
      </c>
      <c r="D3135" s="3" t="n">
        <v>27</v>
      </c>
      <c r="E3135" s="3" t="n">
        <v>25</v>
      </c>
      <c r="F3135" s="24" t="n">
        <v>0.399228364</v>
      </c>
    </row>
    <row r="3136" customFormat="false" ht="15" hidden="false" customHeight="false" outlineLevel="0" collapsed="false">
      <c r="A3136" s="3" t="n">
        <v>3135</v>
      </c>
      <c r="B3136" s="3" t="n">
        <v>3134</v>
      </c>
      <c r="C3136" s="3" t="n">
        <v>3</v>
      </c>
      <c r="D3136" s="3" t="n">
        <v>27</v>
      </c>
      <c r="E3136" s="3" t="n">
        <v>26</v>
      </c>
      <c r="F3136" s="24" t="n">
        <v>0.399228364</v>
      </c>
    </row>
    <row r="3137" customFormat="false" ht="15" hidden="false" customHeight="false" outlineLevel="0" collapsed="false">
      <c r="A3137" s="3" t="n">
        <v>3136</v>
      </c>
      <c r="B3137" s="3" t="n">
        <v>3135</v>
      </c>
      <c r="C3137" s="3" t="n">
        <v>3</v>
      </c>
      <c r="D3137" s="3" t="n">
        <v>27</v>
      </c>
      <c r="E3137" s="3" t="n">
        <v>27</v>
      </c>
      <c r="F3137" s="24" t="n">
        <v>0.215516016</v>
      </c>
    </row>
    <row r="3138" customFormat="false" ht="15" hidden="false" customHeight="false" outlineLevel="0" collapsed="false">
      <c r="A3138" s="3" t="n">
        <v>3137</v>
      </c>
      <c r="B3138" s="3" t="n">
        <v>3136</v>
      </c>
      <c r="C3138" s="3" t="n">
        <v>4</v>
      </c>
      <c r="D3138" s="3" t="n">
        <v>0</v>
      </c>
      <c r="E3138" s="3" t="n">
        <v>0</v>
      </c>
      <c r="F3138" s="24" t="n">
        <v>0</v>
      </c>
    </row>
    <row r="3139" customFormat="false" ht="15" hidden="false" customHeight="false" outlineLevel="0" collapsed="false">
      <c r="A3139" s="3" t="n">
        <v>3138</v>
      </c>
      <c r="B3139" s="3" t="n">
        <v>3137</v>
      </c>
      <c r="C3139" s="3" t="n">
        <v>4</v>
      </c>
      <c r="D3139" s="3" t="n">
        <v>0</v>
      </c>
      <c r="E3139" s="3" t="n">
        <v>1</v>
      </c>
      <c r="F3139" s="24" t="n">
        <v>0</v>
      </c>
    </row>
    <row r="3140" customFormat="false" ht="15" hidden="false" customHeight="false" outlineLevel="0" collapsed="false">
      <c r="A3140" s="3" t="n">
        <v>3139</v>
      </c>
      <c r="B3140" s="3" t="n">
        <v>3138</v>
      </c>
      <c r="C3140" s="3" t="n">
        <v>4</v>
      </c>
      <c r="D3140" s="3" t="n">
        <v>0</v>
      </c>
      <c r="E3140" s="3" t="n">
        <v>2</v>
      </c>
      <c r="F3140" s="24" t="n">
        <v>0</v>
      </c>
    </row>
    <row r="3141" customFormat="false" ht="15" hidden="false" customHeight="false" outlineLevel="0" collapsed="false">
      <c r="A3141" s="3" t="n">
        <v>3140</v>
      </c>
      <c r="B3141" s="3" t="n">
        <v>3139</v>
      </c>
      <c r="C3141" s="3" t="n">
        <v>4</v>
      </c>
      <c r="D3141" s="3" t="n">
        <v>0</v>
      </c>
      <c r="E3141" s="3" t="n">
        <v>3</v>
      </c>
      <c r="F3141" s="24" t="n">
        <v>0</v>
      </c>
    </row>
    <row r="3142" customFormat="false" ht="15" hidden="false" customHeight="false" outlineLevel="0" collapsed="false">
      <c r="A3142" s="3" t="n">
        <v>3141</v>
      </c>
      <c r="B3142" s="3" t="n">
        <v>3140</v>
      </c>
      <c r="C3142" s="3" t="n">
        <v>4</v>
      </c>
      <c r="D3142" s="3" t="n">
        <v>0</v>
      </c>
      <c r="E3142" s="3" t="n">
        <v>4</v>
      </c>
      <c r="F3142" s="24" t="n">
        <v>0</v>
      </c>
    </row>
    <row r="3143" customFormat="false" ht="15" hidden="false" customHeight="false" outlineLevel="0" collapsed="false">
      <c r="A3143" s="3" t="n">
        <v>3142</v>
      </c>
      <c r="B3143" s="3" t="n">
        <v>3141</v>
      </c>
      <c r="C3143" s="3" t="n">
        <v>4</v>
      </c>
      <c r="D3143" s="3" t="n">
        <v>0</v>
      </c>
      <c r="E3143" s="3" t="n">
        <v>5</v>
      </c>
      <c r="F3143" s="24" t="n">
        <v>0</v>
      </c>
    </row>
    <row r="3144" customFormat="false" ht="15" hidden="false" customHeight="false" outlineLevel="0" collapsed="false">
      <c r="A3144" s="3" t="n">
        <v>3143</v>
      </c>
      <c r="B3144" s="3" t="n">
        <v>3142</v>
      </c>
      <c r="C3144" s="3" t="n">
        <v>4</v>
      </c>
      <c r="D3144" s="3" t="n">
        <v>0</v>
      </c>
      <c r="E3144" s="3" t="n">
        <v>6</v>
      </c>
      <c r="F3144" s="24" t="n">
        <v>0</v>
      </c>
    </row>
    <row r="3145" customFormat="false" ht="15" hidden="false" customHeight="false" outlineLevel="0" collapsed="false">
      <c r="A3145" s="3" t="n">
        <v>3144</v>
      </c>
      <c r="B3145" s="3" t="n">
        <v>3143</v>
      </c>
      <c r="C3145" s="3" t="n">
        <v>4</v>
      </c>
      <c r="D3145" s="3" t="n">
        <v>0</v>
      </c>
      <c r="E3145" s="3" t="n">
        <v>7</v>
      </c>
      <c r="F3145" s="24" t="n">
        <v>0</v>
      </c>
    </row>
    <row r="3146" customFormat="false" ht="15" hidden="false" customHeight="false" outlineLevel="0" collapsed="false">
      <c r="A3146" s="3" t="n">
        <v>3145</v>
      </c>
      <c r="B3146" s="3" t="n">
        <v>3144</v>
      </c>
      <c r="C3146" s="3" t="n">
        <v>4</v>
      </c>
      <c r="D3146" s="3" t="n">
        <v>0</v>
      </c>
      <c r="E3146" s="3" t="n">
        <v>8</v>
      </c>
      <c r="F3146" s="24" t="n">
        <v>0</v>
      </c>
    </row>
    <row r="3147" customFormat="false" ht="15" hidden="false" customHeight="false" outlineLevel="0" collapsed="false">
      <c r="A3147" s="3" t="n">
        <v>3146</v>
      </c>
      <c r="B3147" s="3" t="n">
        <v>3145</v>
      </c>
      <c r="C3147" s="3" t="n">
        <v>4</v>
      </c>
      <c r="D3147" s="3" t="n">
        <v>0</v>
      </c>
      <c r="E3147" s="3" t="n">
        <v>9</v>
      </c>
      <c r="F3147" s="24" t="n">
        <v>0</v>
      </c>
    </row>
    <row r="3148" customFormat="false" ht="15" hidden="false" customHeight="false" outlineLevel="0" collapsed="false">
      <c r="A3148" s="3" t="n">
        <v>3147</v>
      </c>
      <c r="B3148" s="3" t="n">
        <v>3146</v>
      </c>
      <c r="C3148" s="3" t="n">
        <v>4</v>
      </c>
      <c r="D3148" s="3" t="n">
        <v>0</v>
      </c>
      <c r="E3148" s="3" t="n">
        <v>10</v>
      </c>
      <c r="F3148" s="24" t="n">
        <v>0</v>
      </c>
    </row>
    <row r="3149" customFormat="false" ht="15" hidden="false" customHeight="false" outlineLevel="0" collapsed="false">
      <c r="A3149" s="3" t="n">
        <v>3148</v>
      </c>
      <c r="B3149" s="3" t="n">
        <v>3147</v>
      </c>
      <c r="C3149" s="3" t="n">
        <v>4</v>
      </c>
      <c r="D3149" s="3" t="n">
        <v>0</v>
      </c>
      <c r="E3149" s="3" t="n">
        <v>11</v>
      </c>
      <c r="F3149" s="24" t="n">
        <v>0</v>
      </c>
    </row>
    <row r="3150" customFormat="false" ht="15" hidden="false" customHeight="false" outlineLevel="0" collapsed="false">
      <c r="A3150" s="3" t="n">
        <v>3149</v>
      </c>
      <c r="B3150" s="3" t="n">
        <v>3148</v>
      </c>
      <c r="C3150" s="3" t="n">
        <v>4</v>
      </c>
      <c r="D3150" s="3" t="n">
        <v>0</v>
      </c>
      <c r="E3150" s="3" t="n">
        <v>12</v>
      </c>
      <c r="F3150" s="24" t="n">
        <v>0</v>
      </c>
    </row>
    <row r="3151" customFormat="false" ht="15" hidden="false" customHeight="false" outlineLevel="0" collapsed="false">
      <c r="A3151" s="3" t="n">
        <v>3150</v>
      </c>
      <c r="B3151" s="3" t="n">
        <v>3149</v>
      </c>
      <c r="C3151" s="3" t="n">
        <v>4</v>
      </c>
      <c r="D3151" s="3" t="n">
        <v>0</v>
      </c>
      <c r="E3151" s="3" t="n">
        <v>13</v>
      </c>
      <c r="F3151" s="24" t="n">
        <v>0</v>
      </c>
    </row>
    <row r="3152" customFormat="false" ht="15" hidden="false" customHeight="false" outlineLevel="0" collapsed="false">
      <c r="A3152" s="3" t="n">
        <v>3151</v>
      </c>
      <c r="B3152" s="3" t="n">
        <v>3150</v>
      </c>
      <c r="C3152" s="3" t="n">
        <v>4</v>
      </c>
      <c r="D3152" s="3" t="n">
        <v>0</v>
      </c>
      <c r="E3152" s="3" t="n">
        <v>14</v>
      </c>
      <c r="F3152" s="24" t="n">
        <v>0</v>
      </c>
    </row>
    <row r="3153" customFormat="false" ht="15" hidden="false" customHeight="false" outlineLevel="0" collapsed="false">
      <c r="A3153" s="3" t="n">
        <v>3152</v>
      </c>
      <c r="B3153" s="3" t="n">
        <v>3151</v>
      </c>
      <c r="C3153" s="3" t="n">
        <v>4</v>
      </c>
      <c r="D3153" s="3" t="n">
        <v>0</v>
      </c>
      <c r="E3153" s="3" t="n">
        <v>15</v>
      </c>
      <c r="F3153" s="24" t="n">
        <v>0</v>
      </c>
    </row>
    <row r="3154" customFormat="false" ht="15" hidden="false" customHeight="false" outlineLevel="0" collapsed="false">
      <c r="A3154" s="3" t="n">
        <v>3153</v>
      </c>
      <c r="B3154" s="3" t="n">
        <v>3152</v>
      </c>
      <c r="C3154" s="3" t="n">
        <v>4</v>
      </c>
      <c r="D3154" s="3" t="n">
        <v>0</v>
      </c>
      <c r="E3154" s="3" t="n">
        <v>16</v>
      </c>
      <c r="F3154" s="24" t="n">
        <v>0</v>
      </c>
    </row>
    <row r="3155" customFormat="false" ht="15" hidden="false" customHeight="false" outlineLevel="0" collapsed="false">
      <c r="A3155" s="3" t="n">
        <v>3154</v>
      </c>
      <c r="B3155" s="3" t="n">
        <v>3153</v>
      </c>
      <c r="C3155" s="3" t="n">
        <v>4</v>
      </c>
      <c r="D3155" s="3" t="n">
        <v>0</v>
      </c>
      <c r="E3155" s="3" t="n">
        <v>17</v>
      </c>
      <c r="F3155" s="24" t="n">
        <v>0</v>
      </c>
    </row>
    <row r="3156" customFormat="false" ht="15" hidden="false" customHeight="false" outlineLevel="0" collapsed="false">
      <c r="A3156" s="3" t="n">
        <v>3155</v>
      </c>
      <c r="B3156" s="3" t="n">
        <v>3154</v>
      </c>
      <c r="C3156" s="3" t="n">
        <v>4</v>
      </c>
      <c r="D3156" s="3" t="n">
        <v>0</v>
      </c>
      <c r="E3156" s="3" t="n">
        <v>18</v>
      </c>
      <c r="F3156" s="24" t="n">
        <v>0</v>
      </c>
    </row>
    <row r="3157" customFormat="false" ht="15" hidden="false" customHeight="false" outlineLevel="0" collapsed="false">
      <c r="A3157" s="3" t="n">
        <v>3156</v>
      </c>
      <c r="B3157" s="3" t="n">
        <v>3155</v>
      </c>
      <c r="C3157" s="3" t="n">
        <v>4</v>
      </c>
      <c r="D3157" s="3" t="n">
        <v>0</v>
      </c>
      <c r="E3157" s="3" t="n">
        <v>19</v>
      </c>
      <c r="F3157" s="24" t="n">
        <v>0</v>
      </c>
    </row>
    <row r="3158" customFormat="false" ht="15" hidden="false" customHeight="false" outlineLevel="0" collapsed="false">
      <c r="A3158" s="3" t="n">
        <v>3157</v>
      </c>
      <c r="B3158" s="3" t="n">
        <v>3156</v>
      </c>
      <c r="C3158" s="3" t="n">
        <v>4</v>
      </c>
      <c r="D3158" s="3" t="n">
        <v>0</v>
      </c>
      <c r="E3158" s="3" t="n">
        <v>20</v>
      </c>
      <c r="F3158" s="24" t="n">
        <v>0</v>
      </c>
    </row>
    <row r="3159" customFormat="false" ht="15" hidden="false" customHeight="false" outlineLevel="0" collapsed="false">
      <c r="A3159" s="3" t="n">
        <v>3158</v>
      </c>
      <c r="B3159" s="3" t="n">
        <v>3157</v>
      </c>
      <c r="C3159" s="3" t="n">
        <v>4</v>
      </c>
      <c r="D3159" s="3" t="n">
        <v>0</v>
      </c>
      <c r="E3159" s="3" t="n">
        <v>21</v>
      </c>
      <c r="F3159" s="24" t="n">
        <v>0</v>
      </c>
    </row>
    <row r="3160" customFormat="false" ht="15" hidden="false" customHeight="false" outlineLevel="0" collapsed="false">
      <c r="A3160" s="3" t="n">
        <v>3159</v>
      </c>
      <c r="B3160" s="3" t="n">
        <v>3158</v>
      </c>
      <c r="C3160" s="3" t="n">
        <v>4</v>
      </c>
      <c r="D3160" s="3" t="n">
        <v>0</v>
      </c>
      <c r="E3160" s="3" t="n">
        <v>22</v>
      </c>
      <c r="F3160" s="24" t="n">
        <v>0</v>
      </c>
    </row>
    <row r="3161" customFormat="false" ht="15" hidden="false" customHeight="false" outlineLevel="0" collapsed="false">
      <c r="A3161" s="3" t="n">
        <v>3160</v>
      </c>
      <c r="B3161" s="3" t="n">
        <v>3159</v>
      </c>
      <c r="C3161" s="3" t="n">
        <v>4</v>
      </c>
      <c r="D3161" s="3" t="n">
        <v>0</v>
      </c>
      <c r="E3161" s="3" t="n">
        <v>23</v>
      </c>
      <c r="F3161" s="24" t="n">
        <v>0</v>
      </c>
    </row>
    <row r="3162" customFormat="false" ht="15" hidden="false" customHeight="false" outlineLevel="0" collapsed="false">
      <c r="A3162" s="3" t="n">
        <v>3161</v>
      </c>
      <c r="B3162" s="3" t="n">
        <v>3160</v>
      </c>
      <c r="C3162" s="3" t="n">
        <v>4</v>
      </c>
      <c r="D3162" s="3" t="n">
        <v>0</v>
      </c>
      <c r="E3162" s="3" t="n">
        <v>24</v>
      </c>
      <c r="F3162" s="24" t="n">
        <v>0</v>
      </c>
    </row>
    <row r="3163" customFormat="false" ht="15" hidden="false" customHeight="false" outlineLevel="0" collapsed="false">
      <c r="A3163" s="3" t="n">
        <v>3162</v>
      </c>
      <c r="B3163" s="3" t="n">
        <v>3161</v>
      </c>
      <c r="C3163" s="3" t="n">
        <v>4</v>
      </c>
      <c r="D3163" s="3" t="n">
        <v>0</v>
      </c>
      <c r="E3163" s="3" t="n">
        <v>25</v>
      </c>
      <c r="F3163" s="24" t="n">
        <v>0</v>
      </c>
    </row>
    <row r="3164" customFormat="false" ht="15" hidden="false" customHeight="false" outlineLevel="0" collapsed="false">
      <c r="A3164" s="3" t="n">
        <v>3163</v>
      </c>
      <c r="B3164" s="3" t="n">
        <v>3162</v>
      </c>
      <c r="C3164" s="3" t="n">
        <v>4</v>
      </c>
      <c r="D3164" s="3" t="n">
        <v>0</v>
      </c>
      <c r="E3164" s="3" t="n">
        <v>26</v>
      </c>
      <c r="F3164" s="24" t="n">
        <v>0</v>
      </c>
    </row>
    <row r="3165" customFormat="false" ht="15" hidden="false" customHeight="false" outlineLevel="0" collapsed="false">
      <c r="A3165" s="3" t="n">
        <v>3164</v>
      </c>
      <c r="B3165" s="3" t="n">
        <v>3163</v>
      </c>
      <c r="C3165" s="3" t="n">
        <v>4</v>
      </c>
      <c r="D3165" s="3" t="n">
        <v>0</v>
      </c>
      <c r="E3165" s="3" t="n">
        <v>27</v>
      </c>
      <c r="F3165" s="24" t="n">
        <v>0</v>
      </c>
    </row>
    <row r="3166" customFormat="false" ht="15" hidden="false" customHeight="false" outlineLevel="0" collapsed="false">
      <c r="A3166" s="3" t="n">
        <v>3165</v>
      </c>
      <c r="B3166" s="3" t="n">
        <v>3164</v>
      </c>
      <c r="C3166" s="3" t="n">
        <v>4</v>
      </c>
      <c r="D3166" s="3" t="n">
        <v>1</v>
      </c>
      <c r="E3166" s="3" t="n">
        <v>0</v>
      </c>
      <c r="F3166" s="24" t="n">
        <v>0</v>
      </c>
    </row>
    <row r="3167" customFormat="false" ht="15" hidden="false" customHeight="false" outlineLevel="0" collapsed="false">
      <c r="A3167" s="3" t="n">
        <v>3166</v>
      </c>
      <c r="B3167" s="3" t="n">
        <v>3165</v>
      </c>
      <c r="C3167" s="3" t="n">
        <v>4</v>
      </c>
      <c r="D3167" s="3" t="n">
        <v>1</v>
      </c>
      <c r="E3167" s="3" t="n">
        <v>1</v>
      </c>
      <c r="F3167" s="24" t="n">
        <v>0</v>
      </c>
    </row>
    <row r="3168" customFormat="false" ht="15" hidden="false" customHeight="false" outlineLevel="0" collapsed="false">
      <c r="A3168" s="3" t="n">
        <v>3167</v>
      </c>
      <c r="B3168" s="3" t="n">
        <v>3166</v>
      </c>
      <c r="C3168" s="3" t="n">
        <v>4</v>
      </c>
      <c r="D3168" s="3" t="n">
        <v>1</v>
      </c>
      <c r="E3168" s="3" t="n">
        <v>2</v>
      </c>
      <c r="F3168" s="24" t="n">
        <v>0</v>
      </c>
    </row>
    <row r="3169" customFormat="false" ht="15" hidden="false" customHeight="false" outlineLevel="0" collapsed="false">
      <c r="A3169" s="3" t="n">
        <v>3168</v>
      </c>
      <c r="B3169" s="3" t="n">
        <v>3167</v>
      </c>
      <c r="C3169" s="3" t="n">
        <v>4</v>
      </c>
      <c r="D3169" s="3" t="n">
        <v>1</v>
      </c>
      <c r="E3169" s="3" t="n">
        <v>3</v>
      </c>
      <c r="F3169" s="24" t="n">
        <v>0</v>
      </c>
    </row>
    <row r="3170" customFormat="false" ht="15" hidden="false" customHeight="false" outlineLevel="0" collapsed="false">
      <c r="A3170" s="3" t="n">
        <v>3169</v>
      </c>
      <c r="B3170" s="3" t="n">
        <v>3168</v>
      </c>
      <c r="C3170" s="3" t="n">
        <v>4</v>
      </c>
      <c r="D3170" s="3" t="n">
        <v>1</v>
      </c>
      <c r="E3170" s="3" t="n">
        <v>4</v>
      </c>
      <c r="F3170" s="24" t="n">
        <v>0</v>
      </c>
    </row>
    <row r="3171" customFormat="false" ht="15" hidden="false" customHeight="false" outlineLevel="0" collapsed="false">
      <c r="A3171" s="3" t="n">
        <v>3170</v>
      </c>
      <c r="B3171" s="3" t="n">
        <v>3169</v>
      </c>
      <c r="C3171" s="3" t="n">
        <v>4</v>
      </c>
      <c r="D3171" s="3" t="n">
        <v>1</v>
      </c>
      <c r="E3171" s="3" t="n">
        <v>5</v>
      </c>
      <c r="F3171" s="24" t="n">
        <v>0</v>
      </c>
    </row>
    <row r="3172" customFormat="false" ht="15" hidden="false" customHeight="false" outlineLevel="0" collapsed="false">
      <c r="A3172" s="3" t="n">
        <v>3171</v>
      </c>
      <c r="B3172" s="3" t="n">
        <v>3170</v>
      </c>
      <c r="C3172" s="3" t="n">
        <v>4</v>
      </c>
      <c r="D3172" s="3" t="n">
        <v>1</v>
      </c>
      <c r="E3172" s="3" t="n">
        <v>6</v>
      </c>
      <c r="F3172" s="24" t="n">
        <v>0</v>
      </c>
    </row>
    <row r="3173" customFormat="false" ht="15" hidden="false" customHeight="false" outlineLevel="0" collapsed="false">
      <c r="A3173" s="3" t="n">
        <v>3172</v>
      </c>
      <c r="B3173" s="3" t="n">
        <v>3171</v>
      </c>
      <c r="C3173" s="3" t="n">
        <v>4</v>
      </c>
      <c r="D3173" s="3" t="n">
        <v>1</v>
      </c>
      <c r="E3173" s="3" t="n">
        <v>7</v>
      </c>
      <c r="F3173" s="24" t="n">
        <v>0</v>
      </c>
    </row>
    <row r="3174" customFormat="false" ht="15" hidden="false" customHeight="false" outlineLevel="0" collapsed="false">
      <c r="A3174" s="3" t="n">
        <v>3173</v>
      </c>
      <c r="B3174" s="3" t="n">
        <v>3172</v>
      </c>
      <c r="C3174" s="3" t="n">
        <v>4</v>
      </c>
      <c r="D3174" s="3" t="n">
        <v>1</v>
      </c>
      <c r="E3174" s="3" t="n">
        <v>8</v>
      </c>
      <c r="F3174" s="24" t="n">
        <v>0</v>
      </c>
    </row>
    <row r="3175" customFormat="false" ht="15" hidden="false" customHeight="false" outlineLevel="0" collapsed="false">
      <c r="A3175" s="3" t="n">
        <v>3174</v>
      </c>
      <c r="B3175" s="3" t="n">
        <v>3173</v>
      </c>
      <c r="C3175" s="3" t="n">
        <v>4</v>
      </c>
      <c r="D3175" s="3" t="n">
        <v>1</v>
      </c>
      <c r="E3175" s="3" t="n">
        <v>9</v>
      </c>
      <c r="F3175" s="24" t="n">
        <v>0</v>
      </c>
    </row>
    <row r="3176" customFormat="false" ht="15" hidden="false" customHeight="false" outlineLevel="0" collapsed="false">
      <c r="A3176" s="3" t="n">
        <v>3175</v>
      </c>
      <c r="B3176" s="3" t="n">
        <v>3174</v>
      </c>
      <c r="C3176" s="3" t="n">
        <v>4</v>
      </c>
      <c r="D3176" s="3" t="n">
        <v>1</v>
      </c>
      <c r="E3176" s="3" t="n">
        <v>10</v>
      </c>
      <c r="F3176" s="24" t="n">
        <v>0</v>
      </c>
    </row>
    <row r="3177" customFormat="false" ht="15" hidden="false" customHeight="false" outlineLevel="0" collapsed="false">
      <c r="A3177" s="3" t="n">
        <v>3176</v>
      </c>
      <c r="B3177" s="3" t="n">
        <v>3175</v>
      </c>
      <c r="C3177" s="3" t="n">
        <v>4</v>
      </c>
      <c r="D3177" s="3" t="n">
        <v>1</v>
      </c>
      <c r="E3177" s="3" t="n">
        <v>11</v>
      </c>
      <c r="F3177" s="24" t="n">
        <v>0</v>
      </c>
    </row>
    <row r="3178" customFormat="false" ht="15" hidden="false" customHeight="false" outlineLevel="0" collapsed="false">
      <c r="A3178" s="3" t="n">
        <v>3177</v>
      </c>
      <c r="B3178" s="3" t="n">
        <v>3176</v>
      </c>
      <c r="C3178" s="3" t="n">
        <v>4</v>
      </c>
      <c r="D3178" s="3" t="n">
        <v>1</v>
      </c>
      <c r="E3178" s="3" t="n">
        <v>12</v>
      </c>
      <c r="F3178" s="24" t="n">
        <v>0</v>
      </c>
    </row>
    <row r="3179" customFormat="false" ht="15" hidden="false" customHeight="false" outlineLevel="0" collapsed="false">
      <c r="A3179" s="3" t="n">
        <v>3178</v>
      </c>
      <c r="B3179" s="3" t="n">
        <v>3177</v>
      </c>
      <c r="C3179" s="3" t="n">
        <v>4</v>
      </c>
      <c r="D3179" s="3" t="n">
        <v>1</v>
      </c>
      <c r="E3179" s="3" t="n">
        <v>13</v>
      </c>
      <c r="F3179" s="24" t="n">
        <v>0</v>
      </c>
    </row>
    <row r="3180" customFormat="false" ht="15" hidden="false" customHeight="false" outlineLevel="0" collapsed="false">
      <c r="A3180" s="3" t="n">
        <v>3179</v>
      </c>
      <c r="B3180" s="3" t="n">
        <v>3178</v>
      </c>
      <c r="C3180" s="3" t="n">
        <v>4</v>
      </c>
      <c r="D3180" s="3" t="n">
        <v>1</v>
      </c>
      <c r="E3180" s="3" t="n">
        <v>14</v>
      </c>
      <c r="F3180" s="24" t="n">
        <v>0</v>
      </c>
    </row>
    <row r="3181" customFormat="false" ht="15" hidden="false" customHeight="false" outlineLevel="0" collapsed="false">
      <c r="A3181" s="3" t="n">
        <v>3180</v>
      </c>
      <c r="B3181" s="3" t="n">
        <v>3179</v>
      </c>
      <c r="C3181" s="3" t="n">
        <v>4</v>
      </c>
      <c r="D3181" s="3" t="n">
        <v>1</v>
      </c>
      <c r="E3181" s="3" t="n">
        <v>15</v>
      </c>
      <c r="F3181" s="24" t="n">
        <v>0</v>
      </c>
    </row>
    <row r="3182" customFormat="false" ht="15" hidden="false" customHeight="false" outlineLevel="0" collapsed="false">
      <c r="A3182" s="3" t="n">
        <v>3181</v>
      </c>
      <c r="B3182" s="3" t="n">
        <v>3180</v>
      </c>
      <c r="C3182" s="3" t="n">
        <v>4</v>
      </c>
      <c r="D3182" s="3" t="n">
        <v>1</v>
      </c>
      <c r="E3182" s="3" t="n">
        <v>16</v>
      </c>
      <c r="F3182" s="24" t="n">
        <v>0</v>
      </c>
    </row>
    <row r="3183" customFormat="false" ht="15" hidden="false" customHeight="false" outlineLevel="0" collapsed="false">
      <c r="A3183" s="3" t="n">
        <v>3182</v>
      </c>
      <c r="B3183" s="3" t="n">
        <v>3181</v>
      </c>
      <c r="C3183" s="3" t="n">
        <v>4</v>
      </c>
      <c r="D3183" s="3" t="n">
        <v>1</v>
      </c>
      <c r="E3183" s="3" t="n">
        <v>17</v>
      </c>
      <c r="F3183" s="24" t="n">
        <v>0</v>
      </c>
    </row>
    <row r="3184" customFormat="false" ht="15" hidden="false" customHeight="false" outlineLevel="0" collapsed="false">
      <c r="A3184" s="3" t="n">
        <v>3183</v>
      </c>
      <c r="B3184" s="3" t="n">
        <v>3182</v>
      </c>
      <c r="C3184" s="3" t="n">
        <v>4</v>
      </c>
      <c r="D3184" s="3" t="n">
        <v>1</v>
      </c>
      <c r="E3184" s="3" t="n">
        <v>18</v>
      </c>
      <c r="F3184" s="24" t="n">
        <v>0</v>
      </c>
    </row>
    <row r="3185" customFormat="false" ht="15" hidden="false" customHeight="false" outlineLevel="0" collapsed="false">
      <c r="A3185" s="3" t="n">
        <v>3184</v>
      </c>
      <c r="B3185" s="3" t="n">
        <v>3183</v>
      </c>
      <c r="C3185" s="3" t="n">
        <v>4</v>
      </c>
      <c r="D3185" s="3" t="n">
        <v>1</v>
      </c>
      <c r="E3185" s="3" t="n">
        <v>19</v>
      </c>
      <c r="F3185" s="24" t="n">
        <v>0</v>
      </c>
    </row>
    <row r="3186" customFormat="false" ht="15" hidden="false" customHeight="false" outlineLevel="0" collapsed="false">
      <c r="A3186" s="3" t="n">
        <v>3185</v>
      </c>
      <c r="B3186" s="3" t="n">
        <v>3184</v>
      </c>
      <c r="C3186" s="3" t="n">
        <v>4</v>
      </c>
      <c r="D3186" s="3" t="n">
        <v>1</v>
      </c>
      <c r="E3186" s="3" t="n">
        <v>20</v>
      </c>
      <c r="F3186" s="24" t="n">
        <v>0</v>
      </c>
    </row>
    <row r="3187" customFormat="false" ht="15" hidden="false" customHeight="false" outlineLevel="0" collapsed="false">
      <c r="A3187" s="3" t="n">
        <v>3186</v>
      </c>
      <c r="B3187" s="3" t="n">
        <v>3185</v>
      </c>
      <c r="C3187" s="3" t="n">
        <v>4</v>
      </c>
      <c r="D3187" s="3" t="n">
        <v>1</v>
      </c>
      <c r="E3187" s="3" t="n">
        <v>21</v>
      </c>
      <c r="F3187" s="24" t="n">
        <v>0</v>
      </c>
    </row>
    <row r="3188" customFormat="false" ht="15" hidden="false" customHeight="false" outlineLevel="0" collapsed="false">
      <c r="A3188" s="3" t="n">
        <v>3187</v>
      </c>
      <c r="B3188" s="3" t="n">
        <v>3186</v>
      </c>
      <c r="C3188" s="3" t="n">
        <v>4</v>
      </c>
      <c r="D3188" s="3" t="n">
        <v>1</v>
      </c>
      <c r="E3188" s="3" t="n">
        <v>22</v>
      </c>
      <c r="F3188" s="24" t="n">
        <v>0</v>
      </c>
    </row>
    <row r="3189" customFormat="false" ht="15" hidden="false" customHeight="false" outlineLevel="0" collapsed="false">
      <c r="A3189" s="3" t="n">
        <v>3188</v>
      </c>
      <c r="B3189" s="3" t="n">
        <v>3187</v>
      </c>
      <c r="C3189" s="3" t="n">
        <v>4</v>
      </c>
      <c r="D3189" s="3" t="n">
        <v>1</v>
      </c>
      <c r="E3189" s="3" t="n">
        <v>23</v>
      </c>
      <c r="F3189" s="24" t="n">
        <v>0</v>
      </c>
    </row>
    <row r="3190" customFormat="false" ht="15" hidden="false" customHeight="false" outlineLevel="0" collapsed="false">
      <c r="A3190" s="3" t="n">
        <v>3189</v>
      </c>
      <c r="B3190" s="3" t="n">
        <v>3188</v>
      </c>
      <c r="C3190" s="3" t="n">
        <v>4</v>
      </c>
      <c r="D3190" s="3" t="n">
        <v>1</v>
      </c>
      <c r="E3190" s="3" t="n">
        <v>24</v>
      </c>
      <c r="F3190" s="24" t="n">
        <v>0</v>
      </c>
    </row>
    <row r="3191" customFormat="false" ht="15" hidden="false" customHeight="false" outlineLevel="0" collapsed="false">
      <c r="A3191" s="3" t="n">
        <v>3190</v>
      </c>
      <c r="B3191" s="3" t="n">
        <v>3189</v>
      </c>
      <c r="C3191" s="3" t="n">
        <v>4</v>
      </c>
      <c r="D3191" s="3" t="n">
        <v>1</v>
      </c>
      <c r="E3191" s="3" t="n">
        <v>25</v>
      </c>
      <c r="F3191" s="24" t="n">
        <v>0</v>
      </c>
    </row>
    <row r="3192" customFormat="false" ht="15" hidden="false" customHeight="false" outlineLevel="0" collapsed="false">
      <c r="A3192" s="3" t="n">
        <v>3191</v>
      </c>
      <c r="B3192" s="3" t="n">
        <v>3190</v>
      </c>
      <c r="C3192" s="3" t="n">
        <v>4</v>
      </c>
      <c r="D3192" s="3" t="n">
        <v>1</v>
      </c>
      <c r="E3192" s="3" t="n">
        <v>26</v>
      </c>
      <c r="F3192" s="24" t="n">
        <v>0</v>
      </c>
    </row>
    <row r="3193" customFormat="false" ht="15" hidden="false" customHeight="false" outlineLevel="0" collapsed="false">
      <c r="A3193" s="3" t="n">
        <v>3192</v>
      </c>
      <c r="B3193" s="3" t="n">
        <v>3191</v>
      </c>
      <c r="C3193" s="3" t="n">
        <v>4</v>
      </c>
      <c r="D3193" s="3" t="n">
        <v>1</v>
      </c>
      <c r="E3193" s="3" t="n">
        <v>27</v>
      </c>
      <c r="F3193" s="24" t="n">
        <v>0</v>
      </c>
    </row>
    <row r="3194" customFormat="false" ht="15" hidden="false" customHeight="false" outlineLevel="0" collapsed="false">
      <c r="A3194" s="3" t="n">
        <v>3193</v>
      </c>
      <c r="B3194" s="3" t="n">
        <v>3192</v>
      </c>
      <c r="C3194" s="3" t="n">
        <v>4</v>
      </c>
      <c r="D3194" s="3" t="n">
        <v>2</v>
      </c>
      <c r="E3194" s="3" t="n">
        <v>0</v>
      </c>
      <c r="F3194" s="24" t="n">
        <v>0</v>
      </c>
    </row>
    <row r="3195" customFormat="false" ht="15" hidden="false" customHeight="false" outlineLevel="0" collapsed="false">
      <c r="A3195" s="3" t="n">
        <v>3194</v>
      </c>
      <c r="B3195" s="3" t="n">
        <v>3193</v>
      </c>
      <c r="C3195" s="3" t="n">
        <v>4</v>
      </c>
      <c r="D3195" s="3" t="n">
        <v>2</v>
      </c>
      <c r="E3195" s="3" t="n">
        <v>1</v>
      </c>
      <c r="F3195" s="24" t="n">
        <v>0</v>
      </c>
    </row>
    <row r="3196" customFormat="false" ht="15" hidden="false" customHeight="false" outlineLevel="0" collapsed="false">
      <c r="A3196" s="3" t="n">
        <v>3195</v>
      </c>
      <c r="B3196" s="3" t="n">
        <v>3194</v>
      </c>
      <c r="C3196" s="3" t="n">
        <v>4</v>
      </c>
      <c r="D3196" s="3" t="n">
        <v>2</v>
      </c>
      <c r="E3196" s="3" t="n">
        <v>2</v>
      </c>
      <c r="F3196" s="24" t="n">
        <v>0</v>
      </c>
    </row>
    <row r="3197" customFormat="false" ht="15" hidden="false" customHeight="false" outlineLevel="0" collapsed="false">
      <c r="A3197" s="3" t="n">
        <v>3196</v>
      </c>
      <c r="B3197" s="3" t="n">
        <v>3195</v>
      </c>
      <c r="C3197" s="3" t="n">
        <v>4</v>
      </c>
      <c r="D3197" s="3" t="n">
        <v>2</v>
      </c>
      <c r="E3197" s="3" t="n">
        <v>3</v>
      </c>
      <c r="F3197" s="24" t="n">
        <v>0</v>
      </c>
    </row>
    <row r="3198" customFormat="false" ht="15" hidden="false" customHeight="false" outlineLevel="0" collapsed="false">
      <c r="A3198" s="3" t="n">
        <v>3197</v>
      </c>
      <c r="B3198" s="3" t="n">
        <v>3196</v>
      </c>
      <c r="C3198" s="3" t="n">
        <v>4</v>
      </c>
      <c r="D3198" s="3" t="n">
        <v>2</v>
      </c>
      <c r="E3198" s="3" t="n">
        <v>4</v>
      </c>
      <c r="F3198" s="24" t="n">
        <v>0</v>
      </c>
    </row>
    <row r="3199" customFormat="false" ht="15" hidden="false" customHeight="false" outlineLevel="0" collapsed="false">
      <c r="A3199" s="3" t="n">
        <v>3198</v>
      </c>
      <c r="B3199" s="3" t="n">
        <v>3197</v>
      </c>
      <c r="C3199" s="3" t="n">
        <v>4</v>
      </c>
      <c r="D3199" s="3" t="n">
        <v>2</v>
      </c>
      <c r="E3199" s="3" t="n">
        <v>5</v>
      </c>
      <c r="F3199" s="24" t="n">
        <v>0</v>
      </c>
    </row>
    <row r="3200" customFormat="false" ht="15" hidden="false" customHeight="false" outlineLevel="0" collapsed="false">
      <c r="A3200" s="3" t="n">
        <v>3199</v>
      </c>
      <c r="B3200" s="3" t="n">
        <v>3198</v>
      </c>
      <c r="C3200" s="3" t="n">
        <v>4</v>
      </c>
      <c r="D3200" s="3" t="n">
        <v>2</v>
      </c>
      <c r="E3200" s="3" t="n">
        <v>6</v>
      </c>
      <c r="F3200" s="24" t="n">
        <v>0</v>
      </c>
    </row>
    <row r="3201" customFormat="false" ht="15" hidden="false" customHeight="false" outlineLevel="0" collapsed="false">
      <c r="A3201" s="3" t="n">
        <v>3200</v>
      </c>
      <c r="B3201" s="3" t="n">
        <v>3199</v>
      </c>
      <c r="C3201" s="3" t="n">
        <v>4</v>
      </c>
      <c r="D3201" s="3" t="n">
        <v>2</v>
      </c>
      <c r="E3201" s="3" t="n">
        <v>7</v>
      </c>
      <c r="F3201" s="24" t="n">
        <v>0</v>
      </c>
    </row>
    <row r="3202" customFormat="false" ht="15" hidden="false" customHeight="false" outlineLevel="0" collapsed="false">
      <c r="A3202" s="3" t="n">
        <v>3201</v>
      </c>
      <c r="B3202" s="3" t="n">
        <v>3200</v>
      </c>
      <c r="C3202" s="3" t="n">
        <v>4</v>
      </c>
      <c r="D3202" s="3" t="n">
        <v>2</v>
      </c>
      <c r="E3202" s="3" t="n">
        <v>8</v>
      </c>
      <c r="F3202" s="24" t="n">
        <v>0</v>
      </c>
    </row>
    <row r="3203" customFormat="false" ht="15" hidden="false" customHeight="false" outlineLevel="0" collapsed="false">
      <c r="A3203" s="3" t="n">
        <v>3202</v>
      </c>
      <c r="B3203" s="3" t="n">
        <v>3201</v>
      </c>
      <c r="C3203" s="3" t="n">
        <v>4</v>
      </c>
      <c r="D3203" s="3" t="n">
        <v>2</v>
      </c>
      <c r="E3203" s="3" t="n">
        <v>9</v>
      </c>
      <c r="F3203" s="24" t="n">
        <v>0</v>
      </c>
    </row>
    <row r="3204" customFormat="false" ht="15" hidden="false" customHeight="false" outlineLevel="0" collapsed="false">
      <c r="A3204" s="3" t="n">
        <v>3203</v>
      </c>
      <c r="B3204" s="3" t="n">
        <v>3202</v>
      </c>
      <c r="C3204" s="3" t="n">
        <v>4</v>
      </c>
      <c r="D3204" s="3" t="n">
        <v>2</v>
      </c>
      <c r="E3204" s="3" t="n">
        <v>10</v>
      </c>
      <c r="F3204" s="24" t="n">
        <v>0</v>
      </c>
    </row>
    <row r="3205" customFormat="false" ht="15" hidden="false" customHeight="false" outlineLevel="0" collapsed="false">
      <c r="A3205" s="3" t="n">
        <v>3204</v>
      </c>
      <c r="B3205" s="3" t="n">
        <v>3203</v>
      </c>
      <c r="C3205" s="3" t="n">
        <v>4</v>
      </c>
      <c r="D3205" s="3" t="n">
        <v>2</v>
      </c>
      <c r="E3205" s="3" t="n">
        <v>11</v>
      </c>
      <c r="F3205" s="24" t="n">
        <v>0</v>
      </c>
    </row>
    <row r="3206" customFormat="false" ht="15" hidden="false" customHeight="false" outlineLevel="0" collapsed="false">
      <c r="A3206" s="3" t="n">
        <v>3205</v>
      </c>
      <c r="B3206" s="3" t="n">
        <v>3204</v>
      </c>
      <c r="C3206" s="3" t="n">
        <v>4</v>
      </c>
      <c r="D3206" s="3" t="n">
        <v>2</v>
      </c>
      <c r="E3206" s="3" t="n">
        <v>12</v>
      </c>
      <c r="F3206" s="24" t="n">
        <v>0</v>
      </c>
    </row>
    <row r="3207" customFormat="false" ht="15" hidden="false" customHeight="false" outlineLevel="0" collapsed="false">
      <c r="A3207" s="3" t="n">
        <v>3206</v>
      </c>
      <c r="B3207" s="3" t="n">
        <v>3205</v>
      </c>
      <c r="C3207" s="3" t="n">
        <v>4</v>
      </c>
      <c r="D3207" s="3" t="n">
        <v>2</v>
      </c>
      <c r="E3207" s="3" t="n">
        <v>13</v>
      </c>
      <c r="F3207" s="24" t="n">
        <v>0</v>
      </c>
    </row>
    <row r="3208" customFormat="false" ht="15" hidden="false" customHeight="false" outlineLevel="0" collapsed="false">
      <c r="A3208" s="3" t="n">
        <v>3207</v>
      </c>
      <c r="B3208" s="3" t="n">
        <v>3206</v>
      </c>
      <c r="C3208" s="3" t="n">
        <v>4</v>
      </c>
      <c r="D3208" s="3" t="n">
        <v>2</v>
      </c>
      <c r="E3208" s="3" t="n">
        <v>14</v>
      </c>
      <c r="F3208" s="24" t="n">
        <v>0</v>
      </c>
    </row>
    <row r="3209" customFormat="false" ht="15" hidden="false" customHeight="false" outlineLevel="0" collapsed="false">
      <c r="A3209" s="3" t="n">
        <v>3208</v>
      </c>
      <c r="B3209" s="3" t="n">
        <v>3207</v>
      </c>
      <c r="C3209" s="3" t="n">
        <v>4</v>
      </c>
      <c r="D3209" s="3" t="n">
        <v>2</v>
      </c>
      <c r="E3209" s="3" t="n">
        <v>15</v>
      </c>
      <c r="F3209" s="24" t="n">
        <v>0</v>
      </c>
    </row>
    <row r="3210" customFormat="false" ht="15" hidden="false" customHeight="false" outlineLevel="0" collapsed="false">
      <c r="A3210" s="3" t="n">
        <v>3209</v>
      </c>
      <c r="B3210" s="3" t="n">
        <v>3208</v>
      </c>
      <c r="C3210" s="3" t="n">
        <v>4</v>
      </c>
      <c r="D3210" s="3" t="n">
        <v>2</v>
      </c>
      <c r="E3210" s="3" t="n">
        <v>16</v>
      </c>
      <c r="F3210" s="24" t="n">
        <v>0</v>
      </c>
    </row>
    <row r="3211" customFormat="false" ht="15" hidden="false" customHeight="false" outlineLevel="0" collapsed="false">
      <c r="A3211" s="3" t="n">
        <v>3210</v>
      </c>
      <c r="B3211" s="3" t="n">
        <v>3209</v>
      </c>
      <c r="C3211" s="3" t="n">
        <v>4</v>
      </c>
      <c r="D3211" s="3" t="n">
        <v>2</v>
      </c>
      <c r="E3211" s="3" t="n">
        <v>17</v>
      </c>
      <c r="F3211" s="24" t="n">
        <v>0</v>
      </c>
    </row>
    <row r="3212" customFormat="false" ht="15" hidden="false" customHeight="false" outlineLevel="0" collapsed="false">
      <c r="A3212" s="3" t="n">
        <v>3211</v>
      </c>
      <c r="B3212" s="3" t="n">
        <v>3210</v>
      </c>
      <c r="C3212" s="3" t="n">
        <v>4</v>
      </c>
      <c r="D3212" s="3" t="n">
        <v>2</v>
      </c>
      <c r="E3212" s="3" t="n">
        <v>18</v>
      </c>
      <c r="F3212" s="24" t="n">
        <v>0</v>
      </c>
    </row>
    <row r="3213" customFormat="false" ht="15" hidden="false" customHeight="false" outlineLevel="0" collapsed="false">
      <c r="A3213" s="3" t="n">
        <v>3212</v>
      </c>
      <c r="B3213" s="3" t="n">
        <v>3211</v>
      </c>
      <c r="C3213" s="3" t="n">
        <v>4</v>
      </c>
      <c r="D3213" s="3" t="n">
        <v>2</v>
      </c>
      <c r="E3213" s="3" t="n">
        <v>19</v>
      </c>
      <c r="F3213" s="24" t="n">
        <v>0</v>
      </c>
    </row>
    <row r="3214" customFormat="false" ht="15" hidden="false" customHeight="false" outlineLevel="0" collapsed="false">
      <c r="A3214" s="3" t="n">
        <v>3213</v>
      </c>
      <c r="B3214" s="3" t="n">
        <v>3212</v>
      </c>
      <c r="C3214" s="3" t="n">
        <v>4</v>
      </c>
      <c r="D3214" s="3" t="n">
        <v>2</v>
      </c>
      <c r="E3214" s="3" t="n">
        <v>20</v>
      </c>
      <c r="F3214" s="24" t="n">
        <v>0</v>
      </c>
    </row>
    <row r="3215" customFormat="false" ht="15" hidden="false" customHeight="false" outlineLevel="0" collapsed="false">
      <c r="A3215" s="3" t="n">
        <v>3214</v>
      </c>
      <c r="B3215" s="3" t="n">
        <v>3213</v>
      </c>
      <c r="C3215" s="3" t="n">
        <v>4</v>
      </c>
      <c r="D3215" s="3" t="n">
        <v>2</v>
      </c>
      <c r="E3215" s="3" t="n">
        <v>21</v>
      </c>
      <c r="F3215" s="24" t="n">
        <v>0</v>
      </c>
    </row>
    <row r="3216" customFormat="false" ht="15" hidden="false" customHeight="false" outlineLevel="0" collapsed="false">
      <c r="A3216" s="3" t="n">
        <v>3215</v>
      </c>
      <c r="B3216" s="3" t="n">
        <v>3214</v>
      </c>
      <c r="C3216" s="3" t="n">
        <v>4</v>
      </c>
      <c r="D3216" s="3" t="n">
        <v>2</v>
      </c>
      <c r="E3216" s="3" t="n">
        <v>22</v>
      </c>
      <c r="F3216" s="24" t="n">
        <v>0</v>
      </c>
    </row>
    <row r="3217" customFormat="false" ht="15" hidden="false" customHeight="false" outlineLevel="0" collapsed="false">
      <c r="A3217" s="3" t="n">
        <v>3216</v>
      </c>
      <c r="B3217" s="3" t="n">
        <v>3215</v>
      </c>
      <c r="C3217" s="3" t="n">
        <v>4</v>
      </c>
      <c r="D3217" s="3" t="n">
        <v>2</v>
      </c>
      <c r="E3217" s="3" t="n">
        <v>23</v>
      </c>
      <c r="F3217" s="24" t="n">
        <v>0</v>
      </c>
    </row>
    <row r="3218" customFormat="false" ht="15" hidden="false" customHeight="false" outlineLevel="0" collapsed="false">
      <c r="A3218" s="3" t="n">
        <v>3217</v>
      </c>
      <c r="B3218" s="3" t="n">
        <v>3216</v>
      </c>
      <c r="C3218" s="3" t="n">
        <v>4</v>
      </c>
      <c r="D3218" s="3" t="n">
        <v>2</v>
      </c>
      <c r="E3218" s="3" t="n">
        <v>24</v>
      </c>
      <c r="F3218" s="24" t="n">
        <v>0</v>
      </c>
    </row>
    <row r="3219" customFormat="false" ht="15" hidden="false" customHeight="false" outlineLevel="0" collapsed="false">
      <c r="A3219" s="3" t="n">
        <v>3218</v>
      </c>
      <c r="B3219" s="3" t="n">
        <v>3217</v>
      </c>
      <c r="C3219" s="3" t="n">
        <v>4</v>
      </c>
      <c r="D3219" s="3" t="n">
        <v>2</v>
      </c>
      <c r="E3219" s="3" t="n">
        <v>25</v>
      </c>
      <c r="F3219" s="24" t="n">
        <v>0</v>
      </c>
    </row>
    <row r="3220" customFormat="false" ht="15" hidden="false" customHeight="false" outlineLevel="0" collapsed="false">
      <c r="A3220" s="3" t="n">
        <v>3219</v>
      </c>
      <c r="B3220" s="3" t="n">
        <v>3218</v>
      </c>
      <c r="C3220" s="3" t="n">
        <v>4</v>
      </c>
      <c r="D3220" s="3" t="n">
        <v>2</v>
      </c>
      <c r="E3220" s="3" t="n">
        <v>26</v>
      </c>
      <c r="F3220" s="24" t="n">
        <v>0</v>
      </c>
    </row>
    <row r="3221" customFormat="false" ht="15" hidden="false" customHeight="false" outlineLevel="0" collapsed="false">
      <c r="A3221" s="3" t="n">
        <v>3220</v>
      </c>
      <c r="B3221" s="3" t="n">
        <v>3219</v>
      </c>
      <c r="C3221" s="3" t="n">
        <v>4</v>
      </c>
      <c r="D3221" s="3" t="n">
        <v>2</v>
      </c>
      <c r="E3221" s="3" t="n">
        <v>27</v>
      </c>
      <c r="F3221" s="24" t="n">
        <v>0</v>
      </c>
    </row>
    <row r="3222" customFormat="false" ht="15" hidden="false" customHeight="false" outlineLevel="0" collapsed="false">
      <c r="A3222" s="3" t="n">
        <v>3221</v>
      </c>
      <c r="B3222" s="3" t="n">
        <v>3220</v>
      </c>
      <c r="C3222" s="3" t="n">
        <v>4</v>
      </c>
      <c r="D3222" s="3" t="n">
        <v>3</v>
      </c>
      <c r="E3222" s="3" t="n">
        <v>0</v>
      </c>
      <c r="F3222" s="24" t="n">
        <v>0</v>
      </c>
    </row>
    <row r="3223" customFormat="false" ht="15" hidden="false" customHeight="false" outlineLevel="0" collapsed="false">
      <c r="A3223" s="3" t="n">
        <v>3222</v>
      </c>
      <c r="B3223" s="3" t="n">
        <v>3221</v>
      </c>
      <c r="C3223" s="3" t="n">
        <v>4</v>
      </c>
      <c r="D3223" s="3" t="n">
        <v>3</v>
      </c>
      <c r="E3223" s="3" t="n">
        <v>1</v>
      </c>
      <c r="F3223" s="24" t="n">
        <v>0</v>
      </c>
    </row>
    <row r="3224" customFormat="false" ht="15" hidden="false" customHeight="false" outlineLevel="0" collapsed="false">
      <c r="A3224" s="3" t="n">
        <v>3223</v>
      </c>
      <c r="B3224" s="3" t="n">
        <v>3222</v>
      </c>
      <c r="C3224" s="3" t="n">
        <v>4</v>
      </c>
      <c r="D3224" s="3" t="n">
        <v>3</v>
      </c>
      <c r="E3224" s="3" t="n">
        <v>2</v>
      </c>
      <c r="F3224" s="24" t="n">
        <v>0</v>
      </c>
    </row>
    <row r="3225" customFormat="false" ht="15" hidden="false" customHeight="false" outlineLevel="0" collapsed="false">
      <c r="A3225" s="3" t="n">
        <v>3224</v>
      </c>
      <c r="B3225" s="3" t="n">
        <v>3223</v>
      </c>
      <c r="C3225" s="3" t="n">
        <v>4</v>
      </c>
      <c r="D3225" s="3" t="n">
        <v>3</v>
      </c>
      <c r="E3225" s="3" t="n">
        <v>3</v>
      </c>
      <c r="F3225" s="24" t="n">
        <v>0</v>
      </c>
    </row>
    <row r="3226" customFormat="false" ht="15" hidden="false" customHeight="false" outlineLevel="0" collapsed="false">
      <c r="A3226" s="3" t="n">
        <v>3225</v>
      </c>
      <c r="B3226" s="3" t="n">
        <v>3224</v>
      </c>
      <c r="C3226" s="3" t="n">
        <v>4</v>
      </c>
      <c r="D3226" s="3" t="n">
        <v>3</v>
      </c>
      <c r="E3226" s="3" t="n">
        <v>4</v>
      </c>
      <c r="F3226" s="24" t="n">
        <v>0</v>
      </c>
    </row>
    <row r="3227" customFormat="false" ht="15" hidden="false" customHeight="false" outlineLevel="0" collapsed="false">
      <c r="A3227" s="3" t="n">
        <v>3226</v>
      </c>
      <c r="B3227" s="3" t="n">
        <v>3225</v>
      </c>
      <c r="C3227" s="3" t="n">
        <v>4</v>
      </c>
      <c r="D3227" s="3" t="n">
        <v>3</v>
      </c>
      <c r="E3227" s="3" t="n">
        <v>5</v>
      </c>
      <c r="F3227" s="24" t="n">
        <v>0</v>
      </c>
    </row>
    <row r="3228" customFormat="false" ht="15" hidden="false" customHeight="false" outlineLevel="0" collapsed="false">
      <c r="A3228" s="3" t="n">
        <v>3227</v>
      </c>
      <c r="B3228" s="3" t="n">
        <v>3226</v>
      </c>
      <c r="C3228" s="3" t="n">
        <v>4</v>
      </c>
      <c r="D3228" s="3" t="n">
        <v>3</v>
      </c>
      <c r="E3228" s="3" t="n">
        <v>6</v>
      </c>
      <c r="F3228" s="24" t="n">
        <v>0</v>
      </c>
    </row>
    <row r="3229" customFormat="false" ht="15" hidden="false" customHeight="false" outlineLevel="0" collapsed="false">
      <c r="A3229" s="3" t="n">
        <v>3228</v>
      </c>
      <c r="B3229" s="3" t="n">
        <v>3227</v>
      </c>
      <c r="C3229" s="3" t="n">
        <v>4</v>
      </c>
      <c r="D3229" s="3" t="n">
        <v>3</v>
      </c>
      <c r="E3229" s="3" t="n">
        <v>7</v>
      </c>
      <c r="F3229" s="24" t="n">
        <v>0</v>
      </c>
    </row>
    <row r="3230" customFormat="false" ht="15" hidden="false" customHeight="false" outlineLevel="0" collapsed="false">
      <c r="A3230" s="3" t="n">
        <v>3229</v>
      </c>
      <c r="B3230" s="3" t="n">
        <v>3228</v>
      </c>
      <c r="C3230" s="3" t="n">
        <v>4</v>
      </c>
      <c r="D3230" s="3" t="n">
        <v>3</v>
      </c>
      <c r="E3230" s="3" t="n">
        <v>8</v>
      </c>
      <c r="F3230" s="24" t="n">
        <v>0</v>
      </c>
    </row>
    <row r="3231" customFormat="false" ht="15" hidden="false" customHeight="false" outlineLevel="0" collapsed="false">
      <c r="A3231" s="3" t="n">
        <v>3230</v>
      </c>
      <c r="B3231" s="3" t="n">
        <v>3229</v>
      </c>
      <c r="C3231" s="3" t="n">
        <v>4</v>
      </c>
      <c r="D3231" s="3" t="n">
        <v>3</v>
      </c>
      <c r="E3231" s="3" t="n">
        <v>9</v>
      </c>
      <c r="F3231" s="24" t="n">
        <v>0</v>
      </c>
    </row>
    <row r="3232" customFormat="false" ht="15" hidden="false" customHeight="false" outlineLevel="0" collapsed="false">
      <c r="A3232" s="3" t="n">
        <v>3231</v>
      </c>
      <c r="B3232" s="3" t="n">
        <v>3230</v>
      </c>
      <c r="C3232" s="3" t="n">
        <v>4</v>
      </c>
      <c r="D3232" s="3" t="n">
        <v>3</v>
      </c>
      <c r="E3232" s="3" t="n">
        <v>10</v>
      </c>
      <c r="F3232" s="24" t="n">
        <v>0</v>
      </c>
    </row>
    <row r="3233" customFormat="false" ht="15" hidden="false" customHeight="false" outlineLevel="0" collapsed="false">
      <c r="A3233" s="3" t="n">
        <v>3232</v>
      </c>
      <c r="B3233" s="3" t="n">
        <v>3231</v>
      </c>
      <c r="C3233" s="3" t="n">
        <v>4</v>
      </c>
      <c r="D3233" s="3" t="n">
        <v>3</v>
      </c>
      <c r="E3233" s="3" t="n">
        <v>11</v>
      </c>
      <c r="F3233" s="24" t="n">
        <v>0</v>
      </c>
    </row>
    <row r="3234" customFormat="false" ht="15" hidden="false" customHeight="false" outlineLevel="0" collapsed="false">
      <c r="A3234" s="3" t="n">
        <v>3233</v>
      </c>
      <c r="B3234" s="3" t="n">
        <v>3232</v>
      </c>
      <c r="C3234" s="3" t="n">
        <v>4</v>
      </c>
      <c r="D3234" s="3" t="n">
        <v>3</v>
      </c>
      <c r="E3234" s="3" t="n">
        <v>12</v>
      </c>
      <c r="F3234" s="24" t="n">
        <v>0</v>
      </c>
    </row>
    <row r="3235" customFormat="false" ht="15" hidden="false" customHeight="false" outlineLevel="0" collapsed="false">
      <c r="A3235" s="3" t="n">
        <v>3234</v>
      </c>
      <c r="B3235" s="3" t="n">
        <v>3233</v>
      </c>
      <c r="C3235" s="3" t="n">
        <v>4</v>
      </c>
      <c r="D3235" s="3" t="n">
        <v>3</v>
      </c>
      <c r="E3235" s="3" t="n">
        <v>13</v>
      </c>
      <c r="F3235" s="24" t="n">
        <v>0</v>
      </c>
    </row>
    <row r="3236" customFormat="false" ht="15" hidden="false" customHeight="false" outlineLevel="0" collapsed="false">
      <c r="A3236" s="3" t="n">
        <v>3235</v>
      </c>
      <c r="B3236" s="3" t="n">
        <v>3234</v>
      </c>
      <c r="C3236" s="3" t="n">
        <v>4</v>
      </c>
      <c r="D3236" s="3" t="n">
        <v>3</v>
      </c>
      <c r="E3236" s="3" t="n">
        <v>14</v>
      </c>
      <c r="F3236" s="24" t="n">
        <v>0</v>
      </c>
    </row>
    <row r="3237" customFormat="false" ht="15" hidden="false" customHeight="false" outlineLevel="0" collapsed="false">
      <c r="A3237" s="3" t="n">
        <v>3236</v>
      </c>
      <c r="B3237" s="3" t="n">
        <v>3235</v>
      </c>
      <c r="C3237" s="3" t="n">
        <v>4</v>
      </c>
      <c r="D3237" s="3" t="n">
        <v>3</v>
      </c>
      <c r="E3237" s="3" t="n">
        <v>15</v>
      </c>
      <c r="F3237" s="24" t="n">
        <v>0</v>
      </c>
    </row>
    <row r="3238" customFormat="false" ht="15" hidden="false" customHeight="false" outlineLevel="0" collapsed="false">
      <c r="A3238" s="3" t="n">
        <v>3237</v>
      </c>
      <c r="B3238" s="3" t="n">
        <v>3236</v>
      </c>
      <c r="C3238" s="3" t="n">
        <v>4</v>
      </c>
      <c r="D3238" s="3" t="n">
        <v>3</v>
      </c>
      <c r="E3238" s="3" t="n">
        <v>16</v>
      </c>
      <c r="F3238" s="24" t="n">
        <v>0</v>
      </c>
    </row>
    <row r="3239" customFormat="false" ht="15" hidden="false" customHeight="false" outlineLevel="0" collapsed="false">
      <c r="A3239" s="3" t="n">
        <v>3238</v>
      </c>
      <c r="B3239" s="3" t="n">
        <v>3237</v>
      </c>
      <c r="C3239" s="3" t="n">
        <v>4</v>
      </c>
      <c r="D3239" s="3" t="n">
        <v>3</v>
      </c>
      <c r="E3239" s="3" t="n">
        <v>17</v>
      </c>
      <c r="F3239" s="24" t="n">
        <v>0</v>
      </c>
    </row>
    <row r="3240" customFormat="false" ht="15" hidden="false" customHeight="false" outlineLevel="0" collapsed="false">
      <c r="A3240" s="3" t="n">
        <v>3239</v>
      </c>
      <c r="B3240" s="3" t="n">
        <v>3238</v>
      </c>
      <c r="C3240" s="3" t="n">
        <v>4</v>
      </c>
      <c r="D3240" s="3" t="n">
        <v>3</v>
      </c>
      <c r="E3240" s="3" t="n">
        <v>18</v>
      </c>
      <c r="F3240" s="24" t="n">
        <v>0</v>
      </c>
    </row>
    <row r="3241" customFormat="false" ht="15" hidden="false" customHeight="false" outlineLevel="0" collapsed="false">
      <c r="A3241" s="3" t="n">
        <v>3240</v>
      </c>
      <c r="B3241" s="3" t="n">
        <v>3239</v>
      </c>
      <c r="C3241" s="3" t="n">
        <v>4</v>
      </c>
      <c r="D3241" s="3" t="n">
        <v>3</v>
      </c>
      <c r="E3241" s="3" t="n">
        <v>19</v>
      </c>
      <c r="F3241" s="24" t="n">
        <v>0</v>
      </c>
    </row>
    <row r="3242" customFormat="false" ht="15" hidden="false" customHeight="false" outlineLevel="0" collapsed="false">
      <c r="A3242" s="3" t="n">
        <v>3241</v>
      </c>
      <c r="B3242" s="3" t="n">
        <v>3240</v>
      </c>
      <c r="C3242" s="3" t="n">
        <v>4</v>
      </c>
      <c r="D3242" s="3" t="n">
        <v>3</v>
      </c>
      <c r="E3242" s="3" t="n">
        <v>20</v>
      </c>
      <c r="F3242" s="24" t="n">
        <v>0</v>
      </c>
    </row>
    <row r="3243" customFormat="false" ht="15" hidden="false" customHeight="false" outlineLevel="0" collapsed="false">
      <c r="A3243" s="3" t="n">
        <v>3242</v>
      </c>
      <c r="B3243" s="3" t="n">
        <v>3241</v>
      </c>
      <c r="C3243" s="3" t="n">
        <v>4</v>
      </c>
      <c r="D3243" s="3" t="n">
        <v>3</v>
      </c>
      <c r="E3243" s="3" t="n">
        <v>21</v>
      </c>
      <c r="F3243" s="24" t="n">
        <v>0</v>
      </c>
    </row>
    <row r="3244" customFormat="false" ht="15" hidden="false" customHeight="false" outlineLevel="0" collapsed="false">
      <c r="A3244" s="3" t="n">
        <v>3243</v>
      </c>
      <c r="B3244" s="3" t="n">
        <v>3242</v>
      </c>
      <c r="C3244" s="3" t="n">
        <v>4</v>
      </c>
      <c r="D3244" s="3" t="n">
        <v>3</v>
      </c>
      <c r="E3244" s="3" t="n">
        <v>22</v>
      </c>
      <c r="F3244" s="24" t="n">
        <v>0</v>
      </c>
    </row>
    <row r="3245" customFormat="false" ht="15" hidden="false" customHeight="false" outlineLevel="0" collapsed="false">
      <c r="A3245" s="3" t="n">
        <v>3244</v>
      </c>
      <c r="B3245" s="3" t="n">
        <v>3243</v>
      </c>
      <c r="C3245" s="3" t="n">
        <v>4</v>
      </c>
      <c r="D3245" s="3" t="n">
        <v>3</v>
      </c>
      <c r="E3245" s="3" t="n">
        <v>23</v>
      </c>
      <c r="F3245" s="24" t="n">
        <v>0</v>
      </c>
    </row>
    <row r="3246" customFormat="false" ht="15" hidden="false" customHeight="false" outlineLevel="0" collapsed="false">
      <c r="A3246" s="3" t="n">
        <v>3245</v>
      </c>
      <c r="B3246" s="3" t="n">
        <v>3244</v>
      </c>
      <c r="C3246" s="3" t="n">
        <v>4</v>
      </c>
      <c r="D3246" s="3" t="n">
        <v>3</v>
      </c>
      <c r="E3246" s="3" t="n">
        <v>24</v>
      </c>
      <c r="F3246" s="24" t="n">
        <v>0</v>
      </c>
    </row>
    <row r="3247" customFormat="false" ht="15" hidden="false" customHeight="false" outlineLevel="0" collapsed="false">
      <c r="A3247" s="3" t="n">
        <v>3246</v>
      </c>
      <c r="B3247" s="3" t="n">
        <v>3245</v>
      </c>
      <c r="C3247" s="3" t="n">
        <v>4</v>
      </c>
      <c r="D3247" s="3" t="n">
        <v>3</v>
      </c>
      <c r="E3247" s="3" t="n">
        <v>25</v>
      </c>
      <c r="F3247" s="24" t="n">
        <v>0</v>
      </c>
    </row>
    <row r="3248" customFormat="false" ht="15" hidden="false" customHeight="false" outlineLevel="0" collapsed="false">
      <c r="A3248" s="3" t="n">
        <v>3247</v>
      </c>
      <c r="B3248" s="3" t="n">
        <v>3246</v>
      </c>
      <c r="C3248" s="3" t="n">
        <v>4</v>
      </c>
      <c r="D3248" s="3" t="n">
        <v>3</v>
      </c>
      <c r="E3248" s="3" t="n">
        <v>26</v>
      </c>
      <c r="F3248" s="24" t="n">
        <v>0</v>
      </c>
    </row>
    <row r="3249" customFormat="false" ht="15" hidden="false" customHeight="false" outlineLevel="0" collapsed="false">
      <c r="A3249" s="3" t="n">
        <v>3248</v>
      </c>
      <c r="B3249" s="3" t="n">
        <v>3247</v>
      </c>
      <c r="C3249" s="3" t="n">
        <v>4</v>
      </c>
      <c r="D3249" s="3" t="n">
        <v>3</v>
      </c>
      <c r="E3249" s="3" t="n">
        <v>27</v>
      </c>
      <c r="F3249" s="24" t="n">
        <v>0</v>
      </c>
    </row>
    <row r="3250" customFormat="false" ht="15" hidden="false" customHeight="false" outlineLevel="0" collapsed="false">
      <c r="A3250" s="3" t="n">
        <v>3249</v>
      </c>
      <c r="B3250" s="3" t="n">
        <v>3248</v>
      </c>
      <c r="C3250" s="3" t="n">
        <v>4</v>
      </c>
      <c r="D3250" s="3" t="n">
        <v>4</v>
      </c>
      <c r="E3250" s="3" t="n">
        <v>0</v>
      </c>
      <c r="F3250" s="24" t="n">
        <v>0</v>
      </c>
    </row>
    <row r="3251" customFormat="false" ht="15" hidden="false" customHeight="false" outlineLevel="0" collapsed="false">
      <c r="A3251" s="3" t="n">
        <v>3250</v>
      </c>
      <c r="B3251" s="3" t="n">
        <v>3249</v>
      </c>
      <c r="C3251" s="3" t="n">
        <v>4</v>
      </c>
      <c r="D3251" s="3" t="n">
        <v>4</v>
      </c>
      <c r="E3251" s="3" t="n">
        <v>1</v>
      </c>
      <c r="F3251" s="24" t="n">
        <v>0</v>
      </c>
    </row>
    <row r="3252" customFormat="false" ht="15" hidden="false" customHeight="false" outlineLevel="0" collapsed="false">
      <c r="A3252" s="3" t="n">
        <v>3251</v>
      </c>
      <c r="B3252" s="3" t="n">
        <v>3250</v>
      </c>
      <c r="C3252" s="3" t="n">
        <v>4</v>
      </c>
      <c r="D3252" s="3" t="n">
        <v>4</v>
      </c>
      <c r="E3252" s="3" t="n">
        <v>2</v>
      </c>
      <c r="F3252" s="24" t="n">
        <v>0</v>
      </c>
    </row>
    <row r="3253" customFormat="false" ht="15" hidden="false" customHeight="false" outlineLevel="0" collapsed="false">
      <c r="A3253" s="3" t="n">
        <v>3252</v>
      </c>
      <c r="B3253" s="3" t="n">
        <v>3251</v>
      </c>
      <c r="C3253" s="3" t="n">
        <v>4</v>
      </c>
      <c r="D3253" s="3" t="n">
        <v>4</v>
      </c>
      <c r="E3253" s="3" t="n">
        <v>3</v>
      </c>
      <c r="F3253" s="24" t="n">
        <v>0</v>
      </c>
    </row>
    <row r="3254" customFormat="false" ht="15" hidden="false" customHeight="false" outlineLevel="0" collapsed="false">
      <c r="A3254" s="3" t="n">
        <v>3253</v>
      </c>
      <c r="B3254" s="3" t="n">
        <v>3252</v>
      </c>
      <c r="C3254" s="3" t="n">
        <v>4</v>
      </c>
      <c r="D3254" s="3" t="n">
        <v>4</v>
      </c>
      <c r="E3254" s="3" t="n">
        <v>4</v>
      </c>
      <c r="F3254" s="24" t="n">
        <v>0</v>
      </c>
    </row>
    <row r="3255" customFormat="false" ht="15" hidden="false" customHeight="false" outlineLevel="0" collapsed="false">
      <c r="A3255" s="3" t="n">
        <v>3254</v>
      </c>
      <c r="B3255" s="3" t="n">
        <v>3253</v>
      </c>
      <c r="C3255" s="3" t="n">
        <v>4</v>
      </c>
      <c r="D3255" s="3" t="n">
        <v>4</v>
      </c>
      <c r="E3255" s="3" t="n">
        <v>5</v>
      </c>
      <c r="F3255" s="24" t="n">
        <v>0</v>
      </c>
    </row>
    <row r="3256" customFormat="false" ht="15" hidden="false" customHeight="false" outlineLevel="0" collapsed="false">
      <c r="A3256" s="3" t="n">
        <v>3255</v>
      </c>
      <c r="B3256" s="3" t="n">
        <v>3254</v>
      </c>
      <c r="C3256" s="3" t="n">
        <v>4</v>
      </c>
      <c r="D3256" s="3" t="n">
        <v>4</v>
      </c>
      <c r="E3256" s="3" t="n">
        <v>6</v>
      </c>
      <c r="F3256" s="24" t="n">
        <v>0</v>
      </c>
    </row>
    <row r="3257" customFormat="false" ht="15" hidden="false" customHeight="false" outlineLevel="0" collapsed="false">
      <c r="A3257" s="3" t="n">
        <v>3256</v>
      </c>
      <c r="B3257" s="3" t="n">
        <v>3255</v>
      </c>
      <c r="C3257" s="3" t="n">
        <v>4</v>
      </c>
      <c r="D3257" s="3" t="n">
        <v>4</v>
      </c>
      <c r="E3257" s="3" t="n">
        <v>7</v>
      </c>
      <c r="F3257" s="24" t="n">
        <v>0</v>
      </c>
    </row>
    <row r="3258" customFormat="false" ht="15" hidden="false" customHeight="false" outlineLevel="0" collapsed="false">
      <c r="A3258" s="3" t="n">
        <v>3257</v>
      </c>
      <c r="B3258" s="3" t="n">
        <v>3256</v>
      </c>
      <c r="C3258" s="3" t="n">
        <v>4</v>
      </c>
      <c r="D3258" s="3" t="n">
        <v>4</v>
      </c>
      <c r="E3258" s="3" t="n">
        <v>8</v>
      </c>
      <c r="F3258" s="24" t="n">
        <v>0</v>
      </c>
    </row>
    <row r="3259" customFormat="false" ht="15" hidden="false" customHeight="false" outlineLevel="0" collapsed="false">
      <c r="A3259" s="3" t="n">
        <v>3258</v>
      </c>
      <c r="B3259" s="3" t="n">
        <v>3257</v>
      </c>
      <c r="C3259" s="3" t="n">
        <v>4</v>
      </c>
      <c r="D3259" s="3" t="n">
        <v>4</v>
      </c>
      <c r="E3259" s="3" t="n">
        <v>9</v>
      </c>
      <c r="F3259" s="24" t="n">
        <v>0</v>
      </c>
    </row>
    <row r="3260" customFormat="false" ht="15" hidden="false" customHeight="false" outlineLevel="0" collapsed="false">
      <c r="A3260" s="3" t="n">
        <v>3259</v>
      </c>
      <c r="B3260" s="3" t="n">
        <v>3258</v>
      </c>
      <c r="C3260" s="3" t="n">
        <v>4</v>
      </c>
      <c r="D3260" s="3" t="n">
        <v>4</v>
      </c>
      <c r="E3260" s="3" t="n">
        <v>10</v>
      </c>
      <c r="F3260" s="24" t="n">
        <v>0</v>
      </c>
    </row>
    <row r="3261" customFormat="false" ht="15" hidden="false" customHeight="false" outlineLevel="0" collapsed="false">
      <c r="A3261" s="3" t="n">
        <v>3260</v>
      </c>
      <c r="B3261" s="3" t="n">
        <v>3259</v>
      </c>
      <c r="C3261" s="3" t="n">
        <v>4</v>
      </c>
      <c r="D3261" s="3" t="n">
        <v>4</v>
      </c>
      <c r="E3261" s="3" t="n">
        <v>11</v>
      </c>
      <c r="F3261" s="24" t="n">
        <v>0</v>
      </c>
    </row>
    <row r="3262" customFormat="false" ht="15" hidden="false" customHeight="false" outlineLevel="0" collapsed="false">
      <c r="A3262" s="3" t="n">
        <v>3261</v>
      </c>
      <c r="B3262" s="3" t="n">
        <v>3260</v>
      </c>
      <c r="C3262" s="3" t="n">
        <v>4</v>
      </c>
      <c r="D3262" s="3" t="n">
        <v>4</v>
      </c>
      <c r="E3262" s="3" t="n">
        <v>12</v>
      </c>
      <c r="F3262" s="24" t="n">
        <v>0</v>
      </c>
    </row>
    <row r="3263" customFormat="false" ht="15" hidden="false" customHeight="false" outlineLevel="0" collapsed="false">
      <c r="A3263" s="3" t="n">
        <v>3262</v>
      </c>
      <c r="B3263" s="3" t="n">
        <v>3261</v>
      </c>
      <c r="C3263" s="3" t="n">
        <v>4</v>
      </c>
      <c r="D3263" s="3" t="n">
        <v>4</v>
      </c>
      <c r="E3263" s="3" t="n">
        <v>13</v>
      </c>
      <c r="F3263" s="24" t="n">
        <v>0</v>
      </c>
    </row>
    <row r="3264" customFormat="false" ht="15" hidden="false" customHeight="false" outlineLevel="0" collapsed="false">
      <c r="A3264" s="3" t="n">
        <v>3263</v>
      </c>
      <c r="B3264" s="3" t="n">
        <v>3262</v>
      </c>
      <c r="C3264" s="3" t="n">
        <v>4</v>
      </c>
      <c r="D3264" s="3" t="n">
        <v>4</v>
      </c>
      <c r="E3264" s="3" t="n">
        <v>14</v>
      </c>
      <c r="F3264" s="24" t="n">
        <v>0</v>
      </c>
    </row>
    <row r="3265" customFormat="false" ht="15" hidden="false" customHeight="false" outlineLevel="0" collapsed="false">
      <c r="A3265" s="3" t="n">
        <v>3264</v>
      </c>
      <c r="B3265" s="3" t="n">
        <v>3263</v>
      </c>
      <c r="C3265" s="3" t="n">
        <v>4</v>
      </c>
      <c r="D3265" s="3" t="n">
        <v>4</v>
      </c>
      <c r="E3265" s="3" t="n">
        <v>15</v>
      </c>
      <c r="F3265" s="24" t="n">
        <v>0</v>
      </c>
    </row>
    <row r="3266" customFormat="false" ht="15" hidden="false" customHeight="false" outlineLevel="0" collapsed="false">
      <c r="A3266" s="3" t="n">
        <v>3265</v>
      </c>
      <c r="B3266" s="3" t="n">
        <v>3264</v>
      </c>
      <c r="C3266" s="3" t="n">
        <v>4</v>
      </c>
      <c r="D3266" s="3" t="n">
        <v>4</v>
      </c>
      <c r="E3266" s="3" t="n">
        <v>16</v>
      </c>
      <c r="F3266" s="24" t="n">
        <v>0</v>
      </c>
    </row>
    <row r="3267" customFormat="false" ht="15" hidden="false" customHeight="false" outlineLevel="0" collapsed="false">
      <c r="A3267" s="3" t="n">
        <v>3266</v>
      </c>
      <c r="B3267" s="3" t="n">
        <v>3265</v>
      </c>
      <c r="C3267" s="3" t="n">
        <v>4</v>
      </c>
      <c r="D3267" s="3" t="n">
        <v>4</v>
      </c>
      <c r="E3267" s="3" t="n">
        <v>17</v>
      </c>
      <c r="F3267" s="24" t="n">
        <v>0</v>
      </c>
    </row>
    <row r="3268" customFormat="false" ht="15" hidden="false" customHeight="false" outlineLevel="0" collapsed="false">
      <c r="A3268" s="3" t="n">
        <v>3267</v>
      </c>
      <c r="B3268" s="3" t="n">
        <v>3266</v>
      </c>
      <c r="C3268" s="3" t="n">
        <v>4</v>
      </c>
      <c r="D3268" s="3" t="n">
        <v>4</v>
      </c>
      <c r="E3268" s="3" t="n">
        <v>18</v>
      </c>
      <c r="F3268" s="24" t="n">
        <v>0</v>
      </c>
    </row>
    <row r="3269" customFormat="false" ht="15" hidden="false" customHeight="false" outlineLevel="0" collapsed="false">
      <c r="A3269" s="3" t="n">
        <v>3268</v>
      </c>
      <c r="B3269" s="3" t="n">
        <v>3267</v>
      </c>
      <c r="C3269" s="3" t="n">
        <v>4</v>
      </c>
      <c r="D3269" s="3" t="n">
        <v>4</v>
      </c>
      <c r="E3269" s="3" t="n">
        <v>19</v>
      </c>
      <c r="F3269" s="24" t="n">
        <v>0</v>
      </c>
    </row>
    <row r="3270" customFormat="false" ht="15" hidden="false" customHeight="false" outlineLevel="0" collapsed="false">
      <c r="A3270" s="3" t="n">
        <v>3269</v>
      </c>
      <c r="B3270" s="3" t="n">
        <v>3268</v>
      </c>
      <c r="C3270" s="3" t="n">
        <v>4</v>
      </c>
      <c r="D3270" s="3" t="n">
        <v>4</v>
      </c>
      <c r="E3270" s="3" t="n">
        <v>20</v>
      </c>
      <c r="F3270" s="24" t="n">
        <v>0</v>
      </c>
    </row>
    <row r="3271" customFormat="false" ht="15" hidden="false" customHeight="false" outlineLevel="0" collapsed="false">
      <c r="A3271" s="3" t="n">
        <v>3270</v>
      </c>
      <c r="B3271" s="3" t="n">
        <v>3269</v>
      </c>
      <c r="C3271" s="3" t="n">
        <v>4</v>
      </c>
      <c r="D3271" s="3" t="n">
        <v>4</v>
      </c>
      <c r="E3271" s="3" t="n">
        <v>21</v>
      </c>
      <c r="F3271" s="24" t="n">
        <v>0</v>
      </c>
    </row>
    <row r="3272" customFormat="false" ht="15" hidden="false" customHeight="false" outlineLevel="0" collapsed="false">
      <c r="A3272" s="3" t="n">
        <v>3271</v>
      </c>
      <c r="B3272" s="3" t="n">
        <v>3270</v>
      </c>
      <c r="C3272" s="3" t="n">
        <v>4</v>
      </c>
      <c r="D3272" s="3" t="n">
        <v>4</v>
      </c>
      <c r="E3272" s="3" t="n">
        <v>22</v>
      </c>
      <c r="F3272" s="24" t="n">
        <v>0</v>
      </c>
    </row>
    <row r="3273" customFormat="false" ht="15" hidden="false" customHeight="false" outlineLevel="0" collapsed="false">
      <c r="A3273" s="3" t="n">
        <v>3272</v>
      </c>
      <c r="B3273" s="3" t="n">
        <v>3271</v>
      </c>
      <c r="C3273" s="3" t="n">
        <v>4</v>
      </c>
      <c r="D3273" s="3" t="n">
        <v>4</v>
      </c>
      <c r="E3273" s="3" t="n">
        <v>23</v>
      </c>
      <c r="F3273" s="24" t="n">
        <v>0</v>
      </c>
    </row>
    <row r="3274" customFormat="false" ht="15" hidden="false" customHeight="false" outlineLevel="0" collapsed="false">
      <c r="A3274" s="3" t="n">
        <v>3273</v>
      </c>
      <c r="B3274" s="3" t="n">
        <v>3272</v>
      </c>
      <c r="C3274" s="3" t="n">
        <v>4</v>
      </c>
      <c r="D3274" s="3" t="n">
        <v>4</v>
      </c>
      <c r="E3274" s="3" t="n">
        <v>24</v>
      </c>
      <c r="F3274" s="24" t="n">
        <v>0</v>
      </c>
    </row>
    <row r="3275" customFormat="false" ht="15" hidden="false" customHeight="false" outlineLevel="0" collapsed="false">
      <c r="A3275" s="3" t="n">
        <v>3274</v>
      </c>
      <c r="B3275" s="3" t="n">
        <v>3273</v>
      </c>
      <c r="C3275" s="3" t="n">
        <v>4</v>
      </c>
      <c r="D3275" s="3" t="n">
        <v>4</v>
      </c>
      <c r="E3275" s="3" t="n">
        <v>25</v>
      </c>
      <c r="F3275" s="24" t="n">
        <v>0</v>
      </c>
    </row>
    <row r="3276" customFormat="false" ht="15" hidden="false" customHeight="false" outlineLevel="0" collapsed="false">
      <c r="A3276" s="3" t="n">
        <v>3275</v>
      </c>
      <c r="B3276" s="3" t="n">
        <v>3274</v>
      </c>
      <c r="C3276" s="3" t="n">
        <v>4</v>
      </c>
      <c r="D3276" s="3" t="n">
        <v>4</v>
      </c>
      <c r="E3276" s="3" t="n">
        <v>26</v>
      </c>
      <c r="F3276" s="24" t="n">
        <v>0</v>
      </c>
    </row>
    <row r="3277" customFormat="false" ht="15" hidden="false" customHeight="false" outlineLevel="0" collapsed="false">
      <c r="A3277" s="3" t="n">
        <v>3276</v>
      </c>
      <c r="B3277" s="3" t="n">
        <v>3275</v>
      </c>
      <c r="C3277" s="3" t="n">
        <v>4</v>
      </c>
      <c r="D3277" s="3" t="n">
        <v>4</v>
      </c>
      <c r="E3277" s="3" t="n">
        <v>27</v>
      </c>
      <c r="F3277" s="24" t="n">
        <v>0</v>
      </c>
    </row>
    <row r="3278" customFormat="false" ht="15" hidden="false" customHeight="false" outlineLevel="0" collapsed="false">
      <c r="A3278" s="3" t="n">
        <v>3277</v>
      </c>
      <c r="B3278" s="3" t="n">
        <v>3276</v>
      </c>
      <c r="C3278" s="3" t="n">
        <v>4</v>
      </c>
      <c r="D3278" s="3" t="n">
        <v>5</v>
      </c>
      <c r="E3278" s="3" t="n">
        <v>0</v>
      </c>
      <c r="F3278" s="24" t="n">
        <v>0</v>
      </c>
    </row>
    <row r="3279" customFormat="false" ht="15" hidden="false" customHeight="false" outlineLevel="0" collapsed="false">
      <c r="A3279" s="3" t="n">
        <v>3278</v>
      </c>
      <c r="B3279" s="3" t="n">
        <v>3277</v>
      </c>
      <c r="C3279" s="3" t="n">
        <v>4</v>
      </c>
      <c r="D3279" s="3" t="n">
        <v>5</v>
      </c>
      <c r="E3279" s="3" t="n">
        <v>1</v>
      </c>
      <c r="F3279" s="24" t="n">
        <v>0</v>
      </c>
    </row>
    <row r="3280" customFormat="false" ht="15" hidden="false" customHeight="false" outlineLevel="0" collapsed="false">
      <c r="A3280" s="3" t="n">
        <v>3279</v>
      </c>
      <c r="B3280" s="3" t="n">
        <v>3278</v>
      </c>
      <c r="C3280" s="3" t="n">
        <v>4</v>
      </c>
      <c r="D3280" s="3" t="n">
        <v>5</v>
      </c>
      <c r="E3280" s="3" t="n">
        <v>2</v>
      </c>
      <c r="F3280" s="24" t="n">
        <v>0</v>
      </c>
    </row>
    <row r="3281" customFormat="false" ht="15" hidden="false" customHeight="false" outlineLevel="0" collapsed="false">
      <c r="A3281" s="3" t="n">
        <v>3280</v>
      </c>
      <c r="B3281" s="3" t="n">
        <v>3279</v>
      </c>
      <c r="C3281" s="3" t="n">
        <v>4</v>
      </c>
      <c r="D3281" s="3" t="n">
        <v>5</v>
      </c>
      <c r="E3281" s="3" t="n">
        <v>3</v>
      </c>
      <c r="F3281" s="24" t="n">
        <v>0</v>
      </c>
    </row>
    <row r="3282" customFormat="false" ht="15" hidden="false" customHeight="false" outlineLevel="0" collapsed="false">
      <c r="A3282" s="3" t="n">
        <v>3281</v>
      </c>
      <c r="B3282" s="3" t="n">
        <v>3280</v>
      </c>
      <c r="C3282" s="3" t="n">
        <v>4</v>
      </c>
      <c r="D3282" s="3" t="n">
        <v>5</v>
      </c>
      <c r="E3282" s="3" t="n">
        <v>4</v>
      </c>
      <c r="F3282" s="24" t="n">
        <v>0</v>
      </c>
    </row>
    <row r="3283" customFormat="false" ht="15" hidden="false" customHeight="false" outlineLevel="0" collapsed="false">
      <c r="A3283" s="3" t="n">
        <v>3282</v>
      </c>
      <c r="B3283" s="3" t="n">
        <v>3281</v>
      </c>
      <c r="C3283" s="3" t="n">
        <v>4</v>
      </c>
      <c r="D3283" s="3" t="n">
        <v>5</v>
      </c>
      <c r="E3283" s="3" t="n">
        <v>5</v>
      </c>
      <c r="F3283" s="24" t="n">
        <v>0</v>
      </c>
    </row>
    <row r="3284" customFormat="false" ht="15" hidden="false" customHeight="false" outlineLevel="0" collapsed="false">
      <c r="A3284" s="3" t="n">
        <v>3283</v>
      </c>
      <c r="B3284" s="3" t="n">
        <v>3282</v>
      </c>
      <c r="C3284" s="3" t="n">
        <v>4</v>
      </c>
      <c r="D3284" s="3" t="n">
        <v>5</v>
      </c>
      <c r="E3284" s="3" t="n">
        <v>6</v>
      </c>
      <c r="F3284" s="24" t="n">
        <v>0</v>
      </c>
    </row>
    <row r="3285" customFormat="false" ht="15" hidden="false" customHeight="false" outlineLevel="0" collapsed="false">
      <c r="A3285" s="3" t="n">
        <v>3284</v>
      </c>
      <c r="B3285" s="3" t="n">
        <v>3283</v>
      </c>
      <c r="C3285" s="3" t="n">
        <v>4</v>
      </c>
      <c r="D3285" s="3" t="n">
        <v>5</v>
      </c>
      <c r="E3285" s="3" t="n">
        <v>7</v>
      </c>
      <c r="F3285" s="24" t="n">
        <v>0</v>
      </c>
    </row>
    <row r="3286" customFormat="false" ht="15" hidden="false" customHeight="false" outlineLevel="0" collapsed="false">
      <c r="A3286" s="3" t="n">
        <v>3285</v>
      </c>
      <c r="B3286" s="3" t="n">
        <v>3284</v>
      </c>
      <c r="C3286" s="3" t="n">
        <v>4</v>
      </c>
      <c r="D3286" s="3" t="n">
        <v>5</v>
      </c>
      <c r="E3286" s="3" t="n">
        <v>8</v>
      </c>
      <c r="F3286" s="24" t="n">
        <v>0</v>
      </c>
    </row>
    <row r="3287" customFormat="false" ht="15" hidden="false" customHeight="false" outlineLevel="0" collapsed="false">
      <c r="A3287" s="3" t="n">
        <v>3286</v>
      </c>
      <c r="B3287" s="3" t="n">
        <v>3285</v>
      </c>
      <c r="C3287" s="3" t="n">
        <v>4</v>
      </c>
      <c r="D3287" s="3" t="n">
        <v>5</v>
      </c>
      <c r="E3287" s="3" t="n">
        <v>9</v>
      </c>
      <c r="F3287" s="24" t="n">
        <v>0</v>
      </c>
    </row>
    <row r="3288" customFormat="false" ht="15" hidden="false" customHeight="false" outlineLevel="0" collapsed="false">
      <c r="A3288" s="3" t="n">
        <v>3287</v>
      </c>
      <c r="B3288" s="3" t="n">
        <v>3286</v>
      </c>
      <c r="C3288" s="3" t="n">
        <v>4</v>
      </c>
      <c r="D3288" s="3" t="n">
        <v>5</v>
      </c>
      <c r="E3288" s="3" t="n">
        <v>10</v>
      </c>
      <c r="F3288" s="24" t="n">
        <v>0</v>
      </c>
    </row>
    <row r="3289" customFormat="false" ht="15" hidden="false" customHeight="false" outlineLevel="0" collapsed="false">
      <c r="A3289" s="3" t="n">
        <v>3288</v>
      </c>
      <c r="B3289" s="3" t="n">
        <v>3287</v>
      </c>
      <c r="C3289" s="3" t="n">
        <v>4</v>
      </c>
      <c r="D3289" s="3" t="n">
        <v>5</v>
      </c>
      <c r="E3289" s="3" t="n">
        <v>11</v>
      </c>
      <c r="F3289" s="24" t="n">
        <v>0</v>
      </c>
    </row>
    <row r="3290" customFormat="false" ht="15" hidden="false" customHeight="false" outlineLevel="0" collapsed="false">
      <c r="A3290" s="3" t="n">
        <v>3289</v>
      </c>
      <c r="B3290" s="3" t="n">
        <v>3288</v>
      </c>
      <c r="C3290" s="3" t="n">
        <v>4</v>
      </c>
      <c r="D3290" s="3" t="n">
        <v>5</v>
      </c>
      <c r="E3290" s="3" t="n">
        <v>12</v>
      </c>
      <c r="F3290" s="24" t="n">
        <v>0</v>
      </c>
    </row>
    <row r="3291" customFormat="false" ht="15" hidden="false" customHeight="false" outlineLevel="0" collapsed="false">
      <c r="A3291" s="3" t="n">
        <v>3290</v>
      </c>
      <c r="B3291" s="3" t="n">
        <v>3289</v>
      </c>
      <c r="C3291" s="3" t="n">
        <v>4</v>
      </c>
      <c r="D3291" s="3" t="n">
        <v>5</v>
      </c>
      <c r="E3291" s="3" t="n">
        <v>13</v>
      </c>
      <c r="F3291" s="24" t="n">
        <v>0</v>
      </c>
    </row>
    <row r="3292" customFormat="false" ht="15" hidden="false" customHeight="false" outlineLevel="0" collapsed="false">
      <c r="A3292" s="3" t="n">
        <v>3291</v>
      </c>
      <c r="B3292" s="3" t="n">
        <v>3290</v>
      </c>
      <c r="C3292" s="3" t="n">
        <v>4</v>
      </c>
      <c r="D3292" s="3" t="n">
        <v>5</v>
      </c>
      <c r="E3292" s="3" t="n">
        <v>14</v>
      </c>
      <c r="F3292" s="24" t="n">
        <v>0</v>
      </c>
    </row>
    <row r="3293" customFormat="false" ht="15" hidden="false" customHeight="false" outlineLevel="0" collapsed="false">
      <c r="A3293" s="3" t="n">
        <v>3292</v>
      </c>
      <c r="B3293" s="3" t="n">
        <v>3291</v>
      </c>
      <c r="C3293" s="3" t="n">
        <v>4</v>
      </c>
      <c r="D3293" s="3" t="n">
        <v>5</v>
      </c>
      <c r="E3293" s="3" t="n">
        <v>15</v>
      </c>
      <c r="F3293" s="24" t="n">
        <v>0</v>
      </c>
    </row>
    <row r="3294" customFormat="false" ht="15" hidden="false" customHeight="false" outlineLevel="0" collapsed="false">
      <c r="A3294" s="3" t="n">
        <v>3293</v>
      </c>
      <c r="B3294" s="3" t="n">
        <v>3292</v>
      </c>
      <c r="C3294" s="3" t="n">
        <v>4</v>
      </c>
      <c r="D3294" s="3" t="n">
        <v>5</v>
      </c>
      <c r="E3294" s="3" t="n">
        <v>16</v>
      </c>
      <c r="F3294" s="24" t="n">
        <v>0</v>
      </c>
    </row>
    <row r="3295" customFormat="false" ht="15" hidden="false" customHeight="false" outlineLevel="0" collapsed="false">
      <c r="A3295" s="3" t="n">
        <v>3294</v>
      </c>
      <c r="B3295" s="3" t="n">
        <v>3293</v>
      </c>
      <c r="C3295" s="3" t="n">
        <v>4</v>
      </c>
      <c r="D3295" s="3" t="n">
        <v>5</v>
      </c>
      <c r="E3295" s="3" t="n">
        <v>17</v>
      </c>
      <c r="F3295" s="24" t="n">
        <v>0</v>
      </c>
    </row>
    <row r="3296" customFormat="false" ht="15" hidden="false" customHeight="false" outlineLevel="0" collapsed="false">
      <c r="A3296" s="3" t="n">
        <v>3295</v>
      </c>
      <c r="B3296" s="3" t="n">
        <v>3294</v>
      </c>
      <c r="C3296" s="3" t="n">
        <v>4</v>
      </c>
      <c r="D3296" s="3" t="n">
        <v>5</v>
      </c>
      <c r="E3296" s="3" t="n">
        <v>18</v>
      </c>
      <c r="F3296" s="24" t="n">
        <v>0</v>
      </c>
    </row>
    <row r="3297" customFormat="false" ht="15" hidden="false" customHeight="false" outlineLevel="0" collapsed="false">
      <c r="A3297" s="3" t="n">
        <v>3296</v>
      </c>
      <c r="B3297" s="3" t="n">
        <v>3295</v>
      </c>
      <c r="C3297" s="3" t="n">
        <v>4</v>
      </c>
      <c r="D3297" s="3" t="n">
        <v>5</v>
      </c>
      <c r="E3297" s="3" t="n">
        <v>19</v>
      </c>
      <c r="F3297" s="24" t="n">
        <v>0</v>
      </c>
    </row>
    <row r="3298" customFormat="false" ht="15" hidden="false" customHeight="false" outlineLevel="0" collapsed="false">
      <c r="A3298" s="3" t="n">
        <v>3297</v>
      </c>
      <c r="B3298" s="3" t="n">
        <v>3296</v>
      </c>
      <c r="C3298" s="3" t="n">
        <v>4</v>
      </c>
      <c r="D3298" s="3" t="n">
        <v>5</v>
      </c>
      <c r="E3298" s="3" t="n">
        <v>20</v>
      </c>
      <c r="F3298" s="24" t="n">
        <v>0</v>
      </c>
    </row>
    <row r="3299" customFormat="false" ht="15" hidden="false" customHeight="false" outlineLevel="0" collapsed="false">
      <c r="A3299" s="3" t="n">
        <v>3298</v>
      </c>
      <c r="B3299" s="3" t="n">
        <v>3297</v>
      </c>
      <c r="C3299" s="3" t="n">
        <v>4</v>
      </c>
      <c r="D3299" s="3" t="n">
        <v>5</v>
      </c>
      <c r="E3299" s="3" t="n">
        <v>21</v>
      </c>
      <c r="F3299" s="24" t="n">
        <v>0</v>
      </c>
    </row>
    <row r="3300" customFormat="false" ht="15" hidden="false" customHeight="false" outlineLevel="0" collapsed="false">
      <c r="A3300" s="3" t="n">
        <v>3299</v>
      </c>
      <c r="B3300" s="3" t="n">
        <v>3298</v>
      </c>
      <c r="C3300" s="3" t="n">
        <v>4</v>
      </c>
      <c r="D3300" s="3" t="n">
        <v>5</v>
      </c>
      <c r="E3300" s="3" t="n">
        <v>22</v>
      </c>
      <c r="F3300" s="24" t="n">
        <v>0</v>
      </c>
    </row>
    <row r="3301" customFormat="false" ht="15" hidden="false" customHeight="false" outlineLevel="0" collapsed="false">
      <c r="A3301" s="3" t="n">
        <v>3300</v>
      </c>
      <c r="B3301" s="3" t="n">
        <v>3299</v>
      </c>
      <c r="C3301" s="3" t="n">
        <v>4</v>
      </c>
      <c r="D3301" s="3" t="n">
        <v>5</v>
      </c>
      <c r="E3301" s="3" t="n">
        <v>23</v>
      </c>
      <c r="F3301" s="24" t="n">
        <v>0</v>
      </c>
    </row>
    <row r="3302" customFormat="false" ht="15" hidden="false" customHeight="false" outlineLevel="0" collapsed="false">
      <c r="A3302" s="3" t="n">
        <v>3301</v>
      </c>
      <c r="B3302" s="3" t="n">
        <v>3300</v>
      </c>
      <c r="C3302" s="3" t="n">
        <v>4</v>
      </c>
      <c r="D3302" s="3" t="n">
        <v>5</v>
      </c>
      <c r="E3302" s="3" t="n">
        <v>24</v>
      </c>
      <c r="F3302" s="24" t="n">
        <v>0</v>
      </c>
    </row>
    <row r="3303" customFormat="false" ht="15" hidden="false" customHeight="false" outlineLevel="0" collapsed="false">
      <c r="A3303" s="3" t="n">
        <v>3302</v>
      </c>
      <c r="B3303" s="3" t="n">
        <v>3301</v>
      </c>
      <c r="C3303" s="3" t="n">
        <v>4</v>
      </c>
      <c r="D3303" s="3" t="n">
        <v>5</v>
      </c>
      <c r="E3303" s="3" t="n">
        <v>25</v>
      </c>
      <c r="F3303" s="24" t="n">
        <v>0</v>
      </c>
    </row>
    <row r="3304" customFormat="false" ht="15" hidden="false" customHeight="false" outlineLevel="0" collapsed="false">
      <c r="A3304" s="3" t="n">
        <v>3303</v>
      </c>
      <c r="B3304" s="3" t="n">
        <v>3302</v>
      </c>
      <c r="C3304" s="3" t="n">
        <v>4</v>
      </c>
      <c r="D3304" s="3" t="n">
        <v>5</v>
      </c>
      <c r="E3304" s="3" t="n">
        <v>26</v>
      </c>
      <c r="F3304" s="24" t="n">
        <v>0</v>
      </c>
    </row>
    <row r="3305" customFormat="false" ht="15" hidden="false" customHeight="false" outlineLevel="0" collapsed="false">
      <c r="A3305" s="3" t="n">
        <v>3304</v>
      </c>
      <c r="B3305" s="3" t="n">
        <v>3303</v>
      </c>
      <c r="C3305" s="3" t="n">
        <v>4</v>
      </c>
      <c r="D3305" s="3" t="n">
        <v>5</v>
      </c>
      <c r="E3305" s="3" t="n">
        <v>27</v>
      </c>
      <c r="F3305" s="24" t="n">
        <v>0</v>
      </c>
    </row>
    <row r="3306" customFormat="false" ht="15" hidden="false" customHeight="false" outlineLevel="0" collapsed="false">
      <c r="A3306" s="3" t="n">
        <v>3305</v>
      </c>
      <c r="B3306" s="3" t="n">
        <v>3304</v>
      </c>
      <c r="C3306" s="3" t="n">
        <v>4</v>
      </c>
      <c r="D3306" s="3" t="n">
        <v>6</v>
      </c>
      <c r="E3306" s="3" t="n">
        <v>0</v>
      </c>
      <c r="F3306" s="24" t="n">
        <v>0</v>
      </c>
    </row>
    <row r="3307" customFormat="false" ht="15" hidden="false" customHeight="false" outlineLevel="0" collapsed="false">
      <c r="A3307" s="3" t="n">
        <v>3306</v>
      </c>
      <c r="B3307" s="3" t="n">
        <v>3305</v>
      </c>
      <c r="C3307" s="3" t="n">
        <v>4</v>
      </c>
      <c r="D3307" s="3" t="n">
        <v>6</v>
      </c>
      <c r="E3307" s="3" t="n">
        <v>1</v>
      </c>
      <c r="F3307" s="24" t="n">
        <v>0</v>
      </c>
    </row>
    <row r="3308" customFormat="false" ht="15" hidden="false" customHeight="false" outlineLevel="0" collapsed="false">
      <c r="A3308" s="3" t="n">
        <v>3307</v>
      </c>
      <c r="B3308" s="3" t="n">
        <v>3306</v>
      </c>
      <c r="C3308" s="3" t="n">
        <v>4</v>
      </c>
      <c r="D3308" s="3" t="n">
        <v>6</v>
      </c>
      <c r="E3308" s="3" t="n">
        <v>2</v>
      </c>
      <c r="F3308" s="24" t="n">
        <v>0</v>
      </c>
    </row>
    <row r="3309" customFormat="false" ht="15" hidden="false" customHeight="false" outlineLevel="0" collapsed="false">
      <c r="A3309" s="3" t="n">
        <v>3308</v>
      </c>
      <c r="B3309" s="3" t="n">
        <v>3307</v>
      </c>
      <c r="C3309" s="3" t="n">
        <v>4</v>
      </c>
      <c r="D3309" s="3" t="n">
        <v>6</v>
      </c>
      <c r="E3309" s="3" t="n">
        <v>3</v>
      </c>
      <c r="F3309" s="24" t="n">
        <v>0</v>
      </c>
    </row>
    <row r="3310" customFormat="false" ht="15" hidden="false" customHeight="false" outlineLevel="0" collapsed="false">
      <c r="A3310" s="3" t="n">
        <v>3309</v>
      </c>
      <c r="B3310" s="3" t="n">
        <v>3308</v>
      </c>
      <c r="C3310" s="3" t="n">
        <v>4</v>
      </c>
      <c r="D3310" s="3" t="n">
        <v>6</v>
      </c>
      <c r="E3310" s="3" t="n">
        <v>4</v>
      </c>
      <c r="F3310" s="24" t="n">
        <v>0</v>
      </c>
    </row>
    <row r="3311" customFormat="false" ht="15" hidden="false" customHeight="false" outlineLevel="0" collapsed="false">
      <c r="A3311" s="3" t="n">
        <v>3310</v>
      </c>
      <c r="B3311" s="3" t="n">
        <v>3309</v>
      </c>
      <c r="C3311" s="3" t="n">
        <v>4</v>
      </c>
      <c r="D3311" s="3" t="n">
        <v>6</v>
      </c>
      <c r="E3311" s="3" t="n">
        <v>5</v>
      </c>
      <c r="F3311" s="24" t="n">
        <v>0</v>
      </c>
    </row>
    <row r="3312" customFormat="false" ht="15" hidden="false" customHeight="false" outlineLevel="0" collapsed="false">
      <c r="A3312" s="3" t="n">
        <v>3311</v>
      </c>
      <c r="B3312" s="3" t="n">
        <v>3310</v>
      </c>
      <c r="C3312" s="3" t="n">
        <v>4</v>
      </c>
      <c r="D3312" s="3" t="n">
        <v>6</v>
      </c>
      <c r="E3312" s="3" t="n">
        <v>6</v>
      </c>
      <c r="F3312" s="24" t="n">
        <v>0.48443532</v>
      </c>
    </row>
    <row r="3313" customFormat="false" ht="15" hidden="false" customHeight="false" outlineLevel="0" collapsed="false">
      <c r="A3313" s="3" t="n">
        <v>3312</v>
      </c>
      <c r="B3313" s="3" t="n">
        <v>3311</v>
      </c>
      <c r="C3313" s="3" t="n">
        <v>4</v>
      </c>
      <c r="D3313" s="3" t="n">
        <v>6</v>
      </c>
      <c r="E3313" s="3" t="n">
        <v>7</v>
      </c>
      <c r="F3313" s="24" t="n">
        <v>1.30407774</v>
      </c>
    </row>
    <row r="3314" customFormat="false" ht="15" hidden="false" customHeight="false" outlineLevel="0" collapsed="false">
      <c r="A3314" s="3" t="n">
        <v>3313</v>
      </c>
      <c r="B3314" s="3" t="n">
        <v>3312</v>
      </c>
      <c r="C3314" s="3" t="n">
        <v>4</v>
      </c>
      <c r="D3314" s="3" t="n">
        <v>6</v>
      </c>
      <c r="E3314" s="3" t="n">
        <v>8</v>
      </c>
      <c r="F3314" s="24" t="n">
        <v>1.56650305</v>
      </c>
    </row>
    <row r="3315" customFormat="false" ht="15" hidden="false" customHeight="false" outlineLevel="0" collapsed="false">
      <c r="A3315" s="3" t="n">
        <v>3314</v>
      </c>
      <c r="B3315" s="3" t="n">
        <v>3313</v>
      </c>
      <c r="C3315" s="3" t="n">
        <v>4</v>
      </c>
      <c r="D3315" s="3" t="n">
        <v>6</v>
      </c>
      <c r="E3315" s="3" t="n">
        <v>9</v>
      </c>
      <c r="F3315" s="24" t="n">
        <v>1.10073674</v>
      </c>
    </row>
    <row r="3316" customFormat="false" ht="15" hidden="false" customHeight="false" outlineLevel="0" collapsed="false">
      <c r="A3316" s="3" t="n">
        <v>3315</v>
      </c>
      <c r="B3316" s="3" t="n">
        <v>3314</v>
      </c>
      <c r="C3316" s="3" t="n">
        <v>4</v>
      </c>
      <c r="D3316" s="3" t="n">
        <v>6</v>
      </c>
      <c r="E3316" s="3" t="n">
        <v>10</v>
      </c>
      <c r="F3316" s="24" t="n">
        <v>0.489112735</v>
      </c>
    </row>
    <row r="3317" customFormat="false" ht="15" hidden="false" customHeight="false" outlineLevel="0" collapsed="false">
      <c r="A3317" s="3" t="n">
        <v>3316</v>
      </c>
      <c r="B3317" s="3" t="n">
        <v>3315</v>
      </c>
      <c r="C3317" s="3" t="n">
        <v>4</v>
      </c>
      <c r="D3317" s="3" t="n">
        <v>6</v>
      </c>
      <c r="E3317" s="3" t="n">
        <v>11</v>
      </c>
      <c r="F3317" s="24" t="n">
        <v>0</v>
      </c>
    </row>
    <row r="3318" customFormat="false" ht="15" hidden="false" customHeight="false" outlineLevel="0" collapsed="false">
      <c r="A3318" s="3" t="n">
        <v>3317</v>
      </c>
      <c r="B3318" s="3" t="n">
        <v>3316</v>
      </c>
      <c r="C3318" s="3" t="n">
        <v>4</v>
      </c>
      <c r="D3318" s="3" t="n">
        <v>6</v>
      </c>
      <c r="E3318" s="3" t="n">
        <v>12</v>
      </c>
      <c r="F3318" s="24" t="n">
        <v>0</v>
      </c>
    </row>
    <row r="3319" customFormat="false" ht="15" hidden="false" customHeight="false" outlineLevel="0" collapsed="false">
      <c r="A3319" s="3" t="n">
        <v>3318</v>
      </c>
      <c r="B3319" s="3" t="n">
        <v>3317</v>
      </c>
      <c r="C3319" s="3" t="n">
        <v>4</v>
      </c>
      <c r="D3319" s="3" t="n">
        <v>6</v>
      </c>
      <c r="E3319" s="3" t="n">
        <v>13</v>
      </c>
      <c r="F3319" s="24" t="n">
        <v>0</v>
      </c>
    </row>
    <row r="3320" customFormat="false" ht="15" hidden="false" customHeight="false" outlineLevel="0" collapsed="false">
      <c r="A3320" s="3" t="n">
        <v>3319</v>
      </c>
      <c r="B3320" s="3" t="n">
        <v>3318</v>
      </c>
      <c r="C3320" s="3" t="n">
        <v>4</v>
      </c>
      <c r="D3320" s="3" t="n">
        <v>6</v>
      </c>
      <c r="E3320" s="3" t="n">
        <v>14</v>
      </c>
      <c r="F3320" s="24" t="n">
        <v>0</v>
      </c>
    </row>
    <row r="3321" customFormat="false" ht="15" hidden="false" customHeight="false" outlineLevel="0" collapsed="false">
      <c r="A3321" s="3" t="n">
        <v>3320</v>
      </c>
      <c r="B3321" s="3" t="n">
        <v>3319</v>
      </c>
      <c r="C3321" s="3" t="n">
        <v>4</v>
      </c>
      <c r="D3321" s="3" t="n">
        <v>6</v>
      </c>
      <c r="E3321" s="3" t="n">
        <v>15</v>
      </c>
      <c r="F3321" s="24" t="n">
        <v>0</v>
      </c>
    </row>
    <row r="3322" customFormat="false" ht="15" hidden="false" customHeight="false" outlineLevel="0" collapsed="false">
      <c r="A3322" s="3" t="n">
        <v>3321</v>
      </c>
      <c r="B3322" s="3" t="n">
        <v>3320</v>
      </c>
      <c r="C3322" s="3" t="n">
        <v>4</v>
      </c>
      <c r="D3322" s="3" t="n">
        <v>6</v>
      </c>
      <c r="E3322" s="3" t="n">
        <v>16</v>
      </c>
      <c r="F3322" s="24" t="n">
        <v>0</v>
      </c>
    </row>
    <row r="3323" customFormat="false" ht="15" hidden="false" customHeight="false" outlineLevel="0" collapsed="false">
      <c r="A3323" s="3" t="n">
        <v>3322</v>
      </c>
      <c r="B3323" s="3" t="n">
        <v>3321</v>
      </c>
      <c r="C3323" s="3" t="n">
        <v>4</v>
      </c>
      <c r="D3323" s="3" t="n">
        <v>6</v>
      </c>
      <c r="E3323" s="3" t="n">
        <v>17</v>
      </c>
      <c r="F3323" s="24" t="n">
        <v>0</v>
      </c>
    </row>
    <row r="3324" customFormat="false" ht="15" hidden="false" customHeight="false" outlineLevel="0" collapsed="false">
      <c r="A3324" s="3" t="n">
        <v>3323</v>
      </c>
      <c r="B3324" s="3" t="n">
        <v>3322</v>
      </c>
      <c r="C3324" s="3" t="n">
        <v>4</v>
      </c>
      <c r="D3324" s="3" t="n">
        <v>6</v>
      </c>
      <c r="E3324" s="3" t="n">
        <v>18</v>
      </c>
      <c r="F3324" s="24" t="n">
        <v>0</v>
      </c>
    </row>
    <row r="3325" customFormat="false" ht="15" hidden="false" customHeight="false" outlineLevel="0" collapsed="false">
      <c r="A3325" s="3" t="n">
        <v>3324</v>
      </c>
      <c r="B3325" s="3" t="n">
        <v>3323</v>
      </c>
      <c r="C3325" s="3" t="n">
        <v>4</v>
      </c>
      <c r="D3325" s="3" t="n">
        <v>6</v>
      </c>
      <c r="E3325" s="3" t="n">
        <v>19</v>
      </c>
      <c r="F3325" s="24" t="n">
        <v>0</v>
      </c>
    </row>
    <row r="3326" customFormat="false" ht="15" hidden="false" customHeight="false" outlineLevel="0" collapsed="false">
      <c r="A3326" s="3" t="n">
        <v>3325</v>
      </c>
      <c r="B3326" s="3" t="n">
        <v>3324</v>
      </c>
      <c r="C3326" s="3" t="n">
        <v>4</v>
      </c>
      <c r="D3326" s="3" t="n">
        <v>6</v>
      </c>
      <c r="E3326" s="3" t="n">
        <v>20</v>
      </c>
      <c r="F3326" s="24" t="n">
        <v>0</v>
      </c>
    </row>
    <row r="3327" customFormat="false" ht="15" hidden="false" customHeight="false" outlineLevel="0" collapsed="false">
      <c r="A3327" s="3" t="n">
        <v>3326</v>
      </c>
      <c r="B3327" s="3" t="n">
        <v>3325</v>
      </c>
      <c r="C3327" s="3" t="n">
        <v>4</v>
      </c>
      <c r="D3327" s="3" t="n">
        <v>6</v>
      </c>
      <c r="E3327" s="3" t="n">
        <v>21</v>
      </c>
      <c r="F3327" s="24" t="n">
        <v>0</v>
      </c>
    </row>
    <row r="3328" customFormat="false" ht="15" hidden="false" customHeight="false" outlineLevel="0" collapsed="false">
      <c r="A3328" s="3" t="n">
        <v>3327</v>
      </c>
      <c r="B3328" s="3" t="n">
        <v>3326</v>
      </c>
      <c r="C3328" s="3" t="n">
        <v>4</v>
      </c>
      <c r="D3328" s="3" t="n">
        <v>6</v>
      </c>
      <c r="E3328" s="3" t="n">
        <v>22</v>
      </c>
      <c r="F3328" s="24" t="n">
        <v>0</v>
      </c>
    </row>
    <row r="3329" customFormat="false" ht="15" hidden="false" customHeight="false" outlineLevel="0" collapsed="false">
      <c r="A3329" s="3" t="n">
        <v>3328</v>
      </c>
      <c r="B3329" s="3" t="n">
        <v>3327</v>
      </c>
      <c r="C3329" s="3" t="n">
        <v>4</v>
      </c>
      <c r="D3329" s="3" t="n">
        <v>6</v>
      </c>
      <c r="E3329" s="3" t="n">
        <v>23</v>
      </c>
      <c r="F3329" s="24" t="n">
        <v>0</v>
      </c>
    </row>
    <row r="3330" customFormat="false" ht="15" hidden="false" customHeight="false" outlineLevel="0" collapsed="false">
      <c r="A3330" s="3" t="n">
        <v>3329</v>
      </c>
      <c r="B3330" s="3" t="n">
        <v>3328</v>
      </c>
      <c r="C3330" s="3" t="n">
        <v>4</v>
      </c>
      <c r="D3330" s="3" t="n">
        <v>6</v>
      </c>
      <c r="E3330" s="3" t="n">
        <v>24</v>
      </c>
      <c r="F3330" s="24" t="n">
        <v>0</v>
      </c>
    </row>
    <row r="3331" customFormat="false" ht="15" hidden="false" customHeight="false" outlineLevel="0" collapsed="false">
      <c r="A3331" s="3" t="n">
        <v>3330</v>
      </c>
      <c r="B3331" s="3" t="n">
        <v>3329</v>
      </c>
      <c r="C3331" s="3" t="n">
        <v>4</v>
      </c>
      <c r="D3331" s="3" t="n">
        <v>6</v>
      </c>
      <c r="E3331" s="3" t="n">
        <v>25</v>
      </c>
      <c r="F3331" s="24" t="n">
        <v>0</v>
      </c>
    </row>
    <row r="3332" customFormat="false" ht="15" hidden="false" customHeight="false" outlineLevel="0" collapsed="false">
      <c r="A3332" s="3" t="n">
        <v>3331</v>
      </c>
      <c r="B3332" s="3" t="n">
        <v>3330</v>
      </c>
      <c r="C3332" s="3" t="n">
        <v>4</v>
      </c>
      <c r="D3332" s="3" t="n">
        <v>6</v>
      </c>
      <c r="E3332" s="3" t="n">
        <v>26</v>
      </c>
      <c r="F3332" s="24" t="n">
        <v>0</v>
      </c>
    </row>
    <row r="3333" customFormat="false" ht="15" hidden="false" customHeight="false" outlineLevel="0" collapsed="false">
      <c r="A3333" s="3" t="n">
        <v>3332</v>
      </c>
      <c r="B3333" s="3" t="n">
        <v>3331</v>
      </c>
      <c r="C3333" s="3" t="n">
        <v>4</v>
      </c>
      <c r="D3333" s="3" t="n">
        <v>6</v>
      </c>
      <c r="E3333" s="3" t="n">
        <v>27</v>
      </c>
      <c r="F3333" s="24" t="n">
        <v>0</v>
      </c>
    </row>
    <row r="3334" customFormat="false" ht="15" hidden="false" customHeight="false" outlineLevel="0" collapsed="false">
      <c r="A3334" s="3" t="n">
        <v>3333</v>
      </c>
      <c r="B3334" s="3" t="n">
        <v>3332</v>
      </c>
      <c r="C3334" s="3" t="n">
        <v>4</v>
      </c>
      <c r="D3334" s="3" t="n">
        <v>7</v>
      </c>
      <c r="E3334" s="3" t="n">
        <v>0</v>
      </c>
      <c r="F3334" s="24" t="n">
        <v>0</v>
      </c>
    </row>
    <row r="3335" customFormat="false" ht="15" hidden="false" customHeight="false" outlineLevel="0" collapsed="false">
      <c r="A3335" s="3" t="n">
        <v>3334</v>
      </c>
      <c r="B3335" s="3" t="n">
        <v>3333</v>
      </c>
      <c r="C3335" s="3" t="n">
        <v>4</v>
      </c>
      <c r="D3335" s="3" t="n">
        <v>7</v>
      </c>
      <c r="E3335" s="3" t="n">
        <v>1</v>
      </c>
      <c r="F3335" s="24" t="n">
        <v>0</v>
      </c>
    </row>
    <row r="3336" customFormat="false" ht="15" hidden="false" customHeight="false" outlineLevel="0" collapsed="false">
      <c r="A3336" s="3" t="n">
        <v>3335</v>
      </c>
      <c r="B3336" s="3" t="n">
        <v>3334</v>
      </c>
      <c r="C3336" s="3" t="n">
        <v>4</v>
      </c>
      <c r="D3336" s="3" t="n">
        <v>7</v>
      </c>
      <c r="E3336" s="3" t="n">
        <v>2</v>
      </c>
      <c r="F3336" s="24" t="n">
        <v>0</v>
      </c>
    </row>
    <row r="3337" customFormat="false" ht="15" hidden="false" customHeight="false" outlineLevel="0" collapsed="false">
      <c r="A3337" s="3" t="n">
        <v>3336</v>
      </c>
      <c r="B3337" s="3" t="n">
        <v>3335</v>
      </c>
      <c r="C3337" s="3" t="n">
        <v>4</v>
      </c>
      <c r="D3337" s="3" t="n">
        <v>7</v>
      </c>
      <c r="E3337" s="3" t="n">
        <v>3</v>
      </c>
      <c r="F3337" s="24" t="n">
        <v>0</v>
      </c>
    </row>
    <row r="3338" customFormat="false" ht="15" hidden="false" customHeight="false" outlineLevel="0" collapsed="false">
      <c r="A3338" s="3" t="n">
        <v>3337</v>
      </c>
      <c r="B3338" s="3" t="n">
        <v>3336</v>
      </c>
      <c r="C3338" s="3" t="n">
        <v>4</v>
      </c>
      <c r="D3338" s="3" t="n">
        <v>7</v>
      </c>
      <c r="E3338" s="3" t="n">
        <v>4</v>
      </c>
      <c r="F3338" s="24" t="n">
        <v>0</v>
      </c>
    </row>
    <row r="3339" customFormat="false" ht="15" hidden="false" customHeight="false" outlineLevel="0" collapsed="false">
      <c r="A3339" s="3" t="n">
        <v>3338</v>
      </c>
      <c r="B3339" s="3" t="n">
        <v>3337</v>
      </c>
      <c r="C3339" s="3" t="n">
        <v>4</v>
      </c>
      <c r="D3339" s="3" t="n">
        <v>7</v>
      </c>
      <c r="E3339" s="3" t="n">
        <v>5</v>
      </c>
      <c r="F3339" s="24" t="n">
        <v>0.0426838323</v>
      </c>
    </row>
    <row r="3340" customFormat="false" ht="15" hidden="false" customHeight="false" outlineLevel="0" collapsed="false">
      <c r="A3340" s="3" t="n">
        <v>3339</v>
      </c>
      <c r="B3340" s="3" t="n">
        <v>3338</v>
      </c>
      <c r="C3340" s="3" t="n">
        <v>4</v>
      </c>
      <c r="D3340" s="3" t="n">
        <v>7</v>
      </c>
      <c r="E3340" s="3" t="n">
        <v>6</v>
      </c>
      <c r="F3340" s="24" t="n">
        <v>1.29124796</v>
      </c>
    </row>
    <row r="3341" customFormat="false" ht="15" hidden="false" customHeight="false" outlineLevel="0" collapsed="false">
      <c r="A3341" s="3" t="n">
        <v>3340</v>
      </c>
      <c r="B3341" s="3" t="n">
        <v>3339</v>
      </c>
      <c r="C3341" s="3" t="n">
        <v>4</v>
      </c>
      <c r="D3341" s="3" t="n">
        <v>7</v>
      </c>
      <c r="E3341" s="3" t="n">
        <v>7</v>
      </c>
      <c r="F3341" s="24" t="n">
        <v>2.19903421</v>
      </c>
    </row>
    <row r="3342" customFormat="false" ht="15" hidden="false" customHeight="false" outlineLevel="0" collapsed="false">
      <c r="A3342" s="3" t="n">
        <v>3341</v>
      </c>
      <c r="B3342" s="3" t="n">
        <v>3340</v>
      </c>
      <c r="C3342" s="3" t="n">
        <v>4</v>
      </c>
      <c r="D3342" s="3" t="n">
        <v>7</v>
      </c>
      <c r="E3342" s="3" t="n">
        <v>8</v>
      </c>
      <c r="F3342" s="24" t="n">
        <v>1.93463778</v>
      </c>
    </row>
    <row r="3343" customFormat="false" ht="15" hidden="false" customHeight="false" outlineLevel="0" collapsed="false">
      <c r="A3343" s="3" t="n">
        <v>3342</v>
      </c>
      <c r="B3343" s="3" t="n">
        <v>3341</v>
      </c>
      <c r="C3343" s="3" t="n">
        <v>4</v>
      </c>
      <c r="D3343" s="3" t="n">
        <v>7</v>
      </c>
      <c r="E3343" s="3" t="n">
        <v>9</v>
      </c>
      <c r="F3343" s="24" t="n">
        <v>2.14963746</v>
      </c>
    </row>
    <row r="3344" customFormat="false" ht="15" hidden="false" customHeight="false" outlineLevel="0" collapsed="false">
      <c r="A3344" s="3" t="n">
        <v>3343</v>
      </c>
      <c r="B3344" s="3" t="n">
        <v>3342</v>
      </c>
      <c r="C3344" s="3" t="n">
        <v>4</v>
      </c>
      <c r="D3344" s="3" t="n">
        <v>7</v>
      </c>
      <c r="E3344" s="3" t="n">
        <v>10</v>
      </c>
      <c r="F3344" s="24" t="n">
        <v>2.09853053</v>
      </c>
    </row>
    <row r="3345" customFormat="false" ht="15" hidden="false" customHeight="false" outlineLevel="0" collapsed="false">
      <c r="A3345" s="3" t="n">
        <v>3344</v>
      </c>
      <c r="B3345" s="3" t="n">
        <v>3343</v>
      </c>
      <c r="C3345" s="3" t="n">
        <v>4</v>
      </c>
      <c r="D3345" s="3" t="n">
        <v>7</v>
      </c>
      <c r="E3345" s="3" t="n">
        <v>11</v>
      </c>
      <c r="F3345" s="24" t="n">
        <v>2.26298833</v>
      </c>
    </row>
    <row r="3346" customFormat="false" ht="15" hidden="false" customHeight="false" outlineLevel="0" collapsed="false">
      <c r="A3346" s="3" t="n">
        <v>3345</v>
      </c>
      <c r="B3346" s="3" t="n">
        <v>3344</v>
      </c>
      <c r="C3346" s="3" t="n">
        <v>4</v>
      </c>
      <c r="D3346" s="3" t="n">
        <v>7</v>
      </c>
      <c r="E3346" s="3" t="n">
        <v>12</v>
      </c>
      <c r="F3346" s="24" t="n">
        <v>2.03903198</v>
      </c>
    </row>
    <row r="3347" customFormat="false" ht="15" hidden="false" customHeight="false" outlineLevel="0" collapsed="false">
      <c r="A3347" s="3" t="n">
        <v>3346</v>
      </c>
      <c r="B3347" s="3" t="n">
        <v>3345</v>
      </c>
      <c r="C3347" s="3" t="n">
        <v>4</v>
      </c>
      <c r="D3347" s="3" t="n">
        <v>7</v>
      </c>
      <c r="E3347" s="3" t="n">
        <v>13</v>
      </c>
      <c r="F3347" s="24" t="n">
        <v>1.99504972</v>
      </c>
    </row>
    <row r="3348" customFormat="false" ht="15" hidden="false" customHeight="false" outlineLevel="0" collapsed="false">
      <c r="A3348" s="3" t="n">
        <v>3347</v>
      </c>
      <c r="B3348" s="3" t="n">
        <v>3346</v>
      </c>
      <c r="C3348" s="3" t="n">
        <v>4</v>
      </c>
      <c r="D3348" s="3" t="n">
        <v>7</v>
      </c>
      <c r="E3348" s="3" t="n">
        <v>14</v>
      </c>
      <c r="F3348" s="24" t="n">
        <v>1.99504972</v>
      </c>
    </row>
    <row r="3349" customFormat="false" ht="15" hidden="false" customHeight="false" outlineLevel="0" collapsed="false">
      <c r="A3349" s="3" t="n">
        <v>3348</v>
      </c>
      <c r="B3349" s="3" t="n">
        <v>3347</v>
      </c>
      <c r="C3349" s="3" t="n">
        <v>4</v>
      </c>
      <c r="D3349" s="3" t="n">
        <v>7</v>
      </c>
      <c r="E3349" s="3" t="n">
        <v>15</v>
      </c>
      <c r="F3349" s="24" t="n">
        <v>1.99504972</v>
      </c>
    </row>
    <row r="3350" customFormat="false" ht="15" hidden="false" customHeight="false" outlineLevel="0" collapsed="false">
      <c r="A3350" s="3" t="n">
        <v>3349</v>
      </c>
      <c r="B3350" s="3" t="n">
        <v>3348</v>
      </c>
      <c r="C3350" s="3" t="n">
        <v>4</v>
      </c>
      <c r="D3350" s="3" t="n">
        <v>7</v>
      </c>
      <c r="E3350" s="3" t="n">
        <v>16</v>
      </c>
      <c r="F3350" s="24" t="n">
        <v>1.99504972</v>
      </c>
    </row>
    <row r="3351" customFormat="false" ht="15" hidden="false" customHeight="false" outlineLevel="0" collapsed="false">
      <c r="A3351" s="3" t="n">
        <v>3350</v>
      </c>
      <c r="B3351" s="3" t="n">
        <v>3349</v>
      </c>
      <c r="C3351" s="3" t="n">
        <v>4</v>
      </c>
      <c r="D3351" s="3" t="n">
        <v>7</v>
      </c>
      <c r="E3351" s="3" t="n">
        <v>17</v>
      </c>
      <c r="F3351" s="24" t="n">
        <v>1.99504972</v>
      </c>
    </row>
    <row r="3352" customFormat="false" ht="15" hidden="false" customHeight="false" outlineLevel="0" collapsed="false">
      <c r="A3352" s="3" t="n">
        <v>3351</v>
      </c>
      <c r="B3352" s="3" t="n">
        <v>3350</v>
      </c>
      <c r="C3352" s="3" t="n">
        <v>4</v>
      </c>
      <c r="D3352" s="3" t="n">
        <v>7</v>
      </c>
      <c r="E3352" s="3" t="n">
        <v>18</v>
      </c>
      <c r="F3352" s="24" t="n">
        <v>1.99504972</v>
      </c>
    </row>
    <row r="3353" customFormat="false" ht="15" hidden="false" customHeight="false" outlineLevel="0" collapsed="false">
      <c r="A3353" s="3" t="n">
        <v>3352</v>
      </c>
      <c r="B3353" s="3" t="n">
        <v>3351</v>
      </c>
      <c r="C3353" s="3" t="n">
        <v>4</v>
      </c>
      <c r="D3353" s="3" t="n">
        <v>7</v>
      </c>
      <c r="E3353" s="3" t="n">
        <v>19</v>
      </c>
      <c r="F3353" s="24" t="n">
        <v>1.89930153</v>
      </c>
    </row>
    <row r="3354" customFormat="false" ht="15" hidden="false" customHeight="false" outlineLevel="0" collapsed="false">
      <c r="A3354" s="3" t="n">
        <v>3353</v>
      </c>
      <c r="B3354" s="3" t="n">
        <v>3352</v>
      </c>
      <c r="C3354" s="3" t="n">
        <v>4</v>
      </c>
      <c r="D3354" s="3" t="n">
        <v>7</v>
      </c>
      <c r="E3354" s="3" t="n">
        <v>20</v>
      </c>
      <c r="F3354" s="24" t="n">
        <v>1.34336317</v>
      </c>
    </row>
    <row r="3355" customFormat="false" ht="15" hidden="false" customHeight="false" outlineLevel="0" collapsed="false">
      <c r="A3355" s="3" t="n">
        <v>3354</v>
      </c>
      <c r="B3355" s="3" t="n">
        <v>3353</v>
      </c>
      <c r="C3355" s="3" t="n">
        <v>4</v>
      </c>
      <c r="D3355" s="3" t="n">
        <v>7</v>
      </c>
      <c r="E3355" s="3" t="n">
        <v>21</v>
      </c>
      <c r="F3355" s="24" t="n">
        <v>0.403596699</v>
      </c>
    </row>
    <row r="3356" customFormat="false" ht="15" hidden="false" customHeight="false" outlineLevel="0" collapsed="false">
      <c r="A3356" s="3" t="n">
        <v>3355</v>
      </c>
      <c r="B3356" s="3" t="n">
        <v>3354</v>
      </c>
      <c r="C3356" s="3" t="n">
        <v>4</v>
      </c>
      <c r="D3356" s="3" t="n">
        <v>7</v>
      </c>
      <c r="E3356" s="3" t="n">
        <v>22</v>
      </c>
      <c r="F3356" s="24" t="n">
        <v>0</v>
      </c>
    </row>
    <row r="3357" customFormat="false" ht="15" hidden="false" customHeight="false" outlineLevel="0" collapsed="false">
      <c r="A3357" s="3" t="n">
        <v>3356</v>
      </c>
      <c r="B3357" s="3" t="n">
        <v>3355</v>
      </c>
      <c r="C3357" s="3" t="n">
        <v>4</v>
      </c>
      <c r="D3357" s="3" t="n">
        <v>7</v>
      </c>
      <c r="E3357" s="3" t="n">
        <v>23</v>
      </c>
      <c r="F3357" s="24" t="n">
        <v>0</v>
      </c>
    </row>
    <row r="3358" customFormat="false" ht="15" hidden="false" customHeight="false" outlineLevel="0" collapsed="false">
      <c r="A3358" s="3" t="n">
        <v>3357</v>
      </c>
      <c r="B3358" s="3" t="n">
        <v>3356</v>
      </c>
      <c r="C3358" s="3" t="n">
        <v>4</v>
      </c>
      <c r="D3358" s="3" t="n">
        <v>7</v>
      </c>
      <c r="E3358" s="3" t="n">
        <v>24</v>
      </c>
      <c r="F3358" s="24" t="n">
        <v>0</v>
      </c>
    </row>
    <row r="3359" customFormat="false" ht="15" hidden="false" customHeight="false" outlineLevel="0" collapsed="false">
      <c r="A3359" s="3" t="n">
        <v>3358</v>
      </c>
      <c r="B3359" s="3" t="n">
        <v>3357</v>
      </c>
      <c r="C3359" s="3" t="n">
        <v>4</v>
      </c>
      <c r="D3359" s="3" t="n">
        <v>7</v>
      </c>
      <c r="E3359" s="3" t="n">
        <v>25</v>
      </c>
      <c r="F3359" s="24" t="n">
        <v>0</v>
      </c>
    </row>
    <row r="3360" customFormat="false" ht="15" hidden="false" customHeight="false" outlineLevel="0" collapsed="false">
      <c r="A3360" s="3" t="n">
        <v>3359</v>
      </c>
      <c r="B3360" s="3" t="n">
        <v>3358</v>
      </c>
      <c r="C3360" s="3" t="n">
        <v>4</v>
      </c>
      <c r="D3360" s="3" t="n">
        <v>7</v>
      </c>
      <c r="E3360" s="3" t="n">
        <v>26</v>
      </c>
      <c r="F3360" s="24" t="n">
        <v>0</v>
      </c>
    </row>
    <row r="3361" customFormat="false" ht="15" hidden="false" customHeight="false" outlineLevel="0" collapsed="false">
      <c r="A3361" s="3" t="n">
        <v>3360</v>
      </c>
      <c r="B3361" s="3" t="n">
        <v>3359</v>
      </c>
      <c r="C3361" s="3" t="n">
        <v>4</v>
      </c>
      <c r="D3361" s="3" t="n">
        <v>7</v>
      </c>
      <c r="E3361" s="3" t="n">
        <v>27</v>
      </c>
      <c r="F3361" s="24" t="n">
        <v>0</v>
      </c>
    </row>
    <row r="3362" customFormat="false" ht="15" hidden="false" customHeight="false" outlineLevel="0" collapsed="false">
      <c r="A3362" s="3" t="n">
        <v>3361</v>
      </c>
      <c r="B3362" s="3" t="n">
        <v>3360</v>
      </c>
      <c r="C3362" s="3" t="n">
        <v>4</v>
      </c>
      <c r="D3362" s="3" t="n">
        <v>8</v>
      </c>
      <c r="E3362" s="3" t="n">
        <v>0</v>
      </c>
      <c r="F3362" s="24" t="n">
        <v>0</v>
      </c>
    </row>
    <row r="3363" customFormat="false" ht="15" hidden="false" customHeight="false" outlineLevel="0" collapsed="false">
      <c r="A3363" s="3" t="n">
        <v>3362</v>
      </c>
      <c r="B3363" s="3" t="n">
        <v>3361</v>
      </c>
      <c r="C3363" s="3" t="n">
        <v>4</v>
      </c>
      <c r="D3363" s="3" t="n">
        <v>8</v>
      </c>
      <c r="E3363" s="3" t="n">
        <v>1</v>
      </c>
      <c r="F3363" s="24" t="n">
        <v>0</v>
      </c>
    </row>
    <row r="3364" customFormat="false" ht="15" hidden="false" customHeight="false" outlineLevel="0" collapsed="false">
      <c r="A3364" s="3" t="n">
        <v>3363</v>
      </c>
      <c r="B3364" s="3" t="n">
        <v>3362</v>
      </c>
      <c r="C3364" s="3" t="n">
        <v>4</v>
      </c>
      <c r="D3364" s="3" t="n">
        <v>8</v>
      </c>
      <c r="E3364" s="3" t="n">
        <v>2</v>
      </c>
      <c r="F3364" s="24" t="n">
        <v>0</v>
      </c>
    </row>
    <row r="3365" customFormat="false" ht="15" hidden="false" customHeight="false" outlineLevel="0" collapsed="false">
      <c r="A3365" s="3" t="n">
        <v>3364</v>
      </c>
      <c r="B3365" s="3" t="n">
        <v>3363</v>
      </c>
      <c r="C3365" s="3" t="n">
        <v>4</v>
      </c>
      <c r="D3365" s="3" t="n">
        <v>8</v>
      </c>
      <c r="E3365" s="3" t="n">
        <v>3</v>
      </c>
      <c r="F3365" s="24" t="n">
        <v>0</v>
      </c>
    </row>
    <row r="3366" customFormat="false" ht="15" hidden="false" customHeight="false" outlineLevel="0" collapsed="false">
      <c r="A3366" s="3" t="n">
        <v>3365</v>
      </c>
      <c r="B3366" s="3" t="n">
        <v>3364</v>
      </c>
      <c r="C3366" s="3" t="n">
        <v>4</v>
      </c>
      <c r="D3366" s="3" t="n">
        <v>8</v>
      </c>
      <c r="E3366" s="3" t="n">
        <v>4</v>
      </c>
      <c r="F3366" s="24" t="n">
        <v>0</v>
      </c>
    </row>
    <row r="3367" customFormat="false" ht="15" hidden="false" customHeight="false" outlineLevel="0" collapsed="false">
      <c r="A3367" s="3" t="n">
        <v>3366</v>
      </c>
      <c r="B3367" s="3" t="n">
        <v>3365</v>
      </c>
      <c r="C3367" s="3" t="n">
        <v>4</v>
      </c>
      <c r="D3367" s="3" t="n">
        <v>8</v>
      </c>
      <c r="E3367" s="3" t="n">
        <v>5</v>
      </c>
      <c r="F3367" s="24" t="n">
        <v>0</v>
      </c>
    </row>
    <row r="3368" customFormat="false" ht="15" hidden="false" customHeight="false" outlineLevel="0" collapsed="false">
      <c r="A3368" s="3" t="n">
        <v>3367</v>
      </c>
      <c r="B3368" s="3" t="n">
        <v>3366</v>
      </c>
      <c r="C3368" s="3" t="n">
        <v>4</v>
      </c>
      <c r="D3368" s="3" t="n">
        <v>8</v>
      </c>
      <c r="E3368" s="3" t="n">
        <v>6</v>
      </c>
      <c r="F3368" s="24" t="n">
        <v>0.688444078</v>
      </c>
    </row>
    <row r="3369" customFormat="false" ht="15" hidden="false" customHeight="false" outlineLevel="0" collapsed="false">
      <c r="A3369" s="3" t="n">
        <v>3368</v>
      </c>
      <c r="B3369" s="3" t="n">
        <v>3367</v>
      </c>
      <c r="C3369" s="3" t="n">
        <v>4</v>
      </c>
      <c r="D3369" s="3" t="n">
        <v>8</v>
      </c>
      <c r="E3369" s="3" t="n">
        <v>7</v>
      </c>
      <c r="F3369" s="24" t="n">
        <v>0.798592627</v>
      </c>
    </row>
    <row r="3370" customFormat="false" ht="15" hidden="false" customHeight="false" outlineLevel="0" collapsed="false">
      <c r="A3370" s="3" t="n">
        <v>3369</v>
      </c>
      <c r="B3370" s="3" t="n">
        <v>3368</v>
      </c>
      <c r="C3370" s="3" t="n">
        <v>4</v>
      </c>
      <c r="D3370" s="3" t="n">
        <v>8</v>
      </c>
      <c r="E3370" s="3" t="n">
        <v>8</v>
      </c>
      <c r="F3370" s="24" t="n">
        <v>0.901860535</v>
      </c>
    </row>
    <row r="3371" customFormat="false" ht="15" hidden="false" customHeight="false" outlineLevel="0" collapsed="false">
      <c r="A3371" s="3" t="n">
        <v>3370</v>
      </c>
      <c r="B3371" s="3" t="n">
        <v>3369</v>
      </c>
      <c r="C3371" s="3" t="n">
        <v>4</v>
      </c>
      <c r="D3371" s="3" t="n">
        <v>8</v>
      </c>
      <c r="E3371" s="3" t="n">
        <v>9</v>
      </c>
      <c r="F3371" s="24" t="n">
        <v>0.846021414</v>
      </c>
    </row>
    <row r="3372" customFormat="false" ht="15" hidden="false" customHeight="false" outlineLevel="0" collapsed="false">
      <c r="A3372" s="3" t="n">
        <v>3371</v>
      </c>
      <c r="B3372" s="3" t="n">
        <v>3370</v>
      </c>
      <c r="C3372" s="3" t="n">
        <v>4</v>
      </c>
      <c r="D3372" s="3" t="n">
        <v>8</v>
      </c>
      <c r="E3372" s="3" t="n">
        <v>10</v>
      </c>
      <c r="F3372" s="24" t="n">
        <v>1.09547639</v>
      </c>
    </row>
    <row r="3373" customFormat="false" ht="15" hidden="false" customHeight="false" outlineLevel="0" collapsed="false">
      <c r="A3373" s="3" t="n">
        <v>3372</v>
      </c>
      <c r="B3373" s="3" t="n">
        <v>3371</v>
      </c>
      <c r="C3373" s="3" t="n">
        <v>4</v>
      </c>
      <c r="D3373" s="3" t="n">
        <v>8</v>
      </c>
      <c r="E3373" s="3" t="n">
        <v>11</v>
      </c>
      <c r="F3373" s="24" t="n">
        <v>1.41487598</v>
      </c>
    </row>
    <row r="3374" customFormat="false" ht="15" hidden="false" customHeight="false" outlineLevel="0" collapsed="false">
      <c r="A3374" s="3" t="n">
        <v>3373</v>
      </c>
      <c r="B3374" s="3" t="n">
        <v>3372</v>
      </c>
      <c r="C3374" s="3" t="n">
        <v>4</v>
      </c>
      <c r="D3374" s="3" t="n">
        <v>8</v>
      </c>
      <c r="E3374" s="3" t="n">
        <v>12</v>
      </c>
      <c r="F3374" s="24" t="n">
        <v>1.55338621</v>
      </c>
    </row>
    <row r="3375" customFormat="false" ht="15" hidden="false" customHeight="false" outlineLevel="0" collapsed="false">
      <c r="A3375" s="3" t="n">
        <v>3374</v>
      </c>
      <c r="B3375" s="3" t="n">
        <v>3373</v>
      </c>
      <c r="C3375" s="3" t="n">
        <v>4</v>
      </c>
      <c r="D3375" s="3" t="n">
        <v>8</v>
      </c>
      <c r="E3375" s="3" t="n">
        <v>13</v>
      </c>
      <c r="F3375" s="24" t="n">
        <v>1.69397604</v>
      </c>
    </row>
    <row r="3376" customFormat="false" ht="15" hidden="false" customHeight="false" outlineLevel="0" collapsed="false">
      <c r="A3376" s="3" t="n">
        <v>3375</v>
      </c>
      <c r="B3376" s="3" t="n">
        <v>3374</v>
      </c>
      <c r="C3376" s="3" t="n">
        <v>4</v>
      </c>
      <c r="D3376" s="3" t="n">
        <v>8</v>
      </c>
      <c r="E3376" s="3" t="n">
        <v>14</v>
      </c>
      <c r="F3376" s="24" t="n">
        <v>1.72800267</v>
      </c>
    </row>
    <row r="3377" customFormat="false" ht="15" hidden="false" customHeight="false" outlineLevel="0" collapsed="false">
      <c r="A3377" s="3" t="n">
        <v>3376</v>
      </c>
      <c r="B3377" s="3" t="n">
        <v>3375</v>
      </c>
      <c r="C3377" s="3" t="n">
        <v>4</v>
      </c>
      <c r="D3377" s="3" t="n">
        <v>8</v>
      </c>
      <c r="E3377" s="3" t="n">
        <v>15</v>
      </c>
      <c r="F3377" s="24" t="n">
        <v>1.85184753</v>
      </c>
    </row>
    <row r="3378" customFormat="false" ht="15" hidden="false" customHeight="false" outlineLevel="0" collapsed="false">
      <c r="A3378" s="3" t="n">
        <v>3377</v>
      </c>
      <c r="B3378" s="3" t="n">
        <v>3376</v>
      </c>
      <c r="C3378" s="3" t="n">
        <v>4</v>
      </c>
      <c r="D3378" s="3" t="n">
        <v>8</v>
      </c>
      <c r="E3378" s="3" t="n">
        <v>16</v>
      </c>
      <c r="F3378" s="24" t="n">
        <v>1.83816922</v>
      </c>
    </row>
    <row r="3379" customFormat="false" ht="15" hidden="false" customHeight="false" outlineLevel="0" collapsed="false">
      <c r="A3379" s="3" t="n">
        <v>3378</v>
      </c>
      <c r="B3379" s="3" t="n">
        <v>3377</v>
      </c>
      <c r="C3379" s="3" t="n">
        <v>4</v>
      </c>
      <c r="D3379" s="3" t="n">
        <v>8</v>
      </c>
      <c r="E3379" s="3" t="n">
        <v>17</v>
      </c>
      <c r="F3379" s="24" t="n">
        <v>1.74458253</v>
      </c>
    </row>
    <row r="3380" customFormat="false" ht="15" hidden="false" customHeight="false" outlineLevel="0" collapsed="false">
      <c r="A3380" s="3" t="n">
        <v>3379</v>
      </c>
      <c r="B3380" s="3" t="n">
        <v>3378</v>
      </c>
      <c r="C3380" s="3" t="n">
        <v>4</v>
      </c>
      <c r="D3380" s="3" t="n">
        <v>8</v>
      </c>
      <c r="E3380" s="3" t="n">
        <v>18</v>
      </c>
      <c r="F3380" s="24" t="n">
        <v>1.69866931</v>
      </c>
    </row>
    <row r="3381" customFormat="false" ht="15" hidden="false" customHeight="false" outlineLevel="0" collapsed="false">
      <c r="A3381" s="3" t="n">
        <v>3380</v>
      </c>
      <c r="B3381" s="3" t="n">
        <v>3379</v>
      </c>
      <c r="C3381" s="3" t="n">
        <v>4</v>
      </c>
      <c r="D3381" s="3" t="n">
        <v>8</v>
      </c>
      <c r="E3381" s="3" t="n">
        <v>19</v>
      </c>
      <c r="F3381" s="24" t="n">
        <v>1.78208232</v>
      </c>
    </row>
    <row r="3382" customFormat="false" ht="15" hidden="false" customHeight="false" outlineLevel="0" collapsed="false">
      <c r="A3382" s="3" t="n">
        <v>3381</v>
      </c>
      <c r="B3382" s="3" t="n">
        <v>3380</v>
      </c>
      <c r="C3382" s="3" t="n">
        <v>4</v>
      </c>
      <c r="D3382" s="3" t="n">
        <v>8</v>
      </c>
      <c r="E3382" s="3" t="n">
        <v>20</v>
      </c>
      <c r="F3382" s="24" t="n">
        <v>1.6335783</v>
      </c>
    </row>
    <row r="3383" customFormat="false" ht="15" hidden="false" customHeight="false" outlineLevel="0" collapsed="false">
      <c r="A3383" s="3" t="n">
        <v>3382</v>
      </c>
      <c r="B3383" s="3" t="n">
        <v>3381</v>
      </c>
      <c r="C3383" s="3" t="n">
        <v>4</v>
      </c>
      <c r="D3383" s="3" t="n">
        <v>8</v>
      </c>
      <c r="E3383" s="3" t="n">
        <v>21</v>
      </c>
      <c r="F3383" s="24" t="n">
        <v>0.62157625</v>
      </c>
    </row>
    <row r="3384" customFormat="false" ht="15" hidden="false" customHeight="false" outlineLevel="0" collapsed="false">
      <c r="A3384" s="3" t="n">
        <v>3383</v>
      </c>
      <c r="B3384" s="3" t="n">
        <v>3382</v>
      </c>
      <c r="C3384" s="3" t="n">
        <v>4</v>
      </c>
      <c r="D3384" s="3" t="n">
        <v>8</v>
      </c>
      <c r="E3384" s="3" t="n">
        <v>22</v>
      </c>
      <c r="F3384" s="24" t="n">
        <v>0</v>
      </c>
    </row>
    <row r="3385" customFormat="false" ht="15" hidden="false" customHeight="false" outlineLevel="0" collapsed="false">
      <c r="A3385" s="3" t="n">
        <v>3384</v>
      </c>
      <c r="B3385" s="3" t="n">
        <v>3383</v>
      </c>
      <c r="C3385" s="3" t="n">
        <v>4</v>
      </c>
      <c r="D3385" s="3" t="n">
        <v>8</v>
      </c>
      <c r="E3385" s="3" t="n">
        <v>23</v>
      </c>
      <c r="F3385" s="24" t="n">
        <v>0</v>
      </c>
    </row>
    <row r="3386" customFormat="false" ht="15" hidden="false" customHeight="false" outlineLevel="0" collapsed="false">
      <c r="A3386" s="3" t="n">
        <v>3385</v>
      </c>
      <c r="B3386" s="3" t="n">
        <v>3384</v>
      </c>
      <c r="C3386" s="3" t="n">
        <v>4</v>
      </c>
      <c r="D3386" s="3" t="n">
        <v>8</v>
      </c>
      <c r="E3386" s="3" t="n">
        <v>24</v>
      </c>
      <c r="F3386" s="24" t="n">
        <v>0</v>
      </c>
    </row>
    <row r="3387" customFormat="false" ht="15" hidden="false" customHeight="false" outlineLevel="0" collapsed="false">
      <c r="A3387" s="3" t="n">
        <v>3386</v>
      </c>
      <c r="B3387" s="3" t="n">
        <v>3385</v>
      </c>
      <c r="C3387" s="3" t="n">
        <v>4</v>
      </c>
      <c r="D3387" s="3" t="n">
        <v>8</v>
      </c>
      <c r="E3387" s="3" t="n">
        <v>25</v>
      </c>
      <c r="F3387" s="24" t="n">
        <v>0</v>
      </c>
    </row>
    <row r="3388" customFormat="false" ht="15" hidden="false" customHeight="false" outlineLevel="0" collapsed="false">
      <c r="A3388" s="3" t="n">
        <v>3387</v>
      </c>
      <c r="B3388" s="3" t="n">
        <v>3386</v>
      </c>
      <c r="C3388" s="3" t="n">
        <v>4</v>
      </c>
      <c r="D3388" s="3" t="n">
        <v>8</v>
      </c>
      <c r="E3388" s="3" t="n">
        <v>26</v>
      </c>
      <c r="F3388" s="24" t="n">
        <v>0</v>
      </c>
    </row>
    <row r="3389" customFormat="false" ht="15" hidden="false" customHeight="false" outlineLevel="0" collapsed="false">
      <c r="A3389" s="3" t="n">
        <v>3388</v>
      </c>
      <c r="B3389" s="3" t="n">
        <v>3387</v>
      </c>
      <c r="C3389" s="3" t="n">
        <v>4</v>
      </c>
      <c r="D3389" s="3" t="n">
        <v>8</v>
      </c>
      <c r="E3389" s="3" t="n">
        <v>27</v>
      </c>
      <c r="F3389" s="24" t="n">
        <v>0</v>
      </c>
    </row>
    <row r="3390" customFormat="false" ht="15" hidden="false" customHeight="false" outlineLevel="0" collapsed="false">
      <c r="A3390" s="3" t="n">
        <v>3389</v>
      </c>
      <c r="B3390" s="3" t="n">
        <v>3388</v>
      </c>
      <c r="C3390" s="3" t="n">
        <v>4</v>
      </c>
      <c r="D3390" s="3" t="n">
        <v>9</v>
      </c>
      <c r="E3390" s="3" t="n">
        <v>0</v>
      </c>
      <c r="F3390" s="24" t="n">
        <v>0</v>
      </c>
    </row>
    <row r="3391" customFormat="false" ht="15" hidden="false" customHeight="false" outlineLevel="0" collapsed="false">
      <c r="A3391" s="3" t="n">
        <v>3390</v>
      </c>
      <c r="B3391" s="3" t="n">
        <v>3389</v>
      </c>
      <c r="C3391" s="3" t="n">
        <v>4</v>
      </c>
      <c r="D3391" s="3" t="n">
        <v>9</v>
      </c>
      <c r="E3391" s="3" t="n">
        <v>1</v>
      </c>
      <c r="F3391" s="24" t="n">
        <v>0</v>
      </c>
    </row>
    <row r="3392" customFormat="false" ht="15" hidden="false" customHeight="false" outlineLevel="0" collapsed="false">
      <c r="A3392" s="3" t="n">
        <v>3391</v>
      </c>
      <c r="B3392" s="3" t="n">
        <v>3390</v>
      </c>
      <c r="C3392" s="3" t="n">
        <v>4</v>
      </c>
      <c r="D3392" s="3" t="n">
        <v>9</v>
      </c>
      <c r="E3392" s="3" t="n">
        <v>2</v>
      </c>
      <c r="F3392" s="24" t="n">
        <v>0</v>
      </c>
    </row>
    <row r="3393" customFormat="false" ht="15" hidden="false" customHeight="false" outlineLevel="0" collapsed="false">
      <c r="A3393" s="3" t="n">
        <v>3392</v>
      </c>
      <c r="B3393" s="3" t="n">
        <v>3391</v>
      </c>
      <c r="C3393" s="3" t="n">
        <v>4</v>
      </c>
      <c r="D3393" s="3" t="n">
        <v>9</v>
      </c>
      <c r="E3393" s="3" t="n">
        <v>3</v>
      </c>
      <c r="F3393" s="24" t="n">
        <v>0</v>
      </c>
    </row>
    <row r="3394" customFormat="false" ht="15" hidden="false" customHeight="false" outlineLevel="0" collapsed="false">
      <c r="A3394" s="3" t="n">
        <v>3393</v>
      </c>
      <c r="B3394" s="3" t="n">
        <v>3392</v>
      </c>
      <c r="C3394" s="3" t="n">
        <v>4</v>
      </c>
      <c r="D3394" s="3" t="n">
        <v>9</v>
      </c>
      <c r="E3394" s="3" t="n">
        <v>4</v>
      </c>
      <c r="F3394" s="24" t="n">
        <v>0</v>
      </c>
    </row>
    <row r="3395" customFormat="false" ht="15" hidden="false" customHeight="false" outlineLevel="0" collapsed="false">
      <c r="A3395" s="3" t="n">
        <v>3394</v>
      </c>
      <c r="B3395" s="3" t="n">
        <v>3393</v>
      </c>
      <c r="C3395" s="3" t="n">
        <v>4</v>
      </c>
      <c r="D3395" s="3" t="n">
        <v>9</v>
      </c>
      <c r="E3395" s="3" t="n">
        <v>5</v>
      </c>
      <c r="F3395" s="24" t="n">
        <v>0</v>
      </c>
    </row>
    <row r="3396" customFormat="false" ht="15" hidden="false" customHeight="false" outlineLevel="0" collapsed="false">
      <c r="A3396" s="3" t="n">
        <v>3395</v>
      </c>
      <c r="B3396" s="3" t="n">
        <v>3394</v>
      </c>
      <c r="C3396" s="3" t="n">
        <v>4</v>
      </c>
      <c r="D3396" s="3" t="n">
        <v>9</v>
      </c>
      <c r="E3396" s="3" t="n">
        <v>6</v>
      </c>
      <c r="F3396" s="24" t="n">
        <v>0.693629503</v>
      </c>
    </row>
    <row r="3397" customFormat="false" ht="15" hidden="false" customHeight="false" outlineLevel="0" collapsed="false">
      <c r="A3397" s="3" t="n">
        <v>3396</v>
      </c>
      <c r="B3397" s="3" t="n">
        <v>3395</v>
      </c>
      <c r="C3397" s="3" t="n">
        <v>4</v>
      </c>
      <c r="D3397" s="3" t="n">
        <v>9</v>
      </c>
      <c r="E3397" s="3" t="n">
        <v>7</v>
      </c>
      <c r="F3397" s="24" t="n">
        <v>1.16468453</v>
      </c>
    </row>
    <row r="3398" customFormat="false" ht="15" hidden="false" customHeight="false" outlineLevel="0" collapsed="false">
      <c r="A3398" s="3" t="n">
        <v>3397</v>
      </c>
      <c r="B3398" s="3" t="n">
        <v>3396</v>
      </c>
      <c r="C3398" s="3" t="n">
        <v>4</v>
      </c>
      <c r="D3398" s="3" t="n">
        <v>9</v>
      </c>
      <c r="E3398" s="3" t="n">
        <v>8</v>
      </c>
      <c r="F3398" s="24" t="n">
        <v>0.968450546</v>
      </c>
    </row>
    <row r="3399" customFormat="false" ht="15" hidden="false" customHeight="false" outlineLevel="0" collapsed="false">
      <c r="A3399" s="3" t="n">
        <v>3398</v>
      </c>
      <c r="B3399" s="3" t="n">
        <v>3397</v>
      </c>
      <c r="C3399" s="3" t="n">
        <v>4</v>
      </c>
      <c r="D3399" s="3" t="n">
        <v>9</v>
      </c>
      <c r="E3399" s="3" t="n">
        <v>9</v>
      </c>
      <c r="F3399" s="24" t="n">
        <v>1.09865952</v>
      </c>
    </row>
    <row r="3400" customFormat="false" ht="15" hidden="false" customHeight="false" outlineLevel="0" collapsed="false">
      <c r="A3400" s="3" t="n">
        <v>3399</v>
      </c>
      <c r="B3400" s="3" t="n">
        <v>3398</v>
      </c>
      <c r="C3400" s="3" t="n">
        <v>4</v>
      </c>
      <c r="D3400" s="3" t="n">
        <v>9</v>
      </c>
      <c r="E3400" s="3" t="n">
        <v>10</v>
      </c>
      <c r="F3400" s="24" t="n">
        <v>0.920864463</v>
      </c>
    </row>
    <row r="3401" customFormat="false" ht="15" hidden="false" customHeight="false" outlineLevel="0" collapsed="false">
      <c r="A3401" s="3" t="n">
        <v>3400</v>
      </c>
      <c r="B3401" s="3" t="n">
        <v>3399</v>
      </c>
      <c r="C3401" s="3" t="n">
        <v>4</v>
      </c>
      <c r="D3401" s="3" t="n">
        <v>9</v>
      </c>
      <c r="E3401" s="3" t="n">
        <v>11</v>
      </c>
      <c r="F3401" s="24" t="n">
        <v>0.866288483</v>
      </c>
    </row>
    <row r="3402" customFormat="false" ht="15" hidden="false" customHeight="false" outlineLevel="0" collapsed="false">
      <c r="A3402" s="3" t="n">
        <v>3401</v>
      </c>
      <c r="B3402" s="3" t="n">
        <v>3400</v>
      </c>
      <c r="C3402" s="3" t="n">
        <v>4</v>
      </c>
      <c r="D3402" s="3" t="n">
        <v>9</v>
      </c>
      <c r="E3402" s="3" t="n">
        <v>12</v>
      </c>
      <c r="F3402" s="24" t="n">
        <v>0.635306478</v>
      </c>
    </row>
    <row r="3403" customFormat="false" ht="15" hidden="false" customHeight="false" outlineLevel="0" collapsed="false">
      <c r="A3403" s="3" t="n">
        <v>3402</v>
      </c>
      <c r="B3403" s="3" t="n">
        <v>3401</v>
      </c>
      <c r="C3403" s="3" t="n">
        <v>4</v>
      </c>
      <c r="D3403" s="3" t="n">
        <v>9</v>
      </c>
      <c r="E3403" s="3" t="n">
        <v>13</v>
      </c>
      <c r="F3403" s="24" t="n">
        <v>0.478629708</v>
      </c>
    </row>
    <row r="3404" customFormat="false" ht="15" hidden="false" customHeight="false" outlineLevel="0" collapsed="false">
      <c r="A3404" s="3" t="n">
        <v>3403</v>
      </c>
      <c r="B3404" s="3" t="n">
        <v>3402</v>
      </c>
      <c r="C3404" s="3" t="n">
        <v>4</v>
      </c>
      <c r="D3404" s="3" t="n">
        <v>9</v>
      </c>
      <c r="E3404" s="3" t="n">
        <v>14</v>
      </c>
      <c r="F3404" s="24" t="n">
        <v>0.679698467</v>
      </c>
    </row>
    <row r="3405" customFormat="false" ht="15" hidden="false" customHeight="false" outlineLevel="0" collapsed="false">
      <c r="A3405" s="3" t="n">
        <v>3404</v>
      </c>
      <c r="B3405" s="3" t="n">
        <v>3403</v>
      </c>
      <c r="C3405" s="3" t="n">
        <v>4</v>
      </c>
      <c r="D3405" s="3" t="n">
        <v>9</v>
      </c>
      <c r="E3405" s="3" t="n">
        <v>15</v>
      </c>
      <c r="F3405" s="24" t="n">
        <v>0.793539882</v>
      </c>
    </row>
    <row r="3406" customFormat="false" ht="15" hidden="false" customHeight="false" outlineLevel="0" collapsed="false">
      <c r="A3406" s="3" t="n">
        <v>3405</v>
      </c>
      <c r="B3406" s="3" t="n">
        <v>3404</v>
      </c>
      <c r="C3406" s="3" t="n">
        <v>4</v>
      </c>
      <c r="D3406" s="3" t="n">
        <v>9</v>
      </c>
      <c r="E3406" s="3" t="n">
        <v>16</v>
      </c>
      <c r="F3406" s="24" t="n">
        <v>0.771468639</v>
      </c>
    </row>
    <row r="3407" customFormat="false" ht="15" hidden="false" customHeight="false" outlineLevel="0" collapsed="false">
      <c r="A3407" s="3" t="n">
        <v>3406</v>
      </c>
      <c r="B3407" s="3" t="n">
        <v>3405</v>
      </c>
      <c r="C3407" s="3" t="n">
        <v>4</v>
      </c>
      <c r="D3407" s="3" t="n">
        <v>9</v>
      </c>
      <c r="E3407" s="3" t="n">
        <v>17</v>
      </c>
      <c r="F3407" s="24" t="n">
        <v>0.622671545</v>
      </c>
    </row>
    <row r="3408" customFormat="false" ht="15" hidden="false" customHeight="false" outlineLevel="0" collapsed="false">
      <c r="A3408" s="3" t="n">
        <v>3407</v>
      </c>
      <c r="B3408" s="3" t="n">
        <v>3406</v>
      </c>
      <c r="C3408" s="3" t="n">
        <v>4</v>
      </c>
      <c r="D3408" s="3" t="n">
        <v>9</v>
      </c>
      <c r="E3408" s="3" t="n">
        <v>18</v>
      </c>
      <c r="F3408" s="24" t="n">
        <v>1.08331954</v>
      </c>
    </row>
    <row r="3409" customFormat="false" ht="15" hidden="false" customHeight="false" outlineLevel="0" collapsed="false">
      <c r="A3409" s="3" t="n">
        <v>3408</v>
      </c>
      <c r="B3409" s="3" t="n">
        <v>3407</v>
      </c>
      <c r="C3409" s="3" t="n">
        <v>4</v>
      </c>
      <c r="D3409" s="3" t="n">
        <v>9</v>
      </c>
      <c r="E3409" s="3" t="n">
        <v>19</v>
      </c>
      <c r="F3409" s="24" t="n">
        <v>2.19796681</v>
      </c>
    </row>
    <row r="3410" customFormat="false" ht="15" hidden="false" customHeight="false" outlineLevel="0" collapsed="false">
      <c r="A3410" s="3" t="n">
        <v>3409</v>
      </c>
      <c r="B3410" s="3" t="n">
        <v>3408</v>
      </c>
      <c r="C3410" s="3" t="n">
        <v>4</v>
      </c>
      <c r="D3410" s="3" t="n">
        <v>9</v>
      </c>
      <c r="E3410" s="3" t="n">
        <v>20</v>
      </c>
      <c r="F3410" s="24" t="n">
        <v>2.41462851</v>
      </c>
    </row>
    <row r="3411" customFormat="false" ht="15" hidden="false" customHeight="false" outlineLevel="0" collapsed="false">
      <c r="A3411" s="3" t="n">
        <v>3410</v>
      </c>
      <c r="B3411" s="3" t="n">
        <v>3409</v>
      </c>
      <c r="C3411" s="3" t="n">
        <v>4</v>
      </c>
      <c r="D3411" s="3" t="n">
        <v>9</v>
      </c>
      <c r="E3411" s="3" t="n">
        <v>21</v>
      </c>
      <c r="F3411" s="24" t="n">
        <v>0.778324962</v>
      </c>
    </row>
    <row r="3412" customFormat="false" ht="15" hidden="false" customHeight="false" outlineLevel="0" collapsed="false">
      <c r="A3412" s="3" t="n">
        <v>3411</v>
      </c>
      <c r="B3412" s="3" t="n">
        <v>3410</v>
      </c>
      <c r="C3412" s="3" t="n">
        <v>4</v>
      </c>
      <c r="D3412" s="3" t="n">
        <v>9</v>
      </c>
      <c r="E3412" s="3" t="n">
        <v>22</v>
      </c>
      <c r="F3412" s="24" t="n">
        <v>0</v>
      </c>
    </row>
    <row r="3413" customFormat="false" ht="15" hidden="false" customHeight="false" outlineLevel="0" collapsed="false">
      <c r="A3413" s="3" t="n">
        <v>3412</v>
      </c>
      <c r="B3413" s="3" t="n">
        <v>3411</v>
      </c>
      <c r="C3413" s="3" t="n">
        <v>4</v>
      </c>
      <c r="D3413" s="3" t="n">
        <v>9</v>
      </c>
      <c r="E3413" s="3" t="n">
        <v>23</v>
      </c>
      <c r="F3413" s="24" t="n">
        <v>0</v>
      </c>
    </row>
    <row r="3414" customFormat="false" ht="15" hidden="false" customHeight="false" outlineLevel="0" collapsed="false">
      <c r="A3414" s="3" t="n">
        <v>3413</v>
      </c>
      <c r="B3414" s="3" t="n">
        <v>3412</v>
      </c>
      <c r="C3414" s="3" t="n">
        <v>4</v>
      </c>
      <c r="D3414" s="3" t="n">
        <v>9</v>
      </c>
      <c r="E3414" s="3" t="n">
        <v>24</v>
      </c>
      <c r="F3414" s="24" t="n">
        <v>0</v>
      </c>
    </row>
    <row r="3415" customFormat="false" ht="15" hidden="false" customHeight="false" outlineLevel="0" collapsed="false">
      <c r="A3415" s="3" t="n">
        <v>3414</v>
      </c>
      <c r="B3415" s="3" t="n">
        <v>3413</v>
      </c>
      <c r="C3415" s="3" t="n">
        <v>4</v>
      </c>
      <c r="D3415" s="3" t="n">
        <v>9</v>
      </c>
      <c r="E3415" s="3" t="n">
        <v>25</v>
      </c>
      <c r="F3415" s="24" t="n">
        <v>0</v>
      </c>
    </row>
    <row r="3416" customFormat="false" ht="15" hidden="false" customHeight="false" outlineLevel="0" collapsed="false">
      <c r="A3416" s="3" t="n">
        <v>3415</v>
      </c>
      <c r="B3416" s="3" t="n">
        <v>3414</v>
      </c>
      <c r="C3416" s="3" t="n">
        <v>4</v>
      </c>
      <c r="D3416" s="3" t="n">
        <v>9</v>
      </c>
      <c r="E3416" s="3" t="n">
        <v>26</v>
      </c>
      <c r="F3416" s="24" t="n">
        <v>0</v>
      </c>
    </row>
    <row r="3417" customFormat="false" ht="15" hidden="false" customHeight="false" outlineLevel="0" collapsed="false">
      <c r="A3417" s="3" t="n">
        <v>3416</v>
      </c>
      <c r="B3417" s="3" t="n">
        <v>3415</v>
      </c>
      <c r="C3417" s="3" t="n">
        <v>4</v>
      </c>
      <c r="D3417" s="3" t="n">
        <v>9</v>
      </c>
      <c r="E3417" s="3" t="n">
        <v>27</v>
      </c>
      <c r="F3417" s="24" t="n">
        <v>0</v>
      </c>
    </row>
    <row r="3418" customFormat="false" ht="15" hidden="false" customHeight="false" outlineLevel="0" collapsed="false">
      <c r="A3418" s="3" t="n">
        <v>3417</v>
      </c>
      <c r="B3418" s="3" t="n">
        <v>3416</v>
      </c>
      <c r="C3418" s="3" t="n">
        <v>4</v>
      </c>
      <c r="D3418" s="3" t="n">
        <v>10</v>
      </c>
      <c r="E3418" s="3" t="n">
        <v>0</v>
      </c>
      <c r="F3418" s="24" t="n">
        <v>0</v>
      </c>
    </row>
    <row r="3419" customFormat="false" ht="15" hidden="false" customHeight="false" outlineLevel="0" collapsed="false">
      <c r="A3419" s="3" t="n">
        <v>3418</v>
      </c>
      <c r="B3419" s="3" t="n">
        <v>3417</v>
      </c>
      <c r="C3419" s="3" t="n">
        <v>4</v>
      </c>
      <c r="D3419" s="3" t="n">
        <v>10</v>
      </c>
      <c r="E3419" s="3" t="n">
        <v>1</v>
      </c>
      <c r="F3419" s="24" t="n">
        <v>0</v>
      </c>
    </row>
    <row r="3420" customFormat="false" ht="15" hidden="false" customHeight="false" outlineLevel="0" collapsed="false">
      <c r="A3420" s="3" t="n">
        <v>3419</v>
      </c>
      <c r="B3420" s="3" t="n">
        <v>3418</v>
      </c>
      <c r="C3420" s="3" t="n">
        <v>4</v>
      </c>
      <c r="D3420" s="3" t="n">
        <v>10</v>
      </c>
      <c r="E3420" s="3" t="n">
        <v>2</v>
      </c>
      <c r="F3420" s="24" t="n">
        <v>0</v>
      </c>
    </row>
    <row r="3421" customFormat="false" ht="15" hidden="false" customHeight="false" outlineLevel="0" collapsed="false">
      <c r="A3421" s="3" t="n">
        <v>3420</v>
      </c>
      <c r="B3421" s="3" t="n">
        <v>3419</v>
      </c>
      <c r="C3421" s="3" t="n">
        <v>4</v>
      </c>
      <c r="D3421" s="3" t="n">
        <v>10</v>
      </c>
      <c r="E3421" s="3" t="n">
        <v>3</v>
      </c>
      <c r="F3421" s="24" t="n">
        <v>0</v>
      </c>
    </row>
    <row r="3422" customFormat="false" ht="15" hidden="false" customHeight="false" outlineLevel="0" collapsed="false">
      <c r="A3422" s="3" t="n">
        <v>3421</v>
      </c>
      <c r="B3422" s="3" t="n">
        <v>3420</v>
      </c>
      <c r="C3422" s="3" t="n">
        <v>4</v>
      </c>
      <c r="D3422" s="3" t="n">
        <v>10</v>
      </c>
      <c r="E3422" s="3" t="n">
        <v>4</v>
      </c>
      <c r="F3422" s="24" t="n">
        <v>0</v>
      </c>
    </row>
    <row r="3423" customFormat="false" ht="15" hidden="false" customHeight="false" outlineLevel="0" collapsed="false">
      <c r="A3423" s="3" t="n">
        <v>3422</v>
      </c>
      <c r="B3423" s="3" t="n">
        <v>3421</v>
      </c>
      <c r="C3423" s="3" t="n">
        <v>4</v>
      </c>
      <c r="D3423" s="3" t="n">
        <v>10</v>
      </c>
      <c r="E3423" s="3" t="n">
        <v>5</v>
      </c>
      <c r="F3423" s="24" t="n">
        <v>0</v>
      </c>
    </row>
    <row r="3424" customFormat="false" ht="15" hidden="false" customHeight="false" outlineLevel="0" collapsed="false">
      <c r="A3424" s="3" t="n">
        <v>3423</v>
      </c>
      <c r="B3424" s="3" t="n">
        <v>3422</v>
      </c>
      <c r="C3424" s="3" t="n">
        <v>4</v>
      </c>
      <c r="D3424" s="3" t="n">
        <v>10</v>
      </c>
      <c r="E3424" s="3" t="n">
        <v>6</v>
      </c>
      <c r="F3424" s="24" t="n">
        <v>0</v>
      </c>
    </row>
    <row r="3425" customFormat="false" ht="15" hidden="false" customHeight="false" outlineLevel="0" collapsed="false">
      <c r="A3425" s="3" t="n">
        <v>3424</v>
      </c>
      <c r="B3425" s="3" t="n">
        <v>3423</v>
      </c>
      <c r="C3425" s="3" t="n">
        <v>4</v>
      </c>
      <c r="D3425" s="3" t="n">
        <v>10</v>
      </c>
      <c r="E3425" s="3" t="n">
        <v>7</v>
      </c>
      <c r="F3425" s="24" t="n">
        <v>0.150887579</v>
      </c>
    </row>
    <row r="3426" customFormat="false" ht="15" hidden="false" customHeight="false" outlineLevel="0" collapsed="false">
      <c r="A3426" s="3" t="n">
        <v>3425</v>
      </c>
      <c r="B3426" s="3" t="n">
        <v>3424</v>
      </c>
      <c r="C3426" s="3" t="n">
        <v>4</v>
      </c>
      <c r="D3426" s="3" t="n">
        <v>10</v>
      </c>
      <c r="E3426" s="3" t="n">
        <v>8</v>
      </c>
      <c r="F3426" s="24" t="n">
        <v>0.173157543</v>
      </c>
    </row>
    <row r="3427" customFormat="false" ht="15" hidden="false" customHeight="false" outlineLevel="0" collapsed="false">
      <c r="A3427" s="3" t="n">
        <v>3426</v>
      </c>
      <c r="B3427" s="3" t="n">
        <v>3425</v>
      </c>
      <c r="C3427" s="3" t="n">
        <v>4</v>
      </c>
      <c r="D3427" s="3" t="n">
        <v>10</v>
      </c>
      <c r="E3427" s="3" t="n">
        <v>9</v>
      </c>
      <c r="F3427" s="24" t="n">
        <v>0.343025357</v>
      </c>
    </row>
    <row r="3428" customFormat="false" ht="15" hidden="false" customHeight="false" outlineLevel="0" collapsed="false">
      <c r="A3428" s="3" t="n">
        <v>3427</v>
      </c>
      <c r="B3428" s="3" t="n">
        <v>3426</v>
      </c>
      <c r="C3428" s="3" t="n">
        <v>4</v>
      </c>
      <c r="D3428" s="3" t="n">
        <v>10</v>
      </c>
      <c r="E3428" s="3" t="n">
        <v>10</v>
      </c>
      <c r="F3428" s="24" t="n">
        <v>0.741642833</v>
      </c>
    </row>
    <row r="3429" customFormat="false" ht="15" hidden="false" customHeight="false" outlineLevel="0" collapsed="false">
      <c r="A3429" s="3" t="n">
        <v>3428</v>
      </c>
      <c r="B3429" s="3" t="n">
        <v>3427</v>
      </c>
      <c r="C3429" s="3" t="n">
        <v>4</v>
      </c>
      <c r="D3429" s="3" t="n">
        <v>10</v>
      </c>
      <c r="E3429" s="3" t="n">
        <v>11</v>
      </c>
      <c r="F3429" s="24" t="n">
        <v>1.11403501</v>
      </c>
    </row>
    <row r="3430" customFormat="false" ht="15" hidden="false" customHeight="false" outlineLevel="0" collapsed="false">
      <c r="A3430" s="3" t="n">
        <v>3429</v>
      </c>
      <c r="B3430" s="3" t="n">
        <v>3428</v>
      </c>
      <c r="C3430" s="3" t="n">
        <v>4</v>
      </c>
      <c r="D3430" s="3" t="n">
        <v>10</v>
      </c>
      <c r="E3430" s="3" t="n">
        <v>12</v>
      </c>
      <c r="F3430" s="24" t="n">
        <v>1.35261214</v>
      </c>
    </row>
    <row r="3431" customFormat="false" ht="15" hidden="false" customHeight="false" outlineLevel="0" collapsed="false">
      <c r="A3431" s="3" t="n">
        <v>3430</v>
      </c>
      <c r="B3431" s="3" t="n">
        <v>3429</v>
      </c>
      <c r="C3431" s="3" t="n">
        <v>4</v>
      </c>
      <c r="D3431" s="3" t="n">
        <v>10</v>
      </c>
      <c r="E3431" s="3" t="n">
        <v>13</v>
      </c>
      <c r="F3431" s="24" t="n">
        <v>1.05567992</v>
      </c>
    </row>
    <row r="3432" customFormat="false" ht="15" hidden="false" customHeight="false" outlineLevel="0" collapsed="false">
      <c r="A3432" s="3" t="n">
        <v>3431</v>
      </c>
      <c r="B3432" s="3" t="n">
        <v>3430</v>
      </c>
      <c r="C3432" s="3" t="n">
        <v>4</v>
      </c>
      <c r="D3432" s="3" t="n">
        <v>10</v>
      </c>
      <c r="E3432" s="3" t="n">
        <v>14</v>
      </c>
      <c r="F3432" s="24" t="n">
        <v>1.34794533</v>
      </c>
    </row>
    <row r="3433" customFormat="false" ht="15" hidden="false" customHeight="false" outlineLevel="0" collapsed="false">
      <c r="A3433" s="3" t="n">
        <v>3432</v>
      </c>
      <c r="B3433" s="3" t="n">
        <v>3431</v>
      </c>
      <c r="C3433" s="3" t="n">
        <v>4</v>
      </c>
      <c r="D3433" s="3" t="n">
        <v>10</v>
      </c>
      <c r="E3433" s="3" t="n">
        <v>15</v>
      </c>
      <c r="F3433" s="24" t="n">
        <v>1.2090615</v>
      </c>
    </row>
    <row r="3434" customFormat="false" ht="15" hidden="false" customHeight="false" outlineLevel="0" collapsed="false">
      <c r="A3434" s="3" t="n">
        <v>3433</v>
      </c>
      <c r="B3434" s="3" t="n">
        <v>3432</v>
      </c>
      <c r="C3434" s="3" t="n">
        <v>4</v>
      </c>
      <c r="D3434" s="3" t="n">
        <v>10</v>
      </c>
      <c r="E3434" s="3" t="n">
        <v>16</v>
      </c>
      <c r="F3434" s="24" t="n">
        <v>1.21169233</v>
      </c>
    </row>
    <row r="3435" customFormat="false" ht="15" hidden="false" customHeight="false" outlineLevel="0" collapsed="false">
      <c r="A3435" s="3" t="n">
        <v>3434</v>
      </c>
      <c r="B3435" s="3" t="n">
        <v>3433</v>
      </c>
      <c r="C3435" s="3" t="n">
        <v>4</v>
      </c>
      <c r="D3435" s="3" t="n">
        <v>10</v>
      </c>
      <c r="E3435" s="3" t="n">
        <v>17</v>
      </c>
      <c r="F3435" s="24" t="n">
        <v>1.48182654</v>
      </c>
    </row>
    <row r="3436" customFormat="false" ht="15" hidden="false" customHeight="false" outlineLevel="0" collapsed="false">
      <c r="A3436" s="3" t="n">
        <v>3435</v>
      </c>
      <c r="B3436" s="3" t="n">
        <v>3434</v>
      </c>
      <c r="C3436" s="3" t="n">
        <v>4</v>
      </c>
      <c r="D3436" s="3" t="n">
        <v>10</v>
      </c>
      <c r="E3436" s="3" t="n">
        <v>18</v>
      </c>
      <c r="F3436" s="24" t="n">
        <v>2.18877316</v>
      </c>
    </row>
    <row r="3437" customFormat="false" ht="15" hidden="false" customHeight="false" outlineLevel="0" collapsed="false">
      <c r="A3437" s="3" t="n">
        <v>3436</v>
      </c>
      <c r="B3437" s="3" t="n">
        <v>3435</v>
      </c>
      <c r="C3437" s="3" t="n">
        <v>4</v>
      </c>
      <c r="D3437" s="3" t="n">
        <v>10</v>
      </c>
      <c r="E3437" s="3" t="n">
        <v>19</v>
      </c>
      <c r="F3437" s="24" t="n">
        <v>3.65822148</v>
      </c>
    </row>
    <row r="3438" customFormat="false" ht="15" hidden="false" customHeight="false" outlineLevel="0" collapsed="false">
      <c r="A3438" s="3" t="n">
        <v>3437</v>
      </c>
      <c r="B3438" s="3" t="n">
        <v>3436</v>
      </c>
      <c r="C3438" s="3" t="n">
        <v>4</v>
      </c>
      <c r="D3438" s="3" t="n">
        <v>10</v>
      </c>
      <c r="E3438" s="3" t="n">
        <v>20</v>
      </c>
      <c r="F3438" s="24" t="n">
        <v>2.69802451</v>
      </c>
    </row>
    <row r="3439" customFormat="false" ht="15" hidden="false" customHeight="false" outlineLevel="0" collapsed="false">
      <c r="A3439" s="3" t="n">
        <v>3438</v>
      </c>
      <c r="B3439" s="3" t="n">
        <v>3437</v>
      </c>
      <c r="C3439" s="3" t="n">
        <v>4</v>
      </c>
      <c r="D3439" s="3" t="n">
        <v>10</v>
      </c>
      <c r="E3439" s="3" t="n">
        <v>21</v>
      </c>
      <c r="F3439" s="24" t="n">
        <v>0.628954053</v>
      </c>
    </row>
    <row r="3440" customFormat="false" ht="15" hidden="false" customHeight="false" outlineLevel="0" collapsed="false">
      <c r="A3440" s="3" t="n">
        <v>3439</v>
      </c>
      <c r="B3440" s="3" t="n">
        <v>3438</v>
      </c>
      <c r="C3440" s="3" t="n">
        <v>4</v>
      </c>
      <c r="D3440" s="3" t="n">
        <v>10</v>
      </c>
      <c r="E3440" s="3" t="n">
        <v>22</v>
      </c>
      <c r="F3440" s="24" t="n">
        <v>0</v>
      </c>
    </row>
    <row r="3441" customFormat="false" ht="15" hidden="false" customHeight="false" outlineLevel="0" collapsed="false">
      <c r="A3441" s="3" t="n">
        <v>3440</v>
      </c>
      <c r="B3441" s="3" t="n">
        <v>3439</v>
      </c>
      <c r="C3441" s="3" t="n">
        <v>4</v>
      </c>
      <c r="D3441" s="3" t="n">
        <v>10</v>
      </c>
      <c r="E3441" s="3" t="n">
        <v>23</v>
      </c>
      <c r="F3441" s="24" t="n">
        <v>0</v>
      </c>
    </row>
    <row r="3442" customFormat="false" ht="15" hidden="false" customHeight="false" outlineLevel="0" collapsed="false">
      <c r="A3442" s="3" t="n">
        <v>3441</v>
      </c>
      <c r="B3442" s="3" t="n">
        <v>3440</v>
      </c>
      <c r="C3442" s="3" t="n">
        <v>4</v>
      </c>
      <c r="D3442" s="3" t="n">
        <v>10</v>
      </c>
      <c r="E3442" s="3" t="n">
        <v>24</v>
      </c>
      <c r="F3442" s="24" t="n">
        <v>0</v>
      </c>
    </row>
    <row r="3443" customFormat="false" ht="15" hidden="false" customHeight="false" outlineLevel="0" collapsed="false">
      <c r="A3443" s="3" t="n">
        <v>3442</v>
      </c>
      <c r="B3443" s="3" t="n">
        <v>3441</v>
      </c>
      <c r="C3443" s="3" t="n">
        <v>4</v>
      </c>
      <c r="D3443" s="3" t="n">
        <v>10</v>
      </c>
      <c r="E3443" s="3" t="n">
        <v>25</v>
      </c>
      <c r="F3443" s="24" t="n">
        <v>0</v>
      </c>
    </row>
    <row r="3444" customFormat="false" ht="15" hidden="false" customHeight="false" outlineLevel="0" collapsed="false">
      <c r="A3444" s="3" t="n">
        <v>3443</v>
      </c>
      <c r="B3444" s="3" t="n">
        <v>3442</v>
      </c>
      <c r="C3444" s="3" t="n">
        <v>4</v>
      </c>
      <c r="D3444" s="3" t="n">
        <v>10</v>
      </c>
      <c r="E3444" s="3" t="n">
        <v>26</v>
      </c>
      <c r="F3444" s="24" t="n">
        <v>0</v>
      </c>
    </row>
    <row r="3445" customFormat="false" ht="15" hidden="false" customHeight="false" outlineLevel="0" collapsed="false">
      <c r="A3445" s="3" t="n">
        <v>3444</v>
      </c>
      <c r="B3445" s="3" t="n">
        <v>3443</v>
      </c>
      <c r="C3445" s="3" t="n">
        <v>4</v>
      </c>
      <c r="D3445" s="3" t="n">
        <v>10</v>
      </c>
      <c r="E3445" s="3" t="n">
        <v>27</v>
      </c>
      <c r="F3445" s="24" t="n">
        <v>0</v>
      </c>
    </row>
    <row r="3446" customFormat="false" ht="15" hidden="false" customHeight="false" outlineLevel="0" collapsed="false">
      <c r="A3446" s="3" t="n">
        <v>3445</v>
      </c>
      <c r="B3446" s="3" t="n">
        <v>3444</v>
      </c>
      <c r="C3446" s="3" t="n">
        <v>4</v>
      </c>
      <c r="D3446" s="3" t="n">
        <v>11</v>
      </c>
      <c r="E3446" s="3" t="n">
        <v>0</v>
      </c>
      <c r="F3446" s="24" t="n">
        <v>0</v>
      </c>
    </row>
    <row r="3447" customFormat="false" ht="15" hidden="false" customHeight="false" outlineLevel="0" collapsed="false">
      <c r="A3447" s="3" t="n">
        <v>3446</v>
      </c>
      <c r="B3447" s="3" t="n">
        <v>3445</v>
      </c>
      <c r="C3447" s="3" t="n">
        <v>4</v>
      </c>
      <c r="D3447" s="3" t="n">
        <v>11</v>
      </c>
      <c r="E3447" s="3" t="n">
        <v>1</v>
      </c>
      <c r="F3447" s="24" t="n">
        <v>0</v>
      </c>
    </row>
    <row r="3448" customFormat="false" ht="15" hidden="false" customHeight="false" outlineLevel="0" collapsed="false">
      <c r="A3448" s="3" t="n">
        <v>3447</v>
      </c>
      <c r="B3448" s="3" t="n">
        <v>3446</v>
      </c>
      <c r="C3448" s="3" t="n">
        <v>4</v>
      </c>
      <c r="D3448" s="3" t="n">
        <v>11</v>
      </c>
      <c r="E3448" s="3" t="n">
        <v>2</v>
      </c>
      <c r="F3448" s="24" t="n">
        <v>0</v>
      </c>
    </row>
    <row r="3449" customFormat="false" ht="15" hidden="false" customHeight="false" outlineLevel="0" collapsed="false">
      <c r="A3449" s="3" t="n">
        <v>3448</v>
      </c>
      <c r="B3449" s="3" t="n">
        <v>3447</v>
      </c>
      <c r="C3449" s="3" t="n">
        <v>4</v>
      </c>
      <c r="D3449" s="3" t="n">
        <v>11</v>
      </c>
      <c r="E3449" s="3" t="n">
        <v>3</v>
      </c>
      <c r="F3449" s="24" t="n">
        <v>0</v>
      </c>
    </row>
    <row r="3450" customFormat="false" ht="15" hidden="false" customHeight="false" outlineLevel="0" collapsed="false">
      <c r="A3450" s="3" t="n">
        <v>3449</v>
      </c>
      <c r="B3450" s="3" t="n">
        <v>3448</v>
      </c>
      <c r="C3450" s="3" t="n">
        <v>4</v>
      </c>
      <c r="D3450" s="3" t="n">
        <v>11</v>
      </c>
      <c r="E3450" s="3" t="n">
        <v>4</v>
      </c>
      <c r="F3450" s="24" t="n">
        <v>0</v>
      </c>
    </row>
    <row r="3451" customFormat="false" ht="15" hidden="false" customHeight="false" outlineLevel="0" collapsed="false">
      <c r="A3451" s="3" t="n">
        <v>3450</v>
      </c>
      <c r="B3451" s="3" t="n">
        <v>3449</v>
      </c>
      <c r="C3451" s="3" t="n">
        <v>4</v>
      </c>
      <c r="D3451" s="3" t="n">
        <v>11</v>
      </c>
      <c r="E3451" s="3" t="n">
        <v>5</v>
      </c>
      <c r="F3451" s="24" t="n">
        <v>0</v>
      </c>
    </row>
    <row r="3452" customFormat="false" ht="15" hidden="false" customHeight="false" outlineLevel="0" collapsed="false">
      <c r="A3452" s="3" t="n">
        <v>3451</v>
      </c>
      <c r="B3452" s="3" t="n">
        <v>3450</v>
      </c>
      <c r="C3452" s="3" t="n">
        <v>4</v>
      </c>
      <c r="D3452" s="3" t="n">
        <v>11</v>
      </c>
      <c r="E3452" s="3" t="n">
        <v>6</v>
      </c>
      <c r="F3452" s="24" t="n">
        <v>0</v>
      </c>
    </row>
    <row r="3453" customFormat="false" ht="15" hidden="false" customHeight="false" outlineLevel="0" collapsed="false">
      <c r="A3453" s="3" t="n">
        <v>3452</v>
      </c>
      <c r="B3453" s="3" t="n">
        <v>3451</v>
      </c>
      <c r="C3453" s="3" t="n">
        <v>4</v>
      </c>
      <c r="D3453" s="3" t="n">
        <v>11</v>
      </c>
      <c r="E3453" s="3" t="n">
        <v>7</v>
      </c>
      <c r="F3453" s="24" t="n">
        <v>0</v>
      </c>
    </row>
    <row r="3454" customFormat="false" ht="15" hidden="false" customHeight="false" outlineLevel="0" collapsed="false">
      <c r="A3454" s="3" t="n">
        <v>3453</v>
      </c>
      <c r="B3454" s="3" t="n">
        <v>3452</v>
      </c>
      <c r="C3454" s="3" t="n">
        <v>4</v>
      </c>
      <c r="D3454" s="3" t="n">
        <v>11</v>
      </c>
      <c r="E3454" s="3" t="n">
        <v>8</v>
      </c>
      <c r="F3454" s="24" t="n">
        <v>0</v>
      </c>
    </row>
    <row r="3455" customFormat="false" ht="15" hidden="false" customHeight="false" outlineLevel="0" collapsed="false">
      <c r="A3455" s="3" t="n">
        <v>3454</v>
      </c>
      <c r="B3455" s="3" t="n">
        <v>3453</v>
      </c>
      <c r="C3455" s="3" t="n">
        <v>4</v>
      </c>
      <c r="D3455" s="3" t="n">
        <v>11</v>
      </c>
      <c r="E3455" s="3" t="n">
        <v>9</v>
      </c>
      <c r="F3455" s="24" t="n">
        <v>0</v>
      </c>
    </row>
    <row r="3456" customFormat="false" ht="15" hidden="false" customHeight="false" outlineLevel="0" collapsed="false">
      <c r="A3456" s="3" t="n">
        <v>3455</v>
      </c>
      <c r="B3456" s="3" t="n">
        <v>3454</v>
      </c>
      <c r="C3456" s="3" t="n">
        <v>4</v>
      </c>
      <c r="D3456" s="3" t="n">
        <v>11</v>
      </c>
      <c r="E3456" s="3" t="n">
        <v>10</v>
      </c>
      <c r="F3456" s="24" t="n">
        <v>0</v>
      </c>
    </row>
    <row r="3457" customFormat="false" ht="15" hidden="false" customHeight="false" outlineLevel="0" collapsed="false">
      <c r="A3457" s="3" t="n">
        <v>3456</v>
      </c>
      <c r="B3457" s="3" t="n">
        <v>3455</v>
      </c>
      <c r="C3457" s="3" t="n">
        <v>4</v>
      </c>
      <c r="D3457" s="3" t="n">
        <v>11</v>
      </c>
      <c r="E3457" s="3" t="n">
        <v>11</v>
      </c>
      <c r="F3457" s="24" t="n">
        <v>0</v>
      </c>
    </row>
    <row r="3458" customFormat="false" ht="15" hidden="false" customHeight="false" outlineLevel="0" collapsed="false">
      <c r="A3458" s="3" t="n">
        <v>3457</v>
      </c>
      <c r="B3458" s="3" t="n">
        <v>3456</v>
      </c>
      <c r="C3458" s="3" t="n">
        <v>4</v>
      </c>
      <c r="D3458" s="3" t="n">
        <v>11</v>
      </c>
      <c r="E3458" s="3" t="n">
        <v>12</v>
      </c>
      <c r="F3458" s="24" t="n">
        <v>0</v>
      </c>
    </row>
    <row r="3459" customFormat="false" ht="15" hidden="false" customHeight="false" outlineLevel="0" collapsed="false">
      <c r="A3459" s="3" t="n">
        <v>3458</v>
      </c>
      <c r="B3459" s="3" t="n">
        <v>3457</v>
      </c>
      <c r="C3459" s="3" t="n">
        <v>4</v>
      </c>
      <c r="D3459" s="3" t="n">
        <v>11</v>
      </c>
      <c r="E3459" s="3" t="n">
        <v>13</v>
      </c>
      <c r="F3459" s="24" t="n">
        <v>0</v>
      </c>
    </row>
    <row r="3460" customFormat="false" ht="15" hidden="false" customHeight="false" outlineLevel="0" collapsed="false">
      <c r="A3460" s="3" t="n">
        <v>3459</v>
      </c>
      <c r="B3460" s="3" t="n">
        <v>3458</v>
      </c>
      <c r="C3460" s="3" t="n">
        <v>4</v>
      </c>
      <c r="D3460" s="3" t="n">
        <v>11</v>
      </c>
      <c r="E3460" s="3" t="n">
        <v>14</v>
      </c>
      <c r="F3460" s="24" t="n">
        <v>0</v>
      </c>
    </row>
    <row r="3461" customFormat="false" ht="15" hidden="false" customHeight="false" outlineLevel="0" collapsed="false">
      <c r="A3461" s="3" t="n">
        <v>3460</v>
      </c>
      <c r="B3461" s="3" t="n">
        <v>3459</v>
      </c>
      <c r="C3461" s="3" t="n">
        <v>4</v>
      </c>
      <c r="D3461" s="3" t="n">
        <v>11</v>
      </c>
      <c r="E3461" s="3" t="n">
        <v>15</v>
      </c>
      <c r="F3461" s="24" t="n">
        <v>0</v>
      </c>
    </row>
    <row r="3462" customFormat="false" ht="15" hidden="false" customHeight="false" outlineLevel="0" collapsed="false">
      <c r="A3462" s="3" t="n">
        <v>3461</v>
      </c>
      <c r="B3462" s="3" t="n">
        <v>3460</v>
      </c>
      <c r="C3462" s="3" t="n">
        <v>4</v>
      </c>
      <c r="D3462" s="3" t="n">
        <v>11</v>
      </c>
      <c r="E3462" s="3" t="n">
        <v>16</v>
      </c>
      <c r="F3462" s="24" t="n">
        <v>0.0109485798</v>
      </c>
    </row>
    <row r="3463" customFormat="false" ht="15" hidden="false" customHeight="false" outlineLevel="0" collapsed="false">
      <c r="A3463" s="3" t="n">
        <v>3462</v>
      </c>
      <c r="B3463" s="3" t="n">
        <v>3461</v>
      </c>
      <c r="C3463" s="3" t="n">
        <v>4</v>
      </c>
      <c r="D3463" s="3" t="n">
        <v>11</v>
      </c>
      <c r="E3463" s="3" t="n">
        <v>17</v>
      </c>
      <c r="F3463" s="24" t="n">
        <v>0.634910822</v>
      </c>
    </row>
    <row r="3464" customFormat="false" ht="15" hidden="false" customHeight="false" outlineLevel="0" collapsed="false">
      <c r="A3464" s="3" t="n">
        <v>3463</v>
      </c>
      <c r="B3464" s="3" t="n">
        <v>3462</v>
      </c>
      <c r="C3464" s="3" t="n">
        <v>4</v>
      </c>
      <c r="D3464" s="3" t="n">
        <v>11</v>
      </c>
      <c r="E3464" s="3" t="n">
        <v>18</v>
      </c>
      <c r="F3464" s="24" t="n">
        <v>2.04668283</v>
      </c>
    </row>
    <row r="3465" customFormat="false" ht="15" hidden="false" customHeight="false" outlineLevel="0" collapsed="false">
      <c r="A3465" s="3" t="n">
        <v>3464</v>
      </c>
      <c r="B3465" s="3" t="n">
        <v>3463</v>
      </c>
      <c r="C3465" s="3" t="n">
        <v>4</v>
      </c>
      <c r="D3465" s="3" t="n">
        <v>11</v>
      </c>
      <c r="E3465" s="3" t="n">
        <v>19</v>
      </c>
      <c r="F3465" s="24" t="n">
        <v>3.15972805</v>
      </c>
    </row>
    <row r="3466" customFormat="false" ht="15" hidden="false" customHeight="false" outlineLevel="0" collapsed="false">
      <c r="A3466" s="3" t="n">
        <v>3465</v>
      </c>
      <c r="B3466" s="3" t="n">
        <v>3464</v>
      </c>
      <c r="C3466" s="3" t="n">
        <v>4</v>
      </c>
      <c r="D3466" s="3" t="n">
        <v>11</v>
      </c>
      <c r="E3466" s="3" t="n">
        <v>20</v>
      </c>
      <c r="F3466" s="24" t="n">
        <v>1.86620545</v>
      </c>
    </row>
    <row r="3467" customFormat="false" ht="15" hidden="false" customHeight="false" outlineLevel="0" collapsed="false">
      <c r="A3467" s="3" t="n">
        <v>3466</v>
      </c>
      <c r="B3467" s="3" t="n">
        <v>3465</v>
      </c>
      <c r="C3467" s="3" t="n">
        <v>4</v>
      </c>
      <c r="D3467" s="3" t="n">
        <v>11</v>
      </c>
      <c r="E3467" s="3" t="n">
        <v>21</v>
      </c>
      <c r="F3467" s="24" t="n">
        <v>0</v>
      </c>
    </row>
    <row r="3468" customFormat="false" ht="15" hidden="false" customHeight="false" outlineLevel="0" collapsed="false">
      <c r="A3468" s="3" t="n">
        <v>3467</v>
      </c>
      <c r="B3468" s="3" t="n">
        <v>3466</v>
      </c>
      <c r="C3468" s="3" t="n">
        <v>4</v>
      </c>
      <c r="D3468" s="3" t="n">
        <v>11</v>
      </c>
      <c r="E3468" s="3" t="n">
        <v>22</v>
      </c>
      <c r="F3468" s="24" t="n">
        <v>0</v>
      </c>
    </row>
    <row r="3469" customFormat="false" ht="15" hidden="false" customHeight="false" outlineLevel="0" collapsed="false">
      <c r="A3469" s="3" t="n">
        <v>3468</v>
      </c>
      <c r="B3469" s="3" t="n">
        <v>3467</v>
      </c>
      <c r="C3469" s="3" t="n">
        <v>4</v>
      </c>
      <c r="D3469" s="3" t="n">
        <v>11</v>
      </c>
      <c r="E3469" s="3" t="n">
        <v>23</v>
      </c>
      <c r="F3469" s="24" t="n">
        <v>0</v>
      </c>
    </row>
    <row r="3470" customFormat="false" ht="15" hidden="false" customHeight="false" outlineLevel="0" collapsed="false">
      <c r="A3470" s="3" t="n">
        <v>3469</v>
      </c>
      <c r="B3470" s="3" t="n">
        <v>3468</v>
      </c>
      <c r="C3470" s="3" t="n">
        <v>4</v>
      </c>
      <c r="D3470" s="3" t="n">
        <v>11</v>
      </c>
      <c r="E3470" s="3" t="n">
        <v>24</v>
      </c>
      <c r="F3470" s="24" t="n">
        <v>0</v>
      </c>
    </row>
    <row r="3471" customFormat="false" ht="15" hidden="false" customHeight="false" outlineLevel="0" collapsed="false">
      <c r="A3471" s="3" t="n">
        <v>3470</v>
      </c>
      <c r="B3471" s="3" t="n">
        <v>3469</v>
      </c>
      <c r="C3471" s="3" t="n">
        <v>4</v>
      </c>
      <c r="D3471" s="3" t="n">
        <v>11</v>
      </c>
      <c r="E3471" s="3" t="n">
        <v>25</v>
      </c>
      <c r="F3471" s="24" t="n">
        <v>0</v>
      </c>
    </row>
    <row r="3472" customFormat="false" ht="15" hidden="false" customHeight="false" outlineLevel="0" collapsed="false">
      <c r="A3472" s="3" t="n">
        <v>3471</v>
      </c>
      <c r="B3472" s="3" t="n">
        <v>3470</v>
      </c>
      <c r="C3472" s="3" t="n">
        <v>4</v>
      </c>
      <c r="D3472" s="3" t="n">
        <v>11</v>
      </c>
      <c r="E3472" s="3" t="n">
        <v>26</v>
      </c>
      <c r="F3472" s="24" t="n">
        <v>0</v>
      </c>
    </row>
    <row r="3473" customFormat="false" ht="15" hidden="false" customHeight="false" outlineLevel="0" collapsed="false">
      <c r="A3473" s="3" t="n">
        <v>3472</v>
      </c>
      <c r="B3473" s="3" t="n">
        <v>3471</v>
      </c>
      <c r="C3473" s="3" t="n">
        <v>4</v>
      </c>
      <c r="D3473" s="3" t="n">
        <v>11</v>
      </c>
      <c r="E3473" s="3" t="n">
        <v>27</v>
      </c>
      <c r="F3473" s="24" t="n">
        <v>0</v>
      </c>
    </row>
    <row r="3474" customFormat="false" ht="15" hidden="false" customHeight="false" outlineLevel="0" collapsed="false">
      <c r="A3474" s="3" t="n">
        <v>3473</v>
      </c>
      <c r="B3474" s="3" t="n">
        <v>3472</v>
      </c>
      <c r="C3474" s="3" t="n">
        <v>4</v>
      </c>
      <c r="D3474" s="3" t="n">
        <v>12</v>
      </c>
      <c r="E3474" s="3" t="n">
        <v>0</v>
      </c>
      <c r="F3474" s="24" t="n">
        <v>0</v>
      </c>
    </row>
    <row r="3475" customFormat="false" ht="15" hidden="false" customHeight="false" outlineLevel="0" collapsed="false">
      <c r="A3475" s="3" t="n">
        <v>3474</v>
      </c>
      <c r="B3475" s="3" t="n">
        <v>3473</v>
      </c>
      <c r="C3475" s="3" t="n">
        <v>4</v>
      </c>
      <c r="D3475" s="3" t="n">
        <v>12</v>
      </c>
      <c r="E3475" s="3" t="n">
        <v>1</v>
      </c>
      <c r="F3475" s="24" t="n">
        <v>0</v>
      </c>
    </row>
    <row r="3476" customFormat="false" ht="15" hidden="false" customHeight="false" outlineLevel="0" collapsed="false">
      <c r="A3476" s="3" t="n">
        <v>3475</v>
      </c>
      <c r="B3476" s="3" t="n">
        <v>3474</v>
      </c>
      <c r="C3476" s="3" t="n">
        <v>4</v>
      </c>
      <c r="D3476" s="3" t="n">
        <v>12</v>
      </c>
      <c r="E3476" s="3" t="n">
        <v>2</v>
      </c>
      <c r="F3476" s="24" t="n">
        <v>0</v>
      </c>
    </row>
    <row r="3477" customFormat="false" ht="15" hidden="false" customHeight="false" outlineLevel="0" collapsed="false">
      <c r="A3477" s="3" t="n">
        <v>3476</v>
      </c>
      <c r="B3477" s="3" t="n">
        <v>3475</v>
      </c>
      <c r="C3477" s="3" t="n">
        <v>4</v>
      </c>
      <c r="D3477" s="3" t="n">
        <v>12</v>
      </c>
      <c r="E3477" s="3" t="n">
        <v>3</v>
      </c>
      <c r="F3477" s="24" t="n">
        <v>0</v>
      </c>
    </row>
    <row r="3478" customFormat="false" ht="15" hidden="false" customHeight="false" outlineLevel="0" collapsed="false">
      <c r="A3478" s="3" t="n">
        <v>3477</v>
      </c>
      <c r="B3478" s="3" t="n">
        <v>3476</v>
      </c>
      <c r="C3478" s="3" t="n">
        <v>4</v>
      </c>
      <c r="D3478" s="3" t="n">
        <v>12</v>
      </c>
      <c r="E3478" s="3" t="n">
        <v>4</v>
      </c>
      <c r="F3478" s="24" t="n">
        <v>0</v>
      </c>
    </row>
    <row r="3479" customFormat="false" ht="15" hidden="false" customHeight="false" outlineLevel="0" collapsed="false">
      <c r="A3479" s="3" t="n">
        <v>3478</v>
      </c>
      <c r="B3479" s="3" t="n">
        <v>3477</v>
      </c>
      <c r="C3479" s="3" t="n">
        <v>4</v>
      </c>
      <c r="D3479" s="3" t="n">
        <v>12</v>
      </c>
      <c r="E3479" s="3" t="n">
        <v>5</v>
      </c>
      <c r="F3479" s="24" t="n">
        <v>0</v>
      </c>
    </row>
    <row r="3480" customFormat="false" ht="15" hidden="false" customHeight="false" outlineLevel="0" collapsed="false">
      <c r="A3480" s="3" t="n">
        <v>3479</v>
      </c>
      <c r="B3480" s="3" t="n">
        <v>3478</v>
      </c>
      <c r="C3480" s="3" t="n">
        <v>4</v>
      </c>
      <c r="D3480" s="3" t="n">
        <v>12</v>
      </c>
      <c r="E3480" s="3" t="n">
        <v>6</v>
      </c>
      <c r="F3480" s="24" t="n">
        <v>0</v>
      </c>
    </row>
    <row r="3481" customFormat="false" ht="15" hidden="false" customHeight="false" outlineLevel="0" collapsed="false">
      <c r="A3481" s="3" t="n">
        <v>3480</v>
      </c>
      <c r="B3481" s="3" t="n">
        <v>3479</v>
      </c>
      <c r="C3481" s="3" t="n">
        <v>4</v>
      </c>
      <c r="D3481" s="3" t="n">
        <v>12</v>
      </c>
      <c r="E3481" s="3" t="n">
        <v>7</v>
      </c>
      <c r="F3481" s="24" t="n">
        <v>0</v>
      </c>
    </row>
    <row r="3482" customFormat="false" ht="15" hidden="false" customHeight="false" outlineLevel="0" collapsed="false">
      <c r="A3482" s="3" t="n">
        <v>3481</v>
      </c>
      <c r="B3482" s="3" t="n">
        <v>3480</v>
      </c>
      <c r="C3482" s="3" t="n">
        <v>4</v>
      </c>
      <c r="D3482" s="3" t="n">
        <v>12</v>
      </c>
      <c r="E3482" s="3" t="n">
        <v>8</v>
      </c>
      <c r="F3482" s="24" t="n">
        <v>0</v>
      </c>
    </row>
    <row r="3483" customFormat="false" ht="15" hidden="false" customHeight="false" outlineLevel="0" collapsed="false">
      <c r="A3483" s="3" t="n">
        <v>3482</v>
      </c>
      <c r="B3483" s="3" t="n">
        <v>3481</v>
      </c>
      <c r="C3483" s="3" t="n">
        <v>4</v>
      </c>
      <c r="D3483" s="3" t="n">
        <v>12</v>
      </c>
      <c r="E3483" s="3" t="n">
        <v>9</v>
      </c>
      <c r="F3483" s="24" t="n">
        <v>0</v>
      </c>
    </row>
    <row r="3484" customFormat="false" ht="15" hidden="false" customHeight="false" outlineLevel="0" collapsed="false">
      <c r="A3484" s="3" t="n">
        <v>3483</v>
      </c>
      <c r="B3484" s="3" t="n">
        <v>3482</v>
      </c>
      <c r="C3484" s="3" t="n">
        <v>4</v>
      </c>
      <c r="D3484" s="3" t="n">
        <v>12</v>
      </c>
      <c r="E3484" s="3" t="n">
        <v>10</v>
      </c>
      <c r="F3484" s="24" t="n">
        <v>0</v>
      </c>
    </row>
    <row r="3485" customFormat="false" ht="15" hidden="false" customHeight="false" outlineLevel="0" collapsed="false">
      <c r="A3485" s="3" t="n">
        <v>3484</v>
      </c>
      <c r="B3485" s="3" t="n">
        <v>3483</v>
      </c>
      <c r="C3485" s="3" t="n">
        <v>4</v>
      </c>
      <c r="D3485" s="3" t="n">
        <v>12</v>
      </c>
      <c r="E3485" s="3" t="n">
        <v>11</v>
      </c>
      <c r="F3485" s="24" t="n">
        <v>0</v>
      </c>
    </row>
    <row r="3486" customFormat="false" ht="15" hidden="false" customHeight="false" outlineLevel="0" collapsed="false">
      <c r="A3486" s="3" t="n">
        <v>3485</v>
      </c>
      <c r="B3486" s="3" t="n">
        <v>3484</v>
      </c>
      <c r="C3486" s="3" t="n">
        <v>4</v>
      </c>
      <c r="D3486" s="3" t="n">
        <v>12</v>
      </c>
      <c r="E3486" s="3" t="n">
        <v>12</v>
      </c>
      <c r="F3486" s="24" t="n">
        <v>0</v>
      </c>
    </row>
    <row r="3487" customFormat="false" ht="15" hidden="false" customHeight="false" outlineLevel="0" collapsed="false">
      <c r="A3487" s="3" t="n">
        <v>3486</v>
      </c>
      <c r="B3487" s="3" t="n">
        <v>3485</v>
      </c>
      <c r="C3487" s="3" t="n">
        <v>4</v>
      </c>
      <c r="D3487" s="3" t="n">
        <v>12</v>
      </c>
      <c r="E3487" s="3" t="n">
        <v>13</v>
      </c>
      <c r="F3487" s="24" t="n">
        <v>0</v>
      </c>
    </row>
    <row r="3488" customFormat="false" ht="15" hidden="false" customHeight="false" outlineLevel="0" collapsed="false">
      <c r="A3488" s="3" t="n">
        <v>3487</v>
      </c>
      <c r="B3488" s="3" t="n">
        <v>3486</v>
      </c>
      <c r="C3488" s="3" t="n">
        <v>4</v>
      </c>
      <c r="D3488" s="3" t="n">
        <v>12</v>
      </c>
      <c r="E3488" s="3" t="n">
        <v>14</v>
      </c>
      <c r="F3488" s="24" t="n">
        <v>0</v>
      </c>
    </row>
    <row r="3489" customFormat="false" ht="15" hidden="false" customHeight="false" outlineLevel="0" collapsed="false">
      <c r="A3489" s="3" t="n">
        <v>3488</v>
      </c>
      <c r="B3489" s="3" t="n">
        <v>3487</v>
      </c>
      <c r="C3489" s="3" t="n">
        <v>4</v>
      </c>
      <c r="D3489" s="3" t="n">
        <v>12</v>
      </c>
      <c r="E3489" s="3" t="n">
        <v>15</v>
      </c>
      <c r="F3489" s="24" t="n">
        <v>0</v>
      </c>
    </row>
    <row r="3490" customFormat="false" ht="15" hidden="false" customHeight="false" outlineLevel="0" collapsed="false">
      <c r="A3490" s="3" t="n">
        <v>3489</v>
      </c>
      <c r="B3490" s="3" t="n">
        <v>3488</v>
      </c>
      <c r="C3490" s="3" t="n">
        <v>4</v>
      </c>
      <c r="D3490" s="3" t="n">
        <v>12</v>
      </c>
      <c r="E3490" s="3" t="n">
        <v>16</v>
      </c>
      <c r="F3490" s="24" t="n">
        <v>0</v>
      </c>
    </row>
    <row r="3491" customFormat="false" ht="15" hidden="false" customHeight="false" outlineLevel="0" collapsed="false">
      <c r="A3491" s="3" t="n">
        <v>3490</v>
      </c>
      <c r="B3491" s="3" t="n">
        <v>3489</v>
      </c>
      <c r="C3491" s="3" t="n">
        <v>4</v>
      </c>
      <c r="D3491" s="3" t="n">
        <v>12</v>
      </c>
      <c r="E3491" s="3" t="n">
        <v>17</v>
      </c>
      <c r="F3491" s="24" t="n">
        <v>0.839019358</v>
      </c>
    </row>
    <row r="3492" customFormat="false" ht="15" hidden="false" customHeight="false" outlineLevel="0" collapsed="false">
      <c r="A3492" s="3" t="n">
        <v>3491</v>
      </c>
      <c r="B3492" s="3" t="n">
        <v>3490</v>
      </c>
      <c r="C3492" s="3" t="n">
        <v>4</v>
      </c>
      <c r="D3492" s="3" t="n">
        <v>12</v>
      </c>
      <c r="E3492" s="3" t="n">
        <v>18</v>
      </c>
      <c r="F3492" s="24" t="n">
        <v>2.73404503</v>
      </c>
    </row>
    <row r="3493" customFormat="false" ht="15" hidden="false" customHeight="false" outlineLevel="0" collapsed="false">
      <c r="A3493" s="3" t="n">
        <v>3492</v>
      </c>
      <c r="B3493" s="3" t="n">
        <v>3491</v>
      </c>
      <c r="C3493" s="3" t="n">
        <v>4</v>
      </c>
      <c r="D3493" s="3" t="n">
        <v>12</v>
      </c>
      <c r="E3493" s="3" t="n">
        <v>19</v>
      </c>
      <c r="F3493" s="24" t="n">
        <v>2.73143339</v>
      </c>
    </row>
    <row r="3494" customFormat="false" ht="15" hidden="false" customHeight="false" outlineLevel="0" collapsed="false">
      <c r="A3494" s="3" t="n">
        <v>3493</v>
      </c>
      <c r="B3494" s="3" t="n">
        <v>3492</v>
      </c>
      <c r="C3494" s="3" t="n">
        <v>4</v>
      </c>
      <c r="D3494" s="3" t="n">
        <v>12</v>
      </c>
      <c r="E3494" s="3" t="n">
        <v>20</v>
      </c>
      <c r="F3494" s="24" t="n">
        <v>1.18435287</v>
      </c>
    </row>
    <row r="3495" customFormat="false" ht="15" hidden="false" customHeight="false" outlineLevel="0" collapsed="false">
      <c r="A3495" s="3" t="n">
        <v>3494</v>
      </c>
      <c r="B3495" s="3" t="n">
        <v>3493</v>
      </c>
      <c r="C3495" s="3" t="n">
        <v>4</v>
      </c>
      <c r="D3495" s="3" t="n">
        <v>12</v>
      </c>
      <c r="E3495" s="3" t="n">
        <v>21</v>
      </c>
      <c r="F3495" s="24" t="n">
        <v>0</v>
      </c>
    </row>
    <row r="3496" customFormat="false" ht="15" hidden="false" customHeight="false" outlineLevel="0" collapsed="false">
      <c r="A3496" s="3" t="n">
        <v>3495</v>
      </c>
      <c r="B3496" s="3" t="n">
        <v>3494</v>
      </c>
      <c r="C3496" s="3" t="n">
        <v>4</v>
      </c>
      <c r="D3496" s="3" t="n">
        <v>12</v>
      </c>
      <c r="E3496" s="3" t="n">
        <v>22</v>
      </c>
      <c r="F3496" s="24" t="n">
        <v>0</v>
      </c>
    </row>
    <row r="3497" customFormat="false" ht="15" hidden="false" customHeight="false" outlineLevel="0" collapsed="false">
      <c r="A3497" s="3" t="n">
        <v>3496</v>
      </c>
      <c r="B3497" s="3" t="n">
        <v>3495</v>
      </c>
      <c r="C3497" s="3" t="n">
        <v>4</v>
      </c>
      <c r="D3497" s="3" t="n">
        <v>12</v>
      </c>
      <c r="E3497" s="3" t="n">
        <v>23</v>
      </c>
      <c r="F3497" s="24" t="n">
        <v>0</v>
      </c>
    </row>
    <row r="3498" customFormat="false" ht="15" hidden="false" customHeight="false" outlineLevel="0" collapsed="false">
      <c r="A3498" s="3" t="n">
        <v>3497</v>
      </c>
      <c r="B3498" s="3" t="n">
        <v>3496</v>
      </c>
      <c r="C3498" s="3" t="n">
        <v>4</v>
      </c>
      <c r="D3498" s="3" t="n">
        <v>12</v>
      </c>
      <c r="E3498" s="3" t="n">
        <v>24</v>
      </c>
      <c r="F3498" s="24" t="n">
        <v>0</v>
      </c>
    </row>
    <row r="3499" customFormat="false" ht="15" hidden="false" customHeight="false" outlineLevel="0" collapsed="false">
      <c r="A3499" s="3" t="n">
        <v>3498</v>
      </c>
      <c r="B3499" s="3" t="n">
        <v>3497</v>
      </c>
      <c r="C3499" s="3" t="n">
        <v>4</v>
      </c>
      <c r="D3499" s="3" t="n">
        <v>12</v>
      </c>
      <c r="E3499" s="3" t="n">
        <v>25</v>
      </c>
      <c r="F3499" s="24" t="n">
        <v>0</v>
      </c>
    </row>
    <row r="3500" customFormat="false" ht="15" hidden="false" customHeight="false" outlineLevel="0" collapsed="false">
      <c r="A3500" s="3" t="n">
        <v>3499</v>
      </c>
      <c r="B3500" s="3" t="n">
        <v>3498</v>
      </c>
      <c r="C3500" s="3" t="n">
        <v>4</v>
      </c>
      <c r="D3500" s="3" t="n">
        <v>12</v>
      </c>
      <c r="E3500" s="3" t="n">
        <v>26</v>
      </c>
      <c r="F3500" s="24" t="n">
        <v>0</v>
      </c>
    </row>
    <row r="3501" customFormat="false" ht="15" hidden="false" customHeight="false" outlineLevel="0" collapsed="false">
      <c r="A3501" s="3" t="n">
        <v>3500</v>
      </c>
      <c r="B3501" s="3" t="n">
        <v>3499</v>
      </c>
      <c r="C3501" s="3" t="n">
        <v>4</v>
      </c>
      <c r="D3501" s="3" t="n">
        <v>12</v>
      </c>
      <c r="E3501" s="3" t="n">
        <v>27</v>
      </c>
      <c r="F3501" s="24" t="n">
        <v>0</v>
      </c>
    </row>
    <row r="3502" customFormat="false" ht="15" hidden="false" customHeight="false" outlineLevel="0" collapsed="false">
      <c r="A3502" s="3" t="n">
        <v>3501</v>
      </c>
      <c r="B3502" s="3" t="n">
        <v>3500</v>
      </c>
      <c r="C3502" s="3" t="n">
        <v>4</v>
      </c>
      <c r="D3502" s="3" t="n">
        <v>13</v>
      </c>
      <c r="E3502" s="3" t="n">
        <v>0</v>
      </c>
      <c r="F3502" s="24" t="n">
        <v>0</v>
      </c>
    </row>
    <row r="3503" customFormat="false" ht="15" hidden="false" customHeight="false" outlineLevel="0" collapsed="false">
      <c r="A3503" s="3" t="n">
        <v>3502</v>
      </c>
      <c r="B3503" s="3" t="n">
        <v>3501</v>
      </c>
      <c r="C3503" s="3" t="n">
        <v>4</v>
      </c>
      <c r="D3503" s="3" t="n">
        <v>13</v>
      </c>
      <c r="E3503" s="3" t="n">
        <v>1</v>
      </c>
      <c r="F3503" s="24" t="n">
        <v>0</v>
      </c>
    </row>
    <row r="3504" customFormat="false" ht="15" hidden="false" customHeight="false" outlineLevel="0" collapsed="false">
      <c r="A3504" s="3" t="n">
        <v>3503</v>
      </c>
      <c r="B3504" s="3" t="n">
        <v>3502</v>
      </c>
      <c r="C3504" s="3" t="n">
        <v>4</v>
      </c>
      <c r="D3504" s="3" t="n">
        <v>13</v>
      </c>
      <c r="E3504" s="3" t="n">
        <v>2</v>
      </c>
      <c r="F3504" s="24" t="n">
        <v>0</v>
      </c>
    </row>
    <row r="3505" customFormat="false" ht="15" hidden="false" customHeight="false" outlineLevel="0" collapsed="false">
      <c r="A3505" s="3" t="n">
        <v>3504</v>
      </c>
      <c r="B3505" s="3" t="n">
        <v>3503</v>
      </c>
      <c r="C3505" s="3" t="n">
        <v>4</v>
      </c>
      <c r="D3505" s="3" t="n">
        <v>13</v>
      </c>
      <c r="E3505" s="3" t="n">
        <v>3</v>
      </c>
      <c r="F3505" s="24" t="n">
        <v>0</v>
      </c>
    </row>
    <row r="3506" customFormat="false" ht="15" hidden="false" customHeight="false" outlineLevel="0" collapsed="false">
      <c r="A3506" s="3" t="n">
        <v>3505</v>
      </c>
      <c r="B3506" s="3" t="n">
        <v>3504</v>
      </c>
      <c r="C3506" s="3" t="n">
        <v>4</v>
      </c>
      <c r="D3506" s="3" t="n">
        <v>13</v>
      </c>
      <c r="E3506" s="3" t="n">
        <v>4</v>
      </c>
      <c r="F3506" s="24" t="n">
        <v>0</v>
      </c>
    </row>
    <row r="3507" customFormat="false" ht="15" hidden="false" customHeight="false" outlineLevel="0" collapsed="false">
      <c r="A3507" s="3" t="n">
        <v>3506</v>
      </c>
      <c r="B3507" s="3" t="n">
        <v>3505</v>
      </c>
      <c r="C3507" s="3" t="n">
        <v>4</v>
      </c>
      <c r="D3507" s="3" t="n">
        <v>13</v>
      </c>
      <c r="E3507" s="3" t="n">
        <v>5</v>
      </c>
      <c r="F3507" s="24" t="n">
        <v>0</v>
      </c>
    </row>
    <row r="3508" customFormat="false" ht="15" hidden="false" customHeight="false" outlineLevel="0" collapsed="false">
      <c r="A3508" s="3" t="n">
        <v>3507</v>
      </c>
      <c r="B3508" s="3" t="n">
        <v>3506</v>
      </c>
      <c r="C3508" s="3" t="n">
        <v>4</v>
      </c>
      <c r="D3508" s="3" t="n">
        <v>13</v>
      </c>
      <c r="E3508" s="3" t="n">
        <v>6</v>
      </c>
      <c r="F3508" s="24" t="n">
        <v>0</v>
      </c>
    </row>
    <row r="3509" customFormat="false" ht="15" hidden="false" customHeight="false" outlineLevel="0" collapsed="false">
      <c r="A3509" s="3" t="n">
        <v>3508</v>
      </c>
      <c r="B3509" s="3" t="n">
        <v>3507</v>
      </c>
      <c r="C3509" s="3" t="n">
        <v>4</v>
      </c>
      <c r="D3509" s="3" t="n">
        <v>13</v>
      </c>
      <c r="E3509" s="3" t="n">
        <v>7</v>
      </c>
      <c r="F3509" s="24" t="n">
        <v>0</v>
      </c>
    </row>
    <row r="3510" customFormat="false" ht="15" hidden="false" customHeight="false" outlineLevel="0" collapsed="false">
      <c r="A3510" s="3" t="n">
        <v>3509</v>
      </c>
      <c r="B3510" s="3" t="n">
        <v>3508</v>
      </c>
      <c r="C3510" s="3" t="n">
        <v>4</v>
      </c>
      <c r="D3510" s="3" t="n">
        <v>13</v>
      </c>
      <c r="E3510" s="3" t="n">
        <v>8</v>
      </c>
      <c r="F3510" s="24" t="n">
        <v>0</v>
      </c>
    </row>
    <row r="3511" customFormat="false" ht="15" hidden="false" customHeight="false" outlineLevel="0" collapsed="false">
      <c r="A3511" s="3" t="n">
        <v>3510</v>
      </c>
      <c r="B3511" s="3" t="n">
        <v>3509</v>
      </c>
      <c r="C3511" s="3" t="n">
        <v>4</v>
      </c>
      <c r="D3511" s="3" t="n">
        <v>13</v>
      </c>
      <c r="E3511" s="3" t="n">
        <v>9</v>
      </c>
      <c r="F3511" s="24" t="n">
        <v>0</v>
      </c>
    </row>
    <row r="3512" customFormat="false" ht="15" hidden="false" customHeight="false" outlineLevel="0" collapsed="false">
      <c r="A3512" s="3" t="n">
        <v>3511</v>
      </c>
      <c r="B3512" s="3" t="n">
        <v>3510</v>
      </c>
      <c r="C3512" s="3" t="n">
        <v>4</v>
      </c>
      <c r="D3512" s="3" t="n">
        <v>13</v>
      </c>
      <c r="E3512" s="3" t="n">
        <v>10</v>
      </c>
      <c r="F3512" s="24" t="n">
        <v>0</v>
      </c>
    </row>
    <row r="3513" customFormat="false" ht="15" hidden="false" customHeight="false" outlineLevel="0" collapsed="false">
      <c r="A3513" s="3" t="n">
        <v>3512</v>
      </c>
      <c r="B3513" s="3" t="n">
        <v>3511</v>
      </c>
      <c r="C3513" s="3" t="n">
        <v>4</v>
      </c>
      <c r="D3513" s="3" t="n">
        <v>13</v>
      </c>
      <c r="E3513" s="3" t="n">
        <v>11</v>
      </c>
      <c r="F3513" s="24" t="n">
        <v>0</v>
      </c>
    </row>
    <row r="3514" customFormat="false" ht="15" hidden="false" customHeight="false" outlineLevel="0" collapsed="false">
      <c r="A3514" s="3" t="n">
        <v>3513</v>
      </c>
      <c r="B3514" s="3" t="n">
        <v>3512</v>
      </c>
      <c r="C3514" s="3" t="n">
        <v>4</v>
      </c>
      <c r="D3514" s="3" t="n">
        <v>13</v>
      </c>
      <c r="E3514" s="3" t="n">
        <v>12</v>
      </c>
      <c r="F3514" s="24" t="n">
        <v>0</v>
      </c>
    </row>
    <row r="3515" customFormat="false" ht="15" hidden="false" customHeight="false" outlineLevel="0" collapsed="false">
      <c r="A3515" s="3" t="n">
        <v>3514</v>
      </c>
      <c r="B3515" s="3" t="n">
        <v>3513</v>
      </c>
      <c r="C3515" s="3" t="n">
        <v>4</v>
      </c>
      <c r="D3515" s="3" t="n">
        <v>13</v>
      </c>
      <c r="E3515" s="3" t="n">
        <v>13</v>
      </c>
      <c r="F3515" s="24" t="n">
        <v>0</v>
      </c>
    </row>
    <row r="3516" customFormat="false" ht="15" hidden="false" customHeight="false" outlineLevel="0" collapsed="false">
      <c r="A3516" s="3" t="n">
        <v>3515</v>
      </c>
      <c r="B3516" s="3" t="n">
        <v>3514</v>
      </c>
      <c r="C3516" s="3" t="n">
        <v>4</v>
      </c>
      <c r="D3516" s="3" t="n">
        <v>13</v>
      </c>
      <c r="E3516" s="3" t="n">
        <v>14</v>
      </c>
      <c r="F3516" s="24" t="n">
        <v>0</v>
      </c>
    </row>
    <row r="3517" customFormat="false" ht="15" hidden="false" customHeight="false" outlineLevel="0" collapsed="false">
      <c r="A3517" s="3" t="n">
        <v>3516</v>
      </c>
      <c r="B3517" s="3" t="n">
        <v>3515</v>
      </c>
      <c r="C3517" s="3" t="n">
        <v>4</v>
      </c>
      <c r="D3517" s="3" t="n">
        <v>13</v>
      </c>
      <c r="E3517" s="3" t="n">
        <v>15</v>
      </c>
      <c r="F3517" s="24" t="n">
        <v>0</v>
      </c>
    </row>
    <row r="3518" customFormat="false" ht="15" hidden="false" customHeight="false" outlineLevel="0" collapsed="false">
      <c r="A3518" s="3" t="n">
        <v>3517</v>
      </c>
      <c r="B3518" s="3" t="n">
        <v>3516</v>
      </c>
      <c r="C3518" s="3" t="n">
        <v>4</v>
      </c>
      <c r="D3518" s="3" t="n">
        <v>13</v>
      </c>
      <c r="E3518" s="3" t="n">
        <v>16</v>
      </c>
      <c r="F3518" s="24" t="n">
        <v>0.440409034</v>
      </c>
    </row>
    <row r="3519" customFormat="false" ht="15" hidden="false" customHeight="false" outlineLevel="0" collapsed="false">
      <c r="A3519" s="3" t="n">
        <v>3518</v>
      </c>
      <c r="B3519" s="3" t="n">
        <v>3517</v>
      </c>
      <c r="C3519" s="3" t="n">
        <v>4</v>
      </c>
      <c r="D3519" s="3" t="n">
        <v>13</v>
      </c>
      <c r="E3519" s="3" t="n">
        <v>17</v>
      </c>
      <c r="F3519" s="24" t="n">
        <v>2.18448257</v>
      </c>
    </row>
    <row r="3520" customFormat="false" ht="15" hidden="false" customHeight="false" outlineLevel="0" collapsed="false">
      <c r="A3520" s="3" t="n">
        <v>3519</v>
      </c>
      <c r="B3520" s="3" t="n">
        <v>3518</v>
      </c>
      <c r="C3520" s="3" t="n">
        <v>4</v>
      </c>
      <c r="D3520" s="3" t="n">
        <v>13</v>
      </c>
      <c r="E3520" s="3" t="n">
        <v>18</v>
      </c>
      <c r="F3520" s="24" t="n">
        <v>2.92700148</v>
      </c>
    </row>
    <row r="3521" customFormat="false" ht="15" hidden="false" customHeight="false" outlineLevel="0" collapsed="false">
      <c r="A3521" s="3" t="n">
        <v>3520</v>
      </c>
      <c r="B3521" s="3" t="n">
        <v>3519</v>
      </c>
      <c r="C3521" s="3" t="n">
        <v>4</v>
      </c>
      <c r="D3521" s="3" t="n">
        <v>13</v>
      </c>
      <c r="E3521" s="3" t="n">
        <v>19</v>
      </c>
      <c r="F3521" s="24" t="n">
        <v>1.68296874</v>
      </c>
    </row>
    <row r="3522" customFormat="false" ht="15" hidden="false" customHeight="false" outlineLevel="0" collapsed="false">
      <c r="A3522" s="3" t="n">
        <v>3521</v>
      </c>
      <c r="B3522" s="3" t="n">
        <v>3520</v>
      </c>
      <c r="C3522" s="3" t="n">
        <v>4</v>
      </c>
      <c r="D3522" s="3" t="n">
        <v>13</v>
      </c>
      <c r="E3522" s="3" t="n">
        <v>20</v>
      </c>
      <c r="F3522" s="24" t="n">
        <v>0</v>
      </c>
    </row>
    <row r="3523" customFormat="false" ht="15" hidden="false" customHeight="false" outlineLevel="0" collapsed="false">
      <c r="A3523" s="3" t="n">
        <v>3522</v>
      </c>
      <c r="B3523" s="3" t="n">
        <v>3521</v>
      </c>
      <c r="C3523" s="3" t="n">
        <v>4</v>
      </c>
      <c r="D3523" s="3" t="n">
        <v>13</v>
      </c>
      <c r="E3523" s="3" t="n">
        <v>21</v>
      </c>
      <c r="F3523" s="24" t="n">
        <v>0</v>
      </c>
    </row>
    <row r="3524" customFormat="false" ht="15" hidden="false" customHeight="false" outlineLevel="0" collapsed="false">
      <c r="A3524" s="3" t="n">
        <v>3523</v>
      </c>
      <c r="B3524" s="3" t="n">
        <v>3522</v>
      </c>
      <c r="C3524" s="3" t="n">
        <v>4</v>
      </c>
      <c r="D3524" s="3" t="n">
        <v>13</v>
      </c>
      <c r="E3524" s="3" t="n">
        <v>22</v>
      </c>
      <c r="F3524" s="24" t="n">
        <v>0</v>
      </c>
    </row>
    <row r="3525" customFormat="false" ht="15" hidden="false" customHeight="false" outlineLevel="0" collapsed="false">
      <c r="A3525" s="3" t="n">
        <v>3524</v>
      </c>
      <c r="B3525" s="3" t="n">
        <v>3523</v>
      </c>
      <c r="C3525" s="3" t="n">
        <v>4</v>
      </c>
      <c r="D3525" s="3" t="n">
        <v>13</v>
      </c>
      <c r="E3525" s="3" t="n">
        <v>23</v>
      </c>
      <c r="F3525" s="24" t="n">
        <v>0</v>
      </c>
    </row>
    <row r="3526" customFormat="false" ht="15" hidden="false" customHeight="false" outlineLevel="0" collapsed="false">
      <c r="A3526" s="3" t="n">
        <v>3525</v>
      </c>
      <c r="B3526" s="3" t="n">
        <v>3524</v>
      </c>
      <c r="C3526" s="3" t="n">
        <v>4</v>
      </c>
      <c r="D3526" s="3" t="n">
        <v>13</v>
      </c>
      <c r="E3526" s="3" t="n">
        <v>24</v>
      </c>
      <c r="F3526" s="24" t="n">
        <v>0</v>
      </c>
    </row>
    <row r="3527" customFormat="false" ht="15" hidden="false" customHeight="false" outlineLevel="0" collapsed="false">
      <c r="A3527" s="3" t="n">
        <v>3526</v>
      </c>
      <c r="B3527" s="3" t="n">
        <v>3525</v>
      </c>
      <c r="C3527" s="3" t="n">
        <v>4</v>
      </c>
      <c r="D3527" s="3" t="n">
        <v>13</v>
      </c>
      <c r="E3527" s="3" t="n">
        <v>25</v>
      </c>
      <c r="F3527" s="24" t="n">
        <v>0</v>
      </c>
    </row>
    <row r="3528" customFormat="false" ht="15" hidden="false" customHeight="false" outlineLevel="0" collapsed="false">
      <c r="A3528" s="3" t="n">
        <v>3527</v>
      </c>
      <c r="B3528" s="3" t="n">
        <v>3526</v>
      </c>
      <c r="C3528" s="3" t="n">
        <v>4</v>
      </c>
      <c r="D3528" s="3" t="n">
        <v>13</v>
      </c>
      <c r="E3528" s="3" t="n">
        <v>26</v>
      </c>
      <c r="F3528" s="24" t="n">
        <v>0</v>
      </c>
    </row>
    <row r="3529" customFormat="false" ht="15" hidden="false" customHeight="false" outlineLevel="0" collapsed="false">
      <c r="A3529" s="3" t="n">
        <v>3528</v>
      </c>
      <c r="B3529" s="3" t="n">
        <v>3527</v>
      </c>
      <c r="C3529" s="3" t="n">
        <v>4</v>
      </c>
      <c r="D3529" s="3" t="n">
        <v>13</v>
      </c>
      <c r="E3529" s="3" t="n">
        <v>27</v>
      </c>
      <c r="F3529" s="24" t="n">
        <v>0</v>
      </c>
    </row>
    <row r="3530" customFormat="false" ht="15" hidden="false" customHeight="false" outlineLevel="0" collapsed="false">
      <c r="A3530" s="3" t="n">
        <v>3529</v>
      </c>
      <c r="B3530" s="3" t="n">
        <v>3528</v>
      </c>
      <c r="C3530" s="3" t="n">
        <v>4</v>
      </c>
      <c r="D3530" s="3" t="n">
        <v>14</v>
      </c>
      <c r="E3530" s="3" t="n">
        <v>0</v>
      </c>
      <c r="F3530" s="24" t="n">
        <v>0</v>
      </c>
    </row>
    <row r="3531" customFormat="false" ht="15" hidden="false" customHeight="false" outlineLevel="0" collapsed="false">
      <c r="A3531" s="3" t="n">
        <v>3530</v>
      </c>
      <c r="B3531" s="3" t="n">
        <v>3529</v>
      </c>
      <c r="C3531" s="3" t="n">
        <v>4</v>
      </c>
      <c r="D3531" s="3" t="n">
        <v>14</v>
      </c>
      <c r="E3531" s="3" t="n">
        <v>1</v>
      </c>
      <c r="F3531" s="24" t="n">
        <v>0</v>
      </c>
    </row>
    <row r="3532" customFormat="false" ht="15" hidden="false" customHeight="false" outlineLevel="0" collapsed="false">
      <c r="A3532" s="3" t="n">
        <v>3531</v>
      </c>
      <c r="B3532" s="3" t="n">
        <v>3530</v>
      </c>
      <c r="C3532" s="3" t="n">
        <v>4</v>
      </c>
      <c r="D3532" s="3" t="n">
        <v>14</v>
      </c>
      <c r="E3532" s="3" t="n">
        <v>2</v>
      </c>
      <c r="F3532" s="24" t="n">
        <v>0</v>
      </c>
    </row>
    <row r="3533" customFormat="false" ht="15" hidden="false" customHeight="false" outlineLevel="0" collapsed="false">
      <c r="A3533" s="3" t="n">
        <v>3532</v>
      </c>
      <c r="B3533" s="3" t="n">
        <v>3531</v>
      </c>
      <c r="C3533" s="3" t="n">
        <v>4</v>
      </c>
      <c r="D3533" s="3" t="n">
        <v>14</v>
      </c>
      <c r="E3533" s="3" t="n">
        <v>3</v>
      </c>
      <c r="F3533" s="24" t="n">
        <v>0</v>
      </c>
    </row>
    <row r="3534" customFormat="false" ht="15" hidden="false" customHeight="false" outlineLevel="0" collapsed="false">
      <c r="A3534" s="3" t="n">
        <v>3533</v>
      </c>
      <c r="B3534" s="3" t="n">
        <v>3532</v>
      </c>
      <c r="C3534" s="3" t="n">
        <v>4</v>
      </c>
      <c r="D3534" s="3" t="n">
        <v>14</v>
      </c>
      <c r="E3534" s="3" t="n">
        <v>4</v>
      </c>
      <c r="F3534" s="24" t="n">
        <v>0</v>
      </c>
    </row>
    <row r="3535" customFormat="false" ht="15" hidden="false" customHeight="false" outlineLevel="0" collapsed="false">
      <c r="A3535" s="3" t="n">
        <v>3534</v>
      </c>
      <c r="B3535" s="3" t="n">
        <v>3533</v>
      </c>
      <c r="C3535" s="3" t="n">
        <v>4</v>
      </c>
      <c r="D3535" s="3" t="n">
        <v>14</v>
      </c>
      <c r="E3535" s="3" t="n">
        <v>5</v>
      </c>
      <c r="F3535" s="24" t="n">
        <v>0</v>
      </c>
    </row>
    <row r="3536" customFormat="false" ht="15" hidden="false" customHeight="false" outlineLevel="0" collapsed="false">
      <c r="A3536" s="3" t="n">
        <v>3535</v>
      </c>
      <c r="B3536" s="3" t="n">
        <v>3534</v>
      </c>
      <c r="C3536" s="3" t="n">
        <v>4</v>
      </c>
      <c r="D3536" s="3" t="n">
        <v>14</v>
      </c>
      <c r="E3536" s="3" t="n">
        <v>6</v>
      </c>
      <c r="F3536" s="24" t="n">
        <v>0</v>
      </c>
    </row>
    <row r="3537" customFormat="false" ht="15" hidden="false" customHeight="false" outlineLevel="0" collapsed="false">
      <c r="A3537" s="3" t="n">
        <v>3536</v>
      </c>
      <c r="B3537" s="3" t="n">
        <v>3535</v>
      </c>
      <c r="C3537" s="3" t="n">
        <v>4</v>
      </c>
      <c r="D3537" s="3" t="n">
        <v>14</v>
      </c>
      <c r="E3537" s="3" t="n">
        <v>7</v>
      </c>
      <c r="F3537" s="24" t="n">
        <v>0</v>
      </c>
    </row>
    <row r="3538" customFormat="false" ht="15" hidden="false" customHeight="false" outlineLevel="0" collapsed="false">
      <c r="A3538" s="3" t="n">
        <v>3537</v>
      </c>
      <c r="B3538" s="3" t="n">
        <v>3536</v>
      </c>
      <c r="C3538" s="3" t="n">
        <v>4</v>
      </c>
      <c r="D3538" s="3" t="n">
        <v>14</v>
      </c>
      <c r="E3538" s="3" t="n">
        <v>8</v>
      </c>
      <c r="F3538" s="24" t="n">
        <v>0</v>
      </c>
    </row>
    <row r="3539" customFormat="false" ht="15" hidden="false" customHeight="false" outlineLevel="0" collapsed="false">
      <c r="A3539" s="3" t="n">
        <v>3538</v>
      </c>
      <c r="B3539" s="3" t="n">
        <v>3537</v>
      </c>
      <c r="C3539" s="3" t="n">
        <v>4</v>
      </c>
      <c r="D3539" s="3" t="n">
        <v>14</v>
      </c>
      <c r="E3539" s="3" t="n">
        <v>9</v>
      </c>
      <c r="F3539" s="24" t="n">
        <v>0</v>
      </c>
    </row>
    <row r="3540" customFormat="false" ht="15" hidden="false" customHeight="false" outlineLevel="0" collapsed="false">
      <c r="A3540" s="3" t="n">
        <v>3539</v>
      </c>
      <c r="B3540" s="3" t="n">
        <v>3538</v>
      </c>
      <c r="C3540" s="3" t="n">
        <v>4</v>
      </c>
      <c r="D3540" s="3" t="n">
        <v>14</v>
      </c>
      <c r="E3540" s="3" t="n">
        <v>10</v>
      </c>
      <c r="F3540" s="24" t="n">
        <v>0</v>
      </c>
    </row>
    <row r="3541" customFormat="false" ht="15" hidden="false" customHeight="false" outlineLevel="0" collapsed="false">
      <c r="A3541" s="3" t="n">
        <v>3540</v>
      </c>
      <c r="B3541" s="3" t="n">
        <v>3539</v>
      </c>
      <c r="C3541" s="3" t="n">
        <v>4</v>
      </c>
      <c r="D3541" s="3" t="n">
        <v>14</v>
      </c>
      <c r="E3541" s="3" t="n">
        <v>11</v>
      </c>
      <c r="F3541" s="24" t="n">
        <v>0</v>
      </c>
    </row>
    <row r="3542" customFormat="false" ht="15" hidden="false" customHeight="false" outlineLevel="0" collapsed="false">
      <c r="A3542" s="3" t="n">
        <v>3541</v>
      </c>
      <c r="B3542" s="3" t="n">
        <v>3540</v>
      </c>
      <c r="C3542" s="3" t="n">
        <v>4</v>
      </c>
      <c r="D3542" s="3" t="n">
        <v>14</v>
      </c>
      <c r="E3542" s="3" t="n">
        <v>12</v>
      </c>
      <c r="F3542" s="24" t="n">
        <v>0</v>
      </c>
    </row>
    <row r="3543" customFormat="false" ht="15" hidden="false" customHeight="false" outlineLevel="0" collapsed="false">
      <c r="A3543" s="3" t="n">
        <v>3542</v>
      </c>
      <c r="B3543" s="3" t="n">
        <v>3541</v>
      </c>
      <c r="C3543" s="3" t="n">
        <v>4</v>
      </c>
      <c r="D3543" s="3" t="n">
        <v>14</v>
      </c>
      <c r="E3543" s="3" t="n">
        <v>13</v>
      </c>
      <c r="F3543" s="24" t="n">
        <v>0</v>
      </c>
    </row>
    <row r="3544" customFormat="false" ht="15" hidden="false" customHeight="false" outlineLevel="0" collapsed="false">
      <c r="A3544" s="3" t="n">
        <v>3543</v>
      </c>
      <c r="B3544" s="3" t="n">
        <v>3542</v>
      </c>
      <c r="C3544" s="3" t="n">
        <v>4</v>
      </c>
      <c r="D3544" s="3" t="n">
        <v>14</v>
      </c>
      <c r="E3544" s="3" t="n">
        <v>14</v>
      </c>
      <c r="F3544" s="24" t="n">
        <v>0</v>
      </c>
    </row>
    <row r="3545" customFormat="false" ht="15" hidden="false" customHeight="false" outlineLevel="0" collapsed="false">
      <c r="A3545" s="3" t="n">
        <v>3544</v>
      </c>
      <c r="B3545" s="3" t="n">
        <v>3543</v>
      </c>
      <c r="C3545" s="3" t="n">
        <v>4</v>
      </c>
      <c r="D3545" s="3" t="n">
        <v>14</v>
      </c>
      <c r="E3545" s="3" t="n">
        <v>15</v>
      </c>
      <c r="F3545" s="24" t="n">
        <v>0</v>
      </c>
    </row>
    <row r="3546" customFormat="false" ht="15" hidden="false" customHeight="false" outlineLevel="0" collapsed="false">
      <c r="A3546" s="3" t="n">
        <v>3545</v>
      </c>
      <c r="B3546" s="3" t="n">
        <v>3544</v>
      </c>
      <c r="C3546" s="3" t="n">
        <v>4</v>
      </c>
      <c r="D3546" s="3" t="n">
        <v>14</v>
      </c>
      <c r="E3546" s="3" t="n">
        <v>16</v>
      </c>
      <c r="F3546" s="24" t="n">
        <v>0.959180415</v>
      </c>
    </row>
    <row r="3547" customFormat="false" ht="15" hidden="false" customHeight="false" outlineLevel="0" collapsed="false">
      <c r="A3547" s="3" t="n">
        <v>3546</v>
      </c>
      <c r="B3547" s="3" t="n">
        <v>3545</v>
      </c>
      <c r="C3547" s="3" t="n">
        <v>4</v>
      </c>
      <c r="D3547" s="3" t="n">
        <v>14</v>
      </c>
      <c r="E3547" s="3" t="n">
        <v>17</v>
      </c>
      <c r="F3547" s="24" t="n">
        <v>2.63404322</v>
      </c>
    </row>
    <row r="3548" customFormat="false" ht="15" hidden="false" customHeight="false" outlineLevel="0" collapsed="false">
      <c r="A3548" s="3" t="n">
        <v>3547</v>
      </c>
      <c r="B3548" s="3" t="n">
        <v>3546</v>
      </c>
      <c r="C3548" s="3" t="n">
        <v>4</v>
      </c>
      <c r="D3548" s="3" t="n">
        <v>14</v>
      </c>
      <c r="E3548" s="3" t="n">
        <v>18</v>
      </c>
      <c r="F3548" s="24" t="n">
        <v>2.4527657</v>
      </c>
    </row>
    <row r="3549" customFormat="false" ht="15" hidden="false" customHeight="false" outlineLevel="0" collapsed="false">
      <c r="A3549" s="3" t="n">
        <v>3548</v>
      </c>
      <c r="B3549" s="3" t="n">
        <v>3547</v>
      </c>
      <c r="C3549" s="3" t="n">
        <v>4</v>
      </c>
      <c r="D3549" s="3" t="n">
        <v>14</v>
      </c>
      <c r="E3549" s="3" t="n">
        <v>19</v>
      </c>
      <c r="F3549" s="24" t="n">
        <v>0.912863731</v>
      </c>
    </row>
    <row r="3550" customFormat="false" ht="15" hidden="false" customHeight="false" outlineLevel="0" collapsed="false">
      <c r="A3550" s="3" t="n">
        <v>3549</v>
      </c>
      <c r="B3550" s="3" t="n">
        <v>3548</v>
      </c>
      <c r="C3550" s="3" t="n">
        <v>4</v>
      </c>
      <c r="D3550" s="3" t="n">
        <v>14</v>
      </c>
      <c r="E3550" s="3" t="n">
        <v>20</v>
      </c>
      <c r="F3550" s="24" t="n">
        <v>0</v>
      </c>
    </row>
    <row r="3551" customFormat="false" ht="15" hidden="false" customHeight="false" outlineLevel="0" collapsed="false">
      <c r="A3551" s="3" t="n">
        <v>3550</v>
      </c>
      <c r="B3551" s="3" t="n">
        <v>3549</v>
      </c>
      <c r="C3551" s="3" t="n">
        <v>4</v>
      </c>
      <c r="D3551" s="3" t="n">
        <v>14</v>
      </c>
      <c r="E3551" s="3" t="n">
        <v>21</v>
      </c>
      <c r="F3551" s="24" t="n">
        <v>0</v>
      </c>
    </row>
    <row r="3552" customFormat="false" ht="15" hidden="false" customHeight="false" outlineLevel="0" collapsed="false">
      <c r="A3552" s="3" t="n">
        <v>3551</v>
      </c>
      <c r="B3552" s="3" t="n">
        <v>3550</v>
      </c>
      <c r="C3552" s="3" t="n">
        <v>4</v>
      </c>
      <c r="D3552" s="3" t="n">
        <v>14</v>
      </c>
      <c r="E3552" s="3" t="n">
        <v>22</v>
      </c>
      <c r="F3552" s="24" t="n">
        <v>0</v>
      </c>
    </row>
    <row r="3553" customFormat="false" ht="15" hidden="false" customHeight="false" outlineLevel="0" collapsed="false">
      <c r="A3553" s="3" t="n">
        <v>3552</v>
      </c>
      <c r="B3553" s="3" t="n">
        <v>3551</v>
      </c>
      <c r="C3553" s="3" t="n">
        <v>4</v>
      </c>
      <c r="D3553" s="3" t="n">
        <v>14</v>
      </c>
      <c r="E3553" s="3" t="n">
        <v>23</v>
      </c>
      <c r="F3553" s="24" t="n">
        <v>0</v>
      </c>
    </row>
    <row r="3554" customFormat="false" ht="15" hidden="false" customHeight="false" outlineLevel="0" collapsed="false">
      <c r="A3554" s="3" t="n">
        <v>3553</v>
      </c>
      <c r="B3554" s="3" t="n">
        <v>3552</v>
      </c>
      <c r="C3554" s="3" t="n">
        <v>4</v>
      </c>
      <c r="D3554" s="3" t="n">
        <v>14</v>
      </c>
      <c r="E3554" s="3" t="n">
        <v>24</v>
      </c>
      <c r="F3554" s="24" t="n">
        <v>0</v>
      </c>
    </row>
    <row r="3555" customFormat="false" ht="15" hidden="false" customHeight="false" outlineLevel="0" collapsed="false">
      <c r="A3555" s="3" t="n">
        <v>3554</v>
      </c>
      <c r="B3555" s="3" t="n">
        <v>3553</v>
      </c>
      <c r="C3555" s="3" t="n">
        <v>4</v>
      </c>
      <c r="D3555" s="3" t="n">
        <v>14</v>
      </c>
      <c r="E3555" s="3" t="n">
        <v>25</v>
      </c>
      <c r="F3555" s="24" t="n">
        <v>0</v>
      </c>
    </row>
    <row r="3556" customFormat="false" ht="15" hidden="false" customHeight="false" outlineLevel="0" collapsed="false">
      <c r="A3556" s="3" t="n">
        <v>3555</v>
      </c>
      <c r="B3556" s="3" t="n">
        <v>3554</v>
      </c>
      <c r="C3556" s="3" t="n">
        <v>4</v>
      </c>
      <c r="D3556" s="3" t="n">
        <v>14</v>
      </c>
      <c r="E3556" s="3" t="n">
        <v>26</v>
      </c>
      <c r="F3556" s="24" t="n">
        <v>0</v>
      </c>
    </row>
    <row r="3557" customFormat="false" ht="15" hidden="false" customHeight="false" outlineLevel="0" collapsed="false">
      <c r="A3557" s="3" t="n">
        <v>3556</v>
      </c>
      <c r="B3557" s="3" t="n">
        <v>3555</v>
      </c>
      <c r="C3557" s="3" t="n">
        <v>4</v>
      </c>
      <c r="D3557" s="3" t="n">
        <v>14</v>
      </c>
      <c r="E3557" s="3" t="n">
        <v>27</v>
      </c>
      <c r="F3557" s="24" t="n">
        <v>0</v>
      </c>
    </row>
    <row r="3558" customFormat="false" ht="15" hidden="false" customHeight="false" outlineLevel="0" collapsed="false">
      <c r="A3558" s="3" t="n">
        <v>3557</v>
      </c>
      <c r="B3558" s="3" t="n">
        <v>3556</v>
      </c>
      <c r="C3558" s="3" t="n">
        <v>4</v>
      </c>
      <c r="D3558" s="3" t="n">
        <v>15</v>
      </c>
      <c r="E3558" s="3" t="n">
        <v>0</v>
      </c>
      <c r="F3558" s="24" t="n">
        <v>0</v>
      </c>
    </row>
    <row r="3559" customFormat="false" ht="15" hidden="false" customHeight="false" outlineLevel="0" collapsed="false">
      <c r="A3559" s="3" t="n">
        <v>3558</v>
      </c>
      <c r="B3559" s="3" t="n">
        <v>3557</v>
      </c>
      <c r="C3559" s="3" t="n">
        <v>4</v>
      </c>
      <c r="D3559" s="3" t="n">
        <v>15</v>
      </c>
      <c r="E3559" s="3" t="n">
        <v>1</v>
      </c>
      <c r="F3559" s="24" t="n">
        <v>0</v>
      </c>
    </row>
    <row r="3560" customFormat="false" ht="15" hidden="false" customHeight="false" outlineLevel="0" collapsed="false">
      <c r="A3560" s="3" t="n">
        <v>3559</v>
      </c>
      <c r="B3560" s="3" t="n">
        <v>3558</v>
      </c>
      <c r="C3560" s="3" t="n">
        <v>4</v>
      </c>
      <c r="D3560" s="3" t="n">
        <v>15</v>
      </c>
      <c r="E3560" s="3" t="n">
        <v>2</v>
      </c>
      <c r="F3560" s="24" t="n">
        <v>0</v>
      </c>
    </row>
    <row r="3561" customFormat="false" ht="15" hidden="false" customHeight="false" outlineLevel="0" collapsed="false">
      <c r="A3561" s="3" t="n">
        <v>3560</v>
      </c>
      <c r="B3561" s="3" t="n">
        <v>3559</v>
      </c>
      <c r="C3561" s="3" t="n">
        <v>4</v>
      </c>
      <c r="D3561" s="3" t="n">
        <v>15</v>
      </c>
      <c r="E3561" s="3" t="n">
        <v>3</v>
      </c>
      <c r="F3561" s="24" t="n">
        <v>0</v>
      </c>
    </row>
    <row r="3562" customFormat="false" ht="15" hidden="false" customHeight="false" outlineLevel="0" collapsed="false">
      <c r="A3562" s="3" t="n">
        <v>3561</v>
      </c>
      <c r="B3562" s="3" t="n">
        <v>3560</v>
      </c>
      <c r="C3562" s="3" t="n">
        <v>4</v>
      </c>
      <c r="D3562" s="3" t="n">
        <v>15</v>
      </c>
      <c r="E3562" s="3" t="n">
        <v>4</v>
      </c>
      <c r="F3562" s="24" t="n">
        <v>0</v>
      </c>
    </row>
    <row r="3563" customFormat="false" ht="15" hidden="false" customHeight="false" outlineLevel="0" collapsed="false">
      <c r="A3563" s="3" t="n">
        <v>3562</v>
      </c>
      <c r="B3563" s="3" t="n">
        <v>3561</v>
      </c>
      <c r="C3563" s="3" t="n">
        <v>4</v>
      </c>
      <c r="D3563" s="3" t="n">
        <v>15</v>
      </c>
      <c r="E3563" s="3" t="n">
        <v>5</v>
      </c>
      <c r="F3563" s="24" t="n">
        <v>0</v>
      </c>
    </row>
    <row r="3564" customFormat="false" ht="15" hidden="false" customHeight="false" outlineLevel="0" collapsed="false">
      <c r="A3564" s="3" t="n">
        <v>3563</v>
      </c>
      <c r="B3564" s="3" t="n">
        <v>3562</v>
      </c>
      <c r="C3564" s="3" t="n">
        <v>4</v>
      </c>
      <c r="D3564" s="3" t="n">
        <v>15</v>
      </c>
      <c r="E3564" s="3" t="n">
        <v>6</v>
      </c>
      <c r="F3564" s="24" t="n">
        <v>0</v>
      </c>
    </row>
    <row r="3565" customFormat="false" ht="15" hidden="false" customHeight="false" outlineLevel="0" collapsed="false">
      <c r="A3565" s="3" t="n">
        <v>3564</v>
      </c>
      <c r="B3565" s="3" t="n">
        <v>3563</v>
      </c>
      <c r="C3565" s="3" t="n">
        <v>4</v>
      </c>
      <c r="D3565" s="3" t="n">
        <v>15</v>
      </c>
      <c r="E3565" s="3" t="n">
        <v>7</v>
      </c>
      <c r="F3565" s="24" t="n">
        <v>0</v>
      </c>
    </row>
    <row r="3566" customFormat="false" ht="15" hidden="false" customHeight="false" outlineLevel="0" collapsed="false">
      <c r="A3566" s="3" t="n">
        <v>3565</v>
      </c>
      <c r="B3566" s="3" t="n">
        <v>3564</v>
      </c>
      <c r="C3566" s="3" t="n">
        <v>4</v>
      </c>
      <c r="D3566" s="3" t="n">
        <v>15</v>
      </c>
      <c r="E3566" s="3" t="n">
        <v>8</v>
      </c>
      <c r="F3566" s="24" t="n">
        <v>0</v>
      </c>
    </row>
    <row r="3567" customFormat="false" ht="15" hidden="false" customHeight="false" outlineLevel="0" collapsed="false">
      <c r="A3567" s="3" t="n">
        <v>3566</v>
      </c>
      <c r="B3567" s="3" t="n">
        <v>3565</v>
      </c>
      <c r="C3567" s="3" t="n">
        <v>4</v>
      </c>
      <c r="D3567" s="3" t="n">
        <v>15</v>
      </c>
      <c r="E3567" s="3" t="n">
        <v>9</v>
      </c>
      <c r="F3567" s="24" t="n">
        <v>0</v>
      </c>
    </row>
    <row r="3568" customFormat="false" ht="15" hidden="false" customHeight="false" outlineLevel="0" collapsed="false">
      <c r="A3568" s="3" t="n">
        <v>3567</v>
      </c>
      <c r="B3568" s="3" t="n">
        <v>3566</v>
      </c>
      <c r="C3568" s="3" t="n">
        <v>4</v>
      </c>
      <c r="D3568" s="3" t="n">
        <v>15</v>
      </c>
      <c r="E3568" s="3" t="n">
        <v>10</v>
      </c>
      <c r="F3568" s="24" t="n">
        <v>0</v>
      </c>
    </row>
    <row r="3569" customFormat="false" ht="15" hidden="false" customHeight="false" outlineLevel="0" collapsed="false">
      <c r="A3569" s="3" t="n">
        <v>3568</v>
      </c>
      <c r="B3569" s="3" t="n">
        <v>3567</v>
      </c>
      <c r="C3569" s="3" t="n">
        <v>4</v>
      </c>
      <c r="D3569" s="3" t="n">
        <v>15</v>
      </c>
      <c r="E3569" s="3" t="n">
        <v>11</v>
      </c>
      <c r="F3569" s="24" t="n">
        <v>0</v>
      </c>
    </row>
    <row r="3570" customFormat="false" ht="15" hidden="false" customHeight="false" outlineLevel="0" collapsed="false">
      <c r="A3570" s="3" t="n">
        <v>3569</v>
      </c>
      <c r="B3570" s="3" t="n">
        <v>3568</v>
      </c>
      <c r="C3570" s="3" t="n">
        <v>4</v>
      </c>
      <c r="D3570" s="3" t="n">
        <v>15</v>
      </c>
      <c r="E3570" s="3" t="n">
        <v>12</v>
      </c>
      <c r="F3570" s="24" t="n">
        <v>0</v>
      </c>
    </row>
    <row r="3571" customFormat="false" ht="15" hidden="false" customHeight="false" outlineLevel="0" collapsed="false">
      <c r="A3571" s="3" t="n">
        <v>3570</v>
      </c>
      <c r="B3571" s="3" t="n">
        <v>3569</v>
      </c>
      <c r="C3571" s="3" t="n">
        <v>4</v>
      </c>
      <c r="D3571" s="3" t="n">
        <v>15</v>
      </c>
      <c r="E3571" s="3" t="n">
        <v>13</v>
      </c>
      <c r="F3571" s="24" t="n">
        <v>0</v>
      </c>
    </row>
    <row r="3572" customFormat="false" ht="15" hidden="false" customHeight="false" outlineLevel="0" collapsed="false">
      <c r="A3572" s="3" t="n">
        <v>3571</v>
      </c>
      <c r="B3572" s="3" t="n">
        <v>3570</v>
      </c>
      <c r="C3572" s="3" t="n">
        <v>4</v>
      </c>
      <c r="D3572" s="3" t="n">
        <v>15</v>
      </c>
      <c r="E3572" s="3" t="n">
        <v>14</v>
      </c>
      <c r="F3572" s="24" t="n">
        <v>0</v>
      </c>
    </row>
    <row r="3573" customFormat="false" ht="15" hidden="false" customHeight="false" outlineLevel="0" collapsed="false">
      <c r="A3573" s="3" t="n">
        <v>3572</v>
      </c>
      <c r="B3573" s="3" t="n">
        <v>3571</v>
      </c>
      <c r="C3573" s="3" t="n">
        <v>4</v>
      </c>
      <c r="D3573" s="3" t="n">
        <v>15</v>
      </c>
      <c r="E3573" s="3" t="n">
        <v>15</v>
      </c>
      <c r="F3573" s="24" t="n">
        <v>0.0859150887</v>
      </c>
    </row>
    <row r="3574" customFormat="false" ht="15" hidden="false" customHeight="false" outlineLevel="0" collapsed="false">
      <c r="A3574" s="3" t="n">
        <v>3573</v>
      </c>
      <c r="B3574" s="3" t="n">
        <v>3572</v>
      </c>
      <c r="C3574" s="3" t="n">
        <v>4</v>
      </c>
      <c r="D3574" s="3" t="n">
        <v>15</v>
      </c>
      <c r="E3574" s="3" t="n">
        <v>16</v>
      </c>
      <c r="F3574" s="24" t="n">
        <v>1.89479518</v>
      </c>
    </row>
    <row r="3575" customFormat="false" ht="15" hidden="false" customHeight="false" outlineLevel="0" collapsed="false">
      <c r="A3575" s="3" t="n">
        <v>3574</v>
      </c>
      <c r="B3575" s="3" t="n">
        <v>3573</v>
      </c>
      <c r="C3575" s="3" t="n">
        <v>4</v>
      </c>
      <c r="D3575" s="3" t="n">
        <v>15</v>
      </c>
      <c r="E3575" s="3" t="n">
        <v>17</v>
      </c>
      <c r="F3575" s="24" t="n">
        <v>2.89222431</v>
      </c>
    </row>
    <row r="3576" customFormat="false" ht="15" hidden="false" customHeight="false" outlineLevel="0" collapsed="false">
      <c r="A3576" s="3" t="n">
        <v>3575</v>
      </c>
      <c r="B3576" s="3" t="n">
        <v>3574</v>
      </c>
      <c r="C3576" s="3" t="n">
        <v>4</v>
      </c>
      <c r="D3576" s="3" t="n">
        <v>15</v>
      </c>
      <c r="E3576" s="3" t="n">
        <v>18</v>
      </c>
      <c r="F3576" s="24" t="n">
        <v>1.63930154</v>
      </c>
    </row>
    <row r="3577" customFormat="false" ht="15" hidden="false" customHeight="false" outlineLevel="0" collapsed="false">
      <c r="A3577" s="3" t="n">
        <v>3576</v>
      </c>
      <c r="B3577" s="3" t="n">
        <v>3575</v>
      </c>
      <c r="C3577" s="3" t="n">
        <v>4</v>
      </c>
      <c r="D3577" s="3" t="n">
        <v>15</v>
      </c>
      <c r="E3577" s="3" t="n">
        <v>19</v>
      </c>
      <c r="F3577" s="24" t="n">
        <v>0</v>
      </c>
    </row>
    <row r="3578" customFormat="false" ht="15" hidden="false" customHeight="false" outlineLevel="0" collapsed="false">
      <c r="A3578" s="3" t="n">
        <v>3577</v>
      </c>
      <c r="B3578" s="3" t="n">
        <v>3576</v>
      </c>
      <c r="C3578" s="3" t="n">
        <v>4</v>
      </c>
      <c r="D3578" s="3" t="n">
        <v>15</v>
      </c>
      <c r="E3578" s="3" t="n">
        <v>20</v>
      </c>
      <c r="F3578" s="24" t="n">
        <v>0</v>
      </c>
    </row>
    <row r="3579" customFormat="false" ht="15" hidden="false" customHeight="false" outlineLevel="0" collapsed="false">
      <c r="A3579" s="3" t="n">
        <v>3578</v>
      </c>
      <c r="B3579" s="3" t="n">
        <v>3577</v>
      </c>
      <c r="C3579" s="3" t="n">
        <v>4</v>
      </c>
      <c r="D3579" s="3" t="n">
        <v>15</v>
      </c>
      <c r="E3579" s="3" t="n">
        <v>21</v>
      </c>
      <c r="F3579" s="24" t="n">
        <v>0</v>
      </c>
    </row>
    <row r="3580" customFormat="false" ht="15" hidden="false" customHeight="false" outlineLevel="0" collapsed="false">
      <c r="A3580" s="3" t="n">
        <v>3579</v>
      </c>
      <c r="B3580" s="3" t="n">
        <v>3578</v>
      </c>
      <c r="C3580" s="3" t="n">
        <v>4</v>
      </c>
      <c r="D3580" s="3" t="n">
        <v>15</v>
      </c>
      <c r="E3580" s="3" t="n">
        <v>22</v>
      </c>
      <c r="F3580" s="24" t="n">
        <v>0</v>
      </c>
    </row>
    <row r="3581" customFormat="false" ht="15" hidden="false" customHeight="false" outlineLevel="0" collapsed="false">
      <c r="A3581" s="3" t="n">
        <v>3580</v>
      </c>
      <c r="B3581" s="3" t="n">
        <v>3579</v>
      </c>
      <c r="C3581" s="3" t="n">
        <v>4</v>
      </c>
      <c r="D3581" s="3" t="n">
        <v>15</v>
      </c>
      <c r="E3581" s="3" t="n">
        <v>23</v>
      </c>
      <c r="F3581" s="24" t="n">
        <v>0</v>
      </c>
    </row>
    <row r="3582" customFormat="false" ht="15" hidden="false" customHeight="false" outlineLevel="0" collapsed="false">
      <c r="A3582" s="3" t="n">
        <v>3581</v>
      </c>
      <c r="B3582" s="3" t="n">
        <v>3580</v>
      </c>
      <c r="C3582" s="3" t="n">
        <v>4</v>
      </c>
      <c r="D3582" s="3" t="n">
        <v>15</v>
      </c>
      <c r="E3582" s="3" t="n">
        <v>24</v>
      </c>
      <c r="F3582" s="24" t="n">
        <v>0</v>
      </c>
    </row>
    <row r="3583" customFormat="false" ht="15" hidden="false" customHeight="false" outlineLevel="0" collapsed="false">
      <c r="A3583" s="3" t="n">
        <v>3582</v>
      </c>
      <c r="B3583" s="3" t="n">
        <v>3581</v>
      </c>
      <c r="C3583" s="3" t="n">
        <v>4</v>
      </c>
      <c r="D3583" s="3" t="n">
        <v>15</v>
      </c>
      <c r="E3583" s="3" t="n">
        <v>25</v>
      </c>
      <c r="F3583" s="24" t="n">
        <v>0</v>
      </c>
    </row>
    <row r="3584" customFormat="false" ht="15" hidden="false" customHeight="false" outlineLevel="0" collapsed="false">
      <c r="A3584" s="3" t="n">
        <v>3583</v>
      </c>
      <c r="B3584" s="3" t="n">
        <v>3582</v>
      </c>
      <c r="C3584" s="3" t="n">
        <v>4</v>
      </c>
      <c r="D3584" s="3" t="n">
        <v>15</v>
      </c>
      <c r="E3584" s="3" t="n">
        <v>26</v>
      </c>
      <c r="F3584" s="24" t="n">
        <v>0</v>
      </c>
    </row>
    <row r="3585" customFormat="false" ht="15" hidden="false" customHeight="false" outlineLevel="0" collapsed="false">
      <c r="A3585" s="3" t="n">
        <v>3584</v>
      </c>
      <c r="B3585" s="3" t="n">
        <v>3583</v>
      </c>
      <c r="C3585" s="3" t="n">
        <v>4</v>
      </c>
      <c r="D3585" s="3" t="n">
        <v>15</v>
      </c>
      <c r="E3585" s="3" t="n">
        <v>27</v>
      </c>
      <c r="F3585" s="24" t="n">
        <v>0</v>
      </c>
    </row>
    <row r="3586" customFormat="false" ht="15" hidden="false" customHeight="false" outlineLevel="0" collapsed="false">
      <c r="A3586" s="3" t="n">
        <v>3585</v>
      </c>
      <c r="B3586" s="3" t="n">
        <v>3584</v>
      </c>
      <c r="C3586" s="3" t="n">
        <v>4</v>
      </c>
      <c r="D3586" s="3" t="n">
        <v>16</v>
      </c>
      <c r="E3586" s="3" t="n">
        <v>0</v>
      </c>
      <c r="F3586" s="24" t="n">
        <v>0</v>
      </c>
    </row>
    <row r="3587" customFormat="false" ht="15" hidden="false" customHeight="false" outlineLevel="0" collapsed="false">
      <c r="A3587" s="3" t="n">
        <v>3586</v>
      </c>
      <c r="B3587" s="3" t="n">
        <v>3585</v>
      </c>
      <c r="C3587" s="3" t="n">
        <v>4</v>
      </c>
      <c r="D3587" s="3" t="n">
        <v>16</v>
      </c>
      <c r="E3587" s="3" t="n">
        <v>1</v>
      </c>
      <c r="F3587" s="24" t="n">
        <v>0</v>
      </c>
    </row>
    <row r="3588" customFormat="false" ht="15" hidden="false" customHeight="false" outlineLevel="0" collapsed="false">
      <c r="A3588" s="3" t="n">
        <v>3587</v>
      </c>
      <c r="B3588" s="3" t="n">
        <v>3586</v>
      </c>
      <c r="C3588" s="3" t="n">
        <v>4</v>
      </c>
      <c r="D3588" s="3" t="n">
        <v>16</v>
      </c>
      <c r="E3588" s="3" t="n">
        <v>2</v>
      </c>
      <c r="F3588" s="24" t="n">
        <v>0</v>
      </c>
    </row>
    <row r="3589" customFormat="false" ht="15" hidden="false" customHeight="false" outlineLevel="0" collapsed="false">
      <c r="A3589" s="3" t="n">
        <v>3588</v>
      </c>
      <c r="B3589" s="3" t="n">
        <v>3587</v>
      </c>
      <c r="C3589" s="3" t="n">
        <v>4</v>
      </c>
      <c r="D3589" s="3" t="n">
        <v>16</v>
      </c>
      <c r="E3589" s="3" t="n">
        <v>3</v>
      </c>
      <c r="F3589" s="24" t="n">
        <v>0</v>
      </c>
    </row>
    <row r="3590" customFormat="false" ht="15" hidden="false" customHeight="false" outlineLevel="0" collapsed="false">
      <c r="A3590" s="3" t="n">
        <v>3589</v>
      </c>
      <c r="B3590" s="3" t="n">
        <v>3588</v>
      </c>
      <c r="C3590" s="3" t="n">
        <v>4</v>
      </c>
      <c r="D3590" s="3" t="n">
        <v>16</v>
      </c>
      <c r="E3590" s="3" t="n">
        <v>4</v>
      </c>
      <c r="F3590" s="24" t="n">
        <v>0</v>
      </c>
    </row>
    <row r="3591" customFormat="false" ht="15" hidden="false" customHeight="false" outlineLevel="0" collapsed="false">
      <c r="A3591" s="3" t="n">
        <v>3590</v>
      </c>
      <c r="B3591" s="3" t="n">
        <v>3589</v>
      </c>
      <c r="C3591" s="3" t="n">
        <v>4</v>
      </c>
      <c r="D3591" s="3" t="n">
        <v>16</v>
      </c>
      <c r="E3591" s="3" t="n">
        <v>5</v>
      </c>
      <c r="F3591" s="24" t="n">
        <v>0</v>
      </c>
    </row>
    <row r="3592" customFormat="false" ht="15" hidden="false" customHeight="false" outlineLevel="0" collapsed="false">
      <c r="A3592" s="3" t="n">
        <v>3591</v>
      </c>
      <c r="B3592" s="3" t="n">
        <v>3590</v>
      </c>
      <c r="C3592" s="3" t="n">
        <v>4</v>
      </c>
      <c r="D3592" s="3" t="n">
        <v>16</v>
      </c>
      <c r="E3592" s="3" t="n">
        <v>6</v>
      </c>
      <c r="F3592" s="24" t="n">
        <v>0</v>
      </c>
    </row>
    <row r="3593" customFormat="false" ht="15" hidden="false" customHeight="false" outlineLevel="0" collapsed="false">
      <c r="A3593" s="3" t="n">
        <v>3592</v>
      </c>
      <c r="B3593" s="3" t="n">
        <v>3591</v>
      </c>
      <c r="C3593" s="3" t="n">
        <v>4</v>
      </c>
      <c r="D3593" s="3" t="n">
        <v>16</v>
      </c>
      <c r="E3593" s="3" t="n">
        <v>7</v>
      </c>
      <c r="F3593" s="24" t="n">
        <v>0</v>
      </c>
    </row>
    <row r="3594" customFormat="false" ht="15" hidden="false" customHeight="false" outlineLevel="0" collapsed="false">
      <c r="A3594" s="3" t="n">
        <v>3593</v>
      </c>
      <c r="B3594" s="3" t="n">
        <v>3592</v>
      </c>
      <c r="C3594" s="3" t="n">
        <v>4</v>
      </c>
      <c r="D3594" s="3" t="n">
        <v>16</v>
      </c>
      <c r="E3594" s="3" t="n">
        <v>8</v>
      </c>
      <c r="F3594" s="24" t="n">
        <v>0</v>
      </c>
    </row>
    <row r="3595" customFormat="false" ht="15" hidden="false" customHeight="false" outlineLevel="0" collapsed="false">
      <c r="A3595" s="3" t="n">
        <v>3594</v>
      </c>
      <c r="B3595" s="3" t="n">
        <v>3593</v>
      </c>
      <c r="C3595" s="3" t="n">
        <v>4</v>
      </c>
      <c r="D3595" s="3" t="n">
        <v>16</v>
      </c>
      <c r="E3595" s="3" t="n">
        <v>9</v>
      </c>
      <c r="F3595" s="24" t="n">
        <v>0</v>
      </c>
    </row>
    <row r="3596" customFormat="false" ht="15" hidden="false" customHeight="false" outlineLevel="0" collapsed="false">
      <c r="A3596" s="3" t="n">
        <v>3595</v>
      </c>
      <c r="B3596" s="3" t="n">
        <v>3594</v>
      </c>
      <c r="C3596" s="3" t="n">
        <v>4</v>
      </c>
      <c r="D3596" s="3" t="n">
        <v>16</v>
      </c>
      <c r="E3596" s="3" t="n">
        <v>10</v>
      </c>
      <c r="F3596" s="24" t="n">
        <v>0</v>
      </c>
    </row>
    <row r="3597" customFormat="false" ht="15" hidden="false" customHeight="false" outlineLevel="0" collapsed="false">
      <c r="A3597" s="3" t="n">
        <v>3596</v>
      </c>
      <c r="B3597" s="3" t="n">
        <v>3595</v>
      </c>
      <c r="C3597" s="3" t="n">
        <v>4</v>
      </c>
      <c r="D3597" s="3" t="n">
        <v>16</v>
      </c>
      <c r="E3597" s="3" t="n">
        <v>11</v>
      </c>
      <c r="F3597" s="24" t="n">
        <v>0</v>
      </c>
    </row>
    <row r="3598" customFormat="false" ht="15" hidden="false" customHeight="false" outlineLevel="0" collapsed="false">
      <c r="A3598" s="3" t="n">
        <v>3597</v>
      </c>
      <c r="B3598" s="3" t="n">
        <v>3596</v>
      </c>
      <c r="C3598" s="3" t="n">
        <v>4</v>
      </c>
      <c r="D3598" s="3" t="n">
        <v>16</v>
      </c>
      <c r="E3598" s="3" t="n">
        <v>12</v>
      </c>
      <c r="F3598" s="24" t="n">
        <v>0</v>
      </c>
    </row>
    <row r="3599" customFormat="false" ht="15" hidden="false" customHeight="false" outlineLevel="0" collapsed="false">
      <c r="A3599" s="3" t="n">
        <v>3598</v>
      </c>
      <c r="B3599" s="3" t="n">
        <v>3597</v>
      </c>
      <c r="C3599" s="3" t="n">
        <v>4</v>
      </c>
      <c r="D3599" s="3" t="n">
        <v>16</v>
      </c>
      <c r="E3599" s="3" t="n">
        <v>13</v>
      </c>
      <c r="F3599" s="24" t="n">
        <v>0</v>
      </c>
    </row>
    <row r="3600" customFormat="false" ht="15" hidden="false" customHeight="false" outlineLevel="0" collapsed="false">
      <c r="A3600" s="3" t="n">
        <v>3599</v>
      </c>
      <c r="B3600" s="3" t="n">
        <v>3598</v>
      </c>
      <c r="C3600" s="3" t="n">
        <v>4</v>
      </c>
      <c r="D3600" s="3" t="n">
        <v>16</v>
      </c>
      <c r="E3600" s="3" t="n">
        <v>14</v>
      </c>
      <c r="F3600" s="24" t="n">
        <v>0</v>
      </c>
    </row>
    <row r="3601" customFormat="false" ht="15" hidden="false" customHeight="false" outlineLevel="0" collapsed="false">
      <c r="A3601" s="3" t="n">
        <v>3600</v>
      </c>
      <c r="B3601" s="3" t="n">
        <v>3599</v>
      </c>
      <c r="C3601" s="3" t="n">
        <v>4</v>
      </c>
      <c r="D3601" s="3" t="n">
        <v>16</v>
      </c>
      <c r="E3601" s="3" t="n">
        <v>15</v>
      </c>
      <c r="F3601" s="24" t="n">
        <v>0.949021816</v>
      </c>
    </row>
    <row r="3602" customFormat="false" ht="15" hidden="false" customHeight="false" outlineLevel="0" collapsed="false">
      <c r="A3602" s="3" t="n">
        <v>3601</v>
      </c>
      <c r="B3602" s="3" t="n">
        <v>3600</v>
      </c>
      <c r="C3602" s="3" t="n">
        <v>4</v>
      </c>
      <c r="D3602" s="3" t="n">
        <v>16</v>
      </c>
      <c r="E3602" s="3" t="n">
        <v>16</v>
      </c>
      <c r="F3602" s="24" t="n">
        <v>2.77149892</v>
      </c>
    </row>
    <row r="3603" customFormat="false" ht="15" hidden="false" customHeight="false" outlineLevel="0" collapsed="false">
      <c r="A3603" s="3" t="n">
        <v>3602</v>
      </c>
      <c r="B3603" s="3" t="n">
        <v>3601</v>
      </c>
      <c r="C3603" s="3" t="n">
        <v>4</v>
      </c>
      <c r="D3603" s="3" t="n">
        <v>16</v>
      </c>
      <c r="E3603" s="3" t="n">
        <v>17</v>
      </c>
      <c r="F3603" s="24" t="n">
        <v>2.48780751</v>
      </c>
    </row>
    <row r="3604" customFormat="false" ht="15" hidden="false" customHeight="false" outlineLevel="0" collapsed="false">
      <c r="A3604" s="3" t="n">
        <v>3603</v>
      </c>
      <c r="B3604" s="3" t="n">
        <v>3602</v>
      </c>
      <c r="C3604" s="3" t="n">
        <v>4</v>
      </c>
      <c r="D3604" s="3" t="n">
        <v>16</v>
      </c>
      <c r="E3604" s="3" t="n">
        <v>18</v>
      </c>
      <c r="F3604" s="24" t="n">
        <v>0.601620138</v>
      </c>
    </row>
    <row r="3605" customFormat="false" ht="15" hidden="false" customHeight="false" outlineLevel="0" collapsed="false">
      <c r="A3605" s="3" t="n">
        <v>3604</v>
      </c>
      <c r="B3605" s="3" t="n">
        <v>3603</v>
      </c>
      <c r="C3605" s="3" t="n">
        <v>4</v>
      </c>
      <c r="D3605" s="3" t="n">
        <v>16</v>
      </c>
      <c r="E3605" s="3" t="n">
        <v>19</v>
      </c>
      <c r="F3605" s="24" t="n">
        <v>0</v>
      </c>
    </row>
    <row r="3606" customFormat="false" ht="15" hidden="false" customHeight="false" outlineLevel="0" collapsed="false">
      <c r="A3606" s="3" t="n">
        <v>3605</v>
      </c>
      <c r="B3606" s="3" t="n">
        <v>3604</v>
      </c>
      <c r="C3606" s="3" t="n">
        <v>4</v>
      </c>
      <c r="D3606" s="3" t="n">
        <v>16</v>
      </c>
      <c r="E3606" s="3" t="n">
        <v>20</v>
      </c>
      <c r="F3606" s="24" t="n">
        <v>0</v>
      </c>
    </row>
    <row r="3607" customFormat="false" ht="15" hidden="false" customHeight="false" outlineLevel="0" collapsed="false">
      <c r="A3607" s="3" t="n">
        <v>3606</v>
      </c>
      <c r="B3607" s="3" t="n">
        <v>3605</v>
      </c>
      <c r="C3607" s="3" t="n">
        <v>4</v>
      </c>
      <c r="D3607" s="3" t="n">
        <v>16</v>
      </c>
      <c r="E3607" s="3" t="n">
        <v>21</v>
      </c>
      <c r="F3607" s="24" t="n">
        <v>0</v>
      </c>
    </row>
    <row r="3608" customFormat="false" ht="15" hidden="false" customHeight="false" outlineLevel="0" collapsed="false">
      <c r="A3608" s="3" t="n">
        <v>3607</v>
      </c>
      <c r="B3608" s="3" t="n">
        <v>3606</v>
      </c>
      <c r="C3608" s="3" t="n">
        <v>4</v>
      </c>
      <c r="D3608" s="3" t="n">
        <v>16</v>
      </c>
      <c r="E3608" s="3" t="n">
        <v>22</v>
      </c>
      <c r="F3608" s="24" t="n">
        <v>0</v>
      </c>
    </row>
    <row r="3609" customFormat="false" ht="15" hidden="false" customHeight="false" outlineLevel="0" collapsed="false">
      <c r="A3609" s="3" t="n">
        <v>3608</v>
      </c>
      <c r="B3609" s="3" t="n">
        <v>3607</v>
      </c>
      <c r="C3609" s="3" t="n">
        <v>4</v>
      </c>
      <c r="D3609" s="3" t="n">
        <v>16</v>
      </c>
      <c r="E3609" s="3" t="n">
        <v>23</v>
      </c>
      <c r="F3609" s="24" t="n">
        <v>0</v>
      </c>
    </row>
    <row r="3610" customFormat="false" ht="15" hidden="false" customHeight="false" outlineLevel="0" collapsed="false">
      <c r="A3610" s="3" t="n">
        <v>3609</v>
      </c>
      <c r="B3610" s="3" t="n">
        <v>3608</v>
      </c>
      <c r="C3610" s="3" t="n">
        <v>4</v>
      </c>
      <c r="D3610" s="3" t="n">
        <v>16</v>
      </c>
      <c r="E3610" s="3" t="n">
        <v>24</v>
      </c>
      <c r="F3610" s="24" t="n">
        <v>0</v>
      </c>
    </row>
    <row r="3611" customFormat="false" ht="15" hidden="false" customHeight="false" outlineLevel="0" collapsed="false">
      <c r="A3611" s="3" t="n">
        <v>3610</v>
      </c>
      <c r="B3611" s="3" t="n">
        <v>3609</v>
      </c>
      <c r="C3611" s="3" t="n">
        <v>4</v>
      </c>
      <c r="D3611" s="3" t="n">
        <v>16</v>
      </c>
      <c r="E3611" s="3" t="n">
        <v>25</v>
      </c>
      <c r="F3611" s="24" t="n">
        <v>0</v>
      </c>
    </row>
    <row r="3612" customFormat="false" ht="15" hidden="false" customHeight="false" outlineLevel="0" collapsed="false">
      <c r="A3612" s="3" t="n">
        <v>3611</v>
      </c>
      <c r="B3612" s="3" t="n">
        <v>3610</v>
      </c>
      <c r="C3612" s="3" t="n">
        <v>4</v>
      </c>
      <c r="D3612" s="3" t="n">
        <v>16</v>
      </c>
      <c r="E3612" s="3" t="n">
        <v>26</v>
      </c>
      <c r="F3612" s="24" t="n">
        <v>0</v>
      </c>
    </row>
    <row r="3613" customFormat="false" ht="15" hidden="false" customHeight="false" outlineLevel="0" collapsed="false">
      <c r="A3613" s="3" t="n">
        <v>3612</v>
      </c>
      <c r="B3613" s="3" t="n">
        <v>3611</v>
      </c>
      <c r="C3613" s="3" t="n">
        <v>4</v>
      </c>
      <c r="D3613" s="3" t="n">
        <v>16</v>
      </c>
      <c r="E3613" s="3" t="n">
        <v>27</v>
      </c>
      <c r="F3613" s="24" t="n">
        <v>0</v>
      </c>
    </row>
    <row r="3614" customFormat="false" ht="15" hidden="false" customHeight="false" outlineLevel="0" collapsed="false">
      <c r="A3614" s="3" t="n">
        <v>3613</v>
      </c>
      <c r="B3614" s="3" t="n">
        <v>3612</v>
      </c>
      <c r="C3614" s="3" t="n">
        <v>4</v>
      </c>
      <c r="D3614" s="3" t="n">
        <v>17</v>
      </c>
      <c r="E3614" s="3" t="n">
        <v>0</v>
      </c>
      <c r="F3614" s="24" t="n">
        <v>0</v>
      </c>
    </row>
    <row r="3615" customFormat="false" ht="15" hidden="false" customHeight="false" outlineLevel="0" collapsed="false">
      <c r="A3615" s="3" t="n">
        <v>3614</v>
      </c>
      <c r="B3615" s="3" t="n">
        <v>3613</v>
      </c>
      <c r="C3615" s="3" t="n">
        <v>4</v>
      </c>
      <c r="D3615" s="3" t="n">
        <v>17</v>
      </c>
      <c r="E3615" s="3" t="n">
        <v>1</v>
      </c>
      <c r="F3615" s="24" t="n">
        <v>0</v>
      </c>
    </row>
    <row r="3616" customFormat="false" ht="15" hidden="false" customHeight="false" outlineLevel="0" collapsed="false">
      <c r="A3616" s="3" t="n">
        <v>3615</v>
      </c>
      <c r="B3616" s="3" t="n">
        <v>3614</v>
      </c>
      <c r="C3616" s="3" t="n">
        <v>4</v>
      </c>
      <c r="D3616" s="3" t="n">
        <v>17</v>
      </c>
      <c r="E3616" s="3" t="n">
        <v>2</v>
      </c>
      <c r="F3616" s="24" t="n">
        <v>0</v>
      </c>
    </row>
    <row r="3617" customFormat="false" ht="15" hidden="false" customHeight="false" outlineLevel="0" collapsed="false">
      <c r="A3617" s="3" t="n">
        <v>3616</v>
      </c>
      <c r="B3617" s="3" t="n">
        <v>3615</v>
      </c>
      <c r="C3617" s="3" t="n">
        <v>4</v>
      </c>
      <c r="D3617" s="3" t="n">
        <v>17</v>
      </c>
      <c r="E3617" s="3" t="n">
        <v>3</v>
      </c>
      <c r="F3617" s="24" t="n">
        <v>0</v>
      </c>
    </row>
    <row r="3618" customFormat="false" ht="15" hidden="false" customHeight="false" outlineLevel="0" collapsed="false">
      <c r="A3618" s="3" t="n">
        <v>3617</v>
      </c>
      <c r="B3618" s="3" t="n">
        <v>3616</v>
      </c>
      <c r="C3618" s="3" t="n">
        <v>4</v>
      </c>
      <c r="D3618" s="3" t="n">
        <v>17</v>
      </c>
      <c r="E3618" s="3" t="n">
        <v>4</v>
      </c>
      <c r="F3618" s="24" t="n">
        <v>0</v>
      </c>
    </row>
    <row r="3619" customFormat="false" ht="15" hidden="false" customHeight="false" outlineLevel="0" collapsed="false">
      <c r="A3619" s="3" t="n">
        <v>3618</v>
      </c>
      <c r="B3619" s="3" t="n">
        <v>3617</v>
      </c>
      <c r="C3619" s="3" t="n">
        <v>4</v>
      </c>
      <c r="D3619" s="3" t="n">
        <v>17</v>
      </c>
      <c r="E3619" s="3" t="n">
        <v>5</v>
      </c>
      <c r="F3619" s="24" t="n">
        <v>0</v>
      </c>
    </row>
    <row r="3620" customFormat="false" ht="15" hidden="false" customHeight="false" outlineLevel="0" collapsed="false">
      <c r="A3620" s="3" t="n">
        <v>3619</v>
      </c>
      <c r="B3620" s="3" t="n">
        <v>3618</v>
      </c>
      <c r="C3620" s="3" t="n">
        <v>4</v>
      </c>
      <c r="D3620" s="3" t="n">
        <v>17</v>
      </c>
      <c r="E3620" s="3" t="n">
        <v>6</v>
      </c>
      <c r="F3620" s="24" t="n">
        <v>0</v>
      </c>
    </row>
    <row r="3621" customFormat="false" ht="15" hidden="false" customHeight="false" outlineLevel="0" collapsed="false">
      <c r="A3621" s="3" t="n">
        <v>3620</v>
      </c>
      <c r="B3621" s="3" t="n">
        <v>3619</v>
      </c>
      <c r="C3621" s="3" t="n">
        <v>4</v>
      </c>
      <c r="D3621" s="3" t="n">
        <v>17</v>
      </c>
      <c r="E3621" s="3" t="n">
        <v>7</v>
      </c>
      <c r="F3621" s="24" t="n">
        <v>0</v>
      </c>
    </row>
    <row r="3622" customFormat="false" ht="15" hidden="false" customHeight="false" outlineLevel="0" collapsed="false">
      <c r="A3622" s="3" t="n">
        <v>3621</v>
      </c>
      <c r="B3622" s="3" t="n">
        <v>3620</v>
      </c>
      <c r="C3622" s="3" t="n">
        <v>4</v>
      </c>
      <c r="D3622" s="3" t="n">
        <v>17</v>
      </c>
      <c r="E3622" s="3" t="n">
        <v>8</v>
      </c>
      <c r="F3622" s="24" t="n">
        <v>0</v>
      </c>
    </row>
    <row r="3623" customFormat="false" ht="15" hidden="false" customHeight="false" outlineLevel="0" collapsed="false">
      <c r="A3623" s="3" t="n">
        <v>3622</v>
      </c>
      <c r="B3623" s="3" t="n">
        <v>3621</v>
      </c>
      <c r="C3623" s="3" t="n">
        <v>4</v>
      </c>
      <c r="D3623" s="3" t="n">
        <v>17</v>
      </c>
      <c r="E3623" s="3" t="n">
        <v>9</v>
      </c>
      <c r="F3623" s="24" t="n">
        <v>0</v>
      </c>
    </row>
    <row r="3624" customFormat="false" ht="15" hidden="false" customHeight="false" outlineLevel="0" collapsed="false">
      <c r="A3624" s="3" t="n">
        <v>3623</v>
      </c>
      <c r="B3624" s="3" t="n">
        <v>3622</v>
      </c>
      <c r="C3624" s="3" t="n">
        <v>4</v>
      </c>
      <c r="D3624" s="3" t="n">
        <v>17</v>
      </c>
      <c r="E3624" s="3" t="n">
        <v>10</v>
      </c>
      <c r="F3624" s="24" t="n">
        <v>0</v>
      </c>
    </row>
    <row r="3625" customFormat="false" ht="15" hidden="false" customHeight="false" outlineLevel="0" collapsed="false">
      <c r="A3625" s="3" t="n">
        <v>3624</v>
      </c>
      <c r="B3625" s="3" t="n">
        <v>3623</v>
      </c>
      <c r="C3625" s="3" t="n">
        <v>4</v>
      </c>
      <c r="D3625" s="3" t="n">
        <v>17</v>
      </c>
      <c r="E3625" s="3" t="n">
        <v>11</v>
      </c>
      <c r="F3625" s="24" t="n">
        <v>0</v>
      </c>
    </row>
    <row r="3626" customFormat="false" ht="15" hidden="false" customHeight="false" outlineLevel="0" collapsed="false">
      <c r="A3626" s="3" t="n">
        <v>3625</v>
      </c>
      <c r="B3626" s="3" t="n">
        <v>3624</v>
      </c>
      <c r="C3626" s="3" t="n">
        <v>4</v>
      </c>
      <c r="D3626" s="3" t="n">
        <v>17</v>
      </c>
      <c r="E3626" s="3" t="n">
        <v>12</v>
      </c>
      <c r="F3626" s="24" t="n">
        <v>0</v>
      </c>
    </row>
    <row r="3627" customFormat="false" ht="15" hidden="false" customHeight="false" outlineLevel="0" collapsed="false">
      <c r="A3627" s="3" t="n">
        <v>3626</v>
      </c>
      <c r="B3627" s="3" t="n">
        <v>3625</v>
      </c>
      <c r="C3627" s="3" t="n">
        <v>4</v>
      </c>
      <c r="D3627" s="3" t="n">
        <v>17</v>
      </c>
      <c r="E3627" s="3" t="n">
        <v>13</v>
      </c>
      <c r="F3627" s="24" t="n">
        <v>0</v>
      </c>
    </row>
    <row r="3628" customFormat="false" ht="15" hidden="false" customHeight="false" outlineLevel="0" collapsed="false">
      <c r="A3628" s="3" t="n">
        <v>3627</v>
      </c>
      <c r="B3628" s="3" t="n">
        <v>3626</v>
      </c>
      <c r="C3628" s="3" t="n">
        <v>4</v>
      </c>
      <c r="D3628" s="3" t="n">
        <v>17</v>
      </c>
      <c r="E3628" s="3" t="n">
        <v>14</v>
      </c>
      <c r="F3628" s="24" t="n">
        <v>0.51250875</v>
      </c>
    </row>
    <row r="3629" customFormat="false" ht="15" hidden="false" customHeight="false" outlineLevel="0" collapsed="false">
      <c r="A3629" s="3" t="n">
        <v>3628</v>
      </c>
      <c r="B3629" s="3" t="n">
        <v>3627</v>
      </c>
      <c r="C3629" s="3" t="n">
        <v>4</v>
      </c>
      <c r="D3629" s="3" t="n">
        <v>17</v>
      </c>
      <c r="E3629" s="3" t="n">
        <v>15</v>
      </c>
      <c r="F3629" s="24" t="n">
        <v>2.1055789</v>
      </c>
    </row>
    <row r="3630" customFormat="false" ht="15" hidden="false" customHeight="false" outlineLevel="0" collapsed="false">
      <c r="A3630" s="3" t="n">
        <v>3629</v>
      </c>
      <c r="B3630" s="3" t="n">
        <v>3628</v>
      </c>
      <c r="C3630" s="3" t="n">
        <v>4</v>
      </c>
      <c r="D3630" s="3" t="n">
        <v>17</v>
      </c>
      <c r="E3630" s="3" t="n">
        <v>16</v>
      </c>
      <c r="F3630" s="24" t="n">
        <v>2.77125049</v>
      </c>
    </row>
    <row r="3631" customFormat="false" ht="15" hidden="false" customHeight="false" outlineLevel="0" collapsed="false">
      <c r="A3631" s="3" t="n">
        <v>3630</v>
      </c>
      <c r="B3631" s="3" t="n">
        <v>3629</v>
      </c>
      <c r="C3631" s="3" t="n">
        <v>4</v>
      </c>
      <c r="D3631" s="3" t="n">
        <v>17</v>
      </c>
      <c r="E3631" s="3" t="n">
        <v>17</v>
      </c>
      <c r="F3631" s="24" t="n">
        <v>1.46915507</v>
      </c>
    </row>
    <row r="3632" customFormat="false" ht="15" hidden="false" customHeight="false" outlineLevel="0" collapsed="false">
      <c r="A3632" s="3" t="n">
        <v>3631</v>
      </c>
      <c r="B3632" s="3" t="n">
        <v>3630</v>
      </c>
      <c r="C3632" s="3" t="n">
        <v>4</v>
      </c>
      <c r="D3632" s="3" t="n">
        <v>17</v>
      </c>
      <c r="E3632" s="3" t="n">
        <v>18</v>
      </c>
      <c r="F3632" s="24" t="n">
        <v>0</v>
      </c>
    </row>
    <row r="3633" customFormat="false" ht="15" hidden="false" customHeight="false" outlineLevel="0" collapsed="false">
      <c r="A3633" s="3" t="n">
        <v>3632</v>
      </c>
      <c r="B3633" s="3" t="n">
        <v>3631</v>
      </c>
      <c r="C3633" s="3" t="n">
        <v>4</v>
      </c>
      <c r="D3633" s="3" t="n">
        <v>17</v>
      </c>
      <c r="E3633" s="3" t="n">
        <v>19</v>
      </c>
      <c r="F3633" s="24" t="n">
        <v>0</v>
      </c>
    </row>
    <row r="3634" customFormat="false" ht="15" hidden="false" customHeight="false" outlineLevel="0" collapsed="false">
      <c r="A3634" s="3" t="n">
        <v>3633</v>
      </c>
      <c r="B3634" s="3" t="n">
        <v>3632</v>
      </c>
      <c r="C3634" s="3" t="n">
        <v>4</v>
      </c>
      <c r="D3634" s="3" t="n">
        <v>17</v>
      </c>
      <c r="E3634" s="3" t="n">
        <v>20</v>
      </c>
      <c r="F3634" s="24" t="n">
        <v>0</v>
      </c>
    </row>
    <row r="3635" customFormat="false" ht="15" hidden="false" customHeight="false" outlineLevel="0" collapsed="false">
      <c r="A3635" s="3" t="n">
        <v>3634</v>
      </c>
      <c r="B3635" s="3" t="n">
        <v>3633</v>
      </c>
      <c r="C3635" s="3" t="n">
        <v>4</v>
      </c>
      <c r="D3635" s="3" t="n">
        <v>17</v>
      </c>
      <c r="E3635" s="3" t="n">
        <v>21</v>
      </c>
      <c r="F3635" s="24" t="n">
        <v>0</v>
      </c>
    </row>
    <row r="3636" customFormat="false" ht="15" hidden="false" customHeight="false" outlineLevel="0" collapsed="false">
      <c r="A3636" s="3" t="n">
        <v>3635</v>
      </c>
      <c r="B3636" s="3" t="n">
        <v>3634</v>
      </c>
      <c r="C3636" s="3" t="n">
        <v>4</v>
      </c>
      <c r="D3636" s="3" t="n">
        <v>17</v>
      </c>
      <c r="E3636" s="3" t="n">
        <v>22</v>
      </c>
      <c r="F3636" s="24" t="n">
        <v>0</v>
      </c>
    </row>
    <row r="3637" customFormat="false" ht="15" hidden="false" customHeight="false" outlineLevel="0" collapsed="false">
      <c r="A3637" s="3" t="n">
        <v>3636</v>
      </c>
      <c r="B3637" s="3" t="n">
        <v>3635</v>
      </c>
      <c r="C3637" s="3" t="n">
        <v>4</v>
      </c>
      <c r="D3637" s="3" t="n">
        <v>17</v>
      </c>
      <c r="E3637" s="3" t="n">
        <v>23</v>
      </c>
      <c r="F3637" s="24" t="n">
        <v>0</v>
      </c>
    </row>
    <row r="3638" customFormat="false" ht="15" hidden="false" customHeight="false" outlineLevel="0" collapsed="false">
      <c r="A3638" s="3" t="n">
        <v>3637</v>
      </c>
      <c r="B3638" s="3" t="n">
        <v>3636</v>
      </c>
      <c r="C3638" s="3" t="n">
        <v>4</v>
      </c>
      <c r="D3638" s="3" t="n">
        <v>17</v>
      </c>
      <c r="E3638" s="3" t="n">
        <v>24</v>
      </c>
      <c r="F3638" s="24" t="n">
        <v>0</v>
      </c>
    </row>
    <row r="3639" customFormat="false" ht="15" hidden="false" customHeight="false" outlineLevel="0" collapsed="false">
      <c r="A3639" s="3" t="n">
        <v>3638</v>
      </c>
      <c r="B3639" s="3" t="n">
        <v>3637</v>
      </c>
      <c r="C3639" s="3" t="n">
        <v>4</v>
      </c>
      <c r="D3639" s="3" t="n">
        <v>17</v>
      </c>
      <c r="E3639" s="3" t="n">
        <v>25</v>
      </c>
      <c r="F3639" s="24" t="n">
        <v>0</v>
      </c>
    </row>
    <row r="3640" customFormat="false" ht="15" hidden="false" customHeight="false" outlineLevel="0" collapsed="false">
      <c r="A3640" s="3" t="n">
        <v>3639</v>
      </c>
      <c r="B3640" s="3" t="n">
        <v>3638</v>
      </c>
      <c r="C3640" s="3" t="n">
        <v>4</v>
      </c>
      <c r="D3640" s="3" t="n">
        <v>17</v>
      </c>
      <c r="E3640" s="3" t="n">
        <v>26</v>
      </c>
      <c r="F3640" s="24" t="n">
        <v>0</v>
      </c>
    </row>
    <row r="3641" customFormat="false" ht="15" hidden="false" customHeight="false" outlineLevel="0" collapsed="false">
      <c r="A3641" s="3" t="n">
        <v>3640</v>
      </c>
      <c r="B3641" s="3" t="n">
        <v>3639</v>
      </c>
      <c r="C3641" s="3" t="n">
        <v>4</v>
      </c>
      <c r="D3641" s="3" t="n">
        <v>17</v>
      </c>
      <c r="E3641" s="3" t="n">
        <v>27</v>
      </c>
      <c r="F3641" s="24" t="n">
        <v>0</v>
      </c>
    </row>
    <row r="3642" customFormat="false" ht="15" hidden="false" customHeight="false" outlineLevel="0" collapsed="false">
      <c r="A3642" s="3" t="n">
        <v>3641</v>
      </c>
      <c r="B3642" s="3" t="n">
        <v>3640</v>
      </c>
      <c r="C3642" s="3" t="n">
        <v>4</v>
      </c>
      <c r="D3642" s="3" t="n">
        <v>18</v>
      </c>
      <c r="E3642" s="3" t="n">
        <v>0</v>
      </c>
      <c r="F3642" s="24" t="n">
        <v>0</v>
      </c>
    </row>
    <row r="3643" customFormat="false" ht="15" hidden="false" customHeight="false" outlineLevel="0" collapsed="false">
      <c r="A3643" s="3" t="n">
        <v>3642</v>
      </c>
      <c r="B3643" s="3" t="n">
        <v>3641</v>
      </c>
      <c r="C3643" s="3" t="n">
        <v>4</v>
      </c>
      <c r="D3643" s="3" t="n">
        <v>18</v>
      </c>
      <c r="E3643" s="3" t="n">
        <v>1</v>
      </c>
      <c r="F3643" s="24" t="n">
        <v>0</v>
      </c>
    </row>
    <row r="3644" customFormat="false" ht="15" hidden="false" customHeight="false" outlineLevel="0" collapsed="false">
      <c r="A3644" s="3" t="n">
        <v>3643</v>
      </c>
      <c r="B3644" s="3" t="n">
        <v>3642</v>
      </c>
      <c r="C3644" s="3" t="n">
        <v>4</v>
      </c>
      <c r="D3644" s="3" t="n">
        <v>18</v>
      </c>
      <c r="E3644" s="3" t="n">
        <v>2</v>
      </c>
      <c r="F3644" s="24" t="n">
        <v>0</v>
      </c>
    </row>
    <row r="3645" customFormat="false" ht="15" hidden="false" customHeight="false" outlineLevel="0" collapsed="false">
      <c r="A3645" s="3" t="n">
        <v>3644</v>
      </c>
      <c r="B3645" s="3" t="n">
        <v>3643</v>
      </c>
      <c r="C3645" s="3" t="n">
        <v>4</v>
      </c>
      <c r="D3645" s="3" t="n">
        <v>18</v>
      </c>
      <c r="E3645" s="3" t="n">
        <v>3</v>
      </c>
      <c r="F3645" s="24" t="n">
        <v>0</v>
      </c>
    </row>
    <row r="3646" customFormat="false" ht="15" hidden="false" customHeight="false" outlineLevel="0" collapsed="false">
      <c r="A3646" s="3" t="n">
        <v>3645</v>
      </c>
      <c r="B3646" s="3" t="n">
        <v>3644</v>
      </c>
      <c r="C3646" s="3" t="n">
        <v>4</v>
      </c>
      <c r="D3646" s="3" t="n">
        <v>18</v>
      </c>
      <c r="E3646" s="3" t="n">
        <v>4</v>
      </c>
      <c r="F3646" s="24" t="n">
        <v>0</v>
      </c>
    </row>
    <row r="3647" customFormat="false" ht="15" hidden="false" customHeight="false" outlineLevel="0" collapsed="false">
      <c r="A3647" s="3" t="n">
        <v>3646</v>
      </c>
      <c r="B3647" s="3" t="n">
        <v>3645</v>
      </c>
      <c r="C3647" s="3" t="n">
        <v>4</v>
      </c>
      <c r="D3647" s="3" t="n">
        <v>18</v>
      </c>
      <c r="E3647" s="3" t="n">
        <v>5</v>
      </c>
      <c r="F3647" s="24" t="n">
        <v>0</v>
      </c>
    </row>
    <row r="3648" customFormat="false" ht="15" hidden="false" customHeight="false" outlineLevel="0" collapsed="false">
      <c r="A3648" s="3" t="n">
        <v>3647</v>
      </c>
      <c r="B3648" s="3" t="n">
        <v>3646</v>
      </c>
      <c r="C3648" s="3" t="n">
        <v>4</v>
      </c>
      <c r="D3648" s="3" t="n">
        <v>18</v>
      </c>
      <c r="E3648" s="3" t="n">
        <v>6</v>
      </c>
      <c r="F3648" s="24" t="n">
        <v>0</v>
      </c>
    </row>
    <row r="3649" customFormat="false" ht="15" hidden="false" customHeight="false" outlineLevel="0" collapsed="false">
      <c r="A3649" s="3" t="n">
        <v>3648</v>
      </c>
      <c r="B3649" s="3" t="n">
        <v>3647</v>
      </c>
      <c r="C3649" s="3" t="n">
        <v>4</v>
      </c>
      <c r="D3649" s="3" t="n">
        <v>18</v>
      </c>
      <c r="E3649" s="3" t="n">
        <v>7</v>
      </c>
      <c r="F3649" s="24" t="n">
        <v>0</v>
      </c>
    </row>
    <row r="3650" customFormat="false" ht="15" hidden="false" customHeight="false" outlineLevel="0" collapsed="false">
      <c r="A3650" s="3" t="n">
        <v>3649</v>
      </c>
      <c r="B3650" s="3" t="n">
        <v>3648</v>
      </c>
      <c r="C3650" s="3" t="n">
        <v>4</v>
      </c>
      <c r="D3650" s="3" t="n">
        <v>18</v>
      </c>
      <c r="E3650" s="3" t="n">
        <v>8</v>
      </c>
      <c r="F3650" s="24" t="n">
        <v>0</v>
      </c>
    </row>
    <row r="3651" customFormat="false" ht="15" hidden="false" customHeight="false" outlineLevel="0" collapsed="false">
      <c r="A3651" s="3" t="n">
        <v>3650</v>
      </c>
      <c r="B3651" s="3" t="n">
        <v>3649</v>
      </c>
      <c r="C3651" s="3" t="n">
        <v>4</v>
      </c>
      <c r="D3651" s="3" t="n">
        <v>18</v>
      </c>
      <c r="E3651" s="3" t="n">
        <v>9</v>
      </c>
      <c r="F3651" s="24" t="n">
        <v>0</v>
      </c>
    </row>
    <row r="3652" customFormat="false" ht="15" hidden="false" customHeight="false" outlineLevel="0" collapsed="false">
      <c r="A3652" s="3" t="n">
        <v>3651</v>
      </c>
      <c r="B3652" s="3" t="n">
        <v>3650</v>
      </c>
      <c r="C3652" s="3" t="n">
        <v>4</v>
      </c>
      <c r="D3652" s="3" t="n">
        <v>18</v>
      </c>
      <c r="E3652" s="3" t="n">
        <v>10</v>
      </c>
      <c r="F3652" s="24" t="n">
        <v>0</v>
      </c>
    </row>
    <row r="3653" customFormat="false" ht="15" hidden="false" customHeight="false" outlineLevel="0" collapsed="false">
      <c r="A3653" s="3" t="n">
        <v>3652</v>
      </c>
      <c r="B3653" s="3" t="n">
        <v>3651</v>
      </c>
      <c r="C3653" s="3" t="n">
        <v>4</v>
      </c>
      <c r="D3653" s="3" t="n">
        <v>18</v>
      </c>
      <c r="E3653" s="3" t="n">
        <v>11</v>
      </c>
      <c r="F3653" s="24" t="n">
        <v>0</v>
      </c>
    </row>
    <row r="3654" customFormat="false" ht="15" hidden="false" customHeight="false" outlineLevel="0" collapsed="false">
      <c r="A3654" s="3" t="n">
        <v>3653</v>
      </c>
      <c r="B3654" s="3" t="n">
        <v>3652</v>
      </c>
      <c r="C3654" s="3" t="n">
        <v>4</v>
      </c>
      <c r="D3654" s="3" t="n">
        <v>18</v>
      </c>
      <c r="E3654" s="3" t="n">
        <v>12</v>
      </c>
      <c r="F3654" s="24" t="n">
        <v>0</v>
      </c>
    </row>
    <row r="3655" customFormat="false" ht="15" hidden="false" customHeight="false" outlineLevel="0" collapsed="false">
      <c r="A3655" s="3" t="n">
        <v>3654</v>
      </c>
      <c r="B3655" s="3" t="n">
        <v>3653</v>
      </c>
      <c r="C3655" s="3" t="n">
        <v>4</v>
      </c>
      <c r="D3655" s="3" t="n">
        <v>18</v>
      </c>
      <c r="E3655" s="3" t="n">
        <v>13</v>
      </c>
      <c r="F3655" s="24" t="n">
        <v>0.154589444</v>
      </c>
    </row>
    <row r="3656" customFormat="false" ht="15" hidden="false" customHeight="false" outlineLevel="0" collapsed="false">
      <c r="A3656" s="3" t="n">
        <v>3655</v>
      </c>
      <c r="B3656" s="3" t="n">
        <v>3654</v>
      </c>
      <c r="C3656" s="3" t="n">
        <v>4</v>
      </c>
      <c r="D3656" s="3" t="n">
        <v>18</v>
      </c>
      <c r="E3656" s="3" t="n">
        <v>14</v>
      </c>
      <c r="F3656" s="24" t="n">
        <v>1.5229826</v>
      </c>
    </row>
    <row r="3657" customFormat="false" ht="15" hidden="false" customHeight="false" outlineLevel="0" collapsed="false">
      <c r="A3657" s="3" t="n">
        <v>3656</v>
      </c>
      <c r="B3657" s="3" t="n">
        <v>3655</v>
      </c>
      <c r="C3657" s="3" t="n">
        <v>4</v>
      </c>
      <c r="D3657" s="3" t="n">
        <v>18</v>
      </c>
      <c r="E3657" s="3" t="n">
        <v>15</v>
      </c>
      <c r="F3657" s="24" t="n">
        <v>2.88390732</v>
      </c>
    </row>
    <row r="3658" customFormat="false" ht="15" hidden="false" customHeight="false" outlineLevel="0" collapsed="false">
      <c r="A3658" s="3" t="n">
        <v>3657</v>
      </c>
      <c r="B3658" s="3" t="n">
        <v>3656</v>
      </c>
      <c r="C3658" s="3" t="n">
        <v>4</v>
      </c>
      <c r="D3658" s="3" t="n">
        <v>18</v>
      </c>
      <c r="E3658" s="3" t="n">
        <v>16</v>
      </c>
      <c r="F3658" s="24" t="n">
        <v>2.19145703</v>
      </c>
    </row>
    <row r="3659" customFormat="false" ht="15" hidden="false" customHeight="false" outlineLevel="0" collapsed="false">
      <c r="A3659" s="3" t="n">
        <v>3658</v>
      </c>
      <c r="B3659" s="3" t="n">
        <v>3657</v>
      </c>
      <c r="C3659" s="3" t="n">
        <v>4</v>
      </c>
      <c r="D3659" s="3" t="n">
        <v>18</v>
      </c>
      <c r="E3659" s="3" t="n">
        <v>17</v>
      </c>
      <c r="F3659" s="24" t="n">
        <v>0.533492386</v>
      </c>
    </row>
    <row r="3660" customFormat="false" ht="15" hidden="false" customHeight="false" outlineLevel="0" collapsed="false">
      <c r="A3660" s="3" t="n">
        <v>3659</v>
      </c>
      <c r="B3660" s="3" t="n">
        <v>3658</v>
      </c>
      <c r="C3660" s="3" t="n">
        <v>4</v>
      </c>
      <c r="D3660" s="3" t="n">
        <v>18</v>
      </c>
      <c r="E3660" s="3" t="n">
        <v>18</v>
      </c>
      <c r="F3660" s="24" t="n">
        <v>0</v>
      </c>
    </row>
    <row r="3661" customFormat="false" ht="15" hidden="false" customHeight="false" outlineLevel="0" collapsed="false">
      <c r="A3661" s="3" t="n">
        <v>3660</v>
      </c>
      <c r="B3661" s="3" t="n">
        <v>3659</v>
      </c>
      <c r="C3661" s="3" t="n">
        <v>4</v>
      </c>
      <c r="D3661" s="3" t="n">
        <v>18</v>
      </c>
      <c r="E3661" s="3" t="n">
        <v>19</v>
      </c>
      <c r="F3661" s="24" t="n">
        <v>0</v>
      </c>
    </row>
    <row r="3662" customFormat="false" ht="15" hidden="false" customHeight="false" outlineLevel="0" collapsed="false">
      <c r="A3662" s="3" t="n">
        <v>3661</v>
      </c>
      <c r="B3662" s="3" t="n">
        <v>3660</v>
      </c>
      <c r="C3662" s="3" t="n">
        <v>4</v>
      </c>
      <c r="D3662" s="3" t="n">
        <v>18</v>
      </c>
      <c r="E3662" s="3" t="n">
        <v>20</v>
      </c>
      <c r="F3662" s="24" t="n">
        <v>0</v>
      </c>
    </row>
    <row r="3663" customFormat="false" ht="15" hidden="false" customHeight="false" outlineLevel="0" collapsed="false">
      <c r="A3663" s="3" t="n">
        <v>3662</v>
      </c>
      <c r="B3663" s="3" t="n">
        <v>3661</v>
      </c>
      <c r="C3663" s="3" t="n">
        <v>4</v>
      </c>
      <c r="D3663" s="3" t="n">
        <v>18</v>
      </c>
      <c r="E3663" s="3" t="n">
        <v>21</v>
      </c>
      <c r="F3663" s="24" t="n">
        <v>0</v>
      </c>
    </row>
    <row r="3664" customFormat="false" ht="15" hidden="false" customHeight="false" outlineLevel="0" collapsed="false">
      <c r="A3664" s="3" t="n">
        <v>3663</v>
      </c>
      <c r="B3664" s="3" t="n">
        <v>3662</v>
      </c>
      <c r="C3664" s="3" t="n">
        <v>4</v>
      </c>
      <c r="D3664" s="3" t="n">
        <v>18</v>
      </c>
      <c r="E3664" s="3" t="n">
        <v>22</v>
      </c>
      <c r="F3664" s="24" t="n">
        <v>0</v>
      </c>
    </row>
    <row r="3665" customFormat="false" ht="15" hidden="false" customHeight="false" outlineLevel="0" collapsed="false">
      <c r="A3665" s="3" t="n">
        <v>3664</v>
      </c>
      <c r="B3665" s="3" t="n">
        <v>3663</v>
      </c>
      <c r="C3665" s="3" t="n">
        <v>4</v>
      </c>
      <c r="D3665" s="3" t="n">
        <v>18</v>
      </c>
      <c r="E3665" s="3" t="n">
        <v>23</v>
      </c>
      <c r="F3665" s="24" t="n">
        <v>0</v>
      </c>
    </row>
    <row r="3666" customFormat="false" ht="15" hidden="false" customHeight="false" outlineLevel="0" collapsed="false">
      <c r="A3666" s="3" t="n">
        <v>3665</v>
      </c>
      <c r="B3666" s="3" t="n">
        <v>3664</v>
      </c>
      <c r="C3666" s="3" t="n">
        <v>4</v>
      </c>
      <c r="D3666" s="3" t="n">
        <v>18</v>
      </c>
      <c r="E3666" s="3" t="n">
        <v>24</v>
      </c>
      <c r="F3666" s="24" t="n">
        <v>0</v>
      </c>
    </row>
    <row r="3667" customFormat="false" ht="15" hidden="false" customHeight="false" outlineLevel="0" collapsed="false">
      <c r="A3667" s="3" t="n">
        <v>3666</v>
      </c>
      <c r="B3667" s="3" t="n">
        <v>3665</v>
      </c>
      <c r="C3667" s="3" t="n">
        <v>4</v>
      </c>
      <c r="D3667" s="3" t="n">
        <v>18</v>
      </c>
      <c r="E3667" s="3" t="n">
        <v>25</v>
      </c>
      <c r="F3667" s="24" t="n">
        <v>0</v>
      </c>
    </row>
    <row r="3668" customFormat="false" ht="15" hidden="false" customHeight="false" outlineLevel="0" collapsed="false">
      <c r="A3668" s="3" t="n">
        <v>3667</v>
      </c>
      <c r="B3668" s="3" t="n">
        <v>3666</v>
      </c>
      <c r="C3668" s="3" t="n">
        <v>4</v>
      </c>
      <c r="D3668" s="3" t="n">
        <v>18</v>
      </c>
      <c r="E3668" s="3" t="n">
        <v>26</v>
      </c>
      <c r="F3668" s="24" t="n">
        <v>0</v>
      </c>
    </row>
    <row r="3669" customFormat="false" ht="15" hidden="false" customHeight="false" outlineLevel="0" collapsed="false">
      <c r="A3669" s="3" t="n">
        <v>3668</v>
      </c>
      <c r="B3669" s="3" t="n">
        <v>3667</v>
      </c>
      <c r="C3669" s="3" t="n">
        <v>4</v>
      </c>
      <c r="D3669" s="3" t="n">
        <v>18</v>
      </c>
      <c r="E3669" s="3" t="n">
        <v>27</v>
      </c>
      <c r="F3669" s="24" t="n">
        <v>0</v>
      </c>
    </row>
    <row r="3670" customFormat="false" ht="15" hidden="false" customHeight="false" outlineLevel="0" collapsed="false">
      <c r="A3670" s="3" t="n">
        <v>3669</v>
      </c>
      <c r="B3670" s="3" t="n">
        <v>3668</v>
      </c>
      <c r="C3670" s="3" t="n">
        <v>4</v>
      </c>
      <c r="D3670" s="3" t="n">
        <v>19</v>
      </c>
      <c r="E3670" s="3" t="n">
        <v>0</v>
      </c>
      <c r="F3670" s="24" t="n">
        <v>0</v>
      </c>
    </row>
    <row r="3671" customFormat="false" ht="15" hidden="false" customHeight="false" outlineLevel="0" collapsed="false">
      <c r="A3671" s="3" t="n">
        <v>3670</v>
      </c>
      <c r="B3671" s="3" t="n">
        <v>3669</v>
      </c>
      <c r="C3671" s="3" t="n">
        <v>4</v>
      </c>
      <c r="D3671" s="3" t="n">
        <v>19</v>
      </c>
      <c r="E3671" s="3" t="n">
        <v>1</v>
      </c>
      <c r="F3671" s="24" t="n">
        <v>0</v>
      </c>
    </row>
    <row r="3672" customFormat="false" ht="15" hidden="false" customHeight="false" outlineLevel="0" collapsed="false">
      <c r="A3672" s="3" t="n">
        <v>3671</v>
      </c>
      <c r="B3672" s="3" t="n">
        <v>3670</v>
      </c>
      <c r="C3672" s="3" t="n">
        <v>4</v>
      </c>
      <c r="D3672" s="3" t="n">
        <v>19</v>
      </c>
      <c r="E3672" s="3" t="n">
        <v>2</v>
      </c>
      <c r="F3672" s="24" t="n">
        <v>0</v>
      </c>
    </row>
    <row r="3673" customFormat="false" ht="15" hidden="false" customHeight="false" outlineLevel="0" collapsed="false">
      <c r="A3673" s="3" t="n">
        <v>3672</v>
      </c>
      <c r="B3673" s="3" t="n">
        <v>3671</v>
      </c>
      <c r="C3673" s="3" t="n">
        <v>4</v>
      </c>
      <c r="D3673" s="3" t="n">
        <v>19</v>
      </c>
      <c r="E3673" s="3" t="n">
        <v>3</v>
      </c>
      <c r="F3673" s="24" t="n">
        <v>0</v>
      </c>
    </row>
    <row r="3674" customFormat="false" ht="15" hidden="false" customHeight="false" outlineLevel="0" collapsed="false">
      <c r="A3674" s="3" t="n">
        <v>3673</v>
      </c>
      <c r="B3674" s="3" t="n">
        <v>3672</v>
      </c>
      <c r="C3674" s="3" t="n">
        <v>4</v>
      </c>
      <c r="D3674" s="3" t="n">
        <v>19</v>
      </c>
      <c r="E3674" s="3" t="n">
        <v>4</v>
      </c>
      <c r="F3674" s="24" t="n">
        <v>0</v>
      </c>
    </row>
    <row r="3675" customFormat="false" ht="15" hidden="false" customHeight="false" outlineLevel="0" collapsed="false">
      <c r="A3675" s="3" t="n">
        <v>3674</v>
      </c>
      <c r="B3675" s="3" t="n">
        <v>3673</v>
      </c>
      <c r="C3675" s="3" t="n">
        <v>4</v>
      </c>
      <c r="D3675" s="3" t="n">
        <v>19</v>
      </c>
      <c r="E3675" s="3" t="n">
        <v>5</v>
      </c>
      <c r="F3675" s="24" t="n">
        <v>0</v>
      </c>
    </row>
    <row r="3676" customFormat="false" ht="15" hidden="false" customHeight="false" outlineLevel="0" collapsed="false">
      <c r="A3676" s="3" t="n">
        <v>3675</v>
      </c>
      <c r="B3676" s="3" t="n">
        <v>3674</v>
      </c>
      <c r="C3676" s="3" t="n">
        <v>4</v>
      </c>
      <c r="D3676" s="3" t="n">
        <v>19</v>
      </c>
      <c r="E3676" s="3" t="n">
        <v>6</v>
      </c>
      <c r="F3676" s="24" t="n">
        <v>0</v>
      </c>
    </row>
    <row r="3677" customFormat="false" ht="15" hidden="false" customHeight="false" outlineLevel="0" collapsed="false">
      <c r="A3677" s="3" t="n">
        <v>3676</v>
      </c>
      <c r="B3677" s="3" t="n">
        <v>3675</v>
      </c>
      <c r="C3677" s="3" t="n">
        <v>4</v>
      </c>
      <c r="D3677" s="3" t="n">
        <v>19</v>
      </c>
      <c r="E3677" s="3" t="n">
        <v>7</v>
      </c>
      <c r="F3677" s="24" t="n">
        <v>0</v>
      </c>
    </row>
    <row r="3678" customFormat="false" ht="15" hidden="false" customHeight="false" outlineLevel="0" collapsed="false">
      <c r="A3678" s="3" t="n">
        <v>3677</v>
      </c>
      <c r="B3678" s="3" t="n">
        <v>3676</v>
      </c>
      <c r="C3678" s="3" t="n">
        <v>4</v>
      </c>
      <c r="D3678" s="3" t="n">
        <v>19</v>
      </c>
      <c r="E3678" s="3" t="n">
        <v>8</v>
      </c>
      <c r="F3678" s="24" t="n">
        <v>0</v>
      </c>
    </row>
    <row r="3679" customFormat="false" ht="15" hidden="false" customHeight="false" outlineLevel="0" collapsed="false">
      <c r="A3679" s="3" t="n">
        <v>3678</v>
      </c>
      <c r="B3679" s="3" t="n">
        <v>3677</v>
      </c>
      <c r="C3679" s="3" t="n">
        <v>4</v>
      </c>
      <c r="D3679" s="3" t="n">
        <v>19</v>
      </c>
      <c r="E3679" s="3" t="n">
        <v>9</v>
      </c>
      <c r="F3679" s="24" t="n">
        <v>0</v>
      </c>
    </row>
    <row r="3680" customFormat="false" ht="15" hidden="false" customHeight="false" outlineLevel="0" collapsed="false">
      <c r="A3680" s="3" t="n">
        <v>3679</v>
      </c>
      <c r="B3680" s="3" t="n">
        <v>3678</v>
      </c>
      <c r="C3680" s="3" t="n">
        <v>4</v>
      </c>
      <c r="D3680" s="3" t="n">
        <v>19</v>
      </c>
      <c r="E3680" s="3" t="n">
        <v>10</v>
      </c>
      <c r="F3680" s="24" t="n">
        <v>0</v>
      </c>
    </row>
    <row r="3681" customFormat="false" ht="15" hidden="false" customHeight="false" outlineLevel="0" collapsed="false">
      <c r="A3681" s="3" t="n">
        <v>3680</v>
      </c>
      <c r="B3681" s="3" t="n">
        <v>3679</v>
      </c>
      <c r="C3681" s="3" t="n">
        <v>4</v>
      </c>
      <c r="D3681" s="3" t="n">
        <v>19</v>
      </c>
      <c r="E3681" s="3" t="n">
        <v>11</v>
      </c>
      <c r="F3681" s="24" t="n">
        <v>0</v>
      </c>
    </row>
    <row r="3682" customFormat="false" ht="15" hidden="false" customHeight="false" outlineLevel="0" collapsed="false">
      <c r="A3682" s="3" t="n">
        <v>3681</v>
      </c>
      <c r="B3682" s="3" t="n">
        <v>3680</v>
      </c>
      <c r="C3682" s="3" t="n">
        <v>4</v>
      </c>
      <c r="D3682" s="3" t="n">
        <v>19</v>
      </c>
      <c r="E3682" s="3" t="n">
        <v>12</v>
      </c>
      <c r="F3682" s="24" t="n">
        <v>0.0799307525</v>
      </c>
    </row>
    <row r="3683" customFormat="false" ht="15" hidden="false" customHeight="false" outlineLevel="0" collapsed="false">
      <c r="A3683" s="3" t="n">
        <v>3682</v>
      </c>
      <c r="B3683" s="3" t="n">
        <v>3681</v>
      </c>
      <c r="C3683" s="3" t="n">
        <v>4</v>
      </c>
      <c r="D3683" s="3" t="n">
        <v>19</v>
      </c>
      <c r="E3683" s="3" t="n">
        <v>13</v>
      </c>
      <c r="F3683" s="24" t="n">
        <v>1.25236368</v>
      </c>
    </row>
    <row r="3684" customFormat="false" ht="15" hidden="false" customHeight="false" outlineLevel="0" collapsed="false">
      <c r="A3684" s="3" t="n">
        <v>3683</v>
      </c>
      <c r="B3684" s="3" t="n">
        <v>3682</v>
      </c>
      <c r="C3684" s="3" t="n">
        <v>4</v>
      </c>
      <c r="D3684" s="3" t="n">
        <v>19</v>
      </c>
      <c r="E3684" s="3" t="n">
        <v>14</v>
      </c>
      <c r="F3684" s="24" t="n">
        <v>2.95269585</v>
      </c>
    </row>
    <row r="3685" customFormat="false" ht="15" hidden="false" customHeight="false" outlineLevel="0" collapsed="false">
      <c r="A3685" s="3" t="n">
        <v>3684</v>
      </c>
      <c r="B3685" s="3" t="n">
        <v>3683</v>
      </c>
      <c r="C3685" s="3" t="n">
        <v>4</v>
      </c>
      <c r="D3685" s="3" t="n">
        <v>19</v>
      </c>
      <c r="E3685" s="3" t="n">
        <v>15</v>
      </c>
      <c r="F3685" s="24" t="n">
        <v>2.56841373</v>
      </c>
    </row>
    <row r="3686" customFormat="false" ht="15" hidden="false" customHeight="false" outlineLevel="0" collapsed="false">
      <c r="A3686" s="3" t="n">
        <v>3685</v>
      </c>
      <c r="B3686" s="3" t="n">
        <v>3684</v>
      </c>
      <c r="C3686" s="3" t="n">
        <v>4</v>
      </c>
      <c r="D3686" s="3" t="n">
        <v>19</v>
      </c>
      <c r="E3686" s="3" t="n">
        <v>16</v>
      </c>
      <c r="F3686" s="24" t="n">
        <v>1.31910944</v>
      </c>
    </row>
    <row r="3687" customFormat="false" ht="15" hidden="false" customHeight="false" outlineLevel="0" collapsed="false">
      <c r="A3687" s="3" t="n">
        <v>3686</v>
      </c>
      <c r="B3687" s="3" t="n">
        <v>3685</v>
      </c>
      <c r="C3687" s="3" t="n">
        <v>4</v>
      </c>
      <c r="D3687" s="3" t="n">
        <v>19</v>
      </c>
      <c r="E3687" s="3" t="n">
        <v>17</v>
      </c>
      <c r="F3687" s="24" t="n">
        <v>0</v>
      </c>
    </row>
    <row r="3688" customFormat="false" ht="15" hidden="false" customHeight="false" outlineLevel="0" collapsed="false">
      <c r="A3688" s="3" t="n">
        <v>3687</v>
      </c>
      <c r="B3688" s="3" t="n">
        <v>3686</v>
      </c>
      <c r="C3688" s="3" t="n">
        <v>4</v>
      </c>
      <c r="D3688" s="3" t="n">
        <v>19</v>
      </c>
      <c r="E3688" s="3" t="n">
        <v>18</v>
      </c>
      <c r="F3688" s="24" t="n">
        <v>0</v>
      </c>
    </row>
    <row r="3689" customFormat="false" ht="15" hidden="false" customHeight="false" outlineLevel="0" collapsed="false">
      <c r="A3689" s="3" t="n">
        <v>3688</v>
      </c>
      <c r="B3689" s="3" t="n">
        <v>3687</v>
      </c>
      <c r="C3689" s="3" t="n">
        <v>4</v>
      </c>
      <c r="D3689" s="3" t="n">
        <v>19</v>
      </c>
      <c r="E3689" s="3" t="n">
        <v>19</v>
      </c>
      <c r="F3689" s="24" t="n">
        <v>0</v>
      </c>
    </row>
    <row r="3690" customFormat="false" ht="15" hidden="false" customHeight="false" outlineLevel="0" collapsed="false">
      <c r="A3690" s="3" t="n">
        <v>3689</v>
      </c>
      <c r="B3690" s="3" t="n">
        <v>3688</v>
      </c>
      <c r="C3690" s="3" t="n">
        <v>4</v>
      </c>
      <c r="D3690" s="3" t="n">
        <v>19</v>
      </c>
      <c r="E3690" s="3" t="n">
        <v>20</v>
      </c>
      <c r="F3690" s="24" t="n">
        <v>0</v>
      </c>
    </row>
    <row r="3691" customFormat="false" ht="15" hidden="false" customHeight="false" outlineLevel="0" collapsed="false">
      <c r="A3691" s="3" t="n">
        <v>3690</v>
      </c>
      <c r="B3691" s="3" t="n">
        <v>3689</v>
      </c>
      <c r="C3691" s="3" t="n">
        <v>4</v>
      </c>
      <c r="D3691" s="3" t="n">
        <v>19</v>
      </c>
      <c r="E3691" s="3" t="n">
        <v>21</v>
      </c>
      <c r="F3691" s="24" t="n">
        <v>0</v>
      </c>
    </row>
    <row r="3692" customFormat="false" ht="15" hidden="false" customHeight="false" outlineLevel="0" collapsed="false">
      <c r="A3692" s="3" t="n">
        <v>3691</v>
      </c>
      <c r="B3692" s="3" t="n">
        <v>3690</v>
      </c>
      <c r="C3692" s="3" t="n">
        <v>4</v>
      </c>
      <c r="D3692" s="3" t="n">
        <v>19</v>
      </c>
      <c r="E3692" s="3" t="n">
        <v>22</v>
      </c>
      <c r="F3692" s="24" t="n">
        <v>0</v>
      </c>
    </row>
    <row r="3693" customFormat="false" ht="15" hidden="false" customHeight="false" outlineLevel="0" collapsed="false">
      <c r="A3693" s="3" t="n">
        <v>3692</v>
      </c>
      <c r="B3693" s="3" t="n">
        <v>3691</v>
      </c>
      <c r="C3693" s="3" t="n">
        <v>4</v>
      </c>
      <c r="D3693" s="3" t="n">
        <v>19</v>
      </c>
      <c r="E3693" s="3" t="n">
        <v>23</v>
      </c>
      <c r="F3693" s="24" t="n">
        <v>0</v>
      </c>
    </row>
    <row r="3694" customFormat="false" ht="15" hidden="false" customHeight="false" outlineLevel="0" collapsed="false">
      <c r="A3694" s="3" t="n">
        <v>3693</v>
      </c>
      <c r="B3694" s="3" t="n">
        <v>3692</v>
      </c>
      <c r="C3694" s="3" t="n">
        <v>4</v>
      </c>
      <c r="D3694" s="3" t="n">
        <v>19</v>
      </c>
      <c r="E3694" s="3" t="n">
        <v>24</v>
      </c>
      <c r="F3694" s="24" t="n">
        <v>0</v>
      </c>
    </row>
    <row r="3695" customFormat="false" ht="15" hidden="false" customHeight="false" outlineLevel="0" collapsed="false">
      <c r="A3695" s="3" t="n">
        <v>3694</v>
      </c>
      <c r="B3695" s="3" t="n">
        <v>3693</v>
      </c>
      <c r="C3695" s="3" t="n">
        <v>4</v>
      </c>
      <c r="D3695" s="3" t="n">
        <v>19</v>
      </c>
      <c r="E3695" s="3" t="n">
        <v>25</v>
      </c>
      <c r="F3695" s="24" t="n">
        <v>0</v>
      </c>
    </row>
    <row r="3696" customFormat="false" ht="15" hidden="false" customHeight="false" outlineLevel="0" collapsed="false">
      <c r="A3696" s="3" t="n">
        <v>3695</v>
      </c>
      <c r="B3696" s="3" t="n">
        <v>3694</v>
      </c>
      <c r="C3696" s="3" t="n">
        <v>4</v>
      </c>
      <c r="D3696" s="3" t="n">
        <v>19</v>
      </c>
      <c r="E3696" s="3" t="n">
        <v>26</v>
      </c>
      <c r="F3696" s="24" t="n">
        <v>0</v>
      </c>
    </row>
    <row r="3697" customFormat="false" ht="15" hidden="false" customHeight="false" outlineLevel="0" collapsed="false">
      <c r="A3697" s="3" t="n">
        <v>3696</v>
      </c>
      <c r="B3697" s="3" t="n">
        <v>3695</v>
      </c>
      <c r="C3697" s="3" t="n">
        <v>4</v>
      </c>
      <c r="D3697" s="3" t="n">
        <v>19</v>
      </c>
      <c r="E3697" s="3" t="n">
        <v>27</v>
      </c>
      <c r="F3697" s="24" t="n">
        <v>0</v>
      </c>
    </row>
    <row r="3698" customFormat="false" ht="15" hidden="false" customHeight="false" outlineLevel="0" collapsed="false">
      <c r="A3698" s="3" t="n">
        <v>3697</v>
      </c>
      <c r="B3698" s="3" t="n">
        <v>3696</v>
      </c>
      <c r="C3698" s="3" t="n">
        <v>4</v>
      </c>
      <c r="D3698" s="3" t="n">
        <v>20</v>
      </c>
      <c r="E3698" s="3" t="n">
        <v>0</v>
      </c>
      <c r="F3698" s="24" t="n">
        <v>0</v>
      </c>
    </row>
    <row r="3699" customFormat="false" ht="15" hidden="false" customHeight="false" outlineLevel="0" collapsed="false">
      <c r="A3699" s="3" t="n">
        <v>3698</v>
      </c>
      <c r="B3699" s="3" t="n">
        <v>3697</v>
      </c>
      <c r="C3699" s="3" t="n">
        <v>4</v>
      </c>
      <c r="D3699" s="3" t="n">
        <v>20</v>
      </c>
      <c r="E3699" s="3" t="n">
        <v>1</v>
      </c>
      <c r="F3699" s="24" t="n">
        <v>0</v>
      </c>
    </row>
    <row r="3700" customFormat="false" ht="15" hidden="false" customHeight="false" outlineLevel="0" collapsed="false">
      <c r="A3700" s="3" t="n">
        <v>3699</v>
      </c>
      <c r="B3700" s="3" t="n">
        <v>3698</v>
      </c>
      <c r="C3700" s="3" t="n">
        <v>4</v>
      </c>
      <c r="D3700" s="3" t="n">
        <v>20</v>
      </c>
      <c r="E3700" s="3" t="n">
        <v>2</v>
      </c>
      <c r="F3700" s="24" t="n">
        <v>0</v>
      </c>
    </row>
    <row r="3701" customFormat="false" ht="15" hidden="false" customHeight="false" outlineLevel="0" collapsed="false">
      <c r="A3701" s="3" t="n">
        <v>3700</v>
      </c>
      <c r="B3701" s="3" t="n">
        <v>3699</v>
      </c>
      <c r="C3701" s="3" t="n">
        <v>4</v>
      </c>
      <c r="D3701" s="3" t="n">
        <v>20</v>
      </c>
      <c r="E3701" s="3" t="n">
        <v>3</v>
      </c>
      <c r="F3701" s="24" t="n">
        <v>0</v>
      </c>
    </row>
    <row r="3702" customFormat="false" ht="15" hidden="false" customHeight="false" outlineLevel="0" collapsed="false">
      <c r="A3702" s="3" t="n">
        <v>3701</v>
      </c>
      <c r="B3702" s="3" t="n">
        <v>3700</v>
      </c>
      <c r="C3702" s="3" t="n">
        <v>4</v>
      </c>
      <c r="D3702" s="3" t="n">
        <v>20</v>
      </c>
      <c r="E3702" s="3" t="n">
        <v>4</v>
      </c>
      <c r="F3702" s="24" t="n">
        <v>0</v>
      </c>
    </row>
    <row r="3703" customFormat="false" ht="15" hidden="false" customHeight="false" outlineLevel="0" collapsed="false">
      <c r="A3703" s="3" t="n">
        <v>3702</v>
      </c>
      <c r="B3703" s="3" t="n">
        <v>3701</v>
      </c>
      <c r="C3703" s="3" t="n">
        <v>4</v>
      </c>
      <c r="D3703" s="3" t="n">
        <v>20</v>
      </c>
      <c r="E3703" s="3" t="n">
        <v>5</v>
      </c>
      <c r="F3703" s="24" t="n">
        <v>0</v>
      </c>
    </row>
    <row r="3704" customFormat="false" ht="15" hidden="false" customHeight="false" outlineLevel="0" collapsed="false">
      <c r="A3704" s="3" t="n">
        <v>3703</v>
      </c>
      <c r="B3704" s="3" t="n">
        <v>3702</v>
      </c>
      <c r="C3704" s="3" t="n">
        <v>4</v>
      </c>
      <c r="D3704" s="3" t="n">
        <v>20</v>
      </c>
      <c r="E3704" s="3" t="n">
        <v>6</v>
      </c>
      <c r="F3704" s="24" t="n">
        <v>0</v>
      </c>
    </row>
    <row r="3705" customFormat="false" ht="15" hidden="false" customHeight="false" outlineLevel="0" collapsed="false">
      <c r="A3705" s="3" t="n">
        <v>3704</v>
      </c>
      <c r="B3705" s="3" t="n">
        <v>3703</v>
      </c>
      <c r="C3705" s="3" t="n">
        <v>4</v>
      </c>
      <c r="D3705" s="3" t="n">
        <v>20</v>
      </c>
      <c r="E3705" s="3" t="n">
        <v>7</v>
      </c>
      <c r="F3705" s="24" t="n">
        <v>0</v>
      </c>
    </row>
    <row r="3706" customFormat="false" ht="15" hidden="false" customHeight="false" outlineLevel="0" collapsed="false">
      <c r="A3706" s="3" t="n">
        <v>3705</v>
      </c>
      <c r="B3706" s="3" t="n">
        <v>3704</v>
      </c>
      <c r="C3706" s="3" t="n">
        <v>4</v>
      </c>
      <c r="D3706" s="3" t="n">
        <v>20</v>
      </c>
      <c r="E3706" s="3" t="n">
        <v>8</v>
      </c>
      <c r="F3706" s="24" t="n">
        <v>0</v>
      </c>
    </row>
    <row r="3707" customFormat="false" ht="15" hidden="false" customHeight="false" outlineLevel="0" collapsed="false">
      <c r="A3707" s="3" t="n">
        <v>3706</v>
      </c>
      <c r="B3707" s="3" t="n">
        <v>3705</v>
      </c>
      <c r="C3707" s="3" t="n">
        <v>4</v>
      </c>
      <c r="D3707" s="3" t="n">
        <v>20</v>
      </c>
      <c r="E3707" s="3" t="n">
        <v>9</v>
      </c>
      <c r="F3707" s="24" t="n">
        <v>0</v>
      </c>
    </row>
    <row r="3708" customFormat="false" ht="15" hidden="false" customHeight="false" outlineLevel="0" collapsed="false">
      <c r="A3708" s="3" t="n">
        <v>3707</v>
      </c>
      <c r="B3708" s="3" t="n">
        <v>3706</v>
      </c>
      <c r="C3708" s="3" t="n">
        <v>4</v>
      </c>
      <c r="D3708" s="3" t="n">
        <v>20</v>
      </c>
      <c r="E3708" s="3" t="n">
        <v>10</v>
      </c>
      <c r="F3708" s="24" t="n">
        <v>0</v>
      </c>
    </row>
    <row r="3709" customFormat="false" ht="15" hidden="false" customHeight="false" outlineLevel="0" collapsed="false">
      <c r="A3709" s="3" t="n">
        <v>3708</v>
      </c>
      <c r="B3709" s="3" t="n">
        <v>3707</v>
      </c>
      <c r="C3709" s="3" t="n">
        <v>4</v>
      </c>
      <c r="D3709" s="3" t="n">
        <v>20</v>
      </c>
      <c r="E3709" s="3" t="n">
        <v>11</v>
      </c>
      <c r="F3709" s="24" t="n">
        <v>0</v>
      </c>
    </row>
    <row r="3710" customFormat="false" ht="15" hidden="false" customHeight="false" outlineLevel="0" collapsed="false">
      <c r="A3710" s="3" t="n">
        <v>3709</v>
      </c>
      <c r="B3710" s="3" t="n">
        <v>3708</v>
      </c>
      <c r="C3710" s="3" t="n">
        <v>4</v>
      </c>
      <c r="D3710" s="3" t="n">
        <v>20</v>
      </c>
      <c r="E3710" s="3" t="n">
        <v>12</v>
      </c>
      <c r="F3710" s="24" t="n">
        <v>0.241739482</v>
      </c>
    </row>
    <row r="3711" customFormat="false" ht="15" hidden="false" customHeight="false" outlineLevel="0" collapsed="false">
      <c r="A3711" s="3" t="n">
        <v>3710</v>
      </c>
      <c r="B3711" s="3" t="n">
        <v>3709</v>
      </c>
      <c r="C3711" s="3" t="n">
        <v>4</v>
      </c>
      <c r="D3711" s="3" t="n">
        <v>20</v>
      </c>
      <c r="E3711" s="3" t="n">
        <v>13</v>
      </c>
      <c r="F3711" s="24" t="n">
        <v>2.13090992</v>
      </c>
    </row>
    <row r="3712" customFormat="false" ht="15" hidden="false" customHeight="false" outlineLevel="0" collapsed="false">
      <c r="A3712" s="3" t="n">
        <v>3711</v>
      </c>
      <c r="B3712" s="3" t="n">
        <v>3710</v>
      </c>
      <c r="C3712" s="3" t="n">
        <v>4</v>
      </c>
      <c r="D3712" s="3" t="n">
        <v>20</v>
      </c>
      <c r="E3712" s="3" t="n">
        <v>14</v>
      </c>
      <c r="F3712" s="24" t="n">
        <v>2.68046045</v>
      </c>
    </row>
    <row r="3713" customFormat="false" ht="15" hidden="false" customHeight="false" outlineLevel="0" collapsed="false">
      <c r="A3713" s="3" t="n">
        <v>3712</v>
      </c>
      <c r="B3713" s="3" t="n">
        <v>3711</v>
      </c>
      <c r="C3713" s="3" t="n">
        <v>4</v>
      </c>
      <c r="D3713" s="3" t="n">
        <v>20</v>
      </c>
      <c r="E3713" s="3" t="n">
        <v>15</v>
      </c>
      <c r="F3713" s="24" t="n">
        <v>1.89515066</v>
      </c>
    </row>
    <row r="3714" customFormat="false" ht="15" hidden="false" customHeight="false" outlineLevel="0" collapsed="false">
      <c r="A3714" s="3" t="n">
        <v>3713</v>
      </c>
      <c r="B3714" s="3" t="n">
        <v>3712</v>
      </c>
      <c r="C3714" s="3" t="n">
        <v>4</v>
      </c>
      <c r="D3714" s="3" t="n">
        <v>20</v>
      </c>
      <c r="E3714" s="3" t="n">
        <v>16</v>
      </c>
      <c r="F3714" s="24" t="n">
        <v>0.153637081</v>
      </c>
    </row>
    <row r="3715" customFormat="false" ht="15" hidden="false" customHeight="false" outlineLevel="0" collapsed="false">
      <c r="A3715" s="3" t="n">
        <v>3714</v>
      </c>
      <c r="B3715" s="3" t="n">
        <v>3713</v>
      </c>
      <c r="C3715" s="3" t="n">
        <v>4</v>
      </c>
      <c r="D3715" s="3" t="n">
        <v>20</v>
      </c>
      <c r="E3715" s="3" t="n">
        <v>17</v>
      </c>
      <c r="F3715" s="24" t="n">
        <v>0</v>
      </c>
    </row>
    <row r="3716" customFormat="false" ht="15" hidden="false" customHeight="false" outlineLevel="0" collapsed="false">
      <c r="A3716" s="3" t="n">
        <v>3715</v>
      </c>
      <c r="B3716" s="3" t="n">
        <v>3714</v>
      </c>
      <c r="C3716" s="3" t="n">
        <v>4</v>
      </c>
      <c r="D3716" s="3" t="n">
        <v>20</v>
      </c>
      <c r="E3716" s="3" t="n">
        <v>18</v>
      </c>
      <c r="F3716" s="24" t="n">
        <v>0</v>
      </c>
    </row>
    <row r="3717" customFormat="false" ht="15" hidden="false" customHeight="false" outlineLevel="0" collapsed="false">
      <c r="A3717" s="3" t="n">
        <v>3716</v>
      </c>
      <c r="B3717" s="3" t="n">
        <v>3715</v>
      </c>
      <c r="C3717" s="3" t="n">
        <v>4</v>
      </c>
      <c r="D3717" s="3" t="n">
        <v>20</v>
      </c>
      <c r="E3717" s="3" t="n">
        <v>19</v>
      </c>
      <c r="F3717" s="24" t="n">
        <v>0</v>
      </c>
    </row>
    <row r="3718" customFormat="false" ht="15" hidden="false" customHeight="false" outlineLevel="0" collapsed="false">
      <c r="A3718" s="3" t="n">
        <v>3717</v>
      </c>
      <c r="B3718" s="3" t="n">
        <v>3716</v>
      </c>
      <c r="C3718" s="3" t="n">
        <v>4</v>
      </c>
      <c r="D3718" s="3" t="n">
        <v>20</v>
      </c>
      <c r="E3718" s="3" t="n">
        <v>20</v>
      </c>
      <c r="F3718" s="24" t="n">
        <v>0</v>
      </c>
    </row>
    <row r="3719" customFormat="false" ht="15" hidden="false" customHeight="false" outlineLevel="0" collapsed="false">
      <c r="A3719" s="3" t="n">
        <v>3718</v>
      </c>
      <c r="B3719" s="3" t="n">
        <v>3717</v>
      </c>
      <c r="C3719" s="3" t="n">
        <v>4</v>
      </c>
      <c r="D3719" s="3" t="n">
        <v>20</v>
      </c>
      <c r="E3719" s="3" t="n">
        <v>21</v>
      </c>
      <c r="F3719" s="24" t="n">
        <v>0</v>
      </c>
    </row>
    <row r="3720" customFormat="false" ht="15" hidden="false" customHeight="false" outlineLevel="0" collapsed="false">
      <c r="A3720" s="3" t="n">
        <v>3719</v>
      </c>
      <c r="B3720" s="3" t="n">
        <v>3718</v>
      </c>
      <c r="C3720" s="3" t="n">
        <v>4</v>
      </c>
      <c r="D3720" s="3" t="n">
        <v>20</v>
      </c>
      <c r="E3720" s="3" t="n">
        <v>22</v>
      </c>
      <c r="F3720" s="24" t="n">
        <v>0</v>
      </c>
    </row>
    <row r="3721" customFormat="false" ht="15" hidden="false" customHeight="false" outlineLevel="0" collapsed="false">
      <c r="A3721" s="3" t="n">
        <v>3720</v>
      </c>
      <c r="B3721" s="3" t="n">
        <v>3719</v>
      </c>
      <c r="C3721" s="3" t="n">
        <v>4</v>
      </c>
      <c r="D3721" s="3" t="n">
        <v>20</v>
      </c>
      <c r="E3721" s="3" t="n">
        <v>23</v>
      </c>
      <c r="F3721" s="24" t="n">
        <v>0</v>
      </c>
    </row>
    <row r="3722" customFormat="false" ht="15" hidden="false" customHeight="false" outlineLevel="0" collapsed="false">
      <c r="A3722" s="3" t="n">
        <v>3721</v>
      </c>
      <c r="B3722" s="3" t="n">
        <v>3720</v>
      </c>
      <c r="C3722" s="3" t="n">
        <v>4</v>
      </c>
      <c r="D3722" s="3" t="n">
        <v>20</v>
      </c>
      <c r="E3722" s="3" t="n">
        <v>24</v>
      </c>
      <c r="F3722" s="24" t="n">
        <v>0</v>
      </c>
    </row>
    <row r="3723" customFormat="false" ht="15" hidden="false" customHeight="false" outlineLevel="0" collapsed="false">
      <c r="A3723" s="3" t="n">
        <v>3722</v>
      </c>
      <c r="B3723" s="3" t="n">
        <v>3721</v>
      </c>
      <c r="C3723" s="3" t="n">
        <v>4</v>
      </c>
      <c r="D3723" s="3" t="n">
        <v>20</v>
      </c>
      <c r="E3723" s="3" t="n">
        <v>25</v>
      </c>
      <c r="F3723" s="24" t="n">
        <v>0</v>
      </c>
    </row>
    <row r="3724" customFormat="false" ht="15" hidden="false" customHeight="false" outlineLevel="0" collapsed="false">
      <c r="A3724" s="3" t="n">
        <v>3723</v>
      </c>
      <c r="B3724" s="3" t="n">
        <v>3722</v>
      </c>
      <c r="C3724" s="3" t="n">
        <v>4</v>
      </c>
      <c r="D3724" s="3" t="n">
        <v>20</v>
      </c>
      <c r="E3724" s="3" t="n">
        <v>26</v>
      </c>
      <c r="F3724" s="24" t="n">
        <v>0</v>
      </c>
    </row>
    <row r="3725" customFormat="false" ht="15" hidden="false" customHeight="false" outlineLevel="0" collapsed="false">
      <c r="A3725" s="3" t="n">
        <v>3724</v>
      </c>
      <c r="B3725" s="3" t="n">
        <v>3723</v>
      </c>
      <c r="C3725" s="3" t="n">
        <v>4</v>
      </c>
      <c r="D3725" s="3" t="n">
        <v>20</v>
      </c>
      <c r="E3725" s="3" t="n">
        <v>27</v>
      </c>
      <c r="F3725" s="24" t="n">
        <v>0</v>
      </c>
    </row>
    <row r="3726" customFormat="false" ht="15" hidden="false" customHeight="false" outlineLevel="0" collapsed="false">
      <c r="A3726" s="3" t="n">
        <v>3725</v>
      </c>
      <c r="B3726" s="3" t="n">
        <v>3724</v>
      </c>
      <c r="C3726" s="3" t="n">
        <v>4</v>
      </c>
      <c r="D3726" s="3" t="n">
        <v>21</v>
      </c>
      <c r="E3726" s="3" t="n">
        <v>0</v>
      </c>
      <c r="F3726" s="24" t="n">
        <v>0</v>
      </c>
    </row>
    <row r="3727" customFormat="false" ht="15" hidden="false" customHeight="false" outlineLevel="0" collapsed="false">
      <c r="A3727" s="3" t="n">
        <v>3726</v>
      </c>
      <c r="B3727" s="3" t="n">
        <v>3725</v>
      </c>
      <c r="C3727" s="3" t="n">
        <v>4</v>
      </c>
      <c r="D3727" s="3" t="n">
        <v>21</v>
      </c>
      <c r="E3727" s="3" t="n">
        <v>1</v>
      </c>
      <c r="F3727" s="24" t="n">
        <v>0</v>
      </c>
    </row>
    <row r="3728" customFormat="false" ht="15" hidden="false" customHeight="false" outlineLevel="0" collapsed="false">
      <c r="A3728" s="3" t="n">
        <v>3727</v>
      </c>
      <c r="B3728" s="3" t="n">
        <v>3726</v>
      </c>
      <c r="C3728" s="3" t="n">
        <v>4</v>
      </c>
      <c r="D3728" s="3" t="n">
        <v>21</v>
      </c>
      <c r="E3728" s="3" t="n">
        <v>2</v>
      </c>
      <c r="F3728" s="24" t="n">
        <v>0</v>
      </c>
    </row>
    <row r="3729" customFormat="false" ht="15" hidden="false" customHeight="false" outlineLevel="0" collapsed="false">
      <c r="A3729" s="3" t="n">
        <v>3728</v>
      </c>
      <c r="B3729" s="3" t="n">
        <v>3727</v>
      </c>
      <c r="C3729" s="3" t="n">
        <v>4</v>
      </c>
      <c r="D3729" s="3" t="n">
        <v>21</v>
      </c>
      <c r="E3729" s="3" t="n">
        <v>3</v>
      </c>
      <c r="F3729" s="24" t="n">
        <v>0</v>
      </c>
    </row>
    <row r="3730" customFormat="false" ht="15" hidden="false" customHeight="false" outlineLevel="0" collapsed="false">
      <c r="A3730" s="3" t="n">
        <v>3729</v>
      </c>
      <c r="B3730" s="3" t="n">
        <v>3728</v>
      </c>
      <c r="C3730" s="3" t="n">
        <v>4</v>
      </c>
      <c r="D3730" s="3" t="n">
        <v>21</v>
      </c>
      <c r="E3730" s="3" t="n">
        <v>4</v>
      </c>
      <c r="F3730" s="24" t="n">
        <v>0</v>
      </c>
    </row>
    <row r="3731" customFormat="false" ht="15" hidden="false" customHeight="false" outlineLevel="0" collapsed="false">
      <c r="A3731" s="3" t="n">
        <v>3730</v>
      </c>
      <c r="B3731" s="3" t="n">
        <v>3729</v>
      </c>
      <c r="C3731" s="3" t="n">
        <v>4</v>
      </c>
      <c r="D3731" s="3" t="n">
        <v>21</v>
      </c>
      <c r="E3731" s="3" t="n">
        <v>5</v>
      </c>
      <c r="F3731" s="24" t="n">
        <v>0</v>
      </c>
    </row>
    <row r="3732" customFormat="false" ht="15" hidden="false" customHeight="false" outlineLevel="0" collapsed="false">
      <c r="A3732" s="3" t="n">
        <v>3731</v>
      </c>
      <c r="B3732" s="3" t="n">
        <v>3730</v>
      </c>
      <c r="C3732" s="3" t="n">
        <v>4</v>
      </c>
      <c r="D3732" s="3" t="n">
        <v>21</v>
      </c>
      <c r="E3732" s="3" t="n">
        <v>6</v>
      </c>
      <c r="F3732" s="24" t="n">
        <v>0</v>
      </c>
    </row>
    <row r="3733" customFormat="false" ht="15" hidden="false" customHeight="false" outlineLevel="0" collapsed="false">
      <c r="A3733" s="3" t="n">
        <v>3732</v>
      </c>
      <c r="B3733" s="3" t="n">
        <v>3731</v>
      </c>
      <c r="C3733" s="3" t="n">
        <v>4</v>
      </c>
      <c r="D3733" s="3" t="n">
        <v>21</v>
      </c>
      <c r="E3733" s="3" t="n">
        <v>7</v>
      </c>
      <c r="F3733" s="24" t="n">
        <v>0</v>
      </c>
    </row>
    <row r="3734" customFormat="false" ht="15" hidden="false" customHeight="false" outlineLevel="0" collapsed="false">
      <c r="A3734" s="3" t="n">
        <v>3733</v>
      </c>
      <c r="B3734" s="3" t="n">
        <v>3732</v>
      </c>
      <c r="C3734" s="3" t="n">
        <v>4</v>
      </c>
      <c r="D3734" s="3" t="n">
        <v>21</v>
      </c>
      <c r="E3734" s="3" t="n">
        <v>8</v>
      </c>
      <c r="F3734" s="24" t="n">
        <v>0</v>
      </c>
    </row>
    <row r="3735" customFormat="false" ht="15" hidden="false" customHeight="false" outlineLevel="0" collapsed="false">
      <c r="A3735" s="3" t="n">
        <v>3734</v>
      </c>
      <c r="B3735" s="3" t="n">
        <v>3733</v>
      </c>
      <c r="C3735" s="3" t="n">
        <v>4</v>
      </c>
      <c r="D3735" s="3" t="n">
        <v>21</v>
      </c>
      <c r="E3735" s="3" t="n">
        <v>9</v>
      </c>
      <c r="F3735" s="24" t="n">
        <v>0</v>
      </c>
    </row>
    <row r="3736" customFormat="false" ht="15" hidden="false" customHeight="false" outlineLevel="0" collapsed="false">
      <c r="A3736" s="3" t="n">
        <v>3735</v>
      </c>
      <c r="B3736" s="3" t="n">
        <v>3734</v>
      </c>
      <c r="C3736" s="3" t="n">
        <v>4</v>
      </c>
      <c r="D3736" s="3" t="n">
        <v>21</v>
      </c>
      <c r="E3736" s="3" t="n">
        <v>10</v>
      </c>
      <c r="F3736" s="24" t="n">
        <v>0</v>
      </c>
    </row>
    <row r="3737" customFormat="false" ht="15" hidden="false" customHeight="false" outlineLevel="0" collapsed="false">
      <c r="A3737" s="3" t="n">
        <v>3736</v>
      </c>
      <c r="B3737" s="3" t="n">
        <v>3735</v>
      </c>
      <c r="C3737" s="3" t="n">
        <v>4</v>
      </c>
      <c r="D3737" s="3" t="n">
        <v>21</v>
      </c>
      <c r="E3737" s="3" t="n">
        <v>11</v>
      </c>
      <c r="F3737" s="24" t="n">
        <v>0.2850191</v>
      </c>
    </row>
    <row r="3738" customFormat="false" ht="15" hidden="false" customHeight="false" outlineLevel="0" collapsed="false">
      <c r="A3738" s="3" t="n">
        <v>3737</v>
      </c>
      <c r="B3738" s="3" t="n">
        <v>3736</v>
      </c>
      <c r="C3738" s="3" t="n">
        <v>4</v>
      </c>
      <c r="D3738" s="3" t="n">
        <v>21</v>
      </c>
      <c r="E3738" s="3" t="n">
        <v>12</v>
      </c>
      <c r="F3738" s="24" t="n">
        <v>1.72331214</v>
      </c>
    </row>
    <row r="3739" customFormat="false" ht="15" hidden="false" customHeight="false" outlineLevel="0" collapsed="false">
      <c r="A3739" s="3" t="n">
        <v>3738</v>
      </c>
      <c r="B3739" s="3" t="n">
        <v>3737</v>
      </c>
      <c r="C3739" s="3" t="n">
        <v>4</v>
      </c>
      <c r="D3739" s="3" t="n">
        <v>21</v>
      </c>
      <c r="E3739" s="3" t="n">
        <v>13</v>
      </c>
      <c r="F3739" s="24" t="n">
        <v>3.16677523</v>
      </c>
    </row>
    <row r="3740" customFormat="false" ht="15" hidden="false" customHeight="false" outlineLevel="0" collapsed="false">
      <c r="A3740" s="3" t="n">
        <v>3739</v>
      </c>
      <c r="B3740" s="3" t="n">
        <v>3738</v>
      </c>
      <c r="C3740" s="3" t="n">
        <v>4</v>
      </c>
      <c r="D3740" s="3" t="n">
        <v>21</v>
      </c>
      <c r="E3740" s="3" t="n">
        <v>14</v>
      </c>
      <c r="F3740" s="24" t="n">
        <v>2.14042926</v>
      </c>
    </row>
    <row r="3741" customFormat="false" ht="15" hidden="false" customHeight="false" outlineLevel="0" collapsed="false">
      <c r="A3741" s="3" t="n">
        <v>3740</v>
      </c>
      <c r="B3741" s="3" t="n">
        <v>3739</v>
      </c>
      <c r="C3741" s="3" t="n">
        <v>4</v>
      </c>
      <c r="D3741" s="3" t="n">
        <v>21</v>
      </c>
      <c r="E3741" s="3" t="n">
        <v>15</v>
      </c>
      <c r="F3741" s="24" t="n">
        <v>0.500633657</v>
      </c>
    </row>
    <row r="3742" customFormat="false" ht="15" hidden="false" customHeight="false" outlineLevel="0" collapsed="false">
      <c r="A3742" s="3" t="n">
        <v>3741</v>
      </c>
      <c r="B3742" s="3" t="n">
        <v>3740</v>
      </c>
      <c r="C3742" s="3" t="n">
        <v>4</v>
      </c>
      <c r="D3742" s="3" t="n">
        <v>21</v>
      </c>
      <c r="E3742" s="3" t="n">
        <v>16</v>
      </c>
      <c r="F3742" s="24" t="n">
        <v>0</v>
      </c>
    </row>
    <row r="3743" customFormat="false" ht="15" hidden="false" customHeight="false" outlineLevel="0" collapsed="false">
      <c r="A3743" s="3" t="n">
        <v>3742</v>
      </c>
      <c r="B3743" s="3" t="n">
        <v>3741</v>
      </c>
      <c r="C3743" s="3" t="n">
        <v>4</v>
      </c>
      <c r="D3743" s="3" t="n">
        <v>21</v>
      </c>
      <c r="E3743" s="3" t="n">
        <v>17</v>
      </c>
      <c r="F3743" s="24" t="n">
        <v>0</v>
      </c>
    </row>
    <row r="3744" customFormat="false" ht="15" hidden="false" customHeight="false" outlineLevel="0" collapsed="false">
      <c r="A3744" s="3" t="n">
        <v>3743</v>
      </c>
      <c r="B3744" s="3" t="n">
        <v>3742</v>
      </c>
      <c r="C3744" s="3" t="n">
        <v>4</v>
      </c>
      <c r="D3744" s="3" t="n">
        <v>21</v>
      </c>
      <c r="E3744" s="3" t="n">
        <v>18</v>
      </c>
      <c r="F3744" s="24" t="n">
        <v>0</v>
      </c>
    </row>
    <row r="3745" customFormat="false" ht="15" hidden="false" customHeight="false" outlineLevel="0" collapsed="false">
      <c r="A3745" s="3" t="n">
        <v>3744</v>
      </c>
      <c r="B3745" s="3" t="n">
        <v>3743</v>
      </c>
      <c r="C3745" s="3" t="n">
        <v>4</v>
      </c>
      <c r="D3745" s="3" t="n">
        <v>21</v>
      </c>
      <c r="E3745" s="3" t="n">
        <v>19</v>
      </c>
      <c r="F3745" s="24" t="n">
        <v>0</v>
      </c>
    </row>
    <row r="3746" customFormat="false" ht="15" hidden="false" customHeight="false" outlineLevel="0" collapsed="false">
      <c r="A3746" s="3" t="n">
        <v>3745</v>
      </c>
      <c r="B3746" s="3" t="n">
        <v>3744</v>
      </c>
      <c r="C3746" s="3" t="n">
        <v>4</v>
      </c>
      <c r="D3746" s="3" t="n">
        <v>21</v>
      </c>
      <c r="E3746" s="3" t="n">
        <v>20</v>
      </c>
      <c r="F3746" s="24" t="n">
        <v>0</v>
      </c>
    </row>
    <row r="3747" customFormat="false" ht="15" hidden="false" customHeight="false" outlineLevel="0" collapsed="false">
      <c r="A3747" s="3" t="n">
        <v>3746</v>
      </c>
      <c r="B3747" s="3" t="n">
        <v>3745</v>
      </c>
      <c r="C3747" s="3" t="n">
        <v>4</v>
      </c>
      <c r="D3747" s="3" t="n">
        <v>21</v>
      </c>
      <c r="E3747" s="3" t="n">
        <v>21</v>
      </c>
      <c r="F3747" s="24" t="n">
        <v>0</v>
      </c>
    </row>
    <row r="3748" customFormat="false" ht="15" hidden="false" customHeight="false" outlineLevel="0" collapsed="false">
      <c r="A3748" s="3" t="n">
        <v>3747</v>
      </c>
      <c r="B3748" s="3" t="n">
        <v>3746</v>
      </c>
      <c r="C3748" s="3" t="n">
        <v>4</v>
      </c>
      <c r="D3748" s="3" t="n">
        <v>21</v>
      </c>
      <c r="E3748" s="3" t="n">
        <v>22</v>
      </c>
      <c r="F3748" s="24" t="n">
        <v>0</v>
      </c>
    </row>
    <row r="3749" customFormat="false" ht="15" hidden="false" customHeight="false" outlineLevel="0" collapsed="false">
      <c r="A3749" s="3" t="n">
        <v>3748</v>
      </c>
      <c r="B3749" s="3" t="n">
        <v>3747</v>
      </c>
      <c r="C3749" s="3" t="n">
        <v>4</v>
      </c>
      <c r="D3749" s="3" t="n">
        <v>21</v>
      </c>
      <c r="E3749" s="3" t="n">
        <v>23</v>
      </c>
      <c r="F3749" s="24" t="n">
        <v>0</v>
      </c>
    </row>
    <row r="3750" customFormat="false" ht="15" hidden="false" customHeight="false" outlineLevel="0" collapsed="false">
      <c r="A3750" s="3" t="n">
        <v>3749</v>
      </c>
      <c r="B3750" s="3" t="n">
        <v>3748</v>
      </c>
      <c r="C3750" s="3" t="n">
        <v>4</v>
      </c>
      <c r="D3750" s="3" t="n">
        <v>21</v>
      </c>
      <c r="E3750" s="3" t="n">
        <v>24</v>
      </c>
      <c r="F3750" s="24" t="n">
        <v>0</v>
      </c>
    </row>
    <row r="3751" customFormat="false" ht="15" hidden="false" customHeight="false" outlineLevel="0" collapsed="false">
      <c r="A3751" s="3" t="n">
        <v>3750</v>
      </c>
      <c r="B3751" s="3" t="n">
        <v>3749</v>
      </c>
      <c r="C3751" s="3" t="n">
        <v>4</v>
      </c>
      <c r="D3751" s="3" t="n">
        <v>21</v>
      </c>
      <c r="E3751" s="3" t="n">
        <v>25</v>
      </c>
      <c r="F3751" s="24" t="n">
        <v>0</v>
      </c>
    </row>
    <row r="3752" customFormat="false" ht="15" hidden="false" customHeight="false" outlineLevel="0" collapsed="false">
      <c r="A3752" s="3" t="n">
        <v>3751</v>
      </c>
      <c r="B3752" s="3" t="n">
        <v>3750</v>
      </c>
      <c r="C3752" s="3" t="n">
        <v>4</v>
      </c>
      <c r="D3752" s="3" t="n">
        <v>21</v>
      </c>
      <c r="E3752" s="3" t="n">
        <v>26</v>
      </c>
      <c r="F3752" s="24" t="n">
        <v>0</v>
      </c>
    </row>
    <row r="3753" customFormat="false" ht="15" hidden="false" customHeight="false" outlineLevel="0" collapsed="false">
      <c r="A3753" s="3" t="n">
        <v>3752</v>
      </c>
      <c r="B3753" s="3" t="n">
        <v>3751</v>
      </c>
      <c r="C3753" s="3" t="n">
        <v>4</v>
      </c>
      <c r="D3753" s="3" t="n">
        <v>21</v>
      </c>
      <c r="E3753" s="3" t="n">
        <v>27</v>
      </c>
      <c r="F3753" s="24" t="n">
        <v>0</v>
      </c>
    </row>
    <row r="3754" customFormat="false" ht="15" hidden="false" customHeight="false" outlineLevel="0" collapsed="false">
      <c r="A3754" s="3" t="n">
        <v>3753</v>
      </c>
      <c r="B3754" s="3" t="n">
        <v>3752</v>
      </c>
      <c r="C3754" s="3" t="n">
        <v>4</v>
      </c>
      <c r="D3754" s="3" t="n">
        <v>22</v>
      </c>
      <c r="E3754" s="3" t="n">
        <v>0</v>
      </c>
      <c r="F3754" s="24" t="n">
        <v>0</v>
      </c>
    </row>
    <row r="3755" customFormat="false" ht="15" hidden="false" customHeight="false" outlineLevel="0" collapsed="false">
      <c r="A3755" s="3" t="n">
        <v>3754</v>
      </c>
      <c r="B3755" s="3" t="n">
        <v>3753</v>
      </c>
      <c r="C3755" s="3" t="n">
        <v>4</v>
      </c>
      <c r="D3755" s="3" t="n">
        <v>22</v>
      </c>
      <c r="E3755" s="3" t="n">
        <v>1</v>
      </c>
      <c r="F3755" s="24" t="n">
        <v>0</v>
      </c>
    </row>
    <row r="3756" customFormat="false" ht="15" hidden="false" customHeight="false" outlineLevel="0" collapsed="false">
      <c r="A3756" s="3" t="n">
        <v>3755</v>
      </c>
      <c r="B3756" s="3" t="n">
        <v>3754</v>
      </c>
      <c r="C3756" s="3" t="n">
        <v>4</v>
      </c>
      <c r="D3756" s="3" t="n">
        <v>22</v>
      </c>
      <c r="E3756" s="3" t="n">
        <v>2</v>
      </c>
      <c r="F3756" s="24" t="n">
        <v>0</v>
      </c>
    </row>
    <row r="3757" customFormat="false" ht="15" hidden="false" customHeight="false" outlineLevel="0" collapsed="false">
      <c r="A3757" s="3" t="n">
        <v>3756</v>
      </c>
      <c r="B3757" s="3" t="n">
        <v>3755</v>
      </c>
      <c r="C3757" s="3" t="n">
        <v>4</v>
      </c>
      <c r="D3757" s="3" t="n">
        <v>22</v>
      </c>
      <c r="E3757" s="3" t="n">
        <v>3</v>
      </c>
      <c r="F3757" s="24" t="n">
        <v>0</v>
      </c>
    </row>
    <row r="3758" customFormat="false" ht="15" hidden="false" customHeight="false" outlineLevel="0" collapsed="false">
      <c r="A3758" s="3" t="n">
        <v>3757</v>
      </c>
      <c r="B3758" s="3" t="n">
        <v>3756</v>
      </c>
      <c r="C3758" s="3" t="n">
        <v>4</v>
      </c>
      <c r="D3758" s="3" t="n">
        <v>22</v>
      </c>
      <c r="E3758" s="3" t="n">
        <v>4</v>
      </c>
      <c r="F3758" s="24" t="n">
        <v>0</v>
      </c>
    </row>
    <row r="3759" customFormat="false" ht="15" hidden="false" customHeight="false" outlineLevel="0" collapsed="false">
      <c r="A3759" s="3" t="n">
        <v>3758</v>
      </c>
      <c r="B3759" s="3" t="n">
        <v>3757</v>
      </c>
      <c r="C3759" s="3" t="n">
        <v>4</v>
      </c>
      <c r="D3759" s="3" t="n">
        <v>22</v>
      </c>
      <c r="E3759" s="3" t="n">
        <v>5</v>
      </c>
      <c r="F3759" s="24" t="n">
        <v>0</v>
      </c>
    </row>
    <row r="3760" customFormat="false" ht="15" hidden="false" customHeight="false" outlineLevel="0" collapsed="false">
      <c r="A3760" s="3" t="n">
        <v>3759</v>
      </c>
      <c r="B3760" s="3" t="n">
        <v>3758</v>
      </c>
      <c r="C3760" s="3" t="n">
        <v>4</v>
      </c>
      <c r="D3760" s="3" t="n">
        <v>22</v>
      </c>
      <c r="E3760" s="3" t="n">
        <v>6</v>
      </c>
      <c r="F3760" s="24" t="n">
        <v>0</v>
      </c>
    </row>
    <row r="3761" customFormat="false" ht="15" hidden="false" customHeight="false" outlineLevel="0" collapsed="false">
      <c r="A3761" s="3" t="n">
        <v>3760</v>
      </c>
      <c r="B3761" s="3" t="n">
        <v>3759</v>
      </c>
      <c r="C3761" s="3" t="n">
        <v>4</v>
      </c>
      <c r="D3761" s="3" t="n">
        <v>22</v>
      </c>
      <c r="E3761" s="3" t="n">
        <v>7</v>
      </c>
      <c r="F3761" s="24" t="n">
        <v>0</v>
      </c>
    </row>
    <row r="3762" customFormat="false" ht="15" hidden="false" customHeight="false" outlineLevel="0" collapsed="false">
      <c r="A3762" s="3" t="n">
        <v>3761</v>
      </c>
      <c r="B3762" s="3" t="n">
        <v>3760</v>
      </c>
      <c r="C3762" s="3" t="n">
        <v>4</v>
      </c>
      <c r="D3762" s="3" t="n">
        <v>22</v>
      </c>
      <c r="E3762" s="3" t="n">
        <v>8</v>
      </c>
      <c r="F3762" s="24" t="n">
        <v>0</v>
      </c>
    </row>
    <row r="3763" customFormat="false" ht="15" hidden="false" customHeight="false" outlineLevel="0" collapsed="false">
      <c r="A3763" s="3" t="n">
        <v>3762</v>
      </c>
      <c r="B3763" s="3" t="n">
        <v>3761</v>
      </c>
      <c r="C3763" s="3" t="n">
        <v>4</v>
      </c>
      <c r="D3763" s="3" t="n">
        <v>22</v>
      </c>
      <c r="E3763" s="3" t="n">
        <v>9</v>
      </c>
      <c r="F3763" s="24" t="n">
        <v>0</v>
      </c>
    </row>
    <row r="3764" customFormat="false" ht="15" hidden="false" customHeight="false" outlineLevel="0" collapsed="false">
      <c r="A3764" s="3" t="n">
        <v>3763</v>
      </c>
      <c r="B3764" s="3" t="n">
        <v>3762</v>
      </c>
      <c r="C3764" s="3" t="n">
        <v>4</v>
      </c>
      <c r="D3764" s="3" t="n">
        <v>22</v>
      </c>
      <c r="E3764" s="3" t="n">
        <v>10</v>
      </c>
      <c r="F3764" s="24" t="n">
        <v>0</v>
      </c>
    </row>
    <row r="3765" customFormat="false" ht="15" hidden="false" customHeight="false" outlineLevel="0" collapsed="false">
      <c r="A3765" s="3" t="n">
        <v>3764</v>
      </c>
      <c r="B3765" s="3" t="n">
        <v>3763</v>
      </c>
      <c r="C3765" s="3" t="n">
        <v>4</v>
      </c>
      <c r="D3765" s="3" t="n">
        <v>22</v>
      </c>
      <c r="E3765" s="3" t="n">
        <v>11</v>
      </c>
      <c r="F3765" s="24" t="n">
        <v>0.790225029</v>
      </c>
    </row>
    <row r="3766" customFormat="false" ht="15" hidden="false" customHeight="false" outlineLevel="0" collapsed="false">
      <c r="A3766" s="3" t="n">
        <v>3765</v>
      </c>
      <c r="B3766" s="3" t="n">
        <v>3764</v>
      </c>
      <c r="C3766" s="3" t="n">
        <v>4</v>
      </c>
      <c r="D3766" s="3" t="n">
        <v>22</v>
      </c>
      <c r="E3766" s="3" t="n">
        <v>12</v>
      </c>
      <c r="F3766" s="24" t="n">
        <v>2.5860641</v>
      </c>
    </row>
    <row r="3767" customFormat="false" ht="15" hidden="false" customHeight="false" outlineLevel="0" collapsed="false">
      <c r="A3767" s="3" t="n">
        <v>3766</v>
      </c>
      <c r="B3767" s="3" t="n">
        <v>3765</v>
      </c>
      <c r="C3767" s="3" t="n">
        <v>4</v>
      </c>
      <c r="D3767" s="3" t="n">
        <v>22</v>
      </c>
      <c r="E3767" s="3" t="n">
        <v>13</v>
      </c>
      <c r="F3767" s="24" t="n">
        <v>2.82759452</v>
      </c>
    </row>
    <row r="3768" customFormat="false" ht="15" hidden="false" customHeight="false" outlineLevel="0" collapsed="false">
      <c r="A3768" s="3" t="n">
        <v>3767</v>
      </c>
      <c r="B3768" s="3" t="n">
        <v>3766</v>
      </c>
      <c r="C3768" s="3" t="n">
        <v>4</v>
      </c>
      <c r="D3768" s="3" t="n">
        <v>22</v>
      </c>
      <c r="E3768" s="3" t="n">
        <v>14</v>
      </c>
      <c r="F3768" s="24" t="n">
        <v>1.62391591</v>
      </c>
    </row>
    <row r="3769" customFormat="false" ht="15" hidden="false" customHeight="false" outlineLevel="0" collapsed="false">
      <c r="A3769" s="3" t="n">
        <v>3768</v>
      </c>
      <c r="B3769" s="3" t="n">
        <v>3767</v>
      </c>
      <c r="C3769" s="3" t="n">
        <v>4</v>
      </c>
      <c r="D3769" s="3" t="n">
        <v>22</v>
      </c>
      <c r="E3769" s="3" t="n">
        <v>15</v>
      </c>
      <c r="F3769" s="24" t="n">
        <v>0.0657942817</v>
      </c>
    </row>
    <row r="3770" customFormat="false" ht="15" hidden="false" customHeight="false" outlineLevel="0" collapsed="false">
      <c r="A3770" s="3" t="n">
        <v>3769</v>
      </c>
      <c r="B3770" s="3" t="n">
        <v>3768</v>
      </c>
      <c r="C3770" s="3" t="n">
        <v>4</v>
      </c>
      <c r="D3770" s="3" t="n">
        <v>22</v>
      </c>
      <c r="E3770" s="3" t="n">
        <v>16</v>
      </c>
      <c r="F3770" s="24" t="n">
        <v>0</v>
      </c>
    </row>
    <row r="3771" customFormat="false" ht="15" hidden="false" customHeight="false" outlineLevel="0" collapsed="false">
      <c r="A3771" s="3" t="n">
        <v>3770</v>
      </c>
      <c r="B3771" s="3" t="n">
        <v>3769</v>
      </c>
      <c r="C3771" s="3" t="n">
        <v>4</v>
      </c>
      <c r="D3771" s="3" t="n">
        <v>22</v>
      </c>
      <c r="E3771" s="3" t="n">
        <v>17</v>
      </c>
      <c r="F3771" s="24" t="n">
        <v>0</v>
      </c>
    </row>
    <row r="3772" customFormat="false" ht="15" hidden="false" customHeight="false" outlineLevel="0" collapsed="false">
      <c r="A3772" s="3" t="n">
        <v>3771</v>
      </c>
      <c r="B3772" s="3" t="n">
        <v>3770</v>
      </c>
      <c r="C3772" s="3" t="n">
        <v>4</v>
      </c>
      <c r="D3772" s="3" t="n">
        <v>22</v>
      </c>
      <c r="E3772" s="3" t="n">
        <v>18</v>
      </c>
      <c r="F3772" s="24" t="n">
        <v>0</v>
      </c>
    </row>
    <row r="3773" customFormat="false" ht="15" hidden="false" customHeight="false" outlineLevel="0" collapsed="false">
      <c r="A3773" s="3" t="n">
        <v>3772</v>
      </c>
      <c r="B3773" s="3" t="n">
        <v>3771</v>
      </c>
      <c r="C3773" s="3" t="n">
        <v>4</v>
      </c>
      <c r="D3773" s="3" t="n">
        <v>22</v>
      </c>
      <c r="E3773" s="3" t="n">
        <v>19</v>
      </c>
      <c r="F3773" s="24" t="n">
        <v>0</v>
      </c>
    </row>
    <row r="3774" customFormat="false" ht="15" hidden="false" customHeight="false" outlineLevel="0" collapsed="false">
      <c r="A3774" s="3" t="n">
        <v>3773</v>
      </c>
      <c r="B3774" s="3" t="n">
        <v>3772</v>
      </c>
      <c r="C3774" s="3" t="n">
        <v>4</v>
      </c>
      <c r="D3774" s="3" t="n">
        <v>22</v>
      </c>
      <c r="E3774" s="3" t="n">
        <v>20</v>
      </c>
      <c r="F3774" s="24" t="n">
        <v>0</v>
      </c>
    </row>
    <row r="3775" customFormat="false" ht="15" hidden="false" customHeight="false" outlineLevel="0" collapsed="false">
      <c r="A3775" s="3" t="n">
        <v>3774</v>
      </c>
      <c r="B3775" s="3" t="n">
        <v>3773</v>
      </c>
      <c r="C3775" s="3" t="n">
        <v>4</v>
      </c>
      <c r="D3775" s="3" t="n">
        <v>22</v>
      </c>
      <c r="E3775" s="3" t="n">
        <v>21</v>
      </c>
      <c r="F3775" s="24" t="n">
        <v>0</v>
      </c>
    </row>
    <row r="3776" customFormat="false" ht="15" hidden="false" customHeight="false" outlineLevel="0" collapsed="false">
      <c r="A3776" s="3" t="n">
        <v>3775</v>
      </c>
      <c r="B3776" s="3" t="n">
        <v>3774</v>
      </c>
      <c r="C3776" s="3" t="n">
        <v>4</v>
      </c>
      <c r="D3776" s="3" t="n">
        <v>22</v>
      </c>
      <c r="E3776" s="3" t="n">
        <v>22</v>
      </c>
      <c r="F3776" s="24" t="n">
        <v>0</v>
      </c>
    </row>
    <row r="3777" customFormat="false" ht="15" hidden="false" customHeight="false" outlineLevel="0" collapsed="false">
      <c r="A3777" s="3" t="n">
        <v>3776</v>
      </c>
      <c r="B3777" s="3" t="n">
        <v>3775</v>
      </c>
      <c r="C3777" s="3" t="n">
        <v>4</v>
      </c>
      <c r="D3777" s="3" t="n">
        <v>22</v>
      </c>
      <c r="E3777" s="3" t="n">
        <v>23</v>
      </c>
      <c r="F3777" s="24" t="n">
        <v>0</v>
      </c>
    </row>
    <row r="3778" customFormat="false" ht="15" hidden="false" customHeight="false" outlineLevel="0" collapsed="false">
      <c r="A3778" s="3" t="n">
        <v>3777</v>
      </c>
      <c r="B3778" s="3" t="n">
        <v>3776</v>
      </c>
      <c r="C3778" s="3" t="n">
        <v>4</v>
      </c>
      <c r="D3778" s="3" t="n">
        <v>22</v>
      </c>
      <c r="E3778" s="3" t="n">
        <v>24</v>
      </c>
      <c r="F3778" s="24" t="n">
        <v>0</v>
      </c>
    </row>
    <row r="3779" customFormat="false" ht="15" hidden="false" customHeight="false" outlineLevel="0" collapsed="false">
      <c r="A3779" s="3" t="n">
        <v>3778</v>
      </c>
      <c r="B3779" s="3" t="n">
        <v>3777</v>
      </c>
      <c r="C3779" s="3" t="n">
        <v>4</v>
      </c>
      <c r="D3779" s="3" t="n">
        <v>22</v>
      </c>
      <c r="E3779" s="3" t="n">
        <v>25</v>
      </c>
      <c r="F3779" s="24" t="n">
        <v>0</v>
      </c>
    </row>
    <row r="3780" customFormat="false" ht="15" hidden="false" customHeight="false" outlineLevel="0" collapsed="false">
      <c r="A3780" s="3" t="n">
        <v>3779</v>
      </c>
      <c r="B3780" s="3" t="n">
        <v>3778</v>
      </c>
      <c r="C3780" s="3" t="n">
        <v>4</v>
      </c>
      <c r="D3780" s="3" t="n">
        <v>22</v>
      </c>
      <c r="E3780" s="3" t="n">
        <v>26</v>
      </c>
      <c r="F3780" s="24" t="n">
        <v>0</v>
      </c>
    </row>
    <row r="3781" customFormat="false" ht="15" hidden="false" customHeight="false" outlineLevel="0" collapsed="false">
      <c r="A3781" s="3" t="n">
        <v>3780</v>
      </c>
      <c r="B3781" s="3" t="n">
        <v>3779</v>
      </c>
      <c r="C3781" s="3" t="n">
        <v>4</v>
      </c>
      <c r="D3781" s="3" t="n">
        <v>22</v>
      </c>
      <c r="E3781" s="3" t="n">
        <v>27</v>
      </c>
      <c r="F3781" s="24" t="n">
        <v>0</v>
      </c>
    </row>
    <row r="3782" customFormat="false" ht="15" hidden="false" customHeight="false" outlineLevel="0" collapsed="false">
      <c r="A3782" s="3" t="n">
        <v>3781</v>
      </c>
      <c r="B3782" s="3" t="n">
        <v>3780</v>
      </c>
      <c r="C3782" s="3" t="n">
        <v>4</v>
      </c>
      <c r="D3782" s="3" t="n">
        <v>23</v>
      </c>
      <c r="E3782" s="3" t="n">
        <v>0</v>
      </c>
      <c r="F3782" s="24" t="n">
        <v>0</v>
      </c>
    </row>
    <row r="3783" customFormat="false" ht="15" hidden="false" customHeight="false" outlineLevel="0" collapsed="false">
      <c r="A3783" s="3" t="n">
        <v>3782</v>
      </c>
      <c r="B3783" s="3" t="n">
        <v>3781</v>
      </c>
      <c r="C3783" s="3" t="n">
        <v>4</v>
      </c>
      <c r="D3783" s="3" t="n">
        <v>23</v>
      </c>
      <c r="E3783" s="3" t="n">
        <v>1</v>
      </c>
      <c r="F3783" s="24" t="n">
        <v>0</v>
      </c>
    </row>
    <row r="3784" customFormat="false" ht="15" hidden="false" customHeight="false" outlineLevel="0" collapsed="false">
      <c r="A3784" s="3" t="n">
        <v>3783</v>
      </c>
      <c r="B3784" s="3" t="n">
        <v>3782</v>
      </c>
      <c r="C3784" s="3" t="n">
        <v>4</v>
      </c>
      <c r="D3784" s="3" t="n">
        <v>23</v>
      </c>
      <c r="E3784" s="3" t="n">
        <v>2</v>
      </c>
      <c r="F3784" s="24" t="n">
        <v>0</v>
      </c>
    </row>
    <row r="3785" customFormat="false" ht="15" hidden="false" customHeight="false" outlineLevel="0" collapsed="false">
      <c r="A3785" s="3" t="n">
        <v>3784</v>
      </c>
      <c r="B3785" s="3" t="n">
        <v>3783</v>
      </c>
      <c r="C3785" s="3" t="n">
        <v>4</v>
      </c>
      <c r="D3785" s="3" t="n">
        <v>23</v>
      </c>
      <c r="E3785" s="3" t="n">
        <v>3</v>
      </c>
      <c r="F3785" s="24" t="n">
        <v>0</v>
      </c>
    </row>
    <row r="3786" customFormat="false" ht="15" hidden="false" customHeight="false" outlineLevel="0" collapsed="false">
      <c r="A3786" s="3" t="n">
        <v>3785</v>
      </c>
      <c r="B3786" s="3" t="n">
        <v>3784</v>
      </c>
      <c r="C3786" s="3" t="n">
        <v>4</v>
      </c>
      <c r="D3786" s="3" t="n">
        <v>23</v>
      </c>
      <c r="E3786" s="3" t="n">
        <v>4</v>
      </c>
      <c r="F3786" s="24" t="n">
        <v>0</v>
      </c>
    </row>
    <row r="3787" customFormat="false" ht="15" hidden="false" customHeight="false" outlineLevel="0" collapsed="false">
      <c r="A3787" s="3" t="n">
        <v>3786</v>
      </c>
      <c r="B3787" s="3" t="n">
        <v>3785</v>
      </c>
      <c r="C3787" s="3" t="n">
        <v>4</v>
      </c>
      <c r="D3787" s="3" t="n">
        <v>23</v>
      </c>
      <c r="E3787" s="3" t="n">
        <v>5</v>
      </c>
      <c r="F3787" s="24" t="n">
        <v>0</v>
      </c>
    </row>
    <row r="3788" customFormat="false" ht="15" hidden="false" customHeight="false" outlineLevel="0" collapsed="false">
      <c r="A3788" s="3" t="n">
        <v>3787</v>
      </c>
      <c r="B3788" s="3" t="n">
        <v>3786</v>
      </c>
      <c r="C3788" s="3" t="n">
        <v>4</v>
      </c>
      <c r="D3788" s="3" t="n">
        <v>23</v>
      </c>
      <c r="E3788" s="3" t="n">
        <v>6</v>
      </c>
      <c r="F3788" s="24" t="n">
        <v>0</v>
      </c>
    </row>
    <row r="3789" customFormat="false" ht="15" hidden="false" customHeight="false" outlineLevel="0" collapsed="false">
      <c r="A3789" s="3" t="n">
        <v>3788</v>
      </c>
      <c r="B3789" s="3" t="n">
        <v>3787</v>
      </c>
      <c r="C3789" s="3" t="n">
        <v>4</v>
      </c>
      <c r="D3789" s="3" t="n">
        <v>23</v>
      </c>
      <c r="E3789" s="3" t="n">
        <v>7</v>
      </c>
      <c r="F3789" s="24" t="n">
        <v>0</v>
      </c>
    </row>
    <row r="3790" customFormat="false" ht="15" hidden="false" customHeight="false" outlineLevel="0" collapsed="false">
      <c r="A3790" s="3" t="n">
        <v>3789</v>
      </c>
      <c r="B3790" s="3" t="n">
        <v>3788</v>
      </c>
      <c r="C3790" s="3" t="n">
        <v>4</v>
      </c>
      <c r="D3790" s="3" t="n">
        <v>23</v>
      </c>
      <c r="E3790" s="3" t="n">
        <v>8</v>
      </c>
      <c r="F3790" s="24" t="n">
        <v>0</v>
      </c>
    </row>
    <row r="3791" customFormat="false" ht="15" hidden="false" customHeight="false" outlineLevel="0" collapsed="false">
      <c r="A3791" s="3" t="n">
        <v>3790</v>
      </c>
      <c r="B3791" s="3" t="n">
        <v>3789</v>
      </c>
      <c r="C3791" s="3" t="n">
        <v>4</v>
      </c>
      <c r="D3791" s="3" t="n">
        <v>23</v>
      </c>
      <c r="E3791" s="3" t="n">
        <v>9</v>
      </c>
      <c r="F3791" s="24" t="n">
        <v>0</v>
      </c>
    </row>
    <row r="3792" customFormat="false" ht="15" hidden="false" customHeight="false" outlineLevel="0" collapsed="false">
      <c r="A3792" s="3" t="n">
        <v>3791</v>
      </c>
      <c r="B3792" s="3" t="n">
        <v>3790</v>
      </c>
      <c r="C3792" s="3" t="n">
        <v>4</v>
      </c>
      <c r="D3792" s="3" t="n">
        <v>23</v>
      </c>
      <c r="E3792" s="3" t="n">
        <v>10</v>
      </c>
      <c r="F3792" s="24" t="n">
        <v>0.43993935</v>
      </c>
    </row>
    <row r="3793" customFormat="false" ht="15" hidden="false" customHeight="false" outlineLevel="0" collapsed="false">
      <c r="A3793" s="3" t="n">
        <v>3792</v>
      </c>
      <c r="B3793" s="3" t="n">
        <v>3791</v>
      </c>
      <c r="C3793" s="3" t="n">
        <v>4</v>
      </c>
      <c r="D3793" s="3" t="n">
        <v>23</v>
      </c>
      <c r="E3793" s="3" t="n">
        <v>11</v>
      </c>
      <c r="F3793" s="24" t="n">
        <v>2.17636347</v>
      </c>
    </row>
    <row r="3794" customFormat="false" ht="15" hidden="false" customHeight="false" outlineLevel="0" collapsed="false">
      <c r="A3794" s="3" t="n">
        <v>3793</v>
      </c>
      <c r="B3794" s="3" t="n">
        <v>3792</v>
      </c>
      <c r="C3794" s="3" t="n">
        <v>4</v>
      </c>
      <c r="D3794" s="3" t="n">
        <v>23</v>
      </c>
      <c r="E3794" s="3" t="n">
        <v>12</v>
      </c>
      <c r="F3794" s="24" t="n">
        <v>3.4994669</v>
      </c>
    </row>
    <row r="3795" customFormat="false" ht="15" hidden="false" customHeight="false" outlineLevel="0" collapsed="false">
      <c r="A3795" s="3" t="n">
        <v>3794</v>
      </c>
      <c r="B3795" s="3" t="n">
        <v>3793</v>
      </c>
      <c r="C3795" s="3" t="n">
        <v>4</v>
      </c>
      <c r="D3795" s="3" t="n">
        <v>23</v>
      </c>
      <c r="E3795" s="3" t="n">
        <v>13</v>
      </c>
      <c r="F3795" s="24" t="n">
        <v>2.94642401</v>
      </c>
    </row>
    <row r="3796" customFormat="false" ht="15" hidden="false" customHeight="false" outlineLevel="0" collapsed="false">
      <c r="A3796" s="3" t="n">
        <v>3795</v>
      </c>
      <c r="B3796" s="3" t="n">
        <v>3794</v>
      </c>
      <c r="C3796" s="3" t="n">
        <v>4</v>
      </c>
      <c r="D3796" s="3" t="n">
        <v>23</v>
      </c>
      <c r="E3796" s="3" t="n">
        <v>14</v>
      </c>
      <c r="F3796" s="24" t="n">
        <v>0.866295695</v>
      </c>
    </row>
    <row r="3797" customFormat="false" ht="15" hidden="false" customHeight="false" outlineLevel="0" collapsed="false">
      <c r="A3797" s="3" t="n">
        <v>3796</v>
      </c>
      <c r="B3797" s="3" t="n">
        <v>3795</v>
      </c>
      <c r="C3797" s="3" t="n">
        <v>4</v>
      </c>
      <c r="D3797" s="3" t="n">
        <v>23</v>
      </c>
      <c r="E3797" s="3" t="n">
        <v>15</v>
      </c>
      <c r="F3797" s="24" t="n">
        <v>0</v>
      </c>
    </row>
    <row r="3798" customFormat="false" ht="15" hidden="false" customHeight="false" outlineLevel="0" collapsed="false">
      <c r="A3798" s="3" t="n">
        <v>3797</v>
      </c>
      <c r="B3798" s="3" t="n">
        <v>3796</v>
      </c>
      <c r="C3798" s="3" t="n">
        <v>4</v>
      </c>
      <c r="D3798" s="3" t="n">
        <v>23</v>
      </c>
      <c r="E3798" s="3" t="n">
        <v>16</v>
      </c>
      <c r="F3798" s="24" t="n">
        <v>0</v>
      </c>
    </row>
    <row r="3799" customFormat="false" ht="15" hidden="false" customHeight="false" outlineLevel="0" collapsed="false">
      <c r="A3799" s="3" t="n">
        <v>3798</v>
      </c>
      <c r="B3799" s="3" t="n">
        <v>3797</v>
      </c>
      <c r="C3799" s="3" t="n">
        <v>4</v>
      </c>
      <c r="D3799" s="3" t="n">
        <v>23</v>
      </c>
      <c r="E3799" s="3" t="n">
        <v>17</v>
      </c>
      <c r="F3799" s="24" t="n">
        <v>0</v>
      </c>
    </row>
    <row r="3800" customFormat="false" ht="15" hidden="false" customHeight="false" outlineLevel="0" collapsed="false">
      <c r="A3800" s="3" t="n">
        <v>3799</v>
      </c>
      <c r="B3800" s="3" t="n">
        <v>3798</v>
      </c>
      <c r="C3800" s="3" t="n">
        <v>4</v>
      </c>
      <c r="D3800" s="3" t="n">
        <v>23</v>
      </c>
      <c r="E3800" s="3" t="n">
        <v>18</v>
      </c>
      <c r="F3800" s="24" t="n">
        <v>0</v>
      </c>
    </row>
    <row r="3801" customFormat="false" ht="15" hidden="false" customHeight="false" outlineLevel="0" collapsed="false">
      <c r="A3801" s="3" t="n">
        <v>3800</v>
      </c>
      <c r="B3801" s="3" t="n">
        <v>3799</v>
      </c>
      <c r="C3801" s="3" t="n">
        <v>4</v>
      </c>
      <c r="D3801" s="3" t="n">
        <v>23</v>
      </c>
      <c r="E3801" s="3" t="n">
        <v>19</v>
      </c>
      <c r="F3801" s="24" t="n">
        <v>0</v>
      </c>
    </row>
    <row r="3802" customFormat="false" ht="15" hidden="false" customHeight="false" outlineLevel="0" collapsed="false">
      <c r="A3802" s="3" t="n">
        <v>3801</v>
      </c>
      <c r="B3802" s="3" t="n">
        <v>3800</v>
      </c>
      <c r="C3802" s="3" t="n">
        <v>4</v>
      </c>
      <c r="D3802" s="3" t="n">
        <v>23</v>
      </c>
      <c r="E3802" s="3" t="n">
        <v>20</v>
      </c>
      <c r="F3802" s="24" t="n">
        <v>0</v>
      </c>
    </row>
    <row r="3803" customFormat="false" ht="15" hidden="false" customHeight="false" outlineLevel="0" collapsed="false">
      <c r="A3803" s="3" t="n">
        <v>3802</v>
      </c>
      <c r="B3803" s="3" t="n">
        <v>3801</v>
      </c>
      <c r="C3803" s="3" t="n">
        <v>4</v>
      </c>
      <c r="D3803" s="3" t="n">
        <v>23</v>
      </c>
      <c r="E3803" s="3" t="n">
        <v>21</v>
      </c>
      <c r="F3803" s="24" t="n">
        <v>0</v>
      </c>
    </row>
    <row r="3804" customFormat="false" ht="15" hidden="false" customHeight="false" outlineLevel="0" collapsed="false">
      <c r="A3804" s="3" t="n">
        <v>3803</v>
      </c>
      <c r="B3804" s="3" t="n">
        <v>3802</v>
      </c>
      <c r="C3804" s="3" t="n">
        <v>4</v>
      </c>
      <c r="D3804" s="3" t="n">
        <v>23</v>
      </c>
      <c r="E3804" s="3" t="n">
        <v>22</v>
      </c>
      <c r="F3804" s="24" t="n">
        <v>0</v>
      </c>
    </row>
    <row r="3805" customFormat="false" ht="15" hidden="false" customHeight="false" outlineLevel="0" collapsed="false">
      <c r="A3805" s="3" t="n">
        <v>3804</v>
      </c>
      <c r="B3805" s="3" t="n">
        <v>3803</v>
      </c>
      <c r="C3805" s="3" t="n">
        <v>4</v>
      </c>
      <c r="D3805" s="3" t="n">
        <v>23</v>
      </c>
      <c r="E3805" s="3" t="n">
        <v>23</v>
      </c>
      <c r="F3805" s="24" t="n">
        <v>0</v>
      </c>
    </row>
    <row r="3806" customFormat="false" ht="15" hidden="false" customHeight="false" outlineLevel="0" collapsed="false">
      <c r="A3806" s="3" t="n">
        <v>3805</v>
      </c>
      <c r="B3806" s="3" t="n">
        <v>3804</v>
      </c>
      <c r="C3806" s="3" t="n">
        <v>4</v>
      </c>
      <c r="D3806" s="3" t="n">
        <v>23</v>
      </c>
      <c r="E3806" s="3" t="n">
        <v>24</v>
      </c>
      <c r="F3806" s="24" t="n">
        <v>0</v>
      </c>
    </row>
    <row r="3807" customFormat="false" ht="15" hidden="false" customHeight="false" outlineLevel="0" collapsed="false">
      <c r="A3807" s="3" t="n">
        <v>3806</v>
      </c>
      <c r="B3807" s="3" t="n">
        <v>3805</v>
      </c>
      <c r="C3807" s="3" t="n">
        <v>4</v>
      </c>
      <c r="D3807" s="3" t="n">
        <v>23</v>
      </c>
      <c r="E3807" s="3" t="n">
        <v>25</v>
      </c>
      <c r="F3807" s="24" t="n">
        <v>0</v>
      </c>
    </row>
    <row r="3808" customFormat="false" ht="15" hidden="false" customHeight="false" outlineLevel="0" collapsed="false">
      <c r="A3808" s="3" t="n">
        <v>3807</v>
      </c>
      <c r="B3808" s="3" t="n">
        <v>3806</v>
      </c>
      <c r="C3808" s="3" t="n">
        <v>4</v>
      </c>
      <c r="D3808" s="3" t="n">
        <v>23</v>
      </c>
      <c r="E3808" s="3" t="n">
        <v>26</v>
      </c>
      <c r="F3808" s="24" t="n">
        <v>0</v>
      </c>
    </row>
    <row r="3809" customFormat="false" ht="15" hidden="false" customHeight="false" outlineLevel="0" collapsed="false">
      <c r="A3809" s="3" t="n">
        <v>3808</v>
      </c>
      <c r="B3809" s="3" t="n">
        <v>3807</v>
      </c>
      <c r="C3809" s="3" t="n">
        <v>4</v>
      </c>
      <c r="D3809" s="3" t="n">
        <v>23</v>
      </c>
      <c r="E3809" s="3" t="n">
        <v>27</v>
      </c>
      <c r="F3809" s="24" t="n">
        <v>0</v>
      </c>
    </row>
    <row r="3810" customFormat="false" ht="15" hidden="false" customHeight="false" outlineLevel="0" collapsed="false">
      <c r="A3810" s="3" t="n">
        <v>3809</v>
      </c>
      <c r="B3810" s="3" t="n">
        <v>3808</v>
      </c>
      <c r="C3810" s="3" t="n">
        <v>4</v>
      </c>
      <c r="D3810" s="3" t="n">
        <v>24</v>
      </c>
      <c r="E3810" s="3" t="n">
        <v>0</v>
      </c>
      <c r="F3810" s="24" t="n">
        <v>0</v>
      </c>
    </row>
    <row r="3811" customFormat="false" ht="15" hidden="false" customHeight="false" outlineLevel="0" collapsed="false">
      <c r="A3811" s="3" t="n">
        <v>3810</v>
      </c>
      <c r="B3811" s="3" t="n">
        <v>3809</v>
      </c>
      <c r="C3811" s="3" t="n">
        <v>4</v>
      </c>
      <c r="D3811" s="3" t="n">
        <v>24</v>
      </c>
      <c r="E3811" s="3" t="n">
        <v>1</v>
      </c>
      <c r="F3811" s="24" t="n">
        <v>0</v>
      </c>
    </row>
    <row r="3812" customFormat="false" ht="15" hidden="false" customHeight="false" outlineLevel="0" collapsed="false">
      <c r="A3812" s="3" t="n">
        <v>3811</v>
      </c>
      <c r="B3812" s="3" t="n">
        <v>3810</v>
      </c>
      <c r="C3812" s="3" t="n">
        <v>4</v>
      </c>
      <c r="D3812" s="3" t="n">
        <v>24</v>
      </c>
      <c r="E3812" s="3" t="n">
        <v>2</v>
      </c>
      <c r="F3812" s="24" t="n">
        <v>0</v>
      </c>
    </row>
    <row r="3813" customFormat="false" ht="15" hidden="false" customHeight="false" outlineLevel="0" collapsed="false">
      <c r="A3813" s="3" t="n">
        <v>3812</v>
      </c>
      <c r="B3813" s="3" t="n">
        <v>3811</v>
      </c>
      <c r="C3813" s="3" t="n">
        <v>4</v>
      </c>
      <c r="D3813" s="3" t="n">
        <v>24</v>
      </c>
      <c r="E3813" s="3" t="n">
        <v>3</v>
      </c>
      <c r="F3813" s="24" t="n">
        <v>0</v>
      </c>
    </row>
    <row r="3814" customFormat="false" ht="15" hidden="false" customHeight="false" outlineLevel="0" collapsed="false">
      <c r="A3814" s="3" t="n">
        <v>3813</v>
      </c>
      <c r="B3814" s="3" t="n">
        <v>3812</v>
      </c>
      <c r="C3814" s="3" t="n">
        <v>4</v>
      </c>
      <c r="D3814" s="3" t="n">
        <v>24</v>
      </c>
      <c r="E3814" s="3" t="n">
        <v>4</v>
      </c>
      <c r="F3814" s="24" t="n">
        <v>0</v>
      </c>
    </row>
    <row r="3815" customFormat="false" ht="15" hidden="false" customHeight="false" outlineLevel="0" collapsed="false">
      <c r="A3815" s="3" t="n">
        <v>3814</v>
      </c>
      <c r="B3815" s="3" t="n">
        <v>3813</v>
      </c>
      <c r="C3815" s="3" t="n">
        <v>4</v>
      </c>
      <c r="D3815" s="3" t="n">
        <v>24</v>
      </c>
      <c r="E3815" s="3" t="n">
        <v>5</v>
      </c>
      <c r="F3815" s="24" t="n">
        <v>0</v>
      </c>
    </row>
    <row r="3816" customFormat="false" ht="15" hidden="false" customHeight="false" outlineLevel="0" collapsed="false">
      <c r="A3816" s="3" t="n">
        <v>3815</v>
      </c>
      <c r="B3816" s="3" t="n">
        <v>3814</v>
      </c>
      <c r="C3816" s="3" t="n">
        <v>4</v>
      </c>
      <c r="D3816" s="3" t="n">
        <v>24</v>
      </c>
      <c r="E3816" s="3" t="n">
        <v>6</v>
      </c>
      <c r="F3816" s="24" t="n">
        <v>0</v>
      </c>
    </row>
    <row r="3817" customFormat="false" ht="15" hidden="false" customHeight="false" outlineLevel="0" collapsed="false">
      <c r="A3817" s="3" t="n">
        <v>3816</v>
      </c>
      <c r="B3817" s="3" t="n">
        <v>3815</v>
      </c>
      <c r="C3817" s="3" t="n">
        <v>4</v>
      </c>
      <c r="D3817" s="3" t="n">
        <v>24</v>
      </c>
      <c r="E3817" s="3" t="n">
        <v>7</v>
      </c>
      <c r="F3817" s="24" t="n">
        <v>0</v>
      </c>
    </row>
    <row r="3818" customFormat="false" ht="15" hidden="false" customHeight="false" outlineLevel="0" collapsed="false">
      <c r="A3818" s="3" t="n">
        <v>3817</v>
      </c>
      <c r="B3818" s="3" t="n">
        <v>3816</v>
      </c>
      <c r="C3818" s="3" t="n">
        <v>4</v>
      </c>
      <c r="D3818" s="3" t="n">
        <v>24</v>
      </c>
      <c r="E3818" s="3" t="n">
        <v>8</v>
      </c>
      <c r="F3818" s="24" t="n">
        <v>0</v>
      </c>
    </row>
    <row r="3819" customFormat="false" ht="15" hidden="false" customHeight="false" outlineLevel="0" collapsed="false">
      <c r="A3819" s="3" t="n">
        <v>3818</v>
      </c>
      <c r="B3819" s="3" t="n">
        <v>3817</v>
      </c>
      <c r="C3819" s="3" t="n">
        <v>4</v>
      </c>
      <c r="D3819" s="3" t="n">
        <v>24</v>
      </c>
      <c r="E3819" s="3" t="n">
        <v>9</v>
      </c>
      <c r="F3819" s="24" t="n">
        <v>0</v>
      </c>
    </row>
    <row r="3820" customFormat="false" ht="15" hidden="false" customHeight="false" outlineLevel="0" collapsed="false">
      <c r="A3820" s="3" t="n">
        <v>3819</v>
      </c>
      <c r="B3820" s="3" t="n">
        <v>3818</v>
      </c>
      <c r="C3820" s="3" t="n">
        <v>4</v>
      </c>
      <c r="D3820" s="3" t="n">
        <v>24</v>
      </c>
      <c r="E3820" s="3" t="n">
        <v>10</v>
      </c>
      <c r="F3820" s="24" t="n">
        <v>0.912568808</v>
      </c>
    </row>
    <row r="3821" customFormat="false" ht="15" hidden="false" customHeight="false" outlineLevel="0" collapsed="false">
      <c r="A3821" s="3" t="n">
        <v>3820</v>
      </c>
      <c r="B3821" s="3" t="n">
        <v>3819</v>
      </c>
      <c r="C3821" s="3" t="n">
        <v>4</v>
      </c>
      <c r="D3821" s="3" t="n">
        <v>24</v>
      </c>
      <c r="E3821" s="3" t="n">
        <v>11</v>
      </c>
      <c r="F3821" s="24" t="n">
        <v>2.81492853</v>
      </c>
    </row>
    <row r="3822" customFormat="false" ht="15" hidden="false" customHeight="false" outlineLevel="0" collapsed="false">
      <c r="A3822" s="3" t="n">
        <v>3821</v>
      </c>
      <c r="B3822" s="3" t="n">
        <v>3820</v>
      </c>
      <c r="C3822" s="3" t="n">
        <v>4</v>
      </c>
      <c r="D3822" s="3" t="n">
        <v>24</v>
      </c>
      <c r="E3822" s="3" t="n">
        <v>12</v>
      </c>
      <c r="F3822" s="24" t="n">
        <v>3.36371136</v>
      </c>
    </row>
    <row r="3823" customFormat="false" ht="15" hidden="false" customHeight="false" outlineLevel="0" collapsed="false">
      <c r="A3823" s="3" t="n">
        <v>3822</v>
      </c>
      <c r="B3823" s="3" t="n">
        <v>3821</v>
      </c>
      <c r="C3823" s="3" t="n">
        <v>4</v>
      </c>
      <c r="D3823" s="3" t="n">
        <v>24</v>
      </c>
      <c r="E3823" s="3" t="n">
        <v>13</v>
      </c>
      <c r="F3823" s="24" t="n">
        <v>2.65881133</v>
      </c>
    </row>
    <row r="3824" customFormat="false" ht="15" hidden="false" customHeight="false" outlineLevel="0" collapsed="false">
      <c r="A3824" s="3" t="n">
        <v>3823</v>
      </c>
      <c r="B3824" s="3" t="n">
        <v>3822</v>
      </c>
      <c r="C3824" s="3" t="n">
        <v>4</v>
      </c>
      <c r="D3824" s="3" t="n">
        <v>24</v>
      </c>
      <c r="E3824" s="3" t="n">
        <v>14</v>
      </c>
      <c r="F3824" s="24" t="n">
        <v>0.395687342</v>
      </c>
    </row>
    <row r="3825" customFormat="false" ht="15" hidden="false" customHeight="false" outlineLevel="0" collapsed="false">
      <c r="A3825" s="3" t="n">
        <v>3824</v>
      </c>
      <c r="B3825" s="3" t="n">
        <v>3823</v>
      </c>
      <c r="C3825" s="3" t="n">
        <v>4</v>
      </c>
      <c r="D3825" s="3" t="n">
        <v>24</v>
      </c>
      <c r="E3825" s="3" t="n">
        <v>15</v>
      </c>
      <c r="F3825" s="24" t="n">
        <v>0</v>
      </c>
    </row>
    <row r="3826" customFormat="false" ht="15" hidden="false" customHeight="false" outlineLevel="0" collapsed="false">
      <c r="A3826" s="3" t="n">
        <v>3825</v>
      </c>
      <c r="B3826" s="3" t="n">
        <v>3824</v>
      </c>
      <c r="C3826" s="3" t="n">
        <v>4</v>
      </c>
      <c r="D3826" s="3" t="n">
        <v>24</v>
      </c>
      <c r="E3826" s="3" t="n">
        <v>16</v>
      </c>
      <c r="F3826" s="24" t="n">
        <v>0</v>
      </c>
    </row>
    <row r="3827" customFormat="false" ht="15" hidden="false" customHeight="false" outlineLevel="0" collapsed="false">
      <c r="A3827" s="3" t="n">
        <v>3826</v>
      </c>
      <c r="B3827" s="3" t="n">
        <v>3825</v>
      </c>
      <c r="C3827" s="3" t="n">
        <v>4</v>
      </c>
      <c r="D3827" s="3" t="n">
        <v>24</v>
      </c>
      <c r="E3827" s="3" t="n">
        <v>17</v>
      </c>
      <c r="F3827" s="24" t="n">
        <v>0</v>
      </c>
    </row>
    <row r="3828" customFormat="false" ht="15" hidden="false" customHeight="false" outlineLevel="0" collapsed="false">
      <c r="A3828" s="3" t="n">
        <v>3827</v>
      </c>
      <c r="B3828" s="3" t="n">
        <v>3826</v>
      </c>
      <c r="C3828" s="3" t="n">
        <v>4</v>
      </c>
      <c r="D3828" s="3" t="n">
        <v>24</v>
      </c>
      <c r="E3828" s="3" t="n">
        <v>18</v>
      </c>
      <c r="F3828" s="24" t="n">
        <v>0</v>
      </c>
    </row>
    <row r="3829" customFormat="false" ht="15" hidden="false" customHeight="false" outlineLevel="0" collapsed="false">
      <c r="A3829" s="3" t="n">
        <v>3828</v>
      </c>
      <c r="B3829" s="3" t="n">
        <v>3827</v>
      </c>
      <c r="C3829" s="3" t="n">
        <v>4</v>
      </c>
      <c r="D3829" s="3" t="n">
        <v>24</v>
      </c>
      <c r="E3829" s="3" t="n">
        <v>19</v>
      </c>
      <c r="F3829" s="24" t="n">
        <v>0</v>
      </c>
    </row>
    <row r="3830" customFormat="false" ht="15" hidden="false" customHeight="false" outlineLevel="0" collapsed="false">
      <c r="A3830" s="3" t="n">
        <v>3829</v>
      </c>
      <c r="B3830" s="3" t="n">
        <v>3828</v>
      </c>
      <c r="C3830" s="3" t="n">
        <v>4</v>
      </c>
      <c r="D3830" s="3" t="n">
        <v>24</v>
      </c>
      <c r="E3830" s="3" t="n">
        <v>20</v>
      </c>
      <c r="F3830" s="24" t="n">
        <v>0</v>
      </c>
    </row>
    <row r="3831" customFormat="false" ht="15" hidden="false" customHeight="false" outlineLevel="0" collapsed="false">
      <c r="A3831" s="3" t="n">
        <v>3830</v>
      </c>
      <c r="B3831" s="3" t="n">
        <v>3829</v>
      </c>
      <c r="C3831" s="3" t="n">
        <v>4</v>
      </c>
      <c r="D3831" s="3" t="n">
        <v>24</v>
      </c>
      <c r="E3831" s="3" t="n">
        <v>21</v>
      </c>
      <c r="F3831" s="24" t="n">
        <v>0</v>
      </c>
    </row>
    <row r="3832" customFormat="false" ht="15" hidden="false" customHeight="false" outlineLevel="0" collapsed="false">
      <c r="A3832" s="3" t="n">
        <v>3831</v>
      </c>
      <c r="B3832" s="3" t="n">
        <v>3830</v>
      </c>
      <c r="C3832" s="3" t="n">
        <v>4</v>
      </c>
      <c r="D3832" s="3" t="n">
        <v>24</v>
      </c>
      <c r="E3832" s="3" t="n">
        <v>22</v>
      </c>
      <c r="F3832" s="24" t="n">
        <v>0</v>
      </c>
    </row>
    <row r="3833" customFormat="false" ht="15" hidden="false" customHeight="false" outlineLevel="0" collapsed="false">
      <c r="A3833" s="3" t="n">
        <v>3832</v>
      </c>
      <c r="B3833" s="3" t="n">
        <v>3831</v>
      </c>
      <c r="C3833" s="3" t="n">
        <v>4</v>
      </c>
      <c r="D3833" s="3" t="n">
        <v>24</v>
      </c>
      <c r="E3833" s="3" t="n">
        <v>23</v>
      </c>
      <c r="F3833" s="24" t="n">
        <v>0</v>
      </c>
    </row>
    <row r="3834" customFormat="false" ht="15" hidden="false" customHeight="false" outlineLevel="0" collapsed="false">
      <c r="A3834" s="3" t="n">
        <v>3833</v>
      </c>
      <c r="B3834" s="3" t="n">
        <v>3832</v>
      </c>
      <c r="C3834" s="3" t="n">
        <v>4</v>
      </c>
      <c r="D3834" s="3" t="n">
        <v>24</v>
      </c>
      <c r="E3834" s="3" t="n">
        <v>24</v>
      </c>
      <c r="F3834" s="24" t="n">
        <v>0</v>
      </c>
    </row>
    <row r="3835" customFormat="false" ht="15" hidden="false" customHeight="false" outlineLevel="0" collapsed="false">
      <c r="A3835" s="3" t="n">
        <v>3834</v>
      </c>
      <c r="B3835" s="3" t="n">
        <v>3833</v>
      </c>
      <c r="C3835" s="3" t="n">
        <v>4</v>
      </c>
      <c r="D3835" s="3" t="n">
        <v>24</v>
      </c>
      <c r="E3835" s="3" t="n">
        <v>25</v>
      </c>
      <c r="F3835" s="24" t="n">
        <v>0</v>
      </c>
    </row>
    <row r="3836" customFormat="false" ht="15" hidden="false" customHeight="false" outlineLevel="0" collapsed="false">
      <c r="A3836" s="3" t="n">
        <v>3835</v>
      </c>
      <c r="B3836" s="3" t="n">
        <v>3834</v>
      </c>
      <c r="C3836" s="3" t="n">
        <v>4</v>
      </c>
      <c r="D3836" s="3" t="n">
        <v>24</v>
      </c>
      <c r="E3836" s="3" t="n">
        <v>26</v>
      </c>
      <c r="F3836" s="24" t="n">
        <v>0</v>
      </c>
    </row>
    <row r="3837" customFormat="false" ht="15" hidden="false" customHeight="false" outlineLevel="0" collapsed="false">
      <c r="A3837" s="3" t="n">
        <v>3836</v>
      </c>
      <c r="B3837" s="3" t="n">
        <v>3835</v>
      </c>
      <c r="C3837" s="3" t="n">
        <v>4</v>
      </c>
      <c r="D3837" s="3" t="n">
        <v>24</v>
      </c>
      <c r="E3837" s="3" t="n">
        <v>27</v>
      </c>
      <c r="F3837" s="24" t="n">
        <v>0</v>
      </c>
    </row>
    <row r="3838" customFormat="false" ht="15" hidden="false" customHeight="false" outlineLevel="0" collapsed="false">
      <c r="A3838" s="3" t="n">
        <v>3837</v>
      </c>
      <c r="B3838" s="3" t="n">
        <v>3836</v>
      </c>
      <c r="C3838" s="3" t="n">
        <v>4</v>
      </c>
      <c r="D3838" s="3" t="n">
        <v>25</v>
      </c>
      <c r="E3838" s="3" t="n">
        <v>0</v>
      </c>
      <c r="F3838" s="24" t="n">
        <v>0</v>
      </c>
    </row>
    <row r="3839" customFormat="false" ht="15" hidden="false" customHeight="false" outlineLevel="0" collapsed="false">
      <c r="A3839" s="3" t="n">
        <v>3838</v>
      </c>
      <c r="B3839" s="3" t="n">
        <v>3837</v>
      </c>
      <c r="C3839" s="3" t="n">
        <v>4</v>
      </c>
      <c r="D3839" s="3" t="n">
        <v>25</v>
      </c>
      <c r="E3839" s="3" t="n">
        <v>1</v>
      </c>
      <c r="F3839" s="24" t="n">
        <v>0</v>
      </c>
    </row>
    <row r="3840" customFormat="false" ht="15" hidden="false" customHeight="false" outlineLevel="0" collapsed="false">
      <c r="A3840" s="3" t="n">
        <v>3839</v>
      </c>
      <c r="B3840" s="3" t="n">
        <v>3838</v>
      </c>
      <c r="C3840" s="3" t="n">
        <v>4</v>
      </c>
      <c r="D3840" s="3" t="n">
        <v>25</v>
      </c>
      <c r="E3840" s="3" t="n">
        <v>2</v>
      </c>
      <c r="F3840" s="24" t="n">
        <v>0</v>
      </c>
    </row>
    <row r="3841" customFormat="false" ht="15" hidden="false" customHeight="false" outlineLevel="0" collapsed="false">
      <c r="A3841" s="3" t="n">
        <v>3840</v>
      </c>
      <c r="B3841" s="3" t="n">
        <v>3839</v>
      </c>
      <c r="C3841" s="3" t="n">
        <v>4</v>
      </c>
      <c r="D3841" s="3" t="n">
        <v>25</v>
      </c>
      <c r="E3841" s="3" t="n">
        <v>3</v>
      </c>
      <c r="F3841" s="24" t="n">
        <v>0</v>
      </c>
    </row>
    <row r="3842" customFormat="false" ht="15" hidden="false" customHeight="false" outlineLevel="0" collapsed="false">
      <c r="A3842" s="3" t="n">
        <v>3841</v>
      </c>
      <c r="B3842" s="3" t="n">
        <v>3840</v>
      </c>
      <c r="C3842" s="3" t="n">
        <v>4</v>
      </c>
      <c r="D3842" s="3" t="n">
        <v>25</v>
      </c>
      <c r="E3842" s="3" t="n">
        <v>4</v>
      </c>
      <c r="F3842" s="24" t="n">
        <v>0</v>
      </c>
    </row>
    <row r="3843" customFormat="false" ht="15" hidden="false" customHeight="false" outlineLevel="0" collapsed="false">
      <c r="A3843" s="3" t="n">
        <v>3842</v>
      </c>
      <c r="B3843" s="3" t="n">
        <v>3841</v>
      </c>
      <c r="C3843" s="3" t="n">
        <v>4</v>
      </c>
      <c r="D3843" s="3" t="n">
        <v>25</v>
      </c>
      <c r="E3843" s="3" t="n">
        <v>5</v>
      </c>
      <c r="F3843" s="24" t="n">
        <v>0</v>
      </c>
    </row>
    <row r="3844" customFormat="false" ht="15" hidden="false" customHeight="false" outlineLevel="0" collapsed="false">
      <c r="A3844" s="3" t="n">
        <v>3843</v>
      </c>
      <c r="B3844" s="3" t="n">
        <v>3842</v>
      </c>
      <c r="C3844" s="3" t="n">
        <v>4</v>
      </c>
      <c r="D3844" s="3" t="n">
        <v>25</v>
      </c>
      <c r="E3844" s="3" t="n">
        <v>6</v>
      </c>
      <c r="F3844" s="24" t="n">
        <v>0</v>
      </c>
    </row>
    <row r="3845" customFormat="false" ht="15" hidden="false" customHeight="false" outlineLevel="0" collapsed="false">
      <c r="A3845" s="3" t="n">
        <v>3844</v>
      </c>
      <c r="B3845" s="3" t="n">
        <v>3843</v>
      </c>
      <c r="C3845" s="3" t="n">
        <v>4</v>
      </c>
      <c r="D3845" s="3" t="n">
        <v>25</v>
      </c>
      <c r="E3845" s="3" t="n">
        <v>7</v>
      </c>
      <c r="F3845" s="24" t="n">
        <v>0</v>
      </c>
    </row>
    <row r="3846" customFormat="false" ht="15" hidden="false" customHeight="false" outlineLevel="0" collapsed="false">
      <c r="A3846" s="3" t="n">
        <v>3845</v>
      </c>
      <c r="B3846" s="3" t="n">
        <v>3844</v>
      </c>
      <c r="C3846" s="3" t="n">
        <v>4</v>
      </c>
      <c r="D3846" s="3" t="n">
        <v>25</v>
      </c>
      <c r="E3846" s="3" t="n">
        <v>8</v>
      </c>
      <c r="F3846" s="24" t="n">
        <v>0</v>
      </c>
    </row>
    <row r="3847" customFormat="false" ht="15" hidden="false" customHeight="false" outlineLevel="0" collapsed="false">
      <c r="A3847" s="3" t="n">
        <v>3846</v>
      </c>
      <c r="B3847" s="3" t="n">
        <v>3845</v>
      </c>
      <c r="C3847" s="3" t="n">
        <v>4</v>
      </c>
      <c r="D3847" s="3" t="n">
        <v>25</v>
      </c>
      <c r="E3847" s="3" t="n">
        <v>9</v>
      </c>
      <c r="F3847" s="24" t="n">
        <v>0</v>
      </c>
    </row>
    <row r="3848" customFormat="false" ht="15" hidden="false" customHeight="false" outlineLevel="0" collapsed="false">
      <c r="A3848" s="3" t="n">
        <v>3847</v>
      </c>
      <c r="B3848" s="3" t="n">
        <v>3846</v>
      </c>
      <c r="C3848" s="3" t="n">
        <v>4</v>
      </c>
      <c r="D3848" s="3" t="n">
        <v>25</v>
      </c>
      <c r="E3848" s="3" t="n">
        <v>10</v>
      </c>
      <c r="F3848" s="24" t="n">
        <v>1.4046067</v>
      </c>
    </row>
    <row r="3849" customFormat="false" ht="15" hidden="false" customHeight="false" outlineLevel="0" collapsed="false">
      <c r="A3849" s="3" t="n">
        <v>3848</v>
      </c>
      <c r="B3849" s="3" t="n">
        <v>3847</v>
      </c>
      <c r="C3849" s="3" t="n">
        <v>4</v>
      </c>
      <c r="D3849" s="3" t="n">
        <v>25</v>
      </c>
      <c r="E3849" s="3" t="n">
        <v>11</v>
      </c>
      <c r="F3849" s="24" t="n">
        <v>3.01009917</v>
      </c>
    </row>
    <row r="3850" customFormat="false" ht="15" hidden="false" customHeight="false" outlineLevel="0" collapsed="false">
      <c r="A3850" s="3" t="n">
        <v>3849</v>
      </c>
      <c r="B3850" s="3" t="n">
        <v>3848</v>
      </c>
      <c r="C3850" s="3" t="n">
        <v>4</v>
      </c>
      <c r="D3850" s="3" t="n">
        <v>25</v>
      </c>
      <c r="E3850" s="3" t="n">
        <v>12</v>
      </c>
      <c r="F3850" s="24" t="n">
        <v>2.67095613</v>
      </c>
    </row>
    <row r="3851" customFormat="false" ht="15" hidden="false" customHeight="false" outlineLevel="0" collapsed="false">
      <c r="A3851" s="3" t="n">
        <v>3850</v>
      </c>
      <c r="B3851" s="3" t="n">
        <v>3849</v>
      </c>
      <c r="C3851" s="3" t="n">
        <v>4</v>
      </c>
      <c r="D3851" s="3" t="n">
        <v>25</v>
      </c>
      <c r="E3851" s="3" t="n">
        <v>13</v>
      </c>
      <c r="F3851" s="24" t="n">
        <v>1.21626544</v>
      </c>
    </row>
    <row r="3852" customFormat="false" ht="15" hidden="false" customHeight="false" outlineLevel="0" collapsed="false">
      <c r="A3852" s="3" t="n">
        <v>3851</v>
      </c>
      <c r="B3852" s="3" t="n">
        <v>3850</v>
      </c>
      <c r="C3852" s="3" t="n">
        <v>4</v>
      </c>
      <c r="D3852" s="3" t="n">
        <v>25</v>
      </c>
      <c r="E3852" s="3" t="n">
        <v>14</v>
      </c>
      <c r="F3852" s="24" t="n">
        <v>0</v>
      </c>
    </row>
    <row r="3853" customFormat="false" ht="15" hidden="false" customHeight="false" outlineLevel="0" collapsed="false">
      <c r="A3853" s="3" t="n">
        <v>3852</v>
      </c>
      <c r="B3853" s="3" t="n">
        <v>3851</v>
      </c>
      <c r="C3853" s="3" t="n">
        <v>4</v>
      </c>
      <c r="D3853" s="3" t="n">
        <v>25</v>
      </c>
      <c r="E3853" s="3" t="n">
        <v>15</v>
      </c>
      <c r="F3853" s="24" t="n">
        <v>0</v>
      </c>
    </row>
    <row r="3854" customFormat="false" ht="15" hidden="false" customHeight="false" outlineLevel="0" collapsed="false">
      <c r="A3854" s="3" t="n">
        <v>3853</v>
      </c>
      <c r="B3854" s="3" t="n">
        <v>3852</v>
      </c>
      <c r="C3854" s="3" t="n">
        <v>4</v>
      </c>
      <c r="D3854" s="3" t="n">
        <v>25</v>
      </c>
      <c r="E3854" s="3" t="n">
        <v>16</v>
      </c>
      <c r="F3854" s="24" t="n">
        <v>0</v>
      </c>
    </row>
    <row r="3855" customFormat="false" ht="15" hidden="false" customHeight="false" outlineLevel="0" collapsed="false">
      <c r="A3855" s="3" t="n">
        <v>3854</v>
      </c>
      <c r="B3855" s="3" t="n">
        <v>3853</v>
      </c>
      <c r="C3855" s="3" t="n">
        <v>4</v>
      </c>
      <c r="D3855" s="3" t="n">
        <v>25</v>
      </c>
      <c r="E3855" s="3" t="n">
        <v>17</v>
      </c>
      <c r="F3855" s="24" t="n">
        <v>0</v>
      </c>
    </row>
    <row r="3856" customFormat="false" ht="15" hidden="false" customHeight="false" outlineLevel="0" collapsed="false">
      <c r="A3856" s="3" t="n">
        <v>3855</v>
      </c>
      <c r="B3856" s="3" t="n">
        <v>3854</v>
      </c>
      <c r="C3856" s="3" t="n">
        <v>4</v>
      </c>
      <c r="D3856" s="3" t="n">
        <v>25</v>
      </c>
      <c r="E3856" s="3" t="n">
        <v>18</v>
      </c>
      <c r="F3856" s="24" t="n">
        <v>0</v>
      </c>
    </row>
    <row r="3857" customFormat="false" ht="15" hidden="false" customHeight="false" outlineLevel="0" collapsed="false">
      <c r="A3857" s="3" t="n">
        <v>3856</v>
      </c>
      <c r="B3857" s="3" t="n">
        <v>3855</v>
      </c>
      <c r="C3857" s="3" t="n">
        <v>4</v>
      </c>
      <c r="D3857" s="3" t="n">
        <v>25</v>
      </c>
      <c r="E3857" s="3" t="n">
        <v>19</v>
      </c>
      <c r="F3857" s="24" t="n">
        <v>0</v>
      </c>
    </row>
    <row r="3858" customFormat="false" ht="15" hidden="false" customHeight="false" outlineLevel="0" collapsed="false">
      <c r="A3858" s="3" t="n">
        <v>3857</v>
      </c>
      <c r="B3858" s="3" t="n">
        <v>3856</v>
      </c>
      <c r="C3858" s="3" t="n">
        <v>4</v>
      </c>
      <c r="D3858" s="3" t="n">
        <v>25</v>
      </c>
      <c r="E3858" s="3" t="n">
        <v>20</v>
      </c>
      <c r="F3858" s="24" t="n">
        <v>0</v>
      </c>
    </row>
    <row r="3859" customFormat="false" ht="15" hidden="false" customHeight="false" outlineLevel="0" collapsed="false">
      <c r="A3859" s="3" t="n">
        <v>3858</v>
      </c>
      <c r="B3859" s="3" t="n">
        <v>3857</v>
      </c>
      <c r="C3859" s="3" t="n">
        <v>4</v>
      </c>
      <c r="D3859" s="3" t="n">
        <v>25</v>
      </c>
      <c r="E3859" s="3" t="n">
        <v>21</v>
      </c>
      <c r="F3859" s="24" t="n">
        <v>0</v>
      </c>
    </row>
    <row r="3860" customFormat="false" ht="15" hidden="false" customHeight="false" outlineLevel="0" collapsed="false">
      <c r="A3860" s="3" t="n">
        <v>3859</v>
      </c>
      <c r="B3860" s="3" t="n">
        <v>3858</v>
      </c>
      <c r="C3860" s="3" t="n">
        <v>4</v>
      </c>
      <c r="D3860" s="3" t="n">
        <v>25</v>
      </c>
      <c r="E3860" s="3" t="n">
        <v>22</v>
      </c>
      <c r="F3860" s="24" t="n">
        <v>0</v>
      </c>
    </row>
    <row r="3861" customFormat="false" ht="15" hidden="false" customHeight="false" outlineLevel="0" collapsed="false">
      <c r="A3861" s="3" t="n">
        <v>3860</v>
      </c>
      <c r="B3861" s="3" t="n">
        <v>3859</v>
      </c>
      <c r="C3861" s="3" t="n">
        <v>4</v>
      </c>
      <c r="D3861" s="3" t="n">
        <v>25</v>
      </c>
      <c r="E3861" s="3" t="n">
        <v>23</v>
      </c>
      <c r="F3861" s="24" t="n">
        <v>0</v>
      </c>
    </row>
    <row r="3862" customFormat="false" ht="15" hidden="false" customHeight="false" outlineLevel="0" collapsed="false">
      <c r="A3862" s="3" t="n">
        <v>3861</v>
      </c>
      <c r="B3862" s="3" t="n">
        <v>3860</v>
      </c>
      <c r="C3862" s="3" t="n">
        <v>4</v>
      </c>
      <c r="D3862" s="3" t="n">
        <v>25</v>
      </c>
      <c r="E3862" s="3" t="n">
        <v>24</v>
      </c>
      <c r="F3862" s="24" t="n">
        <v>0</v>
      </c>
    </row>
    <row r="3863" customFormat="false" ht="15" hidden="false" customHeight="false" outlineLevel="0" collapsed="false">
      <c r="A3863" s="3" t="n">
        <v>3862</v>
      </c>
      <c r="B3863" s="3" t="n">
        <v>3861</v>
      </c>
      <c r="C3863" s="3" t="n">
        <v>4</v>
      </c>
      <c r="D3863" s="3" t="n">
        <v>25</v>
      </c>
      <c r="E3863" s="3" t="n">
        <v>25</v>
      </c>
      <c r="F3863" s="24" t="n">
        <v>0</v>
      </c>
    </row>
    <row r="3864" customFormat="false" ht="15" hidden="false" customHeight="false" outlineLevel="0" collapsed="false">
      <c r="A3864" s="3" t="n">
        <v>3863</v>
      </c>
      <c r="B3864" s="3" t="n">
        <v>3862</v>
      </c>
      <c r="C3864" s="3" t="n">
        <v>4</v>
      </c>
      <c r="D3864" s="3" t="n">
        <v>25</v>
      </c>
      <c r="E3864" s="3" t="n">
        <v>26</v>
      </c>
      <c r="F3864" s="24" t="n">
        <v>0</v>
      </c>
    </row>
    <row r="3865" customFormat="false" ht="15" hidden="false" customHeight="false" outlineLevel="0" collapsed="false">
      <c r="A3865" s="3" t="n">
        <v>3864</v>
      </c>
      <c r="B3865" s="3" t="n">
        <v>3863</v>
      </c>
      <c r="C3865" s="3" t="n">
        <v>4</v>
      </c>
      <c r="D3865" s="3" t="n">
        <v>25</v>
      </c>
      <c r="E3865" s="3" t="n">
        <v>27</v>
      </c>
      <c r="F3865" s="24" t="n">
        <v>0</v>
      </c>
    </row>
    <row r="3866" customFormat="false" ht="15" hidden="false" customHeight="false" outlineLevel="0" collapsed="false">
      <c r="A3866" s="3" t="n">
        <v>3865</v>
      </c>
      <c r="B3866" s="3" t="n">
        <v>3864</v>
      </c>
      <c r="C3866" s="3" t="n">
        <v>4</v>
      </c>
      <c r="D3866" s="3" t="n">
        <v>26</v>
      </c>
      <c r="E3866" s="3" t="n">
        <v>0</v>
      </c>
      <c r="F3866" s="24" t="n">
        <v>0</v>
      </c>
    </row>
    <row r="3867" customFormat="false" ht="15" hidden="false" customHeight="false" outlineLevel="0" collapsed="false">
      <c r="A3867" s="3" t="n">
        <v>3866</v>
      </c>
      <c r="B3867" s="3" t="n">
        <v>3865</v>
      </c>
      <c r="C3867" s="3" t="n">
        <v>4</v>
      </c>
      <c r="D3867" s="3" t="n">
        <v>26</v>
      </c>
      <c r="E3867" s="3" t="n">
        <v>1</v>
      </c>
      <c r="F3867" s="24" t="n">
        <v>0</v>
      </c>
    </row>
    <row r="3868" customFormat="false" ht="15" hidden="false" customHeight="false" outlineLevel="0" collapsed="false">
      <c r="A3868" s="3" t="n">
        <v>3867</v>
      </c>
      <c r="B3868" s="3" t="n">
        <v>3866</v>
      </c>
      <c r="C3868" s="3" t="n">
        <v>4</v>
      </c>
      <c r="D3868" s="3" t="n">
        <v>26</v>
      </c>
      <c r="E3868" s="3" t="n">
        <v>2</v>
      </c>
      <c r="F3868" s="24" t="n">
        <v>0</v>
      </c>
    </row>
    <row r="3869" customFormat="false" ht="15" hidden="false" customHeight="false" outlineLevel="0" collapsed="false">
      <c r="A3869" s="3" t="n">
        <v>3868</v>
      </c>
      <c r="B3869" s="3" t="n">
        <v>3867</v>
      </c>
      <c r="C3869" s="3" t="n">
        <v>4</v>
      </c>
      <c r="D3869" s="3" t="n">
        <v>26</v>
      </c>
      <c r="E3869" s="3" t="n">
        <v>3</v>
      </c>
      <c r="F3869" s="24" t="n">
        <v>0</v>
      </c>
    </row>
    <row r="3870" customFormat="false" ht="15" hidden="false" customHeight="false" outlineLevel="0" collapsed="false">
      <c r="A3870" s="3" t="n">
        <v>3869</v>
      </c>
      <c r="B3870" s="3" t="n">
        <v>3868</v>
      </c>
      <c r="C3870" s="3" t="n">
        <v>4</v>
      </c>
      <c r="D3870" s="3" t="n">
        <v>26</v>
      </c>
      <c r="E3870" s="3" t="n">
        <v>4</v>
      </c>
      <c r="F3870" s="24" t="n">
        <v>0</v>
      </c>
    </row>
    <row r="3871" customFormat="false" ht="15" hidden="false" customHeight="false" outlineLevel="0" collapsed="false">
      <c r="A3871" s="3" t="n">
        <v>3870</v>
      </c>
      <c r="B3871" s="3" t="n">
        <v>3869</v>
      </c>
      <c r="C3871" s="3" t="n">
        <v>4</v>
      </c>
      <c r="D3871" s="3" t="n">
        <v>26</v>
      </c>
      <c r="E3871" s="3" t="n">
        <v>5</v>
      </c>
      <c r="F3871" s="24" t="n">
        <v>0</v>
      </c>
    </row>
    <row r="3872" customFormat="false" ht="15" hidden="false" customHeight="false" outlineLevel="0" collapsed="false">
      <c r="A3872" s="3" t="n">
        <v>3871</v>
      </c>
      <c r="B3872" s="3" t="n">
        <v>3870</v>
      </c>
      <c r="C3872" s="3" t="n">
        <v>4</v>
      </c>
      <c r="D3872" s="3" t="n">
        <v>26</v>
      </c>
      <c r="E3872" s="3" t="n">
        <v>6</v>
      </c>
      <c r="F3872" s="24" t="n">
        <v>0</v>
      </c>
    </row>
    <row r="3873" customFormat="false" ht="15" hidden="false" customHeight="false" outlineLevel="0" collapsed="false">
      <c r="A3873" s="3" t="n">
        <v>3872</v>
      </c>
      <c r="B3873" s="3" t="n">
        <v>3871</v>
      </c>
      <c r="C3873" s="3" t="n">
        <v>4</v>
      </c>
      <c r="D3873" s="3" t="n">
        <v>26</v>
      </c>
      <c r="E3873" s="3" t="n">
        <v>7</v>
      </c>
      <c r="F3873" s="24" t="n">
        <v>0</v>
      </c>
    </row>
    <row r="3874" customFormat="false" ht="15" hidden="false" customHeight="false" outlineLevel="0" collapsed="false">
      <c r="A3874" s="3" t="n">
        <v>3873</v>
      </c>
      <c r="B3874" s="3" t="n">
        <v>3872</v>
      </c>
      <c r="C3874" s="3" t="n">
        <v>4</v>
      </c>
      <c r="D3874" s="3" t="n">
        <v>26</v>
      </c>
      <c r="E3874" s="3" t="n">
        <v>8</v>
      </c>
      <c r="F3874" s="24" t="n">
        <v>0</v>
      </c>
    </row>
    <row r="3875" customFormat="false" ht="15" hidden="false" customHeight="false" outlineLevel="0" collapsed="false">
      <c r="A3875" s="3" t="n">
        <v>3874</v>
      </c>
      <c r="B3875" s="3" t="n">
        <v>3873</v>
      </c>
      <c r="C3875" s="3" t="n">
        <v>4</v>
      </c>
      <c r="D3875" s="3" t="n">
        <v>26</v>
      </c>
      <c r="E3875" s="3" t="n">
        <v>9</v>
      </c>
      <c r="F3875" s="24" t="n">
        <v>0</v>
      </c>
    </row>
    <row r="3876" customFormat="false" ht="15" hidden="false" customHeight="false" outlineLevel="0" collapsed="false">
      <c r="A3876" s="3" t="n">
        <v>3875</v>
      </c>
      <c r="B3876" s="3" t="n">
        <v>3874</v>
      </c>
      <c r="C3876" s="3" t="n">
        <v>4</v>
      </c>
      <c r="D3876" s="3" t="n">
        <v>26</v>
      </c>
      <c r="E3876" s="3" t="n">
        <v>10</v>
      </c>
      <c r="F3876" s="24" t="n">
        <v>0.142889708</v>
      </c>
    </row>
    <row r="3877" customFormat="false" ht="15" hidden="false" customHeight="false" outlineLevel="0" collapsed="false">
      <c r="A3877" s="3" t="n">
        <v>3876</v>
      </c>
      <c r="B3877" s="3" t="n">
        <v>3875</v>
      </c>
      <c r="C3877" s="3" t="n">
        <v>4</v>
      </c>
      <c r="D3877" s="3" t="n">
        <v>26</v>
      </c>
      <c r="E3877" s="3" t="n">
        <v>11</v>
      </c>
      <c r="F3877" s="24" t="n">
        <v>0.651252985</v>
      </c>
    </row>
    <row r="3878" customFormat="false" ht="15" hidden="false" customHeight="false" outlineLevel="0" collapsed="false">
      <c r="A3878" s="3" t="n">
        <v>3877</v>
      </c>
      <c r="B3878" s="3" t="n">
        <v>3876</v>
      </c>
      <c r="C3878" s="3" t="n">
        <v>4</v>
      </c>
      <c r="D3878" s="3" t="n">
        <v>26</v>
      </c>
      <c r="E3878" s="3" t="n">
        <v>12</v>
      </c>
      <c r="F3878" s="24" t="n">
        <v>0.585694432</v>
      </c>
    </row>
    <row r="3879" customFormat="false" ht="15" hidden="false" customHeight="false" outlineLevel="0" collapsed="false">
      <c r="A3879" s="3" t="n">
        <v>3878</v>
      </c>
      <c r="B3879" s="3" t="n">
        <v>3877</v>
      </c>
      <c r="C3879" s="3" t="n">
        <v>4</v>
      </c>
      <c r="D3879" s="3" t="n">
        <v>26</v>
      </c>
      <c r="E3879" s="3" t="n">
        <v>13</v>
      </c>
      <c r="F3879" s="24" t="n">
        <v>0.151332229</v>
      </c>
    </row>
    <row r="3880" customFormat="false" ht="15" hidden="false" customHeight="false" outlineLevel="0" collapsed="false">
      <c r="A3880" s="3" t="n">
        <v>3879</v>
      </c>
      <c r="B3880" s="3" t="n">
        <v>3878</v>
      </c>
      <c r="C3880" s="3" t="n">
        <v>4</v>
      </c>
      <c r="D3880" s="3" t="n">
        <v>26</v>
      </c>
      <c r="E3880" s="3" t="n">
        <v>14</v>
      </c>
      <c r="F3880" s="24" t="n">
        <v>0</v>
      </c>
    </row>
    <row r="3881" customFormat="false" ht="15" hidden="false" customHeight="false" outlineLevel="0" collapsed="false">
      <c r="A3881" s="3" t="n">
        <v>3880</v>
      </c>
      <c r="B3881" s="3" t="n">
        <v>3879</v>
      </c>
      <c r="C3881" s="3" t="n">
        <v>4</v>
      </c>
      <c r="D3881" s="3" t="n">
        <v>26</v>
      </c>
      <c r="E3881" s="3" t="n">
        <v>15</v>
      </c>
      <c r="F3881" s="24" t="n">
        <v>0</v>
      </c>
    </row>
    <row r="3882" customFormat="false" ht="15" hidden="false" customHeight="false" outlineLevel="0" collapsed="false">
      <c r="A3882" s="3" t="n">
        <v>3881</v>
      </c>
      <c r="B3882" s="3" t="n">
        <v>3880</v>
      </c>
      <c r="C3882" s="3" t="n">
        <v>4</v>
      </c>
      <c r="D3882" s="3" t="n">
        <v>26</v>
      </c>
      <c r="E3882" s="3" t="n">
        <v>16</v>
      </c>
      <c r="F3882" s="24" t="n">
        <v>0</v>
      </c>
    </row>
    <row r="3883" customFormat="false" ht="15" hidden="false" customHeight="false" outlineLevel="0" collapsed="false">
      <c r="A3883" s="3" t="n">
        <v>3882</v>
      </c>
      <c r="B3883" s="3" t="n">
        <v>3881</v>
      </c>
      <c r="C3883" s="3" t="n">
        <v>4</v>
      </c>
      <c r="D3883" s="3" t="n">
        <v>26</v>
      </c>
      <c r="E3883" s="3" t="n">
        <v>17</v>
      </c>
      <c r="F3883" s="24" t="n">
        <v>0</v>
      </c>
    </row>
    <row r="3884" customFormat="false" ht="15" hidden="false" customHeight="false" outlineLevel="0" collapsed="false">
      <c r="A3884" s="3" t="n">
        <v>3883</v>
      </c>
      <c r="B3884" s="3" t="n">
        <v>3882</v>
      </c>
      <c r="C3884" s="3" t="n">
        <v>4</v>
      </c>
      <c r="D3884" s="3" t="n">
        <v>26</v>
      </c>
      <c r="E3884" s="3" t="n">
        <v>18</v>
      </c>
      <c r="F3884" s="24" t="n">
        <v>0</v>
      </c>
    </row>
    <row r="3885" customFormat="false" ht="15" hidden="false" customHeight="false" outlineLevel="0" collapsed="false">
      <c r="A3885" s="3" t="n">
        <v>3884</v>
      </c>
      <c r="B3885" s="3" t="n">
        <v>3883</v>
      </c>
      <c r="C3885" s="3" t="n">
        <v>4</v>
      </c>
      <c r="D3885" s="3" t="n">
        <v>26</v>
      </c>
      <c r="E3885" s="3" t="n">
        <v>19</v>
      </c>
      <c r="F3885" s="24" t="n">
        <v>0</v>
      </c>
    </row>
    <row r="3886" customFormat="false" ht="15" hidden="false" customHeight="false" outlineLevel="0" collapsed="false">
      <c r="A3886" s="3" t="n">
        <v>3885</v>
      </c>
      <c r="B3886" s="3" t="n">
        <v>3884</v>
      </c>
      <c r="C3886" s="3" t="n">
        <v>4</v>
      </c>
      <c r="D3886" s="3" t="n">
        <v>26</v>
      </c>
      <c r="E3886" s="3" t="n">
        <v>20</v>
      </c>
      <c r="F3886" s="24" t="n">
        <v>0</v>
      </c>
    </row>
    <row r="3887" customFormat="false" ht="15" hidden="false" customHeight="false" outlineLevel="0" collapsed="false">
      <c r="A3887" s="3" t="n">
        <v>3886</v>
      </c>
      <c r="B3887" s="3" t="n">
        <v>3885</v>
      </c>
      <c r="C3887" s="3" t="n">
        <v>4</v>
      </c>
      <c r="D3887" s="3" t="n">
        <v>26</v>
      </c>
      <c r="E3887" s="3" t="n">
        <v>21</v>
      </c>
      <c r="F3887" s="24" t="n">
        <v>0</v>
      </c>
    </row>
    <row r="3888" customFormat="false" ht="15" hidden="false" customHeight="false" outlineLevel="0" collapsed="false">
      <c r="A3888" s="3" t="n">
        <v>3887</v>
      </c>
      <c r="B3888" s="3" t="n">
        <v>3886</v>
      </c>
      <c r="C3888" s="3" t="n">
        <v>4</v>
      </c>
      <c r="D3888" s="3" t="n">
        <v>26</v>
      </c>
      <c r="E3888" s="3" t="n">
        <v>22</v>
      </c>
      <c r="F3888" s="24" t="n">
        <v>0</v>
      </c>
    </row>
    <row r="3889" customFormat="false" ht="15" hidden="false" customHeight="false" outlineLevel="0" collapsed="false">
      <c r="A3889" s="3" t="n">
        <v>3888</v>
      </c>
      <c r="B3889" s="3" t="n">
        <v>3887</v>
      </c>
      <c r="C3889" s="3" t="n">
        <v>4</v>
      </c>
      <c r="D3889" s="3" t="n">
        <v>26</v>
      </c>
      <c r="E3889" s="3" t="n">
        <v>23</v>
      </c>
      <c r="F3889" s="24" t="n">
        <v>0</v>
      </c>
    </row>
    <row r="3890" customFormat="false" ht="15" hidden="false" customHeight="false" outlineLevel="0" collapsed="false">
      <c r="A3890" s="3" t="n">
        <v>3889</v>
      </c>
      <c r="B3890" s="3" t="n">
        <v>3888</v>
      </c>
      <c r="C3890" s="3" t="n">
        <v>4</v>
      </c>
      <c r="D3890" s="3" t="n">
        <v>26</v>
      </c>
      <c r="E3890" s="3" t="n">
        <v>24</v>
      </c>
      <c r="F3890" s="24" t="n">
        <v>0</v>
      </c>
    </row>
    <row r="3891" customFormat="false" ht="15" hidden="false" customHeight="false" outlineLevel="0" collapsed="false">
      <c r="A3891" s="3" t="n">
        <v>3890</v>
      </c>
      <c r="B3891" s="3" t="n">
        <v>3889</v>
      </c>
      <c r="C3891" s="3" t="n">
        <v>4</v>
      </c>
      <c r="D3891" s="3" t="n">
        <v>26</v>
      </c>
      <c r="E3891" s="3" t="n">
        <v>25</v>
      </c>
      <c r="F3891" s="24" t="n">
        <v>0</v>
      </c>
    </row>
    <row r="3892" customFormat="false" ht="15" hidden="false" customHeight="false" outlineLevel="0" collapsed="false">
      <c r="A3892" s="3" t="n">
        <v>3891</v>
      </c>
      <c r="B3892" s="3" t="n">
        <v>3890</v>
      </c>
      <c r="C3892" s="3" t="n">
        <v>4</v>
      </c>
      <c r="D3892" s="3" t="n">
        <v>26</v>
      </c>
      <c r="E3892" s="3" t="n">
        <v>26</v>
      </c>
      <c r="F3892" s="24" t="n">
        <v>0</v>
      </c>
    </row>
    <row r="3893" customFormat="false" ht="15" hidden="false" customHeight="false" outlineLevel="0" collapsed="false">
      <c r="A3893" s="3" t="n">
        <v>3892</v>
      </c>
      <c r="B3893" s="3" t="n">
        <v>3891</v>
      </c>
      <c r="C3893" s="3" t="n">
        <v>4</v>
      </c>
      <c r="D3893" s="3" t="n">
        <v>26</v>
      </c>
      <c r="E3893" s="3" t="n">
        <v>27</v>
      </c>
      <c r="F3893" s="24" t="n">
        <v>0</v>
      </c>
    </row>
    <row r="3894" customFormat="false" ht="15" hidden="false" customHeight="false" outlineLevel="0" collapsed="false">
      <c r="A3894" s="3" t="n">
        <v>3893</v>
      </c>
      <c r="B3894" s="3" t="n">
        <v>3892</v>
      </c>
      <c r="C3894" s="3" t="n">
        <v>4</v>
      </c>
      <c r="D3894" s="3" t="n">
        <v>27</v>
      </c>
      <c r="E3894" s="3" t="n">
        <v>0</v>
      </c>
      <c r="F3894" s="24" t="n">
        <v>0</v>
      </c>
    </row>
    <row r="3895" customFormat="false" ht="15" hidden="false" customHeight="false" outlineLevel="0" collapsed="false">
      <c r="A3895" s="3" t="n">
        <v>3894</v>
      </c>
      <c r="B3895" s="3" t="n">
        <v>3893</v>
      </c>
      <c r="C3895" s="3" t="n">
        <v>4</v>
      </c>
      <c r="D3895" s="3" t="n">
        <v>27</v>
      </c>
      <c r="E3895" s="3" t="n">
        <v>1</v>
      </c>
      <c r="F3895" s="24" t="n">
        <v>0</v>
      </c>
    </row>
    <row r="3896" customFormat="false" ht="15" hidden="false" customHeight="false" outlineLevel="0" collapsed="false">
      <c r="A3896" s="3" t="n">
        <v>3895</v>
      </c>
      <c r="B3896" s="3" t="n">
        <v>3894</v>
      </c>
      <c r="C3896" s="3" t="n">
        <v>4</v>
      </c>
      <c r="D3896" s="3" t="n">
        <v>27</v>
      </c>
      <c r="E3896" s="3" t="n">
        <v>2</v>
      </c>
      <c r="F3896" s="24" t="n">
        <v>0</v>
      </c>
    </row>
    <row r="3897" customFormat="false" ht="15" hidden="false" customHeight="false" outlineLevel="0" collapsed="false">
      <c r="A3897" s="3" t="n">
        <v>3896</v>
      </c>
      <c r="B3897" s="3" t="n">
        <v>3895</v>
      </c>
      <c r="C3897" s="3" t="n">
        <v>4</v>
      </c>
      <c r="D3897" s="3" t="n">
        <v>27</v>
      </c>
      <c r="E3897" s="3" t="n">
        <v>3</v>
      </c>
      <c r="F3897" s="24" t="n">
        <v>0</v>
      </c>
    </row>
    <row r="3898" customFormat="false" ht="15" hidden="false" customHeight="false" outlineLevel="0" collapsed="false">
      <c r="A3898" s="3" t="n">
        <v>3897</v>
      </c>
      <c r="B3898" s="3" t="n">
        <v>3896</v>
      </c>
      <c r="C3898" s="3" t="n">
        <v>4</v>
      </c>
      <c r="D3898" s="3" t="n">
        <v>27</v>
      </c>
      <c r="E3898" s="3" t="n">
        <v>4</v>
      </c>
      <c r="F3898" s="24" t="n">
        <v>0</v>
      </c>
    </row>
    <row r="3899" customFormat="false" ht="15" hidden="false" customHeight="false" outlineLevel="0" collapsed="false">
      <c r="A3899" s="3" t="n">
        <v>3898</v>
      </c>
      <c r="B3899" s="3" t="n">
        <v>3897</v>
      </c>
      <c r="C3899" s="3" t="n">
        <v>4</v>
      </c>
      <c r="D3899" s="3" t="n">
        <v>27</v>
      </c>
      <c r="E3899" s="3" t="n">
        <v>5</v>
      </c>
      <c r="F3899" s="24" t="n">
        <v>0</v>
      </c>
    </row>
    <row r="3900" customFormat="false" ht="15" hidden="false" customHeight="false" outlineLevel="0" collapsed="false">
      <c r="A3900" s="3" t="n">
        <v>3899</v>
      </c>
      <c r="B3900" s="3" t="n">
        <v>3898</v>
      </c>
      <c r="C3900" s="3" t="n">
        <v>4</v>
      </c>
      <c r="D3900" s="3" t="n">
        <v>27</v>
      </c>
      <c r="E3900" s="3" t="n">
        <v>6</v>
      </c>
      <c r="F3900" s="24" t="n">
        <v>0</v>
      </c>
    </row>
    <row r="3901" customFormat="false" ht="15" hidden="false" customHeight="false" outlineLevel="0" collapsed="false">
      <c r="A3901" s="3" t="n">
        <v>3900</v>
      </c>
      <c r="B3901" s="3" t="n">
        <v>3899</v>
      </c>
      <c r="C3901" s="3" t="n">
        <v>4</v>
      </c>
      <c r="D3901" s="3" t="n">
        <v>27</v>
      </c>
      <c r="E3901" s="3" t="n">
        <v>7</v>
      </c>
      <c r="F3901" s="24" t="n">
        <v>0</v>
      </c>
    </row>
    <row r="3902" customFormat="false" ht="15" hidden="false" customHeight="false" outlineLevel="0" collapsed="false">
      <c r="A3902" s="3" t="n">
        <v>3901</v>
      </c>
      <c r="B3902" s="3" t="n">
        <v>3900</v>
      </c>
      <c r="C3902" s="3" t="n">
        <v>4</v>
      </c>
      <c r="D3902" s="3" t="n">
        <v>27</v>
      </c>
      <c r="E3902" s="3" t="n">
        <v>8</v>
      </c>
      <c r="F3902" s="24" t="n">
        <v>0</v>
      </c>
    </row>
    <row r="3903" customFormat="false" ht="15" hidden="false" customHeight="false" outlineLevel="0" collapsed="false">
      <c r="A3903" s="3" t="n">
        <v>3902</v>
      </c>
      <c r="B3903" s="3" t="n">
        <v>3901</v>
      </c>
      <c r="C3903" s="3" t="n">
        <v>4</v>
      </c>
      <c r="D3903" s="3" t="n">
        <v>27</v>
      </c>
      <c r="E3903" s="3" t="n">
        <v>9</v>
      </c>
      <c r="F3903" s="24" t="n">
        <v>0.0724500343</v>
      </c>
    </row>
    <row r="3904" customFormat="false" ht="15" hidden="false" customHeight="false" outlineLevel="0" collapsed="false">
      <c r="A3904" s="3" t="n">
        <v>3903</v>
      </c>
      <c r="B3904" s="3" t="n">
        <v>3902</v>
      </c>
      <c r="C3904" s="3" t="n">
        <v>4</v>
      </c>
      <c r="D3904" s="3" t="n">
        <v>27</v>
      </c>
      <c r="E3904" s="3" t="n">
        <v>10</v>
      </c>
      <c r="F3904" s="24" t="n">
        <v>0.823969483</v>
      </c>
    </row>
    <row r="3905" customFormat="false" ht="15" hidden="false" customHeight="false" outlineLevel="0" collapsed="false">
      <c r="A3905" s="3" t="n">
        <v>3904</v>
      </c>
      <c r="B3905" s="3" t="n">
        <v>3903</v>
      </c>
      <c r="C3905" s="3" t="n">
        <v>4</v>
      </c>
      <c r="D3905" s="3" t="n">
        <v>27</v>
      </c>
      <c r="E3905" s="3" t="n">
        <v>11</v>
      </c>
      <c r="F3905" s="24" t="n">
        <v>1.54488528</v>
      </c>
    </row>
    <row r="3906" customFormat="false" ht="15" hidden="false" customHeight="false" outlineLevel="0" collapsed="false">
      <c r="A3906" s="3" t="n">
        <v>3905</v>
      </c>
      <c r="B3906" s="3" t="n">
        <v>3904</v>
      </c>
      <c r="C3906" s="3" t="n">
        <v>4</v>
      </c>
      <c r="D3906" s="3" t="n">
        <v>27</v>
      </c>
      <c r="E3906" s="3" t="n">
        <v>12</v>
      </c>
      <c r="F3906" s="24" t="n">
        <v>1.28630829</v>
      </c>
    </row>
    <row r="3907" customFormat="false" ht="15" hidden="false" customHeight="false" outlineLevel="0" collapsed="false">
      <c r="A3907" s="3" t="n">
        <v>3906</v>
      </c>
      <c r="B3907" s="3" t="n">
        <v>3905</v>
      </c>
      <c r="C3907" s="3" t="n">
        <v>4</v>
      </c>
      <c r="D3907" s="3" t="n">
        <v>27</v>
      </c>
      <c r="E3907" s="3" t="n">
        <v>13</v>
      </c>
      <c r="F3907" s="24" t="n">
        <v>0.380971164</v>
      </c>
    </row>
    <row r="3908" customFormat="false" ht="15" hidden="false" customHeight="false" outlineLevel="0" collapsed="false">
      <c r="A3908" s="3" t="n">
        <v>3907</v>
      </c>
      <c r="B3908" s="3" t="n">
        <v>3906</v>
      </c>
      <c r="C3908" s="3" t="n">
        <v>4</v>
      </c>
      <c r="D3908" s="3" t="n">
        <v>27</v>
      </c>
      <c r="E3908" s="3" t="n">
        <v>14</v>
      </c>
      <c r="F3908" s="24" t="n">
        <v>0</v>
      </c>
    </row>
    <row r="3909" customFormat="false" ht="15" hidden="false" customHeight="false" outlineLevel="0" collapsed="false">
      <c r="A3909" s="3" t="n">
        <v>3908</v>
      </c>
      <c r="B3909" s="3" t="n">
        <v>3907</v>
      </c>
      <c r="C3909" s="3" t="n">
        <v>4</v>
      </c>
      <c r="D3909" s="3" t="n">
        <v>27</v>
      </c>
      <c r="E3909" s="3" t="n">
        <v>15</v>
      </c>
      <c r="F3909" s="24" t="n">
        <v>0</v>
      </c>
    </row>
    <row r="3910" customFormat="false" ht="15" hidden="false" customHeight="false" outlineLevel="0" collapsed="false">
      <c r="A3910" s="3" t="n">
        <v>3909</v>
      </c>
      <c r="B3910" s="3" t="n">
        <v>3908</v>
      </c>
      <c r="C3910" s="3" t="n">
        <v>4</v>
      </c>
      <c r="D3910" s="3" t="n">
        <v>27</v>
      </c>
      <c r="E3910" s="3" t="n">
        <v>16</v>
      </c>
      <c r="F3910" s="24" t="n">
        <v>0</v>
      </c>
    </row>
    <row r="3911" customFormat="false" ht="15" hidden="false" customHeight="false" outlineLevel="0" collapsed="false">
      <c r="A3911" s="3" t="n">
        <v>3910</v>
      </c>
      <c r="B3911" s="3" t="n">
        <v>3909</v>
      </c>
      <c r="C3911" s="3" t="n">
        <v>4</v>
      </c>
      <c r="D3911" s="3" t="n">
        <v>27</v>
      </c>
      <c r="E3911" s="3" t="n">
        <v>17</v>
      </c>
      <c r="F3911" s="24" t="n">
        <v>0</v>
      </c>
    </row>
    <row r="3912" customFormat="false" ht="15" hidden="false" customHeight="false" outlineLevel="0" collapsed="false">
      <c r="A3912" s="3" t="n">
        <v>3911</v>
      </c>
      <c r="B3912" s="3" t="n">
        <v>3910</v>
      </c>
      <c r="C3912" s="3" t="n">
        <v>4</v>
      </c>
      <c r="D3912" s="3" t="n">
        <v>27</v>
      </c>
      <c r="E3912" s="3" t="n">
        <v>18</v>
      </c>
      <c r="F3912" s="24" t="n">
        <v>0</v>
      </c>
    </row>
    <row r="3913" customFormat="false" ht="15" hidden="false" customHeight="false" outlineLevel="0" collapsed="false">
      <c r="A3913" s="3" t="n">
        <v>3912</v>
      </c>
      <c r="B3913" s="3" t="n">
        <v>3911</v>
      </c>
      <c r="C3913" s="3" t="n">
        <v>4</v>
      </c>
      <c r="D3913" s="3" t="n">
        <v>27</v>
      </c>
      <c r="E3913" s="3" t="n">
        <v>19</v>
      </c>
      <c r="F3913" s="24" t="n">
        <v>0</v>
      </c>
    </row>
    <row r="3914" customFormat="false" ht="15" hidden="false" customHeight="false" outlineLevel="0" collapsed="false">
      <c r="A3914" s="3" t="n">
        <v>3913</v>
      </c>
      <c r="B3914" s="3" t="n">
        <v>3912</v>
      </c>
      <c r="C3914" s="3" t="n">
        <v>4</v>
      </c>
      <c r="D3914" s="3" t="n">
        <v>27</v>
      </c>
      <c r="E3914" s="3" t="n">
        <v>20</v>
      </c>
      <c r="F3914" s="24" t="n">
        <v>0</v>
      </c>
    </row>
    <row r="3915" customFormat="false" ht="15" hidden="false" customHeight="false" outlineLevel="0" collapsed="false">
      <c r="A3915" s="3" t="n">
        <v>3914</v>
      </c>
      <c r="B3915" s="3" t="n">
        <v>3913</v>
      </c>
      <c r="C3915" s="3" t="n">
        <v>4</v>
      </c>
      <c r="D3915" s="3" t="n">
        <v>27</v>
      </c>
      <c r="E3915" s="3" t="n">
        <v>21</v>
      </c>
      <c r="F3915" s="24" t="n">
        <v>0</v>
      </c>
    </row>
    <row r="3916" customFormat="false" ht="15" hidden="false" customHeight="false" outlineLevel="0" collapsed="false">
      <c r="A3916" s="3" t="n">
        <v>3915</v>
      </c>
      <c r="B3916" s="3" t="n">
        <v>3914</v>
      </c>
      <c r="C3916" s="3" t="n">
        <v>4</v>
      </c>
      <c r="D3916" s="3" t="n">
        <v>27</v>
      </c>
      <c r="E3916" s="3" t="n">
        <v>22</v>
      </c>
      <c r="F3916" s="24" t="n">
        <v>0</v>
      </c>
    </row>
    <row r="3917" customFormat="false" ht="15" hidden="false" customHeight="false" outlineLevel="0" collapsed="false">
      <c r="A3917" s="3" t="n">
        <v>3916</v>
      </c>
      <c r="B3917" s="3" t="n">
        <v>3915</v>
      </c>
      <c r="C3917" s="3" t="n">
        <v>4</v>
      </c>
      <c r="D3917" s="3" t="n">
        <v>27</v>
      </c>
      <c r="E3917" s="3" t="n">
        <v>23</v>
      </c>
      <c r="F3917" s="24" t="n">
        <v>0</v>
      </c>
    </row>
    <row r="3918" customFormat="false" ht="15" hidden="false" customHeight="false" outlineLevel="0" collapsed="false">
      <c r="A3918" s="3" t="n">
        <v>3917</v>
      </c>
      <c r="B3918" s="3" t="n">
        <v>3916</v>
      </c>
      <c r="C3918" s="3" t="n">
        <v>4</v>
      </c>
      <c r="D3918" s="3" t="n">
        <v>27</v>
      </c>
      <c r="E3918" s="3" t="n">
        <v>24</v>
      </c>
      <c r="F3918" s="24" t="n">
        <v>0</v>
      </c>
    </row>
    <row r="3919" customFormat="false" ht="15" hidden="false" customHeight="false" outlineLevel="0" collapsed="false">
      <c r="A3919" s="3" t="n">
        <v>3918</v>
      </c>
      <c r="B3919" s="3" t="n">
        <v>3917</v>
      </c>
      <c r="C3919" s="3" t="n">
        <v>4</v>
      </c>
      <c r="D3919" s="3" t="n">
        <v>27</v>
      </c>
      <c r="E3919" s="3" t="n">
        <v>25</v>
      </c>
      <c r="F3919" s="24" t="n">
        <v>0</v>
      </c>
    </row>
    <row r="3920" customFormat="false" ht="15" hidden="false" customHeight="false" outlineLevel="0" collapsed="false">
      <c r="A3920" s="3" t="n">
        <v>3919</v>
      </c>
      <c r="B3920" s="3" t="n">
        <v>3918</v>
      </c>
      <c r="C3920" s="3" t="n">
        <v>4</v>
      </c>
      <c r="D3920" s="3" t="n">
        <v>27</v>
      </c>
      <c r="E3920" s="3" t="n">
        <v>26</v>
      </c>
      <c r="F3920" s="24" t="n">
        <v>0</v>
      </c>
    </row>
    <row r="3921" customFormat="false" ht="15" hidden="false" customHeight="false" outlineLevel="0" collapsed="false">
      <c r="A3921" s="3" t="n">
        <v>3920</v>
      </c>
      <c r="B3921" s="3" t="n">
        <v>3919</v>
      </c>
      <c r="C3921" s="3" t="n">
        <v>4</v>
      </c>
      <c r="D3921" s="3" t="n">
        <v>27</v>
      </c>
      <c r="E3921" s="3" t="n">
        <v>27</v>
      </c>
      <c r="F3921" s="24" t="n">
        <v>0</v>
      </c>
    </row>
    <row r="3922" customFormat="false" ht="15" hidden="false" customHeight="false" outlineLevel="0" collapsed="false">
      <c r="A3922" s="3" t="n">
        <v>3921</v>
      </c>
      <c r="B3922" s="3" t="n">
        <v>3920</v>
      </c>
      <c r="C3922" s="3" t="n">
        <v>5</v>
      </c>
      <c r="D3922" s="3" t="n">
        <v>0</v>
      </c>
      <c r="E3922" s="3" t="n">
        <v>0</v>
      </c>
      <c r="F3922" s="24" t="n">
        <v>0.766294479</v>
      </c>
    </row>
    <row r="3923" customFormat="false" ht="15" hidden="false" customHeight="false" outlineLevel="0" collapsed="false">
      <c r="A3923" s="3" t="n">
        <v>3922</v>
      </c>
      <c r="B3923" s="3" t="n">
        <v>3921</v>
      </c>
      <c r="C3923" s="3" t="n">
        <v>5</v>
      </c>
      <c r="D3923" s="3" t="n">
        <v>0</v>
      </c>
      <c r="E3923" s="3" t="n">
        <v>1</v>
      </c>
      <c r="F3923" s="24" t="n">
        <v>1.05244422</v>
      </c>
    </row>
    <row r="3924" customFormat="false" ht="15" hidden="false" customHeight="false" outlineLevel="0" collapsed="false">
      <c r="A3924" s="3" t="n">
        <v>3923</v>
      </c>
      <c r="B3924" s="3" t="n">
        <v>3922</v>
      </c>
      <c r="C3924" s="3" t="n">
        <v>5</v>
      </c>
      <c r="D3924" s="3" t="n">
        <v>0</v>
      </c>
      <c r="E3924" s="3" t="n">
        <v>2</v>
      </c>
      <c r="F3924" s="24" t="n">
        <v>1.05244422</v>
      </c>
    </row>
    <row r="3925" customFormat="false" ht="15" hidden="false" customHeight="false" outlineLevel="0" collapsed="false">
      <c r="A3925" s="3" t="n">
        <v>3924</v>
      </c>
      <c r="B3925" s="3" t="n">
        <v>3923</v>
      </c>
      <c r="C3925" s="3" t="n">
        <v>5</v>
      </c>
      <c r="D3925" s="3" t="n">
        <v>0</v>
      </c>
      <c r="E3925" s="3" t="n">
        <v>3</v>
      </c>
      <c r="F3925" s="24" t="n">
        <v>1.05244422</v>
      </c>
    </row>
    <row r="3926" customFormat="false" ht="15" hidden="false" customHeight="false" outlineLevel="0" collapsed="false">
      <c r="A3926" s="3" t="n">
        <v>3925</v>
      </c>
      <c r="B3926" s="3" t="n">
        <v>3924</v>
      </c>
      <c r="C3926" s="3" t="n">
        <v>5</v>
      </c>
      <c r="D3926" s="3" t="n">
        <v>0</v>
      </c>
      <c r="E3926" s="3" t="n">
        <v>4</v>
      </c>
      <c r="F3926" s="24" t="n">
        <v>1.05244422</v>
      </c>
    </row>
    <row r="3927" customFormat="false" ht="15" hidden="false" customHeight="false" outlineLevel="0" collapsed="false">
      <c r="A3927" s="3" t="n">
        <v>3926</v>
      </c>
      <c r="B3927" s="3" t="n">
        <v>3925</v>
      </c>
      <c r="C3927" s="3" t="n">
        <v>5</v>
      </c>
      <c r="D3927" s="3" t="n">
        <v>0</v>
      </c>
      <c r="E3927" s="3" t="n">
        <v>5</v>
      </c>
      <c r="F3927" s="24" t="n">
        <v>1.05244422</v>
      </c>
    </row>
    <row r="3928" customFormat="false" ht="15" hidden="false" customHeight="false" outlineLevel="0" collapsed="false">
      <c r="A3928" s="3" t="n">
        <v>3927</v>
      </c>
      <c r="B3928" s="3" t="n">
        <v>3926</v>
      </c>
      <c r="C3928" s="3" t="n">
        <v>5</v>
      </c>
      <c r="D3928" s="3" t="n">
        <v>0</v>
      </c>
      <c r="E3928" s="3" t="n">
        <v>6</v>
      </c>
      <c r="F3928" s="24" t="n">
        <v>1.05244422</v>
      </c>
    </row>
    <row r="3929" customFormat="false" ht="15" hidden="false" customHeight="false" outlineLevel="0" collapsed="false">
      <c r="A3929" s="3" t="n">
        <v>3928</v>
      </c>
      <c r="B3929" s="3" t="n">
        <v>3927</v>
      </c>
      <c r="C3929" s="3" t="n">
        <v>5</v>
      </c>
      <c r="D3929" s="3" t="n">
        <v>0</v>
      </c>
      <c r="E3929" s="3" t="n">
        <v>7</v>
      </c>
      <c r="F3929" s="24" t="n">
        <v>1.05244422</v>
      </c>
    </row>
    <row r="3930" customFormat="false" ht="15" hidden="false" customHeight="false" outlineLevel="0" collapsed="false">
      <c r="A3930" s="3" t="n">
        <v>3929</v>
      </c>
      <c r="B3930" s="3" t="n">
        <v>3928</v>
      </c>
      <c r="C3930" s="3" t="n">
        <v>5</v>
      </c>
      <c r="D3930" s="3" t="n">
        <v>0</v>
      </c>
      <c r="E3930" s="3" t="n">
        <v>8</v>
      </c>
      <c r="F3930" s="24" t="n">
        <v>1.05244422</v>
      </c>
    </row>
    <row r="3931" customFormat="false" ht="15" hidden="false" customHeight="false" outlineLevel="0" collapsed="false">
      <c r="A3931" s="3" t="n">
        <v>3930</v>
      </c>
      <c r="B3931" s="3" t="n">
        <v>3929</v>
      </c>
      <c r="C3931" s="3" t="n">
        <v>5</v>
      </c>
      <c r="D3931" s="3" t="n">
        <v>0</v>
      </c>
      <c r="E3931" s="3" t="n">
        <v>9</v>
      </c>
      <c r="F3931" s="24" t="n">
        <v>1.05244422</v>
      </c>
    </row>
    <row r="3932" customFormat="false" ht="15" hidden="false" customHeight="false" outlineLevel="0" collapsed="false">
      <c r="A3932" s="3" t="n">
        <v>3931</v>
      </c>
      <c r="B3932" s="3" t="n">
        <v>3930</v>
      </c>
      <c r="C3932" s="3" t="n">
        <v>5</v>
      </c>
      <c r="D3932" s="3" t="n">
        <v>0</v>
      </c>
      <c r="E3932" s="3" t="n">
        <v>10</v>
      </c>
      <c r="F3932" s="24" t="n">
        <v>1.05244422</v>
      </c>
    </row>
    <row r="3933" customFormat="false" ht="15" hidden="false" customHeight="false" outlineLevel="0" collapsed="false">
      <c r="A3933" s="3" t="n">
        <v>3932</v>
      </c>
      <c r="B3933" s="3" t="n">
        <v>3931</v>
      </c>
      <c r="C3933" s="3" t="n">
        <v>5</v>
      </c>
      <c r="D3933" s="3" t="n">
        <v>0</v>
      </c>
      <c r="E3933" s="3" t="n">
        <v>11</v>
      </c>
      <c r="F3933" s="24" t="n">
        <v>1.05244422</v>
      </c>
    </row>
    <row r="3934" customFormat="false" ht="15" hidden="false" customHeight="false" outlineLevel="0" collapsed="false">
      <c r="A3934" s="3" t="n">
        <v>3933</v>
      </c>
      <c r="B3934" s="3" t="n">
        <v>3932</v>
      </c>
      <c r="C3934" s="3" t="n">
        <v>5</v>
      </c>
      <c r="D3934" s="3" t="n">
        <v>0</v>
      </c>
      <c r="E3934" s="3" t="n">
        <v>12</v>
      </c>
      <c r="F3934" s="24" t="n">
        <v>1.05244422</v>
      </c>
    </row>
    <row r="3935" customFormat="false" ht="15" hidden="false" customHeight="false" outlineLevel="0" collapsed="false">
      <c r="A3935" s="3" t="n">
        <v>3934</v>
      </c>
      <c r="B3935" s="3" t="n">
        <v>3933</v>
      </c>
      <c r="C3935" s="3" t="n">
        <v>5</v>
      </c>
      <c r="D3935" s="3" t="n">
        <v>0</v>
      </c>
      <c r="E3935" s="3" t="n">
        <v>13</v>
      </c>
      <c r="F3935" s="24" t="n">
        <v>1.05244422</v>
      </c>
    </row>
    <row r="3936" customFormat="false" ht="15" hidden="false" customHeight="false" outlineLevel="0" collapsed="false">
      <c r="A3936" s="3" t="n">
        <v>3935</v>
      </c>
      <c r="B3936" s="3" t="n">
        <v>3934</v>
      </c>
      <c r="C3936" s="3" t="n">
        <v>5</v>
      </c>
      <c r="D3936" s="3" t="n">
        <v>0</v>
      </c>
      <c r="E3936" s="3" t="n">
        <v>14</v>
      </c>
      <c r="F3936" s="24" t="n">
        <v>1.05244422</v>
      </c>
    </row>
    <row r="3937" customFormat="false" ht="15" hidden="false" customHeight="false" outlineLevel="0" collapsed="false">
      <c r="A3937" s="3" t="n">
        <v>3936</v>
      </c>
      <c r="B3937" s="3" t="n">
        <v>3935</v>
      </c>
      <c r="C3937" s="3" t="n">
        <v>5</v>
      </c>
      <c r="D3937" s="3" t="n">
        <v>0</v>
      </c>
      <c r="E3937" s="3" t="n">
        <v>15</v>
      </c>
      <c r="F3937" s="24" t="n">
        <v>1.05244422</v>
      </c>
    </row>
    <row r="3938" customFormat="false" ht="15" hidden="false" customHeight="false" outlineLevel="0" collapsed="false">
      <c r="A3938" s="3" t="n">
        <v>3937</v>
      </c>
      <c r="B3938" s="3" t="n">
        <v>3936</v>
      </c>
      <c r="C3938" s="3" t="n">
        <v>5</v>
      </c>
      <c r="D3938" s="3" t="n">
        <v>0</v>
      </c>
      <c r="E3938" s="3" t="n">
        <v>16</v>
      </c>
      <c r="F3938" s="24" t="n">
        <v>1.05244422</v>
      </c>
    </row>
    <row r="3939" customFormat="false" ht="15" hidden="false" customHeight="false" outlineLevel="0" collapsed="false">
      <c r="A3939" s="3" t="n">
        <v>3938</v>
      </c>
      <c r="B3939" s="3" t="n">
        <v>3937</v>
      </c>
      <c r="C3939" s="3" t="n">
        <v>5</v>
      </c>
      <c r="D3939" s="3" t="n">
        <v>0</v>
      </c>
      <c r="E3939" s="3" t="n">
        <v>17</v>
      </c>
      <c r="F3939" s="24" t="n">
        <v>1.05244422</v>
      </c>
    </row>
    <row r="3940" customFormat="false" ht="15" hidden="false" customHeight="false" outlineLevel="0" collapsed="false">
      <c r="A3940" s="3" t="n">
        <v>3939</v>
      </c>
      <c r="B3940" s="3" t="n">
        <v>3938</v>
      </c>
      <c r="C3940" s="3" t="n">
        <v>5</v>
      </c>
      <c r="D3940" s="3" t="n">
        <v>0</v>
      </c>
      <c r="E3940" s="3" t="n">
        <v>18</v>
      </c>
      <c r="F3940" s="24" t="n">
        <v>1.05244422</v>
      </c>
    </row>
    <row r="3941" customFormat="false" ht="15" hidden="false" customHeight="false" outlineLevel="0" collapsed="false">
      <c r="A3941" s="3" t="n">
        <v>3940</v>
      </c>
      <c r="B3941" s="3" t="n">
        <v>3939</v>
      </c>
      <c r="C3941" s="3" t="n">
        <v>5</v>
      </c>
      <c r="D3941" s="3" t="n">
        <v>0</v>
      </c>
      <c r="E3941" s="3" t="n">
        <v>19</v>
      </c>
      <c r="F3941" s="24" t="n">
        <v>1.05244422</v>
      </c>
    </row>
    <row r="3942" customFormat="false" ht="15" hidden="false" customHeight="false" outlineLevel="0" collapsed="false">
      <c r="A3942" s="3" t="n">
        <v>3941</v>
      </c>
      <c r="B3942" s="3" t="n">
        <v>3940</v>
      </c>
      <c r="C3942" s="3" t="n">
        <v>5</v>
      </c>
      <c r="D3942" s="3" t="n">
        <v>0</v>
      </c>
      <c r="E3942" s="3" t="n">
        <v>20</v>
      </c>
      <c r="F3942" s="24" t="n">
        <v>1.05244422</v>
      </c>
    </row>
    <row r="3943" customFormat="false" ht="15" hidden="false" customHeight="false" outlineLevel="0" collapsed="false">
      <c r="A3943" s="3" t="n">
        <v>3942</v>
      </c>
      <c r="B3943" s="3" t="n">
        <v>3941</v>
      </c>
      <c r="C3943" s="3" t="n">
        <v>5</v>
      </c>
      <c r="D3943" s="3" t="n">
        <v>0</v>
      </c>
      <c r="E3943" s="3" t="n">
        <v>21</v>
      </c>
      <c r="F3943" s="24" t="n">
        <v>1.05244422</v>
      </c>
    </row>
    <row r="3944" customFormat="false" ht="15" hidden="false" customHeight="false" outlineLevel="0" collapsed="false">
      <c r="A3944" s="3" t="n">
        <v>3943</v>
      </c>
      <c r="B3944" s="3" t="n">
        <v>3942</v>
      </c>
      <c r="C3944" s="3" t="n">
        <v>5</v>
      </c>
      <c r="D3944" s="3" t="n">
        <v>0</v>
      </c>
      <c r="E3944" s="3" t="n">
        <v>22</v>
      </c>
      <c r="F3944" s="24" t="n">
        <v>1.05244422</v>
      </c>
    </row>
    <row r="3945" customFormat="false" ht="15" hidden="false" customHeight="false" outlineLevel="0" collapsed="false">
      <c r="A3945" s="3" t="n">
        <v>3944</v>
      </c>
      <c r="B3945" s="3" t="n">
        <v>3943</v>
      </c>
      <c r="C3945" s="3" t="n">
        <v>5</v>
      </c>
      <c r="D3945" s="3" t="n">
        <v>0</v>
      </c>
      <c r="E3945" s="3" t="n">
        <v>23</v>
      </c>
      <c r="F3945" s="24" t="n">
        <v>1.05244422</v>
      </c>
    </row>
    <row r="3946" customFormat="false" ht="15" hidden="false" customHeight="false" outlineLevel="0" collapsed="false">
      <c r="A3946" s="3" t="n">
        <v>3945</v>
      </c>
      <c r="B3946" s="3" t="n">
        <v>3944</v>
      </c>
      <c r="C3946" s="3" t="n">
        <v>5</v>
      </c>
      <c r="D3946" s="3" t="n">
        <v>0</v>
      </c>
      <c r="E3946" s="3" t="n">
        <v>24</v>
      </c>
      <c r="F3946" s="24" t="n">
        <v>1.05244422</v>
      </c>
    </row>
    <row r="3947" customFormat="false" ht="15" hidden="false" customHeight="false" outlineLevel="0" collapsed="false">
      <c r="A3947" s="3" t="n">
        <v>3946</v>
      </c>
      <c r="B3947" s="3" t="n">
        <v>3945</v>
      </c>
      <c r="C3947" s="3" t="n">
        <v>5</v>
      </c>
      <c r="D3947" s="3" t="n">
        <v>0</v>
      </c>
      <c r="E3947" s="3" t="n">
        <v>25</v>
      </c>
      <c r="F3947" s="24" t="n">
        <v>1.05244422</v>
      </c>
    </row>
    <row r="3948" customFormat="false" ht="15" hidden="false" customHeight="false" outlineLevel="0" collapsed="false">
      <c r="A3948" s="3" t="n">
        <v>3947</v>
      </c>
      <c r="B3948" s="3" t="n">
        <v>3946</v>
      </c>
      <c r="C3948" s="3" t="n">
        <v>5</v>
      </c>
      <c r="D3948" s="3" t="n">
        <v>0</v>
      </c>
      <c r="E3948" s="3" t="n">
        <v>26</v>
      </c>
      <c r="F3948" s="24" t="n">
        <v>1.05244422</v>
      </c>
    </row>
    <row r="3949" customFormat="false" ht="15" hidden="false" customHeight="false" outlineLevel="0" collapsed="false">
      <c r="A3949" s="3" t="n">
        <v>3948</v>
      </c>
      <c r="B3949" s="3" t="n">
        <v>3947</v>
      </c>
      <c r="C3949" s="3" t="n">
        <v>5</v>
      </c>
      <c r="D3949" s="3" t="n">
        <v>0</v>
      </c>
      <c r="E3949" s="3" t="n">
        <v>27</v>
      </c>
      <c r="F3949" s="24" t="n">
        <v>0.850342512</v>
      </c>
    </row>
    <row r="3950" customFormat="false" ht="15" hidden="false" customHeight="false" outlineLevel="0" collapsed="false">
      <c r="A3950" s="3" t="n">
        <v>3949</v>
      </c>
      <c r="B3950" s="3" t="n">
        <v>3948</v>
      </c>
      <c r="C3950" s="3" t="n">
        <v>5</v>
      </c>
      <c r="D3950" s="3" t="n">
        <v>1</v>
      </c>
      <c r="E3950" s="3" t="n">
        <v>0</v>
      </c>
      <c r="F3950" s="24" t="n">
        <v>0.354324996</v>
      </c>
    </row>
    <row r="3951" customFormat="false" ht="15" hidden="false" customHeight="false" outlineLevel="0" collapsed="false">
      <c r="A3951" s="3" t="n">
        <v>3950</v>
      </c>
      <c r="B3951" s="3" t="n">
        <v>3949</v>
      </c>
      <c r="C3951" s="3" t="n">
        <v>5</v>
      </c>
      <c r="D3951" s="3" t="n">
        <v>1</v>
      </c>
      <c r="E3951" s="3" t="n">
        <v>1</v>
      </c>
      <c r="F3951" s="24" t="n">
        <v>0.51512605</v>
      </c>
    </row>
    <row r="3952" customFormat="false" ht="15" hidden="false" customHeight="false" outlineLevel="0" collapsed="false">
      <c r="A3952" s="3" t="n">
        <v>3951</v>
      </c>
      <c r="B3952" s="3" t="n">
        <v>3950</v>
      </c>
      <c r="C3952" s="3" t="n">
        <v>5</v>
      </c>
      <c r="D3952" s="3" t="n">
        <v>1</v>
      </c>
      <c r="E3952" s="3" t="n">
        <v>2</v>
      </c>
      <c r="F3952" s="24" t="n">
        <v>0.51512605</v>
      </c>
    </row>
    <row r="3953" customFormat="false" ht="15" hidden="false" customHeight="false" outlineLevel="0" collapsed="false">
      <c r="A3953" s="3" t="n">
        <v>3952</v>
      </c>
      <c r="B3953" s="3" t="n">
        <v>3951</v>
      </c>
      <c r="C3953" s="3" t="n">
        <v>5</v>
      </c>
      <c r="D3953" s="3" t="n">
        <v>1</v>
      </c>
      <c r="E3953" s="3" t="n">
        <v>3</v>
      </c>
      <c r="F3953" s="24" t="n">
        <v>0.51512605</v>
      </c>
    </row>
    <row r="3954" customFormat="false" ht="15" hidden="false" customHeight="false" outlineLevel="0" collapsed="false">
      <c r="A3954" s="3" t="n">
        <v>3953</v>
      </c>
      <c r="B3954" s="3" t="n">
        <v>3952</v>
      </c>
      <c r="C3954" s="3" t="n">
        <v>5</v>
      </c>
      <c r="D3954" s="3" t="n">
        <v>1</v>
      </c>
      <c r="E3954" s="3" t="n">
        <v>4</v>
      </c>
      <c r="F3954" s="24" t="n">
        <v>0.51512605</v>
      </c>
    </row>
    <row r="3955" customFormat="false" ht="15" hidden="false" customHeight="false" outlineLevel="0" collapsed="false">
      <c r="A3955" s="3" t="n">
        <v>3954</v>
      </c>
      <c r="B3955" s="3" t="n">
        <v>3953</v>
      </c>
      <c r="C3955" s="3" t="n">
        <v>5</v>
      </c>
      <c r="D3955" s="3" t="n">
        <v>1</v>
      </c>
      <c r="E3955" s="3" t="n">
        <v>5</v>
      </c>
      <c r="F3955" s="24" t="n">
        <v>0.51512605</v>
      </c>
    </row>
    <row r="3956" customFormat="false" ht="15" hidden="false" customHeight="false" outlineLevel="0" collapsed="false">
      <c r="A3956" s="3" t="n">
        <v>3955</v>
      </c>
      <c r="B3956" s="3" t="n">
        <v>3954</v>
      </c>
      <c r="C3956" s="3" t="n">
        <v>5</v>
      </c>
      <c r="D3956" s="3" t="n">
        <v>1</v>
      </c>
      <c r="E3956" s="3" t="n">
        <v>6</v>
      </c>
      <c r="F3956" s="24" t="n">
        <v>0.51512605</v>
      </c>
    </row>
    <row r="3957" customFormat="false" ht="15" hidden="false" customHeight="false" outlineLevel="0" collapsed="false">
      <c r="A3957" s="3" t="n">
        <v>3956</v>
      </c>
      <c r="B3957" s="3" t="n">
        <v>3955</v>
      </c>
      <c r="C3957" s="3" t="n">
        <v>5</v>
      </c>
      <c r="D3957" s="3" t="n">
        <v>1</v>
      </c>
      <c r="E3957" s="3" t="n">
        <v>7</v>
      </c>
      <c r="F3957" s="24" t="n">
        <v>0.51512605</v>
      </c>
    </row>
    <row r="3958" customFormat="false" ht="15" hidden="false" customHeight="false" outlineLevel="0" collapsed="false">
      <c r="A3958" s="3" t="n">
        <v>3957</v>
      </c>
      <c r="B3958" s="3" t="n">
        <v>3956</v>
      </c>
      <c r="C3958" s="3" t="n">
        <v>5</v>
      </c>
      <c r="D3958" s="3" t="n">
        <v>1</v>
      </c>
      <c r="E3958" s="3" t="n">
        <v>8</v>
      </c>
      <c r="F3958" s="24" t="n">
        <v>0.51512605</v>
      </c>
    </row>
    <row r="3959" customFormat="false" ht="15" hidden="false" customHeight="false" outlineLevel="0" collapsed="false">
      <c r="A3959" s="3" t="n">
        <v>3958</v>
      </c>
      <c r="B3959" s="3" t="n">
        <v>3957</v>
      </c>
      <c r="C3959" s="3" t="n">
        <v>5</v>
      </c>
      <c r="D3959" s="3" t="n">
        <v>1</v>
      </c>
      <c r="E3959" s="3" t="n">
        <v>9</v>
      </c>
      <c r="F3959" s="24" t="n">
        <v>0.51512605</v>
      </c>
    </row>
    <row r="3960" customFormat="false" ht="15" hidden="false" customHeight="false" outlineLevel="0" collapsed="false">
      <c r="A3960" s="3" t="n">
        <v>3959</v>
      </c>
      <c r="B3960" s="3" t="n">
        <v>3958</v>
      </c>
      <c r="C3960" s="3" t="n">
        <v>5</v>
      </c>
      <c r="D3960" s="3" t="n">
        <v>1</v>
      </c>
      <c r="E3960" s="3" t="n">
        <v>10</v>
      </c>
      <c r="F3960" s="24" t="n">
        <v>0.51512605</v>
      </c>
    </row>
    <row r="3961" customFormat="false" ht="15" hidden="false" customHeight="false" outlineLevel="0" collapsed="false">
      <c r="A3961" s="3" t="n">
        <v>3960</v>
      </c>
      <c r="B3961" s="3" t="n">
        <v>3959</v>
      </c>
      <c r="C3961" s="3" t="n">
        <v>5</v>
      </c>
      <c r="D3961" s="3" t="n">
        <v>1</v>
      </c>
      <c r="E3961" s="3" t="n">
        <v>11</v>
      </c>
      <c r="F3961" s="24" t="n">
        <v>0.51512605</v>
      </c>
    </row>
    <row r="3962" customFormat="false" ht="15" hidden="false" customHeight="false" outlineLevel="0" collapsed="false">
      <c r="A3962" s="3" t="n">
        <v>3961</v>
      </c>
      <c r="B3962" s="3" t="n">
        <v>3960</v>
      </c>
      <c r="C3962" s="3" t="n">
        <v>5</v>
      </c>
      <c r="D3962" s="3" t="n">
        <v>1</v>
      </c>
      <c r="E3962" s="3" t="n">
        <v>12</v>
      </c>
      <c r="F3962" s="24" t="n">
        <v>0.51512605</v>
      </c>
    </row>
    <row r="3963" customFormat="false" ht="15" hidden="false" customHeight="false" outlineLevel="0" collapsed="false">
      <c r="A3963" s="3" t="n">
        <v>3962</v>
      </c>
      <c r="B3963" s="3" t="n">
        <v>3961</v>
      </c>
      <c r="C3963" s="3" t="n">
        <v>5</v>
      </c>
      <c r="D3963" s="3" t="n">
        <v>1</v>
      </c>
      <c r="E3963" s="3" t="n">
        <v>13</v>
      </c>
      <c r="F3963" s="24" t="n">
        <v>0.51512605</v>
      </c>
    </row>
    <row r="3964" customFormat="false" ht="15" hidden="false" customHeight="false" outlineLevel="0" collapsed="false">
      <c r="A3964" s="3" t="n">
        <v>3963</v>
      </c>
      <c r="B3964" s="3" t="n">
        <v>3962</v>
      </c>
      <c r="C3964" s="3" t="n">
        <v>5</v>
      </c>
      <c r="D3964" s="3" t="n">
        <v>1</v>
      </c>
      <c r="E3964" s="3" t="n">
        <v>14</v>
      </c>
      <c r="F3964" s="24" t="n">
        <v>0.51512605</v>
      </c>
    </row>
    <row r="3965" customFormat="false" ht="15" hidden="false" customHeight="false" outlineLevel="0" collapsed="false">
      <c r="A3965" s="3" t="n">
        <v>3964</v>
      </c>
      <c r="B3965" s="3" t="n">
        <v>3963</v>
      </c>
      <c r="C3965" s="3" t="n">
        <v>5</v>
      </c>
      <c r="D3965" s="3" t="n">
        <v>1</v>
      </c>
      <c r="E3965" s="3" t="n">
        <v>15</v>
      </c>
      <c r="F3965" s="24" t="n">
        <v>0.51512605</v>
      </c>
    </row>
    <row r="3966" customFormat="false" ht="15" hidden="false" customHeight="false" outlineLevel="0" collapsed="false">
      <c r="A3966" s="3" t="n">
        <v>3965</v>
      </c>
      <c r="B3966" s="3" t="n">
        <v>3964</v>
      </c>
      <c r="C3966" s="3" t="n">
        <v>5</v>
      </c>
      <c r="D3966" s="3" t="n">
        <v>1</v>
      </c>
      <c r="E3966" s="3" t="n">
        <v>16</v>
      </c>
      <c r="F3966" s="24" t="n">
        <v>0.51512605</v>
      </c>
    </row>
    <row r="3967" customFormat="false" ht="15" hidden="false" customHeight="false" outlineLevel="0" collapsed="false">
      <c r="A3967" s="3" t="n">
        <v>3966</v>
      </c>
      <c r="B3967" s="3" t="n">
        <v>3965</v>
      </c>
      <c r="C3967" s="3" t="n">
        <v>5</v>
      </c>
      <c r="D3967" s="3" t="n">
        <v>1</v>
      </c>
      <c r="E3967" s="3" t="n">
        <v>17</v>
      </c>
      <c r="F3967" s="24" t="n">
        <v>0.51512605</v>
      </c>
    </row>
    <row r="3968" customFormat="false" ht="15" hidden="false" customHeight="false" outlineLevel="0" collapsed="false">
      <c r="A3968" s="3" t="n">
        <v>3967</v>
      </c>
      <c r="B3968" s="3" t="n">
        <v>3966</v>
      </c>
      <c r="C3968" s="3" t="n">
        <v>5</v>
      </c>
      <c r="D3968" s="3" t="n">
        <v>1</v>
      </c>
      <c r="E3968" s="3" t="n">
        <v>18</v>
      </c>
      <c r="F3968" s="24" t="n">
        <v>0.51512605</v>
      </c>
    </row>
    <row r="3969" customFormat="false" ht="15" hidden="false" customHeight="false" outlineLevel="0" collapsed="false">
      <c r="A3969" s="3" t="n">
        <v>3968</v>
      </c>
      <c r="B3969" s="3" t="n">
        <v>3967</v>
      </c>
      <c r="C3969" s="3" t="n">
        <v>5</v>
      </c>
      <c r="D3969" s="3" t="n">
        <v>1</v>
      </c>
      <c r="E3969" s="3" t="n">
        <v>19</v>
      </c>
      <c r="F3969" s="24" t="n">
        <v>0.51512605</v>
      </c>
    </row>
    <row r="3970" customFormat="false" ht="15" hidden="false" customHeight="false" outlineLevel="0" collapsed="false">
      <c r="A3970" s="3" t="n">
        <v>3969</v>
      </c>
      <c r="B3970" s="3" t="n">
        <v>3968</v>
      </c>
      <c r="C3970" s="3" t="n">
        <v>5</v>
      </c>
      <c r="D3970" s="3" t="n">
        <v>1</v>
      </c>
      <c r="E3970" s="3" t="n">
        <v>20</v>
      </c>
      <c r="F3970" s="24" t="n">
        <v>0.51512605</v>
      </c>
    </row>
    <row r="3971" customFormat="false" ht="15" hidden="false" customHeight="false" outlineLevel="0" collapsed="false">
      <c r="A3971" s="3" t="n">
        <v>3970</v>
      </c>
      <c r="B3971" s="3" t="n">
        <v>3969</v>
      </c>
      <c r="C3971" s="3" t="n">
        <v>5</v>
      </c>
      <c r="D3971" s="3" t="n">
        <v>1</v>
      </c>
      <c r="E3971" s="3" t="n">
        <v>21</v>
      </c>
      <c r="F3971" s="24" t="n">
        <v>0.51512605</v>
      </c>
    </row>
    <row r="3972" customFormat="false" ht="15" hidden="false" customHeight="false" outlineLevel="0" collapsed="false">
      <c r="A3972" s="3" t="n">
        <v>3971</v>
      </c>
      <c r="B3972" s="3" t="n">
        <v>3970</v>
      </c>
      <c r="C3972" s="3" t="n">
        <v>5</v>
      </c>
      <c r="D3972" s="3" t="n">
        <v>1</v>
      </c>
      <c r="E3972" s="3" t="n">
        <v>22</v>
      </c>
      <c r="F3972" s="24" t="n">
        <v>0.51512605</v>
      </c>
    </row>
    <row r="3973" customFormat="false" ht="15" hidden="false" customHeight="false" outlineLevel="0" collapsed="false">
      <c r="A3973" s="3" t="n">
        <v>3972</v>
      </c>
      <c r="B3973" s="3" t="n">
        <v>3971</v>
      </c>
      <c r="C3973" s="3" t="n">
        <v>5</v>
      </c>
      <c r="D3973" s="3" t="n">
        <v>1</v>
      </c>
      <c r="E3973" s="3" t="n">
        <v>23</v>
      </c>
      <c r="F3973" s="24" t="n">
        <v>0.51512605</v>
      </c>
    </row>
    <row r="3974" customFormat="false" ht="15" hidden="false" customHeight="false" outlineLevel="0" collapsed="false">
      <c r="A3974" s="3" t="n">
        <v>3973</v>
      </c>
      <c r="B3974" s="3" t="n">
        <v>3972</v>
      </c>
      <c r="C3974" s="3" t="n">
        <v>5</v>
      </c>
      <c r="D3974" s="3" t="n">
        <v>1</v>
      </c>
      <c r="E3974" s="3" t="n">
        <v>24</v>
      </c>
      <c r="F3974" s="24" t="n">
        <v>0.51512605</v>
      </c>
    </row>
    <row r="3975" customFormat="false" ht="15" hidden="false" customHeight="false" outlineLevel="0" collapsed="false">
      <c r="A3975" s="3" t="n">
        <v>3974</v>
      </c>
      <c r="B3975" s="3" t="n">
        <v>3973</v>
      </c>
      <c r="C3975" s="3" t="n">
        <v>5</v>
      </c>
      <c r="D3975" s="3" t="n">
        <v>1</v>
      </c>
      <c r="E3975" s="3" t="n">
        <v>25</v>
      </c>
      <c r="F3975" s="24" t="n">
        <v>0.51512605</v>
      </c>
    </row>
    <row r="3976" customFormat="false" ht="15" hidden="false" customHeight="false" outlineLevel="0" collapsed="false">
      <c r="A3976" s="3" t="n">
        <v>3975</v>
      </c>
      <c r="B3976" s="3" t="n">
        <v>3974</v>
      </c>
      <c r="C3976" s="3" t="n">
        <v>5</v>
      </c>
      <c r="D3976" s="3" t="n">
        <v>1</v>
      </c>
      <c r="E3976" s="3" t="n">
        <v>26</v>
      </c>
      <c r="F3976" s="24" t="n">
        <v>0.51512605</v>
      </c>
    </row>
    <row r="3977" customFormat="false" ht="15" hidden="false" customHeight="false" outlineLevel="0" collapsed="false">
      <c r="A3977" s="3" t="n">
        <v>3976</v>
      </c>
      <c r="B3977" s="3" t="n">
        <v>3975</v>
      </c>
      <c r="C3977" s="3" t="n">
        <v>5</v>
      </c>
      <c r="D3977" s="3" t="n">
        <v>1</v>
      </c>
      <c r="E3977" s="3" t="n">
        <v>27</v>
      </c>
      <c r="F3977" s="24" t="n">
        <v>0.459515482</v>
      </c>
    </row>
    <row r="3978" customFormat="false" ht="15" hidden="false" customHeight="false" outlineLevel="0" collapsed="false">
      <c r="A3978" s="3" t="n">
        <v>3977</v>
      </c>
      <c r="B3978" s="3" t="n">
        <v>3976</v>
      </c>
      <c r="C3978" s="3" t="n">
        <v>5</v>
      </c>
      <c r="D3978" s="3" t="n">
        <v>2</v>
      </c>
      <c r="E3978" s="3" t="n">
        <v>0</v>
      </c>
      <c r="F3978" s="24" t="n">
        <v>0.354324996</v>
      </c>
    </row>
    <row r="3979" customFormat="false" ht="15" hidden="false" customHeight="false" outlineLevel="0" collapsed="false">
      <c r="A3979" s="3" t="n">
        <v>3978</v>
      </c>
      <c r="B3979" s="3" t="n">
        <v>3977</v>
      </c>
      <c r="C3979" s="3" t="n">
        <v>5</v>
      </c>
      <c r="D3979" s="3" t="n">
        <v>2</v>
      </c>
      <c r="E3979" s="3" t="n">
        <v>1</v>
      </c>
      <c r="F3979" s="24" t="n">
        <v>0.51512605</v>
      </c>
    </row>
    <row r="3980" customFormat="false" ht="15" hidden="false" customHeight="false" outlineLevel="0" collapsed="false">
      <c r="A3980" s="3" t="n">
        <v>3979</v>
      </c>
      <c r="B3980" s="3" t="n">
        <v>3978</v>
      </c>
      <c r="C3980" s="3" t="n">
        <v>5</v>
      </c>
      <c r="D3980" s="3" t="n">
        <v>2</v>
      </c>
      <c r="E3980" s="3" t="n">
        <v>2</v>
      </c>
      <c r="F3980" s="24" t="n">
        <v>0.51512605</v>
      </c>
    </row>
    <row r="3981" customFormat="false" ht="15" hidden="false" customHeight="false" outlineLevel="0" collapsed="false">
      <c r="A3981" s="3" t="n">
        <v>3980</v>
      </c>
      <c r="B3981" s="3" t="n">
        <v>3979</v>
      </c>
      <c r="C3981" s="3" t="n">
        <v>5</v>
      </c>
      <c r="D3981" s="3" t="n">
        <v>2</v>
      </c>
      <c r="E3981" s="3" t="n">
        <v>3</v>
      </c>
      <c r="F3981" s="24" t="n">
        <v>0.51512605</v>
      </c>
    </row>
    <row r="3982" customFormat="false" ht="15" hidden="false" customHeight="false" outlineLevel="0" collapsed="false">
      <c r="A3982" s="3" t="n">
        <v>3981</v>
      </c>
      <c r="B3982" s="3" t="n">
        <v>3980</v>
      </c>
      <c r="C3982" s="3" t="n">
        <v>5</v>
      </c>
      <c r="D3982" s="3" t="n">
        <v>2</v>
      </c>
      <c r="E3982" s="3" t="n">
        <v>4</v>
      </c>
      <c r="F3982" s="24" t="n">
        <v>0.51512605</v>
      </c>
    </row>
    <row r="3983" customFormat="false" ht="15" hidden="false" customHeight="false" outlineLevel="0" collapsed="false">
      <c r="A3983" s="3" t="n">
        <v>3982</v>
      </c>
      <c r="B3983" s="3" t="n">
        <v>3981</v>
      </c>
      <c r="C3983" s="3" t="n">
        <v>5</v>
      </c>
      <c r="D3983" s="3" t="n">
        <v>2</v>
      </c>
      <c r="E3983" s="3" t="n">
        <v>5</v>
      </c>
      <c r="F3983" s="24" t="n">
        <v>0.51512605</v>
      </c>
    </row>
    <row r="3984" customFormat="false" ht="15" hidden="false" customHeight="false" outlineLevel="0" collapsed="false">
      <c r="A3984" s="3" t="n">
        <v>3983</v>
      </c>
      <c r="B3984" s="3" t="n">
        <v>3982</v>
      </c>
      <c r="C3984" s="3" t="n">
        <v>5</v>
      </c>
      <c r="D3984" s="3" t="n">
        <v>2</v>
      </c>
      <c r="E3984" s="3" t="n">
        <v>6</v>
      </c>
      <c r="F3984" s="24" t="n">
        <v>0.51512605</v>
      </c>
    </row>
    <row r="3985" customFormat="false" ht="15" hidden="false" customHeight="false" outlineLevel="0" collapsed="false">
      <c r="A3985" s="3" t="n">
        <v>3984</v>
      </c>
      <c r="B3985" s="3" t="n">
        <v>3983</v>
      </c>
      <c r="C3985" s="3" t="n">
        <v>5</v>
      </c>
      <c r="D3985" s="3" t="n">
        <v>2</v>
      </c>
      <c r="E3985" s="3" t="n">
        <v>7</v>
      </c>
      <c r="F3985" s="24" t="n">
        <v>0.51512605</v>
      </c>
    </row>
    <row r="3986" customFormat="false" ht="15" hidden="false" customHeight="false" outlineLevel="0" collapsed="false">
      <c r="A3986" s="3" t="n">
        <v>3985</v>
      </c>
      <c r="B3986" s="3" t="n">
        <v>3984</v>
      </c>
      <c r="C3986" s="3" t="n">
        <v>5</v>
      </c>
      <c r="D3986" s="3" t="n">
        <v>2</v>
      </c>
      <c r="E3986" s="3" t="n">
        <v>8</v>
      </c>
      <c r="F3986" s="24" t="n">
        <v>0.51512605</v>
      </c>
    </row>
    <row r="3987" customFormat="false" ht="15" hidden="false" customHeight="false" outlineLevel="0" collapsed="false">
      <c r="A3987" s="3" t="n">
        <v>3986</v>
      </c>
      <c r="B3987" s="3" t="n">
        <v>3985</v>
      </c>
      <c r="C3987" s="3" t="n">
        <v>5</v>
      </c>
      <c r="D3987" s="3" t="n">
        <v>2</v>
      </c>
      <c r="E3987" s="3" t="n">
        <v>9</v>
      </c>
      <c r="F3987" s="24" t="n">
        <v>0.51512605</v>
      </c>
    </row>
    <row r="3988" customFormat="false" ht="15" hidden="false" customHeight="false" outlineLevel="0" collapsed="false">
      <c r="A3988" s="3" t="n">
        <v>3987</v>
      </c>
      <c r="B3988" s="3" t="n">
        <v>3986</v>
      </c>
      <c r="C3988" s="3" t="n">
        <v>5</v>
      </c>
      <c r="D3988" s="3" t="n">
        <v>2</v>
      </c>
      <c r="E3988" s="3" t="n">
        <v>10</v>
      </c>
      <c r="F3988" s="24" t="n">
        <v>0.51512605</v>
      </c>
    </row>
    <row r="3989" customFormat="false" ht="15" hidden="false" customHeight="false" outlineLevel="0" collapsed="false">
      <c r="A3989" s="3" t="n">
        <v>3988</v>
      </c>
      <c r="B3989" s="3" t="n">
        <v>3987</v>
      </c>
      <c r="C3989" s="3" t="n">
        <v>5</v>
      </c>
      <c r="D3989" s="3" t="n">
        <v>2</v>
      </c>
      <c r="E3989" s="3" t="n">
        <v>11</v>
      </c>
      <c r="F3989" s="24" t="n">
        <v>0.51512605</v>
      </c>
    </row>
    <row r="3990" customFormat="false" ht="15" hidden="false" customHeight="false" outlineLevel="0" collapsed="false">
      <c r="A3990" s="3" t="n">
        <v>3989</v>
      </c>
      <c r="B3990" s="3" t="n">
        <v>3988</v>
      </c>
      <c r="C3990" s="3" t="n">
        <v>5</v>
      </c>
      <c r="D3990" s="3" t="n">
        <v>2</v>
      </c>
      <c r="E3990" s="3" t="n">
        <v>12</v>
      </c>
      <c r="F3990" s="24" t="n">
        <v>0.51512605</v>
      </c>
    </row>
    <row r="3991" customFormat="false" ht="15" hidden="false" customHeight="false" outlineLevel="0" collapsed="false">
      <c r="A3991" s="3" t="n">
        <v>3990</v>
      </c>
      <c r="B3991" s="3" t="n">
        <v>3989</v>
      </c>
      <c r="C3991" s="3" t="n">
        <v>5</v>
      </c>
      <c r="D3991" s="3" t="n">
        <v>2</v>
      </c>
      <c r="E3991" s="3" t="n">
        <v>13</v>
      </c>
      <c r="F3991" s="24" t="n">
        <v>0.51512605</v>
      </c>
    </row>
    <row r="3992" customFormat="false" ht="15" hidden="false" customHeight="false" outlineLevel="0" collapsed="false">
      <c r="A3992" s="3" t="n">
        <v>3991</v>
      </c>
      <c r="B3992" s="3" t="n">
        <v>3990</v>
      </c>
      <c r="C3992" s="3" t="n">
        <v>5</v>
      </c>
      <c r="D3992" s="3" t="n">
        <v>2</v>
      </c>
      <c r="E3992" s="3" t="n">
        <v>14</v>
      </c>
      <c r="F3992" s="24" t="n">
        <v>0.51512605</v>
      </c>
    </row>
    <row r="3993" customFormat="false" ht="15" hidden="false" customHeight="false" outlineLevel="0" collapsed="false">
      <c r="A3993" s="3" t="n">
        <v>3992</v>
      </c>
      <c r="B3993" s="3" t="n">
        <v>3991</v>
      </c>
      <c r="C3993" s="3" t="n">
        <v>5</v>
      </c>
      <c r="D3993" s="3" t="n">
        <v>2</v>
      </c>
      <c r="E3993" s="3" t="n">
        <v>15</v>
      </c>
      <c r="F3993" s="24" t="n">
        <v>0.51512605</v>
      </c>
    </row>
    <row r="3994" customFormat="false" ht="15" hidden="false" customHeight="false" outlineLevel="0" collapsed="false">
      <c r="A3994" s="3" t="n">
        <v>3993</v>
      </c>
      <c r="B3994" s="3" t="n">
        <v>3992</v>
      </c>
      <c r="C3994" s="3" t="n">
        <v>5</v>
      </c>
      <c r="D3994" s="3" t="n">
        <v>2</v>
      </c>
      <c r="E3994" s="3" t="n">
        <v>16</v>
      </c>
      <c r="F3994" s="24" t="n">
        <v>0.51512605</v>
      </c>
    </row>
    <row r="3995" customFormat="false" ht="15" hidden="false" customHeight="false" outlineLevel="0" collapsed="false">
      <c r="A3995" s="3" t="n">
        <v>3994</v>
      </c>
      <c r="B3995" s="3" t="n">
        <v>3993</v>
      </c>
      <c r="C3995" s="3" t="n">
        <v>5</v>
      </c>
      <c r="D3995" s="3" t="n">
        <v>2</v>
      </c>
      <c r="E3995" s="3" t="n">
        <v>17</v>
      </c>
      <c r="F3995" s="24" t="n">
        <v>0.51512605</v>
      </c>
    </row>
    <row r="3996" customFormat="false" ht="15" hidden="false" customHeight="false" outlineLevel="0" collapsed="false">
      <c r="A3996" s="3" t="n">
        <v>3995</v>
      </c>
      <c r="B3996" s="3" t="n">
        <v>3994</v>
      </c>
      <c r="C3996" s="3" t="n">
        <v>5</v>
      </c>
      <c r="D3996" s="3" t="n">
        <v>2</v>
      </c>
      <c r="E3996" s="3" t="n">
        <v>18</v>
      </c>
      <c r="F3996" s="24" t="n">
        <v>0.51512605</v>
      </c>
    </row>
    <row r="3997" customFormat="false" ht="15" hidden="false" customHeight="false" outlineLevel="0" collapsed="false">
      <c r="A3997" s="3" t="n">
        <v>3996</v>
      </c>
      <c r="B3997" s="3" t="n">
        <v>3995</v>
      </c>
      <c r="C3997" s="3" t="n">
        <v>5</v>
      </c>
      <c r="D3997" s="3" t="n">
        <v>2</v>
      </c>
      <c r="E3997" s="3" t="n">
        <v>19</v>
      </c>
      <c r="F3997" s="24" t="n">
        <v>0.51512605</v>
      </c>
    </row>
    <row r="3998" customFormat="false" ht="15" hidden="false" customHeight="false" outlineLevel="0" collapsed="false">
      <c r="A3998" s="3" t="n">
        <v>3997</v>
      </c>
      <c r="B3998" s="3" t="n">
        <v>3996</v>
      </c>
      <c r="C3998" s="3" t="n">
        <v>5</v>
      </c>
      <c r="D3998" s="3" t="n">
        <v>2</v>
      </c>
      <c r="E3998" s="3" t="n">
        <v>20</v>
      </c>
      <c r="F3998" s="24" t="n">
        <v>0.51512605</v>
      </c>
    </row>
    <row r="3999" customFormat="false" ht="15" hidden="false" customHeight="false" outlineLevel="0" collapsed="false">
      <c r="A3999" s="3" t="n">
        <v>3998</v>
      </c>
      <c r="B3999" s="3" t="n">
        <v>3997</v>
      </c>
      <c r="C3999" s="3" t="n">
        <v>5</v>
      </c>
      <c r="D3999" s="3" t="n">
        <v>2</v>
      </c>
      <c r="E3999" s="3" t="n">
        <v>21</v>
      </c>
      <c r="F3999" s="24" t="n">
        <v>0.51512605</v>
      </c>
    </row>
    <row r="4000" customFormat="false" ht="15" hidden="false" customHeight="false" outlineLevel="0" collapsed="false">
      <c r="A4000" s="3" t="n">
        <v>3999</v>
      </c>
      <c r="B4000" s="3" t="n">
        <v>3998</v>
      </c>
      <c r="C4000" s="3" t="n">
        <v>5</v>
      </c>
      <c r="D4000" s="3" t="n">
        <v>2</v>
      </c>
      <c r="E4000" s="3" t="n">
        <v>22</v>
      </c>
      <c r="F4000" s="24" t="n">
        <v>0.51512605</v>
      </c>
    </row>
    <row r="4001" customFormat="false" ht="15" hidden="false" customHeight="false" outlineLevel="0" collapsed="false">
      <c r="A4001" s="3" t="n">
        <v>4000</v>
      </c>
      <c r="B4001" s="3" t="n">
        <v>3999</v>
      </c>
      <c r="C4001" s="3" t="n">
        <v>5</v>
      </c>
      <c r="D4001" s="3" t="n">
        <v>2</v>
      </c>
      <c r="E4001" s="3" t="n">
        <v>23</v>
      </c>
      <c r="F4001" s="24" t="n">
        <v>0.51512605</v>
      </c>
    </row>
    <row r="4002" customFormat="false" ht="15" hidden="false" customHeight="false" outlineLevel="0" collapsed="false">
      <c r="A4002" s="3" t="n">
        <v>4001</v>
      </c>
      <c r="B4002" s="3" t="n">
        <v>4000</v>
      </c>
      <c r="C4002" s="3" t="n">
        <v>5</v>
      </c>
      <c r="D4002" s="3" t="n">
        <v>2</v>
      </c>
      <c r="E4002" s="3" t="n">
        <v>24</v>
      </c>
      <c r="F4002" s="24" t="n">
        <v>0.51512605</v>
      </c>
    </row>
    <row r="4003" customFormat="false" ht="15" hidden="false" customHeight="false" outlineLevel="0" collapsed="false">
      <c r="A4003" s="3" t="n">
        <v>4002</v>
      </c>
      <c r="B4003" s="3" t="n">
        <v>4001</v>
      </c>
      <c r="C4003" s="3" t="n">
        <v>5</v>
      </c>
      <c r="D4003" s="3" t="n">
        <v>2</v>
      </c>
      <c r="E4003" s="3" t="n">
        <v>25</v>
      </c>
      <c r="F4003" s="24" t="n">
        <v>0.51512605</v>
      </c>
    </row>
    <row r="4004" customFormat="false" ht="15" hidden="false" customHeight="false" outlineLevel="0" collapsed="false">
      <c r="A4004" s="3" t="n">
        <v>4003</v>
      </c>
      <c r="B4004" s="3" t="n">
        <v>4002</v>
      </c>
      <c r="C4004" s="3" t="n">
        <v>5</v>
      </c>
      <c r="D4004" s="3" t="n">
        <v>2</v>
      </c>
      <c r="E4004" s="3" t="n">
        <v>26</v>
      </c>
      <c r="F4004" s="24" t="n">
        <v>0.51512605</v>
      </c>
    </row>
    <row r="4005" customFormat="false" ht="15" hidden="false" customHeight="false" outlineLevel="0" collapsed="false">
      <c r="A4005" s="3" t="n">
        <v>4004</v>
      </c>
      <c r="B4005" s="3" t="n">
        <v>4003</v>
      </c>
      <c r="C4005" s="3" t="n">
        <v>5</v>
      </c>
      <c r="D4005" s="3" t="n">
        <v>2</v>
      </c>
      <c r="E4005" s="3" t="n">
        <v>27</v>
      </c>
      <c r="F4005" s="24" t="n">
        <v>0.459515482</v>
      </c>
    </row>
    <row r="4006" customFormat="false" ht="15" hidden="false" customHeight="false" outlineLevel="0" collapsed="false">
      <c r="A4006" s="3" t="n">
        <v>4005</v>
      </c>
      <c r="B4006" s="3" t="n">
        <v>4004</v>
      </c>
      <c r="C4006" s="3" t="n">
        <v>5</v>
      </c>
      <c r="D4006" s="3" t="n">
        <v>3</v>
      </c>
      <c r="E4006" s="3" t="n">
        <v>0</v>
      </c>
      <c r="F4006" s="24" t="n">
        <v>0.354324996</v>
      </c>
    </row>
    <row r="4007" customFormat="false" ht="15" hidden="false" customHeight="false" outlineLevel="0" collapsed="false">
      <c r="A4007" s="3" t="n">
        <v>4006</v>
      </c>
      <c r="B4007" s="3" t="n">
        <v>4005</v>
      </c>
      <c r="C4007" s="3" t="n">
        <v>5</v>
      </c>
      <c r="D4007" s="3" t="n">
        <v>3</v>
      </c>
      <c r="E4007" s="3" t="n">
        <v>1</v>
      </c>
      <c r="F4007" s="24" t="n">
        <v>0.51512605</v>
      </c>
    </row>
    <row r="4008" customFormat="false" ht="15" hidden="false" customHeight="false" outlineLevel="0" collapsed="false">
      <c r="A4008" s="3" t="n">
        <v>4007</v>
      </c>
      <c r="B4008" s="3" t="n">
        <v>4006</v>
      </c>
      <c r="C4008" s="3" t="n">
        <v>5</v>
      </c>
      <c r="D4008" s="3" t="n">
        <v>3</v>
      </c>
      <c r="E4008" s="3" t="n">
        <v>2</v>
      </c>
      <c r="F4008" s="24" t="n">
        <v>0.51512605</v>
      </c>
    </row>
    <row r="4009" customFormat="false" ht="15" hidden="false" customHeight="false" outlineLevel="0" collapsed="false">
      <c r="A4009" s="3" t="n">
        <v>4008</v>
      </c>
      <c r="B4009" s="3" t="n">
        <v>4007</v>
      </c>
      <c r="C4009" s="3" t="n">
        <v>5</v>
      </c>
      <c r="D4009" s="3" t="n">
        <v>3</v>
      </c>
      <c r="E4009" s="3" t="n">
        <v>3</v>
      </c>
      <c r="F4009" s="24" t="n">
        <v>0.51512605</v>
      </c>
    </row>
    <row r="4010" customFormat="false" ht="15" hidden="false" customHeight="false" outlineLevel="0" collapsed="false">
      <c r="A4010" s="3" t="n">
        <v>4009</v>
      </c>
      <c r="B4010" s="3" t="n">
        <v>4008</v>
      </c>
      <c r="C4010" s="3" t="n">
        <v>5</v>
      </c>
      <c r="D4010" s="3" t="n">
        <v>3</v>
      </c>
      <c r="E4010" s="3" t="n">
        <v>4</v>
      </c>
      <c r="F4010" s="24" t="n">
        <v>0.51512605</v>
      </c>
    </row>
    <row r="4011" customFormat="false" ht="15" hidden="false" customHeight="false" outlineLevel="0" collapsed="false">
      <c r="A4011" s="3" t="n">
        <v>4010</v>
      </c>
      <c r="B4011" s="3" t="n">
        <v>4009</v>
      </c>
      <c r="C4011" s="3" t="n">
        <v>5</v>
      </c>
      <c r="D4011" s="3" t="n">
        <v>3</v>
      </c>
      <c r="E4011" s="3" t="n">
        <v>5</v>
      </c>
      <c r="F4011" s="24" t="n">
        <v>0.51512605</v>
      </c>
    </row>
    <row r="4012" customFormat="false" ht="15" hidden="false" customHeight="false" outlineLevel="0" collapsed="false">
      <c r="A4012" s="3" t="n">
        <v>4011</v>
      </c>
      <c r="B4012" s="3" t="n">
        <v>4010</v>
      </c>
      <c r="C4012" s="3" t="n">
        <v>5</v>
      </c>
      <c r="D4012" s="3" t="n">
        <v>3</v>
      </c>
      <c r="E4012" s="3" t="n">
        <v>6</v>
      </c>
      <c r="F4012" s="24" t="n">
        <v>0.51512605</v>
      </c>
    </row>
    <row r="4013" customFormat="false" ht="15" hidden="false" customHeight="false" outlineLevel="0" collapsed="false">
      <c r="A4013" s="3" t="n">
        <v>4012</v>
      </c>
      <c r="B4013" s="3" t="n">
        <v>4011</v>
      </c>
      <c r="C4013" s="3" t="n">
        <v>5</v>
      </c>
      <c r="D4013" s="3" t="n">
        <v>3</v>
      </c>
      <c r="E4013" s="3" t="n">
        <v>7</v>
      </c>
      <c r="F4013" s="24" t="n">
        <v>0.51512605</v>
      </c>
    </row>
    <row r="4014" customFormat="false" ht="15" hidden="false" customHeight="false" outlineLevel="0" collapsed="false">
      <c r="A4014" s="3" t="n">
        <v>4013</v>
      </c>
      <c r="B4014" s="3" t="n">
        <v>4012</v>
      </c>
      <c r="C4014" s="3" t="n">
        <v>5</v>
      </c>
      <c r="D4014" s="3" t="n">
        <v>3</v>
      </c>
      <c r="E4014" s="3" t="n">
        <v>8</v>
      </c>
      <c r="F4014" s="24" t="n">
        <v>0.51512605</v>
      </c>
    </row>
    <row r="4015" customFormat="false" ht="15" hidden="false" customHeight="false" outlineLevel="0" collapsed="false">
      <c r="A4015" s="3" t="n">
        <v>4014</v>
      </c>
      <c r="B4015" s="3" t="n">
        <v>4013</v>
      </c>
      <c r="C4015" s="3" t="n">
        <v>5</v>
      </c>
      <c r="D4015" s="3" t="n">
        <v>3</v>
      </c>
      <c r="E4015" s="3" t="n">
        <v>9</v>
      </c>
      <c r="F4015" s="24" t="n">
        <v>0.51512605</v>
      </c>
    </row>
    <row r="4016" customFormat="false" ht="15" hidden="false" customHeight="false" outlineLevel="0" collapsed="false">
      <c r="A4016" s="3" t="n">
        <v>4015</v>
      </c>
      <c r="B4016" s="3" t="n">
        <v>4014</v>
      </c>
      <c r="C4016" s="3" t="n">
        <v>5</v>
      </c>
      <c r="D4016" s="3" t="n">
        <v>3</v>
      </c>
      <c r="E4016" s="3" t="n">
        <v>10</v>
      </c>
      <c r="F4016" s="24" t="n">
        <v>0.51512605</v>
      </c>
    </row>
    <row r="4017" customFormat="false" ht="15" hidden="false" customHeight="false" outlineLevel="0" collapsed="false">
      <c r="A4017" s="3" t="n">
        <v>4016</v>
      </c>
      <c r="B4017" s="3" t="n">
        <v>4015</v>
      </c>
      <c r="C4017" s="3" t="n">
        <v>5</v>
      </c>
      <c r="D4017" s="3" t="n">
        <v>3</v>
      </c>
      <c r="E4017" s="3" t="n">
        <v>11</v>
      </c>
      <c r="F4017" s="24" t="n">
        <v>0.51512605</v>
      </c>
    </row>
    <row r="4018" customFormat="false" ht="15" hidden="false" customHeight="false" outlineLevel="0" collapsed="false">
      <c r="A4018" s="3" t="n">
        <v>4017</v>
      </c>
      <c r="B4018" s="3" t="n">
        <v>4016</v>
      </c>
      <c r="C4018" s="3" t="n">
        <v>5</v>
      </c>
      <c r="D4018" s="3" t="n">
        <v>3</v>
      </c>
      <c r="E4018" s="3" t="n">
        <v>12</v>
      </c>
      <c r="F4018" s="24" t="n">
        <v>0.51512605</v>
      </c>
    </row>
    <row r="4019" customFormat="false" ht="15" hidden="false" customHeight="false" outlineLevel="0" collapsed="false">
      <c r="A4019" s="3" t="n">
        <v>4018</v>
      </c>
      <c r="B4019" s="3" t="n">
        <v>4017</v>
      </c>
      <c r="C4019" s="3" t="n">
        <v>5</v>
      </c>
      <c r="D4019" s="3" t="n">
        <v>3</v>
      </c>
      <c r="E4019" s="3" t="n">
        <v>13</v>
      </c>
      <c r="F4019" s="24" t="n">
        <v>0.51512605</v>
      </c>
    </row>
    <row r="4020" customFormat="false" ht="15" hidden="false" customHeight="false" outlineLevel="0" collapsed="false">
      <c r="A4020" s="3" t="n">
        <v>4019</v>
      </c>
      <c r="B4020" s="3" t="n">
        <v>4018</v>
      </c>
      <c r="C4020" s="3" t="n">
        <v>5</v>
      </c>
      <c r="D4020" s="3" t="n">
        <v>3</v>
      </c>
      <c r="E4020" s="3" t="n">
        <v>14</v>
      </c>
      <c r="F4020" s="24" t="n">
        <v>0.51512605</v>
      </c>
    </row>
    <row r="4021" customFormat="false" ht="15" hidden="false" customHeight="false" outlineLevel="0" collapsed="false">
      <c r="A4021" s="3" t="n">
        <v>4020</v>
      </c>
      <c r="B4021" s="3" t="n">
        <v>4019</v>
      </c>
      <c r="C4021" s="3" t="n">
        <v>5</v>
      </c>
      <c r="D4021" s="3" t="n">
        <v>3</v>
      </c>
      <c r="E4021" s="3" t="n">
        <v>15</v>
      </c>
      <c r="F4021" s="24" t="n">
        <v>0.51512605</v>
      </c>
    </row>
    <row r="4022" customFormat="false" ht="15" hidden="false" customHeight="false" outlineLevel="0" collapsed="false">
      <c r="A4022" s="3" t="n">
        <v>4021</v>
      </c>
      <c r="B4022" s="3" t="n">
        <v>4020</v>
      </c>
      <c r="C4022" s="3" t="n">
        <v>5</v>
      </c>
      <c r="D4022" s="3" t="n">
        <v>3</v>
      </c>
      <c r="E4022" s="3" t="n">
        <v>16</v>
      </c>
      <c r="F4022" s="24" t="n">
        <v>0.51512605</v>
      </c>
    </row>
    <row r="4023" customFormat="false" ht="15" hidden="false" customHeight="false" outlineLevel="0" collapsed="false">
      <c r="A4023" s="3" t="n">
        <v>4022</v>
      </c>
      <c r="B4023" s="3" t="n">
        <v>4021</v>
      </c>
      <c r="C4023" s="3" t="n">
        <v>5</v>
      </c>
      <c r="D4023" s="3" t="n">
        <v>3</v>
      </c>
      <c r="E4023" s="3" t="n">
        <v>17</v>
      </c>
      <c r="F4023" s="24" t="n">
        <v>0.51512605</v>
      </c>
    </row>
    <row r="4024" customFormat="false" ht="15" hidden="false" customHeight="false" outlineLevel="0" collapsed="false">
      <c r="A4024" s="3" t="n">
        <v>4023</v>
      </c>
      <c r="B4024" s="3" t="n">
        <v>4022</v>
      </c>
      <c r="C4024" s="3" t="n">
        <v>5</v>
      </c>
      <c r="D4024" s="3" t="n">
        <v>3</v>
      </c>
      <c r="E4024" s="3" t="n">
        <v>18</v>
      </c>
      <c r="F4024" s="24" t="n">
        <v>0.51512605</v>
      </c>
    </row>
    <row r="4025" customFormat="false" ht="15" hidden="false" customHeight="false" outlineLevel="0" collapsed="false">
      <c r="A4025" s="3" t="n">
        <v>4024</v>
      </c>
      <c r="B4025" s="3" t="n">
        <v>4023</v>
      </c>
      <c r="C4025" s="3" t="n">
        <v>5</v>
      </c>
      <c r="D4025" s="3" t="n">
        <v>3</v>
      </c>
      <c r="E4025" s="3" t="n">
        <v>19</v>
      </c>
      <c r="F4025" s="24" t="n">
        <v>0.51512605</v>
      </c>
    </row>
    <row r="4026" customFormat="false" ht="15" hidden="false" customHeight="false" outlineLevel="0" collapsed="false">
      <c r="A4026" s="3" t="n">
        <v>4025</v>
      </c>
      <c r="B4026" s="3" t="n">
        <v>4024</v>
      </c>
      <c r="C4026" s="3" t="n">
        <v>5</v>
      </c>
      <c r="D4026" s="3" t="n">
        <v>3</v>
      </c>
      <c r="E4026" s="3" t="n">
        <v>20</v>
      </c>
      <c r="F4026" s="24" t="n">
        <v>0.51512605</v>
      </c>
    </row>
    <row r="4027" customFormat="false" ht="15" hidden="false" customHeight="false" outlineLevel="0" collapsed="false">
      <c r="A4027" s="3" t="n">
        <v>4026</v>
      </c>
      <c r="B4027" s="3" t="n">
        <v>4025</v>
      </c>
      <c r="C4027" s="3" t="n">
        <v>5</v>
      </c>
      <c r="D4027" s="3" t="n">
        <v>3</v>
      </c>
      <c r="E4027" s="3" t="n">
        <v>21</v>
      </c>
      <c r="F4027" s="24" t="n">
        <v>0.51512605</v>
      </c>
    </row>
    <row r="4028" customFormat="false" ht="15" hidden="false" customHeight="false" outlineLevel="0" collapsed="false">
      <c r="A4028" s="3" t="n">
        <v>4027</v>
      </c>
      <c r="B4028" s="3" t="n">
        <v>4026</v>
      </c>
      <c r="C4028" s="3" t="n">
        <v>5</v>
      </c>
      <c r="D4028" s="3" t="n">
        <v>3</v>
      </c>
      <c r="E4028" s="3" t="n">
        <v>22</v>
      </c>
      <c r="F4028" s="24" t="n">
        <v>0.51512605</v>
      </c>
    </row>
    <row r="4029" customFormat="false" ht="15" hidden="false" customHeight="false" outlineLevel="0" collapsed="false">
      <c r="A4029" s="3" t="n">
        <v>4028</v>
      </c>
      <c r="B4029" s="3" t="n">
        <v>4027</v>
      </c>
      <c r="C4029" s="3" t="n">
        <v>5</v>
      </c>
      <c r="D4029" s="3" t="n">
        <v>3</v>
      </c>
      <c r="E4029" s="3" t="n">
        <v>23</v>
      </c>
      <c r="F4029" s="24" t="n">
        <v>0.51512605</v>
      </c>
    </row>
    <row r="4030" customFormat="false" ht="15" hidden="false" customHeight="false" outlineLevel="0" collapsed="false">
      <c r="A4030" s="3" t="n">
        <v>4029</v>
      </c>
      <c r="B4030" s="3" t="n">
        <v>4028</v>
      </c>
      <c r="C4030" s="3" t="n">
        <v>5</v>
      </c>
      <c r="D4030" s="3" t="n">
        <v>3</v>
      </c>
      <c r="E4030" s="3" t="n">
        <v>24</v>
      </c>
      <c r="F4030" s="24" t="n">
        <v>0.51512605</v>
      </c>
    </row>
    <row r="4031" customFormat="false" ht="15" hidden="false" customHeight="false" outlineLevel="0" collapsed="false">
      <c r="A4031" s="3" t="n">
        <v>4030</v>
      </c>
      <c r="B4031" s="3" t="n">
        <v>4029</v>
      </c>
      <c r="C4031" s="3" t="n">
        <v>5</v>
      </c>
      <c r="D4031" s="3" t="n">
        <v>3</v>
      </c>
      <c r="E4031" s="3" t="n">
        <v>25</v>
      </c>
      <c r="F4031" s="24" t="n">
        <v>0.51512605</v>
      </c>
    </row>
    <row r="4032" customFormat="false" ht="15" hidden="false" customHeight="false" outlineLevel="0" collapsed="false">
      <c r="A4032" s="3" t="n">
        <v>4031</v>
      </c>
      <c r="B4032" s="3" t="n">
        <v>4030</v>
      </c>
      <c r="C4032" s="3" t="n">
        <v>5</v>
      </c>
      <c r="D4032" s="3" t="n">
        <v>3</v>
      </c>
      <c r="E4032" s="3" t="n">
        <v>26</v>
      </c>
      <c r="F4032" s="24" t="n">
        <v>0.51512605</v>
      </c>
    </row>
    <row r="4033" customFormat="false" ht="15" hidden="false" customHeight="false" outlineLevel="0" collapsed="false">
      <c r="A4033" s="3" t="n">
        <v>4032</v>
      </c>
      <c r="B4033" s="3" t="n">
        <v>4031</v>
      </c>
      <c r="C4033" s="3" t="n">
        <v>5</v>
      </c>
      <c r="D4033" s="3" t="n">
        <v>3</v>
      </c>
      <c r="E4033" s="3" t="n">
        <v>27</v>
      </c>
      <c r="F4033" s="24" t="n">
        <v>0.459515482</v>
      </c>
    </row>
    <row r="4034" customFormat="false" ht="15" hidden="false" customHeight="false" outlineLevel="0" collapsed="false">
      <c r="A4034" s="3" t="n">
        <v>4033</v>
      </c>
      <c r="B4034" s="3" t="n">
        <v>4032</v>
      </c>
      <c r="C4034" s="3" t="n">
        <v>5</v>
      </c>
      <c r="D4034" s="3" t="n">
        <v>4</v>
      </c>
      <c r="E4034" s="3" t="n">
        <v>0</v>
      </c>
      <c r="F4034" s="24" t="n">
        <v>0.354324996</v>
      </c>
    </row>
    <row r="4035" customFormat="false" ht="15" hidden="false" customHeight="false" outlineLevel="0" collapsed="false">
      <c r="A4035" s="3" t="n">
        <v>4034</v>
      </c>
      <c r="B4035" s="3" t="n">
        <v>4033</v>
      </c>
      <c r="C4035" s="3" t="n">
        <v>5</v>
      </c>
      <c r="D4035" s="3" t="n">
        <v>4</v>
      </c>
      <c r="E4035" s="3" t="n">
        <v>1</v>
      </c>
      <c r="F4035" s="24" t="n">
        <v>0.51512605</v>
      </c>
    </row>
    <row r="4036" customFormat="false" ht="15" hidden="false" customHeight="false" outlineLevel="0" collapsed="false">
      <c r="A4036" s="3" t="n">
        <v>4035</v>
      </c>
      <c r="B4036" s="3" t="n">
        <v>4034</v>
      </c>
      <c r="C4036" s="3" t="n">
        <v>5</v>
      </c>
      <c r="D4036" s="3" t="n">
        <v>4</v>
      </c>
      <c r="E4036" s="3" t="n">
        <v>2</v>
      </c>
      <c r="F4036" s="24" t="n">
        <v>0.51512605</v>
      </c>
    </row>
    <row r="4037" customFormat="false" ht="15" hidden="false" customHeight="false" outlineLevel="0" collapsed="false">
      <c r="A4037" s="3" t="n">
        <v>4036</v>
      </c>
      <c r="B4037" s="3" t="n">
        <v>4035</v>
      </c>
      <c r="C4037" s="3" t="n">
        <v>5</v>
      </c>
      <c r="D4037" s="3" t="n">
        <v>4</v>
      </c>
      <c r="E4037" s="3" t="n">
        <v>3</v>
      </c>
      <c r="F4037" s="24" t="n">
        <v>0.51512605</v>
      </c>
    </row>
    <row r="4038" customFormat="false" ht="15" hidden="false" customHeight="false" outlineLevel="0" collapsed="false">
      <c r="A4038" s="3" t="n">
        <v>4037</v>
      </c>
      <c r="B4038" s="3" t="n">
        <v>4036</v>
      </c>
      <c r="C4038" s="3" t="n">
        <v>5</v>
      </c>
      <c r="D4038" s="3" t="n">
        <v>4</v>
      </c>
      <c r="E4038" s="3" t="n">
        <v>4</v>
      </c>
      <c r="F4038" s="24" t="n">
        <v>0.51512605</v>
      </c>
    </row>
    <row r="4039" customFormat="false" ht="15" hidden="false" customHeight="false" outlineLevel="0" collapsed="false">
      <c r="A4039" s="3" t="n">
        <v>4038</v>
      </c>
      <c r="B4039" s="3" t="n">
        <v>4037</v>
      </c>
      <c r="C4039" s="3" t="n">
        <v>5</v>
      </c>
      <c r="D4039" s="3" t="n">
        <v>4</v>
      </c>
      <c r="E4039" s="3" t="n">
        <v>5</v>
      </c>
      <c r="F4039" s="24" t="n">
        <v>0.51512605</v>
      </c>
    </row>
    <row r="4040" customFormat="false" ht="15" hidden="false" customHeight="false" outlineLevel="0" collapsed="false">
      <c r="A4040" s="3" t="n">
        <v>4039</v>
      </c>
      <c r="B4040" s="3" t="n">
        <v>4038</v>
      </c>
      <c r="C4040" s="3" t="n">
        <v>5</v>
      </c>
      <c r="D4040" s="3" t="n">
        <v>4</v>
      </c>
      <c r="E4040" s="3" t="n">
        <v>6</v>
      </c>
      <c r="F4040" s="24" t="n">
        <v>0.51512605</v>
      </c>
    </row>
    <row r="4041" customFormat="false" ht="15" hidden="false" customHeight="false" outlineLevel="0" collapsed="false">
      <c r="A4041" s="3" t="n">
        <v>4040</v>
      </c>
      <c r="B4041" s="3" t="n">
        <v>4039</v>
      </c>
      <c r="C4041" s="3" t="n">
        <v>5</v>
      </c>
      <c r="D4041" s="3" t="n">
        <v>4</v>
      </c>
      <c r="E4041" s="3" t="n">
        <v>7</v>
      </c>
      <c r="F4041" s="24" t="n">
        <v>0.51512605</v>
      </c>
    </row>
    <row r="4042" customFormat="false" ht="15" hidden="false" customHeight="false" outlineLevel="0" collapsed="false">
      <c r="A4042" s="3" t="n">
        <v>4041</v>
      </c>
      <c r="B4042" s="3" t="n">
        <v>4040</v>
      </c>
      <c r="C4042" s="3" t="n">
        <v>5</v>
      </c>
      <c r="D4042" s="3" t="n">
        <v>4</v>
      </c>
      <c r="E4042" s="3" t="n">
        <v>8</v>
      </c>
      <c r="F4042" s="24" t="n">
        <v>0.51512605</v>
      </c>
    </row>
    <row r="4043" customFormat="false" ht="15" hidden="false" customHeight="false" outlineLevel="0" collapsed="false">
      <c r="A4043" s="3" t="n">
        <v>4042</v>
      </c>
      <c r="B4043" s="3" t="n">
        <v>4041</v>
      </c>
      <c r="C4043" s="3" t="n">
        <v>5</v>
      </c>
      <c r="D4043" s="3" t="n">
        <v>4</v>
      </c>
      <c r="E4043" s="3" t="n">
        <v>9</v>
      </c>
      <c r="F4043" s="24" t="n">
        <v>0.51512605</v>
      </c>
    </row>
    <row r="4044" customFormat="false" ht="15" hidden="false" customHeight="false" outlineLevel="0" collapsed="false">
      <c r="A4044" s="3" t="n">
        <v>4043</v>
      </c>
      <c r="B4044" s="3" t="n">
        <v>4042</v>
      </c>
      <c r="C4044" s="3" t="n">
        <v>5</v>
      </c>
      <c r="D4044" s="3" t="n">
        <v>4</v>
      </c>
      <c r="E4044" s="3" t="n">
        <v>10</v>
      </c>
      <c r="F4044" s="24" t="n">
        <v>0.51512605</v>
      </c>
    </row>
    <row r="4045" customFormat="false" ht="15" hidden="false" customHeight="false" outlineLevel="0" collapsed="false">
      <c r="A4045" s="3" t="n">
        <v>4044</v>
      </c>
      <c r="B4045" s="3" t="n">
        <v>4043</v>
      </c>
      <c r="C4045" s="3" t="n">
        <v>5</v>
      </c>
      <c r="D4045" s="3" t="n">
        <v>4</v>
      </c>
      <c r="E4045" s="3" t="n">
        <v>11</v>
      </c>
      <c r="F4045" s="24" t="n">
        <v>0.51512605</v>
      </c>
    </row>
    <row r="4046" customFormat="false" ht="15" hidden="false" customHeight="false" outlineLevel="0" collapsed="false">
      <c r="A4046" s="3" t="n">
        <v>4045</v>
      </c>
      <c r="B4046" s="3" t="n">
        <v>4044</v>
      </c>
      <c r="C4046" s="3" t="n">
        <v>5</v>
      </c>
      <c r="D4046" s="3" t="n">
        <v>4</v>
      </c>
      <c r="E4046" s="3" t="n">
        <v>12</v>
      </c>
      <c r="F4046" s="24" t="n">
        <v>0.51512605</v>
      </c>
    </row>
    <row r="4047" customFormat="false" ht="15" hidden="false" customHeight="false" outlineLevel="0" collapsed="false">
      <c r="A4047" s="3" t="n">
        <v>4046</v>
      </c>
      <c r="B4047" s="3" t="n">
        <v>4045</v>
      </c>
      <c r="C4047" s="3" t="n">
        <v>5</v>
      </c>
      <c r="D4047" s="3" t="n">
        <v>4</v>
      </c>
      <c r="E4047" s="3" t="n">
        <v>13</v>
      </c>
      <c r="F4047" s="24" t="n">
        <v>0.51512605</v>
      </c>
    </row>
    <row r="4048" customFormat="false" ht="15" hidden="false" customHeight="false" outlineLevel="0" collapsed="false">
      <c r="A4048" s="3" t="n">
        <v>4047</v>
      </c>
      <c r="B4048" s="3" t="n">
        <v>4046</v>
      </c>
      <c r="C4048" s="3" t="n">
        <v>5</v>
      </c>
      <c r="D4048" s="3" t="n">
        <v>4</v>
      </c>
      <c r="E4048" s="3" t="n">
        <v>14</v>
      </c>
      <c r="F4048" s="24" t="n">
        <v>0.51512605</v>
      </c>
    </row>
    <row r="4049" customFormat="false" ht="15" hidden="false" customHeight="false" outlineLevel="0" collapsed="false">
      <c r="A4049" s="3" t="n">
        <v>4048</v>
      </c>
      <c r="B4049" s="3" t="n">
        <v>4047</v>
      </c>
      <c r="C4049" s="3" t="n">
        <v>5</v>
      </c>
      <c r="D4049" s="3" t="n">
        <v>4</v>
      </c>
      <c r="E4049" s="3" t="n">
        <v>15</v>
      </c>
      <c r="F4049" s="24" t="n">
        <v>0.51512605</v>
      </c>
    </row>
    <row r="4050" customFormat="false" ht="15" hidden="false" customHeight="false" outlineLevel="0" collapsed="false">
      <c r="A4050" s="3" t="n">
        <v>4049</v>
      </c>
      <c r="B4050" s="3" t="n">
        <v>4048</v>
      </c>
      <c r="C4050" s="3" t="n">
        <v>5</v>
      </c>
      <c r="D4050" s="3" t="n">
        <v>4</v>
      </c>
      <c r="E4050" s="3" t="n">
        <v>16</v>
      </c>
      <c r="F4050" s="24" t="n">
        <v>0.51512605</v>
      </c>
    </row>
    <row r="4051" customFormat="false" ht="15" hidden="false" customHeight="false" outlineLevel="0" collapsed="false">
      <c r="A4051" s="3" t="n">
        <v>4050</v>
      </c>
      <c r="B4051" s="3" t="n">
        <v>4049</v>
      </c>
      <c r="C4051" s="3" t="n">
        <v>5</v>
      </c>
      <c r="D4051" s="3" t="n">
        <v>4</v>
      </c>
      <c r="E4051" s="3" t="n">
        <v>17</v>
      </c>
      <c r="F4051" s="24" t="n">
        <v>0.51512605</v>
      </c>
    </row>
    <row r="4052" customFormat="false" ht="15" hidden="false" customHeight="false" outlineLevel="0" collapsed="false">
      <c r="A4052" s="3" t="n">
        <v>4051</v>
      </c>
      <c r="B4052" s="3" t="n">
        <v>4050</v>
      </c>
      <c r="C4052" s="3" t="n">
        <v>5</v>
      </c>
      <c r="D4052" s="3" t="n">
        <v>4</v>
      </c>
      <c r="E4052" s="3" t="n">
        <v>18</v>
      </c>
      <c r="F4052" s="24" t="n">
        <v>0.51512605</v>
      </c>
    </row>
    <row r="4053" customFormat="false" ht="15" hidden="false" customHeight="false" outlineLevel="0" collapsed="false">
      <c r="A4053" s="3" t="n">
        <v>4052</v>
      </c>
      <c r="B4053" s="3" t="n">
        <v>4051</v>
      </c>
      <c r="C4053" s="3" t="n">
        <v>5</v>
      </c>
      <c r="D4053" s="3" t="n">
        <v>4</v>
      </c>
      <c r="E4053" s="3" t="n">
        <v>19</v>
      </c>
      <c r="F4053" s="24" t="n">
        <v>0.51512605</v>
      </c>
    </row>
    <row r="4054" customFormat="false" ht="15" hidden="false" customHeight="false" outlineLevel="0" collapsed="false">
      <c r="A4054" s="3" t="n">
        <v>4053</v>
      </c>
      <c r="B4054" s="3" t="n">
        <v>4052</v>
      </c>
      <c r="C4054" s="3" t="n">
        <v>5</v>
      </c>
      <c r="D4054" s="3" t="n">
        <v>4</v>
      </c>
      <c r="E4054" s="3" t="n">
        <v>20</v>
      </c>
      <c r="F4054" s="24" t="n">
        <v>0.51512605</v>
      </c>
    </row>
    <row r="4055" customFormat="false" ht="15" hidden="false" customHeight="false" outlineLevel="0" collapsed="false">
      <c r="A4055" s="3" t="n">
        <v>4054</v>
      </c>
      <c r="B4055" s="3" t="n">
        <v>4053</v>
      </c>
      <c r="C4055" s="3" t="n">
        <v>5</v>
      </c>
      <c r="D4055" s="3" t="n">
        <v>4</v>
      </c>
      <c r="E4055" s="3" t="n">
        <v>21</v>
      </c>
      <c r="F4055" s="24" t="n">
        <v>0.51512605</v>
      </c>
    </row>
    <row r="4056" customFormat="false" ht="15" hidden="false" customHeight="false" outlineLevel="0" collapsed="false">
      <c r="A4056" s="3" t="n">
        <v>4055</v>
      </c>
      <c r="B4056" s="3" t="n">
        <v>4054</v>
      </c>
      <c r="C4056" s="3" t="n">
        <v>5</v>
      </c>
      <c r="D4056" s="3" t="n">
        <v>4</v>
      </c>
      <c r="E4056" s="3" t="n">
        <v>22</v>
      </c>
      <c r="F4056" s="24" t="n">
        <v>0.51512605</v>
      </c>
    </row>
    <row r="4057" customFormat="false" ht="15" hidden="false" customHeight="false" outlineLevel="0" collapsed="false">
      <c r="A4057" s="3" t="n">
        <v>4056</v>
      </c>
      <c r="B4057" s="3" t="n">
        <v>4055</v>
      </c>
      <c r="C4057" s="3" t="n">
        <v>5</v>
      </c>
      <c r="D4057" s="3" t="n">
        <v>4</v>
      </c>
      <c r="E4057" s="3" t="n">
        <v>23</v>
      </c>
      <c r="F4057" s="24" t="n">
        <v>0.51512605</v>
      </c>
    </row>
    <row r="4058" customFormat="false" ht="15" hidden="false" customHeight="false" outlineLevel="0" collapsed="false">
      <c r="A4058" s="3" t="n">
        <v>4057</v>
      </c>
      <c r="B4058" s="3" t="n">
        <v>4056</v>
      </c>
      <c r="C4058" s="3" t="n">
        <v>5</v>
      </c>
      <c r="D4058" s="3" t="n">
        <v>4</v>
      </c>
      <c r="E4058" s="3" t="n">
        <v>24</v>
      </c>
      <c r="F4058" s="24" t="n">
        <v>0.51512605</v>
      </c>
    </row>
    <row r="4059" customFormat="false" ht="15" hidden="false" customHeight="false" outlineLevel="0" collapsed="false">
      <c r="A4059" s="3" t="n">
        <v>4058</v>
      </c>
      <c r="B4059" s="3" t="n">
        <v>4057</v>
      </c>
      <c r="C4059" s="3" t="n">
        <v>5</v>
      </c>
      <c r="D4059" s="3" t="n">
        <v>4</v>
      </c>
      <c r="E4059" s="3" t="n">
        <v>25</v>
      </c>
      <c r="F4059" s="24" t="n">
        <v>0.51512605</v>
      </c>
    </row>
    <row r="4060" customFormat="false" ht="15" hidden="false" customHeight="false" outlineLevel="0" collapsed="false">
      <c r="A4060" s="3" t="n">
        <v>4059</v>
      </c>
      <c r="B4060" s="3" t="n">
        <v>4058</v>
      </c>
      <c r="C4060" s="3" t="n">
        <v>5</v>
      </c>
      <c r="D4060" s="3" t="n">
        <v>4</v>
      </c>
      <c r="E4060" s="3" t="n">
        <v>26</v>
      </c>
      <c r="F4060" s="24" t="n">
        <v>0.51512605</v>
      </c>
    </row>
    <row r="4061" customFormat="false" ht="15" hidden="false" customHeight="false" outlineLevel="0" collapsed="false">
      <c r="A4061" s="3" t="n">
        <v>4060</v>
      </c>
      <c r="B4061" s="3" t="n">
        <v>4059</v>
      </c>
      <c r="C4061" s="3" t="n">
        <v>5</v>
      </c>
      <c r="D4061" s="3" t="n">
        <v>4</v>
      </c>
      <c r="E4061" s="3" t="n">
        <v>27</v>
      </c>
      <c r="F4061" s="24" t="n">
        <v>0.459515482</v>
      </c>
    </row>
    <row r="4062" customFormat="false" ht="15" hidden="false" customHeight="false" outlineLevel="0" collapsed="false">
      <c r="A4062" s="3" t="n">
        <v>4061</v>
      </c>
      <c r="B4062" s="3" t="n">
        <v>4060</v>
      </c>
      <c r="C4062" s="3" t="n">
        <v>5</v>
      </c>
      <c r="D4062" s="3" t="n">
        <v>5</v>
      </c>
      <c r="E4062" s="3" t="n">
        <v>0</v>
      </c>
      <c r="F4062" s="24" t="n">
        <v>0.354324996</v>
      </c>
    </row>
    <row r="4063" customFormat="false" ht="15" hidden="false" customHeight="false" outlineLevel="0" collapsed="false">
      <c r="A4063" s="3" t="n">
        <v>4062</v>
      </c>
      <c r="B4063" s="3" t="n">
        <v>4061</v>
      </c>
      <c r="C4063" s="3" t="n">
        <v>5</v>
      </c>
      <c r="D4063" s="3" t="n">
        <v>5</v>
      </c>
      <c r="E4063" s="3" t="n">
        <v>1</v>
      </c>
      <c r="F4063" s="24" t="n">
        <v>0.51512605</v>
      </c>
    </row>
    <row r="4064" customFormat="false" ht="15" hidden="false" customHeight="false" outlineLevel="0" collapsed="false">
      <c r="A4064" s="3" t="n">
        <v>4063</v>
      </c>
      <c r="B4064" s="3" t="n">
        <v>4062</v>
      </c>
      <c r="C4064" s="3" t="n">
        <v>5</v>
      </c>
      <c r="D4064" s="3" t="n">
        <v>5</v>
      </c>
      <c r="E4064" s="3" t="n">
        <v>2</v>
      </c>
      <c r="F4064" s="24" t="n">
        <v>0.51512605</v>
      </c>
    </row>
    <row r="4065" customFormat="false" ht="15" hidden="false" customHeight="false" outlineLevel="0" collapsed="false">
      <c r="A4065" s="3" t="n">
        <v>4064</v>
      </c>
      <c r="B4065" s="3" t="n">
        <v>4063</v>
      </c>
      <c r="C4065" s="3" t="n">
        <v>5</v>
      </c>
      <c r="D4065" s="3" t="n">
        <v>5</v>
      </c>
      <c r="E4065" s="3" t="n">
        <v>3</v>
      </c>
      <c r="F4065" s="24" t="n">
        <v>0.51512605</v>
      </c>
    </row>
    <row r="4066" customFormat="false" ht="15" hidden="false" customHeight="false" outlineLevel="0" collapsed="false">
      <c r="A4066" s="3" t="n">
        <v>4065</v>
      </c>
      <c r="B4066" s="3" t="n">
        <v>4064</v>
      </c>
      <c r="C4066" s="3" t="n">
        <v>5</v>
      </c>
      <c r="D4066" s="3" t="n">
        <v>5</v>
      </c>
      <c r="E4066" s="3" t="n">
        <v>4</v>
      </c>
      <c r="F4066" s="24" t="n">
        <v>0.51512605</v>
      </c>
    </row>
    <row r="4067" customFormat="false" ht="15" hidden="false" customHeight="false" outlineLevel="0" collapsed="false">
      <c r="A4067" s="3" t="n">
        <v>4066</v>
      </c>
      <c r="B4067" s="3" t="n">
        <v>4065</v>
      </c>
      <c r="C4067" s="3" t="n">
        <v>5</v>
      </c>
      <c r="D4067" s="3" t="n">
        <v>5</v>
      </c>
      <c r="E4067" s="3" t="n">
        <v>5</v>
      </c>
      <c r="F4067" s="24" t="n">
        <v>0.51512605</v>
      </c>
    </row>
    <row r="4068" customFormat="false" ht="15" hidden="false" customHeight="false" outlineLevel="0" collapsed="false">
      <c r="A4068" s="3" t="n">
        <v>4067</v>
      </c>
      <c r="B4068" s="3" t="n">
        <v>4066</v>
      </c>
      <c r="C4068" s="3" t="n">
        <v>5</v>
      </c>
      <c r="D4068" s="3" t="n">
        <v>5</v>
      </c>
      <c r="E4068" s="3" t="n">
        <v>6</v>
      </c>
      <c r="F4068" s="24" t="n">
        <v>0.51512605</v>
      </c>
    </row>
    <row r="4069" customFormat="false" ht="15" hidden="false" customHeight="false" outlineLevel="0" collapsed="false">
      <c r="A4069" s="3" t="n">
        <v>4068</v>
      </c>
      <c r="B4069" s="3" t="n">
        <v>4067</v>
      </c>
      <c r="C4069" s="3" t="n">
        <v>5</v>
      </c>
      <c r="D4069" s="3" t="n">
        <v>5</v>
      </c>
      <c r="E4069" s="3" t="n">
        <v>7</v>
      </c>
      <c r="F4069" s="24" t="n">
        <v>0.51512605</v>
      </c>
    </row>
    <row r="4070" customFormat="false" ht="15" hidden="false" customHeight="false" outlineLevel="0" collapsed="false">
      <c r="A4070" s="3" t="n">
        <v>4069</v>
      </c>
      <c r="B4070" s="3" t="n">
        <v>4068</v>
      </c>
      <c r="C4070" s="3" t="n">
        <v>5</v>
      </c>
      <c r="D4070" s="3" t="n">
        <v>5</v>
      </c>
      <c r="E4070" s="3" t="n">
        <v>8</v>
      </c>
      <c r="F4070" s="24" t="n">
        <v>0.51512605</v>
      </c>
    </row>
    <row r="4071" customFormat="false" ht="15" hidden="false" customHeight="false" outlineLevel="0" collapsed="false">
      <c r="A4071" s="3" t="n">
        <v>4070</v>
      </c>
      <c r="B4071" s="3" t="n">
        <v>4069</v>
      </c>
      <c r="C4071" s="3" t="n">
        <v>5</v>
      </c>
      <c r="D4071" s="3" t="n">
        <v>5</v>
      </c>
      <c r="E4071" s="3" t="n">
        <v>9</v>
      </c>
      <c r="F4071" s="24" t="n">
        <v>0.51512605</v>
      </c>
    </row>
    <row r="4072" customFormat="false" ht="15" hidden="false" customHeight="false" outlineLevel="0" collapsed="false">
      <c r="A4072" s="3" t="n">
        <v>4071</v>
      </c>
      <c r="B4072" s="3" t="n">
        <v>4070</v>
      </c>
      <c r="C4072" s="3" t="n">
        <v>5</v>
      </c>
      <c r="D4072" s="3" t="n">
        <v>5</v>
      </c>
      <c r="E4072" s="3" t="n">
        <v>10</v>
      </c>
      <c r="F4072" s="24" t="n">
        <v>0.51512605</v>
      </c>
    </row>
    <row r="4073" customFormat="false" ht="15" hidden="false" customHeight="false" outlineLevel="0" collapsed="false">
      <c r="A4073" s="3" t="n">
        <v>4072</v>
      </c>
      <c r="B4073" s="3" t="n">
        <v>4071</v>
      </c>
      <c r="C4073" s="3" t="n">
        <v>5</v>
      </c>
      <c r="D4073" s="3" t="n">
        <v>5</v>
      </c>
      <c r="E4073" s="3" t="n">
        <v>11</v>
      </c>
      <c r="F4073" s="24" t="n">
        <v>0.51512605</v>
      </c>
    </row>
    <row r="4074" customFormat="false" ht="15" hidden="false" customHeight="false" outlineLevel="0" collapsed="false">
      <c r="A4074" s="3" t="n">
        <v>4073</v>
      </c>
      <c r="B4074" s="3" t="n">
        <v>4072</v>
      </c>
      <c r="C4074" s="3" t="n">
        <v>5</v>
      </c>
      <c r="D4074" s="3" t="n">
        <v>5</v>
      </c>
      <c r="E4074" s="3" t="n">
        <v>12</v>
      </c>
      <c r="F4074" s="24" t="n">
        <v>0.51512605</v>
      </c>
    </row>
    <row r="4075" customFormat="false" ht="15" hidden="false" customHeight="false" outlineLevel="0" collapsed="false">
      <c r="A4075" s="3" t="n">
        <v>4074</v>
      </c>
      <c r="B4075" s="3" t="n">
        <v>4073</v>
      </c>
      <c r="C4075" s="3" t="n">
        <v>5</v>
      </c>
      <c r="D4075" s="3" t="n">
        <v>5</v>
      </c>
      <c r="E4075" s="3" t="n">
        <v>13</v>
      </c>
      <c r="F4075" s="24" t="n">
        <v>0.51512605</v>
      </c>
    </row>
    <row r="4076" customFormat="false" ht="15" hidden="false" customHeight="false" outlineLevel="0" collapsed="false">
      <c r="A4076" s="3" t="n">
        <v>4075</v>
      </c>
      <c r="B4076" s="3" t="n">
        <v>4074</v>
      </c>
      <c r="C4076" s="3" t="n">
        <v>5</v>
      </c>
      <c r="D4076" s="3" t="n">
        <v>5</v>
      </c>
      <c r="E4076" s="3" t="n">
        <v>14</v>
      </c>
      <c r="F4076" s="24" t="n">
        <v>0.51512605</v>
      </c>
    </row>
    <row r="4077" customFormat="false" ht="15" hidden="false" customHeight="false" outlineLevel="0" collapsed="false">
      <c r="A4077" s="3" t="n">
        <v>4076</v>
      </c>
      <c r="B4077" s="3" t="n">
        <v>4075</v>
      </c>
      <c r="C4077" s="3" t="n">
        <v>5</v>
      </c>
      <c r="D4077" s="3" t="n">
        <v>5</v>
      </c>
      <c r="E4077" s="3" t="n">
        <v>15</v>
      </c>
      <c r="F4077" s="24" t="n">
        <v>0.51512605</v>
      </c>
    </row>
    <row r="4078" customFormat="false" ht="15" hidden="false" customHeight="false" outlineLevel="0" collapsed="false">
      <c r="A4078" s="3" t="n">
        <v>4077</v>
      </c>
      <c r="B4078" s="3" t="n">
        <v>4076</v>
      </c>
      <c r="C4078" s="3" t="n">
        <v>5</v>
      </c>
      <c r="D4078" s="3" t="n">
        <v>5</v>
      </c>
      <c r="E4078" s="3" t="n">
        <v>16</v>
      </c>
      <c r="F4078" s="24" t="n">
        <v>0.51512605</v>
      </c>
    </row>
    <row r="4079" customFormat="false" ht="15" hidden="false" customHeight="false" outlineLevel="0" collapsed="false">
      <c r="A4079" s="3" t="n">
        <v>4078</v>
      </c>
      <c r="B4079" s="3" t="n">
        <v>4077</v>
      </c>
      <c r="C4079" s="3" t="n">
        <v>5</v>
      </c>
      <c r="D4079" s="3" t="n">
        <v>5</v>
      </c>
      <c r="E4079" s="3" t="n">
        <v>17</v>
      </c>
      <c r="F4079" s="24" t="n">
        <v>0.51512605</v>
      </c>
    </row>
    <row r="4080" customFormat="false" ht="15" hidden="false" customHeight="false" outlineLevel="0" collapsed="false">
      <c r="A4080" s="3" t="n">
        <v>4079</v>
      </c>
      <c r="B4080" s="3" t="n">
        <v>4078</v>
      </c>
      <c r="C4080" s="3" t="n">
        <v>5</v>
      </c>
      <c r="D4080" s="3" t="n">
        <v>5</v>
      </c>
      <c r="E4080" s="3" t="n">
        <v>18</v>
      </c>
      <c r="F4080" s="24" t="n">
        <v>0.51512605</v>
      </c>
    </row>
    <row r="4081" customFormat="false" ht="15" hidden="false" customHeight="false" outlineLevel="0" collapsed="false">
      <c r="A4081" s="3" t="n">
        <v>4080</v>
      </c>
      <c r="B4081" s="3" t="n">
        <v>4079</v>
      </c>
      <c r="C4081" s="3" t="n">
        <v>5</v>
      </c>
      <c r="D4081" s="3" t="n">
        <v>5</v>
      </c>
      <c r="E4081" s="3" t="n">
        <v>19</v>
      </c>
      <c r="F4081" s="24" t="n">
        <v>0.51512605</v>
      </c>
    </row>
    <row r="4082" customFormat="false" ht="15" hidden="false" customHeight="false" outlineLevel="0" collapsed="false">
      <c r="A4082" s="3" t="n">
        <v>4081</v>
      </c>
      <c r="B4082" s="3" t="n">
        <v>4080</v>
      </c>
      <c r="C4082" s="3" t="n">
        <v>5</v>
      </c>
      <c r="D4082" s="3" t="n">
        <v>5</v>
      </c>
      <c r="E4082" s="3" t="n">
        <v>20</v>
      </c>
      <c r="F4082" s="24" t="n">
        <v>0.51512605</v>
      </c>
    </row>
    <row r="4083" customFormat="false" ht="15" hidden="false" customHeight="false" outlineLevel="0" collapsed="false">
      <c r="A4083" s="3" t="n">
        <v>4082</v>
      </c>
      <c r="B4083" s="3" t="n">
        <v>4081</v>
      </c>
      <c r="C4083" s="3" t="n">
        <v>5</v>
      </c>
      <c r="D4083" s="3" t="n">
        <v>5</v>
      </c>
      <c r="E4083" s="3" t="n">
        <v>21</v>
      </c>
      <c r="F4083" s="24" t="n">
        <v>0.51512605</v>
      </c>
    </row>
    <row r="4084" customFormat="false" ht="15" hidden="false" customHeight="false" outlineLevel="0" collapsed="false">
      <c r="A4084" s="3" t="n">
        <v>4083</v>
      </c>
      <c r="B4084" s="3" t="n">
        <v>4082</v>
      </c>
      <c r="C4084" s="3" t="n">
        <v>5</v>
      </c>
      <c r="D4084" s="3" t="n">
        <v>5</v>
      </c>
      <c r="E4084" s="3" t="n">
        <v>22</v>
      </c>
      <c r="F4084" s="24" t="n">
        <v>0.51512605</v>
      </c>
    </row>
    <row r="4085" customFormat="false" ht="15" hidden="false" customHeight="false" outlineLevel="0" collapsed="false">
      <c r="A4085" s="3" t="n">
        <v>4084</v>
      </c>
      <c r="B4085" s="3" t="n">
        <v>4083</v>
      </c>
      <c r="C4085" s="3" t="n">
        <v>5</v>
      </c>
      <c r="D4085" s="3" t="n">
        <v>5</v>
      </c>
      <c r="E4085" s="3" t="n">
        <v>23</v>
      </c>
      <c r="F4085" s="24" t="n">
        <v>0.51512605</v>
      </c>
    </row>
    <row r="4086" customFormat="false" ht="15" hidden="false" customHeight="false" outlineLevel="0" collapsed="false">
      <c r="A4086" s="3" t="n">
        <v>4085</v>
      </c>
      <c r="B4086" s="3" t="n">
        <v>4084</v>
      </c>
      <c r="C4086" s="3" t="n">
        <v>5</v>
      </c>
      <c r="D4086" s="3" t="n">
        <v>5</v>
      </c>
      <c r="E4086" s="3" t="n">
        <v>24</v>
      </c>
      <c r="F4086" s="24" t="n">
        <v>0.51512605</v>
      </c>
    </row>
    <row r="4087" customFormat="false" ht="15" hidden="false" customHeight="false" outlineLevel="0" collapsed="false">
      <c r="A4087" s="3" t="n">
        <v>4086</v>
      </c>
      <c r="B4087" s="3" t="n">
        <v>4085</v>
      </c>
      <c r="C4087" s="3" t="n">
        <v>5</v>
      </c>
      <c r="D4087" s="3" t="n">
        <v>5</v>
      </c>
      <c r="E4087" s="3" t="n">
        <v>25</v>
      </c>
      <c r="F4087" s="24" t="n">
        <v>0.51512605</v>
      </c>
    </row>
    <row r="4088" customFormat="false" ht="15" hidden="false" customHeight="false" outlineLevel="0" collapsed="false">
      <c r="A4088" s="3" t="n">
        <v>4087</v>
      </c>
      <c r="B4088" s="3" t="n">
        <v>4086</v>
      </c>
      <c r="C4088" s="3" t="n">
        <v>5</v>
      </c>
      <c r="D4088" s="3" t="n">
        <v>5</v>
      </c>
      <c r="E4088" s="3" t="n">
        <v>26</v>
      </c>
      <c r="F4088" s="24" t="n">
        <v>0.51512605</v>
      </c>
    </row>
    <row r="4089" customFormat="false" ht="15" hidden="false" customHeight="false" outlineLevel="0" collapsed="false">
      <c r="A4089" s="3" t="n">
        <v>4088</v>
      </c>
      <c r="B4089" s="3" t="n">
        <v>4087</v>
      </c>
      <c r="C4089" s="3" t="n">
        <v>5</v>
      </c>
      <c r="D4089" s="3" t="n">
        <v>5</v>
      </c>
      <c r="E4089" s="3" t="n">
        <v>27</v>
      </c>
      <c r="F4089" s="24" t="n">
        <v>0.459515482</v>
      </c>
    </row>
    <row r="4090" customFormat="false" ht="15" hidden="false" customHeight="false" outlineLevel="0" collapsed="false">
      <c r="A4090" s="3" t="n">
        <v>4089</v>
      </c>
      <c r="B4090" s="3" t="n">
        <v>4088</v>
      </c>
      <c r="C4090" s="3" t="n">
        <v>5</v>
      </c>
      <c r="D4090" s="3" t="n">
        <v>6</v>
      </c>
      <c r="E4090" s="3" t="n">
        <v>0</v>
      </c>
      <c r="F4090" s="24" t="n">
        <v>0.354324996</v>
      </c>
    </row>
    <row r="4091" customFormat="false" ht="15" hidden="false" customHeight="false" outlineLevel="0" collapsed="false">
      <c r="A4091" s="3" t="n">
        <v>4090</v>
      </c>
      <c r="B4091" s="3" t="n">
        <v>4089</v>
      </c>
      <c r="C4091" s="3" t="n">
        <v>5</v>
      </c>
      <c r="D4091" s="3" t="n">
        <v>6</v>
      </c>
      <c r="E4091" s="3" t="n">
        <v>1</v>
      </c>
      <c r="F4091" s="24" t="n">
        <v>0.51512605</v>
      </c>
    </row>
    <row r="4092" customFormat="false" ht="15" hidden="false" customHeight="false" outlineLevel="0" collapsed="false">
      <c r="A4092" s="3" t="n">
        <v>4091</v>
      </c>
      <c r="B4092" s="3" t="n">
        <v>4090</v>
      </c>
      <c r="C4092" s="3" t="n">
        <v>5</v>
      </c>
      <c r="D4092" s="3" t="n">
        <v>6</v>
      </c>
      <c r="E4092" s="3" t="n">
        <v>2</v>
      </c>
      <c r="F4092" s="24" t="n">
        <v>0.51512605</v>
      </c>
    </row>
    <row r="4093" customFormat="false" ht="15" hidden="false" customHeight="false" outlineLevel="0" collapsed="false">
      <c r="A4093" s="3" t="n">
        <v>4092</v>
      </c>
      <c r="B4093" s="3" t="n">
        <v>4091</v>
      </c>
      <c r="C4093" s="3" t="n">
        <v>5</v>
      </c>
      <c r="D4093" s="3" t="n">
        <v>6</v>
      </c>
      <c r="E4093" s="3" t="n">
        <v>3</v>
      </c>
      <c r="F4093" s="24" t="n">
        <v>0.51512605</v>
      </c>
    </row>
    <row r="4094" customFormat="false" ht="15" hidden="false" customHeight="false" outlineLevel="0" collapsed="false">
      <c r="A4094" s="3" t="n">
        <v>4093</v>
      </c>
      <c r="B4094" s="3" t="n">
        <v>4092</v>
      </c>
      <c r="C4094" s="3" t="n">
        <v>5</v>
      </c>
      <c r="D4094" s="3" t="n">
        <v>6</v>
      </c>
      <c r="E4094" s="3" t="n">
        <v>4</v>
      </c>
      <c r="F4094" s="24" t="n">
        <v>0.51512605</v>
      </c>
    </row>
    <row r="4095" customFormat="false" ht="15" hidden="false" customHeight="false" outlineLevel="0" collapsed="false">
      <c r="A4095" s="3" t="n">
        <v>4094</v>
      </c>
      <c r="B4095" s="3" t="n">
        <v>4093</v>
      </c>
      <c r="C4095" s="3" t="n">
        <v>5</v>
      </c>
      <c r="D4095" s="3" t="n">
        <v>6</v>
      </c>
      <c r="E4095" s="3" t="n">
        <v>5</v>
      </c>
      <c r="F4095" s="24" t="n">
        <v>0.935563087</v>
      </c>
    </row>
    <row r="4096" customFormat="false" ht="15" hidden="false" customHeight="false" outlineLevel="0" collapsed="false">
      <c r="A4096" s="3" t="n">
        <v>4095</v>
      </c>
      <c r="B4096" s="3" t="n">
        <v>4094</v>
      </c>
      <c r="C4096" s="3" t="n">
        <v>5</v>
      </c>
      <c r="D4096" s="3" t="n">
        <v>6</v>
      </c>
      <c r="E4096" s="3" t="n">
        <v>6</v>
      </c>
      <c r="F4096" s="24" t="n">
        <v>0.729577243</v>
      </c>
    </row>
    <row r="4097" customFormat="false" ht="15" hidden="false" customHeight="false" outlineLevel="0" collapsed="false">
      <c r="A4097" s="3" t="n">
        <v>4096</v>
      </c>
      <c r="B4097" s="3" t="n">
        <v>4095</v>
      </c>
      <c r="C4097" s="3" t="n">
        <v>5</v>
      </c>
      <c r="D4097" s="3" t="n">
        <v>6</v>
      </c>
      <c r="E4097" s="3" t="n">
        <v>7</v>
      </c>
      <c r="F4097" s="24" t="n">
        <v>0</v>
      </c>
    </row>
    <row r="4098" customFormat="false" ht="15" hidden="false" customHeight="false" outlineLevel="0" collapsed="false">
      <c r="A4098" s="3" t="n">
        <v>4097</v>
      </c>
      <c r="B4098" s="3" t="n">
        <v>4096</v>
      </c>
      <c r="C4098" s="3" t="n">
        <v>5</v>
      </c>
      <c r="D4098" s="3" t="n">
        <v>6</v>
      </c>
      <c r="E4098" s="3" t="n">
        <v>8</v>
      </c>
      <c r="F4098" s="24" t="n">
        <v>0</v>
      </c>
    </row>
    <row r="4099" customFormat="false" ht="15" hidden="false" customHeight="false" outlineLevel="0" collapsed="false">
      <c r="A4099" s="3" t="n">
        <v>4098</v>
      </c>
      <c r="B4099" s="3" t="n">
        <v>4097</v>
      </c>
      <c r="C4099" s="3" t="n">
        <v>5</v>
      </c>
      <c r="D4099" s="3" t="n">
        <v>6</v>
      </c>
      <c r="E4099" s="3" t="n">
        <v>9</v>
      </c>
      <c r="F4099" s="24" t="n">
        <v>0</v>
      </c>
    </row>
    <row r="4100" customFormat="false" ht="15" hidden="false" customHeight="false" outlineLevel="0" collapsed="false">
      <c r="A4100" s="3" t="n">
        <v>4099</v>
      </c>
      <c r="B4100" s="3" t="n">
        <v>4098</v>
      </c>
      <c r="C4100" s="3" t="n">
        <v>5</v>
      </c>
      <c r="D4100" s="3" t="n">
        <v>6</v>
      </c>
      <c r="E4100" s="3" t="n">
        <v>10</v>
      </c>
      <c r="F4100" s="24" t="n">
        <v>0</v>
      </c>
    </row>
    <row r="4101" customFormat="false" ht="15" hidden="false" customHeight="false" outlineLevel="0" collapsed="false">
      <c r="A4101" s="3" t="n">
        <v>4100</v>
      </c>
      <c r="B4101" s="3" t="n">
        <v>4099</v>
      </c>
      <c r="C4101" s="3" t="n">
        <v>5</v>
      </c>
      <c r="D4101" s="3" t="n">
        <v>6</v>
      </c>
      <c r="E4101" s="3" t="n">
        <v>11</v>
      </c>
      <c r="F4101" s="24" t="n">
        <v>0</v>
      </c>
    </row>
    <row r="4102" customFormat="false" ht="15" hidden="false" customHeight="false" outlineLevel="0" collapsed="false">
      <c r="A4102" s="3" t="n">
        <v>4101</v>
      </c>
      <c r="B4102" s="3" t="n">
        <v>4100</v>
      </c>
      <c r="C4102" s="3" t="n">
        <v>5</v>
      </c>
      <c r="D4102" s="3" t="n">
        <v>6</v>
      </c>
      <c r="E4102" s="3" t="n">
        <v>12</v>
      </c>
      <c r="F4102" s="24" t="n">
        <v>0.158387676</v>
      </c>
    </row>
    <row r="4103" customFormat="false" ht="15" hidden="false" customHeight="false" outlineLevel="0" collapsed="false">
      <c r="A4103" s="3" t="n">
        <v>4102</v>
      </c>
      <c r="B4103" s="3" t="n">
        <v>4101</v>
      </c>
      <c r="C4103" s="3" t="n">
        <v>5</v>
      </c>
      <c r="D4103" s="3" t="n">
        <v>6</v>
      </c>
      <c r="E4103" s="3" t="n">
        <v>13</v>
      </c>
      <c r="F4103" s="24" t="n">
        <v>0.51512605</v>
      </c>
    </row>
    <row r="4104" customFormat="false" ht="15" hidden="false" customHeight="false" outlineLevel="0" collapsed="false">
      <c r="A4104" s="3" t="n">
        <v>4103</v>
      </c>
      <c r="B4104" s="3" t="n">
        <v>4102</v>
      </c>
      <c r="C4104" s="3" t="n">
        <v>5</v>
      </c>
      <c r="D4104" s="3" t="n">
        <v>6</v>
      </c>
      <c r="E4104" s="3" t="n">
        <v>14</v>
      </c>
      <c r="F4104" s="24" t="n">
        <v>0.51512605</v>
      </c>
    </row>
    <row r="4105" customFormat="false" ht="15" hidden="false" customHeight="false" outlineLevel="0" collapsed="false">
      <c r="A4105" s="3" t="n">
        <v>4104</v>
      </c>
      <c r="B4105" s="3" t="n">
        <v>4103</v>
      </c>
      <c r="C4105" s="3" t="n">
        <v>5</v>
      </c>
      <c r="D4105" s="3" t="n">
        <v>6</v>
      </c>
      <c r="E4105" s="3" t="n">
        <v>15</v>
      </c>
      <c r="F4105" s="24" t="n">
        <v>0.51512605</v>
      </c>
    </row>
    <row r="4106" customFormat="false" ht="15" hidden="false" customHeight="false" outlineLevel="0" collapsed="false">
      <c r="A4106" s="3" t="n">
        <v>4105</v>
      </c>
      <c r="B4106" s="3" t="n">
        <v>4104</v>
      </c>
      <c r="C4106" s="3" t="n">
        <v>5</v>
      </c>
      <c r="D4106" s="3" t="n">
        <v>6</v>
      </c>
      <c r="E4106" s="3" t="n">
        <v>16</v>
      </c>
      <c r="F4106" s="24" t="n">
        <v>0.51512605</v>
      </c>
    </row>
    <row r="4107" customFormat="false" ht="15" hidden="false" customHeight="false" outlineLevel="0" collapsed="false">
      <c r="A4107" s="3" t="n">
        <v>4106</v>
      </c>
      <c r="B4107" s="3" t="n">
        <v>4105</v>
      </c>
      <c r="C4107" s="3" t="n">
        <v>5</v>
      </c>
      <c r="D4107" s="3" t="n">
        <v>6</v>
      </c>
      <c r="E4107" s="3" t="n">
        <v>17</v>
      </c>
      <c r="F4107" s="24" t="n">
        <v>0.51512605</v>
      </c>
    </row>
    <row r="4108" customFormat="false" ht="15" hidden="false" customHeight="false" outlineLevel="0" collapsed="false">
      <c r="A4108" s="3" t="n">
        <v>4107</v>
      </c>
      <c r="B4108" s="3" t="n">
        <v>4106</v>
      </c>
      <c r="C4108" s="3" t="n">
        <v>5</v>
      </c>
      <c r="D4108" s="3" t="n">
        <v>6</v>
      </c>
      <c r="E4108" s="3" t="n">
        <v>18</v>
      </c>
      <c r="F4108" s="24" t="n">
        <v>0.51512605</v>
      </c>
    </row>
    <row r="4109" customFormat="false" ht="15" hidden="false" customHeight="false" outlineLevel="0" collapsed="false">
      <c r="A4109" s="3" t="n">
        <v>4108</v>
      </c>
      <c r="B4109" s="3" t="n">
        <v>4107</v>
      </c>
      <c r="C4109" s="3" t="n">
        <v>5</v>
      </c>
      <c r="D4109" s="3" t="n">
        <v>6</v>
      </c>
      <c r="E4109" s="3" t="n">
        <v>19</v>
      </c>
      <c r="F4109" s="24" t="n">
        <v>0.51512605</v>
      </c>
    </row>
    <row r="4110" customFormat="false" ht="15" hidden="false" customHeight="false" outlineLevel="0" collapsed="false">
      <c r="A4110" s="3" t="n">
        <v>4109</v>
      </c>
      <c r="B4110" s="3" t="n">
        <v>4108</v>
      </c>
      <c r="C4110" s="3" t="n">
        <v>5</v>
      </c>
      <c r="D4110" s="3" t="n">
        <v>6</v>
      </c>
      <c r="E4110" s="3" t="n">
        <v>20</v>
      </c>
      <c r="F4110" s="24" t="n">
        <v>0.51512605</v>
      </c>
    </row>
    <row r="4111" customFormat="false" ht="15" hidden="false" customHeight="false" outlineLevel="0" collapsed="false">
      <c r="A4111" s="3" t="n">
        <v>4110</v>
      </c>
      <c r="B4111" s="3" t="n">
        <v>4109</v>
      </c>
      <c r="C4111" s="3" t="n">
        <v>5</v>
      </c>
      <c r="D4111" s="3" t="n">
        <v>6</v>
      </c>
      <c r="E4111" s="3" t="n">
        <v>21</v>
      </c>
      <c r="F4111" s="24" t="n">
        <v>0.51512605</v>
      </c>
    </row>
    <row r="4112" customFormat="false" ht="15" hidden="false" customHeight="false" outlineLevel="0" collapsed="false">
      <c r="A4112" s="3" t="n">
        <v>4111</v>
      </c>
      <c r="B4112" s="3" t="n">
        <v>4110</v>
      </c>
      <c r="C4112" s="3" t="n">
        <v>5</v>
      </c>
      <c r="D4112" s="3" t="n">
        <v>6</v>
      </c>
      <c r="E4112" s="3" t="n">
        <v>22</v>
      </c>
      <c r="F4112" s="24" t="n">
        <v>0.51512605</v>
      </c>
    </row>
    <row r="4113" customFormat="false" ht="15" hidden="false" customHeight="false" outlineLevel="0" collapsed="false">
      <c r="A4113" s="3" t="n">
        <v>4112</v>
      </c>
      <c r="B4113" s="3" t="n">
        <v>4111</v>
      </c>
      <c r="C4113" s="3" t="n">
        <v>5</v>
      </c>
      <c r="D4113" s="3" t="n">
        <v>6</v>
      </c>
      <c r="E4113" s="3" t="n">
        <v>23</v>
      </c>
      <c r="F4113" s="24" t="n">
        <v>0.51512605</v>
      </c>
    </row>
    <row r="4114" customFormat="false" ht="15" hidden="false" customHeight="false" outlineLevel="0" collapsed="false">
      <c r="A4114" s="3" t="n">
        <v>4113</v>
      </c>
      <c r="B4114" s="3" t="n">
        <v>4112</v>
      </c>
      <c r="C4114" s="3" t="n">
        <v>5</v>
      </c>
      <c r="D4114" s="3" t="n">
        <v>6</v>
      </c>
      <c r="E4114" s="3" t="n">
        <v>24</v>
      </c>
      <c r="F4114" s="24" t="n">
        <v>0.51512605</v>
      </c>
    </row>
    <row r="4115" customFormat="false" ht="15" hidden="false" customHeight="false" outlineLevel="0" collapsed="false">
      <c r="A4115" s="3" t="n">
        <v>4114</v>
      </c>
      <c r="B4115" s="3" t="n">
        <v>4113</v>
      </c>
      <c r="C4115" s="3" t="n">
        <v>5</v>
      </c>
      <c r="D4115" s="3" t="n">
        <v>6</v>
      </c>
      <c r="E4115" s="3" t="n">
        <v>25</v>
      </c>
      <c r="F4115" s="24" t="n">
        <v>0.51512605</v>
      </c>
    </row>
    <row r="4116" customFormat="false" ht="15" hidden="false" customHeight="false" outlineLevel="0" collapsed="false">
      <c r="A4116" s="3" t="n">
        <v>4115</v>
      </c>
      <c r="B4116" s="3" t="n">
        <v>4114</v>
      </c>
      <c r="C4116" s="3" t="n">
        <v>5</v>
      </c>
      <c r="D4116" s="3" t="n">
        <v>6</v>
      </c>
      <c r="E4116" s="3" t="n">
        <v>26</v>
      </c>
      <c r="F4116" s="24" t="n">
        <v>0.51512605</v>
      </c>
    </row>
    <row r="4117" customFormat="false" ht="15" hidden="false" customHeight="false" outlineLevel="0" collapsed="false">
      <c r="A4117" s="3" t="n">
        <v>4116</v>
      </c>
      <c r="B4117" s="3" t="n">
        <v>4115</v>
      </c>
      <c r="C4117" s="3" t="n">
        <v>5</v>
      </c>
      <c r="D4117" s="3" t="n">
        <v>6</v>
      </c>
      <c r="E4117" s="3" t="n">
        <v>27</v>
      </c>
      <c r="F4117" s="24" t="n">
        <v>0.459515482</v>
      </c>
    </row>
    <row r="4118" customFormat="false" ht="15" hidden="false" customHeight="false" outlineLevel="0" collapsed="false">
      <c r="A4118" s="3" t="n">
        <v>4117</v>
      </c>
      <c r="B4118" s="3" t="n">
        <v>4116</v>
      </c>
      <c r="C4118" s="3" t="n">
        <v>5</v>
      </c>
      <c r="D4118" s="3" t="n">
        <v>7</v>
      </c>
      <c r="E4118" s="3" t="n">
        <v>0</v>
      </c>
      <c r="F4118" s="24" t="n">
        <v>0.354324996</v>
      </c>
    </row>
    <row r="4119" customFormat="false" ht="15" hidden="false" customHeight="false" outlineLevel="0" collapsed="false">
      <c r="A4119" s="3" t="n">
        <v>4118</v>
      </c>
      <c r="B4119" s="3" t="n">
        <v>4117</v>
      </c>
      <c r="C4119" s="3" t="n">
        <v>5</v>
      </c>
      <c r="D4119" s="3" t="n">
        <v>7</v>
      </c>
      <c r="E4119" s="3" t="n">
        <v>1</v>
      </c>
      <c r="F4119" s="24" t="n">
        <v>0.51512605</v>
      </c>
    </row>
    <row r="4120" customFormat="false" ht="15" hidden="false" customHeight="false" outlineLevel="0" collapsed="false">
      <c r="A4120" s="3" t="n">
        <v>4119</v>
      </c>
      <c r="B4120" s="3" t="n">
        <v>4118</v>
      </c>
      <c r="C4120" s="3" t="n">
        <v>5</v>
      </c>
      <c r="D4120" s="3" t="n">
        <v>7</v>
      </c>
      <c r="E4120" s="3" t="n">
        <v>2</v>
      </c>
      <c r="F4120" s="24" t="n">
        <v>0.51512605</v>
      </c>
    </row>
    <row r="4121" customFormat="false" ht="15" hidden="false" customHeight="false" outlineLevel="0" collapsed="false">
      <c r="A4121" s="3" t="n">
        <v>4120</v>
      </c>
      <c r="B4121" s="3" t="n">
        <v>4119</v>
      </c>
      <c r="C4121" s="3" t="n">
        <v>5</v>
      </c>
      <c r="D4121" s="3" t="n">
        <v>7</v>
      </c>
      <c r="E4121" s="3" t="n">
        <v>3</v>
      </c>
      <c r="F4121" s="24" t="n">
        <v>0.51512605</v>
      </c>
    </row>
    <row r="4122" customFormat="false" ht="15" hidden="false" customHeight="false" outlineLevel="0" collapsed="false">
      <c r="A4122" s="3" t="n">
        <v>4121</v>
      </c>
      <c r="B4122" s="3" t="n">
        <v>4120</v>
      </c>
      <c r="C4122" s="3" t="n">
        <v>5</v>
      </c>
      <c r="D4122" s="3" t="n">
        <v>7</v>
      </c>
      <c r="E4122" s="3" t="n">
        <v>4</v>
      </c>
      <c r="F4122" s="24" t="n">
        <v>0.51512605</v>
      </c>
    </row>
    <row r="4123" customFormat="false" ht="15" hidden="false" customHeight="false" outlineLevel="0" collapsed="false">
      <c r="A4123" s="3" t="n">
        <v>4122</v>
      </c>
      <c r="B4123" s="3" t="n">
        <v>4121</v>
      </c>
      <c r="C4123" s="3" t="n">
        <v>5</v>
      </c>
      <c r="D4123" s="3" t="n">
        <v>7</v>
      </c>
      <c r="E4123" s="3" t="n">
        <v>5</v>
      </c>
      <c r="F4123" s="24" t="n">
        <v>0.696474016</v>
      </c>
    </row>
    <row r="4124" customFormat="false" ht="15" hidden="false" customHeight="false" outlineLevel="0" collapsed="false">
      <c r="A4124" s="3" t="n">
        <v>4123</v>
      </c>
      <c r="B4124" s="3" t="n">
        <v>4122</v>
      </c>
      <c r="C4124" s="3" t="n">
        <v>5</v>
      </c>
      <c r="D4124" s="3" t="n">
        <v>7</v>
      </c>
      <c r="E4124" s="3" t="n">
        <v>6</v>
      </c>
      <c r="F4124" s="24" t="n">
        <v>0</v>
      </c>
    </row>
    <row r="4125" customFormat="false" ht="15" hidden="false" customHeight="false" outlineLevel="0" collapsed="false">
      <c r="A4125" s="3" t="n">
        <v>4124</v>
      </c>
      <c r="B4125" s="3" t="n">
        <v>4123</v>
      </c>
      <c r="C4125" s="3" t="n">
        <v>5</v>
      </c>
      <c r="D4125" s="3" t="n">
        <v>7</v>
      </c>
      <c r="E4125" s="3" t="n">
        <v>7</v>
      </c>
      <c r="F4125" s="24" t="n">
        <v>0</v>
      </c>
    </row>
    <row r="4126" customFormat="false" ht="15" hidden="false" customHeight="false" outlineLevel="0" collapsed="false">
      <c r="A4126" s="3" t="n">
        <v>4125</v>
      </c>
      <c r="B4126" s="3" t="n">
        <v>4124</v>
      </c>
      <c r="C4126" s="3" t="n">
        <v>5</v>
      </c>
      <c r="D4126" s="3" t="n">
        <v>7</v>
      </c>
      <c r="E4126" s="3" t="n">
        <v>8</v>
      </c>
      <c r="F4126" s="24" t="n">
        <v>0</v>
      </c>
    </row>
    <row r="4127" customFormat="false" ht="15" hidden="false" customHeight="false" outlineLevel="0" collapsed="false">
      <c r="A4127" s="3" t="n">
        <v>4126</v>
      </c>
      <c r="B4127" s="3" t="n">
        <v>4125</v>
      </c>
      <c r="C4127" s="3" t="n">
        <v>5</v>
      </c>
      <c r="D4127" s="3" t="n">
        <v>7</v>
      </c>
      <c r="E4127" s="3" t="n">
        <v>9</v>
      </c>
      <c r="F4127" s="24" t="n">
        <v>0</v>
      </c>
    </row>
    <row r="4128" customFormat="false" ht="15" hidden="false" customHeight="false" outlineLevel="0" collapsed="false">
      <c r="A4128" s="3" t="n">
        <v>4127</v>
      </c>
      <c r="B4128" s="3" t="n">
        <v>4126</v>
      </c>
      <c r="C4128" s="3" t="n">
        <v>5</v>
      </c>
      <c r="D4128" s="3" t="n">
        <v>7</v>
      </c>
      <c r="E4128" s="3" t="n">
        <v>10</v>
      </c>
      <c r="F4128" s="24" t="n">
        <v>0</v>
      </c>
    </row>
    <row r="4129" customFormat="false" ht="15" hidden="false" customHeight="false" outlineLevel="0" collapsed="false">
      <c r="A4129" s="3" t="n">
        <v>4128</v>
      </c>
      <c r="B4129" s="3" t="n">
        <v>4127</v>
      </c>
      <c r="C4129" s="3" t="n">
        <v>5</v>
      </c>
      <c r="D4129" s="3" t="n">
        <v>7</v>
      </c>
      <c r="E4129" s="3" t="n">
        <v>11</v>
      </c>
      <c r="F4129" s="24" t="n">
        <v>0</v>
      </c>
    </row>
    <row r="4130" customFormat="false" ht="15" hidden="false" customHeight="false" outlineLevel="0" collapsed="false">
      <c r="A4130" s="3" t="n">
        <v>4129</v>
      </c>
      <c r="B4130" s="3" t="n">
        <v>4128</v>
      </c>
      <c r="C4130" s="3" t="n">
        <v>5</v>
      </c>
      <c r="D4130" s="3" t="n">
        <v>7</v>
      </c>
      <c r="E4130" s="3" t="n">
        <v>12</v>
      </c>
      <c r="F4130" s="24" t="n">
        <v>0</v>
      </c>
    </row>
    <row r="4131" customFormat="false" ht="15" hidden="false" customHeight="false" outlineLevel="0" collapsed="false">
      <c r="A4131" s="3" t="n">
        <v>4130</v>
      </c>
      <c r="B4131" s="3" t="n">
        <v>4129</v>
      </c>
      <c r="C4131" s="3" t="n">
        <v>5</v>
      </c>
      <c r="D4131" s="3" t="n">
        <v>7</v>
      </c>
      <c r="E4131" s="3" t="n">
        <v>13</v>
      </c>
      <c r="F4131" s="24" t="n">
        <v>0</v>
      </c>
    </row>
    <row r="4132" customFormat="false" ht="15" hidden="false" customHeight="false" outlineLevel="0" collapsed="false">
      <c r="A4132" s="3" t="n">
        <v>4131</v>
      </c>
      <c r="B4132" s="3" t="n">
        <v>4130</v>
      </c>
      <c r="C4132" s="3" t="n">
        <v>5</v>
      </c>
      <c r="D4132" s="3" t="n">
        <v>7</v>
      </c>
      <c r="E4132" s="3" t="n">
        <v>14</v>
      </c>
      <c r="F4132" s="24" t="n">
        <v>0</v>
      </c>
    </row>
    <row r="4133" customFormat="false" ht="15" hidden="false" customHeight="false" outlineLevel="0" collapsed="false">
      <c r="A4133" s="3" t="n">
        <v>4132</v>
      </c>
      <c r="B4133" s="3" t="n">
        <v>4131</v>
      </c>
      <c r="C4133" s="3" t="n">
        <v>5</v>
      </c>
      <c r="D4133" s="3" t="n">
        <v>7</v>
      </c>
      <c r="E4133" s="3" t="n">
        <v>15</v>
      </c>
      <c r="F4133" s="24" t="n">
        <v>0</v>
      </c>
    </row>
    <row r="4134" customFormat="false" ht="15" hidden="false" customHeight="false" outlineLevel="0" collapsed="false">
      <c r="A4134" s="3" t="n">
        <v>4133</v>
      </c>
      <c r="B4134" s="3" t="n">
        <v>4132</v>
      </c>
      <c r="C4134" s="3" t="n">
        <v>5</v>
      </c>
      <c r="D4134" s="3" t="n">
        <v>7</v>
      </c>
      <c r="E4134" s="3" t="n">
        <v>16</v>
      </c>
      <c r="F4134" s="24" t="n">
        <v>0</v>
      </c>
    </row>
    <row r="4135" customFormat="false" ht="15" hidden="false" customHeight="false" outlineLevel="0" collapsed="false">
      <c r="A4135" s="3" t="n">
        <v>4134</v>
      </c>
      <c r="B4135" s="3" t="n">
        <v>4133</v>
      </c>
      <c r="C4135" s="3" t="n">
        <v>5</v>
      </c>
      <c r="D4135" s="3" t="n">
        <v>7</v>
      </c>
      <c r="E4135" s="3" t="n">
        <v>17</v>
      </c>
      <c r="F4135" s="24" t="n">
        <v>0</v>
      </c>
    </row>
    <row r="4136" customFormat="false" ht="15" hidden="false" customHeight="false" outlineLevel="0" collapsed="false">
      <c r="A4136" s="3" t="n">
        <v>4135</v>
      </c>
      <c r="B4136" s="3" t="n">
        <v>4134</v>
      </c>
      <c r="C4136" s="3" t="n">
        <v>5</v>
      </c>
      <c r="D4136" s="3" t="n">
        <v>7</v>
      </c>
      <c r="E4136" s="3" t="n">
        <v>18</v>
      </c>
      <c r="F4136" s="24" t="n">
        <v>0</v>
      </c>
    </row>
    <row r="4137" customFormat="false" ht="15" hidden="false" customHeight="false" outlineLevel="0" collapsed="false">
      <c r="A4137" s="3" t="n">
        <v>4136</v>
      </c>
      <c r="B4137" s="3" t="n">
        <v>4135</v>
      </c>
      <c r="C4137" s="3" t="n">
        <v>5</v>
      </c>
      <c r="D4137" s="3" t="n">
        <v>7</v>
      </c>
      <c r="E4137" s="3" t="n">
        <v>19</v>
      </c>
      <c r="F4137" s="24" t="n">
        <v>0</v>
      </c>
    </row>
    <row r="4138" customFormat="false" ht="15" hidden="false" customHeight="false" outlineLevel="0" collapsed="false">
      <c r="A4138" s="3" t="n">
        <v>4137</v>
      </c>
      <c r="B4138" s="3" t="n">
        <v>4136</v>
      </c>
      <c r="C4138" s="3" t="n">
        <v>5</v>
      </c>
      <c r="D4138" s="3" t="n">
        <v>7</v>
      </c>
      <c r="E4138" s="3" t="n">
        <v>20</v>
      </c>
      <c r="F4138" s="24" t="n">
        <v>0</v>
      </c>
    </row>
    <row r="4139" customFormat="false" ht="15" hidden="false" customHeight="false" outlineLevel="0" collapsed="false">
      <c r="A4139" s="3" t="n">
        <v>4138</v>
      </c>
      <c r="B4139" s="3" t="n">
        <v>4137</v>
      </c>
      <c r="C4139" s="3" t="n">
        <v>5</v>
      </c>
      <c r="D4139" s="3" t="n">
        <v>7</v>
      </c>
      <c r="E4139" s="3" t="n">
        <v>21</v>
      </c>
      <c r="F4139" s="24" t="n">
        <v>0</v>
      </c>
    </row>
    <row r="4140" customFormat="false" ht="15" hidden="false" customHeight="false" outlineLevel="0" collapsed="false">
      <c r="A4140" s="3" t="n">
        <v>4139</v>
      </c>
      <c r="B4140" s="3" t="n">
        <v>4138</v>
      </c>
      <c r="C4140" s="3" t="n">
        <v>5</v>
      </c>
      <c r="D4140" s="3" t="n">
        <v>7</v>
      </c>
      <c r="E4140" s="3" t="n">
        <v>22</v>
      </c>
      <c r="F4140" s="24" t="n">
        <v>0</v>
      </c>
    </row>
    <row r="4141" customFormat="false" ht="15" hidden="false" customHeight="false" outlineLevel="0" collapsed="false">
      <c r="A4141" s="3" t="n">
        <v>4140</v>
      </c>
      <c r="B4141" s="3" t="n">
        <v>4139</v>
      </c>
      <c r="C4141" s="3" t="n">
        <v>5</v>
      </c>
      <c r="D4141" s="3" t="n">
        <v>7</v>
      </c>
      <c r="E4141" s="3" t="n">
        <v>23</v>
      </c>
      <c r="F4141" s="24" t="n">
        <v>0.51512605</v>
      </c>
    </row>
    <row r="4142" customFormat="false" ht="15" hidden="false" customHeight="false" outlineLevel="0" collapsed="false">
      <c r="A4142" s="3" t="n">
        <v>4141</v>
      </c>
      <c r="B4142" s="3" t="n">
        <v>4140</v>
      </c>
      <c r="C4142" s="3" t="n">
        <v>5</v>
      </c>
      <c r="D4142" s="3" t="n">
        <v>7</v>
      </c>
      <c r="E4142" s="3" t="n">
        <v>24</v>
      </c>
      <c r="F4142" s="24" t="n">
        <v>0.51512605</v>
      </c>
    </row>
    <row r="4143" customFormat="false" ht="15" hidden="false" customHeight="false" outlineLevel="0" collapsed="false">
      <c r="A4143" s="3" t="n">
        <v>4142</v>
      </c>
      <c r="B4143" s="3" t="n">
        <v>4141</v>
      </c>
      <c r="C4143" s="3" t="n">
        <v>5</v>
      </c>
      <c r="D4143" s="3" t="n">
        <v>7</v>
      </c>
      <c r="E4143" s="3" t="n">
        <v>25</v>
      </c>
      <c r="F4143" s="24" t="n">
        <v>0.51512605</v>
      </c>
    </row>
    <row r="4144" customFormat="false" ht="15" hidden="false" customHeight="false" outlineLevel="0" collapsed="false">
      <c r="A4144" s="3" t="n">
        <v>4143</v>
      </c>
      <c r="B4144" s="3" t="n">
        <v>4142</v>
      </c>
      <c r="C4144" s="3" t="n">
        <v>5</v>
      </c>
      <c r="D4144" s="3" t="n">
        <v>7</v>
      </c>
      <c r="E4144" s="3" t="n">
        <v>26</v>
      </c>
      <c r="F4144" s="24" t="n">
        <v>0.51512605</v>
      </c>
    </row>
    <row r="4145" customFormat="false" ht="15" hidden="false" customHeight="false" outlineLevel="0" collapsed="false">
      <c r="A4145" s="3" t="n">
        <v>4144</v>
      </c>
      <c r="B4145" s="3" t="n">
        <v>4143</v>
      </c>
      <c r="C4145" s="3" t="n">
        <v>5</v>
      </c>
      <c r="D4145" s="3" t="n">
        <v>7</v>
      </c>
      <c r="E4145" s="3" t="n">
        <v>27</v>
      </c>
      <c r="F4145" s="24" t="n">
        <v>0.459515482</v>
      </c>
    </row>
    <row r="4146" customFormat="false" ht="15" hidden="false" customHeight="false" outlineLevel="0" collapsed="false">
      <c r="A4146" s="3" t="n">
        <v>4145</v>
      </c>
      <c r="B4146" s="3" t="n">
        <v>4144</v>
      </c>
      <c r="C4146" s="3" t="n">
        <v>5</v>
      </c>
      <c r="D4146" s="3" t="n">
        <v>8</v>
      </c>
      <c r="E4146" s="3" t="n">
        <v>0</v>
      </c>
      <c r="F4146" s="24" t="n">
        <v>0.354324996</v>
      </c>
    </row>
    <row r="4147" customFormat="false" ht="15" hidden="false" customHeight="false" outlineLevel="0" collapsed="false">
      <c r="A4147" s="3" t="n">
        <v>4146</v>
      </c>
      <c r="B4147" s="3" t="n">
        <v>4145</v>
      </c>
      <c r="C4147" s="3" t="n">
        <v>5</v>
      </c>
      <c r="D4147" s="3" t="n">
        <v>8</v>
      </c>
      <c r="E4147" s="3" t="n">
        <v>1</v>
      </c>
      <c r="F4147" s="24" t="n">
        <v>0.51512605</v>
      </c>
    </row>
    <row r="4148" customFormat="false" ht="15" hidden="false" customHeight="false" outlineLevel="0" collapsed="false">
      <c r="A4148" s="3" t="n">
        <v>4147</v>
      </c>
      <c r="B4148" s="3" t="n">
        <v>4146</v>
      </c>
      <c r="C4148" s="3" t="n">
        <v>5</v>
      </c>
      <c r="D4148" s="3" t="n">
        <v>8</v>
      </c>
      <c r="E4148" s="3" t="n">
        <v>2</v>
      </c>
      <c r="F4148" s="24" t="n">
        <v>0.51512605</v>
      </c>
    </row>
    <row r="4149" customFormat="false" ht="15" hidden="false" customHeight="false" outlineLevel="0" collapsed="false">
      <c r="A4149" s="3" t="n">
        <v>4148</v>
      </c>
      <c r="B4149" s="3" t="n">
        <v>4147</v>
      </c>
      <c r="C4149" s="3" t="n">
        <v>5</v>
      </c>
      <c r="D4149" s="3" t="n">
        <v>8</v>
      </c>
      <c r="E4149" s="3" t="n">
        <v>3</v>
      </c>
      <c r="F4149" s="24" t="n">
        <v>0.51512605</v>
      </c>
    </row>
    <row r="4150" customFormat="false" ht="15" hidden="false" customHeight="false" outlineLevel="0" collapsed="false">
      <c r="A4150" s="3" t="n">
        <v>4149</v>
      </c>
      <c r="B4150" s="3" t="n">
        <v>4148</v>
      </c>
      <c r="C4150" s="3" t="n">
        <v>5</v>
      </c>
      <c r="D4150" s="3" t="n">
        <v>8</v>
      </c>
      <c r="E4150" s="3" t="n">
        <v>4</v>
      </c>
      <c r="F4150" s="24" t="n">
        <v>0.51512605</v>
      </c>
    </row>
    <row r="4151" customFormat="false" ht="15" hidden="false" customHeight="false" outlineLevel="0" collapsed="false">
      <c r="A4151" s="3" t="n">
        <v>4150</v>
      </c>
      <c r="B4151" s="3" t="n">
        <v>4149</v>
      </c>
      <c r="C4151" s="3" t="n">
        <v>5</v>
      </c>
      <c r="D4151" s="3" t="n">
        <v>8</v>
      </c>
      <c r="E4151" s="3" t="n">
        <v>5</v>
      </c>
      <c r="F4151" s="24" t="n">
        <v>0</v>
      </c>
    </row>
    <row r="4152" customFormat="false" ht="15" hidden="false" customHeight="false" outlineLevel="0" collapsed="false">
      <c r="A4152" s="3" t="n">
        <v>4151</v>
      </c>
      <c r="B4152" s="3" t="n">
        <v>4150</v>
      </c>
      <c r="C4152" s="3" t="n">
        <v>5</v>
      </c>
      <c r="D4152" s="3" t="n">
        <v>8</v>
      </c>
      <c r="E4152" s="3" t="n">
        <v>6</v>
      </c>
      <c r="F4152" s="24" t="n">
        <v>0</v>
      </c>
    </row>
    <row r="4153" customFormat="false" ht="15" hidden="false" customHeight="false" outlineLevel="0" collapsed="false">
      <c r="A4153" s="3" t="n">
        <v>4152</v>
      </c>
      <c r="B4153" s="3" t="n">
        <v>4151</v>
      </c>
      <c r="C4153" s="3" t="n">
        <v>5</v>
      </c>
      <c r="D4153" s="3" t="n">
        <v>8</v>
      </c>
      <c r="E4153" s="3" t="n">
        <v>7</v>
      </c>
      <c r="F4153" s="24" t="n">
        <v>0</v>
      </c>
    </row>
    <row r="4154" customFormat="false" ht="15" hidden="false" customHeight="false" outlineLevel="0" collapsed="false">
      <c r="A4154" s="3" t="n">
        <v>4153</v>
      </c>
      <c r="B4154" s="3" t="n">
        <v>4152</v>
      </c>
      <c r="C4154" s="3" t="n">
        <v>5</v>
      </c>
      <c r="D4154" s="3" t="n">
        <v>8</v>
      </c>
      <c r="E4154" s="3" t="n">
        <v>8</v>
      </c>
      <c r="F4154" s="24" t="n">
        <v>0</v>
      </c>
    </row>
    <row r="4155" customFormat="false" ht="15" hidden="false" customHeight="false" outlineLevel="0" collapsed="false">
      <c r="A4155" s="3" t="n">
        <v>4154</v>
      </c>
      <c r="B4155" s="3" t="n">
        <v>4153</v>
      </c>
      <c r="C4155" s="3" t="n">
        <v>5</v>
      </c>
      <c r="D4155" s="3" t="n">
        <v>8</v>
      </c>
      <c r="E4155" s="3" t="n">
        <v>9</v>
      </c>
      <c r="F4155" s="24" t="n">
        <v>0</v>
      </c>
    </row>
    <row r="4156" customFormat="false" ht="15" hidden="false" customHeight="false" outlineLevel="0" collapsed="false">
      <c r="A4156" s="3" t="n">
        <v>4155</v>
      </c>
      <c r="B4156" s="3" t="n">
        <v>4154</v>
      </c>
      <c r="C4156" s="3" t="n">
        <v>5</v>
      </c>
      <c r="D4156" s="3" t="n">
        <v>8</v>
      </c>
      <c r="E4156" s="3" t="n">
        <v>10</v>
      </c>
      <c r="F4156" s="24" t="n">
        <v>0</v>
      </c>
    </row>
    <row r="4157" customFormat="false" ht="15" hidden="false" customHeight="false" outlineLevel="0" collapsed="false">
      <c r="A4157" s="3" t="n">
        <v>4156</v>
      </c>
      <c r="B4157" s="3" t="n">
        <v>4155</v>
      </c>
      <c r="C4157" s="3" t="n">
        <v>5</v>
      </c>
      <c r="D4157" s="3" t="n">
        <v>8</v>
      </c>
      <c r="E4157" s="3" t="n">
        <v>11</v>
      </c>
      <c r="F4157" s="24" t="n">
        <v>0</v>
      </c>
    </row>
    <row r="4158" customFormat="false" ht="15" hidden="false" customHeight="false" outlineLevel="0" collapsed="false">
      <c r="A4158" s="3" t="n">
        <v>4157</v>
      </c>
      <c r="B4158" s="3" t="n">
        <v>4156</v>
      </c>
      <c r="C4158" s="3" t="n">
        <v>5</v>
      </c>
      <c r="D4158" s="3" t="n">
        <v>8</v>
      </c>
      <c r="E4158" s="3" t="n">
        <v>12</v>
      </c>
      <c r="F4158" s="24" t="n">
        <v>0</v>
      </c>
    </row>
    <row r="4159" customFormat="false" ht="15" hidden="false" customHeight="false" outlineLevel="0" collapsed="false">
      <c r="A4159" s="3" t="n">
        <v>4158</v>
      </c>
      <c r="B4159" s="3" t="n">
        <v>4157</v>
      </c>
      <c r="C4159" s="3" t="n">
        <v>5</v>
      </c>
      <c r="D4159" s="3" t="n">
        <v>8</v>
      </c>
      <c r="E4159" s="3" t="n">
        <v>13</v>
      </c>
      <c r="F4159" s="24" t="n">
        <v>0</v>
      </c>
    </row>
    <row r="4160" customFormat="false" ht="15" hidden="false" customHeight="false" outlineLevel="0" collapsed="false">
      <c r="A4160" s="3" t="n">
        <v>4159</v>
      </c>
      <c r="B4160" s="3" t="n">
        <v>4158</v>
      </c>
      <c r="C4160" s="3" t="n">
        <v>5</v>
      </c>
      <c r="D4160" s="3" t="n">
        <v>8</v>
      </c>
      <c r="E4160" s="3" t="n">
        <v>14</v>
      </c>
      <c r="F4160" s="24" t="n">
        <v>0</v>
      </c>
    </row>
    <row r="4161" customFormat="false" ht="15" hidden="false" customHeight="false" outlineLevel="0" collapsed="false">
      <c r="A4161" s="3" t="n">
        <v>4160</v>
      </c>
      <c r="B4161" s="3" t="n">
        <v>4159</v>
      </c>
      <c r="C4161" s="3" t="n">
        <v>5</v>
      </c>
      <c r="D4161" s="3" t="n">
        <v>8</v>
      </c>
      <c r="E4161" s="3" t="n">
        <v>15</v>
      </c>
      <c r="F4161" s="24" t="n">
        <v>0</v>
      </c>
    </row>
    <row r="4162" customFormat="false" ht="15" hidden="false" customHeight="false" outlineLevel="0" collapsed="false">
      <c r="A4162" s="3" t="n">
        <v>4161</v>
      </c>
      <c r="B4162" s="3" t="n">
        <v>4160</v>
      </c>
      <c r="C4162" s="3" t="n">
        <v>5</v>
      </c>
      <c r="D4162" s="3" t="n">
        <v>8</v>
      </c>
      <c r="E4162" s="3" t="n">
        <v>16</v>
      </c>
      <c r="F4162" s="24" t="n">
        <v>0</v>
      </c>
    </row>
    <row r="4163" customFormat="false" ht="15" hidden="false" customHeight="false" outlineLevel="0" collapsed="false">
      <c r="A4163" s="3" t="n">
        <v>4162</v>
      </c>
      <c r="B4163" s="3" t="n">
        <v>4161</v>
      </c>
      <c r="C4163" s="3" t="n">
        <v>5</v>
      </c>
      <c r="D4163" s="3" t="n">
        <v>8</v>
      </c>
      <c r="E4163" s="3" t="n">
        <v>17</v>
      </c>
      <c r="F4163" s="24" t="n">
        <v>0</v>
      </c>
    </row>
    <row r="4164" customFormat="false" ht="15" hidden="false" customHeight="false" outlineLevel="0" collapsed="false">
      <c r="A4164" s="3" t="n">
        <v>4163</v>
      </c>
      <c r="B4164" s="3" t="n">
        <v>4162</v>
      </c>
      <c r="C4164" s="3" t="n">
        <v>5</v>
      </c>
      <c r="D4164" s="3" t="n">
        <v>8</v>
      </c>
      <c r="E4164" s="3" t="n">
        <v>18</v>
      </c>
      <c r="F4164" s="24" t="n">
        <v>0</v>
      </c>
    </row>
    <row r="4165" customFormat="false" ht="15" hidden="false" customHeight="false" outlineLevel="0" collapsed="false">
      <c r="A4165" s="3" t="n">
        <v>4164</v>
      </c>
      <c r="B4165" s="3" t="n">
        <v>4163</v>
      </c>
      <c r="C4165" s="3" t="n">
        <v>5</v>
      </c>
      <c r="D4165" s="3" t="n">
        <v>8</v>
      </c>
      <c r="E4165" s="3" t="n">
        <v>19</v>
      </c>
      <c r="F4165" s="24" t="n">
        <v>0</v>
      </c>
    </row>
    <row r="4166" customFormat="false" ht="15" hidden="false" customHeight="false" outlineLevel="0" collapsed="false">
      <c r="A4166" s="3" t="n">
        <v>4165</v>
      </c>
      <c r="B4166" s="3" t="n">
        <v>4164</v>
      </c>
      <c r="C4166" s="3" t="n">
        <v>5</v>
      </c>
      <c r="D4166" s="3" t="n">
        <v>8</v>
      </c>
      <c r="E4166" s="3" t="n">
        <v>20</v>
      </c>
      <c r="F4166" s="24" t="n">
        <v>0</v>
      </c>
    </row>
    <row r="4167" customFormat="false" ht="15" hidden="false" customHeight="false" outlineLevel="0" collapsed="false">
      <c r="A4167" s="3" t="n">
        <v>4166</v>
      </c>
      <c r="B4167" s="3" t="n">
        <v>4165</v>
      </c>
      <c r="C4167" s="3" t="n">
        <v>5</v>
      </c>
      <c r="D4167" s="3" t="n">
        <v>8</v>
      </c>
      <c r="E4167" s="3" t="n">
        <v>21</v>
      </c>
      <c r="F4167" s="24" t="n">
        <v>0</v>
      </c>
    </row>
    <row r="4168" customFormat="false" ht="15" hidden="false" customHeight="false" outlineLevel="0" collapsed="false">
      <c r="A4168" s="3" t="n">
        <v>4167</v>
      </c>
      <c r="B4168" s="3" t="n">
        <v>4166</v>
      </c>
      <c r="C4168" s="3" t="n">
        <v>5</v>
      </c>
      <c r="D4168" s="3" t="n">
        <v>8</v>
      </c>
      <c r="E4168" s="3" t="n">
        <v>22</v>
      </c>
      <c r="F4168" s="24" t="n">
        <v>0</v>
      </c>
    </row>
    <row r="4169" customFormat="false" ht="15" hidden="false" customHeight="false" outlineLevel="0" collapsed="false">
      <c r="A4169" s="3" t="n">
        <v>4168</v>
      </c>
      <c r="B4169" s="3" t="n">
        <v>4167</v>
      </c>
      <c r="C4169" s="3" t="n">
        <v>5</v>
      </c>
      <c r="D4169" s="3" t="n">
        <v>8</v>
      </c>
      <c r="E4169" s="3" t="n">
        <v>23</v>
      </c>
      <c r="F4169" s="24" t="n">
        <v>0.51512605</v>
      </c>
    </row>
    <row r="4170" customFormat="false" ht="15" hidden="false" customHeight="false" outlineLevel="0" collapsed="false">
      <c r="A4170" s="3" t="n">
        <v>4169</v>
      </c>
      <c r="B4170" s="3" t="n">
        <v>4168</v>
      </c>
      <c r="C4170" s="3" t="n">
        <v>5</v>
      </c>
      <c r="D4170" s="3" t="n">
        <v>8</v>
      </c>
      <c r="E4170" s="3" t="n">
        <v>24</v>
      </c>
      <c r="F4170" s="24" t="n">
        <v>0.51512605</v>
      </c>
    </row>
    <row r="4171" customFormat="false" ht="15" hidden="false" customHeight="false" outlineLevel="0" collapsed="false">
      <c r="A4171" s="3" t="n">
        <v>4170</v>
      </c>
      <c r="B4171" s="3" t="n">
        <v>4169</v>
      </c>
      <c r="C4171" s="3" t="n">
        <v>5</v>
      </c>
      <c r="D4171" s="3" t="n">
        <v>8</v>
      </c>
      <c r="E4171" s="3" t="n">
        <v>25</v>
      </c>
      <c r="F4171" s="24" t="n">
        <v>0.51512605</v>
      </c>
    </row>
    <row r="4172" customFormat="false" ht="15" hidden="false" customHeight="false" outlineLevel="0" collapsed="false">
      <c r="A4172" s="3" t="n">
        <v>4171</v>
      </c>
      <c r="B4172" s="3" t="n">
        <v>4170</v>
      </c>
      <c r="C4172" s="3" t="n">
        <v>5</v>
      </c>
      <c r="D4172" s="3" t="n">
        <v>8</v>
      </c>
      <c r="E4172" s="3" t="n">
        <v>26</v>
      </c>
      <c r="F4172" s="24" t="n">
        <v>0.51512605</v>
      </c>
    </row>
    <row r="4173" customFormat="false" ht="15" hidden="false" customHeight="false" outlineLevel="0" collapsed="false">
      <c r="A4173" s="3" t="n">
        <v>4172</v>
      </c>
      <c r="B4173" s="3" t="n">
        <v>4171</v>
      </c>
      <c r="C4173" s="3" t="n">
        <v>5</v>
      </c>
      <c r="D4173" s="3" t="n">
        <v>8</v>
      </c>
      <c r="E4173" s="3" t="n">
        <v>27</v>
      </c>
      <c r="F4173" s="24" t="n">
        <v>0.459515482</v>
      </c>
    </row>
    <row r="4174" customFormat="false" ht="15" hidden="false" customHeight="false" outlineLevel="0" collapsed="false">
      <c r="A4174" s="3" t="n">
        <v>4173</v>
      </c>
      <c r="B4174" s="3" t="n">
        <v>4172</v>
      </c>
      <c r="C4174" s="3" t="n">
        <v>5</v>
      </c>
      <c r="D4174" s="3" t="n">
        <v>9</v>
      </c>
      <c r="E4174" s="3" t="n">
        <v>0</v>
      </c>
      <c r="F4174" s="24" t="n">
        <v>0.354324996</v>
      </c>
    </row>
    <row r="4175" customFormat="false" ht="15" hidden="false" customHeight="false" outlineLevel="0" collapsed="false">
      <c r="A4175" s="3" t="n">
        <v>4174</v>
      </c>
      <c r="B4175" s="3" t="n">
        <v>4173</v>
      </c>
      <c r="C4175" s="3" t="n">
        <v>5</v>
      </c>
      <c r="D4175" s="3" t="n">
        <v>9</v>
      </c>
      <c r="E4175" s="3" t="n">
        <v>1</v>
      </c>
      <c r="F4175" s="24" t="n">
        <v>0.51512605</v>
      </c>
    </row>
    <row r="4176" customFormat="false" ht="15" hidden="false" customHeight="false" outlineLevel="0" collapsed="false">
      <c r="A4176" s="3" t="n">
        <v>4175</v>
      </c>
      <c r="B4176" s="3" t="n">
        <v>4174</v>
      </c>
      <c r="C4176" s="3" t="n">
        <v>5</v>
      </c>
      <c r="D4176" s="3" t="n">
        <v>9</v>
      </c>
      <c r="E4176" s="3" t="n">
        <v>2</v>
      </c>
      <c r="F4176" s="24" t="n">
        <v>0.51512605</v>
      </c>
    </row>
    <row r="4177" customFormat="false" ht="15" hidden="false" customHeight="false" outlineLevel="0" collapsed="false">
      <c r="A4177" s="3" t="n">
        <v>4176</v>
      </c>
      <c r="B4177" s="3" t="n">
        <v>4175</v>
      </c>
      <c r="C4177" s="3" t="n">
        <v>5</v>
      </c>
      <c r="D4177" s="3" t="n">
        <v>9</v>
      </c>
      <c r="E4177" s="3" t="n">
        <v>3</v>
      </c>
      <c r="F4177" s="24" t="n">
        <v>0.51512605</v>
      </c>
    </row>
    <row r="4178" customFormat="false" ht="15" hidden="false" customHeight="false" outlineLevel="0" collapsed="false">
      <c r="A4178" s="3" t="n">
        <v>4177</v>
      </c>
      <c r="B4178" s="3" t="n">
        <v>4176</v>
      </c>
      <c r="C4178" s="3" t="n">
        <v>5</v>
      </c>
      <c r="D4178" s="3" t="n">
        <v>9</v>
      </c>
      <c r="E4178" s="3" t="n">
        <v>4</v>
      </c>
      <c r="F4178" s="24" t="n">
        <v>0.51512605</v>
      </c>
    </row>
    <row r="4179" customFormat="false" ht="15" hidden="false" customHeight="false" outlineLevel="0" collapsed="false">
      <c r="A4179" s="3" t="n">
        <v>4178</v>
      </c>
      <c r="B4179" s="3" t="n">
        <v>4177</v>
      </c>
      <c r="C4179" s="3" t="n">
        <v>5</v>
      </c>
      <c r="D4179" s="3" t="n">
        <v>9</v>
      </c>
      <c r="E4179" s="3" t="n">
        <v>5</v>
      </c>
      <c r="F4179" s="24" t="n">
        <v>0.749266505</v>
      </c>
    </row>
    <row r="4180" customFormat="false" ht="15" hidden="false" customHeight="false" outlineLevel="0" collapsed="false">
      <c r="A4180" s="3" t="n">
        <v>4179</v>
      </c>
      <c r="B4180" s="3" t="n">
        <v>4178</v>
      </c>
      <c r="C4180" s="3" t="n">
        <v>5</v>
      </c>
      <c r="D4180" s="3" t="n">
        <v>9</v>
      </c>
      <c r="E4180" s="3" t="n">
        <v>6</v>
      </c>
      <c r="F4180" s="24" t="n">
        <v>1.99357021</v>
      </c>
    </row>
    <row r="4181" customFormat="false" ht="15" hidden="false" customHeight="false" outlineLevel="0" collapsed="false">
      <c r="A4181" s="3" t="n">
        <v>4180</v>
      </c>
      <c r="B4181" s="3" t="n">
        <v>4179</v>
      </c>
      <c r="C4181" s="3" t="n">
        <v>5</v>
      </c>
      <c r="D4181" s="3" t="n">
        <v>9</v>
      </c>
      <c r="E4181" s="3" t="n">
        <v>7</v>
      </c>
      <c r="F4181" s="24" t="n">
        <v>3.53567362</v>
      </c>
    </row>
    <row r="4182" customFormat="false" ht="15" hidden="false" customHeight="false" outlineLevel="0" collapsed="false">
      <c r="A4182" s="3" t="n">
        <v>4181</v>
      </c>
      <c r="B4182" s="3" t="n">
        <v>4180</v>
      </c>
      <c r="C4182" s="3" t="n">
        <v>5</v>
      </c>
      <c r="D4182" s="3" t="n">
        <v>9</v>
      </c>
      <c r="E4182" s="3" t="n">
        <v>8</v>
      </c>
      <c r="F4182" s="24" t="n">
        <v>3.34387994</v>
      </c>
    </row>
    <row r="4183" customFormat="false" ht="15" hidden="false" customHeight="false" outlineLevel="0" collapsed="false">
      <c r="A4183" s="3" t="n">
        <v>4182</v>
      </c>
      <c r="B4183" s="3" t="n">
        <v>4181</v>
      </c>
      <c r="C4183" s="3" t="n">
        <v>5</v>
      </c>
      <c r="D4183" s="3" t="n">
        <v>9</v>
      </c>
      <c r="E4183" s="3" t="n">
        <v>9</v>
      </c>
      <c r="F4183" s="24" t="n">
        <v>2.65535307</v>
      </c>
    </row>
    <row r="4184" customFormat="false" ht="15" hidden="false" customHeight="false" outlineLevel="0" collapsed="false">
      <c r="A4184" s="3" t="n">
        <v>4183</v>
      </c>
      <c r="B4184" s="3" t="n">
        <v>4182</v>
      </c>
      <c r="C4184" s="3" t="n">
        <v>5</v>
      </c>
      <c r="D4184" s="3" t="n">
        <v>9</v>
      </c>
      <c r="E4184" s="3" t="n">
        <v>10</v>
      </c>
      <c r="F4184" s="24" t="n">
        <v>1.92483509</v>
      </c>
    </row>
    <row r="4185" customFormat="false" ht="15" hidden="false" customHeight="false" outlineLevel="0" collapsed="false">
      <c r="A4185" s="3" t="n">
        <v>4184</v>
      </c>
      <c r="B4185" s="3" t="n">
        <v>4183</v>
      </c>
      <c r="C4185" s="3" t="n">
        <v>5</v>
      </c>
      <c r="D4185" s="3" t="n">
        <v>9</v>
      </c>
      <c r="E4185" s="3" t="n">
        <v>11</v>
      </c>
      <c r="F4185" s="24" t="n">
        <v>1.36156034</v>
      </c>
    </row>
    <row r="4186" customFormat="false" ht="15" hidden="false" customHeight="false" outlineLevel="0" collapsed="false">
      <c r="A4186" s="3" t="n">
        <v>4185</v>
      </c>
      <c r="B4186" s="3" t="n">
        <v>4184</v>
      </c>
      <c r="C4186" s="3" t="n">
        <v>5</v>
      </c>
      <c r="D4186" s="3" t="n">
        <v>9</v>
      </c>
      <c r="E4186" s="3" t="n">
        <v>12</v>
      </c>
      <c r="F4186" s="24" t="n">
        <v>0.47388339</v>
      </c>
    </row>
    <row r="4187" customFormat="false" ht="15" hidden="false" customHeight="false" outlineLevel="0" collapsed="false">
      <c r="A4187" s="3" t="n">
        <v>4186</v>
      </c>
      <c r="B4187" s="3" t="n">
        <v>4185</v>
      </c>
      <c r="C4187" s="3" t="n">
        <v>5</v>
      </c>
      <c r="D4187" s="3" t="n">
        <v>9</v>
      </c>
      <c r="E4187" s="3" t="n">
        <v>13</v>
      </c>
      <c r="F4187" s="24" t="n">
        <v>0.309588224</v>
      </c>
    </row>
    <row r="4188" customFormat="false" ht="15" hidden="false" customHeight="false" outlineLevel="0" collapsed="false">
      <c r="A4188" s="3" t="n">
        <v>4187</v>
      </c>
      <c r="B4188" s="3" t="n">
        <v>4186</v>
      </c>
      <c r="C4188" s="3" t="n">
        <v>5</v>
      </c>
      <c r="D4188" s="3" t="n">
        <v>9</v>
      </c>
      <c r="E4188" s="3" t="n">
        <v>14</v>
      </c>
      <c r="F4188" s="24" t="n">
        <v>0.275041521</v>
      </c>
    </row>
    <row r="4189" customFormat="false" ht="15" hidden="false" customHeight="false" outlineLevel="0" collapsed="false">
      <c r="A4189" s="3" t="n">
        <v>4188</v>
      </c>
      <c r="B4189" s="3" t="n">
        <v>4187</v>
      </c>
      <c r="C4189" s="3" t="n">
        <v>5</v>
      </c>
      <c r="D4189" s="3" t="n">
        <v>9</v>
      </c>
      <c r="E4189" s="3" t="n">
        <v>15</v>
      </c>
      <c r="F4189" s="24" t="n">
        <v>0</v>
      </c>
    </row>
    <row r="4190" customFormat="false" ht="15" hidden="false" customHeight="false" outlineLevel="0" collapsed="false">
      <c r="A4190" s="3" t="n">
        <v>4189</v>
      </c>
      <c r="B4190" s="3" t="n">
        <v>4188</v>
      </c>
      <c r="C4190" s="3" t="n">
        <v>5</v>
      </c>
      <c r="D4190" s="3" t="n">
        <v>9</v>
      </c>
      <c r="E4190" s="3" t="n">
        <v>16</v>
      </c>
      <c r="F4190" s="24" t="n">
        <v>0</v>
      </c>
    </row>
    <row r="4191" customFormat="false" ht="15" hidden="false" customHeight="false" outlineLevel="0" collapsed="false">
      <c r="A4191" s="3" t="n">
        <v>4190</v>
      </c>
      <c r="B4191" s="3" t="n">
        <v>4189</v>
      </c>
      <c r="C4191" s="3" t="n">
        <v>5</v>
      </c>
      <c r="D4191" s="3" t="n">
        <v>9</v>
      </c>
      <c r="E4191" s="3" t="n">
        <v>17</v>
      </c>
      <c r="F4191" s="24" t="n">
        <v>0</v>
      </c>
    </row>
    <row r="4192" customFormat="false" ht="15" hidden="false" customHeight="false" outlineLevel="0" collapsed="false">
      <c r="A4192" s="3" t="n">
        <v>4191</v>
      </c>
      <c r="B4192" s="3" t="n">
        <v>4190</v>
      </c>
      <c r="C4192" s="3" t="n">
        <v>5</v>
      </c>
      <c r="D4192" s="3" t="n">
        <v>9</v>
      </c>
      <c r="E4192" s="3" t="n">
        <v>18</v>
      </c>
      <c r="F4192" s="24" t="n">
        <v>1.15162253</v>
      </c>
    </row>
    <row r="4193" customFormat="false" ht="15" hidden="false" customHeight="false" outlineLevel="0" collapsed="false">
      <c r="A4193" s="3" t="n">
        <v>4192</v>
      </c>
      <c r="B4193" s="3" t="n">
        <v>4191</v>
      </c>
      <c r="C4193" s="3" t="n">
        <v>5</v>
      </c>
      <c r="D4193" s="3" t="n">
        <v>9</v>
      </c>
      <c r="E4193" s="3" t="n">
        <v>19</v>
      </c>
      <c r="F4193" s="24" t="n">
        <v>0</v>
      </c>
    </row>
    <row r="4194" customFormat="false" ht="15" hidden="false" customHeight="false" outlineLevel="0" collapsed="false">
      <c r="A4194" s="3" t="n">
        <v>4193</v>
      </c>
      <c r="B4194" s="3" t="n">
        <v>4192</v>
      </c>
      <c r="C4194" s="3" t="n">
        <v>5</v>
      </c>
      <c r="D4194" s="3" t="n">
        <v>9</v>
      </c>
      <c r="E4194" s="3" t="n">
        <v>20</v>
      </c>
      <c r="F4194" s="24" t="n">
        <v>0</v>
      </c>
    </row>
    <row r="4195" customFormat="false" ht="15" hidden="false" customHeight="false" outlineLevel="0" collapsed="false">
      <c r="A4195" s="3" t="n">
        <v>4194</v>
      </c>
      <c r="B4195" s="3" t="n">
        <v>4193</v>
      </c>
      <c r="C4195" s="3" t="n">
        <v>5</v>
      </c>
      <c r="D4195" s="3" t="n">
        <v>9</v>
      </c>
      <c r="E4195" s="3" t="n">
        <v>21</v>
      </c>
      <c r="F4195" s="24" t="n">
        <v>0</v>
      </c>
    </row>
    <row r="4196" customFormat="false" ht="15" hidden="false" customHeight="false" outlineLevel="0" collapsed="false">
      <c r="A4196" s="3" t="n">
        <v>4195</v>
      </c>
      <c r="B4196" s="3" t="n">
        <v>4194</v>
      </c>
      <c r="C4196" s="3" t="n">
        <v>5</v>
      </c>
      <c r="D4196" s="3" t="n">
        <v>9</v>
      </c>
      <c r="E4196" s="3" t="n">
        <v>22</v>
      </c>
      <c r="F4196" s="24" t="n">
        <v>0</v>
      </c>
    </row>
    <row r="4197" customFormat="false" ht="15" hidden="false" customHeight="false" outlineLevel="0" collapsed="false">
      <c r="A4197" s="3" t="n">
        <v>4196</v>
      </c>
      <c r="B4197" s="3" t="n">
        <v>4195</v>
      </c>
      <c r="C4197" s="3" t="n">
        <v>5</v>
      </c>
      <c r="D4197" s="3" t="n">
        <v>9</v>
      </c>
      <c r="E4197" s="3" t="n">
        <v>23</v>
      </c>
      <c r="F4197" s="24" t="n">
        <v>0.51512605</v>
      </c>
    </row>
    <row r="4198" customFormat="false" ht="15" hidden="false" customHeight="false" outlineLevel="0" collapsed="false">
      <c r="A4198" s="3" t="n">
        <v>4197</v>
      </c>
      <c r="B4198" s="3" t="n">
        <v>4196</v>
      </c>
      <c r="C4198" s="3" t="n">
        <v>5</v>
      </c>
      <c r="D4198" s="3" t="n">
        <v>9</v>
      </c>
      <c r="E4198" s="3" t="n">
        <v>24</v>
      </c>
      <c r="F4198" s="24" t="n">
        <v>0.51512605</v>
      </c>
    </row>
    <row r="4199" customFormat="false" ht="15" hidden="false" customHeight="false" outlineLevel="0" collapsed="false">
      <c r="A4199" s="3" t="n">
        <v>4198</v>
      </c>
      <c r="B4199" s="3" t="n">
        <v>4197</v>
      </c>
      <c r="C4199" s="3" t="n">
        <v>5</v>
      </c>
      <c r="D4199" s="3" t="n">
        <v>9</v>
      </c>
      <c r="E4199" s="3" t="n">
        <v>25</v>
      </c>
      <c r="F4199" s="24" t="n">
        <v>0.51512605</v>
      </c>
    </row>
    <row r="4200" customFormat="false" ht="15" hidden="false" customHeight="false" outlineLevel="0" collapsed="false">
      <c r="A4200" s="3" t="n">
        <v>4199</v>
      </c>
      <c r="B4200" s="3" t="n">
        <v>4198</v>
      </c>
      <c r="C4200" s="3" t="n">
        <v>5</v>
      </c>
      <c r="D4200" s="3" t="n">
        <v>9</v>
      </c>
      <c r="E4200" s="3" t="n">
        <v>26</v>
      </c>
      <c r="F4200" s="24" t="n">
        <v>0.51512605</v>
      </c>
    </row>
    <row r="4201" customFormat="false" ht="15" hidden="false" customHeight="false" outlineLevel="0" collapsed="false">
      <c r="A4201" s="3" t="n">
        <v>4200</v>
      </c>
      <c r="B4201" s="3" t="n">
        <v>4199</v>
      </c>
      <c r="C4201" s="3" t="n">
        <v>5</v>
      </c>
      <c r="D4201" s="3" t="n">
        <v>9</v>
      </c>
      <c r="E4201" s="3" t="n">
        <v>27</v>
      </c>
      <c r="F4201" s="24" t="n">
        <v>0.459515482</v>
      </c>
    </row>
    <row r="4202" customFormat="false" ht="15" hidden="false" customHeight="false" outlineLevel="0" collapsed="false">
      <c r="A4202" s="3" t="n">
        <v>4201</v>
      </c>
      <c r="B4202" s="3" t="n">
        <v>4200</v>
      </c>
      <c r="C4202" s="3" t="n">
        <v>5</v>
      </c>
      <c r="D4202" s="3" t="n">
        <v>10</v>
      </c>
      <c r="E4202" s="3" t="n">
        <v>0</v>
      </c>
      <c r="F4202" s="24" t="n">
        <v>0.354324996</v>
      </c>
    </row>
    <row r="4203" customFormat="false" ht="15" hidden="false" customHeight="false" outlineLevel="0" collapsed="false">
      <c r="A4203" s="3" t="n">
        <v>4202</v>
      </c>
      <c r="B4203" s="3" t="n">
        <v>4201</v>
      </c>
      <c r="C4203" s="3" t="n">
        <v>5</v>
      </c>
      <c r="D4203" s="3" t="n">
        <v>10</v>
      </c>
      <c r="E4203" s="3" t="n">
        <v>1</v>
      </c>
      <c r="F4203" s="24" t="n">
        <v>0.51512605</v>
      </c>
    </row>
    <row r="4204" customFormat="false" ht="15" hidden="false" customHeight="false" outlineLevel="0" collapsed="false">
      <c r="A4204" s="3" t="n">
        <v>4203</v>
      </c>
      <c r="B4204" s="3" t="n">
        <v>4202</v>
      </c>
      <c r="C4204" s="3" t="n">
        <v>5</v>
      </c>
      <c r="D4204" s="3" t="n">
        <v>10</v>
      </c>
      <c r="E4204" s="3" t="n">
        <v>2</v>
      </c>
      <c r="F4204" s="24" t="n">
        <v>0.51512605</v>
      </c>
    </row>
    <row r="4205" customFormat="false" ht="15" hidden="false" customHeight="false" outlineLevel="0" collapsed="false">
      <c r="A4205" s="3" t="n">
        <v>4204</v>
      </c>
      <c r="B4205" s="3" t="n">
        <v>4203</v>
      </c>
      <c r="C4205" s="3" t="n">
        <v>5</v>
      </c>
      <c r="D4205" s="3" t="n">
        <v>10</v>
      </c>
      <c r="E4205" s="3" t="n">
        <v>3</v>
      </c>
      <c r="F4205" s="24" t="n">
        <v>0.51512605</v>
      </c>
    </row>
    <row r="4206" customFormat="false" ht="15" hidden="false" customHeight="false" outlineLevel="0" collapsed="false">
      <c r="A4206" s="3" t="n">
        <v>4205</v>
      </c>
      <c r="B4206" s="3" t="n">
        <v>4204</v>
      </c>
      <c r="C4206" s="3" t="n">
        <v>5</v>
      </c>
      <c r="D4206" s="3" t="n">
        <v>10</v>
      </c>
      <c r="E4206" s="3" t="n">
        <v>4</v>
      </c>
      <c r="F4206" s="24" t="n">
        <v>0.51512605</v>
      </c>
    </row>
    <row r="4207" customFormat="false" ht="15" hidden="false" customHeight="false" outlineLevel="0" collapsed="false">
      <c r="A4207" s="3" t="n">
        <v>4206</v>
      </c>
      <c r="B4207" s="3" t="n">
        <v>4205</v>
      </c>
      <c r="C4207" s="3" t="n">
        <v>5</v>
      </c>
      <c r="D4207" s="3" t="n">
        <v>10</v>
      </c>
      <c r="E4207" s="3" t="n">
        <v>5</v>
      </c>
      <c r="F4207" s="24" t="n">
        <v>0.80961585</v>
      </c>
    </row>
    <row r="4208" customFormat="false" ht="15" hidden="false" customHeight="false" outlineLevel="0" collapsed="false">
      <c r="A4208" s="3" t="n">
        <v>4207</v>
      </c>
      <c r="B4208" s="3" t="n">
        <v>4206</v>
      </c>
      <c r="C4208" s="3" t="n">
        <v>5</v>
      </c>
      <c r="D4208" s="3" t="n">
        <v>10</v>
      </c>
      <c r="E4208" s="3" t="n">
        <v>6</v>
      </c>
      <c r="F4208" s="24" t="n">
        <v>1.5498873</v>
      </c>
    </row>
    <row r="4209" customFormat="false" ht="15" hidden="false" customHeight="false" outlineLevel="0" collapsed="false">
      <c r="A4209" s="3" t="n">
        <v>4208</v>
      </c>
      <c r="B4209" s="3" t="n">
        <v>4207</v>
      </c>
      <c r="C4209" s="3" t="n">
        <v>5</v>
      </c>
      <c r="D4209" s="3" t="n">
        <v>10</v>
      </c>
      <c r="E4209" s="3" t="n">
        <v>7</v>
      </c>
      <c r="F4209" s="24" t="n">
        <v>1.99164784</v>
      </c>
    </row>
    <row r="4210" customFormat="false" ht="15" hidden="false" customHeight="false" outlineLevel="0" collapsed="false">
      <c r="A4210" s="3" t="n">
        <v>4209</v>
      </c>
      <c r="B4210" s="3" t="n">
        <v>4208</v>
      </c>
      <c r="C4210" s="3" t="n">
        <v>5</v>
      </c>
      <c r="D4210" s="3" t="n">
        <v>10</v>
      </c>
      <c r="E4210" s="3" t="n">
        <v>8</v>
      </c>
      <c r="F4210" s="24" t="n">
        <v>2.01846957</v>
      </c>
    </row>
    <row r="4211" customFormat="false" ht="15" hidden="false" customHeight="false" outlineLevel="0" collapsed="false">
      <c r="A4211" s="3" t="n">
        <v>4210</v>
      </c>
      <c r="B4211" s="3" t="n">
        <v>4209</v>
      </c>
      <c r="C4211" s="3" t="n">
        <v>5</v>
      </c>
      <c r="D4211" s="3" t="n">
        <v>10</v>
      </c>
      <c r="E4211" s="3" t="n">
        <v>9</v>
      </c>
      <c r="F4211" s="24" t="n">
        <v>2.41043139</v>
      </c>
    </row>
    <row r="4212" customFormat="false" ht="15" hidden="false" customHeight="false" outlineLevel="0" collapsed="false">
      <c r="A4212" s="3" t="n">
        <v>4211</v>
      </c>
      <c r="B4212" s="3" t="n">
        <v>4210</v>
      </c>
      <c r="C4212" s="3" t="n">
        <v>5</v>
      </c>
      <c r="D4212" s="3" t="n">
        <v>10</v>
      </c>
      <c r="E4212" s="3" t="n">
        <v>10</v>
      </c>
      <c r="F4212" s="24" t="n">
        <v>3.05183196</v>
      </c>
    </row>
    <row r="4213" customFormat="false" ht="15" hidden="false" customHeight="false" outlineLevel="0" collapsed="false">
      <c r="A4213" s="3" t="n">
        <v>4212</v>
      </c>
      <c r="B4213" s="3" t="n">
        <v>4211</v>
      </c>
      <c r="C4213" s="3" t="n">
        <v>5</v>
      </c>
      <c r="D4213" s="3" t="n">
        <v>10</v>
      </c>
      <c r="E4213" s="3" t="n">
        <v>11</v>
      </c>
      <c r="F4213" s="24" t="n">
        <v>3.28555202</v>
      </c>
    </row>
    <row r="4214" customFormat="false" ht="15" hidden="false" customHeight="false" outlineLevel="0" collapsed="false">
      <c r="A4214" s="3" t="n">
        <v>4213</v>
      </c>
      <c r="B4214" s="3" t="n">
        <v>4212</v>
      </c>
      <c r="C4214" s="3" t="n">
        <v>5</v>
      </c>
      <c r="D4214" s="3" t="n">
        <v>10</v>
      </c>
      <c r="E4214" s="3" t="n">
        <v>12</v>
      </c>
      <c r="F4214" s="24" t="n">
        <v>4.10632038</v>
      </c>
    </row>
    <row r="4215" customFormat="false" ht="15" hidden="false" customHeight="false" outlineLevel="0" collapsed="false">
      <c r="A4215" s="3" t="n">
        <v>4214</v>
      </c>
      <c r="B4215" s="3" t="n">
        <v>4213</v>
      </c>
      <c r="C4215" s="3" t="n">
        <v>5</v>
      </c>
      <c r="D4215" s="3" t="n">
        <v>10</v>
      </c>
      <c r="E4215" s="3" t="n">
        <v>13</v>
      </c>
      <c r="F4215" s="24" t="n">
        <v>3.69463253</v>
      </c>
    </row>
    <row r="4216" customFormat="false" ht="15" hidden="false" customHeight="false" outlineLevel="0" collapsed="false">
      <c r="A4216" s="3" t="n">
        <v>4215</v>
      </c>
      <c r="B4216" s="3" t="n">
        <v>4214</v>
      </c>
      <c r="C4216" s="3" t="n">
        <v>5</v>
      </c>
      <c r="D4216" s="3" t="n">
        <v>10</v>
      </c>
      <c r="E4216" s="3" t="n">
        <v>14</v>
      </c>
      <c r="F4216" s="24" t="n">
        <v>3.63347268</v>
      </c>
    </row>
    <row r="4217" customFormat="false" ht="15" hidden="false" customHeight="false" outlineLevel="0" collapsed="false">
      <c r="A4217" s="3" t="n">
        <v>4216</v>
      </c>
      <c r="B4217" s="3" t="n">
        <v>4215</v>
      </c>
      <c r="C4217" s="3" t="n">
        <v>5</v>
      </c>
      <c r="D4217" s="3" t="n">
        <v>10</v>
      </c>
      <c r="E4217" s="3" t="n">
        <v>15</v>
      </c>
      <c r="F4217" s="24" t="n">
        <v>3.81269598</v>
      </c>
    </row>
    <row r="4218" customFormat="false" ht="15" hidden="false" customHeight="false" outlineLevel="0" collapsed="false">
      <c r="A4218" s="3" t="n">
        <v>4217</v>
      </c>
      <c r="B4218" s="3" t="n">
        <v>4216</v>
      </c>
      <c r="C4218" s="3" t="n">
        <v>5</v>
      </c>
      <c r="D4218" s="3" t="n">
        <v>10</v>
      </c>
      <c r="E4218" s="3" t="n">
        <v>16</v>
      </c>
      <c r="F4218" s="24" t="n">
        <v>3.88366771</v>
      </c>
    </row>
    <row r="4219" customFormat="false" ht="15" hidden="false" customHeight="false" outlineLevel="0" collapsed="false">
      <c r="A4219" s="3" t="n">
        <v>4218</v>
      </c>
      <c r="B4219" s="3" t="n">
        <v>4217</v>
      </c>
      <c r="C4219" s="3" t="n">
        <v>5</v>
      </c>
      <c r="D4219" s="3" t="n">
        <v>10</v>
      </c>
      <c r="E4219" s="3" t="n">
        <v>17</v>
      </c>
      <c r="F4219" s="24" t="n">
        <v>4.61280918</v>
      </c>
    </row>
    <row r="4220" customFormat="false" ht="15" hidden="false" customHeight="false" outlineLevel="0" collapsed="false">
      <c r="A4220" s="3" t="n">
        <v>4219</v>
      </c>
      <c r="B4220" s="3" t="n">
        <v>4218</v>
      </c>
      <c r="C4220" s="3" t="n">
        <v>5</v>
      </c>
      <c r="D4220" s="3" t="n">
        <v>10</v>
      </c>
      <c r="E4220" s="3" t="n">
        <v>18</v>
      </c>
      <c r="F4220" s="24" t="n">
        <v>2.37968683</v>
      </c>
    </row>
    <row r="4221" customFormat="false" ht="15" hidden="false" customHeight="false" outlineLevel="0" collapsed="false">
      <c r="A4221" s="3" t="n">
        <v>4220</v>
      </c>
      <c r="B4221" s="3" t="n">
        <v>4219</v>
      </c>
      <c r="C4221" s="3" t="n">
        <v>5</v>
      </c>
      <c r="D4221" s="3" t="n">
        <v>10</v>
      </c>
      <c r="E4221" s="3" t="n">
        <v>19</v>
      </c>
      <c r="F4221" s="24" t="n">
        <v>0</v>
      </c>
    </row>
    <row r="4222" customFormat="false" ht="15" hidden="false" customHeight="false" outlineLevel="0" collapsed="false">
      <c r="A4222" s="3" t="n">
        <v>4221</v>
      </c>
      <c r="B4222" s="3" t="n">
        <v>4220</v>
      </c>
      <c r="C4222" s="3" t="n">
        <v>5</v>
      </c>
      <c r="D4222" s="3" t="n">
        <v>10</v>
      </c>
      <c r="E4222" s="3" t="n">
        <v>20</v>
      </c>
      <c r="F4222" s="24" t="n">
        <v>0</v>
      </c>
    </row>
    <row r="4223" customFormat="false" ht="15" hidden="false" customHeight="false" outlineLevel="0" collapsed="false">
      <c r="A4223" s="3" t="n">
        <v>4222</v>
      </c>
      <c r="B4223" s="3" t="n">
        <v>4221</v>
      </c>
      <c r="C4223" s="3" t="n">
        <v>5</v>
      </c>
      <c r="D4223" s="3" t="n">
        <v>10</v>
      </c>
      <c r="E4223" s="3" t="n">
        <v>21</v>
      </c>
      <c r="F4223" s="24" t="n">
        <v>0.469752669</v>
      </c>
    </row>
    <row r="4224" customFormat="false" ht="15" hidden="false" customHeight="false" outlineLevel="0" collapsed="false">
      <c r="A4224" s="3" t="n">
        <v>4223</v>
      </c>
      <c r="B4224" s="3" t="n">
        <v>4222</v>
      </c>
      <c r="C4224" s="3" t="n">
        <v>5</v>
      </c>
      <c r="D4224" s="3" t="n">
        <v>10</v>
      </c>
      <c r="E4224" s="3" t="n">
        <v>22</v>
      </c>
      <c r="F4224" s="24" t="n">
        <v>1.00360608</v>
      </c>
    </row>
    <row r="4225" customFormat="false" ht="15" hidden="false" customHeight="false" outlineLevel="0" collapsed="false">
      <c r="A4225" s="3" t="n">
        <v>4224</v>
      </c>
      <c r="B4225" s="3" t="n">
        <v>4223</v>
      </c>
      <c r="C4225" s="3" t="n">
        <v>5</v>
      </c>
      <c r="D4225" s="3" t="n">
        <v>10</v>
      </c>
      <c r="E4225" s="3" t="n">
        <v>23</v>
      </c>
      <c r="F4225" s="24" t="n">
        <v>0.51512605</v>
      </c>
    </row>
    <row r="4226" customFormat="false" ht="15" hidden="false" customHeight="false" outlineLevel="0" collapsed="false">
      <c r="A4226" s="3" t="n">
        <v>4225</v>
      </c>
      <c r="B4226" s="3" t="n">
        <v>4224</v>
      </c>
      <c r="C4226" s="3" t="n">
        <v>5</v>
      </c>
      <c r="D4226" s="3" t="n">
        <v>10</v>
      </c>
      <c r="E4226" s="3" t="n">
        <v>24</v>
      </c>
      <c r="F4226" s="24" t="n">
        <v>0.51512605</v>
      </c>
    </row>
    <row r="4227" customFormat="false" ht="15" hidden="false" customHeight="false" outlineLevel="0" collapsed="false">
      <c r="A4227" s="3" t="n">
        <v>4226</v>
      </c>
      <c r="B4227" s="3" t="n">
        <v>4225</v>
      </c>
      <c r="C4227" s="3" t="n">
        <v>5</v>
      </c>
      <c r="D4227" s="3" t="n">
        <v>10</v>
      </c>
      <c r="E4227" s="3" t="n">
        <v>25</v>
      </c>
      <c r="F4227" s="24" t="n">
        <v>0.51512605</v>
      </c>
    </row>
    <row r="4228" customFormat="false" ht="15" hidden="false" customHeight="false" outlineLevel="0" collapsed="false">
      <c r="A4228" s="3" t="n">
        <v>4227</v>
      </c>
      <c r="B4228" s="3" t="n">
        <v>4226</v>
      </c>
      <c r="C4228" s="3" t="n">
        <v>5</v>
      </c>
      <c r="D4228" s="3" t="n">
        <v>10</v>
      </c>
      <c r="E4228" s="3" t="n">
        <v>26</v>
      </c>
      <c r="F4228" s="24" t="n">
        <v>0.51512605</v>
      </c>
    </row>
    <row r="4229" customFormat="false" ht="15" hidden="false" customHeight="false" outlineLevel="0" collapsed="false">
      <c r="A4229" s="3" t="n">
        <v>4228</v>
      </c>
      <c r="B4229" s="3" t="n">
        <v>4227</v>
      </c>
      <c r="C4229" s="3" t="n">
        <v>5</v>
      </c>
      <c r="D4229" s="3" t="n">
        <v>10</v>
      </c>
      <c r="E4229" s="3" t="n">
        <v>27</v>
      </c>
      <c r="F4229" s="24" t="n">
        <v>0.459515482</v>
      </c>
    </row>
    <row r="4230" customFormat="false" ht="15" hidden="false" customHeight="false" outlineLevel="0" collapsed="false">
      <c r="A4230" s="3" t="n">
        <v>4229</v>
      </c>
      <c r="B4230" s="3" t="n">
        <v>4228</v>
      </c>
      <c r="C4230" s="3" t="n">
        <v>5</v>
      </c>
      <c r="D4230" s="3" t="n">
        <v>11</v>
      </c>
      <c r="E4230" s="3" t="n">
        <v>0</v>
      </c>
      <c r="F4230" s="24" t="n">
        <v>0.354324996</v>
      </c>
    </row>
    <row r="4231" customFormat="false" ht="15" hidden="false" customHeight="false" outlineLevel="0" collapsed="false">
      <c r="A4231" s="3" t="n">
        <v>4230</v>
      </c>
      <c r="B4231" s="3" t="n">
        <v>4229</v>
      </c>
      <c r="C4231" s="3" t="n">
        <v>5</v>
      </c>
      <c r="D4231" s="3" t="n">
        <v>11</v>
      </c>
      <c r="E4231" s="3" t="n">
        <v>1</v>
      </c>
      <c r="F4231" s="24" t="n">
        <v>0.51512605</v>
      </c>
    </row>
    <row r="4232" customFormat="false" ht="15" hidden="false" customHeight="false" outlineLevel="0" collapsed="false">
      <c r="A4232" s="3" t="n">
        <v>4231</v>
      </c>
      <c r="B4232" s="3" t="n">
        <v>4230</v>
      </c>
      <c r="C4232" s="3" t="n">
        <v>5</v>
      </c>
      <c r="D4232" s="3" t="n">
        <v>11</v>
      </c>
      <c r="E4232" s="3" t="n">
        <v>2</v>
      </c>
      <c r="F4232" s="24" t="n">
        <v>0.51512605</v>
      </c>
    </row>
    <row r="4233" customFormat="false" ht="15" hidden="false" customHeight="false" outlineLevel="0" collapsed="false">
      <c r="A4233" s="3" t="n">
        <v>4232</v>
      </c>
      <c r="B4233" s="3" t="n">
        <v>4231</v>
      </c>
      <c r="C4233" s="3" t="n">
        <v>5</v>
      </c>
      <c r="D4233" s="3" t="n">
        <v>11</v>
      </c>
      <c r="E4233" s="3" t="n">
        <v>3</v>
      </c>
      <c r="F4233" s="24" t="n">
        <v>0.51512605</v>
      </c>
    </row>
    <row r="4234" customFormat="false" ht="15" hidden="false" customHeight="false" outlineLevel="0" collapsed="false">
      <c r="A4234" s="3" t="n">
        <v>4233</v>
      </c>
      <c r="B4234" s="3" t="n">
        <v>4232</v>
      </c>
      <c r="C4234" s="3" t="n">
        <v>5</v>
      </c>
      <c r="D4234" s="3" t="n">
        <v>11</v>
      </c>
      <c r="E4234" s="3" t="n">
        <v>4</v>
      </c>
      <c r="F4234" s="24" t="n">
        <v>0.51512605</v>
      </c>
    </row>
    <row r="4235" customFormat="false" ht="15" hidden="false" customHeight="false" outlineLevel="0" collapsed="false">
      <c r="A4235" s="3" t="n">
        <v>4234</v>
      </c>
      <c r="B4235" s="3" t="n">
        <v>4233</v>
      </c>
      <c r="C4235" s="3" t="n">
        <v>5</v>
      </c>
      <c r="D4235" s="3" t="n">
        <v>11</v>
      </c>
      <c r="E4235" s="3" t="n">
        <v>5</v>
      </c>
      <c r="F4235" s="24" t="n">
        <v>0.51512605</v>
      </c>
    </row>
    <row r="4236" customFormat="false" ht="15" hidden="false" customHeight="false" outlineLevel="0" collapsed="false">
      <c r="A4236" s="3" t="n">
        <v>4235</v>
      </c>
      <c r="B4236" s="3" t="n">
        <v>4234</v>
      </c>
      <c r="C4236" s="3" t="n">
        <v>5</v>
      </c>
      <c r="D4236" s="3" t="n">
        <v>11</v>
      </c>
      <c r="E4236" s="3" t="n">
        <v>6</v>
      </c>
      <c r="F4236" s="24" t="n">
        <v>0.51512605</v>
      </c>
    </row>
    <row r="4237" customFormat="false" ht="15" hidden="false" customHeight="false" outlineLevel="0" collapsed="false">
      <c r="A4237" s="3" t="n">
        <v>4236</v>
      </c>
      <c r="B4237" s="3" t="n">
        <v>4235</v>
      </c>
      <c r="C4237" s="3" t="n">
        <v>5</v>
      </c>
      <c r="D4237" s="3" t="n">
        <v>11</v>
      </c>
      <c r="E4237" s="3" t="n">
        <v>7</v>
      </c>
      <c r="F4237" s="24" t="n">
        <v>0.51512605</v>
      </c>
    </row>
    <row r="4238" customFormat="false" ht="15" hidden="false" customHeight="false" outlineLevel="0" collapsed="false">
      <c r="A4238" s="3" t="n">
        <v>4237</v>
      </c>
      <c r="B4238" s="3" t="n">
        <v>4236</v>
      </c>
      <c r="C4238" s="3" t="n">
        <v>5</v>
      </c>
      <c r="D4238" s="3" t="n">
        <v>11</v>
      </c>
      <c r="E4238" s="3" t="n">
        <v>8</v>
      </c>
      <c r="F4238" s="24" t="n">
        <v>0.51512605</v>
      </c>
    </row>
    <row r="4239" customFormat="false" ht="15" hidden="false" customHeight="false" outlineLevel="0" collapsed="false">
      <c r="A4239" s="3" t="n">
        <v>4238</v>
      </c>
      <c r="B4239" s="3" t="n">
        <v>4237</v>
      </c>
      <c r="C4239" s="3" t="n">
        <v>5</v>
      </c>
      <c r="D4239" s="3" t="n">
        <v>11</v>
      </c>
      <c r="E4239" s="3" t="n">
        <v>9</v>
      </c>
      <c r="F4239" s="24" t="n">
        <v>0.51512605</v>
      </c>
    </row>
    <row r="4240" customFormat="false" ht="15" hidden="false" customHeight="false" outlineLevel="0" collapsed="false">
      <c r="A4240" s="3" t="n">
        <v>4239</v>
      </c>
      <c r="B4240" s="3" t="n">
        <v>4238</v>
      </c>
      <c r="C4240" s="3" t="n">
        <v>5</v>
      </c>
      <c r="D4240" s="3" t="n">
        <v>11</v>
      </c>
      <c r="E4240" s="3" t="n">
        <v>10</v>
      </c>
      <c r="F4240" s="24" t="n">
        <v>0.589847267</v>
      </c>
    </row>
    <row r="4241" customFormat="false" ht="15" hidden="false" customHeight="false" outlineLevel="0" collapsed="false">
      <c r="A4241" s="3" t="n">
        <v>4240</v>
      </c>
      <c r="B4241" s="3" t="n">
        <v>4239</v>
      </c>
      <c r="C4241" s="3" t="n">
        <v>5</v>
      </c>
      <c r="D4241" s="3" t="n">
        <v>11</v>
      </c>
      <c r="E4241" s="3" t="n">
        <v>11</v>
      </c>
      <c r="F4241" s="24" t="n">
        <v>0.940634072</v>
      </c>
    </row>
    <row r="4242" customFormat="false" ht="15" hidden="false" customHeight="false" outlineLevel="0" collapsed="false">
      <c r="A4242" s="3" t="n">
        <v>4241</v>
      </c>
      <c r="B4242" s="3" t="n">
        <v>4240</v>
      </c>
      <c r="C4242" s="3" t="n">
        <v>5</v>
      </c>
      <c r="D4242" s="3" t="n">
        <v>11</v>
      </c>
      <c r="E4242" s="3" t="n">
        <v>12</v>
      </c>
      <c r="F4242" s="24" t="n">
        <v>1.16632175</v>
      </c>
    </row>
    <row r="4243" customFormat="false" ht="15" hidden="false" customHeight="false" outlineLevel="0" collapsed="false">
      <c r="A4243" s="3" t="n">
        <v>4242</v>
      </c>
      <c r="B4243" s="3" t="n">
        <v>4241</v>
      </c>
      <c r="C4243" s="3" t="n">
        <v>5</v>
      </c>
      <c r="D4243" s="3" t="n">
        <v>11</v>
      </c>
      <c r="E4243" s="3" t="n">
        <v>13</v>
      </c>
      <c r="F4243" s="24" t="n">
        <v>1.16935933</v>
      </c>
    </row>
    <row r="4244" customFormat="false" ht="15" hidden="false" customHeight="false" outlineLevel="0" collapsed="false">
      <c r="A4244" s="3" t="n">
        <v>4243</v>
      </c>
      <c r="B4244" s="3" t="n">
        <v>4242</v>
      </c>
      <c r="C4244" s="3" t="n">
        <v>5</v>
      </c>
      <c r="D4244" s="3" t="n">
        <v>11</v>
      </c>
      <c r="E4244" s="3" t="n">
        <v>14</v>
      </c>
      <c r="F4244" s="24" t="n">
        <v>1.3959589</v>
      </c>
    </row>
    <row r="4245" customFormat="false" ht="15" hidden="false" customHeight="false" outlineLevel="0" collapsed="false">
      <c r="A4245" s="3" t="n">
        <v>4244</v>
      </c>
      <c r="B4245" s="3" t="n">
        <v>4243</v>
      </c>
      <c r="C4245" s="3" t="n">
        <v>5</v>
      </c>
      <c r="D4245" s="3" t="n">
        <v>11</v>
      </c>
      <c r="E4245" s="3" t="n">
        <v>15</v>
      </c>
      <c r="F4245" s="24" t="n">
        <v>1.59529221</v>
      </c>
    </row>
    <row r="4246" customFormat="false" ht="15" hidden="false" customHeight="false" outlineLevel="0" collapsed="false">
      <c r="A4246" s="3" t="n">
        <v>4245</v>
      </c>
      <c r="B4246" s="3" t="n">
        <v>4244</v>
      </c>
      <c r="C4246" s="3" t="n">
        <v>5</v>
      </c>
      <c r="D4246" s="3" t="n">
        <v>11</v>
      </c>
      <c r="E4246" s="3" t="n">
        <v>16</v>
      </c>
      <c r="F4246" s="24" t="n">
        <v>1.67024374</v>
      </c>
    </row>
    <row r="4247" customFormat="false" ht="15" hidden="false" customHeight="false" outlineLevel="0" collapsed="false">
      <c r="A4247" s="3" t="n">
        <v>4246</v>
      </c>
      <c r="B4247" s="3" t="n">
        <v>4245</v>
      </c>
      <c r="C4247" s="3" t="n">
        <v>5</v>
      </c>
      <c r="D4247" s="3" t="n">
        <v>11</v>
      </c>
      <c r="E4247" s="3" t="n">
        <v>17</v>
      </c>
      <c r="F4247" s="24" t="n">
        <v>1.39050722</v>
      </c>
    </row>
    <row r="4248" customFormat="false" ht="15" hidden="false" customHeight="false" outlineLevel="0" collapsed="false">
      <c r="A4248" s="3" t="n">
        <v>4247</v>
      </c>
      <c r="B4248" s="3" t="n">
        <v>4246</v>
      </c>
      <c r="C4248" s="3" t="n">
        <v>5</v>
      </c>
      <c r="D4248" s="3" t="n">
        <v>11</v>
      </c>
      <c r="E4248" s="3" t="n">
        <v>18</v>
      </c>
      <c r="F4248" s="24" t="n">
        <v>0</v>
      </c>
    </row>
    <row r="4249" customFormat="false" ht="15" hidden="false" customHeight="false" outlineLevel="0" collapsed="false">
      <c r="A4249" s="3" t="n">
        <v>4248</v>
      </c>
      <c r="B4249" s="3" t="n">
        <v>4247</v>
      </c>
      <c r="C4249" s="3" t="n">
        <v>5</v>
      </c>
      <c r="D4249" s="3" t="n">
        <v>11</v>
      </c>
      <c r="E4249" s="3" t="n">
        <v>19</v>
      </c>
      <c r="F4249" s="24" t="n">
        <v>0</v>
      </c>
    </row>
    <row r="4250" customFormat="false" ht="15" hidden="false" customHeight="false" outlineLevel="0" collapsed="false">
      <c r="A4250" s="3" t="n">
        <v>4249</v>
      </c>
      <c r="B4250" s="3" t="n">
        <v>4248</v>
      </c>
      <c r="C4250" s="3" t="n">
        <v>5</v>
      </c>
      <c r="D4250" s="3" t="n">
        <v>11</v>
      </c>
      <c r="E4250" s="3" t="n">
        <v>20</v>
      </c>
      <c r="F4250" s="24" t="n">
        <v>0.347005099</v>
      </c>
    </row>
    <row r="4251" customFormat="false" ht="15" hidden="false" customHeight="false" outlineLevel="0" collapsed="false">
      <c r="A4251" s="3" t="n">
        <v>4250</v>
      </c>
      <c r="B4251" s="3" t="n">
        <v>4249</v>
      </c>
      <c r="C4251" s="3" t="n">
        <v>5</v>
      </c>
      <c r="D4251" s="3" t="n">
        <v>11</v>
      </c>
      <c r="E4251" s="3" t="n">
        <v>21</v>
      </c>
      <c r="F4251" s="24" t="n">
        <v>1.73012567</v>
      </c>
    </row>
    <row r="4252" customFormat="false" ht="15" hidden="false" customHeight="false" outlineLevel="0" collapsed="false">
      <c r="A4252" s="3" t="n">
        <v>4251</v>
      </c>
      <c r="B4252" s="3" t="n">
        <v>4250</v>
      </c>
      <c r="C4252" s="3" t="n">
        <v>5</v>
      </c>
      <c r="D4252" s="3" t="n">
        <v>11</v>
      </c>
      <c r="E4252" s="3" t="n">
        <v>22</v>
      </c>
      <c r="F4252" s="24" t="n">
        <v>0.937618434</v>
      </c>
    </row>
    <row r="4253" customFormat="false" ht="15" hidden="false" customHeight="false" outlineLevel="0" collapsed="false">
      <c r="A4253" s="3" t="n">
        <v>4252</v>
      </c>
      <c r="B4253" s="3" t="n">
        <v>4251</v>
      </c>
      <c r="C4253" s="3" t="n">
        <v>5</v>
      </c>
      <c r="D4253" s="3" t="n">
        <v>11</v>
      </c>
      <c r="E4253" s="3" t="n">
        <v>23</v>
      </c>
      <c r="F4253" s="24" t="n">
        <v>0.51512605</v>
      </c>
    </row>
    <row r="4254" customFormat="false" ht="15" hidden="false" customHeight="false" outlineLevel="0" collapsed="false">
      <c r="A4254" s="3" t="n">
        <v>4253</v>
      </c>
      <c r="B4254" s="3" t="n">
        <v>4252</v>
      </c>
      <c r="C4254" s="3" t="n">
        <v>5</v>
      </c>
      <c r="D4254" s="3" t="n">
        <v>11</v>
      </c>
      <c r="E4254" s="3" t="n">
        <v>24</v>
      </c>
      <c r="F4254" s="24" t="n">
        <v>0.51512605</v>
      </c>
    </row>
    <row r="4255" customFormat="false" ht="15" hidden="false" customHeight="false" outlineLevel="0" collapsed="false">
      <c r="A4255" s="3" t="n">
        <v>4254</v>
      </c>
      <c r="B4255" s="3" t="n">
        <v>4253</v>
      </c>
      <c r="C4255" s="3" t="n">
        <v>5</v>
      </c>
      <c r="D4255" s="3" t="n">
        <v>11</v>
      </c>
      <c r="E4255" s="3" t="n">
        <v>25</v>
      </c>
      <c r="F4255" s="24" t="n">
        <v>0.51512605</v>
      </c>
    </row>
    <row r="4256" customFormat="false" ht="15" hidden="false" customHeight="false" outlineLevel="0" collapsed="false">
      <c r="A4256" s="3" t="n">
        <v>4255</v>
      </c>
      <c r="B4256" s="3" t="n">
        <v>4254</v>
      </c>
      <c r="C4256" s="3" t="n">
        <v>5</v>
      </c>
      <c r="D4256" s="3" t="n">
        <v>11</v>
      </c>
      <c r="E4256" s="3" t="n">
        <v>26</v>
      </c>
      <c r="F4256" s="24" t="n">
        <v>0.51512605</v>
      </c>
    </row>
    <row r="4257" customFormat="false" ht="15" hidden="false" customHeight="false" outlineLevel="0" collapsed="false">
      <c r="A4257" s="3" t="n">
        <v>4256</v>
      </c>
      <c r="B4257" s="3" t="n">
        <v>4255</v>
      </c>
      <c r="C4257" s="3" t="n">
        <v>5</v>
      </c>
      <c r="D4257" s="3" t="n">
        <v>11</v>
      </c>
      <c r="E4257" s="3" t="n">
        <v>27</v>
      </c>
      <c r="F4257" s="24" t="n">
        <v>0.459515482</v>
      </c>
    </row>
    <row r="4258" customFormat="false" ht="15" hidden="false" customHeight="false" outlineLevel="0" collapsed="false">
      <c r="A4258" s="3" t="n">
        <v>4257</v>
      </c>
      <c r="B4258" s="3" t="n">
        <v>4256</v>
      </c>
      <c r="C4258" s="3" t="n">
        <v>5</v>
      </c>
      <c r="D4258" s="3" t="n">
        <v>12</v>
      </c>
      <c r="E4258" s="3" t="n">
        <v>0</v>
      </c>
      <c r="F4258" s="24" t="n">
        <v>0.354324996</v>
      </c>
    </row>
    <row r="4259" customFormat="false" ht="15" hidden="false" customHeight="false" outlineLevel="0" collapsed="false">
      <c r="A4259" s="3" t="n">
        <v>4258</v>
      </c>
      <c r="B4259" s="3" t="n">
        <v>4257</v>
      </c>
      <c r="C4259" s="3" t="n">
        <v>5</v>
      </c>
      <c r="D4259" s="3" t="n">
        <v>12</v>
      </c>
      <c r="E4259" s="3" t="n">
        <v>1</v>
      </c>
      <c r="F4259" s="24" t="n">
        <v>0.51512605</v>
      </c>
    </row>
    <row r="4260" customFormat="false" ht="15" hidden="false" customHeight="false" outlineLevel="0" collapsed="false">
      <c r="A4260" s="3" t="n">
        <v>4259</v>
      </c>
      <c r="B4260" s="3" t="n">
        <v>4258</v>
      </c>
      <c r="C4260" s="3" t="n">
        <v>5</v>
      </c>
      <c r="D4260" s="3" t="n">
        <v>12</v>
      </c>
      <c r="E4260" s="3" t="n">
        <v>2</v>
      </c>
      <c r="F4260" s="24" t="n">
        <v>0.51512605</v>
      </c>
    </row>
    <row r="4261" customFormat="false" ht="15" hidden="false" customHeight="false" outlineLevel="0" collapsed="false">
      <c r="A4261" s="3" t="n">
        <v>4260</v>
      </c>
      <c r="B4261" s="3" t="n">
        <v>4259</v>
      </c>
      <c r="C4261" s="3" t="n">
        <v>5</v>
      </c>
      <c r="D4261" s="3" t="n">
        <v>12</v>
      </c>
      <c r="E4261" s="3" t="n">
        <v>3</v>
      </c>
      <c r="F4261" s="24" t="n">
        <v>0.51512605</v>
      </c>
    </row>
    <row r="4262" customFormat="false" ht="15" hidden="false" customHeight="false" outlineLevel="0" collapsed="false">
      <c r="A4262" s="3" t="n">
        <v>4261</v>
      </c>
      <c r="B4262" s="3" t="n">
        <v>4260</v>
      </c>
      <c r="C4262" s="3" t="n">
        <v>5</v>
      </c>
      <c r="D4262" s="3" t="n">
        <v>12</v>
      </c>
      <c r="E4262" s="3" t="n">
        <v>4</v>
      </c>
      <c r="F4262" s="24" t="n">
        <v>0.51512605</v>
      </c>
    </row>
    <row r="4263" customFormat="false" ht="15" hidden="false" customHeight="false" outlineLevel="0" collapsed="false">
      <c r="A4263" s="3" t="n">
        <v>4262</v>
      </c>
      <c r="B4263" s="3" t="n">
        <v>4261</v>
      </c>
      <c r="C4263" s="3" t="n">
        <v>5</v>
      </c>
      <c r="D4263" s="3" t="n">
        <v>12</v>
      </c>
      <c r="E4263" s="3" t="n">
        <v>5</v>
      </c>
      <c r="F4263" s="24" t="n">
        <v>0.51512605</v>
      </c>
    </row>
    <row r="4264" customFormat="false" ht="15" hidden="false" customHeight="false" outlineLevel="0" collapsed="false">
      <c r="A4264" s="3" t="n">
        <v>4263</v>
      </c>
      <c r="B4264" s="3" t="n">
        <v>4262</v>
      </c>
      <c r="C4264" s="3" t="n">
        <v>5</v>
      </c>
      <c r="D4264" s="3" t="n">
        <v>12</v>
      </c>
      <c r="E4264" s="3" t="n">
        <v>6</v>
      </c>
      <c r="F4264" s="24" t="n">
        <v>0.51512605</v>
      </c>
    </row>
    <row r="4265" customFormat="false" ht="15" hidden="false" customHeight="false" outlineLevel="0" collapsed="false">
      <c r="A4265" s="3" t="n">
        <v>4264</v>
      </c>
      <c r="B4265" s="3" t="n">
        <v>4263</v>
      </c>
      <c r="C4265" s="3" t="n">
        <v>5</v>
      </c>
      <c r="D4265" s="3" t="n">
        <v>12</v>
      </c>
      <c r="E4265" s="3" t="n">
        <v>7</v>
      </c>
      <c r="F4265" s="24" t="n">
        <v>0.51512605</v>
      </c>
    </row>
    <row r="4266" customFormat="false" ht="15" hidden="false" customHeight="false" outlineLevel="0" collapsed="false">
      <c r="A4266" s="3" t="n">
        <v>4265</v>
      </c>
      <c r="B4266" s="3" t="n">
        <v>4264</v>
      </c>
      <c r="C4266" s="3" t="n">
        <v>5</v>
      </c>
      <c r="D4266" s="3" t="n">
        <v>12</v>
      </c>
      <c r="E4266" s="3" t="n">
        <v>8</v>
      </c>
      <c r="F4266" s="24" t="n">
        <v>0.51512605</v>
      </c>
    </row>
    <row r="4267" customFormat="false" ht="15" hidden="false" customHeight="false" outlineLevel="0" collapsed="false">
      <c r="A4267" s="3" t="n">
        <v>4266</v>
      </c>
      <c r="B4267" s="3" t="n">
        <v>4265</v>
      </c>
      <c r="C4267" s="3" t="n">
        <v>5</v>
      </c>
      <c r="D4267" s="3" t="n">
        <v>12</v>
      </c>
      <c r="E4267" s="3" t="n">
        <v>9</v>
      </c>
      <c r="F4267" s="24" t="n">
        <v>0.51512605</v>
      </c>
    </row>
    <row r="4268" customFormat="false" ht="15" hidden="false" customHeight="false" outlineLevel="0" collapsed="false">
      <c r="A4268" s="3" t="n">
        <v>4267</v>
      </c>
      <c r="B4268" s="3" t="n">
        <v>4266</v>
      </c>
      <c r="C4268" s="3" t="n">
        <v>5</v>
      </c>
      <c r="D4268" s="3" t="n">
        <v>12</v>
      </c>
      <c r="E4268" s="3" t="n">
        <v>10</v>
      </c>
      <c r="F4268" s="24" t="n">
        <v>0.51512605</v>
      </c>
    </row>
    <row r="4269" customFormat="false" ht="15" hidden="false" customHeight="false" outlineLevel="0" collapsed="false">
      <c r="A4269" s="3" t="n">
        <v>4268</v>
      </c>
      <c r="B4269" s="3" t="n">
        <v>4267</v>
      </c>
      <c r="C4269" s="3" t="n">
        <v>5</v>
      </c>
      <c r="D4269" s="3" t="n">
        <v>12</v>
      </c>
      <c r="E4269" s="3" t="n">
        <v>11</v>
      </c>
      <c r="F4269" s="24" t="n">
        <v>0.51512605</v>
      </c>
    </row>
    <row r="4270" customFormat="false" ht="15" hidden="false" customHeight="false" outlineLevel="0" collapsed="false">
      <c r="A4270" s="3" t="n">
        <v>4269</v>
      </c>
      <c r="B4270" s="3" t="n">
        <v>4268</v>
      </c>
      <c r="C4270" s="3" t="n">
        <v>5</v>
      </c>
      <c r="D4270" s="3" t="n">
        <v>12</v>
      </c>
      <c r="E4270" s="3" t="n">
        <v>12</v>
      </c>
      <c r="F4270" s="24" t="n">
        <v>0.51512605</v>
      </c>
    </row>
    <row r="4271" customFormat="false" ht="15" hidden="false" customHeight="false" outlineLevel="0" collapsed="false">
      <c r="A4271" s="3" t="n">
        <v>4270</v>
      </c>
      <c r="B4271" s="3" t="n">
        <v>4269</v>
      </c>
      <c r="C4271" s="3" t="n">
        <v>5</v>
      </c>
      <c r="D4271" s="3" t="n">
        <v>12</v>
      </c>
      <c r="E4271" s="3" t="n">
        <v>13</v>
      </c>
      <c r="F4271" s="24" t="n">
        <v>0.51512605</v>
      </c>
    </row>
    <row r="4272" customFormat="false" ht="15" hidden="false" customHeight="false" outlineLevel="0" collapsed="false">
      <c r="A4272" s="3" t="n">
        <v>4271</v>
      </c>
      <c r="B4272" s="3" t="n">
        <v>4270</v>
      </c>
      <c r="C4272" s="3" t="n">
        <v>5</v>
      </c>
      <c r="D4272" s="3" t="n">
        <v>12</v>
      </c>
      <c r="E4272" s="3" t="n">
        <v>14</v>
      </c>
      <c r="F4272" s="24" t="n">
        <v>0.51512605</v>
      </c>
    </row>
    <row r="4273" customFormat="false" ht="15" hidden="false" customHeight="false" outlineLevel="0" collapsed="false">
      <c r="A4273" s="3" t="n">
        <v>4272</v>
      </c>
      <c r="B4273" s="3" t="n">
        <v>4271</v>
      </c>
      <c r="C4273" s="3" t="n">
        <v>5</v>
      </c>
      <c r="D4273" s="3" t="n">
        <v>12</v>
      </c>
      <c r="E4273" s="3" t="n">
        <v>15</v>
      </c>
      <c r="F4273" s="24" t="n">
        <v>0.51512605</v>
      </c>
    </row>
    <row r="4274" customFormat="false" ht="15" hidden="false" customHeight="false" outlineLevel="0" collapsed="false">
      <c r="A4274" s="3" t="n">
        <v>4273</v>
      </c>
      <c r="B4274" s="3" t="n">
        <v>4272</v>
      </c>
      <c r="C4274" s="3" t="n">
        <v>5</v>
      </c>
      <c r="D4274" s="3" t="n">
        <v>12</v>
      </c>
      <c r="E4274" s="3" t="n">
        <v>16</v>
      </c>
      <c r="F4274" s="24" t="n">
        <v>0.917276323</v>
      </c>
    </row>
    <row r="4275" customFormat="false" ht="15" hidden="false" customHeight="false" outlineLevel="0" collapsed="false">
      <c r="A4275" s="3" t="n">
        <v>4274</v>
      </c>
      <c r="B4275" s="3" t="n">
        <v>4273</v>
      </c>
      <c r="C4275" s="3" t="n">
        <v>5</v>
      </c>
      <c r="D4275" s="3" t="n">
        <v>12</v>
      </c>
      <c r="E4275" s="3" t="n">
        <v>17</v>
      </c>
      <c r="F4275" s="24" t="n">
        <v>0</v>
      </c>
    </row>
    <row r="4276" customFormat="false" ht="15" hidden="false" customHeight="false" outlineLevel="0" collapsed="false">
      <c r="A4276" s="3" t="n">
        <v>4275</v>
      </c>
      <c r="B4276" s="3" t="n">
        <v>4274</v>
      </c>
      <c r="C4276" s="3" t="n">
        <v>5</v>
      </c>
      <c r="D4276" s="3" t="n">
        <v>12</v>
      </c>
      <c r="E4276" s="3" t="n">
        <v>18</v>
      </c>
      <c r="F4276" s="24" t="n">
        <v>0</v>
      </c>
    </row>
    <row r="4277" customFormat="false" ht="15" hidden="false" customHeight="false" outlineLevel="0" collapsed="false">
      <c r="A4277" s="3" t="n">
        <v>4276</v>
      </c>
      <c r="B4277" s="3" t="n">
        <v>4275</v>
      </c>
      <c r="C4277" s="3" t="n">
        <v>5</v>
      </c>
      <c r="D4277" s="3" t="n">
        <v>12</v>
      </c>
      <c r="E4277" s="3" t="n">
        <v>19</v>
      </c>
      <c r="F4277" s="24" t="n">
        <v>0</v>
      </c>
    </row>
    <row r="4278" customFormat="false" ht="15" hidden="false" customHeight="false" outlineLevel="0" collapsed="false">
      <c r="A4278" s="3" t="n">
        <v>4277</v>
      </c>
      <c r="B4278" s="3" t="n">
        <v>4276</v>
      </c>
      <c r="C4278" s="3" t="n">
        <v>5</v>
      </c>
      <c r="D4278" s="3" t="n">
        <v>12</v>
      </c>
      <c r="E4278" s="3" t="n">
        <v>20</v>
      </c>
      <c r="F4278" s="24" t="n">
        <v>0.638033807</v>
      </c>
    </row>
    <row r="4279" customFormat="false" ht="15" hidden="false" customHeight="false" outlineLevel="0" collapsed="false">
      <c r="A4279" s="3" t="n">
        <v>4278</v>
      </c>
      <c r="B4279" s="3" t="n">
        <v>4277</v>
      </c>
      <c r="C4279" s="3" t="n">
        <v>5</v>
      </c>
      <c r="D4279" s="3" t="n">
        <v>12</v>
      </c>
      <c r="E4279" s="3" t="n">
        <v>21</v>
      </c>
      <c r="F4279" s="24" t="n">
        <v>1.11840594</v>
      </c>
    </row>
    <row r="4280" customFormat="false" ht="15" hidden="false" customHeight="false" outlineLevel="0" collapsed="false">
      <c r="A4280" s="3" t="n">
        <v>4279</v>
      </c>
      <c r="B4280" s="3" t="n">
        <v>4278</v>
      </c>
      <c r="C4280" s="3" t="n">
        <v>5</v>
      </c>
      <c r="D4280" s="3" t="n">
        <v>12</v>
      </c>
      <c r="E4280" s="3" t="n">
        <v>22</v>
      </c>
      <c r="F4280" s="24" t="n">
        <v>0.582824051</v>
      </c>
    </row>
    <row r="4281" customFormat="false" ht="15" hidden="false" customHeight="false" outlineLevel="0" collapsed="false">
      <c r="A4281" s="3" t="n">
        <v>4280</v>
      </c>
      <c r="B4281" s="3" t="n">
        <v>4279</v>
      </c>
      <c r="C4281" s="3" t="n">
        <v>5</v>
      </c>
      <c r="D4281" s="3" t="n">
        <v>12</v>
      </c>
      <c r="E4281" s="3" t="n">
        <v>23</v>
      </c>
      <c r="F4281" s="24" t="n">
        <v>0.51512605</v>
      </c>
    </row>
    <row r="4282" customFormat="false" ht="15" hidden="false" customHeight="false" outlineLevel="0" collapsed="false">
      <c r="A4282" s="3" t="n">
        <v>4281</v>
      </c>
      <c r="B4282" s="3" t="n">
        <v>4280</v>
      </c>
      <c r="C4282" s="3" t="n">
        <v>5</v>
      </c>
      <c r="D4282" s="3" t="n">
        <v>12</v>
      </c>
      <c r="E4282" s="3" t="n">
        <v>24</v>
      </c>
      <c r="F4282" s="24" t="n">
        <v>0.51512605</v>
      </c>
    </row>
    <row r="4283" customFormat="false" ht="15" hidden="false" customHeight="false" outlineLevel="0" collapsed="false">
      <c r="A4283" s="3" t="n">
        <v>4282</v>
      </c>
      <c r="B4283" s="3" t="n">
        <v>4281</v>
      </c>
      <c r="C4283" s="3" t="n">
        <v>5</v>
      </c>
      <c r="D4283" s="3" t="n">
        <v>12</v>
      </c>
      <c r="E4283" s="3" t="n">
        <v>25</v>
      </c>
      <c r="F4283" s="24" t="n">
        <v>0.51512605</v>
      </c>
    </row>
    <row r="4284" customFormat="false" ht="15" hidden="false" customHeight="false" outlineLevel="0" collapsed="false">
      <c r="A4284" s="3" t="n">
        <v>4283</v>
      </c>
      <c r="B4284" s="3" t="n">
        <v>4282</v>
      </c>
      <c r="C4284" s="3" t="n">
        <v>5</v>
      </c>
      <c r="D4284" s="3" t="n">
        <v>12</v>
      </c>
      <c r="E4284" s="3" t="n">
        <v>26</v>
      </c>
      <c r="F4284" s="24" t="n">
        <v>0.51512605</v>
      </c>
    </row>
    <row r="4285" customFormat="false" ht="15" hidden="false" customHeight="false" outlineLevel="0" collapsed="false">
      <c r="A4285" s="3" t="n">
        <v>4284</v>
      </c>
      <c r="B4285" s="3" t="n">
        <v>4283</v>
      </c>
      <c r="C4285" s="3" t="n">
        <v>5</v>
      </c>
      <c r="D4285" s="3" t="n">
        <v>12</v>
      </c>
      <c r="E4285" s="3" t="n">
        <v>27</v>
      </c>
      <c r="F4285" s="24" t="n">
        <v>0.459515482</v>
      </c>
    </row>
    <row r="4286" customFormat="false" ht="15" hidden="false" customHeight="false" outlineLevel="0" collapsed="false">
      <c r="A4286" s="3" t="n">
        <v>4285</v>
      </c>
      <c r="B4286" s="3" t="n">
        <v>4284</v>
      </c>
      <c r="C4286" s="3" t="n">
        <v>5</v>
      </c>
      <c r="D4286" s="3" t="n">
        <v>13</v>
      </c>
      <c r="E4286" s="3" t="n">
        <v>0</v>
      </c>
      <c r="F4286" s="24" t="n">
        <v>0.354324996</v>
      </c>
    </row>
    <row r="4287" customFormat="false" ht="15" hidden="false" customHeight="false" outlineLevel="0" collapsed="false">
      <c r="A4287" s="3" t="n">
        <v>4286</v>
      </c>
      <c r="B4287" s="3" t="n">
        <v>4285</v>
      </c>
      <c r="C4287" s="3" t="n">
        <v>5</v>
      </c>
      <c r="D4287" s="3" t="n">
        <v>13</v>
      </c>
      <c r="E4287" s="3" t="n">
        <v>1</v>
      </c>
      <c r="F4287" s="24" t="n">
        <v>0.51512605</v>
      </c>
    </row>
    <row r="4288" customFormat="false" ht="15" hidden="false" customHeight="false" outlineLevel="0" collapsed="false">
      <c r="A4288" s="3" t="n">
        <v>4287</v>
      </c>
      <c r="B4288" s="3" t="n">
        <v>4286</v>
      </c>
      <c r="C4288" s="3" t="n">
        <v>5</v>
      </c>
      <c r="D4288" s="3" t="n">
        <v>13</v>
      </c>
      <c r="E4288" s="3" t="n">
        <v>2</v>
      </c>
      <c r="F4288" s="24" t="n">
        <v>0.51512605</v>
      </c>
    </row>
    <row r="4289" customFormat="false" ht="15" hidden="false" customHeight="false" outlineLevel="0" collapsed="false">
      <c r="A4289" s="3" t="n">
        <v>4288</v>
      </c>
      <c r="B4289" s="3" t="n">
        <v>4287</v>
      </c>
      <c r="C4289" s="3" t="n">
        <v>5</v>
      </c>
      <c r="D4289" s="3" t="n">
        <v>13</v>
      </c>
      <c r="E4289" s="3" t="n">
        <v>3</v>
      </c>
      <c r="F4289" s="24" t="n">
        <v>0.51512605</v>
      </c>
    </row>
    <row r="4290" customFormat="false" ht="15" hidden="false" customHeight="false" outlineLevel="0" collapsed="false">
      <c r="A4290" s="3" t="n">
        <v>4289</v>
      </c>
      <c r="B4290" s="3" t="n">
        <v>4288</v>
      </c>
      <c r="C4290" s="3" t="n">
        <v>5</v>
      </c>
      <c r="D4290" s="3" t="n">
        <v>13</v>
      </c>
      <c r="E4290" s="3" t="n">
        <v>4</v>
      </c>
      <c r="F4290" s="24" t="n">
        <v>0.51512605</v>
      </c>
    </row>
    <row r="4291" customFormat="false" ht="15" hidden="false" customHeight="false" outlineLevel="0" collapsed="false">
      <c r="A4291" s="3" t="n">
        <v>4290</v>
      </c>
      <c r="B4291" s="3" t="n">
        <v>4289</v>
      </c>
      <c r="C4291" s="3" t="n">
        <v>5</v>
      </c>
      <c r="D4291" s="3" t="n">
        <v>13</v>
      </c>
      <c r="E4291" s="3" t="n">
        <v>5</v>
      </c>
      <c r="F4291" s="24" t="n">
        <v>0.51512605</v>
      </c>
    </row>
    <row r="4292" customFormat="false" ht="15" hidden="false" customHeight="false" outlineLevel="0" collapsed="false">
      <c r="A4292" s="3" t="n">
        <v>4291</v>
      </c>
      <c r="B4292" s="3" t="n">
        <v>4290</v>
      </c>
      <c r="C4292" s="3" t="n">
        <v>5</v>
      </c>
      <c r="D4292" s="3" t="n">
        <v>13</v>
      </c>
      <c r="E4292" s="3" t="n">
        <v>6</v>
      </c>
      <c r="F4292" s="24" t="n">
        <v>0.51512605</v>
      </c>
    </row>
    <row r="4293" customFormat="false" ht="15" hidden="false" customHeight="false" outlineLevel="0" collapsed="false">
      <c r="A4293" s="3" t="n">
        <v>4292</v>
      </c>
      <c r="B4293" s="3" t="n">
        <v>4291</v>
      </c>
      <c r="C4293" s="3" t="n">
        <v>5</v>
      </c>
      <c r="D4293" s="3" t="n">
        <v>13</v>
      </c>
      <c r="E4293" s="3" t="n">
        <v>7</v>
      </c>
      <c r="F4293" s="24" t="n">
        <v>0.51512605</v>
      </c>
    </row>
    <row r="4294" customFormat="false" ht="15" hidden="false" customHeight="false" outlineLevel="0" collapsed="false">
      <c r="A4294" s="3" t="n">
        <v>4293</v>
      </c>
      <c r="B4294" s="3" t="n">
        <v>4292</v>
      </c>
      <c r="C4294" s="3" t="n">
        <v>5</v>
      </c>
      <c r="D4294" s="3" t="n">
        <v>13</v>
      </c>
      <c r="E4294" s="3" t="n">
        <v>8</v>
      </c>
      <c r="F4294" s="24" t="n">
        <v>0.51512605</v>
      </c>
    </row>
    <row r="4295" customFormat="false" ht="15" hidden="false" customHeight="false" outlineLevel="0" collapsed="false">
      <c r="A4295" s="3" t="n">
        <v>4294</v>
      </c>
      <c r="B4295" s="3" t="n">
        <v>4293</v>
      </c>
      <c r="C4295" s="3" t="n">
        <v>5</v>
      </c>
      <c r="D4295" s="3" t="n">
        <v>13</v>
      </c>
      <c r="E4295" s="3" t="n">
        <v>9</v>
      </c>
      <c r="F4295" s="24" t="n">
        <v>0.51512605</v>
      </c>
    </row>
    <row r="4296" customFormat="false" ht="15" hidden="false" customHeight="false" outlineLevel="0" collapsed="false">
      <c r="A4296" s="3" t="n">
        <v>4295</v>
      </c>
      <c r="B4296" s="3" t="n">
        <v>4294</v>
      </c>
      <c r="C4296" s="3" t="n">
        <v>5</v>
      </c>
      <c r="D4296" s="3" t="n">
        <v>13</v>
      </c>
      <c r="E4296" s="3" t="n">
        <v>10</v>
      </c>
      <c r="F4296" s="24" t="n">
        <v>0.51512605</v>
      </c>
    </row>
    <row r="4297" customFormat="false" ht="15" hidden="false" customHeight="false" outlineLevel="0" collapsed="false">
      <c r="A4297" s="3" t="n">
        <v>4296</v>
      </c>
      <c r="B4297" s="3" t="n">
        <v>4295</v>
      </c>
      <c r="C4297" s="3" t="n">
        <v>5</v>
      </c>
      <c r="D4297" s="3" t="n">
        <v>13</v>
      </c>
      <c r="E4297" s="3" t="n">
        <v>11</v>
      </c>
      <c r="F4297" s="24" t="n">
        <v>0.51512605</v>
      </c>
    </row>
    <row r="4298" customFormat="false" ht="15" hidden="false" customHeight="false" outlineLevel="0" collapsed="false">
      <c r="A4298" s="3" t="n">
        <v>4297</v>
      </c>
      <c r="B4298" s="3" t="n">
        <v>4296</v>
      </c>
      <c r="C4298" s="3" t="n">
        <v>5</v>
      </c>
      <c r="D4298" s="3" t="n">
        <v>13</v>
      </c>
      <c r="E4298" s="3" t="n">
        <v>12</v>
      </c>
      <c r="F4298" s="24" t="n">
        <v>0.51512605</v>
      </c>
    </row>
    <row r="4299" customFormat="false" ht="15" hidden="false" customHeight="false" outlineLevel="0" collapsed="false">
      <c r="A4299" s="3" t="n">
        <v>4298</v>
      </c>
      <c r="B4299" s="3" t="n">
        <v>4297</v>
      </c>
      <c r="C4299" s="3" t="n">
        <v>5</v>
      </c>
      <c r="D4299" s="3" t="n">
        <v>13</v>
      </c>
      <c r="E4299" s="3" t="n">
        <v>13</v>
      </c>
      <c r="F4299" s="24" t="n">
        <v>0.51512605</v>
      </c>
    </row>
    <row r="4300" customFormat="false" ht="15" hidden="false" customHeight="false" outlineLevel="0" collapsed="false">
      <c r="A4300" s="3" t="n">
        <v>4299</v>
      </c>
      <c r="B4300" s="3" t="n">
        <v>4298</v>
      </c>
      <c r="C4300" s="3" t="n">
        <v>5</v>
      </c>
      <c r="D4300" s="3" t="n">
        <v>13</v>
      </c>
      <c r="E4300" s="3" t="n">
        <v>14</v>
      </c>
      <c r="F4300" s="24" t="n">
        <v>0.51512605</v>
      </c>
    </row>
    <row r="4301" customFormat="false" ht="15" hidden="false" customHeight="false" outlineLevel="0" collapsed="false">
      <c r="A4301" s="3" t="n">
        <v>4300</v>
      </c>
      <c r="B4301" s="3" t="n">
        <v>4299</v>
      </c>
      <c r="C4301" s="3" t="n">
        <v>5</v>
      </c>
      <c r="D4301" s="3" t="n">
        <v>13</v>
      </c>
      <c r="E4301" s="3" t="n">
        <v>15</v>
      </c>
      <c r="F4301" s="24" t="n">
        <v>0.810432971</v>
      </c>
    </row>
    <row r="4302" customFormat="false" ht="15" hidden="false" customHeight="false" outlineLevel="0" collapsed="false">
      <c r="A4302" s="3" t="n">
        <v>4301</v>
      </c>
      <c r="B4302" s="3" t="n">
        <v>4300</v>
      </c>
      <c r="C4302" s="3" t="n">
        <v>5</v>
      </c>
      <c r="D4302" s="3" t="n">
        <v>13</v>
      </c>
      <c r="E4302" s="3" t="n">
        <v>16</v>
      </c>
      <c r="F4302" s="24" t="n">
        <v>0</v>
      </c>
    </row>
    <row r="4303" customFormat="false" ht="15" hidden="false" customHeight="false" outlineLevel="0" collapsed="false">
      <c r="A4303" s="3" t="n">
        <v>4302</v>
      </c>
      <c r="B4303" s="3" t="n">
        <v>4301</v>
      </c>
      <c r="C4303" s="3" t="n">
        <v>5</v>
      </c>
      <c r="D4303" s="3" t="n">
        <v>13</v>
      </c>
      <c r="E4303" s="3" t="n">
        <v>17</v>
      </c>
      <c r="F4303" s="24" t="n">
        <v>0</v>
      </c>
    </row>
    <row r="4304" customFormat="false" ht="15" hidden="false" customHeight="false" outlineLevel="0" collapsed="false">
      <c r="A4304" s="3" t="n">
        <v>4303</v>
      </c>
      <c r="B4304" s="3" t="n">
        <v>4302</v>
      </c>
      <c r="C4304" s="3" t="n">
        <v>5</v>
      </c>
      <c r="D4304" s="3" t="n">
        <v>13</v>
      </c>
      <c r="E4304" s="3" t="n">
        <v>18</v>
      </c>
      <c r="F4304" s="24" t="n">
        <v>0</v>
      </c>
    </row>
    <row r="4305" customFormat="false" ht="15" hidden="false" customHeight="false" outlineLevel="0" collapsed="false">
      <c r="A4305" s="3" t="n">
        <v>4304</v>
      </c>
      <c r="B4305" s="3" t="n">
        <v>4303</v>
      </c>
      <c r="C4305" s="3" t="n">
        <v>5</v>
      </c>
      <c r="D4305" s="3" t="n">
        <v>13</v>
      </c>
      <c r="E4305" s="3" t="n">
        <v>19</v>
      </c>
      <c r="F4305" s="24" t="n">
        <v>0.0813879371</v>
      </c>
    </row>
    <row r="4306" customFormat="false" ht="15" hidden="false" customHeight="false" outlineLevel="0" collapsed="false">
      <c r="A4306" s="3" t="n">
        <v>4305</v>
      </c>
      <c r="B4306" s="3" t="n">
        <v>4304</v>
      </c>
      <c r="C4306" s="3" t="n">
        <v>5</v>
      </c>
      <c r="D4306" s="3" t="n">
        <v>13</v>
      </c>
      <c r="E4306" s="3" t="n">
        <v>20</v>
      </c>
      <c r="F4306" s="24" t="n">
        <v>1.74111176</v>
      </c>
    </row>
    <row r="4307" customFormat="false" ht="15" hidden="false" customHeight="false" outlineLevel="0" collapsed="false">
      <c r="A4307" s="3" t="n">
        <v>4306</v>
      </c>
      <c r="B4307" s="3" t="n">
        <v>4305</v>
      </c>
      <c r="C4307" s="3" t="n">
        <v>5</v>
      </c>
      <c r="D4307" s="3" t="n">
        <v>13</v>
      </c>
      <c r="E4307" s="3" t="n">
        <v>21</v>
      </c>
      <c r="F4307" s="24" t="n">
        <v>0.885530591</v>
      </c>
    </row>
    <row r="4308" customFormat="false" ht="15" hidden="false" customHeight="false" outlineLevel="0" collapsed="false">
      <c r="A4308" s="3" t="n">
        <v>4307</v>
      </c>
      <c r="B4308" s="3" t="n">
        <v>4306</v>
      </c>
      <c r="C4308" s="3" t="n">
        <v>5</v>
      </c>
      <c r="D4308" s="3" t="n">
        <v>13</v>
      </c>
      <c r="E4308" s="3" t="n">
        <v>22</v>
      </c>
      <c r="F4308" s="24" t="n">
        <v>0.51512605</v>
      </c>
    </row>
    <row r="4309" customFormat="false" ht="15" hidden="false" customHeight="false" outlineLevel="0" collapsed="false">
      <c r="A4309" s="3" t="n">
        <v>4308</v>
      </c>
      <c r="B4309" s="3" t="n">
        <v>4307</v>
      </c>
      <c r="C4309" s="3" t="n">
        <v>5</v>
      </c>
      <c r="D4309" s="3" t="n">
        <v>13</v>
      </c>
      <c r="E4309" s="3" t="n">
        <v>23</v>
      </c>
      <c r="F4309" s="24" t="n">
        <v>0.51512605</v>
      </c>
    </row>
    <row r="4310" customFormat="false" ht="15" hidden="false" customHeight="false" outlineLevel="0" collapsed="false">
      <c r="A4310" s="3" t="n">
        <v>4309</v>
      </c>
      <c r="B4310" s="3" t="n">
        <v>4308</v>
      </c>
      <c r="C4310" s="3" t="n">
        <v>5</v>
      </c>
      <c r="D4310" s="3" t="n">
        <v>13</v>
      </c>
      <c r="E4310" s="3" t="n">
        <v>24</v>
      </c>
      <c r="F4310" s="24" t="n">
        <v>0.51512605</v>
      </c>
    </row>
    <row r="4311" customFormat="false" ht="15" hidden="false" customHeight="false" outlineLevel="0" collapsed="false">
      <c r="A4311" s="3" t="n">
        <v>4310</v>
      </c>
      <c r="B4311" s="3" t="n">
        <v>4309</v>
      </c>
      <c r="C4311" s="3" t="n">
        <v>5</v>
      </c>
      <c r="D4311" s="3" t="n">
        <v>13</v>
      </c>
      <c r="E4311" s="3" t="n">
        <v>25</v>
      </c>
      <c r="F4311" s="24" t="n">
        <v>0.51512605</v>
      </c>
    </row>
    <row r="4312" customFormat="false" ht="15" hidden="false" customHeight="false" outlineLevel="0" collapsed="false">
      <c r="A4312" s="3" t="n">
        <v>4311</v>
      </c>
      <c r="B4312" s="3" t="n">
        <v>4310</v>
      </c>
      <c r="C4312" s="3" t="n">
        <v>5</v>
      </c>
      <c r="D4312" s="3" t="n">
        <v>13</v>
      </c>
      <c r="E4312" s="3" t="n">
        <v>26</v>
      </c>
      <c r="F4312" s="24" t="n">
        <v>0.51512605</v>
      </c>
    </row>
    <row r="4313" customFormat="false" ht="15" hidden="false" customHeight="false" outlineLevel="0" collapsed="false">
      <c r="A4313" s="3" t="n">
        <v>4312</v>
      </c>
      <c r="B4313" s="3" t="n">
        <v>4311</v>
      </c>
      <c r="C4313" s="3" t="n">
        <v>5</v>
      </c>
      <c r="D4313" s="3" t="n">
        <v>13</v>
      </c>
      <c r="E4313" s="3" t="n">
        <v>27</v>
      </c>
      <c r="F4313" s="24" t="n">
        <v>0.459515482</v>
      </c>
    </row>
    <row r="4314" customFormat="false" ht="15" hidden="false" customHeight="false" outlineLevel="0" collapsed="false">
      <c r="A4314" s="3" t="n">
        <v>4313</v>
      </c>
      <c r="B4314" s="3" t="n">
        <v>4312</v>
      </c>
      <c r="C4314" s="3" t="n">
        <v>5</v>
      </c>
      <c r="D4314" s="3" t="n">
        <v>14</v>
      </c>
      <c r="E4314" s="3" t="n">
        <v>0</v>
      </c>
      <c r="F4314" s="24" t="n">
        <v>0.354324996</v>
      </c>
    </row>
    <row r="4315" customFormat="false" ht="15" hidden="false" customHeight="false" outlineLevel="0" collapsed="false">
      <c r="A4315" s="3" t="n">
        <v>4314</v>
      </c>
      <c r="B4315" s="3" t="n">
        <v>4313</v>
      </c>
      <c r="C4315" s="3" t="n">
        <v>5</v>
      </c>
      <c r="D4315" s="3" t="n">
        <v>14</v>
      </c>
      <c r="E4315" s="3" t="n">
        <v>1</v>
      </c>
      <c r="F4315" s="24" t="n">
        <v>0.51512605</v>
      </c>
    </row>
    <row r="4316" customFormat="false" ht="15" hidden="false" customHeight="false" outlineLevel="0" collapsed="false">
      <c r="A4316" s="3" t="n">
        <v>4315</v>
      </c>
      <c r="B4316" s="3" t="n">
        <v>4314</v>
      </c>
      <c r="C4316" s="3" t="n">
        <v>5</v>
      </c>
      <c r="D4316" s="3" t="n">
        <v>14</v>
      </c>
      <c r="E4316" s="3" t="n">
        <v>2</v>
      </c>
      <c r="F4316" s="24" t="n">
        <v>0.51512605</v>
      </c>
    </row>
    <row r="4317" customFormat="false" ht="15" hidden="false" customHeight="false" outlineLevel="0" collapsed="false">
      <c r="A4317" s="3" t="n">
        <v>4316</v>
      </c>
      <c r="B4317" s="3" t="n">
        <v>4315</v>
      </c>
      <c r="C4317" s="3" t="n">
        <v>5</v>
      </c>
      <c r="D4317" s="3" t="n">
        <v>14</v>
      </c>
      <c r="E4317" s="3" t="n">
        <v>3</v>
      </c>
      <c r="F4317" s="24" t="n">
        <v>0.51512605</v>
      </c>
    </row>
    <row r="4318" customFormat="false" ht="15" hidden="false" customHeight="false" outlineLevel="0" collapsed="false">
      <c r="A4318" s="3" t="n">
        <v>4317</v>
      </c>
      <c r="B4318" s="3" t="n">
        <v>4316</v>
      </c>
      <c r="C4318" s="3" t="n">
        <v>5</v>
      </c>
      <c r="D4318" s="3" t="n">
        <v>14</v>
      </c>
      <c r="E4318" s="3" t="n">
        <v>4</v>
      </c>
      <c r="F4318" s="24" t="n">
        <v>0.51512605</v>
      </c>
    </row>
    <row r="4319" customFormat="false" ht="15" hidden="false" customHeight="false" outlineLevel="0" collapsed="false">
      <c r="A4319" s="3" t="n">
        <v>4318</v>
      </c>
      <c r="B4319" s="3" t="n">
        <v>4317</v>
      </c>
      <c r="C4319" s="3" t="n">
        <v>5</v>
      </c>
      <c r="D4319" s="3" t="n">
        <v>14</v>
      </c>
      <c r="E4319" s="3" t="n">
        <v>5</v>
      </c>
      <c r="F4319" s="24" t="n">
        <v>0.51512605</v>
      </c>
    </row>
    <row r="4320" customFormat="false" ht="15" hidden="false" customHeight="false" outlineLevel="0" collapsed="false">
      <c r="A4320" s="3" t="n">
        <v>4319</v>
      </c>
      <c r="B4320" s="3" t="n">
        <v>4318</v>
      </c>
      <c r="C4320" s="3" t="n">
        <v>5</v>
      </c>
      <c r="D4320" s="3" t="n">
        <v>14</v>
      </c>
      <c r="E4320" s="3" t="n">
        <v>6</v>
      </c>
      <c r="F4320" s="24" t="n">
        <v>0.51512605</v>
      </c>
    </row>
    <row r="4321" customFormat="false" ht="15" hidden="false" customHeight="false" outlineLevel="0" collapsed="false">
      <c r="A4321" s="3" t="n">
        <v>4320</v>
      </c>
      <c r="B4321" s="3" t="n">
        <v>4319</v>
      </c>
      <c r="C4321" s="3" t="n">
        <v>5</v>
      </c>
      <c r="D4321" s="3" t="n">
        <v>14</v>
      </c>
      <c r="E4321" s="3" t="n">
        <v>7</v>
      </c>
      <c r="F4321" s="24" t="n">
        <v>0.51512605</v>
      </c>
    </row>
    <row r="4322" customFormat="false" ht="15" hidden="false" customHeight="false" outlineLevel="0" collapsed="false">
      <c r="A4322" s="3" t="n">
        <v>4321</v>
      </c>
      <c r="B4322" s="3" t="n">
        <v>4320</v>
      </c>
      <c r="C4322" s="3" t="n">
        <v>5</v>
      </c>
      <c r="D4322" s="3" t="n">
        <v>14</v>
      </c>
      <c r="E4322" s="3" t="n">
        <v>8</v>
      </c>
      <c r="F4322" s="24" t="n">
        <v>0.51512605</v>
      </c>
    </row>
    <row r="4323" customFormat="false" ht="15" hidden="false" customHeight="false" outlineLevel="0" collapsed="false">
      <c r="A4323" s="3" t="n">
        <v>4322</v>
      </c>
      <c r="B4323" s="3" t="n">
        <v>4321</v>
      </c>
      <c r="C4323" s="3" t="n">
        <v>5</v>
      </c>
      <c r="D4323" s="3" t="n">
        <v>14</v>
      </c>
      <c r="E4323" s="3" t="n">
        <v>9</v>
      </c>
      <c r="F4323" s="24" t="n">
        <v>0.51512605</v>
      </c>
    </row>
    <row r="4324" customFormat="false" ht="15" hidden="false" customHeight="false" outlineLevel="0" collapsed="false">
      <c r="A4324" s="3" t="n">
        <v>4323</v>
      </c>
      <c r="B4324" s="3" t="n">
        <v>4322</v>
      </c>
      <c r="C4324" s="3" t="n">
        <v>5</v>
      </c>
      <c r="D4324" s="3" t="n">
        <v>14</v>
      </c>
      <c r="E4324" s="3" t="n">
        <v>10</v>
      </c>
      <c r="F4324" s="24" t="n">
        <v>0.51512605</v>
      </c>
    </row>
    <row r="4325" customFormat="false" ht="15" hidden="false" customHeight="false" outlineLevel="0" collapsed="false">
      <c r="A4325" s="3" t="n">
        <v>4324</v>
      </c>
      <c r="B4325" s="3" t="n">
        <v>4323</v>
      </c>
      <c r="C4325" s="3" t="n">
        <v>5</v>
      </c>
      <c r="D4325" s="3" t="n">
        <v>14</v>
      </c>
      <c r="E4325" s="3" t="n">
        <v>11</v>
      </c>
      <c r="F4325" s="24" t="n">
        <v>0.51512605</v>
      </c>
    </row>
    <row r="4326" customFormat="false" ht="15" hidden="false" customHeight="false" outlineLevel="0" collapsed="false">
      <c r="A4326" s="3" t="n">
        <v>4325</v>
      </c>
      <c r="B4326" s="3" t="n">
        <v>4324</v>
      </c>
      <c r="C4326" s="3" t="n">
        <v>5</v>
      </c>
      <c r="D4326" s="3" t="n">
        <v>14</v>
      </c>
      <c r="E4326" s="3" t="n">
        <v>12</v>
      </c>
      <c r="F4326" s="24" t="n">
        <v>0.51512605</v>
      </c>
    </row>
    <row r="4327" customFormat="false" ht="15" hidden="false" customHeight="false" outlineLevel="0" collapsed="false">
      <c r="A4327" s="3" t="n">
        <v>4326</v>
      </c>
      <c r="B4327" s="3" t="n">
        <v>4325</v>
      </c>
      <c r="C4327" s="3" t="n">
        <v>5</v>
      </c>
      <c r="D4327" s="3" t="n">
        <v>14</v>
      </c>
      <c r="E4327" s="3" t="n">
        <v>13</v>
      </c>
      <c r="F4327" s="24" t="n">
        <v>0.51512605</v>
      </c>
    </row>
    <row r="4328" customFormat="false" ht="15" hidden="false" customHeight="false" outlineLevel="0" collapsed="false">
      <c r="A4328" s="3" t="n">
        <v>4327</v>
      </c>
      <c r="B4328" s="3" t="n">
        <v>4326</v>
      </c>
      <c r="C4328" s="3" t="n">
        <v>5</v>
      </c>
      <c r="D4328" s="3" t="n">
        <v>14</v>
      </c>
      <c r="E4328" s="3" t="n">
        <v>14</v>
      </c>
      <c r="F4328" s="24" t="n">
        <v>0.51512605</v>
      </c>
    </row>
    <row r="4329" customFormat="false" ht="15" hidden="false" customHeight="false" outlineLevel="0" collapsed="false">
      <c r="A4329" s="3" t="n">
        <v>4328</v>
      </c>
      <c r="B4329" s="3" t="n">
        <v>4327</v>
      </c>
      <c r="C4329" s="3" t="n">
        <v>5</v>
      </c>
      <c r="D4329" s="3" t="n">
        <v>14</v>
      </c>
      <c r="E4329" s="3" t="n">
        <v>15</v>
      </c>
      <c r="F4329" s="24" t="n">
        <v>0.527739286</v>
      </c>
    </row>
    <row r="4330" customFormat="false" ht="15" hidden="false" customHeight="false" outlineLevel="0" collapsed="false">
      <c r="A4330" s="3" t="n">
        <v>4329</v>
      </c>
      <c r="B4330" s="3" t="n">
        <v>4328</v>
      </c>
      <c r="C4330" s="3" t="n">
        <v>5</v>
      </c>
      <c r="D4330" s="3" t="n">
        <v>14</v>
      </c>
      <c r="E4330" s="3" t="n">
        <v>16</v>
      </c>
      <c r="F4330" s="24" t="n">
        <v>0</v>
      </c>
    </row>
    <row r="4331" customFormat="false" ht="15" hidden="false" customHeight="false" outlineLevel="0" collapsed="false">
      <c r="A4331" s="3" t="n">
        <v>4330</v>
      </c>
      <c r="B4331" s="3" t="n">
        <v>4329</v>
      </c>
      <c r="C4331" s="3" t="n">
        <v>5</v>
      </c>
      <c r="D4331" s="3" t="n">
        <v>14</v>
      </c>
      <c r="E4331" s="3" t="n">
        <v>17</v>
      </c>
      <c r="F4331" s="24" t="n">
        <v>0</v>
      </c>
    </row>
    <row r="4332" customFormat="false" ht="15" hidden="false" customHeight="false" outlineLevel="0" collapsed="false">
      <c r="A4332" s="3" t="n">
        <v>4331</v>
      </c>
      <c r="B4332" s="3" t="n">
        <v>4330</v>
      </c>
      <c r="C4332" s="3" t="n">
        <v>5</v>
      </c>
      <c r="D4332" s="3" t="n">
        <v>14</v>
      </c>
      <c r="E4332" s="3" t="n">
        <v>18</v>
      </c>
      <c r="F4332" s="24" t="n">
        <v>0</v>
      </c>
    </row>
    <row r="4333" customFormat="false" ht="15" hidden="false" customHeight="false" outlineLevel="0" collapsed="false">
      <c r="A4333" s="3" t="n">
        <v>4332</v>
      </c>
      <c r="B4333" s="3" t="n">
        <v>4331</v>
      </c>
      <c r="C4333" s="3" t="n">
        <v>5</v>
      </c>
      <c r="D4333" s="3" t="n">
        <v>14</v>
      </c>
      <c r="E4333" s="3" t="n">
        <v>19</v>
      </c>
      <c r="F4333" s="24" t="n">
        <v>1.86674774</v>
      </c>
    </row>
    <row r="4334" customFormat="false" ht="15" hidden="false" customHeight="false" outlineLevel="0" collapsed="false">
      <c r="A4334" s="3" t="n">
        <v>4333</v>
      </c>
      <c r="B4334" s="3" t="n">
        <v>4332</v>
      </c>
      <c r="C4334" s="3" t="n">
        <v>5</v>
      </c>
      <c r="D4334" s="3" t="n">
        <v>14</v>
      </c>
      <c r="E4334" s="3" t="n">
        <v>20</v>
      </c>
      <c r="F4334" s="24" t="n">
        <v>1.79324794</v>
      </c>
    </row>
    <row r="4335" customFormat="false" ht="15" hidden="false" customHeight="false" outlineLevel="0" collapsed="false">
      <c r="A4335" s="3" t="n">
        <v>4334</v>
      </c>
      <c r="B4335" s="3" t="n">
        <v>4333</v>
      </c>
      <c r="C4335" s="3" t="n">
        <v>5</v>
      </c>
      <c r="D4335" s="3" t="n">
        <v>14</v>
      </c>
      <c r="E4335" s="3" t="n">
        <v>21</v>
      </c>
      <c r="F4335" s="24" t="n">
        <v>0.68061024</v>
      </c>
    </row>
    <row r="4336" customFormat="false" ht="15" hidden="false" customHeight="false" outlineLevel="0" collapsed="false">
      <c r="A4336" s="3" t="n">
        <v>4335</v>
      </c>
      <c r="B4336" s="3" t="n">
        <v>4334</v>
      </c>
      <c r="C4336" s="3" t="n">
        <v>5</v>
      </c>
      <c r="D4336" s="3" t="n">
        <v>14</v>
      </c>
      <c r="E4336" s="3" t="n">
        <v>22</v>
      </c>
      <c r="F4336" s="24" t="n">
        <v>0.51512605</v>
      </c>
    </row>
    <row r="4337" customFormat="false" ht="15" hidden="false" customHeight="false" outlineLevel="0" collapsed="false">
      <c r="A4337" s="3" t="n">
        <v>4336</v>
      </c>
      <c r="B4337" s="3" t="n">
        <v>4335</v>
      </c>
      <c r="C4337" s="3" t="n">
        <v>5</v>
      </c>
      <c r="D4337" s="3" t="n">
        <v>14</v>
      </c>
      <c r="E4337" s="3" t="n">
        <v>23</v>
      </c>
      <c r="F4337" s="24" t="n">
        <v>0.51512605</v>
      </c>
    </row>
    <row r="4338" customFormat="false" ht="15" hidden="false" customHeight="false" outlineLevel="0" collapsed="false">
      <c r="A4338" s="3" t="n">
        <v>4337</v>
      </c>
      <c r="B4338" s="3" t="n">
        <v>4336</v>
      </c>
      <c r="C4338" s="3" t="n">
        <v>5</v>
      </c>
      <c r="D4338" s="3" t="n">
        <v>14</v>
      </c>
      <c r="E4338" s="3" t="n">
        <v>24</v>
      </c>
      <c r="F4338" s="24" t="n">
        <v>0.51512605</v>
      </c>
    </row>
    <row r="4339" customFormat="false" ht="15" hidden="false" customHeight="false" outlineLevel="0" collapsed="false">
      <c r="A4339" s="3" t="n">
        <v>4338</v>
      </c>
      <c r="B4339" s="3" t="n">
        <v>4337</v>
      </c>
      <c r="C4339" s="3" t="n">
        <v>5</v>
      </c>
      <c r="D4339" s="3" t="n">
        <v>14</v>
      </c>
      <c r="E4339" s="3" t="n">
        <v>25</v>
      </c>
      <c r="F4339" s="24" t="n">
        <v>0.51512605</v>
      </c>
    </row>
    <row r="4340" customFormat="false" ht="15" hidden="false" customHeight="false" outlineLevel="0" collapsed="false">
      <c r="A4340" s="3" t="n">
        <v>4339</v>
      </c>
      <c r="B4340" s="3" t="n">
        <v>4338</v>
      </c>
      <c r="C4340" s="3" t="n">
        <v>5</v>
      </c>
      <c r="D4340" s="3" t="n">
        <v>14</v>
      </c>
      <c r="E4340" s="3" t="n">
        <v>26</v>
      </c>
      <c r="F4340" s="24" t="n">
        <v>0.51512605</v>
      </c>
    </row>
    <row r="4341" customFormat="false" ht="15" hidden="false" customHeight="false" outlineLevel="0" collapsed="false">
      <c r="A4341" s="3" t="n">
        <v>4340</v>
      </c>
      <c r="B4341" s="3" t="n">
        <v>4339</v>
      </c>
      <c r="C4341" s="3" t="n">
        <v>5</v>
      </c>
      <c r="D4341" s="3" t="n">
        <v>14</v>
      </c>
      <c r="E4341" s="3" t="n">
        <v>27</v>
      </c>
      <c r="F4341" s="24" t="n">
        <v>0.459515482</v>
      </c>
    </row>
    <row r="4342" customFormat="false" ht="15" hidden="false" customHeight="false" outlineLevel="0" collapsed="false">
      <c r="A4342" s="3" t="n">
        <v>4341</v>
      </c>
      <c r="B4342" s="3" t="n">
        <v>4340</v>
      </c>
      <c r="C4342" s="3" t="n">
        <v>5</v>
      </c>
      <c r="D4342" s="3" t="n">
        <v>15</v>
      </c>
      <c r="E4342" s="3" t="n">
        <v>0</v>
      </c>
      <c r="F4342" s="24" t="n">
        <v>0.354324996</v>
      </c>
    </row>
    <row r="4343" customFormat="false" ht="15" hidden="false" customHeight="false" outlineLevel="0" collapsed="false">
      <c r="A4343" s="3" t="n">
        <v>4342</v>
      </c>
      <c r="B4343" s="3" t="n">
        <v>4341</v>
      </c>
      <c r="C4343" s="3" t="n">
        <v>5</v>
      </c>
      <c r="D4343" s="3" t="n">
        <v>15</v>
      </c>
      <c r="E4343" s="3" t="n">
        <v>1</v>
      </c>
      <c r="F4343" s="24" t="n">
        <v>0.51512605</v>
      </c>
    </row>
    <row r="4344" customFormat="false" ht="15" hidden="false" customHeight="false" outlineLevel="0" collapsed="false">
      <c r="A4344" s="3" t="n">
        <v>4343</v>
      </c>
      <c r="B4344" s="3" t="n">
        <v>4342</v>
      </c>
      <c r="C4344" s="3" t="n">
        <v>5</v>
      </c>
      <c r="D4344" s="3" t="n">
        <v>15</v>
      </c>
      <c r="E4344" s="3" t="n">
        <v>2</v>
      </c>
      <c r="F4344" s="24" t="n">
        <v>0.51512605</v>
      </c>
    </row>
    <row r="4345" customFormat="false" ht="15" hidden="false" customHeight="false" outlineLevel="0" collapsed="false">
      <c r="A4345" s="3" t="n">
        <v>4344</v>
      </c>
      <c r="B4345" s="3" t="n">
        <v>4343</v>
      </c>
      <c r="C4345" s="3" t="n">
        <v>5</v>
      </c>
      <c r="D4345" s="3" t="n">
        <v>15</v>
      </c>
      <c r="E4345" s="3" t="n">
        <v>3</v>
      </c>
      <c r="F4345" s="24" t="n">
        <v>0.51512605</v>
      </c>
    </row>
    <row r="4346" customFormat="false" ht="15" hidden="false" customHeight="false" outlineLevel="0" collapsed="false">
      <c r="A4346" s="3" t="n">
        <v>4345</v>
      </c>
      <c r="B4346" s="3" t="n">
        <v>4344</v>
      </c>
      <c r="C4346" s="3" t="n">
        <v>5</v>
      </c>
      <c r="D4346" s="3" t="n">
        <v>15</v>
      </c>
      <c r="E4346" s="3" t="n">
        <v>4</v>
      </c>
      <c r="F4346" s="24" t="n">
        <v>0.51512605</v>
      </c>
    </row>
    <row r="4347" customFormat="false" ht="15" hidden="false" customHeight="false" outlineLevel="0" collapsed="false">
      <c r="A4347" s="3" t="n">
        <v>4346</v>
      </c>
      <c r="B4347" s="3" t="n">
        <v>4345</v>
      </c>
      <c r="C4347" s="3" t="n">
        <v>5</v>
      </c>
      <c r="D4347" s="3" t="n">
        <v>15</v>
      </c>
      <c r="E4347" s="3" t="n">
        <v>5</v>
      </c>
      <c r="F4347" s="24" t="n">
        <v>0.51512605</v>
      </c>
    </row>
    <row r="4348" customFormat="false" ht="15" hidden="false" customHeight="false" outlineLevel="0" collapsed="false">
      <c r="A4348" s="3" t="n">
        <v>4347</v>
      </c>
      <c r="B4348" s="3" t="n">
        <v>4346</v>
      </c>
      <c r="C4348" s="3" t="n">
        <v>5</v>
      </c>
      <c r="D4348" s="3" t="n">
        <v>15</v>
      </c>
      <c r="E4348" s="3" t="n">
        <v>6</v>
      </c>
      <c r="F4348" s="24" t="n">
        <v>0.51512605</v>
      </c>
    </row>
    <row r="4349" customFormat="false" ht="15" hidden="false" customHeight="false" outlineLevel="0" collapsed="false">
      <c r="A4349" s="3" t="n">
        <v>4348</v>
      </c>
      <c r="B4349" s="3" t="n">
        <v>4347</v>
      </c>
      <c r="C4349" s="3" t="n">
        <v>5</v>
      </c>
      <c r="D4349" s="3" t="n">
        <v>15</v>
      </c>
      <c r="E4349" s="3" t="n">
        <v>7</v>
      </c>
      <c r="F4349" s="24" t="n">
        <v>0.51512605</v>
      </c>
    </row>
    <row r="4350" customFormat="false" ht="15" hidden="false" customHeight="false" outlineLevel="0" collapsed="false">
      <c r="A4350" s="3" t="n">
        <v>4349</v>
      </c>
      <c r="B4350" s="3" t="n">
        <v>4348</v>
      </c>
      <c r="C4350" s="3" t="n">
        <v>5</v>
      </c>
      <c r="D4350" s="3" t="n">
        <v>15</v>
      </c>
      <c r="E4350" s="3" t="n">
        <v>8</v>
      </c>
      <c r="F4350" s="24" t="n">
        <v>0.51512605</v>
      </c>
    </row>
    <row r="4351" customFormat="false" ht="15" hidden="false" customHeight="false" outlineLevel="0" collapsed="false">
      <c r="A4351" s="3" t="n">
        <v>4350</v>
      </c>
      <c r="B4351" s="3" t="n">
        <v>4349</v>
      </c>
      <c r="C4351" s="3" t="n">
        <v>5</v>
      </c>
      <c r="D4351" s="3" t="n">
        <v>15</v>
      </c>
      <c r="E4351" s="3" t="n">
        <v>9</v>
      </c>
      <c r="F4351" s="24" t="n">
        <v>0.51512605</v>
      </c>
    </row>
    <row r="4352" customFormat="false" ht="15" hidden="false" customHeight="false" outlineLevel="0" collapsed="false">
      <c r="A4352" s="3" t="n">
        <v>4351</v>
      </c>
      <c r="B4352" s="3" t="n">
        <v>4350</v>
      </c>
      <c r="C4352" s="3" t="n">
        <v>5</v>
      </c>
      <c r="D4352" s="3" t="n">
        <v>15</v>
      </c>
      <c r="E4352" s="3" t="n">
        <v>10</v>
      </c>
      <c r="F4352" s="24" t="n">
        <v>0.51512605</v>
      </c>
    </row>
    <row r="4353" customFormat="false" ht="15" hidden="false" customHeight="false" outlineLevel="0" collapsed="false">
      <c r="A4353" s="3" t="n">
        <v>4352</v>
      </c>
      <c r="B4353" s="3" t="n">
        <v>4351</v>
      </c>
      <c r="C4353" s="3" t="n">
        <v>5</v>
      </c>
      <c r="D4353" s="3" t="n">
        <v>15</v>
      </c>
      <c r="E4353" s="3" t="n">
        <v>11</v>
      </c>
      <c r="F4353" s="24" t="n">
        <v>0.51512605</v>
      </c>
    </row>
    <row r="4354" customFormat="false" ht="15" hidden="false" customHeight="false" outlineLevel="0" collapsed="false">
      <c r="A4354" s="3" t="n">
        <v>4353</v>
      </c>
      <c r="B4354" s="3" t="n">
        <v>4352</v>
      </c>
      <c r="C4354" s="3" t="n">
        <v>5</v>
      </c>
      <c r="D4354" s="3" t="n">
        <v>15</v>
      </c>
      <c r="E4354" s="3" t="n">
        <v>12</v>
      </c>
      <c r="F4354" s="24" t="n">
        <v>0.51512605</v>
      </c>
    </row>
    <row r="4355" customFormat="false" ht="15" hidden="false" customHeight="false" outlineLevel="0" collapsed="false">
      <c r="A4355" s="3" t="n">
        <v>4354</v>
      </c>
      <c r="B4355" s="3" t="n">
        <v>4353</v>
      </c>
      <c r="C4355" s="3" t="n">
        <v>5</v>
      </c>
      <c r="D4355" s="3" t="n">
        <v>15</v>
      </c>
      <c r="E4355" s="3" t="n">
        <v>13</v>
      </c>
      <c r="F4355" s="24" t="n">
        <v>0.51512605</v>
      </c>
    </row>
    <row r="4356" customFormat="false" ht="15" hidden="false" customHeight="false" outlineLevel="0" collapsed="false">
      <c r="A4356" s="3" t="n">
        <v>4355</v>
      </c>
      <c r="B4356" s="3" t="n">
        <v>4354</v>
      </c>
      <c r="C4356" s="3" t="n">
        <v>5</v>
      </c>
      <c r="D4356" s="3" t="n">
        <v>15</v>
      </c>
      <c r="E4356" s="3" t="n">
        <v>14</v>
      </c>
      <c r="F4356" s="24" t="n">
        <v>0.560172856</v>
      </c>
    </row>
    <row r="4357" customFormat="false" ht="15" hidden="false" customHeight="false" outlineLevel="0" collapsed="false">
      <c r="A4357" s="3" t="n">
        <v>4356</v>
      </c>
      <c r="B4357" s="3" t="n">
        <v>4355</v>
      </c>
      <c r="C4357" s="3" t="n">
        <v>5</v>
      </c>
      <c r="D4357" s="3" t="n">
        <v>15</v>
      </c>
      <c r="E4357" s="3" t="n">
        <v>15</v>
      </c>
      <c r="F4357" s="24" t="n">
        <v>0.252091587</v>
      </c>
    </row>
    <row r="4358" customFormat="false" ht="15" hidden="false" customHeight="false" outlineLevel="0" collapsed="false">
      <c r="A4358" s="3" t="n">
        <v>4357</v>
      </c>
      <c r="B4358" s="3" t="n">
        <v>4356</v>
      </c>
      <c r="C4358" s="3" t="n">
        <v>5</v>
      </c>
      <c r="D4358" s="3" t="n">
        <v>15</v>
      </c>
      <c r="E4358" s="3" t="n">
        <v>16</v>
      </c>
      <c r="F4358" s="24" t="n">
        <v>0</v>
      </c>
    </row>
    <row r="4359" customFormat="false" ht="15" hidden="false" customHeight="false" outlineLevel="0" collapsed="false">
      <c r="A4359" s="3" t="n">
        <v>4358</v>
      </c>
      <c r="B4359" s="3" t="n">
        <v>4357</v>
      </c>
      <c r="C4359" s="3" t="n">
        <v>5</v>
      </c>
      <c r="D4359" s="3" t="n">
        <v>15</v>
      </c>
      <c r="E4359" s="3" t="n">
        <v>17</v>
      </c>
      <c r="F4359" s="24" t="n">
        <v>0</v>
      </c>
    </row>
    <row r="4360" customFormat="false" ht="15" hidden="false" customHeight="false" outlineLevel="0" collapsed="false">
      <c r="A4360" s="3" t="n">
        <v>4359</v>
      </c>
      <c r="B4360" s="3" t="n">
        <v>4358</v>
      </c>
      <c r="C4360" s="3" t="n">
        <v>5</v>
      </c>
      <c r="D4360" s="3" t="n">
        <v>15</v>
      </c>
      <c r="E4360" s="3" t="n">
        <v>18</v>
      </c>
      <c r="F4360" s="24" t="n">
        <v>0.676278055</v>
      </c>
    </row>
    <row r="4361" customFormat="false" ht="15" hidden="false" customHeight="false" outlineLevel="0" collapsed="false">
      <c r="A4361" s="3" t="n">
        <v>4360</v>
      </c>
      <c r="B4361" s="3" t="n">
        <v>4359</v>
      </c>
      <c r="C4361" s="3" t="n">
        <v>5</v>
      </c>
      <c r="D4361" s="3" t="n">
        <v>15</v>
      </c>
      <c r="E4361" s="3" t="n">
        <v>19</v>
      </c>
      <c r="F4361" s="24" t="n">
        <v>1.62628388</v>
      </c>
    </row>
    <row r="4362" customFormat="false" ht="15" hidden="false" customHeight="false" outlineLevel="0" collapsed="false">
      <c r="A4362" s="3" t="n">
        <v>4361</v>
      </c>
      <c r="B4362" s="3" t="n">
        <v>4360</v>
      </c>
      <c r="C4362" s="3" t="n">
        <v>5</v>
      </c>
      <c r="D4362" s="3" t="n">
        <v>15</v>
      </c>
      <c r="E4362" s="3" t="n">
        <v>20</v>
      </c>
      <c r="F4362" s="24" t="n">
        <v>0.754926622</v>
      </c>
    </row>
    <row r="4363" customFormat="false" ht="15" hidden="false" customHeight="false" outlineLevel="0" collapsed="false">
      <c r="A4363" s="3" t="n">
        <v>4362</v>
      </c>
      <c r="B4363" s="3" t="n">
        <v>4361</v>
      </c>
      <c r="C4363" s="3" t="n">
        <v>5</v>
      </c>
      <c r="D4363" s="3" t="n">
        <v>15</v>
      </c>
      <c r="E4363" s="3" t="n">
        <v>21</v>
      </c>
      <c r="F4363" s="24" t="n">
        <v>0.51512605</v>
      </c>
    </row>
    <row r="4364" customFormat="false" ht="15" hidden="false" customHeight="false" outlineLevel="0" collapsed="false">
      <c r="A4364" s="3" t="n">
        <v>4363</v>
      </c>
      <c r="B4364" s="3" t="n">
        <v>4362</v>
      </c>
      <c r="C4364" s="3" t="n">
        <v>5</v>
      </c>
      <c r="D4364" s="3" t="n">
        <v>15</v>
      </c>
      <c r="E4364" s="3" t="n">
        <v>22</v>
      </c>
      <c r="F4364" s="24" t="n">
        <v>0.51512605</v>
      </c>
    </row>
    <row r="4365" customFormat="false" ht="15" hidden="false" customHeight="false" outlineLevel="0" collapsed="false">
      <c r="A4365" s="3" t="n">
        <v>4364</v>
      </c>
      <c r="B4365" s="3" t="n">
        <v>4363</v>
      </c>
      <c r="C4365" s="3" t="n">
        <v>5</v>
      </c>
      <c r="D4365" s="3" t="n">
        <v>15</v>
      </c>
      <c r="E4365" s="3" t="n">
        <v>23</v>
      </c>
      <c r="F4365" s="24" t="n">
        <v>0.51512605</v>
      </c>
    </row>
    <row r="4366" customFormat="false" ht="15" hidden="false" customHeight="false" outlineLevel="0" collapsed="false">
      <c r="A4366" s="3" t="n">
        <v>4365</v>
      </c>
      <c r="B4366" s="3" t="n">
        <v>4364</v>
      </c>
      <c r="C4366" s="3" t="n">
        <v>5</v>
      </c>
      <c r="D4366" s="3" t="n">
        <v>15</v>
      </c>
      <c r="E4366" s="3" t="n">
        <v>24</v>
      </c>
      <c r="F4366" s="24" t="n">
        <v>0.51512605</v>
      </c>
    </row>
    <row r="4367" customFormat="false" ht="15" hidden="false" customHeight="false" outlineLevel="0" collapsed="false">
      <c r="A4367" s="3" t="n">
        <v>4366</v>
      </c>
      <c r="B4367" s="3" t="n">
        <v>4365</v>
      </c>
      <c r="C4367" s="3" t="n">
        <v>5</v>
      </c>
      <c r="D4367" s="3" t="n">
        <v>15</v>
      </c>
      <c r="E4367" s="3" t="n">
        <v>25</v>
      </c>
      <c r="F4367" s="24" t="n">
        <v>0.51512605</v>
      </c>
    </row>
    <row r="4368" customFormat="false" ht="15" hidden="false" customHeight="false" outlineLevel="0" collapsed="false">
      <c r="A4368" s="3" t="n">
        <v>4367</v>
      </c>
      <c r="B4368" s="3" t="n">
        <v>4366</v>
      </c>
      <c r="C4368" s="3" t="n">
        <v>5</v>
      </c>
      <c r="D4368" s="3" t="n">
        <v>15</v>
      </c>
      <c r="E4368" s="3" t="n">
        <v>26</v>
      </c>
      <c r="F4368" s="24" t="n">
        <v>0.51512605</v>
      </c>
    </row>
    <row r="4369" customFormat="false" ht="15" hidden="false" customHeight="false" outlineLevel="0" collapsed="false">
      <c r="A4369" s="3" t="n">
        <v>4368</v>
      </c>
      <c r="B4369" s="3" t="n">
        <v>4367</v>
      </c>
      <c r="C4369" s="3" t="n">
        <v>5</v>
      </c>
      <c r="D4369" s="3" t="n">
        <v>15</v>
      </c>
      <c r="E4369" s="3" t="n">
        <v>27</v>
      </c>
      <c r="F4369" s="24" t="n">
        <v>0.459515482</v>
      </c>
    </row>
    <row r="4370" customFormat="false" ht="15" hidden="false" customHeight="false" outlineLevel="0" collapsed="false">
      <c r="A4370" s="3" t="n">
        <v>4369</v>
      </c>
      <c r="B4370" s="3" t="n">
        <v>4368</v>
      </c>
      <c r="C4370" s="3" t="n">
        <v>5</v>
      </c>
      <c r="D4370" s="3" t="n">
        <v>16</v>
      </c>
      <c r="E4370" s="3" t="n">
        <v>0</v>
      </c>
      <c r="F4370" s="24" t="n">
        <v>0.354324996</v>
      </c>
    </row>
    <row r="4371" customFormat="false" ht="15" hidden="false" customHeight="false" outlineLevel="0" collapsed="false">
      <c r="A4371" s="3" t="n">
        <v>4370</v>
      </c>
      <c r="B4371" s="3" t="n">
        <v>4369</v>
      </c>
      <c r="C4371" s="3" t="n">
        <v>5</v>
      </c>
      <c r="D4371" s="3" t="n">
        <v>16</v>
      </c>
      <c r="E4371" s="3" t="n">
        <v>1</v>
      </c>
      <c r="F4371" s="24" t="n">
        <v>0.51512605</v>
      </c>
    </row>
    <row r="4372" customFormat="false" ht="15" hidden="false" customHeight="false" outlineLevel="0" collapsed="false">
      <c r="A4372" s="3" t="n">
        <v>4371</v>
      </c>
      <c r="B4372" s="3" t="n">
        <v>4370</v>
      </c>
      <c r="C4372" s="3" t="n">
        <v>5</v>
      </c>
      <c r="D4372" s="3" t="n">
        <v>16</v>
      </c>
      <c r="E4372" s="3" t="n">
        <v>2</v>
      </c>
      <c r="F4372" s="24" t="n">
        <v>0.51512605</v>
      </c>
    </row>
    <row r="4373" customFormat="false" ht="15" hidden="false" customHeight="false" outlineLevel="0" collapsed="false">
      <c r="A4373" s="3" t="n">
        <v>4372</v>
      </c>
      <c r="B4373" s="3" t="n">
        <v>4371</v>
      </c>
      <c r="C4373" s="3" t="n">
        <v>5</v>
      </c>
      <c r="D4373" s="3" t="n">
        <v>16</v>
      </c>
      <c r="E4373" s="3" t="n">
        <v>3</v>
      </c>
      <c r="F4373" s="24" t="n">
        <v>0.51512605</v>
      </c>
    </row>
    <row r="4374" customFormat="false" ht="15" hidden="false" customHeight="false" outlineLevel="0" collapsed="false">
      <c r="A4374" s="3" t="n">
        <v>4373</v>
      </c>
      <c r="B4374" s="3" t="n">
        <v>4372</v>
      </c>
      <c r="C4374" s="3" t="n">
        <v>5</v>
      </c>
      <c r="D4374" s="3" t="n">
        <v>16</v>
      </c>
      <c r="E4374" s="3" t="n">
        <v>4</v>
      </c>
      <c r="F4374" s="24" t="n">
        <v>0.51512605</v>
      </c>
    </row>
    <row r="4375" customFormat="false" ht="15" hidden="false" customHeight="false" outlineLevel="0" collapsed="false">
      <c r="A4375" s="3" t="n">
        <v>4374</v>
      </c>
      <c r="B4375" s="3" t="n">
        <v>4373</v>
      </c>
      <c r="C4375" s="3" t="n">
        <v>5</v>
      </c>
      <c r="D4375" s="3" t="n">
        <v>16</v>
      </c>
      <c r="E4375" s="3" t="n">
        <v>5</v>
      </c>
      <c r="F4375" s="24" t="n">
        <v>0.51512605</v>
      </c>
    </row>
    <row r="4376" customFormat="false" ht="15" hidden="false" customHeight="false" outlineLevel="0" collapsed="false">
      <c r="A4376" s="3" t="n">
        <v>4375</v>
      </c>
      <c r="B4376" s="3" t="n">
        <v>4374</v>
      </c>
      <c r="C4376" s="3" t="n">
        <v>5</v>
      </c>
      <c r="D4376" s="3" t="n">
        <v>16</v>
      </c>
      <c r="E4376" s="3" t="n">
        <v>6</v>
      </c>
      <c r="F4376" s="24" t="n">
        <v>0.51512605</v>
      </c>
    </row>
    <row r="4377" customFormat="false" ht="15" hidden="false" customHeight="false" outlineLevel="0" collapsed="false">
      <c r="A4377" s="3" t="n">
        <v>4376</v>
      </c>
      <c r="B4377" s="3" t="n">
        <v>4375</v>
      </c>
      <c r="C4377" s="3" t="n">
        <v>5</v>
      </c>
      <c r="D4377" s="3" t="n">
        <v>16</v>
      </c>
      <c r="E4377" s="3" t="n">
        <v>7</v>
      </c>
      <c r="F4377" s="24" t="n">
        <v>0.51512605</v>
      </c>
    </row>
    <row r="4378" customFormat="false" ht="15" hidden="false" customHeight="false" outlineLevel="0" collapsed="false">
      <c r="A4378" s="3" t="n">
        <v>4377</v>
      </c>
      <c r="B4378" s="3" t="n">
        <v>4376</v>
      </c>
      <c r="C4378" s="3" t="n">
        <v>5</v>
      </c>
      <c r="D4378" s="3" t="n">
        <v>16</v>
      </c>
      <c r="E4378" s="3" t="n">
        <v>8</v>
      </c>
      <c r="F4378" s="24" t="n">
        <v>0.51512605</v>
      </c>
    </row>
    <row r="4379" customFormat="false" ht="15" hidden="false" customHeight="false" outlineLevel="0" collapsed="false">
      <c r="A4379" s="3" t="n">
        <v>4378</v>
      </c>
      <c r="B4379" s="3" t="n">
        <v>4377</v>
      </c>
      <c r="C4379" s="3" t="n">
        <v>5</v>
      </c>
      <c r="D4379" s="3" t="n">
        <v>16</v>
      </c>
      <c r="E4379" s="3" t="n">
        <v>9</v>
      </c>
      <c r="F4379" s="24" t="n">
        <v>0.51512605</v>
      </c>
    </row>
    <row r="4380" customFormat="false" ht="15" hidden="false" customHeight="false" outlineLevel="0" collapsed="false">
      <c r="A4380" s="3" t="n">
        <v>4379</v>
      </c>
      <c r="B4380" s="3" t="n">
        <v>4378</v>
      </c>
      <c r="C4380" s="3" t="n">
        <v>5</v>
      </c>
      <c r="D4380" s="3" t="n">
        <v>16</v>
      </c>
      <c r="E4380" s="3" t="n">
        <v>10</v>
      </c>
      <c r="F4380" s="24" t="n">
        <v>0.51512605</v>
      </c>
    </row>
    <row r="4381" customFormat="false" ht="15" hidden="false" customHeight="false" outlineLevel="0" collapsed="false">
      <c r="A4381" s="3" t="n">
        <v>4380</v>
      </c>
      <c r="B4381" s="3" t="n">
        <v>4379</v>
      </c>
      <c r="C4381" s="3" t="n">
        <v>5</v>
      </c>
      <c r="D4381" s="3" t="n">
        <v>16</v>
      </c>
      <c r="E4381" s="3" t="n">
        <v>11</v>
      </c>
      <c r="F4381" s="24" t="n">
        <v>0.51512605</v>
      </c>
    </row>
    <row r="4382" customFormat="false" ht="15" hidden="false" customHeight="false" outlineLevel="0" collapsed="false">
      <c r="A4382" s="3" t="n">
        <v>4381</v>
      </c>
      <c r="B4382" s="3" t="n">
        <v>4380</v>
      </c>
      <c r="C4382" s="3" t="n">
        <v>5</v>
      </c>
      <c r="D4382" s="3" t="n">
        <v>16</v>
      </c>
      <c r="E4382" s="3" t="n">
        <v>12</v>
      </c>
      <c r="F4382" s="24" t="n">
        <v>0.51512605</v>
      </c>
    </row>
    <row r="4383" customFormat="false" ht="15" hidden="false" customHeight="false" outlineLevel="0" collapsed="false">
      <c r="A4383" s="3" t="n">
        <v>4382</v>
      </c>
      <c r="B4383" s="3" t="n">
        <v>4381</v>
      </c>
      <c r="C4383" s="3" t="n">
        <v>5</v>
      </c>
      <c r="D4383" s="3" t="n">
        <v>16</v>
      </c>
      <c r="E4383" s="3" t="n">
        <v>13</v>
      </c>
      <c r="F4383" s="24" t="n">
        <v>0.51512605</v>
      </c>
    </row>
    <row r="4384" customFormat="false" ht="15" hidden="false" customHeight="false" outlineLevel="0" collapsed="false">
      <c r="A4384" s="3" t="n">
        <v>4383</v>
      </c>
      <c r="B4384" s="3" t="n">
        <v>4382</v>
      </c>
      <c r="C4384" s="3" t="n">
        <v>5</v>
      </c>
      <c r="D4384" s="3" t="n">
        <v>16</v>
      </c>
      <c r="E4384" s="3" t="n">
        <v>14</v>
      </c>
      <c r="F4384" s="24" t="n">
        <v>1.04615939</v>
      </c>
    </row>
    <row r="4385" customFormat="false" ht="15" hidden="false" customHeight="false" outlineLevel="0" collapsed="false">
      <c r="A4385" s="3" t="n">
        <v>4384</v>
      </c>
      <c r="B4385" s="3" t="n">
        <v>4383</v>
      </c>
      <c r="C4385" s="3" t="n">
        <v>5</v>
      </c>
      <c r="D4385" s="3" t="n">
        <v>16</v>
      </c>
      <c r="E4385" s="3" t="n">
        <v>15</v>
      </c>
      <c r="F4385" s="24" t="n">
        <v>0</v>
      </c>
    </row>
    <row r="4386" customFormat="false" ht="15" hidden="false" customHeight="false" outlineLevel="0" collapsed="false">
      <c r="A4386" s="3" t="n">
        <v>4385</v>
      </c>
      <c r="B4386" s="3" t="n">
        <v>4384</v>
      </c>
      <c r="C4386" s="3" t="n">
        <v>5</v>
      </c>
      <c r="D4386" s="3" t="n">
        <v>16</v>
      </c>
      <c r="E4386" s="3" t="n">
        <v>16</v>
      </c>
      <c r="F4386" s="24" t="n">
        <v>0</v>
      </c>
    </row>
    <row r="4387" customFormat="false" ht="15" hidden="false" customHeight="false" outlineLevel="0" collapsed="false">
      <c r="A4387" s="3" t="n">
        <v>4386</v>
      </c>
      <c r="B4387" s="3" t="n">
        <v>4385</v>
      </c>
      <c r="C4387" s="3" t="n">
        <v>5</v>
      </c>
      <c r="D4387" s="3" t="n">
        <v>16</v>
      </c>
      <c r="E4387" s="3" t="n">
        <v>17</v>
      </c>
      <c r="F4387" s="24" t="n">
        <v>0</v>
      </c>
    </row>
    <row r="4388" customFormat="false" ht="15" hidden="false" customHeight="false" outlineLevel="0" collapsed="false">
      <c r="A4388" s="3" t="n">
        <v>4387</v>
      </c>
      <c r="B4388" s="3" t="n">
        <v>4386</v>
      </c>
      <c r="C4388" s="3" t="n">
        <v>5</v>
      </c>
      <c r="D4388" s="3" t="n">
        <v>16</v>
      </c>
      <c r="E4388" s="3" t="n">
        <v>18</v>
      </c>
      <c r="F4388" s="24" t="n">
        <v>1.38166714</v>
      </c>
    </row>
    <row r="4389" customFormat="false" ht="15" hidden="false" customHeight="false" outlineLevel="0" collapsed="false">
      <c r="A4389" s="3" t="n">
        <v>4388</v>
      </c>
      <c r="B4389" s="3" t="n">
        <v>4387</v>
      </c>
      <c r="C4389" s="3" t="n">
        <v>5</v>
      </c>
      <c r="D4389" s="3" t="n">
        <v>16</v>
      </c>
      <c r="E4389" s="3" t="n">
        <v>19</v>
      </c>
      <c r="F4389" s="24" t="n">
        <v>1.33503401</v>
      </c>
    </row>
    <row r="4390" customFormat="false" ht="15" hidden="false" customHeight="false" outlineLevel="0" collapsed="false">
      <c r="A4390" s="3" t="n">
        <v>4389</v>
      </c>
      <c r="B4390" s="3" t="n">
        <v>4388</v>
      </c>
      <c r="C4390" s="3" t="n">
        <v>5</v>
      </c>
      <c r="D4390" s="3" t="n">
        <v>16</v>
      </c>
      <c r="E4390" s="3" t="n">
        <v>20</v>
      </c>
      <c r="F4390" s="24" t="n">
        <v>0.533931017</v>
      </c>
    </row>
    <row r="4391" customFormat="false" ht="15" hidden="false" customHeight="false" outlineLevel="0" collapsed="false">
      <c r="A4391" s="3" t="n">
        <v>4390</v>
      </c>
      <c r="B4391" s="3" t="n">
        <v>4389</v>
      </c>
      <c r="C4391" s="3" t="n">
        <v>5</v>
      </c>
      <c r="D4391" s="3" t="n">
        <v>16</v>
      </c>
      <c r="E4391" s="3" t="n">
        <v>21</v>
      </c>
      <c r="F4391" s="24" t="n">
        <v>0.51512605</v>
      </c>
    </row>
    <row r="4392" customFormat="false" ht="15" hidden="false" customHeight="false" outlineLevel="0" collapsed="false">
      <c r="A4392" s="3" t="n">
        <v>4391</v>
      </c>
      <c r="B4392" s="3" t="n">
        <v>4390</v>
      </c>
      <c r="C4392" s="3" t="n">
        <v>5</v>
      </c>
      <c r="D4392" s="3" t="n">
        <v>16</v>
      </c>
      <c r="E4392" s="3" t="n">
        <v>22</v>
      </c>
      <c r="F4392" s="24" t="n">
        <v>0.51512605</v>
      </c>
    </row>
    <row r="4393" customFormat="false" ht="15" hidden="false" customHeight="false" outlineLevel="0" collapsed="false">
      <c r="A4393" s="3" t="n">
        <v>4392</v>
      </c>
      <c r="B4393" s="3" t="n">
        <v>4391</v>
      </c>
      <c r="C4393" s="3" t="n">
        <v>5</v>
      </c>
      <c r="D4393" s="3" t="n">
        <v>16</v>
      </c>
      <c r="E4393" s="3" t="n">
        <v>23</v>
      </c>
      <c r="F4393" s="24" t="n">
        <v>0.51512605</v>
      </c>
    </row>
    <row r="4394" customFormat="false" ht="15" hidden="false" customHeight="false" outlineLevel="0" collapsed="false">
      <c r="A4394" s="3" t="n">
        <v>4393</v>
      </c>
      <c r="B4394" s="3" t="n">
        <v>4392</v>
      </c>
      <c r="C4394" s="3" t="n">
        <v>5</v>
      </c>
      <c r="D4394" s="3" t="n">
        <v>16</v>
      </c>
      <c r="E4394" s="3" t="n">
        <v>24</v>
      </c>
      <c r="F4394" s="24" t="n">
        <v>0.51512605</v>
      </c>
    </row>
    <row r="4395" customFormat="false" ht="15" hidden="false" customHeight="false" outlineLevel="0" collapsed="false">
      <c r="A4395" s="3" t="n">
        <v>4394</v>
      </c>
      <c r="B4395" s="3" t="n">
        <v>4393</v>
      </c>
      <c r="C4395" s="3" t="n">
        <v>5</v>
      </c>
      <c r="D4395" s="3" t="n">
        <v>16</v>
      </c>
      <c r="E4395" s="3" t="n">
        <v>25</v>
      </c>
      <c r="F4395" s="24" t="n">
        <v>0.51512605</v>
      </c>
    </row>
    <row r="4396" customFormat="false" ht="15" hidden="false" customHeight="false" outlineLevel="0" collapsed="false">
      <c r="A4396" s="3" t="n">
        <v>4395</v>
      </c>
      <c r="B4396" s="3" t="n">
        <v>4394</v>
      </c>
      <c r="C4396" s="3" t="n">
        <v>5</v>
      </c>
      <c r="D4396" s="3" t="n">
        <v>16</v>
      </c>
      <c r="E4396" s="3" t="n">
        <v>26</v>
      </c>
      <c r="F4396" s="24" t="n">
        <v>0.51512605</v>
      </c>
    </row>
    <row r="4397" customFormat="false" ht="15" hidden="false" customHeight="false" outlineLevel="0" collapsed="false">
      <c r="A4397" s="3" t="n">
        <v>4396</v>
      </c>
      <c r="B4397" s="3" t="n">
        <v>4395</v>
      </c>
      <c r="C4397" s="3" t="n">
        <v>5</v>
      </c>
      <c r="D4397" s="3" t="n">
        <v>16</v>
      </c>
      <c r="E4397" s="3" t="n">
        <v>27</v>
      </c>
      <c r="F4397" s="24" t="n">
        <v>0.459515482</v>
      </c>
    </row>
    <row r="4398" customFormat="false" ht="15" hidden="false" customHeight="false" outlineLevel="0" collapsed="false">
      <c r="A4398" s="3" t="n">
        <v>4397</v>
      </c>
      <c r="B4398" s="3" t="n">
        <v>4396</v>
      </c>
      <c r="C4398" s="3" t="n">
        <v>5</v>
      </c>
      <c r="D4398" s="3" t="n">
        <v>17</v>
      </c>
      <c r="E4398" s="3" t="n">
        <v>0</v>
      </c>
      <c r="F4398" s="24" t="n">
        <v>0.354324996</v>
      </c>
    </row>
    <row r="4399" customFormat="false" ht="15" hidden="false" customHeight="false" outlineLevel="0" collapsed="false">
      <c r="A4399" s="3" t="n">
        <v>4398</v>
      </c>
      <c r="B4399" s="3" t="n">
        <v>4397</v>
      </c>
      <c r="C4399" s="3" t="n">
        <v>5</v>
      </c>
      <c r="D4399" s="3" t="n">
        <v>17</v>
      </c>
      <c r="E4399" s="3" t="n">
        <v>1</v>
      </c>
      <c r="F4399" s="24" t="n">
        <v>0.51512605</v>
      </c>
    </row>
    <row r="4400" customFormat="false" ht="15" hidden="false" customHeight="false" outlineLevel="0" collapsed="false">
      <c r="A4400" s="3" t="n">
        <v>4399</v>
      </c>
      <c r="B4400" s="3" t="n">
        <v>4398</v>
      </c>
      <c r="C4400" s="3" t="n">
        <v>5</v>
      </c>
      <c r="D4400" s="3" t="n">
        <v>17</v>
      </c>
      <c r="E4400" s="3" t="n">
        <v>2</v>
      </c>
      <c r="F4400" s="24" t="n">
        <v>0.51512605</v>
      </c>
    </row>
    <row r="4401" customFormat="false" ht="15" hidden="false" customHeight="false" outlineLevel="0" collapsed="false">
      <c r="A4401" s="3" t="n">
        <v>4400</v>
      </c>
      <c r="B4401" s="3" t="n">
        <v>4399</v>
      </c>
      <c r="C4401" s="3" t="n">
        <v>5</v>
      </c>
      <c r="D4401" s="3" t="n">
        <v>17</v>
      </c>
      <c r="E4401" s="3" t="n">
        <v>3</v>
      </c>
      <c r="F4401" s="24" t="n">
        <v>0.51512605</v>
      </c>
    </row>
    <row r="4402" customFormat="false" ht="15" hidden="false" customHeight="false" outlineLevel="0" collapsed="false">
      <c r="A4402" s="3" t="n">
        <v>4401</v>
      </c>
      <c r="B4402" s="3" t="n">
        <v>4400</v>
      </c>
      <c r="C4402" s="3" t="n">
        <v>5</v>
      </c>
      <c r="D4402" s="3" t="n">
        <v>17</v>
      </c>
      <c r="E4402" s="3" t="n">
        <v>4</v>
      </c>
      <c r="F4402" s="24" t="n">
        <v>0.51512605</v>
      </c>
    </row>
    <row r="4403" customFormat="false" ht="15" hidden="false" customHeight="false" outlineLevel="0" collapsed="false">
      <c r="A4403" s="3" t="n">
        <v>4402</v>
      </c>
      <c r="B4403" s="3" t="n">
        <v>4401</v>
      </c>
      <c r="C4403" s="3" t="n">
        <v>5</v>
      </c>
      <c r="D4403" s="3" t="n">
        <v>17</v>
      </c>
      <c r="E4403" s="3" t="n">
        <v>5</v>
      </c>
      <c r="F4403" s="24" t="n">
        <v>0.51512605</v>
      </c>
    </row>
    <row r="4404" customFormat="false" ht="15" hidden="false" customHeight="false" outlineLevel="0" collapsed="false">
      <c r="A4404" s="3" t="n">
        <v>4403</v>
      </c>
      <c r="B4404" s="3" t="n">
        <v>4402</v>
      </c>
      <c r="C4404" s="3" t="n">
        <v>5</v>
      </c>
      <c r="D4404" s="3" t="n">
        <v>17</v>
      </c>
      <c r="E4404" s="3" t="n">
        <v>6</v>
      </c>
      <c r="F4404" s="24" t="n">
        <v>0.51512605</v>
      </c>
    </row>
    <row r="4405" customFormat="false" ht="15" hidden="false" customHeight="false" outlineLevel="0" collapsed="false">
      <c r="A4405" s="3" t="n">
        <v>4404</v>
      </c>
      <c r="B4405" s="3" t="n">
        <v>4403</v>
      </c>
      <c r="C4405" s="3" t="n">
        <v>5</v>
      </c>
      <c r="D4405" s="3" t="n">
        <v>17</v>
      </c>
      <c r="E4405" s="3" t="n">
        <v>7</v>
      </c>
      <c r="F4405" s="24" t="n">
        <v>0.51512605</v>
      </c>
    </row>
    <row r="4406" customFormat="false" ht="15" hidden="false" customHeight="false" outlineLevel="0" collapsed="false">
      <c r="A4406" s="3" t="n">
        <v>4405</v>
      </c>
      <c r="B4406" s="3" t="n">
        <v>4404</v>
      </c>
      <c r="C4406" s="3" t="n">
        <v>5</v>
      </c>
      <c r="D4406" s="3" t="n">
        <v>17</v>
      </c>
      <c r="E4406" s="3" t="n">
        <v>8</v>
      </c>
      <c r="F4406" s="24" t="n">
        <v>0.51512605</v>
      </c>
    </row>
    <row r="4407" customFormat="false" ht="15" hidden="false" customHeight="false" outlineLevel="0" collapsed="false">
      <c r="A4407" s="3" t="n">
        <v>4406</v>
      </c>
      <c r="B4407" s="3" t="n">
        <v>4405</v>
      </c>
      <c r="C4407" s="3" t="n">
        <v>5</v>
      </c>
      <c r="D4407" s="3" t="n">
        <v>17</v>
      </c>
      <c r="E4407" s="3" t="n">
        <v>9</v>
      </c>
      <c r="F4407" s="24" t="n">
        <v>0.51512605</v>
      </c>
    </row>
    <row r="4408" customFormat="false" ht="15" hidden="false" customHeight="false" outlineLevel="0" collapsed="false">
      <c r="A4408" s="3" t="n">
        <v>4407</v>
      </c>
      <c r="B4408" s="3" t="n">
        <v>4406</v>
      </c>
      <c r="C4408" s="3" t="n">
        <v>5</v>
      </c>
      <c r="D4408" s="3" t="n">
        <v>17</v>
      </c>
      <c r="E4408" s="3" t="n">
        <v>10</v>
      </c>
      <c r="F4408" s="24" t="n">
        <v>0.51512605</v>
      </c>
    </row>
    <row r="4409" customFormat="false" ht="15" hidden="false" customHeight="false" outlineLevel="0" collapsed="false">
      <c r="A4409" s="3" t="n">
        <v>4408</v>
      </c>
      <c r="B4409" s="3" t="n">
        <v>4407</v>
      </c>
      <c r="C4409" s="3" t="n">
        <v>5</v>
      </c>
      <c r="D4409" s="3" t="n">
        <v>17</v>
      </c>
      <c r="E4409" s="3" t="n">
        <v>11</v>
      </c>
      <c r="F4409" s="24" t="n">
        <v>0.51512605</v>
      </c>
    </row>
    <row r="4410" customFormat="false" ht="15" hidden="false" customHeight="false" outlineLevel="0" collapsed="false">
      <c r="A4410" s="3" t="n">
        <v>4409</v>
      </c>
      <c r="B4410" s="3" t="n">
        <v>4408</v>
      </c>
      <c r="C4410" s="3" t="n">
        <v>5</v>
      </c>
      <c r="D4410" s="3" t="n">
        <v>17</v>
      </c>
      <c r="E4410" s="3" t="n">
        <v>12</v>
      </c>
      <c r="F4410" s="24" t="n">
        <v>0.51512605</v>
      </c>
    </row>
    <row r="4411" customFormat="false" ht="15" hidden="false" customHeight="false" outlineLevel="0" collapsed="false">
      <c r="A4411" s="3" t="n">
        <v>4410</v>
      </c>
      <c r="B4411" s="3" t="n">
        <v>4409</v>
      </c>
      <c r="C4411" s="3" t="n">
        <v>5</v>
      </c>
      <c r="D4411" s="3" t="n">
        <v>17</v>
      </c>
      <c r="E4411" s="3" t="n">
        <v>13</v>
      </c>
      <c r="F4411" s="24" t="n">
        <v>0.890516281</v>
      </c>
    </row>
    <row r="4412" customFormat="false" ht="15" hidden="false" customHeight="false" outlineLevel="0" collapsed="false">
      <c r="A4412" s="3" t="n">
        <v>4411</v>
      </c>
      <c r="B4412" s="3" t="n">
        <v>4410</v>
      </c>
      <c r="C4412" s="3" t="n">
        <v>5</v>
      </c>
      <c r="D4412" s="3" t="n">
        <v>17</v>
      </c>
      <c r="E4412" s="3" t="n">
        <v>14</v>
      </c>
      <c r="F4412" s="24" t="n">
        <v>0</v>
      </c>
    </row>
    <row r="4413" customFormat="false" ht="15" hidden="false" customHeight="false" outlineLevel="0" collapsed="false">
      <c r="A4413" s="3" t="n">
        <v>4412</v>
      </c>
      <c r="B4413" s="3" t="n">
        <v>4411</v>
      </c>
      <c r="C4413" s="3" t="n">
        <v>5</v>
      </c>
      <c r="D4413" s="3" t="n">
        <v>17</v>
      </c>
      <c r="E4413" s="3" t="n">
        <v>15</v>
      </c>
      <c r="F4413" s="24" t="n">
        <v>0</v>
      </c>
    </row>
    <row r="4414" customFormat="false" ht="15" hidden="false" customHeight="false" outlineLevel="0" collapsed="false">
      <c r="A4414" s="3" t="n">
        <v>4413</v>
      </c>
      <c r="B4414" s="3" t="n">
        <v>4412</v>
      </c>
      <c r="C4414" s="3" t="n">
        <v>5</v>
      </c>
      <c r="D4414" s="3" t="n">
        <v>17</v>
      </c>
      <c r="E4414" s="3" t="n">
        <v>16</v>
      </c>
      <c r="F4414" s="24" t="n">
        <v>0</v>
      </c>
    </row>
    <row r="4415" customFormat="false" ht="15" hidden="false" customHeight="false" outlineLevel="0" collapsed="false">
      <c r="A4415" s="3" t="n">
        <v>4414</v>
      </c>
      <c r="B4415" s="3" t="n">
        <v>4413</v>
      </c>
      <c r="C4415" s="3" t="n">
        <v>5</v>
      </c>
      <c r="D4415" s="3" t="n">
        <v>17</v>
      </c>
      <c r="E4415" s="3" t="n">
        <v>17</v>
      </c>
      <c r="F4415" s="24" t="n">
        <v>0.599289596</v>
      </c>
    </row>
    <row r="4416" customFormat="false" ht="15" hidden="false" customHeight="false" outlineLevel="0" collapsed="false">
      <c r="A4416" s="3" t="n">
        <v>4415</v>
      </c>
      <c r="B4416" s="3" t="n">
        <v>4414</v>
      </c>
      <c r="C4416" s="3" t="n">
        <v>5</v>
      </c>
      <c r="D4416" s="3" t="n">
        <v>17</v>
      </c>
      <c r="E4416" s="3" t="n">
        <v>18</v>
      </c>
      <c r="F4416" s="24" t="n">
        <v>1.58592594</v>
      </c>
    </row>
    <row r="4417" customFormat="false" ht="15" hidden="false" customHeight="false" outlineLevel="0" collapsed="false">
      <c r="A4417" s="3" t="n">
        <v>4416</v>
      </c>
      <c r="B4417" s="3" t="n">
        <v>4415</v>
      </c>
      <c r="C4417" s="3" t="n">
        <v>5</v>
      </c>
      <c r="D4417" s="3" t="n">
        <v>17</v>
      </c>
      <c r="E4417" s="3" t="n">
        <v>19</v>
      </c>
      <c r="F4417" s="24" t="n">
        <v>0.733264267</v>
      </c>
    </row>
    <row r="4418" customFormat="false" ht="15" hidden="false" customHeight="false" outlineLevel="0" collapsed="false">
      <c r="A4418" s="3" t="n">
        <v>4417</v>
      </c>
      <c r="B4418" s="3" t="n">
        <v>4416</v>
      </c>
      <c r="C4418" s="3" t="n">
        <v>5</v>
      </c>
      <c r="D4418" s="3" t="n">
        <v>17</v>
      </c>
      <c r="E4418" s="3" t="n">
        <v>20</v>
      </c>
      <c r="F4418" s="24" t="n">
        <v>0.51512605</v>
      </c>
    </row>
    <row r="4419" customFormat="false" ht="15" hidden="false" customHeight="false" outlineLevel="0" collapsed="false">
      <c r="A4419" s="3" t="n">
        <v>4418</v>
      </c>
      <c r="B4419" s="3" t="n">
        <v>4417</v>
      </c>
      <c r="C4419" s="3" t="n">
        <v>5</v>
      </c>
      <c r="D4419" s="3" t="n">
        <v>17</v>
      </c>
      <c r="E4419" s="3" t="n">
        <v>21</v>
      </c>
      <c r="F4419" s="24" t="n">
        <v>0.51512605</v>
      </c>
    </row>
    <row r="4420" customFormat="false" ht="15" hidden="false" customHeight="false" outlineLevel="0" collapsed="false">
      <c r="A4420" s="3" t="n">
        <v>4419</v>
      </c>
      <c r="B4420" s="3" t="n">
        <v>4418</v>
      </c>
      <c r="C4420" s="3" t="n">
        <v>5</v>
      </c>
      <c r="D4420" s="3" t="n">
        <v>17</v>
      </c>
      <c r="E4420" s="3" t="n">
        <v>22</v>
      </c>
      <c r="F4420" s="24" t="n">
        <v>0.51512605</v>
      </c>
    </row>
    <row r="4421" customFormat="false" ht="15" hidden="false" customHeight="false" outlineLevel="0" collapsed="false">
      <c r="A4421" s="3" t="n">
        <v>4420</v>
      </c>
      <c r="B4421" s="3" t="n">
        <v>4419</v>
      </c>
      <c r="C4421" s="3" t="n">
        <v>5</v>
      </c>
      <c r="D4421" s="3" t="n">
        <v>17</v>
      </c>
      <c r="E4421" s="3" t="n">
        <v>23</v>
      </c>
      <c r="F4421" s="24" t="n">
        <v>0.51512605</v>
      </c>
    </row>
    <row r="4422" customFormat="false" ht="15" hidden="false" customHeight="false" outlineLevel="0" collapsed="false">
      <c r="A4422" s="3" t="n">
        <v>4421</v>
      </c>
      <c r="B4422" s="3" t="n">
        <v>4420</v>
      </c>
      <c r="C4422" s="3" t="n">
        <v>5</v>
      </c>
      <c r="D4422" s="3" t="n">
        <v>17</v>
      </c>
      <c r="E4422" s="3" t="n">
        <v>24</v>
      </c>
      <c r="F4422" s="24" t="n">
        <v>0.51512605</v>
      </c>
    </row>
    <row r="4423" customFormat="false" ht="15" hidden="false" customHeight="false" outlineLevel="0" collapsed="false">
      <c r="A4423" s="3" t="n">
        <v>4422</v>
      </c>
      <c r="B4423" s="3" t="n">
        <v>4421</v>
      </c>
      <c r="C4423" s="3" t="n">
        <v>5</v>
      </c>
      <c r="D4423" s="3" t="n">
        <v>17</v>
      </c>
      <c r="E4423" s="3" t="n">
        <v>25</v>
      </c>
      <c r="F4423" s="24" t="n">
        <v>0.51512605</v>
      </c>
    </row>
    <row r="4424" customFormat="false" ht="15" hidden="false" customHeight="false" outlineLevel="0" collapsed="false">
      <c r="A4424" s="3" t="n">
        <v>4423</v>
      </c>
      <c r="B4424" s="3" t="n">
        <v>4422</v>
      </c>
      <c r="C4424" s="3" t="n">
        <v>5</v>
      </c>
      <c r="D4424" s="3" t="n">
        <v>17</v>
      </c>
      <c r="E4424" s="3" t="n">
        <v>26</v>
      </c>
      <c r="F4424" s="24" t="n">
        <v>0.51512605</v>
      </c>
    </row>
    <row r="4425" customFormat="false" ht="15" hidden="false" customHeight="false" outlineLevel="0" collapsed="false">
      <c r="A4425" s="3" t="n">
        <v>4424</v>
      </c>
      <c r="B4425" s="3" t="n">
        <v>4423</v>
      </c>
      <c r="C4425" s="3" t="n">
        <v>5</v>
      </c>
      <c r="D4425" s="3" t="n">
        <v>17</v>
      </c>
      <c r="E4425" s="3" t="n">
        <v>27</v>
      </c>
      <c r="F4425" s="24" t="n">
        <v>0.459515482</v>
      </c>
    </row>
    <row r="4426" customFormat="false" ht="15" hidden="false" customHeight="false" outlineLevel="0" collapsed="false">
      <c r="A4426" s="3" t="n">
        <v>4425</v>
      </c>
      <c r="B4426" s="3" t="n">
        <v>4424</v>
      </c>
      <c r="C4426" s="3" t="n">
        <v>5</v>
      </c>
      <c r="D4426" s="3" t="n">
        <v>18</v>
      </c>
      <c r="E4426" s="3" t="n">
        <v>0</v>
      </c>
      <c r="F4426" s="24" t="n">
        <v>0.354324996</v>
      </c>
    </row>
    <row r="4427" customFormat="false" ht="15" hidden="false" customHeight="false" outlineLevel="0" collapsed="false">
      <c r="A4427" s="3" t="n">
        <v>4426</v>
      </c>
      <c r="B4427" s="3" t="n">
        <v>4425</v>
      </c>
      <c r="C4427" s="3" t="n">
        <v>5</v>
      </c>
      <c r="D4427" s="3" t="n">
        <v>18</v>
      </c>
      <c r="E4427" s="3" t="n">
        <v>1</v>
      </c>
      <c r="F4427" s="24" t="n">
        <v>0.51512605</v>
      </c>
    </row>
    <row r="4428" customFormat="false" ht="15" hidden="false" customHeight="false" outlineLevel="0" collapsed="false">
      <c r="A4428" s="3" t="n">
        <v>4427</v>
      </c>
      <c r="B4428" s="3" t="n">
        <v>4426</v>
      </c>
      <c r="C4428" s="3" t="n">
        <v>5</v>
      </c>
      <c r="D4428" s="3" t="n">
        <v>18</v>
      </c>
      <c r="E4428" s="3" t="n">
        <v>2</v>
      </c>
      <c r="F4428" s="24" t="n">
        <v>0.51512605</v>
      </c>
    </row>
    <row r="4429" customFormat="false" ht="15" hidden="false" customHeight="false" outlineLevel="0" collapsed="false">
      <c r="A4429" s="3" t="n">
        <v>4428</v>
      </c>
      <c r="B4429" s="3" t="n">
        <v>4427</v>
      </c>
      <c r="C4429" s="3" t="n">
        <v>5</v>
      </c>
      <c r="D4429" s="3" t="n">
        <v>18</v>
      </c>
      <c r="E4429" s="3" t="n">
        <v>3</v>
      </c>
      <c r="F4429" s="24" t="n">
        <v>0.51512605</v>
      </c>
    </row>
    <row r="4430" customFormat="false" ht="15" hidden="false" customHeight="false" outlineLevel="0" collapsed="false">
      <c r="A4430" s="3" t="n">
        <v>4429</v>
      </c>
      <c r="B4430" s="3" t="n">
        <v>4428</v>
      </c>
      <c r="C4430" s="3" t="n">
        <v>5</v>
      </c>
      <c r="D4430" s="3" t="n">
        <v>18</v>
      </c>
      <c r="E4430" s="3" t="n">
        <v>4</v>
      </c>
      <c r="F4430" s="24" t="n">
        <v>0.51512605</v>
      </c>
    </row>
    <row r="4431" customFormat="false" ht="15" hidden="false" customHeight="false" outlineLevel="0" collapsed="false">
      <c r="A4431" s="3" t="n">
        <v>4430</v>
      </c>
      <c r="B4431" s="3" t="n">
        <v>4429</v>
      </c>
      <c r="C4431" s="3" t="n">
        <v>5</v>
      </c>
      <c r="D4431" s="3" t="n">
        <v>18</v>
      </c>
      <c r="E4431" s="3" t="n">
        <v>5</v>
      </c>
      <c r="F4431" s="24" t="n">
        <v>0.51512605</v>
      </c>
    </row>
    <row r="4432" customFormat="false" ht="15" hidden="false" customHeight="false" outlineLevel="0" collapsed="false">
      <c r="A4432" s="3" t="n">
        <v>4431</v>
      </c>
      <c r="B4432" s="3" t="n">
        <v>4430</v>
      </c>
      <c r="C4432" s="3" t="n">
        <v>5</v>
      </c>
      <c r="D4432" s="3" t="n">
        <v>18</v>
      </c>
      <c r="E4432" s="3" t="n">
        <v>6</v>
      </c>
      <c r="F4432" s="24" t="n">
        <v>0.51512605</v>
      </c>
    </row>
    <row r="4433" customFormat="false" ht="15" hidden="false" customHeight="false" outlineLevel="0" collapsed="false">
      <c r="A4433" s="3" t="n">
        <v>4432</v>
      </c>
      <c r="B4433" s="3" t="n">
        <v>4431</v>
      </c>
      <c r="C4433" s="3" t="n">
        <v>5</v>
      </c>
      <c r="D4433" s="3" t="n">
        <v>18</v>
      </c>
      <c r="E4433" s="3" t="n">
        <v>7</v>
      </c>
      <c r="F4433" s="24" t="n">
        <v>0.51512605</v>
      </c>
    </row>
    <row r="4434" customFormat="false" ht="15" hidden="false" customHeight="false" outlineLevel="0" collapsed="false">
      <c r="A4434" s="3" t="n">
        <v>4433</v>
      </c>
      <c r="B4434" s="3" t="n">
        <v>4432</v>
      </c>
      <c r="C4434" s="3" t="n">
        <v>5</v>
      </c>
      <c r="D4434" s="3" t="n">
        <v>18</v>
      </c>
      <c r="E4434" s="3" t="n">
        <v>8</v>
      </c>
      <c r="F4434" s="24" t="n">
        <v>0.51512605</v>
      </c>
    </row>
    <row r="4435" customFormat="false" ht="15" hidden="false" customHeight="false" outlineLevel="0" collapsed="false">
      <c r="A4435" s="3" t="n">
        <v>4434</v>
      </c>
      <c r="B4435" s="3" t="n">
        <v>4433</v>
      </c>
      <c r="C4435" s="3" t="n">
        <v>5</v>
      </c>
      <c r="D4435" s="3" t="n">
        <v>18</v>
      </c>
      <c r="E4435" s="3" t="n">
        <v>9</v>
      </c>
      <c r="F4435" s="24" t="n">
        <v>0.51512605</v>
      </c>
    </row>
    <row r="4436" customFormat="false" ht="15" hidden="false" customHeight="false" outlineLevel="0" collapsed="false">
      <c r="A4436" s="3" t="n">
        <v>4435</v>
      </c>
      <c r="B4436" s="3" t="n">
        <v>4434</v>
      </c>
      <c r="C4436" s="3" t="n">
        <v>5</v>
      </c>
      <c r="D4436" s="3" t="n">
        <v>18</v>
      </c>
      <c r="E4436" s="3" t="n">
        <v>10</v>
      </c>
      <c r="F4436" s="24" t="n">
        <v>0.51512605</v>
      </c>
    </row>
    <row r="4437" customFormat="false" ht="15" hidden="false" customHeight="false" outlineLevel="0" collapsed="false">
      <c r="A4437" s="3" t="n">
        <v>4436</v>
      </c>
      <c r="B4437" s="3" t="n">
        <v>4435</v>
      </c>
      <c r="C4437" s="3" t="n">
        <v>5</v>
      </c>
      <c r="D4437" s="3" t="n">
        <v>18</v>
      </c>
      <c r="E4437" s="3" t="n">
        <v>11</v>
      </c>
      <c r="F4437" s="24" t="n">
        <v>0.51512605</v>
      </c>
    </row>
    <row r="4438" customFormat="false" ht="15" hidden="false" customHeight="false" outlineLevel="0" collapsed="false">
      <c r="A4438" s="3" t="n">
        <v>4437</v>
      </c>
      <c r="B4438" s="3" t="n">
        <v>4436</v>
      </c>
      <c r="C4438" s="3" t="n">
        <v>5</v>
      </c>
      <c r="D4438" s="3" t="n">
        <v>18</v>
      </c>
      <c r="E4438" s="3" t="n">
        <v>12</v>
      </c>
      <c r="F4438" s="24" t="n">
        <v>0.610224903</v>
      </c>
    </row>
    <row r="4439" customFormat="false" ht="15" hidden="false" customHeight="false" outlineLevel="0" collapsed="false">
      <c r="A4439" s="3" t="n">
        <v>4438</v>
      </c>
      <c r="B4439" s="3" t="n">
        <v>4437</v>
      </c>
      <c r="C4439" s="3" t="n">
        <v>5</v>
      </c>
      <c r="D4439" s="3" t="n">
        <v>18</v>
      </c>
      <c r="E4439" s="3" t="n">
        <v>13</v>
      </c>
      <c r="F4439" s="24" t="n">
        <v>0.630153894</v>
      </c>
    </row>
    <row r="4440" customFormat="false" ht="15" hidden="false" customHeight="false" outlineLevel="0" collapsed="false">
      <c r="A4440" s="3" t="n">
        <v>4439</v>
      </c>
      <c r="B4440" s="3" t="n">
        <v>4438</v>
      </c>
      <c r="C4440" s="3" t="n">
        <v>5</v>
      </c>
      <c r="D4440" s="3" t="n">
        <v>18</v>
      </c>
      <c r="E4440" s="3" t="n">
        <v>14</v>
      </c>
      <c r="F4440" s="24" t="n">
        <v>0</v>
      </c>
    </row>
    <row r="4441" customFormat="false" ht="15" hidden="false" customHeight="false" outlineLevel="0" collapsed="false">
      <c r="A4441" s="3" t="n">
        <v>4440</v>
      </c>
      <c r="B4441" s="3" t="n">
        <v>4439</v>
      </c>
      <c r="C4441" s="3" t="n">
        <v>5</v>
      </c>
      <c r="D4441" s="3" t="n">
        <v>18</v>
      </c>
      <c r="E4441" s="3" t="n">
        <v>15</v>
      </c>
      <c r="F4441" s="24" t="n">
        <v>0</v>
      </c>
    </row>
    <row r="4442" customFormat="false" ht="15" hidden="false" customHeight="false" outlineLevel="0" collapsed="false">
      <c r="A4442" s="3" t="n">
        <v>4441</v>
      </c>
      <c r="B4442" s="3" t="n">
        <v>4440</v>
      </c>
      <c r="C4442" s="3" t="n">
        <v>5</v>
      </c>
      <c r="D4442" s="3" t="n">
        <v>18</v>
      </c>
      <c r="E4442" s="3" t="n">
        <v>16</v>
      </c>
      <c r="F4442" s="24" t="n">
        <v>0</v>
      </c>
    </row>
    <row r="4443" customFormat="false" ht="15" hidden="false" customHeight="false" outlineLevel="0" collapsed="false">
      <c r="A4443" s="3" t="n">
        <v>4442</v>
      </c>
      <c r="B4443" s="3" t="n">
        <v>4441</v>
      </c>
      <c r="C4443" s="3" t="n">
        <v>5</v>
      </c>
      <c r="D4443" s="3" t="n">
        <v>18</v>
      </c>
      <c r="E4443" s="3" t="n">
        <v>17</v>
      </c>
      <c r="F4443" s="24" t="n">
        <v>1.46997952</v>
      </c>
    </row>
    <row r="4444" customFormat="false" ht="15" hidden="false" customHeight="false" outlineLevel="0" collapsed="false">
      <c r="A4444" s="3" t="n">
        <v>4443</v>
      </c>
      <c r="B4444" s="3" t="n">
        <v>4442</v>
      </c>
      <c r="C4444" s="3" t="n">
        <v>5</v>
      </c>
      <c r="D4444" s="3" t="n">
        <v>18</v>
      </c>
      <c r="E4444" s="3" t="n">
        <v>18</v>
      </c>
      <c r="F4444" s="24" t="n">
        <v>1.27507782</v>
      </c>
    </row>
    <row r="4445" customFormat="false" ht="15" hidden="false" customHeight="false" outlineLevel="0" collapsed="false">
      <c r="A4445" s="3" t="n">
        <v>4444</v>
      </c>
      <c r="B4445" s="3" t="n">
        <v>4443</v>
      </c>
      <c r="C4445" s="3" t="n">
        <v>5</v>
      </c>
      <c r="D4445" s="3" t="n">
        <v>18</v>
      </c>
      <c r="E4445" s="3" t="n">
        <v>19</v>
      </c>
      <c r="F4445" s="24" t="n">
        <v>0.51512605</v>
      </c>
    </row>
    <row r="4446" customFormat="false" ht="15" hidden="false" customHeight="false" outlineLevel="0" collapsed="false">
      <c r="A4446" s="3" t="n">
        <v>4445</v>
      </c>
      <c r="B4446" s="3" t="n">
        <v>4444</v>
      </c>
      <c r="C4446" s="3" t="n">
        <v>5</v>
      </c>
      <c r="D4446" s="3" t="n">
        <v>18</v>
      </c>
      <c r="E4446" s="3" t="n">
        <v>20</v>
      </c>
      <c r="F4446" s="24" t="n">
        <v>0.51512605</v>
      </c>
    </row>
    <row r="4447" customFormat="false" ht="15" hidden="false" customHeight="false" outlineLevel="0" collapsed="false">
      <c r="A4447" s="3" t="n">
        <v>4446</v>
      </c>
      <c r="B4447" s="3" t="n">
        <v>4445</v>
      </c>
      <c r="C4447" s="3" t="n">
        <v>5</v>
      </c>
      <c r="D4447" s="3" t="n">
        <v>18</v>
      </c>
      <c r="E4447" s="3" t="n">
        <v>21</v>
      </c>
      <c r="F4447" s="24" t="n">
        <v>0.51512605</v>
      </c>
    </row>
    <row r="4448" customFormat="false" ht="15" hidden="false" customHeight="false" outlineLevel="0" collapsed="false">
      <c r="A4448" s="3" t="n">
        <v>4447</v>
      </c>
      <c r="B4448" s="3" t="n">
        <v>4446</v>
      </c>
      <c r="C4448" s="3" t="n">
        <v>5</v>
      </c>
      <c r="D4448" s="3" t="n">
        <v>18</v>
      </c>
      <c r="E4448" s="3" t="n">
        <v>22</v>
      </c>
      <c r="F4448" s="24" t="n">
        <v>0.51512605</v>
      </c>
    </row>
    <row r="4449" customFormat="false" ht="15" hidden="false" customHeight="false" outlineLevel="0" collapsed="false">
      <c r="A4449" s="3" t="n">
        <v>4448</v>
      </c>
      <c r="B4449" s="3" t="n">
        <v>4447</v>
      </c>
      <c r="C4449" s="3" t="n">
        <v>5</v>
      </c>
      <c r="D4449" s="3" t="n">
        <v>18</v>
      </c>
      <c r="E4449" s="3" t="n">
        <v>23</v>
      </c>
      <c r="F4449" s="24" t="n">
        <v>0.51512605</v>
      </c>
    </row>
    <row r="4450" customFormat="false" ht="15" hidden="false" customHeight="false" outlineLevel="0" collapsed="false">
      <c r="A4450" s="3" t="n">
        <v>4449</v>
      </c>
      <c r="B4450" s="3" t="n">
        <v>4448</v>
      </c>
      <c r="C4450" s="3" t="n">
        <v>5</v>
      </c>
      <c r="D4450" s="3" t="n">
        <v>18</v>
      </c>
      <c r="E4450" s="3" t="n">
        <v>24</v>
      </c>
      <c r="F4450" s="24" t="n">
        <v>0.51512605</v>
      </c>
    </row>
    <row r="4451" customFormat="false" ht="15" hidden="false" customHeight="false" outlineLevel="0" collapsed="false">
      <c r="A4451" s="3" t="n">
        <v>4450</v>
      </c>
      <c r="B4451" s="3" t="n">
        <v>4449</v>
      </c>
      <c r="C4451" s="3" t="n">
        <v>5</v>
      </c>
      <c r="D4451" s="3" t="n">
        <v>18</v>
      </c>
      <c r="E4451" s="3" t="n">
        <v>25</v>
      </c>
      <c r="F4451" s="24" t="n">
        <v>0.51512605</v>
      </c>
    </row>
    <row r="4452" customFormat="false" ht="15" hidden="false" customHeight="false" outlineLevel="0" collapsed="false">
      <c r="A4452" s="3" t="n">
        <v>4451</v>
      </c>
      <c r="B4452" s="3" t="n">
        <v>4450</v>
      </c>
      <c r="C4452" s="3" t="n">
        <v>5</v>
      </c>
      <c r="D4452" s="3" t="n">
        <v>18</v>
      </c>
      <c r="E4452" s="3" t="n">
        <v>26</v>
      </c>
      <c r="F4452" s="24" t="n">
        <v>0.51512605</v>
      </c>
    </row>
    <row r="4453" customFormat="false" ht="15" hidden="false" customHeight="false" outlineLevel="0" collapsed="false">
      <c r="A4453" s="3" t="n">
        <v>4452</v>
      </c>
      <c r="B4453" s="3" t="n">
        <v>4451</v>
      </c>
      <c r="C4453" s="3" t="n">
        <v>5</v>
      </c>
      <c r="D4453" s="3" t="n">
        <v>18</v>
      </c>
      <c r="E4453" s="3" t="n">
        <v>27</v>
      </c>
      <c r="F4453" s="24" t="n">
        <v>0.459515482</v>
      </c>
    </row>
    <row r="4454" customFormat="false" ht="15" hidden="false" customHeight="false" outlineLevel="0" collapsed="false">
      <c r="A4454" s="3" t="n">
        <v>4453</v>
      </c>
      <c r="B4454" s="3" t="n">
        <v>4452</v>
      </c>
      <c r="C4454" s="3" t="n">
        <v>5</v>
      </c>
      <c r="D4454" s="3" t="n">
        <v>19</v>
      </c>
      <c r="E4454" s="3" t="n">
        <v>0</v>
      </c>
      <c r="F4454" s="24" t="n">
        <v>0.354324996</v>
      </c>
    </row>
    <row r="4455" customFormat="false" ht="15" hidden="false" customHeight="false" outlineLevel="0" collapsed="false">
      <c r="A4455" s="3" t="n">
        <v>4454</v>
      </c>
      <c r="B4455" s="3" t="n">
        <v>4453</v>
      </c>
      <c r="C4455" s="3" t="n">
        <v>5</v>
      </c>
      <c r="D4455" s="3" t="n">
        <v>19</v>
      </c>
      <c r="E4455" s="3" t="n">
        <v>1</v>
      </c>
      <c r="F4455" s="24" t="n">
        <v>0.51512605</v>
      </c>
    </row>
    <row r="4456" customFormat="false" ht="15" hidden="false" customHeight="false" outlineLevel="0" collapsed="false">
      <c r="A4456" s="3" t="n">
        <v>4455</v>
      </c>
      <c r="B4456" s="3" t="n">
        <v>4454</v>
      </c>
      <c r="C4456" s="3" t="n">
        <v>5</v>
      </c>
      <c r="D4456" s="3" t="n">
        <v>19</v>
      </c>
      <c r="E4456" s="3" t="n">
        <v>2</v>
      </c>
      <c r="F4456" s="24" t="n">
        <v>0.51512605</v>
      </c>
    </row>
    <row r="4457" customFormat="false" ht="15" hidden="false" customHeight="false" outlineLevel="0" collapsed="false">
      <c r="A4457" s="3" t="n">
        <v>4456</v>
      </c>
      <c r="B4457" s="3" t="n">
        <v>4455</v>
      </c>
      <c r="C4457" s="3" t="n">
        <v>5</v>
      </c>
      <c r="D4457" s="3" t="n">
        <v>19</v>
      </c>
      <c r="E4457" s="3" t="n">
        <v>3</v>
      </c>
      <c r="F4457" s="24" t="n">
        <v>0.51512605</v>
      </c>
    </row>
    <row r="4458" customFormat="false" ht="15" hidden="false" customHeight="false" outlineLevel="0" collapsed="false">
      <c r="A4458" s="3" t="n">
        <v>4457</v>
      </c>
      <c r="B4458" s="3" t="n">
        <v>4456</v>
      </c>
      <c r="C4458" s="3" t="n">
        <v>5</v>
      </c>
      <c r="D4458" s="3" t="n">
        <v>19</v>
      </c>
      <c r="E4458" s="3" t="n">
        <v>4</v>
      </c>
      <c r="F4458" s="24" t="n">
        <v>0.51512605</v>
      </c>
    </row>
    <row r="4459" customFormat="false" ht="15" hidden="false" customHeight="false" outlineLevel="0" collapsed="false">
      <c r="A4459" s="3" t="n">
        <v>4458</v>
      </c>
      <c r="B4459" s="3" t="n">
        <v>4457</v>
      </c>
      <c r="C4459" s="3" t="n">
        <v>5</v>
      </c>
      <c r="D4459" s="3" t="n">
        <v>19</v>
      </c>
      <c r="E4459" s="3" t="n">
        <v>5</v>
      </c>
      <c r="F4459" s="24" t="n">
        <v>0.51512605</v>
      </c>
    </row>
    <row r="4460" customFormat="false" ht="15" hidden="false" customHeight="false" outlineLevel="0" collapsed="false">
      <c r="A4460" s="3" t="n">
        <v>4459</v>
      </c>
      <c r="B4460" s="3" t="n">
        <v>4458</v>
      </c>
      <c r="C4460" s="3" t="n">
        <v>5</v>
      </c>
      <c r="D4460" s="3" t="n">
        <v>19</v>
      </c>
      <c r="E4460" s="3" t="n">
        <v>6</v>
      </c>
      <c r="F4460" s="24" t="n">
        <v>0.51512605</v>
      </c>
    </row>
    <row r="4461" customFormat="false" ht="15" hidden="false" customHeight="false" outlineLevel="0" collapsed="false">
      <c r="A4461" s="3" t="n">
        <v>4460</v>
      </c>
      <c r="B4461" s="3" t="n">
        <v>4459</v>
      </c>
      <c r="C4461" s="3" t="n">
        <v>5</v>
      </c>
      <c r="D4461" s="3" t="n">
        <v>19</v>
      </c>
      <c r="E4461" s="3" t="n">
        <v>7</v>
      </c>
      <c r="F4461" s="24" t="n">
        <v>0.51512605</v>
      </c>
    </row>
    <row r="4462" customFormat="false" ht="15" hidden="false" customHeight="false" outlineLevel="0" collapsed="false">
      <c r="A4462" s="3" t="n">
        <v>4461</v>
      </c>
      <c r="B4462" s="3" t="n">
        <v>4460</v>
      </c>
      <c r="C4462" s="3" t="n">
        <v>5</v>
      </c>
      <c r="D4462" s="3" t="n">
        <v>19</v>
      </c>
      <c r="E4462" s="3" t="n">
        <v>8</v>
      </c>
      <c r="F4462" s="24" t="n">
        <v>0.51512605</v>
      </c>
    </row>
    <row r="4463" customFormat="false" ht="15" hidden="false" customHeight="false" outlineLevel="0" collapsed="false">
      <c r="A4463" s="3" t="n">
        <v>4462</v>
      </c>
      <c r="B4463" s="3" t="n">
        <v>4461</v>
      </c>
      <c r="C4463" s="3" t="n">
        <v>5</v>
      </c>
      <c r="D4463" s="3" t="n">
        <v>19</v>
      </c>
      <c r="E4463" s="3" t="n">
        <v>9</v>
      </c>
      <c r="F4463" s="24" t="n">
        <v>0.51512605</v>
      </c>
    </row>
    <row r="4464" customFormat="false" ht="15" hidden="false" customHeight="false" outlineLevel="0" collapsed="false">
      <c r="A4464" s="3" t="n">
        <v>4463</v>
      </c>
      <c r="B4464" s="3" t="n">
        <v>4462</v>
      </c>
      <c r="C4464" s="3" t="n">
        <v>5</v>
      </c>
      <c r="D4464" s="3" t="n">
        <v>19</v>
      </c>
      <c r="E4464" s="3" t="n">
        <v>10</v>
      </c>
      <c r="F4464" s="24" t="n">
        <v>0.51512605</v>
      </c>
    </row>
    <row r="4465" customFormat="false" ht="15" hidden="false" customHeight="false" outlineLevel="0" collapsed="false">
      <c r="A4465" s="3" t="n">
        <v>4464</v>
      </c>
      <c r="B4465" s="3" t="n">
        <v>4463</v>
      </c>
      <c r="C4465" s="3" t="n">
        <v>5</v>
      </c>
      <c r="D4465" s="3" t="n">
        <v>19</v>
      </c>
      <c r="E4465" s="3" t="n">
        <v>11</v>
      </c>
      <c r="F4465" s="24" t="n">
        <v>0.530141652</v>
      </c>
    </row>
    <row r="4466" customFormat="false" ht="15" hidden="false" customHeight="false" outlineLevel="0" collapsed="false">
      <c r="A4466" s="3" t="n">
        <v>4465</v>
      </c>
      <c r="B4466" s="3" t="n">
        <v>4464</v>
      </c>
      <c r="C4466" s="3" t="n">
        <v>5</v>
      </c>
      <c r="D4466" s="3" t="n">
        <v>19</v>
      </c>
      <c r="E4466" s="3" t="n">
        <v>12</v>
      </c>
      <c r="F4466" s="24" t="n">
        <v>1.2954576</v>
      </c>
    </row>
    <row r="4467" customFormat="false" ht="15" hidden="false" customHeight="false" outlineLevel="0" collapsed="false">
      <c r="A4467" s="3" t="n">
        <v>4466</v>
      </c>
      <c r="B4467" s="3" t="n">
        <v>4465</v>
      </c>
      <c r="C4467" s="3" t="n">
        <v>5</v>
      </c>
      <c r="D4467" s="3" t="n">
        <v>19</v>
      </c>
      <c r="E4467" s="3" t="n">
        <v>13</v>
      </c>
      <c r="F4467" s="24" t="n">
        <v>0</v>
      </c>
    </row>
    <row r="4468" customFormat="false" ht="15" hidden="false" customHeight="false" outlineLevel="0" collapsed="false">
      <c r="A4468" s="3" t="n">
        <v>4467</v>
      </c>
      <c r="B4468" s="3" t="n">
        <v>4466</v>
      </c>
      <c r="C4468" s="3" t="n">
        <v>5</v>
      </c>
      <c r="D4468" s="3" t="n">
        <v>19</v>
      </c>
      <c r="E4468" s="3" t="n">
        <v>14</v>
      </c>
      <c r="F4468" s="24" t="n">
        <v>0</v>
      </c>
    </row>
    <row r="4469" customFormat="false" ht="15" hidden="false" customHeight="false" outlineLevel="0" collapsed="false">
      <c r="A4469" s="3" t="n">
        <v>4468</v>
      </c>
      <c r="B4469" s="3" t="n">
        <v>4467</v>
      </c>
      <c r="C4469" s="3" t="n">
        <v>5</v>
      </c>
      <c r="D4469" s="3" t="n">
        <v>19</v>
      </c>
      <c r="E4469" s="3" t="n">
        <v>15</v>
      </c>
      <c r="F4469" s="24" t="n">
        <v>0</v>
      </c>
    </row>
    <row r="4470" customFormat="false" ht="15" hidden="false" customHeight="false" outlineLevel="0" collapsed="false">
      <c r="A4470" s="3" t="n">
        <v>4469</v>
      </c>
      <c r="B4470" s="3" t="n">
        <v>4468</v>
      </c>
      <c r="C4470" s="3" t="n">
        <v>5</v>
      </c>
      <c r="D4470" s="3" t="n">
        <v>19</v>
      </c>
      <c r="E4470" s="3" t="n">
        <v>16</v>
      </c>
      <c r="F4470" s="24" t="n">
        <v>1.13311541</v>
      </c>
    </row>
    <row r="4471" customFormat="false" ht="15" hidden="false" customHeight="false" outlineLevel="0" collapsed="false">
      <c r="A4471" s="3" t="n">
        <v>4470</v>
      </c>
      <c r="B4471" s="3" t="n">
        <v>4469</v>
      </c>
      <c r="C4471" s="3" t="n">
        <v>5</v>
      </c>
      <c r="D4471" s="3" t="n">
        <v>19</v>
      </c>
      <c r="E4471" s="3" t="n">
        <v>17</v>
      </c>
      <c r="F4471" s="24" t="n">
        <v>1.74470067</v>
      </c>
    </row>
    <row r="4472" customFormat="false" ht="15" hidden="false" customHeight="false" outlineLevel="0" collapsed="false">
      <c r="A4472" s="3" t="n">
        <v>4471</v>
      </c>
      <c r="B4472" s="3" t="n">
        <v>4470</v>
      </c>
      <c r="C4472" s="3" t="n">
        <v>5</v>
      </c>
      <c r="D4472" s="3" t="n">
        <v>19</v>
      </c>
      <c r="E4472" s="3" t="n">
        <v>18</v>
      </c>
      <c r="F4472" s="24" t="n">
        <v>0.729503214</v>
      </c>
    </row>
    <row r="4473" customFormat="false" ht="15" hidden="false" customHeight="false" outlineLevel="0" collapsed="false">
      <c r="A4473" s="3" t="n">
        <v>4472</v>
      </c>
      <c r="B4473" s="3" t="n">
        <v>4471</v>
      </c>
      <c r="C4473" s="3" t="n">
        <v>5</v>
      </c>
      <c r="D4473" s="3" t="n">
        <v>19</v>
      </c>
      <c r="E4473" s="3" t="n">
        <v>19</v>
      </c>
      <c r="F4473" s="24" t="n">
        <v>0.51512605</v>
      </c>
    </row>
    <row r="4474" customFormat="false" ht="15" hidden="false" customHeight="false" outlineLevel="0" collapsed="false">
      <c r="A4474" s="3" t="n">
        <v>4473</v>
      </c>
      <c r="B4474" s="3" t="n">
        <v>4472</v>
      </c>
      <c r="C4474" s="3" t="n">
        <v>5</v>
      </c>
      <c r="D4474" s="3" t="n">
        <v>19</v>
      </c>
      <c r="E4474" s="3" t="n">
        <v>20</v>
      </c>
      <c r="F4474" s="24" t="n">
        <v>0.51512605</v>
      </c>
    </row>
    <row r="4475" customFormat="false" ht="15" hidden="false" customHeight="false" outlineLevel="0" collapsed="false">
      <c r="A4475" s="3" t="n">
        <v>4474</v>
      </c>
      <c r="B4475" s="3" t="n">
        <v>4473</v>
      </c>
      <c r="C4475" s="3" t="n">
        <v>5</v>
      </c>
      <c r="D4475" s="3" t="n">
        <v>19</v>
      </c>
      <c r="E4475" s="3" t="n">
        <v>21</v>
      </c>
      <c r="F4475" s="24" t="n">
        <v>0.51512605</v>
      </c>
    </row>
    <row r="4476" customFormat="false" ht="15" hidden="false" customHeight="false" outlineLevel="0" collapsed="false">
      <c r="A4476" s="3" t="n">
        <v>4475</v>
      </c>
      <c r="B4476" s="3" t="n">
        <v>4474</v>
      </c>
      <c r="C4476" s="3" t="n">
        <v>5</v>
      </c>
      <c r="D4476" s="3" t="n">
        <v>19</v>
      </c>
      <c r="E4476" s="3" t="n">
        <v>22</v>
      </c>
      <c r="F4476" s="24" t="n">
        <v>0.51512605</v>
      </c>
    </row>
    <row r="4477" customFormat="false" ht="15" hidden="false" customHeight="false" outlineLevel="0" collapsed="false">
      <c r="A4477" s="3" t="n">
        <v>4476</v>
      </c>
      <c r="B4477" s="3" t="n">
        <v>4475</v>
      </c>
      <c r="C4477" s="3" t="n">
        <v>5</v>
      </c>
      <c r="D4477" s="3" t="n">
        <v>19</v>
      </c>
      <c r="E4477" s="3" t="n">
        <v>23</v>
      </c>
      <c r="F4477" s="24" t="n">
        <v>0.51512605</v>
      </c>
    </row>
    <row r="4478" customFormat="false" ht="15" hidden="false" customHeight="false" outlineLevel="0" collapsed="false">
      <c r="A4478" s="3" t="n">
        <v>4477</v>
      </c>
      <c r="B4478" s="3" t="n">
        <v>4476</v>
      </c>
      <c r="C4478" s="3" t="n">
        <v>5</v>
      </c>
      <c r="D4478" s="3" t="n">
        <v>19</v>
      </c>
      <c r="E4478" s="3" t="n">
        <v>24</v>
      </c>
      <c r="F4478" s="24" t="n">
        <v>0.51512605</v>
      </c>
    </row>
    <row r="4479" customFormat="false" ht="15" hidden="false" customHeight="false" outlineLevel="0" collapsed="false">
      <c r="A4479" s="3" t="n">
        <v>4478</v>
      </c>
      <c r="B4479" s="3" t="n">
        <v>4477</v>
      </c>
      <c r="C4479" s="3" t="n">
        <v>5</v>
      </c>
      <c r="D4479" s="3" t="n">
        <v>19</v>
      </c>
      <c r="E4479" s="3" t="n">
        <v>25</v>
      </c>
      <c r="F4479" s="24" t="n">
        <v>0.51512605</v>
      </c>
    </row>
    <row r="4480" customFormat="false" ht="15" hidden="false" customHeight="false" outlineLevel="0" collapsed="false">
      <c r="A4480" s="3" t="n">
        <v>4479</v>
      </c>
      <c r="B4480" s="3" t="n">
        <v>4478</v>
      </c>
      <c r="C4480" s="3" t="n">
        <v>5</v>
      </c>
      <c r="D4480" s="3" t="n">
        <v>19</v>
      </c>
      <c r="E4480" s="3" t="n">
        <v>26</v>
      </c>
      <c r="F4480" s="24" t="n">
        <v>0.51512605</v>
      </c>
    </row>
    <row r="4481" customFormat="false" ht="15" hidden="false" customHeight="false" outlineLevel="0" collapsed="false">
      <c r="A4481" s="3" t="n">
        <v>4480</v>
      </c>
      <c r="B4481" s="3" t="n">
        <v>4479</v>
      </c>
      <c r="C4481" s="3" t="n">
        <v>5</v>
      </c>
      <c r="D4481" s="3" t="n">
        <v>19</v>
      </c>
      <c r="E4481" s="3" t="n">
        <v>27</v>
      </c>
      <c r="F4481" s="24" t="n">
        <v>0.459515482</v>
      </c>
    </row>
    <row r="4482" customFormat="false" ht="15" hidden="false" customHeight="false" outlineLevel="0" collapsed="false">
      <c r="A4482" s="3" t="n">
        <v>4481</v>
      </c>
      <c r="B4482" s="3" t="n">
        <v>4480</v>
      </c>
      <c r="C4482" s="3" t="n">
        <v>5</v>
      </c>
      <c r="D4482" s="3" t="n">
        <v>20</v>
      </c>
      <c r="E4482" s="3" t="n">
        <v>0</v>
      </c>
      <c r="F4482" s="24" t="n">
        <v>0.354324996</v>
      </c>
    </row>
    <row r="4483" customFormat="false" ht="15" hidden="false" customHeight="false" outlineLevel="0" collapsed="false">
      <c r="A4483" s="3" t="n">
        <v>4482</v>
      </c>
      <c r="B4483" s="3" t="n">
        <v>4481</v>
      </c>
      <c r="C4483" s="3" t="n">
        <v>5</v>
      </c>
      <c r="D4483" s="3" t="n">
        <v>20</v>
      </c>
      <c r="E4483" s="3" t="n">
        <v>1</v>
      </c>
      <c r="F4483" s="24" t="n">
        <v>0.51512605</v>
      </c>
    </row>
    <row r="4484" customFormat="false" ht="15" hidden="false" customHeight="false" outlineLevel="0" collapsed="false">
      <c r="A4484" s="3" t="n">
        <v>4483</v>
      </c>
      <c r="B4484" s="3" t="n">
        <v>4482</v>
      </c>
      <c r="C4484" s="3" t="n">
        <v>5</v>
      </c>
      <c r="D4484" s="3" t="n">
        <v>20</v>
      </c>
      <c r="E4484" s="3" t="n">
        <v>2</v>
      </c>
      <c r="F4484" s="24" t="n">
        <v>0.51512605</v>
      </c>
    </row>
    <row r="4485" customFormat="false" ht="15" hidden="false" customHeight="false" outlineLevel="0" collapsed="false">
      <c r="A4485" s="3" t="n">
        <v>4484</v>
      </c>
      <c r="B4485" s="3" t="n">
        <v>4483</v>
      </c>
      <c r="C4485" s="3" t="n">
        <v>5</v>
      </c>
      <c r="D4485" s="3" t="n">
        <v>20</v>
      </c>
      <c r="E4485" s="3" t="n">
        <v>3</v>
      </c>
      <c r="F4485" s="24" t="n">
        <v>0.51512605</v>
      </c>
    </row>
    <row r="4486" customFormat="false" ht="15" hidden="false" customHeight="false" outlineLevel="0" collapsed="false">
      <c r="A4486" s="3" t="n">
        <v>4485</v>
      </c>
      <c r="B4486" s="3" t="n">
        <v>4484</v>
      </c>
      <c r="C4486" s="3" t="n">
        <v>5</v>
      </c>
      <c r="D4486" s="3" t="n">
        <v>20</v>
      </c>
      <c r="E4486" s="3" t="n">
        <v>4</v>
      </c>
      <c r="F4486" s="24" t="n">
        <v>0.51512605</v>
      </c>
    </row>
    <row r="4487" customFormat="false" ht="15" hidden="false" customHeight="false" outlineLevel="0" collapsed="false">
      <c r="A4487" s="3" t="n">
        <v>4486</v>
      </c>
      <c r="B4487" s="3" t="n">
        <v>4485</v>
      </c>
      <c r="C4487" s="3" t="n">
        <v>5</v>
      </c>
      <c r="D4487" s="3" t="n">
        <v>20</v>
      </c>
      <c r="E4487" s="3" t="n">
        <v>5</v>
      </c>
      <c r="F4487" s="24" t="n">
        <v>0.51512605</v>
      </c>
    </row>
    <row r="4488" customFormat="false" ht="15" hidden="false" customHeight="false" outlineLevel="0" collapsed="false">
      <c r="A4488" s="3" t="n">
        <v>4487</v>
      </c>
      <c r="B4488" s="3" t="n">
        <v>4486</v>
      </c>
      <c r="C4488" s="3" t="n">
        <v>5</v>
      </c>
      <c r="D4488" s="3" t="n">
        <v>20</v>
      </c>
      <c r="E4488" s="3" t="n">
        <v>6</v>
      </c>
      <c r="F4488" s="24" t="n">
        <v>0.51512605</v>
      </c>
    </row>
    <row r="4489" customFormat="false" ht="15" hidden="false" customHeight="false" outlineLevel="0" collapsed="false">
      <c r="A4489" s="3" t="n">
        <v>4488</v>
      </c>
      <c r="B4489" s="3" t="n">
        <v>4487</v>
      </c>
      <c r="C4489" s="3" t="n">
        <v>5</v>
      </c>
      <c r="D4489" s="3" t="n">
        <v>20</v>
      </c>
      <c r="E4489" s="3" t="n">
        <v>7</v>
      </c>
      <c r="F4489" s="24" t="n">
        <v>0.51512605</v>
      </c>
    </row>
    <row r="4490" customFormat="false" ht="15" hidden="false" customHeight="false" outlineLevel="0" collapsed="false">
      <c r="A4490" s="3" t="n">
        <v>4489</v>
      </c>
      <c r="B4490" s="3" t="n">
        <v>4488</v>
      </c>
      <c r="C4490" s="3" t="n">
        <v>5</v>
      </c>
      <c r="D4490" s="3" t="n">
        <v>20</v>
      </c>
      <c r="E4490" s="3" t="n">
        <v>8</v>
      </c>
      <c r="F4490" s="24" t="n">
        <v>0.51512605</v>
      </c>
    </row>
    <row r="4491" customFormat="false" ht="15" hidden="false" customHeight="false" outlineLevel="0" collapsed="false">
      <c r="A4491" s="3" t="n">
        <v>4490</v>
      </c>
      <c r="B4491" s="3" t="n">
        <v>4489</v>
      </c>
      <c r="C4491" s="3" t="n">
        <v>5</v>
      </c>
      <c r="D4491" s="3" t="n">
        <v>20</v>
      </c>
      <c r="E4491" s="3" t="n">
        <v>9</v>
      </c>
      <c r="F4491" s="24" t="n">
        <v>0.51512605</v>
      </c>
    </row>
    <row r="4492" customFormat="false" ht="15" hidden="false" customHeight="false" outlineLevel="0" collapsed="false">
      <c r="A4492" s="3" t="n">
        <v>4491</v>
      </c>
      <c r="B4492" s="3" t="n">
        <v>4490</v>
      </c>
      <c r="C4492" s="3" t="n">
        <v>5</v>
      </c>
      <c r="D4492" s="3" t="n">
        <v>20</v>
      </c>
      <c r="E4492" s="3" t="n">
        <v>10</v>
      </c>
      <c r="F4492" s="24" t="n">
        <v>0.51512605</v>
      </c>
    </row>
    <row r="4493" customFormat="false" ht="15" hidden="false" customHeight="false" outlineLevel="0" collapsed="false">
      <c r="A4493" s="3" t="n">
        <v>4492</v>
      </c>
      <c r="B4493" s="3" t="n">
        <v>4491</v>
      </c>
      <c r="C4493" s="3" t="n">
        <v>5</v>
      </c>
      <c r="D4493" s="3" t="n">
        <v>20</v>
      </c>
      <c r="E4493" s="3" t="n">
        <v>11</v>
      </c>
      <c r="F4493" s="24" t="n">
        <v>0.672116339</v>
      </c>
    </row>
    <row r="4494" customFormat="false" ht="15" hidden="false" customHeight="false" outlineLevel="0" collapsed="false">
      <c r="A4494" s="3" t="n">
        <v>4493</v>
      </c>
      <c r="B4494" s="3" t="n">
        <v>4492</v>
      </c>
      <c r="C4494" s="3" t="n">
        <v>5</v>
      </c>
      <c r="D4494" s="3" t="n">
        <v>20</v>
      </c>
      <c r="E4494" s="3" t="n">
        <v>12</v>
      </c>
      <c r="F4494" s="24" t="n">
        <v>0</v>
      </c>
    </row>
    <row r="4495" customFormat="false" ht="15" hidden="false" customHeight="false" outlineLevel="0" collapsed="false">
      <c r="A4495" s="3" t="n">
        <v>4494</v>
      </c>
      <c r="B4495" s="3" t="n">
        <v>4493</v>
      </c>
      <c r="C4495" s="3" t="n">
        <v>5</v>
      </c>
      <c r="D4495" s="3" t="n">
        <v>20</v>
      </c>
      <c r="E4495" s="3" t="n">
        <v>13</v>
      </c>
      <c r="F4495" s="24" t="n">
        <v>0</v>
      </c>
    </row>
    <row r="4496" customFormat="false" ht="15" hidden="false" customHeight="false" outlineLevel="0" collapsed="false">
      <c r="A4496" s="3" t="n">
        <v>4495</v>
      </c>
      <c r="B4496" s="3" t="n">
        <v>4494</v>
      </c>
      <c r="C4496" s="3" t="n">
        <v>5</v>
      </c>
      <c r="D4496" s="3" t="n">
        <v>20</v>
      </c>
      <c r="E4496" s="3" t="n">
        <v>14</v>
      </c>
      <c r="F4496" s="24" t="n">
        <v>0</v>
      </c>
    </row>
    <row r="4497" customFormat="false" ht="15" hidden="false" customHeight="false" outlineLevel="0" collapsed="false">
      <c r="A4497" s="3" t="n">
        <v>4496</v>
      </c>
      <c r="B4497" s="3" t="n">
        <v>4495</v>
      </c>
      <c r="C4497" s="3" t="n">
        <v>5</v>
      </c>
      <c r="D4497" s="3" t="n">
        <v>20</v>
      </c>
      <c r="E4497" s="3" t="n">
        <v>15</v>
      </c>
      <c r="F4497" s="24" t="n">
        <v>0.406634033</v>
      </c>
    </row>
    <row r="4498" customFormat="false" ht="15" hidden="false" customHeight="false" outlineLevel="0" collapsed="false">
      <c r="A4498" s="3" t="n">
        <v>4497</v>
      </c>
      <c r="B4498" s="3" t="n">
        <v>4496</v>
      </c>
      <c r="C4498" s="3" t="n">
        <v>5</v>
      </c>
      <c r="D4498" s="3" t="n">
        <v>20</v>
      </c>
      <c r="E4498" s="3" t="n">
        <v>16</v>
      </c>
      <c r="F4498" s="24" t="n">
        <v>2.24409962</v>
      </c>
    </row>
    <row r="4499" customFormat="false" ht="15" hidden="false" customHeight="false" outlineLevel="0" collapsed="false">
      <c r="A4499" s="3" t="n">
        <v>4498</v>
      </c>
      <c r="B4499" s="3" t="n">
        <v>4497</v>
      </c>
      <c r="C4499" s="3" t="n">
        <v>5</v>
      </c>
      <c r="D4499" s="3" t="n">
        <v>20</v>
      </c>
      <c r="E4499" s="3" t="n">
        <v>17</v>
      </c>
      <c r="F4499" s="24" t="n">
        <v>1.18578124</v>
      </c>
    </row>
    <row r="4500" customFormat="false" ht="15" hidden="false" customHeight="false" outlineLevel="0" collapsed="false">
      <c r="A4500" s="3" t="n">
        <v>4499</v>
      </c>
      <c r="B4500" s="3" t="n">
        <v>4498</v>
      </c>
      <c r="C4500" s="3" t="n">
        <v>5</v>
      </c>
      <c r="D4500" s="3" t="n">
        <v>20</v>
      </c>
      <c r="E4500" s="3" t="n">
        <v>18</v>
      </c>
      <c r="F4500" s="24" t="n">
        <v>0.51512605</v>
      </c>
    </row>
    <row r="4501" customFormat="false" ht="15" hidden="false" customHeight="false" outlineLevel="0" collapsed="false">
      <c r="A4501" s="3" t="n">
        <v>4500</v>
      </c>
      <c r="B4501" s="3" t="n">
        <v>4499</v>
      </c>
      <c r="C4501" s="3" t="n">
        <v>5</v>
      </c>
      <c r="D4501" s="3" t="n">
        <v>20</v>
      </c>
      <c r="E4501" s="3" t="n">
        <v>19</v>
      </c>
      <c r="F4501" s="24" t="n">
        <v>0.51512605</v>
      </c>
    </row>
    <row r="4502" customFormat="false" ht="15" hidden="false" customHeight="false" outlineLevel="0" collapsed="false">
      <c r="A4502" s="3" t="n">
        <v>4501</v>
      </c>
      <c r="B4502" s="3" t="n">
        <v>4500</v>
      </c>
      <c r="C4502" s="3" t="n">
        <v>5</v>
      </c>
      <c r="D4502" s="3" t="n">
        <v>20</v>
      </c>
      <c r="E4502" s="3" t="n">
        <v>20</v>
      </c>
      <c r="F4502" s="24" t="n">
        <v>0.51512605</v>
      </c>
    </row>
    <row r="4503" customFormat="false" ht="15" hidden="false" customHeight="false" outlineLevel="0" collapsed="false">
      <c r="A4503" s="3" t="n">
        <v>4502</v>
      </c>
      <c r="B4503" s="3" t="n">
        <v>4501</v>
      </c>
      <c r="C4503" s="3" t="n">
        <v>5</v>
      </c>
      <c r="D4503" s="3" t="n">
        <v>20</v>
      </c>
      <c r="E4503" s="3" t="n">
        <v>21</v>
      </c>
      <c r="F4503" s="24" t="n">
        <v>0.51512605</v>
      </c>
    </row>
    <row r="4504" customFormat="false" ht="15" hidden="false" customHeight="false" outlineLevel="0" collapsed="false">
      <c r="A4504" s="3" t="n">
        <v>4503</v>
      </c>
      <c r="B4504" s="3" t="n">
        <v>4502</v>
      </c>
      <c r="C4504" s="3" t="n">
        <v>5</v>
      </c>
      <c r="D4504" s="3" t="n">
        <v>20</v>
      </c>
      <c r="E4504" s="3" t="n">
        <v>22</v>
      </c>
      <c r="F4504" s="24" t="n">
        <v>0.51512605</v>
      </c>
    </row>
    <row r="4505" customFormat="false" ht="15" hidden="false" customHeight="false" outlineLevel="0" collapsed="false">
      <c r="A4505" s="3" t="n">
        <v>4504</v>
      </c>
      <c r="B4505" s="3" t="n">
        <v>4503</v>
      </c>
      <c r="C4505" s="3" t="n">
        <v>5</v>
      </c>
      <c r="D4505" s="3" t="n">
        <v>20</v>
      </c>
      <c r="E4505" s="3" t="n">
        <v>23</v>
      </c>
      <c r="F4505" s="24" t="n">
        <v>0.51512605</v>
      </c>
    </row>
    <row r="4506" customFormat="false" ht="15" hidden="false" customHeight="false" outlineLevel="0" collapsed="false">
      <c r="A4506" s="3" t="n">
        <v>4505</v>
      </c>
      <c r="B4506" s="3" t="n">
        <v>4504</v>
      </c>
      <c r="C4506" s="3" t="n">
        <v>5</v>
      </c>
      <c r="D4506" s="3" t="n">
        <v>20</v>
      </c>
      <c r="E4506" s="3" t="n">
        <v>24</v>
      </c>
      <c r="F4506" s="24" t="n">
        <v>0.51512605</v>
      </c>
    </row>
    <row r="4507" customFormat="false" ht="15" hidden="false" customHeight="false" outlineLevel="0" collapsed="false">
      <c r="A4507" s="3" t="n">
        <v>4506</v>
      </c>
      <c r="B4507" s="3" t="n">
        <v>4505</v>
      </c>
      <c r="C4507" s="3" t="n">
        <v>5</v>
      </c>
      <c r="D4507" s="3" t="n">
        <v>20</v>
      </c>
      <c r="E4507" s="3" t="n">
        <v>25</v>
      </c>
      <c r="F4507" s="24" t="n">
        <v>0.51512605</v>
      </c>
    </row>
    <row r="4508" customFormat="false" ht="15" hidden="false" customHeight="false" outlineLevel="0" collapsed="false">
      <c r="A4508" s="3" t="n">
        <v>4507</v>
      </c>
      <c r="B4508" s="3" t="n">
        <v>4506</v>
      </c>
      <c r="C4508" s="3" t="n">
        <v>5</v>
      </c>
      <c r="D4508" s="3" t="n">
        <v>20</v>
      </c>
      <c r="E4508" s="3" t="n">
        <v>26</v>
      </c>
      <c r="F4508" s="24" t="n">
        <v>0.51512605</v>
      </c>
    </row>
    <row r="4509" customFormat="false" ht="15" hidden="false" customHeight="false" outlineLevel="0" collapsed="false">
      <c r="A4509" s="3" t="n">
        <v>4508</v>
      </c>
      <c r="B4509" s="3" t="n">
        <v>4507</v>
      </c>
      <c r="C4509" s="3" t="n">
        <v>5</v>
      </c>
      <c r="D4509" s="3" t="n">
        <v>20</v>
      </c>
      <c r="E4509" s="3" t="n">
        <v>27</v>
      </c>
      <c r="F4509" s="24" t="n">
        <v>0.459515482</v>
      </c>
    </row>
    <row r="4510" customFormat="false" ht="15" hidden="false" customHeight="false" outlineLevel="0" collapsed="false">
      <c r="A4510" s="3" t="n">
        <v>4509</v>
      </c>
      <c r="B4510" s="3" t="n">
        <v>4508</v>
      </c>
      <c r="C4510" s="3" t="n">
        <v>5</v>
      </c>
      <c r="D4510" s="3" t="n">
        <v>21</v>
      </c>
      <c r="E4510" s="3" t="n">
        <v>0</v>
      </c>
      <c r="F4510" s="24" t="n">
        <v>0.354324996</v>
      </c>
    </row>
    <row r="4511" customFormat="false" ht="15" hidden="false" customHeight="false" outlineLevel="0" collapsed="false">
      <c r="A4511" s="3" t="n">
        <v>4510</v>
      </c>
      <c r="B4511" s="3" t="n">
        <v>4509</v>
      </c>
      <c r="C4511" s="3" t="n">
        <v>5</v>
      </c>
      <c r="D4511" s="3" t="n">
        <v>21</v>
      </c>
      <c r="E4511" s="3" t="n">
        <v>1</v>
      </c>
      <c r="F4511" s="24" t="n">
        <v>0.51512605</v>
      </c>
    </row>
    <row r="4512" customFormat="false" ht="15" hidden="false" customHeight="false" outlineLevel="0" collapsed="false">
      <c r="A4512" s="3" t="n">
        <v>4511</v>
      </c>
      <c r="B4512" s="3" t="n">
        <v>4510</v>
      </c>
      <c r="C4512" s="3" t="n">
        <v>5</v>
      </c>
      <c r="D4512" s="3" t="n">
        <v>21</v>
      </c>
      <c r="E4512" s="3" t="n">
        <v>2</v>
      </c>
      <c r="F4512" s="24" t="n">
        <v>0.51512605</v>
      </c>
    </row>
    <row r="4513" customFormat="false" ht="15" hidden="false" customHeight="false" outlineLevel="0" collapsed="false">
      <c r="A4513" s="3" t="n">
        <v>4512</v>
      </c>
      <c r="B4513" s="3" t="n">
        <v>4511</v>
      </c>
      <c r="C4513" s="3" t="n">
        <v>5</v>
      </c>
      <c r="D4513" s="3" t="n">
        <v>21</v>
      </c>
      <c r="E4513" s="3" t="n">
        <v>3</v>
      </c>
      <c r="F4513" s="24" t="n">
        <v>0.51512605</v>
      </c>
    </row>
    <row r="4514" customFormat="false" ht="15" hidden="false" customHeight="false" outlineLevel="0" collapsed="false">
      <c r="A4514" s="3" t="n">
        <v>4513</v>
      </c>
      <c r="B4514" s="3" t="n">
        <v>4512</v>
      </c>
      <c r="C4514" s="3" t="n">
        <v>5</v>
      </c>
      <c r="D4514" s="3" t="n">
        <v>21</v>
      </c>
      <c r="E4514" s="3" t="n">
        <v>4</v>
      </c>
      <c r="F4514" s="24" t="n">
        <v>0.51512605</v>
      </c>
    </row>
    <row r="4515" customFormat="false" ht="15" hidden="false" customHeight="false" outlineLevel="0" collapsed="false">
      <c r="A4515" s="3" t="n">
        <v>4514</v>
      </c>
      <c r="B4515" s="3" t="n">
        <v>4513</v>
      </c>
      <c r="C4515" s="3" t="n">
        <v>5</v>
      </c>
      <c r="D4515" s="3" t="n">
        <v>21</v>
      </c>
      <c r="E4515" s="3" t="n">
        <v>5</v>
      </c>
      <c r="F4515" s="24" t="n">
        <v>0.51512605</v>
      </c>
    </row>
    <row r="4516" customFormat="false" ht="15" hidden="false" customHeight="false" outlineLevel="0" collapsed="false">
      <c r="A4516" s="3" t="n">
        <v>4515</v>
      </c>
      <c r="B4516" s="3" t="n">
        <v>4514</v>
      </c>
      <c r="C4516" s="3" t="n">
        <v>5</v>
      </c>
      <c r="D4516" s="3" t="n">
        <v>21</v>
      </c>
      <c r="E4516" s="3" t="n">
        <v>6</v>
      </c>
      <c r="F4516" s="24" t="n">
        <v>0.51512605</v>
      </c>
    </row>
    <row r="4517" customFormat="false" ht="15" hidden="false" customHeight="false" outlineLevel="0" collapsed="false">
      <c r="A4517" s="3" t="n">
        <v>4516</v>
      </c>
      <c r="B4517" s="3" t="n">
        <v>4515</v>
      </c>
      <c r="C4517" s="3" t="n">
        <v>5</v>
      </c>
      <c r="D4517" s="3" t="n">
        <v>21</v>
      </c>
      <c r="E4517" s="3" t="n">
        <v>7</v>
      </c>
      <c r="F4517" s="24" t="n">
        <v>0.51512605</v>
      </c>
    </row>
    <row r="4518" customFormat="false" ht="15" hidden="false" customHeight="false" outlineLevel="0" collapsed="false">
      <c r="A4518" s="3" t="n">
        <v>4517</v>
      </c>
      <c r="B4518" s="3" t="n">
        <v>4516</v>
      </c>
      <c r="C4518" s="3" t="n">
        <v>5</v>
      </c>
      <c r="D4518" s="3" t="n">
        <v>21</v>
      </c>
      <c r="E4518" s="3" t="n">
        <v>8</v>
      </c>
      <c r="F4518" s="24" t="n">
        <v>0.51512605</v>
      </c>
    </row>
    <row r="4519" customFormat="false" ht="15" hidden="false" customHeight="false" outlineLevel="0" collapsed="false">
      <c r="A4519" s="3" t="n">
        <v>4518</v>
      </c>
      <c r="B4519" s="3" t="n">
        <v>4517</v>
      </c>
      <c r="C4519" s="3" t="n">
        <v>5</v>
      </c>
      <c r="D4519" s="3" t="n">
        <v>21</v>
      </c>
      <c r="E4519" s="3" t="n">
        <v>9</v>
      </c>
      <c r="F4519" s="24" t="n">
        <v>0.51512605</v>
      </c>
    </row>
    <row r="4520" customFormat="false" ht="15" hidden="false" customHeight="false" outlineLevel="0" collapsed="false">
      <c r="A4520" s="3" t="n">
        <v>4519</v>
      </c>
      <c r="B4520" s="3" t="n">
        <v>4518</v>
      </c>
      <c r="C4520" s="3" t="n">
        <v>5</v>
      </c>
      <c r="D4520" s="3" t="n">
        <v>21</v>
      </c>
      <c r="E4520" s="3" t="n">
        <v>10</v>
      </c>
      <c r="F4520" s="24" t="n">
        <v>0.670287311</v>
      </c>
    </row>
    <row r="4521" customFormat="false" ht="15" hidden="false" customHeight="false" outlineLevel="0" collapsed="false">
      <c r="A4521" s="3" t="n">
        <v>4520</v>
      </c>
      <c r="B4521" s="3" t="n">
        <v>4519</v>
      </c>
      <c r="C4521" s="3" t="n">
        <v>5</v>
      </c>
      <c r="D4521" s="3" t="n">
        <v>21</v>
      </c>
      <c r="E4521" s="3" t="n">
        <v>11</v>
      </c>
      <c r="F4521" s="24" t="n">
        <v>0.966268957</v>
      </c>
    </row>
    <row r="4522" customFormat="false" ht="15" hidden="false" customHeight="false" outlineLevel="0" collapsed="false">
      <c r="A4522" s="3" t="n">
        <v>4521</v>
      </c>
      <c r="B4522" s="3" t="n">
        <v>4520</v>
      </c>
      <c r="C4522" s="3" t="n">
        <v>5</v>
      </c>
      <c r="D4522" s="3" t="n">
        <v>21</v>
      </c>
      <c r="E4522" s="3" t="n">
        <v>12</v>
      </c>
      <c r="F4522" s="24" t="n">
        <v>0</v>
      </c>
    </row>
    <row r="4523" customFormat="false" ht="15" hidden="false" customHeight="false" outlineLevel="0" collapsed="false">
      <c r="A4523" s="3" t="n">
        <v>4522</v>
      </c>
      <c r="B4523" s="3" t="n">
        <v>4521</v>
      </c>
      <c r="C4523" s="3" t="n">
        <v>5</v>
      </c>
      <c r="D4523" s="3" t="n">
        <v>21</v>
      </c>
      <c r="E4523" s="3" t="n">
        <v>13</v>
      </c>
      <c r="F4523" s="24" t="n">
        <v>0</v>
      </c>
    </row>
    <row r="4524" customFormat="false" ht="15" hidden="false" customHeight="false" outlineLevel="0" collapsed="false">
      <c r="A4524" s="3" t="n">
        <v>4523</v>
      </c>
      <c r="B4524" s="3" t="n">
        <v>4522</v>
      </c>
      <c r="C4524" s="3" t="n">
        <v>5</v>
      </c>
      <c r="D4524" s="3" t="n">
        <v>21</v>
      </c>
      <c r="E4524" s="3" t="n">
        <v>14</v>
      </c>
      <c r="F4524" s="24" t="n">
        <v>0</v>
      </c>
    </row>
    <row r="4525" customFormat="false" ht="15" hidden="false" customHeight="false" outlineLevel="0" collapsed="false">
      <c r="A4525" s="3" t="n">
        <v>4524</v>
      </c>
      <c r="B4525" s="3" t="n">
        <v>4523</v>
      </c>
      <c r="C4525" s="3" t="n">
        <v>5</v>
      </c>
      <c r="D4525" s="3" t="n">
        <v>21</v>
      </c>
      <c r="E4525" s="3" t="n">
        <v>15</v>
      </c>
      <c r="F4525" s="24" t="n">
        <v>2.39086485</v>
      </c>
    </row>
    <row r="4526" customFormat="false" ht="15" hidden="false" customHeight="false" outlineLevel="0" collapsed="false">
      <c r="A4526" s="3" t="n">
        <v>4525</v>
      </c>
      <c r="B4526" s="3" t="n">
        <v>4524</v>
      </c>
      <c r="C4526" s="3" t="n">
        <v>5</v>
      </c>
      <c r="D4526" s="3" t="n">
        <v>21</v>
      </c>
      <c r="E4526" s="3" t="n">
        <v>16</v>
      </c>
      <c r="F4526" s="24" t="n">
        <v>1.70959175</v>
      </c>
    </row>
    <row r="4527" customFormat="false" ht="15" hidden="false" customHeight="false" outlineLevel="0" collapsed="false">
      <c r="A4527" s="3" t="n">
        <v>4526</v>
      </c>
      <c r="B4527" s="3" t="n">
        <v>4525</v>
      </c>
      <c r="C4527" s="3" t="n">
        <v>5</v>
      </c>
      <c r="D4527" s="3" t="n">
        <v>21</v>
      </c>
      <c r="E4527" s="3" t="n">
        <v>17</v>
      </c>
      <c r="F4527" s="24" t="n">
        <v>0.646761179</v>
      </c>
    </row>
    <row r="4528" customFormat="false" ht="15" hidden="false" customHeight="false" outlineLevel="0" collapsed="false">
      <c r="A4528" s="3" t="n">
        <v>4527</v>
      </c>
      <c r="B4528" s="3" t="n">
        <v>4526</v>
      </c>
      <c r="C4528" s="3" t="n">
        <v>5</v>
      </c>
      <c r="D4528" s="3" t="n">
        <v>21</v>
      </c>
      <c r="E4528" s="3" t="n">
        <v>18</v>
      </c>
      <c r="F4528" s="24" t="n">
        <v>0.51512605</v>
      </c>
    </row>
    <row r="4529" customFormat="false" ht="15" hidden="false" customHeight="false" outlineLevel="0" collapsed="false">
      <c r="A4529" s="3" t="n">
        <v>4528</v>
      </c>
      <c r="B4529" s="3" t="n">
        <v>4527</v>
      </c>
      <c r="C4529" s="3" t="n">
        <v>5</v>
      </c>
      <c r="D4529" s="3" t="n">
        <v>21</v>
      </c>
      <c r="E4529" s="3" t="n">
        <v>19</v>
      </c>
      <c r="F4529" s="24" t="n">
        <v>0.51512605</v>
      </c>
    </row>
    <row r="4530" customFormat="false" ht="15" hidden="false" customHeight="false" outlineLevel="0" collapsed="false">
      <c r="A4530" s="3" t="n">
        <v>4529</v>
      </c>
      <c r="B4530" s="3" t="n">
        <v>4528</v>
      </c>
      <c r="C4530" s="3" t="n">
        <v>5</v>
      </c>
      <c r="D4530" s="3" t="n">
        <v>21</v>
      </c>
      <c r="E4530" s="3" t="n">
        <v>20</v>
      </c>
      <c r="F4530" s="24" t="n">
        <v>0.51512605</v>
      </c>
    </row>
    <row r="4531" customFormat="false" ht="15" hidden="false" customHeight="false" outlineLevel="0" collapsed="false">
      <c r="A4531" s="3" t="n">
        <v>4530</v>
      </c>
      <c r="B4531" s="3" t="n">
        <v>4529</v>
      </c>
      <c r="C4531" s="3" t="n">
        <v>5</v>
      </c>
      <c r="D4531" s="3" t="n">
        <v>21</v>
      </c>
      <c r="E4531" s="3" t="n">
        <v>21</v>
      </c>
      <c r="F4531" s="24" t="n">
        <v>0.51512605</v>
      </c>
    </row>
    <row r="4532" customFormat="false" ht="15" hidden="false" customHeight="false" outlineLevel="0" collapsed="false">
      <c r="A4532" s="3" t="n">
        <v>4531</v>
      </c>
      <c r="B4532" s="3" t="n">
        <v>4530</v>
      </c>
      <c r="C4532" s="3" t="n">
        <v>5</v>
      </c>
      <c r="D4532" s="3" t="n">
        <v>21</v>
      </c>
      <c r="E4532" s="3" t="n">
        <v>22</v>
      </c>
      <c r="F4532" s="24" t="n">
        <v>0.51512605</v>
      </c>
    </row>
    <row r="4533" customFormat="false" ht="15" hidden="false" customHeight="false" outlineLevel="0" collapsed="false">
      <c r="A4533" s="3" t="n">
        <v>4532</v>
      </c>
      <c r="B4533" s="3" t="n">
        <v>4531</v>
      </c>
      <c r="C4533" s="3" t="n">
        <v>5</v>
      </c>
      <c r="D4533" s="3" t="n">
        <v>21</v>
      </c>
      <c r="E4533" s="3" t="n">
        <v>23</v>
      </c>
      <c r="F4533" s="24" t="n">
        <v>0.51512605</v>
      </c>
    </row>
    <row r="4534" customFormat="false" ht="15" hidden="false" customHeight="false" outlineLevel="0" collapsed="false">
      <c r="A4534" s="3" t="n">
        <v>4533</v>
      </c>
      <c r="B4534" s="3" t="n">
        <v>4532</v>
      </c>
      <c r="C4534" s="3" t="n">
        <v>5</v>
      </c>
      <c r="D4534" s="3" t="n">
        <v>21</v>
      </c>
      <c r="E4534" s="3" t="n">
        <v>24</v>
      </c>
      <c r="F4534" s="24" t="n">
        <v>0.51512605</v>
      </c>
    </row>
    <row r="4535" customFormat="false" ht="15" hidden="false" customHeight="false" outlineLevel="0" collapsed="false">
      <c r="A4535" s="3" t="n">
        <v>4534</v>
      </c>
      <c r="B4535" s="3" t="n">
        <v>4533</v>
      </c>
      <c r="C4535" s="3" t="n">
        <v>5</v>
      </c>
      <c r="D4535" s="3" t="n">
        <v>21</v>
      </c>
      <c r="E4535" s="3" t="n">
        <v>25</v>
      </c>
      <c r="F4535" s="24" t="n">
        <v>0.51512605</v>
      </c>
    </row>
    <row r="4536" customFormat="false" ht="15" hidden="false" customHeight="false" outlineLevel="0" collapsed="false">
      <c r="A4536" s="3" t="n">
        <v>4535</v>
      </c>
      <c r="B4536" s="3" t="n">
        <v>4534</v>
      </c>
      <c r="C4536" s="3" t="n">
        <v>5</v>
      </c>
      <c r="D4536" s="3" t="n">
        <v>21</v>
      </c>
      <c r="E4536" s="3" t="n">
        <v>26</v>
      </c>
      <c r="F4536" s="24" t="n">
        <v>0.51512605</v>
      </c>
    </row>
    <row r="4537" customFormat="false" ht="15" hidden="false" customHeight="false" outlineLevel="0" collapsed="false">
      <c r="A4537" s="3" t="n">
        <v>4536</v>
      </c>
      <c r="B4537" s="3" t="n">
        <v>4535</v>
      </c>
      <c r="C4537" s="3" t="n">
        <v>5</v>
      </c>
      <c r="D4537" s="3" t="n">
        <v>21</v>
      </c>
      <c r="E4537" s="3" t="n">
        <v>27</v>
      </c>
      <c r="F4537" s="24" t="n">
        <v>0.459515482</v>
      </c>
    </row>
    <row r="4538" customFormat="false" ht="15" hidden="false" customHeight="false" outlineLevel="0" collapsed="false">
      <c r="A4538" s="3" t="n">
        <v>4537</v>
      </c>
      <c r="B4538" s="3" t="n">
        <v>4536</v>
      </c>
      <c r="C4538" s="3" t="n">
        <v>5</v>
      </c>
      <c r="D4538" s="3" t="n">
        <v>22</v>
      </c>
      <c r="E4538" s="3" t="n">
        <v>0</v>
      </c>
      <c r="F4538" s="24" t="n">
        <v>0.354324996</v>
      </c>
    </row>
    <row r="4539" customFormat="false" ht="15" hidden="false" customHeight="false" outlineLevel="0" collapsed="false">
      <c r="A4539" s="3" t="n">
        <v>4538</v>
      </c>
      <c r="B4539" s="3" t="n">
        <v>4537</v>
      </c>
      <c r="C4539" s="3" t="n">
        <v>5</v>
      </c>
      <c r="D4539" s="3" t="n">
        <v>22</v>
      </c>
      <c r="E4539" s="3" t="n">
        <v>1</v>
      </c>
      <c r="F4539" s="24" t="n">
        <v>0.51512605</v>
      </c>
    </row>
    <row r="4540" customFormat="false" ht="15" hidden="false" customHeight="false" outlineLevel="0" collapsed="false">
      <c r="A4540" s="3" t="n">
        <v>4539</v>
      </c>
      <c r="B4540" s="3" t="n">
        <v>4538</v>
      </c>
      <c r="C4540" s="3" t="n">
        <v>5</v>
      </c>
      <c r="D4540" s="3" t="n">
        <v>22</v>
      </c>
      <c r="E4540" s="3" t="n">
        <v>2</v>
      </c>
      <c r="F4540" s="24" t="n">
        <v>0.51512605</v>
      </c>
    </row>
    <row r="4541" customFormat="false" ht="15" hidden="false" customHeight="false" outlineLevel="0" collapsed="false">
      <c r="A4541" s="3" t="n">
        <v>4540</v>
      </c>
      <c r="B4541" s="3" t="n">
        <v>4539</v>
      </c>
      <c r="C4541" s="3" t="n">
        <v>5</v>
      </c>
      <c r="D4541" s="3" t="n">
        <v>22</v>
      </c>
      <c r="E4541" s="3" t="n">
        <v>3</v>
      </c>
      <c r="F4541" s="24" t="n">
        <v>0.51512605</v>
      </c>
    </row>
    <row r="4542" customFormat="false" ht="15" hidden="false" customHeight="false" outlineLevel="0" collapsed="false">
      <c r="A4542" s="3" t="n">
        <v>4541</v>
      </c>
      <c r="B4542" s="3" t="n">
        <v>4540</v>
      </c>
      <c r="C4542" s="3" t="n">
        <v>5</v>
      </c>
      <c r="D4542" s="3" t="n">
        <v>22</v>
      </c>
      <c r="E4542" s="3" t="n">
        <v>4</v>
      </c>
      <c r="F4542" s="24" t="n">
        <v>0.51512605</v>
      </c>
    </row>
    <row r="4543" customFormat="false" ht="15" hidden="false" customHeight="false" outlineLevel="0" collapsed="false">
      <c r="A4543" s="3" t="n">
        <v>4542</v>
      </c>
      <c r="B4543" s="3" t="n">
        <v>4541</v>
      </c>
      <c r="C4543" s="3" t="n">
        <v>5</v>
      </c>
      <c r="D4543" s="3" t="n">
        <v>22</v>
      </c>
      <c r="E4543" s="3" t="n">
        <v>5</v>
      </c>
      <c r="F4543" s="24" t="n">
        <v>0.51512605</v>
      </c>
    </row>
    <row r="4544" customFormat="false" ht="15" hidden="false" customHeight="false" outlineLevel="0" collapsed="false">
      <c r="A4544" s="3" t="n">
        <v>4543</v>
      </c>
      <c r="B4544" s="3" t="n">
        <v>4542</v>
      </c>
      <c r="C4544" s="3" t="n">
        <v>5</v>
      </c>
      <c r="D4544" s="3" t="n">
        <v>22</v>
      </c>
      <c r="E4544" s="3" t="n">
        <v>6</v>
      </c>
      <c r="F4544" s="24" t="n">
        <v>0.51512605</v>
      </c>
    </row>
    <row r="4545" customFormat="false" ht="15" hidden="false" customHeight="false" outlineLevel="0" collapsed="false">
      <c r="A4545" s="3" t="n">
        <v>4544</v>
      </c>
      <c r="B4545" s="3" t="n">
        <v>4543</v>
      </c>
      <c r="C4545" s="3" t="n">
        <v>5</v>
      </c>
      <c r="D4545" s="3" t="n">
        <v>22</v>
      </c>
      <c r="E4545" s="3" t="n">
        <v>7</v>
      </c>
      <c r="F4545" s="24" t="n">
        <v>0.51512605</v>
      </c>
    </row>
    <row r="4546" customFormat="false" ht="15" hidden="false" customHeight="false" outlineLevel="0" collapsed="false">
      <c r="A4546" s="3" t="n">
        <v>4545</v>
      </c>
      <c r="B4546" s="3" t="n">
        <v>4544</v>
      </c>
      <c r="C4546" s="3" t="n">
        <v>5</v>
      </c>
      <c r="D4546" s="3" t="n">
        <v>22</v>
      </c>
      <c r="E4546" s="3" t="n">
        <v>8</v>
      </c>
      <c r="F4546" s="24" t="n">
        <v>0.51512605</v>
      </c>
    </row>
    <row r="4547" customFormat="false" ht="15" hidden="false" customHeight="false" outlineLevel="0" collapsed="false">
      <c r="A4547" s="3" t="n">
        <v>4546</v>
      </c>
      <c r="B4547" s="3" t="n">
        <v>4545</v>
      </c>
      <c r="C4547" s="3" t="n">
        <v>5</v>
      </c>
      <c r="D4547" s="3" t="n">
        <v>22</v>
      </c>
      <c r="E4547" s="3" t="n">
        <v>9</v>
      </c>
      <c r="F4547" s="24" t="n">
        <v>0.51512605</v>
      </c>
    </row>
    <row r="4548" customFormat="false" ht="15" hidden="false" customHeight="false" outlineLevel="0" collapsed="false">
      <c r="A4548" s="3" t="n">
        <v>4547</v>
      </c>
      <c r="B4548" s="3" t="n">
        <v>4546</v>
      </c>
      <c r="C4548" s="3" t="n">
        <v>5</v>
      </c>
      <c r="D4548" s="3" t="n">
        <v>22</v>
      </c>
      <c r="E4548" s="3" t="n">
        <v>10</v>
      </c>
      <c r="F4548" s="24" t="n">
        <v>0.837674975</v>
      </c>
    </row>
    <row r="4549" customFormat="false" ht="15" hidden="false" customHeight="false" outlineLevel="0" collapsed="false">
      <c r="A4549" s="3" t="n">
        <v>4548</v>
      </c>
      <c r="B4549" s="3" t="n">
        <v>4547</v>
      </c>
      <c r="C4549" s="3" t="n">
        <v>5</v>
      </c>
      <c r="D4549" s="3" t="n">
        <v>22</v>
      </c>
      <c r="E4549" s="3" t="n">
        <v>11</v>
      </c>
      <c r="F4549" s="24" t="n">
        <v>0</v>
      </c>
    </row>
    <row r="4550" customFormat="false" ht="15" hidden="false" customHeight="false" outlineLevel="0" collapsed="false">
      <c r="A4550" s="3" t="n">
        <v>4549</v>
      </c>
      <c r="B4550" s="3" t="n">
        <v>4548</v>
      </c>
      <c r="C4550" s="3" t="n">
        <v>5</v>
      </c>
      <c r="D4550" s="3" t="n">
        <v>22</v>
      </c>
      <c r="E4550" s="3" t="n">
        <v>12</v>
      </c>
      <c r="F4550" s="24" t="n">
        <v>0</v>
      </c>
    </row>
    <row r="4551" customFormat="false" ht="15" hidden="false" customHeight="false" outlineLevel="0" collapsed="false">
      <c r="A4551" s="3" t="n">
        <v>4550</v>
      </c>
      <c r="B4551" s="3" t="n">
        <v>4549</v>
      </c>
      <c r="C4551" s="3" t="n">
        <v>5</v>
      </c>
      <c r="D4551" s="3" t="n">
        <v>22</v>
      </c>
      <c r="E4551" s="3" t="n">
        <v>13</v>
      </c>
      <c r="F4551" s="24" t="n">
        <v>0</v>
      </c>
    </row>
    <row r="4552" customFormat="false" ht="15" hidden="false" customHeight="false" outlineLevel="0" collapsed="false">
      <c r="A4552" s="3" t="n">
        <v>4551</v>
      </c>
      <c r="B4552" s="3" t="n">
        <v>4550</v>
      </c>
      <c r="C4552" s="3" t="n">
        <v>5</v>
      </c>
      <c r="D4552" s="3" t="n">
        <v>22</v>
      </c>
      <c r="E4552" s="3" t="n">
        <v>14</v>
      </c>
      <c r="F4552" s="24" t="n">
        <v>0.95187664</v>
      </c>
    </row>
    <row r="4553" customFormat="false" ht="15" hidden="false" customHeight="false" outlineLevel="0" collapsed="false">
      <c r="A4553" s="3" t="n">
        <v>4552</v>
      </c>
      <c r="B4553" s="3" t="n">
        <v>4551</v>
      </c>
      <c r="C4553" s="3" t="n">
        <v>5</v>
      </c>
      <c r="D4553" s="3" t="n">
        <v>22</v>
      </c>
      <c r="E4553" s="3" t="n">
        <v>15</v>
      </c>
      <c r="F4553" s="24" t="n">
        <v>1.71854222</v>
      </c>
    </row>
    <row r="4554" customFormat="false" ht="15" hidden="false" customHeight="false" outlineLevel="0" collapsed="false">
      <c r="A4554" s="3" t="n">
        <v>4553</v>
      </c>
      <c r="B4554" s="3" t="n">
        <v>4552</v>
      </c>
      <c r="C4554" s="3" t="n">
        <v>5</v>
      </c>
      <c r="D4554" s="3" t="n">
        <v>22</v>
      </c>
      <c r="E4554" s="3" t="n">
        <v>16</v>
      </c>
      <c r="F4554" s="24" t="n">
        <v>0.806047022</v>
      </c>
    </row>
    <row r="4555" customFormat="false" ht="15" hidden="false" customHeight="false" outlineLevel="0" collapsed="false">
      <c r="A4555" s="3" t="n">
        <v>4554</v>
      </c>
      <c r="B4555" s="3" t="n">
        <v>4553</v>
      </c>
      <c r="C4555" s="3" t="n">
        <v>5</v>
      </c>
      <c r="D4555" s="3" t="n">
        <v>22</v>
      </c>
      <c r="E4555" s="3" t="n">
        <v>17</v>
      </c>
      <c r="F4555" s="24" t="n">
        <v>0.51512605</v>
      </c>
    </row>
    <row r="4556" customFormat="false" ht="15" hidden="false" customHeight="false" outlineLevel="0" collapsed="false">
      <c r="A4556" s="3" t="n">
        <v>4555</v>
      </c>
      <c r="B4556" s="3" t="n">
        <v>4554</v>
      </c>
      <c r="C4556" s="3" t="n">
        <v>5</v>
      </c>
      <c r="D4556" s="3" t="n">
        <v>22</v>
      </c>
      <c r="E4556" s="3" t="n">
        <v>18</v>
      </c>
      <c r="F4556" s="24" t="n">
        <v>0.51512605</v>
      </c>
    </row>
    <row r="4557" customFormat="false" ht="15" hidden="false" customHeight="false" outlineLevel="0" collapsed="false">
      <c r="A4557" s="3" t="n">
        <v>4556</v>
      </c>
      <c r="B4557" s="3" t="n">
        <v>4555</v>
      </c>
      <c r="C4557" s="3" t="n">
        <v>5</v>
      </c>
      <c r="D4557" s="3" t="n">
        <v>22</v>
      </c>
      <c r="E4557" s="3" t="n">
        <v>19</v>
      </c>
      <c r="F4557" s="24" t="n">
        <v>0.51512605</v>
      </c>
    </row>
    <row r="4558" customFormat="false" ht="15" hidden="false" customHeight="false" outlineLevel="0" collapsed="false">
      <c r="A4558" s="3" t="n">
        <v>4557</v>
      </c>
      <c r="B4558" s="3" t="n">
        <v>4556</v>
      </c>
      <c r="C4558" s="3" t="n">
        <v>5</v>
      </c>
      <c r="D4558" s="3" t="n">
        <v>22</v>
      </c>
      <c r="E4558" s="3" t="n">
        <v>20</v>
      </c>
      <c r="F4558" s="24" t="n">
        <v>0.51512605</v>
      </c>
    </row>
    <row r="4559" customFormat="false" ht="15" hidden="false" customHeight="false" outlineLevel="0" collapsed="false">
      <c r="A4559" s="3" t="n">
        <v>4558</v>
      </c>
      <c r="B4559" s="3" t="n">
        <v>4557</v>
      </c>
      <c r="C4559" s="3" t="n">
        <v>5</v>
      </c>
      <c r="D4559" s="3" t="n">
        <v>22</v>
      </c>
      <c r="E4559" s="3" t="n">
        <v>21</v>
      </c>
      <c r="F4559" s="24" t="n">
        <v>0.51512605</v>
      </c>
    </row>
    <row r="4560" customFormat="false" ht="15" hidden="false" customHeight="false" outlineLevel="0" collapsed="false">
      <c r="A4560" s="3" t="n">
        <v>4559</v>
      </c>
      <c r="B4560" s="3" t="n">
        <v>4558</v>
      </c>
      <c r="C4560" s="3" t="n">
        <v>5</v>
      </c>
      <c r="D4560" s="3" t="n">
        <v>22</v>
      </c>
      <c r="E4560" s="3" t="n">
        <v>22</v>
      </c>
      <c r="F4560" s="24" t="n">
        <v>0.51512605</v>
      </c>
    </row>
    <row r="4561" customFormat="false" ht="15" hidden="false" customHeight="false" outlineLevel="0" collapsed="false">
      <c r="A4561" s="3" t="n">
        <v>4560</v>
      </c>
      <c r="B4561" s="3" t="n">
        <v>4559</v>
      </c>
      <c r="C4561" s="3" t="n">
        <v>5</v>
      </c>
      <c r="D4561" s="3" t="n">
        <v>22</v>
      </c>
      <c r="E4561" s="3" t="n">
        <v>23</v>
      </c>
      <c r="F4561" s="24" t="n">
        <v>0.51512605</v>
      </c>
    </row>
    <row r="4562" customFormat="false" ht="15" hidden="false" customHeight="false" outlineLevel="0" collapsed="false">
      <c r="A4562" s="3" t="n">
        <v>4561</v>
      </c>
      <c r="B4562" s="3" t="n">
        <v>4560</v>
      </c>
      <c r="C4562" s="3" t="n">
        <v>5</v>
      </c>
      <c r="D4562" s="3" t="n">
        <v>22</v>
      </c>
      <c r="E4562" s="3" t="n">
        <v>24</v>
      </c>
      <c r="F4562" s="24" t="n">
        <v>0.51512605</v>
      </c>
    </row>
    <row r="4563" customFormat="false" ht="15" hidden="false" customHeight="false" outlineLevel="0" collapsed="false">
      <c r="A4563" s="3" t="n">
        <v>4562</v>
      </c>
      <c r="B4563" s="3" t="n">
        <v>4561</v>
      </c>
      <c r="C4563" s="3" t="n">
        <v>5</v>
      </c>
      <c r="D4563" s="3" t="n">
        <v>22</v>
      </c>
      <c r="E4563" s="3" t="n">
        <v>25</v>
      </c>
      <c r="F4563" s="24" t="n">
        <v>0.51512605</v>
      </c>
    </row>
    <row r="4564" customFormat="false" ht="15" hidden="false" customHeight="false" outlineLevel="0" collapsed="false">
      <c r="A4564" s="3" t="n">
        <v>4563</v>
      </c>
      <c r="B4564" s="3" t="n">
        <v>4562</v>
      </c>
      <c r="C4564" s="3" t="n">
        <v>5</v>
      </c>
      <c r="D4564" s="3" t="n">
        <v>22</v>
      </c>
      <c r="E4564" s="3" t="n">
        <v>26</v>
      </c>
      <c r="F4564" s="24" t="n">
        <v>0.51512605</v>
      </c>
    </row>
    <row r="4565" customFormat="false" ht="15" hidden="false" customHeight="false" outlineLevel="0" collapsed="false">
      <c r="A4565" s="3" t="n">
        <v>4564</v>
      </c>
      <c r="B4565" s="3" t="n">
        <v>4563</v>
      </c>
      <c r="C4565" s="3" t="n">
        <v>5</v>
      </c>
      <c r="D4565" s="3" t="n">
        <v>22</v>
      </c>
      <c r="E4565" s="3" t="n">
        <v>27</v>
      </c>
      <c r="F4565" s="24" t="n">
        <v>0.459515482</v>
      </c>
    </row>
    <row r="4566" customFormat="false" ht="15" hidden="false" customHeight="false" outlineLevel="0" collapsed="false">
      <c r="A4566" s="3" t="n">
        <v>4565</v>
      </c>
      <c r="B4566" s="3" t="n">
        <v>4564</v>
      </c>
      <c r="C4566" s="3" t="n">
        <v>5</v>
      </c>
      <c r="D4566" s="3" t="n">
        <v>23</v>
      </c>
      <c r="E4566" s="3" t="n">
        <v>0</v>
      </c>
      <c r="F4566" s="24" t="n">
        <v>0.354324996</v>
      </c>
    </row>
    <row r="4567" customFormat="false" ht="15" hidden="false" customHeight="false" outlineLevel="0" collapsed="false">
      <c r="A4567" s="3" t="n">
        <v>4566</v>
      </c>
      <c r="B4567" s="3" t="n">
        <v>4565</v>
      </c>
      <c r="C4567" s="3" t="n">
        <v>5</v>
      </c>
      <c r="D4567" s="3" t="n">
        <v>23</v>
      </c>
      <c r="E4567" s="3" t="n">
        <v>1</v>
      </c>
      <c r="F4567" s="24" t="n">
        <v>0.51512605</v>
      </c>
    </row>
    <row r="4568" customFormat="false" ht="15" hidden="false" customHeight="false" outlineLevel="0" collapsed="false">
      <c r="A4568" s="3" t="n">
        <v>4567</v>
      </c>
      <c r="B4568" s="3" t="n">
        <v>4566</v>
      </c>
      <c r="C4568" s="3" t="n">
        <v>5</v>
      </c>
      <c r="D4568" s="3" t="n">
        <v>23</v>
      </c>
      <c r="E4568" s="3" t="n">
        <v>2</v>
      </c>
      <c r="F4568" s="24" t="n">
        <v>0.51512605</v>
      </c>
    </row>
    <row r="4569" customFormat="false" ht="15" hidden="false" customHeight="false" outlineLevel="0" collapsed="false">
      <c r="A4569" s="3" t="n">
        <v>4568</v>
      </c>
      <c r="B4569" s="3" t="n">
        <v>4567</v>
      </c>
      <c r="C4569" s="3" t="n">
        <v>5</v>
      </c>
      <c r="D4569" s="3" t="n">
        <v>23</v>
      </c>
      <c r="E4569" s="3" t="n">
        <v>3</v>
      </c>
      <c r="F4569" s="24" t="n">
        <v>0.51512605</v>
      </c>
    </row>
    <row r="4570" customFormat="false" ht="15" hidden="false" customHeight="false" outlineLevel="0" collapsed="false">
      <c r="A4570" s="3" t="n">
        <v>4569</v>
      </c>
      <c r="B4570" s="3" t="n">
        <v>4568</v>
      </c>
      <c r="C4570" s="3" t="n">
        <v>5</v>
      </c>
      <c r="D4570" s="3" t="n">
        <v>23</v>
      </c>
      <c r="E4570" s="3" t="n">
        <v>4</v>
      </c>
      <c r="F4570" s="24" t="n">
        <v>0.51512605</v>
      </c>
    </row>
    <row r="4571" customFormat="false" ht="15" hidden="false" customHeight="false" outlineLevel="0" collapsed="false">
      <c r="A4571" s="3" t="n">
        <v>4570</v>
      </c>
      <c r="B4571" s="3" t="n">
        <v>4569</v>
      </c>
      <c r="C4571" s="3" t="n">
        <v>5</v>
      </c>
      <c r="D4571" s="3" t="n">
        <v>23</v>
      </c>
      <c r="E4571" s="3" t="n">
        <v>5</v>
      </c>
      <c r="F4571" s="24" t="n">
        <v>0.51512605</v>
      </c>
    </row>
    <row r="4572" customFormat="false" ht="15" hidden="false" customHeight="false" outlineLevel="0" collapsed="false">
      <c r="A4572" s="3" t="n">
        <v>4571</v>
      </c>
      <c r="B4572" s="3" t="n">
        <v>4570</v>
      </c>
      <c r="C4572" s="3" t="n">
        <v>5</v>
      </c>
      <c r="D4572" s="3" t="n">
        <v>23</v>
      </c>
      <c r="E4572" s="3" t="n">
        <v>6</v>
      </c>
      <c r="F4572" s="24" t="n">
        <v>0.51512605</v>
      </c>
    </row>
    <row r="4573" customFormat="false" ht="15" hidden="false" customHeight="false" outlineLevel="0" collapsed="false">
      <c r="A4573" s="3" t="n">
        <v>4572</v>
      </c>
      <c r="B4573" s="3" t="n">
        <v>4571</v>
      </c>
      <c r="C4573" s="3" t="n">
        <v>5</v>
      </c>
      <c r="D4573" s="3" t="n">
        <v>23</v>
      </c>
      <c r="E4573" s="3" t="n">
        <v>7</v>
      </c>
      <c r="F4573" s="24" t="n">
        <v>0.51512605</v>
      </c>
    </row>
    <row r="4574" customFormat="false" ht="15" hidden="false" customHeight="false" outlineLevel="0" collapsed="false">
      <c r="A4574" s="3" t="n">
        <v>4573</v>
      </c>
      <c r="B4574" s="3" t="n">
        <v>4572</v>
      </c>
      <c r="C4574" s="3" t="n">
        <v>5</v>
      </c>
      <c r="D4574" s="3" t="n">
        <v>23</v>
      </c>
      <c r="E4574" s="3" t="n">
        <v>8</v>
      </c>
      <c r="F4574" s="24" t="n">
        <v>0.51512605</v>
      </c>
    </row>
    <row r="4575" customFormat="false" ht="15" hidden="false" customHeight="false" outlineLevel="0" collapsed="false">
      <c r="A4575" s="3" t="n">
        <v>4574</v>
      </c>
      <c r="B4575" s="3" t="n">
        <v>4573</v>
      </c>
      <c r="C4575" s="3" t="n">
        <v>5</v>
      </c>
      <c r="D4575" s="3" t="n">
        <v>23</v>
      </c>
      <c r="E4575" s="3" t="n">
        <v>9</v>
      </c>
      <c r="F4575" s="24" t="n">
        <v>0.820443392</v>
      </c>
    </row>
    <row r="4576" customFormat="false" ht="15" hidden="false" customHeight="false" outlineLevel="0" collapsed="false">
      <c r="A4576" s="3" t="n">
        <v>4575</v>
      </c>
      <c r="B4576" s="3" t="n">
        <v>4574</v>
      </c>
      <c r="C4576" s="3" t="n">
        <v>5</v>
      </c>
      <c r="D4576" s="3" t="n">
        <v>23</v>
      </c>
      <c r="E4576" s="3" t="n">
        <v>10</v>
      </c>
      <c r="F4576" s="24" t="n">
        <v>0</v>
      </c>
    </row>
    <row r="4577" customFormat="false" ht="15" hidden="false" customHeight="false" outlineLevel="0" collapsed="false">
      <c r="A4577" s="3" t="n">
        <v>4576</v>
      </c>
      <c r="B4577" s="3" t="n">
        <v>4575</v>
      </c>
      <c r="C4577" s="3" t="n">
        <v>5</v>
      </c>
      <c r="D4577" s="3" t="n">
        <v>23</v>
      </c>
      <c r="E4577" s="3" t="n">
        <v>11</v>
      </c>
      <c r="F4577" s="24" t="n">
        <v>0</v>
      </c>
    </row>
    <row r="4578" customFormat="false" ht="15" hidden="false" customHeight="false" outlineLevel="0" collapsed="false">
      <c r="A4578" s="3" t="n">
        <v>4577</v>
      </c>
      <c r="B4578" s="3" t="n">
        <v>4576</v>
      </c>
      <c r="C4578" s="3" t="n">
        <v>5</v>
      </c>
      <c r="D4578" s="3" t="n">
        <v>23</v>
      </c>
      <c r="E4578" s="3" t="n">
        <v>12</v>
      </c>
      <c r="F4578" s="24" t="n">
        <v>0</v>
      </c>
    </row>
    <row r="4579" customFormat="false" ht="15" hidden="false" customHeight="false" outlineLevel="0" collapsed="false">
      <c r="A4579" s="3" t="n">
        <v>4578</v>
      </c>
      <c r="B4579" s="3" t="n">
        <v>4577</v>
      </c>
      <c r="C4579" s="3" t="n">
        <v>5</v>
      </c>
      <c r="D4579" s="3" t="n">
        <v>23</v>
      </c>
      <c r="E4579" s="3" t="n">
        <v>13</v>
      </c>
      <c r="F4579" s="24" t="n">
        <v>0</v>
      </c>
    </row>
    <row r="4580" customFormat="false" ht="15" hidden="false" customHeight="false" outlineLevel="0" collapsed="false">
      <c r="A4580" s="3" t="n">
        <v>4579</v>
      </c>
      <c r="B4580" s="3" t="n">
        <v>4578</v>
      </c>
      <c r="C4580" s="3" t="n">
        <v>5</v>
      </c>
      <c r="D4580" s="3" t="n">
        <v>23</v>
      </c>
      <c r="E4580" s="3" t="n">
        <v>14</v>
      </c>
      <c r="F4580" s="24" t="n">
        <v>0</v>
      </c>
    </row>
    <row r="4581" customFormat="false" ht="15" hidden="false" customHeight="false" outlineLevel="0" collapsed="false">
      <c r="A4581" s="3" t="n">
        <v>4580</v>
      </c>
      <c r="B4581" s="3" t="n">
        <v>4579</v>
      </c>
      <c r="C4581" s="3" t="n">
        <v>5</v>
      </c>
      <c r="D4581" s="3" t="n">
        <v>23</v>
      </c>
      <c r="E4581" s="3" t="n">
        <v>15</v>
      </c>
      <c r="F4581" s="24" t="n">
        <v>0.509148896</v>
      </c>
    </row>
    <row r="4582" customFormat="false" ht="15" hidden="false" customHeight="false" outlineLevel="0" collapsed="false">
      <c r="A4582" s="3" t="n">
        <v>4581</v>
      </c>
      <c r="B4582" s="3" t="n">
        <v>4580</v>
      </c>
      <c r="C4582" s="3" t="n">
        <v>5</v>
      </c>
      <c r="D4582" s="3" t="n">
        <v>23</v>
      </c>
      <c r="E4582" s="3" t="n">
        <v>16</v>
      </c>
      <c r="F4582" s="24" t="n">
        <v>0.518887043</v>
      </c>
    </row>
    <row r="4583" customFormat="false" ht="15" hidden="false" customHeight="false" outlineLevel="0" collapsed="false">
      <c r="A4583" s="3" t="n">
        <v>4582</v>
      </c>
      <c r="B4583" s="3" t="n">
        <v>4581</v>
      </c>
      <c r="C4583" s="3" t="n">
        <v>5</v>
      </c>
      <c r="D4583" s="3" t="n">
        <v>23</v>
      </c>
      <c r="E4583" s="3" t="n">
        <v>17</v>
      </c>
      <c r="F4583" s="24" t="n">
        <v>0.51512605</v>
      </c>
    </row>
    <row r="4584" customFormat="false" ht="15" hidden="false" customHeight="false" outlineLevel="0" collapsed="false">
      <c r="A4584" s="3" t="n">
        <v>4583</v>
      </c>
      <c r="B4584" s="3" t="n">
        <v>4582</v>
      </c>
      <c r="C4584" s="3" t="n">
        <v>5</v>
      </c>
      <c r="D4584" s="3" t="n">
        <v>23</v>
      </c>
      <c r="E4584" s="3" t="n">
        <v>18</v>
      </c>
      <c r="F4584" s="24" t="n">
        <v>0.51512605</v>
      </c>
    </row>
    <row r="4585" customFormat="false" ht="15" hidden="false" customHeight="false" outlineLevel="0" collapsed="false">
      <c r="A4585" s="3" t="n">
        <v>4584</v>
      </c>
      <c r="B4585" s="3" t="n">
        <v>4583</v>
      </c>
      <c r="C4585" s="3" t="n">
        <v>5</v>
      </c>
      <c r="D4585" s="3" t="n">
        <v>23</v>
      </c>
      <c r="E4585" s="3" t="n">
        <v>19</v>
      </c>
      <c r="F4585" s="24" t="n">
        <v>0.51512605</v>
      </c>
    </row>
    <row r="4586" customFormat="false" ht="15" hidden="false" customHeight="false" outlineLevel="0" collapsed="false">
      <c r="A4586" s="3" t="n">
        <v>4585</v>
      </c>
      <c r="B4586" s="3" t="n">
        <v>4584</v>
      </c>
      <c r="C4586" s="3" t="n">
        <v>5</v>
      </c>
      <c r="D4586" s="3" t="n">
        <v>23</v>
      </c>
      <c r="E4586" s="3" t="n">
        <v>20</v>
      </c>
      <c r="F4586" s="24" t="n">
        <v>0.51512605</v>
      </c>
    </row>
    <row r="4587" customFormat="false" ht="15" hidden="false" customHeight="false" outlineLevel="0" collapsed="false">
      <c r="A4587" s="3" t="n">
        <v>4586</v>
      </c>
      <c r="B4587" s="3" t="n">
        <v>4585</v>
      </c>
      <c r="C4587" s="3" t="n">
        <v>5</v>
      </c>
      <c r="D4587" s="3" t="n">
        <v>23</v>
      </c>
      <c r="E4587" s="3" t="n">
        <v>21</v>
      </c>
      <c r="F4587" s="24" t="n">
        <v>0.51512605</v>
      </c>
    </row>
    <row r="4588" customFormat="false" ht="15" hidden="false" customHeight="false" outlineLevel="0" collapsed="false">
      <c r="A4588" s="3" t="n">
        <v>4587</v>
      </c>
      <c r="B4588" s="3" t="n">
        <v>4586</v>
      </c>
      <c r="C4588" s="3" t="n">
        <v>5</v>
      </c>
      <c r="D4588" s="3" t="n">
        <v>23</v>
      </c>
      <c r="E4588" s="3" t="n">
        <v>22</v>
      </c>
      <c r="F4588" s="24" t="n">
        <v>0.51512605</v>
      </c>
    </row>
    <row r="4589" customFormat="false" ht="15" hidden="false" customHeight="false" outlineLevel="0" collapsed="false">
      <c r="A4589" s="3" t="n">
        <v>4588</v>
      </c>
      <c r="B4589" s="3" t="n">
        <v>4587</v>
      </c>
      <c r="C4589" s="3" t="n">
        <v>5</v>
      </c>
      <c r="D4589" s="3" t="n">
        <v>23</v>
      </c>
      <c r="E4589" s="3" t="n">
        <v>23</v>
      </c>
      <c r="F4589" s="24" t="n">
        <v>0.51512605</v>
      </c>
    </row>
    <row r="4590" customFormat="false" ht="15" hidden="false" customHeight="false" outlineLevel="0" collapsed="false">
      <c r="A4590" s="3" t="n">
        <v>4589</v>
      </c>
      <c r="B4590" s="3" t="n">
        <v>4588</v>
      </c>
      <c r="C4590" s="3" t="n">
        <v>5</v>
      </c>
      <c r="D4590" s="3" t="n">
        <v>23</v>
      </c>
      <c r="E4590" s="3" t="n">
        <v>24</v>
      </c>
      <c r="F4590" s="24" t="n">
        <v>0.51512605</v>
      </c>
    </row>
    <row r="4591" customFormat="false" ht="15" hidden="false" customHeight="false" outlineLevel="0" collapsed="false">
      <c r="A4591" s="3" t="n">
        <v>4590</v>
      </c>
      <c r="B4591" s="3" t="n">
        <v>4589</v>
      </c>
      <c r="C4591" s="3" t="n">
        <v>5</v>
      </c>
      <c r="D4591" s="3" t="n">
        <v>23</v>
      </c>
      <c r="E4591" s="3" t="n">
        <v>25</v>
      </c>
      <c r="F4591" s="24" t="n">
        <v>0.51512605</v>
      </c>
    </row>
    <row r="4592" customFormat="false" ht="15" hidden="false" customHeight="false" outlineLevel="0" collapsed="false">
      <c r="A4592" s="3" t="n">
        <v>4591</v>
      </c>
      <c r="B4592" s="3" t="n">
        <v>4590</v>
      </c>
      <c r="C4592" s="3" t="n">
        <v>5</v>
      </c>
      <c r="D4592" s="3" t="n">
        <v>23</v>
      </c>
      <c r="E4592" s="3" t="n">
        <v>26</v>
      </c>
      <c r="F4592" s="24" t="n">
        <v>0.51512605</v>
      </c>
    </row>
    <row r="4593" customFormat="false" ht="15" hidden="false" customHeight="false" outlineLevel="0" collapsed="false">
      <c r="A4593" s="3" t="n">
        <v>4592</v>
      </c>
      <c r="B4593" s="3" t="n">
        <v>4591</v>
      </c>
      <c r="C4593" s="3" t="n">
        <v>5</v>
      </c>
      <c r="D4593" s="3" t="n">
        <v>23</v>
      </c>
      <c r="E4593" s="3" t="n">
        <v>27</v>
      </c>
      <c r="F4593" s="24" t="n">
        <v>0.459515482</v>
      </c>
    </row>
    <row r="4594" customFormat="false" ht="15" hidden="false" customHeight="false" outlineLevel="0" collapsed="false">
      <c r="A4594" s="3" t="n">
        <v>4593</v>
      </c>
      <c r="B4594" s="3" t="n">
        <v>4592</v>
      </c>
      <c r="C4594" s="3" t="n">
        <v>5</v>
      </c>
      <c r="D4594" s="3" t="n">
        <v>24</v>
      </c>
      <c r="E4594" s="3" t="n">
        <v>0</v>
      </c>
      <c r="F4594" s="24" t="n">
        <v>0.354324996</v>
      </c>
    </row>
    <row r="4595" customFormat="false" ht="15" hidden="false" customHeight="false" outlineLevel="0" collapsed="false">
      <c r="A4595" s="3" t="n">
        <v>4594</v>
      </c>
      <c r="B4595" s="3" t="n">
        <v>4593</v>
      </c>
      <c r="C4595" s="3" t="n">
        <v>5</v>
      </c>
      <c r="D4595" s="3" t="n">
        <v>24</v>
      </c>
      <c r="E4595" s="3" t="n">
        <v>1</v>
      </c>
      <c r="F4595" s="24" t="n">
        <v>0.51512605</v>
      </c>
    </row>
    <row r="4596" customFormat="false" ht="15" hidden="false" customHeight="false" outlineLevel="0" collapsed="false">
      <c r="A4596" s="3" t="n">
        <v>4595</v>
      </c>
      <c r="B4596" s="3" t="n">
        <v>4594</v>
      </c>
      <c r="C4596" s="3" t="n">
        <v>5</v>
      </c>
      <c r="D4596" s="3" t="n">
        <v>24</v>
      </c>
      <c r="E4596" s="3" t="n">
        <v>2</v>
      </c>
      <c r="F4596" s="24" t="n">
        <v>0.51512605</v>
      </c>
    </row>
    <row r="4597" customFormat="false" ht="15" hidden="false" customHeight="false" outlineLevel="0" collapsed="false">
      <c r="A4597" s="3" t="n">
        <v>4596</v>
      </c>
      <c r="B4597" s="3" t="n">
        <v>4595</v>
      </c>
      <c r="C4597" s="3" t="n">
        <v>5</v>
      </c>
      <c r="D4597" s="3" t="n">
        <v>24</v>
      </c>
      <c r="E4597" s="3" t="n">
        <v>3</v>
      </c>
      <c r="F4597" s="24" t="n">
        <v>0.51512605</v>
      </c>
    </row>
    <row r="4598" customFormat="false" ht="15" hidden="false" customHeight="false" outlineLevel="0" collapsed="false">
      <c r="A4598" s="3" t="n">
        <v>4597</v>
      </c>
      <c r="B4598" s="3" t="n">
        <v>4596</v>
      </c>
      <c r="C4598" s="3" t="n">
        <v>5</v>
      </c>
      <c r="D4598" s="3" t="n">
        <v>24</v>
      </c>
      <c r="E4598" s="3" t="n">
        <v>4</v>
      </c>
      <c r="F4598" s="24" t="n">
        <v>0.51512605</v>
      </c>
    </row>
    <row r="4599" customFormat="false" ht="15" hidden="false" customHeight="false" outlineLevel="0" collapsed="false">
      <c r="A4599" s="3" t="n">
        <v>4598</v>
      </c>
      <c r="B4599" s="3" t="n">
        <v>4597</v>
      </c>
      <c r="C4599" s="3" t="n">
        <v>5</v>
      </c>
      <c r="D4599" s="3" t="n">
        <v>24</v>
      </c>
      <c r="E4599" s="3" t="n">
        <v>5</v>
      </c>
      <c r="F4599" s="24" t="n">
        <v>0.51512605</v>
      </c>
    </row>
    <row r="4600" customFormat="false" ht="15" hidden="false" customHeight="false" outlineLevel="0" collapsed="false">
      <c r="A4600" s="3" t="n">
        <v>4599</v>
      </c>
      <c r="B4600" s="3" t="n">
        <v>4598</v>
      </c>
      <c r="C4600" s="3" t="n">
        <v>5</v>
      </c>
      <c r="D4600" s="3" t="n">
        <v>24</v>
      </c>
      <c r="E4600" s="3" t="n">
        <v>6</v>
      </c>
      <c r="F4600" s="24" t="n">
        <v>0.51512605</v>
      </c>
    </row>
    <row r="4601" customFormat="false" ht="15" hidden="false" customHeight="false" outlineLevel="0" collapsed="false">
      <c r="A4601" s="3" t="n">
        <v>4600</v>
      </c>
      <c r="B4601" s="3" t="n">
        <v>4599</v>
      </c>
      <c r="C4601" s="3" t="n">
        <v>5</v>
      </c>
      <c r="D4601" s="3" t="n">
        <v>24</v>
      </c>
      <c r="E4601" s="3" t="n">
        <v>7</v>
      </c>
      <c r="F4601" s="24" t="n">
        <v>0.51512605</v>
      </c>
    </row>
    <row r="4602" customFormat="false" ht="15" hidden="false" customHeight="false" outlineLevel="0" collapsed="false">
      <c r="A4602" s="3" t="n">
        <v>4601</v>
      </c>
      <c r="B4602" s="3" t="n">
        <v>4600</v>
      </c>
      <c r="C4602" s="3" t="n">
        <v>5</v>
      </c>
      <c r="D4602" s="3" t="n">
        <v>24</v>
      </c>
      <c r="E4602" s="3" t="n">
        <v>8</v>
      </c>
      <c r="F4602" s="24" t="n">
        <v>0.51512605</v>
      </c>
    </row>
    <row r="4603" customFormat="false" ht="15" hidden="false" customHeight="false" outlineLevel="0" collapsed="false">
      <c r="A4603" s="3" t="n">
        <v>4602</v>
      </c>
      <c r="B4603" s="3" t="n">
        <v>4601</v>
      </c>
      <c r="C4603" s="3" t="n">
        <v>5</v>
      </c>
      <c r="D4603" s="3" t="n">
        <v>24</v>
      </c>
      <c r="E4603" s="3" t="n">
        <v>9</v>
      </c>
      <c r="F4603" s="24" t="n">
        <v>0.445538521</v>
      </c>
    </row>
    <row r="4604" customFormat="false" ht="15" hidden="false" customHeight="false" outlineLevel="0" collapsed="false">
      <c r="A4604" s="3" t="n">
        <v>4603</v>
      </c>
      <c r="B4604" s="3" t="n">
        <v>4602</v>
      </c>
      <c r="C4604" s="3" t="n">
        <v>5</v>
      </c>
      <c r="D4604" s="3" t="n">
        <v>24</v>
      </c>
      <c r="E4604" s="3" t="n">
        <v>10</v>
      </c>
      <c r="F4604" s="24" t="n">
        <v>0</v>
      </c>
    </row>
    <row r="4605" customFormat="false" ht="15" hidden="false" customHeight="false" outlineLevel="0" collapsed="false">
      <c r="A4605" s="3" t="n">
        <v>4604</v>
      </c>
      <c r="B4605" s="3" t="n">
        <v>4603</v>
      </c>
      <c r="C4605" s="3" t="n">
        <v>5</v>
      </c>
      <c r="D4605" s="3" t="n">
        <v>24</v>
      </c>
      <c r="E4605" s="3" t="n">
        <v>11</v>
      </c>
      <c r="F4605" s="24" t="n">
        <v>0</v>
      </c>
    </row>
    <row r="4606" customFormat="false" ht="15" hidden="false" customHeight="false" outlineLevel="0" collapsed="false">
      <c r="A4606" s="3" t="n">
        <v>4605</v>
      </c>
      <c r="B4606" s="3" t="n">
        <v>4604</v>
      </c>
      <c r="C4606" s="3" t="n">
        <v>5</v>
      </c>
      <c r="D4606" s="3" t="n">
        <v>24</v>
      </c>
      <c r="E4606" s="3" t="n">
        <v>12</v>
      </c>
      <c r="F4606" s="24" t="n">
        <v>0</v>
      </c>
    </row>
    <row r="4607" customFormat="false" ht="15" hidden="false" customHeight="false" outlineLevel="0" collapsed="false">
      <c r="A4607" s="3" t="n">
        <v>4606</v>
      </c>
      <c r="B4607" s="3" t="n">
        <v>4605</v>
      </c>
      <c r="C4607" s="3" t="n">
        <v>5</v>
      </c>
      <c r="D4607" s="3" t="n">
        <v>24</v>
      </c>
      <c r="E4607" s="3" t="n">
        <v>13</v>
      </c>
      <c r="F4607" s="24" t="n">
        <v>0</v>
      </c>
    </row>
    <row r="4608" customFormat="false" ht="15" hidden="false" customHeight="false" outlineLevel="0" collapsed="false">
      <c r="A4608" s="3" t="n">
        <v>4607</v>
      </c>
      <c r="B4608" s="3" t="n">
        <v>4606</v>
      </c>
      <c r="C4608" s="3" t="n">
        <v>5</v>
      </c>
      <c r="D4608" s="3" t="n">
        <v>24</v>
      </c>
      <c r="E4608" s="3" t="n">
        <v>14</v>
      </c>
      <c r="F4608" s="24" t="n">
        <v>0</v>
      </c>
    </row>
    <row r="4609" customFormat="false" ht="15" hidden="false" customHeight="false" outlineLevel="0" collapsed="false">
      <c r="A4609" s="3" t="n">
        <v>4608</v>
      </c>
      <c r="B4609" s="3" t="n">
        <v>4607</v>
      </c>
      <c r="C4609" s="3" t="n">
        <v>5</v>
      </c>
      <c r="D4609" s="3" t="n">
        <v>24</v>
      </c>
      <c r="E4609" s="3" t="n">
        <v>15</v>
      </c>
      <c r="F4609" s="24" t="n">
        <v>0.383152872</v>
      </c>
    </row>
    <row r="4610" customFormat="false" ht="15" hidden="false" customHeight="false" outlineLevel="0" collapsed="false">
      <c r="A4610" s="3" t="n">
        <v>4609</v>
      </c>
      <c r="B4610" s="3" t="n">
        <v>4608</v>
      </c>
      <c r="C4610" s="3" t="n">
        <v>5</v>
      </c>
      <c r="D4610" s="3" t="n">
        <v>24</v>
      </c>
      <c r="E4610" s="3" t="n">
        <v>16</v>
      </c>
      <c r="F4610" s="24" t="n">
        <v>0.51512605</v>
      </c>
    </row>
    <row r="4611" customFormat="false" ht="15" hidden="false" customHeight="false" outlineLevel="0" collapsed="false">
      <c r="A4611" s="3" t="n">
        <v>4610</v>
      </c>
      <c r="B4611" s="3" t="n">
        <v>4609</v>
      </c>
      <c r="C4611" s="3" t="n">
        <v>5</v>
      </c>
      <c r="D4611" s="3" t="n">
        <v>24</v>
      </c>
      <c r="E4611" s="3" t="n">
        <v>17</v>
      </c>
      <c r="F4611" s="24" t="n">
        <v>0.51512605</v>
      </c>
    </row>
    <row r="4612" customFormat="false" ht="15" hidden="false" customHeight="false" outlineLevel="0" collapsed="false">
      <c r="A4612" s="3" t="n">
        <v>4611</v>
      </c>
      <c r="B4612" s="3" t="n">
        <v>4610</v>
      </c>
      <c r="C4612" s="3" t="n">
        <v>5</v>
      </c>
      <c r="D4612" s="3" t="n">
        <v>24</v>
      </c>
      <c r="E4612" s="3" t="n">
        <v>18</v>
      </c>
      <c r="F4612" s="24" t="n">
        <v>0.51512605</v>
      </c>
    </row>
    <row r="4613" customFormat="false" ht="15" hidden="false" customHeight="false" outlineLevel="0" collapsed="false">
      <c r="A4613" s="3" t="n">
        <v>4612</v>
      </c>
      <c r="B4613" s="3" t="n">
        <v>4611</v>
      </c>
      <c r="C4613" s="3" t="n">
        <v>5</v>
      </c>
      <c r="D4613" s="3" t="n">
        <v>24</v>
      </c>
      <c r="E4613" s="3" t="n">
        <v>19</v>
      </c>
      <c r="F4613" s="24" t="n">
        <v>0.51512605</v>
      </c>
    </row>
    <row r="4614" customFormat="false" ht="15" hidden="false" customHeight="false" outlineLevel="0" collapsed="false">
      <c r="A4614" s="3" t="n">
        <v>4613</v>
      </c>
      <c r="B4614" s="3" t="n">
        <v>4612</v>
      </c>
      <c r="C4614" s="3" t="n">
        <v>5</v>
      </c>
      <c r="D4614" s="3" t="n">
        <v>24</v>
      </c>
      <c r="E4614" s="3" t="n">
        <v>20</v>
      </c>
      <c r="F4614" s="24" t="n">
        <v>0.51512605</v>
      </c>
    </row>
    <row r="4615" customFormat="false" ht="15" hidden="false" customHeight="false" outlineLevel="0" collapsed="false">
      <c r="A4615" s="3" t="n">
        <v>4614</v>
      </c>
      <c r="B4615" s="3" t="n">
        <v>4613</v>
      </c>
      <c r="C4615" s="3" t="n">
        <v>5</v>
      </c>
      <c r="D4615" s="3" t="n">
        <v>24</v>
      </c>
      <c r="E4615" s="3" t="n">
        <v>21</v>
      </c>
      <c r="F4615" s="24" t="n">
        <v>0.51512605</v>
      </c>
    </row>
    <row r="4616" customFormat="false" ht="15" hidden="false" customHeight="false" outlineLevel="0" collapsed="false">
      <c r="A4616" s="3" t="n">
        <v>4615</v>
      </c>
      <c r="B4616" s="3" t="n">
        <v>4614</v>
      </c>
      <c r="C4616" s="3" t="n">
        <v>5</v>
      </c>
      <c r="D4616" s="3" t="n">
        <v>24</v>
      </c>
      <c r="E4616" s="3" t="n">
        <v>22</v>
      </c>
      <c r="F4616" s="24" t="n">
        <v>0.51512605</v>
      </c>
    </row>
    <row r="4617" customFormat="false" ht="15" hidden="false" customHeight="false" outlineLevel="0" collapsed="false">
      <c r="A4617" s="3" t="n">
        <v>4616</v>
      </c>
      <c r="B4617" s="3" t="n">
        <v>4615</v>
      </c>
      <c r="C4617" s="3" t="n">
        <v>5</v>
      </c>
      <c r="D4617" s="3" t="n">
        <v>24</v>
      </c>
      <c r="E4617" s="3" t="n">
        <v>23</v>
      </c>
      <c r="F4617" s="24" t="n">
        <v>0.51512605</v>
      </c>
    </row>
    <row r="4618" customFormat="false" ht="15" hidden="false" customHeight="false" outlineLevel="0" collapsed="false">
      <c r="A4618" s="3" t="n">
        <v>4617</v>
      </c>
      <c r="B4618" s="3" t="n">
        <v>4616</v>
      </c>
      <c r="C4618" s="3" t="n">
        <v>5</v>
      </c>
      <c r="D4618" s="3" t="n">
        <v>24</v>
      </c>
      <c r="E4618" s="3" t="n">
        <v>24</v>
      </c>
      <c r="F4618" s="24" t="n">
        <v>0.51512605</v>
      </c>
    </row>
    <row r="4619" customFormat="false" ht="15" hidden="false" customHeight="false" outlineLevel="0" collapsed="false">
      <c r="A4619" s="3" t="n">
        <v>4618</v>
      </c>
      <c r="B4619" s="3" t="n">
        <v>4617</v>
      </c>
      <c r="C4619" s="3" t="n">
        <v>5</v>
      </c>
      <c r="D4619" s="3" t="n">
        <v>24</v>
      </c>
      <c r="E4619" s="3" t="n">
        <v>25</v>
      </c>
      <c r="F4619" s="24" t="n">
        <v>0.51512605</v>
      </c>
    </row>
    <row r="4620" customFormat="false" ht="15" hidden="false" customHeight="false" outlineLevel="0" collapsed="false">
      <c r="A4620" s="3" t="n">
        <v>4619</v>
      </c>
      <c r="B4620" s="3" t="n">
        <v>4618</v>
      </c>
      <c r="C4620" s="3" t="n">
        <v>5</v>
      </c>
      <c r="D4620" s="3" t="n">
        <v>24</v>
      </c>
      <c r="E4620" s="3" t="n">
        <v>26</v>
      </c>
      <c r="F4620" s="24" t="n">
        <v>0.51512605</v>
      </c>
    </row>
    <row r="4621" customFormat="false" ht="15" hidden="false" customHeight="false" outlineLevel="0" collapsed="false">
      <c r="A4621" s="3" t="n">
        <v>4620</v>
      </c>
      <c r="B4621" s="3" t="n">
        <v>4619</v>
      </c>
      <c r="C4621" s="3" t="n">
        <v>5</v>
      </c>
      <c r="D4621" s="3" t="n">
        <v>24</v>
      </c>
      <c r="E4621" s="3" t="n">
        <v>27</v>
      </c>
      <c r="F4621" s="24" t="n">
        <v>0.459515482</v>
      </c>
    </row>
    <row r="4622" customFormat="false" ht="15" hidden="false" customHeight="false" outlineLevel="0" collapsed="false">
      <c r="A4622" s="3" t="n">
        <v>4621</v>
      </c>
      <c r="B4622" s="3" t="n">
        <v>4620</v>
      </c>
      <c r="C4622" s="3" t="n">
        <v>5</v>
      </c>
      <c r="D4622" s="3" t="n">
        <v>25</v>
      </c>
      <c r="E4622" s="3" t="n">
        <v>0</v>
      </c>
      <c r="F4622" s="24" t="n">
        <v>0.354324996</v>
      </c>
    </row>
    <row r="4623" customFormat="false" ht="15" hidden="false" customHeight="false" outlineLevel="0" collapsed="false">
      <c r="A4623" s="3" t="n">
        <v>4622</v>
      </c>
      <c r="B4623" s="3" t="n">
        <v>4621</v>
      </c>
      <c r="C4623" s="3" t="n">
        <v>5</v>
      </c>
      <c r="D4623" s="3" t="n">
        <v>25</v>
      </c>
      <c r="E4623" s="3" t="n">
        <v>1</v>
      </c>
      <c r="F4623" s="24" t="n">
        <v>0.51512605</v>
      </c>
    </row>
    <row r="4624" customFormat="false" ht="15" hidden="false" customHeight="false" outlineLevel="0" collapsed="false">
      <c r="A4624" s="3" t="n">
        <v>4623</v>
      </c>
      <c r="B4624" s="3" t="n">
        <v>4622</v>
      </c>
      <c r="C4624" s="3" t="n">
        <v>5</v>
      </c>
      <c r="D4624" s="3" t="n">
        <v>25</v>
      </c>
      <c r="E4624" s="3" t="n">
        <v>2</v>
      </c>
      <c r="F4624" s="24" t="n">
        <v>0.51512605</v>
      </c>
    </row>
    <row r="4625" customFormat="false" ht="15" hidden="false" customHeight="false" outlineLevel="0" collapsed="false">
      <c r="A4625" s="3" t="n">
        <v>4624</v>
      </c>
      <c r="B4625" s="3" t="n">
        <v>4623</v>
      </c>
      <c r="C4625" s="3" t="n">
        <v>5</v>
      </c>
      <c r="D4625" s="3" t="n">
        <v>25</v>
      </c>
      <c r="E4625" s="3" t="n">
        <v>3</v>
      </c>
      <c r="F4625" s="24" t="n">
        <v>0.51512605</v>
      </c>
    </row>
    <row r="4626" customFormat="false" ht="15" hidden="false" customHeight="false" outlineLevel="0" collapsed="false">
      <c r="A4626" s="3" t="n">
        <v>4625</v>
      </c>
      <c r="B4626" s="3" t="n">
        <v>4624</v>
      </c>
      <c r="C4626" s="3" t="n">
        <v>5</v>
      </c>
      <c r="D4626" s="3" t="n">
        <v>25</v>
      </c>
      <c r="E4626" s="3" t="n">
        <v>4</v>
      </c>
      <c r="F4626" s="24" t="n">
        <v>0.51512605</v>
      </c>
    </row>
    <row r="4627" customFormat="false" ht="15" hidden="false" customHeight="false" outlineLevel="0" collapsed="false">
      <c r="A4627" s="3" t="n">
        <v>4626</v>
      </c>
      <c r="B4627" s="3" t="n">
        <v>4625</v>
      </c>
      <c r="C4627" s="3" t="n">
        <v>5</v>
      </c>
      <c r="D4627" s="3" t="n">
        <v>25</v>
      </c>
      <c r="E4627" s="3" t="n">
        <v>5</v>
      </c>
      <c r="F4627" s="24" t="n">
        <v>0.51512605</v>
      </c>
    </row>
    <row r="4628" customFormat="false" ht="15" hidden="false" customHeight="false" outlineLevel="0" collapsed="false">
      <c r="A4628" s="3" t="n">
        <v>4627</v>
      </c>
      <c r="B4628" s="3" t="n">
        <v>4626</v>
      </c>
      <c r="C4628" s="3" t="n">
        <v>5</v>
      </c>
      <c r="D4628" s="3" t="n">
        <v>25</v>
      </c>
      <c r="E4628" s="3" t="n">
        <v>6</v>
      </c>
      <c r="F4628" s="24" t="n">
        <v>0.51512605</v>
      </c>
    </row>
    <row r="4629" customFormat="false" ht="15" hidden="false" customHeight="false" outlineLevel="0" collapsed="false">
      <c r="A4629" s="3" t="n">
        <v>4628</v>
      </c>
      <c r="B4629" s="3" t="n">
        <v>4627</v>
      </c>
      <c r="C4629" s="3" t="n">
        <v>5</v>
      </c>
      <c r="D4629" s="3" t="n">
        <v>25</v>
      </c>
      <c r="E4629" s="3" t="n">
        <v>7</v>
      </c>
      <c r="F4629" s="24" t="n">
        <v>0.51512605</v>
      </c>
    </row>
    <row r="4630" customFormat="false" ht="15" hidden="false" customHeight="false" outlineLevel="0" collapsed="false">
      <c r="A4630" s="3" t="n">
        <v>4629</v>
      </c>
      <c r="B4630" s="3" t="n">
        <v>4628</v>
      </c>
      <c r="C4630" s="3" t="n">
        <v>5</v>
      </c>
      <c r="D4630" s="3" t="n">
        <v>25</v>
      </c>
      <c r="E4630" s="3" t="n">
        <v>8</v>
      </c>
      <c r="F4630" s="24" t="n">
        <v>0.51512605</v>
      </c>
    </row>
    <row r="4631" customFormat="false" ht="15" hidden="false" customHeight="false" outlineLevel="0" collapsed="false">
      <c r="A4631" s="3" t="n">
        <v>4630</v>
      </c>
      <c r="B4631" s="3" t="n">
        <v>4629</v>
      </c>
      <c r="C4631" s="3" t="n">
        <v>5</v>
      </c>
      <c r="D4631" s="3" t="n">
        <v>25</v>
      </c>
      <c r="E4631" s="3" t="n">
        <v>9</v>
      </c>
      <c r="F4631" s="24" t="n">
        <v>0.0495083332</v>
      </c>
    </row>
    <row r="4632" customFormat="false" ht="15" hidden="false" customHeight="false" outlineLevel="0" collapsed="false">
      <c r="A4632" s="3" t="n">
        <v>4631</v>
      </c>
      <c r="B4632" s="3" t="n">
        <v>4630</v>
      </c>
      <c r="C4632" s="3" t="n">
        <v>5</v>
      </c>
      <c r="D4632" s="3" t="n">
        <v>25</v>
      </c>
      <c r="E4632" s="3" t="n">
        <v>10</v>
      </c>
      <c r="F4632" s="24" t="n">
        <v>0</v>
      </c>
    </row>
    <row r="4633" customFormat="false" ht="15" hidden="false" customHeight="false" outlineLevel="0" collapsed="false">
      <c r="A4633" s="3" t="n">
        <v>4632</v>
      </c>
      <c r="B4633" s="3" t="n">
        <v>4631</v>
      </c>
      <c r="C4633" s="3" t="n">
        <v>5</v>
      </c>
      <c r="D4633" s="3" t="n">
        <v>25</v>
      </c>
      <c r="E4633" s="3" t="n">
        <v>11</v>
      </c>
      <c r="F4633" s="24" t="n">
        <v>0</v>
      </c>
    </row>
    <row r="4634" customFormat="false" ht="15" hidden="false" customHeight="false" outlineLevel="0" collapsed="false">
      <c r="A4634" s="3" t="n">
        <v>4633</v>
      </c>
      <c r="B4634" s="3" t="n">
        <v>4632</v>
      </c>
      <c r="C4634" s="3" t="n">
        <v>5</v>
      </c>
      <c r="D4634" s="3" t="n">
        <v>25</v>
      </c>
      <c r="E4634" s="3" t="n">
        <v>12</v>
      </c>
      <c r="F4634" s="24" t="n">
        <v>0</v>
      </c>
    </row>
    <row r="4635" customFormat="false" ht="15" hidden="false" customHeight="false" outlineLevel="0" collapsed="false">
      <c r="A4635" s="3" t="n">
        <v>4634</v>
      </c>
      <c r="B4635" s="3" t="n">
        <v>4633</v>
      </c>
      <c r="C4635" s="3" t="n">
        <v>5</v>
      </c>
      <c r="D4635" s="3" t="n">
        <v>25</v>
      </c>
      <c r="E4635" s="3" t="n">
        <v>13</v>
      </c>
      <c r="F4635" s="24" t="n">
        <v>0.939822674</v>
      </c>
    </row>
    <row r="4636" customFormat="false" ht="15" hidden="false" customHeight="false" outlineLevel="0" collapsed="false">
      <c r="A4636" s="3" t="n">
        <v>4635</v>
      </c>
      <c r="B4636" s="3" t="n">
        <v>4634</v>
      </c>
      <c r="C4636" s="3" t="n">
        <v>5</v>
      </c>
      <c r="D4636" s="3" t="n">
        <v>25</v>
      </c>
      <c r="E4636" s="3" t="n">
        <v>14</v>
      </c>
      <c r="F4636" s="24" t="n">
        <v>1.90990746</v>
      </c>
    </row>
    <row r="4637" customFormat="false" ht="15" hidden="false" customHeight="false" outlineLevel="0" collapsed="false">
      <c r="A4637" s="3" t="n">
        <v>4636</v>
      </c>
      <c r="B4637" s="3" t="n">
        <v>4635</v>
      </c>
      <c r="C4637" s="3" t="n">
        <v>5</v>
      </c>
      <c r="D4637" s="3" t="n">
        <v>25</v>
      </c>
      <c r="E4637" s="3" t="n">
        <v>15</v>
      </c>
      <c r="F4637" s="24" t="n">
        <v>0.763644814</v>
      </c>
    </row>
    <row r="4638" customFormat="false" ht="15" hidden="false" customHeight="false" outlineLevel="0" collapsed="false">
      <c r="A4638" s="3" t="n">
        <v>4637</v>
      </c>
      <c r="B4638" s="3" t="n">
        <v>4636</v>
      </c>
      <c r="C4638" s="3" t="n">
        <v>5</v>
      </c>
      <c r="D4638" s="3" t="n">
        <v>25</v>
      </c>
      <c r="E4638" s="3" t="n">
        <v>16</v>
      </c>
      <c r="F4638" s="24" t="n">
        <v>0.51512605</v>
      </c>
    </row>
    <row r="4639" customFormat="false" ht="15" hidden="false" customHeight="false" outlineLevel="0" collapsed="false">
      <c r="A4639" s="3" t="n">
        <v>4638</v>
      </c>
      <c r="B4639" s="3" t="n">
        <v>4637</v>
      </c>
      <c r="C4639" s="3" t="n">
        <v>5</v>
      </c>
      <c r="D4639" s="3" t="n">
        <v>25</v>
      </c>
      <c r="E4639" s="3" t="n">
        <v>17</v>
      </c>
      <c r="F4639" s="24" t="n">
        <v>0.51512605</v>
      </c>
    </row>
    <row r="4640" customFormat="false" ht="15" hidden="false" customHeight="false" outlineLevel="0" collapsed="false">
      <c r="A4640" s="3" t="n">
        <v>4639</v>
      </c>
      <c r="B4640" s="3" t="n">
        <v>4638</v>
      </c>
      <c r="C4640" s="3" t="n">
        <v>5</v>
      </c>
      <c r="D4640" s="3" t="n">
        <v>25</v>
      </c>
      <c r="E4640" s="3" t="n">
        <v>18</v>
      </c>
      <c r="F4640" s="24" t="n">
        <v>0.51512605</v>
      </c>
    </row>
    <row r="4641" customFormat="false" ht="15" hidden="false" customHeight="false" outlineLevel="0" collapsed="false">
      <c r="A4641" s="3" t="n">
        <v>4640</v>
      </c>
      <c r="B4641" s="3" t="n">
        <v>4639</v>
      </c>
      <c r="C4641" s="3" t="n">
        <v>5</v>
      </c>
      <c r="D4641" s="3" t="n">
        <v>25</v>
      </c>
      <c r="E4641" s="3" t="n">
        <v>19</v>
      </c>
      <c r="F4641" s="24" t="n">
        <v>0.51512605</v>
      </c>
    </row>
    <row r="4642" customFormat="false" ht="15" hidden="false" customHeight="false" outlineLevel="0" collapsed="false">
      <c r="A4642" s="3" t="n">
        <v>4641</v>
      </c>
      <c r="B4642" s="3" t="n">
        <v>4640</v>
      </c>
      <c r="C4642" s="3" t="n">
        <v>5</v>
      </c>
      <c r="D4642" s="3" t="n">
        <v>25</v>
      </c>
      <c r="E4642" s="3" t="n">
        <v>20</v>
      </c>
      <c r="F4642" s="24" t="n">
        <v>0.51512605</v>
      </c>
    </row>
    <row r="4643" customFormat="false" ht="15" hidden="false" customHeight="false" outlineLevel="0" collapsed="false">
      <c r="A4643" s="3" t="n">
        <v>4642</v>
      </c>
      <c r="B4643" s="3" t="n">
        <v>4641</v>
      </c>
      <c r="C4643" s="3" t="n">
        <v>5</v>
      </c>
      <c r="D4643" s="3" t="n">
        <v>25</v>
      </c>
      <c r="E4643" s="3" t="n">
        <v>21</v>
      </c>
      <c r="F4643" s="24" t="n">
        <v>0.51512605</v>
      </c>
    </row>
    <row r="4644" customFormat="false" ht="15" hidden="false" customHeight="false" outlineLevel="0" collapsed="false">
      <c r="A4644" s="3" t="n">
        <v>4643</v>
      </c>
      <c r="B4644" s="3" t="n">
        <v>4642</v>
      </c>
      <c r="C4644" s="3" t="n">
        <v>5</v>
      </c>
      <c r="D4644" s="3" t="n">
        <v>25</v>
      </c>
      <c r="E4644" s="3" t="n">
        <v>22</v>
      </c>
      <c r="F4644" s="24" t="n">
        <v>0.51512605</v>
      </c>
    </row>
    <row r="4645" customFormat="false" ht="15" hidden="false" customHeight="false" outlineLevel="0" collapsed="false">
      <c r="A4645" s="3" t="n">
        <v>4644</v>
      </c>
      <c r="B4645" s="3" t="n">
        <v>4643</v>
      </c>
      <c r="C4645" s="3" t="n">
        <v>5</v>
      </c>
      <c r="D4645" s="3" t="n">
        <v>25</v>
      </c>
      <c r="E4645" s="3" t="n">
        <v>23</v>
      </c>
      <c r="F4645" s="24" t="n">
        <v>0.51512605</v>
      </c>
    </row>
    <row r="4646" customFormat="false" ht="15" hidden="false" customHeight="false" outlineLevel="0" collapsed="false">
      <c r="A4646" s="3" t="n">
        <v>4645</v>
      </c>
      <c r="B4646" s="3" t="n">
        <v>4644</v>
      </c>
      <c r="C4646" s="3" t="n">
        <v>5</v>
      </c>
      <c r="D4646" s="3" t="n">
        <v>25</v>
      </c>
      <c r="E4646" s="3" t="n">
        <v>24</v>
      </c>
      <c r="F4646" s="24" t="n">
        <v>0.51512605</v>
      </c>
    </row>
    <row r="4647" customFormat="false" ht="15" hidden="false" customHeight="false" outlineLevel="0" collapsed="false">
      <c r="A4647" s="3" t="n">
        <v>4646</v>
      </c>
      <c r="B4647" s="3" t="n">
        <v>4645</v>
      </c>
      <c r="C4647" s="3" t="n">
        <v>5</v>
      </c>
      <c r="D4647" s="3" t="n">
        <v>25</v>
      </c>
      <c r="E4647" s="3" t="n">
        <v>25</v>
      </c>
      <c r="F4647" s="24" t="n">
        <v>0.51512605</v>
      </c>
    </row>
    <row r="4648" customFormat="false" ht="15" hidden="false" customHeight="false" outlineLevel="0" collapsed="false">
      <c r="A4648" s="3" t="n">
        <v>4647</v>
      </c>
      <c r="B4648" s="3" t="n">
        <v>4646</v>
      </c>
      <c r="C4648" s="3" t="n">
        <v>5</v>
      </c>
      <c r="D4648" s="3" t="n">
        <v>25</v>
      </c>
      <c r="E4648" s="3" t="n">
        <v>26</v>
      </c>
      <c r="F4648" s="24" t="n">
        <v>0.51512605</v>
      </c>
    </row>
    <row r="4649" customFormat="false" ht="15" hidden="false" customHeight="false" outlineLevel="0" collapsed="false">
      <c r="A4649" s="3" t="n">
        <v>4648</v>
      </c>
      <c r="B4649" s="3" t="n">
        <v>4647</v>
      </c>
      <c r="C4649" s="3" t="n">
        <v>5</v>
      </c>
      <c r="D4649" s="3" t="n">
        <v>25</v>
      </c>
      <c r="E4649" s="3" t="n">
        <v>27</v>
      </c>
      <c r="F4649" s="24" t="n">
        <v>0.459515482</v>
      </c>
    </row>
    <row r="4650" customFormat="false" ht="15" hidden="false" customHeight="false" outlineLevel="0" collapsed="false">
      <c r="A4650" s="3" t="n">
        <v>4649</v>
      </c>
      <c r="B4650" s="3" t="n">
        <v>4648</v>
      </c>
      <c r="C4650" s="3" t="n">
        <v>5</v>
      </c>
      <c r="D4650" s="3" t="n">
        <v>26</v>
      </c>
      <c r="E4650" s="3" t="n">
        <v>0</v>
      </c>
      <c r="F4650" s="24" t="n">
        <v>0.354324996</v>
      </c>
    </row>
    <row r="4651" customFormat="false" ht="15" hidden="false" customHeight="false" outlineLevel="0" collapsed="false">
      <c r="A4651" s="3" t="n">
        <v>4650</v>
      </c>
      <c r="B4651" s="3" t="n">
        <v>4649</v>
      </c>
      <c r="C4651" s="3" t="n">
        <v>5</v>
      </c>
      <c r="D4651" s="3" t="n">
        <v>26</v>
      </c>
      <c r="E4651" s="3" t="n">
        <v>1</v>
      </c>
      <c r="F4651" s="24" t="n">
        <v>0.51512605</v>
      </c>
    </row>
    <row r="4652" customFormat="false" ht="15" hidden="false" customHeight="false" outlineLevel="0" collapsed="false">
      <c r="A4652" s="3" t="n">
        <v>4651</v>
      </c>
      <c r="B4652" s="3" t="n">
        <v>4650</v>
      </c>
      <c r="C4652" s="3" t="n">
        <v>5</v>
      </c>
      <c r="D4652" s="3" t="n">
        <v>26</v>
      </c>
      <c r="E4652" s="3" t="n">
        <v>2</v>
      </c>
      <c r="F4652" s="24" t="n">
        <v>0.51512605</v>
      </c>
    </row>
    <row r="4653" customFormat="false" ht="15" hidden="false" customHeight="false" outlineLevel="0" collapsed="false">
      <c r="A4653" s="3" t="n">
        <v>4652</v>
      </c>
      <c r="B4653" s="3" t="n">
        <v>4651</v>
      </c>
      <c r="C4653" s="3" t="n">
        <v>5</v>
      </c>
      <c r="D4653" s="3" t="n">
        <v>26</v>
      </c>
      <c r="E4653" s="3" t="n">
        <v>3</v>
      </c>
      <c r="F4653" s="24" t="n">
        <v>0.51512605</v>
      </c>
    </row>
    <row r="4654" customFormat="false" ht="15" hidden="false" customHeight="false" outlineLevel="0" collapsed="false">
      <c r="A4654" s="3" t="n">
        <v>4653</v>
      </c>
      <c r="B4654" s="3" t="n">
        <v>4652</v>
      </c>
      <c r="C4654" s="3" t="n">
        <v>5</v>
      </c>
      <c r="D4654" s="3" t="n">
        <v>26</v>
      </c>
      <c r="E4654" s="3" t="n">
        <v>4</v>
      </c>
      <c r="F4654" s="24" t="n">
        <v>0.51512605</v>
      </c>
    </row>
    <row r="4655" customFormat="false" ht="15" hidden="false" customHeight="false" outlineLevel="0" collapsed="false">
      <c r="A4655" s="3" t="n">
        <v>4654</v>
      </c>
      <c r="B4655" s="3" t="n">
        <v>4653</v>
      </c>
      <c r="C4655" s="3" t="n">
        <v>5</v>
      </c>
      <c r="D4655" s="3" t="n">
        <v>26</v>
      </c>
      <c r="E4655" s="3" t="n">
        <v>5</v>
      </c>
      <c r="F4655" s="24" t="n">
        <v>0.51512605</v>
      </c>
    </row>
    <row r="4656" customFormat="false" ht="15" hidden="false" customHeight="false" outlineLevel="0" collapsed="false">
      <c r="A4656" s="3" t="n">
        <v>4655</v>
      </c>
      <c r="B4656" s="3" t="n">
        <v>4654</v>
      </c>
      <c r="C4656" s="3" t="n">
        <v>5</v>
      </c>
      <c r="D4656" s="3" t="n">
        <v>26</v>
      </c>
      <c r="E4656" s="3" t="n">
        <v>6</v>
      </c>
      <c r="F4656" s="24" t="n">
        <v>0.51512605</v>
      </c>
    </row>
    <row r="4657" customFormat="false" ht="15" hidden="false" customHeight="false" outlineLevel="0" collapsed="false">
      <c r="A4657" s="3" t="n">
        <v>4656</v>
      </c>
      <c r="B4657" s="3" t="n">
        <v>4655</v>
      </c>
      <c r="C4657" s="3" t="n">
        <v>5</v>
      </c>
      <c r="D4657" s="3" t="n">
        <v>26</v>
      </c>
      <c r="E4657" s="3" t="n">
        <v>7</v>
      </c>
      <c r="F4657" s="24" t="n">
        <v>0.51512605</v>
      </c>
    </row>
    <row r="4658" customFormat="false" ht="15" hidden="false" customHeight="false" outlineLevel="0" collapsed="false">
      <c r="A4658" s="3" t="n">
        <v>4657</v>
      </c>
      <c r="B4658" s="3" t="n">
        <v>4656</v>
      </c>
      <c r="C4658" s="3" t="n">
        <v>5</v>
      </c>
      <c r="D4658" s="3" t="n">
        <v>26</v>
      </c>
      <c r="E4658" s="3" t="n">
        <v>8</v>
      </c>
      <c r="F4658" s="24" t="n">
        <v>0.51512605</v>
      </c>
    </row>
    <row r="4659" customFormat="false" ht="15" hidden="false" customHeight="false" outlineLevel="0" collapsed="false">
      <c r="A4659" s="3" t="n">
        <v>4658</v>
      </c>
      <c r="B4659" s="3" t="n">
        <v>4657</v>
      </c>
      <c r="C4659" s="3" t="n">
        <v>5</v>
      </c>
      <c r="D4659" s="3" t="n">
        <v>26</v>
      </c>
      <c r="E4659" s="3" t="n">
        <v>9</v>
      </c>
      <c r="F4659" s="24" t="n">
        <v>0</v>
      </c>
    </row>
    <row r="4660" customFormat="false" ht="15" hidden="false" customHeight="false" outlineLevel="0" collapsed="false">
      <c r="A4660" s="3" t="n">
        <v>4659</v>
      </c>
      <c r="B4660" s="3" t="n">
        <v>4658</v>
      </c>
      <c r="C4660" s="3" t="n">
        <v>5</v>
      </c>
      <c r="D4660" s="3" t="n">
        <v>26</v>
      </c>
      <c r="E4660" s="3" t="n">
        <v>10</v>
      </c>
      <c r="F4660" s="24" t="n">
        <v>0</v>
      </c>
    </row>
    <row r="4661" customFormat="false" ht="15" hidden="false" customHeight="false" outlineLevel="0" collapsed="false">
      <c r="A4661" s="3" t="n">
        <v>4660</v>
      </c>
      <c r="B4661" s="3" t="n">
        <v>4659</v>
      </c>
      <c r="C4661" s="3" t="n">
        <v>5</v>
      </c>
      <c r="D4661" s="3" t="n">
        <v>26</v>
      </c>
      <c r="E4661" s="3" t="n">
        <v>11</v>
      </c>
      <c r="F4661" s="24" t="n">
        <v>1.43113947</v>
      </c>
    </row>
    <row r="4662" customFormat="false" ht="15" hidden="false" customHeight="false" outlineLevel="0" collapsed="false">
      <c r="A4662" s="3" t="n">
        <v>4661</v>
      </c>
      <c r="B4662" s="3" t="n">
        <v>4660</v>
      </c>
      <c r="C4662" s="3" t="n">
        <v>5</v>
      </c>
      <c r="D4662" s="3" t="n">
        <v>26</v>
      </c>
      <c r="E4662" s="3" t="n">
        <v>12</v>
      </c>
      <c r="F4662" s="24" t="n">
        <v>4.14695263</v>
      </c>
    </row>
    <row r="4663" customFormat="false" ht="15" hidden="false" customHeight="false" outlineLevel="0" collapsed="false">
      <c r="A4663" s="3" t="n">
        <v>4662</v>
      </c>
      <c r="B4663" s="3" t="n">
        <v>4661</v>
      </c>
      <c r="C4663" s="3" t="n">
        <v>5</v>
      </c>
      <c r="D4663" s="3" t="n">
        <v>26</v>
      </c>
      <c r="E4663" s="3" t="n">
        <v>13</v>
      </c>
      <c r="F4663" s="24" t="n">
        <v>3.62587523</v>
      </c>
    </row>
    <row r="4664" customFormat="false" ht="15" hidden="false" customHeight="false" outlineLevel="0" collapsed="false">
      <c r="A4664" s="3" t="n">
        <v>4663</v>
      </c>
      <c r="B4664" s="3" t="n">
        <v>4662</v>
      </c>
      <c r="C4664" s="3" t="n">
        <v>5</v>
      </c>
      <c r="D4664" s="3" t="n">
        <v>26</v>
      </c>
      <c r="E4664" s="3" t="n">
        <v>14</v>
      </c>
      <c r="F4664" s="24" t="n">
        <v>1.68123245</v>
      </c>
    </row>
    <row r="4665" customFormat="false" ht="15" hidden="false" customHeight="false" outlineLevel="0" collapsed="false">
      <c r="A4665" s="3" t="n">
        <v>4664</v>
      </c>
      <c r="B4665" s="3" t="n">
        <v>4663</v>
      </c>
      <c r="C4665" s="3" t="n">
        <v>5</v>
      </c>
      <c r="D4665" s="3" t="n">
        <v>26</v>
      </c>
      <c r="E4665" s="3" t="n">
        <v>15</v>
      </c>
      <c r="F4665" s="24" t="n">
        <v>0.665566206</v>
      </c>
    </row>
    <row r="4666" customFormat="false" ht="15" hidden="false" customHeight="false" outlineLevel="0" collapsed="false">
      <c r="A4666" s="3" t="n">
        <v>4665</v>
      </c>
      <c r="B4666" s="3" t="n">
        <v>4664</v>
      </c>
      <c r="C4666" s="3" t="n">
        <v>5</v>
      </c>
      <c r="D4666" s="3" t="n">
        <v>26</v>
      </c>
      <c r="E4666" s="3" t="n">
        <v>16</v>
      </c>
      <c r="F4666" s="24" t="n">
        <v>0.51512605</v>
      </c>
    </row>
    <row r="4667" customFormat="false" ht="15" hidden="false" customHeight="false" outlineLevel="0" collapsed="false">
      <c r="A4667" s="3" t="n">
        <v>4666</v>
      </c>
      <c r="B4667" s="3" t="n">
        <v>4665</v>
      </c>
      <c r="C4667" s="3" t="n">
        <v>5</v>
      </c>
      <c r="D4667" s="3" t="n">
        <v>26</v>
      </c>
      <c r="E4667" s="3" t="n">
        <v>17</v>
      </c>
      <c r="F4667" s="24" t="n">
        <v>0.51512605</v>
      </c>
    </row>
    <row r="4668" customFormat="false" ht="15" hidden="false" customHeight="false" outlineLevel="0" collapsed="false">
      <c r="A4668" s="3" t="n">
        <v>4667</v>
      </c>
      <c r="B4668" s="3" t="n">
        <v>4666</v>
      </c>
      <c r="C4668" s="3" t="n">
        <v>5</v>
      </c>
      <c r="D4668" s="3" t="n">
        <v>26</v>
      </c>
      <c r="E4668" s="3" t="n">
        <v>18</v>
      </c>
      <c r="F4668" s="24" t="n">
        <v>0.51512605</v>
      </c>
    </row>
    <row r="4669" customFormat="false" ht="15" hidden="false" customHeight="false" outlineLevel="0" collapsed="false">
      <c r="A4669" s="3" t="n">
        <v>4668</v>
      </c>
      <c r="B4669" s="3" t="n">
        <v>4667</v>
      </c>
      <c r="C4669" s="3" t="n">
        <v>5</v>
      </c>
      <c r="D4669" s="3" t="n">
        <v>26</v>
      </c>
      <c r="E4669" s="3" t="n">
        <v>19</v>
      </c>
      <c r="F4669" s="24" t="n">
        <v>0.51512605</v>
      </c>
    </row>
    <row r="4670" customFormat="false" ht="15" hidden="false" customHeight="false" outlineLevel="0" collapsed="false">
      <c r="A4670" s="3" t="n">
        <v>4669</v>
      </c>
      <c r="B4670" s="3" t="n">
        <v>4668</v>
      </c>
      <c r="C4670" s="3" t="n">
        <v>5</v>
      </c>
      <c r="D4670" s="3" t="n">
        <v>26</v>
      </c>
      <c r="E4670" s="3" t="n">
        <v>20</v>
      </c>
      <c r="F4670" s="24" t="n">
        <v>0.51512605</v>
      </c>
    </row>
    <row r="4671" customFormat="false" ht="15" hidden="false" customHeight="false" outlineLevel="0" collapsed="false">
      <c r="A4671" s="3" t="n">
        <v>4670</v>
      </c>
      <c r="B4671" s="3" t="n">
        <v>4669</v>
      </c>
      <c r="C4671" s="3" t="n">
        <v>5</v>
      </c>
      <c r="D4671" s="3" t="n">
        <v>26</v>
      </c>
      <c r="E4671" s="3" t="n">
        <v>21</v>
      </c>
      <c r="F4671" s="24" t="n">
        <v>0.51512605</v>
      </c>
    </row>
    <row r="4672" customFormat="false" ht="15" hidden="false" customHeight="false" outlineLevel="0" collapsed="false">
      <c r="A4672" s="3" t="n">
        <v>4671</v>
      </c>
      <c r="B4672" s="3" t="n">
        <v>4670</v>
      </c>
      <c r="C4672" s="3" t="n">
        <v>5</v>
      </c>
      <c r="D4672" s="3" t="n">
        <v>26</v>
      </c>
      <c r="E4672" s="3" t="n">
        <v>22</v>
      </c>
      <c r="F4672" s="24" t="n">
        <v>0.51512605</v>
      </c>
    </row>
    <row r="4673" customFormat="false" ht="15" hidden="false" customHeight="false" outlineLevel="0" collapsed="false">
      <c r="A4673" s="3" t="n">
        <v>4672</v>
      </c>
      <c r="B4673" s="3" t="n">
        <v>4671</v>
      </c>
      <c r="C4673" s="3" t="n">
        <v>5</v>
      </c>
      <c r="D4673" s="3" t="n">
        <v>26</v>
      </c>
      <c r="E4673" s="3" t="n">
        <v>23</v>
      </c>
      <c r="F4673" s="24" t="n">
        <v>0.51512605</v>
      </c>
    </row>
    <row r="4674" customFormat="false" ht="15" hidden="false" customHeight="false" outlineLevel="0" collapsed="false">
      <c r="A4674" s="3" t="n">
        <v>4673</v>
      </c>
      <c r="B4674" s="3" t="n">
        <v>4672</v>
      </c>
      <c r="C4674" s="3" t="n">
        <v>5</v>
      </c>
      <c r="D4674" s="3" t="n">
        <v>26</v>
      </c>
      <c r="E4674" s="3" t="n">
        <v>24</v>
      </c>
      <c r="F4674" s="24" t="n">
        <v>0.51512605</v>
      </c>
    </row>
    <row r="4675" customFormat="false" ht="15" hidden="false" customHeight="false" outlineLevel="0" collapsed="false">
      <c r="A4675" s="3" t="n">
        <v>4674</v>
      </c>
      <c r="B4675" s="3" t="n">
        <v>4673</v>
      </c>
      <c r="C4675" s="3" t="n">
        <v>5</v>
      </c>
      <c r="D4675" s="3" t="n">
        <v>26</v>
      </c>
      <c r="E4675" s="3" t="n">
        <v>25</v>
      </c>
      <c r="F4675" s="24" t="n">
        <v>0.51512605</v>
      </c>
    </row>
    <row r="4676" customFormat="false" ht="15" hidden="false" customHeight="false" outlineLevel="0" collapsed="false">
      <c r="A4676" s="3" t="n">
        <v>4675</v>
      </c>
      <c r="B4676" s="3" t="n">
        <v>4674</v>
      </c>
      <c r="C4676" s="3" t="n">
        <v>5</v>
      </c>
      <c r="D4676" s="3" t="n">
        <v>26</v>
      </c>
      <c r="E4676" s="3" t="n">
        <v>26</v>
      </c>
      <c r="F4676" s="24" t="n">
        <v>0.51512605</v>
      </c>
    </row>
    <row r="4677" customFormat="false" ht="15" hidden="false" customHeight="false" outlineLevel="0" collapsed="false">
      <c r="A4677" s="3" t="n">
        <v>4676</v>
      </c>
      <c r="B4677" s="3" t="n">
        <v>4675</v>
      </c>
      <c r="C4677" s="3" t="n">
        <v>5</v>
      </c>
      <c r="D4677" s="3" t="n">
        <v>26</v>
      </c>
      <c r="E4677" s="3" t="n">
        <v>27</v>
      </c>
      <c r="F4677" s="24" t="n">
        <v>0.459515482</v>
      </c>
    </row>
    <row r="4678" customFormat="false" ht="15" hidden="false" customHeight="false" outlineLevel="0" collapsed="false">
      <c r="A4678" s="3" t="n">
        <v>4677</v>
      </c>
      <c r="B4678" s="3" t="n">
        <v>4676</v>
      </c>
      <c r="C4678" s="3" t="n">
        <v>5</v>
      </c>
      <c r="D4678" s="3" t="n">
        <v>27</v>
      </c>
      <c r="E4678" s="3" t="n">
        <v>0</v>
      </c>
      <c r="F4678" s="24" t="n">
        <v>0.23883608</v>
      </c>
    </row>
    <row r="4679" customFormat="false" ht="15" hidden="false" customHeight="false" outlineLevel="0" collapsed="false">
      <c r="A4679" s="3" t="n">
        <v>4678</v>
      </c>
      <c r="B4679" s="3" t="n">
        <v>4677</v>
      </c>
      <c r="C4679" s="3" t="n">
        <v>5</v>
      </c>
      <c r="D4679" s="3" t="n">
        <v>27</v>
      </c>
      <c r="E4679" s="3" t="n">
        <v>1</v>
      </c>
      <c r="F4679" s="24" t="n">
        <v>0.0693717003</v>
      </c>
    </row>
    <row r="4680" customFormat="false" ht="15" hidden="false" customHeight="false" outlineLevel="0" collapsed="false">
      <c r="A4680" s="3" t="n">
        <v>4679</v>
      </c>
      <c r="B4680" s="3" t="n">
        <v>4678</v>
      </c>
      <c r="C4680" s="3" t="n">
        <v>5</v>
      </c>
      <c r="D4680" s="3" t="n">
        <v>27</v>
      </c>
      <c r="E4680" s="3" t="n">
        <v>2</v>
      </c>
      <c r="F4680" s="24" t="n">
        <v>0.0693717003</v>
      </c>
    </row>
    <row r="4681" customFormat="false" ht="15" hidden="false" customHeight="false" outlineLevel="0" collapsed="false">
      <c r="A4681" s="3" t="n">
        <v>4680</v>
      </c>
      <c r="B4681" s="3" t="n">
        <v>4679</v>
      </c>
      <c r="C4681" s="3" t="n">
        <v>5</v>
      </c>
      <c r="D4681" s="3" t="n">
        <v>27</v>
      </c>
      <c r="E4681" s="3" t="n">
        <v>3</v>
      </c>
      <c r="F4681" s="24" t="n">
        <v>0.0693717003</v>
      </c>
    </row>
    <row r="4682" customFormat="false" ht="15" hidden="false" customHeight="false" outlineLevel="0" collapsed="false">
      <c r="A4682" s="3" t="n">
        <v>4681</v>
      </c>
      <c r="B4682" s="3" t="n">
        <v>4680</v>
      </c>
      <c r="C4682" s="3" t="n">
        <v>5</v>
      </c>
      <c r="D4682" s="3" t="n">
        <v>27</v>
      </c>
      <c r="E4682" s="3" t="n">
        <v>4</v>
      </c>
      <c r="F4682" s="24" t="n">
        <v>0.0693717003</v>
      </c>
    </row>
    <row r="4683" customFormat="false" ht="15" hidden="false" customHeight="false" outlineLevel="0" collapsed="false">
      <c r="A4683" s="3" t="n">
        <v>4682</v>
      </c>
      <c r="B4683" s="3" t="n">
        <v>4681</v>
      </c>
      <c r="C4683" s="3" t="n">
        <v>5</v>
      </c>
      <c r="D4683" s="3" t="n">
        <v>27</v>
      </c>
      <c r="E4683" s="3" t="n">
        <v>5</v>
      </c>
      <c r="F4683" s="24" t="n">
        <v>0.0693717003</v>
      </c>
    </row>
    <row r="4684" customFormat="false" ht="15" hidden="false" customHeight="false" outlineLevel="0" collapsed="false">
      <c r="A4684" s="3" t="n">
        <v>4683</v>
      </c>
      <c r="B4684" s="3" t="n">
        <v>4682</v>
      </c>
      <c r="C4684" s="3" t="n">
        <v>5</v>
      </c>
      <c r="D4684" s="3" t="n">
        <v>27</v>
      </c>
      <c r="E4684" s="3" t="n">
        <v>6</v>
      </c>
      <c r="F4684" s="24" t="n">
        <v>0.0693717003</v>
      </c>
    </row>
    <row r="4685" customFormat="false" ht="15" hidden="false" customHeight="false" outlineLevel="0" collapsed="false">
      <c r="A4685" s="3" t="n">
        <v>4684</v>
      </c>
      <c r="B4685" s="3" t="n">
        <v>4683</v>
      </c>
      <c r="C4685" s="3" t="n">
        <v>5</v>
      </c>
      <c r="D4685" s="3" t="n">
        <v>27</v>
      </c>
      <c r="E4685" s="3" t="n">
        <v>7</v>
      </c>
      <c r="F4685" s="24" t="n">
        <v>0.0693717003</v>
      </c>
    </row>
    <row r="4686" customFormat="false" ht="15" hidden="false" customHeight="false" outlineLevel="0" collapsed="false">
      <c r="A4686" s="3" t="n">
        <v>4685</v>
      </c>
      <c r="B4686" s="3" t="n">
        <v>4684</v>
      </c>
      <c r="C4686" s="3" t="n">
        <v>5</v>
      </c>
      <c r="D4686" s="3" t="n">
        <v>27</v>
      </c>
      <c r="E4686" s="3" t="n">
        <v>8</v>
      </c>
      <c r="F4686" s="24" t="n">
        <v>0.0693717003</v>
      </c>
    </row>
    <row r="4687" customFormat="false" ht="15" hidden="false" customHeight="false" outlineLevel="0" collapsed="false">
      <c r="A4687" s="3" t="n">
        <v>4686</v>
      </c>
      <c r="B4687" s="3" t="n">
        <v>4685</v>
      </c>
      <c r="C4687" s="3" t="n">
        <v>5</v>
      </c>
      <c r="D4687" s="3" t="n">
        <v>27</v>
      </c>
      <c r="E4687" s="3" t="n">
        <v>9</v>
      </c>
      <c r="F4687" s="24" t="n">
        <v>0.601211548</v>
      </c>
    </row>
    <row r="4688" customFormat="false" ht="15" hidden="false" customHeight="false" outlineLevel="0" collapsed="false">
      <c r="A4688" s="3" t="n">
        <v>4687</v>
      </c>
      <c r="B4688" s="3" t="n">
        <v>4686</v>
      </c>
      <c r="C4688" s="3" t="n">
        <v>5</v>
      </c>
      <c r="D4688" s="3" t="n">
        <v>27</v>
      </c>
      <c r="E4688" s="3" t="n">
        <v>10</v>
      </c>
      <c r="F4688" s="24" t="n">
        <v>2.1496222</v>
      </c>
    </row>
    <row r="4689" customFormat="false" ht="15" hidden="false" customHeight="false" outlineLevel="0" collapsed="false">
      <c r="A4689" s="3" t="n">
        <v>4688</v>
      </c>
      <c r="B4689" s="3" t="n">
        <v>4687</v>
      </c>
      <c r="C4689" s="3" t="n">
        <v>5</v>
      </c>
      <c r="D4689" s="3" t="n">
        <v>27</v>
      </c>
      <c r="E4689" s="3" t="n">
        <v>11</v>
      </c>
      <c r="F4689" s="24" t="n">
        <v>3.4575336</v>
      </c>
    </row>
    <row r="4690" customFormat="false" ht="15" hidden="false" customHeight="false" outlineLevel="0" collapsed="false">
      <c r="A4690" s="3" t="n">
        <v>4689</v>
      </c>
      <c r="B4690" s="3" t="n">
        <v>4688</v>
      </c>
      <c r="C4690" s="3" t="n">
        <v>5</v>
      </c>
      <c r="D4690" s="3" t="n">
        <v>27</v>
      </c>
      <c r="E4690" s="3" t="n">
        <v>12</v>
      </c>
      <c r="F4690" s="24" t="n">
        <v>2.75264335</v>
      </c>
    </row>
    <row r="4691" customFormat="false" ht="15" hidden="false" customHeight="false" outlineLevel="0" collapsed="false">
      <c r="A4691" s="3" t="n">
        <v>4690</v>
      </c>
      <c r="B4691" s="3" t="n">
        <v>4689</v>
      </c>
      <c r="C4691" s="3" t="n">
        <v>5</v>
      </c>
      <c r="D4691" s="3" t="n">
        <v>27</v>
      </c>
      <c r="E4691" s="3" t="n">
        <v>13</v>
      </c>
      <c r="F4691" s="24" t="n">
        <v>0.991278827</v>
      </c>
    </row>
    <row r="4692" customFormat="false" ht="15" hidden="false" customHeight="false" outlineLevel="0" collapsed="false">
      <c r="A4692" s="3" t="n">
        <v>4691</v>
      </c>
      <c r="B4692" s="3" t="n">
        <v>4690</v>
      </c>
      <c r="C4692" s="3" t="n">
        <v>5</v>
      </c>
      <c r="D4692" s="3" t="n">
        <v>27</v>
      </c>
      <c r="E4692" s="3" t="n">
        <v>14</v>
      </c>
      <c r="F4692" s="24" t="n">
        <v>0.137069732</v>
      </c>
    </row>
    <row r="4693" customFormat="false" ht="15" hidden="false" customHeight="false" outlineLevel="0" collapsed="false">
      <c r="A4693" s="3" t="n">
        <v>4692</v>
      </c>
      <c r="B4693" s="3" t="n">
        <v>4691</v>
      </c>
      <c r="C4693" s="3" t="n">
        <v>5</v>
      </c>
      <c r="D4693" s="3" t="n">
        <v>27</v>
      </c>
      <c r="E4693" s="3" t="n">
        <v>15</v>
      </c>
      <c r="F4693" s="24" t="n">
        <v>0.0693717003</v>
      </c>
    </row>
    <row r="4694" customFormat="false" ht="15" hidden="false" customHeight="false" outlineLevel="0" collapsed="false">
      <c r="A4694" s="3" t="n">
        <v>4693</v>
      </c>
      <c r="B4694" s="3" t="n">
        <v>4692</v>
      </c>
      <c r="C4694" s="3" t="n">
        <v>5</v>
      </c>
      <c r="D4694" s="3" t="n">
        <v>27</v>
      </c>
      <c r="E4694" s="3" t="n">
        <v>16</v>
      </c>
      <c r="F4694" s="24" t="n">
        <v>0.0693717003</v>
      </c>
    </row>
    <row r="4695" customFormat="false" ht="15" hidden="false" customHeight="false" outlineLevel="0" collapsed="false">
      <c r="A4695" s="3" t="n">
        <v>4694</v>
      </c>
      <c r="B4695" s="3" t="n">
        <v>4693</v>
      </c>
      <c r="C4695" s="3" t="n">
        <v>5</v>
      </c>
      <c r="D4695" s="3" t="n">
        <v>27</v>
      </c>
      <c r="E4695" s="3" t="n">
        <v>17</v>
      </c>
      <c r="F4695" s="24" t="n">
        <v>0.0693717003</v>
      </c>
    </row>
    <row r="4696" customFormat="false" ht="15" hidden="false" customHeight="false" outlineLevel="0" collapsed="false">
      <c r="A4696" s="3" t="n">
        <v>4695</v>
      </c>
      <c r="B4696" s="3" t="n">
        <v>4694</v>
      </c>
      <c r="C4696" s="3" t="n">
        <v>5</v>
      </c>
      <c r="D4696" s="3" t="n">
        <v>27</v>
      </c>
      <c r="E4696" s="3" t="n">
        <v>18</v>
      </c>
      <c r="F4696" s="24" t="n">
        <v>0.0693717003</v>
      </c>
    </row>
    <row r="4697" customFormat="false" ht="15" hidden="false" customHeight="false" outlineLevel="0" collapsed="false">
      <c r="A4697" s="3" t="n">
        <v>4696</v>
      </c>
      <c r="B4697" s="3" t="n">
        <v>4695</v>
      </c>
      <c r="C4697" s="3" t="n">
        <v>5</v>
      </c>
      <c r="D4697" s="3" t="n">
        <v>27</v>
      </c>
      <c r="E4697" s="3" t="n">
        <v>19</v>
      </c>
      <c r="F4697" s="24" t="n">
        <v>0.0693717003</v>
      </c>
    </row>
    <row r="4698" customFormat="false" ht="15" hidden="false" customHeight="false" outlineLevel="0" collapsed="false">
      <c r="A4698" s="3" t="n">
        <v>4697</v>
      </c>
      <c r="B4698" s="3" t="n">
        <v>4696</v>
      </c>
      <c r="C4698" s="3" t="n">
        <v>5</v>
      </c>
      <c r="D4698" s="3" t="n">
        <v>27</v>
      </c>
      <c r="E4698" s="3" t="n">
        <v>20</v>
      </c>
      <c r="F4698" s="24" t="n">
        <v>0.0693717003</v>
      </c>
    </row>
    <row r="4699" customFormat="false" ht="15" hidden="false" customHeight="false" outlineLevel="0" collapsed="false">
      <c r="A4699" s="3" t="n">
        <v>4698</v>
      </c>
      <c r="B4699" s="3" t="n">
        <v>4697</v>
      </c>
      <c r="C4699" s="3" t="n">
        <v>5</v>
      </c>
      <c r="D4699" s="3" t="n">
        <v>27</v>
      </c>
      <c r="E4699" s="3" t="n">
        <v>21</v>
      </c>
      <c r="F4699" s="24" t="n">
        <v>0.0693717003</v>
      </c>
    </row>
    <row r="4700" customFormat="false" ht="15" hidden="false" customHeight="false" outlineLevel="0" collapsed="false">
      <c r="A4700" s="3" t="n">
        <v>4699</v>
      </c>
      <c r="B4700" s="3" t="n">
        <v>4698</v>
      </c>
      <c r="C4700" s="3" t="n">
        <v>5</v>
      </c>
      <c r="D4700" s="3" t="n">
        <v>27</v>
      </c>
      <c r="E4700" s="3" t="n">
        <v>22</v>
      </c>
      <c r="F4700" s="24" t="n">
        <v>0.0693717003</v>
      </c>
    </row>
    <row r="4701" customFormat="false" ht="15" hidden="false" customHeight="false" outlineLevel="0" collapsed="false">
      <c r="A4701" s="3" t="n">
        <v>4700</v>
      </c>
      <c r="B4701" s="3" t="n">
        <v>4699</v>
      </c>
      <c r="C4701" s="3" t="n">
        <v>5</v>
      </c>
      <c r="D4701" s="3" t="n">
        <v>27</v>
      </c>
      <c r="E4701" s="3" t="n">
        <v>23</v>
      </c>
      <c r="F4701" s="24" t="n">
        <v>0.0693717003</v>
      </c>
    </row>
    <row r="4702" customFormat="false" ht="15" hidden="false" customHeight="false" outlineLevel="0" collapsed="false">
      <c r="A4702" s="3" t="n">
        <v>4701</v>
      </c>
      <c r="B4702" s="3" t="n">
        <v>4700</v>
      </c>
      <c r="C4702" s="3" t="n">
        <v>5</v>
      </c>
      <c r="D4702" s="3" t="n">
        <v>27</v>
      </c>
      <c r="E4702" s="3" t="n">
        <v>24</v>
      </c>
      <c r="F4702" s="24" t="n">
        <v>0.0693717003</v>
      </c>
    </row>
    <row r="4703" customFormat="false" ht="15" hidden="false" customHeight="false" outlineLevel="0" collapsed="false">
      <c r="A4703" s="3" t="n">
        <v>4702</v>
      </c>
      <c r="B4703" s="3" t="n">
        <v>4701</v>
      </c>
      <c r="C4703" s="3" t="n">
        <v>5</v>
      </c>
      <c r="D4703" s="3" t="n">
        <v>27</v>
      </c>
      <c r="E4703" s="3" t="n">
        <v>25</v>
      </c>
      <c r="F4703" s="24" t="n">
        <v>0.0693717003</v>
      </c>
    </row>
    <row r="4704" customFormat="false" ht="15" hidden="false" customHeight="false" outlineLevel="0" collapsed="false">
      <c r="A4704" s="3" t="n">
        <v>4703</v>
      </c>
      <c r="B4704" s="3" t="n">
        <v>4702</v>
      </c>
      <c r="C4704" s="3" t="n">
        <v>5</v>
      </c>
      <c r="D4704" s="3" t="n">
        <v>27</v>
      </c>
      <c r="E4704" s="3" t="n">
        <v>26</v>
      </c>
      <c r="F4704" s="24" t="n">
        <v>0.0693717003</v>
      </c>
    </row>
    <row r="4705" customFormat="false" ht="15" hidden="false" customHeight="false" outlineLevel="0" collapsed="false">
      <c r="A4705" s="3" t="n">
        <v>4704</v>
      </c>
      <c r="B4705" s="3" t="n">
        <v>4703</v>
      </c>
      <c r="C4705" s="3" t="n">
        <v>5</v>
      </c>
      <c r="D4705" s="3" t="n">
        <v>27</v>
      </c>
      <c r="E4705" s="3" t="n">
        <v>27</v>
      </c>
      <c r="F4705" s="24" t="n">
        <v>0</v>
      </c>
    </row>
    <row r="4706" customFormat="false" ht="15" hidden="false" customHeight="false" outlineLevel="0" collapsed="false">
      <c r="A4706" s="3" t="n">
        <v>4705</v>
      </c>
      <c r="B4706" s="3" t="n">
        <v>4704</v>
      </c>
      <c r="C4706" s="3" t="n">
        <v>6</v>
      </c>
      <c r="D4706" s="3" t="n">
        <v>0</v>
      </c>
      <c r="E4706" s="3" t="n">
        <v>0</v>
      </c>
      <c r="F4706" s="24" t="n">
        <v>0.413793147</v>
      </c>
    </row>
    <row r="4707" customFormat="false" ht="15" hidden="false" customHeight="false" outlineLevel="0" collapsed="false">
      <c r="A4707" s="3" t="n">
        <v>4706</v>
      </c>
      <c r="B4707" s="3" t="n">
        <v>4705</v>
      </c>
      <c r="C4707" s="3" t="n">
        <v>6</v>
      </c>
      <c r="D4707" s="3" t="n">
        <v>0</v>
      </c>
      <c r="E4707" s="3" t="n">
        <v>1</v>
      </c>
      <c r="F4707" s="24" t="n">
        <v>0.251652449</v>
      </c>
    </row>
    <row r="4708" customFormat="false" ht="15" hidden="false" customHeight="false" outlineLevel="0" collapsed="false">
      <c r="A4708" s="3" t="n">
        <v>4707</v>
      </c>
      <c r="B4708" s="3" t="n">
        <v>4706</v>
      </c>
      <c r="C4708" s="3" t="n">
        <v>6</v>
      </c>
      <c r="D4708" s="3" t="n">
        <v>0</v>
      </c>
      <c r="E4708" s="3" t="n">
        <v>2</v>
      </c>
      <c r="F4708" s="24" t="n">
        <v>0.251652449</v>
      </c>
    </row>
    <row r="4709" customFormat="false" ht="15" hidden="false" customHeight="false" outlineLevel="0" collapsed="false">
      <c r="A4709" s="3" t="n">
        <v>4708</v>
      </c>
      <c r="B4709" s="3" t="n">
        <v>4707</v>
      </c>
      <c r="C4709" s="3" t="n">
        <v>6</v>
      </c>
      <c r="D4709" s="3" t="n">
        <v>0</v>
      </c>
      <c r="E4709" s="3" t="n">
        <v>3</v>
      </c>
      <c r="F4709" s="24" t="n">
        <v>0.251652449</v>
      </c>
    </row>
    <row r="4710" customFormat="false" ht="15" hidden="false" customHeight="false" outlineLevel="0" collapsed="false">
      <c r="A4710" s="3" t="n">
        <v>4709</v>
      </c>
      <c r="B4710" s="3" t="n">
        <v>4708</v>
      </c>
      <c r="C4710" s="3" t="n">
        <v>6</v>
      </c>
      <c r="D4710" s="3" t="n">
        <v>0</v>
      </c>
      <c r="E4710" s="3" t="n">
        <v>4</v>
      </c>
      <c r="F4710" s="24" t="n">
        <v>0.251652449</v>
      </c>
    </row>
    <row r="4711" customFormat="false" ht="15" hidden="false" customHeight="false" outlineLevel="0" collapsed="false">
      <c r="A4711" s="3" t="n">
        <v>4710</v>
      </c>
      <c r="B4711" s="3" t="n">
        <v>4709</v>
      </c>
      <c r="C4711" s="3" t="n">
        <v>6</v>
      </c>
      <c r="D4711" s="3" t="n">
        <v>0</v>
      </c>
      <c r="E4711" s="3" t="n">
        <v>5</v>
      </c>
      <c r="F4711" s="24" t="n">
        <v>0.251652449</v>
      </c>
    </row>
    <row r="4712" customFormat="false" ht="15" hidden="false" customHeight="false" outlineLevel="0" collapsed="false">
      <c r="A4712" s="3" t="n">
        <v>4711</v>
      </c>
      <c r="B4712" s="3" t="n">
        <v>4710</v>
      </c>
      <c r="C4712" s="3" t="n">
        <v>6</v>
      </c>
      <c r="D4712" s="3" t="n">
        <v>0</v>
      </c>
      <c r="E4712" s="3" t="n">
        <v>6</v>
      </c>
      <c r="F4712" s="24" t="n">
        <v>0.251652449</v>
      </c>
    </row>
    <row r="4713" customFormat="false" ht="15" hidden="false" customHeight="false" outlineLevel="0" collapsed="false">
      <c r="A4713" s="3" t="n">
        <v>4712</v>
      </c>
      <c r="B4713" s="3" t="n">
        <v>4711</v>
      </c>
      <c r="C4713" s="3" t="n">
        <v>6</v>
      </c>
      <c r="D4713" s="3" t="n">
        <v>0</v>
      </c>
      <c r="E4713" s="3" t="n">
        <v>7</v>
      </c>
      <c r="F4713" s="24" t="n">
        <v>0.251652449</v>
      </c>
    </row>
    <row r="4714" customFormat="false" ht="15" hidden="false" customHeight="false" outlineLevel="0" collapsed="false">
      <c r="A4714" s="3" t="n">
        <v>4713</v>
      </c>
      <c r="B4714" s="3" t="n">
        <v>4712</v>
      </c>
      <c r="C4714" s="3" t="n">
        <v>6</v>
      </c>
      <c r="D4714" s="3" t="n">
        <v>0</v>
      </c>
      <c r="E4714" s="3" t="n">
        <v>8</v>
      </c>
      <c r="F4714" s="24" t="n">
        <v>0.251652449</v>
      </c>
    </row>
    <row r="4715" customFormat="false" ht="15" hidden="false" customHeight="false" outlineLevel="0" collapsed="false">
      <c r="A4715" s="3" t="n">
        <v>4714</v>
      </c>
      <c r="B4715" s="3" t="n">
        <v>4713</v>
      </c>
      <c r="C4715" s="3" t="n">
        <v>6</v>
      </c>
      <c r="D4715" s="3" t="n">
        <v>0</v>
      </c>
      <c r="E4715" s="3" t="n">
        <v>9</v>
      </c>
      <c r="F4715" s="24" t="n">
        <v>0.251652449</v>
      </c>
    </row>
    <row r="4716" customFormat="false" ht="15" hidden="false" customHeight="false" outlineLevel="0" collapsed="false">
      <c r="A4716" s="3" t="n">
        <v>4715</v>
      </c>
      <c r="B4716" s="3" t="n">
        <v>4714</v>
      </c>
      <c r="C4716" s="3" t="n">
        <v>6</v>
      </c>
      <c r="D4716" s="3" t="n">
        <v>0</v>
      </c>
      <c r="E4716" s="3" t="n">
        <v>10</v>
      </c>
      <c r="F4716" s="24" t="n">
        <v>0.251652449</v>
      </c>
    </row>
    <row r="4717" customFormat="false" ht="15" hidden="false" customHeight="false" outlineLevel="0" collapsed="false">
      <c r="A4717" s="3" t="n">
        <v>4716</v>
      </c>
      <c r="B4717" s="3" t="n">
        <v>4715</v>
      </c>
      <c r="C4717" s="3" t="n">
        <v>6</v>
      </c>
      <c r="D4717" s="3" t="n">
        <v>0</v>
      </c>
      <c r="E4717" s="3" t="n">
        <v>11</v>
      </c>
      <c r="F4717" s="24" t="n">
        <v>0.251652449</v>
      </c>
    </row>
    <row r="4718" customFormat="false" ht="15" hidden="false" customHeight="false" outlineLevel="0" collapsed="false">
      <c r="A4718" s="3" t="n">
        <v>4717</v>
      </c>
      <c r="B4718" s="3" t="n">
        <v>4716</v>
      </c>
      <c r="C4718" s="3" t="n">
        <v>6</v>
      </c>
      <c r="D4718" s="3" t="n">
        <v>0</v>
      </c>
      <c r="E4718" s="3" t="n">
        <v>12</v>
      </c>
      <c r="F4718" s="24" t="n">
        <v>0.251652449</v>
      </c>
    </row>
    <row r="4719" customFormat="false" ht="15" hidden="false" customHeight="false" outlineLevel="0" collapsed="false">
      <c r="A4719" s="3" t="n">
        <v>4718</v>
      </c>
      <c r="B4719" s="3" t="n">
        <v>4717</v>
      </c>
      <c r="C4719" s="3" t="n">
        <v>6</v>
      </c>
      <c r="D4719" s="3" t="n">
        <v>0</v>
      </c>
      <c r="E4719" s="3" t="n">
        <v>13</v>
      </c>
      <c r="F4719" s="24" t="n">
        <v>0.251652449</v>
      </c>
    </row>
    <row r="4720" customFormat="false" ht="15" hidden="false" customHeight="false" outlineLevel="0" collapsed="false">
      <c r="A4720" s="3" t="n">
        <v>4719</v>
      </c>
      <c r="B4720" s="3" t="n">
        <v>4718</v>
      </c>
      <c r="C4720" s="3" t="n">
        <v>6</v>
      </c>
      <c r="D4720" s="3" t="n">
        <v>0</v>
      </c>
      <c r="E4720" s="3" t="n">
        <v>14</v>
      </c>
      <c r="F4720" s="24" t="n">
        <v>0.251652449</v>
      </c>
    </row>
    <row r="4721" customFormat="false" ht="15" hidden="false" customHeight="false" outlineLevel="0" collapsed="false">
      <c r="A4721" s="3" t="n">
        <v>4720</v>
      </c>
      <c r="B4721" s="3" t="n">
        <v>4719</v>
      </c>
      <c r="C4721" s="3" t="n">
        <v>6</v>
      </c>
      <c r="D4721" s="3" t="n">
        <v>0</v>
      </c>
      <c r="E4721" s="3" t="n">
        <v>15</v>
      </c>
      <c r="F4721" s="24" t="n">
        <v>0.251652449</v>
      </c>
    </row>
    <row r="4722" customFormat="false" ht="15" hidden="false" customHeight="false" outlineLevel="0" collapsed="false">
      <c r="A4722" s="3" t="n">
        <v>4721</v>
      </c>
      <c r="B4722" s="3" t="n">
        <v>4720</v>
      </c>
      <c r="C4722" s="3" t="n">
        <v>6</v>
      </c>
      <c r="D4722" s="3" t="n">
        <v>0</v>
      </c>
      <c r="E4722" s="3" t="n">
        <v>16</v>
      </c>
      <c r="F4722" s="24" t="n">
        <v>0.251652449</v>
      </c>
    </row>
    <row r="4723" customFormat="false" ht="15" hidden="false" customHeight="false" outlineLevel="0" collapsed="false">
      <c r="A4723" s="3" t="n">
        <v>4722</v>
      </c>
      <c r="B4723" s="3" t="n">
        <v>4721</v>
      </c>
      <c r="C4723" s="3" t="n">
        <v>6</v>
      </c>
      <c r="D4723" s="3" t="n">
        <v>0</v>
      </c>
      <c r="E4723" s="3" t="n">
        <v>17</v>
      </c>
      <c r="F4723" s="24" t="n">
        <v>0.251652449</v>
      </c>
    </row>
    <row r="4724" customFormat="false" ht="15" hidden="false" customHeight="false" outlineLevel="0" collapsed="false">
      <c r="A4724" s="3" t="n">
        <v>4723</v>
      </c>
      <c r="B4724" s="3" t="n">
        <v>4722</v>
      </c>
      <c r="C4724" s="3" t="n">
        <v>6</v>
      </c>
      <c r="D4724" s="3" t="n">
        <v>0</v>
      </c>
      <c r="E4724" s="3" t="n">
        <v>18</v>
      </c>
      <c r="F4724" s="24" t="n">
        <v>0.251652449</v>
      </c>
    </row>
    <row r="4725" customFormat="false" ht="15" hidden="false" customHeight="false" outlineLevel="0" collapsed="false">
      <c r="A4725" s="3" t="n">
        <v>4724</v>
      </c>
      <c r="B4725" s="3" t="n">
        <v>4723</v>
      </c>
      <c r="C4725" s="3" t="n">
        <v>6</v>
      </c>
      <c r="D4725" s="3" t="n">
        <v>0</v>
      </c>
      <c r="E4725" s="3" t="n">
        <v>19</v>
      </c>
      <c r="F4725" s="24" t="n">
        <v>0.251652449</v>
      </c>
    </row>
    <row r="4726" customFormat="false" ht="15" hidden="false" customHeight="false" outlineLevel="0" collapsed="false">
      <c r="A4726" s="3" t="n">
        <v>4725</v>
      </c>
      <c r="B4726" s="3" t="n">
        <v>4724</v>
      </c>
      <c r="C4726" s="3" t="n">
        <v>6</v>
      </c>
      <c r="D4726" s="3" t="n">
        <v>0</v>
      </c>
      <c r="E4726" s="3" t="n">
        <v>20</v>
      </c>
      <c r="F4726" s="24" t="n">
        <v>0.251652449</v>
      </c>
    </row>
    <row r="4727" customFormat="false" ht="15" hidden="false" customHeight="false" outlineLevel="0" collapsed="false">
      <c r="A4727" s="3" t="n">
        <v>4726</v>
      </c>
      <c r="B4727" s="3" t="n">
        <v>4725</v>
      </c>
      <c r="C4727" s="3" t="n">
        <v>6</v>
      </c>
      <c r="D4727" s="3" t="n">
        <v>0</v>
      </c>
      <c r="E4727" s="3" t="n">
        <v>21</v>
      </c>
      <c r="F4727" s="24" t="n">
        <v>0.251652449</v>
      </c>
    </row>
    <row r="4728" customFormat="false" ht="15" hidden="false" customHeight="false" outlineLevel="0" collapsed="false">
      <c r="A4728" s="3" t="n">
        <v>4727</v>
      </c>
      <c r="B4728" s="3" t="n">
        <v>4726</v>
      </c>
      <c r="C4728" s="3" t="n">
        <v>6</v>
      </c>
      <c r="D4728" s="3" t="n">
        <v>0</v>
      </c>
      <c r="E4728" s="3" t="n">
        <v>22</v>
      </c>
      <c r="F4728" s="24" t="n">
        <v>0.251652449</v>
      </c>
    </row>
    <row r="4729" customFormat="false" ht="15" hidden="false" customHeight="false" outlineLevel="0" collapsed="false">
      <c r="A4729" s="3" t="n">
        <v>4728</v>
      </c>
      <c r="B4729" s="3" t="n">
        <v>4727</v>
      </c>
      <c r="C4729" s="3" t="n">
        <v>6</v>
      </c>
      <c r="D4729" s="3" t="n">
        <v>0</v>
      </c>
      <c r="E4729" s="3" t="n">
        <v>23</v>
      </c>
      <c r="F4729" s="24" t="n">
        <v>0.251652449</v>
      </c>
    </row>
    <row r="4730" customFormat="false" ht="15" hidden="false" customHeight="false" outlineLevel="0" collapsed="false">
      <c r="A4730" s="3" t="n">
        <v>4729</v>
      </c>
      <c r="B4730" s="3" t="n">
        <v>4728</v>
      </c>
      <c r="C4730" s="3" t="n">
        <v>6</v>
      </c>
      <c r="D4730" s="3" t="n">
        <v>0</v>
      </c>
      <c r="E4730" s="3" t="n">
        <v>24</v>
      </c>
      <c r="F4730" s="24" t="n">
        <v>0.251652449</v>
      </c>
    </row>
    <row r="4731" customFormat="false" ht="15" hidden="false" customHeight="false" outlineLevel="0" collapsed="false">
      <c r="A4731" s="3" t="n">
        <v>4730</v>
      </c>
      <c r="B4731" s="3" t="n">
        <v>4729</v>
      </c>
      <c r="C4731" s="3" t="n">
        <v>6</v>
      </c>
      <c r="D4731" s="3" t="n">
        <v>0</v>
      </c>
      <c r="E4731" s="3" t="n">
        <v>25</v>
      </c>
      <c r="F4731" s="24" t="n">
        <v>0.251652449</v>
      </c>
    </row>
    <row r="4732" customFormat="false" ht="15" hidden="false" customHeight="false" outlineLevel="0" collapsed="false">
      <c r="A4732" s="3" t="n">
        <v>4731</v>
      </c>
      <c r="B4732" s="3" t="n">
        <v>4730</v>
      </c>
      <c r="C4732" s="3" t="n">
        <v>6</v>
      </c>
      <c r="D4732" s="3" t="n">
        <v>0</v>
      </c>
      <c r="E4732" s="3" t="n">
        <v>26</v>
      </c>
      <c r="F4732" s="24" t="n">
        <v>0.251652449</v>
      </c>
    </row>
    <row r="4733" customFormat="false" ht="15" hidden="false" customHeight="false" outlineLevel="0" collapsed="false">
      <c r="A4733" s="3" t="n">
        <v>4732</v>
      </c>
      <c r="B4733" s="3" t="n">
        <v>4731</v>
      </c>
      <c r="C4733" s="3" t="n">
        <v>6</v>
      </c>
      <c r="D4733" s="3" t="n">
        <v>0</v>
      </c>
      <c r="E4733" s="3" t="n">
        <v>27</v>
      </c>
      <c r="F4733" s="24" t="n">
        <v>0.058729127</v>
      </c>
    </row>
    <row r="4734" customFormat="false" ht="15" hidden="false" customHeight="false" outlineLevel="0" collapsed="false">
      <c r="A4734" s="3" t="n">
        <v>4733</v>
      </c>
      <c r="B4734" s="3" t="n">
        <v>4732</v>
      </c>
      <c r="C4734" s="3" t="n">
        <v>6</v>
      </c>
      <c r="D4734" s="3" t="n">
        <v>1</v>
      </c>
      <c r="E4734" s="3" t="n">
        <v>0</v>
      </c>
      <c r="F4734" s="24" t="n">
        <v>0.185572863</v>
      </c>
    </row>
    <row r="4735" customFormat="false" ht="15" hidden="false" customHeight="false" outlineLevel="0" collapsed="false">
      <c r="A4735" s="3" t="n">
        <v>4734</v>
      </c>
      <c r="B4735" s="3" t="n">
        <v>4733</v>
      </c>
      <c r="C4735" s="3" t="n">
        <v>6</v>
      </c>
      <c r="D4735" s="3" t="n">
        <v>1</v>
      </c>
      <c r="E4735" s="3" t="n">
        <v>1</v>
      </c>
      <c r="F4735" s="24" t="n">
        <v>0</v>
      </c>
    </row>
    <row r="4736" customFormat="false" ht="15" hidden="false" customHeight="false" outlineLevel="0" collapsed="false">
      <c r="A4736" s="3" t="n">
        <v>4735</v>
      </c>
      <c r="B4736" s="3" t="n">
        <v>4734</v>
      </c>
      <c r="C4736" s="3" t="n">
        <v>6</v>
      </c>
      <c r="D4736" s="3" t="n">
        <v>1</v>
      </c>
      <c r="E4736" s="3" t="n">
        <v>2</v>
      </c>
      <c r="F4736" s="24" t="n">
        <v>0</v>
      </c>
    </row>
    <row r="4737" customFormat="false" ht="15" hidden="false" customHeight="false" outlineLevel="0" collapsed="false">
      <c r="A4737" s="3" t="n">
        <v>4736</v>
      </c>
      <c r="B4737" s="3" t="n">
        <v>4735</v>
      </c>
      <c r="C4737" s="3" t="n">
        <v>6</v>
      </c>
      <c r="D4737" s="3" t="n">
        <v>1</v>
      </c>
      <c r="E4737" s="3" t="n">
        <v>3</v>
      </c>
      <c r="F4737" s="24" t="n">
        <v>0</v>
      </c>
    </row>
    <row r="4738" customFormat="false" ht="15" hidden="false" customHeight="false" outlineLevel="0" collapsed="false">
      <c r="A4738" s="3" t="n">
        <v>4737</v>
      </c>
      <c r="B4738" s="3" t="n">
        <v>4736</v>
      </c>
      <c r="C4738" s="3" t="n">
        <v>6</v>
      </c>
      <c r="D4738" s="3" t="n">
        <v>1</v>
      </c>
      <c r="E4738" s="3" t="n">
        <v>4</v>
      </c>
      <c r="F4738" s="24" t="n">
        <v>0</v>
      </c>
    </row>
    <row r="4739" customFormat="false" ht="15" hidden="false" customHeight="false" outlineLevel="0" collapsed="false">
      <c r="A4739" s="3" t="n">
        <v>4738</v>
      </c>
      <c r="B4739" s="3" t="n">
        <v>4737</v>
      </c>
      <c r="C4739" s="3" t="n">
        <v>6</v>
      </c>
      <c r="D4739" s="3" t="n">
        <v>1</v>
      </c>
      <c r="E4739" s="3" t="n">
        <v>5</v>
      </c>
      <c r="F4739" s="24" t="n">
        <v>0</v>
      </c>
    </row>
    <row r="4740" customFormat="false" ht="15" hidden="false" customHeight="false" outlineLevel="0" collapsed="false">
      <c r="A4740" s="3" t="n">
        <v>4739</v>
      </c>
      <c r="B4740" s="3" t="n">
        <v>4738</v>
      </c>
      <c r="C4740" s="3" t="n">
        <v>6</v>
      </c>
      <c r="D4740" s="3" t="n">
        <v>1</v>
      </c>
      <c r="E4740" s="3" t="n">
        <v>6</v>
      </c>
      <c r="F4740" s="24" t="n">
        <v>0</v>
      </c>
    </row>
    <row r="4741" customFormat="false" ht="15" hidden="false" customHeight="false" outlineLevel="0" collapsed="false">
      <c r="A4741" s="3" t="n">
        <v>4740</v>
      </c>
      <c r="B4741" s="3" t="n">
        <v>4739</v>
      </c>
      <c r="C4741" s="3" t="n">
        <v>6</v>
      </c>
      <c r="D4741" s="3" t="n">
        <v>1</v>
      </c>
      <c r="E4741" s="3" t="n">
        <v>7</v>
      </c>
      <c r="F4741" s="24" t="n">
        <v>0</v>
      </c>
    </row>
    <row r="4742" customFormat="false" ht="15" hidden="false" customHeight="false" outlineLevel="0" collapsed="false">
      <c r="A4742" s="3" t="n">
        <v>4741</v>
      </c>
      <c r="B4742" s="3" t="n">
        <v>4740</v>
      </c>
      <c r="C4742" s="3" t="n">
        <v>6</v>
      </c>
      <c r="D4742" s="3" t="n">
        <v>1</v>
      </c>
      <c r="E4742" s="3" t="n">
        <v>8</v>
      </c>
      <c r="F4742" s="24" t="n">
        <v>0</v>
      </c>
    </row>
    <row r="4743" customFormat="false" ht="15" hidden="false" customHeight="false" outlineLevel="0" collapsed="false">
      <c r="A4743" s="3" t="n">
        <v>4742</v>
      </c>
      <c r="B4743" s="3" t="n">
        <v>4741</v>
      </c>
      <c r="C4743" s="3" t="n">
        <v>6</v>
      </c>
      <c r="D4743" s="3" t="n">
        <v>1</v>
      </c>
      <c r="E4743" s="3" t="n">
        <v>9</v>
      </c>
      <c r="F4743" s="24" t="n">
        <v>0</v>
      </c>
    </row>
    <row r="4744" customFormat="false" ht="15" hidden="false" customHeight="false" outlineLevel="0" collapsed="false">
      <c r="A4744" s="3" t="n">
        <v>4743</v>
      </c>
      <c r="B4744" s="3" t="n">
        <v>4742</v>
      </c>
      <c r="C4744" s="3" t="n">
        <v>6</v>
      </c>
      <c r="D4744" s="3" t="n">
        <v>1</v>
      </c>
      <c r="E4744" s="3" t="n">
        <v>10</v>
      </c>
      <c r="F4744" s="24" t="n">
        <v>0</v>
      </c>
    </row>
    <row r="4745" customFormat="false" ht="15" hidden="false" customHeight="false" outlineLevel="0" collapsed="false">
      <c r="A4745" s="3" t="n">
        <v>4744</v>
      </c>
      <c r="B4745" s="3" t="n">
        <v>4743</v>
      </c>
      <c r="C4745" s="3" t="n">
        <v>6</v>
      </c>
      <c r="D4745" s="3" t="n">
        <v>1</v>
      </c>
      <c r="E4745" s="3" t="n">
        <v>11</v>
      </c>
      <c r="F4745" s="24" t="n">
        <v>0</v>
      </c>
    </row>
    <row r="4746" customFormat="false" ht="15" hidden="false" customHeight="false" outlineLevel="0" collapsed="false">
      <c r="A4746" s="3" t="n">
        <v>4745</v>
      </c>
      <c r="B4746" s="3" t="n">
        <v>4744</v>
      </c>
      <c r="C4746" s="3" t="n">
        <v>6</v>
      </c>
      <c r="D4746" s="3" t="n">
        <v>1</v>
      </c>
      <c r="E4746" s="3" t="n">
        <v>12</v>
      </c>
      <c r="F4746" s="24" t="n">
        <v>0</v>
      </c>
    </row>
    <row r="4747" customFormat="false" ht="15" hidden="false" customHeight="false" outlineLevel="0" collapsed="false">
      <c r="A4747" s="3" t="n">
        <v>4746</v>
      </c>
      <c r="B4747" s="3" t="n">
        <v>4745</v>
      </c>
      <c r="C4747" s="3" t="n">
        <v>6</v>
      </c>
      <c r="D4747" s="3" t="n">
        <v>1</v>
      </c>
      <c r="E4747" s="3" t="n">
        <v>13</v>
      </c>
      <c r="F4747" s="24" t="n">
        <v>0</v>
      </c>
    </row>
    <row r="4748" customFormat="false" ht="15" hidden="false" customHeight="false" outlineLevel="0" collapsed="false">
      <c r="A4748" s="3" t="n">
        <v>4747</v>
      </c>
      <c r="B4748" s="3" t="n">
        <v>4746</v>
      </c>
      <c r="C4748" s="3" t="n">
        <v>6</v>
      </c>
      <c r="D4748" s="3" t="n">
        <v>1</v>
      </c>
      <c r="E4748" s="3" t="n">
        <v>14</v>
      </c>
      <c r="F4748" s="24" t="n">
        <v>0</v>
      </c>
    </row>
    <row r="4749" customFormat="false" ht="15" hidden="false" customHeight="false" outlineLevel="0" collapsed="false">
      <c r="A4749" s="3" t="n">
        <v>4748</v>
      </c>
      <c r="B4749" s="3" t="n">
        <v>4747</v>
      </c>
      <c r="C4749" s="3" t="n">
        <v>6</v>
      </c>
      <c r="D4749" s="3" t="n">
        <v>1</v>
      </c>
      <c r="E4749" s="3" t="n">
        <v>15</v>
      </c>
      <c r="F4749" s="24" t="n">
        <v>0</v>
      </c>
    </row>
    <row r="4750" customFormat="false" ht="15" hidden="false" customHeight="false" outlineLevel="0" collapsed="false">
      <c r="A4750" s="3" t="n">
        <v>4749</v>
      </c>
      <c r="B4750" s="3" t="n">
        <v>4748</v>
      </c>
      <c r="C4750" s="3" t="n">
        <v>6</v>
      </c>
      <c r="D4750" s="3" t="n">
        <v>1</v>
      </c>
      <c r="E4750" s="3" t="n">
        <v>16</v>
      </c>
      <c r="F4750" s="24" t="n">
        <v>0</v>
      </c>
    </row>
    <row r="4751" customFormat="false" ht="15" hidden="false" customHeight="false" outlineLevel="0" collapsed="false">
      <c r="A4751" s="3" t="n">
        <v>4750</v>
      </c>
      <c r="B4751" s="3" t="n">
        <v>4749</v>
      </c>
      <c r="C4751" s="3" t="n">
        <v>6</v>
      </c>
      <c r="D4751" s="3" t="n">
        <v>1</v>
      </c>
      <c r="E4751" s="3" t="n">
        <v>17</v>
      </c>
      <c r="F4751" s="24" t="n">
        <v>0</v>
      </c>
    </row>
    <row r="4752" customFormat="false" ht="15" hidden="false" customHeight="false" outlineLevel="0" collapsed="false">
      <c r="A4752" s="3" t="n">
        <v>4751</v>
      </c>
      <c r="B4752" s="3" t="n">
        <v>4750</v>
      </c>
      <c r="C4752" s="3" t="n">
        <v>6</v>
      </c>
      <c r="D4752" s="3" t="n">
        <v>1</v>
      </c>
      <c r="E4752" s="3" t="n">
        <v>18</v>
      </c>
      <c r="F4752" s="24" t="n">
        <v>0</v>
      </c>
    </row>
    <row r="4753" customFormat="false" ht="15" hidden="false" customHeight="false" outlineLevel="0" collapsed="false">
      <c r="A4753" s="3" t="n">
        <v>4752</v>
      </c>
      <c r="B4753" s="3" t="n">
        <v>4751</v>
      </c>
      <c r="C4753" s="3" t="n">
        <v>6</v>
      </c>
      <c r="D4753" s="3" t="n">
        <v>1</v>
      </c>
      <c r="E4753" s="3" t="n">
        <v>19</v>
      </c>
      <c r="F4753" s="24" t="n">
        <v>0</v>
      </c>
    </row>
    <row r="4754" customFormat="false" ht="15" hidden="false" customHeight="false" outlineLevel="0" collapsed="false">
      <c r="A4754" s="3" t="n">
        <v>4753</v>
      </c>
      <c r="B4754" s="3" t="n">
        <v>4752</v>
      </c>
      <c r="C4754" s="3" t="n">
        <v>6</v>
      </c>
      <c r="D4754" s="3" t="n">
        <v>1</v>
      </c>
      <c r="E4754" s="3" t="n">
        <v>20</v>
      </c>
      <c r="F4754" s="24" t="n">
        <v>0</v>
      </c>
    </row>
    <row r="4755" customFormat="false" ht="15" hidden="false" customHeight="false" outlineLevel="0" collapsed="false">
      <c r="A4755" s="3" t="n">
        <v>4754</v>
      </c>
      <c r="B4755" s="3" t="n">
        <v>4753</v>
      </c>
      <c r="C4755" s="3" t="n">
        <v>6</v>
      </c>
      <c r="D4755" s="3" t="n">
        <v>1</v>
      </c>
      <c r="E4755" s="3" t="n">
        <v>21</v>
      </c>
      <c r="F4755" s="24" t="n">
        <v>0</v>
      </c>
    </row>
    <row r="4756" customFormat="false" ht="15" hidden="false" customHeight="false" outlineLevel="0" collapsed="false">
      <c r="A4756" s="3" t="n">
        <v>4755</v>
      </c>
      <c r="B4756" s="3" t="n">
        <v>4754</v>
      </c>
      <c r="C4756" s="3" t="n">
        <v>6</v>
      </c>
      <c r="D4756" s="3" t="n">
        <v>1</v>
      </c>
      <c r="E4756" s="3" t="n">
        <v>22</v>
      </c>
      <c r="F4756" s="24" t="n">
        <v>0</v>
      </c>
    </row>
    <row r="4757" customFormat="false" ht="15" hidden="false" customHeight="false" outlineLevel="0" collapsed="false">
      <c r="A4757" s="3" t="n">
        <v>4756</v>
      </c>
      <c r="B4757" s="3" t="n">
        <v>4755</v>
      </c>
      <c r="C4757" s="3" t="n">
        <v>6</v>
      </c>
      <c r="D4757" s="3" t="n">
        <v>1</v>
      </c>
      <c r="E4757" s="3" t="n">
        <v>23</v>
      </c>
      <c r="F4757" s="24" t="n">
        <v>0</v>
      </c>
    </row>
    <row r="4758" customFormat="false" ht="15" hidden="false" customHeight="false" outlineLevel="0" collapsed="false">
      <c r="A4758" s="3" t="n">
        <v>4757</v>
      </c>
      <c r="B4758" s="3" t="n">
        <v>4756</v>
      </c>
      <c r="C4758" s="3" t="n">
        <v>6</v>
      </c>
      <c r="D4758" s="3" t="n">
        <v>1</v>
      </c>
      <c r="E4758" s="3" t="n">
        <v>24</v>
      </c>
      <c r="F4758" s="24" t="n">
        <v>0</v>
      </c>
    </row>
    <row r="4759" customFormat="false" ht="15" hidden="false" customHeight="false" outlineLevel="0" collapsed="false">
      <c r="A4759" s="3" t="n">
        <v>4758</v>
      </c>
      <c r="B4759" s="3" t="n">
        <v>4757</v>
      </c>
      <c r="C4759" s="3" t="n">
        <v>6</v>
      </c>
      <c r="D4759" s="3" t="n">
        <v>1</v>
      </c>
      <c r="E4759" s="3" t="n">
        <v>25</v>
      </c>
      <c r="F4759" s="24" t="n">
        <v>0</v>
      </c>
    </row>
    <row r="4760" customFormat="false" ht="15" hidden="false" customHeight="false" outlineLevel="0" collapsed="false">
      <c r="A4760" s="3" t="n">
        <v>4759</v>
      </c>
      <c r="B4760" s="3" t="n">
        <v>4758</v>
      </c>
      <c r="C4760" s="3" t="n">
        <v>6</v>
      </c>
      <c r="D4760" s="3" t="n">
        <v>1</v>
      </c>
      <c r="E4760" s="3" t="n">
        <v>26</v>
      </c>
      <c r="F4760" s="24" t="n">
        <v>0</v>
      </c>
    </row>
    <row r="4761" customFormat="false" ht="15" hidden="false" customHeight="false" outlineLevel="0" collapsed="false">
      <c r="A4761" s="3" t="n">
        <v>4760</v>
      </c>
      <c r="B4761" s="3" t="n">
        <v>4759</v>
      </c>
      <c r="C4761" s="3" t="n">
        <v>6</v>
      </c>
      <c r="D4761" s="3" t="n">
        <v>1</v>
      </c>
      <c r="E4761" s="3" t="n">
        <v>27</v>
      </c>
      <c r="F4761" s="24" t="n">
        <v>0</v>
      </c>
    </row>
    <row r="4762" customFormat="false" ht="15" hidden="false" customHeight="false" outlineLevel="0" collapsed="false">
      <c r="A4762" s="3" t="n">
        <v>4761</v>
      </c>
      <c r="B4762" s="3" t="n">
        <v>4760</v>
      </c>
      <c r="C4762" s="3" t="n">
        <v>6</v>
      </c>
      <c r="D4762" s="3" t="n">
        <v>2</v>
      </c>
      <c r="E4762" s="3" t="n">
        <v>0</v>
      </c>
      <c r="F4762" s="24" t="n">
        <v>0.185572863</v>
      </c>
    </row>
    <row r="4763" customFormat="false" ht="15" hidden="false" customHeight="false" outlineLevel="0" collapsed="false">
      <c r="A4763" s="3" t="n">
        <v>4762</v>
      </c>
      <c r="B4763" s="3" t="n">
        <v>4761</v>
      </c>
      <c r="C4763" s="3" t="n">
        <v>6</v>
      </c>
      <c r="D4763" s="3" t="n">
        <v>2</v>
      </c>
      <c r="E4763" s="3" t="n">
        <v>1</v>
      </c>
      <c r="F4763" s="24" t="n">
        <v>0</v>
      </c>
    </row>
    <row r="4764" customFormat="false" ht="15" hidden="false" customHeight="false" outlineLevel="0" collapsed="false">
      <c r="A4764" s="3" t="n">
        <v>4763</v>
      </c>
      <c r="B4764" s="3" t="n">
        <v>4762</v>
      </c>
      <c r="C4764" s="3" t="n">
        <v>6</v>
      </c>
      <c r="D4764" s="3" t="n">
        <v>2</v>
      </c>
      <c r="E4764" s="3" t="n">
        <v>2</v>
      </c>
      <c r="F4764" s="24" t="n">
        <v>0</v>
      </c>
    </row>
    <row r="4765" customFormat="false" ht="15" hidden="false" customHeight="false" outlineLevel="0" collapsed="false">
      <c r="A4765" s="3" t="n">
        <v>4764</v>
      </c>
      <c r="B4765" s="3" t="n">
        <v>4763</v>
      </c>
      <c r="C4765" s="3" t="n">
        <v>6</v>
      </c>
      <c r="D4765" s="3" t="n">
        <v>2</v>
      </c>
      <c r="E4765" s="3" t="n">
        <v>3</v>
      </c>
      <c r="F4765" s="24" t="n">
        <v>0</v>
      </c>
    </row>
    <row r="4766" customFormat="false" ht="15" hidden="false" customHeight="false" outlineLevel="0" collapsed="false">
      <c r="A4766" s="3" t="n">
        <v>4765</v>
      </c>
      <c r="B4766" s="3" t="n">
        <v>4764</v>
      </c>
      <c r="C4766" s="3" t="n">
        <v>6</v>
      </c>
      <c r="D4766" s="3" t="n">
        <v>2</v>
      </c>
      <c r="E4766" s="3" t="n">
        <v>4</v>
      </c>
      <c r="F4766" s="24" t="n">
        <v>0</v>
      </c>
    </row>
    <row r="4767" customFormat="false" ht="15" hidden="false" customHeight="false" outlineLevel="0" collapsed="false">
      <c r="A4767" s="3" t="n">
        <v>4766</v>
      </c>
      <c r="B4767" s="3" t="n">
        <v>4765</v>
      </c>
      <c r="C4767" s="3" t="n">
        <v>6</v>
      </c>
      <c r="D4767" s="3" t="n">
        <v>2</v>
      </c>
      <c r="E4767" s="3" t="n">
        <v>5</v>
      </c>
      <c r="F4767" s="24" t="n">
        <v>0</v>
      </c>
    </row>
    <row r="4768" customFormat="false" ht="15" hidden="false" customHeight="false" outlineLevel="0" collapsed="false">
      <c r="A4768" s="3" t="n">
        <v>4767</v>
      </c>
      <c r="B4768" s="3" t="n">
        <v>4766</v>
      </c>
      <c r="C4768" s="3" t="n">
        <v>6</v>
      </c>
      <c r="D4768" s="3" t="n">
        <v>2</v>
      </c>
      <c r="E4768" s="3" t="n">
        <v>6</v>
      </c>
      <c r="F4768" s="24" t="n">
        <v>0</v>
      </c>
    </row>
    <row r="4769" customFormat="false" ht="15" hidden="false" customHeight="false" outlineLevel="0" collapsed="false">
      <c r="A4769" s="3" t="n">
        <v>4768</v>
      </c>
      <c r="B4769" s="3" t="n">
        <v>4767</v>
      </c>
      <c r="C4769" s="3" t="n">
        <v>6</v>
      </c>
      <c r="D4769" s="3" t="n">
        <v>2</v>
      </c>
      <c r="E4769" s="3" t="n">
        <v>7</v>
      </c>
      <c r="F4769" s="24" t="n">
        <v>0</v>
      </c>
    </row>
    <row r="4770" customFormat="false" ht="15" hidden="false" customHeight="false" outlineLevel="0" collapsed="false">
      <c r="A4770" s="3" t="n">
        <v>4769</v>
      </c>
      <c r="B4770" s="3" t="n">
        <v>4768</v>
      </c>
      <c r="C4770" s="3" t="n">
        <v>6</v>
      </c>
      <c r="D4770" s="3" t="n">
        <v>2</v>
      </c>
      <c r="E4770" s="3" t="n">
        <v>8</v>
      </c>
      <c r="F4770" s="24" t="n">
        <v>0</v>
      </c>
    </row>
    <row r="4771" customFormat="false" ht="15" hidden="false" customHeight="false" outlineLevel="0" collapsed="false">
      <c r="A4771" s="3" t="n">
        <v>4770</v>
      </c>
      <c r="B4771" s="3" t="n">
        <v>4769</v>
      </c>
      <c r="C4771" s="3" t="n">
        <v>6</v>
      </c>
      <c r="D4771" s="3" t="n">
        <v>2</v>
      </c>
      <c r="E4771" s="3" t="n">
        <v>9</v>
      </c>
      <c r="F4771" s="24" t="n">
        <v>0</v>
      </c>
    </row>
    <row r="4772" customFormat="false" ht="15" hidden="false" customHeight="false" outlineLevel="0" collapsed="false">
      <c r="A4772" s="3" t="n">
        <v>4771</v>
      </c>
      <c r="B4772" s="3" t="n">
        <v>4770</v>
      </c>
      <c r="C4772" s="3" t="n">
        <v>6</v>
      </c>
      <c r="D4772" s="3" t="n">
        <v>2</v>
      </c>
      <c r="E4772" s="3" t="n">
        <v>10</v>
      </c>
      <c r="F4772" s="24" t="n">
        <v>0</v>
      </c>
    </row>
    <row r="4773" customFormat="false" ht="15" hidden="false" customHeight="false" outlineLevel="0" collapsed="false">
      <c r="A4773" s="3" t="n">
        <v>4772</v>
      </c>
      <c r="B4773" s="3" t="n">
        <v>4771</v>
      </c>
      <c r="C4773" s="3" t="n">
        <v>6</v>
      </c>
      <c r="D4773" s="3" t="n">
        <v>2</v>
      </c>
      <c r="E4773" s="3" t="n">
        <v>11</v>
      </c>
      <c r="F4773" s="24" t="n">
        <v>0</v>
      </c>
    </row>
    <row r="4774" customFormat="false" ht="15" hidden="false" customHeight="false" outlineLevel="0" collapsed="false">
      <c r="A4774" s="3" t="n">
        <v>4773</v>
      </c>
      <c r="B4774" s="3" t="n">
        <v>4772</v>
      </c>
      <c r="C4774" s="3" t="n">
        <v>6</v>
      </c>
      <c r="D4774" s="3" t="n">
        <v>2</v>
      </c>
      <c r="E4774" s="3" t="n">
        <v>12</v>
      </c>
      <c r="F4774" s="24" t="n">
        <v>0</v>
      </c>
    </row>
    <row r="4775" customFormat="false" ht="15" hidden="false" customHeight="false" outlineLevel="0" collapsed="false">
      <c r="A4775" s="3" t="n">
        <v>4774</v>
      </c>
      <c r="B4775" s="3" t="n">
        <v>4773</v>
      </c>
      <c r="C4775" s="3" t="n">
        <v>6</v>
      </c>
      <c r="D4775" s="3" t="n">
        <v>2</v>
      </c>
      <c r="E4775" s="3" t="n">
        <v>13</v>
      </c>
      <c r="F4775" s="24" t="n">
        <v>0</v>
      </c>
    </row>
    <row r="4776" customFormat="false" ht="15" hidden="false" customHeight="false" outlineLevel="0" collapsed="false">
      <c r="A4776" s="3" t="n">
        <v>4775</v>
      </c>
      <c r="B4776" s="3" t="n">
        <v>4774</v>
      </c>
      <c r="C4776" s="3" t="n">
        <v>6</v>
      </c>
      <c r="D4776" s="3" t="n">
        <v>2</v>
      </c>
      <c r="E4776" s="3" t="n">
        <v>14</v>
      </c>
      <c r="F4776" s="24" t="n">
        <v>0</v>
      </c>
    </row>
    <row r="4777" customFormat="false" ht="15" hidden="false" customHeight="false" outlineLevel="0" collapsed="false">
      <c r="A4777" s="3" t="n">
        <v>4776</v>
      </c>
      <c r="B4777" s="3" t="n">
        <v>4775</v>
      </c>
      <c r="C4777" s="3" t="n">
        <v>6</v>
      </c>
      <c r="D4777" s="3" t="n">
        <v>2</v>
      </c>
      <c r="E4777" s="3" t="n">
        <v>15</v>
      </c>
      <c r="F4777" s="24" t="n">
        <v>0</v>
      </c>
    </row>
    <row r="4778" customFormat="false" ht="15" hidden="false" customHeight="false" outlineLevel="0" collapsed="false">
      <c r="A4778" s="3" t="n">
        <v>4777</v>
      </c>
      <c r="B4778" s="3" t="n">
        <v>4776</v>
      </c>
      <c r="C4778" s="3" t="n">
        <v>6</v>
      </c>
      <c r="D4778" s="3" t="n">
        <v>2</v>
      </c>
      <c r="E4778" s="3" t="n">
        <v>16</v>
      </c>
      <c r="F4778" s="24" t="n">
        <v>0</v>
      </c>
    </row>
    <row r="4779" customFormat="false" ht="15" hidden="false" customHeight="false" outlineLevel="0" collapsed="false">
      <c r="A4779" s="3" t="n">
        <v>4778</v>
      </c>
      <c r="B4779" s="3" t="n">
        <v>4777</v>
      </c>
      <c r="C4779" s="3" t="n">
        <v>6</v>
      </c>
      <c r="D4779" s="3" t="n">
        <v>2</v>
      </c>
      <c r="E4779" s="3" t="n">
        <v>17</v>
      </c>
      <c r="F4779" s="24" t="n">
        <v>0</v>
      </c>
    </row>
    <row r="4780" customFormat="false" ht="15" hidden="false" customHeight="false" outlineLevel="0" collapsed="false">
      <c r="A4780" s="3" t="n">
        <v>4779</v>
      </c>
      <c r="B4780" s="3" t="n">
        <v>4778</v>
      </c>
      <c r="C4780" s="3" t="n">
        <v>6</v>
      </c>
      <c r="D4780" s="3" t="n">
        <v>2</v>
      </c>
      <c r="E4780" s="3" t="n">
        <v>18</v>
      </c>
      <c r="F4780" s="24" t="n">
        <v>0</v>
      </c>
    </row>
    <row r="4781" customFormat="false" ht="15" hidden="false" customHeight="false" outlineLevel="0" collapsed="false">
      <c r="A4781" s="3" t="n">
        <v>4780</v>
      </c>
      <c r="B4781" s="3" t="n">
        <v>4779</v>
      </c>
      <c r="C4781" s="3" t="n">
        <v>6</v>
      </c>
      <c r="D4781" s="3" t="n">
        <v>2</v>
      </c>
      <c r="E4781" s="3" t="n">
        <v>19</v>
      </c>
      <c r="F4781" s="24" t="n">
        <v>0</v>
      </c>
    </row>
    <row r="4782" customFormat="false" ht="15" hidden="false" customHeight="false" outlineLevel="0" collapsed="false">
      <c r="A4782" s="3" t="n">
        <v>4781</v>
      </c>
      <c r="B4782" s="3" t="n">
        <v>4780</v>
      </c>
      <c r="C4782" s="3" t="n">
        <v>6</v>
      </c>
      <c r="D4782" s="3" t="n">
        <v>2</v>
      </c>
      <c r="E4782" s="3" t="n">
        <v>20</v>
      </c>
      <c r="F4782" s="24" t="n">
        <v>0</v>
      </c>
    </row>
    <row r="4783" customFormat="false" ht="15" hidden="false" customHeight="false" outlineLevel="0" collapsed="false">
      <c r="A4783" s="3" t="n">
        <v>4782</v>
      </c>
      <c r="B4783" s="3" t="n">
        <v>4781</v>
      </c>
      <c r="C4783" s="3" t="n">
        <v>6</v>
      </c>
      <c r="D4783" s="3" t="n">
        <v>2</v>
      </c>
      <c r="E4783" s="3" t="n">
        <v>21</v>
      </c>
      <c r="F4783" s="24" t="n">
        <v>0</v>
      </c>
    </row>
    <row r="4784" customFormat="false" ht="15" hidden="false" customHeight="false" outlineLevel="0" collapsed="false">
      <c r="A4784" s="3" t="n">
        <v>4783</v>
      </c>
      <c r="B4784" s="3" t="n">
        <v>4782</v>
      </c>
      <c r="C4784" s="3" t="n">
        <v>6</v>
      </c>
      <c r="D4784" s="3" t="n">
        <v>2</v>
      </c>
      <c r="E4784" s="3" t="n">
        <v>22</v>
      </c>
      <c r="F4784" s="24" t="n">
        <v>0</v>
      </c>
    </row>
    <row r="4785" customFormat="false" ht="15" hidden="false" customHeight="false" outlineLevel="0" collapsed="false">
      <c r="A4785" s="3" t="n">
        <v>4784</v>
      </c>
      <c r="B4785" s="3" t="n">
        <v>4783</v>
      </c>
      <c r="C4785" s="3" t="n">
        <v>6</v>
      </c>
      <c r="D4785" s="3" t="n">
        <v>2</v>
      </c>
      <c r="E4785" s="3" t="n">
        <v>23</v>
      </c>
      <c r="F4785" s="24" t="n">
        <v>0</v>
      </c>
    </row>
    <row r="4786" customFormat="false" ht="15" hidden="false" customHeight="false" outlineLevel="0" collapsed="false">
      <c r="A4786" s="3" t="n">
        <v>4785</v>
      </c>
      <c r="B4786" s="3" t="n">
        <v>4784</v>
      </c>
      <c r="C4786" s="3" t="n">
        <v>6</v>
      </c>
      <c r="D4786" s="3" t="n">
        <v>2</v>
      </c>
      <c r="E4786" s="3" t="n">
        <v>24</v>
      </c>
      <c r="F4786" s="24" t="n">
        <v>0</v>
      </c>
    </row>
    <row r="4787" customFormat="false" ht="15" hidden="false" customHeight="false" outlineLevel="0" collapsed="false">
      <c r="A4787" s="3" t="n">
        <v>4786</v>
      </c>
      <c r="B4787" s="3" t="n">
        <v>4785</v>
      </c>
      <c r="C4787" s="3" t="n">
        <v>6</v>
      </c>
      <c r="D4787" s="3" t="n">
        <v>2</v>
      </c>
      <c r="E4787" s="3" t="n">
        <v>25</v>
      </c>
      <c r="F4787" s="24" t="n">
        <v>0</v>
      </c>
    </row>
    <row r="4788" customFormat="false" ht="15" hidden="false" customHeight="false" outlineLevel="0" collapsed="false">
      <c r="A4788" s="3" t="n">
        <v>4787</v>
      </c>
      <c r="B4788" s="3" t="n">
        <v>4786</v>
      </c>
      <c r="C4788" s="3" t="n">
        <v>6</v>
      </c>
      <c r="D4788" s="3" t="n">
        <v>2</v>
      </c>
      <c r="E4788" s="3" t="n">
        <v>26</v>
      </c>
      <c r="F4788" s="24" t="n">
        <v>0</v>
      </c>
    </row>
    <row r="4789" customFormat="false" ht="15" hidden="false" customHeight="false" outlineLevel="0" collapsed="false">
      <c r="A4789" s="3" t="n">
        <v>4788</v>
      </c>
      <c r="B4789" s="3" t="n">
        <v>4787</v>
      </c>
      <c r="C4789" s="3" t="n">
        <v>6</v>
      </c>
      <c r="D4789" s="3" t="n">
        <v>2</v>
      </c>
      <c r="E4789" s="3" t="n">
        <v>27</v>
      </c>
      <c r="F4789" s="24" t="n">
        <v>0</v>
      </c>
    </row>
    <row r="4790" customFormat="false" ht="15" hidden="false" customHeight="false" outlineLevel="0" collapsed="false">
      <c r="A4790" s="3" t="n">
        <v>4789</v>
      </c>
      <c r="B4790" s="3" t="n">
        <v>4788</v>
      </c>
      <c r="C4790" s="3" t="n">
        <v>6</v>
      </c>
      <c r="D4790" s="3" t="n">
        <v>3</v>
      </c>
      <c r="E4790" s="3" t="n">
        <v>0</v>
      </c>
      <c r="F4790" s="24" t="n">
        <v>0.185572863</v>
      </c>
    </row>
    <row r="4791" customFormat="false" ht="15" hidden="false" customHeight="false" outlineLevel="0" collapsed="false">
      <c r="A4791" s="3" t="n">
        <v>4790</v>
      </c>
      <c r="B4791" s="3" t="n">
        <v>4789</v>
      </c>
      <c r="C4791" s="3" t="n">
        <v>6</v>
      </c>
      <c r="D4791" s="3" t="n">
        <v>3</v>
      </c>
      <c r="E4791" s="3" t="n">
        <v>1</v>
      </c>
      <c r="F4791" s="24" t="n">
        <v>0</v>
      </c>
    </row>
    <row r="4792" customFormat="false" ht="15" hidden="false" customHeight="false" outlineLevel="0" collapsed="false">
      <c r="A4792" s="3" t="n">
        <v>4791</v>
      </c>
      <c r="B4792" s="3" t="n">
        <v>4790</v>
      </c>
      <c r="C4792" s="3" t="n">
        <v>6</v>
      </c>
      <c r="D4792" s="3" t="n">
        <v>3</v>
      </c>
      <c r="E4792" s="3" t="n">
        <v>2</v>
      </c>
      <c r="F4792" s="24" t="n">
        <v>0</v>
      </c>
    </row>
    <row r="4793" customFormat="false" ht="15" hidden="false" customHeight="false" outlineLevel="0" collapsed="false">
      <c r="A4793" s="3" t="n">
        <v>4792</v>
      </c>
      <c r="B4793" s="3" t="n">
        <v>4791</v>
      </c>
      <c r="C4793" s="3" t="n">
        <v>6</v>
      </c>
      <c r="D4793" s="3" t="n">
        <v>3</v>
      </c>
      <c r="E4793" s="3" t="n">
        <v>3</v>
      </c>
      <c r="F4793" s="24" t="n">
        <v>0</v>
      </c>
    </row>
    <row r="4794" customFormat="false" ht="15" hidden="false" customHeight="false" outlineLevel="0" collapsed="false">
      <c r="A4794" s="3" t="n">
        <v>4793</v>
      </c>
      <c r="B4794" s="3" t="n">
        <v>4792</v>
      </c>
      <c r="C4794" s="3" t="n">
        <v>6</v>
      </c>
      <c r="D4794" s="3" t="n">
        <v>3</v>
      </c>
      <c r="E4794" s="3" t="n">
        <v>4</v>
      </c>
      <c r="F4794" s="24" t="n">
        <v>0</v>
      </c>
    </row>
    <row r="4795" customFormat="false" ht="15" hidden="false" customHeight="false" outlineLevel="0" collapsed="false">
      <c r="A4795" s="3" t="n">
        <v>4794</v>
      </c>
      <c r="B4795" s="3" t="n">
        <v>4793</v>
      </c>
      <c r="C4795" s="3" t="n">
        <v>6</v>
      </c>
      <c r="D4795" s="3" t="n">
        <v>3</v>
      </c>
      <c r="E4795" s="3" t="n">
        <v>5</v>
      </c>
      <c r="F4795" s="24" t="n">
        <v>0</v>
      </c>
    </row>
    <row r="4796" customFormat="false" ht="15" hidden="false" customHeight="false" outlineLevel="0" collapsed="false">
      <c r="A4796" s="3" t="n">
        <v>4795</v>
      </c>
      <c r="B4796" s="3" t="n">
        <v>4794</v>
      </c>
      <c r="C4796" s="3" t="n">
        <v>6</v>
      </c>
      <c r="D4796" s="3" t="n">
        <v>3</v>
      </c>
      <c r="E4796" s="3" t="n">
        <v>6</v>
      </c>
      <c r="F4796" s="24" t="n">
        <v>0</v>
      </c>
    </row>
    <row r="4797" customFormat="false" ht="15" hidden="false" customHeight="false" outlineLevel="0" collapsed="false">
      <c r="A4797" s="3" t="n">
        <v>4796</v>
      </c>
      <c r="B4797" s="3" t="n">
        <v>4795</v>
      </c>
      <c r="C4797" s="3" t="n">
        <v>6</v>
      </c>
      <c r="D4797" s="3" t="n">
        <v>3</v>
      </c>
      <c r="E4797" s="3" t="n">
        <v>7</v>
      </c>
      <c r="F4797" s="24" t="n">
        <v>0</v>
      </c>
    </row>
    <row r="4798" customFormat="false" ht="15" hidden="false" customHeight="false" outlineLevel="0" collapsed="false">
      <c r="A4798" s="3" t="n">
        <v>4797</v>
      </c>
      <c r="B4798" s="3" t="n">
        <v>4796</v>
      </c>
      <c r="C4798" s="3" t="n">
        <v>6</v>
      </c>
      <c r="D4798" s="3" t="n">
        <v>3</v>
      </c>
      <c r="E4798" s="3" t="n">
        <v>8</v>
      </c>
      <c r="F4798" s="24" t="n">
        <v>0</v>
      </c>
    </row>
    <row r="4799" customFormat="false" ht="15" hidden="false" customHeight="false" outlineLevel="0" collapsed="false">
      <c r="A4799" s="3" t="n">
        <v>4798</v>
      </c>
      <c r="B4799" s="3" t="n">
        <v>4797</v>
      </c>
      <c r="C4799" s="3" t="n">
        <v>6</v>
      </c>
      <c r="D4799" s="3" t="n">
        <v>3</v>
      </c>
      <c r="E4799" s="3" t="n">
        <v>9</v>
      </c>
      <c r="F4799" s="24" t="n">
        <v>0</v>
      </c>
    </row>
    <row r="4800" customFormat="false" ht="15" hidden="false" customHeight="false" outlineLevel="0" collapsed="false">
      <c r="A4800" s="3" t="n">
        <v>4799</v>
      </c>
      <c r="B4800" s="3" t="n">
        <v>4798</v>
      </c>
      <c r="C4800" s="3" t="n">
        <v>6</v>
      </c>
      <c r="D4800" s="3" t="n">
        <v>3</v>
      </c>
      <c r="E4800" s="3" t="n">
        <v>10</v>
      </c>
      <c r="F4800" s="24" t="n">
        <v>0</v>
      </c>
    </row>
    <row r="4801" customFormat="false" ht="15" hidden="false" customHeight="false" outlineLevel="0" collapsed="false">
      <c r="A4801" s="3" t="n">
        <v>4800</v>
      </c>
      <c r="B4801" s="3" t="n">
        <v>4799</v>
      </c>
      <c r="C4801" s="3" t="n">
        <v>6</v>
      </c>
      <c r="D4801" s="3" t="n">
        <v>3</v>
      </c>
      <c r="E4801" s="3" t="n">
        <v>11</v>
      </c>
      <c r="F4801" s="24" t="n">
        <v>0</v>
      </c>
    </row>
    <row r="4802" customFormat="false" ht="15" hidden="false" customHeight="false" outlineLevel="0" collapsed="false">
      <c r="A4802" s="3" t="n">
        <v>4801</v>
      </c>
      <c r="B4802" s="3" t="n">
        <v>4800</v>
      </c>
      <c r="C4802" s="3" t="n">
        <v>6</v>
      </c>
      <c r="D4802" s="3" t="n">
        <v>3</v>
      </c>
      <c r="E4802" s="3" t="n">
        <v>12</v>
      </c>
      <c r="F4802" s="24" t="n">
        <v>0</v>
      </c>
    </row>
    <row r="4803" customFormat="false" ht="15" hidden="false" customHeight="false" outlineLevel="0" collapsed="false">
      <c r="A4803" s="3" t="n">
        <v>4802</v>
      </c>
      <c r="B4803" s="3" t="n">
        <v>4801</v>
      </c>
      <c r="C4803" s="3" t="n">
        <v>6</v>
      </c>
      <c r="D4803" s="3" t="n">
        <v>3</v>
      </c>
      <c r="E4803" s="3" t="n">
        <v>13</v>
      </c>
      <c r="F4803" s="24" t="n">
        <v>0</v>
      </c>
    </row>
    <row r="4804" customFormat="false" ht="15" hidden="false" customHeight="false" outlineLevel="0" collapsed="false">
      <c r="A4804" s="3" t="n">
        <v>4803</v>
      </c>
      <c r="B4804" s="3" t="n">
        <v>4802</v>
      </c>
      <c r="C4804" s="3" t="n">
        <v>6</v>
      </c>
      <c r="D4804" s="3" t="n">
        <v>3</v>
      </c>
      <c r="E4804" s="3" t="n">
        <v>14</v>
      </c>
      <c r="F4804" s="24" t="n">
        <v>0</v>
      </c>
    </row>
    <row r="4805" customFormat="false" ht="15" hidden="false" customHeight="false" outlineLevel="0" collapsed="false">
      <c r="A4805" s="3" t="n">
        <v>4804</v>
      </c>
      <c r="B4805" s="3" t="n">
        <v>4803</v>
      </c>
      <c r="C4805" s="3" t="n">
        <v>6</v>
      </c>
      <c r="D4805" s="3" t="n">
        <v>3</v>
      </c>
      <c r="E4805" s="3" t="n">
        <v>15</v>
      </c>
      <c r="F4805" s="24" t="n">
        <v>0</v>
      </c>
    </row>
    <row r="4806" customFormat="false" ht="15" hidden="false" customHeight="false" outlineLevel="0" collapsed="false">
      <c r="A4806" s="3" t="n">
        <v>4805</v>
      </c>
      <c r="B4806" s="3" t="n">
        <v>4804</v>
      </c>
      <c r="C4806" s="3" t="n">
        <v>6</v>
      </c>
      <c r="D4806" s="3" t="n">
        <v>3</v>
      </c>
      <c r="E4806" s="3" t="n">
        <v>16</v>
      </c>
      <c r="F4806" s="24" t="n">
        <v>0</v>
      </c>
    </row>
    <row r="4807" customFormat="false" ht="15" hidden="false" customHeight="false" outlineLevel="0" collapsed="false">
      <c r="A4807" s="3" t="n">
        <v>4806</v>
      </c>
      <c r="B4807" s="3" t="n">
        <v>4805</v>
      </c>
      <c r="C4807" s="3" t="n">
        <v>6</v>
      </c>
      <c r="D4807" s="3" t="n">
        <v>3</v>
      </c>
      <c r="E4807" s="3" t="n">
        <v>17</v>
      </c>
      <c r="F4807" s="24" t="n">
        <v>0</v>
      </c>
    </row>
    <row r="4808" customFormat="false" ht="15" hidden="false" customHeight="false" outlineLevel="0" collapsed="false">
      <c r="A4808" s="3" t="n">
        <v>4807</v>
      </c>
      <c r="B4808" s="3" t="n">
        <v>4806</v>
      </c>
      <c r="C4808" s="3" t="n">
        <v>6</v>
      </c>
      <c r="D4808" s="3" t="n">
        <v>3</v>
      </c>
      <c r="E4808" s="3" t="n">
        <v>18</v>
      </c>
      <c r="F4808" s="24" t="n">
        <v>0</v>
      </c>
    </row>
    <row r="4809" customFormat="false" ht="15" hidden="false" customHeight="false" outlineLevel="0" collapsed="false">
      <c r="A4809" s="3" t="n">
        <v>4808</v>
      </c>
      <c r="B4809" s="3" t="n">
        <v>4807</v>
      </c>
      <c r="C4809" s="3" t="n">
        <v>6</v>
      </c>
      <c r="D4809" s="3" t="n">
        <v>3</v>
      </c>
      <c r="E4809" s="3" t="n">
        <v>19</v>
      </c>
      <c r="F4809" s="24" t="n">
        <v>0</v>
      </c>
    </row>
    <row r="4810" customFormat="false" ht="15" hidden="false" customHeight="false" outlineLevel="0" collapsed="false">
      <c r="A4810" s="3" t="n">
        <v>4809</v>
      </c>
      <c r="B4810" s="3" t="n">
        <v>4808</v>
      </c>
      <c r="C4810" s="3" t="n">
        <v>6</v>
      </c>
      <c r="D4810" s="3" t="n">
        <v>3</v>
      </c>
      <c r="E4810" s="3" t="n">
        <v>20</v>
      </c>
      <c r="F4810" s="24" t="n">
        <v>0</v>
      </c>
    </row>
    <row r="4811" customFormat="false" ht="15" hidden="false" customHeight="false" outlineLevel="0" collapsed="false">
      <c r="A4811" s="3" t="n">
        <v>4810</v>
      </c>
      <c r="B4811" s="3" t="n">
        <v>4809</v>
      </c>
      <c r="C4811" s="3" t="n">
        <v>6</v>
      </c>
      <c r="D4811" s="3" t="n">
        <v>3</v>
      </c>
      <c r="E4811" s="3" t="n">
        <v>21</v>
      </c>
      <c r="F4811" s="24" t="n">
        <v>0</v>
      </c>
    </row>
    <row r="4812" customFormat="false" ht="15" hidden="false" customHeight="false" outlineLevel="0" collapsed="false">
      <c r="A4812" s="3" t="n">
        <v>4811</v>
      </c>
      <c r="B4812" s="3" t="n">
        <v>4810</v>
      </c>
      <c r="C4812" s="3" t="n">
        <v>6</v>
      </c>
      <c r="D4812" s="3" t="n">
        <v>3</v>
      </c>
      <c r="E4812" s="3" t="n">
        <v>22</v>
      </c>
      <c r="F4812" s="24" t="n">
        <v>0</v>
      </c>
    </row>
    <row r="4813" customFormat="false" ht="15" hidden="false" customHeight="false" outlineLevel="0" collapsed="false">
      <c r="A4813" s="3" t="n">
        <v>4812</v>
      </c>
      <c r="B4813" s="3" t="n">
        <v>4811</v>
      </c>
      <c r="C4813" s="3" t="n">
        <v>6</v>
      </c>
      <c r="D4813" s="3" t="n">
        <v>3</v>
      </c>
      <c r="E4813" s="3" t="n">
        <v>23</v>
      </c>
      <c r="F4813" s="24" t="n">
        <v>0</v>
      </c>
    </row>
    <row r="4814" customFormat="false" ht="15" hidden="false" customHeight="false" outlineLevel="0" collapsed="false">
      <c r="A4814" s="3" t="n">
        <v>4813</v>
      </c>
      <c r="B4814" s="3" t="n">
        <v>4812</v>
      </c>
      <c r="C4814" s="3" t="n">
        <v>6</v>
      </c>
      <c r="D4814" s="3" t="n">
        <v>3</v>
      </c>
      <c r="E4814" s="3" t="n">
        <v>24</v>
      </c>
      <c r="F4814" s="24" t="n">
        <v>0</v>
      </c>
    </row>
    <row r="4815" customFormat="false" ht="15" hidden="false" customHeight="false" outlineLevel="0" collapsed="false">
      <c r="A4815" s="3" t="n">
        <v>4814</v>
      </c>
      <c r="B4815" s="3" t="n">
        <v>4813</v>
      </c>
      <c r="C4815" s="3" t="n">
        <v>6</v>
      </c>
      <c r="D4815" s="3" t="n">
        <v>3</v>
      </c>
      <c r="E4815" s="3" t="n">
        <v>25</v>
      </c>
      <c r="F4815" s="24" t="n">
        <v>0</v>
      </c>
    </row>
    <row r="4816" customFormat="false" ht="15" hidden="false" customHeight="false" outlineLevel="0" collapsed="false">
      <c r="A4816" s="3" t="n">
        <v>4815</v>
      </c>
      <c r="B4816" s="3" t="n">
        <v>4814</v>
      </c>
      <c r="C4816" s="3" t="n">
        <v>6</v>
      </c>
      <c r="D4816" s="3" t="n">
        <v>3</v>
      </c>
      <c r="E4816" s="3" t="n">
        <v>26</v>
      </c>
      <c r="F4816" s="24" t="n">
        <v>0</v>
      </c>
    </row>
    <row r="4817" customFormat="false" ht="15" hidden="false" customHeight="false" outlineLevel="0" collapsed="false">
      <c r="A4817" s="3" t="n">
        <v>4816</v>
      </c>
      <c r="B4817" s="3" t="n">
        <v>4815</v>
      </c>
      <c r="C4817" s="3" t="n">
        <v>6</v>
      </c>
      <c r="D4817" s="3" t="n">
        <v>3</v>
      </c>
      <c r="E4817" s="3" t="n">
        <v>27</v>
      </c>
      <c r="F4817" s="24" t="n">
        <v>0</v>
      </c>
    </row>
    <row r="4818" customFormat="false" ht="15" hidden="false" customHeight="false" outlineLevel="0" collapsed="false">
      <c r="A4818" s="3" t="n">
        <v>4817</v>
      </c>
      <c r="B4818" s="3" t="n">
        <v>4816</v>
      </c>
      <c r="C4818" s="3" t="n">
        <v>6</v>
      </c>
      <c r="D4818" s="3" t="n">
        <v>4</v>
      </c>
      <c r="E4818" s="3" t="n">
        <v>0</v>
      </c>
      <c r="F4818" s="24" t="n">
        <v>0.185572863</v>
      </c>
    </row>
    <row r="4819" customFormat="false" ht="15" hidden="false" customHeight="false" outlineLevel="0" collapsed="false">
      <c r="A4819" s="3" t="n">
        <v>4818</v>
      </c>
      <c r="B4819" s="3" t="n">
        <v>4817</v>
      </c>
      <c r="C4819" s="3" t="n">
        <v>6</v>
      </c>
      <c r="D4819" s="3" t="n">
        <v>4</v>
      </c>
      <c r="E4819" s="3" t="n">
        <v>1</v>
      </c>
      <c r="F4819" s="24" t="n">
        <v>0</v>
      </c>
    </row>
    <row r="4820" customFormat="false" ht="15" hidden="false" customHeight="false" outlineLevel="0" collapsed="false">
      <c r="A4820" s="3" t="n">
        <v>4819</v>
      </c>
      <c r="B4820" s="3" t="n">
        <v>4818</v>
      </c>
      <c r="C4820" s="3" t="n">
        <v>6</v>
      </c>
      <c r="D4820" s="3" t="n">
        <v>4</v>
      </c>
      <c r="E4820" s="3" t="n">
        <v>2</v>
      </c>
      <c r="F4820" s="24" t="n">
        <v>0</v>
      </c>
    </row>
    <row r="4821" customFormat="false" ht="15" hidden="false" customHeight="false" outlineLevel="0" collapsed="false">
      <c r="A4821" s="3" t="n">
        <v>4820</v>
      </c>
      <c r="B4821" s="3" t="n">
        <v>4819</v>
      </c>
      <c r="C4821" s="3" t="n">
        <v>6</v>
      </c>
      <c r="D4821" s="3" t="n">
        <v>4</v>
      </c>
      <c r="E4821" s="3" t="n">
        <v>3</v>
      </c>
      <c r="F4821" s="24" t="n">
        <v>0</v>
      </c>
    </row>
    <row r="4822" customFormat="false" ht="15" hidden="false" customHeight="false" outlineLevel="0" collapsed="false">
      <c r="A4822" s="3" t="n">
        <v>4821</v>
      </c>
      <c r="B4822" s="3" t="n">
        <v>4820</v>
      </c>
      <c r="C4822" s="3" t="n">
        <v>6</v>
      </c>
      <c r="D4822" s="3" t="n">
        <v>4</v>
      </c>
      <c r="E4822" s="3" t="n">
        <v>4</v>
      </c>
      <c r="F4822" s="24" t="n">
        <v>0</v>
      </c>
    </row>
    <row r="4823" customFormat="false" ht="15" hidden="false" customHeight="false" outlineLevel="0" collapsed="false">
      <c r="A4823" s="3" t="n">
        <v>4822</v>
      </c>
      <c r="B4823" s="3" t="n">
        <v>4821</v>
      </c>
      <c r="C4823" s="3" t="n">
        <v>6</v>
      </c>
      <c r="D4823" s="3" t="n">
        <v>4</v>
      </c>
      <c r="E4823" s="3" t="n">
        <v>5</v>
      </c>
      <c r="F4823" s="24" t="n">
        <v>0</v>
      </c>
    </row>
    <row r="4824" customFormat="false" ht="15" hidden="false" customHeight="false" outlineLevel="0" collapsed="false">
      <c r="A4824" s="3" t="n">
        <v>4823</v>
      </c>
      <c r="B4824" s="3" t="n">
        <v>4822</v>
      </c>
      <c r="C4824" s="3" t="n">
        <v>6</v>
      </c>
      <c r="D4824" s="3" t="n">
        <v>4</v>
      </c>
      <c r="E4824" s="3" t="n">
        <v>6</v>
      </c>
      <c r="F4824" s="24" t="n">
        <v>0</v>
      </c>
    </row>
    <row r="4825" customFormat="false" ht="15" hidden="false" customHeight="false" outlineLevel="0" collapsed="false">
      <c r="A4825" s="3" t="n">
        <v>4824</v>
      </c>
      <c r="B4825" s="3" t="n">
        <v>4823</v>
      </c>
      <c r="C4825" s="3" t="n">
        <v>6</v>
      </c>
      <c r="D4825" s="3" t="n">
        <v>4</v>
      </c>
      <c r="E4825" s="3" t="n">
        <v>7</v>
      </c>
      <c r="F4825" s="24" t="n">
        <v>0</v>
      </c>
    </row>
    <row r="4826" customFormat="false" ht="15" hidden="false" customHeight="false" outlineLevel="0" collapsed="false">
      <c r="A4826" s="3" t="n">
        <v>4825</v>
      </c>
      <c r="B4826" s="3" t="n">
        <v>4824</v>
      </c>
      <c r="C4826" s="3" t="n">
        <v>6</v>
      </c>
      <c r="D4826" s="3" t="n">
        <v>4</v>
      </c>
      <c r="E4826" s="3" t="n">
        <v>8</v>
      </c>
      <c r="F4826" s="24" t="n">
        <v>0</v>
      </c>
    </row>
    <row r="4827" customFormat="false" ht="15" hidden="false" customHeight="false" outlineLevel="0" collapsed="false">
      <c r="A4827" s="3" t="n">
        <v>4826</v>
      </c>
      <c r="B4827" s="3" t="n">
        <v>4825</v>
      </c>
      <c r="C4827" s="3" t="n">
        <v>6</v>
      </c>
      <c r="D4827" s="3" t="n">
        <v>4</v>
      </c>
      <c r="E4827" s="3" t="n">
        <v>9</v>
      </c>
      <c r="F4827" s="24" t="n">
        <v>0</v>
      </c>
    </row>
    <row r="4828" customFormat="false" ht="15" hidden="false" customHeight="false" outlineLevel="0" collapsed="false">
      <c r="A4828" s="3" t="n">
        <v>4827</v>
      </c>
      <c r="B4828" s="3" t="n">
        <v>4826</v>
      </c>
      <c r="C4828" s="3" t="n">
        <v>6</v>
      </c>
      <c r="D4828" s="3" t="n">
        <v>4</v>
      </c>
      <c r="E4828" s="3" t="n">
        <v>10</v>
      </c>
      <c r="F4828" s="24" t="n">
        <v>0</v>
      </c>
    </row>
    <row r="4829" customFormat="false" ht="15" hidden="false" customHeight="false" outlineLevel="0" collapsed="false">
      <c r="A4829" s="3" t="n">
        <v>4828</v>
      </c>
      <c r="B4829" s="3" t="n">
        <v>4827</v>
      </c>
      <c r="C4829" s="3" t="n">
        <v>6</v>
      </c>
      <c r="D4829" s="3" t="n">
        <v>4</v>
      </c>
      <c r="E4829" s="3" t="n">
        <v>11</v>
      </c>
      <c r="F4829" s="24" t="n">
        <v>0</v>
      </c>
    </row>
    <row r="4830" customFormat="false" ht="15" hidden="false" customHeight="false" outlineLevel="0" collapsed="false">
      <c r="A4830" s="3" t="n">
        <v>4829</v>
      </c>
      <c r="B4830" s="3" t="n">
        <v>4828</v>
      </c>
      <c r="C4830" s="3" t="n">
        <v>6</v>
      </c>
      <c r="D4830" s="3" t="n">
        <v>4</v>
      </c>
      <c r="E4830" s="3" t="n">
        <v>12</v>
      </c>
      <c r="F4830" s="24" t="n">
        <v>0</v>
      </c>
    </row>
    <row r="4831" customFormat="false" ht="15" hidden="false" customHeight="false" outlineLevel="0" collapsed="false">
      <c r="A4831" s="3" t="n">
        <v>4830</v>
      </c>
      <c r="B4831" s="3" t="n">
        <v>4829</v>
      </c>
      <c r="C4831" s="3" t="n">
        <v>6</v>
      </c>
      <c r="D4831" s="3" t="n">
        <v>4</v>
      </c>
      <c r="E4831" s="3" t="n">
        <v>13</v>
      </c>
      <c r="F4831" s="24" t="n">
        <v>0</v>
      </c>
    </row>
    <row r="4832" customFormat="false" ht="15" hidden="false" customHeight="false" outlineLevel="0" collapsed="false">
      <c r="A4832" s="3" t="n">
        <v>4831</v>
      </c>
      <c r="B4832" s="3" t="n">
        <v>4830</v>
      </c>
      <c r="C4832" s="3" t="n">
        <v>6</v>
      </c>
      <c r="D4832" s="3" t="n">
        <v>4</v>
      </c>
      <c r="E4832" s="3" t="n">
        <v>14</v>
      </c>
      <c r="F4832" s="24" t="n">
        <v>0</v>
      </c>
    </row>
    <row r="4833" customFormat="false" ht="15" hidden="false" customHeight="false" outlineLevel="0" collapsed="false">
      <c r="A4833" s="3" t="n">
        <v>4832</v>
      </c>
      <c r="B4833" s="3" t="n">
        <v>4831</v>
      </c>
      <c r="C4833" s="3" t="n">
        <v>6</v>
      </c>
      <c r="D4833" s="3" t="n">
        <v>4</v>
      </c>
      <c r="E4833" s="3" t="n">
        <v>15</v>
      </c>
      <c r="F4833" s="24" t="n">
        <v>0</v>
      </c>
    </row>
    <row r="4834" customFormat="false" ht="15" hidden="false" customHeight="false" outlineLevel="0" collapsed="false">
      <c r="A4834" s="3" t="n">
        <v>4833</v>
      </c>
      <c r="B4834" s="3" t="n">
        <v>4832</v>
      </c>
      <c r="C4834" s="3" t="n">
        <v>6</v>
      </c>
      <c r="D4834" s="3" t="n">
        <v>4</v>
      </c>
      <c r="E4834" s="3" t="n">
        <v>16</v>
      </c>
      <c r="F4834" s="24" t="n">
        <v>0</v>
      </c>
    </row>
    <row r="4835" customFormat="false" ht="15" hidden="false" customHeight="false" outlineLevel="0" collapsed="false">
      <c r="A4835" s="3" t="n">
        <v>4834</v>
      </c>
      <c r="B4835" s="3" t="n">
        <v>4833</v>
      </c>
      <c r="C4835" s="3" t="n">
        <v>6</v>
      </c>
      <c r="D4835" s="3" t="n">
        <v>4</v>
      </c>
      <c r="E4835" s="3" t="n">
        <v>17</v>
      </c>
      <c r="F4835" s="24" t="n">
        <v>0</v>
      </c>
    </row>
    <row r="4836" customFormat="false" ht="15" hidden="false" customHeight="false" outlineLevel="0" collapsed="false">
      <c r="A4836" s="3" t="n">
        <v>4835</v>
      </c>
      <c r="B4836" s="3" t="n">
        <v>4834</v>
      </c>
      <c r="C4836" s="3" t="n">
        <v>6</v>
      </c>
      <c r="D4836" s="3" t="n">
        <v>4</v>
      </c>
      <c r="E4836" s="3" t="n">
        <v>18</v>
      </c>
      <c r="F4836" s="24" t="n">
        <v>0</v>
      </c>
    </row>
    <row r="4837" customFormat="false" ht="15" hidden="false" customHeight="false" outlineLevel="0" collapsed="false">
      <c r="A4837" s="3" t="n">
        <v>4836</v>
      </c>
      <c r="B4837" s="3" t="n">
        <v>4835</v>
      </c>
      <c r="C4837" s="3" t="n">
        <v>6</v>
      </c>
      <c r="D4837" s="3" t="n">
        <v>4</v>
      </c>
      <c r="E4837" s="3" t="n">
        <v>19</v>
      </c>
      <c r="F4837" s="24" t="n">
        <v>0</v>
      </c>
    </row>
    <row r="4838" customFormat="false" ht="15" hidden="false" customHeight="false" outlineLevel="0" collapsed="false">
      <c r="A4838" s="3" t="n">
        <v>4837</v>
      </c>
      <c r="B4838" s="3" t="n">
        <v>4836</v>
      </c>
      <c r="C4838" s="3" t="n">
        <v>6</v>
      </c>
      <c r="D4838" s="3" t="n">
        <v>4</v>
      </c>
      <c r="E4838" s="3" t="n">
        <v>20</v>
      </c>
      <c r="F4838" s="24" t="n">
        <v>0</v>
      </c>
    </row>
    <row r="4839" customFormat="false" ht="15" hidden="false" customHeight="false" outlineLevel="0" collapsed="false">
      <c r="A4839" s="3" t="n">
        <v>4838</v>
      </c>
      <c r="B4839" s="3" t="n">
        <v>4837</v>
      </c>
      <c r="C4839" s="3" t="n">
        <v>6</v>
      </c>
      <c r="D4839" s="3" t="n">
        <v>4</v>
      </c>
      <c r="E4839" s="3" t="n">
        <v>21</v>
      </c>
      <c r="F4839" s="24" t="n">
        <v>0</v>
      </c>
    </row>
    <row r="4840" customFormat="false" ht="15" hidden="false" customHeight="false" outlineLevel="0" collapsed="false">
      <c r="A4840" s="3" t="n">
        <v>4839</v>
      </c>
      <c r="B4840" s="3" t="n">
        <v>4838</v>
      </c>
      <c r="C4840" s="3" t="n">
        <v>6</v>
      </c>
      <c r="D4840" s="3" t="n">
        <v>4</v>
      </c>
      <c r="E4840" s="3" t="n">
        <v>22</v>
      </c>
      <c r="F4840" s="24" t="n">
        <v>0</v>
      </c>
    </row>
    <row r="4841" customFormat="false" ht="15" hidden="false" customHeight="false" outlineLevel="0" collapsed="false">
      <c r="A4841" s="3" t="n">
        <v>4840</v>
      </c>
      <c r="B4841" s="3" t="n">
        <v>4839</v>
      </c>
      <c r="C4841" s="3" t="n">
        <v>6</v>
      </c>
      <c r="D4841" s="3" t="n">
        <v>4</v>
      </c>
      <c r="E4841" s="3" t="n">
        <v>23</v>
      </c>
      <c r="F4841" s="24" t="n">
        <v>0</v>
      </c>
    </row>
    <row r="4842" customFormat="false" ht="15" hidden="false" customHeight="false" outlineLevel="0" collapsed="false">
      <c r="A4842" s="3" t="n">
        <v>4841</v>
      </c>
      <c r="B4842" s="3" t="n">
        <v>4840</v>
      </c>
      <c r="C4842" s="3" t="n">
        <v>6</v>
      </c>
      <c r="D4842" s="3" t="n">
        <v>4</v>
      </c>
      <c r="E4842" s="3" t="n">
        <v>24</v>
      </c>
      <c r="F4842" s="24" t="n">
        <v>0</v>
      </c>
    </row>
    <row r="4843" customFormat="false" ht="15" hidden="false" customHeight="false" outlineLevel="0" collapsed="false">
      <c r="A4843" s="3" t="n">
        <v>4842</v>
      </c>
      <c r="B4843" s="3" t="n">
        <v>4841</v>
      </c>
      <c r="C4843" s="3" t="n">
        <v>6</v>
      </c>
      <c r="D4843" s="3" t="n">
        <v>4</v>
      </c>
      <c r="E4843" s="3" t="n">
        <v>25</v>
      </c>
      <c r="F4843" s="24" t="n">
        <v>0</v>
      </c>
    </row>
    <row r="4844" customFormat="false" ht="15" hidden="false" customHeight="false" outlineLevel="0" collapsed="false">
      <c r="A4844" s="3" t="n">
        <v>4843</v>
      </c>
      <c r="B4844" s="3" t="n">
        <v>4842</v>
      </c>
      <c r="C4844" s="3" t="n">
        <v>6</v>
      </c>
      <c r="D4844" s="3" t="n">
        <v>4</v>
      </c>
      <c r="E4844" s="3" t="n">
        <v>26</v>
      </c>
      <c r="F4844" s="24" t="n">
        <v>0</v>
      </c>
    </row>
    <row r="4845" customFormat="false" ht="15" hidden="false" customHeight="false" outlineLevel="0" collapsed="false">
      <c r="A4845" s="3" t="n">
        <v>4844</v>
      </c>
      <c r="B4845" s="3" t="n">
        <v>4843</v>
      </c>
      <c r="C4845" s="3" t="n">
        <v>6</v>
      </c>
      <c r="D4845" s="3" t="n">
        <v>4</v>
      </c>
      <c r="E4845" s="3" t="n">
        <v>27</v>
      </c>
      <c r="F4845" s="24" t="n">
        <v>0</v>
      </c>
    </row>
    <row r="4846" customFormat="false" ht="15" hidden="false" customHeight="false" outlineLevel="0" collapsed="false">
      <c r="A4846" s="3" t="n">
        <v>4845</v>
      </c>
      <c r="B4846" s="3" t="n">
        <v>4844</v>
      </c>
      <c r="C4846" s="3" t="n">
        <v>6</v>
      </c>
      <c r="D4846" s="3" t="n">
        <v>5</v>
      </c>
      <c r="E4846" s="3" t="n">
        <v>0</v>
      </c>
      <c r="F4846" s="24" t="n">
        <v>0.185572863</v>
      </c>
    </row>
    <row r="4847" customFormat="false" ht="15" hidden="false" customHeight="false" outlineLevel="0" collapsed="false">
      <c r="A4847" s="3" t="n">
        <v>4846</v>
      </c>
      <c r="B4847" s="3" t="n">
        <v>4845</v>
      </c>
      <c r="C4847" s="3" t="n">
        <v>6</v>
      </c>
      <c r="D4847" s="3" t="n">
        <v>5</v>
      </c>
      <c r="E4847" s="3" t="n">
        <v>1</v>
      </c>
      <c r="F4847" s="24" t="n">
        <v>0</v>
      </c>
    </row>
    <row r="4848" customFormat="false" ht="15" hidden="false" customHeight="false" outlineLevel="0" collapsed="false">
      <c r="A4848" s="3" t="n">
        <v>4847</v>
      </c>
      <c r="B4848" s="3" t="n">
        <v>4846</v>
      </c>
      <c r="C4848" s="3" t="n">
        <v>6</v>
      </c>
      <c r="D4848" s="3" t="n">
        <v>5</v>
      </c>
      <c r="E4848" s="3" t="n">
        <v>2</v>
      </c>
      <c r="F4848" s="24" t="n">
        <v>0</v>
      </c>
    </row>
    <row r="4849" customFormat="false" ht="15" hidden="false" customHeight="false" outlineLevel="0" collapsed="false">
      <c r="A4849" s="3" t="n">
        <v>4848</v>
      </c>
      <c r="B4849" s="3" t="n">
        <v>4847</v>
      </c>
      <c r="C4849" s="3" t="n">
        <v>6</v>
      </c>
      <c r="D4849" s="3" t="n">
        <v>5</v>
      </c>
      <c r="E4849" s="3" t="n">
        <v>3</v>
      </c>
      <c r="F4849" s="24" t="n">
        <v>0</v>
      </c>
    </row>
    <row r="4850" customFormat="false" ht="15" hidden="false" customHeight="false" outlineLevel="0" collapsed="false">
      <c r="A4850" s="3" t="n">
        <v>4849</v>
      </c>
      <c r="B4850" s="3" t="n">
        <v>4848</v>
      </c>
      <c r="C4850" s="3" t="n">
        <v>6</v>
      </c>
      <c r="D4850" s="3" t="n">
        <v>5</v>
      </c>
      <c r="E4850" s="3" t="n">
        <v>4</v>
      </c>
      <c r="F4850" s="24" t="n">
        <v>0</v>
      </c>
    </row>
    <row r="4851" customFormat="false" ht="15" hidden="false" customHeight="false" outlineLevel="0" collapsed="false">
      <c r="A4851" s="3" t="n">
        <v>4850</v>
      </c>
      <c r="B4851" s="3" t="n">
        <v>4849</v>
      </c>
      <c r="C4851" s="3" t="n">
        <v>6</v>
      </c>
      <c r="D4851" s="3" t="n">
        <v>5</v>
      </c>
      <c r="E4851" s="3" t="n">
        <v>5</v>
      </c>
      <c r="F4851" s="24" t="n">
        <v>0</v>
      </c>
    </row>
    <row r="4852" customFormat="false" ht="15" hidden="false" customHeight="false" outlineLevel="0" collapsed="false">
      <c r="A4852" s="3" t="n">
        <v>4851</v>
      </c>
      <c r="B4852" s="3" t="n">
        <v>4850</v>
      </c>
      <c r="C4852" s="3" t="n">
        <v>6</v>
      </c>
      <c r="D4852" s="3" t="n">
        <v>5</v>
      </c>
      <c r="E4852" s="3" t="n">
        <v>6</v>
      </c>
      <c r="F4852" s="24" t="n">
        <v>0</v>
      </c>
    </row>
    <row r="4853" customFormat="false" ht="15" hidden="false" customHeight="false" outlineLevel="0" collapsed="false">
      <c r="A4853" s="3" t="n">
        <v>4852</v>
      </c>
      <c r="B4853" s="3" t="n">
        <v>4851</v>
      </c>
      <c r="C4853" s="3" t="n">
        <v>6</v>
      </c>
      <c r="D4853" s="3" t="n">
        <v>5</v>
      </c>
      <c r="E4853" s="3" t="n">
        <v>7</v>
      </c>
      <c r="F4853" s="24" t="n">
        <v>0</v>
      </c>
    </row>
    <row r="4854" customFormat="false" ht="15" hidden="false" customHeight="false" outlineLevel="0" collapsed="false">
      <c r="A4854" s="3" t="n">
        <v>4853</v>
      </c>
      <c r="B4854" s="3" t="n">
        <v>4852</v>
      </c>
      <c r="C4854" s="3" t="n">
        <v>6</v>
      </c>
      <c r="D4854" s="3" t="n">
        <v>5</v>
      </c>
      <c r="E4854" s="3" t="n">
        <v>8</v>
      </c>
      <c r="F4854" s="24" t="n">
        <v>0</v>
      </c>
    </row>
    <row r="4855" customFormat="false" ht="15" hidden="false" customHeight="false" outlineLevel="0" collapsed="false">
      <c r="A4855" s="3" t="n">
        <v>4854</v>
      </c>
      <c r="B4855" s="3" t="n">
        <v>4853</v>
      </c>
      <c r="C4855" s="3" t="n">
        <v>6</v>
      </c>
      <c r="D4855" s="3" t="n">
        <v>5</v>
      </c>
      <c r="E4855" s="3" t="n">
        <v>9</v>
      </c>
      <c r="F4855" s="24" t="n">
        <v>0</v>
      </c>
    </row>
    <row r="4856" customFormat="false" ht="15" hidden="false" customHeight="false" outlineLevel="0" collapsed="false">
      <c r="A4856" s="3" t="n">
        <v>4855</v>
      </c>
      <c r="B4856" s="3" t="n">
        <v>4854</v>
      </c>
      <c r="C4856" s="3" t="n">
        <v>6</v>
      </c>
      <c r="D4856" s="3" t="n">
        <v>5</v>
      </c>
      <c r="E4856" s="3" t="n">
        <v>10</v>
      </c>
      <c r="F4856" s="24" t="n">
        <v>0</v>
      </c>
    </row>
    <row r="4857" customFormat="false" ht="15" hidden="false" customHeight="false" outlineLevel="0" collapsed="false">
      <c r="A4857" s="3" t="n">
        <v>4856</v>
      </c>
      <c r="B4857" s="3" t="n">
        <v>4855</v>
      </c>
      <c r="C4857" s="3" t="n">
        <v>6</v>
      </c>
      <c r="D4857" s="3" t="n">
        <v>5</v>
      </c>
      <c r="E4857" s="3" t="n">
        <v>11</v>
      </c>
      <c r="F4857" s="24" t="n">
        <v>0</v>
      </c>
    </row>
    <row r="4858" customFormat="false" ht="15" hidden="false" customHeight="false" outlineLevel="0" collapsed="false">
      <c r="A4858" s="3" t="n">
        <v>4857</v>
      </c>
      <c r="B4858" s="3" t="n">
        <v>4856</v>
      </c>
      <c r="C4858" s="3" t="n">
        <v>6</v>
      </c>
      <c r="D4858" s="3" t="n">
        <v>5</v>
      </c>
      <c r="E4858" s="3" t="n">
        <v>12</v>
      </c>
      <c r="F4858" s="24" t="n">
        <v>0</v>
      </c>
    </row>
    <row r="4859" customFormat="false" ht="15" hidden="false" customHeight="false" outlineLevel="0" collapsed="false">
      <c r="A4859" s="3" t="n">
        <v>4858</v>
      </c>
      <c r="B4859" s="3" t="n">
        <v>4857</v>
      </c>
      <c r="C4859" s="3" t="n">
        <v>6</v>
      </c>
      <c r="D4859" s="3" t="n">
        <v>5</v>
      </c>
      <c r="E4859" s="3" t="n">
        <v>13</v>
      </c>
      <c r="F4859" s="24" t="n">
        <v>0</v>
      </c>
    </row>
    <row r="4860" customFormat="false" ht="15" hidden="false" customHeight="false" outlineLevel="0" collapsed="false">
      <c r="A4860" s="3" t="n">
        <v>4859</v>
      </c>
      <c r="B4860" s="3" t="n">
        <v>4858</v>
      </c>
      <c r="C4860" s="3" t="n">
        <v>6</v>
      </c>
      <c r="D4860" s="3" t="n">
        <v>5</v>
      </c>
      <c r="E4860" s="3" t="n">
        <v>14</v>
      </c>
      <c r="F4860" s="24" t="n">
        <v>0</v>
      </c>
    </row>
    <row r="4861" customFormat="false" ht="15" hidden="false" customHeight="false" outlineLevel="0" collapsed="false">
      <c r="A4861" s="3" t="n">
        <v>4860</v>
      </c>
      <c r="B4861" s="3" t="n">
        <v>4859</v>
      </c>
      <c r="C4861" s="3" t="n">
        <v>6</v>
      </c>
      <c r="D4861" s="3" t="n">
        <v>5</v>
      </c>
      <c r="E4861" s="3" t="n">
        <v>15</v>
      </c>
      <c r="F4861" s="24" t="n">
        <v>0</v>
      </c>
    </row>
    <row r="4862" customFormat="false" ht="15" hidden="false" customHeight="false" outlineLevel="0" collapsed="false">
      <c r="A4862" s="3" t="n">
        <v>4861</v>
      </c>
      <c r="B4862" s="3" t="n">
        <v>4860</v>
      </c>
      <c r="C4862" s="3" t="n">
        <v>6</v>
      </c>
      <c r="D4862" s="3" t="n">
        <v>5</v>
      </c>
      <c r="E4862" s="3" t="n">
        <v>16</v>
      </c>
      <c r="F4862" s="24" t="n">
        <v>0</v>
      </c>
    </row>
    <row r="4863" customFormat="false" ht="15" hidden="false" customHeight="false" outlineLevel="0" collapsed="false">
      <c r="A4863" s="3" t="n">
        <v>4862</v>
      </c>
      <c r="B4863" s="3" t="n">
        <v>4861</v>
      </c>
      <c r="C4863" s="3" t="n">
        <v>6</v>
      </c>
      <c r="D4863" s="3" t="n">
        <v>5</v>
      </c>
      <c r="E4863" s="3" t="n">
        <v>17</v>
      </c>
      <c r="F4863" s="24" t="n">
        <v>0</v>
      </c>
    </row>
    <row r="4864" customFormat="false" ht="15" hidden="false" customHeight="false" outlineLevel="0" collapsed="false">
      <c r="A4864" s="3" t="n">
        <v>4863</v>
      </c>
      <c r="B4864" s="3" t="n">
        <v>4862</v>
      </c>
      <c r="C4864" s="3" t="n">
        <v>6</v>
      </c>
      <c r="D4864" s="3" t="n">
        <v>5</v>
      </c>
      <c r="E4864" s="3" t="n">
        <v>18</v>
      </c>
      <c r="F4864" s="24" t="n">
        <v>0</v>
      </c>
    </row>
    <row r="4865" customFormat="false" ht="15" hidden="false" customHeight="false" outlineLevel="0" collapsed="false">
      <c r="A4865" s="3" t="n">
        <v>4864</v>
      </c>
      <c r="B4865" s="3" t="n">
        <v>4863</v>
      </c>
      <c r="C4865" s="3" t="n">
        <v>6</v>
      </c>
      <c r="D4865" s="3" t="n">
        <v>5</v>
      </c>
      <c r="E4865" s="3" t="n">
        <v>19</v>
      </c>
      <c r="F4865" s="24" t="n">
        <v>0</v>
      </c>
    </row>
    <row r="4866" customFormat="false" ht="15" hidden="false" customHeight="false" outlineLevel="0" collapsed="false">
      <c r="A4866" s="3" t="n">
        <v>4865</v>
      </c>
      <c r="B4866" s="3" t="n">
        <v>4864</v>
      </c>
      <c r="C4866" s="3" t="n">
        <v>6</v>
      </c>
      <c r="D4866" s="3" t="n">
        <v>5</v>
      </c>
      <c r="E4866" s="3" t="n">
        <v>20</v>
      </c>
      <c r="F4866" s="24" t="n">
        <v>0</v>
      </c>
    </row>
    <row r="4867" customFormat="false" ht="15" hidden="false" customHeight="false" outlineLevel="0" collapsed="false">
      <c r="A4867" s="3" t="n">
        <v>4866</v>
      </c>
      <c r="B4867" s="3" t="n">
        <v>4865</v>
      </c>
      <c r="C4867" s="3" t="n">
        <v>6</v>
      </c>
      <c r="D4867" s="3" t="n">
        <v>5</v>
      </c>
      <c r="E4867" s="3" t="n">
        <v>21</v>
      </c>
      <c r="F4867" s="24" t="n">
        <v>0</v>
      </c>
    </row>
    <row r="4868" customFormat="false" ht="15" hidden="false" customHeight="false" outlineLevel="0" collapsed="false">
      <c r="A4868" s="3" t="n">
        <v>4867</v>
      </c>
      <c r="B4868" s="3" t="n">
        <v>4866</v>
      </c>
      <c r="C4868" s="3" t="n">
        <v>6</v>
      </c>
      <c r="D4868" s="3" t="n">
        <v>5</v>
      </c>
      <c r="E4868" s="3" t="n">
        <v>22</v>
      </c>
      <c r="F4868" s="24" t="n">
        <v>0</v>
      </c>
    </row>
    <row r="4869" customFormat="false" ht="15" hidden="false" customHeight="false" outlineLevel="0" collapsed="false">
      <c r="A4869" s="3" t="n">
        <v>4868</v>
      </c>
      <c r="B4869" s="3" t="n">
        <v>4867</v>
      </c>
      <c r="C4869" s="3" t="n">
        <v>6</v>
      </c>
      <c r="D4869" s="3" t="n">
        <v>5</v>
      </c>
      <c r="E4869" s="3" t="n">
        <v>23</v>
      </c>
      <c r="F4869" s="24" t="n">
        <v>0</v>
      </c>
    </row>
    <row r="4870" customFormat="false" ht="15" hidden="false" customHeight="false" outlineLevel="0" collapsed="false">
      <c r="A4870" s="3" t="n">
        <v>4869</v>
      </c>
      <c r="B4870" s="3" t="n">
        <v>4868</v>
      </c>
      <c r="C4870" s="3" t="n">
        <v>6</v>
      </c>
      <c r="D4870" s="3" t="n">
        <v>5</v>
      </c>
      <c r="E4870" s="3" t="n">
        <v>24</v>
      </c>
      <c r="F4870" s="24" t="n">
        <v>0</v>
      </c>
    </row>
    <row r="4871" customFormat="false" ht="15" hidden="false" customHeight="false" outlineLevel="0" collapsed="false">
      <c r="A4871" s="3" t="n">
        <v>4870</v>
      </c>
      <c r="B4871" s="3" t="n">
        <v>4869</v>
      </c>
      <c r="C4871" s="3" t="n">
        <v>6</v>
      </c>
      <c r="D4871" s="3" t="n">
        <v>5</v>
      </c>
      <c r="E4871" s="3" t="n">
        <v>25</v>
      </c>
      <c r="F4871" s="24" t="n">
        <v>0</v>
      </c>
    </row>
    <row r="4872" customFormat="false" ht="15" hidden="false" customHeight="false" outlineLevel="0" collapsed="false">
      <c r="A4872" s="3" t="n">
        <v>4871</v>
      </c>
      <c r="B4872" s="3" t="n">
        <v>4870</v>
      </c>
      <c r="C4872" s="3" t="n">
        <v>6</v>
      </c>
      <c r="D4872" s="3" t="n">
        <v>5</v>
      </c>
      <c r="E4872" s="3" t="n">
        <v>26</v>
      </c>
      <c r="F4872" s="24" t="n">
        <v>0</v>
      </c>
    </row>
    <row r="4873" customFormat="false" ht="15" hidden="false" customHeight="false" outlineLevel="0" collapsed="false">
      <c r="A4873" s="3" t="n">
        <v>4872</v>
      </c>
      <c r="B4873" s="3" t="n">
        <v>4871</v>
      </c>
      <c r="C4873" s="3" t="n">
        <v>6</v>
      </c>
      <c r="D4873" s="3" t="n">
        <v>5</v>
      </c>
      <c r="E4873" s="3" t="n">
        <v>27</v>
      </c>
      <c r="F4873" s="24" t="n">
        <v>0</v>
      </c>
    </row>
    <row r="4874" customFormat="false" ht="15" hidden="false" customHeight="false" outlineLevel="0" collapsed="false">
      <c r="A4874" s="3" t="n">
        <v>4873</v>
      </c>
      <c r="B4874" s="3" t="n">
        <v>4872</v>
      </c>
      <c r="C4874" s="3" t="n">
        <v>6</v>
      </c>
      <c r="D4874" s="3" t="n">
        <v>6</v>
      </c>
      <c r="E4874" s="3" t="n">
        <v>0</v>
      </c>
      <c r="F4874" s="24" t="n">
        <v>0.185572863</v>
      </c>
    </row>
    <row r="4875" customFormat="false" ht="15" hidden="false" customHeight="false" outlineLevel="0" collapsed="false">
      <c r="A4875" s="3" t="n">
        <v>4874</v>
      </c>
      <c r="B4875" s="3" t="n">
        <v>4873</v>
      </c>
      <c r="C4875" s="3" t="n">
        <v>6</v>
      </c>
      <c r="D4875" s="3" t="n">
        <v>6</v>
      </c>
      <c r="E4875" s="3" t="n">
        <v>1</v>
      </c>
      <c r="F4875" s="24" t="n">
        <v>0</v>
      </c>
    </row>
    <row r="4876" customFormat="false" ht="15" hidden="false" customHeight="false" outlineLevel="0" collapsed="false">
      <c r="A4876" s="3" t="n">
        <v>4875</v>
      </c>
      <c r="B4876" s="3" t="n">
        <v>4874</v>
      </c>
      <c r="C4876" s="3" t="n">
        <v>6</v>
      </c>
      <c r="D4876" s="3" t="n">
        <v>6</v>
      </c>
      <c r="E4876" s="3" t="n">
        <v>2</v>
      </c>
      <c r="F4876" s="24" t="n">
        <v>0</v>
      </c>
    </row>
    <row r="4877" customFormat="false" ht="15" hidden="false" customHeight="false" outlineLevel="0" collapsed="false">
      <c r="A4877" s="3" t="n">
        <v>4876</v>
      </c>
      <c r="B4877" s="3" t="n">
        <v>4875</v>
      </c>
      <c r="C4877" s="3" t="n">
        <v>6</v>
      </c>
      <c r="D4877" s="3" t="n">
        <v>6</v>
      </c>
      <c r="E4877" s="3" t="n">
        <v>3</v>
      </c>
      <c r="F4877" s="24" t="n">
        <v>0</v>
      </c>
    </row>
    <row r="4878" customFormat="false" ht="15" hidden="false" customHeight="false" outlineLevel="0" collapsed="false">
      <c r="A4878" s="3" t="n">
        <v>4877</v>
      </c>
      <c r="B4878" s="3" t="n">
        <v>4876</v>
      </c>
      <c r="C4878" s="3" t="n">
        <v>6</v>
      </c>
      <c r="D4878" s="3" t="n">
        <v>6</v>
      </c>
      <c r="E4878" s="3" t="n">
        <v>4</v>
      </c>
      <c r="F4878" s="24" t="n">
        <v>0</v>
      </c>
    </row>
    <row r="4879" customFormat="false" ht="15" hidden="false" customHeight="false" outlineLevel="0" collapsed="false">
      <c r="A4879" s="3" t="n">
        <v>4878</v>
      </c>
      <c r="B4879" s="3" t="n">
        <v>4877</v>
      </c>
      <c r="C4879" s="3" t="n">
        <v>6</v>
      </c>
      <c r="D4879" s="3" t="n">
        <v>6</v>
      </c>
      <c r="E4879" s="3" t="n">
        <v>5</v>
      </c>
      <c r="F4879" s="24" t="n">
        <v>0</v>
      </c>
    </row>
    <row r="4880" customFormat="false" ht="15" hidden="false" customHeight="false" outlineLevel="0" collapsed="false">
      <c r="A4880" s="3" t="n">
        <v>4879</v>
      </c>
      <c r="B4880" s="3" t="n">
        <v>4878</v>
      </c>
      <c r="C4880" s="3" t="n">
        <v>6</v>
      </c>
      <c r="D4880" s="3" t="n">
        <v>6</v>
      </c>
      <c r="E4880" s="3" t="n">
        <v>6</v>
      </c>
      <c r="F4880" s="24" t="n">
        <v>0</v>
      </c>
    </row>
    <row r="4881" customFormat="false" ht="15" hidden="false" customHeight="false" outlineLevel="0" collapsed="false">
      <c r="A4881" s="3" t="n">
        <v>4880</v>
      </c>
      <c r="B4881" s="3" t="n">
        <v>4879</v>
      </c>
      <c r="C4881" s="3" t="n">
        <v>6</v>
      </c>
      <c r="D4881" s="3" t="n">
        <v>6</v>
      </c>
      <c r="E4881" s="3" t="n">
        <v>7</v>
      </c>
      <c r="F4881" s="24" t="n">
        <v>0</v>
      </c>
    </row>
    <row r="4882" customFormat="false" ht="15" hidden="false" customHeight="false" outlineLevel="0" collapsed="false">
      <c r="A4882" s="3" t="n">
        <v>4881</v>
      </c>
      <c r="B4882" s="3" t="n">
        <v>4880</v>
      </c>
      <c r="C4882" s="3" t="n">
        <v>6</v>
      </c>
      <c r="D4882" s="3" t="n">
        <v>6</v>
      </c>
      <c r="E4882" s="3" t="n">
        <v>8</v>
      </c>
      <c r="F4882" s="24" t="n">
        <v>0</v>
      </c>
    </row>
    <row r="4883" customFormat="false" ht="15" hidden="false" customHeight="false" outlineLevel="0" collapsed="false">
      <c r="A4883" s="3" t="n">
        <v>4882</v>
      </c>
      <c r="B4883" s="3" t="n">
        <v>4881</v>
      </c>
      <c r="C4883" s="3" t="n">
        <v>6</v>
      </c>
      <c r="D4883" s="3" t="n">
        <v>6</v>
      </c>
      <c r="E4883" s="3" t="n">
        <v>9</v>
      </c>
      <c r="F4883" s="24" t="n">
        <v>0</v>
      </c>
    </row>
    <row r="4884" customFormat="false" ht="15" hidden="false" customHeight="false" outlineLevel="0" collapsed="false">
      <c r="A4884" s="3" t="n">
        <v>4883</v>
      </c>
      <c r="B4884" s="3" t="n">
        <v>4882</v>
      </c>
      <c r="C4884" s="3" t="n">
        <v>6</v>
      </c>
      <c r="D4884" s="3" t="n">
        <v>6</v>
      </c>
      <c r="E4884" s="3" t="n">
        <v>10</v>
      </c>
      <c r="F4884" s="24" t="n">
        <v>0</v>
      </c>
    </row>
    <row r="4885" customFormat="false" ht="15" hidden="false" customHeight="false" outlineLevel="0" collapsed="false">
      <c r="A4885" s="3" t="n">
        <v>4884</v>
      </c>
      <c r="B4885" s="3" t="n">
        <v>4883</v>
      </c>
      <c r="C4885" s="3" t="n">
        <v>6</v>
      </c>
      <c r="D4885" s="3" t="n">
        <v>6</v>
      </c>
      <c r="E4885" s="3" t="n">
        <v>11</v>
      </c>
      <c r="F4885" s="24" t="n">
        <v>0</v>
      </c>
    </row>
    <row r="4886" customFormat="false" ht="15" hidden="false" customHeight="false" outlineLevel="0" collapsed="false">
      <c r="A4886" s="3" t="n">
        <v>4885</v>
      </c>
      <c r="B4886" s="3" t="n">
        <v>4884</v>
      </c>
      <c r="C4886" s="3" t="n">
        <v>6</v>
      </c>
      <c r="D4886" s="3" t="n">
        <v>6</v>
      </c>
      <c r="E4886" s="3" t="n">
        <v>12</v>
      </c>
      <c r="F4886" s="24" t="n">
        <v>0.056651175</v>
      </c>
    </row>
    <row r="4887" customFormat="false" ht="15" hidden="false" customHeight="false" outlineLevel="0" collapsed="false">
      <c r="A4887" s="3" t="n">
        <v>4886</v>
      </c>
      <c r="B4887" s="3" t="n">
        <v>4885</v>
      </c>
      <c r="C4887" s="3" t="n">
        <v>6</v>
      </c>
      <c r="D4887" s="3" t="n">
        <v>6</v>
      </c>
      <c r="E4887" s="3" t="n">
        <v>13</v>
      </c>
      <c r="F4887" s="24" t="n">
        <v>0</v>
      </c>
    </row>
    <row r="4888" customFormat="false" ht="15" hidden="false" customHeight="false" outlineLevel="0" collapsed="false">
      <c r="A4888" s="3" t="n">
        <v>4887</v>
      </c>
      <c r="B4888" s="3" t="n">
        <v>4886</v>
      </c>
      <c r="C4888" s="3" t="n">
        <v>6</v>
      </c>
      <c r="D4888" s="3" t="n">
        <v>6</v>
      </c>
      <c r="E4888" s="3" t="n">
        <v>14</v>
      </c>
      <c r="F4888" s="24" t="n">
        <v>0</v>
      </c>
    </row>
    <row r="4889" customFormat="false" ht="15" hidden="false" customHeight="false" outlineLevel="0" collapsed="false">
      <c r="A4889" s="3" t="n">
        <v>4888</v>
      </c>
      <c r="B4889" s="3" t="n">
        <v>4887</v>
      </c>
      <c r="C4889" s="3" t="n">
        <v>6</v>
      </c>
      <c r="D4889" s="3" t="n">
        <v>6</v>
      </c>
      <c r="E4889" s="3" t="n">
        <v>15</v>
      </c>
      <c r="F4889" s="24" t="n">
        <v>0</v>
      </c>
    </row>
    <row r="4890" customFormat="false" ht="15" hidden="false" customHeight="false" outlineLevel="0" collapsed="false">
      <c r="A4890" s="3" t="n">
        <v>4889</v>
      </c>
      <c r="B4890" s="3" t="n">
        <v>4888</v>
      </c>
      <c r="C4890" s="3" t="n">
        <v>6</v>
      </c>
      <c r="D4890" s="3" t="n">
        <v>6</v>
      </c>
      <c r="E4890" s="3" t="n">
        <v>16</v>
      </c>
      <c r="F4890" s="24" t="n">
        <v>0</v>
      </c>
    </row>
    <row r="4891" customFormat="false" ht="15" hidden="false" customHeight="false" outlineLevel="0" collapsed="false">
      <c r="A4891" s="3" t="n">
        <v>4890</v>
      </c>
      <c r="B4891" s="3" t="n">
        <v>4889</v>
      </c>
      <c r="C4891" s="3" t="n">
        <v>6</v>
      </c>
      <c r="D4891" s="3" t="n">
        <v>6</v>
      </c>
      <c r="E4891" s="3" t="n">
        <v>17</v>
      </c>
      <c r="F4891" s="24" t="n">
        <v>0</v>
      </c>
    </row>
    <row r="4892" customFormat="false" ht="15" hidden="false" customHeight="false" outlineLevel="0" collapsed="false">
      <c r="A4892" s="3" t="n">
        <v>4891</v>
      </c>
      <c r="B4892" s="3" t="n">
        <v>4890</v>
      </c>
      <c r="C4892" s="3" t="n">
        <v>6</v>
      </c>
      <c r="D4892" s="3" t="n">
        <v>6</v>
      </c>
      <c r="E4892" s="3" t="n">
        <v>18</v>
      </c>
      <c r="F4892" s="24" t="n">
        <v>0</v>
      </c>
    </row>
    <row r="4893" customFormat="false" ht="15" hidden="false" customHeight="false" outlineLevel="0" collapsed="false">
      <c r="A4893" s="3" t="n">
        <v>4892</v>
      </c>
      <c r="B4893" s="3" t="n">
        <v>4891</v>
      </c>
      <c r="C4893" s="3" t="n">
        <v>6</v>
      </c>
      <c r="D4893" s="3" t="n">
        <v>6</v>
      </c>
      <c r="E4893" s="3" t="n">
        <v>19</v>
      </c>
      <c r="F4893" s="24" t="n">
        <v>0</v>
      </c>
    </row>
    <row r="4894" customFormat="false" ht="15" hidden="false" customHeight="false" outlineLevel="0" collapsed="false">
      <c r="A4894" s="3" t="n">
        <v>4893</v>
      </c>
      <c r="B4894" s="3" t="n">
        <v>4892</v>
      </c>
      <c r="C4894" s="3" t="n">
        <v>6</v>
      </c>
      <c r="D4894" s="3" t="n">
        <v>6</v>
      </c>
      <c r="E4894" s="3" t="n">
        <v>20</v>
      </c>
      <c r="F4894" s="24" t="n">
        <v>0</v>
      </c>
    </row>
    <row r="4895" customFormat="false" ht="15" hidden="false" customHeight="false" outlineLevel="0" collapsed="false">
      <c r="A4895" s="3" t="n">
        <v>4894</v>
      </c>
      <c r="B4895" s="3" t="n">
        <v>4893</v>
      </c>
      <c r="C4895" s="3" t="n">
        <v>6</v>
      </c>
      <c r="D4895" s="3" t="n">
        <v>6</v>
      </c>
      <c r="E4895" s="3" t="n">
        <v>21</v>
      </c>
      <c r="F4895" s="24" t="n">
        <v>0</v>
      </c>
    </row>
    <row r="4896" customFormat="false" ht="15" hidden="false" customHeight="false" outlineLevel="0" collapsed="false">
      <c r="A4896" s="3" t="n">
        <v>4895</v>
      </c>
      <c r="B4896" s="3" t="n">
        <v>4894</v>
      </c>
      <c r="C4896" s="3" t="n">
        <v>6</v>
      </c>
      <c r="D4896" s="3" t="n">
        <v>6</v>
      </c>
      <c r="E4896" s="3" t="n">
        <v>22</v>
      </c>
      <c r="F4896" s="24" t="n">
        <v>0</v>
      </c>
    </row>
    <row r="4897" customFormat="false" ht="15" hidden="false" customHeight="false" outlineLevel="0" collapsed="false">
      <c r="A4897" s="3" t="n">
        <v>4896</v>
      </c>
      <c r="B4897" s="3" t="n">
        <v>4895</v>
      </c>
      <c r="C4897" s="3" t="n">
        <v>6</v>
      </c>
      <c r="D4897" s="3" t="n">
        <v>6</v>
      </c>
      <c r="E4897" s="3" t="n">
        <v>23</v>
      </c>
      <c r="F4897" s="24" t="n">
        <v>0</v>
      </c>
    </row>
    <row r="4898" customFormat="false" ht="15" hidden="false" customHeight="false" outlineLevel="0" collapsed="false">
      <c r="A4898" s="3" t="n">
        <v>4897</v>
      </c>
      <c r="B4898" s="3" t="n">
        <v>4896</v>
      </c>
      <c r="C4898" s="3" t="n">
        <v>6</v>
      </c>
      <c r="D4898" s="3" t="n">
        <v>6</v>
      </c>
      <c r="E4898" s="3" t="n">
        <v>24</v>
      </c>
      <c r="F4898" s="24" t="n">
        <v>0</v>
      </c>
    </row>
    <row r="4899" customFormat="false" ht="15" hidden="false" customHeight="false" outlineLevel="0" collapsed="false">
      <c r="A4899" s="3" t="n">
        <v>4898</v>
      </c>
      <c r="B4899" s="3" t="n">
        <v>4897</v>
      </c>
      <c r="C4899" s="3" t="n">
        <v>6</v>
      </c>
      <c r="D4899" s="3" t="n">
        <v>6</v>
      </c>
      <c r="E4899" s="3" t="n">
        <v>25</v>
      </c>
      <c r="F4899" s="24" t="n">
        <v>0</v>
      </c>
    </row>
    <row r="4900" customFormat="false" ht="15" hidden="false" customHeight="false" outlineLevel="0" collapsed="false">
      <c r="A4900" s="3" t="n">
        <v>4899</v>
      </c>
      <c r="B4900" s="3" t="n">
        <v>4898</v>
      </c>
      <c r="C4900" s="3" t="n">
        <v>6</v>
      </c>
      <c r="D4900" s="3" t="n">
        <v>6</v>
      </c>
      <c r="E4900" s="3" t="n">
        <v>26</v>
      </c>
      <c r="F4900" s="24" t="n">
        <v>0</v>
      </c>
    </row>
    <row r="4901" customFormat="false" ht="15" hidden="false" customHeight="false" outlineLevel="0" collapsed="false">
      <c r="A4901" s="3" t="n">
        <v>4900</v>
      </c>
      <c r="B4901" s="3" t="n">
        <v>4899</v>
      </c>
      <c r="C4901" s="3" t="n">
        <v>6</v>
      </c>
      <c r="D4901" s="3" t="n">
        <v>6</v>
      </c>
      <c r="E4901" s="3" t="n">
        <v>27</v>
      </c>
      <c r="F4901" s="24" t="n">
        <v>0</v>
      </c>
    </row>
    <row r="4902" customFormat="false" ht="15" hidden="false" customHeight="false" outlineLevel="0" collapsed="false">
      <c r="A4902" s="3" t="n">
        <v>4901</v>
      </c>
      <c r="B4902" s="3" t="n">
        <v>4900</v>
      </c>
      <c r="C4902" s="3" t="n">
        <v>6</v>
      </c>
      <c r="D4902" s="3" t="n">
        <v>7</v>
      </c>
      <c r="E4902" s="3" t="n">
        <v>0</v>
      </c>
      <c r="F4902" s="24" t="n">
        <v>0.185572863</v>
      </c>
    </row>
    <row r="4903" customFormat="false" ht="15" hidden="false" customHeight="false" outlineLevel="0" collapsed="false">
      <c r="A4903" s="3" t="n">
        <v>4902</v>
      </c>
      <c r="B4903" s="3" t="n">
        <v>4901</v>
      </c>
      <c r="C4903" s="3" t="n">
        <v>6</v>
      </c>
      <c r="D4903" s="3" t="n">
        <v>7</v>
      </c>
      <c r="E4903" s="3" t="n">
        <v>1</v>
      </c>
      <c r="F4903" s="24" t="n">
        <v>0</v>
      </c>
    </row>
    <row r="4904" customFormat="false" ht="15" hidden="false" customHeight="false" outlineLevel="0" collapsed="false">
      <c r="A4904" s="3" t="n">
        <v>4903</v>
      </c>
      <c r="B4904" s="3" t="n">
        <v>4902</v>
      </c>
      <c r="C4904" s="3" t="n">
        <v>6</v>
      </c>
      <c r="D4904" s="3" t="n">
        <v>7</v>
      </c>
      <c r="E4904" s="3" t="n">
        <v>2</v>
      </c>
      <c r="F4904" s="24" t="n">
        <v>0</v>
      </c>
    </row>
    <row r="4905" customFormat="false" ht="15" hidden="false" customHeight="false" outlineLevel="0" collapsed="false">
      <c r="A4905" s="3" t="n">
        <v>4904</v>
      </c>
      <c r="B4905" s="3" t="n">
        <v>4903</v>
      </c>
      <c r="C4905" s="3" t="n">
        <v>6</v>
      </c>
      <c r="D4905" s="3" t="n">
        <v>7</v>
      </c>
      <c r="E4905" s="3" t="n">
        <v>3</v>
      </c>
      <c r="F4905" s="24" t="n">
        <v>0</v>
      </c>
    </row>
    <row r="4906" customFormat="false" ht="15" hidden="false" customHeight="false" outlineLevel="0" collapsed="false">
      <c r="A4906" s="3" t="n">
        <v>4905</v>
      </c>
      <c r="B4906" s="3" t="n">
        <v>4904</v>
      </c>
      <c r="C4906" s="3" t="n">
        <v>6</v>
      </c>
      <c r="D4906" s="3" t="n">
        <v>7</v>
      </c>
      <c r="E4906" s="3" t="n">
        <v>4</v>
      </c>
      <c r="F4906" s="24" t="n">
        <v>0</v>
      </c>
    </row>
    <row r="4907" customFormat="false" ht="15" hidden="false" customHeight="false" outlineLevel="0" collapsed="false">
      <c r="A4907" s="3" t="n">
        <v>4906</v>
      </c>
      <c r="B4907" s="3" t="n">
        <v>4905</v>
      </c>
      <c r="C4907" s="3" t="n">
        <v>6</v>
      </c>
      <c r="D4907" s="3" t="n">
        <v>7</v>
      </c>
      <c r="E4907" s="3" t="n">
        <v>5</v>
      </c>
      <c r="F4907" s="24" t="n">
        <v>0</v>
      </c>
    </row>
    <row r="4908" customFormat="false" ht="15" hidden="false" customHeight="false" outlineLevel="0" collapsed="false">
      <c r="A4908" s="3" t="n">
        <v>4907</v>
      </c>
      <c r="B4908" s="3" t="n">
        <v>4906</v>
      </c>
      <c r="C4908" s="3" t="n">
        <v>6</v>
      </c>
      <c r="D4908" s="3" t="n">
        <v>7</v>
      </c>
      <c r="E4908" s="3" t="n">
        <v>6</v>
      </c>
      <c r="F4908" s="24" t="n">
        <v>0</v>
      </c>
    </row>
    <row r="4909" customFormat="false" ht="15" hidden="false" customHeight="false" outlineLevel="0" collapsed="false">
      <c r="A4909" s="3" t="n">
        <v>4908</v>
      </c>
      <c r="B4909" s="3" t="n">
        <v>4907</v>
      </c>
      <c r="C4909" s="3" t="n">
        <v>6</v>
      </c>
      <c r="D4909" s="3" t="n">
        <v>7</v>
      </c>
      <c r="E4909" s="3" t="n">
        <v>7</v>
      </c>
      <c r="F4909" s="24" t="n">
        <v>0</v>
      </c>
    </row>
    <row r="4910" customFormat="false" ht="15" hidden="false" customHeight="false" outlineLevel="0" collapsed="false">
      <c r="A4910" s="3" t="n">
        <v>4909</v>
      </c>
      <c r="B4910" s="3" t="n">
        <v>4908</v>
      </c>
      <c r="C4910" s="3" t="n">
        <v>6</v>
      </c>
      <c r="D4910" s="3" t="n">
        <v>7</v>
      </c>
      <c r="E4910" s="3" t="n">
        <v>8</v>
      </c>
      <c r="F4910" s="24" t="n">
        <v>0.0163539648</v>
      </c>
    </row>
    <row r="4911" customFormat="false" ht="15" hidden="false" customHeight="false" outlineLevel="0" collapsed="false">
      <c r="A4911" s="3" t="n">
        <v>4910</v>
      </c>
      <c r="B4911" s="3" t="n">
        <v>4909</v>
      </c>
      <c r="C4911" s="3" t="n">
        <v>6</v>
      </c>
      <c r="D4911" s="3" t="n">
        <v>7</v>
      </c>
      <c r="E4911" s="3" t="n">
        <v>9</v>
      </c>
      <c r="F4911" s="24" t="n">
        <v>0.216920614</v>
      </c>
    </row>
    <row r="4912" customFormat="false" ht="15" hidden="false" customHeight="false" outlineLevel="0" collapsed="false">
      <c r="A4912" s="3" t="n">
        <v>4911</v>
      </c>
      <c r="B4912" s="3" t="n">
        <v>4910</v>
      </c>
      <c r="C4912" s="3" t="n">
        <v>6</v>
      </c>
      <c r="D4912" s="3" t="n">
        <v>7</v>
      </c>
      <c r="E4912" s="3" t="n">
        <v>10</v>
      </c>
      <c r="F4912" s="24" t="n">
        <v>0</v>
      </c>
    </row>
    <row r="4913" customFormat="false" ht="15" hidden="false" customHeight="false" outlineLevel="0" collapsed="false">
      <c r="A4913" s="3" t="n">
        <v>4912</v>
      </c>
      <c r="B4913" s="3" t="n">
        <v>4911</v>
      </c>
      <c r="C4913" s="3" t="n">
        <v>6</v>
      </c>
      <c r="D4913" s="3" t="n">
        <v>7</v>
      </c>
      <c r="E4913" s="3" t="n">
        <v>11</v>
      </c>
      <c r="F4913" s="24" t="n">
        <v>0</v>
      </c>
    </row>
    <row r="4914" customFormat="false" ht="15" hidden="false" customHeight="false" outlineLevel="0" collapsed="false">
      <c r="A4914" s="3" t="n">
        <v>4913</v>
      </c>
      <c r="B4914" s="3" t="n">
        <v>4912</v>
      </c>
      <c r="C4914" s="3" t="n">
        <v>6</v>
      </c>
      <c r="D4914" s="3" t="n">
        <v>7</v>
      </c>
      <c r="E4914" s="3" t="n">
        <v>12</v>
      </c>
      <c r="F4914" s="24" t="n">
        <v>0</v>
      </c>
    </row>
    <row r="4915" customFormat="false" ht="15" hidden="false" customHeight="false" outlineLevel="0" collapsed="false">
      <c r="A4915" s="3" t="n">
        <v>4914</v>
      </c>
      <c r="B4915" s="3" t="n">
        <v>4913</v>
      </c>
      <c r="C4915" s="3" t="n">
        <v>6</v>
      </c>
      <c r="D4915" s="3" t="n">
        <v>7</v>
      </c>
      <c r="E4915" s="3" t="n">
        <v>13</v>
      </c>
      <c r="F4915" s="24" t="n">
        <v>0</v>
      </c>
    </row>
    <row r="4916" customFormat="false" ht="15" hidden="false" customHeight="false" outlineLevel="0" collapsed="false">
      <c r="A4916" s="3" t="n">
        <v>4915</v>
      </c>
      <c r="B4916" s="3" t="n">
        <v>4914</v>
      </c>
      <c r="C4916" s="3" t="n">
        <v>6</v>
      </c>
      <c r="D4916" s="3" t="n">
        <v>7</v>
      </c>
      <c r="E4916" s="3" t="n">
        <v>14</v>
      </c>
      <c r="F4916" s="24" t="n">
        <v>0</v>
      </c>
    </row>
    <row r="4917" customFormat="false" ht="15" hidden="false" customHeight="false" outlineLevel="0" collapsed="false">
      <c r="A4917" s="3" t="n">
        <v>4916</v>
      </c>
      <c r="B4917" s="3" t="n">
        <v>4915</v>
      </c>
      <c r="C4917" s="3" t="n">
        <v>6</v>
      </c>
      <c r="D4917" s="3" t="n">
        <v>7</v>
      </c>
      <c r="E4917" s="3" t="n">
        <v>15</v>
      </c>
      <c r="F4917" s="24" t="n">
        <v>0</v>
      </c>
    </row>
    <row r="4918" customFormat="false" ht="15" hidden="false" customHeight="false" outlineLevel="0" collapsed="false">
      <c r="A4918" s="3" t="n">
        <v>4917</v>
      </c>
      <c r="B4918" s="3" t="n">
        <v>4916</v>
      </c>
      <c r="C4918" s="3" t="n">
        <v>6</v>
      </c>
      <c r="D4918" s="3" t="n">
        <v>7</v>
      </c>
      <c r="E4918" s="3" t="n">
        <v>16</v>
      </c>
      <c r="F4918" s="24" t="n">
        <v>0</v>
      </c>
    </row>
    <row r="4919" customFormat="false" ht="15" hidden="false" customHeight="false" outlineLevel="0" collapsed="false">
      <c r="A4919" s="3" t="n">
        <v>4918</v>
      </c>
      <c r="B4919" s="3" t="n">
        <v>4917</v>
      </c>
      <c r="C4919" s="3" t="n">
        <v>6</v>
      </c>
      <c r="D4919" s="3" t="n">
        <v>7</v>
      </c>
      <c r="E4919" s="3" t="n">
        <v>17</v>
      </c>
      <c r="F4919" s="24" t="n">
        <v>0</v>
      </c>
    </row>
    <row r="4920" customFormat="false" ht="15" hidden="false" customHeight="false" outlineLevel="0" collapsed="false">
      <c r="A4920" s="3" t="n">
        <v>4919</v>
      </c>
      <c r="B4920" s="3" t="n">
        <v>4918</v>
      </c>
      <c r="C4920" s="3" t="n">
        <v>6</v>
      </c>
      <c r="D4920" s="3" t="n">
        <v>7</v>
      </c>
      <c r="E4920" s="3" t="n">
        <v>18</v>
      </c>
      <c r="F4920" s="24" t="n">
        <v>0</v>
      </c>
    </row>
    <row r="4921" customFormat="false" ht="15" hidden="false" customHeight="false" outlineLevel="0" collapsed="false">
      <c r="A4921" s="3" t="n">
        <v>4920</v>
      </c>
      <c r="B4921" s="3" t="n">
        <v>4919</v>
      </c>
      <c r="C4921" s="3" t="n">
        <v>6</v>
      </c>
      <c r="D4921" s="3" t="n">
        <v>7</v>
      </c>
      <c r="E4921" s="3" t="n">
        <v>19</v>
      </c>
      <c r="F4921" s="24" t="n">
        <v>0</v>
      </c>
    </row>
    <row r="4922" customFormat="false" ht="15" hidden="false" customHeight="false" outlineLevel="0" collapsed="false">
      <c r="A4922" s="3" t="n">
        <v>4921</v>
      </c>
      <c r="B4922" s="3" t="n">
        <v>4920</v>
      </c>
      <c r="C4922" s="3" t="n">
        <v>6</v>
      </c>
      <c r="D4922" s="3" t="n">
        <v>7</v>
      </c>
      <c r="E4922" s="3" t="n">
        <v>20</v>
      </c>
      <c r="F4922" s="24" t="n">
        <v>0</v>
      </c>
    </row>
    <row r="4923" customFormat="false" ht="15" hidden="false" customHeight="false" outlineLevel="0" collapsed="false">
      <c r="A4923" s="3" t="n">
        <v>4922</v>
      </c>
      <c r="B4923" s="3" t="n">
        <v>4921</v>
      </c>
      <c r="C4923" s="3" t="n">
        <v>6</v>
      </c>
      <c r="D4923" s="3" t="n">
        <v>7</v>
      </c>
      <c r="E4923" s="3" t="n">
        <v>21</v>
      </c>
      <c r="F4923" s="24" t="n">
        <v>0.133768812</v>
      </c>
    </row>
    <row r="4924" customFormat="false" ht="15" hidden="false" customHeight="false" outlineLevel="0" collapsed="false">
      <c r="A4924" s="3" t="n">
        <v>4923</v>
      </c>
      <c r="B4924" s="3" t="n">
        <v>4922</v>
      </c>
      <c r="C4924" s="3" t="n">
        <v>6</v>
      </c>
      <c r="D4924" s="3" t="n">
        <v>7</v>
      </c>
      <c r="E4924" s="3" t="n">
        <v>22</v>
      </c>
      <c r="F4924" s="24" t="n">
        <v>0.0848116279</v>
      </c>
    </row>
    <row r="4925" customFormat="false" ht="15" hidden="false" customHeight="false" outlineLevel="0" collapsed="false">
      <c r="A4925" s="3" t="n">
        <v>4924</v>
      </c>
      <c r="B4925" s="3" t="n">
        <v>4923</v>
      </c>
      <c r="C4925" s="3" t="n">
        <v>6</v>
      </c>
      <c r="D4925" s="3" t="n">
        <v>7</v>
      </c>
      <c r="E4925" s="3" t="n">
        <v>23</v>
      </c>
      <c r="F4925" s="24" t="n">
        <v>0</v>
      </c>
    </row>
    <row r="4926" customFormat="false" ht="15" hidden="false" customHeight="false" outlineLevel="0" collapsed="false">
      <c r="A4926" s="3" t="n">
        <v>4925</v>
      </c>
      <c r="B4926" s="3" t="n">
        <v>4924</v>
      </c>
      <c r="C4926" s="3" t="n">
        <v>6</v>
      </c>
      <c r="D4926" s="3" t="n">
        <v>7</v>
      </c>
      <c r="E4926" s="3" t="n">
        <v>24</v>
      </c>
      <c r="F4926" s="24" t="n">
        <v>0</v>
      </c>
    </row>
    <row r="4927" customFormat="false" ht="15" hidden="false" customHeight="false" outlineLevel="0" collapsed="false">
      <c r="A4927" s="3" t="n">
        <v>4926</v>
      </c>
      <c r="B4927" s="3" t="n">
        <v>4925</v>
      </c>
      <c r="C4927" s="3" t="n">
        <v>6</v>
      </c>
      <c r="D4927" s="3" t="n">
        <v>7</v>
      </c>
      <c r="E4927" s="3" t="n">
        <v>25</v>
      </c>
      <c r="F4927" s="24" t="n">
        <v>0</v>
      </c>
    </row>
    <row r="4928" customFormat="false" ht="15" hidden="false" customHeight="false" outlineLevel="0" collapsed="false">
      <c r="A4928" s="3" t="n">
        <v>4927</v>
      </c>
      <c r="B4928" s="3" t="n">
        <v>4926</v>
      </c>
      <c r="C4928" s="3" t="n">
        <v>6</v>
      </c>
      <c r="D4928" s="3" t="n">
        <v>7</v>
      </c>
      <c r="E4928" s="3" t="n">
        <v>26</v>
      </c>
      <c r="F4928" s="24" t="n">
        <v>0</v>
      </c>
    </row>
    <row r="4929" customFormat="false" ht="15" hidden="false" customHeight="false" outlineLevel="0" collapsed="false">
      <c r="A4929" s="3" t="n">
        <v>4928</v>
      </c>
      <c r="B4929" s="3" t="n">
        <v>4927</v>
      </c>
      <c r="C4929" s="3" t="n">
        <v>6</v>
      </c>
      <c r="D4929" s="3" t="n">
        <v>7</v>
      </c>
      <c r="E4929" s="3" t="n">
        <v>27</v>
      </c>
      <c r="F4929" s="24" t="n">
        <v>0</v>
      </c>
    </row>
    <row r="4930" customFormat="false" ht="15" hidden="false" customHeight="false" outlineLevel="0" collapsed="false">
      <c r="A4930" s="3" t="n">
        <v>4929</v>
      </c>
      <c r="B4930" s="3" t="n">
        <v>4928</v>
      </c>
      <c r="C4930" s="3" t="n">
        <v>6</v>
      </c>
      <c r="D4930" s="3" t="n">
        <v>8</v>
      </c>
      <c r="E4930" s="3" t="n">
        <v>0</v>
      </c>
      <c r="F4930" s="24" t="n">
        <v>0.185572863</v>
      </c>
    </row>
    <row r="4931" customFormat="false" ht="15" hidden="false" customHeight="false" outlineLevel="0" collapsed="false">
      <c r="A4931" s="3" t="n">
        <v>4930</v>
      </c>
      <c r="B4931" s="3" t="n">
        <v>4929</v>
      </c>
      <c r="C4931" s="3" t="n">
        <v>6</v>
      </c>
      <c r="D4931" s="3" t="n">
        <v>8</v>
      </c>
      <c r="E4931" s="3" t="n">
        <v>1</v>
      </c>
      <c r="F4931" s="24" t="n">
        <v>0</v>
      </c>
    </row>
    <row r="4932" customFormat="false" ht="15" hidden="false" customHeight="false" outlineLevel="0" collapsed="false">
      <c r="A4932" s="3" t="n">
        <v>4931</v>
      </c>
      <c r="B4932" s="3" t="n">
        <v>4930</v>
      </c>
      <c r="C4932" s="3" t="n">
        <v>6</v>
      </c>
      <c r="D4932" s="3" t="n">
        <v>8</v>
      </c>
      <c r="E4932" s="3" t="n">
        <v>2</v>
      </c>
      <c r="F4932" s="24" t="n">
        <v>0</v>
      </c>
    </row>
    <row r="4933" customFormat="false" ht="15" hidden="false" customHeight="false" outlineLevel="0" collapsed="false">
      <c r="A4933" s="3" t="n">
        <v>4932</v>
      </c>
      <c r="B4933" s="3" t="n">
        <v>4931</v>
      </c>
      <c r="C4933" s="3" t="n">
        <v>6</v>
      </c>
      <c r="D4933" s="3" t="n">
        <v>8</v>
      </c>
      <c r="E4933" s="3" t="n">
        <v>3</v>
      </c>
      <c r="F4933" s="24" t="n">
        <v>0</v>
      </c>
    </row>
    <row r="4934" customFormat="false" ht="15" hidden="false" customHeight="false" outlineLevel="0" collapsed="false">
      <c r="A4934" s="3" t="n">
        <v>4933</v>
      </c>
      <c r="B4934" s="3" t="n">
        <v>4932</v>
      </c>
      <c r="C4934" s="3" t="n">
        <v>6</v>
      </c>
      <c r="D4934" s="3" t="n">
        <v>8</v>
      </c>
      <c r="E4934" s="3" t="n">
        <v>4</v>
      </c>
      <c r="F4934" s="24" t="n">
        <v>0</v>
      </c>
    </row>
    <row r="4935" customFormat="false" ht="15" hidden="false" customHeight="false" outlineLevel="0" collapsed="false">
      <c r="A4935" s="3" t="n">
        <v>4934</v>
      </c>
      <c r="B4935" s="3" t="n">
        <v>4933</v>
      </c>
      <c r="C4935" s="3" t="n">
        <v>6</v>
      </c>
      <c r="D4935" s="3" t="n">
        <v>8</v>
      </c>
      <c r="E4935" s="3" t="n">
        <v>5</v>
      </c>
      <c r="F4935" s="24" t="n">
        <v>0</v>
      </c>
    </row>
    <row r="4936" customFormat="false" ht="15" hidden="false" customHeight="false" outlineLevel="0" collapsed="false">
      <c r="A4936" s="3" t="n">
        <v>4935</v>
      </c>
      <c r="B4936" s="3" t="n">
        <v>4934</v>
      </c>
      <c r="C4936" s="3" t="n">
        <v>6</v>
      </c>
      <c r="D4936" s="3" t="n">
        <v>8</v>
      </c>
      <c r="E4936" s="3" t="n">
        <v>6</v>
      </c>
      <c r="F4936" s="24" t="n">
        <v>0.795666814</v>
      </c>
    </row>
    <row r="4937" customFormat="false" ht="15" hidden="false" customHeight="false" outlineLevel="0" collapsed="false">
      <c r="A4937" s="3" t="n">
        <v>4936</v>
      </c>
      <c r="B4937" s="3" t="n">
        <v>4935</v>
      </c>
      <c r="C4937" s="3" t="n">
        <v>6</v>
      </c>
      <c r="D4937" s="3" t="n">
        <v>8</v>
      </c>
      <c r="E4937" s="3" t="n">
        <v>7</v>
      </c>
      <c r="F4937" s="24" t="n">
        <v>2.03728366</v>
      </c>
    </row>
    <row r="4938" customFormat="false" ht="15" hidden="false" customHeight="false" outlineLevel="0" collapsed="false">
      <c r="A4938" s="3" t="n">
        <v>4937</v>
      </c>
      <c r="B4938" s="3" t="n">
        <v>4936</v>
      </c>
      <c r="C4938" s="3" t="n">
        <v>6</v>
      </c>
      <c r="D4938" s="3" t="n">
        <v>8</v>
      </c>
      <c r="E4938" s="3" t="n">
        <v>8</v>
      </c>
      <c r="F4938" s="24" t="n">
        <v>2.23310494</v>
      </c>
    </row>
    <row r="4939" customFormat="false" ht="15" hidden="false" customHeight="false" outlineLevel="0" collapsed="false">
      <c r="A4939" s="3" t="n">
        <v>4938</v>
      </c>
      <c r="B4939" s="3" t="n">
        <v>4937</v>
      </c>
      <c r="C4939" s="3" t="n">
        <v>6</v>
      </c>
      <c r="D4939" s="3" t="n">
        <v>8</v>
      </c>
      <c r="E4939" s="3" t="n">
        <v>9</v>
      </c>
      <c r="F4939" s="24" t="n">
        <v>1.54405212</v>
      </c>
    </row>
    <row r="4940" customFormat="false" ht="15" hidden="false" customHeight="false" outlineLevel="0" collapsed="false">
      <c r="A4940" s="3" t="n">
        <v>4939</v>
      </c>
      <c r="B4940" s="3" t="n">
        <v>4938</v>
      </c>
      <c r="C4940" s="3" t="n">
        <v>6</v>
      </c>
      <c r="D4940" s="3" t="n">
        <v>8</v>
      </c>
      <c r="E4940" s="3" t="n">
        <v>10</v>
      </c>
      <c r="F4940" s="24" t="n">
        <v>0.985389233</v>
      </c>
    </row>
    <row r="4941" customFormat="false" ht="15" hidden="false" customHeight="false" outlineLevel="0" collapsed="false">
      <c r="A4941" s="3" t="n">
        <v>4940</v>
      </c>
      <c r="B4941" s="3" t="n">
        <v>4939</v>
      </c>
      <c r="C4941" s="3" t="n">
        <v>6</v>
      </c>
      <c r="D4941" s="3" t="n">
        <v>8</v>
      </c>
      <c r="E4941" s="3" t="n">
        <v>11</v>
      </c>
      <c r="F4941" s="24" t="n">
        <v>0.60847187</v>
      </c>
    </row>
    <row r="4942" customFormat="false" ht="15" hidden="false" customHeight="false" outlineLevel="0" collapsed="false">
      <c r="A4942" s="3" t="n">
        <v>4941</v>
      </c>
      <c r="B4942" s="3" t="n">
        <v>4940</v>
      </c>
      <c r="C4942" s="3" t="n">
        <v>6</v>
      </c>
      <c r="D4942" s="3" t="n">
        <v>8</v>
      </c>
      <c r="E4942" s="3" t="n">
        <v>12</v>
      </c>
      <c r="F4942" s="24" t="n">
        <v>0.286829323</v>
      </c>
    </row>
    <row r="4943" customFormat="false" ht="15" hidden="false" customHeight="false" outlineLevel="0" collapsed="false">
      <c r="A4943" s="3" t="n">
        <v>4942</v>
      </c>
      <c r="B4943" s="3" t="n">
        <v>4941</v>
      </c>
      <c r="C4943" s="3" t="n">
        <v>6</v>
      </c>
      <c r="D4943" s="3" t="n">
        <v>8</v>
      </c>
      <c r="E4943" s="3" t="n">
        <v>13</v>
      </c>
      <c r="F4943" s="24" t="n">
        <v>0.192667872</v>
      </c>
    </row>
    <row r="4944" customFormat="false" ht="15" hidden="false" customHeight="false" outlineLevel="0" collapsed="false">
      <c r="A4944" s="3" t="n">
        <v>4943</v>
      </c>
      <c r="B4944" s="3" t="n">
        <v>4942</v>
      </c>
      <c r="C4944" s="3" t="n">
        <v>6</v>
      </c>
      <c r="D4944" s="3" t="n">
        <v>8</v>
      </c>
      <c r="E4944" s="3" t="n">
        <v>14</v>
      </c>
      <c r="F4944" s="24" t="n">
        <v>0.0531067252</v>
      </c>
    </row>
    <row r="4945" customFormat="false" ht="15" hidden="false" customHeight="false" outlineLevel="0" collapsed="false">
      <c r="A4945" s="3" t="n">
        <v>4944</v>
      </c>
      <c r="B4945" s="3" t="n">
        <v>4943</v>
      </c>
      <c r="C4945" s="3" t="n">
        <v>6</v>
      </c>
      <c r="D4945" s="3" t="n">
        <v>8</v>
      </c>
      <c r="E4945" s="3" t="n">
        <v>15</v>
      </c>
      <c r="F4945" s="24" t="n">
        <v>0.104147553</v>
      </c>
    </row>
    <row r="4946" customFormat="false" ht="15" hidden="false" customHeight="false" outlineLevel="0" collapsed="false">
      <c r="A4946" s="3" t="n">
        <v>4945</v>
      </c>
      <c r="B4946" s="3" t="n">
        <v>4944</v>
      </c>
      <c r="C4946" s="3" t="n">
        <v>6</v>
      </c>
      <c r="D4946" s="3" t="n">
        <v>8</v>
      </c>
      <c r="E4946" s="3" t="n">
        <v>16</v>
      </c>
      <c r="F4946" s="24" t="n">
        <v>0.112993598</v>
      </c>
    </row>
    <row r="4947" customFormat="false" ht="15" hidden="false" customHeight="false" outlineLevel="0" collapsed="false">
      <c r="A4947" s="3" t="n">
        <v>4946</v>
      </c>
      <c r="B4947" s="3" t="n">
        <v>4945</v>
      </c>
      <c r="C4947" s="3" t="n">
        <v>6</v>
      </c>
      <c r="D4947" s="3" t="n">
        <v>8</v>
      </c>
      <c r="E4947" s="3" t="n">
        <v>17</v>
      </c>
      <c r="F4947" s="24" t="n">
        <v>0.171645045</v>
      </c>
    </row>
    <row r="4948" customFormat="false" ht="15" hidden="false" customHeight="false" outlineLevel="0" collapsed="false">
      <c r="A4948" s="3" t="n">
        <v>4947</v>
      </c>
      <c r="B4948" s="3" t="n">
        <v>4946</v>
      </c>
      <c r="C4948" s="3" t="n">
        <v>6</v>
      </c>
      <c r="D4948" s="3" t="n">
        <v>8</v>
      </c>
      <c r="E4948" s="3" t="n">
        <v>18</v>
      </c>
      <c r="F4948" s="24" t="n">
        <v>0.173418045</v>
      </c>
    </row>
    <row r="4949" customFormat="false" ht="15" hidden="false" customHeight="false" outlineLevel="0" collapsed="false">
      <c r="A4949" s="3" t="n">
        <v>4948</v>
      </c>
      <c r="B4949" s="3" t="n">
        <v>4947</v>
      </c>
      <c r="C4949" s="3" t="n">
        <v>6</v>
      </c>
      <c r="D4949" s="3" t="n">
        <v>8</v>
      </c>
      <c r="E4949" s="3" t="n">
        <v>19</v>
      </c>
      <c r="F4949" s="24" t="n">
        <v>0.160303593</v>
      </c>
    </row>
    <row r="4950" customFormat="false" ht="15" hidden="false" customHeight="false" outlineLevel="0" collapsed="false">
      <c r="A4950" s="3" t="n">
        <v>4949</v>
      </c>
      <c r="B4950" s="3" t="n">
        <v>4948</v>
      </c>
      <c r="C4950" s="3" t="n">
        <v>6</v>
      </c>
      <c r="D4950" s="3" t="n">
        <v>8</v>
      </c>
      <c r="E4950" s="3" t="n">
        <v>20</v>
      </c>
      <c r="F4950" s="24" t="n">
        <v>0.723751783</v>
      </c>
    </row>
    <row r="4951" customFormat="false" ht="15" hidden="false" customHeight="false" outlineLevel="0" collapsed="false">
      <c r="A4951" s="3" t="n">
        <v>4950</v>
      </c>
      <c r="B4951" s="3" t="n">
        <v>4949</v>
      </c>
      <c r="C4951" s="3" t="n">
        <v>6</v>
      </c>
      <c r="D4951" s="3" t="n">
        <v>8</v>
      </c>
      <c r="E4951" s="3" t="n">
        <v>21</v>
      </c>
      <c r="F4951" s="24" t="n">
        <v>0.828230739</v>
      </c>
    </row>
    <row r="4952" customFormat="false" ht="15" hidden="false" customHeight="false" outlineLevel="0" collapsed="false">
      <c r="A4952" s="3" t="n">
        <v>4951</v>
      </c>
      <c r="B4952" s="3" t="n">
        <v>4950</v>
      </c>
      <c r="C4952" s="3" t="n">
        <v>6</v>
      </c>
      <c r="D4952" s="3" t="n">
        <v>8</v>
      </c>
      <c r="E4952" s="3" t="n">
        <v>22</v>
      </c>
      <c r="F4952" s="24" t="n">
        <v>0.401148796</v>
      </c>
    </row>
    <row r="4953" customFormat="false" ht="15" hidden="false" customHeight="false" outlineLevel="0" collapsed="false">
      <c r="A4953" s="3" t="n">
        <v>4952</v>
      </c>
      <c r="B4953" s="3" t="n">
        <v>4951</v>
      </c>
      <c r="C4953" s="3" t="n">
        <v>6</v>
      </c>
      <c r="D4953" s="3" t="n">
        <v>8</v>
      </c>
      <c r="E4953" s="3" t="n">
        <v>23</v>
      </c>
      <c r="F4953" s="24" t="n">
        <v>0</v>
      </c>
    </row>
    <row r="4954" customFormat="false" ht="15" hidden="false" customHeight="false" outlineLevel="0" collapsed="false">
      <c r="A4954" s="3" t="n">
        <v>4953</v>
      </c>
      <c r="B4954" s="3" t="n">
        <v>4952</v>
      </c>
      <c r="C4954" s="3" t="n">
        <v>6</v>
      </c>
      <c r="D4954" s="3" t="n">
        <v>8</v>
      </c>
      <c r="E4954" s="3" t="n">
        <v>24</v>
      </c>
      <c r="F4954" s="24" t="n">
        <v>0</v>
      </c>
    </row>
    <row r="4955" customFormat="false" ht="15" hidden="false" customHeight="false" outlineLevel="0" collapsed="false">
      <c r="A4955" s="3" t="n">
        <v>4954</v>
      </c>
      <c r="B4955" s="3" t="n">
        <v>4953</v>
      </c>
      <c r="C4955" s="3" t="n">
        <v>6</v>
      </c>
      <c r="D4955" s="3" t="n">
        <v>8</v>
      </c>
      <c r="E4955" s="3" t="n">
        <v>25</v>
      </c>
      <c r="F4955" s="24" t="n">
        <v>0</v>
      </c>
    </row>
    <row r="4956" customFormat="false" ht="15" hidden="false" customHeight="false" outlineLevel="0" collapsed="false">
      <c r="A4956" s="3" t="n">
        <v>4955</v>
      </c>
      <c r="B4956" s="3" t="n">
        <v>4954</v>
      </c>
      <c r="C4956" s="3" t="n">
        <v>6</v>
      </c>
      <c r="D4956" s="3" t="n">
        <v>8</v>
      </c>
      <c r="E4956" s="3" t="n">
        <v>26</v>
      </c>
      <c r="F4956" s="24" t="n">
        <v>0</v>
      </c>
    </row>
    <row r="4957" customFormat="false" ht="15" hidden="false" customHeight="false" outlineLevel="0" collapsed="false">
      <c r="A4957" s="3" t="n">
        <v>4956</v>
      </c>
      <c r="B4957" s="3" t="n">
        <v>4955</v>
      </c>
      <c r="C4957" s="3" t="n">
        <v>6</v>
      </c>
      <c r="D4957" s="3" t="n">
        <v>8</v>
      </c>
      <c r="E4957" s="3" t="n">
        <v>27</v>
      </c>
      <c r="F4957" s="24" t="n">
        <v>0</v>
      </c>
    </row>
    <row r="4958" customFormat="false" ht="15" hidden="false" customHeight="false" outlineLevel="0" collapsed="false">
      <c r="A4958" s="3" t="n">
        <v>4957</v>
      </c>
      <c r="B4958" s="3" t="n">
        <v>4956</v>
      </c>
      <c r="C4958" s="3" t="n">
        <v>6</v>
      </c>
      <c r="D4958" s="3" t="n">
        <v>9</v>
      </c>
      <c r="E4958" s="3" t="n">
        <v>0</v>
      </c>
      <c r="F4958" s="24" t="n">
        <v>0.185572863</v>
      </c>
    </row>
    <row r="4959" customFormat="false" ht="15" hidden="false" customHeight="false" outlineLevel="0" collapsed="false">
      <c r="A4959" s="3" t="n">
        <v>4958</v>
      </c>
      <c r="B4959" s="3" t="n">
        <v>4957</v>
      </c>
      <c r="C4959" s="3" t="n">
        <v>6</v>
      </c>
      <c r="D4959" s="3" t="n">
        <v>9</v>
      </c>
      <c r="E4959" s="3" t="n">
        <v>1</v>
      </c>
      <c r="F4959" s="24" t="n">
        <v>0</v>
      </c>
    </row>
    <row r="4960" customFormat="false" ht="15" hidden="false" customHeight="false" outlineLevel="0" collapsed="false">
      <c r="A4960" s="3" t="n">
        <v>4959</v>
      </c>
      <c r="B4960" s="3" t="n">
        <v>4958</v>
      </c>
      <c r="C4960" s="3" t="n">
        <v>6</v>
      </c>
      <c r="D4960" s="3" t="n">
        <v>9</v>
      </c>
      <c r="E4960" s="3" t="n">
        <v>2</v>
      </c>
      <c r="F4960" s="24" t="n">
        <v>0</v>
      </c>
    </row>
    <row r="4961" customFormat="false" ht="15" hidden="false" customHeight="false" outlineLevel="0" collapsed="false">
      <c r="A4961" s="3" t="n">
        <v>4960</v>
      </c>
      <c r="B4961" s="3" t="n">
        <v>4959</v>
      </c>
      <c r="C4961" s="3" t="n">
        <v>6</v>
      </c>
      <c r="D4961" s="3" t="n">
        <v>9</v>
      </c>
      <c r="E4961" s="3" t="n">
        <v>3</v>
      </c>
      <c r="F4961" s="24" t="n">
        <v>0</v>
      </c>
    </row>
    <row r="4962" customFormat="false" ht="15" hidden="false" customHeight="false" outlineLevel="0" collapsed="false">
      <c r="A4962" s="3" t="n">
        <v>4961</v>
      </c>
      <c r="B4962" s="3" t="n">
        <v>4960</v>
      </c>
      <c r="C4962" s="3" t="n">
        <v>6</v>
      </c>
      <c r="D4962" s="3" t="n">
        <v>9</v>
      </c>
      <c r="E4962" s="3" t="n">
        <v>4</v>
      </c>
      <c r="F4962" s="24" t="n">
        <v>0</v>
      </c>
    </row>
    <row r="4963" customFormat="false" ht="15" hidden="false" customHeight="false" outlineLevel="0" collapsed="false">
      <c r="A4963" s="3" t="n">
        <v>4962</v>
      </c>
      <c r="B4963" s="3" t="n">
        <v>4961</v>
      </c>
      <c r="C4963" s="3" t="n">
        <v>6</v>
      </c>
      <c r="D4963" s="3" t="n">
        <v>9</v>
      </c>
      <c r="E4963" s="3" t="n">
        <v>5</v>
      </c>
      <c r="F4963" s="24" t="n">
        <v>0.556763113</v>
      </c>
    </row>
    <row r="4964" customFormat="false" ht="15" hidden="false" customHeight="false" outlineLevel="0" collapsed="false">
      <c r="A4964" s="3" t="n">
        <v>4963</v>
      </c>
      <c r="B4964" s="3" t="n">
        <v>4962</v>
      </c>
      <c r="C4964" s="3" t="n">
        <v>6</v>
      </c>
      <c r="D4964" s="3" t="n">
        <v>9</v>
      </c>
      <c r="E4964" s="3" t="n">
        <v>6</v>
      </c>
      <c r="F4964" s="24" t="n">
        <v>1.59174788</v>
      </c>
    </row>
    <row r="4965" customFormat="false" ht="15" hidden="false" customHeight="false" outlineLevel="0" collapsed="false">
      <c r="A4965" s="3" t="n">
        <v>4964</v>
      </c>
      <c r="B4965" s="3" t="n">
        <v>4963</v>
      </c>
      <c r="C4965" s="3" t="n">
        <v>6</v>
      </c>
      <c r="D4965" s="3" t="n">
        <v>9</v>
      </c>
      <c r="E4965" s="3" t="n">
        <v>7</v>
      </c>
      <c r="F4965" s="24" t="n">
        <v>2.51390791</v>
      </c>
    </row>
    <row r="4966" customFormat="false" ht="15" hidden="false" customHeight="false" outlineLevel="0" collapsed="false">
      <c r="A4966" s="3" t="n">
        <v>4965</v>
      </c>
      <c r="B4966" s="3" t="n">
        <v>4964</v>
      </c>
      <c r="C4966" s="3" t="n">
        <v>6</v>
      </c>
      <c r="D4966" s="3" t="n">
        <v>9</v>
      </c>
      <c r="E4966" s="3" t="n">
        <v>8</v>
      </c>
      <c r="F4966" s="24" t="n">
        <v>2.30641294</v>
      </c>
    </row>
    <row r="4967" customFormat="false" ht="15" hidden="false" customHeight="false" outlineLevel="0" collapsed="false">
      <c r="A4967" s="3" t="n">
        <v>4966</v>
      </c>
      <c r="B4967" s="3" t="n">
        <v>4965</v>
      </c>
      <c r="C4967" s="3" t="n">
        <v>6</v>
      </c>
      <c r="D4967" s="3" t="n">
        <v>9</v>
      </c>
      <c r="E4967" s="3" t="n">
        <v>9</v>
      </c>
      <c r="F4967" s="24" t="n">
        <v>2.23286366</v>
      </c>
    </row>
    <row r="4968" customFormat="false" ht="15" hidden="false" customHeight="false" outlineLevel="0" collapsed="false">
      <c r="A4968" s="3" t="n">
        <v>4967</v>
      </c>
      <c r="B4968" s="3" t="n">
        <v>4966</v>
      </c>
      <c r="C4968" s="3" t="n">
        <v>6</v>
      </c>
      <c r="D4968" s="3" t="n">
        <v>9</v>
      </c>
      <c r="E4968" s="3" t="n">
        <v>10</v>
      </c>
      <c r="F4968" s="24" t="n">
        <v>2.32053328</v>
      </c>
    </row>
    <row r="4969" customFormat="false" ht="15" hidden="false" customHeight="false" outlineLevel="0" collapsed="false">
      <c r="A4969" s="3" t="n">
        <v>4968</v>
      </c>
      <c r="B4969" s="3" t="n">
        <v>4967</v>
      </c>
      <c r="C4969" s="3" t="n">
        <v>6</v>
      </c>
      <c r="D4969" s="3" t="n">
        <v>9</v>
      </c>
      <c r="E4969" s="3" t="n">
        <v>11</v>
      </c>
      <c r="F4969" s="24" t="n">
        <v>2.37201118</v>
      </c>
    </row>
    <row r="4970" customFormat="false" ht="15" hidden="false" customHeight="false" outlineLevel="0" collapsed="false">
      <c r="A4970" s="3" t="n">
        <v>4969</v>
      </c>
      <c r="B4970" s="3" t="n">
        <v>4968</v>
      </c>
      <c r="C4970" s="3" t="n">
        <v>6</v>
      </c>
      <c r="D4970" s="3" t="n">
        <v>9</v>
      </c>
      <c r="E4970" s="3" t="n">
        <v>12</v>
      </c>
      <c r="F4970" s="24" t="n">
        <v>2.66839337</v>
      </c>
    </row>
    <row r="4971" customFormat="false" ht="15" hidden="false" customHeight="false" outlineLevel="0" collapsed="false">
      <c r="A4971" s="3" t="n">
        <v>4970</v>
      </c>
      <c r="B4971" s="3" t="n">
        <v>4969</v>
      </c>
      <c r="C4971" s="3" t="n">
        <v>6</v>
      </c>
      <c r="D4971" s="3" t="n">
        <v>9</v>
      </c>
      <c r="E4971" s="3" t="n">
        <v>13</v>
      </c>
      <c r="F4971" s="24" t="n">
        <v>2.57707953</v>
      </c>
    </row>
    <row r="4972" customFormat="false" ht="15" hidden="false" customHeight="false" outlineLevel="0" collapsed="false">
      <c r="A4972" s="3" t="n">
        <v>4971</v>
      </c>
      <c r="B4972" s="3" t="n">
        <v>4970</v>
      </c>
      <c r="C4972" s="3" t="n">
        <v>6</v>
      </c>
      <c r="D4972" s="3" t="n">
        <v>9</v>
      </c>
      <c r="E4972" s="3" t="n">
        <v>14</v>
      </c>
      <c r="F4972" s="24" t="n">
        <v>2.39401865</v>
      </c>
    </row>
    <row r="4973" customFormat="false" ht="15" hidden="false" customHeight="false" outlineLevel="0" collapsed="false">
      <c r="A4973" s="3" t="n">
        <v>4972</v>
      </c>
      <c r="B4973" s="3" t="n">
        <v>4971</v>
      </c>
      <c r="C4973" s="3" t="n">
        <v>6</v>
      </c>
      <c r="D4973" s="3" t="n">
        <v>9</v>
      </c>
      <c r="E4973" s="3" t="n">
        <v>15</v>
      </c>
      <c r="F4973" s="24" t="n">
        <v>2.57734203</v>
      </c>
    </row>
    <row r="4974" customFormat="false" ht="15" hidden="false" customHeight="false" outlineLevel="0" collapsed="false">
      <c r="A4974" s="3" t="n">
        <v>4973</v>
      </c>
      <c r="B4974" s="3" t="n">
        <v>4972</v>
      </c>
      <c r="C4974" s="3" t="n">
        <v>6</v>
      </c>
      <c r="D4974" s="3" t="n">
        <v>9</v>
      </c>
      <c r="E4974" s="3" t="n">
        <v>16</v>
      </c>
      <c r="F4974" s="24" t="n">
        <v>2.6093421</v>
      </c>
    </row>
    <row r="4975" customFormat="false" ht="15" hidden="false" customHeight="false" outlineLevel="0" collapsed="false">
      <c r="A4975" s="3" t="n">
        <v>4974</v>
      </c>
      <c r="B4975" s="3" t="n">
        <v>4973</v>
      </c>
      <c r="C4975" s="3" t="n">
        <v>6</v>
      </c>
      <c r="D4975" s="3" t="n">
        <v>9</v>
      </c>
      <c r="E4975" s="3" t="n">
        <v>17</v>
      </c>
      <c r="F4975" s="24" t="n">
        <v>2.77080894</v>
      </c>
    </row>
    <row r="4976" customFormat="false" ht="15" hidden="false" customHeight="false" outlineLevel="0" collapsed="false">
      <c r="A4976" s="3" t="n">
        <v>4975</v>
      </c>
      <c r="B4976" s="3" t="n">
        <v>4974</v>
      </c>
      <c r="C4976" s="3" t="n">
        <v>6</v>
      </c>
      <c r="D4976" s="3" t="n">
        <v>9</v>
      </c>
      <c r="E4976" s="3" t="n">
        <v>18</v>
      </c>
      <c r="F4976" s="24" t="n">
        <v>2.17933488</v>
      </c>
    </row>
    <row r="4977" customFormat="false" ht="15" hidden="false" customHeight="false" outlineLevel="0" collapsed="false">
      <c r="A4977" s="3" t="n">
        <v>4976</v>
      </c>
      <c r="B4977" s="3" t="n">
        <v>4975</v>
      </c>
      <c r="C4977" s="3" t="n">
        <v>6</v>
      </c>
      <c r="D4977" s="3" t="n">
        <v>9</v>
      </c>
      <c r="E4977" s="3" t="n">
        <v>19</v>
      </c>
      <c r="F4977" s="24" t="n">
        <v>1.38804948</v>
      </c>
    </row>
    <row r="4978" customFormat="false" ht="15" hidden="false" customHeight="false" outlineLevel="0" collapsed="false">
      <c r="A4978" s="3" t="n">
        <v>4977</v>
      </c>
      <c r="B4978" s="3" t="n">
        <v>4976</v>
      </c>
      <c r="C4978" s="3" t="n">
        <v>6</v>
      </c>
      <c r="D4978" s="3" t="n">
        <v>9</v>
      </c>
      <c r="E4978" s="3" t="n">
        <v>20</v>
      </c>
      <c r="F4978" s="24" t="n">
        <v>2.00689149</v>
      </c>
    </row>
    <row r="4979" customFormat="false" ht="15" hidden="false" customHeight="false" outlineLevel="0" collapsed="false">
      <c r="A4979" s="3" t="n">
        <v>4978</v>
      </c>
      <c r="B4979" s="3" t="n">
        <v>4977</v>
      </c>
      <c r="C4979" s="3" t="n">
        <v>6</v>
      </c>
      <c r="D4979" s="3" t="n">
        <v>9</v>
      </c>
      <c r="E4979" s="3" t="n">
        <v>21</v>
      </c>
      <c r="F4979" s="24" t="n">
        <v>2.00089478</v>
      </c>
    </row>
    <row r="4980" customFormat="false" ht="15" hidden="false" customHeight="false" outlineLevel="0" collapsed="false">
      <c r="A4980" s="3" t="n">
        <v>4979</v>
      </c>
      <c r="B4980" s="3" t="n">
        <v>4978</v>
      </c>
      <c r="C4980" s="3" t="n">
        <v>6</v>
      </c>
      <c r="D4980" s="3" t="n">
        <v>9</v>
      </c>
      <c r="E4980" s="3" t="n">
        <v>22</v>
      </c>
      <c r="F4980" s="24" t="n">
        <v>0.661567271</v>
      </c>
    </row>
    <row r="4981" customFormat="false" ht="15" hidden="false" customHeight="false" outlineLevel="0" collapsed="false">
      <c r="A4981" s="3" t="n">
        <v>4980</v>
      </c>
      <c r="B4981" s="3" t="n">
        <v>4979</v>
      </c>
      <c r="C4981" s="3" t="n">
        <v>6</v>
      </c>
      <c r="D4981" s="3" t="n">
        <v>9</v>
      </c>
      <c r="E4981" s="3" t="n">
        <v>23</v>
      </c>
      <c r="F4981" s="24" t="n">
        <v>0</v>
      </c>
    </row>
    <row r="4982" customFormat="false" ht="15" hidden="false" customHeight="false" outlineLevel="0" collapsed="false">
      <c r="A4982" s="3" t="n">
        <v>4981</v>
      </c>
      <c r="B4982" s="3" t="n">
        <v>4980</v>
      </c>
      <c r="C4982" s="3" t="n">
        <v>6</v>
      </c>
      <c r="D4982" s="3" t="n">
        <v>9</v>
      </c>
      <c r="E4982" s="3" t="n">
        <v>24</v>
      </c>
      <c r="F4982" s="24" t="n">
        <v>0</v>
      </c>
    </row>
    <row r="4983" customFormat="false" ht="15" hidden="false" customHeight="false" outlineLevel="0" collapsed="false">
      <c r="A4983" s="3" t="n">
        <v>4982</v>
      </c>
      <c r="B4983" s="3" t="n">
        <v>4981</v>
      </c>
      <c r="C4983" s="3" t="n">
        <v>6</v>
      </c>
      <c r="D4983" s="3" t="n">
        <v>9</v>
      </c>
      <c r="E4983" s="3" t="n">
        <v>25</v>
      </c>
      <c r="F4983" s="24" t="n">
        <v>0</v>
      </c>
    </row>
    <row r="4984" customFormat="false" ht="15" hidden="false" customHeight="false" outlineLevel="0" collapsed="false">
      <c r="A4984" s="3" t="n">
        <v>4983</v>
      </c>
      <c r="B4984" s="3" t="n">
        <v>4982</v>
      </c>
      <c r="C4984" s="3" t="n">
        <v>6</v>
      </c>
      <c r="D4984" s="3" t="n">
        <v>9</v>
      </c>
      <c r="E4984" s="3" t="n">
        <v>26</v>
      </c>
      <c r="F4984" s="24" t="n">
        <v>0</v>
      </c>
    </row>
    <row r="4985" customFormat="false" ht="15" hidden="false" customHeight="false" outlineLevel="0" collapsed="false">
      <c r="A4985" s="3" t="n">
        <v>4984</v>
      </c>
      <c r="B4985" s="3" t="n">
        <v>4983</v>
      </c>
      <c r="C4985" s="3" t="n">
        <v>6</v>
      </c>
      <c r="D4985" s="3" t="n">
        <v>9</v>
      </c>
      <c r="E4985" s="3" t="n">
        <v>27</v>
      </c>
      <c r="F4985" s="24" t="n">
        <v>0</v>
      </c>
    </row>
    <row r="4986" customFormat="false" ht="15" hidden="false" customHeight="false" outlineLevel="0" collapsed="false">
      <c r="A4986" s="3" t="n">
        <v>4985</v>
      </c>
      <c r="B4986" s="3" t="n">
        <v>4984</v>
      </c>
      <c r="C4986" s="3" t="n">
        <v>6</v>
      </c>
      <c r="D4986" s="3" t="n">
        <v>10</v>
      </c>
      <c r="E4986" s="3" t="n">
        <v>0</v>
      </c>
      <c r="F4986" s="24" t="n">
        <v>0.185572863</v>
      </c>
    </row>
    <row r="4987" customFormat="false" ht="15" hidden="false" customHeight="false" outlineLevel="0" collapsed="false">
      <c r="A4987" s="3" t="n">
        <v>4986</v>
      </c>
      <c r="B4987" s="3" t="n">
        <v>4985</v>
      </c>
      <c r="C4987" s="3" t="n">
        <v>6</v>
      </c>
      <c r="D4987" s="3" t="n">
        <v>10</v>
      </c>
      <c r="E4987" s="3" t="n">
        <v>1</v>
      </c>
      <c r="F4987" s="24" t="n">
        <v>0</v>
      </c>
    </row>
    <row r="4988" customFormat="false" ht="15" hidden="false" customHeight="false" outlineLevel="0" collapsed="false">
      <c r="A4988" s="3" t="n">
        <v>4987</v>
      </c>
      <c r="B4988" s="3" t="n">
        <v>4986</v>
      </c>
      <c r="C4988" s="3" t="n">
        <v>6</v>
      </c>
      <c r="D4988" s="3" t="n">
        <v>10</v>
      </c>
      <c r="E4988" s="3" t="n">
        <v>2</v>
      </c>
      <c r="F4988" s="24" t="n">
        <v>0</v>
      </c>
    </row>
    <row r="4989" customFormat="false" ht="15" hidden="false" customHeight="false" outlineLevel="0" collapsed="false">
      <c r="A4989" s="3" t="n">
        <v>4988</v>
      </c>
      <c r="B4989" s="3" t="n">
        <v>4987</v>
      </c>
      <c r="C4989" s="3" t="n">
        <v>6</v>
      </c>
      <c r="D4989" s="3" t="n">
        <v>10</v>
      </c>
      <c r="E4989" s="3" t="n">
        <v>3</v>
      </c>
      <c r="F4989" s="24" t="n">
        <v>0</v>
      </c>
    </row>
    <row r="4990" customFormat="false" ht="15" hidden="false" customHeight="false" outlineLevel="0" collapsed="false">
      <c r="A4990" s="3" t="n">
        <v>4989</v>
      </c>
      <c r="B4990" s="3" t="n">
        <v>4988</v>
      </c>
      <c r="C4990" s="3" t="n">
        <v>6</v>
      </c>
      <c r="D4990" s="3" t="n">
        <v>10</v>
      </c>
      <c r="E4990" s="3" t="n">
        <v>4</v>
      </c>
      <c r="F4990" s="24" t="n">
        <v>0</v>
      </c>
    </row>
    <row r="4991" customFormat="false" ht="15" hidden="false" customHeight="false" outlineLevel="0" collapsed="false">
      <c r="A4991" s="3" t="n">
        <v>4990</v>
      </c>
      <c r="B4991" s="3" t="n">
        <v>4989</v>
      </c>
      <c r="C4991" s="3" t="n">
        <v>6</v>
      </c>
      <c r="D4991" s="3" t="n">
        <v>10</v>
      </c>
      <c r="E4991" s="3" t="n">
        <v>5</v>
      </c>
      <c r="F4991" s="24" t="n">
        <v>0.235677361</v>
      </c>
    </row>
    <row r="4992" customFormat="false" ht="15" hidden="false" customHeight="false" outlineLevel="0" collapsed="false">
      <c r="A4992" s="3" t="n">
        <v>4991</v>
      </c>
      <c r="B4992" s="3" t="n">
        <v>4990</v>
      </c>
      <c r="C4992" s="3" t="n">
        <v>6</v>
      </c>
      <c r="D4992" s="3" t="n">
        <v>10</v>
      </c>
      <c r="E4992" s="3" t="n">
        <v>6</v>
      </c>
      <c r="F4992" s="24" t="n">
        <v>0.622112215</v>
      </c>
    </row>
    <row r="4993" customFormat="false" ht="15" hidden="false" customHeight="false" outlineLevel="0" collapsed="false">
      <c r="A4993" s="3" t="n">
        <v>4992</v>
      </c>
      <c r="B4993" s="3" t="n">
        <v>4991</v>
      </c>
      <c r="C4993" s="3" t="n">
        <v>6</v>
      </c>
      <c r="D4993" s="3" t="n">
        <v>10</v>
      </c>
      <c r="E4993" s="3" t="n">
        <v>7</v>
      </c>
      <c r="F4993" s="24" t="n">
        <v>0.682566643</v>
      </c>
    </row>
    <row r="4994" customFormat="false" ht="15" hidden="false" customHeight="false" outlineLevel="0" collapsed="false">
      <c r="A4994" s="3" t="n">
        <v>4993</v>
      </c>
      <c r="B4994" s="3" t="n">
        <v>4992</v>
      </c>
      <c r="C4994" s="3" t="n">
        <v>6</v>
      </c>
      <c r="D4994" s="3" t="n">
        <v>10</v>
      </c>
      <c r="E4994" s="3" t="n">
        <v>8</v>
      </c>
      <c r="F4994" s="24" t="n">
        <v>0.741362274</v>
      </c>
    </row>
    <row r="4995" customFormat="false" ht="15" hidden="false" customHeight="false" outlineLevel="0" collapsed="false">
      <c r="A4995" s="3" t="n">
        <v>4994</v>
      </c>
      <c r="B4995" s="3" t="n">
        <v>4993</v>
      </c>
      <c r="C4995" s="3" t="n">
        <v>6</v>
      </c>
      <c r="D4995" s="3" t="n">
        <v>10</v>
      </c>
      <c r="E4995" s="3" t="n">
        <v>9</v>
      </c>
      <c r="F4995" s="24" t="n">
        <v>1.01630116</v>
      </c>
    </row>
    <row r="4996" customFormat="false" ht="15" hidden="false" customHeight="false" outlineLevel="0" collapsed="false">
      <c r="A4996" s="3" t="n">
        <v>4995</v>
      </c>
      <c r="B4996" s="3" t="n">
        <v>4994</v>
      </c>
      <c r="C4996" s="3" t="n">
        <v>6</v>
      </c>
      <c r="D4996" s="3" t="n">
        <v>10</v>
      </c>
      <c r="E4996" s="3" t="n">
        <v>10</v>
      </c>
      <c r="F4996" s="24" t="n">
        <v>1.38327444</v>
      </c>
    </row>
    <row r="4997" customFormat="false" ht="15" hidden="false" customHeight="false" outlineLevel="0" collapsed="false">
      <c r="A4997" s="3" t="n">
        <v>4996</v>
      </c>
      <c r="B4997" s="3" t="n">
        <v>4995</v>
      </c>
      <c r="C4997" s="3" t="n">
        <v>6</v>
      </c>
      <c r="D4997" s="3" t="n">
        <v>10</v>
      </c>
      <c r="E4997" s="3" t="n">
        <v>11</v>
      </c>
      <c r="F4997" s="24" t="n">
        <v>1.65066397</v>
      </c>
    </row>
    <row r="4998" customFormat="false" ht="15" hidden="false" customHeight="false" outlineLevel="0" collapsed="false">
      <c r="A4998" s="3" t="n">
        <v>4997</v>
      </c>
      <c r="B4998" s="3" t="n">
        <v>4996</v>
      </c>
      <c r="C4998" s="3" t="n">
        <v>6</v>
      </c>
      <c r="D4998" s="3" t="n">
        <v>10</v>
      </c>
      <c r="E4998" s="3" t="n">
        <v>12</v>
      </c>
      <c r="F4998" s="24" t="n">
        <v>2.20044613</v>
      </c>
    </row>
    <row r="4999" customFormat="false" ht="15" hidden="false" customHeight="false" outlineLevel="0" collapsed="false">
      <c r="A4999" s="3" t="n">
        <v>4998</v>
      </c>
      <c r="B4999" s="3" t="n">
        <v>4997</v>
      </c>
      <c r="C4999" s="3" t="n">
        <v>6</v>
      </c>
      <c r="D4999" s="3" t="n">
        <v>10</v>
      </c>
      <c r="E4999" s="3" t="n">
        <v>13</v>
      </c>
      <c r="F4999" s="24" t="n">
        <v>1.91126943</v>
      </c>
    </row>
    <row r="5000" customFormat="false" ht="15" hidden="false" customHeight="false" outlineLevel="0" collapsed="false">
      <c r="A5000" s="3" t="n">
        <v>4999</v>
      </c>
      <c r="B5000" s="3" t="n">
        <v>4998</v>
      </c>
      <c r="C5000" s="3" t="n">
        <v>6</v>
      </c>
      <c r="D5000" s="3" t="n">
        <v>10</v>
      </c>
      <c r="E5000" s="3" t="n">
        <v>14</v>
      </c>
      <c r="F5000" s="24" t="n">
        <v>2.11018109</v>
      </c>
    </row>
    <row r="5001" customFormat="false" ht="15" hidden="false" customHeight="false" outlineLevel="0" collapsed="false">
      <c r="A5001" s="3" t="n">
        <v>5000</v>
      </c>
      <c r="B5001" s="3" t="n">
        <v>4999</v>
      </c>
      <c r="C5001" s="3" t="n">
        <v>6</v>
      </c>
      <c r="D5001" s="3" t="n">
        <v>10</v>
      </c>
      <c r="E5001" s="3" t="n">
        <v>15</v>
      </c>
      <c r="F5001" s="24" t="n">
        <v>2.30096817</v>
      </c>
    </row>
    <row r="5002" customFormat="false" ht="15" hidden="false" customHeight="false" outlineLevel="0" collapsed="false">
      <c r="A5002" s="3" t="n">
        <v>5001</v>
      </c>
      <c r="B5002" s="3" t="n">
        <v>5000</v>
      </c>
      <c r="C5002" s="3" t="n">
        <v>6</v>
      </c>
      <c r="D5002" s="3" t="n">
        <v>10</v>
      </c>
      <c r="E5002" s="3" t="n">
        <v>16</v>
      </c>
      <c r="F5002" s="24" t="n">
        <v>2.31511331</v>
      </c>
    </row>
    <row r="5003" customFormat="false" ht="15" hidden="false" customHeight="false" outlineLevel="0" collapsed="false">
      <c r="A5003" s="3" t="n">
        <v>5002</v>
      </c>
      <c r="B5003" s="3" t="n">
        <v>5001</v>
      </c>
      <c r="C5003" s="3" t="n">
        <v>6</v>
      </c>
      <c r="D5003" s="3" t="n">
        <v>10</v>
      </c>
      <c r="E5003" s="3" t="n">
        <v>17</v>
      </c>
      <c r="F5003" s="24" t="n">
        <v>2.13437772</v>
      </c>
    </row>
    <row r="5004" customFormat="false" ht="15" hidden="false" customHeight="false" outlineLevel="0" collapsed="false">
      <c r="A5004" s="3" t="n">
        <v>5003</v>
      </c>
      <c r="B5004" s="3" t="n">
        <v>5002</v>
      </c>
      <c r="C5004" s="3" t="n">
        <v>6</v>
      </c>
      <c r="D5004" s="3" t="n">
        <v>10</v>
      </c>
      <c r="E5004" s="3" t="n">
        <v>18</v>
      </c>
      <c r="F5004" s="24" t="n">
        <v>0.520144284</v>
      </c>
    </row>
    <row r="5005" customFormat="false" ht="15" hidden="false" customHeight="false" outlineLevel="0" collapsed="false">
      <c r="A5005" s="3" t="n">
        <v>5004</v>
      </c>
      <c r="B5005" s="3" t="n">
        <v>5003</v>
      </c>
      <c r="C5005" s="3" t="n">
        <v>6</v>
      </c>
      <c r="D5005" s="3" t="n">
        <v>10</v>
      </c>
      <c r="E5005" s="3" t="n">
        <v>19</v>
      </c>
      <c r="F5005" s="24" t="n">
        <v>1.31229246</v>
      </c>
    </row>
    <row r="5006" customFormat="false" ht="15" hidden="false" customHeight="false" outlineLevel="0" collapsed="false">
      <c r="A5006" s="3" t="n">
        <v>5005</v>
      </c>
      <c r="B5006" s="3" t="n">
        <v>5004</v>
      </c>
      <c r="C5006" s="3" t="n">
        <v>6</v>
      </c>
      <c r="D5006" s="3" t="n">
        <v>10</v>
      </c>
      <c r="E5006" s="3" t="n">
        <v>20</v>
      </c>
      <c r="F5006" s="24" t="n">
        <v>3.07483029</v>
      </c>
    </row>
    <row r="5007" customFormat="false" ht="15" hidden="false" customHeight="false" outlineLevel="0" collapsed="false">
      <c r="A5007" s="3" t="n">
        <v>5006</v>
      </c>
      <c r="B5007" s="3" t="n">
        <v>5005</v>
      </c>
      <c r="C5007" s="3" t="n">
        <v>6</v>
      </c>
      <c r="D5007" s="3" t="n">
        <v>10</v>
      </c>
      <c r="E5007" s="3" t="n">
        <v>21</v>
      </c>
      <c r="F5007" s="24" t="n">
        <v>2.36258984</v>
      </c>
    </row>
    <row r="5008" customFormat="false" ht="15" hidden="false" customHeight="false" outlineLevel="0" collapsed="false">
      <c r="A5008" s="3" t="n">
        <v>5007</v>
      </c>
      <c r="B5008" s="3" t="n">
        <v>5006</v>
      </c>
      <c r="C5008" s="3" t="n">
        <v>6</v>
      </c>
      <c r="D5008" s="3" t="n">
        <v>10</v>
      </c>
      <c r="E5008" s="3" t="n">
        <v>22</v>
      </c>
      <c r="F5008" s="24" t="n">
        <v>0.480704665</v>
      </c>
    </row>
    <row r="5009" customFormat="false" ht="15" hidden="false" customHeight="false" outlineLevel="0" collapsed="false">
      <c r="A5009" s="3" t="n">
        <v>5008</v>
      </c>
      <c r="B5009" s="3" t="n">
        <v>5007</v>
      </c>
      <c r="C5009" s="3" t="n">
        <v>6</v>
      </c>
      <c r="D5009" s="3" t="n">
        <v>10</v>
      </c>
      <c r="E5009" s="3" t="n">
        <v>23</v>
      </c>
      <c r="F5009" s="24" t="n">
        <v>0</v>
      </c>
    </row>
    <row r="5010" customFormat="false" ht="15" hidden="false" customHeight="false" outlineLevel="0" collapsed="false">
      <c r="A5010" s="3" t="n">
        <v>5009</v>
      </c>
      <c r="B5010" s="3" t="n">
        <v>5008</v>
      </c>
      <c r="C5010" s="3" t="n">
        <v>6</v>
      </c>
      <c r="D5010" s="3" t="n">
        <v>10</v>
      </c>
      <c r="E5010" s="3" t="n">
        <v>24</v>
      </c>
      <c r="F5010" s="24" t="n">
        <v>0</v>
      </c>
    </row>
    <row r="5011" customFormat="false" ht="15" hidden="false" customHeight="false" outlineLevel="0" collapsed="false">
      <c r="A5011" s="3" t="n">
        <v>5010</v>
      </c>
      <c r="B5011" s="3" t="n">
        <v>5009</v>
      </c>
      <c r="C5011" s="3" t="n">
        <v>6</v>
      </c>
      <c r="D5011" s="3" t="n">
        <v>10</v>
      </c>
      <c r="E5011" s="3" t="n">
        <v>25</v>
      </c>
      <c r="F5011" s="24" t="n">
        <v>0</v>
      </c>
    </row>
    <row r="5012" customFormat="false" ht="15" hidden="false" customHeight="false" outlineLevel="0" collapsed="false">
      <c r="A5012" s="3" t="n">
        <v>5011</v>
      </c>
      <c r="B5012" s="3" t="n">
        <v>5010</v>
      </c>
      <c r="C5012" s="3" t="n">
        <v>6</v>
      </c>
      <c r="D5012" s="3" t="n">
        <v>10</v>
      </c>
      <c r="E5012" s="3" t="n">
        <v>26</v>
      </c>
      <c r="F5012" s="24" t="n">
        <v>0</v>
      </c>
    </row>
    <row r="5013" customFormat="false" ht="15" hidden="false" customHeight="false" outlineLevel="0" collapsed="false">
      <c r="A5013" s="3" t="n">
        <v>5012</v>
      </c>
      <c r="B5013" s="3" t="n">
        <v>5011</v>
      </c>
      <c r="C5013" s="3" t="n">
        <v>6</v>
      </c>
      <c r="D5013" s="3" t="n">
        <v>10</v>
      </c>
      <c r="E5013" s="3" t="n">
        <v>27</v>
      </c>
      <c r="F5013" s="24" t="n">
        <v>0</v>
      </c>
    </row>
    <row r="5014" customFormat="false" ht="15" hidden="false" customHeight="false" outlineLevel="0" collapsed="false">
      <c r="A5014" s="3" t="n">
        <v>5013</v>
      </c>
      <c r="B5014" s="3" t="n">
        <v>5012</v>
      </c>
      <c r="C5014" s="3" t="n">
        <v>6</v>
      </c>
      <c r="D5014" s="3" t="n">
        <v>11</v>
      </c>
      <c r="E5014" s="3" t="n">
        <v>0</v>
      </c>
      <c r="F5014" s="24" t="n">
        <v>0.185572863</v>
      </c>
    </row>
    <row r="5015" customFormat="false" ht="15" hidden="false" customHeight="false" outlineLevel="0" collapsed="false">
      <c r="A5015" s="3" t="n">
        <v>5014</v>
      </c>
      <c r="B5015" s="3" t="n">
        <v>5013</v>
      </c>
      <c r="C5015" s="3" t="n">
        <v>6</v>
      </c>
      <c r="D5015" s="3" t="n">
        <v>11</v>
      </c>
      <c r="E5015" s="3" t="n">
        <v>1</v>
      </c>
      <c r="F5015" s="24" t="n">
        <v>0</v>
      </c>
    </row>
    <row r="5016" customFormat="false" ht="15" hidden="false" customHeight="false" outlineLevel="0" collapsed="false">
      <c r="A5016" s="3" t="n">
        <v>5015</v>
      </c>
      <c r="B5016" s="3" t="n">
        <v>5014</v>
      </c>
      <c r="C5016" s="3" t="n">
        <v>6</v>
      </c>
      <c r="D5016" s="3" t="n">
        <v>11</v>
      </c>
      <c r="E5016" s="3" t="n">
        <v>2</v>
      </c>
      <c r="F5016" s="24" t="n">
        <v>0</v>
      </c>
    </row>
    <row r="5017" customFormat="false" ht="15" hidden="false" customHeight="false" outlineLevel="0" collapsed="false">
      <c r="A5017" s="3" t="n">
        <v>5016</v>
      </c>
      <c r="B5017" s="3" t="n">
        <v>5015</v>
      </c>
      <c r="C5017" s="3" t="n">
        <v>6</v>
      </c>
      <c r="D5017" s="3" t="n">
        <v>11</v>
      </c>
      <c r="E5017" s="3" t="n">
        <v>3</v>
      </c>
      <c r="F5017" s="24" t="n">
        <v>0</v>
      </c>
    </row>
    <row r="5018" customFormat="false" ht="15" hidden="false" customHeight="false" outlineLevel="0" collapsed="false">
      <c r="A5018" s="3" t="n">
        <v>5017</v>
      </c>
      <c r="B5018" s="3" t="n">
        <v>5016</v>
      </c>
      <c r="C5018" s="3" t="n">
        <v>6</v>
      </c>
      <c r="D5018" s="3" t="n">
        <v>11</v>
      </c>
      <c r="E5018" s="3" t="n">
        <v>4</v>
      </c>
      <c r="F5018" s="24" t="n">
        <v>0</v>
      </c>
    </row>
    <row r="5019" customFormat="false" ht="15" hidden="false" customHeight="false" outlineLevel="0" collapsed="false">
      <c r="A5019" s="3" t="n">
        <v>5018</v>
      </c>
      <c r="B5019" s="3" t="n">
        <v>5017</v>
      </c>
      <c r="C5019" s="3" t="n">
        <v>6</v>
      </c>
      <c r="D5019" s="3" t="n">
        <v>11</v>
      </c>
      <c r="E5019" s="3" t="n">
        <v>5</v>
      </c>
      <c r="F5019" s="24" t="n">
        <v>0</v>
      </c>
    </row>
    <row r="5020" customFormat="false" ht="15" hidden="false" customHeight="false" outlineLevel="0" collapsed="false">
      <c r="A5020" s="3" t="n">
        <v>5019</v>
      </c>
      <c r="B5020" s="3" t="n">
        <v>5018</v>
      </c>
      <c r="C5020" s="3" t="n">
        <v>6</v>
      </c>
      <c r="D5020" s="3" t="n">
        <v>11</v>
      </c>
      <c r="E5020" s="3" t="n">
        <v>6</v>
      </c>
      <c r="F5020" s="24" t="n">
        <v>0</v>
      </c>
    </row>
    <row r="5021" customFormat="false" ht="15" hidden="false" customHeight="false" outlineLevel="0" collapsed="false">
      <c r="A5021" s="3" t="n">
        <v>5020</v>
      </c>
      <c r="B5021" s="3" t="n">
        <v>5019</v>
      </c>
      <c r="C5021" s="3" t="n">
        <v>6</v>
      </c>
      <c r="D5021" s="3" t="n">
        <v>11</v>
      </c>
      <c r="E5021" s="3" t="n">
        <v>7</v>
      </c>
      <c r="F5021" s="24" t="n">
        <v>0</v>
      </c>
    </row>
    <row r="5022" customFormat="false" ht="15" hidden="false" customHeight="false" outlineLevel="0" collapsed="false">
      <c r="A5022" s="3" t="n">
        <v>5021</v>
      </c>
      <c r="B5022" s="3" t="n">
        <v>5020</v>
      </c>
      <c r="C5022" s="3" t="n">
        <v>6</v>
      </c>
      <c r="D5022" s="3" t="n">
        <v>11</v>
      </c>
      <c r="E5022" s="3" t="n">
        <v>8</v>
      </c>
      <c r="F5022" s="24" t="n">
        <v>0</v>
      </c>
    </row>
    <row r="5023" customFormat="false" ht="15" hidden="false" customHeight="false" outlineLevel="0" collapsed="false">
      <c r="A5023" s="3" t="n">
        <v>5022</v>
      </c>
      <c r="B5023" s="3" t="n">
        <v>5021</v>
      </c>
      <c r="C5023" s="3" t="n">
        <v>6</v>
      </c>
      <c r="D5023" s="3" t="n">
        <v>11</v>
      </c>
      <c r="E5023" s="3" t="n">
        <v>9</v>
      </c>
      <c r="F5023" s="24" t="n">
        <v>0</v>
      </c>
    </row>
    <row r="5024" customFormat="false" ht="15" hidden="false" customHeight="false" outlineLevel="0" collapsed="false">
      <c r="A5024" s="3" t="n">
        <v>5023</v>
      </c>
      <c r="B5024" s="3" t="n">
        <v>5022</v>
      </c>
      <c r="C5024" s="3" t="n">
        <v>6</v>
      </c>
      <c r="D5024" s="3" t="n">
        <v>11</v>
      </c>
      <c r="E5024" s="3" t="n">
        <v>10</v>
      </c>
      <c r="F5024" s="24" t="n">
        <v>0.0547913611</v>
      </c>
    </row>
    <row r="5025" customFormat="false" ht="15" hidden="false" customHeight="false" outlineLevel="0" collapsed="false">
      <c r="A5025" s="3" t="n">
        <v>5024</v>
      </c>
      <c r="B5025" s="3" t="n">
        <v>5023</v>
      </c>
      <c r="C5025" s="3" t="n">
        <v>6</v>
      </c>
      <c r="D5025" s="3" t="n">
        <v>11</v>
      </c>
      <c r="E5025" s="3" t="n">
        <v>11</v>
      </c>
      <c r="F5025" s="24" t="n">
        <v>0.286967635</v>
      </c>
    </row>
    <row r="5026" customFormat="false" ht="15" hidden="false" customHeight="false" outlineLevel="0" collapsed="false">
      <c r="A5026" s="3" t="n">
        <v>5025</v>
      </c>
      <c r="B5026" s="3" t="n">
        <v>5024</v>
      </c>
      <c r="C5026" s="3" t="n">
        <v>6</v>
      </c>
      <c r="D5026" s="3" t="n">
        <v>11</v>
      </c>
      <c r="E5026" s="3" t="n">
        <v>12</v>
      </c>
      <c r="F5026" s="24" t="n">
        <v>0.272485077</v>
      </c>
    </row>
    <row r="5027" customFormat="false" ht="15" hidden="false" customHeight="false" outlineLevel="0" collapsed="false">
      <c r="A5027" s="3" t="n">
        <v>5026</v>
      </c>
      <c r="B5027" s="3" t="n">
        <v>5025</v>
      </c>
      <c r="C5027" s="3" t="n">
        <v>6</v>
      </c>
      <c r="D5027" s="3" t="n">
        <v>11</v>
      </c>
      <c r="E5027" s="3" t="n">
        <v>13</v>
      </c>
      <c r="F5027" s="24" t="n">
        <v>0.34058553</v>
      </c>
    </row>
    <row r="5028" customFormat="false" ht="15" hidden="false" customHeight="false" outlineLevel="0" collapsed="false">
      <c r="A5028" s="3" t="n">
        <v>5027</v>
      </c>
      <c r="B5028" s="3" t="n">
        <v>5026</v>
      </c>
      <c r="C5028" s="3" t="n">
        <v>6</v>
      </c>
      <c r="D5028" s="3" t="n">
        <v>11</v>
      </c>
      <c r="E5028" s="3" t="n">
        <v>14</v>
      </c>
      <c r="F5028" s="24" t="n">
        <v>0.464740932</v>
      </c>
    </row>
    <row r="5029" customFormat="false" ht="15" hidden="false" customHeight="false" outlineLevel="0" collapsed="false">
      <c r="A5029" s="3" t="n">
        <v>5028</v>
      </c>
      <c r="B5029" s="3" t="n">
        <v>5027</v>
      </c>
      <c r="C5029" s="3" t="n">
        <v>6</v>
      </c>
      <c r="D5029" s="3" t="n">
        <v>11</v>
      </c>
      <c r="E5029" s="3" t="n">
        <v>15</v>
      </c>
      <c r="F5029" s="24" t="n">
        <v>0.512673676</v>
      </c>
    </row>
    <row r="5030" customFormat="false" ht="15" hidden="false" customHeight="false" outlineLevel="0" collapsed="false">
      <c r="A5030" s="3" t="n">
        <v>5029</v>
      </c>
      <c r="B5030" s="3" t="n">
        <v>5028</v>
      </c>
      <c r="C5030" s="3" t="n">
        <v>6</v>
      </c>
      <c r="D5030" s="3" t="n">
        <v>11</v>
      </c>
      <c r="E5030" s="3" t="n">
        <v>16</v>
      </c>
      <c r="F5030" s="24" t="n">
        <v>0.435078651</v>
      </c>
    </row>
    <row r="5031" customFormat="false" ht="15" hidden="false" customHeight="false" outlineLevel="0" collapsed="false">
      <c r="A5031" s="3" t="n">
        <v>5030</v>
      </c>
      <c r="B5031" s="3" t="n">
        <v>5029</v>
      </c>
      <c r="C5031" s="3" t="n">
        <v>6</v>
      </c>
      <c r="D5031" s="3" t="n">
        <v>11</v>
      </c>
      <c r="E5031" s="3" t="n">
        <v>17</v>
      </c>
      <c r="F5031" s="24" t="n">
        <v>0</v>
      </c>
    </row>
    <row r="5032" customFormat="false" ht="15" hidden="false" customHeight="false" outlineLevel="0" collapsed="false">
      <c r="A5032" s="3" t="n">
        <v>5031</v>
      </c>
      <c r="B5032" s="3" t="n">
        <v>5030</v>
      </c>
      <c r="C5032" s="3" t="n">
        <v>6</v>
      </c>
      <c r="D5032" s="3" t="n">
        <v>11</v>
      </c>
      <c r="E5032" s="3" t="n">
        <v>18</v>
      </c>
      <c r="F5032" s="24" t="n">
        <v>0</v>
      </c>
    </row>
    <row r="5033" customFormat="false" ht="15" hidden="false" customHeight="false" outlineLevel="0" collapsed="false">
      <c r="A5033" s="3" t="n">
        <v>5032</v>
      </c>
      <c r="B5033" s="3" t="n">
        <v>5031</v>
      </c>
      <c r="C5033" s="3" t="n">
        <v>6</v>
      </c>
      <c r="D5033" s="3" t="n">
        <v>11</v>
      </c>
      <c r="E5033" s="3" t="n">
        <v>19</v>
      </c>
      <c r="F5033" s="24" t="n">
        <v>2.05001879</v>
      </c>
    </row>
    <row r="5034" customFormat="false" ht="15" hidden="false" customHeight="false" outlineLevel="0" collapsed="false">
      <c r="A5034" s="3" t="n">
        <v>5033</v>
      </c>
      <c r="B5034" s="3" t="n">
        <v>5032</v>
      </c>
      <c r="C5034" s="3" t="n">
        <v>6</v>
      </c>
      <c r="D5034" s="3" t="n">
        <v>11</v>
      </c>
      <c r="E5034" s="3" t="n">
        <v>20</v>
      </c>
      <c r="F5034" s="24" t="n">
        <v>3.48233175</v>
      </c>
    </row>
    <row r="5035" customFormat="false" ht="15" hidden="false" customHeight="false" outlineLevel="0" collapsed="false">
      <c r="A5035" s="3" t="n">
        <v>5034</v>
      </c>
      <c r="B5035" s="3" t="n">
        <v>5033</v>
      </c>
      <c r="C5035" s="3" t="n">
        <v>6</v>
      </c>
      <c r="D5035" s="3" t="n">
        <v>11</v>
      </c>
      <c r="E5035" s="3" t="n">
        <v>21</v>
      </c>
      <c r="F5035" s="24" t="n">
        <v>1.45986378</v>
      </c>
    </row>
    <row r="5036" customFormat="false" ht="15" hidden="false" customHeight="false" outlineLevel="0" collapsed="false">
      <c r="A5036" s="3" t="n">
        <v>5035</v>
      </c>
      <c r="B5036" s="3" t="n">
        <v>5034</v>
      </c>
      <c r="C5036" s="3" t="n">
        <v>6</v>
      </c>
      <c r="D5036" s="3" t="n">
        <v>11</v>
      </c>
      <c r="E5036" s="3" t="n">
        <v>22</v>
      </c>
      <c r="F5036" s="24" t="n">
        <v>0.145043775</v>
      </c>
    </row>
    <row r="5037" customFormat="false" ht="15" hidden="false" customHeight="false" outlineLevel="0" collapsed="false">
      <c r="A5037" s="3" t="n">
        <v>5036</v>
      </c>
      <c r="B5037" s="3" t="n">
        <v>5035</v>
      </c>
      <c r="C5037" s="3" t="n">
        <v>6</v>
      </c>
      <c r="D5037" s="3" t="n">
        <v>11</v>
      </c>
      <c r="E5037" s="3" t="n">
        <v>23</v>
      </c>
      <c r="F5037" s="24" t="n">
        <v>0</v>
      </c>
    </row>
    <row r="5038" customFormat="false" ht="15" hidden="false" customHeight="false" outlineLevel="0" collapsed="false">
      <c r="A5038" s="3" t="n">
        <v>5037</v>
      </c>
      <c r="B5038" s="3" t="n">
        <v>5036</v>
      </c>
      <c r="C5038" s="3" t="n">
        <v>6</v>
      </c>
      <c r="D5038" s="3" t="n">
        <v>11</v>
      </c>
      <c r="E5038" s="3" t="n">
        <v>24</v>
      </c>
      <c r="F5038" s="24" t="n">
        <v>0</v>
      </c>
    </row>
    <row r="5039" customFormat="false" ht="15" hidden="false" customHeight="false" outlineLevel="0" collapsed="false">
      <c r="A5039" s="3" t="n">
        <v>5038</v>
      </c>
      <c r="B5039" s="3" t="n">
        <v>5037</v>
      </c>
      <c r="C5039" s="3" t="n">
        <v>6</v>
      </c>
      <c r="D5039" s="3" t="n">
        <v>11</v>
      </c>
      <c r="E5039" s="3" t="n">
        <v>25</v>
      </c>
      <c r="F5039" s="24" t="n">
        <v>0</v>
      </c>
    </row>
    <row r="5040" customFormat="false" ht="15" hidden="false" customHeight="false" outlineLevel="0" collapsed="false">
      <c r="A5040" s="3" t="n">
        <v>5039</v>
      </c>
      <c r="B5040" s="3" t="n">
        <v>5038</v>
      </c>
      <c r="C5040" s="3" t="n">
        <v>6</v>
      </c>
      <c r="D5040" s="3" t="n">
        <v>11</v>
      </c>
      <c r="E5040" s="3" t="n">
        <v>26</v>
      </c>
      <c r="F5040" s="24" t="n">
        <v>0</v>
      </c>
    </row>
    <row r="5041" customFormat="false" ht="15" hidden="false" customHeight="false" outlineLevel="0" collapsed="false">
      <c r="A5041" s="3" t="n">
        <v>5040</v>
      </c>
      <c r="B5041" s="3" t="n">
        <v>5039</v>
      </c>
      <c r="C5041" s="3" t="n">
        <v>6</v>
      </c>
      <c r="D5041" s="3" t="n">
        <v>11</v>
      </c>
      <c r="E5041" s="3" t="n">
        <v>27</v>
      </c>
      <c r="F5041" s="24" t="n">
        <v>0</v>
      </c>
    </row>
    <row r="5042" customFormat="false" ht="15" hidden="false" customHeight="false" outlineLevel="0" collapsed="false">
      <c r="A5042" s="3" t="n">
        <v>5041</v>
      </c>
      <c r="B5042" s="3" t="n">
        <v>5040</v>
      </c>
      <c r="C5042" s="3" t="n">
        <v>6</v>
      </c>
      <c r="D5042" s="3" t="n">
        <v>12</v>
      </c>
      <c r="E5042" s="3" t="n">
        <v>0</v>
      </c>
      <c r="F5042" s="24" t="n">
        <v>0.185572863</v>
      </c>
    </row>
    <row r="5043" customFormat="false" ht="15" hidden="false" customHeight="false" outlineLevel="0" collapsed="false">
      <c r="A5043" s="3" t="n">
        <v>5042</v>
      </c>
      <c r="B5043" s="3" t="n">
        <v>5041</v>
      </c>
      <c r="C5043" s="3" t="n">
        <v>6</v>
      </c>
      <c r="D5043" s="3" t="n">
        <v>12</v>
      </c>
      <c r="E5043" s="3" t="n">
        <v>1</v>
      </c>
      <c r="F5043" s="24" t="n">
        <v>0</v>
      </c>
    </row>
    <row r="5044" customFormat="false" ht="15" hidden="false" customHeight="false" outlineLevel="0" collapsed="false">
      <c r="A5044" s="3" t="n">
        <v>5043</v>
      </c>
      <c r="B5044" s="3" t="n">
        <v>5042</v>
      </c>
      <c r="C5044" s="3" t="n">
        <v>6</v>
      </c>
      <c r="D5044" s="3" t="n">
        <v>12</v>
      </c>
      <c r="E5044" s="3" t="n">
        <v>2</v>
      </c>
      <c r="F5044" s="24" t="n">
        <v>0</v>
      </c>
    </row>
    <row r="5045" customFormat="false" ht="15" hidden="false" customHeight="false" outlineLevel="0" collapsed="false">
      <c r="A5045" s="3" t="n">
        <v>5044</v>
      </c>
      <c r="B5045" s="3" t="n">
        <v>5043</v>
      </c>
      <c r="C5045" s="3" t="n">
        <v>6</v>
      </c>
      <c r="D5045" s="3" t="n">
        <v>12</v>
      </c>
      <c r="E5045" s="3" t="n">
        <v>3</v>
      </c>
      <c r="F5045" s="24" t="n">
        <v>0</v>
      </c>
    </row>
    <row r="5046" customFormat="false" ht="15" hidden="false" customHeight="false" outlineLevel="0" collapsed="false">
      <c r="A5046" s="3" t="n">
        <v>5045</v>
      </c>
      <c r="B5046" s="3" t="n">
        <v>5044</v>
      </c>
      <c r="C5046" s="3" t="n">
        <v>6</v>
      </c>
      <c r="D5046" s="3" t="n">
        <v>12</v>
      </c>
      <c r="E5046" s="3" t="n">
        <v>4</v>
      </c>
      <c r="F5046" s="24" t="n">
        <v>0</v>
      </c>
    </row>
    <row r="5047" customFormat="false" ht="15" hidden="false" customHeight="false" outlineLevel="0" collapsed="false">
      <c r="A5047" s="3" t="n">
        <v>5046</v>
      </c>
      <c r="B5047" s="3" t="n">
        <v>5045</v>
      </c>
      <c r="C5047" s="3" t="n">
        <v>6</v>
      </c>
      <c r="D5047" s="3" t="n">
        <v>12</v>
      </c>
      <c r="E5047" s="3" t="n">
        <v>5</v>
      </c>
      <c r="F5047" s="24" t="n">
        <v>0</v>
      </c>
    </row>
    <row r="5048" customFormat="false" ht="15" hidden="false" customHeight="false" outlineLevel="0" collapsed="false">
      <c r="A5048" s="3" t="n">
        <v>5047</v>
      </c>
      <c r="B5048" s="3" t="n">
        <v>5046</v>
      </c>
      <c r="C5048" s="3" t="n">
        <v>6</v>
      </c>
      <c r="D5048" s="3" t="n">
        <v>12</v>
      </c>
      <c r="E5048" s="3" t="n">
        <v>6</v>
      </c>
      <c r="F5048" s="24" t="n">
        <v>0</v>
      </c>
    </row>
    <row r="5049" customFormat="false" ht="15" hidden="false" customHeight="false" outlineLevel="0" collapsed="false">
      <c r="A5049" s="3" t="n">
        <v>5048</v>
      </c>
      <c r="B5049" s="3" t="n">
        <v>5047</v>
      </c>
      <c r="C5049" s="3" t="n">
        <v>6</v>
      </c>
      <c r="D5049" s="3" t="n">
        <v>12</v>
      </c>
      <c r="E5049" s="3" t="n">
        <v>7</v>
      </c>
      <c r="F5049" s="24" t="n">
        <v>0</v>
      </c>
    </row>
    <row r="5050" customFormat="false" ht="15" hidden="false" customHeight="false" outlineLevel="0" collapsed="false">
      <c r="A5050" s="3" t="n">
        <v>5049</v>
      </c>
      <c r="B5050" s="3" t="n">
        <v>5048</v>
      </c>
      <c r="C5050" s="3" t="n">
        <v>6</v>
      </c>
      <c r="D5050" s="3" t="n">
        <v>12</v>
      </c>
      <c r="E5050" s="3" t="n">
        <v>8</v>
      </c>
      <c r="F5050" s="24" t="n">
        <v>0</v>
      </c>
    </row>
    <row r="5051" customFormat="false" ht="15" hidden="false" customHeight="false" outlineLevel="0" collapsed="false">
      <c r="A5051" s="3" t="n">
        <v>5050</v>
      </c>
      <c r="B5051" s="3" t="n">
        <v>5049</v>
      </c>
      <c r="C5051" s="3" t="n">
        <v>6</v>
      </c>
      <c r="D5051" s="3" t="n">
        <v>12</v>
      </c>
      <c r="E5051" s="3" t="n">
        <v>9</v>
      </c>
      <c r="F5051" s="24" t="n">
        <v>0</v>
      </c>
    </row>
    <row r="5052" customFormat="false" ht="15" hidden="false" customHeight="false" outlineLevel="0" collapsed="false">
      <c r="A5052" s="3" t="n">
        <v>5051</v>
      </c>
      <c r="B5052" s="3" t="n">
        <v>5050</v>
      </c>
      <c r="C5052" s="3" t="n">
        <v>6</v>
      </c>
      <c r="D5052" s="3" t="n">
        <v>12</v>
      </c>
      <c r="E5052" s="3" t="n">
        <v>10</v>
      </c>
      <c r="F5052" s="24" t="n">
        <v>0</v>
      </c>
    </row>
    <row r="5053" customFormat="false" ht="15" hidden="false" customHeight="false" outlineLevel="0" collapsed="false">
      <c r="A5053" s="3" t="n">
        <v>5052</v>
      </c>
      <c r="B5053" s="3" t="n">
        <v>5051</v>
      </c>
      <c r="C5053" s="3" t="n">
        <v>6</v>
      </c>
      <c r="D5053" s="3" t="n">
        <v>12</v>
      </c>
      <c r="E5053" s="3" t="n">
        <v>11</v>
      </c>
      <c r="F5053" s="24" t="n">
        <v>0</v>
      </c>
    </row>
    <row r="5054" customFormat="false" ht="15" hidden="false" customHeight="false" outlineLevel="0" collapsed="false">
      <c r="A5054" s="3" t="n">
        <v>5053</v>
      </c>
      <c r="B5054" s="3" t="n">
        <v>5052</v>
      </c>
      <c r="C5054" s="3" t="n">
        <v>6</v>
      </c>
      <c r="D5054" s="3" t="n">
        <v>12</v>
      </c>
      <c r="E5054" s="3" t="n">
        <v>12</v>
      </c>
      <c r="F5054" s="24" t="n">
        <v>0</v>
      </c>
    </row>
    <row r="5055" customFormat="false" ht="15" hidden="false" customHeight="false" outlineLevel="0" collapsed="false">
      <c r="A5055" s="3" t="n">
        <v>5054</v>
      </c>
      <c r="B5055" s="3" t="n">
        <v>5053</v>
      </c>
      <c r="C5055" s="3" t="n">
        <v>6</v>
      </c>
      <c r="D5055" s="3" t="n">
        <v>12</v>
      </c>
      <c r="E5055" s="3" t="n">
        <v>13</v>
      </c>
      <c r="F5055" s="24" t="n">
        <v>0</v>
      </c>
    </row>
    <row r="5056" customFormat="false" ht="15" hidden="false" customHeight="false" outlineLevel="0" collapsed="false">
      <c r="A5056" s="3" t="n">
        <v>5055</v>
      </c>
      <c r="B5056" s="3" t="n">
        <v>5054</v>
      </c>
      <c r="C5056" s="3" t="n">
        <v>6</v>
      </c>
      <c r="D5056" s="3" t="n">
        <v>12</v>
      </c>
      <c r="E5056" s="3" t="n">
        <v>14</v>
      </c>
      <c r="F5056" s="24" t="n">
        <v>0</v>
      </c>
    </row>
    <row r="5057" customFormat="false" ht="15" hidden="false" customHeight="false" outlineLevel="0" collapsed="false">
      <c r="A5057" s="3" t="n">
        <v>5056</v>
      </c>
      <c r="B5057" s="3" t="n">
        <v>5055</v>
      </c>
      <c r="C5057" s="3" t="n">
        <v>6</v>
      </c>
      <c r="D5057" s="3" t="n">
        <v>12</v>
      </c>
      <c r="E5057" s="3" t="n">
        <v>15</v>
      </c>
      <c r="F5057" s="24" t="n">
        <v>0</v>
      </c>
    </row>
    <row r="5058" customFormat="false" ht="15" hidden="false" customHeight="false" outlineLevel="0" collapsed="false">
      <c r="A5058" s="3" t="n">
        <v>5057</v>
      </c>
      <c r="B5058" s="3" t="n">
        <v>5056</v>
      </c>
      <c r="C5058" s="3" t="n">
        <v>6</v>
      </c>
      <c r="D5058" s="3" t="n">
        <v>12</v>
      </c>
      <c r="E5058" s="3" t="n">
        <v>16</v>
      </c>
      <c r="F5058" s="24" t="n">
        <v>0</v>
      </c>
    </row>
    <row r="5059" customFormat="false" ht="15" hidden="false" customHeight="false" outlineLevel="0" collapsed="false">
      <c r="A5059" s="3" t="n">
        <v>5058</v>
      </c>
      <c r="B5059" s="3" t="n">
        <v>5057</v>
      </c>
      <c r="C5059" s="3" t="n">
        <v>6</v>
      </c>
      <c r="D5059" s="3" t="n">
        <v>12</v>
      </c>
      <c r="E5059" s="3" t="n">
        <v>17</v>
      </c>
      <c r="F5059" s="24" t="n">
        <v>0</v>
      </c>
    </row>
    <row r="5060" customFormat="false" ht="15" hidden="false" customHeight="false" outlineLevel="0" collapsed="false">
      <c r="A5060" s="3" t="n">
        <v>5059</v>
      </c>
      <c r="B5060" s="3" t="n">
        <v>5058</v>
      </c>
      <c r="C5060" s="3" t="n">
        <v>6</v>
      </c>
      <c r="D5060" s="3" t="n">
        <v>12</v>
      </c>
      <c r="E5060" s="3" t="n">
        <v>18</v>
      </c>
      <c r="F5060" s="24" t="n">
        <v>0.545981407</v>
      </c>
    </row>
    <row r="5061" customFormat="false" ht="15" hidden="false" customHeight="false" outlineLevel="0" collapsed="false">
      <c r="A5061" s="3" t="n">
        <v>5060</v>
      </c>
      <c r="B5061" s="3" t="n">
        <v>5059</v>
      </c>
      <c r="C5061" s="3" t="n">
        <v>6</v>
      </c>
      <c r="D5061" s="3" t="n">
        <v>12</v>
      </c>
      <c r="E5061" s="3" t="n">
        <v>19</v>
      </c>
      <c r="F5061" s="24" t="n">
        <v>3.10079622</v>
      </c>
    </row>
    <row r="5062" customFormat="false" ht="15" hidden="false" customHeight="false" outlineLevel="0" collapsed="false">
      <c r="A5062" s="3" t="n">
        <v>5061</v>
      </c>
      <c r="B5062" s="3" t="n">
        <v>5060</v>
      </c>
      <c r="C5062" s="3" t="n">
        <v>6</v>
      </c>
      <c r="D5062" s="3" t="n">
        <v>12</v>
      </c>
      <c r="E5062" s="3" t="n">
        <v>20</v>
      </c>
      <c r="F5062" s="24" t="n">
        <v>2.49732947</v>
      </c>
    </row>
    <row r="5063" customFormat="false" ht="15" hidden="false" customHeight="false" outlineLevel="0" collapsed="false">
      <c r="A5063" s="3" t="n">
        <v>5062</v>
      </c>
      <c r="B5063" s="3" t="n">
        <v>5061</v>
      </c>
      <c r="C5063" s="3" t="n">
        <v>6</v>
      </c>
      <c r="D5063" s="3" t="n">
        <v>12</v>
      </c>
      <c r="E5063" s="3" t="n">
        <v>21</v>
      </c>
      <c r="F5063" s="24" t="n">
        <v>0.575593591</v>
      </c>
    </row>
    <row r="5064" customFormat="false" ht="15" hidden="false" customHeight="false" outlineLevel="0" collapsed="false">
      <c r="A5064" s="3" t="n">
        <v>5063</v>
      </c>
      <c r="B5064" s="3" t="n">
        <v>5062</v>
      </c>
      <c r="C5064" s="3" t="n">
        <v>6</v>
      </c>
      <c r="D5064" s="3" t="n">
        <v>12</v>
      </c>
      <c r="E5064" s="3" t="n">
        <v>22</v>
      </c>
      <c r="F5064" s="24" t="n">
        <v>0.00956919789</v>
      </c>
    </row>
    <row r="5065" customFormat="false" ht="15" hidden="false" customHeight="false" outlineLevel="0" collapsed="false">
      <c r="A5065" s="3" t="n">
        <v>5064</v>
      </c>
      <c r="B5065" s="3" t="n">
        <v>5063</v>
      </c>
      <c r="C5065" s="3" t="n">
        <v>6</v>
      </c>
      <c r="D5065" s="3" t="n">
        <v>12</v>
      </c>
      <c r="E5065" s="3" t="n">
        <v>23</v>
      </c>
      <c r="F5065" s="24" t="n">
        <v>0</v>
      </c>
    </row>
    <row r="5066" customFormat="false" ht="15" hidden="false" customHeight="false" outlineLevel="0" collapsed="false">
      <c r="A5066" s="3" t="n">
        <v>5065</v>
      </c>
      <c r="B5066" s="3" t="n">
        <v>5064</v>
      </c>
      <c r="C5066" s="3" t="n">
        <v>6</v>
      </c>
      <c r="D5066" s="3" t="n">
        <v>12</v>
      </c>
      <c r="E5066" s="3" t="n">
        <v>24</v>
      </c>
      <c r="F5066" s="24" t="n">
        <v>0</v>
      </c>
    </row>
    <row r="5067" customFormat="false" ht="15" hidden="false" customHeight="false" outlineLevel="0" collapsed="false">
      <c r="A5067" s="3" t="n">
        <v>5066</v>
      </c>
      <c r="B5067" s="3" t="n">
        <v>5065</v>
      </c>
      <c r="C5067" s="3" t="n">
        <v>6</v>
      </c>
      <c r="D5067" s="3" t="n">
        <v>12</v>
      </c>
      <c r="E5067" s="3" t="n">
        <v>25</v>
      </c>
      <c r="F5067" s="24" t="n">
        <v>0</v>
      </c>
    </row>
    <row r="5068" customFormat="false" ht="15" hidden="false" customHeight="false" outlineLevel="0" collapsed="false">
      <c r="A5068" s="3" t="n">
        <v>5067</v>
      </c>
      <c r="B5068" s="3" t="n">
        <v>5066</v>
      </c>
      <c r="C5068" s="3" t="n">
        <v>6</v>
      </c>
      <c r="D5068" s="3" t="n">
        <v>12</v>
      </c>
      <c r="E5068" s="3" t="n">
        <v>26</v>
      </c>
      <c r="F5068" s="24" t="n">
        <v>0</v>
      </c>
    </row>
    <row r="5069" customFormat="false" ht="15" hidden="false" customHeight="false" outlineLevel="0" collapsed="false">
      <c r="A5069" s="3" t="n">
        <v>5068</v>
      </c>
      <c r="B5069" s="3" t="n">
        <v>5067</v>
      </c>
      <c r="C5069" s="3" t="n">
        <v>6</v>
      </c>
      <c r="D5069" s="3" t="n">
        <v>12</v>
      </c>
      <c r="E5069" s="3" t="n">
        <v>27</v>
      </c>
      <c r="F5069" s="24" t="n">
        <v>0</v>
      </c>
    </row>
    <row r="5070" customFormat="false" ht="15" hidden="false" customHeight="false" outlineLevel="0" collapsed="false">
      <c r="A5070" s="3" t="n">
        <v>5069</v>
      </c>
      <c r="B5070" s="3" t="n">
        <v>5068</v>
      </c>
      <c r="C5070" s="3" t="n">
        <v>6</v>
      </c>
      <c r="D5070" s="3" t="n">
        <v>13</v>
      </c>
      <c r="E5070" s="3" t="n">
        <v>0</v>
      </c>
      <c r="F5070" s="24" t="n">
        <v>0.185572863</v>
      </c>
    </row>
    <row r="5071" customFormat="false" ht="15" hidden="false" customHeight="false" outlineLevel="0" collapsed="false">
      <c r="A5071" s="3" t="n">
        <v>5070</v>
      </c>
      <c r="B5071" s="3" t="n">
        <v>5069</v>
      </c>
      <c r="C5071" s="3" t="n">
        <v>6</v>
      </c>
      <c r="D5071" s="3" t="n">
        <v>13</v>
      </c>
      <c r="E5071" s="3" t="n">
        <v>1</v>
      </c>
      <c r="F5071" s="24" t="n">
        <v>0</v>
      </c>
    </row>
    <row r="5072" customFormat="false" ht="15" hidden="false" customHeight="false" outlineLevel="0" collapsed="false">
      <c r="A5072" s="3" t="n">
        <v>5071</v>
      </c>
      <c r="B5072" s="3" t="n">
        <v>5070</v>
      </c>
      <c r="C5072" s="3" t="n">
        <v>6</v>
      </c>
      <c r="D5072" s="3" t="n">
        <v>13</v>
      </c>
      <c r="E5072" s="3" t="n">
        <v>2</v>
      </c>
      <c r="F5072" s="24" t="n">
        <v>0</v>
      </c>
    </row>
    <row r="5073" customFormat="false" ht="15" hidden="false" customHeight="false" outlineLevel="0" collapsed="false">
      <c r="A5073" s="3" t="n">
        <v>5072</v>
      </c>
      <c r="B5073" s="3" t="n">
        <v>5071</v>
      </c>
      <c r="C5073" s="3" t="n">
        <v>6</v>
      </c>
      <c r="D5073" s="3" t="n">
        <v>13</v>
      </c>
      <c r="E5073" s="3" t="n">
        <v>3</v>
      </c>
      <c r="F5073" s="24" t="n">
        <v>0</v>
      </c>
    </row>
    <row r="5074" customFormat="false" ht="15" hidden="false" customHeight="false" outlineLevel="0" collapsed="false">
      <c r="A5074" s="3" t="n">
        <v>5073</v>
      </c>
      <c r="B5074" s="3" t="n">
        <v>5072</v>
      </c>
      <c r="C5074" s="3" t="n">
        <v>6</v>
      </c>
      <c r="D5074" s="3" t="n">
        <v>13</v>
      </c>
      <c r="E5074" s="3" t="n">
        <v>4</v>
      </c>
      <c r="F5074" s="24" t="n">
        <v>0</v>
      </c>
    </row>
    <row r="5075" customFormat="false" ht="15" hidden="false" customHeight="false" outlineLevel="0" collapsed="false">
      <c r="A5075" s="3" t="n">
        <v>5074</v>
      </c>
      <c r="B5075" s="3" t="n">
        <v>5073</v>
      </c>
      <c r="C5075" s="3" t="n">
        <v>6</v>
      </c>
      <c r="D5075" s="3" t="n">
        <v>13</v>
      </c>
      <c r="E5075" s="3" t="n">
        <v>5</v>
      </c>
      <c r="F5075" s="24" t="n">
        <v>0</v>
      </c>
    </row>
    <row r="5076" customFormat="false" ht="15" hidden="false" customHeight="false" outlineLevel="0" collapsed="false">
      <c r="A5076" s="3" t="n">
        <v>5075</v>
      </c>
      <c r="B5076" s="3" t="n">
        <v>5074</v>
      </c>
      <c r="C5076" s="3" t="n">
        <v>6</v>
      </c>
      <c r="D5076" s="3" t="n">
        <v>13</v>
      </c>
      <c r="E5076" s="3" t="n">
        <v>6</v>
      </c>
      <c r="F5076" s="24" t="n">
        <v>0</v>
      </c>
    </row>
    <row r="5077" customFormat="false" ht="15" hidden="false" customHeight="false" outlineLevel="0" collapsed="false">
      <c r="A5077" s="3" t="n">
        <v>5076</v>
      </c>
      <c r="B5077" s="3" t="n">
        <v>5075</v>
      </c>
      <c r="C5077" s="3" t="n">
        <v>6</v>
      </c>
      <c r="D5077" s="3" t="n">
        <v>13</v>
      </c>
      <c r="E5077" s="3" t="n">
        <v>7</v>
      </c>
      <c r="F5077" s="24" t="n">
        <v>0</v>
      </c>
    </row>
    <row r="5078" customFormat="false" ht="15" hidden="false" customHeight="false" outlineLevel="0" collapsed="false">
      <c r="A5078" s="3" t="n">
        <v>5077</v>
      </c>
      <c r="B5078" s="3" t="n">
        <v>5076</v>
      </c>
      <c r="C5078" s="3" t="n">
        <v>6</v>
      </c>
      <c r="D5078" s="3" t="n">
        <v>13</v>
      </c>
      <c r="E5078" s="3" t="n">
        <v>8</v>
      </c>
      <c r="F5078" s="24" t="n">
        <v>0</v>
      </c>
    </row>
    <row r="5079" customFormat="false" ht="15" hidden="false" customHeight="false" outlineLevel="0" collapsed="false">
      <c r="A5079" s="3" t="n">
        <v>5078</v>
      </c>
      <c r="B5079" s="3" t="n">
        <v>5077</v>
      </c>
      <c r="C5079" s="3" t="n">
        <v>6</v>
      </c>
      <c r="D5079" s="3" t="n">
        <v>13</v>
      </c>
      <c r="E5079" s="3" t="n">
        <v>9</v>
      </c>
      <c r="F5079" s="24" t="n">
        <v>0</v>
      </c>
    </row>
    <row r="5080" customFormat="false" ht="15" hidden="false" customHeight="false" outlineLevel="0" collapsed="false">
      <c r="A5080" s="3" t="n">
        <v>5079</v>
      </c>
      <c r="B5080" s="3" t="n">
        <v>5078</v>
      </c>
      <c r="C5080" s="3" t="n">
        <v>6</v>
      </c>
      <c r="D5080" s="3" t="n">
        <v>13</v>
      </c>
      <c r="E5080" s="3" t="n">
        <v>10</v>
      </c>
      <c r="F5080" s="24" t="n">
        <v>0</v>
      </c>
    </row>
    <row r="5081" customFormat="false" ht="15" hidden="false" customHeight="false" outlineLevel="0" collapsed="false">
      <c r="A5081" s="3" t="n">
        <v>5080</v>
      </c>
      <c r="B5081" s="3" t="n">
        <v>5079</v>
      </c>
      <c r="C5081" s="3" t="n">
        <v>6</v>
      </c>
      <c r="D5081" s="3" t="n">
        <v>13</v>
      </c>
      <c r="E5081" s="3" t="n">
        <v>11</v>
      </c>
      <c r="F5081" s="24" t="n">
        <v>0</v>
      </c>
    </row>
    <row r="5082" customFormat="false" ht="15" hidden="false" customHeight="false" outlineLevel="0" collapsed="false">
      <c r="A5082" s="3" t="n">
        <v>5081</v>
      </c>
      <c r="B5082" s="3" t="n">
        <v>5080</v>
      </c>
      <c r="C5082" s="3" t="n">
        <v>6</v>
      </c>
      <c r="D5082" s="3" t="n">
        <v>13</v>
      </c>
      <c r="E5082" s="3" t="n">
        <v>12</v>
      </c>
      <c r="F5082" s="24" t="n">
        <v>0</v>
      </c>
    </row>
    <row r="5083" customFormat="false" ht="15" hidden="false" customHeight="false" outlineLevel="0" collapsed="false">
      <c r="A5083" s="3" t="n">
        <v>5082</v>
      </c>
      <c r="B5083" s="3" t="n">
        <v>5081</v>
      </c>
      <c r="C5083" s="3" t="n">
        <v>6</v>
      </c>
      <c r="D5083" s="3" t="n">
        <v>13</v>
      </c>
      <c r="E5083" s="3" t="n">
        <v>13</v>
      </c>
      <c r="F5083" s="24" t="n">
        <v>0</v>
      </c>
    </row>
    <row r="5084" customFormat="false" ht="15" hidden="false" customHeight="false" outlineLevel="0" collapsed="false">
      <c r="A5084" s="3" t="n">
        <v>5083</v>
      </c>
      <c r="B5084" s="3" t="n">
        <v>5082</v>
      </c>
      <c r="C5084" s="3" t="n">
        <v>6</v>
      </c>
      <c r="D5084" s="3" t="n">
        <v>13</v>
      </c>
      <c r="E5084" s="3" t="n">
        <v>14</v>
      </c>
      <c r="F5084" s="24" t="n">
        <v>0</v>
      </c>
    </row>
    <row r="5085" customFormat="false" ht="15" hidden="false" customHeight="false" outlineLevel="0" collapsed="false">
      <c r="A5085" s="3" t="n">
        <v>5084</v>
      </c>
      <c r="B5085" s="3" t="n">
        <v>5083</v>
      </c>
      <c r="C5085" s="3" t="n">
        <v>6</v>
      </c>
      <c r="D5085" s="3" t="n">
        <v>13</v>
      </c>
      <c r="E5085" s="3" t="n">
        <v>15</v>
      </c>
      <c r="F5085" s="24" t="n">
        <v>0</v>
      </c>
    </row>
    <row r="5086" customFormat="false" ht="15" hidden="false" customHeight="false" outlineLevel="0" collapsed="false">
      <c r="A5086" s="3" t="n">
        <v>5085</v>
      </c>
      <c r="B5086" s="3" t="n">
        <v>5084</v>
      </c>
      <c r="C5086" s="3" t="n">
        <v>6</v>
      </c>
      <c r="D5086" s="3" t="n">
        <v>13</v>
      </c>
      <c r="E5086" s="3" t="n">
        <v>16</v>
      </c>
      <c r="F5086" s="24" t="n">
        <v>0</v>
      </c>
    </row>
    <row r="5087" customFormat="false" ht="15" hidden="false" customHeight="false" outlineLevel="0" collapsed="false">
      <c r="A5087" s="3" t="n">
        <v>5086</v>
      </c>
      <c r="B5087" s="3" t="n">
        <v>5085</v>
      </c>
      <c r="C5087" s="3" t="n">
        <v>6</v>
      </c>
      <c r="D5087" s="3" t="n">
        <v>13</v>
      </c>
      <c r="E5087" s="3" t="n">
        <v>17</v>
      </c>
      <c r="F5087" s="24" t="n">
        <v>0</v>
      </c>
    </row>
    <row r="5088" customFormat="false" ht="15" hidden="false" customHeight="false" outlineLevel="0" collapsed="false">
      <c r="A5088" s="3" t="n">
        <v>5087</v>
      </c>
      <c r="B5088" s="3" t="n">
        <v>5086</v>
      </c>
      <c r="C5088" s="3" t="n">
        <v>6</v>
      </c>
      <c r="D5088" s="3" t="n">
        <v>13</v>
      </c>
      <c r="E5088" s="3" t="n">
        <v>18</v>
      </c>
      <c r="F5088" s="24" t="n">
        <v>2.16712451</v>
      </c>
    </row>
    <row r="5089" customFormat="false" ht="15" hidden="false" customHeight="false" outlineLevel="0" collapsed="false">
      <c r="A5089" s="3" t="n">
        <v>5088</v>
      </c>
      <c r="B5089" s="3" t="n">
        <v>5087</v>
      </c>
      <c r="C5089" s="3" t="n">
        <v>6</v>
      </c>
      <c r="D5089" s="3" t="n">
        <v>13</v>
      </c>
      <c r="E5089" s="3" t="n">
        <v>19</v>
      </c>
      <c r="F5089" s="24" t="n">
        <v>3.53236461</v>
      </c>
    </row>
    <row r="5090" customFormat="false" ht="15" hidden="false" customHeight="false" outlineLevel="0" collapsed="false">
      <c r="A5090" s="3" t="n">
        <v>5089</v>
      </c>
      <c r="B5090" s="3" t="n">
        <v>5088</v>
      </c>
      <c r="C5090" s="3" t="n">
        <v>6</v>
      </c>
      <c r="D5090" s="3" t="n">
        <v>13</v>
      </c>
      <c r="E5090" s="3" t="n">
        <v>20</v>
      </c>
      <c r="F5090" s="24" t="n">
        <v>1.58326244</v>
      </c>
    </row>
    <row r="5091" customFormat="false" ht="15" hidden="false" customHeight="false" outlineLevel="0" collapsed="false">
      <c r="A5091" s="3" t="n">
        <v>5090</v>
      </c>
      <c r="B5091" s="3" t="n">
        <v>5089</v>
      </c>
      <c r="C5091" s="3" t="n">
        <v>6</v>
      </c>
      <c r="D5091" s="3" t="n">
        <v>13</v>
      </c>
      <c r="E5091" s="3" t="n">
        <v>21</v>
      </c>
      <c r="F5091" s="24" t="n">
        <v>0.204970151</v>
      </c>
    </row>
    <row r="5092" customFormat="false" ht="15" hidden="false" customHeight="false" outlineLevel="0" collapsed="false">
      <c r="A5092" s="3" t="n">
        <v>5091</v>
      </c>
      <c r="B5092" s="3" t="n">
        <v>5090</v>
      </c>
      <c r="C5092" s="3" t="n">
        <v>6</v>
      </c>
      <c r="D5092" s="3" t="n">
        <v>13</v>
      </c>
      <c r="E5092" s="3" t="n">
        <v>22</v>
      </c>
      <c r="F5092" s="24" t="n">
        <v>0</v>
      </c>
    </row>
    <row r="5093" customFormat="false" ht="15" hidden="false" customHeight="false" outlineLevel="0" collapsed="false">
      <c r="A5093" s="3" t="n">
        <v>5092</v>
      </c>
      <c r="B5093" s="3" t="n">
        <v>5091</v>
      </c>
      <c r="C5093" s="3" t="n">
        <v>6</v>
      </c>
      <c r="D5093" s="3" t="n">
        <v>13</v>
      </c>
      <c r="E5093" s="3" t="n">
        <v>23</v>
      </c>
      <c r="F5093" s="24" t="n">
        <v>0</v>
      </c>
    </row>
    <row r="5094" customFormat="false" ht="15" hidden="false" customHeight="false" outlineLevel="0" collapsed="false">
      <c r="A5094" s="3" t="n">
        <v>5093</v>
      </c>
      <c r="B5094" s="3" t="n">
        <v>5092</v>
      </c>
      <c r="C5094" s="3" t="n">
        <v>6</v>
      </c>
      <c r="D5094" s="3" t="n">
        <v>13</v>
      </c>
      <c r="E5094" s="3" t="n">
        <v>24</v>
      </c>
      <c r="F5094" s="24" t="n">
        <v>0</v>
      </c>
    </row>
    <row r="5095" customFormat="false" ht="15" hidden="false" customHeight="false" outlineLevel="0" collapsed="false">
      <c r="A5095" s="3" t="n">
        <v>5094</v>
      </c>
      <c r="B5095" s="3" t="n">
        <v>5093</v>
      </c>
      <c r="C5095" s="3" t="n">
        <v>6</v>
      </c>
      <c r="D5095" s="3" t="n">
        <v>13</v>
      </c>
      <c r="E5095" s="3" t="n">
        <v>25</v>
      </c>
      <c r="F5095" s="24" t="n">
        <v>0</v>
      </c>
    </row>
    <row r="5096" customFormat="false" ht="15" hidden="false" customHeight="false" outlineLevel="0" collapsed="false">
      <c r="A5096" s="3" t="n">
        <v>5095</v>
      </c>
      <c r="B5096" s="3" t="n">
        <v>5094</v>
      </c>
      <c r="C5096" s="3" t="n">
        <v>6</v>
      </c>
      <c r="D5096" s="3" t="n">
        <v>13</v>
      </c>
      <c r="E5096" s="3" t="n">
        <v>26</v>
      </c>
      <c r="F5096" s="24" t="n">
        <v>0</v>
      </c>
    </row>
    <row r="5097" customFormat="false" ht="15" hidden="false" customHeight="false" outlineLevel="0" collapsed="false">
      <c r="A5097" s="3" t="n">
        <v>5096</v>
      </c>
      <c r="B5097" s="3" t="n">
        <v>5095</v>
      </c>
      <c r="C5097" s="3" t="n">
        <v>6</v>
      </c>
      <c r="D5097" s="3" t="n">
        <v>13</v>
      </c>
      <c r="E5097" s="3" t="n">
        <v>27</v>
      </c>
      <c r="F5097" s="24" t="n">
        <v>0</v>
      </c>
    </row>
    <row r="5098" customFormat="false" ht="15" hidden="false" customHeight="false" outlineLevel="0" collapsed="false">
      <c r="A5098" s="3" t="n">
        <v>5097</v>
      </c>
      <c r="B5098" s="3" t="n">
        <v>5096</v>
      </c>
      <c r="C5098" s="3" t="n">
        <v>6</v>
      </c>
      <c r="D5098" s="3" t="n">
        <v>14</v>
      </c>
      <c r="E5098" s="3" t="n">
        <v>0</v>
      </c>
      <c r="F5098" s="24" t="n">
        <v>0.185572863</v>
      </c>
    </row>
    <row r="5099" customFormat="false" ht="15" hidden="false" customHeight="false" outlineLevel="0" collapsed="false">
      <c r="A5099" s="3" t="n">
        <v>5098</v>
      </c>
      <c r="B5099" s="3" t="n">
        <v>5097</v>
      </c>
      <c r="C5099" s="3" t="n">
        <v>6</v>
      </c>
      <c r="D5099" s="3" t="n">
        <v>14</v>
      </c>
      <c r="E5099" s="3" t="n">
        <v>1</v>
      </c>
      <c r="F5099" s="24" t="n">
        <v>0</v>
      </c>
    </row>
    <row r="5100" customFormat="false" ht="15" hidden="false" customHeight="false" outlineLevel="0" collapsed="false">
      <c r="A5100" s="3" t="n">
        <v>5099</v>
      </c>
      <c r="B5100" s="3" t="n">
        <v>5098</v>
      </c>
      <c r="C5100" s="3" t="n">
        <v>6</v>
      </c>
      <c r="D5100" s="3" t="n">
        <v>14</v>
      </c>
      <c r="E5100" s="3" t="n">
        <v>2</v>
      </c>
      <c r="F5100" s="24" t="n">
        <v>0</v>
      </c>
    </row>
    <row r="5101" customFormat="false" ht="15" hidden="false" customHeight="false" outlineLevel="0" collapsed="false">
      <c r="A5101" s="3" t="n">
        <v>5100</v>
      </c>
      <c r="B5101" s="3" t="n">
        <v>5099</v>
      </c>
      <c r="C5101" s="3" t="n">
        <v>6</v>
      </c>
      <c r="D5101" s="3" t="n">
        <v>14</v>
      </c>
      <c r="E5101" s="3" t="n">
        <v>3</v>
      </c>
      <c r="F5101" s="24" t="n">
        <v>0</v>
      </c>
    </row>
    <row r="5102" customFormat="false" ht="15" hidden="false" customHeight="false" outlineLevel="0" collapsed="false">
      <c r="A5102" s="3" t="n">
        <v>5101</v>
      </c>
      <c r="B5102" s="3" t="n">
        <v>5100</v>
      </c>
      <c r="C5102" s="3" t="n">
        <v>6</v>
      </c>
      <c r="D5102" s="3" t="n">
        <v>14</v>
      </c>
      <c r="E5102" s="3" t="n">
        <v>4</v>
      </c>
      <c r="F5102" s="24" t="n">
        <v>0</v>
      </c>
    </row>
    <row r="5103" customFormat="false" ht="15" hidden="false" customHeight="false" outlineLevel="0" collapsed="false">
      <c r="A5103" s="3" t="n">
        <v>5102</v>
      </c>
      <c r="B5103" s="3" t="n">
        <v>5101</v>
      </c>
      <c r="C5103" s="3" t="n">
        <v>6</v>
      </c>
      <c r="D5103" s="3" t="n">
        <v>14</v>
      </c>
      <c r="E5103" s="3" t="n">
        <v>5</v>
      </c>
      <c r="F5103" s="24" t="n">
        <v>0</v>
      </c>
    </row>
    <row r="5104" customFormat="false" ht="15" hidden="false" customHeight="false" outlineLevel="0" collapsed="false">
      <c r="A5104" s="3" t="n">
        <v>5103</v>
      </c>
      <c r="B5104" s="3" t="n">
        <v>5102</v>
      </c>
      <c r="C5104" s="3" t="n">
        <v>6</v>
      </c>
      <c r="D5104" s="3" t="n">
        <v>14</v>
      </c>
      <c r="E5104" s="3" t="n">
        <v>6</v>
      </c>
      <c r="F5104" s="24" t="n">
        <v>0</v>
      </c>
    </row>
    <row r="5105" customFormat="false" ht="15" hidden="false" customHeight="false" outlineLevel="0" collapsed="false">
      <c r="A5105" s="3" t="n">
        <v>5104</v>
      </c>
      <c r="B5105" s="3" t="n">
        <v>5103</v>
      </c>
      <c r="C5105" s="3" t="n">
        <v>6</v>
      </c>
      <c r="D5105" s="3" t="n">
        <v>14</v>
      </c>
      <c r="E5105" s="3" t="n">
        <v>7</v>
      </c>
      <c r="F5105" s="24" t="n">
        <v>0</v>
      </c>
    </row>
    <row r="5106" customFormat="false" ht="15" hidden="false" customHeight="false" outlineLevel="0" collapsed="false">
      <c r="A5106" s="3" t="n">
        <v>5105</v>
      </c>
      <c r="B5106" s="3" t="n">
        <v>5104</v>
      </c>
      <c r="C5106" s="3" t="n">
        <v>6</v>
      </c>
      <c r="D5106" s="3" t="n">
        <v>14</v>
      </c>
      <c r="E5106" s="3" t="n">
        <v>8</v>
      </c>
      <c r="F5106" s="24" t="n">
        <v>0</v>
      </c>
    </row>
    <row r="5107" customFormat="false" ht="15" hidden="false" customHeight="false" outlineLevel="0" collapsed="false">
      <c r="A5107" s="3" t="n">
        <v>5106</v>
      </c>
      <c r="B5107" s="3" t="n">
        <v>5105</v>
      </c>
      <c r="C5107" s="3" t="n">
        <v>6</v>
      </c>
      <c r="D5107" s="3" t="n">
        <v>14</v>
      </c>
      <c r="E5107" s="3" t="n">
        <v>9</v>
      </c>
      <c r="F5107" s="24" t="n">
        <v>0</v>
      </c>
    </row>
    <row r="5108" customFormat="false" ht="15" hidden="false" customHeight="false" outlineLevel="0" collapsed="false">
      <c r="A5108" s="3" t="n">
        <v>5107</v>
      </c>
      <c r="B5108" s="3" t="n">
        <v>5106</v>
      </c>
      <c r="C5108" s="3" t="n">
        <v>6</v>
      </c>
      <c r="D5108" s="3" t="n">
        <v>14</v>
      </c>
      <c r="E5108" s="3" t="n">
        <v>10</v>
      </c>
      <c r="F5108" s="24" t="n">
        <v>0</v>
      </c>
    </row>
    <row r="5109" customFormat="false" ht="15" hidden="false" customHeight="false" outlineLevel="0" collapsed="false">
      <c r="A5109" s="3" t="n">
        <v>5108</v>
      </c>
      <c r="B5109" s="3" t="n">
        <v>5107</v>
      </c>
      <c r="C5109" s="3" t="n">
        <v>6</v>
      </c>
      <c r="D5109" s="3" t="n">
        <v>14</v>
      </c>
      <c r="E5109" s="3" t="n">
        <v>11</v>
      </c>
      <c r="F5109" s="24" t="n">
        <v>0</v>
      </c>
    </row>
    <row r="5110" customFormat="false" ht="15" hidden="false" customHeight="false" outlineLevel="0" collapsed="false">
      <c r="A5110" s="3" t="n">
        <v>5109</v>
      </c>
      <c r="B5110" s="3" t="n">
        <v>5108</v>
      </c>
      <c r="C5110" s="3" t="n">
        <v>6</v>
      </c>
      <c r="D5110" s="3" t="n">
        <v>14</v>
      </c>
      <c r="E5110" s="3" t="n">
        <v>12</v>
      </c>
      <c r="F5110" s="24" t="n">
        <v>0</v>
      </c>
    </row>
    <row r="5111" customFormat="false" ht="15" hidden="false" customHeight="false" outlineLevel="0" collapsed="false">
      <c r="A5111" s="3" t="n">
        <v>5110</v>
      </c>
      <c r="B5111" s="3" t="n">
        <v>5109</v>
      </c>
      <c r="C5111" s="3" t="n">
        <v>6</v>
      </c>
      <c r="D5111" s="3" t="n">
        <v>14</v>
      </c>
      <c r="E5111" s="3" t="n">
        <v>13</v>
      </c>
      <c r="F5111" s="24" t="n">
        <v>0</v>
      </c>
    </row>
    <row r="5112" customFormat="false" ht="15" hidden="false" customHeight="false" outlineLevel="0" collapsed="false">
      <c r="A5112" s="3" t="n">
        <v>5111</v>
      </c>
      <c r="B5112" s="3" t="n">
        <v>5110</v>
      </c>
      <c r="C5112" s="3" t="n">
        <v>6</v>
      </c>
      <c r="D5112" s="3" t="n">
        <v>14</v>
      </c>
      <c r="E5112" s="3" t="n">
        <v>14</v>
      </c>
      <c r="F5112" s="24" t="n">
        <v>0</v>
      </c>
    </row>
    <row r="5113" customFormat="false" ht="15" hidden="false" customHeight="false" outlineLevel="0" collapsed="false">
      <c r="A5113" s="3" t="n">
        <v>5112</v>
      </c>
      <c r="B5113" s="3" t="n">
        <v>5111</v>
      </c>
      <c r="C5113" s="3" t="n">
        <v>6</v>
      </c>
      <c r="D5113" s="3" t="n">
        <v>14</v>
      </c>
      <c r="E5113" s="3" t="n">
        <v>15</v>
      </c>
      <c r="F5113" s="24" t="n">
        <v>0</v>
      </c>
    </row>
    <row r="5114" customFormat="false" ht="15" hidden="false" customHeight="false" outlineLevel="0" collapsed="false">
      <c r="A5114" s="3" t="n">
        <v>5113</v>
      </c>
      <c r="B5114" s="3" t="n">
        <v>5112</v>
      </c>
      <c r="C5114" s="3" t="n">
        <v>6</v>
      </c>
      <c r="D5114" s="3" t="n">
        <v>14</v>
      </c>
      <c r="E5114" s="3" t="n">
        <v>16</v>
      </c>
      <c r="F5114" s="24" t="n">
        <v>0</v>
      </c>
    </row>
    <row r="5115" customFormat="false" ht="15" hidden="false" customHeight="false" outlineLevel="0" collapsed="false">
      <c r="A5115" s="3" t="n">
        <v>5114</v>
      </c>
      <c r="B5115" s="3" t="n">
        <v>5113</v>
      </c>
      <c r="C5115" s="3" t="n">
        <v>6</v>
      </c>
      <c r="D5115" s="3" t="n">
        <v>14</v>
      </c>
      <c r="E5115" s="3" t="n">
        <v>17</v>
      </c>
      <c r="F5115" s="24" t="n">
        <v>1.02489007</v>
      </c>
    </row>
    <row r="5116" customFormat="false" ht="15" hidden="false" customHeight="false" outlineLevel="0" collapsed="false">
      <c r="A5116" s="3" t="n">
        <v>5115</v>
      </c>
      <c r="B5116" s="3" t="n">
        <v>5114</v>
      </c>
      <c r="C5116" s="3" t="n">
        <v>6</v>
      </c>
      <c r="D5116" s="3" t="n">
        <v>14</v>
      </c>
      <c r="E5116" s="3" t="n">
        <v>18</v>
      </c>
      <c r="F5116" s="24" t="n">
        <v>3.61173391</v>
      </c>
    </row>
    <row r="5117" customFormat="false" ht="15" hidden="false" customHeight="false" outlineLevel="0" collapsed="false">
      <c r="A5117" s="3" t="n">
        <v>5116</v>
      </c>
      <c r="B5117" s="3" t="n">
        <v>5115</v>
      </c>
      <c r="C5117" s="3" t="n">
        <v>6</v>
      </c>
      <c r="D5117" s="3" t="n">
        <v>14</v>
      </c>
      <c r="E5117" s="3" t="n">
        <v>19</v>
      </c>
      <c r="F5117" s="24" t="n">
        <v>2.59607387</v>
      </c>
    </row>
    <row r="5118" customFormat="false" ht="15" hidden="false" customHeight="false" outlineLevel="0" collapsed="false">
      <c r="A5118" s="3" t="n">
        <v>5117</v>
      </c>
      <c r="B5118" s="3" t="n">
        <v>5116</v>
      </c>
      <c r="C5118" s="3" t="n">
        <v>6</v>
      </c>
      <c r="D5118" s="3" t="n">
        <v>14</v>
      </c>
      <c r="E5118" s="3" t="n">
        <v>20</v>
      </c>
      <c r="F5118" s="24" t="n">
        <v>0.551953912</v>
      </c>
    </row>
    <row r="5119" customFormat="false" ht="15" hidden="false" customHeight="false" outlineLevel="0" collapsed="false">
      <c r="A5119" s="3" t="n">
        <v>5118</v>
      </c>
      <c r="B5119" s="3" t="n">
        <v>5117</v>
      </c>
      <c r="C5119" s="3" t="n">
        <v>6</v>
      </c>
      <c r="D5119" s="3" t="n">
        <v>14</v>
      </c>
      <c r="E5119" s="3" t="n">
        <v>21</v>
      </c>
      <c r="F5119" s="24" t="n">
        <v>0.0330833495</v>
      </c>
    </row>
    <row r="5120" customFormat="false" ht="15" hidden="false" customHeight="false" outlineLevel="0" collapsed="false">
      <c r="A5120" s="3" t="n">
        <v>5119</v>
      </c>
      <c r="B5120" s="3" t="n">
        <v>5118</v>
      </c>
      <c r="C5120" s="3" t="n">
        <v>6</v>
      </c>
      <c r="D5120" s="3" t="n">
        <v>14</v>
      </c>
      <c r="E5120" s="3" t="n">
        <v>22</v>
      </c>
      <c r="F5120" s="24" t="n">
        <v>0</v>
      </c>
    </row>
    <row r="5121" customFormat="false" ht="15" hidden="false" customHeight="false" outlineLevel="0" collapsed="false">
      <c r="A5121" s="3" t="n">
        <v>5120</v>
      </c>
      <c r="B5121" s="3" t="n">
        <v>5119</v>
      </c>
      <c r="C5121" s="3" t="n">
        <v>6</v>
      </c>
      <c r="D5121" s="3" t="n">
        <v>14</v>
      </c>
      <c r="E5121" s="3" t="n">
        <v>23</v>
      </c>
      <c r="F5121" s="24" t="n">
        <v>0</v>
      </c>
    </row>
    <row r="5122" customFormat="false" ht="15" hidden="false" customHeight="false" outlineLevel="0" collapsed="false">
      <c r="A5122" s="3" t="n">
        <v>5121</v>
      </c>
      <c r="B5122" s="3" t="n">
        <v>5120</v>
      </c>
      <c r="C5122" s="3" t="n">
        <v>6</v>
      </c>
      <c r="D5122" s="3" t="n">
        <v>14</v>
      </c>
      <c r="E5122" s="3" t="n">
        <v>24</v>
      </c>
      <c r="F5122" s="24" t="n">
        <v>0</v>
      </c>
    </row>
    <row r="5123" customFormat="false" ht="15" hidden="false" customHeight="false" outlineLevel="0" collapsed="false">
      <c r="A5123" s="3" t="n">
        <v>5122</v>
      </c>
      <c r="B5123" s="3" t="n">
        <v>5121</v>
      </c>
      <c r="C5123" s="3" t="n">
        <v>6</v>
      </c>
      <c r="D5123" s="3" t="n">
        <v>14</v>
      </c>
      <c r="E5123" s="3" t="n">
        <v>25</v>
      </c>
      <c r="F5123" s="24" t="n">
        <v>0</v>
      </c>
    </row>
    <row r="5124" customFormat="false" ht="15" hidden="false" customHeight="false" outlineLevel="0" collapsed="false">
      <c r="A5124" s="3" t="n">
        <v>5123</v>
      </c>
      <c r="B5124" s="3" t="n">
        <v>5122</v>
      </c>
      <c r="C5124" s="3" t="n">
        <v>6</v>
      </c>
      <c r="D5124" s="3" t="n">
        <v>14</v>
      </c>
      <c r="E5124" s="3" t="n">
        <v>26</v>
      </c>
      <c r="F5124" s="24" t="n">
        <v>0</v>
      </c>
    </row>
    <row r="5125" customFormat="false" ht="15" hidden="false" customHeight="false" outlineLevel="0" collapsed="false">
      <c r="A5125" s="3" t="n">
        <v>5124</v>
      </c>
      <c r="B5125" s="3" t="n">
        <v>5123</v>
      </c>
      <c r="C5125" s="3" t="n">
        <v>6</v>
      </c>
      <c r="D5125" s="3" t="n">
        <v>14</v>
      </c>
      <c r="E5125" s="3" t="n">
        <v>27</v>
      </c>
      <c r="F5125" s="24" t="n">
        <v>0</v>
      </c>
    </row>
    <row r="5126" customFormat="false" ht="15" hidden="false" customHeight="false" outlineLevel="0" collapsed="false">
      <c r="A5126" s="3" t="n">
        <v>5125</v>
      </c>
      <c r="B5126" s="3" t="n">
        <v>5124</v>
      </c>
      <c r="C5126" s="3" t="n">
        <v>6</v>
      </c>
      <c r="D5126" s="3" t="n">
        <v>15</v>
      </c>
      <c r="E5126" s="3" t="n">
        <v>0</v>
      </c>
      <c r="F5126" s="24" t="n">
        <v>0.185572863</v>
      </c>
    </row>
    <row r="5127" customFormat="false" ht="15" hidden="false" customHeight="false" outlineLevel="0" collapsed="false">
      <c r="A5127" s="3" t="n">
        <v>5126</v>
      </c>
      <c r="B5127" s="3" t="n">
        <v>5125</v>
      </c>
      <c r="C5127" s="3" t="n">
        <v>6</v>
      </c>
      <c r="D5127" s="3" t="n">
        <v>15</v>
      </c>
      <c r="E5127" s="3" t="n">
        <v>1</v>
      </c>
      <c r="F5127" s="24" t="n">
        <v>0</v>
      </c>
    </row>
    <row r="5128" customFormat="false" ht="15" hidden="false" customHeight="false" outlineLevel="0" collapsed="false">
      <c r="A5128" s="3" t="n">
        <v>5127</v>
      </c>
      <c r="B5128" s="3" t="n">
        <v>5126</v>
      </c>
      <c r="C5128" s="3" t="n">
        <v>6</v>
      </c>
      <c r="D5128" s="3" t="n">
        <v>15</v>
      </c>
      <c r="E5128" s="3" t="n">
        <v>2</v>
      </c>
      <c r="F5128" s="24" t="n">
        <v>0</v>
      </c>
    </row>
    <row r="5129" customFormat="false" ht="15" hidden="false" customHeight="false" outlineLevel="0" collapsed="false">
      <c r="A5129" s="3" t="n">
        <v>5128</v>
      </c>
      <c r="B5129" s="3" t="n">
        <v>5127</v>
      </c>
      <c r="C5129" s="3" t="n">
        <v>6</v>
      </c>
      <c r="D5129" s="3" t="n">
        <v>15</v>
      </c>
      <c r="E5129" s="3" t="n">
        <v>3</v>
      </c>
      <c r="F5129" s="24" t="n">
        <v>0</v>
      </c>
    </row>
    <row r="5130" customFormat="false" ht="15" hidden="false" customHeight="false" outlineLevel="0" collapsed="false">
      <c r="A5130" s="3" t="n">
        <v>5129</v>
      </c>
      <c r="B5130" s="3" t="n">
        <v>5128</v>
      </c>
      <c r="C5130" s="3" t="n">
        <v>6</v>
      </c>
      <c r="D5130" s="3" t="n">
        <v>15</v>
      </c>
      <c r="E5130" s="3" t="n">
        <v>4</v>
      </c>
      <c r="F5130" s="24" t="n">
        <v>0</v>
      </c>
    </row>
    <row r="5131" customFormat="false" ht="15" hidden="false" customHeight="false" outlineLevel="0" collapsed="false">
      <c r="A5131" s="3" t="n">
        <v>5130</v>
      </c>
      <c r="B5131" s="3" t="n">
        <v>5129</v>
      </c>
      <c r="C5131" s="3" t="n">
        <v>6</v>
      </c>
      <c r="D5131" s="3" t="n">
        <v>15</v>
      </c>
      <c r="E5131" s="3" t="n">
        <v>5</v>
      </c>
      <c r="F5131" s="24" t="n">
        <v>0</v>
      </c>
    </row>
    <row r="5132" customFormat="false" ht="15" hidden="false" customHeight="false" outlineLevel="0" collapsed="false">
      <c r="A5132" s="3" t="n">
        <v>5131</v>
      </c>
      <c r="B5132" s="3" t="n">
        <v>5130</v>
      </c>
      <c r="C5132" s="3" t="n">
        <v>6</v>
      </c>
      <c r="D5132" s="3" t="n">
        <v>15</v>
      </c>
      <c r="E5132" s="3" t="n">
        <v>6</v>
      </c>
      <c r="F5132" s="24" t="n">
        <v>0</v>
      </c>
    </row>
    <row r="5133" customFormat="false" ht="15" hidden="false" customHeight="false" outlineLevel="0" collapsed="false">
      <c r="A5133" s="3" t="n">
        <v>5132</v>
      </c>
      <c r="B5133" s="3" t="n">
        <v>5131</v>
      </c>
      <c r="C5133" s="3" t="n">
        <v>6</v>
      </c>
      <c r="D5133" s="3" t="n">
        <v>15</v>
      </c>
      <c r="E5133" s="3" t="n">
        <v>7</v>
      </c>
      <c r="F5133" s="24" t="n">
        <v>0</v>
      </c>
    </row>
    <row r="5134" customFormat="false" ht="15" hidden="false" customHeight="false" outlineLevel="0" collapsed="false">
      <c r="A5134" s="3" t="n">
        <v>5133</v>
      </c>
      <c r="B5134" s="3" t="n">
        <v>5132</v>
      </c>
      <c r="C5134" s="3" t="n">
        <v>6</v>
      </c>
      <c r="D5134" s="3" t="n">
        <v>15</v>
      </c>
      <c r="E5134" s="3" t="n">
        <v>8</v>
      </c>
      <c r="F5134" s="24" t="n">
        <v>0</v>
      </c>
    </row>
    <row r="5135" customFormat="false" ht="15" hidden="false" customHeight="false" outlineLevel="0" collapsed="false">
      <c r="A5135" s="3" t="n">
        <v>5134</v>
      </c>
      <c r="B5135" s="3" t="n">
        <v>5133</v>
      </c>
      <c r="C5135" s="3" t="n">
        <v>6</v>
      </c>
      <c r="D5135" s="3" t="n">
        <v>15</v>
      </c>
      <c r="E5135" s="3" t="n">
        <v>9</v>
      </c>
      <c r="F5135" s="24" t="n">
        <v>0</v>
      </c>
    </row>
    <row r="5136" customFormat="false" ht="15" hidden="false" customHeight="false" outlineLevel="0" collapsed="false">
      <c r="A5136" s="3" t="n">
        <v>5135</v>
      </c>
      <c r="B5136" s="3" t="n">
        <v>5134</v>
      </c>
      <c r="C5136" s="3" t="n">
        <v>6</v>
      </c>
      <c r="D5136" s="3" t="n">
        <v>15</v>
      </c>
      <c r="E5136" s="3" t="n">
        <v>10</v>
      </c>
      <c r="F5136" s="24" t="n">
        <v>0</v>
      </c>
    </row>
    <row r="5137" customFormat="false" ht="15" hidden="false" customHeight="false" outlineLevel="0" collapsed="false">
      <c r="A5137" s="3" t="n">
        <v>5136</v>
      </c>
      <c r="B5137" s="3" t="n">
        <v>5135</v>
      </c>
      <c r="C5137" s="3" t="n">
        <v>6</v>
      </c>
      <c r="D5137" s="3" t="n">
        <v>15</v>
      </c>
      <c r="E5137" s="3" t="n">
        <v>11</v>
      </c>
      <c r="F5137" s="24" t="n">
        <v>0</v>
      </c>
    </row>
    <row r="5138" customFormat="false" ht="15" hidden="false" customHeight="false" outlineLevel="0" collapsed="false">
      <c r="A5138" s="3" t="n">
        <v>5137</v>
      </c>
      <c r="B5138" s="3" t="n">
        <v>5136</v>
      </c>
      <c r="C5138" s="3" t="n">
        <v>6</v>
      </c>
      <c r="D5138" s="3" t="n">
        <v>15</v>
      </c>
      <c r="E5138" s="3" t="n">
        <v>12</v>
      </c>
      <c r="F5138" s="24" t="n">
        <v>0</v>
      </c>
    </row>
    <row r="5139" customFormat="false" ht="15" hidden="false" customHeight="false" outlineLevel="0" collapsed="false">
      <c r="A5139" s="3" t="n">
        <v>5138</v>
      </c>
      <c r="B5139" s="3" t="n">
        <v>5137</v>
      </c>
      <c r="C5139" s="3" t="n">
        <v>6</v>
      </c>
      <c r="D5139" s="3" t="n">
        <v>15</v>
      </c>
      <c r="E5139" s="3" t="n">
        <v>13</v>
      </c>
      <c r="F5139" s="24" t="n">
        <v>0</v>
      </c>
    </row>
    <row r="5140" customFormat="false" ht="15" hidden="false" customHeight="false" outlineLevel="0" collapsed="false">
      <c r="A5140" s="3" t="n">
        <v>5139</v>
      </c>
      <c r="B5140" s="3" t="n">
        <v>5138</v>
      </c>
      <c r="C5140" s="3" t="n">
        <v>6</v>
      </c>
      <c r="D5140" s="3" t="n">
        <v>15</v>
      </c>
      <c r="E5140" s="3" t="n">
        <v>14</v>
      </c>
      <c r="F5140" s="24" t="n">
        <v>0</v>
      </c>
    </row>
    <row r="5141" customFormat="false" ht="15" hidden="false" customHeight="false" outlineLevel="0" collapsed="false">
      <c r="A5141" s="3" t="n">
        <v>5140</v>
      </c>
      <c r="B5141" s="3" t="n">
        <v>5139</v>
      </c>
      <c r="C5141" s="3" t="n">
        <v>6</v>
      </c>
      <c r="D5141" s="3" t="n">
        <v>15</v>
      </c>
      <c r="E5141" s="3" t="n">
        <v>15</v>
      </c>
      <c r="F5141" s="24" t="n">
        <v>0</v>
      </c>
    </row>
    <row r="5142" customFormat="false" ht="15" hidden="false" customHeight="false" outlineLevel="0" collapsed="false">
      <c r="A5142" s="3" t="n">
        <v>5141</v>
      </c>
      <c r="B5142" s="3" t="n">
        <v>5140</v>
      </c>
      <c r="C5142" s="3" t="n">
        <v>6</v>
      </c>
      <c r="D5142" s="3" t="n">
        <v>15</v>
      </c>
      <c r="E5142" s="3" t="n">
        <v>16</v>
      </c>
      <c r="F5142" s="24" t="n">
        <v>0</v>
      </c>
    </row>
    <row r="5143" customFormat="false" ht="15" hidden="false" customHeight="false" outlineLevel="0" collapsed="false">
      <c r="A5143" s="3" t="n">
        <v>5142</v>
      </c>
      <c r="B5143" s="3" t="n">
        <v>5141</v>
      </c>
      <c r="C5143" s="3" t="n">
        <v>6</v>
      </c>
      <c r="D5143" s="3" t="n">
        <v>15</v>
      </c>
      <c r="E5143" s="3" t="n">
        <v>17</v>
      </c>
      <c r="F5143" s="24" t="n">
        <v>2.3932147</v>
      </c>
    </row>
    <row r="5144" customFormat="false" ht="15" hidden="false" customHeight="false" outlineLevel="0" collapsed="false">
      <c r="A5144" s="3" t="n">
        <v>5143</v>
      </c>
      <c r="B5144" s="3" t="n">
        <v>5142</v>
      </c>
      <c r="C5144" s="3" t="n">
        <v>6</v>
      </c>
      <c r="D5144" s="3" t="n">
        <v>15</v>
      </c>
      <c r="E5144" s="3" t="n">
        <v>18</v>
      </c>
      <c r="F5144" s="24" t="n">
        <v>3.32691312</v>
      </c>
    </row>
    <row r="5145" customFormat="false" ht="15" hidden="false" customHeight="false" outlineLevel="0" collapsed="false">
      <c r="A5145" s="3" t="n">
        <v>5144</v>
      </c>
      <c r="B5145" s="3" t="n">
        <v>5143</v>
      </c>
      <c r="C5145" s="3" t="n">
        <v>6</v>
      </c>
      <c r="D5145" s="3" t="n">
        <v>15</v>
      </c>
      <c r="E5145" s="3" t="n">
        <v>19</v>
      </c>
      <c r="F5145" s="24" t="n">
        <v>1.13359046</v>
      </c>
    </row>
    <row r="5146" customFormat="false" ht="15" hidden="false" customHeight="false" outlineLevel="0" collapsed="false">
      <c r="A5146" s="3" t="n">
        <v>5145</v>
      </c>
      <c r="B5146" s="3" t="n">
        <v>5144</v>
      </c>
      <c r="C5146" s="3" t="n">
        <v>6</v>
      </c>
      <c r="D5146" s="3" t="n">
        <v>15</v>
      </c>
      <c r="E5146" s="3" t="n">
        <v>20</v>
      </c>
      <c r="F5146" s="24" t="n">
        <v>0.064886868</v>
      </c>
    </row>
    <row r="5147" customFormat="false" ht="15" hidden="false" customHeight="false" outlineLevel="0" collapsed="false">
      <c r="A5147" s="3" t="n">
        <v>5146</v>
      </c>
      <c r="B5147" s="3" t="n">
        <v>5145</v>
      </c>
      <c r="C5147" s="3" t="n">
        <v>6</v>
      </c>
      <c r="D5147" s="3" t="n">
        <v>15</v>
      </c>
      <c r="E5147" s="3" t="n">
        <v>21</v>
      </c>
      <c r="F5147" s="24" t="n">
        <v>0</v>
      </c>
    </row>
    <row r="5148" customFormat="false" ht="15" hidden="false" customHeight="false" outlineLevel="0" collapsed="false">
      <c r="A5148" s="3" t="n">
        <v>5147</v>
      </c>
      <c r="B5148" s="3" t="n">
        <v>5146</v>
      </c>
      <c r="C5148" s="3" t="n">
        <v>6</v>
      </c>
      <c r="D5148" s="3" t="n">
        <v>15</v>
      </c>
      <c r="E5148" s="3" t="n">
        <v>22</v>
      </c>
      <c r="F5148" s="24" t="n">
        <v>0</v>
      </c>
    </row>
    <row r="5149" customFormat="false" ht="15" hidden="false" customHeight="false" outlineLevel="0" collapsed="false">
      <c r="A5149" s="3" t="n">
        <v>5148</v>
      </c>
      <c r="B5149" s="3" t="n">
        <v>5147</v>
      </c>
      <c r="C5149" s="3" t="n">
        <v>6</v>
      </c>
      <c r="D5149" s="3" t="n">
        <v>15</v>
      </c>
      <c r="E5149" s="3" t="n">
        <v>23</v>
      </c>
      <c r="F5149" s="24" t="n">
        <v>0</v>
      </c>
    </row>
    <row r="5150" customFormat="false" ht="15" hidden="false" customHeight="false" outlineLevel="0" collapsed="false">
      <c r="A5150" s="3" t="n">
        <v>5149</v>
      </c>
      <c r="B5150" s="3" t="n">
        <v>5148</v>
      </c>
      <c r="C5150" s="3" t="n">
        <v>6</v>
      </c>
      <c r="D5150" s="3" t="n">
        <v>15</v>
      </c>
      <c r="E5150" s="3" t="n">
        <v>24</v>
      </c>
      <c r="F5150" s="24" t="n">
        <v>0</v>
      </c>
    </row>
    <row r="5151" customFormat="false" ht="15" hidden="false" customHeight="false" outlineLevel="0" collapsed="false">
      <c r="A5151" s="3" t="n">
        <v>5150</v>
      </c>
      <c r="B5151" s="3" t="n">
        <v>5149</v>
      </c>
      <c r="C5151" s="3" t="n">
        <v>6</v>
      </c>
      <c r="D5151" s="3" t="n">
        <v>15</v>
      </c>
      <c r="E5151" s="3" t="n">
        <v>25</v>
      </c>
      <c r="F5151" s="24" t="n">
        <v>0</v>
      </c>
    </row>
    <row r="5152" customFormat="false" ht="15" hidden="false" customHeight="false" outlineLevel="0" collapsed="false">
      <c r="A5152" s="3" t="n">
        <v>5151</v>
      </c>
      <c r="B5152" s="3" t="n">
        <v>5150</v>
      </c>
      <c r="C5152" s="3" t="n">
        <v>6</v>
      </c>
      <c r="D5152" s="3" t="n">
        <v>15</v>
      </c>
      <c r="E5152" s="3" t="n">
        <v>26</v>
      </c>
      <c r="F5152" s="24" t="n">
        <v>0</v>
      </c>
    </row>
    <row r="5153" customFormat="false" ht="15" hidden="false" customHeight="false" outlineLevel="0" collapsed="false">
      <c r="A5153" s="3" t="n">
        <v>5152</v>
      </c>
      <c r="B5153" s="3" t="n">
        <v>5151</v>
      </c>
      <c r="C5153" s="3" t="n">
        <v>6</v>
      </c>
      <c r="D5153" s="3" t="n">
        <v>15</v>
      </c>
      <c r="E5153" s="3" t="n">
        <v>27</v>
      </c>
      <c r="F5153" s="24" t="n">
        <v>0</v>
      </c>
    </row>
    <row r="5154" customFormat="false" ht="15" hidden="false" customHeight="false" outlineLevel="0" collapsed="false">
      <c r="A5154" s="3" t="n">
        <v>5153</v>
      </c>
      <c r="B5154" s="3" t="n">
        <v>5152</v>
      </c>
      <c r="C5154" s="3" t="n">
        <v>6</v>
      </c>
      <c r="D5154" s="3" t="n">
        <v>16</v>
      </c>
      <c r="E5154" s="3" t="n">
        <v>0</v>
      </c>
      <c r="F5154" s="24" t="n">
        <v>0.185572863</v>
      </c>
    </row>
    <row r="5155" customFormat="false" ht="15" hidden="false" customHeight="false" outlineLevel="0" collapsed="false">
      <c r="A5155" s="3" t="n">
        <v>5154</v>
      </c>
      <c r="B5155" s="3" t="n">
        <v>5153</v>
      </c>
      <c r="C5155" s="3" t="n">
        <v>6</v>
      </c>
      <c r="D5155" s="3" t="n">
        <v>16</v>
      </c>
      <c r="E5155" s="3" t="n">
        <v>1</v>
      </c>
      <c r="F5155" s="24" t="n">
        <v>0</v>
      </c>
    </row>
    <row r="5156" customFormat="false" ht="15" hidden="false" customHeight="false" outlineLevel="0" collapsed="false">
      <c r="A5156" s="3" t="n">
        <v>5155</v>
      </c>
      <c r="B5156" s="3" t="n">
        <v>5154</v>
      </c>
      <c r="C5156" s="3" t="n">
        <v>6</v>
      </c>
      <c r="D5156" s="3" t="n">
        <v>16</v>
      </c>
      <c r="E5156" s="3" t="n">
        <v>2</v>
      </c>
      <c r="F5156" s="24" t="n">
        <v>0</v>
      </c>
    </row>
    <row r="5157" customFormat="false" ht="15" hidden="false" customHeight="false" outlineLevel="0" collapsed="false">
      <c r="A5157" s="3" t="n">
        <v>5156</v>
      </c>
      <c r="B5157" s="3" t="n">
        <v>5155</v>
      </c>
      <c r="C5157" s="3" t="n">
        <v>6</v>
      </c>
      <c r="D5157" s="3" t="n">
        <v>16</v>
      </c>
      <c r="E5157" s="3" t="n">
        <v>3</v>
      </c>
      <c r="F5157" s="24" t="n">
        <v>0</v>
      </c>
    </row>
    <row r="5158" customFormat="false" ht="15" hidden="false" customHeight="false" outlineLevel="0" collapsed="false">
      <c r="A5158" s="3" t="n">
        <v>5157</v>
      </c>
      <c r="B5158" s="3" t="n">
        <v>5156</v>
      </c>
      <c r="C5158" s="3" t="n">
        <v>6</v>
      </c>
      <c r="D5158" s="3" t="n">
        <v>16</v>
      </c>
      <c r="E5158" s="3" t="n">
        <v>4</v>
      </c>
      <c r="F5158" s="24" t="n">
        <v>0</v>
      </c>
    </row>
    <row r="5159" customFormat="false" ht="15" hidden="false" customHeight="false" outlineLevel="0" collapsed="false">
      <c r="A5159" s="3" t="n">
        <v>5158</v>
      </c>
      <c r="B5159" s="3" t="n">
        <v>5157</v>
      </c>
      <c r="C5159" s="3" t="n">
        <v>6</v>
      </c>
      <c r="D5159" s="3" t="n">
        <v>16</v>
      </c>
      <c r="E5159" s="3" t="n">
        <v>5</v>
      </c>
      <c r="F5159" s="24" t="n">
        <v>0</v>
      </c>
    </row>
    <row r="5160" customFormat="false" ht="15" hidden="false" customHeight="false" outlineLevel="0" collapsed="false">
      <c r="A5160" s="3" t="n">
        <v>5159</v>
      </c>
      <c r="B5160" s="3" t="n">
        <v>5158</v>
      </c>
      <c r="C5160" s="3" t="n">
        <v>6</v>
      </c>
      <c r="D5160" s="3" t="n">
        <v>16</v>
      </c>
      <c r="E5160" s="3" t="n">
        <v>6</v>
      </c>
      <c r="F5160" s="24" t="n">
        <v>0</v>
      </c>
    </row>
    <row r="5161" customFormat="false" ht="15" hidden="false" customHeight="false" outlineLevel="0" collapsed="false">
      <c r="A5161" s="3" t="n">
        <v>5160</v>
      </c>
      <c r="B5161" s="3" t="n">
        <v>5159</v>
      </c>
      <c r="C5161" s="3" t="n">
        <v>6</v>
      </c>
      <c r="D5161" s="3" t="n">
        <v>16</v>
      </c>
      <c r="E5161" s="3" t="n">
        <v>7</v>
      </c>
      <c r="F5161" s="24" t="n">
        <v>0</v>
      </c>
    </row>
    <row r="5162" customFormat="false" ht="15" hidden="false" customHeight="false" outlineLevel="0" collapsed="false">
      <c r="A5162" s="3" t="n">
        <v>5161</v>
      </c>
      <c r="B5162" s="3" t="n">
        <v>5160</v>
      </c>
      <c r="C5162" s="3" t="n">
        <v>6</v>
      </c>
      <c r="D5162" s="3" t="n">
        <v>16</v>
      </c>
      <c r="E5162" s="3" t="n">
        <v>8</v>
      </c>
      <c r="F5162" s="24" t="n">
        <v>0</v>
      </c>
    </row>
    <row r="5163" customFormat="false" ht="15" hidden="false" customHeight="false" outlineLevel="0" collapsed="false">
      <c r="A5163" s="3" t="n">
        <v>5162</v>
      </c>
      <c r="B5163" s="3" t="n">
        <v>5161</v>
      </c>
      <c r="C5163" s="3" t="n">
        <v>6</v>
      </c>
      <c r="D5163" s="3" t="n">
        <v>16</v>
      </c>
      <c r="E5163" s="3" t="n">
        <v>9</v>
      </c>
      <c r="F5163" s="24" t="n">
        <v>0</v>
      </c>
    </row>
    <row r="5164" customFormat="false" ht="15" hidden="false" customHeight="false" outlineLevel="0" collapsed="false">
      <c r="A5164" s="3" t="n">
        <v>5163</v>
      </c>
      <c r="B5164" s="3" t="n">
        <v>5162</v>
      </c>
      <c r="C5164" s="3" t="n">
        <v>6</v>
      </c>
      <c r="D5164" s="3" t="n">
        <v>16</v>
      </c>
      <c r="E5164" s="3" t="n">
        <v>10</v>
      </c>
      <c r="F5164" s="24" t="n">
        <v>0</v>
      </c>
    </row>
    <row r="5165" customFormat="false" ht="15" hidden="false" customHeight="false" outlineLevel="0" collapsed="false">
      <c r="A5165" s="3" t="n">
        <v>5164</v>
      </c>
      <c r="B5165" s="3" t="n">
        <v>5163</v>
      </c>
      <c r="C5165" s="3" t="n">
        <v>6</v>
      </c>
      <c r="D5165" s="3" t="n">
        <v>16</v>
      </c>
      <c r="E5165" s="3" t="n">
        <v>11</v>
      </c>
      <c r="F5165" s="24" t="n">
        <v>0</v>
      </c>
    </row>
    <row r="5166" customFormat="false" ht="15" hidden="false" customHeight="false" outlineLevel="0" collapsed="false">
      <c r="A5166" s="3" t="n">
        <v>5165</v>
      </c>
      <c r="B5166" s="3" t="n">
        <v>5164</v>
      </c>
      <c r="C5166" s="3" t="n">
        <v>6</v>
      </c>
      <c r="D5166" s="3" t="n">
        <v>16</v>
      </c>
      <c r="E5166" s="3" t="n">
        <v>12</v>
      </c>
      <c r="F5166" s="24" t="n">
        <v>0</v>
      </c>
    </row>
    <row r="5167" customFormat="false" ht="15" hidden="false" customHeight="false" outlineLevel="0" collapsed="false">
      <c r="A5167" s="3" t="n">
        <v>5166</v>
      </c>
      <c r="B5167" s="3" t="n">
        <v>5165</v>
      </c>
      <c r="C5167" s="3" t="n">
        <v>6</v>
      </c>
      <c r="D5167" s="3" t="n">
        <v>16</v>
      </c>
      <c r="E5167" s="3" t="n">
        <v>13</v>
      </c>
      <c r="F5167" s="24" t="n">
        <v>0</v>
      </c>
    </row>
    <row r="5168" customFormat="false" ht="15" hidden="false" customHeight="false" outlineLevel="0" collapsed="false">
      <c r="A5168" s="3" t="n">
        <v>5167</v>
      </c>
      <c r="B5168" s="3" t="n">
        <v>5166</v>
      </c>
      <c r="C5168" s="3" t="n">
        <v>6</v>
      </c>
      <c r="D5168" s="3" t="n">
        <v>16</v>
      </c>
      <c r="E5168" s="3" t="n">
        <v>14</v>
      </c>
      <c r="F5168" s="24" t="n">
        <v>0</v>
      </c>
    </row>
    <row r="5169" customFormat="false" ht="15" hidden="false" customHeight="false" outlineLevel="0" collapsed="false">
      <c r="A5169" s="3" t="n">
        <v>5168</v>
      </c>
      <c r="B5169" s="3" t="n">
        <v>5167</v>
      </c>
      <c r="C5169" s="3" t="n">
        <v>6</v>
      </c>
      <c r="D5169" s="3" t="n">
        <v>16</v>
      </c>
      <c r="E5169" s="3" t="n">
        <v>15</v>
      </c>
      <c r="F5169" s="24" t="n">
        <v>0</v>
      </c>
    </row>
    <row r="5170" customFormat="false" ht="15" hidden="false" customHeight="false" outlineLevel="0" collapsed="false">
      <c r="A5170" s="3" t="n">
        <v>5169</v>
      </c>
      <c r="B5170" s="3" t="n">
        <v>5168</v>
      </c>
      <c r="C5170" s="3" t="n">
        <v>6</v>
      </c>
      <c r="D5170" s="3" t="n">
        <v>16</v>
      </c>
      <c r="E5170" s="3" t="n">
        <v>16</v>
      </c>
      <c r="F5170" s="24" t="n">
        <v>0.659579396</v>
      </c>
    </row>
    <row r="5171" customFormat="false" ht="15" hidden="false" customHeight="false" outlineLevel="0" collapsed="false">
      <c r="A5171" s="3" t="n">
        <v>5170</v>
      </c>
      <c r="B5171" s="3" t="n">
        <v>5169</v>
      </c>
      <c r="C5171" s="3" t="n">
        <v>6</v>
      </c>
      <c r="D5171" s="3" t="n">
        <v>16</v>
      </c>
      <c r="E5171" s="3" t="n">
        <v>17</v>
      </c>
      <c r="F5171" s="24" t="n">
        <v>3.30169821</v>
      </c>
    </row>
    <row r="5172" customFormat="false" ht="15" hidden="false" customHeight="false" outlineLevel="0" collapsed="false">
      <c r="A5172" s="3" t="n">
        <v>5171</v>
      </c>
      <c r="B5172" s="3" t="n">
        <v>5170</v>
      </c>
      <c r="C5172" s="3" t="n">
        <v>6</v>
      </c>
      <c r="D5172" s="3" t="n">
        <v>16</v>
      </c>
      <c r="E5172" s="3" t="n">
        <v>18</v>
      </c>
      <c r="F5172" s="24" t="n">
        <v>2.25598383</v>
      </c>
    </row>
    <row r="5173" customFormat="false" ht="15" hidden="false" customHeight="false" outlineLevel="0" collapsed="false">
      <c r="A5173" s="3" t="n">
        <v>5172</v>
      </c>
      <c r="B5173" s="3" t="n">
        <v>5171</v>
      </c>
      <c r="C5173" s="3" t="n">
        <v>6</v>
      </c>
      <c r="D5173" s="3" t="n">
        <v>16</v>
      </c>
      <c r="E5173" s="3" t="n">
        <v>19</v>
      </c>
      <c r="F5173" s="24" t="n">
        <v>0.358644843</v>
      </c>
    </row>
    <row r="5174" customFormat="false" ht="15" hidden="false" customHeight="false" outlineLevel="0" collapsed="false">
      <c r="A5174" s="3" t="n">
        <v>5173</v>
      </c>
      <c r="B5174" s="3" t="n">
        <v>5172</v>
      </c>
      <c r="C5174" s="3" t="n">
        <v>6</v>
      </c>
      <c r="D5174" s="3" t="n">
        <v>16</v>
      </c>
      <c r="E5174" s="3" t="n">
        <v>20</v>
      </c>
      <c r="F5174" s="24" t="n">
        <v>0</v>
      </c>
    </row>
    <row r="5175" customFormat="false" ht="15" hidden="false" customHeight="false" outlineLevel="0" collapsed="false">
      <c r="A5175" s="3" t="n">
        <v>5174</v>
      </c>
      <c r="B5175" s="3" t="n">
        <v>5173</v>
      </c>
      <c r="C5175" s="3" t="n">
        <v>6</v>
      </c>
      <c r="D5175" s="3" t="n">
        <v>16</v>
      </c>
      <c r="E5175" s="3" t="n">
        <v>21</v>
      </c>
      <c r="F5175" s="24" t="n">
        <v>0</v>
      </c>
    </row>
    <row r="5176" customFormat="false" ht="15" hidden="false" customHeight="false" outlineLevel="0" collapsed="false">
      <c r="A5176" s="3" t="n">
        <v>5175</v>
      </c>
      <c r="B5176" s="3" t="n">
        <v>5174</v>
      </c>
      <c r="C5176" s="3" t="n">
        <v>6</v>
      </c>
      <c r="D5176" s="3" t="n">
        <v>16</v>
      </c>
      <c r="E5176" s="3" t="n">
        <v>22</v>
      </c>
      <c r="F5176" s="24" t="n">
        <v>0</v>
      </c>
    </row>
    <row r="5177" customFormat="false" ht="15" hidden="false" customHeight="false" outlineLevel="0" collapsed="false">
      <c r="A5177" s="3" t="n">
        <v>5176</v>
      </c>
      <c r="B5177" s="3" t="n">
        <v>5175</v>
      </c>
      <c r="C5177" s="3" t="n">
        <v>6</v>
      </c>
      <c r="D5177" s="3" t="n">
        <v>16</v>
      </c>
      <c r="E5177" s="3" t="n">
        <v>23</v>
      </c>
      <c r="F5177" s="24" t="n">
        <v>0</v>
      </c>
    </row>
    <row r="5178" customFormat="false" ht="15" hidden="false" customHeight="false" outlineLevel="0" collapsed="false">
      <c r="A5178" s="3" t="n">
        <v>5177</v>
      </c>
      <c r="B5178" s="3" t="n">
        <v>5176</v>
      </c>
      <c r="C5178" s="3" t="n">
        <v>6</v>
      </c>
      <c r="D5178" s="3" t="n">
        <v>16</v>
      </c>
      <c r="E5178" s="3" t="n">
        <v>24</v>
      </c>
      <c r="F5178" s="24" t="n">
        <v>0</v>
      </c>
    </row>
    <row r="5179" customFormat="false" ht="15" hidden="false" customHeight="false" outlineLevel="0" collapsed="false">
      <c r="A5179" s="3" t="n">
        <v>5178</v>
      </c>
      <c r="B5179" s="3" t="n">
        <v>5177</v>
      </c>
      <c r="C5179" s="3" t="n">
        <v>6</v>
      </c>
      <c r="D5179" s="3" t="n">
        <v>16</v>
      </c>
      <c r="E5179" s="3" t="n">
        <v>25</v>
      </c>
      <c r="F5179" s="24" t="n">
        <v>0</v>
      </c>
    </row>
    <row r="5180" customFormat="false" ht="15" hidden="false" customHeight="false" outlineLevel="0" collapsed="false">
      <c r="A5180" s="3" t="n">
        <v>5179</v>
      </c>
      <c r="B5180" s="3" t="n">
        <v>5178</v>
      </c>
      <c r="C5180" s="3" t="n">
        <v>6</v>
      </c>
      <c r="D5180" s="3" t="n">
        <v>16</v>
      </c>
      <c r="E5180" s="3" t="n">
        <v>26</v>
      </c>
      <c r="F5180" s="24" t="n">
        <v>0</v>
      </c>
    </row>
    <row r="5181" customFormat="false" ht="15" hidden="false" customHeight="false" outlineLevel="0" collapsed="false">
      <c r="A5181" s="3" t="n">
        <v>5180</v>
      </c>
      <c r="B5181" s="3" t="n">
        <v>5179</v>
      </c>
      <c r="C5181" s="3" t="n">
        <v>6</v>
      </c>
      <c r="D5181" s="3" t="n">
        <v>16</v>
      </c>
      <c r="E5181" s="3" t="n">
        <v>27</v>
      </c>
      <c r="F5181" s="24" t="n">
        <v>0</v>
      </c>
    </row>
    <row r="5182" customFormat="false" ht="15" hidden="false" customHeight="false" outlineLevel="0" collapsed="false">
      <c r="A5182" s="3" t="n">
        <v>5181</v>
      </c>
      <c r="B5182" s="3" t="n">
        <v>5180</v>
      </c>
      <c r="C5182" s="3" t="n">
        <v>6</v>
      </c>
      <c r="D5182" s="3" t="n">
        <v>17</v>
      </c>
      <c r="E5182" s="3" t="n">
        <v>0</v>
      </c>
      <c r="F5182" s="24" t="n">
        <v>0.185572863</v>
      </c>
    </row>
    <row r="5183" customFormat="false" ht="15" hidden="false" customHeight="false" outlineLevel="0" collapsed="false">
      <c r="A5183" s="3" t="n">
        <v>5182</v>
      </c>
      <c r="B5183" s="3" t="n">
        <v>5181</v>
      </c>
      <c r="C5183" s="3" t="n">
        <v>6</v>
      </c>
      <c r="D5183" s="3" t="n">
        <v>17</v>
      </c>
      <c r="E5183" s="3" t="n">
        <v>1</v>
      </c>
      <c r="F5183" s="24" t="n">
        <v>0</v>
      </c>
    </row>
    <row r="5184" customFormat="false" ht="15" hidden="false" customHeight="false" outlineLevel="0" collapsed="false">
      <c r="A5184" s="3" t="n">
        <v>5183</v>
      </c>
      <c r="B5184" s="3" t="n">
        <v>5182</v>
      </c>
      <c r="C5184" s="3" t="n">
        <v>6</v>
      </c>
      <c r="D5184" s="3" t="n">
        <v>17</v>
      </c>
      <c r="E5184" s="3" t="n">
        <v>2</v>
      </c>
      <c r="F5184" s="24" t="n">
        <v>0</v>
      </c>
    </row>
    <row r="5185" customFormat="false" ht="15" hidden="false" customHeight="false" outlineLevel="0" collapsed="false">
      <c r="A5185" s="3" t="n">
        <v>5184</v>
      </c>
      <c r="B5185" s="3" t="n">
        <v>5183</v>
      </c>
      <c r="C5185" s="3" t="n">
        <v>6</v>
      </c>
      <c r="D5185" s="3" t="n">
        <v>17</v>
      </c>
      <c r="E5185" s="3" t="n">
        <v>3</v>
      </c>
      <c r="F5185" s="24" t="n">
        <v>0</v>
      </c>
    </row>
    <row r="5186" customFormat="false" ht="15" hidden="false" customHeight="false" outlineLevel="0" collapsed="false">
      <c r="A5186" s="3" t="n">
        <v>5185</v>
      </c>
      <c r="B5186" s="3" t="n">
        <v>5184</v>
      </c>
      <c r="C5186" s="3" t="n">
        <v>6</v>
      </c>
      <c r="D5186" s="3" t="n">
        <v>17</v>
      </c>
      <c r="E5186" s="3" t="n">
        <v>4</v>
      </c>
      <c r="F5186" s="24" t="n">
        <v>0</v>
      </c>
    </row>
    <row r="5187" customFormat="false" ht="15" hidden="false" customHeight="false" outlineLevel="0" collapsed="false">
      <c r="A5187" s="3" t="n">
        <v>5186</v>
      </c>
      <c r="B5187" s="3" t="n">
        <v>5185</v>
      </c>
      <c r="C5187" s="3" t="n">
        <v>6</v>
      </c>
      <c r="D5187" s="3" t="n">
        <v>17</v>
      </c>
      <c r="E5187" s="3" t="n">
        <v>5</v>
      </c>
      <c r="F5187" s="24" t="n">
        <v>0</v>
      </c>
    </row>
    <row r="5188" customFormat="false" ht="15" hidden="false" customHeight="false" outlineLevel="0" collapsed="false">
      <c r="A5188" s="3" t="n">
        <v>5187</v>
      </c>
      <c r="B5188" s="3" t="n">
        <v>5186</v>
      </c>
      <c r="C5188" s="3" t="n">
        <v>6</v>
      </c>
      <c r="D5188" s="3" t="n">
        <v>17</v>
      </c>
      <c r="E5188" s="3" t="n">
        <v>6</v>
      </c>
      <c r="F5188" s="24" t="n">
        <v>0</v>
      </c>
    </row>
    <row r="5189" customFormat="false" ht="15" hidden="false" customHeight="false" outlineLevel="0" collapsed="false">
      <c r="A5189" s="3" t="n">
        <v>5188</v>
      </c>
      <c r="B5189" s="3" t="n">
        <v>5187</v>
      </c>
      <c r="C5189" s="3" t="n">
        <v>6</v>
      </c>
      <c r="D5189" s="3" t="n">
        <v>17</v>
      </c>
      <c r="E5189" s="3" t="n">
        <v>7</v>
      </c>
      <c r="F5189" s="24" t="n">
        <v>0</v>
      </c>
    </row>
    <row r="5190" customFormat="false" ht="15" hidden="false" customHeight="false" outlineLevel="0" collapsed="false">
      <c r="A5190" s="3" t="n">
        <v>5189</v>
      </c>
      <c r="B5190" s="3" t="n">
        <v>5188</v>
      </c>
      <c r="C5190" s="3" t="n">
        <v>6</v>
      </c>
      <c r="D5190" s="3" t="n">
        <v>17</v>
      </c>
      <c r="E5190" s="3" t="n">
        <v>8</v>
      </c>
      <c r="F5190" s="24" t="n">
        <v>0</v>
      </c>
    </row>
    <row r="5191" customFormat="false" ht="15" hidden="false" customHeight="false" outlineLevel="0" collapsed="false">
      <c r="A5191" s="3" t="n">
        <v>5190</v>
      </c>
      <c r="B5191" s="3" t="n">
        <v>5189</v>
      </c>
      <c r="C5191" s="3" t="n">
        <v>6</v>
      </c>
      <c r="D5191" s="3" t="n">
        <v>17</v>
      </c>
      <c r="E5191" s="3" t="n">
        <v>9</v>
      </c>
      <c r="F5191" s="24" t="n">
        <v>0</v>
      </c>
    </row>
    <row r="5192" customFormat="false" ht="15" hidden="false" customHeight="false" outlineLevel="0" collapsed="false">
      <c r="A5192" s="3" t="n">
        <v>5191</v>
      </c>
      <c r="B5192" s="3" t="n">
        <v>5190</v>
      </c>
      <c r="C5192" s="3" t="n">
        <v>6</v>
      </c>
      <c r="D5192" s="3" t="n">
        <v>17</v>
      </c>
      <c r="E5192" s="3" t="n">
        <v>10</v>
      </c>
      <c r="F5192" s="24" t="n">
        <v>0</v>
      </c>
    </row>
    <row r="5193" customFormat="false" ht="15" hidden="false" customHeight="false" outlineLevel="0" collapsed="false">
      <c r="A5193" s="3" t="n">
        <v>5192</v>
      </c>
      <c r="B5193" s="3" t="n">
        <v>5191</v>
      </c>
      <c r="C5193" s="3" t="n">
        <v>6</v>
      </c>
      <c r="D5193" s="3" t="n">
        <v>17</v>
      </c>
      <c r="E5193" s="3" t="n">
        <v>11</v>
      </c>
      <c r="F5193" s="24" t="n">
        <v>0</v>
      </c>
    </row>
    <row r="5194" customFormat="false" ht="15" hidden="false" customHeight="false" outlineLevel="0" collapsed="false">
      <c r="A5194" s="3" t="n">
        <v>5193</v>
      </c>
      <c r="B5194" s="3" t="n">
        <v>5192</v>
      </c>
      <c r="C5194" s="3" t="n">
        <v>6</v>
      </c>
      <c r="D5194" s="3" t="n">
        <v>17</v>
      </c>
      <c r="E5194" s="3" t="n">
        <v>12</v>
      </c>
      <c r="F5194" s="24" t="n">
        <v>0</v>
      </c>
    </row>
    <row r="5195" customFormat="false" ht="15" hidden="false" customHeight="false" outlineLevel="0" collapsed="false">
      <c r="A5195" s="3" t="n">
        <v>5194</v>
      </c>
      <c r="B5195" s="3" t="n">
        <v>5193</v>
      </c>
      <c r="C5195" s="3" t="n">
        <v>6</v>
      </c>
      <c r="D5195" s="3" t="n">
        <v>17</v>
      </c>
      <c r="E5195" s="3" t="n">
        <v>13</v>
      </c>
      <c r="F5195" s="24" t="n">
        <v>0</v>
      </c>
    </row>
    <row r="5196" customFormat="false" ht="15" hidden="false" customHeight="false" outlineLevel="0" collapsed="false">
      <c r="A5196" s="3" t="n">
        <v>5195</v>
      </c>
      <c r="B5196" s="3" t="n">
        <v>5194</v>
      </c>
      <c r="C5196" s="3" t="n">
        <v>6</v>
      </c>
      <c r="D5196" s="3" t="n">
        <v>17</v>
      </c>
      <c r="E5196" s="3" t="n">
        <v>14</v>
      </c>
      <c r="F5196" s="24" t="n">
        <v>0</v>
      </c>
    </row>
    <row r="5197" customFormat="false" ht="15" hidden="false" customHeight="false" outlineLevel="0" collapsed="false">
      <c r="A5197" s="3" t="n">
        <v>5196</v>
      </c>
      <c r="B5197" s="3" t="n">
        <v>5195</v>
      </c>
      <c r="C5197" s="3" t="n">
        <v>6</v>
      </c>
      <c r="D5197" s="3" t="n">
        <v>17</v>
      </c>
      <c r="E5197" s="3" t="n">
        <v>15</v>
      </c>
      <c r="F5197" s="24" t="n">
        <v>0</v>
      </c>
    </row>
    <row r="5198" customFormat="false" ht="15" hidden="false" customHeight="false" outlineLevel="0" collapsed="false">
      <c r="A5198" s="3" t="n">
        <v>5197</v>
      </c>
      <c r="B5198" s="3" t="n">
        <v>5196</v>
      </c>
      <c r="C5198" s="3" t="n">
        <v>6</v>
      </c>
      <c r="D5198" s="3" t="n">
        <v>17</v>
      </c>
      <c r="E5198" s="3" t="n">
        <v>16</v>
      </c>
      <c r="F5198" s="24" t="n">
        <v>2.2879169</v>
      </c>
    </row>
    <row r="5199" customFormat="false" ht="15" hidden="false" customHeight="false" outlineLevel="0" collapsed="false">
      <c r="A5199" s="3" t="n">
        <v>5198</v>
      </c>
      <c r="B5199" s="3" t="n">
        <v>5197</v>
      </c>
      <c r="C5199" s="3" t="n">
        <v>6</v>
      </c>
      <c r="D5199" s="3" t="n">
        <v>17</v>
      </c>
      <c r="E5199" s="3" t="n">
        <v>17</v>
      </c>
      <c r="F5199" s="24" t="n">
        <v>3.23249245</v>
      </c>
    </row>
    <row r="5200" customFormat="false" ht="15" hidden="false" customHeight="false" outlineLevel="0" collapsed="false">
      <c r="A5200" s="3" t="n">
        <v>5199</v>
      </c>
      <c r="B5200" s="3" t="n">
        <v>5198</v>
      </c>
      <c r="C5200" s="3" t="n">
        <v>6</v>
      </c>
      <c r="D5200" s="3" t="n">
        <v>17</v>
      </c>
      <c r="E5200" s="3" t="n">
        <v>18</v>
      </c>
      <c r="F5200" s="24" t="n">
        <v>1.07032549</v>
      </c>
    </row>
    <row r="5201" customFormat="false" ht="15" hidden="false" customHeight="false" outlineLevel="0" collapsed="false">
      <c r="A5201" s="3" t="n">
        <v>5200</v>
      </c>
      <c r="B5201" s="3" t="n">
        <v>5199</v>
      </c>
      <c r="C5201" s="3" t="n">
        <v>6</v>
      </c>
      <c r="D5201" s="3" t="n">
        <v>17</v>
      </c>
      <c r="E5201" s="3" t="n">
        <v>19</v>
      </c>
      <c r="F5201" s="24" t="n">
        <v>0.0457448363</v>
      </c>
    </row>
    <row r="5202" customFormat="false" ht="15" hidden="false" customHeight="false" outlineLevel="0" collapsed="false">
      <c r="A5202" s="3" t="n">
        <v>5201</v>
      </c>
      <c r="B5202" s="3" t="n">
        <v>5200</v>
      </c>
      <c r="C5202" s="3" t="n">
        <v>6</v>
      </c>
      <c r="D5202" s="3" t="n">
        <v>17</v>
      </c>
      <c r="E5202" s="3" t="n">
        <v>20</v>
      </c>
      <c r="F5202" s="24" t="n">
        <v>0</v>
      </c>
    </row>
    <row r="5203" customFormat="false" ht="15" hidden="false" customHeight="false" outlineLevel="0" collapsed="false">
      <c r="A5203" s="3" t="n">
        <v>5202</v>
      </c>
      <c r="B5203" s="3" t="n">
        <v>5201</v>
      </c>
      <c r="C5203" s="3" t="n">
        <v>6</v>
      </c>
      <c r="D5203" s="3" t="n">
        <v>17</v>
      </c>
      <c r="E5203" s="3" t="n">
        <v>21</v>
      </c>
      <c r="F5203" s="24" t="n">
        <v>0</v>
      </c>
    </row>
    <row r="5204" customFormat="false" ht="15" hidden="false" customHeight="false" outlineLevel="0" collapsed="false">
      <c r="A5204" s="3" t="n">
        <v>5203</v>
      </c>
      <c r="B5204" s="3" t="n">
        <v>5202</v>
      </c>
      <c r="C5204" s="3" t="n">
        <v>6</v>
      </c>
      <c r="D5204" s="3" t="n">
        <v>17</v>
      </c>
      <c r="E5204" s="3" t="n">
        <v>22</v>
      </c>
      <c r="F5204" s="24" t="n">
        <v>0</v>
      </c>
    </row>
    <row r="5205" customFormat="false" ht="15" hidden="false" customHeight="false" outlineLevel="0" collapsed="false">
      <c r="A5205" s="3" t="n">
        <v>5204</v>
      </c>
      <c r="B5205" s="3" t="n">
        <v>5203</v>
      </c>
      <c r="C5205" s="3" t="n">
        <v>6</v>
      </c>
      <c r="D5205" s="3" t="n">
        <v>17</v>
      </c>
      <c r="E5205" s="3" t="n">
        <v>23</v>
      </c>
      <c r="F5205" s="24" t="n">
        <v>0</v>
      </c>
    </row>
    <row r="5206" customFormat="false" ht="15" hidden="false" customHeight="false" outlineLevel="0" collapsed="false">
      <c r="A5206" s="3" t="n">
        <v>5205</v>
      </c>
      <c r="B5206" s="3" t="n">
        <v>5204</v>
      </c>
      <c r="C5206" s="3" t="n">
        <v>6</v>
      </c>
      <c r="D5206" s="3" t="n">
        <v>17</v>
      </c>
      <c r="E5206" s="3" t="n">
        <v>24</v>
      </c>
      <c r="F5206" s="24" t="n">
        <v>0</v>
      </c>
    </row>
    <row r="5207" customFormat="false" ht="15" hidden="false" customHeight="false" outlineLevel="0" collapsed="false">
      <c r="A5207" s="3" t="n">
        <v>5206</v>
      </c>
      <c r="B5207" s="3" t="n">
        <v>5205</v>
      </c>
      <c r="C5207" s="3" t="n">
        <v>6</v>
      </c>
      <c r="D5207" s="3" t="n">
        <v>17</v>
      </c>
      <c r="E5207" s="3" t="n">
        <v>25</v>
      </c>
      <c r="F5207" s="24" t="n">
        <v>0</v>
      </c>
    </row>
    <row r="5208" customFormat="false" ht="15" hidden="false" customHeight="false" outlineLevel="0" collapsed="false">
      <c r="A5208" s="3" t="n">
        <v>5207</v>
      </c>
      <c r="B5208" s="3" t="n">
        <v>5206</v>
      </c>
      <c r="C5208" s="3" t="n">
        <v>6</v>
      </c>
      <c r="D5208" s="3" t="n">
        <v>17</v>
      </c>
      <c r="E5208" s="3" t="n">
        <v>26</v>
      </c>
      <c r="F5208" s="24" t="n">
        <v>0</v>
      </c>
    </row>
    <row r="5209" customFormat="false" ht="15" hidden="false" customHeight="false" outlineLevel="0" collapsed="false">
      <c r="A5209" s="3" t="n">
        <v>5208</v>
      </c>
      <c r="B5209" s="3" t="n">
        <v>5207</v>
      </c>
      <c r="C5209" s="3" t="n">
        <v>6</v>
      </c>
      <c r="D5209" s="3" t="n">
        <v>17</v>
      </c>
      <c r="E5209" s="3" t="n">
        <v>27</v>
      </c>
      <c r="F5209" s="24" t="n">
        <v>0</v>
      </c>
    </row>
    <row r="5210" customFormat="false" ht="15" hidden="false" customHeight="false" outlineLevel="0" collapsed="false">
      <c r="A5210" s="3" t="n">
        <v>5209</v>
      </c>
      <c r="B5210" s="3" t="n">
        <v>5208</v>
      </c>
      <c r="C5210" s="3" t="n">
        <v>6</v>
      </c>
      <c r="D5210" s="3" t="n">
        <v>18</v>
      </c>
      <c r="E5210" s="3" t="n">
        <v>0</v>
      </c>
      <c r="F5210" s="24" t="n">
        <v>0.185572863</v>
      </c>
    </row>
    <row r="5211" customFormat="false" ht="15" hidden="false" customHeight="false" outlineLevel="0" collapsed="false">
      <c r="A5211" s="3" t="n">
        <v>5210</v>
      </c>
      <c r="B5211" s="3" t="n">
        <v>5209</v>
      </c>
      <c r="C5211" s="3" t="n">
        <v>6</v>
      </c>
      <c r="D5211" s="3" t="n">
        <v>18</v>
      </c>
      <c r="E5211" s="3" t="n">
        <v>1</v>
      </c>
      <c r="F5211" s="24" t="n">
        <v>0</v>
      </c>
    </row>
    <row r="5212" customFormat="false" ht="15" hidden="false" customHeight="false" outlineLevel="0" collapsed="false">
      <c r="A5212" s="3" t="n">
        <v>5211</v>
      </c>
      <c r="B5212" s="3" t="n">
        <v>5210</v>
      </c>
      <c r="C5212" s="3" t="n">
        <v>6</v>
      </c>
      <c r="D5212" s="3" t="n">
        <v>18</v>
      </c>
      <c r="E5212" s="3" t="n">
        <v>2</v>
      </c>
      <c r="F5212" s="24" t="n">
        <v>0</v>
      </c>
    </row>
    <row r="5213" customFormat="false" ht="15" hidden="false" customHeight="false" outlineLevel="0" collapsed="false">
      <c r="A5213" s="3" t="n">
        <v>5212</v>
      </c>
      <c r="B5213" s="3" t="n">
        <v>5211</v>
      </c>
      <c r="C5213" s="3" t="n">
        <v>6</v>
      </c>
      <c r="D5213" s="3" t="n">
        <v>18</v>
      </c>
      <c r="E5213" s="3" t="n">
        <v>3</v>
      </c>
      <c r="F5213" s="24" t="n">
        <v>0</v>
      </c>
    </row>
    <row r="5214" customFormat="false" ht="15" hidden="false" customHeight="false" outlineLevel="0" collapsed="false">
      <c r="A5214" s="3" t="n">
        <v>5213</v>
      </c>
      <c r="B5214" s="3" t="n">
        <v>5212</v>
      </c>
      <c r="C5214" s="3" t="n">
        <v>6</v>
      </c>
      <c r="D5214" s="3" t="n">
        <v>18</v>
      </c>
      <c r="E5214" s="3" t="n">
        <v>4</v>
      </c>
      <c r="F5214" s="24" t="n">
        <v>0</v>
      </c>
    </row>
    <row r="5215" customFormat="false" ht="15" hidden="false" customHeight="false" outlineLevel="0" collapsed="false">
      <c r="A5215" s="3" t="n">
        <v>5214</v>
      </c>
      <c r="B5215" s="3" t="n">
        <v>5213</v>
      </c>
      <c r="C5215" s="3" t="n">
        <v>6</v>
      </c>
      <c r="D5215" s="3" t="n">
        <v>18</v>
      </c>
      <c r="E5215" s="3" t="n">
        <v>5</v>
      </c>
      <c r="F5215" s="24" t="n">
        <v>0</v>
      </c>
    </row>
    <row r="5216" customFormat="false" ht="15" hidden="false" customHeight="false" outlineLevel="0" collapsed="false">
      <c r="A5216" s="3" t="n">
        <v>5215</v>
      </c>
      <c r="B5216" s="3" t="n">
        <v>5214</v>
      </c>
      <c r="C5216" s="3" t="n">
        <v>6</v>
      </c>
      <c r="D5216" s="3" t="n">
        <v>18</v>
      </c>
      <c r="E5216" s="3" t="n">
        <v>6</v>
      </c>
      <c r="F5216" s="24" t="n">
        <v>0</v>
      </c>
    </row>
    <row r="5217" customFormat="false" ht="15" hidden="false" customHeight="false" outlineLevel="0" collapsed="false">
      <c r="A5217" s="3" t="n">
        <v>5216</v>
      </c>
      <c r="B5217" s="3" t="n">
        <v>5215</v>
      </c>
      <c r="C5217" s="3" t="n">
        <v>6</v>
      </c>
      <c r="D5217" s="3" t="n">
        <v>18</v>
      </c>
      <c r="E5217" s="3" t="n">
        <v>7</v>
      </c>
      <c r="F5217" s="24" t="n">
        <v>0</v>
      </c>
    </row>
    <row r="5218" customFormat="false" ht="15" hidden="false" customHeight="false" outlineLevel="0" collapsed="false">
      <c r="A5218" s="3" t="n">
        <v>5217</v>
      </c>
      <c r="B5218" s="3" t="n">
        <v>5216</v>
      </c>
      <c r="C5218" s="3" t="n">
        <v>6</v>
      </c>
      <c r="D5218" s="3" t="n">
        <v>18</v>
      </c>
      <c r="E5218" s="3" t="n">
        <v>8</v>
      </c>
      <c r="F5218" s="24" t="n">
        <v>0</v>
      </c>
    </row>
    <row r="5219" customFormat="false" ht="15" hidden="false" customHeight="false" outlineLevel="0" collapsed="false">
      <c r="A5219" s="3" t="n">
        <v>5218</v>
      </c>
      <c r="B5219" s="3" t="n">
        <v>5217</v>
      </c>
      <c r="C5219" s="3" t="n">
        <v>6</v>
      </c>
      <c r="D5219" s="3" t="n">
        <v>18</v>
      </c>
      <c r="E5219" s="3" t="n">
        <v>9</v>
      </c>
      <c r="F5219" s="24" t="n">
        <v>0</v>
      </c>
    </row>
    <row r="5220" customFormat="false" ht="15" hidden="false" customHeight="false" outlineLevel="0" collapsed="false">
      <c r="A5220" s="3" t="n">
        <v>5219</v>
      </c>
      <c r="B5220" s="3" t="n">
        <v>5218</v>
      </c>
      <c r="C5220" s="3" t="n">
        <v>6</v>
      </c>
      <c r="D5220" s="3" t="n">
        <v>18</v>
      </c>
      <c r="E5220" s="3" t="n">
        <v>10</v>
      </c>
      <c r="F5220" s="24" t="n">
        <v>0</v>
      </c>
    </row>
    <row r="5221" customFormat="false" ht="15" hidden="false" customHeight="false" outlineLevel="0" collapsed="false">
      <c r="A5221" s="3" t="n">
        <v>5220</v>
      </c>
      <c r="B5221" s="3" t="n">
        <v>5219</v>
      </c>
      <c r="C5221" s="3" t="n">
        <v>6</v>
      </c>
      <c r="D5221" s="3" t="n">
        <v>18</v>
      </c>
      <c r="E5221" s="3" t="n">
        <v>11</v>
      </c>
      <c r="F5221" s="24" t="n">
        <v>0</v>
      </c>
    </row>
    <row r="5222" customFormat="false" ht="15" hidden="false" customHeight="false" outlineLevel="0" collapsed="false">
      <c r="A5222" s="3" t="n">
        <v>5221</v>
      </c>
      <c r="B5222" s="3" t="n">
        <v>5220</v>
      </c>
      <c r="C5222" s="3" t="n">
        <v>6</v>
      </c>
      <c r="D5222" s="3" t="n">
        <v>18</v>
      </c>
      <c r="E5222" s="3" t="n">
        <v>12</v>
      </c>
      <c r="F5222" s="24" t="n">
        <v>0</v>
      </c>
    </row>
    <row r="5223" customFormat="false" ht="15" hidden="false" customHeight="false" outlineLevel="0" collapsed="false">
      <c r="A5223" s="3" t="n">
        <v>5222</v>
      </c>
      <c r="B5223" s="3" t="n">
        <v>5221</v>
      </c>
      <c r="C5223" s="3" t="n">
        <v>6</v>
      </c>
      <c r="D5223" s="3" t="n">
        <v>18</v>
      </c>
      <c r="E5223" s="3" t="n">
        <v>13</v>
      </c>
      <c r="F5223" s="24" t="n">
        <v>0</v>
      </c>
    </row>
    <row r="5224" customFormat="false" ht="15" hidden="false" customHeight="false" outlineLevel="0" collapsed="false">
      <c r="A5224" s="3" t="n">
        <v>5223</v>
      </c>
      <c r="B5224" s="3" t="n">
        <v>5222</v>
      </c>
      <c r="C5224" s="3" t="n">
        <v>6</v>
      </c>
      <c r="D5224" s="3" t="n">
        <v>18</v>
      </c>
      <c r="E5224" s="3" t="n">
        <v>14</v>
      </c>
      <c r="F5224" s="24" t="n">
        <v>0</v>
      </c>
    </row>
    <row r="5225" customFormat="false" ht="15" hidden="false" customHeight="false" outlineLevel="0" collapsed="false">
      <c r="A5225" s="3" t="n">
        <v>5224</v>
      </c>
      <c r="B5225" s="3" t="n">
        <v>5223</v>
      </c>
      <c r="C5225" s="3" t="n">
        <v>6</v>
      </c>
      <c r="D5225" s="3" t="n">
        <v>18</v>
      </c>
      <c r="E5225" s="3" t="n">
        <v>15</v>
      </c>
      <c r="F5225" s="24" t="n">
        <v>1.32733536</v>
      </c>
    </row>
    <row r="5226" customFormat="false" ht="15" hidden="false" customHeight="false" outlineLevel="0" collapsed="false">
      <c r="A5226" s="3" t="n">
        <v>5225</v>
      </c>
      <c r="B5226" s="3" t="n">
        <v>5224</v>
      </c>
      <c r="C5226" s="3" t="n">
        <v>6</v>
      </c>
      <c r="D5226" s="3" t="n">
        <v>18</v>
      </c>
      <c r="E5226" s="3" t="n">
        <v>16</v>
      </c>
      <c r="F5226" s="24" t="n">
        <v>3.42830443</v>
      </c>
    </row>
    <row r="5227" customFormat="false" ht="15" hidden="false" customHeight="false" outlineLevel="0" collapsed="false">
      <c r="A5227" s="3" t="n">
        <v>5226</v>
      </c>
      <c r="B5227" s="3" t="n">
        <v>5225</v>
      </c>
      <c r="C5227" s="3" t="n">
        <v>6</v>
      </c>
      <c r="D5227" s="3" t="n">
        <v>18</v>
      </c>
      <c r="E5227" s="3" t="n">
        <v>17</v>
      </c>
      <c r="F5227" s="24" t="n">
        <v>2.16321921</v>
      </c>
    </row>
    <row r="5228" customFormat="false" ht="15" hidden="false" customHeight="false" outlineLevel="0" collapsed="false">
      <c r="A5228" s="3" t="n">
        <v>5227</v>
      </c>
      <c r="B5228" s="3" t="n">
        <v>5226</v>
      </c>
      <c r="C5228" s="3" t="n">
        <v>6</v>
      </c>
      <c r="D5228" s="3" t="n">
        <v>18</v>
      </c>
      <c r="E5228" s="3" t="n">
        <v>18</v>
      </c>
      <c r="F5228" s="24" t="n">
        <v>0.33486858</v>
      </c>
    </row>
    <row r="5229" customFormat="false" ht="15" hidden="false" customHeight="false" outlineLevel="0" collapsed="false">
      <c r="A5229" s="3" t="n">
        <v>5228</v>
      </c>
      <c r="B5229" s="3" t="n">
        <v>5227</v>
      </c>
      <c r="C5229" s="3" t="n">
        <v>6</v>
      </c>
      <c r="D5229" s="3" t="n">
        <v>18</v>
      </c>
      <c r="E5229" s="3" t="n">
        <v>19</v>
      </c>
      <c r="F5229" s="24" t="n">
        <v>0</v>
      </c>
    </row>
    <row r="5230" customFormat="false" ht="15" hidden="false" customHeight="false" outlineLevel="0" collapsed="false">
      <c r="A5230" s="3" t="n">
        <v>5229</v>
      </c>
      <c r="B5230" s="3" t="n">
        <v>5228</v>
      </c>
      <c r="C5230" s="3" t="n">
        <v>6</v>
      </c>
      <c r="D5230" s="3" t="n">
        <v>18</v>
      </c>
      <c r="E5230" s="3" t="n">
        <v>20</v>
      </c>
      <c r="F5230" s="24" t="n">
        <v>0</v>
      </c>
    </row>
    <row r="5231" customFormat="false" ht="15" hidden="false" customHeight="false" outlineLevel="0" collapsed="false">
      <c r="A5231" s="3" t="n">
        <v>5230</v>
      </c>
      <c r="B5231" s="3" t="n">
        <v>5229</v>
      </c>
      <c r="C5231" s="3" t="n">
        <v>6</v>
      </c>
      <c r="D5231" s="3" t="n">
        <v>18</v>
      </c>
      <c r="E5231" s="3" t="n">
        <v>21</v>
      </c>
      <c r="F5231" s="24" t="n">
        <v>0</v>
      </c>
    </row>
    <row r="5232" customFormat="false" ht="15" hidden="false" customHeight="false" outlineLevel="0" collapsed="false">
      <c r="A5232" s="3" t="n">
        <v>5231</v>
      </c>
      <c r="B5232" s="3" t="n">
        <v>5230</v>
      </c>
      <c r="C5232" s="3" t="n">
        <v>6</v>
      </c>
      <c r="D5232" s="3" t="n">
        <v>18</v>
      </c>
      <c r="E5232" s="3" t="n">
        <v>22</v>
      </c>
      <c r="F5232" s="24" t="n">
        <v>0</v>
      </c>
    </row>
    <row r="5233" customFormat="false" ht="15" hidden="false" customHeight="false" outlineLevel="0" collapsed="false">
      <c r="A5233" s="3" t="n">
        <v>5232</v>
      </c>
      <c r="B5233" s="3" t="n">
        <v>5231</v>
      </c>
      <c r="C5233" s="3" t="n">
        <v>6</v>
      </c>
      <c r="D5233" s="3" t="n">
        <v>18</v>
      </c>
      <c r="E5233" s="3" t="n">
        <v>23</v>
      </c>
      <c r="F5233" s="24" t="n">
        <v>0</v>
      </c>
    </row>
    <row r="5234" customFormat="false" ht="15" hidden="false" customHeight="false" outlineLevel="0" collapsed="false">
      <c r="A5234" s="3" t="n">
        <v>5233</v>
      </c>
      <c r="B5234" s="3" t="n">
        <v>5232</v>
      </c>
      <c r="C5234" s="3" t="n">
        <v>6</v>
      </c>
      <c r="D5234" s="3" t="n">
        <v>18</v>
      </c>
      <c r="E5234" s="3" t="n">
        <v>24</v>
      </c>
      <c r="F5234" s="24" t="n">
        <v>0</v>
      </c>
    </row>
    <row r="5235" customFormat="false" ht="15" hidden="false" customHeight="false" outlineLevel="0" collapsed="false">
      <c r="A5235" s="3" t="n">
        <v>5234</v>
      </c>
      <c r="B5235" s="3" t="n">
        <v>5233</v>
      </c>
      <c r="C5235" s="3" t="n">
        <v>6</v>
      </c>
      <c r="D5235" s="3" t="n">
        <v>18</v>
      </c>
      <c r="E5235" s="3" t="n">
        <v>25</v>
      </c>
      <c r="F5235" s="24" t="n">
        <v>0</v>
      </c>
    </row>
    <row r="5236" customFormat="false" ht="15" hidden="false" customHeight="false" outlineLevel="0" collapsed="false">
      <c r="A5236" s="3" t="n">
        <v>5235</v>
      </c>
      <c r="B5236" s="3" t="n">
        <v>5234</v>
      </c>
      <c r="C5236" s="3" t="n">
        <v>6</v>
      </c>
      <c r="D5236" s="3" t="n">
        <v>18</v>
      </c>
      <c r="E5236" s="3" t="n">
        <v>26</v>
      </c>
      <c r="F5236" s="24" t="n">
        <v>0</v>
      </c>
    </row>
    <row r="5237" customFormat="false" ht="15" hidden="false" customHeight="false" outlineLevel="0" collapsed="false">
      <c r="A5237" s="3" t="n">
        <v>5236</v>
      </c>
      <c r="B5237" s="3" t="n">
        <v>5235</v>
      </c>
      <c r="C5237" s="3" t="n">
        <v>6</v>
      </c>
      <c r="D5237" s="3" t="n">
        <v>18</v>
      </c>
      <c r="E5237" s="3" t="n">
        <v>27</v>
      </c>
      <c r="F5237" s="24" t="n">
        <v>0</v>
      </c>
    </row>
    <row r="5238" customFormat="false" ht="15" hidden="false" customHeight="false" outlineLevel="0" collapsed="false">
      <c r="A5238" s="3" t="n">
        <v>5237</v>
      </c>
      <c r="B5238" s="3" t="n">
        <v>5236</v>
      </c>
      <c r="C5238" s="3" t="n">
        <v>6</v>
      </c>
      <c r="D5238" s="3" t="n">
        <v>19</v>
      </c>
      <c r="E5238" s="3" t="n">
        <v>0</v>
      </c>
      <c r="F5238" s="24" t="n">
        <v>0.185572863</v>
      </c>
    </row>
    <row r="5239" customFormat="false" ht="15" hidden="false" customHeight="false" outlineLevel="0" collapsed="false">
      <c r="A5239" s="3" t="n">
        <v>5238</v>
      </c>
      <c r="B5239" s="3" t="n">
        <v>5237</v>
      </c>
      <c r="C5239" s="3" t="n">
        <v>6</v>
      </c>
      <c r="D5239" s="3" t="n">
        <v>19</v>
      </c>
      <c r="E5239" s="3" t="n">
        <v>1</v>
      </c>
      <c r="F5239" s="24" t="n">
        <v>0</v>
      </c>
    </row>
    <row r="5240" customFormat="false" ht="15" hidden="false" customHeight="false" outlineLevel="0" collapsed="false">
      <c r="A5240" s="3" t="n">
        <v>5239</v>
      </c>
      <c r="B5240" s="3" t="n">
        <v>5238</v>
      </c>
      <c r="C5240" s="3" t="n">
        <v>6</v>
      </c>
      <c r="D5240" s="3" t="n">
        <v>19</v>
      </c>
      <c r="E5240" s="3" t="n">
        <v>2</v>
      </c>
      <c r="F5240" s="24" t="n">
        <v>0</v>
      </c>
    </row>
    <row r="5241" customFormat="false" ht="15" hidden="false" customHeight="false" outlineLevel="0" collapsed="false">
      <c r="A5241" s="3" t="n">
        <v>5240</v>
      </c>
      <c r="B5241" s="3" t="n">
        <v>5239</v>
      </c>
      <c r="C5241" s="3" t="n">
        <v>6</v>
      </c>
      <c r="D5241" s="3" t="n">
        <v>19</v>
      </c>
      <c r="E5241" s="3" t="n">
        <v>3</v>
      </c>
      <c r="F5241" s="24" t="n">
        <v>0</v>
      </c>
    </row>
    <row r="5242" customFormat="false" ht="15" hidden="false" customHeight="false" outlineLevel="0" collapsed="false">
      <c r="A5242" s="3" t="n">
        <v>5241</v>
      </c>
      <c r="B5242" s="3" t="n">
        <v>5240</v>
      </c>
      <c r="C5242" s="3" t="n">
        <v>6</v>
      </c>
      <c r="D5242" s="3" t="n">
        <v>19</v>
      </c>
      <c r="E5242" s="3" t="n">
        <v>4</v>
      </c>
      <c r="F5242" s="24" t="n">
        <v>0</v>
      </c>
    </row>
    <row r="5243" customFormat="false" ht="15" hidden="false" customHeight="false" outlineLevel="0" collapsed="false">
      <c r="A5243" s="3" t="n">
        <v>5242</v>
      </c>
      <c r="B5243" s="3" t="n">
        <v>5241</v>
      </c>
      <c r="C5243" s="3" t="n">
        <v>6</v>
      </c>
      <c r="D5243" s="3" t="n">
        <v>19</v>
      </c>
      <c r="E5243" s="3" t="n">
        <v>5</v>
      </c>
      <c r="F5243" s="24" t="n">
        <v>0</v>
      </c>
    </row>
    <row r="5244" customFormat="false" ht="15" hidden="false" customHeight="false" outlineLevel="0" collapsed="false">
      <c r="A5244" s="3" t="n">
        <v>5243</v>
      </c>
      <c r="B5244" s="3" t="n">
        <v>5242</v>
      </c>
      <c r="C5244" s="3" t="n">
        <v>6</v>
      </c>
      <c r="D5244" s="3" t="n">
        <v>19</v>
      </c>
      <c r="E5244" s="3" t="n">
        <v>6</v>
      </c>
      <c r="F5244" s="24" t="n">
        <v>0</v>
      </c>
    </row>
    <row r="5245" customFormat="false" ht="15" hidden="false" customHeight="false" outlineLevel="0" collapsed="false">
      <c r="A5245" s="3" t="n">
        <v>5244</v>
      </c>
      <c r="B5245" s="3" t="n">
        <v>5243</v>
      </c>
      <c r="C5245" s="3" t="n">
        <v>6</v>
      </c>
      <c r="D5245" s="3" t="n">
        <v>19</v>
      </c>
      <c r="E5245" s="3" t="n">
        <v>7</v>
      </c>
      <c r="F5245" s="24" t="n">
        <v>0</v>
      </c>
    </row>
    <row r="5246" customFormat="false" ht="15" hidden="false" customHeight="false" outlineLevel="0" collapsed="false">
      <c r="A5246" s="3" t="n">
        <v>5245</v>
      </c>
      <c r="B5246" s="3" t="n">
        <v>5244</v>
      </c>
      <c r="C5246" s="3" t="n">
        <v>6</v>
      </c>
      <c r="D5246" s="3" t="n">
        <v>19</v>
      </c>
      <c r="E5246" s="3" t="n">
        <v>8</v>
      </c>
      <c r="F5246" s="24" t="n">
        <v>0</v>
      </c>
    </row>
    <row r="5247" customFormat="false" ht="15" hidden="false" customHeight="false" outlineLevel="0" collapsed="false">
      <c r="A5247" s="3" t="n">
        <v>5246</v>
      </c>
      <c r="B5247" s="3" t="n">
        <v>5245</v>
      </c>
      <c r="C5247" s="3" t="n">
        <v>6</v>
      </c>
      <c r="D5247" s="3" t="n">
        <v>19</v>
      </c>
      <c r="E5247" s="3" t="n">
        <v>9</v>
      </c>
      <c r="F5247" s="24" t="n">
        <v>0</v>
      </c>
    </row>
    <row r="5248" customFormat="false" ht="15" hidden="false" customHeight="false" outlineLevel="0" collapsed="false">
      <c r="A5248" s="3" t="n">
        <v>5247</v>
      </c>
      <c r="B5248" s="3" t="n">
        <v>5246</v>
      </c>
      <c r="C5248" s="3" t="n">
        <v>6</v>
      </c>
      <c r="D5248" s="3" t="n">
        <v>19</v>
      </c>
      <c r="E5248" s="3" t="n">
        <v>10</v>
      </c>
      <c r="F5248" s="24" t="n">
        <v>0</v>
      </c>
    </row>
    <row r="5249" customFormat="false" ht="15" hidden="false" customHeight="false" outlineLevel="0" collapsed="false">
      <c r="A5249" s="3" t="n">
        <v>5248</v>
      </c>
      <c r="B5249" s="3" t="n">
        <v>5247</v>
      </c>
      <c r="C5249" s="3" t="n">
        <v>6</v>
      </c>
      <c r="D5249" s="3" t="n">
        <v>19</v>
      </c>
      <c r="E5249" s="3" t="n">
        <v>11</v>
      </c>
      <c r="F5249" s="24" t="n">
        <v>0</v>
      </c>
    </row>
    <row r="5250" customFormat="false" ht="15" hidden="false" customHeight="false" outlineLevel="0" collapsed="false">
      <c r="A5250" s="3" t="n">
        <v>5249</v>
      </c>
      <c r="B5250" s="3" t="n">
        <v>5248</v>
      </c>
      <c r="C5250" s="3" t="n">
        <v>6</v>
      </c>
      <c r="D5250" s="3" t="n">
        <v>19</v>
      </c>
      <c r="E5250" s="3" t="n">
        <v>12</v>
      </c>
      <c r="F5250" s="24" t="n">
        <v>0</v>
      </c>
    </row>
    <row r="5251" customFormat="false" ht="15" hidden="false" customHeight="false" outlineLevel="0" collapsed="false">
      <c r="A5251" s="3" t="n">
        <v>5250</v>
      </c>
      <c r="B5251" s="3" t="n">
        <v>5249</v>
      </c>
      <c r="C5251" s="3" t="n">
        <v>6</v>
      </c>
      <c r="D5251" s="3" t="n">
        <v>19</v>
      </c>
      <c r="E5251" s="3" t="n">
        <v>13</v>
      </c>
      <c r="F5251" s="24" t="n">
        <v>0</v>
      </c>
    </row>
    <row r="5252" customFormat="false" ht="15" hidden="false" customHeight="false" outlineLevel="0" collapsed="false">
      <c r="A5252" s="3" t="n">
        <v>5251</v>
      </c>
      <c r="B5252" s="3" t="n">
        <v>5250</v>
      </c>
      <c r="C5252" s="3" t="n">
        <v>6</v>
      </c>
      <c r="D5252" s="3" t="n">
        <v>19</v>
      </c>
      <c r="E5252" s="3" t="n">
        <v>14</v>
      </c>
      <c r="F5252" s="24" t="n">
        <v>0.613106847</v>
      </c>
    </row>
    <row r="5253" customFormat="false" ht="15" hidden="false" customHeight="false" outlineLevel="0" collapsed="false">
      <c r="A5253" s="3" t="n">
        <v>5252</v>
      </c>
      <c r="B5253" s="3" t="n">
        <v>5251</v>
      </c>
      <c r="C5253" s="3" t="n">
        <v>6</v>
      </c>
      <c r="D5253" s="3" t="n">
        <v>19</v>
      </c>
      <c r="E5253" s="3" t="n">
        <v>15</v>
      </c>
      <c r="F5253" s="24" t="n">
        <v>2.93747163</v>
      </c>
    </row>
    <row r="5254" customFormat="false" ht="15" hidden="false" customHeight="false" outlineLevel="0" collapsed="false">
      <c r="A5254" s="3" t="n">
        <v>5253</v>
      </c>
      <c r="B5254" s="3" t="n">
        <v>5252</v>
      </c>
      <c r="C5254" s="3" t="n">
        <v>6</v>
      </c>
      <c r="D5254" s="3" t="n">
        <v>19</v>
      </c>
      <c r="E5254" s="3" t="n">
        <v>16</v>
      </c>
      <c r="F5254" s="24" t="n">
        <v>3.1863997</v>
      </c>
    </row>
    <row r="5255" customFormat="false" ht="15" hidden="false" customHeight="false" outlineLevel="0" collapsed="false">
      <c r="A5255" s="3" t="n">
        <v>5254</v>
      </c>
      <c r="B5255" s="3" t="n">
        <v>5253</v>
      </c>
      <c r="C5255" s="3" t="n">
        <v>6</v>
      </c>
      <c r="D5255" s="3" t="n">
        <v>19</v>
      </c>
      <c r="E5255" s="3" t="n">
        <v>17</v>
      </c>
      <c r="F5255" s="24" t="n">
        <v>0.971461535</v>
      </c>
    </row>
    <row r="5256" customFormat="false" ht="15" hidden="false" customHeight="false" outlineLevel="0" collapsed="false">
      <c r="A5256" s="3" t="n">
        <v>5255</v>
      </c>
      <c r="B5256" s="3" t="n">
        <v>5254</v>
      </c>
      <c r="C5256" s="3" t="n">
        <v>6</v>
      </c>
      <c r="D5256" s="3" t="n">
        <v>19</v>
      </c>
      <c r="E5256" s="3" t="n">
        <v>18</v>
      </c>
      <c r="F5256" s="24" t="n">
        <v>0.0448404253</v>
      </c>
    </row>
    <row r="5257" customFormat="false" ht="15" hidden="false" customHeight="false" outlineLevel="0" collapsed="false">
      <c r="A5257" s="3" t="n">
        <v>5256</v>
      </c>
      <c r="B5257" s="3" t="n">
        <v>5255</v>
      </c>
      <c r="C5257" s="3" t="n">
        <v>6</v>
      </c>
      <c r="D5257" s="3" t="n">
        <v>19</v>
      </c>
      <c r="E5257" s="3" t="n">
        <v>19</v>
      </c>
      <c r="F5257" s="24" t="n">
        <v>0</v>
      </c>
    </row>
    <row r="5258" customFormat="false" ht="15" hidden="false" customHeight="false" outlineLevel="0" collapsed="false">
      <c r="A5258" s="3" t="n">
        <v>5257</v>
      </c>
      <c r="B5258" s="3" t="n">
        <v>5256</v>
      </c>
      <c r="C5258" s="3" t="n">
        <v>6</v>
      </c>
      <c r="D5258" s="3" t="n">
        <v>19</v>
      </c>
      <c r="E5258" s="3" t="n">
        <v>20</v>
      </c>
      <c r="F5258" s="24" t="n">
        <v>0</v>
      </c>
    </row>
    <row r="5259" customFormat="false" ht="15" hidden="false" customHeight="false" outlineLevel="0" collapsed="false">
      <c r="A5259" s="3" t="n">
        <v>5258</v>
      </c>
      <c r="B5259" s="3" t="n">
        <v>5257</v>
      </c>
      <c r="C5259" s="3" t="n">
        <v>6</v>
      </c>
      <c r="D5259" s="3" t="n">
        <v>19</v>
      </c>
      <c r="E5259" s="3" t="n">
        <v>21</v>
      </c>
      <c r="F5259" s="24" t="n">
        <v>0</v>
      </c>
    </row>
    <row r="5260" customFormat="false" ht="15" hidden="false" customHeight="false" outlineLevel="0" collapsed="false">
      <c r="A5260" s="3" t="n">
        <v>5259</v>
      </c>
      <c r="B5260" s="3" t="n">
        <v>5258</v>
      </c>
      <c r="C5260" s="3" t="n">
        <v>6</v>
      </c>
      <c r="D5260" s="3" t="n">
        <v>19</v>
      </c>
      <c r="E5260" s="3" t="n">
        <v>22</v>
      </c>
      <c r="F5260" s="24" t="n">
        <v>0</v>
      </c>
    </row>
    <row r="5261" customFormat="false" ht="15" hidden="false" customHeight="false" outlineLevel="0" collapsed="false">
      <c r="A5261" s="3" t="n">
        <v>5260</v>
      </c>
      <c r="B5261" s="3" t="n">
        <v>5259</v>
      </c>
      <c r="C5261" s="3" t="n">
        <v>6</v>
      </c>
      <c r="D5261" s="3" t="n">
        <v>19</v>
      </c>
      <c r="E5261" s="3" t="n">
        <v>23</v>
      </c>
      <c r="F5261" s="24" t="n">
        <v>0</v>
      </c>
    </row>
    <row r="5262" customFormat="false" ht="15" hidden="false" customHeight="false" outlineLevel="0" collapsed="false">
      <c r="A5262" s="3" t="n">
        <v>5261</v>
      </c>
      <c r="B5262" s="3" t="n">
        <v>5260</v>
      </c>
      <c r="C5262" s="3" t="n">
        <v>6</v>
      </c>
      <c r="D5262" s="3" t="n">
        <v>19</v>
      </c>
      <c r="E5262" s="3" t="n">
        <v>24</v>
      </c>
      <c r="F5262" s="24" t="n">
        <v>0</v>
      </c>
    </row>
    <row r="5263" customFormat="false" ht="15" hidden="false" customHeight="false" outlineLevel="0" collapsed="false">
      <c r="A5263" s="3" t="n">
        <v>5262</v>
      </c>
      <c r="B5263" s="3" t="n">
        <v>5261</v>
      </c>
      <c r="C5263" s="3" t="n">
        <v>6</v>
      </c>
      <c r="D5263" s="3" t="n">
        <v>19</v>
      </c>
      <c r="E5263" s="3" t="n">
        <v>25</v>
      </c>
      <c r="F5263" s="24" t="n">
        <v>0</v>
      </c>
    </row>
    <row r="5264" customFormat="false" ht="15" hidden="false" customHeight="false" outlineLevel="0" collapsed="false">
      <c r="A5264" s="3" t="n">
        <v>5263</v>
      </c>
      <c r="B5264" s="3" t="n">
        <v>5262</v>
      </c>
      <c r="C5264" s="3" t="n">
        <v>6</v>
      </c>
      <c r="D5264" s="3" t="n">
        <v>19</v>
      </c>
      <c r="E5264" s="3" t="n">
        <v>26</v>
      </c>
      <c r="F5264" s="24" t="n">
        <v>0</v>
      </c>
    </row>
    <row r="5265" customFormat="false" ht="15" hidden="false" customHeight="false" outlineLevel="0" collapsed="false">
      <c r="A5265" s="3" t="n">
        <v>5264</v>
      </c>
      <c r="B5265" s="3" t="n">
        <v>5263</v>
      </c>
      <c r="C5265" s="3" t="n">
        <v>6</v>
      </c>
      <c r="D5265" s="3" t="n">
        <v>19</v>
      </c>
      <c r="E5265" s="3" t="n">
        <v>27</v>
      </c>
      <c r="F5265" s="24" t="n">
        <v>0</v>
      </c>
    </row>
    <row r="5266" customFormat="false" ht="15" hidden="false" customHeight="false" outlineLevel="0" collapsed="false">
      <c r="A5266" s="3" t="n">
        <v>5265</v>
      </c>
      <c r="B5266" s="3" t="n">
        <v>5264</v>
      </c>
      <c r="C5266" s="3" t="n">
        <v>6</v>
      </c>
      <c r="D5266" s="3" t="n">
        <v>20</v>
      </c>
      <c r="E5266" s="3" t="n">
        <v>0</v>
      </c>
      <c r="F5266" s="24" t="n">
        <v>0.185572863</v>
      </c>
    </row>
    <row r="5267" customFormat="false" ht="15" hidden="false" customHeight="false" outlineLevel="0" collapsed="false">
      <c r="A5267" s="3" t="n">
        <v>5266</v>
      </c>
      <c r="B5267" s="3" t="n">
        <v>5265</v>
      </c>
      <c r="C5267" s="3" t="n">
        <v>6</v>
      </c>
      <c r="D5267" s="3" t="n">
        <v>20</v>
      </c>
      <c r="E5267" s="3" t="n">
        <v>1</v>
      </c>
      <c r="F5267" s="24" t="n">
        <v>0</v>
      </c>
    </row>
    <row r="5268" customFormat="false" ht="15" hidden="false" customHeight="false" outlineLevel="0" collapsed="false">
      <c r="A5268" s="3" t="n">
        <v>5267</v>
      </c>
      <c r="B5268" s="3" t="n">
        <v>5266</v>
      </c>
      <c r="C5268" s="3" t="n">
        <v>6</v>
      </c>
      <c r="D5268" s="3" t="n">
        <v>20</v>
      </c>
      <c r="E5268" s="3" t="n">
        <v>2</v>
      </c>
      <c r="F5268" s="24" t="n">
        <v>0</v>
      </c>
    </row>
    <row r="5269" customFormat="false" ht="15" hidden="false" customHeight="false" outlineLevel="0" collapsed="false">
      <c r="A5269" s="3" t="n">
        <v>5268</v>
      </c>
      <c r="B5269" s="3" t="n">
        <v>5267</v>
      </c>
      <c r="C5269" s="3" t="n">
        <v>6</v>
      </c>
      <c r="D5269" s="3" t="n">
        <v>20</v>
      </c>
      <c r="E5269" s="3" t="n">
        <v>3</v>
      </c>
      <c r="F5269" s="24" t="n">
        <v>0</v>
      </c>
    </row>
    <row r="5270" customFormat="false" ht="15" hidden="false" customHeight="false" outlineLevel="0" collapsed="false">
      <c r="A5270" s="3" t="n">
        <v>5269</v>
      </c>
      <c r="B5270" s="3" t="n">
        <v>5268</v>
      </c>
      <c r="C5270" s="3" t="n">
        <v>6</v>
      </c>
      <c r="D5270" s="3" t="n">
        <v>20</v>
      </c>
      <c r="E5270" s="3" t="n">
        <v>4</v>
      </c>
      <c r="F5270" s="24" t="n">
        <v>0</v>
      </c>
    </row>
    <row r="5271" customFormat="false" ht="15" hidden="false" customHeight="false" outlineLevel="0" collapsed="false">
      <c r="A5271" s="3" t="n">
        <v>5270</v>
      </c>
      <c r="B5271" s="3" t="n">
        <v>5269</v>
      </c>
      <c r="C5271" s="3" t="n">
        <v>6</v>
      </c>
      <c r="D5271" s="3" t="n">
        <v>20</v>
      </c>
      <c r="E5271" s="3" t="n">
        <v>5</v>
      </c>
      <c r="F5271" s="24" t="n">
        <v>0</v>
      </c>
    </row>
    <row r="5272" customFormat="false" ht="15" hidden="false" customHeight="false" outlineLevel="0" collapsed="false">
      <c r="A5272" s="3" t="n">
        <v>5271</v>
      </c>
      <c r="B5272" s="3" t="n">
        <v>5270</v>
      </c>
      <c r="C5272" s="3" t="n">
        <v>6</v>
      </c>
      <c r="D5272" s="3" t="n">
        <v>20</v>
      </c>
      <c r="E5272" s="3" t="n">
        <v>6</v>
      </c>
      <c r="F5272" s="24" t="n">
        <v>0</v>
      </c>
    </row>
    <row r="5273" customFormat="false" ht="15" hidden="false" customHeight="false" outlineLevel="0" collapsed="false">
      <c r="A5273" s="3" t="n">
        <v>5272</v>
      </c>
      <c r="B5273" s="3" t="n">
        <v>5271</v>
      </c>
      <c r="C5273" s="3" t="n">
        <v>6</v>
      </c>
      <c r="D5273" s="3" t="n">
        <v>20</v>
      </c>
      <c r="E5273" s="3" t="n">
        <v>7</v>
      </c>
      <c r="F5273" s="24" t="n">
        <v>0</v>
      </c>
    </row>
    <row r="5274" customFormat="false" ht="15" hidden="false" customHeight="false" outlineLevel="0" collapsed="false">
      <c r="A5274" s="3" t="n">
        <v>5273</v>
      </c>
      <c r="B5274" s="3" t="n">
        <v>5272</v>
      </c>
      <c r="C5274" s="3" t="n">
        <v>6</v>
      </c>
      <c r="D5274" s="3" t="n">
        <v>20</v>
      </c>
      <c r="E5274" s="3" t="n">
        <v>8</v>
      </c>
      <c r="F5274" s="24" t="n">
        <v>0</v>
      </c>
    </row>
    <row r="5275" customFormat="false" ht="15" hidden="false" customHeight="false" outlineLevel="0" collapsed="false">
      <c r="A5275" s="3" t="n">
        <v>5274</v>
      </c>
      <c r="B5275" s="3" t="n">
        <v>5273</v>
      </c>
      <c r="C5275" s="3" t="n">
        <v>6</v>
      </c>
      <c r="D5275" s="3" t="n">
        <v>20</v>
      </c>
      <c r="E5275" s="3" t="n">
        <v>9</v>
      </c>
      <c r="F5275" s="24" t="n">
        <v>0</v>
      </c>
    </row>
    <row r="5276" customFormat="false" ht="15" hidden="false" customHeight="false" outlineLevel="0" collapsed="false">
      <c r="A5276" s="3" t="n">
        <v>5275</v>
      </c>
      <c r="B5276" s="3" t="n">
        <v>5274</v>
      </c>
      <c r="C5276" s="3" t="n">
        <v>6</v>
      </c>
      <c r="D5276" s="3" t="n">
        <v>20</v>
      </c>
      <c r="E5276" s="3" t="n">
        <v>10</v>
      </c>
      <c r="F5276" s="24" t="n">
        <v>0</v>
      </c>
    </row>
    <row r="5277" customFormat="false" ht="15" hidden="false" customHeight="false" outlineLevel="0" collapsed="false">
      <c r="A5277" s="3" t="n">
        <v>5276</v>
      </c>
      <c r="B5277" s="3" t="n">
        <v>5275</v>
      </c>
      <c r="C5277" s="3" t="n">
        <v>6</v>
      </c>
      <c r="D5277" s="3" t="n">
        <v>20</v>
      </c>
      <c r="E5277" s="3" t="n">
        <v>11</v>
      </c>
      <c r="F5277" s="24" t="n">
        <v>0</v>
      </c>
    </row>
    <row r="5278" customFormat="false" ht="15" hidden="false" customHeight="false" outlineLevel="0" collapsed="false">
      <c r="A5278" s="3" t="n">
        <v>5277</v>
      </c>
      <c r="B5278" s="3" t="n">
        <v>5276</v>
      </c>
      <c r="C5278" s="3" t="n">
        <v>6</v>
      </c>
      <c r="D5278" s="3" t="n">
        <v>20</v>
      </c>
      <c r="E5278" s="3" t="n">
        <v>12</v>
      </c>
      <c r="F5278" s="24" t="n">
        <v>0</v>
      </c>
    </row>
    <row r="5279" customFormat="false" ht="15" hidden="false" customHeight="false" outlineLevel="0" collapsed="false">
      <c r="A5279" s="3" t="n">
        <v>5278</v>
      </c>
      <c r="B5279" s="3" t="n">
        <v>5277</v>
      </c>
      <c r="C5279" s="3" t="n">
        <v>6</v>
      </c>
      <c r="D5279" s="3" t="n">
        <v>20</v>
      </c>
      <c r="E5279" s="3" t="n">
        <v>13</v>
      </c>
      <c r="F5279" s="24" t="n">
        <v>0</v>
      </c>
    </row>
    <row r="5280" customFormat="false" ht="15" hidden="false" customHeight="false" outlineLevel="0" collapsed="false">
      <c r="A5280" s="3" t="n">
        <v>5279</v>
      </c>
      <c r="B5280" s="3" t="n">
        <v>5278</v>
      </c>
      <c r="C5280" s="3" t="n">
        <v>6</v>
      </c>
      <c r="D5280" s="3" t="n">
        <v>20</v>
      </c>
      <c r="E5280" s="3" t="n">
        <v>14</v>
      </c>
      <c r="F5280" s="24" t="n">
        <v>2.39538836</v>
      </c>
    </row>
    <row r="5281" customFormat="false" ht="15" hidden="false" customHeight="false" outlineLevel="0" collapsed="false">
      <c r="A5281" s="3" t="n">
        <v>5280</v>
      </c>
      <c r="B5281" s="3" t="n">
        <v>5279</v>
      </c>
      <c r="C5281" s="3" t="n">
        <v>6</v>
      </c>
      <c r="D5281" s="3" t="n">
        <v>20</v>
      </c>
      <c r="E5281" s="3" t="n">
        <v>15</v>
      </c>
      <c r="F5281" s="24" t="n">
        <v>3.69994807</v>
      </c>
    </row>
    <row r="5282" customFormat="false" ht="15" hidden="false" customHeight="false" outlineLevel="0" collapsed="false">
      <c r="A5282" s="3" t="n">
        <v>5281</v>
      </c>
      <c r="B5282" s="3" t="n">
        <v>5280</v>
      </c>
      <c r="C5282" s="3" t="n">
        <v>6</v>
      </c>
      <c r="D5282" s="3" t="n">
        <v>20</v>
      </c>
      <c r="E5282" s="3" t="n">
        <v>16</v>
      </c>
      <c r="F5282" s="24" t="n">
        <v>1.76810336</v>
      </c>
    </row>
    <row r="5283" customFormat="false" ht="15" hidden="false" customHeight="false" outlineLevel="0" collapsed="false">
      <c r="A5283" s="3" t="n">
        <v>5282</v>
      </c>
      <c r="B5283" s="3" t="n">
        <v>5281</v>
      </c>
      <c r="C5283" s="3" t="n">
        <v>6</v>
      </c>
      <c r="D5283" s="3" t="n">
        <v>20</v>
      </c>
      <c r="E5283" s="3" t="n">
        <v>17</v>
      </c>
      <c r="F5283" s="24" t="n">
        <v>0.252090573</v>
      </c>
    </row>
    <row r="5284" customFormat="false" ht="15" hidden="false" customHeight="false" outlineLevel="0" collapsed="false">
      <c r="A5284" s="3" t="n">
        <v>5283</v>
      </c>
      <c r="B5284" s="3" t="n">
        <v>5282</v>
      </c>
      <c r="C5284" s="3" t="n">
        <v>6</v>
      </c>
      <c r="D5284" s="3" t="n">
        <v>20</v>
      </c>
      <c r="E5284" s="3" t="n">
        <v>18</v>
      </c>
      <c r="F5284" s="24" t="n">
        <v>0</v>
      </c>
    </row>
    <row r="5285" customFormat="false" ht="15" hidden="false" customHeight="false" outlineLevel="0" collapsed="false">
      <c r="A5285" s="3" t="n">
        <v>5284</v>
      </c>
      <c r="B5285" s="3" t="n">
        <v>5283</v>
      </c>
      <c r="C5285" s="3" t="n">
        <v>6</v>
      </c>
      <c r="D5285" s="3" t="n">
        <v>20</v>
      </c>
      <c r="E5285" s="3" t="n">
        <v>19</v>
      </c>
      <c r="F5285" s="24" t="n">
        <v>0</v>
      </c>
    </row>
    <row r="5286" customFormat="false" ht="15" hidden="false" customHeight="false" outlineLevel="0" collapsed="false">
      <c r="A5286" s="3" t="n">
        <v>5285</v>
      </c>
      <c r="B5286" s="3" t="n">
        <v>5284</v>
      </c>
      <c r="C5286" s="3" t="n">
        <v>6</v>
      </c>
      <c r="D5286" s="3" t="n">
        <v>20</v>
      </c>
      <c r="E5286" s="3" t="n">
        <v>20</v>
      </c>
      <c r="F5286" s="24" t="n">
        <v>0</v>
      </c>
    </row>
    <row r="5287" customFormat="false" ht="15" hidden="false" customHeight="false" outlineLevel="0" collapsed="false">
      <c r="A5287" s="3" t="n">
        <v>5286</v>
      </c>
      <c r="B5287" s="3" t="n">
        <v>5285</v>
      </c>
      <c r="C5287" s="3" t="n">
        <v>6</v>
      </c>
      <c r="D5287" s="3" t="n">
        <v>20</v>
      </c>
      <c r="E5287" s="3" t="n">
        <v>21</v>
      </c>
      <c r="F5287" s="24" t="n">
        <v>0</v>
      </c>
    </row>
    <row r="5288" customFormat="false" ht="15" hidden="false" customHeight="false" outlineLevel="0" collapsed="false">
      <c r="A5288" s="3" t="n">
        <v>5287</v>
      </c>
      <c r="B5288" s="3" t="n">
        <v>5286</v>
      </c>
      <c r="C5288" s="3" t="n">
        <v>6</v>
      </c>
      <c r="D5288" s="3" t="n">
        <v>20</v>
      </c>
      <c r="E5288" s="3" t="n">
        <v>22</v>
      </c>
      <c r="F5288" s="24" t="n">
        <v>0</v>
      </c>
    </row>
    <row r="5289" customFormat="false" ht="15" hidden="false" customHeight="false" outlineLevel="0" collapsed="false">
      <c r="A5289" s="3" t="n">
        <v>5288</v>
      </c>
      <c r="B5289" s="3" t="n">
        <v>5287</v>
      </c>
      <c r="C5289" s="3" t="n">
        <v>6</v>
      </c>
      <c r="D5289" s="3" t="n">
        <v>20</v>
      </c>
      <c r="E5289" s="3" t="n">
        <v>23</v>
      </c>
      <c r="F5289" s="24" t="n">
        <v>0</v>
      </c>
    </row>
    <row r="5290" customFormat="false" ht="15" hidden="false" customHeight="false" outlineLevel="0" collapsed="false">
      <c r="A5290" s="3" t="n">
        <v>5289</v>
      </c>
      <c r="B5290" s="3" t="n">
        <v>5288</v>
      </c>
      <c r="C5290" s="3" t="n">
        <v>6</v>
      </c>
      <c r="D5290" s="3" t="n">
        <v>20</v>
      </c>
      <c r="E5290" s="3" t="n">
        <v>24</v>
      </c>
      <c r="F5290" s="24" t="n">
        <v>0</v>
      </c>
    </row>
    <row r="5291" customFormat="false" ht="15" hidden="false" customHeight="false" outlineLevel="0" collapsed="false">
      <c r="A5291" s="3" t="n">
        <v>5290</v>
      </c>
      <c r="B5291" s="3" t="n">
        <v>5289</v>
      </c>
      <c r="C5291" s="3" t="n">
        <v>6</v>
      </c>
      <c r="D5291" s="3" t="n">
        <v>20</v>
      </c>
      <c r="E5291" s="3" t="n">
        <v>25</v>
      </c>
      <c r="F5291" s="24" t="n">
        <v>0</v>
      </c>
    </row>
    <row r="5292" customFormat="false" ht="15" hidden="false" customHeight="false" outlineLevel="0" collapsed="false">
      <c r="A5292" s="3" t="n">
        <v>5291</v>
      </c>
      <c r="B5292" s="3" t="n">
        <v>5290</v>
      </c>
      <c r="C5292" s="3" t="n">
        <v>6</v>
      </c>
      <c r="D5292" s="3" t="n">
        <v>20</v>
      </c>
      <c r="E5292" s="3" t="n">
        <v>26</v>
      </c>
      <c r="F5292" s="24" t="n">
        <v>0</v>
      </c>
    </row>
    <row r="5293" customFormat="false" ht="15" hidden="false" customHeight="false" outlineLevel="0" collapsed="false">
      <c r="A5293" s="3" t="n">
        <v>5292</v>
      </c>
      <c r="B5293" s="3" t="n">
        <v>5291</v>
      </c>
      <c r="C5293" s="3" t="n">
        <v>6</v>
      </c>
      <c r="D5293" s="3" t="n">
        <v>20</v>
      </c>
      <c r="E5293" s="3" t="n">
        <v>27</v>
      </c>
      <c r="F5293" s="24" t="n">
        <v>0</v>
      </c>
    </row>
    <row r="5294" customFormat="false" ht="15" hidden="false" customHeight="false" outlineLevel="0" collapsed="false">
      <c r="A5294" s="3" t="n">
        <v>5293</v>
      </c>
      <c r="B5294" s="3" t="n">
        <v>5292</v>
      </c>
      <c r="C5294" s="3" t="n">
        <v>6</v>
      </c>
      <c r="D5294" s="3" t="n">
        <v>21</v>
      </c>
      <c r="E5294" s="3" t="n">
        <v>0</v>
      </c>
      <c r="F5294" s="24" t="n">
        <v>0.185572863</v>
      </c>
    </row>
    <row r="5295" customFormat="false" ht="15" hidden="false" customHeight="false" outlineLevel="0" collapsed="false">
      <c r="A5295" s="3" t="n">
        <v>5294</v>
      </c>
      <c r="B5295" s="3" t="n">
        <v>5293</v>
      </c>
      <c r="C5295" s="3" t="n">
        <v>6</v>
      </c>
      <c r="D5295" s="3" t="n">
        <v>21</v>
      </c>
      <c r="E5295" s="3" t="n">
        <v>1</v>
      </c>
      <c r="F5295" s="24" t="n">
        <v>0</v>
      </c>
    </row>
    <row r="5296" customFormat="false" ht="15" hidden="false" customHeight="false" outlineLevel="0" collapsed="false">
      <c r="A5296" s="3" t="n">
        <v>5295</v>
      </c>
      <c r="B5296" s="3" t="n">
        <v>5294</v>
      </c>
      <c r="C5296" s="3" t="n">
        <v>6</v>
      </c>
      <c r="D5296" s="3" t="n">
        <v>21</v>
      </c>
      <c r="E5296" s="3" t="n">
        <v>2</v>
      </c>
      <c r="F5296" s="24" t="n">
        <v>0</v>
      </c>
    </row>
    <row r="5297" customFormat="false" ht="15" hidden="false" customHeight="false" outlineLevel="0" collapsed="false">
      <c r="A5297" s="3" t="n">
        <v>5296</v>
      </c>
      <c r="B5297" s="3" t="n">
        <v>5295</v>
      </c>
      <c r="C5297" s="3" t="n">
        <v>6</v>
      </c>
      <c r="D5297" s="3" t="n">
        <v>21</v>
      </c>
      <c r="E5297" s="3" t="n">
        <v>3</v>
      </c>
      <c r="F5297" s="24" t="n">
        <v>0</v>
      </c>
    </row>
    <row r="5298" customFormat="false" ht="15" hidden="false" customHeight="false" outlineLevel="0" collapsed="false">
      <c r="A5298" s="3" t="n">
        <v>5297</v>
      </c>
      <c r="B5298" s="3" t="n">
        <v>5296</v>
      </c>
      <c r="C5298" s="3" t="n">
        <v>6</v>
      </c>
      <c r="D5298" s="3" t="n">
        <v>21</v>
      </c>
      <c r="E5298" s="3" t="n">
        <v>4</v>
      </c>
      <c r="F5298" s="24" t="n">
        <v>0</v>
      </c>
    </row>
    <row r="5299" customFormat="false" ht="15" hidden="false" customHeight="false" outlineLevel="0" collapsed="false">
      <c r="A5299" s="3" t="n">
        <v>5298</v>
      </c>
      <c r="B5299" s="3" t="n">
        <v>5297</v>
      </c>
      <c r="C5299" s="3" t="n">
        <v>6</v>
      </c>
      <c r="D5299" s="3" t="n">
        <v>21</v>
      </c>
      <c r="E5299" s="3" t="n">
        <v>5</v>
      </c>
      <c r="F5299" s="24" t="n">
        <v>0</v>
      </c>
    </row>
    <row r="5300" customFormat="false" ht="15" hidden="false" customHeight="false" outlineLevel="0" collapsed="false">
      <c r="A5300" s="3" t="n">
        <v>5299</v>
      </c>
      <c r="B5300" s="3" t="n">
        <v>5298</v>
      </c>
      <c r="C5300" s="3" t="n">
        <v>6</v>
      </c>
      <c r="D5300" s="3" t="n">
        <v>21</v>
      </c>
      <c r="E5300" s="3" t="n">
        <v>6</v>
      </c>
      <c r="F5300" s="24" t="n">
        <v>0</v>
      </c>
    </row>
    <row r="5301" customFormat="false" ht="15" hidden="false" customHeight="false" outlineLevel="0" collapsed="false">
      <c r="A5301" s="3" t="n">
        <v>5300</v>
      </c>
      <c r="B5301" s="3" t="n">
        <v>5299</v>
      </c>
      <c r="C5301" s="3" t="n">
        <v>6</v>
      </c>
      <c r="D5301" s="3" t="n">
        <v>21</v>
      </c>
      <c r="E5301" s="3" t="n">
        <v>7</v>
      </c>
      <c r="F5301" s="24" t="n">
        <v>0</v>
      </c>
    </row>
    <row r="5302" customFormat="false" ht="15" hidden="false" customHeight="false" outlineLevel="0" collapsed="false">
      <c r="A5302" s="3" t="n">
        <v>5301</v>
      </c>
      <c r="B5302" s="3" t="n">
        <v>5300</v>
      </c>
      <c r="C5302" s="3" t="n">
        <v>6</v>
      </c>
      <c r="D5302" s="3" t="n">
        <v>21</v>
      </c>
      <c r="E5302" s="3" t="n">
        <v>8</v>
      </c>
      <c r="F5302" s="24" t="n">
        <v>0</v>
      </c>
    </row>
    <row r="5303" customFormat="false" ht="15" hidden="false" customHeight="false" outlineLevel="0" collapsed="false">
      <c r="A5303" s="3" t="n">
        <v>5302</v>
      </c>
      <c r="B5303" s="3" t="n">
        <v>5301</v>
      </c>
      <c r="C5303" s="3" t="n">
        <v>6</v>
      </c>
      <c r="D5303" s="3" t="n">
        <v>21</v>
      </c>
      <c r="E5303" s="3" t="n">
        <v>9</v>
      </c>
      <c r="F5303" s="24" t="n">
        <v>0</v>
      </c>
    </row>
    <row r="5304" customFormat="false" ht="15" hidden="false" customHeight="false" outlineLevel="0" collapsed="false">
      <c r="A5304" s="3" t="n">
        <v>5303</v>
      </c>
      <c r="B5304" s="3" t="n">
        <v>5302</v>
      </c>
      <c r="C5304" s="3" t="n">
        <v>6</v>
      </c>
      <c r="D5304" s="3" t="n">
        <v>21</v>
      </c>
      <c r="E5304" s="3" t="n">
        <v>10</v>
      </c>
      <c r="F5304" s="24" t="n">
        <v>0</v>
      </c>
    </row>
    <row r="5305" customFormat="false" ht="15" hidden="false" customHeight="false" outlineLevel="0" collapsed="false">
      <c r="A5305" s="3" t="n">
        <v>5304</v>
      </c>
      <c r="B5305" s="3" t="n">
        <v>5303</v>
      </c>
      <c r="C5305" s="3" t="n">
        <v>6</v>
      </c>
      <c r="D5305" s="3" t="n">
        <v>21</v>
      </c>
      <c r="E5305" s="3" t="n">
        <v>11</v>
      </c>
      <c r="F5305" s="24" t="n">
        <v>0</v>
      </c>
    </row>
    <row r="5306" customFormat="false" ht="15" hidden="false" customHeight="false" outlineLevel="0" collapsed="false">
      <c r="A5306" s="3" t="n">
        <v>5305</v>
      </c>
      <c r="B5306" s="3" t="n">
        <v>5304</v>
      </c>
      <c r="C5306" s="3" t="n">
        <v>6</v>
      </c>
      <c r="D5306" s="3" t="n">
        <v>21</v>
      </c>
      <c r="E5306" s="3" t="n">
        <v>12</v>
      </c>
      <c r="F5306" s="24" t="n">
        <v>0</v>
      </c>
    </row>
    <row r="5307" customFormat="false" ht="15" hidden="false" customHeight="false" outlineLevel="0" collapsed="false">
      <c r="A5307" s="3" t="n">
        <v>5306</v>
      </c>
      <c r="B5307" s="3" t="n">
        <v>5305</v>
      </c>
      <c r="C5307" s="3" t="n">
        <v>6</v>
      </c>
      <c r="D5307" s="3" t="n">
        <v>21</v>
      </c>
      <c r="E5307" s="3" t="n">
        <v>13</v>
      </c>
      <c r="F5307" s="24" t="n">
        <v>1.54843783</v>
      </c>
    </row>
    <row r="5308" customFormat="false" ht="15" hidden="false" customHeight="false" outlineLevel="0" collapsed="false">
      <c r="A5308" s="3" t="n">
        <v>5307</v>
      </c>
      <c r="B5308" s="3" t="n">
        <v>5306</v>
      </c>
      <c r="C5308" s="3" t="n">
        <v>6</v>
      </c>
      <c r="D5308" s="3" t="n">
        <v>21</v>
      </c>
      <c r="E5308" s="3" t="n">
        <v>14</v>
      </c>
      <c r="F5308" s="24" t="n">
        <v>3.8004117</v>
      </c>
    </row>
    <row r="5309" customFormat="false" ht="15" hidden="false" customHeight="false" outlineLevel="0" collapsed="false">
      <c r="A5309" s="3" t="n">
        <v>5308</v>
      </c>
      <c r="B5309" s="3" t="n">
        <v>5307</v>
      </c>
      <c r="C5309" s="3" t="n">
        <v>6</v>
      </c>
      <c r="D5309" s="3" t="n">
        <v>21</v>
      </c>
      <c r="E5309" s="3" t="n">
        <v>15</v>
      </c>
      <c r="F5309" s="24" t="n">
        <v>2.47053838</v>
      </c>
    </row>
    <row r="5310" customFormat="false" ht="15" hidden="false" customHeight="false" outlineLevel="0" collapsed="false">
      <c r="A5310" s="3" t="n">
        <v>5309</v>
      </c>
      <c r="B5310" s="3" t="n">
        <v>5308</v>
      </c>
      <c r="C5310" s="3" t="n">
        <v>6</v>
      </c>
      <c r="D5310" s="3" t="n">
        <v>21</v>
      </c>
      <c r="E5310" s="3" t="n">
        <v>16</v>
      </c>
      <c r="F5310" s="24" t="n">
        <v>0.545234919</v>
      </c>
    </row>
    <row r="5311" customFormat="false" ht="15" hidden="false" customHeight="false" outlineLevel="0" collapsed="false">
      <c r="A5311" s="3" t="n">
        <v>5310</v>
      </c>
      <c r="B5311" s="3" t="n">
        <v>5309</v>
      </c>
      <c r="C5311" s="3" t="n">
        <v>6</v>
      </c>
      <c r="D5311" s="3" t="n">
        <v>21</v>
      </c>
      <c r="E5311" s="3" t="n">
        <v>17</v>
      </c>
      <c r="F5311" s="24" t="n">
        <v>0.0249438584</v>
      </c>
    </row>
    <row r="5312" customFormat="false" ht="15" hidden="false" customHeight="false" outlineLevel="0" collapsed="false">
      <c r="A5312" s="3" t="n">
        <v>5311</v>
      </c>
      <c r="B5312" s="3" t="n">
        <v>5310</v>
      </c>
      <c r="C5312" s="3" t="n">
        <v>6</v>
      </c>
      <c r="D5312" s="3" t="n">
        <v>21</v>
      </c>
      <c r="E5312" s="3" t="n">
        <v>18</v>
      </c>
      <c r="F5312" s="24" t="n">
        <v>0</v>
      </c>
    </row>
    <row r="5313" customFormat="false" ht="15" hidden="false" customHeight="false" outlineLevel="0" collapsed="false">
      <c r="A5313" s="3" t="n">
        <v>5312</v>
      </c>
      <c r="B5313" s="3" t="n">
        <v>5311</v>
      </c>
      <c r="C5313" s="3" t="n">
        <v>6</v>
      </c>
      <c r="D5313" s="3" t="n">
        <v>21</v>
      </c>
      <c r="E5313" s="3" t="n">
        <v>19</v>
      </c>
      <c r="F5313" s="24" t="n">
        <v>0</v>
      </c>
    </row>
    <row r="5314" customFormat="false" ht="15" hidden="false" customHeight="false" outlineLevel="0" collapsed="false">
      <c r="A5314" s="3" t="n">
        <v>5313</v>
      </c>
      <c r="B5314" s="3" t="n">
        <v>5312</v>
      </c>
      <c r="C5314" s="3" t="n">
        <v>6</v>
      </c>
      <c r="D5314" s="3" t="n">
        <v>21</v>
      </c>
      <c r="E5314" s="3" t="n">
        <v>20</v>
      </c>
      <c r="F5314" s="24" t="n">
        <v>0</v>
      </c>
    </row>
    <row r="5315" customFormat="false" ht="15" hidden="false" customHeight="false" outlineLevel="0" collapsed="false">
      <c r="A5315" s="3" t="n">
        <v>5314</v>
      </c>
      <c r="B5315" s="3" t="n">
        <v>5313</v>
      </c>
      <c r="C5315" s="3" t="n">
        <v>6</v>
      </c>
      <c r="D5315" s="3" t="n">
        <v>21</v>
      </c>
      <c r="E5315" s="3" t="n">
        <v>21</v>
      </c>
      <c r="F5315" s="24" t="n">
        <v>0</v>
      </c>
    </row>
    <row r="5316" customFormat="false" ht="15" hidden="false" customHeight="false" outlineLevel="0" collapsed="false">
      <c r="A5316" s="3" t="n">
        <v>5315</v>
      </c>
      <c r="B5316" s="3" t="n">
        <v>5314</v>
      </c>
      <c r="C5316" s="3" t="n">
        <v>6</v>
      </c>
      <c r="D5316" s="3" t="n">
        <v>21</v>
      </c>
      <c r="E5316" s="3" t="n">
        <v>22</v>
      </c>
      <c r="F5316" s="24" t="n">
        <v>0</v>
      </c>
    </row>
    <row r="5317" customFormat="false" ht="15" hidden="false" customHeight="false" outlineLevel="0" collapsed="false">
      <c r="A5317" s="3" t="n">
        <v>5316</v>
      </c>
      <c r="B5317" s="3" t="n">
        <v>5315</v>
      </c>
      <c r="C5317" s="3" t="n">
        <v>6</v>
      </c>
      <c r="D5317" s="3" t="n">
        <v>21</v>
      </c>
      <c r="E5317" s="3" t="n">
        <v>23</v>
      </c>
      <c r="F5317" s="24" t="n">
        <v>0</v>
      </c>
    </row>
    <row r="5318" customFormat="false" ht="15" hidden="false" customHeight="false" outlineLevel="0" collapsed="false">
      <c r="A5318" s="3" t="n">
        <v>5317</v>
      </c>
      <c r="B5318" s="3" t="n">
        <v>5316</v>
      </c>
      <c r="C5318" s="3" t="n">
        <v>6</v>
      </c>
      <c r="D5318" s="3" t="n">
        <v>21</v>
      </c>
      <c r="E5318" s="3" t="n">
        <v>24</v>
      </c>
      <c r="F5318" s="24" t="n">
        <v>0</v>
      </c>
    </row>
    <row r="5319" customFormat="false" ht="15" hidden="false" customHeight="false" outlineLevel="0" collapsed="false">
      <c r="A5319" s="3" t="n">
        <v>5318</v>
      </c>
      <c r="B5319" s="3" t="n">
        <v>5317</v>
      </c>
      <c r="C5319" s="3" t="n">
        <v>6</v>
      </c>
      <c r="D5319" s="3" t="n">
        <v>21</v>
      </c>
      <c r="E5319" s="3" t="n">
        <v>25</v>
      </c>
      <c r="F5319" s="24" t="n">
        <v>0</v>
      </c>
    </row>
    <row r="5320" customFormat="false" ht="15" hidden="false" customHeight="false" outlineLevel="0" collapsed="false">
      <c r="A5320" s="3" t="n">
        <v>5319</v>
      </c>
      <c r="B5320" s="3" t="n">
        <v>5318</v>
      </c>
      <c r="C5320" s="3" t="n">
        <v>6</v>
      </c>
      <c r="D5320" s="3" t="n">
        <v>21</v>
      </c>
      <c r="E5320" s="3" t="n">
        <v>26</v>
      </c>
      <c r="F5320" s="24" t="n">
        <v>0</v>
      </c>
    </row>
    <row r="5321" customFormat="false" ht="15" hidden="false" customHeight="false" outlineLevel="0" collapsed="false">
      <c r="A5321" s="3" t="n">
        <v>5320</v>
      </c>
      <c r="B5321" s="3" t="n">
        <v>5319</v>
      </c>
      <c r="C5321" s="3" t="n">
        <v>6</v>
      </c>
      <c r="D5321" s="3" t="n">
        <v>21</v>
      </c>
      <c r="E5321" s="3" t="n">
        <v>27</v>
      </c>
      <c r="F5321" s="24" t="n">
        <v>0</v>
      </c>
    </row>
    <row r="5322" customFormat="false" ht="15" hidden="false" customHeight="false" outlineLevel="0" collapsed="false">
      <c r="A5322" s="3" t="n">
        <v>5321</v>
      </c>
      <c r="B5322" s="3" t="n">
        <v>5320</v>
      </c>
      <c r="C5322" s="3" t="n">
        <v>6</v>
      </c>
      <c r="D5322" s="3" t="n">
        <v>22</v>
      </c>
      <c r="E5322" s="3" t="n">
        <v>0</v>
      </c>
      <c r="F5322" s="24" t="n">
        <v>0.185572863</v>
      </c>
    </row>
    <row r="5323" customFormat="false" ht="15" hidden="false" customHeight="false" outlineLevel="0" collapsed="false">
      <c r="A5323" s="3" t="n">
        <v>5322</v>
      </c>
      <c r="B5323" s="3" t="n">
        <v>5321</v>
      </c>
      <c r="C5323" s="3" t="n">
        <v>6</v>
      </c>
      <c r="D5323" s="3" t="n">
        <v>22</v>
      </c>
      <c r="E5323" s="3" t="n">
        <v>1</v>
      </c>
      <c r="F5323" s="24" t="n">
        <v>0</v>
      </c>
    </row>
    <row r="5324" customFormat="false" ht="15" hidden="false" customHeight="false" outlineLevel="0" collapsed="false">
      <c r="A5324" s="3" t="n">
        <v>5323</v>
      </c>
      <c r="B5324" s="3" t="n">
        <v>5322</v>
      </c>
      <c r="C5324" s="3" t="n">
        <v>6</v>
      </c>
      <c r="D5324" s="3" t="n">
        <v>22</v>
      </c>
      <c r="E5324" s="3" t="n">
        <v>2</v>
      </c>
      <c r="F5324" s="24" t="n">
        <v>0</v>
      </c>
    </row>
    <row r="5325" customFormat="false" ht="15" hidden="false" customHeight="false" outlineLevel="0" collapsed="false">
      <c r="A5325" s="3" t="n">
        <v>5324</v>
      </c>
      <c r="B5325" s="3" t="n">
        <v>5323</v>
      </c>
      <c r="C5325" s="3" t="n">
        <v>6</v>
      </c>
      <c r="D5325" s="3" t="n">
        <v>22</v>
      </c>
      <c r="E5325" s="3" t="n">
        <v>3</v>
      </c>
      <c r="F5325" s="24" t="n">
        <v>0</v>
      </c>
    </row>
    <row r="5326" customFormat="false" ht="15" hidden="false" customHeight="false" outlineLevel="0" collapsed="false">
      <c r="A5326" s="3" t="n">
        <v>5325</v>
      </c>
      <c r="B5326" s="3" t="n">
        <v>5324</v>
      </c>
      <c r="C5326" s="3" t="n">
        <v>6</v>
      </c>
      <c r="D5326" s="3" t="n">
        <v>22</v>
      </c>
      <c r="E5326" s="3" t="n">
        <v>4</v>
      </c>
      <c r="F5326" s="24" t="n">
        <v>0</v>
      </c>
    </row>
    <row r="5327" customFormat="false" ht="15" hidden="false" customHeight="false" outlineLevel="0" collapsed="false">
      <c r="A5327" s="3" t="n">
        <v>5326</v>
      </c>
      <c r="B5327" s="3" t="n">
        <v>5325</v>
      </c>
      <c r="C5327" s="3" t="n">
        <v>6</v>
      </c>
      <c r="D5327" s="3" t="n">
        <v>22</v>
      </c>
      <c r="E5327" s="3" t="n">
        <v>5</v>
      </c>
      <c r="F5327" s="24" t="n">
        <v>0</v>
      </c>
    </row>
    <row r="5328" customFormat="false" ht="15" hidden="false" customHeight="false" outlineLevel="0" collapsed="false">
      <c r="A5328" s="3" t="n">
        <v>5327</v>
      </c>
      <c r="B5328" s="3" t="n">
        <v>5326</v>
      </c>
      <c r="C5328" s="3" t="n">
        <v>6</v>
      </c>
      <c r="D5328" s="3" t="n">
        <v>22</v>
      </c>
      <c r="E5328" s="3" t="n">
        <v>6</v>
      </c>
      <c r="F5328" s="24" t="n">
        <v>0</v>
      </c>
    </row>
    <row r="5329" customFormat="false" ht="15" hidden="false" customHeight="false" outlineLevel="0" collapsed="false">
      <c r="A5329" s="3" t="n">
        <v>5328</v>
      </c>
      <c r="B5329" s="3" t="n">
        <v>5327</v>
      </c>
      <c r="C5329" s="3" t="n">
        <v>6</v>
      </c>
      <c r="D5329" s="3" t="n">
        <v>22</v>
      </c>
      <c r="E5329" s="3" t="n">
        <v>7</v>
      </c>
      <c r="F5329" s="24" t="n">
        <v>0</v>
      </c>
    </row>
    <row r="5330" customFormat="false" ht="15" hidden="false" customHeight="false" outlineLevel="0" collapsed="false">
      <c r="A5330" s="3" t="n">
        <v>5329</v>
      </c>
      <c r="B5330" s="3" t="n">
        <v>5328</v>
      </c>
      <c r="C5330" s="3" t="n">
        <v>6</v>
      </c>
      <c r="D5330" s="3" t="n">
        <v>22</v>
      </c>
      <c r="E5330" s="3" t="n">
        <v>8</v>
      </c>
      <c r="F5330" s="24" t="n">
        <v>0</v>
      </c>
    </row>
    <row r="5331" customFormat="false" ht="15" hidden="false" customHeight="false" outlineLevel="0" collapsed="false">
      <c r="A5331" s="3" t="n">
        <v>5330</v>
      </c>
      <c r="B5331" s="3" t="n">
        <v>5329</v>
      </c>
      <c r="C5331" s="3" t="n">
        <v>6</v>
      </c>
      <c r="D5331" s="3" t="n">
        <v>22</v>
      </c>
      <c r="E5331" s="3" t="n">
        <v>9</v>
      </c>
      <c r="F5331" s="24" t="n">
        <v>0</v>
      </c>
    </row>
    <row r="5332" customFormat="false" ht="15" hidden="false" customHeight="false" outlineLevel="0" collapsed="false">
      <c r="A5332" s="3" t="n">
        <v>5331</v>
      </c>
      <c r="B5332" s="3" t="n">
        <v>5330</v>
      </c>
      <c r="C5332" s="3" t="n">
        <v>6</v>
      </c>
      <c r="D5332" s="3" t="n">
        <v>22</v>
      </c>
      <c r="E5332" s="3" t="n">
        <v>10</v>
      </c>
      <c r="F5332" s="24" t="n">
        <v>0</v>
      </c>
    </row>
    <row r="5333" customFormat="false" ht="15" hidden="false" customHeight="false" outlineLevel="0" collapsed="false">
      <c r="A5333" s="3" t="n">
        <v>5332</v>
      </c>
      <c r="B5333" s="3" t="n">
        <v>5331</v>
      </c>
      <c r="C5333" s="3" t="n">
        <v>6</v>
      </c>
      <c r="D5333" s="3" t="n">
        <v>22</v>
      </c>
      <c r="E5333" s="3" t="n">
        <v>11</v>
      </c>
      <c r="F5333" s="24" t="n">
        <v>0</v>
      </c>
    </row>
    <row r="5334" customFormat="false" ht="15" hidden="false" customHeight="false" outlineLevel="0" collapsed="false">
      <c r="A5334" s="3" t="n">
        <v>5333</v>
      </c>
      <c r="B5334" s="3" t="n">
        <v>5332</v>
      </c>
      <c r="C5334" s="3" t="n">
        <v>6</v>
      </c>
      <c r="D5334" s="3" t="n">
        <v>22</v>
      </c>
      <c r="E5334" s="3" t="n">
        <v>12</v>
      </c>
      <c r="F5334" s="24" t="n">
        <v>0.357689142</v>
      </c>
    </row>
    <row r="5335" customFormat="false" ht="15" hidden="false" customHeight="false" outlineLevel="0" collapsed="false">
      <c r="A5335" s="3" t="n">
        <v>5334</v>
      </c>
      <c r="B5335" s="3" t="n">
        <v>5333</v>
      </c>
      <c r="C5335" s="3" t="n">
        <v>6</v>
      </c>
      <c r="D5335" s="3" t="n">
        <v>22</v>
      </c>
      <c r="E5335" s="3" t="n">
        <v>13</v>
      </c>
      <c r="F5335" s="24" t="n">
        <v>3.01165938</v>
      </c>
    </row>
    <row r="5336" customFormat="false" ht="15" hidden="false" customHeight="false" outlineLevel="0" collapsed="false">
      <c r="A5336" s="3" t="n">
        <v>5335</v>
      </c>
      <c r="B5336" s="3" t="n">
        <v>5334</v>
      </c>
      <c r="C5336" s="3" t="n">
        <v>6</v>
      </c>
      <c r="D5336" s="3" t="n">
        <v>22</v>
      </c>
      <c r="E5336" s="3" t="n">
        <v>14</v>
      </c>
      <c r="F5336" s="24" t="n">
        <v>3.03094506</v>
      </c>
    </row>
    <row r="5337" customFormat="false" ht="15" hidden="false" customHeight="false" outlineLevel="0" collapsed="false">
      <c r="A5337" s="3" t="n">
        <v>5336</v>
      </c>
      <c r="B5337" s="3" t="n">
        <v>5335</v>
      </c>
      <c r="C5337" s="3" t="n">
        <v>6</v>
      </c>
      <c r="D5337" s="3" t="n">
        <v>22</v>
      </c>
      <c r="E5337" s="3" t="n">
        <v>15</v>
      </c>
      <c r="F5337" s="24" t="n">
        <v>0.925818205</v>
      </c>
    </row>
    <row r="5338" customFormat="false" ht="15" hidden="false" customHeight="false" outlineLevel="0" collapsed="false">
      <c r="A5338" s="3" t="n">
        <v>5337</v>
      </c>
      <c r="B5338" s="3" t="n">
        <v>5336</v>
      </c>
      <c r="C5338" s="3" t="n">
        <v>6</v>
      </c>
      <c r="D5338" s="3" t="n">
        <v>22</v>
      </c>
      <c r="E5338" s="3" t="n">
        <v>16</v>
      </c>
      <c r="F5338" s="24" t="n">
        <v>0.0660331845</v>
      </c>
    </row>
    <row r="5339" customFormat="false" ht="15" hidden="false" customHeight="false" outlineLevel="0" collapsed="false">
      <c r="A5339" s="3" t="n">
        <v>5338</v>
      </c>
      <c r="B5339" s="3" t="n">
        <v>5337</v>
      </c>
      <c r="C5339" s="3" t="n">
        <v>6</v>
      </c>
      <c r="D5339" s="3" t="n">
        <v>22</v>
      </c>
      <c r="E5339" s="3" t="n">
        <v>17</v>
      </c>
      <c r="F5339" s="24" t="n">
        <v>0</v>
      </c>
    </row>
    <row r="5340" customFormat="false" ht="15" hidden="false" customHeight="false" outlineLevel="0" collapsed="false">
      <c r="A5340" s="3" t="n">
        <v>5339</v>
      </c>
      <c r="B5340" s="3" t="n">
        <v>5338</v>
      </c>
      <c r="C5340" s="3" t="n">
        <v>6</v>
      </c>
      <c r="D5340" s="3" t="n">
        <v>22</v>
      </c>
      <c r="E5340" s="3" t="n">
        <v>18</v>
      </c>
      <c r="F5340" s="24" t="n">
        <v>0</v>
      </c>
    </row>
    <row r="5341" customFormat="false" ht="15" hidden="false" customHeight="false" outlineLevel="0" collapsed="false">
      <c r="A5341" s="3" t="n">
        <v>5340</v>
      </c>
      <c r="B5341" s="3" t="n">
        <v>5339</v>
      </c>
      <c r="C5341" s="3" t="n">
        <v>6</v>
      </c>
      <c r="D5341" s="3" t="n">
        <v>22</v>
      </c>
      <c r="E5341" s="3" t="n">
        <v>19</v>
      </c>
      <c r="F5341" s="24" t="n">
        <v>0</v>
      </c>
    </row>
    <row r="5342" customFormat="false" ht="15" hidden="false" customHeight="false" outlineLevel="0" collapsed="false">
      <c r="A5342" s="3" t="n">
        <v>5341</v>
      </c>
      <c r="B5342" s="3" t="n">
        <v>5340</v>
      </c>
      <c r="C5342" s="3" t="n">
        <v>6</v>
      </c>
      <c r="D5342" s="3" t="n">
        <v>22</v>
      </c>
      <c r="E5342" s="3" t="n">
        <v>20</v>
      </c>
      <c r="F5342" s="24" t="n">
        <v>0</v>
      </c>
    </row>
    <row r="5343" customFormat="false" ht="15" hidden="false" customHeight="false" outlineLevel="0" collapsed="false">
      <c r="A5343" s="3" t="n">
        <v>5342</v>
      </c>
      <c r="B5343" s="3" t="n">
        <v>5341</v>
      </c>
      <c r="C5343" s="3" t="n">
        <v>6</v>
      </c>
      <c r="D5343" s="3" t="n">
        <v>22</v>
      </c>
      <c r="E5343" s="3" t="n">
        <v>21</v>
      </c>
      <c r="F5343" s="24" t="n">
        <v>0</v>
      </c>
    </row>
    <row r="5344" customFormat="false" ht="15" hidden="false" customHeight="false" outlineLevel="0" collapsed="false">
      <c r="A5344" s="3" t="n">
        <v>5343</v>
      </c>
      <c r="B5344" s="3" t="n">
        <v>5342</v>
      </c>
      <c r="C5344" s="3" t="n">
        <v>6</v>
      </c>
      <c r="D5344" s="3" t="n">
        <v>22</v>
      </c>
      <c r="E5344" s="3" t="n">
        <v>22</v>
      </c>
      <c r="F5344" s="24" t="n">
        <v>0</v>
      </c>
    </row>
    <row r="5345" customFormat="false" ht="15" hidden="false" customHeight="false" outlineLevel="0" collapsed="false">
      <c r="A5345" s="3" t="n">
        <v>5344</v>
      </c>
      <c r="B5345" s="3" t="n">
        <v>5343</v>
      </c>
      <c r="C5345" s="3" t="n">
        <v>6</v>
      </c>
      <c r="D5345" s="3" t="n">
        <v>22</v>
      </c>
      <c r="E5345" s="3" t="n">
        <v>23</v>
      </c>
      <c r="F5345" s="24" t="n">
        <v>0</v>
      </c>
    </row>
    <row r="5346" customFormat="false" ht="15" hidden="false" customHeight="false" outlineLevel="0" collapsed="false">
      <c r="A5346" s="3" t="n">
        <v>5345</v>
      </c>
      <c r="B5346" s="3" t="n">
        <v>5344</v>
      </c>
      <c r="C5346" s="3" t="n">
        <v>6</v>
      </c>
      <c r="D5346" s="3" t="n">
        <v>22</v>
      </c>
      <c r="E5346" s="3" t="n">
        <v>24</v>
      </c>
      <c r="F5346" s="24" t="n">
        <v>0</v>
      </c>
    </row>
    <row r="5347" customFormat="false" ht="15" hidden="false" customHeight="false" outlineLevel="0" collapsed="false">
      <c r="A5347" s="3" t="n">
        <v>5346</v>
      </c>
      <c r="B5347" s="3" t="n">
        <v>5345</v>
      </c>
      <c r="C5347" s="3" t="n">
        <v>6</v>
      </c>
      <c r="D5347" s="3" t="n">
        <v>22</v>
      </c>
      <c r="E5347" s="3" t="n">
        <v>25</v>
      </c>
      <c r="F5347" s="24" t="n">
        <v>0</v>
      </c>
    </row>
    <row r="5348" customFormat="false" ht="15" hidden="false" customHeight="false" outlineLevel="0" collapsed="false">
      <c r="A5348" s="3" t="n">
        <v>5347</v>
      </c>
      <c r="B5348" s="3" t="n">
        <v>5346</v>
      </c>
      <c r="C5348" s="3" t="n">
        <v>6</v>
      </c>
      <c r="D5348" s="3" t="n">
        <v>22</v>
      </c>
      <c r="E5348" s="3" t="n">
        <v>26</v>
      </c>
      <c r="F5348" s="24" t="n">
        <v>0</v>
      </c>
    </row>
    <row r="5349" customFormat="false" ht="15" hidden="false" customHeight="false" outlineLevel="0" collapsed="false">
      <c r="A5349" s="3" t="n">
        <v>5348</v>
      </c>
      <c r="B5349" s="3" t="n">
        <v>5347</v>
      </c>
      <c r="C5349" s="3" t="n">
        <v>6</v>
      </c>
      <c r="D5349" s="3" t="n">
        <v>22</v>
      </c>
      <c r="E5349" s="3" t="n">
        <v>27</v>
      </c>
      <c r="F5349" s="24" t="n">
        <v>0</v>
      </c>
    </row>
    <row r="5350" customFormat="false" ht="15" hidden="false" customHeight="false" outlineLevel="0" collapsed="false">
      <c r="A5350" s="3" t="n">
        <v>5349</v>
      </c>
      <c r="B5350" s="3" t="n">
        <v>5348</v>
      </c>
      <c r="C5350" s="3" t="n">
        <v>6</v>
      </c>
      <c r="D5350" s="3" t="n">
        <v>23</v>
      </c>
      <c r="E5350" s="3" t="n">
        <v>0</v>
      </c>
      <c r="F5350" s="24" t="n">
        <v>0.185572863</v>
      </c>
    </row>
    <row r="5351" customFormat="false" ht="15" hidden="false" customHeight="false" outlineLevel="0" collapsed="false">
      <c r="A5351" s="3" t="n">
        <v>5350</v>
      </c>
      <c r="B5351" s="3" t="n">
        <v>5349</v>
      </c>
      <c r="C5351" s="3" t="n">
        <v>6</v>
      </c>
      <c r="D5351" s="3" t="n">
        <v>23</v>
      </c>
      <c r="E5351" s="3" t="n">
        <v>1</v>
      </c>
      <c r="F5351" s="24" t="n">
        <v>0</v>
      </c>
    </row>
    <row r="5352" customFormat="false" ht="15" hidden="false" customHeight="false" outlineLevel="0" collapsed="false">
      <c r="A5352" s="3" t="n">
        <v>5351</v>
      </c>
      <c r="B5352" s="3" t="n">
        <v>5350</v>
      </c>
      <c r="C5352" s="3" t="n">
        <v>6</v>
      </c>
      <c r="D5352" s="3" t="n">
        <v>23</v>
      </c>
      <c r="E5352" s="3" t="n">
        <v>2</v>
      </c>
      <c r="F5352" s="24" t="n">
        <v>0</v>
      </c>
    </row>
    <row r="5353" customFormat="false" ht="15" hidden="false" customHeight="false" outlineLevel="0" collapsed="false">
      <c r="A5353" s="3" t="n">
        <v>5352</v>
      </c>
      <c r="B5353" s="3" t="n">
        <v>5351</v>
      </c>
      <c r="C5353" s="3" t="n">
        <v>6</v>
      </c>
      <c r="D5353" s="3" t="n">
        <v>23</v>
      </c>
      <c r="E5353" s="3" t="n">
        <v>3</v>
      </c>
      <c r="F5353" s="24" t="n">
        <v>0</v>
      </c>
    </row>
    <row r="5354" customFormat="false" ht="15" hidden="false" customHeight="false" outlineLevel="0" collapsed="false">
      <c r="A5354" s="3" t="n">
        <v>5353</v>
      </c>
      <c r="B5354" s="3" t="n">
        <v>5352</v>
      </c>
      <c r="C5354" s="3" t="n">
        <v>6</v>
      </c>
      <c r="D5354" s="3" t="n">
        <v>23</v>
      </c>
      <c r="E5354" s="3" t="n">
        <v>4</v>
      </c>
      <c r="F5354" s="24" t="n">
        <v>0</v>
      </c>
    </row>
    <row r="5355" customFormat="false" ht="15" hidden="false" customHeight="false" outlineLevel="0" collapsed="false">
      <c r="A5355" s="3" t="n">
        <v>5354</v>
      </c>
      <c r="B5355" s="3" t="n">
        <v>5353</v>
      </c>
      <c r="C5355" s="3" t="n">
        <v>6</v>
      </c>
      <c r="D5355" s="3" t="n">
        <v>23</v>
      </c>
      <c r="E5355" s="3" t="n">
        <v>5</v>
      </c>
      <c r="F5355" s="24" t="n">
        <v>0</v>
      </c>
    </row>
    <row r="5356" customFormat="false" ht="15" hidden="false" customHeight="false" outlineLevel="0" collapsed="false">
      <c r="A5356" s="3" t="n">
        <v>5355</v>
      </c>
      <c r="B5356" s="3" t="n">
        <v>5354</v>
      </c>
      <c r="C5356" s="3" t="n">
        <v>6</v>
      </c>
      <c r="D5356" s="3" t="n">
        <v>23</v>
      </c>
      <c r="E5356" s="3" t="n">
        <v>6</v>
      </c>
      <c r="F5356" s="24" t="n">
        <v>0</v>
      </c>
    </row>
    <row r="5357" customFormat="false" ht="15" hidden="false" customHeight="false" outlineLevel="0" collapsed="false">
      <c r="A5357" s="3" t="n">
        <v>5356</v>
      </c>
      <c r="B5357" s="3" t="n">
        <v>5355</v>
      </c>
      <c r="C5357" s="3" t="n">
        <v>6</v>
      </c>
      <c r="D5357" s="3" t="n">
        <v>23</v>
      </c>
      <c r="E5357" s="3" t="n">
        <v>7</v>
      </c>
      <c r="F5357" s="24" t="n">
        <v>0</v>
      </c>
    </row>
    <row r="5358" customFormat="false" ht="15" hidden="false" customHeight="false" outlineLevel="0" collapsed="false">
      <c r="A5358" s="3" t="n">
        <v>5357</v>
      </c>
      <c r="B5358" s="3" t="n">
        <v>5356</v>
      </c>
      <c r="C5358" s="3" t="n">
        <v>6</v>
      </c>
      <c r="D5358" s="3" t="n">
        <v>23</v>
      </c>
      <c r="E5358" s="3" t="n">
        <v>8</v>
      </c>
      <c r="F5358" s="24" t="n">
        <v>0</v>
      </c>
    </row>
    <row r="5359" customFormat="false" ht="15" hidden="false" customHeight="false" outlineLevel="0" collapsed="false">
      <c r="A5359" s="3" t="n">
        <v>5358</v>
      </c>
      <c r="B5359" s="3" t="n">
        <v>5357</v>
      </c>
      <c r="C5359" s="3" t="n">
        <v>6</v>
      </c>
      <c r="D5359" s="3" t="n">
        <v>23</v>
      </c>
      <c r="E5359" s="3" t="n">
        <v>9</v>
      </c>
      <c r="F5359" s="24" t="n">
        <v>0</v>
      </c>
    </row>
    <row r="5360" customFormat="false" ht="15" hidden="false" customHeight="false" outlineLevel="0" collapsed="false">
      <c r="A5360" s="3" t="n">
        <v>5359</v>
      </c>
      <c r="B5360" s="3" t="n">
        <v>5358</v>
      </c>
      <c r="C5360" s="3" t="n">
        <v>6</v>
      </c>
      <c r="D5360" s="3" t="n">
        <v>23</v>
      </c>
      <c r="E5360" s="3" t="n">
        <v>10</v>
      </c>
      <c r="F5360" s="24" t="n">
        <v>0</v>
      </c>
    </row>
    <row r="5361" customFormat="false" ht="15" hidden="false" customHeight="false" outlineLevel="0" collapsed="false">
      <c r="A5361" s="3" t="n">
        <v>5360</v>
      </c>
      <c r="B5361" s="3" t="n">
        <v>5359</v>
      </c>
      <c r="C5361" s="3" t="n">
        <v>6</v>
      </c>
      <c r="D5361" s="3" t="n">
        <v>23</v>
      </c>
      <c r="E5361" s="3" t="n">
        <v>11</v>
      </c>
      <c r="F5361" s="24" t="n">
        <v>0</v>
      </c>
    </row>
    <row r="5362" customFormat="false" ht="15" hidden="false" customHeight="false" outlineLevel="0" collapsed="false">
      <c r="A5362" s="3" t="n">
        <v>5361</v>
      </c>
      <c r="B5362" s="3" t="n">
        <v>5360</v>
      </c>
      <c r="C5362" s="3" t="n">
        <v>6</v>
      </c>
      <c r="D5362" s="3" t="n">
        <v>23</v>
      </c>
      <c r="E5362" s="3" t="n">
        <v>12</v>
      </c>
      <c r="F5362" s="24" t="n">
        <v>1.66083384</v>
      </c>
    </row>
    <row r="5363" customFormat="false" ht="15" hidden="false" customHeight="false" outlineLevel="0" collapsed="false">
      <c r="A5363" s="3" t="n">
        <v>5362</v>
      </c>
      <c r="B5363" s="3" t="n">
        <v>5361</v>
      </c>
      <c r="C5363" s="3" t="n">
        <v>6</v>
      </c>
      <c r="D5363" s="3" t="n">
        <v>23</v>
      </c>
      <c r="E5363" s="3" t="n">
        <v>13</v>
      </c>
      <c r="F5363" s="24" t="n">
        <v>2.99551249</v>
      </c>
    </row>
    <row r="5364" customFormat="false" ht="15" hidden="false" customHeight="false" outlineLevel="0" collapsed="false">
      <c r="A5364" s="3" t="n">
        <v>5363</v>
      </c>
      <c r="B5364" s="3" t="n">
        <v>5362</v>
      </c>
      <c r="C5364" s="3" t="n">
        <v>6</v>
      </c>
      <c r="D5364" s="3" t="n">
        <v>23</v>
      </c>
      <c r="E5364" s="3" t="n">
        <v>14</v>
      </c>
      <c r="F5364" s="24" t="n">
        <v>1.96242511</v>
      </c>
    </row>
    <row r="5365" customFormat="false" ht="15" hidden="false" customHeight="false" outlineLevel="0" collapsed="false">
      <c r="A5365" s="3" t="n">
        <v>5364</v>
      </c>
      <c r="B5365" s="3" t="n">
        <v>5363</v>
      </c>
      <c r="C5365" s="3" t="n">
        <v>6</v>
      </c>
      <c r="D5365" s="3" t="n">
        <v>23</v>
      </c>
      <c r="E5365" s="3" t="n">
        <v>15</v>
      </c>
      <c r="F5365" s="24" t="n">
        <v>0.353501201</v>
      </c>
    </row>
    <row r="5366" customFormat="false" ht="15" hidden="false" customHeight="false" outlineLevel="0" collapsed="false">
      <c r="A5366" s="3" t="n">
        <v>5365</v>
      </c>
      <c r="B5366" s="3" t="n">
        <v>5364</v>
      </c>
      <c r="C5366" s="3" t="n">
        <v>6</v>
      </c>
      <c r="D5366" s="3" t="n">
        <v>23</v>
      </c>
      <c r="E5366" s="3" t="n">
        <v>16</v>
      </c>
      <c r="F5366" s="24" t="n">
        <v>0</v>
      </c>
    </row>
    <row r="5367" customFormat="false" ht="15" hidden="false" customHeight="false" outlineLevel="0" collapsed="false">
      <c r="A5367" s="3" t="n">
        <v>5366</v>
      </c>
      <c r="B5367" s="3" t="n">
        <v>5365</v>
      </c>
      <c r="C5367" s="3" t="n">
        <v>6</v>
      </c>
      <c r="D5367" s="3" t="n">
        <v>23</v>
      </c>
      <c r="E5367" s="3" t="n">
        <v>17</v>
      </c>
      <c r="F5367" s="24" t="n">
        <v>0</v>
      </c>
    </row>
    <row r="5368" customFormat="false" ht="15" hidden="false" customHeight="false" outlineLevel="0" collapsed="false">
      <c r="A5368" s="3" t="n">
        <v>5367</v>
      </c>
      <c r="B5368" s="3" t="n">
        <v>5366</v>
      </c>
      <c r="C5368" s="3" t="n">
        <v>6</v>
      </c>
      <c r="D5368" s="3" t="n">
        <v>23</v>
      </c>
      <c r="E5368" s="3" t="n">
        <v>18</v>
      </c>
      <c r="F5368" s="24" t="n">
        <v>0</v>
      </c>
    </row>
    <row r="5369" customFormat="false" ht="15" hidden="false" customHeight="false" outlineLevel="0" collapsed="false">
      <c r="A5369" s="3" t="n">
        <v>5368</v>
      </c>
      <c r="B5369" s="3" t="n">
        <v>5367</v>
      </c>
      <c r="C5369" s="3" t="n">
        <v>6</v>
      </c>
      <c r="D5369" s="3" t="n">
        <v>23</v>
      </c>
      <c r="E5369" s="3" t="n">
        <v>19</v>
      </c>
      <c r="F5369" s="24" t="n">
        <v>0</v>
      </c>
    </row>
    <row r="5370" customFormat="false" ht="15" hidden="false" customHeight="false" outlineLevel="0" collapsed="false">
      <c r="A5370" s="3" t="n">
        <v>5369</v>
      </c>
      <c r="B5370" s="3" t="n">
        <v>5368</v>
      </c>
      <c r="C5370" s="3" t="n">
        <v>6</v>
      </c>
      <c r="D5370" s="3" t="n">
        <v>23</v>
      </c>
      <c r="E5370" s="3" t="n">
        <v>20</v>
      </c>
      <c r="F5370" s="24" t="n">
        <v>0</v>
      </c>
    </row>
    <row r="5371" customFormat="false" ht="15" hidden="false" customHeight="false" outlineLevel="0" collapsed="false">
      <c r="A5371" s="3" t="n">
        <v>5370</v>
      </c>
      <c r="B5371" s="3" t="n">
        <v>5369</v>
      </c>
      <c r="C5371" s="3" t="n">
        <v>6</v>
      </c>
      <c r="D5371" s="3" t="n">
        <v>23</v>
      </c>
      <c r="E5371" s="3" t="n">
        <v>21</v>
      </c>
      <c r="F5371" s="24" t="n">
        <v>0</v>
      </c>
    </row>
    <row r="5372" customFormat="false" ht="15" hidden="false" customHeight="false" outlineLevel="0" collapsed="false">
      <c r="A5372" s="3" t="n">
        <v>5371</v>
      </c>
      <c r="B5372" s="3" t="n">
        <v>5370</v>
      </c>
      <c r="C5372" s="3" t="n">
        <v>6</v>
      </c>
      <c r="D5372" s="3" t="n">
        <v>23</v>
      </c>
      <c r="E5372" s="3" t="n">
        <v>22</v>
      </c>
      <c r="F5372" s="24" t="n">
        <v>0</v>
      </c>
    </row>
    <row r="5373" customFormat="false" ht="15" hidden="false" customHeight="false" outlineLevel="0" collapsed="false">
      <c r="A5373" s="3" t="n">
        <v>5372</v>
      </c>
      <c r="B5373" s="3" t="n">
        <v>5371</v>
      </c>
      <c r="C5373" s="3" t="n">
        <v>6</v>
      </c>
      <c r="D5373" s="3" t="n">
        <v>23</v>
      </c>
      <c r="E5373" s="3" t="n">
        <v>23</v>
      </c>
      <c r="F5373" s="24" t="n">
        <v>0</v>
      </c>
    </row>
    <row r="5374" customFormat="false" ht="15" hidden="false" customHeight="false" outlineLevel="0" collapsed="false">
      <c r="A5374" s="3" t="n">
        <v>5373</v>
      </c>
      <c r="B5374" s="3" t="n">
        <v>5372</v>
      </c>
      <c r="C5374" s="3" t="n">
        <v>6</v>
      </c>
      <c r="D5374" s="3" t="n">
        <v>23</v>
      </c>
      <c r="E5374" s="3" t="n">
        <v>24</v>
      </c>
      <c r="F5374" s="24" t="n">
        <v>0</v>
      </c>
    </row>
    <row r="5375" customFormat="false" ht="15" hidden="false" customHeight="false" outlineLevel="0" collapsed="false">
      <c r="A5375" s="3" t="n">
        <v>5374</v>
      </c>
      <c r="B5375" s="3" t="n">
        <v>5373</v>
      </c>
      <c r="C5375" s="3" t="n">
        <v>6</v>
      </c>
      <c r="D5375" s="3" t="n">
        <v>23</v>
      </c>
      <c r="E5375" s="3" t="n">
        <v>25</v>
      </c>
      <c r="F5375" s="24" t="n">
        <v>0</v>
      </c>
    </row>
    <row r="5376" customFormat="false" ht="15" hidden="false" customHeight="false" outlineLevel="0" collapsed="false">
      <c r="A5376" s="3" t="n">
        <v>5375</v>
      </c>
      <c r="B5376" s="3" t="n">
        <v>5374</v>
      </c>
      <c r="C5376" s="3" t="n">
        <v>6</v>
      </c>
      <c r="D5376" s="3" t="n">
        <v>23</v>
      </c>
      <c r="E5376" s="3" t="n">
        <v>26</v>
      </c>
      <c r="F5376" s="24" t="n">
        <v>0</v>
      </c>
    </row>
    <row r="5377" customFormat="false" ht="15" hidden="false" customHeight="false" outlineLevel="0" collapsed="false">
      <c r="A5377" s="3" t="n">
        <v>5376</v>
      </c>
      <c r="B5377" s="3" t="n">
        <v>5375</v>
      </c>
      <c r="C5377" s="3" t="n">
        <v>6</v>
      </c>
      <c r="D5377" s="3" t="n">
        <v>23</v>
      </c>
      <c r="E5377" s="3" t="n">
        <v>27</v>
      </c>
      <c r="F5377" s="24" t="n">
        <v>0</v>
      </c>
    </row>
    <row r="5378" customFormat="false" ht="15" hidden="false" customHeight="false" outlineLevel="0" collapsed="false">
      <c r="A5378" s="3" t="n">
        <v>5377</v>
      </c>
      <c r="B5378" s="3" t="n">
        <v>5376</v>
      </c>
      <c r="C5378" s="3" t="n">
        <v>6</v>
      </c>
      <c r="D5378" s="3" t="n">
        <v>24</v>
      </c>
      <c r="E5378" s="3" t="n">
        <v>0</v>
      </c>
      <c r="F5378" s="24" t="n">
        <v>0.185572863</v>
      </c>
    </row>
    <row r="5379" customFormat="false" ht="15" hidden="false" customHeight="false" outlineLevel="0" collapsed="false">
      <c r="A5379" s="3" t="n">
        <v>5378</v>
      </c>
      <c r="B5379" s="3" t="n">
        <v>5377</v>
      </c>
      <c r="C5379" s="3" t="n">
        <v>6</v>
      </c>
      <c r="D5379" s="3" t="n">
        <v>24</v>
      </c>
      <c r="E5379" s="3" t="n">
        <v>1</v>
      </c>
      <c r="F5379" s="24" t="n">
        <v>0</v>
      </c>
    </row>
    <row r="5380" customFormat="false" ht="15" hidden="false" customHeight="false" outlineLevel="0" collapsed="false">
      <c r="A5380" s="3" t="n">
        <v>5379</v>
      </c>
      <c r="B5380" s="3" t="n">
        <v>5378</v>
      </c>
      <c r="C5380" s="3" t="n">
        <v>6</v>
      </c>
      <c r="D5380" s="3" t="n">
        <v>24</v>
      </c>
      <c r="E5380" s="3" t="n">
        <v>2</v>
      </c>
      <c r="F5380" s="24" t="n">
        <v>0</v>
      </c>
    </row>
    <row r="5381" customFormat="false" ht="15" hidden="false" customHeight="false" outlineLevel="0" collapsed="false">
      <c r="A5381" s="3" t="n">
        <v>5380</v>
      </c>
      <c r="B5381" s="3" t="n">
        <v>5379</v>
      </c>
      <c r="C5381" s="3" t="n">
        <v>6</v>
      </c>
      <c r="D5381" s="3" t="n">
        <v>24</v>
      </c>
      <c r="E5381" s="3" t="n">
        <v>3</v>
      </c>
      <c r="F5381" s="24" t="n">
        <v>0</v>
      </c>
    </row>
    <row r="5382" customFormat="false" ht="15" hidden="false" customHeight="false" outlineLevel="0" collapsed="false">
      <c r="A5382" s="3" t="n">
        <v>5381</v>
      </c>
      <c r="B5382" s="3" t="n">
        <v>5380</v>
      </c>
      <c r="C5382" s="3" t="n">
        <v>6</v>
      </c>
      <c r="D5382" s="3" t="n">
        <v>24</v>
      </c>
      <c r="E5382" s="3" t="n">
        <v>4</v>
      </c>
      <c r="F5382" s="24" t="n">
        <v>0</v>
      </c>
    </row>
    <row r="5383" customFormat="false" ht="15" hidden="false" customHeight="false" outlineLevel="0" collapsed="false">
      <c r="A5383" s="3" t="n">
        <v>5382</v>
      </c>
      <c r="B5383" s="3" t="n">
        <v>5381</v>
      </c>
      <c r="C5383" s="3" t="n">
        <v>6</v>
      </c>
      <c r="D5383" s="3" t="n">
        <v>24</v>
      </c>
      <c r="E5383" s="3" t="n">
        <v>5</v>
      </c>
      <c r="F5383" s="24" t="n">
        <v>0</v>
      </c>
    </row>
    <row r="5384" customFormat="false" ht="15" hidden="false" customHeight="false" outlineLevel="0" collapsed="false">
      <c r="A5384" s="3" t="n">
        <v>5383</v>
      </c>
      <c r="B5384" s="3" t="n">
        <v>5382</v>
      </c>
      <c r="C5384" s="3" t="n">
        <v>6</v>
      </c>
      <c r="D5384" s="3" t="n">
        <v>24</v>
      </c>
      <c r="E5384" s="3" t="n">
        <v>6</v>
      </c>
      <c r="F5384" s="24" t="n">
        <v>0</v>
      </c>
    </row>
    <row r="5385" customFormat="false" ht="15" hidden="false" customHeight="false" outlineLevel="0" collapsed="false">
      <c r="A5385" s="3" t="n">
        <v>5384</v>
      </c>
      <c r="B5385" s="3" t="n">
        <v>5383</v>
      </c>
      <c r="C5385" s="3" t="n">
        <v>6</v>
      </c>
      <c r="D5385" s="3" t="n">
        <v>24</v>
      </c>
      <c r="E5385" s="3" t="n">
        <v>7</v>
      </c>
      <c r="F5385" s="24" t="n">
        <v>0</v>
      </c>
    </row>
    <row r="5386" customFormat="false" ht="15" hidden="false" customHeight="false" outlineLevel="0" collapsed="false">
      <c r="A5386" s="3" t="n">
        <v>5385</v>
      </c>
      <c r="B5386" s="3" t="n">
        <v>5384</v>
      </c>
      <c r="C5386" s="3" t="n">
        <v>6</v>
      </c>
      <c r="D5386" s="3" t="n">
        <v>24</v>
      </c>
      <c r="E5386" s="3" t="n">
        <v>8</v>
      </c>
      <c r="F5386" s="24" t="n">
        <v>0</v>
      </c>
    </row>
    <row r="5387" customFormat="false" ht="15" hidden="false" customHeight="false" outlineLevel="0" collapsed="false">
      <c r="A5387" s="3" t="n">
        <v>5386</v>
      </c>
      <c r="B5387" s="3" t="n">
        <v>5385</v>
      </c>
      <c r="C5387" s="3" t="n">
        <v>6</v>
      </c>
      <c r="D5387" s="3" t="n">
        <v>24</v>
      </c>
      <c r="E5387" s="3" t="n">
        <v>9</v>
      </c>
      <c r="F5387" s="24" t="n">
        <v>0</v>
      </c>
    </row>
    <row r="5388" customFormat="false" ht="15" hidden="false" customHeight="false" outlineLevel="0" collapsed="false">
      <c r="A5388" s="3" t="n">
        <v>5387</v>
      </c>
      <c r="B5388" s="3" t="n">
        <v>5386</v>
      </c>
      <c r="C5388" s="3" t="n">
        <v>6</v>
      </c>
      <c r="D5388" s="3" t="n">
        <v>24</v>
      </c>
      <c r="E5388" s="3" t="n">
        <v>10</v>
      </c>
      <c r="F5388" s="24" t="n">
        <v>0</v>
      </c>
    </row>
    <row r="5389" customFormat="false" ht="15" hidden="false" customHeight="false" outlineLevel="0" collapsed="false">
      <c r="A5389" s="3" t="n">
        <v>5388</v>
      </c>
      <c r="B5389" s="3" t="n">
        <v>5387</v>
      </c>
      <c r="C5389" s="3" t="n">
        <v>6</v>
      </c>
      <c r="D5389" s="3" t="n">
        <v>24</v>
      </c>
      <c r="E5389" s="3" t="n">
        <v>11</v>
      </c>
      <c r="F5389" s="24" t="n">
        <v>0.836039424</v>
      </c>
    </row>
    <row r="5390" customFormat="false" ht="15" hidden="false" customHeight="false" outlineLevel="0" collapsed="false">
      <c r="A5390" s="3" t="n">
        <v>5389</v>
      </c>
      <c r="B5390" s="3" t="n">
        <v>5388</v>
      </c>
      <c r="C5390" s="3" t="n">
        <v>6</v>
      </c>
      <c r="D5390" s="3" t="n">
        <v>24</v>
      </c>
      <c r="E5390" s="3" t="n">
        <v>12</v>
      </c>
      <c r="F5390" s="24" t="n">
        <v>2.28693533</v>
      </c>
    </row>
    <row r="5391" customFormat="false" ht="15" hidden="false" customHeight="false" outlineLevel="0" collapsed="false">
      <c r="A5391" s="3" t="n">
        <v>5390</v>
      </c>
      <c r="B5391" s="3" t="n">
        <v>5389</v>
      </c>
      <c r="C5391" s="3" t="n">
        <v>6</v>
      </c>
      <c r="D5391" s="3" t="n">
        <v>24</v>
      </c>
      <c r="E5391" s="3" t="n">
        <v>13</v>
      </c>
      <c r="F5391" s="24" t="n">
        <v>2.92810106</v>
      </c>
    </row>
    <row r="5392" customFormat="false" ht="15" hidden="false" customHeight="false" outlineLevel="0" collapsed="false">
      <c r="A5392" s="3" t="n">
        <v>5391</v>
      </c>
      <c r="B5392" s="3" t="n">
        <v>5390</v>
      </c>
      <c r="C5392" s="3" t="n">
        <v>6</v>
      </c>
      <c r="D5392" s="3" t="n">
        <v>24</v>
      </c>
      <c r="E5392" s="3" t="n">
        <v>14</v>
      </c>
      <c r="F5392" s="24" t="n">
        <v>1.73035288</v>
      </c>
    </row>
    <row r="5393" customFormat="false" ht="15" hidden="false" customHeight="false" outlineLevel="0" collapsed="false">
      <c r="A5393" s="3" t="n">
        <v>5392</v>
      </c>
      <c r="B5393" s="3" t="n">
        <v>5391</v>
      </c>
      <c r="C5393" s="3" t="n">
        <v>6</v>
      </c>
      <c r="D5393" s="3" t="n">
        <v>24</v>
      </c>
      <c r="E5393" s="3" t="n">
        <v>15</v>
      </c>
      <c r="F5393" s="24" t="n">
        <v>0.272174299</v>
      </c>
    </row>
    <row r="5394" customFormat="false" ht="15" hidden="false" customHeight="false" outlineLevel="0" collapsed="false">
      <c r="A5394" s="3" t="n">
        <v>5393</v>
      </c>
      <c r="B5394" s="3" t="n">
        <v>5392</v>
      </c>
      <c r="C5394" s="3" t="n">
        <v>6</v>
      </c>
      <c r="D5394" s="3" t="n">
        <v>24</v>
      </c>
      <c r="E5394" s="3" t="n">
        <v>16</v>
      </c>
      <c r="F5394" s="24" t="n">
        <v>0</v>
      </c>
    </row>
    <row r="5395" customFormat="false" ht="15" hidden="false" customHeight="false" outlineLevel="0" collapsed="false">
      <c r="A5395" s="3" t="n">
        <v>5394</v>
      </c>
      <c r="B5395" s="3" t="n">
        <v>5393</v>
      </c>
      <c r="C5395" s="3" t="n">
        <v>6</v>
      </c>
      <c r="D5395" s="3" t="n">
        <v>24</v>
      </c>
      <c r="E5395" s="3" t="n">
        <v>17</v>
      </c>
      <c r="F5395" s="24" t="n">
        <v>0</v>
      </c>
    </row>
    <row r="5396" customFormat="false" ht="15" hidden="false" customHeight="false" outlineLevel="0" collapsed="false">
      <c r="A5396" s="3" t="n">
        <v>5395</v>
      </c>
      <c r="B5396" s="3" t="n">
        <v>5394</v>
      </c>
      <c r="C5396" s="3" t="n">
        <v>6</v>
      </c>
      <c r="D5396" s="3" t="n">
        <v>24</v>
      </c>
      <c r="E5396" s="3" t="n">
        <v>18</v>
      </c>
      <c r="F5396" s="24" t="n">
        <v>0</v>
      </c>
    </row>
    <row r="5397" customFormat="false" ht="15" hidden="false" customHeight="false" outlineLevel="0" collapsed="false">
      <c r="A5397" s="3" t="n">
        <v>5396</v>
      </c>
      <c r="B5397" s="3" t="n">
        <v>5395</v>
      </c>
      <c r="C5397" s="3" t="n">
        <v>6</v>
      </c>
      <c r="D5397" s="3" t="n">
        <v>24</v>
      </c>
      <c r="E5397" s="3" t="n">
        <v>19</v>
      </c>
      <c r="F5397" s="24" t="n">
        <v>0</v>
      </c>
    </row>
    <row r="5398" customFormat="false" ht="15" hidden="false" customHeight="false" outlineLevel="0" collapsed="false">
      <c r="A5398" s="3" t="n">
        <v>5397</v>
      </c>
      <c r="B5398" s="3" t="n">
        <v>5396</v>
      </c>
      <c r="C5398" s="3" t="n">
        <v>6</v>
      </c>
      <c r="D5398" s="3" t="n">
        <v>24</v>
      </c>
      <c r="E5398" s="3" t="n">
        <v>20</v>
      </c>
      <c r="F5398" s="24" t="n">
        <v>0</v>
      </c>
    </row>
    <row r="5399" customFormat="false" ht="15" hidden="false" customHeight="false" outlineLevel="0" collapsed="false">
      <c r="A5399" s="3" t="n">
        <v>5398</v>
      </c>
      <c r="B5399" s="3" t="n">
        <v>5397</v>
      </c>
      <c r="C5399" s="3" t="n">
        <v>6</v>
      </c>
      <c r="D5399" s="3" t="n">
        <v>24</v>
      </c>
      <c r="E5399" s="3" t="n">
        <v>21</v>
      </c>
      <c r="F5399" s="24" t="n">
        <v>0</v>
      </c>
    </row>
    <row r="5400" customFormat="false" ht="15" hidden="false" customHeight="false" outlineLevel="0" collapsed="false">
      <c r="A5400" s="3" t="n">
        <v>5399</v>
      </c>
      <c r="B5400" s="3" t="n">
        <v>5398</v>
      </c>
      <c r="C5400" s="3" t="n">
        <v>6</v>
      </c>
      <c r="D5400" s="3" t="n">
        <v>24</v>
      </c>
      <c r="E5400" s="3" t="n">
        <v>22</v>
      </c>
      <c r="F5400" s="24" t="n">
        <v>0</v>
      </c>
    </row>
    <row r="5401" customFormat="false" ht="15" hidden="false" customHeight="false" outlineLevel="0" collapsed="false">
      <c r="A5401" s="3" t="n">
        <v>5400</v>
      </c>
      <c r="B5401" s="3" t="n">
        <v>5399</v>
      </c>
      <c r="C5401" s="3" t="n">
        <v>6</v>
      </c>
      <c r="D5401" s="3" t="n">
        <v>24</v>
      </c>
      <c r="E5401" s="3" t="n">
        <v>23</v>
      </c>
      <c r="F5401" s="24" t="n">
        <v>0</v>
      </c>
    </row>
    <row r="5402" customFormat="false" ht="15" hidden="false" customHeight="false" outlineLevel="0" collapsed="false">
      <c r="A5402" s="3" t="n">
        <v>5401</v>
      </c>
      <c r="B5402" s="3" t="n">
        <v>5400</v>
      </c>
      <c r="C5402" s="3" t="n">
        <v>6</v>
      </c>
      <c r="D5402" s="3" t="n">
        <v>24</v>
      </c>
      <c r="E5402" s="3" t="n">
        <v>24</v>
      </c>
      <c r="F5402" s="24" t="n">
        <v>0</v>
      </c>
    </row>
    <row r="5403" customFormat="false" ht="15" hidden="false" customHeight="false" outlineLevel="0" collapsed="false">
      <c r="A5403" s="3" t="n">
        <v>5402</v>
      </c>
      <c r="B5403" s="3" t="n">
        <v>5401</v>
      </c>
      <c r="C5403" s="3" t="n">
        <v>6</v>
      </c>
      <c r="D5403" s="3" t="n">
        <v>24</v>
      </c>
      <c r="E5403" s="3" t="n">
        <v>25</v>
      </c>
      <c r="F5403" s="24" t="n">
        <v>0</v>
      </c>
    </row>
    <row r="5404" customFormat="false" ht="15" hidden="false" customHeight="false" outlineLevel="0" collapsed="false">
      <c r="A5404" s="3" t="n">
        <v>5403</v>
      </c>
      <c r="B5404" s="3" t="n">
        <v>5402</v>
      </c>
      <c r="C5404" s="3" t="n">
        <v>6</v>
      </c>
      <c r="D5404" s="3" t="n">
        <v>24</v>
      </c>
      <c r="E5404" s="3" t="n">
        <v>26</v>
      </c>
      <c r="F5404" s="24" t="n">
        <v>0</v>
      </c>
    </row>
    <row r="5405" customFormat="false" ht="15" hidden="false" customHeight="false" outlineLevel="0" collapsed="false">
      <c r="A5405" s="3" t="n">
        <v>5404</v>
      </c>
      <c r="B5405" s="3" t="n">
        <v>5403</v>
      </c>
      <c r="C5405" s="3" t="n">
        <v>6</v>
      </c>
      <c r="D5405" s="3" t="n">
        <v>24</v>
      </c>
      <c r="E5405" s="3" t="n">
        <v>27</v>
      </c>
      <c r="F5405" s="24" t="n">
        <v>0</v>
      </c>
    </row>
    <row r="5406" customFormat="false" ht="15" hidden="false" customHeight="false" outlineLevel="0" collapsed="false">
      <c r="A5406" s="3" t="n">
        <v>5405</v>
      </c>
      <c r="B5406" s="3" t="n">
        <v>5404</v>
      </c>
      <c r="C5406" s="3" t="n">
        <v>6</v>
      </c>
      <c r="D5406" s="3" t="n">
        <v>25</v>
      </c>
      <c r="E5406" s="3" t="n">
        <v>0</v>
      </c>
      <c r="F5406" s="24" t="n">
        <v>0.185572863</v>
      </c>
    </row>
    <row r="5407" customFormat="false" ht="15" hidden="false" customHeight="false" outlineLevel="0" collapsed="false">
      <c r="A5407" s="3" t="n">
        <v>5406</v>
      </c>
      <c r="B5407" s="3" t="n">
        <v>5405</v>
      </c>
      <c r="C5407" s="3" t="n">
        <v>6</v>
      </c>
      <c r="D5407" s="3" t="n">
        <v>25</v>
      </c>
      <c r="E5407" s="3" t="n">
        <v>1</v>
      </c>
      <c r="F5407" s="24" t="n">
        <v>0</v>
      </c>
    </row>
    <row r="5408" customFormat="false" ht="15" hidden="false" customHeight="false" outlineLevel="0" collapsed="false">
      <c r="A5408" s="3" t="n">
        <v>5407</v>
      </c>
      <c r="B5408" s="3" t="n">
        <v>5406</v>
      </c>
      <c r="C5408" s="3" t="n">
        <v>6</v>
      </c>
      <c r="D5408" s="3" t="n">
        <v>25</v>
      </c>
      <c r="E5408" s="3" t="n">
        <v>2</v>
      </c>
      <c r="F5408" s="24" t="n">
        <v>0</v>
      </c>
    </row>
    <row r="5409" customFormat="false" ht="15" hidden="false" customHeight="false" outlineLevel="0" collapsed="false">
      <c r="A5409" s="3" t="n">
        <v>5408</v>
      </c>
      <c r="B5409" s="3" t="n">
        <v>5407</v>
      </c>
      <c r="C5409" s="3" t="n">
        <v>6</v>
      </c>
      <c r="D5409" s="3" t="n">
        <v>25</v>
      </c>
      <c r="E5409" s="3" t="n">
        <v>3</v>
      </c>
      <c r="F5409" s="24" t="n">
        <v>0</v>
      </c>
    </row>
    <row r="5410" customFormat="false" ht="15" hidden="false" customHeight="false" outlineLevel="0" collapsed="false">
      <c r="A5410" s="3" t="n">
        <v>5409</v>
      </c>
      <c r="B5410" s="3" t="n">
        <v>5408</v>
      </c>
      <c r="C5410" s="3" t="n">
        <v>6</v>
      </c>
      <c r="D5410" s="3" t="n">
        <v>25</v>
      </c>
      <c r="E5410" s="3" t="n">
        <v>4</v>
      </c>
      <c r="F5410" s="24" t="n">
        <v>0</v>
      </c>
    </row>
    <row r="5411" customFormat="false" ht="15" hidden="false" customHeight="false" outlineLevel="0" collapsed="false">
      <c r="A5411" s="3" t="n">
        <v>5410</v>
      </c>
      <c r="B5411" s="3" t="n">
        <v>5409</v>
      </c>
      <c r="C5411" s="3" t="n">
        <v>6</v>
      </c>
      <c r="D5411" s="3" t="n">
        <v>25</v>
      </c>
      <c r="E5411" s="3" t="n">
        <v>5</v>
      </c>
      <c r="F5411" s="24" t="n">
        <v>0</v>
      </c>
    </row>
    <row r="5412" customFormat="false" ht="15" hidden="false" customHeight="false" outlineLevel="0" collapsed="false">
      <c r="A5412" s="3" t="n">
        <v>5411</v>
      </c>
      <c r="B5412" s="3" t="n">
        <v>5410</v>
      </c>
      <c r="C5412" s="3" t="n">
        <v>6</v>
      </c>
      <c r="D5412" s="3" t="n">
        <v>25</v>
      </c>
      <c r="E5412" s="3" t="n">
        <v>6</v>
      </c>
      <c r="F5412" s="24" t="n">
        <v>0</v>
      </c>
    </row>
    <row r="5413" customFormat="false" ht="15" hidden="false" customHeight="false" outlineLevel="0" collapsed="false">
      <c r="A5413" s="3" t="n">
        <v>5412</v>
      </c>
      <c r="B5413" s="3" t="n">
        <v>5411</v>
      </c>
      <c r="C5413" s="3" t="n">
        <v>6</v>
      </c>
      <c r="D5413" s="3" t="n">
        <v>25</v>
      </c>
      <c r="E5413" s="3" t="n">
        <v>7</v>
      </c>
      <c r="F5413" s="24" t="n">
        <v>0</v>
      </c>
    </row>
    <row r="5414" customFormat="false" ht="15" hidden="false" customHeight="false" outlineLevel="0" collapsed="false">
      <c r="A5414" s="3" t="n">
        <v>5413</v>
      </c>
      <c r="B5414" s="3" t="n">
        <v>5412</v>
      </c>
      <c r="C5414" s="3" t="n">
        <v>6</v>
      </c>
      <c r="D5414" s="3" t="n">
        <v>25</v>
      </c>
      <c r="E5414" s="3" t="n">
        <v>8</v>
      </c>
      <c r="F5414" s="24" t="n">
        <v>0</v>
      </c>
    </row>
    <row r="5415" customFormat="false" ht="15" hidden="false" customHeight="false" outlineLevel="0" collapsed="false">
      <c r="A5415" s="3" t="n">
        <v>5414</v>
      </c>
      <c r="B5415" s="3" t="n">
        <v>5413</v>
      </c>
      <c r="C5415" s="3" t="n">
        <v>6</v>
      </c>
      <c r="D5415" s="3" t="n">
        <v>25</v>
      </c>
      <c r="E5415" s="3" t="n">
        <v>9</v>
      </c>
      <c r="F5415" s="24" t="n">
        <v>0</v>
      </c>
    </row>
    <row r="5416" customFormat="false" ht="15" hidden="false" customHeight="false" outlineLevel="0" collapsed="false">
      <c r="A5416" s="3" t="n">
        <v>5415</v>
      </c>
      <c r="B5416" s="3" t="n">
        <v>5414</v>
      </c>
      <c r="C5416" s="3" t="n">
        <v>6</v>
      </c>
      <c r="D5416" s="3" t="n">
        <v>25</v>
      </c>
      <c r="E5416" s="3" t="n">
        <v>10</v>
      </c>
      <c r="F5416" s="24" t="n">
        <v>0</v>
      </c>
    </row>
    <row r="5417" customFormat="false" ht="15" hidden="false" customHeight="false" outlineLevel="0" collapsed="false">
      <c r="A5417" s="3" t="n">
        <v>5416</v>
      </c>
      <c r="B5417" s="3" t="n">
        <v>5415</v>
      </c>
      <c r="C5417" s="3" t="n">
        <v>6</v>
      </c>
      <c r="D5417" s="3" t="n">
        <v>25</v>
      </c>
      <c r="E5417" s="3" t="n">
        <v>11</v>
      </c>
      <c r="F5417" s="24" t="n">
        <v>1.5998224</v>
      </c>
    </row>
    <row r="5418" customFormat="false" ht="15" hidden="false" customHeight="false" outlineLevel="0" collapsed="false">
      <c r="A5418" s="3" t="n">
        <v>5417</v>
      </c>
      <c r="B5418" s="3" t="n">
        <v>5416</v>
      </c>
      <c r="C5418" s="3" t="n">
        <v>6</v>
      </c>
      <c r="D5418" s="3" t="n">
        <v>25</v>
      </c>
      <c r="E5418" s="3" t="n">
        <v>12</v>
      </c>
      <c r="F5418" s="24" t="n">
        <v>3.13594699</v>
      </c>
    </row>
    <row r="5419" customFormat="false" ht="15" hidden="false" customHeight="false" outlineLevel="0" collapsed="false">
      <c r="A5419" s="3" t="n">
        <v>5418</v>
      </c>
      <c r="B5419" s="3" t="n">
        <v>5417</v>
      </c>
      <c r="C5419" s="3" t="n">
        <v>6</v>
      </c>
      <c r="D5419" s="3" t="n">
        <v>25</v>
      </c>
      <c r="E5419" s="3" t="n">
        <v>13</v>
      </c>
      <c r="F5419" s="24" t="n">
        <v>3.39685965</v>
      </c>
    </row>
    <row r="5420" customFormat="false" ht="15" hidden="false" customHeight="false" outlineLevel="0" collapsed="false">
      <c r="A5420" s="3" t="n">
        <v>5419</v>
      </c>
      <c r="B5420" s="3" t="n">
        <v>5418</v>
      </c>
      <c r="C5420" s="3" t="n">
        <v>6</v>
      </c>
      <c r="D5420" s="3" t="n">
        <v>25</v>
      </c>
      <c r="E5420" s="3" t="n">
        <v>14</v>
      </c>
      <c r="F5420" s="24" t="n">
        <v>1.32368982</v>
      </c>
    </row>
    <row r="5421" customFormat="false" ht="15" hidden="false" customHeight="false" outlineLevel="0" collapsed="false">
      <c r="A5421" s="3" t="n">
        <v>5420</v>
      </c>
      <c r="B5421" s="3" t="n">
        <v>5419</v>
      </c>
      <c r="C5421" s="3" t="n">
        <v>6</v>
      </c>
      <c r="D5421" s="3" t="n">
        <v>25</v>
      </c>
      <c r="E5421" s="3" t="n">
        <v>15</v>
      </c>
      <c r="F5421" s="24" t="n">
        <v>0.164514408</v>
      </c>
    </row>
    <row r="5422" customFormat="false" ht="15" hidden="false" customHeight="false" outlineLevel="0" collapsed="false">
      <c r="A5422" s="3" t="n">
        <v>5421</v>
      </c>
      <c r="B5422" s="3" t="n">
        <v>5420</v>
      </c>
      <c r="C5422" s="3" t="n">
        <v>6</v>
      </c>
      <c r="D5422" s="3" t="n">
        <v>25</v>
      </c>
      <c r="E5422" s="3" t="n">
        <v>16</v>
      </c>
      <c r="F5422" s="24" t="n">
        <v>0</v>
      </c>
    </row>
    <row r="5423" customFormat="false" ht="15" hidden="false" customHeight="false" outlineLevel="0" collapsed="false">
      <c r="A5423" s="3" t="n">
        <v>5422</v>
      </c>
      <c r="B5423" s="3" t="n">
        <v>5421</v>
      </c>
      <c r="C5423" s="3" t="n">
        <v>6</v>
      </c>
      <c r="D5423" s="3" t="n">
        <v>25</v>
      </c>
      <c r="E5423" s="3" t="n">
        <v>17</v>
      </c>
      <c r="F5423" s="24" t="n">
        <v>0</v>
      </c>
    </row>
    <row r="5424" customFormat="false" ht="15" hidden="false" customHeight="false" outlineLevel="0" collapsed="false">
      <c r="A5424" s="3" t="n">
        <v>5423</v>
      </c>
      <c r="B5424" s="3" t="n">
        <v>5422</v>
      </c>
      <c r="C5424" s="3" t="n">
        <v>6</v>
      </c>
      <c r="D5424" s="3" t="n">
        <v>25</v>
      </c>
      <c r="E5424" s="3" t="n">
        <v>18</v>
      </c>
      <c r="F5424" s="24" t="n">
        <v>0</v>
      </c>
    </row>
    <row r="5425" customFormat="false" ht="15" hidden="false" customHeight="false" outlineLevel="0" collapsed="false">
      <c r="A5425" s="3" t="n">
        <v>5424</v>
      </c>
      <c r="B5425" s="3" t="n">
        <v>5423</v>
      </c>
      <c r="C5425" s="3" t="n">
        <v>6</v>
      </c>
      <c r="D5425" s="3" t="n">
        <v>25</v>
      </c>
      <c r="E5425" s="3" t="n">
        <v>19</v>
      </c>
      <c r="F5425" s="24" t="n">
        <v>0</v>
      </c>
    </row>
    <row r="5426" customFormat="false" ht="15" hidden="false" customHeight="false" outlineLevel="0" collapsed="false">
      <c r="A5426" s="3" t="n">
        <v>5425</v>
      </c>
      <c r="B5426" s="3" t="n">
        <v>5424</v>
      </c>
      <c r="C5426" s="3" t="n">
        <v>6</v>
      </c>
      <c r="D5426" s="3" t="n">
        <v>25</v>
      </c>
      <c r="E5426" s="3" t="n">
        <v>20</v>
      </c>
      <c r="F5426" s="24" t="n">
        <v>0</v>
      </c>
    </row>
    <row r="5427" customFormat="false" ht="15" hidden="false" customHeight="false" outlineLevel="0" collapsed="false">
      <c r="A5427" s="3" t="n">
        <v>5426</v>
      </c>
      <c r="B5427" s="3" t="n">
        <v>5425</v>
      </c>
      <c r="C5427" s="3" t="n">
        <v>6</v>
      </c>
      <c r="D5427" s="3" t="n">
        <v>25</v>
      </c>
      <c r="E5427" s="3" t="n">
        <v>21</v>
      </c>
      <c r="F5427" s="24" t="n">
        <v>0</v>
      </c>
    </row>
    <row r="5428" customFormat="false" ht="15" hidden="false" customHeight="false" outlineLevel="0" collapsed="false">
      <c r="A5428" s="3" t="n">
        <v>5427</v>
      </c>
      <c r="B5428" s="3" t="n">
        <v>5426</v>
      </c>
      <c r="C5428" s="3" t="n">
        <v>6</v>
      </c>
      <c r="D5428" s="3" t="n">
        <v>25</v>
      </c>
      <c r="E5428" s="3" t="n">
        <v>22</v>
      </c>
      <c r="F5428" s="24" t="n">
        <v>0</v>
      </c>
    </row>
    <row r="5429" customFormat="false" ht="15" hidden="false" customHeight="false" outlineLevel="0" collapsed="false">
      <c r="A5429" s="3" t="n">
        <v>5428</v>
      </c>
      <c r="B5429" s="3" t="n">
        <v>5427</v>
      </c>
      <c r="C5429" s="3" t="n">
        <v>6</v>
      </c>
      <c r="D5429" s="3" t="n">
        <v>25</v>
      </c>
      <c r="E5429" s="3" t="n">
        <v>23</v>
      </c>
      <c r="F5429" s="24" t="n">
        <v>0</v>
      </c>
    </row>
    <row r="5430" customFormat="false" ht="15" hidden="false" customHeight="false" outlineLevel="0" collapsed="false">
      <c r="A5430" s="3" t="n">
        <v>5429</v>
      </c>
      <c r="B5430" s="3" t="n">
        <v>5428</v>
      </c>
      <c r="C5430" s="3" t="n">
        <v>6</v>
      </c>
      <c r="D5430" s="3" t="n">
        <v>25</v>
      </c>
      <c r="E5430" s="3" t="n">
        <v>24</v>
      </c>
      <c r="F5430" s="24" t="n">
        <v>0</v>
      </c>
    </row>
    <row r="5431" customFormat="false" ht="15" hidden="false" customHeight="false" outlineLevel="0" collapsed="false">
      <c r="A5431" s="3" t="n">
        <v>5430</v>
      </c>
      <c r="B5431" s="3" t="n">
        <v>5429</v>
      </c>
      <c r="C5431" s="3" t="n">
        <v>6</v>
      </c>
      <c r="D5431" s="3" t="n">
        <v>25</v>
      </c>
      <c r="E5431" s="3" t="n">
        <v>25</v>
      </c>
      <c r="F5431" s="24" t="n">
        <v>0</v>
      </c>
    </row>
    <row r="5432" customFormat="false" ht="15" hidden="false" customHeight="false" outlineLevel="0" collapsed="false">
      <c r="A5432" s="3" t="n">
        <v>5431</v>
      </c>
      <c r="B5432" s="3" t="n">
        <v>5430</v>
      </c>
      <c r="C5432" s="3" t="n">
        <v>6</v>
      </c>
      <c r="D5432" s="3" t="n">
        <v>25</v>
      </c>
      <c r="E5432" s="3" t="n">
        <v>26</v>
      </c>
      <c r="F5432" s="24" t="n">
        <v>0</v>
      </c>
    </row>
    <row r="5433" customFormat="false" ht="15" hidden="false" customHeight="false" outlineLevel="0" collapsed="false">
      <c r="A5433" s="3" t="n">
        <v>5432</v>
      </c>
      <c r="B5433" s="3" t="n">
        <v>5431</v>
      </c>
      <c r="C5433" s="3" t="n">
        <v>6</v>
      </c>
      <c r="D5433" s="3" t="n">
        <v>25</v>
      </c>
      <c r="E5433" s="3" t="n">
        <v>27</v>
      </c>
      <c r="F5433" s="24" t="n">
        <v>0</v>
      </c>
    </row>
    <row r="5434" customFormat="false" ht="15" hidden="false" customHeight="false" outlineLevel="0" collapsed="false">
      <c r="A5434" s="3" t="n">
        <v>5433</v>
      </c>
      <c r="B5434" s="3" t="n">
        <v>5432</v>
      </c>
      <c r="C5434" s="3" t="n">
        <v>6</v>
      </c>
      <c r="D5434" s="3" t="n">
        <v>26</v>
      </c>
      <c r="E5434" s="3" t="n">
        <v>0</v>
      </c>
      <c r="F5434" s="24" t="n">
        <v>0.185572863</v>
      </c>
    </row>
    <row r="5435" customFormat="false" ht="15" hidden="false" customHeight="false" outlineLevel="0" collapsed="false">
      <c r="A5435" s="3" t="n">
        <v>5434</v>
      </c>
      <c r="B5435" s="3" t="n">
        <v>5433</v>
      </c>
      <c r="C5435" s="3" t="n">
        <v>6</v>
      </c>
      <c r="D5435" s="3" t="n">
        <v>26</v>
      </c>
      <c r="E5435" s="3" t="n">
        <v>1</v>
      </c>
      <c r="F5435" s="24" t="n">
        <v>0</v>
      </c>
    </row>
    <row r="5436" customFormat="false" ht="15" hidden="false" customHeight="false" outlineLevel="0" collapsed="false">
      <c r="A5436" s="3" t="n">
        <v>5435</v>
      </c>
      <c r="B5436" s="3" t="n">
        <v>5434</v>
      </c>
      <c r="C5436" s="3" t="n">
        <v>6</v>
      </c>
      <c r="D5436" s="3" t="n">
        <v>26</v>
      </c>
      <c r="E5436" s="3" t="n">
        <v>2</v>
      </c>
      <c r="F5436" s="24" t="n">
        <v>0</v>
      </c>
    </row>
    <row r="5437" customFormat="false" ht="15" hidden="false" customHeight="false" outlineLevel="0" collapsed="false">
      <c r="A5437" s="3" t="n">
        <v>5436</v>
      </c>
      <c r="B5437" s="3" t="n">
        <v>5435</v>
      </c>
      <c r="C5437" s="3" t="n">
        <v>6</v>
      </c>
      <c r="D5437" s="3" t="n">
        <v>26</v>
      </c>
      <c r="E5437" s="3" t="n">
        <v>3</v>
      </c>
      <c r="F5437" s="24" t="n">
        <v>0</v>
      </c>
    </row>
    <row r="5438" customFormat="false" ht="15" hidden="false" customHeight="false" outlineLevel="0" collapsed="false">
      <c r="A5438" s="3" t="n">
        <v>5437</v>
      </c>
      <c r="B5438" s="3" t="n">
        <v>5436</v>
      </c>
      <c r="C5438" s="3" t="n">
        <v>6</v>
      </c>
      <c r="D5438" s="3" t="n">
        <v>26</v>
      </c>
      <c r="E5438" s="3" t="n">
        <v>4</v>
      </c>
      <c r="F5438" s="24" t="n">
        <v>0</v>
      </c>
    </row>
    <row r="5439" customFormat="false" ht="15" hidden="false" customHeight="false" outlineLevel="0" collapsed="false">
      <c r="A5439" s="3" t="n">
        <v>5438</v>
      </c>
      <c r="B5439" s="3" t="n">
        <v>5437</v>
      </c>
      <c r="C5439" s="3" t="n">
        <v>6</v>
      </c>
      <c r="D5439" s="3" t="n">
        <v>26</v>
      </c>
      <c r="E5439" s="3" t="n">
        <v>5</v>
      </c>
      <c r="F5439" s="24" t="n">
        <v>0</v>
      </c>
    </row>
    <row r="5440" customFormat="false" ht="15" hidden="false" customHeight="false" outlineLevel="0" collapsed="false">
      <c r="A5440" s="3" t="n">
        <v>5439</v>
      </c>
      <c r="B5440" s="3" t="n">
        <v>5438</v>
      </c>
      <c r="C5440" s="3" t="n">
        <v>6</v>
      </c>
      <c r="D5440" s="3" t="n">
        <v>26</v>
      </c>
      <c r="E5440" s="3" t="n">
        <v>6</v>
      </c>
      <c r="F5440" s="24" t="n">
        <v>0</v>
      </c>
    </row>
    <row r="5441" customFormat="false" ht="15" hidden="false" customHeight="false" outlineLevel="0" collapsed="false">
      <c r="A5441" s="3" t="n">
        <v>5440</v>
      </c>
      <c r="B5441" s="3" t="n">
        <v>5439</v>
      </c>
      <c r="C5441" s="3" t="n">
        <v>6</v>
      </c>
      <c r="D5441" s="3" t="n">
        <v>26</v>
      </c>
      <c r="E5441" s="3" t="n">
        <v>7</v>
      </c>
      <c r="F5441" s="24" t="n">
        <v>0</v>
      </c>
    </row>
    <row r="5442" customFormat="false" ht="15" hidden="false" customHeight="false" outlineLevel="0" collapsed="false">
      <c r="A5442" s="3" t="n">
        <v>5441</v>
      </c>
      <c r="B5442" s="3" t="n">
        <v>5440</v>
      </c>
      <c r="C5442" s="3" t="n">
        <v>6</v>
      </c>
      <c r="D5442" s="3" t="n">
        <v>26</v>
      </c>
      <c r="E5442" s="3" t="n">
        <v>8</v>
      </c>
      <c r="F5442" s="24" t="n">
        <v>0</v>
      </c>
    </row>
    <row r="5443" customFormat="false" ht="15" hidden="false" customHeight="false" outlineLevel="0" collapsed="false">
      <c r="A5443" s="3" t="n">
        <v>5442</v>
      </c>
      <c r="B5443" s="3" t="n">
        <v>5441</v>
      </c>
      <c r="C5443" s="3" t="n">
        <v>6</v>
      </c>
      <c r="D5443" s="3" t="n">
        <v>26</v>
      </c>
      <c r="E5443" s="3" t="n">
        <v>9</v>
      </c>
      <c r="F5443" s="24" t="n">
        <v>0</v>
      </c>
    </row>
    <row r="5444" customFormat="false" ht="15" hidden="false" customHeight="false" outlineLevel="0" collapsed="false">
      <c r="A5444" s="3" t="n">
        <v>5443</v>
      </c>
      <c r="B5444" s="3" t="n">
        <v>5442</v>
      </c>
      <c r="C5444" s="3" t="n">
        <v>6</v>
      </c>
      <c r="D5444" s="3" t="n">
        <v>26</v>
      </c>
      <c r="E5444" s="3" t="n">
        <v>10</v>
      </c>
      <c r="F5444" s="24" t="n">
        <v>1.06320024</v>
      </c>
    </row>
    <row r="5445" customFormat="false" ht="15" hidden="false" customHeight="false" outlineLevel="0" collapsed="false">
      <c r="A5445" s="3" t="n">
        <v>5444</v>
      </c>
      <c r="B5445" s="3" t="n">
        <v>5443</v>
      </c>
      <c r="C5445" s="3" t="n">
        <v>6</v>
      </c>
      <c r="D5445" s="3" t="n">
        <v>26</v>
      </c>
      <c r="E5445" s="3" t="n">
        <v>11</v>
      </c>
      <c r="F5445" s="24" t="n">
        <v>2.88110042</v>
      </c>
    </row>
    <row r="5446" customFormat="false" ht="15" hidden="false" customHeight="false" outlineLevel="0" collapsed="false">
      <c r="A5446" s="3" t="n">
        <v>5445</v>
      </c>
      <c r="B5446" s="3" t="n">
        <v>5444</v>
      </c>
      <c r="C5446" s="3" t="n">
        <v>6</v>
      </c>
      <c r="D5446" s="3" t="n">
        <v>26</v>
      </c>
      <c r="E5446" s="3" t="n">
        <v>12</v>
      </c>
      <c r="F5446" s="24" t="n">
        <v>3.7040081</v>
      </c>
    </row>
    <row r="5447" customFormat="false" ht="15" hidden="false" customHeight="false" outlineLevel="0" collapsed="false">
      <c r="A5447" s="3" t="n">
        <v>5446</v>
      </c>
      <c r="B5447" s="3" t="n">
        <v>5445</v>
      </c>
      <c r="C5447" s="3" t="n">
        <v>6</v>
      </c>
      <c r="D5447" s="3" t="n">
        <v>26</v>
      </c>
      <c r="E5447" s="3" t="n">
        <v>13</v>
      </c>
      <c r="F5447" s="24" t="n">
        <v>1.81725705</v>
      </c>
    </row>
    <row r="5448" customFormat="false" ht="15" hidden="false" customHeight="false" outlineLevel="0" collapsed="false">
      <c r="A5448" s="3" t="n">
        <v>5447</v>
      </c>
      <c r="B5448" s="3" t="n">
        <v>5446</v>
      </c>
      <c r="C5448" s="3" t="n">
        <v>6</v>
      </c>
      <c r="D5448" s="3" t="n">
        <v>26</v>
      </c>
      <c r="E5448" s="3" t="n">
        <v>14</v>
      </c>
      <c r="F5448" s="24" t="n">
        <v>0.37643531</v>
      </c>
    </row>
    <row r="5449" customFormat="false" ht="15" hidden="false" customHeight="false" outlineLevel="0" collapsed="false">
      <c r="A5449" s="3" t="n">
        <v>5448</v>
      </c>
      <c r="B5449" s="3" t="n">
        <v>5447</v>
      </c>
      <c r="C5449" s="3" t="n">
        <v>6</v>
      </c>
      <c r="D5449" s="3" t="n">
        <v>26</v>
      </c>
      <c r="E5449" s="3" t="n">
        <v>15</v>
      </c>
      <c r="F5449" s="24" t="n">
        <v>0.0294657648</v>
      </c>
    </row>
    <row r="5450" customFormat="false" ht="15" hidden="false" customHeight="false" outlineLevel="0" collapsed="false">
      <c r="A5450" s="3" t="n">
        <v>5449</v>
      </c>
      <c r="B5450" s="3" t="n">
        <v>5448</v>
      </c>
      <c r="C5450" s="3" t="n">
        <v>6</v>
      </c>
      <c r="D5450" s="3" t="n">
        <v>26</v>
      </c>
      <c r="E5450" s="3" t="n">
        <v>16</v>
      </c>
      <c r="F5450" s="24" t="n">
        <v>0</v>
      </c>
    </row>
    <row r="5451" customFormat="false" ht="15" hidden="false" customHeight="false" outlineLevel="0" collapsed="false">
      <c r="A5451" s="3" t="n">
        <v>5450</v>
      </c>
      <c r="B5451" s="3" t="n">
        <v>5449</v>
      </c>
      <c r="C5451" s="3" t="n">
        <v>6</v>
      </c>
      <c r="D5451" s="3" t="n">
        <v>26</v>
      </c>
      <c r="E5451" s="3" t="n">
        <v>17</v>
      </c>
      <c r="F5451" s="24" t="n">
        <v>0</v>
      </c>
    </row>
    <row r="5452" customFormat="false" ht="15" hidden="false" customHeight="false" outlineLevel="0" collapsed="false">
      <c r="A5452" s="3" t="n">
        <v>5451</v>
      </c>
      <c r="B5452" s="3" t="n">
        <v>5450</v>
      </c>
      <c r="C5452" s="3" t="n">
        <v>6</v>
      </c>
      <c r="D5452" s="3" t="n">
        <v>26</v>
      </c>
      <c r="E5452" s="3" t="n">
        <v>18</v>
      </c>
      <c r="F5452" s="24" t="n">
        <v>0</v>
      </c>
    </row>
    <row r="5453" customFormat="false" ht="15" hidden="false" customHeight="false" outlineLevel="0" collapsed="false">
      <c r="A5453" s="3" t="n">
        <v>5452</v>
      </c>
      <c r="B5453" s="3" t="n">
        <v>5451</v>
      </c>
      <c r="C5453" s="3" t="n">
        <v>6</v>
      </c>
      <c r="D5453" s="3" t="n">
        <v>26</v>
      </c>
      <c r="E5453" s="3" t="n">
        <v>19</v>
      </c>
      <c r="F5453" s="24" t="n">
        <v>0</v>
      </c>
    </row>
    <row r="5454" customFormat="false" ht="15" hidden="false" customHeight="false" outlineLevel="0" collapsed="false">
      <c r="A5454" s="3" t="n">
        <v>5453</v>
      </c>
      <c r="B5454" s="3" t="n">
        <v>5452</v>
      </c>
      <c r="C5454" s="3" t="n">
        <v>6</v>
      </c>
      <c r="D5454" s="3" t="n">
        <v>26</v>
      </c>
      <c r="E5454" s="3" t="n">
        <v>20</v>
      </c>
      <c r="F5454" s="24" t="n">
        <v>0</v>
      </c>
    </row>
    <row r="5455" customFormat="false" ht="15" hidden="false" customHeight="false" outlineLevel="0" collapsed="false">
      <c r="A5455" s="3" t="n">
        <v>5454</v>
      </c>
      <c r="B5455" s="3" t="n">
        <v>5453</v>
      </c>
      <c r="C5455" s="3" t="n">
        <v>6</v>
      </c>
      <c r="D5455" s="3" t="n">
        <v>26</v>
      </c>
      <c r="E5455" s="3" t="n">
        <v>21</v>
      </c>
      <c r="F5455" s="24" t="n">
        <v>0</v>
      </c>
    </row>
    <row r="5456" customFormat="false" ht="15" hidden="false" customHeight="false" outlineLevel="0" collapsed="false">
      <c r="A5456" s="3" t="n">
        <v>5455</v>
      </c>
      <c r="B5456" s="3" t="n">
        <v>5454</v>
      </c>
      <c r="C5456" s="3" t="n">
        <v>6</v>
      </c>
      <c r="D5456" s="3" t="n">
        <v>26</v>
      </c>
      <c r="E5456" s="3" t="n">
        <v>22</v>
      </c>
      <c r="F5456" s="24" t="n">
        <v>0</v>
      </c>
    </row>
    <row r="5457" customFormat="false" ht="15" hidden="false" customHeight="false" outlineLevel="0" collapsed="false">
      <c r="A5457" s="3" t="n">
        <v>5456</v>
      </c>
      <c r="B5457" s="3" t="n">
        <v>5455</v>
      </c>
      <c r="C5457" s="3" t="n">
        <v>6</v>
      </c>
      <c r="D5457" s="3" t="n">
        <v>26</v>
      </c>
      <c r="E5457" s="3" t="n">
        <v>23</v>
      </c>
      <c r="F5457" s="24" t="n">
        <v>0</v>
      </c>
    </row>
    <row r="5458" customFormat="false" ht="15" hidden="false" customHeight="false" outlineLevel="0" collapsed="false">
      <c r="A5458" s="3" t="n">
        <v>5457</v>
      </c>
      <c r="B5458" s="3" t="n">
        <v>5456</v>
      </c>
      <c r="C5458" s="3" t="n">
        <v>6</v>
      </c>
      <c r="D5458" s="3" t="n">
        <v>26</v>
      </c>
      <c r="E5458" s="3" t="n">
        <v>24</v>
      </c>
      <c r="F5458" s="24" t="n">
        <v>0</v>
      </c>
    </row>
    <row r="5459" customFormat="false" ht="15" hidden="false" customHeight="false" outlineLevel="0" collapsed="false">
      <c r="A5459" s="3" t="n">
        <v>5458</v>
      </c>
      <c r="B5459" s="3" t="n">
        <v>5457</v>
      </c>
      <c r="C5459" s="3" t="n">
        <v>6</v>
      </c>
      <c r="D5459" s="3" t="n">
        <v>26</v>
      </c>
      <c r="E5459" s="3" t="n">
        <v>25</v>
      </c>
      <c r="F5459" s="24" t="n">
        <v>0</v>
      </c>
    </row>
    <row r="5460" customFormat="false" ht="15" hidden="false" customHeight="false" outlineLevel="0" collapsed="false">
      <c r="A5460" s="3" t="n">
        <v>5459</v>
      </c>
      <c r="B5460" s="3" t="n">
        <v>5458</v>
      </c>
      <c r="C5460" s="3" t="n">
        <v>6</v>
      </c>
      <c r="D5460" s="3" t="n">
        <v>26</v>
      </c>
      <c r="E5460" s="3" t="n">
        <v>26</v>
      </c>
      <c r="F5460" s="24" t="n">
        <v>0</v>
      </c>
    </row>
    <row r="5461" customFormat="false" ht="15" hidden="false" customHeight="false" outlineLevel="0" collapsed="false">
      <c r="A5461" s="3" t="n">
        <v>5460</v>
      </c>
      <c r="B5461" s="3" t="n">
        <v>5459</v>
      </c>
      <c r="C5461" s="3" t="n">
        <v>6</v>
      </c>
      <c r="D5461" s="3" t="n">
        <v>26</v>
      </c>
      <c r="E5461" s="3" t="n">
        <v>27</v>
      </c>
      <c r="F5461" s="24" t="n">
        <v>0</v>
      </c>
    </row>
    <row r="5462" customFormat="false" ht="15" hidden="false" customHeight="false" outlineLevel="0" collapsed="false">
      <c r="A5462" s="3" t="n">
        <v>5461</v>
      </c>
      <c r="B5462" s="3" t="n">
        <v>5460</v>
      </c>
      <c r="C5462" s="3" t="n">
        <v>6</v>
      </c>
      <c r="D5462" s="3" t="n">
        <v>27</v>
      </c>
      <c r="E5462" s="3" t="n">
        <v>0</v>
      </c>
      <c r="F5462" s="24" t="n">
        <v>0.0101337135</v>
      </c>
    </row>
    <row r="5463" customFormat="false" ht="15" hidden="false" customHeight="false" outlineLevel="0" collapsed="false">
      <c r="A5463" s="3" t="n">
        <v>5462</v>
      </c>
      <c r="B5463" s="3" t="n">
        <v>5461</v>
      </c>
      <c r="C5463" s="3" t="n">
        <v>6</v>
      </c>
      <c r="D5463" s="3" t="n">
        <v>27</v>
      </c>
      <c r="E5463" s="3" t="n">
        <v>1</v>
      </c>
      <c r="F5463" s="24" t="n">
        <v>0</v>
      </c>
    </row>
    <row r="5464" customFormat="false" ht="15" hidden="false" customHeight="false" outlineLevel="0" collapsed="false">
      <c r="A5464" s="3" t="n">
        <v>5463</v>
      </c>
      <c r="B5464" s="3" t="n">
        <v>5462</v>
      </c>
      <c r="C5464" s="3" t="n">
        <v>6</v>
      </c>
      <c r="D5464" s="3" t="n">
        <v>27</v>
      </c>
      <c r="E5464" s="3" t="n">
        <v>2</v>
      </c>
      <c r="F5464" s="24" t="n">
        <v>0</v>
      </c>
    </row>
    <row r="5465" customFormat="false" ht="15" hidden="false" customHeight="false" outlineLevel="0" collapsed="false">
      <c r="A5465" s="3" t="n">
        <v>5464</v>
      </c>
      <c r="B5465" s="3" t="n">
        <v>5463</v>
      </c>
      <c r="C5465" s="3" t="n">
        <v>6</v>
      </c>
      <c r="D5465" s="3" t="n">
        <v>27</v>
      </c>
      <c r="E5465" s="3" t="n">
        <v>3</v>
      </c>
      <c r="F5465" s="24" t="n">
        <v>0</v>
      </c>
    </row>
    <row r="5466" customFormat="false" ht="15" hidden="false" customHeight="false" outlineLevel="0" collapsed="false">
      <c r="A5466" s="3" t="n">
        <v>5465</v>
      </c>
      <c r="B5466" s="3" t="n">
        <v>5464</v>
      </c>
      <c r="C5466" s="3" t="n">
        <v>6</v>
      </c>
      <c r="D5466" s="3" t="n">
        <v>27</v>
      </c>
      <c r="E5466" s="3" t="n">
        <v>4</v>
      </c>
      <c r="F5466" s="24" t="n">
        <v>0</v>
      </c>
    </row>
    <row r="5467" customFormat="false" ht="15" hidden="false" customHeight="false" outlineLevel="0" collapsed="false">
      <c r="A5467" s="3" t="n">
        <v>5466</v>
      </c>
      <c r="B5467" s="3" t="n">
        <v>5465</v>
      </c>
      <c r="C5467" s="3" t="n">
        <v>6</v>
      </c>
      <c r="D5467" s="3" t="n">
        <v>27</v>
      </c>
      <c r="E5467" s="3" t="n">
        <v>5</v>
      </c>
      <c r="F5467" s="24" t="n">
        <v>0</v>
      </c>
    </row>
    <row r="5468" customFormat="false" ht="15" hidden="false" customHeight="false" outlineLevel="0" collapsed="false">
      <c r="A5468" s="3" t="n">
        <v>5467</v>
      </c>
      <c r="B5468" s="3" t="n">
        <v>5466</v>
      </c>
      <c r="C5468" s="3" t="n">
        <v>6</v>
      </c>
      <c r="D5468" s="3" t="n">
        <v>27</v>
      </c>
      <c r="E5468" s="3" t="n">
        <v>6</v>
      </c>
      <c r="F5468" s="24" t="n">
        <v>0</v>
      </c>
    </row>
    <row r="5469" customFormat="false" ht="15" hidden="false" customHeight="false" outlineLevel="0" collapsed="false">
      <c r="A5469" s="3" t="n">
        <v>5468</v>
      </c>
      <c r="B5469" s="3" t="n">
        <v>5467</v>
      </c>
      <c r="C5469" s="3" t="n">
        <v>6</v>
      </c>
      <c r="D5469" s="3" t="n">
        <v>27</v>
      </c>
      <c r="E5469" s="3" t="n">
        <v>7</v>
      </c>
      <c r="F5469" s="24" t="n">
        <v>0</v>
      </c>
    </row>
    <row r="5470" customFormat="false" ht="15" hidden="false" customHeight="false" outlineLevel="0" collapsed="false">
      <c r="A5470" s="3" t="n">
        <v>5469</v>
      </c>
      <c r="B5470" s="3" t="n">
        <v>5468</v>
      </c>
      <c r="C5470" s="3" t="n">
        <v>6</v>
      </c>
      <c r="D5470" s="3" t="n">
        <v>27</v>
      </c>
      <c r="E5470" s="3" t="n">
        <v>8</v>
      </c>
      <c r="F5470" s="24" t="n">
        <v>0</v>
      </c>
    </row>
    <row r="5471" customFormat="false" ht="15" hidden="false" customHeight="false" outlineLevel="0" collapsed="false">
      <c r="A5471" s="3" t="n">
        <v>5470</v>
      </c>
      <c r="B5471" s="3" t="n">
        <v>5469</v>
      </c>
      <c r="C5471" s="3" t="n">
        <v>6</v>
      </c>
      <c r="D5471" s="3" t="n">
        <v>27</v>
      </c>
      <c r="E5471" s="3" t="n">
        <v>9</v>
      </c>
      <c r="F5471" s="24" t="n">
        <v>0.314254135</v>
      </c>
    </row>
    <row r="5472" customFormat="false" ht="15" hidden="false" customHeight="false" outlineLevel="0" collapsed="false">
      <c r="A5472" s="3" t="n">
        <v>5471</v>
      </c>
      <c r="B5472" s="3" t="n">
        <v>5470</v>
      </c>
      <c r="C5472" s="3" t="n">
        <v>6</v>
      </c>
      <c r="D5472" s="3" t="n">
        <v>27</v>
      </c>
      <c r="E5472" s="3" t="n">
        <v>10</v>
      </c>
      <c r="F5472" s="24" t="n">
        <v>1.18622661</v>
      </c>
    </row>
    <row r="5473" customFormat="false" ht="15" hidden="false" customHeight="false" outlineLevel="0" collapsed="false">
      <c r="A5473" s="3" t="n">
        <v>5472</v>
      </c>
      <c r="B5473" s="3" t="n">
        <v>5471</v>
      </c>
      <c r="C5473" s="3" t="n">
        <v>6</v>
      </c>
      <c r="D5473" s="3" t="n">
        <v>27</v>
      </c>
      <c r="E5473" s="3" t="n">
        <v>11</v>
      </c>
      <c r="F5473" s="24" t="n">
        <v>1.55519938</v>
      </c>
    </row>
    <row r="5474" customFormat="false" ht="15" hidden="false" customHeight="false" outlineLevel="0" collapsed="false">
      <c r="A5474" s="3" t="n">
        <v>5473</v>
      </c>
      <c r="B5474" s="3" t="n">
        <v>5472</v>
      </c>
      <c r="C5474" s="3" t="n">
        <v>6</v>
      </c>
      <c r="D5474" s="3" t="n">
        <v>27</v>
      </c>
      <c r="E5474" s="3" t="n">
        <v>12</v>
      </c>
      <c r="F5474" s="24" t="n">
        <v>0.839930058</v>
      </c>
    </row>
    <row r="5475" customFormat="false" ht="15" hidden="false" customHeight="false" outlineLevel="0" collapsed="false">
      <c r="A5475" s="3" t="n">
        <v>5474</v>
      </c>
      <c r="B5475" s="3" t="n">
        <v>5473</v>
      </c>
      <c r="C5475" s="3" t="n">
        <v>6</v>
      </c>
      <c r="D5475" s="3" t="n">
        <v>27</v>
      </c>
      <c r="E5475" s="3" t="n">
        <v>13</v>
      </c>
      <c r="F5475" s="24" t="n">
        <v>0.121857002</v>
      </c>
    </row>
    <row r="5476" customFormat="false" ht="15" hidden="false" customHeight="false" outlineLevel="0" collapsed="false">
      <c r="A5476" s="3" t="n">
        <v>5475</v>
      </c>
      <c r="B5476" s="3" t="n">
        <v>5474</v>
      </c>
      <c r="C5476" s="3" t="n">
        <v>6</v>
      </c>
      <c r="D5476" s="3" t="n">
        <v>27</v>
      </c>
      <c r="E5476" s="3" t="n">
        <v>14</v>
      </c>
      <c r="F5476" s="24" t="n">
        <v>0</v>
      </c>
    </row>
    <row r="5477" customFormat="false" ht="15" hidden="false" customHeight="false" outlineLevel="0" collapsed="false">
      <c r="A5477" s="3" t="n">
        <v>5476</v>
      </c>
      <c r="B5477" s="3" t="n">
        <v>5475</v>
      </c>
      <c r="C5477" s="3" t="n">
        <v>6</v>
      </c>
      <c r="D5477" s="3" t="n">
        <v>27</v>
      </c>
      <c r="E5477" s="3" t="n">
        <v>15</v>
      </c>
      <c r="F5477" s="24" t="n">
        <v>0</v>
      </c>
    </row>
    <row r="5478" customFormat="false" ht="15" hidden="false" customHeight="false" outlineLevel="0" collapsed="false">
      <c r="A5478" s="3" t="n">
        <v>5477</v>
      </c>
      <c r="B5478" s="3" t="n">
        <v>5476</v>
      </c>
      <c r="C5478" s="3" t="n">
        <v>6</v>
      </c>
      <c r="D5478" s="3" t="n">
        <v>27</v>
      </c>
      <c r="E5478" s="3" t="n">
        <v>16</v>
      </c>
      <c r="F5478" s="24" t="n">
        <v>0</v>
      </c>
    </row>
    <row r="5479" customFormat="false" ht="15" hidden="false" customHeight="false" outlineLevel="0" collapsed="false">
      <c r="A5479" s="3" t="n">
        <v>5478</v>
      </c>
      <c r="B5479" s="3" t="n">
        <v>5477</v>
      </c>
      <c r="C5479" s="3" t="n">
        <v>6</v>
      </c>
      <c r="D5479" s="3" t="n">
        <v>27</v>
      </c>
      <c r="E5479" s="3" t="n">
        <v>17</v>
      </c>
      <c r="F5479" s="24" t="n">
        <v>0</v>
      </c>
    </row>
    <row r="5480" customFormat="false" ht="15" hidden="false" customHeight="false" outlineLevel="0" collapsed="false">
      <c r="A5480" s="3" t="n">
        <v>5479</v>
      </c>
      <c r="B5480" s="3" t="n">
        <v>5478</v>
      </c>
      <c r="C5480" s="3" t="n">
        <v>6</v>
      </c>
      <c r="D5480" s="3" t="n">
        <v>27</v>
      </c>
      <c r="E5480" s="3" t="n">
        <v>18</v>
      </c>
      <c r="F5480" s="24" t="n">
        <v>0</v>
      </c>
    </row>
    <row r="5481" customFormat="false" ht="15" hidden="false" customHeight="false" outlineLevel="0" collapsed="false">
      <c r="A5481" s="3" t="n">
        <v>5480</v>
      </c>
      <c r="B5481" s="3" t="n">
        <v>5479</v>
      </c>
      <c r="C5481" s="3" t="n">
        <v>6</v>
      </c>
      <c r="D5481" s="3" t="n">
        <v>27</v>
      </c>
      <c r="E5481" s="3" t="n">
        <v>19</v>
      </c>
      <c r="F5481" s="24" t="n">
        <v>0</v>
      </c>
    </row>
    <row r="5482" customFormat="false" ht="15" hidden="false" customHeight="false" outlineLevel="0" collapsed="false">
      <c r="A5482" s="3" t="n">
        <v>5481</v>
      </c>
      <c r="B5482" s="3" t="n">
        <v>5480</v>
      </c>
      <c r="C5482" s="3" t="n">
        <v>6</v>
      </c>
      <c r="D5482" s="3" t="n">
        <v>27</v>
      </c>
      <c r="E5482" s="3" t="n">
        <v>20</v>
      </c>
      <c r="F5482" s="24" t="n">
        <v>0</v>
      </c>
    </row>
    <row r="5483" customFormat="false" ht="15" hidden="false" customHeight="false" outlineLevel="0" collapsed="false">
      <c r="A5483" s="3" t="n">
        <v>5482</v>
      </c>
      <c r="B5483" s="3" t="n">
        <v>5481</v>
      </c>
      <c r="C5483" s="3" t="n">
        <v>6</v>
      </c>
      <c r="D5483" s="3" t="n">
        <v>27</v>
      </c>
      <c r="E5483" s="3" t="n">
        <v>21</v>
      </c>
      <c r="F5483" s="24" t="n">
        <v>0</v>
      </c>
    </row>
    <row r="5484" customFormat="false" ht="15" hidden="false" customHeight="false" outlineLevel="0" collapsed="false">
      <c r="A5484" s="3" t="n">
        <v>5483</v>
      </c>
      <c r="B5484" s="3" t="n">
        <v>5482</v>
      </c>
      <c r="C5484" s="3" t="n">
        <v>6</v>
      </c>
      <c r="D5484" s="3" t="n">
        <v>27</v>
      </c>
      <c r="E5484" s="3" t="n">
        <v>22</v>
      </c>
      <c r="F5484" s="24" t="n">
        <v>0</v>
      </c>
    </row>
    <row r="5485" customFormat="false" ht="15" hidden="false" customHeight="false" outlineLevel="0" collapsed="false">
      <c r="A5485" s="3" t="n">
        <v>5484</v>
      </c>
      <c r="B5485" s="3" t="n">
        <v>5483</v>
      </c>
      <c r="C5485" s="3" t="n">
        <v>6</v>
      </c>
      <c r="D5485" s="3" t="n">
        <v>27</v>
      </c>
      <c r="E5485" s="3" t="n">
        <v>23</v>
      </c>
      <c r="F5485" s="24" t="n">
        <v>0</v>
      </c>
    </row>
    <row r="5486" customFormat="false" ht="15" hidden="false" customHeight="false" outlineLevel="0" collapsed="false">
      <c r="A5486" s="3" t="n">
        <v>5485</v>
      </c>
      <c r="B5486" s="3" t="n">
        <v>5484</v>
      </c>
      <c r="C5486" s="3" t="n">
        <v>6</v>
      </c>
      <c r="D5486" s="3" t="n">
        <v>27</v>
      </c>
      <c r="E5486" s="3" t="n">
        <v>24</v>
      </c>
      <c r="F5486" s="24" t="n">
        <v>0</v>
      </c>
    </row>
    <row r="5487" customFormat="false" ht="15" hidden="false" customHeight="false" outlineLevel="0" collapsed="false">
      <c r="A5487" s="3" t="n">
        <v>5486</v>
      </c>
      <c r="B5487" s="3" t="n">
        <v>5485</v>
      </c>
      <c r="C5487" s="3" t="n">
        <v>6</v>
      </c>
      <c r="D5487" s="3" t="n">
        <v>27</v>
      </c>
      <c r="E5487" s="3" t="n">
        <v>25</v>
      </c>
      <c r="F5487" s="24" t="n">
        <v>0</v>
      </c>
    </row>
    <row r="5488" customFormat="false" ht="15" hidden="false" customHeight="false" outlineLevel="0" collapsed="false">
      <c r="A5488" s="3" t="n">
        <v>5487</v>
      </c>
      <c r="B5488" s="3" t="n">
        <v>5486</v>
      </c>
      <c r="C5488" s="3" t="n">
        <v>6</v>
      </c>
      <c r="D5488" s="3" t="n">
        <v>27</v>
      </c>
      <c r="E5488" s="3" t="n">
        <v>26</v>
      </c>
      <c r="F5488" s="24" t="n">
        <v>0</v>
      </c>
    </row>
    <row r="5489" customFormat="false" ht="15" hidden="false" customHeight="false" outlineLevel="0" collapsed="false">
      <c r="A5489" s="3" t="n">
        <v>5488</v>
      </c>
      <c r="B5489" s="3" t="n">
        <v>5487</v>
      </c>
      <c r="C5489" s="3" t="n">
        <v>6</v>
      </c>
      <c r="D5489" s="3" t="n">
        <v>27</v>
      </c>
      <c r="E5489" s="3" t="n">
        <v>27</v>
      </c>
      <c r="F5489" s="24" t="n">
        <v>0</v>
      </c>
    </row>
    <row r="5490" customFormat="false" ht="15" hidden="false" customHeight="false" outlineLevel="0" collapsed="false">
      <c r="A5490" s="3" t="n">
        <v>5489</v>
      </c>
      <c r="B5490" s="3" t="n">
        <v>5488</v>
      </c>
      <c r="C5490" s="3" t="n">
        <v>7</v>
      </c>
      <c r="D5490" s="3" t="n">
        <v>0</v>
      </c>
      <c r="E5490" s="3" t="n">
        <v>0</v>
      </c>
      <c r="F5490" s="24" t="n">
        <v>0.0377224386</v>
      </c>
    </row>
    <row r="5491" customFormat="false" ht="15" hidden="false" customHeight="false" outlineLevel="0" collapsed="false">
      <c r="A5491" s="3" t="n">
        <v>5490</v>
      </c>
      <c r="B5491" s="3" t="n">
        <v>5489</v>
      </c>
      <c r="C5491" s="3" t="n">
        <v>7</v>
      </c>
      <c r="D5491" s="3" t="n">
        <v>0</v>
      </c>
      <c r="E5491" s="3" t="n">
        <v>1</v>
      </c>
      <c r="F5491" s="24" t="n">
        <v>0</v>
      </c>
    </row>
    <row r="5492" customFormat="false" ht="15" hidden="false" customHeight="false" outlineLevel="0" collapsed="false">
      <c r="A5492" s="3" t="n">
        <v>5491</v>
      </c>
      <c r="B5492" s="3" t="n">
        <v>5490</v>
      </c>
      <c r="C5492" s="3" t="n">
        <v>7</v>
      </c>
      <c r="D5492" s="3" t="n">
        <v>0</v>
      </c>
      <c r="E5492" s="3" t="n">
        <v>2</v>
      </c>
      <c r="F5492" s="24" t="n">
        <v>0</v>
      </c>
    </row>
    <row r="5493" customFormat="false" ht="15" hidden="false" customHeight="false" outlineLevel="0" collapsed="false">
      <c r="A5493" s="3" t="n">
        <v>5492</v>
      </c>
      <c r="B5493" s="3" t="n">
        <v>5491</v>
      </c>
      <c r="C5493" s="3" t="n">
        <v>7</v>
      </c>
      <c r="D5493" s="3" t="n">
        <v>0</v>
      </c>
      <c r="E5493" s="3" t="n">
        <v>3</v>
      </c>
      <c r="F5493" s="24" t="n">
        <v>0</v>
      </c>
    </row>
    <row r="5494" customFormat="false" ht="15" hidden="false" customHeight="false" outlineLevel="0" collapsed="false">
      <c r="A5494" s="3" t="n">
        <v>5493</v>
      </c>
      <c r="B5494" s="3" t="n">
        <v>5492</v>
      </c>
      <c r="C5494" s="3" t="n">
        <v>7</v>
      </c>
      <c r="D5494" s="3" t="n">
        <v>0</v>
      </c>
      <c r="E5494" s="3" t="n">
        <v>4</v>
      </c>
      <c r="F5494" s="24" t="n">
        <v>0</v>
      </c>
    </row>
    <row r="5495" customFormat="false" ht="15" hidden="false" customHeight="false" outlineLevel="0" collapsed="false">
      <c r="A5495" s="3" t="n">
        <v>5494</v>
      </c>
      <c r="B5495" s="3" t="n">
        <v>5493</v>
      </c>
      <c r="C5495" s="3" t="n">
        <v>7</v>
      </c>
      <c r="D5495" s="3" t="n">
        <v>0</v>
      </c>
      <c r="E5495" s="3" t="n">
        <v>5</v>
      </c>
      <c r="F5495" s="24" t="n">
        <v>0</v>
      </c>
    </row>
    <row r="5496" customFormat="false" ht="15" hidden="false" customHeight="false" outlineLevel="0" collapsed="false">
      <c r="A5496" s="3" t="n">
        <v>5495</v>
      </c>
      <c r="B5496" s="3" t="n">
        <v>5494</v>
      </c>
      <c r="C5496" s="3" t="n">
        <v>7</v>
      </c>
      <c r="D5496" s="3" t="n">
        <v>0</v>
      </c>
      <c r="E5496" s="3" t="n">
        <v>6</v>
      </c>
      <c r="F5496" s="24" t="n">
        <v>0</v>
      </c>
    </row>
    <row r="5497" customFormat="false" ht="15" hidden="false" customHeight="false" outlineLevel="0" collapsed="false">
      <c r="A5497" s="3" t="n">
        <v>5496</v>
      </c>
      <c r="B5497" s="3" t="n">
        <v>5495</v>
      </c>
      <c r="C5497" s="3" t="n">
        <v>7</v>
      </c>
      <c r="D5497" s="3" t="n">
        <v>0</v>
      </c>
      <c r="E5497" s="3" t="n">
        <v>7</v>
      </c>
      <c r="F5497" s="24" t="n">
        <v>0</v>
      </c>
    </row>
    <row r="5498" customFormat="false" ht="15" hidden="false" customHeight="false" outlineLevel="0" collapsed="false">
      <c r="A5498" s="3" t="n">
        <v>5497</v>
      </c>
      <c r="B5498" s="3" t="n">
        <v>5496</v>
      </c>
      <c r="C5498" s="3" t="n">
        <v>7</v>
      </c>
      <c r="D5498" s="3" t="n">
        <v>0</v>
      </c>
      <c r="E5498" s="3" t="n">
        <v>8</v>
      </c>
      <c r="F5498" s="24" t="n">
        <v>0</v>
      </c>
    </row>
    <row r="5499" customFormat="false" ht="15" hidden="false" customHeight="false" outlineLevel="0" collapsed="false">
      <c r="A5499" s="3" t="n">
        <v>5498</v>
      </c>
      <c r="B5499" s="3" t="n">
        <v>5497</v>
      </c>
      <c r="C5499" s="3" t="n">
        <v>7</v>
      </c>
      <c r="D5499" s="3" t="n">
        <v>0</v>
      </c>
      <c r="E5499" s="3" t="n">
        <v>9</v>
      </c>
      <c r="F5499" s="24" t="n">
        <v>0</v>
      </c>
    </row>
    <row r="5500" customFormat="false" ht="15" hidden="false" customHeight="false" outlineLevel="0" collapsed="false">
      <c r="A5500" s="3" t="n">
        <v>5499</v>
      </c>
      <c r="B5500" s="3" t="n">
        <v>5498</v>
      </c>
      <c r="C5500" s="3" t="n">
        <v>7</v>
      </c>
      <c r="D5500" s="3" t="n">
        <v>0</v>
      </c>
      <c r="E5500" s="3" t="n">
        <v>10</v>
      </c>
      <c r="F5500" s="24" t="n">
        <v>0</v>
      </c>
    </row>
    <row r="5501" customFormat="false" ht="15" hidden="false" customHeight="false" outlineLevel="0" collapsed="false">
      <c r="A5501" s="3" t="n">
        <v>5500</v>
      </c>
      <c r="B5501" s="3" t="n">
        <v>5499</v>
      </c>
      <c r="C5501" s="3" t="n">
        <v>7</v>
      </c>
      <c r="D5501" s="3" t="n">
        <v>0</v>
      </c>
      <c r="E5501" s="3" t="n">
        <v>11</v>
      </c>
      <c r="F5501" s="24" t="n">
        <v>0</v>
      </c>
    </row>
    <row r="5502" customFormat="false" ht="15" hidden="false" customHeight="false" outlineLevel="0" collapsed="false">
      <c r="A5502" s="3" t="n">
        <v>5501</v>
      </c>
      <c r="B5502" s="3" t="n">
        <v>5500</v>
      </c>
      <c r="C5502" s="3" t="n">
        <v>7</v>
      </c>
      <c r="D5502" s="3" t="n">
        <v>0</v>
      </c>
      <c r="E5502" s="3" t="n">
        <v>12</v>
      </c>
      <c r="F5502" s="24" t="n">
        <v>0</v>
      </c>
    </row>
    <row r="5503" customFormat="false" ht="15" hidden="false" customHeight="false" outlineLevel="0" collapsed="false">
      <c r="A5503" s="3" t="n">
        <v>5502</v>
      </c>
      <c r="B5503" s="3" t="n">
        <v>5501</v>
      </c>
      <c r="C5503" s="3" t="n">
        <v>7</v>
      </c>
      <c r="D5503" s="3" t="n">
        <v>0</v>
      </c>
      <c r="E5503" s="3" t="n">
        <v>13</v>
      </c>
      <c r="F5503" s="24" t="n">
        <v>0</v>
      </c>
    </row>
    <row r="5504" customFormat="false" ht="15" hidden="false" customHeight="false" outlineLevel="0" collapsed="false">
      <c r="A5504" s="3" t="n">
        <v>5503</v>
      </c>
      <c r="B5504" s="3" t="n">
        <v>5502</v>
      </c>
      <c r="C5504" s="3" t="n">
        <v>7</v>
      </c>
      <c r="D5504" s="3" t="n">
        <v>0</v>
      </c>
      <c r="E5504" s="3" t="n">
        <v>14</v>
      </c>
      <c r="F5504" s="24" t="n">
        <v>0</v>
      </c>
    </row>
    <row r="5505" customFormat="false" ht="15" hidden="false" customHeight="false" outlineLevel="0" collapsed="false">
      <c r="A5505" s="3" t="n">
        <v>5504</v>
      </c>
      <c r="B5505" s="3" t="n">
        <v>5503</v>
      </c>
      <c r="C5505" s="3" t="n">
        <v>7</v>
      </c>
      <c r="D5505" s="3" t="n">
        <v>0</v>
      </c>
      <c r="E5505" s="3" t="n">
        <v>15</v>
      </c>
      <c r="F5505" s="24" t="n">
        <v>0</v>
      </c>
    </row>
    <row r="5506" customFormat="false" ht="15" hidden="false" customHeight="false" outlineLevel="0" collapsed="false">
      <c r="A5506" s="3" t="n">
        <v>5505</v>
      </c>
      <c r="B5506" s="3" t="n">
        <v>5504</v>
      </c>
      <c r="C5506" s="3" t="n">
        <v>7</v>
      </c>
      <c r="D5506" s="3" t="n">
        <v>0</v>
      </c>
      <c r="E5506" s="3" t="n">
        <v>16</v>
      </c>
      <c r="F5506" s="24" t="n">
        <v>0</v>
      </c>
    </row>
    <row r="5507" customFormat="false" ht="15" hidden="false" customHeight="false" outlineLevel="0" collapsed="false">
      <c r="A5507" s="3" t="n">
        <v>5506</v>
      </c>
      <c r="B5507" s="3" t="n">
        <v>5505</v>
      </c>
      <c r="C5507" s="3" t="n">
        <v>7</v>
      </c>
      <c r="D5507" s="3" t="n">
        <v>0</v>
      </c>
      <c r="E5507" s="3" t="n">
        <v>17</v>
      </c>
      <c r="F5507" s="24" t="n">
        <v>0</v>
      </c>
    </row>
    <row r="5508" customFormat="false" ht="15" hidden="false" customHeight="false" outlineLevel="0" collapsed="false">
      <c r="A5508" s="3" t="n">
        <v>5507</v>
      </c>
      <c r="B5508" s="3" t="n">
        <v>5506</v>
      </c>
      <c r="C5508" s="3" t="n">
        <v>7</v>
      </c>
      <c r="D5508" s="3" t="n">
        <v>0</v>
      </c>
      <c r="E5508" s="3" t="n">
        <v>18</v>
      </c>
      <c r="F5508" s="24" t="n">
        <v>0</v>
      </c>
    </row>
    <row r="5509" customFormat="false" ht="15" hidden="false" customHeight="false" outlineLevel="0" collapsed="false">
      <c r="A5509" s="3" t="n">
        <v>5508</v>
      </c>
      <c r="B5509" s="3" t="n">
        <v>5507</v>
      </c>
      <c r="C5509" s="3" t="n">
        <v>7</v>
      </c>
      <c r="D5509" s="3" t="n">
        <v>0</v>
      </c>
      <c r="E5509" s="3" t="n">
        <v>19</v>
      </c>
      <c r="F5509" s="24" t="n">
        <v>0</v>
      </c>
    </row>
    <row r="5510" customFormat="false" ht="15" hidden="false" customHeight="false" outlineLevel="0" collapsed="false">
      <c r="A5510" s="3" t="n">
        <v>5509</v>
      </c>
      <c r="B5510" s="3" t="n">
        <v>5508</v>
      </c>
      <c r="C5510" s="3" t="n">
        <v>7</v>
      </c>
      <c r="D5510" s="3" t="n">
        <v>0</v>
      </c>
      <c r="E5510" s="3" t="n">
        <v>20</v>
      </c>
      <c r="F5510" s="24" t="n">
        <v>0</v>
      </c>
    </row>
    <row r="5511" customFormat="false" ht="15" hidden="false" customHeight="false" outlineLevel="0" collapsed="false">
      <c r="A5511" s="3" t="n">
        <v>5510</v>
      </c>
      <c r="B5511" s="3" t="n">
        <v>5509</v>
      </c>
      <c r="C5511" s="3" t="n">
        <v>7</v>
      </c>
      <c r="D5511" s="3" t="n">
        <v>0</v>
      </c>
      <c r="E5511" s="3" t="n">
        <v>21</v>
      </c>
      <c r="F5511" s="24" t="n">
        <v>0</v>
      </c>
    </row>
    <row r="5512" customFormat="false" ht="15" hidden="false" customHeight="false" outlineLevel="0" collapsed="false">
      <c r="A5512" s="3" t="n">
        <v>5511</v>
      </c>
      <c r="B5512" s="3" t="n">
        <v>5510</v>
      </c>
      <c r="C5512" s="3" t="n">
        <v>7</v>
      </c>
      <c r="D5512" s="3" t="n">
        <v>0</v>
      </c>
      <c r="E5512" s="3" t="n">
        <v>22</v>
      </c>
      <c r="F5512" s="24" t="n">
        <v>0</v>
      </c>
    </row>
    <row r="5513" customFormat="false" ht="15" hidden="false" customHeight="false" outlineLevel="0" collapsed="false">
      <c r="A5513" s="3" t="n">
        <v>5512</v>
      </c>
      <c r="B5513" s="3" t="n">
        <v>5511</v>
      </c>
      <c r="C5513" s="3" t="n">
        <v>7</v>
      </c>
      <c r="D5513" s="3" t="n">
        <v>0</v>
      </c>
      <c r="E5513" s="3" t="n">
        <v>23</v>
      </c>
      <c r="F5513" s="24" t="n">
        <v>0</v>
      </c>
    </row>
    <row r="5514" customFormat="false" ht="15" hidden="false" customHeight="false" outlineLevel="0" collapsed="false">
      <c r="A5514" s="3" t="n">
        <v>5513</v>
      </c>
      <c r="B5514" s="3" t="n">
        <v>5512</v>
      </c>
      <c r="C5514" s="3" t="n">
        <v>7</v>
      </c>
      <c r="D5514" s="3" t="n">
        <v>0</v>
      </c>
      <c r="E5514" s="3" t="n">
        <v>24</v>
      </c>
      <c r="F5514" s="24" t="n">
        <v>0</v>
      </c>
    </row>
    <row r="5515" customFormat="false" ht="15" hidden="false" customHeight="false" outlineLevel="0" collapsed="false">
      <c r="A5515" s="3" t="n">
        <v>5514</v>
      </c>
      <c r="B5515" s="3" t="n">
        <v>5513</v>
      </c>
      <c r="C5515" s="3" t="n">
        <v>7</v>
      </c>
      <c r="D5515" s="3" t="n">
        <v>0</v>
      </c>
      <c r="E5515" s="3" t="n">
        <v>25</v>
      </c>
      <c r="F5515" s="24" t="n">
        <v>0</v>
      </c>
    </row>
    <row r="5516" customFormat="false" ht="15" hidden="false" customHeight="false" outlineLevel="0" collapsed="false">
      <c r="A5516" s="3" t="n">
        <v>5515</v>
      </c>
      <c r="B5516" s="3" t="n">
        <v>5514</v>
      </c>
      <c r="C5516" s="3" t="n">
        <v>7</v>
      </c>
      <c r="D5516" s="3" t="n">
        <v>0</v>
      </c>
      <c r="E5516" s="3" t="n">
        <v>26</v>
      </c>
      <c r="F5516" s="24" t="n">
        <v>0</v>
      </c>
    </row>
    <row r="5517" customFormat="false" ht="15" hidden="false" customHeight="false" outlineLevel="0" collapsed="false">
      <c r="A5517" s="3" t="n">
        <v>5516</v>
      </c>
      <c r="B5517" s="3" t="n">
        <v>5515</v>
      </c>
      <c r="C5517" s="3" t="n">
        <v>7</v>
      </c>
      <c r="D5517" s="3" t="n">
        <v>0</v>
      </c>
      <c r="E5517" s="3" t="n">
        <v>27</v>
      </c>
      <c r="F5517" s="24" t="n">
        <v>0</v>
      </c>
    </row>
    <row r="5518" customFormat="false" ht="15" hidden="false" customHeight="false" outlineLevel="0" collapsed="false">
      <c r="A5518" s="3" t="n">
        <v>5517</v>
      </c>
      <c r="B5518" s="3" t="n">
        <v>5516</v>
      </c>
      <c r="C5518" s="3" t="n">
        <v>7</v>
      </c>
      <c r="D5518" s="3" t="n">
        <v>1</v>
      </c>
      <c r="E5518" s="3" t="n">
        <v>0</v>
      </c>
      <c r="F5518" s="24" t="n">
        <v>0.259080142</v>
      </c>
    </row>
    <row r="5519" customFormat="false" ht="15" hidden="false" customHeight="false" outlineLevel="0" collapsed="false">
      <c r="A5519" s="3" t="n">
        <v>5518</v>
      </c>
      <c r="B5519" s="3" t="n">
        <v>5517</v>
      </c>
      <c r="C5519" s="3" t="n">
        <v>7</v>
      </c>
      <c r="D5519" s="3" t="n">
        <v>1</v>
      </c>
      <c r="E5519" s="3" t="n">
        <v>1</v>
      </c>
      <c r="F5519" s="24" t="n">
        <v>0</v>
      </c>
    </row>
    <row r="5520" customFormat="false" ht="15" hidden="false" customHeight="false" outlineLevel="0" collapsed="false">
      <c r="A5520" s="3" t="n">
        <v>5519</v>
      </c>
      <c r="B5520" s="3" t="n">
        <v>5518</v>
      </c>
      <c r="C5520" s="3" t="n">
        <v>7</v>
      </c>
      <c r="D5520" s="3" t="n">
        <v>1</v>
      </c>
      <c r="E5520" s="3" t="n">
        <v>2</v>
      </c>
      <c r="F5520" s="24" t="n">
        <v>0</v>
      </c>
    </row>
    <row r="5521" customFormat="false" ht="15" hidden="false" customHeight="false" outlineLevel="0" collapsed="false">
      <c r="A5521" s="3" t="n">
        <v>5520</v>
      </c>
      <c r="B5521" s="3" t="n">
        <v>5519</v>
      </c>
      <c r="C5521" s="3" t="n">
        <v>7</v>
      </c>
      <c r="D5521" s="3" t="n">
        <v>1</v>
      </c>
      <c r="E5521" s="3" t="n">
        <v>3</v>
      </c>
      <c r="F5521" s="24" t="n">
        <v>0</v>
      </c>
    </row>
    <row r="5522" customFormat="false" ht="15" hidden="false" customHeight="false" outlineLevel="0" collapsed="false">
      <c r="A5522" s="3" t="n">
        <v>5521</v>
      </c>
      <c r="B5522" s="3" t="n">
        <v>5520</v>
      </c>
      <c r="C5522" s="3" t="n">
        <v>7</v>
      </c>
      <c r="D5522" s="3" t="n">
        <v>1</v>
      </c>
      <c r="E5522" s="3" t="n">
        <v>4</v>
      </c>
      <c r="F5522" s="24" t="n">
        <v>0</v>
      </c>
    </row>
    <row r="5523" customFormat="false" ht="15" hidden="false" customHeight="false" outlineLevel="0" collapsed="false">
      <c r="A5523" s="3" t="n">
        <v>5522</v>
      </c>
      <c r="B5523" s="3" t="n">
        <v>5521</v>
      </c>
      <c r="C5523" s="3" t="n">
        <v>7</v>
      </c>
      <c r="D5523" s="3" t="n">
        <v>1</v>
      </c>
      <c r="E5523" s="3" t="n">
        <v>5</v>
      </c>
      <c r="F5523" s="24" t="n">
        <v>0</v>
      </c>
    </row>
    <row r="5524" customFormat="false" ht="15" hidden="false" customHeight="false" outlineLevel="0" collapsed="false">
      <c r="A5524" s="3" t="n">
        <v>5523</v>
      </c>
      <c r="B5524" s="3" t="n">
        <v>5522</v>
      </c>
      <c r="C5524" s="3" t="n">
        <v>7</v>
      </c>
      <c r="D5524" s="3" t="n">
        <v>1</v>
      </c>
      <c r="E5524" s="3" t="n">
        <v>6</v>
      </c>
      <c r="F5524" s="24" t="n">
        <v>0</v>
      </c>
    </row>
    <row r="5525" customFormat="false" ht="15" hidden="false" customHeight="false" outlineLevel="0" collapsed="false">
      <c r="A5525" s="3" t="n">
        <v>5524</v>
      </c>
      <c r="B5525" s="3" t="n">
        <v>5523</v>
      </c>
      <c r="C5525" s="3" t="n">
        <v>7</v>
      </c>
      <c r="D5525" s="3" t="n">
        <v>1</v>
      </c>
      <c r="E5525" s="3" t="n">
        <v>7</v>
      </c>
      <c r="F5525" s="24" t="n">
        <v>0</v>
      </c>
    </row>
    <row r="5526" customFormat="false" ht="15" hidden="false" customHeight="false" outlineLevel="0" collapsed="false">
      <c r="A5526" s="3" t="n">
        <v>5525</v>
      </c>
      <c r="B5526" s="3" t="n">
        <v>5524</v>
      </c>
      <c r="C5526" s="3" t="n">
        <v>7</v>
      </c>
      <c r="D5526" s="3" t="n">
        <v>1</v>
      </c>
      <c r="E5526" s="3" t="n">
        <v>8</v>
      </c>
      <c r="F5526" s="24" t="n">
        <v>0</v>
      </c>
    </row>
    <row r="5527" customFormat="false" ht="15" hidden="false" customHeight="false" outlineLevel="0" collapsed="false">
      <c r="A5527" s="3" t="n">
        <v>5526</v>
      </c>
      <c r="B5527" s="3" t="n">
        <v>5525</v>
      </c>
      <c r="C5527" s="3" t="n">
        <v>7</v>
      </c>
      <c r="D5527" s="3" t="n">
        <v>1</v>
      </c>
      <c r="E5527" s="3" t="n">
        <v>9</v>
      </c>
      <c r="F5527" s="24" t="n">
        <v>0</v>
      </c>
    </row>
    <row r="5528" customFormat="false" ht="15" hidden="false" customHeight="false" outlineLevel="0" collapsed="false">
      <c r="A5528" s="3" t="n">
        <v>5527</v>
      </c>
      <c r="B5528" s="3" t="n">
        <v>5526</v>
      </c>
      <c r="C5528" s="3" t="n">
        <v>7</v>
      </c>
      <c r="D5528" s="3" t="n">
        <v>1</v>
      </c>
      <c r="E5528" s="3" t="n">
        <v>10</v>
      </c>
      <c r="F5528" s="24" t="n">
        <v>0</v>
      </c>
    </row>
    <row r="5529" customFormat="false" ht="15" hidden="false" customHeight="false" outlineLevel="0" collapsed="false">
      <c r="A5529" s="3" t="n">
        <v>5528</v>
      </c>
      <c r="B5529" s="3" t="n">
        <v>5527</v>
      </c>
      <c r="C5529" s="3" t="n">
        <v>7</v>
      </c>
      <c r="D5529" s="3" t="n">
        <v>1</v>
      </c>
      <c r="E5529" s="3" t="n">
        <v>11</v>
      </c>
      <c r="F5529" s="24" t="n">
        <v>0</v>
      </c>
    </row>
    <row r="5530" customFormat="false" ht="15" hidden="false" customHeight="false" outlineLevel="0" collapsed="false">
      <c r="A5530" s="3" t="n">
        <v>5529</v>
      </c>
      <c r="B5530" s="3" t="n">
        <v>5528</v>
      </c>
      <c r="C5530" s="3" t="n">
        <v>7</v>
      </c>
      <c r="D5530" s="3" t="n">
        <v>1</v>
      </c>
      <c r="E5530" s="3" t="n">
        <v>12</v>
      </c>
      <c r="F5530" s="24" t="n">
        <v>0</v>
      </c>
    </row>
    <row r="5531" customFormat="false" ht="15" hidden="false" customHeight="false" outlineLevel="0" collapsed="false">
      <c r="A5531" s="3" t="n">
        <v>5530</v>
      </c>
      <c r="B5531" s="3" t="n">
        <v>5529</v>
      </c>
      <c r="C5531" s="3" t="n">
        <v>7</v>
      </c>
      <c r="D5531" s="3" t="n">
        <v>1</v>
      </c>
      <c r="E5531" s="3" t="n">
        <v>13</v>
      </c>
      <c r="F5531" s="24" t="n">
        <v>0</v>
      </c>
    </row>
    <row r="5532" customFormat="false" ht="15" hidden="false" customHeight="false" outlineLevel="0" collapsed="false">
      <c r="A5532" s="3" t="n">
        <v>5531</v>
      </c>
      <c r="B5532" s="3" t="n">
        <v>5530</v>
      </c>
      <c r="C5532" s="3" t="n">
        <v>7</v>
      </c>
      <c r="D5532" s="3" t="n">
        <v>1</v>
      </c>
      <c r="E5532" s="3" t="n">
        <v>14</v>
      </c>
      <c r="F5532" s="24" t="n">
        <v>0</v>
      </c>
    </row>
    <row r="5533" customFormat="false" ht="15" hidden="false" customHeight="false" outlineLevel="0" collapsed="false">
      <c r="A5533" s="3" t="n">
        <v>5532</v>
      </c>
      <c r="B5533" s="3" t="n">
        <v>5531</v>
      </c>
      <c r="C5533" s="3" t="n">
        <v>7</v>
      </c>
      <c r="D5533" s="3" t="n">
        <v>1</v>
      </c>
      <c r="E5533" s="3" t="n">
        <v>15</v>
      </c>
      <c r="F5533" s="24" t="n">
        <v>0</v>
      </c>
    </row>
    <row r="5534" customFormat="false" ht="15" hidden="false" customHeight="false" outlineLevel="0" collapsed="false">
      <c r="A5534" s="3" t="n">
        <v>5533</v>
      </c>
      <c r="B5534" s="3" t="n">
        <v>5532</v>
      </c>
      <c r="C5534" s="3" t="n">
        <v>7</v>
      </c>
      <c r="D5534" s="3" t="n">
        <v>1</v>
      </c>
      <c r="E5534" s="3" t="n">
        <v>16</v>
      </c>
      <c r="F5534" s="24" t="n">
        <v>0</v>
      </c>
    </row>
    <row r="5535" customFormat="false" ht="15" hidden="false" customHeight="false" outlineLevel="0" collapsed="false">
      <c r="A5535" s="3" t="n">
        <v>5534</v>
      </c>
      <c r="B5535" s="3" t="n">
        <v>5533</v>
      </c>
      <c r="C5535" s="3" t="n">
        <v>7</v>
      </c>
      <c r="D5535" s="3" t="n">
        <v>1</v>
      </c>
      <c r="E5535" s="3" t="n">
        <v>17</v>
      </c>
      <c r="F5535" s="24" t="n">
        <v>0</v>
      </c>
    </row>
    <row r="5536" customFormat="false" ht="15" hidden="false" customHeight="false" outlineLevel="0" collapsed="false">
      <c r="A5536" s="3" t="n">
        <v>5535</v>
      </c>
      <c r="B5536" s="3" t="n">
        <v>5534</v>
      </c>
      <c r="C5536" s="3" t="n">
        <v>7</v>
      </c>
      <c r="D5536" s="3" t="n">
        <v>1</v>
      </c>
      <c r="E5536" s="3" t="n">
        <v>18</v>
      </c>
      <c r="F5536" s="24" t="n">
        <v>0</v>
      </c>
    </row>
    <row r="5537" customFormat="false" ht="15" hidden="false" customHeight="false" outlineLevel="0" collapsed="false">
      <c r="A5537" s="3" t="n">
        <v>5536</v>
      </c>
      <c r="B5537" s="3" t="n">
        <v>5535</v>
      </c>
      <c r="C5537" s="3" t="n">
        <v>7</v>
      </c>
      <c r="D5537" s="3" t="n">
        <v>1</v>
      </c>
      <c r="E5537" s="3" t="n">
        <v>19</v>
      </c>
      <c r="F5537" s="24" t="n">
        <v>0</v>
      </c>
    </row>
    <row r="5538" customFormat="false" ht="15" hidden="false" customHeight="false" outlineLevel="0" collapsed="false">
      <c r="A5538" s="3" t="n">
        <v>5537</v>
      </c>
      <c r="B5538" s="3" t="n">
        <v>5536</v>
      </c>
      <c r="C5538" s="3" t="n">
        <v>7</v>
      </c>
      <c r="D5538" s="3" t="n">
        <v>1</v>
      </c>
      <c r="E5538" s="3" t="n">
        <v>20</v>
      </c>
      <c r="F5538" s="24" t="n">
        <v>0</v>
      </c>
    </row>
    <row r="5539" customFormat="false" ht="15" hidden="false" customHeight="false" outlineLevel="0" collapsed="false">
      <c r="A5539" s="3" t="n">
        <v>5538</v>
      </c>
      <c r="B5539" s="3" t="n">
        <v>5537</v>
      </c>
      <c r="C5539" s="3" t="n">
        <v>7</v>
      </c>
      <c r="D5539" s="3" t="n">
        <v>1</v>
      </c>
      <c r="E5539" s="3" t="n">
        <v>21</v>
      </c>
      <c r="F5539" s="24" t="n">
        <v>0</v>
      </c>
    </row>
    <row r="5540" customFormat="false" ht="15" hidden="false" customHeight="false" outlineLevel="0" collapsed="false">
      <c r="A5540" s="3" t="n">
        <v>5539</v>
      </c>
      <c r="B5540" s="3" t="n">
        <v>5538</v>
      </c>
      <c r="C5540" s="3" t="n">
        <v>7</v>
      </c>
      <c r="D5540" s="3" t="n">
        <v>1</v>
      </c>
      <c r="E5540" s="3" t="n">
        <v>22</v>
      </c>
      <c r="F5540" s="24" t="n">
        <v>0</v>
      </c>
    </row>
    <row r="5541" customFormat="false" ht="15" hidden="false" customHeight="false" outlineLevel="0" collapsed="false">
      <c r="A5541" s="3" t="n">
        <v>5540</v>
      </c>
      <c r="B5541" s="3" t="n">
        <v>5539</v>
      </c>
      <c r="C5541" s="3" t="n">
        <v>7</v>
      </c>
      <c r="D5541" s="3" t="n">
        <v>1</v>
      </c>
      <c r="E5541" s="3" t="n">
        <v>23</v>
      </c>
      <c r="F5541" s="24" t="n">
        <v>0</v>
      </c>
    </row>
    <row r="5542" customFormat="false" ht="15" hidden="false" customHeight="false" outlineLevel="0" collapsed="false">
      <c r="A5542" s="3" t="n">
        <v>5541</v>
      </c>
      <c r="B5542" s="3" t="n">
        <v>5540</v>
      </c>
      <c r="C5542" s="3" t="n">
        <v>7</v>
      </c>
      <c r="D5542" s="3" t="n">
        <v>1</v>
      </c>
      <c r="E5542" s="3" t="n">
        <v>24</v>
      </c>
      <c r="F5542" s="24" t="n">
        <v>0</v>
      </c>
    </row>
    <row r="5543" customFormat="false" ht="15" hidden="false" customHeight="false" outlineLevel="0" collapsed="false">
      <c r="A5543" s="3" t="n">
        <v>5542</v>
      </c>
      <c r="B5543" s="3" t="n">
        <v>5541</v>
      </c>
      <c r="C5543" s="3" t="n">
        <v>7</v>
      </c>
      <c r="D5543" s="3" t="n">
        <v>1</v>
      </c>
      <c r="E5543" s="3" t="n">
        <v>25</v>
      </c>
      <c r="F5543" s="24" t="n">
        <v>0</v>
      </c>
    </row>
    <row r="5544" customFormat="false" ht="15" hidden="false" customHeight="false" outlineLevel="0" collapsed="false">
      <c r="A5544" s="3" t="n">
        <v>5543</v>
      </c>
      <c r="B5544" s="3" t="n">
        <v>5542</v>
      </c>
      <c r="C5544" s="3" t="n">
        <v>7</v>
      </c>
      <c r="D5544" s="3" t="n">
        <v>1</v>
      </c>
      <c r="E5544" s="3" t="n">
        <v>26</v>
      </c>
      <c r="F5544" s="24" t="n">
        <v>0</v>
      </c>
    </row>
    <row r="5545" customFormat="false" ht="15" hidden="false" customHeight="false" outlineLevel="0" collapsed="false">
      <c r="A5545" s="3" t="n">
        <v>5544</v>
      </c>
      <c r="B5545" s="3" t="n">
        <v>5543</v>
      </c>
      <c r="C5545" s="3" t="n">
        <v>7</v>
      </c>
      <c r="D5545" s="3" t="n">
        <v>1</v>
      </c>
      <c r="E5545" s="3" t="n">
        <v>27</v>
      </c>
      <c r="F5545" s="24" t="n">
        <v>0</v>
      </c>
    </row>
    <row r="5546" customFormat="false" ht="15" hidden="false" customHeight="false" outlineLevel="0" collapsed="false">
      <c r="A5546" s="3" t="n">
        <v>5545</v>
      </c>
      <c r="B5546" s="3" t="n">
        <v>5544</v>
      </c>
      <c r="C5546" s="3" t="n">
        <v>7</v>
      </c>
      <c r="D5546" s="3" t="n">
        <v>2</v>
      </c>
      <c r="E5546" s="3" t="n">
        <v>0</v>
      </c>
      <c r="F5546" s="24" t="n">
        <v>0.259080142</v>
      </c>
    </row>
    <row r="5547" customFormat="false" ht="15" hidden="false" customHeight="false" outlineLevel="0" collapsed="false">
      <c r="A5547" s="3" t="n">
        <v>5546</v>
      </c>
      <c r="B5547" s="3" t="n">
        <v>5545</v>
      </c>
      <c r="C5547" s="3" t="n">
        <v>7</v>
      </c>
      <c r="D5547" s="3" t="n">
        <v>2</v>
      </c>
      <c r="E5547" s="3" t="n">
        <v>1</v>
      </c>
      <c r="F5547" s="24" t="n">
        <v>0</v>
      </c>
    </row>
    <row r="5548" customFormat="false" ht="15" hidden="false" customHeight="false" outlineLevel="0" collapsed="false">
      <c r="A5548" s="3" t="n">
        <v>5547</v>
      </c>
      <c r="B5548" s="3" t="n">
        <v>5546</v>
      </c>
      <c r="C5548" s="3" t="n">
        <v>7</v>
      </c>
      <c r="D5548" s="3" t="n">
        <v>2</v>
      </c>
      <c r="E5548" s="3" t="n">
        <v>2</v>
      </c>
      <c r="F5548" s="24" t="n">
        <v>0</v>
      </c>
    </row>
    <row r="5549" customFormat="false" ht="15" hidden="false" customHeight="false" outlineLevel="0" collapsed="false">
      <c r="A5549" s="3" t="n">
        <v>5548</v>
      </c>
      <c r="B5549" s="3" t="n">
        <v>5547</v>
      </c>
      <c r="C5549" s="3" t="n">
        <v>7</v>
      </c>
      <c r="D5549" s="3" t="n">
        <v>2</v>
      </c>
      <c r="E5549" s="3" t="n">
        <v>3</v>
      </c>
      <c r="F5549" s="24" t="n">
        <v>0</v>
      </c>
    </row>
    <row r="5550" customFormat="false" ht="15" hidden="false" customHeight="false" outlineLevel="0" collapsed="false">
      <c r="A5550" s="3" t="n">
        <v>5549</v>
      </c>
      <c r="B5550" s="3" t="n">
        <v>5548</v>
      </c>
      <c r="C5550" s="3" t="n">
        <v>7</v>
      </c>
      <c r="D5550" s="3" t="n">
        <v>2</v>
      </c>
      <c r="E5550" s="3" t="n">
        <v>4</v>
      </c>
      <c r="F5550" s="24" t="n">
        <v>0</v>
      </c>
    </row>
    <row r="5551" customFormat="false" ht="15" hidden="false" customHeight="false" outlineLevel="0" collapsed="false">
      <c r="A5551" s="3" t="n">
        <v>5550</v>
      </c>
      <c r="B5551" s="3" t="n">
        <v>5549</v>
      </c>
      <c r="C5551" s="3" t="n">
        <v>7</v>
      </c>
      <c r="D5551" s="3" t="n">
        <v>2</v>
      </c>
      <c r="E5551" s="3" t="n">
        <v>5</v>
      </c>
      <c r="F5551" s="24" t="n">
        <v>0</v>
      </c>
    </row>
    <row r="5552" customFormat="false" ht="15" hidden="false" customHeight="false" outlineLevel="0" collapsed="false">
      <c r="A5552" s="3" t="n">
        <v>5551</v>
      </c>
      <c r="B5552" s="3" t="n">
        <v>5550</v>
      </c>
      <c r="C5552" s="3" t="n">
        <v>7</v>
      </c>
      <c r="D5552" s="3" t="n">
        <v>2</v>
      </c>
      <c r="E5552" s="3" t="n">
        <v>6</v>
      </c>
      <c r="F5552" s="24" t="n">
        <v>0</v>
      </c>
    </row>
    <row r="5553" customFormat="false" ht="15" hidden="false" customHeight="false" outlineLevel="0" collapsed="false">
      <c r="A5553" s="3" t="n">
        <v>5552</v>
      </c>
      <c r="B5553" s="3" t="n">
        <v>5551</v>
      </c>
      <c r="C5553" s="3" t="n">
        <v>7</v>
      </c>
      <c r="D5553" s="3" t="n">
        <v>2</v>
      </c>
      <c r="E5553" s="3" t="n">
        <v>7</v>
      </c>
      <c r="F5553" s="24" t="n">
        <v>0</v>
      </c>
    </row>
    <row r="5554" customFormat="false" ht="15" hidden="false" customHeight="false" outlineLevel="0" collapsed="false">
      <c r="A5554" s="3" t="n">
        <v>5553</v>
      </c>
      <c r="B5554" s="3" t="n">
        <v>5552</v>
      </c>
      <c r="C5554" s="3" t="n">
        <v>7</v>
      </c>
      <c r="D5554" s="3" t="n">
        <v>2</v>
      </c>
      <c r="E5554" s="3" t="n">
        <v>8</v>
      </c>
      <c r="F5554" s="24" t="n">
        <v>0</v>
      </c>
    </row>
    <row r="5555" customFormat="false" ht="15" hidden="false" customHeight="false" outlineLevel="0" collapsed="false">
      <c r="A5555" s="3" t="n">
        <v>5554</v>
      </c>
      <c r="B5555" s="3" t="n">
        <v>5553</v>
      </c>
      <c r="C5555" s="3" t="n">
        <v>7</v>
      </c>
      <c r="D5555" s="3" t="n">
        <v>2</v>
      </c>
      <c r="E5555" s="3" t="n">
        <v>9</v>
      </c>
      <c r="F5555" s="24" t="n">
        <v>0</v>
      </c>
    </row>
    <row r="5556" customFormat="false" ht="15" hidden="false" customHeight="false" outlineLevel="0" collapsed="false">
      <c r="A5556" s="3" t="n">
        <v>5555</v>
      </c>
      <c r="B5556" s="3" t="n">
        <v>5554</v>
      </c>
      <c r="C5556" s="3" t="n">
        <v>7</v>
      </c>
      <c r="D5556" s="3" t="n">
        <v>2</v>
      </c>
      <c r="E5556" s="3" t="n">
        <v>10</v>
      </c>
      <c r="F5556" s="24" t="n">
        <v>0</v>
      </c>
    </row>
    <row r="5557" customFormat="false" ht="15" hidden="false" customHeight="false" outlineLevel="0" collapsed="false">
      <c r="A5557" s="3" t="n">
        <v>5556</v>
      </c>
      <c r="B5557" s="3" t="n">
        <v>5555</v>
      </c>
      <c r="C5557" s="3" t="n">
        <v>7</v>
      </c>
      <c r="D5557" s="3" t="n">
        <v>2</v>
      </c>
      <c r="E5557" s="3" t="n">
        <v>11</v>
      </c>
      <c r="F5557" s="24" t="n">
        <v>0</v>
      </c>
    </row>
    <row r="5558" customFormat="false" ht="15" hidden="false" customHeight="false" outlineLevel="0" collapsed="false">
      <c r="A5558" s="3" t="n">
        <v>5557</v>
      </c>
      <c r="B5558" s="3" t="n">
        <v>5556</v>
      </c>
      <c r="C5558" s="3" t="n">
        <v>7</v>
      </c>
      <c r="D5558" s="3" t="n">
        <v>2</v>
      </c>
      <c r="E5558" s="3" t="n">
        <v>12</v>
      </c>
      <c r="F5558" s="24" t="n">
        <v>0</v>
      </c>
    </row>
    <row r="5559" customFormat="false" ht="15" hidden="false" customHeight="false" outlineLevel="0" collapsed="false">
      <c r="A5559" s="3" t="n">
        <v>5558</v>
      </c>
      <c r="B5559" s="3" t="n">
        <v>5557</v>
      </c>
      <c r="C5559" s="3" t="n">
        <v>7</v>
      </c>
      <c r="D5559" s="3" t="n">
        <v>2</v>
      </c>
      <c r="E5559" s="3" t="n">
        <v>13</v>
      </c>
      <c r="F5559" s="24" t="n">
        <v>0</v>
      </c>
    </row>
    <row r="5560" customFormat="false" ht="15" hidden="false" customHeight="false" outlineLevel="0" collapsed="false">
      <c r="A5560" s="3" t="n">
        <v>5559</v>
      </c>
      <c r="B5560" s="3" t="n">
        <v>5558</v>
      </c>
      <c r="C5560" s="3" t="n">
        <v>7</v>
      </c>
      <c r="D5560" s="3" t="n">
        <v>2</v>
      </c>
      <c r="E5560" s="3" t="n">
        <v>14</v>
      </c>
      <c r="F5560" s="24" t="n">
        <v>0</v>
      </c>
    </row>
    <row r="5561" customFormat="false" ht="15" hidden="false" customHeight="false" outlineLevel="0" collapsed="false">
      <c r="A5561" s="3" t="n">
        <v>5560</v>
      </c>
      <c r="B5561" s="3" t="n">
        <v>5559</v>
      </c>
      <c r="C5561" s="3" t="n">
        <v>7</v>
      </c>
      <c r="D5561" s="3" t="n">
        <v>2</v>
      </c>
      <c r="E5561" s="3" t="n">
        <v>15</v>
      </c>
      <c r="F5561" s="24" t="n">
        <v>0</v>
      </c>
    </row>
    <row r="5562" customFormat="false" ht="15" hidden="false" customHeight="false" outlineLevel="0" collapsed="false">
      <c r="A5562" s="3" t="n">
        <v>5561</v>
      </c>
      <c r="B5562" s="3" t="n">
        <v>5560</v>
      </c>
      <c r="C5562" s="3" t="n">
        <v>7</v>
      </c>
      <c r="D5562" s="3" t="n">
        <v>2</v>
      </c>
      <c r="E5562" s="3" t="n">
        <v>16</v>
      </c>
      <c r="F5562" s="24" t="n">
        <v>0</v>
      </c>
    </row>
    <row r="5563" customFormat="false" ht="15" hidden="false" customHeight="false" outlineLevel="0" collapsed="false">
      <c r="A5563" s="3" t="n">
        <v>5562</v>
      </c>
      <c r="B5563" s="3" t="n">
        <v>5561</v>
      </c>
      <c r="C5563" s="3" t="n">
        <v>7</v>
      </c>
      <c r="D5563" s="3" t="n">
        <v>2</v>
      </c>
      <c r="E5563" s="3" t="n">
        <v>17</v>
      </c>
      <c r="F5563" s="24" t="n">
        <v>0</v>
      </c>
    </row>
    <row r="5564" customFormat="false" ht="15" hidden="false" customHeight="false" outlineLevel="0" collapsed="false">
      <c r="A5564" s="3" t="n">
        <v>5563</v>
      </c>
      <c r="B5564" s="3" t="n">
        <v>5562</v>
      </c>
      <c r="C5564" s="3" t="n">
        <v>7</v>
      </c>
      <c r="D5564" s="3" t="n">
        <v>2</v>
      </c>
      <c r="E5564" s="3" t="n">
        <v>18</v>
      </c>
      <c r="F5564" s="24" t="n">
        <v>0</v>
      </c>
    </row>
    <row r="5565" customFormat="false" ht="15" hidden="false" customHeight="false" outlineLevel="0" collapsed="false">
      <c r="A5565" s="3" t="n">
        <v>5564</v>
      </c>
      <c r="B5565" s="3" t="n">
        <v>5563</v>
      </c>
      <c r="C5565" s="3" t="n">
        <v>7</v>
      </c>
      <c r="D5565" s="3" t="n">
        <v>2</v>
      </c>
      <c r="E5565" s="3" t="n">
        <v>19</v>
      </c>
      <c r="F5565" s="24" t="n">
        <v>0</v>
      </c>
    </row>
    <row r="5566" customFormat="false" ht="15" hidden="false" customHeight="false" outlineLevel="0" collapsed="false">
      <c r="A5566" s="3" t="n">
        <v>5565</v>
      </c>
      <c r="B5566" s="3" t="n">
        <v>5564</v>
      </c>
      <c r="C5566" s="3" t="n">
        <v>7</v>
      </c>
      <c r="D5566" s="3" t="n">
        <v>2</v>
      </c>
      <c r="E5566" s="3" t="n">
        <v>20</v>
      </c>
      <c r="F5566" s="24" t="n">
        <v>0</v>
      </c>
    </row>
    <row r="5567" customFormat="false" ht="15" hidden="false" customHeight="false" outlineLevel="0" collapsed="false">
      <c r="A5567" s="3" t="n">
        <v>5566</v>
      </c>
      <c r="B5567" s="3" t="n">
        <v>5565</v>
      </c>
      <c r="C5567" s="3" t="n">
        <v>7</v>
      </c>
      <c r="D5567" s="3" t="n">
        <v>2</v>
      </c>
      <c r="E5567" s="3" t="n">
        <v>21</v>
      </c>
      <c r="F5567" s="24" t="n">
        <v>0</v>
      </c>
    </row>
    <row r="5568" customFormat="false" ht="15" hidden="false" customHeight="false" outlineLevel="0" collapsed="false">
      <c r="A5568" s="3" t="n">
        <v>5567</v>
      </c>
      <c r="B5568" s="3" t="n">
        <v>5566</v>
      </c>
      <c r="C5568" s="3" t="n">
        <v>7</v>
      </c>
      <c r="D5568" s="3" t="n">
        <v>2</v>
      </c>
      <c r="E5568" s="3" t="n">
        <v>22</v>
      </c>
      <c r="F5568" s="24" t="n">
        <v>0</v>
      </c>
    </row>
    <row r="5569" customFormat="false" ht="15" hidden="false" customHeight="false" outlineLevel="0" collapsed="false">
      <c r="A5569" s="3" t="n">
        <v>5568</v>
      </c>
      <c r="B5569" s="3" t="n">
        <v>5567</v>
      </c>
      <c r="C5569" s="3" t="n">
        <v>7</v>
      </c>
      <c r="D5569" s="3" t="n">
        <v>2</v>
      </c>
      <c r="E5569" s="3" t="n">
        <v>23</v>
      </c>
      <c r="F5569" s="24" t="n">
        <v>0</v>
      </c>
    </row>
    <row r="5570" customFormat="false" ht="15" hidden="false" customHeight="false" outlineLevel="0" collapsed="false">
      <c r="A5570" s="3" t="n">
        <v>5569</v>
      </c>
      <c r="B5570" s="3" t="n">
        <v>5568</v>
      </c>
      <c r="C5570" s="3" t="n">
        <v>7</v>
      </c>
      <c r="D5570" s="3" t="n">
        <v>2</v>
      </c>
      <c r="E5570" s="3" t="n">
        <v>24</v>
      </c>
      <c r="F5570" s="24" t="n">
        <v>0</v>
      </c>
    </row>
    <row r="5571" customFormat="false" ht="15" hidden="false" customHeight="false" outlineLevel="0" collapsed="false">
      <c r="A5571" s="3" t="n">
        <v>5570</v>
      </c>
      <c r="B5571" s="3" t="n">
        <v>5569</v>
      </c>
      <c r="C5571" s="3" t="n">
        <v>7</v>
      </c>
      <c r="D5571" s="3" t="n">
        <v>2</v>
      </c>
      <c r="E5571" s="3" t="n">
        <v>25</v>
      </c>
      <c r="F5571" s="24" t="n">
        <v>0</v>
      </c>
    </row>
    <row r="5572" customFormat="false" ht="15" hidden="false" customHeight="false" outlineLevel="0" collapsed="false">
      <c r="A5572" s="3" t="n">
        <v>5571</v>
      </c>
      <c r="B5572" s="3" t="n">
        <v>5570</v>
      </c>
      <c r="C5572" s="3" t="n">
        <v>7</v>
      </c>
      <c r="D5572" s="3" t="n">
        <v>2</v>
      </c>
      <c r="E5572" s="3" t="n">
        <v>26</v>
      </c>
      <c r="F5572" s="24" t="n">
        <v>0</v>
      </c>
    </row>
    <row r="5573" customFormat="false" ht="15" hidden="false" customHeight="false" outlineLevel="0" collapsed="false">
      <c r="A5573" s="3" t="n">
        <v>5572</v>
      </c>
      <c r="B5573" s="3" t="n">
        <v>5571</v>
      </c>
      <c r="C5573" s="3" t="n">
        <v>7</v>
      </c>
      <c r="D5573" s="3" t="n">
        <v>2</v>
      </c>
      <c r="E5573" s="3" t="n">
        <v>27</v>
      </c>
      <c r="F5573" s="24" t="n">
        <v>0</v>
      </c>
    </row>
    <row r="5574" customFormat="false" ht="15" hidden="false" customHeight="false" outlineLevel="0" collapsed="false">
      <c r="A5574" s="3" t="n">
        <v>5573</v>
      </c>
      <c r="B5574" s="3" t="n">
        <v>5572</v>
      </c>
      <c r="C5574" s="3" t="n">
        <v>7</v>
      </c>
      <c r="D5574" s="3" t="n">
        <v>3</v>
      </c>
      <c r="E5574" s="3" t="n">
        <v>0</v>
      </c>
      <c r="F5574" s="24" t="n">
        <v>0.259080142</v>
      </c>
    </row>
    <row r="5575" customFormat="false" ht="15" hidden="false" customHeight="false" outlineLevel="0" collapsed="false">
      <c r="A5575" s="3" t="n">
        <v>5574</v>
      </c>
      <c r="B5575" s="3" t="n">
        <v>5573</v>
      </c>
      <c r="C5575" s="3" t="n">
        <v>7</v>
      </c>
      <c r="D5575" s="3" t="n">
        <v>3</v>
      </c>
      <c r="E5575" s="3" t="n">
        <v>1</v>
      </c>
      <c r="F5575" s="24" t="n">
        <v>0</v>
      </c>
    </row>
    <row r="5576" customFormat="false" ht="15" hidden="false" customHeight="false" outlineLevel="0" collapsed="false">
      <c r="A5576" s="3" t="n">
        <v>5575</v>
      </c>
      <c r="B5576" s="3" t="n">
        <v>5574</v>
      </c>
      <c r="C5576" s="3" t="n">
        <v>7</v>
      </c>
      <c r="D5576" s="3" t="n">
        <v>3</v>
      </c>
      <c r="E5576" s="3" t="n">
        <v>2</v>
      </c>
      <c r="F5576" s="24" t="n">
        <v>0</v>
      </c>
    </row>
    <row r="5577" customFormat="false" ht="15" hidden="false" customHeight="false" outlineLevel="0" collapsed="false">
      <c r="A5577" s="3" t="n">
        <v>5576</v>
      </c>
      <c r="B5577" s="3" t="n">
        <v>5575</v>
      </c>
      <c r="C5577" s="3" t="n">
        <v>7</v>
      </c>
      <c r="D5577" s="3" t="n">
        <v>3</v>
      </c>
      <c r="E5577" s="3" t="n">
        <v>3</v>
      </c>
      <c r="F5577" s="24" t="n">
        <v>0</v>
      </c>
    </row>
    <row r="5578" customFormat="false" ht="15" hidden="false" customHeight="false" outlineLevel="0" collapsed="false">
      <c r="A5578" s="3" t="n">
        <v>5577</v>
      </c>
      <c r="B5578" s="3" t="n">
        <v>5576</v>
      </c>
      <c r="C5578" s="3" t="n">
        <v>7</v>
      </c>
      <c r="D5578" s="3" t="n">
        <v>3</v>
      </c>
      <c r="E5578" s="3" t="n">
        <v>4</v>
      </c>
      <c r="F5578" s="24" t="n">
        <v>0</v>
      </c>
    </row>
    <row r="5579" customFormat="false" ht="15" hidden="false" customHeight="false" outlineLevel="0" collapsed="false">
      <c r="A5579" s="3" t="n">
        <v>5578</v>
      </c>
      <c r="B5579" s="3" t="n">
        <v>5577</v>
      </c>
      <c r="C5579" s="3" t="n">
        <v>7</v>
      </c>
      <c r="D5579" s="3" t="n">
        <v>3</v>
      </c>
      <c r="E5579" s="3" t="n">
        <v>5</v>
      </c>
      <c r="F5579" s="24" t="n">
        <v>0</v>
      </c>
    </row>
    <row r="5580" customFormat="false" ht="15" hidden="false" customHeight="false" outlineLevel="0" collapsed="false">
      <c r="A5580" s="3" t="n">
        <v>5579</v>
      </c>
      <c r="B5580" s="3" t="n">
        <v>5578</v>
      </c>
      <c r="C5580" s="3" t="n">
        <v>7</v>
      </c>
      <c r="D5580" s="3" t="n">
        <v>3</v>
      </c>
      <c r="E5580" s="3" t="n">
        <v>6</v>
      </c>
      <c r="F5580" s="24" t="n">
        <v>0</v>
      </c>
    </row>
    <row r="5581" customFormat="false" ht="15" hidden="false" customHeight="false" outlineLevel="0" collapsed="false">
      <c r="A5581" s="3" t="n">
        <v>5580</v>
      </c>
      <c r="B5581" s="3" t="n">
        <v>5579</v>
      </c>
      <c r="C5581" s="3" t="n">
        <v>7</v>
      </c>
      <c r="D5581" s="3" t="n">
        <v>3</v>
      </c>
      <c r="E5581" s="3" t="n">
        <v>7</v>
      </c>
      <c r="F5581" s="24" t="n">
        <v>0</v>
      </c>
    </row>
    <row r="5582" customFormat="false" ht="15" hidden="false" customHeight="false" outlineLevel="0" collapsed="false">
      <c r="A5582" s="3" t="n">
        <v>5581</v>
      </c>
      <c r="B5582" s="3" t="n">
        <v>5580</v>
      </c>
      <c r="C5582" s="3" t="n">
        <v>7</v>
      </c>
      <c r="D5582" s="3" t="n">
        <v>3</v>
      </c>
      <c r="E5582" s="3" t="n">
        <v>8</v>
      </c>
      <c r="F5582" s="24" t="n">
        <v>0</v>
      </c>
    </row>
    <row r="5583" customFormat="false" ht="15" hidden="false" customHeight="false" outlineLevel="0" collapsed="false">
      <c r="A5583" s="3" t="n">
        <v>5582</v>
      </c>
      <c r="B5583" s="3" t="n">
        <v>5581</v>
      </c>
      <c r="C5583" s="3" t="n">
        <v>7</v>
      </c>
      <c r="D5583" s="3" t="n">
        <v>3</v>
      </c>
      <c r="E5583" s="3" t="n">
        <v>9</v>
      </c>
      <c r="F5583" s="24" t="n">
        <v>0</v>
      </c>
    </row>
    <row r="5584" customFormat="false" ht="15" hidden="false" customHeight="false" outlineLevel="0" collapsed="false">
      <c r="A5584" s="3" t="n">
        <v>5583</v>
      </c>
      <c r="B5584" s="3" t="n">
        <v>5582</v>
      </c>
      <c r="C5584" s="3" t="n">
        <v>7</v>
      </c>
      <c r="D5584" s="3" t="n">
        <v>3</v>
      </c>
      <c r="E5584" s="3" t="n">
        <v>10</v>
      </c>
      <c r="F5584" s="24" t="n">
        <v>0</v>
      </c>
    </row>
    <row r="5585" customFormat="false" ht="15" hidden="false" customHeight="false" outlineLevel="0" collapsed="false">
      <c r="A5585" s="3" t="n">
        <v>5584</v>
      </c>
      <c r="B5585" s="3" t="n">
        <v>5583</v>
      </c>
      <c r="C5585" s="3" t="n">
        <v>7</v>
      </c>
      <c r="D5585" s="3" t="n">
        <v>3</v>
      </c>
      <c r="E5585" s="3" t="n">
        <v>11</v>
      </c>
      <c r="F5585" s="24" t="n">
        <v>0</v>
      </c>
    </row>
    <row r="5586" customFormat="false" ht="15" hidden="false" customHeight="false" outlineLevel="0" collapsed="false">
      <c r="A5586" s="3" t="n">
        <v>5585</v>
      </c>
      <c r="B5586" s="3" t="n">
        <v>5584</v>
      </c>
      <c r="C5586" s="3" t="n">
        <v>7</v>
      </c>
      <c r="D5586" s="3" t="n">
        <v>3</v>
      </c>
      <c r="E5586" s="3" t="n">
        <v>12</v>
      </c>
      <c r="F5586" s="24" t="n">
        <v>0</v>
      </c>
    </row>
    <row r="5587" customFormat="false" ht="15" hidden="false" customHeight="false" outlineLevel="0" collapsed="false">
      <c r="A5587" s="3" t="n">
        <v>5586</v>
      </c>
      <c r="B5587" s="3" t="n">
        <v>5585</v>
      </c>
      <c r="C5587" s="3" t="n">
        <v>7</v>
      </c>
      <c r="D5587" s="3" t="n">
        <v>3</v>
      </c>
      <c r="E5587" s="3" t="n">
        <v>13</v>
      </c>
      <c r="F5587" s="24" t="n">
        <v>0</v>
      </c>
    </row>
    <row r="5588" customFormat="false" ht="15" hidden="false" customHeight="false" outlineLevel="0" collapsed="false">
      <c r="A5588" s="3" t="n">
        <v>5587</v>
      </c>
      <c r="B5588" s="3" t="n">
        <v>5586</v>
      </c>
      <c r="C5588" s="3" t="n">
        <v>7</v>
      </c>
      <c r="D5588" s="3" t="n">
        <v>3</v>
      </c>
      <c r="E5588" s="3" t="n">
        <v>14</v>
      </c>
      <c r="F5588" s="24" t="n">
        <v>0</v>
      </c>
    </row>
    <row r="5589" customFormat="false" ht="15" hidden="false" customHeight="false" outlineLevel="0" collapsed="false">
      <c r="A5589" s="3" t="n">
        <v>5588</v>
      </c>
      <c r="B5589" s="3" t="n">
        <v>5587</v>
      </c>
      <c r="C5589" s="3" t="n">
        <v>7</v>
      </c>
      <c r="D5589" s="3" t="n">
        <v>3</v>
      </c>
      <c r="E5589" s="3" t="n">
        <v>15</v>
      </c>
      <c r="F5589" s="24" t="n">
        <v>0</v>
      </c>
    </row>
    <row r="5590" customFormat="false" ht="15" hidden="false" customHeight="false" outlineLevel="0" collapsed="false">
      <c r="A5590" s="3" t="n">
        <v>5589</v>
      </c>
      <c r="B5590" s="3" t="n">
        <v>5588</v>
      </c>
      <c r="C5590" s="3" t="n">
        <v>7</v>
      </c>
      <c r="D5590" s="3" t="n">
        <v>3</v>
      </c>
      <c r="E5590" s="3" t="n">
        <v>16</v>
      </c>
      <c r="F5590" s="24" t="n">
        <v>0</v>
      </c>
    </row>
    <row r="5591" customFormat="false" ht="15" hidden="false" customHeight="false" outlineLevel="0" collapsed="false">
      <c r="A5591" s="3" t="n">
        <v>5590</v>
      </c>
      <c r="B5591" s="3" t="n">
        <v>5589</v>
      </c>
      <c r="C5591" s="3" t="n">
        <v>7</v>
      </c>
      <c r="D5591" s="3" t="n">
        <v>3</v>
      </c>
      <c r="E5591" s="3" t="n">
        <v>17</v>
      </c>
      <c r="F5591" s="24" t="n">
        <v>0</v>
      </c>
    </row>
    <row r="5592" customFormat="false" ht="15" hidden="false" customHeight="false" outlineLevel="0" collapsed="false">
      <c r="A5592" s="3" t="n">
        <v>5591</v>
      </c>
      <c r="B5592" s="3" t="n">
        <v>5590</v>
      </c>
      <c r="C5592" s="3" t="n">
        <v>7</v>
      </c>
      <c r="D5592" s="3" t="n">
        <v>3</v>
      </c>
      <c r="E5592" s="3" t="n">
        <v>18</v>
      </c>
      <c r="F5592" s="24" t="n">
        <v>0</v>
      </c>
    </row>
    <row r="5593" customFormat="false" ht="15" hidden="false" customHeight="false" outlineLevel="0" collapsed="false">
      <c r="A5593" s="3" t="n">
        <v>5592</v>
      </c>
      <c r="B5593" s="3" t="n">
        <v>5591</v>
      </c>
      <c r="C5593" s="3" t="n">
        <v>7</v>
      </c>
      <c r="D5593" s="3" t="n">
        <v>3</v>
      </c>
      <c r="E5593" s="3" t="n">
        <v>19</v>
      </c>
      <c r="F5593" s="24" t="n">
        <v>0</v>
      </c>
    </row>
    <row r="5594" customFormat="false" ht="15" hidden="false" customHeight="false" outlineLevel="0" collapsed="false">
      <c r="A5594" s="3" t="n">
        <v>5593</v>
      </c>
      <c r="B5594" s="3" t="n">
        <v>5592</v>
      </c>
      <c r="C5594" s="3" t="n">
        <v>7</v>
      </c>
      <c r="D5594" s="3" t="n">
        <v>3</v>
      </c>
      <c r="E5594" s="3" t="n">
        <v>20</v>
      </c>
      <c r="F5594" s="24" t="n">
        <v>0</v>
      </c>
    </row>
    <row r="5595" customFormat="false" ht="15" hidden="false" customHeight="false" outlineLevel="0" collapsed="false">
      <c r="A5595" s="3" t="n">
        <v>5594</v>
      </c>
      <c r="B5595" s="3" t="n">
        <v>5593</v>
      </c>
      <c r="C5595" s="3" t="n">
        <v>7</v>
      </c>
      <c r="D5595" s="3" t="n">
        <v>3</v>
      </c>
      <c r="E5595" s="3" t="n">
        <v>21</v>
      </c>
      <c r="F5595" s="24" t="n">
        <v>0</v>
      </c>
    </row>
    <row r="5596" customFormat="false" ht="15" hidden="false" customHeight="false" outlineLevel="0" collapsed="false">
      <c r="A5596" s="3" t="n">
        <v>5595</v>
      </c>
      <c r="B5596" s="3" t="n">
        <v>5594</v>
      </c>
      <c r="C5596" s="3" t="n">
        <v>7</v>
      </c>
      <c r="D5596" s="3" t="n">
        <v>3</v>
      </c>
      <c r="E5596" s="3" t="n">
        <v>22</v>
      </c>
      <c r="F5596" s="24" t="n">
        <v>0</v>
      </c>
    </row>
    <row r="5597" customFormat="false" ht="15" hidden="false" customHeight="false" outlineLevel="0" collapsed="false">
      <c r="A5597" s="3" t="n">
        <v>5596</v>
      </c>
      <c r="B5597" s="3" t="n">
        <v>5595</v>
      </c>
      <c r="C5597" s="3" t="n">
        <v>7</v>
      </c>
      <c r="D5597" s="3" t="n">
        <v>3</v>
      </c>
      <c r="E5597" s="3" t="n">
        <v>23</v>
      </c>
      <c r="F5597" s="24" t="n">
        <v>0</v>
      </c>
    </row>
    <row r="5598" customFormat="false" ht="15" hidden="false" customHeight="false" outlineLevel="0" collapsed="false">
      <c r="A5598" s="3" t="n">
        <v>5597</v>
      </c>
      <c r="B5598" s="3" t="n">
        <v>5596</v>
      </c>
      <c r="C5598" s="3" t="n">
        <v>7</v>
      </c>
      <c r="D5598" s="3" t="n">
        <v>3</v>
      </c>
      <c r="E5598" s="3" t="n">
        <v>24</v>
      </c>
      <c r="F5598" s="24" t="n">
        <v>0</v>
      </c>
    </row>
    <row r="5599" customFormat="false" ht="15" hidden="false" customHeight="false" outlineLevel="0" collapsed="false">
      <c r="A5599" s="3" t="n">
        <v>5598</v>
      </c>
      <c r="B5599" s="3" t="n">
        <v>5597</v>
      </c>
      <c r="C5599" s="3" t="n">
        <v>7</v>
      </c>
      <c r="D5599" s="3" t="n">
        <v>3</v>
      </c>
      <c r="E5599" s="3" t="n">
        <v>25</v>
      </c>
      <c r="F5599" s="24" t="n">
        <v>0</v>
      </c>
    </row>
    <row r="5600" customFormat="false" ht="15" hidden="false" customHeight="false" outlineLevel="0" collapsed="false">
      <c r="A5600" s="3" t="n">
        <v>5599</v>
      </c>
      <c r="B5600" s="3" t="n">
        <v>5598</v>
      </c>
      <c r="C5600" s="3" t="n">
        <v>7</v>
      </c>
      <c r="D5600" s="3" t="n">
        <v>3</v>
      </c>
      <c r="E5600" s="3" t="n">
        <v>26</v>
      </c>
      <c r="F5600" s="24" t="n">
        <v>0</v>
      </c>
    </row>
    <row r="5601" customFormat="false" ht="15" hidden="false" customHeight="false" outlineLevel="0" collapsed="false">
      <c r="A5601" s="3" t="n">
        <v>5600</v>
      </c>
      <c r="B5601" s="3" t="n">
        <v>5599</v>
      </c>
      <c r="C5601" s="3" t="n">
        <v>7</v>
      </c>
      <c r="D5601" s="3" t="n">
        <v>3</v>
      </c>
      <c r="E5601" s="3" t="n">
        <v>27</v>
      </c>
      <c r="F5601" s="24" t="n">
        <v>0</v>
      </c>
    </row>
    <row r="5602" customFormat="false" ht="15" hidden="false" customHeight="false" outlineLevel="0" collapsed="false">
      <c r="A5602" s="3" t="n">
        <v>5601</v>
      </c>
      <c r="B5602" s="3" t="n">
        <v>5600</v>
      </c>
      <c r="C5602" s="3" t="n">
        <v>7</v>
      </c>
      <c r="D5602" s="3" t="n">
        <v>4</v>
      </c>
      <c r="E5602" s="3" t="n">
        <v>0</v>
      </c>
      <c r="F5602" s="24" t="n">
        <v>0.259080142</v>
      </c>
    </row>
    <row r="5603" customFormat="false" ht="15" hidden="false" customHeight="false" outlineLevel="0" collapsed="false">
      <c r="A5603" s="3" t="n">
        <v>5602</v>
      </c>
      <c r="B5603" s="3" t="n">
        <v>5601</v>
      </c>
      <c r="C5603" s="3" t="n">
        <v>7</v>
      </c>
      <c r="D5603" s="3" t="n">
        <v>4</v>
      </c>
      <c r="E5603" s="3" t="n">
        <v>1</v>
      </c>
      <c r="F5603" s="24" t="n">
        <v>0</v>
      </c>
    </row>
    <row r="5604" customFormat="false" ht="15" hidden="false" customHeight="false" outlineLevel="0" collapsed="false">
      <c r="A5604" s="3" t="n">
        <v>5603</v>
      </c>
      <c r="B5604" s="3" t="n">
        <v>5602</v>
      </c>
      <c r="C5604" s="3" t="n">
        <v>7</v>
      </c>
      <c r="D5604" s="3" t="n">
        <v>4</v>
      </c>
      <c r="E5604" s="3" t="n">
        <v>2</v>
      </c>
      <c r="F5604" s="24" t="n">
        <v>0</v>
      </c>
    </row>
    <row r="5605" customFormat="false" ht="15" hidden="false" customHeight="false" outlineLevel="0" collapsed="false">
      <c r="A5605" s="3" t="n">
        <v>5604</v>
      </c>
      <c r="B5605" s="3" t="n">
        <v>5603</v>
      </c>
      <c r="C5605" s="3" t="n">
        <v>7</v>
      </c>
      <c r="D5605" s="3" t="n">
        <v>4</v>
      </c>
      <c r="E5605" s="3" t="n">
        <v>3</v>
      </c>
      <c r="F5605" s="24" t="n">
        <v>0</v>
      </c>
    </row>
    <row r="5606" customFormat="false" ht="15" hidden="false" customHeight="false" outlineLevel="0" collapsed="false">
      <c r="A5606" s="3" t="n">
        <v>5605</v>
      </c>
      <c r="B5606" s="3" t="n">
        <v>5604</v>
      </c>
      <c r="C5606" s="3" t="n">
        <v>7</v>
      </c>
      <c r="D5606" s="3" t="n">
        <v>4</v>
      </c>
      <c r="E5606" s="3" t="n">
        <v>4</v>
      </c>
      <c r="F5606" s="24" t="n">
        <v>0</v>
      </c>
    </row>
    <row r="5607" customFormat="false" ht="15" hidden="false" customHeight="false" outlineLevel="0" collapsed="false">
      <c r="A5607" s="3" t="n">
        <v>5606</v>
      </c>
      <c r="B5607" s="3" t="n">
        <v>5605</v>
      </c>
      <c r="C5607" s="3" t="n">
        <v>7</v>
      </c>
      <c r="D5607" s="3" t="n">
        <v>4</v>
      </c>
      <c r="E5607" s="3" t="n">
        <v>5</v>
      </c>
      <c r="F5607" s="24" t="n">
        <v>0</v>
      </c>
    </row>
    <row r="5608" customFormat="false" ht="15" hidden="false" customHeight="false" outlineLevel="0" collapsed="false">
      <c r="A5608" s="3" t="n">
        <v>5607</v>
      </c>
      <c r="B5608" s="3" t="n">
        <v>5606</v>
      </c>
      <c r="C5608" s="3" t="n">
        <v>7</v>
      </c>
      <c r="D5608" s="3" t="n">
        <v>4</v>
      </c>
      <c r="E5608" s="3" t="n">
        <v>6</v>
      </c>
      <c r="F5608" s="24" t="n">
        <v>0</v>
      </c>
    </row>
    <row r="5609" customFormat="false" ht="15" hidden="false" customHeight="false" outlineLevel="0" collapsed="false">
      <c r="A5609" s="3" t="n">
        <v>5608</v>
      </c>
      <c r="B5609" s="3" t="n">
        <v>5607</v>
      </c>
      <c r="C5609" s="3" t="n">
        <v>7</v>
      </c>
      <c r="D5609" s="3" t="n">
        <v>4</v>
      </c>
      <c r="E5609" s="3" t="n">
        <v>7</v>
      </c>
      <c r="F5609" s="24" t="n">
        <v>0</v>
      </c>
    </row>
    <row r="5610" customFormat="false" ht="15" hidden="false" customHeight="false" outlineLevel="0" collapsed="false">
      <c r="A5610" s="3" t="n">
        <v>5609</v>
      </c>
      <c r="B5610" s="3" t="n">
        <v>5608</v>
      </c>
      <c r="C5610" s="3" t="n">
        <v>7</v>
      </c>
      <c r="D5610" s="3" t="n">
        <v>4</v>
      </c>
      <c r="E5610" s="3" t="n">
        <v>8</v>
      </c>
      <c r="F5610" s="24" t="n">
        <v>0</v>
      </c>
    </row>
    <row r="5611" customFormat="false" ht="15" hidden="false" customHeight="false" outlineLevel="0" collapsed="false">
      <c r="A5611" s="3" t="n">
        <v>5610</v>
      </c>
      <c r="B5611" s="3" t="n">
        <v>5609</v>
      </c>
      <c r="C5611" s="3" t="n">
        <v>7</v>
      </c>
      <c r="D5611" s="3" t="n">
        <v>4</v>
      </c>
      <c r="E5611" s="3" t="n">
        <v>9</v>
      </c>
      <c r="F5611" s="24" t="n">
        <v>0</v>
      </c>
    </row>
    <row r="5612" customFormat="false" ht="15" hidden="false" customHeight="false" outlineLevel="0" collapsed="false">
      <c r="A5612" s="3" t="n">
        <v>5611</v>
      </c>
      <c r="B5612" s="3" t="n">
        <v>5610</v>
      </c>
      <c r="C5612" s="3" t="n">
        <v>7</v>
      </c>
      <c r="D5612" s="3" t="n">
        <v>4</v>
      </c>
      <c r="E5612" s="3" t="n">
        <v>10</v>
      </c>
      <c r="F5612" s="24" t="n">
        <v>0</v>
      </c>
    </row>
    <row r="5613" customFormat="false" ht="15" hidden="false" customHeight="false" outlineLevel="0" collapsed="false">
      <c r="A5613" s="3" t="n">
        <v>5612</v>
      </c>
      <c r="B5613" s="3" t="n">
        <v>5611</v>
      </c>
      <c r="C5613" s="3" t="n">
        <v>7</v>
      </c>
      <c r="D5613" s="3" t="n">
        <v>4</v>
      </c>
      <c r="E5613" s="3" t="n">
        <v>11</v>
      </c>
      <c r="F5613" s="24" t="n">
        <v>0</v>
      </c>
    </row>
    <row r="5614" customFormat="false" ht="15" hidden="false" customHeight="false" outlineLevel="0" collapsed="false">
      <c r="A5614" s="3" t="n">
        <v>5613</v>
      </c>
      <c r="B5614" s="3" t="n">
        <v>5612</v>
      </c>
      <c r="C5614" s="3" t="n">
        <v>7</v>
      </c>
      <c r="D5614" s="3" t="n">
        <v>4</v>
      </c>
      <c r="E5614" s="3" t="n">
        <v>12</v>
      </c>
      <c r="F5614" s="24" t="n">
        <v>0</v>
      </c>
    </row>
    <row r="5615" customFormat="false" ht="15" hidden="false" customHeight="false" outlineLevel="0" collapsed="false">
      <c r="A5615" s="3" t="n">
        <v>5614</v>
      </c>
      <c r="B5615" s="3" t="n">
        <v>5613</v>
      </c>
      <c r="C5615" s="3" t="n">
        <v>7</v>
      </c>
      <c r="D5615" s="3" t="n">
        <v>4</v>
      </c>
      <c r="E5615" s="3" t="n">
        <v>13</v>
      </c>
      <c r="F5615" s="24" t="n">
        <v>0</v>
      </c>
    </row>
    <row r="5616" customFormat="false" ht="15" hidden="false" customHeight="false" outlineLevel="0" collapsed="false">
      <c r="A5616" s="3" t="n">
        <v>5615</v>
      </c>
      <c r="B5616" s="3" t="n">
        <v>5614</v>
      </c>
      <c r="C5616" s="3" t="n">
        <v>7</v>
      </c>
      <c r="D5616" s="3" t="n">
        <v>4</v>
      </c>
      <c r="E5616" s="3" t="n">
        <v>14</v>
      </c>
      <c r="F5616" s="24" t="n">
        <v>0</v>
      </c>
    </row>
    <row r="5617" customFormat="false" ht="15" hidden="false" customHeight="false" outlineLevel="0" collapsed="false">
      <c r="A5617" s="3" t="n">
        <v>5616</v>
      </c>
      <c r="B5617" s="3" t="n">
        <v>5615</v>
      </c>
      <c r="C5617" s="3" t="n">
        <v>7</v>
      </c>
      <c r="D5617" s="3" t="n">
        <v>4</v>
      </c>
      <c r="E5617" s="3" t="n">
        <v>15</v>
      </c>
      <c r="F5617" s="24" t="n">
        <v>0</v>
      </c>
    </row>
    <row r="5618" customFormat="false" ht="15" hidden="false" customHeight="false" outlineLevel="0" collapsed="false">
      <c r="A5618" s="3" t="n">
        <v>5617</v>
      </c>
      <c r="B5618" s="3" t="n">
        <v>5616</v>
      </c>
      <c r="C5618" s="3" t="n">
        <v>7</v>
      </c>
      <c r="D5618" s="3" t="n">
        <v>4</v>
      </c>
      <c r="E5618" s="3" t="n">
        <v>16</v>
      </c>
      <c r="F5618" s="24" t="n">
        <v>0</v>
      </c>
    </row>
    <row r="5619" customFormat="false" ht="15" hidden="false" customHeight="false" outlineLevel="0" collapsed="false">
      <c r="A5619" s="3" t="n">
        <v>5618</v>
      </c>
      <c r="B5619" s="3" t="n">
        <v>5617</v>
      </c>
      <c r="C5619" s="3" t="n">
        <v>7</v>
      </c>
      <c r="D5619" s="3" t="n">
        <v>4</v>
      </c>
      <c r="E5619" s="3" t="n">
        <v>17</v>
      </c>
      <c r="F5619" s="24" t="n">
        <v>0</v>
      </c>
    </row>
    <row r="5620" customFormat="false" ht="15" hidden="false" customHeight="false" outlineLevel="0" collapsed="false">
      <c r="A5620" s="3" t="n">
        <v>5619</v>
      </c>
      <c r="B5620" s="3" t="n">
        <v>5618</v>
      </c>
      <c r="C5620" s="3" t="n">
        <v>7</v>
      </c>
      <c r="D5620" s="3" t="n">
        <v>4</v>
      </c>
      <c r="E5620" s="3" t="n">
        <v>18</v>
      </c>
      <c r="F5620" s="24" t="n">
        <v>0</v>
      </c>
    </row>
    <row r="5621" customFormat="false" ht="15" hidden="false" customHeight="false" outlineLevel="0" collapsed="false">
      <c r="A5621" s="3" t="n">
        <v>5620</v>
      </c>
      <c r="B5621" s="3" t="n">
        <v>5619</v>
      </c>
      <c r="C5621" s="3" t="n">
        <v>7</v>
      </c>
      <c r="D5621" s="3" t="n">
        <v>4</v>
      </c>
      <c r="E5621" s="3" t="n">
        <v>19</v>
      </c>
      <c r="F5621" s="24" t="n">
        <v>0</v>
      </c>
    </row>
    <row r="5622" customFormat="false" ht="15" hidden="false" customHeight="false" outlineLevel="0" collapsed="false">
      <c r="A5622" s="3" t="n">
        <v>5621</v>
      </c>
      <c r="B5622" s="3" t="n">
        <v>5620</v>
      </c>
      <c r="C5622" s="3" t="n">
        <v>7</v>
      </c>
      <c r="D5622" s="3" t="n">
        <v>4</v>
      </c>
      <c r="E5622" s="3" t="n">
        <v>20</v>
      </c>
      <c r="F5622" s="24" t="n">
        <v>0</v>
      </c>
    </row>
    <row r="5623" customFormat="false" ht="15" hidden="false" customHeight="false" outlineLevel="0" collapsed="false">
      <c r="A5623" s="3" t="n">
        <v>5622</v>
      </c>
      <c r="B5623" s="3" t="n">
        <v>5621</v>
      </c>
      <c r="C5623" s="3" t="n">
        <v>7</v>
      </c>
      <c r="D5623" s="3" t="n">
        <v>4</v>
      </c>
      <c r="E5623" s="3" t="n">
        <v>21</v>
      </c>
      <c r="F5623" s="24" t="n">
        <v>0</v>
      </c>
    </row>
    <row r="5624" customFormat="false" ht="15" hidden="false" customHeight="false" outlineLevel="0" collapsed="false">
      <c r="A5624" s="3" t="n">
        <v>5623</v>
      </c>
      <c r="B5624" s="3" t="n">
        <v>5622</v>
      </c>
      <c r="C5624" s="3" t="n">
        <v>7</v>
      </c>
      <c r="D5624" s="3" t="n">
        <v>4</v>
      </c>
      <c r="E5624" s="3" t="n">
        <v>22</v>
      </c>
      <c r="F5624" s="24" t="n">
        <v>0</v>
      </c>
    </row>
    <row r="5625" customFormat="false" ht="15" hidden="false" customHeight="false" outlineLevel="0" collapsed="false">
      <c r="A5625" s="3" t="n">
        <v>5624</v>
      </c>
      <c r="B5625" s="3" t="n">
        <v>5623</v>
      </c>
      <c r="C5625" s="3" t="n">
        <v>7</v>
      </c>
      <c r="D5625" s="3" t="n">
        <v>4</v>
      </c>
      <c r="E5625" s="3" t="n">
        <v>23</v>
      </c>
      <c r="F5625" s="24" t="n">
        <v>0</v>
      </c>
    </row>
    <row r="5626" customFormat="false" ht="15" hidden="false" customHeight="false" outlineLevel="0" collapsed="false">
      <c r="A5626" s="3" t="n">
        <v>5625</v>
      </c>
      <c r="B5626" s="3" t="n">
        <v>5624</v>
      </c>
      <c r="C5626" s="3" t="n">
        <v>7</v>
      </c>
      <c r="D5626" s="3" t="n">
        <v>4</v>
      </c>
      <c r="E5626" s="3" t="n">
        <v>24</v>
      </c>
      <c r="F5626" s="24" t="n">
        <v>0</v>
      </c>
    </row>
    <row r="5627" customFormat="false" ht="15" hidden="false" customHeight="false" outlineLevel="0" collapsed="false">
      <c r="A5627" s="3" t="n">
        <v>5626</v>
      </c>
      <c r="B5627" s="3" t="n">
        <v>5625</v>
      </c>
      <c r="C5627" s="3" t="n">
        <v>7</v>
      </c>
      <c r="D5627" s="3" t="n">
        <v>4</v>
      </c>
      <c r="E5627" s="3" t="n">
        <v>25</v>
      </c>
      <c r="F5627" s="24" t="n">
        <v>0</v>
      </c>
    </row>
    <row r="5628" customFormat="false" ht="15" hidden="false" customHeight="false" outlineLevel="0" collapsed="false">
      <c r="A5628" s="3" t="n">
        <v>5627</v>
      </c>
      <c r="B5628" s="3" t="n">
        <v>5626</v>
      </c>
      <c r="C5628" s="3" t="n">
        <v>7</v>
      </c>
      <c r="D5628" s="3" t="n">
        <v>4</v>
      </c>
      <c r="E5628" s="3" t="n">
        <v>26</v>
      </c>
      <c r="F5628" s="24" t="n">
        <v>0</v>
      </c>
    </row>
    <row r="5629" customFormat="false" ht="15" hidden="false" customHeight="false" outlineLevel="0" collapsed="false">
      <c r="A5629" s="3" t="n">
        <v>5628</v>
      </c>
      <c r="B5629" s="3" t="n">
        <v>5627</v>
      </c>
      <c r="C5629" s="3" t="n">
        <v>7</v>
      </c>
      <c r="D5629" s="3" t="n">
        <v>4</v>
      </c>
      <c r="E5629" s="3" t="n">
        <v>27</v>
      </c>
      <c r="F5629" s="24" t="n">
        <v>0</v>
      </c>
    </row>
    <row r="5630" customFormat="false" ht="15" hidden="false" customHeight="false" outlineLevel="0" collapsed="false">
      <c r="A5630" s="3" t="n">
        <v>5629</v>
      </c>
      <c r="B5630" s="3" t="n">
        <v>5628</v>
      </c>
      <c r="C5630" s="3" t="n">
        <v>7</v>
      </c>
      <c r="D5630" s="3" t="n">
        <v>5</v>
      </c>
      <c r="E5630" s="3" t="n">
        <v>0</v>
      </c>
      <c r="F5630" s="24" t="n">
        <v>0.259080142</v>
      </c>
    </row>
    <row r="5631" customFormat="false" ht="15" hidden="false" customHeight="false" outlineLevel="0" collapsed="false">
      <c r="A5631" s="3" t="n">
        <v>5630</v>
      </c>
      <c r="B5631" s="3" t="n">
        <v>5629</v>
      </c>
      <c r="C5631" s="3" t="n">
        <v>7</v>
      </c>
      <c r="D5631" s="3" t="n">
        <v>5</v>
      </c>
      <c r="E5631" s="3" t="n">
        <v>1</v>
      </c>
      <c r="F5631" s="24" t="n">
        <v>0</v>
      </c>
    </row>
    <row r="5632" customFormat="false" ht="15" hidden="false" customHeight="false" outlineLevel="0" collapsed="false">
      <c r="A5632" s="3" t="n">
        <v>5631</v>
      </c>
      <c r="B5632" s="3" t="n">
        <v>5630</v>
      </c>
      <c r="C5632" s="3" t="n">
        <v>7</v>
      </c>
      <c r="D5632" s="3" t="n">
        <v>5</v>
      </c>
      <c r="E5632" s="3" t="n">
        <v>2</v>
      </c>
      <c r="F5632" s="24" t="n">
        <v>0</v>
      </c>
    </row>
    <row r="5633" customFormat="false" ht="15" hidden="false" customHeight="false" outlineLevel="0" collapsed="false">
      <c r="A5633" s="3" t="n">
        <v>5632</v>
      </c>
      <c r="B5633" s="3" t="n">
        <v>5631</v>
      </c>
      <c r="C5633" s="3" t="n">
        <v>7</v>
      </c>
      <c r="D5633" s="3" t="n">
        <v>5</v>
      </c>
      <c r="E5633" s="3" t="n">
        <v>3</v>
      </c>
      <c r="F5633" s="24" t="n">
        <v>0</v>
      </c>
    </row>
    <row r="5634" customFormat="false" ht="15" hidden="false" customHeight="false" outlineLevel="0" collapsed="false">
      <c r="A5634" s="3" t="n">
        <v>5633</v>
      </c>
      <c r="B5634" s="3" t="n">
        <v>5632</v>
      </c>
      <c r="C5634" s="3" t="n">
        <v>7</v>
      </c>
      <c r="D5634" s="3" t="n">
        <v>5</v>
      </c>
      <c r="E5634" s="3" t="n">
        <v>4</v>
      </c>
      <c r="F5634" s="24" t="n">
        <v>0</v>
      </c>
    </row>
    <row r="5635" customFormat="false" ht="15" hidden="false" customHeight="false" outlineLevel="0" collapsed="false">
      <c r="A5635" s="3" t="n">
        <v>5634</v>
      </c>
      <c r="B5635" s="3" t="n">
        <v>5633</v>
      </c>
      <c r="C5635" s="3" t="n">
        <v>7</v>
      </c>
      <c r="D5635" s="3" t="n">
        <v>5</v>
      </c>
      <c r="E5635" s="3" t="n">
        <v>5</v>
      </c>
      <c r="F5635" s="24" t="n">
        <v>0</v>
      </c>
    </row>
    <row r="5636" customFormat="false" ht="15" hidden="false" customHeight="false" outlineLevel="0" collapsed="false">
      <c r="A5636" s="3" t="n">
        <v>5635</v>
      </c>
      <c r="B5636" s="3" t="n">
        <v>5634</v>
      </c>
      <c r="C5636" s="3" t="n">
        <v>7</v>
      </c>
      <c r="D5636" s="3" t="n">
        <v>5</v>
      </c>
      <c r="E5636" s="3" t="n">
        <v>6</v>
      </c>
      <c r="F5636" s="24" t="n">
        <v>0</v>
      </c>
    </row>
    <row r="5637" customFormat="false" ht="15" hidden="false" customHeight="false" outlineLevel="0" collapsed="false">
      <c r="A5637" s="3" t="n">
        <v>5636</v>
      </c>
      <c r="B5637" s="3" t="n">
        <v>5635</v>
      </c>
      <c r="C5637" s="3" t="n">
        <v>7</v>
      </c>
      <c r="D5637" s="3" t="n">
        <v>5</v>
      </c>
      <c r="E5637" s="3" t="n">
        <v>7</v>
      </c>
      <c r="F5637" s="24" t="n">
        <v>0</v>
      </c>
    </row>
    <row r="5638" customFormat="false" ht="15" hidden="false" customHeight="false" outlineLevel="0" collapsed="false">
      <c r="A5638" s="3" t="n">
        <v>5637</v>
      </c>
      <c r="B5638" s="3" t="n">
        <v>5636</v>
      </c>
      <c r="C5638" s="3" t="n">
        <v>7</v>
      </c>
      <c r="D5638" s="3" t="n">
        <v>5</v>
      </c>
      <c r="E5638" s="3" t="n">
        <v>8</v>
      </c>
      <c r="F5638" s="24" t="n">
        <v>0</v>
      </c>
    </row>
    <row r="5639" customFormat="false" ht="15" hidden="false" customHeight="false" outlineLevel="0" collapsed="false">
      <c r="A5639" s="3" t="n">
        <v>5638</v>
      </c>
      <c r="B5639" s="3" t="n">
        <v>5637</v>
      </c>
      <c r="C5639" s="3" t="n">
        <v>7</v>
      </c>
      <c r="D5639" s="3" t="n">
        <v>5</v>
      </c>
      <c r="E5639" s="3" t="n">
        <v>9</v>
      </c>
      <c r="F5639" s="24" t="n">
        <v>0</v>
      </c>
    </row>
    <row r="5640" customFormat="false" ht="15" hidden="false" customHeight="false" outlineLevel="0" collapsed="false">
      <c r="A5640" s="3" t="n">
        <v>5639</v>
      </c>
      <c r="B5640" s="3" t="n">
        <v>5638</v>
      </c>
      <c r="C5640" s="3" t="n">
        <v>7</v>
      </c>
      <c r="D5640" s="3" t="n">
        <v>5</v>
      </c>
      <c r="E5640" s="3" t="n">
        <v>10</v>
      </c>
      <c r="F5640" s="24" t="n">
        <v>0</v>
      </c>
    </row>
    <row r="5641" customFormat="false" ht="15" hidden="false" customHeight="false" outlineLevel="0" collapsed="false">
      <c r="A5641" s="3" t="n">
        <v>5640</v>
      </c>
      <c r="B5641" s="3" t="n">
        <v>5639</v>
      </c>
      <c r="C5641" s="3" t="n">
        <v>7</v>
      </c>
      <c r="D5641" s="3" t="n">
        <v>5</v>
      </c>
      <c r="E5641" s="3" t="n">
        <v>11</v>
      </c>
      <c r="F5641" s="24" t="n">
        <v>0</v>
      </c>
    </row>
    <row r="5642" customFormat="false" ht="15" hidden="false" customHeight="false" outlineLevel="0" collapsed="false">
      <c r="A5642" s="3" t="n">
        <v>5641</v>
      </c>
      <c r="B5642" s="3" t="n">
        <v>5640</v>
      </c>
      <c r="C5642" s="3" t="n">
        <v>7</v>
      </c>
      <c r="D5642" s="3" t="n">
        <v>5</v>
      </c>
      <c r="E5642" s="3" t="n">
        <v>12</v>
      </c>
      <c r="F5642" s="24" t="n">
        <v>0</v>
      </c>
    </row>
    <row r="5643" customFormat="false" ht="15" hidden="false" customHeight="false" outlineLevel="0" collapsed="false">
      <c r="A5643" s="3" t="n">
        <v>5642</v>
      </c>
      <c r="B5643" s="3" t="n">
        <v>5641</v>
      </c>
      <c r="C5643" s="3" t="n">
        <v>7</v>
      </c>
      <c r="D5643" s="3" t="n">
        <v>5</v>
      </c>
      <c r="E5643" s="3" t="n">
        <v>13</v>
      </c>
      <c r="F5643" s="24" t="n">
        <v>0</v>
      </c>
    </row>
    <row r="5644" customFormat="false" ht="15" hidden="false" customHeight="false" outlineLevel="0" collapsed="false">
      <c r="A5644" s="3" t="n">
        <v>5643</v>
      </c>
      <c r="B5644" s="3" t="n">
        <v>5642</v>
      </c>
      <c r="C5644" s="3" t="n">
        <v>7</v>
      </c>
      <c r="D5644" s="3" t="n">
        <v>5</v>
      </c>
      <c r="E5644" s="3" t="n">
        <v>14</v>
      </c>
      <c r="F5644" s="24" t="n">
        <v>0</v>
      </c>
    </row>
    <row r="5645" customFormat="false" ht="15" hidden="false" customHeight="false" outlineLevel="0" collapsed="false">
      <c r="A5645" s="3" t="n">
        <v>5644</v>
      </c>
      <c r="B5645" s="3" t="n">
        <v>5643</v>
      </c>
      <c r="C5645" s="3" t="n">
        <v>7</v>
      </c>
      <c r="D5645" s="3" t="n">
        <v>5</v>
      </c>
      <c r="E5645" s="3" t="n">
        <v>15</v>
      </c>
      <c r="F5645" s="24" t="n">
        <v>0</v>
      </c>
    </row>
    <row r="5646" customFormat="false" ht="15" hidden="false" customHeight="false" outlineLevel="0" collapsed="false">
      <c r="A5646" s="3" t="n">
        <v>5645</v>
      </c>
      <c r="B5646" s="3" t="n">
        <v>5644</v>
      </c>
      <c r="C5646" s="3" t="n">
        <v>7</v>
      </c>
      <c r="D5646" s="3" t="n">
        <v>5</v>
      </c>
      <c r="E5646" s="3" t="n">
        <v>16</v>
      </c>
      <c r="F5646" s="24" t="n">
        <v>0</v>
      </c>
    </row>
    <row r="5647" customFormat="false" ht="15" hidden="false" customHeight="false" outlineLevel="0" collapsed="false">
      <c r="A5647" s="3" t="n">
        <v>5646</v>
      </c>
      <c r="B5647" s="3" t="n">
        <v>5645</v>
      </c>
      <c r="C5647" s="3" t="n">
        <v>7</v>
      </c>
      <c r="D5647" s="3" t="n">
        <v>5</v>
      </c>
      <c r="E5647" s="3" t="n">
        <v>17</v>
      </c>
      <c r="F5647" s="24" t="n">
        <v>0</v>
      </c>
    </row>
    <row r="5648" customFormat="false" ht="15" hidden="false" customHeight="false" outlineLevel="0" collapsed="false">
      <c r="A5648" s="3" t="n">
        <v>5647</v>
      </c>
      <c r="B5648" s="3" t="n">
        <v>5646</v>
      </c>
      <c r="C5648" s="3" t="n">
        <v>7</v>
      </c>
      <c r="D5648" s="3" t="n">
        <v>5</v>
      </c>
      <c r="E5648" s="3" t="n">
        <v>18</v>
      </c>
      <c r="F5648" s="24" t="n">
        <v>0</v>
      </c>
    </row>
    <row r="5649" customFormat="false" ht="15" hidden="false" customHeight="false" outlineLevel="0" collapsed="false">
      <c r="A5649" s="3" t="n">
        <v>5648</v>
      </c>
      <c r="B5649" s="3" t="n">
        <v>5647</v>
      </c>
      <c r="C5649" s="3" t="n">
        <v>7</v>
      </c>
      <c r="D5649" s="3" t="n">
        <v>5</v>
      </c>
      <c r="E5649" s="3" t="n">
        <v>19</v>
      </c>
      <c r="F5649" s="24" t="n">
        <v>0</v>
      </c>
    </row>
    <row r="5650" customFormat="false" ht="15" hidden="false" customHeight="false" outlineLevel="0" collapsed="false">
      <c r="A5650" s="3" t="n">
        <v>5649</v>
      </c>
      <c r="B5650" s="3" t="n">
        <v>5648</v>
      </c>
      <c r="C5650" s="3" t="n">
        <v>7</v>
      </c>
      <c r="D5650" s="3" t="n">
        <v>5</v>
      </c>
      <c r="E5650" s="3" t="n">
        <v>20</v>
      </c>
      <c r="F5650" s="24" t="n">
        <v>0</v>
      </c>
    </row>
    <row r="5651" customFormat="false" ht="15" hidden="false" customHeight="false" outlineLevel="0" collapsed="false">
      <c r="A5651" s="3" t="n">
        <v>5650</v>
      </c>
      <c r="B5651" s="3" t="n">
        <v>5649</v>
      </c>
      <c r="C5651" s="3" t="n">
        <v>7</v>
      </c>
      <c r="D5651" s="3" t="n">
        <v>5</v>
      </c>
      <c r="E5651" s="3" t="n">
        <v>21</v>
      </c>
      <c r="F5651" s="24" t="n">
        <v>0</v>
      </c>
    </row>
    <row r="5652" customFormat="false" ht="15" hidden="false" customHeight="false" outlineLevel="0" collapsed="false">
      <c r="A5652" s="3" t="n">
        <v>5651</v>
      </c>
      <c r="B5652" s="3" t="n">
        <v>5650</v>
      </c>
      <c r="C5652" s="3" t="n">
        <v>7</v>
      </c>
      <c r="D5652" s="3" t="n">
        <v>5</v>
      </c>
      <c r="E5652" s="3" t="n">
        <v>22</v>
      </c>
      <c r="F5652" s="24" t="n">
        <v>0</v>
      </c>
    </row>
    <row r="5653" customFormat="false" ht="15" hidden="false" customHeight="false" outlineLevel="0" collapsed="false">
      <c r="A5653" s="3" t="n">
        <v>5652</v>
      </c>
      <c r="B5653" s="3" t="n">
        <v>5651</v>
      </c>
      <c r="C5653" s="3" t="n">
        <v>7</v>
      </c>
      <c r="D5653" s="3" t="n">
        <v>5</v>
      </c>
      <c r="E5653" s="3" t="n">
        <v>23</v>
      </c>
      <c r="F5653" s="24" t="n">
        <v>0</v>
      </c>
    </row>
    <row r="5654" customFormat="false" ht="15" hidden="false" customHeight="false" outlineLevel="0" collapsed="false">
      <c r="A5654" s="3" t="n">
        <v>5653</v>
      </c>
      <c r="B5654" s="3" t="n">
        <v>5652</v>
      </c>
      <c r="C5654" s="3" t="n">
        <v>7</v>
      </c>
      <c r="D5654" s="3" t="n">
        <v>5</v>
      </c>
      <c r="E5654" s="3" t="n">
        <v>24</v>
      </c>
      <c r="F5654" s="24" t="n">
        <v>0</v>
      </c>
    </row>
    <row r="5655" customFormat="false" ht="15" hidden="false" customHeight="false" outlineLevel="0" collapsed="false">
      <c r="A5655" s="3" t="n">
        <v>5654</v>
      </c>
      <c r="B5655" s="3" t="n">
        <v>5653</v>
      </c>
      <c r="C5655" s="3" t="n">
        <v>7</v>
      </c>
      <c r="D5655" s="3" t="n">
        <v>5</v>
      </c>
      <c r="E5655" s="3" t="n">
        <v>25</v>
      </c>
      <c r="F5655" s="24" t="n">
        <v>0</v>
      </c>
    </row>
    <row r="5656" customFormat="false" ht="15" hidden="false" customHeight="false" outlineLevel="0" collapsed="false">
      <c r="A5656" s="3" t="n">
        <v>5655</v>
      </c>
      <c r="B5656" s="3" t="n">
        <v>5654</v>
      </c>
      <c r="C5656" s="3" t="n">
        <v>7</v>
      </c>
      <c r="D5656" s="3" t="n">
        <v>5</v>
      </c>
      <c r="E5656" s="3" t="n">
        <v>26</v>
      </c>
      <c r="F5656" s="24" t="n">
        <v>0</v>
      </c>
    </row>
    <row r="5657" customFormat="false" ht="15" hidden="false" customHeight="false" outlineLevel="0" collapsed="false">
      <c r="A5657" s="3" t="n">
        <v>5656</v>
      </c>
      <c r="B5657" s="3" t="n">
        <v>5655</v>
      </c>
      <c r="C5657" s="3" t="n">
        <v>7</v>
      </c>
      <c r="D5657" s="3" t="n">
        <v>5</v>
      </c>
      <c r="E5657" s="3" t="n">
        <v>27</v>
      </c>
      <c r="F5657" s="24" t="n">
        <v>0</v>
      </c>
    </row>
    <row r="5658" customFormat="false" ht="15" hidden="false" customHeight="false" outlineLevel="0" collapsed="false">
      <c r="A5658" s="3" t="n">
        <v>5657</v>
      </c>
      <c r="B5658" s="3" t="n">
        <v>5656</v>
      </c>
      <c r="C5658" s="3" t="n">
        <v>7</v>
      </c>
      <c r="D5658" s="3" t="n">
        <v>6</v>
      </c>
      <c r="E5658" s="3" t="n">
        <v>0</v>
      </c>
      <c r="F5658" s="24" t="n">
        <v>0.259080142</v>
      </c>
    </row>
    <row r="5659" customFormat="false" ht="15" hidden="false" customHeight="false" outlineLevel="0" collapsed="false">
      <c r="A5659" s="3" t="n">
        <v>5658</v>
      </c>
      <c r="B5659" s="3" t="n">
        <v>5657</v>
      </c>
      <c r="C5659" s="3" t="n">
        <v>7</v>
      </c>
      <c r="D5659" s="3" t="n">
        <v>6</v>
      </c>
      <c r="E5659" s="3" t="n">
        <v>1</v>
      </c>
      <c r="F5659" s="24" t="n">
        <v>0</v>
      </c>
    </row>
    <row r="5660" customFormat="false" ht="15" hidden="false" customHeight="false" outlineLevel="0" collapsed="false">
      <c r="A5660" s="3" t="n">
        <v>5659</v>
      </c>
      <c r="B5660" s="3" t="n">
        <v>5658</v>
      </c>
      <c r="C5660" s="3" t="n">
        <v>7</v>
      </c>
      <c r="D5660" s="3" t="n">
        <v>6</v>
      </c>
      <c r="E5660" s="3" t="n">
        <v>2</v>
      </c>
      <c r="F5660" s="24" t="n">
        <v>0</v>
      </c>
    </row>
    <row r="5661" customFormat="false" ht="15" hidden="false" customHeight="false" outlineLevel="0" collapsed="false">
      <c r="A5661" s="3" t="n">
        <v>5660</v>
      </c>
      <c r="B5661" s="3" t="n">
        <v>5659</v>
      </c>
      <c r="C5661" s="3" t="n">
        <v>7</v>
      </c>
      <c r="D5661" s="3" t="n">
        <v>6</v>
      </c>
      <c r="E5661" s="3" t="n">
        <v>3</v>
      </c>
      <c r="F5661" s="24" t="n">
        <v>0</v>
      </c>
    </row>
    <row r="5662" customFormat="false" ht="15" hidden="false" customHeight="false" outlineLevel="0" collapsed="false">
      <c r="A5662" s="3" t="n">
        <v>5661</v>
      </c>
      <c r="B5662" s="3" t="n">
        <v>5660</v>
      </c>
      <c r="C5662" s="3" t="n">
        <v>7</v>
      </c>
      <c r="D5662" s="3" t="n">
        <v>6</v>
      </c>
      <c r="E5662" s="3" t="n">
        <v>4</v>
      </c>
      <c r="F5662" s="24" t="n">
        <v>0</v>
      </c>
    </row>
    <row r="5663" customFormat="false" ht="15" hidden="false" customHeight="false" outlineLevel="0" collapsed="false">
      <c r="A5663" s="3" t="n">
        <v>5662</v>
      </c>
      <c r="B5663" s="3" t="n">
        <v>5661</v>
      </c>
      <c r="C5663" s="3" t="n">
        <v>7</v>
      </c>
      <c r="D5663" s="3" t="n">
        <v>6</v>
      </c>
      <c r="E5663" s="3" t="n">
        <v>5</v>
      </c>
      <c r="F5663" s="24" t="n">
        <v>0.06717401</v>
      </c>
    </row>
    <row r="5664" customFormat="false" ht="15" hidden="false" customHeight="false" outlineLevel="0" collapsed="false">
      <c r="A5664" s="3" t="n">
        <v>5663</v>
      </c>
      <c r="B5664" s="3" t="n">
        <v>5662</v>
      </c>
      <c r="C5664" s="3" t="n">
        <v>7</v>
      </c>
      <c r="D5664" s="3" t="n">
        <v>6</v>
      </c>
      <c r="E5664" s="3" t="n">
        <v>6</v>
      </c>
      <c r="F5664" s="24" t="n">
        <v>0.969775736</v>
      </c>
    </row>
    <row r="5665" customFormat="false" ht="15" hidden="false" customHeight="false" outlineLevel="0" collapsed="false">
      <c r="A5665" s="3" t="n">
        <v>5664</v>
      </c>
      <c r="B5665" s="3" t="n">
        <v>5663</v>
      </c>
      <c r="C5665" s="3" t="n">
        <v>7</v>
      </c>
      <c r="D5665" s="3" t="n">
        <v>6</v>
      </c>
      <c r="E5665" s="3" t="n">
        <v>7</v>
      </c>
      <c r="F5665" s="24" t="n">
        <v>1.81307673</v>
      </c>
    </row>
    <row r="5666" customFormat="false" ht="15" hidden="false" customHeight="false" outlineLevel="0" collapsed="false">
      <c r="A5666" s="3" t="n">
        <v>5665</v>
      </c>
      <c r="B5666" s="3" t="n">
        <v>5664</v>
      </c>
      <c r="C5666" s="3" t="n">
        <v>7</v>
      </c>
      <c r="D5666" s="3" t="n">
        <v>6</v>
      </c>
      <c r="E5666" s="3" t="n">
        <v>8</v>
      </c>
      <c r="F5666" s="24" t="n">
        <v>1.55306959</v>
      </c>
    </row>
    <row r="5667" customFormat="false" ht="15" hidden="false" customHeight="false" outlineLevel="0" collapsed="false">
      <c r="A5667" s="3" t="n">
        <v>5666</v>
      </c>
      <c r="B5667" s="3" t="n">
        <v>5665</v>
      </c>
      <c r="C5667" s="3" t="n">
        <v>7</v>
      </c>
      <c r="D5667" s="3" t="n">
        <v>6</v>
      </c>
      <c r="E5667" s="3" t="n">
        <v>9</v>
      </c>
      <c r="F5667" s="24" t="n">
        <v>1.34546161</v>
      </c>
    </row>
    <row r="5668" customFormat="false" ht="15" hidden="false" customHeight="false" outlineLevel="0" collapsed="false">
      <c r="A5668" s="3" t="n">
        <v>5667</v>
      </c>
      <c r="B5668" s="3" t="n">
        <v>5666</v>
      </c>
      <c r="C5668" s="3" t="n">
        <v>7</v>
      </c>
      <c r="D5668" s="3" t="n">
        <v>6</v>
      </c>
      <c r="E5668" s="3" t="n">
        <v>10</v>
      </c>
      <c r="F5668" s="24" t="n">
        <v>0.501130104</v>
      </c>
    </row>
    <row r="5669" customFormat="false" ht="15" hidden="false" customHeight="false" outlineLevel="0" collapsed="false">
      <c r="A5669" s="3" t="n">
        <v>5668</v>
      </c>
      <c r="B5669" s="3" t="n">
        <v>5667</v>
      </c>
      <c r="C5669" s="3" t="n">
        <v>7</v>
      </c>
      <c r="D5669" s="3" t="n">
        <v>6</v>
      </c>
      <c r="E5669" s="3" t="n">
        <v>11</v>
      </c>
      <c r="F5669" s="24" t="n">
        <v>0.247170329</v>
      </c>
    </row>
    <row r="5670" customFormat="false" ht="15" hidden="false" customHeight="false" outlineLevel="0" collapsed="false">
      <c r="A5670" s="3" t="n">
        <v>5669</v>
      </c>
      <c r="B5670" s="3" t="n">
        <v>5668</v>
      </c>
      <c r="C5670" s="3" t="n">
        <v>7</v>
      </c>
      <c r="D5670" s="3" t="n">
        <v>6</v>
      </c>
      <c r="E5670" s="3" t="n">
        <v>12</v>
      </c>
      <c r="F5670" s="24" t="n">
        <v>0</v>
      </c>
    </row>
    <row r="5671" customFormat="false" ht="15" hidden="false" customHeight="false" outlineLevel="0" collapsed="false">
      <c r="A5671" s="3" t="n">
        <v>5670</v>
      </c>
      <c r="B5671" s="3" t="n">
        <v>5669</v>
      </c>
      <c r="C5671" s="3" t="n">
        <v>7</v>
      </c>
      <c r="D5671" s="3" t="n">
        <v>6</v>
      </c>
      <c r="E5671" s="3" t="n">
        <v>13</v>
      </c>
      <c r="F5671" s="24" t="n">
        <v>0</v>
      </c>
    </row>
    <row r="5672" customFormat="false" ht="15" hidden="false" customHeight="false" outlineLevel="0" collapsed="false">
      <c r="A5672" s="3" t="n">
        <v>5671</v>
      </c>
      <c r="B5672" s="3" t="n">
        <v>5670</v>
      </c>
      <c r="C5672" s="3" t="n">
        <v>7</v>
      </c>
      <c r="D5672" s="3" t="n">
        <v>6</v>
      </c>
      <c r="E5672" s="3" t="n">
        <v>14</v>
      </c>
      <c r="F5672" s="24" t="n">
        <v>0</v>
      </c>
    </row>
    <row r="5673" customFormat="false" ht="15" hidden="false" customHeight="false" outlineLevel="0" collapsed="false">
      <c r="A5673" s="3" t="n">
        <v>5672</v>
      </c>
      <c r="B5673" s="3" t="n">
        <v>5671</v>
      </c>
      <c r="C5673" s="3" t="n">
        <v>7</v>
      </c>
      <c r="D5673" s="3" t="n">
        <v>6</v>
      </c>
      <c r="E5673" s="3" t="n">
        <v>15</v>
      </c>
      <c r="F5673" s="24" t="n">
        <v>0</v>
      </c>
    </row>
    <row r="5674" customFormat="false" ht="15" hidden="false" customHeight="false" outlineLevel="0" collapsed="false">
      <c r="A5674" s="3" t="n">
        <v>5673</v>
      </c>
      <c r="B5674" s="3" t="n">
        <v>5672</v>
      </c>
      <c r="C5674" s="3" t="n">
        <v>7</v>
      </c>
      <c r="D5674" s="3" t="n">
        <v>6</v>
      </c>
      <c r="E5674" s="3" t="n">
        <v>16</v>
      </c>
      <c r="F5674" s="24" t="n">
        <v>0</v>
      </c>
    </row>
    <row r="5675" customFormat="false" ht="15" hidden="false" customHeight="false" outlineLevel="0" collapsed="false">
      <c r="A5675" s="3" t="n">
        <v>5674</v>
      </c>
      <c r="B5675" s="3" t="n">
        <v>5673</v>
      </c>
      <c r="C5675" s="3" t="n">
        <v>7</v>
      </c>
      <c r="D5675" s="3" t="n">
        <v>6</v>
      </c>
      <c r="E5675" s="3" t="n">
        <v>17</v>
      </c>
      <c r="F5675" s="24" t="n">
        <v>0</v>
      </c>
    </row>
    <row r="5676" customFormat="false" ht="15" hidden="false" customHeight="false" outlineLevel="0" collapsed="false">
      <c r="A5676" s="3" t="n">
        <v>5675</v>
      </c>
      <c r="B5676" s="3" t="n">
        <v>5674</v>
      </c>
      <c r="C5676" s="3" t="n">
        <v>7</v>
      </c>
      <c r="D5676" s="3" t="n">
        <v>6</v>
      </c>
      <c r="E5676" s="3" t="n">
        <v>18</v>
      </c>
      <c r="F5676" s="24" t="n">
        <v>0</v>
      </c>
    </row>
    <row r="5677" customFormat="false" ht="15" hidden="false" customHeight="false" outlineLevel="0" collapsed="false">
      <c r="A5677" s="3" t="n">
        <v>5676</v>
      </c>
      <c r="B5677" s="3" t="n">
        <v>5675</v>
      </c>
      <c r="C5677" s="3" t="n">
        <v>7</v>
      </c>
      <c r="D5677" s="3" t="n">
        <v>6</v>
      </c>
      <c r="E5677" s="3" t="n">
        <v>19</v>
      </c>
      <c r="F5677" s="24" t="n">
        <v>0</v>
      </c>
    </row>
    <row r="5678" customFormat="false" ht="15" hidden="false" customHeight="false" outlineLevel="0" collapsed="false">
      <c r="A5678" s="3" t="n">
        <v>5677</v>
      </c>
      <c r="B5678" s="3" t="n">
        <v>5676</v>
      </c>
      <c r="C5678" s="3" t="n">
        <v>7</v>
      </c>
      <c r="D5678" s="3" t="n">
        <v>6</v>
      </c>
      <c r="E5678" s="3" t="n">
        <v>20</v>
      </c>
      <c r="F5678" s="24" t="n">
        <v>0</v>
      </c>
    </row>
    <row r="5679" customFormat="false" ht="15" hidden="false" customHeight="false" outlineLevel="0" collapsed="false">
      <c r="A5679" s="3" t="n">
        <v>5678</v>
      </c>
      <c r="B5679" s="3" t="n">
        <v>5677</v>
      </c>
      <c r="C5679" s="3" t="n">
        <v>7</v>
      </c>
      <c r="D5679" s="3" t="n">
        <v>6</v>
      </c>
      <c r="E5679" s="3" t="n">
        <v>21</v>
      </c>
      <c r="F5679" s="24" t="n">
        <v>0</v>
      </c>
    </row>
    <row r="5680" customFormat="false" ht="15" hidden="false" customHeight="false" outlineLevel="0" collapsed="false">
      <c r="A5680" s="3" t="n">
        <v>5679</v>
      </c>
      <c r="B5680" s="3" t="n">
        <v>5678</v>
      </c>
      <c r="C5680" s="3" t="n">
        <v>7</v>
      </c>
      <c r="D5680" s="3" t="n">
        <v>6</v>
      </c>
      <c r="E5680" s="3" t="n">
        <v>22</v>
      </c>
      <c r="F5680" s="24" t="n">
        <v>0</v>
      </c>
    </row>
    <row r="5681" customFormat="false" ht="15" hidden="false" customHeight="false" outlineLevel="0" collapsed="false">
      <c r="A5681" s="3" t="n">
        <v>5680</v>
      </c>
      <c r="B5681" s="3" t="n">
        <v>5679</v>
      </c>
      <c r="C5681" s="3" t="n">
        <v>7</v>
      </c>
      <c r="D5681" s="3" t="n">
        <v>6</v>
      </c>
      <c r="E5681" s="3" t="n">
        <v>23</v>
      </c>
      <c r="F5681" s="24" t="n">
        <v>0</v>
      </c>
    </row>
    <row r="5682" customFormat="false" ht="15" hidden="false" customHeight="false" outlineLevel="0" collapsed="false">
      <c r="A5682" s="3" t="n">
        <v>5681</v>
      </c>
      <c r="B5682" s="3" t="n">
        <v>5680</v>
      </c>
      <c r="C5682" s="3" t="n">
        <v>7</v>
      </c>
      <c r="D5682" s="3" t="n">
        <v>6</v>
      </c>
      <c r="E5682" s="3" t="n">
        <v>24</v>
      </c>
      <c r="F5682" s="24" t="n">
        <v>0</v>
      </c>
    </row>
    <row r="5683" customFormat="false" ht="15" hidden="false" customHeight="false" outlineLevel="0" collapsed="false">
      <c r="A5683" s="3" t="n">
        <v>5682</v>
      </c>
      <c r="B5683" s="3" t="n">
        <v>5681</v>
      </c>
      <c r="C5683" s="3" t="n">
        <v>7</v>
      </c>
      <c r="D5683" s="3" t="n">
        <v>6</v>
      </c>
      <c r="E5683" s="3" t="n">
        <v>25</v>
      </c>
      <c r="F5683" s="24" t="n">
        <v>0</v>
      </c>
    </row>
    <row r="5684" customFormat="false" ht="15" hidden="false" customHeight="false" outlineLevel="0" collapsed="false">
      <c r="A5684" s="3" t="n">
        <v>5683</v>
      </c>
      <c r="B5684" s="3" t="n">
        <v>5682</v>
      </c>
      <c r="C5684" s="3" t="n">
        <v>7</v>
      </c>
      <c r="D5684" s="3" t="n">
        <v>6</v>
      </c>
      <c r="E5684" s="3" t="n">
        <v>26</v>
      </c>
      <c r="F5684" s="24" t="n">
        <v>0</v>
      </c>
    </row>
    <row r="5685" customFormat="false" ht="15" hidden="false" customHeight="false" outlineLevel="0" collapsed="false">
      <c r="A5685" s="3" t="n">
        <v>5684</v>
      </c>
      <c r="B5685" s="3" t="n">
        <v>5683</v>
      </c>
      <c r="C5685" s="3" t="n">
        <v>7</v>
      </c>
      <c r="D5685" s="3" t="n">
        <v>6</v>
      </c>
      <c r="E5685" s="3" t="n">
        <v>27</v>
      </c>
      <c r="F5685" s="24" t="n">
        <v>0</v>
      </c>
    </row>
    <row r="5686" customFormat="false" ht="15" hidden="false" customHeight="false" outlineLevel="0" collapsed="false">
      <c r="A5686" s="3" t="n">
        <v>5685</v>
      </c>
      <c r="B5686" s="3" t="n">
        <v>5684</v>
      </c>
      <c r="C5686" s="3" t="n">
        <v>7</v>
      </c>
      <c r="D5686" s="3" t="n">
        <v>7</v>
      </c>
      <c r="E5686" s="3" t="n">
        <v>0</v>
      </c>
      <c r="F5686" s="24" t="n">
        <v>0.259080142</v>
      </c>
    </row>
    <row r="5687" customFormat="false" ht="15" hidden="false" customHeight="false" outlineLevel="0" collapsed="false">
      <c r="A5687" s="3" t="n">
        <v>5686</v>
      </c>
      <c r="B5687" s="3" t="n">
        <v>5685</v>
      </c>
      <c r="C5687" s="3" t="n">
        <v>7</v>
      </c>
      <c r="D5687" s="3" t="n">
        <v>7</v>
      </c>
      <c r="E5687" s="3" t="n">
        <v>1</v>
      </c>
      <c r="F5687" s="24" t="n">
        <v>0</v>
      </c>
    </row>
    <row r="5688" customFormat="false" ht="15" hidden="false" customHeight="false" outlineLevel="0" collapsed="false">
      <c r="A5688" s="3" t="n">
        <v>5687</v>
      </c>
      <c r="B5688" s="3" t="n">
        <v>5686</v>
      </c>
      <c r="C5688" s="3" t="n">
        <v>7</v>
      </c>
      <c r="D5688" s="3" t="n">
        <v>7</v>
      </c>
      <c r="E5688" s="3" t="n">
        <v>2</v>
      </c>
      <c r="F5688" s="24" t="n">
        <v>0</v>
      </c>
    </row>
    <row r="5689" customFormat="false" ht="15" hidden="false" customHeight="false" outlineLevel="0" collapsed="false">
      <c r="A5689" s="3" t="n">
        <v>5688</v>
      </c>
      <c r="B5689" s="3" t="n">
        <v>5687</v>
      </c>
      <c r="C5689" s="3" t="n">
        <v>7</v>
      </c>
      <c r="D5689" s="3" t="n">
        <v>7</v>
      </c>
      <c r="E5689" s="3" t="n">
        <v>3</v>
      </c>
      <c r="F5689" s="24" t="n">
        <v>0</v>
      </c>
    </row>
    <row r="5690" customFormat="false" ht="15" hidden="false" customHeight="false" outlineLevel="0" collapsed="false">
      <c r="A5690" s="3" t="n">
        <v>5689</v>
      </c>
      <c r="B5690" s="3" t="n">
        <v>5688</v>
      </c>
      <c r="C5690" s="3" t="n">
        <v>7</v>
      </c>
      <c r="D5690" s="3" t="n">
        <v>7</v>
      </c>
      <c r="E5690" s="3" t="n">
        <v>4</v>
      </c>
      <c r="F5690" s="24" t="n">
        <v>0</v>
      </c>
    </row>
    <row r="5691" customFormat="false" ht="15" hidden="false" customHeight="false" outlineLevel="0" collapsed="false">
      <c r="A5691" s="3" t="n">
        <v>5690</v>
      </c>
      <c r="B5691" s="3" t="n">
        <v>5689</v>
      </c>
      <c r="C5691" s="3" t="n">
        <v>7</v>
      </c>
      <c r="D5691" s="3" t="n">
        <v>7</v>
      </c>
      <c r="E5691" s="3" t="n">
        <v>5</v>
      </c>
      <c r="F5691" s="24" t="n">
        <v>0</v>
      </c>
    </row>
    <row r="5692" customFormat="false" ht="15" hidden="false" customHeight="false" outlineLevel="0" collapsed="false">
      <c r="A5692" s="3" t="n">
        <v>5691</v>
      </c>
      <c r="B5692" s="3" t="n">
        <v>5690</v>
      </c>
      <c r="C5692" s="3" t="n">
        <v>7</v>
      </c>
      <c r="D5692" s="3" t="n">
        <v>7</v>
      </c>
      <c r="E5692" s="3" t="n">
        <v>6</v>
      </c>
      <c r="F5692" s="24" t="n">
        <v>1.06371737</v>
      </c>
    </row>
    <row r="5693" customFormat="false" ht="15" hidden="false" customHeight="false" outlineLevel="0" collapsed="false">
      <c r="A5693" s="3" t="n">
        <v>5692</v>
      </c>
      <c r="B5693" s="3" t="n">
        <v>5691</v>
      </c>
      <c r="C5693" s="3" t="n">
        <v>7</v>
      </c>
      <c r="D5693" s="3" t="n">
        <v>7</v>
      </c>
      <c r="E5693" s="3" t="n">
        <v>7</v>
      </c>
      <c r="F5693" s="24" t="n">
        <v>2.02611732</v>
      </c>
    </row>
    <row r="5694" customFormat="false" ht="15" hidden="false" customHeight="false" outlineLevel="0" collapsed="false">
      <c r="A5694" s="3" t="n">
        <v>5693</v>
      </c>
      <c r="B5694" s="3" t="n">
        <v>5692</v>
      </c>
      <c r="C5694" s="3" t="n">
        <v>7</v>
      </c>
      <c r="D5694" s="3" t="n">
        <v>7</v>
      </c>
      <c r="E5694" s="3" t="n">
        <v>8</v>
      </c>
      <c r="F5694" s="24" t="n">
        <v>2.7627821</v>
      </c>
    </row>
    <row r="5695" customFormat="false" ht="15" hidden="false" customHeight="false" outlineLevel="0" collapsed="false">
      <c r="A5695" s="3" t="n">
        <v>5694</v>
      </c>
      <c r="B5695" s="3" t="n">
        <v>5693</v>
      </c>
      <c r="C5695" s="3" t="n">
        <v>7</v>
      </c>
      <c r="D5695" s="3" t="n">
        <v>7</v>
      </c>
      <c r="E5695" s="3" t="n">
        <v>9</v>
      </c>
      <c r="F5695" s="24" t="n">
        <v>3.18828821</v>
      </c>
    </row>
    <row r="5696" customFormat="false" ht="15" hidden="false" customHeight="false" outlineLevel="0" collapsed="false">
      <c r="A5696" s="3" t="n">
        <v>5695</v>
      </c>
      <c r="B5696" s="3" t="n">
        <v>5694</v>
      </c>
      <c r="C5696" s="3" t="n">
        <v>7</v>
      </c>
      <c r="D5696" s="3" t="n">
        <v>7</v>
      </c>
      <c r="E5696" s="3" t="n">
        <v>10</v>
      </c>
      <c r="F5696" s="24" t="n">
        <v>3.29430151</v>
      </c>
    </row>
    <row r="5697" customFormat="false" ht="15" hidden="false" customHeight="false" outlineLevel="0" collapsed="false">
      <c r="A5697" s="3" t="n">
        <v>5696</v>
      </c>
      <c r="B5697" s="3" t="n">
        <v>5695</v>
      </c>
      <c r="C5697" s="3" t="n">
        <v>7</v>
      </c>
      <c r="D5697" s="3" t="n">
        <v>7</v>
      </c>
      <c r="E5697" s="3" t="n">
        <v>11</v>
      </c>
      <c r="F5697" s="24" t="n">
        <v>2.73991561</v>
      </c>
    </row>
    <row r="5698" customFormat="false" ht="15" hidden="false" customHeight="false" outlineLevel="0" collapsed="false">
      <c r="A5698" s="3" t="n">
        <v>5697</v>
      </c>
      <c r="B5698" s="3" t="n">
        <v>5696</v>
      </c>
      <c r="C5698" s="3" t="n">
        <v>7</v>
      </c>
      <c r="D5698" s="3" t="n">
        <v>7</v>
      </c>
      <c r="E5698" s="3" t="n">
        <v>12</v>
      </c>
      <c r="F5698" s="24" t="n">
        <v>2.20649695</v>
      </c>
    </row>
    <row r="5699" customFormat="false" ht="15" hidden="false" customHeight="false" outlineLevel="0" collapsed="false">
      <c r="A5699" s="3" t="n">
        <v>5698</v>
      </c>
      <c r="B5699" s="3" t="n">
        <v>5697</v>
      </c>
      <c r="C5699" s="3" t="n">
        <v>7</v>
      </c>
      <c r="D5699" s="3" t="n">
        <v>7</v>
      </c>
      <c r="E5699" s="3" t="n">
        <v>13</v>
      </c>
      <c r="F5699" s="24" t="n">
        <v>1.97016048</v>
      </c>
    </row>
    <row r="5700" customFormat="false" ht="15" hidden="false" customHeight="false" outlineLevel="0" collapsed="false">
      <c r="A5700" s="3" t="n">
        <v>5699</v>
      </c>
      <c r="B5700" s="3" t="n">
        <v>5698</v>
      </c>
      <c r="C5700" s="3" t="n">
        <v>7</v>
      </c>
      <c r="D5700" s="3" t="n">
        <v>7</v>
      </c>
      <c r="E5700" s="3" t="n">
        <v>14</v>
      </c>
      <c r="F5700" s="24" t="n">
        <v>1.97016048</v>
      </c>
    </row>
    <row r="5701" customFormat="false" ht="15" hidden="false" customHeight="false" outlineLevel="0" collapsed="false">
      <c r="A5701" s="3" t="n">
        <v>5700</v>
      </c>
      <c r="B5701" s="3" t="n">
        <v>5699</v>
      </c>
      <c r="C5701" s="3" t="n">
        <v>7</v>
      </c>
      <c r="D5701" s="3" t="n">
        <v>7</v>
      </c>
      <c r="E5701" s="3" t="n">
        <v>15</v>
      </c>
      <c r="F5701" s="24" t="n">
        <v>1.97016048</v>
      </c>
    </row>
    <row r="5702" customFormat="false" ht="15" hidden="false" customHeight="false" outlineLevel="0" collapsed="false">
      <c r="A5702" s="3" t="n">
        <v>5701</v>
      </c>
      <c r="B5702" s="3" t="n">
        <v>5700</v>
      </c>
      <c r="C5702" s="3" t="n">
        <v>7</v>
      </c>
      <c r="D5702" s="3" t="n">
        <v>7</v>
      </c>
      <c r="E5702" s="3" t="n">
        <v>16</v>
      </c>
      <c r="F5702" s="24" t="n">
        <v>1.97016048</v>
      </c>
    </row>
    <row r="5703" customFormat="false" ht="15" hidden="false" customHeight="false" outlineLevel="0" collapsed="false">
      <c r="A5703" s="3" t="n">
        <v>5702</v>
      </c>
      <c r="B5703" s="3" t="n">
        <v>5701</v>
      </c>
      <c r="C5703" s="3" t="n">
        <v>7</v>
      </c>
      <c r="D5703" s="3" t="n">
        <v>7</v>
      </c>
      <c r="E5703" s="3" t="n">
        <v>17</v>
      </c>
      <c r="F5703" s="24" t="n">
        <v>1.97016048</v>
      </c>
    </row>
    <row r="5704" customFormat="false" ht="15" hidden="false" customHeight="false" outlineLevel="0" collapsed="false">
      <c r="A5704" s="3" t="n">
        <v>5703</v>
      </c>
      <c r="B5704" s="3" t="n">
        <v>5702</v>
      </c>
      <c r="C5704" s="3" t="n">
        <v>7</v>
      </c>
      <c r="D5704" s="3" t="n">
        <v>7</v>
      </c>
      <c r="E5704" s="3" t="n">
        <v>18</v>
      </c>
      <c r="F5704" s="24" t="n">
        <v>1.97016048</v>
      </c>
    </row>
    <row r="5705" customFormat="false" ht="15" hidden="false" customHeight="false" outlineLevel="0" collapsed="false">
      <c r="A5705" s="3" t="n">
        <v>5704</v>
      </c>
      <c r="B5705" s="3" t="n">
        <v>5703</v>
      </c>
      <c r="C5705" s="3" t="n">
        <v>7</v>
      </c>
      <c r="D5705" s="3" t="n">
        <v>7</v>
      </c>
      <c r="E5705" s="3" t="n">
        <v>19</v>
      </c>
      <c r="F5705" s="24" t="n">
        <v>1.92683434</v>
      </c>
    </row>
    <row r="5706" customFormat="false" ht="15" hidden="false" customHeight="false" outlineLevel="0" collapsed="false">
      <c r="A5706" s="3" t="n">
        <v>5705</v>
      </c>
      <c r="B5706" s="3" t="n">
        <v>5704</v>
      </c>
      <c r="C5706" s="3" t="n">
        <v>7</v>
      </c>
      <c r="D5706" s="3" t="n">
        <v>7</v>
      </c>
      <c r="E5706" s="3" t="n">
        <v>20</v>
      </c>
      <c r="F5706" s="24" t="n">
        <v>1.49547338</v>
      </c>
    </row>
    <row r="5707" customFormat="false" ht="15" hidden="false" customHeight="false" outlineLevel="0" collapsed="false">
      <c r="A5707" s="3" t="n">
        <v>5706</v>
      </c>
      <c r="B5707" s="3" t="n">
        <v>5705</v>
      </c>
      <c r="C5707" s="3" t="n">
        <v>7</v>
      </c>
      <c r="D5707" s="3" t="n">
        <v>7</v>
      </c>
      <c r="E5707" s="3" t="n">
        <v>21</v>
      </c>
      <c r="F5707" s="24" t="n">
        <v>0.371219814</v>
      </c>
    </row>
    <row r="5708" customFormat="false" ht="15" hidden="false" customHeight="false" outlineLevel="0" collapsed="false">
      <c r="A5708" s="3" t="n">
        <v>5707</v>
      </c>
      <c r="B5708" s="3" t="n">
        <v>5706</v>
      </c>
      <c r="C5708" s="3" t="n">
        <v>7</v>
      </c>
      <c r="D5708" s="3" t="n">
        <v>7</v>
      </c>
      <c r="E5708" s="3" t="n">
        <v>22</v>
      </c>
      <c r="F5708" s="24" t="n">
        <v>0</v>
      </c>
    </row>
    <row r="5709" customFormat="false" ht="15" hidden="false" customHeight="false" outlineLevel="0" collapsed="false">
      <c r="A5709" s="3" t="n">
        <v>5708</v>
      </c>
      <c r="B5709" s="3" t="n">
        <v>5707</v>
      </c>
      <c r="C5709" s="3" t="n">
        <v>7</v>
      </c>
      <c r="D5709" s="3" t="n">
        <v>7</v>
      </c>
      <c r="E5709" s="3" t="n">
        <v>23</v>
      </c>
      <c r="F5709" s="24" t="n">
        <v>0</v>
      </c>
    </row>
    <row r="5710" customFormat="false" ht="15" hidden="false" customHeight="false" outlineLevel="0" collapsed="false">
      <c r="A5710" s="3" t="n">
        <v>5709</v>
      </c>
      <c r="B5710" s="3" t="n">
        <v>5708</v>
      </c>
      <c r="C5710" s="3" t="n">
        <v>7</v>
      </c>
      <c r="D5710" s="3" t="n">
        <v>7</v>
      </c>
      <c r="E5710" s="3" t="n">
        <v>24</v>
      </c>
      <c r="F5710" s="24" t="n">
        <v>0</v>
      </c>
    </row>
    <row r="5711" customFormat="false" ht="15" hidden="false" customHeight="false" outlineLevel="0" collapsed="false">
      <c r="A5711" s="3" t="n">
        <v>5710</v>
      </c>
      <c r="B5711" s="3" t="n">
        <v>5709</v>
      </c>
      <c r="C5711" s="3" t="n">
        <v>7</v>
      </c>
      <c r="D5711" s="3" t="n">
        <v>7</v>
      </c>
      <c r="E5711" s="3" t="n">
        <v>25</v>
      </c>
      <c r="F5711" s="24" t="n">
        <v>0</v>
      </c>
    </row>
    <row r="5712" customFormat="false" ht="15" hidden="false" customHeight="false" outlineLevel="0" collapsed="false">
      <c r="A5712" s="3" t="n">
        <v>5711</v>
      </c>
      <c r="B5712" s="3" t="n">
        <v>5710</v>
      </c>
      <c r="C5712" s="3" t="n">
        <v>7</v>
      </c>
      <c r="D5712" s="3" t="n">
        <v>7</v>
      </c>
      <c r="E5712" s="3" t="n">
        <v>26</v>
      </c>
      <c r="F5712" s="24" t="n">
        <v>0</v>
      </c>
    </row>
    <row r="5713" customFormat="false" ht="15" hidden="false" customHeight="false" outlineLevel="0" collapsed="false">
      <c r="A5713" s="3" t="n">
        <v>5712</v>
      </c>
      <c r="B5713" s="3" t="n">
        <v>5711</v>
      </c>
      <c r="C5713" s="3" t="n">
        <v>7</v>
      </c>
      <c r="D5713" s="3" t="n">
        <v>7</v>
      </c>
      <c r="E5713" s="3" t="n">
        <v>27</v>
      </c>
      <c r="F5713" s="24" t="n">
        <v>0</v>
      </c>
    </row>
    <row r="5714" customFormat="false" ht="15" hidden="false" customHeight="false" outlineLevel="0" collapsed="false">
      <c r="A5714" s="3" t="n">
        <v>5713</v>
      </c>
      <c r="B5714" s="3" t="n">
        <v>5712</v>
      </c>
      <c r="C5714" s="3" t="n">
        <v>7</v>
      </c>
      <c r="D5714" s="3" t="n">
        <v>8</v>
      </c>
      <c r="E5714" s="3" t="n">
        <v>0</v>
      </c>
      <c r="F5714" s="24" t="n">
        <v>0.259080142</v>
      </c>
    </row>
    <row r="5715" customFormat="false" ht="15" hidden="false" customHeight="false" outlineLevel="0" collapsed="false">
      <c r="A5715" s="3" t="n">
        <v>5714</v>
      </c>
      <c r="B5715" s="3" t="n">
        <v>5713</v>
      </c>
      <c r="C5715" s="3" t="n">
        <v>7</v>
      </c>
      <c r="D5715" s="3" t="n">
        <v>8</v>
      </c>
      <c r="E5715" s="3" t="n">
        <v>1</v>
      </c>
      <c r="F5715" s="24" t="n">
        <v>0</v>
      </c>
    </row>
    <row r="5716" customFormat="false" ht="15" hidden="false" customHeight="false" outlineLevel="0" collapsed="false">
      <c r="A5716" s="3" t="n">
        <v>5715</v>
      </c>
      <c r="B5716" s="3" t="n">
        <v>5714</v>
      </c>
      <c r="C5716" s="3" t="n">
        <v>7</v>
      </c>
      <c r="D5716" s="3" t="n">
        <v>8</v>
      </c>
      <c r="E5716" s="3" t="n">
        <v>2</v>
      </c>
      <c r="F5716" s="24" t="n">
        <v>0</v>
      </c>
    </row>
    <row r="5717" customFormat="false" ht="15" hidden="false" customHeight="false" outlineLevel="0" collapsed="false">
      <c r="A5717" s="3" t="n">
        <v>5716</v>
      </c>
      <c r="B5717" s="3" t="n">
        <v>5715</v>
      </c>
      <c r="C5717" s="3" t="n">
        <v>7</v>
      </c>
      <c r="D5717" s="3" t="n">
        <v>8</v>
      </c>
      <c r="E5717" s="3" t="n">
        <v>3</v>
      </c>
      <c r="F5717" s="24" t="n">
        <v>0</v>
      </c>
    </row>
    <row r="5718" customFormat="false" ht="15" hidden="false" customHeight="false" outlineLevel="0" collapsed="false">
      <c r="A5718" s="3" t="n">
        <v>5717</v>
      </c>
      <c r="B5718" s="3" t="n">
        <v>5716</v>
      </c>
      <c r="C5718" s="3" t="n">
        <v>7</v>
      </c>
      <c r="D5718" s="3" t="n">
        <v>8</v>
      </c>
      <c r="E5718" s="3" t="n">
        <v>4</v>
      </c>
      <c r="F5718" s="24" t="n">
        <v>0</v>
      </c>
    </row>
    <row r="5719" customFormat="false" ht="15" hidden="false" customHeight="false" outlineLevel="0" collapsed="false">
      <c r="A5719" s="3" t="n">
        <v>5718</v>
      </c>
      <c r="B5719" s="3" t="n">
        <v>5717</v>
      </c>
      <c r="C5719" s="3" t="n">
        <v>7</v>
      </c>
      <c r="D5719" s="3" t="n">
        <v>8</v>
      </c>
      <c r="E5719" s="3" t="n">
        <v>5</v>
      </c>
      <c r="F5719" s="24" t="n">
        <v>0</v>
      </c>
    </row>
    <row r="5720" customFormat="false" ht="15" hidden="false" customHeight="false" outlineLevel="0" collapsed="false">
      <c r="A5720" s="3" t="n">
        <v>5719</v>
      </c>
      <c r="B5720" s="3" t="n">
        <v>5718</v>
      </c>
      <c r="C5720" s="3" t="n">
        <v>7</v>
      </c>
      <c r="D5720" s="3" t="n">
        <v>8</v>
      </c>
      <c r="E5720" s="3" t="n">
        <v>6</v>
      </c>
      <c r="F5720" s="24" t="n">
        <v>0</v>
      </c>
    </row>
    <row r="5721" customFormat="false" ht="15" hidden="false" customHeight="false" outlineLevel="0" collapsed="false">
      <c r="A5721" s="3" t="n">
        <v>5720</v>
      </c>
      <c r="B5721" s="3" t="n">
        <v>5719</v>
      </c>
      <c r="C5721" s="3" t="n">
        <v>7</v>
      </c>
      <c r="D5721" s="3" t="n">
        <v>8</v>
      </c>
      <c r="E5721" s="3" t="n">
        <v>7</v>
      </c>
      <c r="F5721" s="24" t="n">
        <v>0.0587901324</v>
      </c>
    </row>
    <row r="5722" customFormat="false" ht="15" hidden="false" customHeight="false" outlineLevel="0" collapsed="false">
      <c r="A5722" s="3" t="n">
        <v>5721</v>
      </c>
      <c r="B5722" s="3" t="n">
        <v>5720</v>
      </c>
      <c r="C5722" s="3" t="n">
        <v>7</v>
      </c>
      <c r="D5722" s="3" t="n">
        <v>8</v>
      </c>
      <c r="E5722" s="3" t="n">
        <v>8</v>
      </c>
      <c r="F5722" s="24" t="n">
        <v>0.293194979</v>
      </c>
    </row>
    <row r="5723" customFormat="false" ht="15" hidden="false" customHeight="false" outlineLevel="0" collapsed="false">
      <c r="A5723" s="3" t="n">
        <v>5722</v>
      </c>
      <c r="B5723" s="3" t="n">
        <v>5721</v>
      </c>
      <c r="C5723" s="3" t="n">
        <v>7</v>
      </c>
      <c r="D5723" s="3" t="n">
        <v>8</v>
      </c>
      <c r="E5723" s="3" t="n">
        <v>9</v>
      </c>
      <c r="F5723" s="24" t="n">
        <v>1.40463734</v>
      </c>
    </row>
    <row r="5724" customFormat="false" ht="15" hidden="false" customHeight="false" outlineLevel="0" collapsed="false">
      <c r="A5724" s="3" t="n">
        <v>5723</v>
      </c>
      <c r="B5724" s="3" t="n">
        <v>5722</v>
      </c>
      <c r="C5724" s="3" t="n">
        <v>7</v>
      </c>
      <c r="D5724" s="3" t="n">
        <v>8</v>
      </c>
      <c r="E5724" s="3" t="n">
        <v>10</v>
      </c>
      <c r="F5724" s="24" t="n">
        <v>2.04710436</v>
      </c>
    </row>
    <row r="5725" customFormat="false" ht="15" hidden="false" customHeight="false" outlineLevel="0" collapsed="false">
      <c r="A5725" s="3" t="n">
        <v>5724</v>
      </c>
      <c r="B5725" s="3" t="n">
        <v>5723</v>
      </c>
      <c r="C5725" s="3" t="n">
        <v>7</v>
      </c>
      <c r="D5725" s="3" t="n">
        <v>8</v>
      </c>
      <c r="E5725" s="3" t="n">
        <v>11</v>
      </c>
      <c r="F5725" s="24" t="n">
        <v>2.91526914</v>
      </c>
    </row>
    <row r="5726" customFormat="false" ht="15" hidden="false" customHeight="false" outlineLevel="0" collapsed="false">
      <c r="A5726" s="3" t="n">
        <v>5725</v>
      </c>
      <c r="B5726" s="3" t="n">
        <v>5724</v>
      </c>
      <c r="C5726" s="3" t="n">
        <v>7</v>
      </c>
      <c r="D5726" s="3" t="n">
        <v>8</v>
      </c>
      <c r="E5726" s="3" t="n">
        <v>12</v>
      </c>
      <c r="F5726" s="24" t="n">
        <v>2.89214349</v>
      </c>
    </row>
    <row r="5727" customFormat="false" ht="15" hidden="false" customHeight="false" outlineLevel="0" collapsed="false">
      <c r="A5727" s="3" t="n">
        <v>5726</v>
      </c>
      <c r="B5727" s="3" t="n">
        <v>5725</v>
      </c>
      <c r="C5727" s="3" t="n">
        <v>7</v>
      </c>
      <c r="D5727" s="3" t="n">
        <v>8</v>
      </c>
      <c r="E5727" s="3" t="n">
        <v>13</v>
      </c>
      <c r="F5727" s="24" t="n">
        <v>2.27397346</v>
      </c>
    </row>
    <row r="5728" customFormat="false" ht="15" hidden="false" customHeight="false" outlineLevel="0" collapsed="false">
      <c r="A5728" s="3" t="n">
        <v>5727</v>
      </c>
      <c r="B5728" s="3" t="n">
        <v>5726</v>
      </c>
      <c r="C5728" s="3" t="n">
        <v>7</v>
      </c>
      <c r="D5728" s="3" t="n">
        <v>8</v>
      </c>
      <c r="E5728" s="3" t="n">
        <v>14</v>
      </c>
      <c r="F5728" s="24" t="n">
        <v>2.53640437</v>
      </c>
    </row>
    <row r="5729" customFormat="false" ht="15" hidden="false" customHeight="false" outlineLevel="0" collapsed="false">
      <c r="A5729" s="3" t="n">
        <v>5728</v>
      </c>
      <c r="B5729" s="3" t="n">
        <v>5727</v>
      </c>
      <c r="C5729" s="3" t="n">
        <v>7</v>
      </c>
      <c r="D5729" s="3" t="n">
        <v>8</v>
      </c>
      <c r="E5729" s="3" t="n">
        <v>15</v>
      </c>
      <c r="F5729" s="24" t="n">
        <v>2.53163099</v>
      </c>
    </row>
    <row r="5730" customFormat="false" ht="15" hidden="false" customHeight="false" outlineLevel="0" collapsed="false">
      <c r="A5730" s="3" t="n">
        <v>5729</v>
      </c>
      <c r="B5730" s="3" t="n">
        <v>5728</v>
      </c>
      <c r="C5730" s="3" t="n">
        <v>7</v>
      </c>
      <c r="D5730" s="3" t="n">
        <v>8</v>
      </c>
      <c r="E5730" s="3" t="n">
        <v>16</v>
      </c>
      <c r="F5730" s="24" t="n">
        <v>2.52544165</v>
      </c>
    </row>
    <row r="5731" customFormat="false" ht="15" hidden="false" customHeight="false" outlineLevel="0" collapsed="false">
      <c r="A5731" s="3" t="n">
        <v>5730</v>
      </c>
      <c r="B5731" s="3" t="n">
        <v>5729</v>
      </c>
      <c r="C5731" s="3" t="n">
        <v>7</v>
      </c>
      <c r="D5731" s="3" t="n">
        <v>8</v>
      </c>
      <c r="E5731" s="3" t="n">
        <v>17</v>
      </c>
      <c r="F5731" s="24" t="n">
        <v>2.45740795</v>
      </c>
    </row>
    <row r="5732" customFormat="false" ht="15" hidden="false" customHeight="false" outlineLevel="0" collapsed="false">
      <c r="A5732" s="3" t="n">
        <v>5731</v>
      </c>
      <c r="B5732" s="3" t="n">
        <v>5730</v>
      </c>
      <c r="C5732" s="3" t="n">
        <v>7</v>
      </c>
      <c r="D5732" s="3" t="n">
        <v>8</v>
      </c>
      <c r="E5732" s="3" t="n">
        <v>18</v>
      </c>
      <c r="F5732" s="24" t="n">
        <v>2.31017089</v>
      </c>
    </row>
    <row r="5733" customFormat="false" ht="15" hidden="false" customHeight="false" outlineLevel="0" collapsed="false">
      <c r="A5733" s="3" t="n">
        <v>5732</v>
      </c>
      <c r="B5733" s="3" t="n">
        <v>5731</v>
      </c>
      <c r="C5733" s="3" t="n">
        <v>7</v>
      </c>
      <c r="D5733" s="3" t="n">
        <v>8</v>
      </c>
      <c r="E5733" s="3" t="n">
        <v>19</v>
      </c>
      <c r="F5733" s="24" t="n">
        <v>2.72016382</v>
      </c>
    </row>
    <row r="5734" customFormat="false" ht="15" hidden="false" customHeight="false" outlineLevel="0" collapsed="false">
      <c r="A5734" s="3" t="n">
        <v>5733</v>
      </c>
      <c r="B5734" s="3" t="n">
        <v>5732</v>
      </c>
      <c r="C5734" s="3" t="n">
        <v>7</v>
      </c>
      <c r="D5734" s="3" t="n">
        <v>8</v>
      </c>
      <c r="E5734" s="3" t="n">
        <v>20</v>
      </c>
      <c r="F5734" s="24" t="n">
        <v>3.32365465</v>
      </c>
    </row>
    <row r="5735" customFormat="false" ht="15" hidden="false" customHeight="false" outlineLevel="0" collapsed="false">
      <c r="A5735" s="3" t="n">
        <v>5734</v>
      </c>
      <c r="B5735" s="3" t="n">
        <v>5733</v>
      </c>
      <c r="C5735" s="3" t="n">
        <v>7</v>
      </c>
      <c r="D5735" s="3" t="n">
        <v>8</v>
      </c>
      <c r="E5735" s="3" t="n">
        <v>21</v>
      </c>
      <c r="F5735" s="24" t="n">
        <v>2.276052</v>
      </c>
    </row>
    <row r="5736" customFormat="false" ht="15" hidden="false" customHeight="false" outlineLevel="0" collapsed="false">
      <c r="A5736" s="3" t="n">
        <v>5735</v>
      </c>
      <c r="B5736" s="3" t="n">
        <v>5734</v>
      </c>
      <c r="C5736" s="3" t="n">
        <v>7</v>
      </c>
      <c r="D5736" s="3" t="n">
        <v>8</v>
      </c>
      <c r="E5736" s="3" t="n">
        <v>22</v>
      </c>
      <c r="F5736" s="24" t="n">
        <v>0.26575011</v>
      </c>
    </row>
    <row r="5737" customFormat="false" ht="15" hidden="false" customHeight="false" outlineLevel="0" collapsed="false">
      <c r="A5737" s="3" t="n">
        <v>5736</v>
      </c>
      <c r="B5737" s="3" t="n">
        <v>5735</v>
      </c>
      <c r="C5737" s="3" t="n">
        <v>7</v>
      </c>
      <c r="D5737" s="3" t="n">
        <v>8</v>
      </c>
      <c r="E5737" s="3" t="n">
        <v>23</v>
      </c>
      <c r="F5737" s="24" t="n">
        <v>0</v>
      </c>
    </row>
    <row r="5738" customFormat="false" ht="15" hidden="false" customHeight="false" outlineLevel="0" collapsed="false">
      <c r="A5738" s="3" t="n">
        <v>5737</v>
      </c>
      <c r="B5738" s="3" t="n">
        <v>5736</v>
      </c>
      <c r="C5738" s="3" t="n">
        <v>7</v>
      </c>
      <c r="D5738" s="3" t="n">
        <v>8</v>
      </c>
      <c r="E5738" s="3" t="n">
        <v>24</v>
      </c>
      <c r="F5738" s="24" t="n">
        <v>0</v>
      </c>
    </row>
    <row r="5739" customFormat="false" ht="15" hidden="false" customHeight="false" outlineLevel="0" collapsed="false">
      <c r="A5739" s="3" t="n">
        <v>5738</v>
      </c>
      <c r="B5739" s="3" t="n">
        <v>5737</v>
      </c>
      <c r="C5739" s="3" t="n">
        <v>7</v>
      </c>
      <c r="D5739" s="3" t="n">
        <v>8</v>
      </c>
      <c r="E5739" s="3" t="n">
        <v>25</v>
      </c>
      <c r="F5739" s="24" t="n">
        <v>0</v>
      </c>
    </row>
    <row r="5740" customFormat="false" ht="15" hidden="false" customHeight="false" outlineLevel="0" collapsed="false">
      <c r="A5740" s="3" t="n">
        <v>5739</v>
      </c>
      <c r="B5740" s="3" t="n">
        <v>5738</v>
      </c>
      <c r="C5740" s="3" t="n">
        <v>7</v>
      </c>
      <c r="D5740" s="3" t="n">
        <v>8</v>
      </c>
      <c r="E5740" s="3" t="n">
        <v>26</v>
      </c>
      <c r="F5740" s="24" t="n">
        <v>0</v>
      </c>
    </row>
    <row r="5741" customFormat="false" ht="15" hidden="false" customHeight="false" outlineLevel="0" collapsed="false">
      <c r="A5741" s="3" t="n">
        <v>5740</v>
      </c>
      <c r="B5741" s="3" t="n">
        <v>5739</v>
      </c>
      <c r="C5741" s="3" t="n">
        <v>7</v>
      </c>
      <c r="D5741" s="3" t="n">
        <v>8</v>
      </c>
      <c r="E5741" s="3" t="n">
        <v>27</v>
      </c>
      <c r="F5741" s="24" t="n">
        <v>0</v>
      </c>
    </row>
    <row r="5742" customFormat="false" ht="15" hidden="false" customHeight="false" outlineLevel="0" collapsed="false">
      <c r="A5742" s="3" t="n">
        <v>5741</v>
      </c>
      <c r="B5742" s="3" t="n">
        <v>5740</v>
      </c>
      <c r="C5742" s="3" t="n">
        <v>7</v>
      </c>
      <c r="D5742" s="3" t="n">
        <v>9</v>
      </c>
      <c r="E5742" s="3" t="n">
        <v>0</v>
      </c>
      <c r="F5742" s="24" t="n">
        <v>0.259080142</v>
      </c>
    </row>
    <row r="5743" customFormat="false" ht="15" hidden="false" customHeight="false" outlineLevel="0" collapsed="false">
      <c r="A5743" s="3" t="n">
        <v>5742</v>
      </c>
      <c r="B5743" s="3" t="n">
        <v>5741</v>
      </c>
      <c r="C5743" s="3" t="n">
        <v>7</v>
      </c>
      <c r="D5743" s="3" t="n">
        <v>9</v>
      </c>
      <c r="E5743" s="3" t="n">
        <v>1</v>
      </c>
      <c r="F5743" s="24" t="n">
        <v>0</v>
      </c>
    </row>
    <row r="5744" customFormat="false" ht="15" hidden="false" customHeight="false" outlineLevel="0" collapsed="false">
      <c r="A5744" s="3" t="n">
        <v>5743</v>
      </c>
      <c r="B5744" s="3" t="n">
        <v>5742</v>
      </c>
      <c r="C5744" s="3" t="n">
        <v>7</v>
      </c>
      <c r="D5744" s="3" t="n">
        <v>9</v>
      </c>
      <c r="E5744" s="3" t="n">
        <v>2</v>
      </c>
      <c r="F5744" s="24" t="n">
        <v>0</v>
      </c>
    </row>
    <row r="5745" customFormat="false" ht="15" hidden="false" customHeight="false" outlineLevel="0" collapsed="false">
      <c r="A5745" s="3" t="n">
        <v>5744</v>
      </c>
      <c r="B5745" s="3" t="n">
        <v>5743</v>
      </c>
      <c r="C5745" s="3" t="n">
        <v>7</v>
      </c>
      <c r="D5745" s="3" t="n">
        <v>9</v>
      </c>
      <c r="E5745" s="3" t="n">
        <v>3</v>
      </c>
      <c r="F5745" s="24" t="n">
        <v>0</v>
      </c>
    </row>
    <row r="5746" customFormat="false" ht="15" hidden="false" customHeight="false" outlineLevel="0" collapsed="false">
      <c r="A5746" s="3" t="n">
        <v>5745</v>
      </c>
      <c r="B5746" s="3" t="n">
        <v>5744</v>
      </c>
      <c r="C5746" s="3" t="n">
        <v>7</v>
      </c>
      <c r="D5746" s="3" t="n">
        <v>9</v>
      </c>
      <c r="E5746" s="3" t="n">
        <v>4</v>
      </c>
      <c r="F5746" s="24" t="n">
        <v>0</v>
      </c>
    </row>
    <row r="5747" customFormat="false" ht="15" hidden="false" customHeight="false" outlineLevel="0" collapsed="false">
      <c r="A5747" s="3" t="n">
        <v>5746</v>
      </c>
      <c r="B5747" s="3" t="n">
        <v>5745</v>
      </c>
      <c r="C5747" s="3" t="n">
        <v>7</v>
      </c>
      <c r="D5747" s="3" t="n">
        <v>9</v>
      </c>
      <c r="E5747" s="3" t="n">
        <v>5</v>
      </c>
      <c r="F5747" s="24" t="n">
        <v>0</v>
      </c>
    </row>
    <row r="5748" customFormat="false" ht="15" hidden="false" customHeight="false" outlineLevel="0" collapsed="false">
      <c r="A5748" s="3" t="n">
        <v>5747</v>
      </c>
      <c r="B5748" s="3" t="n">
        <v>5746</v>
      </c>
      <c r="C5748" s="3" t="n">
        <v>7</v>
      </c>
      <c r="D5748" s="3" t="n">
        <v>9</v>
      </c>
      <c r="E5748" s="3" t="n">
        <v>6</v>
      </c>
      <c r="F5748" s="24" t="n">
        <v>0</v>
      </c>
    </row>
    <row r="5749" customFormat="false" ht="15" hidden="false" customHeight="false" outlineLevel="0" collapsed="false">
      <c r="A5749" s="3" t="n">
        <v>5748</v>
      </c>
      <c r="B5749" s="3" t="n">
        <v>5747</v>
      </c>
      <c r="C5749" s="3" t="n">
        <v>7</v>
      </c>
      <c r="D5749" s="3" t="n">
        <v>9</v>
      </c>
      <c r="E5749" s="3" t="n">
        <v>7</v>
      </c>
      <c r="F5749" s="24" t="n">
        <v>0</v>
      </c>
    </row>
    <row r="5750" customFormat="false" ht="15" hidden="false" customHeight="false" outlineLevel="0" collapsed="false">
      <c r="A5750" s="3" t="n">
        <v>5749</v>
      </c>
      <c r="B5750" s="3" t="n">
        <v>5748</v>
      </c>
      <c r="C5750" s="3" t="n">
        <v>7</v>
      </c>
      <c r="D5750" s="3" t="n">
        <v>9</v>
      </c>
      <c r="E5750" s="3" t="n">
        <v>8</v>
      </c>
      <c r="F5750" s="24" t="n">
        <v>0</v>
      </c>
    </row>
    <row r="5751" customFormat="false" ht="15" hidden="false" customHeight="false" outlineLevel="0" collapsed="false">
      <c r="A5751" s="3" t="n">
        <v>5750</v>
      </c>
      <c r="B5751" s="3" t="n">
        <v>5749</v>
      </c>
      <c r="C5751" s="3" t="n">
        <v>7</v>
      </c>
      <c r="D5751" s="3" t="n">
        <v>9</v>
      </c>
      <c r="E5751" s="3" t="n">
        <v>9</v>
      </c>
      <c r="F5751" s="24" t="n">
        <v>0</v>
      </c>
    </row>
    <row r="5752" customFormat="false" ht="15" hidden="false" customHeight="false" outlineLevel="0" collapsed="false">
      <c r="A5752" s="3" t="n">
        <v>5751</v>
      </c>
      <c r="B5752" s="3" t="n">
        <v>5750</v>
      </c>
      <c r="C5752" s="3" t="n">
        <v>7</v>
      </c>
      <c r="D5752" s="3" t="n">
        <v>9</v>
      </c>
      <c r="E5752" s="3" t="n">
        <v>10</v>
      </c>
      <c r="F5752" s="24" t="n">
        <v>0</v>
      </c>
    </row>
    <row r="5753" customFormat="false" ht="15" hidden="false" customHeight="false" outlineLevel="0" collapsed="false">
      <c r="A5753" s="3" t="n">
        <v>5752</v>
      </c>
      <c r="B5753" s="3" t="n">
        <v>5751</v>
      </c>
      <c r="C5753" s="3" t="n">
        <v>7</v>
      </c>
      <c r="D5753" s="3" t="n">
        <v>9</v>
      </c>
      <c r="E5753" s="3" t="n">
        <v>11</v>
      </c>
      <c r="F5753" s="24" t="n">
        <v>0</v>
      </c>
    </row>
    <row r="5754" customFormat="false" ht="15" hidden="false" customHeight="false" outlineLevel="0" collapsed="false">
      <c r="A5754" s="3" t="n">
        <v>5753</v>
      </c>
      <c r="B5754" s="3" t="n">
        <v>5752</v>
      </c>
      <c r="C5754" s="3" t="n">
        <v>7</v>
      </c>
      <c r="D5754" s="3" t="n">
        <v>9</v>
      </c>
      <c r="E5754" s="3" t="n">
        <v>12</v>
      </c>
      <c r="F5754" s="24" t="n">
        <v>0</v>
      </c>
    </row>
    <row r="5755" customFormat="false" ht="15" hidden="false" customHeight="false" outlineLevel="0" collapsed="false">
      <c r="A5755" s="3" t="n">
        <v>5754</v>
      </c>
      <c r="B5755" s="3" t="n">
        <v>5753</v>
      </c>
      <c r="C5755" s="3" t="n">
        <v>7</v>
      </c>
      <c r="D5755" s="3" t="n">
        <v>9</v>
      </c>
      <c r="E5755" s="3" t="n">
        <v>13</v>
      </c>
      <c r="F5755" s="24" t="n">
        <v>0</v>
      </c>
    </row>
    <row r="5756" customFormat="false" ht="15" hidden="false" customHeight="false" outlineLevel="0" collapsed="false">
      <c r="A5756" s="3" t="n">
        <v>5755</v>
      </c>
      <c r="B5756" s="3" t="n">
        <v>5754</v>
      </c>
      <c r="C5756" s="3" t="n">
        <v>7</v>
      </c>
      <c r="D5756" s="3" t="n">
        <v>9</v>
      </c>
      <c r="E5756" s="3" t="n">
        <v>14</v>
      </c>
      <c r="F5756" s="24" t="n">
        <v>0</v>
      </c>
    </row>
    <row r="5757" customFormat="false" ht="15" hidden="false" customHeight="false" outlineLevel="0" collapsed="false">
      <c r="A5757" s="3" t="n">
        <v>5756</v>
      </c>
      <c r="B5757" s="3" t="n">
        <v>5755</v>
      </c>
      <c r="C5757" s="3" t="n">
        <v>7</v>
      </c>
      <c r="D5757" s="3" t="n">
        <v>9</v>
      </c>
      <c r="E5757" s="3" t="n">
        <v>15</v>
      </c>
      <c r="F5757" s="24" t="n">
        <v>0</v>
      </c>
    </row>
    <row r="5758" customFormat="false" ht="15" hidden="false" customHeight="false" outlineLevel="0" collapsed="false">
      <c r="A5758" s="3" t="n">
        <v>5757</v>
      </c>
      <c r="B5758" s="3" t="n">
        <v>5756</v>
      </c>
      <c r="C5758" s="3" t="n">
        <v>7</v>
      </c>
      <c r="D5758" s="3" t="n">
        <v>9</v>
      </c>
      <c r="E5758" s="3" t="n">
        <v>16</v>
      </c>
      <c r="F5758" s="24" t="n">
        <v>0</v>
      </c>
    </row>
    <row r="5759" customFormat="false" ht="15" hidden="false" customHeight="false" outlineLevel="0" collapsed="false">
      <c r="A5759" s="3" t="n">
        <v>5758</v>
      </c>
      <c r="B5759" s="3" t="n">
        <v>5757</v>
      </c>
      <c r="C5759" s="3" t="n">
        <v>7</v>
      </c>
      <c r="D5759" s="3" t="n">
        <v>9</v>
      </c>
      <c r="E5759" s="3" t="n">
        <v>17</v>
      </c>
      <c r="F5759" s="24" t="n">
        <v>0</v>
      </c>
    </row>
    <row r="5760" customFormat="false" ht="15" hidden="false" customHeight="false" outlineLevel="0" collapsed="false">
      <c r="A5760" s="3" t="n">
        <v>5759</v>
      </c>
      <c r="B5760" s="3" t="n">
        <v>5758</v>
      </c>
      <c r="C5760" s="3" t="n">
        <v>7</v>
      </c>
      <c r="D5760" s="3" t="n">
        <v>9</v>
      </c>
      <c r="E5760" s="3" t="n">
        <v>18</v>
      </c>
      <c r="F5760" s="24" t="n">
        <v>0</v>
      </c>
    </row>
    <row r="5761" customFormat="false" ht="15" hidden="false" customHeight="false" outlineLevel="0" collapsed="false">
      <c r="A5761" s="3" t="n">
        <v>5760</v>
      </c>
      <c r="B5761" s="3" t="n">
        <v>5759</v>
      </c>
      <c r="C5761" s="3" t="n">
        <v>7</v>
      </c>
      <c r="D5761" s="3" t="n">
        <v>9</v>
      </c>
      <c r="E5761" s="3" t="n">
        <v>19</v>
      </c>
      <c r="F5761" s="24" t="n">
        <v>1.7582984</v>
      </c>
    </row>
    <row r="5762" customFormat="false" ht="15" hidden="false" customHeight="false" outlineLevel="0" collapsed="false">
      <c r="A5762" s="3" t="n">
        <v>5761</v>
      </c>
      <c r="B5762" s="3" t="n">
        <v>5760</v>
      </c>
      <c r="C5762" s="3" t="n">
        <v>7</v>
      </c>
      <c r="D5762" s="3" t="n">
        <v>9</v>
      </c>
      <c r="E5762" s="3" t="n">
        <v>20</v>
      </c>
      <c r="F5762" s="24" t="n">
        <v>3.49919486</v>
      </c>
    </row>
    <row r="5763" customFormat="false" ht="15" hidden="false" customHeight="false" outlineLevel="0" collapsed="false">
      <c r="A5763" s="3" t="n">
        <v>5762</v>
      </c>
      <c r="B5763" s="3" t="n">
        <v>5761</v>
      </c>
      <c r="C5763" s="3" t="n">
        <v>7</v>
      </c>
      <c r="D5763" s="3" t="n">
        <v>9</v>
      </c>
      <c r="E5763" s="3" t="n">
        <v>21</v>
      </c>
      <c r="F5763" s="24" t="n">
        <v>3.12280297</v>
      </c>
    </row>
    <row r="5764" customFormat="false" ht="15" hidden="false" customHeight="false" outlineLevel="0" collapsed="false">
      <c r="A5764" s="3" t="n">
        <v>5763</v>
      </c>
      <c r="B5764" s="3" t="n">
        <v>5762</v>
      </c>
      <c r="C5764" s="3" t="n">
        <v>7</v>
      </c>
      <c r="D5764" s="3" t="n">
        <v>9</v>
      </c>
      <c r="E5764" s="3" t="n">
        <v>22</v>
      </c>
      <c r="F5764" s="24" t="n">
        <v>1.02553296</v>
      </c>
    </row>
    <row r="5765" customFormat="false" ht="15" hidden="false" customHeight="false" outlineLevel="0" collapsed="false">
      <c r="A5765" s="3" t="n">
        <v>5764</v>
      </c>
      <c r="B5765" s="3" t="n">
        <v>5763</v>
      </c>
      <c r="C5765" s="3" t="n">
        <v>7</v>
      </c>
      <c r="D5765" s="3" t="n">
        <v>9</v>
      </c>
      <c r="E5765" s="3" t="n">
        <v>23</v>
      </c>
      <c r="F5765" s="24" t="n">
        <v>0</v>
      </c>
    </row>
    <row r="5766" customFormat="false" ht="15" hidden="false" customHeight="false" outlineLevel="0" collapsed="false">
      <c r="A5766" s="3" t="n">
        <v>5765</v>
      </c>
      <c r="B5766" s="3" t="n">
        <v>5764</v>
      </c>
      <c r="C5766" s="3" t="n">
        <v>7</v>
      </c>
      <c r="D5766" s="3" t="n">
        <v>9</v>
      </c>
      <c r="E5766" s="3" t="n">
        <v>24</v>
      </c>
      <c r="F5766" s="24" t="n">
        <v>0</v>
      </c>
    </row>
    <row r="5767" customFormat="false" ht="15" hidden="false" customHeight="false" outlineLevel="0" collapsed="false">
      <c r="A5767" s="3" t="n">
        <v>5766</v>
      </c>
      <c r="B5767" s="3" t="n">
        <v>5765</v>
      </c>
      <c r="C5767" s="3" t="n">
        <v>7</v>
      </c>
      <c r="D5767" s="3" t="n">
        <v>9</v>
      </c>
      <c r="E5767" s="3" t="n">
        <v>25</v>
      </c>
      <c r="F5767" s="24" t="n">
        <v>0</v>
      </c>
    </row>
    <row r="5768" customFormat="false" ht="15" hidden="false" customHeight="false" outlineLevel="0" collapsed="false">
      <c r="A5768" s="3" t="n">
        <v>5767</v>
      </c>
      <c r="B5768" s="3" t="n">
        <v>5766</v>
      </c>
      <c r="C5768" s="3" t="n">
        <v>7</v>
      </c>
      <c r="D5768" s="3" t="n">
        <v>9</v>
      </c>
      <c r="E5768" s="3" t="n">
        <v>26</v>
      </c>
      <c r="F5768" s="24" t="n">
        <v>0</v>
      </c>
    </row>
    <row r="5769" customFormat="false" ht="15" hidden="false" customHeight="false" outlineLevel="0" collapsed="false">
      <c r="A5769" s="3" t="n">
        <v>5768</v>
      </c>
      <c r="B5769" s="3" t="n">
        <v>5767</v>
      </c>
      <c r="C5769" s="3" t="n">
        <v>7</v>
      </c>
      <c r="D5769" s="3" t="n">
        <v>9</v>
      </c>
      <c r="E5769" s="3" t="n">
        <v>27</v>
      </c>
      <c r="F5769" s="24" t="n">
        <v>0</v>
      </c>
    </row>
    <row r="5770" customFormat="false" ht="15" hidden="false" customHeight="false" outlineLevel="0" collapsed="false">
      <c r="A5770" s="3" t="n">
        <v>5769</v>
      </c>
      <c r="B5770" s="3" t="n">
        <v>5768</v>
      </c>
      <c r="C5770" s="3" t="n">
        <v>7</v>
      </c>
      <c r="D5770" s="3" t="n">
        <v>10</v>
      </c>
      <c r="E5770" s="3" t="n">
        <v>0</v>
      </c>
      <c r="F5770" s="24" t="n">
        <v>0.259080142</v>
      </c>
    </row>
    <row r="5771" customFormat="false" ht="15" hidden="false" customHeight="false" outlineLevel="0" collapsed="false">
      <c r="A5771" s="3" t="n">
        <v>5770</v>
      </c>
      <c r="B5771" s="3" t="n">
        <v>5769</v>
      </c>
      <c r="C5771" s="3" t="n">
        <v>7</v>
      </c>
      <c r="D5771" s="3" t="n">
        <v>10</v>
      </c>
      <c r="E5771" s="3" t="n">
        <v>1</v>
      </c>
      <c r="F5771" s="24" t="n">
        <v>0</v>
      </c>
    </row>
    <row r="5772" customFormat="false" ht="15" hidden="false" customHeight="false" outlineLevel="0" collapsed="false">
      <c r="A5772" s="3" t="n">
        <v>5771</v>
      </c>
      <c r="B5772" s="3" t="n">
        <v>5770</v>
      </c>
      <c r="C5772" s="3" t="n">
        <v>7</v>
      </c>
      <c r="D5772" s="3" t="n">
        <v>10</v>
      </c>
      <c r="E5772" s="3" t="n">
        <v>2</v>
      </c>
      <c r="F5772" s="24" t="n">
        <v>0</v>
      </c>
    </row>
    <row r="5773" customFormat="false" ht="15" hidden="false" customHeight="false" outlineLevel="0" collapsed="false">
      <c r="A5773" s="3" t="n">
        <v>5772</v>
      </c>
      <c r="B5773" s="3" t="n">
        <v>5771</v>
      </c>
      <c r="C5773" s="3" t="n">
        <v>7</v>
      </c>
      <c r="D5773" s="3" t="n">
        <v>10</v>
      </c>
      <c r="E5773" s="3" t="n">
        <v>3</v>
      </c>
      <c r="F5773" s="24" t="n">
        <v>0</v>
      </c>
    </row>
    <row r="5774" customFormat="false" ht="15" hidden="false" customHeight="false" outlineLevel="0" collapsed="false">
      <c r="A5774" s="3" t="n">
        <v>5773</v>
      </c>
      <c r="B5774" s="3" t="n">
        <v>5772</v>
      </c>
      <c r="C5774" s="3" t="n">
        <v>7</v>
      </c>
      <c r="D5774" s="3" t="n">
        <v>10</v>
      </c>
      <c r="E5774" s="3" t="n">
        <v>4</v>
      </c>
      <c r="F5774" s="24" t="n">
        <v>0</v>
      </c>
    </row>
    <row r="5775" customFormat="false" ht="15" hidden="false" customHeight="false" outlineLevel="0" collapsed="false">
      <c r="A5775" s="3" t="n">
        <v>5774</v>
      </c>
      <c r="B5775" s="3" t="n">
        <v>5773</v>
      </c>
      <c r="C5775" s="3" t="n">
        <v>7</v>
      </c>
      <c r="D5775" s="3" t="n">
        <v>10</v>
      </c>
      <c r="E5775" s="3" t="n">
        <v>5</v>
      </c>
      <c r="F5775" s="24" t="n">
        <v>0</v>
      </c>
    </row>
    <row r="5776" customFormat="false" ht="15" hidden="false" customHeight="false" outlineLevel="0" collapsed="false">
      <c r="A5776" s="3" t="n">
        <v>5775</v>
      </c>
      <c r="B5776" s="3" t="n">
        <v>5774</v>
      </c>
      <c r="C5776" s="3" t="n">
        <v>7</v>
      </c>
      <c r="D5776" s="3" t="n">
        <v>10</v>
      </c>
      <c r="E5776" s="3" t="n">
        <v>6</v>
      </c>
      <c r="F5776" s="24" t="n">
        <v>0</v>
      </c>
    </row>
    <row r="5777" customFormat="false" ht="15" hidden="false" customHeight="false" outlineLevel="0" collapsed="false">
      <c r="A5777" s="3" t="n">
        <v>5776</v>
      </c>
      <c r="B5777" s="3" t="n">
        <v>5775</v>
      </c>
      <c r="C5777" s="3" t="n">
        <v>7</v>
      </c>
      <c r="D5777" s="3" t="n">
        <v>10</v>
      </c>
      <c r="E5777" s="3" t="n">
        <v>7</v>
      </c>
      <c r="F5777" s="24" t="n">
        <v>0</v>
      </c>
    </row>
    <row r="5778" customFormat="false" ht="15" hidden="false" customHeight="false" outlineLevel="0" collapsed="false">
      <c r="A5778" s="3" t="n">
        <v>5777</v>
      </c>
      <c r="B5778" s="3" t="n">
        <v>5776</v>
      </c>
      <c r="C5778" s="3" t="n">
        <v>7</v>
      </c>
      <c r="D5778" s="3" t="n">
        <v>10</v>
      </c>
      <c r="E5778" s="3" t="n">
        <v>8</v>
      </c>
      <c r="F5778" s="24" t="n">
        <v>0</v>
      </c>
    </row>
    <row r="5779" customFormat="false" ht="15" hidden="false" customHeight="false" outlineLevel="0" collapsed="false">
      <c r="A5779" s="3" t="n">
        <v>5778</v>
      </c>
      <c r="B5779" s="3" t="n">
        <v>5777</v>
      </c>
      <c r="C5779" s="3" t="n">
        <v>7</v>
      </c>
      <c r="D5779" s="3" t="n">
        <v>10</v>
      </c>
      <c r="E5779" s="3" t="n">
        <v>9</v>
      </c>
      <c r="F5779" s="24" t="n">
        <v>0</v>
      </c>
    </row>
    <row r="5780" customFormat="false" ht="15" hidden="false" customHeight="false" outlineLevel="0" collapsed="false">
      <c r="A5780" s="3" t="n">
        <v>5779</v>
      </c>
      <c r="B5780" s="3" t="n">
        <v>5778</v>
      </c>
      <c r="C5780" s="3" t="n">
        <v>7</v>
      </c>
      <c r="D5780" s="3" t="n">
        <v>10</v>
      </c>
      <c r="E5780" s="3" t="n">
        <v>10</v>
      </c>
      <c r="F5780" s="24" t="n">
        <v>0</v>
      </c>
    </row>
    <row r="5781" customFormat="false" ht="15" hidden="false" customHeight="false" outlineLevel="0" collapsed="false">
      <c r="A5781" s="3" t="n">
        <v>5780</v>
      </c>
      <c r="B5781" s="3" t="n">
        <v>5779</v>
      </c>
      <c r="C5781" s="3" t="n">
        <v>7</v>
      </c>
      <c r="D5781" s="3" t="n">
        <v>10</v>
      </c>
      <c r="E5781" s="3" t="n">
        <v>11</v>
      </c>
      <c r="F5781" s="24" t="n">
        <v>0</v>
      </c>
    </row>
    <row r="5782" customFormat="false" ht="15" hidden="false" customHeight="false" outlineLevel="0" collapsed="false">
      <c r="A5782" s="3" t="n">
        <v>5781</v>
      </c>
      <c r="B5782" s="3" t="n">
        <v>5780</v>
      </c>
      <c r="C5782" s="3" t="n">
        <v>7</v>
      </c>
      <c r="D5782" s="3" t="n">
        <v>10</v>
      </c>
      <c r="E5782" s="3" t="n">
        <v>12</v>
      </c>
      <c r="F5782" s="24" t="n">
        <v>0</v>
      </c>
    </row>
    <row r="5783" customFormat="false" ht="15" hidden="false" customHeight="false" outlineLevel="0" collapsed="false">
      <c r="A5783" s="3" t="n">
        <v>5782</v>
      </c>
      <c r="B5783" s="3" t="n">
        <v>5781</v>
      </c>
      <c r="C5783" s="3" t="n">
        <v>7</v>
      </c>
      <c r="D5783" s="3" t="n">
        <v>10</v>
      </c>
      <c r="E5783" s="3" t="n">
        <v>13</v>
      </c>
      <c r="F5783" s="24" t="n">
        <v>0</v>
      </c>
    </row>
    <row r="5784" customFormat="false" ht="15" hidden="false" customHeight="false" outlineLevel="0" collapsed="false">
      <c r="A5784" s="3" t="n">
        <v>5783</v>
      </c>
      <c r="B5784" s="3" t="n">
        <v>5782</v>
      </c>
      <c r="C5784" s="3" t="n">
        <v>7</v>
      </c>
      <c r="D5784" s="3" t="n">
        <v>10</v>
      </c>
      <c r="E5784" s="3" t="n">
        <v>14</v>
      </c>
      <c r="F5784" s="24" t="n">
        <v>0</v>
      </c>
    </row>
    <row r="5785" customFormat="false" ht="15" hidden="false" customHeight="false" outlineLevel="0" collapsed="false">
      <c r="A5785" s="3" t="n">
        <v>5784</v>
      </c>
      <c r="B5785" s="3" t="n">
        <v>5783</v>
      </c>
      <c r="C5785" s="3" t="n">
        <v>7</v>
      </c>
      <c r="D5785" s="3" t="n">
        <v>10</v>
      </c>
      <c r="E5785" s="3" t="n">
        <v>15</v>
      </c>
      <c r="F5785" s="24" t="n">
        <v>0</v>
      </c>
    </row>
    <row r="5786" customFormat="false" ht="15" hidden="false" customHeight="false" outlineLevel="0" collapsed="false">
      <c r="A5786" s="3" t="n">
        <v>5785</v>
      </c>
      <c r="B5786" s="3" t="n">
        <v>5784</v>
      </c>
      <c r="C5786" s="3" t="n">
        <v>7</v>
      </c>
      <c r="D5786" s="3" t="n">
        <v>10</v>
      </c>
      <c r="E5786" s="3" t="n">
        <v>16</v>
      </c>
      <c r="F5786" s="24" t="n">
        <v>0</v>
      </c>
    </row>
    <row r="5787" customFormat="false" ht="15" hidden="false" customHeight="false" outlineLevel="0" collapsed="false">
      <c r="A5787" s="3" t="n">
        <v>5786</v>
      </c>
      <c r="B5787" s="3" t="n">
        <v>5785</v>
      </c>
      <c r="C5787" s="3" t="n">
        <v>7</v>
      </c>
      <c r="D5787" s="3" t="n">
        <v>10</v>
      </c>
      <c r="E5787" s="3" t="n">
        <v>17</v>
      </c>
      <c r="F5787" s="24" t="n">
        <v>0</v>
      </c>
    </row>
    <row r="5788" customFormat="false" ht="15" hidden="false" customHeight="false" outlineLevel="0" collapsed="false">
      <c r="A5788" s="3" t="n">
        <v>5787</v>
      </c>
      <c r="B5788" s="3" t="n">
        <v>5786</v>
      </c>
      <c r="C5788" s="3" t="n">
        <v>7</v>
      </c>
      <c r="D5788" s="3" t="n">
        <v>10</v>
      </c>
      <c r="E5788" s="3" t="n">
        <v>18</v>
      </c>
      <c r="F5788" s="24" t="n">
        <v>0</v>
      </c>
    </row>
    <row r="5789" customFormat="false" ht="15" hidden="false" customHeight="false" outlineLevel="0" collapsed="false">
      <c r="A5789" s="3" t="n">
        <v>5788</v>
      </c>
      <c r="B5789" s="3" t="n">
        <v>5787</v>
      </c>
      <c r="C5789" s="3" t="n">
        <v>7</v>
      </c>
      <c r="D5789" s="3" t="n">
        <v>10</v>
      </c>
      <c r="E5789" s="3" t="n">
        <v>19</v>
      </c>
      <c r="F5789" s="24" t="n">
        <v>0</v>
      </c>
    </row>
    <row r="5790" customFormat="false" ht="15" hidden="false" customHeight="false" outlineLevel="0" collapsed="false">
      <c r="A5790" s="3" t="n">
        <v>5789</v>
      </c>
      <c r="B5790" s="3" t="n">
        <v>5788</v>
      </c>
      <c r="C5790" s="3" t="n">
        <v>7</v>
      </c>
      <c r="D5790" s="3" t="n">
        <v>10</v>
      </c>
      <c r="E5790" s="3" t="n">
        <v>20</v>
      </c>
      <c r="F5790" s="24" t="n">
        <v>2.64329123</v>
      </c>
    </row>
    <row r="5791" customFormat="false" ht="15" hidden="false" customHeight="false" outlineLevel="0" collapsed="false">
      <c r="A5791" s="3" t="n">
        <v>5790</v>
      </c>
      <c r="B5791" s="3" t="n">
        <v>5789</v>
      </c>
      <c r="C5791" s="3" t="n">
        <v>7</v>
      </c>
      <c r="D5791" s="3" t="n">
        <v>10</v>
      </c>
      <c r="E5791" s="3" t="n">
        <v>21</v>
      </c>
      <c r="F5791" s="24" t="n">
        <v>2.75237107</v>
      </c>
    </row>
    <row r="5792" customFormat="false" ht="15" hidden="false" customHeight="false" outlineLevel="0" collapsed="false">
      <c r="A5792" s="3" t="n">
        <v>5791</v>
      </c>
      <c r="B5792" s="3" t="n">
        <v>5790</v>
      </c>
      <c r="C5792" s="3" t="n">
        <v>7</v>
      </c>
      <c r="D5792" s="3" t="n">
        <v>10</v>
      </c>
      <c r="E5792" s="3" t="n">
        <v>22</v>
      </c>
      <c r="F5792" s="24" t="n">
        <v>1.07949615</v>
      </c>
    </row>
    <row r="5793" customFormat="false" ht="15" hidden="false" customHeight="false" outlineLevel="0" collapsed="false">
      <c r="A5793" s="3" t="n">
        <v>5792</v>
      </c>
      <c r="B5793" s="3" t="n">
        <v>5791</v>
      </c>
      <c r="C5793" s="3" t="n">
        <v>7</v>
      </c>
      <c r="D5793" s="3" t="n">
        <v>10</v>
      </c>
      <c r="E5793" s="3" t="n">
        <v>23</v>
      </c>
      <c r="F5793" s="24" t="n">
        <v>0</v>
      </c>
    </row>
    <row r="5794" customFormat="false" ht="15" hidden="false" customHeight="false" outlineLevel="0" collapsed="false">
      <c r="A5794" s="3" t="n">
        <v>5793</v>
      </c>
      <c r="B5794" s="3" t="n">
        <v>5792</v>
      </c>
      <c r="C5794" s="3" t="n">
        <v>7</v>
      </c>
      <c r="D5794" s="3" t="n">
        <v>10</v>
      </c>
      <c r="E5794" s="3" t="n">
        <v>24</v>
      </c>
      <c r="F5794" s="24" t="n">
        <v>0</v>
      </c>
    </row>
    <row r="5795" customFormat="false" ht="15" hidden="false" customHeight="false" outlineLevel="0" collapsed="false">
      <c r="A5795" s="3" t="n">
        <v>5794</v>
      </c>
      <c r="B5795" s="3" t="n">
        <v>5793</v>
      </c>
      <c r="C5795" s="3" t="n">
        <v>7</v>
      </c>
      <c r="D5795" s="3" t="n">
        <v>10</v>
      </c>
      <c r="E5795" s="3" t="n">
        <v>25</v>
      </c>
      <c r="F5795" s="24" t="n">
        <v>0</v>
      </c>
    </row>
    <row r="5796" customFormat="false" ht="15" hidden="false" customHeight="false" outlineLevel="0" collapsed="false">
      <c r="A5796" s="3" t="n">
        <v>5795</v>
      </c>
      <c r="B5796" s="3" t="n">
        <v>5794</v>
      </c>
      <c r="C5796" s="3" t="n">
        <v>7</v>
      </c>
      <c r="D5796" s="3" t="n">
        <v>10</v>
      </c>
      <c r="E5796" s="3" t="n">
        <v>26</v>
      </c>
      <c r="F5796" s="24" t="n">
        <v>0</v>
      </c>
    </row>
    <row r="5797" customFormat="false" ht="15" hidden="false" customHeight="false" outlineLevel="0" collapsed="false">
      <c r="A5797" s="3" t="n">
        <v>5796</v>
      </c>
      <c r="B5797" s="3" t="n">
        <v>5795</v>
      </c>
      <c r="C5797" s="3" t="n">
        <v>7</v>
      </c>
      <c r="D5797" s="3" t="n">
        <v>10</v>
      </c>
      <c r="E5797" s="3" t="n">
        <v>27</v>
      </c>
      <c r="F5797" s="24" t="n">
        <v>0</v>
      </c>
    </row>
    <row r="5798" customFormat="false" ht="15" hidden="false" customHeight="false" outlineLevel="0" collapsed="false">
      <c r="A5798" s="3" t="n">
        <v>5797</v>
      </c>
      <c r="B5798" s="3" t="n">
        <v>5796</v>
      </c>
      <c r="C5798" s="3" t="n">
        <v>7</v>
      </c>
      <c r="D5798" s="3" t="n">
        <v>11</v>
      </c>
      <c r="E5798" s="3" t="n">
        <v>0</v>
      </c>
      <c r="F5798" s="24" t="n">
        <v>0.259080142</v>
      </c>
    </row>
    <row r="5799" customFormat="false" ht="15" hidden="false" customHeight="false" outlineLevel="0" collapsed="false">
      <c r="A5799" s="3" t="n">
        <v>5798</v>
      </c>
      <c r="B5799" s="3" t="n">
        <v>5797</v>
      </c>
      <c r="C5799" s="3" t="n">
        <v>7</v>
      </c>
      <c r="D5799" s="3" t="n">
        <v>11</v>
      </c>
      <c r="E5799" s="3" t="n">
        <v>1</v>
      </c>
      <c r="F5799" s="24" t="n">
        <v>0</v>
      </c>
    </row>
    <row r="5800" customFormat="false" ht="15" hidden="false" customHeight="false" outlineLevel="0" collapsed="false">
      <c r="A5800" s="3" t="n">
        <v>5799</v>
      </c>
      <c r="B5800" s="3" t="n">
        <v>5798</v>
      </c>
      <c r="C5800" s="3" t="n">
        <v>7</v>
      </c>
      <c r="D5800" s="3" t="n">
        <v>11</v>
      </c>
      <c r="E5800" s="3" t="n">
        <v>2</v>
      </c>
      <c r="F5800" s="24" t="n">
        <v>0</v>
      </c>
    </row>
    <row r="5801" customFormat="false" ht="15" hidden="false" customHeight="false" outlineLevel="0" collapsed="false">
      <c r="A5801" s="3" t="n">
        <v>5800</v>
      </c>
      <c r="B5801" s="3" t="n">
        <v>5799</v>
      </c>
      <c r="C5801" s="3" t="n">
        <v>7</v>
      </c>
      <c r="D5801" s="3" t="n">
        <v>11</v>
      </c>
      <c r="E5801" s="3" t="n">
        <v>3</v>
      </c>
      <c r="F5801" s="24" t="n">
        <v>0</v>
      </c>
    </row>
    <row r="5802" customFormat="false" ht="15" hidden="false" customHeight="false" outlineLevel="0" collapsed="false">
      <c r="A5802" s="3" t="n">
        <v>5801</v>
      </c>
      <c r="B5802" s="3" t="n">
        <v>5800</v>
      </c>
      <c r="C5802" s="3" t="n">
        <v>7</v>
      </c>
      <c r="D5802" s="3" t="n">
        <v>11</v>
      </c>
      <c r="E5802" s="3" t="n">
        <v>4</v>
      </c>
      <c r="F5802" s="24" t="n">
        <v>0</v>
      </c>
    </row>
    <row r="5803" customFormat="false" ht="15" hidden="false" customHeight="false" outlineLevel="0" collapsed="false">
      <c r="A5803" s="3" t="n">
        <v>5802</v>
      </c>
      <c r="B5803" s="3" t="n">
        <v>5801</v>
      </c>
      <c r="C5803" s="3" t="n">
        <v>7</v>
      </c>
      <c r="D5803" s="3" t="n">
        <v>11</v>
      </c>
      <c r="E5803" s="3" t="n">
        <v>5</v>
      </c>
      <c r="F5803" s="24" t="n">
        <v>0</v>
      </c>
    </row>
    <row r="5804" customFormat="false" ht="15" hidden="false" customHeight="false" outlineLevel="0" collapsed="false">
      <c r="A5804" s="3" t="n">
        <v>5803</v>
      </c>
      <c r="B5804" s="3" t="n">
        <v>5802</v>
      </c>
      <c r="C5804" s="3" t="n">
        <v>7</v>
      </c>
      <c r="D5804" s="3" t="n">
        <v>11</v>
      </c>
      <c r="E5804" s="3" t="n">
        <v>6</v>
      </c>
      <c r="F5804" s="24" t="n">
        <v>0</v>
      </c>
    </row>
    <row r="5805" customFormat="false" ht="15" hidden="false" customHeight="false" outlineLevel="0" collapsed="false">
      <c r="A5805" s="3" t="n">
        <v>5804</v>
      </c>
      <c r="B5805" s="3" t="n">
        <v>5803</v>
      </c>
      <c r="C5805" s="3" t="n">
        <v>7</v>
      </c>
      <c r="D5805" s="3" t="n">
        <v>11</v>
      </c>
      <c r="E5805" s="3" t="n">
        <v>7</v>
      </c>
      <c r="F5805" s="24" t="n">
        <v>0</v>
      </c>
    </row>
    <row r="5806" customFormat="false" ht="15" hidden="false" customHeight="false" outlineLevel="0" collapsed="false">
      <c r="A5806" s="3" t="n">
        <v>5805</v>
      </c>
      <c r="B5806" s="3" t="n">
        <v>5804</v>
      </c>
      <c r="C5806" s="3" t="n">
        <v>7</v>
      </c>
      <c r="D5806" s="3" t="n">
        <v>11</v>
      </c>
      <c r="E5806" s="3" t="n">
        <v>8</v>
      </c>
      <c r="F5806" s="24" t="n">
        <v>0</v>
      </c>
    </row>
    <row r="5807" customFormat="false" ht="15" hidden="false" customHeight="false" outlineLevel="0" collapsed="false">
      <c r="A5807" s="3" t="n">
        <v>5806</v>
      </c>
      <c r="B5807" s="3" t="n">
        <v>5805</v>
      </c>
      <c r="C5807" s="3" t="n">
        <v>7</v>
      </c>
      <c r="D5807" s="3" t="n">
        <v>11</v>
      </c>
      <c r="E5807" s="3" t="n">
        <v>9</v>
      </c>
      <c r="F5807" s="24" t="n">
        <v>0</v>
      </c>
    </row>
    <row r="5808" customFormat="false" ht="15" hidden="false" customHeight="false" outlineLevel="0" collapsed="false">
      <c r="A5808" s="3" t="n">
        <v>5807</v>
      </c>
      <c r="B5808" s="3" t="n">
        <v>5806</v>
      </c>
      <c r="C5808" s="3" t="n">
        <v>7</v>
      </c>
      <c r="D5808" s="3" t="n">
        <v>11</v>
      </c>
      <c r="E5808" s="3" t="n">
        <v>10</v>
      </c>
      <c r="F5808" s="24" t="n">
        <v>0</v>
      </c>
    </row>
    <row r="5809" customFormat="false" ht="15" hidden="false" customHeight="false" outlineLevel="0" collapsed="false">
      <c r="A5809" s="3" t="n">
        <v>5808</v>
      </c>
      <c r="B5809" s="3" t="n">
        <v>5807</v>
      </c>
      <c r="C5809" s="3" t="n">
        <v>7</v>
      </c>
      <c r="D5809" s="3" t="n">
        <v>11</v>
      </c>
      <c r="E5809" s="3" t="n">
        <v>11</v>
      </c>
      <c r="F5809" s="24" t="n">
        <v>0</v>
      </c>
    </row>
    <row r="5810" customFormat="false" ht="15" hidden="false" customHeight="false" outlineLevel="0" collapsed="false">
      <c r="A5810" s="3" t="n">
        <v>5809</v>
      </c>
      <c r="B5810" s="3" t="n">
        <v>5808</v>
      </c>
      <c r="C5810" s="3" t="n">
        <v>7</v>
      </c>
      <c r="D5810" s="3" t="n">
        <v>11</v>
      </c>
      <c r="E5810" s="3" t="n">
        <v>12</v>
      </c>
      <c r="F5810" s="24" t="n">
        <v>0</v>
      </c>
    </row>
    <row r="5811" customFormat="false" ht="15" hidden="false" customHeight="false" outlineLevel="0" collapsed="false">
      <c r="A5811" s="3" t="n">
        <v>5810</v>
      </c>
      <c r="B5811" s="3" t="n">
        <v>5809</v>
      </c>
      <c r="C5811" s="3" t="n">
        <v>7</v>
      </c>
      <c r="D5811" s="3" t="n">
        <v>11</v>
      </c>
      <c r="E5811" s="3" t="n">
        <v>13</v>
      </c>
      <c r="F5811" s="24" t="n">
        <v>0</v>
      </c>
    </row>
    <row r="5812" customFormat="false" ht="15" hidden="false" customHeight="false" outlineLevel="0" collapsed="false">
      <c r="A5812" s="3" t="n">
        <v>5811</v>
      </c>
      <c r="B5812" s="3" t="n">
        <v>5810</v>
      </c>
      <c r="C5812" s="3" t="n">
        <v>7</v>
      </c>
      <c r="D5812" s="3" t="n">
        <v>11</v>
      </c>
      <c r="E5812" s="3" t="n">
        <v>14</v>
      </c>
      <c r="F5812" s="24" t="n">
        <v>0</v>
      </c>
    </row>
    <row r="5813" customFormat="false" ht="15" hidden="false" customHeight="false" outlineLevel="0" collapsed="false">
      <c r="A5813" s="3" t="n">
        <v>5812</v>
      </c>
      <c r="B5813" s="3" t="n">
        <v>5811</v>
      </c>
      <c r="C5813" s="3" t="n">
        <v>7</v>
      </c>
      <c r="D5813" s="3" t="n">
        <v>11</v>
      </c>
      <c r="E5813" s="3" t="n">
        <v>15</v>
      </c>
      <c r="F5813" s="24" t="n">
        <v>0</v>
      </c>
    </row>
    <row r="5814" customFormat="false" ht="15" hidden="false" customHeight="false" outlineLevel="0" collapsed="false">
      <c r="A5814" s="3" t="n">
        <v>5813</v>
      </c>
      <c r="B5814" s="3" t="n">
        <v>5812</v>
      </c>
      <c r="C5814" s="3" t="n">
        <v>7</v>
      </c>
      <c r="D5814" s="3" t="n">
        <v>11</v>
      </c>
      <c r="E5814" s="3" t="n">
        <v>16</v>
      </c>
      <c r="F5814" s="24" t="n">
        <v>0</v>
      </c>
    </row>
    <row r="5815" customFormat="false" ht="15" hidden="false" customHeight="false" outlineLevel="0" collapsed="false">
      <c r="A5815" s="3" t="n">
        <v>5814</v>
      </c>
      <c r="B5815" s="3" t="n">
        <v>5813</v>
      </c>
      <c r="C5815" s="3" t="n">
        <v>7</v>
      </c>
      <c r="D5815" s="3" t="n">
        <v>11</v>
      </c>
      <c r="E5815" s="3" t="n">
        <v>17</v>
      </c>
      <c r="F5815" s="24" t="n">
        <v>0.0719975308</v>
      </c>
    </row>
    <row r="5816" customFormat="false" ht="15" hidden="false" customHeight="false" outlineLevel="0" collapsed="false">
      <c r="A5816" s="3" t="n">
        <v>5815</v>
      </c>
      <c r="B5816" s="3" t="n">
        <v>5814</v>
      </c>
      <c r="C5816" s="3" t="n">
        <v>7</v>
      </c>
      <c r="D5816" s="3" t="n">
        <v>11</v>
      </c>
      <c r="E5816" s="3" t="n">
        <v>18</v>
      </c>
      <c r="F5816" s="24" t="n">
        <v>0</v>
      </c>
    </row>
    <row r="5817" customFormat="false" ht="15" hidden="false" customHeight="false" outlineLevel="0" collapsed="false">
      <c r="A5817" s="3" t="n">
        <v>5816</v>
      </c>
      <c r="B5817" s="3" t="n">
        <v>5815</v>
      </c>
      <c r="C5817" s="3" t="n">
        <v>7</v>
      </c>
      <c r="D5817" s="3" t="n">
        <v>11</v>
      </c>
      <c r="E5817" s="3" t="n">
        <v>19</v>
      </c>
      <c r="F5817" s="24" t="n">
        <v>0</v>
      </c>
    </row>
    <row r="5818" customFormat="false" ht="15" hidden="false" customHeight="false" outlineLevel="0" collapsed="false">
      <c r="A5818" s="3" t="n">
        <v>5817</v>
      </c>
      <c r="B5818" s="3" t="n">
        <v>5816</v>
      </c>
      <c r="C5818" s="3" t="n">
        <v>7</v>
      </c>
      <c r="D5818" s="3" t="n">
        <v>11</v>
      </c>
      <c r="E5818" s="3" t="n">
        <v>20</v>
      </c>
      <c r="F5818" s="24" t="n">
        <v>2.4254055</v>
      </c>
    </row>
    <row r="5819" customFormat="false" ht="15" hidden="false" customHeight="false" outlineLevel="0" collapsed="false">
      <c r="A5819" s="3" t="n">
        <v>5818</v>
      </c>
      <c r="B5819" s="3" t="n">
        <v>5817</v>
      </c>
      <c r="C5819" s="3" t="n">
        <v>7</v>
      </c>
      <c r="D5819" s="3" t="n">
        <v>11</v>
      </c>
      <c r="E5819" s="3" t="n">
        <v>21</v>
      </c>
      <c r="F5819" s="24" t="n">
        <v>2.27677894</v>
      </c>
    </row>
    <row r="5820" customFormat="false" ht="15" hidden="false" customHeight="false" outlineLevel="0" collapsed="false">
      <c r="A5820" s="3" t="n">
        <v>5819</v>
      </c>
      <c r="B5820" s="3" t="n">
        <v>5818</v>
      </c>
      <c r="C5820" s="3" t="n">
        <v>7</v>
      </c>
      <c r="D5820" s="3" t="n">
        <v>11</v>
      </c>
      <c r="E5820" s="3" t="n">
        <v>22</v>
      </c>
      <c r="F5820" s="24" t="n">
        <v>0.383370996</v>
      </c>
    </row>
    <row r="5821" customFormat="false" ht="15" hidden="false" customHeight="false" outlineLevel="0" collapsed="false">
      <c r="A5821" s="3" t="n">
        <v>5820</v>
      </c>
      <c r="B5821" s="3" t="n">
        <v>5819</v>
      </c>
      <c r="C5821" s="3" t="n">
        <v>7</v>
      </c>
      <c r="D5821" s="3" t="n">
        <v>11</v>
      </c>
      <c r="E5821" s="3" t="n">
        <v>23</v>
      </c>
      <c r="F5821" s="24" t="n">
        <v>0</v>
      </c>
    </row>
    <row r="5822" customFormat="false" ht="15" hidden="false" customHeight="false" outlineLevel="0" collapsed="false">
      <c r="A5822" s="3" t="n">
        <v>5821</v>
      </c>
      <c r="B5822" s="3" t="n">
        <v>5820</v>
      </c>
      <c r="C5822" s="3" t="n">
        <v>7</v>
      </c>
      <c r="D5822" s="3" t="n">
        <v>11</v>
      </c>
      <c r="E5822" s="3" t="n">
        <v>24</v>
      </c>
      <c r="F5822" s="24" t="n">
        <v>0</v>
      </c>
    </row>
    <row r="5823" customFormat="false" ht="15" hidden="false" customHeight="false" outlineLevel="0" collapsed="false">
      <c r="A5823" s="3" t="n">
        <v>5822</v>
      </c>
      <c r="B5823" s="3" t="n">
        <v>5821</v>
      </c>
      <c r="C5823" s="3" t="n">
        <v>7</v>
      </c>
      <c r="D5823" s="3" t="n">
        <v>11</v>
      </c>
      <c r="E5823" s="3" t="n">
        <v>25</v>
      </c>
      <c r="F5823" s="24" t="n">
        <v>0</v>
      </c>
    </row>
    <row r="5824" customFormat="false" ht="15" hidden="false" customHeight="false" outlineLevel="0" collapsed="false">
      <c r="A5824" s="3" t="n">
        <v>5823</v>
      </c>
      <c r="B5824" s="3" t="n">
        <v>5822</v>
      </c>
      <c r="C5824" s="3" t="n">
        <v>7</v>
      </c>
      <c r="D5824" s="3" t="n">
        <v>11</v>
      </c>
      <c r="E5824" s="3" t="n">
        <v>26</v>
      </c>
      <c r="F5824" s="24" t="n">
        <v>0</v>
      </c>
    </row>
    <row r="5825" customFormat="false" ht="15" hidden="false" customHeight="false" outlineLevel="0" collapsed="false">
      <c r="A5825" s="3" t="n">
        <v>5824</v>
      </c>
      <c r="B5825" s="3" t="n">
        <v>5823</v>
      </c>
      <c r="C5825" s="3" t="n">
        <v>7</v>
      </c>
      <c r="D5825" s="3" t="n">
        <v>11</v>
      </c>
      <c r="E5825" s="3" t="n">
        <v>27</v>
      </c>
      <c r="F5825" s="24" t="n">
        <v>0</v>
      </c>
    </row>
    <row r="5826" customFormat="false" ht="15" hidden="false" customHeight="false" outlineLevel="0" collapsed="false">
      <c r="A5826" s="3" t="n">
        <v>5825</v>
      </c>
      <c r="B5826" s="3" t="n">
        <v>5824</v>
      </c>
      <c r="C5826" s="3" t="n">
        <v>7</v>
      </c>
      <c r="D5826" s="3" t="n">
        <v>12</v>
      </c>
      <c r="E5826" s="3" t="n">
        <v>0</v>
      </c>
      <c r="F5826" s="24" t="n">
        <v>0.259080142</v>
      </c>
    </row>
    <row r="5827" customFormat="false" ht="15" hidden="false" customHeight="false" outlineLevel="0" collapsed="false">
      <c r="A5827" s="3" t="n">
        <v>5826</v>
      </c>
      <c r="B5827" s="3" t="n">
        <v>5825</v>
      </c>
      <c r="C5827" s="3" t="n">
        <v>7</v>
      </c>
      <c r="D5827" s="3" t="n">
        <v>12</v>
      </c>
      <c r="E5827" s="3" t="n">
        <v>1</v>
      </c>
      <c r="F5827" s="24" t="n">
        <v>0</v>
      </c>
    </row>
    <row r="5828" customFormat="false" ht="15" hidden="false" customHeight="false" outlineLevel="0" collapsed="false">
      <c r="A5828" s="3" t="n">
        <v>5827</v>
      </c>
      <c r="B5828" s="3" t="n">
        <v>5826</v>
      </c>
      <c r="C5828" s="3" t="n">
        <v>7</v>
      </c>
      <c r="D5828" s="3" t="n">
        <v>12</v>
      </c>
      <c r="E5828" s="3" t="n">
        <v>2</v>
      </c>
      <c r="F5828" s="24" t="n">
        <v>0</v>
      </c>
    </row>
    <row r="5829" customFormat="false" ht="15" hidden="false" customHeight="false" outlineLevel="0" collapsed="false">
      <c r="A5829" s="3" t="n">
        <v>5828</v>
      </c>
      <c r="B5829" s="3" t="n">
        <v>5827</v>
      </c>
      <c r="C5829" s="3" t="n">
        <v>7</v>
      </c>
      <c r="D5829" s="3" t="n">
        <v>12</v>
      </c>
      <c r="E5829" s="3" t="n">
        <v>3</v>
      </c>
      <c r="F5829" s="24" t="n">
        <v>0</v>
      </c>
    </row>
    <row r="5830" customFormat="false" ht="15" hidden="false" customHeight="false" outlineLevel="0" collapsed="false">
      <c r="A5830" s="3" t="n">
        <v>5829</v>
      </c>
      <c r="B5830" s="3" t="n">
        <v>5828</v>
      </c>
      <c r="C5830" s="3" t="n">
        <v>7</v>
      </c>
      <c r="D5830" s="3" t="n">
        <v>12</v>
      </c>
      <c r="E5830" s="3" t="n">
        <v>4</v>
      </c>
      <c r="F5830" s="24" t="n">
        <v>0</v>
      </c>
    </row>
    <row r="5831" customFormat="false" ht="15" hidden="false" customHeight="false" outlineLevel="0" collapsed="false">
      <c r="A5831" s="3" t="n">
        <v>5830</v>
      </c>
      <c r="B5831" s="3" t="n">
        <v>5829</v>
      </c>
      <c r="C5831" s="3" t="n">
        <v>7</v>
      </c>
      <c r="D5831" s="3" t="n">
        <v>12</v>
      </c>
      <c r="E5831" s="3" t="n">
        <v>5</v>
      </c>
      <c r="F5831" s="24" t="n">
        <v>0</v>
      </c>
    </row>
    <row r="5832" customFormat="false" ht="15" hidden="false" customHeight="false" outlineLevel="0" collapsed="false">
      <c r="A5832" s="3" t="n">
        <v>5831</v>
      </c>
      <c r="B5832" s="3" t="n">
        <v>5830</v>
      </c>
      <c r="C5832" s="3" t="n">
        <v>7</v>
      </c>
      <c r="D5832" s="3" t="n">
        <v>12</v>
      </c>
      <c r="E5832" s="3" t="n">
        <v>6</v>
      </c>
      <c r="F5832" s="24" t="n">
        <v>0</v>
      </c>
    </row>
    <row r="5833" customFormat="false" ht="15" hidden="false" customHeight="false" outlineLevel="0" collapsed="false">
      <c r="A5833" s="3" t="n">
        <v>5832</v>
      </c>
      <c r="B5833" s="3" t="n">
        <v>5831</v>
      </c>
      <c r="C5833" s="3" t="n">
        <v>7</v>
      </c>
      <c r="D5833" s="3" t="n">
        <v>12</v>
      </c>
      <c r="E5833" s="3" t="n">
        <v>7</v>
      </c>
      <c r="F5833" s="24" t="n">
        <v>0</v>
      </c>
    </row>
    <row r="5834" customFormat="false" ht="15" hidden="false" customHeight="false" outlineLevel="0" collapsed="false">
      <c r="A5834" s="3" t="n">
        <v>5833</v>
      </c>
      <c r="B5834" s="3" t="n">
        <v>5832</v>
      </c>
      <c r="C5834" s="3" t="n">
        <v>7</v>
      </c>
      <c r="D5834" s="3" t="n">
        <v>12</v>
      </c>
      <c r="E5834" s="3" t="n">
        <v>8</v>
      </c>
      <c r="F5834" s="24" t="n">
        <v>0</v>
      </c>
    </row>
    <row r="5835" customFormat="false" ht="15" hidden="false" customHeight="false" outlineLevel="0" collapsed="false">
      <c r="A5835" s="3" t="n">
        <v>5834</v>
      </c>
      <c r="B5835" s="3" t="n">
        <v>5833</v>
      </c>
      <c r="C5835" s="3" t="n">
        <v>7</v>
      </c>
      <c r="D5835" s="3" t="n">
        <v>12</v>
      </c>
      <c r="E5835" s="3" t="n">
        <v>9</v>
      </c>
      <c r="F5835" s="24" t="n">
        <v>0</v>
      </c>
    </row>
    <row r="5836" customFormat="false" ht="15" hidden="false" customHeight="false" outlineLevel="0" collapsed="false">
      <c r="A5836" s="3" t="n">
        <v>5835</v>
      </c>
      <c r="B5836" s="3" t="n">
        <v>5834</v>
      </c>
      <c r="C5836" s="3" t="n">
        <v>7</v>
      </c>
      <c r="D5836" s="3" t="n">
        <v>12</v>
      </c>
      <c r="E5836" s="3" t="n">
        <v>10</v>
      </c>
      <c r="F5836" s="24" t="n">
        <v>0</v>
      </c>
    </row>
    <row r="5837" customFormat="false" ht="15" hidden="false" customHeight="false" outlineLevel="0" collapsed="false">
      <c r="A5837" s="3" t="n">
        <v>5836</v>
      </c>
      <c r="B5837" s="3" t="n">
        <v>5835</v>
      </c>
      <c r="C5837" s="3" t="n">
        <v>7</v>
      </c>
      <c r="D5837" s="3" t="n">
        <v>12</v>
      </c>
      <c r="E5837" s="3" t="n">
        <v>11</v>
      </c>
      <c r="F5837" s="24" t="n">
        <v>0</v>
      </c>
    </row>
    <row r="5838" customFormat="false" ht="15" hidden="false" customHeight="false" outlineLevel="0" collapsed="false">
      <c r="A5838" s="3" t="n">
        <v>5837</v>
      </c>
      <c r="B5838" s="3" t="n">
        <v>5836</v>
      </c>
      <c r="C5838" s="3" t="n">
        <v>7</v>
      </c>
      <c r="D5838" s="3" t="n">
        <v>12</v>
      </c>
      <c r="E5838" s="3" t="n">
        <v>12</v>
      </c>
      <c r="F5838" s="24" t="n">
        <v>0</v>
      </c>
    </row>
    <row r="5839" customFormat="false" ht="15" hidden="false" customHeight="false" outlineLevel="0" collapsed="false">
      <c r="A5839" s="3" t="n">
        <v>5838</v>
      </c>
      <c r="B5839" s="3" t="n">
        <v>5837</v>
      </c>
      <c r="C5839" s="3" t="n">
        <v>7</v>
      </c>
      <c r="D5839" s="3" t="n">
        <v>12</v>
      </c>
      <c r="E5839" s="3" t="n">
        <v>13</v>
      </c>
      <c r="F5839" s="24" t="n">
        <v>0</v>
      </c>
    </row>
    <row r="5840" customFormat="false" ht="15" hidden="false" customHeight="false" outlineLevel="0" collapsed="false">
      <c r="A5840" s="3" t="n">
        <v>5839</v>
      </c>
      <c r="B5840" s="3" t="n">
        <v>5838</v>
      </c>
      <c r="C5840" s="3" t="n">
        <v>7</v>
      </c>
      <c r="D5840" s="3" t="n">
        <v>12</v>
      </c>
      <c r="E5840" s="3" t="n">
        <v>14</v>
      </c>
      <c r="F5840" s="24" t="n">
        <v>0</v>
      </c>
    </row>
    <row r="5841" customFormat="false" ht="15" hidden="false" customHeight="false" outlineLevel="0" collapsed="false">
      <c r="A5841" s="3" t="n">
        <v>5840</v>
      </c>
      <c r="B5841" s="3" t="n">
        <v>5839</v>
      </c>
      <c r="C5841" s="3" t="n">
        <v>7</v>
      </c>
      <c r="D5841" s="3" t="n">
        <v>12</v>
      </c>
      <c r="E5841" s="3" t="n">
        <v>15</v>
      </c>
      <c r="F5841" s="24" t="n">
        <v>0</v>
      </c>
    </row>
    <row r="5842" customFormat="false" ht="15" hidden="false" customHeight="false" outlineLevel="0" collapsed="false">
      <c r="A5842" s="3" t="n">
        <v>5841</v>
      </c>
      <c r="B5842" s="3" t="n">
        <v>5840</v>
      </c>
      <c r="C5842" s="3" t="n">
        <v>7</v>
      </c>
      <c r="D5842" s="3" t="n">
        <v>12</v>
      </c>
      <c r="E5842" s="3" t="n">
        <v>16</v>
      </c>
      <c r="F5842" s="24" t="n">
        <v>0</v>
      </c>
    </row>
    <row r="5843" customFormat="false" ht="15" hidden="false" customHeight="false" outlineLevel="0" collapsed="false">
      <c r="A5843" s="3" t="n">
        <v>5842</v>
      </c>
      <c r="B5843" s="3" t="n">
        <v>5841</v>
      </c>
      <c r="C5843" s="3" t="n">
        <v>7</v>
      </c>
      <c r="D5843" s="3" t="n">
        <v>12</v>
      </c>
      <c r="E5843" s="3" t="n">
        <v>17</v>
      </c>
      <c r="F5843" s="24" t="n">
        <v>0</v>
      </c>
    </row>
    <row r="5844" customFormat="false" ht="15" hidden="false" customHeight="false" outlineLevel="0" collapsed="false">
      <c r="A5844" s="3" t="n">
        <v>5843</v>
      </c>
      <c r="B5844" s="3" t="n">
        <v>5842</v>
      </c>
      <c r="C5844" s="3" t="n">
        <v>7</v>
      </c>
      <c r="D5844" s="3" t="n">
        <v>12</v>
      </c>
      <c r="E5844" s="3" t="n">
        <v>18</v>
      </c>
      <c r="F5844" s="24" t="n">
        <v>0</v>
      </c>
    </row>
    <row r="5845" customFormat="false" ht="15" hidden="false" customHeight="false" outlineLevel="0" collapsed="false">
      <c r="A5845" s="3" t="n">
        <v>5844</v>
      </c>
      <c r="B5845" s="3" t="n">
        <v>5843</v>
      </c>
      <c r="C5845" s="3" t="n">
        <v>7</v>
      </c>
      <c r="D5845" s="3" t="n">
        <v>12</v>
      </c>
      <c r="E5845" s="3" t="n">
        <v>19</v>
      </c>
      <c r="F5845" s="24" t="n">
        <v>1.9799993</v>
      </c>
    </row>
    <row r="5846" customFormat="false" ht="15" hidden="false" customHeight="false" outlineLevel="0" collapsed="false">
      <c r="A5846" s="3" t="n">
        <v>5845</v>
      </c>
      <c r="B5846" s="3" t="n">
        <v>5844</v>
      </c>
      <c r="C5846" s="3" t="n">
        <v>7</v>
      </c>
      <c r="D5846" s="3" t="n">
        <v>12</v>
      </c>
      <c r="E5846" s="3" t="n">
        <v>20</v>
      </c>
      <c r="F5846" s="24" t="n">
        <v>2.94868374</v>
      </c>
    </row>
    <row r="5847" customFormat="false" ht="15" hidden="false" customHeight="false" outlineLevel="0" collapsed="false">
      <c r="A5847" s="3" t="n">
        <v>5846</v>
      </c>
      <c r="B5847" s="3" t="n">
        <v>5845</v>
      </c>
      <c r="C5847" s="3" t="n">
        <v>7</v>
      </c>
      <c r="D5847" s="3" t="n">
        <v>12</v>
      </c>
      <c r="E5847" s="3" t="n">
        <v>21</v>
      </c>
      <c r="F5847" s="24" t="n">
        <v>1.15926528</v>
      </c>
    </row>
    <row r="5848" customFormat="false" ht="15" hidden="false" customHeight="false" outlineLevel="0" collapsed="false">
      <c r="A5848" s="3" t="n">
        <v>5847</v>
      </c>
      <c r="B5848" s="3" t="n">
        <v>5846</v>
      </c>
      <c r="C5848" s="3" t="n">
        <v>7</v>
      </c>
      <c r="D5848" s="3" t="n">
        <v>12</v>
      </c>
      <c r="E5848" s="3" t="n">
        <v>22</v>
      </c>
      <c r="F5848" s="24" t="n">
        <v>0</v>
      </c>
    </row>
    <row r="5849" customFormat="false" ht="15" hidden="false" customHeight="false" outlineLevel="0" collapsed="false">
      <c r="A5849" s="3" t="n">
        <v>5848</v>
      </c>
      <c r="B5849" s="3" t="n">
        <v>5847</v>
      </c>
      <c r="C5849" s="3" t="n">
        <v>7</v>
      </c>
      <c r="D5849" s="3" t="n">
        <v>12</v>
      </c>
      <c r="E5849" s="3" t="n">
        <v>23</v>
      </c>
      <c r="F5849" s="24" t="n">
        <v>0</v>
      </c>
    </row>
    <row r="5850" customFormat="false" ht="15" hidden="false" customHeight="false" outlineLevel="0" collapsed="false">
      <c r="A5850" s="3" t="n">
        <v>5849</v>
      </c>
      <c r="B5850" s="3" t="n">
        <v>5848</v>
      </c>
      <c r="C5850" s="3" t="n">
        <v>7</v>
      </c>
      <c r="D5850" s="3" t="n">
        <v>12</v>
      </c>
      <c r="E5850" s="3" t="n">
        <v>24</v>
      </c>
      <c r="F5850" s="24" t="n">
        <v>0</v>
      </c>
    </row>
    <row r="5851" customFormat="false" ht="15" hidden="false" customHeight="false" outlineLevel="0" collapsed="false">
      <c r="A5851" s="3" t="n">
        <v>5850</v>
      </c>
      <c r="B5851" s="3" t="n">
        <v>5849</v>
      </c>
      <c r="C5851" s="3" t="n">
        <v>7</v>
      </c>
      <c r="D5851" s="3" t="n">
        <v>12</v>
      </c>
      <c r="E5851" s="3" t="n">
        <v>25</v>
      </c>
      <c r="F5851" s="24" t="n">
        <v>0</v>
      </c>
    </row>
    <row r="5852" customFormat="false" ht="15" hidden="false" customHeight="false" outlineLevel="0" collapsed="false">
      <c r="A5852" s="3" t="n">
        <v>5851</v>
      </c>
      <c r="B5852" s="3" t="n">
        <v>5850</v>
      </c>
      <c r="C5852" s="3" t="n">
        <v>7</v>
      </c>
      <c r="D5852" s="3" t="n">
        <v>12</v>
      </c>
      <c r="E5852" s="3" t="n">
        <v>26</v>
      </c>
      <c r="F5852" s="24" t="n">
        <v>0</v>
      </c>
    </row>
    <row r="5853" customFormat="false" ht="15" hidden="false" customHeight="false" outlineLevel="0" collapsed="false">
      <c r="A5853" s="3" t="n">
        <v>5852</v>
      </c>
      <c r="B5853" s="3" t="n">
        <v>5851</v>
      </c>
      <c r="C5853" s="3" t="n">
        <v>7</v>
      </c>
      <c r="D5853" s="3" t="n">
        <v>12</v>
      </c>
      <c r="E5853" s="3" t="n">
        <v>27</v>
      </c>
      <c r="F5853" s="24" t="n">
        <v>0</v>
      </c>
    </row>
    <row r="5854" customFormat="false" ht="15" hidden="false" customHeight="false" outlineLevel="0" collapsed="false">
      <c r="A5854" s="3" t="n">
        <v>5853</v>
      </c>
      <c r="B5854" s="3" t="n">
        <v>5852</v>
      </c>
      <c r="C5854" s="3" t="n">
        <v>7</v>
      </c>
      <c r="D5854" s="3" t="n">
        <v>13</v>
      </c>
      <c r="E5854" s="3" t="n">
        <v>0</v>
      </c>
      <c r="F5854" s="24" t="n">
        <v>0.259080142</v>
      </c>
    </row>
    <row r="5855" customFormat="false" ht="15" hidden="false" customHeight="false" outlineLevel="0" collapsed="false">
      <c r="A5855" s="3" t="n">
        <v>5854</v>
      </c>
      <c r="B5855" s="3" t="n">
        <v>5853</v>
      </c>
      <c r="C5855" s="3" t="n">
        <v>7</v>
      </c>
      <c r="D5855" s="3" t="n">
        <v>13</v>
      </c>
      <c r="E5855" s="3" t="n">
        <v>1</v>
      </c>
      <c r="F5855" s="24" t="n">
        <v>0</v>
      </c>
    </row>
    <row r="5856" customFormat="false" ht="15" hidden="false" customHeight="false" outlineLevel="0" collapsed="false">
      <c r="A5856" s="3" t="n">
        <v>5855</v>
      </c>
      <c r="B5856" s="3" t="n">
        <v>5854</v>
      </c>
      <c r="C5856" s="3" t="n">
        <v>7</v>
      </c>
      <c r="D5856" s="3" t="n">
        <v>13</v>
      </c>
      <c r="E5856" s="3" t="n">
        <v>2</v>
      </c>
      <c r="F5856" s="24" t="n">
        <v>0</v>
      </c>
    </row>
    <row r="5857" customFormat="false" ht="15" hidden="false" customHeight="false" outlineLevel="0" collapsed="false">
      <c r="A5857" s="3" t="n">
        <v>5856</v>
      </c>
      <c r="B5857" s="3" t="n">
        <v>5855</v>
      </c>
      <c r="C5857" s="3" t="n">
        <v>7</v>
      </c>
      <c r="D5857" s="3" t="n">
        <v>13</v>
      </c>
      <c r="E5857" s="3" t="n">
        <v>3</v>
      </c>
      <c r="F5857" s="24" t="n">
        <v>0</v>
      </c>
    </row>
    <row r="5858" customFormat="false" ht="15" hidden="false" customHeight="false" outlineLevel="0" collapsed="false">
      <c r="A5858" s="3" t="n">
        <v>5857</v>
      </c>
      <c r="B5858" s="3" t="n">
        <v>5856</v>
      </c>
      <c r="C5858" s="3" t="n">
        <v>7</v>
      </c>
      <c r="D5858" s="3" t="n">
        <v>13</v>
      </c>
      <c r="E5858" s="3" t="n">
        <v>4</v>
      </c>
      <c r="F5858" s="24" t="n">
        <v>0</v>
      </c>
    </row>
    <row r="5859" customFormat="false" ht="15" hidden="false" customHeight="false" outlineLevel="0" collapsed="false">
      <c r="A5859" s="3" t="n">
        <v>5858</v>
      </c>
      <c r="B5859" s="3" t="n">
        <v>5857</v>
      </c>
      <c r="C5859" s="3" t="n">
        <v>7</v>
      </c>
      <c r="D5859" s="3" t="n">
        <v>13</v>
      </c>
      <c r="E5859" s="3" t="n">
        <v>5</v>
      </c>
      <c r="F5859" s="24" t="n">
        <v>0</v>
      </c>
    </row>
    <row r="5860" customFormat="false" ht="15" hidden="false" customHeight="false" outlineLevel="0" collapsed="false">
      <c r="A5860" s="3" t="n">
        <v>5859</v>
      </c>
      <c r="B5860" s="3" t="n">
        <v>5858</v>
      </c>
      <c r="C5860" s="3" t="n">
        <v>7</v>
      </c>
      <c r="D5860" s="3" t="n">
        <v>13</v>
      </c>
      <c r="E5860" s="3" t="n">
        <v>6</v>
      </c>
      <c r="F5860" s="24" t="n">
        <v>0</v>
      </c>
    </row>
    <row r="5861" customFormat="false" ht="15" hidden="false" customHeight="false" outlineLevel="0" collapsed="false">
      <c r="A5861" s="3" t="n">
        <v>5860</v>
      </c>
      <c r="B5861" s="3" t="n">
        <v>5859</v>
      </c>
      <c r="C5861" s="3" t="n">
        <v>7</v>
      </c>
      <c r="D5861" s="3" t="n">
        <v>13</v>
      </c>
      <c r="E5861" s="3" t="n">
        <v>7</v>
      </c>
      <c r="F5861" s="24" t="n">
        <v>0</v>
      </c>
    </row>
    <row r="5862" customFormat="false" ht="15" hidden="false" customHeight="false" outlineLevel="0" collapsed="false">
      <c r="A5862" s="3" t="n">
        <v>5861</v>
      </c>
      <c r="B5862" s="3" t="n">
        <v>5860</v>
      </c>
      <c r="C5862" s="3" t="n">
        <v>7</v>
      </c>
      <c r="D5862" s="3" t="n">
        <v>13</v>
      </c>
      <c r="E5862" s="3" t="n">
        <v>8</v>
      </c>
      <c r="F5862" s="24" t="n">
        <v>0</v>
      </c>
    </row>
    <row r="5863" customFormat="false" ht="15" hidden="false" customHeight="false" outlineLevel="0" collapsed="false">
      <c r="A5863" s="3" t="n">
        <v>5862</v>
      </c>
      <c r="B5863" s="3" t="n">
        <v>5861</v>
      </c>
      <c r="C5863" s="3" t="n">
        <v>7</v>
      </c>
      <c r="D5863" s="3" t="n">
        <v>13</v>
      </c>
      <c r="E5863" s="3" t="n">
        <v>9</v>
      </c>
      <c r="F5863" s="24" t="n">
        <v>0</v>
      </c>
    </row>
    <row r="5864" customFormat="false" ht="15" hidden="false" customHeight="false" outlineLevel="0" collapsed="false">
      <c r="A5864" s="3" t="n">
        <v>5863</v>
      </c>
      <c r="B5864" s="3" t="n">
        <v>5862</v>
      </c>
      <c r="C5864" s="3" t="n">
        <v>7</v>
      </c>
      <c r="D5864" s="3" t="n">
        <v>13</v>
      </c>
      <c r="E5864" s="3" t="n">
        <v>10</v>
      </c>
      <c r="F5864" s="24" t="n">
        <v>0</v>
      </c>
    </row>
    <row r="5865" customFormat="false" ht="15" hidden="false" customHeight="false" outlineLevel="0" collapsed="false">
      <c r="A5865" s="3" t="n">
        <v>5864</v>
      </c>
      <c r="B5865" s="3" t="n">
        <v>5863</v>
      </c>
      <c r="C5865" s="3" t="n">
        <v>7</v>
      </c>
      <c r="D5865" s="3" t="n">
        <v>13</v>
      </c>
      <c r="E5865" s="3" t="n">
        <v>11</v>
      </c>
      <c r="F5865" s="24" t="n">
        <v>0</v>
      </c>
    </row>
    <row r="5866" customFormat="false" ht="15" hidden="false" customHeight="false" outlineLevel="0" collapsed="false">
      <c r="A5866" s="3" t="n">
        <v>5865</v>
      </c>
      <c r="B5866" s="3" t="n">
        <v>5864</v>
      </c>
      <c r="C5866" s="3" t="n">
        <v>7</v>
      </c>
      <c r="D5866" s="3" t="n">
        <v>13</v>
      </c>
      <c r="E5866" s="3" t="n">
        <v>12</v>
      </c>
      <c r="F5866" s="24" t="n">
        <v>0</v>
      </c>
    </row>
    <row r="5867" customFormat="false" ht="15" hidden="false" customHeight="false" outlineLevel="0" collapsed="false">
      <c r="A5867" s="3" t="n">
        <v>5866</v>
      </c>
      <c r="B5867" s="3" t="n">
        <v>5865</v>
      </c>
      <c r="C5867" s="3" t="n">
        <v>7</v>
      </c>
      <c r="D5867" s="3" t="n">
        <v>13</v>
      </c>
      <c r="E5867" s="3" t="n">
        <v>13</v>
      </c>
      <c r="F5867" s="24" t="n">
        <v>0</v>
      </c>
    </row>
    <row r="5868" customFormat="false" ht="15" hidden="false" customHeight="false" outlineLevel="0" collapsed="false">
      <c r="A5868" s="3" t="n">
        <v>5867</v>
      </c>
      <c r="B5868" s="3" t="n">
        <v>5866</v>
      </c>
      <c r="C5868" s="3" t="n">
        <v>7</v>
      </c>
      <c r="D5868" s="3" t="n">
        <v>13</v>
      </c>
      <c r="E5868" s="3" t="n">
        <v>14</v>
      </c>
      <c r="F5868" s="24" t="n">
        <v>0</v>
      </c>
    </row>
    <row r="5869" customFormat="false" ht="15" hidden="false" customHeight="false" outlineLevel="0" collapsed="false">
      <c r="A5869" s="3" t="n">
        <v>5868</v>
      </c>
      <c r="B5869" s="3" t="n">
        <v>5867</v>
      </c>
      <c r="C5869" s="3" t="n">
        <v>7</v>
      </c>
      <c r="D5869" s="3" t="n">
        <v>13</v>
      </c>
      <c r="E5869" s="3" t="n">
        <v>15</v>
      </c>
      <c r="F5869" s="24" t="n">
        <v>0.0284900218</v>
      </c>
    </row>
    <row r="5870" customFormat="false" ht="15" hidden="false" customHeight="false" outlineLevel="0" collapsed="false">
      <c r="A5870" s="3" t="n">
        <v>5869</v>
      </c>
      <c r="B5870" s="3" t="n">
        <v>5868</v>
      </c>
      <c r="C5870" s="3" t="n">
        <v>7</v>
      </c>
      <c r="D5870" s="3" t="n">
        <v>13</v>
      </c>
      <c r="E5870" s="3" t="n">
        <v>16</v>
      </c>
      <c r="F5870" s="24" t="n">
        <v>0</v>
      </c>
    </row>
    <row r="5871" customFormat="false" ht="15" hidden="false" customHeight="false" outlineLevel="0" collapsed="false">
      <c r="A5871" s="3" t="n">
        <v>5870</v>
      </c>
      <c r="B5871" s="3" t="n">
        <v>5869</v>
      </c>
      <c r="C5871" s="3" t="n">
        <v>7</v>
      </c>
      <c r="D5871" s="3" t="n">
        <v>13</v>
      </c>
      <c r="E5871" s="3" t="n">
        <v>17</v>
      </c>
      <c r="F5871" s="24" t="n">
        <v>0</v>
      </c>
    </row>
    <row r="5872" customFormat="false" ht="15" hidden="false" customHeight="false" outlineLevel="0" collapsed="false">
      <c r="A5872" s="3" t="n">
        <v>5871</v>
      </c>
      <c r="B5872" s="3" t="n">
        <v>5870</v>
      </c>
      <c r="C5872" s="3" t="n">
        <v>7</v>
      </c>
      <c r="D5872" s="3" t="n">
        <v>13</v>
      </c>
      <c r="E5872" s="3" t="n">
        <v>18</v>
      </c>
      <c r="F5872" s="24" t="n">
        <v>0</v>
      </c>
    </row>
    <row r="5873" customFormat="false" ht="15" hidden="false" customHeight="false" outlineLevel="0" collapsed="false">
      <c r="A5873" s="3" t="n">
        <v>5872</v>
      </c>
      <c r="B5873" s="3" t="n">
        <v>5871</v>
      </c>
      <c r="C5873" s="3" t="n">
        <v>7</v>
      </c>
      <c r="D5873" s="3" t="n">
        <v>13</v>
      </c>
      <c r="E5873" s="3" t="n">
        <v>19</v>
      </c>
      <c r="F5873" s="24" t="n">
        <v>2.24882913</v>
      </c>
    </row>
    <row r="5874" customFormat="false" ht="15" hidden="false" customHeight="false" outlineLevel="0" collapsed="false">
      <c r="A5874" s="3" t="n">
        <v>5873</v>
      </c>
      <c r="B5874" s="3" t="n">
        <v>5872</v>
      </c>
      <c r="C5874" s="3" t="n">
        <v>7</v>
      </c>
      <c r="D5874" s="3" t="n">
        <v>13</v>
      </c>
      <c r="E5874" s="3" t="n">
        <v>20</v>
      </c>
      <c r="F5874" s="24" t="n">
        <v>2.43682289</v>
      </c>
    </row>
    <row r="5875" customFormat="false" ht="15" hidden="false" customHeight="false" outlineLevel="0" collapsed="false">
      <c r="A5875" s="3" t="n">
        <v>5874</v>
      </c>
      <c r="B5875" s="3" t="n">
        <v>5873</v>
      </c>
      <c r="C5875" s="3" t="n">
        <v>7</v>
      </c>
      <c r="D5875" s="3" t="n">
        <v>13</v>
      </c>
      <c r="E5875" s="3" t="n">
        <v>21</v>
      </c>
      <c r="F5875" s="24" t="n">
        <v>0.488766998</v>
      </c>
    </row>
    <row r="5876" customFormat="false" ht="15" hidden="false" customHeight="false" outlineLevel="0" collapsed="false">
      <c r="A5876" s="3" t="n">
        <v>5875</v>
      </c>
      <c r="B5876" s="3" t="n">
        <v>5874</v>
      </c>
      <c r="C5876" s="3" t="n">
        <v>7</v>
      </c>
      <c r="D5876" s="3" t="n">
        <v>13</v>
      </c>
      <c r="E5876" s="3" t="n">
        <v>22</v>
      </c>
      <c r="F5876" s="24" t="n">
        <v>0</v>
      </c>
    </row>
    <row r="5877" customFormat="false" ht="15" hidden="false" customHeight="false" outlineLevel="0" collapsed="false">
      <c r="A5877" s="3" t="n">
        <v>5876</v>
      </c>
      <c r="B5877" s="3" t="n">
        <v>5875</v>
      </c>
      <c r="C5877" s="3" t="n">
        <v>7</v>
      </c>
      <c r="D5877" s="3" t="n">
        <v>13</v>
      </c>
      <c r="E5877" s="3" t="n">
        <v>23</v>
      </c>
      <c r="F5877" s="24" t="n">
        <v>0</v>
      </c>
    </row>
    <row r="5878" customFormat="false" ht="15" hidden="false" customHeight="false" outlineLevel="0" collapsed="false">
      <c r="A5878" s="3" t="n">
        <v>5877</v>
      </c>
      <c r="B5878" s="3" t="n">
        <v>5876</v>
      </c>
      <c r="C5878" s="3" t="n">
        <v>7</v>
      </c>
      <c r="D5878" s="3" t="n">
        <v>13</v>
      </c>
      <c r="E5878" s="3" t="n">
        <v>24</v>
      </c>
      <c r="F5878" s="24" t="n">
        <v>0</v>
      </c>
    </row>
    <row r="5879" customFormat="false" ht="15" hidden="false" customHeight="false" outlineLevel="0" collapsed="false">
      <c r="A5879" s="3" t="n">
        <v>5878</v>
      </c>
      <c r="B5879" s="3" t="n">
        <v>5877</v>
      </c>
      <c r="C5879" s="3" t="n">
        <v>7</v>
      </c>
      <c r="D5879" s="3" t="n">
        <v>13</v>
      </c>
      <c r="E5879" s="3" t="n">
        <v>25</v>
      </c>
      <c r="F5879" s="24" t="n">
        <v>0</v>
      </c>
    </row>
    <row r="5880" customFormat="false" ht="15" hidden="false" customHeight="false" outlineLevel="0" collapsed="false">
      <c r="A5880" s="3" t="n">
        <v>5879</v>
      </c>
      <c r="B5880" s="3" t="n">
        <v>5878</v>
      </c>
      <c r="C5880" s="3" t="n">
        <v>7</v>
      </c>
      <c r="D5880" s="3" t="n">
        <v>13</v>
      </c>
      <c r="E5880" s="3" t="n">
        <v>26</v>
      </c>
      <c r="F5880" s="24" t="n">
        <v>0</v>
      </c>
    </row>
    <row r="5881" customFormat="false" ht="15" hidden="false" customHeight="false" outlineLevel="0" collapsed="false">
      <c r="A5881" s="3" t="n">
        <v>5880</v>
      </c>
      <c r="B5881" s="3" t="n">
        <v>5879</v>
      </c>
      <c r="C5881" s="3" t="n">
        <v>7</v>
      </c>
      <c r="D5881" s="3" t="n">
        <v>13</v>
      </c>
      <c r="E5881" s="3" t="n">
        <v>27</v>
      </c>
      <c r="F5881" s="24" t="n">
        <v>0</v>
      </c>
    </row>
    <row r="5882" customFormat="false" ht="15" hidden="false" customHeight="false" outlineLevel="0" collapsed="false">
      <c r="A5882" s="3" t="n">
        <v>5881</v>
      </c>
      <c r="B5882" s="3" t="n">
        <v>5880</v>
      </c>
      <c r="C5882" s="3" t="n">
        <v>7</v>
      </c>
      <c r="D5882" s="3" t="n">
        <v>14</v>
      </c>
      <c r="E5882" s="3" t="n">
        <v>0</v>
      </c>
      <c r="F5882" s="24" t="n">
        <v>0.259080142</v>
      </c>
    </row>
    <row r="5883" customFormat="false" ht="15" hidden="false" customHeight="false" outlineLevel="0" collapsed="false">
      <c r="A5883" s="3" t="n">
        <v>5882</v>
      </c>
      <c r="B5883" s="3" t="n">
        <v>5881</v>
      </c>
      <c r="C5883" s="3" t="n">
        <v>7</v>
      </c>
      <c r="D5883" s="3" t="n">
        <v>14</v>
      </c>
      <c r="E5883" s="3" t="n">
        <v>1</v>
      </c>
      <c r="F5883" s="24" t="n">
        <v>0</v>
      </c>
    </row>
    <row r="5884" customFormat="false" ht="15" hidden="false" customHeight="false" outlineLevel="0" collapsed="false">
      <c r="A5884" s="3" t="n">
        <v>5883</v>
      </c>
      <c r="B5884" s="3" t="n">
        <v>5882</v>
      </c>
      <c r="C5884" s="3" t="n">
        <v>7</v>
      </c>
      <c r="D5884" s="3" t="n">
        <v>14</v>
      </c>
      <c r="E5884" s="3" t="n">
        <v>2</v>
      </c>
      <c r="F5884" s="24" t="n">
        <v>0</v>
      </c>
    </row>
    <row r="5885" customFormat="false" ht="15" hidden="false" customHeight="false" outlineLevel="0" collapsed="false">
      <c r="A5885" s="3" t="n">
        <v>5884</v>
      </c>
      <c r="B5885" s="3" t="n">
        <v>5883</v>
      </c>
      <c r="C5885" s="3" t="n">
        <v>7</v>
      </c>
      <c r="D5885" s="3" t="n">
        <v>14</v>
      </c>
      <c r="E5885" s="3" t="n">
        <v>3</v>
      </c>
      <c r="F5885" s="24" t="n">
        <v>0</v>
      </c>
    </row>
    <row r="5886" customFormat="false" ht="15" hidden="false" customHeight="false" outlineLevel="0" collapsed="false">
      <c r="A5886" s="3" t="n">
        <v>5885</v>
      </c>
      <c r="B5886" s="3" t="n">
        <v>5884</v>
      </c>
      <c r="C5886" s="3" t="n">
        <v>7</v>
      </c>
      <c r="D5886" s="3" t="n">
        <v>14</v>
      </c>
      <c r="E5886" s="3" t="n">
        <v>4</v>
      </c>
      <c r="F5886" s="24" t="n">
        <v>0</v>
      </c>
    </row>
    <row r="5887" customFormat="false" ht="15" hidden="false" customHeight="false" outlineLevel="0" collapsed="false">
      <c r="A5887" s="3" t="n">
        <v>5886</v>
      </c>
      <c r="B5887" s="3" t="n">
        <v>5885</v>
      </c>
      <c r="C5887" s="3" t="n">
        <v>7</v>
      </c>
      <c r="D5887" s="3" t="n">
        <v>14</v>
      </c>
      <c r="E5887" s="3" t="n">
        <v>5</v>
      </c>
      <c r="F5887" s="24" t="n">
        <v>0</v>
      </c>
    </row>
    <row r="5888" customFormat="false" ht="15" hidden="false" customHeight="false" outlineLevel="0" collapsed="false">
      <c r="A5888" s="3" t="n">
        <v>5887</v>
      </c>
      <c r="B5888" s="3" t="n">
        <v>5886</v>
      </c>
      <c r="C5888" s="3" t="n">
        <v>7</v>
      </c>
      <c r="D5888" s="3" t="n">
        <v>14</v>
      </c>
      <c r="E5888" s="3" t="n">
        <v>6</v>
      </c>
      <c r="F5888" s="24" t="n">
        <v>0</v>
      </c>
    </row>
    <row r="5889" customFormat="false" ht="15" hidden="false" customHeight="false" outlineLevel="0" collapsed="false">
      <c r="A5889" s="3" t="n">
        <v>5888</v>
      </c>
      <c r="B5889" s="3" t="n">
        <v>5887</v>
      </c>
      <c r="C5889" s="3" t="n">
        <v>7</v>
      </c>
      <c r="D5889" s="3" t="n">
        <v>14</v>
      </c>
      <c r="E5889" s="3" t="n">
        <v>7</v>
      </c>
      <c r="F5889" s="24" t="n">
        <v>0</v>
      </c>
    </row>
    <row r="5890" customFormat="false" ht="15" hidden="false" customHeight="false" outlineLevel="0" collapsed="false">
      <c r="A5890" s="3" t="n">
        <v>5889</v>
      </c>
      <c r="B5890" s="3" t="n">
        <v>5888</v>
      </c>
      <c r="C5890" s="3" t="n">
        <v>7</v>
      </c>
      <c r="D5890" s="3" t="n">
        <v>14</v>
      </c>
      <c r="E5890" s="3" t="n">
        <v>8</v>
      </c>
      <c r="F5890" s="24" t="n">
        <v>0</v>
      </c>
    </row>
    <row r="5891" customFormat="false" ht="15" hidden="false" customHeight="false" outlineLevel="0" collapsed="false">
      <c r="A5891" s="3" t="n">
        <v>5890</v>
      </c>
      <c r="B5891" s="3" t="n">
        <v>5889</v>
      </c>
      <c r="C5891" s="3" t="n">
        <v>7</v>
      </c>
      <c r="D5891" s="3" t="n">
        <v>14</v>
      </c>
      <c r="E5891" s="3" t="n">
        <v>9</v>
      </c>
      <c r="F5891" s="24" t="n">
        <v>0</v>
      </c>
    </row>
    <row r="5892" customFormat="false" ht="15" hidden="false" customHeight="false" outlineLevel="0" collapsed="false">
      <c r="A5892" s="3" t="n">
        <v>5891</v>
      </c>
      <c r="B5892" s="3" t="n">
        <v>5890</v>
      </c>
      <c r="C5892" s="3" t="n">
        <v>7</v>
      </c>
      <c r="D5892" s="3" t="n">
        <v>14</v>
      </c>
      <c r="E5892" s="3" t="n">
        <v>10</v>
      </c>
      <c r="F5892" s="24" t="n">
        <v>0</v>
      </c>
    </row>
    <row r="5893" customFormat="false" ht="15" hidden="false" customHeight="false" outlineLevel="0" collapsed="false">
      <c r="A5893" s="3" t="n">
        <v>5892</v>
      </c>
      <c r="B5893" s="3" t="n">
        <v>5891</v>
      </c>
      <c r="C5893" s="3" t="n">
        <v>7</v>
      </c>
      <c r="D5893" s="3" t="n">
        <v>14</v>
      </c>
      <c r="E5893" s="3" t="n">
        <v>11</v>
      </c>
      <c r="F5893" s="24" t="n">
        <v>0</v>
      </c>
    </row>
    <row r="5894" customFormat="false" ht="15" hidden="false" customHeight="false" outlineLevel="0" collapsed="false">
      <c r="A5894" s="3" t="n">
        <v>5893</v>
      </c>
      <c r="B5894" s="3" t="n">
        <v>5892</v>
      </c>
      <c r="C5894" s="3" t="n">
        <v>7</v>
      </c>
      <c r="D5894" s="3" t="n">
        <v>14</v>
      </c>
      <c r="E5894" s="3" t="n">
        <v>12</v>
      </c>
      <c r="F5894" s="24" t="n">
        <v>0</v>
      </c>
    </row>
    <row r="5895" customFormat="false" ht="15" hidden="false" customHeight="false" outlineLevel="0" collapsed="false">
      <c r="A5895" s="3" t="n">
        <v>5894</v>
      </c>
      <c r="B5895" s="3" t="n">
        <v>5893</v>
      </c>
      <c r="C5895" s="3" t="n">
        <v>7</v>
      </c>
      <c r="D5895" s="3" t="n">
        <v>14</v>
      </c>
      <c r="E5895" s="3" t="n">
        <v>13</v>
      </c>
      <c r="F5895" s="24" t="n">
        <v>0</v>
      </c>
    </row>
    <row r="5896" customFormat="false" ht="15" hidden="false" customHeight="false" outlineLevel="0" collapsed="false">
      <c r="A5896" s="3" t="n">
        <v>5895</v>
      </c>
      <c r="B5896" s="3" t="n">
        <v>5894</v>
      </c>
      <c r="C5896" s="3" t="n">
        <v>7</v>
      </c>
      <c r="D5896" s="3" t="n">
        <v>14</v>
      </c>
      <c r="E5896" s="3" t="n">
        <v>14</v>
      </c>
      <c r="F5896" s="24" t="n">
        <v>0</v>
      </c>
    </row>
    <row r="5897" customFormat="false" ht="15" hidden="false" customHeight="false" outlineLevel="0" collapsed="false">
      <c r="A5897" s="3" t="n">
        <v>5896</v>
      </c>
      <c r="B5897" s="3" t="n">
        <v>5895</v>
      </c>
      <c r="C5897" s="3" t="n">
        <v>7</v>
      </c>
      <c r="D5897" s="3" t="n">
        <v>14</v>
      </c>
      <c r="E5897" s="3" t="n">
        <v>15</v>
      </c>
      <c r="F5897" s="24" t="n">
        <v>0</v>
      </c>
    </row>
    <row r="5898" customFormat="false" ht="15" hidden="false" customHeight="false" outlineLevel="0" collapsed="false">
      <c r="A5898" s="3" t="n">
        <v>5897</v>
      </c>
      <c r="B5898" s="3" t="n">
        <v>5896</v>
      </c>
      <c r="C5898" s="3" t="n">
        <v>7</v>
      </c>
      <c r="D5898" s="3" t="n">
        <v>14</v>
      </c>
      <c r="E5898" s="3" t="n">
        <v>16</v>
      </c>
      <c r="F5898" s="24" t="n">
        <v>0</v>
      </c>
    </row>
    <row r="5899" customFormat="false" ht="15" hidden="false" customHeight="false" outlineLevel="0" collapsed="false">
      <c r="A5899" s="3" t="n">
        <v>5898</v>
      </c>
      <c r="B5899" s="3" t="n">
        <v>5897</v>
      </c>
      <c r="C5899" s="3" t="n">
        <v>7</v>
      </c>
      <c r="D5899" s="3" t="n">
        <v>14</v>
      </c>
      <c r="E5899" s="3" t="n">
        <v>17</v>
      </c>
      <c r="F5899" s="24" t="n">
        <v>0</v>
      </c>
    </row>
    <row r="5900" customFormat="false" ht="15" hidden="false" customHeight="false" outlineLevel="0" collapsed="false">
      <c r="A5900" s="3" t="n">
        <v>5899</v>
      </c>
      <c r="B5900" s="3" t="n">
        <v>5898</v>
      </c>
      <c r="C5900" s="3" t="n">
        <v>7</v>
      </c>
      <c r="D5900" s="3" t="n">
        <v>14</v>
      </c>
      <c r="E5900" s="3" t="n">
        <v>18</v>
      </c>
      <c r="F5900" s="24" t="n">
        <v>1.61736369</v>
      </c>
    </row>
    <row r="5901" customFormat="false" ht="15" hidden="false" customHeight="false" outlineLevel="0" collapsed="false">
      <c r="A5901" s="3" t="n">
        <v>5900</v>
      </c>
      <c r="B5901" s="3" t="n">
        <v>5899</v>
      </c>
      <c r="C5901" s="3" t="n">
        <v>7</v>
      </c>
      <c r="D5901" s="3" t="n">
        <v>14</v>
      </c>
      <c r="E5901" s="3" t="n">
        <v>19</v>
      </c>
      <c r="F5901" s="24" t="n">
        <v>2.44402575</v>
      </c>
    </row>
    <row r="5902" customFormat="false" ht="15" hidden="false" customHeight="false" outlineLevel="0" collapsed="false">
      <c r="A5902" s="3" t="n">
        <v>5901</v>
      </c>
      <c r="B5902" s="3" t="n">
        <v>5900</v>
      </c>
      <c r="C5902" s="3" t="n">
        <v>7</v>
      </c>
      <c r="D5902" s="3" t="n">
        <v>14</v>
      </c>
      <c r="E5902" s="3" t="n">
        <v>20</v>
      </c>
      <c r="F5902" s="24" t="n">
        <v>1.15341759</v>
      </c>
    </row>
    <row r="5903" customFormat="false" ht="15" hidden="false" customHeight="false" outlineLevel="0" collapsed="false">
      <c r="A5903" s="3" t="n">
        <v>5902</v>
      </c>
      <c r="B5903" s="3" t="n">
        <v>5901</v>
      </c>
      <c r="C5903" s="3" t="n">
        <v>7</v>
      </c>
      <c r="D5903" s="3" t="n">
        <v>14</v>
      </c>
      <c r="E5903" s="3" t="n">
        <v>21</v>
      </c>
      <c r="F5903" s="24" t="n">
        <v>0.0718805939</v>
      </c>
    </row>
    <row r="5904" customFormat="false" ht="15" hidden="false" customHeight="false" outlineLevel="0" collapsed="false">
      <c r="A5904" s="3" t="n">
        <v>5903</v>
      </c>
      <c r="B5904" s="3" t="n">
        <v>5902</v>
      </c>
      <c r="C5904" s="3" t="n">
        <v>7</v>
      </c>
      <c r="D5904" s="3" t="n">
        <v>14</v>
      </c>
      <c r="E5904" s="3" t="n">
        <v>22</v>
      </c>
      <c r="F5904" s="24" t="n">
        <v>0</v>
      </c>
    </row>
    <row r="5905" customFormat="false" ht="15" hidden="false" customHeight="false" outlineLevel="0" collapsed="false">
      <c r="A5905" s="3" t="n">
        <v>5904</v>
      </c>
      <c r="B5905" s="3" t="n">
        <v>5903</v>
      </c>
      <c r="C5905" s="3" t="n">
        <v>7</v>
      </c>
      <c r="D5905" s="3" t="n">
        <v>14</v>
      </c>
      <c r="E5905" s="3" t="n">
        <v>23</v>
      </c>
      <c r="F5905" s="24" t="n">
        <v>0</v>
      </c>
    </row>
    <row r="5906" customFormat="false" ht="15" hidden="false" customHeight="false" outlineLevel="0" collapsed="false">
      <c r="A5906" s="3" t="n">
        <v>5905</v>
      </c>
      <c r="B5906" s="3" t="n">
        <v>5904</v>
      </c>
      <c r="C5906" s="3" t="n">
        <v>7</v>
      </c>
      <c r="D5906" s="3" t="n">
        <v>14</v>
      </c>
      <c r="E5906" s="3" t="n">
        <v>24</v>
      </c>
      <c r="F5906" s="24" t="n">
        <v>0</v>
      </c>
    </row>
    <row r="5907" customFormat="false" ht="15" hidden="false" customHeight="false" outlineLevel="0" collapsed="false">
      <c r="A5907" s="3" t="n">
        <v>5906</v>
      </c>
      <c r="B5907" s="3" t="n">
        <v>5905</v>
      </c>
      <c r="C5907" s="3" t="n">
        <v>7</v>
      </c>
      <c r="D5907" s="3" t="n">
        <v>14</v>
      </c>
      <c r="E5907" s="3" t="n">
        <v>25</v>
      </c>
      <c r="F5907" s="24" t="n">
        <v>0</v>
      </c>
    </row>
    <row r="5908" customFormat="false" ht="15" hidden="false" customHeight="false" outlineLevel="0" collapsed="false">
      <c r="A5908" s="3" t="n">
        <v>5907</v>
      </c>
      <c r="B5908" s="3" t="n">
        <v>5906</v>
      </c>
      <c r="C5908" s="3" t="n">
        <v>7</v>
      </c>
      <c r="D5908" s="3" t="n">
        <v>14</v>
      </c>
      <c r="E5908" s="3" t="n">
        <v>26</v>
      </c>
      <c r="F5908" s="24" t="n">
        <v>0</v>
      </c>
    </row>
    <row r="5909" customFormat="false" ht="15" hidden="false" customHeight="false" outlineLevel="0" collapsed="false">
      <c r="A5909" s="3" t="n">
        <v>5908</v>
      </c>
      <c r="B5909" s="3" t="n">
        <v>5907</v>
      </c>
      <c r="C5909" s="3" t="n">
        <v>7</v>
      </c>
      <c r="D5909" s="3" t="n">
        <v>14</v>
      </c>
      <c r="E5909" s="3" t="n">
        <v>27</v>
      </c>
      <c r="F5909" s="24" t="n">
        <v>0</v>
      </c>
    </row>
    <row r="5910" customFormat="false" ht="15" hidden="false" customHeight="false" outlineLevel="0" collapsed="false">
      <c r="A5910" s="3" t="n">
        <v>5909</v>
      </c>
      <c r="B5910" s="3" t="n">
        <v>5908</v>
      </c>
      <c r="C5910" s="3" t="n">
        <v>7</v>
      </c>
      <c r="D5910" s="3" t="n">
        <v>15</v>
      </c>
      <c r="E5910" s="3" t="n">
        <v>0</v>
      </c>
      <c r="F5910" s="24" t="n">
        <v>0.259080142</v>
      </c>
    </row>
    <row r="5911" customFormat="false" ht="15" hidden="false" customHeight="false" outlineLevel="0" collapsed="false">
      <c r="A5911" s="3" t="n">
        <v>5910</v>
      </c>
      <c r="B5911" s="3" t="n">
        <v>5909</v>
      </c>
      <c r="C5911" s="3" t="n">
        <v>7</v>
      </c>
      <c r="D5911" s="3" t="n">
        <v>15</v>
      </c>
      <c r="E5911" s="3" t="n">
        <v>1</v>
      </c>
      <c r="F5911" s="24" t="n">
        <v>0</v>
      </c>
    </row>
    <row r="5912" customFormat="false" ht="15" hidden="false" customHeight="false" outlineLevel="0" collapsed="false">
      <c r="A5912" s="3" t="n">
        <v>5911</v>
      </c>
      <c r="B5912" s="3" t="n">
        <v>5910</v>
      </c>
      <c r="C5912" s="3" t="n">
        <v>7</v>
      </c>
      <c r="D5912" s="3" t="n">
        <v>15</v>
      </c>
      <c r="E5912" s="3" t="n">
        <v>2</v>
      </c>
      <c r="F5912" s="24" t="n">
        <v>0</v>
      </c>
    </row>
    <row r="5913" customFormat="false" ht="15" hidden="false" customHeight="false" outlineLevel="0" collapsed="false">
      <c r="A5913" s="3" t="n">
        <v>5912</v>
      </c>
      <c r="B5913" s="3" t="n">
        <v>5911</v>
      </c>
      <c r="C5913" s="3" t="n">
        <v>7</v>
      </c>
      <c r="D5913" s="3" t="n">
        <v>15</v>
      </c>
      <c r="E5913" s="3" t="n">
        <v>3</v>
      </c>
      <c r="F5913" s="24" t="n">
        <v>0</v>
      </c>
    </row>
    <row r="5914" customFormat="false" ht="15" hidden="false" customHeight="false" outlineLevel="0" collapsed="false">
      <c r="A5914" s="3" t="n">
        <v>5913</v>
      </c>
      <c r="B5914" s="3" t="n">
        <v>5912</v>
      </c>
      <c r="C5914" s="3" t="n">
        <v>7</v>
      </c>
      <c r="D5914" s="3" t="n">
        <v>15</v>
      </c>
      <c r="E5914" s="3" t="n">
        <v>4</v>
      </c>
      <c r="F5914" s="24" t="n">
        <v>0</v>
      </c>
    </row>
    <row r="5915" customFormat="false" ht="15" hidden="false" customHeight="false" outlineLevel="0" collapsed="false">
      <c r="A5915" s="3" t="n">
        <v>5914</v>
      </c>
      <c r="B5915" s="3" t="n">
        <v>5913</v>
      </c>
      <c r="C5915" s="3" t="n">
        <v>7</v>
      </c>
      <c r="D5915" s="3" t="n">
        <v>15</v>
      </c>
      <c r="E5915" s="3" t="n">
        <v>5</v>
      </c>
      <c r="F5915" s="24" t="n">
        <v>0</v>
      </c>
    </row>
    <row r="5916" customFormat="false" ht="15" hidden="false" customHeight="false" outlineLevel="0" collapsed="false">
      <c r="A5916" s="3" t="n">
        <v>5915</v>
      </c>
      <c r="B5916" s="3" t="n">
        <v>5914</v>
      </c>
      <c r="C5916" s="3" t="n">
        <v>7</v>
      </c>
      <c r="D5916" s="3" t="n">
        <v>15</v>
      </c>
      <c r="E5916" s="3" t="n">
        <v>6</v>
      </c>
      <c r="F5916" s="24" t="n">
        <v>0</v>
      </c>
    </row>
    <row r="5917" customFormat="false" ht="15" hidden="false" customHeight="false" outlineLevel="0" collapsed="false">
      <c r="A5917" s="3" t="n">
        <v>5916</v>
      </c>
      <c r="B5917" s="3" t="n">
        <v>5915</v>
      </c>
      <c r="C5917" s="3" t="n">
        <v>7</v>
      </c>
      <c r="D5917" s="3" t="n">
        <v>15</v>
      </c>
      <c r="E5917" s="3" t="n">
        <v>7</v>
      </c>
      <c r="F5917" s="24" t="n">
        <v>0</v>
      </c>
    </row>
    <row r="5918" customFormat="false" ht="15" hidden="false" customHeight="false" outlineLevel="0" collapsed="false">
      <c r="A5918" s="3" t="n">
        <v>5917</v>
      </c>
      <c r="B5918" s="3" t="n">
        <v>5916</v>
      </c>
      <c r="C5918" s="3" t="n">
        <v>7</v>
      </c>
      <c r="D5918" s="3" t="n">
        <v>15</v>
      </c>
      <c r="E5918" s="3" t="n">
        <v>8</v>
      </c>
      <c r="F5918" s="24" t="n">
        <v>0</v>
      </c>
    </row>
    <row r="5919" customFormat="false" ht="15" hidden="false" customHeight="false" outlineLevel="0" collapsed="false">
      <c r="A5919" s="3" t="n">
        <v>5918</v>
      </c>
      <c r="B5919" s="3" t="n">
        <v>5917</v>
      </c>
      <c r="C5919" s="3" t="n">
        <v>7</v>
      </c>
      <c r="D5919" s="3" t="n">
        <v>15</v>
      </c>
      <c r="E5919" s="3" t="n">
        <v>9</v>
      </c>
      <c r="F5919" s="24" t="n">
        <v>0</v>
      </c>
    </row>
    <row r="5920" customFormat="false" ht="15" hidden="false" customHeight="false" outlineLevel="0" collapsed="false">
      <c r="A5920" s="3" t="n">
        <v>5919</v>
      </c>
      <c r="B5920" s="3" t="n">
        <v>5918</v>
      </c>
      <c r="C5920" s="3" t="n">
        <v>7</v>
      </c>
      <c r="D5920" s="3" t="n">
        <v>15</v>
      </c>
      <c r="E5920" s="3" t="n">
        <v>10</v>
      </c>
      <c r="F5920" s="24" t="n">
        <v>0</v>
      </c>
    </row>
    <row r="5921" customFormat="false" ht="15" hidden="false" customHeight="false" outlineLevel="0" collapsed="false">
      <c r="A5921" s="3" t="n">
        <v>5920</v>
      </c>
      <c r="B5921" s="3" t="n">
        <v>5919</v>
      </c>
      <c r="C5921" s="3" t="n">
        <v>7</v>
      </c>
      <c r="D5921" s="3" t="n">
        <v>15</v>
      </c>
      <c r="E5921" s="3" t="n">
        <v>11</v>
      </c>
      <c r="F5921" s="24" t="n">
        <v>0</v>
      </c>
    </row>
    <row r="5922" customFormat="false" ht="15" hidden="false" customHeight="false" outlineLevel="0" collapsed="false">
      <c r="A5922" s="3" t="n">
        <v>5921</v>
      </c>
      <c r="B5922" s="3" t="n">
        <v>5920</v>
      </c>
      <c r="C5922" s="3" t="n">
        <v>7</v>
      </c>
      <c r="D5922" s="3" t="n">
        <v>15</v>
      </c>
      <c r="E5922" s="3" t="n">
        <v>12</v>
      </c>
      <c r="F5922" s="24" t="n">
        <v>0</v>
      </c>
    </row>
    <row r="5923" customFormat="false" ht="15" hidden="false" customHeight="false" outlineLevel="0" collapsed="false">
      <c r="A5923" s="3" t="n">
        <v>5922</v>
      </c>
      <c r="B5923" s="3" t="n">
        <v>5921</v>
      </c>
      <c r="C5923" s="3" t="n">
        <v>7</v>
      </c>
      <c r="D5923" s="3" t="n">
        <v>15</v>
      </c>
      <c r="E5923" s="3" t="n">
        <v>13</v>
      </c>
      <c r="F5923" s="24" t="n">
        <v>0</v>
      </c>
    </row>
    <row r="5924" customFormat="false" ht="15" hidden="false" customHeight="false" outlineLevel="0" collapsed="false">
      <c r="A5924" s="3" t="n">
        <v>5923</v>
      </c>
      <c r="B5924" s="3" t="n">
        <v>5922</v>
      </c>
      <c r="C5924" s="3" t="n">
        <v>7</v>
      </c>
      <c r="D5924" s="3" t="n">
        <v>15</v>
      </c>
      <c r="E5924" s="3" t="n">
        <v>14</v>
      </c>
      <c r="F5924" s="24" t="n">
        <v>0</v>
      </c>
    </row>
    <row r="5925" customFormat="false" ht="15" hidden="false" customHeight="false" outlineLevel="0" collapsed="false">
      <c r="A5925" s="3" t="n">
        <v>5924</v>
      </c>
      <c r="B5925" s="3" t="n">
        <v>5923</v>
      </c>
      <c r="C5925" s="3" t="n">
        <v>7</v>
      </c>
      <c r="D5925" s="3" t="n">
        <v>15</v>
      </c>
      <c r="E5925" s="3" t="n">
        <v>15</v>
      </c>
      <c r="F5925" s="24" t="n">
        <v>0</v>
      </c>
    </row>
    <row r="5926" customFormat="false" ht="15" hidden="false" customHeight="false" outlineLevel="0" collapsed="false">
      <c r="A5926" s="3" t="n">
        <v>5925</v>
      </c>
      <c r="B5926" s="3" t="n">
        <v>5924</v>
      </c>
      <c r="C5926" s="3" t="n">
        <v>7</v>
      </c>
      <c r="D5926" s="3" t="n">
        <v>15</v>
      </c>
      <c r="E5926" s="3" t="n">
        <v>16</v>
      </c>
      <c r="F5926" s="24" t="n">
        <v>0</v>
      </c>
    </row>
    <row r="5927" customFormat="false" ht="15" hidden="false" customHeight="false" outlineLevel="0" collapsed="false">
      <c r="A5927" s="3" t="n">
        <v>5926</v>
      </c>
      <c r="B5927" s="3" t="n">
        <v>5925</v>
      </c>
      <c r="C5927" s="3" t="n">
        <v>7</v>
      </c>
      <c r="D5927" s="3" t="n">
        <v>15</v>
      </c>
      <c r="E5927" s="3" t="n">
        <v>17</v>
      </c>
      <c r="F5927" s="24" t="n">
        <v>0.288160801</v>
      </c>
    </row>
    <row r="5928" customFormat="false" ht="15" hidden="false" customHeight="false" outlineLevel="0" collapsed="false">
      <c r="A5928" s="3" t="n">
        <v>5927</v>
      </c>
      <c r="B5928" s="3" t="n">
        <v>5926</v>
      </c>
      <c r="C5928" s="3" t="n">
        <v>7</v>
      </c>
      <c r="D5928" s="3" t="n">
        <v>15</v>
      </c>
      <c r="E5928" s="3" t="n">
        <v>18</v>
      </c>
      <c r="F5928" s="24" t="n">
        <v>2.70351434</v>
      </c>
    </row>
    <row r="5929" customFormat="false" ht="15" hidden="false" customHeight="false" outlineLevel="0" collapsed="false">
      <c r="A5929" s="3" t="n">
        <v>5928</v>
      </c>
      <c r="B5929" s="3" t="n">
        <v>5927</v>
      </c>
      <c r="C5929" s="3" t="n">
        <v>7</v>
      </c>
      <c r="D5929" s="3" t="n">
        <v>15</v>
      </c>
      <c r="E5929" s="3" t="n">
        <v>19</v>
      </c>
      <c r="F5929" s="24" t="n">
        <v>2.06599617</v>
      </c>
    </row>
    <row r="5930" customFormat="false" ht="15" hidden="false" customHeight="false" outlineLevel="0" collapsed="false">
      <c r="A5930" s="3" t="n">
        <v>5929</v>
      </c>
      <c r="B5930" s="3" t="n">
        <v>5928</v>
      </c>
      <c r="C5930" s="3" t="n">
        <v>7</v>
      </c>
      <c r="D5930" s="3" t="n">
        <v>15</v>
      </c>
      <c r="E5930" s="3" t="n">
        <v>20</v>
      </c>
      <c r="F5930" s="24" t="n">
        <v>0.160786495</v>
      </c>
    </row>
    <row r="5931" customFormat="false" ht="15" hidden="false" customHeight="false" outlineLevel="0" collapsed="false">
      <c r="A5931" s="3" t="n">
        <v>5930</v>
      </c>
      <c r="B5931" s="3" t="n">
        <v>5929</v>
      </c>
      <c r="C5931" s="3" t="n">
        <v>7</v>
      </c>
      <c r="D5931" s="3" t="n">
        <v>15</v>
      </c>
      <c r="E5931" s="3" t="n">
        <v>21</v>
      </c>
      <c r="F5931" s="24" t="n">
        <v>0</v>
      </c>
    </row>
    <row r="5932" customFormat="false" ht="15" hidden="false" customHeight="false" outlineLevel="0" collapsed="false">
      <c r="A5932" s="3" t="n">
        <v>5931</v>
      </c>
      <c r="B5932" s="3" t="n">
        <v>5930</v>
      </c>
      <c r="C5932" s="3" t="n">
        <v>7</v>
      </c>
      <c r="D5932" s="3" t="n">
        <v>15</v>
      </c>
      <c r="E5932" s="3" t="n">
        <v>22</v>
      </c>
      <c r="F5932" s="24" t="n">
        <v>0</v>
      </c>
    </row>
    <row r="5933" customFormat="false" ht="15" hidden="false" customHeight="false" outlineLevel="0" collapsed="false">
      <c r="A5933" s="3" t="n">
        <v>5932</v>
      </c>
      <c r="B5933" s="3" t="n">
        <v>5931</v>
      </c>
      <c r="C5933" s="3" t="n">
        <v>7</v>
      </c>
      <c r="D5933" s="3" t="n">
        <v>15</v>
      </c>
      <c r="E5933" s="3" t="n">
        <v>23</v>
      </c>
      <c r="F5933" s="24" t="n">
        <v>0</v>
      </c>
    </row>
    <row r="5934" customFormat="false" ht="15" hidden="false" customHeight="false" outlineLevel="0" collapsed="false">
      <c r="A5934" s="3" t="n">
        <v>5933</v>
      </c>
      <c r="B5934" s="3" t="n">
        <v>5932</v>
      </c>
      <c r="C5934" s="3" t="n">
        <v>7</v>
      </c>
      <c r="D5934" s="3" t="n">
        <v>15</v>
      </c>
      <c r="E5934" s="3" t="n">
        <v>24</v>
      </c>
      <c r="F5934" s="24" t="n">
        <v>0</v>
      </c>
    </row>
    <row r="5935" customFormat="false" ht="15" hidden="false" customHeight="false" outlineLevel="0" collapsed="false">
      <c r="A5935" s="3" t="n">
        <v>5934</v>
      </c>
      <c r="B5935" s="3" t="n">
        <v>5933</v>
      </c>
      <c r="C5935" s="3" t="n">
        <v>7</v>
      </c>
      <c r="D5935" s="3" t="n">
        <v>15</v>
      </c>
      <c r="E5935" s="3" t="n">
        <v>25</v>
      </c>
      <c r="F5935" s="24" t="n">
        <v>0</v>
      </c>
    </row>
    <row r="5936" customFormat="false" ht="15" hidden="false" customHeight="false" outlineLevel="0" collapsed="false">
      <c r="A5936" s="3" t="n">
        <v>5935</v>
      </c>
      <c r="B5936" s="3" t="n">
        <v>5934</v>
      </c>
      <c r="C5936" s="3" t="n">
        <v>7</v>
      </c>
      <c r="D5936" s="3" t="n">
        <v>15</v>
      </c>
      <c r="E5936" s="3" t="n">
        <v>26</v>
      </c>
      <c r="F5936" s="24" t="n">
        <v>0</v>
      </c>
    </row>
    <row r="5937" customFormat="false" ht="15" hidden="false" customHeight="false" outlineLevel="0" collapsed="false">
      <c r="A5937" s="3" t="n">
        <v>5936</v>
      </c>
      <c r="B5937" s="3" t="n">
        <v>5935</v>
      </c>
      <c r="C5937" s="3" t="n">
        <v>7</v>
      </c>
      <c r="D5937" s="3" t="n">
        <v>15</v>
      </c>
      <c r="E5937" s="3" t="n">
        <v>27</v>
      </c>
      <c r="F5937" s="24" t="n">
        <v>0</v>
      </c>
    </row>
    <row r="5938" customFormat="false" ht="15" hidden="false" customHeight="false" outlineLevel="0" collapsed="false">
      <c r="A5938" s="3" t="n">
        <v>5937</v>
      </c>
      <c r="B5938" s="3" t="n">
        <v>5936</v>
      </c>
      <c r="C5938" s="3" t="n">
        <v>7</v>
      </c>
      <c r="D5938" s="3" t="n">
        <v>16</v>
      </c>
      <c r="E5938" s="3" t="n">
        <v>0</v>
      </c>
      <c r="F5938" s="24" t="n">
        <v>0.259080142</v>
      </c>
    </row>
    <row r="5939" customFormat="false" ht="15" hidden="false" customHeight="false" outlineLevel="0" collapsed="false">
      <c r="A5939" s="3" t="n">
        <v>5938</v>
      </c>
      <c r="B5939" s="3" t="n">
        <v>5937</v>
      </c>
      <c r="C5939" s="3" t="n">
        <v>7</v>
      </c>
      <c r="D5939" s="3" t="n">
        <v>16</v>
      </c>
      <c r="E5939" s="3" t="n">
        <v>1</v>
      </c>
      <c r="F5939" s="24" t="n">
        <v>0</v>
      </c>
    </row>
    <row r="5940" customFormat="false" ht="15" hidden="false" customHeight="false" outlineLevel="0" collapsed="false">
      <c r="A5940" s="3" t="n">
        <v>5939</v>
      </c>
      <c r="B5940" s="3" t="n">
        <v>5938</v>
      </c>
      <c r="C5940" s="3" t="n">
        <v>7</v>
      </c>
      <c r="D5940" s="3" t="n">
        <v>16</v>
      </c>
      <c r="E5940" s="3" t="n">
        <v>2</v>
      </c>
      <c r="F5940" s="24" t="n">
        <v>0</v>
      </c>
    </row>
    <row r="5941" customFormat="false" ht="15" hidden="false" customHeight="false" outlineLevel="0" collapsed="false">
      <c r="A5941" s="3" t="n">
        <v>5940</v>
      </c>
      <c r="B5941" s="3" t="n">
        <v>5939</v>
      </c>
      <c r="C5941" s="3" t="n">
        <v>7</v>
      </c>
      <c r="D5941" s="3" t="n">
        <v>16</v>
      </c>
      <c r="E5941" s="3" t="n">
        <v>3</v>
      </c>
      <c r="F5941" s="24" t="n">
        <v>0</v>
      </c>
    </row>
    <row r="5942" customFormat="false" ht="15" hidden="false" customHeight="false" outlineLevel="0" collapsed="false">
      <c r="A5942" s="3" t="n">
        <v>5941</v>
      </c>
      <c r="B5942" s="3" t="n">
        <v>5940</v>
      </c>
      <c r="C5942" s="3" t="n">
        <v>7</v>
      </c>
      <c r="D5942" s="3" t="n">
        <v>16</v>
      </c>
      <c r="E5942" s="3" t="n">
        <v>4</v>
      </c>
      <c r="F5942" s="24" t="n">
        <v>0</v>
      </c>
    </row>
    <row r="5943" customFormat="false" ht="15" hidden="false" customHeight="false" outlineLevel="0" collapsed="false">
      <c r="A5943" s="3" t="n">
        <v>5942</v>
      </c>
      <c r="B5943" s="3" t="n">
        <v>5941</v>
      </c>
      <c r="C5943" s="3" t="n">
        <v>7</v>
      </c>
      <c r="D5943" s="3" t="n">
        <v>16</v>
      </c>
      <c r="E5943" s="3" t="n">
        <v>5</v>
      </c>
      <c r="F5943" s="24" t="n">
        <v>0</v>
      </c>
    </row>
    <row r="5944" customFormat="false" ht="15" hidden="false" customHeight="false" outlineLevel="0" collapsed="false">
      <c r="A5944" s="3" t="n">
        <v>5943</v>
      </c>
      <c r="B5944" s="3" t="n">
        <v>5942</v>
      </c>
      <c r="C5944" s="3" t="n">
        <v>7</v>
      </c>
      <c r="D5944" s="3" t="n">
        <v>16</v>
      </c>
      <c r="E5944" s="3" t="n">
        <v>6</v>
      </c>
      <c r="F5944" s="24" t="n">
        <v>0</v>
      </c>
    </row>
    <row r="5945" customFormat="false" ht="15" hidden="false" customHeight="false" outlineLevel="0" collapsed="false">
      <c r="A5945" s="3" t="n">
        <v>5944</v>
      </c>
      <c r="B5945" s="3" t="n">
        <v>5943</v>
      </c>
      <c r="C5945" s="3" t="n">
        <v>7</v>
      </c>
      <c r="D5945" s="3" t="n">
        <v>16</v>
      </c>
      <c r="E5945" s="3" t="n">
        <v>7</v>
      </c>
      <c r="F5945" s="24" t="n">
        <v>0</v>
      </c>
    </row>
    <row r="5946" customFormat="false" ht="15" hidden="false" customHeight="false" outlineLevel="0" collapsed="false">
      <c r="A5946" s="3" t="n">
        <v>5945</v>
      </c>
      <c r="B5946" s="3" t="n">
        <v>5944</v>
      </c>
      <c r="C5946" s="3" t="n">
        <v>7</v>
      </c>
      <c r="D5946" s="3" t="n">
        <v>16</v>
      </c>
      <c r="E5946" s="3" t="n">
        <v>8</v>
      </c>
      <c r="F5946" s="24" t="n">
        <v>0</v>
      </c>
    </row>
    <row r="5947" customFormat="false" ht="15" hidden="false" customHeight="false" outlineLevel="0" collapsed="false">
      <c r="A5947" s="3" t="n">
        <v>5946</v>
      </c>
      <c r="B5947" s="3" t="n">
        <v>5945</v>
      </c>
      <c r="C5947" s="3" t="n">
        <v>7</v>
      </c>
      <c r="D5947" s="3" t="n">
        <v>16</v>
      </c>
      <c r="E5947" s="3" t="n">
        <v>9</v>
      </c>
      <c r="F5947" s="24" t="n">
        <v>0</v>
      </c>
    </row>
    <row r="5948" customFormat="false" ht="15" hidden="false" customHeight="false" outlineLevel="0" collapsed="false">
      <c r="A5948" s="3" t="n">
        <v>5947</v>
      </c>
      <c r="B5948" s="3" t="n">
        <v>5946</v>
      </c>
      <c r="C5948" s="3" t="n">
        <v>7</v>
      </c>
      <c r="D5948" s="3" t="n">
        <v>16</v>
      </c>
      <c r="E5948" s="3" t="n">
        <v>10</v>
      </c>
      <c r="F5948" s="24" t="n">
        <v>0</v>
      </c>
    </row>
    <row r="5949" customFormat="false" ht="15" hidden="false" customHeight="false" outlineLevel="0" collapsed="false">
      <c r="A5949" s="3" t="n">
        <v>5948</v>
      </c>
      <c r="B5949" s="3" t="n">
        <v>5947</v>
      </c>
      <c r="C5949" s="3" t="n">
        <v>7</v>
      </c>
      <c r="D5949" s="3" t="n">
        <v>16</v>
      </c>
      <c r="E5949" s="3" t="n">
        <v>11</v>
      </c>
      <c r="F5949" s="24" t="n">
        <v>0</v>
      </c>
    </row>
    <row r="5950" customFormat="false" ht="15" hidden="false" customHeight="false" outlineLevel="0" collapsed="false">
      <c r="A5950" s="3" t="n">
        <v>5949</v>
      </c>
      <c r="B5950" s="3" t="n">
        <v>5948</v>
      </c>
      <c r="C5950" s="3" t="n">
        <v>7</v>
      </c>
      <c r="D5950" s="3" t="n">
        <v>16</v>
      </c>
      <c r="E5950" s="3" t="n">
        <v>12</v>
      </c>
      <c r="F5950" s="24" t="n">
        <v>0</v>
      </c>
    </row>
    <row r="5951" customFormat="false" ht="15" hidden="false" customHeight="false" outlineLevel="0" collapsed="false">
      <c r="A5951" s="3" t="n">
        <v>5950</v>
      </c>
      <c r="B5951" s="3" t="n">
        <v>5949</v>
      </c>
      <c r="C5951" s="3" t="n">
        <v>7</v>
      </c>
      <c r="D5951" s="3" t="n">
        <v>16</v>
      </c>
      <c r="E5951" s="3" t="n">
        <v>13</v>
      </c>
      <c r="F5951" s="24" t="n">
        <v>0</v>
      </c>
    </row>
    <row r="5952" customFormat="false" ht="15" hidden="false" customHeight="false" outlineLevel="0" collapsed="false">
      <c r="A5952" s="3" t="n">
        <v>5951</v>
      </c>
      <c r="B5952" s="3" t="n">
        <v>5950</v>
      </c>
      <c r="C5952" s="3" t="n">
        <v>7</v>
      </c>
      <c r="D5952" s="3" t="n">
        <v>16</v>
      </c>
      <c r="E5952" s="3" t="n">
        <v>14</v>
      </c>
      <c r="F5952" s="24" t="n">
        <v>0.0728859007</v>
      </c>
    </row>
    <row r="5953" customFormat="false" ht="15" hidden="false" customHeight="false" outlineLevel="0" collapsed="false">
      <c r="A5953" s="3" t="n">
        <v>5952</v>
      </c>
      <c r="B5953" s="3" t="n">
        <v>5951</v>
      </c>
      <c r="C5953" s="3" t="n">
        <v>7</v>
      </c>
      <c r="D5953" s="3" t="n">
        <v>16</v>
      </c>
      <c r="E5953" s="3" t="n">
        <v>15</v>
      </c>
      <c r="F5953" s="24" t="n">
        <v>0</v>
      </c>
    </row>
    <row r="5954" customFormat="false" ht="15" hidden="false" customHeight="false" outlineLevel="0" collapsed="false">
      <c r="A5954" s="3" t="n">
        <v>5953</v>
      </c>
      <c r="B5954" s="3" t="n">
        <v>5952</v>
      </c>
      <c r="C5954" s="3" t="n">
        <v>7</v>
      </c>
      <c r="D5954" s="3" t="n">
        <v>16</v>
      </c>
      <c r="E5954" s="3" t="n">
        <v>16</v>
      </c>
      <c r="F5954" s="24" t="n">
        <v>0</v>
      </c>
    </row>
    <row r="5955" customFormat="false" ht="15" hidden="false" customHeight="false" outlineLevel="0" collapsed="false">
      <c r="A5955" s="3" t="n">
        <v>5954</v>
      </c>
      <c r="B5955" s="3" t="n">
        <v>5953</v>
      </c>
      <c r="C5955" s="3" t="n">
        <v>7</v>
      </c>
      <c r="D5955" s="3" t="n">
        <v>16</v>
      </c>
      <c r="E5955" s="3" t="n">
        <v>17</v>
      </c>
      <c r="F5955" s="24" t="n">
        <v>1.72680759</v>
      </c>
    </row>
    <row r="5956" customFormat="false" ht="15" hidden="false" customHeight="false" outlineLevel="0" collapsed="false">
      <c r="A5956" s="3" t="n">
        <v>5955</v>
      </c>
      <c r="B5956" s="3" t="n">
        <v>5954</v>
      </c>
      <c r="C5956" s="3" t="n">
        <v>7</v>
      </c>
      <c r="D5956" s="3" t="n">
        <v>16</v>
      </c>
      <c r="E5956" s="3" t="n">
        <v>18</v>
      </c>
      <c r="F5956" s="24" t="n">
        <v>2.60095286</v>
      </c>
    </row>
    <row r="5957" customFormat="false" ht="15" hidden="false" customHeight="false" outlineLevel="0" collapsed="false">
      <c r="A5957" s="3" t="n">
        <v>5956</v>
      </c>
      <c r="B5957" s="3" t="n">
        <v>5955</v>
      </c>
      <c r="C5957" s="3" t="n">
        <v>7</v>
      </c>
      <c r="D5957" s="3" t="n">
        <v>16</v>
      </c>
      <c r="E5957" s="3" t="n">
        <v>19</v>
      </c>
      <c r="F5957" s="24" t="n">
        <v>0.909650087</v>
      </c>
    </row>
    <row r="5958" customFormat="false" ht="15" hidden="false" customHeight="false" outlineLevel="0" collapsed="false">
      <c r="A5958" s="3" t="n">
        <v>5957</v>
      </c>
      <c r="B5958" s="3" t="n">
        <v>5956</v>
      </c>
      <c r="C5958" s="3" t="n">
        <v>7</v>
      </c>
      <c r="D5958" s="3" t="n">
        <v>16</v>
      </c>
      <c r="E5958" s="3" t="n">
        <v>20</v>
      </c>
      <c r="F5958" s="24" t="n">
        <v>0</v>
      </c>
    </row>
    <row r="5959" customFormat="false" ht="15" hidden="false" customHeight="false" outlineLevel="0" collapsed="false">
      <c r="A5959" s="3" t="n">
        <v>5958</v>
      </c>
      <c r="B5959" s="3" t="n">
        <v>5957</v>
      </c>
      <c r="C5959" s="3" t="n">
        <v>7</v>
      </c>
      <c r="D5959" s="3" t="n">
        <v>16</v>
      </c>
      <c r="E5959" s="3" t="n">
        <v>21</v>
      </c>
      <c r="F5959" s="24" t="n">
        <v>0</v>
      </c>
    </row>
    <row r="5960" customFormat="false" ht="15" hidden="false" customHeight="false" outlineLevel="0" collapsed="false">
      <c r="A5960" s="3" t="n">
        <v>5959</v>
      </c>
      <c r="B5960" s="3" t="n">
        <v>5958</v>
      </c>
      <c r="C5960" s="3" t="n">
        <v>7</v>
      </c>
      <c r="D5960" s="3" t="n">
        <v>16</v>
      </c>
      <c r="E5960" s="3" t="n">
        <v>22</v>
      </c>
      <c r="F5960" s="24" t="n">
        <v>0</v>
      </c>
    </row>
    <row r="5961" customFormat="false" ht="15" hidden="false" customHeight="false" outlineLevel="0" collapsed="false">
      <c r="A5961" s="3" t="n">
        <v>5960</v>
      </c>
      <c r="B5961" s="3" t="n">
        <v>5959</v>
      </c>
      <c r="C5961" s="3" t="n">
        <v>7</v>
      </c>
      <c r="D5961" s="3" t="n">
        <v>16</v>
      </c>
      <c r="E5961" s="3" t="n">
        <v>23</v>
      </c>
      <c r="F5961" s="24" t="n">
        <v>0</v>
      </c>
    </row>
    <row r="5962" customFormat="false" ht="15" hidden="false" customHeight="false" outlineLevel="0" collapsed="false">
      <c r="A5962" s="3" t="n">
        <v>5961</v>
      </c>
      <c r="B5962" s="3" t="n">
        <v>5960</v>
      </c>
      <c r="C5962" s="3" t="n">
        <v>7</v>
      </c>
      <c r="D5962" s="3" t="n">
        <v>16</v>
      </c>
      <c r="E5962" s="3" t="n">
        <v>24</v>
      </c>
      <c r="F5962" s="24" t="n">
        <v>0</v>
      </c>
    </row>
    <row r="5963" customFormat="false" ht="15" hidden="false" customHeight="false" outlineLevel="0" collapsed="false">
      <c r="A5963" s="3" t="n">
        <v>5962</v>
      </c>
      <c r="B5963" s="3" t="n">
        <v>5961</v>
      </c>
      <c r="C5963" s="3" t="n">
        <v>7</v>
      </c>
      <c r="D5963" s="3" t="n">
        <v>16</v>
      </c>
      <c r="E5963" s="3" t="n">
        <v>25</v>
      </c>
      <c r="F5963" s="24" t="n">
        <v>0</v>
      </c>
    </row>
    <row r="5964" customFormat="false" ht="15" hidden="false" customHeight="false" outlineLevel="0" collapsed="false">
      <c r="A5964" s="3" t="n">
        <v>5963</v>
      </c>
      <c r="B5964" s="3" t="n">
        <v>5962</v>
      </c>
      <c r="C5964" s="3" t="n">
        <v>7</v>
      </c>
      <c r="D5964" s="3" t="n">
        <v>16</v>
      </c>
      <c r="E5964" s="3" t="n">
        <v>26</v>
      </c>
      <c r="F5964" s="24" t="n">
        <v>0</v>
      </c>
    </row>
    <row r="5965" customFormat="false" ht="15" hidden="false" customHeight="false" outlineLevel="0" collapsed="false">
      <c r="A5965" s="3" t="n">
        <v>5964</v>
      </c>
      <c r="B5965" s="3" t="n">
        <v>5963</v>
      </c>
      <c r="C5965" s="3" t="n">
        <v>7</v>
      </c>
      <c r="D5965" s="3" t="n">
        <v>16</v>
      </c>
      <c r="E5965" s="3" t="n">
        <v>27</v>
      </c>
      <c r="F5965" s="24" t="n">
        <v>0</v>
      </c>
    </row>
    <row r="5966" customFormat="false" ht="15" hidden="false" customHeight="false" outlineLevel="0" collapsed="false">
      <c r="A5966" s="3" t="n">
        <v>5965</v>
      </c>
      <c r="B5966" s="3" t="n">
        <v>5964</v>
      </c>
      <c r="C5966" s="3" t="n">
        <v>7</v>
      </c>
      <c r="D5966" s="3" t="n">
        <v>17</v>
      </c>
      <c r="E5966" s="3" t="n">
        <v>0</v>
      </c>
      <c r="F5966" s="24" t="n">
        <v>0.259080142</v>
      </c>
    </row>
    <row r="5967" customFormat="false" ht="15" hidden="false" customHeight="false" outlineLevel="0" collapsed="false">
      <c r="A5967" s="3" t="n">
        <v>5966</v>
      </c>
      <c r="B5967" s="3" t="n">
        <v>5965</v>
      </c>
      <c r="C5967" s="3" t="n">
        <v>7</v>
      </c>
      <c r="D5967" s="3" t="n">
        <v>17</v>
      </c>
      <c r="E5967" s="3" t="n">
        <v>1</v>
      </c>
      <c r="F5967" s="24" t="n">
        <v>0</v>
      </c>
    </row>
    <row r="5968" customFormat="false" ht="15" hidden="false" customHeight="false" outlineLevel="0" collapsed="false">
      <c r="A5968" s="3" t="n">
        <v>5967</v>
      </c>
      <c r="B5968" s="3" t="n">
        <v>5966</v>
      </c>
      <c r="C5968" s="3" t="n">
        <v>7</v>
      </c>
      <c r="D5968" s="3" t="n">
        <v>17</v>
      </c>
      <c r="E5968" s="3" t="n">
        <v>2</v>
      </c>
      <c r="F5968" s="24" t="n">
        <v>0</v>
      </c>
    </row>
    <row r="5969" customFormat="false" ht="15" hidden="false" customHeight="false" outlineLevel="0" collapsed="false">
      <c r="A5969" s="3" t="n">
        <v>5968</v>
      </c>
      <c r="B5969" s="3" t="n">
        <v>5967</v>
      </c>
      <c r="C5969" s="3" t="n">
        <v>7</v>
      </c>
      <c r="D5969" s="3" t="n">
        <v>17</v>
      </c>
      <c r="E5969" s="3" t="n">
        <v>3</v>
      </c>
      <c r="F5969" s="24" t="n">
        <v>0</v>
      </c>
    </row>
    <row r="5970" customFormat="false" ht="15" hidden="false" customHeight="false" outlineLevel="0" collapsed="false">
      <c r="A5970" s="3" t="n">
        <v>5969</v>
      </c>
      <c r="B5970" s="3" t="n">
        <v>5968</v>
      </c>
      <c r="C5970" s="3" t="n">
        <v>7</v>
      </c>
      <c r="D5970" s="3" t="n">
        <v>17</v>
      </c>
      <c r="E5970" s="3" t="n">
        <v>4</v>
      </c>
      <c r="F5970" s="24" t="n">
        <v>0</v>
      </c>
    </row>
    <row r="5971" customFormat="false" ht="15" hidden="false" customHeight="false" outlineLevel="0" collapsed="false">
      <c r="A5971" s="3" t="n">
        <v>5970</v>
      </c>
      <c r="B5971" s="3" t="n">
        <v>5969</v>
      </c>
      <c r="C5971" s="3" t="n">
        <v>7</v>
      </c>
      <c r="D5971" s="3" t="n">
        <v>17</v>
      </c>
      <c r="E5971" s="3" t="n">
        <v>5</v>
      </c>
      <c r="F5971" s="24" t="n">
        <v>0</v>
      </c>
    </row>
    <row r="5972" customFormat="false" ht="15" hidden="false" customHeight="false" outlineLevel="0" collapsed="false">
      <c r="A5972" s="3" t="n">
        <v>5971</v>
      </c>
      <c r="B5972" s="3" t="n">
        <v>5970</v>
      </c>
      <c r="C5972" s="3" t="n">
        <v>7</v>
      </c>
      <c r="D5972" s="3" t="n">
        <v>17</v>
      </c>
      <c r="E5972" s="3" t="n">
        <v>6</v>
      </c>
      <c r="F5972" s="24" t="n">
        <v>0</v>
      </c>
    </row>
    <row r="5973" customFormat="false" ht="15" hidden="false" customHeight="false" outlineLevel="0" collapsed="false">
      <c r="A5973" s="3" t="n">
        <v>5972</v>
      </c>
      <c r="B5973" s="3" t="n">
        <v>5971</v>
      </c>
      <c r="C5973" s="3" t="n">
        <v>7</v>
      </c>
      <c r="D5973" s="3" t="n">
        <v>17</v>
      </c>
      <c r="E5973" s="3" t="n">
        <v>7</v>
      </c>
      <c r="F5973" s="24" t="n">
        <v>0</v>
      </c>
    </row>
    <row r="5974" customFormat="false" ht="15" hidden="false" customHeight="false" outlineLevel="0" collapsed="false">
      <c r="A5974" s="3" t="n">
        <v>5973</v>
      </c>
      <c r="B5974" s="3" t="n">
        <v>5972</v>
      </c>
      <c r="C5974" s="3" t="n">
        <v>7</v>
      </c>
      <c r="D5974" s="3" t="n">
        <v>17</v>
      </c>
      <c r="E5974" s="3" t="n">
        <v>8</v>
      </c>
      <c r="F5974" s="24" t="n">
        <v>0</v>
      </c>
    </row>
    <row r="5975" customFormat="false" ht="15" hidden="false" customHeight="false" outlineLevel="0" collapsed="false">
      <c r="A5975" s="3" t="n">
        <v>5974</v>
      </c>
      <c r="B5975" s="3" t="n">
        <v>5973</v>
      </c>
      <c r="C5975" s="3" t="n">
        <v>7</v>
      </c>
      <c r="D5975" s="3" t="n">
        <v>17</v>
      </c>
      <c r="E5975" s="3" t="n">
        <v>9</v>
      </c>
      <c r="F5975" s="24" t="n">
        <v>0</v>
      </c>
    </row>
    <row r="5976" customFormat="false" ht="15" hidden="false" customHeight="false" outlineLevel="0" collapsed="false">
      <c r="A5976" s="3" t="n">
        <v>5975</v>
      </c>
      <c r="B5976" s="3" t="n">
        <v>5974</v>
      </c>
      <c r="C5976" s="3" t="n">
        <v>7</v>
      </c>
      <c r="D5976" s="3" t="n">
        <v>17</v>
      </c>
      <c r="E5976" s="3" t="n">
        <v>10</v>
      </c>
      <c r="F5976" s="24" t="n">
        <v>0</v>
      </c>
    </row>
    <row r="5977" customFormat="false" ht="15" hidden="false" customHeight="false" outlineLevel="0" collapsed="false">
      <c r="A5977" s="3" t="n">
        <v>5976</v>
      </c>
      <c r="B5977" s="3" t="n">
        <v>5975</v>
      </c>
      <c r="C5977" s="3" t="n">
        <v>7</v>
      </c>
      <c r="D5977" s="3" t="n">
        <v>17</v>
      </c>
      <c r="E5977" s="3" t="n">
        <v>11</v>
      </c>
      <c r="F5977" s="24" t="n">
        <v>0</v>
      </c>
    </row>
    <row r="5978" customFormat="false" ht="15" hidden="false" customHeight="false" outlineLevel="0" collapsed="false">
      <c r="A5978" s="3" t="n">
        <v>5977</v>
      </c>
      <c r="B5978" s="3" t="n">
        <v>5976</v>
      </c>
      <c r="C5978" s="3" t="n">
        <v>7</v>
      </c>
      <c r="D5978" s="3" t="n">
        <v>17</v>
      </c>
      <c r="E5978" s="3" t="n">
        <v>12</v>
      </c>
      <c r="F5978" s="24" t="n">
        <v>0</v>
      </c>
    </row>
    <row r="5979" customFormat="false" ht="15" hidden="false" customHeight="false" outlineLevel="0" collapsed="false">
      <c r="A5979" s="3" t="n">
        <v>5978</v>
      </c>
      <c r="B5979" s="3" t="n">
        <v>5977</v>
      </c>
      <c r="C5979" s="3" t="n">
        <v>7</v>
      </c>
      <c r="D5979" s="3" t="n">
        <v>17</v>
      </c>
      <c r="E5979" s="3" t="n">
        <v>13</v>
      </c>
      <c r="F5979" s="24" t="n">
        <v>0.0532477722</v>
      </c>
    </row>
    <row r="5980" customFormat="false" ht="15" hidden="false" customHeight="false" outlineLevel="0" collapsed="false">
      <c r="A5980" s="3" t="n">
        <v>5979</v>
      </c>
      <c r="B5980" s="3" t="n">
        <v>5978</v>
      </c>
      <c r="C5980" s="3" t="n">
        <v>7</v>
      </c>
      <c r="D5980" s="3" t="n">
        <v>17</v>
      </c>
      <c r="E5980" s="3" t="n">
        <v>14</v>
      </c>
      <c r="F5980" s="24" t="n">
        <v>0.0881060809</v>
      </c>
    </row>
    <row r="5981" customFormat="false" ht="15" hidden="false" customHeight="false" outlineLevel="0" collapsed="false">
      <c r="A5981" s="3" t="n">
        <v>5980</v>
      </c>
      <c r="B5981" s="3" t="n">
        <v>5979</v>
      </c>
      <c r="C5981" s="3" t="n">
        <v>7</v>
      </c>
      <c r="D5981" s="3" t="n">
        <v>17</v>
      </c>
      <c r="E5981" s="3" t="n">
        <v>15</v>
      </c>
      <c r="F5981" s="24" t="n">
        <v>0</v>
      </c>
    </row>
    <row r="5982" customFormat="false" ht="15" hidden="false" customHeight="false" outlineLevel="0" collapsed="false">
      <c r="A5982" s="3" t="n">
        <v>5981</v>
      </c>
      <c r="B5982" s="3" t="n">
        <v>5980</v>
      </c>
      <c r="C5982" s="3" t="n">
        <v>7</v>
      </c>
      <c r="D5982" s="3" t="n">
        <v>17</v>
      </c>
      <c r="E5982" s="3" t="n">
        <v>16</v>
      </c>
      <c r="F5982" s="24" t="n">
        <v>0.0205068141</v>
      </c>
    </row>
    <row r="5983" customFormat="false" ht="15" hidden="false" customHeight="false" outlineLevel="0" collapsed="false">
      <c r="A5983" s="3" t="n">
        <v>5982</v>
      </c>
      <c r="B5983" s="3" t="n">
        <v>5981</v>
      </c>
      <c r="C5983" s="3" t="n">
        <v>7</v>
      </c>
      <c r="D5983" s="3" t="n">
        <v>17</v>
      </c>
      <c r="E5983" s="3" t="n">
        <v>17</v>
      </c>
      <c r="F5983" s="24" t="n">
        <v>2.61882687</v>
      </c>
    </row>
    <row r="5984" customFormat="false" ht="15" hidden="false" customHeight="false" outlineLevel="0" collapsed="false">
      <c r="A5984" s="3" t="n">
        <v>5983</v>
      </c>
      <c r="B5984" s="3" t="n">
        <v>5982</v>
      </c>
      <c r="C5984" s="3" t="n">
        <v>7</v>
      </c>
      <c r="D5984" s="3" t="n">
        <v>17</v>
      </c>
      <c r="E5984" s="3" t="n">
        <v>18</v>
      </c>
      <c r="F5984" s="24" t="n">
        <v>2.00890303</v>
      </c>
    </row>
    <row r="5985" customFormat="false" ht="15" hidden="false" customHeight="false" outlineLevel="0" collapsed="false">
      <c r="A5985" s="3" t="n">
        <v>5984</v>
      </c>
      <c r="B5985" s="3" t="n">
        <v>5983</v>
      </c>
      <c r="C5985" s="3" t="n">
        <v>7</v>
      </c>
      <c r="D5985" s="3" t="n">
        <v>17</v>
      </c>
      <c r="E5985" s="3" t="n">
        <v>19</v>
      </c>
      <c r="F5985" s="24" t="n">
        <v>0.114734843</v>
      </c>
    </row>
    <row r="5986" customFormat="false" ht="15" hidden="false" customHeight="false" outlineLevel="0" collapsed="false">
      <c r="A5986" s="3" t="n">
        <v>5985</v>
      </c>
      <c r="B5986" s="3" t="n">
        <v>5984</v>
      </c>
      <c r="C5986" s="3" t="n">
        <v>7</v>
      </c>
      <c r="D5986" s="3" t="n">
        <v>17</v>
      </c>
      <c r="E5986" s="3" t="n">
        <v>20</v>
      </c>
      <c r="F5986" s="24" t="n">
        <v>0</v>
      </c>
    </row>
    <row r="5987" customFormat="false" ht="15" hidden="false" customHeight="false" outlineLevel="0" collapsed="false">
      <c r="A5987" s="3" t="n">
        <v>5986</v>
      </c>
      <c r="B5987" s="3" t="n">
        <v>5985</v>
      </c>
      <c r="C5987" s="3" t="n">
        <v>7</v>
      </c>
      <c r="D5987" s="3" t="n">
        <v>17</v>
      </c>
      <c r="E5987" s="3" t="n">
        <v>21</v>
      </c>
      <c r="F5987" s="24" t="n">
        <v>0</v>
      </c>
    </row>
    <row r="5988" customFormat="false" ht="15" hidden="false" customHeight="false" outlineLevel="0" collapsed="false">
      <c r="A5988" s="3" t="n">
        <v>5987</v>
      </c>
      <c r="B5988" s="3" t="n">
        <v>5986</v>
      </c>
      <c r="C5988" s="3" t="n">
        <v>7</v>
      </c>
      <c r="D5988" s="3" t="n">
        <v>17</v>
      </c>
      <c r="E5988" s="3" t="n">
        <v>22</v>
      </c>
      <c r="F5988" s="24" t="n">
        <v>0</v>
      </c>
    </row>
    <row r="5989" customFormat="false" ht="15" hidden="false" customHeight="false" outlineLevel="0" collapsed="false">
      <c r="A5989" s="3" t="n">
        <v>5988</v>
      </c>
      <c r="B5989" s="3" t="n">
        <v>5987</v>
      </c>
      <c r="C5989" s="3" t="n">
        <v>7</v>
      </c>
      <c r="D5989" s="3" t="n">
        <v>17</v>
      </c>
      <c r="E5989" s="3" t="n">
        <v>23</v>
      </c>
      <c r="F5989" s="24" t="n">
        <v>0</v>
      </c>
    </row>
    <row r="5990" customFormat="false" ht="15" hidden="false" customHeight="false" outlineLevel="0" collapsed="false">
      <c r="A5990" s="3" t="n">
        <v>5989</v>
      </c>
      <c r="B5990" s="3" t="n">
        <v>5988</v>
      </c>
      <c r="C5990" s="3" t="n">
        <v>7</v>
      </c>
      <c r="D5990" s="3" t="n">
        <v>17</v>
      </c>
      <c r="E5990" s="3" t="n">
        <v>24</v>
      </c>
      <c r="F5990" s="24" t="n">
        <v>0</v>
      </c>
    </row>
    <row r="5991" customFormat="false" ht="15" hidden="false" customHeight="false" outlineLevel="0" collapsed="false">
      <c r="A5991" s="3" t="n">
        <v>5990</v>
      </c>
      <c r="B5991" s="3" t="n">
        <v>5989</v>
      </c>
      <c r="C5991" s="3" t="n">
        <v>7</v>
      </c>
      <c r="D5991" s="3" t="n">
        <v>17</v>
      </c>
      <c r="E5991" s="3" t="n">
        <v>25</v>
      </c>
      <c r="F5991" s="24" t="n">
        <v>0</v>
      </c>
    </row>
    <row r="5992" customFormat="false" ht="15" hidden="false" customHeight="false" outlineLevel="0" collapsed="false">
      <c r="A5992" s="3" t="n">
        <v>5991</v>
      </c>
      <c r="B5992" s="3" t="n">
        <v>5990</v>
      </c>
      <c r="C5992" s="3" t="n">
        <v>7</v>
      </c>
      <c r="D5992" s="3" t="n">
        <v>17</v>
      </c>
      <c r="E5992" s="3" t="n">
        <v>26</v>
      </c>
      <c r="F5992" s="24" t="n">
        <v>0</v>
      </c>
    </row>
    <row r="5993" customFormat="false" ht="15" hidden="false" customHeight="false" outlineLevel="0" collapsed="false">
      <c r="A5993" s="3" t="n">
        <v>5992</v>
      </c>
      <c r="B5993" s="3" t="n">
        <v>5991</v>
      </c>
      <c r="C5993" s="3" t="n">
        <v>7</v>
      </c>
      <c r="D5993" s="3" t="n">
        <v>17</v>
      </c>
      <c r="E5993" s="3" t="n">
        <v>27</v>
      </c>
      <c r="F5993" s="24" t="n">
        <v>0</v>
      </c>
    </row>
    <row r="5994" customFormat="false" ht="15" hidden="false" customHeight="false" outlineLevel="0" collapsed="false">
      <c r="A5994" s="3" t="n">
        <v>5993</v>
      </c>
      <c r="B5994" s="3" t="n">
        <v>5992</v>
      </c>
      <c r="C5994" s="3" t="n">
        <v>7</v>
      </c>
      <c r="D5994" s="3" t="n">
        <v>18</v>
      </c>
      <c r="E5994" s="3" t="n">
        <v>0</v>
      </c>
      <c r="F5994" s="24" t="n">
        <v>0.259080142</v>
      </c>
    </row>
    <row r="5995" customFormat="false" ht="15" hidden="false" customHeight="false" outlineLevel="0" collapsed="false">
      <c r="A5995" s="3" t="n">
        <v>5994</v>
      </c>
      <c r="B5995" s="3" t="n">
        <v>5993</v>
      </c>
      <c r="C5995" s="3" t="n">
        <v>7</v>
      </c>
      <c r="D5995" s="3" t="n">
        <v>18</v>
      </c>
      <c r="E5995" s="3" t="n">
        <v>1</v>
      </c>
      <c r="F5995" s="24" t="n">
        <v>0</v>
      </c>
    </row>
    <row r="5996" customFormat="false" ht="15" hidden="false" customHeight="false" outlineLevel="0" collapsed="false">
      <c r="A5996" s="3" t="n">
        <v>5995</v>
      </c>
      <c r="B5996" s="3" t="n">
        <v>5994</v>
      </c>
      <c r="C5996" s="3" t="n">
        <v>7</v>
      </c>
      <c r="D5996" s="3" t="n">
        <v>18</v>
      </c>
      <c r="E5996" s="3" t="n">
        <v>2</v>
      </c>
      <c r="F5996" s="24" t="n">
        <v>0</v>
      </c>
    </row>
    <row r="5997" customFormat="false" ht="15" hidden="false" customHeight="false" outlineLevel="0" collapsed="false">
      <c r="A5997" s="3" t="n">
        <v>5996</v>
      </c>
      <c r="B5997" s="3" t="n">
        <v>5995</v>
      </c>
      <c r="C5997" s="3" t="n">
        <v>7</v>
      </c>
      <c r="D5997" s="3" t="n">
        <v>18</v>
      </c>
      <c r="E5997" s="3" t="n">
        <v>3</v>
      </c>
      <c r="F5997" s="24" t="n">
        <v>0</v>
      </c>
    </row>
    <row r="5998" customFormat="false" ht="15" hidden="false" customHeight="false" outlineLevel="0" collapsed="false">
      <c r="A5998" s="3" t="n">
        <v>5997</v>
      </c>
      <c r="B5998" s="3" t="n">
        <v>5996</v>
      </c>
      <c r="C5998" s="3" t="n">
        <v>7</v>
      </c>
      <c r="D5998" s="3" t="n">
        <v>18</v>
      </c>
      <c r="E5998" s="3" t="n">
        <v>4</v>
      </c>
      <c r="F5998" s="24" t="n">
        <v>0</v>
      </c>
    </row>
    <row r="5999" customFormat="false" ht="15" hidden="false" customHeight="false" outlineLevel="0" collapsed="false">
      <c r="A5999" s="3" t="n">
        <v>5998</v>
      </c>
      <c r="B5999" s="3" t="n">
        <v>5997</v>
      </c>
      <c r="C5999" s="3" t="n">
        <v>7</v>
      </c>
      <c r="D5999" s="3" t="n">
        <v>18</v>
      </c>
      <c r="E5999" s="3" t="n">
        <v>5</v>
      </c>
      <c r="F5999" s="24" t="n">
        <v>0</v>
      </c>
    </row>
    <row r="6000" customFormat="false" ht="15" hidden="false" customHeight="false" outlineLevel="0" collapsed="false">
      <c r="A6000" s="3" t="n">
        <v>5999</v>
      </c>
      <c r="B6000" s="3" t="n">
        <v>5998</v>
      </c>
      <c r="C6000" s="3" t="n">
        <v>7</v>
      </c>
      <c r="D6000" s="3" t="n">
        <v>18</v>
      </c>
      <c r="E6000" s="3" t="n">
        <v>6</v>
      </c>
      <c r="F6000" s="24" t="n">
        <v>0</v>
      </c>
    </row>
    <row r="6001" customFormat="false" ht="15" hidden="false" customHeight="false" outlineLevel="0" collapsed="false">
      <c r="A6001" s="3" t="n">
        <v>6000</v>
      </c>
      <c r="B6001" s="3" t="n">
        <v>5999</v>
      </c>
      <c r="C6001" s="3" t="n">
        <v>7</v>
      </c>
      <c r="D6001" s="3" t="n">
        <v>18</v>
      </c>
      <c r="E6001" s="3" t="n">
        <v>7</v>
      </c>
      <c r="F6001" s="24" t="n">
        <v>0</v>
      </c>
    </row>
    <row r="6002" customFormat="false" ht="15" hidden="false" customHeight="false" outlineLevel="0" collapsed="false">
      <c r="A6002" s="3" t="n">
        <v>6001</v>
      </c>
      <c r="B6002" s="3" t="n">
        <v>6000</v>
      </c>
      <c r="C6002" s="3" t="n">
        <v>7</v>
      </c>
      <c r="D6002" s="3" t="n">
        <v>18</v>
      </c>
      <c r="E6002" s="3" t="n">
        <v>8</v>
      </c>
      <c r="F6002" s="24" t="n">
        <v>0</v>
      </c>
    </row>
    <row r="6003" customFormat="false" ht="15" hidden="false" customHeight="false" outlineLevel="0" collapsed="false">
      <c r="A6003" s="3" t="n">
        <v>6002</v>
      </c>
      <c r="B6003" s="3" t="n">
        <v>6001</v>
      </c>
      <c r="C6003" s="3" t="n">
        <v>7</v>
      </c>
      <c r="D6003" s="3" t="n">
        <v>18</v>
      </c>
      <c r="E6003" s="3" t="n">
        <v>9</v>
      </c>
      <c r="F6003" s="24" t="n">
        <v>0</v>
      </c>
    </row>
    <row r="6004" customFormat="false" ht="15" hidden="false" customHeight="false" outlineLevel="0" collapsed="false">
      <c r="A6004" s="3" t="n">
        <v>6003</v>
      </c>
      <c r="B6004" s="3" t="n">
        <v>6002</v>
      </c>
      <c r="C6004" s="3" t="n">
        <v>7</v>
      </c>
      <c r="D6004" s="3" t="n">
        <v>18</v>
      </c>
      <c r="E6004" s="3" t="n">
        <v>10</v>
      </c>
      <c r="F6004" s="24" t="n">
        <v>0</v>
      </c>
    </row>
    <row r="6005" customFormat="false" ht="15" hidden="false" customHeight="false" outlineLevel="0" collapsed="false">
      <c r="A6005" s="3" t="n">
        <v>6004</v>
      </c>
      <c r="B6005" s="3" t="n">
        <v>6003</v>
      </c>
      <c r="C6005" s="3" t="n">
        <v>7</v>
      </c>
      <c r="D6005" s="3" t="n">
        <v>18</v>
      </c>
      <c r="E6005" s="3" t="n">
        <v>11</v>
      </c>
      <c r="F6005" s="24" t="n">
        <v>0</v>
      </c>
    </row>
    <row r="6006" customFormat="false" ht="15" hidden="false" customHeight="false" outlineLevel="0" collapsed="false">
      <c r="A6006" s="3" t="n">
        <v>6005</v>
      </c>
      <c r="B6006" s="3" t="n">
        <v>6004</v>
      </c>
      <c r="C6006" s="3" t="n">
        <v>7</v>
      </c>
      <c r="D6006" s="3" t="n">
        <v>18</v>
      </c>
      <c r="E6006" s="3" t="n">
        <v>12</v>
      </c>
      <c r="F6006" s="24" t="n">
        <v>0</v>
      </c>
    </row>
    <row r="6007" customFormat="false" ht="15" hidden="false" customHeight="false" outlineLevel="0" collapsed="false">
      <c r="A6007" s="3" t="n">
        <v>6006</v>
      </c>
      <c r="B6007" s="3" t="n">
        <v>6005</v>
      </c>
      <c r="C6007" s="3" t="n">
        <v>7</v>
      </c>
      <c r="D6007" s="3" t="n">
        <v>18</v>
      </c>
      <c r="E6007" s="3" t="n">
        <v>13</v>
      </c>
      <c r="F6007" s="24" t="n">
        <v>0</v>
      </c>
    </row>
    <row r="6008" customFormat="false" ht="15" hidden="false" customHeight="false" outlineLevel="0" collapsed="false">
      <c r="A6008" s="3" t="n">
        <v>6007</v>
      </c>
      <c r="B6008" s="3" t="n">
        <v>6006</v>
      </c>
      <c r="C6008" s="3" t="n">
        <v>7</v>
      </c>
      <c r="D6008" s="3" t="n">
        <v>18</v>
      </c>
      <c r="E6008" s="3" t="n">
        <v>14</v>
      </c>
      <c r="F6008" s="24" t="n">
        <v>0</v>
      </c>
    </row>
    <row r="6009" customFormat="false" ht="15" hidden="false" customHeight="false" outlineLevel="0" collapsed="false">
      <c r="A6009" s="3" t="n">
        <v>6008</v>
      </c>
      <c r="B6009" s="3" t="n">
        <v>6007</v>
      </c>
      <c r="C6009" s="3" t="n">
        <v>7</v>
      </c>
      <c r="D6009" s="3" t="n">
        <v>18</v>
      </c>
      <c r="E6009" s="3" t="n">
        <v>15</v>
      </c>
      <c r="F6009" s="24" t="n">
        <v>0</v>
      </c>
    </row>
    <row r="6010" customFormat="false" ht="15" hidden="false" customHeight="false" outlineLevel="0" collapsed="false">
      <c r="A6010" s="3" t="n">
        <v>6009</v>
      </c>
      <c r="B6010" s="3" t="n">
        <v>6008</v>
      </c>
      <c r="C6010" s="3" t="n">
        <v>7</v>
      </c>
      <c r="D6010" s="3" t="n">
        <v>18</v>
      </c>
      <c r="E6010" s="3" t="n">
        <v>16</v>
      </c>
      <c r="F6010" s="24" t="n">
        <v>1.92387247</v>
      </c>
    </row>
    <row r="6011" customFormat="false" ht="15" hidden="false" customHeight="false" outlineLevel="0" collapsed="false">
      <c r="A6011" s="3" t="n">
        <v>6010</v>
      </c>
      <c r="B6011" s="3" t="n">
        <v>6009</v>
      </c>
      <c r="C6011" s="3" t="n">
        <v>7</v>
      </c>
      <c r="D6011" s="3" t="n">
        <v>18</v>
      </c>
      <c r="E6011" s="3" t="n">
        <v>17</v>
      </c>
      <c r="F6011" s="24" t="n">
        <v>2.58294654</v>
      </c>
    </row>
    <row r="6012" customFormat="false" ht="15" hidden="false" customHeight="false" outlineLevel="0" collapsed="false">
      <c r="A6012" s="3" t="n">
        <v>6011</v>
      </c>
      <c r="B6012" s="3" t="n">
        <v>6010</v>
      </c>
      <c r="C6012" s="3" t="n">
        <v>7</v>
      </c>
      <c r="D6012" s="3" t="n">
        <v>18</v>
      </c>
      <c r="E6012" s="3" t="n">
        <v>18</v>
      </c>
      <c r="F6012" s="24" t="n">
        <v>0.879707456</v>
      </c>
    </row>
    <row r="6013" customFormat="false" ht="15" hidden="false" customHeight="false" outlineLevel="0" collapsed="false">
      <c r="A6013" s="3" t="n">
        <v>6012</v>
      </c>
      <c r="B6013" s="3" t="n">
        <v>6011</v>
      </c>
      <c r="C6013" s="3" t="n">
        <v>7</v>
      </c>
      <c r="D6013" s="3" t="n">
        <v>18</v>
      </c>
      <c r="E6013" s="3" t="n">
        <v>19</v>
      </c>
      <c r="F6013" s="24" t="n">
        <v>0</v>
      </c>
    </row>
    <row r="6014" customFormat="false" ht="15" hidden="false" customHeight="false" outlineLevel="0" collapsed="false">
      <c r="A6014" s="3" t="n">
        <v>6013</v>
      </c>
      <c r="B6014" s="3" t="n">
        <v>6012</v>
      </c>
      <c r="C6014" s="3" t="n">
        <v>7</v>
      </c>
      <c r="D6014" s="3" t="n">
        <v>18</v>
      </c>
      <c r="E6014" s="3" t="n">
        <v>20</v>
      </c>
      <c r="F6014" s="24" t="n">
        <v>0</v>
      </c>
    </row>
    <row r="6015" customFormat="false" ht="15" hidden="false" customHeight="false" outlineLevel="0" collapsed="false">
      <c r="A6015" s="3" t="n">
        <v>6014</v>
      </c>
      <c r="B6015" s="3" t="n">
        <v>6013</v>
      </c>
      <c r="C6015" s="3" t="n">
        <v>7</v>
      </c>
      <c r="D6015" s="3" t="n">
        <v>18</v>
      </c>
      <c r="E6015" s="3" t="n">
        <v>21</v>
      </c>
      <c r="F6015" s="24" t="n">
        <v>0</v>
      </c>
    </row>
    <row r="6016" customFormat="false" ht="15" hidden="false" customHeight="false" outlineLevel="0" collapsed="false">
      <c r="A6016" s="3" t="n">
        <v>6015</v>
      </c>
      <c r="B6016" s="3" t="n">
        <v>6014</v>
      </c>
      <c r="C6016" s="3" t="n">
        <v>7</v>
      </c>
      <c r="D6016" s="3" t="n">
        <v>18</v>
      </c>
      <c r="E6016" s="3" t="n">
        <v>22</v>
      </c>
      <c r="F6016" s="24" t="n">
        <v>0</v>
      </c>
    </row>
    <row r="6017" customFormat="false" ht="15" hidden="false" customHeight="false" outlineLevel="0" collapsed="false">
      <c r="A6017" s="3" t="n">
        <v>6016</v>
      </c>
      <c r="B6017" s="3" t="n">
        <v>6015</v>
      </c>
      <c r="C6017" s="3" t="n">
        <v>7</v>
      </c>
      <c r="D6017" s="3" t="n">
        <v>18</v>
      </c>
      <c r="E6017" s="3" t="n">
        <v>23</v>
      </c>
      <c r="F6017" s="24" t="n">
        <v>0</v>
      </c>
    </row>
    <row r="6018" customFormat="false" ht="15" hidden="false" customHeight="false" outlineLevel="0" collapsed="false">
      <c r="A6018" s="3" t="n">
        <v>6017</v>
      </c>
      <c r="B6018" s="3" t="n">
        <v>6016</v>
      </c>
      <c r="C6018" s="3" t="n">
        <v>7</v>
      </c>
      <c r="D6018" s="3" t="n">
        <v>18</v>
      </c>
      <c r="E6018" s="3" t="n">
        <v>24</v>
      </c>
      <c r="F6018" s="24" t="n">
        <v>0</v>
      </c>
    </row>
    <row r="6019" customFormat="false" ht="15" hidden="false" customHeight="false" outlineLevel="0" collapsed="false">
      <c r="A6019" s="3" t="n">
        <v>6018</v>
      </c>
      <c r="B6019" s="3" t="n">
        <v>6017</v>
      </c>
      <c r="C6019" s="3" t="n">
        <v>7</v>
      </c>
      <c r="D6019" s="3" t="n">
        <v>18</v>
      </c>
      <c r="E6019" s="3" t="n">
        <v>25</v>
      </c>
      <c r="F6019" s="24" t="n">
        <v>0</v>
      </c>
    </row>
    <row r="6020" customFormat="false" ht="15" hidden="false" customHeight="false" outlineLevel="0" collapsed="false">
      <c r="A6020" s="3" t="n">
        <v>6019</v>
      </c>
      <c r="B6020" s="3" t="n">
        <v>6018</v>
      </c>
      <c r="C6020" s="3" t="n">
        <v>7</v>
      </c>
      <c r="D6020" s="3" t="n">
        <v>18</v>
      </c>
      <c r="E6020" s="3" t="n">
        <v>26</v>
      </c>
      <c r="F6020" s="24" t="n">
        <v>0</v>
      </c>
    </row>
    <row r="6021" customFormat="false" ht="15" hidden="false" customHeight="false" outlineLevel="0" collapsed="false">
      <c r="A6021" s="3" t="n">
        <v>6020</v>
      </c>
      <c r="B6021" s="3" t="n">
        <v>6019</v>
      </c>
      <c r="C6021" s="3" t="n">
        <v>7</v>
      </c>
      <c r="D6021" s="3" t="n">
        <v>18</v>
      </c>
      <c r="E6021" s="3" t="n">
        <v>27</v>
      </c>
      <c r="F6021" s="24" t="n">
        <v>0</v>
      </c>
    </row>
    <row r="6022" customFormat="false" ht="15" hidden="false" customHeight="false" outlineLevel="0" collapsed="false">
      <c r="A6022" s="3" t="n">
        <v>6021</v>
      </c>
      <c r="B6022" s="3" t="n">
        <v>6020</v>
      </c>
      <c r="C6022" s="3" t="n">
        <v>7</v>
      </c>
      <c r="D6022" s="3" t="n">
        <v>19</v>
      </c>
      <c r="E6022" s="3" t="n">
        <v>0</v>
      </c>
      <c r="F6022" s="24" t="n">
        <v>0.259080142</v>
      </c>
    </row>
    <row r="6023" customFormat="false" ht="15" hidden="false" customHeight="false" outlineLevel="0" collapsed="false">
      <c r="A6023" s="3" t="n">
        <v>6022</v>
      </c>
      <c r="B6023" s="3" t="n">
        <v>6021</v>
      </c>
      <c r="C6023" s="3" t="n">
        <v>7</v>
      </c>
      <c r="D6023" s="3" t="n">
        <v>19</v>
      </c>
      <c r="E6023" s="3" t="n">
        <v>1</v>
      </c>
      <c r="F6023" s="24" t="n">
        <v>0</v>
      </c>
    </row>
    <row r="6024" customFormat="false" ht="15" hidden="false" customHeight="false" outlineLevel="0" collapsed="false">
      <c r="A6024" s="3" t="n">
        <v>6023</v>
      </c>
      <c r="B6024" s="3" t="n">
        <v>6022</v>
      </c>
      <c r="C6024" s="3" t="n">
        <v>7</v>
      </c>
      <c r="D6024" s="3" t="n">
        <v>19</v>
      </c>
      <c r="E6024" s="3" t="n">
        <v>2</v>
      </c>
      <c r="F6024" s="24" t="n">
        <v>0</v>
      </c>
    </row>
    <row r="6025" customFormat="false" ht="15" hidden="false" customHeight="false" outlineLevel="0" collapsed="false">
      <c r="A6025" s="3" t="n">
        <v>6024</v>
      </c>
      <c r="B6025" s="3" t="n">
        <v>6023</v>
      </c>
      <c r="C6025" s="3" t="n">
        <v>7</v>
      </c>
      <c r="D6025" s="3" t="n">
        <v>19</v>
      </c>
      <c r="E6025" s="3" t="n">
        <v>3</v>
      </c>
      <c r="F6025" s="24" t="n">
        <v>0</v>
      </c>
    </row>
    <row r="6026" customFormat="false" ht="15" hidden="false" customHeight="false" outlineLevel="0" collapsed="false">
      <c r="A6026" s="3" t="n">
        <v>6025</v>
      </c>
      <c r="B6026" s="3" t="n">
        <v>6024</v>
      </c>
      <c r="C6026" s="3" t="n">
        <v>7</v>
      </c>
      <c r="D6026" s="3" t="n">
        <v>19</v>
      </c>
      <c r="E6026" s="3" t="n">
        <v>4</v>
      </c>
      <c r="F6026" s="24" t="n">
        <v>0</v>
      </c>
    </row>
    <row r="6027" customFormat="false" ht="15" hidden="false" customHeight="false" outlineLevel="0" collapsed="false">
      <c r="A6027" s="3" t="n">
        <v>6026</v>
      </c>
      <c r="B6027" s="3" t="n">
        <v>6025</v>
      </c>
      <c r="C6027" s="3" t="n">
        <v>7</v>
      </c>
      <c r="D6027" s="3" t="n">
        <v>19</v>
      </c>
      <c r="E6027" s="3" t="n">
        <v>5</v>
      </c>
      <c r="F6027" s="24" t="n">
        <v>0</v>
      </c>
    </row>
    <row r="6028" customFormat="false" ht="15" hidden="false" customHeight="false" outlineLevel="0" collapsed="false">
      <c r="A6028" s="3" t="n">
        <v>6027</v>
      </c>
      <c r="B6028" s="3" t="n">
        <v>6026</v>
      </c>
      <c r="C6028" s="3" t="n">
        <v>7</v>
      </c>
      <c r="D6028" s="3" t="n">
        <v>19</v>
      </c>
      <c r="E6028" s="3" t="n">
        <v>6</v>
      </c>
      <c r="F6028" s="24" t="n">
        <v>0</v>
      </c>
    </row>
    <row r="6029" customFormat="false" ht="15" hidden="false" customHeight="false" outlineLevel="0" collapsed="false">
      <c r="A6029" s="3" t="n">
        <v>6028</v>
      </c>
      <c r="B6029" s="3" t="n">
        <v>6027</v>
      </c>
      <c r="C6029" s="3" t="n">
        <v>7</v>
      </c>
      <c r="D6029" s="3" t="n">
        <v>19</v>
      </c>
      <c r="E6029" s="3" t="n">
        <v>7</v>
      </c>
      <c r="F6029" s="24" t="n">
        <v>0</v>
      </c>
    </row>
    <row r="6030" customFormat="false" ht="15" hidden="false" customHeight="false" outlineLevel="0" collapsed="false">
      <c r="A6030" s="3" t="n">
        <v>6029</v>
      </c>
      <c r="B6030" s="3" t="n">
        <v>6028</v>
      </c>
      <c r="C6030" s="3" t="n">
        <v>7</v>
      </c>
      <c r="D6030" s="3" t="n">
        <v>19</v>
      </c>
      <c r="E6030" s="3" t="n">
        <v>8</v>
      </c>
      <c r="F6030" s="24" t="n">
        <v>0</v>
      </c>
    </row>
    <row r="6031" customFormat="false" ht="15" hidden="false" customHeight="false" outlineLevel="0" collapsed="false">
      <c r="A6031" s="3" t="n">
        <v>6030</v>
      </c>
      <c r="B6031" s="3" t="n">
        <v>6029</v>
      </c>
      <c r="C6031" s="3" t="n">
        <v>7</v>
      </c>
      <c r="D6031" s="3" t="n">
        <v>19</v>
      </c>
      <c r="E6031" s="3" t="n">
        <v>9</v>
      </c>
      <c r="F6031" s="24" t="n">
        <v>0</v>
      </c>
    </row>
    <row r="6032" customFormat="false" ht="15" hidden="false" customHeight="false" outlineLevel="0" collapsed="false">
      <c r="A6032" s="3" t="n">
        <v>6031</v>
      </c>
      <c r="B6032" s="3" t="n">
        <v>6030</v>
      </c>
      <c r="C6032" s="3" t="n">
        <v>7</v>
      </c>
      <c r="D6032" s="3" t="n">
        <v>19</v>
      </c>
      <c r="E6032" s="3" t="n">
        <v>10</v>
      </c>
      <c r="F6032" s="24" t="n">
        <v>0</v>
      </c>
    </row>
    <row r="6033" customFormat="false" ht="15" hidden="false" customHeight="false" outlineLevel="0" collapsed="false">
      <c r="A6033" s="3" t="n">
        <v>6032</v>
      </c>
      <c r="B6033" s="3" t="n">
        <v>6031</v>
      </c>
      <c r="C6033" s="3" t="n">
        <v>7</v>
      </c>
      <c r="D6033" s="3" t="n">
        <v>19</v>
      </c>
      <c r="E6033" s="3" t="n">
        <v>11</v>
      </c>
      <c r="F6033" s="24" t="n">
        <v>0</v>
      </c>
    </row>
    <row r="6034" customFormat="false" ht="15" hidden="false" customHeight="false" outlineLevel="0" collapsed="false">
      <c r="A6034" s="3" t="n">
        <v>6033</v>
      </c>
      <c r="B6034" s="3" t="n">
        <v>6032</v>
      </c>
      <c r="C6034" s="3" t="n">
        <v>7</v>
      </c>
      <c r="D6034" s="3" t="n">
        <v>19</v>
      </c>
      <c r="E6034" s="3" t="n">
        <v>12</v>
      </c>
      <c r="F6034" s="24" t="n">
        <v>0.152823254</v>
      </c>
    </row>
    <row r="6035" customFormat="false" ht="15" hidden="false" customHeight="false" outlineLevel="0" collapsed="false">
      <c r="A6035" s="3" t="n">
        <v>6034</v>
      </c>
      <c r="B6035" s="3" t="n">
        <v>6033</v>
      </c>
      <c r="C6035" s="3" t="n">
        <v>7</v>
      </c>
      <c r="D6035" s="3" t="n">
        <v>19</v>
      </c>
      <c r="E6035" s="3" t="n">
        <v>13</v>
      </c>
      <c r="F6035" s="24" t="n">
        <v>0.0568584651</v>
      </c>
    </row>
    <row r="6036" customFormat="false" ht="15" hidden="false" customHeight="false" outlineLevel="0" collapsed="false">
      <c r="A6036" s="3" t="n">
        <v>6035</v>
      </c>
      <c r="B6036" s="3" t="n">
        <v>6034</v>
      </c>
      <c r="C6036" s="3" t="n">
        <v>7</v>
      </c>
      <c r="D6036" s="3" t="n">
        <v>19</v>
      </c>
      <c r="E6036" s="3" t="n">
        <v>14</v>
      </c>
      <c r="F6036" s="24" t="n">
        <v>0</v>
      </c>
    </row>
    <row r="6037" customFormat="false" ht="15" hidden="false" customHeight="false" outlineLevel="0" collapsed="false">
      <c r="A6037" s="3" t="n">
        <v>6036</v>
      </c>
      <c r="B6037" s="3" t="n">
        <v>6035</v>
      </c>
      <c r="C6037" s="3" t="n">
        <v>7</v>
      </c>
      <c r="D6037" s="3" t="n">
        <v>19</v>
      </c>
      <c r="E6037" s="3" t="n">
        <v>15</v>
      </c>
      <c r="F6037" s="24" t="n">
        <v>0.8873384</v>
      </c>
    </row>
    <row r="6038" customFormat="false" ht="15" hidden="false" customHeight="false" outlineLevel="0" collapsed="false">
      <c r="A6038" s="3" t="n">
        <v>6037</v>
      </c>
      <c r="B6038" s="3" t="n">
        <v>6036</v>
      </c>
      <c r="C6038" s="3" t="n">
        <v>7</v>
      </c>
      <c r="D6038" s="3" t="n">
        <v>19</v>
      </c>
      <c r="E6038" s="3" t="n">
        <v>16</v>
      </c>
      <c r="F6038" s="24" t="n">
        <v>2.56713557</v>
      </c>
    </row>
    <row r="6039" customFormat="false" ht="15" hidden="false" customHeight="false" outlineLevel="0" collapsed="false">
      <c r="A6039" s="3" t="n">
        <v>6038</v>
      </c>
      <c r="B6039" s="3" t="n">
        <v>6037</v>
      </c>
      <c r="C6039" s="3" t="n">
        <v>7</v>
      </c>
      <c r="D6039" s="3" t="n">
        <v>19</v>
      </c>
      <c r="E6039" s="3" t="n">
        <v>17</v>
      </c>
      <c r="F6039" s="24" t="n">
        <v>1.87827682</v>
      </c>
    </row>
    <row r="6040" customFormat="false" ht="15" hidden="false" customHeight="false" outlineLevel="0" collapsed="false">
      <c r="A6040" s="3" t="n">
        <v>6039</v>
      </c>
      <c r="B6040" s="3" t="n">
        <v>6038</v>
      </c>
      <c r="C6040" s="3" t="n">
        <v>7</v>
      </c>
      <c r="D6040" s="3" t="n">
        <v>19</v>
      </c>
      <c r="E6040" s="3" t="n">
        <v>18</v>
      </c>
      <c r="F6040" s="24" t="n">
        <v>0.111673817</v>
      </c>
    </row>
    <row r="6041" customFormat="false" ht="15" hidden="false" customHeight="false" outlineLevel="0" collapsed="false">
      <c r="A6041" s="3" t="n">
        <v>6040</v>
      </c>
      <c r="B6041" s="3" t="n">
        <v>6039</v>
      </c>
      <c r="C6041" s="3" t="n">
        <v>7</v>
      </c>
      <c r="D6041" s="3" t="n">
        <v>19</v>
      </c>
      <c r="E6041" s="3" t="n">
        <v>19</v>
      </c>
      <c r="F6041" s="24" t="n">
        <v>0</v>
      </c>
    </row>
    <row r="6042" customFormat="false" ht="15" hidden="false" customHeight="false" outlineLevel="0" collapsed="false">
      <c r="A6042" s="3" t="n">
        <v>6041</v>
      </c>
      <c r="B6042" s="3" t="n">
        <v>6040</v>
      </c>
      <c r="C6042" s="3" t="n">
        <v>7</v>
      </c>
      <c r="D6042" s="3" t="n">
        <v>19</v>
      </c>
      <c r="E6042" s="3" t="n">
        <v>20</v>
      </c>
      <c r="F6042" s="24" t="n">
        <v>0</v>
      </c>
    </row>
    <row r="6043" customFormat="false" ht="15" hidden="false" customHeight="false" outlineLevel="0" collapsed="false">
      <c r="A6043" s="3" t="n">
        <v>6042</v>
      </c>
      <c r="B6043" s="3" t="n">
        <v>6041</v>
      </c>
      <c r="C6043" s="3" t="n">
        <v>7</v>
      </c>
      <c r="D6043" s="3" t="n">
        <v>19</v>
      </c>
      <c r="E6043" s="3" t="n">
        <v>21</v>
      </c>
      <c r="F6043" s="24" t="n">
        <v>0</v>
      </c>
    </row>
    <row r="6044" customFormat="false" ht="15" hidden="false" customHeight="false" outlineLevel="0" collapsed="false">
      <c r="A6044" s="3" t="n">
        <v>6043</v>
      </c>
      <c r="B6044" s="3" t="n">
        <v>6042</v>
      </c>
      <c r="C6044" s="3" t="n">
        <v>7</v>
      </c>
      <c r="D6044" s="3" t="n">
        <v>19</v>
      </c>
      <c r="E6044" s="3" t="n">
        <v>22</v>
      </c>
      <c r="F6044" s="24" t="n">
        <v>0</v>
      </c>
    </row>
    <row r="6045" customFormat="false" ht="15" hidden="false" customHeight="false" outlineLevel="0" collapsed="false">
      <c r="A6045" s="3" t="n">
        <v>6044</v>
      </c>
      <c r="B6045" s="3" t="n">
        <v>6043</v>
      </c>
      <c r="C6045" s="3" t="n">
        <v>7</v>
      </c>
      <c r="D6045" s="3" t="n">
        <v>19</v>
      </c>
      <c r="E6045" s="3" t="n">
        <v>23</v>
      </c>
      <c r="F6045" s="24" t="n">
        <v>0</v>
      </c>
    </row>
    <row r="6046" customFormat="false" ht="15" hidden="false" customHeight="false" outlineLevel="0" collapsed="false">
      <c r="A6046" s="3" t="n">
        <v>6045</v>
      </c>
      <c r="B6046" s="3" t="n">
        <v>6044</v>
      </c>
      <c r="C6046" s="3" t="n">
        <v>7</v>
      </c>
      <c r="D6046" s="3" t="n">
        <v>19</v>
      </c>
      <c r="E6046" s="3" t="n">
        <v>24</v>
      </c>
      <c r="F6046" s="24" t="n">
        <v>0</v>
      </c>
    </row>
    <row r="6047" customFormat="false" ht="15" hidden="false" customHeight="false" outlineLevel="0" collapsed="false">
      <c r="A6047" s="3" t="n">
        <v>6046</v>
      </c>
      <c r="B6047" s="3" t="n">
        <v>6045</v>
      </c>
      <c r="C6047" s="3" t="n">
        <v>7</v>
      </c>
      <c r="D6047" s="3" t="n">
        <v>19</v>
      </c>
      <c r="E6047" s="3" t="n">
        <v>25</v>
      </c>
      <c r="F6047" s="24" t="n">
        <v>0</v>
      </c>
    </row>
    <row r="6048" customFormat="false" ht="15" hidden="false" customHeight="false" outlineLevel="0" collapsed="false">
      <c r="A6048" s="3" t="n">
        <v>6047</v>
      </c>
      <c r="B6048" s="3" t="n">
        <v>6046</v>
      </c>
      <c r="C6048" s="3" t="n">
        <v>7</v>
      </c>
      <c r="D6048" s="3" t="n">
        <v>19</v>
      </c>
      <c r="E6048" s="3" t="n">
        <v>26</v>
      </c>
      <c r="F6048" s="24" t="n">
        <v>0</v>
      </c>
    </row>
    <row r="6049" customFormat="false" ht="15" hidden="false" customHeight="false" outlineLevel="0" collapsed="false">
      <c r="A6049" s="3" t="n">
        <v>6048</v>
      </c>
      <c r="B6049" s="3" t="n">
        <v>6047</v>
      </c>
      <c r="C6049" s="3" t="n">
        <v>7</v>
      </c>
      <c r="D6049" s="3" t="n">
        <v>19</v>
      </c>
      <c r="E6049" s="3" t="n">
        <v>27</v>
      </c>
      <c r="F6049" s="24" t="n">
        <v>0</v>
      </c>
    </row>
    <row r="6050" customFormat="false" ht="15" hidden="false" customHeight="false" outlineLevel="0" collapsed="false">
      <c r="A6050" s="3" t="n">
        <v>6049</v>
      </c>
      <c r="B6050" s="3" t="n">
        <v>6048</v>
      </c>
      <c r="C6050" s="3" t="n">
        <v>7</v>
      </c>
      <c r="D6050" s="3" t="n">
        <v>20</v>
      </c>
      <c r="E6050" s="3" t="n">
        <v>0</v>
      </c>
      <c r="F6050" s="24" t="n">
        <v>0.259080142</v>
      </c>
    </row>
    <row r="6051" customFormat="false" ht="15" hidden="false" customHeight="false" outlineLevel="0" collapsed="false">
      <c r="A6051" s="3" t="n">
        <v>6050</v>
      </c>
      <c r="B6051" s="3" t="n">
        <v>6049</v>
      </c>
      <c r="C6051" s="3" t="n">
        <v>7</v>
      </c>
      <c r="D6051" s="3" t="n">
        <v>20</v>
      </c>
      <c r="E6051" s="3" t="n">
        <v>1</v>
      </c>
      <c r="F6051" s="24" t="n">
        <v>0</v>
      </c>
    </row>
    <row r="6052" customFormat="false" ht="15" hidden="false" customHeight="false" outlineLevel="0" collapsed="false">
      <c r="A6052" s="3" t="n">
        <v>6051</v>
      </c>
      <c r="B6052" s="3" t="n">
        <v>6050</v>
      </c>
      <c r="C6052" s="3" t="n">
        <v>7</v>
      </c>
      <c r="D6052" s="3" t="n">
        <v>20</v>
      </c>
      <c r="E6052" s="3" t="n">
        <v>2</v>
      </c>
      <c r="F6052" s="24" t="n">
        <v>0</v>
      </c>
    </row>
    <row r="6053" customFormat="false" ht="15" hidden="false" customHeight="false" outlineLevel="0" collapsed="false">
      <c r="A6053" s="3" t="n">
        <v>6052</v>
      </c>
      <c r="B6053" s="3" t="n">
        <v>6051</v>
      </c>
      <c r="C6053" s="3" t="n">
        <v>7</v>
      </c>
      <c r="D6053" s="3" t="n">
        <v>20</v>
      </c>
      <c r="E6053" s="3" t="n">
        <v>3</v>
      </c>
      <c r="F6053" s="24" t="n">
        <v>0</v>
      </c>
    </row>
    <row r="6054" customFormat="false" ht="15" hidden="false" customHeight="false" outlineLevel="0" collapsed="false">
      <c r="A6054" s="3" t="n">
        <v>6053</v>
      </c>
      <c r="B6054" s="3" t="n">
        <v>6052</v>
      </c>
      <c r="C6054" s="3" t="n">
        <v>7</v>
      </c>
      <c r="D6054" s="3" t="n">
        <v>20</v>
      </c>
      <c r="E6054" s="3" t="n">
        <v>4</v>
      </c>
      <c r="F6054" s="24" t="n">
        <v>0</v>
      </c>
    </row>
    <row r="6055" customFormat="false" ht="15" hidden="false" customHeight="false" outlineLevel="0" collapsed="false">
      <c r="A6055" s="3" t="n">
        <v>6054</v>
      </c>
      <c r="B6055" s="3" t="n">
        <v>6053</v>
      </c>
      <c r="C6055" s="3" t="n">
        <v>7</v>
      </c>
      <c r="D6055" s="3" t="n">
        <v>20</v>
      </c>
      <c r="E6055" s="3" t="n">
        <v>5</v>
      </c>
      <c r="F6055" s="24" t="n">
        <v>0</v>
      </c>
    </row>
    <row r="6056" customFormat="false" ht="15" hidden="false" customHeight="false" outlineLevel="0" collapsed="false">
      <c r="A6056" s="3" t="n">
        <v>6055</v>
      </c>
      <c r="B6056" s="3" t="n">
        <v>6054</v>
      </c>
      <c r="C6056" s="3" t="n">
        <v>7</v>
      </c>
      <c r="D6056" s="3" t="n">
        <v>20</v>
      </c>
      <c r="E6056" s="3" t="n">
        <v>6</v>
      </c>
      <c r="F6056" s="24" t="n">
        <v>0</v>
      </c>
    </row>
    <row r="6057" customFormat="false" ht="15" hidden="false" customHeight="false" outlineLevel="0" collapsed="false">
      <c r="A6057" s="3" t="n">
        <v>6056</v>
      </c>
      <c r="B6057" s="3" t="n">
        <v>6055</v>
      </c>
      <c r="C6057" s="3" t="n">
        <v>7</v>
      </c>
      <c r="D6057" s="3" t="n">
        <v>20</v>
      </c>
      <c r="E6057" s="3" t="n">
        <v>7</v>
      </c>
      <c r="F6057" s="24" t="n">
        <v>0</v>
      </c>
    </row>
    <row r="6058" customFormat="false" ht="15" hidden="false" customHeight="false" outlineLevel="0" collapsed="false">
      <c r="A6058" s="3" t="n">
        <v>6057</v>
      </c>
      <c r="B6058" s="3" t="n">
        <v>6056</v>
      </c>
      <c r="C6058" s="3" t="n">
        <v>7</v>
      </c>
      <c r="D6058" s="3" t="n">
        <v>20</v>
      </c>
      <c r="E6058" s="3" t="n">
        <v>8</v>
      </c>
      <c r="F6058" s="24" t="n">
        <v>0</v>
      </c>
    </row>
    <row r="6059" customFormat="false" ht="15" hidden="false" customHeight="false" outlineLevel="0" collapsed="false">
      <c r="A6059" s="3" t="n">
        <v>6058</v>
      </c>
      <c r="B6059" s="3" t="n">
        <v>6057</v>
      </c>
      <c r="C6059" s="3" t="n">
        <v>7</v>
      </c>
      <c r="D6059" s="3" t="n">
        <v>20</v>
      </c>
      <c r="E6059" s="3" t="n">
        <v>9</v>
      </c>
      <c r="F6059" s="24" t="n">
        <v>0</v>
      </c>
    </row>
    <row r="6060" customFormat="false" ht="15" hidden="false" customHeight="false" outlineLevel="0" collapsed="false">
      <c r="A6060" s="3" t="n">
        <v>6059</v>
      </c>
      <c r="B6060" s="3" t="n">
        <v>6058</v>
      </c>
      <c r="C6060" s="3" t="n">
        <v>7</v>
      </c>
      <c r="D6060" s="3" t="n">
        <v>20</v>
      </c>
      <c r="E6060" s="3" t="n">
        <v>10</v>
      </c>
      <c r="F6060" s="24" t="n">
        <v>0</v>
      </c>
    </row>
    <row r="6061" customFormat="false" ht="15" hidden="false" customHeight="false" outlineLevel="0" collapsed="false">
      <c r="A6061" s="3" t="n">
        <v>6060</v>
      </c>
      <c r="B6061" s="3" t="n">
        <v>6059</v>
      </c>
      <c r="C6061" s="3" t="n">
        <v>7</v>
      </c>
      <c r="D6061" s="3" t="n">
        <v>20</v>
      </c>
      <c r="E6061" s="3" t="n">
        <v>11</v>
      </c>
      <c r="F6061" s="24" t="n">
        <v>0</v>
      </c>
    </row>
    <row r="6062" customFormat="false" ht="15" hidden="false" customHeight="false" outlineLevel="0" collapsed="false">
      <c r="A6062" s="3" t="n">
        <v>6061</v>
      </c>
      <c r="B6062" s="3" t="n">
        <v>6060</v>
      </c>
      <c r="C6062" s="3" t="n">
        <v>7</v>
      </c>
      <c r="D6062" s="3" t="n">
        <v>20</v>
      </c>
      <c r="E6062" s="3" t="n">
        <v>12</v>
      </c>
      <c r="F6062" s="24" t="n">
        <v>0</v>
      </c>
    </row>
    <row r="6063" customFormat="false" ht="15" hidden="false" customHeight="false" outlineLevel="0" collapsed="false">
      <c r="A6063" s="3" t="n">
        <v>6062</v>
      </c>
      <c r="B6063" s="3" t="n">
        <v>6061</v>
      </c>
      <c r="C6063" s="3" t="n">
        <v>7</v>
      </c>
      <c r="D6063" s="3" t="n">
        <v>20</v>
      </c>
      <c r="E6063" s="3" t="n">
        <v>13</v>
      </c>
      <c r="F6063" s="24" t="n">
        <v>0</v>
      </c>
    </row>
    <row r="6064" customFormat="false" ht="15" hidden="false" customHeight="false" outlineLevel="0" collapsed="false">
      <c r="A6064" s="3" t="n">
        <v>6063</v>
      </c>
      <c r="B6064" s="3" t="n">
        <v>6062</v>
      </c>
      <c r="C6064" s="3" t="n">
        <v>7</v>
      </c>
      <c r="D6064" s="3" t="n">
        <v>20</v>
      </c>
      <c r="E6064" s="3" t="n">
        <v>14</v>
      </c>
      <c r="F6064" s="24" t="n">
        <v>0.458800197</v>
      </c>
    </row>
    <row r="6065" customFormat="false" ht="15" hidden="false" customHeight="false" outlineLevel="0" collapsed="false">
      <c r="A6065" s="3" t="n">
        <v>6064</v>
      </c>
      <c r="B6065" s="3" t="n">
        <v>6063</v>
      </c>
      <c r="C6065" s="3" t="n">
        <v>7</v>
      </c>
      <c r="D6065" s="3" t="n">
        <v>20</v>
      </c>
      <c r="E6065" s="3" t="n">
        <v>15</v>
      </c>
      <c r="F6065" s="24" t="n">
        <v>1.72569275</v>
      </c>
    </row>
    <row r="6066" customFormat="false" ht="15" hidden="false" customHeight="false" outlineLevel="0" collapsed="false">
      <c r="A6066" s="3" t="n">
        <v>6065</v>
      </c>
      <c r="B6066" s="3" t="n">
        <v>6064</v>
      </c>
      <c r="C6066" s="3" t="n">
        <v>7</v>
      </c>
      <c r="D6066" s="3" t="n">
        <v>20</v>
      </c>
      <c r="E6066" s="3" t="n">
        <v>16</v>
      </c>
      <c r="F6066" s="24" t="n">
        <v>2.43575597</v>
      </c>
    </row>
    <row r="6067" customFormat="false" ht="15" hidden="false" customHeight="false" outlineLevel="0" collapsed="false">
      <c r="A6067" s="3" t="n">
        <v>6066</v>
      </c>
      <c r="B6067" s="3" t="n">
        <v>6065</v>
      </c>
      <c r="C6067" s="3" t="n">
        <v>7</v>
      </c>
      <c r="D6067" s="3" t="n">
        <v>20</v>
      </c>
      <c r="E6067" s="3" t="n">
        <v>17</v>
      </c>
      <c r="F6067" s="24" t="n">
        <v>0.681977868</v>
      </c>
    </row>
    <row r="6068" customFormat="false" ht="15" hidden="false" customHeight="false" outlineLevel="0" collapsed="false">
      <c r="A6068" s="3" t="n">
        <v>6067</v>
      </c>
      <c r="B6068" s="3" t="n">
        <v>6066</v>
      </c>
      <c r="C6068" s="3" t="n">
        <v>7</v>
      </c>
      <c r="D6068" s="3" t="n">
        <v>20</v>
      </c>
      <c r="E6068" s="3" t="n">
        <v>18</v>
      </c>
      <c r="F6068" s="24" t="n">
        <v>0</v>
      </c>
    </row>
    <row r="6069" customFormat="false" ht="15" hidden="false" customHeight="false" outlineLevel="0" collapsed="false">
      <c r="A6069" s="3" t="n">
        <v>6068</v>
      </c>
      <c r="B6069" s="3" t="n">
        <v>6067</v>
      </c>
      <c r="C6069" s="3" t="n">
        <v>7</v>
      </c>
      <c r="D6069" s="3" t="n">
        <v>20</v>
      </c>
      <c r="E6069" s="3" t="n">
        <v>19</v>
      </c>
      <c r="F6069" s="24" t="n">
        <v>0</v>
      </c>
    </row>
    <row r="6070" customFormat="false" ht="15" hidden="false" customHeight="false" outlineLevel="0" collapsed="false">
      <c r="A6070" s="3" t="n">
        <v>6069</v>
      </c>
      <c r="B6070" s="3" t="n">
        <v>6068</v>
      </c>
      <c r="C6070" s="3" t="n">
        <v>7</v>
      </c>
      <c r="D6070" s="3" t="n">
        <v>20</v>
      </c>
      <c r="E6070" s="3" t="n">
        <v>20</v>
      </c>
      <c r="F6070" s="24" t="n">
        <v>0</v>
      </c>
    </row>
    <row r="6071" customFormat="false" ht="15" hidden="false" customHeight="false" outlineLevel="0" collapsed="false">
      <c r="A6071" s="3" t="n">
        <v>6070</v>
      </c>
      <c r="B6071" s="3" t="n">
        <v>6069</v>
      </c>
      <c r="C6071" s="3" t="n">
        <v>7</v>
      </c>
      <c r="D6071" s="3" t="n">
        <v>20</v>
      </c>
      <c r="E6071" s="3" t="n">
        <v>21</v>
      </c>
      <c r="F6071" s="24" t="n">
        <v>0</v>
      </c>
    </row>
    <row r="6072" customFormat="false" ht="15" hidden="false" customHeight="false" outlineLevel="0" collapsed="false">
      <c r="A6072" s="3" t="n">
        <v>6071</v>
      </c>
      <c r="B6072" s="3" t="n">
        <v>6070</v>
      </c>
      <c r="C6072" s="3" t="n">
        <v>7</v>
      </c>
      <c r="D6072" s="3" t="n">
        <v>20</v>
      </c>
      <c r="E6072" s="3" t="n">
        <v>22</v>
      </c>
      <c r="F6072" s="24" t="n">
        <v>0</v>
      </c>
    </row>
    <row r="6073" customFormat="false" ht="15" hidden="false" customHeight="false" outlineLevel="0" collapsed="false">
      <c r="A6073" s="3" t="n">
        <v>6072</v>
      </c>
      <c r="B6073" s="3" t="n">
        <v>6071</v>
      </c>
      <c r="C6073" s="3" t="n">
        <v>7</v>
      </c>
      <c r="D6073" s="3" t="n">
        <v>20</v>
      </c>
      <c r="E6073" s="3" t="n">
        <v>23</v>
      </c>
      <c r="F6073" s="24" t="n">
        <v>0</v>
      </c>
    </row>
    <row r="6074" customFormat="false" ht="15" hidden="false" customHeight="false" outlineLevel="0" collapsed="false">
      <c r="A6074" s="3" t="n">
        <v>6073</v>
      </c>
      <c r="B6074" s="3" t="n">
        <v>6072</v>
      </c>
      <c r="C6074" s="3" t="n">
        <v>7</v>
      </c>
      <c r="D6074" s="3" t="n">
        <v>20</v>
      </c>
      <c r="E6074" s="3" t="n">
        <v>24</v>
      </c>
      <c r="F6074" s="24" t="n">
        <v>0</v>
      </c>
    </row>
    <row r="6075" customFormat="false" ht="15" hidden="false" customHeight="false" outlineLevel="0" collapsed="false">
      <c r="A6075" s="3" t="n">
        <v>6074</v>
      </c>
      <c r="B6075" s="3" t="n">
        <v>6073</v>
      </c>
      <c r="C6075" s="3" t="n">
        <v>7</v>
      </c>
      <c r="D6075" s="3" t="n">
        <v>20</v>
      </c>
      <c r="E6075" s="3" t="n">
        <v>25</v>
      </c>
      <c r="F6075" s="24" t="n">
        <v>0</v>
      </c>
    </row>
    <row r="6076" customFormat="false" ht="15" hidden="false" customHeight="false" outlineLevel="0" collapsed="false">
      <c r="A6076" s="3" t="n">
        <v>6075</v>
      </c>
      <c r="B6076" s="3" t="n">
        <v>6074</v>
      </c>
      <c r="C6076" s="3" t="n">
        <v>7</v>
      </c>
      <c r="D6076" s="3" t="n">
        <v>20</v>
      </c>
      <c r="E6076" s="3" t="n">
        <v>26</v>
      </c>
      <c r="F6076" s="24" t="n">
        <v>0</v>
      </c>
    </row>
    <row r="6077" customFormat="false" ht="15" hidden="false" customHeight="false" outlineLevel="0" collapsed="false">
      <c r="A6077" s="3" t="n">
        <v>6076</v>
      </c>
      <c r="B6077" s="3" t="n">
        <v>6075</v>
      </c>
      <c r="C6077" s="3" t="n">
        <v>7</v>
      </c>
      <c r="D6077" s="3" t="n">
        <v>20</v>
      </c>
      <c r="E6077" s="3" t="n">
        <v>27</v>
      </c>
      <c r="F6077" s="24" t="n">
        <v>0</v>
      </c>
    </row>
    <row r="6078" customFormat="false" ht="15" hidden="false" customHeight="false" outlineLevel="0" collapsed="false">
      <c r="A6078" s="3" t="n">
        <v>6077</v>
      </c>
      <c r="B6078" s="3" t="n">
        <v>6076</v>
      </c>
      <c r="C6078" s="3" t="n">
        <v>7</v>
      </c>
      <c r="D6078" s="3" t="n">
        <v>21</v>
      </c>
      <c r="E6078" s="3" t="n">
        <v>0</v>
      </c>
      <c r="F6078" s="24" t="n">
        <v>0.259080142</v>
      </c>
    </row>
    <row r="6079" customFormat="false" ht="15" hidden="false" customHeight="false" outlineLevel="0" collapsed="false">
      <c r="A6079" s="3" t="n">
        <v>6078</v>
      </c>
      <c r="B6079" s="3" t="n">
        <v>6077</v>
      </c>
      <c r="C6079" s="3" t="n">
        <v>7</v>
      </c>
      <c r="D6079" s="3" t="n">
        <v>21</v>
      </c>
      <c r="E6079" s="3" t="n">
        <v>1</v>
      </c>
      <c r="F6079" s="24" t="n">
        <v>0</v>
      </c>
    </row>
    <row r="6080" customFormat="false" ht="15" hidden="false" customHeight="false" outlineLevel="0" collapsed="false">
      <c r="A6080" s="3" t="n">
        <v>6079</v>
      </c>
      <c r="B6080" s="3" t="n">
        <v>6078</v>
      </c>
      <c r="C6080" s="3" t="n">
        <v>7</v>
      </c>
      <c r="D6080" s="3" t="n">
        <v>21</v>
      </c>
      <c r="E6080" s="3" t="n">
        <v>2</v>
      </c>
      <c r="F6080" s="24" t="n">
        <v>0</v>
      </c>
    </row>
    <row r="6081" customFormat="false" ht="15" hidden="false" customHeight="false" outlineLevel="0" collapsed="false">
      <c r="A6081" s="3" t="n">
        <v>6080</v>
      </c>
      <c r="B6081" s="3" t="n">
        <v>6079</v>
      </c>
      <c r="C6081" s="3" t="n">
        <v>7</v>
      </c>
      <c r="D6081" s="3" t="n">
        <v>21</v>
      </c>
      <c r="E6081" s="3" t="n">
        <v>3</v>
      </c>
      <c r="F6081" s="24" t="n">
        <v>0</v>
      </c>
    </row>
    <row r="6082" customFormat="false" ht="15" hidden="false" customHeight="false" outlineLevel="0" collapsed="false">
      <c r="A6082" s="3" t="n">
        <v>6081</v>
      </c>
      <c r="B6082" s="3" t="n">
        <v>6080</v>
      </c>
      <c r="C6082" s="3" t="n">
        <v>7</v>
      </c>
      <c r="D6082" s="3" t="n">
        <v>21</v>
      </c>
      <c r="E6082" s="3" t="n">
        <v>4</v>
      </c>
      <c r="F6082" s="24" t="n">
        <v>0</v>
      </c>
    </row>
    <row r="6083" customFormat="false" ht="15" hidden="false" customHeight="false" outlineLevel="0" collapsed="false">
      <c r="A6083" s="3" t="n">
        <v>6082</v>
      </c>
      <c r="B6083" s="3" t="n">
        <v>6081</v>
      </c>
      <c r="C6083" s="3" t="n">
        <v>7</v>
      </c>
      <c r="D6083" s="3" t="n">
        <v>21</v>
      </c>
      <c r="E6083" s="3" t="n">
        <v>5</v>
      </c>
      <c r="F6083" s="24" t="n">
        <v>0</v>
      </c>
    </row>
    <row r="6084" customFormat="false" ht="15" hidden="false" customHeight="false" outlineLevel="0" collapsed="false">
      <c r="A6084" s="3" t="n">
        <v>6083</v>
      </c>
      <c r="B6084" s="3" t="n">
        <v>6082</v>
      </c>
      <c r="C6084" s="3" t="n">
        <v>7</v>
      </c>
      <c r="D6084" s="3" t="n">
        <v>21</v>
      </c>
      <c r="E6084" s="3" t="n">
        <v>6</v>
      </c>
      <c r="F6084" s="24" t="n">
        <v>0</v>
      </c>
    </row>
    <row r="6085" customFormat="false" ht="15" hidden="false" customHeight="false" outlineLevel="0" collapsed="false">
      <c r="A6085" s="3" t="n">
        <v>6084</v>
      </c>
      <c r="B6085" s="3" t="n">
        <v>6083</v>
      </c>
      <c r="C6085" s="3" t="n">
        <v>7</v>
      </c>
      <c r="D6085" s="3" t="n">
        <v>21</v>
      </c>
      <c r="E6085" s="3" t="n">
        <v>7</v>
      </c>
      <c r="F6085" s="24" t="n">
        <v>0</v>
      </c>
    </row>
    <row r="6086" customFormat="false" ht="15" hidden="false" customHeight="false" outlineLevel="0" collapsed="false">
      <c r="A6086" s="3" t="n">
        <v>6085</v>
      </c>
      <c r="B6086" s="3" t="n">
        <v>6084</v>
      </c>
      <c r="C6086" s="3" t="n">
        <v>7</v>
      </c>
      <c r="D6086" s="3" t="n">
        <v>21</v>
      </c>
      <c r="E6086" s="3" t="n">
        <v>8</v>
      </c>
      <c r="F6086" s="24" t="n">
        <v>0</v>
      </c>
    </row>
    <row r="6087" customFormat="false" ht="15" hidden="false" customHeight="false" outlineLevel="0" collapsed="false">
      <c r="A6087" s="3" t="n">
        <v>6086</v>
      </c>
      <c r="B6087" s="3" t="n">
        <v>6085</v>
      </c>
      <c r="C6087" s="3" t="n">
        <v>7</v>
      </c>
      <c r="D6087" s="3" t="n">
        <v>21</v>
      </c>
      <c r="E6087" s="3" t="n">
        <v>9</v>
      </c>
      <c r="F6087" s="24" t="n">
        <v>0</v>
      </c>
    </row>
    <row r="6088" customFormat="false" ht="15" hidden="false" customHeight="false" outlineLevel="0" collapsed="false">
      <c r="A6088" s="3" t="n">
        <v>6087</v>
      </c>
      <c r="B6088" s="3" t="n">
        <v>6086</v>
      </c>
      <c r="C6088" s="3" t="n">
        <v>7</v>
      </c>
      <c r="D6088" s="3" t="n">
        <v>21</v>
      </c>
      <c r="E6088" s="3" t="n">
        <v>10</v>
      </c>
      <c r="F6088" s="24" t="n">
        <v>0</v>
      </c>
    </row>
    <row r="6089" customFormat="false" ht="15" hidden="false" customHeight="false" outlineLevel="0" collapsed="false">
      <c r="A6089" s="3" t="n">
        <v>6088</v>
      </c>
      <c r="B6089" s="3" t="n">
        <v>6087</v>
      </c>
      <c r="C6089" s="3" t="n">
        <v>7</v>
      </c>
      <c r="D6089" s="3" t="n">
        <v>21</v>
      </c>
      <c r="E6089" s="3" t="n">
        <v>11</v>
      </c>
      <c r="F6089" s="24" t="n">
        <v>0.284299165</v>
      </c>
    </row>
    <row r="6090" customFormat="false" ht="15" hidden="false" customHeight="false" outlineLevel="0" collapsed="false">
      <c r="A6090" s="3" t="n">
        <v>6089</v>
      </c>
      <c r="B6090" s="3" t="n">
        <v>6088</v>
      </c>
      <c r="C6090" s="3" t="n">
        <v>7</v>
      </c>
      <c r="D6090" s="3" t="n">
        <v>21</v>
      </c>
      <c r="E6090" s="3" t="n">
        <v>12</v>
      </c>
      <c r="F6090" s="24" t="n">
        <v>0</v>
      </c>
    </row>
    <row r="6091" customFormat="false" ht="15" hidden="false" customHeight="false" outlineLevel="0" collapsed="false">
      <c r="A6091" s="3" t="n">
        <v>6090</v>
      </c>
      <c r="B6091" s="3" t="n">
        <v>6089</v>
      </c>
      <c r="C6091" s="3" t="n">
        <v>7</v>
      </c>
      <c r="D6091" s="3" t="n">
        <v>21</v>
      </c>
      <c r="E6091" s="3" t="n">
        <v>13</v>
      </c>
      <c r="F6091" s="24" t="n">
        <v>0</v>
      </c>
    </row>
    <row r="6092" customFormat="false" ht="15" hidden="false" customHeight="false" outlineLevel="0" collapsed="false">
      <c r="A6092" s="3" t="n">
        <v>6091</v>
      </c>
      <c r="B6092" s="3" t="n">
        <v>6090</v>
      </c>
      <c r="C6092" s="3" t="n">
        <v>7</v>
      </c>
      <c r="D6092" s="3" t="n">
        <v>21</v>
      </c>
      <c r="E6092" s="3" t="n">
        <v>14</v>
      </c>
      <c r="F6092" s="24" t="n">
        <v>1.28912115</v>
      </c>
    </row>
    <row r="6093" customFormat="false" ht="15" hidden="false" customHeight="false" outlineLevel="0" collapsed="false">
      <c r="A6093" s="3" t="n">
        <v>6092</v>
      </c>
      <c r="B6093" s="3" t="n">
        <v>6091</v>
      </c>
      <c r="C6093" s="3" t="n">
        <v>7</v>
      </c>
      <c r="D6093" s="3" t="n">
        <v>21</v>
      </c>
      <c r="E6093" s="3" t="n">
        <v>15</v>
      </c>
      <c r="F6093" s="24" t="n">
        <v>2.46071053</v>
      </c>
    </row>
    <row r="6094" customFormat="false" ht="15" hidden="false" customHeight="false" outlineLevel="0" collapsed="false">
      <c r="A6094" s="3" t="n">
        <v>6093</v>
      </c>
      <c r="B6094" s="3" t="n">
        <v>6092</v>
      </c>
      <c r="C6094" s="3" t="n">
        <v>7</v>
      </c>
      <c r="D6094" s="3" t="n">
        <v>21</v>
      </c>
      <c r="E6094" s="3" t="n">
        <v>16</v>
      </c>
      <c r="F6094" s="24" t="n">
        <v>1.18316269</v>
      </c>
    </row>
    <row r="6095" customFormat="false" ht="15" hidden="false" customHeight="false" outlineLevel="0" collapsed="false">
      <c r="A6095" s="3" t="n">
        <v>6094</v>
      </c>
      <c r="B6095" s="3" t="n">
        <v>6093</v>
      </c>
      <c r="C6095" s="3" t="n">
        <v>7</v>
      </c>
      <c r="D6095" s="3" t="n">
        <v>21</v>
      </c>
      <c r="E6095" s="3" t="n">
        <v>17</v>
      </c>
      <c r="F6095" s="24" t="n">
        <v>0.0443314314</v>
      </c>
    </row>
    <row r="6096" customFormat="false" ht="15" hidden="false" customHeight="false" outlineLevel="0" collapsed="false">
      <c r="A6096" s="3" t="n">
        <v>6095</v>
      </c>
      <c r="B6096" s="3" t="n">
        <v>6094</v>
      </c>
      <c r="C6096" s="3" t="n">
        <v>7</v>
      </c>
      <c r="D6096" s="3" t="n">
        <v>21</v>
      </c>
      <c r="E6096" s="3" t="n">
        <v>18</v>
      </c>
      <c r="F6096" s="24" t="n">
        <v>0</v>
      </c>
    </row>
    <row r="6097" customFormat="false" ht="15" hidden="false" customHeight="false" outlineLevel="0" collapsed="false">
      <c r="A6097" s="3" t="n">
        <v>6096</v>
      </c>
      <c r="B6097" s="3" t="n">
        <v>6095</v>
      </c>
      <c r="C6097" s="3" t="n">
        <v>7</v>
      </c>
      <c r="D6097" s="3" t="n">
        <v>21</v>
      </c>
      <c r="E6097" s="3" t="n">
        <v>19</v>
      </c>
      <c r="F6097" s="24" t="n">
        <v>0</v>
      </c>
    </row>
    <row r="6098" customFormat="false" ht="15" hidden="false" customHeight="false" outlineLevel="0" collapsed="false">
      <c r="A6098" s="3" t="n">
        <v>6097</v>
      </c>
      <c r="B6098" s="3" t="n">
        <v>6096</v>
      </c>
      <c r="C6098" s="3" t="n">
        <v>7</v>
      </c>
      <c r="D6098" s="3" t="n">
        <v>21</v>
      </c>
      <c r="E6098" s="3" t="n">
        <v>20</v>
      </c>
      <c r="F6098" s="24" t="n">
        <v>0</v>
      </c>
    </row>
    <row r="6099" customFormat="false" ht="15" hidden="false" customHeight="false" outlineLevel="0" collapsed="false">
      <c r="A6099" s="3" t="n">
        <v>6098</v>
      </c>
      <c r="B6099" s="3" t="n">
        <v>6097</v>
      </c>
      <c r="C6099" s="3" t="n">
        <v>7</v>
      </c>
      <c r="D6099" s="3" t="n">
        <v>21</v>
      </c>
      <c r="E6099" s="3" t="n">
        <v>21</v>
      </c>
      <c r="F6099" s="24" t="n">
        <v>0</v>
      </c>
    </row>
    <row r="6100" customFormat="false" ht="15" hidden="false" customHeight="false" outlineLevel="0" collapsed="false">
      <c r="A6100" s="3" t="n">
        <v>6099</v>
      </c>
      <c r="B6100" s="3" t="n">
        <v>6098</v>
      </c>
      <c r="C6100" s="3" t="n">
        <v>7</v>
      </c>
      <c r="D6100" s="3" t="n">
        <v>21</v>
      </c>
      <c r="E6100" s="3" t="n">
        <v>22</v>
      </c>
      <c r="F6100" s="24" t="n">
        <v>0</v>
      </c>
    </row>
    <row r="6101" customFormat="false" ht="15" hidden="false" customHeight="false" outlineLevel="0" collapsed="false">
      <c r="A6101" s="3" t="n">
        <v>6100</v>
      </c>
      <c r="B6101" s="3" t="n">
        <v>6099</v>
      </c>
      <c r="C6101" s="3" t="n">
        <v>7</v>
      </c>
      <c r="D6101" s="3" t="n">
        <v>21</v>
      </c>
      <c r="E6101" s="3" t="n">
        <v>23</v>
      </c>
      <c r="F6101" s="24" t="n">
        <v>0</v>
      </c>
    </row>
    <row r="6102" customFormat="false" ht="15" hidden="false" customHeight="false" outlineLevel="0" collapsed="false">
      <c r="A6102" s="3" t="n">
        <v>6101</v>
      </c>
      <c r="B6102" s="3" t="n">
        <v>6100</v>
      </c>
      <c r="C6102" s="3" t="n">
        <v>7</v>
      </c>
      <c r="D6102" s="3" t="n">
        <v>21</v>
      </c>
      <c r="E6102" s="3" t="n">
        <v>24</v>
      </c>
      <c r="F6102" s="24" t="n">
        <v>0</v>
      </c>
    </row>
    <row r="6103" customFormat="false" ht="15" hidden="false" customHeight="false" outlineLevel="0" collapsed="false">
      <c r="A6103" s="3" t="n">
        <v>6102</v>
      </c>
      <c r="B6103" s="3" t="n">
        <v>6101</v>
      </c>
      <c r="C6103" s="3" t="n">
        <v>7</v>
      </c>
      <c r="D6103" s="3" t="n">
        <v>21</v>
      </c>
      <c r="E6103" s="3" t="n">
        <v>25</v>
      </c>
      <c r="F6103" s="24" t="n">
        <v>0</v>
      </c>
    </row>
    <row r="6104" customFormat="false" ht="15" hidden="false" customHeight="false" outlineLevel="0" collapsed="false">
      <c r="A6104" s="3" t="n">
        <v>6103</v>
      </c>
      <c r="B6104" s="3" t="n">
        <v>6102</v>
      </c>
      <c r="C6104" s="3" t="n">
        <v>7</v>
      </c>
      <c r="D6104" s="3" t="n">
        <v>21</v>
      </c>
      <c r="E6104" s="3" t="n">
        <v>26</v>
      </c>
      <c r="F6104" s="24" t="n">
        <v>0</v>
      </c>
    </row>
    <row r="6105" customFormat="false" ht="15" hidden="false" customHeight="false" outlineLevel="0" collapsed="false">
      <c r="A6105" s="3" t="n">
        <v>6104</v>
      </c>
      <c r="B6105" s="3" t="n">
        <v>6103</v>
      </c>
      <c r="C6105" s="3" t="n">
        <v>7</v>
      </c>
      <c r="D6105" s="3" t="n">
        <v>21</v>
      </c>
      <c r="E6105" s="3" t="n">
        <v>27</v>
      </c>
      <c r="F6105" s="24" t="n">
        <v>0</v>
      </c>
    </row>
    <row r="6106" customFormat="false" ht="15" hidden="false" customHeight="false" outlineLevel="0" collapsed="false">
      <c r="A6106" s="3" t="n">
        <v>6105</v>
      </c>
      <c r="B6106" s="3" t="n">
        <v>6104</v>
      </c>
      <c r="C6106" s="3" t="n">
        <v>7</v>
      </c>
      <c r="D6106" s="3" t="n">
        <v>22</v>
      </c>
      <c r="E6106" s="3" t="n">
        <v>0</v>
      </c>
      <c r="F6106" s="24" t="n">
        <v>0.259080142</v>
      </c>
    </row>
    <row r="6107" customFormat="false" ht="15" hidden="false" customHeight="false" outlineLevel="0" collapsed="false">
      <c r="A6107" s="3" t="n">
        <v>6106</v>
      </c>
      <c r="B6107" s="3" t="n">
        <v>6105</v>
      </c>
      <c r="C6107" s="3" t="n">
        <v>7</v>
      </c>
      <c r="D6107" s="3" t="n">
        <v>22</v>
      </c>
      <c r="E6107" s="3" t="n">
        <v>1</v>
      </c>
      <c r="F6107" s="24" t="n">
        <v>0</v>
      </c>
    </row>
    <row r="6108" customFormat="false" ht="15" hidden="false" customHeight="false" outlineLevel="0" collapsed="false">
      <c r="A6108" s="3" t="n">
        <v>6107</v>
      </c>
      <c r="B6108" s="3" t="n">
        <v>6106</v>
      </c>
      <c r="C6108" s="3" t="n">
        <v>7</v>
      </c>
      <c r="D6108" s="3" t="n">
        <v>22</v>
      </c>
      <c r="E6108" s="3" t="n">
        <v>2</v>
      </c>
      <c r="F6108" s="24" t="n">
        <v>0</v>
      </c>
    </row>
    <row r="6109" customFormat="false" ht="15" hidden="false" customHeight="false" outlineLevel="0" collapsed="false">
      <c r="A6109" s="3" t="n">
        <v>6108</v>
      </c>
      <c r="B6109" s="3" t="n">
        <v>6107</v>
      </c>
      <c r="C6109" s="3" t="n">
        <v>7</v>
      </c>
      <c r="D6109" s="3" t="n">
        <v>22</v>
      </c>
      <c r="E6109" s="3" t="n">
        <v>3</v>
      </c>
      <c r="F6109" s="24" t="n">
        <v>0</v>
      </c>
    </row>
    <row r="6110" customFormat="false" ht="15" hidden="false" customHeight="false" outlineLevel="0" collapsed="false">
      <c r="A6110" s="3" t="n">
        <v>6109</v>
      </c>
      <c r="B6110" s="3" t="n">
        <v>6108</v>
      </c>
      <c r="C6110" s="3" t="n">
        <v>7</v>
      </c>
      <c r="D6110" s="3" t="n">
        <v>22</v>
      </c>
      <c r="E6110" s="3" t="n">
        <v>4</v>
      </c>
      <c r="F6110" s="24" t="n">
        <v>0</v>
      </c>
    </row>
    <row r="6111" customFormat="false" ht="15" hidden="false" customHeight="false" outlineLevel="0" collapsed="false">
      <c r="A6111" s="3" t="n">
        <v>6110</v>
      </c>
      <c r="B6111" s="3" t="n">
        <v>6109</v>
      </c>
      <c r="C6111" s="3" t="n">
        <v>7</v>
      </c>
      <c r="D6111" s="3" t="n">
        <v>22</v>
      </c>
      <c r="E6111" s="3" t="n">
        <v>5</v>
      </c>
      <c r="F6111" s="24" t="n">
        <v>0</v>
      </c>
    </row>
    <row r="6112" customFormat="false" ht="15" hidden="false" customHeight="false" outlineLevel="0" collapsed="false">
      <c r="A6112" s="3" t="n">
        <v>6111</v>
      </c>
      <c r="B6112" s="3" t="n">
        <v>6110</v>
      </c>
      <c r="C6112" s="3" t="n">
        <v>7</v>
      </c>
      <c r="D6112" s="3" t="n">
        <v>22</v>
      </c>
      <c r="E6112" s="3" t="n">
        <v>6</v>
      </c>
      <c r="F6112" s="24" t="n">
        <v>0</v>
      </c>
    </row>
    <row r="6113" customFormat="false" ht="15" hidden="false" customHeight="false" outlineLevel="0" collapsed="false">
      <c r="A6113" s="3" t="n">
        <v>6112</v>
      </c>
      <c r="B6113" s="3" t="n">
        <v>6111</v>
      </c>
      <c r="C6113" s="3" t="n">
        <v>7</v>
      </c>
      <c r="D6113" s="3" t="n">
        <v>22</v>
      </c>
      <c r="E6113" s="3" t="n">
        <v>7</v>
      </c>
      <c r="F6113" s="24" t="n">
        <v>0</v>
      </c>
    </row>
    <row r="6114" customFormat="false" ht="15" hidden="false" customHeight="false" outlineLevel="0" collapsed="false">
      <c r="A6114" s="3" t="n">
        <v>6113</v>
      </c>
      <c r="B6114" s="3" t="n">
        <v>6112</v>
      </c>
      <c r="C6114" s="3" t="n">
        <v>7</v>
      </c>
      <c r="D6114" s="3" t="n">
        <v>22</v>
      </c>
      <c r="E6114" s="3" t="n">
        <v>8</v>
      </c>
      <c r="F6114" s="24" t="n">
        <v>0</v>
      </c>
    </row>
    <row r="6115" customFormat="false" ht="15" hidden="false" customHeight="false" outlineLevel="0" collapsed="false">
      <c r="A6115" s="3" t="n">
        <v>6114</v>
      </c>
      <c r="B6115" s="3" t="n">
        <v>6113</v>
      </c>
      <c r="C6115" s="3" t="n">
        <v>7</v>
      </c>
      <c r="D6115" s="3" t="n">
        <v>22</v>
      </c>
      <c r="E6115" s="3" t="n">
        <v>9</v>
      </c>
      <c r="F6115" s="24" t="n">
        <v>0</v>
      </c>
    </row>
    <row r="6116" customFormat="false" ht="15" hidden="false" customHeight="false" outlineLevel="0" collapsed="false">
      <c r="A6116" s="3" t="n">
        <v>6115</v>
      </c>
      <c r="B6116" s="3" t="n">
        <v>6114</v>
      </c>
      <c r="C6116" s="3" t="n">
        <v>7</v>
      </c>
      <c r="D6116" s="3" t="n">
        <v>22</v>
      </c>
      <c r="E6116" s="3" t="n">
        <v>10</v>
      </c>
      <c r="F6116" s="24" t="n">
        <v>0</v>
      </c>
    </row>
    <row r="6117" customFormat="false" ht="15" hidden="false" customHeight="false" outlineLevel="0" collapsed="false">
      <c r="A6117" s="3" t="n">
        <v>6116</v>
      </c>
      <c r="B6117" s="3" t="n">
        <v>6115</v>
      </c>
      <c r="C6117" s="3" t="n">
        <v>7</v>
      </c>
      <c r="D6117" s="3" t="n">
        <v>22</v>
      </c>
      <c r="E6117" s="3" t="n">
        <v>11</v>
      </c>
      <c r="F6117" s="24" t="n">
        <v>0</v>
      </c>
    </row>
    <row r="6118" customFormat="false" ht="15" hidden="false" customHeight="false" outlineLevel="0" collapsed="false">
      <c r="A6118" s="3" t="n">
        <v>6117</v>
      </c>
      <c r="B6118" s="3" t="n">
        <v>6116</v>
      </c>
      <c r="C6118" s="3" t="n">
        <v>7</v>
      </c>
      <c r="D6118" s="3" t="n">
        <v>22</v>
      </c>
      <c r="E6118" s="3" t="n">
        <v>12</v>
      </c>
      <c r="F6118" s="24" t="n">
        <v>0</v>
      </c>
    </row>
    <row r="6119" customFormat="false" ht="15" hidden="false" customHeight="false" outlineLevel="0" collapsed="false">
      <c r="A6119" s="3" t="n">
        <v>6118</v>
      </c>
      <c r="B6119" s="3" t="n">
        <v>6117</v>
      </c>
      <c r="C6119" s="3" t="n">
        <v>7</v>
      </c>
      <c r="D6119" s="3" t="n">
        <v>22</v>
      </c>
      <c r="E6119" s="3" t="n">
        <v>13</v>
      </c>
      <c r="F6119" s="24" t="n">
        <v>1.35722971</v>
      </c>
    </row>
    <row r="6120" customFormat="false" ht="15" hidden="false" customHeight="false" outlineLevel="0" collapsed="false">
      <c r="A6120" s="3" t="n">
        <v>6119</v>
      </c>
      <c r="B6120" s="3" t="n">
        <v>6118</v>
      </c>
      <c r="C6120" s="3" t="n">
        <v>7</v>
      </c>
      <c r="D6120" s="3" t="n">
        <v>22</v>
      </c>
      <c r="E6120" s="3" t="n">
        <v>14</v>
      </c>
      <c r="F6120" s="24" t="n">
        <v>2.58513951</v>
      </c>
    </row>
    <row r="6121" customFormat="false" ht="15" hidden="false" customHeight="false" outlineLevel="0" collapsed="false">
      <c r="A6121" s="3" t="n">
        <v>6120</v>
      </c>
      <c r="B6121" s="3" t="n">
        <v>6119</v>
      </c>
      <c r="C6121" s="3" t="n">
        <v>7</v>
      </c>
      <c r="D6121" s="3" t="n">
        <v>22</v>
      </c>
      <c r="E6121" s="3" t="n">
        <v>15</v>
      </c>
      <c r="F6121" s="24" t="n">
        <v>1.60475588</v>
      </c>
    </row>
    <row r="6122" customFormat="false" ht="15" hidden="false" customHeight="false" outlineLevel="0" collapsed="false">
      <c r="A6122" s="3" t="n">
        <v>6121</v>
      </c>
      <c r="B6122" s="3" t="n">
        <v>6120</v>
      </c>
      <c r="C6122" s="3" t="n">
        <v>7</v>
      </c>
      <c r="D6122" s="3" t="n">
        <v>22</v>
      </c>
      <c r="E6122" s="3" t="n">
        <v>16</v>
      </c>
      <c r="F6122" s="24" t="n">
        <v>0.179655716</v>
      </c>
    </row>
    <row r="6123" customFormat="false" ht="15" hidden="false" customHeight="false" outlineLevel="0" collapsed="false">
      <c r="A6123" s="3" t="n">
        <v>6122</v>
      </c>
      <c r="B6123" s="3" t="n">
        <v>6121</v>
      </c>
      <c r="C6123" s="3" t="n">
        <v>7</v>
      </c>
      <c r="D6123" s="3" t="n">
        <v>22</v>
      </c>
      <c r="E6123" s="3" t="n">
        <v>17</v>
      </c>
      <c r="F6123" s="24" t="n">
        <v>0</v>
      </c>
    </row>
    <row r="6124" customFormat="false" ht="15" hidden="false" customHeight="false" outlineLevel="0" collapsed="false">
      <c r="A6124" s="3" t="n">
        <v>6123</v>
      </c>
      <c r="B6124" s="3" t="n">
        <v>6122</v>
      </c>
      <c r="C6124" s="3" t="n">
        <v>7</v>
      </c>
      <c r="D6124" s="3" t="n">
        <v>22</v>
      </c>
      <c r="E6124" s="3" t="n">
        <v>18</v>
      </c>
      <c r="F6124" s="24" t="n">
        <v>0</v>
      </c>
    </row>
    <row r="6125" customFormat="false" ht="15" hidden="false" customHeight="false" outlineLevel="0" collapsed="false">
      <c r="A6125" s="3" t="n">
        <v>6124</v>
      </c>
      <c r="B6125" s="3" t="n">
        <v>6123</v>
      </c>
      <c r="C6125" s="3" t="n">
        <v>7</v>
      </c>
      <c r="D6125" s="3" t="n">
        <v>22</v>
      </c>
      <c r="E6125" s="3" t="n">
        <v>19</v>
      </c>
      <c r="F6125" s="24" t="n">
        <v>0</v>
      </c>
    </row>
    <row r="6126" customFormat="false" ht="15" hidden="false" customHeight="false" outlineLevel="0" collapsed="false">
      <c r="A6126" s="3" t="n">
        <v>6125</v>
      </c>
      <c r="B6126" s="3" t="n">
        <v>6124</v>
      </c>
      <c r="C6126" s="3" t="n">
        <v>7</v>
      </c>
      <c r="D6126" s="3" t="n">
        <v>22</v>
      </c>
      <c r="E6126" s="3" t="n">
        <v>20</v>
      </c>
      <c r="F6126" s="24" t="n">
        <v>0</v>
      </c>
    </row>
    <row r="6127" customFormat="false" ht="15" hidden="false" customHeight="false" outlineLevel="0" collapsed="false">
      <c r="A6127" s="3" t="n">
        <v>6126</v>
      </c>
      <c r="B6127" s="3" t="n">
        <v>6125</v>
      </c>
      <c r="C6127" s="3" t="n">
        <v>7</v>
      </c>
      <c r="D6127" s="3" t="n">
        <v>22</v>
      </c>
      <c r="E6127" s="3" t="n">
        <v>21</v>
      </c>
      <c r="F6127" s="24" t="n">
        <v>0</v>
      </c>
    </row>
    <row r="6128" customFormat="false" ht="15" hidden="false" customHeight="false" outlineLevel="0" collapsed="false">
      <c r="A6128" s="3" t="n">
        <v>6127</v>
      </c>
      <c r="B6128" s="3" t="n">
        <v>6126</v>
      </c>
      <c r="C6128" s="3" t="n">
        <v>7</v>
      </c>
      <c r="D6128" s="3" t="n">
        <v>22</v>
      </c>
      <c r="E6128" s="3" t="n">
        <v>22</v>
      </c>
      <c r="F6128" s="24" t="n">
        <v>0</v>
      </c>
    </row>
    <row r="6129" customFormat="false" ht="15" hidden="false" customHeight="false" outlineLevel="0" collapsed="false">
      <c r="A6129" s="3" t="n">
        <v>6128</v>
      </c>
      <c r="B6129" s="3" t="n">
        <v>6127</v>
      </c>
      <c r="C6129" s="3" t="n">
        <v>7</v>
      </c>
      <c r="D6129" s="3" t="n">
        <v>22</v>
      </c>
      <c r="E6129" s="3" t="n">
        <v>23</v>
      </c>
      <c r="F6129" s="24" t="n">
        <v>0</v>
      </c>
    </row>
    <row r="6130" customFormat="false" ht="15" hidden="false" customHeight="false" outlineLevel="0" collapsed="false">
      <c r="A6130" s="3" t="n">
        <v>6129</v>
      </c>
      <c r="B6130" s="3" t="n">
        <v>6128</v>
      </c>
      <c r="C6130" s="3" t="n">
        <v>7</v>
      </c>
      <c r="D6130" s="3" t="n">
        <v>22</v>
      </c>
      <c r="E6130" s="3" t="n">
        <v>24</v>
      </c>
      <c r="F6130" s="24" t="n">
        <v>0</v>
      </c>
    </row>
    <row r="6131" customFormat="false" ht="15" hidden="false" customHeight="false" outlineLevel="0" collapsed="false">
      <c r="A6131" s="3" t="n">
        <v>6130</v>
      </c>
      <c r="B6131" s="3" t="n">
        <v>6129</v>
      </c>
      <c r="C6131" s="3" t="n">
        <v>7</v>
      </c>
      <c r="D6131" s="3" t="n">
        <v>22</v>
      </c>
      <c r="E6131" s="3" t="n">
        <v>25</v>
      </c>
      <c r="F6131" s="24" t="n">
        <v>0</v>
      </c>
    </row>
    <row r="6132" customFormat="false" ht="15" hidden="false" customHeight="false" outlineLevel="0" collapsed="false">
      <c r="A6132" s="3" t="n">
        <v>6131</v>
      </c>
      <c r="B6132" s="3" t="n">
        <v>6130</v>
      </c>
      <c r="C6132" s="3" t="n">
        <v>7</v>
      </c>
      <c r="D6132" s="3" t="n">
        <v>22</v>
      </c>
      <c r="E6132" s="3" t="n">
        <v>26</v>
      </c>
      <c r="F6132" s="24" t="n">
        <v>0</v>
      </c>
    </row>
    <row r="6133" customFormat="false" ht="15" hidden="false" customHeight="false" outlineLevel="0" collapsed="false">
      <c r="A6133" s="3" t="n">
        <v>6132</v>
      </c>
      <c r="B6133" s="3" t="n">
        <v>6131</v>
      </c>
      <c r="C6133" s="3" t="n">
        <v>7</v>
      </c>
      <c r="D6133" s="3" t="n">
        <v>22</v>
      </c>
      <c r="E6133" s="3" t="n">
        <v>27</v>
      </c>
      <c r="F6133" s="24" t="n">
        <v>0</v>
      </c>
    </row>
    <row r="6134" customFormat="false" ht="15" hidden="false" customHeight="false" outlineLevel="0" collapsed="false">
      <c r="A6134" s="3" t="n">
        <v>6133</v>
      </c>
      <c r="B6134" s="3" t="n">
        <v>6132</v>
      </c>
      <c r="C6134" s="3" t="n">
        <v>7</v>
      </c>
      <c r="D6134" s="3" t="n">
        <v>23</v>
      </c>
      <c r="E6134" s="3" t="n">
        <v>0</v>
      </c>
      <c r="F6134" s="24" t="n">
        <v>0.259080142</v>
      </c>
    </row>
    <row r="6135" customFormat="false" ht="15" hidden="false" customHeight="false" outlineLevel="0" collapsed="false">
      <c r="A6135" s="3" t="n">
        <v>6134</v>
      </c>
      <c r="B6135" s="3" t="n">
        <v>6133</v>
      </c>
      <c r="C6135" s="3" t="n">
        <v>7</v>
      </c>
      <c r="D6135" s="3" t="n">
        <v>23</v>
      </c>
      <c r="E6135" s="3" t="n">
        <v>1</v>
      </c>
      <c r="F6135" s="24" t="n">
        <v>0</v>
      </c>
    </row>
    <row r="6136" customFormat="false" ht="15" hidden="false" customHeight="false" outlineLevel="0" collapsed="false">
      <c r="A6136" s="3" t="n">
        <v>6135</v>
      </c>
      <c r="B6136" s="3" t="n">
        <v>6134</v>
      </c>
      <c r="C6136" s="3" t="n">
        <v>7</v>
      </c>
      <c r="D6136" s="3" t="n">
        <v>23</v>
      </c>
      <c r="E6136" s="3" t="n">
        <v>2</v>
      </c>
      <c r="F6136" s="24" t="n">
        <v>0</v>
      </c>
    </row>
    <row r="6137" customFormat="false" ht="15" hidden="false" customHeight="false" outlineLevel="0" collapsed="false">
      <c r="A6137" s="3" t="n">
        <v>6136</v>
      </c>
      <c r="B6137" s="3" t="n">
        <v>6135</v>
      </c>
      <c r="C6137" s="3" t="n">
        <v>7</v>
      </c>
      <c r="D6137" s="3" t="n">
        <v>23</v>
      </c>
      <c r="E6137" s="3" t="n">
        <v>3</v>
      </c>
      <c r="F6137" s="24" t="n">
        <v>0</v>
      </c>
    </row>
    <row r="6138" customFormat="false" ht="15" hidden="false" customHeight="false" outlineLevel="0" collapsed="false">
      <c r="A6138" s="3" t="n">
        <v>6137</v>
      </c>
      <c r="B6138" s="3" t="n">
        <v>6136</v>
      </c>
      <c r="C6138" s="3" t="n">
        <v>7</v>
      </c>
      <c r="D6138" s="3" t="n">
        <v>23</v>
      </c>
      <c r="E6138" s="3" t="n">
        <v>4</v>
      </c>
      <c r="F6138" s="24" t="n">
        <v>0</v>
      </c>
    </row>
    <row r="6139" customFormat="false" ht="15" hidden="false" customHeight="false" outlineLevel="0" collapsed="false">
      <c r="A6139" s="3" t="n">
        <v>6138</v>
      </c>
      <c r="B6139" s="3" t="n">
        <v>6137</v>
      </c>
      <c r="C6139" s="3" t="n">
        <v>7</v>
      </c>
      <c r="D6139" s="3" t="n">
        <v>23</v>
      </c>
      <c r="E6139" s="3" t="n">
        <v>5</v>
      </c>
      <c r="F6139" s="24" t="n">
        <v>0</v>
      </c>
    </row>
    <row r="6140" customFormat="false" ht="15" hidden="false" customHeight="false" outlineLevel="0" collapsed="false">
      <c r="A6140" s="3" t="n">
        <v>6139</v>
      </c>
      <c r="B6140" s="3" t="n">
        <v>6138</v>
      </c>
      <c r="C6140" s="3" t="n">
        <v>7</v>
      </c>
      <c r="D6140" s="3" t="n">
        <v>23</v>
      </c>
      <c r="E6140" s="3" t="n">
        <v>6</v>
      </c>
      <c r="F6140" s="24" t="n">
        <v>0</v>
      </c>
    </row>
    <row r="6141" customFormat="false" ht="15" hidden="false" customHeight="false" outlineLevel="0" collapsed="false">
      <c r="A6141" s="3" t="n">
        <v>6140</v>
      </c>
      <c r="B6141" s="3" t="n">
        <v>6139</v>
      </c>
      <c r="C6141" s="3" t="n">
        <v>7</v>
      </c>
      <c r="D6141" s="3" t="n">
        <v>23</v>
      </c>
      <c r="E6141" s="3" t="n">
        <v>7</v>
      </c>
      <c r="F6141" s="24" t="n">
        <v>0</v>
      </c>
    </row>
    <row r="6142" customFormat="false" ht="15" hidden="false" customHeight="false" outlineLevel="0" collapsed="false">
      <c r="A6142" s="3" t="n">
        <v>6141</v>
      </c>
      <c r="B6142" s="3" t="n">
        <v>6140</v>
      </c>
      <c r="C6142" s="3" t="n">
        <v>7</v>
      </c>
      <c r="D6142" s="3" t="n">
        <v>23</v>
      </c>
      <c r="E6142" s="3" t="n">
        <v>8</v>
      </c>
      <c r="F6142" s="24" t="n">
        <v>0</v>
      </c>
    </row>
    <row r="6143" customFormat="false" ht="15" hidden="false" customHeight="false" outlineLevel="0" collapsed="false">
      <c r="A6143" s="3" t="n">
        <v>6142</v>
      </c>
      <c r="B6143" s="3" t="n">
        <v>6141</v>
      </c>
      <c r="C6143" s="3" t="n">
        <v>7</v>
      </c>
      <c r="D6143" s="3" t="n">
        <v>23</v>
      </c>
      <c r="E6143" s="3" t="n">
        <v>9</v>
      </c>
      <c r="F6143" s="24" t="n">
        <v>0.0315847397</v>
      </c>
    </row>
    <row r="6144" customFormat="false" ht="15" hidden="false" customHeight="false" outlineLevel="0" collapsed="false">
      <c r="A6144" s="3" t="n">
        <v>6143</v>
      </c>
      <c r="B6144" s="3" t="n">
        <v>6142</v>
      </c>
      <c r="C6144" s="3" t="n">
        <v>7</v>
      </c>
      <c r="D6144" s="3" t="n">
        <v>23</v>
      </c>
      <c r="E6144" s="3" t="n">
        <v>10</v>
      </c>
      <c r="F6144" s="24" t="n">
        <v>0</v>
      </c>
    </row>
    <row r="6145" customFormat="false" ht="15" hidden="false" customHeight="false" outlineLevel="0" collapsed="false">
      <c r="A6145" s="3" t="n">
        <v>6144</v>
      </c>
      <c r="B6145" s="3" t="n">
        <v>6143</v>
      </c>
      <c r="C6145" s="3" t="n">
        <v>7</v>
      </c>
      <c r="D6145" s="3" t="n">
        <v>23</v>
      </c>
      <c r="E6145" s="3" t="n">
        <v>11</v>
      </c>
      <c r="F6145" s="24" t="n">
        <v>0</v>
      </c>
    </row>
    <row r="6146" customFormat="false" ht="15" hidden="false" customHeight="false" outlineLevel="0" collapsed="false">
      <c r="A6146" s="3" t="n">
        <v>6145</v>
      </c>
      <c r="B6146" s="3" t="n">
        <v>6144</v>
      </c>
      <c r="C6146" s="3" t="n">
        <v>7</v>
      </c>
      <c r="D6146" s="3" t="n">
        <v>23</v>
      </c>
      <c r="E6146" s="3" t="n">
        <v>12</v>
      </c>
      <c r="F6146" s="24" t="n">
        <v>0.0722873062</v>
      </c>
    </row>
    <row r="6147" customFormat="false" ht="15" hidden="false" customHeight="false" outlineLevel="0" collapsed="false">
      <c r="A6147" s="3" t="n">
        <v>6146</v>
      </c>
      <c r="B6147" s="3" t="n">
        <v>6145</v>
      </c>
      <c r="C6147" s="3" t="n">
        <v>7</v>
      </c>
      <c r="D6147" s="3" t="n">
        <v>23</v>
      </c>
      <c r="E6147" s="3" t="n">
        <v>13</v>
      </c>
      <c r="F6147" s="24" t="n">
        <v>3.68651271</v>
      </c>
    </row>
    <row r="6148" customFormat="false" ht="15" hidden="false" customHeight="false" outlineLevel="0" collapsed="false">
      <c r="A6148" s="3" t="n">
        <v>6147</v>
      </c>
      <c r="B6148" s="3" t="n">
        <v>6146</v>
      </c>
      <c r="C6148" s="3" t="n">
        <v>7</v>
      </c>
      <c r="D6148" s="3" t="n">
        <v>23</v>
      </c>
      <c r="E6148" s="3" t="n">
        <v>14</v>
      </c>
      <c r="F6148" s="24" t="n">
        <v>3.01259112</v>
      </c>
    </row>
    <row r="6149" customFormat="false" ht="15" hidden="false" customHeight="false" outlineLevel="0" collapsed="false">
      <c r="A6149" s="3" t="n">
        <v>6148</v>
      </c>
      <c r="B6149" s="3" t="n">
        <v>6147</v>
      </c>
      <c r="C6149" s="3" t="n">
        <v>7</v>
      </c>
      <c r="D6149" s="3" t="n">
        <v>23</v>
      </c>
      <c r="E6149" s="3" t="n">
        <v>15</v>
      </c>
      <c r="F6149" s="24" t="n">
        <v>0.633827567</v>
      </c>
    </row>
    <row r="6150" customFormat="false" ht="15" hidden="false" customHeight="false" outlineLevel="0" collapsed="false">
      <c r="A6150" s="3" t="n">
        <v>6149</v>
      </c>
      <c r="B6150" s="3" t="n">
        <v>6148</v>
      </c>
      <c r="C6150" s="3" t="n">
        <v>7</v>
      </c>
      <c r="D6150" s="3" t="n">
        <v>23</v>
      </c>
      <c r="E6150" s="3" t="n">
        <v>16</v>
      </c>
      <c r="F6150" s="24" t="n">
        <v>0</v>
      </c>
    </row>
    <row r="6151" customFormat="false" ht="15" hidden="false" customHeight="false" outlineLevel="0" collapsed="false">
      <c r="A6151" s="3" t="n">
        <v>6150</v>
      </c>
      <c r="B6151" s="3" t="n">
        <v>6149</v>
      </c>
      <c r="C6151" s="3" t="n">
        <v>7</v>
      </c>
      <c r="D6151" s="3" t="n">
        <v>23</v>
      </c>
      <c r="E6151" s="3" t="n">
        <v>17</v>
      </c>
      <c r="F6151" s="24" t="n">
        <v>0</v>
      </c>
    </row>
    <row r="6152" customFormat="false" ht="15" hidden="false" customHeight="false" outlineLevel="0" collapsed="false">
      <c r="A6152" s="3" t="n">
        <v>6151</v>
      </c>
      <c r="B6152" s="3" t="n">
        <v>6150</v>
      </c>
      <c r="C6152" s="3" t="n">
        <v>7</v>
      </c>
      <c r="D6152" s="3" t="n">
        <v>23</v>
      </c>
      <c r="E6152" s="3" t="n">
        <v>18</v>
      </c>
      <c r="F6152" s="24" t="n">
        <v>0</v>
      </c>
    </row>
    <row r="6153" customFormat="false" ht="15" hidden="false" customHeight="false" outlineLevel="0" collapsed="false">
      <c r="A6153" s="3" t="n">
        <v>6152</v>
      </c>
      <c r="B6153" s="3" t="n">
        <v>6151</v>
      </c>
      <c r="C6153" s="3" t="n">
        <v>7</v>
      </c>
      <c r="D6153" s="3" t="n">
        <v>23</v>
      </c>
      <c r="E6153" s="3" t="n">
        <v>19</v>
      </c>
      <c r="F6153" s="24" t="n">
        <v>0</v>
      </c>
    </row>
    <row r="6154" customFormat="false" ht="15" hidden="false" customHeight="false" outlineLevel="0" collapsed="false">
      <c r="A6154" s="3" t="n">
        <v>6153</v>
      </c>
      <c r="B6154" s="3" t="n">
        <v>6152</v>
      </c>
      <c r="C6154" s="3" t="n">
        <v>7</v>
      </c>
      <c r="D6154" s="3" t="n">
        <v>23</v>
      </c>
      <c r="E6154" s="3" t="n">
        <v>20</v>
      </c>
      <c r="F6154" s="24" t="n">
        <v>0</v>
      </c>
    </row>
    <row r="6155" customFormat="false" ht="15" hidden="false" customHeight="false" outlineLevel="0" collapsed="false">
      <c r="A6155" s="3" t="n">
        <v>6154</v>
      </c>
      <c r="B6155" s="3" t="n">
        <v>6153</v>
      </c>
      <c r="C6155" s="3" t="n">
        <v>7</v>
      </c>
      <c r="D6155" s="3" t="n">
        <v>23</v>
      </c>
      <c r="E6155" s="3" t="n">
        <v>21</v>
      </c>
      <c r="F6155" s="24" t="n">
        <v>0</v>
      </c>
    </row>
    <row r="6156" customFormat="false" ht="15" hidden="false" customHeight="false" outlineLevel="0" collapsed="false">
      <c r="A6156" s="3" t="n">
        <v>6155</v>
      </c>
      <c r="B6156" s="3" t="n">
        <v>6154</v>
      </c>
      <c r="C6156" s="3" t="n">
        <v>7</v>
      </c>
      <c r="D6156" s="3" t="n">
        <v>23</v>
      </c>
      <c r="E6156" s="3" t="n">
        <v>22</v>
      </c>
      <c r="F6156" s="24" t="n">
        <v>0</v>
      </c>
    </row>
    <row r="6157" customFormat="false" ht="15" hidden="false" customHeight="false" outlineLevel="0" collapsed="false">
      <c r="A6157" s="3" t="n">
        <v>6156</v>
      </c>
      <c r="B6157" s="3" t="n">
        <v>6155</v>
      </c>
      <c r="C6157" s="3" t="n">
        <v>7</v>
      </c>
      <c r="D6157" s="3" t="n">
        <v>23</v>
      </c>
      <c r="E6157" s="3" t="n">
        <v>23</v>
      </c>
      <c r="F6157" s="24" t="n">
        <v>0</v>
      </c>
    </row>
    <row r="6158" customFormat="false" ht="15" hidden="false" customHeight="false" outlineLevel="0" collapsed="false">
      <c r="A6158" s="3" t="n">
        <v>6157</v>
      </c>
      <c r="B6158" s="3" t="n">
        <v>6156</v>
      </c>
      <c r="C6158" s="3" t="n">
        <v>7</v>
      </c>
      <c r="D6158" s="3" t="n">
        <v>23</v>
      </c>
      <c r="E6158" s="3" t="n">
        <v>24</v>
      </c>
      <c r="F6158" s="24" t="n">
        <v>0</v>
      </c>
    </row>
    <row r="6159" customFormat="false" ht="15" hidden="false" customHeight="false" outlineLevel="0" collapsed="false">
      <c r="A6159" s="3" t="n">
        <v>6158</v>
      </c>
      <c r="B6159" s="3" t="n">
        <v>6157</v>
      </c>
      <c r="C6159" s="3" t="n">
        <v>7</v>
      </c>
      <c r="D6159" s="3" t="n">
        <v>23</v>
      </c>
      <c r="E6159" s="3" t="n">
        <v>25</v>
      </c>
      <c r="F6159" s="24" t="n">
        <v>0</v>
      </c>
    </row>
    <row r="6160" customFormat="false" ht="15" hidden="false" customHeight="false" outlineLevel="0" collapsed="false">
      <c r="A6160" s="3" t="n">
        <v>6159</v>
      </c>
      <c r="B6160" s="3" t="n">
        <v>6158</v>
      </c>
      <c r="C6160" s="3" t="n">
        <v>7</v>
      </c>
      <c r="D6160" s="3" t="n">
        <v>23</v>
      </c>
      <c r="E6160" s="3" t="n">
        <v>26</v>
      </c>
      <c r="F6160" s="24" t="n">
        <v>0</v>
      </c>
    </row>
    <row r="6161" customFormat="false" ht="15" hidden="false" customHeight="false" outlineLevel="0" collapsed="false">
      <c r="A6161" s="3" t="n">
        <v>6160</v>
      </c>
      <c r="B6161" s="3" t="n">
        <v>6159</v>
      </c>
      <c r="C6161" s="3" t="n">
        <v>7</v>
      </c>
      <c r="D6161" s="3" t="n">
        <v>23</v>
      </c>
      <c r="E6161" s="3" t="n">
        <v>27</v>
      </c>
      <c r="F6161" s="24" t="n">
        <v>0</v>
      </c>
    </row>
    <row r="6162" customFormat="false" ht="15" hidden="false" customHeight="false" outlineLevel="0" collapsed="false">
      <c r="A6162" s="3" t="n">
        <v>6161</v>
      </c>
      <c r="B6162" s="3" t="n">
        <v>6160</v>
      </c>
      <c r="C6162" s="3" t="n">
        <v>7</v>
      </c>
      <c r="D6162" s="3" t="n">
        <v>24</v>
      </c>
      <c r="E6162" s="3" t="n">
        <v>0</v>
      </c>
      <c r="F6162" s="24" t="n">
        <v>0.259080142</v>
      </c>
    </row>
    <row r="6163" customFormat="false" ht="15" hidden="false" customHeight="false" outlineLevel="0" collapsed="false">
      <c r="A6163" s="3" t="n">
        <v>6162</v>
      </c>
      <c r="B6163" s="3" t="n">
        <v>6161</v>
      </c>
      <c r="C6163" s="3" t="n">
        <v>7</v>
      </c>
      <c r="D6163" s="3" t="n">
        <v>24</v>
      </c>
      <c r="E6163" s="3" t="n">
        <v>1</v>
      </c>
      <c r="F6163" s="24" t="n">
        <v>0</v>
      </c>
    </row>
    <row r="6164" customFormat="false" ht="15" hidden="false" customHeight="false" outlineLevel="0" collapsed="false">
      <c r="A6164" s="3" t="n">
        <v>6163</v>
      </c>
      <c r="B6164" s="3" t="n">
        <v>6162</v>
      </c>
      <c r="C6164" s="3" t="n">
        <v>7</v>
      </c>
      <c r="D6164" s="3" t="n">
        <v>24</v>
      </c>
      <c r="E6164" s="3" t="n">
        <v>2</v>
      </c>
      <c r="F6164" s="24" t="n">
        <v>0</v>
      </c>
    </row>
    <row r="6165" customFormat="false" ht="15" hidden="false" customHeight="false" outlineLevel="0" collapsed="false">
      <c r="A6165" s="3" t="n">
        <v>6164</v>
      </c>
      <c r="B6165" s="3" t="n">
        <v>6163</v>
      </c>
      <c r="C6165" s="3" t="n">
        <v>7</v>
      </c>
      <c r="D6165" s="3" t="n">
        <v>24</v>
      </c>
      <c r="E6165" s="3" t="n">
        <v>3</v>
      </c>
      <c r="F6165" s="24" t="n">
        <v>0</v>
      </c>
    </row>
    <row r="6166" customFormat="false" ht="15" hidden="false" customHeight="false" outlineLevel="0" collapsed="false">
      <c r="A6166" s="3" t="n">
        <v>6165</v>
      </c>
      <c r="B6166" s="3" t="n">
        <v>6164</v>
      </c>
      <c r="C6166" s="3" t="n">
        <v>7</v>
      </c>
      <c r="D6166" s="3" t="n">
        <v>24</v>
      </c>
      <c r="E6166" s="3" t="n">
        <v>4</v>
      </c>
      <c r="F6166" s="24" t="n">
        <v>0</v>
      </c>
    </row>
    <row r="6167" customFormat="false" ht="15" hidden="false" customHeight="false" outlineLevel="0" collapsed="false">
      <c r="A6167" s="3" t="n">
        <v>6166</v>
      </c>
      <c r="B6167" s="3" t="n">
        <v>6165</v>
      </c>
      <c r="C6167" s="3" t="n">
        <v>7</v>
      </c>
      <c r="D6167" s="3" t="n">
        <v>24</v>
      </c>
      <c r="E6167" s="3" t="n">
        <v>5</v>
      </c>
      <c r="F6167" s="24" t="n">
        <v>0</v>
      </c>
    </row>
    <row r="6168" customFormat="false" ht="15" hidden="false" customHeight="false" outlineLevel="0" collapsed="false">
      <c r="A6168" s="3" t="n">
        <v>6167</v>
      </c>
      <c r="B6168" s="3" t="n">
        <v>6166</v>
      </c>
      <c r="C6168" s="3" t="n">
        <v>7</v>
      </c>
      <c r="D6168" s="3" t="n">
        <v>24</v>
      </c>
      <c r="E6168" s="3" t="n">
        <v>6</v>
      </c>
      <c r="F6168" s="24" t="n">
        <v>0</v>
      </c>
    </row>
    <row r="6169" customFormat="false" ht="15" hidden="false" customHeight="false" outlineLevel="0" collapsed="false">
      <c r="A6169" s="3" t="n">
        <v>6168</v>
      </c>
      <c r="B6169" s="3" t="n">
        <v>6167</v>
      </c>
      <c r="C6169" s="3" t="n">
        <v>7</v>
      </c>
      <c r="D6169" s="3" t="n">
        <v>24</v>
      </c>
      <c r="E6169" s="3" t="n">
        <v>7</v>
      </c>
      <c r="F6169" s="24" t="n">
        <v>0</v>
      </c>
    </row>
    <row r="6170" customFormat="false" ht="15" hidden="false" customHeight="false" outlineLevel="0" collapsed="false">
      <c r="A6170" s="3" t="n">
        <v>6169</v>
      </c>
      <c r="B6170" s="3" t="n">
        <v>6168</v>
      </c>
      <c r="C6170" s="3" t="n">
        <v>7</v>
      </c>
      <c r="D6170" s="3" t="n">
        <v>24</v>
      </c>
      <c r="E6170" s="3" t="n">
        <v>8</v>
      </c>
      <c r="F6170" s="24" t="n">
        <v>0</v>
      </c>
    </row>
    <row r="6171" customFormat="false" ht="15" hidden="false" customHeight="false" outlineLevel="0" collapsed="false">
      <c r="A6171" s="3" t="n">
        <v>6170</v>
      </c>
      <c r="B6171" s="3" t="n">
        <v>6169</v>
      </c>
      <c r="C6171" s="3" t="n">
        <v>7</v>
      </c>
      <c r="D6171" s="3" t="n">
        <v>24</v>
      </c>
      <c r="E6171" s="3" t="n">
        <v>9</v>
      </c>
      <c r="F6171" s="24" t="n">
        <v>0</v>
      </c>
    </row>
    <row r="6172" customFormat="false" ht="15" hidden="false" customHeight="false" outlineLevel="0" collapsed="false">
      <c r="A6172" s="3" t="n">
        <v>6171</v>
      </c>
      <c r="B6172" s="3" t="n">
        <v>6170</v>
      </c>
      <c r="C6172" s="3" t="n">
        <v>7</v>
      </c>
      <c r="D6172" s="3" t="n">
        <v>24</v>
      </c>
      <c r="E6172" s="3" t="n">
        <v>10</v>
      </c>
      <c r="F6172" s="24" t="n">
        <v>0</v>
      </c>
    </row>
    <row r="6173" customFormat="false" ht="15" hidden="false" customHeight="false" outlineLevel="0" collapsed="false">
      <c r="A6173" s="3" t="n">
        <v>6172</v>
      </c>
      <c r="B6173" s="3" t="n">
        <v>6171</v>
      </c>
      <c r="C6173" s="3" t="n">
        <v>7</v>
      </c>
      <c r="D6173" s="3" t="n">
        <v>24</v>
      </c>
      <c r="E6173" s="3" t="n">
        <v>11</v>
      </c>
      <c r="F6173" s="24" t="n">
        <v>0</v>
      </c>
    </row>
    <row r="6174" customFormat="false" ht="15" hidden="false" customHeight="false" outlineLevel="0" collapsed="false">
      <c r="A6174" s="3" t="n">
        <v>6173</v>
      </c>
      <c r="B6174" s="3" t="n">
        <v>6172</v>
      </c>
      <c r="C6174" s="3" t="n">
        <v>7</v>
      </c>
      <c r="D6174" s="3" t="n">
        <v>24</v>
      </c>
      <c r="E6174" s="3" t="n">
        <v>12</v>
      </c>
      <c r="F6174" s="24" t="n">
        <v>1.11263931</v>
      </c>
    </row>
    <row r="6175" customFormat="false" ht="15" hidden="false" customHeight="false" outlineLevel="0" collapsed="false">
      <c r="A6175" s="3" t="n">
        <v>6174</v>
      </c>
      <c r="B6175" s="3" t="n">
        <v>6173</v>
      </c>
      <c r="C6175" s="3" t="n">
        <v>7</v>
      </c>
      <c r="D6175" s="3" t="n">
        <v>24</v>
      </c>
      <c r="E6175" s="3" t="n">
        <v>13</v>
      </c>
      <c r="F6175" s="24" t="n">
        <v>3.96647334</v>
      </c>
    </row>
    <row r="6176" customFormat="false" ht="15" hidden="false" customHeight="false" outlineLevel="0" collapsed="false">
      <c r="A6176" s="3" t="n">
        <v>6175</v>
      </c>
      <c r="B6176" s="3" t="n">
        <v>6174</v>
      </c>
      <c r="C6176" s="3" t="n">
        <v>7</v>
      </c>
      <c r="D6176" s="3" t="n">
        <v>24</v>
      </c>
      <c r="E6176" s="3" t="n">
        <v>14</v>
      </c>
      <c r="F6176" s="24" t="n">
        <v>2.82071495</v>
      </c>
    </row>
    <row r="6177" customFormat="false" ht="15" hidden="false" customHeight="false" outlineLevel="0" collapsed="false">
      <c r="A6177" s="3" t="n">
        <v>6176</v>
      </c>
      <c r="B6177" s="3" t="n">
        <v>6175</v>
      </c>
      <c r="C6177" s="3" t="n">
        <v>7</v>
      </c>
      <c r="D6177" s="3" t="n">
        <v>24</v>
      </c>
      <c r="E6177" s="3" t="n">
        <v>15</v>
      </c>
      <c r="F6177" s="24" t="n">
        <v>0.441383451</v>
      </c>
    </row>
    <row r="6178" customFormat="false" ht="15" hidden="false" customHeight="false" outlineLevel="0" collapsed="false">
      <c r="A6178" s="3" t="n">
        <v>6177</v>
      </c>
      <c r="B6178" s="3" t="n">
        <v>6176</v>
      </c>
      <c r="C6178" s="3" t="n">
        <v>7</v>
      </c>
      <c r="D6178" s="3" t="n">
        <v>24</v>
      </c>
      <c r="E6178" s="3" t="n">
        <v>16</v>
      </c>
      <c r="F6178" s="24" t="n">
        <v>0</v>
      </c>
    </row>
    <row r="6179" customFormat="false" ht="15" hidden="false" customHeight="false" outlineLevel="0" collapsed="false">
      <c r="A6179" s="3" t="n">
        <v>6178</v>
      </c>
      <c r="B6179" s="3" t="n">
        <v>6177</v>
      </c>
      <c r="C6179" s="3" t="n">
        <v>7</v>
      </c>
      <c r="D6179" s="3" t="n">
        <v>24</v>
      </c>
      <c r="E6179" s="3" t="n">
        <v>17</v>
      </c>
      <c r="F6179" s="24" t="n">
        <v>0</v>
      </c>
    </row>
    <row r="6180" customFormat="false" ht="15" hidden="false" customHeight="false" outlineLevel="0" collapsed="false">
      <c r="A6180" s="3" t="n">
        <v>6179</v>
      </c>
      <c r="B6180" s="3" t="n">
        <v>6178</v>
      </c>
      <c r="C6180" s="3" t="n">
        <v>7</v>
      </c>
      <c r="D6180" s="3" t="n">
        <v>24</v>
      </c>
      <c r="E6180" s="3" t="n">
        <v>18</v>
      </c>
      <c r="F6180" s="24" t="n">
        <v>0</v>
      </c>
    </row>
    <row r="6181" customFormat="false" ht="15" hidden="false" customHeight="false" outlineLevel="0" collapsed="false">
      <c r="A6181" s="3" t="n">
        <v>6180</v>
      </c>
      <c r="B6181" s="3" t="n">
        <v>6179</v>
      </c>
      <c r="C6181" s="3" t="n">
        <v>7</v>
      </c>
      <c r="D6181" s="3" t="n">
        <v>24</v>
      </c>
      <c r="E6181" s="3" t="n">
        <v>19</v>
      </c>
      <c r="F6181" s="24" t="n">
        <v>0</v>
      </c>
    </row>
    <row r="6182" customFormat="false" ht="15" hidden="false" customHeight="false" outlineLevel="0" collapsed="false">
      <c r="A6182" s="3" t="n">
        <v>6181</v>
      </c>
      <c r="B6182" s="3" t="n">
        <v>6180</v>
      </c>
      <c r="C6182" s="3" t="n">
        <v>7</v>
      </c>
      <c r="D6182" s="3" t="n">
        <v>24</v>
      </c>
      <c r="E6182" s="3" t="n">
        <v>20</v>
      </c>
      <c r="F6182" s="24" t="n">
        <v>0</v>
      </c>
    </row>
    <row r="6183" customFormat="false" ht="15" hidden="false" customHeight="false" outlineLevel="0" collapsed="false">
      <c r="A6183" s="3" t="n">
        <v>6182</v>
      </c>
      <c r="B6183" s="3" t="n">
        <v>6181</v>
      </c>
      <c r="C6183" s="3" t="n">
        <v>7</v>
      </c>
      <c r="D6183" s="3" t="n">
        <v>24</v>
      </c>
      <c r="E6183" s="3" t="n">
        <v>21</v>
      </c>
      <c r="F6183" s="24" t="n">
        <v>0</v>
      </c>
    </row>
    <row r="6184" customFormat="false" ht="15" hidden="false" customHeight="false" outlineLevel="0" collapsed="false">
      <c r="A6184" s="3" t="n">
        <v>6183</v>
      </c>
      <c r="B6184" s="3" t="n">
        <v>6182</v>
      </c>
      <c r="C6184" s="3" t="n">
        <v>7</v>
      </c>
      <c r="D6184" s="3" t="n">
        <v>24</v>
      </c>
      <c r="E6184" s="3" t="n">
        <v>22</v>
      </c>
      <c r="F6184" s="24" t="n">
        <v>0</v>
      </c>
    </row>
    <row r="6185" customFormat="false" ht="15" hidden="false" customHeight="false" outlineLevel="0" collapsed="false">
      <c r="A6185" s="3" t="n">
        <v>6184</v>
      </c>
      <c r="B6185" s="3" t="n">
        <v>6183</v>
      </c>
      <c r="C6185" s="3" t="n">
        <v>7</v>
      </c>
      <c r="D6185" s="3" t="n">
        <v>24</v>
      </c>
      <c r="E6185" s="3" t="n">
        <v>23</v>
      </c>
      <c r="F6185" s="24" t="n">
        <v>0</v>
      </c>
    </row>
    <row r="6186" customFormat="false" ht="15" hidden="false" customHeight="false" outlineLevel="0" collapsed="false">
      <c r="A6186" s="3" t="n">
        <v>6185</v>
      </c>
      <c r="B6186" s="3" t="n">
        <v>6184</v>
      </c>
      <c r="C6186" s="3" t="n">
        <v>7</v>
      </c>
      <c r="D6186" s="3" t="n">
        <v>24</v>
      </c>
      <c r="E6186" s="3" t="n">
        <v>24</v>
      </c>
      <c r="F6186" s="24" t="n">
        <v>0</v>
      </c>
    </row>
    <row r="6187" customFormat="false" ht="15" hidden="false" customHeight="false" outlineLevel="0" collapsed="false">
      <c r="A6187" s="3" t="n">
        <v>6186</v>
      </c>
      <c r="B6187" s="3" t="n">
        <v>6185</v>
      </c>
      <c r="C6187" s="3" t="n">
        <v>7</v>
      </c>
      <c r="D6187" s="3" t="n">
        <v>24</v>
      </c>
      <c r="E6187" s="3" t="n">
        <v>25</v>
      </c>
      <c r="F6187" s="24" t="n">
        <v>0</v>
      </c>
    </row>
    <row r="6188" customFormat="false" ht="15" hidden="false" customHeight="false" outlineLevel="0" collapsed="false">
      <c r="A6188" s="3" t="n">
        <v>6187</v>
      </c>
      <c r="B6188" s="3" t="n">
        <v>6186</v>
      </c>
      <c r="C6188" s="3" t="n">
        <v>7</v>
      </c>
      <c r="D6188" s="3" t="n">
        <v>24</v>
      </c>
      <c r="E6188" s="3" t="n">
        <v>26</v>
      </c>
      <c r="F6188" s="24" t="n">
        <v>0</v>
      </c>
    </row>
    <row r="6189" customFormat="false" ht="15" hidden="false" customHeight="false" outlineLevel="0" collapsed="false">
      <c r="A6189" s="3" t="n">
        <v>6188</v>
      </c>
      <c r="B6189" s="3" t="n">
        <v>6187</v>
      </c>
      <c r="C6189" s="3" t="n">
        <v>7</v>
      </c>
      <c r="D6189" s="3" t="n">
        <v>24</v>
      </c>
      <c r="E6189" s="3" t="n">
        <v>27</v>
      </c>
      <c r="F6189" s="24" t="n">
        <v>0</v>
      </c>
    </row>
    <row r="6190" customFormat="false" ht="15" hidden="false" customHeight="false" outlineLevel="0" collapsed="false">
      <c r="A6190" s="3" t="n">
        <v>6189</v>
      </c>
      <c r="B6190" s="3" t="n">
        <v>6188</v>
      </c>
      <c r="C6190" s="3" t="n">
        <v>7</v>
      </c>
      <c r="D6190" s="3" t="n">
        <v>25</v>
      </c>
      <c r="E6190" s="3" t="n">
        <v>0</v>
      </c>
      <c r="F6190" s="24" t="n">
        <v>0.259080142</v>
      </c>
    </row>
    <row r="6191" customFormat="false" ht="15" hidden="false" customHeight="false" outlineLevel="0" collapsed="false">
      <c r="A6191" s="3" t="n">
        <v>6190</v>
      </c>
      <c r="B6191" s="3" t="n">
        <v>6189</v>
      </c>
      <c r="C6191" s="3" t="n">
        <v>7</v>
      </c>
      <c r="D6191" s="3" t="n">
        <v>25</v>
      </c>
      <c r="E6191" s="3" t="n">
        <v>1</v>
      </c>
      <c r="F6191" s="24" t="n">
        <v>0</v>
      </c>
    </row>
    <row r="6192" customFormat="false" ht="15" hidden="false" customHeight="false" outlineLevel="0" collapsed="false">
      <c r="A6192" s="3" t="n">
        <v>6191</v>
      </c>
      <c r="B6192" s="3" t="n">
        <v>6190</v>
      </c>
      <c r="C6192" s="3" t="n">
        <v>7</v>
      </c>
      <c r="D6192" s="3" t="n">
        <v>25</v>
      </c>
      <c r="E6192" s="3" t="n">
        <v>2</v>
      </c>
      <c r="F6192" s="24" t="n">
        <v>0</v>
      </c>
    </row>
    <row r="6193" customFormat="false" ht="15" hidden="false" customHeight="false" outlineLevel="0" collapsed="false">
      <c r="A6193" s="3" t="n">
        <v>6192</v>
      </c>
      <c r="B6193" s="3" t="n">
        <v>6191</v>
      </c>
      <c r="C6193" s="3" t="n">
        <v>7</v>
      </c>
      <c r="D6193" s="3" t="n">
        <v>25</v>
      </c>
      <c r="E6193" s="3" t="n">
        <v>3</v>
      </c>
      <c r="F6193" s="24" t="n">
        <v>0</v>
      </c>
    </row>
    <row r="6194" customFormat="false" ht="15" hidden="false" customHeight="false" outlineLevel="0" collapsed="false">
      <c r="A6194" s="3" t="n">
        <v>6193</v>
      </c>
      <c r="B6194" s="3" t="n">
        <v>6192</v>
      </c>
      <c r="C6194" s="3" t="n">
        <v>7</v>
      </c>
      <c r="D6194" s="3" t="n">
        <v>25</v>
      </c>
      <c r="E6194" s="3" t="n">
        <v>4</v>
      </c>
      <c r="F6194" s="24" t="n">
        <v>0</v>
      </c>
    </row>
    <row r="6195" customFormat="false" ht="15" hidden="false" customHeight="false" outlineLevel="0" collapsed="false">
      <c r="A6195" s="3" t="n">
        <v>6194</v>
      </c>
      <c r="B6195" s="3" t="n">
        <v>6193</v>
      </c>
      <c r="C6195" s="3" t="n">
        <v>7</v>
      </c>
      <c r="D6195" s="3" t="n">
        <v>25</v>
      </c>
      <c r="E6195" s="3" t="n">
        <v>5</v>
      </c>
      <c r="F6195" s="24" t="n">
        <v>0</v>
      </c>
    </row>
    <row r="6196" customFormat="false" ht="15" hidden="false" customHeight="false" outlineLevel="0" collapsed="false">
      <c r="A6196" s="3" t="n">
        <v>6195</v>
      </c>
      <c r="B6196" s="3" t="n">
        <v>6194</v>
      </c>
      <c r="C6196" s="3" t="n">
        <v>7</v>
      </c>
      <c r="D6196" s="3" t="n">
        <v>25</v>
      </c>
      <c r="E6196" s="3" t="n">
        <v>6</v>
      </c>
      <c r="F6196" s="24" t="n">
        <v>0</v>
      </c>
    </row>
    <row r="6197" customFormat="false" ht="15" hidden="false" customHeight="false" outlineLevel="0" collapsed="false">
      <c r="A6197" s="3" t="n">
        <v>6196</v>
      </c>
      <c r="B6197" s="3" t="n">
        <v>6195</v>
      </c>
      <c r="C6197" s="3" t="n">
        <v>7</v>
      </c>
      <c r="D6197" s="3" t="n">
        <v>25</v>
      </c>
      <c r="E6197" s="3" t="n">
        <v>7</v>
      </c>
      <c r="F6197" s="24" t="n">
        <v>0</v>
      </c>
    </row>
    <row r="6198" customFormat="false" ht="15" hidden="false" customHeight="false" outlineLevel="0" collapsed="false">
      <c r="A6198" s="3" t="n">
        <v>6197</v>
      </c>
      <c r="B6198" s="3" t="n">
        <v>6196</v>
      </c>
      <c r="C6198" s="3" t="n">
        <v>7</v>
      </c>
      <c r="D6198" s="3" t="n">
        <v>25</v>
      </c>
      <c r="E6198" s="3" t="n">
        <v>8</v>
      </c>
      <c r="F6198" s="24" t="n">
        <v>0</v>
      </c>
    </row>
    <row r="6199" customFormat="false" ht="15" hidden="false" customHeight="false" outlineLevel="0" collapsed="false">
      <c r="A6199" s="3" t="n">
        <v>6198</v>
      </c>
      <c r="B6199" s="3" t="n">
        <v>6197</v>
      </c>
      <c r="C6199" s="3" t="n">
        <v>7</v>
      </c>
      <c r="D6199" s="3" t="n">
        <v>25</v>
      </c>
      <c r="E6199" s="3" t="n">
        <v>9</v>
      </c>
      <c r="F6199" s="24" t="n">
        <v>0</v>
      </c>
    </row>
    <row r="6200" customFormat="false" ht="15" hidden="false" customHeight="false" outlineLevel="0" collapsed="false">
      <c r="A6200" s="3" t="n">
        <v>6199</v>
      </c>
      <c r="B6200" s="3" t="n">
        <v>6198</v>
      </c>
      <c r="C6200" s="3" t="n">
        <v>7</v>
      </c>
      <c r="D6200" s="3" t="n">
        <v>25</v>
      </c>
      <c r="E6200" s="3" t="n">
        <v>10</v>
      </c>
      <c r="F6200" s="24" t="n">
        <v>0</v>
      </c>
    </row>
    <row r="6201" customFormat="false" ht="15" hidden="false" customHeight="false" outlineLevel="0" collapsed="false">
      <c r="A6201" s="3" t="n">
        <v>6200</v>
      </c>
      <c r="B6201" s="3" t="n">
        <v>6199</v>
      </c>
      <c r="C6201" s="3" t="n">
        <v>7</v>
      </c>
      <c r="D6201" s="3" t="n">
        <v>25</v>
      </c>
      <c r="E6201" s="3" t="n">
        <v>11</v>
      </c>
      <c r="F6201" s="24" t="n">
        <v>0.0585242361</v>
      </c>
    </row>
    <row r="6202" customFormat="false" ht="15" hidden="false" customHeight="false" outlineLevel="0" collapsed="false">
      <c r="A6202" s="3" t="n">
        <v>6201</v>
      </c>
      <c r="B6202" s="3" t="n">
        <v>6200</v>
      </c>
      <c r="C6202" s="3" t="n">
        <v>7</v>
      </c>
      <c r="D6202" s="3" t="n">
        <v>25</v>
      </c>
      <c r="E6202" s="3" t="n">
        <v>12</v>
      </c>
      <c r="F6202" s="24" t="n">
        <v>1.02934873</v>
      </c>
    </row>
    <row r="6203" customFormat="false" ht="15" hidden="false" customHeight="false" outlineLevel="0" collapsed="false">
      <c r="A6203" s="3" t="n">
        <v>6202</v>
      </c>
      <c r="B6203" s="3" t="n">
        <v>6201</v>
      </c>
      <c r="C6203" s="3" t="n">
        <v>7</v>
      </c>
      <c r="D6203" s="3" t="n">
        <v>25</v>
      </c>
      <c r="E6203" s="3" t="n">
        <v>13</v>
      </c>
      <c r="F6203" s="24" t="n">
        <v>2.2140367</v>
      </c>
    </row>
    <row r="6204" customFormat="false" ht="15" hidden="false" customHeight="false" outlineLevel="0" collapsed="false">
      <c r="A6204" s="3" t="n">
        <v>6203</v>
      </c>
      <c r="B6204" s="3" t="n">
        <v>6202</v>
      </c>
      <c r="C6204" s="3" t="n">
        <v>7</v>
      </c>
      <c r="D6204" s="3" t="n">
        <v>25</v>
      </c>
      <c r="E6204" s="3" t="n">
        <v>14</v>
      </c>
      <c r="F6204" s="24" t="n">
        <v>2.264678</v>
      </c>
    </row>
    <row r="6205" customFormat="false" ht="15" hidden="false" customHeight="false" outlineLevel="0" collapsed="false">
      <c r="A6205" s="3" t="n">
        <v>6204</v>
      </c>
      <c r="B6205" s="3" t="n">
        <v>6203</v>
      </c>
      <c r="C6205" s="3" t="n">
        <v>7</v>
      </c>
      <c r="D6205" s="3" t="n">
        <v>25</v>
      </c>
      <c r="E6205" s="3" t="n">
        <v>15</v>
      </c>
      <c r="F6205" s="24" t="n">
        <v>0.366829395</v>
      </c>
    </row>
    <row r="6206" customFormat="false" ht="15" hidden="false" customHeight="false" outlineLevel="0" collapsed="false">
      <c r="A6206" s="3" t="n">
        <v>6205</v>
      </c>
      <c r="B6206" s="3" t="n">
        <v>6204</v>
      </c>
      <c r="C6206" s="3" t="n">
        <v>7</v>
      </c>
      <c r="D6206" s="3" t="n">
        <v>25</v>
      </c>
      <c r="E6206" s="3" t="n">
        <v>16</v>
      </c>
      <c r="F6206" s="24" t="n">
        <v>0</v>
      </c>
    </row>
    <row r="6207" customFormat="false" ht="15" hidden="false" customHeight="false" outlineLevel="0" collapsed="false">
      <c r="A6207" s="3" t="n">
        <v>6206</v>
      </c>
      <c r="B6207" s="3" t="n">
        <v>6205</v>
      </c>
      <c r="C6207" s="3" t="n">
        <v>7</v>
      </c>
      <c r="D6207" s="3" t="n">
        <v>25</v>
      </c>
      <c r="E6207" s="3" t="n">
        <v>17</v>
      </c>
      <c r="F6207" s="24" t="n">
        <v>0</v>
      </c>
    </row>
    <row r="6208" customFormat="false" ht="15" hidden="false" customHeight="false" outlineLevel="0" collapsed="false">
      <c r="A6208" s="3" t="n">
        <v>6207</v>
      </c>
      <c r="B6208" s="3" t="n">
        <v>6206</v>
      </c>
      <c r="C6208" s="3" t="n">
        <v>7</v>
      </c>
      <c r="D6208" s="3" t="n">
        <v>25</v>
      </c>
      <c r="E6208" s="3" t="n">
        <v>18</v>
      </c>
      <c r="F6208" s="24" t="n">
        <v>0</v>
      </c>
    </row>
    <row r="6209" customFormat="false" ht="15" hidden="false" customHeight="false" outlineLevel="0" collapsed="false">
      <c r="A6209" s="3" t="n">
        <v>6208</v>
      </c>
      <c r="B6209" s="3" t="n">
        <v>6207</v>
      </c>
      <c r="C6209" s="3" t="n">
        <v>7</v>
      </c>
      <c r="D6209" s="3" t="n">
        <v>25</v>
      </c>
      <c r="E6209" s="3" t="n">
        <v>19</v>
      </c>
      <c r="F6209" s="24" t="n">
        <v>0</v>
      </c>
    </row>
    <row r="6210" customFormat="false" ht="15" hidden="false" customHeight="false" outlineLevel="0" collapsed="false">
      <c r="A6210" s="3" t="n">
        <v>6209</v>
      </c>
      <c r="B6210" s="3" t="n">
        <v>6208</v>
      </c>
      <c r="C6210" s="3" t="n">
        <v>7</v>
      </c>
      <c r="D6210" s="3" t="n">
        <v>25</v>
      </c>
      <c r="E6210" s="3" t="n">
        <v>20</v>
      </c>
      <c r="F6210" s="24" t="n">
        <v>0</v>
      </c>
    </row>
    <row r="6211" customFormat="false" ht="15" hidden="false" customHeight="false" outlineLevel="0" collapsed="false">
      <c r="A6211" s="3" t="n">
        <v>6210</v>
      </c>
      <c r="B6211" s="3" t="n">
        <v>6209</v>
      </c>
      <c r="C6211" s="3" t="n">
        <v>7</v>
      </c>
      <c r="D6211" s="3" t="n">
        <v>25</v>
      </c>
      <c r="E6211" s="3" t="n">
        <v>21</v>
      </c>
      <c r="F6211" s="24" t="n">
        <v>0</v>
      </c>
    </row>
    <row r="6212" customFormat="false" ht="15" hidden="false" customHeight="false" outlineLevel="0" collapsed="false">
      <c r="A6212" s="3" t="n">
        <v>6211</v>
      </c>
      <c r="B6212" s="3" t="n">
        <v>6210</v>
      </c>
      <c r="C6212" s="3" t="n">
        <v>7</v>
      </c>
      <c r="D6212" s="3" t="n">
        <v>25</v>
      </c>
      <c r="E6212" s="3" t="n">
        <v>22</v>
      </c>
      <c r="F6212" s="24" t="n">
        <v>0</v>
      </c>
    </row>
    <row r="6213" customFormat="false" ht="15" hidden="false" customHeight="false" outlineLevel="0" collapsed="false">
      <c r="A6213" s="3" t="n">
        <v>6212</v>
      </c>
      <c r="B6213" s="3" t="n">
        <v>6211</v>
      </c>
      <c r="C6213" s="3" t="n">
        <v>7</v>
      </c>
      <c r="D6213" s="3" t="n">
        <v>25</v>
      </c>
      <c r="E6213" s="3" t="n">
        <v>23</v>
      </c>
      <c r="F6213" s="24" t="n">
        <v>0</v>
      </c>
    </row>
    <row r="6214" customFormat="false" ht="15" hidden="false" customHeight="false" outlineLevel="0" collapsed="false">
      <c r="A6214" s="3" t="n">
        <v>6213</v>
      </c>
      <c r="B6214" s="3" t="n">
        <v>6212</v>
      </c>
      <c r="C6214" s="3" t="n">
        <v>7</v>
      </c>
      <c r="D6214" s="3" t="n">
        <v>25</v>
      </c>
      <c r="E6214" s="3" t="n">
        <v>24</v>
      </c>
      <c r="F6214" s="24" t="n">
        <v>0</v>
      </c>
    </row>
    <row r="6215" customFormat="false" ht="15" hidden="false" customHeight="false" outlineLevel="0" collapsed="false">
      <c r="A6215" s="3" t="n">
        <v>6214</v>
      </c>
      <c r="B6215" s="3" t="n">
        <v>6213</v>
      </c>
      <c r="C6215" s="3" t="n">
        <v>7</v>
      </c>
      <c r="D6215" s="3" t="n">
        <v>25</v>
      </c>
      <c r="E6215" s="3" t="n">
        <v>25</v>
      </c>
      <c r="F6215" s="24" t="n">
        <v>0</v>
      </c>
    </row>
    <row r="6216" customFormat="false" ht="15" hidden="false" customHeight="false" outlineLevel="0" collapsed="false">
      <c r="A6216" s="3" t="n">
        <v>6215</v>
      </c>
      <c r="B6216" s="3" t="n">
        <v>6214</v>
      </c>
      <c r="C6216" s="3" t="n">
        <v>7</v>
      </c>
      <c r="D6216" s="3" t="n">
        <v>25</v>
      </c>
      <c r="E6216" s="3" t="n">
        <v>26</v>
      </c>
      <c r="F6216" s="24" t="n">
        <v>0</v>
      </c>
    </row>
    <row r="6217" customFormat="false" ht="15" hidden="false" customHeight="false" outlineLevel="0" collapsed="false">
      <c r="A6217" s="3" t="n">
        <v>6216</v>
      </c>
      <c r="B6217" s="3" t="n">
        <v>6215</v>
      </c>
      <c r="C6217" s="3" t="n">
        <v>7</v>
      </c>
      <c r="D6217" s="3" t="n">
        <v>25</v>
      </c>
      <c r="E6217" s="3" t="n">
        <v>27</v>
      </c>
      <c r="F6217" s="24" t="n">
        <v>0</v>
      </c>
    </row>
    <row r="6218" customFormat="false" ht="15" hidden="false" customHeight="false" outlineLevel="0" collapsed="false">
      <c r="A6218" s="3" t="n">
        <v>6217</v>
      </c>
      <c r="B6218" s="3" t="n">
        <v>6216</v>
      </c>
      <c r="C6218" s="3" t="n">
        <v>7</v>
      </c>
      <c r="D6218" s="3" t="n">
        <v>26</v>
      </c>
      <c r="E6218" s="3" t="n">
        <v>0</v>
      </c>
      <c r="F6218" s="24" t="n">
        <v>0.259080142</v>
      </c>
    </row>
    <row r="6219" customFormat="false" ht="15" hidden="false" customHeight="false" outlineLevel="0" collapsed="false">
      <c r="A6219" s="3" t="n">
        <v>6218</v>
      </c>
      <c r="B6219" s="3" t="n">
        <v>6217</v>
      </c>
      <c r="C6219" s="3" t="n">
        <v>7</v>
      </c>
      <c r="D6219" s="3" t="n">
        <v>26</v>
      </c>
      <c r="E6219" s="3" t="n">
        <v>1</v>
      </c>
      <c r="F6219" s="24" t="n">
        <v>0</v>
      </c>
    </row>
    <row r="6220" customFormat="false" ht="15" hidden="false" customHeight="false" outlineLevel="0" collapsed="false">
      <c r="A6220" s="3" t="n">
        <v>6219</v>
      </c>
      <c r="B6220" s="3" t="n">
        <v>6218</v>
      </c>
      <c r="C6220" s="3" t="n">
        <v>7</v>
      </c>
      <c r="D6220" s="3" t="n">
        <v>26</v>
      </c>
      <c r="E6220" s="3" t="n">
        <v>2</v>
      </c>
      <c r="F6220" s="24" t="n">
        <v>0</v>
      </c>
    </row>
    <row r="6221" customFormat="false" ht="15" hidden="false" customHeight="false" outlineLevel="0" collapsed="false">
      <c r="A6221" s="3" t="n">
        <v>6220</v>
      </c>
      <c r="B6221" s="3" t="n">
        <v>6219</v>
      </c>
      <c r="C6221" s="3" t="n">
        <v>7</v>
      </c>
      <c r="D6221" s="3" t="n">
        <v>26</v>
      </c>
      <c r="E6221" s="3" t="n">
        <v>3</v>
      </c>
      <c r="F6221" s="24" t="n">
        <v>0</v>
      </c>
    </row>
    <row r="6222" customFormat="false" ht="15" hidden="false" customHeight="false" outlineLevel="0" collapsed="false">
      <c r="A6222" s="3" t="n">
        <v>6221</v>
      </c>
      <c r="B6222" s="3" t="n">
        <v>6220</v>
      </c>
      <c r="C6222" s="3" t="n">
        <v>7</v>
      </c>
      <c r="D6222" s="3" t="n">
        <v>26</v>
      </c>
      <c r="E6222" s="3" t="n">
        <v>4</v>
      </c>
      <c r="F6222" s="24" t="n">
        <v>0</v>
      </c>
    </row>
    <row r="6223" customFormat="false" ht="15" hidden="false" customHeight="false" outlineLevel="0" collapsed="false">
      <c r="A6223" s="3" t="n">
        <v>6222</v>
      </c>
      <c r="B6223" s="3" t="n">
        <v>6221</v>
      </c>
      <c r="C6223" s="3" t="n">
        <v>7</v>
      </c>
      <c r="D6223" s="3" t="n">
        <v>26</v>
      </c>
      <c r="E6223" s="3" t="n">
        <v>5</v>
      </c>
      <c r="F6223" s="24" t="n">
        <v>0</v>
      </c>
    </row>
    <row r="6224" customFormat="false" ht="15" hidden="false" customHeight="false" outlineLevel="0" collapsed="false">
      <c r="A6224" s="3" t="n">
        <v>6223</v>
      </c>
      <c r="B6224" s="3" t="n">
        <v>6222</v>
      </c>
      <c r="C6224" s="3" t="n">
        <v>7</v>
      </c>
      <c r="D6224" s="3" t="n">
        <v>26</v>
      </c>
      <c r="E6224" s="3" t="n">
        <v>6</v>
      </c>
      <c r="F6224" s="24" t="n">
        <v>0</v>
      </c>
    </row>
    <row r="6225" customFormat="false" ht="15" hidden="false" customHeight="false" outlineLevel="0" collapsed="false">
      <c r="A6225" s="3" t="n">
        <v>6224</v>
      </c>
      <c r="B6225" s="3" t="n">
        <v>6223</v>
      </c>
      <c r="C6225" s="3" t="n">
        <v>7</v>
      </c>
      <c r="D6225" s="3" t="n">
        <v>26</v>
      </c>
      <c r="E6225" s="3" t="n">
        <v>7</v>
      </c>
      <c r="F6225" s="24" t="n">
        <v>0</v>
      </c>
    </row>
    <row r="6226" customFormat="false" ht="15" hidden="false" customHeight="false" outlineLevel="0" collapsed="false">
      <c r="A6226" s="3" t="n">
        <v>6225</v>
      </c>
      <c r="B6226" s="3" t="n">
        <v>6224</v>
      </c>
      <c r="C6226" s="3" t="n">
        <v>7</v>
      </c>
      <c r="D6226" s="3" t="n">
        <v>26</v>
      </c>
      <c r="E6226" s="3" t="n">
        <v>8</v>
      </c>
      <c r="F6226" s="24" t="n">
        <v>0</v>
      </c>
    </row>
    <row r="6227" customFormat="false" ht="15" hidden="false" customHeight="false" outlineLevel="0" collapsed="false">
      <c r="A6227" s="3" t="n">
        <v>6226</v>
      </c>
      <c r="B6227" s="3" t="n">
        <v>6225</v>
      </c>
      <c r="C6227" s="3" t="n">
        <v>7</v>
      </c>
      <c r="D6227" s="3" t="n">
        <v>26</v>
      </c>
      <c r="E6227" s="3" t="n">
        <v>9</v>
      </c>
      <c r="F6227" s="24" t="n">
        <v>0</v>
      </c>
    </row>
    <row r="6228" customFormat="false" ht="15" hidden="false" customHeight="false" outlineLevel="0" collapsed="false">
      <c r="A6228" s="3" t="n">
        <v>6227</v>
      </c>
      <c r="B6228" s="3" t="n">
        <v>6226</v>
      </c>
      <c r="C6228" s="3" t="n">
        <v>7</v>
      </c>
      <c r="D6228" s="3" t="n">
        <v>26</v>
      </c>
      <c r="E6228" s="3" t="n">
        <v>10</v>
      </c>
      <c r="F6228" s="24" t="n">
        <v>0</v>
      </c>
    </row>
    <row r="6229" customFormat="false" ht="15" hidden="false" customHeight="false" outlineLevel="0" collapsed="false">
      <c r="A6229" s="3" t="n">
        <v>6228</v>
      </c>
      <c r="B6229" s="3" t="n">
        <v>6227</v>
      </c>
      <c r="C6229" s="3" t="n">
        <v>7</v>
      </c>
      <c r="D6229" s="3" t="n">
        <v>26</v>
      </c>
      <c r="E6229" s="3" t="n">
        <v>11</v>
      </c>
      <c r="F6229" s="24" t="n">
        <v>0</v>
      </c>
    </row>
    <row r="6230" customFormat="false" ht="15" hidden="false" customHeight="false" outlineLevel="0" collapsed="false">
      <c r="A6230" s="3" t="n">
        <v>6229</v>
      </c>
      <c r="B6230" s="3" t="n">
        <v>6228</v>
      </c>
      <c r="C6230" s="3" t="n">
        <v>7</v>
      </c>
      <c r="D6230" s="3" t="n">
        <v>26</v>
      </c>
      <c r="E6230" s="3" t="n">
        <v>12</v>
      </c>
      <c r="F6230" s="24" t="n">
        <v>0.863783956</v>
      </c>
    </row>
    <row r="6231" customFormat="false" ht="15" hidden="false" customHeight="false" outlineLevel="0" collapsed="false">
      <c r="A6231" s="3" t="n">
        <v>6230</v>
      </c>
      <c r="B6231" s="3" t="n">
        <v>6229</v>
      </c>
      <c r="C6231" s="3" t="n">
        <v>7</v>
      </c>
      <c r="D6231" s="3" t="n">
        <v>26</v>
      </c>
      <c r="E6231" s="3" t="n">
        <v>13</v>
      </c>
      <c r="F6231" s="24" t="n">
        <v>2.12623954</v>
      </c>
    </row>
    <row r="6232" customFormat="false" ht="15" hidden="false" customHeight="false" outlineLevel="0" collapsed="false">
      <c r="A6232" s="3" t="n">
        <v>6231</v>
      </c>
      <c r="B6232" s="3" t="n">
        <v>6230</v>
      </c>
      <c r="C6232" s="3" t="n">
        <v>7</v>
      </c>
      <c r="D6232" s="3" t="n">
        <v>26</v>
      </c>
      <c r="E6232" s="3" t="n">
        <v>14</v>
      </c>
      <c r="F6232" s="24" t="n">
        <v>0.792273819</v>
      </c>
    </row>
    <row r="6233" customFormat="false" ht="15" hidden="false" customHeight="false" outlineLevel="0" collapsed="false">
      <c r="A6233" s="3" t="n">
        <v>6232</v>
      </c>
      <c r="B6233" s="3" t="n">
        <v>6231</v>
      </c>
      <c r="C6233" s="3" t="n">
        <v>7</v>
      </c>
      <c r="D6233" s="3" t="n">
        <v>26</v>
      </c>
      <c r="E6233" s="3" t="n">
        <v>15</v>
      </c>
      <c r="F6233" s="24" t="n">
        <v>0.0596365184</v>
      </c>
    </row>
    <row r="6234" customFormat="false" ht="15" hidden="false" customHeight="false" outlineLevel="0" collapsed="false">
      <c r="A6234" s="3" t="n">
        <v>6233</v>
      </c>
      <c r="B6234" s="3" t="n">
        <v>6232</v>
      </c>
      <c r="C6234" s="3" t="n">
        <v>7</v>
      </c>
      <c r="D6234" s="3" t="n">
        <v>26</v>
      </c>
      <c r="E6234" s="3" t="n">
        <v>16</v>
      </c>
      <c r="F6234" s="24" t="n">
        <v>0</v>
      </c>
    </row>
    <row r="6235" customFormat="false" ht="15" hidden="false" customHeight="false" outlineLevel="0" collapsed="false">
      <c r="A6235" s="3" t="n">
        <v>6234</v>
      </c>
      <c r="B6235" s="3" t="n">
        <v>6233</v>
      </c>
      <c r="C6235" s="3" t="n">
        <v>7</v>
      </c>
      <c r="D6235" s="3" t="n">
        <v>26</v>
      </c>
      <c r="E6235" s="3" t="n">
        <v>17</v>
      </c>
      <c r="F6235" s="24" t="n">
        <v>0</v>
      </c>
    </row>
    <row r="6236" customFormat="false" ht="15" hidden="false" customHeight="false" outlineLevel="0" collapsed="false">
      <c r="A6236" s="3" t="n">
        <v>6235</v>
      </c>
      <c r="B6236" s="3" t="n">
        <v>6234</v>
      </c>
      <c r="C6236" s="3" t="n">
        <v>7</v>
      </c>
      <c r="D6236" s="3" t="n">
        <v>26</v>
      </c>
      <c r="E6236" s="3" t="n">
        <v>18</v>
      </c>
      <c r="F6236" s="24" t="n">
        <v>0</v>
      </c>
    </row>
    <row r="6237" customFormat="false" ht="15" hidden="false" customHeight="false" outlineLevel="0" collapsed="false">
      <c r="A6237" s="3" t="n">
        <v>6236</v>
      </c>
      <c r="B6237" s="3" t="n">
        <v>6235</v>
      </c>
      <c r="C6237" s="3" t="n">
        <v>7</v>
      </c>
      <c r="D6237" s="3" t="n">
        <v>26</v>
      </c>
      <c r="E6237" s="3" t="n">
        <v>19</v>
      </c>
      <c r="F6237" s="24" t="n">
        <v>0</v>
      </c>
    </row>
    <row r="6238" customFormat="false" ht="15" hidden="false" customHeight="false" outlineLevel="0" collapsed="false">
      <c r="A6238" s="3" t="n">
        <v>6237</v>
      </c>
      <c r="B6238" s="3" t="n">
        <v>6236</v>
      </c>
      <c r="C6238" s="3" t="n">
        <v>7</v>
      </c>
      <c r="D6238" s="3" t="n">
        <v>26</v>
      </c>
      <c r="E6238" s="3" t="n">
        <v>20</v>
      </c>
      <c r="F6238" s="24" t="n">
        <v>0</v>
      </c>
    </row>
    <row r="6239" customFormat="false" ht="15" hidden="false" customHeight="false" outlineLevel="0" collapsed="false">
      <c r="A6239" s="3" t="n">
        <v>6238</v>
      </c>
      <c r="B6239" s="3" t="n">
        <v>6237</v>
      </c>
      <c r="C6239" s="3" t="n">
        <v>7</v>
      </c>
      <c r="D6239" s="3" t="n">
        <v>26</v>
      </c>
      <c r="E6239" s="3" t="n">
        <v>21</v>
      </c>
      <c r="F6239" s="24" t="n">
        <v>0</v>
      </c>
    </row>
    <row r="6240" customFormat="false" ht="15" hidden="false" customHeight="false" outlineLevel="0" collapsed="false">
      <c r="A6240" s="3" t="n">
        <v>6239</v>
      </c>
      <c r="B6240" s="3" t="n">
        <v>6238</v>
      </c>
      <c r="C6240" s="3" t="n">
        <v>7</v>
      </c>
      <c r="D6240" s="3" t="n">
        <v>26</v>
      </c>
      <c r="E6240" s="3" t="n">
        <v>22</v>
      </c>
      <c r="F6240" s="24" t="n">
        <v>0</v>
      </c>
    </row>
    <row r="6241" customFormat="false" ht="15" hidden="false" customHeight="false" outlineLevel="0" collapsed="false">
      <c r="A6241" s="3" t="n">
        <v>6240</v>
      </c>
      <c r="B6241" s="3" t="n">
        <v>6239</v>
      </c>
      <c r="C6241" s="3" t="n">
        <v>7</v>
      </c>
      <c r="D6241" s="3" t="n">
        <v>26</v>
      </c>
      <c r="E6241" s="3" t="n">
        <v>23</v>
      </c>
      <c r="F6241" s="24" t="n">
        <v>0</v>
      </c>
    </row>
    <row r="6242" customFormat="false" ht="15" hidden="false" customHeight="false" outlineLevel="0" collapsed="false">
      <c r="A6242" s="3" t="n">
        <v>6241</v>
      </c>
      <c r="B6242" s="3" t="n">
        <v>6240</v>
      </c>
      <c r="C6242" s="3" t="n">
        <v>7</v>
      </c>
      <c r="D6242" s="3" t="n">
        <v>26</v>
      </c>
      <c r="E6242" s="3" t="n">
        <v>24</v>
      </c>
      <c r="F6242" s="24" t="n">
        <v>0</v>
      </c>
    </row>
    <row r="6243" customFormat="false" ht="15" hidden="false" customHeight="false" outlineLevel="0" collapsed="false">
      <c r="A6243" s="3" t="n">
        <v>6242</v>
      </c>
      <c r="B6243" s="3" t="n">
        <v>6241</v>
      </c>
      <c r="C6243" s="3" t="n">
        <v>7</v>
      </c>
      <c r="D6243" s="3" t="n">
        <v>26</v>
      </c>
      <c r="E6243" s="3" t="n">
        <v>25</v>
      </c>
      <c r="F6243" s="24" t="n">
        <v>0</v>
      </c>
    </row>
    <row r="6244" customFormat="false" ht="15" hidden="false" customHeight="false" outlineLevel="0" collapsed="false">
      <c r="A6244" s="3" t="n">
        <v>6243</v>
      </c>
      <c r="B6244" s="3" t="n">
        <v>6242</v>
      </c>
      <c r="C6244" s="3" t="n">
        <v>7</v>
      </c>
      <c r="D6244" s="3" t="n">
        <v>26</v>
      </c>
      <c r="E6244" s="3" t="n">
        <v>26</v>
      </c>
      <c r="F6244" s="24" t="n">
        <v>0</v>
      </c>
    </row>
    <row r="6245" customFormat="false" ht="15" hidden="false" customHeight="false" outlineLevel="0" collapsed="false">
      <c r="A6245" s="3" t="n">
        <v>6244</v>
      </c>
      <c r="B6245" s="3" t="n">
        <v>6243</v>
      </c>
      <c r="C6245" s="3" t="n">
        <v>7</v>
      </c>
      <c r="D6245" s="3" t="n">
        <v>26</v>
      </c>
      <c r="E6245" s="3" t="n">
        <v>27</v>
      </c>
      <c r="F6245" s="24" t="n">
        <v>0</v>
      </c>
    </row>
    <row r="6246" customFormat="false" ht="15" hidden="false" customHeight="false" outlineLevel="0" collapsed="false">
      <c r="A6246" s="3" t="n">
        <v>6245</v>
      </c>
      <c r="B6246" s="3" t="n">
        <v>6244</v>
      </c>
      <c r="C6246" s="3" t="n">
        <v>7</v>
      </c>
      <c r="D6246" s="3" t="n">
        <v>27</v>
      </c>
      <c r="E6246" s="3" t="n">
        <v>0</v>
      </c>
      <c r="F6246" s="24" t="n">
        <v>0.606766462</v>
      </c>
    </row>
    <row r="6247" customFormat="false" ht="15" hidden="false" customHeight="false" outlineLevel="0" collapsed="false">
      <c r="A6247" s="3" t="n">
        <v>6246</v>
      </c>
      <c r="B6247" s="3" t="n">
        <v>6245</v>
      </c>
      <c r="C6247" s="3" t="n">
        <v>7</v>
      </c>
      <c r="D6247" s="3" t="n">
        <v>27</v>
      </c>
      <c r="E6247" s="3" t="n">
        <v>1</v>
      </c>
      <c r="F6247" s="24" t="n">
        <v>0.279396147</v>
      </c>
    </row>
    <row r="6248" customFormat="false" ht="15" hidden="false" customHeight="false" outlineLevel="0" collapsed="false">
      <c r="A6248" s="3" t="n">
        <v>6247</v>
      </c>
      <c r="B6248" s="3" t="n">
        <v>6246</v>
      </c>
      <c r="C6248" s="3" t="n">
        <v>7</v>
      </c>
      <c r="D6248" s="3" t="n">
        <v>27</v>
      </c>
      <c r="E6248" s="3" t="n">
        <v>2</v>
      </c>
      <c r="F6248" s="24" t="n">
        <v>0.279396147</v>
      </c>
    </row>
    <row r="6249" customFormat="false" ht="15" hidden="false" customHeight="false" outlineLevel="0" collapsed="false">
      <c r="A6249" s="3" t="n">
        <v>6248</v>
      </c>
      <c r="B6249" s="3" t="n">
        <v>6247</v>
      </c>
      <c r="C6249" s="3" t="n">
        <v>7</v>
      </c>
      <c r="D6249" s="3" t="n">
        <v>27</v>
      </c>
      <c r="E6249" s="3" t="n">
        <v>3</v>
      </c>
      <c r="F6249" s="24" t="n">
        <v>0.279396147</v>
      </c>
    </row>
    <row r="6250" customFormat="false" ht="15" hidden="false" customHeight="false" outlineLevel="0" collapsed="false">
      <c r="A6250" s="3" t="n">
        <v>6249</v>
      </c>
      <c r="B6250" s="3" t="n">
        <v>6248</v>
      </c>
      <c r="C6250" s="3" t="n">
        <v>7</v>
      </c>
      <c r="D6250" s="3" t="n">
        <v>27</v>
      </c>
      <c r="E6250" s="3" t="n">
        <v>4</v>
      </c>
      <c r="F6250" s="24" t="n">
        <v>0.279396147</v>
      </c>
    </row>
    <row r="6251" customFormat="false" ht="15" hidden="false" customHeight="false" outlineLevel="0" collapsed="false">
      <c r="A6251" s="3" t="n">
        <v>6250</v>
      </c>
      <c r="B6251" s="3" t="n">
        <v>6249</v>
      </c>
      <c r="C6251" s="3" t="n">
        <v>7</v>
      </c>
      <c r="D6251" s="3" t="n">
        <v>27</v>
      </c>
      <c r="E6251" s="3" t="n">
        <v>5</v>
      </c>
      <c r="F6251" s="24" t="n">
        <v>0.279396147</v>
      </c>
    </row>
    <row r="6252" customFormat="false" ht="15" hidden="false" customHeight="false" outlineLevel="0" collapsed="false">
      <c r="A6252" s="3" t="n">
        <v>6251</v>
      </c>
      <c r="B6252" s="3" t="n">
        <v>6250</v>
      </c>
      <c r="C6252" s="3" t="n">
        <v>7</v>
      </c>
      <c r="D6252" s="3" t="n">
        <v>27</v>
      </c>
      <c r="E6252" s="3" t="n">
        <v>6</v>
      </c>
      <c r="F6252" s="24" t="n">
        <v>0.279396147</v>
      </c>
    </row>
    <row r="6253" customFormat="false" ht="15" hidden="false" customHeight="false" outlineLevel="0" collapsed="false">
      <c r="A6253" s="3" t="n">
        <v>6252</v>
      </c>
      <c r="B6253" s="3" t="n">
        <v>6251</v>
      </c>
      <c r="C6253" s="3" t="n">
        <v>7</v>
      </c>
      <c r="D6253" s="3" t="n">
        <v>27</v>
      </c>
      <c r="E6253" s="3" t="n">
        <v>7</v>
      </c>
      <c r="F6253" s="24" t="n">
        <v>0.279396147</v>
      </c>
    </row>
    <row r="6254" customFormat="false" ht="15" hidden="false" customHeight="false" outlineLevel="0" collapsed="false">
      <c r="A6254" s="3" t="n">
        <v>6253</v>
      </c>
      <c r="B6254" s="3" t="n">
        <v>6252</v>
      </c>
      <c r="C6254" s="3" t="n">
        <v>7</v>
      </c>
      <c r="D6254" s="3" t="n">
        <v>27</v>
      </c>
      <c r="E6254" s="3" t="n">
        <v>8</v>
      </c>
      <c r="F6254" s="24" t="n">
        <v>0.279396147</v>
      </c>
    </row>
    <row r="6255" customFormat="false" ht="15" hidden="false" customHeight="false" outlineLevel="0" collapsed="false">
      <c r="A6255" s="3" t="n">
        <v>6254</v>
      </c>
      <c r="B6255" s="3" t="n">
        <v>6253</v>
      </c>
      <c r="C6255" s="3" t="n">
        <v>7</v>
      </c>
      <c r="D6255" s="3" t="n">
        <v>27</v>
      </c>
      <c r="E6255" s="3" t="n">
        <v>9</v>
      </c>
      <c r="F6255" s="24" t="n">
        <v>0</v>
      </c>
    </row>
    <row r="6256" customFormat="false" ht="15" hidden="false" customHeight="false" outlineLevel="0" collapsed="false">
      <c r="A6256" s="3" t="n">
        <v>6255</v>
      </c>
      <c r="B6256" s="3" t="n">
        <v>6254</v>
      </c>
      <c r="C6256" s="3" t="n">
        <v>7</v>
      </c>
      <c r="D6256" s="3" t="n">
        <v>27</v>
      </c>
      <c r="E6256" s="3" t="n">
        <v>10</v>
      </c>
      <c r="F6256" s="24" t="n">
        <v>0</v>
      </c>
    </row>
    <row r="6257" customFormat="false" ht="15" hidden="false" customHeight="false" outlineLevel="0" collapsed="false">
      <c r="A6257" s="3" t="n">
        <v>6256</v>
      </c>
      <c r="B6257" s="3" t="n">
        <v>6255</v>
      </c>
      <c r="C6257" s="3" t="n">
        <v>7</v>
      </c>
      <c r="D6257" s="3" t="n">
        <v>27</v>
      </c>
      <c r="E6257" s="3" t="n">
        <v>11</v>
      </c>
      <c r="F6257" s="24" t="n">
        <v>0</v>
      </c>
    </row>
    <row r="6258" customFormat="false" ht="15" hidden="false" customHeight="false" outlineLevel="0" collapsed="false">
      <c r="A6258" s="3" t="n">
        <v>6257</v>
      </c>
      <c r="B6258" s="3" t="n">
        <v>6256</v>
      </c>
      <c r="C6258" s="3" t="n">
        <v>7</v>
      </c>
      <c r="D6258" s="3" t="n">
        <v>27</v>
      </c>
      <c r="E6258" s="3" t="n">
        <v>12</v>
      </c>
      <c r="F6258" s="24" t="n">
        <v>1.2350564</v>
      </c>
    </row>
    <row r="6259" customFormat="false" ht="15" hidden="false" customHeight="false" outlineLevel="0" collapsed="false">
      <c r="A6259" s="3" t="n">
        <v>6258</v>
      </c>
      <c r="B6259" s="3" t="n">
        <v>6257</v>
      </c>
      <c r="C6259" s="3" t="n">
        <v>7</v>
      </c>
      <c r="D6259" s="3" t="n">
        <v>27</v>
      </c>
      <c r="E6259" s="3" t="n">
        <v>13</v>
      </c>
      <c r="F6259" s="24" t="n">
        <v>0.941380322</v>
      </c>
    </row>
    <row r="6260" customFormat="false" ht="15" hidden="false" customHeight="false" outlineLevel="0" collapsed="false">
      <c r="A6260" s="3" t="n">
        <v>6259</v>
      </c>
      <c r="B6260" s="3" t="n">
        <v>6258</v>
      </c>
      <c r="C6260" s="3" t="n">
        <v>7</v>
      </c>
      <c r="D6260" s="3" t="n">
        <v>27</v>
      </c>
      <c r="E6260" s="3" t="n">
        <v>14</v>
      </c>
      <c r="F6260" s="24" t="n">
        <v>0.334494472</v>
      </c>
    </row>
    <row r="6261" customFormat="false" ht="15" hidden="false" customHeight="false" outlineLevel="0" collapsed="false">
      <c r="A6261" s="3" t="n">
        <v>6260</v>
      </c>
      <c r="B6261" s="3" t="n">
        <v>6259</v>
      </c>
      <c r="C6261" s="3" t="n">
        <v>7</v>
      </c>
      <c r="D6261" s="3" t="n">
        <v>27</v>
      </c>
      <c r="E6261" s="3" t="n">
        <v>15</v>
      </c>
      <c r="F6261" s="24" t="n">
        <v>0.279396147</v>
      </c>
    </row>
    <row r="6262" customFormat="false" ht="15" hidden="false" customHeight="false" outlineLevel="0" collapsed="false">
      <c r="A6262" s="3" t="n">
        <v>6261</v>
      </c>
      <c r="B6262" s="3" t="n">
        <v>6260</v>
      </c>
      <c r="C6262" s="3" t="n">
        <v>7</v>
      </c>
      <c r="D6262" s="3" t="n">
        <v>27</v>
      </c>
      <c r="E6262" s="3" t="n">
        <v>16</v>
      </c>
      <c r="F6262" s="24" t="n">
        <v>0.279396147</v>
      </c>
    </row>
    <row r="6263" customFormat="false" ht="15" hidden="false" customHeight="false" outlineLevel="0" collapsed="false">
      <c r="A6263" s="3" t="n">
        <v>6262</v>
      </c>
      <c r="B6263" s="3" t="n">
        <v>6261</v>
      </c>
      <c r="C6263" s="3" t="n">
        <v>7</v>
      </c>
      <c r="D6263" s="3" t="n">
        <v>27</v>
      </c>
      <c r="E6263" s="3" t="n">
        <v>17</v>
      </c>
      <c r="F6263" s="24" t="n">
        <v>0.279396147</v>
      </c>
    </row>
    <row r="6264" customFormat="false" ht="15" hidden="false" customHeight="false" outlineLevel="0" collapsed="false">
      <c r="A6264" s="3" t="n">
        <v>6263</v>
      </c>
      <c r="B6264" s="3" t="n">
        <v>6262</v>
      </c>
      <c r="C6264" s="3" t="n">
        <v>7</v>
      </c>
      <c r="D6264" s="3" t="n">
        <v>27</v>
      </c>
      <c r="E6264" s="3" t="n">
        <v>18</v>
      </c>
      <c r="F6264" s="24" t="n">
        <v>0.279396147</v>
      </c>
    </row>
    <row r="6265" customFormat="false" ht="15" hidden="false" customHeight="false" outlineLevel="0" collapsed="false">
      <c r="A6265" s="3" t="n">
        <v>6264</v>
      </c>
      <c r="B6265" s="3" t="n">
        <v>6263</v>
      </c>
      <c r="C6265" s="3" t="n">
        <v>7</v>
      </c>
      <c r="D6265" s="3" t="n">
        <v>27</v>
      </c>
      <c r="E6265" s="3" t="n">
        <v>19</v>
      </c>
      <c r="F6265" s="24" t="n">
        <v>0.279396147</v>
      </c>
    </row>
    <row r="6266" customFormat="false" ht="15" hidden="false" customHeight="false" outlineLevel="0" collapsed="false">
      <c r="A6266" s="3" t="n">
        <v>6265</v>
      </c>
      <c r="B6266" s="3" t="n">
        <v>6264</v>
      </c>
      <c r="C6266" s="3" t="n">
        <v>7</v>
      </c>
      <c r="D6266" s="3" t="n">
        <v>27</v>
      </c>
      <c r="E6266" s="3" t="n">
        <v>20</v>
      </c>
      <c r="F6266" s="24" t="n">
        <v>0.279396147</v>
      </c>
    </row>
    <row r="6267" customFormat="false" ht="15" hidden="false" customHeight="false" outlineLevel="0" collapsed="false">
      <c r="A6267" s="3" t="n">
        <v>6266</v>
      </c>
      <c r="B6267" s="3" t="n">
        <v>6265</v>
      </c>
      <c r="C6267" s="3" t="n">
        <v>7</v>
      </c>
      <c r="D6267" s="3" t="n">
        <v>27</v>
      </c>
      <c r="E6267" s="3" t="n">
        <v>21</v>
      </c>
      <c r="F6267" s="24" t="n">
        <v>0.279396147</v>
      </c>
    </row>
    <row r="6268" customFormat="false" ht="15" hidden="false" customHeight="false" outlineLevel="0" collapsed="false">
      <c r="A6268" s="3" t="n">
        <v>6267</v>
      </c>
      <c r="B6268" s="3" t="n">
        <v>6266</v>
      </c>
      <c r="C6268" s="3" t="n">
        <v>7</v>
      </c>
      <c r="D6268" s="3" t="n">
        <v>27</v>
      </c>
      <c r="E6268" s="3" t="n">
        <v>22</v>
      </c>
      <c r="F6268" s="24" t="n">
        <v>0.279396147</v>
      </c>
    </row>
    <row r="6269" customFormat="false" ht="15" hidden="false" customHeight="false" outlineLevel="0" collapsed="false">
      <c r="A6269" s="3" t="n">
        <v>6268</v>
      </c>
      <c r="B6269" s="3" t="n">
        <v>6267</v>
      </c>
      <c r="C6269" s="3" t="n">
        <v>7</v>
      </c>
      <c r="D6269" s="3" t="n">
        <v>27</v>
      </c>
      <c r="E6269" s="3" t="n">
        <v>23</v>
      </c>
      <c r="F6269" s="24" t="n">
        <v>0.279396147</v>
      </c>
    </row>
    <row r="6270" customFormat="false" ht="15" hidden="false" customHeight="false" outlineLevel="0" collapsed="false">
      <c r="A6270" s="3" t="n">
        <v>6269</v>
      </c>
      <c r="B6270" s="3" t="n">
        <v>6268</v>
      </c>
      <c r="C6270" s="3" t="n">
        <v>7</v>
      </c>
      <c r="D6270" s="3" t="n">
        <v>27</v>
      </c>
      <c r="E6270" s="3" t="n">
        <v>24</v>
      </c>
      <c r="F6270" s="24" t="n">
        <v>0.279396147</v>
      </c>
    </row>
    <row r="6271" customFormat="false" ht="15" hidden="false" customHeight="false" outlineLevel="0" collapsed="false">
      <c r="A6271" s="3" t="n">
        <v>6270</v>
      </c>
      <c r="B6271" s="3" t="n">
        <v>6269</v>
      </c>
      <c r="C6271" s="3" t="n">
        <v>7</v>
      </c>
      <c r="D6271" s="3" t="n">
        <v>27</v>
      </c>
      <c r="E6271" s="3" t="n">
        <v>25</v>
      </c>
      <c r="F6271" s="24" t="n">
        <v>0.279396147</v>
      </c>
    </row>
    <row r="6272" customFormat="false" ht="15" hidden="false" customHeight="false" outlineLevel="0" collapsed="false">
      <c r="A6272" s="3" t="n">
        <v>6271</v>
      </c>
      <c r="B6272" s="3" t="n">
        <v>6270</v>
      </c>
      <c r="C6272" s="3" t="n">
        <v>7</v>
      </c>
      <c r="D6272" s="3" t="n">
        <v>27</v>
      </c>
      <c r="E6272" s="3" t="n">
        <v>26</v>
      </c>
      <c r="F6272" s="24" t="n">
        <v>0.279396147</v>
      </c>
    </row>
    <row r="6273" customFormat="false" ht="15" hidden="false" customHeight="false" outlineLevel="0" collapsed="false">
      <c r="A6273" s="3" t="n">
        <v>6272</v>
      </c>
      <c r="B6273" s="3" t="n">
        <v>6271</v>
      </c>
      <c r="C6273" s="3" t="n">
        <v>7</v>
      </c>
      <c r="D6273" s="3" t="n">
        <v>27</v>
      </c>
      <c r="E6273" s="3" t="n">
        <v>27</v>
      </c>
      <c r="F6273" s="24" t="n">
        <v>0</v>
      </c>
    </row>
  </sheetData>
  <autoFilter ref="A1:F62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5" min="3" style="0" width="8"/>
    <col collapsed="false" customWidth="true" hidden="false" outlineLevel="0" max="6" min="6" style="0" width="14"/>
  </cols>
  <sheetData>
    <row r="1" customFormat="false" ht="23.85" hidden="false" customHeight="false" outlineLevel="0" collapsed="false">
      <c r="A1" s="9" t="s">
        <v>109</v>
      </c>
      <c r="B1" s="9" t="s">
        <v>110</v>
      </c>
      <c r="C1" s="9" t="s">
        <v>121</v>
      </c>
      <c r="D1" s="9" t="s">
        <v>122</v>
      </c>
      <c r="E1" s="9" t="s">
        <v>123</v>
      </c>
      <c r="F1" s="9" t="s">
        <v>114</v>
      </c>
      <c r="H1" s="4" t="s">
        <v>127</v>
      </c>
    </row>
    <row r="2" customFormat="false" ht="15" hidden="false" customHeight="false" outlineLevel="0" collapsed="false">
      <c r="A2" s="3" t="n">
        <v>1</v>
      </c>
      <c r="B2" s="3" t="n">
        <v>0</v>
      </c>
      <c r="C2" s="3" t="n">
        <v>0</v>
      </c>
      <c r="D2" s="3" t="n">
        <v>0</v>
      </c>
      <c r="E2" s="3" t="n">
        <v>0</v>
      </c>
      <c r="F2" s="24" t="n">
        <v>0.10001415</v>
      </c>
    </row>
    <row r="3" customFormat="false" ht="15" hidden="false" customHeight="false" outlineLevel="0" collapsed="false">
      <c r="A3" s="3" t="n">
        <v>2</v>
      </c>
      <c r="B3" s="3" t="n">
        <v>1</v>
      </c>
      <c r="C3" s="3" t="n">
        <v>0</v>
      </c>
      <c r="D3" s="3" t="n">
        <v>0</v>
      </c>
      <c r="E3" s="3" t="n">
        <v>1</v>
      </c>
      <c r="F3" s="24" t="n">
        <v>0.0582036376</v>
      </c>
    </row>
    <row r="4" customFormat="false" ht="15" hidden="false" customHeight="false" outlineLevel="0" collapsed="false">
      <c r="A4" s="3" t="n">
        <v>3</v>
      </c>
      <c r="B4" s="3" t="n">
        <v>2</v>
      </c>
      <c r="C4" s="3" t="n">
        <v>0</v>
      </c>
      <c r="D4" s="3" t="n">
        <v>0</v>
      </c>
      <c r="E4" s="3" t="n">
        <v>2</v>
      </c>
      <c r="F4" s="24" t="n">
        <v>0.0582036376</v>
      </c>
    </row>
    <row r="5" customFormat="false" ht="15" hidden="false" customHeight="false" outlineLevel="0" collapsed="false">
      <c r="A5" s="3" t="n">
        <v>4</v>
      </c>
      <c r="B5" s="3" t="n">
        <v>3</v>
      </c>
      <c r="C5" s="3" t="n">
        <v>0</v>
      </c>
      <c r="D5" s="3" t="n">
        <v>0</v>
      </c>
      <c r="E5" s="3" t="n">
        <v>3</v>
      </c>
      <c r="F5" s="24" t="n">
        <v>0.0582036376</v>
      </c>
    </row>
    <row r="6" customFormat="false" ht="15" hidden="false" customHeight="false" outlineLevel="0" collapsed="false">
      <c r="A6" s="3" t="n">
        <v>5</v>
      </c>
      <c r="B6" s="3" t="n">
        <v>4</v>
      </c>
      <c r="C6" s="3" t="n">
        <v>0</v>
      </c>
      <c r="D6" s="3" t="n">
        <v>0</v>
      </c>
      <c r="E6" s="3" t="n">
        <v>4</v>
      </c>
      <c r="F6" s="24" t="n">
        <v>0.0582036376</v>
      </c>
    </row>
    <row r="7" customFormat="false" ht="15" hidden="false" customHeight="false" outlineLevel="0" collapsed="false">
      <c r="A7" s="3" t="n">
        <v>6</v>
      </c>
      <c r="B7" s="3" t="n">
        <v>5</v>
      </c>
      <c r="C7" s="3" t="n">
        <v>0</v>
      </c>
      <c r="D7" s="3" t="n">
        <v>0</v>
      </c>
      <c r="E7" s="3" t="n">
        <v>5</v>
      </c>
      <c r="F7" s="24" t="n">
        <v>0.0582036376</v>
      </c>
    </row>
    <row r="8" customFormat="false" ht="15" hidden="false" customHeight="false" outlineLevel="0" collapsed="false">
      <c r="A8" s="3" t="n">
        <v>7</v>
      </c>
      <c r="B8" s="3" t="n">
        <v>6</v>
      </c>
      <c r="C8" s="3" t="n">
        <v>0</v>
      </c>
      <c r="D8" s="3" t="n">
        <v>0</v>
      </c>
      <c r="E8" s="3" t="n">
        <v>6</v>
      </c>
      <c r="F8" s="24" t="n">
        <v>0.0582036376</v>
      </c>
    </row>
    <row r="9" customFormat="false" ht="15" hidden="false" customHeight="false" outlineLevel="0" collapsed="false">
      <c r="A9" s="3" t="n">
        <v>8</v>
      </c>
      <c r="B9" s="3" t="n">
        <v>7</v>
      </c>
      <c r="C9" s="3" t="n">
        <v>0</v>
      </c>
      <c r="D9" s="3" t="n">
        <v>0</v>
      </c>
      <c r="E9" s="3" t="n">
        <v>7</v>
      </c>
      <c r="F9" s="24" t="n">
        <v>0.0582036376</v>
      </c>
    </row>
    <row r="10" customFormat="false" ht="15" hidden="false" customHeight="false" outlineLevel="0" collapsed="false">
      <c r="A10" s="3" t="n">
        <v>9</v>
      </c>
      <c r="B10" s="3" t="n">
        <v>8</v>
      </c>
      <c r="C10" s="3" t="n">
        <v>0</v>
      </c>
      <c r="D10" s="3" t="n">
        <v>0</v>
      </c>
      <c r="E10" s="3" t="n">
        <v>8</v>
      </c>
      <c r="F10" s="24" t="n">
        <v>0.0582036376</v>
      </c>
    </row>
    <row r="11" customFormat="false" ht="15" hidden="false" customHeight="false" outlineLevel="0" collapsed="false">
      <c r="A11" s="3" t="n">
        <v>10</v>
      </c>
      <c r="B11" s="3" t="n">
        <v>9</v>
      </c>
      <c r="C11" s="3" t="n">
        <v>0</v>
      </c>
      <c r="D11" s="3" t="n">
        <v>0</v>
      </c>
      <c r="E11" s="3" t="n">
        <v>9</v>
      </c>
      <c r="F11" s="24" t="n">
        <v>0.0582036376</v>
      </c>
    </row>
    <row r="12" customFormat="false" ht="15" hidden="false" customHeight="false" outlineLevel="0" collapsed="false">
      <c r="A12" s="3" t="n">
        <v>11</v>
      </c>
      <c r="B12" s="3" t="n">
        <v>10</v>
      </c>
      <c r="C12" s="3" t="n">
        <v>0</v>
      </c>
      <c r="D12" s="3" t="n">
        <v>0</v>
      </c>
      <c r="E12" s="3" t="n">
        <v>10</v>
      </c>
      <c r="F12" s="24" t="n">
        <v>0.0582036376</v>
      </c>
    </row>
    <row r="13" customFormat="false" ht="15" hidden="false" customHeight="false" outlineLevel="0" collapsed="false">
      <c r="A13" s="3" t="n">
        <v>12</v>
      </c>
      <c r="B13" s="3" t="n">
        <v>11</v>
      </c>
      <c r="C13" s="3" t="n">
        <v>0</v>
      </c>
      <c r="D13" s="3" t="n">
        <v>0</v>
      </c>
      <c r="E13" s="3" t="n">
        <v>11</v>
      </c>
      <c r="F13" s="24" t="n">
        <v>0.0582036376</v>
      </c>
    </row>
    <row r="14" customFormat="false" ht="15" hidden="false" customHeight="false" outlineLevel="0" collapsed="false">
      <c r="A14" s="3" t="n">
        <v>13</v>
      </c>
      <c r="B14" s="3" t="n">
        <v>12</v>
      </c>
      <c r="C14" s="3" t="n">
        <v>0</v>
      </c>
      <c r="D14" s="3" t="n">
        <v>0</v>
      </c>
      <c r="E14" s="3" t="n">
        <v>12</v>
      </c>
      <c r="F14" s="24" t="n">
        <v>0.0582036376</v>
      </c>
    </row>
    <row r="15" customFormat="false" ht="15" hidden="false" customHeight="false" outlineLevel="0" collapsed="false">
      <c r="A15" s="3" t="n">
        <v>14</v>
      </c>
      <c r="B15" s="3" t="n">
        <v>13</v>
      </c>
      <c r="C15" s="3" t="n">
        <v>0</v>
      </c>
      <c r="D15" s="3" t="n">
        <v>0</v>
      </c>
      <c r="E15" s="3" t="n">
        <v>13</v>
      </c>
      <c r="F15" s="24" t="n">
        <v>0.304429382</v>
      </c>
    </row>
    <row r="16" customFormat="false" ht="15" hidden="false" customHeight="false" outlineLevel="0" collapsed="false">
      <c r="A16" s="3" t="n">
        <v>15</v>
      </c>
      <c r="B16" s="3" t="n">
        <v>14</v>
      </c>
      <c r="C16" s="3" t="n">
        <v>0</v>
      </c>
      <c r="D16" s="3" t="n">
        <v>1</v>
      </c>
      <c r="E16" s="3" t="n">
        <v>0</v>
      </c>
      <c r="F16" s="24" t="n">
        <v>0.10001415</v>
      </c>
    </row>
    <row r="17" customFormat="false" ht="15" hidden="false" customHeight="false" outlineLevel="0" collapsed="false">
      <c r="A17" s="3" t="n">
        <v>16</v>
      </c>
      <c r="B17" s="3" t="n">
        <v>15</v>
      </c>
      <c r="C17" s="3" t="n">
        <v>0</v>
      </c>
      <c r="D17" s="3" t="n">
        <v>1</v>
      </c>
      <c r="E17" s="3" t="n">
        <v>1</v>
      </c>
      <c r="F17" s="24" t="n">
        <v>0</v>
      </c>
    </row>
    <row r="18" customFormat="false" ht="15" hidden="false" customHeight="false" outlineLevel="0" collapsed="false">
      <c r="A18" s="3" t="n">
        <v>17</v>
      </c>
      <c r="B18" s="3" t="n">
        <v>16</v>
      </c>
      <c r="C18" s="3" t="n">
        <v>0</v>
      </c>
      <c r="D18" s="3" t="n">
        <v>1</v>
      </c>
      <c r="E18" s="3" t="n">
        <v>2</v>
      </c>
      <c r="F18" s="24" t="n">
        <v>0</v>
      </c>
    </row>
    <row r="19" customFormat="false" ht="15" hidden="false" customHeight="false" outlineLevel="0" collapsed="false">
      <c r="A19" s="3" t="n">
        <v>18</v>
      </c>
      <c r="B19" s="3" t="n">
        <v>17</v>
      </c>
      <c r="C19" s="3" t="n">
        <v>0</v>
      </c>
      <c r="D19" s="3" t="n">
        <v>1</v>
      </c>
      <c r="E19" s="3" t="n">
        <v>3</v>
      </c>
      <c r="F19" s="24" t="n">
        <v>0</v>
      </c>
    </row>
    <row r="20" customFormat="false" ht="15" hidden="false" customHeight="false" outlineLevel="0" collapsed="false">
      <c r="A20" s="3" t="n">
        <v>19</v>
      </c>
      <c r="B20" s="3" t="n">
        <v>18</v>
      </c>
      <c r="C20" s="3" t="n">
        <v>0</v>
      </c>
      <c r="D20" s="3" t="n">
        <v>1</v>
      </c>
      <c r="E20" s="3" t="n">
        <v>4</v>
      </c>
      <c r="F20" s="24" t="n">
        <v>0</v>
      </c>
    </row>
    <row r="21" customFormat="false" ht="15" hidden="false" customHeight="false" outlineLevel="0" collapsed="false">
      <c r="A21" s="3" t="n">
        <v>20</v>
      </c>
      <c r="B21" s="3" t="n">
        <v>19</v>
      </c>
      <c r="C21" s="3" t="n">
        <v>0</v>
      </c>
      <c r="D21" s="3" t="n">
        <v>1</v>
      </c>
      <c r="E21" s="3" t="n">
        <v>5</v>
      </c>
      <c r="F21" s="24" t="n">
        <v>0</v>
      </c>
    </row>
    <row r="22" customFormat="false" ht="15" hidden="false" customHeight="false" outlineLevel="0" collapsed="false">
      <c r="A22" s="3" t="n">
        <v>21</v>
      </c>
      <c r="B22" s="3" t="n">
        <v>20</v>
      </c>
      <c r="C22" s="3" t="n">
        <v>0</v>
      </c>
      <c r="D22" s="3" t="n">
        <v>1</v>
      </c>
      <c r="E22" s="3" t="n">
        <v>6</v>
      </c>
      <c r="F22" s="24" t="n">
        <v>0</v>
      </c>
    </row>
    <row r="23" customFormat="false" ht="15" hidden="false" customHeight="false" outlineLevel="0" collapsed="false">
      <c r="A23" s="3" t="n">
        <v>22</v>
      </c>
      <c r="B23" s="3" t="n">
        <v>21</v>
      </c>
      <c r="C23" s="3" t="n">
        <v>0</v>
      </c>
      <c r="D23" s="3" t="n">
        <v>1</v>
      </c>
      <c r="E23" s="3" t="n">
        <v>7</v>
      </c>
      <c r="F23" s="24" t="n">
        <v>0</v>
      </c>
    </row>
    <row r="24" customFormat="false" ht="15" hidden="false" customHeight="false" outlineLevel="0" collapsed="false">
      <c r="A24" s="3" t="n">
        <v>23</v>
      </c>
      <c r="B24" s="3" t="n">
        <v>22</v>
      </c>
      <c r="C24" s="3" t="n">
        <v>0</v>
      </c>
      <c r="D24" s="3" t="n">
        <v>1</v>
      </c>
      <c r="E24" s="3" t="n">
        <v>8</v>
      </c>
      <c r="F24" s="24" t="n">
        <v>0</v>
      </c>
    </row>
    <row r="25" customFormat="false" ht="15" hidden="false" customHeight="false" outlineLevel="0" collapsed="false">
      <c r="A25" s="3" t="n">
        <v>24</v>
      </c>
      <c r="B25" s="3" t="n">
        <v>23</v>
      </c>
      <c r="C25" s="3" t="n">
        <v>0</v>
      </c>
      <c r="D25" s="3" t="n">
        <v>1</v>
      </c>
      <c r="E25" s="3" t="n">
        <v>9</v>
      </c>
      <c r="F25" s="24" t="n">
        <v>0</v>
      </c>
    </row>
    <row r="26" customFormat="false" ht="15" hidden="false" customHeight="false" outlineLevel="0" collapsed="false">
      <c r="A26" s="3" t="n">
        <v>25</v>
      </c>
      <c r="B26" s="3" t="n">
        <v>24</v>
      </c>
      <c r="C26" s="3" t="n">
        <v>0</v>
      </c>
      <c r="D26" s="3" t="n">
        <v>1</v>
      </c>
      <c r="E26" s="3" t="n">
        <v>10</v>
      </c>
      <c r="F26" s="24" t="n">
        <v>0</v>
      </c>
    </row>
    <row r="27" customFormat="false" ht="15" hidden="false" customHeight="false" outlineLevel="0" collapsed="false">
      <c r="A27" s="3" t="n">
        <v>26</v>
      </c>
      <c r="B27" s="3" t="n">
        <v>25</v>
      </c>
      <c r="C27" s="3" t="n">
        <v>0</v>
      </c>
      <c r="D27" s="3" t="n">
        <v>1</v>
      </c>
      <c r="E27" s="3" t="n">
        <v>11</v>
      </c>
      <c r="F27" s="24" t="n">
        <v>0</v>
      </c>
    </row>
    <row r="28" customFormat="false" ht="15" hidden="false" customHeight="false" outlineLevel="0" collapsed="false">
      <c r="A28" s="3" t="n">
        <v>27</v>
      </c>
      <c r="B28" s="3" t="n">
        <v>26</v>
      </c>
      <c r="C28" s="3" t="n">
        <v>0</v>
      </c>
      <c r="D28" s="3" t="n">
        <v>1</v>
      </c>
      <c r="E28" s="3" t="n">
        <v>12</v>
      </c>
      <c r="F28" s="24" t="n">
        <v>0</v>
      </c>
    </row>
    <row r="29" customFormat="false" ht="15" hidden="false" customHeight="false" outlineLevel="0" collapsed="false">
      <c r="A29" s="3" t="n">
        <v>28</v>
      </c>
      <c r="B29" s="3" t="n">
        <v>27</v>
      </c>
      <c r="C29" s="3" t="n">
        <v>0</v>
      </c>
      <c r="D29" s="3" t="n">
        <v>1</v>
      </c>
      <c r="E29" s="3" t="n">
        <v>13</v>
      </c>
      <c r="F29" s="24" t="n">
        <v>0.0673455298</v>
      </c>
    </row>
    <row r="30" customFormat="false" ht="15" hidden="false" customHeight="false" outlineLevel="0" collapsed="false">
      <c r="A30" s="3" t="n">
        <v>29</v>
      </c>
      <c r="B30" s="3" t="n">
        <v>28</v>
      </c>
      <c r="C30" s="3" t="n">
        <v>0</v>
      </c>
      <c r="D30" s="3" t="n">
        <v>2</v>
      </c>
      <c r="E30" s="3" t="n">
        <v>0</v>
      </c>
      <c r="F30" s="24" t="n">
        <v>0.10001415</v>
      </c>
    </row>
    <row r="31" customFormat="false" ht="15" hidden="false" customHeight="false" outlineLevel="0" collapsed="false">
      <c r="A31" s="3" t="n">
        <v>30</v>
      </c>
      <c r="B31" s="3" t="n">
        <v>29</v>
      </c>
      <c r="C31" s="3" t="n">
        <v>0</v>
      </c>
      <c r="D31" s="3" t="n">
        <v>2</v>
      </c>
      <c r="E31" s="3" t="n">
        <v>1</v>
      </c>
      <c r="F31" s="24" t="n">
        <v>0</v>
      </c>
    </row>
    <row r="32" customFormat="false" ht="15" hidden="false" customHeight="false" outlineLevel="0" collapsed="false">
      <c r="A32" s="3" t="n">
        <v>31</v>
      </c>
      <c r="B32" s="3" t="n">
        <v>30</v>
      </c>
      <c r="C32" s="3" t="n">
        <v>0</v>
      </c>
      <c r="D32" s="3" t="n">
        <v>2</v>
      </c>
      <c r="E32" s="3" t="n">
        <v>2</v>
      </c>
      <c r="F32" s="24" t="n">
        <v>0</v>
      </c>
    </row>
    <row r="33" customFormat="false" ht="15" hidden="false" customHeight="false" outlineLevel="0" collapsed="false">
      <c r="A33" s="3" t="n">
        <v>32</v>
      </c>
      <c r="B33" s="3" t="n">
        <v>31</v>
      </c>
      <c r="C33" s="3" t="n">
        <v>0</v>
      </c>
      <c r="D33" s="3" t="n">
        <v>2</v>
      </c>
      <c r="E33" s="3" t="n">
        <v>3</v>
      </c>
      <c r="F33" s="24" t="n">
        <v>0</v>
      </c>
    </row>
    <row r="34" customFormat="false" ht="15" hidden="false" customHeight="false" outlineLevel="0" collapsed="false">
      <c r="A34" s="3" t="n">
        <v>33</v>
      </c>
      <c r="B34" s="3" t="n">
        <v>32</v>
      </c>
      <c r="C34" s="3" t="n">
        <v>0</v>
      </c>
      <c r="D34" s="3" t="n">
        <v>2</v>
      </c>
      <c r="E34" s="3" t="n">
        <v>4</v>
      </c>
      <c r="F34" s="24" t="n">
        <v>0</v>
      </c>
    </row>
    <row r="35" customFormat="false" ht="15" hidden="false" customHeight="false" outlineLevel="0" collapsed="false">
      <c r="A35" s="3" t="n">
        <v>34</v>
      </c>
      <c r="B35" s="3" t="n">
        <v>33</v>
      </c>
      <c r="C35" s="3" t="n">
        <v>0</v>
      </c>
      <c r="D35" s="3" t="n">
        <v>2</v>
      </c>
      <c r="E35" s="3" t="n">
        <v>5</v>
      </c>
      <c r="F35" s="24" t="n">
        <v>0</v>
      </c>
    </row>
    <row r="36" customFormat="false" ht="15" hidden="false" customHeight="false" outlineLevel="0" collapsed="false">
      <c r="A36" s="3" t="n">
        <v>35</v>
      </c>
      <c r="B36" s="3" t="n">
        <v>34</v>
      </c>
      <c r="C36" s="3" t="n">
        <v>0</v>
      </c>
      <c r="D36" s="3" t="n">
        <v>2</v>
      </c>
      <c r="E36" s="3" t="n">
        <v>6</v>
      </c>
      <c r="F36" s="24" t="n">
        <v>0</v>
      </c>
    </row>
    <row r="37" customFormat="false" ht="15" hidden="false" customHeight="false" outlineLevel="0" collapsed="false">
      <c r="A37" s="3" t="n">
        <v>36</v>
      </c>
      <c r="B37" s="3" t="n">
        <v>35</v>
      </c>
      <c r="C37" s="3" t="n">
        <v>0</v>
      </c>
      <c r="D37" s="3" t="n">
        <v>2</v>
      </c>
      <c r="E37" s="3" t="n">
        <v>7</v>
      </c>
      <c r="F37" s="24" t="n">
        <v>0</v>
      </c>
    </row>
    <row r="38" customFormat="false" ht="15" hidden="false" customHeight="false" outlineLevel="0" collapsed="false">
      <c r="A38" s="3" t="n">
        <v>37</v>
      </c>
      <c r="B38" s="3" t="n">
        <v>36</v>
      </c>
      <c r="C38" s="3" t="n">
        <v>0</v>
      </c>
      <c r="D38" s="3" t="n">
        <v>2</v>
      </c>
      <c r="E38" s="3" t="n">
        <v>8</v>
      </c>
      <c r="F38" s="24" t="n">
        <v>0</v>
      </c>
    </row>
    <row r="39" customFormat="false" ht="15" hidden="false" customHeight="false" outlineLevel="0" collapsed="false">
      <c r="A39" s="3" t="n">
        <v>38</v>
      </c>
      <c r="B39" s="3" t="n">
        <v>37</v>
      </c>
      <c r="C39" s="3" t="n">
        <v>0</v>
      </c>
      <c r="D39" s="3" t="n">
        <v>2</v>
      </c>
      <c r="E39" s="3" t="n">
        <v>9</v>
      </c>
      <c r="F39" s="24" t="n">
        <v>0</v>
      </c>
    </row>
    <row r="40" customFormat="false" ht="15" hidden="false" customHeight="false" outlineLevel="0" collapsed="false">
      <c r="A40" s="3" t="n">
        <v>39</v>
      </c>
      <c r="B40" s="3" t="n">
        <v>38</v>
      </c>
      <c r="C40" s="3" t="n">
        <v>0</v>
      </c>
      <c r="D40" s="3" t="n">
        <v>2</v>
      </c>
      <c r="E40" s="3" t="n">
        <v>10</v>
      </c>
      <c r="F40" s="24" t="n">
        <v>0</v>
      </c>
    </row>
    <row r="41" customFormat="false" ht="15" hidden="false" customHeight="false" outlineLevel="0" collapsed="false">
      <c r="A41" s="3" t="n">
        <v>40</v>
      </c>
      <c r="B41" s="3" t="n">
        <v>39</v>
      </c>
      <c r="C41" s="3" t="n">
        <v>0</v>
      </c>
      <c r="D41" s="3" t="n">
        <v>2</v>
      </c>
      <c r="E41" s="3" t="n">
        <v>11</v>
      </c>
      <c r="F41" s="24" t="n">
        <v>0</v>
      </c>
    </row>
    <row r="42" customFormat="false" ht="15" hidden="false" customHeight="false" outlineLevel="0" collapsed="false">
      <c r="A42" s="3" t="n">
        <v>41</v>
      </c>
      <c r="B42" s="3" t="n">
        <v>40</v>
      </c>
      <c r="C42" s="3" t="n">
        <v>0</v>
      </c>
      <c r="D42" s="3" t="n">
        <v>2</v>
      </c>
      <c r="E42" s="3" t="n">
        <v>12</v>
      </c>
      <c r="F42" s="24" t="n">
        <v>0</v>
      </c>
    </row>
    <row r="43" customFormat="false" ht="15" hidden="false" customHeight="false" outlineLevel="0" collapsed="false">
      <c r="A43" s="3" t="n">
        <v>42</v>
      </c>
      <c r="B43" s="3" t="n">
        <v>41</v>
      </c>
      <c r="C43" s="3" t="n">
        <v>0</v>
      </c>
      <c r="D43" s="3" t="n">
        <v>2</v>
      </c>
      <c r="E43" s="3" t="n">
        <v>13</v>
      </c>
      <c r="F43" s="24" t="n">
        <v>0.0673455298</v>
      </c>
    </row>
    <row r="44" customFormat="false" ht="15" hidden="false" customHeight="false" outlineLevel="0" collapsed="false">
      <c r="A44" s="3" t="n">
        <v>43</v>
      </c>
      <c r="B44" s="3" t="n">
        <v>42</v>
      </c>
      <c r="C44" s="3" t="n">
        <v>0</v>
      </c>
      <c r="D44" s="3" t="n">
        <v>3</v>
      </c>
      <c r="E44" s="3" t="n">
        <v>0</v>
      </c>
      <c r="F44" s="24" t="n">
        <v>0.10001415</v>
      </c>
    </row>
    <row r="45" customFormat="false" ht="15" hidden="false" customHeight="false" outlineLevel="0" collapsed="false">
      <c r="A45" s="3" t="n">
        <v>44</v>
      </c>
      <c r="B45" s="3" t="n">
        <v>43</v>
      </c>
      <c r="C45" s="3" t="n">
        <v>0</v>
      </c>
      <c r="D45" s="3" t="n">
        <v>3</v>
      </c>
      <c r="E45" s="3" t="n">
        <v>1</v>
      </c>
      <c r="F45" s="24" t="n">
        <v>0</v>
      </c>
    </row>
    <row r="46" customFormat="false" ht="15" hidden="false" customHeight="false" outlineLevel="0" collapsed="false">
      <c r="A46" s="3" t="n">
        <v>45</v>
      </c>
      <c r="B46" s="3" t="n">
        <v>44</v>
      </c>
      <c r="C46" s="3" t="n">
        <v>0</v>
      </c>
      <c r="D46" s="3" t="n">
        <v>3</v>
      </c>
      <c r="E46" s="3" t="n">
        <v>2</v>
      </c>
      <c r="F46" s="24" t="n">
        <v>0.978731275</v>
      </c>
    </row>
    <row r="47" customFormat="false" ht="15" hidden="false" customHeight="false" outlineLevel="0" collapsed="false">
      <c r="A47" s="3" t="n">
        <v>46</v>
      </c>
      <c r="B47" s="3" t="n">
        <v>45</v>
      </c>
      <c r="C47" s="3" t="n">
        <v>0</v>
      </c>
      <c r="D47" s="3" t="n">
        <v>3</v>
      </c>
      <c r="E47" s="3" t="n">
        <v>3</v>
      </c>
      <c r="F47" s="24" t="n">
        <v>1.84406316</v>
      </c>
    </row>
    <row r="48" customFormat="false" ht="15" hidden="false" customHeight="false" outlineLevel="0" collapsed="false">
      <c r="A48" s="3" t="n">
        <v>47</v>
      </c>
      <c r="B48" s="3" t="n">
        <v>46</v>
      </c>
      <c r="C48" s="3" t="n">
        <v>0</v>
      </c>
      <c r="D48" s="3" t="n">
        <v>3</v>
      </c>
      <c r="E48" s="3" t="n">
        <v>4</v>
      </c>
      <c r="F48" s="24" t="n">
        <v>1.55139136</v>
      </c>
    </row>
    <row r="49" customFormat="false" ht="15" hidden="false" customHeight="false" outlineLevel="0" collapsed="false">
      <c r="A49" s="3" t="n">
        <v>48</v>
      </c>
      <c r="B49" s="3" t="n">
        <v>47</v>
      </c>
      <c r="C49" s="3" t="n">
        <v>0</v>
      </c>
      <c r="D49" s="3" t="n">
        <v>3</v>
      </c>
      <c r="E49" s="3" t="n">
        <v>5</v>
      </c>
      <c r="F49" s="24" t="n">
        <v>0.558254719</v>
      </c>
    </row>
    <row r="50" customFormat="false" ht="15" hidden="false" customHeight="false" outlineLevel="0" collapsed="false">
      <c r="A50" s="3" t="n">
        <v>49</v>
      </c>
      <c r="B50" s="3" t="n">
        <v>48</v>
      </c>
      <c r="C50" s="3" t="n">
        <v>0</v>
      </c>
      <c r="D50" s="3" t="n">
        <v>3</v>
      </c>
      <c r="E50" s="3" t="n">
        <v>6</v>
      </c>
      <c r="F50" s="24" t="n">
        <v>0</v>
      </c>
    </row>
    <row r="51" customFormat="false" ht="15" hidden="false" customHeight="false" outlineLevel="0" collapsed="false">
      <c r="A51" s="3" t="n">
        <v>50</v>
      </c>
      <c r="B51" s="3" t="n">
        <v>49</v>
      </c>
      <c r="C51" s="3" t="n">
        <v>0</v>
      </c>
      <c r="D51" s="3" t="n">
        <v>3</v>
      </c>
      <c r="E51" s="3" t="n">
        <v>7</v>
      </c>
      <c r="F51" s="24" t="n">
        <v>0</v>
      </c>
    </row>
    <row r="52" customFormat="false" ht="15" hidden="false" customHeight="false" outlineLevel="0" collapsed="false">
      <c r="A52" s="3" t="n">
        <v>51</v>
      </c>
      <c r="B52" s="3" t="n">
        <v>50</v>
      </c>
      <c r="C52" s="3" t="n">
        <v>0</v>
      </c>
      <c r="D52" s="3" t="n">
        <v>3</v>
      </c>
      <c r="E52" s="3" t="n">
        <v>8</v>
      </c>
      <c r="F52" s="24" t="n">
        <v>0</v>
      </c>
    </row>
    <row r="53" customFormat="false" ht="15" hidden="false" customHeight="false" outlineLevel="0" collapsed="false">
      <c r="A53" s="3" t="n">
        <v>52</v>
      </c>
      <c r="B53" s="3" t="n">
        <v>51</v>
      </c>
      <c r="C53" s="3" t="n">
        <v>0</v>
      </c>
      <c r="D53" s="3" t="n">
        <v>3</v>
      </c>
      <c r="E53" s="3" t="n">
        <v>9</v>
      </c>
      <c r="F53" s="24" t="n">
        <v>0</v>
      </c>
    </row>
    <row r="54" customFormat="false" ht="15" hidden="false" customHeight="false" outlineLevel="0" collapsed="false">
      <c r="A54" s="3" t="n">
        <v>53</v>
      </c>
      <c r="B54" s="3" t="n">
        <v>52</v>
      </c>
      <c r="C54" s="3" t="n">
        <v>0</v>
      </c>
      <c r="D54" s="3" t="n">
        <v>3</v>
      </c>
      <c r="E54" s="3" t="n">
        <v>10</v>
      </c>
      <c r="F54" s="24" t="n">
        <v>0</v>
      </c>
    </row>
    <row r="55" customFormat="false" ht="15" hidden="false" customHeight="false" outlineLevel="0" collapsed="false">
      <c r="A55" s="3" t="n">
        <v>54</v>
      </c>
      <c r="B55" s="3" t="n">
        <v>53</v>
      </c>
      <c r="C55" s="3" t="n">
        <v>0</v>
      </c>
      <c r="D55" s="3" t="n">
        <v>3</v>
      </c>
      <c r="E55" s="3" t="n">
        <v>11</v>
      </c>
      <c r="F55" s="24" t="n">
        <v>0</v>
      </c>
    </row>
    <row r="56" customFormat="false" ht="15" hidden="false" customHeight="false" outlineLevel="0" collapsed="false">
      <c r="A56" s="3" t="n">
        <v>55</v>
      </c>
      <c r="B56" s="3" t="n">
        <v>54</v>
      </c>
      <c r="C56" s="3" t="n">
        <v>0</v>
      </c>
      <c r="D56" s="3" t="n">
        <v>3</v>
      </c>
      <c r="E56" s="3" t="n">
        <v>12</v>
      </c>
      <c r="F56" s="24" t="n">
        <v>0</v>
      </c>
    </row>
    <row r="57" customFormat="false" ht="15" hidden="false" customHeight="false" outlineLevel="0" collapsed="false">
      <c r="A57" s="3" t="n">
        <v>56</v>
      </c>
      <c r="B57" s="3" t="n">
        <v>55</v>
      </c>
      <c r="C57" s="3" t="n">
        <v>0</v>
      </c>
      <c r="D57" s="3" t="n">
        <v>3</v>
      </c>
      <c r="E57" s="3" t="n">
        <v>13</v>
      </c>
      <c r="F57" s="24" t="n">
        <v>0.0673455298</v>
      </c>
    </row>
    <row r="58" customFormat="false" ht="15" hidden="false" customHeight="false" outlineLevel="0" collapsed="false">
      <c r="A58" s="3" t="n">
        <v>57</v>
      </c>
      <c r="B58" s="3" t="n">
        <v>56</v>
      </c>
      <c r="C58" s="3" t="n">
        <v>0</v>
      </c>
      <c r="D58" s="3" t="n">
        <v>4</v>
      </c>
      <c r="E58" s="3" t="n">
        <v>0</v>
      </c>
      <c r="F58" s="24" t="n">
        <v>0.10001415</v>
      </c>
    </row>
    <row r="59" customFormat="false" ht="15" hidden="false" customHeight="false" outlineLevel="0" collapsed="false">
      <c r="A59" s="3" t="n">
        <v>58</v>
      </c>
      <c r="B59" s="3" t="n">
        <v>57</v>
      </c>
      <c r="C59" s="3" t="n">
        <v>0</v>
      </c>
      <c r="D59" s="3" t="n">
        <v>4</v>
      </c>
      <c r="E59" s="3" t="n">
        <v>1</v>
      </c>
      <c r="F59" s="24" t="n">
        <v>0</v>
      </c>
    </row>
    <row r="60" customFormat="false" ht="15" hidden="false" customHeight="false" outlineLevel="0" collapsed="false">
      <c r="A60" s="3" t="n">
        <v>59</v>
      </c>
      <c r="B60" s="3" t="n">
        <v>58</v>
      </c>
      <c r="C60" s="3" t="n">
        <v>0</v>
      </c>
      <c r="D60" s="3" t="n">
        <v>4</v>
      </c>
      <c r="E60" s="3" t="n">
        <v>2</v>
      </c>
      <c r="F60" s="24" t="n">
        <v>0.797279</v>
      </c>
    </row>
    <row r="61" customFormat="false" ht="15" hidden="false" customHeight="false" outlineLevel="0" collapsed="false">
      <c r="A61" s="3" t="n">
        <v>60</v>
      </c>
      <c r="B61" s="3" t="n">
        <v>59</v>
      </c>
      <c r="C61" s="3" t="n">
        <v>0</v>
      </c>
      <c r="D61" s="3" t="n">
        <v>4</v>
      </c>
      <c r="E61" s="3" t="n">
        <v>3</v>
      </c>
      <c r="F61" s="24" t="n">
        <v>2.91805315</v>
      </c>
    </row>
    <row r="62" customFormat="false" ht="15" hidden="false" customHeight="false" outlineLevel="0" collapsed="false">
      <c r="A62" s="3" t="n">
        <v>61</v>
      </c>
      <c r="B62" s="3" t="n">
        <v>60</v>
      </c>
      <c r="C62" s="3" t="n">
        <v>0</v>
      </c>
      <c r="D62" s="3" t="n">
        <v>4</v>
      </c>
      <c r="E62" s="3" t="n">
        <v>4</v>
      </c>
      <c r="F62" s="24" t="n">
        <v>3.93855238</v>
      </c>
    </row>
    <row r="63" customFormat="false" ht="15" hidden="false" customHeight="false" outlineLevel="0" collapsed="false">
      <c r="A63" s="3" t="n">
        <v>62</v>
      </c>
      <c r="B63" s="3" t="n">
        <v>61</v>
      </c>
      <c r="C63" s="3" t="n">
        <v>0</v>
      </c>
      <c r="D63" s="3" t="n">
        <v>4</v>
      </c>
      <c r="E63" s="3" t="n">
        <v>5</v>
      </c>
      <c r="F63" s="24" t="n">
        <v>3.68386793</v>
      </c>
    </row>
    <row r="64" customFormat="false" ht="15" hidden="false" customHeight="false" outlineLevel="0" collapsed="false">
      <c r="A64" s="3" t="n">
        <v>63</v>
      </c>
      <c r="B64" s="3" t="n">
        <v>62</v>
      </c>
      <c r="C64" s="3" t="n">
        <v>0</v>
      </c>
      <c r="D64" s="3" t="n">
        <v>4</v>
      </c>
      <c r="E64" s="3" t="n">
        <v>6</v>
      </c>
      <c r="F64" s="24" t="n">
        <v>3.3515954</v>
      </c>
    </row>
    <row r="65" customFormat="false" ht="15" hidden="false" customHeight="false" outlineLevel="0" collapsed="false">
      <c r="A65" s="3" t="n">
        <v>64</v>
      </c>
      <c r="B65" s="3" t="n">
        <v>63</v>
      </c>
      <c r="C65" s="3" t="n">
        <v>0</v>
      </c>
      <c r="D65" s="3" t="n">
        <v>4</v>
      </c>
      <c r="E65" s="3" t="n">
        <v>7</v>
      </c>
      <c r="F65" s="24" t="n">
        <v>3.46333456</v>
      </c>
    </row>
    <row r="66" customFormat="false" ht="15" hidden="false" customHeight="false" outlineLevel="0" collapsed="false">
      <c r="A66" s="3" t="n">
        <v>65</v>
      </c>
      <c r="B66" s="3" t="n">
        <v>64</v>
      </c>
      <c r="C66" s="3" t="n">
        <v>0</v>
      </c>
      <c r="D66" s="3" t="n">
        <v>4</v>
      </c>
      <c r="E66" s="3" t="n">
        <v>8</v>
      </c>
      <c r="F66" s="24" t="n">
        <v>3.30683446</v>
      </c>
    </row>
    <row r="67" customFormat="false" ht="15" hidden="false" customHeight="false" outlineLevel="0" collapsed="false">
      <c r="A67" s="3" t="n">
        <v>66</v>
      </c>
      <c r="B67" s="3" t="n">
        <v>65</v>
      </c>
      <c r="C67" s="3" t="n">
        <v>0</v>
      </c>
      <c r="D67" s="3" t="n">
        <v>4</v>
      </c>
      <c r="E67" s="3" t="n">
        <v>9</v>
      </c>
      <c r="F67" s="24" t="n">
        <v>4.15075588</v>
      </c>
    </row>
    <row r="68" customFormat="false" ht="15" hidden="false" customHeight="false" outlineLevel="0" collapsed="false">
      <c r="A68" s="3" t="n">
        <v>67</v>
      </c>
      <c r="B68" s="3" t="n">
        <v>66</v>
      </c>
      <c r="C68" s="3" t="n">
        <v>0</v>
      </c>
      <c r="D68" s="3" t="n">
        <v>4</v>
      </c>
      <c r="E68" s="3" t="n">
        <v>10</v>
      </c>
      <c r="F68" s="24" t="n">
        <v>2.81681442</v>
      </c>
    </row>
    <row r="69" customFormat="false" ht="15" hidden="false" customHeight="false" outlineLevel="0" collapsed="false">
      <c r="A69" s="3" t="n">
        <v>68</v>
      </c>
      <c r="B69" s="3" t="n">
        <v>67</v>
      </c>
      <c r="C69" s="3" t="n">
        <v>0</v>
      </c>
      <c r="D69" s="3" t="n">
        <v>4</v>
      </c>
      <c r="E69" s="3" t="n">
        <v>11</v>
      </c>
      <c r="F69" s="24" t="n">
        <v>0.298039764</v>
      </c>
    </row>
    <row r="70" customFormat="false" ht="15" hidden="false" customHeight="false" outlineLevel="0" collapsed="false">
      <c r="A70" s="3" t="n">
        <v>69</v>
      </c>
      <c r="B70" s="3" t="n">
        <v>68</v>
      </c>
      <c r="C70" s="3" t="n">
        <v>0</v>
      </c>
      <c r="D70" s="3" t="n">
        <v>4</v>
      </c>
      <c r="E70" s="3" t="n">
        <v>12</v>
      </c>
      <c r="F70" s="24" t="n">
        <v>0</v>
      </c>
    </row>
    <row r="71" customFormat="false" ht="15" hidden="false" customHeight="false" outlineLevel="0" collapsed="false">
      <c r="A71" s="3" t="n">
        <v>70</v>
      </c>
      <c r="B71" s="3" t="n">
        <v>69</v>
      </c>
      <c r="C71" s="3" t="n">
        <v>0</v>
      </c>
      <c r="D71" s="3" t="n">
        <v>4</v>
      </c>
      <c r="E71" s="3" t="n">
        <v>13</v>
      </c>
      <c r="F71" s="24" t="n">
        <v>0.0673455298</v>
      </c>
    </row>
    <row r="72" customFormat="false" ht="15" hidden="false" customHeight="false" outlineLevel="0" collapsed="false">
      <c r="A72" s="3" t="n">
        <v>71</v>
      </c>
      <c r="B72" s="3" t="n">
        <v>70</v>
      </c>
      <c r="C72" s="3" t="n">
        <v>0</v>
      </c>
      <c r="D72" s="3" t="n">
        <v>5</v>
      </c>
      <c r="E72" s="3" t="n">
        <v>0</v>
      </c>
      <c r="F72" s="24" t="n">
        <v>0.10001415</v>
      </c>
    </row>
    <row r="73" customFormat="false" ht="15" hidden="false" customHeight="false" outlineLevel="0" collapsed="false">
      <c r="A73" s="3" t="n">
        <v>72</v>
      </c>
      <c r="B73" s="3" t="n">
        <v>71</v>
      </c>
      <c r="C73" s="3" t="n">
        <v>0</v>
      </c>
      <c r="D73" s="3" t="n">
        <v>5</v>
      </c>
      <c r="E73" s="3" t="n">
        <v>1</v>
      </c>
      <c r="F73" s="24" t="n">
        <v>0</v>
      </c>
    </row>
    <row r="74" customFormat="false" ht="15" hidden="false" customHeight="false" outlineLevel="0" collapsed="false">
      <c r="A74" s="3" t="n">
        <v>73</v>
      </c>
      <c r="B74" s="3" t="n">
        <v>72</v>
      </c>
      <c r="C74" s="3" t="n">
        <v>0</v>
      </c>
      <c r="D74" s="3" t="n">
        <v>5</v>
      </c>
      <c r="E74" s="3" t="n">
        <v>2</v>
      </c>
      <c r="F74" s="24" t="n">
        <v>0</v>
      </c>
    </row>
    <row r="75" customFormat="false" ht="15" hidden="false" customHeight="false" outlineLevel="0" collapsed="false">
      <c r="A75" s="3" t="n">
        <v>74</v>
      </c>
      <c r="B75" s="3" t="n">
        <v>73</v>
      </c>
      <c r="C75" s="3" t="n">
        <v>0</v>
      </c>
      <c r="D75" s="3" t="n">
        <v>5</v>
      </c>
      <c r="E75" s="3" t="n">
        <v>3</v>
      </c>
      <c r="F75" s="24" t="n">
        <v>0.263664544</v>
      </c>
    </row>
    <row r="76" customFormat="false" ht="15" hidden="false" customHeight="false" outlineLevel="0" collapsed="false">
      <c r="A76" s="3" t="n">
        <v>75</v>
      </c>
      <c r="B76" s="3" t="n">
        <v>74</v>
      </c>
      <c r="C76" s="3" t="n">
        <v>0</v>
      </c>
      <c r="D76" s="3" t="n">
        <v>5</v>
      </c>
      <c r="E76" s="3" t="n">
        <v>4</v>
      </c>
      <c r="F76" s="24" t="n">
        <v>0.133655936</v>
      </c>
    </row>
    <row r="77" customFormat="false" ht="15" hidden="false" customHeight="false" outlineLevel="0" collapsed="false">
      <c r="A77" s="3" t="n">
        <v>76</v>
      </c>
      <c r="B77" s="3" t="n">
        <v>75</v>
      </c>
      <c r="C77" s="3" t="n">
        <v>0</v>
      </c>
      <c r="D77" s="3" t="n">
        <v>5</v>
      </c>
      <c r="E77" s="3" t="n">
        <v>5</v>
      </c>
      <c r="F77" s="24" t="n">
        <v>0.515933037</v>
      </c>
    </row>
    <row r="78" customFormat="false" ht="15" hidden="false" customHeight="false" outlineLevel="0" collapsed="false">
      <c r="A78" s="3" t="n">
        <v>77</v>
      </c>
      <c r="B78" s="3" t="n">
        <v>76</v>
      </c>
      <c r="C78" s="3" t="n">
        <v>0</v>
      </c>
      <c r="D78" s="3" t="n">
        <v>5</v>
      </c>
      <c r="E78" s="3" t="n">
        <v>6</v>
      </c>
      <c r="F78" s="24" t="n">
        <v>1.1526258</v>
      </c>
    </row>
    <row r="79" customFormat="false" ht="15" hidden="false" customHeight="false" outlineLevel="0" collapsed="false">
      <c r="A79" s="3" t="n">
        <v>78</v>
      </c>
      <c r="B79" s="3" t="n">
        <v>77</v>
      </c>
      <c r="C79" s="3" t="n">
        <v>0</v>
      </c>
      <c r="D79" s="3" t="n">
        <v>5</v>
      </c>
      <c r="E79" s="3" t="n">
        <v>7</v>
      </c>
      <c r="F79" s="24" t="n">
        <v>1.39769554</v>
      </c>
    </row>
    <row r="80" customFormat="false" ht="15" hidden="false" customHeight="false" outlineLevel="0" collapsed="false">
      <c r="A80" s="3" t="n">
        <v>79</v>
      </c>
      <c r="B80" s="3" t="n">
        <v>78</v>
      </c>
      <c r="C80" s="3" t="n">
        <v>0</v>
      </c>
      <c r="D80" s="3" t="n">
        <v>5</v>
      </c>
      <c r="E80" s="3" t="n">
        <v>8</v>
      </c>
      <c r="F80" s="24" t="n">
        <v>1.49640918</v>
      </c>
    </row>
    <row r="81" customFormat="false" ht="15" hidden="false" customHeight="false" outlineLevel="0" collapsed="false">
      <c r="A81" s="3" t="n">
        <v>80</v>
      </c>
      <c r="B81" s="3" t="n">
        <v>79</v>
      </c>
      <c r="C81" s="3" t="n">
        <v>0</v>
      </c>
      <c r="D81" s="3" t="n">
        <v>5</v>
      </c>
      <c r="E81" s="3" t="n">
        <v>9</v>
      </c>
      <c r="F81" s="24" t="n">
        <v>2.73892808</v>
      </c>
    </row>
    <row r="82" customFormat="false" ht="15" hidden="false" customHeight="false" outlineLevel="0" collapsed="false">
      <c r="A82" s="3" t="n">
        <v>81</v>
      </c>
      <c r="B82" s="3" t="n">
        <v>80</v>
      </c>
      <c r="C82" s="3" t="n">
        <v>0</v>
      </c>
      <c r="D82" s="3" t="n">
        <v>5</v>
      </c>
      <c r="E82" s="3" t="n">
        <v>10</v>
      </c>
      <c r="F82" s="24" t="n">
        <v>2.32933021</v>
      </c>
    </row>
    <row r="83" customFormat="false" ht="15" hidden="false" customHeight="false" outlineLevel="0" collapsed="false">
      <c r="A83" s="3" t="n">
        <v>82</v>
      </c>
      <c r="B83" s="3" t="n">
        <v>81</v>
      </c>
      <c r="C83" s="3" t="n">
        <v>0</v>
      </c>
      <c r="D83" s="3" t="n">
        <v>5</v>
      </c>
      <c r="E83" s="3" t="n">
        <v>11</v>
      </c>
      <c r="F83" s="24" t="n">
        <v>0.907224715</v>
      </c>
    </row>
    <row r="84" customFormat="false" ht="15" hidden="false" customHeight="false" outlineLevel="0" collapsed="false">
      <c r="A84" s="3" t="n">
        <v>83</v>
      </c>
      <c r="B84" s="3" t="n">
        <v>82</v>
      </c>
      <c r="C84" s="3" t="n">
        <v>0</v>
      </c>
      <c r="D84" s="3" t="n">
        <v>5</v>
      </c>
      <c r="E84" s="3" t="n">
        <v>12</v>
      </c>
      <c r="F84" s="24" t="n">
        <v>0</v>
      </c>
    </row>
    <row r="85" customFormat="false" ht="15" hidden="false" customHeight="false" outlineLevel="0" collapsed="false">
      <c r="A85" s="3" t="n">
        <v>84</v>
      </c>
      <c r="B85" s="3" t="n">
        <v>83</v>
      </c>
      <c r="C85" s="3" t="n">
        <v>0</v>
      </c>
      <c r="D85" s="3" t="n">
        <v>5</v>
      </c>
      <c r="E85" s="3" t="n">
        <v>13</v>
      </c>
      <c r="F85" s="24" t="n">
        <v>0.0673455298</v>
      </c>
    </row>
    <row r="86" customFormat="false" ht="15" hidden="false" customHeight="false" outlineLevel="0" collapsed="false">
      <c r="A86" s="3" t="n">
        <v>85</v>
      </c>
      <c r="B86" s="3" t="n">
        <v>84</v>
      </c>
      <c r="C86" s="3" t="n">
        <v>0</v>
      </c>
      <c r="D86" s="3" t="n">
        <v>6</v>
      </c>
      <c r="E86" s="3" t="n">
        <v>0</v>
      </c>
      <c r="F86" s="24" t="n">
        <v>0.10001415</v>
      </c>
    </row>
    <row r="87" customFormat="false" ht="15" hidden="false" customHeight="false" outlineLevel="0" collapsed="false">
      <c r="A87" s="3" t="n">
        <v>86</v>
      </c>
      <c r="B87" s="3" t="n">
        <v>85</v>
      </c>
      <c r="C87" s="3" t="n">
        <v>0</v>
      </c>
      <c r="D87" s="3" t="n">
        <v>6</v>
      </c>
      <c r="E87" s="3" t="n">
        <v>1</v>
      </c>
      <c r="F87" s="24" t="n">
        <v>0</v>
      </c>
    </row>
    <row r="88" customFormat="false" ht="15" hidden="false" customHeight="false" outlineLevel="0" collapsed="false">
      <c r="A88" s="3" t="n">
        <v>87</v>
      </c>
      <c r="B88" s="3" t="n">
        <v>86</v>
      </c>
      <c r="C88" s="3" t="n">
        <v>0</v>
      </c>
      <c r="D88" s="3" t="n">
        <v>6</v>
      </c>
      <c r="E88" s="3" t="n">
        <v>2</v>
      </c>
      <c r="F88" s="24" t="n">
        <v>0</v>
      </c>
    </row>
    <row r="89" customFormat="false" ht="15" hidden="false" customHeight="false" outlineLevel="0" collapsed="false">
      <c r="A89" s="3" t="n">
        <v>88</v>
      </c>
      <c r="B89" s="3" t="n">
        <v>87</v>
      </c>
      <c r="C89" s="3" t="n">
        <v>0</v>
      </c>
      <c r="D89" s="3" t="n">
        <v>6</v>
      </c>
      <c r="E89" s="3" t="n">
        <v>3</v>
      </c>
      <c r="F89" s="24" t="n">
        <v>0</v>
      </c>
    </row>
    <row r="90" customFormat="false" ht="15" hidden="false" customHeight="false" outlineLevel="0" collapsed="false">
      <c r="A90" s="3" t="n">
        <v>89</v>
      </c>
      <c r="B90" s="3" t="n">
        <v>88</v>
      </c>
      <c r="C90" s="3" t="n">
        <v>0</v>
      </c>
      <c r="D90" s="3" t="n">
        <v>6</v>
      </c>
      <c r="E90" s="3" t="n">
        <v>4</v>
      </c>
      <c r="F90" s="24" t="n">
        <v>0</v>
      </c>
    </row>
    <row r="91" customFormat="false" ht="15" hidden="false" customHeight="false" outlineLevel="0" collapsed="false">
      <c r="A91" s="3" t="n">
        <v>90</v>
      </c>
      <c r="B91" s="3" t="n">
        <v>89</v>
      </c>
      <c r="C91" s="3" t="n">
        <v>0</v>
      </c>
      <c r="D91" s="3" t="n">
        <v>6</v>
      </c>
      <c r="E91" s="3" t="n">
        <v>5</v>
      </c>
      <c r="F91" s="24" t="n">
        <v>0</v>
      </c>
    </row>
    <row r="92" customFormat="false" ht="15" hidden="false" customHeight="false" outlineLevel="0" collapsed="false">
      <c r="A92" s="3" t="n">
        <v>91</v>
      </c>
      <c r="B92" s="3" t="n">
        <v>90</v>
      </c>
      <c r="C92" s="3" t="n">
        <v>0</v>
      </c>
      <c r="D92" s="3" t="n">
        <v>6</v>
      </c>
      <c r="E92" s="3" t="n">
        <v>6</v>
      </c>
      <c r="F92" s="24" t="n">
        <v>0</v>
      </c>
    </row>
    <row r="93" customFormat="false" ht="15" hidden="false" customHeight="false" outlineLevel="0" collapsed="false">
      <c r="A93" s="3" t="n">
        <v>92</v>
      </c>
      <c r="B93" s="3" t="n">
        <v>91</v>
      </c>
      <c r="C93" s="3" t="n">
        <v>0</v>
      </c>
      <c r="D93" s="3" t="n">
        <v>6</v>
      </c>
      <c r="E93" s="3" t="n">
        <v>7</v>
      </c>
      <c r="F93" s="24" t="n">
        <v>0.138286084</v>
      </c>
    </row>
    <row r="94" customFormat="false" ht="15" hidden="false" customHeight="false" outlineLevel="0" collapsed="false">
      <c r="A94" s="3" t="n">
        <v>93</v>
      </c>
      <c r="B94" s="3" t="n">
        <v>92</v>
      </c>
      <c r="C94" s="3" t="n">
        <v>0</v>
      </c>
      <c r="D94" s="3" t="n">
        <v>6</v>
      </c>
      <c r="E94" s="3" t="n">
        <v>8</v>
      </c>
      <c r="F94" s="24" t="n">
        <v>1.47671139</v>
      </c>
    </row>
    <row r="95" customFormat="false" ht="15" hidden="false" customHeight="false" outlineLevel="0" collapsed="false">
      <c r="A95" s="3" t="n">
        <v>94</v>
      </c>
      <c r="B95" s="3" t="n">
        <v>93</v>
      </c>
      <c r="C95" s="3" t="n">
        <v>0</v>
      </c>
      <c r="D95" s="3" t="n">
        <v>6</v>
      </c>
      <c r="E95" s="3" t="n">
        <v>9</v>
      </c>
      <c r="F95" s="24" t="n">
        <v>2.15205431</v>
      </c>
    </row>
    <row r="96" customFormat="false" ht="15" hidden="false" customHeight="false" outlineLevel="0" collapsed="false">
      <c r="A96" s="3" t="n">
        <v>95</v>
      </c>
      <c r="B96" s="3" t="n">
        <v>94</v>
      </c>
      <c r="C96" s="3" t="n">
        <v>0</v>
      </c>
      <c r="D96" s="3" t="n">
        <v>6</v>
      </c>
      <c r="E96" s="3" t="n">
        <v>10</v>
      </c>
      <c r="F96" s="24" t="n">
        <v>2.11122179</v>
      </c>
    </row>
    <row r="97" customFormat="false" ht="15" hidden="false" customHeight="false" outlineLevel="0" collapsed="false">
      <c r="A97" s="3" t="n">
        <v>96</v>
      </c>
      <c r="B97" s="3" t="n">
        <v>95</v>
      </c>
      <c r="C97" s="3" t="n">
        <v>0</v>
      </c>
      <c r="D97" s="3" t="n">
        <v>6</v>
      </c>
      <c r="E97" s="3" t="n">
        <v>11</v>
      </c>
      <c r="F97" s="24" t="n">
        <v>0.0471986234</v>
      </c>
    </row>
    <row r="98" customFormat="false" ht="15" hidden="false" customHeight="false" outlineLevel="0" collapsed="false">
      <c r="A98" s="3" t="n">
        <v>97</v>
      </c>
      <c r="B98" s="3" t="n">
        <v>96</v>
      </c>
      <c r="C98" s="3" t="n">
        <v>0</v>
      </c>
      <c r="D98" s="3" t="n">
        <v>6</v>
      </c>
      <c r="E98" s="3" t="n">
        <v>12</v>
      </c>
      <c r="F98" s="24" t="n">
        <v>0</v>
      </c>
    </row>
    <row r="99" customFormat="false" ht="15" hidden="false" customHeight="false" outlineLevel="0" collapsed="false">
      <c r="A99" s="3" t="n">
        <v>98</v>
      </c>
      <c r="B99" s="3" t="n">
        <v>97</v>
      </c>
      <c r="C99" s="3" t="n">
        <v>0</v>
      </c>
      <c r="D99" s="3" t="n">
        <v>6</v>
      </c>
      <c r="E99" s="3" t="n">
        <v>13</v>
      </c>
      <c r="F99" s="24" t="n">
        <v>0.0673455298</v>
      </c>
    </row>
    <row r="100" customFormat="false" ht="15" hidden="false" customHeight="false" outlineLevel="0" collapsed="false">
      <c r="A100" s="3" t="n">
        <v>99</v>
      </c>
      <c r="B100" s="3" t="n">
        <v>98</v>
      </c>
      <c r="C100" s="3" t="n">
        <v>0</v>
      </c>
      <c r="D100" s="3" t="n">
        <v>7</v>
      </c>
      <c r="E100" s="3" t="n">
        <v>0</v>
      </c>
      <c r="F100" s="24" t="n">
        <v>0.10001415</v>
      </c>
    </row>
    <row r="101" customFormat="false" ht="15" hidden="false" customHeight="false" outlineLevel="0" collapsed="false">
      <c r="A101" s="3" t="n">
        <v>100</v>
      </c>
      <c r="B101" s="3" t="n">
        <v>99</v>
      </c>
      <c r="C101" s="3" t="n">
        <v>0</v>
      </c>
      <c r="D101" s="3" t="n">
        <v>7</v>
      </c>
      <c r="E101" s="3" t="n">
        <v>1</v>
      </c>
      <c r="F101" s="24" t="n">
        <v>0</v>
      </c>
    </row>
    <row r="102" customFormat="false" ht="15" hidden="false" customHeight="false" outlineLevel="0" collapsed="false">
      <c r="A102" s="3" t="n">
        <v>101</v>
      </c>
      <c r="B102" s="3" t="n">
        <v>100</v>
      </c>
      <c r="C102" s="3" t="n">
        <v>0</v>
      </c>
      <c r="D102" s="3" t="n">
        <v>7</v>
      </c>
      <c r="E102" s="3" t="n">
        <v>2</v>
      </c>
      <c r="F102" s="24" t="n">
        <v>0</v>
      </c>
    </row>
    <row r="103" customFormat="false" ht="15" hidden="false" customHeight="false" outlineLevel="0" collapsed="false">
      <c r="A103" s="3" t="n">
        <v>102</v>
      </c>
      <c r="B103" s="3" t="n">
        <v>101</v>
      </c>
      <c r="C103" s="3" t="n">
        <v>0</v>
      </c>
      <c r="D103" s="3" t="n">
        <v>7</v>
      </c>
      <c r="E103" s="3" t="n">
        <v>3</v>
      </c>
      <c r="F103" s="24" t="n">
        <v>0</v>
      </c>
    </row>
    <row r="104" customFormat="false" ht="15" hidden="false" customHeight="false" outlineLevel="0" collapsed="false">
      <c r="A104" s="3" t="n">
        <v>103</v>
      </c>
      <c r="B104" s="3" t="n">
        <v>102</v>
      </c>
      <c r="C104" s="3" t="n">
        <v>0</v>
      </c>
      <c r="D104" s="3" t="n">
        <v>7</v>
      </c>
      <c r="E104" s="3" t="n">
        <v>4</v>
      </c>
      <c r="F104" s="24" t="n">
        <v>0</v>
      </c>
    </row>
    <row r="105" customFormat="false" ht="15" hidden="false" customHeight="false" outlineLevel="0" collapsed="false">
      <c r="A105" s="3" t="n">
        <v>104</v>
      </c>
      <c r="B105" s="3" t="n">
        <v>103</v>
      </c>
      <c r="C105" s="3" t="n">
        <v>0</v>
      </c>
      <c r="D105" s="3" t="n">
        <v>7</v>
      </c>
      <c r="E105" s="3" t="n">
        <v>5</v>
      </c>
      <c r="F105" s="24" t="n">
        <v>0</v>
      </c>
    </row>
    <row r="106" customFormat="false" ht="15" hidden="false" customHeight="false" outlineLevel="0" collapsed="false">
      <c r="A106" s="3" t="n">
        <v>105</v>
      </c>
      <c r="B106" s="3" t="n">
        <v>104</v>
      </c>
      <c r="C106" s="3" t="n">
        <v>0</v>
      </c>
      <c r="D106" s="3" t="n">
        <v>7</v>
      </c>
      <c r="E106" s="3" t="n">
        <v>6</v>
      </c>
      <c r="F106" s="24" t="n">
        <v>0</v>
      </c>
    </row>
    <row r="107" customFormat="false" ht="15" hidden="false" customHeight="false" outlineLevel="0" collapsed="false">
      <c r="A107" s="3" t="n">
        <v>106</v>
      </c>
      <c r="B107" s="3" t="n">
        <v>105</v>
      </c>
      <c r="C107" s="3" t="n">
        <v>0</v>
      </c>
      <c r="D107" s="3" t="n">
        <v>7</v>
      </c>
      <c r="E107" s="3" t="n">
        <v>7</v>
      </c>
      <c r="F107" s="24" t="n">
        <v>0.889092684</v>
      </c>
    </row>
    <row r="108" customFormat="false" ht="15" hidden="false" customHeight="false" outlineLevel="0" collapsed="false">
      <c r="A108" s="3" t="n">
        <v>107</v>
      </c>
      <c r="B108" s="3" t="n">
        <v>106</v>
      </c>
      <c r="C108" s="3" t="n">
        <v>0</v>
      </c>
      <c r="D108" s="3" t="n">
        <v>7</v>
      </c>
      <c r="E108" s="3" t="n">
        <v>8</v>
      </c>
      <c r="F108" s="24" t="n">
        <v>1.44690001</v>
      </c>
    </row>
    <row r="109" customFormat="false" ht="15" hidden="false" customHeight="false" outlineLevel="0" collapsed="false">
      <c r="A109" s="3" t="n">
        <v>108</v>
      </c>
      <c r="B109" s="3" t="n">
        <v>107</v>
      </c>
      <c r="C109" s="3" t="n">
        <v>0</v>
      </c>
      <c r="D109" s="3" t="n">
        <v>7</v>
      </c>
      <c r="E109" s="3" t="n">
        <v>9</v>
      </c>
      <c r="F109" s="24" t="n">
        <v>2.00980759</v>
      </c>
    </row>
    <row r="110" customFormat="false" ht="15" hidden="false" customHeight="false" outlineLevel="0" collapsed="false">
      <c r="A110" s="3" t="n">
        <v>109</v>
      </c>
      <c r="B110" s="3" t="n">
        <v>108</v>
      </c>
      <c r="C110" s="3" t="n">
        <v>0</v>
      </c>
      <c r="D110" s="3" t="n">
        <v>7</v>
      </c>
      <c r="E110" s="3" t="n">
        <v>10</v>
      </c>
      <c r="F110" s="24" t="n">
        <v>1.31306982</v>
      </c>
    </row>
    <row r="111" customFormat="false" ht="15" hidden="false" customHeight="false" outlineLevel="0" collapsed="false">
      <c r="A111" s="3" t="n">
        <v>110</v>
      </c>
      <c r="B111" s="3" t="n">
        <v>109</v>
      </c>
      <c r="C111" s="3" t="n">
        <v>0</v>
      </c>
      <c r="D111" s="3" t="n">
        <v>7</v>
      </c>
      <c r="E111" s="3" t="n">
        <v>11</v>
      </c>
      <c r="F111" s="24" t="n">
        <v>0</v>
      </c>
    </row>
    <row r="112" customFormat="false" ht="15" hidden="false" customHeight="false" outlineLevel="0" collapsed="false">
      <c r="A112" s="3" t="n">
        <v>111</v>
      </c>
      <c r="B112" s="3" t="n">
        <v>110</v>
      </c>
      <c r="C112" s="3" t="n">
        <v>0</v>
      </c>
      <c r="D112" s="3" t="n">
        <v>7</v>
      </c>
      <c r="E112" s="3" t="n">
        <v>12</v>
      </c>
      <c r="F112" s="24" t="n">
        <v>0</v>
      </c>
    </row>
    <row r="113" customFormat="false" ht="15" hidden="false" customHeight="false" outlineLevel="0" collapsed="false">
      <c r="A113" s="3" t="n">
        <v>112</v>
      </c>
      <c r="B113" s="3" t="n">
        <v>111</v>
      </c>
      <c r="C113" s="3" t="n">
        <v>0</v>
      </c>
      <c r="D113" s="3" t="n">
        <v>7</v>
      </c>
      <c r="E113" s="3" t="n">
        <v>13</v>
      </c>
      <c r="F113" s="24" t="n">
        <v>0.0673455298</v>
      </c>
    </row>
    <row r="114" customFormat="false" ht="15" hidden="false" customHeight="false" outlineLevel="0" collapsed="false">
      <c r="A114" s="3" t="n">
        <v>113</v>
      </c>
      <c r="B114" s="3" t="n">
        <v>112</v>
      </c>
      <c r="C114" s="3" t="n">
        <v>0</v>
      </c>
      <c r="D114" s="3" t="n">
        <v>8</v>
      </c>
      <c r="E114" s="3" t="n">
        <v>0</v>
      </c>
      <c r="F114" s="24" t="n">
        <v>0.10001415</v>
      </c>
    </row>
    <row r="115" customFormat="false" ht="15" hidden="false" customHeight="false" outlineLevel="0" collapsed="false">
      <c r="A115" s="3" t="n">
        <v>114</v>
      </c>
      <c r="B115" s="3" t="n">
        <v>113</v>
      </c>
      <c r="C115" s="3" t="n">
        <v>0</v>
      </c>
      <c r="D115" s="3" t="n">
        <v>8</v>
      </c>
      <c r="E115" s="3" t="n">
        <v>1</v>
      </c>
      <c r="F115" s="24" t="n">
        <v>0</v>
      </c>
    </row>
    <row r="116" customFormat="false" ht="15" hidden="false" customHeight="false" outlineLevel="0" collapsed="false">
      <c r="A116" s="3" t="n">
        <v>115</v>
      </c>
      <c r="B116" s="3" t="n">
        <v>114</v>
      </c>
      <c r="C116" s="3" t="n">
        <v>0</v>
      </c>
      <c r="D116" s="3" t="n">
        <v>8</v>
      </c>
      <c r="E116" s="3" t="n">
        <v>2</v>
      </c>
      <c r="F116" s="24" t="n">
        <v>0</v>
      </c>
    </row>
    <row r="117" customFormat="false" ht="15" hidden="false" customHeight="false" outlineLevel="0" collapsed="false">
      <c r="A117" s="3" t="n">
        <v>116</v>
      </c>
      <c r="B117" s="3" t="n">
        <v>115</v>
      </c>
      <c r="C117" s="3" t="n">
        <v>0</v>
      </c>
      <c r="D117" s="3" t="n">
        <v>8</v>
      </c>
      <c r="E117" s="3" t="n">
        <v>3</v>
      </c>
      <c r="F117" s="24" t="n">
        <v>0</v>
      </c>
    </row>
    <row r="118" customFormat="false" ht="15" hidden="false" customHeight="false" outlineLevel="0" collapsed="false">
      <c r="A118" s="3" t="n">
        <v>117</v>
      </c>
      <c r="B118" s="3" t="n">
        <v>116</v>
      </c>
      <c r="C118" s="3" t="n">
        <v>0</v>
      </c>
      <c r="D118" s="3" t="n">
        <v>8</v>
      </c>
      <c r="E118" s="3" t="n">
        <v>4</v>
      </c>
      <c r="F118" s="24" t="n">
        <v>0</v>
      </c>
    </row>
    <row r="119" customFormat="false" ht="15" hidden="false" customHeight="false" outlineLevel="0" collapsed="false">
      <c r="A119" s="3" t="n">
        <v>118</v>
      </c>
      <c r="B119" s="3" t="n">
        <v>117</v>
      </c>
      <c r="C119" s="3" t="n">
        <v>0</v>
      </c>
      <c r="D119" s="3" t="n">
        <v>8</v>
      </c>
      <c r="E119" s="3" t="n">
        <v>5</v>
      </c>
      <c r="F119" s="24" t="n">
        <v>0</v>
      </c>
    </row>
    <row r="120" customFormat="false" ht="15" hidden="false" customHeight="false" outlineLevel="0" collapsed="false">
      <c r="A120" s="3" t="n">
        <v>119</v>
      </c>
      <c r="B120" s="3" t="n">
        <v>118</v>
      </c>
      <c r="C120" s="3" t="n">
        <v>0</v>
      </c>
      <c r="D120" s="3" t="n">
        <v>8</v>
      </c>
      <c r="E120" s="3" t="n">
        <v>6</v>
      </c>
      <c r="F120" s="24" t="n">
        <v>0.182815984</v>
      </c>
    </row>
    <row r="121" customFormat="false" ht="15" hidden="false" customHeight="false" outlineLevel="0" collapsed="false">
      <c r="A121" s="3" t="n">
        <v>120</v>
      </c>
      <c r="B121" s="3" t="n">
        <v>119</v>
      </c>
      <c r="C121" s="3" t="n">
        <v>0</v>
      </c>
      <c r="D121" s="3" t="n">
        <v>8</v>
      </c>
      <c r="E121" s="3" t="n">
        <v>7</v>
      </c>
      <c r="F121" s="24" t="n">
        <v>1.23507917</v>
      </c>
    </row>
    <row r="122" customFormat="false" ht="15" hidden="false" customHeight="false" outlineLevel="0" collapsed="false">
      <c r="A122" s="3" t="n">
        <v>121</v>
      </c>
      <c r="B122" s="3" t="n">
        <v>120</v>
      </c>
      <c r="C122" s="3" t="n">
        <v>0</v>
      </c>
      <c r="D122" s="3" t="n">
        <v>8</v>
      </c>
      <c r="E122" s="3" t="n">
        <v>8</v>
      </c>
      <c r="F122" s="24" t="n">
        <v>1.8292793</v>
      </c>
    </row>
    <row r="123" customFormat="false" ht="15" hidden="false" customHeight="false" outlineLevel="0" collapsed="false">
      <c r="A123" s="3" t="n">
        <v>122</v>
      </c>
      <c r="B123" s="3" t="n">
        <v>121</v>
      </c>
      <c r="C123" s="3" t="n">
        <v>0</v>
      </c>
      <c r="D123" s="3" t="n">
        <v>8</v>
      </c>
      <c r="E123" s="3" t="n">
        <v>9</v>
      </c>
      <c r="F123" s="24" t="n">
        <v>1.94584572</v>
      </c>
    </row>
    <row r="124" customFormat="false" ht="15" hidden="false" customHeight="false" outlineLevel="0" collapsed="false">
      <c r="A124" s="3" t="n">
        <v>123</v>
      </c>
      <c r="B124" s="3" t="n">
        <v>122</v>
      </c>
      <c r="C124" s="3" t="n">
        <v>0</v>
      </c>
      <c r="D124" s="3" t="n">
        <v>8</v>
      </c>
      <c r="E124" s="3" t="n">
        <v>10</v>
      </c>
      <c r="F124" s="24" t="n">
        <v>0</v>
      </c>
    </row>
    <row r="125" customFormat="false" ht="15" hidden="false" customHeight="false" outlineLevel="0" collapsed="false">
      <c r="A125" s="3" t="n">
        <v>124</v>
      </c>
      <c r="B125" s="3" t="n">
        <v>123</v>
      </c>
      <c r="C125" s="3" t="n">
        <v>0</v>
      </c>
      <c r="D125" s="3" t="n">
        <v>8</v>
      </c>
      <c r="E125" s="3" t="n">
        <v>11</v>
      </c>
      <c r="F125" s="24" t="n">
        <v>0</v>
      </c>
    </row>
    <row r="126" customFormat="false" ht="15" hidden="false" customHeight="false" outlineLevel="0" collapsed="false">
      <c r="A126" s="3" t="n">
        <v>125</v>
      </c>
      <c r="B126" s="3" t="n">
        <v>124</v>
      </c>
      <c r="C126" s="3" t="n">
        <v>0</v>
      </c>
      <c r="D126" s="3" t="n">
        <v>8</v>
      </c>
      <c r="E126" s="3" t="n">
        <v>12</v>
      </c>
      <c r="F126" s="24" t="n">
        <v>0</v>
      </c>
    </row>
    <row r="127" customFormat="false" ht="15" hidden="false" customHeight="false" outlineLevel="0" collapsed="false">
      <c r="A127" s="3" t="n">
        <v>126</v>
      </c>
      <c r="B127" s="3" t="n">
        <v>125</v>
      </c>
      <c r="C127" s="3" t="n">
        <v>0</v>
      </c>
      <c r="D127" s="3" t="n">
        <v>8</v>
      </c>
      <c r="E127" s="3" t="n">
        <v>13</v>
      </c>
      <c r="F127" s="24" t="n">
        <v>0.0673455298</v>
      </c>
    </row>
    <row r="128" customFormat="false" ht="15" hidden="false" customHeight="false" outlineLevel="0" collapsed="false">
      <c r="A128" s="3" t="n">
        <v>127</v>
      </c>
      <c r="B128" s="3" t="n">
        <v>126</v>
      </c>
      <c r="C128" s="3" t="n">
        <v>0</v>
      </c>
      <c r="D128" s="3" t="n">
        <v>9</v>
      </c>
      <c r="E128" s="3" t="n">
        <v>0</v>
      </c>
      <c r="F128" s="24" t="n">
        <v>0.10001415</v>
      </c>
    </row>
    <row r="129" customFormat="false" ht="15" hidden="false" customHeight="false" outlineLevel="0" collapsed="false">
      <c r="A129" s="3" t="n">
        <v>128</v>
      </c>
      <c r="B129" s="3" t="n">
        <v>127</v>
      </c>
      <c r="C129" s="3" t="n">
        <v>0</v>
      </c>
      <c r="D129" s="3" t="n">
        <v>9</v>
      </c>
      <c r="E129" s="3" t="n">
        <v>1</v>
      </c>
      <c r="F129" s="24" t="n">
        <v>0</v>
      </c>
    </row>
    <row r="130" customFormat="false" ht="15" hidden="false" customHeight="false" outlineLevel="0" collapsed="false">
      <c r="A130" s="3" t="n">
        <v>129</v>
      </c>
      <c r="B130" s="3" t="n">
        <v>128</v>
      </c>
      <c r="C130" s="3" t="n">
        <v>0</v>
      </c>
      <c r="D130" s="3" t="n">
        <v>9</v>
      </c>
      <c r="E130" s="3" t="n">
        <v>2</v>
      </c>
      <c r="F130" s="24" t="n">
        <v>0</v>
      </c>
    </row>
    <row r="131" customFormat="false" ht="15" hidden="false" customHeight="false" outlineLevel="0" collapsed="false">
      <c r="A131" s="3" t="n">
        <v>130</v>
      </c>
      <c r="B131" s="3" t="n">
        <v>129</v>
      </c>
      <c r="C131" s="3" t="n">
        <v>0</v>
      </c>
      <c r="D131" s="3" t="n">
        <v>9</v>
      </c>
      <c r="E131" s="3" t="n">
        <v>3</v>
      </c>
      <c r="F131" s="24" t="n">
        <v>0</v>
      </c>
    </row>
    <row r="132" customFormat="false" ht="15" hidden="false" customHeight="false" outlineLevel="0" collapsed="false">
      <c r="A132" s="3" t="n">
        <v>131</v>
      </c>
      <c r="B132" s="3" t="n">
        <v>130</v>
      </c>
      <c r="C132" s="3" t="n">
        <v>0</v>
      </c>
      <c r="D132" s="3" t="n">
        <v>9</v>
      </c>
      <c r="E132" s="3" t="n">
        <v>4</v>
      </c>
      <c r="F132" s="24" t="n">
        <v>0</v>
      </c>
    </row>
    <row r="133" customFormat="false" ht="15" hidden="false" customHeight="false" outlineLevel="0" collapsed="false">
      <c r="A133" s="3" t="n">
        <v>132</v>
      </c>
      <c r="B133" s="3" t="n">
        <v>131</v>
      </c>
      <c r="C133" s="3" t="n">
        <v>0</v>
      </c>
      <c r="D133" s="3" t="n">
        <v>9</v>
      </c>
      <c r="E133" s="3" t="n">
        <v>5</v>
      </c>
      <c r="F133" s="24" t="n">
        <v>0</v>
      </c>
    </row>
    <row r="134" customFormat="false" ht="15" hidden="false" customHeight="false" outlineLevel="0" collapsed="false">
      <c r="A134" s="3" t="n">
        <v>133</v>
      </c>
      <c r="B134" s="3" t="n">
        <v>132</v>
      </c>
      <c r="C134" s="3" t="n">
        <v>0</v>
      </c>
      <c r="D134" s="3" t="n">
        <v>9</v>
      </c>
      <c r="E134" s="3" t="n">
        <v>6</v>
      </c>
      <c r="F134" s="24" t="n">
        <v>1.45932758</v>
      </c>
    </row>
    <row r="135" customFormat="false" ht="15" hidden="false" customHeight="false" outlineLevel="0" collapsed="false">
      <c r="A135" s="3" t="n">
        <v>134</v>
      </c>
      <c r="B135" s="3" t="n">
        <v>133</v>
      </c>
      <c r="C135" s="3" t="n">
        <v>0</v>
      </c>
      <c r="D135" s="3" t="n">
        <v>9</v>
      </c>
      <c r="E135" s="3" t="n">
        <v>7</v>
      </c>
      <c r="F135" s="24" t="n">
        <v>1.45832598</v>
      </c>
    </row>
    <row r="136" customFormat="false" ht="15" hidden="false" customHeight="false" outlineLevel="0" collapsed="false">
      <c r="A136" s="3" t="n">
        <v>135</v>
      </c>
      <c r="B136" s="3" t="n">
        <v>134</v>
      </c>
      <c r="C136" s="3" t="n">
        <v>0</v>
      </c>
      <c r="D136" s="3" t="n">
        <v>9</v>
      </c>
      <c r="E136" s="3" t="n">
        <v>8</v>
      </c>
      <c r="F136" s="24" t="n">
        <v>2.03754807</v>
      </c>
    </row>
    <row r="137" customFormat="false" ht="15" hidden="false" customHeight="false" outlineLevel="0" collapsed="false">
      <c r="A137" s="3" t="n">
        <v>136</v>
      </c>
      <c r="B137" s="3" t="n">
        <v>135</v>
      </c>
      <c r="C137" s="3" t="n">
        <v>0</v>
      </c>
      <c r="D137" s="3" t="n">
        <v>9</v>
      </c>
      <c r="E137" s="3" t="n">
        <v>9</v>
      </c>
      <c r="F137" s="24" t="n">
        <v>0.952746809</v>
      </c>
    </row>
    <row r="138" customFormat="false" ht="15" hidden="false" customHeight="false" outlineLevel="0" collapsed="false">
      <c r="A138" s="3" t="n">
        <v>137</v>
      </c>
      <c r="B138" s="3" t="n">
        <v>136</v>
      </c>
      <c r="C138" s="3" t="n">
        <v>0</v>
      </c>
      <c r="D138" s="3" t="n">
        <v>9</v>
      </c>
      <c r="E138" s="3" t="n">
        <v>10</v>
      </c>
      <c r="F138" s="24" t="n">
        <v>0</v>
      </c>
    </row>
    <row r="139" customFormat="false" ht="15" hidden="false" customHeight="false" outlineLevel="0" collapsed="false">
      <c r="A139" s="3" t="n">
        <v>138</v>
      </c>
      <c r="B139" s="3" t="n">
        <v>137</v>
      </c>
      <c r="C139" s="3" t="n">
        <v>0</v>
      </c>
      <c r="D139" s="3" t="n">
        <v>9</v>
      </c>
      <c r="E139" s="3" t="n">
        <v>11</v>
      </c>
      <c r="F139" s="24" t="n">
        <v>0</v>
      </c>
    </row>
    <row r="140" customFormat="false" ht="15" hidden="false" customHeight="false" outlineLevel="0" collapsed="false">
      <c r="A140" s="3" t="n">
        <v>139</v>
      </c>
      <c r="B140" s="3" t="n">
        <v>138</v>
      </c>
      <c r="C140" s="3" t="n">
        <v>0</v>
      </c>
      <c r="D140" s="3" t="n">
        <v>9</v>
      </c>
      <c r="E140" s="3" t="n">
        <v>12</v>
      </c>
      <c r="F140" s="24" t="n">
        <v>0</v>
      </c>
    </row>
    <row r="141" customFormat="false" ht="15" hidden="false" customHeight="false" outlineLevel="0" collapsed="false">
      <c r="A141" s="3" t="n">
        <v>140</v>
      </c>
      <c r="B141" s="3" t="n">
        <v>139</v>
      </c>
      <c r="C141" s="3" t="n">
        <v>0</v>
      </c>
      <c r="D141" s="3" t="n">
        <v>9</v>
      </c>
      <c r="E141" s="3" t="n">
        <v>13</v>
      </c>
      <c r="F141" s="24" t="n">
        <v>0.0673455298</v>
      </c>
    </row>
    <row r="142" customFormat="false" ht="15" hidden="false" customHeight="false" outlineLevel="0" collapsed="false">
      <c r="A142" s="3" t="n">
        <v>141</v>
      </c>
      <c r="B142" s="3" t="n">
        <v>140</v>
      </c>
      <c r="C142" s="3" t="n">
        <v>0</v>
      </c>
      <c r="D142" s="3" t="n">
        <v>10</v>
      </c>
      <c r="E142" s="3" t="n">
        <v>0</v>
      </c>
      <c r="F142" s="24" t="n">
        <v>0.10001415</v>
      </c>
    </row>
    <row r="143" customFormat="false" ht="15" hidden="false" customHeight="false" outlineLevel="0" collapsed="false">
      <c r="A143" s="3" t="n">
        <v>142</v>
      </c>
      <c r="B143" s="3" t="n">
        <v>141</v>
      </c>
      <c r="C143" s="3" t="n">
        <v>0</v>
      </c>
      <c r="D143" s="3" t="n">
        <v>10</v>
      </c>
      <c r="E143" s="3" t="n">
        <v>1</v>
      </c>
      <c r="F143" s="24" t="n">
        <v>0</v>
      </c>
    </row>
    <row r="144" customFormat="false" ht="15" hidden="false" customHeight="false" outlineLevel="0" collapsed="false">
      <c r="A144" s="3" t="n">
        <v>143</v>
      </c>
      <c r="B144" s="3" t="n">
        <v>142</v>
      </c>
      <c r="C144" s="3" t="n">
        <v>0</v>
      </c>
      <c r="D144" s="3" t="n">
        <v>10</v>
      </c>
      <c r="E144" s="3" t="n">
        <v>2</v>
      </c>
      <c r="F144" s="24" t="n">
        <v>0</v>
      </c>
    </row>
    <row r="145" customFormat="false" ht="15" hidden="false" customHeight="false" outlineLevel="0" collapsed="false">
      <c r="A145" s="3" t="n">
        <v>144</v>
      </c>
      <c r="B145" s="3" t="n">
        <v>143</v>
      </c>
      <c r="C145" s="3" t="n">
        <v>0</v>
      </c>
      <c r="D145" s="3" t="n">
        <v>10</v>
      </c>
      <c r="E145" s="3" t="n">
        <v>3</v>
      </c>
      <c r="F145" s="24" t="n">
        <v>0</v>
      </c>
    </row>
    <row r="146" customFormat="false" ht="15" hidden="false" customHeight="false" outlineLevel="0" collapsed="false">
      <c r="A146" s="3" t="n">
        <v>145</v>
      </c>
      <c r="B146" s="3" t="n">
        <v>144</v>
      </c>
      <c r="C146" s="3" t="n">
        <v>0</v>
      </c>
      <c r="D146" s="3" t="n">
        <v>10</v>
      </c>
      <c r="E146" s="3" t="n">
        <v>4</v>
      </c>
      <c r="F146" s="24" t="n">
        <v>0</v>
      </c>
    </row>
    <row r="147" customFormat="false" ht="15" hidden="false" customHeight="false" outlineLevel="0" collapsed="false">
      <c r="A147" s="3" t="n">
        <v>146</v>
      </c>
      <c r="B147" s="3" t="n">
        <v>145</v>
      </c>
      <c r="C147" s="3" t="n">
        <v>0</v>
      </c>
      <c r="D147" s="3" t="n">
        <v>10</v>
      </c>
      <c r="E147" s="3" t="n">
        <v>5</v>
      </c>
      <c r="F147" s="24" t="n">
        <v>0.768443406</v>
      </c>
    </row>
    <row r="148" customFormat="false" ht="15" hidden="false" customHeight="false" outlineLevel="0" collapsed="false">
      <c r="A148" s="3" t="n">
        <v>147</v>
      </c>
      <c r="B148" s="3" t="n">
        <v>146</v>
      </c>
      <c r="C148" s="3" t="n">
        <v>0</v>
      </c>
      <c r="D148" s="3" t="n">
        <v>10</v>
      </c>
      <c r="E148" s="3" t="n">
        <v>6</v>
      </c>
      <c r="F148" s="24" t="n">
        <v>1.5491066</v>
      </c>
    </row>
    <row r="149" customFormat="false" ht="15" hidden="false" customHeight="false" outlineLevel="0" collapsed="false">
      <c r="A149" s="3" t="n">
        <v>148</v>
      </c>
      <c r="B149" s="3" t="n">
        <v>147</v>
      </c>
      <c r="C149" s="3" t="n">
        <v>0</v>
      </c>
      <c r="D149" s="3" t="n">
        <v>10</v>
      </c>
      <c r="E149" s="3" t="n">
        <v>7</v>
      </c>
      <c r="F149" s="24" t="n">
        <v>2.28631163</v>
      </c>
    </row>
    <row r="150" customFormat="false" ht="15" hidden="false" customHeight="false" outlineLevel="0" collapsed="false">
      <c r="A150" s="3" t="n">
        <v>149</v>
      </c>
      <c r="B150" s="3" t="n">
        <v>148</v>
      </c>
      <c r="C150" s="3" t="n">
        <v>0</v>
      </c>
      <c r="D150" s="3" t="n">
        <v>10</v>
      </c>
      <c r="E150" s="3" t="n">
        <v>8</v>
      </c>
      <c r="F150" s="24" t="n">
        <v>2.18752241</v>
      </c>
    </row>
    <row r="151" customFormat="false" ht="15" hidden="false" customHeight="false" outlineLevel="0" collapsed="false">
      <c r="A151" s="3" t="n">
        <v>150</v>
      </c>
      <c r="B151" s="3" t="n">
        <v>149</v>
      </c>
      <c r="C151" s="3" t="n">
        <v>0</v>
      </c>
      <c r="D151" s="3" t="n">
        <v>10</v>
      </c>
      <c r="E151" s="3" t="n">
        <v>9</v>
      </c>
      <c r="F151" s="24" t="n">
        <v>0</v>
      </c>
    </row>
    <row r="152" customFormat="false" ht="15" hidden="false" customHeight="false" outlineLevel="0" collapsed="false">
      <c r="A152" s="3" t="n">
        <v>151</v>
      </c>
      <c r="B152" s="3" t="n">
        <v>150</v>
      </c>
      <c r="C152" s="3" t="n">
        <v>0</v>
      </c>
      <c r="D152" s="3" t="n">
        <v>10</v>
      </c>
      <c r="E152" s="3" t="n">
        <v>10</v>
      </c>
      <c r="F152" s="24" t="n">
        <v>0</v>
      </c>
    </row>
    <row r="153" customFormat="false" ht="15" hidden="false" customHeight="false" outlineLevel="0" collapsed="false">
      <c r="A153" s="3" t="n">
        <v>152</v>
      </c>
      <c r="B153" s="3" t="n">
        <v>151</v>
      </c>
      <c r="C153" s="3" t="n">
        <v>0</v>
      </c>
      <c r="D153" s="3" t="n">
        <v>10</v>
      </c>
      <c r="E153" s="3" t="n">
        <v>11</v>
      </c>
      <c r="F153" s="24" t="n">
        <v>0</v>
      </c>
    </row>
    <row r="154" customFormat="false" ht="15" hidden="false" customHeight="false" outlineLevel="0" collapsed="false">
      <c r="A154" s="3" t="n">
        <v>153</v>
      </c>
      <c r="B154" s="3" t="n">
        <v>152</v>
      </c>
      <c r="C154" s="3" t="n">
        <v>0</v>
      </c>
      <c r="D154" s="3" t="n">
        <v>10</v>
      </c>
      <c r="E154" s="3" t="n">
        <v>12</v>
      </c>
      <c r="F154" s="24" t="n">
        <v>0</v>
      </c>
    </row>
    <row r="155" customFormat="false" ht="15" hidden="false" customHeight="false" outlineLevel="0" collapsed="false">
      <c r="A155" s="3" t="n">
        <v>154</v>
      </c>
      <c r="B155" s="3" t="n">
        <v>153</v>
      </c>
      <c r="C155" s="3" t="n">
        <v>0</v>
      </c>
      <c r="D155" s="3" t="n">
        <v>10</v>
      </c>
      <c r="E155" s="3" t="n">
        <v>13</v>
      </c>
      <c r="F155" s="24" t="n">
        <v>0.0673455298</v>
      </c>
    </row>
    <row r="156" customFormat="false" ht="15" hidden="false" customHeight="false" outlineLevel="0" collapsed="false">
      <c r="A156" s="3" t="n">
        <v>155</v>
      </c>
      <c r="B156" s="3" t="n">
        <v>154</v>
      </c>
      <c r="C156" s="3" t="n">
        <v>0</v>
      </c>
      <c r="D156" s="3" t="n">
        <v>11</v>
      </c>
      <c r="E156" s="3" t="n">
        <v>0</v>
      </c>
      <c r="F156" s="24" t="n">
        <v>0.10001415</v>
      </c>
    </row>
    <row r="157" customFormat="false" ht="15" hidden="false" customHeight="false" outlineLevel="0" collapsed="false">
      <c r="A157" s="3" t="n">
        <v>156</v>
      </c>
      <c r="B157" s="3" t="n">
        <v>155</v>
      </c>
      <c r="C157" s="3" t="n">
        <v>0</v>
      </c>
      <c r="D157" s="3" t="n">
        <v>11</v>
      </c>
      <c r="E157" s="3" t="n">
        <v>1</v>
      </c>
      <c r="F157" s="24" t="n">
        <v>0</v>
      </c>
    </row>
    <row r="158" customFormat="false" ht="15" hidden="false" customHeight="false" outlineLevel="0" collapsed="false">
      <c r="A158" s="3" t="n">
        <v>157</v>
      </c>
      <c r="B158" s="3" t="n">
        <v>156</v>
      </c>
      <c r="C158" s="3" t="n">
        <v>0</v>
      </c>
      <c r="D158" s="3" t="n">
        <v>11</v>
      </c>
      <c r="E158" s="3" t="n">
        <v>2</v>
      </c>
      <c r="F158" s="24" t="n">
        <v>0</v>
      </c>
    </row>
    <row r="159" customFormat="false" ht="15" hidden="false" customHeight="false" outlineLevel="0" collapsed="false">
      <c r="A159" s="3" t="n">
        <v>158</v>
      </c>
      <c r="B159" s="3" t="n">
        <v>157</v>
      </c>
      <c r="C159" s="3" t="n">
        <v>0</v>
      </c>
      <c r="D159" s="3" t="n">
        <v>11</v>
      </c>
      <c r="E159" s="3" t="n">
        <v>3</v>
      </c>
      <c r="F159" s="24" t="n">
        <v>0</v>
      </c>
    </row>
    <row r="160" customFormat="false" ht="15" hidden="false" customHeight="false" outlineLevel="0" collapsed="false">
      <c r="A160" s="3" t="n">
        <v>159</v>
      </c>
      <c r="B160" s="3" t="n">
        <v>158</v>
      </c>
      <c r="C160" s="3" t="n">
        <v>0</v>
      </c>
      <c r="D160" s="3" t="n">
        <v>11</v>
      </c>
      <c r="E160" s="3" t="n">
        <v>4</v>
      </c>
      <c r="F160" s="24" t="n">
        <v>0.143852323</v>
      </c>
    </row>
    <row r="161" customFormat="false" ht="15" hidden="false" customHeight="false" outlineLevel="0" collapsed="false">
      <c r="A161" s="3" t="n">
        <v>160</v>
      </c>
      <c r="B161" s="3" t="n">
        <v>159</v>
      </c>
      <c r="C161" s="3" t="n">
        <v>0</v>
      </c>
      <c r="D161" s="3" t="n">
        <v>11</v>
      </c>
      <c r="E161" s="3" t="n">
        <v>5</v>
      </c>
      <c r="F161" s="24" t="n">
        <v>1.66892886</v>
      </c>
    </row>
    <row r="162" customFormat="false" ht="15" hidden="false" customHeight="false" outlineLevel="0" collapsed="false">
      <c r="A162" s="3" t="n">
        <v>161</v>
      </c>
      <c r="B162" s="3" t="n">
        <v>160</v>
      </c>
      <c r="C162" s="3" t="n">
        <v>0</v>
      </c>
      <c r="D162" s="3" t="n">
        <v>11</v>
      </c>
      <c r="E162" s="3" t="n">
        <v>6</v>
      </c>
      <c r="F162" s="24" t="n">
        <v>2.25341463</v>
      </c>
    </row>
    <row r="163" customFormat="false" ht="15" hidden="false" customHeight="false" outlineLevel="0" collapsed="false">
      <c r="A163" s="3" t="n">
        <v>162</v>
      </c>
      <c r="B163" s="3" t="n">
        <v>161</v>
      </c>
      <c r="C163" s="3" t="n">
        <v>0</v>
      </c>
      <c r="D163" s="3" t="n">
        <v>11</v>
      </c>
      <c r="E163" s="3" t="n">
        <v>7</v>
      </c>
      <c r="F163" s="24" t="n">
        <v>1.70707202</v>
      </c>
    </row>
    <row r="164" customFormat="false" ht="15" hidden="false" customHeight="false" outlineLevel="0" collapsed="false">
      <c r="A164" s="3" t="n">
        <v>163</v>
      </c>
      <c r="B164" s="3" t="n">
        <v>162</v>
      </c>
      <c r="C164" s="3" t="n">
        <v>0</v>
      </c>
      <c r="D164" s="3" t="n">
        <v>11</v>
      </c>
      <c r="E164" s="3" t="n">
        <v>8</v>
      </c>
      <c r="F164" s="24" t="n">
        <v>0.291058004</v>
      </c>
    </row>
    <row r="165" customFormat="false" ht="15" hidden="false" customHeight="false" outlineLevel="0" collapsed="false">
      <c r="A165" s="3" t="n">
        <v>164</v>
      </c>
      <c r="B165" s="3" t="n">
        <v>163</v>
      </c>
      <c r="C165" s="3" t="n">
        <v>0</v>
      </c>
      <c r="D165" s="3" t="n">
        <v>11</v>
      </c>
      <c r="E165" s="3" t="n">
        <v>9</v>
      </c>
      <c r="F165" s="24" t="n">
        <v>0</v>
      </c>
    </row>
    <row r="166" customFormat="false" ht="15" hidden="false" customHeight="false" outlineLevel="0" collapsed="false">
      <c r="A166" s="3" t="n">
        <v>165</v>
      </c>
      <c r="B166" s="3" t="n">
        <v>164</v>
      </c>
      <c r="C166" s="3" t="n">
        <v>0</v>
      </c>
      <c r="D166" s="3" t="n">
        <v>11</v>
      </c>
      <c r="E166" s="3" t="n">
        <v>10</v>
      </c>
      <c r="F166" s="24" t="n">
        <v>0</v>
      </c>
    </row>
    <row r="167" customFormat="false" ht="15" hidden="false" customHeight="false" outlineLevel="0" collapsed="false">
      <c r="A167" s="3" t="n">
        <v>166</v>
      </c>
      <c r="B167" s="3" t="n">
        <v>165</v>
      </c>
      <c r="C167" s="3" t="n">
        <v>0</v>
      </c>
      <c r="D167" s="3" t="n">
        <v>11</v>
      </c>
      <c r="E167" s="3" t="n">
        <v>11</v>
      </c>
      <c r="F167" s="24" t="n">
        <v>0</v>
      </c>
    </row>
    <row r="168" customFormat="false" ht="15" hidden="false" customHeight="false" outlineLevel="0" collapsed="false">
      <c r="A168" s="3" t="n">
        <v>167</v>
      </c>
      <c r="B168" s="3" t="n">
        <v>166</v>
      </c>
      <c r="C168" s="3" t="n">
        <v>0</v>
      </c>
      <c r="D168" s="3" t="n">
        <v>11</v>
      </c>
      <c r="E168" s="3" t="n">
        <v>12</v>
      </c>
      <c r="F168" s="24" t="n">
        <v>0</v>
      </c>
    </row>
    <row r="169" customFormat="false" ht="15" hidden="false" customHeight="false" outlineLevel="0" collapsed="false">
      <c r="A169" s="3" t="n">
        <v>168</v>
      </c>
      <c r="B169" s="3" t="n">
        <v>167</v>
      </c>
      <c r="C169" s="3" t="n">
        <v>0</v>
      </c>
      <c r="D169" s="3" t="n">
        <v>11</v>
      </c>
      <c r="E169" s="3" t="n">
        <v>13</v>
      </c>
      <c r="F169" s="24" t="n">
        <v>0.0673455298</v>
      </c>
    </row>
    <row r="170" customFormat="false" ht="15" hidden="false" customHeight="false" outlineLevel="0" collapsed="false">
      <c r="A170" s="3" t="n">
        <v>169</v>
      </c>
      <c r="B170" s="3" t="n">
        <v>168</v>
      </c>
      <c r="C170" s="3" t="n">
        <v>0</v>
      </c>
      <c r="D170" s="3" t="n">
        <v>12</v>
      </c>
      <c r="E170" s="3" t="n">
        <v>0</v>
      </c>
      <c r="F170" s="24" t="n">
        <v>0.10001415</v>
      </c>
    </row>
    <row r="171" customFormat="false" ht="15" hidden="false" customHeight="false" outlineLevel="0" collapsed="false">
      <c r="A171" s="3" t="n">
        <v>170</v>
      </c>
      <c r="B171" s="3" t="n">
        <v>169</v>
      </c>
      <c r="C171" s="3" t="n">
        <v>0</v>
      </c>
      <c r="D171" s="3" t="n">
        <v>12</v>
      </c>
      <c r="E171" s="3" t="n">
        <v>1</v>
      </c>
      <c r="F171" s="24" t="n">
        <v>0</v>
      </c>
    </row>
    <row r="172" customFormat="false" ht="15" hidden="false" customHeight="false" outlineLevel="0" collapsed="false">
      <c r="A172" s="3" t="n">
        <v>171</v>
      </c>
      <c r="B172" s="3" t="n">
        <v>170</v>
      </c>
      <c r="C172" s="3" t="n">
        <v>0</v>
      </c>
      <c r="D172" s="3" t="n">
        <v>12</v>
      </c>
      <c r="E172" s="3" t="n">
        <v>2</v>
      </c>
      <c r="F172" s="24" t="n">
        <v>0</v>
      </c>
    </row>
    <row r="173" customFormat="false" ht="15" hidden="false" customHeight="false" outlineLevel="0" collapsed="false">
      <c r="A173" s="3" t="n">
        <v>172</v>
      </c>
      <c r="B173" s="3" t="n">
        <v>171</v>
      </c>
      <c r="C173" s="3" t="n">
        <v>0</v>
      </c>
      <c r="D173" s="3" t="n">
        <v>12</v>
      </c>
      <c r="E173" s="3" t="n">
        <v>3</v>
      </c>
      <c r="F173" s="24" t="n">
        <v>0</v>
      </c>
    </row>
    <row r="174" customFormat="false" ht="15" hidden="false" customHeight="false" outlineLevel="0" collapsed="false">
      <c r="A174" s="3" t="n">
        <v>173</v>
      </c>
      <c r="B174" s="3" t="n">
        <v>172</v>
      </c>
      <c r="C174" s="3" t="n">
        <v>0</v>
      </c>
      <c r="D174" s="3" t="n">
        <v>12</v>
      </c>
      <c r="E174" s="3" t="n">
        <v>4</v>
      </c>
      <c r="F174" s="24" t="n">
        <v>0.591727614</v>
      </c>
    </row>
    <row r="175" customFormat="false" ht="15" hidden="false" customHeight="false" outlineLevel="0" collapsed="false">
      <c r="A175" s="3" t="n">
        <v>174</v>
      </c>
      <c r="B175" s="3" t="n">
        <v>173</v>
      </c>
      <c r="C175" s="3" t="n">
        <v>0</v>
      </c>
      <c r="D175" s="3" t="n">
        <v>12</v>
      </c>
      <c r="E175" s="3" t="n">
        <v>5</v>
      </c>
      <c r="F175" s="24" t="n">
        <v>2.31598616</v>
      </c>
    </row>
    <row r="176" customFormat="false" ht="15" hidden="false" customHeight="false" outlineLevel="0" collapsed="false">
      <c r="A176" s="3" t="n">
        <v>175</v>
      </c>
      <c r="B176" s="3" t="n">
        <v>174</v>
      </c>
      <c r="C176" s="3" t="n">
        <v>0</v>
      </c>
      <c r="D176" s="3" t="n">
        <v>12</v>
      </c>
      <c r="E176" s="3" t="n">
        <v>6</v>
      </c>
      <c r="F176" s="24" t="n">
        <v>2.62003136</v>
      </c>
    </row>
    <row r="177" customFormat="false" ht="15" hidden="false" customHeight="false" outlineLevel="0" collapsed="false">
      <c r="A177" s="3" t="n">
        <v>176</v>
      </c>
      <c r="B177" s="3" t="n">
        <v>175</v>
      </c>
      <c r="C177" s="3" t="n">
        <v>0</v>
      </c>
      <c r="D177" s="3" t="n">
        <v>12</v>
      </c>
      <c r="E177" s="3" t="n">
        <v>7</v>
      </c>
      <c r="F177" s="24" t="n">
        <v>2.1185267</v>
      </c>
    </row>
    <row r="178" customFormat="false" ht="15" hidden="false" customHeight="false" outlineLevel="0" collapsed="false">
      <c r="A178" s="3" t="n">
        <v>177</v>
      </c>
      <c r="B178" s="3" t="n">
        <v>176</v>
      </c>
      <c r="C178" s="3" t="n">
        <v>0</v>
      </c>
      <c r="D178" s="3" t="n">
        <v>12</v>
      </c>
      <c r="E178" s="3" t="n">
        <v>8</v>
      </c>
      <c r="F178" s="24" t="n">
        <v>0</v>
      </c>
    </row>
    <row r="179" customFormat="false" ht="15" hidden="false" customHeight="false" outlineLevel="0" collapsed="false">
      <c r="A179" s="3" t="n">
        <v>178</v>
      </c>
      <c r="B179" s="3" t="n">
        <v>177</v>
      </c>
      <c r="C179" s="3" t="n">
        <v>0</v>
      </c>
      <c r="D179" s="3" t="n">
        <v>12</v>
      </c>
      <c r="E179" s="3" t="n">
        <v>9</v>
      </c>
      <c r="F179" s="24" t="n">
        <v>0</v>
      </c>
    </row>
    <row r="180" customFormat="false" ht="15" hidden="false" customHeight="false" outlineLevel="0" collapsed="false">
      <c r="A180" s="3" t="n">
        <v>179</v>
      </c>
      <c r="B180" s="3" t="n">
        <v>178</v>
      </c>
      <c r="C180" s="3" t="n">
        <v>0</v>
      </c>
      <c r="D180" s="3" t="n">
        <v>12</v>
      </c>
      <c r="E180" s="3" t="n">
        <v>10</v>
      </c>
      <c r="F180" s="24" t="n">
        <v>0</v>
      </c>
    </row>
    <row r="181" customFormat="false" ht="15" hidden="false" customHeight="false" outlineLevel="0" collapsed="false">
      <c r="A181" s="3" t="n">
        <v>180</v>
      </c>
      <c r="B181" s="3" t="n">
        <v>179</v>
      </c>
      <c r="C181" s="3" t="n">
        <v>0</v>
      </c>
      <c r="D181" s="3" t="n">
        <v>12</v>
      </c>
      <c r="E181" s="3" t="n">
        <v>11</v>
      </c>
      <c r="F181" s="24" t="n">
        <v>0</v>
      </c>
    </row>
    <row r="182" customFormat="false" ht="15" hidden="false" customHeight="false" outlineLevel="0" collapsed="false">
      <c r="A182" s="3" t="n">
        <v>181</v>
      </c>
      <c r="B182" s="3" t="n">
        <v>180</v>
      </c>
      <c r="C182" s="3" t="n">
        <v>0</v>
      </c>
      <c r="D182" s="3" t="n">
        <v>12</v>
      </c>
      <c r="E182" s="3" t="n">
        <v>12</v>
      </c>
      <c r="F182" s="24" t="n">
        <v>0</v>
      </c>
    </row>
    <row r="183" customFormat="false" ht="15" hidden="false" customHeight="false" outlineLevel="0" collapsed="false">
      <c r="A183" s="3" t="n">
        <v>182</v>
      </c>
      <c r="B183" s="3" t="n">
        <v>181</v>
      </c>
      <c r="C183" s="3" t="n">
        <v>0</v>
      </c>
      <c r="D183" s="3" t="n">
        <v>12</v>
      </c>
      <c r="E183" s="3" t="n">
        <v>13</v>
      </c>
      <c r="F183" s="24" t="n">
        <v>0.0673455298</v>
      </c>
    </row>
    <row r="184" customFormat="false" ht="15" hidden="false" customHeight="false" outlineLevel="0" collapsed="false">
      <c r="A184" s="3" t="n">
        <v>183</v>
      </c>
      <c r="B184" s="3" t="n">
        <v>182</v>
      </c>
      <c r="C184" s="3" t="n">
        <v>0</v>
      </c>
      <c r="D184" s="3" t="n">
        <v>13</v>
      </c>
      <c r="E184" s="3" t="n">
        <v>0</v>
      </c>
      <c r="F184" s="24" t="n">
        <v>0.203234181</v>
      </c>
    </row>
    <row r="185" customFormat="false" ht="15" hidden="false" customHeight="false" outlineLevel="0" collapsed="false">
      <c r="A185" s="3" t="n">
        <v>184</v>
      </c>
      <c r="B185" s="3" t="n">
        <v>183</v>
      </c>
      <c r="C185" s="3" t="n">
        <v>0</v>
      </c>
      <c r="D185" s="3" t="n">
        <v>13</v>
      </c>
      <c r="E185" s="3" t="n">
        <v>1</v>
      </c>
      <c r="F185" s="24" t="n">
        <v>0</v>
      </c>
    </row>
    <row r="186" customFormat="false" ht="15" hidden="false" customHeight="false" outlineLevel="0" collapsed="false">
      <c r="A186" s="3" t="n">
        <v>185</v>
      </c>
      <c r="B186" s="3" t="n">
        <v>184</v>
      </c>
      <c r="C186" s="3" t="n">
        <v>0</v>
      </c>
      <c r="D186" s="3" t="n">
        <v>13</v>
      </c>
      <c r="E186" s="3" t="n">
        <v>2</v>
      </c>
      <c r="F186" s="24" t="n">
        <v>0</v>
      </c>
    </row>
    <row r="187" customFormat="false" ht="15" hidden="false" customHeight="false" outlineLevel="0" collapsed="false">
      <c r="A187" s="3" t="n">
        <v>186</v>
      </c>
      <c r="B187" s="3" t="n">
        <v>185</v>
      </c>
      <c r="C187" s="3" t="n">
        <v>0</v>
      </c>
      <c r="D187" s="3" t="n">
        <v>13</v>
      </c>
      <c r="E187" s="3" t="n">
        <v>3</v>
      </c>
      <c r="F187" s="24" t="n">
        <v>0</v>
      </c>
    </row>
    <row r="188" customFormat="false" ht="15" hidden="false" customHeight="false" outlineLevel="0" collapsed="false">
      <c r="A188" s="3" t="n">
        <v>187</v>
      </c>
      <c r="B188" s="3" t="n">
        <v>186</v>
      </c>
      <c r="C188" s="3" t="n">
        <v>0</v>
      </c>
      <c r="D188" s="3" t="n">
        <v>13</v>
      </c>
      <c r="E188" s="3" t="n">
        <v>4</v>
      </c>
      <c r="F188" s="24" t="n">
        <v>0</v>
      </c>
    </row>
    <row r="189" customFormat="false" ht="15" hidden="false" customHeight="false" outlineLevel="0" collapsed="false">
      <c r="A189" s="3" t="n">
        <v>188</v>
      </c>
      <c r="B189" s="3" t="n">
        <v>187</v>
      </c>
      <c r="C189" s="3" t="n">
        <v>0</v>
      </c>
      <c r="D189" s="3" t="n">
        <v>13</v>
      </c>
      <c r="E189" s="3" t="n">
        <v>5</v>
      </c>
      <c r="F189" s="24" t="n">
        <v>2.26651311</v>
      </c>
    </row>
    <row r="190" customFormat="false" ht="15" hidden="false" customHeight="false" outlineLevel="0" collapsed="false">
      <c r="A190" s="3" t="n">
        <v>189</v>
      </c>
      <c r="B190" s="3" t="n">
        <v>188</v>
      </c>
      <c r="C190" s="3" t="n">
        <v>0</v>
      </c>
      <c r="D190" s="3" t="n">
        <v>13</v>
      </c>
      <c r="E190" s="3" t="n">
        <v>6</v>
      </c>
      <c r="F190" s="24" t="n">
        <v>2.52051997</v>
      </c>
    </row>
    <row r="191" customFormat="false" ht="15" hidden="false" customHeight="false" outlineLevel="0" collapsed="false">
      <c r="A191" s="3" t="n">
        <v>190</v>
      </c>
      <c r="B191" s="3" t="n">
        <v>189</v>
      </c>
      <c r="C191" s="3" t="n">
        <v>0</v>
      </c>
      <c r="D191" s="3" t="n">
        <v>13</v>
      </c>
      <c r="E191" s="3" t="n">
        <v>7</v>
      </c>
      <c r="F191" s="24" t="n">
        <v>1.06131971</v>
      </c>
    </row>
    <row r="192" customFormat="false" ht="15" hidden="false" customHeight="false" outlineLevel="0" collapsed="false">
      <c r="A192" s="3" t="n">
        <v>191</v>
      </c>
      <c r="B192" s="3" t="n">
        <v>190</v>
      </c>
      <c r="C192" s="3" t="n">
        <v>0</v>
      </c>
      <c r="D192" s="3" t="n">
        <v>13</v>
      </c>
      <c r="E192" s="3" t="n">
        <v>8</v>
      </c>
      <c r="F192" s="24" t="n">
        <v>0</v>
      </c>
    </row>
    <row r="193" customFormat="false" ht="15" hidden="false" customHeight="false" outlineLevel="0" collapsed="false">
      <c r="A193" s="3" t="n">
        <v>192</v>
      </c>
      <c r="B193" s="3" t="n">
        <v>191</v>
      </c>
      <c r="C193" s="3" t="n">
        <v>0</v>
      </c>
      <c r="D193" s="3" t="n">
        <v>13</v>
      </c>
      <c r="E193" s="3" t="n">
        <v>9</v>
      </c>
      <c r="F193" s="24" t="n">
        <v>0</v>
      </c>
    </row>
    <row r="194" customFormat="false" ht="15" hidden="false" customHeight="false" outlineLevel="0" collapsed="false">
      <c r="A194" s="3" t="n">
        <v>193</v>
      </c>
      <c r="B194" s="3" t="n">
        <v>192</v>
      </c>
      <c r="C194" s="3" t="n">
        <v>0</v>
      </c>
      <c r="D194" s="3" t="n">
        <v>13</v>
      </c>
      <c r="E194" s="3" t="n">
        <v>10</v>
      </c>
      <c r="F194" s="24" t="n">
        <v>0</v>
      </c>
    </row>
    <row r="195" customFormat="false" ht="15" hidden="false" customHeight="false" outlineLevel="0" collapsed="false">
      <c r="A195" s="3" t="n">
        <v>194</v>
      </c>
      <c r="B195" s="3" t="n">
        <v>193</v>
      </c>
      <c r="C195" s="3" t="n">
        <v>0</v>
      </c>
      <c r="D195" s="3" t="n">
        <v>13</v>
      </c>
      <c r="E195" s="3" t="n">
        <v>11</v>
      </c>
      <c r="F195" s="24" t="n">
        <v>0</v>
      </c>
    </row>
    <row r="196" customFormat="false" ht="15" hidden="false" customHeight="false" outlineLevel="0" collapsed="false">
      <c r="A196" s="3" t="n">
        <v>195</v>
      </c>
      <c r="B196" s="3" t="n">
        <v>194</v>
      </c>
      <c r="C196" s="3" t="n">
        <v>0</v>
      </c>
      <c r="D196" s="3" t="n">
        <v>13</v>
      </c>
      <c r="E196" s="3" t="n">
        <v>12</v>
      </c>
      <c r="F196" s="24" t="n">
        <v>0</v>
      </c>
    </row>
    <row r="197" customFormat="false" ht="15" hidden="false" customHeight="false" outlineLevel="0" collapsed="false">
      <c r="A197" s="3" t="n">
        <v>196</v>
      </c>
      <c r="B197" s="3" t="n">
        <v>195</v>
      </c>
      <c r="C197" s="3" t="n">
        <v>0</v>
      </c>
      <c r="D197" s="3" t="n">
        <v>13</v>
      </c>
      <c r="E197" s="3" t="n">
        <v>13</v>
      </c>
      <c r="F197" s="24" t="n">
        <v>0.0673455298</v>
      </c>
    </row>
    <row r="198" customFormat="false" ht="15" hidden="false" customHeight="false" outlineLevel="0" collapsed="false">
      <c r="A198" s="3" t="n">
        <v>197</v>
      </c>
      <c r="B198" s="3" t="n">
        <v>196</v>
      </c>
      <c r="C198" s="3" t="n">
        <v>1</v>
      </c>
      <c r="D198" s="3" t="n">
        <v>0</v>
      </c>
      <c r="E198" s="3" t="n">
        <v>0</v>
      </c>
      <c r="F198" s="24" t="n">
        <v>0</v>
      </c>
    </row>
    <row r="199" customFormat="false" ht="15" hidden="false" customHeight="false" outlineLevel="0" collapsed="false">
      <c r="A199" s="3" t="n">
        <v>198</v>
      </c>
      <c r="B199" s="3" t="n">
        <v>197</v>
      </c>
      <c r="C199" s="3" t="n">
        <v>1</v>
      </c>
      <c r="D199" s="3" t="n">
        <v>0</v>
      </c>
      <c r="E199" s="3" t="n">
        <v>1</v>
      </c>
      <c r="F199" s="24" t="n">
        <v>0</v>
      </c>
    </row>
    <row r="200" customFormat="false" ht="15" hidden="false" customHeight="false" outlineLevel="0" collapsed="false">
      <c r="A200" s="3" t="n">
        <v>199</v>
      </c>
      <c r="B200" s="3" t="n">
        <v>198</v>
      </c>
      <c r="C200" s="3" t="n">
        <v>1</v>
      </c>
      <c r="D200" s="3" t="n">
        <v>0</v>
      </c>
      <c r="E200" s="3" t="n">
        <v>2</v>
      </c>
      <c r="F200" s="24" t="n">
        <v>0</v>
      </c>
    </row>
    <row r="201" customFormat="false" ht="15" hidden="false" customHeight="false" outlineLevel="0" collapsed="false">
      <c r="A201" s="3" t="n">
        <v>200</v>
      </c>
      <c r="B201" s="3" t="n">
        <v>199</v>
      </c>
      <c r="C201" s="3" t="n">
        <v>1</v>
      </c>
      <c r="D201" s="3" t="n">
        <v>0</v>
      </c>
      <c r="E201" s="3" t="n">
        <v>3</v>
      </c>
      <c r="F201" s="24" t="n">
        <v>0</v>
      </c>
    </row>
    <row r="202" customFormat="false" ht="15" hidden="false" customHeight="false" outlineLevel="0" collapsed="false">
      <c r="A202" s="3" t="n">
        <v>201</v>
      </c>
      <c r="B202" s="3" t="n">
        <v>200</v>
      </c>
      <c r="C202" s="3" t="n">
        <v>1</v>
      </c>
      <c r="D202" s="3" t="n">
        <v>0</v>
      </c>
      <c r="E202" s="3" t="n">
        <v>4</v>
      </c>
      <c r="F202" s="24" t="n">
        <v>0</v>
      </c>
    </row>
    <row r="203" customFormat="false" ht="15" hidden="false" customHeight="false" outlineLevel="0" collapsed="false">
      <c r="A203" s="3" t="n">
        <v>202</v>
      </c>
      <c r="B203" s="3" t="n">
        <v>201</v>
      </c>
      <c r="C203" s="3" t="n">
        <v>1</v>
      </c>
      <c r="D203" s="3" t="n">
        <v>0</v>
      </c>
      <c r="E203" s="3" t="n">
        <v>5</v>
      </c>
      <c r="F203" s="24" t="n">
        <v>0</v>
      </c>
    </row>
    <row r="204" customFormat="false" ht="15" hidden="false" customHeight="false" outlineLevel="0" collapsed="false">
      <c r="A204" s="3" t="n">
        <v>203</v>
      </c>
      <c r="B204" s="3" t="n">
        <v>202</v>
      </c>
      <c r="C204" s="3" t="n">
        <v>1</v>
      </c>
      <c r="D204" s="3" t="n">
        <v>0</v>
      </c>
      <c r="E204" s="3" t="n">
        <v>6</v>
      </c>
      <c r="F204" s="24" t="n">
        <v>0</v>
      </c>
    </row>
    <row r="205" customFormat="false" ht="15" hidden="false" customHeight="false" outlineLevel="0" collapsed="false">
      <c r="A205" s="3" t="n">
        <v>204</v>
      </c>
      <c r="B205" s="3" t="n">
        <v>203</v>
      </c>
      <c r="C205" s="3" t="n">
        <v>1</v>
      </c>
      <c r="D205" s="3" t="n">
        <v>0</v>
      </c>
      <c r="E205" s="3" t="n">
        <v>7</v>
      </c>
      <c r="F205" s="24" t="n">
        <v>0</v>
      </c>
    </row>
    <row r="206" customFormat="false" ht="15" hidden="false" customHeight="false" outlineLevel="0" collapsed="false">
      <c r="A206" s="3" t="n">
        <v>205</v>
      </c>
      <c r="B206" s="3" t="n">
        <v>204</v>
      </c>
      <c r="C206" s="3" t="n">
        <v>1</v>
      </c>
      <c r="D206" s="3" t="n">
        <v>0</v>
      </c>
      <c r="E206" s="3" t="n">
        <v>8</v>
      </c>
      <c r="F206" s="24" t="n">
        <v>0</v>
      </c>
    </row>
    <row r="207" customFormat="false" ht="15" hidden="false" customHeight="false" outlineLevel="0" collapsed="false">
      <c r="A207" s="3" t="n">
        <v>206</v>
      </c>
      <c r="B207" s="3" t="n">
        <v>205</v>
      </c>
      <c r="C207" s="3" t="n">
        <v>1</v>
      </c>
      <c r="D207" s="3" t="n">
        <v>0</v>
      </c>
      <c r="E207" s="3" t="n">
        <v>9</v>
      </c>
      <c r="F207" s="24" t="n">
        <v>0</v>
      </c>
    </row>
    <row r="208" customFormat="false" ht="15" hidden="false" customHeight="false" outlineLevel="0" collapsed="false">
      <c r="A208" s="3" t="n">
        <v>207</v>
      </c>
      <c r="B208" s="3" t="n">
        <v>206</v>
      </c>
      <c r="C208" s="3" t="n">
        <v>1</v>
      </c>
      <c r="D208" s="3" t="n">
        <v>0</v>
      </c>
      <c r="E208" s="3" t="n">
        <v>10</v>
      </c>
      <c r="F208" s="24" t="n">
        <v>0</v>
      </c>
    </row>
    <row r="209" customFormat="false" ht="15" hidden="false" customHeight="false" outlineLevel="0" collapsed="false">
      <c r="A209" s="3" t="n">
        <v>208</v>
      </c>
      <c r="B209" s="3" t="n">
        <v>207</v>
      </c>
      <c r="C209" s="3" t="n">
        <v>1</v>
      </c>
      <c r="D209" s="3" t="n">
        <v>0</v>
      </c>
      <c r="E209" s="3" t="n">
        <v>11</v>
      </c>
      <c r="F209" s="24" t="n">
        <v>0</v>
      </c>
    </row>
    <row r="210" customFormat="false" ht="15" hidden="false" customHeight="false" outlineLevel="0" collapsed="false">
      <c r="A210" s="3" t="n">
        <v>209</v>
      </c>
      <c r="B210" s="3" t="n">
        <v>208</v>
      </c>
      <c r="C210" s="3" t="n">
        <v>1</v>
      </c>
      <c r="D210" s="3" t="n">
        <v>0</v>
      </c>
      <c r="E210" s="3" t="n">
        <v>12</v>
      </c>
      <c r="F210" s="24" t="n">
        <v>0</v>
      </c>
    </row>
    <row r="211" customFormat="false" ht="15" hidden="false" customHeight="false" outlineLevel="0" collapsed="false">
      <c r="A211" s="3" t="n">
        <v>210</v>
      </c>
      <c r="B211" s="3" t="n">
        <v>209</v>
      </c>
      <c r="C211" s="3" t="n">
        <v>1</v>
      </c>
      <c r="D211" s="3" t="n">
        <v>0</v>
      </c>
      <c r="E211" s="3" t="n">
        <v>13</v>
      </c>
      <c r="F211" s="24" t="n">
        <v>0</v>
      </c>
    </row>
    <row r="212" customFormat="false" ht="15" hidden="false" customHeight="false" outlineLevel="0" collapsed="false">
      <c r="A212" s="3" t="n">
        <v>211</v>
      </c>
      <c r="B212" s="3" t="n">
        <v>210</v>
      </c>
      <c r="C212" s="3" t="n">
        <v>1</v>
      </c>
      <c r="D212" s="3" t="n">
        <v>1</v>
      </c>
      <c r="E212" s="3" t="n">
        <v>0</v>
      </c>
      <c r="F212" s="24" t="n">
        <v>0</v>
      </c>
    </row>
    <row r="213" customFormat="false" ht="15" hidden="false" customHeight="false" outlineLevel="0" collapsed="false">
      <c r="A213" s="3" t="n">
        <v>212</v>
      </c>
      <c r="B213" s="3" t="n">
        <v>211</v>
      </c>
      <c r="C213" s="3" t="n">
        <v>1</v>
      </c>
      <c r="D213" s="3" t="n">
        <v>1</v>
      </c>
      <c r="E213" s="3" t="n">
        <v>1</v>
      </c>
      <c r="F213" s="24" t="n">
        <v>0</v>
      </c>
    </row>
    <row r="214" customFormat="false" ht="15" hidden="false" customHeight="false" outlineLevel="0" collapsed="false">
      <c r="A214" s="3" t="n">
        <v>213</v>
      </c>
      <c r="B214" s="3" t="n">
        <v>212</v>
      </c>
      <c r="C214" s="3" t="n">
        <v>1</v>
      </c>
      <c r="D214" s="3" t="n">
        <v>1</v>
      </c>
      <c r="E214" s="3" t="n">
        <v>2</v>
      </c>
      <c r="F214" s="24" t="n">
        <v>0</v>
      </c>
    </row>
    <row r="215" customFormat="false" ht="15" hidden="false" customHeight="false" outlineLevel="0" collapsed="false">
      <c r="A215" s="3" t="n">
        <v>214</v>
      </c>
      <c r="B215" s="3" t="n">
        <v>213</v>
      </c>
      <c r="C215" s="3" t="n">
        <v>1</v>
      </c>
      <c r="D215" s="3" t="n">
        <v>1</v>
      </c>
      <c r="E215" s="3" t="n">
        <v>3</v>
      </c>
      <c r="F215" s="24" t="n">
        <v>0</v>
      </c>
    </row>
    <row r="216" customFormat="false" ht="15" hidden="false" customHeight="false" outlineLevel="0" collapsed="false">
      <c r="A216" s="3" t="n">
        <v>215</v>
      </c>
      <c r="B216" s="3" t="n">
        <v>214</v>
      </c>
      <c r="C216" s="3" t="n">
        <v>1</v>
      </c>
      <c r="D216" s="3" t="n">
        <v>1</v>
      </c>
      <c r="E216" s="3" t="n">
        <v>4</v>
      </c>
      <c r="F216" s="24" t="n">
        <v>0</v>
      </c>
    </row>
    <row r="217" customFormat="false" ht="15" hidden="false" customHeight="false" outlineLevel="0" collapsed="false">
      <c r="A217" s="3" t="n">
        <v>216</v>
      </c>
      <c r="B217" s="3" t="n">
        <v>215</v>
      </c>
      <c r="C217" s="3" t="n">
        <v>1</v>
      </c>
      <c r="D217" s="3" t="n">
        <v>1</v>
      </c>
      <c r="E217" s="3" t="n">
        <v>5</v>
      </c>
      <c r="F217" s="24" t="n">
        <v>0</v>
      </c>
    </row>
    <row r="218" customFormat="false" ht="15" hidden="false" customHeight="false" outlineLevel="0" collapsed="false">
      <c r="A218" s="3" t="n">
        <v>217</v>
      </c>
      <c r="B218" s="3" t="n">
        <v>216</v>
      </c>
      <c r="C218" s="3" t="n">
        <v>1</v>
      </c>
      <c r="D218" s="3" t="n">
        <v>1</v>
      </c>
      <c r="E218" s="3" t="n">
        <v>6</v>
      </c>
      <c r="F218" s="24" t="n">
        <v>0</v>
      </c>
    </row>
    <row r="219" customFormat="false" ht="15" hidden="false" customHeight="false" outlineLevel="0" collapsed="false">
      <c r="A219" s="3" t="n">
        <v>218</v>
      </c>
      <c r="B219" s="3" t="n">
        <v>217</v>
      </c>
      <c r="C219" s="3" t="n">
        <v>1</v>
      </c>
      <c r="D219" s="3" t="n">
        <v>1</v>
      </c>
      <c r="E219" s="3" t="n">
        <v>7</v>
      </c>
      <c r="F219" s="24" t="n">
        <v>0</v>
      </c>
    </row>
    <row r="220" customFormat="false" ht="15" hidden="false" customHeight="false" outlineLevel="0" collapsed="false">
      <c r="A220" s="3" t="n">
        <v>219</v>
      </c>
      <c r="B220" s="3" t="n">
        <v>218</v>
      </c>
      <c r="C220" s="3" t="n">
        <v>1</v>
      </c>
      <c r="D220" s="3" t="n">
        <v>1</v>
      </c>
      <c r="E220" s="3" t="n">
        <v>8</v>
      </c>
      <c r="F220" s="24" t="n">
        <v>0</v>
      </c>
    </row>
    <row r="221" customFormat="false" ht="15" hidden="false" customHeight="false" outlineLevel="0" collapsed="false">
      <c r="A221" s="3" t="n">
        <v>220</v>
      </c>
      <c r="B221" s="3" t="n">
        <v>219</v>
      </c>
      <c r="C221" s="3" t="n">
        <v>1</v>
      </c>
      <c r="D221" s="3" t="n">
        <v>1</v>
      </c>
      <c r="E221" s="3" t="n">
        <v>9</v>
      </c>
      <c r="F221" s="24" t="n">
        <v>0</v>
      </c>
    </row>
    <row r="222" customFormat="false" ht="15" hidden="false" customHeight="false" outlineLevel="0" collapsed="false">
      <c r="A222" s="3" t="n">
        <v>221</v>
      </c>
      <c r="B222" s="3" t="n">
        <v>220</v>
      </c>
      <c r="C222" s="3" t="n">
        <v>1</v>
      </c>
      <c r="D222" s="3" t="n">
        <v>1</v>
      </c>
      <c r="E222" s="3" t="n">
        <v>10</v>
      </c>
      <c r="F222" s="24" t="n">
        <v>0</v>
      </c>
    </row>
    <row r="223" customFormat="false" ht="15" hidden="false" customHeight="false" outlineLevel="0" collapsed="false">
      <c r="A223" s="3" t="n">
        <v>222</v>
      </c>
      <c r="B223" s="3" t="n">
        <v>221</v>
      </c>
      <c r="C223" s="3" t="n">
        <v>1</v>
      </c>
      <c r="D223" s="3" t="n">
        <v>1</v>
      </c>
      <c r="E223" s="3" t="n">
        <v>11</v>
      </c>
      <c r="F223" s="24" t="n">
        <v>0</v>
      </c>
    </row>
    <row r="224" customFormat="false" ht="15" hidden="false" customHeight="false" outlineLevel="0" collapsed="false">
      <c r="A224" s="3" t="n">
        <v>223</v>
      </c>
      <c r="B224" s="3" t="n">
        <v>222</v>
      </c>
      <c r="C224" s="3" t="n">
        <v>1</v>
      </c>
      <c r="D224" s="3" t="n">
        <v>1</v>
      </c>
      <c r="E224" s="3" t="n">
        <v>12</v>
      </c>
      <c r="F224" s="24" t="n">
        <v>0</v>
      </c>
    </row>
    <row r="225" customFormat="false" ht="15" hidden="false" customHeight="false" outlineLevel="0" collapsed="false">
      <c r="A225" s="3" t="n">
        <v>224</v>
      </c>
      <c r="B225" s="3" t="n">
        <v>223</v>
      </c>
      <c r="C225" s="3" t="n">
        <v>1</v>
      </c>
      <c r="D225" s="3" t="n">
        <v>1</v>
      </c>
      <c r="E225" s="3" t="n">
        <v>13</v>
      </c>
      <c r="F225" s="24" t="n">
        <v>0</v>
      </c>
    </row>
    <row r="226" customFormat="false" ht="15" hidden="false" customHeight="false" outlineLevel="0" collapsed="false">
      <c r="A226" s="3" t="n">
        <v>225</v>
      </c>
      <c r="B226" s="3" t="n">
        <v>224</v>
      </c>
      <c r="C226" s="3" t="n">
        <v>1</v>
      </c>
      <c r="D226" s="3" t="n">
        <v>2</v>
      </c>
      <c r="E226" s="3" t="n">
        <v>0</v>
      </c>
      <c r="F226" s="24" t="n">
        <v>0</v>
      </c>
    </row>
    <row r="227" customFormat="false" ht="15" hidden="false" customHeight="false" outlineLevel="0" collapsed="false">
      <c r="A227" s="3" t="n">
        <v>226</v>
      </c>
      <c r="B227" s="3" t="n">
        <v>225</v>
      </c>
      <c r="C227" s="3" t="n">
        <v>1</v>
      </c>
      <c r="D227" s="3" t="n">
        <v>2</v>
      </c>
      <c r="E227" s="3" t="n">
        <v>1</v>
      </c>
      <c r="F227" s="24" t="n">
        <v>0</v>
      </c>
    </row>
    <row r="228" customFormat="false" ht="15" hidden="false" customHeight="false" outlineLevel="0" collapsed="false">
      <c r="A228" s="3" t="n">
        <v>227</v>
      </c>
      <c r="B228" s="3" t="n">
        <v>226</v>
      </c>
      <c r="C228" s="3" t="n">
        <v>1</v>
      </c>
      <c r="D228" s="3" t="n">
        <v>2</v>
      </c>
      <c r="E228" s="3" t="n">
        <v>2</v>
      </c>
      <c r="F228" s="24" t="n">
        <v>0</v>
      </c>
    </row>
    <row r="229" customFormat="false" ht="15" hidden="false" customHeight="false" outlineLevel="0" collapsed="false">
      <c r="A229" s="3" t="n">
        <v>228</v>
      </c>
      <c r="B229" s="3" t="n">
        <v>227</v>
      </c>
      <c r="C229" s="3" t="n">
        <v>1</v>
      </c>
      <c r="D229" s="3" t="n">
        <v>2</v>
      </c>
      <c r="E229" s="3" t="n">
        <v>3</v>
      </c>
      <c r="F229" s="24" t="n">
        <v>0</v>
      </c>
    </row>
    <row r="230" customFormat="false" ht="15" hidden="false" customHeight="false" outlineLevel="0" collapsed="false">
      <c r="A230" s="3" t="n">
        <v>229</v>
      </c>
      <c r="B230" s="3" t="n">
        <v>228</v>
      </c>
      <c r="C230" s="3" t="n">
        <v>1</v>
      </c>
      <c r="D230" s="3" t="n">
        <v>2</v>
      </c>
      <c r="E230" s="3" t="n">
        <v>4</v>
      </c>
      <c r="F230" s="24" t="n">
        <v>0</v>
      </c>
    </row>
    <row r="231" customFormat="false" ht="15" hidden="false" customHeight="false" outlineLevel="0" collapsed="false">
      <c r="A231" s="3" t="n">
        <v>230</v>
      </c>
      <c r="B231" s="3" t="n">
        <v>229</v>
      </c>
      <c r="C231" s="3" t="n">
        <v>1</v>
      </c>
      <c r="D231" s="3" t="n">
        <v>2</v>
      </c>
      <c r="E231" s="3" t="n">
        <v>5</v>
      </c>
      <c r="F231" s="24" t="n">
        <v>0</v>
      </c>
    </row>
    <row r="232" customFormat="false" ht="15" hidden="false" customHeight="false" outlineLevel="0" collapsed="false">
      <c r="A232" s="3" t="n">
        <v>231</v>
      </c>
      <c r="B232" s="3" t="n">
        <v>230</v>
      </c>
      <c r="C232" s="3" t="n">
        <v>1</v>
      </c>
      <c r="D232" s="3" t="n">
        <v>2</v>
      </c>
      <c r="E232" s="3" t="n">
        <v>6</v>
      </c>
      <c r="F232" s="24" t="n">
        <v>0</v>
      </c>
    </row>
    <row r="233" customFormat="false" ht="15" hidden="false" customHeight="false" outlineLevel="0" collapsed="false">
      <c r="A233" s="3" t="n">
        <v>232</v>
      </c>
      <c r="B233" s="3" t="n">
        <v>231</v>
      </c>
      <c r="C233" s="3" t="n">
        <v>1</v>
      </c>
      <c r="D233" s="3" t="n">
        <v>2</v>
      </c>
      <c r="E233" s="3" t="n">
        <v>7</v>
      </c>
      <c r="F233" s="24" t="n">
        <v>0</v>
      </c>
    </row>
    <row r="234" customFormat="false" ht="15" hidden="false" customHeight="false" outlineLevel="0" collapsed="false">
      <c r="A234" s="3" t="n">
        <v>233</v>
      </c>
      <c r="B234" s="3" t="n">
        <v>232</v>
      </c>
      <c r="C234" s="3" t="n">
        <v>1</v>
      </c>
      <c r="D234" s="3" t="n">
        <v>2</v>
      </c>
      <c r="E234" s="3" t="n">
        <v>8</v>
      </c>
      <c r="F234" s="24" t="n">
        <v>0</v>
      </c>
    </row>
    <row r="235" customFormat="false" ht="15" hidden="false" customHeight="false" outlineLevel="0" collapsed="false">
      <c r="A235" s="3" t="n">
        <v>234</v>
      </c>
      <c r="B235" s="3" t="n">
        <v>233</v>
      </c>
      <c r="C235" s="3" t="n">
        <v>1</v>
      </c>
      <c r="D235" s="3" t="n">
        <v>2</v>
      </c>
      <c r="E235" s="3" t="n">
        <v>9</v>
      </c>
      <c r="F235" s="24" t="n">
        <v>0</v>
      </c>
    </row>
    <row r="236" customFormat="false" ht="15" hidden="false" customHeight="false" outlineLevel="0" collapsed="false">
      <c r="A236" s="3" t="n">
        <v>235</v>
      </c>
      <c r="B236" s="3" t="n">
        <v>234</v>
      </c>
      <c r="C236" s="3" t="n">
        <v>1</v>
      </c>
      <c r="D236" s="3" t="n">
        <v>2</v>
      </c>
      <c r="E236" s="3" t="n">
        <v>10</v>
      </c>
      <c r="F236" s="24" t="n">
        <v>0</v>
      </c>
    </row>
    <row r="237" customFormat="false" ht="15" hidden="false" customHeight="false" outlineLevel="0" collapsed="false">
      <c r="A237" s="3" t="n">
        <v>236</v>
      </c>
      <c r="B237" s="3" t="n">
        <v>235</v>
      </c>
      <c r="C237" s="3" t="n">
        <v>1</v>
      </c>
      <c r="D237" s="3" t="n">
        <v>2</v>
      </c>
      <c r="E237" s="3" t="n">
        <v>11</v>
      </c>
      <c r="F237" s="24" t="n">
        <v>0</v>
      </c>
    </row>
    <row r="238" customFormat="false" ht="15" hidden="false" customHeight="false" outlineLevel="0" collapsed="false">
      <c r="A238" s="3" t="n">
        <v>237</v>
      </c>
      <c r="B238" s="3" t="n">
        <v>236</v>
      </c>
      <c r="C238" s="3" t="n">
        <v>1</v>
      </c>
      <c r="D238" s="3" t="n">
        <v>2</v>
      </c>
      <c r="E238" s="3" t="n">
        <v>12</v>
      </c>
      <c r="F238" s="24" t="n">
        <v>0</v>
      </c>
    </row>
    <row r="239" customFormat="false" ht="15" hidden="false" customHeight="false" outlineLevel="0" collapsed="false">
      <c r="A239" s="3" t="n">
        <v>238</v>
      </c>
      <c r="B239" s="3" t="n">
        <v>237</v>
      </c>
      <c r="C239" s="3" t="n">
        <v>1</v>
      </c>
      <c r="D239" s="3" t="n">
        <v>2</v>
      </c>
      <c r="E239" s="3" t="n">
        <v>13</v>
      </c>
      <c r="F239" s="24" t="n">
        <v>0</v>
      </c>
    </row>
    <row r="240" customFormat="false" ht="15" hidden="false" customHeight="false" outlineLevel="0" collapsed="false">
      <c r="A240" s="3" t="n">
        <v>239</v>
      </c>
      <c r="B240" s="3" t="n">
        <v>238</v>
      </c>
      <c r="C240" s="3" t="n">
        <v>1</v>
      </c>
      <c r="D240" s="3" t="n">
        <v>3</v>
      </c>
      <c r="E240" s="3" t="n">
        <v>0</v>
      </c>
      <c r="F240" s="24" t="n">
        <v>0</v>
      </c>
    </row>
    <row r="241" customFormat="false" ht="15" hidden="false" customHeight="false" outlineLevel="0" collapsed="false">
      <c r="A241" s="3" t="n">
        <v>240</v>
      </c>
      <c r="B241" s="3" t="n">
        <v>239</v>
      </c>
      <c r="C241" s="3" t="n">
        <v>1</v>
      </c>
      <c r="D241" s="3" t="n">
        <v>3</v>
      </c>
      <c r="E241" s="3" t="n">
        <v>1</v>
      </c>
      <c r="F241" s="24" t="n">
        <v>0</v>
      </c>
    </row>
    <row r="242" customFormat="false" ht="15" hidden="false" customHeight="false" outlineLevel="0" collapsed="false">
      <c r="A242" s="3" t="n">
        <v>241</v>
      </c>
      <c r="B242" s="3" t="n">
        <v>240</v>
      </c>
      <c r="C242" s="3" t="n">
        <v>1</v>
      </c>
      <c r="D242" s="3" t="n">
        <v>3</v>
      </c>
      <c r="E242" s="3" t="n">
        <v>2</v>
      </c>
      <c r="F242" s="24" t="n">
        <v>0</v>
      </c>
    </row>
    <row r="243" customFormat="false" ht="15" hidden="false" customHeight="false" outlineLevel="0" collapsed="false">
      <c r="A243" s="3" t="n">
        <v>242</v>
      </c>
      <c r="B243" s="3" t="n">
        <v>241</v>
      </c>
      <c r="C243" s="3" t="n">
        <v>1</v>
      </c>
      <c r="D243" s="3" t="n">
        <v>3</v>
      </c>
      <c r="E243" s="3" t="n">
        <v>3</v>
      </c>
      <c r="F243" s="24" t="n">
        <v>2.13951111</v>
      </c>
    </row>
    <row r="244" customFormat="false" ht="15" hidden="false" customHeight="false" outlineLevel="0" collapsed="false">
      <c r="A244" s="3" t="n">
        <v>243</v>
      </c>
      <c r="B244" s="3" t="n">
        <v>242</v>
      </c>
      <c r="C244" s="3" t="n">
        <v>1</v>
      </c>
      <c r="D244" s="3" t="n">
        <v>3</v>
      </c>
      <c r="E244" s="3" t="n">
        <v>4</v>
      </c>
      <c r="F244" s="24" t="n">
        <v>2.31036425</v>
      </c>
    </row>
    <row r="245" customFormat="false" ht="15" hidden="false" customHeight="false" outlineLevel="0" collapsed="false">
      <c r="A245" s="3" t="n">
        <v>244</v>
      </c>
      <c r="B245" s="3" t="n">
        <v>243</v>
      </c>
      <c r="C245" s="3" t="n">
        <v>1</v>
      </c>
      <c r="D245" s="3" t="n">
        <v>3</v>
      </c>
      <c r="E245" s="3" t="n">
        <v>5</v>
      </c>
      <c r="F245" s="24" t="n">
        <v>1.31153965</v>
      </c>
    </row>
    <row r="246" customFormat="false" ht="15" hidden="false" customHeight="false" outlineLevel="0" collapsed="false">
      <c r="A246" s="3" t="n">
        <v>245</v>
      </c>
      <c r="B246" s="3" t="n">
        <v>244</v>
      </c>
      <c r="C246" s="3" t="n">
        <v>1</v>
      </c>
      <c r="D246" s="3" t="n">
        <v>3</v>
      </c>
      <c r="E246" s="3" t="n">
        <v>6</v>
      </c>
      <c r="F246" s="24" t="n">
        <v>0.292817324</v>
      </c>
    </row>
    <row r="247" customFormat="false" ht="15" hidden="false" customHeight="false" outlineLevel="0" collapsed="false">
      <c r="A247" s="3" t="n">
        <v>246</v>
      </c>
      <c r="B247" s="3" t="n">
        <v>245</v>
      </c>
      <c r="C247" s="3" t="n">
        <v>1</v>
      </c>
      <c r="D247" s="3" t="n">
        <v>3</v>
      </c>
      <c r="E247" s="3" t="n">
        <v>7</v>
      </c>
      <c r="F247" s="24" t="n">
        <v>0.220227093</v>
      </c>
    </row>
    <row r="248" customFormat="false" ht="15" hidden="false" customHeight="false" outlineLevel="0" collapsed="false">
      <c r="A248" s="3" t="n">
        <v>247</v>
      </c>
      <c r="B248" s="3" t="n">
        <v>246</v>
      </c>
      <c r="C248" s="3" t="n">
        <v>1</v>
      </c>
      <c r="D248" s="3" t="n">
        <v>3</v>
      </c>
      <c r="E248" s="3" t="n">
        <v>8</v>
      </c>
      <c r="F248" s="24" t="n">
        <v>0.220227093</v>
      </c>
    </row>
    <row r="249" customFormat="false" ht="15" hidden="false" customHeight="false" outlineLevel="0" collapsed="false">
      <c r="A249" s="3" t="n">
        <v>248</v>
      </c>
      <c r="B249" s="3" t="n">
        <v>247</v>
      </c>
      <c r="C249" s="3" t="n">
        <v>1</v>
      </c>
      <c r="D249" s="3" t="n">
        <v>3</v>
      </c>
      <c r="E249" s="3" t="n">
        <v>9</v>
      </c>
      <c r="F249" s="24" t="n">
        <v>0.220227093</v>
      </c>
    </row>
    <row r="250" customFormat="false" ht="15" hidden="false" customHeight="false" outlineLevel="0" collapsed="false">
      <c r="A250" s="3" t="n">
        <v>249</v>
      </c>
      <c r="B250" s="3" t="n">
        <v>248</v>
      </c>
      <c r="C250" s="3" t="n">
        <v>1</v>
      </c>
      <c r="D250" s="3" t="n">
        <v>3</v>
      </c>
      <c r="E250" s="3" t="n">
        <v>10</v>
      </c>
      <c r="F250" s="24" t="n">
        <v>0</v>
      </c>
    </row>
    <row r="251" customFormat="false" ht="15" hidden="false" customHeight="false" outlineLevel="0" collapsed="false">
      <c r="A251" s="3" t="n">
        <v>250</v>
      </c>
      <c r="B251" s="3" t="n">
        <v>249</v>
      </c>
      <c r="C251" s="3" t="n">
        <v>1</v>
      </c>
      <c r="D251" s="3" t="n">
        <v>3</v>
      </c>
      <c r="E251" s="3" t="n">
        <v>11</v>
      </c>
      <c r="F251" s="24" t="n">
        <v>0</v>
      </c>
    </row>
    <row r="252" customFormat="false" ht="15" hidden="false" customHeight="false" outlineLevel="0" collapsed="false">
      <c r="A252" s="3" t="n">
        <v>251</v>
      </c>
      <c r="B252" s="3" t="n">
        <v>250</v>
      </c>
      <c r="C252" s="3" t="n">
        <v>1</v>
      </c>
      <c r="D252" s="3" t="n">
        <v>3</v>
      </c>
      <c r="E252" s="3" t="n">
        <v>12</v>
      </c>
      <c r="F252" s="24" t="n">
        <v>0</v>
      </c>
    </row>
    <row r="253" customFormat="false" ht="15" hidden="false" customHeight="false" outlineLevel="0" collapsed="false">
      <c r="A253" s="3" t="n">
        <v>252</v>
      </c>
      <c r="B253" s="3" t="n">
        <v>251</v>
      </c>
      <c r="C253" s="3" t="n">
        <v>1</v>
      </c>
      <c r="D253" s="3" t="n">
        <v>3</v>
      </c>
      <c r="E253" s="3" t="n">
        <v>13</v>
      </c>
      <c r="F253" s="24" t="n">
        <v>0</v>
      </c>
    </row>
    <row r="254" customFormat="false" ht="15" hidden="false" customHeight="false" outlineLevel="0" collapsed="false">
      <c r="A254" s="3" t="n">
        <v>253</v>
      </c>
      <c r="B254" s="3" t="n">
        <v>252</v>
      </c>
      <c r="C254" s="3" t="n">
        <v>1</v>
      </c>
      <c r="D254" s="3" t="n">
        <v>4</v>
      </c>
      <c r="E254" s="3" t="n">
        <v>0</v>
      </c>
      <c r="F254" s="24" t="n">
        <v>0</v>
      </c>
    </row>
    <row r="255" customFormat="false" ht="15" hidden="false" customHeight="false" outlineLevel="0" collapsed="false">
      <c r="A255" s="3" t="n">
        <v>254</v>
      </c>
      <c r="B255" s="3" t="n">
        <v>253</v>
      </c>
      <c r="C255" s="3" t="n">
        <v>1</v>
      </c>
      <c r="D255" s="3" t="n">
        <v>4</v>
      </c>
      <c r="E255" s="3" t="n">
        <v>1</v>
      </c>
      <c r="F255" s="24" t="n">
        <v>0</v>
      </c>
    </row>
    <row r="256" customFormat="false" ht="15" hidden="false" customHeight="false" outlineLevel="0" collapsed="false">
      <c r="A256" s="3" t="n">
        <v>255</v>
      </c>
      <c r="B256" s="3" t="n">
        <v>254</v>
      </c>
      <c r="C256" s="3" t="n">
        <v>1</v>
      </c>
      <c r="D256" s="3" t="n">
        <v>4</v>
      </c>
      <c r="E256" s="3" t="n">
        <v>2</v>
      </c>
      <c r="F256" s="24" t="n">
        <v>0.663830638</v>
      </c>
    </row>
    <row r="257" customFormat="false" ht="15" hidden="false" customHeight="false" outlineLevel="0" collapsed="false">
      <c r="A257" s="3" t="n">
        <v>256</v>
      </c>
      <c r="B257" s="3" t="n">
        <v>255</v>
      </c>
      <c r="C257" s="3" t="n">
        <v>1</v>
      </c>
      <c r="D257" s="3" t="n">
        <v>4</v>
      </c>
      <c r="E257" s="3" t="n">
        <v>3</v>
      </c>
      <c r="F257" s="24" t="n">
        <v>3.00481844</v>
      </c>
    </row>
    <row r="258" customFormat="false" ht="15" hidden="false" customHeight="false" outlineLevel="0" collapsed="false">
      <c r="A258" s="3" t="n">
        <v>257</v>
      </c>
      <c r="B258" s="3" t="n">
        <v>256</v>
      </c>
      <c r="C258" s="3" t="n">
        <v>1</v>
      </c>
      <c r="D258" s="3" t="n">
        <v>4</v>
      </c>
      <c r="E258" s="3" t="n">
        <v>4</v>
      </c>
      <c r="F258" s="24" t="n">
        <v>2.58619213</v>
      </c>
    </row>
    <row r="259" customFormat="false" ht="15" hidden="false" customHeight="false" outlineLevel="0" collapsed="false">
      <c r="A259" s="3" t="n">
        <v>258</v>
      </c>
      <c r="B259" s="3" t="n">
        <v>257</v>
      </c>
      <c r="C259" s="3" t="n">
        <v>1</v>
      </c>
      <c r="D259" s="3" t="n">
        <v>4</v>
      </c>
      <c r="E259" s="3" t="n">
        <v>5</v>
      </c>
      <c r="F259" s="24" t="n">
        <v>2.81787062</v>
      </c>
    </row>
    <row r="260" customFormat="false" ht="15" hidden="false" customHeight="false" outlineLevel="0" collapsed="false">
      <c r="A260" s="3" t="n">
        <v>259</v>
      </c>
      <c r="B260" s="3" t="n">
        <v>258</v>
      </c>
      <c r="C260" s="3" t="n">
        <v>1</v>
      </c>
      <c r="D260" s="3" t="n">
        <v>4</v>
      </c>
      <c r="E260" s="3" t="n">
        <v>6</v>
      </c>
      <c r="F260" s="24" t="n">
        <v>2.67793989</v>
      </c>
    </row>
    <row r="261" customFormat="false" ht="15" hidden="false" customHeight="false" outlineLevel="0" collapsed="false">
      <c r="A261" s="3" t="n">
        <v>260</v>
      </c>
      <c r="B261" s="3" t="n">
        <v>259</v>
      </c>
      <c r="C261" s="3" t="n">
        <v>1</v>
      </c>
      <c r="D261" s="3" t="n">
        <v>4</v>
      </c>
      <c r="E261" s="3" t="n">
        <v>7</v>
      </c>
      <c r="F261" s="24" t="n">
        <v>2.7338028</v>
      </c>
    </row>
    <row r="262" customFormat="false" ht="15" hidden="false" customHeight="false" outlineLevel="0" collapsed="false">
      <c r="A262" s="3" t="n">
        <v>261</v>
      </c>
      <c r="B262" s="3" t="n">
        <v>260</v>
      </c>
      <c r="C262" s="3" t="n">
        <v>1</v>
      </c>
      <c r="D262" s="3" t="n">
        <v>4</v>
      </c>
      <c r="E262" s="3" t="n">
        <v>8</v>
      </c>
      <c r="F262" s="24" t="n">
        <v>2.69971323</v>
      </c>
    </row>
    <row r="263" customFormat="false" ht="15" hidden="false" customHeight="false" outlineLevel="0" collapsed="false">
      <c r="A263" s="3" t="n">
        <v>262</v>
      </c>
      <c r="B263" s="3" t="n">
        <v>261</v>
      </c>
      <c r="C263" s="3" t="n">
        <v>1</v>
      </c>
      <c r="D263" s="3" t="n">
        <v>4</v>
      </c>
      <c r="E263" s="3" t="n">
        <v>9</v>
      </c>
      <c r="F263" s="24" t="n">
        <v>3.37949085</v>
      </c>
    </row>
    <row r="264" customFormat="false" ht="15" hidden="false" customHeight="false" outlineLevel="0" collapsed="false">
      <c r="A264" s="3" t="n">
        <v>263</v>
      </c>
      <c r="B264" s="3" t="n">
        <v>262</v>
      </c>
      <c r="C264" s="3" t="n">
        <v>1</v>
      </c>
      <c r="D264" s="3" t="n">
        <v>4</v>
      </c>
      <c r="E264" s="3" t="n">
        <v>10</v>
      </c>
      <c r="F264" s="24" t="n">
        <v>2.26277304</v>
      </c>
    </row>
    <row r="265" customFormat="false" ht="15" hidden="false" customHeight="false" outlineLevel="0" collapsed="false">
      <c r="A265" s="3" t="n">
        <v>264</v>
      </c>
      <c r="B265" s="3" t="n">
        <v>263</v>
      </c>
      <c r="C265" s="3" t="n">
        <v>1</v>
      </c>
      <c r="D265" s="3" t="n">
        <v>4</v>
      </c>
      <c r="E265" s="3" t="n">
        <v>11</v>
      </c>
      <c r="F265" s="24" t="n">
        <v>0</v>
      </c>
    </row>
    <row r="266" customFormat="false" ht="15" hidden="false" customHeight="false" outlineLevel="0" collapsed="false">
      <c r="A266" s="3" t="n">
        <v>265</v>
      </c>
      <c r="B266" s="3" t="n">
        <v>264</v>
      </c>
      <c r="C266" s="3" t="n">
        <v>1</v>
      </c>
      <c r="D266" s="3" t="n">
        <v>4</v>
      </c>
      <c r="E266" s="3" t="n">
        <v>12</v>
      </c>
      <c r="F266" s="24" t="n">
        <v>0</v>
      </c>
    </row>
    <row r="267" customFormat="false" ht="15" hidden="false" customHeight="false" outlineLevel="0" collapsed="false">
      <c r="A267" s="3" t="n">
        <v>266</v>
      </c>
      <c r="B267" s="3" t="n">
        <v>265</v>
      </c>
      <c r="C267" s="3" t="n">
        <v>1</v>
      </c>
      <c r="D267" s="3" t="n">
        <v>4</v>
      </c>
      <c r="E267" s="3" t="n">
        <v>13</v>
      </c>
      <c r="F267" s="24" t="n">
        <v>0</v>
      </c>
    </row>
    <row r="268" customFormat="false" ht="15" hidden="false" customHeight="false" outlineLevel="0" collapsed="false">
      <c r="A268" s="3" t="n">
        <v>267</v>
      </c>
      <c r="B268" s="3" t="n">
        <v>266</v>
      </c>
      <c r="C268" s="3" t="n">
        <v>1</v>
      </c>
      <c r="D268" s="3" t="n">
        <v>5</v>
      </c>
      <c r="E268" s="3" t="n">
        <v>0</v>
      </c>
      <c r="F268" s="24" t="n">
        <v>0</v>
      </c>
    </row>
    <row r="269" customFormat="false" ht="15" hidden="false" customHeight="false" outlineLevel="0" collapsed="false">
      <c r="A269" s="3" t="n">
        <v>268</v>
      </c>
      <c r="B269" s="3" t="n">
        <v>267</v>
      </c>
      <c r="C269" s="3" t="n">
        <v>1</v>
      </c>
      <c r="D269" s="3" t="n">
        <v>5</v>
      </c>
      <c r="E269" s="3" t="n">
        <v>1</v>
      </c>
      <c r="F269" s="24" t="n">
        <v>0</v>
      </c>
    </row>
    <row r="270" customFormat="false" ht="15" hidden="false" customHeight="false" outlineLevel="0" collapsed="false">
      <c r="A270" s="3" t="n">
        <v>269</v>
      </c>
      <c r="B270" s="3" t="n">
        <v>268</v>
      </c>
      <c r="C270" s="3" t="n">
        <v>1</v>
      </c>
      <c r="D270" s="3" t="n">
        <v>5</v>
      </c>
      <c r="E270" s="3" t="n">
        <v>2</v>
      </c>
      <c r="F270" s="24" t="n">
        <v>0</v>
      </c>
    </row>
    <row r="271" customFormat="false" ht="15" hidden="false" customHeight="false" outlineLevel="0" collapsed="false">
      <c r="A271" s="3" t="n">
        <v>270</v>
      </c>
      <c r="B271" s="3" t="n">
        <v>269</v>
      </c>
      <c r="C271" s="3" t="n">
        <v>1</v>
      </c>
      <c r="D271" s="3" t="n">
        <v>5</v>
      </c>
      <c r="E271" s="3" t="n">
        <v>3</v>
      </c>
      <c r="F271" s="24" t="n">
        <v>0</v>
      </c>
    </row>
    <row r="272" customFormat="false" ht="15" hidden="false" customHeight="false" outlineLevel="0" collapsed="false">
      <c r="A272" s="3" t="n">
        <v>271</v>
      </c>
      <c r="B272" s="3" t="n">
        <v>270</v>
      </c>
      <c r="C272" s="3" t="n">
        <v>1</v>
      </c>
      <c r="D272" s="3" t="n">
        <v>5</v>
      </c>
      <c r="E272" s="3" t="n">
        <v>4</v>
      </c>
      <c r="F272" s="24" t="n">
        <v>0</v>
      </c>
    </row>
    <row r="273" customFormat="false" ht="15" hidden="false" customHeight="false" outlineLevel="0" collapsed="false">
      <c r="A273" s="3" t="n">
        <v>272</v>
      </c>
      <c r="B273" s="3" t="n">
        <v>271</v>
      </c>
      <c r="C273" s="3" t="n">
        <v>1</v>
      </c>
      <c r="D273" s="3" t="n">
        <v>5</v>
      </c>
      <c r="E273" s="3" t="n">
        <v>5</v>
      </c>
      <c r="F273" s="24" t="n">
        <v>0.070335269</v>
      </c>
    </row>
    <row r="274" customFormat="false" ht="15" hidden="false" customHeight="false" outlineLevel="0" collapsed="false">
      <c r="A274" s="3" t="n">
        <v>273</v>
      </c>
      <c r="B274" s="3" t="n">
        <v>272</v>
      </c>
      <c r="C274" s="3" t="n">
        <v>1</v>
      </c>
      <c r="D274" s="3" t="n">
        <v>5</v>
      </c>
      <c r="E274" s="3" t="n">
        <v>6</v>
      </c>
      <c r="F274" s="24" t="n">
        <v>0</v>
      </c>
    </row>
    <row r="275" customFormat="false" ht="15" hidden="false" customHeight="false" outlineLevel="0" collapsed="false">
      <c r="A275" s="3" t="n">
        <v>274</v>
      </c>
      <c r="B275" s="3" t="n">
        <v>273</v>
      </c>
      <c r="C275" s="3" t="n">
        <v>1</v>
      </c>
      <c r="D275" s="3" t="n">
        <v>5</v>
      </c>
      <c r="E275" s="3" t="n">
        <v>7</v>
      </c>
      <c r="F275" s="24" t="n">
        <v>0.115769714</v>
      </c>
    </row>
    <row r="276" customFormat="false" ht="15" hidden="false" customHeight="false" outlineLevel="0" collapsed="false">
      <c r="A276" s="3" t="n">
        <v>275</v>
      </c>
      <c r="B276" s="3" t="n">
        <v>274</v>
      </c>
      <c r="C276" s="3" t="n">
        <v>1</v>
      </c>
      <c r="D276" s="3" t="n">
        <v>5</v>
      </c>
      <c r="E276" s="3" t="n">
        <v>8</v>
      </c>
      <c r="F276" s="24" t="n">
        <v>0.0681576729</v>
      </c>
    </row>
    <row r="277" customFormat="false" ht="15" hidden="false" customHeight="false" outlineLevel="0" collapsed="false">
      <c r="A277" s="3" t="n">
        <v>276</v>
      </c>
      <c r="B277" s="3" t="n">
        <v>275</v>
      </c>
      <c r="C277" s="3" t="n">
        <v>1</v>
      </c>
      <c r="D277" s="3" t="n">
        <v>5</v>
      </c>
      <c r="E277" s="3" t="n">
        <v>9</v>
      </c>
      <c r="F277" s="24" t="n">
        <v>3.39777327</v>
      </c>
    </row>
    <row r="278" customFormat="false" ht="15" hidden="false" customHeight="false" outlineLevel="0" collapsed="false">
      <c r="A278" s="3" t="n">
        <v>277</v>
      </c>
      <c r="B278" s="3" t="n">
        <v>276</v>
      </c>
      <c r="C278" s="3" t="n">
        <v>1</v>
      </c>
      <c r="D278" s="3" t="n">
        <v>5</v>
      </c>
      <c r="E278" s="3" t="n">
        <v>10</v>
      </c>
      <c r="F278" s="24" t="n">
        <v>1.86595404</v>
      </c>
    </row>
    <row r="279" customFormat="false" ht="15" hidden="false" customHeight="false" outlineLevel="0" collapsed="false">
      <c r="A279" s="3" t="n">
        <v>278</v>
      </c>
      <c r="B279" s="3" t="n">
        <v>277</v>
      </c>
      <c r="C279" s="3" t="n">
        <v>1</v>
      </c>
      <c r="D279" s="3" t="n">
        <v>5</v>
      </c>
      <c r="E279" s="3" t="n">
        <v>11</v>
      </c>
      <c r="F279" s="24" t="n">
        <v>0</v>
      </c>
    </row>
    <row r="280" customFormat="false" ht="15" hidden="false" customHeight="false" outlineLevel="0" collapsed="false">
      <c r="A280" s="3" t="n">
        <v>279</v>
      </c>
      <c r="B280" s="3" t="n">
        <v>278</v>
      </c>
      <c r="C280" s="3" t="n">
        <v>1</v>
      </c>
      <c r="D280" s="3" t="n">
        <v>5</v>
      </c>
      <c r="E280" s="3" t="n">
        <v>12</v>
      </c>
      <c r="F280" s="24" t="n">
        <v>0</v>
      </c>
    </row>
    <row r="281" customFormat="false" ht="15" hidden="false" customHeight="false" outlineLevel="0" collapsed="false">
      <c r="A281" s="3" t="n">
        <v>280</v>
      </c>
      <c r="B281" s="3" t="n">
        <v>279</v>
      </c>
      <c r="C281" s="3" t="n">
        <v>1</v>
      </c>
      <c r="D281" s="3" t="n">
        <v>5</v>
      </c>
      <c r="E281" s="3" t="n">
        <v>13</v>
      </c>
      <c r="F281" s="24" t="n">
        <v>0</v>
      </c>
    </row>
    <row r="282" customFormat="false" ht="15" hidden="false" customHeight="false" outlineLevel="0" collapsed="false">
      <c r="A282" s="3" t="n">
        <v>281</v>
      </c>
      <c r="B282" s="3" t="n">
        <v>280</v>
      </c>
      <c r="C282" s="3" t="n">
        <v>1</v>
      </c>
      <c r="D282" s="3" t="n">
        <v>6</v>
      </c>
      <c r="E282" s="3" t="n">
        <v>0</v>
      </c>
      <c r="F282" s="24" t="n">
        <v>0</v>
      </c>
    </row>
    <row r="283" customFormat="false" ht="15" hidden="false" customHeight="false" outlineLevel="0" collapsed="false">
      <c r="A283" s="3" t="n">
        <v>282</v>
      </c>
      <c r="B283" s="3" t="n">
        <v>281</v>
      </c>
      <c r="C283" s="3" t="n">
        <v>1</v>
      </c>
      <c r="D283" s="3" t="n">
        <v>6</v>
      </c>
      <c r="E283" s="3" t="n">
        <v>1</v>
      </c>
      <c r="F283" s="24" t="n">
        <v>0</v>
      </c>
    </row>
    <row r="284" customFormat="false" ht="15" hidden="false" customHeight="false" outlineLevel="0" collapsed="false">
      <c r="A284" s="3" t="n">
        <v>283</v>
      </c>
      <c r="B284" s="3" t="n">
        <v>282</v>
      </c>
      <c r="C284" s="3" t="n">
        <v>1</v>
      </c>
      <c r="D284" s="3" t="n">
        <v>6</v>
      </c>
      <c r="E284" s="3" t="n">
        <v>2</v>
      </c>
      <c r="F284" s="24" t="n">
        <v>0</v>
      </c>
    </row>
    <row r="285" customFormat="false" ht="15" hidden="false" customHeight="false" outlineLevel="0" collapsed="false">
      <c r="A285" s="3" t="n">
        <v>284</v>
      </c>
      <c r="B285" s="3" t="n">
        <v>283</v>
      </c>
      <c r="C285" s="3" t="n">
        <v>1</v>
      </c>
      <c r="D285" s="3" t="n">
        <v>6</v>
      </c>
      <c r="E285" s="3" t="n">
        <v>3</v>
      </c>
      <c r="F285" s="24" t="n">
        <v>0</v>
      </c>
    </row>
    <row r="286" customFormat="false" ht="15" hidden="false" customHeight="false" outlineLevel="0" collapsed="false">
      <c r="A286" s="3" t="n">
        <v>285</v>
      </c>
      <c r="B286" s="3" t="n">
        <v>284</v>
      </c>
      <c r="C286" s="3" t="n">
        <v>1</v>
      </c>
      <c r="D286" s="3" t="n">
        <v>6</v>
      </c>
      <c r="E286" s="3" t="n">
        <v>4</v>
      </c>
      <c r="F286" s="24" t="n">
        <v>0</v>
      </c>
    </row>
    <row r="287" customFormat="false" ht="15" hidden="false" customHeight="false" outlineLevel="0" collapsed="false">
      <c r="A287" s="3" t="n">
        <v>286</v>
      </c>
      <c r="B287" s="3" t="n">
        <v>285</v>
      </c>
      <c r="C287" s="3" t="n">
        <v>1</v>
      </c>
      <c r="D287" s="3" t="n">
        <v>6</v>
      </c>
      <c r="E287" s="3" t="n">
        <v>5</v>
      </c>
      <c r="F287" s="24" t="n">
        <v>0</v>
      </c>
    </row>
    <row r="288" customFormat="false" ht="15" hidden="false" customHeight="false" outlineLevel="0" collapsed="false">
      <c r="A288" s="3" t="n">
        <v>287</v>
      </c>
      <c r="B288" s="3" t="n">
        <v>286</v>
      </c>
      <c r="C288" s="3" t="n">
        <v>1</v>
      </c>
      <c r="D288" s="3" t="n">
        <v>6</v>
      </c>
      <c r="E288" s="3" t="n">
        <v>6</v>
      </c>
      <c r="F288" s="24" t="n">
        <v>0</v>
      </c>
    </row>
    <row r="289" customFormat="false" ht="15" hidden="false" customHeight="false" outlineLevel="0" collapsed="false">
      <c r="A289" s="3" t="n">
        <v>288</v>
      </c>
      <c r="B289" s="3" t="n">
        <v>287</v>
      </c>
      <c r="C289" s="3" t="n">
        <v>1</v>
      </c>
      <c r="D289" s="3" t="n">
        <v>6</v>
      </c>
      <c r="E289" s="3" t="n">
        <v>7</v>
      </c>
      <c r="F289" s="24" t="n">
        <v>0</v>
      </c>
    </row>
    <row r="290" customFormat="false" ht="15" hidden="false" customHeight="false" outlineLevel="0" collapsed="false">
      <c r="A290" s="3" t="n">
        <v>289</v>
      </c>
      <c r="B290" s="3" t="n">
        <v>288</v>
      </c>
      <c r="C290" s="3" t="n">
        <v>1</v>
      </c>
      <c r="D290" s="3" t="n">
        <v>6</v>
      </c>
      <c r="E290" s="3" t="n">
        <v>8</v>
      </c>
      <c r="F290" s="24" t="n">
        <v>2.86324453</v>
      </c>
    </row>
    <row r="291" customFormat="false" ht="15" hidden="false" customHeight="false" outlineLevel="0" collapsed="false">
      <c r="A291" s="3" t="n">
        <v>290</v>
      </c>
      <c r="B291" s="3" t="n">
        <v>289</v>
      </c>
      <c r="C291" s="3" t="n">
        <v>1</v>
      </c>
      <c r="D291" s="3" t="n">
        <v>6</v>
      </c>
      <c r="E291" s="3" t="n">
        <v>9</v>
      </c>
      <c r="F291" s="24" t="n">
        <v>3.63434076</v>
      </c>
    </row>
    <row r="292" customFormat="false" ht="15" hidden="false" customHeight="false" outlineLevel="0" collapsed="false">
      <c r="A292" s="3" t="n">
        <v>291</v>
      </c>
      <c r="B292" s="3" t="n">
        <v>290</v>
      </c>
      <c r="C292" s="3" t="n">
        <v>1</v>
      </c>
      <c r="D292" s="3" t="n">
        <v>6</v>
      </c>
      <c r="E292" s="3" t="n">
        <v>10</v>
      </c>
      <c r="F292" s="24" t="n">
        <v>0</v>
      </c>
    </row>
    <row r="293" customFormat="false" ht="15" hidden="false" customHeight="false" outlineLevel="0" collapsed="false">
      <c r="A293" s="3" t="n">
        <v>292</v>
      </c>
      <c r="B293" s="3" t="n">
        <v>291</v>
      </c>
      <c r="C293" s="3" t="n">
        <v>1</v>
      </c>
      <c r="D293" s="3" t="n">
        <v>6</v>
      </c>
      <c r="E293" s="3" t="n">
        <v>11</v>
      </c>
      <c r="F293" s="24" t="n">
        <v>0</v>
      </c>
    </row>
    <row r="294" customFormat="false" ht="15" hidden="false" customHeight="false" outlineLevel="0" collapsed="false">
      <c r="A294" s="3" t="n">
        <v>293</v>
      </c>
      <c r="B294" s="3" t="n">
        <v>292</v>
      </c>
      <c r="C294" s="3" t="n">
        <v>1</v>
      </c>
      <c r="D294" s="3" t="n">
        <v>6</v>
      </c>
      <c r="E294" s="3" t="n">
        <v>12</v>
      </c>
      <c r="F294" s="24" t="n">
        <v>0</v>
      </c>
    </row>
    <row r="295" customFormat="false" ht="15" hidden="false" customHeight="false" outlineLevel="0" collapsed="false">
      <c r="A295" s="3" t="n">
        <v>294</v>
      </c>
      <c r="B295" s="3" t="n">
        <v>293</v>
      </c>
      <c r="C295" s="3" t="n">
        <v>1</v>
      </c>
      <c r="D295" s="3" t="n">
        <v>6</v>
      </c>
      <c r="E295" s="3" t="n">
        <v>13</v>
      </c>
      <c r="F295" s="24" t="n">
        <v>0</v>
      </c>
    </row>
    <row r="296" customFormat="false" ht="15" hidden="false" customHeight="false" outlineLevel="0" collapsed="false">
      <c r="A296" s="3" t="n">
        <v>295</v>
      </c>
      <c r="B296" s="3" t="n">
        <v>294</v>
      </c>
      <c r="C296" s="3" t="n">
        <v>1</v>
      </c>
      <c r="D296" s="3" t="n">
        <v>7</v>
      </c>
      <c r="E296" s="3" t="n">
        <v>0</v>
      </c>
      <c r="F296" s="24" t="n">
        <v>0</v>
      </c>
    </row>
    <row r="297" customFormat="false" ht="15" hidden="false" customHeight="false" outlineLevel="0" collapsed="false">
      <c r="A297" s="3" t="n">
        <v>296</v>
      </c>
      <c r="B297" s="3" t="n">
        <v>295</v>
      </c>
      <c r="C297" s="3" t="n">
        <v>1</v>
      </c>
      <c r="D297" s="3" t="n">
        <v>7</v>
      </c>
      <c r="E297" s="3" t="n">
        <v>1</v>
      </c>
      <c r="F297" s="24" t="n">
        <v>0</v>
      </c>
    </row>
    <row r="298" customFormat="false" ht="15" hidden="false" customHeight="false" outlineLevel="0" collapsed="false">
      <c r="A298" s="3" t="n">
        <v>297</v>
      </c>
      <c r="B298" s="3" t="n">
        <v>296</v>
      </c>
      <c r="C298" s="3" t="n">
        <v>1</v>
      </c>
      <c r="D298" s="3" t="n">
        <v>7</v>
      </c>
      <c r="E298" s="3" t="n">
        <v>2</v>
      </c>
      <c r="F298" s="24" t="n">
        <v>0</v>
      </c>
    </row>
    <row r="299" customFormat="false" ht="15" hidden="false" customHeight="false" outlineLevel="0" collapsed="false">
      <c r="A299" s="3" t="n">
        <v>298</v>
      </c>
      <c r="B299" s="3" t="n">
        <v>297</v>
      </c>
      <c r="C299" s="3" t="n">
        <v>1</v>
      </c>
      <c r="D299" s="3" t="n">
        <v>7</v>
      </c>
      <c r="E299" s="3" t="n">
        <v>3</v>
      </c>
      <c r="F299" s="24" t="n">
        <v>0</v>
      </c>
    </row>
    <row r="300" customFormat="false" ht="15" hidden="false" customHeight="false" outlineLevel="0" collapsed="false">
      <c r="A300" s="3" t="n">
        <v>299</v>
      </c>
      <c r="B300" s="3" t="n">
        <v>298</v>
      </c>
      <c r="C300" s="3" t="n">
        <v>1</v>
      </c>
      <c r="D300" s="3" t="n">
        <v>7</v>
      </c>
      <c r="E300" s="3" t="n">
        <v>4</v>
      </c>
      <c r="F300" s="24" t="n">
        <v>0</v>
      </c>
    </row>
    <row r="301" customFormat="false" ht="15" hidden="false" customHeight="false" outlineLevel="0" collapsed="false">
      <c r="A301" s="3" t="n">
        <v>300</v>
      </c>
      <c r="B301" s="3" t="n">
        <v>299</v>
      </c>
      <c r="C301" s="3" t="n">
        <v>1</v>
      </c>
      <c r="D301" s="3" t="n">
        <v>7</v>
      </c>
      <c r="E301" s="3" t="n">
        <v>5</v>
      </c>
      <c r="F301" s="24" t="n">
        <v>0</v>
      </c>
    </row>
    <row r="302" customFormat="false" ht="15" hidden="false" customHeight="false" outlineLevel="0" collapsed="false">
      <c r="A302" s="3" t="n">
        <v>301</v>
      </c>
      <c r="B302" s="3" t="n">
        <v>300</v>
      </c>
      <c r="C302" s="3" t="n">
        <v>1</v>
      </c>
      <c r="D302" s="3" t="n">
        <v>7</v>
      </c>
      <c r="E302" s="3" t="n">
        <v>6</v>
      </c>
      <c r="F302" s="24" t="n">
        <v>0</v>
      </c>
    </row>
    <row r="303" customFormat="false" ht="15" hidden="false" customHeight="false" outlineLevel="0" collapsed="false">
      <c r="A303" s="3" t="n">
        <v>302</v>
      </c>
      <c r="B303" s="3" t="n">
        <v>301</v>
      </c>
      <c r="C303" s="3" t="n">
        <v>1</v>
      </c>
      <c r="D303" s="3" t="n">
        <v>7</v>
      </c>
      <c r="E303" s="3" t="n">
        <v>7</v>
      </c>
      <c r="F303" s="24" t="n">
        <v>0.38414371</v>
      </c>
    </row>
    <row r="304" customFormat="false" ht="15" hidden="false" customHeight="false" outlineLevel="0" collapsed="false">
      <c r="A304" s="3" t="n">
        <v>303</v>
      </c>
      <c r="B304" s="3" t="n">
        <v>302</v>
      </c>
      <c r="C304" s="3" t="n">
        <v>1</v>
      </c>
      <c r="D304" s="3" t="n">
        <v>7</v>
      </c>
      <c r="E304" s="3" t="n">
        <v>8</v>
      </c>
      <c r="F304" s="24" t="n">
        <v>3.59550095</v>
      </c>
    </row>
    <row r="305" customFormat="false" ht="15" hidden="false" customHeight="false" outlineLevel="0" collapsed="false">
      <c r="A305" s="3" t="n">
        <v>304</v>
      </c>
      <c r="B305" s="3" t="n">
        <v>303</v>
      </c>
      <c r="C305" s="3" t="n">
        <v>1</v>
      </c>
      <c r="D305" s="3" t="n">
        <v>7</v>
      </c>
      <c r="E305" s="3" t="n">
        <v>9</v>
      </c>
      <c r="F305" s="24" t="n">
        <v>2.34878397</v>
      </c>
    </row>
    <row r="306" customFormat="false" ht="15" hidden="false" customHeight="false" outlineLevel="0" collapsed="false">
      <c r="A306" s="3" t="n">
        <v>305</v>
      </c>
      <c r="B306" s="3" t="n">
        <v>304</v>
      </c>
      <c r="C306" s="3" t="n">
        <v>1</v>
      </c>
      <c r="D306" s="3" t="n">
        <v>7</v>
      </c>
      <c r="E306" s="3" t="n">
        <v>10</v>
      </c>
      <c r="F306" s="24" t="n">
        <v>0</v>
      </c>
    </row>
    <row r="307" customFormat="false" ht="15" hidden="false" customHeight="false" outlineLevel="0" collapsed="false">
      <c r="A307" s="3" t="n">
        <v>306</v>
      </c>
      <c r="B307" s="3" t="n">
        <v>305</v>
      </c>
      <c r="C307" s="3" t="n">
        <v>1</v>
      </c>
      <c r="D307" s="3" t="n">
        <v>7</v>
      </c>
      <c r="E307" s="3" t="n">
        <v>11</v>
      </c>
      <c r="F307" s="24" t="n">
        <v>0</v>
      </c>
    </row>
    <row r="308" customFormat="false" ht="15" hidden="false" customHeight="false" outlineLevel="0" collapsed="false">
      <c r="A308" s="3" t="n">
        <v>307</v>
      </c>
      <c r="B308" s="3" t="n">
        <v>306</v>
      </c>
      <c r="C308" s="3" t="n">
        <v>1</v>
      </c>
      <c r="D308" s="3" t="n">
        <v>7</v>
      </c>
      <c r="E308" s="3" t="n">
        <v>12</v>
      </c>
      <c r="F308" s="24" t="n">
        <v>0</v>
      </c>
    </row>
    <row r="309" customFormat="false" ht="15" hidden="false" customHeight="false" outlineLevel="0" collapsed="false">
      <c r="A309" s="3" t="n">
        <v>308</v>
      </c>
      <c r="B309" s="3" t="n">
        <v>307</v>
      </c>
      <c r="C309" s="3" t="n">
        <v>1</v>
      </c>
      <c r="D309" s="3" t="n">
        <v>7</v>
      </c>
      <c r="E309" s="3" t="n">
        <v>13</v>
      </c>
      <c r="F309" s="24" t="n">
        <v>0</v>
      </c>
    </row>
    <row r="310" customFormat="false" ht="15" hidden="false" customHeight="false" outlineLevel="0" collapsed="false">
      <c r="A310" s="3" t="n">
        <v>309</v>
      </c>
      <c r="B310" s="3" t="n">
        <v>308</v>
      </c>
      <c r="C310" s="3" t="n">
        <v>1</v>
      </c>
      <c r="D310" s="3" t="n">
        <v>8</v>
      </c>
      <c r="E310" s="3" t="n">
        <v>0</v>
      </c>
      <c r="F310" s="24" t="n">
        <v>0</v>
      </c>
    </row>
    <row r="311" customFormat="false" ht="15" hidden="false" customHeight="false" outlineLevel="0" collapsed="false">
      <c r="A311" s="3" t="n">
        <v>310</v>
      </c>
      <c r="B311" s="3" t="n">
        <v>309</v>
      </c>
      <c r="C311" s="3" t="n">
        <v>1</v>
      </c>
      <c r="D311" s="3" t="n">
        <v>8</v>
      </c>
      <c r="E311" s="3" t="n">
        <v>1</v>
      </c>
      <c r="F311" s="24" t="n">
        <v>0</v>
      </c>
    </row>
    <row r="312" customFormat="false" ht="15" hidden="false" customHeight="false" outlineLevel="0" collapsed="false">
      <c r="A312" s="3" t="n">
        <v>311</v>
      </c>
      <c r="B312" s="3" t="n">
        <v>310</v>
      </c>
      <c r="C312" s="3" t="n">
        <v>1</v>
      </c>
      <c r="D312" s="3" t="n">
        <v>8</v>
      </c>
      <c r="E312" s="3" t="n">
        <v>2</v>
      </c>
      <c r="F312" s="24" t="n">
        <v>0</v>
      </c>
    </row>
    <row r="313" customFormat="false" ht="15" hidden="false" customHeight="false" outlineLevel="0" collapsed="false">
      <c r="A313" s="3" t="n">
        <v>312</v>
      </c>
      <c r="B313" s="3" t="n">
        <v>311</v>
      </c>
      <c r="C313" s="3" t="n">
        <v>1</v>
      </c>
      <c r="D313" s="3" t="n">
        <v>8</v>
      </c>
      <c r="E313" s="3" t="n">
        <v>3</v>
      </c>
      <c r="F313" s="24" t="n">
        <v>0</v>
      </c>
    </row>
    <row r="314" customFormat="false" ht="15" hidden="false" customHeight="false" outlineLevel="0" collapsed="false">
      <c r="A314" s="3" t="n">
        <v>313</v>
      </c>
      <c r="B314" s="3" t="n">
        <v>312</v>
      </c>
      <c r="C314" s="3" t="n">
        <v>1</v>
      </c>
      <c r="D314" s="3" t="n">
        <v>8</v>
      </c>
      <c r="E314" s="3" t="n">
        <v>4</v>
      </c>
      <c r="F314" s="24" t="n">
        <v>0</v>
      </c>
    </row>
    <row r="315" customFormat="false" ht="15" hidden="false" customHeight="false" outlineLevel="0" collapsed="false">
      <c r="A315" s="3" t="n">
        <v>314</v>
      </c>
      <c r="B315" s="3" t="n">
        <v>313</v>
      </c>
      <c r="C315" s="3" t="n">
        <v>1</v>
      </c>
      <c r="D315" s="3" t="n">
        <v>8</v>
      </c>
      <c r="E315" s="3" t="n">
        <v>5</v>
      </c>
      <c r="F315" s="24" t="n">
        <v>0</v>
      </c>
    </row>
    <row r="316" customFormat="false" ht="15" hidden="false" customHeight="false" outlineLevel="0" collapsed="false">
      <c r="A316" s="3" t="n">
        <v>315</v>
      </c>
      <c r="B316" s="3" t="n">
        <v>314</v>
      </c>
      <c r="C316" s="3" t="n">
        <v>1</v>
      </c>
      <c r="D316" s="3" t="n">
        <v>8</v>
      </c>
      <c r="E316" s="3" t="n">
        <v>6</v>
      </c>
      <c r="F316" s="24" t="n">
        <v>0</v>
      </c>
    </row>
    <row r="317" customFormat="false" ht="15" hidden="false" customHeight="false" outlineLevel="0" collapsed="false">
      <c r="A317" s="3" t="n">
        <v>316</v>
      </c>
      <c r="B317" s="3" t="n">
        <v>315</v>
      </c>
      <c r="C317" s="3" t="n">
        <v>1</v>
      </c>
      <c r="D317" s="3" t="n">
        <v>8</v>
      </c>
      <c r="E317" s="3" t="n">
        <v>7</v>
      </c>
      <c r="F317" s="24" t="n">
        <v>2.736763</v>
      </c>
    </row>
    <row r="318" customFormat="false" ht="15" hidden="false" customHeight="false" outlineLevel="0" collapsed="false">
      <c r="A318" s="3" t="n">
        <v>317</v>
      </c>
      <c r="B318" s="3" t="n">
        <v>316</v>
      </c>
      <c r="C318" s="3" t="n">
        <v>1</v>
      </c>
      <c r="D318" s="3" t="n">
        <v>8</v>
      </c>
      <c r="E318" s="3" t="n">
        <v>8</v>
      </c>
      <c r="F318" s="24" t="n">
        <v>3.27421618</v>
      </c>
    </row>
    <row r="319" customFormat="false" ht="15" hidden="false" customHeight="false" outlineLevel="0" collapsed="false">
      <c r="A319" s="3" t="n">
        <v>318</v>
      </c>
      <c r="B319" s="3" t="n">
        <v>317</v>
      </c>
      <c r="C319" s="3" t="n">
        <v>1</v>
      </c>
      <c r="D319" s="3" t="n">
        <v>8</v>
      </c>
      <c r="E319" s="3" t="n">
        <v>9</v>
      </c>
      <c r="F319" s="24" t="n">
        <v>0</v>
      </c>
    </row>
    <row r="320" customFormat="false" ht="15" hidden="false" customHeight="false" outlineLevel="0" collapsed="false">
      <c r="A320" s="3" t="n">
        <v>319</v>
      </c>
      <c r="B320" s="3" t="n">
        <v>318</v>
      </c>
      <c r="C320" s="3" t="n">
        <v>1</v>
      </c>
      <c r="D320" s="3" t="n">
        <v>8</v>
      </c>
      <c r="E320" s="3" t="n">
        <v>10</v>
      </c>
      <c r="F320" s="24" t="n">
        <v>0</v>
      </c>
    </row>
    <row r="321" customFormat="false" ht="15" hidden="false" customHeight="false" outlineLevel="0" collapsed="false">
      <c r="A321" s="3" t="n">
        <v>320</v>
      </c>
      <c r="B321" s="3" t="n">
        <v>319</v>
      </c>
      <c r="C321" s="3" t="n">
        <v>1</v>
      </c>
      <c r="D321" s="3" t="n">
        <v>8</v>
      </c>
      <c r="E321" s="3" t="n">
        <v>11</v>
      </c>
      <c r="F321" s="24" t="n">
        <v>0</v>
      </c>
    </row>
    <row r="322" customFormat="false" ht="15" hidden="false" customHeight="false" outlineLevel="0" collapsed="false">
      <c r="A322" s="3" t="n">
        <v>321</v>
      </c>
      <c r="B322" s="3" t="n">
        <v>320</v>
      </c>
      <c r="C322" s="3" t="n">
        <v>1</v>
      </c>
      <c r="D322" s="3" t="n">
        <v>8</v>
      </c>
      <c r="E322" s="3" t="n">
        <v>12</v>
      </c>
      <c r="F322" s="24" t="n">
        <v>0</v>
      </c>
    </row>
    <row r="323" customFormat="false" ht="15" hidden="false" customHeight="false" outlineLevel="0" collapsed="false">
      <c r="A323" s="3" t="n">
        <v>322</v>
      </c>
      <c r="B323" s="3" t="n">
        <v>321</v>
      </c>
      <c r="C323" s="3" t="n">
        <v>1</v>
      </c>
      <c r="D323" s="3" t="n">
        <v>8</v>
      </c>
      <c r="E323" s="3" t="n">
        <v>13</v>
      </c>
      <c r="F323" s="24" t="n">
        <v>0</v>
      </c>
    </row>
    <row r="324" customFormat="false" ht="15" hidden="false" customHeight="false" outlineLevel="0" collapsed="false">
      <c r="A324" s="3" t="n">
        <v>323</v>
      </c>
      <c r="B324" s="3" t="n">
        <v>322</v>
      </c>
      <c r="C324" s="3" t="n">
        <v>1</v>
      </c>
      <c r="D324" s="3" t="n">
        <v>9</v>
      </c>
      <c r="E324" s="3" t="n">
        <v>0</v>
      </c>
      <c r="F324" s="24" t="n">
        <v>0</v>
      </c>
    </row>
    <row r="325" customFormat="false" ht="15" hidden="false" customHeight="false" outlineLevel="0" collapsed="false">
      <c r="A325" s="3" t="n">
        <v>324</v>
      </c>
      <c r="B325" s="3" t="n">
        <v>323</v>
      </c>
      <c r="C325" s="3" t="n">
        <v>1</v>
      </c>
      <c r="D325" s="3" t="n">
        <v>9</v>
      </c>
      <c r="E325" s="3" t="n">
        <v>1</v>
      </c>
      <c r="F325" s="24" t="n">
        <v>0</v>
      </c>
    </row>
    <row r="326" customFormat="false" ht="15" hidden="false" customHeight="false" outlineLevel="0" collapsed="false">
      <c r="A326" s="3" t="n">
        <v>325</v>
      </c>
      <c r="B326" s="3" t="n">
        <v>324</v>
      </c>
      <c r="C326" s="3" t="n">
        <v>1</v>
      </c>
      <c r="D326" s="3" t="n">
        <v>9</v>
      </c>
      <c r="E326" s="3" t="n">
        <v>2</v>
      </c>
      <c r="F326" s="24" t="n">
        <v>0</v>
      </c>
    </row>
    <row r="327" customFormat="false" ht="15" hidden="false" customHeight="false" outlineLevel="0" collapsed="false">
      <c r="A327" s="3" t="n">
        <v>326</v>
      </c>
      <c r="B327" s="3" t="n">
        <v>325</v>
      </c>
      <c r="C327" s="3" t="n">
        <v>1</v>
      </c>
      <c r="D327" s="3" t="n">
        <v>9</v>
      </c>
      <c r="E327" s="3" t="n">
        <v>3</v>
      </c>
      <c r="F327" s="24" t="n">
        <v>0</v>
      </c>
    </row>
    <row r="328" customFormat="false" ht="15" hidden="false" customHeight="false" outlineLevel="0" collapsed="false">
      <c r="A328" s="3" t="n">
        <v>327</v>
      </c>
      <c r="B328" s="3" t="n">
        <v>326</v>
      </c>
      <c r="C328" s="3" t="n">
        <v>1</v>
      </c>
      <c r="D328" s="3" t="n">
        <v>9</v>
      </c>
      <c r="E328" s="3" t="n">
        <v>4</v>
      </c>
      <c r="F328" s="24" t="n">
        <v>0</v>
      </c>
    </row>
    <row r="329" customFormat="false" ht="15" hidden="false" customHeight="false" outlineLevel="0" collapsed="false">
      <c r="A329" s="3" t="n">
        <v>328</v>
      </c>
      <c r="B329" s="3" t="n">
        <v>327</v>
      </c>
      <c r="C329" s="3" t="n">
        <v>1</v>
      </c>
      <c r="D329" s="3" t="n">
        <v>9</v>
      </c>
      <c r="E329" s="3" t="n">
        <v>5</v>
      </c>
      <c r="F329" s="24" t="n">
        <v>0</v>
      </c>
    </row>
    <row r="330" customFormat="false" ht="15" hidden="false" customHeight="false" outlineLevel="0" collapsed="false">
      <c r="A330" s="3" t="n">
        <v>329</v>
      </c>
      <c r="B330" s="3" t="n">
        <v>328</v>
      </c>
      <c r="C330" s="3" t="n">
        <v>1</v>
      </c>
      <c r="D330" s="3" t="n">
        <v>9</v>
      </c>
      <c r="E330" s="3" t="n">
        <v>6</v>
      </c>
      <c r="F330" s="24" t="n">
        <v>1.80311</v>
      </c>
    </row>
    <row r="331" customFormat="false" ht="15" hidden="false" customHeight="false" outlineLevel="0" collapsed="false">
      <c r="A331" s="3" t="n">
        <v>330</v>
      </c>
      <c r="B331" s="3" t="n">
        <v>329</v>
      </c>
      <c r="C331" s="3" t="n">
        <v>1</v>
      </c>
      <c r="D331" s="3" t="n">
        <v>9</v>
      </c>
      <c r="E331" s="3" t="n">
        <v>7</v>
      </c>
      <c r="F331" s="24" t="n">
        <v>3.46481657</v>
      </c>
    </row>
    <row r="332" customFormat="false" ht="15" hidden="false" customHeight="false" outlineLevel="0" collapsed="false">
      <c r="A332" s="3" t="n">
        <v>331</v>
      </c>
      <c r="B332" s="3" t="n">
        <v>330</v>
      </c>
      <c r="C332" s="3" t="n">
        <v>1</v>
      </c>
      <c r="D332" s="3" t="n">
        <v>9</v>
      </c>
      <c r="E332" s="3" t="n">
        <v>8</v>
      </c>
      <c r="F332" s="24" t="n">
        <v>2.07654858</v>
      </c>
    </row>
    <row r="333" customFormat="false" ht="15" hidden="false" customHeight="false" outlineLevel="0" collapsed="false">
      <c r="A333" s="3" t="n">
        <v>332</v>
      </c>
      <c r="B333" s="3" t="n">
        <v>331</v>
      </c>
      <c r="C333" s="3" t="n">
        <v>1</v>
      </c>
      <c r="D333" s="3" t="n">
        <v>9</v>
      </c>
      <c r="E333" s="3" t="n">
        <v>9</v>
      </c>
      <c r="F333" s="24" t="n">
        <v>0</v>
      </c>
    </row>
    <row r="334" customFormat="false" ht="15" hidden="false" customHeight="false" outlineLevel="0" collapsed="false">
      <c r="A334" s="3" t="n">
        <v>333</v>
      </c>
      <c r="B334" s="3" t="n">
        <v>332</v>
      </c>
      <c r="C334" s="3" t="n">
        <v>1</v>
      </c>
      <c r="D334" s="3" t="n">
        <v>9</v>
      </c>
      <c r="E334" s="3" t="n">
        <v>10</v>
      </c>
      <c r="F334" s="24" t="n">
        <v>0</v>
      </c>
    </row>
    <row r="335" customFormat="false" ht="15" hidden="false" customHeight="false" outlineLevel="0" collapsed="false">
      <c r="A335" s="3" t="n">
        <v>334</v>
      </c>
      <c r="B335" s="3" t="n">
        <v>333</v>
      </c>
      <c r="C335" s="3" t="n">
        <v>1</v>
      </c>
      <c r="D335" s="3" t="n">
        <v>9</v>
      </c>
      <c r="E335" s="3" t="n">
        <v>11</v>
      </c>
      <c r="F335" s="24" t="n">
        <v>0</v>
      </c>
    </row>
    <row r="336" customFormat="false" ht="15" hidden="false" customHeight="false" outlineLevel="0" collapsed="false">
      <c r="A336" s="3" t="n">
        <v>335</v>
      </c>
      <c r="B336" s="3" t="n">
        <v>334</v>
      </c>
      <c r="C336" s="3" t="n">
        <v>1</v>
      </c>
      <c r="D336" s="3" t="n">
        <v>9</v>
      </c>
      <c r="E336" s="3" t="n">
        <v>12</v>
      </c>
      <c r="F336" s="24" t="n">
        <v>0</v>
      </c>
    </row>
    <row r="337" customFormat="false" ht="15" hidden="false" customHeight="false" outlineLevel="0" collapsed="false">
      <c r="A337" s="3" t="n">
        <v>336</v>
      </c>
      <c r="B337" s="3" t="n">
        <v>335</v>
      </c>
      <c r="C337" s="3" t="n">
        <v>1</v>
      </c>
      <c r="D337" s="3" t="n">
        <v>9</v>
      </c>
      <c r="E337" s="3" t="n">
        <v>13</v>
      </c>
      <c r="F337" s="24" t="n">
        <v>0</v>
      </c>
    </row>
    <row r="338" customFormat="false" ht="15" hidden="false" customHeight="false" outlineLevel="0" collapsed="false">
      <c r="A338" s="3" t="n">
        <v>337</v>
      </c>
      <c r="B338" s="3" t="n">
        <v>336</v>
      </c>
      <c r="C338" s="3" t="n">
        <v>1</v>
      </c>
      <c r="D338" s="3" t="n">
        <v>10</v>
      </c>
      <c r="E338" s="3" t="n">
        <v>0</v>
      </c>
      <c r="F338" s="24" t="n">
        <v>0</v>
      </c>
    </row>
    <row r="339" customFormat="false" ht="15" hidden="false" customHeight="false" outlineLevel="0" collapsed="false">
      <c r="A339" s="3" t="n">
        <v>338</v>
      </c>
      <c r="B339" s="3" t="n">
        <v>337</v>
      </c>
      <c r="C339" s="3" t="n">
        <v>1</v>
      </c>
      <c r="D339" s="3" t="n">
        <v>10</v>
      </c>
      <c r="E339" s="3" t="n">
        <v>1</v>
      </c>
      <c r="F339" s="24" t="n">
        <v>0</v>
      </c>
    </row>
    <row r="340" customFormat="false" ht="15" hidden="false" customHeight="false" outlineLevel="0" collapsed="false">
      <c r="A340" s="3" t="n">
        <v>339</v>
      </c>
      <c r="B340" s="3" t="n">
        <v>338</v>
      </c>
      <c r="C340" s="3" t="n">
        <v>1</v>
      </c>
      <c r="D340" s="3" t="n">
        <v>10</v>
      </c>
      <c r="E340" s="3" t="n">
        <v>2</v>
      </c>
      <c r="F340" s="24" t="n">
        <v>0</v>
      </c>
    </row>
    <row r="341" customFormat="false" ht="15" hidden="false" customHeight="false" outlineLevel="0" collapsed="false">
      <c r="A341" s="3" t="n">
        <v>340</v>
      </c>
      <c r="B341" s="3" t="n">
        <v>339</v>
      </c>
      <c r="C341" s="3" t="n">
        <v>1</v>
      </c>
      <c r="D341" s="3" t="n">
        <v>10</v>
      </c>
      <c r="E341" s="3" t="n">
        <v>3</v>
      </c>
      <c r="F341" s="24" t="n">
        <v>0</v>
      </c>
    </row>
    <row r="342" customFormat="false" ht="15" hidden="false" customHeight="false" outlineLevel="0" collapsed="false">
      <c r="A342" s="3" t="n">
        <v>341</v>
      </c>
      <c r="B342" s="3" t="n">
        <v>340</v>
      </c>
      <c r="C342" s="3" t="n">
        <v>1</v>
      </c>
      <c r="D342" s="3" t="n">
        <v>10</v>
      </c>
      <c r="E342" s="3" t="n">
        <v>4</v>
      </c>
      <c r="F342" s="24" t="n">
        <v>0</v>
      </c>
    </row>
    <row r="343" customFormat="false" ht="15" hidden="false" customHeight="false" outlineLevel="0" collapsed="false">
      <c r="A343" s="3" t="n">
        <v>342</v>
      </c>
      <c r="B343" s="3" t="n">
        <v>341</v>
      </c>
      <c r="C343" s="3" t="n">
        <v>1</v>
      </c>
      <c r="D343" s="3" t="n">
        <v>10</v>
      </c>
      <c r="E343" s="3" t="n">
        <v>5</v>
      </c>
      <c r="F343" s="24" t="n">
        <v>0</v>
      </c>
    </row>
    <row r="344" customFormat="false" ht="15" hidden="false" customHeight="false" outlineLevel="0" collapsed="false">
      <c r="A344" s="3" t="n">
        <v>343</v>
      </c>
      <c r="B344" s="3" t="n">
        <v>342</v>
      </c>
      <c r="C344" s="3" t="n">
        <v>1</v>
      </c>
      <c r="D344" s="3" t="n">
        <v>10</v>
      </c>
      <c r="E344" s="3" t="n">
        <v>6</v>
      </c>
      <c r="F344" s="24" t="n">
        <v>3.52036333</v>
      </c>
    </row>
    <row r="345" customFormat="false" ht="15" hidden="false" customHeight="false" outlineLevel="0" collapsed="false">
      <c r="A345" s="3" t="n">
        <v>344</v>
      </c>
      <c r="B345" s="3" t="n">
        <v>343</v>
      </c>
      <c r="C345" s="3" t="n">
        <v>1</v>
      </c>
      <c r="D345" s="3" t="n">
        <v>10</v>
      </c>
      <c r="E345" s="3" t="n">
        <v>7</v>
      </c>
      <c r="F345" s="24" t="n">
        <v>3.77756786</v>
      </c>
    </row>
    <row r="346" customFormat="false" ht="15" hidden="false" customHeight="false" outlineLevel="0" collapsed="false">
      <c r="A346" s="3" t="n">
        <v>345</v>
      </c>
      <c r="B346" s="3" t="n">
        <v>344</v>
      </c>
      <c r="C346" s="3" t="n">
        <v>1</v>
      </c>
      <c r="D346" s="3" t="n">
        <v>10</v>
      </c>
      <c r="E346" s="3" t="n">
        <v>8</v>
      </c>
      <c r="F346" s="24" t="n">
        <v>0</v>
      </c>
    </row>
    <row r="347" customFormat="false" ht="15" hidden="false" customHeight="false" outlineLevel="0" collapsed="false">
      <c r="A347" s="3" t="n">
        <v>346</v>
      </c>
      <c r="B347" s="3" t="n">
        <v>345</v>
      </c>
      <c r="C347" s="3" t="n">
        <v>1</v>
      </c>
      <c r="D347" s="3" t="n">
        <v>10</v>
      </c>
      <c r="E347" s="3" t="n">
        <v>9</v>
      </c>
      <c r="F347" s="24" t="n">
        <v>0</v>
      </c>
    </row>
    <row r="348" customFormat="false" ht="15" hidden="false" customHeight="false" outlineLevel="0" collapsed="false">
      <c r="A348" s="3" t="n">
        <v>347</v>
      </c>
      <c r="B348" s="3" t="n">
        <v>346</v>
      </c>
      <c r="C348" s="3" t="n">
        <v>1</v>
      </c>
      <c r="D348" s="3" t="n">
        <v>10</v>
      </c>
      <c r="E348" s="3" t="n">
        <v>10</v>
      </c>
      <c r="F348" s="24" t="n">
        <v>0</v>
      </c>
    </row>
    <row r="349" customFormat="false" ht="15" hidden="false" customHeight="false" outlineLevel="0" collapsed="false">
      <c r="A349" s="3" t="n">
        <v>348</v>
      </c>
      <c r="B349" s="3" t="n">
        <v>347</v>
      </c>
      <c r="C349" s="3" t="n">
        <v>1</v>
      </c>
      <c r="D349" s="3" t="n">
        <v>10</v>
      </c>
      <c r="E349" s="3" t="n">
        <v>11</v>
      </c>
      <c r="F349" s="24" t="n">
        <v>0</v>
      </c>
    </row>
    <row r="350" customFormat="false" ht="15" hidden="false" customHeight="false" outlineLevel="0" collapsed="false">
      <c r="A350" s="3" t="n">
        <v>349</v>
      </c>
      <c r="B350" s="3" t="n">
        <v>348</v>
      </c>
      <c r="C350" s="3" t="n">
        <v>1</v>
      </c>
      <c r="D350" s="3" t="n">
        <v>10</v>
      </c>
      <c r="E350" s="3" t="n">
        <v>12</v>
      </c>
      <c r="F350" s="24" t="n">
        <v>0</v>
      </c>
    </row>
    <row r="351" customFormat="false" ht="15" hidden="false" customHeight="false" outlineLevel="0" collapsed="false">
      <c r="A351" s="3" t="n">
        <v>350</v>
      </c>
      <c r="B351" s="3" t="n">
        <v>349</v>
      </c>
      <c r="C351" s="3" t="n">
        <v>1</v>
      </c>
      <c r="D351" s="3" t="n">
        <v>10</v>
      </c>
      <c r="E351" s="3" t="n">
        <v>13</v>
      </c>
      <c r="F351" s="24" t="n">
        <v>0</v>
      </c>
    </row>
    <row r="352" customFormat="false" ht="15" hidden="false" customHeight="false" outlineLevel="0" collapsed="false">
      <c r="A352" s="3" t="n">
        <v>351</v>
      </c>
      <c r="B352" s="3" t="n">
        <v>350</v>
      </c>
      <c r="C352" s="3" t="n">
        <v>1</v>
      </c>
      <c r="D352" s="3" t="n">
        <v>11</v>
      </c>
      <c r="E352" s="3" t="n">
        <v>0</v>
      </c>
      <c r="F352" s="24" t="n">
        <v>0</v>
      </c>
    </row>
    <row r="353" customFormat="false" ht="15" hidden="false" customHeight="false" outlineLevel="0" collapsed="false">
      <c r="A353" s="3" t="n">
        <v>352</v>
      </c>
      <c r="B353" s="3" t="n">
        <v>351</v>
      </c>
      <c r="C353" s="3" t="n">
        <v>1</v>
      </c>
      <c r="D353" s="3" t="n">
        <v>11</v>
      </c>
      <c r="E353" s="3" t="n">
        <v>1</v>
      </c>
      <c r="F353" s="24" t="n">
        <v>0</v>
      </c>
    </row>
    <row r="354" customFormat="false" ht="15" hidden="false" customHeight="false" outlineLevel="0" collapsed="false">
      <c r="A354" s="3" t="n">
        <v>353</v>
      </c>
      <c r="B354" s="3" t="n">
        <v>352</v>
      </c>
      <c r="C354" s="3" t="n">
        <v>1</v>
      </c>
      <c r="D354" s="3" t="n">
        <v>11</v>
      </c>
      <c r="E354" s="3" t="n">
        <v>2</v>
      </c>
      <c r="F354" s="24" t="n">
        <v>0</v>
      </c>
    </row>
    <row r="355" customFormat="false" ht="15" hidden="false" customHeight="false" outlineLevel="0" collapsed="false">
      <c r="A355" s="3" t="n">
        <v>354</v>
      </c>
      <c r="B355" s="3" t="n">
        <v>353</v>
      </c>
      <c r="C355" s="3" t="n">
        <v>1</v>
      </c>
      <c r="D355" s="3" t="n">
        <v>11</v>
      </c>
      <c r="E355" s="3" t="n">
        <v>3</v>
      </c>
      <c r="F355" s="24" t="n">
        <v>0</v>
      </c>
    </row>
    <row r="356" customFormat="false" ht="15" hidden="false" customHeight="false" outlineLevel="0" collapsed="false">
      <c r="A356" s="3" t="n">
        <v>355</v>
      </c>
      <c r="B356" s="3" t="n">
        <v>354</v>
      </c>
      <c r="C356" s="3" t="n">
        <v>1</v>
      </c>
      <c r="D356" s="3" t="n">
        <v>11</v>
      </c>
      <c r="E356" s="3" t="n">
        <v>4</v>
      </c>
      <c r="F356" s="24" t="n">
        <v>0</v>
      </c>
    </row>
    <row r="357" customFormat="false" ht="15" hidden="false" customHeight="false" outlineLevel="0" collapsed="false">
      <c r="A357" s="3" t="n">
        <v>356</v>
      </c>
      <c r="B357" s="3" t="n">
        <v>355</v>
      </c>
      <c r="C357" s="3" t="n">
        <v>1</v>
      </c>
      <c r="D357" s="3" t="n">
        <v>11</v>
      </c>
      <c r="E357" s="3" t="n">
        <v>5</v>
      </c>
      <c r="F357" s="24" t="n">
        <v>2.84406567</v>
      </c>
    </row>
    <row r="358" customFormat="false" ht="15" hidden="false" customHeight="false" outlineLevel="0" collapsed="false">
      <c r="A358" s="3" t="n">
        <v>357</v>
      </c>
      <c r="B358" s="3" t="n">
        <v>356</v>
      </c>
      <c r="C358" s="3" t="n">
        <v>1</v>
      </c>
      <c r="D358" s="3" t="n">
        <v>11</v>
      </c>
      <c r="E358" s="3" t="n">
        <v>6</v>
      </c>
      <c r="F358" s="24" t="n">
        <v>3.90224409</v>
      </c>
    </row>
    <row r="359" customFormat="false" ht="15" hidden="false" customHeight="false" outlineLevel="0" collapsed="false">
      <c r="A359" s="3" t="n">
        <v>358</v>
      </c>
      <c r="B359" s="3" t="n">
        <v>357</v>
      </c>
      <c r="C359" s="3" t="n">
        <v>1</v>
      </c>
      <c r="D359" s="3" t="n">
        <v>11</v>
      </c>
      <c r="E359" s="3" t="n">
        <v>7</v>
      </c>
      <c r="F359" s="24" t="n">
        <v>0.125745416</v>
      </c>
    </row>
    <row r="360" customFormat="false" ht="15" hidden="false" customHeight="false" outlineLevel="0" collapsed="false">
      <c r="A360" s="3" t="n">
        <v>359</v>
      </c>
      <c r="B360" s="3" t="n">
        <v>358</v>
      </c>
      <c r="C360" s="3" t="n">
        <v>1</v>
      </c>
      <c r="D360" s="3" t="n">
        <v>11</v>
      </c>
      <c r="E360" s="3" t="n">
        <v>8</v>
      </c>
      <c r="F360" s="24" t="n">
        <v>0</v>
      </c>
    </row>
    <row r="361" customFormat="false" ht="15" hidden="false" customHeight="false" outlineLevel="0" collapsed="false">
      <c r="A361" s="3" t="n">
        <v>360</v>
      </c>
      <c r="B361" s="3" t="n">
        <v>359</v>
      </c>
      <c r="C361" s="3" t="n">
        <v>1</v>
      </c>
      <c r="D361" s="3" t="n">
        <v>11</v>
      </c>
      <c r="E361" s="3" t="n">
        <v>9</v>
      </c>
      <c r="F361" s="24" t="n">
        <v>0</v>
      </c>
    </row>
    <row r="362" customFormat="false" ht="15" hidden="false" customHeight="false" outlineLevel="0" collapsed="false">
      <c r="A362" s="3" t="n">
        <v>361</v>
      </c>
      <c r="B362" s="3" t="n">
        <v>360</v>
      </c>
      <c r="C362" s="3" t="n">
        <v>1</v>
      </c>
      <c r="D362" s="3" t="n">
        <v>11</v>
      </c>
      <c r="E362" s="3" t="n">
        <v>10</v>
      </c>
      <c r="F362" s="24" t="n">
        <v>0</v>
      </c>
    </row>
    <row r="363" customFormat="false" ht="15" hidden="false" customHeight="false" outlineLevel="0" collapsed="false">
      <c r="A363" s="3" t="n">
        <v>362</v>
      </c>
      <c r="B363" s="3" t="n">
        <v>361</v>
      </c>
      <c r="C363" s="3" t="n">
        <v>1</v>
      </c>
      <c r="D363" s="3" t="n">
        <v>11</v>
      </c>
      <c r="E363" s="3" t="n">
        <v>11</v>
      </c>
      <c r="F363" s="24" t="n">
        <v>0</v>
      </c>
    </row>
    <row r="364" customFormat="false" ht="15" hidden="false" customHeight="false" outlineLevel="0" collapsed="false">
      <c r="A364" s="3" t="n">
        <v>363</v>
      </c>
      <c r="B364" s="3" t="n">
        <v>362</v>
      </c>
      <c r="C364" s="3" t="n">
        <v>1</v>
      </c>
      <c r="D364" s="3" t="n">
        <v>11</v>
      </c>
      <c r="E364" s="3" t="n">
        <v>12</v>
      </c>
      <c r="F364" s="24" t="n">
        <v>0</v>
      </c>
    </row>
    <row r="365" customFormat="false" ht="15" hidden="false" customHeight="false" outlineLevel="0" collapsed="false">
      <c r="A365" s="3" t="n">
        <v>364</v>
      </c>
      <c r="B365" s="3" t="n">
        <v>363</v>
      </c>
      <c r="C365" s="3" t="n">
        <v>1</v>
      </c>
      <c r="D365" s="3" t="n">
        <v>11</v>
      </c>
      <c r="E365" s="3" t="n">
        <v>13</v>
      </c>
      <c r="F365" s="24" t="n">
        <v>0</v>
      </c>
    </row>
    <row r="366" customFormat="false" ht="15" hidden="false" customHeight="false" outlineLevel="0" collapsed="false">
      <c r="A366" s="3" t="n">
        <v>365</v>
      </c>
      <c r="B366" s="3" t="n">
        <v>364</v>
      </c>
      <c r="C366" s="3" t="n">
        <v>1</v>
      </c>
      <c r="D366" s="3" t="n">
        <v>12</v>
      </c>
      <c r="E366" s="3" t="n">
        <v>0</v>
      </c>
      <c r="F366" s="24" t="n">
        <v>0</v>
      </c>
    </row>
    <row r="367" customFormat="false" ht="15" hidden="false" customHeight="false" outlineLevel="0" collapsed="false">
      <c r="A367" s="3" t="n">
        <v>366</v>
      </c>
      <c r="B367" s="3" t="n">
        <v>365</v>
      </c>
      <c r="C367" s="3" t="n">
        <v>1</v>
      </c>
      <c r="D367" s="3" t="n">
        <v>12</v>
      </c>
      <c r="E367" s="3" t="n">
        <v>1</v>
      </c>
      <c r="F367" s="24" t="n">
        <v>0</v>
      </c>
    </row>
    <row r="368" customFormat="false" ht="15" hidden="false" customHeight="false" outlineLevel="0" collapsed="false">
      <c r="A368" s="3" t="n">
        <v>367</v>
      </c>
      <c r="B368" s="3" t="n">
        <v>366</v>
      </c>
      <c r="C368" s="3" t="n">
        <v>1</v>
      </c>
      <c r="D368" s="3" t="n">
        <v>12</v>
      </c>
      <c r="E368" s="3" t="n">
        <v>2</v>
      </c>
      <c r="F368" s="24" t="n">
        <v>0</v>
      </c>
    </row>
    <row r="369" customFormat="false" ht="15" hidden="false" customHeight="false" outlineLevel="0" collapsed="false">
      <c r="A369" s="3" t="n">
        <v>368</v>
      </c>
      <c r="B369" s="3" t="n">
        <v>367</v>
      </c>
      <c r="C369" s="3" t="n">
        <v>1</v>
      </c>
      <c r="D369" s="3" t="n">
        <v>12</v>
      </c>
      <c r="E369" s="3" t="n">
        <v>3</v>
      </c>
      <c r="F369" s="24" t="n">
        <v>0</v>
      </c>
    </row>
    <row r="370" customFormat="false" ht="15" hidden="false" customHeight="false" outlineLevel="0" collapsed="false">
      <c r="A370" s="3" t="n">
        <v>369</v>
      </c>
      <c r="B370" s="3" t="n">
        <v>368</v>
      </c>
      <c r="C370" s="3" t="n">
        <v>1</v>
      </c>
      <c r="D370" s="3" t="n">
        <v>12</v>
      </c>
      <c r="E370" s="3" t="n">
        <v>4</v>
      </c>
      <c r="F370" s="24" t="n">
        <v>0.189854205</v>
      </c>
    </row>
    <row r="371" customFormat="false" ht="15" hidden="false" customHeight="false" outlineLevel="0" collapsed="false">
      <c r="A371" s="3" t="n">
        <v>370</v>
      </c>
      <c r="B371" s="3" t="n">
        <v>369</v>
      </c>
      <c r="C371" s="3" t="n">
        <v>1</v>
      </c>
      <c r="D371" s="3" t="n">
        <v>12</v>
      </c>
      <c r="E371" s="3" t="n">
        <v>5</v>
      </c>
      <c r="F371" s="24" t="n">
        <v>3.8386445</v>
      </c>
    </row>
    <row r="372" customFormat="false" ht="15" hidden="false" customHeight="false" outlineLevel="0" collapsed="false">
      <c r="A372" s="3" t="n">
        <v>371</v>
      </c>
      <c r="B372" s="3" t="n">
        <v>370</v>
      </c>
      <c r="C372" s="3" t="n">
        <v>1</v>
      </c>
      <c r="D372" s="3" t="n">
        <v>12</v>
      </c>
      <c r="E372" s="3" t="n">
        <v>6</v>
      </c>
      <c r="F372" s="24" t="n">
        <v>3.82175064</v>
      </c>
    </row>
    <row r="373" customFormat="false" ht="15" hidden="false" customHeight="false" outlineLevel="0" collapsed="false">
      <c r="A373" s="3" t="n">
        <v>372</v>
      </c>
      <c r="B373" s="3" t="n">
        <v>371</v>
      </c>
      <c r="C373" s="3" t="n">
        <v>1</v>
      </c>
      <c r="D373" s="3" t="n">
        <v>12</v>
      </c>
      <c r="E373" s="3" t="n">
        <v>7</v>
      </c>
      <c r="F373" s="24" t="n">
        <v>0</v>
      </c>
    </row>
    <row r="374" customFormat="false" ht="15" hidden="false" customHeight="false" outlineLevel="0" collapsed="false">
      <c r="A374" s="3" t="n">
        <v>373</v>
      </c>
      <c r="B374" s="3" t="n">
        <v>372</v>
      </c>
      <c r="C374" s="3" t="n">
        <v>1</v>
      </c>
      <c r="D374" s="3" t="n">
        <v>12</v>
      </c>
      <c r="E374" s="3" t="n">
        <v>8</v>
      </c>
      <c r="F374" s="24" t="n">
        <v>0</v>
      </c>
    </row>
    <row r="375" customFormat="false" ht="15" hidden="false" customHeight="false" outlineLevel="0" collapsed="false">
      <c r="A375" s="3" t="n">
        <v>374</v>
      </c>
      <c r="B375" s="3" t="n">
        <v>373</v>
      </c>
      <c r="C375" s="3" t="n">
        <v>1</v>
      </c>
      <c r="D375" s="3" t="n">
        <v>12</v>
      </c>
      <c r="E375" s="3" t="n">
        <v>9</v>
      </c>
      <c r="F375" s="24" t="n">
        <v>0</v>
      </c>
    </row>
    <row r="376" customFormat="false" ht="15" hidden="false" customHeight="false" outlineLevel="0" collapsed="false">
      <c r="A376" s="3" t="n">
        <v>375</v>
      </c>
      <c r="B376" s="3" t="n">
        <v>374</v>
      </c>
      <c r="C376" s="3" t="n">
        <v>1</v>
      </c>
      <c r="D376" s="3" t="n">
        <v>12</v>
      </c>
      <c r="E376" s="3" t="n">
        <v>10</v>
      </c>
      <c r="F376" s="24" t="n">
        <v>0</v>
      </c>
    </row>
    <row r="377" customFormat="false" ht="15" hidden="false" customHeight="false" outlineLevel="0" collapsed="false">
      <c r="A377" s="3" t="n">
        <v>376</v>
      </c>
      <c r="B377" s="3" t="n">
        <v>375</v>
      </c>
      <c r="C377" s="3" t="n">
        <v>1</v>
      </c>
      <c r="D377" s="3" t="n">
        <v>12</v>
      </c>
      <c r="E377" s="3" t="n">
        <v>11</v>
      </c>
      <c r="F377" s="24" t="n">
        <v>0</v>
      </c>
    </row>
    <row r="378" customFormat="false" ht="15" hidden="false" customHeight="false" outlineLevel="0" collapsed="false">
      <c r="A378" s="3" t="n">
        <v>377</v>
      </c>
      <c r="B378" s="3" t="n">
        <v>376</v>
      </c>
      <c r="C378" s="3" t="n">
        <v>1</v>
      </c>
      <c r="D378" s="3" t="n">
        <v>12</v>
      </c>
      <c r="E378" s="3" t="n">
        <v>12</v>
      </c>
      <c r="F378" s="24" t="n">
        <v>0</v>
      </c>
    </row>
    <row r="379" customFormat="false" ht="15" hidden="false" customHeight="false" outlineLevel="0" collapsed="false">
      <c r="A379" s="3" t="n">
        <v>378</v>
      </c>
      <c r="B379" s="3" t="n">
        <v>377</v>
      </c>
      <c r="C379" s="3" t="n">
        <v>1</v>
      </c>
      <c r="D379" s="3" t="n">
        <v>12</v>
      </c>
      <c r="E379" s="3" t="n">
        <v>13</v>
      </c>
      <c r="F379" s="24" t="n">
        <v>0</v>
      </c>
    </row>
    <row r="380" customFormat="false" ht="15" hidden="false" customHeight="false" outlineLevel="0" collapsed="false">
      <c r="A380" s="3" t="n">
        <v>379</v>
      </c>
      <c r="B380" s="3" t="n">
        <v>378</v>
      </c>
      <c r="C380" s="3" t="n">
        <v>1</v>
      </c>
      <c r="D380" s="3" t="n">
        <v>13</v>
      </c>
      <c r="E380" s="3" t="n">
        <v>0</v>
      </c>
      <c r="F380" s="24" t="n">
        <v>0</v>
      </c>
    </row>
    <row r="381" customFormat="false" ht="15" hidden="false" customHeight="false" outlineLevel="0" collapsed="false">
      <c r="A381" s="3" t="n">
        <v>380</v>
      </c>
      <c r="B381" s="3" t="n">
        <v>379</v>
      </c>
      <c r="C381" s="3" t="n">
        <v>1</v>
      </c>
      <c r="D381" s="3" t="n">
        <v>13</v>
      </c>
      <c r="E381" s="3" t="n">
        <v>1</v>
      </c>
      <c r="F381" s="24" t="n">
        <v>0</v>
      </c>
    </row>
    <row r="382" customFormat="false" ht="15" hidden="false" customHeight="false" outlineLevel="0" collapsed="false">
      <c r="A382" s="3" t="n">
        <v>381</v>
      </c>
      <c r="B382" s="3" t="n">
        <v>380</v>
      </c>
      <c r="C382" s="3" t="n">
        <v>1</v>
      </c>
      <c r="D382" s="3" t="n">
        <v>13</v>
      </c>
      <c r="E382" s="3" t="n">
        <v>2</v>
      </c>
      <c r="F382" s="24" t="n">
        <v>0</v>
      </c>
    </row>
    <row r="383" customFormat="false" ht="15" hidden="false" customHeight="false" outlineLevel="0" collapsed="false">
      <c r="A383" s="3" t="n">
        <v>382</v>
      </c>
      <c r="B383" s="3" t="n">
        <v>381</v>
      </c>
      <c r="C383" s="3" t="n">
        <v>1</v>
      </c>
      <c r="D383" s="3" t="n">
        <v>13</v>
      </c>
      <c r="E383" s="3" t="n">
        <v>3</v>
      </c>
      <c r="F383" s="24" t="n">
        <v>0</v>
      </c>
    </row>
    <row r="384" customFormat="false" ht="15" hidden="false" customHeight="false" outlineLevel="0" collapsed="false">
      <c r="A384" s="3" t="n">
        <v>383</v>
      </c>
      <c r="B384" s="3" t="n">
        <v>382</v>
      </c>
      <c r="C384" s="3" t="n">
        <v>1</v>
      </c>
      <c r="D384" s="3" t="n">
        <v>13</v>
      </c>
      <c r="E384" s="3" t="n">
        <v>4</v>
      </c>
      <c r="F384" s="24" t="n">
        <v>0.177750975</v>
      </c>
    </row>
    <row r="385" customFormat="false" ht="15" hidden="false" customHeight="false" outlineLevel="0" collapsed="false">
      <c r="A385" s="3" t="n">
        <v>384</v>
      </c>
      <c r="B385" s="3" t="n">
        <v>383</v>
      </c>
      <c r="C385" s="3" t="n">
        <v>1</v>
      </c>
      <c r="D385" s="3" t="n">
        <v>13</v>
      </c>
      <c r="E385" s="3" t="n">
        <v>5</v>
      </c>
      <c r="F385" s="24" t="n">
        <v>2.14748573</v>
      </c>
    </row>
    <row r="386" customFormat="false" ht="15" hidden="false" customHeight="false" outlineLevel="0" collapsed="false">
      <c r="A386" s="3" t="n">
        <v>385</v>
      </c>
      <c r="B386" s="3" t="n">
        <v>384</v>
      </c>
      <c r="C386" s="3" t="n">
        <v>1</v>
      </c>
      <c r="D386" s="3" t="n">
        <v>13</v>
      </c>
      <c r="E386" s="3" t="n">
        <v>6</v>
      </c>
      <c r="F386" s="24" t="n">
        <v>0.852711082</v>
      </c>
    </row>
    <row r="387" customFormat="false" ht="15" hidden="false" customHeight="false" outlineLevel="0" collapsed="false">
      <c r="A387" s="3" t="n">
        <v>386</v>
      </c>
      <c r="B387" s="3" t="n">
        <v>385</v>
      </c>
      <c r="C387" s="3" t="n">
        <v>1</v>
      </c>
      <c r="D387" s="3" t="n">
        <v>13</v>
      </c>
      <c r="E387" s="3" t="n">
        <v>7</v>
      </c>
      <c r="F387" s="24" t="n">
        <v>0</v>
      </c>
    </row>
    <row r="388" customFormat="false" ht="15" hidden="false" customHeight="false" outlineLevel="0" collapsed="false">
      <c r="A388" s="3" t="n">
        <v>387</v>
      </c>
      <c r="B388" s="3" t="n">
        <v>386</v>
      </c>
      <c r="C388" s="3" t="n">
        <v>1</v>
      </c>
      <c r="D388" s="3" t="n">
        <v>13</v>
      </c>
      <c r="E388" s="3" t="n">
        <v>8</v>
      </c>
      <c r="F388" s="24" t="n">
        <v>0</v>
      </c>
    </row>
    <row r="389" customFormat="false" ht="15" hidden="false" customHeight="false" outlineLevel="0" collapsed="false">
      <c r="A389" s="3" t="n">
        <v>388</v>
      </c>
      <c r="B389" s="3" t="n">
        <v>387</v>
      </c>
      <c r="C389" s="3" t="n">
        <v>1</v>
      </c>
      <c r="D389" s="3" t="n">
        <v>13</v>
      </c>
      <c r="E389" s="3" t="n">
        <v>9</v>
      </c>
      <c r="F389" s="24" t="n">
        <v>0</v>
      </c>
    </row>
    <row r="390" customFormat="false" ht="15" hidden="false" customHeight="false" outlineLevel="0" collapsed="false">
      <c r="A390" s="3" t="n">
        <v>389</v>
      </c>
      <c r="B390" s="3" t="n">
        <v>388</v>
      </c>
      <c r="C390" s="3" t="n">
        <v>1</v>
      </c>
      <c r="D390" s="3" t="n">
        <v>13</v>
      </c>
      <c r="E390" s="3" t="n">
        <v>10</v>
      </c>
      <c r="F390" s="24" t="n">
        <v>0</v>
      </c>
    </row>
    <row r="391" customFormat="false" ht="15" hidden="false" customHeight="false" outlineLevel="0" collapsed="false">
      <c r="A391" s="3" t="n">
        <v>390</v>
      </c>
      <c r="B391" s="3" t="n">
        <v>389</v>
      </c>
      <c r="C391" s="3" t="n">
        <v>1</v>
      </c>
      <c r="D391" s="3" t="n">
        <v>13</v>
      </c>
      <c r="E391" s="3" t="n">
        <v>11</v>
      </c>
      <c r="F391" s="24" t="n">
        <v>0</v>
      </c>
    </row>
    <row r="392" customFormat="false" ht="15" hidden="false" customHeight="false" outlineLevel="0" collapsed="false">
      <c r="A392" s="3" t="n">
        <v>391</v>
      </c>
      <c r="B392" s="3" t="n">
        <v>390</v>
      </c>
      <c r="C392" s="3" t="n">
        <v>1</v>
      </c>
      <c r="D392" s="3" t="n">
        <v>13</v>
      </c>
      <c r="E392" s="3" t="n">
        <v>12</v>
      </c>
      <c r="F392" s="24" t="n">
        <v>0</v>
      </c>
    </row>
    <row r="393" customFormat="false" ht="15" hidden="false" customHeight="false" outlineLevel="0" collapsed="false">
      <c r="A393" s="3" t="n">
        <v>392</v>
      </c>
      <c r="B393" s="3" t="n">
        <v>391</v>
      </c>
      <c r="C393" s="3" t="n">
        <v>1</v>
      </c>
      <c r="D393" s="3" t="n">
        <v>13</v>
      </c>
      <c r="E393" s="3" t="n">
        <v>13</v>
      </c>
      <c r="F393" s="24" t="n">
        <v>0</v>
      </c>
    </row>
    <row r="394" customFormat="false" ht="15" hidden="false" customHeight="false" outlineLevel="0" collapsed="false">
      <c r="A394" s="3" t="n">
        <v>393</v>
      </c>
      <c r="B394" s="3" t="n">
        <v>392</v>
      </c>
      <c r="C394" s="3" t="n">
        <v>2</v>
      </c>
      <c r="D394" s="3" t="n">
        <v>0</v>
      </c>
      <c r="E394" s="3" t="n">
        <v>0</v>
      </c>
      <c r="F394" s="24" t="n">
        <v>0</v>
      </c>
    </row>
    <row r="395" customFormat="false" ht="15" hidden="false" customHeight="false" outlineLevel="0" collapsed="false">
      <c r="A395" s="3" t="n">
        <v>394</v>
      </c>
      <c r="B395" s="3" t="n">
        <v>393</v>
      </c>
      <c r="C395" s="3" t="n">
        <v>2</v>
      </c>
      <c r="D395" s="3" t="n">
        <v>0</v>
      </c>
      <c r="E395" s="3" t="n">
        <v>1</v>
      </c>
      <c r="F395" s="24" t="n">
        <v>0</v>
      </c>
    </row>
    <row r="396" customFormat="false" ht="15" hidden="false" customHeight="false" outlineLevel="0" collapsed="false">
      <c r="A396" s="3" t="n">
        <v>395</v>
      </c>
      <c r="B396" s="3" t="n">
        <v>394</v>
      </c>
      <c r="C396" s="3" t="n">
        <v>2</v>
      </c>
      <c r="D396" s="3" t="n">
        <v>0</v>
      </c>
      <c r="E396" s="3" t="n">
        <v>2</v>
      </c>
      <c r="F396" s="24" t="n">
        <v>0</v>
      </c>
    </row>
    <row r="397" customFormat="false" ht="15" hidden="false" customHeight="false" outlineLevel="0" collapsed="false">
      <c r="A397" s="3" t="n">
        <v>396</v>
      </c>
      <c r="B397" s="3" t="n">
        <v>395</v>
      </c>
      <c r="C397" s="3" t="n">
        <v>2</v>
      </c>
      <c r="D397" s="3" t="n">
        <v>0</v>
      </c>
      <c r="E397" s="3" t="n">
        <v>3</v>
      </c>
      <c r="F397" s="24" t="n">
        <v>0</v>
      </c>
    </row>
    <row r="398" customFormat="false" ht="15" hidden="false" customHeight="false" outlineLevel="0" collapsed="false">
      <c r="A398" s="3" t="n">
        <v>397</v>
      </c>
      <c r="B398" s="3" t="n">
        <v>396</v>
      </c>
      <c r="C398" s="3" t="n">
        <v>2</v>
      </c>
      <c r="D398" s="3" t="n">
        <v>0</v>
      </c>
      <c r="E398" s="3" t="n">
        <v>4</v>
      </c>
      <c r="F398" s="24" t="n">
        <v>0</v>
      </c>
    </row>
    <row r="399" customFormat="false" ht="15" hidden="false" customHeight="false" outlineLevel="0" collapsed="false">
      <c r="A399" s="3" t="n">
        <v>398</v>
      </c>
      <c r="B399" s="3" t="n">
        <v>397</v>
      </c>
      <c r="C399" s="3" t="n">
        <v>2</v>
      </c>
      <c r="D399" s="3" t="n">
        <v>0</v>
      </c>
      <c r="E399" s="3" t="n">
        <v>5</v>
      </c>
      <c r="F399" s="24" t="n">
        <v>0</v>
      </c>
    </row>
    <row r="400" customFormat="false" ht="15" hidden="false" customHeight="false" outlineLevel="0" collapsed="false">
      <c r="A400" s="3" t="n">
        <v>399</v>
      </c>
      <c r="B400" s="3" t="n">
        <v>398</v>
      </c>
      <c r="C400" s="3" t="n">
        <v>2</v>
      </c>
      <c r="D400" s="3" t="n">
        <v>0</v>
      </c>
      <c r="E400" s="3" t="n">
        <v>6</v>
      </c>
      <c r="F400" s="24" t="n">
        <v>0</v>
      </c>
    </row>
    <row r="401" customFormat="false" ht="15" hidden="false" customHeight="false" outlineLevel="0" collapsed="false">
      <c r="A401" s="3" t="n">
        <v>400</v>
      </c>
      <c r="B401" s="3" t="n">
        <v>399</v>
      </c>
      <c r="C401" s="3" t="n">
        <v>2</v>
      </c>
      <c r="D401" s="3" t="n">
        <v>0</v>
      </c>
      <c r="E401" s="3" t="n">
        <v>7</v>
      </c>
      <c r="F401" s="24" t="n">
        <v>0</v>
      </c>
    </row>
    <row r="402" customFormat="false" ht="15" hidden="false" customHeight="false" outlineLevel="0" collapsed="false">
      <c r="A402" s="3" t="n">
        <v>401</v>
      </c>
      <c r="B402" s="3" t="n">
        <v>400</v>
      </c>
      <c r="C402" s="3" t="n">
        <v>2</v>
      </c>
      <c r="D402" s="3" t="n">
        <v>0</v>
      </c>
      <c r="E402" s="3" t="n">
        <v>8</v>
      </c>
      <c r="F402" s="24" t="n">
        <v>0</v>
      </c>
    </row>
    <row r="403" customFormat="false" ht="15" hidden="false" customHeight="false" outlineLevel="0" collapsed="false">
      <c r="A403" s="3" t="n">
        <v>402</v>
      </c>
      <c r="B403" s="3" t="n">
        <v>401</v>
      </c>
      <c r="C403" s="3" t="n">
        <v>2</v>
      </c>
      <c r="D403" s="3" t="n">
        <v>0</v>
      </c>
      <c r="E403" s="3" t="n">
        <v>9</v>
      </c>
      <c r="F403" s="24" t="n">
        <v>0</v>
      </c>
    </row>
    <row r="404" customFormat="false" ht="15" hidden="false" customHeight="false" outlineLevel="0" collapsed="false">
      <c r="A404" s="3" t="n">
        <v>403</v>
      </c>
      <c r="B404" s="3" t="n">
        <v>402</v>
      </c>
      <c r="C404" s="3" t="n">
        <v>2</v>
      </c>
      <c r="D404" s="3" t="n">
        <v>0</v>
      </c>
      <c r="E404" s="3" t="n">
        <v>10</v>
      </c>
      <c r="F404" s="24" t="n">
        <v>0</v>
      </c>
    </row>
    <row r="405" customFormat="false" ht="15" hidden="false" customHeight="false" outlineLevel="0" collapsed="false">
      <c r="A405" s="3" t="n">
        <v>404</v>
      </c>
      <c r="B405" s="3" t="n">
        <v>403</v>
      </c>
      <c r="C405" s="3" t="n">
        <v>2</v>
      </c>
      <c r="D405" s="3" t="n">
        <v>0</v>
      </c>
      <c r="E405" s="3" t="n">
        <v>11</v>
      </c>
      <c r="F405" s="24" t="n">
        <v>0</v>
      </c>
    </row>
    <row r="406" customFormat="false" ht="15" hidden="false" customHeight="false" outlineLevel="0" collapsed="false">
      <c r="A406" s="3" t="n">
        <v>405</v>
      </c>
      <c r="B406" s="3" t="n">
        <v>404</v>
      </c>
      <c r="C406" s="3" t="n">
        <v>2</v>
      </c>
      <c r="D406" s="3" t="n">
        <v>0</v>
      </c>
      <c r="E406" s="3" t="n">
        <v>12</v>
      </c>
      <c r="F406" s="24" t="n">
        <v>0</v>
      </c>
    </row>
    <row r="407" customFormat="false" ht="15" hidden="false" customHeight="false" outlineLevel="0" collapsed="false">
      <c r="A407" s="3" t="n">
        <v>406</v>
      </c>
      <c r="B407" s="3" t="n">
        <v>405</v>
      </c>
      <c r="C407" s="3" t="n">
        <v>2</v>
      </c>
      <c r="D407" s="3" t="n">
        <v>0</v>
      </c>
      <c r="E407" s="3" t="n">
        <v>13</v>
      </c>
      <c r="F407" s="24" t="n">
        <v>0.387737483</v>
      </c>
    </row>
    <row r="408" customFormat="false" ht="15" hidden="false" customHeight="false" outlineLevel="0" collapsed="false">
      <c r="A408" s="3" t="n">
        <v>407</v>
      </c>
      <c r="B408" s="3" t="n">
        <v>406</v>
      </c>
      <c r="C408" s="3" t="n">
        <v>2</v>
      </c>
      <c r="D408" s="3" t="n">
        <v>1</v>
      </c>
      <c r="E408" s="3" t="n">
        <v>0</v>
      </c>
      <c r="F408" s="24" t="n">
        <v>0</v>
      </c>
    </row>
    <row r="409" customFormat="false" ht="15" hidden="false" customHeight="false" outlineLevel="0" collapsed="false">
      <c r="A409" s="3" t="n">
        <v>408</v>
      </c>
      <c r="B409" s="3" t="n">
        <v>407</v>
      </c>
      <c r="C409" s="3" t="n">
        <v>2</v>
      </c>
      <c r="D409" s="3" t="n">
        <v>1</v>
      </c>
      <c r="E409" s="3" t="n">
        <v>1</v>
      </c>
      <c r="F409" s="24" t="n">
        <v>0</v>
      </c>
    </row>
    <row r="410" customFormat="false" ht="15" hidden="false" customHeight="false" outlineLevel="0" collapsed="false">
      <c r="A410" s="3" t="n">
        <v>409</v>
      </c>
      <c r="B410" s="3" t="n">
        <v>408</v>
      </c>
      <c r="C410" s="3" t="n">
        <v>2</v>
      </c>
      <c r="D410" s="3" t="n">
        <v>1</v>
      </c>
      <c r="E410" s="3" t="n">
        <v>2</v>
      </c>
      <c r="F410" s="24" t="n">
        <v>0</v>
      </c>
    </row>
    <row r="411" customFormat="false" ht="15" hidden="false" customHeight="false" outlineLevel="0" collapsed="false">
      <c r="A411" s="3" t="n">
        <v>410</v>
      </c>
      <c r="B411" s="3" t="n">
        <v>409</v>
      </c>
      <c r="C411" s="3" t="n">
        <v>2</v>
      </c>
      <c r="D411" s="3" t="n">
        <v>1</v>
      </c>
      <c r="E411" s="3" t="n">
        <v>3</v>
      </c>
      <c r="F411" s="24" t="n">
        <v>0</v>
      </c>
    </row>
    <row r="412" customFormat="false" ht="15" hidden="false" customHeight="false" outlineLevel="0" collapsed="false">
      <c r="A412" s="3" t="n">
        <v>411</v>
      </c>
      <c r="B412" s="3" t="n">
        <v>410</v>
      </c>
      <c r="C412" s="3" t="n">
        <v>2</v>
      </c>
      <c r="D412" s="3" t="n">
        <v>1</v>
      </c>
      <c r="E412" s="3" t="n">
        <v>4</v>
      </c>
      <c r="F412" s="24" t="n">
        <v>0</v>
      </c>
    </row>
    <row r="413" customFormat="false" ht="15" hidden="false" customHeight="false" outlineLevel="0" collapsed="false">
      <c r="A413" s="3" t="n">
        <v>412</v>
      </c>
      <c r="B413" s="3" t="n">
        <v>411</v>
      </c>
      <c r="C413" s="3" t="n">
        <v>2</v>
      </c>
      <c r="D413" s="3" t="n">
        <v>1</v>
      </c>
      <c r="E413" s="3" t="n">
        <v>5</v>
      </c>
      <c r="F413" s="24" t="n">
        <v>0</v>
      </c>
    </row>
    <row r="414" customFormat="false" ht="15" hidden="false" customHeight="false" outlineLevel="0" collapsed="false">
      <c r="A414" s="3" t="n">
        <v>413</v>
      </c>
      <c r="B414" s="3" t="n">
        <v>412</v>
      </c>
      <c r="C414" s="3" t="n">
        <v>2</v>
      </c>
      <c r="D414" s="3" t="n">
        <v>1</v>
      </c>
      <c r="E414" s="3" t="n">
        <v>6</v>
      </c>
      <c r="F414" s="24" t="n">
        <v>0</v>
      </c>
    </row>
    <row r="415" customFormat="false" ht="15" hidden="false" customHeight="false" outlineLevel="0" collapsed="false">
      <c r="A415" s="3" t="n">
        <v>414</v>
      </c>
      <c r="B415" s="3" t="n">
        <v>413</v>
      </c>
      <c r="C415" s="3" t="n">
        <v>2</v>
      </c>
      <c r="D415" s="3" t="n">
        <v>1</v>
      </c>
      <c r="E415" s="3" t="n">
        <v>7</v>
      </c>
      <c r="F415" s="24" t="n">
        <v>0</v>
      </c>
    </row>
    <row r="416" customFormat="false" ht="15" hidden="false" customHeight="false" outlineLevel="0" collapsed="false">
      <c r="A416" s="3" t="n">
        <v>415</v>
      </c>
      <c r="B416" s="3" t="n">
        <v>414</v>
      </c>
      <c r="C416" s="3" t="n">
        <v>2</v>
      </c>
      <c r="D416" s="3" t="n">
        <v>1</v>
      </c>
      <c r="E416" s="3" t="n">
        <v>8</v>
      </c>
      <c r="F416" s="24" t="n">
        <v>0</v>
      </c>
    </row>
    <row r="417" customFormat="false" ht="15" hidden="false" customHeight="false" outlineLevel="0" collapsed="false">
      <c r="A417" s="3" t="n">
        <v>416</v>
      </c>
      <c r="B417" s="3" t="n">
        <v>415</v>
      </c>
      <c r="C417" s="3" t="n">
        <v>2</v>
      </c>
      <c r="D417" s="3" t="n">
        <v>1</v>
      </c>
      <c r="E417" s="3" t="n">
        <v>9</v>
      </c>
      <c r="F417" s="24" t="n">
        <v>0</v>
      </c>
    </row>
    <row r="418" customFormat="false" ht="15" hidden="false" customHeight="false" outlineLevel="0" collapsed="false">
      <c r="A418" s="3" t="n">
        <v>417</v>
      </c>
      <c r="B418" s="3" t="n">
        <v>416</v>
      </c>
      <c r="C418" s="3" t="n">
        <v>2</v>
      </c>
      <c r="D418" s="3" t="n">
        <v>1</v>
      </c>
      <c r="E418" s="3" t="n">
        <v>10</v>
      </c>
      <c r="F418" s="24" t="n">
        <v>0</v>
      </c>
    </row>
    <row r="419" customFormat="false" ht="15" hidden="false" customHeight="false" outlineLevel="0" collapsed="false">
      <c r="A419" s="3" t="n">
        <v>418</v>
      </c>
      <c r="B419" s="3" t="n">
        <v>417</v>
      </c>
      <c r="C419" s="3" t="n">
        <v>2</v>
      </c>
      <c r="D419" s="3" t="n">
        <v>1</v>
      </c>
      <c r="E419" s="3" t="n">
        <v>11</v>
      </c>
      <c r="F419" s="24" t="n">
        <v>0</v>
      </c>
    </row>
    <row r="420" customFormat="false" ht="15" hidden="false" customHeight="false" outlineLevel="0" collapsed="false">
      <c r="A420" s="3" t="n">
        <v>419</v>
      </c>
      <c r="B420" s="3" t="n">
        <v>418</v>
      </c>
      <c r="C420" s="3" t="n">
        <v>2</v>
      </c>
      <c r="D420" s="3" t="n">
        <v>1</v>
      </c>
      <c r="E420" s="3" t="n">
        <v>12</v>
      </c>
      <c r="F420" s="24" t="n">
        <v>0</v>
      </c>
    </row>
    <row r="421" customFormat="false" ht="15" hidden="false" customHeight="false" outlineLevel="0" collapsed="false">
      <c r="A421" s="3" t="n">
        <v>420</v>
      </c>
      <c r="B421" s="3" t="n">
        <v>419</v>
      </c>
      <c r="C421" s="3" t="n">
        <v>2</v>
      </c>
      <c r="D421" s="3" t="n">
        <v>1</v>
      </c>
      <c r="E421" s="3" t="n">
        <v>13</v>
      </c>
      <c r="F421" s="24" t="n">
        <v>0.387737483</v>
      </c>
    </row>
    <row r="422" customFormat="false" ht="15" hidden="false" customHeight="false" outlineLevel="0" collapsed="false">
      <c r="A422" s="3" t="n">
        <v>421</v>
      </c>
      <c r="B422" s="3" t="n">
        <v>420</v>
      </c>
      <c r="C422" s="3" t="n">
        <v>2</v>
      </c>
      <c r="D422" s="3" t="n">
        <v>2</v>
      </c>
      <c r="E422" s="3" t="n">
        <v>0</v>
      </c>
      <c r="F422" s="24" t="n">
        <v>0</v>
      </c>
    </row>
    <row r="423" customFormat="false" ht="15" hidden="false" customHeight="false" outlineLevel="0" collapsed="false">
      <c r="A423" s="3" t="n">
        <v>422</v>
      </c>
      <c r="B423" s="3" t="n">
        <v>421</v>
      </c>
      <c r="C423" s="3" t="n">
        <v>2</v>
      </c>
      <c r="D423" s="3" t="n">
        <v>2</v>
      </c>
      <c r="E423" s="3" t="n">
        <v>1</v>
      </c>
      <c r="F423" s="24" t="n">
        <v>0</v>
      </c>
    </row>
    <row r="424" customFormat="false" ht="15" hidden="false" customHeight="false" outlineLevel="0" collapsed="false">
      <c r="A424" s="3" t="n">
        <v>423</v>
      </c>
      <c r="B424" s="3" t="n">
        <v>422</v>
      </c>
      <c r="C424" s="3" t="n">
        <v>2</v>
      </c>
      <c r="D424" s="3" t="n">
        <v>2</v>
      </c>
      <c r="E424" s="3" t="n">
        <v>2</v>
      </c>
      <c r="F424" s="24" t="n">
        <v>0</v>
      </c>
    </row>
    <row r="425" customFormat="false" ht="15" hidden="false" customHeight="false" outlineLevel="0" collapsed="false">
      <c r="A425" s="3" t="n">
        <v>424</v>
      </c>
      <c r="B425" s="3" t="n">
        <v>423</v>
      </c>
      <c r="C425" s="3" t="n">
        <v>2</v>
      </c>
      <c r="D425" s="3" t="n">
        <v>2</v>
      </c>
      <c r="E425" s="3" t="n">
        <v>3</v>
      </c>
      <c r="F425" s="24" t="n">
        <v>0</v>
      </c>
    </row>
    <row r="426" customFormat="false" ht="15" hidden="false" customHeight="false" outlineLevel="0" collapsed="false">
      <c r="A426" s="3" t="n">
        <v>425</v>
      </c>
      <c r="B426" s="3" t="n">
        <v>424</v>
      </c>
      <c r="C426" s="3" t="n">
        <v>2</v>
      </c>
      <c r="D426" s="3" t="n">
        <v>2</v>
      </c>
      <c r="E426" s="3" t="n">
        <v>4</v>
      </c>
      <c r="F426" s="24" t="n">
        <v>0</v>
      </c>
    </row>
    <row r="427" customFormat="false" ht="15" hidden="false" customHeight="false" outlineLevel="0" collapsed="false">
      <c r="A427" s="3" t="n">
        <v>426</v>
      </c>
      <c r="B427" s="3" t="n">
        <v>425</v>
      </c>
      <c r="C427" s="3" t="n">
        <v>2</v>
      </c>
      <c r="D427" s="3" t="n">
        <v>2</v>
      </c>
      <c r="E427" s="3" t="n">
        <v>5</v>
      </c>
      <c r="F427" s="24" t="n">
        <v>0</v>
      </c>
    </row>
    <row r="428" customFormat="false" ht="15" hidden="false" customHeight="false" outlineLevel="0" collapsed="false">
      <c r="A428" s="3" t="n">
        <v>427</v>
      </c>
      <c r="B428" s="3" t="n">
        <v>426</v>
      </c>
      <c r="C428" s="3" t="n">
        <v>2</v>
      </c>
      <c r="D428" s="3" t="n">
        <v>2</v>
      </c>
      <c r="E428" s="3" t="n">
        <v>6</v>
      </c>
      <c r="F428" s="24" t="n">
        <v>0</v>
      </c>
    </row>
    <row r="429" customFormat="false" ht="15" hidden="false" customHeight="false" outlineLevel="0" collapsed="false">
      <c r="A429" s="3" t="n">
        <v>428</v>
      </c>
      <c r="B429" s="3" t="n">
        <v>427</v>
      </c>
      <c r="C429" s="3" t="n">
        <v>2</v>
      </c>
      <c r="D429" s="3" t="n">
        <v>2</v>
      </c>
      <c r="E429" s="3" t="n">
        <v>7</v>
      </c>
      <c r="F429" s="24" t="n">
        <v>0</v>
      </c>
    </row>
    <row r="430" customFormat="false" ht="15" hidden="false" customHeight="false" outlineLevel="0" collapsed="false">
      <c r="A430" s="3" t="n">
        <v>429</v>
      </c>
      <c r="B430" s="3" t="n">
        <v>428</v>
      </c>
      <c r="C430" s="3" t="n">
        <v>2</v>
      </c>
      <c r="D430" s="3" t="n">
        <v>2</v>
      </c>
      <c r="E430" s="3" t="n">
        <v>8</v>
      </c>
      <c r="F430" s="24" t="n">
        <v>0</v>
      </c>
    </row>
    <row r="431" customFormat="false" ht="15" hidden="false" customHeight="false" outlineLevel="0" collapsed="false">
      <c r="A431" s="3" t="n">
        <v>430</v>
      </c>
      <c r="B431" s="3" t="n">
        <v>429</v>
      </c>
      <c r="C431" s="3" t="n">
        <v>2</v>
      </c>
      <c r="D431" s="3" t="n">
        <v>2</v>
      </c>
      <c r="E431" s="3" t="n">
        <v>9</v>
      </c>
      <c r="F431" s="24" t="n">
        <v>0</v>
      </c>
    </row>
    <row r="432" customFormat="false" ht="15" hidden="false" customHeight="false" outlineLevel="0" collapsed="false">
      <c r="A432" s="3" t="n">
        <v>431</v>
      </c>
      <c r="B432" s="3" t="n">
        <v>430</v>
      </c>
      <c r="C432" s="3" t="n">
        <v>2</v>
      </c>
      <c r="D432" s="3" t="n">
        <v>2</v>
      </c>
      <c r="E432" s="3" t="n">
        <v>10</v>
      </c>
      <c r="F432" s="24" t="n">
        <v>0</v>
      </c>
    </row>
    <row r="433" customFormat="false" ht="15" hidden="false" customHeight="false" outlineLevel="0" collapsed="false">
      <c r="A433" s="3" t="n">
        <v>432</v>
      </c>
      <c r="B433" s="3" t="n">
        <v>431</v>
      </c>
      <c r="C433" s="3" t="n">
        <v>2</v>
      </c>
      <c r="D433" s="3" t="n">
        <v>2</v>
      </c>
      <c r="E433" s="3" t="n">
        <v>11</v>
      </c>
      <c r="F433" s="24" t="n">
        <v>0</v>
      </c>
    </row>
    <row r="434" customFormat="false" ht="15" hidden="false" customHeight="false" outlineLevel="0" collapsed="false">
      <c r="A434" s="3" t="n">
        <v>433</v>
      </c>
      <c r="B434" s="3" t="n">
        <v>432</v>
      </c>
      <c r="C434" s="3" t="n">
        <v>2</v>
      </c>
      <c r="D434" s="3" t="n">
        <v>2</v>
      </c>
      <c r="E434" s="3" t="n">
        <v>12</v>
      </c>
      <c r="F434" s="24" t="n">
        <v>0</v>
      </c>
    </row>
    <row r="435" customFormat="false" ht="15" hidden="false" customHeight="false" outlineLevel="0" collapsed="false">
      <c r="A435" s="3" t="n">
        <v>434</v>
      </c>
      <c r="B435" s="3" t="n">
        <v>433</v>
      </c>
      <c r="C435" s="3" t="n">
        <v>2</v>
      </c>
      <c r="D435" s="3" t="n">
        <v>2</v>
      </c>
      <c r="E435" s="3" t="n">
        <v>13</v>
      </c>
      <c r="F435" s="24" t="n">
        <v>0.387737483</v>
      </c>
    </row>
    <row r="436" customFormat="false" ht="15" hidden="false" customHeight="false" outlineLevel="0" collapsed="false">
      <c r="A436" s="3" t="n">
        <v>435</v>
      </c>
      <c r="B436" s="3" t="n">
        <v>434</v>
      </c>
      <c r="C436" s="3" t="n">
        <v>2</v>
      </c>
      <c r="D436" s="3" t="n">
        <v>3</v>
      </c>
      <c r="E436" s="3" t="n">
        <v>0</v>
      </c>
      <c r="F436" s="24" t="n">
        <v>0</v>
      </c>
    </row>
    <row r="437" customFormat="false" ht="15" hidden="false" customHeight="false" outlineLevel="0" collapsed="false">
      <c r="A437" s="3" t="n">
        <v>436</v>
      </c>
      <c r="B437" s="3" t="n">
        <v>435</v>
      </c>
      <c r="C437" s="3" t="n">
        <v>2</v>
      </c>
      <c r="D437" s="3" t="n">
        <v>3</v>
      </c>
      <c r="E437" s="3" t="n">
        <v>1</v>
      </c>
      <c r="F437" s="24" t="n">
        <v>0</v>
      </c>
    </row>
    <row r="438" customFormat="false" ht="15" hidden="false" customHeight="false" outlineLevel="0" collapsed="false">
      <c r="A438" s="3" t="n">
        <v>437</v>
      </c>
      <c r="B438" s="3" t="n">
        <v>436</v>
      </c>
      <c r="C438" s="3" t="n">
        <v>2</v>
      </c>
      <c r="D438" s="3" t="n">
        <v>3</v>
      </c>
      <c r="E438" s="3" t="n">
        <v>2</v>
      </c>
      <c r="F438" s="24" t="n">
        <v>1.48653948</v>
      </c>
    </row>
    <row r="439" customFormat="false" ht="15" hidden="false" customHeight="false" outlineLevel="0" collapsed="false">
      <c r="A439" s="3" t="n">
        <v>438</v>
      </c>
      <c r="B439" s="3" t="n">
        <v>437</v>
      </c>
      <c r="C439" s="3" t="n">
        <v>2</v>
      </c>
      <c r="D439" s="3" t="n">
        <v>3</v>
      </c>
      <c r="E439" s="3" t="n">
        <v>3</v>
      </c>
      <c r="F439" s="24" t="n">
        <v>3.08932257</v>
      </c>
    </row>
    <row r="440" customFormat="false" ht="15" hidden="false" customHeight="false" outlineLevel="0" collapsed="false">
      <c r="A440" s="3" t="n">
        <v>439</v>
      </c>
      <c r="B440" s="3" t="n">
        <v>438</v>
      </c>
      <c r="C440" s="3" t="n">
        <v>2</v>
      </c>
      <c r="D440" s="3" t="n">
        <v>3</v>
      </c>
      <c r="E440" s="3" t="n">
        <v>4</v>
      </c>
      <c r="F440" s="24" t="n">
        <v>0</v>
      </c>
    </row>
    <row r="441" customFormat="false" ht="15" hidden="false" customHeight="false" outlineLevel="0" collapsed="false">
      <c r="A441" s="3" t="n">
        <v>440</v>
      </c>
      <c r="B441" s="3" t="n">
        <v>439</v>
      </c>
      <c r="C441" s="3" t="n">
        <v>2</v>
      </c>
      <c r="D441" s="3" t="n">
        <v>3</v>
      </c>
      <c r="E441" s="3" t="n">
        <v>5</v>
      </c>
      <c r="F441" s="24" t="n">
        <v>0</v>
      </c>
    </row>
    <row r="442" customFormat="false" ht="15" hidden="false" customHeight="false" outlineLevel="0" collapsed="false">
      <c r="A442" s="3" t="n">
        <v>441</v>
      </c>
      <c r="B442" s="3" t="n">
        <v>440</v>
      </c>
      <c r="C442" s="3" t="n">
        <v>2</v>
      </c>
      <c r="D442" s="3" t="n">
        <v>3</v>
      </c>
      <c r="E442" s="3" t="n">
        <v>6</v>
      </c>
      <c r="F442" s="24" t="n">
        <v>0.171371073</v>
      </c>
    </row>
    <row r="443" customFormat="false" ht="15" hidden="false" customHeight="false" outlineLevel="0" collapsed="false">
      <c r="A443" s="3" t="n">
        <v>442</v>
      </c>
      <c r="B443" s="3" t="n">
        <v>441</v>
      </c>
      <c r="C443" s="3" t="n">
        <v>2</v>
      </c>
      <c r="D443" s="3" t="n">
        <v>3</v>
      </c>
      <c r="E443" s="3" t="n">
        <v>7</v>
      </c>
      <c r="F443" s="24" t="n">
        <v>0.171371073</v>
      </c>
    </row>
    <row r="444" customFormat="false" ht="15" hidden="false" customHeight="false" outlineLevel="0" collapsed="false">
      <c r="A444" s="3" t="n">
        <v>443</v>
      </c>
      <c r="B444" s="3" t="n">
        <v>442</v>
      </c>
      <c r="C444" s="3" t="n">
        <v>2</v>
      </c>
      <c r="D444" s="3" t="n">
        <v>3</v>
      </c>
      <c r="E444" s="3" t="n">
        <v>8</v>
      </c>
      <c r="F444" s="24" t="n">
        <v>0.171371073</v>
      </c>
    </row>
    <row r="445" customFormat="false" ht="15" hidden="false" customHeight="false" outlineLevel="0" collapsed="false">
      <c r="A445" s="3" t="n">
        <v>444</v>
      </c>
      <c r="B445" s="3" t="n">
        <v>443</v>
      </c>
      <c r="C445" s="3" t="n">
        <v>2</v>
      </c>
      <c r="D445" s="3" t="n">
        <v>3</v>
      </c>
      <c r="E445" s="3" t="n">
        <v>9</v>
      </c>
      <c r="F445" s="24" t="n">
        <v>0.171371073</v>
      </c>
    </row>
    <row r="446" customFormat="false" ht="15" hidden="false" customHeight="false" outlineLevel="0" collapsed="false">
      <c r="A446" s="3" t="n">
        <v>445</v>
      </c>
      <c r="B446" s="3" t="n">
        <v>444</v>
      </c>
      <c r="C446" s="3" t="n">
        <v>2</v>
      </c>
      <c r="D446" s="3" t="n">
        <v>3</v>
      </c>
      <c r="E446" s="3" t="n">
        <v>10</v>
      </c>
      <c r="F446" s="24" t="n">
        <v>0</v>
      </c>
    </row>
    <row r="447" customFormat="false" ht="15" hidden="false" customHeight="false" outlineLevel="0" collapsed="false">
      <c r="A447" s="3" t="n">
        <v>446</v>
      </c>
      <c r="B447" s="3" t="n">
        <v>445</v>
      </c>
      <c r="C447" s="3" t="n">
        <v>2</v>
      </c>
      <c r="D447" s="3" t="n">
        <v>3</v>
      </c>
      <c r="E447" s="3" t="n">
        <v>11</v>
      </c>
      <c r="F447" s="24" t="n">
        <v>0</v>
      </c>
    </row>
    <row r="448" customFormat="false" ht="15" hidden="false" customHeight="false" outlineLevel="0" collapsed="false">
      <c r="A448" s="3" t="n">
        <v>447</v>
      </c>
      <c r="B448" s="3" t="n">
        <v>446</v>
      </c>
      <c r="C448" s="3" t="n">
        <v>2</v>
      </c>
      <c r="D448" s="3" t="n">
        <v>3</v>
      </c>
      <c r="E448" s="3" t="n">
        <v>12</v>
      </c>
      <c r="F448" s="24" t="n">
        <v>0</v>
      </c>
    </row>
    <row r="449" customFormat="false" ht="15" hidden="false" customHeight="false" outlineLevel="0" collapsed="false">
      <c r="A449" s="3" t="n">
        <v>448</v>
      </c>
      <c r="B449" s="3" t="n">
        <v>447</v>
      </c>
      <c r="C449" s="3" t="n">
        <v>2</v>
      </c>
      <c r="D449" s="3" t="n">
        <v>3</v>
      </c>
      <c r="E449" s="3" t="n">
        <v>13</v>
      </c>
      <c r="F449" s="24" t="n">
        <v>0.387737483</v>
      </c>
    </row>
    <row r="450" customFormat="false" ht="15" hidden="false" customHeight="false" outlineLevel="0" collapsed="false">
      <c r="A450" s="3" t="n">
        <v>449</v>
      </c>
      <c r="B450" s="3" t="n">
        <v>448</v>
      </c>
      <c r="C450" s="3" t="n">
        <v>2</v>
      </c>
      <c r="D450" s="3" t="n">
        <v>4</v>
      </c>
      <c r="E450" s="3" t="n">
        <v>0</v>
      </c>
      <c r="F450" s="24" t="n">
        <v>0</v>
      </c>
    </row>
    <row r="451" customFormat="false" ht="15" hidden="false" customHeight="false" outlineLevel="0" collapsed="false">
      <c r="A451" s="3" t="n">
        <v>450</v>
      </c>
      <c r="B451" s="3" t="n">
        <v>449</v>
      </c>
      <c r="C451" s="3" t="n">
        <v>2</v>
      </c>
      <c r="D451" s="3" t="n">
        <v>4</v>
      </c>
      <c r="E451" s="3" t="n">
        <v>1</v>
      </c>
      <c r="F451" s="24" t="n">
        <v>0</v>
      </c>
    </row>
    <row r="452" customFormat="false" ht="15" hidden="false" customHeight="false" outlineLevel="0" collapsed="false">
      <c r="A452" s="3" t="n">
        <v>451</v>
      </c>
      <c r="B452" s="3" t="n">
        <v>450</v>
      </c>
      <c r="C452" s="3" t="n">
        <v>2</v>
      </c>
      <c r="D452" s="3" t="n">
        <v>4</v>
      </c>
      <c r="E452" s="3" t="n">
        <v>2</v>
      </c>
      <c r="F452" s="24" t="n">
        <v>2.08122587</v>
      </c>
    </row>
    <row r="453" customFormat="false" ht="15" hidden="false" customHeight="false" outlineLevel="0" collapsed="false">
      <c r="A453" s="3" t="n">
        <v>452</v>
      </c>
      <c r="B453" s="3" t="n">
        <v>451</v>
      </c>
      <c r="C453" s="3" t="n">
        <v>2</v>
      </c>
      <c r="D453" s="3" t="n">
        <v>4</v>
      </c>
      <c r="E453" s="3" t="n">
        <v>3</v>
      </c>
      <c r="F453" s="24" t="n">
        <v>2.83156371</v>
      </c>
    </row>
    <row r="454" customFormat="false" ht="15" hidden="false" customHeight="false" outlineLevel="0" collapsed="false">
      <c r="A454" s="3" t="n">
        <v>453</v>
      </c>
      <c r="B454" s="3" t="n">
        <v>452</v>
      </c>
      <c r="C454" s="3" t="n">
        <v>2</v>
      </c>
      <c r="D454" s="3" t="n">
        <v>4</v>
      </c>
      <c r="E454" s="3" t="n">
        <v>4</v>
      </c>
      <c r="F454" s="24" t="n">
        <v>0</v>
      </c>
    </row>
    <row r="455" customFormat="false" ht="15" hidden="false" customHeight="false" outlineLevel="0" collapsed="false">
      <c r="A455" s="3" t="n">
        <v>454</v>
      </c>
      <c r="B455" s="3" t="n">
        <v>453</v>
      </c>
      <c r="C455" s="3" t="n">
        <v>2</v>
      </c>
      <c r="D455" s="3" t="n">
        <v>4</v>
      </c>
      <c r="E455" s="3" t="n">
        <v>5</v>
      </c>
      <c r="F455" s="24" t="n">
        <v>0</v>
      </c>
    </row>
    <row r="456" customFormat="false" ht="15" hidden="false" customHeight="false" outlineLevel="0" collapsed="false">
      <c r="A456" s="3" t="n">
        <v>455</v>
      </c>
      <c r="B456" s="3" t="n">
        <v>454</v>
      </c>
      <c r="C456" s="3" t="n">
        <v>2</v>
      </c>
      <c r="D456" s="3" t="n">
        <v>4</v>
      </c>
      <c r="E456" s="3" t="n">
        <v>6</v>
      </c>
      <c r="F456" s="24" t="n">
        <v>0</v>
      </c>
    </row>
    <row r="457" customFormat="false" ht="15" hidden="false" customHeight="false" outlineLevel="0" collapsed="false">
      <c r="A457" s="3" t="n">
        <v>456</v>
      </c>
      <c r="B457" s="3" t="n">
        <v>455</v>
      </c>
      <c r="C457" s="3" t="n">
        <v>2</v>
      </c>
      <c r="D457" s="3" t="n">
        <v>4</v>
      </c>
      <c r="E457" s="3" t="n">
        <v>7</v>
      </c>
      <c r="F457" s="24" t="n">
        <v>0.239636987</v>
      </c>
    </row>
    <row r="458" customFormat="false" ht="15" hidden="false" customHeight="false" outlineLevel="0" collapsed="false">
      <c r="A458" s="3" t="n">
        <v>457</v>
      </c>
      <c r="B458" s="3" t="n">
        <v>456</v>
      </c>
      <c r="C458" s="3" t="n">
        <v>2</v>
      </c>
      <c r="D458" s="3" t="n">
        <v>4</v>
      </c>
      <c r="E458" s="3" t="n">
        <v>8</v>
      </c>
      <c r="F458" s="24" t="n">
        <v>0.0402303636</v>
      </c>
    </row>
    <row r="459" customFormat="false" ht="15" hidden="false" customHeight="false" outlineLevel="0" collapsed="false">
      <c r="A459" s="3" t="n">
        <v>458</v>
      </c>
      <c r="B459" s="3" t="n">
        <v>457</v>
      </c>
      <c r="C459" s="3" t="n">
        <v>2</v>
      </c>
      <c r="D459" s="3" t="n">
        <v>4</v>
      </c>
      <c r="E459" s="3" t="n">
        <v>9</v>
      </c>
      <c r="F459" s="24" t="n">
        <v>0.898993373</v>
      </c>
    </row>
    <row r="460" customFormat="false" ht="15" hidden="false" customHeight="false" outlineLevel="0" collapsed="false">
      <c r="A460" s="3" t="n">
        <v>459</v>
      </c>
      <c r="B460" s="3" t="n">
        <v>458</v>
      </c>
      <c r="C460" s="3" t="n">
        <v>2</v>
      </c>
      <c r="D460" s="3" t="n">
        <v>4</v>
      </c>
      <c r="E460" s="3" t="n">
        <v>10</v>
      </c>
      <c r="F460" s="24" t="n">
        <v>0</v>
      </c>
    </row>
    <row r="461" customFormat="false" ht="15" hidden="false" customHeight="false" outlineLevel="0" collapsed="false">
      <c r="A461" s="3" t="n">
        <v>460</v>
      </c>
      <c r="B461" s="3" t="n">
        <v>459</v>
      </c>
      <c r="C461" s="3" t="n">
        <v>2</v>
      </c>
      <c r="D461" s="3" t="n">
        <v>4</v>
      </c>
      <c r="E461" s="3" t="n">
        <v>11</v>
      </c>
      <c r="F461" s="24" t="n">
        <v>0</v>
      </c>
    </row>
    <row r="462" customFormat="false" ht="15" hidden="false" customHeight="false" outlineLevel="0" collapsed="false">
      <c r="A462" s="3" t="n">
        <v>461</v>
      </c>
      <c r="B462" s="3" t="n">
        <v>460</v>
      </c>
      <c r="C462" s="3" t="n">
        <v>2</v>
      </c>
      <c r="D462" s="3" t="n">
        <v>4</v>
      </c>
      <c r="E462" s="3" t="n">
        <v>12</v>
      </c>
      <c r="F462" s="24" t="n">
        <v>0</v>
      </c>
    </row>
    <row r="463" customFormat="false" ht="15" hidden="false" customHeight="false" outlineLevel="0" collapsed="false">
      <c r="A463" s="3" t="n">
        <v>462</v>
      </c>
      <c r="B463" s="3" t="n">
        <v>461</v>
      </c>
      <c r="C463" s="3" t="n">
        <v>2</v>
      </c>
      <c r="D463" s="3" t="n">
        <v>4</v>
      </c>
      <c r="E463" s="3" t="n">
        <v>13</v>
      </c>
      <c r="F463" s="24" t="n">
        <v>0.387737483</v>
      </c>
    </row>
    <row r="464" customFormat="false" ht="15" hidden="false" customHeight="false" outlineLevel="0" collapsed="false">
      <c r="A464" s="3" t="n">
        <v>463</v>
      </c>
      <c r="B464" s="3" t="n">
        <v>462</v>
      </c>
      <c r="C464" s="3" t="n">
        <v>2</v>
      </c>
      <c r="D464" s="3" t="n">
        <v>5</v>
      </c>
      <c r="E464" s="3" t="n">
        <v>0</v>
      </c>
      <c r="F464" s="24" t="n">
        <v>0</v>
      </c>
    </row>
    <row r="465" customFormat="false" ht="15" hidden="false" customHeight="false" outlineLevel="0" collapsed="false">
      <c r="A465" s="3" t="n">
        <v>464</v>
      </c>
      <c r="B465" s="3" t="n">
        <v>463</v>
      </c>
      <c r="C465" s="3" t="n">
        <v>2</v>
      </c>
      <c r="D465" s="3" t="n">
        <v>5</v>
      </c>
      <c r="E465" s="3" t="n">
        <v>1</v>
      </c>
      <c r="F465" s="24" t="n">
        <v>0</v>
      </c>
    </row>
    <row r="466" customFormat="false" ht="15" hidden="false" customHeight="false" outlineLevel="0" collapsed="false">
      <c r="A466" s="3" t="n">
        <v>465</v>
      </c>
      <c r="B466" s="3" t="n">
        <v>464</v>
      </c>
      <c r="C466" s="3" t="n">
        <v>2</v>
      </c>
      <c r="D466" s="3" t="n">
        <v>5</v>
      </c>
      <c r="E466" s="3" t="n">
        <v>2</v>
      </c>
      <c r="F466" s="24" t="n">
        <v>0.06713368</v>
      </c>
    </row>
    <row r="467" customFormat="false" ht="15" hidden="false" customHeight="false" outlineLevel="0" collapsed="false">
      <c r="A467" s="3" t="n">
        <v>466</v>
      </c>
      <c r="B467" s="3" t="n">
        <v>465</v>
      </c>
      <c r="C467" s="3" t="n">
        <v>2</v>
      </c>
      <c r="D467" s="3" t="n">
        <v>5</v>
      </c>
      <c r="E467" s="3" t="n">
        <v>3</v>
      </c>
      <c r="F467" s="24" t="n">
        <v>0.187325954</v>
      </c>
    </row>
    <row r="468" customFormat="false" ht="15" hidden="false" customHeight="false" outlineLevel="0" collapsed="false">
      <c r="A468" s="3" t="n">
        <v>467</v>
      </c>
      <c r="B468" s="3" t="n">
        <v>466</v>
      </c>
      <c r="C468" s="3" t="n">
        <v>2</v>
      </c>
      <c r="D468" s="3" t="n">
        <v>5</v>
      </c>
      <c r="E468" s="3" t="n">
        <v>4</v>
      </c>
      <c r="F468" s="24" t="n">
        <v>0</v>
      </c>
    </row>
    <row r="469" customFormat="false" ht="15" hidden="false" customHeight="false" outlineLevel="0" collapsed="false">
      <c r="A469" s="3" t="n">
        <v>468</v>
      </c>
      <c r="B469" s="3" t="n">
        <v>467</v>
      </c>
      <c r="C469" s="3" t="n">
        <v>2</v>
      </c>
      <c r="D469" s="3" t="n">
        <v>5</v>
      </c>
      <c r="E469" s="3" t="n">
        <v>5</v>
      </c>
      <c r="F469" s="24" t="n">
        <v>0.0954111516</v>
      </c>
    </row>
    <row r="470" customFormat="false" ht="15" hidden="false" customHeight="false" outlineLevel="0" collapsed="false">
      <c r="A470" s="3" t="n">
        <v>469</v>
      </c>
      <c r="B470" s="3" t="n">
        <v>468</v>
      </c>
      <c r="C470" s="3" t="n">
        <v>2</v>
      </c>
      <c r="D470" s="3" t="n">
        <v>5</v>
      </c>
      <c r="E470" s="3" t="n">
        <v>6</v>
      </c>
      <c r="F470" s="24" t="n">
        <v>0</v>
      </c>
    </row>
    <row r="471" customFormat="false" ht="15" hidden="false" customHeight="false" outlineLevel="0" collapsed="false">
      <c r="A471" s="3" t="n">
        <v>470</v>
      </c>
      <c r="B471" s="3" t="n">
        <v>469</v>
      </c>
      <c r="C471" s="3" t="n">
        <v>2</v>
      </c>
      <c r="D471" s="3" t="n">
        <v>5</v>
      </c>
      <c r="E471" s="3" t="n">
        <v>7</v>
      </c>
      <c r="F471" s="24" t="n">
        <v>0.00563301146</v>
      </c>
    </row>
    <row r="472" customFormat="false" ht="15" hidden="false" customHeight="false" outlineLevel="0" collapsed="false">
      <c r="A472" s="3" t="n">
        <v>471</v>
      </c>
      <c r="B472" s="3" t="n">
        <v>470</v>
      </c>
      <c r="C472" s="3" t="n">
        <v>2</v>
      </c>
      <c r="D472" s="3" t="n">
        <v>5</v>
      </c>
      <c r="E472" s="3" t="n">
        <v>8</v>
      </c>
      <c r="F472" s="24" t="n">
        <v>1.27828228</v>
      </c>
    </row>
    <row r="473" customFormat="false" ht="15" hidden="false" customHeight="false" outlineLevel="0" collapsed="false">
      <c r="A473" s="3" t="n">
        <v>472</v>
      </c>
      <c r="B473" s="3" t="n">
        <v>471</v>
      </c>
      <c r="C473" s="3" t="n">
        <v>2</v>
      </c>
      <c r="D473" s="3" t="n">
        <v>5</v>
      </c>
      <c r="E473" s="3" t="n">
        <v>9</v>
      </c>
      <c r="F473" s="24" t="n">
        <v>3.69244266</v>
      </c>
    </row>
    <row r="474" customFormat="false" ht="15" hidden="false" customHeight="false" outlineLevel="0" collapsed="false">
      <c r="A474" s="3" t="n">
        <v>473</v>
      </c>
      <c r="B474" s="3" t="n">
        <v>472</v>
      </c>
      <c r="C474" s="3" t="n">
        <v>2</v>
      </c>
      <c r="D474" s="3" t="n">
        <v>5</v>
      </c>
      <c r="E474" s="3" t="n">
        <v>10</v>
      </c>
      <c r="F474" s="24" t="n">
        <v>0</v>
      </c>
    </row>
    <row r="475" customFormat="false" ht="15" hidden="false" customHeight="false" outlineLevel="0" collapsed="false">
      <c r="A475" s="3" t="n">
        <v>474</v>
      </c>
      <c r="B475" s="3" t="n">
        <v>473</v>
      </c>
      <c r="C475" s="3" t="n">
        <v>2</v>
      </c>
      <c r="D475" s="3" t="n">
        <v>5</v>
      </c>
      <c r="E475" s="3" t="n">
        <v>11</v>
      </c>
      <c r="F475" s="24" t="n">
        <v>0</v>
      </c>
    </row>
    <row r="476" customFormat="false" ht="15" hidden="false" customHeight="false" outlineLevel="0" collapsed="false">
      <c r="A476" s="3" t="n">
        <v>475</v>
      </c>
      <c r="B476" s="3" t="n">
        <v>474</v>
      </c>
      <c r="C476" s="3" t="n">
        <v>2</v>
      </c>
      <c r="D476" s="3" t="n">
        <v>5</v>
      </c>
      <c r="E476" s="3" t="n">
        <v>12</v>
      </c>
      <c r="F476" s="24" t="n">
        <v>0</v>
      </c>
    </row>
    <row r="477" customFormat="false" ht="15" hidden="false" customHeight="false" outlineLevel="0" collapsed="false">
      <c r="A477" s="3" t="n">
        <v>476</v>
      </c>
      <c r="B477" s="3" t="n">
        <v>475</v>
      </c>
      <c r="C477" s="3" t="n">
        <v>2</v>
      </c>
      <c r="D477" s="3" t="n">
        <v>5</v>
      </c>
      <c r="E477" s="3" t="n">
        <v>13</v>
      </c>
      <c r="F477" s="24" t="n">
        <v>0.387737483</v>
      </c>
    </row>
    <row r="478" customFormat="false" ht="15" hidden="false" customHeight="false" outlineLevel="0" collapsed="false">
      <c r="A478" s="3" t="n">
        <v>477</v>
      </c>
      <c r="B478" s="3" t="n">
        <v>476</v>
      </c>
      <c r="C478" s="3" t="n">
        <v>2</v>
      </c>
      <c r="D478" s="3" t="n">
        <v>6</v>
      </c>
      <c r="E478" s="3" t="n">
        <v>0</v>
      </c>
      <c r="F478" s="24" t="n">
        <v>0</v>
      </c>
    </row>
    <row r="479" customFormat="false" ht="15" hidden="false" customHeight="false" outlineLevel="0" collapsed="false">
      <c r="A479" s="3" t="n">
        <v>478</v>
      </c>
      <c r="B479" s="3" t="n">
        <v>477</v>
      </c>
      <c r="C479" s="3" t="n">
        <v>2</v>
      </c>
      <c r="D479" s="3" t="n">
        <v>6</v>
      </c>
      <c r="E479" s="3" t="n">
        <v>1</v>
      </c>
      <c r="F479" s="24" t="n">
        <v>0</v>
      </c>
    </row>
    <row r="480" customFormat="false" ht="15" hidden="false" customHeight="false" outlineLevel="0" collapsed="false">
      <c r="A480" s="3" t="n">
        <v>479</v>
      </c>
      <c r="B480" s="3" t="n">
        <v>478</v>
      </c>
      <c r="C480" s="3" t="n">
        <v>2</v>
      </c>
      <c r="D480" s="3" t="n">
        <v>6</v>
      </c>
      <c r="E480" s="3" t="n">
        <v>2</v>
      </c>
      <c r="F480" s="24" t="n">
        <v>0</v>
      </c>
    </row>
    <row r="481" customFormat="false" ht="15" hidden="false" customHeight="false" outlineLevel="0" collapsed="false">
      <c r="A481" s="3" t="n">
        <v>480</v>
      </c>
      <c r="B481" s="3" t="n">
        <v>479</v>
      </c>
      <c r="C481" s="3" t="n">
        <v>2</v>
      </c>
      <c r="D481" s="3" t="n">
        <v>6</v>
      </c>
      <c r="E481" s="3" t="n">
        <v>3</v>
      </c>
      <c r="F481" s="24" t="n">
        <v>0</v>
      </c>
    </row>
    <row r="482" customFormat="false" ht="15" hidden="false" customHeight="false" outlineLevel="0" collapsed="false">
      <c r="A482" s="3" t="n">
        <v>481</v>
      </c>
      <c r="B482" s="3" t="n">
        <v>480</v>
      </c>
      <c r="C482" s="3" t="n">
        <v>2</v>
      </c>
      <c r="D482" s="3" t="n">
        <v>6</v>
      </c>
      <c r="E482" s="3" t="n">
        <v>4</v>
      </c>
      <c r="F482" s="24" t="n">
        <v>0</v>
      </c>
    </row>
    <row r="483" customFormat="false" ht="15" hidden="false" customHeight="false" outlineLevel="0" collapsed="false">
      <c r="A483" s="3" t="n">
        <v>482</v>
      </c>
      <c r="B483" s="3" t="n">
        <v>481</v>
      </c>
      <c r="C483" s="3" t="n">
        <v>2</v>
      </c>
      <c r="D483" s="3" t="n">
        <v>6</v>
      </c>
      <c r="E483" s="3" t="n">
        <v>5</v>
      </c>
      <c r="F483" s="24" t="n">
        <v>0</v>
      </c>
    </row>
    <row r="484" customFormat="false" ht="15" hidden="false" customHeight="false" outlineLevel="0" collapsed="false">
      <c r="A484" s="3" t="n">
        <v>483</v>
      </c>
      <c r="B484" s="3" t="n">
        <v>482</v>
      </c>
      <c r="C484" s="3" t="n">
        <v>2</v>
      </c>
      <c r="D484" s="3" t="n">
        <v>6</v>
      </c>
      <c r="E484" s="3" t="n">
        <v>6</v>
      </c>
      <c r="F484" s="24" t="n">
        <v>0</v>
      </c>
    </row>
    <row r="485" customFormat="false" ht="15" hidden="false" customHeight="false" outlineLevel="0" collapsed="false">
      <c r="A485" s="3" t="n">
        <v>484</v>
      </c>
      <c r="B485" s="3" t="n">
        <v>483</v>
      </c>
      <c r="C485" s="3" t="n">
        <v>2</v>
      </c>
      <c r="D485" s="3" t="n">
        <v>6</v>
      </c>
      <c r="E485" s="3" t="n">
        <v>7</v>
      </c>
      <c r="F485" s="24" t="n">
        <v>0.167090327</v>
      </c>
    </row>
    <row r="486" customFormat="false" ht="15" hidden="false" customHeight="false" outlineLevel="0" collapsed="false">
      <c r="A486" s="3" t="n">
        <v>485</v>
      </c>
      <c r="B486" s="3" t="n">
        <v>484</v>
      </c>
      <c r="C486" s="3" t="n">
        <v>2</v>
      </c>
      <c r="D486" s="3" t="n">
        <v>6</v>
      </c>
      <c r="E486" s="3" t="n">
        <v>8</v>
      </c>
      <c r="F486" s="24" t="n">
        <v>3.81526923</v>
      </c>
    </row>
    <row r="487" customFormat="false" ht="15" hidden="false" customHeight="false" outlineLevel="0" collapsed="false">
      <c r="A487" s="3" t="n">
        <v>486</v>
      </c>
      <c r="B487" s="3" t="n">
        <v>485</v>
      </c>
      <c r="C487" s="3" t="n">
        <v>2</v>
      </c>
      <c r="D487" s="3" t="n">
        <v>6</v>
      </c>
      <c r="E487" s="3" t="n">
        <v>9</v>
      </c>
      <c r="F487" s="24" t="n">
        <v>3.14443398</v>
      </c>
    </row>
    <row r="488" customFormat="false" ht="15" hidden="false" customHeight="false" outlineLevel="0" collapsed="false">
      <c r="A488" s="3" t="n">
        <v>487</v>
      </c>
      <c r="B488" s="3" t="n">
        <v>486</v>
      </c>
      <c r="C488" s="3" t="n">
        <v>2</v>
      </c>
      <c r="D488" s="3" t="n">
        <v>6</v>
      </c>
      <c r="E488" s="3" t="n">
        <v>10</v>
      </c>
      <c r="F488" s="24" t="n">
        <v>0</v>
      </c>
    </row>
    <row r="489" customFormat="false" ht="15" hidden="false" customHeight="false" outlineLevel="0" collapsed="false">
      <c r="A489" s="3" t="n">
        <v>488</v>
      </c>
      <c r="B489" s="3" t="n">
        <v>487</v>
      </c>
      <c r="C489" s="3" t="n">
        <v>2</v>
      </c>
      <c r="D489" s="3" t="n">
        <v>6</v>
      </c>
      <c r="E489" s="3" t="n">
        <v>11</v>
      </c>
      <c r="F489" s="24" t="n">
        <v>0</v>
      </c>
    </row>
    <row r="490" customFormat="false" ht="15" hidden="false" customHeight="false" outlineLevel="0" collapsed="false">
      <c r="A490" s="3" t="n">
        <v>489</v>
      </c>
      <c r="B490" s="3" t="n">
        <v>488</v>
      </c>
      <c r="C490" s="3" t="n">
        <v>2</v>
      </c>
      <c r="D490" s="3" t="n">
        <v>6</v>
      </c>
      <c r="E490" s="3" t="n">
        <v>12</v>
      </c>
      <c r="F490" s="24" t="n">
        <v>0</v>
      </c>
    </row>
    <row r="491" customFormat="false" ht="15" hidden="false" customHeight="false" outlineLevel="0" collapsed="false">
      <c r="A491" s="3" t="n">
        <v>490</v>
      </c>
      <c r="B491" s="3" t="n">
        <v>489</v>
      </c>
      <c r="C491" s="3" t="n">
        <v>2</v>
      </c>
      <c r="D491" s="3" t="n">
        <v>6</v>
      </c>
      <c r="E491" s="3" t="n">
        <v>13</v>
      </c>
      <c r="F491" s="24" t="n">
        <v>0.387737483</v>
      </c>
    </row>
    <row r="492" customFormat="false" ht="15" hidden="false" customHeight="false" outlineLevel="0" collapsed="false">
      <c r="A492" s="3" t="n">
        <v>491</v>
      </c>
      <c r="B492" s="3" t="n">
        <v>490</v>
      </c>
      <c r="C492" s="3" t="n">
        <v>2</v>
      </c>
      <c r="D492" s="3" t="n">
        <v>7</v>
      </c>
      <c r="E492" s="3" t="n">
        <v>0</v>
      </c>
      <c r="F492" s="24" t="n">
        <v>0</v>
      </c>
    </row>
    <row r="493" customFormat="false" ht="15" hidden="false" customHeight="false" outlineLevel="0" collapsed="false">
      <c r="A493" s="3" t="n">
        <v>492</v>
      </c>
      <c r="B493" s="3" t="n">
        <v>491</v>
      </c>
      <c r="C493" s="3" t="n">
        <v>2</v>
      </c>
      <c r="D493" s="3" t="n">
        <v>7</v>
      </c>
      <c r="E493" s="3" t="n">
        <v>1</v>
      </c>
      <c r="F493" s="24" t="n">
        <v>0</v>
      </c>
    </row>
    <row r="494" customFormat="false" ht="15" hidden="false" customHeight="false" outlineLevel="0" collapsed="false">
      <c r="A494" s="3" t="n">
        <v>493</v>
      </c>
      <c r="B494" s="3" t="n">
        <v>492</v>
      </c>
      <c r="C494" s="3" t="n">
        <v>2</v>
      </c>
      <c r="D494" s="3" t="n">
        <v>7</v>
      </c>
      <c r="E494" s="3" t="n">
        <v>2</v>
      </c>
      <c r="F494" s="24" t="n">
        <v>0</v>
      </c>
    </row>
    <row r="495" customFormat="false" ht="15" hidden="false" customHeight="false" outlineLevel="0" collapsed="false">
      <c r="A495" s="3" t="n">
        <v>494</v>
      </c>
      <c r="B495" s="3" t="n">
        <v>493</v>
      </c>
      <c r="C495" s="3" t="n">
        <v>2</v>
      </c>
      <c r="D495" s="3" t="n">
        <v>7</v>
      </c>
      <c r="E495" s="3" t="n">
        <v>3</v>
      </c>
      <c r="F495" s="24" t="n">
        <v>0</v>
      </c>
    </row>
    <row r="496" customFormat="false" ht="15" hidden="false" customHeight="false" outlineLevel="0" collapsed="false">
      <c r="A496" s="3" t="n">
        <v>495</v>
      </c>
      <c r="B496" s="3" t="n">
        <v>494</v>
      </c>
      <c r="C496" s="3" t="n">
        <v>2</v>
      </c>
      <c r="D496" s="3" t="n">
        <v>7</v>
      </c>
      <c r="E496" s="3" t="n">
        <v>4</v>
      </c>
      <c r="F496" s="24" t="n">
        <v>0</v>
      </c>
    </row>
    <row r="497" customFormat="false" ht="15" hidden="false" customHeight="false" outlineLevel="0" collapsed="false">
      <c r="A497" s="3" t="n">
        <v>496</v>
      </c>
      <c r="B497" s="3" t="n">
        <v>495</v>
      </c>
      <c r="C497" s="3" t="n">
        <v>2</v>
      </c>
      <c r="D497" s="3" t="n">
        <v>7</v>
      </c>
      <c r="E497" s="3" t="n">
        <v>5</v>
      </c>
      <c r="F497" s="24" t="n">
        <v>0</v>
      </c>
    </row>
    <row r="498" customFormat="false" ht="15" hidden="false" customHeight="false" outlineLevel="0" collapsed="false">
      <c r="A498" s="3" t="n">
        <v>497</v>
      </c>
      <c r="B498" s="3" t="n">
        <v>496</v>
      </c>
      <c r="C498" s="3" t="n">
        <v>2</v>
      </c>
      <c r="D498" s="3" t="n">
        <v>7</v>
      </c>
      <c r="E498" s="3" t="n">
        <v>6</v>
      </c>
      <c r="F498" s="24" t="n">
        <v>0</v>
      </c>
    </row>
    <row r="499" customFormat="false" ht="15" hidden="false" customHeight="false" outlineLevel="0" collapsed="false">
      <c r="A499" s="3" t="n">
        <v>498</v>
      </c>
      <c r="B499" s="3" t="n">
        <v>497</v>
      </c>
      <c r="C499" s="3" t="n">
        <v>2</v>
      </c>
      <c r="D499" s="3" t="n">
        <v>7</v>
      </c>
      <c r="E499" s="3" t="n">
        <v>7</v>
      </c>
      <c r="F499" s="24" t="n">
        <v>1.94935739</v>
      </c>
    </row>
    <row r="500" customFormat="false" ht="15" hidden="false" customHeight="false" outlineLevel="0" collapsed="false">
      <c r="A500" s="3" t="n">
        <v>499</v>
      </c>
      <c r="B500" s="3" t="n">
        <v>498</v>
      </c>
      <c r="C500" s="3" t="n">
        <v>2</v>
      </c>
      <c r="D500" s="3" t="n">
        <v>7</v>
      </c>
      <c r="E500" s="3" t="n">
        <v>8</v>
      </c>
      <c r="F500" s="24" t="n">
        <v>3.99739647</v>
      </c>
    </row>
    <row r="501" customFormat="false" ht="15" hidden="false" customHeight="false" outlineLevel="0" collapsed="false">
      <c r="A501" s="3" t="n">
        <v>500</v>
      </c>
      <c r="B501" s="3" t="n">
        <v>499</v>
      </c>
      <c r="C501" s="3" t="n">
        <v>2</v>
      </c>
      <c r="D501" s="3" t="n">
        <v>7</v>
      </c>
      <c r="E501" s="3" t="n">
        <v>9</v>
      </c>
      <c r="F501" s="24" t="n">
        <v>0</v>
      </c>
    </row>
    <row r="502" customFormat="false" ht="15" hidden="false" customHeight="false" outlineLevel="0" collapsed="false">
      <c r="A502" s="3" t="n">
        <v>501</v>
      </c>
      <c r="B502" s="3" t="n">
        <v>500</v>
      </c>
      <c r="C502" s="3" t="n">
        <v>2</v>
      </c>
      <c r="D502" s="3" t="n">
        <v>7</v>
      </c>
      <c r="E502" s="3" t="n">
        <v>10</v>
      </c>
      <c r="F502" s="24" t="n">
        <v>0</v>
      </c>
    </row>
    <row r="503" customFormat="false" ht="15" hidden="false" customHeight="false" outlineLevel="0" collapsed="false">
      <c r="A503" s="3" t="n">
        <v>502</v>
      </c>
      <c r="B503" s="3" t="n">
        <v>501</v>
      </c>
      <c r="C503" s="3" t="n">
        <v>2</v>
      </c>
      <c r="D503" s="3" t="n">
        <v>7</v>
      </c>
      <c r="E503" s="3" t="n">
        <v>11</v>
      </c>
      <c r="F503" s="24" t="n">
        <v>0</v>
      </c>
    </row>
    <row r="504" customFormat="false" ht="15" hidden="false" customHeight="false" outlineLevel="0" collapsed="false">
      <c r="A504" s="3" t="n">
        <v>503</v>
      </c>
      <c r="B504" s="3" t="n">
        <v>502</v>
      </c>
      <c r="C504" s="3" t="n">
        <v>2</v>
      </c>
      <c r="D504" s="3" t="n">
        <v>7</v>
      </c>
      <c r="E504" s="3" t="n">
        <v>12</v>
      </c>
      <c r="F504" s="24" t="n">
        <v>0</v>
      </c>
    </row>
    <row r="505" customFormat="false" ht="15" hidden="false" customHeight="false" outlineLevel="0" collapsed="false">
      <c r="A505" s="3" t="n">
        <v>504</v>
      </c>
      <c r="B505" s="3" t="n">
        <v>503</v>
      </c>
      <c r="C505" s="3" t="n">
        <v>2</v>
      </c>
      <c r="D505" s="3" t="n">
        <v>7</v>
      </c>
      <c r="E505" s="3" t="n">
        <v>13</v>
      </c>
      <c r="F505" s="24" t="n">
        <v>0.387737483</v>
      </c>
    </row>
    <row r="506" customFormat="false" ht="15" hidden="false" customHeight="false" outlineLevel="0" collapsed="false">
      <c r="A506" s="3" t="n">
        <v>505</v>
      </c>
      <c r="B506" s="3" t="n">
        <v>504</v>
      </c>
      <c r="C506" s="3" t="n">
        <v>2</v>
      </c>
      <c r="D506" s="3" t="n">
        <v>8</v>
      </c>
      <c r="E506" s="3" t="n">
        <v>0</v>
      </c>
      <c r="F506" s="24" t="n">
        <v>0</v>
      </c>
    </row>
    <row r="507" customFormat="false" ht="15" hidden="false" customHeight="false" outlineLevel="0" collapsed="false">
      <c r="A507" s="3" t="n">
        <v>506</v>
      </c>
      <c r="B507" s="3" t="n">
        <v>505</v>
      </c>
      <c r="C507" s="3" t="n">
        <v>2</v>
      </c>
      <c r="D507" s="3" t="n">
        <v>8</v>
      </c>
      <c r="E507" s="3" t="n">
        <v>1</v>
      </c>
      <c r="F507" s="24" t="n">
        <v>0</v>
      </c>
    </row>
    <row r="508" customFormat="false" ht="15" hidden="false" customHeight="false" outlineLevel="0" collapsed="false">
      <c r="A508" s="3" t="n">
        <v>507</v>
      </c>
      <c r="B508" s="3" t="n">
        <v>506</v>
      </c>
      <c r="C508" s="3" t="n">
        <v>2</v>
      </c>
      <c r="D508" s="3" t="n">
        <v>8</v>
      </c>
      <c r="E508" s="3" t="n">
        <v>2</v>
      </c>
      <c r="F508" s="24" t="n">
        <v>0</v>
      </c>
    </row>
    <row r="509" customFormat="false" ht="15" hidden="false" customHeight="false" outlineLevel="0" collapsed="false">
      <c r="A509" s="3" t="n">
        <v>508</v>
      </c>
      <c r="B509" s="3" t="n">
        <v>507</v>
      </c>
      <c r="C509" s="3" t="n">
        <v>2</v>
      </c>
      <c r="D509" s="3" t="n">
        <v>8</v>
      </c>
      <c r="E509" s="3" t="n">
        <v>3</v>
      </c>
      <c r="F509" s="24" t="n">
        <v>0</v>
      </c>
    </row>
    <row r="510" customFormat="false" ht="15" hidden="false" customHeight="false" outlineLevel="0" collapsed="false">
      <c r="A510" s="3" t="n">
        <v>509</v>
      </c>
      <c r="B510" s="3" t="n">
        <v>508</v>
      </c>
      <c r="C510" s="3" t="n">
        <v>2</v>
      </c>
      <c r="D510" s="3" t="n">
        <v>8</v>
      </c>
      <c r="E510" s="3" t="n">
        <v>4</v>
      </c>
      <c r="F510" s="24" t="n">
        <v>0</v>
      </c>
    </row>
    <row r="511" customFormat="false" ht="15" hidden="false" customHeight="false" outlineLevel="0" collapsed="false">
      <c r="A511" s="3" t="n">
        <v>510</v>
      </c>
      <c r="B511" s="3" t="n">
        <v>509</v>
      </c>
      <c r="C511" s="3" t="n">
        <v>2</v>
      </c>
      <c r="D511" s="3" t="n">
        <v>8</v>
      </c>
      <c r="E511" s="3" t="n">
        <v>5</v>
      </c>
      <c r="F511" s="24" t="n">
        <v>0</v>
      </c>
    </row>
    <row r="512" customFormat="false" ht="15" hidden="false" customHeight="false" outlineLevel="0" collapsed="false">
      <c r="A512" s="3" t="n">
        <v>511</v>
      </c>
      <c r="B512" s="3" t="n">
        <v>510</v>
      </c>
      <c r="C512" s="3" t="n">
        <v>2</v>
      </c>
      <c r="D512" s="3" t="n">
        <v>8</v>
      </c>
      <c r="E512" s="3" t="n">
        <v>6</v>
      </c>
      <c r="F512" s="24" t="n">
        <v>0.233493835</v>
      </c>
    </row>
    <row r="513" customFormat="false" ht="15" hidden="false" customHeight="false" outlineLevel="0" collapsed="false">
      <c r="A513" s="3" t="n">
        <v>512</v>
      </c>
      <c r="B513" s="3" t="n">
        <v>511</v>
      </c>
      <c r="C513" s="3" t="n">
        <v>2</v>
      </c>
      <c r="D513" s="3" t="n">
        <v>8</v>
      </c>
      <c r="E513" s="3" t="n">
        <v>7</v>
      </c>
      <c r="F513" s="24" t="n">
        <v>3.60113716</v>
      </c>
    </row>
    <row r="514" customFormat="false" ht="15" hidden="false" customHeight="false" outlineLevel="0" collapsed="false">
      <c r="A514" s="3" t="n">
        <v>513</v>
      </c>
      <c r="B514" s="3" t="n">
        <v>512</v>
      </c>
      <c r="C514" s="3" t="n">
        <v>2</v>
      </c>
      <c r="D514" s="3" t="n">
        <v>8</v>
      </c>
      <c r="E514" s="3" t="n">
        <v>8</v>
      </c>
      <c r="F514" s="24" t="n">
        <v>3.01581168</v>
      </c>
    </row>
    <row r="515" customFormat="false" ht="15" hidden="false" customHeight="false" outlineLevel="0" collapsed="false">
      <c r="A515" s="3" t="n">
        <v>514</v>
      </c>
      <c r="B515" s="3" t="n">
        <v>513</v>
      </c>
      <c r="C515" s="3" t="n">
        <v>2</v>
      </c>
      <c r="D515" s="3" t="n">
        <v>8</v>
      </c>
      <c r="E515" s="3" t="n">
        <v>9</v>
      </c>
      <c r="F515" s="24" t="n">
        <v>0</v>
      </c>
    </row>
    <row r="516" customFormat="false" ht="15" hidden="false" customHeight="false" outlineLevel="0" collapsed="false">
      <c r="A516" s="3" t="n">
        <v>515</v>
      </c>
      <c r="B516" s="3" t="n">
        <v>514</v>
      </c>
      <c r="C516" s="3" t="n">
        <v>2</v>
      </c>
      <c r="D516" s="3" t="n">
        <v>8</v>
      </c>
      <c r="E516" s="3" t="n">
        <v>10</v>
      </c>
      <c r="F516" s="24" t="n">
        <v>0</v>
      </c>
    </row>
    <row r="517" customFormat="false" ht="15" hidden="false" customHeight="false" outlineLevel="0" collapsed="false">
      <c r="A517" s="3" t="n">
        <v>516</v>
      </c>
      <c r="B517" s="3" t="n">
        <v>515</v>
      </c>
      <c r="C517" s="3" t="n">
        <v>2</v>
      </c>
      <c r="D517" s="3" t="n">
        <v>8</v>
      </c>
      <c r="E517" s="3" t="n">
        <v>11</v>
      </c>
      <c r="F517" s="24" t="n">
        <v>0</v>
      </c>
    </row>
    <row r="518" customFormat="false" ht="15" hidden="false" customHeight="false" outlineLevel="0" collapsed="false">
      <c r="A518" s="3" t="n">
        <v>517</v>
      </c>
      <c r="B518" s="3" t="n">
        <v>516</v>
      </c>
      <c r="C518" s="3" t="n">
        <v>2</v>
      </c>
      <c r="D518" s="3" t="n">
        <v>8</v>
      </c>
      <c r="E518" s="3" t="n">
        <v>12</v>
      </c>
      <c r="F518" s="24" t="n">
        <v>0</v>
      </c>
    </row>
    <row r="519" customFormat="false" ht="15" hidden="false" customHeight="false" outlineLevel="0" collapsed="false">
      <c r="A519" s="3" t="n">
        <v>518</v>
      </c>
      <c r="B519" s="3" t="n">
        <v>517</v>
      </c>
      <c r="C519" s="3" t="n">
        <v>2</v>
      </c>
      <c r="D519" s="3" t="n">
        <v>8</v>
      </c>
      <c r="E519" s="3" t="n">
        <v>13</v>
      </c>
      <c r="F519" s="24" t="n">
        <v>0.387737483</v>
      </c>
    </row>
    <row r="520" customFormat="false" ht="15" hidden="false" customHeight="false" outlineLevel="0" collapsed="false">
      <c r="A520" s="3" t="n">
        <v>519</v>
      </c>
      <c r="B520" s="3" t="n">
        <v>518</v>
      </c>
      <c r="C520" s="3" t="n">
        <v>2</v>
      </c>
      <c r="D520" s="3" t="n">
        <v>9</v>
      </c>
      <c r="E520" s="3" t="n">
        <v>0</v>
      </c>
      <c r="F520" s="24" t="n">
        <v>0</v>
      </c>
    </row>
    <row r="521" customFormat="false" ht="15" hidden="false" customHeight="false" outlineLevel="0" collapsed="false">
      <c r="A521" s="3" t="n">
        <v>520</v>
      </c>
      <c r="B521" s="3" t="n">
        <v>519</v>
      </c>
      <c r="C521" s="3" t="n">
        <v>2</v>
      </c>
      <c r="D521" s="3" t="n">
        <v>9</v>
      </c>
      <c r="E521" s="3" t="n">
        <v>1</v>
      </c>
      <c r="F521" s="24" t="n">
        <v>0</v>
      </c>
    </row>
    <row r="522" customFormat="false" ht="15" hidden="false" customHeight="false" outlineLevel="0" collapsed="false">
      <c r="A522" s="3" t="n">
        <v>521</v>
      </c>
      <c r="B522" s="3" t="n">
        <v>520</v>
      </c>
      <c r="C522" s="3" t="n">
        <v>2</v>
      </c>
      <c r="D522" s="3" t="n">
        <v>9</v>
      </c>
      <c r="E522" s="3" t="n">
        <v>2</v>
      </c>
      <c r="F522" s="24" t="n">
        <v>0</v>
      </c>
    </row>
    <row r="523" customFormat="false" ht="15" hidden="false" customHeight="false" outlineLevel="0" collapsed="false">
      <c r="A523" s="3" t="n">
        <v>522</v>
      </c>
      <c r="B523" s="3" t="n">
        <v>521</v>
      </c>
      <c r="C523" s="3" t="n">
        <v>2</v>
      </c>
      <c r="D523" s="3" t="n">
        <v>9</v>
      </c>
      <c r="E523" s="3" t="n">
        <v>3</v>
      </c>
      <c r="F523" s="24" t="n">
        <v>0</v>
      </c>
    </row>
    <row r="524" customFormat="false" ht="15" hidden="false" customHeight="false" outlineLevel="0" collapsed="false">
      <c r="A524" s="3" t="n">
        <v>523</v>
      </c>
      <c r="B524" s="3" t="n">
        <v>522</v>
      </c>
      <c r="C524" s="3" t="n">
        <v>2</v>
      </c>
      <c r="D524" s="3" t="n">
        <v>9</v>
      </c>
      <c r="E524" s="3" t="n">
        <v>4</v>
      </c>
      <c r="F524" s="24" t="n">
        <v>0</v>
      </c>
    </row>
    <row r="525" customFormat="false" ht="15" hidden="false" customHeight="false" outlineLevel="0" collapsed="false">
      <c r="A525" s="3" t="n">
        <v>524</v>
      </c>
      <c r="B525" s="3" t="n">
        <v>523</v>
      </c>
      <c r="C525" s="3" t="n">
        <v>2</v>
      </c>
      <c r="D525" s="3" t="n">
        <v>9</v>
      </c>
      <c r="E525" s="3" t="n">
        <v>5</v>
      </c>
      <c r="F525" s="24" t="n">
        <v>0</v>
      </c>
    </row>
    <row r="526" customFormat="false" ht="15" hidden="false" customHeight="false" outlineLevel="0" collapsed="false">
      <c r="A526" s="3" t="n">
        <v>525</v>
      </c>
      <c r="B526" s="3" t="n">
        <v>524</v>
      </c>
      <c r="C526" s="3" t="n">
        <v>2</v>
      </c>
      <c r="D526" s="3" t="n">
        <v>9</v>
      </c>
      <c r="E526" s="3" t="n">
        <v>6</v>
      </c>
      <c r="F526" s="24" t="n">
        <v>3.49018049</v>
      </c>
    </row>
    <row r="527" customFormat="false" ht="15" hidden="false" customHeight="false" outlineLevel="0" collapsed="false">
      <c r="A527" s="3" t="n">
        <v>526</v>
      </c>
      <c r="B527" s="3" t="n">
        <v>525</v>
      </c>
      <c r="C527" s="3" t="n">
        <v>2</v>
      </c>
      <c r="D527" s="3" t="n">
        <v>9</v>
      </c>
      <c r="E527" s="3" t="n">
        <v>7</v>
      </c>
      <c r="F527" s="24" t="n">
        <v>3.75032115</v>
      </c>
    </row>
    <row r="528" customFormat="false" ht="15" hidden="false" customHeight="false" outlineLevel="0" collapsed="false">
      <c r="A528" s="3" t="n">
        <v>527</v>
      </c>
      <c r="B528" s="3" t="n">
        <v>526</v>
      </c>
      <c r="C528" s="3" t="n">
        <v>2</v>
      </c>
      <c r="D528" s="3" t="n">
        <v>9</v>
      </c>
      <c r="E528" s="3" t="n">
        <v>8</v>
      </c>
      <c r="F528" s="24" t="n">
        <v>0</v>
      </c>
    </row>
    <row r="529" customFormat="false" ht="15" hidden="false" customHeight="false" outlineLevel="0" collapsed="false">
      <c r="A529" s="3" t="n">
        <v>528</v>
      </c>
      <c r="B529" s="3" t="n">
        <v>527</v>
      </c>
      <c r="C529" s="3" t="n">
        <v>2</v>
      </c>
      <c r="D529" s="3" t="n">
        <v>9</v>
      </c>
      <c r="E529" s="3" t="n">
        <v>9</v>
      </c>
      <c r="F529" s="24" t="n">
        <v>0</v>
      </c>
    </row>
    <row r="530" customFormat="false" ht="15" hidden="false" customHeight="false" outlineLevel="0" collapsed="false">
      <c r="A530" s="3" t="n">
        <v>529</v>
      </c>
      <c r="B530" s="3" t="n">
        <v>528</v>
      </c>
      <c r="C530" s="3" t="n">
        <v>2</v>
      </c>
      <c r="D530" s="3" t="n">
        <v>9</v>
      </c>
      <c r="E530" s="3" t="n">
        <v>10</v>
      </c>
      <c r="F530" s="24" t="n">
        <v>0</v>
      </c>
    </row>
    <row r="531" customFormat="false" ht="15" hidden="false" customHeight="false" outlineLevel="0" collapsed="false">
      <c r="A531" s="3" t="n">
        <v>530</v>
      </c>
      <c r="B531" s="3" t="n">
        <v>529</v>
      </c>
      <c r="C531" s="3" t="n">
        <v>2</v>
      </c>
      <c r="D531" s="3" t="n">
        <v>9</v>
      </c>
      <c r="E531" s="3" t="n">
        <v>11</v>
      </c>
      <c r="F531" s="24" t="n">
        <v>0</v>
      </c>
    </row>
    <row r="532" customFormat="false" ht="15" hidden="false" customHeight="false" outlineLevel="0" collapsed="false">
      <c r="A532" s="3" t="n">
        <v>531</v>
      </c>
      <c r="B532" s="3" t="n">
        <v>530</v>
      </c>
      <c r="C532" s="3" t="n">
        <v>2</v>
      </c>
      <c r="D532" s="3" t="n">
        <v>9</v>
      </c>
      <c r="E532" s="3" t="n">
        <v>12</v>
      </c>
      <c r="F532" s="24" t="n">
        <v>0</v>
      </c>
    </row>
    <row r="533" customFormat="false" ht="15" hidden="false" customHeight="false" outlineLevel="0" collapsed="false">
      <c r="A533" s="3" t="n">
        <v>532</v>
      </c>
      <c r="B533" s="3" t="n">
        <v>531</v>
      </c>
      <c r="C533" s="3" t="n">
        <v>2</v>
      </c>
      <c r="D533" s="3" t="n">
        <v>9</v>
      </c>
      <c r="E533" s="3" t="n">
        <v>13</v>
      </c>
      <c r="F533" s="24" t="n">
        <v>0.387737483</v>
      </c>
    </row>
    <row r="534" customFormat="false" ht="15" hidden="false" customHeight="false" outlineLevel="0" collapsed="false">
      <c r="A534" s="3" t="n">
        <v>533</v>
      </c>
      <c r="B534" s="3" t="n">
        <v>532</v>
      </c>
      <c r="C534" s="3" t="n">
        <v>2</v>
      </c>
      <c r="D534" s="3" t="n">
        <v>10</v>
      </c>
      <c r="E534" s="3" t="n">
        <v>0</v>
      </c>
      <c r="F534" s="24" t="n">
        <v>0</v>
      </c>
    </row>
    <row r="535" customFormat="false" ht="15" hidden="false" customHeight="false" outlineLevel="0" collapsed="false">
      <c r="A535" s="3" t="n">
        <v>534</v>
      </c>
      <c r="B535" s="3" t="n">
        <v>533</v>
      </c>
      <c r="C535" s="3" t="n">
        <v>2</v>
      </c>
      <c r="D535" s="3" t="n">
        <v>10</v>
      </c>
      <c r="E535" s="3" t="n">
        <v>1</v>
      </c>
      <c r="F535" s="24" t="n">
        <v>0</v>
      </c>
    </row>
    <row r="536" customFormat="false" ht="15" hidden="false" customHeight="false" outlineLevel="0" collapsed="false">
      <c r="A536" s="3" t="n">
        <v>535</v>
      </c>
      <c r="B536" s="3" t="n">
        <v>534</v>
      </c>
      <c r="C536" s="3" t="n">
        <v>2</v>
      </c>
      <c r="D536" s="3" t="n">
        <v>10</v>
      </c>
      <c r="E536" s="3" t="n">
        <v>2</v>
      </c>
      <c r="F536" s="24" t="n">
        <v>0</v>
      </c>
    </row>
    <row r="537" customFormat="false" ht="15" hidden="false" customHeight="false" outlineLevel="0" collapsed="false">
      <c r="A537" s="3" t="n">
        <v>536</v>
      </c>
      <c r="B537" s="3" t="n">
        <v>535</v>
      </c>
      <c r="C537" s="3" t="n">
        <v>2</v>
      </c>
      <c r="D537" s="3" t="n">
        <v>10</v>
      </c>
      <c r="E537" s="3" t="n">
        <v>3</v>
      </c>
      <c r="F537" s="24" t="n">
        <v>0</v>
      </c>
    </row>
    <row r="538" customFormat="false" ht="15" hidden="false" customHeight="false" outlineLevel="0" collapsed="false">
      <c r="A538" s="3" t="n">
        <v>537</v>
      </c>
      <c r="B538" s="3" t="n">
        <v>536</v>
      </c>
      <c r="C538" s="3" t="n">
        <v>2</v>
      </c>
      <c r="D538" s="3" t="n">
        <v>10</v>
      </c>
      <c r="E538" s="3" t="n">
        <v>4</v>
      </c>
      <c r="F538" s="24" t="n">
        <v>0</v>
      </c>
    </row>
    <row r="539" customFormat="false" ht="15" hidden="false" customHeight="false" outlineLevel="0" collapsed="false">
      <c r="A539" s="3" t="n">
        <v>538</v>
      </c>
      <c r="B539" s="3" t="n">
        <v>537</v>
      </c>
      <c r="C539" s="3" t="n">
        <v>2</v>
      </c>
      <c r="D539" s="3" t="n">
        <v>10</v>
      </c>
      <c r="E539" s="3" t="n">
        <v>5</v>
      </c>
      <c r="F539" s="24" t="n">
        <v>1.25499284</v>
      </c>
    </row>
    <row r="540" customFormat="false" ht="15" hidden="false" customHeight="false" outlineLevel="0" collapsed="false">
      <c r="A540" s="3" t="n">
        <v>539</v>
      </c>
      <c r="B540" s="3" t="n">
        <v>538</v>
      </c>
      <c r="C540" s="3" t="n">
        <v>2</v>
      </c>
      <c r="D540" s="3" t="n">
        <v>10</v>
      </c>
      <c r="E540" s="3" t="n">
        <v>6</v>
      </c>
      <c r="F540" s="24" t="n">
        <v>3.90189505</v>
      </c>
    </row>
    <row r="541" customFormat="false" ht="15" hidden="false" customHeight="false" outlineLevel="0" collapsed="false">
      <c r="A541" s="3" t="n">
        <v>540</v>
      </c>
      <c r="B541" s="3" t="n">
        <v>539</v>
      </c>
      <c r="C541" s="3" t="n">
        <v>2</v>
      </c>
      <c r="D541" s="3" t="n">
        <v>10</v>
      </c>
      <c r="E541" s="3" t="n">
        <v>7</v>
      </c>
      <c r="F541" s="24" t="n">
        <v>0</v>
      </c>
    </row>
    <row r="542" customFormat="false" ht="15" hidden="false" customHeight="false" outlineLevel="0" collapsed="false">
      <c r="A542" s="3" t="n">
        <v>541</v>
      </c>
      <c r="B542" s="3" t="n">
        <v>540</v>
      </c>
      <c r="C542" s="3" t="n">
        <v>2</v>
      </c>
      <c r="D542" s="3" t="n">
        <v>10</v>
      </c>
      <c r="E542" s="3" t="n">
        <v>8</v>
      </c>
      <c r="F542" s="24" t="n">
        <v>0</v>
      </c>
    </row>
    <row r="543" customFormat="false" ht="15" hidden="false" customHeight="false" outlineLevel="0" collapsed="false">
      <c r="A543" s="3" t="n">
        <v>542</v>
      </c>
      <c r="B543" s="3" t="n">
        <v>541</v>
      </c>
      <c r="C543" s="3" t="n">
        <v>2</v>
      </c>
      <c r="D543" s="3" t="n">
        <v>10</v>
      </c>
      <c r="E543" s="3" t="n">
        <v>9</v>
      </c>
      <c r="F543" s="24" t="n">
        <v>0</v>
      </c>
    </row>
    <row r="544" customFormat="false" ht="15" hidden="false" customHeight="false" outlineLevel="0" collapsed="false">
      <c r="A544" s="3" t="n">
        <v>543</v>
      </c>
      <c r="B544" s="3" t="n">
        <v>542</v>
      </c>
      <c r="C544" s="3" t="n">
        <v>2</v>
      </c>
      <c r="D544" s="3" t="n">
        <v>10</v>
      </c>
      <c r="E544" s="3" t="n">
        <v>10</v>
      </c>
      <c r="F544" s="24" t="n">
        <v>0</v>
      </c>
    </row>
    <row r="545" customFormat="false" ht="15" hidden="false" customHeight="false" outlineLevel="0" collapsed="false">
      <c r="A545" s="3" t="n">
        <v>544</v>
      </c>
      <c r="B545" s="3" t="n">
        <v>543</v>
      </c>
      <c r="C545" s="3" t="n">
        <v>2</v>
      </c>
      <c r="D545" s="3" t="n">
        <v>10</v>
      </c>
      <c r="E545" s="3" t="n">
        <v>11</v>
      </c>
      <c r="F545" s="24" t="n">
        <v>0</v>
      </c>
    </row>
    <row r="546" customFormat="false" ht="15" hidden="false" customHeight="false" outlineLevel="0" collapsed="false">
      <c r="A546" s="3" t="n">
        <v>545</v>
      </c>
      <c r="B546" s="3" t="n">
        <v>544</v>
      </c>
      <c r="C546" s="3" t="n">
        <v>2</v>
      </c>
      <c r="D546" s="3" t="n">
        <v>10</v>
      </c>
      <c r="E546" s="3" t="n">
        <v>12</v>
      </c>
      <c r="F546" s="24" t="n">
        <v>0</v>
      </c>
    </row>
    <row r="547" customFormat="false" ht="15" hidden="false" customHeight="false" outlineLevel="0" collapsed="false">
      <c r="A547" s="3" t="n">
        <v>546</v>
      </c>
      <c r="B547" s="3" t="n">
        <v>545</v>
      </c>
      <c r="C547" s="3" t="n">
        <v>2</v>
      </c>
      <c r="D547" s="3" t="n">
        <v>10</v>
      </c>
      <c r="E547" s="3" t="n">
        <v>13</v>
      </c>
      <c r="F547" s="24" t="n">
        <v>0.387737483</v>
      </c>
    </row>
    <row r="548" customFormat="false" ht="15" hidden="false" customHeight="false" outlineLevel="0" collapsed="false">
      <c r="A548" s="3" t="n">
        <v>547</v>
      </c>
      <c r="B548" s="3" t="n">
        <v>546</v>
      </c>
      <c r="C548" s="3" t="n">
        <v>2</v>
      </c>
      <c r="D548" s="3" t="n">
        <v>11</v>
      </c>
      <c r="E548" s="3" t="n">
        <v>0</v>
      </c>
      <c r="F548" s="24" t="n">
        <v>0</v>
      </c>
    </row>
    <row r="549" customFormat="false" ht="15" hidden="false" customHeight="false" outlineLevel="0" collapsed="false">
      <c r="A549" s="3" t="n">
        <v>548</v>
      </c>
      <c r="B549" s="3" t="n">
        <v>547</v>
      </c>
      <c r="C549" s="3" t="n">
        <v>2</v>
      </c>
      <c r="D549" s="3" t="n">
        <v>11</v>
      </c>
      <c r="E549" s="3" t="n">
        <v>1</v>
      </c>
      <c r="F549" s="24" t="n">
        <v>0</v>
      </c>
    </row>
    <row r="550" customFormat="false" ht="15" hidden="false" customHeight="false" outlineLevel="0" collapsed="false">
      <c r="A550" s="3" t="n">
        <v>549</v>
      </c>
      <c r="B550" s="3" t="n">
        <v>548</v>
      </c>
      <c r="C550" s="3" t="n">
        <v>2</v>
      </c>
      <c r="D550" s="3" t="n">
        <v>11</v>
      </c>
      <c r="E550" s="3" t="n">
        <v>2</v>
      </c>
      <c r="F550" s="24" t="n">
        <v>0</v>
      </c>
    </row>
    <row r="551" customFormat="false" ht="15" hidden="false" customHeight="false" outlineLevel="0" collapsed="false">
      <c r="A551" s="3" t="n">
        <v>550</v>
      </c>
      <c r="B551" s="3" t="n">
        <v>549</v>
      </c>
      <c r="C551" s="3" t="n">
        <v>2</v>
      </c>
      <c r="D551" s="3" t="n">
        <v>11</v>
      </c>
      <c r="E551" s="3" t="n">
        <v>3</v>
      </c>
      <c r="F551" s="24" t="n">
        <v>0</v>
      </c>
    </row>
    <row r="552" customFormat="false" ht="15" hidden="false" customHeight="false" outlineLevel="0" collapsed="false">
      <c r="A552" s="3" t="n">
        <v>551</v>
      </c>
      <c r="B552" s="3" t="n">
        <v>550</v>
      </c>
      <c r="C552" s="3" t="n">
        <v>2</v>
      </c>
      <c r="D552" s="3" t="n">
        <v>11</v>
      </c>
      <c r="E552" s="3" t="n">
        <v>4</v>
      </c>
      <c r="F552" s="24" t="n">
        <v>0.17539075</v>
      </c>
    </row>
    <row r="553" customFormat="false" ht="15" hidden="false" customHeight="false" outlineLevel="0" collapsed="false">
      <c r="A553" s="3" t="n">
        <v>552</v>
      </c>
      <c r="B553" s="3" t="n">
        <v>551</v>
      </c>
      <c r="C553" s="3" t="n">
        <v>2</v>
      </c>
      <c r="D553" s="3" t="n">
        <v>11</v>
      </c>
      <c r="E553" s="3" t="n">
        <v>5</v>
      </c>
      <c r="F553" s="24" t="n">
        <v>3.75892401</v>
      </c>
    </row>
    <row r="554" customFormat="false" ht="15" hidden="false" customHeight="false" outlineLevel="0" collapsed="false">
      <c r="A554" s="3" t="n">
        <v>553</v>
      </c>
      <c r="B554" s="3" t="n">
        <v>552</v>
      </c>
      <c r="C554" s="3" t="n">
        <v>2</v>
      </c>
      <c r="D554" s="3" t="n">
        <v>11</v>
      </c>
      <c r="E554" s="3" t="n">
        <v>6</v>
      </c>
      <c r="F554" s="24" t="n">
        <v>3.10334754</v>
      </c>
    </row>
    <row r="555" customFormat="false" ht="15" hidden="false" customHeight="false" outlineLevel="0" collapsed="false">
      <c r="A555" s="3" t="n">
        <v>554</v>
      </c>
      <c r="B555" s="3" t="n">
        <v>553</v>
      </c>
      <c r="C555" s="3" t="n">
        <v>2</v>
      </c>
      <c r="D555" s="3" t="n">
        <v>11</v>
      </c>
      <c r="E555" s="3" t="n">
        <v>7</v>
      </c>
      <c r="F555" s="24" t="n">
        <v>0</v>
      </c>
    </row>
    <row r="556" customFormat="false" ht="15" hidden="false" customHeight="false" outlineLevel="0" collapsed="false">
      <c r="A556" s="3" t="n">
        <v>555</v>
      </c>
      <c r="B556" s="3" t="n">
        <v>554</v>
      </c>
      <c r="C556" s="3" t="n">
        <v>2</v>
      </c>
      <c r="D556" s="3" t="n">
        <v>11</v>
      </c>
      <c r="E556" s="3" t="n">
        <v>8</v>
      </c>
      <c r="F556" s="24" t="n">
        <v>0</v>
      </c>
    </row>
    <row r="557" customFormat="false" ht="15" hidden="false" customHeight="false" outlineLevel="0" collapsed="false">
      <c r="A557" s="3" t="n">
        <v>556</v>
      </c>
      <c r="B557" s="3" t="n">
        <v>555</v>
      </c>
      <c r="C557" s="3" t="n">
        <v>2</v>
      </c>
      <c r="D557" s="3" t="n">
        <v>11</v>
      </c>
      <c r="E557" s="3" t="n">
        <v>9</v>
      </c>
      <c r="F557" s="24" t="n">
        <v>0</v>
      </c>
    </row>
    <row r="558" customFormat="false" ht="15" hidden="false" customHeight="false" outlineLevel="0" collapsed="false">
      <c r="A558" s="3" t="n">
        <v>557</v>
      </c>
      <c r="B558" s="3" t="n">
        <v>556</v>
      </c>
      <c r="C558" s="3" t="n">
        <v>2</v>
      </c>
      <c r="D558" s="3" t="n">
        <v>11</v>
      </c>
      <c r="E558" s="3" t="n">
        <v>10</v>
      </c>
      <c r="F558" s="24" t="n">
        <v>0</v>
      </c>
    </row>
    <row r="559" customFormat="false" ht="15" hidden="false" customHeight="false" outlineLevel="0" collapsed="false">
      <c r="A559" s="3" t="n">
        <v>558</v>
      </c>
      <c r="B559" s="3" t="n">
        <v>557</v>
      </c>
      <c r="C559" s="3" t="n">
        <v>2</v>
      </c>
      <c r="D559" s="3" t="n">
        <v>11</v>
      </c>
      <c r="E559" s="3" t="n">
        <v>11</v>
      </c>
      <c r="F559" s="24" t="n">
        <v>0</v>
      </c>
    </row>
    <row r="560" customFormat="false" ht="15" hidden="false" customHeight="false" outlineLevel="0" collapsed="false">
      <c r="A560" s="3" t="n">
        <v>559</v>
      </c>
      <c r="B560" s="3" t="n">
        <v>558</v>
      </c>
      <c r="C560" s="3" t="n">
        <v>2</v>
      </c>
      <c r="D560" s="3" t="n">
        <v>11</v>
      </c>
      <c r="E560" s="3" t="n">
        <v>12</v>
      </c>
      <c r="F560" s="24" t="n">
        <v>0</v>
      </c>
    </row>
    <row r="561" customFormat="false" ht="15" hidden="false" customHeight="false" outlineLevel="0" collapsed="false">
      <c r="A561" s="3" t="n">
        <v>560</v>
      </c>
      <c r="B561" s="3" t="n">
        <v>559</v>
      </c>
      <c r="C561" s="3" t="n">
        <v>2</v>
      </c>
      <c r="D561" s="3" t="n">
        <v>11</v>
      </c>
      <c r="E561" s="3" t="n">
        <v>13</v>
      </c>
      <c r="F561" s="24" t="n">
        <v>0.387737483</v>
      </c>
    </row>
    <row r="562" customFormat="false" ht="15" hidden="false" customHeight="false" outlineLevel="0" collapsed="false">
      <c r="A562" s="3" t="n">
        <v>561</v>
      </c>
      <c r="B562" s="3" t="n">
        <v>560</v>
      </c>
      <c r="C562" s="3" t="n">
        <v>2</v>
      </c>
      <c r="D562" s="3" t="n">
        <v>12</v>
      </c>
      <c r="E562" s="3" t="n">
        <v>0</v>
      </c>
      <c r="F562" s="24" t="n">
        <v>0</v>
      </c>
    </row>
    <row r="563" customFormat="false" ht="15" hidden="false" customHeight="false" outlineLevel="0" collapsed="false">
      <c r="A563" s="3" t="n">
        <v>562</v>
      </c>
      <c r="B563" s="3" t="n">
        <v>561</v>
      </c>
      <c r="C563" s="3" t="n">
        <v>2</v>
      </c>
      <c r="D563" s="3" t="n">
        <v>12</v>
      </c>
      <c r="E563" s="3" t="n">
        <v>1</v>
      </c>
      <c r="F563" s="24" t="n">
        <v>0</v>
      </c>
    </row>
    <row r="564" customFormat="false" ht="15" hidden="false" customHeight="false" outlineLevel="0" collapsed="false">
      <c r="A564" s="3" t="n">
        <v>563</v>
      </c>
      <c r="B564" s="3" t="n">
        <v>562</v>
      </c>
      <c r="C564" s="3" t="n">
        <v>2</v>
      </c>
      <c r="D564" s="3" t="n">
        <v>12</v>
      </c>
      <c r="E564" s="3" t="n">
        <v>2</v>
      </c>
      <c r="F564" s="24" t="n">
        <v>0</v>
      </c>
    </row>
    <row r="565" customFormat="false" ht="15" hidden="false" customHeight="false" outlineLevel="0" collapsed="false">
      <c r="A565" s="3" t="n">
        <v>564</v>
      </c>
      <c r="B565" s="3" t="n">
        <v>563</v>
      </c>
      <c r="C565" s="3" t="n">
        <v>2</v>
      </c>
      <c r="D565" s="3" t="n">
        <v>12</v>
      </c>
      <c r="E565" s="3" t="n">
        <v>3</v>
      </c>
      <c r="F565" s="24" t="n">
        <v>0</v>
      </c>
    </row>
    <row r="566" customFormat="false" ht="15" hidden="false" customHeight="false" outlineLevel="0" collapsed="false">
      <c r="A566" s="3" t="n">
        <v>565</v>
      </c>
      <c r="B566" s="3" t="n">
        <v>564</v>
      </c>
      <c r="C566" s="3" t="n">
        <v>2</v>
      </c>
      <c r="D566" s="3" t="n">
        <v>12</v>
      </c>
      <c r="E566" s="3" t="n">
        <v>4</v>
      </c>
      <c r="F566" s="24" t="n">
        <v>1.48250699</v>
      </c>
    </row>
    <row r="567" customFormat="false" ht="15" hidden="false" customHeight="false" outlineLevel="0" collapsed="false">
      <c r="A567" s="3" t="n">
        <v>566</v>
      </c>
      <c r="B567" s="3" t="n">
        <v>565</v>
      </c>
      <c r="C567" s="3" t="n">
        <v>2</v>
      </c>
      <c r="D567" s="3" t="n">
        <v>12</v>
      </c>
      <c r="E567" s="3" t="n">
        <v>5</v>
      </c>
      <c r="F567" s="24" t="n">
        <v>3.78650403</v>
      </c>
    </row>
    <row r="568" customFormat="false" ht="15" hidden="false" customHeight="false" outlineLevel="0" collapsed="false">
      <c r="A568" s="3" t="n">
        <v>567</v>
      </c>
      <c r="B568" s="3" t="n">
        <v>566</v>
      </c>
      <c r="C568" s="3" t="n">
        <v>2</v>
      </c>
      <c r="D568" s="3" t="n">
        <v>12</v>
      </c>
      <c r="E568" s="3" t="n">
        <v>6</v>
      </c>
      <c r="F568" s="24" t="n">
        <v>0</v>
      </c>
    </row>
    <row r="569" customFormat="false" ht="15" hidden="false" customHeight="false" outlineLevel="0" collapsed="false">
      <c r="A569" s="3" t="n">
        <v>568</v>
      </c>
      <c r="B569" s="3" t="n">
        <v>567</v>
      </c>
      <c r="C569" s="3" t="n">
        <v>2</v>
      </c>
      <c r="D569" s="3" t="n">
        <v>12</v>
      </c>
      <c r="E569" s="3" t="n">
        <v>7</v>
      </c>
      <c r="F569" s="24" t="n">
        <v>0</v>
      </c>
    </row>
    <row r="570" customFormat="false" ht="15" hidden="false" customHeight="false" outlineLevel="0" collapsed="false">
      <c r="A570" s="3" t="n">
        <v>569</v>
      </c>
      <c r="B570" s="3" t="n">
        <v>568</v>
      </c>
      <c r="C570" s="3" t="n">
        <v>2</v>
      </c>
      <c r="D570" s="3" t="n">
        <v>12</v>
      </c>
      <c r="E570" s="3" t="n">
        <v>8</v>
      </c>
      <c r="F570" s="24" t="n">
        <v>0</v>
      </c>
    </row>
    <row r="571" customFormat="false" ht="15" hidden="false" customHeight="false" outlineLevel="0" collapsed="false">
      <c r="A571" s="3" t="n">
        <v>570</v>
      </c>
      <c r="B571" s="3" t="n">
        <v>569</v>
      </c>
      <c r="C571" s="3" t="n">
        <v>2</v>
      </c>
      <c r="D571" s="3" t="n">
        <v>12</v>
      </c>
      <c r="E571" s="3" t="n">
        <v>9</v>
      </c>
      <c r="F571" s="24" t="n">
        <v>0</v>
      </c>
    </row>
    <row r="572" customFormat="false" ht="15" hidden="false" customHeight="false" outlineLevel="0" collapsed="false">
      <c r="A572" s="3" t="n">
        <v>571</v>
      </c>
      <c r="B572" s="3" t="n">
        <v>570</v>
      </c>
      <c r="C572" s="3" t="n">
        <v>2</v>
      </c>
      <c r="D572" s="3" t="n">
        <v>12</v>
      </c>
      <c r="E572" s="3" t="n">
        <v>10</v>
      </c>
      <c r="F572" s="24" t="n">
        <v>0</v>
      </c>
    </row>
    <row r="573" customFormat="false" ht="15" hidden="false" customHeight="false" outlineLevel="0" collapsed="false">
      <c r="A573" s="3" t="n">
        <v>572</v>
      </c>
      <c r="B573" s="3" t="n">
        <v>571</v>
      </c>
      <c r="C573" s="3" t="n">
        <v>2</v>
      </c>
      <c r="D573" s="3" t="n">
        <v>12</v>
      </c>
      <c r="E573" s="3" t="n">
        <v>11</v>
      </c>
      <c r="F573" s="24" t="n">
        <v>0</v>
      </c>
    </row>
    <row r="574" customFormat="false" ht="15" hidden="false" customHeight="false" outlineLevel="0" collapsed="false">
      <c r="A574" s="3" t="n">
        <v>573</v>
      </c>
      <c r="B574" s="3" t="n">
        <v>572</v>
      </c>
      <c r="C574" s="3" t="n">
        <v>2</v>
      </c>
      <c r="D574" s="3" t="n">
        <v>12</v>
      </c>
      <c r="E574" s="3" t="n">
        <v>12</v>
      </c>
      <c r="F574" s="24" t="n">
        <v>0</v>
      </c>
    </row>
    <row r="575" customFormat="false" ht="15" hidden="false" customHeight="false" outlineLevel="0" collapsed="false">
      <c r="A575" s="3" t="n">
        <v>574</v>
      </c>
      <c r="B575" s="3" t="n">
        <v>573</v>
      </c>
      <c r="C575" s="3" t="n">
        <v>2</v>
      </c>
      <c r="D575" s="3" t="n">
        <v>12</v>
      </c>
      <c r="E575" s="3" t="n">
        <v>13</v>
      </c>
      <c r="F575" s="24" t="n">
        <v>0.387737483</v>
      </c>
    </row>
    <row r="576" customFormat="false" ht="15" hidden="false" customHeight="false" outlineLevel="0" collapsed="false">
      <c r="A576" s="3" t="n">
        <v>575</v>
      </c>
      <c r="B576" s="3" t="n">
        <v>574</v>
      </c>
      <c r="C576" s="3" t="n">
        <v>2</v>
      </c>
      <c r="D576" s="3" t="n">
        <v>13</v>
      </c>
      <c r="E576" s="3" t="n">
        <v>0</v>
      </c>
      <c r="F576" s="24" t="n">
        <v>0</v>
      </c>
    </row>
    <row r="577" customFormat="false" ht="15" hidden="false" customHeight="false" outlineLevel="0" collapsed="false">
      <c r="A577" s="3" t="n">
        <v>576</v>
      </c>
      <c r="B577" s="3" t="n">
        <v>575</v>
      </c>
      <c r="C577" s="3" t="n">
        <v>2</v>
      </c>
      <c r="D577" s="3" t="n">
        <v>13</v>
      </c>
      <c r="E577" s="3" t="n">
        <v>1</v>
      </c>
      <c r="F577" s="24" t="n">
        <v>0</v>
      </c>
    </row>
    <row r="578" customFormat="false" ht="15" hidden="false" customHeight="false" outlineLevel="0" collapsed="false">
      <c r="A578" s="3" t="n">
        <v>577</v>
      </c>
      <c r="B578" s="3" t="n">
        <v>576</v>
      </c>
      <c r="C578" s="3" t="n">
        <v>2</v>
      </c>
      <c r="D578" s="3" t="n">
        <v>13</v>
      </c>
      <c r="E578" s="3" t="n">
        <v>2</v>
      </c>
      <c r="F578" s="24" t="n">
        <v>0</v>
      </c>
    </row>
    <row r="579" customFormat="false" ht="15" hidden="false" customHeight="false" outlineLevel="0" collapsed="false">
      <c r="A579" s="3" t="n">
        <v>578</v>
      </c>
      <c r="B579" s="3" t="n">
        <v>577</v>
      </c>
      <c r="C579" s="3" t="n">
        <v>2</v>
      </c>
      <c r="D579" s="3" t="n">
        <v>13</v>
      </c>
      <c r="E579" s="3" t="n">
        <v>3</v>
      </c>
      <c r="F579" s="24" t="n">
        <v>0</v>
      </c>
    </row>
    <row r="580" customFormat="false" ht="15" hidden="false" customHeight="false" outlineLevel="0" collapsed="false">
      <c r="A580" s="3" t="n">
        <v>579</v>
      </c>
      <c r="B580" s="3" t="n">
        <v>578</v>
      </c>
      <c r="C580" s="3" t="n">
        <v>2</v>
      </c>
      <c r="D580" s="3" t="n">
        <v>13</v>
      </c>
      <c r="E580" s="3" t="n">
        <v>4</v>
      </c>
      <c r="F580" s="24" t="n">
        <v>1.11009717</v>
      </c>
    </row>
    <row r="581" customFormat="false" ht="15" hidden="false" customHeight="false" outlineLevel="0" collapsed="false">
      <c r="A581" s="3" t="n">
        <v>580</v>
      </c>
      <c r="B581" s="3" t="n">
        <v>579</v>
      </c>
      <c r="C581" s="3" t="n">
        <v>2</v>
      </c>
      <c r="D581" s="3" t="n">
        <v>13</v>
      </c>
      <c r="E581" s="3" t="n">
        <v>5</v>
      </c>
      <c r="F581" s="24" t="n">
        <v>2.36208653</v>
      </c>
    </row>
    <row r="582" customFormat="false" ht="15" hidden="false" customHeight="false" outlineLevel="0" collapsed="false">
      <c r="A582" s="3" t="n">
        <v>581</v>
      </c>
      <c r="B582" s="3" t="n">
        <v>580</v>
      </c>
      <c r="C582" s="3" t="n">
        <v>2</v>
      </c>
      <c r="D582" s="3" t="n">
        <v>13</v>
      </c>
      <c r="E582" s="3" t="n">
        <v>6</v>
      </c>
      <c r="F582" s="24" t="n">
        <v>0</v>
      </c>
    </row>
    <row r="583" customFormat="false" ht="15" hidden="false" customHeight="false" outlineLevel="0" collapsed="false">
      <c r="A583" s="3" t="n">
        <v>582</v>
      </c>
      <c r="B583" s="3" t="n">
        <v>581</v>
      </c>
      <c r="C583" s="3" t="n">
        <v>2</v>
      </c>
      <c r="D583" s="3" t="n">
        <v>13</v>
      </c>
      <c r="E583" s="3" t="n">
        <v>7</v>
      </c>
      <c r="F583" s="24" t="n">
        <v>0</v>
      </c>
    </row>
    <row r="584" customFormat="false" ht="15" hidden="false" customHeight="false" outlineLevel="0" collapsed="false">
      <c r="A584" s="3" t="n">
        <v>583</v>
      </c>
      <c r="B584" s="3" t="n">
        <v>582</v>
      </c>
      <c r="C584" s="3" t="n">
        <v>2</v>
      </c>
      <c r="D584" s="3" t="n">
        <v>13</v>
      </c>
      <c r="E584" s="3" t="n">
        <v>8</v>
      </c>
      <c r="F584" s="24" t="n">
        <v>0</v>
      </c>
    </row>
    <row r="585" customFormat="false" ht="15" hidden="false" customHeight="false" outlineLevel="0" collapsed="false">
      <c r="A585" s="3" t="n">
        <v>584</v>
      </c>
      <c r="B585" s="3" t="n">
        <v>583</v>
      </c>
      <c r="C585" s="3" t="n">
        <v>2</v>
      </c>
      <c r="D585" s="3" t="n">
        <v>13</v>
      </c>
      <c r="E585" s="3" t="n">
        <v>9</v>
      </c>
      <c r="F585" s="24" t="n">
        <v>0</v>
      </c>
    </row>
    <row r="586" customFormat="false" ht="15" hidden="false" customHeight="false" outlineLevel="0" collapsed="false">
      <c r="A586" s="3" t="n">
        <v>585</v>
      </c>
      <c r="B586" s="3" t="n">
        <v>584</v>
      </c>
      <c r="C586" s="3" t="n">
        <v>2</v>
      </c>
      <c r="D586" s="3" t="n">
        <v>13</v>
      </c>
      <c r="E586" s="3" t="n">
        <v>10</v>
      </c>
      <c r="F586" s="24" t="n">
        <v>0</v>
      </c>
    </row>
    <row r="587" customFormat="false" ht="15" hidden="false" customHeight="false" outlineLevel="0" collapsed="false">
      <c r="A587" s="3" t="n">
        <v>586</v>
      </c>
      <c r="B587" s="3" t="n">
        <v>585</v>
      </c>
      <c r="C587" s="3" t="n">
        <v>2</v>
      </c>
      <c r="D587" s="3" t="n">
        <v>13</v>
      </c>
      <c r="E587" s="3" t="n">
        <v>11</v>
      </c>
      <c r="F587" s="24" t="n">
        <v>0</v>
      </c>
    </row>
    <row r="588" customFormat="false" ht="15" hidden="false" customHeight="false" outlineLevel="0" collapsed="false">
      <c r="A588" s="3" t="n">
        <v>587</v>
      </c>
      <c r="B588" s="3" t="n">
        <v>586</v>
      </c>
      <c r="C588" s="3" t="n">
        <v>2</v>
      </c>
      <c r="D588" s="3" t="n">
        <v>13</v>
      </c>
      <c r="E588" s="3" t="n">
        <v>12</v>
      </c>
      <c r="F588" s="24" t="n">
        <v>0</v>
      </c>
    </row>
    <row r="589" customFormat="false" ht="15" hidden="false" customHeight="false" outlineLevel="0" collapsed="false">
      <c r="A589" s="3" t="n">
        <v>588</v>
      </c>
      <c r="B589" s="3" t="n">
        <v>587</v>
      </c>
      <c r="C589" s="3" t="n">
        <v>2</v>
      </c>
      <c r="D589" s="3" t="n">
        <v>13</v>
      </c>
      <c r="E589" s="3" t="n">
        <v>13</v>
      </c>
      <c r="F589" s="24" t="n">
        <v>0.387737483</v>
      </c>
    </row>
    <row r="590" customFormat="false" ht="15" hidden="false" customHeight="false" outlineLevel="0" collapsed="false">
      <c r="A590" s="3" t="n">
        <v>589</v>
      </c>
      <c r="B590" s="3" t="n">
        <v>588</v>
      </c>
      <c r="C590" s="3" t="n">
        <v>3</v>
      </c>
      <c r="D590" s="3" t="n">
        <v>0</v>
      </c>
      <c r="E590" s="3" t="n">
        <v>0</v>
      </c>
      <c r="F590" s="24" t="n">
        <v>0.0962923914</v>
      </c>
    </row>
    <row r="591" customFormat="false" ht="15" hidden="false" customHeight="false" outlineLevel="0" collapsed="false">
      <c r="A591" s="3" t="n">
        <v>590</v>
      </c>
      <c r="B591" s="3" t="n">
        <v>589</v>
      </c>
      <c r="C591" s="3" t="n">
        <v>3</v>
      </c>
      <c r="D591" s="3" t="n">
        <v>0</v>
      </c>
      <c r="E591" s="3" t="n">
        <v>1</v>
      </c>
      <c r="F591" s="24" t="n">
        <v>0</v>
      </c>
    </row>
    <row r="592" customFormat="false" ht="15" hidden="false" customHeight="false" outlineLevel="0" collapsed="false">
      <c r="A592" s="3" t="n">
        <v>591</v>
      </c>
      <c r="B592" s="3" t="n">
        <v>590</v>
      </c>
      <c r="C592" s="3" t="n">
        <v>3</v>
      </c>
      <c r="D592" s="3" t="n">
        <v>0</v>
      </c>
      <c r="E592" s="3" t="n">
        <v>2</v>
      </c>
      <c r="F592" s="24" t="n">
        <v>0</v>
      </c>
    </row>
    <row r="593" customFormat="false" ht="15" hidden="false" customHeight="false" outlineLevel="0" collapsed="false">
      <c r="A593" s="3" t="n">
        <v>592</v>
      </c>
      <c r="B593" s="3" t="n">
        <v>591</v>
      </c>
      <c r="C593" s="3" t="n">
        <v>3</v>
      </c>
      <c r="D593" s="3" t="n">
        <v>0</v>
      </c>
      <c r="E593" s="3" t="n">
        <v>3</v>
      </c>
      <c r="F593" s="24" t="n">
        <v>0</v>
      </c>
    </row>
    <row r="594" customFormat="false" ht="15" hidden="false" customHeight="false" outlineLevel="0" collapsed="false">
      <c r="A594" s="3" t="n">
        <v>593</v>
      </c>
      <c r="B594" s="3" t="n">
        <v>592</v>
      </c>
      <c r="C594" s="3" t="n">
        <v>3</v>
      </c>
      <c r="D594" s="3" t="n">
        <v>0</v>
      </c>
      <c r="E594" s="3" t="n">
        <v>4</v>
      </c>
      <c r="F594" s="24" t="n">
        <v>0</v>
      </c>
    </row>
    <row r="595" customFormat="false" ht="15" hidden="false" customHeight="false" outlineLevel="0" collapsed="false">
      <c r="A595" s="3" t="n">
        <v>594</v>
      </c>
      <c r="B595" s="3" t="n">
        <v>593</v>
      </c>
      <c r="C595" s="3" t="n">
        <v>3</v>
      </c>
      <c r="D595" s="3" t="n">
        <v>0</v>
      </c>
      <c r="E595" s="3" t="n">
        <v>5</v>
      </c>
      <c r="F595" s="24" t="n">
        <v>0</v>
      </c>
    </row>
    <row r="596" customFormat="false" ht="15" hidden="false" customHeight="false" outlineLevel="0" collapsed="false">
      <c r="A596" s="3" t="n">
        <v>595</v>
      </c>
      <c r="B596" s="3" t="n">
        <v>594</v>
      </c>
      <c r="C596" s="3" t="n">
        <v>3</v>
      </c>
      <c r="D596" s="3" t="n">
        <v>0</v>
      </c>
      <c r="E596" s="3" t="n">
        <v>6</v>
      </c>
      <c r="F596" s="24" t="n">
        <v>0</v>
      </c>
    </row>
    <row r="597" customFormat="false" ht="15" hidden="false" customHeight="false" outlineLevel="0" collapsed="false">
      <c r="A597" s="3" t="n">
        <v>596</v>
      </c>
      <c r="B597" s="3" t="n">
        <v>595</v>
      </c>
      <c r="C597" s="3" t="n">
        <v>3</v>
      </c>
      <c r="D597" s="3" t="n">
        <v>0</v>
      </c>
      <c r="E597" s="3" t="n">
        <v>7</v>
      </c>
      <c r="F597" s="24" t="n">
        <v>0</v>
      </c>
    </row>
    <row r="598" customFormat="false" ht="15" hidden="false" customHeight="false" outlineLevel="0" collapsed="false">
      <c r="A598" s="3" t="n">
        <v>597</v>
      </c>
      <c r="B598" s="3" t="n">
        <v>596</v>
      </c>
      <c r="C598" s="3" t="n">
        <v>3</v>
      </c>
      <c r="D598" s="3" t="n">
        <v>0</v>
      </c>
      <c r="E598" s="3" t="n">
        <v>8</v>
      </c>
      <c r="F598" s="24" t="n">
        <v>0</v>
      </c>
    </row>
    <row r="599" customFormat="false" ht="15" hidden="false" customHeight="false" outlineLevel="0" collapsed="false">
      <c r="A599" s="3" t="n">
        <v>598</v>
      </c>
      <c r="B599" s="3" t="n">
        <v>597</v>
      </c>
      <c r="C599" s="3" t="n">
        <v>3</v>
      </c>
      <c r="D599" s="3" t="n">
        <v>0</v>
      </c>
      <c r="E599" s="3" t="n">
        <v>9</v>
      </c>
      <c r="F599" s="24" t="n">
        <v>0</v>
      </c>
    </row>
    <row r="600" customFormat="false" ht="15" hidden="false" customHeight="false" outlineLevel="0" collapsed="false">
      <c r="A600" s="3" t="n">
        <v>599</v>
      </c>
      <c r="B600" s="3" t="n">
        <v>598</v>
      </c>
      <c r="C600" s="3" t="n">
        <v>3</v>
      </c>
      <c r="D600" s="3" t="n">
        <v>0</v>
      </c>
      <c r="E600" s="3" t="n">
        <v>10</v>
      </c>
      <c r="F600" s="24" t="n">
        <v>0</v>
      </c>
    </row>
    <row r="601" customFormat="false" ht="15" hidden="false" customHeight="false" outlineLevel="0" collapsed="false">
      <c r="A601" s="3" t="n">
        <v>600</v>
      </c>
      <c r="B601" s="3" t="n">
        <v>599</v>
      </c>
      <c r="C601" s="3" t="n">
        <v>3</v>
      </c>
      <c r="D601" s="3" t="n">
        <v>0</v>
      </c>
      <c r="E601" s="3" t="n">
        <v>11</v>
      </c>
      <c r="F601" s="24" t="n">
        <v>0</v>
      </c>
    </row>
    <row r="602" customFormat="false" ht="15" hidden="false" customHeight="false" outlineLevel="0" collapsed="false">
      <c r="A602" s="3" t="n">
        <v>601</v>
      </c>
      <c r="B602" s="3" t="n">
        <v>600</v>
      </c>
      <c r="C602" s="3" t="n">
        <v>3</v>
      </c>
      <c r="D602" s="3" t="n">
        <v>0</v>
      </c>
      <c r="E602" s="3" t="n">
        <v>12</v>
      </c>
      <c r="F602" s="24" t="n">
        <v>0</v>
      </c>
    </row>
    <row r="603" customFormat="false" ht="15" hidden="false" customHeight="false" outlineLevel="0" collapsed="false">
      <c r="A603" s="3" t="n">
        <v>602</v>
      </c>
      <c r="B603" s="3" t="n">
        <v>601</v>
      </c>
      <c r="C603" s="3" t="n">
        <v>3</v>
      </c>
      <c r="D603" s="3" t="n">
        <v>0</v>
      </c>
      <c r="E603" s="3" t="n">
        <v>13</v>
      </c>
      <c r="F603" s="24" t="n">
        <v>0</v>
      </c>
    </row>
    <row r="604" customFormat="false" ht="15" hidden="false" customHeight="false" outlineLevel="0" collapsed="false">
      <c r="A604" s="3" t="n">
        <v>603</v>
      </c>
      <c r="B604" s="3" t="n">
        <v>602</v>
      </c>
      <c r="C604" s="3" t="n">
        <v>3</v>
      </c>
      <c r="D604" s="3" t="n">
        <v>1</v>
      </c>
      <c r="E604" s="3" t="n">
        <v>0</v>
      </c>
      <c r="F604" s="24" t="n">
        <v>0.0962923914</v>
      </c>
    </row>
    <row r="605" customFormat="false" ht="15" hidden="false" customHeight="false" outlineLevel="0" collapsed="false">
      <c r="A605" s="3" t="n">
        <v>604</v>
      </c>
      <c r="B605" s="3" t="n">
        <v>603</v>
      </c>
      <c r="C605" s="3" t="n">
        <v>3</v>
      </c>
      <c r="D605" s="3" t="n">
        <v>1</v>
      </c>
      <c r="E605" s="3" t="n">
        <v>1</v>
      </c>
      <c r="F605" s="24" t="n">
        <v>0</v>
      </c>
    </row>
    <row r="606" customFormat="false" ht="15" hidden="false" customHeight="false" outlineLevel="0" collapsed="false">
      <c r="A606" s="3" t="n">
        <v>605</v>
      </c>
      <c r="B606" s="3" t="n">
        <v>604</v>
      </c>
      <c r="C606" s="3" t="n">
        <v>3</v>
      </c>
      <c r="D606" s="3" t="n">
        <v>1</v>
      </c>
      <c r="E606" s="3" t="n">
        <v>2</v>
      </c>
      <c r="F606" s="24" t="n">
        <v>0</v>
      </c>
    </row>
    <row r="607" customFormat="false" ht="15" hidden="false" customHeight="false" outlineLevel="0" collapsed="false">
      <c r="A607" s="3" t="n">
        <v>606</v>
      </c>
      <c r="B607" s="3" t="n">
        <v>605</v>
      </c>
      <c r="C607" s="3" t="n">
        <v>3</v>
      </c>
      <c r="D607" s="3" t="n">
        <v>1</v>
      </c>
      <c r="E607" s="3" t="n">
        <v>3</v>
      </c>
      <c r="F607" s="24" t="n">
        <v>0</v>
      </c>
    </row>
    <row r="608" customFormat="false" ht="15" hidden="false" customHeight="false" outlineLevel="0" collapsed="false">
      <c r="A608" s="3" t="n">
        <v>607</v>
      </c>
      <c r="B608" s="3" t="n">
        <v>606</v>
      </c>
      <c r="C608" s="3" t="n">
        <v>3</v>
      </c>
      <c r="D608" s="3" t="n">
        <v>1</v>
      </c>
      <c r="E608" s="3" t="n">
        <v>4</v>
      </c>
      <c r="F608" s="24" t="n">
        <v>0</v>
      </c>
    </row>
    <row r="609" customFormat="false" ht="15" hidden="false" customHeight="false" outlineLevel="0" collapsed="false">
      <c r="A609" s="3" t="n">
        <v>608</v>
      </c>
      <c r="B609" s="3" t="n">
        <v>607</v>
      </c>
      <c r="C609" s="3" t="n">
        <v>3</v>
      </c>
      <c r="D609" s="3" t="n">
        <v>1</v>
      </c>
      <c r="E609" s="3" t="n">
        <v>5</v>
      </c>
      <c r="F609" s="24" t="n">
        <v>0</v>
      </c>
    </row>
    <row r="610" customFormat="false" ht="15" hidden="false" customHeight="false" outlineLevel="0" collapsed="false">
      <c r="A610" s="3" t="n">
        <v>609</v>
      </c>
      <c r="B610" s="3" t="n">
        <v>608</v>
      </c>
      <c r="C610" s="3" t="n">
        <v>3</v>
      </c>
      <c r="D610" s="3" t="n">
        <v>1</v>
      </c>
      <c r="E610" s="3" t="n">
        <v>6</v>
      </c>
      <c r="F610" s="24" t="n">
        <v>0</v>
      </c>
    </row>
    <row r="611" customFormat="false" ht="15" hidden="false" customHeight="false" outlineLevel="0" collapsed="false">
      <c r="A611" s="3" t="n">
        <v>610</v>
      </c>
      <c r="B611" s="3" t="n">
        <v>609</v>
      </c>
      <c r="C611" s="3" t="n">
        <v>3</v>
      </c>
      <c r="D611" s="3" t="n">
        <v>1</v>
      </c>
      <c r="E611" s="3" t="n">
        <v>7</v>
      </c>
      <c r="F611" s="24" t="n">
        <v>0</v>
      </c>
    </row>
    <row r="612" customFormat="false" ht="15" hidden="false" customHeight="false" outlineLevel="0" collapsed="false">
      <c r="A612" s="3" t="n">
        <v>611</v>
      </c>
      <c r="B612" s="3" t="n">
        <v>610</v>
      </c>
      <c r="C612" s="3" t="n">
        <v>3</v>
      </c>
      <c r="D612" s="3" t="n">
        <v>1</v>
      </c>
      <c r="E612" s="3" t="n">
        <v>8</v>
      </c>
      <c r="F612" s="24" t="n">
        <v>0</v>
      </c>
    </row>
    <row r="613" customFormat="false" ht="15" hidden="false" customHeight="false" outlineLevel="0" collapsed="false">
      <c r="A613" s="3" t="n">
        <v>612</v>
      </c>
      <c r="B613" s="3" t="n">
        <v>611</v>
      </c>
      <c r="C613" s="3" t="n">
        <v>3</v>
      </c>
      <c r="D613" s="3" t="n">
        <v>1</v>
      </c>
      <c r="E613" s="3" t="n">
        <v>9</v>
      </c>
      <c r="F613" s="24" t="n">
        <v>0</v>
      </c>
    </row>
    <row r="614" customFormat="false" ht="15" hidden="false" customHeight="false" outlineLevel="0" collapsed="false">
      <c r="A614" s="3" t="n">
        <v>613</v>
      </c>
      <c r="B614" s="3" t="n">
        <v>612</v>
      </c>
      <c r="C614" s="3" t="n">
        <v>3</v>
      </c>
      <c r="D614" s="3" t="n">
        <v>1</v>
      </c>
      <c r="E614" s="3" t="n">
        <v>10</v>
      </c>
      <c r="F614" s="24" t="n">
        <v>0</v>
      </c>
    </row>
    <row r="615" customFormat="false" ht="15" hidden="false" customHeight="false" outlineLevel="0" collapsed="false">
      <c r="A615" s="3" t="n">
        <v>614</v>
      </c>
      <c r="B615" s="3" t="n">
        <v>613</v>
      </c>
      <c r="C615" s="3" t="n">
        <v>3</v>
      </c>
      <c r="D615" s="3" t="n">
        <v>1</v>
      </c>
      <c r="E615" s="3" t="n">
        <v>11</v>
      </c>
      <c r="F615" s="24" t="n">
        <v>0</v>
      </c>
    </row>
    <row r="616" customFormat="false" ht="15" hidden="false" customHeight="false" outlineLevel="0" collapsed="false">
      <c r="A616" s="3" t="n">
        <v>615</v>
      </c>
      <c r="B616" s="3" t="n">
        <v>614</v>
      </c>
      <c r="C616" s="3" t="n">
        <v>3</v>
      </c>
      <c r="D616" s="3" t="n">
        <v>1</v>
      </c>
      <c r="E616" s="3" t="n">
        <v>12</v>
      </c>
      <c r="F616" s="24" t="n">
        <v>0</v>
      </c>
    </row>
    <row r="617" customFormat="false" ht="15" hidden="false" customHeight="false" outlineLevel="0" collapsed="false">
      <c r="A617" s="3" t="n">
        <v>616</v>
      </c>
      <c r="B617" s="3" t="n">
        <v>615</v>
      </c>
      <c r="C617" s="3" t="n">
        <v>3</v>
      </c>
      <c r="D617" s="3" t="n">
        <v>1</v>
      </c>
      <c r="E617" s="3" t="n">
        <v>13</v>
      </c>
      <c r="F617" s="24" t="n">
        <v>0</v>
      </c>
    </row>
    <row r="618" customFormat="false" ht="15" hidden="false" customHeight="false" outlineLevel="0" collapsed="false">
      <c r="A618" s="3" t="n">
        <v>617</v>
      </c>
      <c r="B618" s="3" t="n">
        <v>616</v>
      </c>
      <c r="C618" s="3" t="n">
        <v>3</v>
      </c>
      <c r="D618" s="3" t="n">
        <v>2</v>
      </c>
      <c r="E618" s="3" t="n">
        <v>0</v>
      </c>
      <c r="F618" s="24" t="n">
        <v>0.0962923914</v>
      </c>
    </row>
    <row r="619" customFormat="false" ht="15" hidden="false" customHeight="false" outlineLevel="0" collapsed="false">
      <c r="A619" s="3" t="n">
        <v>618</v>
      </c>
      <c r="B619" s="3" t="n">
        <v>617</v>
      </c>
      <c r="C619" s="3" t="n">
        <v>3</v>
      </c>
      <c r="D619" s="3" t="n">
        <v>2</v>
      </c>
      <c r="E619" s="3" t="n">
        <v>1</v>
      </c>
      <c r="F619" s="24" t="n">
        <v>0</v>
      </c>
    </row>
    <row r="620" customFormat="false" ht="15" hidden="false" customHeight="false" outlineLevel="0" collapsed="false">
      <c r="A620" s="3" t="n">
        <v>619</v>
      </c>
      <c r="B620" s="3" t="n">
        <v>618</v>
      </c>
      <c r="C620" s="3" t="n">
        <v>3</v>
      </c>
      <c r="D620" s="3" t="n">
        <v>2</v>
      </c>
      <c r="E620" s="3" t="n">
        <v>2</v>
      </c>
      <c r="F620" s="24" t="n">
        <v>0</v>
      </c>
    </row>
    <row r="621" customFormat="false" ht="15" hidden="false" customHeight="false" outlineLevel="0" collapsed="false">
      <c r="A621" s="3" t="n">
        <v>620</v>
      </c>
      <c r="B621" s="3" t="n">
        <v>619</v>
      </c>
      <c r="C621" s="3" t="n">
        <v>3</v>
      </c>
      <c r="D621" s="3" t="n">
        <v>2</v>
      </c>
      <c r="E621" s="3" t="n">
        <v>3</v>
      </c>
      <c r="F621" s="24" t="n">
        <v>0</v>
      </c>
    </row>
    <row r="622" customFormat="false" ht="15" hidden="false" customHeight="false" outlineLevel="0" collapsed="false">
      <c r="A622" s="3" t="n">
        <v>621</v>
      </c>
      <c r="B622" s="3" t="n">
        <v>620</v>
      </c>
      <c r="C622" s="3" t="n">
        <v>3</v>
      </c>
      <c r="D622" s="3" t="n">
        <v>2</v>
      </c>
      <c r="E622" s="3" t="n">
        <v>4</v>
      </c>
      <c r="F622" s="24" t="n">
        <v>0</v>
      </c>
    </row>
    <row r="623" customFormat="false" ht="15" hidden="false" customHeight="false" outlineLevel="0" collapsed="false">
      <c r="A623" s="3" t="n">
        <v>622</v>
      </c>
      <c r="B623" s="3" t="n">
        <v>621</v>
      </c>
      <c r="C623" s="3" t="n">
        <v>3</v>
      </c>
      <c r="D623" s="3" t="n">
        <v>2</v>
      </c>
      <c r="E623" s="3" t="n">
        <v>5</v>
      </c>
      <c r="F623" s="24" t="n">
        <v>0</v>
      </c>
    </row>
    <row r="624" customFormat="false" ht="15" hidden="false" customHeight="false" outlineLevel="0" collapsed="false">
      <c r="A624" s="3" t="n">
        <v>623</v>
      </c>
      <c r="B624" s="3" t="n">
        <v>622</v>
      </c>
      <c r="C624" s="3" t="n">
        <v>3</v>
      </c>
      <c r="D624" s="3" t="n">
        <v>2</v>
      </c>
      <c r="E624" s="3" t="n">
        <v>6</v>
      </c>
      <c r="F624" s="24" t="n">
        <v>0</v>
      </c>
    </row>
    <row r="625" customFormat="false" ht="15" hidden="false" customHeight="false" outlineLevel="0" collapsed="false">
      <c r="A625" s="3" t="n">
        <v>624</v>
      </c>
      <c r="B625" s="3" t="n">
        <v>623</v>
      </c>
      <c r="C625" s="3" t="n">
        <v>3</v>
      </c>
      <c r="D625" s="3" t="n">
        <v>2</v>
      </c>
      <c r="E625" s="3" t="n">
        <v>7</v>
      </c>
      <c r="F625" s="24" t="n">
        <v>0</v>
      </c>
    </row>
    <row r="626" customFormat="false" ht="15" hidden="false" customHeight="false" outlineLevel="0" collapsed="false">
      <c r="A626" s="3" t="n">
        <v>625</v>
      </c>
      <c r="B626" s="3" t="n">
        <v>624</v>
      </c>
      <c r="C626" s="3" t="n">
        <v>3</v>
      </c>
      <c r="D626" s="3" t="n">
        <v>2</v>
      </c>
      <c r="E626" s="3" t="n">
        <v>8</v>
      </c>
      <c r="F626" s="24" t="n">
        <v>0</v>
      </c>
    </row>
    <row r="627" customFormat="false" ht="15" hidden="false" customHeight="false" outlineLevel="0" collapsed="false">
      <c r="A627" s="3" t="n">
        <v>626</v>
      </c>
      <c r="B627" s="3" t="n">
        <v>625</v>
      </c>
      <c r="C627" s="3" t="n">
        <v>3</v>
      </c>
      <c r="D627" s="3" t="n">
        <v>2</v>
      </c>
      <c r="E627" s="3" t="n">
        <v>9</v>
      </c>
      <c r="F627" s="24" t="n">
        <v>0</v>
      </c>
    </row>
    <row r="628" customFormat="false" ht="15" hidden="false" customHeight="false" outlineLevel="0" collapsed="false">
      <c r="A628" s="3" t="n">
        <v>627</v>
      </c>
      <c r="B628" s="3" t="n">
        <v>626</v>
      </c>
      <c r="C628" s="3" t="n">
        <v>3</v>
      </c>
      <c r="D628" s="3" t="n">
        <v>2</v>
      </c>
      <c r="E628" s="3" t="n">
        <v>10</v>
      </c>
      <c r="F628" s="24" t="n">
        <v>0</v>
      </c>
    </row>
    <row r="629" customFormat="false" ht="15" hidden="false" customHeight="false" outlineLevel="0" collapsed="false">
      <c r="A629" s="3" t="n">
        <v>628</v>
      </c>
      <c r="B629" s="3" t="n">
        <v>627</v>
      </c>
      <c r="C629" s="3" t="n">
        <v>3</v>
      </c>
      <c r="D629" s="3" t="n">
        <v>2</v>
      </c>
      <c r="E629" s="3" t="n">
        <v>11</v>
      </c>
      <c r="F629" s="24" t="n">
        <v>0</v>
      </c>
    </row>
    <row r="630" customFormat="false" ht="15" hidden="false" customHeight="false" outlineLevel="0" collapsed="false">
      <c r="A630" s="3" t="n">
        <v>629</v>
      </c>
      <c r="B630" s="3" t="n">
        <v>628</v>
      </c>
      <c r="C630" s="3" t="n">
        <v>3</v>
      </c>
      <c r="D630" s="3" t="n">
        <v>2</v>
      </c>
      <c r="E630" s="3" t="n">
        <v>12</v>
      </c>
      <c r="F630" s="24" t="n">
        <v>0</v>
      </c>
    </row>
    <row r="631" customFormat="false" ht="15" hidden="false" customHeight="false" outlineLevel="0" collapsed="false">
      <c r="A631" s="3" t="n">
        <v>630</v>
      </c>
      <c r="B631" s="3" t="n">
        <v>629</v>
      </c>
      <c r="C631" s="3" t="n">
        <v>3</v>
      </c>
      <c r="D631" s="3" t="n">
        <v>2</v>
      </c>
      <c r="E631" s="3" t="n">
        <v>13</v>
      </c>
      <c r="F631" s="24" t="n">
        <v>0</v>
      </c>
    </row>
    <row r="632" customFormat="false" ht="15" hidden="false" customHeight="false" outlineLevel="0" collapsed="false">
      <c r="A632" s="3" t="n">
        <v>631</v>
      </c>
      <c r="B632" s="3" t="n">
        <v>630</v>
      </c>
      <c r="C632" s="3" t="n">
        <v>3</v>
      </c>
      <c r="D632" s="3" t="n">
        <v>3</v>
      </c>
      <c r="E632" s="3" t="n">
        <v>0</v>
      </c>
      <c r="F632" s="24" t="n">
        <v>0.0962923914</v>
      </c>
    </row>
    <row r="633" customFormat="false" ht="15" hidden="false" customHeight="false" outlineLevel="0" collapsed="false">
      <c r="A633" s="3" t="n">
        <v>632</v>
      </c>
      <c r="B633" s="3" t="n">
        <v>631</v>
      </c>
      <c r="C633" s="3" t="n">
        <v>3</v>
      </c>
      <c r="D633" s="3" t="n">
        <v>3</v>
      </c>
      <c r="E633" s="3" t="n">
        <v>1</v>
      </c>
      <c r="F633" s="24" t="n">
        <v>0</v>
      </c>
    </row>
    <row r="634" customFormat="false" ht="15" hidden="false" customHeight="false" outlineLevel="0" collapsed="false">
      <c r="A634" s="3" t="n">
        <v>633</v>
      </c>
      <c r="B634" s="3" t="n">
        <v>632</v>
      </c>
      <c r="C634" s="3" t="n">
        <v>3</v>
      </c>
      <c r="D634" s="3" t="n">
        <v>3</v>
      </c>
      <c r="E634" s="3" t="n">
        <v>2</v>
      </c>
      <c r="F634" s="24" t="n">
        <v>1.68832505</v>
      </c>
    </row>
    <row r="635" customFormat="false" ht="15" hidden="false" customHeight="false" outlineLevel="0" collapsed="false">
      <c r="A635" s="3" t="n">
        <v>634</v>
      </c>
      <c r="B635" s="3" t="n">
        <v>633</v>
      </c>
      <c r="C635" s="3" t="n">
        <v>3</v>
      </c>
      <c r="D635" s="3" t="n">
        <v>3</v>
      </c>
      <c r="E635" s="3" t="n">
        <v>3</v>
      </c>
      <c r="F635" s="24" t="n">
        <v>4.24948072</v>
      </c>
    </row>
    <row r="636" customFormat="false" ht="15" hidden="false" customHeight="false" outlineLevel="0" collapsed="false">
      <c r="A636" s="3" t="n">
        <v>635</v>
      </c>
      <c r="B636" s="3" t="n">
        <v>634</v>
      </c>
      <c r="C636" s="3" t="n">
        <v>3</v>
      </c>
      <c r="D636" s="3" t="n">
        <v>3</v>
      </c>
      <c r="E636" s="3" t="n">
        <v>4</v>
      </c>
      <c r="F636" s="24" t="n">
        <v>4.93163776</v>
      </c>
    </row>
    <row r="637" customFormat="false" ht="15" hidden="false" customHeight="false" outlineLevel="0" collapsed="false">
      <c r="A637" s="3" t="n">
        <v>636</v>
      </c>
      <c r="B637" s="3" t="n">
        <v>635</v>
      </c>
      <c r="C637" s="3" t="n">
        <v>3</v>
      </c>
      <c r="D637" s="3" t="n">
        <v>3</v>
      </c>
      <c r="E637" s="3" t="n">
        <v>5</v>
      </c>
      <c r="F637" s="24" t="n">
        <v>4.17231083</v>
      </c>
    </row>
    <row r="638" customFormat="false" ht="15" hidden="false" customHeight="false" outlineLevel="0" collapsed="false">
      <c r="A638" s="3" t="n">
        <v>637</v>
      </c>
      <c r="B638" s="3" t="n">
        <v>636</v>
      </c>
      <c r="C638" s="3" t="n">
        <v>3</v>
      </c>
      <c r="D638" s="3" t="n">
        <v>3</v>
      </c>
      <c r="E638" s="3" t="n">
        <v>6</v>
      </c>
      <c r="F638" s="24" t="n">
        <v>2.81955218</v>
      </c>
    </row>
    <row r="639" customFormat="false" ht="15" hidden="false" customHeight="false" outlineLevel="0" collapsed="false">
      <c r="A639" s="3" t="n">
        <v>638</v>
      </c>
      <c r="B639" s="3" t="n">
        <v>637</v>
      </c>
      <c r="C639" s="3" t="n">
        <v>3</v>
      </c>
      <c r="D639" s="3" t="n">
        <v>3</v>
      </c>
      <c r="E639" s="3" t="n">
        <v>7</v>
      </c>
      <c r="F639" s="24" t="n">
        <v>2.48374248</v>
      </c>
    </row>
    <row r="640" customFormat="false" ht="15" hidden="false" customHeight="false" outlineLevel="0" collapsed="false">
      <c r="A640" s="3" t="n">
        <v>639</v>
      </c>
      <c r="B640" s="3" t="n">
        <v>638</v>
      </c>
      <c r="C640" s="3" t="n">
        <v>3</v>
      </c>
      <c r="D640" s="3" t="n">
        <v>3</v>
      </c>
      <c r="E640" s="3" t="n">
        <v>8</v>
      </c>
      <c r="F640" s="24" t="n">
        <v>2.48374248</v>
      </c>
    </row>
    <row r="641" customFormat="false" ht="15" hidden="false" customHeight="false" outlineLevel="0" collapsed="false">
      <c r="A641" s="3" t="n">
        <v>640</v>
      </c>
      <c r="B641" s="3" t="n">
        <v>639</v>
      </c>
      <c r="C641" s="3" t="n">
        <v>3</v>
      </c>
      <c r="D641" s="3" t="n">
        <v>3</v>
      </c>
      <c r="E641" s="3" t="n">
        <v>9</v>
      </c>
      <c r="F641" s="24" t="n">
        <v>2.48374248</v>
      </c>
    </row>
    <row r="642" customFormat="false" ht="15" hidden="false" customHeight="false" outlineLevel="0" collapsed="false">
      <c r="A642" s="3" t="n">
        <v>641</v>
      </c>
      <c r="B642" s="3" t="n">
        <v>640</v>
      </c>
      <c r="C642" s="3" t="n">
        <v>3</v>
      </c>
      <c r="D642" s="3" t="n">
        <v>3</v>
      </c>
      <c r="E642" s="3" t="n">
        <v>10</v>
      </c>
      <c r="F642" s="24" t="n">
        <v>1.49991894</v>
      </c>
    </row>
    <row r="643" customFormat="false" ht="15" hidden="false" customHeight="false" outlineLevel="0" collapsed="false">
      <c r="A643" s="3" t="n">
        <v>642</v>
      </c>
      <c r="B643" s="3" t="n">
        <v>641</v>
      </c>
      <c r="C643" s="3" t="n">
        <v>3</v>
      </c>
      <c r="D643" s="3" t="n">
        <v>3</v>
      </c>
      <c r="E643" s="3" t="n">
        <v>11</v>
      </c>
      <c r="F643" s="24" t="n">
        <v>0.116716251</v>
      </c>
    </row>
    <row r="644" customFormat="false" ht="15" hidden="false" customHeight="false" outlineLevel="0" collapsed="false">
      <c r="A644" s="3" t="n">
        <v>643</v>
      </c>
      <c r="B644" s="3" t="n">
        <v>642</v>
      </c>
      <c r="C644" s="3" t="n">
        <v>3</v>
      </c>
      <c r="D644" s="3" t="n">
        <v>3</v>
      </c>
      <c r="E644" s="3" t="n">
        <v>12</v>
      </c>
      <c r="F644" s="24" t="n">
        <v>0</v>
      </c>
    </row>
    <row r="645" customFormat="false" ht="15" hidden="false" customHeight="false" outlineLevel="0" collapsed="false">
      <c r="A645" s="3" t="n">
        <v>644</v>
      </c>
      <c r="B645" s="3" t="n">
        <v>643</v>
      </c>
      <c r="C645" s="3" t="n">
        <v>3</v>
      </c>
      <c r="D645" s="3" t="n">
        <v>3</v>
      </c>
      <c r="E645" s="3" t="n">
        <v>13</v>
      </c>
      <c r="F645" s="24" t="n">
        <v>0</v>
      </c>
    </row>
    <row r="646" customFormat="false" ht="15" hidden="false" customHeight="false" outlineLevel="0" collapsed="false">
      <c r="A646" s="3" t="n">
        <v>645</v>
      </c>
      <c r="B646" s="3" t="n">
        <v>644</v>
      </c>
      <c r="C646" s="3" t="n">
        <v>3</v>
      </c>
      <c r="D646" s="3" t="n">
        <v>4</v>
      </c>
      <c r="E646" s="3" t="n">
        <v>0</v>
      </c>
      <c r="F646" s="24" t="n">
        <v>0.0962923914</v>
      </c>
    </row>
    <row r="647" customFormat="false" ht="15" hidden="false" customHeight="false" outlineLevel="0" collapsed="false">
      <c r="A647" s="3" t="n">
        <v>646</v>
      </c>
      <c r="B647" s="3" t="n">
        <v>645</v>
      </c>
      <c r="C647" s="3" t="n">
        <v>3</v>
      </c>
      <c r="D647" s="3" t="n">
        <v>4</v>
      </c>
      <c r="E647" s="3" t="n">
        <v>1</v>
      </c>
      <c r="F647" s="24" t="n">
        <v>0</v>
      </c>
    </row>
    <row r="648" customFormat="false" ht="15" hidden="false" customHeight="false" outlineLevel="0" collapsed="false">
      <c r="A648" s="3" t="n">
        <v>647</v>
      </c>
      <c r="B648" s="3" t="n">
        <v>646</v>
      </c>
      <c r="C648" s="3" t="n">
        <v>3</v>
      </c>
      <c r="D648" s="3" t="n">
        <v>4</v>
      </c>
      <c r="E648" s="3" t="n">
        <v>2</v>
      </c>
      <c r="F648" s="24" t="n">
        <v>0.547937453</v>
      </c>
    </row>
    <row r="649" customFormat="false" ht="15" hidden="false" customHeight="false" outlineLevel="0" collapsed="false">
      <c r="A649" s="3" t="n">
        <v>648</v>
      </c>
      <c r="B649" s="3" t="n">
        <v>647</v>
      </c>
      <c r="C649" s="3" t="n">
        <v>3</v>
      </c>
      <c r="D649" s="3" t="n">
        <v>4</v>
      </c>
      <c r="E649" s="3" t="n">
        <v>3</v>
      </c>
      <c r="F649" s="24" t="n">
        <v>0</v>
      </c>
    </row>
    <row r="650" customFormat="false" ht="15" hidden="false" customHeight="false" outlineLevel="0" collapsed="false">
      <c r="A650" s="3" t="n">
        <v>649</v>
      </c>
      <c r="B650" s="3" t="n">
        <v>648</v>
      </c>
      <c r="C650" s="3" t="n">
        <v>3</v>
      </c>
      <c r="D650" s="3" t="n">
        <v>4</v>
      </c>
      <c r="E650" s="3" t="n">
        <v>4</v>
      </c>
      <c r="F650" s="24" t="n">
        <v>1.56196606</v>
      </c>
    </row>
    <row r="651" customFormat="false" ht="15" hidden="false" customHeight="false" outlineLevel="0" collapsed="false">
      <c r="A651" s="3" t="n">
        <v>650</v>
      </c>
      <c r="B651" s="3" t="n">
        <v>649</v>
      </c>
      <c r="C651" s="3" t="n">
        <v>3</v>
      </c>
      <c r="D651" s="3" t="n">
        <v>4</v>
      </c>
      <c r="E651" s="3" t="n">
        <v>5</v>
      </c>
      <c r="F651" s="24" t="n">
        <v>4.57681084</v>
      </c>
    </row>
    <row r="652" customFormat="false" ht="15" hidden="false" customHeight="false" outlineLevel="0" collapsed="false">
      <c r="A652" s="3" t="n">
        <v>651</v>
      </c>
      <c r="B652" s="3" t="n">
        <v>650</v>
      </c>
      <c r="C652" s="3" t="n">
        <v>3</v>
      </c>
      <c r="D652" s="3" t="n">
        <v>4</v>
      </c>
      <c r="E652" s="3" t="n">
        <v>6</v>
      </c>
      <c r="F652" s="24" t="n">
        <v>5.08932781</v>
      </c>
    </row>
    <row r="653" customFormat="false" ht="15" hidden="false" customHeight="false" outlineLevel="0" collapsed="false">
      <c r="A653" s="3" t="n">
        <v>652</v>
      </c>
      <c r="B653" s="3" t="n">
        <v>651</v>
      </c>
      <c r="C653" s="3" t="n">
        <v>3</v>
      </c>
      <c r="D653" s="3" t="n">
        <v>4</v>
      </c>
      <c r="E653" s="3" t="n">
        <v>7</v>
      </c>
      <c r="F653" s="24" t="n">
        <v>5.20557261</v>
      </c>
    </row>
    <row r="654" customFormat="false" ht="15" hidden="false" customHeight="false" outlineLevel="0" collapsed="false">
      <c r="A654" s="3" t="n">
        <v>653</v>
      </c>
      <c r="B654" s="3" t="n">
        <v>652</v>
      </c>
      <c r="C654" s="3" t="n">
        <v>3</v>
      </c>
      <c r="D654" s="3" t="n">
        <v>4</v>
      </c>
      <c r="E654" s="3" t="n">
        <v>8</v>
      </c>
      <c r="F654" s="24" t="n">
        <v>5.18169355</v>
      </c>
    </row>
    <row r="655" customFormat="false" ht="15" hidden="false" customHeight="false" outlineLevel="0" collapsed="false">
      <c r="A655" s="3" t="n">
        <v>654</v>
      </c>
      <c r="B655" s="3" t="n">
        <v>653</v>
      </c>
      <c r="C655" s="3" t="n">
        <v>3</v>
      </c>
      <c r="D655" s="3" t="n">
        <v>4</v>
      </c>
      <c r="E655" s="3" t="n">
        <v>9</v>
      </c>
      <c r="F655" s="24" t="n">
        <v>5.09463978</v>
      </c>
    </row>
    <row r="656" customFormat="false" ht="15" hidden="false" customHeight="false" outlineLevel="0" collapsed="false">
      <c r="A656" s="3" t="n">
        <v>655</v>
      </c>
      <c r="B656" s="3" t="n">
        <v>654</v>
      </c>
      <c r="C656" s="3" t="n">
        <v>3</v>
      </c>
      <c r="D656" s="3" t="n">
        <v>4</v>
      </c>
      <c r="E656" s="3" t="n">
        <v>10</v>
      </c>
      <c r="F656" s="24" t="n">
        <v>3.87008405</v>
      </c>
    </row>
    <row r="657" customFormat="false" ht="15" hidden="false" customHeight="false" outlineLevel="0" collapsed="false">
      <c r="A657" s="3" t="n">
        <v>656</v>
      </c>
      <c r="B657" s="3" t="n">
        <v>655</v>
      </c>
      <c r="C657" s="3" t="n">
        <v>3</v>
      </c>
      <c r="D657" s="3" t="n">
        <v>4</v>
      </c>
      <c r="E657" s="3" t="n">
        <v>11</v>
      </c>
      <c r="F657" s="24" t="n">
        <v>0.846805513</v>
      </c>
    </row>
    <row r="658" customFormat="false" ht="15" hidden="false" customHeight="false" outlineLevel="0" collapsed="false">
      <c r="A658" s="3" t="n">
        <v>657</v>
      </c>
      <c r="B658" s="3" t="n">
        <v>656</v>
      </c>
      <c r="C658" s="3" t="n">
        <v>3</v>
      </c>
      <c r="D658" s="3" t="n">
        <v>4</v>
      </c>
      <c r="E658" s="3" t="n">
        <v>12</v>
      </c>
      <c r="F658" s="24" t="n">
        <v>0</v>
      </c>
    </row>
    <row r="659" customFormat="false" ht="15" hidden="false" customHeight="false" outlineLevel="0" collapsed="false">
      <c r="A659" s="3" t="n">
        <v>658</v>
      </c>
      <c r="B659" s="3" t="n">
        <v>657</v>
      </c>
      <c r="C659" s="3" t="n">
        <v>3</v>
      </c>
      <c r="D659" s="3" t="n">
        <v>4</v>
      </c>
      <c r="E659" s="3" t="n">
        <v>13</v>
      </c>
      <c r="F659" s="24" t="n">
        <v>0</v>
      </c>
    </row>
    <row r="660" customFormat="false" ht="15" hidden="false" customHeight="false" outlineLevel="0" collapsed="false">
      <c r="A660" s="3" t="n">
        <v>659</v>
      </c>
      <c r="B660" s="3" t="n">
        <v>658</v>
      </c>
      <c r="C660" s="3" t="n">
        <v>3</v>
      </c>
      <c r="D660" s="3" t="n">
        <v>5</v>
      </c>
      <c r="E660" s="3" t="n">
        <v>0</v>
      </c>
      <c r="F660" s="24" t="n">
        <v>0.0962923914</v>
      </c>
    </row>
    <row r="661" customFormat="false" ht="15" hidden="false" customHeight="false" outlineLevel="0" collapsed="false">
      <c r="A661" s="3" t="n">
        <v>660</v>
      </c>
      <c r="B661" s="3" t="n">
        <v>659</v>
      </c>
      <c r="C661" s="3" t="n">
        <v>3</v>
      </c>
      <c r="D661" s="3" t="n">
        <v>5</v>
      </c>
      <c r="E661" s="3" t="n">
        <v>1</v>
      </c>
      <c r="F661" s="24" t="n">
        <v>0</v>
      </c>
    </row>
    <row r="662" customFormat="false" ht="15" hidden="false" customHeight="false" outlineLevel="0" collapsed="false">
      <c r="A662" s="3" t="n">
        <v>661</v>
      </c>
      <c r="B662" s="3" t="n">
        <v>660</v>
      </c>
      <c r="C662" s="3" t="n">
        <v>3</v>
      </c>
      <c r="D662" s="3" t="n">
        <v>5</v>
      </c>
      <c r="E662" s="3" t="n">
        <v>2</v>
      </c>
      <c r="F662" s="24" t="n">
        <v>0</v>
      </c>
    </row>
    <row r="663" customFormat="false" ht="15" hidden="false" customHeight="false" outlineLevel="0" collapsed="false">
      <c r="A663" s="3" t="n">
        <v>662</v>
      </c>
      <c r="B663" s="3" t="n">
        <v>661</v>
      </c>
      <c r="C663" s="3" t="n">
        <v>3</v>
      </c>
      <c r="D663" s="3" t="n">
        <v>5</v>
      </c>
      <c r="E663" s="3" t="n">
        <v>3</v>
      </c>
      <c r="F663" s="24" t="n">
        <v>0</v>
      </c>
    </row>
    <row r="664" customFormat="false" ht="15" hidden="false" customHeight="false" outlineLevel="0" collapsed="false">
      <c r="A664" s="3" t="n">
        <v>663</v>
      </c>
      <c r="B664" s="3" t="n">
        <v>662</v>
      </c>
      <c r="C664" s="3" t="n">
        <v>3</v>
      </c>
      <c r="D664" s="3" t="n">
        <v>5</v>
      </c>
      <c r="E664" s="3" t="n">
        <v>4</v>
      </c>
      <c r="F664" s="24" t="n">
        <v>0</v>
      </c>
    </row>
    <row r="665" customFormat="false" ht="15" hidden="false" customHeight="false" outlineLevel="0" collapsed="false">
      <c r="A665" s="3" t="n">
        <v>664</v>
      </c>
      <c r="B665" s="3" t="n">
        <v>663</v>
      </c>
      <c r="C665" s="3" t="n">
        <v>3</v>
      </c>
      <c r="D665" s="3" t="n">
        <v>5</v>
      </c>
      <c r="E665" s="3" t="n">
        <v>5</v>
      </c>
      <c r="F665" s="24" t="n">
        <v>0</v>
      </c>
    </row>
    <row r="666" customFormat="false" ht="15" hidden="false" customHeight="false" outlineLevel="0" collapsed="false">
      <c r="A666" s="3" t="n">
        <v>665</v>
      </c>
      <c r="B666" s="3" t="n">
        <v>664</v>
      </c>
      <c r="C666" s="3" t="n">
        <v>3</v>
      </c>
      <c r="D666" s="3" t="n">
        <v>5</v>
      </c>
      <c r="E666" s="3" t="n">
        <v>6</v>
      </c>
      <c r="F666" s="24" t="n">
        <v>0</v>
      </c>
    </row>
    <row r="667" customFormat="false" ht="15" hidden="false" customHeight="false" outlineLevel="0" collapsed="false">
      <c r="A667" s="3" t="n">
        <v>666</v>
      </c>
      <c r="B667" s="3" t="n">
        <v>665</v>
      </c>
      <c r="C667" s="3" t="n">
        <v>3</v>
      </c>
      <c r="D667" s="3" t="n">
        <v>5</v>
      </c>
      <c r="E667" s="3" t="n">
        <v>7</v>
      </c>
      <c r="F667" s="24" t="n">
        <v>0</v>
      </c>
    </row>
    <row r="668" customFormat="false" ht="15" hidden="false" customHeight="false" outlineLevel="0" collapsed="false">
      <c r="A668" s="3" t="n">
        <v>667</v>
      </c>
      <c r="B668" s="3" t="n">
        <v>666</v>
      </c>
      <c r="C668" s="3" t="n">
        <v>3</v>
      </c>
      <c r="D668" s="3" t="n">
        <v>5</v>
      </c>
      <c r="E668" s="3" t="n">
        <v>8</v>
      </c>
      <c r="F668" s="24" t="n">
        <v>0.812781811</v>
      </c>
    </row>
    <row r="669" customFormat="false" ht="15" hidden="false" customHeight="false" outlineLevel="0" collapsed="false">
      <c r="A669" s="3" t="n">
        <v>668</v>
      </c>
      <c r="B669" s="3" t="n">
        <v>667</v>
      </c>
      <c r="C669" s="3" t="n">
        <v>3</v>
      </c>
      <c r="D669" s="3" t="n">
        <v>5</v>
      </c>
      <c r="E669" s="3" t="n">
        <v>9</v>
      </c>
      <c r="F669" s="24" t="n">
        <v>0.750602424</v>
      </c>
    </row>
    <row r="670" customFormat="false" ht="15" hidden="false" customHeight="false" outlineLevel="0" collapsed="false">
      <c r="A670" s="3" t="n">
        <v>669</v>
      </c>
      <c r="B670" s="3" t="n">
        <v>668</v>
      </c>
      <c r="C670" s="3" t="n">
        <v>3</v>
      </c>
      <c r="D670" s="3" t="n">
        <v>5</v>
      </c>
      <c r="E670" s="3" t="n">
        <v>10</v>
      </c>
      <c r="F670" s="24" t="n">
        <v>0</v>
      </c>
    </row>
    <row r="671" customFormat="false" ht="15" hidden="false" customHeight="false" outlineLevel="0" collapsed="false">
      <c r="A671" s="3" t="n">
        <v>670</v>
      </c>
      <c r="B671" s="3" t="n">
        <v>669</v>
      </c>
      <c r="C671" s="3" t="n">
        <v>3</v>
      </c>
      <c r="D671" s="3" t="n">
        <v>5</v>
      </c>
      <c r="E671" s="3" t="n">
        <v>11</v>
      </c>
      <c r="F671" s="24" t="n">
        <v>0</v>
      </c>
    </row>
    <row r="672" customFormat="false" ht="15" hidden="false" customHeight="false" outlineLevel="0" collapsed="false">
      <c r="A672" s="3" t="n">
        <v>671</v>
      </c>
      <c r="B672" s="3" t="n">
        <v>670</v>
      </c>
      <c r="C672" s="3" t="n">
        <v>3</v>
      </c>
      <c r="D672" s="3" t="n">
        <v>5</v>
      </c>
      <c r="E672" s="3" t="n">
        <v>12</v>
      </c>
      <c r="F672" s="24" t="n">
        <v>0</v>
      </c>
    </row>
    <row r="673" customFormat="false" ht="15" hidden="false" customHeight="false" outlineLevel="0" collapsed="false">
      <c r="A673" s="3" t="n">
        <v>672</v>
      </c>
      <c r="B673" s="3" t="n">
        <v>671</v>
      </c>
      <c r="C673" s="3" t="n">
        <v>3</v>
      </c>
      <c r="D673" s="3" t="n">
        <v>5</v>
      </c>
      <c r="E673" s="3" t="n">
        <v>13</v>
      </c>
      <c r="F673" s="24" t="n">
        <v>0</v>
      </c>
    </row>
    <row r="674" customFormat="false" ht="15" hidden="false" customHeight="false" outlineLevel="0" collapsed="false">
      <c r="A674" s="3" t="n">
        <v>673</v>
      </c>
      <c r="B674" s="3" t="n">
        <v>672</v>
      </c>
      <c r="C674" s="3" t="n">
        <v>3</v>
      </c>
      <c r="D674" s="3" t="n">
        <v>6</v>
      </c>
      <c r="E674" s="3" t="n">
        <v>0</v>
      </c>
      <c r="F674" s="24" t="n">
        <v>0.0962923914</v>
      </c>
    </row>
    <row r="675" customFormat="false" ht="15" hidden="false" customHeight="false" outlineLevel="0" collapsed="false">
      <c r="A675" s="3" t="n">
        <v>674</v>
      </c>
      <c r="B675" s="3" t="n">
        <v>673</v>
      </c>
      <c r="C675" s="3" t="n">
        <v>3</v>
      </c>
      <c r="D675" s="3" t="n">
        <v>6</v>
      </c>
      <c r="E675" s="3" t="n">
        <v>1</v>
      </c>
      <c r="F675" s="24" t="n">
        <v>0</v>
      </c>
    </row>
    <row r="676" customFormat="false" ht="15" hidden="false" customHeight="false" outlineLevel="0" collapsed="false">
      <c r="A676" s="3" t="n">
        <v>675</v>
      </c>
      <c r="B676" s="3" t="n">
        <v>674</v>
      </c>
      <c r="C676" s="3" t="n">
        <v>3</v>
      </c>
      <c r="D676" s="3" t="n">
        <v>6</v>
      </c>
      <c r="E676" s="3" t="n">
        <v>2</v>
      </c>
      <c r="F676" s="24" t="n">
        <v>0</v>
      </c>
    </row>
    <row r="677" customFormat="false" ht="15" hidden="false" customHeight="false" outlineLevel="0" collapsed="false">
      <c r="A677" s="3" t="n">
        <v>676</v>
      </c>
      <c r="B677" s="3" t="n">
        <v>675</v>
      </c>
      <c r="C677" s="3" t="n">
        <v>3</v>
      </c>
      <c r="D677" s="3" t="n">
        <v>6</v>
      </c>
      <c r="E677" s="3" t="n">
        <v>3</v>
      </c>
      <c r="F677" s="24" t="n">
        <v>0</v>
      </c>
    </row>
    <row r="678" customFormat="false" ht="15" hidden="false" customHeight="false" outlineLevel="0" collapsed="false">
      <c r="A678" s="3" t="n">
        <v>677</v>
      </c>
      <c r="B678" s="3" t="n">
        <v>676</v>
      </c>
      <c r="C678" s="3" t="n">
        <v>3</v>
      </c>
      <c r="D678" s="3" t="n">
        <v>6</v>
      </c>
      <c r="E678" s="3" t="n">
        <v>4</v>
      </c>
      <c r="F678" s="24" t="n">
        <v>0</v>
      </c>
    </row>
    <row r="679" customFormat="false" ht="15" hidden="false" customHeight="false" outlineLevel="0" collapsed="false">
      <c r="A679" s="3" t="n">
        <v>678</v>
      </c>
      <c r="B679" s="3" t="n">
        <v>677</v>
      </c>
      <c r="C679" s="3" t="n">
        <v>3</v>
      </c>
      <c r="D679" s="3" t="n">
        <v>6</v>
      </c>
      <c r="E679" s="3" t="n">
        <v>5</v>
      </c>
      <c r="F679" s="24" t="n">
        <v>0</v>
      </c>
    </row>
    <row r="680" customFormat="false" ht="15" hidden="false" customHeight="false" outlineLevel="0" collapsed="false">
      <c r="A680" s="3" t="n">
        <v>679</v>
      </c>
      <c r="B680" s="3" t="n">
        <v>678</v>
      </c>
      <c r="C680" s="3" t="n">
        <v>3</v>
      </c>
      <c r="D680" s="3" t="n">
        <v>6</v>
      </c>
      <c r="E680" s="3" t="n">
        <v>6</v>
      </c>
      <c r="F680" s="24" t="n">
        <v>0</v>
      </c>
    </row>
    <row r="681" customFormat="false" ht="15" hidden="false" customHeight="false" outlineLevel="0" collapsed="false">
      <c r="A681" s="3" t="n">
        <v>680</v>
      </c>
      <c r="B681" s="3" t="n">
        <v>679</v>
      </c>
      <c r="C681" s="3" t="n">
        <v>3</v>
      </c>
      <c r="D681" s="3" t="n">
        <v>6</v>
      </c>
      <c r="E681" s="3" t="n">
        <v>7</v>
      </c>
      <c r="F681" s="24" t="n">
        <v>0.329552144</v>
      </c>
    </row>
    <row r="682" customFormat="false" ht="15" hidden="false" customHeight="false" outlineLevel="0" collapsed="false">
      <c r="A682" s="3" t="n">
        <v>681</v>
      </c>
      <c r="B682" s="3" t="n">
        <v>680</v>
      </c>
      <c r="C682" s="3" t="n">
        <v>3</v>
      </c>
      <c r="D682" s="3" t="n">
        <v>6</v>
      </c>
      <c r="E682" s="3" t="n">
        <v>8</v>
      </c>
      <c r="F682" s="24" t="n">
        <v>2.22984934</v>
      </c>
    </row>
    <row r="683" customFormat="false" ht="15" hidden="false" customHeight="false" outlineLevel="0" collapsed="false">
      <c r="A683" s="3" t="n">
        <v>682</v>
      </c>
      <c r="B683" s="3" t="n">
        <v>681</v>
      </c>
      <c r="C683" s="3" t="n">
        <v>3</v>
      </c>
      <c r="D683" s="3" t="n">
        <v>6</v>
      </c>
      <c r="E683" s="3" t="n">
        <v>9</v>
      </c>
      <c r="F683" s="24" t="n">
        <v>0.733379602</v>
      </c>
    </row>
    <row r="684" customFormat="false" ht="15" hidden="false" customHeight="false" outlineLevel="0" collapsed="false">
      <c r="A684" s="3" t="n">
        <v>683</v>
      </c>
      <c r="B684" s="3" t="n">
        <v>682</v>
      </c>
      <c r="C684" s="3" t="n">
        <v>3</v>
      </c>
      <c r="D684" s="3" t="n">
        <v>6</v>
      </c>
      <c r="E684" s="3" t="n">
        <v>10</v>
      </c>
      <c r="F684" s="24" t="n">
        <v>0</v>
      </c>
    </row>
    <row r="685" customFormat="false" ht="15" hidden="false" customHeight="false" outlineLevel="0" collapsed="false">
      <c r="A685" s="3" t="n">
        <v>684</v>
      </c>
      <c r="B685" s="3" t="n">
        <v>683</v>
      </c>
      <c r="C685" s="3" t="n">
        <v>3</v>
      </c>
      <c r="D685" s="3" t="n">
        <v>6</v>
      </c>
      <c r="E685" s="3" t="n">
        <v>11</v>
      </c>
      <c r="F685" s="24" t="n">
        <v>0</v>
      </c>
    </row>
    <row r="686" customFormat="false" ht="15" hidden="false" customHeight="false" outlineLevel="0" collapsed="false">
      <c r="A686" s="3" t="n">
        <v>685</v>
      </c>
      <c r="B686" s="3" t="n">
        <v>684</v>
      </c>
      <c r="C686" s="3" t="n">
        <v>3</v>
      </c>
      <c r="D686" s="3" t="n">
        <v>6</v>
      </c>
      <c r="E686" s="3" t="n">
        <v>12</v>
      </c>
      <c r="F686" s="24" t="n">
        <v>0</v>
      </c>
    </row>
    <row r="687" customFormat="false" ht="15" hidden="false" customHeight="false" outlineLevel="0" collapsed="false">
      <c r="A687" s="3" t="n">
        <v>686</v>
      </c>
      <c r="B687" s="3" t="n">
        <v>685</v>
      </c>
      <c r="C687" s="3" t="n">
        <v>3</v>
      </c>
      <c r="D687" s="3" t="n">
        <v>6</v>
      </c>
      <c r="E687" s="3" t="n">
        <v>13</v>
      </c>
      <c r="F687" s="24" t="n">
        <v>0</v>
      </c>
    </row>
    <row r="688" customFormat="false" ht="15" hidden="false" customHeight="false" outlineLevel="0" collapsed="false">
      <c r="A688" s="3" t="n">
        <v>687</v>
      </c>
      <c r="B688" s="3" t="n">
        <v>686</v>
      </c>
      <c r="C688" s="3" t="n">
        <v>3</v>
      </c>
      <c r="D688" s="3" t="n">
        <v>7</v>
      </c>
      <c r="E688" s="3" t="n">
        <v>0</v>
      </c>
      <c r="F688" s="24" t="n">
        <v>0.0962923914</v>
      </c>
    </row>
    <row r="689" customFormat="false" ht="15" hidden="false" customHeight="false" outlineLevel="0" collapsed="false">
      <c r="A689" s="3" t="n">
        <v>688</v>
      </c>
      <c r="B689" s="3" t="n">
        <v>687</v>
      </c>
      <c r="C689" s="3" t="n">
        <v>3</v>
      </c>
      <c r="D689" s="3" t="n">
        <v>7</v>
      </c>
      <c r="E689" s="3" t="n">
        <v>1</v>
      </c>
      <c r="F689" s="24" t="n">
        <v>0</v>
      </c>
    </row>
    <row r="690" customFormat="false" ht="15" hidden="false" customHeight="false" outlineLevel="0" collapsed="false">
      <c r="A690" s="3" t="n">
        <v>689</v>
      </c>
      <c r="B690" s="3" t="n">
        <v>688</v>
      </c>
      <c r="C690" s="3" t="n">
        <v>3</v>
      </c>
      <c r="D690" s="3" t="n">
        <v>7</v>
      </c>
      <c r="E690" s="3" t="n">
        <v>2</v>
      </c>
      <c r="F690" s="24" t="n">
        <v>0</v>
      </c>
    </row>
    <row r="691" customFormat="false" ht="15" hidden="false" customHeight="false" outlineLevel="0" collapsed="false">
      <c r="A691" s="3" t="n">
        <v>690</v>
      </c>
      <c r="B691" s="3" t="n">
        <v>689</v>
      </c>
      <c r="C691" s="3" t="n">
        <v>3</v>
      </c>
      <c r="D691" s="3" t="n">
        <v>7</v>
      </c>
      <c r="E691" s="3" t="n">
        <v>3</v>
      </c>
      <c r="F691" s="24" t="n">
        <v>0</v>
      </c>
    </row>
    <row r="692" customFormat="false" ht="15" hidden="false" customHeight="false" outlineLevel="0" collapsed="false">
      <c r="A692" s="3" t="n">
        <v>691</v>
      </c>
      <c r="B692" s="3" t="n">
        <v>690</v>
      </c>
      <c r="C692" s="3" t="n">
        <v>3</v>
      </c>
      <c r="D692" s="3" t="n">
        <v>7</v>
      </c>
      <c r="E692" s="3" t="n">
        <v>4</v>
      </c>
      <c r="F692" s="24" t="n">
        <v>0</v>
      </c>
    </row>
    <row r="693" customFormat="false" ht="15" hidden="false" customHeight="false" outlineLevel="0" collapsed="false">
      <c r="A693" s="3" t="n">
        <v>692</v>
      </c>
      <c r="B693" s="3" t="n">
        <v>691</v>
      </c>
      <c r="C693" s="3" t="n">
        <v>3</v>
      </c>
      <c r="D693" s="3" t="n">
        <v>7</v>
      </c>
      <c r="E693" s="3" t="n">
        <v>5</v>
      </c>
      <c r="F693" s="24" t="n">
        <v>0</v>
      </c>
    </row>
    <row r="694" customFormat="false" ht="15" hidden="false" customHeight="false" outlineLevel="0" collapsed="false">
      <c r="A694" s="3" t="n">
        <v>693</v>
      </c>
      <c r="B694" s="3" t="n">
        <v>692</v>
      </c>
      <c r="C694" s="3" t="n">
        <v>3</v>
      </c>
      <c r="D694" s="3" t="n">
        <v>7</v>
      </c>
      <c r="E694" s="3" t="n">
        <v>6</v>
      </c>
      <c r="F694" s="24" t="n">
        <v>0</v>
      </c>
    </row>
    <row r="695" customFormat="false" ht="15" hidden="false" customHeight="false" outlineLevel="0" collapsed="false">
      <c r="A695" s="3" t="n">
        <v>694</v>
      </c>
      <c r="B695" s="3" t="n">
        <v>693</v>
      </c>
      <c r="C695" s="3" t="n">
        <v>3</v>
      </c>
      <c r="D695" s="3" t="n">
        <v>7</v>
      </c>
      <c r="E695" s="3" t="n">
        <v>7</v>
      </c>
      <c r="F695" s="24" t="n">
        <v>1.25178027</v>
      </c>
    </row>
    <row r="696" customFormat="false" ht="15" hidden="false" customHeight="false" outlineLevel="0" collapsed="false">
      <c r="A696" s="3" t="n">
        <v>695</v>
      </c>
      <c r="B696" s="3" t="n">
        <v>694</v>
      </c>
      <c r="C696" s="3" t="n">
        <v>3</v>
      </c>
      <c r="D696" s="3" t="n">
        <v>7</v>
      </c>
      <c r="E696" s="3" t="n">
        <v>8</v>
      </c>
      <c r="F696" s="24" t="n">
        <v>1.83415937</v>
      </c>
    </row>
    <row r="697" customFormat="false" ht="15" hidden="false" customHeight="false" outlineLevel="0" collapsed="false">
      <c r="A697" s="3" t="n">
        <v>696</v>
      </c>
      <c r="B697" s="3" t="n">
        <v>695</v>
      </c>
      <c r="C697" s="3" t="n">
        <v>3</v>
      </c>
      <c r="D697" s="3" t="n">
        <v>7</v>
      </c>
      <c r="E697" s="3" t="n">
        <v>9</v>
      </c>
      <c r="F697" s="24" t="n">
        <v>0</v>
      </c>
    </row>
    <row r="698" customFormat="false" ht="15" hidden="false" customHeight="false" outlineLevel="0" collapsed="false">
      <c r="A698" s="3" t="n">
        <v>697</v>
      </c>
      <c r="B698" s="3" t="n">
        <v>696</v>
      </c>
      <c r="C698" s="3" t="n">
        <v>3</v>
      </c>
      <c r="D698" s="3" t="n">
        <v>7</v>
      </c>
      <c r="E698" s="3" t="n">
        <v>10</v>
      </c>
      <c r="F698" s="24" t="n">
        <v>0</v>
      </c>
    </row>
    <row r="699" customFormat="false" ht="15" hidden="false" customHeight="false" outlineLevel="0" collapsed="false">
      <c r="A699" s="3" t="n">
        <v>698</v>
      </c>
      <c r="B699" s="3" t="n">
        <v>697</v>
      </c>
      <c r="C699" s="3" t="n">
        <v>3</v>
      </c>
      <c r="D699" s="3" t="n">
        <v>7</v>
      </c>
      <c r="E699" s="3" t="n">
        <v>11</v>
      </c>
      <c r="F699" s="24" t="n">
        <v>0</v>
      </c>
    </row>
    <row r="700" customFormat="false" ht="15" hidden="false" customHeight="false" outlineLevel="0" collapsed="false">
      <c r="A700" s="3" t="n">
        <v>699</v>
      </c>
      <c r="B700" s="3" t="n">
        <v>698</v>
      </c>
      <c r="C700" s="3" t="n">
        <v>3</v>
      </c>
      <c r="D700" s="3" t="n">
        <v>7</v>
      </c>
      <c r="E700" s="3" t="n">
        <v>12</v>
      </c>
      <c r="F700" s="24" t="n">
        <v>0</v>
      </c>
    </row>
    <row r="701" customFormat="false" ht="15" hidden="false" customHeight="false" outlineLevel="0" collapsed="false">
      <c r="A701" s="3" t="n">
        <v>700</v>
      </c>
      <c r="B701" s="3" t="n">
        <v>699</v>
      </c>
      <c r="C701" s="3" t="n">
        <v>3</v>
      </c>
      <c r="D701" s="3" t="n">
        <v>7</v>
      </c>
      <c r="E701" s="3" t="n">
        <v>13</v>
      </c>
      <c r="F701" s="24" t="n">
        <v>0</v>
      </c>
    </row>
    <row r="702" customFormat="false" ht="15" hidden="false" customHeight="false" outlineLevel="0" collapsed="false">
      <c r="A702" s="3" t="n">
        <v>701</v>
      </c>
      <c r="B702" s="3" t="n">
        <v>700</v>
      </c>
      <c r="C702" s="3" t="n">
        <v>3</v>
      </c>
      <c r="D702" s="3" t="n">
        <v>8</v>
      </c>
      <c r="E702" s="3" t="n">
        <v>0</v>
      </c>
      <c r="F702" s="24" t="n">
        <v>0.0962923914</v>
      </c>
    </row>
    <row r="703" customFormat="false" ht="15" hidden="false" customHeight="false" outlineLevel="0" collapsed="false">
      <c r="A703" s="3" t="n">
        <v>702</v>
      </c>
      <c r="B703" s="3" t="n">
        <v>701</v>
      </c>
      <c r="C703" s="3" t="n">
        <v>3</v>
      </c>
      <c r="D703" s="3" t="n">
        <v>8</v>
      </c>
      <c r="E703" s="3" t="n">
        <v>1</v>
      </c>
      <c r="F703" s="24" t="n">
        <v>0</v>
      </c>
    </row>
    <row r="704" customFormat="false" ht="15" hidden="false" customHeight="false" outlineLevel="0" collapsed="false">
      <c r="A704" s="3" t="n">
        <v>703</v>
      </c>
      <c r="B704" s="3" t="n">
        <v>702</v>
      </c>
      <c r="C704" s="3" t="n">
        <v>3</v>
      </c>
      <c r="D704" s="3" t="n">
        <v>8</v>
      </c>
      <c r="E704" s="3" t="n">
        <v>2</v>
      </c>
      <c r="F704" s="24" t="n">
        <v>0</v>
      </c>
    </row>
    <row r="705" customFormat="false" ht="15" hidden="false" customHeight="false" outlineLevel="0" collapsed="false">
      <c r="A705" s="3" t="n">
        <v>704</v>
      </c>
      <c r="B705" s="3" t="n">
        <v>703</v>
      </c>
      <c r="C705" s="3" t="n">
        <v>3</v>
      </c>
      <c r="D705" s="3" t="n">
        <v>8</v>
      </c>
      <c r="E705" s="3" t="n">
        <v>3</v>
      </c>
      <c r="F705" s="24" t="n">
        <v>0</v>
      </c>
    </row>
    <row r="706" customFormat="false" ht="15" hidden="false" customHeight="false" outlineLevel="0" collapsed="false">
      <c r="A706" s="3" t="n">
        <v>705</v>
      </c>
      <c r="B706" s="3" t="n">
        <v>704</v>
      </c>
      <c r="C706" s="3" t="n">
        <v>3</v>
      </c>
      <c r="D706" s="3" t="n">
        <v>8</v>
      </c>
      <c r="E706" s="3" t="n">
        <v>4</v>
      </c>
      <c r="F706" s="24" t="n">
        <v>0</v>
      </c>
    </row>
    <row r="707" customFormat="false" ht="15" hidden="false" customHeight="false" outlineLevel="0" collapsed="false">
      <c r="A707" s="3" t="n">
        <v>706</v>
      </c>
      <c r="B707" s="3" t="n">
        <v>705</v>
      </c>
      <c r="C707" s="3" t="n">
        <v>3</v>
      </c>
      <c r="D707" s="3" t="n">
        <v>8</v>
      </c>
      <c r="E707" s="3" t="n">
        <v>5</v>
      </c>
      <c r="F707" s="24" t="n">
        <v>0</v>
      </c>
    </row>
    <row r="708" customFormat="false" ht="15" hidden="false" customHeight="false" outlineLevel="0" collapsed="false">
      <c r="A708" s="3" t="n">
        <v>707</v>
      </c>
      <c r="B708" s="3" t="n">
        <v>706</v>
      </c>
      <c r="C708" s="3" t="n">
        <v>3</v>
      </c>
      <c r="D708" s="3" t="n">
        <v>8</v>
      </c>
      <c r="E708" s="3" t="n">
        <v>6</v>
      </c>
      <c r="F708" s="24" t="n">
        <v>0.425068557</v>
      </c>
    </row>
    <row r="709" customFormat="false" ht="15" hidden="false" customHeight="false" outlineLevel="0" collapsed="false">
      <c r="A709" s="3" t="n">
        <v>708</v>
      </c>
      <c r="B709" s="3" t="n">
        <v>707</v>
      </c>
      <c r="C709" s="3" t="n">
        <v>3</v>
      </c>
      <c r="D709" s="3" t="n">
        <v>8</v>
      </c>
      <c r="E709" s="3" t="n">
        <v>7</v>
      </c>
      <c r="F709" s="24" t="n">
        <v>2.26399755</v>
      </c>
    </row>
    <row r="710" customFormat="false" ht="15" hidden="false" customHeight="false" outlineLevel="0" collapsed="false">
      <c r="A710" s="3" t="n">
        <v>709</v>
      </c>
      <c r="B710" s="3" t="n">
        <v>708</v>
      </c>
      <c r="C710" s="3" t="n">
        <v>3</v>
      </c>
      <c r="D710" s="3" t="n">
        <v>8</v>
      </c>
      <c r="E710" s="3" t="n">
        <v>8</v>
      </c>
      <c r="F710" s="24" t="n">
        <v>0</v>
      </c>
    </row>
    <row r="711" customFormat="false" ht="15" hidden="false" customHeight="false" outlineLevel="0" collapsed="false">
      <c r="A711" s="3" t="n">
        <v>710</v>
      </c>
      <c r="B711" s="3" t="n">
        <v>709</v>
      </c>
      <c r="C711" s="3" t="n">
        <v>3</v>
      </c>
      <c r="D711" s="3" t="n">
        <v>8</v>
      </c>
      <c r="E711" s="3" t="n">
        <v>9</v>
      </c>
      <c r="F711" s="24" t="n">
        <v>0</v>
      </c>
    </row>
    <row r="712" customFormat="false" ht="15" hidden="false" customHeight="false" outlineLevel="0" collapsed="false">
      <c r="A712" s="3" t="n">
        <v>711</v>
      </c>
      <c r="B712" s="3" t="n">
        <v>710</v>
      </c>
      <c r="C712" s="3" t="n">
        <v>3</v>
      </c>
      <c r="D712" s="3" t="n">
        <v>8</v>
      </c>
      <c r="E712" s="3" t="n">
        <v>10</v>
      </c>
      <c r="F712" s="24" t="n">
        <v>0</v>
      </c>
    </row>
    <row r="713" customFormat="false" ht="15" hidden="false" customHeight="false" outlineLevel="0" collapsed="false">
      <c r="A713" s="3" t="n">
        <v>712</v>
      </c>
      <c r="B713" s="3" t="n">
        <v>711</v>
      </c>
      <c r="C713" s="3" t="n">
        <v>3</v>
      </c>
      <c r="D713" s="3" t="n">
        <v>8</v>
      </c>
      <c r="E713" s="3" t="n">
        <v>11</v>
      </c>
      <c r="F713" s="24" t="n">
        <v>0</v>
      </c>
    </row>
    <row r="714" customFormat="false" ht="15" hidden="false" customHeight="false" outlineLevel="0" collapsed="false">
      <c r="A714" s="3" t="n">
        <v>713</v>
      </c>
      <c r="B714" s="3" t="n">
        <v>712</v>
      </c>
      <c r="C714" s="3" t="n">
        <v>3</v>
      </c>
      <c r="D714" s="3" t="n">
        <v>8</v>
      </c>
      <c r="E714" s="3" t="n">
        <v>12</v>
      </c>
      <c r="F714" s="24" t="n">
        <v>0</v>
      </c>
    </row>
    <row r="715" customFormat="false" ht="15" hidden="false" customHeight="false" outlineLevel="0" collapsed="false">
      <c r="A715" s="3" t="n">
        <v>714</v>
      </c>
      <c r="B715" s="3" t="n">
        <v>713</v>
      </c>
      <c r="C715" s="3" t="n">
        <v>3</v>
      </c>
      <c r="D715" s="3" t="n">
        <v>8</v>
      </c>
      <c r="E715" s="3" t="n">
        <v>13</v>
      </c>
      <c r="F715" s="24" t="n">
        <v>0</v>
      </c>
    </row>
    <row r="716" customFormat="false" ht="15" hidden="false" customHeight="false" outlineLevel="0" collapsed="false">
      <c r="A716" s="3" t="n">
        <v>715</v>
      </c>
      <c r="B716" s="3" t="n">
        <v>714</v>
      </c>
      <c r="C716" s="3" t="n">
        <v>3</v>
      </c>
      <c r="D716" s="3" t="n">
        <v>9</v>
      </c>
      <c r="E716" s="3" t="n">
        <v>0</v>
      </c>
      <c r="F716" s="24" t="n">
        <v>0.0962923914</v>
      </c>
    </row>
    <row r="717" customFormat="false" ht="15" hidden="false" customHeight="false" outlineLevel="0" collapsed="false">
      <c r="A717" s="3" t="n">
        <v>716</v>
      </c>
      <c r="B717" s="3" t="n">
        <v>715</v>
      </c>
      <c r="C717" s="3" t="n">
        <v>3</v>
      </c>
      <c r="D717" s="3" t="n">
        <v>9</v>
      </c>
      <c r="E717" s="3" t="n">
        <v>1</v>
      </c>
      <c r="F717" s="24" t="n">
        <v>0</v>
      </c>
    </row>
    <row r="718" customFormat="false" ht="15" hidden="false" customHeight="false" outlineLevel="0" collapsed="false">
      <c r="A718" s="3" t="n">
        <v>717</v>
      </c>
      <c r="B718" s="3" t="n">
        <v>716</v>
      </c>
      <c r="C718" s="3" t="n">
        <v>3</v>
      </c>
      <c r="D718" s="3" t="n">
        <v>9</v>
      </c>
      <c r="E718" s="3" t="n">
        <v>2</v>
      </c>
      <c r="F718" s="24" t="n">
        <v>0</v>
      </c>
    </row>
    <row r="719" customFormat="false" ht="15" hidden="false" customHeight="false" outlineLevel="0" collapsed="false">
      <c r="A719" s="3" t="n">
        <v>718</v>
      </c>
      <c r="B719" s="3" t="n">
        <v>717</v>
      </c>
      <c r="C719" s="3" t="n">
        <v>3</v>
      </c>
      <c r="D719" s="3" t="n">
        <v>9</v>
      </c>
      <c r="E719" s="3" t="n">
        <v>3</v>
      </c>
      <c r="F719" s="24" t="n">
        <v>0</v>
      </c>
    </row>
    <row r="720" customFormat="false" ht="15" hidden="false" customHeight="false" outlineLevel="0" collapsed="false">
      <c r="A720" s="3" t="n">
        <v>719</v>
      </c>
      <c r="B720" s="3" t="n">
        <v>718</v>
      </c>
      <c r="C720" s="3" t="n">
        <v>3</v>
      </c>
      <c r="D720" s="3" t="n">
        <v>9</v>
      </c>
      <c r="E720" s="3" t="n">
        <v>4</v>
      </c>
      <c r="F720" s="24" t="n">
        <v>0</v>
      </c>
    </row>
    <row r="721" customFormat="false" ht="15" hidden="false" customHeight="false" outlineLevel="0" collapsed="false">
      <c r="A721" s="3" t="n">
        <v>720</v>
      </c>
      <c r="B721" s="3" t="n">
        <v>719</v>
      </c>
      <c r="C721" s="3" t="n">
        <v>3</v>
      </c>
      <c r="D721" s="3" t="n">
        <v>9</v>
      </c>
      <c r="E721" s="3" t="n">
        <v>5</v>
      </c>
      <c r="F721" s="24" t="n">
        <v>0</v>
      </c>
    </row>
    <row r="722" customFormat="false" ht="15" hidden="false" customHeight="false" outlineLevel="0" collapsed="false">
      <c r="A722" s="3" t="n">
        <v>721</v>
      </c>
      <c r="B722" s="3" t="n">
        <v>720</v>
      </c>
      <c r="C722" s="3" t="n">
        <v>3</v>
      </c>
      <c r="D722" s="3" t="n">
        <v>9</v>
      </c>
      <c r="E722" s="3" t="n">
        <v>6</v>
      </c>
      <c r="F722" s="24" t="n">
        <v>2.56190157</v>
      </c>
    </row>
    <row r="723" customFormat="false" ht="15" hidden="false" customHeight="false" outlineLevel="0" collapsed="false">
      <c r="A723" s="3" t="n">
        <v>722</v>
      </c>
      <c r="B723" s="3" t="n">
        <v>721</v>
      </c>
      <c r="C723" s="3" t="n">
        <v>3</v>
      </c>
      <c r="D723" s="3" t="n">
        <v>9</v>
      </c>
      <c r="E723" s="3" t="n">
        <v>7</v>
      </c>
      <c r="F723" s="24" t="n">
        <v>2.26849771</v>
      </c>
    </row>
    <row r="724" customFormat="false" ht="15" hidden="false" customHeight="false" outlineLevel="0" collapsed="false">
      <c r="A724" s="3" t="n">
        <v>723</v>
      </c>
      <c r="B724" s="3" t="n">
        <v>722</v>
      </c>
      <c r="C724" s="3" t="n">
        <v>3</v>
      </c>
      <c r="D724" s="3" t="n">
        <v>9</v>
      </c>
      <c r="E724" s="3" t="n">
        <v>8</v>
      </c>
      <c r="F724" s="24" t="n">
        <v>0</v>
      </c>
    </row>
    <row r="725" customFormat="false" ht="15" hidden="false" customHeight="false" outlineLevel="0" collapsed="false">
      <c r="A725" s="3" t="n">
        <v>724</v>
      </c>
      <c r="B725" s="3" t="n">
        <v>723</v>
      </c>
      <c r="C725" s="3" t="n">
        <v>3</v>
      </c>
      <c r="D725" s="3" t="n">
        <v>9</v>
      </c>
      <c r="E725" s="3" t="n">
        <v>9</v>
      </c>
      <c r="F725" s="24" t="n">
        <v>0</v>
      </c>
    </row>
    <row r="726" customFormat="false" ht="15" hidden="false" customHeight="false" outlineLevel="0" collapsed="false">
      <c r="A726" s="3" t="n">
        <v>725</v>
      </c>
      <c r="B726" s="3" t="n">
        <v>724</v>
      </c>
      <c r="C726" s="3" t="n">
        <v>3</v>
      </c>
      <c r="D726" s="3" t="n">
        <v>9</v>
      </c>
      <c r="E726" s="3" t="n">
        <v>10</v>
      </c>
      <c r="F726" s="24" t="n">
        <v>0</v>
      </c>
    </row>
    <row r="727" customFormat="false" ht="15" hidden="false" customHeight="false" outlineLevel="0" collapsed="false">
      <c r="A727" s="3" t="n">
        <v>726</v>
      </c>
      <c r="B727" s="3" t="n">
        <v>725</v>
      </c>
      <c r="C727" s="3" t="n">
        <v>3</v>
      </c>
      <c r="D727" s="3" t="n">
        <v>9</v>
      </c>
      <c r="E727" s="3" t="n">
        <v>11</v>
      </c>
      <c r="F727" s="24" t="n">
        <v>0</v>
      </c>
    </row>
    <row r="728" customFormat="false" ht="15" hidden="false" customHeight="false" outlineLevel="0" collapsed="false">
      <c r="A728" s="3" t="n">
        <v>727</v>
      </c>
      <c r="B728" s="3" t="n">
        <v>726</v>
      </c>
      <c r="C728" s="3" t="n">
        <v>3</v>
      </c>
      <c r="D728" s="3" t="n">
        <v>9</v>
      </c>
      <c r="E728" s="3" t="n">
        <v>12</v>
      </c>
      <c r="F728" s="24" t="n">
        <v>0</v>
      </c>
    </row>
    <row r="729" customFormat="false" ht="15" hidden="false" customHeight="false" outlineLevel="0" collapsed="false">
      <c r="A729" s="3" t="n">
        <v>728</v>
      </c>
      <c r="B729" s="3" t="n">
        <v>727</v>
      </c>
      <c r="C729" s="3" t="n">
        <v>3</v>
      </c>
      <c r="D729" s="3" t="n">
        <v>9</v>
      </c>
      <c r="E729" s="3" t="n">
        <v>13</v>
      </c>
      <c r="F729" s="24" t="n">
        <v>0</v>
      </c>
    </row>
    <row r="730" customFormat="false" ht="15" hidden="false" customHeight="false" outlineLevel="0" collapsed="false">
      <c r="A730" s="3" t="n">
        <v>729</v>
      </c>
      <c r="B730" s="3" t="n">
        <v>728</v>
      </c>
      <c r="C730" s="3" t="n">
        <v>3</v>
      </c>
      <c r="D730" s="3" t="n">
        <v>10</v>
      </c>
      <c r="E730" s="3" t="n">
        <v>0</v>
      </c>
      <c r="F730" s="24" t="n">
        <v>0.0962923914</v>
      </c>
    </row>
    <row r="731" customFormat="false" ht="15" hidden="false" customHeight="false" outlineLevel="0" collapsed="false">
      <c r="A731" s="3" t="n">
        <v>730</v>
      </c>
      <c r="B731" s="3" t="n">
        <v>729</v>
      </c>
      <c r="C731" s="3" t="n">
        <v>3</v>
      </c>
      <c r="D731" s="3" t="n">
        <v>10</v>
      </c>
      <c r="E731" s="3" t="n">
        <v>1</v>
      </c>
      <c r="F731" s="24" t="n">
        <v>0</v>
      </c>
    </row>
    <row r="732" customFormat="false" ht="15" hidden="false" customHeight="false" outlineLevel="0" collapsed="false">
      <c r="A732" s="3" t="n">
        <v>731</v>
      </c>
      <c r="B732" s="3" t="n">
        <v>730</v>
      </c>
      <c r="C732" s="3" t="n">
        <v>3</v>
      </c>
      <c r="D732" s="3" t="n">
        <v>10</v>
      </c>
      <c r="E732" s="3" t="n">
        <v>2</v>
      </c>
      <c r="F732" s="24" t="n">
        <v>0</v>
      </c>
    </row>
    <row r="733" customFormat="false" ht="15" hidden="false" customHeight="false" outlineLevel="0" collapsed="false">
      <c r="A733" s="3" t="n">
        <v>732</v>
      </c>
      <c r="B733" s="3" t="n">
        <v>731</v>
      </c>
      <c r="C733" s="3" t="n">
        <v>3</v>
      </c>
      <c r="D733" s="3" t="n">
        <v>10</v>
      </c>
      <c r="E733" s="3" t="n">
        <v>3</v>
      </c>
      <c r="F733" s="24" t="n">
        <v>0</v>
      </c>
    </row>
    <row r="734" customFormat="false" ht="15" hidden="false" customHeight="false" outlineLevel="0" collapsed="false">
      <c r="A734" s="3" t="n">
        <v>733</v>
      </c>
      <c r="B734" s="3" t="n">
        <v>732</v>
      </c>
      <c r="C734" s="3" t="n">
        <v>3</v>
      </c>
      <c r="D734" s="3" t="n">
        <v>10</v>
      </c>
      <c r="E734" s="3" t="n">
        <v>4</v>
      </c>
      <c r="F734" s="24" t="n">
        <v>0</v>
      </c>
    </row>
    <row r="735" customFormat="false" ht="15" hidden="false" customHeight="false" outlineLevel="0" collapsed="false">
      <c r="A735" s="3" t="n">
        <v>734</v>
      </c>
      <c r="B735" s="3" t="n">
        <v>733</v>
      </c>
      <c r="C735" s="3" t="n">
        <v>3</v>
      </c>
      <c r="D735" s="3" t="n">
        <v>10</v>
      </c>
      <c r="E735" s="3" t="n">
        <v>5</v>
      </c>
      <c r="F735" s="24" t="n">
        <v>1.58299851</v>
      </c>
    </row>
    <row r="736" customFormat="false" ht="15" hidden="false" customHeight="false" outlineLevel="0" collapsed="false">
      <c r="A736" s="3" t="n">
        <v>735</v>
      </c>
      <c r="B736" s="3" t="n">
        <v>734</v>
      </c>
      <c r="C736" s="3" t="n">
        <v>3</v>
      </c>
      <c r="D736" s="3" t="n">
        <v>10</v>
      </c>
      <c r="E736" s="3" t="n">
        <v>6</v>
      </c>
      <c r="F736" s="24" t="n">
        <v>2.38445878</v>
      </c>
    </row>
    <row r="737" customFormat="false" ht="15" hidden="false" customHeight="false" outlineLevel="0" collapsed="false">
      <c r="A737" s="3" t="n">
        <v>736</v>
      </c>
      <c r="B737" s="3" t="n">
        <v>735</v>
      </c>
      <c r="C737" s="3" t="n">
        <v>3</v>
      </c>
      <c r="D737" s="3" t="n">
        <v>10</v>
      </c>
      <c r="E737" s="3" t="n">
        <v>7</v>
      </c>
      <c r="F737" s="24" t="n">
        <v>0</v>
      </c>
    </row>
    <row r="738" customFormat="false" ht="15" hidden="false" customHeight="false" outlineLevel="0" collapsed="false">
      <c r="A738" s="3" t="n">
        <v>737</v>
      </c>
      <c r="B738" s="3" t="n">
        <v>736</v>
      </c>
      <c r="C738" s="3" t="n">
        <v>3</v>
      </c>
      <c r="D738" s="3" t="n">
        <v>10</v>
      </c>
      <c r="E738" s="3" t="n">
        <v>8</v>
      </c>
      <c r="F738" s="24" t="n">
        <v>0</v>
      </c>
    </row>
    <row r="739" customFormat="false" ht="15" hidden="false" customHeight="false" outlineLevel="0" collapsed="false">
      <c r="A739" s="3" t="n">
        <v>738</v>
      </c>
      <c r="B739" s="3" t="n">
        <v>737</v>
      </c>
      <c r="C739" s="3" t="n">
        <v>3</v>
      </c>
      <c r="D739" s="3" t="n">
        <v>10</v>
      </c>
      <c r="E739" s="3" t="n">
        <v>9</v>
      </c>
      <c r="F739" s="24" t="n">
        <v>0</v>
      </c>
    </row>
    <row r="740" customFormat="false" ht="15" hidden="false" customHeight="false" outlineLevel="0" collapsed="false">
      <c r="A740" s="3" t="n">
        <v>739</v>
      </c>
      <c r="B740" s="3" t="n">
        <v>738</v>
      </c>
      <c r="C740" s="3" t="n">
        <v>3</v>
      </c>
      <c r="D740" s="3" t="n">
        <v>10</v>
      </c>
      <c r="E740" s="3" t="n">
        <v>10</v>
      </c>
      <c r="F740" s="24" t="n">
        <v>0</v>
      </c>
    </row>
    <row r="741" customFormat="false" ht="15" hidden="false" customHeight="false" outlineLevel="0" collapsed="false">
      <c r="A741" s="3" t="n">
        <v>740</v>
      </c>
      <c r="B741" s="3" t="n">
        <v>739</v>
      </c>
      <c r="C741" s="3" t="n">
        <v>3</v>
      </c>
      <c r="D741" s="3" t="n">
        <v>10</v>
      </c>
      <c r="E741" s="3" t="n">
        <v>11</v>
      </c>
      <c r="F741" s="24" t="n">
        <v>0</v>
      </c>
    </row>
    <row r="742" customFormat="false" ht="15" hidden="false" customHeight="false" outlineLevel="0" collapsed="false">
      <c r="A742" s="3" t="n">
        <v>741</v>
      </c>
      <c r="B742" s="3" t="n">
        <v>740</v>
      </c>
      <c r="C742" s="3" t="n">
        <v>3</v>
      </c>
      <c r="D742" s="3" t="n">
        <v>10</v>
      </c>
      <c r="E742" s="3" t="n">
        <v>12</v>
      </c>
      <c r="F742" s="24" t="n">
        <v>0</v>
      </c>
    </row>
    <row r="743" customFormat="false" ht="15" hidden="false" customHeight="false" outlineLevel="0" collapsed="false">
      <c r="A743" s="3" t="n">
        <v>742</v>
      </c>
      <c r="B743" s="3" t="n">
        <v>741</v>
      </c>
      <c r="C743" s="3" t="n">
        <v>3</v>
      </c>
      <c r="D743" s="3" t="n">
        <v>10</v>
      </c>
      <c r="E743" s="3" t="n">
        <v>13</v>
      </c>
      <c r="F743" s="24" t="n">
        <v>0</v>
      </c>
    </row>
    <row r="744" customFormat="false" ht="15" hidden="false" customHeight="false" outlineLevel="0" collapsed="false">
      <c r="A744" s="3" t="n">
        <v>743</v>
      </c>
      <c r="B744" s="3" t="n">
        <v>742</v>
      </c>
      <c r="C744" s="3" t="n">
        <v>3</v>
      </c>
      <c r="D744" s="3" t="n">
        <v>11</v>
      </c>
      <c r="E744" s="3" t="n">
        <v>0</v>
      </c>
      <c r="F744" s="24" t="n">
        <v>0.0962923914</v>
      </c>
    </row>
    <row r="745" customFormat="false" ht="15" hidden="false" customHeight="false" outlineLevel="0" collapsed="false">
      <c r="A745" s="3" t="n">
        <v>744</v>
      </c>
      <c r="B745" s="3" t="n">
        <v>743</v>
      </c>
      <c r="C745" s="3" t="n">
        <v>3</v>
      </c>
      <c r="D745" s="3" t="n">
        <v>11</v>
      </c>
      <c r="E745" s="3" t="n">
        <v>1</v>
      </c>
      <c r="F745" s="24" t="n">
        <v>0</v>
      </c>
    </row>
    <row r="746" customFormat="false" ht="15" hidden="false" customHeight="false" outlineLevel="0" collapsed="false">
      <c r="A746" s="3" t="n">
        <v>745</v>
      </c>
      <c r="B746" s="3" t="n">
        <v>744</v>
      </c>
      <c r="C746" s="3" t="n">
        <v>3</v>
      </c>
      <c r="D746" s="3" t="n">
        <v>11</v>
      </c>
      <c r="E746" s="3" t="n">
        <v>2</v>
      </c>
      <c r="F746" s="24" t="n">
        <v>0</v>
      </c>
    </row>
    <row r="747" customFormat="false" ht="15" hidden="false" customHeight="false" outlineLevel="0" collapsed="false">
      <c r="A747" s="3" t="n">
        <v>746</v>
      </c>
      <c r="B747" s="3" t="n">
        <v>745</v>
      </c>
      <c r="C747" s="3" t="n">
        <v>3</v>
      </c>
      <c r="D747" s="3" t="n">
        <v>11</v>
      </c>
      <c r="E747" s="3" t="n">
        <v>3</v>
      </c>
      <c r="F747" s="24" t="n">
        <v>0</v>
      </c>
    </row>
    <row r="748" customFormat="false" ht="15" hidden="false" customHeight="false" outlineLevel="0" collapsed="false">
      <c r="A748" s="3" t="n">
        <v>747</v>
      </c>
      <c r="B748" s="3" t="n">
        <v>746</v>
      </c>
      <c r="C748" s="3" t="n">
        <v>3</v>
      </c>
      <c r="D748" s="3" t="n">
        <v>11</v>
      </c>
      <c r="E748" s="3" t="n">
        <v>4</v>
      </c>
      <c r="F748" s="24" t="n">
        <v>0.341491699</v>
      </c>
    </row>
    <row r="749" customFormat="false" ht="15" hidden="false" customHeight="false" outlineLevel="0" collapsed="false">
      <c r="A749" s="3" t="n">
        <v>748</v>
      </c>
      <c r="B749" s="3" t="n">
        <v>747</v>
      </c>
      <c r="C749" s="3" t="n">
        <v>3</v>
      </c>
      <c r="D749" s="3" t="n">
        <v>11</v>
      </c>
      <c r="E749" s="3" t="n">
        <v>5</v>
      </c>
      <c r="F749" s="24" t="n">
        <v>2.65426493</v>
      </c>
    </row>
    <row r="750" customFormat="false" ht="15" hidden="false" customHeight="false" outlineLevel="0" collapsed="false">
      <c r="A750" s="3" t="n">
        <v>749</v>
      </c>
      <c r="B750" s="3" t="n">
        <v>748</v>
      </c>
      <c r="C750" s="3" t="n">
        <v>3</v>
      </c>
      <c r="D750" s="3" t="n">
        <v>11</v>
      </c>
      <c r="E750" s="3" t="n">
        <v>6</v>
      </c>
      <c r="F750" s="24" t="n">
        <v>1.23717177</v>
      </c>
    </row>
    <row r="751" customFormat="false" ht="15" hidden="false" customHeight="false" outlineLevel="0" collapsed="false">
      <c r="A751" s="3" t="n">
        <v>750</v>
      </c>
      <c r="B751" s="3" t="n">
        <v>749</v>
      </c>
      <c r="C751" s="3" t="n">
        <v>3</v>
      </c>
      <c r="D751" s="3" t="n">
        <v>11</v>
      </c>
      <c r="E751" s="3" t="n">
        <v>7</v>
      </c>
      <c r="F751" s="24" t="n">
        <v>0.153635487</v>
      </c>
    </row>
    <row r="752" customFormat="false" ht="15" hidden="false" customHeight="false" outlineLevel="0" collapsed="false">
      <c r="A752" s="3" t="n">
        <v>751</v>
      </c>
      <c r="B752" s="3" t="n">
        <v>750</v>
      </c>
      <c r="C752" s="3" t="n">
        <v>3</v>
      </c>
      <c r="D752" s="3" t="n">
        <v>11</v>
      </c>
      <c r="E752" s="3" t="n">
        <v>8</v>
      </c>
      <c r="F752" s="24" t="n">
        <v>0</v>
      </c>
    </row>
    <row r="753" customFormat="false" ht="15" hidden="false" customHeight="false" outlineLevel="0" collapsed="false">
      <c r="A753" s="3" t="n">
        <v>752</v>
      </c>
      <c r="B753" s="3" t="n">
        <v>751</v>
      </c>
      <c r="C753" s="3" t="n">
        <v>3</v>
      </c>
      <c r="D753" s="3" t="n">
        <v>11</v>
      </c>
      <c r="E753" s="3" t="n">
        <v>9</v>
      </c>
      <c r="F753" s="24" t="n">
        <v>0</v>
      </c>
    </row>
    <row r="754" customFormat="false" ht="15" hidden="false" customHeight="false" outlineLevel="0" collapsed="false">
      <c r="A754" s="3" t="n">
        <v>753</v>
      </c>
      <c r="B754" s="3" t="n">
        <v>752</v>
      </c>
      <c r="C754" s="3" t="n">
        <v>3</v>
      </c>
      <c r="D754" s="3" t="n">
        <v>11</v>
      </c>
      <c r="E754" s="3" t="n">
        <v>10</v>
      </c>
      <c r="F754" s="24" t="n">
        <v>0</v>
      </c>
    </row>
    <row r="755" customFormat="false" ht="15" hidden="false" customHeight="false" outlineLevel="0" collapsed="false">
      <c r="A755" s="3" t="n">
        <v>754</v>
      </c>
      <c r="B755" s="3" t="n">
        <v>753</v>
      </c>
      <c r="C755" s="3" t="n">
        <v>3</v>
      </c>
      <c r="D755" s="3" t="n">
        <v>11</v>
      </c>
      <c r="E755" s="3" t="n">
        <v>11</v>
      </c>
      <c r="F755" s="24" t="n">
        <v>0</v>
      </c>
    </row>
    <row r="756" customFormat="false" ht="15" hidden="false" customHeight="false" outlineLevel="0" collapsed="false">
      <c r="A756" s="3" t="n">
        <v>755</v>
      </c>
      <c r="B756" s="3" t="n">
        <v>754</v>
      </c>
      <c r="C756" s="3" t="n">
        <v>3</v>
      </c>
      <c r="D756" s="3" t="n">
        <v>11</v>
      </c>
      <c r="E756" s="3" t="n">
        <v>12</v>
      </c>
      <c r="F756" s="24" t="n">
        <v>0</v>
      </c>
    </row>
    <row r="757" customFormat="false" ht="15" hidden="false" customHeight="false" outlineLevel="0" collapsed="false">
      <c r="A757" s="3" t="n">
        <v>756</v>
      </c>
      <c r="B757" s="3" t="n">
        <v>755</v>
      </c>
      <c r="C757" s="3" t="n">
        <v>3</v>
      </c>
      <c r="D757" s="3" t="n">
        <v>11</v>
      </c>
      <c r="E757" s="3" t="n">
        <v>13</v>
      </c>
      <c r="F757" s="24" t="n">
        <v>0</v>
      </c>
    </row>
    <row r="758" customFormat="false" ht="15" hidden="false" customHeight="false" outlineLevel="0" collapsed="false">
      <c r="A758" s="3" t="n">
        <v>757</v>
      </c>
      <c r="B758" s="3" t="n">
        <v>756</v>
      </c>
      <c r="C758" s="3" t="n">
        <v>3</v>
      </c>
      <c r="D758" s="3" t="n">
        <v>12</v>
      </c>
      <c r="E758" s="3" t="n">
        <v>0</v>
      </c>
      <c r="F758" s="24" t="n">
        <v>0.0962923914</v>
      </c>
    </row>
    <row r="759" customFormat="false" ht="15" hidden="false" customHeight="false" outlineLevel="0" collapsed="false">
      <c r="A759" s="3" t="n">
        <v>758</v>
      </c>
      <c r="B759" s="3" t="n">
        <v>757</v>
      </c>
      <c r="C759" s="3" t="n">
        <v>3</v>
      </c>
      <c r="D759" s="3" t="n">
        <v>12</v>
      </c>
      <c r="E759" s="3" t="n">
        <v>1</v>
      </c>
      <c r="F759" s="24" t="n">
        <v>0</v>
      </c>
    </row>
    <row r="760" customFormat="false" ht="15" hidden="false" customHeight="false" outlineLevel="0" collapsed="false">
      <c r="A760" s="3" t="n">
        <v>759</v>
      </c>
      <c r="B760" s="3" t="n">
        <v>758</v>
      </c>
      <c r="C760" s="3" t="n">
        <v>3</v>
      </c>
      <c r="D760" s="3" t="n">
        <v>12</v>
      </c>
      <c r="E760" s="3" t="n">
        <v>2</v>
      </c>
      <c r="F760" s="24" t="n">
        <v>0</v>
      </c>
    </row>
    <row r="761" customFormat="false" ht="15" hidden="false" customHeight="false" outlineLevel="0" collapsed="false">
      <c r="A761" s="3" t="n">
        <v>760</v>
      </c>
      <c r="B761" s="3" t="n">
        <v>759</v>
      </c>
      <c r="C761" s="3" t="n">
        <v>3</v>
      </c>
      <c r="D761" s="3" t="n">
        <v>12</v>
      </c>
      <c r="E761" s="3" t="n">
        <v>3</v>
      </c>
      <c r="F761" s="24" t="n">
        <v>0</v>
      </c>
    </row>
    <row r="762" customFormat="false" ht="15" hidden="false" customHeight="false" outlineLevel="0" collapsed="false">
      <c r="A762" s="3" t="n">
        <v>761</v>
      </c>
      <c r="B762" s="3" t="n">
        <v>760</v>
      </c>
      <c r="C762" s="3" t="n">
        <v>3</v>
      </c>
      <c r="D762" s="3" t="n">
        <v>12</v>
      </c>
      <c r="E762" s="3" t="n">
        <v>4</v>
      </c>
      <c r="F762" s="24" t="n">
        <v>0.979769528</v>
      </c>
    </row>
    <row r="763" customFormat="false" ht="15" hidden="false" customHeight="false" outlineLevel="0" collapsed="false">
      <c r="A763" s="3" t="n">
        <v>762</v>
      </c>
      <c r="B763" s="3" t="n">
        <v>761</v>
      </c>
      <c r="C763" s="3" t="n">
        <v>3</v>
      </c>
      <c r="D763" s="3" t="n">
        <v>12</v>
      </c>
      <c r="E763" s="3" t="n">
        <v>5</v>
      </c>
      <c r="F763" s="24" t="n">
        <v>1.71239746</v>
      </c>
    </row>
    <row r="764" customFormat="false" ht="15" hidden="false" customHeight="false" outlineLevel="0" collapsed="false">
      <c r="A764" s="3" t="n">
        <v>763</v>
      </c>
      <c r="B764" s="3" t="n">
        <v>762</v>
      </c>
      <c r="C764" s="3" t="n">
        <v>3</v>
      </c>
      <c r="D764" s="3" t="n">
        <v>12</v>
      </c>
      <c r="E764" s="3" t="n">
        <v>6</v>
      </c>
      <c r="F764" s="24" t="n">
        <v>0.241783053</v>
      </c>
    </row>
    <row r="765" customFormat="false" ht="15" hidden="false" customHeight="false" outlineLevel="0" collapsed="false">
      <c r="A765" s="3" t="n">
        <v>764</v>
      </c>
      <c r="B765" s="3" t="n">
        <v>763</v>
      </c>
      <c r="C765" s="3" t="n">
        <v>3</v>
      </c>
      <c r="D765" s="3" t="n">
        <v>12</v>
      </c>
      <c r="E765" s="3" t="n">
        <v>7</v>
      </c>
      <c r="F765" s="24" t="n">
        <v>0.514828265</v>
      </c>
    </row>
    <row r="766" customFormat="false" ht="15" hidden="false" customHeight="false" outlineLevel="0" collapsed="false">
      <c r="A766" s="3" t="n">
        <v>765</v>
      </c>
      <c r="B766" s="3" t="n">
        <v>764</v>
      </c>
      <c r="C766" s="3" t="n">
        <v>3</v>
      </c>
      <c r="D766" s="3" t="n">
        <v>12</v>
      </c>
      <c r="E766" s="3" t="n">
        <v>8</v>
      </c>
      <c r="F766" s="24" t="n">
        <v>0</v>
      </c>
    </row>
    <row r="767" customFormat="false" ht="15" hidden="false" customHeight="false" outlineLevel="0" collapsed="false">
      <c r="A767" s="3" t="n">
        <v>766</v>
      </c>
      <c r="B767" s="3" t="n">
        <v>765</v>
      </c>
      <c r="C767" s="3" t="n">
        <v>3</v>
      </c>
      <c r="D767" s="3" t="n">
        <v>12</v>
      </c>
      <c r="E767" s="3" t="n">
        <v>9</v>
      </c>
      <c r="F767" s="24" t="n">
        <v>0</v>
      </c>
    </row>
    <row r="768" customFormat="false" ht="15" hidden="false" customHeight="false" outlineLevel="0" collapsed="false">
      <c r="A768" s="3" t="n">
        <v>767</v>
      </c>
      <c r="B768" s="3" t="n">
        <v>766</v>
      </c>
      <c r="C768" s="3" t="n">
        <v>3</v>
      </c>
      <c r="D768" s="3" t="n">
        <v>12</v>
      </c>
      <c r="E768" s="3" t="n">
        <v>10</v>
      </c>
      <c r="F768" s="24" t="n">
        <v>0</v>
      </c>
    </row>
    <row r="769" customFormat="false" ht="15" hidden="false" customHeight="false" outlineLevel="0" collapsed="false">
      <c r="A769" s="3" t="n">
        <v>768</v>
      </c>
      <c r="B769" s="3" t="n">
        <v>767</v>
      </c>
      <c r="C769" s="3" t="n">
        <v>3</v>
      </c>
      <c r="D769" s="3" t="n">
        <v>12</v>
      </c>
      <c r="E769" s="3" t="n">
        <v>11</v>
      </c>
      <c r="F769" s="24" t="n">
        <v>0</v>
      </c>
    </row>
    <row r="770" customFormat="false" ht="15" hidden="false" customHeight="false" outlineLevel="0" collapsed="false">
      <c r="A770" s="3" t="n">
        <v>769</v>
      </c>
      <c r="B770" s="3" t="n">
        <v>768</v>
      </c>
      <c r="C770" s="3" t="n">
        <v>3</v>
      </c>
      <c r="D770" s="3" t="n">
        <v>12</v>
      </c>
      <c r="E770" s="3" t="n">
        <v>12</v>
      </c>
      <c r="F770" s="24" t="n">
        <v>0</v>
      </c>
    </row>
    <row r="771" customFormat="false" ht="15" hidden="false" customHeight="false" outlineLevel="0" collapsed="false">
      <c r="A771" s="3" t="n">
        <v>770</v>
      </c>
      <c r="B771" s="3" t="n">
        <v>769</v>
      </c>
      <c r="C771" s="3" t="n">
        <v>3</v>
      </c>
      <c r="D771" s="3" t="n">
        <v>12</v>
      </c>
      <c r="E771" s="3" t="n">
        <v>13</v>
      </c>
      <c r="F771" s="24" t="n">
        <v>0</v>
      </c>
    </row>
    <row r="772" customFormat="false" ht="15" hidden="false" customHeight="false" outlineLevel="0" collapsed="false">
      <c r="A772" s="3" t="n">
        <v>771</v>
      </c>
      <c r="B772" s="3" t="n">
        <v>770</v>
      </c>
      <c r="C772" s="3" t="n">
        <v>3</v>
      </c>
      <c r="D772" s="3" t="n">
        <v>13</v>
      </c>
      <c r="E772" s="3" t="n">
        <v>0</v>
      </c>
      <c r="F772" s="24" t="n">
        <v>0.428851575</v>
      </c>
    </row>
    <row r="773" customFormat="false" ht="15" hidden="false" customHeight="false" outlineLevel="0" collapsed="false">
      <c r="A773" s="3" t="n">
        <v>772</v>
      </c>
      <c r="B773" s="3" t="n">
        <v>771</v>
      </c>
      <c r="C773" s="3" t="n">
        <v>3</v>
      </c>
      <c r="D773" s="3" t="n">
        <v>13</v>
      </c>
      <c r="E773" s="3" t="n">
        <v>1</v>
      </c>
      <c r="F773" s="24" t="n">
        <v>0.399228364</v>
      </c>
    </row>
    <row r="774" customFormat="false" ht="15" hidden="false" customHeight="false" outlineLevel="0" collapsed="false">
      <c r="A774" s="3" t="n">
        <v>773</v>
      </c>
      <c r="B774" s="3" t="n">
        <v>772</v>
      </c>
      <c r="C774" s="3" t="n">
        <v>3</v>
      </c>
      <c r="D774" s="3" t="n">
        <v>13</v>
      </c>
      <c r="E774" s="3" t="n">
        <v>2</v>
      </c>
      <c r="F774" s="24" t="n">
        <v>0.399228364</v>
      </c>
    </row>
    <row r="775" customFormat="false" ht="15" hidden="false" customHeight="false" outlineLevel="0" collapsed="false">
      <c r="A775" s="3" t="n">
        <v>774</v>
      </c>
      <c r="B775" s="3" t="n">
        <v>773</v>
      </c>
      <c r="C775" s="3" t="n">
        <v>3</v>
      </c>
      <c r="D775" s="3" t="n">
        <v>13</v>
      </c>
      <c r="E775" s="3" t="n">
        <v>3</v>
      </c>
      <c r="F775" s="24" t="n">
        <v>0.399228364</v>
      </c>
    </row>
    <row r="776" customFormat="false" ht="15" hidden="false" customHeight="false" outlineLevel="0" collapsed="false">
      <c r="A776" s="3" t="n">
        <v>775</v>
      </c>
      <c r="B776" s="3" t="n">
        <v>774</v>
      </c>
      <c r="C776" s="3" t="n">
        <v>3</v>
      </c>
      <c r="D776" s="3" t="n">
        <v>13</v>
      </c>
      <c r="E776" s="3" t="n">
        <v>4</v>
      </c>
      <c r="F776" s="24" t="n">
        <v>0.399228364</v>
      </c>
    </row>
    <row r="777" customFormat="false" ht="15" hidden="false" customHeight="false" outlineLevel="0" collapsed="false">
      <c r="A777" s="3" t="n">
        <v>776</v>
      </c>
      <c r="B777" s="3" t="n">
        <v>775</v>
      </c>
      <c r="C777" s="3" t="n">
        <v>3</v>
      </c>
      <c r="D777" s="3" t="n">
        <v>13</v>
      </c>
      <c r="E777" s="3" t="n">
        <v>5</v>
      </c>
      <c r="F777" s="24" t="n">
        <v>0</v>
      </c>
    </row>
    <row r="778" customFormat="false" ht="15" hidden="false" customHeight="false" outlineLevel="0" collapsed="false">
      <c r="A778" s="3" t="n">
        <v>777</v>
      </c>
      <c r="B778" s="3" t="n">
        <v>776</v>
      </c>
      <c r="C778" s="3" t="n">
        <v>3</v>
      </c>
      <c r="D778" s="3" t="n">
        <v>13</v>
      </c>
      <c r="E778" s="3" t="n">
        <v>6</v>
      </c>
      <c r="F778" s="24" t="n">
        <v>0</v>
      </c>
    </row>
    <row r="779" customFormat="false" ht="15" hidden="false" customHeight="false" outlineLevel="0" collapsed="false">
      <c r="A779" s="3" t="n">
        <v>778</v>
      </c>
      <c r="B779" s="3" t="n">
        <v>777</v>
      </c>
      <c r="C779" s="3" t="n">
        <v>3</v>
      </c>
      <c r="D779" s="3" t="n">
        <v>13</v>
      </c>
      <c r="E779" s="3" t="n">
        <v>7</v>
      </c>
      <c r="F779" s="24" t="n">
        <v>0.399228364</v>
      </c>
    </row>
    <row r="780" customFormat="false" ht="15" hidden="false" customHeight="false" outlineLevel="0" collapsed="false">
      <c r="A780" s="3" t="n">
        <v>779</v>
      </c>
      <c r="B780" s="3" t="n">
        <v>778</v>
      </c>
      <c r="C780" s="3" t="n">
        <v>3</v>
      </c>
      <c r="D780" s="3" t="n">
        <v>13</v>
      </c>
      <c r="E780" s="3" t="n">
        <v>8</v>
      </c>
      <c r="F780" s="24" t="n">
        <v>0.399228364</v>
      </c>
    </row>
    <row r="781" customFormat="false" ht="15" hidden="false" customHeight="false" outlineLevel="0" collapsed="false">
      <c r="A781" s="3" t="n">
        <v>780</v>
      </c>
      <c r="B781" s="3" t="n">
        <v>779</v>
      </c>
      <c r="C781" s="3" t="n">
        <v>3</v>
      </c>
      <c r="D781" s="3" t="n">
        <v>13</v>
      </c>
      <c r="E781" s="3" t="n">
        <v>9</v>
      </c>
      <c r="F781" s="24" t="n">
        <v>0.399228364</v>
      </c>
    </row>
    <row r="782" customFormat="false" ht="15" hidden="false" customHeight="false" outlineLevel="0" collapsed="false">
      <c r="A782" s="3" t="n">
        <v>781</v>
      </c>
      <c r="B782" s="3" t="n">
        <v>780</v>
      </c>
      <c r="C782" s="3" t="n">
        <v>3</v>
      </c>
      <c r="D782" s="3" t="n">
        <v>13</v>
      </c>
      <c r="E782" s="3" t="n">
        <v>10</v>
      </c>
      <c r="F782" s="24" t="n">
        <v>0.399228364</v>
      </c>
    </row>
    <row r="783" customFormat="false" ht="15" hidden="false" customHeight="false" outlineLevel="0" collapsed="false">
      <c r="A783" s="3" t="n">
        <v>782</v>
      </c>
      <c r="B783" s="3" t="n">
        <v>781</v>
      </c>
      <c r="C783" s="3" t="n">
        <v>3</v>
      </c>
      <c r="D783" s="3" t="n">
        <v>13</v>
      </c>
      <c r="E783" s="3" t="n">
        <v>11</v>
      </c>
      <c r="F783" s="24" t="n">
        <v>0.399228364</v>
      </c>
    </row>
    <row r="784" customFormat="false" ht="15" hidden="false" customHeight="false" outlineLevel="0" collapsed="false">
      <c r="A784" s="3" t="n">
        <v>783</v>
      </c>
      <c r="B784" s="3" t="n">
        <v>782</v>
      </c>
      <c r="C784" s="3" t="n">
        <v>3</v>
      </c>
      <c r="D784" s="3" t="n">
        <v>13</v>
      </c>
      <c r="E784" s="3" t="n">
        <v>12</v>
      </c>
      <c r="F784" s="24" t="n">
        <v>0.399228364</v>
      </c>
    </row>
    <row r="785" customFormat="false" ht="15" hidden="false" customHeight="false" outlineLevel="0" collapsed="false">
      <c r="A785" s="3" t="n">
        <v>784</v>
      </c>
      <c r="B785" s="3" t="n">
        <v>783</v>
      </c>
      <c r="C785" s="3" t="n">
        <v>3</v>
      </c>
      <c r="D785" s="3" t="n">
        <v>13</v>
      </c>
      <c r="E785" s="3" t="n">
        <v>13</v>
      </c>
      <c r="F785" s="24" t="n">
        <v>0.399228364</v>
      </c>
    </row>
    <row r="786" customFormat="false" ht="15" hidden="false" customHeight="false" outlineLevel="0" collapsed="false">
      <c r="A786" s="3" t="n">
        <v>785</v>
      </c>
      <c r="B786" s="3" t="n">
        <v>784</v>
      </c>
      <c r="C786" s="3" t="n">
        <v>4</v>
      </c>
      <c r="D786" s="3" t="n">
        <v>0</v>
      </c>
      <c r="E786" s="3" t="n">
        <v>0</v>
      </c>
      <c r="F786" s="24" t="n">
        <v>0</v>
      </c>
    </row>
    <row r="787" customFormat="false" ht="15" hidden="false" customHeight="false" outlineLevel="0" collapsed="false">
      <c r="A787" s="3" t="n">
        <v>786</v>
      </c>
      <c r="B787" s="3" t="n">
        <v>785</v>
      </c>
      <c r="C787" s="3" t="n">
        <v>4</v>
      </c>
      <c r="D787" s="3" t="n">
        <v>0</v>
      </c>
      <c r="E787" s="3" t="n">
        <v>1</v>
      </c>
      <c r="F787" s="24" t="n">
        <v>0</v>
      </c>
    </row>
    <row r="788" customFormat="false" ht="15" hidden="false" customHeight="false" outlineLevel="0" collapsed="false">
      <c r="A788" s="3" t="n">
        <v>787</v>
      </c>
      <c r="B788" s="3" t="n">
        <v>786</v>
      </c>
      <c r="C788" s="3" t="n">
        <v>4</v>
      </c>
      <c r="D788" s="3" t="n">
        <v>0</v>
      </c>
      <c r="E788" s="3" t="n">
        <v>2</v>
      </c>
      <c r="F788" s="24" t="n">
        <v>0</v>
      </c>
    </row>
    <row r="789" customFormat="false" ht="15" hidden="false" customHeight="false" outlineLevel="0" collapsed="false">
      <c r="A789" s="3" t="n">
        <v>788</v>
      </c>
      <c r="B789" s="3" t="n">
        <v>787</v>
      </c>
      <c r="C789" s="3" t="n">
        <v>4</v>
      </c>
      <c r="D789" s="3" t="n">
        <v>0</v>
      </c>
      <c r="E789" s="3" t="n">
        <v>3</v>
      </c>
      <c r="F789" s="24" t="n">
        <v>0</v>
      </c>
    </row>
    <row r="790" customFormat="false" ht="15" hidden="false" customHeight="false" outlineLevel="0" collapsed="false">
      <c r="A790" s="3" t="n">
        <v>789</v>
      </c>
      <c r="B790" s="3" t="n">
        <v>788</v>
      </c>
      <c r="C790" s="3" t="n">
        <v>4</v>
      </c>
      <c r="D790" s="3" t="n">
        <v>0</v>
      </c>
      <c r="E790" s="3" t="n">
        <v>4</v>
      </c>
      <c r="F790" s="24" t="n">
        <v>0</v>
      </c>
    </row>
    <row r="791" customFormat="false" ht="15" hidden="false" customHeight="false" outlineLevel="0" collapsed="false">
      <c r="A791" s="3" t="n">
        <v>790</v>
      </c>
      <c r="B791" s="3" t="n">
        <v>789</v>
      </c>
      <c r="C791" s="3" t="n">
        <v>4</v>
      </c>
      <c r="D791" s="3" t="n">
        <v>0</v>
      </c>
      <c r="E791" s="3" t="n">
        <v>5</v>
      </c>
      <c r="F791" s="24" t="n">
        <v>0</v>
      </c>
    </row>
    <row r="792" customFormat="false" ht="15" hidden="false" customHeight="false" outlineLevel="0" collapsed="false">
      <c r="A792" s="3" t="n">
        <v>791</v>
      </c>
      <c r="B792" s="3" t="n">
        <v>790</v>
      </c>
      <c r="C792" s="3" t="n">
        <v>4</v>
      </c>
      <c r="D792" s="3" t="n">
        <v>0</v>
      </c>
      <c r="E792" s="3" t="n">
        <v>6</v>
      </c>
      <c r="F792" s="24" t="n">
        <v>0</v>
      </c>
    </row>
    <row r="793" customFormat="false" ht="15" hidden="false" customHeight="false" outlineLevel="0" collapsed="false">
      <c r="A793" s="3" t="n">
        <v>792</v>
      </c>
      <c r="B793" s="3" t="n">
        <v>791</v>
      </c>
      <c r="C793" s="3" t="n">
        <v>4</v>
      </c>
      <c r="D793" s="3" t="n">
        <v>0</v>
      </c>
      <c r="E793" s="3" t="n">
        <v>7</v>
      </c>
      <c r="F793" s="24" t="n">
        <v>0</v>
      </c>
    </row>
    <row r="794" customFormat="false" ht="15" hidden="false" customHeight="false" outlineLevel="0" collapsed="false">
      <c r="A794" s="3" t="n">
        <v>793</v>
      </c>
      <c r="B794" s="3" t="n">
        <v>792</v>
      </c>
      <c r="C794" s="3" t="n">
        <v>4</v>
      </c>
      <c r="D794" s="3" t="n">
        <v>0</v>
      </c>
      <c r="E794" s="3" t="n">
        <v>8</v>
      </c>
      <c r="F794" s="24" t="n">
        <v>0</v>
      </c>
    </row>
    <row r="795" customFormat="false" ht="15" hidden="false" customHeight="false" outlineLevel="0" collapsed="false">
      <c r="A795" s="3" t="n">
        <v>794</v>
      </c>
      <c r="B795" s="3" t="n">
        <v>793</v>
      </c>
      <c r="C795" s="3" t="n">
        <v>4</v>
      </c>
      <c r="D795" s="3" t="n">
        <v>0</v>
      </c>
      <c r="E795" s="3" t="n">
        <v>9</v>
      </c>
      <c r="F795" s="24" t="n">
        <v>0</v>
      </c>
    </row>
    <row r="796" customFormat="false" ht="15" hidden="false" customHeight="false" outlineLevel="0" collapsed="false">
      <c r="A796" s="3" t="n">
        <v>795</v>
      </c>
      <c r="B796" s="3" t="n">
        <v>794</v>
      </c>
      <c r="C796" s="3" t="n">
        <v>4</v>
      </c>
      <c r="D796" s="3" t="n">
        <v>0</v>
      </c>
      <c r="E796" s="3" t="n">
        <v>10</v>
      </c>
      <c r="F796" s="24" t="n">
        <v>0</v>
      </c>
    </row>
    <row r="797" customFormat="false" ht="15" hidden="false" customHeight="false" outlineLevel="0" collapsed="false">
      <c r="A797" s="3" t="n">
        <v>796</v>
      </c>
      <c r="B797" s="3" t="n">
        <v>795</v>
      </c>
      <c r="C797" s="3" t="n">
        <v>4</v>
      </c>
      <c r="D797" s="3" t="n">
        <v>0</v>
      </c>
      <c r="E797" s="3" t="n">
        <v>11</v>
      </c>
      <c r="F797" s="24" t="n">
        <v>0</v>
      </c>
    </row>
    <row r="798" customFormat="false" ht="15" hidden="false" customHeight="false" outlineLevel="0" collapsed="false">
      <c r="A798" s="3" t="n">
        <v>797</v>
      </c>
      <c r="B798" s="3" t="n">
        <v>796</v>
      </c>
      <c r="C798" s="3" t="n">
        <v>4</v>
      </c>
      <c r="D798" s="3" t="n">
        <v>0</v>
      </c>
      <c r="E798" s="3" t="n">
        <v>12</v>
      </c>
      <c r="F798" s="24" t="n">
        <v>0</v>
      </c>
    </row>
    <row r="799" customFormat="false" ht="15" hidden="false" customHeight="false" outlineLevel="0" collapsed="false">
      <c r="A799" s="3" t="n">
        <v>798</v>
      </c>
      <c r="B799" s="3" t="n">
        <v>797</v>
      </c>
      <c r="C799" s="3" t="n">
        <v>4</v>
      </c>
      <c r="D799" s="3" t="n">
        <v>0</v>
      </c>
      <c r="E799" s="3" t="n">
        <v>13</v>
      </c>
      <c r="F799" s="24" t="n">
        <v>0</v>
      </c>
    </row>
    <row r="800" customFormat="false" ht="15" hidden="false" customHeight="false" outlineLevel="0" collapsed="false">
      <c r="A800" s="3" t="n">
        <v>799</v>
      </c>
      <c r="B800" s="3" t="n">
        <v>798</v>
      </c>
      <c r="C800" s="3" t="n">
        <v>4</v>
      </c>
      <c r="D800" s="3" t="n">
        <v>1</v>
      </c>
      <c r="E800" s="3" t="n">
        <v>0</v>
      </c>
      <c r="F800" s="24" t="n">
        <v>0</v>
      </c>
    </row>
    <row r="801" customFormat="false" ht="15" hidden="false" customHeight="false" outlineLevel="0" collapsed="false">
      <c r="A801" s="3" t="n">
        <v>800</v>
      </c>
      <c r="B801" s="3" t="n">
        <v>799</v>
      </c>
      <c r="C801" s="3" t="n">
        <v>4</v>
      </c>
      <c r="D801" s="3" t="n">
        <v>1</v>
      </c>
      <c r="E801" s="3" t="n">
        <v>1</v>
      </c>
      <c r="F801" s="24" t="n">
        <v>0</v>
      </c>
    </row>
    <row r="802" customFormat="false" ht="15" hidden="false" customHeight="false" outlineLevel="0" collapsed="false">
      <c r="A802" s="3" t="n">
        <v>801</v>
      </c>
      <c r="B802" s="3" t="n">
        <v>800</v>
      </c>
      <c r="C802" s="3" t="n">
        <v>4</v>
      </c>
      <c r="D802" s="3" t="n">
        <v>1</v>
      </c>
      <c r="E802" s="3" t="n">
        <v>2</v>
      </c>
      <c r="F802" s="24" t="n">
        <v>0</v>
      </c>
    </row>
    <row r="803" customFormat="false" ht="15" hidden="false" customHeight="false" outlineLevel="0" collapsed="false">
      <c r="A803" s="3" t="n">
        <v>802</v>
      </c>
      <c r="B803" s="3" t="n">
        <v>801</v>
      </c>
      <c r="C803" s="3" t="n">
        <v>4</v>
      </c>
      <c r="D803" s="3" t="n">
        <v>1</v>
      </c>
      <c r="E803" s="3" t="n">
        <v>3</v>
      </c>
      <c r="F803" s="24" t="n">
        <v>0</v>
      </c>
    </row>
    <row r="804" customFormat="false" ht="15" hidden="false" customHeight="false" outlineLevel="0" collapsed="false">
      <c r="A804" s="3" t="n">
        <v>803</v>
      </c>
      <c r="B804" s="3" t="n">
        <v>802</v>
      </c>
      <c r="C804" s="3" t="n">
        <v>4</v>
      </c>
      <c r="D804" s="3" t="n">
        <v>1</v>
      </c>
      <c r="E804" s="3" t="n">
        <v>4</v>
      </c>
      <c r="F804" s="24" t="n">
        <v>0</v>
      </c>
    </row>
    <row r="805" customFormat="false" ht="15" hidden="false" customHeight="false" outlineLevel="0" collapsed="false">
      <c r="A805" s="3" t="n">
        <v>804</v>
      </c>
      <c r="B805" s="3" t="n">
        <v>803</v>
      </c>
      <c r="C805" s="3" t="n">
        <v>4</v>
      </c>
      <c r="D805" s="3" t="n">
        <v>1</v>
      </c>
      <c r="E805" s="3" t="n">
        <v>5</v>
      </c>
      <c r="F805" s="24" t="n">
        <v>0</v>
      </c>
    </row>
    <row r="806" customFormat="false" ht="15" hidden="false" customHeight="false" outlineLevel="0" collapsed="false">
      <c r="A806" s="3" t="n">
        <v>805</v>
      </c>
      <c r="B806" s="3" t="n">
        <v>804</v>
      </c>
      <c r="C806" s="3" t="n">
        <v>4</v>
      </c>
      <c r="D806" s="3" t="n">
        <v>1</v>
      </c>
      <c r="E806" s="3" t="n">
        <v>6</v>
      </c>
      <c r="F806" s="24" t="n">
        <v>0</v>
      </c>
    </row>
    <row r="807" customFormat="false" ht="15" hidden="false" customHeight="false" outlineLevel="0" collapsed="false">
      <c r="A807" s="3" t="n">
        <v>806</v>
      </c>
      <c r="B807" s="3" t="n">
        <v>805</v>
      </c>
      <c r="C807" s="3" t="n">
        <v>4</v>
      </c>
      <c r="D807" s="3" t="n">
        <v>1</v>
      </c>
      <c r="E807" s="3" t="n">
        <v>7</v>
      </c>
      <c r="F807" s="24" t="n">
        <v>0</v>
      </c>
    </row>
    <row r="808" customFormat="false" ht="15" hidden="false" customHeight="false" outlineLevel="0" collapsed="false">
      <c r="A808" s="3" t="n">
        <v>807</v>
      </c>
      <c r="B808" s="3" t="n">
        <v>806</v>
      </c>
      <c r="C808" s="3" t="n">
        <v>4</v>
      </c>
      <c r="D808" s="3" t="n">
        <v>1</v>
      </c>
      <c r="E808" s="3" t="n">
        <v>8</v>
      </c>
      <c r="F808" s="24" t="n">
        <v>0</v>
      </c>
    </row>
    <row r="809" customFormat="false" ht="15" hidden="false" customHeight="false" outlineLevel="0" collapsed="false">
      <c r="A809" s="3" t="n">
        <v>808</v>
      </c>
      <c r="B809" s="3" t="n">
        <v>807</v>
      </c>
      <c r="C809" s="3" t="n">
        <v>4</v>
      </c>
      <c r="D809" s="3" t="n">
        <v>1</v>
      </c>
      <c r="E809" s="3" t="n">
        <v>9</v>
      </c>
      <c r="F809" s="24" t="n">
        <v>0</v>
      </c>
    </row>
    <row r="810" customFormat="false" ht="15" hidden="false" customHeight="false" outlineLevel="0" collapsed="false">
      <c r="A810" s="3" t="n">
        <v>809</v>
      </c>
      <c r="B810" s="3" t="n">
        <v>808</v>
      </c>
      <c r="C810" s="3" t="n">
        <v>4</v>
      </c>
      <c r="D810" s="3" t="n">
        <v>1</v>
      </c>
      <c r="E810" s="3" t="n">
        <v>10</v>
      </c>
      <c r="F810" s="24" t="n">
        <v>0</v>
      </c>
    </row>
    <row r="811" customFormat="false" ht="15" hidden="false" customHeight="false" outlineLevel="0" collapsed="false">
      <c r="A811" s="3" t="n">
        <v>810</v>
      </c>
      <c r="B811" s="3" t="n">
        <v>809</v>
      </c>
      <c r="C811" s="3" t="n">
        <v>4</v>
      </c>
      <c r="D811" s="3" t="n">
        <v>1</v>
      </c>
      <c r="E811" s="3" t="n">
        <v>11</v>
      </c>
      <c r="F811" s="24" t="n">
        <v>0</v>
      </c>
    </row>
    <row r="812" customFormat="false" ht="15" hidden="false" customHeight="false" outlineLevel="0" collapsed="false">
      <c r="A812" s="3" t="n">
        <v>811</v>
      </c>
      <c r="B812" s="3" t="n">
        <v>810</v>
      </c>
      <c r="C812" s="3" t="n">
        <v>4</v>
      </c>
      <c r="D812" s="3" t="n">
        <v>1</v>
      </c>
      <c r="E812" s="3" t="n">
        <v>12</v>
      </c>
      <c r="F812" s="24" t="n">
        <v>0</v>
      </c>
    </row>
    <row r="813" customFormat="false" ht="15" hidden="false" customHeight="false" outlineLevel="0" collapsed="false">
      <c r="A813" s="3" t="n">
        <v>812</v>
      </c>
      <c r="B813" s="3" t="n">
        <v>811</v>
      </c>
      <c r="C813" s="3" t="n">
        <v>4</v>
      </c>
      <c r="D813" s="3" t="n">
        <v>1</v>
      </c>
      <c r="E813" s="3" t="n">
        <v>13</v>
      </c>
      <c r="F813" s="24" t="n">
        <v>0</v>
      </c>
    </row>
    <row r="814" customFormat="false" ht="15" hidden="false" customHeight="false" outlineLevel="0" collapsed="false">
      <c r="A814" s="3" t="n">
        <v>813</v>
      </c>
      <c r="B814" s="3" t="n">
        <v>812</v>
      </c>
      <c r="C814" s="3" t="n">
        <v>4</v>
      </c>
      <c r="D814" s="3" t="n">
        <v>2</v>
      </c>
      <c r="E814" s="3" t="n">
        <v>0</v>
      </c>
      <c r="F814" s="24" t="n">
        <v>0</v>
      </c>
    </row>
    <row r="815" customFormat="false" ht="15" hidden="false" customHeight="false" outlineLevel="0" collapsed="false">
      <c r="A815" s="3" t="n">
        <v>814</v>
      </c>
      <c r="B815" s="3" t="n">
        <v>813</v>
      </c>
      <c r="C815" s="3" t="n">
        <v>4</v>
      </c>
      <c r="D815" s="3" t="n">
        <v>2</v>
      </c>
      <c r="E815" s="3" t="n">
        <v>1</v>
      </c>
      <c r="F815" s="24" t="n">
        <v>0</v>
      </c>
    </row>
    <row r="816" customFormat="false" ht="15" hidden="false" customHeight="false" outlineLevel="0" collapsed="false">
      <c r="A816" s="3" t="n">
        <v>815</v>
      </c>
      <c r="B816" s="3" t="n">
        <v>814</v>
      </c>
      <c r="C816" s="3" t="n">
        <v>4</v>
      </c>
      <c r="D816" s="3" t="n">
        <v>2</v>
      </c>
      <c r="E816" s="3" t="n">
        <v>2</v>
      </c>
      <c r="F816" s="24" t="n">
        <v>0</v>
      </c>
    </row>
    <row r="817" customFormat="false" ht="15" hidden="false" customHeight="false" outlineLevel="0" collapsed="false">
      <c r="A817" s="3" t="n">
        <v>816</v>
      </c>
      <c r="B817" s="3" t="n">
        <v>815</v>
      </c>
      <c r="C817" s="3" t="n">
        <v>4</v>
      </c>
      <c r="D817" s="3" t="n">
        <v>2</v>
      </c>
      <c r="E817" s="3" t="n">
        <v>3</v>
      </c>
      <c r="F817" s="24" t="n">
        <v>0</v>
      </c>
    </row>
    <row r="818" customFormat="false" ht="15" hidden="false" customHeight="false" outlineLevel="0" collapsed="false">
      <c r="A818" s="3" t="n">
        <v>817</v>
      </c>
      <c r="B818" s="3" t="n">
        <v>816</v>
      </c>
      <c r="C818" s="3" t="n">
        <v>4</v>
      </c>
      <c r="D818" s="3" t="n">
        <v>2</v>
      </c>
      <c r="E818" s="3" t="n">
        <v>4</v>
      </c>
      <c r="F818" s="24" t="n">
        <v>0</v>
      </c>
    </row>
    <row r="819" customFormat="false" ht="15" hidden="false" customHeight="false" outlineLevel="0" collapsed="false">
      <c r="A819" s="3" t="n">
        <v>818</v>
      </c>
      <c r="B819" s="3" t="n">
        <v>817</v>
      </c>
      <c r="C819" s="3" t="n">
        <v>4</v>
      </c>
      <c r="D819" s="3" t="n">
        <v>2</v>
      </c>
      <c r="E819" s="3" t="n">
        <v>5</v>
      </c>
      <c r="F819" s="24" t="n">
        <v>0</v>
      </c>
    </row>
    <row r="820" customFormat="false" ht="15" hidden="false" customHeight="false" outlineLevel="0" collapsed="false">
      <c r="A820" s="3" t="n">
        <v>819</v>
      </c>
      <c r="B820" s="3" t="n">
        <v>818</v>
      </c>
      <c r="C820" s="3" t="n">
        <v>4</v>
      </c>
      <c r="D820" s="3" t="n">
        <v>2</v>
      </c>
      <c r="E820" s="3" t="n">
        <v>6</v>
      </c>
      <c r="F820" s="24" t="n">
        <v>0</v>
      </c>
    </row>
    <row r="821" customFormat="false" ht="15" hidden="false" customHeight="false" outlineLevel="0" collapsed="false">
      <c r="A821" s="3" t="n">
        <v>820</v>
      </c>
      <c r="B821" s="3" t="n">
        <v>819</v>
      </c>
      <c r="C821" s="3" t="n">
        <v>4</v>
      </c>
      <c r="D821" s="3" t="n">
        <v>2</v>
      </c>
      <c r="E821" s="3" t="n">
        <v>7</v>
      </c>
      <c r="F821" s="24" t="n">
        <v>0</v>
      </c>
    </row>
    <row r="822" customFormat="false" ht="15" hidden="false" customHeight="false" outlineLevel="0" collapsed="false">
      <c r="A822" s="3" t="n">
        <v>821</v>
      </c>
      <c r="B822" s="3" t="n">
        <v>820</v>
      </c>
      <c r="C822" s="3" t="n">
        <v>4</v>
      </c>
      <c r="D822" s="3" t="n">
        <v>2</v>
      </c>
      <c r="E822" s="3" t="n">
        <v>8</v>
      </c>
      <c r="F822" s="24" t="n">
        <v>0</v>
      </c>
    </row>
    <row r="823" customFormat="false" ht="15" hidden="false" customHeight="false" outlineLevel="0" collapsed="false">
      <c r="A823" s="3" t="n">
        <v>822</v>
      </c>
      <c r="B823" s="3" t="n">
        <v>821</v>
      </c>
      <c r="C823" s="3" t="n">
        <v>4</v>
      </c>
      <c r="D823" s="3" t="n">
        <v>2</v>
      </c>
      <c r="E823" s="3" t="n">
        <v>9</v>
      </c>
      <c r="F823" s="24" t="n">
        <v>0</v>
      </c>
    </row>
    <row r="824" customFormat="false" ht="15" hidden="false" customHeight="false" outlineLevel="0" collapsed="false">
      <c r="A824" s="3" t="n">
        <v>823</v>
      </c>
      <c r="B824" s="3" t="n">
        <v>822</v>
      </c>
      <c r="C824" s="3" t="n">
        <v>4</v>
      </c>
      <c r="D824" s="3" t="n">
        <v>2</v>
      </c>
      <c r="E824" s="3" t="n">
        <v>10</v>
      </c>
      <c r="F824" s="24" t="n">
        <v>0</v>
      </c>
    </row>
    <row r="825" customFormat="false" ht="15" hidden="false" customHeight="false" outlineLevel="0" collapsed="false">
      <c r="A825" s="3" t="n">
        <v>824</v>
      </c>
      <c r="B825" s="3" t="n">
        <v>823</v>
      </c>
      <c r="C825" s="3" t="n">
        <v>4</v>
      </c>
      <c r="D825" s="3" t="n">
        <v>2</v>
      </c>
      <c r="E825" s="3" t="n">
        <v>11</v>
      </c>
      <c r="F825" s="24" t="n">
        <v>0</v>
      </c>
    </row>
    <row r="826" customFormat="false" ht="15" hidden="false" customHeight="false" outlineLevel="0" collapsed="false">
      <c r="A826" s="3" t="n">
        <v>825</v>
      </c>
      <c r="B826" s="3" t="n">
        <v>824</v>
      </c>
      <c r="C826" s="3" t="n">
        <v>4</v>
      </c>
      <c r="D826" s="3" t="n">
        <v>2</v>
      </c>
      <c r="E826" s="3" t="n">
        <v>12</v>
      </c>
      <c r="F826" s="24" t="n">
        <v>0</v>
      </c>
    </row>
    <row r="827" customFormat="false" ht="15" hidden="false" customHeight="false" outlineLevel="0" collapsed="false">
      <c r="A827" s="3" t="n">
        <v>826</v>
      </c>
      <c r="B827" s="3" t="n">
        <v>825</v>
      </c>
      <c r="C827" s="3" t="n">
        <v>4</v>
      </c>
      <c r="D827" s="3" t="n">
        <v>2</v>
      </c>
      <c r="E827" s="3" t="n">
        <v>13</v>
      </c>
      <c r="F827" s="24" t="n">
        <v>0</v>
      </c>
    </row>
    <row r="828" customFormat="false" ht="15" hidden="false" customHeight="false" outlineLevel="0" collapsed="false">
      <c r="A828" s="3" t="n">
        <v>827</v>
      </c>
      <c r="B828" s="3" t="n">
        <v>826</v>
      </c>
      <c r="C828" s="3" t="n">
        <v>4</v>
      </c>
      <c r="D828" s="3" t="n">
        <v>3</v>
      </c>
      <c r="E828" s="3" t="n">
        <v>0</v>
      </c>
      <c r="F828" s="24" t="n">
        <v>0</v>
      </c>
    </row>
    <row r="829" customFormat="false" ht="15" hidden="false" customHeight="false" outlineLevel="0" collapsed="false">
      <c r="A829" s="3" t="n">
        <v>828</v>
      </c>
      <c r="B829" s="3" t="n">
        <v>827</v>
      </c>
      <c r="C829" s="3" t="n">
        <v>4</v>
      </c>
      <c r="D829" s="3" t="n">
        <v>3</v>
      </c>
      <c r="E829" s="3" t="n">
        <v>1</v>
      </c>
      <c r="F829" s="24" t="n">
        <v>0</v>
      </c>
    </row>
    <row r="830" customFormat="false" ht="15" hidden="false" customHeight="false" outlineLevel="0" collapsed="false">
      <c r="A830" s="3" t="n">
        <v>829</v>
      </c>
      <c r="B830" s="3" t="n">
        <v>828</v>
      </c>
      <c r="C830" s="3" t="n">
        <v>4</v>
      </c>
      <c r="D830" s="3" t="n">
        <v>3</v>
      </c>
      <c r="E830" s="3" t="n">
        <v>2</v>
      </c>
      <c r="F830" s="24" t="n">
        <v>0.0426838323</v>
      </c>
    </row>
    <row r="831" customFormat="false" ht="15" hidden="false" customHeight="false" outlineLevel="0" collapsed="false">
      <c r="A831" s="3" t="n">
        <v>830</v>
      </c>
      <c r="B831" s="3" t="n">
        <v>829</v>
      </c>
      <c r="C831" s="3" t="n">
        <v>4</v>
      </c>
      <c r="D831" s="3" t="n">
        <v>3</v>
      </c>
      <c r="E831" s="3" t="n">
        <v>3</v>
      </c>
      <c r="F831" s="24" t="n">
        <v>2.19903421</v>
      </c>
    </row>
    <row r="832" customFormat="false" ht="15" hidden="false" customHeight="false" outlineLevel="0" collapsed="false">
      <c r="A832" s="3" t="n">
        <v>831</v>
      </c>
      <c r="B832" s="3" t="n">
        <v>830</v>
      </c>
      <c r="C832" s="3" t="n">
        <v>4</v>
      </c>
      <c r="D832" s="3" t="n">
        <v>3</v>
      </c>
      <c r="E832" s="3" t="n">
        <v>4</v>
      </c>
      <c r="F832" s="24" t="n">
        <v>2.14963746</v>
      </c>
    </row>
    <row r="833" customFormat="false" ht="15" hidden="false" customHeight="false" outlineLevel="0" collapsed="false">
      <c r="A833" s="3" t="n">
        <v>832</v>
      </c>
      <c r="B833" s="3" t="n">
        <v>831</v>
      </c>
      <c r="C833" s="3" t="n">
        <v>4</v>
      </c>
      <c r="D833" s="3" t="n">
        <v>3</v>
      </c>
      <c r="E833" s="3" t="n">
        <v>5</v>
      </c>
      <c r="F833" s="24" t="n">
        <v>2.26298833</v>
      </c>
    </row>
    <row r="834" customFormat="false" ht="15" hidden="false" customHeight="false" outlineLevel="0" collapsed="false">
      <c r="A834" s="3" t="n">
        <v>833</v>
      </c>
      <c r="B834" s="3" t="n">
        <v>832</v>
      </c>
      <c r="C834" s="3" t="n">
        <v>4</v>
      </c>
      <c r="D834" s="3" t="n">
        <v>3</v>
      </c>
      <c r="E834" s="3" t="n">
        <v>6</v>
      </c>
      <c r="F834" s="24" t="n">
        <v>2.03903198</v>
      </c>
    </row>
    <row r="835" customFormat="false" ht="15" hidden="false" customHeight="false" outlineLevel="0" collapsed="false">
      <c r="A835" s="3" t="n">
        <v>834</v>
      </c>
      <c r="B835" s="3" t="n">
        <v>833</v>
      </c>
      <c r="C835" s="3" t="n">
        <v>4</v>
      </c>
      <c r="D835" s="3" t="n">
        <v>3</v>
      </c>
      <c r="E835" s="3" t="n">
        <v>7</v>
      </c>
      <c r="F835" s="24" t="n">
        <v>1.99504972</v>
      </c>
    </row>
    <row r="836" customFormat="false" ht="15" hidden="false" customHeight="false" outlineLevel="0" collapsed="false">
      <c r="A836" s="3" t="n">
        <v>835</v>
      </c>
      <c r="B836" s="3" t="n">
        <v>834</v>
      </c>
      <c r="C836" s="3" t="n">
        <v>4</v>
      </c>
      <c r="D836" s="3" t="n">
        <v>3</v>
      </c>
      <c r="E836" s="3" t="n">
        <v>8</v>
      </c>
      <c r="F836" s="24" t="n">
        <v>1.99504972</v>
      </c>
    </row>
    <row r="837" customFormat="false" ht="15" hidden="false" customHeight="false" outlineLevel="0" collapsed="false">
      <c r="A837" s="3" t="n">
        <v>836</v>
      </c>
      <c r="B837" s="3" t="n">
        <v>835</v>
      </c>
      <c r="C837" s="3" t="n">
        <v>4</v>
      </c>
      <c r="D837" s="3" t="n">
        <v>3</v>
      </c>
      <c r="E837" s="3" t="n">
        <v>9</v>
      </c>
      <c r="F837" s="24" t="n">
        <v>1.99504972</v>
      </c>
    </row>
    <row r="838" customFormat="false" ht="15" hidden="false" customHeight="false" outlineLevel="0" collapsed="false">
      <c r="A838" s="3" t="n">
        <v>837</v>
      </c>
      <c r="B838" s="3" t="n">
        <v>836</v>
      </c>
      <c r="C838" s="3" t="n">
        <v>4</v>
      </c>
      <c r="D838" s="3" t="n">
        <v>3</v>
      </c>
      <c r="E838" s="3" t="n">
        <v>10</v>
      </c>
      <c r="F838" s="24" t="n">
        <v>1.34336317</v>
      </c>
    </row>
    <row r="839" customFormat="false" ht="15" hidden="false" customHeight="false" outlineLevel="0" collapsed="false">
      <c r="A839" s="3" t="n">
        <v>838</v>
      </c>
      <c r="B839" s="3" t="n">
        <v>837</v>
      </c>
      <c r="C839" s="3" t="n">
        <v>4</v>
      </c>
      <c r="D839" s="3" t="n">
        <v>3</v>
      </c>
      <c r="E839" s="3" t="n">
        <v>11</v>
      </c>
      <c r="F839" s="24" t="n">
        <v>0</v>
      </c>
    </row>
    <row r="840" customFormat="false" ht="15" hidden="false" customHeight="false" outlineLevel="0" collapsed="false">
      <c r="A840" s="3" t="n">
        <v>839</v>
      </c>
      <c r="B840" s="3" t="n">
        <v>838</v>
      </c>
      <c r="C840" s="3" t="n">
        <v>4</v>
      </c>
      <c r="D840" s="3" t="n">
        <v>3</v>
      </c>
      <c r="E840" s="3" t="n">
        <v>12</v>
      </c>
      <c r="F840" s="24" t="n">
        <v>0</v>
      </c>
    </row>
    <row r="841" customFormat="false" ht="15" hidden="false" customHeight="false" outlineLevel="0" collapsed="false">
      <c r="A841" s="3" t="n">
        <v>840</v>
      </c>
      <c r="B841" s="3" t="n">
        <v>839</v>
      </c>
      <c r="C841" s="3" t="n">
        <v>4</v>
      </c>
      <c r="D841" s="3" t="n">
        <v>3</v>
      </c>
      <c r="E841" s="3" t="n">
        <v>13</v>
      </c>
      <c r="F841" s="24" t="n">
        <v>0</v>
      </c>
    </row>
    <row r="842" customFormat="false" ht="15" hidden="false" customHeight="false" outlineLevel="0" collapsed="false">
      <c r="A842" s="3" t="n">
        <v>841</v>
      </c>
      <c r="B842" s="3" t="n">
        <v>840</v>
      </c>
      <c r="C842" s="3" t="n">
        <v>4</v>
      </c>
      <c r="D842" s="3" t="n">
        <v>4</v>
      </c>
      <c r="E842" s="3" t="n">
        <v>0</v>
      </c>
      <c r="F842" s="24" t="n">
        <v>0</v>
      </c>
    </row>
    <row r="843" customFormat="false" ht="15" hidden="false" customHeight="false" outlineLevel="0" collapsed="false">
      <c r="A843" s="3" t="n">
        <v>842</v>
      </c>
      <c r="B843" s="3" t="n">
        <v>841</v>
      </c>
      <c r="C843" s="3" t="n">
        <v>4</v>
      </c>
      <c r="D843" s="3" t="n">
        <v>4</v>
      </c>
      <c r="E843" s="3" t="n">
        <v>1</v>
      </c>
      <c r="F843" s="24" t="n">
        <v>0</v>
      </c>
    </row>
    <row r="844" customFormat="false" ht="15" hidden="false" customHeight="false" outlineLevel="0" collapsed="false">
      <c r="A844" s="3" t="n">
        <v>843</v>
      </c>
      <c r="B844" s="3" t="n">
        <v>842</v>
      </c>
      <c r="C844" s="3" t="n">
        <v>4</v>
      </c>
      <c r="D844" s="3" t="n">
        <v>4</v>
      </c>
      <c r="E844" s="3" t="n">
        <v>2</v>
      </c>
      <c r="F844" s="24" t="n">
        <v>0</v>
      </c>
    </row>
    <row r="845" customFormat="false" ht="15" hidden="false" customHeight="false" outlineLevel="0" collapsed="false">
      <c r="A845" s="3" t="n">
        <v>844</v>
      </c>
      <c r="B845" s="3" t="n">
        <v>843</v>
      </c>
      <c r="C845" s="3" t="n">
        <v>4</v>
      </c>
      <c r="D845" s="3" t="n">
        <v>4</v>
      </c>
      <c r="E845" s="3" t="n">
        <v>3</v>
      </c>
      <c r="F845" s="24" t="n">
        <v>1.16468453</v>
      </c>
    </row>
    <row r="846" customFormat="false" ht="15" hidden="false" customHeight="false" outlineLevel="0" collapsed="false">
      <c r="A846" s="3" t="n">
        <v>845</v>
      </c>
      <c r="B846" s="3" t="n">
        <v>844</v>
      </c>
      <c r="C846" s="3" t="n">
        <v>4</v>
      </c>
      <c r="D846" s="3" t="n">
        <v>4</v>
      </c>
      <c r="E846" s="3" t="n">
        <v>4</v>
      </c>
      <c r="F846" s="24" t="n">
        <v>1.09865952</v>
      </c>
    </row>
    <row r="847" customFormat="false" ht="15" hidden="false" customHeight="false" outlineLevel="0" collapsed="false">
      <c r="A847" s="3" t="n">
        <v>846</v>
      </c>
      <c r="B847" s="3" t="n">
        <v>845</v>
      </c>
      <c r="C847" s="3" t="n">
        <v>4</v>
      </c>
      <c r="D847" s="3" t="n">
        <v>4</v>
      </c>
      <c r="E847" s="3" t="n">
        <v>5</v>
      </c>
      <c r="F847" s="24" t="n">
        <v>1.41487598</v>
      </c>
    </row>
    <row r="848" customFormat="false" ht="15" hidden="false" customHeight="false" outlineLevel="0" collapsed="false">
      <c r="A848" s="3" t="n">
        <v>847</v>
      </c>
      <c r="B848" s="3" t="n">
        <v>846</v>
      </c>
      <c r="C848" s="3" t="n">
        <v>4</v>
      </c>
      <c r="D848" s="3" t="n">
        <v>4</v>
      </c>
      <c r="E848" s="3" t="n">
        <v>6</v>
      </c>
      <c r="F848" s="24" t="n">
        <v>1.69397604</v>
      </c>
    </row>
    <row r="849" customFormat="false" ht="15" hidden="false" customHeight="false" outlineLevel="0" collapsed="false">
      <c r="A849" s="3" t="n">
        <v>848</v>
      </c>
      <c r="B849" s="3" t="n">
        <v>847</v>
      </c>
      <c r="C849" s="3" t="n">
        <v>4</v>
      </c>
      <c r="D849" s="3" t="n">
        <v>4</v>
      </c>
      <c r="E849" s="3" t="n">
        <v>7</v>
      </c>
      <c r="F849" s="24" t="n">
        <v>1.85184753</v>
      </c>
    </row>
    <row r="850" customFormat="false" ht="15" hidden="false" customHeight="false" outlineLevel="0" collapsed="false">
      <c r="A850" s="3" t="n">
        <v>849</v>
      </c>
      <c r="B850" s="3" t="n">
        <v>848</v>
      </c>
      <c r="C850" s="3" t="n">
        <v>4</v>
      </c>
      <c r="D850" s="3" t="n">
        <v>4</v>
      </c>
      <c r="E850" s="3" t="n">
        <v>8</v>
      </c>
      <c r="F850" s="24" t="n">
        <v>1.83816922</v>
      </c>
    </row>
    <row r="851" customFormat="false" ht="15" hidden="false" customHeight="false" outlineLevel="0" collapsed="false">
      <c r="A851" s="3" t="n">
        <v>850</v>
      </c>
      <c r="B851" s="3" t="n">
        <v>849</v>
      </c>
      <c r="C851" s="3" t="n">
        <v>4</v>
      </c>
      <c r="D851" s="3" t="n">
        <v>4</v>
      </c>
      <c r="E851" s="3" t="n">
        <v>9</v>
      </c>
      <c r="F851" s="24" t="n">
        <v>2.19796681</v>
      </c>
    </row>
    <row r="852" customFormat="false" ht="15" hidden="false" customHeight="false" outlineLevel="0" collapsed="false">
      <c r="A852" s="3" t="n">
        <v>851</v>
      </c>
      <c r="B852" s="3" t="n">
        <v>850</v>
      </c>
      <c r="C852" s="3" t="n">
        <v>4</v>
      </c>
      <c r="D852" s="3" t="n">
        <v>4</v>
      </c>
      <c r="E852" s="3" t="n">
        <v>10</v>
      </c>
      <c r="F852" s="24" t="n">
        <v>2.41462851</v>
      </c>
    </row>
    <row r="853" customFormat="false" ht="15" hidden="false" customHeight="false" outlineLevel="0" collapsed="false">
      <c r="A853" s="3" t="n">
        <v>852</v>
      </c>
      <c r="B853" s="3" t="n">
        <v>851</v>
      </c>
      <c r="C853" s="3" t="n">
        <v>4</v>
      </c>
      <c r="D853" s="3" t="n">
        <v>4</v>
      </c>
      <c r="E853" s="3" t="n">
        <v>11</v>
      </c>
      <c r="F853" s="24" t="n">
        <v>0</v>
      </c>
    </row>
    <row r="854" customFormat="false" ht="15" hidden="false" customHeight="false" outlineLevel="0" collapsed="false">
      <c r="A854" s="3" t="n">
        <v>853</v>
      </c>
      <c r="B854" s="3" t="n">
        <v>852</v>
      </c>
      <c r="C854" s="3" t="n">
        <v>4</v>
      </c>
      <c r="D854" s="3" t="n">
        <v>4</v>
      </c>
      <c r="E854" s="3" t="n">
        <v>12</v>
      </c>
      <c r="F854" s="24" t="n">
        <v>0</v>
      </c>
    </row>
    <row r="855" customFormat="false" ht="15" hidden="false" customHeight="false" outlineLevel="0" collapsed="false">
      <c r="A855" s="3" t="n">
        <v>854</v>
      </c>
      <c r="B855" s="3" t="n">
        <v>853</v>
      </c>
      <c r="C855" s="3" t="n">
        <v>4</v>
      </c>
      <c r="D855" s="3" t="n">
        <v>4</v>
      </c>
      <c r="E855" s="3" t="n">
        <v>13</v>
      </c>
      <c r="F855" s="24" t="n">
        <v>0</v>
      </c>
    </row>
    <row r="856" customFormat="false" ht="15" hidden="false" customHeight="false" outlineLevel="0" collapsed="false">
      <c r="A856" s="3" t="n">
        <v>855</v>
      </c>
      <c r="B856" s="3" t="n">
        <v>854</v>
      </c>
      <c r="C856" s="3" t="n">
        <v>4</v>
      </c>
      <c r="D856" s="3" t="n">
        <v>5</v>
      </c>
      <c r="E856" s="3" t="n">
        <v>0</v>
      </c>
      <c r="F856" s="24" t="n">
        <v>0</v>
      </c>
    </row>
    <row r="857" customFormat="false" ht="15" hidden="false" customHeight="false" outlineLevel="0" collapsed="false">
      <c r="A857" s="3" t="n">
        <v>856</v>
      </c>
      <c r="B857" s="3" t="n">
        <v>855</v>
      </c>
      <c r="C857" s="3" t="n">
        <v>4</v>
      </c>
      <c r="D857" s="3" t="n">
        <v>5</v>
      </c>
      <c r="E857" s="3" t="n">
        <v>1</v>
      </c>
      <c r="F857" s="24" t="n">
        <v>0</v>
      </c>
    </row>
    <row r="858" customFormat="false" ht="15" hidden="false" customHeight="false" outlineLevel="0" collapsed="false">
      <c r="A858" s="3" t="n">
        <v>857</v>
      </c>
      <c r="B858" s="3" t="n">
        <v>856</v>
      </c>
      <c r="C858" s="3" t="n">
        <v>4</v>
      </c>
      <c r="D858" s="3" t="n">
        <v>5</v>
      </c>
      <c r="E858" s="3" t="n">
        <v>2</v>
      </c>
      <c r="F858" s="24" t="n">
        <v>0</v>
      </c>
    </row>
    <row r="859" customFormat="false" ht="15" hidden="false" customHeight="false" outlineLevel="0" collapsed="false">
      <c r="A859" s="3" t="n">
        <v>858</v>
      </c>
      <c r="B859" s="3" t="n">
        <v>857</v>
      </c>
      <c r="C859" s="3" t="n">
        <v>4</v>
      </c>
      <c r="D859" s="3" t="n">
        <v>5</v>
      </c>
      <c r="E859" s="3" t="n">
        <v>3</v>
      </c>
      <c r="F859" s="24" t="n">
        <v>0.150887579</v>
      </c>
    </row>
    <row r="860" customFormat="false" ht="15" hidden="false" customHeight="false" outlineLevel="0" collapsed="false">
      <c r="A860" s="3" t="n">
        <v>859</v>
      </c>
      <c r="B860" s="3" t="n">
        <v>858</v>
      </c>
      <c r="C860" s="3" t="n">
        <v>4</v>
      </c>
      <c r="D860" s="3" t="n">
        <v>5</v>
      </c>
      <c r="E860" s="3" t="n">
        <v>4</v>
      </c>
      <c r="F860" s="24" t="n">
        <v>0.343025357</v>
      </c>
    </row>
    <row r="861" customFormat="false" ht="15" hidden="false" customHeight="false" outlineLevel="0" collapsed="false">
      <c r="A861" s="3" t="n">
        <v>860</v>
      </c>
      <c r="B861" s="3" t="n">
        <v>859</v>
      </c>
      <c r="C861" s="3" t="n">
        <v>4</v>
      </c>
      <c r="D861" s="3" t="n">
        <v>5</v>
      </c>
      <c r="E861" s="3" t="n">
        <v>5</v>
      </c>
      <c r="F861" s="24" t="n">
        <v>1.11403501</v>
      </c>
    </row>
    <row r="862" customFormat="false" ht="15" hidden="false" customHeight="false" outlineLevel="0" collapsed="false">
      <c r="A862" s="3" t="n">
        <v>861</v>
      </c>
      <c r="B862" s="3" t="n">
        <v>860</v>
      </c>
      <c r="C862" s="3" t="n">
        <v>4</v>
      </c>
      <c r="D862" s="3" t="n">
        <v>5</v>
      </c>
      <c r="E862" s="3" t="n">
        <v>6</v>
      </c>
      <c r="F862" s="24" t="n">
        <v>1.35261214</v>
      </c>
    </row>
    <row r="863" customFormat="false" ht="15" hidden="false" customHeight="false" outlineLevel="0" collapsed="false">
      <c r="A863" s="3" t="n">
        <v>862</v>
      </c>
      <c r="B863" s="3" t="n">
        <v>861</v>
      </c>
      <c r="C863" s="3" t="n">
        <v>4</v>
      </c>
      <c r="D863" s="3" t="n">
        <v>5</v>
      </c>
      <c r="E863" s="3" t="n">
        <v>7</v>
      </c>
      <c r="F863" s="24" t="n">
        <v>1.34794533</v>
      </c>
    </row>
    <row r="864" customFormat="false" ht="15" hidden="false" customHeight="false" outlineLevel="0" collapsed="false">
      <c r="A864" s="3" t="n">
        <v>863</v>
      </c>
      <c r="B864" s="3" t="n">
        <v>862</v>
      </c>
      <c r="C864" s="3" t="n">
        <v>4</v>
      </c>
      <c r="D864" s="3" t="n">
        <v>5</v>
      </c>
      <c r="E864" s="3" t="n">
        <v>8</v>
      </c>
      <c r="F864" s="24" t="n">
        <v>1.48182654</v>
      </c>
    </row>
    <row r="865" customFormat="false" ht="15" hidden="false" customHeight="false" outlineLevel="0" collapsed="false">
      <c r="A865" s="3" t="n">
        <v>864</v>
      </c>
      <c r="B865" s="3" t="n">
        <v>863</v>
      </c>
      <c r="C865" s="3" t="n">
        <v>4</v>
      </c>
      <c r="D865" s="3" t="n">
        <v>5</v>
      </c>
      <c r="E865" s="3" t="n">
        <v>9</v>
      </c>
      <c r="F865" s="24" t="n">
        <v>3.65822148</v>
      </c>
    </row>
    <row r="866" customFormat="false" ht="15" hidden="false" customHeight="false" outlineLevel="0" collapsed="false">
      <c r="A866" s="3" t="n">
        <v>865</v>
      </c>
      <c r="B866" s="3" t="n">
        <v>864</v>
      </c>
      <c r="C866" s="3" t="n">
        <v>4</v>
      </c>
      <c r="D866" s="3" t="n">
        <v>5</v>
      </c>
      <c r="E866" s="3" t="n">
        <v>10</v>
      </c>
      <c r="F866" s="24" t="n">
        <v>2.69802451</v>
      </c>
    </row>
    <row r="867" customFormat="false" ht="15" hidden="false" customHeight="false" outlineLevel="0" collapsed="false">
      <c r="A867" s="3" t="n">
        <v>866</v>
      </c>
      <c r="B867" s="3" t="n">
        <v>865</v>
      </c>
      <c r="C867" s="3" t="n">
        <v>4</v>
      </c>
      <c r="D867" s="3" t="n">
        <v>5</v>
      </c>
      <c r="E867" s="3" t="n">
        <v>11</v>
      </c>
      <c r="F867" s="24" t="n">
        <v>0</v>
      </c>
    </row>
    <row r="868" customFormat="false" ht="15" hidden="false" customHeight="false" outlineLevel="0" collapsed="false">
      <c r="A868" s="3" t="n">
        <v>867</v>
      </c>
      <c r="B868" s="3" t="n">
        <v>866</v>
      </c>
      <c r="C868" s="3" t="n">
        <v>4</v>
      </c>
      <c r="D868" s="3" t="n">
        <v>5</v>
      </c>
      <c r="E868" s="3" t="n">
        <v>12</v>
      </c>
      <c r="F868" s="24" t="n">
        <v>0</v>
      </c>
    </row>
    <row r="869" customFormat="false" ht="15" hidden="false" customHeight="false" outlineLevel="0" collapsed="false">
      <c r="A869" s="3" t="n">
        <v>868</v>
      </c>
      <c r="B869" s="3" t="n">
        <v>867</v>
      </c>
      <c r="C869" s="3" t="n">
        <v>4</v>
      </c>
      <c r="D869" s="3" t="n">
        <v>5</v>
      </c>
      <c r="E869" s="3" t="n">
        <v>13</v>
      </c>
      <c r="F869" s="24" t="n">
        <v>0</v>
      </c>
    </row>
    <row r="870" customFormat="false" ht="15" hidden="false" customHeight="false" outlineLevel="0" collapsed="false">
      <c r="A870" s="3" t="n">
        <v>869</v>
      </c>
      <c r="B870" s="3" t="n">
        <v>868</v>
      </c>
      <c r="C870" s="3" t="n">
        <v>4</v>
      </c>
      <c r="D870" s="3" t="n">
        <v>6</v>
      </c>
      <c r="E870" s="3" t="n">
        <v>0</v>
      </c>
      <c r="F870" s="24" t="n">
        <v>0</v>
      </c>
    </row>
    <row r="871" customFormat="false" ht="15" hidden="false" customHeight="false" outlineLevel="0" collapsed="false">
      <c r="A871" s="3" t="n">
        <v>870</v>
      </c>
      <c r="B871" s="3" t="n">
        <v>869</v>
      </c>
      <c r="C871" s="3" t="n">
        <v>4</v>
      </c>
      <c r="D871" s="3" t="n">
        <v>6</v>
      </c>
      <c r="E871" s="3" t="n">
        <v>1</v>
      </c>
      <c r="F871" s="24" t="n">
        <v>0</v>
      </c>
    </row>
    <row r="872" customFormat="false" ht="15" hidden="false" customHeight="false" outlineLevel="0" collapsed="false">
      <c r="A872" s="3" t="n">
        <v>871</v>
      </c>
      <c r="B872" s="3" t="n">
        <v>870</v>
      </c>
      <c r="C872" s="3" t="n">
        <v>4</v>
      </c>
      <c r="D872" s="3" t="n">
        <v>6</v>
      </c>
      <c r="E872" s="3" t="n">
        <v>2</v>
      </c>
      <c r="F872" s="24" t="n">
        <v>0</v>
      </c>
    </row>
    <row r="873" customFormat="false" ht="15" hidden="false" customHeight="false" outlineLevel="0" collapsed="false">
      <c r="A873" s="3" t="n">
        <v>872</v>
      </c>
      <c r="B873" s="3" t="n">
        <v>871</v>
      </c>
      <c r="C873" s="3" t="n">
        <v>4</v>
      </c>
      <c r="D873" s="3" t="n">
        <v>6</v>
      </c>
      <c r="E873" s="3" t="n">
        <v>3</v>
      </c>
      <c r="F873" s="24" t="n">
        <v>0</v>
      </c>
    </row>
    <row r="874" customFormat="false" ht="15" hidden="false" customHeight="false" outlineLevel="0" collapsed="false">
      <c r="A874" s="3" t="n">
        <v>873</v>
      </c>
      <c r="B874" s="3" t="n">
        <v>872</v>
      </c>
      <c r="C874" s="3" t="n">
        <v>4</v>
      </c>
      <c r="D874" s="3" t="n">
        <v>6</v>
      </c>
      <c r="E874" s="3" t="n">
        <v>4</v>
      </c>
      <c r="F874" s="24" t="n">
        <v>0</v>
      </c>
    </row>
    <row r="875" customFormat="false" ht="15" hidden="false" customHeight="false" outlineLevel="0" collapsed="false">
      <c r="A875" s="3" t="n">
        <v>874</v>
      </c>
      <c r="B875" s="3" t="n">
        <v>873</v>
      </c>
      <c r="C875" s="3" t="n">
        <v>4</v>
      </c>
      <c r="D875" s="3" t="n">
        <v>6</v>
      </c>
      <c r="E875" s="3" t="n">
        <v>5</v>
      </c>
      <c r="F875" s="24" t="n">
        <v>0</v>
      </c>
    </row>
    <row r="876" customFormat="false" ht="15" hidden="false" customHeight="false" outlineLevel="0" collapsed="false">
      <c r="A876" s="3" t="n">
        <v>875</v>
      </c>
      <c r="B876" s="3" t="n">
        <v>874</v>
      </c>
      <c r="C876" s="3" t="n">
        <v>4</v>
      </c>
      <c r="D876" s="3" t="n">
        <v>6</v>
      </c>
      <c r="E876" s="3" t="n">
        <v>6</v>
      </c>
      <c r="F876" s="24" t="n">
        <v>0</v>
      </c>
    </row>
    <row r="877" customFormat="false" ht="15" hidden="false" customHeight="false" outlineLevel="0" collapsed="false">
      <c r="A877" s="3" t="n">
        <v>876</v>
      </c>
      <c r="B877" s="3" t="n">
        <v>875</v>
      </c>
      <c r="C877" s="3" t="n">
        <v>4</v>
      </c>
      <c r="D877" s="3" t="n">
        <v>6</v>
      </c>
      <c r="E877" s="3" t="n">
        <v>7</v>
      </c>
      <c r="F877" s="24" t="n">
        <v>0</v>
      </c>
    </row>
    <row r="878" customFormat="false" ht="15" hidden="false" customHeight="false" outlineLevel="0" collapsed="false">
      <c r="A878" s="3" t="n">
        <v>877</v>
      </c>
      <c r="B878" s="3" t="n">
        <v>876</v>
      </c>
      <c r="C878" s="3" t="n">
        <v>4</v>
      </c>
      <c r="D878" s="3" t="n">
        <v>6</v>
      </c>
      <c r="E878" s="3" t="n">
        <v>8</v>
      </c>
      <c r="F878" s="24" t="n">
        <v>2.18448257</v>
      </c>
    </row>
    <row r="879" customFormat="false" ht="15" hidden="false" customHeight="false" outlineLevel="0" collapsed="false">
      <c r="A879" s="3" t="n">
        <v>878</v>
      </c>
      <c r="B879" s="3" t="n">
        <v>877</v>
      </c>
      <c r="C879" s="3" t="n">
        <v>4</v>
      </c>
      <c r="D879" s="3" t="n">
        <v>6</v>
      </c>
      <c r="E879" s="3" t="n">
        <v>9</v>
      </c>
      <c r="F879" s="24" t="n">
        <v>2.92700148</v>
      </c>
    </row>
    <row r="880" customFormat="false" ht="15" hidden="false" customHeight="false" outlineLevel="0" collapsed="false">
      <c r="A880" s="3" t="n">
        <v>879</v>
      </c>
      <c r="B880" s="3" t="n">
        <v>878</v>
      </c>
      <c r="C880" s="3" t="n">
        <v>4</v>
      </c>
      <c r="D880" s="3" t="n">
        <v>6</v>
      </c>
      <c r="E880" s="3" t="n">
        <v>10</v>
      </c>
      <c r="F880" s="24" t="n">
        <v>1.18435287</v>
      </c>
    </row>
    <row r="881" customFormat="false" ht="15" hidden="false" customHeight="false" outlineLevel="0" collapsed="false">
      <c r="A881" s="3" t="n">
        <v>880</v>
      </c>
      <c r="B881" s="3" t="n">
        <v>879</v>
      </c>
      <c r="C881" s="3" t="n">
        <v>4</v>
      </c>
      <c r="D881" s="3" t="n">
        <v>6</v>
      </c>
      <c r="E881" s="3" t="n">
        <v>11</v>
      </c>
      <c r="F881" s="24" t="n">
        <v>0</v>
      </c>
    </row>
    <row r="882" customFormat="false" ht="15" hidden="false" customHeight="false" outlineLevel="0" collapsed="false">
      <c r="A882" s="3" t="n">
        <v>881</v>
      </c>
      <c r="B882" s="3" t="n">
        <v>880</v>
      </c>
      <c r="C882" s="3" t="n">
        <v>4</v>
      </c>
      <c r="D882" s="3" t="n">
        <v>6</v>
      </c>
      <c r="E882" s="3" t="n">
        <v>12</v>
      </c>
      <c r="F882" s="24" t="n">
        <v>0</v>
      </c>
    </row>
    <row r="883" customFormat="false" ht="15" hidden="false" customHeight="false" outlineLevel="0" collapsed="false">
      <c r="A883" s="3" t="n">
        <v>882</v>
      </c>
      <c r="B883" s="3" t="n">
        <v>881</v>
      </c>
      <c r="C883" s="3" t="n">
        <v>4</v>
      </c>
      <c r="D883" s="3" t="n">
        <v>6</v>
      </c>
      <c r="E883" s="3" t="n">
        <v>13</v>
      </c>
      <c r="F883" s="24" t="n">
        <v>0</v>
      </c>
    </row>
    <row r="884" customFormat="false" ht="15" hidden="false" customHeight="false" outlineLevel="0" collapsed="false">
      <c r="A884" s="3" t="n">
        <v>883</v>
      </c>
      <c r="B884" s="3" t="n">
        <v>882</v>
      </c>
      <c r="C884" s="3" t="n">
        <v>4</v>
      </c>
      <c r="D884" s="3" t="n">
        <v>7</v>
      </c>
      <c r="E884" s="3" t="n">
        <v>0</v>
      </c>
      <c r="F884" s="24" t="n">
        <v>0</v>
      </c>
    </row>
    <row r="885" customFormat="false" ht="15" hidden="false" customHeight="false" outlineLevel="0" collapsed="false">
      <c r="A885" s="3" t="n">
        <v>884</v>
      </c>
      <c r="B885" s="3" t="n">
        <v>883</v>
      </c>
      <c r="C885" s="3" t="n">
        <v>4</v>
      </c>
      <c r="D885" s="3" t="n">
        <v>7</v>
      </c>
      <c r="E885" s="3" t="n">
        <v>1</v>
      </c>
      <c r="F885" s="24" t="n">
        <v>0</v>
      </c>
    </row>
    <row r="886" customFormat="false" ht="15" hidden="false" customHeight="false" outlineLevel="0" collapsed="false">
      <c r="A886" s="3" t="n">
        <v>885</v>
      </c>
      <c r="B886" s="3" t="n">
        <v>884</v>
      </c>
      <c r="C886" s="3" t="n">
        <v>4</v>
      </c>
      <c r="D886" s="3" t="n">
        <v>7</v>
      </c>
      <c r="E886" s="3" t="n">
        <v>2</v>
      </c>
      <c r="F886" s="24" t="n">
        <v>0</v>
      </c>
    </row>
    <row r="887" customFormat="false" ht="15" hidden="false" customHeight="false" outlineLevel="0" collapsed="false">
      <c r="A887" s="3" t="n">
        <v>886</v>
      </c>
      <c r="B887" s="3" t="n">
        <v>885</v>
      </c>
      <c r="C887" s="3" t="n">
        <v>4</v>
      </c>
      <c r="D887" s="3" t="n">
        <v>7</v>
      </c>
      <c r="E887" s="3" t="n">
        <v>3</v>
      </c>
      <c r="F887" s="24" t="n">
        <v>0</v>
      </c>
    </row>
    <row r="888" customFormat="false" ht="15" hidden="false" customHeight="false" outlineLevel="0" collapsed="false">
      <c r="A888" s="3" t="n">
        <v>887</v>
      </c>
      <c r="B888" s="3" t="n">
        <v>886</v>
      </c>
      <c r="C888" s="3" t="n">
        <v>4</v>
      </c>
      <c r="D888" s="3" t="n">
        <v>7</v>
      </c>
      <c r="E888" s="3" t="n">
        <v>4</v>
      </c>
      <c r="F888" s="24" t="n">
        <v>0</v>
      </c>
    </row>
    <row r="889" customFormat="false" ht="15" hidden="false" customHeight="false" outlineLevel="0" collapsed="false">
      <c r="A889" s="3" t="n">
        <v>888</v>
      </c>
      <c r="B889" s="3" t="n">
        <v>887</v>
      </c>
      <c r="C889" s="3" t="n">
        <v>4</v>
      </c>
      <c r="D889" s="3" t="n">
        <v>7</v>
      </c>
      <c r="E889" s="3" t="n">
        <v>5</v>
      </c>
      <c r="F889" s="24" t="n">
        <v>0</v>
      </c>
    </row>
    <row r="890" customFormat="false" ht="15" hidden="false" customHeight="false" outlineLevel="0" collapsed="false">
      <c r="A890" s="3" t="n">
        <v>889</v>
      </c>
      <c r="B890" s="3" t="n">
        <v>888</v>
      </c>
      <c r="C890" s="3" t="n">
        <v>4</v>
      </c>
      <c r="D890" s="3" t="n">
        <v>7</v>
      </c>
      <c r="E890" s="3" t="n">
        <v>6</v>
      </c>
      <c r="F890" s="24" t="n">
        <v>0</v>
      </c>
    </row>
    <row r="891" customFormat="false" ht="15" hidden="false" customHeight="false" outlineLevel="0" collapsed="false">
      <c r="A891" s="3" t="n">
        <v>890</v>
      </c>
      <c r="B891" s="3" t="n">
        <v>889</v>
      </c>
      <c r="C891" s="3" t="n">
        <v>4</v>
      </c>
      <c r="D891" s="3" t="n">
        <v>7</v>
      </c>
      <c r="E891" s="3" t="n">
        <v>7</v>
      </c>
      <c r="F891" s="24" t="n">
        <v>0.0859150887</v>
      </c>
    </row>
    <row r="892" customFormat="false" ht="15" hidden="false" customHeight="false" outlineLevel="0" collapsed="false">
      <c r="A892" s="3" t="n">
        <v>891</v>
      </c>
      <c r="B892" s="3" t="n">
        <v>890</v>
      </c>
      <c r="C892" s="3" t="n">
        <v>4</v>
      </c>
      <c r="D892" s="3" t="n">
        <v>7</v>
      </c>
      <c r="E892" s="3" t="n">
        <v>8</v>
      </c>
      <c r="F892" s="24" t="n">
        <v>2.89222431</v>
      </c>
    </row>
    <row r="893" customFormat="false" ht="15" hidden="false" customHeight="false" outlineLevel="0" collapsed="false">
      <c r="A893" s="3" t="n">
        <v>892</v>
      </c>
      <c r="B893" s="3" t="n">
        <v>891</v>
      </c>
      <c r="C893" s="3" t="n">
        <v>4</v>
      </c>
      <c r="D893" s="3" t="n">
        <v>7</v>
      </c>
      <c r="E893" s="3" t="n">
        <v>9</v>
      </c>
      <c r="F893" s="24" t="n">
        <v>2.4527657</v>
      </c>
    </row>
    <row r="894" customFormat="false" ht="15" hidden="false" customHeight="false" outlineLevel="0" collapsed="false">
      <c r="A894" s="3" t="n">
        <v>893</v>
      </c>
      <c r="B894" s="3" t="n">
        <v>892</v>
      </c>
      <c r="C894" s="3" t="n">
        <v>4</v>
      </c>
      <c r="D894" s="3" t="n">
        <v>7</v>
      </c>
      <c r="E894" s="3" t="n">
        <v>10</v>
      </c>
      <c r="F894" s="24" t="n">
        <v>0</v>
      </c>
    </row>
    <row r="895" customFormat="false" ht="15" hidden="false" customHeight="false" outlineLevel="0" collapsed="false">
      <c r="A895" s="3" t="n">
        <v>894</v>
      </c>
      <c r="B895" s="3" t="n">
        <v>893</v>
      </c>
      <c r="C895" s="3" t="n">
        <v>4</v>
      </c>
      <c r="D895" s="3" t="n">
        <v>7</v>
      </c>
      <c r="E895" s="3" t="n">
        <v>11</v>
      </c>
      <c r="F895" s="24" t="n">
        <v>0</v>
      </c>
    </row>
    <row r="896" customFormat="false" ht="15" hidden="false" customHeight="false" outlineLevel="0" collapsed="false">
      <c r="A896" s="3" t="n">
        <v>895</v>
      </c>
      <c r="B896" s="3" t="n">
        <v>894</v>
      </c>
      <c r="C896" s="3" t="n">
        <v>4</v>
      </c>
      <c r="D896" s="3" t="n">
        <v>7</v>
      </c>
      <c r="E896" s="3" t="n">
        <v>12</v>
      </c>
      <c r="F896" s="24" t="n">
        <v>0</v>
      </c>
    </row>
    <row r="897" customFormat="false" ht="15" hidden="false" customHeight="false" outlineLevel="0" collapsed="false">
      <c r="A897" s="3" t="n">
        <v>896</v>
      </c>
      <c r="B897" s="3" t="n">
        <v>895</v>
      </c>
      <c r="C897" s="3" t="n">
        <v>4</v>
      </c>
      <c r="D897" s="3" t="n">
        <v>7</v>
      </c>
      <c r="E897" s="3" t="n">
        <v>13</v>
      </c>
      <c r="F897" s="24" t="n">
        <v>0</v>
      </c>
    </row>
    <row r="898" customFormat="false" ht="15" hidden="false" customHeight="false" outlineLevel="0" collapsed="false">
      <c r="A898" s="3" t="n">
        <v>897</v>
      </c>
      <c r="B898" s="3" t="n">
        <v>896</v>
      </c>
      <c r="C898" s="3" t="n">
        <v>4</v>
      </c>
      <c r="D898" s="3" t="n">
        <v>8</v>
      </c>
      <c r="E898" s="3" t="n">
        <v>0</v>
      </c>
      <c r="F898" s="24" t="n">
        <v>0</v>
      </c>
    </row>
    <row r="899" customFormat="false" ht="15" hidden="false" customHeight="false" outlineLevel="0" collapsed="false">
      <c r="A899" s="3" t="n">
        <v>898</v>
      </c>
      <c r="B899" s="3" t="n">
        <v>897</v>
      </c>
      <c r="C899" s="3" t="n">
        <v>4</v>
      </c>
      <c r="D899" s="3" t="n">
        <v>8</v>
      </c>
      <c r="E899" s="3" t="n">
        <v>1</v>
      </c>
      <c r="F899" s="24" t="n">
        <v>0</v>
      </c>
    </row>
    <row r="900" customFormat="false" ht="15" hidden="false" customHeight="false" outlineLevel="0" collapsed="false">
      <c r="A900" s="3" t="n">
        <v>899</v>
      </c>
      <c r="B900" s="3" t="n">
        <v>898</v>
      </c>
      <c r="C900" s="3" t="n">
        <v>4</v>
      </c>
      <c r="D900" s="3" t="n">
        <v>8</v>
      </c>
      <c r="E900" s="3" t="n">
        <v>2</v>
      </c>
      <c r="F900" s="24" t="n">
        <v>0</v>
      </c>
    </row>
    <row r="901" customFormat="false" ht="15" hidden="false" customHeight="false" outlineLevel="0" collapsed="false">
      <c r="A901" s="3" t="n">
        <v>900</v>
      </c>
      <c r="B901" s="3" t="n">
        <v>899</v>
      </c>
      <c r="C901" s="3" t="n">
        <v>4</v>
      </c>
      <c r="D901" s="3" t="n">
        <v>8</v>
      </c>
      <c r="E901" s="3" t="n">
        <v>3</v>
      </c>
      <c r="F901" s="24" t="n">
        <v>0</v>
      </c>
    </row>
    <row r="902" customFormat="false" ht="15" hidden="false" customHeight="false" outlineLevel="0" collapsed="false">
      <c r="A902" s="3" t="n">
        <v>901</v>
      </c>
      <c r="B902" s="3" t="n">
        <v>900</v>
      </c>
      <c r="C902" s="3" t="n">
        <v>4</v>
      </c>
      <c r="D902" s="3" t="n">
        <v>8</v>
      </c>
      <c r="E902" s="3" t="n">
        <v>4</v>
      </c>
      <c r="F902" s="24" t="n">
        <v>0</v>
      </c>
    </row>
    <row r="903" customFormat="false" ht="15" hidden="false" customHeight="false" outlineLevel="0" collapsed="false">
      <c r="A903" s="3" t="n">
        <v>902</v>
      </c>
      <c r="B903" s="3" t="n">
        <v>901</v>
      </c>
      <c r="C903" s="3" t="n">
        <v>4</v>
      </c>
      <c r="D903" s="3" t="n">
        <v>8</v>
      </c>
      <c r="E903" s="3" t="n">
        <v>5</v>
      </c>
      <c r="F903" s="24" t="n">
        <v>0</v>
      </c>
    </row>
    <row r="904" customFormat="false" ht="15" hidden="false" customHeight="false" outlineLevel="0" collapsed="false">
      <c r="A904" s="3" t="n">
        <v>903</v>
      </c>
      <c r="B904" s="3" t="n">
        <v>902</v>
      </c>
      <c r="C904" s="3" t="n">
        <v>4</v>
      </c>
      <c r="D904" s="3" t="n">
        <v>8</v>
      </c>
      <c r="E904" s="3" t="n">
        <v>6</v>
      </c>
      <c r="F904" s="24" t="n">
        <v>0</v>
      </c>
    </row>
    <row r="905" customFormat="false" ht="15" hidden="false" customHeight="false" outlineLevel="0" collapsed="false">
      <c r="A905" s="3" t="n">
        <v>904</v>
      </c>
      <c r="B905" s="3" t="n">
        <v>903</v>
      </c>
      <c r="C905" s="3" t="n">
        <v>4</v>
      </c>
      <c r="D905" s="3" t="n">
        <v>8</v>
      </c>
      <c r="E905" s="3" t="n">
        <v>7</v>
      </c>
      <c r="F905" s="24" t="n">
        <v>2.1055789</v>
      </c>
    </row>
    <row r="906" customFormat="false" ht="15" hidden="false" customHeight="false" outlineLevel="0" collapsed="false">
      <c r="A906" s="3" t="n">
        <v>905</v>
      </c>
      <c r="B906" s="3" t="n">
        <v>904</v>
      </c>
      <c r="C906" s="3" t="n">
        <v>4</v>
      </c>
      <c r="D906" s="3" t="n">
        <v>8</v>
      </c>
      <c r="E906" s="3" t="n">
        <v>8</v>
      </c>
      <c r="F906" s="24" t="n">
        <v>2.77149892</v>
      </c>
    </row>
    <row r="907" customFormat="false" ht="15" hidden="false" customHeight="false" outlineLevel="0" collapsed="false">
      <c r="A907" s="3" t="n">
        <v>906</v>
      </c>
      <c r="B907" s="3" t="n">
        <v>905</v>
      </c>
      <c r="C907" s="3" t="n">
        <v>4</v>
      </c>
      <c r="D907" s="3" t="n">
        <v>8</v>
      </c>
      <c r="E907" s="3" t="n">
        <v>9</v>
      </c>
      <c r="F907" s="24" t="n">
        <v>0.601620138</v>
      </c>
    </row>
    <row r="908" customFormat="false" ht="15" hidden="false" customHeight="false" outlineLevel="0" collapsed="false">
      <c r="A908" s="3" t="n">
        <v>907</v>
      </c>
      <c r="B908" s="3" t="n">
        <v>906</v>
      </c>
      <c r="C908" s="3" t="n">
        <v>4</v>
      </c>
      <c r="D908" s="3" t="n">
        <v>8</v>
      </c>
      <c r="E908" s="3" t="n">
        <v>10</v>
      </c>
      <c r="F908" s="24" t="n">
        <v>0</v>
      </c>
    </row>
    <row r="909" customFormat="false" ht="15" hidden="false" customHeight="false" outlineLevel="0" collapsed="false">
      <c r="A909" s="3" t="n">
        <v>908</v>
      </c>
      <c r="B909" s="3" t="n">
        <v>907</v>
      </c>
      <c r="C909" s="3" t="n">
        <v>4</v>
      </c>
      <c r="D909" s="3" t="n">
        <v>8</v>
      </c>
      <c r="E909" s="3" t="n">
        <v>11</v>
      </c>
      <c r="F909" s="24" t="n">
        <v>0</v>
      </c>
    </row>
    <row r="910" customFormat="false" ht="15" hidden="false" customHeight="false" outlineLevel="0" collapsed="false">
      <c r="A910" s="3" t="n">
        <v>909</v>
      </c>
      <c r="B910" s="3" t="n">
        <v>908</v>
      </c>
      <c r="C910" s="3" t="n">
        <v>4</v>
      </c>
      <c r="D910" s="3" t="n">
        <v>8</v>
      </c>
      <c r="E910" s="3" t="n">
        <v>12</v>
      </c>
      <c r="F910" s="24" t="n">
        <v>0</v>
      </c>
    </row>
    <row r="911" customFormat="false" ht="15" hidden="false" customHeight="false" outlineLevel="0" collapsed="false">
      <c r="A911" s="3" t="n">
        <v>910</v>
      </c>
      <c r="B911" s="3" t="n">
        <v>909</v>
      </c>
      <c r="C911" s="3" t="n">
        <v>4</v>
      </c>
      <c r="D911" s="3" t="n">
        <v>8</v>
      </c>
      <c r="E911" s="3" t="n">
        <v>13</v>
      </c>
      <c r="F911" s="24" t="n">
        <v>0</v>
      </c>
    </row>
    <row r="912" customFormat="false" ht="15" hidden="false" customHeight="false" outlineLevel="0" collapsed="false">
      <c r="A912" s="3" t="n">
        <v>911</v>
      </c>
      <c r="B912" s="3" t="n">
        <v>910</v>
      </c>
      <c r="C912" s="3" t="n">
        <v>4</v>
      </c>
      <c r="D912" s="3" t="n">
        <v>9</v>
      </c>
      <c r="E912" s="3" t="n">
        <v>0</v>
      </c>
      <c r="F912" s="24" t="n">
        <v>0</v>
      </c>
    </row>
    <row r="913" customFormat="false" ht="15" hidden="false" customHeight="false" outlineLevel="0" collapsed="false">
      <c r="A913" s="3" t="n">
        <v>912</v>
      </c>
      <c r="B913" s="3" t="n">
        <v>911</v>
      </c>
      <c r="C913" s="3" t="n">
        <v>4</v>
      </c>
      <c r="D913" s="3" t="n">
        <v>9</v>
      </c>
      <c r="E913" s="3" t="n">
        <v>1</v>
      </c>
      <c r="F913" s="24" t="n">
        <v>0</v>
      </c>
    </row>
    <row r="914" customFormat="false" ht="15" hidden="false" customHeight="false" outlineLevel="0" collapsed="false">
      <c r="A914" s="3" t="n">
        <v>913</v>
      </c>
      <c r="B914" s="3" t="n">
        <v>912</v>
      </c>
      <c r="C914" s="3" t="n">
        <v>4</v>
      </c>
      <c r="D914" s="3" t="n">
        <v>9</v>
      </c>
      <c r="E914" s="3" t="n">
        <v>2</v>
      </c>
      <c r="F914" s="24" t="n">
        <v>0</v>
      </c>
    </row>
    <row r="915" customFormat="false" ht="15" hidden="false" customHeight="false" outlineLevel="0" collapsed="false">
      <c r="A915" s="3" t="n">
        <v>914</v>
      </c>
      <c r="B915" s="3" t="n">
        <v>913</v>
      </c>
      <c r="C915" s="3" t="n">
        <v>4</v>
      </c>
      <c r="D915" s="3" t="n">
        <v>9</v>
      </c>
      <c r="E915" s="3" t="n">
        <v>3</v>
      </c>
      <c r="F915" s="24" t="n">
        <v>0</v>
      </c>
    </row>
    <row r="916" customFormat="false" ht="15" hidden="false" customHeight="false" outlineLevel="0" collapsed="false">
      <c r="A916" s="3" t="n">
        <v>915</v>
      </c>
      <c r="B916" s="3" t="n">
        <v>914</v>
      </c>
      <c r="C916" s="3" t="n">
        <v>4</v>
      </c>
      <c r="D916" s="3" t="n">
        <v>9</v>
      </c>
      <c r="E916" s="3" t="n">
        <v>4</v>
      </c>
      <c r="F916" s="24" t="n">
        <v>0</v>
      </c>
    </row>
    <row r="917" customFormat="false" ht="15" hidden="false" customHeight="false" outlineLevel="0" collapsed="false">
      <c r="A917" s="3" t="n">
        <v>916</v>
      </c>
      <c r="B917" s="3" t="n">
        <v>915</v>
      </c>
      <c r="C917" s="3" t="n">
        <v>4</v>
      </c>
      <c r="D917" s="3" t="n">
        <v>9</v>
      </c>
      <c r="E917" s="3" t="n">
        <v>5</v>
      </c>
      <c r="F917" s="24" t="n">
        <v>0</v>
      </c>
    </row>
    <row r="918" customFormat="false" ht="15" hidden="false" customHeight="false" outlineLevel="0" collapsed="false">
      <c r="A918" s="3" t="n">
        <v>917</v>
      </c>
      <c r="B918" s="3" t="n">
        <v>916</v>
      </c>
      <c r="C918" s="3" t="n">
        <v>4</v>
      </c>
      <c r="D918" s="3" t="n">
        <v>9</v>
      </c>
      <c r="E918" s="3" t="n">
        <v>6</v>
      </c>
      <c r="F918" s="24" t="n">
        <v>1.25236368</v>
      </c>
    </row>
    <row r="919" customFormat="false" ht="15" hidden="false" customHeight="false" outlineLevel="0" collapsed="false">
      <c r="A919" s="3" t="n">
        <v>918</v>
      </c>
      <c r="B919" s="3" t="n">
        <v>917</v>
      </c>
      <c r="C919" s="3" t="n">
        <v>4</v>
      </c>
      <c r="D919" s="3" t="n">
        <v>9</v>
      </c>
      <c r="E919" s="3" t="n">
        <v>7</v>
      </c>
      <c r="F919" s="24" t="n">
        <v>2.95269585</v>
      </c>
    </row>
    <row r="920" customFormat="false" ht="15" hidden="false" customHeight="false" outlineLevel="0" collapsed="false">
      <c r="A920" s="3" t="n">
        <v>919</v>
      </c>
      <c r="B920" s="3" t="n">
        <v>918</v>
      </c>
      <c r="C920" s="3" t="n">
        <v>4</v>
      </c>
      <c r="D920" s="3" t="n">
        <v>9</v>
      </c>
      <c r="E920" s="3" t="n">
        <v>8</v>
      </c>
      <c r="F920" s="24" t="n">
        <v>2.19145703</v>
      </c>
    </row>
    <row r="921" customFormat="false" ht="15" hidden="false" customHeight="false" outlineLevel="0" collapsed="false">
      <c r="A921" s="3" t="n">
        <v>920</v>
      </c>
      <c r="B921" s="3" t="n">
        <v>919</v>
      </c>
      <c r="C921" s="3" t="n">
        <v>4</v>
      </c>
      <c r="D921" s="3" t="n">
        <v>9</v>
      </c>
      <c r="E921" s="3" t="n">
        <v>9</v>
      </c>
      <c r="F921" s="24" t="n">
        <v>0</v>
      </c>
    </row>
    <row r="922" customFormat="false" ht="15" hidden="false" customHeight="false" outlineLevel="0" collapsed="false">
      <c r="A922" s="3" t="n">
        <v>921</v>
      </c>
      <c r="B922" s="3" t="n">
        <v>920</v>
      </c>
      <c r="C922" s="3" t="n">
        <v>4</v>
      </c>
      <c r="D922" s="3" t="n">
        <v>9</v>
      </c>
      <c r="E922" s="3" t="n">
        <v>10</v>
      </c>
      <c r="F922" s="24" t="n">
        <v>0</v>
      </c>
    </row>
    <row r="923" customFormat="false" ht="15" hidden="false" customHeight="false" outlineLevel="0" collapsed="false">
      <c r="A923" s="3" t="n">
        <v>922</v>
      </c>
      <c r="B923" s="3" t="n">
        <v>921</v>
      </c>
      <c r="C923" s="3" t="n">
        <v>4</v>
      </c>
      <c r="D923" s="3" t="n">
        <v>9</v>
      </c>
      <c r="E923" s="3" t="n">
        <v>11</v>
      </c>
      <c r="F923" s="24" t="n">
        <v>0</v>
      </c>
    </row>
    <row r="924" customFormat="false" ht="15" hidden="false" customHeight="false" outlineLevel="0" collapsed="false">
      <c r="A924" s="3" t="n">
        <v>923</v>
      </c>
      <c r="B924" s="3" t="n">
        <v>922</v>
      </c>
      <c r="C924" s="3" t="n">
        <v>4</v>
      </c>
      <c r="D924" s="3" t="n">
        <v>9</v>
      </c>
      <c r="E924" s="3" t="n">
        <v>12</v>
      </c>
      <c r="F924" s="24" t="n">
        <v>0</v>
      </c>
    </row>
    <row r="925" customFormat="false" ht="15" hidden="false" customHeight="false" outlineLevel="0" collapsed="false">
      <c r="A925" s="3" t="n">
        <v>924</v>
      </c>
      <c r="B925" s="3" t="n">
        <v>923</v>
      </c>
      <c r="C925" s="3" t="n">
        <v>4</v>
      </c>
      <c r="D925" s="3" t="n">
        <v>9</v>
      </c>
      <c r="E925" s="3" t="n">
        <v>13</v>
      </c>
      <c r="F925" s="24" t="n">
        <v>0</v>
      </c>
    </row>
    <row r="926" customFormat="false" ht="15" hidden="false" customHeight="false" outlineLevel="0" collapsed="false">
      <c r="A926" s="3" t="n">
        <v>925</v>
      </c>
      <c r="B926" s="3" t="n">
        <v>924</v>
      </c>
      <c r="C926" s="3" t="n">
        <v>4</v>
      </c>
      <c r="D926" s="3" t="n">
        <v>10</v>
      </c>
      <c r="E926" s="3" t="n">
        <v>0</v>
      </c>
      <c r="F926" s="24" t="n">
        <v>0</v>
      </c>
    </row>
    <row r="927" customFormat="false" ht="15" hidden="false" customHeight="false" outlineLevel="0" collapsed="false">
      <c r="A927" s="3" t="n">
        <v>926</v>
      </c>
      <c r="B927" s="3" t="n">
        <v>925</v>
      </c>
      <c r="C927" s="3" t="n">
        <v>4</v>
      </c>
      <c r="D927" s="3" t="n">
        <v>10</v>
      </c>
      <c r="E927" s="3" t="n">
        <v>1</v>
      </c>
      <c r="F927" s="24" t="n">
        <v>0</v>
      </c>
    </row>
    <row r="928" customFormat="false" ht="15" hidden="false" customHeight="false" outlineLevel="0" collapsed="false">
      <c r="A928" s="3" t="n">
        <v>927</v>
      </c>
      <c r="B928" s="3" t="n">
        <v>926</v>
      </c>
      <c r="C928" s="3" t="n">
        <v>4</v>
      </c>
      <c r="D928" s="3" t="n">
        <v>10</v>
      </c>
      <c r="E928" s="3" t="n">
        <v>2</v>
      </c>
      <c r="F928" s="24" t="n">
        <v>0</v>
      </c>
    </row>
    <row r="929" customFormat="false" ht="15" hidden="false" customHeight="false" outlineLevel="0" collapsed="false">
      <c r="A929" s="3" t="n">
        <v>928</v>
      </c>
      <c r="B929" s="3" t="n">
        <v>927</v>
      </c>
      <c r="C929" s="3" t="n">
        <v>4</v>
      </c>
      <c r="D929" s="3" t="n">
        <v>10</v>
      </c>
      <c r="E929" s="3" t="n">
        <v>3</v>
      </c>
      <c r="F929" s="24" t="n">
        <v>0</v>
      </c>
    </row>
    <row r="930" customFormat="false" ht="15" hidden="false" customHeight="false" outlineLevel="0" collapsed="false">
      <c r="A930" s="3" t="n">
        <v>929</v>
      </c>
      <c r="B930" s="3" t="n">
        <v>928</v>
      </c>
      <c r="C930" s="3" t="n">
        <v>4</v>
      </c>
      <c r="D930" s="3" t="n">
        <v>10</v>
      </c>
      <c r="E930" s="3" t="n">
        <v>4</v>
      </c>
      <c r="F930" s="24" t="n">
        <v>0</v>
      </c>
    </row>
    <row r="931" customFormat="false" ht="15" hidden="false" customHeight="false" outlineLevel="0" collapsed="false">
      <c r="A931" s="3" t="n">
        <v>930</v>
      </c>
      <c r="B931" s="3" t="n">
        <v>929</v>
      </c>
      <c r="C931" s="3" t="n">
        <v>4</v>
      </c>
      <c r="D931" s="3" t="n">
        <v>10</v>
      </c>
      <c r="E931" s="3" t="n">
        <v>5</v>
      </c>
      <c r="F931" s="24" t="n">
        <v>0.2850191</v>
      </c>
    </row>
    <row r="932" customFormat="false" ht="15" hidden="false" customHeight="false" outlineLevel="0" collapsed="false">
      <c r="A932" s="3" t="n">
        <v>931</v>
      </c>
      <c r="B932" s="3" t="n">
        <v>930</v>
      </c>
      <c r="C932" s="3" t="n">
        <v>4</v>
      </c>
      <c r="D932" s="3" t="n">
        <v>10</v>
      </c>
      <c r="E932" s="3" t="n">
        <v>6</v>
      </c>
      <c r="F932" s="24" t="n">
        <v>3.16677523</v>
      </c>
    </row>
    <row r="933" customFormat="false" ht="15" hidden="false" customHeight="false" outlineLevel="0" collapsed="false">
      <c r="A933" s="3" t="n">
        <v>932</v>
      </c>
      <c r="B933" s="3" t="n">
        <v>931</v>
      </c>
      <c r="C933" s="3" t="n">
        <v>4</v>
      </c>
      <c r="D933" s="3" t="n">
        <v>10</v>
      </c>
      <c r="E933" s="3" t="n">
        <v>7</v>
      </c>
      <c r="F933" s="24" t="n">
        <v>2.68046045</v>
      </c>
    </row>
    <row r="934" customFormat="false" ht="15" hidden="false" customHeight="false" outlineLevel="0" collapsed="false">
      <c r="A934" s="3" t="n">
        <v>933</v>
      </c>
      <c r="B934" s="3" t="n">
        <v>932</v>
      </c>
      <c r="C934" s="3" t="n">
        <v>4</v>
      </c>
      <c r="D934" s="3" t="n">
        <v>10</v>
      </c>
      <c r="E934" s="3" t="n">
        <v>8</v>
      </c>
      <c r="F934" s="24" t="n">
        <v>0.153637081</v>
      </c>
    </row>
    <row r="935" customFormat="false" ht="15" hidden="false" customHeight="false" outlineLevel="0" collapsed="false">
      <c r="A935" s="3" t="n">
        <v>934</v>
      </c>
      <c r="B935" s="3" t="n">
        <v>933</v>
      </c>
      <c r="C935" s="3" t="n">
        <v>4</v>
      </c>
      <c r="D935" s="3" t="n">
        <v>10</v>
      </c>
      <c r="E935" s="3" t="n">
        <v>9</v>
      </c>
      <c r="F935" s="24" t="n">
        <v>0</v>
      </c>
    </row>
    <row r="936" customFormat="false" ht="15" hidden="false" customHeight="false" outlineLevel="0" collapsed="false">
      <c r="A936" s="3" t="n">
        <v>935</v>
      </c>
      <c r="B936" s="3" t="n">
        <v>934</v>
      </c>
      <c r="C936" s="3" t="n">
        <v>4</v>
      </c>
      <c r="D936" s="3" t="n">
        <v>10</v>
      </c>
      <c r="E936" s="3" t="n">
        <v>10</v>
      </c>
      <c r="F936" s="24" t="n">
        <v>0</v>
      </c>
    </row>
    <row r="937" customFormat="false" ht="15" hidden="false" customHeight="false" outlineLevel="0" collapsed="false">
      <c r="A937" s="3" t="n">
        <v>936</v>
      </c>
      <c r="B937" s="3" t="n">
        <v>935</v>
      </c>
      <c r="C937" s="3" t="n">
        <v>4</v>
      </c>
      <c r="D937" s="3" t="n">
        <v>10</v>
      </c>
      <c r="E937" s="3" t="n">
        <v>11</v>
      </c>
      <c r="F937" s="24" t="n">
        <v>0</v>
      </c>
    </row>
    <row r="938" customFormat="false" ht="15" hidden="false" customHeight="false" outlineLevel="0" collapsed="false">
      <c r="A938" s="3" t="n">
        <v>937</v>
      </c>
      <c r="B938" s="3" t="n">
        <v>936</v>
      </c>
      <c r="C938" s="3" t="n">
        <v>4</v>
      </c>
      <c r="D938" s="3" t="n">
        <v>10</v>
      </c>
      <c r="E938" s="3" t="n">
        <v>12</v>
      </c>
      <c r="F938" s="24" t="n">
        <v>0</v>
      </c>
    </row>
    <row r="939" customFormat="false" ht="15" hidden="false" customHeight="false" outlineLevel="0" collapsed="false">
      <c r="A939" s="3" t="n">
        <v>938</v>
      </c>
      <c r="B939" s="3" t="n">
        <v>937</v>
      </c>
      <c r="C939" s="3" t="n">
        <v>4</v>
      </c>
      <c r="D939" s="3" t="n">
        <v>10</v>
      </c>
      <c r="E939" s="3" t="n">
        <v>13</v>
      </c>
      <c r="F939" s="24" t="n">
        <v>0</v>
      </c>
    </row>
    <row r="940" customFormat="false" ht="15" hidden="false" customHeight="false" outlineLevel="0" collapsed="false">
      <c r="A940" s="3" t="n">
        <v>939</v>
      </c>
      <c r="B940" s="3" t="n">
        <v>938</v>
      </c>
      <c r="C940" s="3" t="n">
        <v>4</v>
      </c>
      <c r="D940" s="3" t="n">
        <v>11</v>
      </c>
      <c r="E940" s="3" t="n">
        <v>0</v>
      </c>
      <c r="F940" s="24" t="n">
        <v>0</v>
      </c>
    </row>
    <row r="941" customFormat="false" ht="15" hidden="false" customHeight="false" outlineLevel="0" collapsed="false">
      <c r="A941" s="3" t="n">
        <v>940</v>
      </c>
      <c r="B941" s="3" t="n">
        <v>939</v>
      </c>
      <c r="C941" s="3" t="n">
        <v>4</v>
      </c>
      <c r="D941" s="3" t="n">
        <v>11</v>
      </c>
      <c r="E941" s="3" t="n">
        <v>1</v>
      </c>
      <c r="F941" s="24" t="n">
        <v>0</v>
      </c>
    </row>
    <row r="942" customFormat="false" ht="15" hidden="false" customHeight="false" outlineLevel="0" collapsed="false">
      <c r="A942" s="3" t="n">
        <v>941</v>
      </c>
      <c r="B942" s="3" t="n">
        <v>940</v>
      </c>
      <c r="C942" s="3" t="n">
        <v>4</v>
      </c>
      <c r="D942" s="3" t="n">
        <v>11</v>
      </c>
      <c r="E942" s="3" t="n">
        <v>2</v>
      </c>
      <c r="F942" s="24" t="n">
        <v>0</v>
      </c>
    </row>
    <row r="943" customFormat="false" ht="15" hidden="false" customHeight="false" outlineLevel="0" collapsed="false">
      <c r="A943" s="3" t="n">
        <v>942</v>
      </c>
      <c r="B943" s="3" t="n">
        <v>941</v>
      </c>
      <c r="C943" s="3" t="n">
        <v>4</v>
      </c>
      <c r="D943" s="3" t="n">
        <v>11</v>
      </c>
      <c r="E943" s="3" t="n">
        <v>3</v>
      </c>
      <c r="F943" s="24" t="n">
        <v>0</v>
      </c>
    </row>
    <row r="944" customFormat="false" ht="15" hidden="false" customHeight="false" outlineLevel="0" collapsed="false">
      <c r="A944" s="3" t="n">
        <v>943</v>
      </c>
      <c r="B944" s="3" t="n">
        <v>942</v>
      </c>
      <c r="C944" s="3" t="n">
        <v>4</v>
      </c>
      <c r="D944" s="3" t="n">
        <v>11</v>
      </c>
      <c r="E944" s="3" t="n">
        <v>4</v>
      </c>
      <c r="F944" s="24" t="n">
        <v>0</v>
      </c>
    </row>
    <row r="945" customFormat="false" ht="15" hidden="false" customHeight="false" outlineLevel="0" collapsed="false">
      <c r="A945" s="3" t="n">
        <v>944</v>
      </c>
      <c r="B945" s="3" t="n">
        <v>943</v>
      </c>
      <c r="C945" s="3" t="n">
        <v>4</v>
      </c>
      <c r="D945" s="3" t="n">
        <v>11</v>
      </c>
      <c r="E945" s="3" t="n">
        <v>5</v>
      </c>
      <c r="F945" s="24" t="n">
        <v>2.17636347</v>
      </c>
    </row>
    <row r="946" customFormat="false" ht="15" hidden="false" customHeight="false" outlineLevel="0" collapsed="false">
      <c r="A946" s="3" t="n">
        <v>945</v>
      </c>
      <c r="B946" s="3" t="n">
        <v>944</v>
      </c>
      <c r="C946" s="3" t="n">
        <v>4</v>
      </c>
      <c r="D946" s="3" t="n">
        <v>11</v>
      </c>
      <c r="E946" s="3" t="n">
        <v>6</v>
      </c>
      <c r="F946" s="24" t="n">
        <v>3.4994669</v>
      </c>
    </row>
    <row r="947" customFormat="false" ht="15" hidden="false" customHeight="false" outlineLevel="0" collapsed="false">
      <c r="A947" s="3" t="n">
        <v>946</v>
      </c>
      <c r="B947" s="3" t="n">
        <v>945</v>
      </c>
      <c r="C947" s="3" t="n">
        <v>4</v>
      </c>
      <c r="D947" s="3" t="n">
        <v>11</v>
      </c>
      <c r="E947" s="3" t="n">
        <v>7</v>
      </c>
      <c r="F947" s="24" t="n">
        <v>1.62391591</v>
      </c>
    </row>
    <row r="948" customFormat="false" ht="15" hidden="false" customHeight="false" outlineLevel="0" collapsed="false">
      <c r="A948" s="3" t="n">
        <v>947</v>
      </c>
      <c r="B948" s="3" t="n">
        <v>946</v>
      </c>
      <c r="C948" s="3" t="n">
        <v>4</v>
      </c>
      <c r="D948" s="3" t="n">
        <v>11</v>
      </c>
      <c r="E948" s="3" t="n">
        <v>8</v>
      </c>
      <c r="F948" s="24" t="n">
        <v>0</v>
      </c>
    </row>
    <row r="949" customFormat="false" ht="15" hidden="false" customHeight="false" outlineLevel="0" collapsed="false">
      <c r="A949" s="3" t="n">
        <v>948</v>
      </c>
      <c r="B949" s="3" t="n">
        <v>947</v>
      </c>
      <c r="C949" s="3" t="n">
        <v>4</v>
      </c>
      <c r="D949" s="3" t="n">
        <v>11</v>
      </c>
      <c r="E949" s="3" t="n">
        <v>9</v>
      </c>
      <c r="F949" s="24" t="n">
        <v>0</v>
      </c>
    </row>
    <row r="950" customFormat="false" ht="15" hidden="false" customHeight="false" outlineLevel="0" collapsed="false">
      <c r="A950" s="3" t="n">
        <v>949</v>
      </c>
      <c r="B950" s="3" t="n">
        <v>948</v>
      </c>
      <c r="C950" s="3" t="n">
        <v>4</v>
      </c>
      <c r="D950" s="3" t="n">
        <v>11</v>
      </c>
      <c r="E950" s="3" t="n">
        <v>10</v>
      </c>
      <c r="F950" s="24" t="n">
        <v>0</v>
      </c>
    </row>
    <row r="951" customFormat="false" ht="15" hidden="false" customHeight="false" outlineLevel="0" collapsed="false">
      <c r="A951" s="3" t="n">
        <v>950</v>
      </c>
      <c r="B951" s="3" t="n">
        <v>949</v>
      </c>
      <c r="C951" s="3" t="n">
        <v>4</v>
      </c>
      <c r="D951" s="3" t="n">
        <v>11</v>
      </c>
      <c r="E951" s="3" t="n">
        <v>11</v>
      </c>
      <c r="F951" s="24" t="n">
        <v>0</v>
      </c>
    </row>
    <row r="952" customFormat="false" ht="15" hidden="false" customHeight="false" outlineLevel="0" collapsed="false">
      <c r="A952" s="3" t="n">
        <v>951</v>
      </c>
      <c r="B952" s="3" t="n">
        <v>950</v>
      </c>
      <c r="C952" s="3" t="n">
        <v>4</v>
      </c>
      <c r="D952" s="3" t="n">
        <v>11</v>
      </c>
      <c r="E952" s="3" t="n">
        <v>12</v>
      </c>
      <c r="F952" s="24" t="n">
        <v>0</v>
      </c>
    </row>
    <row r="953" customFormat="false" ht="15" hidden="false" customHeight="false" outlineLevel="0" collapsed="false">
      <c r="A953" s="3" t="n">
        <v>952</v>
      </c>
      <c r="B953" s="3" t="n">
        <v>951</v>
      </c>
      <c r="C953" s="3" t="n">
        <v>4</v>
      </c>
      <c r="D953" s="3" t="n">
        <v>11</v>
      </c>
      <c r="E953" s="3" t="n">
        <v>13</v>
      </c>
      <c r="F953" s="24" t="n">
        <v>0</v>
      </c>
    </row>
    <row r="954" customFormat="false" ht="15" hidden="false" customHeight="false" outlineLevel="0" collapsed="false">
      <c r="A954" s="3" t="n">
        <v>953</v>
      </c>
      <c r="B954" s="3" t="n">
        <v>952</v>
      </c>
      <c r="C954" s="3" t="n">
        <v>4</v>
      </c>
      <c r="D954" s="3" t="n">
        <v>12</v>
      </c>
      <c r="E954" s="3" t="n">
        <v>0</v>
      </c>
      <c r="F954" s="24" t="n">
        <v>0</v>
      </c>
    </row>
    <row r="955" customFormat="false" ht="15" hidden="false" customHeight="false" outlineLevel="0" collapsed="false">
      <c r="A955" s="3" t="n">
        <v>954</v>
      </c>
      <c r="B955" s="3" t="n">
        <v>953</v>
      </c>
      <c r="C955" s="3" t="n">
        <v>4</v>
      </c>
      <c r="D955" s="3" t="n">
        <v>12</v>
      </c>
      <c r="E955" s="3" t="n">
        <v>1</v>
      </c>
      <c r="F955" s="24" t="n">
        <v>0</v>
      </c>
    </row>
    <row r="956" customFormat="false" ht="15" hidden="false" customHeight="false" outlineLevel="0" collapsed="false">
      <c r="A956" s="3" t="n">
        <v>955</v>
      </c>
      <c r="B956" s="3" t="n">
        <v>954</v>
      </c>
      <c r="C956" s="3" t="n">
        <v>4</v>
      </c>
      <c r="D956" s="3" t="n">
        <v>12</v>
      </c>
      <c r="E956" s="3" t="n">
        <v>2</v>
      </c>
      <c r="F956" s="24" t="n">
        <v>0</v>
      </c>
    </row>
    <row r="957" customFormat="false" ht="15" hidden="false" customHeight="false" outlineLevel="0" collapsed="false">
      <c r="A957" s="3" t="n">
        <v>956</v>
      </c>
      <c r="B957" s="3" t="n">
        <v>955</v>
      </c>
      <c r="C957" s="3" t="n">
        <v>4</v>
      </c>
      <c r="D957" s="3" t="n">
        <v>12</v>
      </c>
      <c r="E957" s="3" t="n">
        <v>3</v>
      </c>
      <c r="F957" s="24" t="n">
        <v>0</v>
      </c>
    </row>
    <row r="958" customFormat="false" ht="15" hidden="false" customHeight="false" outlineLevel="0" collapsed="false">
      <c r="A958" s="3" t="n">
        <v>957</v>
      </c>
      <c r="B958" s="3" t="n">
        <v>956</v>
      </c>
      <c r="C958" s="3" t="n">
        <v>4</v>
      </c>
      <c r="D958" s="3" t="n">
        <v>12</v>
      </c>
      <c r="E958" s="3" t="n">
        <v>4</v>
      </c>
      <c r="F958" s="24" t="n">
        <v>0</v>
      </c>
    </row>
    <row r="959" customFormat="false" ht="15" hidden="false" customHeight="false" outlineLevel="0" collapsed="false">
      <c r="A959" s="3" t="n">
        <v>958</v>
      </c>
      <c r="B959" s="3" t="n">
        <v>957</v>
      </c>
      <c r="C959" s="3" t="n">
        <v>4</v>
      </c>
      <c r="D959" s="3" t="n">
        <v>12</v>
      </c>
      <c r="E959" s="3" t="n">
        <v>5</v>
      </c>
      <c r="F959" s="24" t="n">
        <v>3.01009917</v>
      </c>
    </row>
    <row r="960" customFormat="false" ht="15" hidden="false" customHeight="false" outlineLevel="0" collapsed="false">
      <c r="A960" s="3" t="n">
        <v>959</v>
      </c>
      <c r="B960" s="3" t="n">
        <v>958</v>
      </c>
      <c r="C960" s="3" t="n">
        <v>4</v>
      </c>
      <c r="D960" s="3" t="n">
        <v>12</v>
      </c>
      <c r="E960" s="3" t="n">
        <v>6</v>
      </c>
      <c r="F960" s="24" t="n">
        <v>3.36371136</v>
      </c>
    </row>
    <row r="961" customFormat="false" ht="15" hidden="false" customHeight="false" outlineLevel="0" collapsed="false">
      <c r="A961" s="3" t="n">
        <v>960</v>
      </c>
      <c r="B961" s="3" t="n">
        <v>959</v>
      </c>
      <c r="C961" s="3" t="n">
        <v>4</v>
      </c>
      <c r="D961" s="3" t="n">
        <v>12</v>
      </c>
      <c r="E961" s="3" t="n">
        <v>7</v>
      </c>
      <c r="F961" s="24" t="n">
        <v>0.395687342</v>
      </c>
    </row>
    <row r="962" customFormat="false" ht="15" hidden="false" customHeight="false" outlineLevel="0" collapsed="false">
      <c r="A962" s="3" t="n">
        <v>961</v>
      </c>
      <c r="B962" s="3" t="n">
        <v>960</v>
      </c>
      <c r="C962" s="3" t="n">
        <v>4</v>
      </c>
      <c r="D962" s="3" t="n">
        <v>12</v>
      </c>
      <c r="E962" s="3" t="n">
        <v>8</v>
      </c>
      <c r="F962" s="24" t="n">
        <v>0</v>
      </c>
    </row>
    <row r="963" customFormat="false" ht="15" hidden="false" customHeight="false" outlineLevel="0" collapsed="false">
      <c r="A963" s="3" t="n">
        <v>962</v>
      </c>
      <c r="B963" s="3" t="n">
        <v>961</v>
      </c>
      <c r="C963" s="3" t="n">
        <v>4</v>
      </c>
      <c r="D963" s="3" t="n">
        <v>12</v>
      </c>
      <c r="E963" s="3" t="n">
        <v>9</v>
      </c>
      <c r="F963" s="24" t="n">
        <v>0</v>
      </c>
    </row>
    <row r="964" customFormat="false" ht="15" hidden="false" customHeight="false" outlineLevel="0" collapsed="false">
      <c r="A964" s="3" t="n">
        <v>963</v>
      </c>
      <c r="B964" s="3" t="n">
        <v>962</v>
      </c>
      <c r="C964" s="3" t="n">
        <v>4</v>
      </c>
      <c r="D964" s="3" t="n">
        <v>12</v>
      </c>
      <c r="E964" s="3" t="n">
        <v>10</v>
      </c>
      <c r="F964" s="24" t="n">
        <v>0</v>
      </c>
    </row>
    <row r="965" customFormat="false" ht="15" hidden="false" customHeight="false" outlineLevel="0" collapsed="false">
      <c r="A965" s="3" t="n">
        <v>964</v>
      </c>
      <c r="B965" s="3" t="n">
        <v>963</v>
      </c>
      <c r="C965" s="3" t="n">
        <v>4</v>
      </c>
      <c r="D965" s="3" t="n">
        <v>12</v>
      </c>
      <c r="E965" s="3" t="n">
        <v>11</v>
      </c>
      <c r="F965" s="24" t="n">
        <v>0</v>
      </c>
    </row>
    <row r="966" customFormat="false" ht="15" hidden="false" customHeight="false" outlineLevel="0" collapsed="false">
      <c r="A966" s="3" t="n">
        <v>965</v>
      </c>
      <c r="B966" s="3" t="n">
        <v>964</v>
      </c>
      <c r="C966" s="3" t="n">
        <v>4</v>
      </c>
      <c r="D966" s="3" t="n">
        <v>12</v>
      </c>
      <c r="E966" s="3" t="n">
        <v>12</v>
      </c>
      <c r="F966" s="24" t="n">
        <v>0</v>
      </c>
    </row>
    <row r="967" customFormat="false" ht="15" hidden="false" customHeight="false" outlineLevel="0" collapsed="false">
      <c r="A967" s="3" t="n">
        <v>966</v>
      </c>
      <c r="B967" s="3" t="n">
        <v>965</v>
      </c>
      <c r="C967" s="3" t="n">
        <v>4</v>
      </c>
      <c r="D967" s="3" t="n">
        <v>12</v>
      </c>
      <c r="E967" s="3" t="n">
        <v>13</v>
      </c>
      <c r="F967" s="24" t="n">
        <v>0</v>
      </c>
    </row>
    <row r="968" customFormat="false" ht="15" hidden="false" customHeight="false" outlineLevel="0" collapsed="false">
      <c r="A968" s="3" t="n">
        <v>967</v>
      </c>
      <c r="B968" s="3" t="n">
        <v>966</v>
      </c>
      <c r="C968" s="3" t="n">
        <v>4</v>
      </c>
      <c r="D968" s="3" t="n">
        <v>13</v>
      </c>
      <c r="E968" s="3" t="n">
        <v>0</v>
      </c>
      <c r="F968" s="24" t="n">
        <v>0</v>
      </c>
    </row>
    <row r="969" customFormat="false" ht="15" hidden="false" customHeight="false" outlineLevel="0" collapsed="false">
      <c r="A969" s="3" t="n">
        <v>968</v>
      </c>
      <c r="B969" s="3" t="n">
        <v>967</v>
      </c>
      <c r="C969" s="3" t="n">
        <v>4</v>
      </c>
      <c r="D969" s="3" t="n">
        <v>13</v>
      </c>
      <c r="E969" s="3" t="n">
        <v>1</v>
      </c>
      <c r="F969" s="24" t="n">
        <v>0</v>
      </c>
    </row>
    <row r="970" customFormat="false" ht="15" hidden="false" customHeight="false" outlineLevel="0" collapsed="false">
      <c r="A970" s="3" t="n">
        <v>969</v>
      </c>
      <c r="B970" s="3" t="n">
        <v>968</v>
      </c>
      <c r="C970" s="3" t="n">
        <v>4</v>
      </c>
      <c r="D970" s="3" t="n">
        <v>13</v>
      </c>
      <c r="E970" s="3" t="n">
        <v>2</v>
      </c>
      <c r="F970" s="24" t="n">
        <v>0</v>
      </c>
    </row>
    <row r="971" customFormat="false" ht="15" hidden="false" customHeight="false" outlineLevel="0" collapsed="false">
      <c r="A971" s="3" t="n">
        <v>970</v>
      </c>
      <c r="B971" s="3" t="n">
        <v>969</v>
      </c>
      <c r="C971" s="3" t="n">
        <v>4</v>
      </c>
      <c r="D971" s="3" t="n">
        <v>13</v>
      </c>
      <c r="E971" s="3" t="n">
        <v>3</v>
      </c>
      <c r="F971" s="24" t="n">
        <v>0</v>
      </c>
    </row>
    <row r="972" customFormat="false" ht="15" hidden="false" customHeight="false" outlineLevel="0" collapsed="false">
      <c r="A972" s="3" t="n">
        <v>971</v>
      </c>
      <c r="B972" s="3" t="n">
        <v>970</v>
      </c>
      <c r="C972" s="3" t="n">
        <v>4</v>
      </c>
      <c r="D972" s="3" t="n">
        <v>13</v>
      </c>
      <c r="E972" s="3" t="n">
        <v>4</v>
      </c>
      <c r="F972" s="24" t="n">
        <v>0.0724500343</v>
      </c>
    </row>
    <row r="973" customFormat="false" ht="15" hidden="false" customHeight="false" outlineLevel="0" collapsed="false">
      <c r="A973" s="3" t="n">
        <v>972</v>
      </c>
      <c r="B973" s="3" t="n">
        <v>971</v>
      </c>
      <c r="C973" s="3" t="n">
        <v>4</v>
      </c>
      <c r="D973" s="3" t="n">
        <v>13</v>
      </c>
      <c r="E973" s="3" t="n">
        <v>5</v>
      </c>
      <c r="F973" s="24" t="n">
        <v>1.54488528</v>
      </c>
    </row>
    <row r="974" customFormat="false" ht="15" hidden="false" customHeight="false" outlineLevel="0" collapsed="false">
      <c r="A974" s="3" t="n">
        <v>973</v>
      </c>
      <c r="B974" s="3" t="n">
        <v>972</v>
      </c>
      <c r="C974" s="3" t="n">
        <v>4</v>
      </c>
      <c r="D974" s="3" t="n">
        <v>13</v>
      </c>
      <c r="E974" s="3" t="n">
        <v>6</v>
      </c>
      <c r="F974" s="24" t="n">
        <v>1.28630829</v>
      </c>
    </row>
    <row r="975" customFormat="false" ht="15" hidden="false" customHeight="false" outlineLevel="0" collapsed="false">
      <c r="A975" s="3" t="n">
        <v>974</v>
      </c>
      <c r="B975" s="3" t="n">
        <v>973</v>
      </c>
      <c r="C975" s="3" t="n">
        <v>4</v>
      </c>
      <c r="D975" s="3" t="n">
        <v>13</v>
      </c>
      <c r="E975" s="3" t="n">
        <v>7</v>
      </c>
      <c r="F975" s="24" t="n">
        <v>0</v>
      </c>
    </row>
    <row r="976" customFormat="false" ht="15" hidden="false" customHeight="false" outlineLevel="0" collapsed="false">
      <c r="A976" s="3" t="n">
        <v>975</v>
      </c>
      <c r="B976" s="3" t="n">
        <v>974</v>
      </c>
      <c r="C976" s="3" t="n">
        <v>4</v>
      </c>
      <c r="D976" s="3" t="n">
        <v>13</v>
      </c>
      <c r="E976" s="3" t="n">
        <v>8</v>
      </c>
      <c r="F976" s="24" t="n">
        <v>0</v>
      </c>
    </row>
    <row r="977" customFormat="false" ht="15" hidden="false" customHeight="false" outlineLevel="0" collapsed="false">
      <c r="A977" s="3" t="n">
        <v>976</v>
      </c>
      <c r="B977" s="3" t="n">
        <v>975</v>
      </c>
      <c r="C977" s="3" t="n">
        <v>4</v>
      </c>
      <c r="D977" s="3" t="n">
        <v>13</v>
      </c>
      <c r="E977" s="3" t="n">
        <v>9</v>
      </c>
      <c r="F977" s="24" t="n">
        <v>0</v>
      </c>
    </row>
    <row r="978" customFormat="false" ht="15" hidden="false" customHeight="false" outlineLevel="0" collapsed="false">
      <c r="A978" s="3" t="n">
        <v>977</v>
      </c>
      <c r="B978" s="3" t="n">
        <v>976</v>
      </c>
      <c r="C978" s="3" t="n">
        <v>4</v>
      </c>
      <c r="D978" s="3" t="n">
        <v>13</v>
      </c>
      <c r="E978" s="3" t="n">
        <v>10</v>
      </c>
      <c r="F978" s="24" t="n">
        <v>0</v>
      </c>
    </row>
    <row r="979" customFormat="false" ht="15" hidden="false" customHeight="false" outlineLevel="0" collapsed="false">
      <c r="A979" s="3" t="n">
        <v>978</v>
      </c>
      <c r="B979" s="3" t="n">
        <v>977</v>
      </c>
      <c r="C979" s="3" t="n">
        <v>4</v>
      </c>
      <c r="D979" s="3" t="n">
        <v>13</v>
      </c>
      <c r="E979" s="3" t="n">
        <v>11</v>
      </c>
      <c r="F979" s="24" t="n">
        <v>0</v>
      </c>
    </row>
    <row r="980" customFormat="false" ht="15" hidden="false" customHeight="false" outlineLevel="0" collapsed="false">
      <c r="A980" s="3" t="n">
        <v>979</v>
      </c>
      <c r="B980" s="3" t="n">
        <v>978</v>
      </c>
      <c r="C980" s="3" t="n">
        <v>4</v>
      </c>
      <c r="D980" s="3" t="n">
        <v>13</v>
      </c>
      <c r="E980" s="3" t="n">
        <v>12</v>
      </c>
      <c r="F980" s="24" t="n">
        <v>0</v>
      </c>
    </row>
    <row r="981" customFormat="false" ht="15" hidden="false" customHeight="false" outlineLevel="0" collapsed="false">
      <c r="A981" s="3" t="n">
        <v>980</v>
      </c>
      <c r="B981" s="3" t="n">
        <v>979</v>
      </c>
      <c r="C981" s="3" t="n">
        <v>4</v>
      </c>
      <c r="D981" s="3" t="n">
        <v>13</v>
      </c>
      <c r="E981" s="3" t="n">
        <v>13</v>
      </c>
      <c r="F981" s="24" t="n">
        <v>0</v>
      </c>
    </row>
    <row r="982" customFormat="false" ht="15" hidden="false" customHeight="false" outlineLevel="0" collapsed="false">
      <c r="A982" s="3" t="n">
        <v>981</v>
      </c>
      <c r="B982" s="3" t="n">
        <v>980</v>
      </c>
      <c r="C982" s="3" t="n">
        <v>5</v>
      </c>
      <c r="D982" s="3" t="n">
        <v>0</v>
      </c>
      <c r="E982" s="3" t="n">
        <v>0</v>
      </c>
      <c r="F982" s="24" t="n">
        <v>1.05244422</v>
      </c>
    </row>
    <row r="983" customFormat="false" ht="15" hidden="false" customHeight="false" outlineLevel="0" collapsed="false">
      <c r="A983" s="3" t="n">
        <v>982</v>
      </c>
      <c r="B983" s="3" t="n">
        <v>981</v>
      </c>
      <c r="C983" s="3" t="n">
        <v>5</v>
      </c>
      <c r="D983" s="3" t="n">
        <v>0</v>
      </c>
      <c r="E983" s="3" t="n">
        <v>1</v>
      </c>
      <c r="F983" s="24" t="n">
        <v>1.05244422</v>
      </c>
    </row>
    <row r="984" customFormat="false" ht="15" hidden="false" customHeight="false" outlineLevel="0" collapsed="false">
      <c r="A984" s="3" t="n">
        <v>983</v>
      </c>
      <c r="B984" s="3" t="n">
        <v>982</v>
      </c>
      <c r="C984" s="3" t="n">
        <v>5</v>
      </c>
      <c r="D984" s="3" t="n">
        <v>0</v>
      </c>
      <c r="E984" s="3" t="n">
        <v>2</v>
      </c>
      <c r="F984" s="24" t="n">
        <v>1.05244422</v>
      </c>
    </row>
    <row r="985" customFormat="false" ht="15" hidden="false" customHeight="false" outlineLevel="0" collapsed="false">
      <c r="A985" s="3" t="n">
        <v>984</v>
      </c>
      <c r="B985" s="3" t="n">
        <v>983</v>
      </c>
      <c r="C985" s="3" t="n">
        <v>5</v>
      </c>
      <c r="D985" s="3" t="n">
        <v>0</v>
      </c>
      <c r="E985" s="3" t="n">
        <v>3</v>
      </c>
      <c r="F985" s="24" t="n">
        <v>1.05244422</v>
      </c>
    </row>
    <row r="986" customFormat="false" ht="15" hidden="false" customHeight="false" outlineLevel="0" collapsed="false">
      <c r="A986" s="3" t="n">
        <v>985</v>
      </c>
      <c r="B986" s="3" t="n">
        <v>984</v>
      </c>
      <c r="C986" s="3" t="n">
        <v>5</v>
      </c>
      <c r="D986" s="3" t="n">
        <v>0</v>
      </c>
      <c r="E986" s="3" t="n">
        <v>4</v>
      </c>
      <c r="F986" s="24" t="n">
        <v>1.05244422</v>
      </c>
    </row>
    <row r="987" customFormat="false" ht="15" hidden="false" customHeight="false" outlineLevel="0" collapsed="false">
      <c r="A987" s="3" t="n">
        <v>986</v>
      </c>
      <c r="B987" s="3" t="n">
        <v>985</v>
      </c>
      <c r="C987" s="3" t="n">
        <v>5</v>
      </c>
      <c r="D987" s="3" t="n">
        <v>0</v>
      </c>
      <c r="E987" s="3" t="n">
        <v>5</v>
      </c>
      <c r="F987" s="24" t="n">
        <v>1.05244422</v>
      </c>
    </row>
    <row r="988" customFormat="false" ht="15" hidden="false" customHeight="false" outlineLevel="0" collapsed="false">
      <c r="A988" s="3" t="n">
        <v>987</v>
      </c>
      <c r="B988" s="3" t="n">
        <v>986</v>
      </c>
      <c r="C988" s="3" t="n">
        <v>5</v>
      </c>
      <c r="D988" s="3" t="n">
        <v>0</v>
      </c>
      <c r="E988" s="3" t="n">
        <v>6</v>
      </c>
      <c r="F988" s="24" t="n">
        <v>1.05244422</v>
      </c>
    </row>
    <row r="989" customFormat="false" ht="15" hidden="false" customHeight="false" outlineLevel="0" collapsed="false">
      <c r="A989" s="3" t="n">
        <v>988</v>
      </c>
      <c r="B989" s="3" t="n">
        <v>987</v>
      </c>
      <c r="C989" s="3" t="n">
        <v>5</v>
      </c>
      <c r="D989" s="3" t="n">
        <v>0</v>
      </c>
      <c r="E989" s="3" t="n">
        <v>7</v>
      </c>
      <c r="F989" s="24" t="n">
        <v>1.05244422</v>
      </c>
    </row>
    <row r="990" customFormat="false" ht="15" hidden="false" customHeight="false" outlineLevel="0" collapsed="false">
      <c r="A990" s="3" t="n">
        <v>989</v>
      </c>
      <c r="B990" s="3" t="n">
        <v>988</v>
      </c>
      <c r="C990" s="3" t="n">
        <v>5</v>
      </c>
      <c r="D990" s="3" t="n">
        <v>0</v>
      </c>
      <c r="E990" s="3" t="n">
        <v>8</v>
      </c>
      <c r="F990" s="24" t="n">
        <v>1.05244422</v>
      </c>
    </row>
    <row r="991" customFormat="false" ht="15" hidden="false" customHeight="false" outlineLevel="0" collapsed="false">
      <c r="A991" s="3" t="n">
        <v>990</v>
      </c>
      <c r="B991" s="3" t="n">
        <v>989</v>
      </c>
      <c r="C991" s="3" t="n">
        <v>5</v>
      </c>
      <c r="D991" s="3" t="n">
        <v>0</v>
      </c>
      <c r="E991" s="3" t="n">
        <v>9</v>
      </c>
      <c r="F991" s="24" t="n">
        <v>1.05244422</v>
      </c>
    </row>
    <row r="992" customFormat="false" ht="15" hidden="false" customHeight="false" outlineLevel="0" collapsed="false">
      <c r="A992" s="3" t="n">
        <v>991</v>
      </c>
      <c r="B992" s="3" t="n">
        <v>990</v>
      </c>
      <c r="C992" s="3" t="n">
        <v>5</v>
      </c>
      <c r="D992" s="3" t="n">
        <v>0</v>
      </c>
      <c r="E992" s="3" t="n">
        <v>10</v>
      </c>
      <c r="F992" s="24" t="n">
        <v>1.05244422</v>
      </c>
    </row>
    <row r="993" customFormat="false" ht="15" hidden="false" customHeight="false" outlineLevel="0" collapsed="false">
      <c r="A993" s="3" t="n">
        <v>992</v>
      </c>
      <c r="B993" s="3" t="n">
        <v>991</v>
      </c>
      <c r="C993" s="3" t="n">
        <v>5</v>
      </c>
      <c r="D993" s="3" t="n">
        <v>0</v>
      </c>
      <c r="E993" s="3" t="n">
        <v>11</v>
      </c>
      <c r="F993" s="24" t="n">
        <v>1.05244422</v>
      </c>
    </row>
    <row r="994" customFormat="false" ht="15" hidden="false" customHeight="false" outlineLevel="0" collapsed="false">
      <c r="A994" s="3" t="n">
        <v>993</v>
      </c>
      <c r="B994" s="3" t="n">
        <v>992</v>
      </c>
      <c r="C994" s="3" t="n">
        <v>5</v>
      </c>
      <c r="D994" s="3" t="n">
        <v>0</v>
      </c>
      <c r="E994" s="3" t="n">
        <v>12</v>
      </c>
      <c r="F994" s="24" t="n">
        <v>1.05244422</v>
      </c>
    </row>
    <row r="995" customFormat="false" ht="15" hidden="false" customHeight="false" outlineLevel="0" collapsed="false">
      <c r="A995" s="3" t="n">
        <v>994</v>
      </c>
      <c r="B995" s="3" t="n">
        <v>993</v>
      </c>
      <c r="C995" s="3" t="n">
        <v>5</v>
      </c>
      <c r="D995" s="3" t="n">
        <v>0</v>
      </c>
      <c r="E995" s="3" t="n">
        <v>13</v>
      </c>
      <c r="F995" s="24" t="n">
        <v>1.05244422</v>
      </c>
    </row>
    <row r="996" customFormat="false" ht="15" hidden="false" customHeight="false" outlineLevel="0" collapsed="false">
      <c r="A996" s="3" t="n">
        <v>995</v>
      </c>
      <c r="B996" s="3" t="n">
        <v>994</v>
      </c>
      <c r="C996" s="3" t="n">
        <v>5</v>
      </c>
      <c r="D996" s="3" t="n">
        <v>1</v>
      </c>
      <c r="E996" s="3" t="n">
        <v>0</v>
      </c>
      <c r="F996" s="24" t="n">
        <v>0.51512605</v>
      </c>
    </row>
    <row r="997" customFormat="false" ht="15" hidden="false" customHeight="false" outlineLevel="0" collapsed="false">
      <c r="A997" s="3" t="n">
        <v>996</v>
      </c>
      <c r="B997" s="3" t="n">
        <v>995</v>
      </c>
      <c r="C997" s="3" t="n">
        <v>5</v>
      </c>
      <c r="D997" s="3" t="n">
        <v>1</v>
      </c>
      <c r="E997" s="3" t="n">
        <v>1</v>
      </c>
      <c r="F997" s="24" t="n">
        <v>0.51512605</v>
      </c>
    </row>
    <row r="998" customFormat="false" ht="15" hidden="false" customHeight="false" outlineLevel="0" collapsed="false">
      <c r="A998" s="3" t="n">
        <v>997</v>
      </c>
      <c r="B998" s="3" t="n">
        <v>996</v>
      </c>
      <c r="C998" s="3" t="n">
        <v>5</v>
      </c>
      <c r="D998" s="3" t="n">
        <v>1</v>
      </c>
      <c r="E998" s="3" t="n">
        <v>2</v>
      </c>
      <c r="F998" s="24" t="n">
        <v>0.51512605</v>
      </c>
    </row>
    <row r="999" customFormat="false" ht="15" hidden="false" customHeight="false" outlineLevel="0" collapsed="false">
      <c r="A999" s="3" t="n">
        <v>998</v>
      </c>
      <c r="B999" s="3" t="n">
        <v>997</v>
      </c>
      <c r="C999" s="3" t="n">
        <v>5</v>
      </c>
      <c r="D999" s="3" t="n">
        <v>1</v>
      </c>
      <c r="E999" s="3" t="n">
        <v>3</v>
      </c>
      <c r="F999" s="24" t="n">
        <v>0.51512605</v>
      </c>
    </row>
    <row r="1000" customFormat="false" ht="15" hidden="false" customHeight="false" outlineLevel="0" collapsed="false">
      <c r="A1000" s="3" t="n">
        <v>999</v>
      </c>
      <c r="B1000" s="3" t="n">
        <v>998</v>
      </c>
      <c r="C1000" s="3" t="n">
        <v>5</v>
      </c>
      <c r="D1000" s="3" t="n">
        <v>1</v>
      </c>
      <c r="E1000" s="3" t="n">
        <v>4</v>
      </c>
      <c r="F1000" s="24" t="n">
        <v>0.51512605</v>
      </c>
    </row>
    <row r="1001" customFormat="false" ht="15" hidden="false" customHeight="false" outlineLevel="0" collapsed="false">
      <c r="A1001" s="3" t="n">
        <v>1000</v>
      </c>
      <c r="B1001" s="3" t="n">
        <v>999</v>
      </c>
      <c r="C1001" s="3" t="n">
        <v>5</v>
      </c>
      <c r="D1001" s="3" t="n">
        <v>1</v>
      </c>
      <c r="E1001" s="3" t="n">
        <v>5</v>
      </c>
      <c r="F1001" s="24" t="n">
        <v>0.51512605</v>
      </c>
    </row>
    <row r="1002" customFormat="false" ht="15" hidden="false" customHeight="false" outlineLevel="0" collapsed="false">
      <c r="A1002" s="3" t="n">
        <v>1001</v>
      </c>
      <c r="B1002" s="3" t="n">
        <v>1000</v>
      </c>
      <c r="C1002" s="3" t="n">
        <v>5</v>
      </c>
      <c r="D1002" s="3" t="n">
        <v>1</v>
      </c>
      <c r="E1002" s="3" t="n">
        <v>6</v>
      </c>
      <c r="F1002" s="24" t="n">
        <v>0.51512605</v>
      </c>
    </row>
    <row r="1003" customFormat="false" ht="15" hidden="false" customHeight="false" outlineLevel="0" collapsed="false">
      <c r="A1003" s="3" t="n">
        <v>1002</v>
      </c>
      <c r="B1003" s="3" t="n">
        <v>1001</v>
      </c>
      <c r="C1003" s="3" t="n">
        <v>5</v>
      </c>
      <c r="D1003" s="3" t="n">
        <v>1</v>
      </c>
      <c r="E1003" s="3" t="n">
        <v>7</v>
      </c>
      <c r="F1003" s="24" t="n">
        <v>0.51512605</v>
      </c>
    </row>
    <row r="1004" customFormat="false" ht="15" hidden="false" customHeight="false" outlineLevel="0" collapsed="false">
      <c r="A1004" s="3" t="n">
        <v>1003</v>
      </c>
      <c r="B1004" s="3" t="n">
        <v>1002</v>
      </c>
      <c r="C1004" s="3" t="n">
        <v>5</v>
      </c>
      <c r="D1004" s="3" t="n">
        <v>1</v>
      </c>
      <c r="E1004" s="3" t="n">
        <v>8</v>
      </c>
      <c r="F1004" s="24" t="n">
        <v>0.51512605</v>
      </c>
    </row>
    <row r="1005" customFormat="false" ht="15" hidden="false" customHeight="false" outlineLevel="0" collapsed="false">
      <c r="A1005" s="3" t="n">
        <v>1004</v>
      </c>
      <c r="B1005" s="3" t="n">
        <v>1003</v>
      </c>
      <c r="C1005" s="3" t="n">
        <v>5</v>
      </c>
      <c r="D1005" s="3" t="n">
        <v>1</v>
      </c>
      <c r="E1005" s="3" t="n">
        <v>9</v>
      </c>
      <c r="F1005" s="24" t="n">
        <v>0.51512605</v>
      </c>
    </row>
    <row r="1006" customFormat="false" ht="15" hidden="false" customHeight="false" outlineLevel="0" collapsed="false">
      <c r="A1006" s="3" t="n">
        <v>1005</v>
      </c>
      <c r="B1006" s="3" t="n">
        <v>1004</v>
      </c>
      <c r="C1006" s="3" t="n">
        <v>5</v>
      </c>
      <c r="D1006" s="3" t="n">
        <v>1</v>
      </c>
      <c r="E1006" s="3" t="n">
        <v>10</v>
      </c>
      <c r="F1006" s="24" t="n">
        <v>0.51512605</v>
      </c>
    </row>
    <row r="1007" customFormat="false" ht="15" hidden="false" customHeight="false" outlineLevel="0" collapsed="false">
      <c r="A1007" s="3" t="n">
        <v>1006</v>
      </c>
      <c r="B1007" s="3" t="n">
        <v>1005</v>
      </c>
      <c r="C1007" s="3" t="n">
        <v>5</v>
      </c>
      <c r="D1007" s="3" t="n">
        <v>1</v>
      </c>
      <c r="E1007" s="3" t="n">
        <v>11</v>
      </c>
      <c r="F1007" s="24" t="n">
        <v>0.51512605</v>
      </c>
    </row>
    <row r="1008" customFormat="false" ht="15" hidden="false" customHeight="false" outlineLevel="0" collapsed="false">
      <c r="A1008" s="3" t="n">
        <v>1007</v>
      </c>
      <c r="B1008" s="3" t="n">
        <v>1006</v>
      </c>
      <c r="C1008" s="3" t="n">
        <v>5</v>
      </c>
      <c r="D1008" s="3" t="n">
        <v>1</v>
      </c>
      <c r="E1008" s="3" t="n">
        <v>12</v>
      </c>
      <c r="F1008" s="24" t="n">
        <v>0.51512605</v>
      </c>
    </row>
    <row r="1009" customFormat="false" ht="15" hidden="false" customHeight="false" outlineLevel="0" collapsed="false">
      <c r="A1009" s="3" t="n">
        <v>1008</v>
      </c>
      <c r="B1009" s="3" t="n">
        <v>1007</v>
      </c>
      <c r="C1009" s="3" t="n">
        <v>5</v>
      </c>
      <c r="D1009" s="3" t="n">
        <v>1</v>
      </c>
      <c r="E1009" s="3" t="n">
        <v>13</v>
      </c>
      <c r="F1009" s="24" t="n">
        <v>0.51512605</v>
      </c>
    </row>
    <row r="1010" customFormat="false" ht="15" hidden="false" customHeight="false" outlineLevel="0" collapsed="false">
      <c r="A1010" s="3" t="n">
        <v>1009</v>
      </c>
      <c r="B1010" s="3" t="n">
        <v>1008</v>
      </c>
      <c r="C1010" s="3" t="n">
        <v>5</v>
      </c>
      <c r="D1010" s="3" t="n">
        <v>2</v>
      </c>
      <c r="E1010" s="3" t="n">
        <v>0</v>
      </c>
      <c r="F1010" s="24" t="n">
        <v>0.51512605</v>
      </c>
    </row>
    <row r="1011" customFormat="false" ht="15" hidden="false" customHeight="false" outlineLevel="0" collapsed="false">
      <c r="A1011" s="3" t="n">
        <v>1010</v>
      </c>
      <c r="B1011" s="3" t="n">
        <v>1009</v>
      </c>
      <c r="C1011" s="3" t="n">
        <v>5</v>
      </c>
      <c r="D1011" s="3" t="n">
        <v>2</v>
      </c>
      <c r="E1011" s="3" t="n">
        <v>1</v>
      </c>
      <c r="F1011" s="24" t="n">
        <v>0.51512605</v>
      </c>
    </row>
    <row r="1012" customFormat="false" ht="15" hidden="false" customHeight="false" outlineLevel="0" collapsed="false">
      <c r="A1012" s="3" t="n">
        <v>1011</v>
      </c>
      <c r="B1012" s="3" t="n">
        <v>1010</v>
      </c>
      <c r="C1012" s="3" t="n">
        <v>5</v>
      </c>
      <c r="D1012" s="3" t="n">
        <v>2</v>
      </c>
      <c r="E1012" s="3" t="n">
        <v>2</v>
      </c>
      <c r="F1012" s="24" t="n">
        <v>0.51512605</v>
      </c>
    </row>
    <row r="1013" customFormat="false" ht="15" hidden="false" customHeight="false" outlineLevel="0" collapsed="false">
      <c r="A1013" s="3" t="n">
        <v>1012</v>
      </c>
      <c r="B1013" s="3" t="n">
        <v>1011</v>
      </c>
      <c r="C1013" s="3" t="n">
        <v>5</v>
      </c>
      <c r="D1013" s="3" t="n">
        <v>2</v>
      </c>
      <c r="E1013" s="3" t="n">
        <v>3</v>
      </c>
      <c r="F1013" s="24" t="n">
        <v>0.51512605</v>
      </c>
    </row>
    <row r="1014" customFormat="false" ht="15" hidden="false" customHeight="false" outlineLevel="0" collapsed="false">
      <c r="A1014" s="3" t="n">
        <v>1013</v>
      </c>
      <c r="B1014" s="3" t="n">
        <v>1012</v>
      </c>
      <c r="C1014" s="3" t="n">
        <v>5</v>
      </c>
      <c r="D1014" s="3" t="n">
        <v>2</v>
      </c>
      <c r="E1014" s="3" t="n">
        <v>4</v>
      </c>
      <c r="F1014" s="24" t="n">
        <v>0.51512605</v>
      </c>
    </row>
    <row r="1015" customFormat="false" ht="15" hidden="false" customHeight="false" outlineLevel="0" collapsed="false">
      <c r="A1015" s="3" t="n">
        <v>1014</v>
      </c>
      <c r="B1015" s="3" t="n">
        <v>1013</v>
      </c>
      <c r="C1015" s="3" t="n">
        <v>5</v>
      </c>
      <c r="D1015" s="3" t="n">
        <v>2</v>
      </c>
      <c r="E1015" s="3" t="n">
        <v>5</v>
      </c>
      <c r="F1015" s="24" t="n">
        <v>0.51512605</v>
      </c>
    </row>
    <row r="1016" customFormat="false" ht="15" hidden="false" customHeight="false" outlineLevel="0" collapsed="false">
      <c r="A1016" s="3" t="n">
        <v>1015</v>
      </c>
      <c r="B1016" s="3" t="n">
        <v>1014</v>
      </c>
      <c r="C1016" s="3" t="n">
        <v>5</v>
      </c>
      <c r="D1016" s="3" t="n">
        <v>2</v>
      </c>
      <c r="E1016" s="3" t="n">
        <v>6</v>
      </c>
      <c r="F1016" s="24" t="n">
        <v>0.51512605</v>
      </c>
    </row>
    <row r="1017" customFormat="false" ht="15" hidden="false" customHeight="false" outlineLevel="0" collapsed="false">
      <c r="A1017" s="3" t="n">
        <v>1016</v>
      </c>
      <c r="B1017" s="3" t="n">
        <v>1015</v>
      </c>
      <c r="C1017" s="3" t="n">
        <v>5</v>
      </c>
      <c r="D1017" s="3" t="n">
        <v>2</v>
      </c>
      <c r="E1017" s="3" t="n">
        <v>7</v>
      </c>
      <c r="F1017" s="24" t="n">
        <v>0.51512605</v>
      </c>
    </row>
    <row r="1018" customFormat="false" ht="15" hidden="false" customHeight="false" outlineLevel="0" collapsed="false">
      <c r="A1018" s="3" t="n">
        <v>1017</v>
      </c>
      <c r="B1018" s="3" t="n">
        <v>1016</v>
      </c>
      <c r="C1018" s="3" t="n">
        <v>5</v>
      </c>
      <c r="D1018" s="3" t="n">
        <v>2</v>
      </c>
      <c r="E1018" s="3" t="n">
        <v>8</v>
      </c>
      <c r="F1018" s="24" t="n">
        <v>0.51512605</v>
      </c>
    </row>
    <row r="1019" customFormat="false" ht="15" hidden="false" customHeight="false" outlineLevel="0" collapsed="false">
      <c r="A1019" s="3" t="n">
        <v>1018</v>
      </c>
      <c r="B1019" s="3" t="n">
        <v>1017</v>
      </c>
      <c r="C1019" s="3" t="n">
        <v>5</v>
      </c>
      <c r="D1019" s="3" t="n">
        <v>2</v>
      </c>
      <c r="E1019" s="3" t="n">
        <v>9</v>
      </c>
      <c r="F1019" s="24" t="n">
        <v>0.51512605</v>
      </c>
    </row>
    <row r="1020" customFormat="false" ht="15" hidden="false" customHeight="false" outlineLevel="0" collapsed="false">
      <c r="A1020" s="3" t="n">
        <v>1019</v>
      </c>
      <c r="B1020" s="3" t="n">
        <v>1018</v>
      </c>
      <c r="C1020" s="3" t="n">
        <v>5</v>
      </c>
      <c r="D1020" s="3" t="n">
        <v>2</v>
      </c>
      <c r="E1020" s="3" t="n">
        <v>10</v>
      </c>
      <c r="F1020" s="24" t="n">
        <v>0.51512605</v>
      </c>
    </row>
    <row r="1021" customFormat="false" ht="15" hidden="false" customHeight="false" outlineLevel="0" collapsed="false">
      <c r="A1021" s="3" t="n">
        <v>1020</v>
      </c>
      <c r="B1021" s="3" t="n">
        <v>1019</v>
      </c>
      <c r="C1021" s="3" t="n">
        <v>5</v>
      </c>
      <c r="D1021" s="3" t="n">
        <v>2</v>
      </c>
      <c r="E1021" s="3" t="n">
        <v>11</v>
      </c>
      <c r="F1021" s="24" t="n">
        <v>0.51512605</v>
      </c>
    </row>
    <row r="1022" customFormat="false" ht="15" hidden="false" customHeight="false" outlineLevel="0" collapsed="false">
      <c r="A1022" s="3" t="n">
        <v>1021</v>
      </c>
      <c r="B1022" s="3" t="n">
        <v>1020</v>
      </c>
      <c r="C1022" s="3" t="n">
        <v>5</v>
      </c>
      <c r="D1022" s="3" t="n">
        <v>2</v>
      </c>
      <c r="E1022" s="3" t="n">
        <v>12</v>
      </c>
      <c r="F1022" s="24" t="n">
        <v>0.51512605</v>
      </c>
    </row>
    <row r="1023" customFormat="false" ht="15" hidden="false" customHeight="false" outlineLevel="0" collapsed="false">
      <c r="A1023" s="3" t="n">
        <v>1022</v>
      </c>
      <c r="B1023" s="3" t="n">
        <v>1021</v>
      </c>
      <c r="C1023" s="3" t="n">
        <v>5</v>
      </c>
      <c r="D1023" s="3" t="n">
        <v>2</v>
      </c>
      <c r="E1023" s="3" t="n">
        <v>13</v>
      </c>
      <c r="F1023" s="24" t="n">
        <v>0.51512605</v>
      </c>
    </row>
    <row r="1024" customFormat="false" ht="15" hidden="false" customHeight="false" outlineLevel="0" collapsed="false">
      <c r="A1024" s="3" t="n">
        <v>1023</v>
      </c>
      <c r="B1024" s="3" t="n">
        <v>1022</v>
      </c>
      <c r="C1024" s="3" t="n">
        <v>5</v>
      </c>
      <c r="D1024" s="3" t="n">
        <v>3</v>
      </c>
      <c r="E1024" s="3" t="n">
        <v>0</v>
      </c>
      <c r="F1024" s="24" t="n">
        <v>0.51512605</v>
      </c>
    </row>
    <row r="1025" customFormat="false" ht="15" hidden="false" customHeight="false" outlineLevel="0" collapsed="false">
      <c r="A1025" s="3" t="n">
        <v>1024</v>
      </c>
      <c r="B1025" s="3" t="n">
        <v>1023</v>
      </c>
      <c r="C1025" s="3" t="n">
        <v>5</v>
      </c>
      <c r="D1025" s="3" t="n">
        <v>3</v>
      </c>
      <c r="E1025" s="3" t="n">
        <v>1</v>
      </c>
      <c r="F1025" s="24" t="n">
        <v>0.51512605</v>
      </c>
    </row>
    <row r="1026" customFormat="false" ht="15" hidden="false" customHeight="false" outlineLevel="0" collapsed="false">
      <c r="A1026" s="3" t="n">
        <v>1025</v>
      </c>
      <c r="B1026" s="3" t="n">
        <v>1024</v>
      </c>
      <c r="C1026" s="3" t="n">
        <v>5</v>
      </c>
      <c r="D1026" s="3" t="n">
        <v>3</v>
      </c>
      <c r="E1026" s="3" t="n">
        <v>2</v>
      </c>
      <c r="F1026" s="24" t="n">
        <v>0.935563087</v>
      </c>
    </row>
    <row r="1027" customFormat="false" ht="15" hidden="false" customHeight="false" outlineLevel="0" collapsed="false">
      <c r="A1027" s="3" t="n">
        <v>1026</v>
      </c>
      <c r="B1027" s="3" t="n">
        <v>1025</v>
      </c>
      <c r="C1027" s="3" t="n">
        <v>5</v>
      </c>
      <c r="D1027" s="3" t="n">
        <v>3</v>
      </c>
      <c r="E1027" s="3" t="n">
        <v>3</v>
      </c>
      <c r="F1027" s="24" t="n">
        <v>0.729577243</v>
      </c>
    </row>
    <row r="1028" customFormat="false" ht="15" hidden="false" customHeight="false" outlineLevel="0" collapsed="false">
      <c r="A1028" s="3" t="n">
        <v>1027</v>
      </c>
      <c r="B1028" s="3" t="n">
        <v>1026</v>
      </c>
      <c r="C1028" s="3" t="n">
        <v>5</v>
      </c>
      <c r="D1028" s="3" t="n">
        <v>3</v>
      </c>
      <c r="E1028" s="3" t="n">
        <v>4</v>
      </c>
      <c r="F1028" s="24" t="n">
        <v>0</v>
      </c>
    </row>
    <row r="1029" customFormat="false" ht="15" hidden="false" customHeight="false" outlineLevel="0" collapsed="false">
      <c r="A1029" s="3" t="n">
        <v>1028</v>
      </c>
      <c r="B1029" s="3" t="n">
        <v>1027</v>
      </c>
      <c r="C1029" s="3" t="n">
        <v>5</v>
      </c>
      <c r="D1029" s="3" t="n">
        <v>3</v>
      </c>
      <c r="E1029" s="3" t="n">
        <v>5</v>
      </c>
      <c r="F1029" s="24" t="n">
        <v>0</v>
      </c>
    </row>
    <row r="1030" customFormat="false" ht="15" hidden="false" customHeight="false" outlineLevel="0" collapsed="false">
      <c r="A1030" s="3" t="n">
        <v>1029</v>
      </c>
      <c r="B1030" s="3" t="n">
        <v>1028</v>
      </c>
      <c r="C1030" s="3" t="n">
        <v>5</v>
      </c>
      <c r="D1030" s="3" t="n">
        <v>3</v>
      </c>
      <c r="E1030" s="3" t="n">
        <v>6</v>
      </c>
      <c r="F1030" s="24" t="n">
        <v>0.51512605</v>
      </c>
    </row>
    <row r="1031" customFormat="false" ht="15" hidden="false" customHeight="false" outlineLevel="0" collapsed="false">
      <c r="A1031" s="3" t="n">
        <v>1030</v>
      </c>
      <c r="B1031" s="3" t="n">
        <v>1029</v>
      </c>
      <c r="C1031" s="3" t="n">
        <v>5</v>
      </c>
      <c r="D1031" s="3" t="n">
        <v>3</v>
      </c>
      <c r="E1031" s="3" t="n">
        <v>7</v>
      </c>
      <c r="F1031" s="24" t="n">
        <v>0.51512605</v>
      </c>
    </row>
    <row r="1032" customFormat="false" ht="15" hidden="false" customHeight="false" outlineLevel="0" collapsed="false">
      <c r="A1032" s="3" t="n">
        <v>1031</v>
      </c>
      <c r="B1032" s="3" t="n">
        <v>1030</v>
      </c>
      <c r="C1032" s="3" t="n">
        <v>5</v>
      </c>
      <c r="D1032" s="3" t="n">
        <v>3</v>
      </c>
      <c r="E1032" s="3" t="n">
        <v>8</v>
      </c>
      <c r="F1032" s="24" t="n">
        <v>0.51512605</v>
      </c>
    </row>
    <row r="1033" customFormat="false" ht="15" hidden="false" customHeight="false" outlineLevel="0" collapsed="false">
      <c r="A1033" s="3" t="n">
        <v>1032</v>
      </c>
      <c r="B1033" s="3" t="n">
        <v>1031</v>
      </c>
      <c r="C1033" s="3" t="n">
        <v>5</v>
      </c>
      <c r="D1033" s="3" t="n">
        <v>3</v>
      </c>
      <c r="E1033" s="3" t="n">
        <v>9</v>
      </c>
      <c r="F1033" s="24" t="n">
        <v>0.51512605</v>
      </c>
    </row>
    <row r="1034" customFormat="false" ht="15" hidden="false" customHeight="false" outlineLevel="0" collapsed="false">
      <c r="A1034" s="3" t="n">
        <v>1033</v>
      </c>
      <c r="B1034" s="3" t="n">
        <v>1032</v>
      </c>
      <c r="C1034" s="3" t="n">
        <v>5</v>
      </c>
      <c r="D1034" s="3" t="n">
        <v>3</v>
      </c>
      <c r="E1034" s="3" t="n">
        <v>10</v>
      </c>
      <c r="F1034" s="24" t="n">
        <v>0.51512605</v>
      </c>
    </row>
    <row r="1035" customFormat="false" ht="15" hidden="false" customHeight="false" outlineLevel="0" collapsed="false">
      <c r="A1035" s="3" t="n">
        <v>1034</v>
      </c>
      <c r="B1035" s="3" t="n">
        <v>1033</v>
      </c>
      <c r="C1035" s="3" t="n">
        <v>5</v>
      </c>
      <c r="D1035" s="3" t="n">
        <v>3</v>
      </c>
      <c r="E1035" s="3" t="n">
        <v>11</v>
      </c>
      <c r="F1035" s="24" t="n">
        <v>0.51512605</v>
      </c>
    </row>
    <row r="1036" customFormat="false" ht="15" hidden="false" customHeight="false" outlineLevel="0" collapsed="false">
      <c r="A1036" s="3" t="n">
        <v>1035</v>
      </c>
      <c r="B1036" s="3" t="n">
        <v>1034</v>
      </c>
      <c r="C1036" s="3" t="n">
        <v>5</v>
      </c>
      <c r="D1036" s="3" t="n">
        <v>3</v>
      </c>
      <c r="E1036" s="3" t="n">
        <v>12</v>
      </c>
      <c r="F1036" s="24" t="n">
        <v>0.51512605</v>
      </c>
    </row>
    <row r="1037" customFormat="false" ht="15" hidden="false" customHeight="false" outlineLevel="0" collapsed="false">
      <c r="A1037" s="3" t="n">
        <v>1036</v>
      </c>
      <c r="B1037" s="3" t="n">
        <v>1035</v>
      </c>
      <c r="C1037" s="3" t="n">
        <v>5</v>
      </c>
      <c r="D1037" s="3" t="n">
        <v>3</v>
      </c>
      <c r="E1037" s="3" t="n">
        <v>13</v>
      </c>
      <c r="F1037" s="24" t="n">
        <v>0.51512605</v>
      </c>
    </row>
    <row r="1038" customFormat="false" ht="15" hidden="false" customHeight="false" outlineLevel="0" collapsed="false">
      <c r="A1038" s="3" t="n">
        <v>1037</v>
      </c>
      <c r="B1038" s="3" t="n">
        <v>1036</v>
      </c>
      <c r="C1038" s="3" t="n">
        <v>5</v>
      </c>
      <c r="D1038" s="3" t="n">
        <v>4</v>
      </c>
      <c r="E1038" s="3" t="n">
        <v>0</v>
      </c>
      <c r="F1038" s="24" t="n">
        <v>0.51512605</v>
      </c>
    </row>
    <row r="1039" customFormat="false" ht="15" hidden="false" customHeight="false" outlineLevel="0" collapsed="false">
      <c r="A1039" s="3" t="n">
        <v>1038</v>
      </c>
      <c r="B1039" s="3" t="n">
        <v>1037</v>
      </c>
      <c r="C1039" s="3" t="n">
        <v>5</v>
      </c>
      <c r="D1039" s="3" t="n">
        <v>4</v>
      </c>
      <c r="E1039" s="3" t="n">
        <v>1</v>
      </c>
      <c r="F1039" s="24" t="n">
        <v>0.51512605</v>
      </c>
    </row>
    <row r="1040" customFormat="false" ht="15" hidden="false" customHeight="false" outlineLevel="0" collapsed="false">
      <c r="A1040" s="3" t="n">
        <v>1039</v>
      </c>
      <c r="B1040" s="3" t="n">
        <v>1038</v>
      </c>
      <c r="C1040" s="3" t="n">
        <v>5</v>
      </c>
      <c r="D1040" s="3" t="n">
        <v>4</v>
      </c>
      <c r="E1040" s="3" t="n">
        <v>2</v>
      </c>
      <c r="F1040" s="24" t="n">
        <v>0.749266505</v>
      </c>
    </row>
    <row r="1041" customFormat="false" ht="15" hidden="false" customHeight="false" outlineLevel="0" collapsed="false">
      <c r="A1041" s="3" t="n">
        <v>1040</v>
      </c>
      <c r="B1041" s="3" t="n">
        <v>1039</v>
      </c>
      <c r="C1041" s="3" t="n">
        <v>5</v>
      </c>
      <c r="D1041" s="3" t="n">
        <v>4</v>
      </c>
      <c r="E1041" s="3" t="n">
        <v>3</v>
      </c>
      <c r="F1041" s="24" t="n">
        <v>3.53567362</v>
      </c>
    </row>
    <row r="1042" customFormat="false" ht="15" hidden="false" customHeight="false" outlineLevel="0" collapsed="false">
      <c r="A1042" s="3" t="n">
        <v>1041</v>
      </c>
      <c r="B1042" s="3" t="n">
        <v>1040</v>
      </c>
      <c r="C1042" s="3" t="n">
        <v>5</v>
      </c>
      <c r="D1042" s="3" t="n">
        <v>4</v>
      </c>
      <c r="E1042" s="3" t="n">
        <v>4</v>
      </c>
      <c r="F1042" s="24" t="n">
        <v>3.34387994</v>
      </c>
    </row>
    <row r="1043" customFormat="false" ht="15" hidden="false" customHeight="false" outlineLevel="0" collapsed="false">
      <c r="A1043" s="3" t="n">
        <v>1042</v>
      </c>
      <c r="B1043" s="3" t="n">
        <v>1041</v>
      </c>
      <c r="C1043" s="3" t="n">
        <v>5</v>
      </c>
      <c r="D1043" s="3" t="n">
        <v>4</v>
      </c>
      <c r="E1043" s="3" t="n">
        <v>5</v>
      </c>
      <c r="F1043" s="24" t="n">
        <v>1.92483509</v>
      </c>
    </row>
    <row r="1044" customFormat="false" ht="15" hidden="false" customHeight="false" outlineLevel="0" collapsed="false">
      <c r="A1044" s="3" t="n">
        <v>1043</v>
      </c>
      <c r="B1044" s="3" t="n">
        <v>1042</v>
      </c>
      <c r="C1044" s="3" t="n">
        <v>5</v>
      </c>
      <c r="D1044" s="3" t="n">
        <v>4</v>
      </c>
      <c r="E1044" s="3" t="n">
        <v>6</v>
      </c>
      <c r="F1044" s="24" t="n">
        <v>0.47388339</v>
      </c>
    </row>
    <row r="1045" customFormat="false" ht="15" hidden="false" customHeight="false" outlineLevel="0" collapsed="false">
      <c r="A1045" s="3" t="n">
        <v>1044</v>
      </c>
      <c r="B1045" s="3" t="n">
        <v>1043</v>
      </c>
      <c r="C1045" s="3" t="n">
        <v>5</v>
      </c>
      <c r="D1045" s="3" t="n">
        <v>4</v>
      </c>
      <c r="E1045" s="3" t="n">
        <v>7</v>
      </c>
      <c r="F1045" s="24" t="n">
        <v>0.275041521</v>
      </c>
    </row>
    <row r="1046" customFormat="false" ht="15" hidden="false" customHeight="false" outlineLevel="0" collapsed="false">
      <c r="A1046" s="3" t="n">
        <v>1045</v>
      </c>
      <c r="B1046" s="3" t="n">
        <v>1044</v>
      </c>
      <c r="C1046" s="3" t="n">
        <v>5</v>
      </c>
      <c r="D1046" s="3" t="n">
        <v>4</v>
      </c>
      <c r="E1046" s="3" t="n">
        <v>8</v>
      </c>
      <c r="F1046" s="24" t="n">
        <v>0</v>
      </c>
    </row>
    <row r="1047" customFormat="false" ht="15" hidden="false" customHeight="false" outlineLevel="0" collapsed="false">
      <c r="A1047" s="3" t="n">
        <v>1046</v>
      </c>
      <c r="B1047" s="3" t="n">
        <v>1045</v>
      </c>
      <c r="C1047" s="3" t="n">
        <v>5</v>
      </c>
      <c r="D1047" s="3" t="n">
        <v>4</v>
      </c>
      <c r="E1047" s="3" t="n">
        <v>9</v>
      </c>
      <c r="F1047" s="24" t="n">
        <v>1.15162253</v>
      </c>
    </row>
    <row r="1048" customFormat="false" ht="15" hidden="false" customHeight="false" outlineLevel="0" collapsed="false">
      <c r="A1048" s="3" t="n">
        <v>1047</v>
      </c>
      <c r="B1048" s="3" t="n">
        <v>1046</v>
      </c>
      <c r="C1048" s="3" t="n">
        <v>5</v>
      </c>
      <c r="D1048" s="3" t="n">
        <v>4</v>
      </c>
      <c r="E1048" s="3" t="n">
        <v>10</v>
      </c>
      <c r="F1048" s="24" t="n">
        <v>0</v>
      </c>
    </row>
    <row r="1049" customFormat="false" ht="15" hidden="false" customHeight="false" outlineLevel="0" collapsed="false">
      <c r="A1049" s="3" t="n">
        <v>1048</v>
      </c>
      <c r="B1049" s="3" t="n">
        <v>1047</v>
      </c>
      <c r="C1049" s="3" t="n">
        <v>5</v>
      </c>
      <c r="D1049" s="3" t="n">
        <v>4</v>
      </c>
      <c r="E1049" s="3" t="n">
        <v>11</v>
      </c>
      <c r="F1049" s="24" t="n">
        <v>0.51512605</v>
      </c>
    </row>
    <row r="1050" customFormat="false" ht="15" hidden="false" customHeight="false" outlineLevel="0" collapsed="false">
      <c r="A1050" s="3" t="n">
        <v>1049</v>
      </c>
      <c r="B1050" s="3" t="n">
        <v>1048</v>
      </c>
      <c r="C1050" s="3" t="n">
        <v>5</v>
      </c>
      <c r="D1050" s="3" t="n">
        <v>4</v>
      </c>
      <c r="E1050" s="3" t="n">
        <v>12</v>
      </c>
      <c r="F1050" s="24" t="n">
        <v>0.51512605</v>
      </c>
    </row>
    <row r="1051" customFormat="false" ht="15" hidden="false" customHeight="false" outlineLevel="0" collapsed="false">
      <c r="A1051" s="3" t="n">
        <v>1050</v>
      </c>
      <c r="B1051" s="3" t="n">
        <v>1049</v>
      </c>
      <c r="C1051" s="3" t="n">
        <v>5</v>
      </c>
      <c r="D1051" s="3" t="n">
        <v>4</v>
      </c>
      <c r="E1051" s="3" t="n">
        <v>13</v>
      </c>
      <c r="F1051" s="24" t="n">
        <v>0.51512605</v>
      </c>
    </row>
    <row r="1052" customFormat="false" ht="15" hidden="false" customHeight="false" outlineLevel="0" collapsed="false">
      <c r="A1052" s="3" t="n">
        <v>1051</v>
      </c>
      <c r="B1052" s="3" t="n">
        <v>1050</v>
      </c>
      <c r="C1052" s="3" t="n">
        <v>5</v>
      </c>
      <c r="D1052" s="3" t="n">
        <v>5</v>
      </c>
      <c r="E1052" s="3" t="n">
        <v>0</v>
      </c>
      <c r="F1052" s="24" t="n">
        <v>0.51512605</v>
      </c>
    </row>
    <row r="1053" customFormat="false" ht="15" hidden="false" customHeight="false" outlineLevel="0" collapsed="false">
      <c r="A1053" s="3" t="n">
        <v>1052</v>
      </c>
      <c r="B1053" s="3" t="n">
        <v>1051</v>
      </c>
      <c r="C1053" s="3" t="n">
        <v>5</v>
      </c>
      <c r="D1053" s="3" t="n">
        <v>5</v>
      </c>
      <c r="E1053" s="3" t="n">
        <v>1</v>
      </c>
      <c r="F1053" s="24" t="n">
        <v>0.51512605</v>
      </c>
    </row>
    <row r="1054" customFormat="false" ht="15" hidden="false" customHeight="false" outlineLevel="0" collapsed="false">
      <c r="A1054" s="3" t="n">
        <v>1053</v>
      </c>
      <c r="B1054" s="3" t="n">
        <v>1052</v>
      </c>
      <c r="C1054" s="3" t="n">
        <v>5</v>
      </c>
      <c r="D1054" s="3" t="n">
        <v>5</v>
      </c>
      <c r="E1054" s="3" t="n">
        <v>2</v>
      </c>
      <c r="F1054" s="24" t="n">
        <v>0.80961585</v>
      </c>
    </row>
    <row r="1055" customFormat="false" ht="15" hidden="false" customHeight="false" outlineLevel="0" collapsed="false">
      <c r="A1055" s="3" t="n">
        <v>1054</v>
      </c>
      <c r="B1055" s="3" t="n">
        <v>1053</v>
      </c>
      <c r="C1055" s="3" t="n">
        <v>5</v>
      </c>
      <c r="D1055" s="3" t="n">
        <v>5</v>
      </c>
      <c r="E1055" s="3" t="n">
        <v>3</v>
      </c>
      <c r="F1055" s="24" t="n">
        <v>1.99164784</v>
      </c>
    </row>
    <row r="1056" customFormat="false" ht="15" hidden="false" customHeight="false" outlineLevel="0" collapsed="false">
      <c r="A1056" s="3" t="n">
        <v>1055</v>
      </c>
      <c r="B1056" s="3" t="n">
        <v>1054</v>
      </c>
      <c r="C1056" s="3" t="n">
        <v>5</v>
      </c>
      <c r="D1056" s="3" t="n">
        <v>5</v>
      </c>
      <c r="E1056" s="3" t="n">
        <v>4</v>
      </c>
      <c r="F1056" s="24" t="n">
        <v>2.41043139</v>
      </c>
    </row>
    <row r="1057" customFormat="false" ht="15" hidden="false" customHeight="false" outlineLevel="0" collapsed="false">
      <c r="A1057" s="3" t="n">
        <v>1056</v>
      </c>
      <c r="B1057" s="3" t="n">
        <v>1055</v>
      </c>
      <c r="C1057" s="3" t="n">
        <v>5</v>
      </c>
      <c r="D1057" s="3" t="n">
        <v>5</v>
      </c>
      <c r="E1057" s="3" t="n">
        <v>5</v>
      </c>
      <c r="F1057" s="24" t="n">
        <v>3.28555202</v>
      </c>
    </row>
    <row r="1058" customFormat="false" ht="15" hidden="false" customHeight="false" outlineLevel="0" collapsed="false">
      <c r="A1058" s="3" t="n">
        <v>1057</v>
      </c>
      <c r="B1058" s="3" t="n">
        <v>1056</v>
      </c>
      <c r="C1058" s="3" t="n">
        <v>5</v>
      </c>
      <c r="D1058" s="3" t="n">
        <v>5</v>
      </c>
      <c r="E1058" s="3" t="n">
        <v>6</v>
      </c>
      <c r="F1058" s="24" t="n">
        <v>4.10632038</v>
      </c>
    </row>
    <row r="1059" customFormat="false" ht="15" hidden="false" customHeight="false" outlineLevel="0" collapsed="false">
      <c r="A1059" s="3" t="n">
        <v>1058</v>
      </c>
      <c r="B1059" s="3" t="n">
        <v>1057</v>
      </c>
      <c r="C1059" s="3" t="n">
        <v>5</v>
      </c>
      <c r="D1059" s="3" t="n">
        <v>5</v>
      </c>
      <c r="E1059" s="3" t="n">
        <v>7</v>
      </c>
      <c r="F1059" s="24" t="n">
        <v>3.81269598</v>
      </c>
    </row>
    <row r="1060" customFormat="false" ht="15" hidden="false" customHeight="false" outlineLevel="0" collapsed="false">
      <c r="A1060" s="3" t="n">
        <v>1059</v>
      </c>
      <c r="B1060" s="3" t="n">
        <v>1058</v>
      </c>
      <c r="C1060" s="3" t="n">
        <v>5</v>
      </c>
      <c r="D1060" s="3" t="n">
        <v>5</v>
      </c>
      <c r="E1060" s="3" t="n">
        <v>8</v>
      </c>
      <c r="F1060" s="24" t="n">
        <v>4.61280918</v>
      </c>
    </row>
    <row r="1061" customFormat="false" ht="15" hidden="false" customHeight="false" outlineLevel="0" collapsed="false">
      <c r="A1061" s="3" t="n">
        <v>1060</v>
      </c>
      <c r="B1061" s="3" t="n">
        <v>1059</v>
      </c>
      <c r="C1061" s="3" t="n">
        <v>5</v>
      </c>
      <c r="D1061" s="3" t="n">
        <v>5</v>
      </c>
      <c r="E1061" s="3" t="n">
        <v>9</v>
      </c>
      <c r="F1061" s="24" t="n">
        <v>2.37968683</v>
      </c>
    </row>
    <row r="1062" customFormat="false" ht="15" hidden="false" customHeight="false" outlineLevel="0" collapsed="false">
      <c r="A1062" s="3" t="n">
        <v>1061</v>
      </c>
      <c r="B1062" s="3" t="n">
        <v>1060</v>
      </c>
      <c r="C1062" s="3" t="n">
        <v>5</v>
      </c>
      <c r="D1062" s="3" t="n">
        <v>5</v>
      </c>
      <c r="E1062" s="3" t="n">
        <v>10</v>
      </c>
      <c r="F1062" s="24" t="n">
        <v>1.73012567</v>
      </c>
    </row>
    <row r="1063" customFormat="false" ht="15" hidden="false" customHeight="false" outlineLevel="0" collapsed="false">
      <c r="A1063" s="3" t="n">
        <v>1062</v>
      </c>
      <c r="B1063" s="3" t="n">
        <v>1061</v>
      </c>
      <c r="C1063" s="3" t="n">
        <v>5</v>
      </c>
      <c r="D1063" s="3" t="n">
        <v>5</v>
      </c>
      <c r="E1063" s="3" t="n">
        <v>11</v>
      </c>
      <c r="F1063" s="24" t="n">
        <v>1.00360608</v>
      </c>
    </row>
    <row r="1064" customFormat="false" ht="15" hidden="false" customHeight="false" outlineLevel="0" collapsed="false">
      <c r="A1064" s="3" t="n">
        <v>1063</v>
      </c>
      <c r="B1064" s="3" t="n">
        <v>1062</v>
      </c>
      <c r="C1064" s="3" t="n">
        <v>5</v>
      </c>
      <c r="D1064" s="3" t="n">
        <v>5</v>
      </c>
      <c r="E1064" s="3" t="n">
        <v>12</v>
      </c>
      <c r="F1064" s="24" t="n">
        <v>0.51512605</v>
      </c>
    </row>
    <row r="1065" customFormat="false" ht="15" hidden="false" customHeight="false" outlineLevel="0" collapsed="false">
      <c r="A1065" s="3" t="n">
        <v>1064</v>
      </c>
      <c r="B1065" s="3" t="n">
        <v>1063</v>
      </c>
      <c r="C1065" s="3" t="n">
        <v>5</v>
      </c>
      <c r="D1065" s="3" t="n">
        <v>5</v>
      </c>
      <c r="E1065" s="3" t="n">
        <v>13</v>
      </c>
      <c r="F1065" s="24" t="n">
        <v>0.51512605</v>
      </c>
    </row>
    <row r="1066" customFormat="false" ht="15" hidden="false" customHeight="false" outlineLevel="0" collapsed="false">
      <c r="A1066" s="3" t="n">
        <v>1065</v>
      </c>
      <c r="B1066" s="3" t="n">
        <v>1064</v>
      </c>
      <c r="C1066" s="3" t="n">
        <v>5</v>
      </c>
      <c r="D1066" s="3" t="n">
        <v>6</v>
      </c>
      <c r="E1066" s="3" t="n">
        <v>0</v>
      </c>
      <c r="F1066" s="24" t="n">
        <v>0.51512605</v>
      </c>
    </row>
    <row r="1067" customFormat="false" ht="15" hidden="false" customHeight="false" outlineLevel="0" collapsed="false">
      <c r="A1067" s="3" t="n">
        <v>1066</v>
      </c>
      <c r="B1067" s="3" t="n">
        <v>1065</v>
      </c>
      <c r="C1067" s="3" t="n">
        <v>5</v>
      </c>
      <c r="D1067" s="3" t="n">
        <v>6</v>
      </c>
      <c r="E1067" s="3" t="n">
        <v>1</v>
      </c>
      <c r="F1067" s="24" t="n">
        <v>0.51512605</v>
      </c>
    </row>
    <row r="1068" customFormat="false" ht="15" hidden="false" customHeight="false" outlineLevel="0" collapsed="false">
      <c r="A1068" s="3" t="n">
        <v>1067</v>
      </c>
      <c r="B1068" s="3" t="n">
        <v>1066</v>
      </c>
      <c r="C1068" s="3" t="n">
        <v>5</v>
      </c>
      <c r="D1068" s="3" t="n">
        <v>6</v>
      </c>
      <c r="E1068" s="3" t="n">
        <v>2</v>
      </c>
      <c r="F1068" s="24" t="n">
        <v>0.51512605</v>
      </c>
    </row>
    <row r="1069" customFormat="false" ht="15" hidden="false" customHeight="false" outlineLevel="0" collapsed="false">
      <c r="A1069" s="3" t="n">
        <v>1068</v>
      </c>
      <c r="B1069" s="3" t="n">
        <v>1067</v>
      </c>
      <c r="C1069" s="3" t="n">
        <v>5</v>
      </c>
      <c r="D1069" s="3" t="n">
        <v>6</v>
      </c>
      <c r="E1069" s="3" t="n">
        <v>3</v>
      </c>
      <c r="F1069" s="24" t="n">
        <v>0.51512605</v>
      </c>
    </row>
    <row r="1070" customFormat="false" ht="15" hidden="false" customHeight="false" outlineLevel="0" collapsed="false">
      <c r="A1070" s="3" t="n">
        <v>1069</v>
      </c>
      <c r="B1070" s="3" t="n">
        <v>1068</v>
      </c>
      <c r="C1070" s="3" t="n">
        <v>5</v>
      </c>
      <c r="D1070" s="3" t="n">
        <v>6</v>
      </c>
      <c r="E1070" s="3" t="n">
        <v>4</v>
      </c>
      <c r="F1070" s="24" t="n">
        <v>0.51512605</v>
      </c>
    </row>
    <row r="1071" customFormat="false" ht="15" hidden="false" customHeight="false" outlineLevel="0" collapsed="false">
      <c r="A1071" s="3" t="n">
        <v>1070</v>
      </c>
      <c r="B1071" s="3" t="n">
        <v>1069</v>
      </c>
      <c r="C1071" s="3" t="n">
        <v>5</v>
      </c>
      <c r="D1071" s="3" t="n">
        <v>6</v>
      </c>
      <c r="E1071" s="3" t="n">
        <v>5</v>
      </c>
      <c r="F1071" s="24" t="n">
        <v>0.51512605</v>
      </c>
    </row>
    <row r="1072" customFormat="false" ht="15" hidden="false" customHeight="false" outlineLevel="0" collapsed="false">
      <c r="A1072" s="3" t="n">
        <v>1071</v>
      </c>
      <c r="B1072" s="3" t="n">
        <v>1070</v>
      </c>
      <c r="C1072" s="3" t="n">
        <v>5</v>
      </c>
      <c r="D1072" s="3" t="n">
        <v>6</v>
      </c>
      <c r="E1072" s="3" t="n">
        <v>6</v>
      </c>
      <c r="F1072" s="24" t="n">
        <v>0.51512605</v>
      </c>
    </row>
    <row r="1073" customFormat="false" ht="15" hidden="false" customHeight="false" outlineLevel="0" collapsed="false">
      <c r="A1073" s="3" t="n">
        <v>1072</v>
      </c>
      <c r="B1073" s="3" t="n">
        <v>1071</v>
      </c>
      <c r="C1073" s="3" t="n">
        <v>5</v>
      </c>
      <c r="D1073" s="3" t="n">
        <v>6</v>
      </c>
      <c r="E1073" s="3" t="n">
        <v>7</v>
      </c>
      <c r="F1073" s="24" t="n">
        <v>0.810432971</v>
      </c>
    </row>
    <row r="1074" customFormat="false" ht="15" hidden="false" customHeight="false" outlineLevel="0" collapsed="false">
      <c r="A1074" s="3" t="n">
        <v>1073</v>
      </c>
      <c r="B1074" s="3" t="n">
        <v>1072</v>
      </c>
      <c r="C1074" s="3" t="n">
        <v>5</v>
      </c>
      <c r="D1074" s="3" t="n">
        <v>6</v>
      </c>
      <c r="E1074" s="3" t="n">
        <v>8</v>
      </c>
      <c r="F1074" s="24" t="n">
        <v>0.917276323</v>
      </c>
    </row>
    <row r="1075" customFormat="false" ht="15" hidden="false" customHeight="false" outlineLevel="0" collapsed="false">
      <c r="A1075" s="3" t="n">
        <v>1074</v>
      </c>
      <c r="B1075" s="3" t="n">
        <v>1073</v>
      </c>
      <c r="C1075" s="3" t="n">
        <v>5</v>
      </c>
      <c r="D1075" s="3" t="n">
        <v>6</v>
      </c>
      <c r="E1075" s="3" t="n">
        <v>9</v>
      </c>
      <c r="F1075" s="24" t="n">
        <v>0.0813879371</v>
      </c>
    </row>
    <row r="1076" customFormat="false" ht="15" hidden="false" customHeight="false" outlineLevel="0" collapsed="false">
      <c r="A1076" s="3" t="n">
        <v>1075</v>
      </c>
      <c r="B1076" s="3" t="n">
        <v>1074</v>
      </c>
      <c r="C1076" s="3" t="n">
        <v>5</v>
      </c>
      <c r="D1076" s="3" t="n">
        <v>6</v>
      </c>
      <c r="E1076" s="3" t="n">
        <v>10</v>
      </c>
      <c r="F1076" s="24" t="n">
        <v>1.74111176</v>
      </c>
    </row>
    <row r="1077" customFormat="false" ht="15" hidden="false" customHeight="false" outlineLevel="0" collapsed="false">
      <c r="A1077" s="3" t="n">
        <v>1076</v>
      </c>
      <c r="B1077" s="3" t="n">
        <v>1075</v>
      </c>
      <c r="C1077" s="3" t="n">
        <v>5</v>
      </c>
      <c r="D1077" s="3" t="n">
        <v>6</v>
      </c>
      <c r="E1077" s="3" t="n">
        <v>11</v>
      </c>
      <c r="F1077" s="24" t="n">
        <v>0.582824051</v>
      </c>
    </row>
    <row r="1078" customFormat="false" ht="15" hidden="false" customHeight="false" outlineLevel="0" collapsed="false">
      <c r="A1078" s="3" t="n">
        <v>1077</v>
      </c>
      <c r="B1078" s="3" t="n">
        <v>1076</v>
      </c>
      <c r="C1078" s="3" t="n">
        <v>5</v>
      </c>
      <c r="D1078" s="3" t="n">
        <v>6</v>
      </c>
      <c r="E1078" s="3" t="n">
        <v>12</v>
      </c>
      <c r="F1078" s="24" t="n">
        <v>0.51512605</v>
      </c>
    </row>
    <row r="1079" customFormat="false" ht="15" hidden="false" customHeight="false" outlineLevel="0" collapsed="false">
      <c r="A1079" s="3" t="n">
        <v>1078</v>
      </c>
      <c r="B1079" s="3" t="n">
        <v>1077</v>
      </c>
      <c r="C1079" s="3" t="n">
        <v>5</v>
      </c>
      <c r="D1079" s="3" t="n">
        <v>6</v>
      </c>
      <c r="E1079" s="3" t="n">
        <v>13</v>
      </c>
      <c r="F1079" s="24" t="n">
        <v>0.51512605</v>
      </c>
    </row>
    <row r="1080" customFormat="false" ht="15" hidden="false" customHeight="false" outlineLevel="0" collapsed="false">
      <c r="A1080" s="3" t="n">
        <v>1079</v>
      </c>
      <c r="B1080" s="3" t="n">
        <v>1078</v>
      </c>
      <c r="C1080" s="3" t="n">
        <v>5</v>
      </c>
      <c r="D1080" s="3" t="n">
        <v>7</v>
      </c>
      <c r="E1080" s="3" t="n">
        <v>0</v>
      </c>
      <c r="F1080" s="24" t="n">
        <v>0.51512605</v>
      </c>
    </row>
    <row r="1081" customFormat="false" ht="15" hidden="false" customHeight="false" outlineLevel="0" collapsed="false">
      <c r="A1081" s="3" t="n">
        <v>1080</v>
      </c>
      <c r="B1081" s="3" t="n">
        <v>1079</v>
      </c>
      <c r="C1081" s="3" t="n">
        <v>5</v>
      </c>
      <c r="D1081" s="3" t="n">
        <v>7</v>
      </c>
      <c r="E1081" s="3" t="n">
        <v>1</v>
      </c>
      <c r="F1081" s="24" t="n">
        <v>0.51512605</v>
      </c>
    </row>
    <row r="1082" customFormat="false" ht="15" hidden="false" customHeight="false" outlineLevel="0" collapsed="false">
      <c r="A1082" s="3" t="n">
        <v>1081</v>
      </c>
      <c r="B1082" s="3" t="n">
        <v>1080</v>
      </c>
      <c r="C1082" s="3" t="n">
        <v>5</v>
      </c>
      <c r="D1082" s="3" t="n">
        <v>7</v>
      </c>
      <c r="E1082" s="3" t="n">
        <v>2</v>
      </c>
      <c r="F1082" s="24" t="n">
        <v>0.51512605</v>
      </c>
    </row>
    <row r="1083" customFormat="false" ht="15" hidden="false" customHeight="false" outlineLevel="0" collapsed="false">
      <c r="A1083" s="3" t="n">
        <v>1082</v>
      </c>
      <c r="B1083" s="3" t="n">
        <v>1081</v>
      </c>
      <c r="C1083" s="3" t="n">
        <v>5</v>
      </c>
      <c r="D1083" s="3" t="n">
        <v>7</v>
      </c>
      <c r="E1083" s="3" t="n">
        <v>3</v>
      </c>
      <c r="F1083" s="24" t="n">
        <v>0.51512605</v>
      </c>
    </row>
    <row r="1084" customFormat="false" ht="15" hidden="false" customHeight="false" outlineLevel="0" collapsed="false">
      <c r="A1084" s="3" t="n">
        <v>1083</v>
      </c>
      <c r="B1084" s="3" t="n">
        <v>1082</v>
      </c>
      <c r="C1084" s="3" t="n">
        <v>5</v>
      </c>
      <c r="D1084" s="3" t="n">
        <v>7</v>
      </c>
      <c r="E1084" s="3" t="n">
        <v>4</v>
      </c>
      <c r="F1084" s="24" t="n">
        <v>0.51512605</v>
      </c>
    </row>
    <row r="1085" customFormat="false" ht="15" hidden="false" customHeight="false" outlineLevel="0" collapsed="false">
      <c r="A1085" s="3" t="n">
        <v>1084</v>
      </c>
      <c r="B1085" s="3" t="n">
        <v>1083</v>
      </c>
      <c r="C1085" s="3" t="n">
        <v>5</v>
      </c>
      <c r="D1085" s="3" t="n">
        <v>7</v>
      </c>
      <c r="E1085" s="3" t="n">
        <v>5</v>
      </c>
      <c r="F1085" s="24" t="n">
        <v>0.51512605</v>
      </c>
    </row>
    <row r="1086" customFormat="false" ht="15" hidden="false" customHeight="false" outlineLevel="0" collapsed="false">
      <c r="A1086" s="3" t="n">
        <v>1085</v>
      </c>
      <c r="B1086" s="3" t="n">
        <v>1084</v>
      </c>
      <c r="C1086" s="3" t="n">
        <v>5</v>
      </c>
      <c r="D1086" s="3" t="n">
        <v>7</v>
      </c>
      <c r="E1086" s="3" t="n">
        <v>6</v>
      </c>
      <c r="F1086" s="24" t="n">
        <v>0.51512605</v>
      </c>
    </row>
    <row r="1087" customFormat="false" ht="15" hidden="false" customHeight="false" outlineLevel="0" collapsed="false">
      <c r="A1087" s="3" t="n">
        <v>1086</v>
      </c>
      <c r="B1087" s="3" t="n">
        <v>1085</v>
      </c>
      <c r="C1087" s="3" t="n">
        <v>5</v>
      </c>
      <c r="D1087" s="3" t="n">
        <v>7</v>
      </c>
      <c r="E1087" s="3" t="n">
        <v>7</v>
      </c>
      <c r="F1087" s="24" t="n">
        <v>0.560172856</v>
      </c>
    </row>
    <row r="1088" customFormat="false" ht="15" hidden="false" customHeight="false" outlineLevel="0" collapsed="false">
      <c r="A1088" s="3" t="n">
        <v>1087</v>
      </c>
      <c r="B1088" s="3" t="n">
        <v>1086</v>
      </c>
      <c r="C1088" s="3" t="n">
        <v>5</v>
      </c>
      <c r="D1088" s="3" t="n">
        <v>7</v>
      </c>
      <c r="E1088" s="3" t="n">
        <v>8</v>
      </c>
      <c r="F1088" s="24" t="n">
        <v>0</v>
      </c>
    </row>
    <row r="1089" customFormat="false" ht="15" hidden="false" customHeight="false" outlineLevel="0" collapsed="false">
      <c r="A1089" s="3" t="n">
        <v>1088</v>
      </c>
      <c r="B1089" s="3" t="n">
        <v>1087</v>
      </c>
      <c r="C1089" s="3" t="n">
        <v>5</v>
      </c>
      <c r="D1089" s="3" t="n">
        <v>7</v>
      </c>
      <c r="E1089" s="3" t="n">
        <v>9</v>
      </c>
      <c r="F1089" s="24" t="n">
        <v>1.86674774</v>
      </c>
    </row>
    <row r="1090" customFormat="false" ht="15" hidden="false" customHeight="false" outlineLevel="0" collapsed="false">
      <c r="A1090" s="3" t="n">
        <v>1089</v>
      </c>
      <c r="B1090" s="3" t="n">
        <v>1088</v>
      </c>
      <c r="C1090" s="3" t="n">
        <v>5</v>
      </c>
      <c r="D1090" s="3" t="n">
        <v>7</v>
      </c>
      <c r="E1090" s="3" t="n">
        <v>10</v>
      </c>
      <c r="F1090" s="24" t="n">
        <v>1.79324794</v>
      </c>
    </row>
    <row r="1091" customFormat="false" ht="15" hidden="false" customHeight="false" outlineLevel="0" collapsed="false">
      <c r="A1091" s="3" t="n">
        <v>1090</v>
      </c>
      <c r="B1091" s="3" t="n">
        <v>1089</v>
      </c>
      <c r="C1091" s="3" t="n">
        <v>5</v>
      </c>
      <c r="D1091" s="3" t="n">
        <v>7</v>
      </c>
      <c r="E1091" s="3" t="n">
        <v>11</v>
      </c>
      <c r="F1091" s="24" t="n">
        <v>0.51512605</v>
      </c>
    </row>
    <row r="1092" customFormat="false" ht="15" hidden="false" customHeight="false" outlineLevel="0" collapsed="false">
      <c r="A1092" s="3" t="n">
        <v>1091</v>
      </c>
      <c r="B1092" s="3" t="n">
        <v>1090</v>
      </c>
      <c r="C1092" s="3" t="n">
        <v>5</v>
      </c>
      <c r="D1092" s="3" t="n">
        <v>7</v>
      </c>
      <c r="E1092" s="3" t="n">
        <v>12</v>
      </c>
      <c r="F1092" s="24" t="n">
        <v>0.51512605</v>
      </c>
    </row>
    <row r="1093" customFormat="false" ht="15" hidden="false" customHeight="false" outlineLevel="0" collapsed="false">
      <c r="A1093" s="3" t="n">
        <v>1092</v>
      </c>
      <c r="B1093" s="3" t="n">
        <v>1091</v>
      </c>
      <c r="C1093" s="3" t="n">
        <v>5</v>
      </c>
      <c r="D1093" s="3" t="n">
        <v>7</v>
      </c>
      <c r="E1093" s="3" t="n">
        <v>13</v>
      </c>
      <c r="F1093" s="24" t="n">
        <v>0.51512605</v>
      </c>
    </row>
    <row r="1094" customFormat="false" ht="15" hidden="false" customHeight="false" outlineLevel="0" collapsed="false">
      <c r="A1094" s="3" t="n">
        <v>1093</v>
      </c>
      <c r="B1094" s="3" t="n">
        <v>1092</v>
      </c>
      <c r="C1094" s="3" t="n">
        <v>5</v>
      </c>
      <c r="D1094" s="3" t="n">
        <v>8</v>
      </c>
      <c r="E1094" s="3" t="n">
        <v>0</v>
      </c>
      <c r="F1094" s="24" t="n">
        <v>0.51512605</v>
      </c>
    </row>
    <row r="1095" customFormat="false" ht="15" hidden="false" customHeight="false" outlineLevel="0" collapsed="false">
      <c r="A1095" s="3" t="n">
        <v>1094</v>
      </c>
      <c r="B1095" s="3" t="n">
        <v>1093</v>
      </c>
      <c r="C1095" s="3" t="n">
        <v>5</v>
      </c>
      <c r="D1095" s="3" t="n">
        <v>8</v>
      </c>
      <c r="E1095" s="3" t="n">
        <v>1</v>
      </c>
      <c r="F1095" s="24" t="n">
        <v>0.51512605</v>
      </c>
    </row>
    <row r="1096" customFormat="false" ht="15" hidden="false" customHeight="false" outlineLevel="0" collapsed="false">
      <c r="A1096" s="3" t="n">
        <v>1095</v>
      </c>
      <c r="B1096" s="3" t="n">
        <v>1094</v>
      </c>
      <c r="C1096" s="3" t="n">
        <v>5</v>
      </c>
      <c r="D1096" s="3" t="n">
        <v>8</v>
      </c>
      <c r="E1096" s="3" t="n">
        <v>2</v>
      </c>
      <c r="F1096" s="24" t="n">
        <v>0.51512605</v>
      </c>
    </row>
    <row r="1097" customFormat="false" ht="15" hidden="false" customHeight="false" outlineLevel="0" collapsed="false">
      <c r="A1097" s="3" t="n">
        <v>1096</v>
      </c>
      <c r="B1097" s="3" t="n">
        <v>1095</v>
      </c>
      <c r="C1097" s="3" t="n">
        <v>5</v>
      </c>
      <c r="D1097" s="3" t="n">
        <v>8</v>
      </c>
      <c r="E1097" s="3" t="n">
        <v>3</v>
      </c>
      <c r="F1097" s="24" t="n">
        <v>0.51512605</v>
      </c>
    </row>
    <row r="1098" customFormat="false" ht="15" hidden="false" customHeight="false" outlineLevel="0" collapsed="false">
      <c r="A1098" s="3" t="n">
        <v>1097</v>
      </c>
      <c r="B1098" s="3" t="n">
        <v>1096</v>
      </c>
      <c r="C1098" s="3" t="n">
        <v>5</v>
      </c>
      <c r="D1098" s="3" t="n">
        <v>8</v>
      </c>
      <c r="E1098" s="3" t="n">
        <v>4</v>
      </c>
      <c r="F1098" s="24" t="n">
        <v>0.51512605</v>
      </c>
    </row>
    <row r="1099" customFormat="false" ht="15" hidden="false" customHeight="false" outlineLevel="0" collapsed="false">
      <c r="A1099" s="3" t="n">
        <v>1098</v>
      </c>
      <c r="B1099" s="3" t="n">
        <v>1097</v>
      </c>
      <c r="C1099" s="3" t="n">
        <v>5</v>
      </c>
      <c r="D1099" s="3" t="n">
        <v>8</v>
      </c>
      <c r="E1099" s="3" t="n">
        <v>5</v>
      </c>
      <c r="F1099" s="24" t="n">
        <v>0.51512605</v>
      </c>
    </row>
    <row r="1100" customFormat="false" ht="15" hidden="false" customHeight="false" outlineLevel="0" collapsed="false">
      <c r="A1100" s="3" t="n">
        <v>1099</v>
      </c>
      <c r="B1100" s="3" t="n">
        <v>1098</v>
      </c>
      <c r="C1100" s="3" t="n">
        <v>5</v>
      </c>
      <c r="D1100" s="3" t="n">
        <v>8</v>
      </c>
      <c r="E1100" s="3" t="n">
        <v>6</v>
      </c>
      <c r="F1100" s="24" t="n">
        <v>0.890516281</v>
      </c>
    </row>
    <row r="1101" customFormat="false" ht="15" hidden="false" customHeight="false" outlineLevel="0" collapsed="false">
      <c r="A1101" s="3" t="n">
        <v>1100</v>
      </c>
      <c r="B1101" s="3" t="n">
        <v>1099</v>
      </c>
      <c r="C1101" s="3" t="n">
        <v>5</v>
      </c>
      <c r="D1101" s="3" t="n">
        <v>8</v>
      </c>
      <c r="E1101" s="3" t="n">
        <v>7</v>
      </c>
      <c r="F1101" s="24" t="n">
        <v>1.04615939</v>
      </c>
    </row>
    <row r="1102" customFormat="false" ht="15" hidden="false" customHeight="false" outlineLevel="0" collapsed="false">
      <c r="A1102" s="3" t="n">
        <v>1101</v>
      </c>
      <c r="B1102" s="3" t="n">
        <v>1100</v>
      </c>
      <c r="C1102" s="3" t="n">
        <v>5</v>
      </c>
      <c r="D1102" s="3" t="n">
        <v>8</v>
      </c>
      <c r="E1102" s="3" t="n">
        <v>8</v>
      </c>
      <c r="F1102" s="24" t="n">
        <v>0.599289596</v>
      </c>
    </row>
    <row r="1103" customFormat="false" ht="15" hidden="false" customHeight="false" outlineLevel="0" collapsed="false">
      <c r="A1103" s="3" t="n">
        <v>1102</v>
      </c>
      <c r="B1103" s="3" t="n">
        <v>1101</v>
      </c>
      <c r="C1103" s="3" t="n">
        <v>5</v>
      </c>
      <c r="D1103" s="3" t="n">
        <v>8</v>
      </c>
      <c r="E1103" s="3" t="n">
        <v>9</v>
      </c>
      <c r="F1103" s="24" t="n">
        <v>1.58592594</v>
      </c>
    </row>
    <row r="1104" customFormat="false" ht="15" hidden="false" customHeight="false" outlineLevel="0" collapsed="false">
      <c r="A1104" s="3" t="n">
        <v>1103</v>
      </c>
      <c r="B1104" s="3" t="n">
        <v>1102</v>
      </c>
      <c r="C1104" s="3" t="n">
        <v>5</v>
      </c>
      <c r="D1104" s="3" t="n">
        <v>8</v>
      </c>
      <c r="E1104" s="3" t="n">
        <v>10</v>
      </c>
      <c r="F1104" s="24" t="n">
        <v>0.533931017</v>
      </c>
    </row>
    <row r="1105" customFormat="false" ht="15" hidden="false" customHeight="false" outlineLevel="0" collapsed="false">
      <c r="A1105" s="3" t="n">
        <v>1104</v>
      </c>
      <c r="B1105" s="3" t="n">
        <v>1103</v>
      </c>
      <c r="C1105" s="3" t="n">
        <v>5</v>
      </c>
      <c r="D1105" s="3" t="n">
        <v>8</v>
      </c>
      <c r="E1105" s="3" t="n">
        <v>11</v>
      </c>
      <c r="F1105" s="24" t="n">
        <v>0.51512605</v>
      </c>
    </row>
    <row r="1106" customFormat="false" ht="15" hidden="false" customHeight="false" outlineLevel="0" collapsed="false">
      <c r="A1106" s="3" t="n">
        <v>1105</v>
      </c>
      <c r="B1106" s="3" t="n">
        <v>1104</v>
      </c>
      <c r="C1106" s="3" t="n">
        <v>5</v>
      </c>
      <c r="D1106" s="3" t="n">
        <v>8</v>
      </c>
      <c r="E1106" s="3" t="n">
        <v>12</v>
      </c>
      <c r="F1106" s="24" t="n">
        <v>0.51512605</v>
      </c>
    </row>
    <row r="1107" customFormat="false" ht="15" hidden="false" customHeight="false" outlineLevel="0" collapsed="false">
      <c r="A1107" s="3" t="n">
        <v>1106</v>
      </c>
      <c r="B1107" s="3" t="n">
        <v>1105</v>
      </c>
      <c r="C1107" s="3" t="n">
        <v>5</v>
      </c>
      <c r="D1107" s="3" t="n">
        <v>8</v>
      </c>
      <c r="E1107" s="3" t="n">
        <v>13</v>
      </c>
      <c r="F1107" s="24" t="n">
        <v>0.51512605</v>
      </c>
    </row>
    <row r="1108" customFormat="false" ht="15" hidden="false" customHeight="false" outlineLevel="0" collapsed="false">
      <c r="A1108" s="3" t="n">
        <v>1107</v>
      </c>
      <c r="B1108" s="3" t="n">
        <v>1106</v>
      </c>
      <c r="C1108" s="3" t="n">
        <v>5</v>
      </c>
      <c r="D1108" s="3" t="n">
        <v>9</v>
      </c>
      <c r="E1108" s="3" t="n">
        <v>0</v>
      </c>
      <c r="F1108" s="24" t="n">
        <v>0.51512605</v>
      </c>
    </row>
    <row r="1109" customFormat="false" ht="15" hidden="false" customHeight="false" outlineLevel="0" collapsed="false">
      <c r="A1109" s="3" t="n">
        <v>1108</v>
      </c>
      <c r="B1109" s="3" t="n">
        <v>1107</v>
      </c>
      <c r="C1109" s="3" t="n">
        <v>5</v>
      </c>
      <c r="D1109" s="3" t="n">
        <v>9</v>
      </c>
      <c r="E1109" s="3" t="n">
        <v>1</v>
      </c>
      <c r="F1109" s="24" t="n">
        <v>0.51512605</v>
      </c>
    </row>
    <row r="1110" customFormat="false" ht="15" hidden="false" customHeight="false" outlineLevel="0" collapsed="false">
      <c r="A1110" s="3" t="n">
        <v>1109</v>
      </c>
      <c r="B1110" s="3" t="n">
        <v>1108</v>
      </c>
      <c r="C1110" s="3" t="n">
        <v>5</v>
      </c>
      <c r="D1110" s="3" t="n">
        <v>9</v>
      </c>
      <c r="E1110" s="3" t="n">
        <v>2</v>
      </c>
      <c r="F1110" s="24" t="n">
        <v>0.51512605</v>
      </c>
    </row>
    <row r="1111" customFormat="false" ht="15" hidden="false" customHeight="false" outlineLevel="0" collapsed="false">
      <c r="A1111" s="3" t="n">
        <v>1110</v>
      </c>
      <c r="B1111" s="3" t="n">
        <v>1109</v>
      </c>
      <c r="C1111" s="3" t="n">
        <v>5</v>
      </c>
      <c r="D1111" s="3" t="n">
        <v>9</v>
      </c>
      <c r="E1111" s="3" t="n">
        <v>3</v>
      </c>
      <c r="F1111" s="24" t="n">
        <v>0.51512605</v>
      </c>
    </row>
    <row r="1112" customFormat="false" ht="15" hidden="false" customHeight="false" outlineLevel="0" collapsed="false">
      <c r="A1112" s="3" t="n">
        <v>1111</v>
      </c>
      <c r="B1112" s="3" t="n">
        <v>1110</v>
      </c>
      <c r="C1112" s="3" t="n">
        <v>5</v>
      </c>
      <c r="D1112" s="3" t="n">
        <v>9</v>
      </c>
      <c r="E1112" s="3" t="n">
        <v>4</v>
      </c>
      <c r="F1112" s="24" t="n">
        <v>0.51512605</v>
      </c>
    </row>
    <row r="1113" customFormat="false" ht="15" hidden="false" customHeight="false" outlineLevel="0" collapsed="false">
      <c r="A1113" s="3" t="n">
        <v>1112</v>
      </c>
      <c r="B1113" s="3" t="n">
        <v>1111</v>
      </c>
      <c r="C1113" s="3" t="n">
        <v>5</v>
      </c>
      <c r="D1113" s="3" t="n">
        <v>9</v>
      </c>
      <c r="E1113" s="3" t="n">
        <v>5</v>
      </c>
      <c r="F1113" s="24" t="n">
        <v>0.530141652</v>
      </c>
    </row>
    <row r="1114" customFormat="false" ht="15" hidden="false" customHeight="false" outlineLevel="0" collapsed="false">
      <c r="A1114" s="3" t="n">
        <v>1113</v>
      </c>
      <c r="B1114" s="3" t="n">
        <v>1112</v>
      </c>
      <c r="C1114" s="3" t="n">
        <v>5</v>
      </c>
      <c r="D1114" s="3" t="n">
        <v>9</v>
      </c>
      <c r="E1114" s="3" t="n">
        <v>6</v>
      </c>
      <c r="F1114" s="24" t="n">
        <v>1.2954576</v>
      </c>
    </row>
    <row r="1115" customFormat="false" ht="15" hidden="false" customHeight="false" outlineLevel="0" collapsed="false">
      <c r="A1115" s="3" t="n">
        <v>1114</v>
      </c>
      <c r="B1115" s="3" t="n">
        <v>1113</v>
      </c>
      <c r="C1115" s="3" t="n">
        <v>5</v>
      </c>
      <c r="D1115" s="3" t="n">
        <v>9</v>
      </c>
      <c r="E1115" s="3" t="n">
        <v>7</v>
      </c>
      <c r="F1115" s="24" t="n">
        <v>0</v>
      </c>
    </row>
    <row r="1116" customFormat="false" ht="15" hidden="false" customHeight="false" outlineLevel="0" collapsed="false">
      <c r="A1116" s="3" t="n">
        <v>1115</v>
      </c>
      <c r="B1116" s="3" t="n">
        <v>1114</v>
      </c>
      <c r="C1116" s="3" t="n">
        <v>5</v>
      </c>
      <c r="D1116" s="3" t="n">
        <v>9</v>
      </c>
      <c r="E1116" s="3" t="n">
        <v>8</v>
      </c>
      <c r="F1116" s="24" t="n">
        <v>1.74470067</v>
      </c>
    </row>
    <row r="1117" customFormat="false" ht="15" hidden="false" customHeight="false" outlineLevel="0" collapsed="false">
      <c r="A1117" s="3" t="n">
        <v>1116</v>
      </c>
      <c r="B1117" s="3" t="n">
        <v>1115</v>
      </c>
      <c r="C1117" s="3" t="n">
        <v>5</v>
      </c>
      <c r="D1117" s="3" t="n">
        <v>9</v>
      </c>
      <c r="E1117" s="3" t="n">
        <v>9</v>
      </c>
      <c r="F1117" s="24" t="n">
        <v>1.27507782</v>
      </c>
    </row>
    <row r="1118" customFormat="false" ht="15" hidden="false" customHeight="false" outlineLevel="0" collapsed="false">
      <c r="A1118" s="3" t="n">
        <v>1117</v>
      </c>
      <c r="B1118" s="3" t="n">
        <v>1116</v>
      </c>
      <c r="C1118" s="3" t="n">
        <v>5</v>
      </c>
      <c r="D1118" s="3" t="n">
        <v>9</v>
      </c>
      <c r="E1118" s="3" t="n">
        <v>10</v>
      </c>
      <c r="F1118" s="24" t="n">
        <v>0.51512605</v>
      </c>
    </row>
    <row r="1119" customFormat="false" ht="15" hidden="false" customHeight="false" outlineLevel="0" collapsed="false">
      <c r="A1119" s="3" t="n">
        <v>1118</v>
      </c>
      <c r="B1119" s="3" t="n">
        <v>1117</v>
      </c>
      <c r="C1119" s="3" t="n">
        <v>5</v>
      </c>
      <c r="D1119" s="3" t="n">
        <v>9</v>
      </c>
      <c r="E1119" s="3" t="n">
        <v>11</v>
      </c>
      <c r="F1119" s="24" t="n">
        <v>0.51512605</v>
      </c>
    </row>
    <row r="1120" customFormat="false" ht="15" hidden="false" customHeight="false" outlineLevel="0" collapsed="false">
      <c r="A1120" s="3" t="n">
        <v>1119</v>
      </c>
      <c r="B1120" s="3" t="n">
        <v>1118</v>
      </c>
      <c r="C1120" s="3" t="n">
        <v>5</v>
      </c>
      <c r="D1120" s="3" t="n">
        <v>9</v>
      </c>
      <c r="E1120" s="3" t="n">
        <v>12</v>
      </c>
      <c r="F1120" s="24" t="n">
        <v>0.51512605</v>
      </c>
    </row>
    <row r="1121" customFormat="false" ht="15" hidden="false" customHeight="false" outlineLevel="0" collapsed="false">
      <c r="A1121" s="3" t="n">
        <v>1120</v>
      </c>
      <c r="B1121" s="3" t="n">
        <v>1119</v>
      </c>
      <c r="C1121" s="3" t="n">
        <v>5</v>
      </c>
      <c r="D1121" s="3" t="n">
        <v>9</v>
      </c>
      <c r="E1121" s="3" t="n">
        <v>13</v>
      </c>
      <c r="F1121" s="24" t="n">
        <v>0.51512605</v>
      </c>
    </row>
    <row r="1122" customFormat="false" ht="15" hidden="false" customHeight="false" outlineLevel="0" collapsed="false">
      <c r="A1122" s="3" t="n">
        <v>1121</v>
      </c>
      <c r="B1122" s="3" t="n">
        <v>1120</v>
      </c>
      <c r="C1122" s="3" t="n">
        <v>5</v>
      </c>
      <c r="D1122" s="3" t="n">
        <v>10</v>
      </c>
      <c r="E1122" s="3" t="n">
        <v>0</v>
      </c>
      <c r="F1122" s="24" t="n">
        <v>0.51512605</v>
      </c>
    </row>
    <row r="1123" customFormat="false" ht="15" hidden="false" customHeight="false" outlineLevel="0" collapsed="false">
      <c r="A1123" s="3" t="n">
        <v>1122</v>
      </c>
      <c r="B1123" s="3" t="n">
        <v>1121</v>
      </c>
      <c r="C1123" s="3" t="n">
        <v>5</v>
      </c>
      <c r="D1123" s="3" t="n">
        <v>10</v>
      </c>
      <c r="E1123" s="3" t="n">
        <v>1</v>
      </c>
      <c r="F1123" s="24" t="n">
        <v>0.51512605</v>
      </c>
    </row>
    <row r="1124" customFormat="false" ht="15" hidden="false" customHeight="false" outlineLevel="0" collapsed="false">
      <c r="A1124" s="3" t="n">
        <v>1123</v>
      </c>
      <c r="B1124" s="3" t="n">
        <v>1122</v>
      </c>
      <c r="C1124" s="3" t="n">
        <v>5</v>
      </c>
      <c r="D1124" s="3" t="n">
        <v>10</v>
      </c>
      <c r="E1124" s="3" t="n">
        <v>2</v>
      </c>
      <c r="F1124" s="24" t="n">
        <v>0.51512605</v>
      </c>
    </row>
    <row r="1125" customFormat="false" ht="15" hidden="false" customHeight="false" outlineLevel="0" collapsed="false">
      <c r="A1125" s="3" t="n">
        <v>1124</v>
      </c>
      <c r="B1125" s="3" t="n">
        <v>1123</v>
      </c>
      <c r="C1125" s="3" t="n">
        <v>5</v>
      </c>
      <c r="D1125" s="3" t="n">
        <v>10</v>
      </c>
      <c r="E1125" s="3" t="n">
        <v>3</v>
      </c>
      <c r="F1125" s="24" t="n">
        <v>0.51512605</v>
      </c>
    </row>
    <row r="1126" customFormat="false" ht="15" hidden="false" customHeight="false" outlineLevel="0" collapsed="false">
      <c r="A1126" s="3" t="n">
        <v>1125</v>
      </c>
      <c r="B1126" s="3" t="n">
        <v>1124</v>
      </c>
      <c r="C1126" s="3" t="n">
        <v>5</v>
      </c>
      <c r="D1126" s="3" t="n">
        <v>10</v>
      </c>
      <c r="E1126" s="3" t="n">
        <v>4</v>
      </c>
      <c r="F1126" s="24" t="n">
        <v>0.51512605</v>
      </c>
    </row>
    <row r="1127" customFormat="false" ht="15" hidden="false" customHeight="false" outlineLevel="0" collapsed="false">
      <c r="A1127" s="3" t="n">
        <v>1126</v>
      </c>
      <c r="B1127" s="3" t="n">
        <v>1125</v>
      </c>
      <c r="C1127" s="3" t="n">
        <v>5</v>
      </c>
      <c r="D1127" s="3" t="n">
        <v>10</v>
      </c>
      <c r="E1127" s="3" t="n">
        <v>5</v>
      </c>
      <c r="F1127" s="24" t="n">
        <v>0.966268957</v>
      </c>
    </row>
    <row r="1128" customFormat="false" ht="15" hidden="false" customHeight="false" outlineLevel="0" collapsed="false">
      <c r="A1128" s="3" t="n">
        <v>1127</v>
      </c>
      <c r="B1128" s="3" t="n">
        <v>1126</v>
      </c>
      <c r="C1128" s="3" t="n">
        <v>5</v>
      </c>
      <c r="D1128" s="3" t="n">
        <v>10</v>
      </c>
      <c r="E1128" s="3" t="n">
        <v>6</v>
      </c>
      <c r="F1128" s="24" t="n">
        <v>0</v>
      </c>
    </row>
    <row r="1129" customFormat="false" ht="15" hidden="false" customHeight="false" outlineLevel="0" collapsed="false">
      <c r="A1129" s="3" t="n">
        <v>1128</v>
      </c>
      <c r="B1129" s="3" t="n">
        <v>1127</v>
      </c>
      <c r="C1129" s="3" t="n">
        <v>5</v>
      </c>
      <c r="D1129" s="3" t="n">
        <v>10</v>
      </c>
      <c r="E1129" s="3" t="n">
        <v>7</v>
      </c>
      <c r="F1129" s="24" t="n">
        <v>2.39086485</v>
      </c>
    </row>
    <row r="1130" customFormat="false" ht="15" hidden="false" customHeight="false" outlineLevel="0" collapsed="false">
      <c r="A1130" s="3" t="n">
        <v>1129</v>
      </c>
      <c r="B1130" s="3" t="n">
        <v>1128</v>
      </c>
      <c r="C1130" s="3" t="n">
        <v>5</v>
      </c>
      <c r="D1130" s="3" t="n">
        <v>10</v>
      </c>
      <c r="E1130" s="3" t="n">
        <v>8</v>
      </c>
      <c r="F1130" s="24" t="n">
        <v>2.24409962</v>
      </c>
    </row>
    <row r="1131" customFormat="false" ht="15" hidden="false" customHeight="false" outlineLevel="0" collapsed="false">
      <c r="A1131" s="3" t="n">
        <v>1130</v>
      </c>
      <c r="B1131" s="3" t="n">
        <v>1129</v>
      </c>
      <c r="C1131" s="3" t="n">
        <v>5</v>
      </c>
      <c r="D1131" s="3" t="n">
        <v>10</v>
      </c>
      <c r="E1131" s="3" t="n">
        <v>9</v>
      </c>
      <c r="F1131" s="24" t="n">
        <v>0.51512605</v>
      </c>
    </row>
    <row r="1132" customFormat="false" ht="15" hidden="false" customHeight="false" outlineLevel="0" collapsed="false">
      <c r="A1132" s="3" t="n">
        <v>1131</v>
      </c>
      <c r="B1132" s="3" t="n">
        <v>1130</v>
      </c>
      <c r="C1132" s="3" t="n">
        <v>5</v>
      </c>
      <c r="D1132" s="3" t="n">
        <v>10</v>
      </c>
      <c r="E1132" s="3" t="n">
        <v>10</v>
      </c>
      <c r="F1132" s="24" t="n">
        <v>0.51512605</v>
      </c>
    </row>
    <row r="1133" customFormat="false" ht="15" hidden="false" customHeight="false" outlineLevel="0" collapsed="false">
      <c r="A1133" s="3" t="n">
        <v>1132</v>
      </c>
      <c r="B1133" s="3" t="n">
        <v>1131</v>
      </c>
      <c r="C1133" s="3" t="n">
        <v>5</v>
      </c>
      <c r="D1133" s="3" t="n">
        <v>10</v>
      </c>
      <c r="E1133" s="3" t="n">
        <v>11</v>
      </c>
      <c r="F1133" s="24" t="n">
        <v>0.51512605</v>
      </c>
    </row>
    <row r="1134" customFormat="false" ht="15" hidden="false" customHeight="false" outlineLevel="0" collapsed="false">
      <c r="A1134" s="3" t="n">
        <v>1133</v>
      </c>
      <c r="B1134" s="3" t="n">
        <v>1132</v>
      </c>
      <c r="C1134" s="3" t="n">
        <v>5</v>
      </c>
      <c r="D1134" s="3" t="n">
        <v>10</v>
      </c>
      <c r="E1134" s="3" t="n">
        <v>12</v>
      </c>
      <c r="F1134" s="24" t="n">
        <v>0.51512605</v>
      </c>
    </row>
    <row r="1135" customFormat="false" ht="15" hidden="false" customHeight="false" outlineLevel="0" collapsed="false">
      <c r="A1135" s="3" t="n">
        <v>1134</v>
      </c>
      <c r="B1135" s="3" t="n">
        <v>1133</v>
      </c>
      <c r="C1135" s="3" t="n">
        <v>5</v>
      </c>
      <c r="D1135" s="3" t="n">
        <v>10</v>
      </c>
      <c r="E1135" s="3" t="n">
        <v>13</v>
      </c>
      <c r="F1135" s="24" t="n">
        <v>0.51512605</v>
      </c>
    </row>
    <row r="1136" customFormat="false" ht="15" hidden="false" customHeight="false" outlineLevel="0" collapsed="false">
      <c r="A1136" s="3" t="n">
        <v>1135</v>
      </c>
      <c r="B1136" s="3" t="n">
        <v>1134</v>
      </c>
      <c r="C1136" s="3" t="n">
        <v>5</v>
      </c>
      <c r="D1136" s="3" t="n">
        <v>11</v>
      </c>
      <c r="E1136" s="3" t="n">
        <v>0</v>
      </c>
      <c r="F1136" s="24" t="n">
        <v>0.51512605</v>
      </c>
    </row>
    <row r="1137" customFormat="false" ht="15" hidden="false" customHeight="false" outlineLevel="0" collapsed="false">
      <c r="A1137" s="3" t="n">
        <v>1136</v>
      </c>
      <c r="B1137" s="3" t="n">
        <v>1135</v>
      </c>
      <c r="C1137" s="3" t="n">
        <v>5</v>
      </c>
      <c r="D1137" s="3" t="n">
        <v>11</v>
      </c>
      <c r="E1137" s="3" t="n">
        <v>1</v>
      </c>
      <c r="F1137" s="24" t="n">
        <v>0.51512605</v>
      </c>
    </row>
    <row r="1138" customFormat="false" ht="15" hidden="false" customHeight="false" outlineLevel="0" collapsed="false">
      <c r="A1138" s="3" t="n">
        <v>1137</v>
      </c>
      <c r="B1138" s="3" t="n">
        <v>1136</v>
      </c>
      <c r="C1138" s="3" t="n">
        <v>5</v>
      </c>
      <c r="D1138" s="3" t="n">
        <v>11</v>
      </c>
      <c r="E1138" s="3" t="n">
        <v>2</v>
      </c>
      <c r="F1138" s="24" t="n">
        <v>0.51512605</v>
      </c>
    </row>
    <row r="1139" customFormat="false" ht="15" hidden="false" customHeight="false" outlineLevel="0" collapsed="false">
      <c r="A1139" s="3" t="n">
        <v>1138</v>
      </c>
      <c r="B1139" s="3" t="n">
        <v>1137</v>
      </c>
      <c r="C1139" s="3" t="n">
        <v>5</v>
      </c>
      <c r="D1139" s="3" t="n">
        <v>11</v>
      </c>
      <c r="E1139" s="3" t="n">
        <v>3</v>
      </c>
      <c r="F1139" s="24" t="n">
        <v>0.51512605</v>
      </c>
    </row>
    <row r="1140" customFormat="false" ht="15" hidden="false" customHeight="false" outlineLevel="0" collapsed="false">
      <c r="A1140" s="3" t="n">
        <v>1139</v>
      </c>
      <c r="B1140" s="3" t="n">
        <v>1138</v>
      </c>
      <c r="C1140" s="3" t="n">
        <v>5</v>
      </c>
      <c r="D1140" s="3" t="n">
        <v>11</v>
      </c>
      <c r="E1140" s="3" t="n">
        <v>4</v>
      </c>
      <c r="F1140" s="24" t="n">
        <v>0.820443392</v>
      </c>
    </row>
    <row r="1141" customFormat="false" ht="15" hidden="false" customHeight="false" outlineLevel="0" collapsed="false">
      <c r="A1141" s="3" t="n">
        <v>1140</v>
      </c>
      <c r="B1141" s="3" t="n">
        <v>1139</v>
      </c>
      <c r="C1141" s="3" t="n">
        <v>5</v>
      </c>
      <c r="D1141" s="3" t="n">
        <v>11</v>
      </c>
      <c r="E1141" s="3" t="n">
        <v>5</v>
      </c>
      <c r="F1141" s="24" t="n">
        <v>0.837674975</v>
      </c>
    </row>
    <row r="1142" customFormat="false" ht="15" hidden="false" customHeight="false" outlineLevel="0" collapsed="false">
      <c r="A1142" s="3" t="n">
        <v>1141</v>
      </c>
      <c r="B1142" s="3" t="n">
        <v>1140</v>
      </c>
      <c r="C1142" s="3" t="n">
        <v>5</v>
      </c>
      <c r="D1142" s="3" t="n">
        <v>11</v>
      </c>
      <c r="E1142" s="3" t="n">
        <v>6</v>
      </c>
      <c r="F1142" s="24" t="n">
        <v>0</v>
      </c>
    </row>
    <row r="1143" customFormat="false" ht="15" hidden="false" customHeight="false" outlineLevel="0" collapsed="false">
      <c r="A1143" s="3" t="n">
        <v>1142</v>
      </c>
      <c r="B1143" s="3" t="n">
        <v>1141</v>
      </c>
      <c r="C1143" s="3" t="n">
        <v>5</v>
      </c>
      <c r="D1143" s="3" t="n">
        <v>11</v>
      </c>
      <c r="E1143" s="3" t="n">
        <v>7</v>
      </c>
      <c r="F1143" s="24" t="n">
        <v>1.71854222</v>
      </c>
    </row>
    <row r="1144" customFormat="false" ht="15" hidden="false" customHeight="false" outlineLevel="0" collapsed="false">
      <c r="A1144" s="3" t="n">
        <v>1143</v>
      </c>
      <c r="B1144" s="3" t="n">
        <v>1142</v>
      </c>
      <c r="C1144" s="3" t="n">
        <v>5</v>
      </c>
      <c r="D1144" s="3" t="n">
        <v>11</v>
      </c>
      <c r="E1144" s="3" t="n">
        <v>8</v>
      </c>
      <c r="F1144" s="24" t="n">
        <v>0.806047022</v>
      </c>
    </row>
    <row r="1145" customFormat="false" ht="15" hidden="false" customHeight="false" outlineLevel="0" collapsed="false">
      <c r="A1145" s="3" t="n">
        <v>1144</v>
      </c>
      <c r="B1145" s="3" t="n">
        <v>1143</v>
      </c>
      <c r="C1145" s="3" t="n">
        <v>5</v>
      </c>
      <c r="D1145" s="3" t="n">
        <v>11</v>
      </c>
      <c r="E1145" s="3" t="n">
        <v>9</v>
      </c>
      <c r="F1145" s="24" t="n">
        <v>0.51512605</v>
      </c>
    </row>
    <row r="1146" customFormat="false" ht="15" hidden="false" customHeight="false" outlineLevel="0" collapsed="false">
      <c r="A1146" s="3" t="n">
        <v>1145</v>
      </c>
      <c r="B1146" s="3" t="n">
        <v>1144</v>
      </c>
      <c r="C1146" s="3" t="n">
        <v>5</v>
      </c>
      <c r="D1146" s="3" t="n">
        <v>11</v>
      </c>
      <c r="E1146" s="3" t="n">
        <v>10</v>
      </c>
      <c r="F1146" s="24" t="n">
        <v>0.51512605</v>
      </c>
    </row>
    <row r="1147" customFormat="false" ht="15" hidden="false" customHeight="false" outlineLevel="0" collapsed="false">
      <c r="A1147" s="3" t="n">
        <v>1146</v>
      </c>
      <c r="B1147" s="3" t="n">
        <v>1145</v>
      </c>
      <c r="C1147" s="3" t="n">
        <v>5</v>
      </c>
      <c r="D1147" s="3" t="n">
        <v>11</v>
      </c>
      <c r="E1147" s="3" t="n">
        <v>11</v>
      </c>
      <c r="F1147" s="24" t="n">
        <v>0.51512605</v>
      </c>
    </row>
    <row r="1148" customFormat="false" ht="15" hidden="false" customHeight="false" outlineLevel="0" collapsed="false">
      <c r="A1148" s="3" t="n">
        <v>1147</v>
      </c>
      <c r="B1148" s="3" t="n">
        <v>1146</v>
      </c>
      <c r="C1148" s="3" t="n">
        <v>5</v>
      </c>
      <c r="D1148" s="3" t="n">
        <v>11</v>
      </c>
      <c r="E1148" s="3" t="n">
        <v>12</v>
      </c>
      <c r="F1148" s="24" t="n">
        <v>0.51512605</v>
      </c>
    </row>
    <row r="1149" customFormat="false" ht="15" hidden="false" customHeight="false" outlineLevel="0" collapsed="false">
      <c r="A1149" s="3" t="n">
        <v>1148</v>
      </c>
      <c r="B1149" s="3" t="n">
        <v>1147</v>
      </c>
      <c r="C1149" s="3" t="n">
        <v>5</v>
      </c>
      <c r="D1149" s="3" t="n">
        <v>11</v>
      </c>
      <c r="E1149" s="3" t="n">
        <v>13</v>
      </c>
      <c r="F1149" s="24" t="n">
        <v>0.51512605</v>
      </c>
    </row>
    <row r="1150" customFormat="false" ht="15" hidden="false" customHeight="false" outlineLevel="0" collapsed="false">
      <c r="A1150" s="3" t="n">
        <v>1149</v>
      </c>
      <c r="B1150" s="3" t="n">
        <v>1148</v>
      </c>
      <c r="C1150" s="3" t="n">
        <v>5</v>
      </c>
      <c r="D1150" s="3" t="n">
        <v>12</v>
      </c>
      <c r="E1150" s="3" t="n">
        <v>0</v>
      </c>
      <c r="F1150" s="24" t="n">
        <v>0.51512605</v>
      </c>
    </row>
    <row r="1151" customFormat="false" ht="15" hidden="false" customHeight="false" outlineLevel="0" collapsed="false">
      <c r="A1151" s="3" t="n">
        <v>1150</v>
      </c>
      <c r="B1151" s="3" t="n">
        <v>1149</v>
      </c>
      <c r="C1151" s="3" t="n">
        <v>5</v>
      </c>
      <c r="D1151" s="3" t="n">
        <v>12</v>
      </c>
      <c r="E1151" s="3" t="n">
        <v>1</v>
      </c>
      <c r="F1151" s="24" t="n">
        <v>0.51512605</v>
      </c>
    </row>
    <row r="1152" customFormat="false" ht="15" hidden="false" customHeight="false" outlineLevel="0" collapsed="false">
      <c r="A1152" s="3" t="n">
        <v>1151</v>
      </c>
      <c r="B1152" s="3" t="n">
        <v>1150</v>
      </c>
      <c r="C1152" s="3" t="n">
        <v>5</v>
      </c>
      <c r="D1152" s="3" t="n">
        <v>12</v>
      </c>
      <c r="E1152" s="3" t="n">
        <v>2</v>
      </c>
      <c r="F1152" s="24" t="n">
        <v>0.51512605</v>
      </c>
    </row>
    <row r="1153" customFormat="false" ht="15" hidden="false" customHeight="false" outlineLevel="0" collapsed="false">
      <c r="A1153" s="3" t="n">
        <v>1152</v>
      </c>
      <c r="B1153" s="3" t="n">
        <v>1151</v>
      </c>
      <c r="C1153" s="3" t="n">
        <v>5</v>
      </c>
      <c r="D1153" s="3" t="n">
        <v>12</v>
      </c>
      <c r="E1153" s="3" t="n">
        <v>3</v>
      </c>
      <c r="F1153" s="24" t="n">
        <v>0.51512605</v>
      </c>
    </row>
    <row r="1154" customFormat="false" ht="15" hidden="false" customHeight="false" outlineLevel="0" collapsed="false">
      <c r="A1154" s="3" t="n">
        <v>1153</v>
      </c>
      <c r="B1154" s="3" t="n">
        <v>1152</v>
      </c>
      <c r="C1154" s="3" t="n">
        <v>5</v>
      </c>
      <c r="D1154" s="3" t="n">
        <v>12</v>
      </c>
      <c r="E1154" s="3" t="n">
        <v>4</v>
      </c>
      <c r="F1154" s="24" t="n">
        <v>0.51512605</v>
      </c>
    </row>
    <row r="1155" customFormat="false" ht="15" hidden="false" customHeight="false" outlineLevel="0" collapsed="false">
      <c r="A1155" s="3" t="n">
        <v>1154</v>
      </c>
      <c r="B1155" s="3" t="n">
        <v>1153</v>
      </c>
      <c r="C1155" s="3" t="n">
        <v>5</v>
      </c>
      <c r="D1155" s="3" t="n">
        <v>12</v>
      </c>
      <c r="E1155" s="3" t="n">
        <v>5</v>
      </c>
      <c r="F1155" s="24" t="n">
        <v>0</v>
      </c>
    </row>
    <row r="1156" customFormat="false" ht="15" hidden="false" customHeight="false" outlineLevel="0" collapsed="false">
      <c r="A1156" s="3" t="n">
        <v>1155</v>
      </c>
      <c r="B1156" s="3" t="n">
        <v>1154</v>
      </c>
      <c r="C1156" s="3" t="n">
        <v>5</v>
      </c>
      <c r="D1156" s="3" t="n">
        <v>12</v>
      </c>
      <c r="E1156" s="3" t="n">
        <v>6</v>
      </c>
      <c r="F1156" s="24" t="n">
        <v>0.939822674</v>
      </c>
    </row>
    <row r="1157" customFormat="false" ht="15" hidden="false" customHeight="false" outlineLevel="0" collapsed="false">
      <c r="A1157" s="3" t="n">
        <v>1156</v>
      </c>
      <c r="B1157" s="3" t="n">
        <v>1155</v>
      </c>
      <c r="C1157" s="3" t="n">
        <v>5</v>
      </c>
      <c r="D1157" s="3" t="n">
        <v>12</v>
      </c>
      <c r="E1157" s="3" t="n">
        <v>7</v>
      </c>
      <c r="F1157" s="24" t="n">
        <v>1.90990746</v>
      </c>
    </row>
    <row r="1158" customFormat="false" ht="15" hidden="false" customHeight="false" outlineLevel="0" collapsed="false">
      <c r="A1158" s="3" t="n">
        <v>1157</v>
      </c>
      <c r="B1158" s="3" t="n">
        <v>1156</v>
      </c>
      <c r="C1158" s="3" t="n">
        <v>5</v>
      </c>
      <c r="D1158" s="3" t="n">
        <v>12</v>
      </c>
      <c r="E1158" s="3" t="n">
        <v>8</v>
      </c>
      <c r="F1158" s="24" t="n">
        <v>0.51512605</v>
      </c>
    </row>
    <row r="1159" customFormat="false" ht="15" hidden="false" customHeight="false" outlineLevel="0" collapsed="false">
      <c r="A1159" s="3" t="n">
        <v>1158</v>
      </c>
      <c r="B1159" s="3" t="n">
        <v>1157</v>
      </c>
      <c r="C1159" s="3" t="n">
        <v>5</v>
      </c>
      <c r="D1159" s="3" t="n">
        <v>12</v>
      </c>
      <c r="E1159" s="3" t="n">
        <v>9</v>
      </c>
      <c r="F1159" s="24" t="n">
        <v>0.51512605</v>
      </c>
    </row>
    <row r="1160" customFormat="false" ht="15" hidden="false" customHeight="false" outlineLevel="0" collapsed="false">
      <c r="A1160" s="3" t="n">
        <v>1159</v>
      </c>
      <c r="B1160" s="3" t="n">
        <v>1158</v>
      </c>
      <c r="C1160" s="3" t="n">
        <v>5</v>
      </c>
      <c r="D1160" s="3" t="n">
        <v>12</v>
      </c>
      <c r="E1160" s="3" t="n">
        <v>10</v>
      </c>
      <c r="F1160" s="24" t="n">
        <v>0.51512605</v>
      </c>
    </row>
    <row r="1161" customFormat="false" ht="15" hidden="false" customHeight="false" outlineLevel="0" collapsed="false">
      <c r="A1161" s="3" t="n">
        <v>1160</v>
      </c>
      <c r="B1161" s="3" t="n">
        <v>1159</v>
      </c>
      <c r="C1161" s="3" t="n">
        <v>5</v>
      </c>
      <c r="D1161" s="3" t="n">
        <v>12</v>
      </c>
      <c r="E1161" s="3" t="n">
        <v>11</v>
      </c>
      <c r="F1161" s="24" t="n">
        <v>0.51512605</v>
      </c>
    </row>
    <row r="1162" customFormat="false" ht="15" hidden="false" customHeight="false" outlineLevel="0" collapsed="false">
      <c r="A1162" s="3" t="n">
        <v>1161</v>
      </c>
      <c r="B1162" s="3" t="n">
        <v>1160</v>
      </c>
      <c r="C1162" s="3" t="n">
        <v>5</v>
      </c>
      <c r="D1162" s="3" t="n">
        <v>12</v>
      </c>
      <c r="E1162" s="3" t="n">
        <v>12</v>
      </c>
      <c r="F1162" s="24" t="n">
        <v>0.51512605</v>
      </c>
    </row>
    <row r="1163" customFormat="false" ht="15" hidden="false" customHeight="false" outlineLevel="0" collapsed="false">
      <c r="A1163" s="3" t="n">
        <v>1162</v>
      </c>
      <c r="B1163" s="3" t="n">
        <v>1161</v>
      </c>
      <c r="C1163" s="3" t="n">
        <v>5</v>
      </c>
      <c r="D1163" s="3" t="n">
        <v>12</v>
      </c>
      <c r="E1163" s="3" t="n">
        <v>13</v>
      </c>
      <c r="F1163" s="24" t="n">
        <v>0.51512605</v>
      </c>
    </row>
    <row r="1164" customFormat="false" ht="15" hidden="false" customHeight="false" outlineLevel="0" collapsed="false">
      <c r="A1164" s="3" t="n">
        <v>1163</v>
      </c>
      <c r="B1164" s="3" t="n">
        <v>1162</v>
      </c>
      <c r="C1164" s="3" t="n">
        <v>5</v>
      </c>
      <c r="D1164" s="3" t="n">
        <v>13</v>
      </c>
      <c r="E1164" s="3" t="n">
        <v>0</v>
      </c>
      <c r="F1164" s="24" t="n">
        <v>0.51512605</v>
      </c>
    </row>
    <row r="1165" customFormat="false" ht="15" hidden="false" customHeight="false" outlineLevel="0" collapsed="false">
      <c r="A1165" s="3" t="n">
        <v>1164</v>
      </c>
      <c r="B1165" s="3" t="n">
        <v>1163</v>
      </c>
      <c r="C1165" s="3" t="n">
        <v>5</v>
      </c>
      <c r="D1165" s="3" t="n">
        <v>13</v>
      </c>
      <c r="E1165" s="3" t="n">
        <v>1</v>
      </c>
      <c r="F1165" s="24" t="n">
        <v>0.51512605</v>
      </c>
    </row>
    <row r="1166" customFormat="false" ht="15" hidden="false" customHeight="false" outlineLevel="0" collapsed="false">
      <c r="A1166" s="3" t="n">
        <v>1165</v>
      </c>
      <c r="B1166" s="3" t="n">
        <v>1164</v>
      </c>
      <c r="C1166" s="3" t="n">
        <v>5</v>
      </c>
      <c r="D1166" s="3" t="n">
        <v>13</v>
      </c>
      <c r="E1166" s="3" t="n">
        <v>2</v>
      </c>
      <c r="F1166" s="24" t="n">
        <v>0.51512605</v>
      </c>
    </row>
    <row r="1167" customFormat="false" ht="15" hidden="false" customHeight="false" outlineLevel="0" collapsed="false">
      <c r="A1167" s="3" t="n">
        <v>1166</v>
      </c>
      <c r="B1167" s="3" t="n">
        <v>1165</v>
      </c>
      <c r="C1167" s="3" t="n">
        <v>5</v>
      </c>
      <c r="D1167" s="3" t="n">
        <v>13</v>
      </c>
      <c r="E1167" s="3" t="n">
        <v>3</v>
      </c>
      <c r="F1167" s="24" t="n">
        <v>0.51512605</v>
      </c>
    </row>
    <row r="1168" customFormat="false" ht="15" hidden="false" customHeight="false" outlineLevel="0" collapsed="false">
      <c r="A1168" s="3" t="n">
        <v>1167</v>
      </c>
      <c r="B1168" s="3" t="n">
        <v>1166</v>
      </c>
      <c r="C1168" s="3" t="n">
        <v>5</v>
      </c>
      <c r="D1168" s="3" t="n">
        <v>13</v>
      </c>
      <c r="E1168" s="3" t="n">
        <v>4</v>
      </c>
      <c r="F1168" s="24" t="n">
        <v>0.601211548</v>
      </c>
    </row>
    <row r="1169" customFormat="false" ht="15" hidden="false" customHeight="false" outlineLevel="0" collapsed="false">
      <c r="A1169" s="3" t="n">
        <v>1168</v>
      </c>
      <c r="B1169" s="3" t="n">
        <v>1167</v>
      </c>
      <c r="C1169" s="3" t="n">
        <v>5</v>
      </c>
      <c r="D1169" s="3" t="n">
        <v>13</v>
      </c>
      <c r="E1169" s="3" t="n">
        <v>5</v>
      </c>
      <c r="F1169" s="24" t="n">
        <v>3.4575336</v>
      </c>
    </row>
    <row r="1170" customFormat="false" ht="15" hidden="false" customHeight="false" outlineLevel="0" collapsed="false">
      <c r="A1170" s="3" t="n">
        <v>1169</v>
      </c>
      <c r="B1170" s="3" t="n">
        <v>1168</v>
      </c>
      <c r="C1170" s="3" t="n">
        <v>5</v>
      </c>
      <c r="D1170" s="3" t="n">
        <v>13</v>
      </c>
      <c r="E1170" s="3" t="n">
        <v>6</v>
      </c>
      <c r="F1170" s="24" t="n">
        <v>4.14695263</v>
      </c>
    </row>
    <row r="1171" customFormat="false" ht="15" hidden="false" customHeight="false" outlineLevel="0" collapsed="false">
      <c r="A1171" s="3" t="n">
        <v>1170</v>
      </c>
      <c r="B1171" s="3" t="n">
        <v>1169</v>
      </c>
      <c r="C1171" s="3" t="n">
        <v>5</v>
      </c>
      <c r="D1171" s="3" t="n">
        <v>13</v>
      </c>
      <c r="E1171" s="3" t="n">
        <v>7</v>
      </c>
      <c r="F1171" s="24" t="n">
        <v>1.68123245</v>
      </c>
    </row>
    <row r="1172" customFormat="false" ht="15" hidden="false" customHeight="false" outlineLevel="0" collapsed="false">
      <c r="A1172" s="3" t="n">
        <v>1171</v>
      </c>
      <c r="B1172" s="3" t="n">
        <v>1170</v>
      </c>
      <c r="C1172" s="3" t="n">
        <v>5</v>
      </c>
      <c r="D1172" s="3" t="n">
        <v>13</v>
      </c>
      <c r="E1172" s="3" t="n">
        <v>8</v>
      </c>
      <c r="F1172" s="24" t="n">
        <v>0.51512605</v>
      </c>
    </row>
    <row r="1173" customFormat="false" ht="15" hidden="false" customHeight="false" outlineLevel="0" collapsed="false">
      <c r="A1173" s="3" t="n">
        <v>1172</v>
      </c>
      <c r="B1173" s="3" t="n">
        <v>1171</v>
      </c>
      <c r="C1173" s="3" t="n">
        <v>5</v>
      </c>
      <c r="D1173" s="3" t="n">
        <v>13</v>
      </c>
      <c r="E1173" s="3" t="n">
        <v>9</v>
      </c>
      <c r="F1173" s="24" t="n">
        <v>0.51512605</v>
      </c>
    </row>
    <row r="1174" customFormat="false" ht="15" hidden="false" customHeight="false" outlineLevel="0" collapsed="false">
      <c r="A1174" s="3" t="n">
        <v>1173</v>
      </c>
      <c r="B1174" s="3" t="n">
        <v>1172</v>
      </c>
      <c r="C1174" s="3" t="n">
        <v>5</v>
      </c>
      <c r="D1174" s="3" t="n">
        <v>13</v>
      </c>
      <c r="E1174" s="3" t="n">
        <v>10</v>
      </c>
      <c r="F1174" s="24" t="n">
        <v>0.51512605</v>
      </c>
    </row>
    <row r="1175" customFormat="false" ht="15" hidden="false" customHeight="false" outlineLevel="0" collapsed="false">
      <c r="A1175" s="3" t="n">
        <v>1174</v>
      </c>
      <c r="B1175" s="3" t="n">
        <v>1173</v>
      </c>
      <c r="C1175" s="3" t="n">
        <v>5</v>
      </c>
      <c r="D1175" s="3" t="n">
        <v>13</v>
      </c>
      <c r="E1175" s="3" t="n">
        <v>11</v>
      </c>
      <c r="F1175" s="24" t="n">
        <v>0.51512605</v>
      </c>
    </row>
    <row r="1176" customFormat="false" ht="15" hidden="false" customHeight="false" outlineLevel="0" collapsed="false">
      <c r="A1176" s="3" t="n">
        <v>1175</v>
      </c>
      <c r="B1176" s="3" t="n">
        <v>1174</v>
      </c>
      <c r="C1176" s="3" t="n">
        <v>5</v>
      </c>
      <c r="D1176" s="3" t="n">
        <v>13</v>
      </c>
      <c r="E1176" s="3" t="n">
        <v>12</v>
      </c>
      <c r="F1176" s="24" t="n">
        <v>0.51512605</v>
      </c>
    </row>
    <row r="1177" customFormat="false" ht="15" hidden="false" customHeight="false" outlineLevel="0" collapsed="false">
      <c r="A1177" s="3" t="n">
        <v>1176</v>
      </c>
      <c r="B1177" s="3" t="n">
        <v>1175</v>
      </c>
      <c r="C1177" s="3" t="n">
        <v>5</v>
      </c>
      <c r="D1177" s="3" t="n">
        <v>13</v>
      </c>
      <c r="E1177" s="3" t="n">
        <v>13</v>
      </c>
      <c r="F1177" s="24" t="n">
        <v>0.51512605</v>
      </c>
    </row>
    <row r="1178" customFormat="false" ht="15" hidden="false" customHeight="false" outlineLevel="0" collapsed="false">
      <c r="A1178" s="3" t="n">
        <v>1177</v>
      </c>
      <c r="B1178" s="3" t="n">
        <v>1176</v>
      </c>
      <c r="C1178" s="3" t="n">
        <v>6</v>
      </c>
      <c r="D1178" s="3" t="n">
        <v>0</v>
      </c>
      <c r="E1178" s="3" t="n">
        <v>0</v>
      </c>
      <c r="F1178" s="24" t="n">
        <v>0.413793147</v>
      </c>
    </row>
    <row r="1179" customFormat="false" ht="15" hidden="false" customHeight="false" outlineLevel="0" collapsed="false">
      <c r="A1179" s="3" t="n">
        <v>1178</v>
      </c>
      <c r="B1179" s="3" t="n">
        <v>1177</v>
      </c>
      <c r="C1179" s="3" t="n">
        <v>6</v>
      </c>
      <c r="D1179" s="3" t="n">
        <v>0</v>
      </c>
      <c r="E1179" s="3" t="n">
        <v>1</v>
      </c>
      <c r="F1179" s="24" t="n">
        <v>0.251652449</v>
      </c>
    </row>
    <row r="1180" customFormat="false" ht="15" hidden="false" customHeight="false" outlineLevel="0" collapsed="false">
      <c r="A1180" s="3" t="n">
        <v>1179</v>
      </c>
      <c r="B1180" s="3" t="n">
        <v>1178</v>
      </c>
      <c r="C1180" s="3" t="n">
        <v>6</v>
      </c>
      <c r="D1180" s="3" t="n">
        <v>0</v>
      </c>
      <c r="E1180" s="3" t="n">
        <v>2</v>
      </c>
      <c r="F1180" s="24" t="n">
        <v>0.251652449</v>
      </c>
    </row>
    <row r="1181" customFormat="false" ht="15" hidden="false" customHeight="false" outlineLevel="0" collapsed="false">
      <c r="A1181" s="3" t="n">
        <v>1180</v>
      </c>
      <c r="B1181" s="3" t="n">
        <v>1179</v>
      </c>
      <c r="C1181" s="3" t="n">
        <v>6</v>
      </c>
      <c r="D1181" s="3" t="n">
        <v>0</v>
      </c>
      <c r="E1181" s="3" t="n">
        <v>3</v>
      </c>
      <c r="F1181" s="24" t="n">
        <v>0.251652449</v>
      </c>
    </row>
    <row r="1182" customFormat="false" ht="15" hidden="false" customHeight="false" outlineLevel="0" collapsed="false">
      <c r="A1182" s="3" t="n">
        <v>1181</v>
      </c>
      <c r="B1182" s="3" t="n">
        <v>1180</v>
      </c>
      <c r="C1182" s="3" t="n">
        <v>6</v>
      </c>
      <c r="D1182" s="3" t="n">
        <v>0</v>
      </c>
      <c r="E1182" s="3" t="n">
        <v>4</v>
      </c>
      <c r="F1182" s="24" t="n">
        <v>0.251652449</v>
      </c>
    </row>
    <row r="1183" customFormat="false" ht="15" hidden="false" customHeight="false" outlineLevel="0" collapsed="false">
      <c r="A1183" s="3" t="n">
        <v>1182</v>
      </c>
      <c r="B1183" s="3" t="n">
        <v>1181</v>
      </c>
      <c r="C1183" s="3" t="n">
        <v>6</v>
      </c>
      <c r="D1183" s="3" t="n">
        <v>0</v>
      </c>
      <c r="E1183" s="3" t="n">
        <v>5</v>
      </c>
      <c r="F1183" s="24" t="n">
        <v>0.251652449</v>
      </c>
    </row>
    <row r="1184" customFormat="false" ht="15" hidden="false" customHeight="false" outlineLevel="0" collapsed="false">
      <c r="A1184" s="3" t="n">
        <v>1183</v>
      </c>
      <c r="B1184" s="3" t="n">
        <v>1182</v>
      </c>
      <c r="C1184" s="3" t="n">
        <v>6</v>
      </c>
      <c r="D1184" s="3" t="n">
        <v>0</v>
      </c>
      <c r="E1184" s="3" t="n">
        <v>6</v>
      </c>
      <c r="F1184" s="24" t="n">
        <v>0.251652449</v>
      </c>
    </row>
    <row r="1185" customFormat="false" ht="15" hidden="false" customHeight="false" outlineLevel="0" collapsed="false">
      <c r="A1185" s="3" t="n">
        <v>1184</v>
      </c>
      <c r="B1185" s="3" t="n">
        <v>1183</v>
      </c>
      <c r="C1185" s="3" t="n">
        <v>6</v>
      </c>
      <c r="D1185" s="3" t="n">
        <v>0</v>
      </c>
      <c r="E1185" s="3" t="n">
        <v>7</v>
      </c>
      <c r="F1185" s="24" t="n">
        <v>0.251652449</v>
      </c>
    </row>
    <row r="1186" customFormat="false" ht="15" hidden="false" customHeight="false" outlineLevel="0" collapsed="false">
      <c r="A1186" s="3" t="n">
        <v>1185</v>
      </c>
      <c r="B1186" s="3" t="n">
        <v>1184</v>
      </c>
      <c r="C1186" s="3" t="n">
        <v>6</v>
      </c>
      <c r="D1186" s="3" t="n">
        <v>0</v>
      </c>
      <c r="E1186" s="3" t="n">
        <v>8</v>
      </c>
      <c r="F1186" s="24" t="n">
        <v>0.251652449</v>
      </c>
    </row>
    <row r="1187" customFormat="false" ht="15" hidden="false" customHeight="false" outlineLevel="0" collapsed="false">
      <c r="A1187" s="3" t="n">
        <v>1186</v>
      </c>
      <c r="B1187" s="3" t="n">
        <v>1185</v>
      </c>
      <c r="C1187" s="3" t="n">
        <v>6</v>
      </c>
      <c r="D1187" s="3" t="n">
        <v>0</v>
      </c>
      <c r="E1187" s="3" t="n">
        <v>9</v>
      </c>
      <c r="F1187" s="24" t="n">
        <v>0.251652449</v>
      </c>
    </row>
    <row r="1188" customFormat="false" ht="15" hidden="false" customHeight="false" outlineLevel="0" collapsed="false">
      <c r="A1188" s="3" t="n">
        <v>1187</v>
      </c>
      <c r="B1188" s="3" t="n">
        <v>1186</v>
      </c>
      <c r="C1188" s="3" t="n">
        <v>6</v>
      </c>
      <c r="D1188" s="3" t="n">
        <v>0</v>
      </c>
      <c r="E1188" s="3" t="n">
        <v>10</v>
      </c>
      <c r="F1188" s="24" t="n">
        <v>0.251652449</v>
      </c>
    </row>
    <row r="1189" customFormat="false" ht="15" hidden="false" customHeight="false" outlineLevel="0" collapsed="false">
      <c r="A1189" s="3" t="n">
        <v>1188</v>
      </c>
      <c r="B1189" s="3" t="n">
        <v>1187</v>
      </c>
      <c r="C1189" s="3" t="n">
        <v>6</v>
      </c>
      <c r="D1189" s="3" t="n">
        <v>0</v>
      </c>
      <c r="E1189" s="3" t="n">
        <v>11</v>
      </c>
      <c r="F1189" s="24" t="n">
        <v>0.251652449</v>
      </c>
    </row>
    <row r="1190" customFormat="false" ht="15" hidden="false" customHeight="false" outlineLevel="0" collapsed="false">
      <c r="A1190" s="3" t="n">
        <v>1189</v>
      </c>
      <c r="B1190" s="3" t="n">
        <v>1188</v>
      </c>
      <c r="C1190" s="3" t="n">
        <v>6</v>
      </c>
      <c r="D1190" s="3" t="n">
        <v>0</v>
      </c>
      <c r="E1190" s="3" t="n">
        <v>12</v>
      </c>
      <c r="F1190" s="24" t="n">
        <v>0.251652449</v>
      </c>
    </row>
    <row r="1191" customFormat="false" ht="15" hidden="false" customHeight="false" outlineLevel="0" collapsed="false">
      <c r="A1191" s="3" t="n">
        <v>1190</v>
      </c>
      <c r="B1191" s="3" t="n">
        <v>1189</v>
      </c>
      <c r="C1191" s="3" t="n">
        <v>6</v>
      </c>
      <c r="D1191" s="3" t="n">
        <v>0</v>
      </c>
      <c r="E1191" s="3" t="n">
        <v>13</v>
      </c>
      <c r="F1191" s="24" t="n">
        <v>0.251652449</v>
      </c>
    </row>
    <row r="1192" customFormat="false" ht="15" hidden="false" customHeight="false" outlineLevel="0" collapsed="false">
      <c r="A1192" s="3" t="n">
        <v>1191</v>
      </c>
      <c r="B1192" s="3" t="n">
        <v>1190</v>
      </c>
      <c r="C1192" s="3" t="n">
        <v>6</v>
      </c>
      <c r="D1192" s="3" t="n">
        <v>1</v>
      </c>
      <c r="E1192" s="3" t="n">
        <v>0</v>
      </c>
      <c r="F1192" s="24" t="n">
        <v>0.185572863</v>
      </c>
    </row>
    <row r="1193" customFormat="false" ht="15" hidden="false" customHeight="false" outlineLevel="0" collapsed="false">
      <c r="A1193" s="3" t="n">
        <v>1192</v>
      </c>
      <c r="B1193" s="3" t="n">
        <v>1191</v>
      </c>
      <c r="C1193" s="3" t="n">
        <v>6</v>
      </c>
      <c r="D1193" s="3" t="n">
        <v>1</v>
      </c>
      <c r="E1193" s="3" t="n">
        <v>1</v>
      </c>
      <c r="F1193" s="24" t="n">
        <v>0</v>
      </c>
    </row>
    <row r="1194" customFormat="false" ht="15" hidden="false" customHeight="false" outlineLevel="0" collapsed="false">
      <c r="A1194" s="3" t="n">
        <v>1193</v>
      </c>
      <c r="B1194" s="3" t="n">
        <v>1192</v>
      </c>
      <c r="C1194" s="3" t="n">
        <v>6</v>
      </c>
      <c r="D1194" s="3" t="n">
        <v>1</v>
      </c>
      <c r="E1194" s="3" t="n">
        <v>2</v>
      </c>
      <c r="F1194" s="24" t="n">
        <v>0</v>
      </c>
    </row>
    <row r="1195" customFormat="false" ht="15" hidden="false" customHeight="false" outlineLevel="0" collapsed="false">
      <c r="A1195" s="3" t="n">
        <v>1194</v>
      </c>
      <c r="B1195" s="3" t="n">
        <v>1193</v>
      </c>
      <c r="C1195" s="3" t="n">
        <v>6</v>
      </c>
      <c r="D1195" s="3" t="n">
        <v>1</v>
      </c>
      <c r="E1195" s="3" t="n">
        <v>3</v>
      </c>
      <c r="F1195" s="24" t="n">
        <v>0</v>
      </c>
    </row>
    <row r="1196" customFormat="false" ht="15" hidden="false" customHeight="false" outlineLevel="0" collapsed="false">
      <c r="A1196" s="3" t="n">
        <v>1195</v>
      </c>
      <c r="B1196" s="3" t="n">
        <v>1194</v>
      </c>
      <c r="C1196" s="3" t="n">
        <v>6</v>
      </c>
      <c r="D1196" s="3" t="n">
        <v>1</v>
      </c>
      <c r="E1196" s="3" t="n">
        <v>4</v>
      </c>
      <c r="F1196" s="24" t="n">
        <v>0</v>
      </c>
    </row>
    <row r="1197" customFormat="false" ht="15" hidden="false" customHeight="false" outlineLevel="0" collapsed="false">
      <c r="A1197" s="3" t="n">
        <v>1196</v>
      </c>
      <c r="B1197" s="3" t="n">
        <v>1195</v>
      </c>
      <c r="C1197" s="3" t="n">
        <v>6</v>
      </c>
      <c r="D1197" s="3" t="n">
        <v>1</v>
      </c>
      <c r="E1197" s="3" t="n">
        <v>5</v>
      </c>
      <c r="F1197" s="24" t="n">
        <v>0</v>
      </c>
    </row>
    <row r="1198" customFormat="false" ht="15" hidden="false" customHeight="false" outlineLevel="0" collapsed="false">
      <c r="A1198" s="3" t="n">
        <v>1197</v>
      </c>
      <c r="B1198" s="3" t="n">
        <v>1196</v>
      </c>
      <c r="C1198" s="3" t="n">
        <v>6</v>
      </c>
      <c r="D1198" s="3" t="n">
        <v>1</v>
      </c>
      <c r="E1198" s="3" t="n">
        <v>6</v>
      </c>
      <c r="F1198" s="24" t="n">
        <v>0</v>
      </c>
    </row>
    <row r="1199" customFormat="false" ht="15" hidden="false" customHeight="false" outlineLevel="0" collapsed="false">
      <c r="A1199" s="3" t="n">
        <v>1198</v>
      </c>
      <c r="B1199" s="3" t="n">
        <v>1197</v>
      </c>
      <c r="C1199" s="3" t="n">
        <v>6</v>
      </c>
      <c r="D1199" s="3" t="n">
        <v>1</v>
      </c>
      <c r="E1199" s="3" t="n">
        <v>7</v>
      </c>
      <c r="F1199" s="24" t="n">
        <v>0</v>
      </c>
    </row>
    <row r="1200" customFormat="false" ht="15" hidden="false" customHeight="false" outlineLevel="0" collapsed="false">
      <c r="A1200" s="3" t="n">
        <v>1199</v>
      </c>
      <c r="B1200" s="3" t="n">
        <v>1198</v>
      </c>
      <c r="C1200" s="3" t="n">
        <v>6</v>
      </c>
      <c r="D1200" s="3" t="n">
        <v>1</v>
      </c>
      <c r="E1200" s="3" t="n">
        <v>8</v>
      </c>
      <c r="F1200" s="24" t="n">
        <v>0</v>
      </c>
    </row>
    <row r="1201" customFormat="false" ht="15" hidden="false" customHeight="false" outlineLevel="0" collapsed="false">
      <c r="A1201" s="3" t="n">
        <v>1200</v>
      </c>
      <c r="B1201" s="3" t="n">
        <v>1199</v>
      </c>
      <c r="C1201" s="3" t="n">
        <v>6</v>
      </c>
      <c r="D1201" s="3" t="n">
        <v>1</v>
      </c>
      <c r="E1201" s="3" t="n">
        <v>9</v>
      </c>
      <c r="F1201" s="24" t="n">
        <v>0</v>
      </c>
    </row>
    <row r="1202" customFormat="false" ht="15" hidden="false" customHeight="false" outlineLevel="0" collapsed="false">
      <c r="A1202" s="3" t="n">
        <v>1201</v>
      </c>
      <c r="B1202" s="3" t="n">
        <v>1200</v>
      </c>
      <c r="C1202" s="3" t="n">
        <v>6</v>
      </c>
      <c r="D1202" s="3" t="n">
        <v>1</v>
      </c>
      <c r="E1202" s="3" t="n">
        <v>10</v>
      </c>
      <c r="F1202" s="24" t="n">
        <v>0</v>
      </c>
    </row>
    <row r="1203" customFormat="false" ht="15" hidden="false" customHeight="false" outlineLevel="0" collapsed="false">
      <c r="A1203" s="3" t="n">
        <v>1202</v>
      </c>
      <c r="B1203" s="3" t="n">
        <v>1201</v>
      </c>
      <c r="C1203" s="3" t="n">
        <v>6</v>
      </c>
      <c r="D1203" s="3" t="n">
        <v>1</v>
      </c>
      <c r="E1203" s="3" t="n">
        <v>11</v>
      </c>
      <c r="F1203" s="24" t="n">
        <v>0</v>
      </c>
    </row>
    <row r="1204" customFormat="false" ht="15" hidden="false" customHeight="false" outlineLevel="0" collapsed="false">
      <c r="A1204" s="3" t="n">
        <v>1203</v>
      </c>
      <c r="B1204" s="3" t="n">
        <v>1202</v>
      </c>
      <c r="C1204" s="3" t="n">
        <v>6</v>
      </c>
      <c r="D1204" s="3" t="n">
        <v>1</v>
      </c>
      <c r="E1204" s="3" t="n">
        <v>12</v>
      </c>
      <c r="F1204" s="24" t="n">
        <v>0</v>
      </c>
    </row>
    <row r="1205" customFormat="false" ht="15" hidden="false" customHeight="false" outlineLevel="0" collapsed="false">
      <c r="A1205" s="3" t="n">
        <v>1204</v>
      </c>
      <c r="B1205" s="3" t="n">
        <v>1203</v>
      </c>
      <c r="C1205" s="3" t="n">
        <v>6</v>
      </c>
      <c r="D1205" s="3" t="n">
        <v>1</v>
      </c>
      <c r="E1205" s="3" t="n">
        <v>13</v>
      </c>
      <c r="F1205" s="24" t="n">
        <v>0</v>
      </c>
    </row>
    <row r="1206" customFormat="false" ht="15" hidden="false" customHeight="false" outlineLevel="0" collapsed="false">
      <c r="A1206" s="3" t="n">
        <v>1205</v>
      </c>
      <c r="B1206" s="3" t="n">
        <v>1204</v>
      </c>
      <c r="C1206" s="3" t="n">
        <v>6</v>
      </c>
      <c r="D1206" s="3" t="n">
        <v>2</v>
      </c>
      <c r="E1206" s="3" t="n">
        <v>0</v>
      </c>
      <c r="F1206" s="24" t="n">
        <v>0.185572863</v>
      </c>
    </row>
    <row r="1207" customFormat="false" ht="15" hidden="false" customHeight="false" outlineLevel="0" collapsed="false">
      <c r="A1207" s="3" t="n">
        <v>1206</v>
      </c>
      <c r="B1207" s="3" t="n">
        <v>1205</v>
      </c>
      <c r="C1207" s="3" t="n">
        <v>6</v>
      </c>
      <c r="D1207" s="3" t="n">
        <v>2</v>
      </c>
      <c r="E1207" s="3" t="n">
        <v>1</v>
      </c>
      <c r="F1207" s="24" t="n">
        <v>0</v>
      </c>
    </row>
    <row r="1208" customFormat="false" ht="15" hidden="false" customHeight="false" outlineLevel="0" collapsed="false">
      <c r="A1208" s="3" t="n">
        <v>1207</v>
      </c>
      <c r="B1208" s="3" t="n">
        <v>1206</v>
      </c>
      <c r="C1208" s="3" t="n">
        <v>6</v>
      </c>
      <c r="D1208" s="3" t="n">
        <v>2</v>
      </c>
      <c r="E1208" s="3" t="n">
        <v>2</v>
      </c>
      <c r="F1208" s="24" t="n">
        <v>0</v>
      </c>
    </row>
    <row r="1209" customFormat="false" ht="15" hidden="false" customHeight="false" outlineLevel="0" collapsed="false">
      <c r="A1209" s="3" t="n">
        <v>1208</v>
      </c>
      <c r="B1209" s="3" t="n">
        <v>1207</v>
      </c>
      <c r="C1209" s="3" t="n">
        <v>6</v>
      </c>
      <c r="D1209" s="3" t="n">
        <v>2</v>
      </c>
      <c r="E1209" s="3" t="n">
        <v>3</v>
      </c>
      <c r="F1209" s="24" t="n">
        <v>0</v>
      </c>
    </row>
    <row r="1210" customFormat="false" ht="15" hidden="false" customHeight="false" outlineLevel="0" collapsed="false">
      <c r="A1210" s="3" t="n">
        <v>1209</v>
      </c>
      <c r="B1210" s="3" t="n">
        <v>1208</v>
      </c>
      <c r="C1210" s="3" t="n">
        <v>6</v>
      </c>
      <c r="D1210" s="3" t="n">
        <v>2</v>
      </c>
      <c r="E1210" s="3" t="n">
        <v>4</v>
      </c>
      <c r="F1210" s="24" t="n">
        <v>0</v>
      </c>
    </row>
    <row r="1211" customFormat="false" ht="15" hidden="false" customHeight="false" outlineLevel="0" collapsed="false">
      <c r="A1211" s="3" t="n">
        <v>1210</v>
      </c>
      <c r="B1211" s="3" t="n">
        <v>1209</v>
      </c>
      <c r="C1211" s="3" t="n">
        <v>6</v>
      </c>
      <c r="D1211" s="3" t="n">
        <v>2</v>
      </c>
      <c r="E1211" s="3" t="n">
        <v>5</v>
      </c>
      <c r="F1211" s="24" t="n">
        <v>0</v>
      </c>
    </row>
    <row r="1212" customFormat="false" ht="15" hidden="false" customHeight="false" outlineLevel="0" collapsed="false">
      <c r="A1212" s="3" t="n">
        <v>1211</v>
      </c>
      <c r="B1212" s="3" t="n">
        <v>1210</v>
      </c>
      <c r="C1212" s="3" t="n">
        <v>6</v>
      </c>
      <c r="D1212" s="3" t="n">
        <v>2</v>
      </c>
      <c r="E1212" s="3" t="n">
        <v>6</v>
      </c>
      <c r="F1212" s="24" t="n">
        <v>0</v>
      </c>
    </row>
    <row r="1213" customFormat="false" ht="15" hidden="false" customHeight="false" outlineLevel="0" collapsed="false">
      <c r="A1213" s="3" t="n">
        <v>1212</v>
      </c>
      <c r="B1213" s="3" t="n">
        <v>1211</v>
      </c>
      <c r="C1213" s="3" t="n">
        <v>6</v>
      </c>
      <c r="D1213" s="3" t="n">
        <v>2</v>
      </c>
      <c r="E1213" s="3" t="n">
        <v>7</v>
      </c>
      <c r="F1213" s="24" t="n">
        <v>0</v>
      </c>
    </row>
    <row r="1214" customFormat="false" ht="15" hidden="false" customHeight="false" outlineLevel="0" collapsed="false">
      <c r="A1214" s="3" t="n">
        <v>1213</v>
      </c>
      <c r="B1214" s="3" t="n">
        <v>1212</v>
      </c>
      <c r="C1214" s="3" t="n">
        <v>6</v>
      </c>
      <c r="D1214" s="3" t="n">
        <v>2</v>
      </c>
      <c r="E1214" s="3" t="n">
        <v>8</v>
      </c>
      <c r="F1214" s="24" t="n">
        <v>0</v>
      </c>
    </row>
    <row r="1215" customFormat="false" ht="15" hidden="false" customHeight="false" outlineLevel="0" collapsed="false">
      <c r="A1215" s="3" t="n">
        <v>1214</v>
      </c>
      <c r="B1215" s="3" t="n">
        <v>1213</v>
      </c>
      <c r="C1215" s="3" t="n">
        <v>6</v>
      </c>
      <c r="D1215" s="3" t="n">
        <v>2</v>
      </c>
      <c r="E1215" s="3" t="n">
        <v>9</v>
      </c>
      <c r="F1215" s="24" t="n">
        <v>0</v>
      </c>
    </row>
    <row r="1216" customFormat="false" ht="15" hidden="false" customHeight="false" outlineLevel="0" collapsed="false">
      <c r="A1216" s="3" t="n">
        <v>1215</v>
      </c>
      <c r="B1216" s="3" t="n">
        <v>1214</v>
      </c>
      <c r="C1216" s="3" t="n">
        <v>6</v>
      </c>
      <c r="D1216" s="3" t="n">
        <v>2</v>
      </c>
      <c r="E1216" s="3" t="n">
        <v>10</v>
      </c>
      <c r="F1216" s="24" t="n">
        <v>0</v>
      </c>
    </row>
    <row r="1217" customFormat="false" ht="15" hidden="false" customHeight="false" outlineLevel="0" collapsed="false">
      <c r="A1217" s="3" t="n">
        <v>1216</v>
      </c>
      <c r="B1217" s="3" t="n">
        <v>1215</v>
      </c>
      <c r="C1217" s="3" t="n">
        <v>6</v>
      </c>
      <c r="D1217" s="3" t="n">
        <v>2</v>
      </c>
      <c r="E1217" s="3" t="n">
        <v>11</v>
      </c>
      <c r="F1217" s="24" t="n">
        <v>0</v>
      </c>
    </row>
    <row r="1218" customFormat="false" ht="15" hidden="false" customHeight="false" outlineLevel="0" collapsed="false">
      <c r="A1218" s="3" t="n">
        <v>1217</v>
      </c>
      <c r="B1218" s="3" t="n">
        <v>1216</v>
      </c>
      <c r="C1218" s="3" t="n">
        <v>6</v>
      </c>
      <c r="D1218" s="3" t="n">
        <v>2</v>
      </c>
      <c r="E1218" s="3" t="n">
        <v>12</v>
      </c>
      <c r="F1218" s="24" t="n">
        <v>0</v>
      </c>
    </row>
    <row r="1219" customFormat="false" ht="15" hidden="false" customHeight="false" outlineLevel="0" collapsed="false">
      <c r="A1219" s="3" t="n">
        <v>1218</v>
      </c>
      <c r="B1219" s="3" t="n">
        <v>1217</v>
      </c>
      <c r="C1219" s="3" t="n">
        <v>6</v>
      </c>
      <c r="D1219" s="3" t="n">
        <v>2</v>
      </c>
      <c r="E1219" s="3" t="n">
        <v>13</v>
      </c>
      <c r="F1219" s="24" t="n">
        <v>0</v>
      </c>
    </row>
    <row r="1220" customFormat="false" ht="15" hidden="false" customHeight="false" outlineLevel="0" collapsed="false">
      <c r="A1220" s="3" t="n">
        <v>1219</v>
      </c>
      <c r="B1220" s="3" t="n">
        <v>1218</v>
      </c>
      <c r="C1220" s="3" t="n">
        <v>6</v>
      </c>
      <c r="D1220" s="3" t="n">
        <v>3</v>
      </c>
      <c r="E1220" s="3" t="n">
        <v>0</v>
      </c>
      <c r="F1220" s="24" t="n">
        <v>0.185572863</v>
      </c>
    </row>
    <row r="1221" customFormat="false" ht="15" hidden="false" customHeight="false" outlineLevel="0" collapsed="false">
      <c r="A1221" s="3" t="n">
        <v>1220</v>
      </c>
      <c r="B1221" s="3" t="n">
        <v>1219</v>
      </c>
      <c r="C1221" s="3" t="n">
        <v>6</v>
      </c>
      <c r="D1221" s="3" t="n">
        <v>3</v>
      </c>
      <c r="E1221" s="3" t="n">
        <v>1</v>
      </c>
      <c r="F1221" s="24" t="n">
        <v>0</v>
      </c>
    </row>
    <row r="1222" customFormat="false" ht="15" hidden="false" customHeight="false" outlineLevel="0" collapsed="false">
      <c r="A1222" s="3" t="n">
        <v>1221</v>
      </c>
      <c r="B1222" s="3" t="n">
        <v>1220</v>
      </c>
      <c r="C1222" s="3" t="n">
        <v>6</v>
      </c>
      <c r="D1222" s="3" t="n">
        <v>3</v>
      </c>
      <c r="E1222" s="3" t="n">
        <v>2</v>
      </c>
      <c r="F1222" s="24" t="n">
        <v>0</v>
      </c>
    </row>
    <row r="1223" customFormat="false" ht="15" hidden="false" customHeight="false" outlineLevel="0" collapsed="false">
      <c r="A1223" s="3" t="n">
        <v>1222</v>
      </c>
      <c r="B1223" s="3" t="n">
        <v>1221</v>
      </c>
      <c r="C1223" s="3" t="n">
        <v>6</v>
      </c>
      <c r="D1223" s="3" t="n">
        <v>3</v>
      </c>
      <c r="E1223" s="3" t="n">
        <v>3</v>
      </c>
      <c r="F1223" s="24" t="n">
        <v>0</v>
      </c>
    </row>
    <row r="1224" customFormat="false" ht="15" hidden="false" customHeight="false" outlineLevel="0" collapsed="false">
      <c r="A1224" s="3" t="n">
        <v>1223</v>
      </c>
      <c r="B1224" s="3" t="n">
        <v>1222</v>
      </c>
      <c r="C1224" s="3" t="n">
        <v>6</v>
      </c>
      <c r="D1224" s="3" t="n">
        <v>3</v>
      </c>
      <c r="E1224" s="3" t="n">
        <v>4</v>
      </c>
      <c r="F1224" s="24" t="n">
        <v>0.216920614</v>
      </c>
    </row>
    <row r="1225" customFormat="false" ht="15" hidden="false" customHeight="false" outlineLevel="0" collapsed="false">
      <c r="A1225" s="3" t="n">
        <v>1224</v>
      </c>
      <c r="B1225" s="3" t="n">
        <v>1223</v>
      </c>
      <c r="C1225" s="3" t="n">
        <v>6</v>
      </c>
      <c r="D1225" s="3" t="n">
        <v>3</v>
      </c>
      <c r="E1225" s="3" t="n">
        <v>5</v>
      </c>
      <c r="F1225" s="24" t="n">
        <v>0</v>
      </c>
    </row>
    <row r="1226" customFormat="false" ht="15" hidden="false" customHeight="false" outlineLevel="0" collapsed="false">
      <c r="A1226" s="3" t="n">
        <v>1225</v>
      </c>
      <c r="B1226" s="3" t="n">
        <v>1224</v>
      </c>
      <c r="C1226" s="3" t="n">
        <v>6</v>
      </c>
      <c r="D1226" s="3" t="n">
        <v>3</v>
      </c>
      <c r="E1226" s="3" t="n">
        <v>6</v>
      </c>
      <c r="F1226" s="24" t="n">
        <v>0.056651175</v>
      </c>
    </row>
    <row r="1227" customFormat="false" ht="15" hidden="false" customHeight="false" outlineLevel="0" collapsed="false">
      <c r="A1227" s="3" t="n">
        <v>1226</v>
      </c>
      <c r="B1227" s="3" t="n">
        <v>1225</v>
      </c>
      <c r="C1227" s="3" t="n">
        <v>6</v>
      </c>
      <c r="D1227" s="3" t="n">
        <v>3</v>
      </c>
      <c r="E1227" s="3" t="n">
        <v>7</v>
      </c>
      <c r="F1227" s="24" t="n">
        <v>0</v>
      </c>
    </row>
    <row r="1228" customFormat="false" ht="15" hidden="false" customHeight="false" outlineLevel="0" collapsed="false">
      <c r="A1228" s="3" t="n">
        <v>1227</v>
      </c>
      <c r="B1228" s="3" t="n">
        <v>1226</v>
      </c>
      <c r="C1228" s="3" t="n">
        <v>6</v>
      </c>
      <c r="D1228" s="3" t="n">
        <v>3</v>
      </c>
      <c r="E1228" s="3" t="n">
        <v>8</v>
      </c>
      <c r="F1228" s="24" t="n">
        <v>0</v>
      </c>
    </row>
    <row r="1229" customFormat="false" ht="15" hidden="false" customHeight="false" outlineLevel="0" collapsed="false">
      <c r="A1229" s="3" t="n">
        <v>1228</v>
      </c>
      <c r="B1229" s="3" t="n">
        <v>1227</v>
      </c>
      <c r="C1229" s="3" t="n">
        <v>6</v>
      </c>
      <c r="D1229" s="3" t="n">
        <v>3</v>
      </c>
      <c r="E1229" s="3" t="n">
        <v>9</v>
      </c>
      <c r="F1229" s="24" t="n">
        <v>0</v>
      </c>
    </row>
    <row r="1230" customFormat="false" ht="15" hidden="false" customHeight="false" outlineLevel="0" collapsed="false">
      <c r="A1230" s="3" t="n">
        <v>1229</v>
      </c>
      <c r="B1230" s="3" t="n">
        <v>1228</v>
      </c>
      <c r="C1230" s="3" t="n">
        <v>6</v>
      </c>
      <c r="D1230" s="3" t="n">
        <v>3</v>
      </c>
      <c r="E1230" s="3" t="n">
        <v>10</v>
      </c>
      <c r="F1230" s="24" t="n">
        <v>0.133768812</v>
      </c>
    </row>
    <row r="1231" customFormat="false" ht="15" hidden="false" customHeight="false" outlineLevel="0" collapsed="false">
      <c r="A1231" s="3" t="n">
        <v>1230</v>
      </c>
      <c r="B1231" s="3" t="n">
        <v>1229</v>
      </c>
      <c r="C1231" s="3" t="n">
        <v>6</v>
      </c>
      <c r="D1231" s="3" t="n">
        <v>3</v>
      </c>
      <c r="E1231" s="3" t="n">
        <v>11</v>
      </c>
      <c r="F1231" s="24" t="n">
        <v>0.0848116279</v>
      </c>
    </row>
    <row r="1232" customFormat="false" ht="15" hidden="false" customHeight="false" outlineLevel="0" collapsed="false">
      <c r="A1232" s="3" t="n">
        <v>1231</v>
      </c>
      <c r="B1232" s="3" t="n">
        <v>1230</v>
      </c>
      <c r="C1232" s="3" t="n">
        <v>6</v>
      </c>
      <c r="D1232" s="3" t="n">
        <v>3</v>
      </c>
      <c r="E1232" s="3" t="n">
        <v>12</v>
      </c>
      <c r="F1232" s="24" t="n">
        <v>0</v>
      </c>
    </row>
    <row r="1233" customFormat="false" ht="15" hidden="false" customHeight="false" outlineLevel="0" collapsed="false">
      <c r="A1233" s="3" t="n">
        <v>1232</v>
      </c>
      <c r="B1233" s="3" t="n">
        <v>1231</v>
      </c>
      <c r="C1233" s="3" t="n">
        <v>6</v>
      </c>
      <c r="D1233" s="3" t="n">
        <v>3</v>
      </c>
      <c r="E1233" s="3" t="n">
        <v>13</v>
      </c>
      <c r="F1233" s="24" t="n">
        <v>0</v>
      </c>
    </row>
    <row r="1234" customFormat="false" ht="15" hidden="false" customHeight="false" outlineLevel="0" collapsed="false">
      <c r="A1234" s="3" t="n">
        <v>1233</v>
      </c>
      <c r="B1234" s="3" t="n">
        <v>1232</v>
      </c>
      <c r="C1234" s="3" t="n">
        <v>6</v>
      </c>
      <c r="D1234" s="3" t="n">
        <v>4</v>
      </c>
      <c r="E1234" s="3" t="n">
        <v>0</v>
      </c>
      <c r="F1234" s="24" t="n">
        <v>0.185572863</v>
      </c>
    </row>
    <row r="1235" customFormat="false" ht="15" hidden="false" customHeight="false" outlineLevel="0" collapsed="false">
      <c r="A1235" s="3" t="n">
        <v>1234</v>
      </c>
      <c r="B1235" s="3" t="n">
        <v>1233</v>
      </c>
      <c r="C1235" s="3" t="n">
        <v>6</v>
      </c>
      <c r="D1235" s="3" t="n">
        <v>4</v>
      </c>
      <c r="E1235" s="3" t="n">
        <v>1</v>
      </c>
      <c r="F1235" s="24" t="n">
        <v>0</v>
      </c>
    </row>
    <row r="1236" customFormat="false" ht="15" hidden="false" customHeight="false" outlineLevel="0" collapsed="false">
      <c r="A1236" s="3" t="n">
        <v>1235</v>
      </c>
      <c r="B1236" s="3" t="n">
        <v>1234</v>
      </c>
      <c r="C1236" s="3" t="n">
        <v>6</v>
      </c>
      <c r="D1236" s="3" t="n">
        <v>4</v>
      </c>
      <c r="E1236" s="3" t="n">
        <v>2</v>
      </c>
      <c r="F1236" s="24" t="n">
        <v>0.556763113</v>
      </c>
    </row>
    <row r="1237" customFormat="false" ht="15" hidden="false" customHeight="false" outlineLevel="0" collapsed="false">
      <c r="A1237" s="3" t="n">
        <v>1236</v>
      </c>
      <c r="B1237" s="3" t="n">
        <v>1235</v>
      </c>
      <c r="C1237" s="3" t="n">
        <v>6</v>
      </c>
      <c r="D1237" s="3" t="n">
        <v>4</v>
      </c>
      <c r="E1237" s="3" t="n">
        <v>3</v>
      </c>
      <c r="F1237" s="24" t="n">
        <v>2.51390791</v>
      </c>
    </row>
    <row r="1238" customFormat="false" ht="15" hidden="false" customHeight="false" outlineLevel="0" collapsed="false">
      <c r="A1238" s="3" t="n">
        <v>1237</v>
      </c>
      <c r="B1238" s="3" t="n">
        <v>1236</v>
      </c>
      <c r="C1238" s="3" t="n">
        <v>6</v>
      </c>
      <c r="D1238" s="3" t="n">
        <v>4</v>
      </c>
      <c r="E1238" s="3" t="n">
        <v>4</v>
      </c>
      <c r="F1238" s="24" t="n">
        <v>2.30641294</v>
      </c>
    </row>
    <row r="1239" customFormat="false" ht="15" hidden="false" customHeight="false" outlineLevel="0" collapsed="false">
      <c r="A1239" s="3" t="n">
        <v>1238</v>
      </c>
      <c r="B1239" s="3" t="n">
        <v>1237</v>
      </c>
      <c r="C1239" s="3" t="n">
        <v>6</v>
      </c>
      <c r="D1239" s="3" t="n">
        <v>4</v>
      </c>
      <c r="E1239" s="3" t="n">
        <v>5</v>
      </c>
      <c r="F1239" s="24" t="n">
        <v>2.37201118</v>
      </c>
    </row>
    <row r="1240" customFormat="false" ht="15" hidden="false" customHeight="false" outlineLevel="0" collapsed="false">
      <c r="A1240" s="3" t="n">
        <v>1239</v>
      </c>
      <c r="B1240" s="3" t="n">
        <v>1238</v>
      </c>
      <c r="C1240" s="3" t="n">
        <v>6</v>
      </c>
      <c r="D1240" s="3" t="n">
        <v>4</v>
      </c>
      <c r="E1240" s="3" t="n">
        <v>6</v>
      </c>
      <c r="F1240" s="24" t="n">
        <v>2.66839337</v>
      </c>
    </row>
    <row r="1241" customFormat="false" ht="15" hidden="false" customHeight="false" outlineLevel="0" collapsed="false">
      <c r="A1241" s="3" t="n">
        <v>1240</v>
      </c>
      <c r="B1241" s="3" t="n">
        <v>1239</v>
      </c>
      <c r="C1241" s="3" t="n">
        <v>6</v>
      </c>
      <c r="D1241" s="3" t="n">
        <v>4</v>
      </c>
      <c r="E1241" s="3" t="n">
        <v>7</v>
      </c>
      <c r="F1241" s="24" t="n">
        <v>2.57734203</v>
      </c>
    </row>
    <row r="1242" customFormat="false" ht="15" hidden="false" customHeight="false" outlineLevel="0" collapsed="false">
      <c r="A1242" s="3" t="n">
        <v>1241</v>
      </c>
      <c r="B1242" s="3" t="n">
        <v>1240</v>
      </c>
      <c r="C1242" s="3" t="n">
        <v>6</v>
      </c>
      <c r="D1242" s="3" t="n">
        <v>4</v>
      </c>
      <c r="E1242" s="3" t="n">
        <v>8</v>
      </c>
      <c r="F1242" s="24" t="n">
        <v>2.77080894</v>
      </c>
    </row>
    <row r="1243" customFormat="false" ht="15" hidden="false" customHeight="false" outlineLevel="0" collapsed="false">
      <c r="A1243" s="3" t="n">
        <v>1242</v>
      </c>
      <c r="B1243" s="3" t="n">
        <v>1241</v>
      </c>
      <c r="C1243" s="3" t="n">
        <v>6</v>
      </c>
      <c r="D1243" s="3" t="n">
        <v>4</v>
      </c>
      <c r="E1243" s="3" t="n">
        <v>9</v>
      </c>
      <c r="F1243" s="24" t="n">
        <v>2.17933488</v>
      </c>
    </row>
    <row r="1244" customFormat="false" ht="15" hidden="false" customHeight="false" outlineLevel="0" collapsed="false">
      <c r="A1244" s="3" t="n">
        <v>1243</v>
      </c>
      <c r="B1244" s="3" t="n">
        <v>1242</v>
      </c>
      <c r="C1244" s="3" t="n">
        <v>6</v>
      </c>
      <c r="D1244" s="3" t="n">
        <v>4</v>
      </c>
      <c r="E1244" s="3" t="n">
        <v>10</v>
      </c>
      <c r="F1244" s="24" t="n">
        <v>2.00689149</v>
      </c>
    </row>
    <row r="1245" customFormat="false" ht="15" hidden="false" customHeight="false" outlineLevel="0" collapsed="false">
      <c r="A1245" s="3" t="n">
        <v>1244</v>
      </c>
      <c r="B1245" s="3" t="n">
        <v>1243</v>
      </c>
      <c r="C1245" s="3" t="n">
        <v>6</v>
      </c>
      <c r="D1245" s="3" t="n">
        <v>4</v>
      </c>
      <c r="E1245" s="3" t="n">
        <v>11</v>
      </c>
      <c r="F1245" s="24" t="n">
        <v>0.661567271</v>
      </c>
    </row>
    <row r="1246" customFormat="false" ht="15" hidden="false" customHeight="false" outlineLevel="0" collapsed="false">
      <c r="A1246" s="3" t="n">
        <v>1245</v>
      </c>
      <c r="B1246" s="3" t="n">
        <v>1244</v>
      </c>
      <c r="C1246" s="3" t="n">
        <v>6</v>
      </c>
      <c r="D1246" s="3" t="n">
        <v>4</v>
      </c>
      <c r="E1246" s="3" t="n">
        <v>12</v>
      </c>
      <c r="F1246" s="24" t="n">
        <v>0</v>
      </c>
    </row>
    <row r="1247" customFormat="false" ht="15" hidden="false" customHeight="false" outlineLevel="0" collapsed="false">
      <c r="A1247" s="3" t="n">
        <v>1246</v>
      </c>
      <c r="B1247" s="3" t="n">
        <v>1245</v>
      </c>
      <c r="C1247" s="3" t="n">
        <v>6</v>
      </c>
      <c r="D1247" s="3" t="n">
        <v>4</v>
      </c>
      <c r="E1247" s="3" t="n">
        <v>13</v>
      </c>
      <c r="F1247" s="24" t="n">
        <v>0</v>
      </c>
    </row>
    <row r="1248" customFormat="false" ht="15" hidden="false" customHeight="false" outlineLevel="0" collapsed="false">
      <c r="A1248" s="3" t="n">
        <v>1247</v>
      </c>
      <c r="B1248" s="3" t="n">
        <v>1246</v>
      </c>
      <c r="C1248" s="3" t="n">
        <v>6</v>
      </c>
      <c r="D1248" s="3" t="n">
        <v>5</v>
      </c>
      <c r="E1248" s="3" t="n">
        <v>0</v>
      </c>
      <c r="F1248" s="24" t="n">
        <v>0.185572863</v>
      </c>
    </row>
    <row r="1249" customFormat="false" ht="15" hidden="false" customHeight="false" outlineLevel="0" collapsed="false">
      <c r="A1249" s="3" t="n">
        <v>1248</v>
      </c>
      <c r="B1249" s="3" t="n">
        <v>1247</v>
      </c>
      <c r="C1249" s="3" t="n">
        <v>6</v>
      </c>
      <c r="D1249" s="3" t="n">
        <v>5</v>
      </c>
      <c r="E1249" s="3" t="n">
        <v>1</v>
      </c>
      <c r="F1249" s="24" t="n">
        <v>0</v>
      </c>
    </row>
    <row r="1250" customFormat="false" ht="15" hidden="false" customHeight="false" outlineLevel="0" collapsed="false">
      <c r="A1250" s="3" t="n">
        <v>1249</v>
      </c>
      <c r="B1250" s="3" t="n">
        <v>1248</v>
      </c>
      <c r="C1250" s="3" t="n">
        <v>6</v>
      </c>
      <c r="D1250" s="3" t="n">
        <v>5</v>
      </c>
      <c r="E1250" s="3" t="n">
        <v>2</v>
      </c>
      <c r="F1250" s="24" t="n">
        <v>0.235677361</v>
      </c>
    </row>
    <row r="1251" customFormat="false" ht="15" hidden="false" customHeight="false" outlineLevel="0" collapsed="false">
      <c r="A1251" s="3" t="n">
        <v>1250</v>
      </c>
      <c r="B1251" s="3" t="n">
        <v>1249</v>
      </c>
      <c r="C1251" s="3" t="n">
        <v>6</v>
      </c>
      <c r="D1251" s="3" t="n">
        <v>5</v>
      </c>
      <c r="E1251" s="3" t="n">
        <v>3</v>
      </c>
      <c r="F1251" s="24" t="n">
        <v>0.682566643</v>
      </c>
    </row>
    <row r="1252" customFormat="false" ht="15" hidden="false" customHeight="false" outlineLevel="0" collapsed="false">
      <c r="A1252" s="3" t="n">
        <v>1251</v>
      </c>
      <c r="B1252" s="3" t="n">
        <v>1250</v>
      </c>
      <c r="C1252" s="3" t="n">
        <v>6</v>
      </c>
      <c r="D1252" s="3" t="n">
        <v>5</v>
      </c>
      <c r="E1252" s="3" t="n">
        <v>4</v>
      </c>
      <c r="F1252" s="24" t="n">
        <v>1.01630116</v>
      </c>
    </row>
    <row r="1253" customFormat="false" ht="15" hidden="false" customHeight="false" outlineLevel="0" collapsed="false">
      <c r="A1253" s="3" t="n">
        <v>1252</v>
      </c>
      <c r="B1253" s="3" t="n">
        <v>1251</v>
      </c>
      <c r="C1253" s="3" t="n">
        <v>6</v>
      </c>
      <c r="D1253" s="3" t="n">
        <v>5</v>
      </c>
      <c r="E1253" s="3" t="n">
        <v>5</v>
      </c>
      <c r="F1253" s="24" t="n">
        <v>1.65066397</v>
      </c>
    </row>
    <row r="1254" customFormat="false" ht="15" hidden="false" customHeight="false" outlineLevel="0" collapsed="false">
      <c r="A1254" s="3" t="n">
        <v>1253</v>
      </c>
      <c r="B1254" s="3" t="n">
        <v>1252</v>
      </c>
      <c r="C1254" s="3" t="n">
        <v>6</v>
      </c>
      <c r="D1254" s="3" t="n">
        <v>5</v>
      </c>
      <c r="E1254" s="3" t="n">
        <v>6</v>
      </c>
      <c r="F1254" s="24" t="n">
        <v>2.20044613</v>
      </c>
    </row>
    <row r="1255" customFormat="false" ht="15" hidden="false" customHeight="false" outlineLevel="0" collapsed="false">
      <c r="A1255" s="3" t="n">
        <v>1254</v>
      </c>
      <c r="B1255" s="3" t="n">
        <v>1253</v>
      </c>
      <c r="C1255" s="3" t="n">
        <v>6</v>
      </c>
      <c r="D1255" s="3" t="n">
        <v>5</v>
      </c>
      <c r="E1255" s="3" t="n">
        <v>7</v>
      </c>
      <c r="F1255" s="24" t="n">
        <v>2.30096817</v>
      </c>
    </row>
    <row r="1256" customFormat="false" ht="15" hidden="false" customHeight="false" outlineLevel="0" collapsed="false">
      <c r="A1256" s="3" t="n">
        <v>1255</v>
      </c>
      <c r="B1256" s="3" t="n">
        <v>1254</v>
      </c>
      <c r="C1256" s="3" t="n">
        <v>6</v>
      </c>
      <c r="D1256" s="3" t="n">
        <v>5</v>
      </c>
      <c r="E1256" s="3" t="n">
        <v>8</v>
      </c>
      <c r="F1256" s="24" t="n">
        <v>2.31511331</v>
      </c>
    </row>
    <row r="1257" customFormat="false" ht="15" hidden="false" customHeight="false" outlineLevel="0" collapsed="false">
      <c r="A1257" s="3" t="n">
        <v>1256</v>
      </c>
      <c r="B1257" s="3" t="n">
        <v>1255</v>
      </c>
      <c r="C1257" s="3" t="n">
        <v>6</v>
      </c>
      <c r="D1257" s="3" t="n">
        <v>5</v>
      </c>
      <c r="E1257" s="3" t="n">
        <v>9</v>
      </c>
      <c r="F1257" s="24" t="n">
        <v>2.05001879</v>
      </c>
    </row>
    <row r="1258" customFormat="false" ht="15" hidden="false" customHeight="false" outlineLevel="0" collapsed="false">
      <c r="A1258" s="3" t="n">
        <v>1257</v>
      </c>
      <c r="B1258" s="3" t="n">
        <v>1256</v>
      </c>
      <c r="C1258" s="3" t="n">
        <v>6</v>
      </c>
      <c r="D1258" s="3" t="n">
        <v>5</v>
      </c>
      <c r="E1258" s="3" t="n">
        <v>10</v>
      </c>
      <c r="F1258" s="24" t="n">
        <v>3.48233175</v>
      </c>
    </row>
    <row r="1259" customFormat="false" ht="15" hidden="false" customHeight="false" outlineLevel="0" collapsed="false">
      <c r="A1259" s="3" t="n">
        <v>1258</v>
      </c>
      <c r="B1259" s="3" t="n">
        <v>1257</v>
      </c>
      <c r="C1259" s="3" t="n">
        <v>6</v>
      </c>
      <c r="D1259" s="3" t="n">
        <v>5</v>
      </c>
      <c r="E1259" s="3" t="n">
        <v>11</v>
      </c>
      <c r="F1259" s="24" t="n">
        <v>0.480704665</v>
      </c>
    </row>
    <row r="1260" customFormat="false" ht="15" hidden="false" customHeight="false" outlineLevel="0" collapsed="false">
      <c r="A1260" s="3" t="n">
        <v>1259</v>
      </c>
      <c r="B1260" s="3" t="n">
        <v>1258</v>
      </c>
      <c r="C1260" s="3" t="n">
        <v>6</v>
      </c>
      <c r="D1260" s="3" t="n">
        <v>5</v>
      </c>
      <c r="E1260" s="3" t="n">
        <v>12</v>
      </c>
      <c r="F1260" s="24" t="n">
        <v>0</v>
      </c>
    </row>
    <row r="1261" customFormat="false" ht="15" hidden="false" customHeight="false" outlineLevel="0" collapsed="false">
      <c r="A1261" s="3" t="n">
        <v>1260</v>
      </c>
      <c r="B1261" s="3" t="n">
        <v>1259</v>
      </c>
      <c r="C1261" s="3" t="n">
        <v>6</v>
      </c>
      <c r="D1261" s="3" t="n">
        <v>5</v>
      </c>
      <c r="E1261" s="3" t="n">
        <v>13</v>
      </c>
      <c r="F1261" s="24" t="n">
        <v>0</v>
      </c>
    </row>
    <row r="1262" customFormat="false" ht="15" hidden="false" customHeight="false" outlineLevel="0" collapsed="false">
      <c r="A1262" s="3" t="n">
        <v>1261</v>
      </c>
      <c r="B1262" s="3" t="n">
        <v>1260</v>
      </c>
      <c r="C1262" s="3" t="n">
        <v>6</v>
      </c>
      <c r="D1262" s="3" t="n">
        <v>6</v>
      </c>
      <c r="E1262" s="3" t="n">
        <v>0</v>
      </c>
      <c r="F1262" s="24" t="n">
        <v>0.185572863</v>
      </c>
    </row>
    <row r="1263" customFormat="false" ht="15" hidden="false" customHeight="false" outlineLevel="0" collapsed="false">
      <c r="A1263" s="3" t="n">
        <v>1262</v>
      </c>
      <c r="B1263" s="3" t="n">
        <v>1261</v>
      </c>
      <c r="C1263" s="3" t="n">
        <v>6</v>
      </c>
      <c r="D1263" s="3" t="n">
        <v>6</v>
      </c>
      <c r="E1263" s="3" t="n">
        <v>1</v>
      </c>
      <c r="F1263" s="24" t="n">
        <v>0</v>
      </c>
    </row>
    <row r="1264" customFormat="false" ht="15" hidden="false" customHeight="false" outlineLevel="0" collapsed="false">
      <c r="A1264" s="3" t="n">
        <v>1263</v>
      </c>
      <c r="B1264" s="3" t="n">
        <v>1262</v>
      </c>
      <c r="C1264" s="3" t="n">
        <v>6</v>
      </c>
      <c r="D1264" s="3" t="n">
        <v>6</v>
      </c>
      <c r="E1264" s="3" t="n">
        <v>2</v>
      </c>
      <c r="F1264" s="24" t="n">
        <v>0</v>
      </c>
    </row>
    <row r="1265" customFormat="false" ht="15" hidden="false" customHeight="false" outlineLevel="0" collapsed="false">
      <c r="A1265" s="3" t="n">
        <v>1264</v>
      </c>
      <c r="B1265" s="3" t="n">
        <v>1263</v>
      </c>
      <c r="C1265" s="3" t="n">
        <v>6</v>
      </c>
      <c r="D1265" s="3" t="n">
        <v>6</v>
      </c>
      <c r="E1265" s="3" t="n">
        <v>3</v>
      </c>
      <c r="F1265" s="24" t="n">
        <v>0</v>
      </c>
    </row>
    <row r="1266" customFormat="false" ht="15" hidden="false" customHeight="false" outlineLevel="0" collapsed="false">
      <c r="A1266" s="3" t="n">
        <v>1265</v>
      </c>
      <c r="B1266" s="3" t="n">
        <v>1264</v>
      </c>
      <c r="C1266" s="3" t="n">
        <v>6</v>
      </c>
      <c r="D1266" s="3" t="n">
        <v>6</v>
      </c>
      <c r="E1266" s="3" t="n">
        <v>4</v>
      </c>
      <c r="F1266" s="24" t="n">
        <v>0</v>
      </c>
    </row>
    <row r="1267" customFormat="false" ht="15" hidden="false" customHeight="false" outlineLevel="0" collapsed="false">
      <c r="A1267" s="3" t="n">
        <v>1266</v>
      </c>
      <c r="B1267" s="3" t="n">
        <v>1265</v>
      </c>
      <c r="C1267" s="3" t="n">
        <v>6</v>
      </c>
      <c r="D1267" s="3" t="n">
        <v>6</v>
      </c>
      <c r="E1267" s="3" t="n">
        <v>5</v>
      </c>
      <c r="F1267" s="24" t="n">
        <v>0</v>
      </c>
    </row>
    <row r="1268" customFormat="false" ht="15" hidden="false" customHeight="false" outlineLevel="0" collapsed="false">
      <c r="A1268" s="3" t="n">
        <v>1267</v>
      </c>
      <c r="B1268" s="3" t="n">
        <v>1266</v>
      </c>
      <c r="C1268" s="3" t="n">
        <v>6</v>
      </c>
      <c r="D1268" s="3" t="n">
        <v>6</v>
      </c>
      <c r="E1268" s="3" t="n">
        <v>6</v>
      </c>
      <c r="F1268" s="24" t="n">
        <v>0</v>
      </c>
    </row>
    <row r="1269" customFormat="false" ht="15" hidden="false" customHeight="false" outlineLevel="0" collapsed="false">
      <c r="A1269" s="3" t="n">
        <v>1268</v>
      </c>
      <c r="B1269" s="3" t="n">
        <v>1267</v>
      </c>
      <c r="C1269" s="3" t="n">
        <v>6</v>
      </c>
      <c r="D1269" s="3" t="n">
        <v>6</v>
      </c>
      <c r="E1269" s="3" t="n">
        <v>7</v>
      </c>
      <c r="F1269" s="24" t="n">
        <v>0</v>
      </c>
    </row>
    <row r="1270" customFormat="false" ht="15" hidden="false" customHeight="false" outlineLevel="0" collapsed="false">
      <c r="A1270" s="3" t="n">
        <v>1269</v>
      </c>
      <c r="B1270" s="3" t="n">
        <v>1268</v>
      </c>
      <c r="C1270" s="3" t="n">
        <v>6</v>
      </c>
      <c r="D1270" s="3" t="n">
        <v>6</v>
      </c>
      <c r="E1270" s="3" t="n">
        <v>8</v>
      </c>
      <c r="F1270" s="24" t="n">
        <v>0</v>
      </c>
    </row>
    <row r="1271" customFormat="false" ht="15" hidden="false" customHeight="false" outlineLevel="0" collapsed="false">
      <c r="A1271" s="3" t="n">
        <v>1270</v>
      </c>
      <c r="B1271" s="3" t="n">
        <v>1269</v>
      </c>
      <c r="C1271" s="3" t="n">
        <v>6</v>
      </c>
      <c r="D1271" s="3" t="n">
        <v>6</v>
      </c>
      <c r="E1271" s="3" t="n">
        <v>9</v>
      </c>
      <c r="F1271" s="24" t="n">
        <v>3.53236461</v>
      </c>
    </row>
    <row r="1272" customFormat="false" ht="15" hidden="false" customHeight="false" outlineLevel="0" collapsed="false">
      <c r="A1272" s="3" t="n">
        <v>1271</v>
      </c>
      <c r="B1272" s="3" t="n">
        <v>1270</v>
      </c>
      <c r="C1272" s="3" t="n">
        <v>6</v>
      </c>
      <c r="D1272" s="3" t="n">
        <v>6</v>
      </c>
      <c r="E1272" s="3" t="n">
        <v>10</v>
      </c>
      <c r="F1272" s="24" t="n">
        <v>2.49732947</v>
      </c>
    </row>
    <row r="1273" customFormat="false" ht="15" hidden="false" customHeight="false" outlineLevel="0" collapsed="false">
      <c r="A1273" s="3" t="n">
        <v>1272</v>
      </c>
      <c r="B1273" s="3" t="n">
        <v>1271</v>
      </c>
      <c r="C1273" s="3" t="n">
        <v>6</v>
      </c>
      <c r="D1273" s="3" t="n">
        <v>6</v>
      </c>
      <c r="E1273" s="3" t="n">
        <v>11</v>
      </c>
      <c r="F1273" s="24" t="n">
        <v>0.00956919789</v>
      </c>
    </row>
    <row r="1274" customFormat="false" ht="15" hidden="false" customHeight="false" outlineLevel="0" collapsed="false">
      <c r="A1274" s="3" t="n">
        <v>1273</v>
      </c>
      <c r="B1274" s="3" t="n">
        <v>1272</v>
      </c>
      <c r="C1274" s="3" t="n">
        <v>6</v>
      </c>
      <c r="D1274" s="3" t="n">
        <v>6</v>
      </c>
      <c r="E1274" s="3" t="n">
        <v>12</v>
      </c>
      <c r="F1274" s="24" t="n">
        <v>0</v>
      </c>
    </row>
    <row r="1275" customFormat="false" ht="15" hidden="false" customHeight="false" outlineLevel="0" collapsed="false">
      <c r="A1275" s="3" t="n">
        <v>1274</v>
      </c>
      <c r="B1275" s="3" t="n">
        <v>1273</v>
      </c>
      <c r="C1275" s="3" t="n">
        <v>6</v>
      </c>
      <c r="D1275" s="3" t="n">
        <v>6</v>
      </c>
      <c r="E1275" s="3" t="n">
        <v>13</v>
      </c>
      <c r="F1275" s="24" t="n">
        <v>0</v>
      </c>
    </row>
    <row r="1276" customFormat="false" ht="15" hidden="false" customHeight="false" outlineLevel="0" collapsed="false">
      <c r="A1276" s="3" t="n">
        <v>1275</v>
      </c>
      <c r="B1276" s="3" t="n">
        <v>1274</v>
      </c>
      <c r="C1276" s="3" t="n">
        <v>6</v>
      </c>
      <c r="D1276" s="3" t="n">
        <v>7</v>
      </c>
      <c r="E1276" s="3" t="n">
        <v>0</v>
      </c>
      <c r="F1276" s="24" t="n">
        <v>0.185572863</v>
      </c>
    </row>
    <row r="1277" customFormat="false" ht="15" hidden="false" customHeight="false" outlineLevel="0" collapsed="false">
      <c r="A1277" s="3" t="n">
        <v>1276</v>
      </c>
      <c r="B1277" s="3" t="n">
        <v>1275</v>
      </c>
      <c r="C1277" s="3" t="n">
        <v>6</v>
      </c>
      <c r="D1277" s="3" t="n">
        <v>7</v>
      </c>
      <c r="E1277" s="3" t="n">
        <v>1</v>
      </c>
      <c r="F1277" s="24" t="n">
        <v>0</v>
      </c>
    </row>
    <row r="1278" customFormat="false" ht="15" hidden="false" customHeight="false" outlineLevel="0" collapsed="false">
      <c r="A1278" s="3" t="n">
        <v>1277</v>
      </c>
      <c r="B1278" s="3" t="n">
        <v>1276</v>
      </c>
      <c r="C1278" s="3" t="n">
        <v>6</v>
      </c>
      <c r="D1278" s="3" t="n">
        <v>7</v>
      </c>
      <c r="E1278" s="3" t="n">
        <v>2</v>
      </c>
      <c r="F1278" s="24" t="n">
        <v>0</v>
      </c>
    </row>
    <row r="1279" customFormat="false" ht="15" hidden="false" customHeight="false" outlineLevel="0" collapsed="false">
      <c r="A1279" s="3" t="n">
        <v>1278</v>
      </c>
      <c r="B1279" s="3" t="n">
        <v>1277</v>
      </c>
      <c r="C1279" s="3" t="n">
        <v>6</v>
      </c>
      <c r="D1279" s="3" t="n">
        <v>7</v>
      </c>
      <c r="E1279" s="3" t="n">
        <v>3</v>
      </c>
      <c r="F1279" s="24" t="n">
        <v>0</v>
      </c>
    </row>
    <row r="1280" customFormat="false" ht="15" hidden="false" customHeight="false" outlineLevel="0" collapsed="false">
      <c r="A1280" s="3" t="n">
        <v>1279</v>
      </c>
      <c r="B1280" s="3" t="n">
        <v>1278</v>
      </c>
      <c r="C1280" s="3" t="n">
        <v>6</v>
      </c>
      <c r="D1280" s="3" t="n">
        <v>7</v>
      </c>
      <c r="E1280" s="3" t="n">
        <v>4</v>
      </c>
      <c r="F1280" s="24" t="n">
        <v>0</v>
      </c>
    </row>
    <row r="1281" customFormat="false" ht="15" hidden="false" customHeight="false" outlineLevel="0" collapsed="false">
      <c r="A1281" s="3" t="n">
        <v>1280</v>
      </c>
      <c r="B1281" s="3" t="n">
        <v>1279</v>
      </c>
      <c r="C1281" s="3" t="n">
        <v>6</v>
      </c>
      <c r="D1281" s="3" t="n">
        <v>7</v>
      </c>
      <c r="E1281" s="3" t="n">
        <v>5</v>
      </c>
      <c r="F1281" s="24" t="n">
        <v>0</v>
      </c>
    </row>
    <row r="1282" customFormat="false" ht="15" hidden="false" customHeight="false" outlineLevel="0" collapsed="false">
      <c r="A1282" s="3" t="n">
        <v>1281</v>
      </c>
      <c r="B1282" s="3" t="n">
        <v>1280</v>
      </c>
      <c r="C1282" s="3" t="n">
        <v>6</v>
      </c>
      <c r="D1282" s="3" t="n">
        <v>7</v>
      </c>
      <c r="E1282" s="3" t="n">
        <v>6</v>
      </c>
      <c r="F1282" s="24" t="n">
        <v>0</v>
      </c>
    </row>
    <row r="1283" customFormat="false" ht="15" hidden="false" customHeight="false" outlineLevel="0" collapsed="false">
      <c r="A1283" s="3" t="n">
        <v>1282</v>
      </c>
      <c r="B1283" s="3" t="n">
        <v>1281</v>
      </c>
      <c r="C1283" s="3" t="n">
        <v>6</v>
      </c>
      <c r="D1283" s="3" t="n">
        <v>7</v>
      </c>
      <c r="E1283" s="3" t="n">
        <v>7</v>
      </c>
      <c r="F1283" s="24" t="n">
        <v>0</v>
      </c>
    </row>
    <row r="1284" customFormat="false" ht="15" hidden="false" customHeight="false" outlineLevel="0" collapsed="false">
      <c r="A1284" s="3" t="n">
        <v>1283</v>
      </c>
      <c r="B1284" s="3" t="n">
        <v>1282</v>
      </c>
      <c r="C1284" s="3" t="n">
        <v>6</v>
      </c>
      <c r="D1284" s="3" t="n">
        <v>7</v>
      </c>
      <c r="E1284" s="3" t="n">
        <v>8</v>
      </c>
      <c r="F1284" s="24" t="n">
        <v>2.3932147</v>
      </c>
    </row>
    <row r="1285" customFormat="false" ht="15" hidden="false" customHeight="false" outlineLevel="0" collapsed="false">
      <c r="A1285" s="3" t="n">
        <v>1284</v>
      </c>
      <c r="B1285" s="3" t="n">
        <v>1283</v>
      </c>
      <c r="C1285" s="3" t="n">
        <v>6</v>
      </c>
      <c r="D1285" s="3" t="n">
        <v>7</v>
      </c>
      <c r="E1285" s="3" t="n">
        <v>9</v>
      </c>
      <c r="F1285" s="24" t="n">
        <v>3.61173391</v>
      </c>
    </row>
    <row r="1286" customFormat="false" ht="15" hidden="false" customHeight="false" outlineLevel="0" collapsed="false">
      <c r="A1286" s="3" t="n">
        <v>1285</v>
      </c>
      <c r="B1286" s="3" t="n">
        <v>1284</v>
      </c>
      <c r="C1286" s="3" t="n">
        <v>6</v>
      </c>
      <c r="D1286" s="3" t="n">
        <v>7</v>
      </c>
      <c r="E1286" s="3" t="n">
        <v>10</v>
      </c>
      <c r="F1286" s="24" t="n">
        <v>0.551953912</v>
      </c>
    </row>
    <row r="1287" customFormat="false" ht="15" hidden="false" customHeight="false" outlineLevel="0" collapsed="false">
      <c r="A1287" s="3" t="n">
        <v>1286</v>
      </c>
      <c r="B1287" s="3" t="n">
        <v>1285</v>
      </c>
      <c r="C1287" s="3" t="n">
        <v>6</v>
      </c>
      <c r="D1287" s="3" t="n">
        <v>7</v>
      </c>
      <c r="E1287" s="3" t="n">
        <v>11</v>
      </c>
      <c r="F1287" s="24" t="n">
        <v>0</v>
      </c>
    </row>
    <row r="1288" customFormat="false" ht="15" hidden="false" customHeight="false" outlineLevel="0" collapsed="false">
      <c r="A1288" s="3" t="n">
        <v>1287</v>
      </c>
      <c r="B1288" s="3" t="n">
        <v>1286</v>
      </c>
      <c r="C1288" s="3" t="n">
        <v>6</v>
      </c>
      <c r="D1288" s="3" t="n">
        <v>7</v>
      </c>
      <c r="E1288" s="3" t="n">
        <v>12</v>
      </c>
      <c r="F1288" s="24" t="n">
        <v>0</v>
      </c>
    </row>
    <row r="1289" customFormat="false" ht="15" hidden="false" customHeight="false" outlineLevel="0" collapsed="false">
      <c r="A1289" s="3" t="n">
        <v>1288</v>
      </c>
      <c r="B1289" s="3" t="n">
        <v>1287</v>
      </c>
      <c r="C1289" s="3" t="n">
        <v>6</v>
      </c>
      <c r="D1289" s="3" t="n">
        <v>7</v>
      </c>
      <c r="E1289" s="3" t="n">
        <v>13</v>
      </c>
      <c r="F1289" s="24" t="n">
        <v>0</v>
      </c>
    </row>
    <row r="1290" customFormat="false" ht="15" hidden="false" customHeight="false" outlineLevel="0" collapsed="false">
      <c r="A1290" s="3" t="n">
        <v>1289</v>
      </c>
      <c r="B1290" s="3" t="n">
        <v>1288</v>
      </c>
      <c r="C1290" s="3" t="n">
        <v>6</v>
      </c>
      <c r="D1290" s="3" t="n">
        <v>8</v>
      </c>
      <c r="E1290" s="3" t="n">
        <v>0</v>
      </c>
      <c r="F1290" s="24" t="n">
        <v>0.185572863</v>
      </c>
    </row>
    <row r="1291" customFormat="false" ht="15" hidden="false" customHeight="false" outlineLevel="0" collapsed="false">
      <c r="A1291" s="3" t="n">
        <v>1290</v>
      </c>
      <c r="B1291" s="3" t="n">
        <v>1289</v>
      </c>
      <c r="C1291" s="3" t="n">
        <v>6</v>
      </c>
      <c r="D1291" s="3" t="n">
        <v>8</v>
      </c>
      <c r="E1291" s="3" t="n">
        <v>1</v>
      </c>
      <c r="F1291" s="24" t="n">
        <v>0</v>
      </c>
    </row>
    <row r="1292" customFormat="false" ht="15" hidden="false" customHeight="false" outlineLevel="0" collapsed="false">
      <c r="A1292" s="3" t="n">
        <v>1291</v>
      </c>
      <c r="B1292" s="3" t="n">
        <v>1290</v>
      </c>
      <c r="C1292" s="3" t="n">
        <v>6</v>
      </c>
      <c r="D1292" s="3" t="n">
        <v>8</v>
      </c>
      <c r="E1292" s="3" t="n">
        <v>2</v>
      </c>
      <c r="F1292" s="24" t="n">
        <v>0</v>
      </c>
    </row>
    <row r="1293" customFormat="false" ht="15" hidden="false" customHeight="false" outlineLevel="0" collapsed="false">
      <c r="A1293" s="3" t="n">
        <v>1292</v>
      </c>
      <c r="B1293" s="3" t="n">
        <v>1291</v>
      </c>
      <c r="C1293" s="3" t="n">
        <v>6</v>
      </c>
      <c r="D1293" s="3" t="n">
        <v>8</v>
      </c>
      <c r="E1293" s="3" t="n">
        <v>3</v>
      </c>
      <c r="F1293" s="24" t="n">
        <v>0</v>
      </c>
    </row>
    <row r="1294" customFormat="false" ht="15" hidden="false" customHeight="false" outlineLevel="0" collapsed="false">
      <c r="A1294" s="3" t="n">
        <v>1293</v>
      </c>
      <c r="B1294" s="3" t="n">
        <v>1292</v>
      </c>
      <c r="C1294" s="3" t="n">
        <v>6</v>
      </c>
      <c r="D1294" s="3" t="n">
        <v>8</v>
      </c>
      <c r="E1294" s="3" t="n">
        <v>4</v>
      </c>
      <c r="F1294" s="24" t="n">
        <v>0</v>
      </c>
    </row>
    <row r="1295" customFormat="false" ht="15" hidden="false" customHeight="false" outlineLevel="0" collapsed="false">
      <c r="A1295" s="3" t="n">
        <v>1294</v>
      </c>
      <c r="B1295" s="3" t="n">
        <v>1293</v>
      </c>
      <c r="C1295" s="3" t="n">
        <v>6</v>
      </c>
      <c r="D1295" s="3" t="n">
        <v>8</v>
      </c>
      <c r="E1295" s="3" t="n">
        <v>5</v>
      </c>
      <c r="F1295" s="24" t="n">
        <v>0</v>
      </c>
    </row>
    <row r="1296" customFormat="false" ht="15" hidden="false" customHeight="false" outlineLevel="0" collapsed="false">
      <c r="A1296" s="3" t="n">
        <v>1295</v>
      </c>
      <c r="B1296" s="3" t="n">
        <v>1294</v>
      </c>
      <c r="C1296" s="3" t="n">
        <v>6</v>
      </c>
      <c r="D1296" s="3" t="n">
        <v>8</v>
      </c>
      <c r="E1296" s="3" t="n">
        <v>6</v>
      </c>
      <c r="F1296" s="24" t="n">
        <v>0</v>
      </c>
    </row>
    <row r="1297" customFormat="false" ht="15" hidden="false" customHeight="false" outlineLevel="0" collapsed="false">
      <c r="A1297" s="3" t="n">
        <v>1296</v>
      </c>
      <c r="B1297" s="3" t="n">
        <v>1295</v>
      </c>
      <c r="C1297" s="3" t="n">
        <v>6</v>
      </c>
      <c r="D1297" s="3" t="n">
        <v>8</v>
      </c>
      <c r="E1297" s="3" t="n">
        <v>7</v>
      </c>
      <c r="F1297" s="24" t="n">
        <v>0</v>
      </c>
    </row>
    <row r="1298" customFormat="false" ht="15" hidden="false" customHeight="false" outlineLevel="0" collapsed="false">
      <c r="A1298" s="3" t="n">
        <v>1297</v>
      </c>
      <c r="B1298" s="3" t="n">
        <v>1296</v>
      </c>
      <c r="C1298" s="3" t="n">
        <v>6</v>
      </c>
      <c r="D1298" s="3" t="n">
        <v>8</v>
      </c>
      <c r="E1298" s="3" t="n">
        <v>8</v>
      </c>
      <c r="F1298" s="24" t="n">
        <v>3.30169821</v>
      </c>
    </row>
    <row r="1299" customFormat="false" ht="15" hidden="false" customHeight="false" outlineLevel="0" collapsed="false">
      <c r="A1299" s="3" t="n">
        <v>1298</v>
      </c>
      <c r="B1299" s="3" t="n">
        <v>1297</v>
      </c>
      <c r="C1299" s="3" t="n">
        <v>6</v>
      </c>
      <c r="D1299" s="3" t="n">
        <v>8</v>
      </c>
      <c r="E1299" s="3" t="n">
        <v>9</v>
      </c>
      <c r="F1299" s="24" t="n">
        <v>2.25598383</v>
      </c>
    </row>
    <row r="1300" customFormat="false" ht="15" hidden="false" customHeight="false" outlineLevel="0" collapsed="false">
      <c r="A1300" s="3" t="n">
        <v>1299</v>
      </c>
      <c r="B1300" s="3" t="n">
        <v>1298</v>
      </c>
      <c r="C1300" s="3" t="n">
        <v>6</v>
      </c>
      <c r="D1300" s="3" t="n">
        <v>8</v>
      </c>
      <c r="E1300" s="3" t="n">
        <v>10</v>
      </c>
      <c r="F1300" s="24" t="n">
        <v>0</v>
      </c>
    </row>
    <row r="1301" customFormat="false" ht="15" hidden="false" customHeight="false" outlineLevel="0" collapsed="false">
      <c r="A1301" s="3" t="n">
        <v>1300</v>
      </c>
      <c r="B1301" s="3" t="n">
        <v>1299</v>
      </c>
      <c r="C1301" s="3" t="n">
        <v>6</v>
      </c>
      <c r="D1301" s="3" t="n">
        <v>8</v>
      </c>
      <c r="E1301" s="3" t="n">
        <v>11</v>
      </c>
      <c r="F1301" s="24" t="n">
        <v>0</v>
      </c>
    </row>
    <row r="1302" customFormat="false" ht="15" hidden="false" customHeight="false" outlineLevel="0" collapsed="false">
      <c r="A1302" s="3" t="n">
        <v>1301</v>
      </c>
      <c r="B1302" s="3" t="n">
        <v>1300</v>
      </c>
      <c r="C1302" s="3" t="n">
        <v>6</v>
      </c>
      <c r="D1302" s="3" t="n">
        <v>8</v>
      </c>
      <c r="E1302" s="3" t="n">
        <v>12</v>
      </c>
      <c r="F1302" s="24" t="n">
        <v>0</v>
      </c>
    </row>
    <row r="1303" customFormat="false" ht="15" hidden="false" customHeight="false" outlineLevel="0" collapsed="false">
      <c r="A1303" s="3" t="n">
        <v>1302</v>
      </c>
      <c r="B1303" s="3" t="n">
        <v>1301</v>
      </c>
      <c r="C1303" s="3" t="n">
        <v>6</v>
      </c>
      <c r="D1303" s="3" t="n">
        <v>8</v>
      </c>
      <c r="E1303" s="3" t="n">
        <v>13</v>
      </c>
      <c r="F1303" s="24" t="n">
        <v>0</v>
      </c>
    </row>
    <row r="1304" customFormat="false" ht="15" hidden="false" customHeight="false" outlineLevel="0" collapsed="false">
      <c r="A1304" s="3" t="n">
        <v>1303</v>
      </c>
      <c r="B1304" s="3" t="n">
        <v>1302</v>
      </c>
      <c r="C1304" s="3" t="n">
        <v>6</v>
      </c>
      <c r="D1304" s="3" t="n">
        <v>9</v>
      </c>
      <c r="E1304" s="3" t="n">
        <v>0</v>
      </c>
      <c r="F1304" s="24" t="n">
        <v>0.185572863</v>
      </c>
    </row>
    <row r="1305" customFormat="false" ht="15" hidden="false" customHeight="false" outlineLevel="0" collapsed="false">
      <c r="A1305" s="3" t="n">
        <v>1304</v>
      </c>
      <c r="B1305" s="3" t="n">
        <v>1303</v>
      </c>
      <c r="C1305" s="3" t="n">
        <v>6</v>
      </c>
      <c r="D1305" s="3" t="n">
        <v>9</v>
      </c>
      <c r="E1305" s="3" t="n">
        <v>1</v>
      </c>
      <c r="F1305" s="24" t="n">
        <v>0</v>
      </c>
    </row>
    <row r="1306" customFormat="false" ht="15" hidden="false" customHeight="false" outlineLevel="0" collapsed="false">
      <c r="A1306" s="3" t="n">
        <v>1305</v>
      </c>
      <c r="B1306" s="3" t="n">
        <v>1304</v>
      </c>
      <c r="C1306" s="3" t="n">
        <v>6</v>
      </c>
      <c r="D1306" s="3" t="n">
        <v>9</v>
      </c>
      <c r="E1306" s="3" t="n">
        <v>2</v>
      </c>
      <c r="F1306" s="24" t="n">
        <v>0</v>
      </c>
    </row>
    <row r="1307" customFormat="false" ht="15" hidden="false" customHeight="false" outlineLevel="0" collapsed="false">
      <c r="A1307" s="3" t="n">
        <v>1306</v>
      </c>
      <c r="B1307" s="3" t="n">
        <v>1305</v>
      </c>
      <c r="C1307" s="3" t="n">
        <v>6</v>
      </c>
      <c r="D1307" s="3" t="n">
        <v>9</v>
      </c>
      <c r="E1307" s="3" t="n">
        <v>3</v>
      </c>
      <c r="F1307" s="24" t="n">
        <v>0</v>
      </c>
    </row>
    <row r="1308" customFormat="false" ht="15" hidden="false" customHeight="false" outlineLevel="0" collapsed="false">
      <c r="A1308" s="3" t="n">
        <v>1307</v>
      </c>
      <c r="B1308" s="3" t="n">
        <v>1306</v>
      </c>
      <c r="C1308" s="3" t="n">
        <v>6</v>
      </c>
      <c r="D1308" s="3" t="n">
        <v>9</v>
      </c>
      <c r="E1308" s="3" t="n">
        <v>4</v>
      </c>
      <c r="F1308" s="24" t="n">
        <v>0</v>
      </c>
    </row>
    <row r="1309" customFormat="false" ht="15" hidden="false" customHeight="false" outlineLevel="0" collapsed="false">
      <c r="A1309" s="3" t="n">
        <v>1308</v>
      </c>
      <c r="B1309" s="3" t="n">
        <v>1307</v>
      </c>
      <c r="C1309" s="3" t="n">
        <v>6</v>
      </c>
      <c r="D1309" s="3" t="n">
        <v>9</v>
      </c>
      <c r="E1309" s="3" t="n">
        <v>5</v>
      </c>
      <c r="F1309" s="24" t="n">
        <v>0</v>
      </c>
    </row>
    <row r="1310" customFormat="false" ht="15" hidden="false" customHeight="false" outlineLevel="0" collapsed="false">
      <c r="A1310" s="3" t="n">
        <v>1309</v>
      </c>
      <c r="B1310" s="3" t="n">
        <v>1308</v>
      </c>
      <c r="C1310" s="3" t="n">
        <v>6</v>
      </c>
      <c r="D1310" s="3" t="n">
        <v>9</v>
      </c>
      <c r="E1310" s="3" t="n">
        <v>6</v>
      </c>
      <c r="F1310" s="24" t="n">
        <v>0</v>
      </c>
    </row>
    <row r="1311" customFormat="false" ht="15" hidden="false" customHeight="false" outlineLevel="0" collapsed="false">
      <c r="A1311" s="3" t="n">
        <v>1310</v>
      </c>
      <c r="B1311" s="3" t="n">
        <v>1309</v>
      </c>
      <c r="C1311" s="3" t="n">
        <v>6</v>
      </c>
      <c r="D1311" s="3" t="n">
        <v>9</v>
      </c>
      <c r="E1311" s="3" t="n">
        <v>7</v>
      </c>
      <c r="F1311" s="24" t="n">
        <v>2.93747163</v>
      </c>
    </row>
    <row r="1312" customFormat="false" ht="15" hidden="false" customHeight="false" outlineLevel="0" collapsed="false">
      <c r="A1312" s="3" t="n">
        <v>1311</v>
      </c>
      <c r="B1312" s="3" t="n">
        <v>1310</v>
      </c>
      <c r="C1312" s="3" t="n">
        <v>6</v>
      </c>
      <c r="D1312" s="3" t="n">
        <v>9</v>
      </c>
      <c r="E1312" s="3" t="n">
        <v>8</v>
      </c>
      <c r="F1312" s="24" t="n">
        <v>3.42830443</v>
      </c>
    </row>
    <row r="1313" customFormat="false" ht="15" hidden="false" customHeight="false" outlineLevel="0" collapsed="false">
      <c r="A1313" s="3" t="n">
        <v>1312</v>
      </c>
      <c r="B1313" s="3" t="n">
        <v>1311</v>
      </c>
      <c r="C1313" s="3" t="n">
        <v>6</v>
      </c>
      <c r="D1313" s="3" t="n">
        <v>9</v>
      </c>
      <c r="E1313" s="3" t="n">
        <v>9</v>
      </c>
      <c r="F1313" s="24" t="n">
        <v>0.33486858</v>
      </c>
    </row>
    <row r="1314" customFormat="false" ht="15" hidden="false" customHeight="false" outlineLevel="0" collapsed="false">
      <c r="A1314" s="3" t="n">
        <v>1313</v>
      </c>
      <c r="B1314" s="3" t="n">
        <v>1312</v>
      </c>
      <c r="C1314" s="3" t="n">
        <v>6</v>
      </c>
      <c r="D1314" s="3" t="n">
        <v>9</v>
      </c>
      <c r="E1314" s="3" t="n">
        <v>10</v>
      </c>
      <c r="F1314" s="24" t="n">
        <v>0</v>
      </c>
    </row>
    <row r="1315" customFormat="false" ht="15" hidden="false" customHeight="false" outlineLevel="0" collapsed="false">
      <c r="A1315" s="3" t="n">
        <v>1314</v>
      </c>
      <c r="B1315" s="3" t="n">
        <v>1313</v>
      </c>
      <c r="C1315" s="3" t="n">
        <v>6</v>
      </c>
      <c r="D1315" s="3" t="n">
        <v>9</v>
      </c>
      <c r="E1315" s="3" t="n">
        <v>11</v>
      </c>
      <c r="F1315" s="24" t="n">
        <v>0</v>
      </c>
    </row>
    <row r="1316" customFormat="false" ht="15" hidden="false" customHeight="false" outlineLevel="0" collapsed="false">
      <c r="A1316" s="3" t="n">
        <v>1315</v>
      </c>
      <c r="B1316" s="3" t="n">
        <v>1314</v>
      </c>
      <c r="C1316" s="3" t="n">
        <v>6</v>
      </c>
      <c r="D1316" s="3" t="n">
        <v>9</v>
      </c>
      <c r="E1316" s="3" t="n">
        <v>12</v>
      </c>
      <c r="F1316" s="24" t="n">
        <v>0</v>
      </c>
    </row>
    <row r="1317" customFormat="false" ht="15" hidden="false" customHeight="false" outlineLevel="0" collapsed="false">
      <c r="A1317" s="3" t="n">
        <v>1316</v>
      </c>
      <c r="B1317" s="3" t="n">
        <v>1315</v>
      </c>
      <c r="C1317" s="3" t="n">
        <v>6</v>
      </c>
      <c r="D1317" s="3" t="n">
        <v>9</v>
      </c>
      <c r="E1317" s="3" t="n">
        <v>13</v>
      </c>
      <c r="F1317" s="24" t="n">
        <v>0</v>
      </c>
    </row>
    <row r="1318" customFormat="false" ht="15" hidden="false" customHeight="false" outlineLevel="0" collapsed="false">
      <c r="A1318" s="3" t="n">
        <v>1317</v>
      </c>
      <c r="B1318" s="3" t="n">
        <v>1316</v>
      </c>
      <c r="C1318" s="3" t="n">
        <v>6</v>
      </c>
      <c r="D1318" s="3" t="n">
        <v>10</v>
      </c>
      <c r="E1318" s="3" t="n">
        <v>0</v>
      </c>
      <c r="F1318" s="24" t="n">
        <v>0.185572863</v>
      </c>
    </row>
    <row r="1319" customFormat="false" ht="15" hidden="false" customHeight="false" outlineLevel="0" collapsed="false">
      <c r="A1319" s="3" t="n">
        <v>1318</v>
      </c>
      <c r="B1319" s="3" t="n">
        <v>1317</v>
      </c>
      <c r="C1319" s="3" t="n">
        <v>6</v>
      </c>
      <c r="D1319" s="3" t="n">
        <v>10</v>
      </c>
      <c r="E1319" s="3" t="n">
        <v>1</v>
      </c>
      <c r="F1319" s="24" t="n">
        <v>0</v>
      </c>
    </row>
    <row r="1320" customFormat="false" ht="15" hidden="false" customHeight="false" outlineLevel="0" collapsed="false">
      <c r="A1320" s="3" t="n">
        <v>1319</v>
      </c>
      <c r="B1320" s="3" t="n">
        <v>1318</v>
      </c>
      <c r="C1320" s="3" t="n">
        <v>6</v>
      </c>
      <c r="D1320" s="3" t="n">
        <v>10</v>
      </c>
      <c r="E1320" s="3" t="n">
        <v>2</v>
      </c>
      <c r="F1320" s="24" t="n">
        <v>0</v>
      </c>
    </row>
    <row r="1321" customFormat="false" ht="15" hidden="false" customHeight="false" outlineLevel="0" collapsed="false">
      <c r="A1321" s="3" t="n">
        <v>1320</v>
      </c>
      <c r="B1321" s="3" t="n">
        <v>1319</v>
      </c>
      <c r="C1321" s="3" t="n">
        <v>6</v>
      </c>
      <c r="D1321" s="3" t="n">
        <v>10</v>
      </c>
      <c r="E1321" s="3" t="n">
        <v>3</v>
      </c>
      <c r="F1321" s="24" t="n">
        <v>0</v>
      </c>
    </row>
    <row r="1322" customFormat="false" ht="15" hidden="false" customHeight="false" outlineLevel="0" collapsed="false">
      <c r="A1322" s="3" t="n">
        <v>1321</v>
      </c>
      <c r="B1322" s="3" t="n">
        <v>1320</v>
      </c>
      <c r="C1322" s="3" t="n">
        <v>6</v>
      </c>
      <c r="D1322" s="3" t="n">
        <v>10</v>
      </c>
      <c r="E1322" s="3" t="n">
        <v>4</v>
      </c>
      <c r="F1322" s="24" t="n">
        <v>0</v>
      </c>
    </row>
    <row r="1323" customFormat="false" ht="15" hidden="false" customHeight="false" outlineLevel="0" collapsed="false">
      <c r="A1323" s="3" t="n">
        <v>1322</v>
      </c>
      <c r="B1323" s="3" t="n">
        <v>1321</v>
      </c>
      <c r="C1323" s="3" t="n">
        <v>6</v>
      </c>
      <c r="D1323" s="3" t="n">
        <v>10</v>
      </c>
      <c r="E1323" s="3" t="n">
        <v>5</v>
      </c>
      <c r="F1323" s="24" t="n">
        <v>0</v>
      </c>
    </row>
    <row r="1324" customFormat="false" ht="15" hidden="false" customHeight="false" outlineLevel="0" collapsed="false">
      <c r="A1324" s="3" t="n">
        <v>1323</v>
      </c>
      <c r="B1324" s="3" t="n">
        <v>1322</v>
      </c>
      <c r="C1324" s="3" t="n">
        <v>6</v>
      </c>
      <c r="D1324" s="3" t="n">
        <v>10</v>
      </c>
      <c r="E1324" s="3" t="n">
        <v>6</v>
      </c>
      <c r="F1324" s="24" t="n">
        <v>1.54843783</v>
      </c>
    </row>
    <row r="1325" customFormat="false" ht="15" hidden="false" customHeight="false" outlineLevel="0" collapsed="false">
      <c r="A1325" s="3" t="n">
        <v>1324</v>
      </c>
      <c r="B1325" s="3" t="n">
        <v>1323</v>
      </c>
      <c r="C1325" s="3" t="n">
        <v>6</v>
      </c>
      <c r="D1325" s="3" t="n">
        <v>10</v>
      </c>
      <c r="E1325" s="3" t="n">
        <v>7</v>
      </c>
      <c r="F1325" s="24" t="n">
        <v>3.8004117</v>
      </c>
    </row>
    <row r="1326" customFormat="false" ht="15" hidden="false" customHeight="false" outlineLevel="0" collapsed="false">
      <c r="A1326" s="3" t="n">
        <v>1325</v>
      </c>
      <c r="B1326" s="3" t="n">
        <v>1324</v>
      </c>
      <c r="C1326" s="3" t="n">
        <v>6</v>
      </c>
      <c r="D1326" s="3" t="n">
        <v>10</v>
      </c>
      <c r="E1326" s="3" t="n">
        <v>8</v>
      </c>
      <c r="F1326" s="24" t="n">
        <v>1.76810336</v>
      </c>
    </row>
    <row r="1327" customFormat="false" ht="15" hidden="false" customHeight="false" outlineLevel="0" collapsed="false">
      <c r="A1327" s="3" t="n">
        <v>1326</v>
      </c>
      <c r="B1327" s="3" t="n">
        <v>1325</v>
      </c>
      <c r="C1327" s="3" t="n">
        <v>6</v>
      </c>
      <c r="D1327" s="3" t="n">
        <v>10</v>
      </c>
      <c r="E1327" s="3" t="n">
        <v>9</v>
      </c>
      <c r="F1327" s="24" t="n">
        <v>0</v>
      </c>
    </row>
    <row r="1328" customFormat="false" ht="15" hidden="false" customHeight="false" outlineLevel="0" collapsed="false">
      <c r="A1328" s="3" t="n">
        <v>1327</v>
      </c>
      <c r="B1328" s="3" t="n">
        <v>1326</v>
      </c>
      <c r="C1328" s="3" t="n">
        <v>6</v>
      </c>
      <c r="D1328" s="3" t="n">
        <v>10</v>
      </c>
      <c r="E1328" s="3" t="n">
        <v>10</v>
      </c>
      <c r="F1328" s="24" t="n">
        <v>0</v>
      </c>
    </row>
    <row r="1329" customFormat="false" ht="15" hidden="false" customHeight="false" outlineLevel="0" collapsed="false">
      <c r="A1329" s="3" t="n">
        <v>1328</v>
      </c>
      <c r="B1329" s="3" t="n">
        <v>1327</v>
      </c>
      <c r="C1329" s="3" t="n">
        <v>6</v>
      </c>
      <c r="D1329" s="3" t="n">
        <v>10</v>
      </c>
      <c r="E1329" s="3" t="n">
        <v>11</v>
      </c>
      <c r="F1329" s="24" t="n">
        <v>0</v>
      </c>
    </row>
    <row r="1330" customFormat="false" ht="15" hidden="false" customHeight="false" outlineLevel="0" collapsed="false">
      <c r="A1330" s="3" t="n">
        <v>1329</v>
      </c>
      <c r="B1330" s="3" t="n">
        <v>1328</v>
      </c>
      <c r="C1330" s="3" t="n">
        <v>6</v>
      </c>
      <c r="D1330" s="3" t="n">
        <v>10</v>
      </c>
      <c r="E1330" s="3" t="n">
        <v>12</v>
      </c>
      <c r="F1330" s="24" t="n">
        <v>0</v>
      </c>
    </row>
    <row r="1331" customFormat="false" ht="15" hidden="false" customHeight="false" outlineLevel="0" collapsed="false">
      <c r="A1331" s="3" t="n">
        <v>1330</v>
      </c>
      <c r="B1331" s="3" t="n">
        <v>1329</v>
      </c>
      <c r="C1331" s="3" t="n">
        <v>6</v>
      </c>
      <c r="D1331" s="3" t="n">
        <v>10</v>
      </c>
      <c r="E1331" s="3" t="n">
        <v>13</v>
      </c>
      <c r="F1331" s="24" t="n">
        <v>0</v>
      </c>
    </row>
    <row r="1332" customFormat="false" ht="15" hidden="false" customHeight="false" outlineLevel="0" collapsed="false">
      <c r="A1332" s="3" t="n">
        <v>1331</v>
      </c>
      <c r="B1332" s="3" t="n">
        <v>1330</v>
      </c>
      <c r="C1332" s="3" t="n">
        <v>6</v>
      </c>
      <c r="D1332" s="3" t="n">
        <v>11</v>
      </c>
      <c r="E1332" s="3" t="n">
        <v>0</v>
      </c>
      <c r="F1332" s="24" t="n">
        <v>0.185572863</v>
      </c>
    </row>
    <row r="1333" customFormat="false" ht="15" hidden="false" customHeight="false" outlineLevel="0" collapsed="false">
      <c r="A1333" s="3" t="n">
        <v>1332</v>
      </c>
      <c r="B1333" s="3" t="n">
        <v>1331</v>
      </c>
      <c r="C1333" s="3" t="n">
        <v>6</v>
      </c>
      <c r="D1333" s="3" t="n">
        <v>11</v>
      </c>
      <c r="E1333" s="3" t="n">
        <v>1</v>
      </c>
      <c r="F1333" s="24" t="n">
        <v>0</v>
      </c>
    </row>
    <row r="1334" customFormat="false" ht="15" hidden="false" customHeight="false" outlineLevel="0" collapsed="false">
      <c r="A1334" s="3" t="n">
        <v>1333</v>
      </c>
      <c r="B1334" s="3" t="n">
        <v>1332</v>
      </c>
      <c r="C1334" s="3" t="n">
        <v>6</v>
      </c>
      <c r="D1334" s="3" t="n">
        <v>11</v>
      </c>
      <c r="E1334" s="3" t="n">
        <v>2</v>
      </c>
      <c r="F1334" s="24" t="n">
        <v>0</v>
      </c>
    </row>
    <row r="1335" customFormat="false" ht="15" hidden="false" customHeight="false" outlineLevel="0" collapsed="false">
      <c r="A1335" s="3" t="n">
        <v>1334</v>
      </c>
      <c r="B1335" s="3" t="n">
        <v>1333</v>
      </c>
      <c r="C1335" s="3" t="n">
        <v>6</v>
      </c>
      <c r="D1335" s="3" t="n">
        <v>11</v>
      </c>
      <c r="E1335" s="3" t="n">
        <v>3</v>
      </c>
      <c r="F1335" s="24" t="n">
        <v>0</v>
      </c>
    </row>
    <row r="1336" customFormat="false" ht="15" hidden="false" customHeight="false" outlineLevel="0" collapsed="false">
      <c r="A1336" s="3" t="n">
        <v>1335</v>
      </c>
      <c r="B1336" s="3" t="n">
        <v>1334</v>
      </c>
      <c r="C1336" s="3" t="n">
        <v>6</v>
      </c>
      <c r="D1336" s="3" t="n">
        <v>11</v>
      </c>
      <c r="E1336" s="3" t="n">
        <v>4</v>
      </c>
      <c r="F1336" s="24" t="n">
        <v>0</v>
      </c>
    </row>
    <row r="1337" customFormat="false" ht="15" hidden="false" customHeight="false" outlineLevel="0" collapsed="false">
      <c r="A1337" s="3" t="n">
        <v>1336</v>
      </c>
      <c r="B1337" s="3" t="n">
        <v>1335</v>
      </c>
      <c r="C1337" s="3" t="n">
        <v>6</v>
      </c>
      <c r="D1337" s="3" t="n">
        <v>11</v>
      </c>
      <c r="E1337" s="3" t="n">
        <v>5</v>
      </c>
      <c r="F1337" s="24" t="n">
        <v>0</v>
      </c>
    </row>
    <row r="1338" customFormat="false" ht="15" hidden="false" customHeight="false" outlineLevel="0" collapsed="false">
      <c r="A1338" s="3" t="n">
        <v>1337</v>
      </c>
      <c r="B1338" s="3" t="n">
        <v>1336</v>
      </c>
      <c r="C1338" s="3" t="n">
        <v>6</v>
      </c>
      <c r="D1338" s="3" t="n">
        <v>11</v>
      </c>
      <c r="E1338" s="3" t="n">
        <v>6</v>
      </c>
      <c r="F1338" s="24" t="n">
        <v>3.01165938</v>
      </c>
    </row>
    <row r="1339" customFormat="false" ht="15" hidden="false" customHeight="false" outlineLevel="0" collapsed="false">
      <c r="A1339" s="3" t="n">
        <v>1338</v>
      </c>
      <c r="B1339" s="3" t="n">
        <v>1337</v>
      </c>
      <c r="C1339" s="3" t="n">
        <v>6</v>
      </c>
      <c r="D1339" s="3" t="n">
        <v>11</v>
      </c>
      <c r="E1339" s="3" t="n">
        <v>7</v>
      </c>
      <c r="F1339" s="24" t="n">
        <v>3.03094506</v>
      </c>
    </row>
    <row r="1340" customFormat="false" ht="15" hidden="false" customHeight="false" outlineLevel="0" collapsed="false">
      <c r="A1340" s="3" t="n">
        <v>1339</v>
      </c>
      <c r="B1340" s="3" t="n">
        <v>1338</v>
      </c>
      <c r="C1340" s="3" t="n">
        <v>6</v>
      </c>
      <c r="D1340" s="3" t="n">
        <v>11</v>
      </c>
      <c r="E1340" s="3" t="n">
        <v>8</v>
      </c>
      <c r="F1340" s="24" t="n">
        <v>0.0660331845</v>
      </c>
    </row>
    <row r="1341" customFormat="false" ht="15" hidden="false" customHeight="false" outlineLevel="0" collapsed="false">
      <c r="A1341" s="3" t="n">
        <v>1340</v>
      </c>
      <c r="B1341" s="3" t="n">
        <v>1339</v>
      </c>
      <c r="C1341" s="3" t="n">
        <v>6</v>
      </c>
      <c r="D1341" s="3" t="n">
        <v>11</v>
      </c>
      <c r="E1341" s="3" t="n">
        <v>9</v>
      </c>
      <c r="F1341" s="24" t="n">
        <v>0</v>
      </c>
    </row>
    <row r="1342" customFormat="false" ht="15" hidden="false" customHeight="false" outlineLevel="0" collapsed="false">
      <c r="A1342" s="3" t="n">
        <v>1341</v>
      </c>
      <c r="B1342" s="3" t="n">
        <v>1340</v>
      </c>
      <c r="C1342" s="3" t="n">
        <v>6</v>
      </c>
      <c r="D1342" s="3" t="n">
        <v>11</v>
      </c>
      <c r="E1342" s="3" t="n">
        <v>10</v>
      </c>
      <c r="F1342" s="24" t="n">
        <v>0</v>
      </c>
    </row>
    <row r="1343" customFormat="false" ht="15" hidden="false" customHeight="false" outlineLevel="0" collapsed="false">
      <c r="A1343" s="3" t="n">
        <v>1342</v>
      </c>
      <c r="B1343" s="3" t="n">
        <v>1341</v>
      </c>
      <c r="C1343" s="3" t="n">
        <v>6</v>
      </c>
      <c r="D1343" s="3" t="n">
        <v>11</v>
      </c>
      <c r="E1343" s="3" t="n">
        <v>11</v>
      </c>
      <c r="F1343" s="24" t="n">
        <v>0</v>
      </c>
    </row>
    <row r="1344" customFormat="false" ht="15" hidden="false" customHeight="false" outlineLevel="0" collapsed="false">
      <c r="A1344" s="3" t="n">
        <v>1343</v>
      </c>
      <c r="B1344" s="3" t="n">
        <v>1342</v>
      </c>
      <c r="C1344" s="3" t="n">
        <v>6</v>
      </c>
      <c r="D1344" s="3" t="n">
        <v>11</v>
      </c>
      <c r="E1344" s="3" t="n">
        <v>12</v>
      </c>
      <c r="F1344" s="24" t="n">
        <v>0</v>
      </c>
    </row>
    <row r="1345" customFormat="false" ht="15" hidden="false" customHeight="false" outlineLevel="0" collapsed="false">
      <c r="A1345" s="3" t="n">
        <v>1344</v>
      </c>
      <c r="B1345" s="3" t="n">
        <v>1343</v>
      </c>
      <c r="C1345" s="3" t="n">
        <v>6</v>
      </c>
      <c r="D1345" s="3" t="n">
        <v>11</v>
      </c>
      <c r="E1345" s="3" t="n">
        <v>13</v>
      </c>
      <c r="F1345" s="24" t="n">
        <v>0</v>
      </c>
    </row>
    <row r="1346" customFormat="false" ht="15" hidden="false" customHeight="false" outlineLevel="0" collapsed="false">
      <c r="A1346" s="3" t="n">
        <v>1345</v>
      </c>
      <c r="B1346" s="3" t="n">
        <v>1344</v>
      </c>
      <c r="C1346" s="3" t="n">
        <v>6</v>
      </c>
      <c r="D1346" s="3" t="n">
        <v>12</v>
      </c>
      <c r="E1346" s="3" t="n">
        <v>0</v>
      </c>
      <c r="F1346" s="24" t="n">
        <v>0.185572863</v>
      </c>
    </row>
    <row r="1347" customFormat="false" ht="15" hidden="false" customHeight="false" outlineLevel="0" collapsed="false">
      <c r="A1347" s="3" t="n">
        <v>1346</v>
      </c>
      <c r="B1347" s="3" t="n">
        <v>1345</v>
      </c>
      <c r="C1347" s="3" t="n">
        <v>6</v>
      </c>
      <c r="D1347" s="3" t="n">
        <v>12</v>
      </c>
      <c r="E1347" s="3" t="n">
        <v>1</v>
      </c>
      <c r="F1347" s="24" t="n">
        <v>0</v>
      </c>
    </row>
    <row r="1348" customFormat="false" ht="15" hidden="false" customHeight="false" outlineLevel="0" collapsed="false">
      <c r="A1348" s="3" t="n">
        <v>1347</v>
      </c>
      <c r="B1348" s="3" t="n">
        <v>1346</v>
      </c>
      <c r="C1348" s="3" t="n">
        <v>6</v>
      </c>
      <c r="D1348" s="3" t="n">
        <v>12</v>
      </c>
      <c r="E1348" s="3" t="n">
        <v>2</v>
      </c>
      <c r="F1348" s="24" t="n">
        <v>0</v>
      </c>
    </row>
    <row r="1349" customFormat="false" ht="15" hidden="false" customHeight="false" outlineLevel="0" collapsed="false">
      <c r="A1349" s="3" t="n">
        <v>1348</v>
      </c>
      <c r="B1349" s="3" t="n">
        <v>1347</v>
      </c>
      <c r="C1349" s="3" t="n">
        <v>6</v>
      </c>
      <c r="D1349" s="3" t="n">
        <v>12</v>
      </c>
      <c r="E1349" s="3" t="n">
        <v>3</v>
      </c>
      <c r="F1349" s="24" t="n">
        <v>0</v>
      </c>
    </row>
    <row r="1350" customFormat="false" ht="15" hidden="false" customHeight="false" outlineLevel="0" collapsed="false">
      <c r="A1350" s="3" t="n">
        <v>1349</v>
      </c>
      <c r="B1350" s="3" t="n">
        <v>1348</v>
      </c>
      <c r="C1350" s="3" t="n">
        <v>6</v>
      </c>
      <c r="D1350" s="3" t="n">
        <v>12</v>
      </c>
      <c r="E1350" s="3" t="n">
        <v>4</v>
      </c>
      <c r="F1350" s="24" t="n">
        <v>0</v>
      </c>
    </row>
    <row r="1351" customFormat="false" ht="15" hidden="false" customHeight="false" outlineLevel="0" collapsed="false">
      <c r="A1351" s="3" t="n">
        <v>1350</v>
      </c>
      <c r="B1351" s="3" t="n">
        <v>1349</v>
      </c>
      <c r="C1351" s="3" t="n">
        <v>6</v>
      </c>
      <c r="D1351" s="3" t="n">
        <v>12</v>
      </c>
      <c r="E1351" s="3" t="n">
        <v>5</v>
      </c>
      <c r="F1351" s="24" t="n">
        <v>1.5998224</v>
      </c>
    </row>
    <row r="1352" customFormat="false" ht="15" hidden="false" customHeight="false" outlineLevel="0" collapsed="false">
      <c r="A1352" s="3" t="n">
        <v>1351</v>
      </c>
      <c r="B1352" s="3" t="n">
        <v>1350</v>
      </c>
      <c r="C1352" s="3" t="n">
        <v>6</v>
      </c>
      <c r="D1352" s="3" t="n">
        <v>12</v>
      </c>
      <c r="E1352" s="3" t="n">
        <v>6</v>
      </c>
      <c r="F1352" s="24" t="n">
        <v>3.39685965</v>
      </c>
    </row>
    <row r="1353" customFormat="false" ht="15" hidden="false" customHeight="false" outlineLevel="0" collapsed="false">
      <c r="A1353" s="3" t="n">
        <v>1352</v>
      </c>
      <c r="B1353" s="3" t="n">
        <v>1351</v>
      </c>
      <c r="C1353" s="3" t="n">
        <v>6</v>
      </c>
      <c r="D1353" s="3" t="n">
        <v>12</v>
      </c>
      <c r="E1353" s="3" t="n">
        <v>7</v>
      </c>
      <c r="F1353" s="24" t="n">
        <v>1.73035288</v>
      </c>
    </row>
    <row r="1354" customFormat="false" ht="15" hidden="false" customHeight="false" outlineLevel="0" collapsed="false">
      <c r="A1354" s="3" t="n">
        <v>1353</v>
      </c>
      <c r="B1354" s="3" t="n">
        <v>1352</v>
      </c>
      <c r="C1354" s="3" t="n">
        <v>6</v>
      </c>
      <c r="D1354" s="3" t="n">
        <v>12</v>
      </c>
      <c r="E1354" s="3" t="n">
        <v>8</v>
      </c>
      <c r="F1354" s="24" t="n">
        <v>0</v>
      </c>
    </row>
    <row r="1355" customFormat="false" ht="15" hidden="false" customHeight="false" outlineLevel="0" collapsed="false">
      <c r="A1355" s="3" t="n">
        <v>1354</v>
      </c>
      <c r="B1355" s="3" t="n">
        <v>1353</v>
      </c>
      <c r="C1355" s="3" t="n">
        <v>6</v>
      </c>
      <c r="D1355" s="3" t="n">
        <v>12</v>
      </c>
      <c r="E1355" s="3" t="n">
        <v>9</v>
      </c>
      <c r="F1355" s="24" t="n">
        <v>0</v>
      </c>
    </row>
    <row r="1356" customFormat="false" ht="15" hidden="false" customHeight="false" outlineLevel="0" collapsed="false">
      <c r="A1356" s="3" t="n">
        <v>1355</v>
      </c>
      <c r="B1356" s="3" t="n">
        <v>1354</v>
      </c>
      <c r="C1356" s="3" t="n">
        <v>6</v>
      </c>
      <c r="D1356" s="3" t="n">
        <v>12</v>
      </c>
      <c r="E1356" s="3" t="n">
        <v>10</v>
      </c>
      <c r="F1356" s="24" t="n">
        <v>0</v>
      </c>
    </row>
    <row r="1357" customFormat="false" ht="15" hidden="false" customHeight="false" outlineLevel="0" collapsed="false">
      <c r="A1357" s="3" t="n">
        <v>1356</v>
      </c>
      <c r="B1357" s="3" t="n">
        <v>1355</v>
      </c>
      <c r="C1357" s="3" t="n">
        <v>6</v>
      </c>
      <c r="D1357" s="3" t="n">
        <v>12</v>
      </c>
      <c r="E1357" s="3" t="n">
        <v>11</v>
      </c>
      <c r="F1357" s="24" t="n">
        <v>0</v>
      </c>
    </row>
    <row r="1358" customFormat="false" ht="15" hidden="false" customHeight="false" outlineLevel="0" collapsed="false">
      <c r="A1358" s="3" t="n">
        <v>1357</v>
      </c>
      <c r="B1358" s="3" t="n">
        <v>1356</v>
      </c>
      <c r="C1358" s="3" t="n">
        <v>6</v>
      </c>
      <c r="D1358" s="3" t="n">
        <v>12</v>
      </c>
      <c r="E1358" s="3" t="n">
        <v>12</v>
      </c>
      <c r="F1358" s="24" t="n">
        <v>0</v>
      </c>
    </row>
    <row r="1359" customFormat="false" ht="15" hidden="false" customHeight="false" outlineLevel="0" collapsed="false">
      <c r="A1359" s="3" t="n">
        <v>1358</v>
      </c>
      <c r="B1359" s="3" t="n">
        <v>1357</v>
      </c>
      <c r="C1359" s="3" t="n">
        <v>6</v>
      </c>
      <c r="D1359" s="3" t="n">
        <v>12</v>
      </c>
      <c r="E1359" s="3" t="n">
        <v>13</v>
      </c>
      <c r="F1359" s="24" t="n">
        <v>0</v>
      </c>
    </row>
    <row r="1360" customFormat="false" ht="15" hidden="false" customHeight="false" outlineLevel="0" collapsed="false">
      <c r="A1360" s="3" t="n">
        <v>1359</v>
      </c>
      <c r="B1360" s="3" t="n">
        <v>1358</v>
      </c>
      <c r="C1360" s="3" t="n">
        <v>6</v>
      </c>
      <c r="D1360" s="3" t="n">
        <v>13</v>
      </c>
      <c r="E1360" s="3" t="n">
        <v>0</v>
      </c>
      <c r="F1360" s="24" t="n">
        <v>0.185572863</v>
      </c>
    </row>
    <row r="1361" customFormat="false" ht="15" hidden="false" customHeight="false" outlineLevel="0" collapsed="false">
      <c r="A1361" s="3" t="n">
        <v>1360</v>
      </c>
      <c r="B1361" s="3" t="n">
        <v>1359</v>
      </c>
      <c r="C1361" s="3" t="n">
        <v>6</v>
      </c>
      <c r="D1361" s="3" t="n">
        <v>13</v>
      </c>
      <c r="E1361" s="3" t="n">
        <v>1</v>
      </c>
      <c r="F1361" s="24" t="n">
        <v>0</v>
      </c>
    </row>
    <row r="1362" customFormat="false" ht="15" hidden="false" customHeight="false" outlineLevel="0" collapsed="false">
      <c r="A1362" s="3" t="n">
        <v>1361</v>
      </c>
      <c r="B1362" s="3" t="n">
        <v>1360</v>
      </c>
      <c r="C1362" s="3" t="n">
        <v>6</v>
      </c>
      <c r="D1362" s="3" t="n">
        <v>13</v>
      </c>
      <c r="E1362" s="3" t="n">
        <v>2</v>
      </c>
      <c r="F1362" s="24" t="n">
        <v>0</v>
      </c>
    </row>
    <row r="1363" customFormat="false" ht="15" hidden="false" customHeight="false" outlineLevel="0" collapsed="false">
      <c r="A1363" s="3" t="n">
        <v>1362</v>
      </c>
      <c r="B1363" s="3" t="n">
        <v>1361</v>
      </c>
      <c r="C1363" s="3" t="n">
        <v>6</v>
      </c>
      <c r="D1363" s="3" t="n">
        <v>13</v>
      </c>
      <c r="E1363" s="3" t="n">
        <v>3</v>
      </c>
      <c r="F1363" s="24" t="n">
        <v>0</v>
      </c>
    </row>
    <row r="1364" customFormat="false" ht="15" hidden="false" customHeight="false" outlineLevel="0" collapsed="false">
      <c r="A1364" s="3" t="n">
        <v>1363</v>
      </c>
      <c r="B1364" s="3" t="n">
        <v>1362</v>
      </c>
      <c r="C1364" s="3" t="n">
        <v>6</v>
      </c>
      <c r="D1364" s="3" t="n">
        <v>13</v>
      </c>
      <c r="E1364" s="3" t="n">
        <v>4</v>
      </c>
      <c r="F1364" s="24" t="n">
        <v>0.314254135</v>
      </c>
    </row>
    <row r="1365" customFormat="false" ht="15" hidden="false" customHeight="false" outlineLevel="0" collapsed="false">
      <c r="A1365" s="3" t="n">
        <v>1364</v>
      </c>
      <c r="B1365" s="3" t="n">
        <v>1363</v>
      </c>
      <c r="C1365" s="3" t="n">
        <v>6</v>
      </c>
      <c r="D1365" s="3" t="n">
        <v>13</v>
      </c>
      <c r="E1365" s="3" t="n">
        <v>5</v>
      </c>
      <c r="F1365" s="24" t="n">
        <v>2.88110042</v>
      </c>
    </row>
    <row r="1366" customFormat="false" ht="15" hidden="false" customHeight="false" outlineLevel="0" collapsed="false">
      <c r="A1366" s="3" t="n">
        <v>1365</v>
      </c>
      <c r="B1366" s="3" t="n">
        <v>1364</v>
      </c>
      <c r="C1366" s="3" t="n">
        <v>6</v>
      </c>
      <c r="D1366" s="3" t="n">
        <v>13</v>
      </c>
      <c r="E1366" s="3" t="n">
        <v>6</v>
      </c>
      <c r="F1366" s="24" t="n">
        <v>3.7040081</v>
      </c>
    </row>
    <row r="1367" customFormat="false" ht="15" hidden="false" customHeight="false" outlineLevel="0" collapsed="false">
      <c r="A1367" s="3" t="n">
        <v>1366</v>
      </c>
      <c r="B1367" s="3" t="n">
        <v>1365</v>
      </c>
      <c r="C1367" s="3" t="n">
        <v>6</v>
      </c>
      <c r="D1367" s="3" t="n">
        <v>13</v>
      </c>
      <c r="E1367" s="3" t="n">
        <v>7</v>
      </c>
      <c r="F1367" s="24" t="n">
        <v>0.37643531</v>
      </c>
    </row>
    <row r="1368" customFormat="false" ht="15" hidden="false" customHeight="false" outlineLevel="0" collapsed="false">
      <c r="A1368" s="3" t="n">
        <v>1367</v>
      </c>
      <c r="B1368" s="3" t="n">
        <v>1366</v>
      </c>
      <c r="C1368" s="3" t="n">
        <v>6</v>
      </c>
      <c r="D1368" s="3" t="n">
        <v>13</v>
      </c>
      <c r="E1368" s="3" t="n">
        <v>8</v>
      </c>
      <c r="F1368" s="24" t="n">
        <v>0</v>
      </c>
    </row>
    <row r="1369" customFormat="false" ht="15" hidden="false" customHeight="false" outlineLevel="0" collapsed="false">
      <c r="A1369" s="3" t="n">
        <v>1368</v>
      </c>
      <c r="B1369" s="3" t="n">
        <v>1367</v>
      </c>
      <c r="C1369" s="3" t="n">
        <v>6</v>
      </c>
      <c r="D1369" s="3" t="n">
        <v>13</v>
      </c>
      <c r="E1369" s="3" t="n">
        <v>9</v>
      </c>
      <c r="F1369" s="24" t="n">
        <v>0</v>
      </c>
    </row>
    <row r="1370" customFormat="false" ht="15" hidden="false" customHeight="false" outlineLevel="0" collapsed="false">
      <c r="A1370" s="3" t="n">
        <v>1369</v>
      </c>
      <c r="B1370" s="3" t="n">
        <v>1368</v>
      </c>
      <c r="C1370" s="3" t="n">
        <v>6</v>
      </c>
      <c r="D1370" s="3" t="n">
        <v>13</v>
      </c>
      <c r="E1370" s="3" t="n">
        <v>10</v>
      </c>
      <c r="F1370" s="24" t="n">
        <v>0</v>
      </c>
    </row>
    <row r="1371" customFormat="false" ht="15" hidden="false" customHeight="false" outlineLevel="0" collapsed="false">
      <c r="A1371" s="3" t="n">
        <v>1370</v>
      </c>
      <c r="B1371" s="3" t="n">
        <v>1369</v>
      </c>
      <c r="C1371" s="3" t="n">
        <v>6</v>
      </c>
      <c r="D1371" s="3" t="n">
        <v>13</v>
      </c>
      <c r="E1371" s="3" t="n">
        <v>11</v>
      </c>
      <c r="F1371" s="24" t="n">
        <v>0</v>
      </c>
    </row>
    <row r="1372" customFormat="false" ht="15" hidden="false" customHeight="false" outlineLevel="0" collapsed="false">
      <c r="A1372" s="3" t="n">
        <v>1371</v>
      </c>
      <c r="B1372" s="3" t="n">
        <v>1370</v>
      </c>
      <c r="C1372" s="3" t="n">
        <v>6</v>
      </c>
      <c r="D1372" s="3" t="n">
        <v>13</v>
      </c>
      <c r="E1372" s="3" t="n">
        <v>12</v>
      </c>
      <c r="F1372" s="24" t="n">
        <v>0</v>
      </c>
    </row>
    <row r="1373" customFormat="false" ht="15" hidden="false" customHeight="false" outlineLevel="0" collapsed="false">
      <c r="A1373" s="3" t="n">
        <v>1372</v>
      </c>
      <c r="B1373" s="3" t="n">
        <v>1371</v>
      </c>
      <c r="C1373" s="3" t="n">
        <v>6</v>
      </c>
      <c r="D1373" s="3" t="n">
        <v>13</v>
      </c>
      <c r="E1373" s="3" t="n">
        <v>13</v>
      </c>
      <c r="F1373" s="24" t="n">
        <v>0</v>
      </c>
    </row>
    <row r="1374" customFormat="false" ht="15" hidden="false" customHeight="false" outlineLevel="0" collapsed="false">
      <c r="A1374" s="3" t="n">
        <v>1373</v>
      </c>
      <c r="B1374" s="3" t="n">
        <v>1372</v>
      </c>
      <c r="C1374" s="3" t="n">
        <v>7</v>
      </c>
      <c r="D1374" s="3" t="n">
        <v>0</v>
      </c>
      <c r="E1374" s="3" t="n">
        <v>0</v>
      </c>
      <c r="F1374" s="24" t="n">
        <v>0.259080142</v>
      </c>
    </row>
    <row r="1375" customFormat="false" ht="15" hidden="false" customHeight="false" outlineLevel="0" collapsed="false">
      <c r="A1375" s="3" t="n">
        <v>1374</v>
      </c>
      <c r="B1375" s="3" t="n">
        <v>1373</v>
      </c>
      <c r="C1375" s="3" t="n">
        <v>7</v>
      </c>
      <c r="D1375" s="3" t="n">
        <v>0</v>
      </c>
      <c r="E1375" s="3" t="n">
        <v>1</v>
      </c>
      <c r="F1375" s="24" t="n">
        <v>0</v>
      </c>
    </row>
    <row r="1376" customFormat="false" ht="15" hidden="false" customHeight="false" outlineLevel="0" collapsed="false">
      <c r="A1376" s="3" t="n">
        <v>1375</v>
      </c>
      <c r="B1376" s="3" t="n">
        <v>1374</v>
      </c>
      <c r="C1376" s="3" t="n">
        <v>7</v>
      </c>
      <c r="D1376" s="3" t="n">
        <v>0</v>
      </c>
      <c r="E1376" s="3" t="n">
        <v>2</v>
      </c>
      <c r="F1376" s="24" t="n">
        <v>0</v>
      </c>
    </row>
    <row r="1377" customFormat="false" ht="15" hidden="false" customHeight="false" outlineLevel="0" collapsed="false">
      <c r="A1377" s="3" t="n">
        <v>1376</v>
      </c>
      <c r="B1377" s="3" t="n">
        <v>1375</v>
      </c>
      <c r="C1377" s="3" t="n">
        <v>7</v>
      </c>
      <c r="D1377" s="3" t="n">
        <v>0</v>
      </c>
      <c r="E1377" s="3" t="n">
        <v>3</v>
      </c>
      <c r="F1377" s="24" t="n">
        <v>0</v>
      </c>
    </row>
    <row r="1378" customFormat="false" ht="15" hidden="false" customHeight="false" outlineLevel="0" collapsed="false">
      <c r="A1378" s="3" t="n">
        <v>1377</v>
      </c>
      <c r="B1378" s="3" t="n">
        <v>1376</v>
      </c>
      <c r="C1378" s="3" t="n">
        <v>7</v>
      </c>
      <c r="D1378" s="3" t="n">
        <v>0</v>
      </c>
      <c r="E1378" s="3" t="n">
        <v>4</v>
      </c>
      <c r="F1378" s="24" t="n">
        <v>0</v>
      </c>
    </row>
    <row r="1379" customFormat="false" ht="15" hidden="false" customHeight="false" outlineLevel="0" collapsed="false">
      <c r="A1379" s="3" t="n">
        <v>1378</v>
      </c>
      <c r="B1379" s="3" t="n">
        <v>1377</v>
      </c>
      <c r="C1379" s="3" t="n">
        <v>7</v>
      </c>
      <c r="D1379" s="3" t="n">
        <v>0</v>
      </c>
      <c r="E1379" s="3" t="n">
        <v>5</v>
      </c>
      <c r="F1379" s="24" t="n">
        <v>0</v>
      </c>
    </row>
    <row r="1380" customFormat="false" ht="15" hidden="false" customHeight="false" outlineLevel="0" collapsed="false">
      <c r="A1380" s="3" t="n">
        <v>1379</v>
      </c>
      <c r="B1380" s="3" t="n">
        <v>1378</v>
      </c>
      <c r="C1380" s="3" t="n">
        <v>7</v>
      </c>
      <c r="D1380" s="3" t="n">
        <v>0</v>
      </c>
      <c r="E1380" s="3" t="n">
        <v>6</v>
      </c>
      <c r="F1380" s="24" t="n">
        <v>0</v>
      </c>
    </row>
    <row r="1381" customFormat="false" ht="15" hidden="false" customHeight="false" outlineLevel="0" collapsed="false">
      <c r="A1381" s="3" t="n">
        <v>1380</v>
      </c>
      <c r="B1381" s="3" t="n">
        <v>1379</v>
      </c>
      <c r="C1381" s="3" t="n">
        <v>7</v>
      </c>
      <c r="D1381" s="3" t="n">
        <v>0</v>
      </c>
      <c r="E1381" s="3" t="n">
        <v>7</v>
      </c>
      <c r="F1381" s="24" t="n">
        <v>0</v>
      </c>
    </row>
    <row r="1382" customFormat="false" ht="15" hidden="false" customHeight="false" outlineLevel="0" collapsed="false">
      <c r="A1382" s="3" t="n">
        <v>1381</v>
      </c>
      <c r="B1382" s="3" t="n">
        <v>1380</v>
      </c>
      <c r="C1382" s="3" t="n">
        <v>7</v>
      </c>
      <c r="D1382" s="3" t="n">
        <v>0</v>
      </c>
      <c r="E1382" s="3" t="n">
        <v>8</v>
      </c>
      <c r="F1382" s="24" t="n">
        <v>0</v>
      </c>
    </row>
    <row r="1383" customFormat="false" ht="15" hidden="false" customHeight="false" outlineLevel="0" collapsed="false">
      <c r="A1383" s="3" t="n">
        <v>1382</v>
      </c>
      <c r="B1383" s="3" t="n">
        <v>1381</v>
      </c>
      <c r="C1383" s="3" t="n">
        <v>7</v>
      </c>
      <c r="D1383" s="3" t="n">
        <v>0</v>
      </c>
      <c r="E1383" s="3" t="n">
        <v>9</v>
      </c>
      <c r="F1383" s="24" t="n">
        <v>0</v>
      </c>
    </row>
    <row r="1384" customFormat="false" ht="15" hidden="false" customHeight="false" outlineLevel="0" collapsed="false">
      <c r="A1384" s="3" t="n">
        <v>1383</v>
      </c>
      <c r="B1384" s="3" t="n">
        <v>1382</v>
      </c>
      <c r="C1384" s="3" t="n">
        <v>7</v>
      </c>
      <c r="D1384" s="3" t="n">
        <v>0</v>
      </c>
      <c r="E1384" s="3" t="n">
        <v>10</v>
      </c>
      <c r="F1384" s="24" t="n">
        <v>0</v>
      </c>
    </row>
    <row r="1385" customFormat="false" ht="15" hidden="false" customHeight="false" outlineLevel="0" collapsed="false">
      <c r="A1385" s="3" t="n">
        <v>1384</v>
      </c>
      <c r="B1385" s="3" t="n">
        <v>1383</v>
      </c>
      <c r="C1385" s="3" t="n">
        <v>7</v>
      </c>
      <c r="D1385" s="3" t="n">
        <v>0</v>
      </c>
      <c r="E1385" s="3" t="n">
        <v>11</v>
      </c>
      <c r="F1385" s="24" t="n">
        <v>0</v>
      </c>
    </row>
    <row r="1386" customFormat="false" ht="15" hidden="false" customHeight="false" outlineLevel="0" collapsed="false">
      <c r="A1386" s="3" t="n">
        <v>1385</v>
      </c>
      <c r="B1386" s="3" t="n">
        <v>1384</v>
      </c>
      <c r="C1386" s="3" t="n">
        <v>7</v>
      </c>
      <c r="D1386" s="3" t="n">
        <v>0</v>
      </c>
      <c r="E1386" s="3" t="n">
        <v>12</v>
      </c>
      <c r="F1386" s="24" t="n">
        <v>0</v>
      </c>
    </row>
    <row r="1387" customFormat="false" ht="15" hidden="false" customHeight="false" outlineLevel="0" collapsed="false">
      <c r="A1387" s="3" t="n">
        <v>1386</v>
      </c>
      <c r="B1387" s="3" t="n">
        <v>1385</v>
      </c>
      <c r="C1387" s="3" t="n">
        <v>7</v>
      </c>
      <c r="D1387" s="3" t="n">
        <v>0</v>
      </c>
      <c r="E1387" s="3" t="n">
        <v>13</v>
      </c>
      <c r="F1387" s="24" t="n">
        <v>0</v>
      </c>
    </row>
    <row r="1388" customFormat="false" ht="15" hidden="false" customHeight="false" outlineLevel="0" collapsed="false">
      <c r="A1388" s="3" t="n">
        <v>1387</v>
      </c>
      <c r="B1388" s="3" t="n">
        <v>1386</v>
      </c>
      <c r="C1388" s="3" t="n">
        <v>7</v>
      </c>
      <c r="D1388" s="3" t="n">
        <v>1</v>
      </c>
      <c r="E1388" s="3" t="n">
        <v>0</v>
      </c>
      <c r="F1388" s="24" t="n">
        <v>0.259080142</v>
      </c>
    </row>
    <row r="1389" customFormat="false" ht="15" hidden="false" customHeight="false" outlineLevel="0" collapsed="false">
      <c r="A1389" s="3" t="n">
        <v>1388</v>
      </c>
      <c r="B1389" s="3" t="n">
        <v>1387</v>
      </c>
      <c r="C1389" s="3" t="n">
        <v>7</v>
      </c>
      <c r="D1389" s="3" t="n">
        <v>1</v>
      </c>
      <c r="E1389" s="3" t="n">
        <v>1</v>
      </c>
      <c r="F1389" s="24" t="n">
        <v>0</v>
      </c>
    </row>
    <row r="1390" customFormat="false" ht="15" hidden="false" customHeight="false" outlineLevel="0" collapsed="false">
      <c r="A1390" s="3" t="n">
        <v>1389</v>
      </c>
      <c r="B1390" s="3" t="n">
        <v>1388</v>
      </c>
      <c r="C1390" s="3" t="n">
        <v>7</v>
      </c>
      <c r="D1390" s="3" t="n">
        <v>1</v>
      </c>
      <c r="E1390" s="3" t="n">
        <v>2</v>
      </c>
      <c r="F1390" s="24" t="n">
        <v>0</v>
      </c>
    </row>
    <row r="1391" customFormat="false" ht="15" hidden="false" customHeight="false" outlineLevel="0" collapsed="false">
      <c r="A1391" s="3" t="n">
        <v>1390</v>
      </c>
      <c r="B1391" s="3" t="n">
        <v>1389</v>
      </c>
      <c r="C1391" s="3" t="n">
        <v>7</v>
      </c>
      <c r="D1391" s="3" t="n">
        <v>1</v>
      </c>
      <c r="E1391" s="3" t="n">
        <v>3</v>
      </c>
      <c r="F1391" s="24" t="n">
        <v>0</v>
      </c>
    </row>
    <row r="1392" customFormat="false" ht="15" hidden="false" customHeight="false" outlineLevel="0" collapsed="false">
      <c r="A1392" s="3" t="n">
        <v>1391</v>
      </c>
      <c r="B1392" s="3" t="n">
        <v>1390</v>
      </c>
      <c r="C1392" s="3" t="n">
        <v>7</v>
      </c>
      <c r="D1392" s="3" t="n">
        <v>1</v>
      </c>
      <c r="E1392" s="3" t="n">
        <v>4</v>
      </c>
      <c r="F1392" s="24" t="n">
        <v>0</v>
      </c>
    </row>
    <row r="1393" customFormat="false" ht="15" hidden="false" customHeight="false" outlineLevel="0" collapsed="false">
      <c r="A1393" s="3" t="n">
        <v>1392</v>
      </c>
      <c r="B1393" s="3" t="n">
        <v>1391</v>
      </c>
      <c r="C1393" s="3" t="n">
        <v>7</v>
      </c>
      <c r="D1393" s="3" t="n">
        <v>1</v>
      </c>
      <c r="E1393" s="3" t="n">
        <v>5</v>
      </c>
      <c r="F1393" s="24" t="n">
        <v>0</v>
      </c>
    </row>
    <row r="1394" customFormat="false" ht="15" hidden="false" customHeight="false" outlineLevel="0" collapsed="false">
      <c r="A1394" s="3" t="n">
        <v>1393</v>
      </c>
      <c r="B1394" s="3" t="n">
        <v>1392</v>
      </c>
      <c r="C1394" s="3" t="n">
        <v>7</v>
      </c>
      <c r="D1394" s="3" t="n">
        <v>1</v>
      </c>
      <c r="E1394" s="3" t="n">
        <v>6</v>
      </c>
      <c r="F1394" s="24" t="n">
        <v>0</v>
      </c>
    </row>
    <row r="1395" customFormat="false" ht="15" hidden="false" customHeight="false" outlineLevel="0" collapsed="false">
      <c r="A1395" s="3" t="n">
        <v>1394</v>
      </c>
      <c r="B1395" s="3" t="n">
        <v>1393</v>
      </c>
      <c r="C1395" s="3" t="n">
        <v>7</v>
      </c>
      <c r="D1395" s="3" t="n">
        <v>1</v>
      </c>
      <c r="E1395" s="3" t="n">
        <v>7</v>
      </c>
      <c r="F1395" s="24" t="n">
        <v>0</v>
      </c>
    </row>
    <row r="1396" customFormat="false" ht="15" hidden="false" customHeight="false" outlineLevel="0" collapsed="false">
      <c r="A1396" s="3" t="n">
        <v>1395</v>
      </c>
      <c r="B1396" s="3" t="n">
        <v>1394</v>
      </c>
      <c r="C1396" s="3" t="n">
        <v>7</v>
      </c>
      <c r="D1396" s="3" t="n">
        <v>1</v>
      </c>
      <c r="E1396" s="3" t="n">
        <v>8</v>
      </c>
      <c r="F1396" s="24" t="n">
        <v>0</v>
      </c>
    </row>
    <row r="1397" customFormat="false" ht="15" hidden="false" customHeight="false" outlineLevel="0" collapsed="false">
      <c r="A1397" s="3" t="n">
        <v>1396</v>
      </c>
      <c r="B1397" s="3" t="n">
        <v>1395</v>
      </c>
      <c r="C1397" s="3" t="n">
        <v>7</v>
      </c>
      <c r="D1397" s="3" t="n">
        <v>1</v>
      </c>
      <c r="E1397" s="3" t="n">
        <v>9</v>
      </c>
      <c r="F1397" s="24" t="n">
        <v>0</v>
      </c>
    </row>
    <row r="1398" customFormat="false" ht="15" hidden="false" customHeight="false" outlineLevel="0" collapsed="false">
      <c r="A1398" s="3" t="n">
        <v>1397</v>
      </c>
      <c r="B1398" s="3" t="n">
        <v>1396</v>
      </c>
      <c r="C1398" s="3" t="n">
        <v>7</v>
      </c>
      <c r="D1398" s="3" t="n">
        <v>1</v>
      </c>
      <c r="E1398" s="3" t="n">
        <v>10</v>
      </c>
      <c r="F1398" s="24" t="n">
        <v>0</v>
      </c>
    </row>
    <row r="1399" customFormat="false" ht="15" hidden="false" customHeight="false" outlineLevel="0" collapsed="false">
      <c r="A1399" s="3" t="n">
        <v>1398</v>
      </c>
      <c r="B1399" s="3" t="n">
        <v>1397</v>
      </c>
      <c r="C1399" s="3" t="n">
        <v>7</v>
      </c>
      <c r="D1399" s="3" t="n">
        <v>1</v>
      </c>
      <c r="E1399" s="3" t="n">
        <v>11</v>
      </c>
      <c r="F1399" s="24" t="n">
        <v>0</v>
      </c>
    </row>
    <row r="1400" customFormat="false" ht="15" hidden="false" customHeight="false" outlineLevel="0" collapsed="false">
      <c r="A1400" s="3" t="n">
        <v>1399</v>
      </c>
      <c r="B1400" s="3" t="n">
        <v>1398</v>
      </c>
      <c r="C1400" s="3" t="n">
        <v>7</v>
      </c>
      <c r="D1400" s="3" t="n">
        <v>1</v>
      </c>
      <c r="E1400" s="3" t="n">
        <v>12</v>
      </c>
      <c r="F1400" s="24" t="n">
        <v>0</v>
      </c>
    </row>
    <row r="1401" customFormat="false" ht="15" hidden="false" customHeight="false" outlineLevel="0" collapsed="false">
      <c r="A1401" s="3" t="n">
        <v>1400</v>
      </c>
      <c r="B1401" s="3" t="n">
        <v>1399</v>
      </c>
      <c r="C1401" s="3" t="n">
        <v>7</v>
      </c>
      <c r="D1401" s="3" t="n">
        <v>1</v>
      </c>
      <c r="E1401" s="3" t="n">
        <v>13</v>
      </c>
      <c r="F1401" s="24" t="n">
        <v>0</v>
      </c>
    </row>
    <row r="1402" customFormat="false" ht="15" hidden="false" customHeight="false" outlineLevel="0" collapsed="false">
      <c r="A1402" s="3" t="n">
        <v>1401</v>
      </c>
      <c r="B1402" s="3" t="n">
        <v>1400</v>
      </c>
      <c r="C1402" s="3" t="n">
        <v>7</v>
      </c>
      <c r="D1402" s="3" t="n">
        <v>2</v>
      </c>
      <c r="E1402" s="3" t="n">
        <v>0</v>
      </c>
      <c r="F1402" s="24" t="n">
        <v>0.259080142</v>
      </c>
    </row>
    <row r="1403" customFormat="false" ht="15" hidden="false" customHeight="false" outlineLevel="0" collapsed="false">
      <c r="A1403" s="3" t="n">
        <v>1402</v>
      </c>
      <c r="B1403" s="3" t="n">
        <v>1401</v>
      </c>
      <c r="C1403" s="3" t="n">
        <v>7</v>
      </c>
      <c r="D1403" s="3" t="n">
        <v>2</v>
      </c>
      <c r="E1403" s="3" t="n">
        <v>1</v>
      </c>
      <c r="F1403" s="24" t="n">
        <v>0</v>
      </c>
    </row>
    <row r="1404" customFormat="false" ht="15" hidden="false" customHeight="false" outlineLevel="0" collapsed="false">
      <c r="A1404" s="3" t="n">
        <v>1403</v>
      </c>
      <c r="B1404" s="3" t="n">
        <v>1402</v>
      </c>
      <c r="C1404" s="3" t="n">
        <v>7</v>
      </c>
      <c r="D1404" s="3" t="n">
        <v>2</v>
      </c>
      <c r="E1404" s="3" t="n">
        <v>2</v>
      </c>
      <c r="F1404" s="24" t="n">
        <v>0</v>
      </c>
    </row>
    <row r="1405" customFormat="false" ht="15" hidden="false" customHeight="false" outlineLevel="0" collapsed="false">
      <c r="A1405" s="3" t="n">
        <v>1404</v>
      </c>
      <c r="B1405" s="3" t="n">
        <v>1403</v>
      </c>
      <c r="C1405" s="3" t="n">
        <v>7</v>
      </c>
      <c r="D1405" s="3" t="n">
        <v>2</v>
      </c>
      <c r="E1405" s="3" t="n">
        <v>3</v>
      </c>
      <c r="F1405" s="24" t="n">
        <v>0</v>
      </c>
    </row>
    <row r="1406" customFormat="false" ht="15" hidden="false" customHeight="false" outlineLevel="0" collapsed="false">
      <c r="A1406" s="3" t="n">
        <v>1405</v>
      </c>
      <c r="B1406" s="3" t="n">
        <v>1404</v>
      </c>
      <c r="C1406" s="3" t="n">
        <v>7</v>
      </c>
      <c r="D1406" s="3" t="n">
        <v>2</v>
      </c>
      <c r="E1406" s="3" t="n">
        <v>4</v>
      </c>
      <c r="F1406" s="24" t="n">
        <v>0</v>
      </c>
    </row>
    <row r="1407" customFormat="false" ht="15" hidden="false" customHeight="false" outlineLevel="0" collapsed="false">
      <c r="A1407" s="3" t="n">
        <v>1406</v>
      </c>
      <c r="B1407" s="3" t="n">
        <v>1405</v>
      </c>
      <c r="C1407" s="3" t="n">
        <v>7</v>
      </c>
      <c r="D1407" s="3" t="n">
        <v>2</v>
      </c>
      <c r="E1407" s="3" t="n">
        <v>5</v>
      </c>
      <c r="F1407" s="24" t="n">
        <v>0</v>
      </c>
    </row>
    <row r="1408" customFormat="false" ht="15" hidden="false" customHeight="false" outlineLevel="0" collapsed="false">
      <c r="A1408" s="3" t="n">
        <v>1407</v>
      </c>
      <c r="B1408" s="3" t="n">
        <v>1406</v>
      </c>
      <c r="C1408" s="3" t="n">
        <v>7</v>
      </c>
      <c r="D1408" s="3" t="n">
        <v>2</v>
      </c>
      <c r="E1408" s="3" t="n">
        <v>6</v>
      </c>
      <c r="F1408" s="24" t="n">
        <v>0</v>
      </c>
    </row>
    <row r="1409" customFormat="false" ht="15" hidden="false" customHeight="false" outlineLevel="0" collapsed="false">
      <c r="A1409" s="3" t="n">
        <v>1408</v>
      </c>
      <c r="B1409" s="3" t="n">
        <v>1407</v>
      </c>
      <c r="C1409" s="3" t="n">
        <v>7</v>
      </c>
      <c r="D1409" s="3" t="n">
        <v>2</v>
      </c>
      <c r="E1409" s="3" t="n">
        <v>7</v>
      </c>
      <c r="F1409" s="24" t="n">
        <v>0</v>
      </c>
    </row>
    <row r="1410" customFormat="false" ht="15" hidden="false" customHeight="false" outlineLevel="0" collapsed="false">
      <c r="A1410" s="3" t="n">
        <v>1409</v>
      </c>
      <c r="B1410" s="3" t="n">
        <v>1408</v>
      </c>
      <c r="C1410" s="3" t="n">
        <v>7</v>
      </c>
      <c r="D1410" s="3" t="n">
        <v>2</v>
      </c>
      <c r="E1410" s="3" t="n">
        <v>8</v>
      </c>
      <c r="F1410" s="24" t="n">
        <v>0</v>
      </c>
    </row>
    <row r="1411" customFormat="false" ht="15" hidden="false" customHeight="false" outlineLevel="0" collapsed="false">
      <c r="A1411" s="3" t="n">
        <v>1410</v>
      </c>
      <c r="B1411" s="3" t="n">
        <v>1409</v>
      </c>
      <c r="C1411" s="3" t="n">
        <v>7</v>
      </c>
      <c r="D1411" s="3" t="n">
        <v>2</v>
      </c>
      <c r="E1411" s="3" t="n">
        <v>9</v>
      </c>
      <c r="F1411" s="24" t="n">
        <v>0</v>
      </c>
    </row>
    <row r="1412" customFormat="false" ht="15" hidden="false" customHeight="false" outlineLevel="0" collapsed="false">
      <c r="A1412" s="3" t="n">
        <v>1411</v>
      </c>
      <c r="B1412" s="3" t="n">
        <v>1410</v>
      </c>
      <c r="C1412" s="3" t="n">
        <v>7</v>
      </c>
      <c r="D1412" s="3" t="n">
        <v>2</v>
      </c>
      <c r="E1412" s="3" t="n">
        <v>10</v>
      </c>
      <c r="F1412" s="24" t="n">
        <v>0</v>
      </c>
    </row>
    <row r="1413" customFormat="false" ht="15" hidden="false" customHeight="false" outlineLevel="0" collapsed="false">
      <c r="A1413" s="3" t="n">
        <v>1412</v>
      </c>
      <c r="B1413" s="3" t="n">
        <v>1411</v>
      </c>
      <c r="C1413" s="3" t="n">
        <v>7</v>
      </c>
      <c r="D1413" s="3" t="n">
        <v>2</v>
      </c>
      <c r="E1413" s="3" t="n">
        <v>11</v>
      </c>
      <c r="F1413" s="24" t="n">
        <v>0</v>
      </c>
    </row>
    <row r="1414" customFormat="false" ht="15" hidden="false" customHeight="false" outlineLevel="0" collapsed="false">
      <c r="A1414" s="3" t="n">
        <v>1413</v>
      </c>
      <c r="B1414" s="3" t="n">
        <v>1412</v>
      </c>
      <c r="C1414" s="3" t="n">
        <v>7</v>
      </c>
      <c r="D1414" s="3" t="n">
        <v>2</v>
      </c>
      <c r="E1414" s="3" t="n">
        <v>12</v>
      </c>
      <c r="F1414" s="24" t="n">
        <v>0</v>
      </c>
    </row>
    <row r="1415" customFormat="false" ht="15" hidden="false" customHeight="false" outlineLevel="0" collapsed="false">
      <c r="A1415" s="3" t="n">
        <v>1414</v>
      </c>
      <c r="B1415" s="3" t="n">
        <v>1413</v>
      </c>
      <c r="C1415" s="3" t="n">
        <v>7</v>
      </c>
      <c r="D1415" s="3" t="n">
        <v>2</v>
      </c>
      <c r="E1415" s="3" t="n">
        <v>13</v>
      </c>
      <c r="F1415" s="24" t="n">
        <v>0</v>
      </c>
    </row>
    <row r="1416" customFormat="false" ht="15" hidden="false" customHeight="false" outlineLevel="0" collapsed="false">
      <c r="A1416" s="3" t="n">
        <v>1415</v>
      </c>
      <c r="B1416" s="3" t="n">
        <v>1414</v>
      </c>
      <c r="C1416" s="3" t="n">
        <v>7</v>
      </c>
      <c r="D1416" s="3" t="n">
        <v>3</v>
      </c>
      <c r="E1416" s="3" t="n">
        <v>0</v>
      </c>
      <c r="F1416" s="24" t="n">
        <v>0.259080142</v>
      </c>
    </row>
    <row r="1417" customFormat="false" ht="15" hidden="false" customHeight="false" outlineLevel="0" collapsed="false">
      <c r="A1417" s="3" t="n">
        <v>1416</v>
      </c>
      <c r="B1417" s="3" t="n">
        <v>1415</v>
      </c>
      <c r="C1417" s="3" t="n">
        <v>7</v>
      </c>
      <c r="D1417" s="3" t="n">
        <v>3</v>
      </c>
      <c r="E1417" s="3" t="n">
        <v>1</v>
      </c>
      <c r="F1417" s="24" t="n">
        <v>0</v>
      </c>
    </row>
    <row r="1418" customFormat="false" ht="15" hidden="false" customHeight="false" outlineLevel="0" collapsed="false">
      <c r="A1418" s="3" t="n">
        <v>1417</v>
      </c>
      <c r="B1418" s="3" t="n">
        <v>1416</v>
      </c>
      <c r="C1418" s="3" t="n">
        <v>7</v>
      </c>
      <c r="D1418" s="3" t="n">
        <v>3</v>
      </c>
      <c r="E1418" s="3" t="n">
        <v>2</v>
      </c>
      <c r="F1418" s="24" t="n">
        <v>0.06717401</v>
      </c>
    </row>
    <row r="1419" customFormat="false" ht="15" hidden="false" customHeight="false" outlineLevel="0" collapsed="false">
      <c r="A1419" s="3" t="n">
        <v>1418</v>
      </c>
      <c r="B1419" s="3" t="n">
        <v>1417</v>
      </c>
      <c r="C1419" s="3" t="n">
        <v>7</v>
      </c>
      <c r="D1419" s="3" t="n">
        <v>3</v>
      </c>
      <c r="E1419" s="3" t="n">
        <v>3</v>
      </c>
      <c r="F1419" s="24" t="n">
        <v>2.02611732</v>
      </c>
    </row>
    <row r="1420" customFormat="false" ht="15" hidden="false" customHeight="false" outlineLevel="0" collapsed="false">
      <c r="A1420" s="3" t="n">
        <v>1419</v>
      </c>
      <c r="B1420" s="3" t="n">
        <v>1418</v>
      </c>
      <c r="C1420" s="3" t="n">
        <v>7</v>
      </c>
      <c r="D1420" s="3" t="n">
        <v>3</v>
      </c>
      <c r="E1420" s="3" t="n">
        <v>4</v>
      </c>
      <c r="F1420" s="24" t="n">
        <v>3.18828821</v>
      </c>
    </row>
    <row r="1421" customFormat="false" ht="15" hidden="false" customHeight="false" outlineLevel="0" collapsed="false">
      <c r="A1421" s="3" t="n">
        <v>1420</v>
      </c>
      <c r="B1421" s="3" t="n">
        <v>1419</v>
      </c>
      <c r="C1421" s="3" t="n">
        <v>7</v>
      </c>
      <c r="D1421" s="3" t="n">
        <v>3</v>
      </c>
      <c r="E1421" s="3" t="n">
        <v>5</v>
      </c>
      <c r="F1421" s="24" t="n">
        <v>3.29430151</v>
      </c>
    </row>
    <row r="1422" customFormat="false" ht="15" hidden="false" customHeight="false" outlineLevel="0" collapsed="false">
      <c r="A1422" s="3" t="n">
        <v>1421</v>
      </c>
      <c r="B1422" s="3" t="n">
        <v>1420</v>
      </c>
      <c r="C1422" s="3" t="n">
        <v>7</v>
      </c>
      <c r="D1422" s="3" t="n">
        <v>3</v>
      </c>
      <c r="E1422" s="3" t="n">
        <v>6</v>
      </c>
      <c r="F1422" s="24" t="n">
        <v>2.20649695</v>
      </c>
    </row>
    <row r="1423" customFormat="false" ht="15" hidden="false" customHeight="false" outlineLevel="0" collapsed="false">
      <c r="A1423" s="3" t="n">
        <v>1422</v>
      </c>
      <c r="B1423" s="3" t="n">
        <v>1421</v>
      </c>
      <c r="C1423" s="3" t="n">
        <v>7</v>
      </c>
      <c r="D1423" s="3" t="n">
        <v>3</v>
      </c>
      <c r="E1423" s="3" t="n">
        <v>7</v>
      </c>
      <c r="F1423" s="24" t="n">
        <v>1.97016048</v>
      </c>
    </row>
    <row r="1424" customFormat="false" ht="15" hidden="false" customHeight="false" outlineLevel="0" collapsed="false">
      <c r="A1424" s="3" t="n">
        <v>1423</v>
      </c>
      <c r="B1424" s="3" t="n">
        <v>1422</v>
      </c>
      <c r="C1424" s="3" t="n">
        <v>7</v>
      </c>
      <c r="D1424" s="3" t="n">
        <v>3</v>
      </c>
      <c r="E1424" s="3" t="n">
        <v>8</v>
      </c>
      <c r="F1424" s="24" t="n">
        <v>1.97016048</v>
      </c>
    </row>
    <row r="1425" customFormat="false" ht="15" hidden="false" customHeight="false" outlineLevel="0" collapsed="false">
      <c r="A1425" s="3" t="n">
        <v>1424</v>
      </c>
      <c r="B1425" s="3" t="n">
        <v>1423</v>
      </c>
      <c r="C1425" s="3" t="n">
        <v>7</v>
      </c>
      <c r="D1425" s="3" t="n">
        <v>3</v>
      </c>
      <c r="E1425" s="3" t="n">
        <v>9</v>
      </c>
      <c r="F1425" s="24" t="n">
        <v>1.97016048</v>
      </c>
    </row>
    <row r="1426" customFormat="false" ht="15" hidden="false" customHeight="false" outlineLevel="0" collapsed="false">
      <c r="A1426" s="3" t="n">
        <v>1425</v>
      </c>
      <c r="B1426" s="3" t="n">
        <v>1424</v>
      </c>
      <c r="C1426" s="3" t="n">
        <v>7</v>
      </c>
      <c r="D1426" s="3" t="n">
        <v>3</v>
      </c>
      <c r="E1426" s="3" t="n">
        <v>10</v>
      </c>
      <c r="F1426" s="24" t="n">
        <v>1.49547338</v>
      </c>
    </row>
    <row r="1427" customFormat="false" ht="15" hidden="false" customHeight="false" outlineLevel="0" collapsed="false">
      <c r="A1427" s="3" t="n">
        <v>1426</v>
      </c>
      <c r="B1427" s="3" t="n">
        <v>1425</v>
      </c>
      <c r="C1427" s="3" t="n">
        <v>7</v>
      </c>
      <c r="D1427" s="3" t="n">
        <v>3</v>
      </c>
      <c r="E1427" s="3" t="n">
        <v>11</v>
      </c>
      <c r="F1427" s="24" t="n">
        <v>0</v>
      </c>
    </row>
    <row r="1428" customFormat="false" ht="15" hidden="false" customHeight="false" outlineLevel="0" collapsed="false">
      <c r="A1428" s="3" t="n">
        <v>1427</v>
      </c>
      <c r="B1428" s="3" t="n">
        <v>1426</v>
      </c>
      <c r="C1428" s="3" t="n">
        <v>7</v>
      </c>
      <c r="D1428" s="3" t="n">
        <v>3</v>
      </c>
      <c r="E1428" s="3" t="n">
        <v>12</v>
      </c>
      <c r="F1428" s="24" t="n">
        <v>0</v>
      </c>
    </row>
    <row r="1429" customFormat="false" ht="15" hidden="false" customHeight="false" outlineLevel="0" collapsed="false">
      <c r="A1429" s="3" t="n">
        <v>1428</v>
      </c>
      <c r="B1429" s="3" t="n">
        <v>1427</v>
      </c>
      <c r="C1429" s="3" t="n">
        <v>7</v>
      </c>
      <c r="D1429" s="3" t="n">
        <v>3</v>
      </c>
      <c r="E1429" s="3" t="n">
        <v>13</v>
      </c>
      <c r="F1429" s="24" t="n">
        <v>0</v>
      </c>
    </row>
    <row r="1430" customFormat="false" ht="15" hidden="false" customHeight="false" outlineLevel="0" collapsed="false">
      <c r="A1430" s="3" t="n">
        <v>1429</v>
      </c>
      <c r="B1430" s="3" t="n">
        <v>1428</v>
      </c>
      <c r="C1430" s="3" t="n">
        <v>7</v>
      </c>
      <c r="D1430" s="3" t="n">
        <v>4</v>
      </c>
      <c r="E1430" s="3" t="n">
        <v>0</v>
      </c>
      <c r="F1430" s="24" t="n">
        <v>0.259080142</v>
      </c>
    </row>
    <row r="1431" customFormat="false" ht="15" hidden="false" customHeight="false" outlineLevel="0" collapsed="false">
      <c r="A1431" s="3" t="n">
        <v>1430</v>
      </c>
      <c r="B1431" s="3" t="n">
        <v>1429</v>
      </c>
      <c r="C1431" s="3" t="n">
        <v>7</v>
      </c>
      <c r="D1431" s="3" t="n">
        <v>4</v>
      </c>
      <c r="E1431" s="3" t="n">
        <v>1</v>
      </c>
      <c r="F1431" s="24" t="n">
        <v>0</v>
      </c>
    </row>
    <row r="1432" customFormat="false" ht="15" hidden="false" customHeight="false" outlineLevel="0" collapsed="false">
      <c r="A1432" s="3" t="n">
        <v>1431</v>
      </c>
      <c r="B1432" s="3" t="n">
        <v>1430</v>
      </c>
      <c r="C1432" s="3" t="n">
        <v>7</v>
      </c>
      <c r="D1432" s="3" t="n">
        <v>4</v>
      </c>
      <c r="E1432" s="3" t="n">
        <v>2</v>
      </c>
      <c r="F1432" s="24" t="n">
        <v>0</v>
      </c>
    </row>
    <row r="1433" customFormat="false" ht="15" hidden="false" customHeight="false" outlineLevel="0" collapsed="false">
      <c r="A1433" s="3" t="n">
        <v>1432</v>
      </c>
      <c r="B1433" s="3" t="n">
        <v>1431</v>
      </c>
      <c r="C1433" s="3" t="n">
        <v>7</v>
      </c>
      <c r="D1433" s="3" t="n">
        <v>4</v>
      </c>
      <c r="E1433" s="3" t="n">
        <v>3</v>
      </c>
      <c r="F1433" s="24" t="n">
        <v>0.0587901324</v>
      </c>
    </row>
    <row r="1434" customFormat="false" ht="15" hidden="false" customHeight="false" outlineLevel="0" collapsed="false">
      <c r="A1434" s="3" t="n">
        <v>1433</v>
      </c>
      <c r="B1434" s="3" t="n">
        <v>1432</v>
      </c>
      <c r="C1434" s="3" t="n">
        <v>7</v>
      </c>
      <c r="D1434" s="3" t="n">
        <v>4</v>
      </c>
      <c r="E1434" s="3" t="n">
        <v>4</v>
      </c>
      <c r="F1434" s="24" t="n">
        <v>1.40463734</v>
      </c>
    </row>
    <row r="1435" customFormat="false" ht="15" hidden="false" customHeight="false" outlineLevel="0" collapsed="false">
      <c r="A1435" s="3" t="n">
        <v>1434</v>
      </c>
      <c r="B1435" s="3" t="n">
        <v>1433</v>
      </c>
      <c r="C1435" s="3" t="n">
        <v>7</v>
      </c>
      <c r="D1435" s="3" t="n">
        <v>4</v>
      </c>
      <c r="E1435" s="3" t="n">
        <v>5</v>
      </c>
      <c r="F1435" s="24" t="n">
        <v>2.91526914</v>
      </c>
    </row>
    <row r="1436" customFormat="false" ht="15" hidden="false" customHeight="false" outlineLevel="0" collapsed="false">
      <c r="A1436" s="3" t="n">
        <v>1435</v>
      </c>
      <c r="B1436" s="3" t="n">
        <v>1434</v>
      </c>
      <c r="C1436" s="3" t="n">
        <v>7</v>
      </c>
      <c r="D1436" s="3" t="n">
        <v>4</v>
      </c>
      <c r="E1436" s="3" t="n">
        <v>6</v>
      </c>
      <c r="F1436" s="24" t="n">
        <v>2.89214349</v>
      </c>
    </row>
    <row r="1437" customFormat="false" ht="15" hidden="false" customHeight="false" outlineLevel="0" collapsed="false">
      <c r="A1437" s="3" t="n">
        <v>1436</v>
      </c>
      <c r="B1437" s="3" t="n">
        <v>1435</v>
      </c>
      <c r="C1437" s="3" t="n">
        <v>7</v>
      </c>
      <c r="D1437" s="3" t="n">
        <v>4</v>
      </c>
      <c r="E1437" s="3" t="n">
        <v>7</v>
      </c>
      <c r="F1437" s="24" t="n">
        <v>2.53640437</v>
      </c>
    </row>
    <row r="1438" customFormat="false" ht="15" hidden="false" customHeight="false" outlineLevel="0" collapsed="false">
      <c r="A1438" s="3" t="n">
        <v>1437</v>
      </c>
      <c r="B1438" s="3" t="n">
        <v>1436</v>
      </c>
      <c r="C1438" s="3" t="n">
        <v>7</v>
      </c>
      <c r="D1438" s="3" t="n">
        <v>4</v>
      </c>
      <c r="E1438" s="3" t="n">
        <v>8</v>
      </c>
      <c r="F1438" s="24" t="n">
        <v>2.52544165</v>
      </c>
    </row>
    <row r="1439" customFormat="false" ht="15" hidden="false" customHeight="false" outlineLevel="0" collapsed="false">
      <c r="A1439" s="3" t="n">
        <v>1438</v>
      </c>
      <c r="B1439" s="3" t="n">
        <v>1437</v>
      </c>
      <c r="C1439" s="3" t="n">
        <v>7</v>
      </c>
      <c r="D1439" s="3" t="n">
        <v>4</v>
      </c>
      <c r="E1439" s="3" t="n">
        <v>9</v>
      </c>
      <c r="F1439" s="24" t="n">
        <v>2.72016382</v>
      </c>
    </row>
    <row r="1440" customFormat="false" ht="15" hidden="false" customHeight="false" outlineLevel="0" collapsed="false">
      <c r="A1440" s="3" t="n">
        <v>1439</v>
      </c>
      <c r="B1440" s="3" t="n">
        <v>1438</v>
      </c>
      <c r="C1440" s="3" t="n">
        <v>7</v>
      </c>
      <c r="D1440" s="3" t="n">
        <v>4</v>
      </c>
      <c r="E1440" s="3" t="n">
        <v>10</v>
      </c>
      <c r="F1440" s="24" t="n">
        <v>3.49919486</v>
      </c>
    </row>
    <row r="1441" customFormat="false" ht="15" hidden="false" customHeight="false" outlineLevel="0" collapsed="false">
      <c r="A1441" s="3" t="n">
        <v>1440</v>
      </c>
      <c r="B1441" s="3" t="n">
        <v>1439</v>
      </c>
      <c r="C1441" s="3" t="n">
        <v>7</v>
      </c>
      <c r="D1441" s="3" t="n">
        <v>4</v>
      </c>
      <c r="E1441" s="3" t="n">
        <v>11</v>
      </c>
      <c r="F1441" s="24" t="n">
        <v>1.02553296</v>
      </c>
    </row>
    <row r="1442" customFormat="false" ht="15" hidden="false" customHeight="false" outlineLevel="0" collapsed="false">
      <c r="A1442" s="3" t="n">
        <v>1441</v>
      </c>
      <c r="B1442" s="3" t="n">
        <v>1440</v>
      </c>
      <c r="C1442" s="3" t="n">
        <v>7</v>
      </c>
      <c r="D1442" s="3" t="n">
        <v>4</v>
      </c>
      <c r="E1442" s="3" t="n">
        <v>12</v>
      </c>
      <c r="F1442" s="24" t="n">
        <v>0</v>
      </c>
    </row>
    <row r="1443" customFormat="false" ht="15" hidden="false" customHeight="false" outlineLevel="0" collapsed="false">
      <c r="A1443" s="3" t="n">
        <v>1442</v>
      </c>
      <c r="B1443" s="3" t="n">
        <v>1441</v>
      </c>
      <c r="C1443" s="3" t="n">
        <v>7</v>
      </c>
      <c r="D1443" s="3" t="n">
        <v>4</v>
      </c>
      <c r="E1443" s="3" t="n">
        <v>13</v>
      </c>
      <c r="F1443" s="24" t="n">
        <v>0</v>
      </c>
    </row>
    <row r="1444" customFormat="false" ht="15" hidden="false" customHeight="false" outlineLevel="0" collapsed="false">
      <c r="A1444" s="3" t="n">
        <v>1443</v>
      </c>
      <c r="B1444" s="3" t="n">
        <v>1442</v>
      </c>
      <c r="C1444" s="3" t="n">
        <v>7</v>
      </c>
      <c r="D1444" s="3" t="n">
        <v>5</v>
      </c>
      <c r="E1444" s="3" t="n">
        <v>0</v>
      </c>
      <c r="F1444" s="24" t="n">
        <v>0.259080142</v>
      </c>
    </row>
    <row r="1445" customFormat="false" ht="15" hidden="false" customHeight="false" outlineLevel="0" collapsed="false">
      <c r="A1445" s="3" t="n">
        <v>1444</v>
      </c>
      <c r="B1445" s="3" t="n">
        <v>1443</v>
      </c>
      <c r="C1445" s="3" t="n">
        <v>7</v>
      </c>
      <c r="D1445" s="3" t="n">
        <v>5</v>
      </c>
      <c r="E1445" s="3" t="n">
        <v>1</v>
      </c>
      <c r="F1445" s="24" t="n">
        <v>0</v>
      </c>
    </row>
    <row r="1446" customFormat="false" ht="15" hidden="false" customHeight="false" outlineLevel="0" collapsed="false">
      <c r="A1446" s="3" t="n">
        <v>1445</v>
      </c>
      <c r="B1446" s="3" t="n">
        <v>1444</v>
      </c>
      <c r="C1446" s="3" t="n">
        <v>7</v>
      </c>
      <c r="D1446" s="3" t="n">
        <v>5</v>
      </c>
      <c r="E1446" s="3" t="n">
        <v>2</v>
      </c>
      <c r="F1446" s="24" t="n">
        <v>0</v>
      </c>
    </row>
    <row r="1447" customFormat="false" ht="15" hidden="false" customHeight="false" outlineLevel="0" collapsed="false">
      <c r="A1447" s="3" t="n">
        <v>1446</v>
      </c>
      <c r="B1447" s="3" t="n">
        <v>1445</v>
      </c>
      <c r="C1447" s="3" t="n">
        <v>7</v>
      </c>
      <c r="D1447" s="3" t="n">
        <v>5</v>
      </c>
      <c r="E1447" s="3" t="n">
        <v>3</v>
      </c>
      <c r="F1447" s="24" t="n">
        <v>0</v>
      </c>
    </row>
    <row r="1448" customFormat="false" ht="15" hidden="false" customHeight="false" outlineLevel="0" collapsed="false">
      <c r="A1448" s="3" t="n">
        <v>1447</v>
      </c>
      <c r="B1448" s="3" t="n">
        <v>1446</v>
      </c>
      <c r="C1448" s="3" t="n">
        <v>7</v>
      </c>
      <c r="D1448" s="3" t="n">
        <v>5</v>
      </c>
      <c r="E1448" s="3" t="n">
        <v>4</v>
      </c>
      <c r="F1448" s="24" t="n">
        <v>0</v>
      </c>
    </row>
    <row r="1449" customFormat="false" ht="15" hidden="false" customHeight="false" outlineLevel="0" collapsed="false">
      <c r="A1449" s="3" t="n">
        <v>1448</v>
      </c>
      <c r="B1449" s="3" t="n">
        <v>1447</v>
      </c>
      <c r="C1449" s="3" t="n">
        <v>7</v>
      </c>
      <c r="D1449" s="3" t="n">
        <v>5</v>
      </c>
      <c r="E1449" s="3" t="n">
        <v>5</v>
      </c>
      <c r="F1449" s="24" t="n">
        <v>0</v>
      </c>
    </row>
    <row r="1450" customFormat="false" ht="15" hidden="false" customHeight="false" outlineLevel="0" collapsed="false">
      <c r="A1450" s="3" t="n">
        <v>1449</v>
      </c>
      <c r="B1450" s="3" t="n">
        <v>1448</v>
      </c>
      <c r="C1450" s="3" t="n">
        <v>7</v>
      </c>
      <c r="D1450" s="3" t="n">
        <v>5</v>
      </c>
      <c r="E1450" s="3" t="n">
        <v>6</v>
      </c>
      <c r="F1450" s="24" t="n">
        <v>0</v>
      </c>
    </row>
    <row r="1451" customFormat="false" ht="15" hidden="false" customHeight="false" outlineLevel="0" collapsed="false">
      <c r="A1451" s="3" t="n">
        <v>1450</v>
      </c>
      <c r="B1451" s="3" t="n">
        <v>1449</v>
      </c>
      <c r="C1451" s="3" t="n">
        <v>7</v>
      </c>
      <c r="D1451" s="3" t="n">
        <v>5</v>
      </c>
      <c r="E1451" s="3" t="n">
        <v>7</v>
      </c>
      <c r="F1451" s="24" t="n">
        <v>0</v>
      </c>
    </row>
    <row r="1452" customFormat="false" ht="15" hidden="false" customHeight="false" outlineLevel="0" collapsed="false">
      <c r="A1452" s="3" t="n">
        <v>1451</v>
      </c>
      <c r="B1452" s="3" t="n">
        <v>1450</v>
      </c>
      <c r="C1452" s="3" t="n">
        <v>7</v>
      </c>
      <c r="D1452" s="3" t="n">
        <v>5</v>
      </c>
      <c r="E1452" s="3" t="n">
        <v>8</v>
      </c>
      <c r="F1452" s="24" t="n">
        <v>0.0719975308</v>
      </c>
    </row>
    <row r="1453" customFormat="false" ht="15" hidden="false" customHeight="false" outlineLevel="0" collapsed="false">
      <c r="A1453" s="3" t="n">
        <v>1452</v>
      </c>
      <c r="B1453" s="3" t="n">
        <v>1451</v>
      </c>
      <c r="C1453" s="3" t="n">
        <v>7</v>
      </c>
      <c r="D1453" s="3" t="n">
        <v>5</v>
      </c>
      <c r="E1453" s="3" t="n">
        <v>9</v>
      </c>
      <c r="F1453" s="24" t="n">
        <v>0</v>
      </c>
    </row>
    <row r="1454" customFormat="false" ht="15" hidden="false" customHeight="false" outlineLevel="0" collapsed="false">
      <c r="A1454" s="3" t="n">
        <v>1453</v>
      </c>
      <c r="B1454" s="3" t="n">
        <v>1452</v>
      </c>
      <c r="C1454" s="3" t="n">
        <v>7</v>
      </c>
      <c r="D1454" s="3" t="n">
        <v>5</v>
      </c>
      <c r="E1454" s="3" t="n">
        <v>10</v>
      </c>
      <c r="F1454" s="24" t="n">
        <v>2.75237107</v>
      </c>
    </row>
    <row r="1455" customFormat="false" ht="15" hidden="false" customHeight="false" outlineLevel="0" collapsed="false">
      <c r="A1455" s="3" t="n">
        <v>1454</v>
      </c>
      <c r="B1455" s="3" t="n">
        <v>1453</v>
      </c>
      <c r="C1455" s="3" t="n">
        <v>7</v>
      </c>
      <c r="D1455" s="3" t="n">
        <v>5</v>
      </c>
      <c r="E1455" s="3" t="n">
        <v>11</v>
      </c>
      <c r="F1455" s="24" t="n">
        <v>1.07949615</v>
      </c>
    </row>
    <row r="1456" customFormat="false" ht="15" hidden="false" customHeight="false" outlineLevel="0" collapsed="false">
      <c r="A1456" s="3" t="n">
        <v>1455</v>
      </c>
      <c r="B1456" s="3" t="n">
        <v>1454</v>
      </c>
      <c r="C1456" s="3" t="n">
        <v>7</v>
      </c>
      <c r="D1456" s="3" t="n">
        <v>5</v>
      </c>
      <c r="E1456" s="3" t="n">
        <v>12</v>
      </c>
      <c r="F1456" s="24" t="n">
        <v>0</v>
      </c>
    </row>
    <row r="1457" customFormat="false" ht="15" hidden="false" customHeight="false" outlineLevel="0" collapsed="false">
      <c r="A1457" s="3" t="n">
        <v>1456</v>
      </c>
      <c r="B1457" s="3" t="n">
        <v>1455</v>
      </c>
      <c r="C1457" s="3" t="n">
        <v>7</v>
      </c>
      <c r="D1457" s="3" t="n">
        <v>5</v>
      </c>
      <c r="E1457" s="3" t="n">
        <v>13</v>
      </c>
      <c r="F1457" s="24" t="n">
        <v>0</v>
      </c>
    </row>
    <row r="1458" customFormat="false" ht="15" hidden="false" customHeight="false" outlineLevel="0" collapsed="false">
      <c r="A1458" s="3" t="n">
        <v>1457</v>
      </c>
      <c r="B1458" s="3" t="n">
        <v>1456</v>
      </c>
      <c r="C1458" s="3" t="n">
        <v>7</v>
      </c>
      <c r="D1458" s="3" t="n">
        <v>6</v>
      </c>
      <c r="E1458" s="3" t="n">
        <v>0</v>
      </c>
      <c r="F1458" s="24" t="n">
        <v>0.259080142</v>
      </c>
    </row>
    <row r="1459" customFormat="false" ht="15" hidden="false" customHeight="false" outlineLevel="0" collapsed="false">
      <c r="A1459" s="3" t="n">
        <v>1458</v>
      </c>
      <c r="B1459" s="3" t="n">
        <v>1457</v>
      </c>
      <c r="C1459" s="3" t="n">
        <v>7</v>
      </c>
      <c r="D1459" s="3" t="n">
        <v>6</v>
      </c>
      <c r="E1459" s="3" t="n">
        <v>1</v>
      </c>
      <c r="F1459" s="24" t="n">
        <v>0</v>
      </c>
    </row>
    <row r="1460" customFormat="false" ht="15" hidden="false" customHeight="false" outlineLevel="0" collapsed="false">
      <c r="A1460" s="3" t="n">
        <v>1459</v>
      </c>
      <c r="B1460" s="3" t="n">
        <v>1458</v>
      </c>
      <c r="C1460" s="3" t="n">
        <v>7</v>
      </c>
      <c r="D1460" s="3" t="n">
        <v>6</v>
      </c>
      <c r="E1460" s="3" t="n">
        <v>2</v>
      </c>
      <c r="F1460" s="24" t="n">
        <v>0</v>
      </c>
    </row>
    <row r="1461" customFormat="false" ht="15" hidden="false" customHeight="false" outlineLevel="0" collapsed="false">
      <c r="A1461" s="3" t="n">
        <v>1460</v>
      </c>
      <c r="B1461" s="3" t="n">
        <v>1459</v>
      </c>
      <c r="C1461" s="3" t="n">
        <v>7</v>
      </c>
      <c r="D1461" s="3" t="n">
        <v>6</v>
      </c>
      <c r="E1461" s="3" t="n">
        <v>3</v>
      </c>
      <c r="F1461" s="24" t="n">
        <v>0</v>
      </c>
    </row>
    <row r="1462" customFormat="false" ht="15" hidden="false" customHeight="false" outlineLevel="0" collapsed="false">
      <c r="A1462" s="3" t="n">
        <v>1461</v>
      </c>
      <c r="B1462" s="3" t="n">
        <v>1460</v>
      </c>
      <c r="C1462" s="3" t="n">
        <v>7</v>
      </c>
      <c r="D1462" s="3" t="n">
        <v>6</v>
      </c>
      <c r="E1462" s="3" t="n">
        <v>4</v>
      </c>
      <c r="F1462" s="24" t="n">
        <v>0</v>
      </c>
    </row>
    <row r="1463" customFormat="false" ht="15" hidden="false" customHeight="false" outlineLevel="0" collapsed="false">
      <c r="A1463" s="3" t="n">
        <v>1462</v>
      </c>
      <c r="B1463" s="3" t="n">
        <v>1461</v>
      </c>
      <c r="C1463" s="3" t="n">
        <v>7</v>
      </c>
      <c r="D1463" s="3" t="n">
        <v>6</v>
      </c>
      <c r="E1463" s="3" t="n">
        <v>5</v>
      </c>
      <c r="F1463" s="24" t="n">
        <v>0</v>
      </c>
    </row>
    <row r="1464" customFormat="false" ht="15" hidden="false" customHeight="false" outlineLevel="0" collapsed="false">
      <c r="A1464" s="3" t="n">
        <v>1463</v>
      </c>
      <c r="B1464" s="3" t="n">
        <v>1462</v>
      </c>
      <c r="C1464" s="3" t="n">
        <v>7</v>
      </c>
      <c r="D1464" s="3" t="n">
        <v>6</v>
      </c>
      <c r="E1464" s="3" t="n">
        <v>6</v>
      </c>
      <c r="F1464" s="24" t="n">
        <v>0</v>
      </c>
    </row>
    <row r="1465" customFormat="false" ht="15" hidden="false" customHeight="false" outlineLevel="0" collapsed="false">
      <c r="A1465" s="3" t="n">
        <v>1464</v>
      </c>
      <c r="B1465" s="3" t="n">
        <v>1463</v>
      </c>
      <c r="C1465" s="3" t="n">
        <v>7</v>
      </c>
      <c r="D1465" s="3" t="n">
        <v>6</v>
      </c>
      <c r="E1465" s="3" t="n">
        <v>7</v>
      </c>
      <c r="F1465" s="24" t="n">
        <v>0.0284900218</v>
      </c>
    </row>
    <row r="1466" customFormat="false" ht="15" hidden="false" customHeight="false" outlineLevel="0" collapsed="false">
      <c r="A1466" s="3" t="n">
        <v>1465</v>
      </c>
      <c r="B1466" s="3" t="n">
        <v>1464</v>
      </c>
      <c r="C1466" s="3" t="n">
        <v>7</v>
      </c>
      <c r="D1466" s="3" t="n">
        <v>6</v>
      </c>
      <c r="E1466" s="3" t="n">
        <v>8</v>
      </c>
      <c r="F1466" s="24" t="n">
        <v>0</v>
      </c>
    </row>
    <row r="1467" customFormat="false" ht="15" hidden="false" customHeight="false" outlineLevel="0" collapsed="false">
      <c r="A1467" s="3" t="n">
        <v>1466</v>
      </c>
      <c r="B1467" s="3" t="n">
        <v>1465</v>
      </c>
      <c r="C1467" s="3" t="n">
        <v>7</v>
      </c>
      <c r="D1467" s="3" t="n">
        <v>6</v>
      </c>
      <c r="E1467" s="3" t="n">
        <v>9</v>
      </c>
      <c r="F1467" s="24" t="n">
        <v>2.24882913</v>
      </c>
    </row>
    <row r="1468" customFormat="false" ht="15" hidden="false" customHeight="false" outlineLevel="0" collapsed="false">
      <c r="A1468" s="3" t="n">
        <v>1467</v>
      </c>
      <c r="B1468" s="3" t="n">
        <v>1466</v>
      </c>
      <c r="C1468" s="3" t="n">
        <v>7</v>
      </c>
      <c r="D1468" s="3" t="n">
        <v>6</v>
      </c>
      <c r="E1468" s="3" t="n">
        <v>10</v>
      </c>
      <c r="F1468" s="24" t="n">
        <v>2.94868374</v>
      </c>
    </row>
    <row r="1469" customFormat="false" ht="15" hidden="false" customHeight="false" outlineLevel="0" collapsed="false">
      <c r="A1469" s="3" t="n">
        <v>1468</v>
      </c>
      <c r="B1469" s="3" t="n">
        <v>1467</v>
      </c>
      <c r="C1469" s="3" t="n">
        <v>7</v>
      </c>
      <c r="D1469" s="3" t="n">
        <v>6</v>
      </c>
      <c r="E1469" s="3" t="n">
        <v>11</v>
      </c>
      <c r="F1469" s="24" t="n">
        <v>0</v>
      </c>
    </row>
    <row r="1470" customFormat="false" ht="15" hidden="false" customHeight="false" outlineLevel="0" collapsed="false">
      <c r="A1470" s="3" t="n">
        <v>1469</v>
      </c>
      <c r="B1470" s="3" t="n">
        <v>1468</v>
      </c>
      <c r="C1470" s="3" t="n">
        <v>7</v>
      </c>
      <c r="D1470" s="3" t="n">
        <v>6</v>
      </c>
      <c r="E1470" s="3" t="n">
        <v>12</v>
      </c>
      <c r="F1470" s="24" t="n">
        <v>0</v>
      </c>
    </row>
    <row r="1471" customFormat="false" ht="15" hidden="false" customHeight="false" outlineLevel="0" collapsed="false">
      <c r="A1471" s="3" t="n">
        <v>1470</v>
      </c>
      <c r="B1471" s="3" t="n">
        <v>1469</v>
      </c>
      <c r="C1471" s="3" t="n">
        <v>7</v>
      </c>
      <c r="D1471" s="3" t="n">
        <v>6</v>
      </c>
      <c r="E1471" s="3" t="n">
        <v>13</v>
      </c>
      <c r="F1471" s="24" t="n">
        <v>0</v>
      </c>
    </row>
    <row r="1472" customFormat="false" ht="15" hidden="false" customHeight="false" outlineLevel="0" collapsed="false">
      <c r="A1472" s="3" t="n">
        <v>1471</v>
      </c>
      <c r="B1472" s="3" t="n">
        <v>1470</v>
      </c>
      <c r="C1472" s="3" t="n">
        <v>7</v>
      </c>
      <c r="D1472" s="3" t="n">
        <v>7</v>
      </c>
      <c r="E1472" s="3" t="n">
        <v>0</v>
      </c>
      <c r="F1472" s="24" t="n">
        <v>0.259080142</v>
      </c>
    </row>
    <row r="1473" customFormat="false" ht="15" hidden="false" customHeight="false" outlineLevel="0" collapsed="false">
      <c r="A1473" s="3" t="n">
        <v>1472</v>
      </c>
      <c r="B1473" s="3" t="n">
        <v>1471</v>
      </c>
      <c r="C1473" s="3" t="n">
        <v>7</v>
      </c>
      <c r="D1473" s="3" t="n">
        <v>7</v>
      </c>
      <c r="E1473" s="3" t="n">
        <v>1</v>
      </c>
      <c r="F1473" s="24" t="n">
        <v>0</v>
      </c>
    </row>
    <row r="1474" customFormat="false" ht="15" hidden="false" customHeight="false" outlineLevel="0" collapsed="false">
      <c r="A1474" s="3" t="n">
        <v>1473</v>
      </c>
      <c r="B1474" s="3" t="n">
        <v>1472</v>
      </c>
      <c r="C1474" s="3" t="n">
        <v>7</v>
      </c>
      <c r="D1474" s="3" t="n">
        <v>7</v>
      </c>
      <c r="E1474" s="3" t="n">
        <v>2</v>
      </c>
      <c r="F1474" s="24" t="n">
        <v>0</v>
      </c>
    </row>
    <row r="1475" customFormat="false" ht="15" hidden="false" customHeight="false" outlineLevel="0" collapsed="false">
      <c r="A1475" s="3" t="n">
        <v>1474</v>
      </c>
      <c r="B1475" s="3" t="n">
        <v>1473</v>
      </c>
      <c r="C1475" s="3" t="n">
        <v>7</v>
      </c>
      <c r="D1475" s="3" t="n">
        <v>7</v>
      </c>
      <c r="E1475" s="3" t="n">
        <v>3</v>
      </c>
      <c r="F1475" s="24" t="n">
        <v>0</v>
      </c>
    </row>
    <row r="1476" customFormat="false" ht="15" hidden="false" customHeight="false" outlineLevel="0" collapsed="false">
      <c r="A1476" s="3" t="n">
        <v>1475</v>
      </c>
      <c r="B1476" s="3" t="n">
        <v>1474</v>
      </c>
      <c r="C1476" s="3" t="n">
        <v>7</v>
      </c>
      <c r="D1476" s="3" t="n">
        <v>7</v>
      </c>
      <c r="E1476" s="3" t="n">
        <v>4</v>
      </c>
      <c r="F1476" s="24" t="n">
        <v>0</v>
      </c>
    </row>
    <row r="1477" customFormat="false" ht="15" hidden="false" customHeight="false" outlineLevel="0" collapsed="false">
      <c r="A1477" s="3" t="n">
        <v>1476</v>
      </c>
      <c r="B1477" s="3" t="n">
        <v>1475</v>
      </c>
      <c r="C1477" s="3" t="n">
        <v>7</v>
      </c>
      <c r="D1477" s="3" t="n">
        <v>7</v>
      </c>
      <c r="E1477" s="3" t="n">
        <v>5</v>
      </c>
      <c r="F1477" s="24" t="n">
        <v>0</v>
      </c>
    </row>
    <row r="1478" customFormat="false" ht="15" hidden="false" customHeight="false" outlineLevel="0" collapsed="false">
      <c r="A1478" s="3" t="n">
        <v>1477</v>
      </c>
      <c r="B1478" s="3" t="n">
        <v>1476</v>
      </c>
      <c r="C1478" s="3" t="n">
        <v>7</v>
      </c>
      <c r="D1478" s="3" t="n">
        <v>7</v>
      </c>
      <c r="E1478" s="3" t="n">
        <v>6</v>
      </c>
      <c r="F1478" s="24" t="n">
        <v>0</v>
      </c>
    </row>
    <row r="1479" customFormat="false" ht="15" hidden="false" customHeight="false" outlineLevel="0" collapsed="false">
      <c r="A1479" s="3" t="n">
        <v>1478</v>
      </c>
      <c r="B1479" s="3" t="n">
        <v>1477</v>
      </c>
      <c r="C1479" s="3" t="n">
        <v>7</v>
      </c>
      <c r="D1479" s="3" t="n">
        <v>7</v>
      </c>
      <c r="E1479" s="3" t="n">
        <v>7</v>
      </c>
      <c r="F1479" s="24" t="n">
        <v>0</v>
      </c>
    </row>
    <row r="1480" customFormat="false" ht="15" hidden="false" customHeight="false" outlineLevel="0" collapsed="false">
      <c r="A1480" s="3" t="n">
        <v>1479</v>
      </c>
      <c r="B1480" s="3" t="n">
        <v>1478</v>
      </c>
      <c r="C1480" s="3" t="n">
        <v>7</v>
      </c>
      <c r="D1480" s="3" t="n">
        <v>7</v>
      </c>
      <c r="E1480" s="3" t="n">
        <v>8</v>
      </c>
      <c r="F1480" s="24" t="n">
        <v>0.288160801</v>
      </c>
    </row>
    <row r="1481" customFormat="false" ht="15" hidden="false" customHeight="false" outlineLevel="0" collapsed="false">
      <c r="A1481" s="3" t="n">
        <v>1480</v>
      </c>
      <c r="B1481" s="3" t="n">
        <v>1479</v>
      </c>
      <c r="C1481" s="3" t="n">
        <v>7</v>
      </c>
      <c r="D1481" s="3" t="n">
        <v>7</v>
      </c>
      <c r="E1481" s="3" t="n">
        <v>9</v>
      </c>
      <c r="F1481" s="24" t="n">
        <v>2.70351434</v>
      </c>
    </row>
    <row r="1482" customFormat="false" ht="15" hidden="false" customHeight="false" outlineLevel="0" collapsed="false">
      <c r="A1482" s="3" t="n">
        <v>1481</v>
      </c>
      <c r="B1482" s="3" t="n">
        <v>1480</v>
      </c>
      <c r="C1482" s="3" t="n">
        <v>7</v>
      </c>
      <c r="D1482" s="3" t="n">
        <v>7</v>
      </c>
      <c r="E1482" s="3" t="n">
        <v>10</v>
      </c>
      <c r="F1482" s="24" t="n">
        <v>1.15341759</v>
      </c>
    </row>
    <row r="1483" customFormat="false" ht="15" hidden="false" customHeight="false" outlineLevel="0" collapsed="false">
      <c r="A1483" s="3" t="n">
        <v>1482</v>
      </c>
      <c r="B1483" s="3" t="n">
        <v>1481</v>
      </c>
      <c r="C1483" s="3" t="n">
        <v>7</v>
      </c>
      <c r="D1483" s="3" t="n">
        <v>7</v>
      </c>
      <c r="E1483" s="3" t="n">
        <v>11</v>
      </c>
      <c r="F1483" s="24" t="n">
        <v>0</v>
      </c>
    </row>
    <row r="1484" customFormat="false" ht="15" hidden="false" customHeight="false" outlineLevel="0" collapsed="false">
      <c r="A1484" s="3" t="n">
        <v>1483</v>
      </c>
      <c r="B1484" s="3" t="n">
        <v>1482</v>
      </c>
      <c r="C1484" s="3" t="n">
        <v>7</v>
      </c>
      <c r="D1484" s="3" t="n">
        <v>7</v>
      </c>
      <c r="E1484" s="3" t="n">
        <v>12</v>
      </c>
      <c r="F1484" s="24" t="n">
        <v>0</v>
      </c>
    </row>
    <row r="1485" customFormat="false" ht="15" hidden="false" customHeight="false" outlineLevel="0" collapsed="false">
      <c r="A1485" s="3" t="n">
        <v>1484</v>
      </c>
      <c r="B1485" s="3" t="n">
        <v>1483</v>
      </c>
      <c r="C1485" s="3" t="n">
        <v>7</v>
      </c>
      <c r="D1485" s="3" t="n">
        <v>7</v>
      </c>
      <c r="E1485" s="3" t="n">
        <v>13</v>
      </c>
      <c r="F1485" s="24" t="n">
        <v>0</v>
      </c>
    </row>
    <row r="1486" customFormat="false" ht="15" hidden="false" customHeight="false" outlineLevel="0" collapsed="false">
      <c r="A1486" s="3" t="n">
        <v>1485</v>
      </c>
      <c r="B1486" s="3" t="n">
        <v>1484</v>
      </c>
      <c r="C1486" s="3" t="n">
        <v>7</v>
      </c>
      <c r="D1486" s="3" t="n">
        <v>8</v>
      </c>
      <c r="E1486" s="3" t="n">
        <v>0</v>
      </c>
      <c r="F1486" s="24" t="n">
        <v>0.259080142</v>
      </c>
    </row>
    <row r="1487" customFormat="false" ht="15" hidden="false" customHeight="false" outlineLevel="0" collapsed="false">
      <c r="A1487" s="3" t="n">
        <v>1486</v>
      </c>
      <c r="B1487" s="3" t="n">
        <v>1485</v>
      </c>
      <c r="C1487" s="3" t="n">
        <v>7</v>
      </c>
      <c r="D1487" s="3" t="n">
        <v>8</v>
      </c>
      <c r="E1487" s="3" t="n">
        <v>1</v>
      </c>
      <c r="F1487" s="24" t="n">
        <v>0</v>
      </c>
    </row>
    <row r="1488" customFormat="false" ht="15" hidden="false" customHeight="false" outlineLevel="0" collapsed="false">
      <c r="A1488" s="3" t="n">
        <v>1487</v>
      </c>
      <c r="B1488" s="3" t="n">
        <v>1486</v>
      </c>
      <c r="C1488" s="3" t="n">
        <v>7</v>
      </c>
      <c r="D1488" s="3" t="n">
        <v>8</v>
      </c>
      <c r="E1488" s="3" t="n">
        <v>2</v>
      </c>
      <c r="F1488" s="24" t="n">
        <v>0</v>
      </c>
    </row>
    <row r="1489" customFormat="false" ht="15" hidden="false" customHeight="false" outlineLevel="0" collapsed="false">
      <c r="A1489" s="3" t="n">
        <v>1488</v>
      </c>
      <c r="B1489" s="3" t="n">
        <v>1487</v>
      </c>
      <c r="C1489" s="3" t="n">
        <v>7</v>
      </c>
      <c r="D1489" s="3" t="n">
        <v>8</v>
      </c>
      <c r="E1489" s="3" t="n">
        <v>3</v>
      </c>
      <c r="F1489" s="24" t="n">
        <v>0</v>
      </c>
    </row>
    <row r="1490" customFormat="false" ht="15" hidden="false" customHeight="false" outlineLevel="0" collapsed="false">
      <c r="A1490" s="3" t="n">
        <v>1489</v>
      </c>
      <c r="B1490" s="3" t="n">
        <v>1488</v>
      </c>
      <c r="C1490" s="3" t="n">
        <v>7</v>
      </c>
      <c r="D1490" s="3" t="n">
        <v>8</v>
      </c>
      <c r="E1490" s="3" t="n">
        <v>4</v>
      </c>
      <c r="F1490" s="24" t="n">
        <v>0</v>
      </c>
    </row>
    <row r="1491" customFormat="false" ht="15" hidden="false" customHeight="false" outlineLevel="0" collapsed="false">
      <c r="A1491" s="3" t="n">
        <v>1490</v>
      </c>
      <c r="B1491" s="3" t="n">
        <v>1489</v>
      </c>
      <c r="C1491" s="3" t="n">
        <v>7</v>
      </c>
      <c r="D1491" s="3" t="n">
        <v>8</v>
      </c>
      <c r="E1491" s="3" t="n">
        <v>5</v>
      </c>
      <c r="F1491" s="24" t="n">
        <v>0</v>
      </c>
    </row>
    <row r="1492" customFormat="false" ht="15" hidden="false" customHeight="false" outlineLevel="0" collapsed="false">
      <c r="A1492" s="3" t="n">
        <v>1491</v>
      </c>
      <c r="B1492" s="3" t="n">
        <v>1490</v>
      </c>
      <c r="C1492" s="3" t="n">
        <v>7</v>
      </c>
      <c r="D1492" s="3" t="n">
        <v>8</v>
      </c>
      <c r="E1492" s="3" t="n">
        <v>6</v>
      </c>
      <c r="F1492" s="24" t="n">
        <v>0.0532477722</v>
      </c>
    </row>
    <row r="1493" customFormat="false" ht="15" hidden="false" customHeight="false" outlineLevel="0" collapsed="false">
      <c r="A1493" s="3" t="n">
        <v>1492</v>
      </c>
      <c r="B1493" s="3" t="n">
        <v>1491</v>
      </c>
      <c r="C1493" s="3" t="n">
        <v>7</v>
      </c>
      <c r="D1493" s="3" t="n">
        <v>8</v>
      </c>
      <c r="E1493" s="3" t="n">
        <v>7</v>
      </c>
      <c r="F1493" s="24" t="n">
        <v>0.0881060809</v>
      </c>
    </row>
    <row r="1494" customFormat="false" ht="15" hidden="false" customHeight="false" outlineLevel="0" collapsed="false">
      <c r="A1494" s="3" t="n">
        <v>1493</v>
      </c>
      <c r="B1494" s="3" t="n">
        <v>1492</v>
      </c>
      <c r="C1494" s="3" t="n">
        <v>7</v>
      </c>
      <c r="D1494" s="3" t="n">
        <v>8</v>
      </c>
      <c r="E1494" s="3" t="n">
        <v>8</v>
      </c>
      <c r="F1494" s="24" t="n">
        <v>2.61882687</v>
      </c>
    </row>
    <row r="1495" customFormat="false" ht="15" hidden="false" customHeight="false" outlineLevel="0" collapsed="false">
      <c r="A1495" s="3" t="n">
        <v>1494</v>
      </c>
      <c r="B1495" s="3" t="n">
        <v>1493</v>
      </c>
      <c r="C1495" s="3" t="n">
        <v>7</v>
      </c>
      <c r="D1495" s="3" t="n">
        <v>8</v>
      </c>
      <c r="E1495" s="3" t="n">
        <v>9</v>
      </c>
      <c r="F1495" s="24" t="n">
        <v>2.60095286</v>
      </c>
    </row>
    <row r="1496" customFormat="false" ht="15" hidden="false" customHeight="false" outlineLevel="0" collapsed="false">
      <c r="A1496" s="3" t="n">
        <v>1495</v>
      </c>
      <c r="B1496" s="3" t="n">
        <v>1494</v>
      </c>
      <c r="C1496" s="3" t="n">
        <v>7</v>
      </c>
      <c r="D1496" s="3" t="n">
        <v>8</v>
      </c>
      <c r="E1496" s="3" t="n">
        <v>10</v>
      </c>
      <c r="F1496" s="24" t="n">
        <v>0</v>
      </c>
    </row>
    <row r="1497" customFormat="false" ht="15" hidden="false" customHeight="false" outlineLevel="0" collapsed="false">
      <c r="A1497" s="3" t="n">
        <v>1496</v>
      </c>
      <c r="B1497" s="3" t="n">
        <v>1495</v>
      </c>
      <c r="C1497" s="3" t="n">
        <v>7</v>
      </c>
      <c r="D1497" s="3" t="n">
        <v>8</v>
      </c>
      <c r="E1497" s="3" t="n">
        <v>11</v>
      </c>
      <c r="F1497" s="24" t="n">
        <v>0</v>
      </c>
    </row>
    <row r="1498" customFormat="false" ht="15" hidden="false" customHeight="false" outlineLevel="0" collapsed="false">
      <c r="A1498" s="3" t="n">
        <v>1497</v>
      </c>
      <c r="B1498" s="3" t="n">
        <v>1496</v>
      </c>
      <c r="C1498" s="3" t="n">
        <v>7</v>
      </c>
      <c r="D1498" s="3" t="n">
        <v>8</v>
      </c>
      <c r="E1498" s="3" t="n">
        <v>12</v>
      </c>
      <c r="F1498" s="24" t="n">
        <v>0</v>
      </c>
    </row>
    <row r="1499" customFormat="false" ht="15" hidden="false" customHeight="false" outlineLevel="0" collapsed="false">
      <c r="A1499" s="3" t="n">
        <v>1498</v>
      </c>
      <c r="B1499" s="3" t="n">
        <v>1497</v>
      </c>
      <c r="C1499" s="3" t="n">
        <v>7</v>
      </c>
      <c r="D1499" s="3" t="n">
        <v>8</v>
      </c>
      <c r="E1499" s="3" t="n">
        <v>13</v>
      </c>
      <c r="F1499" s="24" t="n">
        <v>0</v>
      </c>
    </row>
    <row r="1500" customFormat="false" ht="15" hidden="false" customHeight="false" outlineLevel="0" collapsed="false">
      <c r="A1500" s="3" t="n">
        <v>1499</v>
      </c>
      <c r="B1500" s="3" t="n">
        <v>1498</v>
      </c>
      <c r="C1500" s="3" t="n">
        <v>7</v>
      </c>
      <c r="D1500" s="3" t="n">
        <v>9</v>
      </c>
      <c r="E1500" s="3" t="n">
        <v>0</v>
      </c>
      <c r="F1500" s="24" t="n">
        <v>0.259080142</v>
      </c>
    </row>
    <row r="1501" customFormat="false" ht="15" hidden="false" customHeight="false" outlineLevel="0" collapsed="false">
      <c r="A1501" s="3" t="n">
        <v>1500</v>
      </c>
      <c r="B1501" s="3" t="n">
        <v>1499</v>
      </c>
      <c r="C1501" s="3" t="n">
        <v>7</v>
      </c>
      <c r="D1501" s="3" t="n">
        <v>9</v>
      </c>
      <c r="E1501" s="3" t="n">
        <v>1</v>
      </c>
      <c r="F1501" s="24" t="n">
        <v>0</v>
      </c>
    </row>
    <row r="1502" customFormat="false" ht="15" hidden="false" customHeight="false" outlineLevel="0" collapsed="false">
      <c r="A1502" s="3" t="n">
        <v>1501</v>
      </c>
      <c r="B1502" s="3" t="n">
        <v>1500</v>
      </c>
      <c r="C1502" s="3" t="n">
        <v>7</v>
      </c>
      <c r="D1502" s="3" t="n">
        <v>9</v>
      </c>
      <c r="E1502" s="3" t="n">
        <v>2</v>
      </c>
      <c r="F1502" s="24" t="n">
        <v>0</v>
      </c>
    </row>
    <row r="1503" customFormat="false" ht="15" hidden="false" customHeight="false" outlineLevel="0" collapsed="false">
      <c r="A1503" s="3" t="n">
        <v>1502</v>
      </c>
      <c r="B1503" s="3" t="n">
        <v>1501</v>
      </c>
      <c r="C1503" s="3" t="n">
        <v>7</v>
      </c>
      <c r="D1503" s="3" t="n">
        <v>9</v>
      </c>
      <c r="E1503" s="3" t="n">
        <v>3</v>
      </c>
      <c r="F1503" s="24" t="n">
        <v>0</v>
      </c>
    </row>
    <row r="1504" customFormat="false" ht="15" hidden="false" customHeight="false" outlineLevel="0" collapsed="false">
      <c r="A1504" s="3" t="n">
        <v>1503</v>
      </c>
      <c r="B1504" s="3" t="n">
        <v>1502</v>
      </c>
      <c r="C1504" s="3" t="n">
        <v>7</v>
      </c>
      <c r="D1504" s="3" t="n">
        <v>9</v>
      </c>
      <c r="E1504" s="3" t="n">
        <v>4</v>
      </c>
      <c r="F1504" s="24" t="n">
        <v>0</v>
      </c>
    </row>
    <row r="1505" customFormat="false" ht="15" hidden="false" customHeight="false" outlineLevel="0" collapsed="false">
      <c r="A1505" s="3" t="n">
        <v>1504</v>
      </c>
      <c r="B1505" s="3" t="n">
        <v>1503</v>
      </c>
      <c r="C1505" s="3" t="n">
        <v>7</v>
      </c>
      <c r="D1505" s="3" t="n">
        <v>9</v>
      </c>
      <c r="E1505" s="3" t="n">
        <v>5</v>
      </c>
      <c r="F1505" s="24" t="n">
        <v>0</v>
      </c>
    </row>
    <row r="1506" customFormat="false" ht="15" hidden="false" customHeight="false" outlineLevel="0" collapsed="false">
      <c r="A1506" s="3" t="n">
        <v>1505</v>
      </c>
      <c r="B1506" s="3" t="n">
        <v>1504</v>
      </c>
      <c r="C1506" s="3" t="n">
        <v>7</v>
      </c>
      <c r="D1506" s="3" t="n">
        <v>9</v>
      </c>
      <c r="E1506" s="3" t="n">
        <v>6</v>
      </c>
      <c r="F1506" s="24" t="n">
        <v>0.152823254</v>
      </c>
    </row>
    <row r="1507" customFormat="false" ht="15" hidden="false" customHeight="false" outlineLevel="0" collapsed="false">
      <c r="A1507" s="3" t="n">
        <v>1506</v>
      </c>
      <c r="B1507" s="3" t="n">
        <v>1505</v>
      </c>
      <c r="C1507" s="3" t="n">
        <v>7</v>
      </c>
      <c r="D1507" s="3" t="n">
        <v>9</v>
      </c>
      <c r="E1507" s="3" t="n">
        <v>7</v>
      </c>
      <c r="F1507" s="24" t="n">
        <v>0.8873384</v>
      </c>
    </row>
    <row r="1508" customFormat="false" ht="15" hidden="false" customHeight="false" outlineLevel="0" collapsed="false">
      <c r="A1508" s="3" t="n">
        <v>1507</v>
      </c>
      <c r="B1508" s="3" t="n">
        <v>1506</v>
      </c>
      <c r="C1508" s="3" t="n">
        <v>7</v>
      </c>
      <c r="D1508" s="3" t="n">
        <v>9</v>
      </c>
      <c r="E1508" s="3" t="n">
        <v>8</v>
      </c>
      <c r="F1508" s="24" t="n">
        <v>2.58294654</v>
      </c>
    </row>
    <row r="1509" customFormat="false" ht="15" hidden="false" customHeight="false" outlineLevel="0" collapsed="false">
      <c r="A1509" s="3" t="n">
        <v>1508</v>
      </c>
      <c r="B1509" s="3" t="n">
        <v>1507</v>
      </c>
      <c r="C1509" s="3" t="n">
        <v>7</v>
      </c>
      <c r="D1509" s="3" t="n">
        <v>9</v>
      </c>
      <c r="E1509" s="3" t="n">
        <v>9</v>
      </c>
      <c r="F1509" s="24" t="n">
        <v>0.879707456</v>
      </c>
    </row>
    <row r="1510" customFormat="false" ht="15" hidden="false" customHeight="false" outlineLevel="0" collapsed="false">
      <c r="A1510" s="3" t="n">
        <v>1509</v>
      </c>
      <c r="B1510" s="3" t="n">
        <v>1508</v>
      </c>
      <c r="C1510" s="3" t="n">
        <v>7</v>
      </c>
      <c r="D1510" s="3" t="n">
        <v>9</v>
      </c>
      <c r="E1510" s="3" t="n">
        <v>10</v>
      </c>
      <c r="F1510" s="24" t="n">
        <v>0</v>
      </c>
    </row>
    <row r="1511" customFormat="false" ht="15" hidden="false" customHeight="false" outlineLevel="0" collapsed="false">
      <c r="A1511" s="3" t="n">
        <v>1510</v>
      </c>
      <c r="B1511" s="3" t="n">
        <v>1509</v>
      </c>
      <c r="C1511" s="3" t="n">
        <v>7</v>
      </c>
      <c r="D1511" s="3" t="n">
        <v>9</v>
      </c>
      <c r="E1511" s="3" t="n">
        <v>11</v>
      </c>
      <c r="F1511" s="24" t="n">
        <v>0</v>
      </c>
    </row>
    <row r="1512" customFormat="false" ht="15" hidden="false" customHeight="false" outlineLevel="0" collapsed="false">
      <c r="A1512" s="3" t="n">
        <v>1511</v>
      </c>
      <c r="B1512" s="3" t="n">
        <v>1510</v>
      </c>
      <c r="C1512" s="3" t="n">
        <v>7</v>
      </c>
      <c r="D1512" s="3" t="n">
        <v>9</v>
      </c>
      <c r="E1512" s="3" t="n">
        <v>12</v>
      </c>
      <c r="F1512" s="24" t="n">
        <v>0</v>
      </c>
    </row>
    <row r="1513" customFormat="false" ht="15" hidden="false" customHeight="false" outlineLevel="0" collapsed="false">
      <c r="A1513" s="3" t="n">
        <v>1512</v>
      </c>
      <c r="B1513" s="3" t="n">
        <v>1511</v>
      </c>
      <c r="C1513" s="3" t="n">
        <v>7</v>
      </c>
      <c r="D1513" s="3" t="n">
        <v>9</v>
      </c>
      <c r="E1513" s="3" t="n">
        <v>13</v>
      </c>
      <c r="F1513" s="24" t="n">
        <v>0</v>
      </c>
    </row>
    <row r="1514" customFormat="false" ht="15" hidden="false" customHeight="false" outlineLevel="0" collapsed="false">
      <c r="A1514" s="3" t="n">
        <v>1513</v>
      </c>
      <c r="B1514" s="3" t="n">
        <v>1512</v>
      </c>
      <c r="C1514" s="3" t="n">
        <v>7</v>
      </c>
      <c r="D1514" s="3" t="n">
        <v>10</v>
      </c>
      <c r="E1514" s="3" t="n">
        <v>0</v>
      </c>
      <c r="F1514" s="24" t="n">
        <v>0.259080142</v>
      </c>
    </row>
    <row r="1515" customFormat="false" ht="15" hidden="false" customHeight="false" outlineLevel="0" collapsed="false">
      <c r="A1515" s="3" t="n">
        <v>1514</v>
      </c>
      <c r="B1515" s="3" t="n">
        <v>1513</v>
      </c>
      <c r="C1515" s="3" t="n">
        <v>7</v>
      </c>
      <c r="D1515" s="3" t="n">
        <v>10</v>
      </c>
      <c r="E1515" s="3" t="n">
        <v>1</v>
      </c>
      <c r="F1515" s="24" t="n">
        <v>0</v>
      </c>
    </row>
    <row r="1516" customFormat="false" ht="15" hidden="false" customHeight="false" outlineLevel="0" collapsed="false">
      <c r="A1516" s="3" t="n">
        <v>1515</v>
      </c>
      <c r="B1516" s="3" t="n">
        <v>1514</v>
      </c>
      <c r="C1516" s="3" t="n">
        <v>7</v>
      </c>
      <c r="D1516" s="3" t="n">
        <v>10</v>
      </c>
      <c r="E1516" s="3" t="n">
        <v>2</v>
      </c>
      <c r="F1516" s="24" t="n">
        <v>0</v>
      </c>
    </row>
    <row r="1517" customFormat="false" ht="15" hidden="false" customHeight="false" outlineLevel="0" collapsed="false">
      <c r="A1517" s="3" t="n">
        <v>1516</v>
      </c>
      <c r="B1517" s="3" t="n">
        <v>1515</v>
      </c>
      <c r="C1517" s="3" t="n">
        <v>7</v>
      </c>
      <c r="D1517" s="3" t="n">
        <v>10</v>
      </c>
      <c r="E1517" s="3" t="n">
        <v>3</v>
      </c>
      <c r="F1517" s="24" t="n">
        <v>0</v>
      </c>
    </row>
    <row r="1518" customFormat="false" ht="15" hidden="false" customHeight="false" outlineLevel="0" collapsed="false">
      <c r="A1518" s="3" t="n">
        <v>1517</v>
      </c>
      <c r="B1518" s="3" t="n">
        <v>1516</v>
      </c>
      <c r="C1518" s="3" t="n">
        <v>7</v>
      </c>
      <c r="D1518" s="3" t="n">
        <v>10</v>
      </c>
      <c r="E1518" s="3" t="n">
        <v>4</v>
      </c>
      <c r="F1518" s="24" t="n">
        <v>0</v>
      </c>
    </row>
    <row r="1519" customFormat="false" ht="15" hidden="false" customHeight="false" outlineLevel="0" collapsed="false">
      <c r="A1519" s="3" t="n">
        <v>1518</v>
      </c>
      <c r="B1519" s="3" t="n">
        <v>1517</v>
      </c>
      <c r="C1519" s="3" t="n">
        <v>7</v>
      </c>
      <c r="D1519" s="3" t="n">
        <v>10</v>
      </c>
      <c r="E1519" s="3" t="n">
        <v>5</v>
      </c>
      <c r="F1519" s="24" t="n">
        <v>0.284299165</v>
      </c>
    </row>
    <row r="1520" customFormat="false" ht="15" hidden="false" customHeight="false" outlineLevel="0" collapsed="false">
      <c r="A1520" s="3" t="n">
        <v>1519</v>
      </c>
      <c r="B1520" s="3" t="n">
        <v>1518</v>
      </c>
      <c r="C1520" s="3" t="n">
        <v>7</v>
      </c>
      <c r="D1520" s="3" t="n">
        <v>10</v>
      </c>
      <c r="E1520" s="3" t="n">
        <v>6</v>
      </c>
      <c r="F1520" s="24" t="n">
        <v>0</v>
      </c>
    </row>
    <row r="1521" customFormat="false" ht="15" hidden="false" customHeight="false" outlineLevel="0" collapsed="false">
      <c r="A1521" s="3" t="n">
        <v>1520</v>
      </c>
      <c r="B1521" s="3" t="n">
        <v>1519</v>
      </c>
      <c r="C1521" s="3" t="n">
        <v>7</v>
      </c>
      <c r="D1521" s="3" t="n">
        <v>10</v>
      </c>
      <c r="E1521" s="3" t="n">
        <v>7</v>
      </c>
      <c r="F1521" s="24" t="n">
        <v>2.46071053</v>
      </c>
    </row>
    <row r="1522" customFormat="false" ht="15" hidden="false" customHeight="false" outlineLevel="0" collapsed="false">
      <c r="A1522" s="3" t="n">
        <v>1521</v>
      </c>
      <c r="B1522" s="3" t="n">
        <v>1520</v>
      </c>
      <c r="C1522" s="3" t="n">
        <v>7</v>
      </c>
      <c r="D1522" s="3" t="n">
        <v>10</v>
      </c>
      <c r="E1522" s="3" t="n">
        <v>8</v>
      </c>
      <c r="F1522" s="24" t="n">
        <v>2.43575597</v>
      </c>
    </row>
    <row r="1523" customFormat="false" ht="15" hidden="false" customHeight="false" outlineLevel="0" collapsed="false">
      <c r="A1523" s="3" t="n">
        <v>1522</v>
      </c>
      <c r="B1523" s="3" t="n">
        <v>1521</v>
      </c>
      <c r="C1523" s="3" t="n">
        <v>7</v>
      </c>
      <c r="D1523" s="3" t="n">
        <v>10</v>
      </c>
      <c r="E1523" s="3" t="n">
        <v>9</v>
      </c>
      <c r="F1523" s="24" t="n">
        <v>0</v>
      </c>
    </row>
    <row r="1524" customFormat="false" ht="15" hidden="false" customHeight="false" outlineLevel="0" collapsed="false">
      <c r="A1524" s="3" t="n">
        <v>1523</v>
      </c>
      <c r="B1524" s="3" t="n">
        <v>1522</v>
      </c>
      <c r="C1524" s="3" t="n">
        <v>7</v>
      </c>
      <c r="D1524" s="3" t="n">
        <v>10</v>
      </c>
      <c r="E1524" s="3" t="n">
        <v>10</v>
      </c>
      <c r="F1524" s="24" t="n">
        <v>0</v>
      </c>
    </row>
    <row r="1525" customFormat="false" ht="15" hidden="false" customHeight="false" outlineLevel="0" collapsed="false">
      <c r="A1525" s="3" t="n">
        <v>1524</v>
      </c>
      <c r="B1525" s="3" t="n">
        <v>1523</v>
      </c>
      <c r="C1525" s="3" t="n">
        <v>7</v>
      </c>
      <c r="D1525" s="3" t="n">
        <v>10</v>
      </c>
      <c r="E1525" s="3" t="n">
        <v>11</v>
      </c>
      <c r="F1525" s="24" t="n">
        <v>0</v>
      </c>
    </row>
    <row r="1526" customFormat="false" ht="15" hidden="false" customHeight="false" outlineLevel="0" collapsed="false">
      <c r="A1526" s="3" t="n">
        <v>1525</v>
      </c>
      <c r="B1526" s="3" t="n">
        <v>1524</v>
      </c>
      <c r="C1526" s="3" t="n">
        <v>7</v>
      </c>
      <c r="D1526" s="3" t="n">
        <v>10</v>
      </c>
      <c r="E1526" s="3" t="n">
        <v>12</v>
      </c>
      <c r="F1526" s="24" t="n">
        <v>0</v>
      </c>
    </row>
    <row r="1527" customFormat="false" ht="15" hidden="false" customHeight="false" outlineLevel="0" collapsed="false">
      <c r="A1527" s="3" t="n">
        <v>1526</v>
      </c>
      <c r="B1527" s="3" t="n">
        <v>1525</v>
      </c>
      <c r="C1527" s="3" t="n">
        <v>7</v>
      </c>
      <c r="D1527" s="3" t="n">
        <v>10</v>
      </c>
      <c r="E1527" s="3" t="n">
        <v>13</v>
      </c>
      <c r="F1527" s="24" t="n">
        <v>0</v>
      </c>
    </row>
    <row r="1528" customFormat="false" ht="15" hidden="false" customHeight="false" outlineLevel="0" collapsed="false">
      <c r="A1528" s="3" t="n">
        <v>1527</v>
      </c>
      <c r="B1528" s="3" t="n">
        <v>1526</v>
      </c>
      <c r="C1528" s="3" t="n">
        <v>7</v>
      </c>
      <c r="D1528" s="3" t="n">
        <v>11</v>
      </c>
      <c r="E1528" s="3" t="n">
        <v>0</v>
      </c>
      <c r="F1528" s="24" t="n">
        <v>0.259080142</v>
      </c>
    </row>
    <row r="1529" customFormat="false" ht="15" hidden="false" customHeight="false" outlineLevel="0" collapsed="false">
      <c r="A1529" s="3" t="n">
        <v>1528</v>
      </c>
      <c r="B1529" s="3" t="n">
        <v>1527</v>
      </c>
      <c r="C1529" s="3" t="n">
        <v>7</v>
      </c>
      <c r="D1529" s="3" t="n">
        <v>11</v>
      </c>
      <c r="E1529" s="3" t="n">
        <v>1</v>
      </c>
      <c r="F1529" s="24" t="n">
        <v>0</v>
      </c>
    </row>
    <row r="1530" customFormat="false" ht="15" hidden="false" customHeight="false" outlineLevel="0" collapsed="false">
      <c r="A1530" s="3" t="n">
        <v>1529</v>
      </c>
      <c r="B1530" s="3" t="n">
        <v>1528</v>
      </c>
      <c r="C1530" s="3" t="n">
        <v>7</v>
      </c>
      <c r="D1530" s="3" t="n">
        <v>11</v>
      </c>
      <c r="E1530" s="3" t="n">
        <v>2</v>
      </c>
      <c r="F1530" s="24" t="n">
        <v>0</v>
      </c>
    </row>
    <row r="1531" customFormat="false" ht="15" hidden="false" customHeight="false" outlineLevel="0" collapsed="false">
      <c r="A1531" s="3" t="n">
        <v>1530</v>
      </c>
      <c r="B1531" s="3" t="n">
        <v>1529</v>
      </c>
      <c r="C1531" s="3" t="n">
        <v>7</v>
      </c>
      <c r="D1531" s="3" t="n">
        <v>11</v>
      </c>
      <c r="E1531" s="3" t="n">
        <v>3</v>
      </c>
      <c r="F1531" s="24" t="n">
        <v>0</v>
      </c>
    </row>
    <row r="1532" customFormat="false" ht="15" hidden="false" customHeight="false" outlineLevel="0" collapsed="false">
      <c r="A1532" s="3" t="n">
        <v>1531</v>
      </c>
      <c r="B1532" s="3" t="n">
        <v>1530</v>
      </c>
      <c r="C1532" s="3" t="n">
        <v>7</v>
      </c>
      <c r="D1532" s="3" t="n">
        <v>11</v>
      </c>
      <c r="E1532" s="3" t="n">
        <v>4</v>
      </c>
      <c r="F1532" s="24" t="n">
        <v>0.0315847397</v>
      </c>
    </row>
    <row r="1533" customFormat="false" ht="15" hidden="false" customHeight="false" outlineLevel="0" collapsed="false">
      <c r="A1533" s="3" t="n">
        <v>1532</v>
      </c>
      <c r="B1533" s="3" t="n">
        <v>1531</v>
      </c>
      <c r="C1533" s="3" t="n">
        <v>7</v>
      </c>
      <c r="D1533" s="3" t="n">
        <v>11</v>
      </c>
      <c r="E1533" s="3" t="n">
        <v>5</v>
      </c>
      <c r="F1533" s="24" t="n">
        <v>0</v>
      </c>
    </row>
    <row r="1534" customFormat="false" ht="15" hidden="false" customHeight="false" outlineLevel="0" collapsed="false">
      <c r="A1534" s="3" t="n">
        <v>1533</v>
      </c>
      <c r="B1534" s="3" t="n">
        <v>1532</v>
      </c>
      <c r="C1534" s="3" t="n">
        <v>7</v>
      </c>
      <c r="D1534" s="3" t="n">
        <v>11</v>
      </c>
      <c r="E1534" s="3" t="n">
        <v>6</v>
      </c>
      <c r="F1534" s="24" t="n">
        <v>3.68651271</v>
      </c>
    </row>
    <row r="1535" customFormat="false" ht="15" hidden="false" customHeight="false" outlineLevel="0" collapsed="false">
      <c r="A1535" s="3" t="n">
        <v>1534</v>
      </c>
      <c r="B1535" s="3" t="n">
        <v>1533</v>
      </c>
      <c r="C1535" s="3" t="n">
        <v>7</v>
      </c>
      <c r="D1535" s="3" t="n">
        <v>11</v>
      </c>
      <c r="E1535" s="3" t="n">
        <v>7</v>
      </c>
      <c r="F1535" s="24" t="n">
        <v>3.01259112</v>
      </c>
    </row>
    <row r="1536" customFormat="false" ht="15" hidden="false" customHeight="false" outlineLevel="0" collapsed="false">
      <c r="A1536" s="3" t="n">
        <v>1535</v>
      </c>
      <c r="B1536" s="3" t="n">
        <v>1534</v>
      </c>
      <c r="C1536" s="3" t="n">
        <v>7</v>
      </c>
      <c r="D1536" s="3" t="n">
        <v>11</v>
      </c>
      <c r="E1536" s="3" t="n">
        <v>8</v>
      </c>
      <c r="F1536" s="24" t="n">
        <v>0.179655716</v>
      </c>
    </row>
    <row r="1537" customFormat="false" ht="15" hidden="false" customHeight="false" outlineLevel="0" collapsed="false">
      <c r="A1537" s="3" t="n">
        <v>1536</v>
      </c>
      <c r="B1537" s="3" t="n">
        <v>1535</v>
      </c>
      <c r="C1537" s="3" t="n">
        <v>7</v>
      </c>
      <c r="D1537" s="3" t="n">
        <v>11</v>
      </c>
      <c r="E1537" s="3" t="n">
        <v>9</v>
      </c>
      <c r="F1537" s="24" t="n">
        <v>0</v>
      </c>
    </row>
    <row r="1538" customFormat="false" ht="15" hidden="false" customHeight="false" outlineLevel="0" collapsed="false">
      <c r="A1538" s="3" t="n">
        <v>1537</v>
      </c>
      <c r="B1538" s="3" t="n">
        <v>1536</v>
      </c>
      <c r="C1538" s="3" t="n">
        <v>7</v>
      </c>
      <c r="D1538" s="3" t="n">
        <v>11</v>
      </c>
      <c r="E1538" s="3" t="n">
        <v>10</v>
      </c>
      <c r="F1538" s="24" t="n">
        <v>0</v>
      </c>
    </row>
    <row r="1539" customFormat="false" ht="15" hidden="false" customHeight="false" outlineLevel="0" collapsed="false">
      <c r="A1539" s="3" t="n">
        <v>1538</v>
      </c>
      <c r="B1539" s="3" t="n">
        <v>1537</v>
      </c>
      <c r="C1539" s="3" t="n">
        <v>7</v>
      </c>
      <c r="D1539" s="3" t="n">
        <v>11</v>
      </c>
      <c r="E1539" s="3" t="n">
        <v>11</v>
      </c>
      <c r="F1539" s="24" t="n">
        <v>0</v>
      </c>
    </row>
    <row r="1540" customFormat="false" ht="15" hidden="false" customHeight="false" outlineLevel="0" collapsed="false">
      <c r="A1540" s="3" t="n">
        <v>1539</v>
      </c>
      <c r="B1540" s="3" t="n">
        <v>1538</v>
      </c>
      <c r="C1540" s="3" t="n">
        <v>7</v>
      </c>
      <c r="D1540" s="3" t="n">
        <v>11</v>
      </c>
      <c r="E1540" s="3" t="n">
        <v>12</v>
      </c>
      <c r="F1540" s="24" t="n">
        <v>0</v>
      </c>
    </row>
    <row r="1541" customFormat="false" ht="15" hidden="false" customHeight="false" outlineLevel="0" collapsed="false">
      <c r="A1541" s="3" t="n">
        <v>1540</v>
      </c>
      <c r="B1541" s="3" t="n">
        <v>1539</v>
      </c>
      <c r="C1541" s="3" t="n">
        <v>7</v>
      </c>
      <c r="D1541" s="3" t="n">
        <v>11</v>
      </c>
      <c r="E1541" s="3" t="n">
        <v>13</v>
      </c>
      <c r="F1541" s="24" t="n">
        <v>0</v>
      </c>
    </row>
    <row r="1542" customFormat="false" ht="15" hidden="false" customHeight="false" outlineLevel="0" collapsed="false">
      <c r="A1542" s="3" t="n">
        <v>1541</v>
      </c>
      <c r="B1542" s="3" t="n">
        <v>1540</v>
      </c>
      <c r="C1542" s="3" t="n">
        <v>7</v>
      </c>
      <c r="D1542" s="3" t="n">
        <v>12</v>
      </c>
      <c r="E1542" s="3" t="n">
        <v>0</v>
      </c>
      <c r="F1542" s="24" t="n">
        <v>0.259080142</v>
      </c>
    </row>
    <row r="1543" customFormat="false" ht="15" hidden="false" customHeight="false" outlineLevel="0" collapsed="false">
      <c r="A1543" s="3" t="n">
        <v>1542</v>
      </c>
      <c r="B1543" s="3" t="n">
        <v>1541</v>
      </c>
      <c r="C1543" s="3" t="n">
        <v>7</v>
      </c>
      <c r="D1543" s="3" t="n">
        <v>12</v>
      </c>
      <c r="E1543" s="3" t="n">
        <v>1</v>
      </c>
      <c r="F1543" s="24" t="n">
        <v>0</v>
      </c>
    </row>
    <row r="1544" customFormat="false" ht="15" hidden="false" customHeight="false" outlineLevel="0" collapsed="false">
      <c r="A1544" s="3" t="n">
        <v>1543</v>
      </c>
      <c r="B1544" s="3" t="n">
        <v>1542</v>
      </c>
      <c r="C1544" s="3" t="n">
        <v>7</v>
      </c>
      <c r="D1544" s="3" t="n">
        <v>12</v>
      </c>
      <c r="E1544" s="3" t="n">
        <v>2</v>
      </c>
      <c r="F1544" s="24" t="n">
        <v>0</v>
      </c>
    </row>
    <row r="1545" customFormat="false" ht="15" hidden="false" customHeight="false" outlineLevel="0" collapsed="false">
      <c r="A1545" s="3" t="n">
        <v>1544</v>
      </c>
      <c r="B1545" s="3" t="n">
        <v>1543</v>
      </c>
      <c r="C1545" s="3" t="n">
        <v>7</v>
      </c>
      <c r="D1545" s="3" t="n">
        <v>12</v>
      </c>
      <c r="E1545" s="3" t="n">
        <v>3</v>
      </c>
      <c r="F1545" s="24" t="n">
        <v>0</v>
      </c>
    </row>
    <row r="1546" customFormat="false" ht="15" hidden="false" customHeight="false" outlineLevel="0" collapsed="false">
      <c r="A1546" s="3" t="n">
        <v>1545</v>
      </c>
      <c r="B1546" s="3" t="n">
        <v>1544</v>
      </c>
      <c r="C1546" s="3" t="n">
        <v>7</v>
      </c>
      <c r="D1546" s="3" t="n">
        <v>12</v>
      </c>
      <c r="E1546" s="3" t="n">
        <v>4</v>
      </c>
      <c r="F1546" s="24" t="n">
        <v>0</v>
      </c>
    </row>
    <row r="1547" customFormat="false" ht="15" hidden="false" customHeight="false" outlineLevel="0" collapsed="false">
      <c r="A1547" s="3" t="n">
        <v>1546</v>
      </c>
      <c r="B1547" s="3" t="n">
        <v>1545</v>
      </c>
      <c r="C1547" s="3" t="n">
        <v>7</v>
      </c>
      <c r="D1547" s="3" t="n">
        <v>12</v>
      </c>
      <c r="E1547" s="3" t="n">
        <v>5</v>
      </c>
      <c r="F1547" s="24" t="n">
        <v>0.0585242361</v>
      </c>
    </row>
    <row r="1548" customFormat="false" ht="15" hidden="false" customHeight="false" outlineLevel="0" collapsed="false">
      <c r="A1548" s="3" t="n">
        <v>1547</v>
      </c>
      <c r="B1548" s="3" t="n">
        <v>1546</v>
      </c>
      <c r="C1548" s="3" t="n">
        <v>7</v>
      </c>
      <c r="D1548" s="3" t="n">
        <v>12</v>
      </c>
      <c r="E1548" s="3" t="n">
        <v>6</v>
      </c>
      <c r="F1548" s="24" t="n">
        <v>3.96647334</v>
      </c>
    </row>
    <row r="1549" customFormat="false" ht="15" hidden="false" customHeight="false" outlineLevel="0" collapsed="false">
      <c r="A1549" s="3" t="n">
        <v>1548</v>
      </c>
      <c r="B1549" s="3" t="n">
        <v>1547</v>
      </c>
      <c r="C1549" s="3" t="n">
        <v>7</v>
      </c>
      <c r="D1549" s="3" t="n">
        <v>12</v>
      </c>
      <c r="E1549" s="3" t="n">
        <v>7</v>
      </c>
      <c r="F1549" s="24" t="n">
        <v>2.82071495</v>
      </c>
    </row>
    <row r="1550" customFormat="false" ht="15" hidden="false" customHeight="false" outlineLevel="0" collapsed="false">
      <c r="A1550" s="3" t="n">
        <v>1549</v>
      </c>
      <c r="B1550" s="3" t="n">
        <v>1548</v>
      </c>
      <c r="C1550" s="3" t="n">
        <v>7</v>
      </c>
      <c r="D1550" s="3" t="n">
        <v>12</v>
      </c>
      <c r="E1550" s="3" t="n">
        <v>8</v>
      </c>
      <c r="F1550" s="24" t="n">
        <v>0</v>
      </c>
    </row>
    <row r="1551" customFormat="false" ht="15" hidden="false" customHeight="false" outlineLevel="0" collapsed="false">
      <c r="A1551" s="3" t="n">
        <v>1550</v>
      </c>
      <c r="B1551" s="3" t="n">
        <v>1549</v>
      </c>
      <c r="C1551" s="3" t="n">
        <v>7</v>
      </c>
      <c r="D1551" s="3" t="n">
        <v>12</v>
      </c>
      <c r="E1551" s="3" t="n">
        <v>9</v>
      </c>
      <c r="F1551" s="24" t="n">
        <v>0</v>
      </c>
    </row>
    <row r="1552" customFormat="false" ht="15" hidden="false" customHeight="false" outlineLevel="0" collapsed="false">
      <c r="A1552" s="3" t="n">
        <v>1551</v>
      </c>
      <c r="B1552" s="3" t="n">
        <v>1550</v>
      </c>
      <c r="C1552" s="3" t="n">
        <v>7</v>
      </c>
      <c r="D1552" s="3" t="n">
        <v>12</v>
      </c>
      <c r="E1552" s="3" t="n">
        <v>10</v>
      </c>
      <c r="F1552" s="24" t="n">
        <v>0</v>
      </c>
    </row>
    <row r="1553" customFormat="false" ht="15" hidden="false" customHeight="false" outlineLevel="0" collapsed="false">
      <c r="A1553" s="3" t="n">
        <v>1552</v>
      </c>
      <c r="B1553" s="3" t="n">
        <v>1551</v>
      </c>
      <c r="C1553" s="3" t="n">
        <v>7</v>
      </c>
      <c r="D1553" s="3" t="n">
        <v>12</v>
      </c>
      <c r="E1553" s="3" t="n">
        <v>11</v>
      </c>
      <c r="F1553" s="24" t="n">
        <v>0</v>
      </c>
    </row>
    <row r="1554" customFormat="false" ht="15" hidden="false" customHeight="false" outlineLevel="0" collapsed="false">
      <c r="A1554" s="3" t="n">
        <v>1553</v>
      </c>
      <c r="B1554" s="3" t="n">
        <v>1552</v>
      </c>
      <c r="C1554" s="3" t="n">
        <v>7</v>
      </c>
      <c r="D1554" s="3" t="n">
        <v>12</v>
      </c>
      <c r="E1554" s="3" t="n">
        <v>12</v>
      </c>
      <c r="F1554" s="24" t="n">
        <v>0</v>
      </c>
    </row>
    <row r="1555" customFormat="false" ht="15" hidden="false" customHeight="false" outlineLevel="0" collapsed="false">
      <c r="A1555" s="3" t="n">
        <v>1554</v>
      </c>
      <c r="B1555" s="3" t="n">
        <v>1553</v>
      </c>
      <c r="C1555" s="3" t="n">
        <v>7</v>
      </c>
      <c r="D1555" s="3" t="n">
        <v>12</v>
      </c>
      <c r="E1555" s="3" t="n">
        <v>13</v>
      </c>
      <c r="F1555" s="24" t="n">
        <v>0</v>
      </c>
    </row>
    <row r="1556" customFormat="false" ht="15" hidden="false" customHeight="false" outlineLevel="0" collapsed="false">
      <c r="A1556" s="3" t="n">
        <v>1555</v>
      </c>
      <c r="B1556" s="3" t="n">
        <v>1554</v>
      </c>
      <c r="C1556" s="3" t="n">
        <v>7</v>
      </c>
      <c r="D1556" s="3" t="n">
        <v>13</v>
      </c>
      <c r="E1556" s="3" t="n">
        <v>0</v>
      </c>
      <c r="F1556" s="24" t="n">
        <v>0.606766462</v>
      </c>
    </row>
    <row r="1557" customFormat="false" ht="15" hidden="false" customHeight="false" outlineLevel="0" collapsed="false">
      <c r="A1557" s="3" t="n">
        <v>1556</v>
      </c>
      <c r="B1557" s="3" t="n">
        <v>1555</v>
      </c>
      <c r="C1557" s="3" t="n">
        <v>7</v>
      </c>
      <c r="D1557" s="3" t="n">
        <v>13</v>
      </c>
      <c r="E1557" s="3" t="n">
        <v>1</v>
      </c>
      <c r="F1557" s="24" t="n">
        <v>0.279396147</v>
      </c>
    </row>
    <row r="1558" customFormat="false" ht="15" hidden="false" customHeight="false" outlineLevel="0" collapsed="false">
      <c r="A1558" s="3" t="n">
        <v>1557</v>
      </c>
      <c r="B1558" s="3" t="n">
        <v>1556</v>
      </c>
      <c r="C1558" s="3" t="n">
        <v>7</v>
      </c>
      <c r="D1558" s="3" t="n">
        <v>13</v>
      </c>
      <c r="E1558" s="3" t="n">
        <v>2</v>
      </c>
      <c r="F1558" s="24" t="n">
        <v>0.279396147</v>
      </c>
    </row>
    <row r="1559" customFormat="false" ht="15" hidden="false" customHeight="false" outlineLevel="0" collapsed="false">
      <c r="A1559" s="3" t="n">
        <v>1558</v>
      </c>
      <c r="B1559" s="3" t="n">
        <v>1557</v>
      </c>
      <c r="C1559" s="3" t="n">
        <v>7</v>
      </c>
      <c r="D1559" s="3" t="n">
        <v>13</v>
      </c>
      <c r="E1559" s="3" t="n">
        <v>3</v>
      </c>
      <c r="F1559" s="24" t="n">
        <v>0.279396147</v>
      </c>
    </row>
    <row r="1560" customFormat="false" ht="15" hidden="false" customHeight="false" outlineLevel="0" collapsed="false">
      <c r="A1560" s="3" t="n">
        <v>1559</v>
      </c>
      <c r="B1560" s="3" t="n">
        <v>1558</v>
      </c>
      <c r="C1560" s="3" t="n">
        <v>7</v>
      </c>
      <c r="D1560" s="3" t="n">
        <v>13</v>
      </c>
      <c r="E1560" s="3" t="n">
        <v>4</v>
      </c>
      <c r="F1560" s="24" t="n">
        <v>0.279396147</v>
      </c>
    </row>
    <row r="1561" customFormat="false" ht="15" hidden="false" customHeight="false" outlineLevel="0" collapsed="false">
      <c r="A1561" s="3" t="n">
        <v>1560</v>
      </c>
      <c r="B1561" s="3" t="n">
        <v>1559</v>
      </c>
      <c r="C1561" s="3" t="n">
        <v>7</v>
      </c>
      <c r="D1561" s="3" t="n">
        <v>13</v>
      </c>
      <c r="E1561" s="3" t="n">
        <v>5</v>
      </c>
      <c r="F1561" s="24" t="n">
        <v>0</v>
      </c>
    </row>
    <row r="1562" customFormat="false" ht="15" hidden="false" customHeight="false" outlineLevel="0" collapsed="false">
      <c r="A1562" s="3" t="n">
        <v>1561</v>
      </c>
      <c r="B1562" s="3" t="n">
        <v>1560</v>
      </c>
      <c r="C1562" s="3" t="n">
        <v>7</v>
      </c>
      <c r="D1562" s="3" t="n">
        <v>13</v>
      </c>
      <c r="E1562" s="3" t="n">
        <v>6</v>
      </c>
      <c r="F1562" s="24" t="n">
        <v>2.12623954</v>
      </c>
    </row>
    <row r="1563" customFormat="false" ht="15" hidden="false" customHeight="false" outlineLevel="0" collapsed="false">
      <c r="A1563" s="3" t="n">
        <v>1562</v>
      </c>
      <c r="B1563" s="3" t="n">
        <v>1561</v>
      </c>
      <c r="C1563" s="3" t="n">
        <v>7</v>
      </c>
      <c r="D1563" s="3" t="n">
        <v>13</v>
      </c>
      <c r="E1563" s="3" t="n">
        <v>7</v>
      </c>
      <c r="F1563" s="24" t="n">
        <v>0.792273819</v>
      </c>
    </row>
    <row r="1564" customFormat="false" ht="15" hidden="false" customHeight="false" outlineLevel="0" collapsed="false">
      <c r="A1564" s="3" t="n">
        <v>1563</v>
      </c>
      <c r="B1564" s="3" t="n">
        <v>1562</v>
      </c>
      <c r="C1564" s="3" t="n">
        <v>7</v>
      </c>
      <c r="D1564" s="3" t="n">
        <v>13</v>
      </c>
      <c r="E1564" s="3" t="n">
        <v>8</v>
      </c>
      <c r="F1564" s="24" t="n">
        <v>0.279396147</v>
      </c>
    </row>
    <row r="1565" customFormat="false" ht="15" hidden="false" customHeight="false" outlineLevel="0" collapsed="false">
      <c r="A1565" s="3" t="n">
        <v>1564</v>
      </c>
      <c r="B1565" s="3" t="n">
        <v>1563</v>
      </c>
      <c r="C1565" s="3" t="n">
        <v>7</v>
      </c>
      <c r="D1565" s="3" t="n">
        <v>13</v>
      </c>
      <c r="E1565" s="3" t="n">
        <v>9</v>
      </c>
      <c r="F1565" s="24" t="n">
        <v>0.279396147</v>
      </c>
    </row>
    <row r="1566" customFormat="false" ht="15" hidden="false" customHeight="false" outlineLevel="0" collapsed="false">
      <c r="A1566" s="3" t="n">
        <v>1565</v>
      </c>
      <c r="B1566" s="3" t="n">
        <v>1564</v>
      </c>
      <c r="C1566" s="3" t="n">
        <v>7</v>
      </c>
      <c r="D1566" s="3" t="n">
        <v>13</v>
      </c>
      <c r="E1566" s="3" t="n">
        <v>10</v>
      </c>
      <c r="F1566" s="24" t="n">
        <v>0.279396147</v>
      </c>
    </row>
    <row r="1567" customFormat="false" ht="15" hidden="false" customHeight="false" outlineLevel="0" collapsed="false">
      <c r="A1567" s="3" t="n">
        <v>1566</v>
      </c>
      <c r="B1567" s="3" t="n">
        <v>1565</v>
      </c>
      <c r="C1567" s="3" t="n">
        <v>7</v>
      </c>
      <c r="D1567" s="3" t="n">
        <v>13</v>
      </c>
      <c r="E1567" s="3" t="n">
        <v>11</v>
      </c>
      <c r="F1567" s="24" t="n">
        <v>0.279396147</v>
      </c>
    </row>
    <row r="1568" customFormat="false" ht="15" hidden="false" customHeight="false" outlineLevel="0" collapsed="false">
      <c r="A1568" s="3" t="n">
        <v>1567</v>
      </c>
      <c r="B1568" s="3" t="n">
        <v>1566</v>
      </c>
      <c r="C1568" s="3" t="n">
        <v>7</v>
      </c>
      <c r="D1568" s="3" t="n">
        <v>13</v>
      </c>
      <c r="E1568" s="3" t="n">
        <v>12</v>
      </c>
      <c r="F1568" s="24" t="n">
        <v>0.279396147</v>
      </c>
    </row>
    <row r="1569" customFormat="false" ht="15" hidden="false" customHeight="false" outlineLevel="0" collapsed="false">
      <c r="A1569" s="3" t="n">
        <v>1568</v>
      </c>
      <c r="B1569" s="3" t="n">
        <v>1567</v>
      </c>
      <c r="C1569" s="3" t="n">
        <v>7</v>
      </c>
      <c r="D1569" s="3" t="n">
        <v>13</v>
      </c>
      <c r="E1569" s="3" t="n">
        <v>13</v>
      </c>
      <c r="F1569" s="24" t="n">
        <v>0.279396147</v>
      </c>
    </row>
  </sheetData>
  <autoFilter ref="A1:F15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5" min="3" style="0" width="8"/>
    <col collapsed="false" customWidth="true" hidden="false" outlineLevel="0" max="6" min="6" style="0" width="14"/>
  </cols>
  <sheetData>
    <row r="1" customFormat="false" ht="23.85" hidden="false" customHeight="false" outlineLevel="0" collapsed="false">
      <c r="A1" s="9" t="s">
        <v>109</v>
      </c>
      <c r="B1" s="9" t="s">
        <v>110</v>
      </c>
      <c r="C1" s="9" t="s">
        <v>121</v>
      </c>
      <c r="D1" s="9" t="s">
        <v>122</v>
      </c>
      <c r="E1" s="9" t="s">
        <v>123</v>
      </c>
      <c r="F1" s="9" t="s">
        <v>114</v>
      </c>
      <c r="H1" s="4" t="s">
        <v>128</v>
      </c>
    </row>
    <row r="2" customFormat="false" ht="15" hidden="false" customHeight="false" outlineLevel="0" collapsed="false">
      <c r="A2" s="3" t="n">
        <v>1</v>
      </c>
      <c r="B2" s="3" t="n">
        <v>0</v>
      </c>
      <c r="C2" s="3" t="n">
        <v>0</v>
      </c>
      <c r="D2" s="3" t="n">
        <v>0</v>
      </c>
      <c r="E2" s="3" t="n">
        <v>0</v>
      </c>
      <c r="F2" s="24" t="n">
        <v>0.479761153</v>
      </c>
    </row>
    <row r="3" customFormat="false" ht="15" hidden="false" customHeight="false" outlineLevel="0" collapsed="false">
      <c r="A3" s="3" t="n">
        <v>2</v>
      </c>
      <c r="B3" s="3" t="n">
        <v>1</v>
      </c>
      <c r="C3" s="3" t="n">
        <v>0</v>
      </c>
      <c r="D3" s="3" t="n">
        <v>0</v>
      </c>
      <c r="E3" s="3" t="n">
        <v>1</v>
      </c>
      <c r="F3" s="24" t="n">
        <v>0.587074876</v>
      </c>
    </row>
    <row r="4" customFormat="false" ht="15" hidden="false" customHeight="false" outlineLevel="0" collapsed="false">
      <c r="A4" s="3" t="n">
        <v>3</v>
      </c>
      <c r="B4" s="3" t="n">
        <v>2</v>
      </c>
      <c r="C4" s="3" t="n">
        <v>0</v>
      </c>
      <c r="D4" s="3" t="n">
        <v>0</v>
      </c>
      <c r="E4" s="3" t="n">
        <v>2</v>
      </c>
      <c r="F4" s="24" t="n">
        <v>0.445337713</v>
      </c>
    </row>
    <row r="5" customFormat="false" ht="15" hidden="false" customHeight="false" outlineLevel="0" collapsed="false">
      <c r="A5" s="3" t="n">
        <v>4</v>
      </c>
      <c r="B5" s="3" t="n">
        <v>3</v>
      </c>
      <c r="C5" s="3" t="n">
        <v>0</v>
      </c>
      <c r="D5" s="3" t="n">
        <v>0</v>
      </c>
      <c r="E5" s="3" t="n">
        <v>3</v>
      </c>
      <c r="F5" s="24" t="n">
        <v>0.445337713</v>
      </c>
    </row>
    <row r="6" customFormat="false" ht="15" hidden="false" customHeight="false" outlineLevel="0" collapsed="false">
      <c r="A6" s="3" t="n">
        <v>5</v>
      </c>
      <c r="B6" s="3" t="n">
        <v>4</v>
      </c>
      <c r="C6" s="3" t="n">
        <v>0</v>
      </c>
      <c r="D6" s="3" t="n">
        <v>0</v>
      </c>
      <c r="E6" s="3" t="n">
        <v>4</v>
      </c>
      <c r="F6" s="24" t="n">
        <v>0.445337713</v>
      </c>
    </row>
    <row r="7" customFormat="false" ht="15" hidden="false" customHeight="false" outlineLevel="0" collapsed="false">
      <c r="A7" s="3" t="n">
        <v>6</v>
      </c>
      <c r="B7" s="3" t="n">
        <v>5</v>
      </c>
      <c r="C7" s="3" t="n">
        <v>0</v>
      </c>
      <c r="D7" s="3" t="n">
        <v>0</v>
      </c>
      <c r="E7" s="3" t="n">
        <v>5</v>
      </c>
      <c r="F7" s="24" t="n">
        <v>0.445337713</v>
      </c>
    </row>
    <row r="8" customFormat="false" ht="15" hidden="false" customHeight="false" outlineLevel="0" collapsed="false">
      <c r="A8" s="3" t="n">
        <v>7</v>
      </c>
      <c r="B8" s="3" t="n">
        <v>6</v>
      </c>
      <c r="C8" s="3" t="n">
        <v>0</v>
      </c>
      <c r="D8" s="3" t="n">
        <v>0</v>
      </c>
      <c r="E8" s="3" t="n">
        <v>6</v>
      </c>
      <c r="F8" s="24" t="n">
        <v>0.445337713</v>
      </c>
    </row>
    <row r="9" customFormat="false" ht="15" hidden="false" customHeight="false" outlineLevel="0" collapsed="false">
      <c r="A9" s="3" t="n">
        <v>8</v>
      </c>
      <c r="B9" s="3" t="n">
        <v>7</v>
      </c>
      <c r="C9" s="3" t="n">
        <v>0</v>
      </c>
      <c r="D9" s="3" t="n">
        <v>0</v>
      </c>
      <c r="E9" s="3" t="n">
        <v>7</v>
      </c>
      <c r="F9" s="24" t="n">
        <v>0.445337713</v>
      </c>
    </row>
    <row r="10" customFormat="false" ht="15" hidden="false" customHeight="false" outlineLevel="0" collapsed="false">
      <c r="A10" s="3" t="n">
        <v>9</v>
      </c>
      <c r="B10" s="3" t="n">
        <v>8</v>
      </c>
      <c r="C10" s="3" t="n">
        <v>0</v>
      </c>
      <c r="D10" s="3" t="n">
        <v>0</v>
      </c>
      <c r="E10" s="3" t="n">
        <v>8</v>
      </c>
      <c r="F10" s="24" t="n">
        <v>0.445337713</v>
      </c>
    </row>
    <row r="11" customFormat="false" ht="15" hidden="false" customHeight="false" outlineLevel="0" collapsed="false">
      <c r="A11" s="3" t="n">
        <v>10</v>
      </c>
      <c r="B11" s="3" t="n">
        <v>9</v>
      </c>
      <c r="C11" s="3" t="n">
        <v>0</v>
      </c>
      <c r="D11" s="3" t="n">
        <v>0</v>
      </c>
      <c r="E11" s="3" t="n">
        <v>9</v>
      </c>
      <c r="F11" s="24" t="n">
        <v>0.445337713</v>
      </c>
    </row>
    <row r="12" customFormat="false" ht="15" hidden="false" customHeight="false" outlineLevel="0" collapsed="false">
      <c r="A12" s="3" t="n">
        <v>11</v>
      </c>
      <c r="B12" s="3" t="n">
        <v>10</v>
      </c>
      <c r="C12" s="3" t="n">
        <v>0</v>
      </c>
      <c r="D12" s="3" t="n">
        <v>0</v>
      </c>
      <c r="E12" s="3" t="n">
        <v>10</v>
      </c>
      <c r="F12" s="24" t="n">
        <v>0.445337713</v>
      </c>
    </row>
    <row r="13" customFormat="false" ht="15" hidden="false" customHeight="false" outlineLevel="0" collapsed="false">
      <c r="A13" s="3" t="n">
        <v>12</v>
      </c>
      <c r="B13" s="3" t="n">
        <v>11</v>
      </c>
      <c r="C13" s="3" t="n">
        <v>0</v>
      </c>
      <c r="D13" s="3" t="n">
        <v>0</v>
      </c>
      <c r="E13" s="3" t="n">
        <v>11</v>
      </c>
      <c r="F13" s="24" t="n">
        <v>0.445337713</v>
      </c>
    </row>
    <row r="14" customFormat="false" ht="15" hidden="false" customHeight="false" outlineLevel="0" collapsed="false">
      <c r="A14" s="3" t="n">
        <v>13</v>
      </c>
      <c r="B14" s="3" t="n">
        <v>12</v>
      </c>
      <c r="C14" s="3" t="n">
        <v>0</v>
      </c>
      <c r="D14" s="3" t="n">
        <v>0</v>
      </c>
      <c r="E14" s="3" t="n">
        <v>12</v>
      </c>
      <c r="F14" s="24" t="n">
        <v>0.585846663</v>
      </c>
    </row>
    <row r="15" customFormat="false" ht="15" hidden="false" customHeight="false" outlineLevel="0" collapsed="false">
      <c r="A15" s="3" t="n">
        <v>14</v>
      </c>
      <c r="B15" s="3" t="n">
        <v>13</v>
      </c>
      <c r="C15" s="3" t="n">
        <v>0</v>
      </c>
      <c r="D15" s="3" t="n">
        <v>0</v>
      </c>
      <c r="E15" s="3" t="n">
        <v>13</v>
      </c>
      <c r="F15" s="24" t="n">
        <v>0.698455334</v>
      </c>
    </row>
    <row r="16" customFormat="false" ht="15" hidden="false" customHeight="false" outlineLevel="0" collapsed="false">
      <c r="A16" s="3" t="n">
        <v>15</v>
      </c>
      <c r="B16" s="3" t="n">
        <v>14</v>
      </c>
      <c r="C16" s="3" t="n">
        <v>0</v>
      </c>
      <c r="D16" s="3" t="n">
        <v>1</v>
      </c>
      <c r="E16" s="3" t="n">
        <v>0</v>
      </c>
      <c r="F16" s="24" t="n">
        <v>0.375728965</v>
      </c>
    </row>
    <row r="17" customFormat="false" ht="15" hidden="false" customHeight="false" outlineLevel="0" collapsed="false">
      <c r="A17" s="3" t="n">
        <v>16</v>
      </c>
      <c r="B17" s="3" t="n">
        <v>15</v>
      </c>
      <c r="C17" s="3" t="n">
        <v>0</v>
      </c>
      <c r="D17" s="3" t="n">
        <v>1</v>
      </c>
      <c r="E17" s="3" t="n">
        <v>1</v>
      </c>
      <c r="F17" s="24" t="n">
        <v>0.299728811</v>
      </c>
    </row>
    <row r="18" customFormat="false" ht="15" hidden="false" customHeight="false" outlineLevel="0" collapsed="false">
      <c r="A18" s="3" t="n">
        <v>17</v>
      </c>
      <c r="B18" s="3" t="n">
        <v>16</v>
      </c>
      <c r="C18" s="3" t="n">
        <v>0</v>
      </c>
      <c r="D18" s="3" t="n">
        <v>1</v>
      </c>
      <c r="E18" s="3" t="n">
        <v>2</v>
      </c>
      <c r="F18" s="24" t="n">
        <v>0.128866971</v>
      </c>
    </row>
    <row r="19" customFormat="false" ht="15" hidden="false" customHeight="false" outlineLevel="0" collapsed="false">
      <c r="A19" s="3" t="n">
        <v>18</v>
      </c>
      <c r="B19" s="3" t="n">
        <v>17</v>
      </c>
      <c r="C19" s="3" t="n">
        <v>0</v>
      </c>
      <c r="D19" s="3" t="n">
        <v>1</v>
      </c>
      <c r="E19" s="3" t="n">
        <v>3</v>
      </c>
      <c r="F19" s="24" t="n">
        <v>0.128866971</v>
      </c>
    </row>
    <row r="20" customFormat="false" ht="15" hidden="false" customHeight="false" outlineLevel="0" collapsed="false">
      <c r="A20" s="3" t="n">
        <v>19</v>
      </c>
      <c r="B20" s="3" t="n">
        <v>18</v>
      </c>
      <c r="C20" s="3" t="n">
        <v>0</v>
      </c>
      <c r="D20" s="3" t="n">
        <v>1</v>
      </c>
      <c r="E20" s="3" t="n">
        <v>4</v>
      </c>
      <c r="F20" s="24" t="n">
        <v>0.128866971</v>
      </c>
    </row>
    <row r="21" customFormat="false" ht="15" hidden="false" customHeight="false" outlineLevel="0" collapsed="false">
      <c r="A21" s="3" t="n">
        <v>20</v>
      </c>
      <c r="B21" s="3" t="n">
        <v>19</v>
      </c>
      <c r="C21" s="3" t="n">
        <v>0</v>
      </c>
      <c r="D21" s="3" t="n">
        <v>1</v>
      </c>
      <c r="E21" s="3" t="n">
        <v>5</v>
      </c>
      <c r="F21" s="24" t="n">
        <v>0.128866971</v>
      </c>
    </row>
    <row r="22" customFormat="false" ht="15" hidden="false" customHeight="false" outlineLevel="0" collapsed="false">
      <c r="A22" s="3" t="n">
        <v>21</v>
      </c>
      <c r="B22" s="3" t="n">
        <v>20</v>
      </c>
      <c r="C22" s="3" t="n">
        <v>0</v>
      </c>
      <c r="D22" s="3" t="n">
        <v>1</v>
      </c>
      <c r="E22" s="3" t="n">
        <v>6</v>
      </c>
      <c r="F22" s="24" t="n">
        <v>0.128866971</v>
      </c>
    </row>
    <row r="23" customFormat="false" ht="15" hidden="false" customHeight="false" outlineLevel="0" collapsed="false">
      <c r="A23" s="3" t="n">
        <v>22</v>
      </c>
      <c r="B23" s="3" t="n">
        <v>21</v>
      </c>
      <c r="C23" s="3" t="n">
        <v>0</v>
      </c>
      <c r="D23" s="3" t="n">
        <v>1</v>
      </c>
      <c r="E23" s="3" t="n">
        <v>7</v>
      </c>
      <c r="F23" s="24" t="n">
        <v>0.128866971</v>
      </c>
    </row>
    <row r="24" customFormat="false" ht="15" hidden="false" customHeight="false" outlineLevel="0" collapsed="false">
      <c r="A24" s="3" t="n">
        <v>23</v>
      </c>
      <c r="B24" s="3" t="n">
        <v>22</v>
      </c>
      <c r="C24" s="3" t="n">
        <v>0</v>
      </c>
      <c r="D24" s="3" t="n">
        <v>1</v>
      </c>
      <c r="E24" s="3" t="n">
        <v>8</v>
      </c>
      <c r="F24" s="24" t="n">
        <v>0.128866971</v>
      </c>
    </row>
    <row r="25" customFormat="false" ht="15" hidden="false" customHeight="false" outlineLevel="0" collapsed="false">
      <c r="A25" s="3" t="n">
        <v>24</v>
      </c>
      <c r="B25" s="3" t="n">
        <v>23</v>
      </c>
      <c r="C25" s="3" t="n">
        <v>0</v>
      </c>
      <c r="D25" s="3" t="n">
        <v>1</v>
      </c>
      <c r="E25" s="3" t="n">
        <v>9</v>
      </c>
      <c r="F25" s="24" t="n">
        <v>0.128866971</v>
      </c>
    </row>
    <row r="26" customFormat="false" ht="15" hidden="false" customHeight="false" outlineLevel="0" collapsed="false">
      <c r="A26" s="3" t="n">
        <v>25</v>
      </c>
      <c r="B26" s="3" t="n">
        <v>24</v>
      </c>
      <c r="C26" s="3" t="n">
        <v>0</v>
      </c>
      <c r="D26" s="3" t="n">
        <v>1</v>
      </c>
      <c r="E26" s="3" t="n">
        <v>10</v>
      </c>
      <c r="F26" s="24" t="n">
        <v>0.128866971</v>
      </c>
    </row>
    <row r="27" customFormat="false" ht="15" hidden="false" customHeight="false" outlineLevel="0" collapsed="false">
      <c r="A27" s="3" t="n">
        <v>26</v>
      </c>
      <c r="B27" s="3" t="n">
        <v>25</v>
      </c>
      <c r="C27" s="3" t="n">
        <v>0</v>
      </c>
      <c r="D27" s="3" t="n">
        <v>1</v>
      </c>
      <c r="E27" s="3" t="n">
        <v>11</v>
      </c>
      <c r="F27" s="24" t="n">
        <v>0.128866971</v>
      </c>
    </row>
    <row r="28" customFormat="false" ht="15" hidden="false" customHeight="false" outlineLevel="0" collapsed="false">
      <c r="A28" s="3" t="n">
        <v>27</v>
      </c>
      <c r="B28" s="3" t="n">
        <v>26</v>
      </c>
      <c r="C28" s="3" t="n">
        <v>0</v>
      </c>
      <c r="D28" s="3" t="n">
        <v>1</v>
      </c>
      <c r="E28" s="3" t="n">
        <v>12</v>
      </c>
      <c r="F28" s="24" t="n">
        <v>0.436699629</v>
      </c>
    </row>
    <row r="29" customFormat="false" ht="15" hidden="false" customHeight="false" outlineLevel="0" collapsed="false">
      <c r="A29" s="3" t="n">
        <v>28</v>
      </c>
      <c r="B29" s="3" t="n">
        <v>27</v>
      </c>
      <c r="C29" s="3" t="n">
        <v>0</v>
      </c>
      <c r="D29" s="3" t="n">
        <v>1</v>
      </c>
      <c r="E29" s="3" t="n">
        <v>13</v>
      </c>
      <c r="F29" s="24" t="n">
        <v>0.130766064</v>
      </c>
    </row>
    <row r="30" customFormat="false" ht="15" hidden="false" customHeight="false" outlineLevel="0" collapsed="false">
      <c r="A30" s="3" t="n">
        <v>29</v>
      </c>
      <c r="B30" s="3" t="n">
        <v>28</v>
      </c>
      <c r="C30" s="3" t="n">
        <v>0</v>
      </c>
      <c r="D30" s="3" t="n">
        <v>2</v>
      </c>
      <c r="E30" s="3" t="n">
        <v>0</v>
      </c>
      <c r="F30" s="24" t="n">
        <v>0.411655962</v>
      </c>
    </row>
    <row r="31" customFormat="false" ht="15" hidden="false" customHeight="false" outlineLevel="0" collapsed="false">
      <c r="A31" s="3" t="n">
        <v>30</v>
      </c>
      <c r="B31" s="3" t="n">
        <v>29</v>
      </c>
      <c r="C31" s="3" t="n">
        <v>0</v>
      </c>
      <c r="D31" s="3" t="n">
        <v>2</v>
      </c>
      <c r="E31" s="3" t="n">
        <v>1</v>
      </c>
      <c r="F31" s="24" t="n">
        <v>0.11592266</v>
      </c>
    </row>
    <row r="32" customFormat="false" ht="15" hidden="false" customHeight="false" outlineLevel="0" collapsed="false">
      <c r="A32" s="3" t="n">
        <v>31</v>
      </c>
      <c r="B32" s="3" t="n">
        <v>30</v>
      </c>
      <c r="C32" s="3" t="n">
        <v>0</v>
      </c>
      <c r="D32" s="3" t="n">
        <v>2</v>
      </c>
      <c r="E32" s="3" t="n">
        <v>2</v>
      </c>
      <c r="F32" s="24" t="n">
        <v>-2.03021979</v>
      </c>
    </row>
    <row r="33" customFormat="false" ht="15" hidden="false" customHeight="false" outlineLevel="0" collapsed="false">
      <c r="A33" s="3" t="n">
        <v>32</v>
      </c>
      <c r="B33" s="3" t="n">
        <v>31</v>
      </c>
      <c r="C33" s="3" t="n">
        <v>0</v>
      </c>
      <c r="D33" s="3" t="n">
        <v>2</v>
      </c>
      <c r="E33" s="3" t="n">
        <v>3</v>
      </c>
      <c r="F33" s="24" t="n">
        <v>0.0427010953</v>
      </c>
    </row>
    <row r="34" customFormat="false" ht="15" hidden="false" customHeight="false" outlineLevel="0" collapsed="false">
      <c r="A34" s="3" t="n">
        <v>33</v>
      </c>
      <c r="B34" s="3" t="n">
        <v>32</v>
      </c>
      <c r="C34" s="3" t="n">
        <v>0</v>
      </c>
      <c r="D34" s="3" t="n">
        <v>2</v>
      </c>
      <c r="E34" s="3" t="n">
        <v>4</v>
      </c>
      <c r="F34" s="24" t="n">
        <v>3.63096952</v>
      </c>
    </row>
    <row r="35" customFormat="false" ht="15" hidden="false" customHeight="false" outlineLevel="0" collapsed="false">
      <c r="A35" s="3" t="n">
        <v>34</v>
      </c>
      <c r="B35" s="3" t="n">
        <v>33</v>
      </c>
      <c r="C35" s="3" t="n">
        <v>0</v>
      </c>
      <c r="D35" s="3" t="n">
        <v>2</v>
      </c>
      <c r="E35" s="3" t="n">
        <v>5</v>
      </c>
      <c r="F35" s="24" t="n">
        <v>1.68989277</v>
      </c>
    </row>
    <row r="36" customFormat="false" ht="15" hidden="false" customHeight="false" outlineLevel="0" collapsed="false">
      <c r="A36" s="3" t="n">
        <v>35</v>
      </c>
      <c r="B36" s="3" t="n">
        <v>34</v>
      </c>
      <c r="C36" s="3" t="n">
        <v>0</v>
      </c>
      <c r="D36" s="3" t="n">
        <v>2</v>
      </c>
      <c r="E36" s="3" t="n">
        <v>6</v>
      </c>
      <c r="F36" s="24" t="n">
        <v>0.795837581</v>
      </c>
    </row>
    <row r="37" customFormat="false" ht="15" hidden="false" customHeight="false" outlineLevel="0" collapsed="false">
      <c r="A37" s="3" t="n">
        <v>36</v>
      </c>
      <c r="B37" s="3" t="n">
        <v>35</v>
      </c>
      <c r="C37" s="3" t="n">
        <v>0</v>
      </c>
      <c r="D37" s="3" t="n">
        <v>2</v>
      </c>
      <c r="E37" s="3" t="n">
        <v>7</v>
      </c>
      <c r="F37" s="24" t="n">
        <v>0.368707508</v>
      </c>
    </row>
    <row r="38" customFormat="false" ht="15" hidden="false" customHeight="false" outlineLevel="0" collapsed="false">
      <c r="A38" s="3" t="n">
        <v>37</v>
      </c>
      <c r="B38" s="3" t="n">
        <v>36</v>
      </c>
      <c r="C38" s="3" t="n">
        <v>0</v>
      </c>
      <c r="D38" s="3" t="n">
        <v>2</v>
      </c>
      <c r="E38" s="3" t="n">
        <v>8</v>
      </c>
      <c r="F38" s="24" t="n">
        <v>0.348230004</v>
      </c>
    </row>
    <row r="39" customFormat="false" ht="15" hidden="false" customHeight="false" outlineLevel="0" collapsed="false">
      <c r="A39" s="3" t="n">
        <v>38</v>
      </c>
      <c r="B39" s="3" t="n">
        <v>37</v>
      </c>
      <c r="C39" s="3" t="n">
        <v>0</v>
      </c>
      <c r="D39" s="3" t="n">
        <v>2</v>
      </c>
      <c r="E39" s="3" t="n">
        <v>9</v>
      </c>
      <c r="F39" s="24" t="n">
        <v>0.798609138</v>
      </c>
    </row>
    <row r="40" customFormat="false" ht="15" hidden="false" customHeight="false" outlineLevel="0" collapsed="false">
      <c r="A40" s="3" t="n">
        <v>39</v>
      </c>
      <c r="B40" s="3" t="n">
        <v>38</v>
      </c>
      <c r="C40" s="3" t="n">
        <v>0</v>
      </c>
      <c r="D40" s="3" t="n">
        <v>2</v>
      </c>
      <c r="E40" s="3" t="n">
        <v>10</v>
      </c>
      <c r="F40" s="24" t="n">
        <v>1.61786973</v>
      </c>
    </row>
    <row r="41" customFormat="false" ht="15" hidden="false" customHeight="false" outlineLevel="0" collapsed="false">
      <c r="A41" s="3" t="n">
        <v>40</v>
      </c>
      <c r="B41" s="3" t="n">
        <v>39</v>
      </c>
      <c r="C41" s="3" t="n">
        <v>0</v>
      </c>
      <c r="D41" s="3" t="n">
        <v>2</v>
      </c>
      <c r="E41" s="3" t="n">
        <v>11</v>
      </c>
      <c r="F41" s="24" t="n">
        <v>0.732098877</v>
      </c>
    </row>
    <row r="42" customFormat="false" ht="15" hidden="false" customHeight="false" outlineLevel="0" collapsed="false">
      <c r="A42" s="3" t="n">
        <v>41</v>
      </c>
      <c r="B42" s="3" t="n">
        <v>40</v>
      </c>
      <c r="C42" s="3" t="n">
        <v>0</v>
      </c>
      <c r="D42" s="3" t="n">
        <v>2</v>
      </c>
      <c r="E42" s="3" t="n">
        <v>12</v>
      </c>
      <c r="F42" s="24" t="n">
        <v>0.66246438</v>
      </c>
    </row>
    <row r="43" customFormat="false" ht="15" hidden="false" customHeight="false" outlineLevel="0" collapsed="false">
      <c r="A43" s="3" t="n">
        <v>42</v>
      </c>
      <c r="B43" s="3" t="n">
        <v>41</v>
      </c>
      <c r="C43" s="3" t="n">
        <v>0</v>
      </c>
      <c r="D43" s="3" t="n">
        <v>2</v>
      </c>
      <c r="E43" s="3" t="n">
        <v>13</v>
      </c>
      <c r="F43" s="24" t="n">
        <v>0.342791796</v>
      </c>
    </row>
    <row r="44" customFormat="false" ht="15" hidden="false" customHeight="false" outlineLevel="0" collapsed="false">
      <c r="A44" s="3" t="n">
        <v>43</v>
      </c>
      <c r="B44" s="3" t="n">
        <v>42</v>
      </c>
      <c r="C44" s="3" t="n">
        <v>0</v>
      </c>
      <c r="D44" s="3" t="n">
        <v>3</v>
      </c>
      <c r="E44" s="3" t="n">
        <v>0</v>
      </c>
      <c r="F44" s="24" t="n">
        <v>0.411655962</v>
      </c>
    </row>
    <row r="45" customFormat="false" ht="15" hidden="false" customHeight="false" outlineLevel="0" collapsed="false">
      <c r="A45" s="3" t="n">
        <v>44</v>
      </c>
      <c r="B45" s="3" t="n">
        <v>43</v>
      </c>
      <c r="C45" s="3" t="n">
        <v>0</v>
      </c>
      <c r="D45" s="3" t="n">
        <v>3</v>
      </c>
      <c r="E45" s="3" t="n">
        <v>1</v>
      </c>
      <c r="F45" s="24" t="n">
        <v>-0.163258523</v>
      </c>
    </row>
    <row r="46" customFormat="false" ht="15" hidden="false" customHeight="false" outlineLevel="0" collapsed="false">
      <c r="A46" s="3" t="n">
        <v>45</v>
      </c>
      <c r="B46" s="3" t="n">
        <v>44</v>
      </c>
      <c r="C46" s="3" t="n">
        <v>0</v>
      </c>
      <c r="D46" s="3" t="n">
        <v>3</v>
      </c>
      <c r="E46" s="3" t="n">
        <v>2</v>
      </c>
      <c r="F46" s="24" t="n">
        <v>-5.51558113</v>
      </c>
    </row>
    <row r="47" customFormat="false" ht="15" hidden="false" customHeight="false" outlineLevel="0" collapsed="false">
      <c r="A47" s="3" t="n">
        <v>46</v>
      </c>
      <c r="B47" s="3" t="n">
        <v>45</v>
      </c>
      <c r="C47" s="3" t="n">
        <v>0</v>
      </c>
      <c r="D47" s="3" t="n">
        <v>3</v>
      </c>
      <c r="E47" s="3" t="n">
        <v>3</v>
      </c>
      <c r="F47" s="24" t="n">
        <v>-5.04280329</v>
      </c>
    </row>
    <row r="48" customFormat="false" ht="15" hidden="false" customHeight="false" outlineLevel="0" collapsed="false">
      <c r="A48" s="3" t="n">
        <v>47</v>
      </c>
      <c r="B48" s="3" t="n">
        <v>46</v>
      </c>
      <c r="C48" s="3" t="n">
        <v>0</v>
      </c>
      <c r="D48" s="3" t="n">
        <v>3</v>
      </c>
      <c r="E48" s="3" t="n">
        <v>4</v>
      </c>
      <c r="F48" s="24" t="n">
        <v>-2.71085429</v>
      </c>
    </row>
    <row r="49" customFormat="false" ht="15" hidden="false" customHeight="false" outlineLevel="0" collapsed="false">
      <c r="A49" s="3" t="n">
        <v>48</v>
      </c>
      <c r="B49" s="3" t="n">
        <v>47</v>
      </c>
      <c r="C49" s="3" t="n">
        <v>0</v>
      </c>
      <c r="D49" s="3" t="n">
        <v>3</v>
      </c>
      <c r="E49" s="3" t="n">
        <v>5</v>
      </c>
      <c r="F49" s="24" t="n">
        <v>-3.10785723</v>
      </c>
    </row>
    <row r="50" customFormat="false" ht="15" hidden="false" customHeight="false" outlineLevel="0" collapsed="false">
      <c r="A50" s="3" t="n">
        <v>49</v>
      </c>
      <c r="B50" s="3" t="n">
        <v>48</v>
      </c>
      <c r="C50" s="3" t="n">
        <v>0</v>
      </c>
      <c r="D50" s="3" t="n">
        <v>3</v>
      </c>
      <c r="E50" s="3" t="n">
        <v>6</v>
      </c>
      <c r="F50" s="24" t="n">
        <v>-2.48627567</v>
      </c>
    </row>
    <row r="51" customFormat="false" ht="15" hidden="false" customHeight="false" outlineLevel="0" collapsed="false">
      <c r="A51" s="3" t="n">
        <v>50</v>
      </c>
      <c r="B51" s="3" t="n">
        <v>49</v>
      </c>
      <c r="C51" s="3" t="n">
        <v>0</v>
      </c>
      <c r="D51" s="3" t="n">
        <v>3</v>
      </c>
      <c r="E51" s="3" t="n">
        <v>7</v>
      </c>
      <c r="F51" s="24" t="n">
        <v>-2.7364614</v>
      </c>
    </row>
    <row r="52" customFormat="false" ht="15" hidden="false" customHeight="false" outlineLevel="0" collapsed="false">
      <c r="A52" s="3" t="n">
        <v>51</v>
      </c>
      <c r="B52" s="3" t="n">
        <v>50</v>
      </c>
      <c r="C52" s="3" t="n">
        <v>0</v>
      </c>
      <c r="D52" s="3" t="n">
        <v>3</v>
      </c>
      <c r="E52" s="3" t="n">
        <v>8</v>
      </c>
      <c r="F52" s="24" t="n">
        <v>-2.80708885</v>
      </c>
    </row>
    <row r="53" customFormat="false" ht="15" hidden="false" customHeight="false" outlineLevel="0" collapsed="false">
      <c r="A53" s="3" t="n">
        <v>52</v>
      </c>
      <c r="B53" s="3" t="n">
        <v>51</v>
      </c>
      <c r="C53" s="3" t="n">
        <v>0</v>
      </c>
      <c r="D53" s="3" t="n">
        <v>3</v>
      </c>
      <c r="E53" s="3" t="n">
        <v>9</v>
      </c>
      <c r="F53" s="24" t="n">
        <v>-1.04555142</v>
      </c>
    </row>
    <row r="54" customFormat="false" ht="15" hidden="false" customHeight="false" outlineLevel="0" collapsed="false">
      <c r="A54" s="3" t="n">
        <v>53</v>
      </c>
      <c r="B54" s="3" t="n">
        <v>52</v>
      </c>
      <c r="C54" s="3" t="n">
        <v>0</v>
      </c>
      <c r="D54" s="3" t="n">
        <v>3</v>
      </c>
      <c r="E54" s="3" t="n">
        <v>10</v>
      </c>
      <c r="F54" s="24" t="n">
        <v>5.97832632</v>
      </c>
    </row>
    <row r="55" customFormat="false" ht="15" hidden="false" customHeight="false" outlineLevel="0" collapsed="false">
      <c r="A55" s="3" t="n">
        <v>54</v>
      </c>
      <c r="B55" s="3" t="n">
        <v>53</v>
      </c>
      <c r="C55" s="3" t="n">
        <v>0</v>
      </c>
      <c r="D55" s="3" t="n">
        <v>3</v>
      </c>
      <c r="E55" s="3" t="n">
        <v>11</v>
      </c>
      <c r="F55" s="24" t="n">
        <v>3.63369012</v>
      </c>
    </row>
    <row r="56" customFormat="false" ht="15" hidden="false" customHeight="false" outlineLevel="0" collapsed="false">
      <c r="A56" s="3" t="n">
        <v>55</v>
      </c>
      <c r="B56" s="3" t="n">
        <v>54</v>
      </c>
      <c r="C56" s="3" t="n">
        <v>0</v>
      </c>
      <c r="D56" s="3" t="n">
        <v>3</v>
      </c>
      <c r="E56" s="3" t="n">
        <v>12</v>
      </c>
      <c r="F56" s="24" t="n">
        <v>0.813200414</v>
      </c>
    </row>
    <row r="57" customFormat="false" ht="15" hidden="false" customHeight="false" outlineLevel="0" collapsed="false">
      <c r="A57" s="3" t="n">
        <v>56</v>
      </c>
      <c r="B57" s="3" t="n">
        <v>55</v>
      </c>
      <c r="C57" s="3" t="n">
        <v>0</v>
      </c>
      <c r="D57" s="3" t="n">
        <v>3</v>
      </c>
      <c r="E57" s="3" t="n">
        <v>13</v>
      </c>
      <c r="F57" s="24" t="n">
        <v>0.342791796</v>
      </c>
    </row>
    <row r="58" customFormat="false" ht="15" hidden="false" customHeight="false" outlineLevel="0" collapsed="false">
      <c r="A58" s="3" t="n">
        <v>57</v>
      </c>
      <c r="B58" s="3" t="n">
        <v>56</v>
      </c>
      <c r="C58" s="3" t="n">
        <v>0</v>
      </c>
      <c r="D58" s="3" t="n">
        <v>4</v>
      </c>
      <c r="E58" s="3" t="n">
        <v>0</v>
      </c>
      <c r="F58" s="24" t="n">
        <v>0.411655962</v>
      </c>
    </row>
    <row r="59" customFormat="false" ht="15" hidden="false" customHeight="false" outlineLevel="0" collapsed="false">
      <c r="A59" s="3" t="n">
        <v>58</v>
      </c>
      <c r="B59" s="3" t="n">
        <v>57</v>
      </c>
      <c r="C59" s="3" t="n">
        <v>0</v>
      </c>
      <c r="D59" s="3" t="n">
        <v>4</v>
      </c>
      <c r="E59" s="3" t="n">
        <v>1</v>
      </c>
      <c r="F59" s="24" t="n">
        <v>0.154896855</v>
      </c>
    </row>
    <row r="60" customFormat="false" ht="15" hidden="false" customHeight="false" outlineLevel="0" collapsed="false">
      <c r="A60" s="3" t="n">
        <v>59</v>
      </c>
      <c r="B60" s="3" t="n">
        <v>58</v>
      </c>
      <c r="C60" s="3" t="n">
        <v>0</v>
      </c>
      <c r="D60" s="3" t="n">
        <v>4</v>
      </c>
      <c r="E60" s="3" t="n">
        <v>2</v>
      </c>
      <c r="F60" s="24" t="n">
        <v>-5.7813735</v>
      </c>
    </row>
    <row r="61" customFormat="false" ht="15" hidden="false" customHeight="false" outlineLevel="0" collapsed="false">
      <c r="A61" s="3" t="n">
        <v>60</v>
      </c>
      <c r="B61" s="3" t="n">
        <v>59</v>
      </c>
      <c r="C61" s="3" t="n">
        <v>0</v>
      </c>
      <c r="D61" s="3" t="n">
        <v>4</v>
      </c>
      <c r="E61" s="3" t="n">
        <v>3</v>
      </c>
      <c r="F61" s="24" t="n">
        <v>-12.9316359</v>
      </c>
    </row>
    <row r="62" customFormat="false" ht="15" hidden="false" customHeight="false" outlineLevel="0" collapsed="false">
      <c r="A62" s="3" t="n">
        <v>61</v>
      </c>
      <c r="B62" s="3" t="n">
        <v>60</v>
      </c>
      <c r="C62" s="3" t="n">
        <v>0</v>
      </c>
      <c r="D62" s="3" t="n">
        <v>4</v>
      </c>
      <c r="E62" s="3" t="n">
        <v>4</v>
      </c>
      <c r="F62" s="24" t="n">
        <v>-14.0828896</v>
      </c>
    </row>
    <row r="63" customFormat="false" ht="15" hidden="false" customHeight="false" outlineLevel="0" collapsed="false">
      <c r="A63" s="3" t="n">
        <v>62</v>
      </c>
      <c r="B63" s="3" t="n">
        <v>61</v>
      </c>
      <c r="C63" s="3" t="n">
        <v>0</v>
      </c>
      <c r="D63" s="3" t="n">
        <v>4</v>
      </c>
      <c r="E63" s="3" t="n">
        <v>5</v>
      </c>
      <c r="F63" s="24" t="n">
        <v>-10.8683395</v>
      </c>
    </row>
    <row r="64" customFormat="false" ht="15" hidden="false" customHeight="false" outlineLevel="0" collapsed="false">
      <c r="A64" s="3" t="n">
        <v>63</v>
      </c>
      <c r="B64" s="3" t="n">
        <v>62</v>
      </c>
      <c r="C64" s="3" t="n">
        <v>0</v>
      </c>
      <c r="D64" s="3" t="n">
        <v>4</v>
      </c>
      <c r="E64" s="3" t="n">
        <v>6</v>
      </c>
      <c r="F64" s="24" t="n">
        <v>-9.30783367</v>
      </c>
    </row>
    <row r="65" customFormat="false" ht="15" hidden="false" customHeight="false" outlineLevel="0" collapsed="false">
      <c r="A65" s="3" t="n">
        <v>64</v>
      </c>
      <c r="B65" s="3" t="n">
        <v>63</v>
      </c>
      <c r="C65" s="3" t="n">
        <v>0</v>
      </c>
      <c r="D65" s="3" t="n">
        <v>4</v>
      </c>
      <c r="E65" s="3" t="n">
        <v>7</v>
      </c>
      <c r="F65" s="24" t="n">
        <v>-10.1345205</v>
      </c>
    </row>
    <row r="66" customFormat="false" ht="15" hidden="false" customHeight="false" outlineLevel="0" collapsed="false">
      <c r="A66" s="3" t="n">
        <v>65</v>
      </c>
      <c r="B66" s="3" t="n">
        <v>64</v>
      </c>
      <c r="C66" s="3" t="n">
        <v>0</v>
      </c>
      <c r="D66" s="3" t="n">
        <v>4</v>
      </c>
      <c r="E66" s="3" t="n">
        <v>8</v>
      </c>
      <c r="F66" s="24" t="n">
        <v>-10.9891615</v>
      </c>
    </row>
    <row r="67" customFormat="false" ht="15" hidden="false" customHeight="false" outlineLevel="0" collapsed="false">
      <c r="A67" s="3" t="n">
        <v>66</v>
      </c>
      <c r="B67" s="3" t="n">
        <v>65</v>
      </c>
      <c r="C67" s="3" t="n">
        <v>0</v>
      </c>
      <c r="D67" s="3" t="n">
        <v>4</v>
      </c>
      <c r="E67" s="3" t="n">
        <v>9</v>
      </c>
      <c r="F67" s="24" t="n">
        <v>-7.10143661</v>
      </c>
    </row>
    <row r="68" customFormat="false" ht="15" hidden="false" customHeight="false" outlineLevel="0" collapsed="false">
      <c r="A68" s="3" t="n">
        <v>67</v>
      </c>
      <c r="B68" s="3" t="n">
        <v>66</v>
      </c>
      <c r="C68" s="3" t="n">
        <v>0</v>
      </c>
      <c r="D68" s="3" t="n">
        <v>4</v>
      </c>
      <c r="E68" s="3" t="n">
        <v>10</v>
      </c>
      <c r="F68" s="24" t="n">
        <v>9.95975971</v>
      </c>
    </row>
    <row r="69" customFormat="false" ht="15" hidden="false" customHeight="false" outlineLevel="0" collapsed="false">
      <c r="A69" s="3" t="n">
        <v>68</v>
      </c>
      <c r="B69" s="3" t="n">
        <v>67</v>
      </c>
      <c r="C69" s="3" t="n">
        <v>0</v>
      </c>
      <c r="D69" s="3" t="n">
        <v>4</v>
      </c>
      <c r="E69" s="3" t="n">
        <v>11</v>
      </c>
      <c r="F69" s="24" t="n">
        <v>6.19198132</v>
      </c>
    </row>
    <row r="70" customFormat="false" ht="15" hidden="false" customHeight="false" outlineLevel="0" collapsed="false">
      <c r="A70" s="3" t="n">
        <v>69</v>
      </c>
      <c r="B70" s="3" t="n">
        <v>68</v>
      </c>
      <c r="C70" s="3" t="n">
        <v>0</v>
      </c>
      <c r="D70" s="3" t="n">
        <v>4</v>
      </c>
      <c r="E70" s="3" t="n">
        <v>12</v>
      </c>
      <c r="F70" s="24" t="n">
        <v>1.3198818</v>
      </c>
    </row>
    <row r="71" customFormat="false" ht="15" hidden="false" customHeight="false" outlineLevel="0" collapsed="false">
      <c r="A71" s="3" t="n">
        <v>70</v>
      </c>
      <c r="B71" s="3" t="n">
        <v>69</v>
      </c>
      <c r="C71" s="3" t="n">
        <v>0</v>
      </c>
      <c r="D71" s="3" t="n">
        <v>4</v>
      </c>
      <c r="E71" s="3" t="n">
        <v>13</v>
      </c>
      <c r="F71" s="24" t="n">
        <v>0.342791796</v>
      </c>
    </row>
    <row r="72" customFormat="false" ht="15" hidden="false" customHeight="false" outlineLevel="0" collapsed="false">
      <c r="A72" s="3" t="n">
        <v>71</v>
      </c>
      <c r="B72" s="3" t="n">
        <v>70</v>
      </c>
      <c r="C72" s="3" t="n">
        <v>0</v>
      </c>
      <c r="D72" s="3" t="n">
        <v>5</v>
      </c>
      <c r="E72" s="3" t="n">
        <v>0</v>
      </c>
      <c r="F72" s="24" t="n">
        <v>0.411655962</v>
      </c>
    </row>
    <row r="73" customFormat="false" ht="15" hidden="false" customHeight="false" outlineLevel="0" collapsed="false">
      <c r="A73" s="3" t="n">
        <v>72</v>
      </c>
      <c r="B73" s="3" t="n">
        <v>71</v>
      </c>
      <c r="C73" s="3" t="n">
        <v>0</v>
      </c>
      <c r="D73" s="3" t="n">
        <v>5</v>
      </c>
      <c r="E73" s="3" t="n">
        <v>1</v>
      </c>
      <c r="F73" s="24" t="n">
        <v>0.670438409</v>
      </c>
    </row>
    <row r="74" customFormat="false" ht="15" hidden="false" customHeight="false" outlineLevel="0" collapsed="false">
      <c r="A74" s="3" t="n">
        <v>73</v>
      </c>
      <c r="B74" s="3" t="n">
        <v>72</v>
      </c>
      <c r="C74" s="3" t="n">
        <v>0</v>
      </c>
      <c r="D74" s="3" t="n">
        <v>5</v>
      </c>
      <c r="E74" s="3" t="n">
        <v>2</v>
      </c>
      <c r="F74" s="24" t="n">
        <v>-2.09109855</v>
      </c>
    </row>
    <row r="75" customFormat="false" ht="15" hidden="false" customHeight="false" outlineLevel="0" collapsed="false">
      <c r="A75" s="3" t="n">
        <v>74</v>
      </c>
      <c r="B75" s="3" t="n">
        <v>73</v>
      </c>
      <c r="C75" s="3" t="n">
        <v>0</v>
      </c>
      <c r="D75" s="3" t="n">
        <v>5</v>
      </c>
      <c r="E75" s="3" t="n">
        <v>3</v>
      </c>
      <c r="F75" s="24" t="n">
        <v>-7.98490047</v>
      </c>
    </row>
    <row r="76" customFormat="false" ht="15" hidden="false" customHeight="false" outlineLevel="0" collapsed="false">
      <c r="A76" s="3" t="n">
        <v>75</v>
      </c>
      <c r="B76" s="3" t="n">
        <v>74</v>
      </c>
      <c r="C76" s="3" t="n">
        <v>0</v>
      </c>
      <c r="D76" s="3" t="n">
        <v>5</v>
      </c>
      <c r="E76" s="3" t="n">
        <v>4</v>
      </c>
      <c r="F76" s="24" t="n">
        <v>-12.0833588</v>
      </c>
    </row>
    <row r="77" customFormat="false" ht="15" hidden="false" customHeight="false" outlineLevel="0" collapsed="false">
      <c r="A77" s="3" t="n">
        <v>76</v>
      </c>
      <c r="B77" s="3" t="n">
        <v>75</v>
      </c>
      <c r="C77" s="3" t="n">
        <v>0</v>
      </c>
      <c r="D77" s="3" t="n">
        <v>5</v>
      </c>
      <c r="E77" s="3" t="n">
        <v>5</v>
      </c>
      <c r="F77" s="24" t="n">
        <v>-11.6167593</v>
      </c>
    </row>
    <row r="78" customFormat="false" ht="15" hidden="false" customHeight="false" outlineLevel="0" collapsed="false">
      <c r="A78" s="3" t="n">
        <v>77</v>
      </c>
      <c r="B78" s="3" t="n">
        <v>76</v>
      </c>
      <c r="C78" s="3" t="n">
        <v>0</v>
      </c>
      <c r="D78" s="3" t="n">
        <v>5</v>
      </c>
      <c r="E78" s="3" t="n">
        <v>6</v>
      </c>
      <c r="F78" s="24" t="n">
        <v>-10.3316412</v>
      </c>
    </row>
    <row r="79" customFormat="false" ht="15" hidden="false" customHeight="false" outlineLevel="0" collapsed="false">
      <c r="A79" s="3" t="n">
        <v>78</v>
      </c>
      <c r="B79" s="3" t="n">
        <v>77</v>
      </c>
      <c r="C79" s="3" t="n">
        <v>0</v>
      </c>
      <c r="D79" s="3" t="n">
        <v>5</v>
      </c>
      <c r="E79" s="3" t="n">
        <v>7</v>
      </c>
      <c r="F79" s="24" t="n">
        <v>-11.0190353</v>
      </c>
    </row>
    <row r="80" customFormat="false" ht="15" hidden="false" customHeight="false" outlineLevel="0" collapsed="false">
      <c r="A80" s="3" t="n">
        <v>79</v>
      </c>
      <c r="B80" s="3" t="n">
        <v>78</v>
      </c>
      <c r="C80" s="3" t="n">
        <v>0</v>
      </c>
      <c r="D80" s="3" t="n">
        <v>5</v>
      </c>
      <c r="E80" s="3" t="n">
        <v>8</v>
      </c>
      <c r="F80" s="24" t="n">
        <v>-13.6624613</v>
      </c>
    </row>
    <row r="81" customFormat="false" ht="15" hidden="false" customHeight="false" outlineLevel="0" collapsed="false">
      <c r="A81" s="3" t="n">
        <v>80</v>
      </c>
      <c r="B81" s="3" t="n">
        <v>79</v>
      </c>
      <c r="C81" s="3" t="n">
        <v>0</v>
      </c>
      <c r="D81" s="3" t="n">
        <v>5</v>
      </c>
      <c r="E81" s="3" t="n">
        <v>9</v>
      </c>
      <c r="F81" s="24" t="n">
        <v>-7.49247599</v>
      </c>
    </row>
    <row r="82" customFormat="false" ht="15" hidden="false" customHeight="false" outlineLevel="0" collapsed="false">
      <c r="A82" s="3" t="n">
        <v>81</v>
      </c>
      <c r="B82" s="3" t="n">
        <v>80</v>
      </c>
      <c r="C82" s="3" t="n">
        <v>0</v>
      </c>
      <c r="D82" s="3" t="n">
        <v>5</v>
      </c>
      <c r="E82" s="3" t="n">
        <v>10</v>
      </c>
      <c r="F82" s="24" t="n">
        <v>3.9299438</v>
      </c>
    </row>
    <row r="83" customFormat="false" ht="15" hidden="false" customHeight="false" outlineLevel="0" collapsed="false">
      <c r="A83" s="3" t="n">
        <v>82</v>
      </c>
      <c r="B83" s="3" t="n">
        <v>81</v>
      </c>
      <c r="C83" s="3" t="n">
        <v>0</v>
      </c>
      <c r="D83" s="3" t="n">
        <v>5</v>
      </c>
      <c r="E83" s="3" t="n">
        <v>11</v>
      </c>
      <c r="F83" s="24" t="n">
        <v>3.41870856</v>
      </c>
    </row>
    <row r="84" customFormat="false" ht="15" hidden="false" customHeight="false" outlineLevel="0" collapsed="false">
      <c r="A84" s="3" t="n">
        <v>83</v>
      </c>
      <c r="B84" s="3" t="n">
        <v>82</v>
      </c>
      <c r="C84" s="3" t="n">
        <v>0</v>
      </c>
      <c r="D84" s="3" t="n">
        <v>5</v>
      </c>
      <c r="E84" s="3" t="n">
        <v>12</v>
      </c>
      <c r="F84" s="24" t="n">
        <v>1.49327302</v>
      </c>
    </row>
    <row r="85" customFormat="false" ht="15" hidden="false" customHeight="false" outlineLevel="0" collapsed="false">
      <c r="A85" s="3" t="n">
        <v>84</v>
      </c>
      <c r="B85" s="3" t="n">
        <v>83</v>
      </c>
      <c r="C85" s="3" t="n">
        <v>0</v>
      </c>
      <c r="D85" s="3" t="n">
        <v>5</v>
      </c>
      <c r="E85" s="3" t="n">
        <v>13</v>
      </c>
      <c r="F85" s="24" t="n">
        <v>0.342791796</v>
      </c>
    </row>
    <row r="86" customFormat="false" ht="15" hidden="false" customHeight="false" outlineLevel="0" collapsed="false">
      <c r="A86" s="3" t="n">
        <v>85</v>
      </c>
      <c r="B86" s="3" t="n">
        <v>84</v>
      </c>
      <c r="C86" s="3" t="n">
        <v>0</v>
      </c>
      <c r="D86" s="3" t="n">
        <v>6</v>
      </c>
      <c r="E86" s="3" t="n">
        <v>0</v>
      </c>
      <c r="F86" s="24" t="n">
        <v>0.411655962</v>
      </c>
    </row>
    <row r="87" customFormat="false" ht="15" hidden="false" customHeight="false" outlineLevel="0" collapsed="false">
      <c r="A87" s="3" t="n">
        <v>86</v>
      </c>
      <c r="B87" s="3" t="n">
        <v>85</v>
      </c>
      <c r="C87" s="3" t="n">
        <v>0</v>
      </c>
      <c r="D87" s="3" t="n">
        <v>6</v>
      </c>
      <c r="E87" s="3" t="n">
        <v>1</v>
      </c>
      <c r="F87" s="24" t="n">
        <v>0.463885635</v>
      </c>
    </row>
    <row r="88" customFormat="false" ht="15" hidden="false" customHeight="false" outlineLevel="0" collapsed="false">
      <c r="A88" s="3" t="n">
        <v>87</v>
      </c>
      <c r="B88" s="3" t="n">
        <v>86</v>
      </c>
      <c r="C88" s="3" t="n">
        <v>0</v>
      </c>
      <c r="D88" s="3" t="n">
        <v>6</v>
      </c>
      <c r="E88" s="3" t="n">
        <v>2</v>
      </c>
      <c r="F88" s="24" t="n">
        <v>0.183970287</v>
      </c>
    </row>
    <row r="89" customFormat="false" ht="15" hidden="false" customHeight="false" outlineLevel="0" collapsed="false">
      <c r="A89" s="3" t="n">
        <v>88</v>
      </c>
      <c r="B89" s="3" t="n">
        <v>87</v>
      </c>
      <c r="C89" s="3" t="n">
        <v>0</v>
      </c>
      <c r="D89" s="3" t="n">
        <v>6</v>
      </c>
      <c r="E89" s="3" t="n">
        <v>3</v>
      </c>
      <c r="F89" s="24" t="n">
        <v>-0.26145485</v>
      </c>
    </row>
    <row r="90" customFormat="false" ht="15" hidden="false" customHeight="false" outlineLevel="0" collapsed="false">
      <c r="A90" s="3" t="n">
        <v>89</v>
      </c>
      <c r="B90" s="3" t="n">
        <v>88</v>
      </c>
      <c r="C90" s="3" t="n">
        <v>0</v>
      </c>
      <c r="D90" s="3" t="n">
        <v>6</v>
      </c>
      <c r="E90" s="3" t="n">
        <v>4</v>
      </c>
      <c r="F90" s="24" t="n">
        <v>-1.00118268</v>
      </c>
    </row>
    <row r="91" customFormat="false" ht="15" hidden="false" customHeight="false" outlineLevel="0" collapsed="false">
      <c r="A91" s="3" t="n">
        <v>90</v>
      </c>
      <c r="B91" s="3" t="n">
        <v>89</v>
      </c>
      <c r="C91" s="3" t="n">
        <v>0</v>
      </c>
      <c r="D91" s="3" t="n">
        <v>6</v>
      </c>
      <c r="E91" s="3" t="n">
        <v>5</v>
      </c>
      <c r="F91" s="24" t="n">
        <v>-1.86283934</v>
      </c>
    </row>
    <row r="92" customFormat="false" ht="15" hidden="false" customHeight="false" outlineLevel="0" collapsed="false">
      <c r="A92" s="3" t="n">
        <v>91</v>
      </c>
      <c r="B92" s="3" t="n">
        <v>90</v>
      </c>
      <c r="C92" s="3" t="n">
        <v>0</v>
      </c>
      <c r="D92" s="3" t="n">
        <v>6</v>
      </c>
      <c r="E92" s="3" t="n">
        <v>6</v>
      </c>
      <c r="F92" s="24" t="n">
        <v>-2.93467832</v>
      </c>
    </row>
    <row r="93" customFormat="false" ht="15" hidden="false" customHeight="false" outlineLevel="0" collapsed="false">
      <c r="A93" s="3" t="n">
        <v>92</v>
      </c>
      <c r="B93" s="3" t="n">
        <v>91</v>
      </c>
      <c r="C93" s="3" t="n">
        <v>0</v>
      </c>
      <c r="D93" s="3" t="n">
        <v>6</v>
      </c>
      <c r="E93" s="3" t="n">
        <v>7</v>
      </c>
      <c r="F93" s="24" t="n">
        <v>-7.25660563</v>
      </c>
    </row>
    <row r="94" customFormat="false" ht="15" hidden="false" customHeight="false" outlineLevel="0" collapsed="false">
      <c r="A94" s="3" t="n">
        <v>93</v>
      </c>
      <c r="B94" s="3" t="n">
        <v>92</v>
      </c>
      <c r="C94" s="3" t="n">
        <v>0</v>
      </c>
      <c r="D94" s="3" t="n">
        <v>6</v>
      </c>
      <c r="E94" s="3" t="n">
        <v>8</v>
      </c>
      <c r="F94" s="24" t="n">
        <v>-8.4797802</v>
      </c>
    </row>
    <row r="95" customFormat="false" ht="15" hidden="false" customHeight="false" outlineLevel="0" collapsed="false">
      <c r="A95" s="3" t="n">
        <v>94</v>
      </c>
      <c r="B95" s="3" t="n">
        <v>93</v>
      </c>
      <c r="C95" s="3" t="n">
        <v>0</v>
      </c>
      <c r="D95" s="3" t="n">
        <v>6</v>
      </c>
      <c r="E95" s="3" t="n">
        <v>9</v>
      </c>
      <c r="F95" s="24" t="n">
        <v>-3.82060957</v>
      </c>
    </row>
    <row r="96" customFormat="false" ht="15" hidden="false" customHeight="false" outlineLevel="0" collapsed="false">
      <c r="A96" s="3" t="n">
        <v>95</v>
      </c>
      <c r="B96" s="3" t="n">
        <v>94</v>
      </c>
      <c r="C96" s="3" t="n">
        <v>0</v>
      </c>
      <c r="D96" s="3" t="n">
        <v>6</v>
      </c>
      <c r="E96" s="3" t="n">
        <v>10</v>
      </c>
      <c r="F96" s="24" t="n">
        <v>-3.07375765</v>
      </c>
    </row>
    <row r="97" customFormat="false" ht="15" hidden="false" customHeight="false" outlineLevel="0" collapsed="false">
      <c r="A97" s="3" t="n">
        <v>96</v>
      </c>
      <c r="B97" s="3" t="n">
        <v>95</v>
      </c>
      <c r="C97" s="3" t="n">
        <v>0</v>
      </c>
      <c r="D97" s="3" t="n">
        <v>6</v>
      </c>
      <c r="E97" s="3" t="n">
        <v>11</v>
      </c>
      <c r="F97" s="24" t="n">
        <v>-0.202213794</v>
      </c>
    </row>
    <row r="98" customFormat="false" ht="15" hidden="false" customHeight="false" outlineLevel="0" collapsed="false">
      <c r="A98" s="3" t="n">
        <v>97</v>
      </c>
      <c r="B98" s="3" t="n">
        <v>96</v>
      </c>
      <c r="C98" s="3" t="n">
        <v>0</v>
      </c>
      <c r="D98" s="3" t="n">
        <v>6</v>
      </c>
      <c r="E98" s="3" t="n">
        <v>12</v>
      </c>
      <c r="F98" s="24" t="n">
        <v>0.524353564</v>
      </c>
    </row>
    <row r="99" customFormat="false" ht="15" hidden="false" customHeight="false" outlineLevel="0" collapsed="false">
      <c r="A99" s="3" t="n">
        <v>98</v>
      </c>
      <c r="B99" s="3" t="n">
        <v>97</v>
      </c>
      <c r="C99" s="3" t="n">
        <v>0</v>
      </c>
      <c r="D99" s="3" t="n">
        <v>6</v>
      </c>
      <c r="E99" s="3" t="n">
        <v>13</v>
      </c>
      <c r="F99" s="24" t="n">
        <v>0.342791796</v>
      </c>
    </row>
    <row r="100" customFormat="false" ht="15" hidden="false" customHeight="false" outlineLevel="0" collapsed="false">
      <c r="A100" s="3" t="n">
        <v>99</v>
      </c>
      <c r="B100" s="3" t="n">
        <v>98</v>
      </c>
      <c r="C100" s="3" t="n">
        <v>0</v>
      </c>
      <c r="D100" s="3" t="n">
        <v>7</v>
      </c>
      <c r="E100" s="3" t="n">
        <v>0</v>
      </c>
      <c r="F100" s="24" t="n">
        <v>0.411655962</v>
      </c>
    </row>
    <row r="101" customFormat="false" ht="15" hidden="false" customHeight="false" outlineLevel="0" collapsed="false">
      <c r="A101" s="3" t="n">
        <v>100</v>
      </c>
      <c r="B101" s="3" t="n">
        <v>99</v>
      </c>
      <c r="C101" s="3" t="n">
        <v>0</v>
      </c>
      <c r="D101" s="3" t="n">
        <v>7</v>
      </c>
      <c r="E101" s="3" t="n">
        <v>1</v>
      </c>
      <c r="F101" s="24" t="n">
        <v>0.474261254</v>
      </c>
    </row>
    <row r="102" customFormat="false" ht="15" hidden="false" customHeight="false" outlineLevel="0" collapsed="false">
      <c r="A102" s="3" t="n">
        <v>101</v>
      </c>
      <c r="B102" s="3" t="n">
        <v>100</v>
      </c>
      <c r="C102" s="3" t="n">
        <v>0</v>
      </c>
      <c r="D102" s="3" t="n">
        <v>7</v>
      </c>
      <c r="E102" s="3" t="n">
        <v>2</v>
      </c>
      <c r="F102" s="24" t="n">
        <v>0.316527247</v>
      </c>
    </row>
    <row r="103" customFormat="false" ht="15" hidden="false" customHeight="false" outlineLevel="0" collapsed="false">
      <c r="A103" s="3" t="n">
        <v>102</v>
      </c>
      <c r="B103" s="3" t="n">
        <v>101</v>
      </c>
      <c r="C103" s="3" t="n">
        <v>0</v>
      </c>
      <c r="D103" s="3" t="n">
        <v>7</v>
      </c>
      <c r="E103" s="3" t="n">
        <v>3</v>
      </c>
      <c r="F103" s="24" t="n">
        <v>0.316527247</v>
      </c>
    </row>
    <row r="104" customFormat="false" ht="15" hidden="false" customHeight="false" outlineLevel="0" collapsed="false">
      <c r="A104" s="3" t="n">
        <v>103</v>
      </c>
      <c r="B104" s="3" t="n">
        <v>102</v>
      </c>
      <c r="C104" s="3" t="n">
        <v>0</v>
      </c>
      <c r="D104" s="3" t="n">
        <v>7</v>
      </c>
      <c r="E104" s="3" t="n">
        <v>4</v>
      </c>
      <c r="F104" s="24" t="n">
        <v>0.316527247</v>
      </c>
    </row>
    <row r="105" customFormat="false" ht="15" hidden="false" customHeight="false" outlineLevel="0" collapsed="false">
      <c r="A105" s="3" t="n">
        <v>104</v>
      </c>
      <c r="B105" s="3" t="n">
        <v>103</v>
      </c>
      <c r="C105" s="3" t="n">
        <v>0</v>
      </c>
      <c r="D105" s="3" t="n">
        <v>7</v>
      </c>
      <c r="E105" s="3" t="n">
        <v>5</v>
      </c>
      <c r="F105" s="24" t="n">
        <v>0.151979864</v>
      </c>
    </row>
    <row r="106" customFormat="false" ht="15" hidden="false" customHeight="false" outlineLevel="0" collapsed="false">
      <c r="A106" s="3" t="n">
        <v>105</v>
      </c>
      <c r="B106" s="3" t="n">
        <v>104</v>
      </c>
      <c r="C106" s="3" t="n">
        <v>0</v>
      </c>
      <c r="D106" s="3" t="n">
        <v>7</v>
      </c>
      <c r="E106" s="3" t="n">
        <v>6</v>
      </c>
      <c r="F106" s="24" t="n">
        <v>-1.35119653</v>
      </c>
    </row>
    <row r="107" customFormat="false" ht="15" hidden="false" customHeight="false" outlineLevel="0" collapsed="false">
      <c r="A107" s="3" t="n">
        <v>106</v>
      </c>
      <c r="B107" s="3" t="n">
        <v>105</v>
      </c>
      <c r="C107" s="3" t="n">
        <v>0</v>
      </c>
      <c r="D107" s="3" t="n">
        <v>7</v>
      </c>
      <c r="E107" s="3" t="n">
        <v>7</v>
      </c>
      <c r="F107" s="24" t="n">
        <v>-5.76745939</v>
      </c>
    </row>
    <row r="108" customFormat="false" ht="15" hidden="false" customHeight="false" outlineLevel="0" collapsed="false">
      <c r="A108" s="3" t="n">
        <v>107</v>
      </c>
      <c r="B108" s="3" t="n">
        <v>106</v>
      </c>
      <c r="C108" s="3" t="n">
        <v>0</v>
      </c>
      <c r="D108" s="3" t="n">
        <v>7</v>
      </c>
      <c r="E108" s="3" t="n">
        <v>8</v>
      </c>
      <c r="F108" s="24" t="n">
        <v>-5.2929883</v>
      </c>
    </row>
    <row r="109" customFormat="false" ht="15" hidden="false" customHeight="false" outlineLevel="0" collapsed="false">
      <c r="A109" s="3" t="n">
        <v>108</v>
      </c>
      <c r="B109" s="3" t="n">
        <v>107</v>
      </c>
      <c r="C109" s="3" t="n">
        <v>0</v>
      </c>
      <c r="D109" s="3" t="n">
        <v>7</v>
      </c>
      <c r="E109" s="3" t="n">
        <v>9</v>
      </c>
      <c r="F109" s="24" t="n">
        <v>-2.70325756</v>
      </c>
    </row>
    <row r="110" customFormat="false" ht="15" hidden="false" customHeight="false" outlineLevel="0" collapsed="false">
      <c r="A110" s="3" t="n">
        <v>109</v>
      </c>
      <c r="B110" s="3" t="n">
        <v>108</v>
      </c>
      <c r="C110" s="3" t="n">
        <v>0</v>
      </c>
      <c r="D110" s="3" t="n">
        <v>7</v>
      </c>
      <c r="E110" s="3" t="n">
        <v>10</v>
      </c>
      <c r="F110" s="24" t="n">
        <v>-1.92886341</v>
      </c>
    </row>
    <row r="111" customFormat="false" ht="15" hidden="false" customHeight="false" outlineLevel="0" collapsed="false">
      <c r="A111" s="3" t="n">
        <v>110</v>
      </c>
      <c r="B111" s="3" t="n">
        <v>109</v>
      </c>
      <c r="C111" s="3" t="n">
        <v>0</v>
      </c>
      <c r="D111" s="3" t="n">
        <v>7</v>
      </c>
      <c r="E111" s="3" t="n">
        <v>11</v>
      </c>
      <c r="F111" s="24" t="n">
        <v>0.405309498</v>
      </c>
    </row>
    <row r="112" customFormat="false" ht="15" hidden="false" customHeight="false" outlineLevel="0" collapsed="false">
      <c r="A112" s="3" t="n">
        <v>111</v>
      </c>
      <c r="B112" s="3" t="n">
        <v>110</v>
      </c>
      <c r="C112" s="3" t="n">
        <v>0</v>
      </c>
      <c r="D112" s="3" t="n">
        <v>7</v>
      </c>
      <c r="E112" s="3" t="n">
        <v>12</v>
      </c>
      <c r="F112" s="24" t="n">
        <v>0.645047963</v>
      </c>
    </row>
    <row r="113" customFormat="false" ht="15" hidden="false" customHeight="false" outlineLevel="0" collapsed="false">
      <c r="A113" s="3" t="n">
        <v>112</v>
      </c>
      <c r="B113" s="3" t="n">
        <v>111</v>
      </c>
      <c r="C113" s="3" t="n">
        <v>0</v>
      </c>
      <c r="D113" s="3" t="n">
        <v>7</v>
      </c>
      <c r="E113" s="3" t="n">
        <v>13</v>
      </c>
      <c r="F113" s="24" t="n">
        <v>0.342791796</v>
      </c>
    </row>
    <row r="114" customFormat="false" ht="15" hidden="false" customHeight="false" outlineLevel="0" collapsed="false">
      <c r="A114" s="3" t="n">
        <v>113</v>
      </c>
      <c r="B114" s="3" t="n">
        <v>112</v>
      </c>
      <c r="C114" s="3" t="n">
        <v>0</v>
      </c>
      <c r="D114" s="3" t="n">
        <v>8</v>
      </c>
      <c r="E114" s="3" t="n">
        <v>0</v>
      </c>
      <c r="F114" s="24" t="n">
        <v>0.411655962</v>
      </c>
    </row>
    <row r="115" customFormat="false" ht="15" hidden="false" customHeight="false" outlineLevel="0" collapsed="false">
      <c r="A115" s="3" t="n">
        <v>114</v>
      </c>
      <c r="B115" s="3" t="n">
        <v>113</v>
      </c>
      <c r="C115" s="3" t="n">
        <v>0</v>
      </c>
      <c r="D115" s="3" t="n">
        <v>8</v>
      </c>
      <c r="E115" s="3" t="n">
        <v>1</v>
      </c>
      <c r="F115" s="24" t="n">
        <v>0.474261254</v>
      </c>
    </row>
    <row r="116" customFormat="false" ht="15" hidden="false" customHeight="false" outlineLevel="0" collapsed="false">
      <c r="A116" s="3" t="n">
        <v>115</v>
      </c>
      <c r="B116" s="3" t="n">
        <v>114</v>
      </c>
      <c r="C116" s="3" t="n">
        <v>0</v>
      </c>
      <c r="D116" s="3" t="n">
        <v>8</v>
      </c>
      <c r="E116" s="3" t="n">
        <v>2</v>
      </c>
      <c r="F116" s="24" t="n">
        <v>0.316527247</v>
      </c>
    </row>
    <row r="117" customFormat="false" ht="15" hidden="false" customHeight="false" outlineLevel="0" collapsed="false">
      <c r="A117" s="3" t="n">
        <v>116</v>
      </c>
      <c r="B117" s="3" t="n">
        <v>115</v>
      </c>
      <c r="C117" s="3" t="n">
        <v>0</v>
      </c>
      <c r="D117" s="3" t="n">
        <v>8</v>
      </c>
      <c r="E117" s="3" t="n">
        <v>3</v>
      </c>
      <c r="F117" s="24" t="n">
        <v>0.316527247</v>
      </c>
    </row>
    <row r="118" customFormat="false" ht="15" hidden="false" customHeight="false" outlineLevel="0" collapsed="false">
      <c r="A118" s="3" t="n">
        <v>117</v>
      </c>
      <c r="B118" s="3" t="n">
        <v>116</v>
      </c>
      <c r="C118" s="3" t="n">
        <v>0</v>
      </c>
      <c r="D118" s="3" t="n">
        <v>8</v>
      </c>
      <c r="E118" s="3" t="n">
        <v>4</v>
      </c>
      <c r="F118" s="24" t="n">
        <v>0.313828081</v>
      </c>
    </row>
    <row r="119" customFormat="false" ht="15" hidden="false" customHeight="false" outlineLevel="0" collapsed="false">
      <c r="A119" s="3" t="n">
        <v>118</v>
      </c>
      <c r="B119" s="3" t="n">
        <v>117</v>
      </c>
      <c r="C119" s="3" t="n">
        <v>0</v>
      </c>
      <c r="D119" s="3" t="n">
        <v>8</v>
      </c>
      <c r="E119" s="3" t="n">
        <v>5</v>
      </c>
      <c r="F119" s="24" t="n">
        <v>-0.793627501</v>
      </c>
    </row>
    <row r="120" customFormat="false" ht="15" hidden="false" customHeight="false" outlineLevel="0" collapsed="false">
      <c r="A120" s="3" t="n">
        <v>119</v>
      </c>
      <c r="B120" s="3" t="n">
        <v>118</v>
      </c>
      <c r="C120" s="3" t="n">
        <v>0</v>
      </c>
      <c r="D120" s="3" t="n">
        <v>8</v>
      </c>
      <c r="E120" s="3" t="n">
        <v>6</v>
      </c>
      <c r="F120" s="24" t="n">
        <v>-3.60048246</v>
      </c>
    </row>
    <row r="121" customFormat="false" ht="15" hidden="false" customHeight="false" outlineLevel="0" collapsed="false">
      <c r="A121" s="3" t="n">
        <v>120</v>
      </c>
      <c r="B121" s="3" t="n">
        <v>119</v>
      </c>
      <c r="C121" s="3" t="n">
        <v>0</v>
      </c>
      <c r="D121" s="3" t="n">
        <v>8</v>
      </c>
      <c r="E121" s="3" t="n">
        <v>7</v>
      </c>
      <c r="F121" s="24" t="n">
        <v>-3.76811838</v>
      </c>
    </row>
    <row r="122" customFormat="false" ht="15" hidden="false" customHeight="false" outlineLevel="0" collapsed="false">
      <c r="A122" s="3" t="n">
        <v>121</v>
      </c>
      <c r="B122" s="3" t="n">
        <v>120</v>
      </c>
      <c r="C122" s="3" t="n">
        <v>0</v>
      </c>
      <c r="D122" s="3" t="n">
        <v>8</v>
      </c>
      <c r="E122" s="3" t="n">
        <v>8</v>
      </c>
      <c r="F122" s="24" t="n">
        <v>-2.211164</v>
      </c>
    </row>
    <row r="123" customFormat="false" ht="15" hidden="false" customHeight="false" outlineLevel="0" collapsed="false">
      <c r="A123" s="3" t="n">
        <v>122</v>
      </c>
      <c r="B123" s="3" t="n">
        <v>121</v>
      </c>
      <c r="C123" s="3" t="n">
        <v>0</v>
      </c>
      <c r="D123" s="3" t="n">
        <v>8</v>
      </c>
      <c r="E123" s="3" t="n">
        <v>9</v>
      </c>
      <c r="F123" s="24" t="n">
        <v>-2.70290899</v>
      </c>
    </row>
    <row r="124" customFormat="false" ht="15" hidden="false" customHeight="false" outlineLevel="0" collapsed="false">
      <c r="A124" s="3" t="n">
        <v>123</v>
      </c>
      <c r="B124" s="3" t="n">
        <v>122</v>
      </c>
      <c r="C124" s="3" t="n">
        <v>0</v>
      </c>
      <c r="D124" s="3" t="n">
        <v>8</v>
      </c>
      <c r="E124" s="3" t="n">
        <v>10</v>
      </c>
      <c r="F124" s="24" t="n">
        <v>-0.492245644</v>
      </c>
    </row>
    <row r="125" customFormat="false" ht="15" hidden="false" customHeight="false" outlineLevel="0" collapsed="false">
      <c r="A125" s="3" t="n">
        <v>124</v>
      </c>
      <c r="B125" s="3" t="n">
        <v>123</v>
      </c>
      <c r="C125" s="3" t="n">
        <v>0</v>
      </c>
      <c r="D125" s="3" t="n">
        <v>8</v>
      </c>
      <c r="E125" s="3" t="n">
        <v>11</v>
      </c>
      <c r="F125" s="24" t="n">
        <v>0.0237534046</v>
      </c>
    </row>
    <row r="126" customFormat="false" ht="15" hidden="false" customHeight="false" outlineLevel="0" collapsed="false">
      <c r="A126" s="3" t="n">
        <v>125</v>
      </c>
      <c r="B126" s="3" t="n">
        <v>124</v>
      </c>
      <c r="C126" s="3" t="n">
        <v>0</v>
      </c>
      <c r="D126" s="3" t="n">
        <v>8</v>
      </c>
      <c r="E126" s="3" t="n">
        <v>12</v>
      </c>
      <c r="F126" s="24" t="n">
        <v>0.659375548</v>
      </c>
    </row>
    <row r="127" customFormat="false" ht="15" hidden="false" customHeight="false" outlineLevel="0" collapsed="false">
      <c r="A127" s="3" t="n">
        <v>126</v>
      </c>
      <c r="B127" s="3" t="n">
        <v>125</v>
      </c>
      <c r="C127" s="3" t="n">
        <v>0</v>
      </c>
      <c r="D127" s="3" t="n">
        <v>8</v>
      </c>
      <c r="E127" s="3" t="n">
        <v>13</v>
      </c>
      <c r="F127" s="24" t="n">
        <v>0.342791796</v>
      </c>
    </row>
    <row r="128" customFormat="false" ht="15" hidden="false" customHeight="false" outlineLevel="0" collapsed="false">
      <c r="A128" s="3" t="n">
        <v>127</v>
      </c>
      <c r="B128" s="3" t="n">
        <v>126</v>
      </c>
      <c r="C128" s="3" t="n">
        <v>0</v>
      </c>
      <c r="D128" s="3" t="n">
        <v>9</v>
      </c>
      <c r="E128" s="3" t="n">
        <v>0</v>
      </c>
      <c r="F128" s="24" t="n">
        <v>0.411655962</v>
      </c>
    </row>
    <row r="129" customFormat="false" ht="15" hidden="false" customHeight="false" outlineLevel="0" collapsed="false">
      <c r="A129" s="3" t="n">
        <v>128</v>
      </c>
      <c r="B129" s="3" t="n">
        <v>127</v>
      </c>
      <c r="C129" s="3" t="n">
        <v>0</v>
      </c>
      <c r="D129" s="3" t="n">
        <v>9</v>
      </c>
      <c r="E129" s="3" t="n">
        <v>1</v>
      </c>
      <c r="F129" s="24" t="n">
        <v>0.474261254</v>
      </c>
    </row>
    <row r="130" customFormat="false" ht="15" hidden="false" customHeight="false" outlineLevel="0" collapsed="false">
      <c r="A130" s="3" t="n">
        <v>129</v>
      </c>
      <c r="B130" s="3" t="n">
        <v>128</v>
      </c>
      <c r="C130" s="3" t="n">
        <v>0</v>
      </c>
      <c r="D130" s="3" t="n">
        <v>9</v>
      </c>
      <c r="E130" s="3" t="n">
        <v>2</v>
      </c>
      <c r="F130" s="24" t="n">
        <v>0.316527247</v>
      </c>
    </row>
    <row r="131" customFormat="false" ht="15" hidden="false" customHeight="false" outlineLevel="0" collapsed="false">
      <c r="A131" s="3" t="n">
        <v>130</v>
      </c>
      <c r="B131" s="3" t="n">
        <v>129</v>
      </c>
      <c r="C131" s="3" t="n">
        <v>0</v>
      </c>
      <c r="D131" s="3" t="n">
        <v>9</v>
      </c>
      <c r="E131" s="3" t="n">
        <v>3</v>
      </c>
      <c r="F131" s="24" t="n">
        <v>0.316527247</v>
      </c>
    </row>
    <row r="132" customFormat="false" ht="15" hidden="false" customHeight="false" outlineLevel="0" collapsed="false">
      <c r="A132" s="3" t="n">
        <v>131</v>
      </c>
      <c r="B132" s="3" t="n">
        <v>130</v>
      </c>
      <c r="C132" s="3" t="n">
        <v>0</v>
      </c>
      <c r="D132" s="3" t="n">
        <v>9</v>
      </c>
      <c r="E132" s="3" t="n">
        <v>4</v>
      </c>
      <c r="F132" s="24" t="n">
        <v>-0.138002664</v>
      </c>
    </row>
    <row r="133" customFormat="false" ht="15" hidden="false" customHeight="false" outlineLevel="0" collapsed="false">
      <c r="A133" s="3" t="n">
        <v>132</v>
      </c>
      <c r="B133" s="3" t="n">
        <v>131</v>
      </c>
      <c r="C133" s="3" t="n">
        <v>0</v>
      </c>
      <c r="D133" s="3" t="n">
        <v>9</v>
      </c>
      <c r="E133" s="3" t="n">
        <v>5</v>
      </c>
      <c r="F133" s="24" t="n">
        <v>-3.46506238</v>
      </c>
    </row>
    <row r="134" customFormat="false" ht="15" hidden="false" customHeight="false" outlineLevel="0" collapsed="false">
      <c r="A134" s="3" t="n">
        <v>133</v>
      </c>
      <c r="B134" s="3" t="n">
        <v>132</v>
      </c>
      <c r="C134" s="3" t="n">
        <v>0</v>
      </c>
      <c r="D134" s="3" t="n">
        <v>9</v>
      </c>
      <c r="E134" s="3" t="n">
        <v>6</v>
      </c>
      <c r="F134" s="24" t="n">
        <v>-5.81100988</v>
      </c>
    </row>
    <row r="135" customFormat="false" ht="15" hidden="false" customHeight="false" outlineLevel="0" collapsed="false">
      <c r="A135" s="3" t="n">
        <v>134</v>
      </c>
      <c r="B135" s="3" t="n">
        <v>133</v>
      </c>
      <c r="C135" s="3" t="n">
        <v>0</v>
      </c>
      <c r="D135" s="3" t="n">
        <v>9</v>
      </c>
      <c r="E135" s="3" t="n">
        <v>7</v>
      </c>
      <c r="F135" s="24" t="n">
        <v>-2.98354173</v>
      </c>
    </row>
    <row r="136" customFormat="false" ht="15" hidden="false" customHeight="false" outlineLevel="0" collapsed="false">
      <c r="A136" s="3" t="n">
        <v>135</v>
      </c>
      <c r="B136" s="3" t="n">
        <v>134</v>
      </c>
      <c r="C136" s="3" t="n">
        <v>0</v>
      </c>
      <c r="D136" s="3" t="n">
        <v>9</v>
      </c>
      <c r="E136" s="3" t="n">
        <v>8</v>
      </c>
      <c r="F136" s="24" t="n">
        <v>-4.82578373</v>
      </c>
    </row>
    <row r="137" customFormat="false" ht="15" hidden="false" customHeight="false" outlineLevel="0" collapsed="false">
      <c r="A137" s="3" t="n">
        <v>136</v>
      </c>
      <c r="B137" s="3" t="n">
        <v>135</v>
      </c>
      <c r="C137" s="3" t="n">
        <v>0</v>
      </c>
      <c r="D137" s="3" t="n">
        <v>9</v>
      </c>
      <c r="E137" s="3" t="n">
        <v>9</v>
      </c>
      <c r="F137" s="24" t="n">
        <v>-2.22073555</v>
      </c>
    </row>
    <row r="138" customFormat="false" ht="15" hidden="false" customHeight="false" outlineLevel="0" collapsed="false">
      <c r="A138" s="3" t="n">
        <v>137</v>
      </c>
      <c r="B138" s="3" t="n">
        <v>136</v>
      </c>
      <c r="C138" s="3" t="n">
        <v>0</v>
      </c>
      <c r="D138" s="3" t="n">
        <v>9</v>
      </c>
      <c r="E138" s="3" t="n">
        <v>10</v>
      </c>
      <c r="F138" s="24" t="n">
        <v>0.254302472</v>
      </c>
    </row>
    <row r="139" customFormat="false" ht="15" hidden="false" customHeight="false" outlineLevel="0" collapsed="false">
      <c r="A139" s="3" t="n">
        <v>138</v>
      </c>
      <c r="B139" s="3" t="n">
        <v>137</v>
      </c>
      <c r="C139" s="3" t="n">
        <v>0</v>
      </c>
      <c r="D139" s="3" t="n">
        <v>9</v>
      </c>
      <c r="E139" s="3" t="n">
        <v>11</v>
      </c>
      <c r="F139" s="24" t="n">
        <v>0.314773709</v>
      </c>
    </row>
    <row r="140" customFormat="false" ht="15" hidden="false" customHeight="false" outlineLevel="0" collapsed="false">
      <c r="A140" s="3" t="n">
        <v>139</v>
      </c>
      <c r="B140" s="3" t="n">
        <v>138</v>
      </c>
      <c r="C140" s="3" t="n">
        <v>0</v>
      </c>
      <c r="D140" s="3" t="n">
        <v>9</v>
      </c>
      <c r="E140" s="3" t="n">
        <v>12</v>
      </c>
      <c r="F140" s="24" t="n">
        <v>0.659375548</v>
      </c>
    </row>
    <row r="141" customFormat="false" ht="15" hidden="false" customHeight="false" outlineLevel="0" collapsed="false">
      <c r="A141" s="3" t="n">
        <v>140</v>
      </c>
      <c r="B141" s="3" t="n">
        <v>139</v>
      </c>
      <c r="C141" s="3" t="n">
        <v>0</v>
      </c>
      <c r="D141" s="3" t="n">
        <v>9</v>
      </c>
      <c r="E141" s="3" t="n">
        <v>13</v>
      </c>
      <c r="F141" s="24" t="n">
        <v>0.342791796</v>
      </c>
    </row>
    <row r="142" customFormat="false" ht="15" hidden="false" customHeight="false" outlineLevel="0" collapsed="false">
      <c r="A142" s="3" t="n">
        <v>141</v>
      </c>
      <c r="B142" s="3" t="n">
        <v>140</v>
      </c>
      <c r="C142" s="3" t="n">
        <v>0</v>
      </c>
      <c r="D142" s="3" t="n">
        <v>10</v>
      </c>
      <c r="E142" s="3" t="n">
        <v>0</v>
      </c>
      <c r="F142" s="24" t="n">
        <v>0.411655962</v>
      </c>
    </row>
    <row r="143" customFormat="false" ht="15" hidden="false" customHeight="false" outlineLevel="0" collapsed="false">
      <c r="A143" s="3" t="n">
        <v>142</v>
      </c>
      <c r="B143" s="3" t="n">
        <v>141</v>
      </c>
      <c r="C143" s="3" t="n">
        <v>0</v>
      </c>
      <c r="D143" s="3" t="n">
        <v>10</v>
      </c>
      <c r="E143" s="3" t="n">
        <v>1</v>
      </c>
      <c r="F143" s="24" t="n">
        <v>0.474261254</v>
      </c>
    </row>
    <row r="144" customFormat="false" ht="15" hidden="false" customHeight="false" outlineLevel="0" collapsed="false">
      <c r="A144" s="3" t="n">
        <v>143</v>
      </c>
      <c r="B144" s="3" t="n">
        <v>142</v>
      </c>
      <c r="C144" s="3" t="n">
        <v>0</v>
      </c>
      <c r="D144" s="3" t="n">
        <v>10</v>
      </c>
      <c r="E144" s="3" t="n">
        <v>2</v>
      </c>
      <c r="F144" s="24" t="n">
        <v>0.316527247</v>
      </c>
    </row>
    <row r="145" customFormat="false" ht="15" hidden="false" customHeight="false" outlineLevel="0" collapsed="false">
      <c r="A145" s="3" t="n">
        <v>144</v>
      </c>
      <c r="B145" s="3" t="n">
        <v>143</v>
      </c>
      <c r="C145" s="3" t="n">
        <v>0</v>
      </c>
      <c r="D145" s="3" t="n">
        <v>10</v>
      </c>
      <c r="E145" s="3" t="n">
        <v>3</v>
      </c>
      <c r="F145" s="24" t="n">
        <v>0.184083089</v>
      </c>
    </row>
    <row r="146" customFormat="false" ht="15" hidden="false" customHeight="false" outlineLevel="0" collapsed="false">
      <c r="A146" s="3" t="n">
        <v>145</v>
      </c>
      <c r="B146" s="3" t="n">
        <v>144</v>
      </c>
      <c r="C146" s="3" t="n">
        <v>0</v>
      </c>
      <c r="D146" s="3" t="n">
        <v>10</v>
      </c>
      <c r="E146" s="3" t="n">
        <v>4</v>
      </c>
      <c r="F146" s="24" t="n">
        <v>-1.82733357</v>
      </c>
    </row>
    <row r="147" customFormat="false" ht="15" hidden="false" customHeight="false" outlineLevel="0" collapsed="false">
      <c r="A147" s="3" t="n">
        <v>146</v>
      </c>
      <c r="B147" s="3" t="n">
        <v>145</v>
      </c>
      <c r="C147" s="3" t="n">
        <v>0</v>
      </c>
      <c r="D147" s="3" t="n">
        <v>10</v>
      </c>
      <c r="E147" s="3" t="n">
        <v>5</v>
      </c>
      <c r="F147" s="24" t="n">
        <v>-6.30465746</v>
      </c>
    </row>
    <row r="148" customFormat="false" ht="15" hidden="false" customHeight="false" outlineLevel="0" collapsed="false">
      <c r="A148" s="3" t="n">
        <v>147</v>
      </c>
      <c r="B148" s="3" t="n">
        <v>146</v>
      </c>
      <c r="C148" s="3" t="n">
        <v>0</v>
      </c>
      <c r="D148" s="3" t="n">
        <v>10</v>
      </c>
      <c r="E148" s="3" t="n">
        <v>6</v>
      </c>
      <c r="F148" s="24" t="n">
        <v>-3.90485573</v>
      </c>
    </row>
    <row r="149" customFormat="false" ht="15" hidden="false" customHeight="false" outlineLevel="0" collapsed="false">
      <c r="A149" s="3" t="n">
        <v>148</v>
      </c>
      <c r="B149" s="3" t="n">
        <v>147</v>
      </c>
      <c r="C149" s="3" t="n">
        <v>0</v>
      </c>
      <c r="D149" s="3" t="n">
        <v>10</v>
      </c>
      <c r="E149" s="3" t="n">
        <v>7</v>
      </c>
      <c r="F149" s="24" t="n">
        <v>-3.15460014</v>
      </c>
    </row>
    <row r="150" customFormat="false" ht="15" hidden="false" customHeight="false" outlineLevel="0" collapsed="false">
      <c r="A150" s="3" t="n">
        <v>149</v>
      </c>
      <c r="B150" s="3" t="n">
        <v>148</v>
      </c>
      <c r="C150" s="3" t="n">
        <v>0</v>
      </c>
      <c r="D150" s="3" t="n">
        <v>10</v>
      </c>
      <c r="E150" s="3" t="n">
        <v>8</v>
      </c>
      <c r="F150" s="24" t="n">
        <v>-2.44015646</v>
      </c>
    </row>
    <row r="151" customFormat="false" ht="15" hidden="false" customHeight="false" outlineLevel="0" collapsed="false">
      <c r="A151" s="3" t="n">
        <v>150</v>
      </c>
      <c r="B151" s="3" t="n">
        <v>149</v>
      </c>
      <c r="C151" s="3" t="n">
        <v>0</v>
      </c>
      <c r="D151" s="3" t="n">
        <v>10</v>
      </c>
      <c r="E151" s="3" t="n">
        <v>9</v>
      </c>
      <c r="F151" s="24" t="n">
        <v>-0.108208746</v>
      </c>
    </row>
    <row r="152" customFormat="false" ht="15" hidden="false" customHeight="false" outlineLevel="0" collapsed="false">
      <c r="A152" s="3" t="n">
        <v>151</v>
      </c>
      <c r="B152" s="3" t="n">
        <v>150</v>
      </c>
      <c r="C152" s="3" t="n">
        <v>0</v>
      </c>
      <c r="D152" s="3" t="n">
        <v>10</v>
      </c>
      <c r="E152" s="3" t="n">
        <v>10</v>
      </c>
      <c r="F152" s="24" t="n">
        <v>0.138945043</v>
      </c>
    </row>
    <row r="153" customFormat="false" ht="15" hidden="false" customHeight="false" outlineLevel="0" collapsed="false">
      <c r="A153" s="3" t="n">
        <v>152</v>
      </c>
      <c r="B153" s="3" t="n">
        <v>151</v>
      </c>
      <c r="C153" s="3" t="n">
        <v>0</v>
      </c>
      <c r="D153" s="3" t="n">
        <v>10</v>
      </c>
      <c r="E153" s="3" t="n">
        <v>11</v>
      </c>
      <c r="F153" s="24" t="n">
        <v>0.316527247</v>
      </c>
    </row>
    <row r="154" customFormat="false" ht="15" hidden="false" customHeight="false" outlineLevel="0" collapsed="false">
      <c r="A154" s="3" t="n">
        <v>153</v>
      </c>
      <c r="B154" s="3" t="n">
        <v>152</v>
      </c>
      <c r="C154" s="3" t="n">
        <v>0</v>
      </c>
      <c r="D154" s="3" t="n">
        <v>10</v>
      </c>
      <c r="E154" s="3" t="n">
        <v>12</v>
      </c>
      <c r="F154" s="24" t="n">
        <v>0.659375548</v>
      </c>
    </row>
    <row r="155" customFormat="false" ht="15" hidden="false" customHeight="false" outlineLevel="0" collapsed="false">
      <c r="A155" s="3" t="n">
        <v>154</v>
      </c>
      <c r="B155" s="3" t="n">
        <v>153</v>
      </c>
      <c r="C155" s="3" t="n">
        <v>0</v>
      </c>
      <c r="D155" s="3" t="n">
        <v>10</v>
      </c>
      <c r="E155" s="3" t="n">
        <v>13</v>
      </c>
      <c r="F155" s="24" t="n">
        <v>0.342791796</v>
      </c>
    </row>
    <row r="156" customFormat="false" ht="15" hidden="false" customHeight="false" outlineLevel="0" collapsed="false">
      <c r="A156" s="3" t="n">
        <v>155</v>
      </c>
      <c r="B156" s="3" t="n">
        <v>154</v>
      </c>
      <c r="C156" s="3" t="n">
        <v>0</v>
      </c>
      <c r="D156" s="3" t="n">
        <v>11</v>
      </c>
      <c r="E156" s="3" t="n">
        <v>0</v>
      </c>
      <c r="F156" s="24" t="n">
        <v>0.411655962</v>
      </c>
    </row>
    <row r="157" customFormat="false" ht="15" hidden="false" customHeight="false" outlineLevel="0" collapsed="false">
      <c r="A157" s="3" t="n">
        <v>156</v>
      </c>
      <c r="B157" s="3" t="n">
        <v>155</v>
      </c>
      <c r="C157" s="3" t="n">
        <v>0</v>
      </c>
      <c r="D157" s="3" t="n">
        <v>11</v>
      </c>
      <c r="E157" s="3" t="n">
        <v>1</v>
      </c>
      <c r="F157" s="24" t="n">
        <v>0.474261254</v>
      </c>
    </row>
    <row r="158" customFormat="false" ht="15" hidden="false" customHeight="false" outlineLevel="0" collapsed="false">
      <c r="A158" s="3" t="n">
        <v>157</v>
      </c>
      <c r="B158" s="3" t="n">
        <v>156</v>
      </c>
      <c r="C158" s="3" t="n">
        <v>0</v>
      </c>
      <c r="D158" s="3" t="n">
        <v>11</v>
      </c>
      <c r="E158" s="3" t="n">
        <v>2</v>
      </c>
      <c r="F158" s="24" t="n">
        <v>0.316527247</v>
      </c>
    </row>
    <row r="159" customFormat="false" ht="15" hidden="false" customHeight="false" outlineLevel="0" collapsed="false">
      <c r="A159" s="3" t="n">
        <v>158</v>
      </c>
      <c r="B159" s="3" t="n">
        <v>157</v>
      </c>
      <c r="C159" s="3" t="n">
        <v>0</v>
      </c>
      <c r="D159" s="3" t="n">
        <v>11</v>
      </c>
      <c r="E159" s="3" t="n">
        <v>3</v>
      </c>
      <c r="F159" s="24" t="n">
        <v>0.23694998</v>
      </c>
    </row>
    <row r="160" customFormat="false" ht="15" hidden="false" customHeight="false" outlineLevel="0" collapsed="false">
      <c r="A160" s="3" t="n">
        <v>159</v>
      </c>
      <c r="B160" s="3" t="n">
        <v>158</v>
      </c>
      <c r="C160" s="3" t="n">
        <v>0</v>
      </c>
      <c r="D160" s="3" t="n">
        <v>11</v>
      </c>
      <c r="E160" s="3" t="n">
        <v>4</v>
      </c>
      <c r="F160" s="24" t="n">
        <v>-4.73402166</v>
      </c>
    </row>
    <row r="161" customFormat="false" ht="15" hidden="false" customHeight="false" outlineLevel="0" collapsed="false">
      <c r="A161" s="3" t="n">
        <v>160</v>
      </c>
      <c r="B161" s="3" t="n">
        <v>159</v>
      </c>
      <c r="C161" s="3" t="n">
        <v>0</v>
      </c>
      <c r="D161" s="3" t="n">
        <v>11</v>
      </c>
      <c r="E161" s="3" t="n">
        <v>5</v>
      </c>
      <c r="F161" s="24" t="n">
        <v>-8.88046741</v>
      </c>
    </row>
    <row r="162" customFormat="false" ht="15" hidden="false" customHeight="false" outlineLevel="0" collapsed="false">
      <c r="A162" s="3" t="n">
        <v>161</v>
      </c>
      <c r="B162" s="3" t="n">
        <v>160</v>
      </c>
      <c r="C162" s="3" t="n">
        <v>0</v>
      </c>
      <c r="D162" s="3" t="n">
        <v>11</v>
      </c>
      <c r="E162" s="3" t="n">
        <v>6</v>
      </c>
      <c r="F162" s="24" t="n">
        <v>-2.86877012</v>
      </c>
    </row>
    <row r="163" customFormat="false" ht="15" hidden="false" customHeight="false" outlineLevel="0" collapsed="false">
      <c r="A163" s="3" t="n">
        <v>162</v>
      </c>
      <c r="B163" s="3" t="n">
        <v>161</v>
      </c>
      <c r="C163" s="3" t="n">
        <v>0</v>
      </c>
      <c r="D163" s="3" t="n">
        <v>11</v>
      </c>
      <c r="E163" s="3" t="n">
        <v>7</v>
      </c>
      <c r="F163" s="24" t="n">
        <v>-1.97154582</v>
      </c>
    </row>
    <row r="164" customFormat="false" ht="15" hidden="false" customHeight="false" outlineLevel="0" collapsed="false">
      <c r="A164" s="3" t="n">
        <v>163</v>
      </c>
      <c r="B164" s="3" t="n">
        <v>162</v>
      </c>
      <c r="C164" s="3" t="n">
        <v>0</v>
      </c>
      <c r="D164" s="3" t="n">
        <v>11</v>
      </c>
      <c r="E164" s="3" t="n">
        <v>8</v>
      </c>
      <c r="F164" s="24" t="n">
        <v>-1.08615422</v>
      </c>
    </row>
    <row r="165" customFormat="false" ht="15" hidden="false" customHeight="false" outlineLevel="0" collapsed="false">
      <c r="A165" s="3" t="n">
        <v>164</v>
      </c>
      <c r="B165" s="3" t="n">
        <v>163</v>
      </c>
      <c r="C165" s="3" t="n">
        <v>0</v>
      </c>
      <c r="D165" s="3" t="n">
        <v>11</v>
      </c>
      <c r="E165" s="3" t="n">
        <v>9</v>
      </c>
      <c r="F165" s="24" t="n">
        <v>-0.140641361</v>
      </c>
    </row>
    <row r="166" customFormat="false" ht="15" hidden="false" customHeight="false" outlineLevel="0" collapsed="false">
      <c r="A166" s="3" t="n">
        <v>165</v>
      </c>
      <c r="B166" s="3" t="n">
        <v>164</v>
      </c>
      <c r="C166" s="3" t="n">
        <v>0</v>
      </c>
      <c r="D166" s="3" t="n">
        <v>11</v>
      </c>
      <c r="E166" s="3" t="n">
        <v>10</v>
      </c>
      <c r="F166" s="24" t="n">
        <v>0.316527247</v>
      </c>
    </row>
    <row r="167" customFormat="false" ht="15" hidden="false" customHeight="false" outlineLevel="0" collapsed="false">
      <c r="A167" s="3" t="n">
        <v>166</v>
      </c>
      <c r="B167" s="3" t="n">
        <v>165</v>
      </c>
      <c r="C167" s="3" t="n">
        <v>0</v>
      </c>
      <c r="D167" s="3" t="n">
        <v>11</v>
      </c>
      <c r="E167" s="3" t="n">
        <v>11</v>
      </c>
      <c r="F167" s="24" t="n">
        <v>0.316527247</v>
      </c>
    </row>
    <row r="168" customFormat="false" ht="15" hidden="false" customHeight="false" outlineLevel="0" collapsed="false">
      <c r="A168" s="3" t="n">
        <v>167</v>
      </c>
      <c r="B168" s="3" t="n">
        <v>166</v>
      </c>
      <c r="C168" s="3" t="n">
        <v>0</v>
      </c>
      <c r="D168" s="3" t="n">
        <v>11</v>
      </c>
      <c r="E168" s="3" t="n">
        <v>12</v>
      </c>
      <c r="F168" s="24" t="n">
        <v>0.659375548</v>
      </c>
    </row>
    <row r="169" customFormat="false" ht="15" hidden="false" customHeight="false" outlineLevel="0" collapsed="false">
      <c r="A169" s="3" t="n">
        <v>168</v>
      </c>
      <c r="B169" s="3" t="n">
        <v>167</v>
      </c>
      <c r="C169" s="3" t="n">
        <v>0</v>
      </c>
      <c r="D169" s="3" t="n">
        <v>11</v>
      </c>
      <c r="E169" s="3" t="n">
        <v>13</v>
      </c>
      <c r="F169" s="24" t="n">
        <v>0.342791796</v>
      </c>
    </row>
    <row r="170" customFormat="false" ht="15" hidden="false" customHeight="false" outlineLevel="0" collapsed="false">
      <c r="A170" s="3" t="n">
        <v>169</v>
      </c>
      <c r="B170" s="3" t="n">
        <v>168</v>
      </c>
      <c r="C170" s="3" t="n">
        <v>0</v>
      </c>
      <c r="D170" s="3" t="n">
        <v>12</v>
      </c>
      <c r="E170" s="3" t="n">
        <v>0</v>
      </c>
      <c r="F170" s="24" t="n">
        <v>0.330324352</v>
      </c>
    </row>
    <row r="171" customFormat="false" ht="15" hidden="false" customHeight="false" outlineLevel="0" collapsed="false">
      <c r="A171" s="3" t="n">
        <v>170</v>
      </c>
      <c r="B171" s="3" t="n">
        <v>169</v>
      </c>
      <c r="C171" s="3" t="n">
        <v>0</v>
      </c>
      <c r="D171" s="3" t="n">
        <v>12</v>
      </c>
      <c r="E171" s="3" t="n">
        <v>1</v>
      </c>
      <c r="F171" s="24" t="n">
        <v>0.363228589</v>
      </c>
    </row>
    <row r="172" customFormat="false" ht="15" hidden="false" customHeight="false" outlineLevel="0" collapsed="false">
      <c r="A172" s="3" t="n">
        <v>171</v>
      </c>
      <c r="B172" s="3" t="n">
        <v>170</v>
      </c>
      <c r="C172" s="3" t="n">
        <v>0</v>
      </c>
      <c r="D172" s="3" t="n">
        <v>12</v>
      </c>
      <c r="E172" s="3" t="n">
        <v>2</v>
      </c>
      <c r="F172" s="24" t="n">
        <v>0.171908289</v>
      </c>
    </row>
    <row r="173" customFormat="false" ht="15" hidden="false" customHeight="false" outlineLevel="0" collapsed="false">
      <c r="A173" s="3" t="n">
        <v>172</v>
      </c>
      <c r="B173" s="3" t="n">
        <v>171</v>
      </c>
      <c r="C173" s="3" t="n">
        <v>0</v>
      </c>
      <c r="D173" s="3" t="n">
        <v>12</v>
      </c>
      <c r="E173" s="3" t="n">
        <v>3</v>
      </c>
      <c r="F173" s="24" t="n">
        <v>0.183691546</v>
      </c>
    </row>
    <row r="174" customFormat="false" ht="15" hidden="false" customHeight="false" outlineLevel="0" collapsed="false">
      <c r="A174" s="3" t="n">
        <v>173</v>
      </c>
      <c r="B174" s="3" t="n">
        <v>172</v>
      </c>
      <c r="C174" s="3" t="n">
        <v>0</v>
      </c>
      <c r="D174" s="3" t="n">
        <v>12</v>
      </c>
      <c r="E174" s="3" t="n">
        <v>4</v>
      </c>
      <c r="F174" s="24" t="n">
        <v>-7.05085373</v>
      </c>
    </row>
    <row r="175" customFormat="false" ht="15" hidden="false" customHeight="false" outlineLevel="0" collapsed="false">
      <c r="A175" s="3" t="n">
        <v>174</v>
      </c>
      <c r="B175" s="3" t="n">
        <v>173</v>
      </c>
      <c r="C175" s="3" t="n">
        <v>0</v>
      </c>
      <c r="D175" s="3" t="n">
        <v>12</v>
      </c>
      <c r="E175" s="3" t="n">
        <v>5</v>
      </c>
      <c r="F175" s="24" t="n">
        <v>-16.8998528</v>
      </c>
    </row>
    <row r="176" customFormat="false" ht="15" hidden="false" customHeight="false" outlineLevel="0" collapsed="false">
      <c r="A176" s="3" t="n">
        <v>175</v>
      </c>
      <c r="B176" s="3" t="n">
        <v>174</v>
      </c>
      <c r="C176" s="3" t="n">
        <v>0</v>
      </c>
      <c r="D176" s="3" t="n">
        <v>12</v>
      </c>
      <c r="E176" s="3" t="n">
        <v>6</v>
      </c>
      <c r="F176" s="24" t="n">
        <v>-8.85488129</v>
      </c>
    </row>
    <row r="177" customFormat="false" ht="15" hidden="false" customHeight="false" outlineLevel="0" collapsed="false">
      <c r="A177" s="3" t="n">
        <v>176</v>
      </c>
      <c r="B177" s="3" t="n">
        <v>175</v>
      </c>
      <c r="C177" s="3" t="n">
        <v>0</v>
      </c>
      <c r="D177" s="3" t="n">
        <v>12</v>
      </c>
      <c r="E177" s="3" t="n">
        <v>7</v>
      </c>
      <c r="F177" s="24" t="n">
        <v>-1.43946719</v>
      </c>
    </row>
    <row r="178" customFormat="false" ht="15" hidden="false" customHeight="false" outlineLevel="0" collapsed="false">
      <c r="A178" s="3" t="n">
        <v>177</v>
      </c>
      <c r="B178" s="3" t="n">
        <v>176</v>
      </c>
      <c r="C178" s="3" t="n">
        <v>0</v>
      </c>
      <c r="D178" s="3" t="n">
        <v>12</v>
      </c>
      <c r="E178" s="3" t="n">
        <v>8</v>
      </c>
      <c r="F178" s="24" t="n">
        <v>0.77717793</v>
      </c>
    </row>
    <row r="179" customFormat="false" ht="15" hidden="false" customHeight="false" outlineLevel="0" collapsed="false">
      <c r="A179" s="3" t="n">
        <v>178</v>
      </c>
      <c r="B179" s="3" t="n">
        <v>177</v>
      </c>
      <c r="C179" s="3" t="n">
        <v>0</v>
      </c>
      <c r="D179" s="3" t="n">
        <v>12</v>
      </c>
      <c r="E179" s="3" t="n">
        <v>9</v>
      </c>
      <c r="F179" s="24" t="n">
        <v>0.112714469</v>
      </c>
    </row>
    <row r="180" customFormat="false" ht="15" hidden="false" customHeight="false" outlineLevel="0" collapsed="false">
      <c r="A180" s="3" t="n">
        <v>179</v>
      </c>
      <c r="B180" s="3" t="n">
        <v>178</v>
      </c>
      <c r="C180" s="3" t="n">
        <v>0</v>
      </c>
      <c r="D180" s="3" t="n">
        <v>12</v>
      </c>
      <c r="E180" s="3" t="n">
        <v>10</v>
      </c>
      <c r="F180" s="24" t="n">
        <v>0.171908289</v>
      </c>
    </row>
    <row r="181" customFormat="false" ht="15" hidden="false" customHeight="false" outlineLevel="0" collapsed="false">
      <c r="A181" s="3" t="n">
        <v>180</v>
      </c>
      <c r="B181" s="3" t="n">
        <v>179</v>
      </c>
      <c r="C181" s="3" t="n">
        <v>0</v>
      </c>
      <c r="D181" s="3" t="n">
        <v>12</v>
      </c>
      <c r="E181" s="3" t="n">
        <v>11</v>
      </c>
      <c r="F181" s="24" t="n">
        <v>0.171908289</v>
      </c>
    </row>
    <row r="182" customFormat="false" ht="15" hidden="false" customHeight="false" outlineLevel="0" collapsed="false">
      <c r="A182" s="3" t="n">
        <v>181</v>
      </c>
      <c r="B182" s="3" t="n">
        <v>180</v>
      </c>
      <c r="C182" s="3" t="n">
        <v>0</v>
      </c>
      <c r="D182" s="3" t="n">
        <v>12</v>
      </c>
      <c r="E182" s="3" t="n">
        <v>12</v>
      </c>
      <c r="F182" s="24" t="n">
        <v>0.51475662</v>
      </c>
    </row>
    <row r="183" customFormat="false" ht="15" hidden="false" customHeight="false" outlineLevel="0" collapsed="false">
      <c r="A183" s="3" t="n">
        <v>182</v>
      </c>
      <c r="B183" s="3" t="n">
        <v>181</v>
      </c>
      <c r="C183" s="3" t="n">
        <v>0</v>
      </c>
      <c r="D183" s="3" t="n">
        <v>12</v>
      </c>
      <c r="E183" s="3" t="n">
        <v>13</v>
      </c>
      <c r="F183" s="24" t="n">
        <v>0.352743238</v>
      </c>
    </row>
    <row r="184" customFormat="false" ht="15" hidden="false" customHeight="false" outlineLevel="0" collapsed="false">
      <c r="A184" s="3" t="n">
        <v>183</v>
      </c>
      <c r="B184" s="3" t="n">
        <v>182</v>
      </c>
      <c r="C184" s="3" t="n">
        <v>0</v>
      </c>
      <c r="D184" s="3" t="n">
        <v>13</v>
      </c>
      <c r="E184" s="3" t="n">
        <v>0</v>
      </c>
      <c r="F184" s="24" t="n">
        <v>0.46519202</v>
      </c>
    </row>
    <row r="185" customFormat="false" ht="15" hidden="false" customHeight="false" outlineLevel="0" collapsed="false">
      <c r="A185" s="3" t="n">
        <v>184</v>
      </c>
      <c r="B185" s="3" t="n">
        <v>183</v>
      </c>
      <c r="C185" s="3" t="n">
        <v>0</v>
      </c>
      <c r="D185" s="3" t="n">
        <v>13</v>
      </c>
      <c r="E185" s="3" t="n">
        <v>1</v>
      </c>
      <c r="F185" s="24" t="n">
        <v>0.902494311</v>
      </c>
    </row>
    <row r="186" customFormat="false" ht="15" hidden="false" customHeight="false" outlineLevel="0" collapsed="false">
      <c r="A186" s="3" t="n">
        <v>185</v>
      </c>
      <c r="B186" s="3" t="n">
        <v>184</v>
      </c>
      <c r="C186" s="3" t="n">
        <v>0</v>
      </c>
      <c r="D186" s="3" t="n">
        <v>13</v>
      </c>
      <c r="E186" s="3" t="n">
        <v>2</v>
      </c>
      <c r="F186" s="24" t="n">
        <v>0.762173057</v>
      </c>
    </row>
    <row r="187" customFormat="false" ht="15" hidden="false" customHeight="false" outlineLevel="0" collapsed="false">
      <c r="A187" s="3" t="n">
        <v>186</v>
      </c>
      <c r="B187" s="3" t="n">
        <v>185</v>
      </c>
      <c r="C187" s="3" t="n">
        <v>0</v>
      </c>
      <c r="D187" s="3" t="n">
        <v>13</v>
      </c>
      <c r="E187" s="3" t="n">
        <v>3</v>
      </c>
      <c r="F187" s="24" t="n">
        <v>1.12995422</v>
      </c>
    </row>
    <row r="188" customFormat="false" ht="15" hidden="false" customHeight="false" outlineLevel="0" collapsed="false">
      <c r="A188" s="3" t="n">
        <v>187</v>
      </c>
      <c r="B188" s="3" t="n">
        <v>186</v>
      </c>
      <c r="C188" s="3" t="n">
        <v>0</v>
      </c>
      <c r="D188" s="3" t="n">
        <v>13</v>
      </c>
      <c r="E188" s="3" t="n">
        <v>4</v>
      </c>
      <c r="F188" s="24" t="n">
        <v>-3.72642565</v>
      </c>
    </row>
    <row r="189" customFormat="false" ht="15" hidden="false" customHeight="false" outlineLevel="0" collapsed="false">
      <c r="A189" s="3" t="n">
        <v>188</v>
      </c>
      <c r="B189" s="3" t="n">
        <v>187</v>
      </c>
      <c r="C189" s="3" t="n">
        <v>0</v>
      </c>
      <c r="D189" s="3" t="n">
        <v>13</v>
      </c>
      <c r="E189" s="3" t="n">
        <v>5</v>
      </c>
      <c r="F189" s="24" t="n">
        <v>-13.1809759</v>
      </c>
    </row>
    <row r="190" customFormat="false" ht="15" hidden="false" customHeight="false" outlineLevel="0" collapsed="false">
      <c r="A190" s="3" t="n">
        <v>189</v>
      </c>
      <c r="B190" s="3" t="n">
        <v>188</v>
      </c>
      <c r="C190" s="3" t="n">
        <v>0</v>
      </c>
      <c r="D190" s="3" t="n">
        <v>13</v>
      </c>
      <c r="E190" s="3" t="n">
        <v>6</v>
      </c>
      <c r="F190" s="24" t="n">
        <v>-7.81052971</v>
      </c>
    </row>
    <row r="191" customFormat="false" ht="15" hidden="false" customHeight="false" outlineLevel="0" collapsed="false">
      <c r="A191" s="3" t="n">
        <v>190</v>
      </c>
      <c r="B191" s="3" t="n">
        <v>189</v>
      </c>
      <c r="C191" s="3" t="n">
        <v>0</v>
      </c>
      <c r="D191" s="3" t="n">
        <v>13</v>
      </c>
      <c r="E191" s="3" t="n">
        <v>7</v>
      </c>
      <c r="F191" s="24" t="n">
        <v>-0.199743003</v>
      </c>
    </row>
    <row r="192" customFormat="false" ht="15" hidden="false" customHeight="false" outlineLevel="0" collapsed="false">
      <c r="A192" s="3" t="n">
        <v>191</v>
      </c>
      <c r="B192" s="3" t="n">
        <v>190</v>
      </c>
      <c r="C192" s="3" t="n">
        <v>0</v>
      </c>
      <c r="D192" s="3" t="n">
        <v>13</v>
      </c>
      <c r="E192" s="3" t="n">
        <v>8</v>
      </c>
      <c r="F192" s="24" t="n">
        <v>1.08207631</v>
      </c>
    </row>
    <row r="193" customFormat="false" ht="15" hidden="false" customHeight="false" outlineLevel="0" collapsed="false">
      <c r="A193" s="3" t="n">
        <v>192</v>
      </c>
      <c r="B193" s="3" t="n">
        <v>191</v>
      </c>
      <c r="C193" s="3" t="n">
        <v>0</v>
      </c>
      <c r="D193" s="3" t="n">
        <v>13</v>
      </c>
      <c r="E193" s="3" t="n">
        <v>9</v>
      </c>
      <c r="F193" s="24" t="n">
        <v>0.762173057</v>
      </c>
    </row>
    <row r="194" customFormat="false" ht="15" hidden="false" customHeight="false" outlineLevel="0" collapsed="false">
      <c r="A194" s="3" t="n">
        <v>193</v>
      </c>
      <c r="B194" s="3" t="n">
        <v>192</v>
      </c>
      <c r="C194" s="3" t="n">
        <v>0</v>
      </c>
      <c r="D194" s="3" t="n">
        <v>13</v>
      </c>
      <c r="E194" s="3" t="n">
        <v>10</v>
      </c>
      <c r="F194" s="24" t="n">
        <v>0.762173057</v>
      </c>
    </row>
    <row r="195" customFormat="false" ht="15" hidden="false" customHeight="false" outlineLevel="0" collapsed="false">
      <c r="A195" s="3" t="n">
        <v>194</v>
      </c>
      <c r="B195" s="3" t="n">
        <v>193</v>
      </c>
      <c r="C195" s="3" t="n">
        <v>0</v>
      </c>
      <c r="D195" s="3" t="n">
        <v>13</v>
      </c>
      <c r="E195" s="3" t="n">
        <v>11</v>
      </c>
      <c r="F195" s="24" t="n">
        <v>0.762173057</v>
      </c>
    </row>
    <row r="196" customFormat="false" ht="15" hidden="false" customHeight="false" outlineLevel="0" collapsed="false">
      <c r="A196" s="3" t="n">
        <v>195</v>
      </c>
      <c r="B196" s="3" t="n">
        <v>194</v>
      </c>
      <c r="C196" s="3" t="n">
        <v>0</v>
      </c>
      <c r="D196" s="3" t="n">
        <v>13</v>
      </c>
      <c r="E196" s="3" t="n">
        <v>12</v>
      </c>
      <c r="F196" s="24" t="n">
        <v>1.01097476</v>
      </c>
    </row>
    <row r="197" customFormat="false" ht="15" hidden="false" customHeight="false" outlineLevel="0" collapsed="false">
      <c r="A197" s="3" t="n">
        <v>196</v>
      </c>
      <c r="B197" s="3" t="n">
        <v>195</v>
      </c>
      <c r="C197" s="3" t="n">
        <v>0</v>
      </c>
      <c r="D197" s="3" t="n">
        <v>13</v>
      </c>
      <c r="E197" s="3" t="n">
        <v>13</v>
      </c>
      <c r="F197" s="24" t="n">
        <v>0.803704143</v>
      </c>
    </row>
    <row r="198" customFormat="false" ht="15" hidden="false" customHeight="false" outlineLevel="0" collapsed="false">
      <c r="A198" s="3" t="n">
        <v>197</v>
      </c>
      <c r="B198" s="3" t="n">
        <v>196</v>
      </c>
      <c r="C198" s="3" t="n">
        <v>1</v>
      </c>
      <c r="D198" s="3" t="n">
        <v>0</v>
      </c>
      <c r="E198" s="3" t="n">
        <v>0</v>
      </c>
      <c r="F198" s="24" t="n">
        <v>-0.303629279</v>
      </c>
    </row>
    <row r="199" customFormat="false" ht="15" hidden="false" customHeight="false" outlineLevel="0" collapsed="false">
      <c r="A199" s="3" t="n">
        <v>198</v>
      </c>
      <c r="B199" s="3" t="n">
        <v>197</v>
      </c>
      <c r="C199" s="3" t="n">
        <v>1</v>
      </c>
      <c r="D199" s="3" t="n">
        <v>0</v>
      </c>
      <c r="E199" s="3" t="n">
        <v>1</v>
      </c>
      <c r="F199" s="24" t="n">
        <v>-0.282847583</v>
      </c>
    </row>
    <row r="200" customFormat="false" ht="15" hidden="false" customHeight="false" outlineLevel="0" collapsed="false">
      <c r="A200" s="3" t="n">
        <v>199</v>
      </c>
      <c r="B200" s="3" t="n">
        <v>198</v>
      </c>
      <c r="C200" s="3" t="n">
        <v>1</v>
      </c>
      <c r="D200" s="3" t="n">
        <v>0</v>
      </c>
      <c r="E200" s="3" t="n">
        <v>2</v>
      </c>
      <c r="F200" s="24" t="n">
        <v>-0.229909807</v>
      </c>
    </row>
    <row r="201" customFormat="false" ht="15" hidden="false" customHeight="false" outlineLevel="0" collapsed="false">
      <c r="A201" s="3" t="n">
        <v>200</v>
      </c>
      <c r="B201" s="3" t="n">
        <v>199</v>
      </c>
      <c r="C201" s="3" t="n">
        <v>1</v>
      </c>
      <c r="D201" s="3" t="n">
        <v>0</v>
      </c>
      <c r="E201" s="3" t="n">
        <v>3</v>
      </c>
      <c r="F201" s="24" t="n">
        <v>-0.229909807</v>
      </c>
    </row>
    <row r="202" customFormat="false" ht="15" hidden="false" customHeight="false" outlineLevel="0" collapsed="false">
      <c r="A202" s="3" t="n">
        <v>201</v>
      </c>
      <c r="B202" s="3" t="n">
        <v>200</v>
      </c>
      <c r="C202" s="3" t="n">
        <v>1</v>
      </c>
      <c r="D202" s="3" t="n">
        <v>0</v>
      </c>
      <c r="E202" s="3" t="n">
        <v>4</v>
      </c>
      <c r="F202" s="24" t="n">
        <v>-0.229909807</v>
      </c>
    </row>
    <row r="203" customFormat="false" ht="15" hidden="false" customHeight="false" outlineLevel="0" collapsed="false">
      <c r="A203" s="3" t="n">
        <v>202</v>
      </c>
      <c r="B203" s="3" t="n">
        <v>201</v>
      </c>
      <c r="C203" s="3" t="n">
        <v>1</v>
      </c>
      <c r="D203" s="3" t="n">
        <v>0</v>
      </c>
      <c r="E203" s="3" t="n">
        <v>5</v>
      </c>
      <c r="F203" s="24" t="n">
        <v>-0.229909807</v>
      </c>
    </row>
    <row r="204" customFormat="false" ht="15" hidden="false" customHeight="false" outlineLevel="0" collapsed="false">
      <c r="A204" s="3" t="n">
        <v>203</v>
      </c>
      <c r="B204" s="3" t="n">
        <v>202</v>
      </c>
      <c r="C204" s="3" t="n">
        <v>1</v>
      </c>
      <c r="D204" s="3" t="n">
        <v>0</v>
      </c>
      <c r="E204" s="3" t="n">
        <v>6</v>
      </c>
      <c r="F204" s="24" t="n">
        <v>-0.229909807</v>
      </c>
    </row>
    <row r="205" customFormat="false" ht="15" hidden="false" customHeight="false" outlineLevel="0" collapsed="false">
      <c r="A205" s="3" t="n">
        <v>204</v>
      </c>
      <c r="B205" s="3" t="n">
        <v>203</v>
      </c>
      <c r="C205" s="3" t="n">
        <v>1</v>
      </c>
      <c r="D205" s="3" t="n">
        <v>0</v>
      </c>
      <c r="E205" s="3" t="n">
        <v>7</v>
      </c>
      <c r="F205" s="24" t="n">
        <v>-0.229909807</v>
      </c>
    </row>
    <row r="206" customFormat="false" ht="15" hidden="false" customHeight="false" outlineLevel="0" collapsed="false">
      <c r="A206" s="3" t="n">
        <v>205</v>
      </c>
      <c r="B206" s="3" t="n">
        <v>204</v>
      </c>
      <c r="C206" s="3" t="n">
        <v>1</v>
      </c>
      <c r="D206" s="3" t="n">
        <v>0</v>
      </c>
      <c r="E206" s="3" t="n">
        <v>8</v>
      </c>
      <c r="F206" s="24" t="n">
        <v>-0.229909807</v>
      </c>
    </row>
    <row r="207" customFormat="false" ht="15" hidden="false" customHeight="false" outlineLevel="0" collapsed="false">
      <c r="A207" s="3" t="n">
        <v>206</v>
      </c>
      <c r="B207" s="3" t="n">
        <v>205</v>
      </c>
      <c r="C207" s="3" t="n">
        <v>1</v>
      </c>
      <c r="D207" s="3" t="n">
        <v>0</v>
      </c>
      <c r="E207" s="3" t="n">
        <v>9</v>
      </c>
      <c r="F207" s="24" t="n">
        <v>-0.229909807</v>
      </c>
    </row>
    <row r="208" customFormat="false" ht="15" hidden="false" customHeight="false" outlineLevel="0" collapsed="false">
      <c r="A208" s="3" t="n">
        <v>207</v>
      </c>
      <c r="B208" s="3" t="n">
        <v>206</v>
      </c>
      <c r="C208" s="3" t="n">
        <v>1</v>
      </c>
      <c r="D208" s="3" t="n">
        <v>0</v>
      </c>
      <c r="E208" s="3" t="n">
        <v>10</v>
      </c>
      <c r="F208" s="24" t="n">
        <v>-0.229909807</v>
      </c>
    </row>
    <row r="209" customFormat="false" ht="15" hidden="false" customHeight="false" outlineLevel="0" collapsed="false">
      <c r="A209" s="3" t="n">
        <v>208</v>
      </c>
      <c r="B209" s="3" t="n">
        <v>207</v>
      </c>
      <c r="C209" s="3" t="n">
        <v>1</v>
      </c>
      <c r="D209" s="3" t="n">
        <v>0</v>
      </c>
      <c r="E209" s="3" t="n">
        <v>11</v>
      </c>
      <c r="F209" s="24" t="n">
        <v>-0.229909807</v>
      </c>
    </row>
    <row r="210" customFormat="false" ht="15" hidden="false" customHeight="false" outlineLevel="0" collapsed="false">
      <c r="A210" s="3" t="n">
        <v>209</v>
      </c>
      <c r="B210" s="3" t="n">
        <v>208</v>
      </c>
      <c r="C210" s="3" t="n">
        <v>1</v>
      </c>
      <c r="D210" s="3" t="n">
        <v>0</v>
      </c>
      <c r="E210" s="3" t="n">
        <v>12</v>
      </c>
      <c r="F210" s="24" t="n">
        <v>-0.201119602</v>
      </c>
    </row>
    <row r="211" customFormat="false" ht="15" hidden="false" customHeight="false" outlineLevel="0" collapsed="false">
      <c r="A211" s="3" t="n">
        <v>210</v>
      </c>
      <c r="B211" s="3" t="n">
        <v>209</v>
      </c>
      <c r="C211" s="3" t="n">
        <v>1</v>
      </c>
      <c r="D211" s="3" t="n">
        <v>0</v>
      </c>
      <c r="E211" s="3" t="n">
        <v>13</v>
      </c>
      <c r="F211" s="24" t="n">
        <v>-0.419184059</v>
      </c>
    </row>
    <row r="212" customFormat="false" ht="15" hidden="false" customHeight="false" outlineLevel="0" collapsed="false">
      <c r="A212" s="3" t="n">
        <v>211</v>
      </c>
      <c r="B212" s="3" t="n">
        <v>210</v>
      </c>
      <c r="C212" s="3" t="n">
        <v>1</v>
      </c>
      <c r="D212" s="3" t="n">
        <v>1</v>
      </c>
      <c r="E212" s="3" t="n">
        <v>0</v>
      </c>
      <c r="F212" s="24" t="n">
        <v>-0.492219776</v>
      </c>
    </row>
    <row r="213" customFormat="false" ht="15" hidden="false" customHeight="false" outlineLevel="0" collapsed="false">
      <c r="A213" s="3" t="n">
        <v>212</v>
      </c>
      <c r="B213" s="3" t="n">
        <v>211</v>
      </c>
      <c r="C213" s="3" t="n">
        <v>1</v>
      </c>
      <c r="D213" s="3" t="n">
        <v>1</v>
      </c>
      <c r="E213" s="3" t="n">
        <v>1</v>
      </c>
      <c r="F213" s="24" t="n">
        <v>-0.656965017</v>
      </c>
    </row>
    <row r="214" customFormat="false" ht="15" hidden="false" customHeight="false" outlineLevel="0" collapsed="false">
      <c r="A214" s="3" t="n">
        <v>213</v>
      </c>
      <c r="B214" s="3" t="n">
        <v>212</v>
      </c>
      <c r="C214" s="3" t="n">
        <v>1</v>
      </c>
      <c r="D214" s="3" t="n">
        <v>1</v>
      </c>
      <c r="E214" s="3" t="n">
        <v>2</v>
      </c>
      <c r="F214" s="24" t="n">
        <v>-0.504279554</v>
      </c>
    </row>
    <row r="215" customFormat="false" ht="15" hidden="false" customHeight="false" outlineLevel="0" collapsed="false">
      <c r="A215" s="3" t="n">
        <v>214</v>
      </c>
      <c r="B215" s="3" t="n">
        <v>213</v>
      </c>
      <c r="C215" s="3" t="n">
        <v>1</v>
      </c>
      <c r="D215" s="3" t="n">
        <v>1</v>
      </c>
      <c r="E215" s="3" t="n">
        <v>3</v>
      </c>
      <c r="F215" s="24" t="n">
        <v>-0.504279554</v>
      </c>
    </row>
    <row r="216" customFormat="false" ht="15" hidden="false" customHeight="false" outlineLevel="0" collapsed="false">
      <c r="A216" s="3" t="n">
        <v>215</v>
      </c>
      <c r="B216" s="3" t="n">
        <v>214</v>
      </c>
      <c r="C216" s="3" t="n">
        <v>1</v>
      </c>
      <c r="D216" s="3" t="n">
        <v>1</v>
      </c>
      <c r="E216" s="3" t="n">
        <v>4</v>
      </c>
      <c r="F216" s="24" t="n">
        <v>-0.504279554</v>
      </c>
    </row>
    <row r="217" customFormat="false" ht="15" hidden="false" customHeight="false" outlineLevel="0" collapsed="false">
      <c r="A217" s="3" t="n">
        <v>216</v>
      </c>
      <c r="B217" s="3" t="n">
        <v>215</v>
      </c>
      <c r="C217" s="3" t="n">
        <v>1</v>
      </c>
      <c r="D217" s="3" t="n">
        <v>1</v>
      </c>
      <c r="E217" s="3" t="n">
        <v>5</v>
      </c>
      <c r="F217" s="24" t="n">
        <v>-0.504279554</v>
      </c>
    </row>
    <row r="218" customFormat="false" ht="15" hidden="false" customHeight="false" outlineLevel="0" collapsed="false">
      <c r="A218" s="3" t="n">
        <v>217</v>
      </c>
      <c r="B218" s="3" t="n">
        <v>216</v>
      </c>
      <c r="C218" s="3" t="n">
        <v>1</v>
      </c>
      <c r="D218" s="3" t="n">
        <v>1</v>
      </c>
      <c r="E218" s="3" t="n">
        <v>6</v>
      </c>
      <c r="F218" s="24" t="n">
        <v>-0.504279554</v>
      </c>
    </row>
    <row r="219" customFormat="false" ht="15" hidden="false" customHeight="false" outlineLevel="0" collapsed="false">
      <c r="A219" s="3" t="n">
        <v>218</v>
      </c>
      <c r="B219" s="3" t="n">
        <v>217</v>
      </c>
      <c r="C219" s="3" t="n">
        <v>1</v>
      </c>
      <c r="D219" s="3" t="n">
        <v>1</v>
      </c>
      <c r="E219" s="3" t="n">
        <v>7</v>
      </c>
      <c r="F219" s="24" t="n">
        <v>-0.504279554</v>
      </c>
    </row>
    <row r="220" customFormat="false" ht="15" hidden="false" customHeight="false" outlineLevel="0" collapsed="false">
      <c r="A220" s="3" t="n">
        <v>219</v>
      </c>
      <c r="B220" s="3" t="n">
        <v>218</v>
      </c>
      <c r="C220" s="3" t="n">
        <v>1</v>
      </c>
      <c r="D220" s="3" t="n">
        <v>1</v>
      </c>
      <c r="E220" s="3" t="n">
        <v>8</v>
      </c>
      <c r="F220" s="24" t="n">
        <v>-0.504279554</v>
      </c>
    </row>
    <row r="221" customFormat="false" ht="15" hidden="false" customHeight="false" outlineLevel="0" collapsed="false">
      <c r="A221" s="3" t="n">
        <v>220</v>
      </c>
      <c r="B221" s="3" t="n">
        <v>219</v>
      </c>
      <c r="C221" s="3" t="n">
        <v>1</v>
      </c>
      <c r="D221" s="3" t="n">
        <v>1</v>
      </c>
      <c r="E221" s="3" t="n">
        <v>9</v>
      </c>
      <c r="F221" s="24" t="n">
        <v>-0.504279554</v>
      </c>
    </row>
    <row r="222" customFormat="false" ht="15" hidden="false" customHeight="false" outlineLevel="0" collapsed="false">
      <c r="A222" s="3" t="n">
        <v>221</v>
      </c>
      <c r="B222" s="3" t="n">
        <v>220</v>
      </c>
      <c r="C222" s="3" t="n">
        <v>1</v>
      </c>
      <c r="D222" s="3" t="n">
        <v>1</v>
      </c>
      <c r="E222" s="3" t="n">
        <v>10</v>
      </c>
      <c r="F222" s="24" t="n">
        <v>-0.504279554</v>
      </c>
    </row>
    <row r="223" customFormat="false" ht="15" hidden="false" customHeight="false" outlineLevel="0" collapsed="false">
      <c r="A223" s="3" t="n">
        <v>222</v>
      </c>
      <c r="B223" s="3" t="n">
        <v>221</v>
      </c>
      <c r="C223" s="3" t="n">
        <v>1</v>
      </c>
      <c r="D223" s="3" t="n">
        <v>1</v>
      </c>
      <c r="E223" s="3" t="n">
        <v>11</v>
      </c>
      <c r="F223" s="24" t="n">
        <v>-0.504279554</v>
      </c>
    </row>
    <row r="224" customFormat="false" ht="15" hidden="false" customHeight="false" outlineLevel="0" collapsed="false">
      <c r="A224" s="3" t="n">
        <v>223</v>
      </c>
      <c r="B224" s="3" t="n">
        <v>222</v>
      </c>
      <c r="C224" s="3" t="n">
        <v>1</v>
      </c>
      <c r="D224" s="3" t="n">
        <v>1</v>
      </c>
      <c r="E224" s="3" t="n">
        <v>12</v>
      </c>
      <c r="F224" s="24" t="n">
        <v>-0.288954556</v>
      </c>
    </row>
    <row r="225" customFormat="false" ht="15" hidden="false" customHeight="false" outlineLevel="0" collapsed="false">
      <c r="A225" s="3" t="n">
        <v>224</v>
      </c>
      <c r="B225" s="3" t="n">
        <v>223</v>
      </c>
      <c r="C225" s="3" t="n">
        <v>1</v>
      </c>
      <c r="D225" s="3" t="n">
        <v>1</v>
      </c>
      <c r="E225" s="3" t="n">
        <v>13</v>
      </c>
      <c r="F225" s="24" t="n">
        <v>-0.481700987</v>
      </c>
    </row>
    <row r="226" customFormat="false" ht="15" hidden="false" customHeight="false" outlineLevel="0" collapsed="false">
      <c r="A226" s="3" t="n">
        <v>225</v>
      </c>
      <c r="B226" s="3" t="n">
        <v>224</v>
      </c>
      <c r="C226" s="3" t="n">
        <v>1</v>
      </c>
      <c r="D226" s="3" t="n">
        <v>2</v>
      </c>
      <c r="E226" s="3" t="n">
        <v>0</v>
      </c>
      <c r="F226" s="24" t="n">
        <v>-0.416940302</v>
      </c>
    </row>
    <row r="227" customFormat="false" ht="15" hidden="false" customHeight="false" outlineLevel="0" collapsed="false">
      <c r="A227" s="3" t="n">
        <v>226</v>
      </c>
      <c r="B227" s="3" t="n">
        <v>225</v>
      </c>
      <c r="C227" s="3" t="n">
        <v>1</v>
      </c>
      <c r="D227" s="3" t="n">
        <v>2</v>
      </c>
      <c r="E227" s="3" t="n">
        <v>1</v>
      </c>
      <c r="F227" s="24" t="n">
        <v>-0.715871453</v>
      </c>
    </row>
    <row r="228" customFormat="false" ht="15" hidden="false" customHeight="false" outlineLevel="0" collapsed="false">
      <c r="A228" s="3" t="n">
        <v>227</v>
      </c>
      <c r="B228" s="3" t="n">
        <v>226</v>
      </c>
      <c r="C228" s="3" t="n">
        <v>1</v>
      </c>
      <c r="D228" s="3" t="n">
        <v>2</v>
      </c>
      <c r="E228" s="3" t="n">
        <v>2</v>
      </c>
      <c r="F228" s="24" t="n">
        <v>-0.624211252</v>
      </c>
    </row>
    <row r="229" customFormat="false" ht="15" hidden="false" customHeight="false" outlineLevel="0" collapsed="false">
      <c r="A229" s="3" t="n">
        <v>228</v>
      </c>
      <c r="B229" s="3" t="n">
        <v>227</v>
      </c>
      <c r="C229" s="3" t="n">
        <v>1</v>
      </c>
      <c r="D229" s="3" t="n">
        <v>2</v>
      </c>
      <c r="E229" s="3" t="n">
        <v>3</v>
      </c>
      <c r="F229" s="24" t="n">
        <v>0.322056651</v>
      </c>
    </row>
    <row r="230" customFormat="false" ht="15" hidden="false" customHeight="false" outlineLevel="0" collapsed="false">
      <c r="A230" s="3" t="n">
        <v>229</v>
      </c>
      <c r="B230" s="3" t="n">
        <v>228</v>
      </c>
      <c r="C230" s="3" t="n">
        <v>1</v>
      </c>
      <c r="D230" s="3" t="n">
        <v>2</v>
      </c>
      <c r="E230" s="3" t="n">
        <v>4</v>
      </c>
      <c r="F230" s="24" t="n">
        <v>0.245311648</v>
      </c>
    </row>
    <row r="231" customFormat="false" ht="15" hidden="false" customHeight="false" outlineLevel="0" collapsed="false">
      <c r="A231" s="3" t="n">
        <v>230</v>
      </c>
      <c r="B231" s="3" t="n">
        <v>229</v>
      </c>
      <c r="C231" s="3" t="n">
        <v>1</v>
      </c>
      <c r="D231" s="3" t="n">
        <v>2</v>
      </c>
      <c r="E231" s="3" t="n">
        <v>5</v>
      </c>
      <c r="F231" s="24" t="n">
        <v>-0.0160300657</v>
      </c>
    </row>
    <row r="232" customFormat="false" ht="15" hidden="false" customHeight="false" outlineLevel="0" collapsed="false">
      <c r="A232" s="3" t="n">
        <v>231</v>
      </c>
      <c r="B232" s="3" t="n">
        <v>230</v>
      </c>
      <c r="C232" s="3" t="n">
        <v>1</v>
      </c>
      <c r="D232" s="3" t="n">
        <v>2</v>
      </c>
      <c r="E232" s="3" t="n">
        <v>6</v>
      </c>
      <c r="F232" s="24" t="n">
        <v>-0.296125203</v>
      </c>
    </row>
    <row r="233" customFormat="false" ht="15" hidden="false" customHeight="false" outlineLevel="0" collapsed="false">
      <c r="A233" s="3" t="n">
        <v>232</v>
      </c>
      <c r="B233" s="3" t="n">
        <v>231</v>
      </c>
      <c r="C233" s="3" t="n">
        <v>1</v>
      </c>
      <c r="D233" s="3" t="n">
        <v>2</v>
      </c>
      <c r="E233" s="3" t="n">
        <v>7</v>
      </c>
      <c r="F233" s="24" t="n">
        <v>-0.36803171</v>
      </c>
    </row>
    <row r="234" customFormat="false" ht="15" hidden="false" customHeight="false" outlineLevel="0" collapsed="false">
      <c r="A234" s="3" t="n">
        <v>233</v>
      </c>
      <c r="B234" s="3" t="n">
        <v>232</v>
      </c>
      <c r="C234" s="3" t="n">
        <v>1</v>
      </c>
      <c r="D234" s="3" t="n">
        <v>2</v>
      </c>
      <c r="E234" s="3" t="n">
        <v>8</v>
      </c>
      <c r="F234" s="24" t="n">
        <v>-0.375709683</v>
      </c>
    </row>
    <row r="235" customFormat="false" ht="15" hidden="false" customHeight="false" outlineLevel="0" collapsed="false">
      <c r="A235" s="3" t="n">
        <v>234</v>
      </c>
      <c r="B235" s="3" t="n">
        <v>233</v>
      </c>
      <c r="C235" s="3" t="n">
        <v>1</v>
      </c>
      <c r="D235" s="3" t="n">
        <v>2</v>
      </c>
      <c r="E235" s="3" t="n">
        <v>9</v>
      </c>
      <c r="F235" s="24" t="n">
        <v>-0.307986051</v>
      </c>
    </row>
    <row r="236" customFormat="false" ht="15" hidden="false" customHeight="false" outlineLevel="0" collapsed="false">
      <c r="A236" s="3" t="n">
        <v>235</v>
      </c>
      <c r="B236" s="3" t="n">
        <v>234</v>
      </c>
      <c r="C236" s="3" t="n">
        <v>1</v>
      </c>
      <c r="D236" s="3" t="n">
        <v>2</v>
      </c>
      <c r="E236" s="3" t="n">
        <v>10</v>
      </c>
      <c r="F236" s="24" t="n">
        <v>-0.395309597</v>
      </c>
    </row>
    <row r="237" customFormat="false" ht="15" hidden="false" customHeight="false" outlineLevel="0" collapsed="false">
      <c r="A237" s="3" t="n">
        <v>236</v>
      </c>
      <c r="B237" s="3" t="n">
        <v>235</v>
      </c>
      <c r="C237" s="3" t="n">
        <v>1</v>
      </c>
      <c r="D237" s="3" t="n">
        <v>2</v>
      </c>
      <c r="E237" s="3" t="n">
        <v>11</v>
      </c>
      <c r="F237" s="24" t="n">
        <v>-0.290529221</v>
      </c>
    </row>
    <row r="238" customFormat="false" ht="15" hidden="false" customHeight="false" outlineLevel="0" collapsed="false">
      <c r="A238" s="3" t="n">
        <v>237</v>
      </c>
      <c r="B238" s="3" t="n">
        <v>236</v>
      </c>
      <c r="C238" s="3" t="n">
        <v>1</v>
      </c>
      <c r="D238" s="3" t="n">
        <v>2</v>
      </c>
      <c r="E238" s="3" t="n">
        <v>12</v>
      </c>
      <c r="F238" s="24" t="n">
        <v>-0.0762650445</v>
      </c>
    </row>
    <row r="239" customFormat="false" ht="15" hidden="false" customHeight="false" outlineLevel="0" collapsed="false">
      <c r="A239" s="3" t="n">
        <v>238</v>
      </c>
      <c r="B239" s="3" t="n">
        <v>237</v>
      </c>
      <c r="C239" s="3" t="n">
        <v>1</v>
      </c>
      <c r="D239" s="3" t="n">
        <v>2</v>
      </c>
      <c r="E239" s="3" t="n">
        <v>13</v>
      </c>
      <c r="F239" s="24" t="n">
        <v>-0.309091032</v>
      </c>
    </row>
    <row r="240" customFormat="false" ht="15" hidden="false" customHeight="false" outlineLevel="0" collapsed="false">
      <c r="A240" s="3" t="n">
        <v>239</v>
      </c>
      <c r="B240" s="3" t="n">
        <v>238</v>
      </c>
      <c r="C240" s="3" t="n">
        <v>1</v>
      </c>
      <c r="D240" s="3" t="n">
        <v>3</v>
      </c>
      <c r="E240" s="3" t="n">
        <v>0</v>
      </c>
      <c r="F240" s="24" t="n">
        <v>-0.416940302</v>
      </c>
    </row>
    <row r="241" customFormat="false" ht="15" hidden="false" customHeight="false" outlineLevel="0" collapsed="false">
      <c r="A241" s="3" t="n">
        <v>240</v>
      </c>
      <c r="B241" s="3" t="n">
        <v>239</v>
      </c>
      <c r="C241" s="3" t="n">
        <v>1</v>
      </c>
      <c r="D241" s="3" t="n">
        <v>3</v>
      </c>
      <c r="E241" s="3" t="n">
        <v>1</v>
      </c>
      <c r="F241" s="24" t="n">
        <v>-0.628077507</v>
      </c>
    </row>
    <row r="242" customFormat="false" ht="15" hidden="false" customHeight="false" outlineLevel="0" collapsed="false">
      <c r="A242" s="3" t="n">
        <v>241</v>
      </c>
      <c r="B242" s="3" t="n">
        <v>240</v>
      </c>
      <c r="C242" s="3" t="n">
        <v>1</v>
      </c>
      <c r="D242" s="3" t="n">
        <v>3</v>
      </c>
      <c r="E242" s="3" t="n">
        <v>2</v>
      </c>
      <c r="F242" s="24" t="n">
        <v>-0.336228043</v>
      </c>
    </row>
    <row r="243" customFormat="false" ht="15" hidden="false" customHeight="false" outlineLevel="0" collapsed="false">
      <c r="A243" s="3" t="n">
        <v>242</v>
      </c>
      <c r="B243" s="3" t="n">
        <v>241</v>
      </c>
      <c r="C243" s="3" t="n">
        <v>1</v>
      </c>
      <c r="D243" s="3" t="n">
        <v>3</v>
      </c>
      <c r="E243" s="3" t="n">
        <v>3</v>
      </c>
      <c r="F243" s="24" t="n">
        <v>-0.343401372</v>
      </c>
    </row>
    <row r="244" customFormat="false" ht="15" hidden="false" customHeight="false" outlineLevel="0" collapsed="false">
      <c r="A244" s="3" t="n">
        <v>243</v>
      </c>
      <c r="B244" s="3" t="n">
        <v>242</v>
      </c>
      <c r="C244" s="3" t="n">
        <v>1</v>
      </c>
      <c r="D244" s="3" t="n">
        <v>3</v>
      </c>
      <c r="E244" s="3" t="n">
        <v>4</v>
      </c>
      <c r="F244" s="24" t="n">
        <v>-0.904827237</v>
      </c>
    </row>
    <row r="245" customFormat="false" ht="15" hidden="false" customHeight="false" outlineLevel="0" collapsed="false">
      <c r="A245" s="3" t="n">
        <v>244</v>
      </c>
      <c r="B245" s="3" t="n">
        <v>243</v>
      </c>
      <c r="C245" s="3" t="n">
        <v>1</v>
      </c>
      <c r="D245" s="3" t="n">
        <v>3</v>
      </c>
      <c r="E245" s="3" t="n">
        <v>5</v>
      </c>
      <c r="F245" s="24" t="n">
        <v>-0.0336930081</v>
      </c>
    </row>
    <row r="246" customFormat="false" ht="15" hidden="false" customHeight="false" outlineLevel="0" collapsed="false">
      <c r="A246" s="3" t="n">
        <v>245</v>
      </c>
      <c r="B246" s="3" t="n">
        <v>244</v>
      </c>
      <c r="C246" s="3" t="n">
        <v>1</v>
      </c>
      <c r="D246" s="3" t="n">
        <v>3</v>
      </c>
      <c r="E246" s="3" t="n">
        <v>6</v>
      </c>
      <c r="F246" s="24" t="n">
        <v>0.22023654</v>
      </c>
    </row>
    <row r="247" customFormat="false" ht="15" hidden="false" customHeight="false" outlineLevel="0" collapsed="false">
      <c r="A247" s="3" t="n">
        <v>246</v>
      </c>
      <c r="B247" s="3" t="n">
        <v>245</v>
      </c>
      <c r="C247" s="3" t="n">
        <v>1</v>
      </c>
      <c r="D247" s="3" t="n">
        <v>3</v>
      </c>
      <c r="E247" s="3" t="n">
        <v>7</v>
      </c>
      <c r="F247" s="24" t="n">
        <v>0.216450781</v>
      </c>
    </row>
    <row r="248" customFormat="false" ht="15" hidden="false" customHeight="false" outlineLevel="0" collapsed="false">
      <c r="A248" s="3" t="n">
        <v>247</v>
      </c>
      <c r="B248" s="3" t="n">
        <v>246</v>
      </c>
      <c r="C248" s="3" t="n">
        <v>1</v>
      </c>
      <c r="D248" s="3" t="n">
        <v>3</v>
      </c>
      <c r="E248" s="3" t="n">
        <v>8</v>
      </c>
      <c r="F248" s="24" t="n">
        <v>0.0592819415</v>
      </c>
    </row>
    <row r="249" customFormat="false" ht="15" hidden="false" customHeight="false" outlineLevel="0" collapsed="false">
      <c r="A249" s="3" t="n">
        <v>248</v>
      </c>
      <c r="B249" s="3" t="n">
        <v>247</v>
      </c>
      <c r="C249" s="3" t="n">
        <v>1</v>
      </c>
      <c r="D249" s="3" t="n">
        <v>3</v>
      </c>
      <c r="E249" s="3" t="n">
        <v>9</v>
      </c>
      <c r="F249" s="24" t="n">
        <v>0.662068129</v>
      </c>
    </row>
    <row r="250" customFormat="false" ht="15" hidden="false" customHeight="false" outlineLevel="0" collapsed="false">
      <c r="A250" s="3" t="n">
        <v>249</v>
      </c>
      <c r="B250" s="3" t="n">
        <v>248</v>
      </c>
      <c r="C250" s="3" t="n">
        <v>1</v>
      </c>
      <c r="D250" s="3" t="n">
        <v>3</v>
      </c>
      <c r="E250" s="3" t="n">
        <v>10</v>
      </c>
      <c r="F250" s="24" t="n">
        <v>0.593636572</v>
      </c>
    </row>
    <row r="251" customFormat="false" ht="15" hidden="false" customHeight="false" outlineLevel="0" collapsed="false">
      <c r="A251" s="3" t="n">
        <v>250</v>
      </c>
      <c r="B251" s="3" t="n">
        <v>249</v>
      </c>
      <c r="C251" s="3" t="n">
        <v>1</v>
      </c>
      <c r="D251" s="3" t="n">
        <v>3</v>
      </c>
      <c r="E251" s="3" t="n">
        <v>11</v>
      </c>
      <c r="F251" s="24" t="n">
        <v>-0.519615233</v>
      </c>
    </row>
    <row r="252" customFormat="false" ht="15" hidden="false" customHeight="false" outlineLevel="0" collapsed="false">
      <c r="A252" s="3" t="n">
        <v>251</v>
      </c>
      <c r="B252" s="3" t="n">
        <v>250</v>
      </c>
      <c r="C252" s="3" t="n">
        <v>1</v>
      </c>
      <c r="D252" s="3" t="n">
        <v>3</v>
      </c>
      <c r="E252" s="3" t="n">
        <v>12</v>
      </c>
      <c r="F252" s="24" t="n">
        <v>-0.191923022</v>
      </c>
    </row>
    <row r="253" customFormat="false" ht="15" hidden="false" customHeight="false" outlineLevel="0" collapsed="false">
      <c r="A253" s="3" t="n">
        <v>252</v>
      </c>
      <c r="B253" s="3" t="n">
        <v>251</v>
      </c>
      <c r="C253" s="3" t="n">
        <v>1</v>
      </c>
      <c r="D253" s="3" t="n">
        <v>3</v>
      </c>
      <c r="E253" s="3" t="n">
        <v>13</v>
      </c>
      <c r="F253" s="24" t="n">
        <v>-0.309091032</v>
      </c>
    </row>
    <row r="254" customFormat="false" ht="15" hidden="false" customHeight="false" outlineLevel="0" collapsed="false">
      <c r="A254" s="3" t="n">
        <v>253</v>
      </c>
      <c r="B254" s="3" t="n">
        <v>252</v>
      </c>
      <c r="C254" s="3" t="n">
        <v>1</v>
      </c>
      <c r="D254" s="3" t="n">
        <v>4</v>
      </c>
      <c r="E254" s="3" t="n">
        <v>0</v>
      </c>
      <c r="F254" s="24" t="n">
        <v>-0.416940302</v>
      </c>
    </row>
    <row r="255" customFormat="false" ht="15" hidden="false" customHeight="false" outlineLevel="0" collapsed="false">
      <c r="A255" s="3" t="n">
        <v>254</v>
      </c>
      <c r="B255" s="3" t="n">
        <v>253</v>
      </c>
      <c r="C255" s="3" t="n">
        <v>1</v>
      </c>
      <c r="D255" s="3" t="n">
        <v>4</v>
      </c>
      <c r="E255" s="3" t="n">
        <v>1</v>
      </c>
      <c r="F255" s="24" t="n">
        <v>0.49130702</v>
      </c>
    </row>
    <row r="256" customFormat="false" ht="15" hidden="false" customHeight="false" outlineLevel="0" collapsed="false">
      <c r="A256" s="3" t="n">
        <v>255</v>
      </c>
      <c r="B256" s="3" t="n">
        <v>254</v>
      </c>
      <c r="C256" s="3" t="n">
        <v>1</v>
      </c>
      <c r="D256" s="3" t="n">
        <v>4</v>
      </c>
      <c r="E256" s="3" t="n">
        <v>2</v>
      </c>
      <c r="F256" s="24" t="n">
        <v>2.83054781</v>
      </c>
    </row>
    <row r="257" customFormat="false" ht="15" hidden="false" customHeight="false" outlineLevel="0" collapsed="false">
      <c r="A257" s="3" t="n">
        <v>256</v>
      </c>
      <c r="B257" s="3" t="n">
        <v>255</v>
      </c>
      <c r="C257" s="3" t="n">
        <v>1</v>
      </c>
      <c r="D257" s="3" t="n">
        <v>4</v>
      </c>
      <c r="E257" s="3" t="n">
        <v>3</v>
      </c>
      <c r="F257" s="24" t="n">
        <v>-1.1365912</v>
      </c>
    </row>
    <row r="258" customFormat="false" ht="15" hidden="false" customHeight="false" outlineLevel="0" collapsed="false">
      <c r="A258" s="3" t="n">
        <v>257</v>
      </c>
      <c r="B258" s="3" t="n">
        <v>256</v>
      </c>
      <c r="C258" s="3" t="n">
        <v>1</v>
      </c>
      <c r="D258" s="3" t="n">
        <v>4</v>
      </c>
      <c r="E258" s="3" t="n">
        <v>4</v>
      </c>
      <c r="F258" s="24" t="n">
        <v>-3.72265363</v>
      </c>
    </row>
    <row r="259" customFormat="false" ht="15" hidden="false" customHeight="false" outlineLevel="0" collapsed="false">
      <c r="A259" s="3" t="n">
        <v>258</v>
      </c>
      <c r="B259" s="3" t="n">
        <v>257</v>
      </c>
      <c r="C259" s="3" t="n">
        <v>1</v>
      </c>
      <c r="D259" s="3" t="n">
        <v>4</v>
      </c>
      <c r="E259" s="3" t="n">
        <v>5</v>
      </c>
      <c r="F259" s="24" t="n">
        <v>-3.20381832</v>
      </c>
    </row>
    <row r="260" customFormat="false" ht="15" hidden="false" customHeight="false" outlineLevel="0" collapsed="false">
      <c r="A260" s="3" t="n">
        <v>259</v>
      </c>
      <c r="B260" s="3" t="n">
        <v>258</v>
      </c>
      <c r="C260" s="3" t="n">
        <v>1</v>
      </c>
      <c r="D260" s="3" t="n">
        <v>4</v>
      </c>
      <c r="E260" s="3" t="n">
        <v>6</v>
      </c>
      <c r="F260" s="24" t="n">
        <v>-1.69863236</v>
      </c>
    </row>
    <row r="261" customFormat="false" ht="15" hidden="false" customHeight="false" outlineLevel="0" collapsed="false">
      <c r="A261" s="3" t="n">
        <v>260</v>
      </c>
      <c r="B261" s="3" t="n">
        <v>259</v>
      </c>
      <c r="C261" s="3" t="n">
        <v>1</v>
      </c>
      <c r="D261" s="3" t="n">
        <v>4</v>
      </c>
      <c r="E261" s="3" t="n">
        <v>7</v>
      </c>
      <c r="F261" s="24" t="n">
        <v>-1.14358985</v>
      </c>
    </row>
    <row r="262" customFormat="false" ht="15" hidden="false" customHeight="false" outlineLevel="0" collapsed="false">
      <c r="A262" s="3" t="n">
        <v>261</v>
      </c>
      <c r="B262" s="3" t="n">
        <v>260</v>
      </c>
      <c r="C262" s="3" t="n">
        <v>1</v>
      </c>
      <c r="D262" s="3" t="n">
        <v>4</v>
      </c>
      <c r="E262" s="3" t="n">
        <v>8</v>
      </c>
      <c r="F262" s="24" t="n">
        <v>-0.0342271999</v>
      </c>
    </row>
    <row r="263" customFormat="false" ht="15" hidden="false" customHeight="false" outlineLevel="0" collapsed="false">
      <c r="A263" s="3" t="n">
        <v>262</v>
      </c>
      <c r="B263" s="3" t="n">
        <v>261</v>
      </c>
      <c r="C263" s="3" t="n">
        <v>1</v>
      </c>
      <c r="D263" s="3" t="n">
        <v>4</v>
      </c>
      <c r="E263" s="3" t="n">
        <v>9</v>
      </c>
      <c r="F263" s="24" t="n">
        <v>2.58623195</v>
      </c>
    </row>
    <row r="264" customFormat="false" ht="15" hidden="false" customHeight="false" outlineLevel="0" collapsed="false">
      <c r="A264" s="3" t="n">
        <v>263</v>
      </c>
      <c r="B264" s="3" t="n">
        <v>262</v>
      </c>
      <c r="C264" s="3" t="n">
        <v>1</v>
      </c>
      <c r="D264" s="3" t="n">
        <v>4</v>
      </c>
      <c r="E264" s="3" t="n">
        <v>10</v>
      </c>
      <c r="F264" s="24" t="n">
        <v>0.508572876</v>
      </c>
    </row>
    <row r="265" customFormat="false" ht="15" hidden="false" customHeight="false" outlineLevel="0" collapsed="false">
      <c r="A265" s="3" t="n">
        <v>264</v>
      </c>
      <c r="B265" s="3" t="n">
        <v>263</v>
      </c>
      <c r="C265" s="3" t="n">
        <v>1</v>
      </c>
      <c r="D265" s="3" t="n">
        <v>4</v>
      </c>
      <c r="E265" s="3" t="n">
        <v>11</v>
      </c>
      <c r="F265" s="24" t="n">
        <v>-1.98330116</v>
      </c>
    </row>
    <row r="266" customFormat="false" ht="15" hidden="false" customHeight="false" outlineLevel="0" collapsed="false">
      <c r="A266" s="3" t="n">
        <v>265</v>
      </c>
      <c r="B266" s="3" t="n">
        <v>264</v>
      </c>
      <c r="C266" s="3" t="n">
        <v>1</v>
      </c>
      <c r="D266" s="3" t="n">
        <v>4</v>
      </c>
      <c r="E266" s="3" t="n">
        <v>12</v>
      </c>
      <c r="F266" s="24" t="n">
        <v>-0.177522033</v>
      </c>
    </row>
    <row r="267" customFormat="false" ht="15" hidden="false" customHeight="false" outlineLevel="0" collapsed="false">
      <c r="A267" s="3" t="n">
        <v>266</v>
      </c>
      <c r="B267" s="3" t="n">
        <v>265</v>
      </c>
      <c r="C267" s="3" t="n">
        <v>1</v>
      </c>
      <c r="D267" s="3" t="n">
        <v>4</v>
      </c>
      <c r="E267" s="3" t="n">
        <v>13</v>
      </c>
      <c r="F267" s="24" t="n">
        <v>-0.309091032</v>
      </c>
    </row>
    <row r="268" customFormat="false" ht="15" hidden="false" customHeight="false" outlineLevel="0" collapsed="false">
      <c r="A268" s="3" t="n">
        <v>267</v>
      </c>
      <c r="B268" s="3" t="n">
        <v>266</v>
      </c>
      <c r="C268" s="3" t="n">
        <v>1</v>
      </c>
      <c r="D268" s="3" t="n">
        <v>5</v>
      </c>
      <c r="E268" s="3" t="n">
        <v>0</v>
      </c>
      <c r="F268" s="24" t="n">
        <v>-0.416940302</v>
      </c>
    </row>
    <row r="269" customFormat="false" ht="15" hidden="false" customHeight="false" outlineLevel="0" collapsed="false">
      <c r="A269" s="3" t="n">
        <v>268</v>
      </c>
      <c r="B269" s="3" t="n">
        <v>267</v>
      </c>
      <c r="C269" s="3" t="n">
        <v>1</v>
      </c>
      <c r="D269" s="3" t="n">
        <v>5</v>
      </c>
      <c r="E269" s="3" t="n">
        <v>1</v>
      </c>
      <c r="F269" s="24" t="n">
        <v>0.620840192</v>
      </c>
    </row>
    <row r="270" customFormat="false" ht="15" hidden="false" customHeight="false" outlineLevel="0" collapsed="false">
      <c r="A270" s="3" t="n">
        <v>269</v>
      </c>
      <c r="B270" s="3" t="n">
        <v>268</v>
      </c>
      <c r="C270" s="3" t="n">
        <v>1</v>
      </c>
      <c r="D270" s="3" t="n">
        <v>5</v>
      </c>
      <c r="E270" s="3" t="n">
        <v>2</v>
      </c>
      <c r="F270" s="24" t="n">
        <v>0.342800945</v>
      </c>
    </row>
    <row r="271" customFormat="false" ht="15" hidden="false" customHeight="false" outlineLevel="0" collapsed="false">
      <c r="A271" s="3" t="n">
        <v>270</v>
      </c>
      <c r="B271" s="3" t="n">
        <v>269</v>
      </c>
      <c r="C271" s="3" t="n">
        <v>1</v>
      </c>
      <c r="D271" s="3" t="n">
        <v>5</v>
      </c>
      <c r="E271" s="3" t="n">
        <v>3</v>
      </c>
      <c r="F271" s="24" t="n">
        <v>-2.54529023</v>
      </c>
    </row>
    <row r="272" customFormat="false" ht="15" hidden="false" customHeight="false" outlineLevel="0" collapsed="false">
      <c r="A272" s="3" t="n">
        <v>271</v>
      </c>
      <c r="B272" s="3" t="n">
        <v>270</v>
      </c>
      <c r="C272" s="3" t="n">
        <v>1</v>
      </c>
      <c r="D272" s="3" t="n">
        <v>5</v>
      </c>
      <c r="E272" s="3" t="n">
        <v>4</v>
      </c>
      <c r="F272" s="24" t="n">
        <v>-3.3646965</v>
      </c>
    </row>
    <row r="273" customFormat="false" ht="15" hidden="false" customHeight="false" outlineLevel="0" collapsed="false">
      <c r="A273" s="3" t="n">
        <v>272</v>
      </c>
      <c r="B273" s="3" t="n">
        <v>271</v>
      </c>
      <c r="C273" s="3" t="n">
        <v>1</v>
      </c>
      <c r="D273" s="3" t="n">
        <v>5</v>
      </c>
      <c r="E273" s="3" t="n">
        <v>5</v>
      </c>
      <c r="F273" s="24" t="n">
        <v>-3.07216787</v>
      </c>
    </row>
    <row r="274" customFormat="false" ht="15" hidden="false" customHeight="false" outlineLevel="0" collapsed="false">
      <c r="A274" s="3" t="n">
        <v>273</v>
      </c>
      <c r="B274" s="3" t="n">
        <v>272</v>
      </c>
      <c r="C274" s="3" t="n">
        <v>1</v>
      </c>
      <c r="D274" s="3" t="n">
        <v>5</v>
      </c>
      <c r="E274" s="3" t="n">
        <v>6</v>
      </c>
      <c r="F274" s="24" t="n">
        <v>-3.85996747</v>
      </c>
    </row>
    <row r="275" customFormat="false" ht="15" hidden="false" customHeight="false" outlineLevel="0" collapsed="false">
      <c r="A275" s="3" t="n">
        <v>274</v>
      </c>
      <c r="B275" s="3" t="n">
        <v>273</v>
      </c>
      <c r="C275" s="3" t="n">
        <v>1</v>
      </c>
      <c r="D275" s="3" t="n">
        <v>5</v>
      </c>
      <c r="E275" s="3" t="n">
        <v>7</v>
      </c>
      <c r="F275" s="24" t="n">
        <v>-4.21593714</v>
      </c>
    </row>
    <row r="276" customFormat="false" ht="15" hidden="false" customHeight="false" outlineLevel="0" collapsed="false">
      <c r="A276" s="3" t="n">
        <v>275</v>
      </c>
      <c r="B276" s="3" t="n">
        <v>274</v>
      </c>
      <c r="C276" s="3" t="n">
        <v>1</v>
      </c>
      <c r="D276" s="3" t="n">
        <v>5</v>
      </c>
      <c r="E276" s="3" t="n">
        <v>8</v>
      </c>
      <c r="F276" s="24" t="n">
        <v>-0.938421845</v>
      </c>
    </row>
    <row r="277" customFormat="false" ht="15" hidden="false" customHeight="false" outlineLevel="0" collapsed="false">
      <c r="A277" s="3" t="n">
        <v>276</v>
      </c>
      <c r="B277" s="3" t="n">
        <v>275</v>
      </c>
      <c r="C277" s="3" t="n">
        <v>1</v>
      </c>
      <c r="D277" s="3" t="n">
        <v>5</v>
      </c>
      <c r="E277" s="3" t="n">
        <v>9</v>
      </c>
      <c r="F277" s="24" t="n">
        <v>0.402043283</v>
      </c>
    </row>
    <row r="278" customFormat="false" ht="15" hidden="false" customHeight="false" outlineLevel="0" collapsed="false">
      <c r="A278" s="3" t="n">
        <v>277</v>
      </c>
      <c r="B278" s="3" t="n">
        <v>276</v>
      </c>
      <c r="C278" s="3" t="n">
        <v>1</v>
      </c>
      <c r="D278" s="3" t="n">
        <v>5</v>
      </c>
      <c r="E278" s="3" t="n">
        <v>10</v>
      </c>
      <c r="F278" s="24" t="n">
        <v>-6.34407187</v>
      </c>
    </row>
    <row r="279" customFormat="false" ht="15" hidden="false" customHeight="false" outlineLevel="0" collapsed="false">
      <c r="A279" s="3" t="n">
        <v>278</v>
      </c>
      <c r="B279" s="3" t="n">
        <v>277</v>
      </c>
      <c r="C279" s="3" t="n">
        <v>1</v>
      </c>
      <c r="D279" s="3" t="n">
        <v>5</v>
      </c>
      <c r="E279" s="3" t="n">
        <v>11</v>
      </c>
      <c r="F279" s="24" t="n">
        <v>-5.02994156</v>
      </c>
    </row>
    <row r="280" customFormat="false" ht="15" hidden="false" customHeight="false" outlineLevel="0" collapsed="false">
      <c r="A280" s="3" t="n">
        <v>279</v>
      </c>
      <c r="B280" s="3" t="n">
        <v>278</v>
      </c>
      <c r="C280" s="3" t="n">
        <v>1</v>
      </c>
      <c r="D280" s="3" t="n">
        <v>5</v>
      </c>
      <c r="E280" s="3" t="n">
        <v>12</v>
      </c>
      <c r="F280" s="24" t="n">
        <v>-0.639104605</v>
      </c>
    </row>
    <row r="281" customFormat="false" ht="15" hidden="false" customHeight="false" outlineLevel="0" collapsed="false">
      <c r="A281" s="3" t="n">
        <v>280</v>
      </c>
      <c r="B281" s="3" t="n">
        <v>279</v>
      </c>
      <c r="C281" s="3" t="n">
        <v>1</v>
      </c>
      <c r="D281" s="3" t="n">
        <v>5</v>
      </c>
      <c r="E281" s="3" t="n">
        <v>13</v>
      </c>
      <c r="F281" s="24" t="n">
        <v>-0.309091032</v>
      </c>
    </row>
    <row r="282" customFormat="false" ht="15" hidden="false" customHeight="false" outlineLevel="0" collapsed="false">
      <c r="A282" s="3" t="n">
        <v>281</v>
      </c>
      <c r="B282" s="3" t="n">
        <v>280</v>
      </c>
      <c r="C282" s="3" t="n">
        <v>1</v>
      </c>
      <c r="D282" s="3" t="n">
        <v>6</v>
      </c>
      <c r="E282" s="3" t="n">
        <v>0</v>
      </c>
      <c r="F282" s="24" t="n">
        <v>-0.416940302</v>
      </c>
    </row>
    <row r="283" customFormat="false" ht="15" hidden="false" customHeight="false" outlineLevel="0" collapsed="false">
      <c r="A283" s="3" t="n">
        <v>282</v>
      </c>
      <c r="B283" s="3" t="n">
        <v>281</v>
      </c>
      <c r="C283" s="3" t="n">
        <v>1</v>
      </c>
      <c r="D283" s="3" t="n">
        <v>6</v>
      </c>
      <c r="E283" s="3" t="n">
        <v>1</v>
      </c>
      <c r="F283" s="24" t="n">
        <v>-0.478706509</v>
      </c>
    </row>
    <row r="284" customFormat="false" ht="15" hidden="false" customHeight="false" outlineLevel="0" collapsed="false">
      <c r="A284" s="3" t="n">
        <v>283</v>
      </c>
      <c r="B284" s="3" t="n">
        <v>282</v>
      </c>
      <c r="C284" s="3" t="n">
        <v>1</v>
      </c>
      <c r="D284" s="3" t="n">
        <v>6</v>
      </c>
      <c r="E284" s="3" t="n">
        <v>2</v>
      </c>
      <c r="F284" s="24" t="n">
        <v>-0.454756171</v>
      </c>
    </row>
    <row r="285" customFormat="false" ht="15" hidden="false" customHeight="false" outlineLevel="0" collapsed="false">
      <c r="A285" s="3" t="n">
        <v>284</v>
      </c>
      <c r="B285" s="3" t="n">
        <v>283</v>
      </c>
      <c r="C285" s="3" t="n">
        <v>1</v>
      </c>
      <c r="D285" s="3" t="n">
        <v>6</v>
      </c>
      <c r="E285" s="3" t="n">
        <v>3</v>
      </c>
      <c r="F285" s="24" t="n">
        <v>-0.73655206</v>
      </c>
    </row>
    <row r="286" customFormat="false" ht="15" hidden="false" customHeight="false" outlineLevel="0" collapsed="false">
      <c r="A286" s="3" t="n">
        <v>285</v>
      </c>
      <c r="B286" s="3" t="n">
        <v>284</v>
      </c>
      <c r="C286" s="3" t="n">
        <v>1</v>
      </c>
      <c r="D286" s="3" t="n">
        <v>6</v>
      </c>
      <c r="E286" s="3" t="n">
        <v>4</v>
      </c>
      <c r="F286" s="24" t="n">
        <v>-1.07057071</v>
      </c>
    </row>
    <row r="287" customFormat="false" ht="15" hidden="false" customHeight="false" outlineLevel="0" collapsed="false">
      <c r="A287" s="3" t="n">
        <v>286</v>
      </c>
      <c r="B287" s="3" t="n">
        <v>285</v>
      </c>
      <c r="C287" s="3" t="n">
        <v>1</v>
      </c>
      <c r="D287" s="3" t="n">
        <v>6</v>
      </c>
      <c r="E287" s="3" t="n">
        <v>5</v>
      </c>
      <c r="F287" s="24" t="n">
        <v>-1.46570671</v>
      </c>
    </row>
    <row r="288" customFormat="false" ht="15" hidden="false" customHeight="false" outlineLevel="0" collapsed="false">
      <c r="A288" s="3" t="n">
        <v>287</v>
      </c>
      <c r="B288" s="3" t="n">
        <v>286</v>
      </c>
      <c r="C288" s="3" t="n">
        <v>1</v>
      </c>
      <c r="D288" s="3" t="n">
        <v>6</v>
      </c>
      <c r="E288" s="3" t="n">
        <v>6</v>
      </c>
      <c r="F288" s="24" t="n">
        <v>-2.17987299</v>
      </c>
    </row>
    <row r="289" customFormat="false" ht="15" hidden="false" customHeight="false" outlineLevel="0" collapsed="false">
      <c r="A289" s="3" t="n">
        <v>288</v>
      </c>
      <c r="B289" s="3" t="n">
        <v>287</v>
      </c>
      <c r="C289" s="3" t="n">
        <v>1</v>
      </c>
      <c r="D289" s="3" t="n">
        <v>6</v>
      </c>
      <c r="E289" s="3" t="n">
        <v>7</v>
      </c>
      <c r="F289" s="24" t="n">
        <v>-0.762809575</v>
      </c>
    </row>
    <row r="290" customFormat="false" ht="15" hidden="false" customHeight="false" outlineLevel="0" collapsed="false">
      <c r="A290" s="3" t="n">
        <v>289</v>
      </c>
      <c r="B290" s="3" t="n">
        <v>288</v>
      </c>
      <c r="C290" s="3" t="n">
        <v>1</v>
      </c>
      <c r="D290" s="3" t="n">
        <v>6</v>
      </c>
      <c r="E290" s="3" t="n">
        <v>8</v>
      </c>
      <c r="F290" s="24" t="n">
        <v>4.35405207</v>
      </c>
    </row>
    <row r="291" customFormat="false" ht="15" hidden="false" customHeight="false" outlineLevel="0" collapsed="false">
      <c r="A291" s="3" t="n">
        <v>290</v>
      </c>
      <c r="B291" s="3" t="n">
        <v>289</v>
      </c>
      <c r="C291" s="3" t="n">
        <v>1</v>
      </c>
      <c r="D291" s="3" t="n">
        <v>6</v>
      </c>
      <c r="E291" s="3" t="n">
        <v>9</v>
      </c>
      <c r="F291" s="24" t="n">
        <v>-2.51650763</v>
      </c>
    </row>
    <row r="292" customFormat="false" ht="15" hidden="false" customHeight="false" outlineLevel="0" collapsed="false">
      <c r="A292" s="3" t="n">
        <v>291</v>
      </c>
      <c r="B292" s="3" t="n">
        <v>290</v>
      </c>
      <c r="C292" s="3" t="n">
        <v>1</v>
      </c>
      <c r="D292" s="3" t="n">
        <v>6</v>
      </c>
      <c r="E292" s="3" t="n">
        <v>10</v>
      </c>
      <c r="F292" s="24" t="n">
        <v>-7.01995277</v>
      </c>
    </row>
    <row r="293" customFormat="false" ht="15" hidden="false" customHeight="false" outlineLevel="0" collapsed="false">
      <c r="A293" s="3" t="n">
        <v>292</v>
      </c>
      <c r="B293" s="3" t="n">
        <v>291</v>
      </c>
      <c r="C293" s="3" t="n">
        <v>1</v>
      </c>
      <c r="D293" s="3" t="n">
        <v>6</v>
      </c>
      <c r="E293" s="3" t="n">
        <v>11</v>
      </c>
      <c r="F293" s="24" t="n">
        <v>-4.0797987</v>
      </c>
    </row>
    <row r="294" customFormat="false" ht="15" hidden="false" customHeight="false" outlineLevel="0" collapsed="false">
      <c r="A294" s="3" t="n">
        <v>293</v>
      </c>
      <c r="B294" s="3" t="n">
        <v>292</v>
      </c>
      <c r="C294" s="3" t="n">
        <v>1</v>
      </c>
      <c r="D294" s="3" t="n">
        <v>6</v>
      </c>
      <c r="E294" s="3" t="n">
        <v>12</v>
      </c>
      <c r="F294" s="24" t="n">
        <v>-0.588515222</v>
      </c>
    </row>
    <row r="295" customFormat="false" ht="15" hidden="false" customHeight="false" outlineLevel="0" collapsed="false">
      <c r="A295" s="3" t="n">
        <v>294</v>
      </c>
      <c r="B295" s="3" t="n">
        <v>293</v>
      </c>
      <c r="C295" s="3" t="n">
        <v>1</v>
      </c>
      <c r="D295" s="3" t="n">
        <v>6</v>
      </c>
      <c r="E295" s="3" t="n">
        <v>13</v>
      </c>
      <c r="F295" s="24" t="n">
        <v>-0.309091032</v>
      </c>
    </row>
    <row r="296" customFormat="false" ht="15" hidden="false" customHeight="false" outlineLevel="0" collapsed="false">
      <c r="A296" s="3" t="n">
        <v>295</v>
      </c>
      <c r="B296" s="3" t="n">
        <v>294</v>
      </c>
      <c r="C296" s="3" t="n">
        <v>1</v>
      </c>
      <c r="D296" s="3" t="n">
        <v>7</v>
      </c>
      <c r="E296" s="3" t="n">
        <v>0</v>
      </c>
      <c r="F296" s="24" t="n">
        <v>-0.416940302</v>
      </c>
    </row>
    <row r="297" customFormat="false" ht="15" hidden="false" customHeight="false" outlineLevel="0" collapsed="false">
      <c r="A297" s="3" t="n">
        <v>296</v>
      </c>
      <c r="B297" s="3" t="n">
        <v>295</v>
      </c>
      <c r="C297" s="3" t="n">
        <v>1</v>
      </c>
      <c r="D297" s="3" t="n">
        <v>7</v>
      </c>
      <c r="E297" s="3" t="n">
        <v>1</v>
      </c>
      <c r="F297" s="24" t="n">
        <v>-0.455217689</v>
      </c>
    </row>
    <row r="298" customFormat="false" ht="15" hidden="false" customHeight="false" outlineLevel="0" collapsed="false">
      <c r="A298" s="3" t="n">
        <v>297</v>
      </c>
      <c r="B298" s="3" t="n">
        <v>296</v>
      </c>
      <c r="C298" s="3" t="n">
        <v>1</v>
      </c>
      <c r="D298" s="3" t="n">
        <v>7</v>
      </c>
      <c r="E298" s="3" t="n">
        <v>2</v>
      </c>
      <c r="F298" s="24" t="n">
        <v>-0.280478835</v>
      </c>
    </row>
    <row r="299" customFormat="false" ht="15" hidden="false" customHeight="false" outlineLevel="0" collapsed="false">
      <c r="A299" s="3" t="n">
        <v>298</v>
      </c>
      <c r="B299" s="3" t="n">
        <v>297</v>
      </c>
      <c r="C299" s="3" t="n">
        <v>1</v>
      </c>
      <c r="D299" s="3" t="n">
        <v>7</v>
      </c>
      <c r="E299" s="3" t="n">
        <v>3</v>
      </c>
      <c r="F299" s="24" t="n">
        <v>-0.280478835</v>
      </c>
    </row>
    <row r="300" customFormat="false" ht="15" hidden="false" customHeight="false" outlineLevel="0" collapsed="false">
      <c r="A300" s="3" t="n">
        <v>299</v>
      </c>
      <c r="B300" s="3" t="n">
        <v>298</v>
      </c>
      <c r="C300" s="3" t="n">
        <v>1</v>
      </c>
      <c r="D300" s="3" t="n">
        <v>7</v>
      </c>
      <c r="E300" s="3" t="n">
        <v>4</v>
      </c>
      <c r="F300" s="24" t="n">
        <v>-0.280478835</v>
      </c>
    </row>
    <row r="301" customFormat="false" ht="15" hidden="false" customHeight="false" outlineLevel="0" collapsed="false">
      <c r="A301" s="3" t="n">
        <v>300</v>
      </c>
      <c r="B301" s="3" t="n">
        <v>299</v>
      </c>
      <c r="C301" s="3" t="n">
        <v>1</v>
      </c>
      <c r="D301" s="3" t="n">
        <v>7</v>
      </c>
      <c r="E301" s="3" t="n">
        <v>5</v>
      </c>
      <c r="F301" s="24" t="n">
        <v>-0.433773428</v>
      </c>
    </row>
    <row r="302" customFormat="false" ht="15" hidden="false" customHeight="false" outlineLevel="0" collapsed="false">
      <c r="A302" s="3" t="n">
        <v>301</v>
      </c>
      <c r="B302" s="3" t="n">
        <v>300</v>
      </c>
      <c r="C302" s="3" t="n">
        <v>1</v>
      </c>
      <c r="D302" s="3" t="n">
        <v>7</v>
      </c>
      <c r="E302" s="3" t="n">
        <v>6</v>
      </c>
      <c r="F302" s="24" t="n">
        <v>-0.923915148</v>
      </c>
    </row>
    <row r="303" customFormat="false" ht="15" hidden="false" customHeight="false" outlineLevel="0" collapsed="false">
      <c r="A303" s="3" t="n">
        <v>302</v>
      </c>
      <c r="B303" s="3" t="n">
        <v>301</v>
      </c>
      <c r="C303" s="3" t="n">
        <v>1</v>
      </c>
      <c r="D303" s="3" t="n">
        <v>7</v>
      </c>
      <c r="E303" s="3" t="n">
        <v>7</v>
      </c>
      <c r="F303" s="24" t="n">
        <v>5.45089626</v>
      </c>
    </row>
    <row r="304" customFormat="false" ht="15" hidden="false" customHeight="false" outlineLevel="0" collapsed="false">
      <c r="A304" s="3" t="n">
        <v>303</v>
      </c>
      <c r="B304" s="3" t="n">
        <v>302</v>
      </c>
      <c r="C304" s="3" t="n">
        <v>1</v>
      </c>
      <c r="D304" s="3" t="n">
        <v>7</v>
      </c>
      <c r="E304" s="3" t="n">
        <v>8</v>
      </c>
      <c r="F304" s="24" t="n">
        <v>5.99672031</v>
      </c>
    </row>
    <row r="305" customFormat="false" ht="15" hidden="false" customHeight="false" outlineLevel="0" collapsed="false">
      <c r="A305" s="3" t="n">
        <v>304</v>
      </c>
      <c r="B305" s="3" t="n">
        <v>303</v>
      </c>
      <c r="C305" s="3" t="n">
        <v>1</v>
      </c>
      <c r="D305" s="3" t="n">
        <v>7</v>
      </c>
      <c r="E305" s="3" t="n">
        <v>9</v>
      </c>
      <c r="F305" s="24" t="n">
        <v>-5.87637424</v>
      </c>
    </row>
    <row r="306" customFormat="false" ht="15" hidden="false" customHeight="false" outlineLevel="0" collapsed="false">
      <c r="A306" s="3" t="n">
        <v>305</v>
      </c>
      <c r="B306" s="3" t="n">
        <v>304</v>
      </c>
      <c r="C306" s="3" t="n">
        <v>1</v>
      </c>
      <c r="D306" s="3" t="n">
        <v>7</v>
      </c>
      <c r="E306" s="3" t="n">
        <v>10</v>
      </c>
      <c r="F306" s="24" t="n">
        <v>-6.25760221</v>
      </c>
    </row>
    <row r="307" customFormat="false" ht="15" hidden="false" customHeight="false" outlineLevel="0" collapsed="false">
      <c r="A307" s="3" t="n">
        <v>306</v>
      </c>
      <c r="B307" s="3" t="n">
        <v>305</v>
      </c>
      <c r="C307" s="3" t="n">
        <v>1</v>
      </c>
      <c r="D307" s="3" t="n">
        <v>7</v>
      </c>
      <c r="E307" s="3" t="n">
        <v>11</v>
      </c>
      <c r="F307" s="24" t="n">
        <v>-2.4323051</v>
      </c>
    </row>
    <row r="308" customFormat="false" ht="15" hidden="false" customHeight="false" outlineLevel="0" collapsed="false">
      <c r="A308" s="3" t="n">
        <v>307</v>
      </c>
      <c r="B308" s="3" t="n">
        <v>306</v>
      </c>
      <c r="C308" s="3" t="n">
        <v>1</v>
      </c>
      <c r="D308" s="3" t="n">
        <v>7</v>
      </c>
      <c r="E308" s="3" t="n">
        <v>12</v>
      </c>
      <c r="F308" s="24" t="n">
        <v>-0.0902532116</v>
      </c>
    </row>
    <row r="309" customFormat="false" ht="15" hidden="false" customHeight="false" outlineLevel="0" collapsed="false">
      <c r="A309" s="3" t="n">
        <v>308</v>
      </c>
      <c r="B309" s="3" t="n">
        <v>307</v>
      </c>
      <c r="C309" s="3" t="n">
        <v>1</v>
      </c>
      <c r="D309" s="3" t="n">
        <v>7</v>
      </c>
      <c r="E309" s="3" t="n">
        <v>13</v>
      </c>
      <c r="F309" s="24" t="n">
        <v>-0.309091032</v>
      </c>
    </row>
    <row r="310" customFormat="false" ht="15" hidden="false" customHeight="false" outlineLevel="0" collapsed="false">
      <c r="A310" s="3" t="n">
        <v>309</v>
      </c>
      <c r="B310" s="3" t="n">
        <v>308</v>
      </c>
      <c r="C310" s="3" t="n">
        <v>1</v>
      </c>
      <c r="D310" s="3" t="n">
        <v>8</v>
      </c>
      <c r="E310" s="3" t="n">
        <v>0</v>
      </c>
      <c r="F310" s="24" t="n">
        <v>-0.416940302</v>
      </c>
    </row>
    <row r="311" customFormat="false" ht="15" hidden="false" customHeight="false" outlineLevel="0" collapsed="false">
      <c r="A311" s="3" t="n">
        <v>310</v>
      </c>
      <c r="B311" s="3" t="n">
        <v>309</v>
      </c>
      <c r="C311" s="3" t="n">
        <v>1</v>
      </c>
      <c r="D311" s="3" t="n">
        <v>8</v>
      </c>
      <c r="E311" s="3" t="n">
        <v>1</v>
      </c>
      <c r="F311" s="24" t="n">
        <v>-0.455217689</v>
      </c>
    </row>
    <row r="312" customFormat="false" ht="15" hidden="false" customHeight="false" outlineLevel="0" collapsed="false">
      <c r="A312" s="3" t="n">
        <v>311</v>
      </c>
      <c r="B312" s="3" t="n">
        <v>310</v>
      </c>
      <c r="C312" s="3" t="n">
        <v>1</v>
      </c>
      <c r="D312" s="3" t="n">
        <v>8</v>
      </c>
      <c r="E312" s="3" t="n">
        <v>2</v>
      </c>
      <c r="F312" s="24" t="n">
        <v>-0.280478835</v>
      </c>
    </row>
    <row r="313" customFormat="false" ht="15" hidden="false" customHeight="false" outlineLevel="0" collapsed="false">
      <c r="A313" s="3" t="n">
        <v>312</v>
      </c>
      <c r="B313" s="3" t="n">
        <v>311</v>
      </c>
      <c r="C313" s="3" t="n">
        <v>1</v>
      </c>
      <c r="D313" s="3" t="n">
        <v>8</v>
      </c>
      <c r="E313" s="3" t="n">
        <v>3</v>
      </c>
      <c r="F313" s="24" t="n">
        <v>-0.280478835</v>
      </c>
    </row>
    <row r="314" customFormat="false" ht="15" hidden="false" customHeight="false" outlineLevel="0" collapsed="false">
      <c r="A314" s="3" t="n">
        <v>313</v>
      </c>
      <c r="B314" s="3" t="n">
        <v>312</v>
      </c>
      <c r="C314" s="3" t="n">
        <v>1</v>
      </c>
      <c r="D314" s="3" t="n">
        <v>8</v>
      </c>
      <c r="E314" s="3" t="n">
        <v>4</v>
      </c>
      <c r="F314" s="24" t="n">
        <v>-0.285098284</v>
      </c>
    </row>
    <row r="315" customFormat="false" ht="15" hidden="false" customHeight="false" outlineLevel="0" collapsed="false">
      <c r="A315" s="3" t="n">
        <v>314</v>
      </c>
      <c r="B315" s="3" t="n">
        <v>313</v>
      </c>
      <c r="C315" s="3" t="n">
        <v>1</v>
      </c>
      <c r="D315" s="3" t="n">
        <v>8</v>
      </c>
      <c r="E315" s="3" t="n">
        <v>5</v>
      </c>
      <c r="F315" s="24" t="n">
        <v>-0.734478891</v>
      </c>
    </row>
    <row r="316" customFormat="false" ht="15" hidden="false" customHeight="false" outlineLevel="0" collapsed="false">
      <c r="A316" s="3" t="n">
        <v>315</v>
      </c>
      <c r="B316" s="3" t="n">
        <v>314</v>
      </c>
      <c r="C316" s="3" t="n">
        <v>1</v>
      </c>
      <c r="D316" s="3" t="n">
        <v>8</v>
      </c>
      <c r="E316" s="3" t="n">
        <v>6</v>
      </c>
      <c r="F316" s="24" t="n">
        <v>2.34647512</v>
      </c>
    </row>
    <row r="317" customFormat="false" ht="15" hidden="false" customHeight="false" outlineLevel="0" collapsed="false">
      <c r="A317" s="3" t="n">
        <v>316</v>
      </c>
      <c r="B317" s="3" t="n">
        <v>315</v>
      </c>
      <c r="C317" s="3" t="n">
        <v>1</v>
      </c>
      <c r="D317" s="3" t="n">
        <v>8</v>
      </c>
      <c r="E317" s="3" t="n">
        <v>7</v>
      </c>
      <c r="F317" s="24" t="n">
        <v>6.33747959</v>
      </c>
    </row>
    <row r="318" customFormat="false" ht="15" hidden="false" customHeight="false" outlineLevel="0" collapsed="false">
      <c r="A318" s="3" t="n">
        <v>317</v>
      </c>
      <c r="B318" s="3" t="n">
        <v>316</v>
      </c>
      <c r="C318" s="3" t="n">
        <v>1</v>
      </c>
      <c r="D318" s="3" t="n">
        <v>8</v>
      </c>
      <c r="E318" s="3" t="n">
        <v>8</v>
      </c>
      <c r="F318" s="24" t="n">
        <v>-2.35019922</v>
      </c>
    </row>
    <row r="319" customFormat="false" ht="15" hidden="false" customHeight="false" outlineLevel="0" collapsed="false">
      <c r="A319" s="3" t="n">
        <v>318</v>
      </c>
      <c r="B319" s="3" t="n">
        <v>317</v>
      </c>
      <c r="C319" s="3" t="n">
        <v>1</v>
      </c>
      <c r="D319" s="3" t="n">
        <v>8</v>
      </c>
      <c r="E319" s="3" t="n">
        <v>9</v>
      </c>
      <c r="F319" s="24" t="n">
        <v>-6.60777378</v>
      </c>
    </row>
    <row r="320" customFormat="false" ht="15" hidden="false" customHeight="false" outlineLevel="0" collapsed="false">
      <c r="A320" s="3" t="n">
        <v>319</v>
      </c>
      <c r="B320" s="3" t="n">
        <v>318</v>
      </c>
      <c r="C320" s="3" t="n">
        <v>1</v>
      </c>
      <c r="D320" s="3" t="n">
        <v>8</v>
      </c>
      <c r="E320" s="3" t="n">
        <v>10</v>
      </c>
      <c r="F320" s="24" t="n">
        <v>-3.8957181</v>
      </c>
    </row>
    <row r="321" customFormat="false" ht="15" hidden="false" customHeight="false" outlineLevel="0" collapsed="false">
      <c r="A321" s="3" t="n">
        <v>320</v>
      </c>
      <c r="B321" s="3" t="n">
        <v>319</v>
      </c>
      <c r="C321" s="3" t="n">
        <v>1</v>
      </c>
      <c r="D321" s="3" t="n">
        <v>8</v>
      </c>
      <c r="E321" s="3" t="n">
        <v>11</v>
      </c>
      <c r="F321" s="24" t="n">
        <v>-0.971760273</v>
      </c>
    </row>
    <row r="322" customFormat="false" ht="15" hidden="false" customHeight="false" outlineLevel="0" collapsed="false">
      <c r="A322" s="3" t="n">
        <v>321</v>
      </c>
      <c r="B322" s="3" t="n">
        <v>320</v>
      </c>
      <c r="C322" s="3" t="n">
        <v>1</v>
      </c>
      <c r="D322" s="3" t="n">
        <v>8</v>
      </c>
      <c r="E322" s="3" t="n">
        <v>12</v>
      </c>
      <c r="F322" s="24" t="n">
        <v>-0.0711857602</v>
      </c>
    </row>
    <row r="323" customFormat="false" ht="15" hidden="false" customHeight="false" outlineLevel="0" collapsed="false">
      <c r="A323" s="3" t="n">
        <v>322</v>
      </c>
      <c r="B323" s="3" t="n">
        <v>321</v>
      </c>
      <c r="C323" s="3" t="n">
        <v>1</v>
      </c>
      <c r="D323" s="3" t="n">
        <v>8</v>
      </c>
      <c r="E323" s="3" t="n">
        <v>13</v>
      </c>
      <c r="F323" s="24" t="n">
        <v>-0.309091032</v>
      </c>
    </row>
    <row r="324" customFormat="false" ht="15" hidden="false" customHeight="false" outlineLevel="0" collapsed="false">
      <c r="A324" s="3" t="n">
        <v>323</v>
      </c>
      <c r="B324" s="3" t="n">
        <v>322</v>
      </c>
      <c r="C324" s="3" t="n">
        <v>1</v>
      </c>
      <c r="D324" s="3" t="n">
        <v>9</v>
      </c>
      <c r="E324" s="3" t="n">
        <v>0</v>
      </c>
      <c r="F324" s="24" t="n">
        <v>-0.416940302</v>
      </c>
    </row>
    <row r="325" customFormat="false" ht="15" hidden="false" customHeight="false" outlineLevel="0" collapsed="false">
      <c r="A325" s="3" t="n">
        <v>324</v>
      </c>
      <c r="B325" s="3" t="n">
        <v>323</v>
      </c>
      <c r="C325" s="3" t="n">
        <v>1</v>
      </c>
      <c r="D325" s="3" t="n">
        <v>9</v>
      </c>
      <c r="E325" s="3" t="n">
        <v>1</v>
      </c>
      <c r="F325" s="24" t="n">
        <v>-0.455217689</v>
      </c>
    </row>
    <row r="326" customFormat="false" ht="15" hidden="false" customHeight="false" outlineLevel="0" collapsed="false">
      <c r="A326" s="3" t="n">
        <v>325</v>
      </c>
      <c r="B326" s="3" t="n">
        <v>324</v>
      </c>
      <c r="C326" s="3" t="n">
        <v>1</v>
      </c>
      <c r="D326" s="3" t="n">
        <v>9</v>
      </c>
      <c r="E326" s="3" t="n">
        <v>2</v>
      </c>
      <c r="F326" s="24" t="n">
        <v>-0.280478835</v>
      </c>
    </row>
    <row r="327" customFormat="false" ht="15" hidden="false" customHeight="false" outlineLevel="0" collapsed="false">
      <c r="A327" s="3" t="n">
        <v>326</v>
      </c>
      <c r="B327" s="3" t="n">
        <v>325</v>
      </c>
      <c r="C327" s="3" t="n">
        <v>1</v>
      </c>
      <c r="D327" s="3" t="n">
        <v>9</v>
      </c>
      <c r="E327" s="3" t="n">
        <v>3</v>
      </c>
      <c r="F327" s="24" t="n">
        <v>-0.280478835</v>
      </c>
    </row>
    <row r="328" customFormat="false" ht="15" hidden="false" customHeight="false" outlineLevel="0" collapsed="false">
      <c r="A328" s="3" t="n">
        <v>327</v>
      </c>
      <c r="B328" s="3" t="n">
        <v>326</v>
      </c>
      <c r="C328" s="3" t="n">
        <v>1</v>
      </c>
      <c r="D328" s="3" t="n">
        <v>9</v>
      </c>
      <c r="E328" s="3" t="n">
        <v>4</v>
      </c>
      <c r="F328" s="24" t="n">
        <v>-0.49549523</v>
      </c>
    </row>
    <row r="329" customFormat="false" ht="15" hidden="false" customHeight="false" outlineLevel="0" collapsed="false">
      <c r="A329" s="3" t="n">
        <v>328</v>
      </c>
      <c r="B329" s="3" t="n">
        <v>327</v>
      </c>
      <c r="C329" s="3" t="n">
        <v>1</v>
      </c>
      <c r="D329" s="3" t="n">
        <v>9</v>
      </c>
      <c r="E329" s="3" t="n">
        <v>5</v>
      </c>
      <c r="F329" s="24" t="n">
        <v>0.154093027</v>
      </c>
    </row>
    <row r="330" customFormat="false" ht="15" hidden="false" customHeight="false" outlineLevel="0" collapsed="false">
      <c r="A330" s="3" t="n">
        <v>329</v>
      </c>
      <c r="B330" s="3" t="n">
        <v>328</v>
      </c>
      <c r="C330" s="3" t="n">
        <v>1</v>
      </c>
      <c r="D330" s="3" t="n">
        <v>9</v>
      </c>
      <c r="E330" s="3" t="n">
        <v>6</v>
      </c>
      <c r="F330" s="24" t="n">
        <v>5.67270231</v>
      </c>
    </row>
    <row r="331" customFormat="false" ht="15" hidden="false" customHeight="false" outlineLevel="0" collapsed="false">
      <c r="A331" s="3" t="n">
        <v>330</v>
      </c>
      <c r="B331" s="3" t="n">
        <v>329</v>
      </c>
      <c r="C331" s="3" t="n">
        <v>1</v>
      </c>
      <c r="D331" s="3" t="n">
        <v>9</v>
      </c>
      <c r="E331" s="3" t="n">
        <v>7</v>
      </c>
      <c r="F331" s="24" t="n">
        <v>3.8156445</v>
      </c>
    </row>
    <row r="332" customFormat="false" ht="15" hidden="false" customHeight="false" outlineLevel="0" collapsed="false">
      <c r="A332" s="3" t="n">
        <v>331</v>
      </c>
      <c r="B332" s="3" t="n">
        <v>330</v>
      </c>
      <c r="C332" s="3" t="n">
        <v>1</v>
      </c>
      <c r="D332" s="3" t="n">
        <v>9</v>
      </c>
      <c r="E332" s="3" t="n">
        <v>8</v>
      </c>
      <c r="F332" s="24" t="n">
        <v>-5.5992527</v>
      </c>
    </row>
    <row r="333" customFormat="false" ht="15" hidden="false" customHeight="false" outlineLevel="0" collapsed="false">
      <c r="A333" s="3" t="n">
        <v>332</v>
      </c>
      <c r="B333" s="3" t="n">
        <v>331</v>
      </c>
      <c r="C333" s="3" t="n">
        <v>1</v>
      </c>
      <c r="D333" s="3" t="n">
        <v>9</v>
      </c>
      <c r="E333" s="3" t="n">
        <v>9</v>
      </c>
      <c r="F333" s="24" t="n">
        <v>-5.52858734</v>
      </c>
    </row>
    <row r="334" customFormat="false" ht="15" hidden="false" customHeight="false" outlineLevel="0" collapsed="false">
      <c r="A334" s="3" t="n">
        <v>333</v>
      </c>
      <c r="B334" s="3" t="n">
        <v>332</v>
      </c>
      <c r="C334" s="3" t="n">
        <v>1</v>
      </c>
      <c r="D334" s="3" t="n">
        <v>9</v>
      </c>
      <c r="E334" s="3" t="n">
        <v>10</v>
      </c>
      <c r="F334" s="24" t="n">
        <v>-2.07518101</v>
      </c>
    </row>
    <row r="335" customFormat="false" ht="15" hidden="false" customHeight="false" outlineLevel="0" collapsed="false">
      <c r="A335" s="3" t="n">
        <v>334</v>
      </c>
      <c r="B335" s="3" t="n">
        <v>333</v>
      </c>
      <c r="C335" s="3" t="n">
        <v>1</v>
      </c>
      <c r="D335" s="3" t="n">
        <v>9</v>
      </c>
      <c r="E335" s="3" t="n">
        <v>11</v>
      </c>
      <c r="F335" s="24" t="n">
        <v>-0.281662077</v>
      </c>
    </row>
    <row r="336" customFormat="false" ht="15" hidden="false" customHeight="false" outlineLevel="0" collapsed="false">
      <c r="A336" s="3" t="n">
        <v>335</v>
      </c>
      <c r="B336" s="3" t="n">
        <v>334</v>
      </c>
      <c r="C336" s="3" t="n">
        <v>1</v>
      </c>
      <c r="D336" s="3" t="n">
        <v>9</v>
      </c>
      <c r="E336" s="3" t="n">
        <v>12</v>
      </c>
      <c r="F336" s="24" t="n">
        <v>-0.0711857602</v>
      </c>
    </row>
    <row r="337" customFormat="false" ht="15" hidden="false" customHeight="false" outlineLevel="0" collapsed="false">
      <c r="A337" s="3" t="n">
        <v>336</v>
      </c>
      <c r="B337" s="3" t="n">
        <v>335</v>
      </c>
      <c r="C337" s="3" t="n">
        <v>1</v>
      </c>
      <c r="D337" s="3" t="n">
        <v>9</v>
      </c>
      <c r="E337" s="3" t="n">
        <v>13</v>
      </c>
      <c r="F337" s="24" t="n">
        <v>-0.309091032</v>
      </c>
    </row>
    <row r="338" customFormat="false" ht="15" hidden="false" customHeight="false" outlineLevel="0" collapsed="false">
      <c r="A338" s="3" t="n">
        <v>337</v>
      </c>
      <c r="B338" s="3" t="n">
        <v>336</v>
      </c>
      <c r="C338" s="3" t="n">
        <v>1</v>
      </c>
      <c r="D338" s="3" t="n">
        <v>10</v>
      </c>
      <c r="E338" s="3" t="n">
        <v>0</v>
      </c>
      <c r="F338" s="24" t="n">
        <v>-0.416940302</v>
      </c>
    </row>
    <row r="339" customFormat="false" ht="15" hidden="false" customHeight="false" outlineLevel="0" collapsed="false">
      <c r="A339" s="3" t="n">
        <v>338</v>
      </c>
      <c r="B339" s="3" t="n">
        <v>337</v>
      </c>
      <c r="C339" s="3" t="n">
        <v>1</v>
      </c>
      <c r="D339" s="3" t="n">
        <v>10</v>
      </c>
      <c r="E339" s="3" t="n">
        <v>1</v>
      </c>
      <c r="F339" s="24" t="n">
        <v>-0.455217689</v>
      </c>
    </row>
    <row r="340" customFormat="false" ht="15" hidden="false" customHeight="false" outlineLevel="0" collapsed="false">
      <c r="A340" s="3" t="n">
        <v>339</v>
      </c>
      <c r="B340" s="3" t="n">
        <v>338</v>
      </c>
      <c r="C340" s="3" t="n">
        <v>1</v>
      </c>
      <c r="D340" s="3" t="n">
        <v>10</v>
      </c>
      <c r="E340" s="3" t="n">
        <v>2</v>
      </c>
      <c r="F340" s="24" t="n">
        <v>-0.280478835</v>
      </c>
    </row>
    <row r="341" customFormat="false" ht="15" hidden="false" customHeight="false" outlineLevel="0" collapsed="false">
      <c r="A341" s="3" t="n">
        <v>340</v>
      </c>
      <c r="B341" s="3" t="n">
        <v>339</v>
      </c>
      <c r="C341" s="3" t="n">
        <v>1</v>
      </c>
      <c r="D341" s="3" t="n">
        <v>10</v>
      </c>
      <c r="E341" s="3" t="n">
        <v>3</v>
      </c>
      <c r="F341" s="24" t="n">
        <v>-0.408076584</v>
      </c>
    </row>
    <row r="342" customFormat="false" ht="15" hidden="false" customHeight="false" outlineLevel="0" collapsed="false">
      <c r="A342" s="3" t="n">
        <v>341</v>
      </c>
      <c r="B342" s="3" t="n">
        <v>340</v>
      </c>
      <c r="C342" s="3" t="n">
        <v>1</v>
      </c>
      <c r="D342" s="3" t="n">
        <v>10</v>
      </c>
      <c r="E342" s="3" t="n">
        <v>4</v>
      </c>
      <c r="F342" s="24" t="n">
        <v>-0.927404165</v>
      </c>
    </row>
    <row r="343" customFormat="false" ht="15" hidden="false" customHeight="false" outlineLevel="0" collapsed="false">
      <c r="A343" s="3" t="n">
        <v>342</v>
      </c>
      <c r="B343" s="3" t="n">
        <v>341</v>
      </c>
      <c r="C343" s="3" t="n">
        <v>1</v>
      </c>
      <c r="D343" s="3" t="n">
        <v>10</v>
      </c>
      <c r="E343" s="3" t="n">
        <v>5</v>
      </c>
      <c r="F343" s="24" t="n">
        <v>5.18581247</v>
      </c>
    </row>
    <row r="344" customFormat="false" ht="15" hidden="false" customHeight="false" outlineLevel="0" collapsed="false">
      <c r="A344" s="3" t="n">
        <v>343</v>
      </c>
      <c r="B344" s="3" t="n">
        <v>342</v>
      </c>
      <c r="C344" s="3" t="n">
        <v>1</v>
      </c>
      <c r="D344" s="3" t="n">
        <v>10</v>
      </c>
      <c r="E344" s="3" t="n">
        <v>6</v>
      </c>
      <c r="F344" s="24" t="n">
        <v>7.90193319</v>
      </c>
    </row>
    <row r="345" customFormat="false" ht="15" hidden="false" customHeight="false" outlineLevel="0" collapsed="false">
      <c r="A345" s="3" t="n">
        <v>344</v>
      </c>
      <c r="B345" s="3" t="n">
        <v>343</v>
      </c>
      <c r="C345" s="3" t="n">
        <v>1</v>
      </c>
      <c r="D345" s="3" t="n">
        <v>10</v>
      </c>
      <c r="E345" s="3" t="n">
        <v>7</v>
      </c>
      <c r="F345" s="24" t="n">
        <v>-4.61316109</v>
      </c>
    </row>
    <row r="346" customFormat="false" ht="15" hidden="false" customHeight="false" outlineLevel="0" collapsed="false">
      <c r="A346" s="3" t="n">
        <v>345</v>
      </c>
      <c r="B346" s="3" t="n">
        <v>344</v>
      </c>
      <c r="C346" s="3" t="n">
        <v>1</v>
      </c>
      <c r="D346" s="3" t="n">
        <v>10</v>
      </c>
      <c r="E346" s="3" t="n">
        <v>8</v>
      </c>
      <c r="F346" s="24" t="n">
        <v>-6.8575635</v>
      </c>
    </row>
    <row r="347" customFormat="false" ht="15" hidden="false" customHeight="false" outlineLevel="0" collapsed="false">
      <c r="A347" s="3" t="n">
        <v>346</v>
      </c>
      <c r="B347" s="3" t="n">
        <v>345</v>
      </c>
      <c r="C347" s="3" t="n">
        <v>1</v>
      </c>
      <c r="D347" s="3" t="n">
        <v>10</v>
      </c>
      <c r="E347" s="3" t="n">
        <v>9</v>
      </c>
      <c r="F347" s="24" t="n">
        <v>-3.56901789</v>
      </c>
    </row>
    <row r="348" customFormat="false" ht="15" hidden="false" customHeight="false" outlineLevel="0" collapsed="false">
      <c r="A348" s="3" t="n">
        <v>347</v>
      </c>
      <c r="B348" s="3" t="n">
        <v>346</v>
      </c>
      <c r="C348" s="3" t="n">
        <v>1</v>
      </c>
      <c r="D348" s="3" t="n">
        <v>10</v>
      </c>
      <c r="E348" s="3" t="n">
        <v>10</v>
      </c>
      <c r="F348" s="24" t="n">
        <v>-0.753656983</v>
      </c>
    </row>
    <row r="349" customFormat="false" ht="15" hidden="false" customHeight="false" outlineLevel="0" collapsed="false">
      <c r="A349" s="3" t="n">
        <v>348</v>
      </c>
      <c r="B349" s="3" t="n">
        <v>347</v>
      </c>
      <c r="C349" s="3" t="n">
        <v>1</v>
      </c>
      <c r="D349" s="3" t="n">
        <v>10</v>
      </c>
      <c r="E349" s="3" t="n">
        <v>11</v>
      </c>
      <c r="F349" s="24" t="n">
        <v>-0.280478835</v>
      </c>
    </row>
    <row r="350" customFormat="false" ht="15" hidden="false" customHeight="false" outlineLevel="0" collapsed="false">
      <c r="A350" s="3" t="n">
        <v>349</v>
      </c>
      <c r="B350" s="3" t="n">
        <v>348</v>
      </c>
      <c r="C350" s="3" t="n">
        <v>1</v>
      </c>
      <c r="D350" s="3" t="n">
        <v>10</v>
      </c>
      <c r="E350" s="3" t="n">
        <v>12</v>
      </c>
      <c r="F350" s="24" t="n">
        <v>-0.0711857602</v>
      </c>
    </row>
    <row r="351" customFormat="false" ht="15" hidden="false" customHeight="false" outlineLevel="0" collapsed="false">
      <c r="A351" s="3" t="n">
        <v>350</v>
      </c>
      <c r="B351" s="3" t="n">
        <v>349</v>
      </c>
      <c r="C351" s="3" t="n">
        <v>1</v>
      </c>
      <c r="D351" s="3" t="n">
        <v>10</v>
      </c>
      <c r="E351" s="3" t="n">
        <v>13</v>
      </c>
      <c r="F351" s="24" t="n">
        <v>-0.309091032</v>
      </c>
    </row>
    <row r="352" customFormat="false" ht="15" hidden="false" customHeight="false" outlineLevel="0" collapsed="false">
      <c r="A352" s="3" t="n">
        <v>351</v>
      </c>
      <c r="B352" s="3" t="n">
        <v>350</v>
      </c>
      <c r="C352" s="3" t="n">
        <v>1</v>
      </c>
      <c r="D352" s="3" t="n">
        <v>11</v>
      </c>
      <c r="E352" s="3" t="n">
        <v>0</v>
      </c>
      <c r="F352" s="24" t="n">
        <v>-0.416940302</v>
      </c>
    </row>
    <row r="353" customFormat="false" ht="15" hidden="false" customHeight="false" outlineLevel="0" collapsed="false">
      <c r="A353" s="3" t="n">
        <v>352</v>
      </c>
      <c r="B353" s="3" t="n">
        <v>351</v>
      </c>
      <c r="C353" s="3" t="n">
        <v>1</v>
      </c>
      <c r="D353" s="3" t="n">
        <v>11</v>
      </c>
      <c r="E353" s="3" t="n">
        <v>1</v>
      </c>
      <c r="F353" s="24" t="n">
        <v>-0.455217689</v>
      </c>
    </row>
    <row r="354" customFormat="false" ht="15" hidden="false" customHeight="false" outlineLevel="0" collapsed="false">
      <c r="A354" s="3" t="n">
        <v>353</v>
      </c>
      <c r="B354" s="3" t="n">
        <v>352</v>
      </c>
      <c r="C354" s="3" t="n">
        <v>1</v>
      </c>
      <c r="D354" s="3" t="n">
        <v>11</v>
      </c>
      <c r="E354" s="3" t="n">
        <v>2</v>
      </c>
      <c r="F354" s="24" t="n">
        <v>-0.280478835</v>
      </c>
    </row>
    <row r="355" customFormat="false" ht="15" hidden="false" customHeight="false" outlineLevel="0" collapsed="false">
      <c r="A355" s="3" t="n">
        <v>354</v>
      </c>
      <c r="B355" s="3" t="n">
        <v>353</v>
      </c>
      <c r="C355" s="3" t="n">
        <v>1</v>
      </c>
      <c r="D355" s="3" t="n">
        <v>11</v>
      </c>
      <c r="E355" s="3" t="n">
        <v>3</v>
      </c>
      <c r="F355" s="24" t="n">
        <v>-0.336470395</v>
      </c>
    </row>
    <row r="356" customFormat="false" ht="15" hidden="false" customHeight="false" outlineLevel="0" collapsed="false">
      <c r="A356" s="3" t="n">
        <v>355</v>
      </c>
      <c r="B356" s="3" t="n">
        <v>354</v>
      </c>
      <c r="C356" s="3" t="n">
        <v>1</v>
      </c>
      <c r="D356" s="3" t="n">
        <v>11</v>
      </c>
      <c r="E356" s="3" t="n">
        <v>4</v>
      </c>
      <c r="F356" s="24" t="n">
        <v>1.46497035</v>
      </c>
    </row>
    <row r="357" customFormat="false" ht="15" hidden="false" customHeight="false" outlineLevel="0" collapsed="false">
      <c r="A357" s="3" t="n">
        <v>356</v>
      </c>
      <c r="B357" s="3" t="n">
        <v>355</v>
      </c>
      <c r="C357" s="3" t="n">
        <v>1</v>
      </c>
      <c r="D357" s="3" t="n">
        <v>11</v>
      </c>
      <c r="E357" s="3" t="n">
        <v>5</v>
      </c>
      <c r="F357" s="24" t="n">
        <v>7.10343981</v>
      </c>
    </row>
    <row r="358" customFormat="false" ht="15" hidden="false" customHeight="false" outlineLevel="0" collapsed="false">
      <c r="A358" s="3" t="n">
        <v>357</v>
      </c>
      <c r="B358" s="3" t="n">
        <v>356</v>
      </c>
      <c r="C358" s="3" t="n">
        <v>1</v>
      </c>
      <c r="D358" s="3" t="n">
        <v>11</v>
      </c>
      <c r="E358" s="3" t="n">
        <v>6</v>
      </c>
      <c r="F358" s="24" t="n">
        <v>0.21341753</v>
      </c>
    </row>
    <row r="359" customFormat="false" ht="15" hidden="false" customHeight="false" outlineLevel="0" collapsed="false">
      <c r="A359" s="3" t="n">
        <v>358</v>
      </c>
      <c r="B359" s="3" t="n">
        <v>357</v>
      </c>
      <c r="C359" s="3" t="n">
        <v>1</v>
      </c>
      <c r="D359" s="3" t="n">
        <v>11</v>
      </c>
      <c r="E359" s="3" t="n">
        <v>7</v>
      </c>
      <c r="F359" s="24" t="n">
        <v>-6.8321147</v>
      </c>
    </row>
    <row r="360" customFormat="false" ht="15" hidden="false" customHeight="false" outlineLevel="0" collapsed="false">
      <c r="A360" s="3" t="n">
        <v>359</v>
      </c>
      <c r="B360" s="3" t="n">
        <v>358</v>
      </c>
      <c r="C360" s="3" t="n">
        <v>1</v>
      </c>
      <c r="D360" s="3" t="n">
        <v>11</v>
      </c>
      <c r="E360" s="3" t="n">
        <v>8</v>
      </c>
      <c r="F360" s="24" t="n">
        <v>-5.34347391</v>
      </c>
    </row>
    <row r="361" customFormat="false" ht="15" hidden="false" customHeight="false" outlineLevel="0" collapsed="false">
      <c r="A361" s="3" t="n">
        <v>360</v>
      </c>
      <c r="B361" s="3" t="n">
        <v>359</v>
      </c>
      <c r="C361" s="3" t="n">
        <v>1</v>
      </c>
      <c r="D361" s="3" t="n">
        <v>11</v>
      </c>
      <c r="E361" s="3" t="n">
        <v>9</v>
      </c>
      <c r="F361" s="24" t="n">
        <v>-1.80538666</v>
      </c>
    </row>
    <row r="362" customFormat="false" ht="15" hidden="false" customHeight="false" outlineLevel="0" collapsed="false">
      <c r="A362" s="3" t="n">
        <v>361</v>
      </c>
      <c r="B362" s="3" t="n">
        <v>360</v>
      </c>
      <c r="C362" s="3" t="n">
        <v>1</v>
      </c>
      <c r="D362" s="3" t="n">
        <v>11</v>
      </c>
      <c r="E362" s="3" t="n">
        <v>10</v>
      </c>
      <c r="F362" s="24" t="n">
        <v>-0.280478835</v>
      </c>
    </row>
    <row r="363" customFormat="false" ht="15" hidden="false" customHeight="false" outlineLevel="0" collapsed="false">
      <c r="A363" s="3" t="n">
        <v>362</v>
      </c>
      <c r="B363" s="3" t="n">
        <v>361</v>
      </c>
      <c r="C363" s="3" t="n">
        <v>1</v>
      </c>
      <c r="D363" s="3" t="n">
        <v>11</v>
      </c>
      <c r="E363" s="3" t="n">
        <v>11</v>
      </c>
      <c r="F363" s="24" t="n">
        <v>-0.280478835</v>
      </c>
    </row>
    <row r="364" customFormat="false" ht="15" hidden="false" customHeight="false" outlineLevel="0" collapsed="false">
      <c r="A364" s="3" t="n">
        <v>363</v>
      </c>
      <c r="B364" s="3" t="n">
        <v>362</v>
      </c>
      <c r="C364" s="3" t="n">
        <v>1</v>
      </c>
      <c r="D364" s="3" t="n">
        <v>11</v>
      </c>
      <c r="E364" s="3" t="n">
        <v>12</v>
      </c>
      <c r="F364" s="24" t="n">
        <v>-0.0711857602</v>
      </c>
    </row>
    <row r="365" customFormat="false" ht="15" hidden="false" customHeight="false" outlineLevel="0" collapsed="false">
      <c r="A365" s="3" t="n">
        <v>364</v>
      </c>
      <c r="B365" s="3" t="n">
        <v>363</v>
      </c>
      <c r="C365" s="3" t="n">
        <v>1</v>
      </c>
      <c r="D365" s="3" t="n">
        <v>11</v>
      </c>
      <c r="E365" s="3" t="n">
        <v>13</v>
      </c>
      <c r="F365" s="24" t="n">
        <v>-0.309091032</v>
      </c>
    </row>
    <row r="366" customFormat="false" ht="15" hidden="false" customHeight="false" outlineLevel="0" collapsed="false">
      <c r="A366" s="3" t="n">
        <v>365</v>
      </c>
      <c r="B366" s="3" t="n">
        <v>364</v>
      </c>
      <c r="C366" s="3" t="n">
        <v>1</v>
      </c>
      <c r="D366" s="3" t="n">
        <v>12</v>
      </c>
      <c r="E366" s="3" t="n">
        <v>0</v>
      </c>
      <c r="F366" s="24" t="n">
        <v>-0.530626416</v>
      </c>
    </row>
    <row r="367" customFormat="false" ht="15" hidden="false" customHeight="false" outlineLevel="0" collapsed="false">
      <c r="A367" s="3" t="n">
        <v>366</v>
      </c>
      <c r="B367" s="3" t="n">
        <v>365</v>
      </c>
      <c r="C367" s="3" t="n">
        <v>1</v>
      </c>
      <c r="D367" s="3" t="n">
        <v>12</v>
      </c>
      <c r="E367" s="3" t="n">
        <v>1</v>
      </c>
      <c r="F367" s="24" t="n">
        <v>-0.582520664</v>
      </c>
    </row>
    <row r="368" customFormat="false" ht="15" hidden="false" customHeight="false" outlineLevel="0" collapsed="false">
      <c r="A368" s="3" t="n">
        <v>367</v>
      </c>
      <c r="B368" s="3" t="n">
        <v>366</v>
      </c>
      <c r="C368" s="3" t="n">
        <v>1</v>
      </c>
      <c r="D368" s="3" t="n">
        <v>12</v>
      </c>
      <c r="E368" s="3" t="n">
        <v>2</v>
      </c>
      <c r="F368" s="24" t="n">
        <v>-0.40190652</v>
      </c>
    </row>
    <row r="369" customFormat="false" ht="15" hidden="false" customHeight="false" outlineLevel="0" collapsed="false">
      <c r="A369" s="3" t="n">
        <v>368</v>
      </c>
      <c r="B369" s="3" t="n">
        <v>367</v>
      </c>
      <c r="C369" s="3" t="n">
        <v>1</v>
      </c>
      <c r="D369" s="3" t="n">
        <v>12</v>
      </c>
      <c r="E369" s="3" t="n">
        <v>3</v>
      </c>
      <c r="F369" s="24" t="n">
        <v>-0.449761361</v>
      </c>
    </row>
    <row r="370" customFormat="false" ht="15" hidden="false" customHeight="false" outlineLevel="0" collapsed="false">
      <c r="A370" s="3" t="n">
        <v>369</v>
      </c>
      <c r="B370" s="3" t="n">
        <v>368</v>
      </c>
      <c r="C370" s="3" t="n">
        <v>1</v>
      </c>
      <c r="D370" s="3" t="n">
        <v>12</v>
      </c>
      <c r="E370" s="3" t="n">
        <v>4</v>
      </c>
      <c r="F370" s="24" t="n">
        <v>3.03139067</v>
      </c>
    </row>
    <row r="371" customFormat="false" ht="15" hidden="false" customHeight="false" outlineLevel="0" collapsed="false">
      <c r="A371" s="3" t="n">
        <v>370</v>
      </c>
      <c r="B371" s="3" t="n">
        <v>369</v>
      </c>
      <c r="C371" s="3" t="n">
        <v>1</v>
      </c>
      <c r="D371" s="3" t="n">
        <v>12</v>
      </c>
      <c r="E371" s="3" t="n">
        <v>5</v>
      </c>
      <c r="F371" s="24" t="n">
        <v>3.37485957</v>
      </c>
    </row>
    <row r="372" customFormat="false" ht="15" hidden="false" customHeight="false" outlineLevel="0" collapsed="false">
      <c r="A372" s="3" t="n">
        <v>371</v>
      </c>
      <c r="B372" s="3" t="n">
        <v>370</v>
      </c>
      <c r="C372" s="3" t="n">
        <v>1</v>
      </c>
      <c r="D372" s="3" t="n">
        <v>12</v>
      </c>
      <c r="E372" s="3" t="n">
        <v>6</v>
      </c>
      <c r="F372" s="24" t="n">
        <v>-5.16542292</v>
      </c>
    </row>
    <row r="373" customFormat="false" ht="15" hidden="false" customHeight="false" outlineLevel="0" collapsed="false">
      <c r="A373" s="3" t="n">
        <v>372</v>
      </c>
      <c r="B373" s="3" t="n">
        <v>371</v>
      </c>
      <c r="C373" s="3" t="n">
        <v>1</v>
      </c>
      <c r="D373" s="3" t="n">
        <v>12</v>
      </c>
      <c r="E373" s="3" t="n">
        <v>7</v>
      </c>
      <c r="F373" s="24" t="n">
        <v>-7.08751059</v>
      </c>
    </row>
    <row r="374" customFormat="false" ht="15" hidden="false" customHeight="false" outlineLevel="0" collapsed="false">
      <c r="A374" s="3" t="n">
        <v>373</v>
      </c>
      <c r="B374" s="3" t="n">
        <v>372</v>
      </c>
      <c r="C374" s="3" t="n">
        <v>1</v>
      </c>
      <c r="D374" s="3" t="n">
        <v>12</v>
      </c>
      <c r="E374" s="3" t="n">
        <v>8</v>
      </c>
      <c r="F374" s="24" t="n">
        <v>-2.88501453</v>
      </c>
    </row>
    <row r="375" customFormat="false" ht="15" hidden="false" customHeight="false" outlineLevel="0" collapsed="false">
      <c r="A375" s="3" t="n">
        <v>374</v>
      </c>
      <c r="B375" s="3" t="n">
        <v>373</v>
      </c>
      <c r="C375" s="3" t="n">
        <v>1</v>
      </c>
      <c r="D375" s="3" t="n">
        <v>12</v>
      </c>
      <c r="E375" s="3" t="n">
        <v>9</v>
      </c>
      <c r="F375" s="24" t="n">
        <v>-0.530204177</v>
      </c>
    </row>
    <row r="376" customFormat="false" ht="15" hidden="false" customHeight="false" outlineLevel="0" collapsed="false">
      <c r="A376" s="3" t="n">
        <v>375</v>
      </c>
      <c r="B376" s="3" t="n">
        <v>374</v>
      </c>
      <c r="C376" s="3" t="n">
        <v>1</v>
      </c>
      <c r="D376" s="3" t="n">
        <v>12</v>
      </c>
      <c r="E376" s="3" t="n">
        <v>10</v>
      </c>
      <c r="F376" s="24" t="n">
        <v>-0.40190652</v>
      </c>
    </row>
    <row r="377" customFormat="false" ht="15" hidden="false" customHeight="false" outlineLevel="0" collapsed="false">
      <c r="A377" s="3" t="n">
        <v>376</v>
      </c>
      <c r="B377" s="3" t="n">
        <v>375</v>
      </c>
      <c r="C377" s="3" t="n">
        <v>1</v>
      </c>
      <c r="D377" s="3" t="n">
        <v>12</v>
      </c>
      <c r="E377" s="3" t="n">
        <v>11</v>
      </c>
      <c r="F377" s="24" t="n">
        <v>-0.40190652</v>
      </c>
    </row>
    <row r="378" customFormat="false" ht="15" hidden="false" customHeight="false" outlineLevel="0" collapsed="false">
      <c r="A378" s="3" t="n">
        <v>377</v>
      </c>
      <c r="B378" s="3" t="n">
        <v>376</v>
      </c>
      <c r="C378" s="3" t="n">
        <v>1</v>
      </c>
      <c r="D378" s="3" t="n">
        <v>12</v>
      </c>
      <c r="E378" s="3" t="n">
        <v>12</v>
      </c>
      <c r="F378" s="24" t="n">
        <v>-0.192613512</v>
      </c>
    </row>
    <row r="379" customFormat="false" ht="15" hidden="false" customHeight="false" outlineLevel="0" collapsed="false">
      <c r="A379" s="3" t="n">
        <v>378</v>
      </c>
      <c r="B379" s="3" t="n">
        <v>377</v>
      </c>
      <c r="C379" s="3" t="n">
        <v>1</v>
      </c>
      <c r="D379" s="3" t="n">
        <v>12</v>
      </c>
      <c r="E379" s="3" t="n">
        <v>13</v>
      </c>
      <c r="F379" s="24" t="n">
        <v>-0.417929947</v>
      </c>
    </row>
    <row r="380" customFormat="false" ht="15" hidden="false" customHeight="false" outlineLevel="0" collapsed="false">
      <c r="A380" s="3" t="n">
        <v>379</v>
      </c>
      <c r="B380" s="3" t="n">
        <v>378</v>
      </c>
      <c r="C380" s="3" t="n">
        <v>1</v>
      </c>
      <c r="D380" s="3" t="n">
        <v>13</v>
      </c>
      <c r="E380" s="3" t="n">
        <v>0</v>
      </c>
      <c r="F380" s="24" t="n">
        <v>-0.234816641</v>
      </c>
    </row>
    <row r="381" customFormat="false" ht="15" hidden="false" customHeight="false" outlineLevel="0" collapsed="false">
      <c r="A381" s="3" t="n">
        <v>380</v>
      </c>
      <c r="B381" s="3" t="n">
        <v>379</v>
      </c>
      <c r="C381" s="3" t="n">
        <v>1</v>
      </c>
      <c r="D381" s="3" t="n">
        <v>13</v>
      </c>
      <c r="E381" s="3" t="n">
        <v>1</v>
      </c>
      <c r="F381" s="24" t="n">
        <v>-0.287459999</v>
      </c>
    </row>
    <row r="382" customFormat="false" ht="15" hidden="false" customHeight="false" outlineLevel="0" collapsed="false">
      <c r="A382" s="3" t="n">
        <v>381</v>
      </c>
      <c r="B382" s="3" t="n">
        <v>380</v>
      </c>
      <c r="C382" s="3" t="n">
        <v>1</v>
      </c>
      <c r="D382" s="3" t="n">
        <v>13</v>
      </c>
      <c r="E382" s="3" t="n">
        <v>2</v>
      </c>
      <c r="F382" s="24" t="n">
        <v>-0.141558409</v>
      </c>
    </row>
    <row r="383" customFormat="false" ht="15" hidden="false" customHeight="false" outlineLevel="0" collapsed="false">
      <c r="A383" s="3" t="n">
        <v>382</v>
      </c>
      <c r="B383" s="3" t="n">
        <v>381</v>
      </c>
      <c r="C383" s="3" t="n">
        <v>1</v>
      </c>
      <c r="D383" s="3" t="n">
        <v>13</v>
      </c>
      <c r="E383" s="3" t="n">
        <v>3</v>
      </c>
      <c r="F383" s="24" t="n">
        <v>0.775209069</v>
      </c>
    </row>
    <row r="384" customFormat="false" ht="15" hidden="false" customHeight="false" outlineLevel="0" collapsed="false">
      <c r="A384" s="3" t="n">
        <v>383</v>
      </c>
      <c r="B384" s="3" t="n">
        <v>382</v>
      </c>
      <c r="C384" s="3" t="n">
        <v>1</v>
      </c>
      <c r="D384" s="3" t="n">
        <v>13</v>
      </c>
      <c r="E384" s="3" t="n">
        <v>4</v>
      </c>
      <c r="F384" s="24" t="n">
        <v>3.95338917</v>
      </c>
    </row>
    <row r="385" customFormat="false" ht="15" hidden="false" customHeight="false" outlineLevel="0" collapsed="false">
      <c r="A385" s="3" t="n">
        <v>384</v>
      </c>
      <c r="B385" s="3" t="n">
        <v>383</v>
      </c>
      <c r="C385" s="3" t="n">
        <v>1</v>
      </c>
      <c r="D385" s="3" t="n">
        <v>13</v>
      </c>
      <c r="E385" s="3" t="n">
        <v>5</v>
      </c>
      <c r="F385" s="24" t="n">
        <v>-0.818134725</v>
      </c>
    </row>
    <row r="386" customFormat="false" ht="15" hidden="false" customHeight="false" outlineLevel="0" collapsed="false">
      <c r="A386" s="3" t="n">
        <v>385</v>
      </c>
      <c r="B386" s="3" t="n">
        <v>384</v>
      </c>
      <c r="C386" s="3" t="n">
        <v>1</v>
      </c>
      <c r="D386" s="3" t="n">
        <v>13</v>
      </c>
      <c r="E386" s="3" t="n">
        <v>6</v>
      </c>
      <c r="F386" s="24" t="n">
        <v>-5.98831844</v>
      </c>
    </row>
    <row r="387" customFormat="false" ht="15" hidden="false" customHeight="false" outlineLevel="0" collapsed="false">
      <c r="A387" s="3" t="n">
        <v>386</v>
      </c>
      <c r="B387" s="3" t="n">
        <v>385</v>
      </c>
      <c r="C387" s="3" t="n">
        <v>1</v>
      </c>
      <c r="D387" s="3" t="n">
        <v>13</v>
      </c>
      <c r="E387" s="3" t="n">
        <v>7</v>
      </c>
      <c r="F387" s="24" t="n">
        <v>-5.53246832</v>
      </c>
    </row>
    <row r="388" customFormat="false" ht="15" hidden="false" customHeight="false" outlineLevel="0" collapsed="false">
      <c r="A388" s="3" t="n">
        <v>387</v>
      </c>
      <c r="B388" s="3" t="n">
        <v>386</v>
      </c>
      <c r="C388" s="3" t="n">
        <v>1</v>
      </c>
      <c r="D388" s="3" t="n">
        <v>13</v>
      </c>
      <c r="E388" s="3" t="n">
        <v>8</v>
      </c>
      <c r="F388" s="24" t="n">
        <v>-1.85600138</v>
      </c>
    </row>
    <row r="389" customFormat="false" ht="15" hidden="false" customHeight="false" outlineLevel="0" collapsed="false">
      <c r="A389" s="3" t="n">
        <v>388</v>
      </c>
      <c r="B389" s="3" t="n">
        <v>387</v>
      </c>
      <c r="C389" s="3" t="n">
        <v>1</v>
      </c>
      <c r="D389" s="3" t="n">
        <v>13</v>
      </c>
      <c r="E389" s="3" t="n">
        <v>9</v>
      </c>
      <c r="F389" s="24" t="n">
        <v>-0.141558409</v>
      </c>
    </row>
    <row r="390" customFormat="false" ht="15" hidden="false" customHeight="false" outlineLevel="0" collapsed="false">
      <c r="A390" s="3" t="n">
        <v>389</v>
      </c>
      <c r="B390" s="3" t="n">
        <v>388</v>
      </c>
      <c r="C390" s="3" t="n">
        <v>1</v>
      </c>
      <c r="D390" s="3" t="n">
        <v>13</v>
      </c>
      <c r="E390" s="3" t="n">
        <v>10</v>
      </c>
      <c r="F390" s="24" t="n">
        <v>-0.141558409</v>
      </c>
    </row>
    <row r="391" customFormat="false" ht="15" hidden="false" customHeight="false" outlineLevel="0" collapsed="false">
      <c r="A391" s="3" t="n">
        <v>390</v>
      </c>
      <c r="B391" s="3" t="n">
        <v>389</v>
      </c>
      <c r="C391" s="3" t="n">
        <v>1</v>
      </c>
      <c r="D391" s="3" t="n">
        <v>13</v>
      </c>
      <c r="E391" s="3" t="n">
        <v>11</v>
      </c>
      <c r="F391" s="24" t="n">
        <v>-0.141558409</v>
      </c>
    </row>
    <row r="392" customFormat="false" ht="15" hidden="false" customHeight="false" outlineLevel="0" collapsed="false">
      <c r="A392" s="3" t="n">
        <v>391</v>
      </c>
      <c r="B392" s="3" t="n">
        <v>390</v>
      </c>
      <c r="C392" s="3" t="n">
        <v>1</v>
      </c>
      <c r="D392" s="3" t="n">
        <v>13</v>
      </c>
      <c r="E392" s="3" t="n">
        <v>12</v>
      </c>
      <c r="F392" s="24" t="n">
        <v>0.0492724627</v>
      </c>
    </row>
    <row r="393" customFormat="false" ht="15" hidden="false" customHeight="false" outlineLevel="0" collapsed="false">
      <c r="A393" s="3" t="n">
        <v>392</v>
      </c>
      <c r="B393" s="3" t="n">
        <v>391</v>
      </c>
      <c r="C393" s="3" t="n">
        <v>1</v>
      </c>
      <c r="D393" s="3" t="n">
        <v>13</v>
      </c>
      <c r="E393" s="3" t="n">
        <v>13</v>
      </c>
      <c r="F393" s="24" t="n">
        <v>-0.26700905</v>
      </c>
    </row>
    <row r="394" customFormat="false" ht="15" hidden="false" customHeight="false" outlineLevel="0" collapsed="false">
      <c r="A394" s="3" t="n">
        <v>393</v>
      </c>
      <c r="B394" s="3" t="n">
        <v>392</v>
      </c>
      <c r="C394" s="3" t="n">
        <v>2</v>
      </c>
      <c r="D394" s="3" t="n">
        <v>0</v>
      </c>
      <c r="E394" s="3" t="n">
        <v>0</v>
      </c>
      <c r="F394" s="24" t="n">
        <v>1.15854084</v>
      </c>
    </row>
    <row r="395" customFormat="false" ht="15" hidden="false" customHeight="false" outlineLevel="0" collapsed="false">
      <c r="A395" s="3" t="n">
        <v>394</v>
      </c>
      <c r="B395" s="3" t="n">
        <v>393</v>
      </c>
      <c r="C395" s="3" t="n">
        <v>2</v>
      </c>
      <c r="D395" s="3" t="n">
        <v>0</v>
      </c>
      <c r="E395" s="3" t="n">
        <v>1</v>
      </c>
      <c r="F395" s="24" t="n">
        <v>1.2016834</v>
      </c>
    </row>
    <row r="396" customFormat="false" ht="15" hidden="false" customHeight="false" outlineLevel="0" collapsed="false">
      <c r="A396" s="3" t="n">
        <v>395</v>
      </c>
      <c r="B396" s="3" t="n">
        <v>394</v>
      </c>
      <c r="C396" s="3" t="n">
        <v>2</v>
      </c>
      <c r="D396" s="3" t="n">
        <v>0</v>
      </c>
      <c r="E396" s="3" t="n">
        <v>2</v>
      </c>
      <c r="F396" s="24" t="n">
        <v>1.4698441</v>
      </c>
    </row>
    <row r="397" customFormat="false" ht="15" hidden="false" customHeight="false" outlineLevel="0" collapsed="false">
      <c r="A397" s="3" t="n">
        <v>396</v>
      </c>
      <c r="B397" s="3" t="n">
        <v>395</v>
      </c>
      <c r="C397" s="3" t="n">
        <v>2</v>
      </c>
      <c r="D397" s="3" t="n">
        <v>0</v>
      </c>
      <c r="E397" s="3" t="n">
        <v>3</v>
      </c>
      <c r="F397" s="24" t="n">
        <v>1.4698441</v>
      </c>
    </row>
    <row r="398" customFormat="false" ht="15" hidden="false" customHeight="false" outlineLevel="0" collapsed="false">
      <c r="A398" s="3" t="n">
        <v>397</v>
      </c>
      <c r="B398" s="3" t="n">
        <v>396</v>
      </c>
      <c r="C398" s="3" t="n">
        <v>2</v>
      </c>
      <c r="D398" s="3" t="n">
        <v>0</v>
      </c>
      <c r="E398" s="3" t="n">
        <v>4</v>
      </c>
      <c r="F398" s="24" t="n">
        <v>1.4698441</v>
      </c>
    </row>
    <row r="399" customFormat="false" ht="15" hidden="false" customHeight="false" outlineLevel="0" collapsed="false">
      <c r="A399" s="3" t="n">
        <v>398</v>
      </c>
      <c r="B399" s="3" t="n">
        <v>397</v>
      </c>
      <c r="C399" s="3" t="n">
        <v>2</v>
      </c>
      <c r="D399" s="3" t="n">
        <v>0</v>
      </c>
      <c r="E399" s="3" t="n">
        <v>5</v>
      </c>
      <c r="F399" s="24" t="n">
        <v>1.4698441</v>
      </c>
    </row>
    <row r="400" customFormat="false" ht="15" hidden="false" customHeight="false" outlineLevel="0" collapsed="false">
      <c r="A400" s="3" t="n">
        <v>399</v>
      </c>
      <c r="B400" s="3" t="n">
        <v>398</v>
      </c>
      <c r="C400" s="3" t="n">
        <v>2</v>
      </c>
      <c r="D400" s="3" t="n">
        <v>0</v>
      </c>
      <c r="E400" s="3" t="n">
        <v>6</v>
      </c>
      <c r="F400" s="24" t="n">
        <v>1.4698441</v>
      </c>
    </row>
    <row r="401" customFormat="false" ht="15" hidden="false" customHeight="false" outlineLevel="0" collapsed="false">
      <c r="A401" s="3" t="n">
        <v>400</v>
      </c>
      <c r="B401" s="3" t="n">
        <v>399</v>
      </c>
      <c r="C401" s="3" t="n">
        <v>2</v>
      </c>
      <c r="D401" s="3" t="n">
        <v>0</v>
      </c>
      <c r="E401" s="3" t="n">
        <v>7</v>
      </c>
      <c r="F401" s="24" t="n">
        <v>1.4698441</v>
      </c>
    </row>
    <row r="402" customFormat="false" ht="15" hidden="false" customHeight="false" outlineLevel="0" collapsed="false">
      <c r="A402" s="3" t="n">
        <v>401</v>
      </c>
      <c r="B402" s="3" t="n">
        <v>400</v>
      </c>
      <c r="C402" s="3" t="n">
        <v>2</v>
      </c>
      <c r="D402" s="3" t="n">
        <v>0</v>
      </c>
      <c r="E402" s="3" t="n">
        <v>8</v>
      </c>
      <c r="F402" s="24" t="n">
        <v>1.4698441</v>
      </c>
    </row>
    <row r="403" customFormat="false" ht="15" hidden="false" customHeight="false" outlineLevel="0" collapsed="false">
      <c r="A403" s="3" t="n">
        <v>402</v>
      </c>
      <c r="B403" s="3" t="n">
        <v>401</v>
      </c>
      <c r="C403" s="3" t="n">
        <v>2</v>
      </c>
      <c r="D403" s="3" t="n">
        <v>0</v>
      </c>
      <c r="E403" s="3" t="n">
        <v>9</v>
      </c>
      <c r="F403" s="24" t="n">
        <v>1.4698441</v>
      </c>
    </row>
    <row r="404" customFormat="false" ht="15" hidden="false" customHeight="false" outlineLevel="0" collapsed="false">
      <c r="A404" s="3" t="n">
        <v>403</v>
      </c>
      <c r="B404" s="3" t="n">
        <v>402</v>
      </c>
      <c r="C404" s="3" t="n">
        <v>2</v>
      </c>
      <c r="D404" s="3" t="n">
        <v>0</v>
      </c>
      <c r="E404" s="3" t="n">
        <v>10</v>
      </c>
      <c r="F404" s="24" t="n">
        <v>1.4698441</v>
      </c>
    </row>
    <row r="405" customFormat="false" ht="15" hidden="false" customHeight="false" outlineLevel="0" collapsed="false">
      <c r="A405" s="3" t="n">
        <v>404</v>
      </c>
      <c r="B405" s="3" t="n">
        <v>403</v>
      </c>
      <c r="C405" s="3" t="n">
        <v>2</v>
      </c>
      <c r="D405" s="3" t="n">
        <v>0</v>
      </c>
      <c r="E405" s="3" t="n">
        <v>11</v>
      </c>
      <c r="F405" s="24" t="n">
        <v>1.4698441</v>
      </c>
    </row>
    <row r="406" customFormat="false" ht="15" hidden="false" customHeight="false" outlineLevel="0" collapsed="false">
      <c r="A406" s="3" t="n">
        <v>405</v>
      </c>
      <c r="B406" s="3" t="n">
        <v>404</v>
      </c>
      <c r="C406" s="3" t="n">
        <v>2</v>
      </c>
      <c r="D406" s="3" t="n">
        <v>0</v>
      </c>
      <c r="E406" s="3" t="n">
        <v>12</v>
      </c>
      <c r="F406" s="24" t="n">
        <v>1.20705199</v>
      </c>
    </row>
    <row r="407" customFormat="false" ht="15" hidden="false" customHeight="false" outlineLevel="0" collapsed="false">
      <c r="A407" s="3" t="n">
        <v>406</v>
      </c>
      <c r="B407" s="3" t="n">
        <v>405</v>
      </c>
      <c r="C407" s="3" t="n">
        <v>2</v>
      </c>
      <c r="D407" s="3" t="n">
        <v>0</v>
      </c>
      <c r="E407" s="3" t="n">
        <v>13</v>
      </c>
      <c r="F407" s="24" t="n">
        <v>0.697268009</v>
      </c>
    </row>
    <row r="408" customFormat="false" ht="15" hidden="false" customHeight="false" outlineLevel="0" collapsed="false">
      <c r="A408" s="3" t="n">
        <v>407</v>
      </c>
      <c r="B408" s="3" t="n">
        <v>406</v>
      </c>
      <c r="C408" s="3" t="n">
        <v>2</v>
      </c>
      <c r="D408" s="3" t="n">
        <v>1</v>
      </c>
      <c r="E408" s="3" t="n">
        <v>0</v>
      </c>
      <c r="F408" s="24" t="n">
        <v>0.575945139</v>
      </c>
    </row>
    <row r="409" customFormat="false" ht="15" hidden="false" customHeight="false" outlineLevel="0" collapsed="false">
      <c r="A409" s="3" t="n">
        <v>408</v>
      </c>
      <c r="B409" s="3" t="n">
        <v>407</v>
      </c>
      <c r="C409" s="3" t="n">
        <v>2</v>
      </c>
      <c r="D409" s="3" t="n">
        <v>1</v>
      </c>
      <c r="E409" s="3" t="n">
        <v>1</v>
      </c>
      <c r="F409" s="24" t="n">
        <v>0.49109441</v>
      </c>
    </row>
    <row r="410" customFormat="false" ht="15" hidden="false" customHeight="false" outlineLevel="0" collapsed="false">
      <c r="A410" s="3" t="n">
        <v>409</v>
      </c>
      <c r="B410" s="3" t="n">
        <v>408</v>
      </c>
      <c r="C410" s="3" t="n">
        <v>2</v>
      </c>
      <c r="D410" s="3" t="n">
        <v>1</v>
      </c>
      <c r="E410" s="3" t="n">
        <v>2</v>
      </c>
      <c r="F410" s="24" t="n">
        <v>0.627092481</v>
      </c>
    </row>
    <row r="411" customFormat="false" ht="15" hidden="false" customHeight="false" outlineLevel="0" collapsed="false">
      <c r="A411" s="3" t="n">
        <v>410</v>
      </c>
      <c r="B411" s="3" t="n">
        <v>409</v>
      </c>
      <c r="C411" s="3" t="n">
        <v>2</v>
      </c>
      <c r="D411" s="3" t="n">
        <v>1</v>
      </c>
      <c r="E411" s="3" t="n">
        <v>3</v>
      </c>
      <c r="F411" s="24" t="n">
        <v>0.627092481</v>
      </c>
    </row>
    <row r="412" customFormat="false" ht="15" hidden="false" customHeight="false" outlineLevel="0" collapsed="false">
      <c r="A412" s="3" t="n">
        <v>411</v>
      </c>
      <c r="B412" s="3" t="n">
        <v>410</v>
      </c>
      <c r="C412" s="3" t="n">
        <v>2</v>
      </c>
      <c r="D412" s="3" t="n">
        <v>1</v>
      </c>
      <c r="E412" s="3" t="n">
        <v>4</v>
      </c>
      <c r="F412" s="24" t="n">
        <v>0.627092481</v>
      </c>
    </row>
    <row r="413" customFormat="false" ht="15" hidden="false" customHeight="false" outlineLevel="0" collapsed="false">
      <c r="A413" s="3" t="n">
        <v>412</v>
      </c>
      <c r="B413" s="3" t="n">
        <v>411</v>
      </c>
      <c r="C413" s="3" t="n">
        <v>2</v>
      </c>
      <c r="D413" s="3" t="n">
        <v>1</v>
      </c>
      <c r="E413" s="3" t="n">
        <v>5</v>
      </c>
      <c r="F413" s="24" t="n">
        <v>0.627092481</v>
      </c>
    </row>
    <row r="414" customFormat="false" ht="15" hidden="false" customHeight="false" outlineLevel="0" collapsed="false">
      <c r="A414" s="3" t="n">
        <v>413</v>
      </c>
      <c r="B414" s="3" t="n">
        <v>412</v>
      </c>
      <c r="C414" s="3" t="n">
        <v>2</v>
      </c>
      <c r="D414" s="3" t="n">
        <v>1</v>
      </c>
      <c r="E414" s="3" t="n">
        <v>6</v>
      </c>
      <c r="F414" s="24" t="n">
        <v>0.627092481</v>
      </c>
    </row>
    <row r="415" customFormat="false" ht="15" hidden="false" customHeight="false" outlineLevel="0" collapsed="false">
      <c r="A415" s="3" t="n">
        <v>414</v>
      </c>
      <c r="B415" s="3" t="n">
        <v>413</v>
      </c>
      <c r="C415" s="3" t="n">
        <v>2</v>
      </c>
      <c r="D415" s="3" t="n">
        <v>1</v>
      </c>
      <c r="E415" s="3" t="n">
        <v>7</v>
      </c>
      <c r="F415" s="24" t="n">
        <v>0.627092481</v>
      </c>
    </row>
    <row r="416" customFormat="false" ht="15" hidden="false" customHeight="false" outlineLevel="0" collapsed="false">
      <c r="A416" s="3" t="n">
        <v>415</v>
      </c>
      <c r="B416" s="3" t="n">
        <v>414</v>
      </c>
      <c r="C416" s="3" t="n">
        <v>2</v>
      </c>
      <c r="D416" s="3" t="n">
        <v>1</v>
      </c>
      <c r="E416" s="3" t="n">
        <v>8</v>
      </c>
      <c r="F416" s="24" t="n">
        <v>0.627092481</v>
      </c>
    </row>
    <row r="417" customFormat="false" ht="15" hidden="false" customHeight="false" outlineLevel="0" collapsed="false">
      <c r="A417" s="3" t="n">
        <v>416</v>
      </c>
      <c r="B417" s="3" t="n">
        <v>415</v>
      </c>
      <c r="C417" s="3" t="n">
        <v>2</v>
      </c>
      <c r="D417" s="3" t="n">
        <v>1</v>
      </c>
      <c r="E417" s="3" t="n">
        <v>9</v>
      </c>
      <c r="F417" s="24" t="n">
        <v>0.627092481</v>
      </c>
    </row>
    <row r="418" customFormat="false" ht="15" hidden="false" customHeight="false" outlineLevel="0" collapsed="false">
      <c r="A418" s="3" t="n">
        <v>417</v>
      </c>
      <c r="B418" s="3" t="n">
        <v>416</v>
      </c>
      <c r="C418" s="3" t="n">
        <v>2</v>
      </c>
      <c r="D418" s="3" t="n">
        <v>1</v>
      </c>
      <c r="E418" s="3" t="n">
        <v>10</v>
      </c>
      <c r="F418" s="24" t="n">
        <v>0.627092481</v>
      </c>
    </row>
    <row r="419" customFormat="false" ht="15" hidden="false" customHeight="false" outlineLevel="0" collapsed="false">
      <c r="A419" s="3" t="n">
        <v>418</v>
      </c>
      <c r="B419" s="3" t="n">
        <v>417</v>
      </c>
      <c r="C419" s="3" t="n">
        <v>2</v>
      </c>
      <c r="D419" s="3" t="n">
        <v>1</v>
      </c>
      <c r="E419" s="3" t="n">
        <v>11</v>
      </c>
      <c r="F419" s="24" t="n">
        <v>0.627092481</v>
      </c>
    </row>
    <row r="420" customFormat="false" ht="15" hidden="false" customHeight="false" outlineLevel="0" collapsed="false">
      <c r="A420" s="3" t="n">
        <v>419</v>
      </c>
      <c r="B420" s="3" t="n">
        <v>418</v>
      </c>
      <c r="C420" s="3" t="n">
        <v>2</v>
      </c>
      <c r="D420" s="3" t="n">
        <v>1</v>
      </c>
      <c r="E420" s="3" t="n">
        <v>12</v>
      </c>
      <c r="F420" s="24" t="n">
        <v>0.397241712</v>
      </c>
    </row>
    <row r="421" customFormat="false" ht="15" hidden="false" customHeight="false" outlineLevel="0" collapsed="false">
      <c r="A421" s="3" t="n">
        <v>420</v>
      </c>
      <c r="B421" s="3" t="n">
        <v>419</v>
      </c>
      <c r="C421" s="3" t="n">
        <v>2</v>
      </c>
      <c r="D421" s="3" t="n">
        <v>1</v>
      </c>
      <c r="E421" s="3" t="n">
        <v>13</v>
      </c>
      <c r="F421" s="24" t="n">
        <v>0.178861186</v>
      </c>
    </row>
    <row r="422" customFormat="false" ht="15" hidden="false" customHeight="false" outlineLevel="0" collapsed="false">
      <c r="A422" s="3" t="n">
        <v>421</v>
      </c>
      <c r="B422" s="3" t="n">
        <v>420</v>
      </c>
      <c r="C422" s="3" t="n">
        <v>2</v>
      </c>
      <c r="D422" s="3" t="n">
        <v>2</v>
      </c>
      <c r="E422" s="3" t="n">
        <v>0</v>
      </c>
      <c r="F422" s="24" t="n">
        <v>0.587804258</v>
      </c>
    </row>
    <row r="423" customFormat="false" ht="15" hidden="false" customHeight="false" outlineLevel="0" collapsed="false">
      <c r="A423" s="3" t="n">
        <v>422</v>
      </c>
      <c r="B423" s="3" t="n">
        <v>421</v>
      </c>
      <c r="C423" s="3" t="n">
        <v>2</v>
      </c>
      <c r="D423" s="3" t="n">
        <v>2</v>
      </c>
      <c r="E423" s="3" t="n">
        <v>1</v>
      </c>
      <c r="F423" s="24" t="n">
        <v>0.486765444</v>
      </c>
    </row>
    <row r="424" customFormat="false" ht="15" hidden="false" customHeight="false" outlineLevel="0" collapsed="false">
      <c r="A424" s="3" t="n">
        <v>423</v>
      </c>
      <c r="B424" s="3" t="n">
        <v>422</v>
      </c>
      <c r="C424" s="3" t="n">
        <v>2</v>
      </c>
      <c r="D424" s="3" t="n">
        <v>2</v>
      </c>
      <c r="E424" s="3" t="n">
        <v>2</v>
      </c>
      <c r="F424" s="24" t="n">
        <v>2.0405457</v>
      </c>
    </row>
    <row r="425" customFormat="false" ht="15" hidden="false" customHeight="false" outlineLevel="0" collapsed="false">
      <c r="A425" s="3" t="n">
        <v>424</v>
      </c>
      <c r="B425" s="3" t="n">
        <v>423</v>
      </c>
      <c r="C425" s="3" t="n">
        <v>2</v>
      </c>
      <c r="D425" s="3" t="n">
        <v>2</v>
      </c>
      <c r="E425" s="3" t="n">
        <v>3</v>
      </c>
      <c r="F425" s="24" t="n">
        <v>4.22180939</v>
      </c>
    </row>
    <row r="426" customFormat="false" ht="15" hidden="false" customHeight="false" outlineLevel="0" collapsed="false">
      <c r="A426" s="3" t="n">
        <v>425</v>
      </c>
      <c r="B426" s="3" t="n">
        <v>424</v>
      </c>
      <c r="C426" s="3" t="n">
        <v>2</v>
      </c>
      <c r="D426" s="3" t="n">
        <v>2</v>
      </c>
      <c r="E426" s="3" t="n">
        <v>4</v>
      </c>
      <c r="F426" s="24" t="n">
        <v>3.22038651</v>
      </c>
    </row>
    <row r="427" customFormat="false" ht="15" hidden="false" customHeight="false" outlineLevel="0" collapsed="false">
      <c r="A427" s="3" t="n">
        <v>426</v>
      </c>
      <c r="B427" s="3" t="n">
        <v>425</v>
      </c>
      <c r="C427" s="3" t="n">
        <v>2</v>
      </c>
      <c r="D427" s="3" t="n">
        <v>2</v>
      </c>
      <c r="E427" s="3" t="n">
        <v>5</v>
      </c>
      <c r="F427" s="24" t="n">
        <v>2.33569193</v>
      </c>
    </row>
    <row r="428" customFormat="false" ht="15" hidden="false" customHeight="false" outlineLevel="0" collapsed="false">
      <c r="A428" s="3" t="n">
        <v>427</v>
      </c>
      <c r="B428" s="3" t="n">
        <v>426</v>
      </c>
      <c r="C428" s="3" t="n">
        <v>2</v>
      </c>
      <c r="D428" s="3" t="n">
        <v>2</v>
      </c>
      <c r="E428" s="3" t="n">
        <v>6</v>
      </c>
      <c r="F428" s="24" t="n">
        <v>1.88665271</v>
      </c>
    </row>
    <row r="429" customFormat="false" ht="15" hidden="false" customHeight="false" outlineLevel="0" collapsed="false">
      <c r="A429" s="3" t="n">
        <v>428</v>
      </c>
      <c r="B429" s="3" t="n">
        <v>427</v>
      </c>
      <c r="C429" s="3" t="n">
        <v>2</v>
      </c>
      <c r="D429" s="3" t="n">
        <v>2</v>
      </c>
      <c r="E429" s="3" t="n">
        <v>7</v>
      </c>
      <c r="F429" s="24" t="n">
        <v>2.26063871</v>
      </c>
    </row>
    <row r="430" customFormat="false" ht="15" hidden="false" customHeight="false" outlineLevel="0" collapsed="false">
      <c r="A430" s="3" t="n">
        <v>429</v>
      </c>
      <c r="B430" s="3" t="n">
        <v>428</v>
      </c>
      <c r="C430" s="3" t="n">
        <v>2</v>
      </c>
      <c r="D430" s="3" t="n">
        <v>2</v>
      </c>
      <c r="E430" s="3" t="n">
        <v>8</v>
      </c>
      <c r="F430" s="24" t="n">
        <v>2.29182053</v>
      </c>
    </row>
    <row r="431" customFormat="false" ht="15" hidden="false" customHeight="false" outlineLevel="0" collapsed="false">
      <c r="A431" s="3" t="n">
        <v>430</v>
      </c>
      <c r="B431" s="3" t="n">
        <v>429</v>
      </c>
      <c r="C431" s="3" t="n">
        <v>2</v>
      </c>
      <c r="D431" s="3" t="n">
        <v>2</v>
      </c>
      <c r="E431" s="3" t="n">
        <v>9</v>
      </c>
      <c r="F431" s="24" t="n">
        <v>1.97974467</v>
      </c>
    </row>
    <row r="432" customFormat="false" ht="15" hidden="false" customHeight="false" outlineLevel="0" collapsed="false">
      <c r="A432" s="3" t="n">
        <v>431</v>
      </c>
      <c r="B432" s="3" t="n">
        <v>430</v>
      </c>
      <c r="C432" s="3" t="n">
        <v>2</v>
      </c>
      <c r="D432" s="3" t="n">
        <v>2</v>
      </c>
      <c r="E432" s="3" t="n">
        <v>10</v>
      </c>
      <c r="F432" s="24" t="n">
        <v>0.901531637</v>
      </c>
    </row>
    <row r="433" customFormat="false" ht="15" hidden="false" customHeight="false" outlineLevel="0" collapsed="false">
      <c r="A433" s="3" t="n">
        <v>432</v>
      </c>
      <c r="B433" s="3" t="n">
        <v>431</v>
      </c>
      <c r="C433" s="3" t="n">
        <v>2</v>
      </c>
      <c r="D433" s="3" t="n">
        <v>2</v>
      </c>
      <c r="E433" s="3" t="n">
        <v>11</v>
      </c>
      <c r="F433" s="24" t="n">
        <v>0.132043779</v>
      </c>
    </row>
    <row r="434" customFormat="false" ht="15" hidden="false" customHeight="false" outlineLevel="0" collapsed="false">
      <c r="A434" s="3" t="n">
        <v>433</v>
      </c>
      <c r="B434" s="3" t="n">
        <v>432</v>
      </c>
      <c r="C434" s="3" t="n">
        <v>2</v>
      </c>
      <c r="D434" s="3" t="n">
        <v>2</v>
      </c>
      <c r="E434" s="3" t="n">
        <v>12</v>
      </c>
      <c r="F434" s="24" t="n">
        <v>0.37193346</v>
      </c>
    </row>
    <row r="435" customFormat="false" ht="15" hidden="false" customHeight="false" outlineLevel="0" collapsed="false">
      <c r="A435" s="3" t="n">
        <v>434</v>
      </c>
      <c r="B435" s="3" t="n">
        <v>433</v>
      </c>
      <c r="C435" s="3" t="n">
        <v>2</v>
      </c>
      <c r="D435" s="3" t="n">
        <v>2</v>
      </c>
      <c r="E435" s="3" t="n">
        <v>13</v>
      </c>
      <c r="F435" s="24" t="n">
        <v>0.191397607</v>
      </c>
    </row>
    <row r="436" customFormat="false" ht="15" hidden="false" customHeight="false" outlineLevel="0" collapsed="false">
      <c r="A436" s="3" t="n">
        <v>435</v>
      </c>
      <c r="B436" s="3" t="n">
        <v>434</v>
      </c>
      <c r="C436" s="3" t="n">
        <v>2</v>
      </c>
      <c r="D436" s="3" t="n">
        <v>3</v>
      </c>
      <c r="E436" s="3" t="n">
        <v>0</v>
      </c>
      <c r="F436" s="24" t="n">
        <v>0.587804258</v>
      </c>
    </row>
    <row r="437" customFormat="false" ht="15" hidden="false" customHeight="false" outlineLevel="0" collapsed="false">
      <c r="A437" s="3" t="n">
        <v>436</v>
      </c>
      <c r="B437" s="3" t="n">
        <v>435</v>
      </c>
      <c r="C437" s="3" t="n">
        <v>2</v>
      </c>
      <c r="D437" s="3" t="n">
        <v>3</v>
      </c>
      <c r="E437" s="3" t="n">
        <v>1</v>
      </c>
      <c r="F437" s="24" t="n">
        <v>-1.1332078</v>
      </c>
    </row>
    <row r="438" customFormat="false" ht="15" hidden="false" customHeight="false" outlineLevel="0" collapsed="false">
      <c r="A438" s="3" t="n">
        <v>437</v>
      </c>
      <c r="B438" s="3" t="n">
        <v>436</v>
      </c>
      <c r="C438" s="3" t="n">
        <v>2</v>
      </c>
      <c r="D438" s="3" t="n">
        <v>3</v>
      </c>
      <c r="E438" s="3" t="n">
        <v>2</v>
      </c>
      <c r="F438" s="24" t="n">
        <v>-5.63570166</v>
      </c>
    </row>
    <row r="439" customFormat="false" ht="15" hidden="false" customHeight="false" outlineLevel="0" collapsed="false">
      <c r="A439" s="3" t="n">
        <v>438</v>
      </c>
      <c r="B439" s="3" t="n">
        <v>437</v>
      </c>
      <c r="C439" s="3" t="n">
        <v>2</v>
      </c>
      <c r="D439" s="3" t="n">
        <v>3</v>
      </c>
      <c r="E439" s="3" t="n">
        <v>3</v>
      </c>
      <c r="F439" s="24" t="n">
        <v>-7.16812468</v>
      </c>
    </row>
    <row r="440" customFormat="false" ht="15" hidden="false" customHeight="false" outlineLevel="0" collapsed="false">
      <c r="A440" s="3" t="n">
        <v>439</v>
      </c>
      <c r="B440" s="3" t="n">
        <v>438</v>
      </c>
      <c r="C440" s="3" t="n">
        <v>2</v>
      </c>
      <c r="D440" s="3" t="n">
        <v>3</v>
      </c>
      <c r="E440" s="3" t="n">
        <v>4</v>
      </c>
      <c r="F440" s="24" t="n">
        <v>-7.29166698</v>
      </c>
    </row>
    <row r="441" customFormat="false" ht="15" hidden="false" customHeight="false" outlineLevel="0" collapsed="false">
      <c r="A441" s="3" t="n">
        <v>440</v>
      </c>
      <c r="B441" s="3" t="n">
        <v>439</v>
      </c>
      <c r="C441" s="3" t="n">
        <v>2</v>
      </c>
      <c r="D441" s="3" t="n">
        <v>3</v>
      </c>
      <c r="E441" s="3" t="n">
        <v>5</v>
      </c>
      <c r="F441" s="24" t="n">
        <v>-3.22529149</v>
      </c>
    </row>
    <row r="442" customFormat="false" ht="15" hidden="false" customHeight="false" outlineLevel="0" collapsed="false">
      <c r="A442" s="3" t="n">
        <v>441</v>
      </c>
      <c r="B442" s="3" t="n">
        <v>440</v>
      </c>
      <c r="C442" s="3" t="n">
        <v>2</v>
      </c>
      <c r="D442" s="3" t="n">
        <v>3</v>
      </c>
      <c r="E442" s="3" t="n">
        <v>6</v>
      </c>
      <c r="F442" s="24" t="n">
        <v>-2.59924531</v>
      </c>
    </row>
    <row r="443" customFormat="false" ht="15" hidden="false" customHeight="false" outlineLevel="0" collapsed="false">
      <c r="A443" s="3" t="n">
        <v>442</v>
      </c>
      <c r="B443" s="3" t="n">
        <v>441</v>
      </c>
      <c r="C443" s="3" t="n">
        <v>2</v>
      </c>
      <c r="D443" s="3" t="n">
        <v>3</v>
      </c>
      <c r="E443" s="3" t="n">
        <v>7</v>
      </c>
      <c r="F443" s="24" t="n">
        <v>-2.28316975</v>
      </c>
    </row>
    <row r="444" customFormat="false" ht="15" hidden="false" customHeight="false" outlineLevel="0" collapsed="false">
      <c r="A444" s="3" t="n">
        <v>443</v>
      </c>
      <c r="B444" s="3" t="n">
        <v>442</v>
      </c>
      <c r="C444" s="3" t="n">
        <v>2</v>
      </c>
      <c r="D444" s="3" t="n">
        <v>3</v>
      </c>
      <c r="E444" s="3" t="n">
        <v>8</v>
      </c>
      <c r="F444" s="24" t="n">
        <v>-2.42493129</v>
      </c>
    </row>
    <row r="445" customFormat="false" ht="15" hidden="false" customHeight="false" outlineLevel="0" collapsed="false">
      <c r="A445" s="3" t="n">
        <v>444</v>
      </c>
      <c r="B445" s="3" t="n">
        <v>443</v>
      </c>
      <c r="C445" s="3" t="n">
        <v>2</v>
      </c>
      <c r="D445" s="3" t="n">
        <v>3</v>
      </c>
      <c r="E445" s="3" t="n">
        <v>9</v>
      </c>
      <c r="F445" s="24" t="n">
        <v>-1.40848017</v>
      </c>
    </row>
    <row r="446" customFormat="false" ht="15" hidden="false" customHeight="false" outlineLevel="0" collapsed="false">
      <c r="A446" s="3" t="n">
        <v>445</v>
      </c>
      <c r="B446" s="3" t="n">
        <v>444</v>
      </c>
      <c r="C446" s="3" t="n">
        <v>2</v>
      </c>
      <c r="D446" s="3" t="n">
        <v>3</v>
      </c>
      <c r="E446" s="3" t="n">
        <v>10</v>
      </c>
      <c r="F446" s="24" t="n">
        <v>-2.07560062</v>
      </c>
    </row>
    <row r="447" customFormat="false" ht="15" hidden="false" customHeight="false" outlineLevel="0" collapsed="false">
      <c r="A447" s="3" t="n">
        <v>446</v>
      </c>
      <c r="B447" s="3" t="n">
        <v>445</v>
      </c>
      <c r="C447" s="3" t="n">
        <v>2</v>
      </c>
      <c r="D447" s="3" t="n">
        <v>3</v>
      </c>
      <c r="E447" s="3" t="n">
        <v>11</v>
      </c>
      <c r="F447" s="24" t="n">
        <v>-2.951056</v>
      </c>
    </row>
    <row r="448" customFormat="false" ht="15" hidden="false" customHeight="false" outlineLevel="0" collapsed="false">
      <c r="A448" s="3" t="n">
        <v>447</v>
      </c>
      <c r="B448" s="3" t="n">
        <v>446</v>
      </c>
      <c r="C448" s="3" t="n">
        <v>2</v>
      </c>
      <c r="D448" s="3" t="n">
        <v>3</v>
      </c>
      <c r="E448" s="3" t="n">
        <v>12</v>
      </c>
      <c r="F448" s="24" t="n">
        <v>-0.163124919</v>
      </c>
    </row>
    <row r="449" customFormat="false" ht="15" hidden="false" customHeight="false" outlineLevel="0" collapsed="false">
      <c r="A449" s="3" t="n">
        <v>448</v>
      </c>
      <c r="B449" s="3" t="n">
        <v>447</v>
      </c>
      <c r="C449" s="3" t="n">
        <v>2</v>
      </c>
      <c r="D449" s="3" t="n">
        <v>3</v>
      </c>
      <c r="E449" s="3" t="n">
        <v>13</v>
      </c>
      <c r="F449" s="24" t="n">
        <v>0.191397607</v>
      </c>
    </row>
    <row r="450" customFormat="false" ht="15" hidden="false" customHeight="false" outlineLevel="0" collapsed="false">
      <c r="A450" s="3" t="n">
        <v>449</v>
      </c>
      <c r="B450" s="3" t="n">
        <v>448</v>
      </c>
      <c r="C450" s="3" t="n">
        <v>2</v>
      </c>
      <c r="D450" s="3" t="n">
        <v>4</v>
      </c>
      <c r="E450" s="3" t="n">
        <v>0</v>
      </c>
      <c r="F450" s="24" t="n">
        <v>0.587804258</v>
      </c>
    </row>
    <row r="451" customFormat="false" ht="15" hidden="false" customHeight="false" outlineLevel="0" collapsed="false">
      <c r="A451" s="3" t="n">
        <v>450</v>
      </c>
      <c r="B451" s="3" t="n">
        <v>449</v>
      </c>
      <c r="C451" s="3" t="n">
        <v>2</v>
      </c>
      <c r="D451" s="3" t="n">
        <v>4</v>
      </c>
      <c r="E451" s="3" t="n">
        <v>1</v>
      </c>
      <c r="F451" s="24" t="n">
        <v>-1.01879966</v>
      </c>
    </row>
    <row r="452" customFormat="false" ht="15" hidden="false" customHeight="false" outlineLevel="0" collapsed="false">
      <c r="A452" s="3" t="n">
        <v>451</v>
      </c>
      <c r="B452" s="3" t="n">
        <v>450</v>
      </c>
      <c r="C452" s="3" t="n">
        <v>2</v>
      </c>
      <c r="D452" s="3" t="n">
        <v>4</v>
      </c>
      <c r="E452" s="3" t="n">
        <v>2</v>
      </c>
      <c r="F452" s="24" t="n">
        <v>0.0435169563</v>
      </c>
    </row>
    <row r="453" customFormat="false" ht="15" hidden="false" customHeight="false" outlineLevel="0" collapsed="false">
      <c r="A453" s="3" t="n">
        <v>452</v>
      </c>
      <c r="B453" s="3" t="n">
        <v>451</v>
      </c>
      <c r="C453" s="3" t="n">
        <v>2</v>
      </c>
      <c r="D453" s="3" t="n">
        <v>4</v>
      </c>
      <c r="E453" s="3" t="n">
        <v>3</v>
      </c>
      <c r="F453" s="24" t="n">
        <v>2.15303421</v>
      </c>
    </row>
    <row r="454" customFormat="false" ht="15" hidden="false" customHeight="false" outlineLevel="0" collapsed="false">
      <c r="A454" s="3" t="n">
        <v>453</v>
      </c>
      <c r="B454" s="3" t="n">
        <v>452</v>
      </c>
      <c r="C454" s="3" t="n">
        <v>2</v>
      </c>
      <c r="D454" s="3" t="n">
        <v>4</v>
      </c>
      <c r="E454" s="3" t="n">
        <v>4</v>
      </c>
      <c r="F454" s="24" t="n">
        <v>2.60464835</v>
      </c>
    </row>
    <row r="455" customFormat="false" ht="15" hidden="false" customHeight="false" outlineLevel="0" collapsed="false">
      <c r="A455" s="3" t="n">
        <v>454</v>
      </c>
      <c r="B455" s="3" t="n">
        <v>453</v>
      </c>
      <c r="C455" s="3" t="n">
        <v>2</v>
      </c>
      <c r="D455" s="3" t="n">
        <v>4</v>
      </c>
      <c r="E455" s="3" t="n">
        <v>5</v>
      </c>
      <c r="F455" s="24" t="n">
        <v>1.4429847</v>
      </c>
    </row>
    <row r="456" customFormat="false" ht="15" hidden="false" customHeight="false" outlineLevel="0" collapsed="false">
      <c r="A456" s="3" t="n">
        <v>455</v>
      </c>
      <c r="B456" s="3" t="n">
        <v>454</v>
      </c>
      <c r="C456" s="3" t="n">
        <v>2</v>
      </c>
      <c r="D456" s="3" t="n">
        <v>4</v>
      </c>
      <c r="E456" s="3" t="n">
        <v>6</v>
      </c>
      <c r="F456" s="24" t="n">
        <v>-1.48488688</v>
      </c>
    </row>
    <row r="457" customFormat="false" ht="15" hidden="false" customHeight="false" outlineLevel="0" collapsed="false">
      <c r="A457" s="3" t="n">
        <v>456</v>
      </c>
      <c r="B457" s="3" t="n">
        <v>455</v>
      </c>
      <c r="C457" s="3" t="n">
        <v>2</v>
      </c>
      <c r="D457" s="3" t="n">
        <v>4</v>
      </c>
      <c r="E457" s="3" t="n">
        <v>7</v>
      </c>
      <c r="F457" s="24" t="n">
        <v>-3.49748087</v>
      </c>
    </row>
    <row r="458" customFormat="false" ht="15" hidden="false" customHeight="false" outlineLevel="0" collapsed="false">
      <c r="A458" s="3" t="n">
        <v>457</v>
      </c>
      <c r="B458" s="3" t="n">
        <v>456</v>
      </c>
      <c r="C458" s="3" t="n">
        <v>2</v>
      </c>
      <c r="D458" s="3" t="n">
        <v>4</v>
      </c>
      <c r="E458" s="3" t="n">
        <v>8</v>
      </c>
      <c r="F458" s="24" t="n">
        <v>-3.20544171</v>
      </c>
    </row>
    <row r="459" customFormat="false" ht="15" hidden="false" customHeight="false" outlineLevel="0" collapsed="false">
      <c r="A459" s="3" t="n">
        <v>458</v>
      </c>
      <c r="B459" s="3" t="n">
        <v>457</v>
      </c>
      <c r="C459" s="3" t="n">
        <v>2</v>
      </c>
      <c r="D459" s="3" t="n">
        <v>4</v>
      </c>
      <c r="E459" s="3" t="n">
        <v>9</v>
      </c>
      <c r="F459" s="24" t="n">
        <v>-4.28114843</v>
      </c>
    </row>
    <row r="460" customFormat="false" ht="15" hidden="false" customHeight="false" outlineLevel="0" collapsed="false">
      <c r="A460" s="3" t="n">
        <v>459</v>
      </c>
      <c r="B460" s="3" t="n">
        <v>458</v>
      </c>
      <c r="C460" s="3" t="n">
        <v>2</v>
      </c>
      <c r="D460" s="3" t="n">
        <v>4</v>
      </c>
      <c r="E460" s="3" t="n">
        <v>10</v>
      </c>
      <c r="F460" s="24" t="n">
        <v>-4.84681273</v>
      </c>
    </row>
    <row r="461" customFormat="false" ht="15" hidden="false" customHeight="false" outlineLevel="0" collapsed="false">
      <c r="A461" s="3" t="n">
        <v>460</v>
      </c>
      <c r="B461" s="3" t="n">
        <v>459</v>
      </c>
      <c r="C461" s="3" t="n">
        <v>2</v>
      </c>
      <c r="D461" s="3" t="n">
        <v>4</v>
      </c>
      <c r="E461" s="3" t="n">
        <v>11</v>
      </c>
      <c r="F461" s="24" t="n">
        <v>-4.85878801</v>
      </c>
    </row>
    <row r="462" customFormat="false" ht="15" hidden="false" customHeight="false" outlineLevel="0" collapsed="false">
      <c r="A462" s="3" t="n">
        <v>461</v>
      </c>
      <c r="B462" s="3" t="n">
        <v>460</v>
      </c>
      <c r="C462" s="3" t="n">
        <v>2</v>
      </c>
      <c r="D462" s="3" t="n">
        <v>4</v>
      </c>
      <c r="E462" s="3" t="n">
        <v>12</v>
      </c>
      <c r="F462" s="24" t="n">
        <v>-0.826367617</v>
      </c>
    </row>
    <row r="463" customFormat="false" ht="15" hidden="false" customHeight="false" outlineLevel="0" collapsed="false">
      <c r="A463" s="3" t="n">
        <v>462</v>
      </c>
      <c r="B463" s="3" t="n">
        <v>461</v>
      </c>
      <c r="C463" s="3" t="n">
        <v>2</v>
      </c>
      <c r="D463" s="3" t="n">
        <v>4</v>
      </c>
      <c r="E463" s="3" t="n">
        <v>13</v>
      </c>
      <c r="F463" s="24" t="n">
        <v>0.191397607</v>
      </c>
    </row>
    <row r="464" customFormat="false" ht="15" hidden="false" customHeight="false" outlineLevel="0" collapsed="false">
      <c r="A464" s="3" t="n">
        <v>463</v>
      </c>
      <c r="B464" s="3" t="n">
        <v>462</v>
      </c>
      <c r="C464" s="3" t="n">
        <v>2</v>
      </c>
      <c r="D464" s="3" t="n">
        <v>5</v>
      </c>
      <c r="E464" s="3" t="n">
        <v>0</v>
      </c>
      <c r="F464" s="24" t="n">
        <v>0.587804258</v>
      </c>
    </row>
    <row r="465" customFormat="false" ht="15" hidden="false" customHeight="false" outlineLevel="0" collapsed="false">
      <c r="A465" s="3" t="n">
        <v>464</v>
      </c>
      <c r="B465" s="3" t="n">
        <v>463</v>
      </c>
      <c r="C465" s="3" t="n">
        <v>2</v>
      </c>
      <c r="D465" s="3" t="n">
        <v>5</v>
      </c>
      <c r="E465" s="3" t="n">
        <v>1</v>
      </c>
      <c r="F465" s="24" t="n">
        <v>0.809068084</v>
      </c>
    </row>
    <row r="466" customFormat="false" ht="15" hidden="false" customHeight="false" outlineLevel="0" collapsed="false">
      <c r="A466" s="3" t="n">
        <v>465</v>
      </c>
      <c r="B466" s="3" t="n">
        <v>464</v>
      </c>
      <c r="C466" s="3" t="n">
        <v>2</v>
      </c>
      <c r="D466" s="3" t="n">
        <v>5</v>
      </c>
      <c r="E466" s="3" t="n">
        <v>2</v>
      </c>
      <c r="F466" s="24" t="n">
        <v>4.07212782</v>
      </c>
    </row>
    <row r="467" customFormat="false" ht="15" hidden="false" customHeight="false" outlineLevel="0" collapsed="false">
      <c r="A467" s="3" t="n">
        <v>466</v>
      </c>
      <c r="B467" s="3" t="n">
        <v>465</v>
      </c>
      <c r="C467" s="3" t="n">
        <v>2</v>
      </c>
      <c r="D467" s="3" t="n">
        <v>5</v>
      </c>
      <c r="E467" s="3" t="n">
        <v>3</v>
      </c>
      <c r="F467" s="24" t="n">
        <v>6.13524723</v>
      </c>
    </row>
    <row r="468" customFormat="false" ht="15" hidden="false" customHeight="false" outlineLevel="0" collapsed="false">
      <c r="A468" s="3" t="n">
        <v>467</v>
      </c>
      <c r="B468" s="3" t="n">
        <v>466</v>
      </c>
      <c r="C468" s="3" t="n">
        <v>2</v>
      </c>
      <c r="D468" s="3" t="n">
        <v>5</v>
      </c>
      <c r="E468" s="3" t="n">
        <v>4</v>
      </c>
      <c r="F468" s="24" t="n">
        <v>8.23742962</v>
      </c>
    </row>
    <row r="469" customFormat="false" ht="15" hidden="false" customHeight="false" outlineLevel="0" collapsed="false">
      <c r="A469" s="3" t="n">
        <v>468</v>
      </c>
      <c r="B469" s="3" t="n">
        <v>467</v>
      </c>
      <c r="C469" s="3" t="n">
        <v>2</v>
      </c>
      <c r="D469" s="3" t="n">
        <v>5</v>
      </c>
      <c r="E469" s="3" t="n">
        <v>5</v>
      </c>
      <c r="F469" s="24" t="n">
        <v>10.5070009</v>
      </c>
    </row>
    <row r="470" customFormat="false" ht="15" hidden="false" customHeight="false" outlineLevel="0" collapsed="false">
      <c r="A470" s="3" t="n">
        <v>469</v>
      </c>
      <c r="B470" s="3" t="n">
        <v>468</v>
      </c>
      <c r="C470" s="3" t="n">
        <v>2</v>
      </c>
      <c r="D470" s="3" t="n">
        <v>5</v>
      </c>
      <c r="E470" s="3" t="n">
        <v>6</v>
      </c>
      <c r="F470" s="24" t="n">
        <v>11.8248329</v>
      </c>
    </row>
    <row r="471" customFormat="false" ht="15" hidden="false" customHeight="false" outlineLevel="0" collapsed="false">
      <c r="A471" s="3" t="n">
        <v>470</v>
      </c>
      <c r="B471" s="3" t="n">
        <v>469</v>
      </c>
      <c r="C471" s="3" t="n">
        <v>2</v>
      </c>
      <c r="D471" s="3" t="n">
        <v>5</v>
      </c>
      <c r="E471" s="3" t="n">
        <v>7</v>
      </c>
      <c r="F471" s="24" t="n">
        <v>11.8981276</v>
      </c>
    </row>
    <row r="472" customFormat="false" ht="15" hidden="false" customHeight="false" outlineLevel="0" collapsed="false">
      <c r="A472" s="3" t="n">
        <v>471</v>
      </c>
      <c r="B472" s="3" t="n">
        <v>470</v>
      </c>
      <c r="C472" s="3" t="n">
        <v>2</v>
      </c>
      <c r="D472" s="3" t="n">
        <v>5</v>
      </c>
      <c r="E472" s="3" t="n">
        <v>8</v>
      </c>
      <c r="F472" s="24" t="n">
        <v>8.64560318</v>
      </c>
    </row>
    <row r="473" customFormat="false" ht="15" hidden="false" customHeight="false" outlineLevel="0" collapsed="false">
      <c r="A473" s="3" t="n">
        <v>472</v>
      </c>
      <c r="B473" s="3" t="n">
        <v>471</v>
      </c>
      <c r="C473" s="3" t="n">
        <v>2</v>
      </c>
      <c r="D473" s="3" t="n">
        <v>5</v>
      </c>
      <c r="E473" s="3" t="n">
        <v>9</v>
      </c>
      <c r="F473" s="24" t="n">
        <v>3.17524743</v>
      </c>
    </row>
    <row r="474" customFormat="false" ht="15" hidden="false" customHeight="false" outlineLevel="0" collapsed="false">
      <c r="A474" s="3" t="n">
        <v>473</v>
      </c>
      <c r="B474" s="3" t="n">
        <v>472</v>
      </c>
      <c r="C474" s="3" t="n">
        <v>2</v>
      </c>
      <c r="D474" s="3" t="n">
        <v>5</v>
      </c>
      <c r="E474" s="3" t="n">
        <v>10</v>
      </c>
      <c r="F474" s="24" t="n">
        <v>-1.27974796</v>
      </c>
    </row>
    <row r="475" customFormat="false" ht="15" hidden="false" customHeight="false" outlineLevel="0" collapsed="false">
      <c r="A475" s="3" t="n">
        <v>474</v>
      </c>
      <c r="B475" s="3" t="n">
        <v>473</v>
      </c>
      <c r="C475" s="3" t="n">
        <v>2</v>
      </c>
      <c r="D475" s="3" t="n">
        <v>5</v>
      </c>
      <c r="E475" s="3" t="n">
        <v>11</v>
      </c>
      <c r="F475" s="24" t="n">
        <v>-0.171035051</v>
      </c>
    </row>
    <row r="476" customFormat="false" ht="15" hidden="false" customHeight="false" outlineLevel="0" collapsed="false">
      <c r="A476" s="3" t="n">
        <v>475</v>
      </c>
      <c r="B476" s="3" t="n">
        <v>474</v>
      </c>
      <c r="C476" s="3" t="n">
        <v>2</v>
      </c>
      <c r="D476" s="3" t="n">
        <v>5</v>
      </c>
      <c r="E476" s="3" t="n">
        <v>12</v>
      </c>
      <c r="F476" s="24" t="n">
        <v>0.785543621</v>
      </c>
    </row>
    <row r="477" customFormat="false" ht="15" hidden="false" customHeight="false" outlineLevel="0" collapsed="false">
      <c r="A477" s="3" t="n">
        <v>476</v>
      </c>
      <c r="B477" s="3" t="n">
        <v>475</v>
      </c>
      <c r="C477" s="3" t="n">
        <v>2</v>
      </c>
      <c r="D477" s="3" t="n">
        <v>5</v>
      </c>
      <c r="E477" s="3" t="n">
        <v>13</v>
      </c>
      <c r="F477" s="24" t="n">
        <v>0.191397607</v>
      </c>
    </row>
    <row r="478" customFormat="false" ht="15" hidden="false" customHeight="false" outlineLevel="0" collapsed="false">
      <c r="A478" s="3" t="n">
        <v>477</v>
      </c>
      <c r="B478" s="3" t="n">
        <v>476</v>
      </c>
      <c r="C478" s="3" t="n">
        <v>2</v>
      </c>
      <c r="D478" s="3" t="n">
        <v>6</v>
      </c>
      <c r="E478" s="3" t="n">
        <v>0</v>
      </c>
      <c r="F478" s="24" t="n">
        <v>0.587804258</v>
      </c>
    </row>
    <row r="479" customFormat="false" ht="15" hidden="false" customHeight="false" outlineLevel="0" collapsed="false">
      <c r="A479" s="3" t="n">
        <v>478</v>
      </c>
      <c r="B479" s="3" t="n">
        <v>477</v>
      </c>
      <c r="C479" s="3" t="n">
        <v>2</v>
      </c>
      <c r="D479" s="3" t="n">
        <v>6</v>
      </c>
      <c r="E479" s="3" t="n">
        <v>1</v>
      </c>
      <c r="F479" s="24" t="n">
        <v>0.5392946</v>
      </c>
    </row>
    <row r="480" customFormat="false" ht="15" hidden="false" customHeight="false" outlineLevel="0" collapsed="false">
      <c r="A480" s="3" t="n">
        <v>479</v>
      </c>
      <c r="B480" s="3" t="n">
        <v>478</v>
      </c>
      <c r="C480" s="3" t="n">
        <v>2</v>
      </c>
      <c r="D480" s="3" t="n">
        <v>6</v>
      </c>
      <c r="E480" s="3" t="n">
        <v>2</v>
      </c>
      <c r="F480" s="24" t="n">
        <v>0.788173735</v>
      </c>
    </row>
    <row r="481" customFormat="false" ht="15" hidden="false" customHeight="false" outlineLevel="0" collapsed="false">
      <c r="A481" s="3" t="n">
        <v>480</v>
      </c>
      <c r="B481" s="3" t="n">
        <v>479</v>
      </c>
      <c r="C481" s="3" t="n">
        <v>2</v>
      </c>
      <c r="D481" s="3" t="n">
        <v>6</v>
      </c>
      <c r="E481" s="3" t="n">
        <v>3</v>
      </c>
      <c r="F481" s="24" t="n">
        <v>0.85178107</v>
      </c>
    </row>
    <row r="482" customFormat="false" ht="15" hidden="false" customHeight="false" outlineLevel="0" collapsed="false">
      <c r="A482" s="3" t="n">
        <v>481</v>
      </c>
      <c r="B482" s="3" t="n">
        <v>480</v>
      </c>
      <c r="C482" s="3" t="n">
        <v>2</v>
      </c>
      <c r="D482" s="3" t="n">
        <v>6</v>
      </c>
      <c r="E482" s="3" t="n">
        <v>4</v>
      </c>
      <c r="F482" s="24" t="n">
        <v>1.29635787</v>
      </c>
    </row>
    <row r="483" customFormat="false" ht="15" hidden="false" customHeight="false" outlineLevel="0" collapsed="false">
      <c r="A483" s="3" t="n">
        <v>482</v>
      </c>
      <c r="B483" s="3" t="n">
        <v>481</v>
      </c>
      <c r="C483" s="3" t="n">
        <v>2</v>
      </c>
      <c r="D483" s="3" t="n">
        <v>6</v>
      </c>
      <c r="E483" s="3" t="n">
        <v>5</v>
      </c>
      <c r="F483" s="24" t="n">
        <v>1.80526686</v>
      </c>
    </row>
    <row r="484" customFormat="false" ht="15" hidden="false" customHeight="false" outlineLevel="0" collapsed="false">
      <c r="A484" s="3" t="n">
        <v>483</v>
      </c>
      <c r="B484" s="3" t="n">
        <v>482</v>
      </c>
      <c r="C484" s="3" t="n">
        <v>2</v>
      </c>
      <c r="D484" s="3" t="n">
        <v>6</v>
      </c>
      <c r="E484" s="3" t="n">
        <v>6</v>
      </c>
      <c r="F484" s="24" t="n">
        <v>2.08910632</v>
      </c>
    </row>
    <row r="485" customFormat="false" ht="15" hidden="false" customHeight="false" outlineLevel="0" collapsed="false">
      <c r="A485" s="3" t="n">
        <v>484</v>
      </c>
      <c r="B485" s="3" t="n">
        <v>483</v>
      </c>
      <c r="C485" s="3" t="n">
        <v>2</v>
      </c>
      <c r="D485" s="3" t="n">
        <v>6</v>
      </c>
      <c r="E485" s="3" t="n">
        <v>7</v>
      </c>
      <c r="F485" s="24" t="n">
        <v>-0.725490391</v>
      </c>
    </row>
    <row r="486" customFormat="false" ht="15" hidden="false" customHeight="false" outlineLevel="0" collapsed="false">
      <c r="A486" s="3" t="n">
        <v>485</v>
      </c>
      <c r="B486" s="3" t="n">
        <v>484</v>
      </c>
      <c r="C486" s="3" t="n">
        <v>2</v>
      </c>
      <c r="D486" s="3" t="n">
        <v>6</v>
      </c>
      <c r="E486" s="3" t="n">
        <v>8</v>
      </c>
      <c r="F486" s="24" t="n">
        <v>-2.32715487</v>
      </c>
    </row>
    <row r="487" customFormat="false" ht="15" hidden="false" customHeight="false" outlineLevel="0" collapsed="false">
      <c r="A487" s="3" t="n">
        <v>486</v>
      </c>
      <c r="B487" s="3" t="n">
        <v>485</v>
      </c>
      <c r="C487" s="3" t="n">
        <v>2</v>
      </c>
      <c r="D487" s="3" t="n">
        <v>6</v>
      </c>
      <c r="E487" s="3" t="n">
        <v>9</v>
      </c>
      <c r="F487" s="24" t="n">
        <v>-3.13457012</v>
      </c>
    </row>
    <row r="488" customFormat="false" ht="15" hidden="false" customHeight="false" outlineLevel="0" collapsed="false">
      <c r="A488" s="3" t="n">
        <v>487</v>
      </c>
      <c r="B488" s="3" t="n">
        <v>486</v>
      </c>
      <c r="C488" s="3" t="n">
        <v>2</v>
      </c>
      <c r="D488" s="3" t="n">
        <v>6</v>
      </c>
      <c r="E488" s="3" t="n">
        <v>10</v>
      </c>
      <c r="F488" s="24" t="n">
        <v>-2.00591707</v>
      </c>
    </row>
    <row r="489" customFormat="false" ht="15" hidden="false" customHeight="false" outlineLevel="0" collapsed="false">
      <c r="A489" s="3" t="n">
        <v>488</v>
      </c>
      <c r="B489" s="3" t="n">
        <v>487</v>
      </c>
      <c r="C489" s="3" t="n">
        <v>2</v>
      </c>
      <c r="D489" s="3" t="n">
        <v>6</v>
      </c>
      <c r="E489" s="3" t="n">
        <v>11</v>
      </c>
      <c r="F489" s="24" t="n">
        <v>2.32514763</v>
      </c>
    </row>
    <row r="490" customFormat="false" ht="15" hidden="false" customHeight="false" outlineLevel="0" collapsed="false">
      <c r="A490" s="3" t="n">
        <v>489</v>
      </c>
      <c r="B490" s="3" t="n">
        <v>488</v>
      </c>
      <c r="C490" s="3" t="n">
        <v>2</v>
      </c>
      <c r="D490" s="3" t="n">
        <v>6</v>
      </c>
      <c r="E490" s="3" t="n">
        <v>12</v>
      </c>
      <c r="F490" s="24" t="n">
        <v>0.878169417</v>
      </c>
    </row>
    <row r="491" customFormat="false" ht="15" hidden="false" customHeight="false" outlineLevel="0" collapsed="false">
      <c r="A491" s="3" t="n">
        <v>490</v>
      </c>
      <c r="B491" s="3" t="n">
        <v>489</v>
      </c>
      <c r="C491" s="3" t="n">
        <v>2</v>
      </c>
      <c r="D491" s="3" t="n">
        <v>6</v>
      </c>
      <c r="E491" s="3" t="n">
        <v>13</v>
      </c>
      <c r="F491" s="24" t="n">
        <v>0.191397607</v>
      </c>
    </row>
    <row r="492" customFormat="false" ht="15" hidden="false" customHeight="false" outlineLevel="0" collapsed="false">
      <c r="A492" s="3" t="n">
        <v>491</v>
      </c>
      <c r="B492" s="3" t="n">
        <v>490</v>
      </c>
      <c r="C492" s="3" t="n">
        <v>2</v>
      </c>
      <c r="D492" s="3" t="n">
        <v>7</v>
      </c>
      <c r="E492" s="3" t="n">
        <v>0</v>
      </c>
      <c r="F492" s="24" t="n">
        <v>0.587804258</v>
      </c>
    </row>
    <row r="493" customFormat="false" ht="15" hidden="false" customHeight="false" outlineLevel="0" collapsed="false">
      <c r="A493" s="3" t="n">
        <v>492</v>
      </c>
      <c r="B493" s="3" t="n">
        <v>491</v>
      </c>
      <c r="C493" s="3" t="n">
        <v>2</v>
      </c>
      <c r="D493" s="3" t="n">
        <v>7</v>
      </c>
      <c r="E493" s="3" t="n">
        <v>1</v>
      </c>
      <c r="F493" s="24" t="n">
        <v>0.509327829</v>
      </c>
    </row>
    <row r="494" customFormat="false" ht="15" hidden="false" customHeight="false" outlineLevel="0" collapsed="false">
      <c r="A494" s="3" t="n">
        <v>493</v>
      </c>
      <c r="B494" s="3" t="n">
        <v>492</v>
      </c>
      <c r="C494" s="3" t="n">
        <v>2</v>
      </c>
      <c r="D494" s="3" t="n">
        <v>7</v>
      </c>
      <c r="E494" s="3" t="n">
        <v>2</v>
      </c>
      <c r="F494" s="24" t="n">
        <v>0.633773386</v>
      </c>
    </row>
    <row r="495" customFormat="false" ht="15" hidden="false" customHeight="false" outlineLevel="0" collapsed="false">
      <c r="A495" s="3" t="n">
        <v>494</v>
      </c>
      <c r="B495" s="3" t="n">
        <v>493</v>
      </c>
      <c r="C495" s="3" t="n">
        <v>2</v>
      </c>
      <c r="D495" s="3" t="n">
        <v>7</v>
      </c>
      <c r="E495" s="3" t="n">
        <v>3</v>
      </c>
      <c r="F495" s="24" t="n">
        <v>0.633773386</v>
      </c>
    </row>
    <row r="496" customFormat="false" ht="15" hidden="false" customHeight="false" outlineLevel="0" collapsed="false">
      <c r="A496" s="3" t="n">
        <v>495</v>
      </c>
      <c r="B496" s="3" t="n">
        <v>494</v>
      </c>
      <c r="C496" s="3" t="n">
        <v>2</v>
      </c>
      <c r="D496" s="3" t="n">
        <v>7</v>
      </c>
      <c r="E496" s="3" t="n">
        <v>4</v>
      </c>
      <c r="F496" s="24" t="n">
        <v>0.633773386</v>
      </c>
    </row>
    <row r="497" customFormat="false" ht="15" hidden="false" customHeight="false" outlineLevel="0" collapsed="false">
      <c r="A497" s="3" t="n">
        <v>496</v>
      </c>
      <c r="B497" s="3" t="n">
        <v>495</v>
      </c>
      <c r="C497" s="3" t="n">
        <v>2</v>
      </c>
      <c r="D497" s="3" t="n">
        <v>7</v>
      </c>
      <c r="E497" s="3" t="n">
        <v>5</v>
      </c>
      <c r="F497" s="24" t="n">
        <v>0.611165822</v>
      </c>
    </row>
    <row r="498" customFormat="false" ht="15" hidden="false" customHeight="false" outlineLevel="0" collapsed="false">
      <c r="A498" s="3" t="n">
        <v>497</v>
      </c>
      <c r="B498" s="3" t="n">
        <v>496</v>
      </c>
      <c r="C498" s="3" t="n">
        <v>2</v>
      </c>
      <c r="D498" s="3" t="n">
        <v>7</v>
      </c>
      <c r="E498" s="3" t="n">
        <v>6</v>
      </c>
      <c r="F498" s="24" t="n">
        <v>-0.5825243</v>
      </c>
    </row>
    <row r="499" customFormat="false" ht="15" hidden="false" customHeight="false" outlineLevel="0" collapsed="false">
      <c r="A499" s="3" t="n">
        <v>498</v>
      </c>
      <c r="B499" s="3" t="n">
        <v>497</v>
      </c>
      <c r="C499" s="3" t="n">
        <v>2</v>
      </c>
      <c r="D499" s="3" t="n">
        <v>7</v>
      </c>
      <c r="E499" s="3" t="n">
        <v>7</v>
      </c>
      <c r="F499" s="24" t="n">
        <v>-2.56870556</v>
      </c>
    </row>
    <row r="500" customFormat="false" ht="15" hidden="false" customHeight="false" outlineLevel="0" collapsed="false">
      <c r="A500" s="3" t="n">
        <v>499</v>
      </c>
      <c r="B500" s="3" t="n">
        <v>498</v>
      </c>
      <c r="C500" s="3" t="n">
        <v>2</v>
      </c>
      <c r="D500" s="3" t="n">
        <v>7</v>
      </c>
      <c r="E500" s="3" t="n">
        <v>8</v>
      </c>
      <c r="F500" s="24" t="n">
        <v>-2.12617636</v>
      </c>
    </row>
    <row r="501" customFormat="false" ht="15" hidden="false" customHeight="false" outlineLevel="0" collapsed="false">
      <c r="A501" s="3" t="n">
        <v>500</v>
      </c>
      <c r="B501" s="3" t="n">
        <v>499</v>
      </c>
      <c r="C501" s="3" t="n">
        <v>2</v>
      </c>
      <c r="D501" s="3" t="n">
        <v>7</v>
      </c>
      <c r="E501" s="3" t="n">
        <v>9</v>
      </c>
      <c r="F501" s="24" t="n">
        <v>-2.49005175</v>
      </c>
    </row>
    <row r="502" customFormat="false" ht="15" hidden="false" customHeight="false" outlineLevel="0" collapsed="false">
      <c r="A502" s="3" t="n">
        <v>501</v>
      </c>
      <c r="B502" s="3" t="n">
        <v>500</v>
      </c>
      <c r="C502" s="3" t="n">
        <v>2</v>
      </c>
      <c r="D502" s="3" t="n">
        <v>7</v>
      </c>
      <c r="E502" s="3" t="n">
        <v>10</v>
      </c>
      <c r="F502" s="24" t="n">
        <v>1.65046978</v>
      </c>
    </row>
    <row r="503" customFormat="false" ht="15" hidden="false" customHeight="false" outlineLevel="0" collapsed="false">
      <c r="A503" s="3" t="n">
        <v>502</v>
      </c>
      <c r="B503" s="3" t="n">
        <v>501</v>
      </c>
      <c r="C503" s="3" t="n">
        <v>2</v>
      </c>
      <c r="D503" s="3" t="n">
        <v>7</v>
      </c>
      <c r="E503" s="3" t="n">
        <v>11</v>
      </c>
      <c r="F503" s="24" t="n">
        <v>2.61104035</v>
      </c>
    </row>
    <row r="504" customFormat="false" ht="15" hidden="false" customHeight="false" outlineLevel="0" collapsed="false">
      <c r="A504" s="3" t="n">
        <v>503</v>
      </c>
      <c r="B504" s="3" t="n">
        <v>502</v>
      </c>
      <c r="C504" s="3" t="n">
        <v>2</v>
      </c>
      <c r="D504" s="3" t="n">
        <v>7</v>
      </c>
      <c r="E504" s="3" t="n">
        <v>12</v>
      </c>
      <c r="F504" s="24" t="n">
        <v>0.352780074</v>
      </c>
    </row>
    <row r="505" customFormat="false" ht="15" hidden="false" customHeight="false" outlineLevel="0" collapsed="false">
      <c r="A505" s="3" t="n">
        <v>504</v>
      </c>
      <c r="B505" s="3" t="n">
        <v>503</v>
      </c>
      <c r="C505" s="3" t="n">
        <v>2</v>
      </c>
      <c r="D505" s="3" t="n">
        <v>7</v>
      </c>
      <c r="E505" s="3" t="n">
        <v>13</v>
      </c>
      <c r="F505" s="24" t="n">
        <v>0.191397607</v>
      </c>
    </row>
    <row r="506" customFormat="false" ht="15" hidden="false" customHeight="false" outlineLevel="0" collapsed="false">
      <c r="A506" s="3" t="n">
        <v>505</v>
      </c>
      <c r="B506" s="3" t="n">
        <v>504</v>
      </c>
      <c r="C506" s="3" t="n">
        <v>2</v>
      </c>
      <c r="D506" s="3" t="n">
        <v>8</v>
      </c>
      <c r="E506" s="3" t="n">
        <v>0</v>
      </c>
      <c r="F506" s="24" t="n">
        <v>0.587804258</v>
      </c>
    </row>
    <row r="507" customFormat="false" ht="15" hidden="false" customHeight="false" outlineLevel="0" collapsed="false">
      <c r="A507" s="3" t="n">
        <v>506</v>
      </c>
      <c r="B507" s="3" t="n">
        <v>505</v>
      </c>
      <c r="C507" s="3" t="n">
        <v>2</v>
      </c>
      <c r="D507" s="3" t="n">
        <v>8</v>
      </c>
      <c r="E507" s="3" t="n">
        <v>1</v>
      </c>
      <c r="F507" s="24" t="n">
        <v>0.509327829</v>
      </c>
    </row>
    <row r="508" customFormat="false" ht="15" hidden="false" customHeight="false" outlineLevel="0" collapsed="false">
      <c r="A508" s="3" t="n">
        <v>507</v>
      </c>
      <c r="B508" s="3" t="n">
        <v>506</v>
      </c>
      <c r="C508" s="3" t="n">
        <v>2</v>
      </c>
      <c r="D508" s="3" t="n">
        <v>8</v>
      </c>
      <c r="E508" s="3" t="n">
        <v>2</v>
      </c>
      <c r="F508" s="24" t="n">
        <v>0.633773386</v>
      </c>
    </row>
    <row r="509" customFormat="false" ht="15" hidden="false" customHeight="false" outlineLevel="0" collapsed="false">
      <c r="A509" s="3" t="n">
        <v>508</v>
      </c>
      <c r="B509" s="3" t="n">
        <v>507</v>
      </c>
      <c r="C509" s="3" t="n">
        <v>2</v>
      </c>
      <c r="D509" s="3" t="n">
        <v>8</v>
      </c>
      <c r="E509" s="3" t="n">
        <v>3</v>
      </c>
      <c r="F509" s="24" t="n">
        <v>0.633773386</v>
      </c>
    </row>
    <row r="510" customFormat="false" ht="15" hidden="false" customHeight="false" outlineLevel="0" collapsed="false">
      <c r="A510" s="3" t="n">
        <v>509</v>
      </c>
      <c r="B510" s="3" t="n">
        <v>508</v>
      </c>
      <c r="C510" s="3" t="n">
        <v>2</v>
      </c>
      <c r="D510" s="3" t="n">
        <v>8</v>
      </c>
      <c r="E510" s="3" t="n">
        <v>4</v>
      </c>
      <c r="F510" s="24" t="n">
        <v>0.631171227</v>
      </c>
    </row>
    <row r="511" customFormat="false" ht="15" hidden="false" customHeight="false" outlineLevel="0" collapsed="false">
      <c r="A511" s="3" t="n">
        <v>510</v>
      </c>
      <c r="B511" s="3" t="n">
        <v>509</v>
      </c>
      <c r="C511" s="3" t="n">
        <v>2</v>
      </c>
      <c r="D511" s="3" t="n">
        <v>8</v>
      </c>
      <c r="E511" s="3" t="n">
        <v>5</v>
      </c>
      <c r="F511" s="24" t="n">
        <v>0.390243649</v>
      </c>
    </row>
    <row r="512" customFormat="false" ht="15" hidden="false" customHeight="false" outlineLevel="0" collapsed="false">
      <c r="A512" s="3" t="n">
        <v>511</v>
      </c>
      <c r="B512" s="3" t="n">
        <v>510</v>
      </c>
      <c r="C512" s="3" t="n">
        <v>2</v>
      </c>
      <c r="D512" s="3" t="n">
        <v>8</v>
      </c>
      <c r="E512" s="3" t="n">
        <v>6</v>
      </c>
      <c r="F512" s="24" t="n">
        <v>-1.56168151</v>
      </c>
    </row>
    <row r="513" customFormat="false" ht="15" hidden="false" customHeight="false" outlineLevel="0" collapsed="false">
      <c r="A513" s="3" t="n">
        <v>512</v>
      </c>
      <c r="B513" s="3" t="n">
        <v>511</v>
      </c>
      <c r="C513" s="3" t="n">
        <v>2</v>
      </c>
      <c r="D513" s="3" t="n">
        <v>8</v>
      </c>
      <c r="E513" s="3" t="n">
        <v>7</v>
      </c>
      <c r="F513" s="24" t="n">
        <v>-3.0565424</v>
      </c>
    </row>
    <row r="514" customFormat="false" ht="15" hidden="false" customHeight="false" outlineLevel="0" collapsed="false">
      <c r="A514" s="3" t="n">
        <v>513</v>
      </c>
      <c r="B514" s="3" t="n">
        <v>512</v>
      </c>
      <c r="C514" s="3" t="n">
        <v>2</v>
      </c>
      <c r="D514" s="3" t="n">
        <v>8</v>
      </c>
      <c r="E514" s="3" t="n">
        <v>8</v>
      </c>
      <c r="F514" s="24" t="n">
        <v>-3.19928074</v>
      </c>
    </row>
    <row r="515" customFormat="false" ht="15" hidden="false" customHeight="false" outlineLevel="0" collapsed="false">
      <c r="A515" s="3" t="n">
        <v>514</v>
      </c>
      <c r="B515" s="3" t="n">
        <v>513</v>
      </c>
      <c r="C515" s="3" t="n">
        <v>2</v>
      </c>
      <c r="D515" s="3" t="n">
        <v>8</v>
      </c>
      <c r="E515" s="3" t="n">
        <v>9</v>
      </c>
      <c r="F515" s="24" t="n">
        <v>-1.50758088</v>
      </c>
    </row>
    <row r="516" customFormat="false" ht="15" hidden="false" customHeight="false" outlineLevel="0" collapsed="false">
      <c r="A516" s="3" t="n">
        <v>515</v>
      </c>
      <c r="B516" s="3" t="n">
        <v>514</v>
      </c>
      <c r="C516" s="3" t="n">
        <v>2</v>
      </c>
      <c r="D516" s="3" t="n">
        <v>8</v>
      </c>
      <c r="E516" s="3" t="n">
        <v>10</v>
      </c>
      <c r="F516" s="24" t="n">
        <v>2.71663165</v>
      </c>
    </row>
    <row r="517" customFormat="false" ht="15" hidden="false" customHeight="false" outlineLevel="0" collapsed="false">
      <c r="A517" s="3" t="n">
        <v>516</v>
      </c>
      <c r="B517" s="3" t="n">
        <v>515</v>
      </c>
      <c r="C517" s="3" t="n">
        <v>2</v>
      </c>
      <c r="D517" s="3" t="n">
        <v>8</v>
      </c>
      <c r="E517" s="3" t="n">
        <v>11</v>
      </c>
      <c r="F517" s="24" t="n">
        <v>1.1271081</v>
      </c>
    </row>
    <row r="518" customFormat="false" ht="15" hidden="false" customHeight="false" outlineLevel="0" collapsed="false">
      <c r="A518" s="3" t="n">
        <v>517</v>
      </c>
      <c r="B518" s="3" t="n">
        <v>516</v>
      </c>
      <c r="C518" s="3" t="n">
        <v>2</v>
      </c>
      <c r="D518" s="3" t="n">
        <v>8</v>
      </c>
      <c r="E518" s="3" t="n">
        <v>12</v>
      </c>
      <c r="F518" s="24" t="n">
        <v>0.354083538</v>
      </c>
    </row>
    <row r="519" customFormat="false" ht="15" hidden="false" customHeight="false" outlineLevel="0" collapsed="false">
      <c r="A519" s="3" t="n">
        <v>518</v>
      </c>
      <c r="B519" s="3" t="n">
        <v>517</v>
      </c>
      <c r="C519" s="3" t="n">
        <v>2</v>
      </c>
      <c r="D519" s="3" t="n">
        <v>8</v>
      </c>
      <c r="E519" s="3" t="n">
        <v>13</v>
      </c>
      <c r="F519" s="24" t="n">
        <v>0.191397607</v>
      </c>
    </row>
    <row r="520" customFormat="false" ht="15" hidden="false" customHeight="false" outlineLevel="0" collapsed="false">
      <c r="A520" s="3" t="n">
        <v>519</v>
      </c>
      <c r="B520" s="3" t="n">
        <v>518</v>
      </c>
      <c r="C520" s="3" t="n">
        <v>2</v>
      </c>
      <c r="D520" s="3" t="n">
        <v>9</v>
      </c>
      <c r="E520" s="3" t="n">
        <v>0</v>
      </c>
      <c r="F520" s="24" t="n">
        <v>0.587804258</v>
      </c>
    </row>
    <row r="521" customFormat="false" ht="15" hidden="false" customHeight="false" outlineLevel="0" collapsed="false">
      <c r="A521" s="3" t="n">
        <v>520</v>
      </c>
      <c r="B521" s="3" t="n">
        <v>519</v>
      </c>
      <c r="C521" s="3" t="n">
        <v>2</v>
      </c>
      <c r="D521" s="3" t="n">
        <v>9</v>
      </c>
      <c r="E521" s="3" t="n">
        <v>1</v>
      </c>
      <c r="F521" s="24" t="n">
        <v>0.509327829</v>
      </c>
    </row>
    <row r="522" customFormat="false" ht="15" hidden="false" customHeight="false" outlineLevel="0" collapsed="false">
      <c r="A522" s="3" t="n">
        <v>521</v>
      </c>
      <c r="B522" s="3" t="n">
        <v>520</v>
      </c>
      <c r="C522" s="3" t="n">
        <v>2</v>
      </c>
      <c r="D522" s="3" t="n">
        <v>9</v>
      </c>
      <c r="E522" s="3" t="n">
        <v>2</v>
      </c>
      <c r="F522" s="24" t="n">
        <v>0.633773386</v>
      </c>
    </row>
    <row r="523" customFormat="false" ht="15" hidden="false" customHeight="false" outlineLevel="0" collapsed="false">
      <c r="A523" s="3" t="n">
        <v>522</v>
      </c>
      <c r="B523" s="3" t="n">
        <v>521</v>
      </c>
      <c r="C523" s="3" t="n">
        <v>2</v>
      </c>
      <c r="D523" s="3" t="n">
        <v>9</v>
      </c>
      <c r="E523" s="3" t="n">
        <v>3</v>
      </c>
      <c r="F523" s="24" t="n">
        <v>0.633773386</v>
      </c>
    </row>
    <row r="524" customFormat="false" ht="15" hidden="false" customHeight="false" outlineLevel="0" collapsed="false">
      <c r="A524" s="3" t="n">
        <v>523</v>
      </c>
      <c r="B524" s="3" t="n">
        <v>522</v>
      </c>
      <c r="C524" s="3" t="n">
        <v>2</v>
      </c>
      <c r="D524" s="3" t="n">
        <v>9</v>
      </c>
      <c r="E524" s="3" t="n">
        <v>4</v>
      </c>
      <c r="F524" s="24" t="n">
        <v>0.678896189</v>
      </c>
    </row>
    <row r="525" customFormat="false" ht="15" hidden="false" customHeight="false" outlineLevel="0" collapsed="false">
      <c r="A525" s="3" t="n">
        <v>524</v>
      </c>
      <c r="B525" s="3" t="n">
        <v>523</v>
      </c>
      <c r="C525" s="3" t="n">
        <v>2</v>
      </c>
      <c r="D525" s="3" t="n">
        <v>9</v>
      </c>
      <c r="E525" s="3" t="n">
        <v>5</v>
      </c>
      <c r="F525" s="24" t="n">
        <v>-1.25261462</v>
      </c>
    </row>
    <row r="526" customFormat="false" ht="15" hidden="false" customHeight="false" outlineLevel="0" collapsed="false">
      <c r="A526" s="3" t="n">
        <v>525</v>
      </c>
      <c r="B526" s="3" t="n">
        <v>524</v>
      </c>
      <c r="C526" s="3" t="n">
        <v>2</v>
      </c>
      <c r="D526" s="3" t="n">
        <v>9</v>
      </c>
      <c r="E526" s="3" t="n">
        <v>6</v>
      </c>
      <c r="F526" s="24" t="n">
        <v>-4.18332863</v>
      </c>
    </row>
    <row r="527" customFormat="false" ht="15" hidden="false" customHeight="false" outlineLevel="0" collapsed="false">
      <c r="A527" s="3" t="n">
        <v>526</v>
      </c>
      <c r="B527" s="3" t="n">
        <v>525</v>
      </c>
      <c r="C527" s="3" t="n">
        <v>2</v>
      </c>
      <c r="D527" s="3" t="n">
        <v>9</v>
      </c>
      <c r="E527" s="3" t="n">
        <v>7</v>
      </c>
      <c r="F527" s="24" t="n">
        <v>-3.37742162</v>
      </c>
    </row>
    <row r="528" customFormat="false" ht="15" hidden="false" customHeight="false" outlineLevel="0" collapsed="false">
      <c r="A528" s="3" t="n">
        <v>527</v>
      </c>
      <c r="B528" s="3" t="n">
        <v>526</v>
      </c>
      <c r="C528" s="3" t="n">
        <v>2</v>
      </c>
      <c r="D528" s="3" t="n">
        <v>9</v>
      </c>
      <c r="E528" s="3" t="n">
        <v>8</v>
      </c>
      <c r="F528" s="24" t="n">
        <v>-2.6208272</v>
      </c>
    </row>
    <row r="529" customFormat="false" ht="15" hidden="false" customHeight="false" outlineLevel="0" collapsed="false">
      <c r="A529" s="3" t="n">
        <v>528</v>
      </c>
      <c r="B529" s="3" t="n">
        <v>527</v>
      </c>
      <c r="C529" s="3" t="n">
        <v>2</v>
      </c>
      <c r="D529" s="3" t="n">
        <v>9</v>
      </c>
      <c r="E529" s="3" t="n">
        <v>9</v>
      </c>
      <c r="F529" s="24" t="n">
        <v>1.69762623</v>
      </c>
    </row>
    <row r="530" customFormat="false" ht="15" hidden="false" customHeight="false" outlineLevel="0" collapsed="false">
      <c r="A530" s="3" t="n">
        <v>529</v>
      </c>
      <c r="B530" s="3" t="n">
        <v>528</v>
      </c>
      <c r="C530" s="3" t="n">
        <v>2</v>
      </c>
      <c r="D530" s="3" t="n">
        <v>9</v>
      </c>
      <c r="E530" s="3" t="n">
        <v>10</v>
      </c>
      <c r="F530" s="24" t="n">
        <v>2.23630309</v>
      </c>
    </row>
    <row r="531" customFormat="false" ht="15" hidden="false" customHeight="false" outlineLevel="0" collapsed="false">
      <c r="A531" s="3" t="n">
        <v>530</v>
      </c>
      <c r="B531" s="3" t="n">
        <v>529</v>
      </c>
      <c r="C531" s="3" t="n">
        <v>2</v>
      </c>
      <c r="D531" s="3" t="n">
        <v>9</v>
      </c>
      <c r="E531" s="3" t="n">
        <v>11</v>
      </c>
      <c r="F531" s="24" t="n">
        <v>0.631360531</v>
      </c>
    </row>
    <row r="532" customFormat="false" ht="15" hidden="false" customHeight="false" outlineLevel="0" collapsed="false">
      <c r="A532" s="3" t="n">
        <v>531</v>
      </c>
      <c r="B532" s="3" t="n">
        <v>530</v>
      </c>
      <c r="C532" s="3" t="n">
        <v>2</v>
      </c>
      <c r="D532" s="3" t="n">
        <v>9</v>
      </c>
      <c r="E532" s="3" t="n">
        <v>12</v>
      </c>
      <c r="F532" s="24" t="n">
        <v>0.354083538</v>
      </c>
    </row>
    <row r="533" customFormat="false" ht="15" hidden="false" customHeight="false" outlineLevel="0" collapsed="false">
      <c r="A533" s="3" t="n">
        <v>532</v>
      </c>
      <c r="B533" s="3" t="n">
        <v>531</v>
      </c>
      <c r="C533" s="3" t="n">
        <v>2</v>
      </c>
      <c r="D533" s="3" t="n">
        <v>9</v>
      </c>
      <c r="E533" s="3" t="n">
        <v>13</v>
      </c>
      <c r="F533" s="24" t="n">
        <v>0.191397607</v>
      </c>
    </row>
    <row r="534" customFormat="false" ht="15" hidden="false" customHeight="false" outlineLevel="0" collapsed="false">
      <c r="A534" s="3" t="n">
        <v>533</v>
      </c>
      <c r="B534" s="3" t="n">
        <v>532</v>
      </c>
      <c r="C534" s="3" t="n">
        <v>2</v>
      </c>
      <c r="D534" s="3" t="n">
        <v>10</v>
      </c>
      <c r="E534" s="3" t="n">
        <v>0</v>
      </c>
      <c r="F534" s="24" t="n">
        <v>0.587804258</v>
      </c>
    </row>
    <row r="535" customFormat="false" ht="15" hidden="false" customHeight="false" outlineLevel="0" collapsed="false">
      <c r="A535" s="3" t="n">
        <v>534</v>
      </c>
      <c r="B535" s="3" t="n">
        <v>533</v>
      </c>
      <c r="C535" s="3" t="n">
        <v>2</v>
      </c>
      <c r="D535" s="3" t="n">
        <v>10</v>
      </c>
      <c r="E535" s="3" t="n">
        <v>1</v>
      </c>
      <c r="F535" s="24" t="n">
        <v>0.509327829</v>
      </c>
    </row>
    <row r="536" customFormat="false" ht="15" hidden="false" customHeight="false" outlineLevel="0" collapsed="false">
      <c r="A536" s="3" t="n">
        <v>535</v>
      </c>
      <c r="B536" s="3" t="n">
        <v>534</v>
      </c>
      <c r="C536" s="3" t="n">
        <v>2</v>
      </c>
      <c r="D536" s="3" t="n">
        <v>10</v>
      </c>
      <c r="E536" s="3" t="n">
        <v>2</v>
      </c>
      <c r="F536" s="24" t="n">
        <v>0.633773386</v>
      </c>
    </row>
    <row r="537" customFormat="false" ht="15" hidden="false" customHeight="false" outlineLevel="0" collapsed="false">
      <c r="A537" s="3" t="n">
        <v>536</v>
      </c>
      <c r="B537" s="3" t="n">
        <v>535</v>
      </c>
      <c r="C537" s="3" t="n">
        <v>2</v>
      </c>
      <c r="D537" s="3" t="n">
        <v>10</v>
      </c>
      <c r="E537" s="3" t="n">
        <v>3</v>
      </c>
      <c r="F537" s="24" t="n">
        <v>0.61705929</v>
      </c>
    </row>
    <row r="538" customFormat="false" ht="15" hidden="false" customHeight="false" outlineLevel="0" collapsed="false">
      <c r="A538" s="3" t="n">
        <v>537</v>
      </c>
      <c r="B538" s="3" t="n">
        <v>536</v>
      </c>
      <c r="C538" s="3" t="n">
        <v>2</v>
      </c>
      <c r="D538" s="3" t="n">
        <v>10</v>
      </c>
      <c r="E538" s="3" t="n">
        <v>4</v>
      </c>
      <c r="F538" s="24" t="n">
        <v>-0.135371104</v>
      </c>
    </row>
    <row r="539" customFormat="false" ht="15" hidden="false" customHeight="false" outlineLevel="0" collapsed="false">
      <c r="A539" s="3" t="n">
        <v>538</v>
      </c>
      <c r="B539" s="3" t="n">
        <v>537</v>
      </c>
      <c r="C539" s="3" t="n">
        <v>2</v>
      </c>
      <c r="D539" s="3" t="n">
        <v>10</v>
      </c>
      <c r="E539" s="3" t="n">
        <v>5</v>
      </c>
      <c r="F539" s="24" t="n">
        <v>-2.33775926</v>
      </c>
    </row>
    <row r="540" customFormat="false" ht="15" hidden="false" customHeight="false" outlineLevel="0" collapsed="false">
      <c r="A540" s="3" t="n">
        <v>539</v>
      </c>
      <c r="B540" s="3" t="n">
        <v>538</v>
      </c>
      <c r="C540" s="3" t="n">
        <v>2</v>
      </c>
      <c r="D540" s="3" t="n">
        <v>10</v>
      </c>
      <c r="E540" s="3" t="n">
        <v>6</v>
      </c>
      <c r="F540" s="24" t="n">
        <v>-2.37253714</v>
      </c>
    </row>
    <row r="541" customFormat="false" ht="15" hidden="false" customHeight="false" outlineLevel="0" collapsed="false">
      <c r="A541" s="3" t="n">
        <v>540</v>
      </c>
      <c r="B541" s="3" t="n">
        <v>539</v>
      </c>
      <c r="C541" s="3" t="n">
        <v>2</v>
      </c>
      <c r="D541" s="3" t="n">
        <v>10</v>
      </c>
      <c r="E541" s="3" t="n">
        <v>7</v>
      </c>
      <c r="F541" s="24" t="n">
        <v>-2.64369965</v>
      </c>
    </row>
    <row r="542" customFormat="false" ht="15" hidden="false" customHeight="false" outlineLevel="0" collapsed="false">
      <c r="A542" s="3" t="n">
        <v>541</v>
      </c>
      <c r="B542" s="3" t="n">
        <v>540</v>
      </c>
      <c r="C542" s="3" t="n">
        <v>2</v>
      </c>
      <c r="D542" s="3" t="n">
        <v>10</v>
      </c>
      <c r="E542" s="3" t="n">
        <v>8</v>
      </c>
      <c r="F542" s="24" t="n">
        <v>1.28016651</v>
      </c>
    </row>
    <row r="543" customFormat="false" ht="15" hidden="false" customHeight="false" outlineLevel="0" collapsed="false">
      <c r="A543" s="3" t="n">
        <v>542</v>
      </c>
      <c r="B543" s="3" t="n">
        <v>541</v>
      </c>
      <c r="C543" s="3" t="n">
        <v>2</v>
      </c>
      <c r="D543" s="3" t="n">
        <v>10</v>
      </c>
      <c r="E543" s="3" t="n">
        <v>9</v>
      </c>
      <c r="F543" s="24" t="n">
        <v>3.32958722</v>
      </c>
    </row>
    <row r="544" customFormat="false" ht="15" hidden="false" customHeight="false" outlineLevel="0" collapsed="false">
      <c r="A544" s="3" t="n">
        <v>543</v>
      </c>
      <c r="B544" s="3" t="n">
        <v>542</v>
      </c>
      <c r="C544" s="3" t="n">
        <v>2</v>
      </c>
      <c r="D544" s="3" t="n">
        <v>10</v>
      </c>
      <c r="E544" s="3" t="n">
        <v>10</v>
      </c>
      <c r="F544" s="24" t="n">
        <v>1.01111281</v>
      </c>
    </row>
    <row r="545" customFormat="false" ht="15" hidden="false" customHeight="false" outlineLevel="0" collapsed="false">
      <c r="A545" s="3" t="n">
        <v>544</v>
      </c>
      <c r="B545" s="3" t="n">
        <v>543</v>
      </c>
      <c r="C545" s="3" t="n">
        <v>2</v>
      </c>
      <c r="D545" s="3" t="n">
        <v>10</v>
      </c>
      <c r="E545" s="3" t="n">
        <v>11</v>
      </c>
      <c r="F545" s="24" t="n">
        <v>0.633773386</v>
      </c>
    </row>
    <row r="546" customFormat="false" ht="15" hidden="false" customHeight="false" outlineLevel="0" collapsed="false">
      <c r="A546" s="3" t="n">
        <v>545</v>
      </c>
      <c r="B546" s="3" t="n">
        <v>544</v>
      </c>
      <c r="C546" s="3" t="n">
        <v>2</v>
      </c>
      <c r="D546" s="3" t="n">
        <v>10</v>
      </c>
      <c r="E546" s="3" t="n">
        <v>12</v>
      </c>
      <c r="F546" s="24" t="n">
        <v>0.354083538</v>
      </c>
    </row>
    <row r="547" customFormat="false" ht="15" hidden="false" customHeight="false" outlineLevel="0" collapsed="false">
      <c r="A547" s="3" t="n">
        <v>546</v>
      </c>
      <c r="B547" s="3" t="n">
        <v>545</v>
      </c>
      <c r="C547" s="3" t="n">
        <v>2</v>
      </c>
      <c r="D547" s="3" t="n">
        <v>10</v>
      </c>
      <c r="E547" s="3" t="n">
        <v>13</v>
      </c>
      <c r="F547" s="24" t="n">
        <v>0.191397607</v>
      </c>
    </row>
    <row r="548" customFormat="false" ht="15" hidden="false" customHeight="false" outlineLevel="0" collapsed="false">
      <c r="A548" s="3" t="n">
        <v>547</v>
      </c>
      <c r="B548" s="3" t="n">
        <v>546</v>
      </c>
      <c r="C548" s="3" t="n">
        <v>2</v>
      </c>
      <c r="D548" s="3" t="n">
        <v>11</v>
      </c>
      <c r="E548" s="3" t="n">
        <v>0</v>
      </c>
      <c r="F548" s="24" t="n">
        <v>0.587804258</v>
      </c>
    </row>
    <row r="549" customFormat="false" ht="15" hidden="false" customHeight="false" outlineLevel="0" collapsed="false">
      <c r="A549" s="3" t="n">
        <v>548</v>
      </c>
      <c r="B549" s="3" t="n">
        <v>547</v>
      </c>
      <c r="C549" s="3" t="n">
        <v>2</v>
      </c>
      <c r="D549" s="3" t="n">
        <v>11</v>
      </c>
      <c r="E549" s="3" t="n">
        <v>1</v>
      </c>
      <c r="F549" s="24" t="n">
        <v>0.509327829</v>
      </c>
    </row>
    <row r="550" customFormat="false" ht="15" hidden="false" customHeight="false" outlineLevel="0" collapsed="false">
      <c r="A550" s="3" t="n">
        <v>549</v>
      </c>
      <c r="B550" s="3" t="n">
        <v>548</v>
      </c>
      <c r="C550" s="3" t="n">
        <v>2</v>
      </c>
      <c r="D550" s="3" t="n">
        <v>11</v>
      </c>
      <c r="E550" s="3" t="n">
        <v>2</v>
      </c>
      <c r="F550" s="24" t="n">
        <v>0.633773386</v>
      </c>
    </row>
    <row r="551" customFormat="false" ht="15" hidden="false" customHeight="false" outlineLevel="0" collapsed="false">
      <c r="A551" s="3" t="n">
        <v>550</v>
      </c>
      <c r="B551" s="3" t="n">
        <v>549</v>
      </c>
      <c r="C551" s="3" t="n">
        <v>2</v>
      </c>
      <c r="D551" s="3" t="n">
        <v>11</v>
      </c>
      <c r="E551" s="3" t="n">
        <v>3</v>
      </c>
      <c r="F551" s="24" t="n">
        <v>0.485891134</v>
      </c>
    </row>
    <row r="552" customFormat="false" ht="15" hidden="false" customHeight="false" outlineLevel="0" collapsed="false">
      <c r="A552" s="3" t="n">
        <v>551</v>
      </c>
      <c r="B552" s="3" t="n">
        <v>550</v>
      </c>
      <c r="C552" s="3" t="n">
        <v>2</v>
      </c>
      <c r="D552" s="3" t="n">
        <v>11</v>
      </c>
      <c r="E552" s="3" t="n">
        <v>4</v>
      </c>
      <c r="F552" s="24" t="n">
        <v>-2.6478765</v>
      </c>
    </row>
    <row r="553" customFormat="false" ht="15" hidden="false" customHeight="false" outlineLevel="0" collapsed="false">
      <c r="A553" s="3" t="n">
        <v>552</v>
      </c>
      <c r="B553" s="3" t="n">
        <v>551</v>
      </c>
      <c r="C553" s="3" t="n">
        <v>2</v>
      </c>
      <c r="D553" s="3" t="n">
        <v>11</v>
      </c>
      <c r="E553" s="3" t="n">
        <v>5</v>
      </c>
      <c r="F553" s="24" t="n">
        <v>-3.89464331</v>
      </c>
    </row>
    <row r="554" customFormat="false" ht="15" hidden="false" customHeight="false" outlineLevel="0" collapsed="false">
      <c r="A554" s="3" t="n">
        <v>553</v>
      </c>
      <c r="B554" s="3" t="n">
        <v>552</v>
      </c>
      <c r="C554" s="3" t="n">
        <v>2</v>
      </c>
      <c r="D554" s="3" t="n">
        <v>11</v>
      </c>
      <c r="E554" s="3" t="n">
        <v>6</v>
      </c>
      <c r="F554" s="24" t="n">
        <v>-3.54828334</v>
      </c>
    </row>
    <row r="555" customFormat="false" ht="15" hidden="false" customHeight="false" outlineLevel="0" collapsed="false">
      <c r="A555" s="3" t="n">
        <v>554</v>
      </c>
      <c r="B555" s="3" t="n">
        <v>553</v>
      </c>
      <c r="C555" s="3" t="n">
        <v>2</v>
      </c>
      <c r="D555" s="3" t="n">
        <v>11</v>
      </c>
      <c r="E555" s="3" t="n">
        <v>7</v>
      </c>
      <c r="F555" s="24" t="n">
        <v>-3.07345724</v>
      </c>
    </row>
    <row r="556" customFormat="false" ht="15" hidden="false" customHeight="false" outlineLevel="0" collapsed="false">
      <c r="A556" s="3" t="n">
        <v>555</v>
      </c>
      <c r="B556" s="3" t="n">
        <v>554</v>
      </c>
      <c r="C556" s="3" t="n">
        <v>2</v>
      </c>
      <c r="D556" s="3" t="n">
        <v>11</v>
      </c>
      <c r="E556" s="3" t="n">
        <v>8</v>
      </c>
      <c r="F556" s="24" t="n">
        <v>1.53036833</v>
      </c>
    </row>
    <row r="557" customFormat="false" ht="15" hidden="false" customHeight="false" outlineLevel="0" collapsed="false">
      <c r="A557" s="3" t="n">
        <v>556</v>
      </c>
      <c r="B557" s="3" t="n">
        <v>555</v>
      </c>
      <c r="C557" s="3" t="n">
        <v>2</v>
      </c>
      <c r="D557" s="3" t="n">
        <v>11</v>
      </c>
      <c r="E557" s="3" t="n">
        <v>9</v>
      </c>
      <c r="F557" s="24" t="n">
        <v>1.93384552</v>
      </c>
    </row>
    <row r="558" customFormat="false" ht="15" hidden="false" customHeight="false" outlineLevel="0" collapsed="false">
      <c r="A558" s="3" t="n">
        <v>557</v>
      </c>
      <c r="B558" s="3" t="n">
        <v>556</v>
      </c>
      <c r="C558" s="3" t="n">
        <v>2</v>
      </c>
      <c r="D558" s="3" t="n">
        <v>11</v>
      </c>
      <c r="E558" s="3" t="n">
        <v>10</v>
      </c>
      <c r="F558" s="24" t="n">
        <v>0.633773386</v>
      </c>
    </row>
    <row r="559" customFormat="false" ht="15" hidden="false" customHeight="false" outlineLevel="0" collapsed="false">
      <c r="A559" s="3" t="n">
        <v>558</v>
      </c>
      <c r="B559" s="3" t="n">
        <v>557</v>
      </c>
      <c r="C559" s="3" t="n">
        <v>2</v>
      </c>
      <c r="D559" s="3" t="n">
        <v>11</v>
      </c>
      <c r="E559" s="3" t="n">
        <v>11</v>
      </c>
      <c r="F559" s="24" t="n">
        <v>0.633773386</v>
      </c>
    </row>
    <row r="560" customFormat="false" ht="15" hidden="false" customHeight="false" outlineLevel="0" collapsed="false">
      <c r="A560" s="3" t="n">
        <v>559</v>
      </c>
      <c r="B560" s="3" t="n">
        <v>558</v>
      </c>
      <c r="C560" s="3" t="n">
        <v>2</v>
      </c>
      <c r="D560" s="3" t="n">
        <v>11</v>
      </c>
      <c r="E560" s="3" t="n">
        <v>12</v>
      </c>
      <c r="F560" s="24" t="n">
        <v>0.354083538</v>
      </c>
    </row>
    <row r="561" customFormat="false" ht="15" hidden="false" customHeight="false" outlineLevel="0" collapsed="false">
      <c r="A561" s="3" t="n">
        <v>560</v>
      </c>
      <c r="B561" s="3" t="n">
        <v>559</v>
      </c>
      <c r="C561" s="3" t="n">
        <v>2</v>
      </c>
      <c r="D561" s="3" t="n">
        <v>11</v>
      </c>
      <c r="E561" s="3" t="n">
        <v>13</v>
      </c>
      <c r="F561" s="24" t="n">
        <v>0.191397607</v>
      </c>
    </row>
    <row r="562" customFormat="false" ht="15" hidden="false" customHeight="false" outlineLevel="0" collapsed="false">
      <c r="A562" s="3" t="n">
        <v>561</v>
      </c>
      <c r="B562" s="3" t="n">
        <v>560</v>
      </c>
      <c r="C562" s="3" t="n">
        <v>2</v>
      </c>
      <c r="D562" s="3" t="n">
        <v>12</v>
      </c>
      <c r="E562" s="3" t="n">
        <v>0</v>
      </c>
      <c r="F562" s="24" t="n">
        <v>0.88668561</v>
      </c>
    </row>
    <row r="563" customFormat="false" ht="15" hidden="false" customHeight="false" outlineLevel="0" collapsed="false">
      <c r="A563" s="3" t="n">
        <v>562</v>
      </c>
      <c r="B563" s="3" t="n">
        <v>561</v>
      </c>
      <c r="C563" s="3" t="n">
        <v>2</v>
      </c>
      <c r="D563" s="3" t="n">
        <v>12</v>
      </c>
      <c r="E563" s="3" t="n">
        <v>1</v>
      </c>
      <c r="F563" s="24" t="n">
        <v>0.805991888</v>
      </c>
    </row>
    <row r="564" customFormat="false" ht="15" hidden="false" customHeight="false" outlineLevel="0" collapsed="false">
      <c r="A564" s="3" t="n">
        <v>563</v>
      </c>
      <c r="B564" s="3" t="n">
        <v>562</v>
      </c>
      <c r="C564" s="3" t="n">
        <v>2</v>
      </c>
      <c r="D564" s="3" t="n">
        <v>12</v>
      </c>
      <c r="E564" s="3" t="n">
        <v>2</v>
      </c>
      <c r="F564" s="24" t="n">
        <v>1.02608156</v>
      </c>
    </row>
    <row r="565" customFormat="false" ht="15" hidden="false" customHeight="false" outlineLevel="0" collapsed="false">
      <c r="A565" s="3" t="n">
        <v>564</v>
      </c>
      <c r="B565" s="3" t="n">
        <v>563</v>
      </c>
      <c r="C565" s="3" t="n">
        <v>2</v>
      </c>
      <c r="D565" s="3" t="n">
        <v>12</v>
      </c>
      <c r="E565" s="3" t="n">
        <v>3</v>
      </c>
      <c r="F565" s="24" t="n">
        <v>-0.41765511</v>
      </c>
    </row>
    <row r="566" customFormat="false" ht="15" hidden="false" customHeight="false" outlineLevel="0" collapsed="false">
      <c r="A566" s="3" t="n">
        <v>565</v>
      </c>
      <c r="B566" s="3" t="n">
        <v>564</v>
      </c>
      <c r="C566" s="3" t="n">
        <v>2</v>
      </c>
      <c r="D566" s="3" t="n">
        <v>12</v>
      </c>
      <c r="E566" s="3" t="n">
        <v>4</v>
      </c>
      <c r="F566" s="24" t="n">
        <v>-3.71998978</v>
      </c>
    </row>
    <row r="567" customFormat="false" ht="15" hidden="false" customHeight="false" outlineLevel="0" collapsed="false">
      <c r="A567" s="3" t="n">
        <v>566</v>
      </c>
      <c r="B567" s="3" t="n">
        <v>565</v>
      </c>
      <c r="C567" s="3" t="n">
        <v>2</v>
      </c>
      <c r="D567" s="3" t="n">
        <v>12</v>
      </c>
      <c r="E567" s="3" t="n">
        <v>5</v>
      </c>
      <c r="F567" s="24" t="n">
        <v>-1.47483718</v>
      </c>
    </row>
    <row r="568" customFormat="false" ht="15" hidden="false" customHeight="false" outlineLevel="0" collapsed="false">
      <c r="A568" s="3" t="n">
        <v>567</v>
      </c>
      <c r="B568" s="3" t="n">
        <v>566</v>
      </c>
      <c r="C568" s="3" t="n">
        <v>2</v>
      </c>
      <c r="D568" s="3" t="n">
        <v>12</v>
      </c>
      <c r="E568" s="3" t="n">
        <v>6</v>
      </c>
      <c r="F568" s="24" t="n">
        <v>0.193447292</v>
      </c>
    </row>
    <row r="569" customFormat="false" ht="15" hidden="false" customHeight="false" outlineLevel="0" collapsed="false">
      <c r="A569" s="3" t="n">
        <v>568</v>
      </c>
      <c r="B569" s="3" t="n">
        <v>567</v>
      </c>
      <c r="C569" s="3" t="n">
        <v>2</v>
      </c>
      <c r="D569" s="3" t="n">
        <v>12</v>
      </c>
      <c r="E569" s="3" t="n">
        <v>7</v>
      </c>
      <c r="F569" s="24" t="n">
        <v>1.64689243</v>
      </c>
    </row>
    <row r="570" customFormat="false" ht="15" hidden="false" customHeight="false" outlineLevel="0" collapsed="false">
      <c r="A570" s="3" t="n">
        <v>569</v>
      </c>
      <c r="B570" s="3" t="n">
        <v>568</v>
      </c>
      <c r="C570" s="3" t="n">
        <v>2</v>
      </c>
      <c r="D570" s="3" t="n">
        <v>12</v>
      </c>
      <c r="E570" s="3" t="n">
        <v>8</v>
      </c>
      <c r="F570" s="24" t="n">
        <v>2.35648537</v>
      </c>
    </row>
    <row r="571" customFormat="false" ht="15" hidden="false" customHeight="false" outlineLevel="0" collapsed="false">
      <c r="A571" s="3" t="n">
        <v>570</v>
      </c>
      <c r="B571" s="3" t="n">
        <v>569</v>
      </c>
      <c r="C571" s="3" t="n">
        <v>2</v>
      </c>
      <c r="D571" s="3" t="n">
        <v>12</v>
      </c>
      <c r="E571" s="3" t="n">
        <v>9</v>
      </c>
      <c r="F571" s="24" t="n">
        <v>1.0962075</v>
      </c>
    </row>
    <row r="572" customFormat="false" ht="15" hidden="false" customHeight="false" outlineLevel="0" collapsed="false">
      <c r="A572" s="3" t="n">
        <v>571</v>
      </c>
      <c r="B572" s="3" t="n">
        <v>570</v>
      </c>
      <c r="C572" s="3" t="n">
        <v>2</v>
      </c>
      <c r="D572" s="3" t="n">
        <v>12</v>
      </c>
      <c r="E572" s="3" t="n">
        <v>10</v>
      </c>
      <c r="F572" s="24" t="n">
        <v>1.02608156</v>
      </c>
    </row>
    <row r="573" customFormat="false" ht="15" hidden="false" customHeight="false" outlineLevel="0" collapsed="false">
      <c r="A573" s="3" t="n">
        <v>572</v>
      </c>
      <c r="B573" s="3" t="n">
        <v>571</v>
      </c>
      <c r="C573" s="3" t="n">
        <v>2</v>
      </c>
      <c r="D573" s="3" t="n">
        <v>12</v>
      </c>
      <c r="E573" s="3" t="n">
        <v>11</v>
      </c>
      <c r="F573" s="24" t="n">
        <v>1.02608156</v>
      </c>
    </row>
    <row r="574" customFormat="false" ht="15" hidden="false" customHeight="false" outlineLevel="0" collapsed="false">
      <c r="A574" s="3" t="n">
        <v>573</v>
      </c>
      <c r="B574" s="3" t="n">
        <v>572</v>
      </c>
      <c r="C574" s="3" t="n">
        <v>2</v>
      </c>
      <c r="D574" s="3" t="n">
        <v>12</v>
      </c>
      <c r="E574" s="3" t="n">
        <v>12</v>
      </c>
      <c r="F574" s="24" t="n">
        <v>0.746391773</v>
      </c>
    </row>
    <row r="575" customFormat="false" ht="15" hidden="false" customHeight="false" outlineLevel="0" collapsed="false">
      <c r="A575" s="3" t="n">
        <v>574</v>
      </c>
      <c r="B575" s="3" t="n">
        <v>573</v>
      </c>
      <c r="C575" s="3" t="n">
        <v>2</v>
      </c>
      <c r="D575" s="3" t="n">
        <v>12</v>
      </c>
      <c r="E575" s="3" t="n">
        <v>13</v>
      </c>
      <c r="F575" s="24" t="n">
        <v>0.485037833</v>
      </c>
    </row>
    <row r="576" customFormat="false" ht="15" hidden="false" customHeight="false" outlineLevel="0" collapsed="false">
      <c r="A576" s="3" t="n">
        <v>575</v>
      </c>
      <c r="B576" s="3" t="n">
        <v>574</v>
      </c>
      <c r="C576" s="3" t="n">
        <v>2</v>
      </c>
      <c r="D576" s="3" t="n">
        <v>13</v>
      </c>
      <c r="E576" s="3" t="n">
        <v>0</v>
      </c>
      <c r="F576" s="24" t="n">
        <v>0.172628909</v>
      </c>
    </row>
    <row r="577" customFormat="false" ht="15" hidden="false" customHeight="false" outlineLevel="0" collapsed="false">
      <c r="A577" s="3" t="n">
        <v>576</v>
      </c>
      <c r="B577" s="3" t="n">
        <v>575</v>
      </c>
      <c r="C577" s="3" t="n">
        <v>2</v>
      </c>
      <c r="D577" s="3" t="n">
        <v>13</v>
      </c>
      <c r="E577" s="3" t="n">
        <v>1</v>
      </c>
      <c r="F577" s="24" t="n">
        <v>0.143022001</v>
      </c>
    </row>
    <row r="578" customFormat="false" ht="15" hidden="false" customHeight="false" outlineLevel="0" collapsed="false">
      <c r="A578" s="3" t="n">
        <v>577</v>
      </c>
      <c r="B578" s="3" t="n">
        <v>576</v>
      </c>
      <c r="C578" s="3" t="n">
        <v>2</v>
      </c>
      <c r="D578" s="3" t="n">
        <v>13</v>
      </c>
      <c r="E578" s="3" t="n">
        <v>2</v>
      </c>
      <c r="F578" s="24" t="n">
        <v>0.070983842</v>
      </c>
    </row>
    <row r="579" customFormat="false" ht="15" hidden="false" customHeight="false" outlineLevel="0" collapsed="false">
      <c r="A579" s="3" t="n">
        <v>578</v>
      </c>
      <c r="B579" s="3" t="n">
        <v>577</v>
      </c>
      <c r="C579" s="3" t="n">
        <v>2</v>
      </c>
      <c r="D579" s="3" t="n">
        <v>13</v>
      </c>
      <c r="E579" s="3" t="n">
        <v>3</v>
      </c>
      <c r="F579" s="24" t="n">
        <v>-0.553938031</v>
      </c>
    </row>
    <row r="580" customFormat="false" ht="15" hidden="false" customHeight="false" outlineLevel="0" collapsed="false">
      <c r="A580" s="3" t="n">
        <v>579</v>
      </c>
      <c r="B580" s="3" t="n">
        <v>578</v>
      </c>
      <c r="C580" s="3" t="n">
        <v>2</v>
      </c>
      <c r="D580" s="3" t="n">
        <v>13</v>
      </c>
      <c r="E580" s="3" t="n">
        <v>4</v>
      </c>
      <c r="F580" s="24" t="n">
        <v>2.89441586</v>
      </c>
    </row>
    <row r="581" customFormat="false" ht="15" hidden="false" customHeight="false" outlineLevel="0" collapsed="false">
      <c r="A581" s="3" t="n">
        <v>580</v>
      </c>
      <c r="B581" s="3" t="n">
        <v>579</v>
      </c>
      <c r="C581" s="3" t="n">
        <v>2</v>
      </c>
      <c r="D581" s="3" t="n">
        <v>13</v>
      </c>
      <c r="E581" s="3" t="n">
        <v>5</v>
      </c>
      <c r="F581" s="24" t="n">
        <v>7.19992018</v>
      </c>
    </row>
    <row r="582" customFormat="false" ht="15" hidden="false" customHeight="false" outlineLevel="0" collapsed="false">
      <c r="A582" s="3" t="n">
        <v>581</v>
      </c>
      <c r="B582" s="3" t="n">
        <v>580</v>
      </c>
      <c r="C582" s="3" t="n">
        <v>2</v>
      </c>
      <c r="D582" s="3" t="n">
        <v>13</v>
      </c>
      <c r="E582" s="3" t="n">
        <v>6</v>
      </c>
      <c r="F582" s="24" t="n">
        <v>7.3890624</v>
      </c>
    </row>
    <row r="583" customFormat="false" ht="15" hidden="false" customHeight="false" outlineLevel="0" collapsed="false">
      <c r="A583" s="3" t="n">
        <v>582</v>
      </c>
      <c r="B583" s="3" t="n">
        <v>581</v>
      </c>
      <c r="C583" s="3" t="n">
        <v>2</v>
      </c>
      <c r="D583" s="3" t="n">
        <v>13</v>
      </c>
      <c r="E583" s="3" t="n">
        <v>7</v>
      </c>
      <c r="F583" s="24" t="n">
        <v>5.61211252</v>
      </c>
    </row>
    <row r="584" customFormat="false" ht="15" hidden="false" customHeight="false" outlineLevel="0" collapsed="false">
      <c r="A584" s="3" t="n">
        <v>583</v>
      </c>
      <c r="B584" s="3" t="n">
        <v>582</v>
      </c>
      <c r="C584" s="3" t="n">
        <v>2</v>
      </c>
      <c r="D584" s="3" t="n">
        <v>13</v>
      </c>
      <c r="E584" s="3" t="n">
        <v>8</v>
      </c>
      <c r="F584" s="24" t="n">
        <v>1.75435066</v>
      </c>
    </row>
    <row r="585" customFormat="false" ht="15" hidden="false" customHeight="false" outlineLevel="0" collapsed="false">
      <c r="A585" s="3" t="n">
        <v>584</v>
      </c>
      <c r="B585" s="3" t="n">
        <v>583</v>
      </c>
      <c r="C585" s="3" t="n">
        <v>2</v>
      </c>
      <c r="D585" s="3" t="n">
        <v>13</v>
      </c>
      <c r="E585" s="3" t="n">
        <v>9</v>
      </c>
      <c r="F585" s="24" t="n">
        <v>0.070983842</v>
      </c>
    </row>
    <row r="586" customFormat="false" ht="15" hidden="false" customHeight="false" outlineLevel="0" collapsed="false">
      <c r="A586" s="3" t="n">
        <v>585</v>
      </c>
      <c r="B586" s="3" t="n">
        <v>584</v>
      </c>
      <c r="C586" s="3" t="n">
        <v>2</v>
      </c>
      <c r="D586" s="3" t="n">
        <v>13</v>
      </c>
      <c r="E586" s="3" t="n">
        <v>10</v>
      </c>
      <c r="F586" s="24" t="n">
        <v>0.070983842</v>
      </c>
    </row>
    <row r="587" customFormat="false" ht="15" hidden="false" customHeight="false" outlineLevel="0" collapsed="false">
      <c r="A587" s="3" t="n">
        <v>586</v>
      </c>
      <c r="B587" s="3" t="n">
        <v>585</v>
      </c>
      <c r="C587" s="3" t="n">
        <v>2</v>
      </c>
      <c r="D587" s="3" t="n">
        <v>13</v>
      </c>
      <c r="E587" s="3" t="n">
        <v>11</v>
      </c>
      <c r="F587" s="24" t="n">
        <v>0.070983842</v>
      </c>
    </row>
    <row r="588" customFormat="false" ht="15" hidden="false" customHeight="false" outlineLevel="0" collapsed="false">
      <c r="A588" s="3" t="n">
        <v>587</v>
      </c>
      <c r="B588" s="3" t="n">
        <v>586</v>
      </c>
      <c r="C588" s="3" t="n">
        <v>2</v>
      </c>
      <c r="D588" s="3" t="n">
        <v>13</v>
      </c>
      <c r="E588" s="3" t="n">
        <v>12</v>
      </c>
      <c r="F588" s="24" t="n">
        <v>-0.135357574</v>
      </c>
    </row>
    <row r="589" customFormat="false" ht="15" hidden="false" customHeight="false" outlineLevel="0" collapsed="false">
      <c r="A589" s="3" t="n">
        <v>588</v>
      </c>
      <c r="B589" s="3" t="n">
        <v>587</v>
      </c>
      <c r="C589" s="3" t="n">
        <v>2</v>
      </c>
      <c r="D589" s="3" t="n">
        <v>13</v>
      </c>
      <c r="E589" s="3" t="n">
        <v>13</v>
      </c>
      <c r="F589" s="24" t="n">
        <v>-0.137434661</v>
      </c>
    </row>
    <row r="590" customFormat="false" ht="15" hidden="false" customHeight="false" outlineLevel="0" collapsed="false">
      <c r="A590" s="3" t="n">
        <v>589</v>
      </c>
      <c r="B590" s="3" t="n">
        <v>588</v>
      </c>
      <c r="C590" s="3" t="n">
        <v>3</v>
      </c>
      <c r="D590" s="3" t="n">
        <v>0</v>
      </c>
      <c r="E590" s="3" t="n">
        <v>0</v>
      </c>
      <c r="F590" s="24" t="n">
        <v>-0.670905113</v>
      </c>
    </row>
    <row r="591" customFormat="false" ht="15" hidden="false" customHeight="false" outlineLevel="0" collapsed="false">
      <c r="A591" s="3" t="n">
        <v>590</v>
      </c>
      <c r="B591" s="3" t="n">
        <v>589</v>
      </c>
      <c r="C591" s="3" t="n">
        <v>3</v>
      </c>
      <c r="D591" s="3" t="n">
        <v>0</v>
      </c>
      <c r="E591" s="3" t="n">
        <v>1</v>
      </c>
      <c r="F591" s="24" t="n">
        <v>-0.867722034</v>
      </c>
    </row>
    <row r="592" customFormat="false" ht="15" hidden="false" customHeight="false" outlineLevel="0" collapsed="false">
      <c r="A592" s="3" t="n">
        <v>591</v>
      </c>
      <c r="B592" s="3" t="n">
        <v>590</v>
      </c>
      <c r="C592" s="3" t="n">
        <v>3</v>
      </c>
      <c r="D592" s="3" t="n">
        <v>0</v>
      </c>
      <c r="E592" s="3" t="n">
        <v>2</v>
      </c>
      <c r="F592" s="24" t="n">
        <v>-0.849087179</v>
      </c>
    </row>
    <row r="593" customFormat="false" ht="15" hidden="false" customHeight="false" outlineLevel="0" collapsed="false">
      <c r="A593" s="3" t="n">
        <v>592</v>
      </c>
      <c r="B593" s="3" t="n">
        <v>591</v>
      </c>
      <c r="C593" s="3" t="n">
        <v>3</v>
      </c>
      <c r="D593" s="3" t="n">
        <v>0</v>
      </c>
      <c r="E593" s="3" t="n">
        <v>3</v>
      </c>
      <c r="F593" s="24" t="n">
        <v>-0.849087179</v>
      </c>
    </row>
    <row r="594" customFormat="false" ht="15" hidden="false" customHeight="false" outlineLevel="0" collapsed="false">
      <c r="A594" s="3" t="n">
        <v>593</v>
      </c>
      <c r="B594" s="3" t="n">
        <v>592</v>
      </c>
      <c r="C594" s="3" t="n">
        <v>3</v>
      </c>
      <c r="D594" s="3" t="n">
        <v>0</v>
      </c>
      <c r="E594" s="3" t="n">
        <v>4</v>
      </c>
      <c r="F594" s="24" t="n">
        <v>-0.849087179</v>
      </c>
    </row>
    <row r="595" customFormat="false" ht="15" hidden="false" customHeight="false" outlineLevel="0" collapsed="false">
      <c r="A595" s="3" t="n">
        <v>594</v>
      </c>
      <c r="B595" s="3" t="n">
        <v>593</v>
      </c>
      <c r="C595" s="3" t="n">
        <v>3</v>
      </c>
      <c r="D595" s="3" t="n">
        <v>0</v>
      </c>
      <c r="E595" s="3" t="n">
        <v>5</v>
      </c>
      <c r="F595" s="24" t="n">
        <v>-0.849087179</v>
      </c>
    </row>
    <row r="596" customFormat="false" ht="15" hidden="false" customHeight="false" outlineLevel="0" collapsed="false">
      <c r="A596" s="3" t="n">
        <v>595</v>
      </c>
      <c r="B596" s="3" t="n">
        <v>594</v>
      </c>
      <c r="C596" s="3" t="n">
        <v>3</v>
      </c>
      <c r="D596" s="3" t="n">
        <v>0</v>
      </c>
      <c r="E596" s="3" t="n">
        <v>6</v>
      </c>
      <c r="F596" s="24" t="n">
        <v>-0.849087179</v>
      </c>
    </row>
    <row r="597" customFormat="false" ht="15" hidden="false" customHeight="false" outlineLevel="0" collapsed="false">
      <c r="A597" s="3" t="n">
        <v>596</v>
      </c>
      <c r="B597" s="3" t="n">
        <v>595</v>
      </c>
      <c r="C597" s="3" t="n">
        <v>3</v>
      </c>
      <c r="D597" s="3" t="n">
        <v>0</v>
      </c>
      <c r="E597" s="3" t="n">
        <v>7</v>
      </c>
      <c r="F597" s="24" t="n">
        <v>-0.849087179</v>
      </c>
    </row>
    <row r="598" customFormat="false" ht="15" hidden="false" customHeight="false" outlineLevel="0" collapsed="false">
      <c r="A598" s="3" t="n">
        <v>597</v>
      </c>
      <c r="B598" s="3" t="n">
        <v>596</v>
      </c>
      <c r="C598" s="3" t="n">
        <v>3</v>
      </c>
      <c r="D598" s="3" t="n">
        <v>0</v>
      </c>
      <c r="E598" s="3" t="n">
        <v>8</v>
      </c>
      <c r="F598" s="24" t="n">
        <v>-0.849087179</v>
      </c>
    </row>
    <row r="599" customFormat="false" ht="15" hidden="false" customHeight="false" outlineLevel="0" collapsed="false">
      <c r="A599" s="3" t="n">
        <v>598</v>
      </c>
      <c r="B599" s="3" t="n">
        <v>597</v>
      </c>
      <c r="C599" s="3" t="n">
        <v>3</v>
      </c>
      <c r="D599" s="3" t="n">
        <v>0</v>
      </c>
      <c r="E599" s="3" t="n">
        <v>9</v>
      </c>
      <c r="F599" s="24" t="n">
        <v>-0.849087179</v>
      </c>
    </row>
    <row r="600" customFormat="false" ht="15" hidden="false" customHeight="false" outlineLevel="0" collapsed="false">
      <c r="A600" s="3" t="n">
        <v>599</v>
      </c>
      <c r="B600" s="3" t="n">
        <v>598</v>
      </c>
      <c r="C600" s="3" t="n">
        <v>3</v>
      </c>
      <c r="D600" s="3" t="n">
        <v>0</v>
      </c>
      <c r="E600" s="3" t="n">
        <v>10</v>
      </c>
      <c r="F600" s="24" t="n">
        <v>-0.849087179</v>
      </c>
    </row>
    <row r="601" customFormat="false" ht="15" hidden="false" customHeight="false" outlineLevel="0" collapsed="false">
      <c r="A601" s="3" t="n">
        <v>600</v>
      </c>
      <c r="B601" s="3" t="n">
        <v>599</v>
      </c>
      <c r="C601" s="3" t="n">
        <v>3</v>
      </c>
      <c r="D601" s="3" t="n">
        <v>0</v>
      </c>
      <c r="E601" s="3" t="n">
        <v>11</v>
      </c>
      <c r="F601" s="24" t="n">
        <v>-0.849087179</v>
      </c>
    </row>
    <row r="602" customFormat="false" ht="15" hidden="false" customHeight="false" outlineLevel="0" collapsed="false">
      <c r="A602" s="3" t="n">
        <v>601</v>
      </c>
      <c r="B602" s="3" t="n">
        <v>600</v>
      </c>
      <c r="C602" s="3" t="n">
        <v>3</v>
      </c>
      <c r="D602" s="3" t="n">
        <v>0</v>
      </c>
      <c r="E602" s="3" t="n">
        <v>12</v>
      </c>
      <c r="F602" s="24" t="n">
        <v>-0.516182482</v>
      </c>
    </row>
    <row r="603" customFormat="false" ht="15" hidden="false" customHeight="false" outlineLevel="0" collapsed="false">
      <c r="A603" s="3" t="n">
        <v>602</v>
      </c>
      <c r="B603" s="3" t="n">
        <v>601</v>
      </c>
      <c r="C603" s="3" t="n">
        <v>3</v>
      </c>
      <c r="D603" s="3" t="n">
        <v>0</v>
      </c>
      <c r="E603" s="3" t="n">
        <v>13</v>
      </c>
      <c r="F603" s="24" t="n">
        <v>-0.752642989</v>
      </c>
    </row>
    <row r="604" customFormat="false" ht="15" hidden="false" customHeight="false" outlineLevel="0" collapsed="false">
      <c r="A604" s="3" t="n">
        <v>603</v>
      </c>
      <c r="B604" s="3" t="n">
        <v>602</v>
      </c>
      <c r="C604" s="3" t="n">
        <v>3</v>
      </c>
      <c r="D604" s="3" t="n">
        <v>1</v>
      </c>
      <c r="E604" s="3" t="n">
        <v>0</v>
      </c>
      <c r="F604" s="24" t="n">
        <v>-0.355523109</v>
      </c>
    </row>
    <row r="605" customFormat="false" ht="15" hidden="false" customHeight="false" outlineLevel="0" collapsed="false">
      <c r="A605" s="3" t="n">
        <v>604</v>
      </c>
      <c r="B605" s="3" t="n">
        <v>603</v>
      </c>
      <c r="C605" s="3" t="n">
        <v>3</v>
      </c>
      <c r="D605" s="3" t="n">
        <v>1</v>
      </c>
      <c r="E605" s="3" t="n">
        <v>1</v>
      </c>
      <c r="F605" s="24" t="n">
        <v>-0.361999005</v>
      </c>
    </row>
    <row r="606" customFormat="false" ht="15" hidden="false" customHeight="false" outlineLevel="0" collapsed="false">
      <c r="A606" s="3" t="n">
        <v>605</v>
      </c>
      <c r="B606" s="3" t="n">
        <v>604</v>
      </c>
      <c r="C606" s="3" t="n">
        <v>3</v>
      </c>
      <c r="D606" s="3" t="n">
        <v>1</v>
      </c>
      <c r="E606" s="3" t="n">
        <v>2</v>
      </c>
      <c r="F606" s="24" t="n">
        <v>-0.436597347</v>
      </c>
    </row>
    <row r="607" customFormat="false" ht="15" hidden="false" customHeight="false" outlineLevel="0" collapsed="false">
      <c r="A607" s="3" t="n">
        <v>606</v>
      </c>
      <c r="B607" s="3" t="n">
        <v>605</v>
      </c>
      <c r="C607" s="3" t="n">
        <v>3</v>
      </c>
      <c r="D607" s="3" t="n">
        <v>1</v>
      </c>
      <c r="E607" s="3" t="n">
        <v>3</v>
      </c>
      <c r="F607" s="24" t="n">
        <v>-0.436597347</v>
      </c>
    </row>
    <row r="608" customFormat="false" ht="15" hidden="false" customHeight="false" outlineLevel="0" collapsed="false">
      <c r="A608" s="3" t="n">
        <v>607</v>
      </c>
      <c r="B608" s="3" t="n">
        <v>606</v>
      </c>
      <c r="C608" s="3" t="n">
        <v>3</v>
      </c>
      <c r="D608" s="3" t="n">
        <v>1</v>
      </c>
      <c r="E608" s="3" t="n">
        <v>4</v>
      </c>
      <c r="F608" s="24" t="n">
        <v>-0.436597347</v>
      </c>
    </row>
    <row r="609" customFormat="false" ht="15" hidden="false" customHeight="false" outlineLevel="0" collapsed="false">
      <c r="A609" s="3" t="n">
        <v>608</v>
      </c>
      <c r="B609" s="3" t="n">
        <v>607</v>
      </c>
      <c r="C609" s="3" t="n">
        <v>3</v>
      </c>
      <c r="D609" s="3" t="n">
        <v>1</v>
      </c>
      <c r="E609" s="3" t="n">
        <v>5</v>
      </c>
      <c r="F609" s="24" t="n">
        <v>-0.436597347</v>
      </c>
    </row>
    <row r="610" customFormat="false" ht="15" hidden="false" customHeight="false" outlineLevel="0" collapsed="false">
      <c r="A610" s="3" t="n">
        <v>609</v>
      </c>
      <c r="B610" s="3" t="n">
        <v>608</v>
      </c>
      <c r="C610" s="3" t="n">
        <v>3</v>
      </c>
      <c r="D610" s="3" t="n">
        <v>1</v>
      </c>
      <c r="E610" s="3" t="n">
        <v>6</v>
      </c>
      <c r="F610" s="24" t="n">
        <v>-0.436597347</v>
      </c>
    </row>
    <row r="611" customFormat="false" ht="15" hidden="false" customHeight="false" outlineLevel="0" collapsed="false">
      <c r="A611" s="3" t="n">
        <v>610</v>
      </c>
      <c r="B611" s="3" t="n">
        <v>609</v>
      </c>
      <c r="C611" s="3" t="n">
        <v>3</v>
      </c>
      <c r="D611" s="3" t="n">
        <v>1</v>
      </c>
      <c r="E611" s="3" t="n">
        <v>7</v>
      </c>
      <c r="F611" s="24" t="n">
        <v>-0.436597347</v>
      </c>
    </row>
    <row r="612" customFormat="false" ht="15" hidden="false" customHeight="false" outlineLevel="0" collapsed="false">
      <c r="A612" s="3" t="n">
        <v>611</v>
      </c>
      <c r="B612" s="3" t="n">
        <v>610</v>
      </c>
      <c r="C612" s="3" t="n">
        <v>3</v>
      </c>
      <c r="D612" s="3" t="n">
        <v>1</v>
      </c>
      <c r="E612" s="3" t="n">
        <v>8</v>
      </c>
      <c r="F612" s="24" t="n">
        <v>-0.436597347</v>
      </c>
    </row>
    <row r="613" customFormat="false" ht="15" hidden="false" customHeight="false" outlineLevel="0" collapsed="false">
      <c r="A613" s="3" t="n">
        <v>612</v>
      </c>
      <c r="B613" s="3" t="n">
        <v>611</v>
      </c>
      <c r="C613" s="3" t="n">
        <v>3</v>
      </c>
      <c r="D613" s="3" t="n">
        <v>1</v>
      </c>
      <c r="E613" s="3" t="n">
        <v>9</v>
      </c>
      <c r="F613" s="24" t="n">
        <v>-0.436597347</v>
      </c>
    </row>
    <row r="614" customFormat="false" ht="15" hidden="false" customHeight="false" outlineLevel="0" collapsed="false">
      <c r="A614" s="3" t="n">
        <v>613</v>
      </c>
      <c r="B614" s="3" t="n">
        <v>612</v>
      </c>
      <c r="C614" s="3" t="n">
        <v>3</v>
      </c>
      <c r="D614" s="3" t="n">
        <v>1</v>
      </c>
      <c r="E614" s="3" t="n">
        <v>10</v>
      </c>
      <c r="F614" s="24" t="n">
        <v>-0.436597347</v>
      </c>
    </row>
    <row r="615" customFormat="false" ht="15" hidden="false" customHeight="false" outlineLevel="0" collapsed="false">
      <c r="A615" s="3" t="n">
        <v>614</v>
      </c>
      <c r="B615" s="3" t="n">
        <v>613</v>
      </c>
      <c r="C615" s="3" t="n">
        <v>3</v>
      </c>
      <c r="D615" s="3" t="n">
        <v>1</v>
      </c>
      <c r="E615" s="3" t="n">
        <v>11</v>
      </c>
      <c r="F615" s="24" t="n">
        <v>-0.436597347</v>
      </c>
    </row>
    <row r="616" customFormat="false" ht="15" hidden="false" customHeight="false" outlineLevel="0" collapsed="false">
      <c r="A616" s="3" t="n">
        <v>615</v>
      </c>
      <c r="B616" s="3" t="n">
        <v>614</v>
      </c>
      <c r="C616" s="3" t="n">
        <v>3</v>
      </c>
      <c r="D616" s="3" t="n">
        <v>1</v>
      </c>
      <c r="E616" s="3" t="n">
        <v>12</v>
      </c>
      <c r="F616" s="24" t="n">
        <v>-0.117778331</v>
      </c>
    </row>
    <row r="617" customFormat="false" ht="15" hidden="false" customHeight="false" outlineLevel="0" collapsed="false">
      <c r="A617" s="3" t="n">
        <v>616</v>
      </c>
      <c r="B617" s="3" t="n">
        <v>615</v>
      </c>
      <c r="C617" s="3" t="n">
        <v>3</v>
      </c>
      <c r="D617" s="3" t="n">
        <v>1</v>
      </c>
      <c r="E617" s="3" t="n">
        <v>13</v>
      </c>
      <c r="F617" s="24" t="n">
        <v>-0.242910042</v>
      </c>
    </row>
    <row r="618" customFormat="false" ht="15" hidden="false" customHeight="false" outlineLevel="0" collapsed="false">
      <c r="A618" s="3" t="n">
        <v>617</v>
      </c>
      <c r="B618" s="3" t="n">
        <v>616</v>
      </c>
      <c r="C618" s="3" t="n">
        <v>3</v>
      </c>
      <c r="D618" s="3" t="n">
        <v>2</v>
      </c>
      <c r="E618" s="3" t="n">
        <v>0</v>
      </c>
      <c r="F618" s="24" t="n">
        <v>-0.365316004</v>
      </c>
    </row>
    <row r="619" customFormat="false" ht="15" hidden="false" customHeight="false" outlineLevel="0" collapsed="false">
      <c r="A619" s="3" t="n">
        <v>618</v>
      </c>
      <c r="B619" s="3" t="n">
        <v>617</v>
      </c>
      <c r="C619" s="3" t="n">
        <v>3</v>
      </c>
      <c r="D619" s="3" t="n">
        <v>2</v>
      </c>
      <c r="E619" s="3" t="n">
        <v>1</v>
      </c>
      <c r="F619" s="24" t="n">
        <v>-0.431211591</v>
      </c>
    </row>
    <row r="620" customFormat="false" ht="15" hidden="false" customHeight="false" outlineLevel="0" collapsed="false">
      <c r="A620" s="3" t="n">
        <v>619</v>
      </c>
      <c r="B620" s="3" t="n">
        <v>618</v>
      </c>
      <c r="C620" s="3" t="n">
        <v>3</v>
      </c>
      <c r="D620" s="3" t="n">
        <v>2</v>
      </c>
      <c r="E620" s="3" t="n">
        <v>2</v>
      </c>
      <c r="F620" s="24" t="n">
        <v>-2.48693299</v>
      </c>
    </row>
    <row r="621" customFormat="false" ht="15" hidden="false" customHeight="false" outlineLevel="0" collapsed="false">
      <c r="A621" s="3" t="n">
        <v>620</v>
      </c>
      <c r="B621" s="3" t="n">
        <v>619</v>
      </c>
      <c r="C621" s="3" t="n">
        <v>3</v>
      </c>
      <c r="D621" s="3" t="n">
        <v>2</v>
      </c>
      <c r="E621" s="3" t="n">
        <v>3</v>
      </c>
      <c r="F621" s="24" t="n">
        <v>-7.76095819</v>
      </c>
    </row>
    <row r="622" customFormat="false" ht="15" hidden="false" customHeight="false" outlineLevel="0" collapsed="false">
      <c r="A622" s="3" t="n">
        <v>621</v>
      </c>
      <c r="B622" s="3" t="n">
        <v>620</v>
      </c>
      <c r="C622" s="3" t="n">
        <v>3</v>
      </c>
      <c r="D622" s="3" t="n">
        <v>2</v>
      </c>
      <c r="E622" s="3" t="n">
        <v>4</v>
      </c>
      <c r="F622" s="24" t="n">
        <v>-6.79941416</v>
      </c>
    </row>
    <row r="623" customFormat="false" ht="15" hidden="false" customHeight="false" outlineLevel="0" collapsed="false">
      <c r="A623" s="3" t="n">
        <v>622</v>
      </c>
      <c r="B623" s="3" t="n">
        <v>621</v>
      </c>
      <c r="C623" s="3" t="n">
        <v>3</v>
      </c>
      <c r="D623" s="3" t="n">
        <v>2</v>
      </c>
      <c r="E623" s="3" t="n">
        <v>5</v>
      </c>
      <c r="F623" s="24" t="n">
        <v>-2.66937923</v>
      </c>
    </row>
    <row r="624" customFormat="false" ht="15" hidden="false" customHeight="false" outlineLevel="0" collapsed="false">
      <c r="A624" s="3" t="n">
        <v>623</v>
      </c>
      <c r="B624" s="3" t="n">
        <v>622</v>
      </c>
      <c r="C624" s="3" t="n">
        <v>3</v>
      </c>
      <c r="D624" s="3" t="n">
        <v>2</v>
      </c>
      <c r="E624" s="3" t="n">
        <v>6</v>
      </c>
      <c r="F624" s="24" t="n">
        <v>-1.26150012</v>
      </c>
    </row>
    <row r="625" customFormat="false" ht="15" hidden="false" customHeight="false" outlineLevel="0" collapsed="false">
      <c r="A625" s="3" t="n">
        <v>624</v>
      </c>
      <c r="B625" s="3" t="n">
        <v>623</v>
      </c>
      <c r="C625" s="3" t="n">
        <v>3</v>
      </c>
      <c r="D625" s="3" t="n">
        <v>2</v>
      </c>
      <c r="E625" s="3" t="n">
        <v>7</v>
      </c>
      <c r="F625" s="24" t="n">
        <v>-1.71766388</v>
      </c>
    </row>
    <row r="626" customFormat="false" ht="15" hidden="false" customHeight="false" outlineLevel="0" collapsed="false">
      <c r="A626" s="3" t="n">
        <v>625</v>
      </c>
      <c r="B626" s="3" t="n">
        <v>624</v>
      </c>
      <c r="C626" s="3" t="n">
        <v>3</v>
      </c>
      <c r="D626" s="3" t="n">
        <v>2</v>
      </c>
      <c r="E626" s="3" t="n">
        <v>8</v>
      </c>
      <c r="F626" s="24" t="n">
        <v>-1.85684466</v>
      </c>
    </row>
    <row r="627" customFormat="false" ht="15" hidden="false" customHeight="false" outlineLevel="0" collapsed="false">
      <c r="A627" s="3" t="n">
        <v>626</v>
      </c>
      <c r="B627" s="3" t="n">
        <v>625</v>
      </c>
      <c r="C627" s="3" t="n">
        <v>3</v>
      </c>
      <c r="D627" s="3" t="n">
        <v>2</v>
      </c>
      <c r="E627" s="3" t="n">
        <v>9</v>
      </c>
      <c r="F627" s="24" t="n">
        <v>-1.34263492</v>
      </c>
    </row>
    <row r="628" customFormat="false" ht="15" hidden="false" customHeight="false" outlineLevel="0" collapsed="false">
      <c r="A628" s="3" t="n">
        <v>627</v>
      </c>
      <c r="B628" s="3" t="n">
        <v>626</v>
      </c>
      <c r="C628" s="3" t="n">
        <v>3</v>
      </c>
      <c r="D628" s="3" t="n">
        <v>2</v>
      </c>
      <c r="E628" s="3" t="n">
        <v>10</v>
      </c>
      <c r="F628" s="24" t="n">
        <v>0.0736294538</v>
      </c>
    </row>
    <row r="629" customFormat="false" ht="15" hidden="false" customHeight="false" outlineLevel="0" collapsed="false">
      <c r="A629" s="3" t="n">
        <v>628</v>
      </c>
      <c r="B629" s="3" t="n">
        <v>627</v>
      </c>
      <c r="C629" s="3" t="n">
        <v>3</v>
      </c>
      <c r="D629" s="3" t="n">
        <v>2</v>
      </c>
      <c r="E629" s="3" t="n">
        <v>11</v>
      </c>
      <c r="F629" s="24" t="n">
        <v>0.122139737</v>
      </c>
    </row>
    <row r="630" customFormat="false" ht="15" hidden="false" customHeight="false" outlineLevel="0" collapsed="false">
      <c r="A630" s="3" t="n">
        <v>629</v>
      </c>
      <c r="B630" s="3" t="n">
        <v>628</v>
      </c>
      <c r="C630" s="3" t="n">
        <v>3</v>
      </c>
      <c r="D630" s="3" t="n">
        <v>2</v>
      </c>
      <c r="E630" s="3" t="n">
        <v>12</v>
      </c>
      <c r="F630" s="24" t="n">
        <v>-0.209584028</v>
      </c>
    </row>
    <row r="631" customFormat="false" ht="15" hidden="false" customHeight="false" outlineLevel="0" collapsed="false">
      <c r="A631" s="3" t="n">
        <v>630</v>
      </c>
      <c r="B631" s="3" t="n">
        <v>629</v>
      </c>
      <c r="C631" s="3" t="n">
        <v>3</v>
      </c>
      <c r="D631" s="3" t="n">
        <v>2</v>
      </c>
      <c r="E631" s="3" t="n">
        <v>13</v>
      </c>
      <c r="F631" s="24" t="n">
        <v>-0.433492601</v>
      </c>
    </row>
    <row r="632" customFormat="false" ht="15" hidden="false" customHeight="false" outlineLevel="0" collapsed="false">
      <c r="A632" s="3" t="n">
        <v>631</v>
      </c>
      <c r="B632" s="3" t="n">
        <v>630</v>
      </c>
      <c r="C632" s="3" t="n">
        <v>3</v>
      </c>
      <c r="D632" s="3" t="n">
        <v>3</v>
      </c>
      <c r="E632" s="3" t="n">
        <v>0</v>
      </c>
      <c r="F632" s="24" t="n">
        <v>-0.365316004</v>
      </c>
    </row>
    <row r="633" customFormat="false" ht="15" hidden="false" customHeight="false" outlineLevel="0" collapsed="false">
      <c r="A633" s="3" t="n">
        <v>632</v>
      </c>
      <c r="B633" s="3" t="n">
        <v>631</v>
      </c>
      <c r="C633" s="3" t="n">
        <v>3</v>
      </c>
      <c r="D633" s="3" t="n">
        <v>3</v>
      </c>
      <c r="E633" s="3" t="n">
        <v>1</v>
      </c>
      <c r="F633" s="24" t="n">
        <v>1.24248445</v>
      </c>
    </row>
    <row r="634" customFormat="false" ht="15" hidden="false" customHeight="false" outlineLevel="0" collapsed="false">
      <c r="A634" s="3" t="n">
        <v>633</v>
      </c>
      <c r="B634" s="3" t="n">
        <v>632</v>
      </c>
      <c r="C634" s="3" t="n">
        <v>3</v>
      </c>
      <c r="D634" s="3" t="n">
        <v>3</v>
      </c>
      <c r="E634" s="3" t="n">
        <v>2</v>
      </c>
      <c r="F634" s="24" t="n">
        <v>4.00915003</v>
      </c>
    </row>
    <row r="635" customFormat="false" ht="15" hidden="false" customHeight="false" outlineLevel="0" collapsed="false">
      <c r="A635" s="3" t="n">
        <v>634</v>
      </c>
      <c r="B635" s="3" t="n">
        <v>633</v>
      </c>
      <c r="C635" s="3" t="n">
        <v>3</v>
      </c>
      <c r="D635" s="3" t="n">
        <v>3</v>
      </c>
      <c r="E635" s="3" t="n">
        <v>3</v>
      </c>
      <c r="F635" s="24" t="n">
        <v>-2.73748994</v>
      </c>
    </row>
    <row r="636" customFormat="false" ht="15" hidden="false" customHeight="false" outlineLevel="0" collapsed="false">
      <c r="A636" s="3" t="n">
        <v>635</v>
      </c>
      <c r="B636" s="3" t="n">
        <v>634</v>
      </c>
      <c r="C636" s="3" t="n">
        <v>3</v>
      </c>
      <c r="D636" s="3" t="n">
        <v>3</v>
      </c>
      <c r="E636" s="3" t="n">
        <v>4</v>
      </c>
      <c r="F636" s="24" t="n">
        <v>-8.65293121</v>
      </c>
    </row>
    <row r="637" customFormat="false" ht="15" hidden="false" customHeight="false" outlineLevel="0" collapsed="false">
      <c r="A637" s="3" t="n">
        <v>636</v>
      </c>
      <c r="B637" s="3" t="n">
        <v>635</v>
      </c>
      <c r="C637" s="3" t="n">
        <v>3</v>
      </c>
      <c r="D637" s="3" t="n">
        <v>3</v>
      </c>
      <c r="E637" s="3" t="n">
        <v>5</v>
      </c>
      <c r="F637" s="24" t="n">
        <v>-10.2660923</v>
      </c>
    </row>
    <row r="638" customFormat="false" ht="15" hidden="false" customHeight="false" outlineLevel="0" collapsed="false">
      <c r="A638" s="3" t="n">
        <v>637</v>
      </c>
      <c r="B638" s="3" t="n">
        <v>636</v>
      </c>
      <c r="C638" s="3" t="n">
        <v>3</v>
      </c>
      <c r="D638" s="3" t="n">
        <v>3</v>
      </c>
      <c r="E638" s="3" t="n">
        <v>6</v>
      </c>
      <c r="F638" s="24" t="n">
        <v>-8.82994843</v>
      </c>
    </row>
    <row r="639" customFormat="false" ht="15" hidden="false" customHeight="false" outlineLevel="0" collapsed="false">
      <c r="A639" s="3" t="n">
        <v>638</v>
      </c>
      <c r="B639" s="3" t="n">
        <v>637</v>
      </c>
      <c r="C639" s="3" t="n">
        <v>3</v>
      </c>
      <c r="D639" s="3" t="n">
        <v>3</v>
      </c>
      <c r="E639" s="3" t="n">
        <v>7</v>
      </c>
      <c r="F639" s="24" t="n">
        <v>-8.36665249</v>
      </c>
    </row>
    <row r="640" customFormat="false" ht="15" hidden="false" customHeight="false" outlineLevel="0" collapsed="false">
      <c r="A640" s="3" t="n">
        <v>639</v>
      </c>
      <c r="B640" s="3" t="n">
        <v>638</v>
      </c>
      <c r="C640" s="3" t="n">
        <v>3</v>
      </c>
      <c r="D640" s="3" t="n">
        <v>3</v>
      </c>
      <c r="E640" s="3" t="n">
        <v>8</v>
      </c>
      <c r="F640" s="24" t="n">
        <v>-7.77314138</v>
      </c>
    </row>
    <row r="641" customFormat="false" ht="15" hidden="false" customHeight="false" outlineLevel="0" collapsed="false">
      <c r="A641" s="3" t="n">
        <v>640</v>
      </c>
      <c r="B641" s="3" t="n">
        <v>639</v>
      </c>
      <c r="C641" s="3" t="n">
        <v>3</v>
      </c>
      <c r="D641" s="3" t="n">
        <v>3</v>
      </c>
      <c r="E641" s="3" t="n">
        <v>9</v>
      </c>
      <c r="F641" s="24" t="n">
        <v>-9.5964222</v>
      </c>
    </row>
    <row r="642" customFormat="false" ht="15" hidden="false" customHeight="false" outlineLevel="0" collapsed="false">
      <c r="A642" s="3" t="n">
        <v>641</v>
      </c>
      <c r="B642" s="3" t="n">
        <v>640</v>
      </c>
      <c r="C642" s="3" t="n">
        <v>3</v>
      </c>
      <c r="D642" s="3" t="n">
        <v>3</v>
      </c>
      <c r="E642" s="3" t="n">
        <v>10</v>
      </c>
      <c r="F642" s="24" t="n">
        <v>-7.23569345</v>
      </c>
    </row>
    <row r="643" customFormat="false" ht="15" hidden="false" customHeight="false" outlineLevel="0" collapsed="false">
      <c r="A643" s="3" t="n">
        <v>642</v>
      </c>
      <c r="B643" s="3" t="n">
        <v>641</v>
      </c>
      <c r="C643" s="3" t="n">
        <v>3</v>
      </c>
      <c r="D643" s="3" t="n">
        <v>3</v>
      </c>
      <c r="E643" s="3" t="n">
        <v>11</v>
      </c>
      <c r="F643" s="24" t="n">
        <v>-1.11999893</v>
      </c>
    </row>
    <row r="644" customFormat="false" ht="15" hidden="false" customHeight="false" outlineLevel="0" collapsed="false">
      <c r="A644" s="3" t="n">
        <v>643</v>
      </c>
      <c r="B644" s="3" t="n">
        <v>642</v>
      </c>
      <c r="C644" s="3" t="n">
        <v>3</v>
      </c>
      <c r="D644" s="3" t="n">
        <v>3</v>
      </c>
      <c r="E644" s="3" t="n">
        <v>12</v>
      </c>
      <c r="F644" s="24" t="n">
        <v>0.209626421</v>
      </c>
    </row>
    <row r="645" customFormat="false" ht="15" hidden="false" customHeight="false" outlineLevel="0" collapsed="false">
      <c r="A645" s="3" t="n">
        <v>644</v>
      </c>
      <c r="B645" s="3" t="n">
        <v>643</v>
      </c>
      <c r="C645" s="3" t="n">
        <v>3</v>
      </c>
      <c r="D645" s="3" t="n">
        <v>3</v>
      </c>
      <c r="E645" s="3" t="n">
        <v>13</v>
      </c>
      <c r="F645" s="24" t="n">
        <v>-0.433492601</v>
      </c>
    </row>
    <row r="646" customFormat="false" ht="15" hidden="false" customHeight="false" outlineLevel="0" collapsed="false">
      <c r="A646" s="3" t="n">
        <v>645</v>
      </c>
      <c r="B646" s="3" t="n">
        <v>644</v>
      </c>
      <c r="C646" s="3" t="n">
        <v>3</v>
      </c>
      <c r="D646" s="3" t="n">
        <v>4</v>
      </c>
      <c r="E646" s="3" t="n">
        <v>0</v>
      </c>
      <c r="F646" s="24" t="n">
        <v>-0.365316004</v>
      </c>
    </row>
    <row r="647" customFormat="false" ht="15" hidden="false" customHeight="false" outlineLevel="0" collapsed="false">
      <c r="A647" s="3" t="n">
        <v>646</v>
      </c>
      <c r="B647" s="3" t="n">
        <v>645</v>
      </c>
      <c r="C647" s="3" t="n">
        <v>3</v>
      </c>
      <c r="D647" s="3" t="n">
        <v>4</v>
      </c>
      <c r="E647" s="3" t="n">
        <v>1</v>
      </c>
      <c r="F647" s="24" t="n">
        <v>0.662586689</v>
      </c>
    </row>
    <row r="648" customFormat="false" ht="15" hidden="false" customHeight="false" outlineLevel="0" collapsed="false">
      <c r="A648" s="3" t="n">
        <v>647</v>
      </c>
      <c r="B648" s="3" t="n">
        <v>646</v>
      </c>
      <c r="C648" s="3" t="n">
        <v>3</v>
      </c>
      <c r="D648" s="3" t="n">
        <v>4</v>
      </c>
      <c r="E648" s="3" t="n">
        <v>2</v>
      </c>
      <c r="F648" s="24" t="n">
        <v>3.54295993</v>
      </c>
    </row>
    <row r="649" customFormat="false" ht="15" hidden="false" customHeight="false" outlineLevel="0" collapsed="false">
      <c r="A649" s="3" t="n">
        <v>648</v>
      </c>
      <c r="B649" s="3" t="n">
        <v>647</v>
      </c>
      <c r="C649" s="3" t="n">
        <v>3</v>
      </c>
      <c r="D649" s="3" t="n">
        <v>4</v>
      </c>
      <c r="E649" s="3" t="n">
        <v>3</v>
      </c>
      <c r="F649" s="24" t="n">
        <v>6.11717987</v>
      </c>
    </row>
    <row r="650" customFormat="false" ht="15" hidden="false" customHeight="false" outlineLevel="0" collapsed="false">
      <c r="A650" s="3" t="n">
        <v>649</v>
      </c>
      <c r="B650" s="3" t="n">
        <v>648</v>
      </c>
      <c r="C650" s="3" t="n">
        <v>3</v>
      </c>
      <c r="D650" s="3" t="n">
        <v>4</v>
      </c>
      <c r="E650" s="3" t="n">
        <v>4</v>
      </c>
      <c r="F650" s="24" t="n">
        <v>7.88046694</v>
      </c>
    </row>
    <row r="651" customFormat="false" ht="15" hidden="false" customHeight="false" outlineLevel="0" collapsed="false">
      <c r="A651" s="3" t="n">
        <v>650</v>
      </c>
      <c r="B651" s="3" t="n">
        <v>649</v>
      </c>
      <c r="C651" s="3" t="n">
        <v>3</v>
      </c>
      <c r="D651" s="3" t="n">
        <v>4</v>
      </c>
      <c r="E651" s="3" t="n">
        <v>5</v>
      </c>
      <c r="F651" s="24" t="n">
        <v>5.30941153</v>
      </c>
    </row>
    <row r="652" customFormat="false" ht="15" hidden="false" customHeight="false" outlineLevel="0" collapsed="false">
      <c r="A652" s="3" t="n">
        <v>651</v>
      </c>
      <c r="B652" s="3" t="n">
        <v>650</v>
      </c>
      <c r="C652" s="3" t="n">
        <v>3</v>
      </c>
      <c r="D652" s="3" t="n">
        <v>4</v>
      </c>
      <c r="E652" s="3" t="n">
        <v>6</v>
      </c>
      <c r="F652" s="24" t="n">
        <v>3.2465868</v>
      </c>
    </row>
    <row r="653" customFormat="false" ht="15" hidden="false" customHeight="false" outlineLevel="0" collapsed="false">
      <c r="A653" s="3" t="n">
        <v>652</v>
      </c>
      <c r="B653" s="3" t="n">
        <v>651</v>
      </c>
      <c r="C653" s="3" t="n">
        <v>3</v>
      </c>
      <c r="D653" s="3" t="n">
        <v>4</v>
      </c>
      <c r="E653" s="3" t="n">
        <v>7</v>
      </c>
      <c r="F653" s="24" t="n">
        <v>2.53939557</v>
      </c>
    </row>
    <row r="654" customFormat="false" ht="15" hidden="false" customHeight="false" outlineLevel="0" collapsed="false">
      <c r="A654" s="3" t="n">
        <v>653</v>
      </c>
      <c r="B654" s="3" t="n">
        <v>652</v>
      </c>
      <c r="C654" s="3" t="n">
        <v>3</v>
      </c>
      <c r="D654" s="3" t="n">
        <v>4</v>
      </c>
      <c r="E654" s="3" t="n">
        <v>8</v>
      </c>
      <c r="F654" s="24" t="n">
        <v>3.09113455</v>
      </c>
    </row>
    <row r="655" customFormat="false" ht="15" hidden="false" customHeight="false" outlineLevel="0" collapsed="false">
      <c r="A655" s="3" t="n">
        <v>654</v>
      </c>
      <c r="B655" s="3" t="n">
        <v>653</v>
      </c>
      <c r="C655" s="3" t="n">
        <v>3</v>
      </c>
      <c r="D655" s="3" t="n">
        <v>4</v>
      </c>
      <c r="E655" s="3" t="n">
        <v>9</v>
      </c>
      <c r="F655" s="24" t="n">
        <v>-4.54369307</v>
      </c>
    </row>
    <row r="656" customFormat="false" ht="15" hidden="false" customHeight="false" outlineLevel="0" collapsed="false">
      <c r="A656" s="3" t="n">
        <v>655</v>
      </c>
      <c r="B656" s="3" t="n">
        <v>654</v>
      </c>
      <c r="C656" s="3" t="n">
        <v>3</v>
      </c>
      <c r="D656" s="3" t="n">
        <v>4</v>
      </c>
      <c r="E656" s="3" t="n">
        <v>10</v>
      </c>
      <c r="F656" s="24" t="n">
        <v>-8.70896435</v>
      </c>
    </row>
    <row r="657" customFormat="false" ht="15" hidden="false" customHeight="false" outlineLevel="0" collapsed="false">
      <c r="A657" s="3" t="n">
        <v>656</v>
      </c>
      <c r="B657" s="3" t="n">
        <v>655</v>
      </c>
      <c r="C657" s="3" t="n">
        <v>3</v>
      </c>
      <c r="D657" s="3" t="n">
        <v>4</v>
      </c>
      <c r="E657" s="3" t="n">
        <v>11</v>
      </c>
      <c r="F657" s="24" t="n">
        <v>-4.0627656</v>
      </c>
    </row>
    <row r="658" customFormat="false" ht="15" hidden="false" customHeight="false" outlineLevel="0" collapsed="false">
      <c r="A658" s="3" t="n">
        <v>657</v>
      </c>
      <c r="B658" s="3" t="n">
        <v>656</v>
      </c>
      <c r="C658" s="3" t="n">
        <v>3</v>
      </c>
      <c r="D658" s="3" t="n">
        <v>4</v>
      </c>
      <c r="E658" s="3" t="n">
        <v>12</v>
      </c>
      <c r="F658" s="24" t="n">
        <v>-0.477378726</v>
      </c>
    </row>
    <row r="659" customFormat="false" ht="15" hidden="false" customHeight="false" outlineLevel="0" collapsed="false">
      <c r="A659" s="3" t="n">
        <v>658</v>
      </c>
      <c r="B659" s="3" t="n">
        <v>657</v>
      </c>
      <c r="C659" s="3" t="n">
        <v>3</v>
      </c>
      <c r="D659" s="3" t="n">
        <v>4</v>
      </c>
      <c r="E659" s="3" t="n">
        <v>13</v>
      </c>
      <c r="F659" s="24" t="n">
        <v>-0.433492601</v>
      </c>
    </row>
    <row r="660" customFormat="false" ht="15" hidden="false" customHeight="false" outlineLevel="0" collapsed="false">
      <c r="A660" s="3" t="n">
        <v>659</v>
      </c>
      <c r="B660" s="3" t="n">
        <v>658</v>
      </c>
      <c r="C660" s="3" t="n">
        <v>3</v>
      </c>
      <c r="D660" s="3" t="n">
        <v>5</v>
      </c>
      <c r="E660" s="3" t="n">
        <v>0</v>
      </c>
      <c r="F660" s="24" t="n">
        <v>-0.365316004</v>
      </c>
    </row>
    <row r="661" customFormat="false" ht="15" hidden="false" customHeight="false" outlineLevel="0" collapsed="false">
      <c r="A661" s="3" t="n">
        <v>660</v>
      </c>
      <c r="B661" s="3" t="n">
        <v>659</v>
      </c>
      <c r="C661" s="3" t="n">
        <v>3</v>
      </c>
      <c r="D661" s="3" t="n">
        <v>5</v>
      </c>
      <c r="E661" s="3" t="n">
        <v>1</v>
      </c>
      <c r="F661" s="24" t="n">
        <v>-0.217501774</v>
      </c>
    </row>
    <row r="662" customFormat="false" ht="15" hidden="false" customHeight="false" outlineLevel="0" collapsed="false">
      <c r="A662" s="3" t="n">
        <v>661</v>
      </c>
      <c r="B662" s="3" t="n">
        <v>660</v>
      </c>
      <c r="C662" s="3" t="n">
        <v>3</v>
      </c>
      <c r="D662" s="3" t="n">
        <v>5</v>
      </c>
      <c r="E662" s="3" t="n">
        <v>2</v>
      </c>
      <c r="F662" s="24" t="n">
        <v>0.269670486</v>
      </c>
    </row>
    <row r="663" customFormat="false" ht="15" hidden="false" customHeight="false" outlineLevel="0" collapsed="false">
      <c r="A663" s="3" t="n">
        <v>662</v>
      </c>
      <c r="B663" s="3" t="n">
        <v>661</v>
      </c>
      <c r="C663" s="3" t="n">
        <v>3</v>
      </c>
      <c r="D663" s="3" t="n">
        <v>5</v>
      </c>
      <c r="E663" s="3" t="n">
        <v>3</v>
      </c>
      <c r="F663" s="24" t="n">
        <v>1.61052847</v>
      </c>
    </row>
    <row r="664" customFormat="false" ht="15" hidden="false" customHeight="false" outlineLevel="0" collapsed="false">
      <c r="A664" s="3" t="n">
        <v>663</v>
      </c>
      <c r="B664" s="3" t="n">
        <v>662</v>
      </c>
      <c r="C664" s="3" t="n">
        <v>3</v>
      </c>
      <c r="D664" s="3" t="n">
        <v>5</v>
      </c>
      <c r="E664" s="3" t="n">
        <v>4</v>
      </c>
      <c r="F664" s="24" t="n">
        <v>3.05307126</v>
      </c>
    </row>
    <row r="665" customFormat="false" ht="15" hidden="false" customHeight="false" outlineLevel="0" collapsed="false">
      <c r="A665" s="3" t="n">
        <v>664</v>
      </c>
      <c r="B665" s="3" t="n">
        <v>663</v>
      </c>
      <c r="C665" s="3" t="n">
        <v>3</v>
      </c>
      <c r="D665" s="3" t="n">
        <v>5</v>
      </c>
      <c r="E665" s="3" t="n">
        <v>5</v>
      </c>
      <c r="F665" s="24" t="n">
        <v>3.83667302</v>
      </c>
    </row>
    <row r="666" customFormat="false" ht="15" hidden="false" customHeight="false" outlineLevel="0" collapsed="false">
      <c r="A666" s="3" t="n">
        <v>665</v>
      </c>
      <c r="B666" s="3" t="n">
        <v>664</v>
      </c>
      <c r="C666" s="3" t="n">
        <v>3</v>
      </c>
      <c r="D666" s="3" t="n">
        <v>5</v>
      </c>
      <c r="E666" s="3" t="n">
        <v>6</v>
      </c>
      <c r="F666" s="24" t="n">
        <v>4.36483717</v>
      </c>
    </row>
    <row r="667" customFormat="false" ht="15" hidden="false" customHeight="false" outlineLevel="0" collapsed="false">
      <c r="A667" s="3" t="n">
        <v>666</v>
      </c>
      <c r="B667" s="3" t="n">
        <v>665</v>
      </c>
      <c r="C667" s="3" t="n">
        <v>3</v>
      </c>
      <c r="D667" s="3" t="n">
        <v>5</v>
      </c>
      <c r="E667" s="3" t="n">
        <v>7</v>
      </c>
      <c r="F667" s="24" t="n">
        <v>4.96549368</v>
      </c>
    </row>
    <row r="668" customFormat="false" ht="15" hidden="false" customHeight="false" outlineLevel="0" collapsed="false">
      <c r="A668" s="3" t="n">
        <v>667</v>
      </c>
      <c r="B668" s="3" t="n">
        <v>666</v>
      </c>
      <c r="C668" s="3" t="n">
        <v>3</v>
      </c>
      <c r="D668" s="3" t="n">
        <v>5</v>
      </c>
      <c r="E668" s="3" t="n">
        <v>8</v>
      </c>
      <c r="F668" s="24" t="n">
        <v>2.07936811</v>
      </c>
    </row>
    <row r="669" customFormat="false" ht="15" hidden="false" customHeight="false" outlineLevel="0" collapsed="false">
      <c r="A669" s="3" t="n">
        <v>668</v>
      </c>
      <c r="B669" s="3" t="n">
        <v>667</v>
      </c>
      <c r="C669" s="3" t="n">
        <v>3</v>
      </c>
      <c r="D669" s="3" t="n">
        <v>5</v>
      </c>
      <c r="E669" s="3" t="n">
        <v>9</v>
      </c>
      <c r="F669" s="24" t="n">
        <v>-0.941512346</v>
      </c>
    </row>
    <row r="670" customFormat="false" ht="15" hidden="false" customHeight="false" outlineLevel="0" collapsed="false">
      <c r="A670" s="3" t="n">
        <v>669</v>
      </c>
      <c r="B670" s="3" t="n">
        <v>668</v>
      </c>
      <c r="C670" s="3" t="n">
        <v>3</v>
      </c>
      <c r="D670" s="3" t="n">
        <v>5</v>
      </c>
      <c r="E670" s="3" t="n">
        <v>10</v>
      </c>
      <c r="F670" s="24" t="n">
        <v>-0.420808494</v>
      </c>
    </row>
    <row r="671" customFormat="false" ht="15" hidden="false" customHeight="false" outlineLevel="0" collapsed="false">
      <c r="A671" s="3" t="n">
        <v>670</v>
      </c>
      <c r="B671" s="3" t="n">
        <v>669</v>
      </c>
      <c r="C671" s="3" t="n">
        <v>3</v>
      </c>
      <c r="D671" s="3" t="n">
        <v>5</v>
      </c>
      <c r="E671" s="3" t="n">
        <v>11</v>
      </c>
      <c r="F671" s="24" t="n">
        <v>-0.649543107</v>
      </c>
    </row>
    <row r="672" customFormat="false" ht="15" hidden="false" customHeight="false" outlineLevel="0" collapsed="false">
      <c r="A672" s="3" t="n">
        <v>671</v>
      </c>
      <c r="B672" s="3" t="n">
        <v>670</v>
      </c>
      <c r="C672" s="3" t="n">
        <v>3</v>
      </c>
      <c r="D672" s="3" t="n">
        <v>5</v>
      </c>
      <c r="E672" s="3" t="n">
        <v>12</v>
      </c>
      <c r="F672" s="24" t="n">
        <v>-0.332668602</v>
      </c>
    </row>
    <row r="673" customFormat="false" ht="15" hidden="false" customHeight="false" outlineLevel="0" collapsed="false">
      <c r="A673" s="3" t="n">
        <v>672</v>
      </c>
      <c r="B673" s="3" t="n">
        <v>671</v>
      </c>
      <c r="C673" s="3" t="n">
        <v>3</v>
      </c>
      <c r="D673" s="3" t="n">
        <v>5</v>
      </c>
      <c r="E673" s="3" t="n">
        <v>13</v>
      </c>
      <c r="F673" s="24" t="n">
        <v>-0.433492601</v>
      </c>
    </row>
    <row r="674" customFormat="false" ht="15" hidden="false" customHeight="false" outlineLevel="0" collapsed="false">
      <c r="A674" s="3" t="n">
        <v>673</v>
      </c>
      <c r="B674" s="3" t="n">
        <v>672</v>
      </c>
      <c r="C674" s="3" t="n">
        <v>3</v>
      </c>
      <c r="D674" s="3" t="n">
        <v>6</v>
      </c>
      <c r="E674" s="3" t="n">
        <v>0</v>
      </c>
      <c r="F674" s="24" t="n">
        <v>-0.365316004</v>
      </c>
    </row>
    <row r="675" customFormat="false" ht="15" hidden="false" customHeight="false" outlineLevel="0" collapsed="false">
      <c r="A675" s="3" t="n">
        <v>674</v>
      </c>
      <c r="B675" s="3" t="n">
        <v>673</v>
      </c>
      <c r="C675" s="3" t="n">
        <v>3</v>
      </c>
      <c r="D675" s="3" t="n">
        <v>6</v>
      </c>
      <c r="E675" s="3" t="n">
        <v>1</v>
      </c>
      <c r="F675" s="24" t="n">
        <v>-0.469273746</v>
      </c>
    </row>
    <row r="676" customFormat="false" ht="15" hidden="false" customHeight="false" outlineLevel="0" collapsed="false">
      <c r="A676" s="3" t="n">
        <v>675</v>
      </c>
      <c r="B676" s="3" t="n">
        <v>674</v>
      </c>
      <c r="C676" s="3" t="n">
        <v>3</v>
      </c>
      <c r="D676" s="3" t="n">
        <v>6</v>
      </c>
      <c r="E676" s="3" t="n">
        <v>2</v>
      </c>
      <c r="F676" s="24" t="n">
        <v>-0.613265336</v>
      </c>
    </row>
    <row r="677" customFormat="false" ht="15" hidden="false" customHeight="false" outlineLevel="0" collapsed="false">
      <c r="A677" s="3" t="n">
        <v>676</v>
      </c>
      <c r="B677" s="3" t="n">
        <v>675</v>
      </c>
      <c r="C677" s="3" t="n">
        <v>3</v>
      </c>
      <c r="D677" s="3" t="n">
        <v>6</v>
      </c>
      <c r="E677" s="3" t="n">
        <v>3</v>
      </c>
      <c r="F677" s="24" t="n">
        <v>-0.352693319</v>
      </c>
    </row>
    <row r="678" customFormat="false" ht="15" hidden="false" customHeight="false" outlineLevel="0" collapsed="false">
      <c r="A678" s="3" t="n">
        <v>677</v>
      </c>
      <c r="B678" s="3" t="n">
        <v>676</v>
      </c>
      <c r="C678" s="3" t="n">
        <v>3</v>
      </c>
      <c r="D678" s="3" t="n">
        <v>6</v>
      </c>
      <c r="E678" s="3" t="n">
        <v>4</v>
      </c>
      <c r="F678" s="24" t="n">
        <v>-0.0413594097</v>
      </c>
    </row>
    <row r="679" customFormat="false" ht="15" hidden="false" customHeight="false" outlineLevel="0" collapsed="false">
      <c r="A679" s="3" t="n">
        <v>678</v>
      </c>
      <c r="B679" s="3" t="n">
        <v>677</v>
      </c>
      <c r="C679" s="3" t="n">
        <v>3</v>
      </c>
      <c r="D679" s="3" t="n">
        <v>6</v>
      </c>
      <c r="E679" s="3" t="n">
        <v>5</v>
      </c>
      <c r="F679" s="24" t="n">
        <v>0.303750217</v>
      </c>
    </row>
    <row r="680" customFormat="false" ht="15" hidden="false" customHeight="false" outlineLevel="0" collapsed="false">
      <c r="A680" s="3" t="n">
        <v>679</v>
      </c>
      <c r="B680" s="3" t="n">
        <v>678</v>
      </c>
      <c r="C680" s="3" t="n">
        <v>3</v>
      </c>
      <c r="D680" s="3" t="n">
        <v>6</v>
      </c>
      <c r="E680" s="3" t="n">
        <v>6</v>
      </c>
      <c r="F680" s="24" t="n">
        <v>1.29023111</v>
      </c>
    </row>
    <row r="681" customFormat="false" ht="15" hidden="false" customHeight="false" outlineLevel="0" collapsed="false">
      <c r="A681" s="3" t="n">
        <v>680</v>
      </c>
      <c r="B681" s="3" t="n">
        <v>679</v>
      </c>
      <c r="C681" s="3" t="n">
        <v>3</v>
      </c>
      <c r="D681" s="3" t="n">
        <v>6</v>
      </c>
      <c r="E681" s="3" t="n">
        <v>7</v>
      </c>
      <c r="F681" s="24" t="n">
        <v>2.89165044</v>
      </c>
    </row>
    <row r="682" customFormat="false" ht="15" hidden="false" customHeight="false" outlineLevel="0" collapsed="false">
      <c r="A682" s="3" t="n">
        <v>681</v>
      </c>
      <c r="B682" s="3" t="n">
        <v>680</v>
      </c>
      <c r="C682" s="3" t="n">
        <v>3</v>
      </c>
      <c r="D682" s="3" t="n">
        <v>6</v>
      </c>
      <c r="E682" s="3" t="n">
        <v>8</v>
      </c>
      <c r="F682" s="24" t="n">
        <v>-0.34761259</v>
      </c>
    </row>
    <row r="683" customFormat="false" ht="15" hidden="false" customHeight="false" outlineLevel="0" collapsed="false">
      <c r="A683" s="3" t="n">
        <v>682</v>
      </c>
      <c r="B683" s="3" t="n">
        <v>681</v>
      </c>
      <c r="C683" s="3" t="n">
        <v>3</v>
      </c>
      <c r="D683" s="3" t="n">
        <v>6</v>
      </c>
      <c r="E683" s="3" t="n">
        <v>9</v>
      </c>
      <c r="F683" s="24" t="n">
        <v>-1.44139564</v>
      </c>
    </row>
    <row r="684" customFormat="false" ht="15" hidden="false" customHeight="false" outlineLevel="0" collapsed="false">
      <c r="A684" s="3" t="n">
        <v>683</v>
      </c>
      <c r="B684" s="3" t="n">
        <v>682</v>
      </c>
      <c r="C684" s="3" t="n">
        <v>3</v>
      </c>
      <c r="D684" s="3" t="n">
        <v>6</v>
      </c>
      <c r="E684" s="3" t="n">
        <v>10</v>
      </c>
      <c r="F684" s="24" t="n">
        <v>-0.62430805</v>
      </c>
    </row>
    <row r="685" customFormat="false" ht="15" hidden="false" customHeight="false" outlineLevel="0" collapsed="false">
      <c r="A685" s="3" t="n">
        <v>684</v>
      </c>
      <c r="B685" s="3" t="n">
        <v>683</v>
      </c>
      <c r="C685" s="3" t="n">
        <v>3</v>
      </c>
      <c r="D685" s="3" t="n">
        <v>6</v>
      </c>
      <c r="E685" s="3" t="n">
        <v>11</v>
      </c>
      <c r="F685" s="24" t="n">
        <v>-0.584052265</v>
      </c>
    </row>
    <row r="686" customFormat="false" ht="15" hidden="false" customHeight="false" outlineLevel="0" collapsed="false">
      <c r="A686" s="3" t="n">
        <v>685</v>
      </c>
      <c r="B686" s="3" t="n">
        <v>684</v>
      </c>
      <c r="C686" s="3" t="n">
        <v>3</v>
      </c>
      <c r="D686" s="3" t="n">
        <v>6</v>
      </c>
      <c r="E686" s="3" t="n">
        <v>12</v>
      </c>
      <c r="F686" s="24" t="n">
        <v>0.194474474</v>
      </c>
    </row>
    <row r="687" customFormat="false" ht="15" hidden="false" customHeight="false" outlineLevel="0" collapsed="false">
      <c r="A687" s="3" t="n">
        <v>686</v>
      </c>
      <c r="B687" s="3" t="n">
        <v>685</v>
      </c>
      <c r="C687" s="3" t="n">
        <v>3</v>
      </c>
      <c r="D687" s="3" t="n">
        <v>6</v>
      </c>
      <c r="E687" s="3" t="n">
        <v>13</v>
      </c>
      <c r="F687" s="24" t="n">
        <v>-0.433492601</v>
      </c>
    </row>
    <row r="688" customFormat="false" ht="15" hidden="false" customHeight="false" outlineLevel="0" collapsed="false">
      <c r="A688" s="3" t="n">
        <v>687</v>
      </c>
      <c r="B688" s="3" t="n">
        <v>686</v>
      </c>
      <c r="C688" s="3" t="n">
        <v>3</v>
      </c>
      <c r="D688" s="3" t="n">
        <v>7</v>
      </c>
      <c r="E688" s="3" t="n">
        <v>0</v>
      </c>
      <c r="F688" s="24" t="n">
        <v>-0.365316004</v>
      </c>
    </row>
    <row r="689" customFormat="false" ht="15" hidden="false" customHeight="false" outlineLevel="0" collapsed="false">
      <c r="A689" s="3" t="n">
        <v>688</v>
      </c>
      <c r="B689" s="3" t="n">
        <v>687</v>
      </c>
      <c r="C689" s="3" t="n">
        <v>3</v>
      </c>
      <c r="D689" s="3" t="n">
        <v>7</v>
      </c>
      <c r="E689" s="3" t="n">
        <v>1</v>
      </c>
      <c r="F689" s="24" t="n">
        <v>-0.438659251</v>
      </c>
    </row>
    <row r="690" customFormat="false" ht="15" hidden="false" customHeight="false" outlineLevel="0" collapsed="false">
      <c r="A690" s="3" t="n">
        <v>689</v>
      </c>
      <c r="B690" s="3" t="n">
        <v>688</v>
      </c>
      <c r="C690" s="3" t="n">
        <v>3</v>
      </c>
      <c r="D690" s="3" t="n">
        <v>7</v>
      </c>
      <c r="E690" s="3" t="n">
        <v>2</v>
      </c>
      <c r="F690" s="24" t="n">
        <v>-0.514969647</v>
      </c>
    </row>
    <row r="691" customFormat="false" ht="15" hidden="false" customHeight="false" outlineLevel="0" collapsed="false">
      <c r="A691" s="3" t="n">
        <v>690</v>
      </c>
      <c r="B691" s="3" t="n">
        <v>689</v>
      </c>
      <c r="C691" s="3" t="n">
        <v>3</v>
      </c>
      <c r="D691" s="3" t="n">
        <v>7</v>
      </c>
      <c r="E691" s="3" t="n">
        <v>3</v>
      </c>
      <c r="F691" s="24" t="n">
        <v>-0.514969647</v>
      </c>
    </row>
    <row r="692" customFormat="false" ht="15" hidden="false" customHeight="false" outlineLevel="0" collapsed="false">
      <c r="A692" s="3" t="n">
        <v>691</v>
      </c>
      <c r="B692" s="3" t="n">
        <v>690</v>
      </c>
      <c r="C692" s="3" t="n">
        <v>3</v>
      </c>
      <c r="D692" s="3" t="n">
        <v>7</v>
      </c>
      <c r="E692" s="3" t="n">
        <v>4</v>
      </c>
      <c r="F692" s="24" t="n">
        <v>-0.514969647</v>
      </c>
    </row>
    <row r="693" customFormat="false" ht="15" hidden="false" customHeight="false" outlineLevel="0" collapsed="false">
      <c r="A693" s="3" t="n">
        <v>692</v>
      </c>
      <c r="B693" s="3" t="n">
        <v>691</v>
      </c>
      <c r="C693" s="3" t="n">
        <v>3</v>
      </c>
      <c r="D693" s="3" t="n">
        <v>7</v>
      </c>
      <c r="E693" s="3" t="n">
        <v>5</v>
      </c>
      <c r="F693" s="24" t="n">
        <v>-0.520897388</v>
      </c>
    </row>
    <row r="694" customFormat="false" ht="15" hidden="false" customHeight="false" outlineLevel="0" collapsed="false">
      <c r="A694" s="3" t="n">
        <v>693</v>
      </c>
      <c r="B694" s="3" t="n">
        <v>692</v>
      </c>
      <c r="C694" s="3" t="n">
        <v>3</v>
      </c>
      <c r="D694" s="3" t="n">
        <v>7</v>
      </c>
      <c r="E694" s="3" t="n">
        <v>6</v>
      </c>
      <c r="F694" s="24" t="n">
        <v>1.02028692</v>
      </c>
    </row>
    <row r="695" customFormat="false" ht="15" hidden="false" customHeight="false" outlineLevel="0" collapsed="false">
      <c r="A695" s="3" t="n">
        <v>694</v>
      </c>
      <c r="B695" s="3" t="n">
        <v>693</v>
      </c>
      <c r="C695" s="3" t="n">
        <v>3</v>
      </c>
      <c r="D695" s="3" t="n">
        <v>7</v>
      </c>
      <c r="E695" s="3" t="n">
        <v>7</v>
      </c>
      <c r="F695" s="24" t="n">
        <v>0.313953578</v>
      </c>
    </row>
    <row r="696" customFormat="false" ht="15" hidden="false" customHeight="false" outlineLevel="0" collapsed="false">
      <c r="A696" s="3" t="n">
        <v>695</v>
      </c>
      <c r="B696" s="3" t="n">
        <v>694</v>
      </c>
      <c r="C696" s="3" t="n">
        <v>3</v>
      </c>
      <c r="D696" s="3" t="n">
        <v>7</v>
      </c>
      <c r="E696" s="3" t="n">
        <v>8</v>
      </c>
      <c r="F696" s="24" t="n">
        <v>-1.84943414</v>
      </c>
    </row>
    <row r="697" customFormat="false" ht="15" hidden="false" customHeight="false" outlineLevel="0" collapsed="false">
      <c r="A697" s="3" t="n">
        <v>696</v>
      </c>
      <c r="B697" s="3" t="n">
        <v>695</v>
      </c>
      <c r="C697" s="3" t="n">
        <v>3</v>
      </c>
      <c r="D697" s="3" t="n">
        <v>7</v>
      </c>
      <c r="E697" s="3" t="n">
        <v>9</v>
      </c>
      <c r="F697" s="24" t="n">
        <v>0.0611427873</v>
      </c>
    </row>
    <row r="698" customFormat="false" ht="15" hidden="false" customHeight="false" outlineLevel="0" collapsed="false">
      <c r="A698" s="3" t="n">
        <v>697</v>
      </c>
      <c r="B698" s="3" t="n">
        <v>696</v>
      </c>
      <c r="C698" s="3" t="n">
        <v>3</v>
      </c>
      <c r="D698" s="3" t="n">
        <v>7</v>
      </c>
      <c r="E698" s="3" t="n">
        <v>10</v>
      </c>
      <c r="F698" s="24" t="n">
        <v>0.43501848</v>
      </c>
    </row>
    <row r="699" customFormat="false" ht="15" hidden="false" customHeight="false" outlineLevel="0" collapsed="false">
      <c r="A699" s="3" t="n">
        <v>698</v>
      </c>
      <c r="B699" s="3" t="n">
        <v>697</v>
      </c>
      <c r="C699" s="3" t="n">
        <v>3</v>
      </c>
      <c r="D699" s="3" t="n">
        <v>7</v>
      </c>
      <c r="E699" s="3" t="n">
        <v>11</v>
      </c>
      <c r="F699" s="24" t="n">
        <v>-0.131059542</v>
      </c>
    </row>
    <row r="700" customFormat="false" ht="15" hidden="false" customHeight="false" outlineLevel="0" collapsed="false">
      <c r="A700" s="3" t="n">
        <v>699</v>
      </c>
      <c r="B700" s="3" t="n">
        <v>698</v>
      </c>
      <c r="C700" s="3" t="n">
        <v>3</v>
      </c>
      <c r="D700" s="3" t="n">
        <v>7</v>
      </c>
      <c r="E700" s="3" t="n">
        <v>12</v>
      </c>
      <c r="F700" s="24" t="n">
        <v>-0.210191607</v>
      </c>
    </row>
    <row r="701" customFormat="false" ht="15" hidden="false" customHeight="false" outlineLevel="0" collapsed="false">
      <c r="A701" s="3" t="n">
        <v>700</v>
      </c>
      <c r="B701" s="3" t="n">
        <v>699</v>
      </c>
      <c r="C701" s="3" t="n">
        <v>3</v>
      </c>
      <c r="D701" s="3" t="n">
        <v>7</v>
      </c>
      <c r="E701" s="3" t="n">
        <v>13</v>
      </c>
      <c r="F701" s="24" t="n">
        <v>-0.433492601</v>
      </c>
    </row>
    <row r="702" customFormat="false" ht="15" hidden="false" customHeight="false" outlineLevel="0" collapsed="false">
      <c r="A702" s="3" t="n">
        <v>701</v>
      </c>
      <c r="B702" s="3" t="n">
        <v>700</v>
      </c>
      <c r="C702" s="3" t="n">
        <v>3</v>
      </c>
      <c r="D702" s="3" t="n">
        <v>8</v>
      </c>
      <c r="E702" s="3" t="n">
        <v>0</v>
      </c>
      <c r="F702" s="24" t="n">
        <v>-0.365316004</v>
      </c>
    </row>
    <row r="703" customFormat="false" ht="15" hidden="false" customHeight="false" outlineLevel="0" collapsed="false">
      <c r="A703" s="3" t="n">
        <v>702</v>
      </c>
      <c r="B703" s="3" t="n">
        <v>701</v>
      </c>
      <c r="C703" s="3" t="n">
        <v>3</v>
      </c>
      <c r="D703" s="3" t="n">
        <v>8</v>
      </c>
      <c r="E703" s="3" t="n">
        <v>1</v>
      </c>
      <c r="F703" s="24" t="n">
        <v>-0.438659251</v>
      </c>
    </row>
    <row r="704" customFormat="false" ht="15" hidden="false" customHeight="false" outlineLevel="0" collapsed="false">
      <c r="A704" s="3" t="n">
        <v>703</v>
      </c>
      <c r="B704" s="3" t="n">
        <v>702</v>
      </c>
      <c r="C704" s="3" t="n">
        <v>3</v>
      </c>
      <c r="D704" s="3" t="n">
        <v>8</v>
      </c>
      <c r="E704" s="3" t="n">
        <v>2</v>
      </c>
      <c r="F704" s="24" t="n">
        <v>-0.514969647</v>
      </c>
    </row>
    <row r="705" customFormat="false" ht="15" hidden="false" customHeight="false" outlineLevel="0" collapsed="false">
      <c r="A705" s="3" t="n">
        <v>704</v>
      </c>
      <c r="B705" s="3" t="n">
        <v>703</v>
      </c>
      <c r="C705" s="3" t="n">
        <v>3</v>
      </c>
      <c r="D705" s="3" t="n">
        <v>8</v>
      </c>
      <c r="E705" s="3" t="n">
        <v>3</v>
      </c>
      <c r="F705" s="24" t="n">
        <v>-0.514969647</v>
      </c>
    </row>
    <row r="706" customFormat="false" ht="15" hidden="false" customHeight="false" outlineLevel="0" collapsed="false">
      <c r="A706" s="3" t="n">
        <v>705</v>
      </c>
      <c r="B706" s="3" t="n">
        <v>704</v>
      </c>
      <c r="C706" s="3" t="n">
        <v>3</v>
      </c>
      <c r="D706" s="3" t="n">
        <v>8</v>
      </c>
      <c r="E706" s="3" t="n">
        <v>4</v>
      </c>
      <c r="F706" s="24" t="n">
        <v>-0.511268854</v>
      </c>
    </row>
    <row r="707" customFormat="false" ht="15" hidden="false" customHeight="false" outlineLevel="0" collapsed="false">
      <c r="A707" s="3" t="n">
        <v>706</v>
      </c>
      <c r="B707" s="3" t="n">
        <v>705</v>
      </c>
      <c r="C707" s="3" t="n">
        <v>3</v>
      </c>
      <c r="D707" s="3" t="n">
        <v>8</v>
      </c>
      <c r="E707" s="3" t="n">
        <v>5</v>
      </c>
      <c r="F707" s="24" t="n">
        <v>0.152183697</v>
      </c>
    </row>
    <row r="708" customFormat="false" ht="15" hidden="false" customHeight="false" outlineLevel="0" collapsed="false">
      <c r="A708" s="3" t="n">
        <v>707</v>
      </c>
      <c r="B708" s="3" t="n">
        <v>706</v>
      </c>
      <c r="C708" s="3" t="n">
        <v>3</v>
      </c>
      <c r="D708" s="3" t="n">
        <v>8</v>
      </c>
      <c r="E708" s="3" t="n">
        <v>6</v>
      </c>
      <c r="F708" s="24" t="n">
        <v>-0.939121425</v>
      </c>
    </row>
    <row r="709" customFormat="false" ht="15" hidden="false" customHeight="false" outlineLevel="0" collapsed="false">
      <c r="A709" s="3" t="n">
        <v>708</v>
      </c>
      <c r="B709" s="3" t="n">
        <v>707</v>
      </c>
      <c r="C709" s="3" t="n">
        <v>3</v>
      </c>
      <c r="D709" s="3" t="n">
        <v>8</v>
      </c>
      <c r="E709" s="3" t="n">
        <v>7</v>
      </c>
      <c r="F709" s="24" t="n">
        <v>-2.67499208</v>
      </c>
    </row>
    <row r="710" customFormat="false" ht="15" hidden="false" customHeight="false" outlineLevel="0" collapsed="false">
      <c r="A710" s="3" t="n">
        <v>709</v>
      </c>
      <c r="B710" s="3" t="n">
        <v>708</v>
      </c>
      <c r="C710" s="3" t="n">
        <v>3</v>
      </c>
      <c r="D710" s="3" t="n">
        <v>8</v>
      </c>
      <c r="E710" s="3" t="n">
        <v>8</v>
      </c>
      <c r="F710" s="24" t="n">
        <v>-1.72996426</v>
      </c>
    </row>
    <row r="711" customFormat="false" ht="15" hidden="false" customHeight="false" outlineLevel="0" collapsed="false">
      <c r="A711" s="3" t="n">
        <v>710</v>
      </c>
      <c r="B711" s="3" t="n">
        <v>709</v>
      </c>
      <c r="C711" s="3" t="n">
        <v>3</v>
      </c>
      <c r="D711" s="3" t="n">
        <v>8</v>
      </c>
      <c r="E711" s="3" t="n">
        <v>9</v>
      </c>
      <c r="F711" s="24" t="n">
        <v>-0.366244823</v>
      </c>
    </row>
    <row r="712" customFormat="false" ht="15" hidden="false" customHeight="false" outlineLevel="0" collapsed="false">
      <c r="A712" s="3" t="n">
        <v>711</v>
      </c>
      <c r="B712" s="3" t="n">
        <v>710</v>
      </c>
      <c r="C712" s="3" t="n">
        <v>3</v>
      </c>
      <c r="D712" s="3" t="n">
        <v>8</v>
      </c>
      <c r="E712" s="3" t="n">
        <v>10</v>
      </c>
      <c r="F712" s="24" t="n">
        <v>0.0477315038</v>
      </c>
    </row>
    <row r="713" customFormat="false" ht="15" hidden="false" customHeight="false" outlineLevel="0" collapsed="false">
      <c r="A713" s="3" t="n">
        <v>712</v>
      </c>
      <c r="B713" s="3" t="n">
        <v>711</v>
      </c>
      <c r="C713" s="3" t="n">
        <v>3</v>
      </c>
      <c r="D713" s="3" t="n">
        <v>8</v>
      </c>
      <c r="E713" s="3" t="n">
        <v>11</v>
      </c>
      <c r="F713" s="24" t="n">
        <v>0.0138948113</v>
      </c>
    </row>
    <row r="714" customFormat="false" ht="15" hidden="false" customHeight="false" outlineLevel="0" collapsed="false">
      <c r="A714" s="3" t="n">
        <v>713</v>
      </c>
      <c r="B714" s="3" t="n">
        <v>712</v>
      </c>
      <c r="C714" s="3" t="n">
        <v>3</v>
      </c>
      <c r="D714" s="3" t="n">
        <v>8</v>
      </c>
      <c r="E714" s="3" t="n">
        <v>12</v>
      </c>
      <c r="F714" s="24" t="n">
        <v>-0.216965377</v>
      </c>
    </row>
    <row r="715" customFormat="false" ht="15" hidden="false" customHeight="false" outlineLevel="0" collapsed="false">
      <c r="A715" s="3" t="n">
        <v>714</v>
      </c>
      <c r="B715" s="3" t="n">
        <v>713</v>
      </c>
      <c r="C715" s="3" t="n">
        <v>3</v>
      </c>
      <c r="D715" s="3" t="n">
        <v>8</v>
      </c>
      <c r="E715" s="3" t="n">
        <v>13</v>
      </c>
      <c r="F715" s="24" t="n">
        <v>-0.433492601</v>
      </c>
    </row>
    <row r="716" customFormat="false" ht="15" hidden="false" customHeight="false" outlineLevel="0" collapsed="false">
      <c r="A716" s="3" t="n">
        <v>715</v>
      </c>
      <c r="B716" s="3" t="n">
        <v>714</v>
      </c>
      <c r="C716" s="3" t="n">
        <v>3</v>
      </c>
      <c r="D716" s="3" t="n">
        <v>9</v>
      </c>
      <c r="E716" s="3" t="n">
        <v>0</v>
      </c>
      <c r="F716" s="24" t="n">
        <v>-0.365316004</v>
      </c>
    </row>
    <row r="717" customFormat="false" ht="15" hidden="false" customHeight="false" outlineLevel="0" collapsed="false">
      <c r="A717" s="3" t="n">
        <v>716</v>
      </c>
      <c r="B717" s="3" t="n">
        <v>715</v>
      </c>
      <c r="C717" s="3" t="n">
        <v>3</v>
      </c>
      <c r="D717" s="3" t="n">
        <v>9</v>
      </c>
      <c r="E717" s="3" t="n">
        <v>1</v>
      </c>
      <c r="F717" s="24" t="n">
        <v>-0.438659251</v>
      </c>
    </row>
    <row r="718" customFormat="false" ht="15" hidden="false" customHeight="false" outlineLevel="0" collapsed="false">
      <c r="A718" s="3" t="n">
        <v>717</v>
      </c>
      <c r="B718" s="3" t="n">
        <v>716</v>
      </c>
      <c r="C718" s="3" t="n">
        <v>3</v>
      </c>
      <c r="D718" s="3" t="n">
        <v>9</v>
      </c>
      <c r="E718" s="3" t="n">
        <v>2</v>
      </c>
      <c r="F718" s="24" t="n">
        <v>-0.514969647</v>
      </c>
    </row>
    <row r="719" customFormat="false" ht="15" hidden="false" customHeight="false" outlineLevel="0" collapsed="false">
      <c r="A719" s="3" t="n">
        <v>718</v>
      </c>
      <c r="B719" s="3" t="n">
        <v>717</v>
      </c>
      <c r="C719" s="3" t="n">
        <v>3</v>
      </c>
      <c r="D719" s="3" t="n">
        <v>9</v>
      </c>
      <c r="E719" s="3" t="n">
        <v>3</v>
      </c>
      <c r="F719" s="24" t="n">
        <v>-0.514969647</v>
      </c>
    </row>
    <row r="720" customFormat="false" ht="15" hidden="false" customHeight="false" outlineLevel="0" collapsed="false">
      <c r="A720" s="3" t="n">
        <v>719</v>
      </c>
      <c r="B720" s="3" t="n">
        <v>718</v>
      </c>
      <c r="C720" s="3" t="n">
        <v>3</v>
      </c>
      <c r="D720" s="3" t="n">
        <v>9</v>
      </c>
      <c r="E720" s="3" t="n">
        <v>4</v>
      </c>
      <c r="F720" s="24" t="n">
        <v>-0.635077536</v>
      </c>
    </row>
    <row r="721" customFormat="false" ht="15" hidden="false" customHeight="false" outlineLevel="0" collapsed="false">
      <c r="A721" s="3" t="n">
        <v>720</v>
      </c>
      <c r="B721" s="3" t="n">
        <v>719</v>
      </c>
      <c r="C721" s="3" t="n">
        <v>3</v>
      </c>
      <c r="D721" s="3" t="n">
        <v>9</v>
      </c>
      <c r="E721" s="3" t="n">
        <v>5</v>
      </c>
      <c r="F721" s="24" t="n">
        <v>1.3709141</v>
      </c>
    </row>
    <row r="722" customFormat="false" ht="15" hidden="false" customHeight="false" outlineLevel="0" collapsed="false">
      <c r="A722" s="3" t="n">
        <v>721</v>
      </c>
      <c r="B722" s="3" t="n">
        <v>720</v>
      </c>
      <c r="C722" s="3" t="n">
        <v>3</v>
      </c>
      <c r="D722" s="3" t="n">
        <v>9</v>
      </c>
      <c r="E722" s="3" t="n">
        <v>6</v>
      </c>
      <c r="F722" s="24" t="n">
        <v>-2.48521948</v>
      </c>
    </row>
    <row r="723" customFormat="false" ht="15" hidden="false" customHeight="false" outlineLevel="0" collapsed="false">
      <c r="A723" s="3" t="n">
        <v>722</v>
      </c>
      <c r="B723" s="3" t="n">
        <v>721</v>
      </c>
      <c r="C723" s="3" t="n">
        <v>3</v>
      </c>
      <c r="D723" s="3" t="n">
        <v>9</v>
      </c>
      <c r="E723" s="3" t="n">
        <v>7</v>
      </c>
      <c r="F723" s="24" t="n">
        <v>-3.31120706</v>
      </c>
    </row>
    <row r="724" customFormat="false" ht="15" hidden="false" customHeight="false" outlineLevel="0" collapsed="false">
      <c r="A724" s="3" t="n">
        <v>723</v>
      </c>
      <c r="B724" s="3" t="n">
        <v>722</v>
      </c>
      <c r="C724" s="3" t="n">
        <v>3</v>
      </c>
      <c r="D724" s="3" t="n">
        <v>9</v>
      </c>
      <c r="E724" s="3" t="n">
        <v>8</v>
      </c>
      <c r="F724" s="24" t="n">
        <v>-0.0967848748</v>
      </c>
    </row>
    <row r="725" customFormat="false" ht="15" hidden="false" customHeight="false" outlineLevel="0" collapsed="false">
      <c r="A725" s="3" t="n">
        <v>724</v>
      </c>
      <c r="B725" s="3" t="n">
        <v>723</v>
      </c>
      <c r="C725" s="3" t="n">
        <v>3</v>
      </c>
      <c r="D725" s="3" t="n">
        <v>9</v>
      </c>
      <c r="E725" s="3" t="n">
        <v>9</v>
      </c>
      <c r="F725" s="24" t="n">
        <v>0.417253554</v>
      </c>
    </row>
    <row r="726" customFormat="false" ht="15" hidden="false" customHeight="false" outlineLevel="0" collapsed="false">
      <c r="A726" s="3" t="n">
        <v>725</v>
      </c>
      <c r="B726" s="3" t="n">
        <v>724</v>
      </c>
      <c r="C726" s="3" t="n">
        <v>3</v>
      </c>
      <c r="D726" s="3" t="n">
        <v>9</v>
      </c>
      <c r="E726" s="3" t="n">
        <v>10</v>
      </c>
      <c r="F726" s="24" t="n">
        <v>-0.0313836634</v>
      </c>
    </row>
    <row r="727" customFormat="false" ht="15" hidden="false" customHeight="false" outlineLevel="0" collapsed="false">
      <c r="A727" s="3" t="n">
        <v>726</v>
      </c>
      <c r="B727" s="3" t="n">
        <v>725</v>
      </c>
      <c r="C727" s="3" t="n">
        <v>3</v>
      </c>
      <c r="D727" s="3" t="n">
        <v>9</v>
      </c>
      <c r="E727" s="3" t="n">
        <v>11</v>
      </c>
      <c r="F727" s="24" t="n">
        <v>-0.513392746</v>
      </c>
    </row>
    <row r="728" customFormat="false" ht="15" hidden="false" customHeight="false" outlineLevel="0" collapsed="false">
      <c r="A728" s="3" t="n">
        <v>727</v>
      </c>
      <c r="B728" s="3" t="n">
        <v>726</v>
      </c>
      <c r="C728" s="3" t="n">
        <v>3</v>
      </c>
      <c r="D728" s="3" t="n">
        <v>9</v>
      </c>
      <c r="E728" s="3" t="n">
        <v>12</v>
      </c>
      <c r="F728" s="24" t="n">
        <v>-0.216965377</v>
      </c>
    </row>
    <row r="729" customFormat="false" ht="15" hidden="false" customHeight="false" outlineLevel="0" collapsed="false">
      <c r="A729" s="3" t="n">
        <v>728</v>
      </c>
      <c r="B729" s="3" t="n">
        <v>727</v>
      </c>
      <c r="C729" s="3" t="n">
        <v>3</v>
      </c>
      <c r="D729" s="3" t="n">
        <v>9</v>
      </c>
      <c r="E729" s="3" t="n">
        <v>13</v>
      </c>
      <c r="F729" s="24" t="n">
        <v>-0.433492601</v>
      </c>
    </row>
    <row r="730" customFormat="false" ht="15" hidden="false" customHeight="false" outlineLevel="0" collapsed="false">
      <c r="A730" s="3" t="n">
        <v>729</v>
      </c>
      <c r="B730" s="3" t="n">
        <v>728</v>
      </c>
      <c r="C730" s="3" t="n">
        <v>3</v>
      </c>
      <c r="D730" s="3" t="n">
        <v>10</v>
      </c>
      <c r="E730" s="3" t="n">
        <v>0</v>
      </c>
      <c r="F730" s="24" t="n">
        <v>-0.365316004</v>
      </c>
    </row>
    <row r="731" customFormat="false" ht="15" hidden="false" customHeight="false" outlineLevel="0" collapsed="false">
      <c r="A731" s="3" t="n">
        <v>730</v>
      </c>
      <c r="B731" s="3" t="n">
        <v>729</v>
      </c>
      <c r="C731" s="3" t="n">
        <v>3</v>
      </c>
      <c r="D731" s="3" t="n">
        <v>10</v>
      </c>
      <c r="E731" s="3" t="n">
        <v>1</v>
      </c>
      <c r="F731" s="24" t="n">
        <v>-0.438659251</v>
      </c>
    </row>
    <row r="732" customFormat="false" ht="15" hidden="false" customHeight="false" outlineLevel="0" collapsed="false">
      <c r="A732" s="3" t="n">
        <v>731</v>
      </c>
      <c r="B732" s="3" t="n">
        <v>730</v>
      </c>
      <c r="C732" s="3" t="n">
        <v>3</v>
      </c>
      <c r="D732" s="3" t="n">
        <v>10</v>
      </c>
      <c r="E732" s="3" t="n">
        <v>2</v>
      </c>
      <c r="F732" s="24" t="n">
        <v>-0.514969647</v>
      </c>
    </row>
    <row r="733" customFormat="false" ht="15" hidden="false" customHeight="false" outlineLevel="0" collapsed="false">
      <c r="A733" s="3" t="n">
        <v>732</v>
      </c>
      <c r="B733" s="3" t="n">
        <v>731</v>
      </c>
      <c r="C733" s="3" t="n">
        <v>3</v>
      </c>
      <c r="D733" s="3" t="n">
        <v>10</v>
      </c>
      <c r="E733" s="3" t="n">
        <v>3</v>
      </c>
      <c r="F733" s="24" t="n">
        <v>-0.521516204</v>
      </c>
    </row>
    <row r="734" customFormat="false" ht="15" hidden="false" customHeight="false" outlineLevel="0" collapsed="false">
      <c r="A734" s="3" t="n">
        <v>733</v>
      </c>
      <c r="B734" s="3" t="n">
        <v>732</v>
      </c>
      <c r="C734" s="3" t="n">
        <v>3</v>
      </c>
      <c r="D734" s="3" t="n">
        <v>10</v>
      </c>
      <c r="E734" s="3" t="n">
        <v>4</v>
      </c>
      <c r="F734" s="24" t="n">
        <v>0.842182517</v>
      </c>
    </row>
    <row r="735" customFormat="false" ht="15" hidden="false" customHeight="false" outlineLevel="0" collapsed="false">
      <c r="A735" s="3" t="n">
        <v>734</v>
      </c>
      <c r="B735" s="3" t="n">
        <v>733</v>
      </c>
      <c r="C735" s="3" t="n">
        <v>3</v>
      </c>
      <c r="D735" s="3" t="n">
        <v>10</v>
      </c>
      <c r="E735" s="3" t="n">
        <v>5</v>
      </c>
      <c r="F735" s="24" t="n">
        <v>-1.74873376</v>
      </c>
    </row>
    <row r="736" customFormat="false" ht="15" hidden="false" customHeight="false" outlineLevel="0" collapsed="false">
      <c r="A736" s="3" t="n">
        <v>735</v>
      </c>
      <c r="B736" s="3" t="n">
        <v>734</v>
      </c>
      <c r="C736" s="3" t="n">
        <v>3</v>
      </c>
      <c r="D736" s="3" t="n">
        <v>10</v>
      </c>
      <c r="E736" s="3" t="n">
        <v>6</v>
      </c>
      <c r="F736" s="24" t="n">
        <v>-3.2719233</v>
      </c>
    </row>
    <row r="737" customFormat="false" ht="15" hidden="false" customHeight="false" outlineLevel="0" collapsed="false">
      <c r="A737" s="3" t="n">
        <v>736</v>
      </c>
      <c r="B737" s="3" t="n">
        <v>735</v>
      </c>
      <c r="C737" s="3" t="n">
        <v>3</v>
      </c>
      <c r="D737" s="3" t="n">
        <v>10</v>
      </c>
      <c r="E737" s="3" t="n">
        <v>7</v>
      </c>
      <c r="F737" s="24" t="n">
        <v>1.17385733</v>
      </c>
    </row>
    <row r="738" customFormat="false" ht="15" hidden="false" customHeight="false" outlineLevel="0" collapsed="false">
      <c r="A738" s="3" t="n">
        <v>737</v>
      </c>
      <c r="B738" s="3" t="n">
        <v>736</v>
      </c>
      <c r="C738" s="3" t="n">
        <v>3</v>
      </c>
      <c r="D738" s="3" t="n">
        <v>10</v>
      </c>
      <c r="E738" s="3" t="n">
        <v>8</v>
      </c>
      <c r="F738" s="24" t="n">
        <v>-0.151141793</v>
      </c>
    </row>
    <row r="739" customFormat="false" ht="15" hidden="false" customHeight="false" outlineLevel="0" collapsed="false">
      <c r="A739" s="3" t="n">
        <v>738</v>
      </c>
      <c r="B739" s="3" t="n">
        <v>737</v>
      </c>
      <c r="C739" s="3" t="n">
        <v>3</v>
      </c>
      <c r="D739" s="3" t="n">
        <v>10</v>
      </c>
      <c r="E739" s="3" t="n">
        <v>9</v>
      </c>
      <c r="F739" s="24" t="n">
        <v>-0.23821564</v>
      </c>
    </row>
    <row r="740" customFormat="false" ht="15" hidden="false" customHeight="false" outlineLevel="0" collapsed="false">
      <c r="A740" s="3" t="n">
        <v>739</v>
      </c>
      <c r="B740" s="3" t="n">
        <v>738</v>
      </c>
      <c r="C740" s="3" t="n">
        <v>3</v>
      </c>
      <c r="D740" s="3" t="n">
        <v>10</v>
      </c>
      <c r="E740" s="3" t="n">
        <v>10</v>
      </c>
      <c r="F740" s="24" t="n">
        <v>-0.130903661</v>
      </c>
    </row>
    <row r="741" customFormat="false" ht="15" hidden="false" customHeight="false" outlineLevel="0" collapsed="false">
      <c r="A741" s="3" t="n">
        <v>740</v>
      </c>
      <c r="B741" s="3" t="n">
        <v>739</v>
      </c>
      <c r="C741" s="3" t="n">
        <v>3</v>
      </c>
      <c r="D741" s="3" t="n">
        <v>10</v>
      </c>
      <c r="E741" s="3" t="n">
        <v>11</v>
      </c>
      <c r="F741" s="24" t="n">
        <v>-0.514969647</v>
      </c>
    </row>
    <row r="742" customFormat="false" ht="15" hidden="false" customHeight="false" outlineLevel="0" collapsed="false">
      <c r="A742" s="3" t="n">
        <v>741</v>
      </c>
      <c r="B742" s="3" t="n">
        <v>740</v>
      </c>
      <c r="C742" s="3" t="n">
        <v>3</v>
      </c>
      <c r="D742" s="3" t="n">
        <v>10</v>
      </c>
      <c r="E742" s="3" t="n">
        <v>12</v>
      </c>
      <c r="F742" s="24" t="n">
        <v>-0.216965377</v>
      </c>
    </row>
    <row r="743" customFormat="false" ht="15" hidden="false" customHeight="false" outlineLevel="0" collapsed="false">
      <c r="A743" s="3" t="n">
        <v>742</v>
      </c>
      <c r="B743" s="3" t="n">
        <v>741</v>
      </c>
      <c r="C743" s="3" t="n">
        <v>3</v>
      </c>
      <c r="D743" s="3" t="n">
        <v>10</v>
      </c>
      <c r="E743" s="3" t="n">
        <v>13</v>
      </c>
      <c r="F743" s="24" t="n">
        <v>-0.433492601</v>
      </c>
    </row>
    <row r="744" customFormat="false" ht="15" hidden="false" customHeight="false" outlineLevel="0" collapsed="false">
      <c r="A744" s="3" t="n">
        <v>743</v>
      </c>
      <c r="B744" s="3" t="n">
        <v>742</v>
      </c>
      <c r="C744" s="3" t="n">
        <v>3</v>
      </c>
      <c r="D744" s="3" t="n">
        <v>11</v>
      </c>
      <c r="E744" s="3" t="n">
        <v>0</v>
      </c>
      <c r="F744" s="24" t="n">
        <v>-0.365316004</v>
      </c>
    </row>
    <row r="745" customFormat="false" ht="15" hidden="false" customHeight="false" outlineLevel="0" collapsed="false">
      <c r="A745" s="3" t="n">
        <v>744</v>
      </c>
      <c r="B745" s="3" t="n">
        <v>743</v>
      </c>
      <c r="C745" s="3" t="n">
        <v>3</v>
      </c>
      <c r="D745" s="3" t="n">
        <v>11</v>
      </c>
      <c r="E745" s="3" t="n">
        <v>1</v>
      </c>
      <c r="F745" s="24" t="n">
        <v>-0.438659251</v>
      </c>
    </row>
    <row r="746" customFormat="false" ht="15" hidden="false" customHeight="false" outlineLevel="0" collapsed="false">
      <c r="A746" s="3" t="n">
        <v>745</v>
      </c>
      <c r="B746" s="3" t="n">
        <v>744</v>
      </c>
      <c r="C746" s="3" t="n">
        <v>3</v>
      </c>
      <c r="D746" s="3" t="n">
        <v>11</v>
      </c>
      <c r="E746" s="3" t="n">
        <v>2</v>
      </c>
      <c r="F746" s="24" t="n">
        <v>-0.514969647</v>
      </c>
    </row>
    <row r="747" customFormat="false" ht="15" hidden="false" customHeight="false" outlineLevel="0" collapsed="false">
      <c r="A747" s="3" t="n">
        <v>746</v>
      </c>
      <c r="B747" s="3" t="n">
        <v>745</v>
      </c>
      <c r="C747" s="3" t="n">
        <v>3</v>
      </c>
      <c r="D747" s="3" t="n">
        <v>11</v>
      </c>
      <c r="E747" s="3" t="n">
        <v>3</v>
      </c>
      <c r="F747" s="24" t="n">
        <v>-0.156382084</v>
      </c>
    </row>
    <row r="748" customFormat="false" ht="15" hidden="false" customHeight="false" outlineLevel="0" collapsed="false">
      <c r="A748" s="3" t="n">
        <v>747</v>
      </c>
      <c r="B748" s="3" t="n">
        <v>746</v>
      </c>
      <c r="C748" s="3" t="n">
        <v>3</v>
      </c>
      <c r="D748" s="3" t="n">
        <v>11</v>
      </c>
      <c r="E748" s="3" t="n">
        <v>4</v>
      </c>
      <c r="F748" s="24" t="n">
        <v>2.3020196</v>
      </c>
    </row>
    <row r="749" customFormat="false" ht="15" hidden="false" customHeight="false" outlineLevel="0" collapsed="false">
      <c r="A749" s="3" t="n">
        <v>748</v>
      </c>
      <c r="B749" s="3" t="n">
        <v>747</v>
      </c>
      <c r="C749" s="3" t="n">
        <v>3</v>
      </c>
      <c r="D749" s="3" t="n">
        <v>11</v>
      </c>
      <c r="E749" s="3" t="n">
        <v>5</v>
      </c>
      <c r="F749" s="24" t="n">
        <v>-1.01790202</v>
      </c>
    </row>
    <row r="750" customFormat="false" ht="15" hidden="false" customHeight="false" outlineLevel="0" collapsed="false">
      <c r="A750" s="3" t="n">
        <v>749</v>
      </c>
      <c r="B750" s="3" t="n">
        <v>748</v>
      </c>
      <c r="C750" s="3" t="n">
        <v>3</v>
      </c>
      <c r="D750" s="3" t="n">
        <v>11</v>
      </c>
      <c r="E750" s="3" t="n">
        <v>6</v>
      </c>
      <c r="F750" s="24" t="n">
        <v>-4.26593542</v>
      </c>
    </row>
    <row r="751" customFormat="false" ht="15" hidden="false" customHeight="false" outlineLevel="0" collapsed="false">
      <c r="A751" s="3" t="n">
        <v>750</v>
      </c>
      <c r="B751" s="3" t="n">
        <v>749</v>
      </c>
      <c r="C751" s="3" t="n">
        <v>3</v>
      </c>
      <c r="D751" s="3" t="n">
        <v>11</v>
      </c>
      <c r="E751" s="3" t="n">
        <v>7</v>
      </c>
      <c r="F751" s="24" t="n">
        <v>-1.33851933</v>
      </c>
    </row>
    <row r="752" customFormat="false" ht="15" hidden="false" customHeight="false" outlineLevel="0" collapsed="false">
      <c r="A752" s="3" t="n">
        <v>751</v>
      </c>
      <c r="B752" s="3" t="n">
        <v>750</v>
      </c>
      <c r="C752" s="3" t="n">
        <v>3</v>
      </c>
      <c r="D752" s="3" t="n">
        <v>11</v>
      </c>
      <c r="E752" s="3" t="n">
        <v>8</v>
      </c>
      <c r="F752" s="24" t="n">
        <v>0.734983563</v>
      </c>
    </row>
    <row r="753" customFormat="false" ht="15" hidden="false" customHeight="false" outlineLevel="0" collapsed="false">
      <c r="A753" s="3" t="n">
        <v>752</v>
      </c>
      <c r="B753" s="3" t="n">
        <v>751</v>
      </c>
      <c r="C753" s="3" t="n">
        <v>3</v>
      </c>
      <c r="D753" s="3" t="n">
        <v>11</v>
      </c>
      <c r="E753" s="3" t="n">
        <v>9</v>
      </c>
      <c r="F753" s="24" t="n">
        <v>0.377169311</v>
      </c>
    </row>
    <row r="754" customFormat="false" ht="15" hidden="false" customHeight="false" outlineLevel="0" collapsed="false">
      <c r="A754" s="3" t="n">
        <v>753</v>
      </c>
      <c r="B754" s="3" t="n">
        <v>752</v>
      </c>
      <c r="C754" s="3" t="n">
        <v>3</v>
      </c>
      <c r="D754" s="3" t="n">
        <v>11</v>
      </c>
      <c r="E754" s="3" t="n">
        <v>10</v>
      </c>
      <c r="F754" s="24" t="n">
        <v>-0.514969647</v>
      </c>
    </row>
    <row r="755" customFormat="false" ht="15" hidden="false" customHeight="false" outlineLevel="0" collapsed="false">
      <c r="A755" s="3" t="n">
        <v>754</v>
      </c>
      <c r="B755" s="3" t="n">
        <v>753</v>
      </c>
      <c r="C755" s="3" t="n">
        <v>3</v>
      </c>
      <c r="D755" s="3" t="n">
        <v>11</v>
      </c>
      <c r="E755" s="3" t="n">
        <v>11</v>
      </c>
      <c r="F755" s="24" t="n">
        <v>-0.514969647</v>
      </c>
    </row>
    <row r="756" customFormat="false" ht="15" hidden="false" customHeight="false" outlineLevel="0" collapsed="false">
      <c r="A756" s="3" t="n">
        <v>755</v>
      </c>
      <c r="B756" s="3" t="n">
        <v>754</v>
      </c>
      <c r="C756" s="3" t="n">
        <v>3</v>
      </c>
      <c r="D756" s="3" t="n">
        <v>11</v>
      </c>
      <c r="E756" s="3" t="n">
        <v>12</v>
      </c>
      <c r="F756" s="24" t="n">
        <v>-0.216965377</v>
      </c>
    </row>
    <row r="757" customFormat="false" ht="15" hidden="false" customHeight="false" outlineLevel="0" collapsed="false">
      <c r="A757" s="3" t="n">
        <v>756</v>
      </c>
      <c r="B757" s="3" t="n">
        <v>755</v>
      </c>
      <c r="C757" s="3" t="n">
        <v>3</v>
      </c>
      <c r="D757" s="3" t="n">
        <v>11</v>
      </c>
      <c r="E757" s="3" t="n">
        <v>13</v>
      </c>
      <c r="F757" s="24" t="n">
        <v>-0.433492601</v>
      </c>
    </row>
    <row r="758" customFormat="false" ht="15" hidden="false" customHeight="false" outlineLevel="0" collapsed="false">
      <c r="A758" s="3" t="n">
        <v>757</v>
      </c>
      <c r="B758" s="3" t="n">
        <v>756</v>
      </c>
      <c r="C758" s="3" t="n">
        <v>3</v>
      </c>
      <c r="D758" s="3" t="n">
        <v>12</v>
      </c>
      <c r="E758" s="3" t="n">
        <v>0</v>
      </c>
      <c r="F758" s="24" t="n">
        <v>-0.591778457</v>
      </c>
    </row>
    <row r="759" customFormat="false" ht="15" hidden="false" customHeight="false" outlineLevel="0" collapsed="false">
      <c r="A759" s="3" t="n">
        <v>758</v>
      </c>
      <c r="B759" s="3" t="n">
        <v>757</v>
      </c>
      <c r="C759" s="3" t="n">
        <v>3</v>
      </c>
      <c r="D759" s="3" t="n">
        <v>12</v>
      </c>
      <c r="E759" s="3" t="n">
        <v>1</v>
      </c>
      <c r="F759" s="24" t="n">
        <v>-0.426184624</v>
      </c>
    </row>
    <row r="760" customFormat="false" ht="15" hidden="false" customHeight="false" outlineLevel="0" collapsed="false">
      <c r="A760" s="3" t="n">
        <v>759</v>
      </c>
      <c r="B760" s="3" t="n">
        <v>758</v>
      </c>
      <c r="C760" s="3" t="n">
        <v>3</v>
      </c>
      <c r="D760" s="3" t="n">
        <v>12</v>
      </c>
      <c r="E760" s="3" t="n">
        <v>2</v>
      </c>
      <c r="F760" s="24" t="n">
        <v>-0.495894849</v>
      </c>
    </row>
    <row r="761" customFormat="false" ht="15" hidden="false" customHeight="false" outlineLevel="0" collapsed="false">
      <c r="A761" s="3" t="n">
        <v>760</v>
      </c>
      <c r="B761" s="3" t="n">
        <v>759</v>
      </c>
      <c r="C761" s="3" t="n">
        <v>3</v>
      </c>
      <c r="D761" s="3" t="n">
        <v>12</v>
      </c>
      <c r="E761" s="3" t="n">
        <v>3</v>
      </c>
      <c r="F761" s="24" t="n">
        <v>0.746443152</v>
      </c>
    </row>
    <row r="762" customFormat="false" ht="15" hidden="false" customHeight="false" outlineLevel="0" collapsed="false">
      <c r="A762" s="3" t="n">
        <v>761</v>
      </c>
      <c r="B762" s="3" t="n">
        <v>760</v>
      </c>
      <c r="C762" s="3" t="n">
        <v>3</v>
      </c>
      <c r="D762" s="3" t="n">
        <v>12</v>
      </c>
      <c r="E762" s="3" t="n">
        <v>4</v>
      </c>
      <c r="F762" s="24" t="n">
        <v>5.60710192</v>
      </c>
    </row>
    <row r="763" customFormat="false" ht="15" hidden="false" customHeight="false" outlineLevel="0" collapsed="false">
      <c r="A763" s="3" t="n">
        <v>762</v>
      </c>
      <c r="B763" s="3" t="n">
        <v>761</v>
      </c>
      <c r="C763" s="3" t="n">
        <v>3</v>
      </c>
      <c r="D763" s="3" t="n">
        <v>12</v>
      </c>
      <c r="E763" s="3" t="n">
        <v>5</v>
      </c>
      <c r="F763" s="24" t="n">
        <v>3.89456582</v>
      </c>
    </row>
    <row r="764" customFormat="false" ht="15" hidden="false" customHeight="false" outlineLevel="0" collapsed="false">
      <c r="A764" s="3" t="n">
        <v>763</v>
      </c>
      <c r="B764" s="3" t="n">
        <v>762</v>
      </c>
      <c r="C764" s="3" t="n">
        <v>3</v>
      </c>
      <c r="D764" s="3" t="n">
        <v>12</v>
      </c>
      <c r="E764" s="3" t="n">
        <v>6</v>
      </c>
      <c r="F764" s="24" t="n">
        <v>-0.401262373</v>
      </c>
    </row>
    <row r="765" customFormat="false" ht="15" hidden="false" customHeight="false" outlineLevel="0" collapsed="false">
      <c r="A765" s="3" t="n">
        <v>764</v>
      </c>
      <c r="B765" s="3" t="n">
        <v>763</v>
      </c>
      <c r="C765" s="3" t="n">
        <v>3</v>
      </c>
      <c r="D765" s="3" t="n">
        <v>12</v>
      </c>
      <c r="E765" s="3" t="n">
        <v>7</v>
      </c>
      <c r="F765" s="24" t="n">
        <v>-1.78180897</v>
      </c>
    </row>
    <row r="766" customFormat="false" ht="15" hidden="false" customHeight="false" outlineLevel="0" collapsed="false">
      <c r="A766" s="3" t="n">
        <v>765</v>
      </c>
      <c r="B766" s="3" t="n">
        <v>764</v>
      </c>
      <c r="C766" s="3" t="n">
        <v>3</v>
      </c>
      <c r="D766" s="3" t="n">
        <v>12</v>
      </c>
      <c r="E766" s="3" t="n">
        <v>8</v>
      </c>
      <c r="F766" s="24" t="n">
        <v>-1.00689304</v>
      </c>
    </row>
    <row r="767" customFormat="false" ht="15" hidden="false" customHeight="false" outlineLevel="0" collapsed="false">
      <c r="A767" s="3" t="n">
        <v>766</v>
      </c>
      <c r="B767" s="3" t="n">
        <v>765</v>
      </c>
      <c r="C767" s="3" t="n">
        <v>3</v>
      </c>
      <c r="D767" s="3" t="n">
        <v>12</v>
      </c>
      <c r="E767" s="3" t="n">
        <v>9</v>
      </c>
      <c r="F767" s="24" t="n">
        <v>-0.404513389</v>
      </c>
    </row>
    <row r="768" customFormat="false" ht="15" hidden="false" customHeight="false" outlineLevel="0" collapsed="false">
      <c r="A768" s="3" t="n">
        <v>767</v>
      </c>
      <c r="B768" s="3" t="n">
        <v>766</v>
      </c>
      <c r="C768" s="3" t="n">
        <v>3</v>
      </c>
      <c r="D768" s="3" t="n">
        <v>12</v>
      </c>
      <c r="E768" s="3" t="n">
        <v>10</v>
      </c>
      <c r="F768" s="24" t="n">
        <v>-0.495894849</v>
      </c>
    </row>
    <row r="769" customFormat="false" ht="15" hidden="false" customHeight="false" outlineLevel="0" collapsed="false">
      <c r="A769" s="3" t="n">
        <v>768</v>
      </c>
      <c r="B769" s="3" t="n">
        <v>767</v>
      </c>
      <c r="C769" s="3" t="n">
        <v>3</v>
      </c>
      <c r="D769" s="3" t="n">
        <v>12</v>
      </c>
      <c r="E769" s="3" t="n">
        <v>11</v>
      </c>
      <c r="F769" s="24" t="n">
        <v>-0.495894849</v>
      </c>
    </row>
    <row r="770" customFormat="false" ht="15" hidden="false" customHeight="false" outlineLevel="0" collapsed="false">
      <c r="A770" s="3" t="n">
        <v>769</v>
      </c>
      <c r="B770" s="3" t="n">
        <v>768</v>
      </c>
      <c r="C770" s="3" t="n">
        <v>3</v>
      </c>
      <c r="D770" s="3" t="n">
        <v>12</v>
      </c>
      <c r="E770" s="3" t="n">
        <v>12</v>
      </c>
      <c r="F770" s="24" t="n">
        <v>-0.197890624</v>
      </c>
    </row>
    <row r="771" customFormat="false" ht="15" hidden="false" customHeight="false" outlineLevel="0" collapsed="false">
      <c r="A771" s="3" t="n">
        <v>770</v>
      </c>
      <c r="B771" s="3" t="n">
        <v>769</v>
      </c>
      <c r="C771" s="3" t="n">
        <v>3</v>
      </c>
      <c r="D771" s="3" t="n">
        <v>12</v>
      </c>
      <c r="E771" s="3" t="n">
        <v>13</v>
      </c>
      <c r="F771" s="24" t="n">
        <v>-0.16155231</v>
      </c>
    </row>
    <row r="772" customFormat="false" ht="15" hidden="false" customHeight="false" outlineLevel="0" collapsed="false">
      <c r="A772" s="3" t="n">
        <v>771</v>
      </c>
      <c r="B772" s="3" t="n">
        <v>770</v>
      </c>
      <c r="C772" s="3" t="n">
        <v>3</v>
      </c>
      <c r="D772" s="3" t="n">
        <v>13</v>
      </c>
      <c r="E772" s="3" t="n">
        <v>0</v>
      </c>
      <c r="F772" s="24" t="n">
        <v>-0.238946706</v>
      </c>
    </row>
    <row r="773" customFormat="false" ht="15" hidden="false" customHeight="false" outlineLevel="0" collapsed="false">
      <c r="A773" s="3" t="n">
        <v>772</v>
      </c>
      <c r="B773" s="3" t="n">
        <v>771</v>
      </c>
      <c r="C773" s="3" t="n">
        <v>3</v>
      </c>
      <c r="D773" s="3" t="n">
        <v>13</v>
      </c>
      <c r="E773" s="3" t="n">
        <v>1</v>
      </c>
      <c r="F773" s="24" t="n">
        <v>-0.516357422</v>
      </c>
    </row>
    <row r="774" customFormat="false" ht="15" hidden="false" customHeight="false" outlineLevel="0" collapsed="false">
      <c r="A774" s="3" t="n">
        <v>773</v>
      </c>
      <c r="B774" s="3" t="n">
        <v>772</v>
      </c>
      <c r="C774" s="3" t="n">
        <v>3</v>
      </c>
      <c r="D774" s="3" t="n">
        <v>13</v>
      </c>
      <c r="E774" s="3" t="n">
        <v>2</v>
      </c>
      <c r="F774" s="24" t="n">
        <v>-0.480248809</v>
      </c>
    </row>
    <row r="775" customFormat="false" ht="15" hidden="false" customHeight="false" outlineLevel="0" collapsed="false">
      <c r="A775" s="3" t="n">
        <v>774</v>
      </c>
      <c r="B775" s="3" t="n">
        <v>773</v>
      </c>
      <c r="C775" s="3" t="n">
        <v>3</v>
      </c>
      <c r="D775" s="3" t="n">
        <v>13</v>
      </c>
      <c r="E775" s="3" t="n">
        <v>3</v>
      </c>
      <c r="F775" s="24" t="n">
        <v>-0.0885559767</v>
      </c>
    </row>
    <row r="776" customFormat="false" ht="15" hidden="false" customHeight="false" outlineLevel="0" collapsed="false">
      <c r="A776" s="3" t="n">
        <v>775</v>
      </c>
      <c r="B776" s="3" t="n">
        <v>774</v>
      </c>
      <c r="C776" s="3" t="n">
        <v>3</v>
      </c>
      <c r="D776" s="3" t="n">
        <v>13</v>
      </c>
      <c r="E776" s="3" t="n">
        <v>4</v>
      </c>
      <c r="F776" s="24" t="n">
        <v>2.70845008</v>
      </c>
    </row>
    <row r="777" customFormat="false" ht="15" hidden="false" customHeight="false" outlineLevel="0" collapsed="false">
      <c r="A777" s="3" t="n">
        <v>776</v>
      </c>
      <c r="B777" s="3" t="n">
        <v>775</v>
      </c>
      <c r="C777" s="3" t="n">
        <v>3</v>
      </c>
      <c r="D777" s="3" t="n">
        <v>13</v>
      </c>
      <c r="E777" s="3" t="n">
        <v>5</v>
      </c>
      <c r="F777" s="24" t="n">
        <v>5.07055283</v>
      </c>
    </row>
    <row r="778" customFormat="false" ht="15" hidden="false" customHeight="false" outlineLevel="0" collapsed="false">
      <c r="A778" s="3" t="n">
        <v>777</v>
      </c>
      <c r="B778" s="3" t="n">
        <v>776</v>
      </c>
      <c r="C778" s="3" t="n">
        <v>3</v>
      </c>
      <c r="D778" s="3" t="n">
        <v>13</v>
      </c>
      <c r="E778" s="3" t="n">
        <v>6</v>
      </c>
      <c r="F778" s="24" t="n">
        <v>2.53685594</v>
      </c>
    </row>
    <row r="779" customFormat="false" ht="15" hidden="false" customHeight="false" outlineLevel="0" collapsed="false">
      <c r="A779" s="3" t="n">
        <v>778</v>
      </c>
      <c r="B779" s="3" t="n">
        <v>777</v>
      </c>
      <c r="C779" s="3" t="n">
        <v>3</v>
      </c>
      <c r="D779" s="3" t="n">
        <v>13</v>
      </c>
      <c r="E779" s="3" t="n">
        <v>7</v>
      </c>
      <c r="F779" s="24" t="n">
        <v>0.729175627</v>
      </c>
    </row>
    <row r="780" customFormat="false" ht="15" hidden="false" customHeight="false" outlineLevel="0" collapsed="false">
      <c r="A780" s="3" t="n">
        <v>779</v>
      </c>
      <c r="B780" s="3" t="n">
        <v>778</v>
      </c>
      <c r="C780" s="3" t="n">
        <v>3</v>
      </c>
      <c r="D780" s="3" t="n">
        <v>13</v>
      </c>
      <c r="E780" s="3" t="n">
        <v>8</v>
      </c>
      <c r="F780" s="24" t="n">
        <v>0.181695715</v>
      </c>
    </row>
    <row r="781" customFormat="false" ht="15" hidden="false" customHeight="false" outlineLevel="0" collapsed="false">
      <c r="A781" s="3" t="n">
        <v>780</v>
      </c>
      <c r="B781" s="3" t="n">
        <v>779</v>
      </c>
      <c r="C781" s="3" t="n">
        <v>3</v>
      </c>
      <c r="D781" s="3" t="n">
        <v>13</v>
      </c>
      <c r="E781" s="3" t="n">
        <v>9</v>
      </c>
      <c r="F781" s="24" t="n">
        <v>-0.480248809</v>
      </c>
    </row>
    <row r="782" customFormat="false" ht="15" hidden="false" customHeight="false" outlineLevel="0" collapsed="false">
      <c r="A782" s="3" t="n">
        <v>781</v>
      </c>
      <c r="B782" s="3" t="n">
        <v>780</v>
      </c>
      <c r="C782" s="3" t="n">
        <v>3</v>
      </c>
      <c r="D782" s="3" t="n">
        <v>13</v>
      </c>
      <c r="E782" s="3" t="n">
        <v>10</v>
      </c>
      <c r="F782" s="24" t="n">
        <v>-0.480248809</v>
      </c>
    </row>
    <row r="783" customFormat="false" ht="15" hidden="false" customHeight="false" outlineLevel="0" collapsed="false">
      <c r="A783" s="3" t="n">
        <v>782</v>
      </c>
      <c r="B783" s="3" t="n">
        <v>781</v>
      </c>
      <c r="C783" s="3" t="n">
        <v>3</v>
      </c>
      <c r="D783" s="3" t="n">
        <v>13</v>
      </c>
      <c r="E783" s="3" t="n">
        <v>11</v>
      </c>
      <c r="F783" s="24" t="n">
        <v>-0.480248809</v>
      </c>
    </row>
    <row r="784" customFormat="false" ht="15" hidden="false" customHeight="false" outlineLevel="0" collapsed="false">
      <c r="A784" s="3" t="n">
        <v>783</v>
      </c>
      <c r="B784" s="3" t="n">
        <v>782</v>
      </c>
      <c r="C784" s="3" t="n">
        <v>3</v>
      </c>
      <c r="D784" s="3" t="n">
        <v>13</v>
      </c>
      <c r="E784" s="3" t="n">
        <v>12</v>
      </c>
      <c r="F784" s="24" t="n">
        <v>-0.366586477</v>
      </c>
    </row>
    <row r="785" customFormat="false" ht="15" hidden="false" customHeight="false" outlineLevel="0" collapsed="false">
      <c r="A785" s="3" t="n">
        <v>784</v>
      </c>
      <c r="B785" s="3" t="n">
        <v>783</v>
      </c>
      <c r="C785" s="3" t="n">
        <v>3</v>
      </c>
      <c r="D785" s="3" t="n">
        <v>13</v>
      </c>
      <c r="E785" s="3" t="n">
        <v>13</v>
      </c>
      <c r="F785" s="24" t="n">
        <v>-0.432094991</v>
      </c>
    </row>
    <row r="786" customFormat="false" ht="15" hidden="false" customHeight="false" outlineLevel="0" collapsed="false">
      <c r="A786" s="3" t="n">
        <v>785</v>
      </c>
      <c r="B786" s="3" t="n">
        <v>784</v>
      </c>
      <c r="C786" s="3" t="n">
        <v>4</v>
      </c>
      <c r="D786" s="3" t="n">
        <v>0</v>
      </c>
      <c r="E786" s="3" t="n">
        <v>0</v>
      </c>
      <c r="F786" s="24" t="n">
        <v>-1.08394766</v>
      </c>
    </row>
    <row r="787" customFormat="false" ht="15" hidden="false" customHeight="false" outlineLevel="0" collapsed="false">
      <c r="A787" s="3" t="n">
        <v>786</v>
      </c>
      <c r="B787" s="3" t="n">
        <v>785</v>
      </c>
      <c r="C787" s="3" t="n">
        <v>4</v>
      </c>
      <c r="D787" s="3" t="n">
        <v>0</v>
      </c>
      <c r="E787" s="3" t="n">
        <v>1</v>
      </c>
      <c r="F787" s="24" t="n">
        <v>-1.07061481</v>
      </c>
    </row>
    <row r="788" customFormat="false" ht="15" hidden="false" customHeight="false" outlineLevel="0" collapsed="false">
      <c r="A788" s="3" t="n">
        <v>787</v>
      </c>
      <c r="B788" s="3" t="n">
        <v>786</v>
      </c>
      <c r="C788" s="3" t="n">
        <v>4</v>
      </c>
      <c r="D788" s="3" t="n">
        <v>0</v>
      </c>
      <c r="E788" s="3" t="n">
        <v>2</v>
      </c>
      <c r="F788" s="24" t="n">
        <v>-0.786670268</v>
      </c>
    </row>
    <row r="789" customFormat="false" ht="15" hidden="false" customHeight="false" outlineLevel="0" collapsed="false">
      <c r="A789" s="3" t="n">
        <v>788</v>
      </c>
      <c r="B789" s="3" t="n">
        <v>787</v>
      </c>
      <c r="C789" s="3" t="n">
        <v>4</v>
      </c>
      <c r="D789" s="3" t="n">
        <v>0</v>
      </c>
      <c r="E789" s="3" t="n">
        <v>3</v>
      </c>
      <c r="F789" s="24" t="n">
        <v>-0.786670268</v>
      </c>
    </row>
    <row r="790" customFormat="false" ht="15" hidden="false" customHeight="false" outlineLevel="0" collapsed="false">
      <c r="A790" s="3" t="n">
        <v>789</v>
      </c>
      <c r="B790" s="3" t="n">
        <v>788</v>
      </c>
      <c r="C790" s="3" t="n">
        <v>4</v>
      </c>
      <c r="D790" s="3" t="n">
        <v>0</v>
      </c>
      <c r="E790" s="3" t="n">
        <v>4</v>
      </c>
      <c r="F790" s="24" t="n">
        <v>-0.786670268</v>
      </c>
    </row>
    <row r="791" customFormat="false" ht="15" hidden="false" customHeight="false" outlineLevel="0" collapsed="false">
      <c r="A791" s="3" t="n">
        <v>790</v>
      </c>
      <c r="B791" s="3" t="n">
        <v>789</v>
      </c>
      <c r="C791" s="3" t="n">
        <v>4</v>
      </c>
      <c r="D791" s="3" t="n">
        <v>0</v>
      </c>
      <c r="E791" s="3" t="n">
        <v>5</v>
      </c>
      <c r="F791" s="24" t="n">
        <v>-0.786670268</v>
      </c>
    </row>
    <row r="792" customFormat="false" ht="15" hidden="false" customHeight="false" outlineLevel="0" collapsed="false">
      <c r="A792" s="3" t="n">
        <v>791</v>
      </c>
      <c r="B792" s="3" t="n">
        <v>790</v>
      </c>
      <c r="C792" s="3" t="n">
        <v>4</v>
      </c>
      <c r="D792" s="3" t="n">
        <v>0</v>
      </c>
      <c r="E792" s="3" t="n">
        <v>6</v>
      </c>
      <c r="F792" s="24" t="n">
        <v>-0.786670268</v>
      </c>
    </row>
    <row r="793" customFormat="false" ht="15" hidden="false" customHeight="false" outlineLevel="0" collapsed="false">
      <c r="A793" s="3" t="n">
        <v>792</v>
      </c>
      <c r="B793" s="3" t="n">
        <v>791</v>
      </c>
      <c r="C793" s="3" t="n">
        <v>4</v>
      </c>
      <c r="D793" s="3" t="n">
        <v>0</v>
      </c>
      <c r="E793" s="3" t="n">
        <v>7</v>
      </c>
      <c r="F793" s="24" t="n">
        <v>-0.786670268</v>
      </c>
    </row>
    <row r="794" customFormat="false" ht="15" hidden="false" customHeight="false" outlineLevel="0" collapsed="false">
      <c r="A794" s="3" t="n">
        <v>793</v>
      </c>
      <c r="B794" s="3" t="n">
        <v>792</v>
      </c>
      <c r="C794" s="3" t="n">
        <v>4</v>
      </c>
      <c r="D794" s="3" t="n">
        <v>0</v>
      </c>
      <c r="E794" s="3" t="n">
        <v>8</v>
      </c>
      <c r="F794" s="24" t="n">
        <v>-0.786670268</v>
      </c>
    </row>
    <row r="795" customFormat="false" ht="15" hidden="false" customHeight="false" outlineLevel="0" collapsed="false">
      <c r="A795" s="3" t="n">
        <v>794</v>
      </c>
      <c r="B795" s="3" t="n">
        <v>793</v>
      </c>
      <c r="C795" s="3" t="n">
        <v>4</v>
      </c>
      <c r="D795" s="3" t="n">
        <v>0</v>
      </c>
      <c r="E795" s="3" t="n">
        <v>9</v>
      </c>
      <c r="F795" s="24" t="n">
        <v>-0.786670268</v>
      </c>
    </row>
    <row r="796" customFormat="false" ht="15" hidden="false" customHeight="false" outlineLevel="0" collapsed="false">
      <c r="A796" s="3" t="n">
        <v>795</v>
      </c>
      <c r="B796" s="3" t="n">
        <v>794</v>
      </c>
      <c r="C796" s="3" t="n">
        <v>4</v>
      </c>
      <c r="D796" s="3" t="n">
        <v>0</v>
      </c>
      <c r="E796" s="3" t="n">
        <v>10</v>
      </c>
      <c r="F796" s="24" t="n">
        <v>-0.786670268</v>
      </c>
    </row>
    <row r="797" customFormat="false" ht="15" hidden="false" customHeight="false" outlineLevel="0" collapsed="false">
      <c r="A797" s="3" t="n">
        <v>796</v>
      </c>
      <c r="B797" s="3" t="n">
        <v>795</v>
      </c>
      <c r="C797" s="3" t="n">
        <v>4</v>
      </c>
      <c r="D797" s="3" t="n">
        <v>0</v>
      </c>
      <c r="E797" s="3" t="n">
        <v>11</v>
      </c>
      <c r="F797" s="24" t="n">
        <v>-0.786670268</v>
      </c>
    </row>
    <row r="798" customFormat="false" ht="15" hidden="false" customHeight="false" outlineLevel="0" collapsed="false">
      <c r="A798" s="3" t="n">
        <v>797</v>
      </c>
      <c r="B798" s="3" t="n">
        <v>796</v>
      </c>
      <c r="C798" s="3" t="n">
        <v>4</v>
      </c>
      <c r="D798" s="3" t="n">
        <v>0</v>
      </c>
      <c r="E798" s="3" t="n">
        <v>12</v>
      </c>
      <c r="F798" s="24" t="n">
        <v>-0.493887961</v>
      </c>
    </row>
    <row r="799" customFormat="false" ht="15" hidden="false" customHeight="false" outlineLevel="0" collapsed="false">
      <c r="A799" s="3" t="n">
        <v>798</v>
      </c>
      <c r="B799" s="3" t="n">
        <v>797</v>
      </c>
      <c r="C799" s="3" t="n">
        <v>4</v>
      </c>
      <c r="D799" s="3" t="n">
        <v>0</v>
      </c>
      <c r="E799" s="3" t="n">
        <v>13</v>
      </c>
      <c r="F799" s="24" t="n">
        <v>0.0739145279</v>
      </c>
    </row>
    <row r="800" customFormat="false" ht="15" hidden="false" customHeight="false" outlineLevel="0" collapsed="false">
      <c r="A800" s="3" t="n">
        <v>799</v>
      </c>
      <c r="B800" s="3" t="n">
        <v>798</v>
      </c>
      <c r="C800" s="3" t="n">
        <v>4</v>
      </c>
      <c r="D800" s="3" t="n">
        <v>1</v>
      </c>
      <c r="E800" s="3" t="n">
        <v>0</v>
      </c>
      <c r="F800" s="24" t="n">
        <v>-1.35026348</v>
      </c>
    </row>
    <row r="801" customFormat="false" ht="15" hidden="false" customHeight="false" outlineLevel="0" collapsed="false">
      <c r="A801" s="3" t="n">
        <v>800</v>
      </c>
      <c r="B801" s="3" t="n">
        <v>799</v>
      </c>
      <c r="C801" s="3" t="n">
        <v>4</v>
      </c>
      <c r="D801" s="3" t="n">
        <v>1</v>
      </c>
      <c r="E801" s="3" t="n">
        <v>1</v>
      </c>
      <c r="F801" s="24" t="n">
        <v>-1.33415437</v>
      </c>
    </row>
    <row r="802" customFormat="false" ht="15" hidden="false" customHeight="false" outlineLevel="0" collapsed="false">
      <c r="A802" s="3" t="n">
        <v>801</v>
      </c>
      <c r="B802" s="3" t="n">
        <v>800</v>
      </c>
      <c r="C802" s="3" t="n">
        <v>4</v>
      </c>
      <c r="D802" s="3" t="n">
        <v>1</v>
      </c>
      <c r="E802" s="3" t="n">
        <v>2</v>
      </c>
      <c r="F802" s="24" t="n">
        <v>-1.04962254</v>
      </c>
    </row>
    <row r="803" customFormat="false" ht="15" hidden="false" customHeight="false" outlineLevel="0" collapsed="false">
      <c r="A803" s="3" t="n">
        <v>802</v>
      </c>
      <c r="B803" s="3" t="n">
        <v>801</v>
      </c>
      <c r="C803" s="3" t="n">
        <v>4</v>
      </c>
      <c r="D803" s="3" t="n">
        <v>1</v>
      </c>
      <c r="E803" s="3" t="n">
        <v>3</v>
      </c>
      <c r="F803" s="24" t="n">
        <v>-1.04962254</v>
      </c>
    </row>
    <row r="804" customFormat="false" ht="15" hidden="false" customHeight="false" outlineLevel="0" collapsed="false">
      <c r="A804" s="3" t="n">
        <v>803</v>
      </c>
      <c r="B804" s="3" t="n">
        <v>802</v>
      </c>
      <c r="C804" s="3" t="n">
        <v>4</v>
      </c>
      <c r="D804" s="3" t="n">
        <v>1</v>
      </c>
      <c r="E804" s="3" t="n">
        <v>4</v>
      </c>
      <c r="F804" s="24" t="n">
        <v>-1.04962254</v>
      </c>
    </row>
    <row r="805" customFormat="false" ht="15" hidden="false" customHeight="false" outlineLevel="0" collapsed="false">
      <c r="A805" s="3" t="n">
        <v>804</v>
      </c>
      <c r="B805" s="3" t="n">
        <v>803</v>
      </c>
      <c r="C805" s="3" t="n">
        <v>4</v>
      </c>
      <c r="D805" s="3" t="n">
        <v>1</v>
      </c>
      <c r="E805" s="3" t="n">
        <v>5</v>
      </c>
      <c r="F805" s="24" t="n">
        <v>-1.04962254</v>
      </c>
    </row>
    <row r="806" customFormat="false" ht="15" hidden="false" customHeight="false" outlineLevel="0" collapsed="false">
      <c r="A806" s="3" t="n">
        <v>805</v>
      </c>
      <c r="B806" s="3" t="n">
        <v>804</v>
      </c>
      <c r="C806" s="3" t="n">
        <v>4</v>
      </c>
      <c r="D806" s="3" t="n">
        <v>1</v>
      </c>
      <c r="E806" s="3" t="n">
        <v>6</v>
      </c>
      <c r="F806" s="24" t="n">
        <v>-1.04962254</v>
      </c>
    </row>
    <row r="807" customFormat="false" ht="15" hidden="false" customHeight="false" outlineLevel="0" collapsed="false">
      <c r="A807" s="3" t="n">
        <v>806</v>
      </c>
      <c r="B807" s="3" t="n">
        <v>805</v>
      </c>
      <c r="C807" s="3" t="n">
        <v>4</v>
      </c>
      <c r="D807" s="3" t="n">
        <v>1</v>
      </c>
      <c r="E807" s="3" t="n">
        <v>7</v>
      </c>
      <c r="F807" s="24" t="n">
        <v>-1.04962254</v>
      </c>
    </row>
    <row r="808" customFormat="false" ht="15" hidden="false" customHeight="false" outlineLevel="0" collapsed="false">
      <c r="A808" s="3" t="n">
        <v>807</v>
      </c>
      <c r="B808" s="3" t="n">
        <v>806</v>
      </c>
      <c r="C808" s="3" t="n">
        <v>4</v>
      </c>
      <c r="D808" s="3" t="n">
        <v>1</v>
      </c>
      <c r="E808" s="3" t="n">
        <v>8</v>
      </c>
      <c r="F808" s="24" t="n">
        <v>-1.04962254</v>
      </c>
    </row>
    <row r="809" customFormat="false" ht="15" hidden="false" customHeight="false" outlineLevel="0" collapsed="false">
      <c r="A809" s="3" t="n">
        <v>808</v>
      </c>
      <c r="B809" s="3" t="n">
        <v>807</v>
      </c>
      <c r="C809" s="3" t="n">
        <v>4</v>
      </c>
      <c r="D809" s="3" t="n">
        <v>1</v>
      </c>
      <c r="E809" s="3" t="n">
        <v>9</v>
      </c>
      <c r="F809" s="24" t="n">
        <v>-1.04962254</v>
      </c>
    </row>
    <row r="810" customFormat="false" ht="15" hidden="false" customHeight="false" outlineLevel="0" collapsed="false">
      <c r="A810" s="3" t="n">
        <v>809</v>
      </c>
      <c r="B810" s="3" t="n">
        <v>808</v>
      </c>
      <c r="C810" s="3" t="n">
        <v>4</v>
      </c>
      <c r="D810" s="3" t="n">
        <v>1</v>
      </c>
      <c r="E810" s="3" t="n">
        <v>10</v>
      </c>
      <c r="F810" s="24" t="n">
        <v>-1.04962254</v>
      </c>
    </row>
    <row r="811" customFormat="false" ht="15" hidden="false" customHeight="false" outlineLevel="0" collapsed="false">
      <c r="A811" s="3" t="n">
        <v>810</v>
      </c>
      <c r="B811" s="3" t="n">
        <v>809</v>
      </c>
      <c r="C811" s="3" t="n">
        <v>4</v>
      </c>
      <c r="D811" s="3" t="n">
        <v>1</v>
      </c>
      <c r="E811" s="3" t="n">
        <v>11</v>
      </c>
      <c r="F811" s="24" t="n">
        <v>-1.04962254</v>
      </c>
    </row>
    <row r="812" customFormat="false" ht="15" hidden="false" customHeight="false" outlineLevel="0" collapsed="false">
      <c r="A812" s="3" t="n">
        <v>811</v>
      </c>
      <c r="B812" s="3" t="n">
        <v>810</v>
      </c>
      <c r="C812" s="3" t="n">
        <v>4</v>
      </c>
      <c r="D812" s="3" t="n">
        <v>1</v>
      </c>
      <c r="E812" s="3" t="n">
        <v>12</v>
      </c>
      <c r="F812" s="24" t="n">
        <v>-0.566954195</v>
      </c>
    </row>
    <row r="813" customFormat="false" ht="15" hidden="false" customHeight="false" outlineLevel="0" collapsed="false">
      <c r="A813" s="3" t="n">
        <v>812</v>
      </c>
      <c r="B813" s="3" t="n">
        <v>811</v>
      </c>
      <c r="C813" s="3" t="n">
        <v>4</v>
      </c>
      <c r="D813" s="3" t="n">
        <v>1</v>
      </c>
      <c r="E813" s="3" t="n">
        <v>13</v>
      </c>
      <c r="F813" s="24" t="n">
        <v>0.0218260176</v>
      </c>
    </row>
    <row r="814" customFormat="false" ht="15" hidden="false" customHeight="false" outlineLevel="0" collapsed="false">
      <c r="A814" s="3" t="n">
        <v>813</v>
      </c>
      <c r="B814" s="3" t="n">
        <v>812</v>
      </c>
      <c r="C814" s="3" t="n">
        <v>4</v>
      </c>
      <c r="D814" s="3" t="n">
        <v>2</v>
      </c>
      <c r="E814" s="3" t="n">
        <v>0</v>
      </c>
      <c r="F814" s="24" t="n">
        <v>-1.10791719</v>
      </c>
    </row>
    <row r="815" customFormat="false" ht="15" hidden="false" customHeight="false" outlineLevel="0" collapsed="false">
      <c r="A815" s="3" t="n">
        <v>814</v>
      </c>
      <c r="B815" s="3" t="n">
        <v>813</v>
      </c>
      <c r="C815" s="3" t="n">
        <v>4</v>
      </c>
      <c r="D815" s="3" t="n">
        <v>2</v>
      </c>
      <c r="E815" s="3" t="n">
        <v>1</v>
      </c>
      <c r="F815" s="24" t="n">
        <v>-1.01713622</v>
      </c>
    </row>
    <row r="816" customFormat="false" ht="15" hidden="false" customHeight="false" outlineLevel="0" collapsed="false">
      <c r="A816" s="3" t="n">
        <v>815</v>
      </c>
      <c r="B816" s="3" t="n">
        <v>814</v>
      </c>
      <c r="C816" s="3" t="n">
        <v>4</v>
      </c>
      <c r="D816" s="3" t="n">
        <v>2</v>
      </c>
      <c r="E816" s="3" t="n">
        <v>2</v>
      </c>
      <c r="F816" s="24" t="n">
        <v>0.82081598</v>
      </c>
    </row>
    <row r="817" customFormat="false" ht="15" hidden="false" customHeight="false" outlineLevel="0" collapsed="false">
      <c r="A817" s="3" t="n">
        <v>816</v>
      </c>
      <c r="B817" s="3" t="n">
        <v>815</v>
      </c>
      <c r="C817" s="3" t="n">
        <v>4</v>
      </c>
      <c r="D817" s="3" t="n">
        <v>2</v>
      </c>
      <c r="E817" s="3" t="n">
        <v>3</v>
      </c>
      <c r="F817" s="24" t="n">
        <v>-0.44406569</v>
      </c>
    </row>
    <row r="818" customFormat="false" ht="15" hidden="false" customHeight="false" outlineLevel="0" collapsed="false">
      <c r="A818" s="3" t="n">
        <v>817</v>
      </c>
      <c r="B818" s="3" t="n">
        <v>816</v>
      </c>
      <c r="C818" s="3" t="n">
        <v>4</v>
      </c>
      <c r="D818" s="3" t="n">
        <v>2</v>
      </c>
      <c r="E818" s="3" t="n">
        <v>4</v>
      </c>
      <c r="F818" s="24" t="n">
        <v>-2.50977826</v>
      </c>
    </row>
    <row r="819" customFormat="false" ht="15" hidden="false" customHeight="false" outlineLevel="0" collapsed="false">
      <c r="A819" s="3" t="n">
        <v>818</v>
      </c>
      <c r="B819" s="3" t="n">
        <v>817</v>
      </c>
      <c r="C819" s="3" t="n">
        <v>4</v>
      </c>
      <c r="D819" s="3" t="n">
        <v>2</v>
      </c>
      <c r="E819" s="3" t="n">
        <v>5</v>
      </c>
      <c r="F819" s="24" t="n">
        <v>-3.02971745</v>
      </c>
    </row>
    <row r="820" customFormat="false" ht="15" hidden="false" customHeight="false" outlineLevel="0" collapsed="false">
      <c r="A820" s="3" t="n">
        <v>819</v>
      </c>
      <c r="B820" s="3" t="n">
        <v>818</v>
      </c>
      <c r="C820" s="3" t="n">
        <v>4</v>
      </c>
      <c r="D820" s="3" t="n">
        <v>2</v>
      </c>
      <c r="E820" s="3" t="n">
        <v>6</v>
      </c>
      <c r="F820" s="24" t="n">
        <v>-2.35745692</v>
      </c>
    </row>
    <row r="821" customFormat="false" ht="15" hidden="false" customHeight="false" outlineLevel="0" collapsed="false">
      <c r="A821" s="3" t="n">
        <v>820</v>
      </c>
      <c r="B821" s="3" t="n">
        <v>819</v>
      </c>
      <c r="C821" s="3" t="n">
        <v>4</v>
      </c>
      <c r="D821" s="3" t="n">
        <v>2</v>
      </c>
      <c r="E821" s="3" t="n">
        <v>7</v>
      </c>
      <c r="F821" s="24" t="n">
        <v>-1.68651152</v>
      </c>
    </row>
    <row r="822" customFormat="false" ht="15" hidden="false" customHeight="false" outlineLevel="0" collapsed="false">
      <c r="A822" s="3" t="n">
        <v>821</v>
      </c>
      <c r="B822" s="3" t="n">
        <v>820</v>
      </c>
      <c r="C822" s="3" t="n">
        <v>4</v>
      </c>
      <c r="D822" s="3" t="n">
        <v>2</v>
      </c>
      <c r="E822" s="3" t="n">
        <v>8</v>
      </c>
      <c r="F822" s="24" t="n">
        <v>-1.59075785</v>
      </c>
    </row>
    <row r="823" customFormat="false" ht="15" hidden="false" customHeight="false" outlineLevel="0" collapsed="false">
      <c r="A823" s="3" t="n">
        <v>822</v>
      </c>
      <c r="B823" s="3" t="n">
        <v>821</v>
      </c>
      <c r="C823" s="3" t="n">
        <v>4</v>
      </c>
      <c r="D823" s="3" t="n">
        <v>2</v>
      </c>
      <c r="E823" s="3" t="n">
        <v>9</v>
      </c>
      <c r="F823" s="24" t="n">
        <v>-1.78125048</v>
      </c>
    </row>
    <row r="824" customFormat="false" ht="15" hidden="false" customHeight="false" outlineLevel="0" collapsed="false">
      <c r="A824" s="3" t="n">
        <v>823</v>
      </c>
      <c r="B824" s="3" t="n">
        <v>822</v>
      </c>
      <c r="C824" s="3" t="n">
        <v>4</v>
      </c>
      <c r="D824" s="3" t="n">
        <v>2</v>
      </c>
      <c r="E824" s="3" t="n">
        <v>10</v>
      </c>
      <c r="F824" s="24" t="n">
        <v>-2.07855773</v>
      </c>
    </row>
    <row r="825" customFormat="false" ht="15" hidden="false" customHeight="false" outlineLevel="0" collapsed="false">
      <c r="A825" s="3" t="n">
        <v>824</v>
      </c>
      <c r="B825" s="3" t="n">
        <v>823</v>
      </c>
      <c r="C825" s="3" t="n">
        <v>4</v>
      </c>
      <c r="D825" s="3" t="n">
        <v>2</v>
      </c>
      <c r="E825" s="3" t="n">
        <v>11</v>
      </c>
      <c r="F825" s="24" t="n">
        <v>-1.51426589</v>
      </c>
    </row>
    <row r="826" customFormat="false" ht="15" hidden="false" customHeight="false" outlineLevel="0" collapsed="false">
      <c r="A826" s="3" t="n">
        <v>825</v>
      </c>
      <c r="B826" s="3" t="n">
        <v>824</v>
      </c>
      <c r="C826" s="3" t="n">
        <v>4</v>
      </c>
      <c r="D826" s="3" t="n">
        <v>2</v>
      </c>
      <c r="E826" s="3" t="n">
        <v>12</v>
      </c>
      <c r="F826" s="24" t="n">
        <v>-0.459800005</v>
      </c>
    </row>
    <row r="827" customFormat="false" ht="15" hidden="false" customHeight="false" outlineLevel="0" collapsed="false">
      <c r="A827" s="3" t="n">
        <v>826</v>
      </c>
      <c r="B827" s="3" t="n">
        <v>825</v>
      </c>
      <c r="C827" s="3" t="n">
        <v>4</v>
      </c>
      <c r="D827" s="3" t="n">
        <v>2</v>
      </c>
      <c r="E827" s="3" t="n">
        <v>13</v>
      </c>
      <c r="F827" s="24" t="n">
        <v>-0.0252214819</v>
      </c>
    </row>
    <row r="828" customFormat="false" ht="15" hidden="false" customHeight="false" outlineLevel="0" collapsed="false">
      <c r="A828" s="3" t="n">
        <v>827</v>
      </c>
      <c r="B828" s="3" t="n">
        <v>826</v>
      </c>
      <c r="C828" s="3" t="n">
        <v>4</v>
      </c>
      <c r="D828" s="3" t="n">
        <v>3</v>
      </c>
      <c r="E828" s="3" t="n">
        <v>0</v>
      </c>
      <c r="F828" s="24" t="n">
        <v>-1.10791719</v>
      </c>
    </row>
    <row r="829" customFormat="false" ht="15" hidden="false" customHeight="false" outlineLevel="0" collapsed="false">
      <c r="A829" s="3" t="n">
        <v>828</v>
      </c>
      <c r="B829" s="3" t="n">
        <v>827</v>
      </c>
      <c r="C829" s="3" t="n">
        <v>4</v>
      </c>
      <c r="D829" s="3" t="n">
        <v>3</v>
      </c>
      <c r="E829" s="3" t="n">
        <v>1</v>
      </c>
      <c r="F829" s="24" t="n">
        <v>-0.618492365</v>
      </c>
    </row>
    <row r="830" customFormat="false" ht="15" hidden="false" customHeight="false" outlineLevel="0" collapsed="false">
      <c r="A830" s="3" t="n">
        <v>829</v>
      </c>
      <c r="B830" s="3" t="n">
        <v>828</v>
      </c>
      <c r="C830" s="3" t="n">
        <v>4</v>
      </c>
      <c r="D830" s="3" t="n">
        <v>3</v>
      </c>
      <c r="E830" s="3" t="n">
        <v>2</v>
      </c>
      <c r="F830" s="24" t="n">
        <v>0.32315731</v>
      </c>
    </row>
    <row r="831" customFormat="false" ht="15" hidden="false" customHeight="false" outlineLevel="0" collapsed="false">
      <c r="A831" s="3" t="n">
        <v>830</v>
      </c>
      <c r="B831" s="3" t="n">
        <v>829</v>
      </c>
      <c r="C831" s="3" t="n">
        <v>4</v>
      </c>
      <c r="D831" s="3" t="n">
        <v>3</v>
      </c>
      <c r="E831" s="3" t="n">
        <v>3</v>
      </c>
      <c r="F831" s="24" t="n">
        <v>-4.9087491</v>
      </c>
    </row>
    <row r="832" customFormat="false" ht="15" hidden="false" customHeight="false" outlineLevel="0" collapsed="false">
      <c r="A832" s="3" t="n">
        <v>831</v>
      </c>
      <c r="B832" s="3" t="n">
        <v>830</v>
      </c>
      <c r="C832" s="3" t="n">
        <v>4</v>
      </c>
      <c r="D832" s="3" t="n">
        <v>3</v>
      </c>
      <c r="E832" s="3" t="n">
        <v>4</v>
      </c>
      <c r="F832" s="24" t="n">
        <v>-10.0034962</v>
      </c>
    </row>
    <row r="833" customFormat="false" ht="15" hidden="false" customHeight="false" outlineLevel="0" collapsed="false">
      <c r="A833" s="3" t="n">
        <v>832</v>
      </c>
      <c r="B833" s="3" t="n">
        <v>831</v>
      </c>
      <c r="C833" s="3" t="n">
        <v>4</v>
      </c>
      <c r="D833" s="3" t="n">
        <v>3</v>
      </c>
      <c r="E833" s="3" t="n">
        <v>5</v>
      </c>
      <c r="F833" s="24" t="n">
        <v>-9.90156555</v>
      </c>
    </row>
    <row r="834" customFormat="false" ht="15" hidden="false" customHeight="false" outlineLevel="0" collapsed="false">
      <c r="A834" s="3" t="n">
        <v>833</v>
      </c>
      <c r="B834" s="3" t="n">
        <v>832</v>
      </c>
      <c r="C834" s="3" t="n">
        <v>4</v>
      </c>
      <c r="D834" s="3" t="n">
        <v>3</v>
      </c>
      <c r="E834" s="3" t="n">
        <v>6</v>
      </c>
      <c r="F834" s="24" t="n">
        <v>-8.63739204</v>
      </c>
    </row>
    <row r="835" customFormat="false" ht="15" hidden="false" customHeight="false" outlineLevel="0" collapsed="false">
      <c r="A835" s="3" t="n">
        <v>834</v>
      </c>
      <c r="B835" s="3" t="n">
        <v>833</v>
      </c>
      <c r="C835" s="3" t="n">
        <v>4</v>
      </c>
      <c r="D835" s="3" t="n">
        <v>3</v>
      </c>
      <c r="E835" s="3" t="n">
        <v>7</v>
      </c>
      <c r="F835" s="24" t="n">
        <v>-7.47852564</v>
      </c>
    </row>
    <row r="836" customFormat="false" ht="15" hidden="false" customHeight="false" outlineLevel="0" collapsed="false">
      <c r="A836" s="3" t="n">
        <v>835</v>
      </c>
      <c r="B836" s="3" t="n">
        <v>834</v>
      </c>
      <c r="C836" s="3" t="n">
        <v>4</v>
      </c>
      <c r="D836" s="3" t="n">
        <v>3</v>
      </c>
      <c r="E836" s="3" t="n">
        <v>8</v>
      </c>
      <c r="F836" s="24" t="n">
        <v>-7.14726019</v>
      </c>
    </row>
    <row r="837" customFormat="false" ht="15" hidden="false" customHeight="false" outlineLevel="0" collapsed="false">
      <c r="A837" s="3" t="n">
        <v>836</v>
      </c>
      <c r="B837" s="3" t="n">
        <v>835</v>
      </c>
      <c r="C837" s="3" t="n">
        <v>4</v>
      </c>
      <c r="D837" s="3" t="n">
        <v>3</v>
      </c>
      <c r="E837" s="3" t="n">
        <v>9</v>
      </c>
      <c r="F837" s="24" t="n">
        <v>-7.00367451</v>
      </c>
    </row>
    <row r="838" customFormat="false" ht="15" hidden="false" customHeight="false" outlineLevel="0" collapsed="false">
      <c r="A838" s="3" t="n">
        <v>837</v>
      </c>
      <c r="B838" s="3" t="n">
        <v>836</v>
      </c>
      <c r="C838" s="3" t="n">
        <v>4</v>
      </c>
      <c r="D838" s="3" t="n">
        <v>3</v>
      </c>
      <c r="E838" s="3" t="n">
        <v>10</v>
      </c>
      <c r="F838" s="24" t="n">
        <v>-8.05361748</v>
      </c>
    </row>
    <row r="839" customFormat="false" ht="15" hidden="false" customHeight="false" outlineLevel="0" collapsed="false">
      <c r="A839" s="3" t="n">
        <v>838</v>
      </c>
      <c r="B839" s="3" t="n">
        <v>837</v>
      </c>
      <c r="C839" s="3" t="n">
        <v>4</v>
      </c>
      <c r="D839" s="3" t="n">
        <v>3</v>
      </c>
      <c r="E839" s="3" t="n">
        <v>11</v>
      </c>
      <c r="F839" s="24" t="n">
        <v>-5.53066158</v>
      </c>
    </row>
    <row r="840" customFormat="false" ht="15" hidden="false" customHeight="false" outlineLevel="0" collapsed="false">
      <c r="A840" s="3" t="n">
        <v>839</v>
      </c>
      <c r="B840" s="3" t="n">
        <v>838</v>
      </c>
      <c r="C840" s="3" t="n">
        <v>4</v>
      </c>
      <c r="D840" s="3" t="n">
        <v>3</v>
      </c>
      <c r="E840" s="3" t="n">
        <v>12</v>
      </c>
      <c r="F840" s="24" t="n">
        <v>-1.0017947</v>
      </c>
    </row>
    <row r="841" customFormat="false" ht="15" hidden="false" customHeight="false" outlineLevel="0" collapsed="false">
      <c r="A841" s="3" t="n">
        <v>840</v>
      </c>
      <c r="B841" s="3" t="n">
        <v>839</v>
      </c>
      <c r="C841" s="3" t="n">
        <v>4</v>
      </c>
      <c r="D841" s="3" t="n">
        <v>3</v>
      </c>
      <c r="E841" s="3" t="n">
        <v>13</v>
      </c>
      <c r="F841" s="24" t="n">
        <v>-0.0252214819</v>
      </c>
    </row>
    <row r="842" customFormat="false" ht="15" hidden="false" customHeight="false" outlineLevel="0" collapsed="false">
      <c r="A842" s="3" t="n">
        <v>841</v>
      </c>
      <c r="B842" s="3" t="n">
        <v>840</v>
      </c>
      <c r="C842" s="3" t="n">
        <v>4</v>
      </c>
      <c r="D842" s="3" t="n">
        <v>4</v>
      </c>
      <c r="E842" s="3" t="n">
        <v>0</v>
      </c>
      <c r="F842" s="24" t="n">
        <v>-1.10791719</v>
      </c>
    </row>
    <row r="843" customFormat="false" ht="15" hidden="false" customHeight="false" outlineLevel="0" collapsed="false">
      <c r="A843" s="3" t="n">
        <v>842</v>
      </c>
      <c r="B843" s="3" t="n">
        <v>841</v>
      </c>
      <c r="C843" s="3" t="n">
        <v>4</v>
      </c>
      <c r="D843" s="3" t="n">
        <v>4</v>
      </c>
      <c r="E843" s="3" t="n">
        <v>1</v>
      </c>
      <c r="F843" s="24" t="n">
        <v>-0.340431958</v>
      </c>
    </row>
    <row r="844" customFormat="false" ht="15" hidden="false" customHeight="false" outlineLevel="0" collapsed="false">
      <c r="A844" s="3" t="n">
        <v>843</v>
      </c>
      <c r="B844" s="3" t="n">
        <v>842</v>
      </c>
      <c r="C844" s="3" t="n">
        <v>4</v>
      </c>
      <c r="D844" s="3" t="n">
        <v>4</v>
      </c>
      <c r="E844" s="3" t="n">
        <v>2</v>
      </c>
      <c r="F844" s="24" t="n">
        <v>0.562819302</v>
      </c>
    </row>
    <row r="845" customFormat="false" ht="15" hidden="false" customHeight="false" outlineLevel="0" collapsed="false">
      <c r="A845" s="3" t="n">
        <v>844</v>
      </c>
      <c r="B845" s="3" t="n">
        <v>843</v>
      </c>
      <c r="C845" s="3" t="n">
        <v>4</v>
      </c>
      <c r="D845" s="3" t="n">
        <v>4</v>
      </c>
      <c r="E845" s="3" t="n">
        <v>3</v>
      </c>
      <c r="F845" s="24" t="n">
        <v>-2.34638381</v>
      </c>
    </row>
    <row r="846" customFormat="false" ht="15" hidden="false" customHeight="false" outlineLevel="0" collapsed="false">
      <c r="A846" s="3" t="n">
        <v>845</v>
      </c>
      <c r="B846" s="3" t="n">
        <v>844</v>
      </c>
      <c r="C846" s="3" t="n">
        <v>4</v>
      </c>
      <c r="D846" s="3" t="n">
        <v>4</v>
      </c>
      <c r="E846" s="3" t="n">
        <v>4</v>
      </c>
      <c r="F846" s="24" t="n">
        <v>-4.62155104</v>
      </c>
    </row>
    <row r="847" customFormat="false" ht="15" hidden="false" customHeight="false" outlineLevel="0" collapsed="false">
      <c r="A847" s="3" t="n">
        <v>846</v>
      </c>
      <c r="B847" s="3" t="n">
        <v>845</v>
      </c>
      <c r="C847" s="3" t="n">
        <v>4</v>
      </c>
      <c r="D847" s="3" t="n">
        <v>4</v>
      </c>
      <c r="E847" s="3" t="n">
        <v>5</v>
      </c>
      <c r="F847" s="24" t="n">
        <v>-7.24325466</v>
      </c>
    </row>
    <row r="848" customFormat="false" ht="15" hidden="false" customHeight="false" outlineLevel="0" collapsed="false">
      <c r="A848" s="3" t="n">
        <v>847</v>
      </c>
      <c r="B848" s="3" t="n">
        <v>846</v>
      </c>
      <c r="C848" s="3" t="n">
        <v>4</v>
      </c>
      <c r="D848" s="3" t="n">
        <v>4</v>
      </c>
      <c r="E848" s="3" t="n">
        <v>6</v>
      </c>
      <c r="F848" s="24" t="n">
        <v>-9.57049751</v>
      </c>
    </row>
    <row r="849" customFormat="false" ht="15" hidden="false" customHeight="false" outlineLevel="0" collapsed="false">
      <c r="A849" s="3" t="n">
        <v>848</v>
      </c>
      <c r="B849" s="3" t="n">
        <v>847</v>
      </c>
      <c r="C849" s="3" t="n">
        <v>4</v>
      </c>
      <c r="D849" s="3" t="n">
        <v>4</v>
      </c>
      <c r="E849" s="3" t="n">
        <v>7</v>
      </c>
      <c r="F849" s="24" t="n">
        <v>-10.2281685</v>
      </c>
    </row>
    <row r="850" customFormat="false" ht="15" hidden="false" customHeight="false" outlineLevel="0" collapsed="false">
      <c r="A850" s="3" t="n">
        <v>849</v>
      </c>
      <c r="B850" s="3" t="n">
        <v>848</v>
      </c>
      <c r="C850" s="3" t="n">
        <v>4</v>
      </c>
      <c r="D850" s="3" t="n">
        <v>4</v>
      </c>
      <c r="E850" s="3" t="n">
        <v>8</v>
      </c>
      <c r="F850" s="24" t="n">
        <v>-6.90848017</v>
      </c>
    </row>
    <row r="851" customFormat="false" ht="15" hidden="false" customHeight="false" outlineLevel="0" collapsed="false">
      <c r="A851" s="3" t="n">
        <v>850</v>
      </c>
      <c r="B851" s="3" t="n">
        <v>849</v>
      </c>
      <c r="C851" s="3" t="n">
        <v>4</v>
      </c>
      <c r="D851" s="3" t="n">
        <v>4</v>
      </c>
      <c r="E851" s="3" t="n">
        <v>9</v>
      </c>
      <c r="F851" s="24" t="n">
        <v>-6.0436182</v>
      </c>
    </row>
    <row r="852" customFormat="false" ht="15" hidden="false" customHeight="false" outlineLevel="0" collapsed="false">
      <c r="A852" s="3" t="n">
        <v>851</v>
      </c>
      <c r="B852" s="3" t="n">
        <v>850</v>
      </c>
      <c r="C852" s="3" t="n">
        <v>4</v>
      </c>
      <c r="D852" s="3" t="n">
        <v>4</v>
      </c>
      <c r="E852" s="3" t="n">
        <v>10</v>
      </c>
      <c r="F852" s="24" t="n">
        <v>-10.3550968</v>
      </c>
    </row>
    <row r="853" customFormat="false" ht="15" hidden="false" customHeight="false" outlineLevel="0" collapsed="false">
      <c r="A853" s="3" t="n">
        <v>852</v>
      </c>
      <c r="B853" s="3" t="n">
        <v>851</v>
      </c>
      <c r="C853" s="3" t="n">
        <v>4</v>
      </c>
      <c r="D853" s="3" t="n">
        <v>4</v>
      </c>
      <c r="E853" s="3" t="n">
        <v>11</v>
      </c>
      <c r="F853" s="24" t="n">
        <v>-8.21227169</v>
      </c>
    </row>
    <row r="854" customFormat="false" ht="15" hidden="false" customHeight="false" outlineLevel="0" collapsed="false">
      <c r="A854" s="3" t="n">
        <v>853</v>
      </c>
      <c r="B854" s="3" t="n">
        <v>852</v>
      </c>
      <c r="C854" s="3" t="n">
        <v>4</v>
      </c>
      <c r="D854" s="3" t="n">
        <v>4</v>
      </c>
      <c r="E854" s="3" t="n">
        <v>12</v>
      </c>
      <c r="F854" s="24" t="n">
        <v>-1.68031323</v>
      </c>
    </row>
    <row r="855" customFormat="false" ht="15" hidden="false" customHeight="false" outlineLevel="0" collapsed="false">
      <c r="A855" s="3" t="n">
        <v>854</v>
      </c>
      <c r="B855" s="3" t="n">
        <v>853</v>
      </c>
      <c r="C855" s="3" t="n">
        <v>4</v>
      </c>
      <c r="D855" s="3" t="n">
        <v>4</v>
      </c>
      <c r="E855" s="3" t="n">
        <v>13</v>
      </c>
      <c r="F855" s="24" t="n">
        <v>-0.0252214819</v>
      </c>
    </row>
    <row r="856" customFormat="false" ht="15" hidden="false" customHeight="false" outlineLevel="0" collapsed="false">
      <c r="A856" s="3" t="n">
        <v>855</v>
      </c>
      <c r="B856" s="3" t="n">
        <v>854</v>
      </c>
      <c r="C856" s="3" t="n">
        <v>4</v>
      </c>
      <c r="D856" s="3" t="n">
        <v>5</v>
      </c>
      <c r="E856" s="3" t="n">
        <v>0</v>
      </c>
      <c r="F856" s="24" t="n">
        <v>-1.10791719</v>
      </c>
    </row>
    <row r="857" customFormat="false" ht="15" hidden="false" customHeight="false" outlineLevel="0" collapsed="false">
      <c r="A857" s="3" t="n">
        <v>856</v>
      </c>
      <c r="B857" s="3" t="n">
        <v>855</v>
      </c>
      <c r="C857" s="3" t="n">
        <v>4</v>
      </c>
      <c r="D857" s="3" t="n">
        <v>5</v>
      </c>
      <c r="E857" s="3" t="n">
        <v>1</v>
      </c>
      <c r="F857" s="24" t="n">
        <v>-0.326843411</v>
      </c>
    </row>
    <row r="858" customFormat="false" ht="15" hidden="false" customHeight="false" outlineLevel="0" collapsed="false">
      <c r="A858" s="3" t="n">
        <v>857</v>
      </c>
      <c r="B858" s="3" t="n">
        <v>856</v>
      </c>
      <c r="C858" s="3" t="n">
        <v>4</v>
      </c>
      <c r="D858" s="3" t="n">
        <v>5</v>
      </c>
      <c r="E858" s="3" t="n">
        <v>2</v>
      </c>
      <c r="F858" s="24" t="n">
        <v>-0.452937424</v>
      </c>
    </row>
    <row r="859" customFormat="false" ht="15" hidden="false" customHeight="false" outlineLevel="0" collapsed="false">
      <c r="A859" s="3" t="n">
        <v>858</v>
      </c>
      <c r="B859" s="3" t="n">
        <v>857</v>
      </c>
      <c r="C859" s="3" t="n">
        <v>4</v>
      </c>
      <c r="D859" s="3" t="n">
        <v>5</v>
      </c>
      <c r="E859" s="3" t="n">
        <v>3</v>
      </c>
      <c r="F859" s="24" t="n">
        <v>-1.08891106</v>
      </c>
    </row>
    <row r="860" customFormat="false" ht="15" hidden="false" customHeight="false" outlineLevel="0" collapsed="false">
      <c r="A860" s="3" t="n">
        <v>859</v>
      </c>
      <c r="B860" s="3" t="n">
        <v>858</v>
      </c>
      <c r="C860" s="3" t="n">
        <v>4</v>
      </c>
      <c r="D860" s="3" t="n">
        <v>5</v>
      </c>
      <c r="E860" s="3" t="n">
        <v>4</v>
      </c>
      <c r="F860" s="24" t="n">
        <v>-0.226482511</v>
      </c>
    </row>
    <row r="861" customFormat="false" ht="15" hidden="false" customHeight="false" outlineLevel="0" collapsed="false">
      <c r="A861" s="3" t="n">
        <v>860</v>
      </c>
      <c r="B861" s="3" t="n">
        <v>859</v>
      </c>
      <c r="C861" s="3" t="n">
        <v>4</v>
      </c>
      <c r="D861" s="3" t="n">
        <v>5</v>
      </c>
      <c r="E861" s="3" t="n">
        <v>5</v>
      </c>
      <c r="F861" s="24" t="n">
        <v>0.683881819</v>
      </c>
    </row>
    <row r="862" customFormat="false" ht="15" hidden="false" customHeight="false" outlineLevel="0" collapsed="false">
      <c r="A862" s="3" t="n">
        <v>861</v>
      </c>
      <c r="B862" s="3" t="n">
        <v>860</v>
      </c>
      <c r="C862" s="3" t="n">
        <v>4</v>
      </c>
      <c r="D862" s="3" t="n">
        <v>5</v>
      </c>
      <c r="E862" s="3" t="n">
        <v>6</v>
      </c>
      <c r="F862" s="24" t="n">
        <v>0.839912772</v>
      </c>
    </row>
    <row r="863" customFormat="false" ht="15" hidden="false" customHeight="false" outlineLevel="0" collapsed="false">
      <c r="A863" s="3" t="n">
        <v>862</v>
      </c>
      <c r="B863" s="3" t="n">
        <v>861</v>
      </c>
      <c r="C863" s="3" t="n">
        <v>4</v>
      </c>
      <c r="D863" s="3" t="n">
        <v>5</v>
      </c>
      <c r="E863" s="3" t="n">
        <v>7</v>
      </c>
      <c r="F863" s="24" t="n">
        <v>2.6520102</v>
      </c>
    </row>
    <row r="864" customFormat="false" ht="15" hidden="false" customHeight="false" outlineLevel="0" collapsed="false">
      <c r="A864" s="3" t="n">
        <v>863</v>
      </c>
      <c r="B864" s="3" t="n">
        <v>862</v>
      </c>
      <c r="C864" s="3" t="n">
        <v>4</v>
      </c>
      <c r="D864" s="3" t="n">
        <v>5</v>
      </c>
      <c r="E864" s="3" t="n">
        <v>8</v>
      </c>
      <c r="F864" s="24" t="n">
        <v>7.81758022</v>
      </c>
    </row>
    <row r="865" customFormat="false" ht="15" hidden="false" customHeight="false" outlineLevel="0" collapsed="false">
      <c r="A865" s="3" t="n">
        <v>864</v>
      </c>
      <c r="B865" s="3" t="n">
        <v>863</v>
      </c>
      <c r="C865" s="3" t="n">
        <v>4</v>
      </c>
      <c r="D865" s="3" t="n">
        <v>5</v>
      </c>
      <c r="E865" s="3" t="n">
        <v>9</v>
      </c>
      <c r="F865" s="24" t="n">
        <v>2.40938401</v>
      </c>
    </row>
    <row r="866" customFormat="false" ht="15" hidden="false" customHeight="false" outlineLevel="0" collapsed="false">
      <c r="A866" s="3" t="n">
        <v>865</v>
      </c>
      <c r="B866" s="3" t="n">
        <v>864</v>
      </c>
      <c r="C866" s="3" t="n">
        <v>4</v>
      </c>
      <c r="D866" s="3" t="n">
        <v>5</v>
      </c>
      <c r="E866" s="3" t="n">
        <v>10</v>
      </c>
      <c r="F866" s="24" t="n">
        <v>-6.87023306</v>
      </c>
    </row>
    <row r="867" customFormat="false" ht="15" hidden="false" customHeight="false" outlineLevel="0" collapsed="false">
      <c r="A867" s="3" t="n">
        <v>866</v>
      </c>
      <c r="B867" s="3" t="n">
        <v>865</v>
      </c>
      <c r="C867" s="3" t="n">
        <v>4</v>
      </c>
      <c r="D867" s="3" t="n">
        <v>5</v>
      </c>
      <c r="E867" s="3" t="n">
        <v>11</v>
      </c>
      <c r="F867" s="24" t="n">
        <v>-5.4595046</v>
      </c>
    </row>
    <row r="868" customFormat="false" ht="15" hidden="false" customHeight="false" outlineLevel="0" collapsed="false">
      <c r="A868" s="3" t="n">
        <v>867</v>
      </c>
      <c r="B868" s="3" t="n">
        <v>866</v>
      </c>
      <c r="C868" s="3" t="n">
        <v>4</v>
      </c>
      <c r="D868" s="3" t="n">
        <v>5</v>
      </c>
      <c r="E868" s="3" t="n">
        <v>12</v>
      </c>
      <c r="F868" s="24" t="n">
        <v>-0.885213077</v>
      </c>
    </row>
    <row r="869" customFormat="false" ht="15" hidden="false" customHeight="false" outlineLevel="0" collapsed="false">
      <c r="A869" s="3" t="n">
        <v>868</v>
      </c>
      <c r="B869" s="3" t="n">
        <v>867</v>
      </c>
      <c r="C869" s="3" t="n">
        <v>4</v>
      </c>
      <c r="D869" s="3" t="n">
        <v>5</v>
      </c>
      <c r="E869" s="3" t="n">
        <v>13</v>
      </c>
      <c r="F869" s="24" t="n">
        <v>-0.0252214819</v>
      </c>
    </row>
    <row r="870" customFormat="false" ht="15" hidden="false" customHeight="false" outlineLevel="0" collapsed="false">
      <c r="A870" s="3" t="n">
        <v>869</v>
      </c>
      <c r="B870" s="3" t="n">
        <v>868</v>
      </c>
      <c r="C870" s="3" t="n">
        <v>4</v>
      </c>
      <c r="D870" s="3" t="n">
        <v>6</v>
      </c>
      <c r="E870" s="3" t="n">
        <v>0</v>
      </c>
      <c r="F870" s="24" t="n">
        <v>-1.10791719</v>
      </c>
    </row>
    <row r="871" customFormat="false" ht="15" hidden="false" customHeight="false" outlineLevel="0" collapsed="false">
      <c r="A871" s="3" t="n">
        <v>870</v>
      </c>
      <c r="B871" s="3" t="n">
        <v>869</v>
      </c>
      <c r="C871" s="3" t="n">
        <v>4</v>
      </c>
      <c r="D871" s="3" t="n">
        <v>6</v>
      </c>
      <c r="E871" s="3" t="n">
        <v>1</v>
      </c>
      <c r="F871" s="24" t="n">
        <v>-1.23892677</v>
      </c>
    </row>
    <row r="872" customFormat="false" ht="15" hidden="false" customHeight="false" outlineLevel="0" collapsed="false">
      <c r="A872" s="3" t="n">
        <v>871</v>
      </c>
      <c r="B872" s="3" t="n">
        <v>870</v>
      </c>
      <c r="C872" s="3" t="n">
        <v>4</v>
      </c>
      <c r="D872" s="3" t="n">
        <v>6</v>
      </c>
      <c r="E872" s="3" t="n">
        <v>2</v>
      </c>
      <c r="F872" s="24" t="n">
        <v>-1.39239645</v>
      </c>
    </row>
    <row r="873" customFormat="false" ht="15" hidden="false" customHeight="false" outlineLevel="0" collapsed="false">
      <c r="A873" s="3" t="n">
        <v>872</v>
      </c>
      <c r="B873" s="3" t="n">
        <v>871</v>
      </c>
      <c r="C873" s="3" t="n">
        <v>4</v>
      </c>
      <c r="D873" s="3" t="n">
        <v>6</v>
      </c>
      <c r="E873" s="3" t="n">
        <v>3</v>
      </c>
      <c r="F873" s="24" t="n">
        <v>-1.67470825</v>
      </c>
    </row>
    <row r="874" customFormat="false" ht="15" hidden="false" customHeight="false" outlineLevel="0" collapsed="false">
      <c r="A874" s="3" t="n">
        <v>873</v>
      </c>
      <c r="B874" s="3" t="n">
        <v>872</v>
      </c>
      <c r="C874" s="3" t="n">
        <v>4</v>
      </c>
      <c r="D874" s="3" t="n">
        <v>6</v>
      </c>
      <c r="E874" s="3" t="n">
        <v>4</v>
      </c>
      <c r="F874" s="24" t="n">
        <v>-1.72372282</v>
      </c>
    </row>
    <row r="875" customFormat="false" ht="15" hidden="false" customHeight="false" outlineLevel="0" collapsed="false">
      <c r="A875" s="3" t="n">
        <v>874</v>
      </c>
      <c r="B875" s="3" t="n">
        <v>873</v>
      </c>
      <c r="C875" s="3" t="n">
        <v>4</v>
      </c>
      <c r="D875" s="3" t="n">
        <v>6</v>
      </c>
      <c r="E875" s="3" t="n">
        <v>5</v>
      </c>
      <c r="F875" s="24" t="n">
        <v>-1.83381748</v>
      </c>
    </row>
    <row r="876" customFormat="false" ht="15" hidden="false" customHeight="false" outlineLevel="0" collapsed="false">
      <c r="A876" s="3" t="n">
        <v>875</v>
      </c>
      <c r="B876" s="3" t="n">
        <v>874</v>
      </c>
      <c r="C876" s="3" t="n">
        <v>4</v>
      </c>
      <c r="D876" s="3" t="n">
        <v>6</v>
      </c>
      <c r="E876" s="3" t="n">
        <v>6</v>
      </c>
      <c r="F876" s="24" t="n">
        <v>-1.1295073</v>
      </c>
    </row>
    <row r="877" customFormat="false" ht="15" hidden="false" customHeight="false" outlineLevel="0" collapsed="false">
      <c r="A877" s="3" t="n">
        <v>876</v>
      </c>
      <c r="B877" s="3" t="n">
        <v>875</v>
      </c>
      <c r="C877" s="3" t="n">
        <v>4</v>
      </c>
      <c r="D877" s="3" t="n">
        <v>6</v>
      </c>
      <c r="E877" s="3" t="n">
        <v>7</v>
      </c>
      <c r="F877" s="24" t="n">
        <v>3.41702175</v>
      </c>
    </row>
    <row r="878" customFormat="false" ht="15" hidden="false" customHeight="false" outlineLevel="0" collapsed="false">
      <c r="A878" s="3" t="n">
        <v>877</v>
      </c>
      <c r="B878" s="3" t="n">
        <v>876</v>
      </c>
      <c r="C878" s="3" t="n">
        <v>4</v>
      </c>
      <c r="D878" s="3" t="n">
        <v>6</v>
      </c>
      <c r="E878" s="3" t="n">
        <v>8</v>
      </c>
      <c r="F878" s="24" t="n">
        <v>5.27686977</v>
      </c>
    </row>
    <row r="879" customFormat="false" ht="15" hidden="false" customHeight="false" outlineLevel="0" collapsed="false">
      <c r="A879" s="3" t="n">
        <v>878</v>
      </c>
      <c r="B879" s="3" t="n">
        <v>877</v>
      </c>
      <c r="C879" s="3" t="n">
        <v>4</v>
      </c>
      <c r="D879" s="3" t="n">
        <v>6</v>
      </c>
      <c r="E879" s="3" t="n">
        <v>9</v>
      </c>
      <c r="F879" s="24" t="n">
        <v>-4.81383467</v>
      </c>
    </row>
    <row r="880" customFormat="false" ht="15" hidden="false" customHeight="false" outlineLevel="0" collapsed="false">
      <c r="A880" s="3" t="n">
        <v>879</v>
      </c>
      <c r="B880" s="3" t="n">
        <v>878</v>
      </c>
      <c r="C880" s="3" t="n">
        <v>4</v>
      </c>
      <c r="D880" s="3" t="n">
        <v>6</v>
      </c>
      <c r="E880" s="3" t="n">
        <v>10</v>
      </c>
      <c r="F880" s="24" t="n">
        <v>-7.99366283</v>
      </c>
    </row>
    <row r="881" customFormat="false" ht="15" hidden="false" customHeight="false" outlineLevel="0" collapsed="false">
      <c r="A881" s="3" t="n">
        <v>880</v>
      </c>
      <c r="B881" s="3" t="n">
        <v>879</v>
      </c>
      <c r="C881" s="3" t="n">
        <v>4</v>
      </c>
      <c r="D881" s="3" t="n">
        <v>6</v>
      </c>
      <c r="E881" s="3" t="n">
        <v>11</v>
      </c>
      <c r="F881" s="24" t="n">
        <v>-3.34947658</v>
      </c>
    </row>
    <row r="882" customFormat="false" ht="15" hidden="false" customHeight="false" outlineLevel="0" collapsed="false">
      <c r="A882" s="3" t="n">
        <v>881</v>
      </c>
      <c r="B882" s="3" t="n">
        <v>880</v>
      </c>
      <c r="C882" s="3" t="n">
        <v>4</v>
      </c>
      <c r="D882" s="3" t="n">
        <v>6</v>
      </c>
      <c r="E882" s="3" t="n">
        <v>12</v>
      </c>
      <c r="F882" s="24" t="n">
        <v>-0.385785043</v>
      </c>
    </row>
    <row r="883" customFormat="false" ht="15" hidden="false" customHeight="false" outlineLevel="0" collapsed="false">
      <c r="A883" s="3" t="n">
        <v>882</v>
      </c>
      <c r="B883" s="3" t="n">
        <v>881</v>
      </c>
      <c r="C883" s="3" t="n">
        <v>4</v>
      </c>
      <c r="D883" s="3" t="n">
        <v>6</v>
      </c>
      <c r="E883" s="3" t="n">
        <v>13</v>
      </c>
      <c r="F883" s="24" t="n">
        <v>-0.0252214819</v>
      </c>
    </row>
    <row r="884" customFormat="false" ht="15" hidden="false" customHeight="false" outlineLevel="0" collapsed="false">
      <c r="A884" s="3" t="n">
        <v>883</v>
      </c>
      <c r="B884" s="3" t="n">
        <v>882</v>
      </c>
      <c r="C884" s="3" t="n">
        <v>4</v>
      </c>
      <c r="D884" s="3" t="n">
        <v>7</v>
      </c>
      <c r="E884" s="3" t="n">
        <v>0</v>
      </c>
      <c r="F884" s="24" t="n">
        <v>-1.10791719</v>
      </c>
    </row>
    <row r="885" customFormat="false" ht="15" hidden="false" customHeight="false" outlineLevel="0" collapsed="false">
      <c r="A885" s="3" t="n">
        <v>884</v>
      </c>
      <c r="B885" s="3" t="n">
        <v>883</v>
      </c>
      <c r="C885" s="3" t="n">
        <v>4</v>
      </c>
      <c r="D885" s="3" t="n">
        <v>7</v>
      </c>
      <c r="E885" s="3" t="n">
        <v>1</v>
      </c>
      <c r="F885" s="24" t="n">
        <v>-1.13510716</v>
      </c>
    </row>
    <row r="886" customFormat="false" ht="15" hidden="false" customHeight="false" outlineLevel="0" collapsed="false">
      <c r="A886" s="3" t="n">
        <v>885</v>
      </c>
      <c r="B886" s="3" t="n">
        <v>884</v>
      </c>
      <c r="C886" s="3" t="n">
        <v>4</v>
      </c>
      <c r="D886" s="3" t="n">
        <v>7</v>
      </c>
      <c r="E886" s="3" t="n">
        <v>2</v>
      </c>
      <c r="F886" s="24" t="n">
        <v>-0.850338578</v>
      </c>
    </row>
    <row r="887" customFormat="false" ht="15" hidden="false" customHeight="false" outlineLevel="0" collapsed="false">
      <c r="A887" s="3" t="n">
        <v>886</v>
      </c>
      <c r="B887" s="3" t="n">
        <v>885</v>
      </c>
      <c r="C887" s="3" t="n">
        <v>4</v>
      </c>
      <c r="D887" s="3" t="n">
        <v>7</v>
      </c>
      <c r="E887" s="3" t="n">
        <v>3</v>
      </c>
      <c r="F887" s="24" t="n">
        <v>-0.850338578</v>
      </c>
    </row>
    <row r="888" customFormat="false" ht="15" hidden="false" customHeight="false" outlineLevel="0" collapsed="false">
      <c r="A888" s="3" t="n">
        <v>887</v>
      </c>
      <c r="B888" s="3" t="n">
        <v>886</v>
      </c>
      <c r="C888" s="3" t="n">
        <v>4</v>
      </c>
      <c r="D888" s="3" t="n">
        <v>7</v>
      </c>
      <c r="E888" s="3" t="n">
        <v>4</v>
      </c>
      <c r="F888" s="24" t="n">
        <v>-0.850338578</v>
      </c>
    </row>
    <row r="889" customFormat="false" ht="15" hidden="false" customHeight="false" outlineLevel="0" collapsed="false">
      <c r="A889" s="3" t="n">
        <v>888</v>
      </c>
      <c r="B889" s="3" t="n">
        <v>887</v>
      </c>
      <c r="C889" s="3" t="n">
        <v>4</v>
      </c>
      <c r="D889" s="3" t="n">
        <v>7</v>
      </c>
      <c r="E889" s="3" t="n">
        <v>5</v>
      </c>
      <c r="F889" s="24" t="n">
        <v>-1.01255989</v>
      </c>
    </row>
    <row r="890" customFormat="false" ht="15" hidden="false" customHeight="false" outlineLevel="0" collapsed="false">
      <c r="A890" s="3" t="n">
        <v>889</v>
      </c>
      <c r="B890" s="3" t="n">
        <v>888</v>
      </c>
      <c r="C890" s="3" t="n">
        <v>4</v>
      </c>
      <c r="D890" s="3" t="n">
        <v>7</v>
      </c>
      <c r="E890" s="3" t="n">
        <v>6</v>
      </c>
      <c r="F890" s="24" t="n">
        <v>1.12529016</v>
      </c>
    </row>
    <row r="891" customFormat="false" ht="15" hidden="false" customHeight="false" outlineLevel="0" collapsed="false">
      <c r="A891" s="3" t="n">
        <v>890</v>
      </c>
      <c r="B891" s="3" t="n">
        <v>889</v>
      </c>
      <c r="C891" s="3" t="n">
        <v>4</v>
      </c>
      <c r="D891" s="3" t="n">
        <v>7</v>
      </c>
      <c r="E891" s="3" t="n">
        <v>7</v>
      </c>
      <c r="F891" s="24" t="n">
        <v>6.82287025</v>
      </c>
    </row>
    <row r="892" customFormat="false" ht="15" hidden="false" customHeight="false" outlineLevel="0" collapsed="false">
      <c r="A892" s="3" t="n">
        <v>891</v>
      </c>
      <c r="B892" s="3" t="n">
        <v>890</v>
      </c>
      <c r="C892" s="3" t="n">
        <v>4</v>
      </c>
      <c r="D892" s="3" t="n">
        <v>7</v>
      </c>
      <c r="E892" s="3" t="n">
        <v>8</v>
      </c>
      <c r="F892" s="24" t="n">
        <v>1.93264997</v>
      </c>
    </row>
    <row r="893" customFormat="false" ht="15" hidden="false" customHeight="false" outlineLevel="0" collapsed="false">
      <c r="A893" s="3" t="n">
        <v>892</v>
      </c>
      <c r="B893" s="3" t="n">
        <v>891</v>
      </c>
      <c r="C893" s="3" t="n">
        <v>4</v>
      </c>
      <c r="D893" s="3" t="n">
        <v>7</v>
      </c>
      <c r="E893" s="3" t="n">
        <v>9</v>
      </c>
      <c r="F893" s="24" t="n">
        <v>-7.09682703</v>
      </c>
    </row>
    <row r="894" customFormat="false" ht="15" hidden="false" customHeight="false" outlineLevel="0" collapsed="false">
      <c r="A894" s="3" t="n">
        <v>893</v>
      </c>
      <c r="B894" s="3" t="n">
        <v>892</v>
      </c>
      <c r="C894" s="3" t="n">
        <v>4</v>
      </c>
      <c r="D894" s="3" t="n">
        <v>7</v>
      </c>
      <c r="E894" s="3" t="n">
        <v>10</v>
      </c>
      <c r="F894" s="24" t="n">
        <v>-5.56719255</v>
      </c>
    </row>
    <row r="895" customFormat="false" ht="15" hidden="false" customHeight="false" outlineLevel="0" collapsed="false">
      <c r="A895" s="3" t="n">
        <v>894</v>
      </c>
      <c r="B895" s="3" t="n">
        <v>893</v>
      </c>
      <c r="C895" s="3" t="n">
        <v>4</v>
      </c>
      <c r="D895" s="3" t="n">
        <v>7</v>
      </c>
      <c r="E895" s="3" t="n">
        <v>11</v>
      </c>
      <c r="F895" s="24" t="n">
        <v>-1.34212375</v>
      </c>
    </row>
    <row r="896" customFormat="false" ht="15" hidden="false" customHeight="false" outlineLevel="0" collapsed="false">
      <c r="A896" s="3" t="n">
        <v>895</v>
      </c>
      <c r="B896" s="3" t="n">
        <v>894</v>
      </c>
      <c r="C896" s="3" t="n">
        <v>4</v>
      </c>
      <c r="D896" s="3" t="n">
        <v>7</v>
      </c>
      <c r="E896" s="3" t="n">
        <v>12</v>
      </c>
      <c r="F896" s="24" t="n">
        <v>-0.421391338</v>
      </c>
    </row>
    <row r="897" customFormat="false" ht="15" hidden="false" customHeight="false" outlineLevel="0" collapsed="false">
      <c r="A897" s="3" t="n">
        <v>896</v>
      </c>
      <c r="B897" s="3" t="n">
        <v>895</v>
      </c>
      <c r="C897" s="3" t="n">
        <v>4</v>
      </c>
      <c r="D897" s="3" t="n">
        <v>7</v>
      </c>
      <c r="E897" s="3" t="n">
        <v>13</v>
      </c>
      <c r="F897" s="24" t="n">
        <v>-0.0252214819</v>
      </c>
    </row>
    <row r="898" customFormat="false" ht="15" hidden="false" customHeight="false" outlineLevel="0" collapsed="false">
      <c r="A898" s="3" t="n">
        <v>897</v>
      </c>
      <c r="B898" s="3" t="n">
        <v>896</v>
      </c>
      <c r="C898" s="3" t="n">
        <v>4</v>
      </c>
      <c r="D898" s="3" t="n">
        <v>8</v>
      </c>
      <c r="E898" s="3" t="n">
        <v>0</v>
      </c>
      <c r="F898" s="24" t="n">
        <v>-1.10791719</v>
      </c>
    </row>
    <row r="899" customFormat="false" ht="15" hidden="false" customHeight="false" outlineLevel="0" collapsed="false">
      <c r="A899" s="3" t="n">
        <v>898</v>
      </c>
      <c r="B899" s="3" t="n">
        <v>897</v>
      </c>
      <c r="C899" s="3" t="n">
        <v>4</v>
      </c>
      <c r="D899" s="3" t="n">
        <v>8</v>
      </c>
      <c r="E899" s="3" t="n">
        <v>1</v>
      </c>
      <c r="F899" s="24" t="n">
        <v>-1.13510716</v>
      </c>
    </row>
    <row r="900" customFormat="false" ht="15" hidden="false" customHeight="false" outlineLevel="0" collapsed="false">
      <c r="A900" s="3" t="n">
        <v>899</v>
      </c>
      <c r="B900" s="3" t="n">
        <v>898</v>
      </c>
      <c r="C900" s="3" t="n">
        <v>4</v>
      </c>
      <c r="D900" s="3" t="n">
        <v>8</v>
      </c>
      <c r="E900" s="3" t="n">
        <v>2</v>
      </c>
      <c r="F900" s="24" t="n">
        <v>-0.850338578</v>
      </c>
    </row>
    <row r="901" customFormat="false" ht="15" hidden="false" customHeight="false" outlineLevel="0" collapsed="false">
      <c r="A901" s="3" t="n">
        <v>900</v>
      </c>
      <c r="B901" s="3" t="n">
        <v>899</v>
      </c>
      <c r="C901" s="3" t="n">
        <v>4</v>
      </c>
      <c r="D901" s="3" t="n">
        <v>8</v>
      </c>
      <c r="E901" s="3" t="n">
        <v>3</v>
      </c>
      <c r="F901" s="24" t="n">
        <v>-0.850338578</v>
      </c>
    </row>
    <row r="902" customFormat="false" ht="15" hidden="false" customHeight="false" outlineLevel="0" collapsed="false">
      <c r="A902" s="3" t="n">
        <v>901</v>
      </c>
      <c r="B902" s="3" t="n">
        <v>900</v>
      </c>
      <c r="C902" s="3" t="n">
        <v>4</v>
      </c>
      <c r="D902" s="3" t="n">
        <v>8</v>
      </c>
      <c r="E902" s="3" t="n">
        <v>4</v>
      </c>
      <c r="F902" s="24" t="n">
        <v>-0.857959032</v>
      </c>
    </row>
    <row r="903" customFormat="false" ht="15" hidden="false" customHeight="false" outlineLevel="0" collapsed="false">
      <c r="A903" s="3" t="n">
        <v>902</v>
      </c>
      <c r="B903" s="3" t="n">
        <v>901</v>
      </c>
      <c r="C903" s="3" t="n">
        <v>4</v>
      </c>
      <c r="D903" s="3" t="n">
        <v>8</v>
      </c>
      <c r="E903" s="3" t="n">
        <v>5</v>
      </c>
      <c r="F903" s="24" t="n">
        <v>0.231953382</v>
      </c>
    </row>
    <row r="904" customFormat="false" ht="15" hidden="false" customHeight="false" outlineLevel="0" collapsed="false">
      <c r="A904" s="3" t="n">
        <v>903</v>
      </c>
      <c r="B904" s="3" t="n">
        <v>902</v>
      </c>
      <c r="C904" s="3" t="n">
        <v>4</v>
      </c>
      <c r="D904" s="3" t="n">
        <v>8</v>
      </c>
      <c r="E904" s="3" t="n">
        <v>6</v>
      </c>
      <c r="F904" s="24" t="n">
        <v>4.43710041</v>
      </c>
    </row>
    <row r="905" customFormat="false" ht="15" hidden="false" customHeight="false" outlineLevel="0" collapsed="false">
      <c r="A905" s="3" t="n">
        <v>904</v>
      </c>
      <c r="B905" s="3" t="n">
        <v>903</v>
      </c>
      <c r="C905" s="3" t="n">
        <v>4</v>
      </c>
      <c r="D905" s="3" t="n">
        <v>8</v>
      </c>
      <c r="E905" s="3" t="n">
        <v>7</v>
      </c>
      <c r="F905" s="24" t="n">
        <v>4.79451084</v>
      </c>
    </row>
    <row r="906" customFormat="false" ht="15" hidden="false" customHeight="false" outlineLevel="0" collapsed="false">
      <c r="A906" s="3" t="n">
        <v>905</v>
      </c>
      <c r="B906" s="3" t="n">
        <v>904</v>
      </c>
      <c r="C906" s="3" t="n">
        <v>4</v>
      </c>
      <c r="D906" s="3" t="n">
        <v>8</v>
      </c>
      <c r="E906" s="3" t="n">
        <v>8</v>
      </c>
      <c r="F906" s="24" t="n">
        <v>-5.03875399</v>
      </c>
    </row>
    <row r="907" customFormat="false" ht="15" hidden="false" customHeight="false" outlineLevel="0" collapsed="false">
      <c r="A907" s="3" t="n">
        <v>906</v>
      </c>
      <c r="B907" s="3" t="n">
        <v>905</v>
      </c>
      <c r="C907" s="3" t="n">
        <v>4</v>
      </c>
      <c r="D907" s="3" t="n">
        <v>8</v>
      </c>
      <c r="E907" s="3" t="n">
        <v>9</v>
      </c>
      <c r="F907" s="24" t="n">
        <v>-7.66777706</v>
      </c>
    </row>
    <row r="908" customFormat="false" ht="15" hidden="false" customHeight="false" outlineLevel="0" collapsed="false">
      <c r="A908" s="3" t="n">
        <v>907</v>
      </c>
      <c r="B908" s="3" t="n">
        <v>906</v>
      </c>
      <c r="C908" s="3" t="n">
        <v>4</v>
      </c>
      <c r="D908" s="3" t="n">
        <v>8</v>
      </c>
      <c r="E908" s="3" t="n">
        <v>10</v>
      </c>
      <c r="F908" s="24" t="n">
        <v>-2.77731872</v>
      </c>
    </row>
    <row r="909" customFormat="false" ht="15" hidden="false" customHeight="false" outlineLevel="0" collapsed="false">
      <c r="A909" s="3" t="n">
        <v>908</v>
      </c>
      <c r="B909" s="3" t="n">
        <v>907</v>
      </c>
      <c r="C909" s="3" t="n">
        <v>4</v>
      </c>
      <c r="D909" s="3" t="n">
        <v>8</v>
      </c>
      <c r="E909" s="3" t="n">
        <v>11</v>
      </c>
      <c r="F909" s="24" t="n">
        <v>-0.754852653</v>
      </c>
    </row>
    <row r="910" customFormat="false" ht="15" hidden="false" customHeight="false" outlineLevel="0" collapsed="false">
      <c r="A910" s="3" t="n">
        <v>909</v>
      </c>
      <c r="B910" s="3" t="n">
        <v>908</v>
      </c>
      <c r="C910" s="3" t="n">
        <v>4</v>
      </c>
      <c r="D910" s="3" t="n">
        <v>8</v>
      </c>
      <c r="E910" s="3" t="n">
        <v>12</v>
      </c>
      <c r="F910" s="24" t="n">
        <v>-0.426327705</v>
      </c>
    </row>
    <row r="911" customFormat="false" ht="15" hidden="false" customHeight="false" outlineLevel="0" collapsed="false">
      <c r="A911" s="3" t="n">
        <v>910</v>
      </c>
      <c r="B911" s="3" t="n">
        <v>909</v>
      </c>
      <c r="C911" s="3" t="n">
        <v>4</v>
      </c>
      <c r="D911" s="3" t="n">
        <v>8</v>
      </c>
      <c r="E911" s="3" t="n">
        <v>13</v>
      </c>
      <c r="F911" s="24" t="n">
        <v>-0.0252214819</v>
      </c>
    </row>
    <row r="912" customFormat="false" ht="15" hidden="false" customHeight="false" outlineLevel="0" collapsed="false">
      <c r="A912" s="3" t="n">
        <v>911</v>
      </c>
      <c r="B912" s="3" t="n">
        <v>910</v>
      </c>
      <c r="C912" s="3" t="n">
        <v>4</v>
      </c>
      <c r="D912" s="3" t="n">
        <v>9</v>
      </c>
      <c r="E912" s="3" t="n">
        <v>0</v>
      </c>
      <c r="F912" s="24" t="n">
        <v>-1.10791719</v>
      </c>
    </row>
    <row r="913" customFormat="false" ht="15" hidden="false" customHeight="false" outlineLevel="0" collapsed="false">
      <c r="A913" s="3" t="n">
        <v>912</v>
      </c>
      <c r="B913" s="3" t="n">
        <v>911</v>
      </c>
      <c r="C913" s="3" t="n">
        <v>4</v>
      </c>
      <c r="D913" s="3" t="n">
        <v>9</v>
      </c>
      <c r="E913" s="3" t="n">
        <v>1</v>
      </c>
      <c r="F913" s="24" t="n">
        <v>-1.13510716</v>
      </c>
    </row>
    <row r="914" customFormat="false" ht="15" hidden="false" customHeight="false" outlineLevel="0" collapsed="false">
      <c r="A914" s="3" t="n">
        <v>913</v>
      </c>
      <c r="B914" s="3" t="n">
        <v>912</v>
      </c>
      <c r="C914" s="3" t="n">
        <v>4</v>
      </c>
      <c r="D914" s="3" t="n">
        <v>9</v>
      </c>
      <c r="E914" s="3" t="n">
        <v>2</v>
      </c>
      <c r="F914" s="24" t="n">
        <v>-0.850338578</v>
      </c>
    </row>
    <row r="915" customFormat="false" ht="15" hidden="false" customHeight="false" outlineLevel="0" collapsed="false">
      <c r="A915" s="3" t="n">
        <v>914</v>
      </c>
      <c r="B915" s="3" t="n">
        <v>913</v>
      </c>
      <c r="C915" s="3" t="n">
        <v>4</v>
      </c>
      <c r="D915" s="3" t="n">
        <v>9</v>
      </c>
      <c r="E915" s="3" t="n">
        <v>3</v>
      </c>
      <c r="F915" s="24" t="n">
        <v>-0.850338578</v>
      </c>
    </row>
    <row r="916" customFormat="false" ht="15" hidden="false" customHeight="false" outlineLevel="0" collapsed="false">
      <c r="A916" s="3" t="n">
        <v>915</v>
      </c>
      <c r="B916" s="3" t="n">
        <v>914</v>
      </c>
      <c r="C916" s="3" t="n">
        <v>4</v>
      </c>
      <c r="D916" s="3" t="n">
        <v>9</v>
      </c>
      <c r="E916" s="3" t="n">
        <v>4</v>
      </c>
      <c r="F916" s="24" t="n">
        <v>-0.718992829</v>
      </c>
    </row>
    <row r="917" customFormat="false" ht="15" hidden="false" customHeight="false" outlineLevel="0" collapsed="false">
      <c r="A917" s="3" t="n">
        <v>916</v>
      </c>
      <c r="B917" s="3" t="n">
        <v>915</v>
      </c>
      <c r="C917" s="3" t="n">
        <v>4</v>
      </c>
      <c r="D917" s="3" t="n">
        <v>9</v>
      </c>
      <c r="E917" s="3" t="n">
        <v>5</v>
      </c>
      <c r="F917" s="24" t="n">
        <v>2.61449766</v>
      </c>
    </row>
    <row r="918" customFormat="false" ht="15" hidden="false" customHeight="false" outlineLevel="0" collapsed="false">
      <c r="A918" s="3" t="n">
        <v>917</v>
      </c>
      <c r="B918" s="3" t="n">
        <v>916</v>
      </c>
      <c r="C918" s="3" t="n">
        <v>4</v>
      </c>
      <c r="D918" s="3" t="n">
        <v>9</v>
      </c>
      <c r="E918" s="3" t="n">
        <v>6</v>
      </c>
      <c r="F918" s="24" t="n">
        <v>3.97857189</v>
      </c>
    </row>
    <row r="919" customFormat="false" ht="15" hidden="false" customHeight="false" outlineLevel="0" collapsed="false">
      <c r="A919" s="3" t="n">
        <v>918</v>
      </c>
      <c r="B919" s="3" t="n">
        <v>917</v>
      </c>
      <c r="C919" s="3" t="n">
        <v>4</v>
      </c>
      <c r="D919" s="3" t="n">
        <v>9</v>
      </c>
      <c r="E919" s="3" t="n">
        <v>7</v>
      </c>
      <c r="F919" s="24" t="n">
        <v>-2.27440095</v>
      </c>
    </row>
    <row r="920" customFormat="false" ht="15" hidden="false" customHeight="false" outlineLevel="0" collapsed="false">
      <c r="A920" s="3" t="n">
        <v>919</v>
      </c>
      <c r="B920" s="3" t="n">
        <v>918</v>
      </c>
      <c r="C920" s="3" t="n">
        <v>4</v>
      </c>
      <c r="D920" s="3" t="n">
        <v>9</v>
      </c>
      <c r="E920" s="3" t="n">
        <v>8</v>
      </c>
      <c r="F920" s="24" t="n">
        <v>-7.86056709</v>
      </c>
    </row>
    <row r="921" customFormat="false" ht="15" hidden="false" customHeight="false" outlineLevel="0" collapsed="false">
      <c r="A921" s="3" t="n">
        <v>920</v>
      </c>
      <c r="B921" s="3" t="n">
        <v>919</v>
      </c>
      <c r="C921" s="3" t="n">
        <v>4</v>
      </c>
      <c r="D921" s="3" t="n">
        <v>9</v>
      </c>
      <c r="E921" s="3" t="n">
        <v>9</v>
      </c>
      <c r="F921" s="24" t="n">
        <v>-5.10903358</v>
      </c>
    </row>
    <row r="922" customFormat="false" ht="15" hidden="false" customHeight="false" outlineLevel="0" collapsed="false">
      <c r="A922" s="3" t="n">
        <v>921</v>
      </c>
      <c r="B922" s="3" t="n">
        <v>920</v>
      </c>
      <c r="C922" s="3" t="n">
        <v>4</v>
      </c>
      <c r="D922" s="3" t="n">
        <v>9</v>
      </c>
      <c r="E922" s="3" t="n">
        <v>10</v>
      </c>
      <c r="F922" s="24" t="n">
        <v>-1.20628893</v>
      </c>
    </row>
    <row r="923" customFormat="false" ht="15" hidden="false" customHeight="false" outlineLevel="0" collapsed="false">
      <c r="A923" s="3" t="n">
        <v>922</v>
      </c>
      <c r="B923" s="3" t="n">
        <v>921</v>
      </c>
      <c r="C923" s="3" t="n">
        <v>4</v>
      </c>
      <c r="D923" s="3" t="n">
        <v>9</v>
      </c>
      <c r="E923" s="3" t="n">
        <v>11</v>
      </c>
      <c r="F923" s="24" t="n">
        <v>-0.848936141</v>
      </c>
    </row>
    <row r="924" customFormat="false" ht="15" hidden="false" customHeight="false" outlineLevel="0" collapsed="false">
      <c r="A924" s="3" t="n">
        <v>923</v>
      </c>
      <c r="B924" s="3" t="n">
        <v>922</v>
      </c>
      <c r="C924" s="3" t="n">
        <v>4</v>
      </c>
      <c r="D924" s="3" t="n">
        <v>9</v>
      </c>
      <c r="E924" s="3" t="n">
        <v>12</v>
      </c>
      <c r="F924" s="24" t="n">
        <v>-0.426327705</v>
      </c>
    </row>
    <row r="925" customFormat="false" ht="15" hidden="false" customHeight="false" outlineLevel="0" collapsed="false">
      <c r="A925" s="3" t="n">
        <v>924</v>
      </c>
      <c r="B925" s="3" t="n">
        <v>923</v>
      </c>
      <c r="C925" s="3" t="n">
        <v>4</v>
      </c>
      <c r="D925" s="3" t="n">
        <v>9</v>
      </c>
      <c r="E925" s="3" t="n">
        <v>13</v>
      </c>
      <c r="F925" s="24" t="n">
        <v>-0.0252214819</v>
      </c>
    </row>
    <row r="926" customFormat="false" ht="15" hidden="false" customHeight="false" outlineLevel="0" collapsed="false">
      <c r="A926" s="3" t="n">
        <v>925</v>
      </c>
      <c r="B926" s="3" t="n">
        <v>924</v>
      </c>
      <c r="C926" s="3" t="n">
        <v>4</v>
      </c>
      <c r="D926" s="3" t="n">
        <v>10</v>
      </c>
      <c r="E926" s="3" t="n">
        <v>0</v>
      </c>
      <c r="F926" s="24" t="n">
        <v>-1.10791719</v>
      </c>
    </row>
    <row r="927" customFormat="false" ht="15" hidden="false" customHeight="false" outlineLevel="0" collapsed="false">
      <c r="A927" s="3" t="n">
        <v>926</v>
      </c>
      <c r="B927" s="3" t="n">
        <v>925</v>
      </c>
      <c r="C927" s="3" t="n">
        <v>4</v>
      </c>
      <c r="D927" s="3" t="n">
        <v>10</v>
      </c>
      <c r="E927" s="3" t="n">
        <v>1</v>
      </c>
      <c r="F927" s="24" t="n">
        <v>-1.13510716</v>
      </c>
    </row>
    <row r="928" customFormat="false" ht="15" hidden="false" customHeight="false" outlineLevel="0" collapsed="false">
      <c r="A928" s="3" t="n">
        <v>927</v>
      </c>
      <c r="B928" s="3" t="n">
        <v>926</v>
      </c>
      <c r="C928" s="3" t="n">
        <v>4</v>
      </c>
      <c r="D928" s="3" t="n">
        <v>10</v>
      </c>
      <c r="E928" s="3" t="n">
        <v>2</v>
      </c>
      <c r="F928" s="24" t="n">
        <v>-0.850338578</v>
      </c>
    </row>
    <row r="929" customFormat="false" ht="15" hidden="false" customHeight="false" outlineLevel="0" collapsed="false">
      <c r="A929" s="3" t="n">
        <v>928</v>
      </c>
      <c r="B929" s="3" t="n">
        <v>927</v>
      </c>
      <c r="C929" s="3" t="n">
        <v>4</v>
      </c>
      <c r="D929" s="3" t="n">
        <v>10</v>
      </c>
      <c r="E929" s="3" t="n">
        <v>3</v>
      </c>
      <c r="F929" s="24" t="n">
        <v>-0.989973783</v>
      </c>
    </row>
    <row r="930" customFormat="false" ht="15" hidden="false" customHeight="false" outlineLevel="0" collapsed="false">
      <c r="A930" s="3" t="n">
        <v>929</v>
      </c>
      <c r="B930" s="3" t="n">
        <v>928</v>
      </c>
      <c r="C930" s="3" t="n">
        <v>4</v>
      </c>
      <c r="D930" s="3" t="n">
        <v>10</v>
      </c>
      <c r="E930" s="3" t="n">
        <v>4</v>
      </c>
      <c r="F930" s="24" t="n">
        <v>0.842508614</v>
      </c>
    </row>
    <row r="931" customFormat="false" ht="15" hidden="false" customHeight="false" outlineLevel="0" collapsed="false">
      <c r="A931" s="3" t="n">
        <v>930</v>
      </c>
      <c r="B931" s="3" t="n">
        <v>929</v>
      </c>
      <c r="C931" s="3" t="n">
        <v>4</v>
      </c>
      <c r="D931" s="3" t="n">
        <v>10</v>
      </c>
      <c r="E931" s="3" t="n">
        <v>5</v>
      </c>
      <c r="F931" s="24" t="n">
        <v>6.55087852</v>
      </c>
    </row>
    <row r="932" customFormat="false" ht="15" hidden="false" customHeight="false" outlineLevel="0" collapsed="false">
      <c r="A932" s="3" t="n">
        <v>931</v>
      </c>
      <c r="B932" s="3" t="n">
        <v>930</v>
      </c>
      <c r="C932" s="3" t="n">
        <v>4</v>
      </c>
      <c r="D932" s="3" t="n">
        <v>10</v>
      </c>
      <c r="E932" s="3" t="n">
        <v>6</v>
      </c>
      <c r="F932" s="24" t="n">
        <v>1.43124688</v>
      </c>
    </row>
    <row r="933" customFormat="false" ht="15" hidden="false" customHeight="false" outlineLevel="0" collapsed="false">
      <c r="A933" s="3" t="n">
        <v>932</v>
      </c>
      <c r="B933" s="3" t="n">
        <v>931</v>
      </c>
      <c r="C933" s="3" t="n">
        <v>4</v>
      </c>
      <c r="D933" s="3" t="n">
        <v>10</v>
      </c>
      <c r="E933" s="3" t="n">
        <v>7</v>
      </c>
      <c r="F933" s="24" t="n">
        <v>-7.32283211</v>
      </c>
    </row>
    <row r="934" customFormat="false" ht="15" hidden="false" customHeight="false" outlineLevel="0" collapsed="false">
      <c r="A934" s="3" t="n">
        <v>933</v>
      </c>
      <c r="B934" s="3" t="n">
        <v>932</v>
      </c>
      <c r="C934" s="3" t="n">
        <v>4</v>
      </c>
      <c r="D934" s="3" t="n">
        <v>10</v>
      </c>
      <c r="E934" s="3" t="n">
        <v>8</v>
      </c>
      <c r="F934" s="24" t="n">
        <v>-5.99668884</v>
      </c>
    </row>
    <row r="935" customFormat="false" ht="15" hidden="false" customHeight="false" outlineLevel="0" collapsed="false">
      <c r="A935" s="3" t="n">
        <v>934</v>
      </c>
      <c r="B935" s="3" t="n">
        <v>933</v>
      </c>
      <c r="C935" s="3" t="n">
        <v>4</v>
      </c>
      <c r="D935" s="3" t="n">
        <v>10</v>
      </c>
      <c r="E935" s="3" t="n">
        <v>9</v>
      </c>
      <c r="F935" s="24" t="n">
        <v>-2.08060169</v>
      </c>
    </row>
    <row r="936" customFormat="false" ht="15" hidden="false" customHeight="false" outlineLevel="0" collapsed="false">
      <c r="A936" s="3" t="n">
        <v>935</v>
      </c>
      <c r="B936" s="3" t="n">
        <v>934</v>
      </c>
      <c r="C936" s="3" t="n">
        <v>4</v>
      </c>
      <c r="D936" s="3" t="n">
        <v>10</v>
      </c>
      <c r="E936" s="3" t="n">
        <v>10</v>
      </c>
      <c r="F936" s="24" t="n">
        <v>-0.794620335</v>
      </c>
    </row>
    <row r="937" customFormat="false" ht="15" hidden="false" customHeight="false" outlineLevel="0" collapsed="false">
      <c r="A937" s="3" t="n">
        <v>936</v>
      </c>
      <c r="B937" s="3" t="n">
        <v>935</v>
      </c>
      <c r="C937" s="3" t="n">
        <v>4</v>
      </c>
      <c r="D937" s="3" t="n">
        <v>10</v>
      </c>
      <c r="E937" s="3" t="n">
        <v>11</v>
      </c>
      <c r="F937" s="24" t="n">
        <v>-0.850338578</v>
      </c>
    </row>
    <row r="938" customFormat="false" ht="15" hidden="false" customHeight="false" outlineLevel="0" collapsed="false">
      <c r="A938" s="3" t="n">
        <v>937</v>
      </c>
      <c r="B938" s="3" t="n">
        <v>936</v>
      </c>
      <c r="C938" s="3" t="n">
        <v>4</v>
      </c>
      <c r="D938" s="3" t="n">
        <v>10</v>
      </c>
      <c r="E938" s="3" t="n">
        <v>12</v>
      </c>
      <c r="F938" s="24" t="n">
        <v>-0.426327705</v>
      </c>
    </row>
    <row r="939" customFormat="false" ht="15" hidden="false" customHeight="false" outlineLevel="0" collapsed="false">
      <c r="A939" s="3" t="n">
        <v>938</v>
      </c>
      <c r="B939" s="3" t="n">
        <v>937</v>
      </c>
      <c r="C939" s="3" t="n">
        <v>4</v>
      </c>
      <c r="D939" s="3" t="n">
        <v>10</v>
      </c>
      <c r="E939" s="3" t="n">
        <v>13</v>
      </c>
      <c r="F939" s="24" t="n">
        <v>-0.0252214819</v>
      </c>
    </row>
    <row r="940" customFormat="false" ht="15" hidden="false" customHeight="false" outlineLevel="0" collapsed="false">
      <c r="A940" s="3" t="n">
        <v>939</v>
      </c>
      <c r="B940" s="3" t="n">
        <v>938</v>
      </c>
      <c r="C940" s="3" t="n">
        <v>4</v>
      </c>
      <c r="D940" s="3" t="n">
        <v>11</v>
      </c>
      <c r="E940" s="3" t="n">
        <v>0</v>
      </c>
      <c r="F940" s="24" t="n">
        <v>-1.10791719</v>
      </c>
    </row>
    <row r="941" customFormat="false" ht="15" hidden="false" customHeight="false" outlineLevel="0" collapsed="false">
      <c r="A941" s="3" t="n">
        <v>940</v>
      </c>
      <c r="B941" s="3" t="n">
        <v>939</v>
      </c>
      <c r="C941" s="3" t="n">
        <v>4</v>
      </c>
      <c r="D941" s="3" t="n">
        <v>11</v>
      </c>
      <c r="E941" s="3" t="n">
        <v>1</v>
      </c>
      <c r="F941" s="24" t="n">
        <v>-1.13510716</v>
      </c>
    </row>
    <row r="942" customFormat="false" ht="15" hidden="false" customHeight="false" outlineLevel="0" collapsed="false">
      <c r="A942" s="3" t="n">
        <v>941</v>
      </c>
      <c r="B942" s="3" t="n">
        <v>940</v>
      </c>
      <c r="C942" s="3" t="n">
        <v>4</v>
      </c>
      <c r="D942" s="3" t="n">
        <v>11</v>
      </c>
      <c r="E942" s="3" t="n">
        <v>2</v>
      </c>
      <c r="F942" s="24" t="n">
        <v>-0.850338578</v>
      </c>
    </row>
    <row r="943" customFormat="false" ht="15" hidden="false" customHeight="false" outlineLevel="0" collapsed="false">
      <c r="A943" s="3" t="n">
        <v>942</v>
      </c>
      <c r="B943" s="3" t="n">
        <v>941</v>
      </c>
      <c r="C943" s="3" t="n">
        <v>4</v>
      </c>
      <c r="D943" s="3" t="n">
        <v>11</v>
      </c>
      <c r="E943" s="3" t="n">
        <v>3</v>
      </c>
      <c r="F943" s="24" t="n">
        <v>-0.622944176</v>
      </c>
    </row>
    <row r="944" customFormat="false" ht="15" hidden="false" customHeight="false" outlineLevel="0" collapsed="false">
      <c r="A944" s="3" t="n">
        <v>943</v>
      </c>
      <c r="B944" s="3" t="n">
        <v>942</v>
      </c>
      <c r="C944" s="3" t="n">
        <v>4</v>
      </c>
      <c r="D944" s="3" t="n">
        <v>11</v>
      </c>
      <c r="E944" s="3" t="n">
        <v>4</v>
      </c>
      <c r="F944" s="24" t="n">
        <v>4.22203493</v>
      </c>
    </row>
    <row r="945" customFormat="false" ht="15" hidden="false" customHeight="false" outlineLevel="0" collapsed="false">
      <c r="A945" s="3" t="n">
        <v>944</v>
      </c>
      <c r="B945" s="3" t="n">
        <v>943</v>
      </c>
      <c r="C945" s="3" t="n">
        <v>4</v>
      </c>
      <c r="D945" s="3" t="n">
        <v>11</v>
      </c>
      <c r="E945" s="3" t="n">
        <v>5</v>
      </c>
      <c r="F945" s="24" t="n">
        <v>7.20866632</v>
      </c>
    </row>
    <row r="946" customFormat="false" ht="15" hidden="false" customHeight="false" outlineLevel="0" collapsed="false">
      <c r="A946" s="3" t="n">
        <v>945</v>
      </c>
      <c r="B946" s="3" t="n">
        <v>944</v>
      </c>
      <c r="C946" s="3" t="n">
        <v>4</v>
      </c>
      <c r="D946" s="3" t="n">
        <v>11</v>
      </c>
      <c r="E946" s="3" t="n">
        <v>6</v>
      </c>
      <c r="F946" s="24" t="n">
        <v>-4.8257246</v>
      </c>
    </row>
    <row r="947" customFormat="false" ht="15" hidden="false" customHeight="false" outlineLevel="0" collapsed="false">
      <c r="A947" s="3" t="n">
        <v>946</v>
      </c>
      <c r="B947" s="3" t="n">
        <v>945</v>
      </c>
      <c r="C947" s="3" t="n">
        <v>4</v>
      </c>
      <c r="D947" s="3" t="n">
        <v>11</v>
      </c>
      <c r="E947" s="3" t="n">
        <v>7</v>
      </c>
      <c r="F947" s="24" t="n">
        <v>-9.63362789</v>
      </c>
    </row>
    <row r="948" customFormat="false" ht="15" hidden="false" customHeight="false" outlineLevel="0" collapsed="false">
      <c r="A948" s="3" t="n">
        <v>947</v>
      </c>
      <c r="B948" s="3" t="n">
        <v>946</v>
      </c>
      <c r="C948" s="3" t="n">
        <v>4</v>
      </c>
      <c r="D948" s="3" t="n">
        <v>11</v>
      </c>
      <c r="E948" s="3" t="n">
        <v>8</v>
      </c>
      <c r="F948" s="24" t="n">
        <v>-4.36923265</v>
      </c>
    </row>
    <row r="949" customFormat="false" ht="15" hidden="false" customHeight="false" outlineLevel="0" collapsed="false">
      <c r="A949" s="3" t="n">
        <v>948</v>
      </c>
      <c r="B949" s="3" t="n">
        <v>947</v>
      </c>
      <c r="C949" s="3" t="n">
        <v>4</v>
      </c>
      <c r="D949" s="3" t="n">
        <v>11</v>
      </c>
      <c r="E949" s="3" t="n">
        <v>9</v>
      </c>
      <c r="F949" s="24" t="n">
        <v>-0.809086561</v>
      </c>
    </row>
    <row r="950" customFormat="false" ht="15" hidden="false" customHeight="false" outlineLevel="0" collapsed="false">
      <c r="A950" s="3" t="n">
        <v>949</v>
      </c>
      <c r="B950" s="3" t="n">
        <v>948</v>
      </c>
      <c r="C950" s="3" t="n">
        <v>4</v>
      </c>
      <c r="D950" s="3" t="n">
        <v>11</v>
      </c>
      <c r="E950" s="3" t="n">
        <v>10</v>
      </c>
      <c r="F950" s="24" t="n">
        <v>-0.850338578</v>
      </c>
    </row>
    <row r="951" customFormat="false" ht="15" hidden="false" customHeight="false" outlineLevel="0" collapsed="false">
      <c r="A951" s="3" t="n">
        <v>950</v>
      </c>
      <c r="B951" s="3" t="n">
        <v>949</v>
      </c>
      <c r="C951" s="3" t="n">
        <v>4</v>
      </c>
      <c r="D951" s="3" t="n">
        <v>11</v>
      </c>
      <c r="E951" s="3" t="n">
        <v>11</v>
      </c>
      <c r="F951" s="24" t="n">
        <v>-0.850338578</v>
      </c>
    </row>
    <row r="952" customFormat="false" ht="15" hidden="false" customHeight="false" outlineLevel="0" collapsed="false">
      <c r="A952" s="3" t="n">
        <v>951</v>
      </c>
      <c r="B952" s="3" t="n">
        <v>950</v>
      </c>
      <c r="C952" s="3" t="n">
        <v>4</v>
      </c>
      <c r="D952" s="3" t="n">
        <v>11</v>
      </c>
      <c r="E952" s="3" t="n">
        <v>12</v>
      </c>
      <c r="F952" s="24" t="n">
        <v>-0.426327705</v>
      </c>
    </row>
    <row r="953" customFormat="false" ht="15" hidden="false" customHeight="false" outlineLevel="0" collapsed="false">
      <c r="A953" s="3" t="n">
        <v>952</v>
      </c>
      <c r="B953" s="3" t="n">
        <v>951</v>
      </c>
      <c r="C953" s="3" t="n">
        <v>4</v>
      </c>
      <c r="D953" s="3" t="n">
        <v>11</v>
      </c>
      <c r="E953" s="3" t="n">
        <v>13</v>
      </c>
      <c r="F953" s="24" t="n">
        <v>-0.0252214819</v>
      </c>
    </row>
    <row r="954" customFormat="false" ht="15" hidden="false" customHeight="false" outlineLevel="0" collapsed="false">
      <c r="A954" s="3" t="n">
        <v>953</v>
      </c>
      <c r="B954" s="3" t="n">
        <v>952</v>
      </c>
      <c r="C954" s="3" t="n">
        <v>4</v>
      </c>
      <c r="D954" s="3" t="n">
        <v>12</v>
      </c>
      <c r="E954" s="3" t="n">
        <v>0</v>
      </c>
      <c r="F954" s="24" t="n">
        <v>-1.22419584</v>
      </c>
    </row>
    <row r="955" customFormat="false" ht="15" hidden="false" customHeight="false" outlineLevel="0" collapsed="false">
      <c r="A955" s="3" t="n">
        <v>954</v>
      </c>
      <c r="B955" s="3" t="n">
        <v>953</v>
      </c>
      <c r="C955" s="3" t="n">
        <v>4</v>
      </c>
      <c r="D955" s="3" t="n">
        <v>12</v>
      </c>
      <c r="E955" s="3" t="n">
        <v>1</v>
      </c>
      <c r="F955" s="24" t="n">
        <v>-1.36230731</v>
      </c>
    </row>
    <row r="956" customFormat="false" ht="15" hidden="false" customHeight="false" outlineLevel="0" collapsed="false">
      <c r="A956" s="3" t="n">
        <v>955</v>
      </c>
      <c r="B956" s="3" t="n">
        <v>954</v>
      </c>
      <c r="C956" s="3" t="n">
        <v>4</v>
      </c>
      <c r="D956" s="3" t="n">
        <v>12</v>
      </c>
      <c r="E956" s="3" t="n">
        <v>2</v>
      </c>
      <c r="F956" s="24" t="n">
        <v>-1.0342803</v>
      </c>
    </row>
    <row r="957" customFormat="false" ht="15" hidden="false" customHeight="false" outlineLevel="0" collapsed="false">
      <c r="A957" s="3" t="n">
        <v>956</v>
      </c>
      <c r="B957" s="3" t="n">
        <v>955</v>
      </c>
      <c r="C957" s="3" t="n">
        <v>4</v>
      </c>
      <c r="D957" s="3" t="n">
        <v>12</v>
      </c>
      <c r="E957" s="3" t="n">
        <v>3</v>
      </c>
      <c r="F957" s="24" t="n">
        <v>-0.524619818</v>
      </c>
    </row>
    <row r="958" customFormat="false" ht="15" hidden="false" customHeight="false" outlineLevel="0" collapsed="false">
      <c r="A958" s="3" t="n">
        <v>957</v>
      </c>
      <c r="B958" s="3" t="n">
        <v>956</v>
      </c>
      <c r="C958" s="3" t="n">
        <v>4</v>
      </c>
      <c r="D958" s="3" t="n">
        <v>12</v>
      </c>
      <c r="E958" s="3" t="n">
        <v>4</v>
      </c>
      <c r="F958" s="24" t="n">
        <v>4.28531742</v>
      </c>
    </row>
    <row r="959" customFormat="false" ht="15" hidden="false" customHeight="false" outlineLevel="0" collapsed="false">
      <c r="A959" s="3" t="n">
        <v>958</v>
      </c>
      <c r="B959" s="3" t="n">
        <v>957</v>
      </c>
      <c r="C959" s="3" t="n">
        <v>4</v>
      </c>
      <c r="D959" s="3" t="n">
        <v>12</v>
      </c>
      <c r="E959" s="3" t="n">
        <v>5</v>
      </c>
      <c r="F959" s="24" t="n">
        <v>3.01881456</v>
      </c>
    </row>
    <row r="960" customFormat="false" ht="15" hidden="false" customHeight="false" outlineLevel="0" collapsed="false">
      <c r="A960" s="3" t="n">
        <v>959</v>
      </c>
      <c r="B960" s="3" t="n">
        <v>958</v>
      </c>
      <c r="C960" s="3" t="n">
        <v>4</v>
      </c>
      <c r="D960" s="3" t="n">
        <v>12</v>
      </c>
      <c r="E960" s="3" t="n">
        <v>6</v>
      </c>
      <c r="F960" s="24" t="n">
        <v>-7.65450716</v>
      </c>
    </row>
    <row r="961" customFormat="false" ht="15" hidden="false" customHeight="false" outlineLevel="0" collapsed="false">
      <c r="A961" s="3" t="n">
        <v>960</v>
      </c>
      <c r="B961" s="3" t="n">
        <v>959</v>
      </c>
      <c r="C961" s="3" t="n">
        <v>4</v>
      </c>
      <c r="D961" s="3" t="n">
        <v>12</v>
      </c>
      <c r="E961" s="3" t="n">
        <v>7</v>
      </c>
      <c r="F961" s="24" t="n">
        <v>-8.74183178</v>
      </c>
    </row>
    <row r="962" customFormat="false" ht="15" hidden="false" customHeight="false" outlineLevel="0" collapsed="false">
      <c r="A962" s="3" t="n">
        <v>961</v>
      </c>
      <c r="B962" s="3" t="n">
        <v>960</v>
      </c>
      <c r="C962" s="3" t="n">
        <v>4</v>
      </c>
      <c r="D962" s="3" t="n">
        <v>12</v>
      </c>
      <c r="E962" s="3" t="n">
        <v>8</v>
      </c>
      <c r="F962" s="24" t="n">
        <v>-3.07525134</v>
      </c>
    </row>
    <row r="963" customFormat="false" ht="15" hidden="false" customHeight="false" outlineLevel="0" collapsed="false">
      <c r="A963" s="3" t="n">
        <v>962</v>
      </c>
      <c r="B963" s="3" t="n">
        <v>961</v>
      </c>
      <c r="C963" s="3" t="n">
        <v>4</v>
      </c>
      <c r="D963" s="3" t="n">
        <v>12</v>
      </c>
      <c r="E963" s="3" t="n">
        <v>9</v>
      </c>
      <c r="F963" s="24" t="n">
        <v>-1.01282394</v>
      </c>
    </row>
    <row r="964" customFormat="false" ht="15" hidden="false" customHeight="false" outlineLevel="0" collapsed="false">
      <c r="A964" s="3" t="n">
        <v>963</v>
      </c>
      <c r="B964" s="3" t="n">
        <v>962</v>
      </c>
      <c r="C964" s="3" t="n">
        <v>4</v>
      </c>
      <c r="D964" s="3" t="n">
        <v>12</v>
      </c>
      <c r="E964" s="3" t="n">
        <v>10</v>
      </c>
      <c r="F964" s="24" t="n">
        <v>-1.0342803</v>
      </c>
    </row>
    <row r="965" customFormat="false" ht="15" hidden="false" customHeight="false" outlineLevel="0" collapsed="false">
      <c r="A965" s="3" t="n">
        <v>964</v>
      </c>
      <c r="B965" s="3" t="n">
        <v>963</v>
      </c>
      <c r="C965" s="3" t="n">
        <v>4</v>
      </c>
      <c r="D965" s="3" t="n">
        <v>12</v>
      </c>
      <c r="E965" s="3" t="n">
        <v>11</v>
      </c>
      <c r="F965" s="24" t="n">
        <v>-1.0342803</v>
      </c>
    </row>
    <row r="966" customFormat="false" ht="15" hidden="false" customHeight="false" outlineLevel="0" collapsed="false">
      <c r="A966" s="3" t="n">
        <v>965</v>
      </c>
      <c r="B966" s="3" t="n">
        <v>964</v>
      </c>
      <c r="C966" s="3" t="n">
        <v>4</v>
      </c>
      <c r="D966" s="3" t="n">
        <v>12</v>
      </c>
      <c r="E966" s="3" t="n">
        <v>12</v>
      </c>
      <c r="F966" s="24" t="n">
        <v>-0.610269368</v>
      </c>
    </row>
    <row r="967" customFormat="false" ht="15" hidden="false" customHeight="false" outlineLevel="0" collapsed="false">
      <c r="A967" s="3" t="n">
        <v>966</v>
      </c>
      <c r="B967" s="3" t="n">
        <v>965</v>
      </c>
      <c r="C967" s="3" t="n">
        <v>4</v>
      </c>
      <c r="D967" s="3" t="n">
        <v>12</v>
      </c>
      <c r="E967" s="3" t="n">
        <v>13</v>
      </c>
      <c r="F967" s="24" t="n">
        <v>-0.185426265</v>
      </c>
    </row>
    <row r="968" customFormat="false" ht="15" hidden="false" customHeight="false" outlineLevel="0" collapsed="false">
      <c r="A968" s="3" t="n">
        <v>967</v>
      </c>
      <c r="B968" s="3" t="n">
        <v>966</v>
      </c>
      <c r="C968" s="3" t="n">
        <v>4</v>
      </c>
      <c r="D968" s="3" t="n">
        <v>13</v>
      </c>
      <c r="E968" s="3" t="n">
        <v>0</v>
      </c>
      <c r="F968" s="24" t="n">
        <v>-1.01756597</v>
      </c>
    </row>
    <row r="969" customFormat="false" ht="15" hidden="false" customHeight="false" outlineLevel="0" collapsed="false">
      <c r="A969" s="3" t="n">
        <v>968</v>
      </c>
      <c r="B969" s="3" t="n">
        <v>967</v>
      </c>
      <c r="C969" s="3" t="n">
        <v>4</v>
      </c>
      <c r="D969" s="3" t="n">
        <v>13</v>
      </c>
      <c r="E969" s="3" t="n">
        <v>1</v>
      </c>
      <c r="F969" s="24" t="n">
        <v>-1.15312326</v>
      </c>
    </row>
    <row r="970" customFormat="false" ht="15" hidden="false" customHeight="false" outlineLevel="0" collapsed="false">
      <c r="A970" s="3" t="n">
        <v>969</v>
      </c>
      <c r="B970" s="3" t="n">
        <v>968</v>
      </c>
      <c r="C970" s="3" t="n">
        <v>4</v>
      </c>
      <c r="D970" s="3" t="n">
        <v>13</v>
      </c>
      <c r="E970" s="3" t="n">
        <v>2</v>
      </c>
      <c r="F970" s="24" t="n">
        <v>-0.993855</v>
      </c>
    </row>
    <row r="971" customFormat="false" ht="15" hidden="false" customHeight="false" outlineLevel="0" collapsed="false">
      <c r="A971" s="3" t="n">
        <v>970</v>
      </c>
      <c r="B971" s="3" t="n">
        <v>969</v>
      </c>
      <c r="C971" s="3" t="n">
        <v>4</v>
      </c>
      <c r="D971" s="3" t="n">
        <v>13</v>
      </c>
      <c r="E971" s="3" t="n">
        <v>3</v>
      </c>
      <c r="F971" s="24" t="n">
        <v>-0.0725039616</v>
      </c>
    </row>
    <row r="972" customFormat="false" ht="15" hidden="false" customHeight="false" outlineLevel="0" collapsed="false">
      <c r="A972" s="3" t="n">
        <v>971</v>
      </c>
      <c r="B972" s="3" t="n">
        <v>970</v>
      </c>
      <c r="C972" s="3" t="n">
        <v>4</v>
      </c>
      <c r="D972" s="3" t="n">
        <v>13</v>
      </c>
      <c r="E972" s="3" t="n">
        <v>4</v>
      </c>
      <c r="F972" s="24" t="n">
        <v>2.52378249</v>
      </c>
    </row>
    <row r="973" customFormat="false" ht="15" hidden="false" customHeight="false" outlineLevel="0" collapsed="false">
      <c r="A973" s="3" t="n">
        <v>972</v>
      </c>
      <c r="B973" s="3" t="n">
        <v>971</v>
      </c>
      <c r="C973" s="3" t="n">
        <v>4</v>
      </c>
      <c r="D973" s="3" t="n">
        <v>13</v>
      </c>
      <c r="E973" s="3" t="n">
        <v>5</v>
      </c>
      <c r="F973" s="24" t="n">
        <v>1.096542</v>
      </c>
    </row>
    <row r="974" customFormat="false" ht="15" hidden="false" customHeight="false" outlineLevel="0" collapsed="false">
      <c r="A974" s="3" t="n">
        <v>973</v>
      </c>
      <c r="B974" s="3" t="n">
        <v>972</v>
      </c>
      <c r="C974" s="3" t="n">
        <v>4</v>
      </c>
      <c r="D974" s="3" t="n">
        <v>13</v>
      </c>
      <c r="E974" s="3" t="n">
        <v>6</v>
      </c>
      <c r="F974" s="24" t="n">
        <v>-1.38541424</v>
      </c>
    </row>
    <row r="975" customFormat="false" ht="15" hidden="false" customHeight="false" outlineLevel="0" collapsed="false">
      <c r="A975" s="3" t="n">
        <v>974</v>
      </c>
      <c r="B975" s="3" t="n">
        <v>973</v>
      </c>
      <c r="C975" s="3" t="n">
        <v>4</v>
      </c>
      <c r="D975" s="3" t="n">
        <v>13</v>
      </c>
      <c r="E975" s="3" t="n">
        <v>7</v>
      </c>
      <c r="F975" s="24" t="n">
        <v>-1.9689796</v>
      </c>
    </row>
    <row r="976" customFormat="false" ht="15" hidden="false" customHeight="false" outlineLevel="0" collapsed="false">
      <c r="A976" s="3" t="n">
        <v>975</v>
      </c>
      <c r="B976" s="3" t="n">
        <v>974</v>
      </c>
      <c r="C976" s="3" t="n">
        <v>4</v>
      </c>
      <c r="D976" s="3" t="n">
        <v>13</v>
      </c>
      <c r="E976" s="3" t="n">
        <v>8</v>
      </c>
      <c r="F976" s="24" t="n">
        <v>-1.06806111</v>
      </c>
    </row>
    <row r="977" customFormat="false" ht="15" hidden="false" customHeight="false" outlineLevel="0" collapsed="false">
      <c r="A977" s="3" t="n">
        <v>976</v>
      </c>
      <c r="B977" s="3" t="n">
        <v>975</v>
      </c>
      <c r="C977" s="3" t="n">
        <v>4</v>
      </c>
      <c r="D977" s="3" t="n">
        <v>13</v>
      </c>
      <c r="E977" s="3" t="n">
        <v>9</v>
      </c>
      <c r="F977" s="24" t="n">
        <v>-0.993855</v>
      </c>
    </row>
    <row r="978" customFormat="false" ht="15" hidden="false" customHeight="false" outlineLevel="0" collapsed="false">
      <c r="A978" s="3" t="n">
        <v>977</v>
      </c>
      <c r="B978" s="3" t="n">
        <v>976</v>
      </c>
      <c r="C978" s="3" t="n">
        <v>4</v>
      </c>
      <c r="D978" s="3" t="n">
        <v>13</v>
      </c>
      <c r="E978" s="3" t="n">
        <v>10</v>
      </c>
      <c r="F978" s="24" t="n">
        <v>-0.993855</v>
      </c>
    </row>
    <row r="979" customFormat="false" ht="15" hidden="false" customHeight="false" outlineLevel="0" collapsed="false">
      <c r="A979" s="3" t="n">
        <v>978</v>
      </c>
      <c r="B979" s="3" t="n">
        <v>977</v>
      </c>
      <c r="C979" s="3" t="n">
        <v>4</v>
      </c>
      <c r="D979" s="3" t="n">
        <v>13</v>
      </c>
      <c r="E979" s="3" t="n">
        <v>11</v>
      </c>
      <c r="F979" s="24" t="n">
        <v>-0.993855</v>
      </c>
    </row>
    <row r="980" customFormat="false" ht="15" hidden="false" customHeight="false" outlineLevel="0" collapsed="false">
      <c r="A980" s="3" t="n">
        <v>979</v>
      </c>
      <c r="B980" s="3" t="n">
        <v>978</v>
      </c>
      <c r="C980" s="3" t="n">
        <v>4</v>
      </c>
      <c r="D980" s="3" t="n">
        <v>13</v>
      </c>
      <c r="E980" s="3" t="n">
        <v>12</v>
      </c>
      <c r="F980" s="24" t="n">
        <v>-0.722368777</v>
      </c>
    </row>
    <row r="981" customFormat="false" ht="15" hidden="false" customHeight="false" outlineLevel="0" collapsed="false">
      <c r="A981" s="3" t="n">
        <v>980</v>
      </c>
      <c r="B981" s="3" t="n">
        <v>979</v>
      </c>
      <c r="C981" s="3" t="n">
        <v>4</v>
      </c>
      <c r="D981" s="3" t="n">
        <v>13</v>
      </c>
      <c r="E981" s="3" t="n">
        <v>13</v>
      </c>
      <c r="F981" s="24" t="n">
        <v>-0.342905521</v>
      </c>
    </row>
    <row r="982" customFormat="false" ht="15" hidden="false" customHeight="false" outlineLevel="0" collapsed="false">
      <c r="A982" s="3" t="n">
        <v>981</v>
      </c>
      <c r="B982" s="3" t="n">
        <v>980</v>
      </c>
      <c r="C982" s="3" t="n">
        <v>5</v>
      </c>
      <c r="D982" s="3" t="n">
        <v>0</v>
      </c>
      <c r="E982" s="3" t="n">
        <v>0</v>
      </c>
      <c r="F982" s="24" t="n">
        <v>-0.46811983</v>
      </c>
    </row>
    <row r="983" customFormat="false" ht="15" hidden="false" customHeight="false" outlineLevel="0" collapsed="false">
      <c r="A983" s="3" t="n">
        <v>982</v>
      </c>
      <c r="B983" s="3" t="n">
        <v>981</v>
      </c>
      <c r="C983" s="3" t="n">
        <v>5</v>
      </c>
      <c r="D983" s="3" t="n">
        <v>0</v>
      </c>
      <c r="E983" s="3" t="n">
        <v>1</v>
      </c>
      <c r="F983" s="24" t="n">
        <v>-0.181292415</v>
      </c>
    </row>
    <row r="984" customFormat="false" ht="15" hidden="false" customHeight="false" outlineLevel="0" collapsed="false">
      <c r="A984" s="3" t="n">
        <v>983</v>
      </c>
      <c r="B984" s="3" t="n">
        <v>982</v>
      </c>
      <c r="C984" s="3" t="n">
        <v>5</v>
      </c>
      <c r="D984" s="3" t="n">
        <v>0</v>
      </c>
      <c r="E984" s="3" t="n">
        <v>2</v>
      </c>
      <c r="F984" s="24" t="n">
        <v>-0.167259723</v>
      </c>
    </row>
    <row r="985" customFormat="false" ht="15" hidden="false" customHeight="false" outlineLevel="0" collapsed="false">
      <c r="A985" s="3" t="n">
        <v>984</v>
      </c>
      <c r="B985" s="3" t="n">
        <v>983</v>
      </c>
      <c r="C985" s="3" t="n">
        <v>5</v>
      </c>
      <c r="D985" s="3" t="n">
        <v>0</v>
      </c>
      <c r="E985" s="3" t="n">
        <v>3</v>
      </c>
      <c r="F985" s="24" t="n">
        <v>-0.167259723</v>
      </c>
    </row>
    <row r="986" customFormat="false" ht="15" hidden="false" customHeight="false" outlineLevel="0" collapsed="false">
      <c r="A986" s="3" t="n">
        <v>985</v>
      </c>
      <c r="B986" s="3" t="n">
        <v>984</v>
      </c>
      <c r="C986" s="3" t="n">
        <v>5</v>
      </c>
      <c r="D986" s="3" t="n">
        <v>0</v>
      </c>
      <c r="E986" s="3" t="n">
        <v>4</v>
      </c>
      <c r="F986" s="24" t="n">
        <v>-0.167259723</v>
      </c>
    </row>
    <row r="987" customFormat="false" ht="15" hidden="false" customHeight="false" outlineLevel="0" collapsed="false">
      <c r="A987" s="3" t="n">
        <v>986</v>
      </c>
      <c r="B987" s="3" t="n">
        <v>985</v>
      </c>
      <c r="C987" s="3" t="n">
        <v>5</v>
      </c>
      <c r="D987" s="3" t="n">
        <v>0</v>
      </c>
      <c r="E987" s="3" t="n">
        <v>5</v>
      </c>
      <c r="F987" s="24" t="n">
        <v>-0.167259723</v>
      </c>
    </row>
    <row r="988" customFormat="false" ht="15" hidden="false" customHeight="false" outlineLevel="0" collapsed="false">
      <c r="A988" s="3" t="n">
        <v>987</v>
      </c>
      <c r="B988" s="3" t="n">
        <v>986</v>
      </c>
      <c r="C988" s="3" t="n">
        <v>5</v>
      </c>
      <c r="D988" s="3" t="n">
        <v>0</v>
      </c>
      <c r="E988" s="3" t="n">
        <v>6</v>
      </c>
      <c r="F988" s="24" t="n">
        <v>-0.167259723</v>
      </c>
    </row>
    <row r="989" customFormat="false" ht="15" hidden="false" customHeight="false" outlineLevel="0" collapsed="false">
      <c r="A989" s="3" t="n">
        <v>988</v>
      </c>
      <c r="B989" s="3" t="n">
        <v>987</v>
      </c>
      <c r="C989" s="3" t="n">
        <v>5</v>
      </c>
      <c r="D989" s="3" t="n">
        <v>0</v>
      </c>
      <c r="E989" s="3" t="n">
        <v>7</v>
      </c>
      <c r="F989" s="24" t="n">
        <v>-0.167259723</v>
      </c>
    </row>
    <row r="990" customFormat="false" ht="15" hidden="false" customHeight="false" outlineLevel="0" collapsed="false">
      <c r="A990" s="3" t="n">
        <v>989</v>
      </c>
      <c r="B990" s="3" t="n">
        <v>988</v>
      </c>
      <c r="C990" s="3" t="n">
        <v>5</v>
      </c>
      <c r="D990" s="3" t="n">
        <v>0</v>
      </c>
      <c r="E990" s="3" t="n">
        <v>8</v>
      </c>
      <c r="F990" s="24" t="n">
        <v>-0.167259723</v>
      </c>
    </row>
    <row r="991" customFormat="false" ht="15" hidden="false" customHeight="false" outlineLevel="0" collapsed="false">
      <c r="A991" s="3" t="n">
        <v>990</v>
      </c>
      <c r="B991" s="3" t="n">
        <v>989</v>
      </c>
      <c r="C991" s="3" t="n">
        <v>5</v>
      </c>
      <c r="D991" s="3" t="n">
        <v>0</v>
      </c>
      <c r="E991" s="3" t="n">
        <v>9</v>
      </c>
      <c r="F991" s="24" t="n">
        <v>-0.167259723</v>
      </c>
    </row>
    <row r="992" customFormat="false" ht="15" hidden="false" customHeight="false" outlineLevel="0" collapsed="false">
      <c r="A992" s="3" t="n">
        <v>991</v>
      </c>
      <c r="B992" s="3" t="n">
        <v>990</v>
      </c>
      <c r="C992" s="3" t="n">
        <v>5</v>
      </c>
      <c r="D992" s="3" t="n">
        <v>0</v>
      </c>
      <c r="E992" s="3" t="n">
        <v>10</v>
      </c>
      <c r="F992" s="24" t="n">
        <v>-0.167259723</v>
      </c>
    </row>
    <row r="993" customFormat="false" ht="15" hidden="false" customHeight="false" outlineLevel="0" collapsed="false">
      <c r="A993" s="3" t="n">
        <v>992</v>
      </c>
      <c r="B993" s="3" t="n">
        <v>991</v>
      </c>
      <c r="C993" s="3" t="n">
        <v>5</v>
      </c>
      <c r="D993" s="3" t="n">
        <v>0</v>
      </c>
      <c r="E993" s="3" t="n">
        <v>11</v>
      </c>
      <c r="F993" s="24" t="n">
        <v>-0.167259723</v>
      </c>
    </row>
    <row r="994" customFormat="false" ht="15" hidden="false" customHeight="false" outlineLevel="0" collapsed="false">
      <c r="A994" s="3" t="n">
        <v>993</v>
      </c>
      <c r="B994" s="3" t="n">
        <v>992</v>
      </c>
      <c r="C994" s="3" t="n">
        <v>5</v>
      </c>
      <c r="D994" s="3" t="n">
        <v>0</v>
      </c>
      <c r="E994" s="3" t="n">
        <v>12</v>
      </c>
      <c r="F994" s="24" t="n">
        <v>-0.330692679</v>
      </c>
    </row>
    <row r="995" customFormat="false" ht="15" hidden="false" customHeight="false" outlineLevel="0" collapsed="false">
      <c r="A995" s="3" t="n">
        <v>994</v>
      </c>
      <c r="B995" s="3" t="n">
        <v>993</v>
      </c>
      <c r="C995" s="3" t="n">
        <v>5</v>
      </c>
      <c r="D995" s="3" t="n">
        <v>0</v>
      </c>
      <c r="E995" s="3" t="n">
        <v>13</v>
      </c>
      <c r="F995" s="24" t="n">
        <v>-0.0929220468</v>
      </c>
    </row>
    <row r="996" customFormat="false" ht="15" hidden="false" customHeight="false" outlineLevel="0" collapsed="false">
      <c r="A996" s="3" t="n">
        <v>995</v>
      </c>
      <c r="B996" s="3" t="n">
        <v>994</v>
      </c>
      <c r="C996" s="3" t="n">
        <v>5</v>
      </c>
      <c r="D996" s="3" t="n">
        <v>1</v>
      </c>
      <c r="E996" s="3" t="n">
        <v>0</v>
      </c>
      <c r="F996" s="24" t="n">
        <v>-0.144557536</v>
      </c>
    </row>
    <row r="997" customFormat="false" ht="15" hidden="false" customHeight="false" outlineLevel="0" collapsed="false">
      <c r="A997" s="3" t="n">
        <v>996</v>
      </c>
      <c r="B997" s="3" t="n">
        <v>995</v>
      </c>
      <c r="C997" s="3" t="n">
        <v>5</v>
      </c>
      <c r="D997" s="3" t="n">
        <v>1</v>
      </c>
      <c r="E997" s="3" t="n">
        <v>1</v>
      </c>
      <c r="F997" s="24" t="n">
        <v>-0.0855839774</v>
      </c>
    </row>
    <row r="998" customFormat="false" ht="15" hidden="false" customHeight="false" outlineLevel="0" collapsed="false">
      <c r="A998" s="3" t="n">
        <v>997</v>
      </c>
      <c r="B998" s="3" t="n">
        <v>996</v>
      </c>
      <c r="C998" s="3" t="n">
        <v>5</v>
      </c>
      <c r="D998" s="3" t="n">
        <v>1</v>
      </c>
      <c r="E998" s="3" t="n">
        <v>2</v>
      </c>
      <c r="F998" s="24" t="n">
        <v>-0.096365124</v>
      </c>
    </row>
    <row r="999" customFormat="false" ht="15" hidden="false" customHeight="false" outlineLevel="0" collapsed="false">
      <c r="A999" s="3" t="n">
        <v>998</v>
      </c>
      <c r="B999" s="3" t="n">
        <v>997</v>
      </c>
      <c r="C999" s="3" t="n">
        <v>5</v>
      </c>
      <c r="D999" s="3" t="n">
        <v>1</v>
      </c>
      <c r="E999" s="3" t="n">
        <v>3</v>
      </c>
      <c r="F999" s="24" t="n">
        <v>-0.096365124</v>
      </c>
    </row>
    <row r="1000" customFormat="false" ht="15" hidden="false" customHeight="false" outlineLevel="0" collapsed="false">
      <c r="A1000" s="3" t="n">
        <v>999</v>
      </c>
      <c r="B1000" s="3" t="n">
        <v>998</v>
      </c>
      <c r="C1000" s="3" t="n">
        <v>5</v>
      </c>
      <c r="D1000" s="3" t="n">
        <v>1</v>
      </c>
      <c r="E1000" s="3" t="n">
        <v>4</v>
      </c>
      <c r="F1000" s="24" t="n">
        <v>-0.096365124</v>
      </c>
    </row>
    <row r="1001" customFormat="false" ht="15" hidden="false" customHeight="false" outlineLevel="0" collapsed="false">
      <c r="A1001" s="3" t="n">
        <v>1000</v>
      </c>
      <c r="B1001" s="3" t="n">
        <v>999</v>
      </c>
      <c r="C1001" s="3" t="n">
        <v>5</v>
      </c>
      <c r="D1001" s="3" t="n">
        <v>1</v>
      </c>
      <c r="E1001" s="3" t="n">
        <v>5</v>
      </c>
      <c r="F1001" s="24" t="n">
        <v>-0.096365124</v>
      </c>
    </row>
    <row r="1002" customFormat="false" ht="15" hidden="false" customHeight="false" outlineLevel="0" collapsed="false">
      <c r="A1002" s="3" t="n">
        <v>1001</v>
      </c>
      <c r="B1002" s="3" t="n">
        <v>1000</v>
      </c>
      <c r="C1002" s="3" t="n">
        <v>5</v>
      </c>
      <c r="D1002" s="3" t="n">
        <v>1</v>
      </c>
      <c r="E1002" s="3" t="n">
        <v>6</v>
      </c>
      <c r="F1002" s="24" t="n">
        <v>-0.096365124</v>
      </c>
    </row>
    <row r="1003" customFormat="false" ht="15" hidden="false" customHeight="false" outlineLevel="0" collapsed="false">
      <c r="A1003" s="3" t="n">
        <v>1002</v>
      </c>
      <c r="B1003" s="3" t="n">
        <v>1001</v>
      </c>
      <c r="C1003" s="3" t="n">
        <v>5</v>
      </c>
      <c r="D1003" s="3" t="n">
        <v>1</v>
      </c>
      <c r="E1003" s="3" t="n">
        <v>7</v>
      </c>
      <c r="F1003" s="24" t="n">
        <v>-0.096365124</v>
      </c>
    </row>
    <row r="1004" customFormat="false" ht="15" hidden="false" customHeight="false" outlineLevel="0" collapsed="false">
      <c r="A1004" s="3" t="n">
        <v>1003</v>
      </c>
      <c r="B1004" s="3" t="n">
        <v>1002</v>
      </c>
      <c r="C1004" s="3" t="n">
        <v>5</v>
      </c>
      <c r="D1004" s="3" t="n">
        <v>1</v>
      </c>
      <c r="E1004" s="3" t="n">
        <v>8</v>
      </c>
      <c r="F1004" s="24" t="n">
        <v>-0.096365124</v>
      </c>
    </row>
    <row r="1005" customFormat="false" ht="15" hidden="false" customHeight="false" outlineLevel="0" collapsed="false">
      <c r="A1005" s="3" t="n">
        <v>1004</v>
      </c>
      <c r="B1005" s="3" t="n">
        <v>1003</v>
      </c>
      <c r="C1005" s="3" t="n">
        <v>5</v>
      </c>
      <c r="D1005" s="3" t="n">
        <v>1</v>
      </c>
      <c r="E1005" s="3" t="n">
        <v>9</v>
      </c>
      <c r="F1005" s="24" t="n">
        <v>-0.096365124</v>
      </c>
    </row>
    <row r="1006" customFormat="false" ht="15" hidden="false" customHeight="false" outlineLevel="0" collapsed="false">
      <c r="A1006" s="3" t="n">
        <v>1005</v>
      </c>
      <c r="B1006" s="3" t="n">
        <v>1004</v>
      </c>
      <c r="C1006" s="3" t="n">
        <v>5</v>
      </c>
      <c r="D1006" s="3" t="n">
        <v>1</v>
      </c>
      <c r="E1006" s="3" t="n">
        <v>10</v>
      </c>
      <c r="F1006" s="24" t="n">
        <v>-0.096365124</v>
      </c>
    </row>
    <row r="1007" customFormat="false" ht="15" hidden="false" customHeight="false" outlineLevel="0" collapsed="false">
      <c r="A1007" s="3" t="n">
        <v>1006</v>
      </c>
      <c r="B1007" s="3" t="n">
        <v>1005</v>
      </c>
      <c r="C1007" s="3" t="n">
        <v>5</v>
      </c>
      <c r="D1007" s="3" t="n">
        <v>1</v>
      </c>
      <c r="E1007" s="3" t="n">
        <v>11</v>
      </c>
      <c r="F1007" s="24" t="n">
        <v>-0.096365124</v>
      </c>
    </row>
    <row r="1008" customFormat="false" ht="15" hidden="false" customHeight="false" outlineLevel="0" collapsed="false">
      <c r="A1008" s="3" t="n">
        <v>1007</v>
      </c>
      <c r="B1008" s="3" t="n">
        <v>1006</v>
      </c>
      <c r="C1008" s="3" t="n">
        <v>5</v>
      </c>
      <c r="D1008" s="3" t="n">
        <v>1</v>
      </c>
      <c r="E1008" s="3" t="n">
        <v>12</v>
      </c>
      <c r="F1008" s="24" t="n">
        <v>-0.280641764</v>
      </c>
    </row>
    <row r="1009" customFormat="false" ht="15" hidden="false" customHeight="false" outlineLevel="0" collapsed="false">
      <c r="A1009" s="3" t="n">
        <v>1008</v>
      </c>
      <c r="B1009" s="3" t="n">
        <v>1007</v>
      </c>
      <c r="C1009" s="3" t="n">
        <v>5</v>
      </c>
      <c r="D1009" s="3" t="n">
        <v>1</v>
      </c>
      <c r="E1009" s="3" t="n">
        <v>13</v>
      </c>
      <c r="F1009" s="24" t="n">
        <v>-0.564210117</v>
      </c>
    </row>
    <row r="1010" customFormat="false" ht="15" hidden="false" customHeight="false" outlineLevel="0" collapsed="false">
      <c r="A1010" s="3" t="n">
        <v>1009</v>
      </c>
      <c r="B1010" s="3" t="n">
        <v>1008</v>
      </c>
      <c r="C1010" s="3" t="n">
        <v>5</v>
      </c>
      <c r="D1010" s="3" t="n">
        <v>2</v>
      </c>
      <c r="E1010" s="3" t="n">
        <v>0</v>
      </c>
      <c r="F1010" s="24" t="n">
        <v>-0.137933835</v>
      </c>
    </row>
    <row r="1011" customFormat="false" ht="15" hidden="false" customHeight="false" outlineLevel="0" collapsed="false">
      <c r="A1011" s="3" t="n">
        <v>1010</v>
      </c>
      <c r="B1011" s="3" t="n">
        <v>1009</v>
      </c>
      <c r="C1011" s="3" t="n">
        <v>5</v>
      </c>
      <c r="D1011" s="3" t="n">
        <v>2</v>
      </c>
      <c r="E1011" s="3" t="n">
        <v>1</v>
      </c>
      <c r="F1011" s="24" t="n">
        <v>0.241012126</v>
      </c>
    </row>
    <row r="1012" customFormat="false" ht="15" hidden="false" customHeight="false" outlineLevel="0" collapsed="false">
      <c r="A1012" s="3" t="n">
        <v>1011</v>
      </c>
      <c r="B1012" s="3" t="n">
        <v>1010</v>
      </c>
      <c r="C1012" s="3" t="n">
        <v>5</v>
      </c>
      <c r="D1012" s="3" t="n">
        <v>2</v>
      </c>
      <c r="E1012" s="3" t="n">
        <v>2</v>
      </c>
      <c r="F1012" s="24" t="n">
        <v>0.22944504</v>
      </c>
    </row>
    <row r="1013" customFormat="false" ht="15" hidden="false" customHeight="false" outlineLevel="0" collapsed="false">
      <c r="A1013" s="3" t="n">
        <v>1012</v>
      </c>
      <c r="B1013" s="3" t="n">
        <v>1011</v>
      </c>
      <c r="C1013" s="3" t="n">
        <v>5</v>
      </c>
      <c r="D1013" s="3" t="n">
        <v>2</v>
      </c>
      <c r="E1013" s="3" t="n">
        <v>3</v>
      </c>
      <c r="F1013" s="24" t="n">
        <v>-1.40514004</v>
      </c>
    </row>
    <row r="1014" customFormat="false" ht="15" hidden="false" customHeight="false" outlineLevel="0" collapsed="false">
      <c r="A1014" s="3" t="n">
        <v>1013</v>
      </c>
      <c r="B1014" s="3" t="n">
        <v>1012</v>
      </c>
      <c r="C1014" s="3" t="n">
        <v>5</v>
      </c>
      <c r="D1014" s="3" t="n">
        <v>2</v>
      </c>
      <c r="E1014" s="3" t="n">
        <v>4</v>
      </c>
      <c r="F1014" s="24" t="n">
        <v>-3.55774379</v>
      </c>
    </row>
    <row r="1015" customFormat="false" ht="15" hidden="false" customHeight="false" outlineLevel="0" collapsed="false">
      <c r="A1015" s="3" t="n">
        <v>1014</v>
      </c>
      <c r="B1015" s="3" t="n">
        <v>1013</v>
      </c>
      <c r="C1015" s="3" t="n">
        <v>5</v>
      </c>
      <c r="D1015" s="3" t="n">
        <v>2</v>
      </c>
      <c r="E1015" s="3" t="n">
        <v>5</v>
      </c>
      <c r="F1015" s="24" t="n">
        <v>-3.49896669</v>
      </c>
    </row>
    <row r="1016" customFormat="false" ht="15" hidden="false" customHeight="false" outlineLevel="0" collapsed="false">
      <c r="A1016" s="3" t="n">
        <v>1015</v>
      </c>
      <c r="B1016" s="3" t="n">
        <v>1014</v>
      </c>
      <c r="C1016" s="3" t="n">
        <v>5</v>
      </c>
      <c r="D1016" s="3" t="n">
        <v>2</v>
      </c>
      <c r="E1016" s="3" t="n">
        <v>6</v>
      </c>
      <c r="F1016" s="24" t="n">
        <v>-2.63442278</v>
      </c>
    </row>
    <row r="1017" customFormat="false" ht="15" hidden="false" customHeight="false" outlineLevel="0" collapsed="false">
      <c r="A1017" s="3" t="n">
        <v>1016</v>
      </c>
      <c r="B1017" s="3" t="n">
        <v>1015</v>
      </c>
      <c r="C1017" s="3" t="n">
        <v>5</v>
      </c>
      <c r="D1017" s="3" t="n">
        <v>2</v>
      </c>
      <c r="E1017" s="3" t="n">
        <v>7</v>
      </c>
      <c r="F1017" s="24" t="n">
        <v>-2.22293806</v>
      </c>
    </row>
    <row r="1018" customFormat="false" ht="15" hidden="false" customHeight="false" outlineLevel="0" collapsed="false">
      <c r="A1018" s="3" t="n">
        <v>1017</v>
      </c>
      <c r="B1018" s="3" t="n">
        <v>1016</v>
      </c>
      <c r="C1018" s="3" t="n">
        <v>5</v>
      </c>
      <c r="D1018" s="3" t="n">
        <v>2</v>
      </c>
      <c r="E1018" s="3" t="n">
        <v>8</v>
      </c>
      <c r="F1018" s="24" t="n">
        <v>-2.18862271</v>
      </c>
    </row>
    <row r="1019" customFormat="false" ht="15" hidden="false" customHeight="false" outlineLevel="0" collapsed="false">
      <c r="A1019" s="3" t="n">
        <v>1018</v>
      </c>
      <c r="B1019" s="3" t="n">
        <v>1017</v>
      </c>
      <c r="C1019" s="3" t="n">
        <v>5</v>
      </c>
      <c r="D1019" s="3" t="n">
        <v>2</v>
      </c>
      <c r="E1019" s="3" t="n">
        <v>9</v>
      </c>
      <c r="F1019" s="24" t="n">
        <v>-2.18776274</v>
      </c>
    </row>
    <row r="1020" customFormat="false" ht="15" hidden="false" customHeight="false" outlineLevel="0" collapsed="false">
      <c r="A1020" s="3" t="n">
        <v>1019</v>
      </c>
      <c r="B1020" s="3" t="n">
        <v>1018</v>
      </c>
      <c r="C1020" s="3" t="n">
        <v>5</v>
      </c>
      <c r="D1020" s="3" t="n">
        <v>2</v>
      </c>
      <c r="E1020" s="3" t="n">
        <v>10</v>
      </c>
      <c r="F1020" s="24" t="n">
        <v>-1.56435907</v>
      </c>
    </row>
    <row r="1021" customFormat="false" ht="15" hidden="false" customHeight="false" outlineLevel="0" collapsed="false">
      <c r="A1021" s="3" t="n">
        <v>1020</v>
      </c>
      <c r="B1021" s="3" t="n">
        <v>1019</v>
      </c>
      <c r="C1021" s="3" t="n">
        <v>5</v>
      </c>
      <c r="D1021" s="3" t="n">
        <v>2</v>
      </c>
      <c r="E1021" s="3" t="n">
        <v>11</v>
      </c>
      <c r="F1021" s="24" t="n">
        <v>-0.520766079</v>
      </c>
    </row>
    <row r="1022" customFormat="false" ht="15" hidden="false" customHeight="false" outlineLevel="0" collapsed="false">
      <c r="A1022" s="3" t="n">
        <v>1021</v>
      </c>
      <c r="B1022" s="3" t="n">
        <v>1020</v>
      </c>
      <c r="C1022" s="3" t="n">
        <v>5</v>
      </c>
      <c r="D1022" s="3" t="n">
        <v>2</v>
      </c>
      <c r="E1022" s="3" t="n">
        <v>12</v>
      </c>
      <c r="F1022" s="24" t="n">
        <v>-0.262673795</v>
      </c>
    </row>
    <row r="1023" customFormat="false" ht="15" hidden="false" customHeight="false" outlineLevel="0" collapsed="false">
      <c r="A1023" s="3" t="n">
        <v>1022</v>
      </c>
      <c r="B1023" s="3" t="n">
        <v>1021</v>
      </c>
      <c r="C1023" s="3" t="n">
        <v>5</v>
      </c>
      <c r="D1023" s="3" t="n">
        <v>2</v>
      </c>
      <c r="E1023" s="3" t="n">
        <v>13</v>
      </c>
      <c r="F1023" s="24" t="n">
        <v>-0.403746396</v>
      </c>
    </row>
    <row r="1024" customFormat="false" ht="15" hidden="false" customHeight="false" outlineLevel="0" collapsed="false">
      <c r="A1024" s="3" t="n">
        <v>1023</v>
      </c>
      <c r="B1024" s="3" t="n">
        <v>1022</v>
      </c>
      <c r="C1024" s="3" t="n">
        <v>5</v>
      </c>
      <c r="D1024" s="3" t="n">
        <v>3</v>
      </c>
      <c r="E1024" s="3" t="n">
        <v>0</v>
      </c>
      <c r="F1024" s="24" t="n">
        <v>-0.137933835</v>
      </c>
    </row>
    <row r="1025" customFormat="false" ht="15" hidden="false" customHeight="false" outlineLevel="0" collapsed="false">
      <c r="A1025" s="3" t="n">
        <v>1024</v>
      </c>
      <c r="B1025" s="3" t="n">
        <v>1023</v>
      </c>
      <c r="C1025" s="3" t="n">
        <v>5</v>
      </c>
      <c r="D1025" s="3" t="n">
        <v>3</v>
      </c>
      <c r="E1025" s="3" t="n">
        <v>1</v>
      </c>
      <c r="F1025" s="24" t="n">
        <v>0.324476361</v>
      </c>
    </row>
    <row r="1026" customFormat="false" ht="15" hidden="false" customHeight="false" outlineLevel="0" collapsed="false">
      <c r="A1026" s="3" t="n">
        <v>1025</v>
      </c>
      <c r="B1026" s="3" t="n">
        <v>1024</v>
      </c>
      <c r="C1026" s="3" t="n">
        <v>5</v>
      </c>
      <c r="D1026" s="3" t="n">
        <v>3</v>
      </c>
      <c r="E1026" s="3" t="n">
        <v>2</v>
      </c>
      <c r="F1026" s="24" t="n">
        <v>3.37207627</v>
      </c>
    </row>
    <row r="1027" customFormat="false" ht="15" hidden="false" customHeight="false" outlineLevel="0" collapsed="false">
      <c r="A1027" s="3" t="n">
        <v>1026</v>
      </c>
      <c r="B1027" s="3" t="n">
        <v>1025</v>
      </c>
      <c r="C1027" s="3" t="n">
        <v>5</v>
      </c>
      <c r="D1027" s="3" t="n">
        <v>3</v>
      </c>
      <c r="E1027" s="3" t="n">
        <v>3</v>
      </c>
      <c r="F1027" s="24" t="n">
        <v>8.08771038</v>
      </c>
    </row>
    <row r="1028" customFormat="false" ht="15" hidden="false" customHeight="false" outlineLevel="0" collapsed="false">
      <c r="A1028" s="3" t="n">
        <v>1027</v>
      </c>
      <c r="B1028" s="3" t="n">
        <v>1026</v>
      </c>
      <c r="C1028" s="3" t="n">
        <v>5</v>
      </c>
      <c r="D1028" s="3" t="n">
        <v>3</v>
      </c>
      <c r="E1028" s="3" t="n">
        <v>4</v>
      </c>
      <c r="F1028" s="24" t="n">
        <v>7.65097046</v>
      </c>
    </row>
    <row r="1029" customFormat="false" ht="15" hidden="false" customHeight="false" outlineLevel="0" collapsed="false">
      <c r="A1029" s="3" t="n">
        <v>1028</v>
      </c>
      <c r="B1029" s="3" t="n">
        <v>1027</v>
      </c>
      <c r="C1029" s="3" t="n">
        <v>5</v>
      </c>
      <c r="D1029" s="3" t="n">
        <v>3</v>
      </c>
      <c r="E1029" s="3" t="n">
        <v>5</v>
      </c>
      <c r="F1029" s="24" t="n">
        <v>3.66941929</v>
      </c>
    </row>
    <row r="1030" customFormat="false" ht="15" hidden="false" customHeight="false" outlineLevel="0" collapsed="false">
      <c r="A1030" s="3" t="n">
        <v>1029</v>
      </c>
      <c r="B1030" s="3" t="n">
        <v>1028</v>
      </c>
      <c r="C1030" s="3" t="n">
        <v>5</v>
      </c>
      <c r="D1030" s="3" t="n">
        <v>3</v>
      </c>
      <c r="E1030" s="3" t="n">
        <v>6</v>
      </c>
      <c r="F1030" s="24" t="n">
        <v>1.65264988</v>
      </c>
    </row>
    <row r="1031" customFormat="false" ht="15" hidden="false" customHeight="false" outlineLevel="0" collapsed="false">
      <c r="A1031" s="3" t="n">
        <v>1030</v>
      </c>
      <c r="B1031" s="3" t="n">
        <v>1029</v>
      </c>
      <c r="C1031" s="3" t="n">
        <v>5</v>
      </c>
      <c r="D1031" s="3" t="n">
        <v>3</v>
      </c>
      <c r="E1031" s="3" t="n">
        <v>7</v>
      </c>
      <c r="F1031" s="24" t="n">
        <v>1.564569</v>
      </c>
    </row>
    <row r="1032" customFormat="false" ht="15" hidden="false" customHeight="false" outlineLevel="0" collapsed="false">
      <c r="A1032" s="3" t="n">
        <v>1031</v>
      </c>
      <c r="B1032" s="3" t="n">
        <v>1030</v>
      </c>
      <c r="C1032" s="3" t="n">
        <v>5</v>
      </c>
      <c r="D1032" s="3" t="n">
        <v>3</v>
      </c>
      <c r="E1032" s="3" t="n">
        <v>8</v>
      </c>
      <c r="F1032" s="24" t="n">
        <v>1.93870425</v>
      </c>
    </row>
    <row r="1033" customFormat="false" ht="15" hidden="false" customHeight="false" outlineLevel="0" collapsed="false">
      <c r="A1033" s="3" t="n">
        <v>1032</v>
      </c>
      <c r="B1033" s="3" t="n">
        <v>1031</v>
      </c>
      <c r="C1033" s="3" t="n">
        <v>5</v>
      </c>
      <c r="D1033" s="3" t="n">
        <v>3</v>
      </c>
      <c r="E1033" s="3" t="n">
        <v>9</v>
      </c>
      <c r="F1033" s="24" t="n">
        <v>0.815054178</v>
      </c>
    </row>
    <row r="1034" customFormat="false" ht="15" hidden="false" customHeight="false" outlineLevel="0" collapsed="false">
      <c r="A1034" s="3" t="n">
        <v>1033</v>
      </c>
      <c r="B1034" s="3" t="n">
        <v>1032</v>
      </c>
      <c r="C1034" s="3" t="n">
        <v>5</v>
      </c>
      <c r="D1034" s="3" t="n">
        <v>3</v>
      </c>
      <c r="E1034" s="3" t="n">
        <v>10</v>
      </c>
      <c r="F1034" s="24" t="n">
        <v>-1.80721879</v>
      </c>
    </row>
    <row r="1035" customFormat="false" ht="15" hidden="false" customHeight="false" outlineLevel="0" collapsed="false">
      <c r="A1035" s="3" t="n">
        <v>1034</v>
      </c>
      <c r="B1035" s="3" t="n">
        <v>1033</v>
      </c>
      <c r="C1035" s="3" t="n">
        <v>5</v>
      </c>
      <c r="D1035" s="3" t="n">
        <v>3</v>
      </c>
      <c r="E1035" s="3" t="n">
        <v>11</v>
      </c>
      <c r="F1035" s="24" t="n">
        <v>-1.42337513</v>
      </c>
    </row>
    <row r="1036" customFormat="false" ht="15" hidden="false" customHeight="false" outlineLevel="0" collapsed="false">
      <c r="A1036" s="3" t="n">
        <v>1035</v>
      </c>
      <c r="B1036" s="3" t="n">
        <v>1034</v>
      </c>
      <c r="C1036" s="3" t="n">
        <v>5</v>
      </c>
      <c r="D1036" s="3" t="n">
        <v>3</v>
      </c>
      <c r="E1036" s="3" t="n">
        <v>12</v>
      </c>
      <c r="F1036" s="24" t="n">
        <v>-0.3360641</v>
      </c>
    </row>
    <row r="1037" customFormat="false" ht="15" hidden="false" customHeight="false" outlineLevel="0" collapsed="false">
      <c r="A1037" s="3" t="n">
        <v>1036</v>
      </c>
      <c r="B1037" s="3" t="n">
        <v>1035</v>
      </c>
      <c r="C1037" s="3" t="n">
        <v>5</v>
      </c>
      <c r="D1037" s="3" t="n">
        <v>3</v>
      </c>
      <c r="E1037" s="3" t="n">
        <v>13</v>
      </c>
      <c r="F1037" s="24" t="n">
        <v>-0.403746396</v>
      </c>
    </row>
    <row r="1038" customFormat="false" ht="15" hidden="false" customHeight="false" outlineLevel="0" collapsed="false">
      <c r="A1038" s="3" t="n">
        <v>1037</v>
      </c>
      <c r="B1038" s="3" t="n">
        <v>1036</v>
      </c>
      <c r="C1038" s="3" t="n">
        <v>5</v>
      </c>
      <c r="D1038" s="3" t="n">
        <v>4</v>
      </c>
      <c r="E1038" s="3" t="n">
        <v>0</v>
      </c>
      <c r="F1038" s="24" t="n">
        <v>-0.137933835</v>
      </c>
    </row>
    <row r="1039" customFormat="false" ht="15" hidden="false" customHeight="false" outlineLevel="0" collapsed="false">
      <c r="A1039" s="3" t="n">
        <v>1038</v>
      </c>
      <c r="B1039" s="3" t="n">
        <v>1037</v>
      </c>
      <c r="C1039" s="3" t="n">
        <v>5</v>
      </c>
      <c r="D1039" s="3" t="n">
        <v>4</v>
      </c>
      <c r="E1039" s="3" t="n">
        <v>1</v>
      </c>
      <c r="F1039" s="24" t="n">
        <v>-0.905716538</v>
      </c>
    </row>
    <row r="1040" customFormat="false" ht="15" hidden="false" customHeight="false" outlineLevel="0" collapsed="false">
      <c r="A1040" s="3" t="n">
        <v>1039</v>
      </c>
      <c r="B1040" s="3" t="n">
        <v>1038</v>
      </c>
      <c r="C1040" s="3" t="n">
        <v>5</v>
      </c>
      <c r="D1040" s="3" t="n">
        <v>4</v>
      </c>
      <c r="E1040" s="3" t="n">
        <v>2</v>
      </c>
      <c r="F1040" s="24" t="n">
        <v>-3.13579464</v>
      </c>
    </row>
    <row r="1041" customFormat="false" ht="15" hidden="false" customHeight="false" outlineLevel="0" collapsed="false">
      <c r="A1041" s="3" t="n">
        <v>1040</v>
      </c>
      <c r="B1041" s="3" t="n">
        <v>1039</v>
      </c>
      <c r="C1041" s="3" t="n">
        <v>5</v>
      </c>
      <c r="D1041" s="3" t="n">
        <v>4</v>
      </c>
      <c r="E1041" s="3" t="n">
        <v>3</v>
      </c>
      <c r="F1041" s="24" t="n">
        <v>-0.791256011</v>
      </c>
    </row>
    <row r="1042" customFormat="false" ht="15" hidden="false" customHeight="false" outlineLevel="0" collapsed="false">
      <c r="A1042" s="3" t="n">
        <v>1041</v>
      </c>
      <c r="B1042" s="3" t="n">
        <v>1040</v>
      </c>
      <c r="C1042" s="3" t="n">
        <v>5</v>
      </c>
      <c r="D1042" s="3" t="n">
        <v>4</v>
      </c>
      <c r="E1042" s="3" t="n">
        <v>4</v>
      </c>
      <c r="F1042" s="24" t="n">
        <v>5.36296272</v>
      </c>
    </row>
    <row r="1043" customFormat="false" ht="15" hidden="false" customHeight="false" outlineLevel="0" collapsed="false">
      <c r="A1043" s="3" t="n">
        <v>1042</v>
      </c>
      <c r="B1043" s="3" t="n">
        <v>1041</v>
      </c>
      <c r="C1043" s="3" t="n">
        <v>5</v>
      </c>
      <c r="D1043" s="3" t="n">
        <v>4</v>
      </c>
      <c r="E1043" s="3" t="n">
        <v>5</v>
      </c>
      <c r="F1043" s="24" t="n">
        <v>9.04720497</v>
      </c>
    </row>
    <row r="1044" customFormat="false" ht="15" hidden="false" customHeight="false" outlineLevel="0" collapsed="false">
      <c r="A1044" s="3" t="n">
        <v>1043</v>
      </c>
      <c r="B1044" s="3" t="n">
        <v>1042</v>
      </c>
      <c r="C1044" s="3" t="n">
        <v>5</v>
      </c>
      <c r="D1044" s="3" t="n">
        <v>4</v>
      </c>
      <c r="E1044" s="3" t="n">
        <v>6</v>
      </c>
      <c r="F1044" s="24" t="n">
        <v>8.76235104</v>
      </c>
    </row>
    <row r="1045" customFormat="false" ht="15" hidden="false" customHeight="false" outlineLevel="0" collapsed="false">
      <c r="A1045" s="3" t="n">
        <v>1044</v>
      </c>
      <c r="B1045" s="3" t="n">
        <v>1043</v>
      </c>
      <c r="C1045" s="3" t="n">
        <v>5</v>
      </c>
      <c r="D1045" s="3" t="n">
        <v>4</v>
      </c>
      <c r="E1045" s="3" t="n">
        <v>7</v>
      </c>
      <c r="F1045" s="24" t="n">
        <v>8.42131805</v>
      </c>
    </row>
    <row r="1046" customFormat="false" ht="15" hidden="false" customHeight="false" outlineLevel="0" collapsed="false">
      <c r="A1046" s="3" t="n">
        <v>1045</v>
      </c>
      <c r="B1046" s="3" t="n">
        <v>1044</v>
      </c>
      <c r="C1046" s="3" t="n">
        <v>5</v>
      </c>
      <c r="D1046" s="3" t="n">
        <v>4</v>
      </c>
      <c r="E1046" s="3" t="n">
        <v>8</v>
      </c>
      <c r="F1046" s="24" t="n">
        <v>8.44269466</v>
      </c>
    </row>
    <row r="1047" customFormat="false" ht="15" hidden="false" customHeight="false" outlineLevel="0" collapsed="false">
      <c r="A1047" s="3" t="n">
        <v>1046</v>
      </c>
      <c r="B1047" s="3" t="n">
        <v>1045</v>
      </c>
      <c r="C1047" s="3" t="n">
        <v>5</v>
      </c>
      <c r="D1047" s="3" t="n">
        <v>4</v>
      </c>
      <c r="E1047" s="3" t="n">
        <v>9</v>
      </c>
      <c r="F1047" s="24" t="n">
        <v>8.59503078</v>
      </c>
    </row>
    <row r="1048" customFormat="false" ht="15" hidden="false" customHeight="false" outlineLevel="0" collapsed="false">
      <c r="A1048" s="3" t="n">
        <v>1047</v>
      </c>
      <c r="B1048" s="3" t="n">
        <v>1046</v>
      </c>
      <c r="C1048" s="3" t="n">
        <v>5</v>
      </c>
      <c r="D1048" s="3" t="n">
        <v>4</v>
      </c>
      <c r="E1048" s="3" t="n">
        <v>10</v>
      </c>
      <c r="F1048" s="24" t="n">
        <v>5.13567686</v>
      </c>
    </row>
    <row r="1049" customFormat="false" ht="15" hidden="false" customHeight="false" outlineLevel="0" collapsed="false">
      <c r="A1049" s="3" t="n">
        <v>1048</v>
      </c>
      <c r="B1049" s="3" t="n">
        <v>1047</v>
      </c>
      <c r="C1049" s="3" t="n">
        <v>5</v>
      </c>
      <c r="D1049" s="3" t="n">
        <v>4</v>
      </c>
      <c r="E1049" s="3" t="n">
        <v>11</v>
      </c>
      <c r="F1049" s="24" t="n">
        <v>0.335021257</v>
      </c>
    </row>
    <row r="1050" customFormat="false" ht="15" hidden="false" customHeight="false" outlineLevel="0" collapsed="false">
      <c r="A1050" s="3" t="n">
        <v>1049</v>
      </c>
      <c r="B1050" s="3" t="n">
        <v>1048</v>
      </c>
      <c r="C1050" s="3" t="n">
        <v>5</v>
      </c>
      <c r="D1050" s="3" t="n">
        <v>4</v>
      </c>
      <c r="E1050" s="3" t="n">
        <v>12</v>
      </c>
      <c r="F1050" s="24" t="n">
        <v>-0.253974646</v>
      </c>
    </row>
    <row r="1051" customFormat="false" ht="15" hidden="false" customHeight="false" outlineLevel="0" collapsed="false">
      <c r="A1051" s="3" t="n">
        <v>1050</v>
      </c>
      <c r="B1051" s="3" t="n">
        <v>1049</v>
      </c>
      <c r="C1051" s="3" t="n">
        <v>5</v>
      </c>
      <c r="D1051" s="3" t="n">
        <v>4</v>
      </c>
      <c r="E1051" s="3" t="n">
        <v>13</v>
      </c>
      <c r="F1051" s="24" t="n">
        <v>-0.403746396</v>
      </c>
    </row>
    <row r="1052" customFormat="false" ht="15" hidden="false" customHeight="false" outlineLevel="0" collapsed="false">
      <c r="A1052" s="3" t="n">
        <v>1051</v>
      </c>
      <c r="B1052" s="3" t="n">
        <v>1050</v>
      </c>
      <c r="C1052" s="3" t="n">
        <v>5</v>
      </c>
      <c r="D1052" s="3" t="n">
        <v>5</v>
      </c>
      <c r="E1052" s="3" t="n">
        <v>0</v>
      </c>
      <c r="F1052" s="24" t="n">
        <v>-0.137933835</v>
      </c>
    </row>
    <row r="1053" customFormat="false" ht="15" hidden="false" customHeight="false" outlineLevel="0" collapsed="false">
      <c r="A1053" s="3" t="n">
        <v>1052</v>
      </c>
      <c r="B1053" s="3" t="n">
        <v>1051</v>
      </c>
      <c r="C1053" s="3" t="n">
        <v>5</v>
      </c>
      <c r="D1053" s="3" t="n">
        <v>5</v>
      </c>
      <c r="E1053" s="3" t="n">
        <v>1</v>
      </c>
      <c r="F1053" s="24" t="n">
        <v>-0.273248196</v>
      </c>
    </row>
    <row r="1054" customFormat="false" ht="15" hidden="false" customHeight="false" outlineLevel="0" collapsed="false">
      <c r="A1054" s="3" t="n">
        <v>1053</v>
      </c>
      <c r="B1054" s="3" t="n">
        <v>1052</v>
      </c>
      <c r="C1054" s="3" t="n">
        <v>5</v>
      </c>
      <c r="D1054" s="3" t="n">
        <v>5</v>
      </c>
      <c r="E1054" s="3" t="n">
        <v>2</v>
      </c>
      <c r="F1054" s="24" t="n">
        <v>-0.887503505</v>
      </c>
    </row>
    <row r="1055" customFormat="false" ht="15" hidden="false" customHeight="false" outlineLevel="0" collapsed="false">
      <c r="A1055" s="3" t="n">
        <v>1054</v>
      </c>
      <c r="B1055" s="3" t="n">
        <v>1053</v>
      </c>
      <c r="C1055" s="3" t="n">
        <v>5</v>
      </c>
      <c r="D1055" s="3" t="n">
        <v>5</v>
      </c>
      <c r="E1055" s="3" t="n">
        <v>3</v>
      </c>
      <c r="F1055" s="24" t="n">
        <v>-3.26594973</v>
      </c>
    </row>
    <row r="1056" customFormat="false" ht="15" hidden="false" customHeight="false" outlineLevel="0" collapsed="false">
      <c r="A1056" s="3" t="n">
        <v>1055</v>
      </c>
      <c r="B1056" s="3" t="n">
        <v>1054</v>
      </c>
      <c r="C1056" s="3" t="n">
        <v>5</v>
      </c>
      <c r="D1056" s="3" t="n">
        <v>5</v>
      </c>
      <c r="E1056" s="3" t="n">
        <v>4</v>
      </c>
      <c r="F1056" s="24" t="n">
        <v>-3.48369074</v>
      </c>
    </row>
    <row r="1057" customFormat="false" ht="15" hidden="false" customHeight="false" outlineLevel="0" collapsed="false">
      <c r="A1057" s="3" t="n">
        <v>1056</v>
      </c>
      <c r="B1057" s="3" t="n">
        <v>1055</v>
      </c>
      <c r="C1057" s="3" t="n">
        <v>5</v>
      </c>
      <c r="D1057" s="3" t="n">
        <v>5</v>
      </c>
      <c r="E1057" s="3" t="n">
        <v>5</v>
      </c>
      <c r="F1057" s="24" t="n">
        <v>-1.40159106</v>
      </c>
    </row>
    <row r="1058" customFormat="false" ht="15" hidden="false" customHeight="false" outlineLevel="0" collapsed="false">
      <c r="A1058" s="3" t="n">
        <v>1057</v>
      </c>
      <c r="B1058" s="3" t="n">
        <v>1056</v>
      </c>
      <c r="C1058" s="3" t="n">
        <v>5</v>
      </c>
      <c r="D1058" s="3" t="n">
        <v>5</v>
      </c>
      <c r="E1058" s="3" t="n">
        <v>6</v>
      </c>
      <c r="F1058" s="24" t="n">
        <v>-0.117304176</v>
      </c>
    </row>
    <row r="1059" customFormat="false" ht="15" hidden="false" customHeight="false" outlineLevel="0" collapsed="false">
      <c r="A1059" s="3" t="n">
        <v>1058</v>
      </c>
      <c r="B1059" s="3" t="n">
        <v>1057</v>
      </c>
      <c r="C1059" s="3" t="n">
        <v>5</v>
      </c>
      <c r="D1059" s="3" t="n">
        <v>5</v>
      </c>
      <c r="E1059" s="3" t="n">
        <v>7</v>
      </c>
      <c r="F1059" s="24" t="n">
        <v>0.892360806</v>
      </c>
    </row>
    <row r="1060" customFormat="false" ht="15" hidden="false" customHeight="false" outlineLevel="0" collapsed="false">
      <c r="A1060" s="3" t="n">
        <v>1059</v>
      </c>
      <c r="B1060" s="3" t="n">
        <v>1058</v>
      </c>
      <c r="C1060" s="3" t="n">
        <v>5</v>
      </c>
      <c r="D1060" s="3" t="n">
        <v>5</v>
      </c>
      <c r="E1060" s="3" t="n">
        <v>8</v>
      </c>
      <c r="F1060" s="24" t="n">
        <v>-0.402975291</v>
      </c>
    </row>
    <row r="1061" customFormat="false" ht="15" hidden="false" customHeight="false" outlineLevel="0" collapsed="false">
      <c r="A1061" s="3" t="n">
        <v>1060</v>
      </c>
      <c r="B1061" s="3" t="n">
        <v>1059</v>
      </c>
      <c r="C1061" s="3" t="n">
        <v>5</v>
      </c>
      <c r="D1061" s="3" t="n">
        <v>5</v>
      </c>
      <c r="E1061" s="3" t="n">
        <v>9</v>
      </c>
      <c r="F1061" s="24" t="n">
        <v>1.79967868</v>
      </c>
    </row>
    <row r="1062" customFormat="false" ht="15" hidden="false" customHeight="false" outlineLevel="0" collapsed="false">
      <c r="A1062" s="3" t="n">
        <v>1061</v>
      </c>
      <c r="B1062" s="3" t="n">
        <v>1060</v>
      </c>
      <c r="C1062" s="3" t="n">
        <v>5</v>
      </c>
      <c r="D1062" s="3" t="n">
        <v>5</v>
      </c>
      <c r="E1062" s="3" t="n">
        <v>10</v>
      </c>
      <c r="F1062" s="24" t="n">
        <v>2.42446041</v>
      </c>
    </row>
    <row r="1063" customFormat="false" ht="15" hidden="false" customHeight="false" outlineLevel="0" collapsed="false">
      <c r="A1063" s="3" t="n">
        <v>1062</v>
      </c>
      <c r="B1063" s="3" t="n">
        <v>1061</v>
      </c>
      <c r="C1063" s="3" t="n">
        <v>5</v>
      </c>
      <c r="D1063" s="3" t="n">
        <v>5</v>
      </c>
      <c r="E1063" s="3" t="n">
        <v>11</v>
      </c>
      <c r="F1063" s="24" t="n">
        <v>0.355429888</v>
      </c>
    </row>
    <row r="1064" customFormat="false" ht="15" hidden="false" customHeight="false" outlineLevel="0" collapsed="false">
      <c r="A1064" s="3" t="n">
        <v>1063</v>
      </c>
      <c r="B1064" s="3" t="n">
        <v>1062</v>
      </c>
      <c r="C1064" s="3" t="n">
        <v>5</v>
      </c>
      <c r="D1064" s="3" t="n">
        <v>5</v>
      </c>
      <c r="E1064" s="3" t="n">
        <v>12</v>
      </c>
      <c r="F1064" s="24" t="n">
        <v>0.0335896164</v>
      </c>
    </row>
    <row r="1065" customFormat="false" ht="15" hidden="false" customHeight="false" outlineLevel="0" collapsed="false">
      <c r="A1065" s="3" t="n">
        <v>1064</v>
      </c>
      <c r="B1065" s="3" t="n">
        <v>1063</v>
      </c>
      <c r="C1065" s="3" t="n">
        <v>5</v>
      </c>
      <c r="D1065" s="3" t="n">
        <v>5</v>
      </c>
      <c r="E1065" s="3" t="n">
        <v>13</v>
      </c>
      <c r="F1065" s="24" t="n">
        <v>-0.403746396</v>
      </c>
    </row>
    <row r="1066" customFormat="false" ht="15" hidden="false" customHeight="false" outlineLevel="0" collapsed="false">
      <c r="A1066" s="3" t="n">
        <v>1065</v>
      </c>
      <c r="B1066" s="3" t="n">
        <v>1064</v>
      </c>
      <c r="C1066" s="3" t="n">
        <v>5</v>
      </c>
      <c r="D1066" s="3" t="n">
        <v>6</v>
      </c>
      <c r="E1066" s="3" t="n">
        <v>0</v>
      </c>
      <c r="F1066" s="24" t="n">
        <v>-0.137933835</v>
      </c>
    </row>
    <row r="1067" customFormat="false" ht="15" hidden="false" customHeight="false" outlineLevel="0" collapsed="false">
      <c r="A1067" s="3" t="n">
        <v>1066</v>
      </c>
      <c r="B1067" s="3" t="n">
        <v>1065</v>
      </c>
      <c r="C1067" s="3" t="n">
        <v>5</v>
      </c>
      <c r="D1067" s="3" t="n">
        <v>6</v>
      </c>
      <c r="E1067" s="3" t="n">
        <v>1</v>
      </c>
      <c r="F1067" s="24" t="n">
        <v>0.0189483389</v>
      </c>
    </row>
    <row r="1068" customFormat="false" ht="15" hidden="false" customHeight="false" outlineLevel="0" collapsed="false">
      <c r="A1068" s="3" t="n">
        <v>1067</v>
      </c>
      <c r="B1068" s="3" t="n">
        <v>1066</v>
      </c>
      <c r="C1068" s="3" t="n">
        <v>5</v>
      </c>
      <c r="D1068" s="3" t="n">
        <v>6</v>
      </c>
      <c r="E1068" s="3" t="n">
        <v>2</v>
      </c>
      <c r="F1068" s="24" t="n">
        <v>0.204222918</v>
      </c>
    </row>
    <row r="1069" customFormat="false" ht="15" hidden="false" customHeight="false" outlineLevel="0" collapsed="false">
      <c r="A1069" s="3" t="n">
        <v>1068</v>
      </c>
      <c r="B1069" s="3" t="n">
        <v>1067</v>
      </c>
      <c r="C1069" s="3" t="n">
        <v>5</v>
      </c>
      <c r="D1069" s="3" t="n">
        <v>6</v>
      </c>
      <c r="E1069" s="3" t="n">
        <v>3</v>
      </c>
      <c r="F1069" s="24" t="n">
        <v>-0.106493294</v>
      </c>
    </row>
    <row r="1070" customFormat="false" ht="15" hidden="false" customHeight="false" outlineLevel="0" collapsed="false">
      <c r="A1070" s="3" t="n">
        <v>1069</v>
      </c>
      <c r="B1070" s="3" t="n">
        <v>1068</v>
      </c>
      <c r="C1070" s="3" t="n">
        <v>5</v>
      </c>
      <c r="D1070" s="3" t="n">
        <v>6</v>
      </c>
      <c r="E1070" s="3" t="n">
        <v>4</v>
      </c>
      <c r="F1070" s="24" t="n">
        <v>-0.152897298</v>
      </c>
    </row>
    <row r="1071" customFormat="false" ht="15" hidden="false" customHeight="false" outlineLevel="0" collapsed="false">
      <c r="A1071" s="3" t="n">
        <v>1070</v>
      </c>
      <c r="B1071" s="3" t="n">
        <v>1069</v>
      </c>
      <c r="C1071" s="3" t="n">
        <v>5</v>
      </c>
      <c r="D1071" s="3" t="n">
        <v>6</v>
      </c>
      <c r="E1071" s="3" t="n">
        <v>5</v>
      </c>
      <c r="F1071" s="24" t="n">
        <v>-0.301253825</v>
      </c>
    </row>
    <row r="1072" customFormat="false" ht="15" hidden="false" customHeight="false" outlineLevel="0" collapsed="false">
      <c r="A1072" s="3" t="n">
        <v>1071</v>
      </c>
      <c r="B1072" s="3" t="n">
        <v>1070</v>
      </c>
      <c r="C1072" s="3" t="n">
        <v>5</v>
      </c>
      <c r="D1072" s="3" t="n">
        <v>6</v>
      </c>
      <c r="E1072" s="3" t="n">
        <v>6</v>
      </c>
      <c r="F1072" s="24" t="n">
        <v>-0.452316225</v>
      </c>
    </row>
    <row r="1073" customFormat="false" ht="15" hidden="false" customHeight="false" outlineLevel="0" collapsed="false">
      <c r="A1073" s="3" t="n">
        <v>1072</v>
      </c>
      <c r="B1073" s="3" t="n">
        <v>1071</v>
      </c>
      <c r="C1073" s="3" t="n">
        <v>5</v>
      </c>
      <c r="D1073" s="3" t="n">
        <v>6</v>
      </c>
      <c r="E1073" s="3" t="n">
        <v>7</v>
      </c>
      <c r="F1073" s="24" t="n">
        <v>-0.421872586</v>
      </c>
    </row>
    <row r="1074" customFormat="false" ht="15" hidden="false" customHeight="false" outlineLevel="0" collapsed="false">
      <c r="A1074" s="3" t="n">
        <v>1073</v>
      </c>
      <c r="B1074" s="3" t="n">
        <v>1072</v>
      </c>
      <c r="C1074" s="3" t="n">
        <v>5</v>
      </c>
      <c r="D1074" s="3" t="n">
        <v>6</v>
      </c>
      <c r="E1074" s="3" t="n">
        <v>8</v>
      </c>
      <c r="F1074" s="24" t="n">
        <v>-2.04548573</v>
      </c>
    </row>
    <row r="1075" customFormat="false" ht="15" hidden="false" customHeight="false" outlineLevel="0" collapsed="false">
      <c r="A1075" s="3" t="n">
        <v>1074</v>
      </c>
      <c r="B1075" s="3" t="n">
        <v>1073</v>
      </c>
      <c r="C1075" s="3" t="n">
        <v>5</v>
      </c>
      <c r="D1075" s="3" t="n">
        <v>6</v>
      </c>
      <c r="E1075" s="3" t="n">
        <v>9</v>
      </c>
      <c r="F1075" s="24" t="n">
        <v>-1.0711416</v>
      </c>
    </row>
    <row r="1076" customFormat="false" ht="15" hidden="false" customHeight="false" outlineLevel="0" collapsed="false">
      <c r="A1076" s="3" t="n">
        <v>1075</v>
      </c>
      <c r="B1076" s="3" t="n">
        <v>1074</v>
      </c>
      <c r="C1076" s="3" t="n">
        <v>5</v>
      </c>
      <c r="D1076" s="3" t="n">
        <v>6</v>
      </c>
      <c r="E1076" s="3" t="n">
        <v>10</v>
      </c>
      <c r="F1076" s="24" t="n">
        <v>-2.17370224</v>
      </c>
    </row>
    <row r="1077" customFormat="false" ht="15" hidden="false" customHeight="false" outlineLevel="0" collapsed="false">
      <c r="A1077" s="3" t="n">
        <v>1076</v>
      </c>
      <c r="B1077" s="3" t="n">
        <v>1075</v>
      </c>
      <c r="C1077" s="3" t="n">
        <v>5</v>
      </c>
      <c r="D1077" s="3" t="n">
        <v>6</v>
      </c>
      <c r="E1077" s="3" t="n">
        <v>11</v>
      </c>
      <c r="F1077" s="24" t="n">
        <v>-0.680824041</v>
      </c>
    </row>
    <row r="1078" customFormat="false" ht="15" hidden="false" customHeight="false" outlineLevel="0" collapsed="false">
      <c r="A1078" s="3" t="n">
        <v>1077</v>
      </c>
      <c r="B1078" s="3" t="n">
        <v>1076</v>
      </c>
      <c r="C1078" s="3" t="n">
        <v>5</v>
      </c>
      <c r="D1078" s="3" t="n">
        <v>6</v>
      </c>
      <c r="E1078" s="3" t="n">
        <v>12</v>
      </c>
      <c r="F1078" s="24" t="n">
        <v>-0.224403352</v>
      </c>
    </row>
    <row r="1079" customFormat="false" ht="15" hidden="false" customHeight="false" outlineLevel="0" collapsed="false">
      <c r="A1079" s="3" t="n">
        <v>1078</v>
      </c>
      <c r="B1079" s="3" t="n">
        <v>1077</v>
      </c>
      <c r="C1079" s="3" t="n">
        <v>5</v>
      </c>
      <c r="D1079" s="3" t="n">
        <v>6</v>
      </c>
      <c r="E1079" s="3" t="n">
        <v>13</v>
      </c>
      <c r="F1079" s="24" t="n">
        <v>-0.403746396</v>
      </c>
    </row>
    <row r="1080" customFormat="false" ht="15" hidden="false" customHeight="false" outlineLevel="0" collapsed="false">
      <c r="A1080" s="3" t="n">
        <v>1079</v>
      </c>
      <c r="B1080" s="3" t="n">
        <v>1078</v>
      </c>
      <c r="C1080" s="3" t="n">
        <v>5</v>
      </c>
      <c r="D1080" s="3" t="n">
        <v>7</v>
      </c>
      <c r="E1080" s="3" t="n">
        <v>0</v>
      </c>
      <c r="F1080" s="24" t="n">
        <v>-0.137933835</v>
      </c>
    </row>
    <row r="1081" customFormat="false" ht="15" hidden="false" customHeight="false" outlineLevel="0" collapsed="false">
      <c r="A1081" s="3" t="n">
        <v>1080</v>
      </c>
      <c r="B1081" s="3" t="n">
        <v>1079</v>
      </c>
      <c r="C1081" s="3" t="n">
        <v>5</v>
      </c>
      <c r="D1081" s="3" t="n">
        <v>7</v>
      </c>
      <c r="E1081" s="3" t="n">
        <v>1</v>
      </c>
      <c r="F1081" s="24" t="n">
        <v>-0.0790835246</v>
      </c>
    </row>
    <row r="1082" customFormat="false" ht="15" hidden="false" customHeight="false" outlineLevel="0" collapsed="false">
      <c r="A1082" s="3" t="n">
        <v>1081</v>
      </c>
      <c r="B1082" s="3" t="n">
        <v>1080</v>
      </c>
      <c r="C1082" s="3" t="n">
        <v>5</v>
      </c>
      <c r="D1082" s="3" t="n">
        <v>7</v>
      </c>
      <c r="E1082" s="3" t="n">
        <v>2</v>
      </c>
      <c r="F1082" s="24" t="n">
        <v>-0.0850003809</v>
      </c>
    </row>
    <row r="1083" customFormat="false" ht="15" hidden="false" customHeight="false" outlineLevel="0" collapsed="false">
      <c r="A1083" s="3" t="n">
        <v>1082</v>
      </c>
      <c r="B1083" s="3" t="n">
        <v>1081</v>
      </c>
      <c r="C1083" s="3" t="n">
        <v>5</v>
      </c>
      <c r="D1083" s="3" t="n">
        <v>7</v>
      </c>
      <c r="E1083" s="3" t="n">
        <v>3</v>
      </c>
      <c r="F1083" s="24" t="n">
        <v>-0.0850003809</v>
      </c>
    </row>
    <row r="1084" customFormat="false" ht="15" hidden="false" customHeight="false" outlineLevel="0" collapsed="false">
      <c r="A1084" s="3" t="n">
        <v>1083</v>
      </c>
      <c r="B1084" s="3" t="n">
        <v>1082</v>
      </c>
      <c r="C1084" s="3" t="n">
        <v>5</v>
      </c>
      <c r="D1084" s="3" t="n">
        <v>7</v>
      </c>
      <c r="E1084" s="3" t="n">
        <v>4</v>
      </c>
      <c r="F1084" s="24" t="n">
        <v>-0.0850003809</v>
      </c>
    </row>
    <row r="1085" customFormat="false" ht="15" hidden="false" customHeight="false" outlineLevel="0" collapsed="false">
      <c r="A1085" s="3" t="n">
        <v>1084</v>
      </c>
      <c r="B1085" s="3" t="n">
        <v>1083</v>
      </c>
      <c r="C1085" s="3" t="n">
        <v>5</v>
      </c>
      <c r="D1085" s="3" t="n">
        <v>7</v>
      </c>
      <c r="E1085" s="3" t="n">
        <v>5</v>
      </c>
      <c r="F1085" s="24" t="n">
        <v>0.0188121721</v>
      </c>
    </row>
    <row r="1086" customFormat="false" ht="15" hidden="false" customHeight="false" outlineLevel="0" collapsed="false">
      <c r="A1086" s="3" t="n">
        <v>1085</v>
      </c>
      <c r="B1086" s="3" t="n">
        <v>1084</v>
      </c>
      <c r="C1086" s="3" t="n">
        <v>5</v>
      </c>
      <c r="D1086" s="3" t="n">
        <v>7</v>
      </c>
      <c r="E1086" s="3" t="n">
        <v>6</v>
      </c>
      <c r="F1086" s="24" t="n">
        <v>0.31953764</v>
      </c>
    </row>
    <row r="1087" customFormat="false" ht="15" hidden="false" customHeight="false" outlineLevel="0" collapsed="false">
      <c r="A1087" s="3" t="n">
        <v>1086</v>
      </c>
      <c r="B1087" s="3" t="n">
        <v>1085</v>
      </c>
      <c r="C1087" s="3" t="n">
        <v>5</v>
      </c>
      <c r="D1087" s="3" t="n">
        <v>7</v>
      </c>
      <c r="E1087" s="3" t="n">
        <v>7</v>
      </c>
      <c r="F1087" s="24" t="n">
        <v>-1.61912692</v>
      </c>
    </row>
    <row r="1088" customFormat="false" ht="15" hidden="false" customHeight="false" outlineLevel="0" collapsed="false">
      <c r="A1088" s="3" t="n">
        <v>1087</v>
      </c>
      <c r="B1088" s="3" t="n">
        <v>1086</v>
      </c>
      <c r="C1088" s="3" t="n">
        <v>5</v>
      </c>
      <c r="D1088" s="3" t="n">
        <v>7</v>
      </c>
      <c r="E1088" s="3" t="n">
        <v>8</v>
      </c>
      <c r="F1088" s="24" t="n">
        <v>-0.644956708</v>
      </c>
    </row>
    <row r="1089" customFormat="false" ht="15" hidden="false" customHeight="false" outlineLevel="0" collapsed="false">
      <c r="A1089" s="3" t="n">
        <v>1088</v>
      </c>
      <c r="B1089" s="3" t="n">
        <v>1087</v>
      </c>
      <c r="C1089" s="3" t="n">
        <v>5</v>
      </c>
      <c r="D1089" s="3" t="n">
        <v>7</v>
      </c>
      <c r="E1089" s="3" t="n">
        <v>9</v>
      </c>
      <c r="F1089" s="24" t="n">
        <v>-1.57348776</v>
      </c>
    </row>
    <row r="1090" customFormat="false" ht="15" hidden="false" customHeight="false" outlineLevel="0" collapsed="false">
      <c r="A1090" s="3" t="n">
        <v>1089</v>
      </c>
      <c r="B1090" s="3" t="n">
        <v>1088</v>
      </c>
      <c r="C1090" s="3" t="n">
        <v>5</v>
      </c>
      <c r="D1090" s="3" t="n">
        <v>7</v>
      </c>
      <c r="E1090" s="3" t="n">
        <v>10</v>
      </c>
      <c r="F1090" s="24" t="n">
        <v>-1.97837341</v>
      </c>
    </row>
    <row r="1091" customFormat="false" ht="15" hidden="false" customHeight="false" outlineLevel="0" collapsed="false">
      <c r="A1091" s="3" t="n">
        <v>1090</v>
      </c>
      <c r="B1091" s="3" t="n">
        <v>1089</v>
      </c>
      <c r="C1091" s="3" t="n">
        <v>5</v>
      </c>
      <c r="D1091" s="3" t="n">
        <v>7</v>
      </c>
      <c r="E1091" s="3" t="n">
        <v>11</v>
      </c>
      <c r="F1091" s="24" t="n">
        <v>0.154389948</v>
      </c>
    </row>
    <row r="1092" customFormat="false" ht="15" hidden="false" customHeight="false" outlineLevel="0" collapsed="false">
      <c r="A1092" s="3" t="n">
        <v>1091</v>
      </c>
      <c r="B1092" s="3" t="n">
        <v>1090</v>
      </c>
      <c r="C1092" s="3" t="n">
        <v>5</v>
      </c>
      <c r="D1092" s="3" t="n">
        <v>7</v>
      </c>
      <c r="E1092" s="3" t="n">
        <v>12</v>
      </c>
      <c r="F1092" s="24" t="n">
        <v>-0.262375772</v>
      </c>
    </row>
    <row r="1093" customFormat="false" ht="15" hidden="false" customHeight="false" outlineLevel="0" collapsed="false">
      <c r="A1093" s="3" t="n">
        <v>1092</v>
      </c>
      <c r="B1093" s="3" t="n">
        <v>1091</v>
      </c>
      <c r="C1093" s="3" t="n">
        <v>5</v>
      </c>
      <c r="D1093" s="3" t="n">
        <v>7</v>
      </c>
      <c r="E1093" s="3" t="n">
        <v>13</v>
      </c>
      <c r="F1093" s="24" t="n">
        <v>-0.403746396</v>
      </c>
    </row>
    <row r="1094" customFormat="false" ht="15" hidden="false" customHeight="false" outlineLevel="0" collapsed="false">
      <c r="A1094" s="3" t="n">
        <v>1093</v>
      </c>
      <c r="B1094" s="3" t="n">
        <v>1092</v>
      </c>
      <c r="C1094" s="3" t="n">
        <v>5</v>
      </c>
      <c r="D1094" s="3" t="n">
        <v>8</v>
      </c>
      <c r="E1094" s="3" t="n">
        <v>0</v>
      </c>
      <c r="F1094" s="24" t="n">
        <v>-0.137933835</v>
      </c>
    </row>
    <row r="1095" customFormat="false" ht="15" hidden="false" customHeight="false" outlineLevel="0" collapsed="false">
      <c r="A1095" s="3" t="n">
        <v>1094</v>
      </c>
      <c r="B1095" s="3" t="n">
        <v>1093</v>
      </c>
      <c r="C1095" s="3" t="n">
        <v>5</v>
      </c>
      <c r="D1095" s="3" t="n">
        <v>8</v>
      </c>
      <c r="E1095" s="3" t="n">
        <v>1</v>
      </c>
      <c r="F1095" s="24" t="n">
        <v>-0.0790835246</v>
      </c>
    </row>
    <row r="1096" customFormat="false" ht="15" hidden="false" customHeight="false" outlineLevel="0" collapsed="false">
      <c r="A1096" s="3" t="n">
        <v>1095</v>
      </c>
      <c r="B1096" s="3" t="n">
        <v>1094</v>
      </c>
      <c r="C1096" s="3" t="n">
        <v>5</v>
      </c>
      <c r="D1096" s="3" t="n">
        <v>8</v>
      </c>
      <c r="E1096" s="3" t="n">
        <v>2</v>
      </c>
      <c r="F1096" s="24" t="n">
        <v>-0.0850003809</v>
      </c>
    </row>
    <row r="1097" customFormat="false" ht="15" hidden="false" customHeight="false" outlineLevel="0" collapsed="false">
      <c r="A1097" s="3" t="n">
        <v>1096</v>
      </c>
      <c r="B1097" s="3" t="n">
        <v>1095</v>
      </c>
      <c r="C1097" s="3" t="n">
        <v>5</v>
      </c>
      <c r="D1097" s="3" t="n">
        <v>8</v>
      </c>
      <c r="E1097" s="3" t="n">
        <v>3</v>
      </c>
      <c r="F1097" s="24" t="n">
        <v>-0.0850003809</v>
      </c>
    </row>
    <row r="1098" customFormat="false" ht="15" hidden="false" customHeight="false" outlineLevel="0" collapsed="false">
      <c r="A1098" s="3" t="n">
        <v>1097</v>
      </c>
      <c r="B1098" s="3" t="n">
        <v>1096</v>
      </c>
      <c r="C1098" s="3" t="n">
        <v>5</v>
      </c>
      <c r="D1098" s="3" t="n">
        <v>8</v>
      </c>
      <c r="E1098" s="3" t="n">
        <v>4</v>
      </c>
      <c r="F1098" s="24" t="n">
        <v>-0.0826978981</v>
      </c>
    </row>
    <row r="1099" customFormat="false" ht="15" hidden="false" customHeight="false" outlineLevel="0" collapsed="false">
      <c r="A1099" s="3" t="n">
        <v>1098</v>
      </c>
      <c r="B1099" s="3" t="n">
        <v>1097</v>
      </c>
      <c r="C1099" s="3" t="n">
        <v>5</v>
      </c>
      <c r="D1099" s="3" t="n">
        <v>8</v>
      </c>
      <c r="E1099" s="3" t="n">
        <v>5</v>
      </c>
      <c r="F1099" s="24" t="n">
        <v>0.795341432</v>
      </c>
    </row>
    <row r="1100" customFormat="false" ht="15" hidden="false" customHeight="false" outlineLevel="0" collapsed="false">
      <c r="A1100" s="3" t="n">
        <v>1099</v>
      </c>
      <c r="B1100" s="3" t="n">
        <v>1098</v>
      </c>
      <c r="C1100" s="3" t="n">
        <v>5</v>
      </c>
      <c r="D1100" s="3" t="n">
        <v>8</v>
      </c>
      <c r="E1100" s="3" t="n">
        <v>6</v>
      </c>
      <c r="F1100" s="24" t="n">
        <v>-0.495428056</v>
      </c>
    </row>
    <row r="1101" customFormat="false" ht="15" hidden="false" customHeight="false" outlineLevel="0" collapsed="false">
      <c r="A1101" s="3" t="n">
        <v>1100</v>
      </c>
      <c r="B1101" s="3" t="n">
        <v>1099</v>
      </c>
      <c r="C1101" s="3" t="n">
        <v>5</v>
      </c>
      <c r="D1101" s="3" t="n">
        <v>8</v>
      </c>
      <c r="E1101" s="3" t="n">
        <v>7</v>
      </c>
      <c r="F1101" s="24" t="n">
        <v>-1.83273697</v>
      </c>
    </row>
    <row r="1102" customFormat="false" ht="15" hidden="false" customHeight="false" outlineLevel="0" collapsed="false">
      <c r="A1102" s="3" t="n">
        <v>1101</v>
      </c>
      <c r="B1102" s="3" t="n">
        <v>1100</v>
      </c>
      <c r="C1102" s="3" t="n">
        <v>5</v>
      </c>
      <c r="D1102" s="3" t="n">
        <v>8</v>
      </c>
      <c r="E1102" s="3" t="n">
        <v>8</v>
      </c>
      <c r="F1102" s="24" t="n">
        <v>-0.668345511</v>
      </c>
    </row>
    <row r="1103" customFormat="false" ht="15" hidden="false" customHeight="false" outlineLevel="0" collapsed="false">
      <c r="A1103" s="3" t="n">
        <v>1102</v>
      </c>
      <c r="B1103" s="3" t="n">
        <v>1101</v>
      </c>
      <c r="C1103" s="3" t="n">
        <v>5</v>
      </c>
      <c r="D1103" s="3" t="n">
        <v>8</v>
      </c>
      <c r="E1103" s="3" t="n">
        <v>9</v>
      </c>
      <c r="F1103" s="24" t="n">
        <v>-2.17882991</v>
      </c>
    </row>
    <row r="1104" customFormat="false" ht="15" hidden="false" customHeight="false" outlineLevel="0" collapsed="false">
      <c r="A1104" s="3" t="n">
        <v>1103</v>
      </c>
      <c r="B1104" s="3" t="n">
        <v>1102</v>
      </c>
      <c r="C1104" s="3" t="n">
        <v>5</v>
      </c>
      <c r="D1104" s="3" t="n">
        <v>8</v>
      </c>
      <c r="E1104" s="3" t="n">
        <v>10</v>
      </c>
      <c r="F1104" s="24" t="n">
        <v>-0.94319427</v>
      </c>
    </row>
    <row r="1105" customFormat="false" ht="15" hidden="false" customHeight="false" outlineLevel="0" collapsed="false">
      <c r="A1105" s="3" t="n">
        <v>1104</v>
      </c>
      <c r="B1105" s="3" t="n">
        <v>1103</v>
      </c>
      <c r="C1105" s="3" t="n">
        <v>5</v>
      </c>
      <c r="D1105" s="3" t="n">
        <v>8</v>
      </c>
      <c r="E1105" s="3" t="n">
        <v>11</v>
      </c>
      <c r="F1105" s="24" t="n">
        <v>-0.0576400757</v>
      </c>
    </row>
    <row r="1106" customFormat="false" ht="15" hidden="false" customHeight="false" outlineLevel="0" collapsed="false">
      <c r="A1106" s="3" t="n">
        <v>1105</v>
      </c>
      <c r="B1106" s="3" t="n">
        <v>1104</v>
      </c>
      <c r="C1106" s="3" t="n">
        <v>5</v>
      </c>
      <c r="D1106" s="3" t="n">
        <v>8</v>
      </c>
      <c r="E1106" s="3" t="n">
        <v>12</v>
      </c>
      <c r="F1106" s="24" t="n">
        <v>-0.262012362</v>
      </c>
    </row>
    <row r="1107" customFormat="false" ht="15" hidden="false" customHeight="false" outlineLevel="0" collapsed="false">
      <c r="A1107" s="3" t="n">
        <v>1106</v>
      </c>
      <c r="B1107" s="3" t="n">
        <v>1105</v>
      </c>
      <c r="C1107" s="3" t="n">
        <v>5</v>
      </c>
      <c r="D1107" s="3" t="n">
        <v>8</v>
      </c>
      <c r="E1107" s="3" t="n">
        <v>13</v>
      </c>
      <c r="F1107" s="24" t="n">
        <v>-0.403746396</v>
      </c>
    </row>
    <row r="1108" customFormat="false" ht="15" hidden="false" customHeight="false" outlineLevel="0" collapsed="false">
      <c r="A1108" s="3" t="n">
        <v>1107</v>
      </c>
      <c r="B1108" s="3" t="n">
        <v>1106</v>
      </c>
      <c r="C1108" s="3" t="n">
        <v>5</v>
      </c>
      <c r="D1108" s="3" t="n">
        <v>9</v>
      </c>
      <c r="E1108" s="3" t="n">
        <v>0</v>
      </c>
      <c r="F1108" s="24" t="n">
        <v>-0.137933835</v>
      </c>
    </row>
    <row r="1109" customFormat="false" ht="15" hidden="false" customHeight="false" outlineLevel="0" collapsed="false">
      <c r="A1109" s="3" t="n">
        <v>1108</v>
      </c>
      <c r="B1109" s="3" t="n">
        <v>1107</v>
      </c>
      <c r="C1109" s="3" t="n">
        <v>5</v>
      </c>
      <c r="D1109" s="3" t="n">
        <v>9</v>
      </c>
      <c r="E1109" s="3" t="n">
        <v>1</v>
      </c>
      <c r="F1109" s="24" t="n">
        <v>-0.0790835246</v>
      </c>
    </row>
    <row r="1110" customFormat="false" ht="15" hidden="false" customHeight="false" outlineLevel="0" collapsed="false">
      <c r="A1110" s="3" t="n">
        <v>1109</v>
      </c>
      <c r="B1110" s="3" t="n">
        <v>1108</v>
      </c>
      <c r="C1110" s="3" t="n">
        <v>5</v>
      </c>
      <c r="D1110" s="3" t="n">
        <v>9</v>
      </c>
      <c r="E1110" s="3" t="n">
        <v>2</v>
      </c>
      <c r="F1110" s="24" t="n">
        <v>-0.0850003809</v>
      </c>
    </row>
    <row r="1111" customFormat="false" ht="15" hidden="false" customHeight="false" outlineLevel="0" collapsed="false">
      <c r="A1111" s="3" t="n">
        <v>1110</v>
      </c>
      <c r="B1111" s="3" t="n">
        <v>1109</v>
      </c>
      <c r="C1111" s="3" t="n">
        <v>5</v>
      </c>
      <c r="D1111" s="3" t="n">
        <v>9</v>
      </c>
      <c r="E1111" s="3" t="n">
        <v>3</v>
      </c>
      <c r="F1111" s="24" t="n">
        <v>-0.0850003809</v>
      </c>
    </row>
    <row r="1112" customFormat="false" ht="15" hidden="false" customHeight="false" outlineLevel="0" collapsed="false">
      <c r="A1112" s="3" t="n">
        <v>1111</v>
      </c>
      <c r="B1112" s="3" t="n">
        <v>1110</v>
      </c>
      <c r="C1112" s="3" t="n">
        <v>5</v>
      </c>
      <c r="D1112" s="3" t="n">
        <v>9</v>
      </c>
      <c r="E1112" s="3" t="n">
        <v>4</v>
      </c>
      <c r="F1112" s="24" t="n">
        <v>0.168337405</v>
      </c>
    </row>
    <row r="1113" customFormat="false" ht="15" hidden="false" customHeight="false" outlineLevel="0" collapsed="false">
      <c r="A1113" s="3" t="n">
        <v>1112</v>
      </c>
      <c r="B1113" s="3" t="n">
        <v>1111</v>
      </c>
      <c r="C1113" s="3" t="n">
        <v>5</v>
      </c>
      <c r="D1113" s="3" t="n">
        <v>9</v>
      </c>
      <c r="E1113" s="3" t="n">
        <v>5</v>
      </c>
      <c r="F1113" s="24" t="n">
        <v>0.0906885043</v>
      </c>
    </row>
    <row r="1114" customFormat="false" ht="15" hidden="false" customHeight="false" outlineLevel="0" collapsed="false">
      <c r="A1114" s="3" t="n">
        <v>1113</v>
      </c>
      <c r="B1114" s="3" t="n">
        <v>1112</v>
      </c>
      <c r="C1114" s="3" t="n">
        <v>5</v>
      </c>
      <c r="D1114" s="3" t="n">
        <v>9</v>
      </c>
      <c r="E1114" s="3" t="n">
        <v>6</v>
      </c>
      <c r="F1114" s="24" t="n">
        <v>-0.615592003</v>
      </c>
    </row>
    <row r="1115" customFormat="false" ht="15" hidden="false" customHeight="false" outlineLevel="0" collapsed="false">
      <c r="A1115" s="3" t="n">
        <v>1114</v>
      </c>
      <c r="B1115" s="3" t="n">
        <v>1113</v>
      </c>
      <c r="C1115" s="3" t="n">
        <v>5</v>
      </c>
      <c r="D1115" s="3" t="n">
        <v>9</v>
      </c>
      <c r="E1115" s="3" t="n">
        <v>7</v>
      </c>
      <c r="F1115" s="24" t="n">
        <v>-0.164526388</v>
      </c>
    </row>
    <row r="1116" customFormat="false" ht="15" hidden="false" customHeight="false" outlineLevel="0" collapsed="false">
      <c r="A1116" s="3" t="n">
        <v>1115</v>
      </c>
      <c r="B1116" s="3" t="n">
        <v>1114</v>
      </c>
      <c r="C1116" s="3" t="n">
        <v>5</v>
      </c>
      <c r="D1116" s="3" t="n">
        <v>9</v>
      </c>
      <c r="E1116" s="3" t="n">
        <v>8</v>
      </c>
      <c r="F1116" s="24" t="n">
        <v>-1.58281302</v>
      </c>
    </row>
    <row r="1117" customFormat="false" ht="15" hidden="false" customHeight="false" outlineLevel="0" collapsed="false">
      <c r="A1117" s="3" t="n">
        <v>1116</v>
      </c>
      <c r="B1117" s="3" t="n">
        <v>1115</v>
      </c>
      <c r="C1117" s="3" t="n">
        <v>5</v>
      </c>
      <c r="D1117" s="3" t="n">
        <v>9</v>
      </c>
      <c r="E1117" s="3" t="n">
        <v>9</v>
      </c>
      <c r="F1117" s="24" t="n">
        <v>-1.80983901</v>
      </c>
    </row>
    <row r="1118" customFormat="false" ht="15" hidden="false" customHeight="false" outlineLevel="0" collapsed="false">
      <c r="A1118" s="3" t="n">
        <v>1117</v>
      </c>
      <c r="B1118" s="3" t="n">
        <v>1116</v>
      </c>
      <c r="C1118" s="3" t="n">
        <v>5</v>
      </c>
      <c r="D1118" s="3" t="n">
        <v>9</v>
      </c>
      <c r="E1118" s="3" t="n">
        <v>10</v>
      </c>
      <c r="F1118" s="24" t="n">
        <v>0.0388988554</v>
      </c>
    </row>
    <row r="1119" customFormat="false" ht="15" hidden="false" customHeight="false" outlineLevel="0" collapsed="false">
      <c r="A1119" s="3" t="n">
        <v>1118</v>
      </c>
      <c r="B1119" s="3" t="n">
        <v>1117</v>
      </c>
      <c r="C1119" s="3" t="n">
        <v>5</v>
      </c>
      <c r="D1119" s="3" t="n">
        <v>9</v>
      </c>
      <c r="E1119" s="3" t="n">
        <v>11</v>
      </c>
      <c r="F1119" s="24" t="n">
        <v>-0.0842694491</v>
      </c>
    </row>
    <row r="1120" customFormat="false" ht="15" hidden="false" customHeight="false" outlineLevel="0" collapsed="false">
      <c r="A1120" s="3" t="n">
        <v>1119</v>
      </c>
      <c r="B1120" s="3" t="n">
        <v>1118</v>
      </c>
      <c r="C1120" s="3" t="n">
        <v>5</v>
      </c>
      <c r="D1120" s="3" t="n">
        <v>9</v>
      </c>
      <c r="E1120" s="3" t="n">
        <v>12</v>
      </c>
      <c r="F1120" s="24" t="n">
        <v>-0.262012362</v>
      </c>
    </row>
    <row r="1121" customFormat="false" ht="15" hidden="false" customHeight="false" outlineLevel="0" collapsed="false">
      <c r="A1121" s="3" t="n">
        <v>1120</v>
      </c>
      <c r="B1121" s="3" t="n">
        <v>1119</v>
      </c>
      <c r="C1121" s="3" t="n">
        <v>5</v>
      </c>
      <c r="D1121" s="3" t="n">
        <v>9</v>
      </c>
      <c r="E1121" s="3" t="n">
        <v>13</v>
      </c>
      <c r="F1121" s="24" t="n">
        <v>-0.403746396</v>
      </c>
    </row>
    <row r="1122" customFormat="false" ht="15" hidden="false" customHeight="false" outlineLevel="0" collapsed="false">
      <c r="A1122" s="3" t="n">
        <v>1121</v>
      </c>
      <c r="B1122" s="3" t="n">
        <v>1120</v>
      </c>
      <c r="C1122" s="3" t="n">
        <v>5</v>
      </c>
      <c r="D1122" s="3" t="n">
        <v>10</v>
      </c>
      <c r="E1122" s="3" t="n">
        <v>0</v>
      </c>
      <c r="F1122" s="24" t="n">
        <v>-0.137933835</v>
      </c>
    </row>
    <row r="1123" customFormat="false" ht="15" hidden="false" customHeight="false" outlineLevel="0" collapsed="false">
      <c r="A1123" s="3" t="n">
        <v>1122</v>
      </c>
      <c r="B1123" s="3" t="n">
        <v>1121</v>
      </c>
      <c r="C1123" s="3" t="n">
        <v>5</v>
      </c>
      <c r="D1123" s="3" t="n">
        <v>10</v>
      </c>
      <c r="E1123" s="3" t="n">
        <v>1</v>
      </c>
      <c r="F1123" s="24" t="n">
        <v>-0.0790835246</v>
      </c>
    </row>
    <row r="1124" customFormat="false" ht="15" hidden="false" customHeight="false" outlineLevel="0" collapsed="false">
      <c r="A1124" s="3" t="n">
        <v>1123</v>
      </c>
      <c r="B1124" s="3" t="n">
        <v>1122</v>
      </c>
      <c r="C1124" s="3" t="n">
        <v>5</v>
      </c>
      <c r="D1124" s="3" t="n">
        <v>10</v>
      </c>
      <c r="E1124" s="3" t="n">
        <v>2</v>
      </c>
      <c r="F1124" s="24" t="n">
        <v>-0.0850003809</v>
      </c>
    </row>
    <row r="1125" customFormat="false" ht="15" hidden="false" customHeight="false" outlineLevel="0" collapsed="false">
      <c r="A1125" s="3" t="n">
        <v>1124</v>
      </c>
      <c r="B1125" s="3" t="n">
        <v>1123</v>
      </c>
      <c r="C1125" s="3" t="n">
        <v>5</v>
      </c>
      <c r="D1125" s="3" t="n">
        <v>10</v>
      </c>
      <c r="E1125" s="3" t="n">
        <v>3</v>
      </c>
      <c r="F1125" s="24" t="n">
        <v>-0.000889077783</v>
      </c>
    </row>
    <row r="1126" customFormat="false" ht="15" hidden="false" customHeight="false" outlineLevel="0" collapsed="false">
      <c r="A1126" s="3" t="n">
        <v>1125</v>
      </c>
      <c r="B1126" s="3" t="n">
        <v>1124</v>
      </c>
      <c r="C1126" s="3" t="n">
        <v>5</v>
      </c>
      <c r="D1126" s="3" t="n">
        <v>10</v>
      </c>
      <c r="E1126" s="3" t="n">
        <v>4</v>
      </c>
      <c r="F1126" s="24" t="n">
        <v>0.946763694</v>
      </c>
    </row>
    <row r="1127" customFormat="false" ht="15" hidden="false" customHeight="false" outlineLevel="0" collapsed="false">
      <c r="A1127" s="3" t="n">
        <v>1126</v>
      </c>
      <c r="B1127" s="3" t="n">
        <v>1125</v>
      </c>
      <c r="C1127" s="3" t="n">
        <v>5</v>
      </c>
      <c r="D1127" s="3" t="n">
        <v>10</v>
      </c>
      <c r="E1127" s="3" t="n">
        <v>5</v>
      </c>
      <c r="F1127" s="24" t="n">
        <v>-0.719803393</v>
      </c>
    </row>
    <row r="1128" customFormat="false" ht="15" hidden="false" customHeight="false" outlineLevel="0" collapsed="false">
      <c r="A1128" s="3" t="n">
        <v>1127</v>
      </c>
      <c r="B1128" s="3" t="n">
        <v>1126</v>
      </c>
      <c r="C1128" s="3" t="n">
        <v>5</v>
      </c>
      <c r="D1128" s="3" t="n">
        <v>10</v>
      </c>
      <c r="E1128" s="3" t="n">
        <v>6</v>
      </c>
      <c r="F1128" s="24" t="n">
        <v>-0.793640316</v>
      </c>
    </row>
    <row r="1129" customFormat="false" ht="15" hidden="false" customHeight="false" outlineLevel="0" collapsed="false">
      <c r="A1129" s="3" t="n">
        <v>1128</v>
      </c>
      <c r="B1129" s="3" t="n">
        <v>1127</v>
      </c>
      <c r="C1129" s="3" t="n">
        <v>5</v>
      </c>
      <c r="D1129" s="3" t="n">
        <v>10</v>
      </c>
      <c r="E1129" s="3" t="n">
        <v>7</v>
      </c>
      <c r="F1129" s="24" t="n">
        <v>-1.42693555</v>
      </c>
    </row>
    <row r="1130" customFormat="false" ht="15" hidden="false" customHeight="false" outlineLevel="0" collapsed="false">
      <c r="A1130" s="3" t="n">
        <v>1129</v>
      </c>
      <c r="B1130" s="3" t="n">
        <v>1128</v>
      </c>
      <c r="C1130" s="3" t="n">
        <v>5</v>
      </c>
      <c r="D1130" s="3" t="n">
        <v>10</v>
      </c>
      <c r="E1130" s="3" t="n">
        <v>8</v>
      </c>
      <c r="F1130" s="24" t="n">
        <v>-1.56993341</v>
      </c>
    </row>
    <row r="1131" customFormat="false" ht="15" hidden="false" customHeight="false" outlineLevel="0" collapsed="false">
      <c r="A1131" s="3" t="n">
        <v>1130</v>
      </c>
      <c r="B1131" s="3" t="n">
        <v>1129</v>
      </c>
      <c r="C1131" s="3" t="n">
        <v>5</v>
      </c>
      <c r="D1131" s="3" t="n">
        <v>10</v>
      </c>
      <c r="E1131" s="3" t="n">
        <v>9</v>
      </c>
      <c r="F1131" s="24" t="n">
        <v>-0.426902562</v>
      </c>
    </row>
    <row r="1132" customFormat="false" ht="15" hidden="false" customHeight="false" outlineLevel="0" collapsed="false">
      <c r="A1132" s="3" t="n">
        <v>1131</v>
      </c>
      <c r="B1132" s="3" t="n">
        <v>1130</v>
      </c>
      <c r="C1132" s="3" t="n">
        <v>5</v>
      </c>
      <c r="D1132" s="3" t="n">
        <v>10</v>
      </c>
      <c r="E1132" s="3" t="n">
        <v>10</v>
      </c>
      <c r="F1132" s="24" t="n">
        <v>-0.0660699829</v>
      </c>
    </row>
    <row r="1133" customFormat="false" ht="15" hidden="false" customHeight="false" outlineLevel="0" collapsed="false">
      <c r="A1133" s="3" t="n">
        <v>1132</v>
      </c>
      <c r="B1133" s="3" t="n">
        <v>1131</v>
      </c>
      <c r="C1133" s="3" t="n">
        <v>5</v>
      </c>
      <c r="D1133" s="3" t="n">
        <v>10</v>
      </c>
      <c r="E1133" s="3" t="n">
        <v>11</v>
      </c>
      <c r="F1133" s="24" t="n">
        <v>-0.0850003809</v>
      </c>
    </row>
    <row r="1134" customFormat="false" ht="15" hidden="false" customHeight="false" outlineLevel="0" collapsed="false">
      <c r="A1134" s="3" t="n">
        <v>1133</v>
      </c>
      <c r="B1134" s="3" t="n">
        <v>1132</v>
      </c>
      <c r="C1134" s="3" t="n">
        <v>5</v>
      </c>
      <c r="D1134" s="3" t="n">
        <v>10</v>
      </c>
      <c r="E1134" s="3" t="n">
        <v>12</v>
      </c>
      <c r="F1134" s="24" t="n">
        <v>-0.262012362</v>
      </c>
    </row>
    <row r="1135" customFormat="false" ht="15" hidden="false" customHeight="false" outlineLevel="0" collapsed="false">
      <c r="A1135" s="3" t="n">
        <v>1134</v>
      </c>
      <c r="B1135" s="3" t="n">
        <v>1133</v>
      </c>
      <c r="C1135" s="3" t="n">
        <v>5</v>
      </c>
      <c r="D1135" s="3" t="n">
        <v>10</v>
      </c>
      <c r="E1135" s="3" t="n">
        <v>13</v>
      </c>
      <c r="F1135" s="24" t="n">
        <v>-0.403746396</v>
      </c>
    </row>
    <row r="1136" customFormat="false" ht="15" hidden="false" customHeight="false" outlineLevel="0" collapsed="false">
      <c r="A1136" s="3" t="n">
        <v>1135</v>
      </c>
      <c r="B1136" s="3" t="n">
        <v>1134</v>
      </c>
      <c r="C1136" s="3" t="n">
        <v>5</v>
      </c>
      <c r="D1136" s="3" t="n">
        <v>11</v>
      </c>
      <c r="E1136" s="3" t="n">
        <v>0</v>
      </c>
      <c r="F1136" s="24" t="n">
        <v>-0.137933835</v>
      </c>
    </row>
    <row r="1137" customFormat="false" ht="15" hidden="false" customHeight="false" outlineLevel="0" collapsed="false">
      <c r="A1137" s="3" t="n">
        <v>1136</v>
      </c>
      <c r="B1137" s="3" t="n">
        <v>1135</v>
      </c>
      <c r="C1137" s="3" t="n">
        <v>5</v>
      </c>
      <c r="D1137" s="3" t="n">
        <v>11</v>
      </c>
      <c r="E1137" s="3" t="n">
        <v>1</v>
      </c>
      <c r="F1137" s="24" t="n">
        <v>-0.0790835246</v>
      </c>
    </row>
    <row r="1138" customFormat="false" ht="15" hidden="false" customHeight="false" outlineLevel="0" collapsed="false">
      <c r="A1138" s="3" t="n">
        <v>1137</v>
      </c>
      <c r="B1138" s="3" t="n">
        <v>1136</v>
      </c>
      <c r="C1138" s="3" t="n">
        <v>5</v>
      </c>
      <c r="D1138" s="3" t="n">
        <v>11</v>
      </c>
      <c r="E1138" s="3" t="n">
        <v>2</v>
      </c>
      <c r="F1138" s="24" t="n">
        <v>-0.0850003809</v>
      </c>
    </row>
    <row r="1139" customFormat="false" ht="15" hidden="false" customHeight="false" outlineLevel="0" collapsed="false">
      <c r="A1139" s="3" t="n">
        <v>1138</v>
      </c>
      <c r="B1139" s="3" t="n">
        <v>1137</v>
      </c>
      <c r="C1139" s="3" t="n">
        <v>5</v>
      </c>
      <c r="D1139" s="3" t="n">
        <v>11</v>
      </c>
      <c r="E1139" s="3" t="n">
        <v>3</v>
      </c>
      <c r="F1139" s="24" t="n">
        <v>0.137062669</v>
      </c>
    </row>
    <row r="1140" customFormat="false" ht="15" hidden="false" customHeight="false" outlineLevel="0" collapsed="false">
      <c r="A1140" s="3" t="n">
        <v>1139</v>
      </c>
      <c r="B1140" s="3" t="n">
        <v>1138</v>
      </c>
      <c r="C1140" s="3" t="n">
        <v>5</v>
      </c>
      <c r="D1140" s="3" t="n">
        <v>11</v>
      </c>
      <c r="E1140" s="3" t="n">
        <v>4</v>
      </c>
      <c r="F1140" s="24" t="n">
        <v>0.473896503</v>
      </c>
    </row>
    <row r="1141" customFormat="false" ht="15" hidden="false" customHeight="false" outlineLevel="0" collapsed="false">
      <c r="A1141" s="3" t="n">
        <v>1140</v>
      </c>
      <c r="B1141" s="3" t="n">
        <v>1139</v>
      </c>
      <c r="C1141" s="3" t="n">
        <v>5</v>
      </c>
      <c r="D1141" s="3" t="n">
        <v>11</v>
      </c>
      <c r="E1141" s="3" t="n">
        <v>5</v>
      </c>
      <c r="F1141" s="24" t="n">
        <v>0.680238843</v>
      </c>
    </row>
    <row r="1142" customFormat="false" ht="15" hidden="false" customHeight="false" outlineLevel="0" collapsed="false">
      <c r="A1142" s="3" t="n">
        <v>1141</v>
      </c>
      <c r="B1142" s="3" t="n">
        <v>1140</v>
      </c>
      <c r="C1142" s="3" t="n">
        <v>5</v>
      </c>
      <c r="D1142" s="3" t="n">
        <v>11</v>
      </c>
      <c r="E1142" s="3" t="n">
        <v>6</v>
      </c>
      <c r="F1142" s="24" t="n">
        <v>1.27654672</v>
      </c>
    </row>
    <row r="1143" customFormat="false" ht="15" hidden="false" customHeight="false" outlineLevel="0" collapsed="false">
      <c r="A1143" s="3" t="n">
        <v>1142</v>
      </c>
      <c r="B1143" s="3" t="n">
        <v>1141</v>
      </c>
      <c r="C1143" s="3" t="n">
        <v>5</v>
      </c>
      <c r="D1143" s="3" t="n">
        <v>11</v>
      </c>
      <c r="E1143" s="3" t="n">
        <v>7</v>
      </c>
      <c r="F1143" s="24" t="n">
        <v>-2.81464648</v>
      </c>
    </row>
    <row r="1144" customFormat="false" ht="15" hidden="false" customHeight="false" outlineLevel="0" collapsed="false">
      <c r="A1144" s="3" t="n">
        <v>1143</v>
      </c>
      <c r="B1144" s="3" t="n">
        <v>1142</v>
      </c>
      <c r="C1144" s="3" t="n">
        <v>5</v>
      </c>
      <c r="D1144" s="3" t="n">
        <v>11</v>
      </c>
      <c r="E1144" s="3" t="n">
        <v>8</v>
      </c>
      <c r="F1144" s="24" t="n">
        <v>-1.53262782</v>
      </c>
    </row>
    <row r="1145" customFormat="false" ht="15" hidden="false" customHeight="false" outlineLevel="0" collapsed="false">
      <c r="A1145" s="3" t="n">
        <v>1144</v>
      </c>
      <c r="B1145" s="3" t="n">
        <v>1143</v>
      </c>
      <c r="C1145" s="3" t="n">
        <v>5</v>
      </c>
      <c r="D1145" s="3" t="n">
        <v>11</v>
      </c>
      <c r="E1145" s="3" t="n">
        <v>9</v>
      </c>
      <c r="F1145" s="24" t="n">
        <v>-0.0206751414</v>
      </c>
    </row>
    <row r="1146" customFormat="false" ht="15" hidden="false" customHeight="false" outlineLevel="0" collapsed="false">
      <c r="A1146" s="3" t="n">
        <v>1145</v>
      </c>
      <c r="B1146" s="3" t="n">
        <v>1144</v>
      </c>
      <c r="C1146" s="3" t="n">
        <v>5</v>
      </c>
      <c r="D1146" s="3" t="n">
        <v>11</v>
      </c>
      <c r="E1146" s="3" t="n">
        <v>10</v>
      </c>
      <c r="F1146" s="24" t="n">
        <v>-0.0850003809</v>
      </c>
    </row>
    <row r="1147" customFormat="false" ht="15" hidden="false" customHeight="false" outlineLevel="0" collapsed="false">
      <c r="A1147" s="3" t="n">
        <v>1146</v>
      </c>
      <c r="B1147" s="3" t="n">
        <v>1145</v>
      </c>
      <c r="C1147" s="3" t="n">
        <v>5</v>
      </c>
      <c r="D1147" s="3" t="n">
        <v>11</v>
      </c>
      <c r="E1147" s="3" t="n">
        <v>11</v>
      </c>
      <c r="F1147" s="24" t="n">
        <v>-0.0850003809</v>
      </c>
    </row>
    <row r="1148" customFormat="false" ht="15" hidden="false" customHeight="false" outlineLevel="0" collapsed="false">
      <c r="A1148" s="3" t="n">
        <v>1147</v>
      </c>
      <c r="B1148" s="3" t="n">
        <v>1146</v>
      </c>
      <c r="C1148" s="3" t="n">
        <v>5</v>
      </c>
      <c r="D1148" s="3" t="n">
        <v>11</v>
      </c>
      <c r="E1148" s="3" t="n">
        <v>12</v>
      </c>
      <c r="F1148" s="24" t="n">
        <v>-0.262012362</v>
      </c>
    </row>
    <row r="1149" customFormat="false" ht="15" hidden="false" customHeight="false" outlineLevel="0" collapsed="false">
      <c r="A1149" s="3" t="n">
        <v>1148</v>
      </c>
      <c r="B1149" s="3" t="n">
        <v>1147</v>
      </c>
      <c r="C1149" s="3" t="n">
        <v>5</v>
      </c>
      <c r="D1149" s="3" t="n">
        <v>11</v>
      </c>
      <c r="E1149" s="3" t="n">
        <v>13</v>
      </c>
      <c r="F1149" s="24" t="n">
        <v>-0.403746396</v>
      </c>
    </row>
    <row r="1150" customFormat="false" ht="15" hidden="false" customHeight="false" outlineLevel="0" collapsed="false">
      <c r="A1150" s="3" t="n">
        <v>1149</v>
      </c>
      <c r="B1150" s="3" t="n">
        <v>1148</v>
      </c>
      <c r="C1150" s="3" t="n">
        <v>5</v>
      </c>
      <c r="D1150" s="3" t="n">
        <v>12</v>
      </c>
      <c r="E1150" s="3" t="n">
        <v>0</v>
      </c>
      <c r="F1150" s="24" t="n">
        <v>-0.339531898</v>
      </c>
    </row>
    <row r="1151" customFormat="false" ht="15" hidden="false" customHeight="false" outlineLevel="0" collapsed="false">
      <c r="A1151" s="3" t="n">
        <v>1150</v>
      </c>
      <c r="B1151" s="3" t="n">
        <v>1149</v>
      </c>
      <c r="C1151" s="3" t="n">
        <v>5</v>
      </c>
      <c r="D1151" s="3" t="n">
        <v>12</v>
      </c>
      <c r="E1151" s="3" t="n">
        <v>1</v>
      </c>
      <c r="F1151" s="24" t="n">
        <v>-0.367456406</v>
      </c>
    </row>
    <row r="1152" customFormat="false" ht="15" hidden="false" customHeight="false" outlineLevel="0" collapsed="false">
      <c r="A1152" s="3" t="n">
        <v>1151</v>
      </c>
      <c r="B1152" s="3" t="n">
        <v>1150</v>
      </c>
      <c r="C1152" s="3" t="n">
        <v>5</v>
      </c>
      <c r="D1152" s="3" t="n">
        <v>12</v>
      </c>
      <c r="E1152" s="3" t="n">
        <v>2</v>
      </c>
      <c r="F1152" s="24" t="n">
        <v>-0.360935867</v>
      </c>
    </row>
    <row r="1153" customFormat="false" ht="15" hidden="false" customHeight="false" outlineLevel="0" collapsed="false">
      <c r="A1153" s="3" t="n">
        <v>1152</v>
      </c>
      <c r="B1153" s="3" t="n">
        <v>1151</v>
      </c>
      <c r="C1153" s="3" t="n">
        <v>5</v>
      </c>
      <c r="D1153" s="3" t="n">
        <v>12</v>
      </c>
      <c r="E1153" s="3" t="n">
        <v>3</v>
      </c>
      <c r="F1153" s="24" t="n">
        <v>-0.544216335</v>
      </c>
    </row>
    <row r="1154" customFormat="false" ht="15" hidden="false" customHeight="false" outlineLevel="0" collapsed="false">
      <c r="A1154" s="3" t="n">
        <v>1153</v>
      </c>
      <c r="B1154" s="3" t="n">
        <v>1152</v>
      </c>
      <c r="C1154" s="3" t="n">
        <v>5</v>
      </c>
      <c r="D1154" s="3" t="n">
        <v>12</v>
      </c>
      <c r="E1154" s="3" t="n">
        <v>4</v>
      </c>
      <c r="F1154" s="24" t="n">
        <v>-0.515891314</v>
      </c>
    </row>
    <row r="1155" customFormat="false" ht="15" hidden="false" customHeight="false" outlineLevel="0" collapsed="false">
      <c r="A1155" s="3" t="n">
        <v>1154</v>
      </c>
      <c r="B1155" s="3" t="n">
        <v>1153</v>
      </c>
      <c r="C1155" s="3" t="n">
        <v>5</v>
      </c>
      <c r="D1155" s="3" t="n">
        <v>12</v>
      </c>
      <c r="E1155" s="3" t="n">
        <v>5</v>
      </c>
      <c r="F1155" s="24" t="n">
        <v>2.014889</v>
      </c>
    </row>
    <row r="1156" customFormat="false" ht="15" hidden="false" customHeight="false" outlineLevel="0" collapsed="false">
      <c r="A1156" s="3" t="n">
        <v>1155</v>
      </c>
      <c r="B1156" s="3" t="n">
        <v>1154</v>
      </c>
      <c r="C1156" s="3" t="n">
        <v>5</v>
      </c>
      <c r="D1156" s="3" t="n">
        <v>12</v>
      </c>
      <c r="E1156" s="3" t="n">
        <v>6</v>
      </c>
      <c r="F1156" s="24" t="n">
        <v>1.44499826</v>
      </c>
    </row>
    <row r="1157" customFormat="false" ht="15" hidden="false" customHeight="false" outlineLevel="0" collapsed="false">
      <c r="A1157" s="3" t="n">
        <v>1156</v>
      </c>
      <c r="B1157" s="3" t="n">
        <v>1155</v>
      </c>
      <c r="C1157" s="3" t="n">
        <v>5</v>
      </c>
      <c r="D1157" s="3" t="n">
        <v>12</v>
      </c>
      <c r="E1157" s="3" t="n">
        <v>7</v>
      </c>
      <c r="F1157" s="24" t="n">
        <v>-1.89842021</v>
      </c>
    </row>
    <row r="1158" customFormat="false" ht="15" hidden="false" customHeight="false" outlineLevel="0" collapsed="false">
      <c r="A1158" s="3" t="n">
        <v>1157</v>
      </c>
      <c r="B1158" s="3" t="n">
        <v>1156</v>
      </c>
      <c r="C1158" s="3" t="n">
        <v>5</v>
      </c>
      <c r="D1158" s="3" t="n">
        <v>12</v>
      </c>
      <c r="E1158" s="3" t="n">
        <v>8</v>
      </c>
      <c r="F1158" s="24" t="n">
        <v>-0.221217692</v>
      </c>
    </row>
    <row r="1159" customFormat="false" ht="15" hidden="false" customHeight="false" outlineLevel="0" collapsed="false">
      <c r="A1159" s="3" t="n">
        <v>1158</v>
      </c>
      <c r="B1159" s="3" t="n">
        <v>1157</v>
      </c>
      <c r="C1159" s="3" t="n">
        <v>5</v>
      </c>
      <c r="D1159" s="3" t="n">
        <v>12</v>
      </c>
      <c r="E1159" s="3" t="n">
        <v>9</v>
      </c>
      <c r="F1159" s="24" t="n">
        <v>-0.355709612</v>
      </c>
    </row>
    <row r="1160" customFormat="false" ht="15" hidden="false" customHeight="false" outlineLevel="0" collapsed="false">
      <c r="A1160" s="3" t="n">
        <v>1159</v>
      </c>
      <c r="B1160" s="3" t="n">
        <v>1158</v>
      </c>
      <c r="C1160" s="3" t="n">
        <v>5</v>
      </c>
      <c r="D1160" s="3" t="n">
        <v>12</v>
      </c>
      <c r="E1160" s="3" t="n">
        <v>10</v>
      </c>
      <c r="F1160" s="24" t="n">
        <v>-0.360935867</v>
      </c>
    </row>
    <row r="1161" customFormat="false" ht="15" hidden="false" customHeight="false" outlineLevel="0" collapsed="false">
      <c r="A1161" s="3" t="n">
        <v>1160</v>
      </c>
      <c r="B1161" s="3" t="n">
        <v>1159</v>
      </c>
      <c r="C1161" s="3" t="n">
        <v>5</v>
      </c>
      <c r="D1161" s="3" t="n">
        <v>12</v>
      </c>
      <c r="E1161" s="3" t="n">
        <v>11</v>
      </c>
      <c r="F1161" s="24" t="n">
        <v>-0.360935867</v>
      </c>
    </row>
    <row r="1162" customFormat="false" ht="15" hidden="false" customHeight="false" outlineLevel="0" collapsed="false">
      <c r="A1162" s="3" t="n">
        <v>1161</v>
      </c>
      <c r="B1162" s="3" t="n">
        <v>1160</v>
      </c>
      <c r="C1162" s="3" t="n">
        <v>5</v>
      </c>
      <c r="D1162" s="3" t="n">
        <v>12</v>
      </c>
      <c r="E1162" s="3" t="n">
        <v>12</v>
      </c>
      <c r="F1162" s="24" t="n">
        <v>-0.537947893</v>
      </c>
    </row>
    <row r="1163" customFormat="false" ht="15" hidden="false" customHeight="false" outlineLevel="0" collapsed="false">
      <c r="A1163" s="3" t="n">
        <v>1162</v>
      </c>
      <c r="B1163" s="3" t="n">
        <v>1161</v>
      </c>
      <c r="C1163" s="3" t="n">
        <v>5</v>
      </c>
      <c r="D1163" s="3" t="n">
        <v>12</v>
      </c>
      <c r="E1163" s="3" t="n">
        <v>13</v>
      </c>
      <c r="F1163" s="24" t="n">
        <v>-0.662069499</v>
      </c>
    </row>
    <row r="1164" customFormat="false" ht="15" hidden="false" customHeight="false" outlineLevel="0" collapsed="false">
      <c r="A1164" s="3" t="n">
        <v>1163</v>
      </c>
      <c r="B1164" s="3" t="n">
        <v>1162</v>
      </c>
      <c r="C1164" s="3" t="n">
        <v>5</v>
      </c>
      <c r="D1164" s="3" t="n">
        <v>13</v>
      </c>
      <c r="E1164" s="3" t="n">
        <v>0</v>
      </c>
      <c r="F1164" s="24" t="n">
        <v>0.35177961</v>
      </c>
    </row>
    <row r="1165" customFormat="false" ht="15" hidden="false" customHeight="false" outlineLevel="0" collapsed="false">
      <c r="A1165" s="3" t="n">
        <v>1164</v>
      </c>
      <c r="B1165" s="3" t="n">
        <v>1163</v>
      </c>
      <c r="C1165" s="3" t="n">
        <v>5</v>
      </c>
      <c r="D1165" s="3" t="n">
        <v>13</v>
      </c>
      <c r="E1165" s="3" t="n">
        <v>1</v>
      </c>
      <c r="F1165" s="24" t="n">
        <v>0.377983749</v>
      </c>
    </row>
    <row r="1166" customFormat="false" ht="15" hidden="false" customHeight="false" outlineLevel="0" collapsed="false">
      <c r="A1166" s="3" t="n">
        <v>1165</v>
      </c>
      <c r="B1166" s="3" t="n">
        <v>1164</v>
      </c>
      <c r="C1166" s="3" t="n">
        <v>5</v>
      </c>
      <c r="D1166" s="3" t="n">
        <v>13</v>
      </c>
      <c r="E1166" s="3" t="n">
        <v>2</v>
      </c>
      <c r="F1166" s="24" t="n">
        <v>0.355703056</v>
      </c>
    </row>
    <row r="1167" customFormat="false" ht="15" hidden="false" customHeight="false" outlineLevel="0" collapsed="false">
      <c r="A1167" s="3" t="n">
        <v>1166</v>
      </c>
      <c r="B1167" s="3" t="n">
        <v>1165</v>
      </c>
      <c r="C1167" s="3" t="n">
        <v>5</v>
      </c>
      <c r="D1167" s="3" t="n">
        <v>13</v>
      </c>
      <c r="E1167" s="3" t="n">
        <v>3</v>
      </c>
      <c r="F1167" s="24" t="n">
        <v>-0.352389604</v>
      </c>
    </row>
    <row r="1168" customFormat="false" ht="15" hidden="false" customHeight="false" outlineLevel="0" collapsed="false">
      <c r="A1168" s="3" t="n">
        <v>1167</v>
      </c>
      <c r="B1168" s="3" t="n">
        <v>1166</v>
      </c>
      <c r="C1168" s="3" t="n">
        <v>5</v>
      </c>
      <c r="D1168" s="3" t="n">
        <v>13</v>
      </c>
      <c r="E1168" s="3" t="n">
        <v>4</v>
      </c>
      <c r="F1168" s="24" t="n">
        <v>-3.40882707</v>
      </c>
    </row>
    <row r="1169" customFormat="false" ht="15" hidden="false" customHeight="false" outlineLevel="0" collapsed="false">
      <c r="A1169" s="3" t="n">
        <v>1168</v>
      </c>
      <c r="B1169" s="3" t="n">
        <v>1167</v>
      </c>
      <c r="C1169" s="3" t="n">
        <v>5</v>
      </c>
      <c r="D1169" s="3" t="n">
        <v>13</v>
      </c>
      <c r="E1169" s="3" t="n">
        <v>5</v>
      </c>
      <c r="F1169" s="24" t="n">
        <v>-3.1438272</v>
      </c>
    </row>
    <row r="1170" customFormat="false" ht="15" hidden="false" customHeight="false" outlineLevel="0" collapsed="false">
      <c r="A1170" s="3" t="n">
        <v>1169</v>
      </c>
      <c r="B1170" s="3" t="n">
        <v>1168</v>
      </c>
      <c r="C1170" s="3" t="n">
        <v>5</v>
      </c>
      <c r="D1170" s="3" t="n">
        <v>13</v>
      </c>
      <c r="E1170" s="3" t="n">
        <v>6</v>
      </c>
      <c r="F1170" s="24" t="n">
        <v>-0.425105155</v>
      </c>
    </row>
    <row r="1171" customFormat="false" ht="15" hidden="false" customHeight="false" outlineLevel="0" collapsed="false">
      <c r="A1171" s="3" t="n">
        <v>1170</v>
      </c>
      <c r="B1171" s="3" t="n">
        <v>1169</v>
      </c>
      <c r="C1171" s="3" t="n">
        <v>5</v>
      </c>
      <c r="D1171" s="3" t="n">
        <v>13</v>
      </c>
      <c r="E1171" s="3" t="n">
        <v>7</v>
      </c>
      <c r="F1171" s="24" t="n">
        <v>0.602205336</v>
      </c>
    </row>
    <row r="1172" customFormat="false" ht="15" hidden="false" customHeight="false" outlineLevel="0" collapsed="false">
      <c r="A1172" s="3" t="n">
        <v>1171</v>
      </c>
      <c r="B1172" s="3" t="n">
        <v>1170</v>
      </c>
      <c r="C1172" s="3" t="n">
        <v>5</v>
      </c>
      <c r="D1172" s="3" t="n">
        <v>13</v>
      </c>
      <c r="E1172" s="3" t="n">
        <v>8</v>
      </c>
      <c r="F1172" s="24" t="n">
        <v>0.845065117</v>
      </c>
    </row>
    <row r="1173" customFormat="false" ht="15" hidden="false" customHeight="false" outlineLevel="0" collapsed="false">
      <c r="A1173" s="3" t="n">
        <v>1172</v>
      </c>
      <c r="B1173" s="3" t="n">
        <v>1171</v>
      </c>
      <c r="C1173" s="3" t="n">
        <v>5</v>
      </c>
      <c r="D1173" s="3" t="n">
        <v>13</v>
      </c>
      <c r="E1173" s="3" t="n">
        <v>9</v>
      </c>
      <c r="F1173" s="24" t="n">
        <v>0.355703056</v>
      </c>
    </row>
    <row r="1174" customFormat="false" ht="15" hidden="false" customHeight="false" outlineLevel="0" collapsed="false">
      <c r="A1174" s="3" t="n">
        <v>1173</v>
      </c>
      <c r="B1174" s="3" t="n">
        <v>1172</v>
      </c>
      <c r="C1174" s="3" t="n">
        <v>5</v>
      </c>
      <c r="D1174" s="3" t="n">
        <v>13</v>
      </c>
      <c r="E1174" s="3" t="n">
        <v>10</v>
      </c>
      <c r="F1174" s="24" t="n">
        <v>0.355703056</v>
      </c>
    </row>
    <row r="1175" customFormat="false" ht="15" hidden="false" customHeight="false" outlineLevel="0" collapsed="false">
      <c r="A1175" s="3" t="n">
        <v>1174</v>
      </c>
      <c r="B1175" s="3" t="n">
        <v>1173</v>
      </c>
      <c r="C1175" s="3" t="n">
        <v>5</v>
      </c>
      <c r="D1175" s="3" t="n">
        <v>13</v>
      </c>
      <c r="E1175" s="3" t="n">
        <v>11</v>
      </c>
      <c r="F1175" s="24" t="n">
        <v>0.355703056</v>
      </c>
    </row>
    <row r="1176" customFormat="false" ht="15" hidden="false" customHeight="false" outlineLevel="0" collapsed="false">
      <c r="A1176" s="3" t="n">
        <v>1175</v>
      </c>
      <c r="B1176" s="3" t="n">
        <v>1174</v>
      </c>
      <c r="C1176" s="3" t="n">
        <v>5</v>
      </c>
      <c r="D1176" s="3" t="n">
        <v>13</v>
      </c>
      <c r="E1176" s="3" t="n">
        <v>12</v>
      </c>
      <c r="F1176" s="24" t="n">
        <v>0.167286277</v>
      </c>
    </row>
    <row r="1177" customFormat="false" ht="15" hidden="false" customHeight="false" outlineLevel="0" collapsed="false">
      <c r="A1177" s="3" t="n">
        <v>1176</v>
      </c>
      <c r="B1177" s="3" t="n">
        <v>1175</v>
      </c>
      <c r="C1177" s="3" t="n">
        <v>5</v>
      </c>
      <c r="D1177" s="3" t="n">
        <v>13</v>
      </c>
      <c r="E1177" s="3" t="n">
        <v>13</v>
      </c>
      <c r="F1177" s="24" t="n">
        <v>-0.202026099</v>
      </c>
    </row>
    <row r="1178" customFormat="false" ht="15" hidden="false" customHeight="false" outlineLevel="0" collapsed="false">
      <c r="A1178" s="3" t="n">
        <v>1177</v>
      </c>
      <c r="B1178" s="3" t="n">
        <v>1176</v>
      </c>
      <c r="C1178" s="3" t="n">
        <v>6</v>
      </c>
      <c r="D1178" s="3" t="n">
        <v>0</v>
      </c>
      <c r="E1178" s="3" t="n">
        <v>0</v>
      </c>
      <c r="F1178" s="24" t="n">
        <v>-0.190845281</v>
      </c>
    </row>
    <row r="1179" customFormat="false" ht="15" hidden="false" customHeight="false" outlineLevel="0" collapsed="false">
      <c r="A1179" s="3" t="n">
        <v>1178</v>
      </c>
      <c r="B1179" s="3" t="n">
        <v>1177</v>
      </c>
      <c r="C1179" s="3" t="n">
        <v>6</v>
      </c>
      <c r="D1179" s="3" t="n">
        <v>0</v>
      </c>
      <c r="E1179" s="3" t="n">
        <v>1</v>
      </c>
      <c r="F1179" s="24" t="n">
        <v>-0.27425018</v>
      </c>
    </row>
    <row r="1180" customFormat="false" ht="15" hidden="false" customHeight="false" outlineLevel="0" collapsed="false">
      <c r="A1180" s="3" t="n">
        <v>1179</v>
      </c>
      <c r="B1180" s="3" t="n">
        <v>1178</v>
      </c>
      <c r="C1180" s="3" t="n">
        <v>6</v>
      </c>
      <c r="D1180" s="3" t="n">
        <v>0</v>
      </c>
      <c r="E1180" s="3" t="n">
        <v>2</v>
      </c>
      <c r="F1180" s="24" t="n">
        <v>-0.321471274</v>
      </c>
    </row>
    <row r="1181" customFormat="false" ht="15" hidden="false" customHeight="false" outlineLevel="0" collapsed="false">
      <c r="A1181" s="3" t="n">
        <v>1180</v>
      </c>
      <c r="B1181" s="3" t="n">
        <v>1179</v>
      </c>
      <c r="C1181" s="3" t="n">
        <v>6</v>
      </c>
      <c r="D1181" s="3" t="n">
        <v>0</v>
      </c>
      <c r="E1181" s="3" t="n">
        <v>3</v>
      </c>
      <c r="F1181" s="24" t="n">
        <v>-0.321471274</v>
      </c>
    </row>
    <row r="1182" customFormat="false" ht="15" hidden="false" customHeight="false" outlineLevel="0" collapsed="false">
      <c r="A1182" s="3" t="n">
        <v>1181</v>
      </c>
      <c r="B1182" s="3" t="n">
        <v>1180</v>
      </c>
      <c r="C1182" s="3" t="n">
        <v>6</v>
      </c>
      <c r="D1182" s="3" t="n">
        <v>0</v>
      </c>
      <c r="E1182" s="3" t="n">
        <v>4</v>
      </c>
      <c r="F1182" s="24" t="n">
        <v>-0.321471274</v>
      </c>
    </row>
    <row r="1183" customFormat="false" ht="15" hidden="false" customHeight="false" outlineLevel="0" collapsed="false">
      <c r="A1183" s="3" t="n">
        <v>1182</v>
      </c>
      <c r="B1183" s="3" t="n">
        <v>1181</v>
      </c>
      <c r="C1183" s="3" t="n">
        <v>6</v>
      </c>
      <c r="D1183" s="3" t="n">
        <v>0</v>
      </c>
      <c r="E1183" s="3" t="n">
        <v>5</v>
      </c>
      <c r="F1183" s="24" t="n">
        <v>-0.321471274</v>
      </c>
    </row>
    <row r="1184" customFormat="false" ht="15" hidden="false" customHeight="false" outlineLevel="0" collapsed="false">
      <c r="A1184" s="3" t="n">
        <v>1183</v>
      </c>
      <c r="B1184" s="3" t="n">
        <v>1182</v>
      </c>
      <c r="C1184" s="3" t="n">
        <v>6</v>
      </c>
      <c r="D1184" s="3" t="n">
        <v>0</v>
      </c>
      <c r="E1184" s="3" t="n">
        <v>6</v>
      </c>
      <c r="F1184" s="24" t="n">
        <v>-0.321471274</v>
      </c>
    </row>
    <row r="1185" customFormat="false" ht="15" hidden="false" customHeight="false" outlineLevel="0" collapsed="false">
      <c r="A1185" s="3" t="n">
        <v>1184</v>
      </c>
      <c r="B1185" s="3" t="n">
        <v>1183</v>
      </c>
      <c r="C1185" s="3" t="n">
        <v>6</v>
      </c>
      <c r="D1185" s="3" t="n">
        <v>0</v>
      </c>
      <c r="E1185" s="3" t="n">
        <v>7</v>
      </c>
      <c r="F1185" s="24" t="n">
        <v>-0.321471274</v>
      </c>
    </row>
    <row r="1186" customFormat="false" ht="15" hidden="false" customHeight="false" outlineLevel="0" collapsed="false">
      <c r="A1186" s="3" t="n">
        <v>1185</v>
      </c>
      <c r="B1186" s="3" t="n">
        <v>1184</v>
      </c>
      <c r="C1186" s="3" t="n">
        <v>6</v>
      </c>
      <c r="D1186" s="3" t="n">
        <v>0</v>
      </c>
      <c r="E1186" s="3" t="n">
        <v>8</v>
      </c>
      <c r="F1186" s="24" t="n">
        <v>-0.321471274</v>
      </c>
    </row>
    <row r="1187" customFormat="false" ht="15" hidden="false" customHeight="false" outlineLevel="0" collapsed="false">
      <c r="A1187" s="3" t="n">
        <v>1186</v>
      </c>
      <c r="B1187" s="3" t="n">
        <v>1185</v>
      </c>
      <c r="C1187" s="3" t="n">
        <v>6</v>
      </c>
      <c r="D1187" s="3" t="n">
        <v>0</v>
      </c>
      <c r="E1187" s="3" t="n">
        <v>9</v>
      </c>
      <c r="F1187" s="24" t="n">
        <v>-0.321471274</v>
      </c>
    </row>
    <row r="1188" customFormat="false" ht="15" hidden="false" customHeight="false" outlineLevel="0" collapsed="false">
      <c r="A1188" s="3" t="n">
        <v>1187</v>
      </c>
      <c r="B1188" s="3" t="n">
        <v>1186</v>
      </c>
      <c r="C1188" s="3" t="n">
        <v>6</v>
      </c>
      <c r="D1188" s="3" t="n">
        <v>0</v>
      </c>
      <c r="E1188" s="3" t="n">
        <v>10</v>
      </c>
      <c r="F1188" s="24" t="n">
        <v>-0.321471274</v>
      </c>
    </row>
    <row r="1189" customFormat="false" ht="15" hidden="false" customHeight="false" outlineLevel="0" collapsed="false">
      <c r="A1189" s="3" t="n">
        <v>1188</v>
      </c>
      <c r="B1189" s="3" t="n">
        <v>1187</v>
      </c>
      <c r="C1189" s="3" t="n">
        <v>6</v>
      </c>
      <c r="D1189" s="3" t="n">
        <v>0</v>
      </c>
      <c r="E1189" s="3" t="n">
        <v>11</v>
      </c>
      <c r="F1189" s="24" t="n">
        <v>-0.321471274</v>
      </c>
    </row>
    <row r="1190" customFormat="false" ht="15" hidden="false" customHeight="false" outlineLevel="0" collapsed="false">
      <c r="A1190" s="3" t="n">
        <v>1189</v>
      </c>
      <c r="B1190" s="3" t="n">
        <v>1188</v>
      </c>
      <c r="C1190" s="3" t="n">
        <v>6</v>
      </c>
      <c r="D1190" s="3" t="n">
        <v>0</v>
      </c>
      <c r="E1190" s="3" t="n">
        <v>12</v>
      </c>
      <c r="F1190" s="24" t="n">
        <v>-0.438610196</v>
      </c>
    </row>
    <row r="1191" customFormat="false" ht="15" hidden="false" customHeight="false" outlineLevel="0" collapsed="false">
      <c r="A1191" s="3" t="n">
        <v>1190</v>
      </c>
      <c r="B1191" s="3" t="n">
        <v>1189</v>
      </c>
      <c r="C1191" s="3" t="n">
        <v>6</v>
      </c>
      <c r="D1191" s="3" t="n">
        <v>0</v>
      </c>
      <c r="E1191" s="3" t="n">
        <v>13</v>
      </c>
      <c r="F1191" s="24" t="n">
        <v>-0.735977709</v>
      </c>
    </row>
    <row r="1192" customFormat="false" ht="15" hidden="false" customHeight="false" outlineLevel="0" collapsed="false">
      <c r="A1192" s="3" t="n">
        <v>1191</v>
      </c>
      <c r="B1192" s="3" t="n">
        <v>1190</v>
      </c>
      <c r="C1192" s="3" t="n">
        <v>6</v>
      </c>
      <c r="D1192" s="3" t="n">
        <v>1</v>
      </c>
      <c r="E1192" s="3" t="n">
        <v>0</v>
      </c>
      <c r="F1192" s="24" t="n">
        <v>-0.0644912422</v>
      </c>
    </row>
    <row r="1193" customFormat="false" ht="15" hidden="false" customHeight="false" outlineLevel="0" collapsed="false">
      <c r="A1193" s="3" t="n">
        <v>1192</v>
      </c>
      <c r="B1193" s="3" t="n">
        <v>1191</v>
      </c>
      <c r="C1193" s="3" t="n">
        <v>6</v>
      </c>
      <c r="D1193" s="3" t="n">
        <v>1</v>
      </c>
      <c r="E1193" s="3" t="n">
        <v>1</v>
      </c>
      <c r="F1193" s="24" t="n">
        <v>-0.50066632</v>
      </c>
    </row>
    <row r="1194" customFormat="false" ht="15" hidden="false" customHeight="false" outlineLevel="0" collapsed="false">
      <c r="A1194" s="3" t="n">
        <v>1193</v>
      </c>
      <c r="B1194" s="3" t="n">
        <v>1192</v>
      </c>
      <c r="C1194" s="3" t="n">
        <v>6</v>
      </c>
      <c r="D1194" s="3" t="n">
        <v>1</v>
      </c>
      <c r="E1194" s="3" t="n">
        <v>2</v>
      </c>
      <c r="F1194" s="24" t="n">
        <v>-0.525992453</v>
      </c>
    </row>
    <row r="1195" customFormat="false" ht="15" hidden="false" customHeight="false" outlineLevel="0" collapsed="false">
      <c r="A1195" s="3" t="n">
        <v>1194</v>
      </c>
      <c r="B1195" s="3" t="n">
        <v>1193</v>
      </c>
      <c r="C1195" s="3" t="n">
        <v>6</v>
      </c>
      <c r="D1195" s="3" t="n">
        <v>1</v>
      </c>
      <c r="E1195" s="3" t="n">
        <v>3</v>
      </c>
      <c r="F1195" s="24" t="n">
        <v>-0.525992453</v>
      </c>
    </row>
    <row r="1196" customFormat="false" ht="15" hidden="false" customHeight="false" outlineLevel="0" collapsed="false">
      <c r="A1196" s="3" t="n">
        <v>1195</v>
      </c>
      <c r="B1196" s="3" t="n">
        <v>1194</v>
      </c>
      <c r="C1196" s="3" t="n">
        <v>6</v>
      </c>
      <c r="D1196" s="3" t="n">
        <v>1</v>
      </c>
      <c r="E1196" s="3" t="n">
        <v>4</v>
      </c>
      <c r="F1196" s="24" t="n">
        <v>-0.525992453</v>
      </c>
    </row>
    <row r="1197" customFormat="false" ht="15" hidden="false" customHeight="false" outlineLevel="0" collapsed="false">
      <c r="A1197" s="3" t="n">
        <v>1196</v>
      </c>
      <c r="B1197" s="3" t="n">
        <v>1195</v>
      </c>
      <c r="C1197" s="3" t="n">
        <v>6</v>
      </c>
      <c r="D1197" s="3" t="n">
        <v>1</v>
      </c>
      <c r="E1197" s="3" t="n">
        <v>5</v>
      </c>
      <c r="F1197" s="24" t="n">
        <v>-0.525992453</v>
      </c>
    </row>
    <row r="1198" customFormat="false" ht="15" hidden="false" customHeight="false" outlineLevel="0" collapsed="false">
      <c r="A1198" s="3" t="n">
        <v>1197</v>
      </c>
      <c r="B1198" s="3" t="n">
        <v>1196</v>
      </c>
      <c r="C1198" s="3" t="n">
        <v>6</v>
      </c>
      <c r="D1198" s="3" t="n">
        <v>1</v>
      </c>
      <c r="E1198" s="3" t="n">
        <v>6</v>
      </c>
      <c r="F1198" s="24" t="n">
        <v>-0.525992453</v>
      </c>
    </row>
    <row r="1199" customFormat="false" ht="15" hidden="false" customHeight="false" outlineLevel="0" collapsed="false">
      <c r="A1199" s="3" t="n">
        <v>1198</v>
      </c>
      <c r="B1199" s="3" t="n">
        <v>1197</v>
      </c>
      <c r="C1199" s="3" t="n">
        <v>6</v>
      </c>
      <c r="D1199" s="3" t="n">
        <v>1</v>
      </c>
      <c r="E1199" s="3" t="n">
        <v>7</v>
      </c>
      <c r="F1199" s="24" t="n">
        <v>-0.525992453</v>
      </c>
    </row>
    <row r="1200" customFormat="false" ht="15" hidden="false" customHeight="false" outlineLevel="0" collapsed="false">
      <c r="A1200" s="3" t="n">
        <v>1199</v>
      </c>
      <c r="B1200" s="3" t="n">
        <v>1198</v>
      </c>
      <c r="C1200" s="3" t="n">
        <v>6</v>
      </c>
      <c r="D1200" s="3" t="n">
        <v>1</v>
      </c>
      <c r="E1200" s="3" t="n">
        <v>8</v>
      </c>
      <c r="F1200" s="24" t="n">
        <v>-0.525992453</v>
      </c>
    </row>
    <row r="1201" customFormat="false" ht="15" hidden="false" customHeight="false" outlineLevel="0" collapsed="false">
      <c r="A1201" s="3" t="n">
        <v>1200</v>
      </c>
      <c r="B1201" s="3" t="n">
        <v>1199</v>
      </c>
      <c r="C1201" s="3" t="n">
        <v>6</v>
      </c>
      <c r="D1201" s="3" t="n">
        <v>1</v>
      </c>
      <c r="E1201" s="3" t="n">
        <v>9</v>
      </c>
      <c r="F1201" s="24" t="n">
        <v>-0.525992453</v>
      </c>
    </row>
    <row r="1202" customFormat="false" ht="15" hidden="false" customHeight="false" outlineLevel="0" collapsed="false">
      <c r="A1202" s="3" t="n">
        <v>1201</v>
      </c>
      <c r="B1202" s="3" t="n">
        <v>1200</v>
      </c>
      <c r="C1202" s="3" t="n">
        <v>6</v>
      </c>
      <c r="D1202" s="3" t="n">
        <v>1</v>
      </c>
      <c r="E1202" s="3" t="n">
        <v>10</v>
      </c>
      <c r="F1202" s="24" t="n">
        <v>-0.525992453</v>
      </c>
    </row>
    <row r="1203" customFormat="false" ht="15" hidden="false" customHeight="false" outlineLevel="0" collapsed="false">
      <c r="A1203" s="3" t="n">
        <v>1202</v>
      </c>
      <c r="B1203" s="3" t="n">
        <v>1201</v>
      </c>
      <c r="C1203" s="3" t="n">
        <v>6</v>
      </c>
      <c r="D1203" s="3" t="n">
        <v>1</v>
      </c>
      <c r="E1203" s="3" t="n">
        <v>11</v>
      </c>
      <c r="F1203" s="24" t="n">
        <v>-0.525992453</v>
      </c>
    </row>
    <row r="1204" customFormat="false" ht="15" hidden="false" customHeight="false" outlineLevel="0" collapsed="false">
      <c r="A1204" s="3" t="n">
        <v>1203</v>
      </c>
      <c r="B1204" s="3" t="n">
        <v>1202</v>
      </c>
      <c r="C1204" s="3" t="n">
        <v>6</v>
      </c>
      <c r="D1204" s="3" t="n">
        <v>1</v>
      </c>
      <c r="E1204" s="3" t="n">
        <v>12</v>
      </c>
      <c r="F1204" s="24" t="n">
        <v>-0.613642335</v>
      </c>
    </row>
    <row r="1205" customFormat="false" ht="15" hidden="false" customHeight="false" outlineLevel="0" collapsed="false">
      <c r="A1205" s="3" t="n">
        <v>1204</v>
      </c>
      <c r="B1205" s="3" t="n">
        <v>1203</v>
      </c>
      <c r="C1205" s="3" t="n">
        <v>6</v>
      </c>
      <c r="D1205" s="3" t="n">
        <v>1</v>
      </c>
      <c r="E1205" s="3" t="n">
        <v>13</v>
      </c>
      <c r="F1205" s="24" t="n">
        <v>-0.88719511</v>
      </c>
    </row>
    <row r="1206" customFormat="false" ht="15" hidden="false" customHeight="false" outlineLevel="0" collapsed="false">
      <c r="A1206" s="3" t="n">
        <v>1205</v>
      </c>
      <c r="B1206" s="3" t="n">
        <v>1204</v>
      </c>
      <c r="C1206" s="3" t="n">
        <v>6</v>
      </c>
      <c r="D1206" s="3" t="n">
        <v>2</v>
      </c>
      <c r="E1206" s="3" t="n">
        <v>0</v>
      </c>
      <c r="F1206" s="24" t="n">
        <v>-0.0446271896</v>
      </c>
    </row>
    <row r="1207" customFormat="false" ht="15" hidden="false" customHeight="false" outlineLevel="0" collapsed="false">
      <c r="A1207" s="3" t="n">
        <v>1206</v>
      </c>
      <c r="B1207" s="3" t="n">
        <v>1205</v>
      </c>
      <c r="C1207" s="3" t="n">
        <v>6</v>
      </c>
      <c r="D1207" s="3" t="n">
        <v>2</v>
      </c>
      <c r="E1207" s="3" t="n">
        <v>1</v>
      </c>
      <c r="F1207" s="24" t="n">
        <v>-0.770386219</v>
      </c>
    </row>
    <row r="1208" customFormat="false" ht="15" hidden="false" customHeight="false" outlineLevel="0" collapsed="false">
      <c r="A1208" s="3" t="n">
        <v>1207</v>
      </c>
      <c r="B1208" s="3" t="n">
        <v>1206</v>
      </c>
      <c r="C1208" s="3" t="n">
        <v>6</v>
      </c>
      <c r="D1208" s="3" t="n">
        <v>2</v>
      </c>
      <c r="E1208" s="3" t="n">
        <v>2</v>
      </c>
      <c r="F1208" s="24" t="n">
        <v>-1.03012526</v>
      </c>
    </row>
    <row r="1209" customFormat="false" ht="15" hidden="false" customHeight="false" outlineLevel="0" collapsed="false">
      <c r="A1209" s="3" t="n">
        <v>1208</v>
      </c>
      <c r="B1209" s="3" t="n">
        <v>1207</v>
      </c>
      <c r="C1209" s="3" t="n">
        <v>6</v>
      </c>
      <c r="D1209" s="3" t="n">
        <v>2</v>
      </c>
      <c r="E1209" s="3" t="n">
        <v>3</v>
      </c>
      <c r="F1209" s="24" t="n">
        <v>1.4352771</v>
      </c>
    </row>
    <row r="1210" customFormat="false" ht="15" hidden="false" customHeight="false" outlineLevel="0" collapsed="false">
      <c r="A1210" s="3" t="n">
        <v>1209</v>
      </c>
      <c r="B1210" s="3" t="n">
        <v>1208</v>
      </c>
      <c r="C1210" s="3" t="n">
        <v>6</v>
      </c>
      <c r="D1210" s="3" t="n">
        <v>2</v>
      </c>
      <c r="E1210" s="3" t="n">
        <v>4</v>
      </c>
      <c r="F1210" s="24" t="n">
        <v>1.94497001</v>
      </c>
    </row>
    <row r="1211" customFormat="false" ht="15" hidden="false" customHeight="false" outlineLevel="0" collapsed="false">
      <c r="A1211" s="3" t="n">
        <v>1210</v>
      </c>
      <c r="B1211" s="3" t="n">
        <v>1209</v>
      </c>
      <c r="C1211" s="3" t="n">
        <v>6</v>
      </c>
      <c r="D1211" s="3" t="n">
        <v>2</v>
      </c>
      <c r="E1211" s="3" t="n">
        <v>5</v>
      </c>
      <c r="F1211" s="24" t="n">
        <v>1.10955632</v>
      </c>
    </row>
    <row r="1212" customFormat="false" ht="15" hidden="false" customHeight="false" outlineLevel="0" collapsed="false">
      <c r="A1212" s="3" t="n">
        <v>1211</v>
      </c>
      <c r="B1212" s="3" t="n">
        <v>1210</v>
      </c>
      <c r="C1212" s="3" t="n">
        <v>6</v>
      </c>
      <c r="D1212" s="3" t="n">
        <v>2</v>
      </c>
      <c r="E1212" s="3" t="n">
        <v>6</v>
      </c>
      <c r="F1212" s="24" t="n">
        <v>0.397829086</v>
      </c>
    </row>
    <row r="1213" customFormat="false" ht="15" hidden="false" customHeight="false" outlineLevel="0" collapsed="false">
      <c r="A1213" s="3" t="n">
        <v>1212</v>
      </c>
      <c r="B1213" s="3" t="n">
        <v>1211</v>
      </c>
      <c r="C1213" s="3" t="n">
        <v>6</v>
      </c>
      <c r="D1213" s="3" t="n">
        <v>2</v>
      </c>
      <c r="E1213" s="3" t="n">
        <v>7</v>
      </c>
      <c r="F1213" s="24" t="n">
        <v>0.0693947673</v>
      </c>
    </row>
    <row r="1214" customFormat="false" ht="15" hidden="false" customHeight="false" outlineLevel="0" collapsed="false">
      <c r="A1214" s="3" t="n">
        <v>1213</v>
      </c>
      <c r="B1214" s="3" t="n">
        <v>1212</v>
      </c>
      <c r="C1214" s="3" t="n">
        <v>6</v>
      </c>
      <c r="D1214" s="3" t="n">
        <v>2</v>
      </c>
      <c r="E1214" s="3" t="n">
        <v>8</v>
      </c>
      <c r="F1214" s="24" t="n">
        <v>0.0398566723</v>
      </c>
    </row>
    <row r="1215" customFormat="false" ht="15" hidden="false" customHeight="false" outlineLevel="0" collapsed="false">
      <c r="A1215" s="3" t="n">
        <v>1214</v>
      </c>
      <c r="B1215" s="3" t="n">
        <v>1213</v>
      </c>
      <c r="C1215" s="3" t="n">
        <v>6</v>
      </c>
      <c r="D1215" s="3" t="n">
        <v>2</v>
      </c>
      <c r="E1215" s="3" t="n">
        <v>9</v>
      </c>
      <c r="F1215" s="24" t="n">
        <v>0.113718301</v>
      </c>
    </row>
    <row r="1216" customFormat="false" ht="15" hidden="false" customHeight="false" outlineLevel="0" collapsed="false">
      <c r="A1216" s="3" t="n">
        <v>1215</v>
      </c>
      <c r="B1216" s="3" t="n">
        <v>1214</v>
      </c>
      <c r="C1216" s="3" t="n">
        <v>6</v>
      </c>
      <c r="D1216" s="3" t="n">
        <v>2</v>
      </c>
      <c r="E1216" s="3" t="n">
        <v>10</v>
      </c>
      <c r="F1216" s="24" t="n">
        <v>-0.0156686902</v>
      </c>
    </row>
    <row r="1217" customFormat="false" ht="15" hidden="false" customHeight="false" outlineLevel="0" collapsed="false">
      <c r="A1217" s="3" t="n">
        <v>1216</v>
      </c>
      <c r="B1217" s="3" t="n">
        <v>1215</v>
      </c>
      <c r="C1217" s="3" t="n">
        <v>6</v>
      </c>
      <c r="D1217" s="3" t="n">
        <v>2</v>
      </c>
      <c r="E1217" s="3" t="n">
        <v>11</v>
      </c>
      <c r="F1217" s="24" t="n">
        <v>-0.206621215</v>
      </c>
    </row>
    <row r="1218" customFormat="false" ht="15" hidden="false" customHeight="false" outlineLevel="0" collapsed="false">
      <c r="A1218" s="3" t="n">
        <v>1217</v>
      </c>
      <c r="B1218" s="3" t="n">
        <v>1216</v>
      </c>
      <c r="C1218" s="3" t="n">
        <v>6</v>
      </c>
      <c r="D1218" s="3" t="n">
        <v>2</v>
      </c>
      <c r="E1218" s="3" t="n">
        <v>12</v>
      </c>
      <c r="F1218" s="24" t="n">
        <v>-0.332597107</v>
      </c>
    </row>
    <row r="1219" customFormat="false" ht="15" hidden="false" customHeight="false" outlineLevel="0" collapsed="false">
      <c r="A1219" s="3" t="n">
        <v>1218</v>
      </c>
      <c r="B1219" s="3" t="n">
        <v>1217</v>
      </c>
      <c r="C1219" s="3" t="n">
        <v>6</v>
      </c>
      <c r="D1219" s="3" t="n">
        <v>2</v>
      </c>
      <c r="E1219" s="3" t="n">
        <v>13</v>
      </c>
      <c r="F1219" s="24" t="n">
        <v>-0.636554182</v>
      </c>
    </row>
    <row r="1220" customFormat="false" ht="15" hidden="false" customHeight="false" outlineLevel="0" collapsed="false">
      <c r="A1220" s="3" t="n">
        <v>1219</v>
      </c>
      <c r="B1220" s="3" t="n">
        <v>1218</v>
      </c>
      <c r="C1220" s="3" t="n">
        <v>6</v>
      </c>
      <c r="D1220" s="3" t="n">
        <v>3</v>
      </c>
      <c r="E1220" s="3" t="n">
        <v>0</v>
      </c>
      <c r="F1220" s="24" t="n">
        <v>-0.0446271896</v>
      </c>
    </row>
    <row r="1221" customFormat="false" ht="15" hidden="false" customHeight="false" outlineLevel="0" collapsed="false">
      <c r="A1221" s="3" t="n">
        <v>1220</v>
      </c>
      <c r="B1221" s="3" t="n">
        <v>1219</v>
      </c>
      <c r="C1221" s="3" t="n">
        <v>6</v>
      </c>
      <c r="D1221" s="3" t="n">
        <v>3</v>
      </c>
      <c r="E1221" s="3" t="n">
        <v>1</v>
      </c>
      <c r="F1221" s="24" t="n">
        <v>0.161526233</v>
      </c>
    </row>
    <row r="1222" customFormat="false" ht="15" hidden="false" customHeight="false" outlineLevel="0" collapsed="false">
      <c r="A1222" s="3" t="n">
        <v>1221</v>
      </c>
      <c r="B1222" s="3" t="n">
        <v>1220</v>
      </c>
      <c r="C1222" s="3" t="n">
        <v>6</v>
      </c>
      <c r="D1222" s="3" t="n">
        <v>3</v>
      </c>
      <c r="E1222" s="3" t="n">
        <v>2</v>
      </c>
      <c r="F1222" s="24" t="n">
        <v>5.11072254</v>
      </c>
    </row>
    <row r="1223" customFormat="false" ht="15" hidden="false" customHeight="false" outlineLevel="0" collapsed="false">
      <c r="A1223" s="3" t="n">
        <v>1222</v>
      </c>
      <c r="B1223" s="3" t="n">
        <v>1221</v>
      </c>
      <c r="C1223" s="3" t="n">
        <v>6</v>
      </c>
      <c r="D1223" s="3" t="n">
        <v>3</v>
      </c>
      <c r="E1223" s="3" t="n">
        <v>3</v>
      </c>
      <c r="F1223" s="24" t="n">
        <v>7.76166296</v>
      </c>
    </row>
    <row r="1224" customFormat="false" ht="15" hidden="false" customHeight="false" outlineLevel="0" collapsed="false">
      <c r="A1224" s="3" t="n">
        <v>1223</v>
      </c>
      <c r="B1224" s="3" t="n">
        <v>1222</v>
      </c>
      <c r="C1224" s="3" t="n">
        <v>6</v>
      </c>
      <c r="D1224" s="3" t="n">
        <v>3</v>
      </c>
      <c r="E1224" s="3" t="n">
        <v>4</v>
      </c>
      <c r="F1224" s="24" t="n">
        <v>9.21909809</v>
      </c>
    </row>
    <row r="1225" customFormat="false" ht="15" hidden="false" customHeight="false" outlineLevel="0" collapsed="false">
      <c r="A1225" s="3" t="n">
        <v>1224</v>
      </c>
      <c r="B1225" s="3" t="n">
        <v>1223</v>
      </c>
      <c r="C1225" s="3" t="n">
        <v>6</v>
      </c>
      <c r="D1225" s="3" t="n">
        <v>3</v>
      </c>
      <c r="E1225" s="3" t="n">
        <v>5</v>
      </c>
      <c r="F1225" s="24" t="n">
        <v>8.04787159</v>
      </c>
    </row>
    <row r="1226" customFormat="false" ht="15" hidden="false" customHeight="false" outlineLevel="0" collapsed="false">
      <c r="A1226" s="3" t="n">
        <v>1225</v>
      </c>
      <c r="B1226" s="3" t="n">
        <v>1224</v>
      </c>
      <c r="C1226" s="3" t="n">
        <v>6</v>
      </c>
      <c r="D1226" s="3" t="n">
        <v>3</v>
      </c>
      <c r="E1226" s="3" t="n">
        <v>6</v>
      </c>
      <c r="F1226" s="24" t="n">
        <v>7.24363565</v>
      </c>
    </row>
    <row r="1227" customFormat="false" ht="15" hidden="false" customHeight="false" outlineLevel="0" collapsed="false">
      <c r="A1227" s="3" t="n">
        <v>1226</v>
      </c>
      <c r="B1227" s="3" t="n">
        <v>1225</v>
      </c>
      <c r="C1227" s="3" t="n">
        <v>6</v>
      </c>
      <c r="D1227" s="3" t="n">
        <v>3</v>
      </c>
      <c r="E1227" s="3" t="n">
        <v>7</v>
      </c>
      <c r="F1227" s="24" t="n">
        <v>6.76160097</v>
      </c>
    </row>
    <row r="1228" customFormat="false" ht="15" hidden="false" customHeight="false" outlineLevel="0" collapsed="false">
      <c r="A1228" s="3" t="n">
        <v>1227</v>
      </c>
      <c r="B1228" s="3" t="n">
        <v>1226</v>
      </c>
      <c r="C1228" s="3" t="n">
        <v>6</v>
      </c>
      <c r="D1228" s="3" t="n">
        <v>3</v>
      </c>
      <c r="E1228" s="3" t="n">
        <v>8</v>
      </c>
      <c r="F1228" s="24" t="n">
        <v>6.75939226</v>
      </c>
    </row>
    <row r="1229" customFormat="false" ht="15" hidden="false" customHeight="false" outlineLevel="0" collapsed="false">
      <c r="A1229" s="3" t="n">
        <v>1228</v>
      </c>
      <c r="B1229" s="3" t="n">
        <v>1227</v>
      </c>
      <c r="C1229" s="3" t="n">
        <v>6</v>
      </c>
      <c r="D1229" s="3" t="n">
        <v>3</v>
      </c>
      <c r="E1229" s="3" t="n">
        <v>9</v>
      </c>
      <c r="F1229" s="24" t="n">
        <v>5.56443787</v>
      </c>
    </row>
    <row r="1230" customFormat="false" ht="15" hidden="false" customHeight="false" outlineLevel="0" collapsed="false">
      <c r="A1230" s="3" t="n">
        <v>1229</v>
      </c>
      <c r="B1230" s="3" t="n">
        <v>1228</v>
      </c>
      <c r="C1230" s="3" t="n">
        <v>6</v>
      </c>
      <c r="D1230" s="3" t="n">
        <v>3</v>
      </c>
      <c r="E1230" s="3" t="n">
        <v>10</v>
      </c>
      <c r="F1230" s="24" t="n">
        <v>3.66861916</v>
      </c>
    </row>
    <row r="1231" customFormat="false" ht="15" hidden="false" customHeight="false" outlineLevel="0" collapsed="false">
      <c r="A1231" s="3" t="n">
        <v>1230</v>
      </c>
      <c r="B1231" s="3" t="n">
        <v>1229</v>
      </c>
      <c r="C1231" s="3" t="n">
        <v>6</v>
      </c>
      <c r="D1231" s="3" t="n">
        <v>3</v>
      </c>
      <c r="E1231" s="3" t="n">
        <v>11</v>
      </c>
      <c r="F1231" s="24" t="n">
        <v>1.01348054</v>
      </c>
    </row>
    <row r="1232" customFormat="false" ht="15" hidden="false" customHeight="false" outlineLevel="0" collapsed="false">
      <c r="A1232" s="3" t="n">
        <v>1231</v>
      </c>
      <c r="B1232" s="3" t="n">
        <v>1230</v>
      </c>
      <c r="C1232" s="3" t="n">
        <v>6</v>
      </c>
      <c r="D1232" s="3" t="n">
        <v>3</v>
      </c>
      <c r="E1232" s="3" t="n">
        <v>12</v>
      </c>
      <c r="F1232" s="24" t="n">
        <v>-0.223546162</v>
      </c>
    </row>
    <row r="1233" customFormat="false" ht="15" hidden="false" customHeight="false" outlineLevel="0" collapsed="false">
      <c r="A1233" s="3" t="n">
        <v>1232</v>
      </c>
      <c r="B1233" s="3" t="n">
        <v>1231</v>
      </c>
      <c r="C1233" s="3" t="n">
        <v>6</v>
      </c>
      <c r="D1233" s="3" t="n">
        <v>3</v>
      </c>
      <c r="E1233" s="3" t="n">
        <v>13</v>
      </c>
      <c r="F1233" s="24" t="n">
        <v>-0.636554182</v>
      </c>
    </row>
    <row r="1234" customFormat="false" ht="15" hidden="false" customHeight="false" outlineLevel="0" collapsed="false">
      <c r="A1234" s="3" t="n">
        <v>1233</v>
      </c>
      <c r="B1234" s="3" t="n">
        <v>1232</v>
      </c>
      <c r="C1234" s="3" t="n">
        <v>6</v>
      </c>
      <c r="D1234" s="3" t="n">
        <v>4</v>
      </c>
      <c r="E1234" s="3" t="n">
        <v>0</v>
      </c>
      <c r="F1234" s="24" t="n">
        <v>-0.0446271896</v>
      </c>
    </row>
    <row r="1235" customFormat="false" ht="15" hidden="false" customHeight="false" outlineLevel="0" collapsed="false">
      <c r="A1235" s="3" t="n">
        <v>1234</v>
      </c>
      <c r="B1235" s="3" t="n">
        <v>1233</v>
      </c>
      <c r="C1235" s="3" t="n">
        <v>6</v>
      </c>
      <c r="D1235" s="3" t="n">
        <v>4</v>
      </c>
      <c r="E1235" s="3" t="n">
        <v>1</v>
      </c>
      <c r="F1235" s="24" t="n">
        <v>1.04164183</v>
      </c>
    </row>
    <row r="1236" customFormat="false" ht="15" hidden="false" customHeight="false" outlineLevel="0" collapsed="false">
      <c r="A1236" s="3" t="n">
        <v>1235</v>
      </c>
      <c r="B1236" s="3" t="n">
        <v>1234</v>
      </c>
      <c r="C1236" s="3" t="n">
        <v>6</v>
      </c>
      <c r="D1236" s="3" t="n">
        <v>4</v>
      </c>
      <c r="E1236" s="3" t="n">
        <v>2</v>
      </c>
      <c r="F1236" s="24" t="n">
        <v>1.94287479</v>
      </c>
    </row>
    <row r="1237" customFormat="false" ht="15" hidden="false" customHeight="false" outlineLevel="0" collapsed="false">
      <c r="A1237" s="3" t="n">
        <v>1236</v>
      </c>
      <c r="B1237" s="3" t="n">
        <v>1235</v>
      </c>
      <c r="C1237" s="3" t="n">
        <v>6</v>
      </c>
      <c r="D1237" s="3" t="n">
        <v>4</v>
      </c>
      <c r="E1237" s="3" t="n">
        <v>3</v>
      </c>
      <c r="F1237" s="24" t="n">
        <v>0.233292013</v>
      </c>
    </row>
    <row r="1238" customFormat="false" ht="15" hidden="false" customHeight="false" outlineLevel="0" collapsed="false">
      <c r="A1238" s="3" t="n">
        <v>1237</v>
      </c>
      <c r="B1238" s="3" t="n">
        <v>1236</v>
      </c>
      <c r="C1238" s="3" t="n">
        <v>6</v>
      </c>
      <c r="D1238" s="3" t="n">
        <v>4</v>
      </c>
      <c r="E1238" s="3" t="n">
        <v>4</v>
      </c>
      <c r="F1238" s="24" t="n">
        <v>4.83087969</v>
      </c>
    </row>
    <row r="1239" customFormat="false" ht="15" hidden="false" customHeight="false" outlineLevel="0" collapsed="false">
      <c r="A1239" s="3" t="n">
        <v>1238</v>
      </c>
      <c r="B1239" s="3" t="n">
        <v>1237</v>
      </c>
      <c r="C1239" s="3" t="n">
        <v>6</v>
      </c>
      <c r="D1239" s="3" t="n">
        <v>4</v>
      </c>
      <c r="E1239" s="3" t="n">
        <v>5</v>
      </c>
      <c r="F1239" s="24" t="n">
        <v>6.70926332</v>
      </c>
    </row>
    <row r="1240" customFormat="false" ht="15" hidden="false" customHeight="false" outlineLevel="0" collapsed="false">
      <c r="A1240" s="3" t="n">
        <v>1239</v>
      </c>
      <c r="B1240" s="3" t="n">
        <v>1238</v>
      </c>
      <c r="C1240" s="3" t="n">
        <v>6</v>
      </c>
      <c r="D1240" s="3" t="n">
        <v>4</v>
      </c>
      <c r="E1240" s="3" t="n">
        <v>6</v>
      </c>
      <c r="F1240" s="24" t="n">
        <v>7.70817232</v>
      </c>
    </row>
    <row r="1241" customFormat="false" ht="15" hidden="false" customHeight="false" outlineLevel="0" collapsed="false">
      <c r="A1241" s="3" t="n">
        <v>1240</v>
      </c>
      <c r="B1241" s="3" t="n">
        <v>1239</v>
      </c>
      <c r="C1241" s="3" t="n">
        <v>6</v>
      </c>
      <c r="D1241" s="3" t="n">
        <v>4</v>
      </c>
      <c r="E1241" s="3" t="n">
        <v>7</v>
      </c>
      <c r="F1241" s="24" t="n">
        <v>6.97527885</v>
      </c>
    </row>
    <row r="1242" customFormat="false" ht="15" hidden="false" customHeight="false" outlineLevel="0" collapsed="false">
      <c r="A1242" s="3" t="n">
        <v>1241</v>
      </c>
      <c r="B1242" s="3" t="n">
        <v>1240</v>
      </c>
      <c r="C1242" s="3" t="n">
        <v>6</v>
      </c>
      <c r="D1242" s="3" t="n">
        <v>4</v>
      </c>
      <c r="E1242" s="3" t="n">
        <v>8</v>
      </c>
      <c r="F1242" s="24" t="n">
        <v>5.59687376</v>
      </c>
    </row>
    <row r="1243" customFormat="false" ht="15" hidden="false" customHeight="false" outlineLevel="0" collapsed="false">
      <c r="A1243" s="3" t="n">
        <v>1242</v>
      </c>
      <c r="B1243" s="3" t="n">
        <v>1241</v>
      </c>
      <c r="C1243" s="3" t="n">
        <v>6</v>
      </c>
      <c r="D1243" s="3" t="n">
        <v>4</v>
      </c>
      <c r="E1243" s="3" t="n">
        <v>9</v>
      </c>
      <c r="F1243" s="24" t="n">
        <v>6.99577665</v>
      </c>
    </row>
    <row r="1244" customFormat="false" ht="15" hidden="false" customHeight="false" outlineLevel="0" collapsed="false">
      <c r="A1244" s="3" t="n">
        <v>1243</v>
      </c>
      <c r="B1244" s="3" t="n">
        <v>1242</v>
      </c>
      <c r="C1244" s="3" t="n">
        <v>6</v>
      </c>
      <c r="D1244" s="3" t="n">
        <v>4</v>
      </c>
      <c r="E1244" s="3" t="n">
        <v>10</v>
      </c>
      <c r="F1244" s="24" t="n">
        <v>4.70144367</v>
      </c>
    </row>
    <row r="1245" customFormat="false" ht="15" hidden="false" customHeight="false" outlineLevel="0" collapsed="false">
      <c r="A1245" s="3" t="n">
        <v>1244</v>
      </c>
      <c r="B1245" s="3" t="n">
        <v>1243</v>
      </c>
      <c r="C1245" s="3" t="n">
        <v>6</v>
      </c>
      <c r="D1245" s="3" t="n">
        <v>4</v>
      </c>
      <c r="E1245" s="3" t="n">
        <v>11</v>
      </c>
      <c r="F1245" s="24" t="n">
        <v>1.69293487</v>
      </c>
    </row>
    <row r="1246" customFormat="false" ht="15" hidden="false" customHeight="false" outlineLevel="0" collapsed="false">
      <c r="A1246" s="3" t="n">
        <v>1245</v>
      </c>
      <c r="B1246" s="3" t="n">
        <v>1244</v>
      </c>
      <c r="C1246" s="3" t="n">
        <v>6</v>
      </c>
      <c r="D1246" s="3" t="n">
        <v>4</v>
      </c>
      <c r="E1246" s="3" t="n">
        <v>12</v>
      </c>
      <c r="F1246" s="24" t="n">
        <v>0.053639859</v>
      </c>
    </row>
    <row r="1247" customFormat="false" ht="15" hidden="false" customHeight="false" outlineLevel="0" collapsed="false">
      <c r="A1247" s="3" t="n">
        <v>1246</v>
      </c>
      <c r="B1247" s="3" t="n">
        <v>1245</v>
      </c>
      <c r="C1247" s="3" t="n">
        <v>6</v>
      </c>
      <c r="D1247" s="3" t="n">
        <v>4</v>
      </c>
      <c r="E1247" s="3" t="n">
        <v>13</v>
      </c>
      <c r="F1247" s="24" t="n">
        <v>-0.636554182</v>
      </c>
    </row>
    <row r="1248" customFormat="false" ht="15" hidden="false" customHeight="false" outlineLevel="0" collapsed="false">
      <c r="A1248" s="3" t="n">
        <v>1247</v>
      </c>
      <c r="B1248" s="3" t="n">
        <v>1246</v>
      </c>
      <c r="C1248" s="3" t="n">
        <v>6</v>
      </c>
      <c r="D1248" s="3" t="n">
        <v>5</v>
      </c>
      <c r="E1248" s="3" t="n">
        <v>0</v>
      </c>
      <c r="F1248" s="24" t="n">
        <v>-0.0446271896</v>
      </c>
    </row>
    <row r="1249" customFormat="false" ht="15" hidden="false" customHeight="false" outlineLevel="0" collapsed="false">
      <c r="A1249" s="3" t="n">
        <v>1248</v>
      </c>
      <c r="B1249" s="3" t="n">
        <v>1247</v>
      </c>
      <c r="C1249" s="3" t="n">
        <v>6</v>
      </c>
      <c r="D1249" s="3" t="n">
        <v>5</v>
      </c>
      <c r="E1249" s="3" t="n">
        <v>1</v>
      </c>
      <c r="F1249" s="24" t="n">
        <v>-0.214216873</v>
      </c>
    </row>
    <row r="1250" customFormat="false" ht="15" hidden="false" customHeight="false" outlineLevel="0" collapsed="false">
      <c r="A1250" s="3" t="n">
        <v>1249</v>
      </c>
      <c r="B1250" s="3" t="n">
        <v>1248</v>
      </c>
      <c r="C1250" s="3" t="n">
        <v>6</v>
      </c>
      <c r="D1250" s="3" t="n">
        <v>5</v>
      </c>
      <c r="E1250" s="3" t="n">
        <v>2</v>
      </c>
      <c r="F1250" s="24" t="n">
        <v>-1.55762827</v>
      </c>
    </row>
    <row r="1251" customFormat="false" ht="15" hidden="false" customHeight="false" outlineLevel="0" collapsed="false">
      <c r="A1251" s="3" t="n">
        <v>1250</v>
      </c>
      <c r="B1251" s="3" t="n">
        <v>1249</v>
      </c>
      <c r="C1251" s="3" t="n">
        <v>6</v>
      </c>
      <c r="D1251" s="3" t="n">
        <v>5</v>
      </c>
      <c r="E1251" s="3" t="n">
        <v>3</v>
      </c>
      <c r="F1251" s="24" t="n">
        <v>-2.8167851</v>
      </c>
    </row>
    <row r="1252" customFormat="false" ht="15" hidden="false" customHeight="false" outlineLevel="0" collapsed="false">
      <c r="A1252" s="3" t="n">
        <v>1251</v>
      </c>
      <c r="B1252" s="3" t="n">
        <v>1250</v>
      </c>
      <c r="C1252" s="3" t="n">
        <v>6</v>
      </c>
      <c r="D1252" s="3" t="n">
        <v>5</v>
      </c>
      <c r="E1252" s="3" t="n">
        <v>4</v>
      </c>
      <c r="F1252" s="24" t="n">
        <v>-4.29080296</v>
      </c>
    </row>
    <row r="1253" customFormat="false" ht="15" hidden="false" customHeight="false" outlineLevel="0" collapsed="false">
      <c r="A1253" s="3" t="n">
        <v>1252</v>
      </c>
      <c r="B1253" s="3" t="n">
        <v>1251</v>
      </c>
      <c r="C1253" s="3" t="n">
        <v>6</v>
      </c>
      <c r="D1253" s="3" t="n">
        <v>5</v>
      </c>
      <c r="E1253" s="3" t="n">
        <v>5</v>
      </c>
      <c r="F1253" s="24" t="n">
        <v>-4.8000536</v>
      </c>
    </row>
    <row r="1254" customFormat="false" ht="15" hidden="false" customHeight="false" outlineLevel="0" collapsed="false">
      <c r="A1254" s="3" t="n">
        <v>1253</v>
      </c>
      <c r="B1254" s="3" t="n">
        <v>1252</v>
      </c>
      <c r="C1254" s="3" t="n">
        <v>6</v>
      </c>
      <c r="D1254" s="3" t="n">
        <v>5</v>
      </c>
      <c r="E1254" s="3" t="n">
        <v>6</v>
      </c>
      <c r="F1254" s="24" t="n">
        <v>-3.55126715</v>
      </c>
    </row>
    <row r="1255" customFormat="false" ht="15" hidden="false" customHeight="false" outlineLevel="0" collapsed="false">
      <c r="A1255" s="3" t="n">
        <v>1254</v>
      </c>
      <c r="B1255" s="3" t="n">
        <v>1253</v>
      </c>
      <c r="C1255" s="3" t="n">
        <v>6</v>
      </c>
      <c r="D1255" s="3" t="n">
        <v>5</v>
      </c>
      <c r="E1255" s="3" t="n">
        <v>7</v>
      </c>
      <c r="F1255" s="24" t="n">
        <v>-3.73159504</v>
      </c>
    </row>
    <row r="1256" customFormat="false" ht="15" hidden="false" customHeight="false" outlineLevel="0" collapsed="false">
      <c r="A1256" s="3" t="n">
        <v>1255</v>
      </c>
      <c r="B1256" s="3" t="n">
        <v>1254</v>
      </c>
      <c r="C1256" s="3" t="n">
        <v>6</v>
      </c>
      <c r="D1256" s="3" t="n">
        <v>5</v>
      </c>
      <c r="E1256" s="3" t="n">
        <v>8</v>
      </c>
      <c r="F1256" s="24" t="n">
        <v>-0.681383967</v>
      </c>
    </row>
    <row r="1257" customFormat="false" ht="15" hidden="false" customHeight="false" outlineLevel="0" collapsed="false">
      <c r="A1257" s="3" t="n">
        <v>1256</v>
      </c>
      <c r="B1257" s="3" t="n">
        <v>1255</v>
      </c>
      <c r="C1257" s="3" t="n">
        <v>6</v>
      </c>
      <c r="D1257" s="3" t="n">
        <v>5</v>
      </c>
      <c r="E1257" s="3" t="n">
        <v>9</v>
      </c>
      <c r="F1257" s="24" t="n">
        <v>0.55154407</v>
      </c>
    </row>
    <row r="1258" customFormat="false" ht="15" hidden="false" customHeight="false" outlineLevel="0" collapsed="false">
      <c r="A1258" s="3" t="n">
        <v>1257</v>
      </c>
      <c r="B1258" s="3" t="n">
        <v>1256</v>
      </c>
      <c r="C1258" s="3" t="n">
        <v>6</v>
      </c>
      <c r="D1258" s="3" t="n">
        <v>5</v>
      </c>
      <c r="E1258" s="3" t="n">
        <v>10</v>
      </c>
      <c r="F1258" s="24" t="n">
        <v>0.299811035</v>
      </c>
    </row>
    <row r="1259" customFormat="false" ht="15" hidden="false" customHeight="false" outlineLevel="0" collapsed="false">
      <c r="A1259" s="3" t="n">
        <v>1258</v>
      </c>
      <c r="B1259" s="3" t="n">
        <v>1257</v>
      </c>
      <c r="C1259" s="3" t="n">
        <v>6</v>
      </c>
      <c r="D1259" s="3" t="n">
        <v>5</v>
      </c>
      <c r="E1259" s="3" t="n">
        <v>11</v>
      </c>
      <c r="F1259" s="24" t="n">
        <v>1.28672135</v>
      </c>
    </row>
    <row r="1260" customFormat="false" ht="15" hidden="false" customHeight="false" outlineLevel="0" collapsed="false">
      <c r="A1260" s="3" t="n">
        <v>1259</v>
      </c>
      <c r="B1260" s="3" t="n">
        <v>1258</v>
      </c>
      <c r="C1260" s="3" t="n">
        <v>6</v>
      </c>
      <c r="D1260" s="3" t="n">
        <v>5</v>
      </c>
      <c r="E1260" s="3" t="n">
        <v>12</v>
      </c>
      <c r="F1260" s="24" t="n">
        <v>-0.203210741</v>
      </c>
    </row>
    <row r="1261" customFormat="false" ht="15" hidden="false" customHeight="false" outlineLevel="0" collapsed="false">
      <c r="A1261" s="3" t="n">
        <v>1260</v>
      </c>
      <c r="B1261" s="3" t="n">
        <v>1259</v>
      </c>
      <c r="C1261" s="3" t="n">
        <v>6</v>
      </c>
      <c r="D1261" s="3" t="n">
        <v>5</v>
      </c>
      <c r="E1261" s="3" t="n">
        <v>13</v>
      </c>
      <c r="F1261" s="24" t="n">
        <v>-0.636554182</v>
      </c>
    </row>
    <row r="1262" customFormat="false" ht="15" hidden="false" customHeight="false" outlineLevel="0" collapsed="false">
      <c r="A1262" s="3" t="n">
        <v>1261</v>
      </c>
      <c r="B1262" s="3" t="n">
        <v>1260</v>
      </c>
      <c r="C1262" s="3" t="n">
        <v>6</v>
      </c>
      <c r="D1262" s="3" t="n">
        <v>6</v>
      </c>
      <c r="E1262" s="3" t="n">
        <v>0</v>
      </c>
      <c r="F1262" s="24" t="n">
        <v>-0.0446271896</v>
      </c>
    </row>
    <row r="1263" customFormat="false" ht="15" hidden="false" customHeight="false" outlineLevel="0" collapsed="false">
      <c r="A1263" s="3" t="n">
        <v>1262</v>
      </c>
      <c r="B1263" s="3" t="n">
        <v>1261</v>
      </c>
      <c r="C1263" s="3" t="n">
        <v>6</v>
      </c>
      <c r="D1263" s="3" t="n">
        <v>6</v>
      </c>
      <c r="E1263" s="3" t="n">
        <v>1</v>
      </c>
      <c r="F1263" s="24" t="n">
        <v>-0.301739693</v>
      </c>
    </row>
    <row r="1264" customFormat="false" ht="15" hidden="false" customHeight="false" outlineLevel="0" collapsed="false">
      <c r="A1264" s="3" t="n">
        <v>1263</v>
      </c>
      <c r="B1264" s="3" t="n">
        <v>1262</v>
      </c>
      <c r="C1264" s="3" t="n">
        <v>6</v>
      </c>
      <c r="D1264" s="3" t="n">
        <v>6</v>
      </c>
      <c r="E1264" s="3" t="n">
        <v>2</v>
      </c>
      <c r="F1264" s="24" t="n">
        <v>-0.411464423</v>
      </c>
    </row>
    <row r="1265" customFormat="false" ht="15" hidden="false" customHeight="false" outlineLevel="0" collapsed="false">
      <c r="A1265" s="3" t="n">
        <v>1264</v>
      </c>
      <c r="B1265" s="3" t="n">
        <v>1263</v>
      </c>
      <c r="C1265" s="3" t="n">
        <v>6</v>
      </c>
      <c r="D1265" s="3" t="n">
        <v>6</v>
      </c>
      <c r="E1265" s="3" t="n">
        <v>3</v>
      </c>
      <c r="F1265" s="24" t="n">
        <v>-0.698527336</v>
      </c>
    </row>
    <row r="1266" customFormat="false" ht="15" hidden="false" customHeight="false" outlineLevel="0" collapsed="false">
      <c r="A1266" s="3" t="n">
        <v>1265</v>
      </c>
      <c r="B1266" s="3" t="n">
        <v>1264</v>
      </c>
      <c r="C1266" s="3" t="n">
        <v>6</v>
      </c>
      <c r="D1266" s="3" t="n">
        <v>6</v>
      </c>
      <c r="E1266" s="3" t="n">
        <v>4</v>
      </c>
      <c r="F1266" s="24" t="n">
        <v>-1.52784622</v>
      </c>
    </row>
    <row r="1267" customFormat="false" ht="15" hidden="false" customHeight="false" outlineLevel="0" collapsed="false">
      <c r="A1267" s="3" t="n">
        <v>1266</v>
      </c>
      <c r="B1267" s="3" t="n">
        <v>1265</v>
      </c>
      <c r="C1267" s="3" t="n">
        <v>6</v>
      </c>
      <c r="D1267" s="3" t="n">
        <v>6</v>
      </c>
      <c r="E1267" s="3" t="n">
        <v>5</v>
      </c>
      <c r="F1267" s="24" t="n">
        <v>-2.31373835</v>
      </c>
    </row>
    <row r="1268" customFormat="false" ht="15" hidden="false" customHeight="false" outlineLevel="0" collapsed="false">
      <c r="A1268" s="3" t="n">
        <v>1267</v>
      </c>
      <c r="B1268" s="3" t="n">
        <v>1266</v>
      </c>
      <c r="C1268" s="3" t="n">
        <v>6</v>
      </c>
      <c r="D1268" s="3" t="n">
        <v>6</v>
      </c>
      <c r="E1268" s="3" t="n">
        <v>6</v>
      </c>
      <c r="F1268" s="24" t="n">
        <v>-3.66205859</v>
      </c>
    </row>
    <row r="1269" customFormat="false" ht="15" hidden="false" customHeight="false" outlineLevel="0" collapsed="false">
      <c r="A1269" s="3" t="n">
        <v>1268</v>
      </c>
      <c r="B1269" s="3" t="n">
        <v>1267</v>
      </c>
      <c r="C1269" s="3" t="n">
        <v>6</v>
      </c>
      <c r="D1269" s="3" t="n">
        <v>6</v>
      </c>
      <c r="E1269" s="3" t="n">
        <v>7</v>
      </c>
      <c r="F1269" s="24" t="n">
        <v>-1.26390266</v>
      </c>
    </row>
    <row r="1270" customFormat="false" ht="15" hidden="false" customHeight="false" outlineLevel="0" collapsed="false">
      <c r="A1270" s="3" t="n">
        <v>1269</v>
      </c>
      <c r="B1270" s="3" t="n">
        <v>1268</v>
      </c>
      <c r="C1270" s="3" t="n">
        <v>6</v>
      </c>
      <c r="D1270" s="3" t="n">
        <v>6</v>
      </c>
      <c r="E1270" s="3" t="n">
        <v>8</v>
      </c>
      <c r="F1270" s="24" t="n">
        <v>1.28130782</v>
      </c>
    </row>
    <row r="1271" customFormat="false" ht="15" hidden="false" customHeight="false" outlineLevel="0" collapsed="false">
      <c r="A1271" s="3" t="n">
        <v>1270</v>
      </c>
      <c r="B1271" s="3" t="n">
        <v>1269</v>
      </c>
      <c r="C1271" s="3" t="n">
        <v>6</v>
      </c>
      <c r="D1271" s="3" t="n">
        <v>6</v>
      </c>
      <c r="E1271" s="3" t="n">
        <v>9</v>
      </c>
      <c r="F1271" s="24" t="n">
        <v>-2.84649467</v>
      </c>
    </row>
    <row r="1272" customFormat="false" ht="15" hidden="false" customHeight="false" outlineLevel="0" collapsed="false">
      <c r="A1272" s="3" t="n">
        <v>1271</v>
      </c>
      <c r="B1272" s="3" t="n">
        <v>1270</v>
      </c>
      <c r="C1272" s="3" t="n">
        <v>6</v>
      </c>
      <c r="D1272" s="3" t="n">
        <v>6</v>
      </c>
      <c r="E1272" s="3" t="n">
        <v>10</v>
      </c>
      <c r="F1272" s="24" t="n">
        <v>-0.786188722</v>
      </c>
    </row>
    <row r="1273" customFormat="false" ht="15" hidden="false" customHeight="false" outlineLevel="0" collapsed="false">
      <c r="A1273" s="3" t="n">
        <v>1272</v>
      </c>
      <c r="B1273" s="3" t="n">
        <v>1271</v>
      </c>
      <c r="C1273" s="3" t="n">
        <v>6</v>
      </c>
      <c r="D1273" s="3" t="n">
        <v>6</v>
      </c>
      <c r="E1273" s="3" t="n">
        <v>11</v>
      </c>
      <c r="F1273" s="24" t="n">
        <v>-1.41600752</v>
      </c>
    </row>
    <row r="1274" customFormat="false" ht="15" hidden="false" customHeight="false" outlineLevel="0" collapsed="false">
      <c r="A1274" s="3" t="n">
        <v>1273</v>
      </c>
      <c r="B1274" s="3" t="n">
        <v>1272</v>
      </c>
      <c r="C1274" s="3" t="n">
        <v>6</v>
      </c>
      <c r="D1274" s="3" t="n">
        <v>6</v>
      </c>
      <c r="E1274" s="3" t="n">
        <v>12</v>
      </c>
      <c r="F1274" s="24" t="n">
        <v>-0.798093796</v>
      </c>
    </row>
    <row r="1275" customFormat="false" ht="15" hidden="false" customHeight="false" outlineLevel="0" collapsed="false">
      <c r="A1275" s="3" t="n">
        <v>1274</v>
      </c>
      <c r="B1275" s="3" t="n">
        <v>1273</v>
      </c>
      <c r="C1275" s="3" t="n">
        <v>6</v>
      </c>
      <c r="D1275" s="3" t="n">
        <v>6</v>
      </c>
      <c r="E1275" s="3" t="n">
        <v>13</v>
      </c>
      <c r="F1275" s="24" t="n">
        <v>-0.636554182</v>
      </c>
    </row>
    <row r="1276" customFormat="false" ht="15" hidden="false" customHeight="false" outlineLevel="0" collapsed="false">
      <c r="A1276" s="3" t="n">
        <v>1275</v>
      </c>
      <c r="B1276" s="3" t="n">
        <v>1274</v>
      </c>
      <c r="C1276" s="3" t="n">
        <v>6</v>
      </c>
      <c r="D1276" s="3" t="n">
        <v>7</v>
      </c>
      <c r="E1276" s="3" t="n">
        <v>0</v>
      </c>
      <c r="F1276" s="24" t="n">
        <v>-0.0446271896</v>
      </c>
    </row>
    <row r="1277" customFormat="false" ht="15" hidden="false" customHeight="false" outlineLevel="0" collapsed="false">
      <c r="A1277" s="3" t="n">
        <v>1276</v>
      </c>
      <c r="B1277" s="3" t="n">
        <v>1275</v>
      </c>
      <c r="C1277" s="3" t="n">
        <v>6</v>
      </c>
      <c r="D1277" s="3" t="n">
        <v>7</v>
      </c>
      <c r="E1277" s="3" t="n">
        <v>1</v>
      </c>
      <c r="F1277" s="24" t="n">
        <v>-0.262987316</v>
      </c>
    </row>
    <row r="1278" customFormat="false" ht="15" hidden="false" customHeight="false" outlineLevel="0" collapsed="false">
      <c r="A1278" s="3" t="n">
        <v>1277</v>
      </c>
      <c r="B1278" s="3" t="n">
        <v>1276</v>
      </c>
      <c r="C1278" s="3" t="n">
        <v>6</v>
      </c>
      <c r="D1278" s="3" t="n">
        <v>7</v>
      </c>
      <c r="E1278" s="3" t="n">
        <v>2</v>
      </c>
      <c r="F1278" s="24" t="n">
        <v>-0.275324613</v>
      </c>
    </row>
    <row r="1279" customFormat="false" ht="15" hidden="false" customHeight="false" outlineLevel="0" collapsed="false">
      <c r="A1279" s="3" t="n">
        <v>1278</v>
      </c>
      <c r="B1279" s="3" t="n">
        <v>1277</v>
      </c>
      <c r="C1279" s="3" t="n">
        <v>6</v>
      </c>
      <c r="D1279" s="3" t="n">
        <v>7</v>
      </c>
      <c r="E1279" s="3" t="n">
        <v>3</v>
      </c>
      <c r="F1279" s="24" t="n">
        <v>-0.275324613</v>
      </c>
    </row>
    <row r="1280" customFormat="false" ht="15" hidden="false" customHeight="false" outlineLevel="0" collapsed="false">
      <c r="A1280" s="3" t="n">
        <v>1279</v>
      </c>
      <c r="B1280" s="3" t="n">
        <v>1278</v>
      </c>
      <c r="C1280" s="3" t="n">
        <v>6</v>
      </c>
      <c r="D1280" s="3" t="n">
        <v>7</v>
      </c>
      <c r="E1280" s="3" t="n">
        <v>4</v>
      </c>
      <c r="F1280" s="24" t="n">
        <v>-0.275324613</v>
      </c>
    </row>
    <row r="1281" customFormat="false" ht="15" hidden="false" customHeight="false" outlineLevel="0" collapsed="false">
      <c r="A1281" s="3" t="n">
        <v>1280</v>
      </c>
      <c r="B1281" s="3" t="n">
        <v>1279</v>
      </c>
      <c r="C1281" s="3" t="n">
        <v>6</v>
      </c>
      <c r="D1281" s="3" t="n">
        <v>7</v>
      </c>
      <c r="E1281" s="3" t="n">
        <v>5</v>
      </c>
      <c r="F1281" s="24" t="n">
        <v>-0.200592712</v>
      </c>
    </row>
    <row r="1282" customFormat="false" ht="15" hidden="false" customHeight="false" outlineLevel="0" collapsed="false">
      <c r="A1282" s="3" t="n">
        <v>1281</v>
      </c>
      <c r="B1282" s="3" t="n">
        <v>1280</v>
      </c>
      <c r="C1282" s="3" t="n">
        <v>6</v>
      </c>
      <c r="D1282" s="3" t="n">
        <v>7</v>
      </c>
      <c r="E1282" s="3" t="n">
        <v>6</v>
      </c>
      <c r="F1282" s="24" t="n">
        <v>-0.353460878</v>
      </c>
    </row>
    <row r="1283" customFormat="false" ht="15" hidden="false" customHeight="false" outlineLevel="0" collapsed="false">
      <c r="A1283" s="3" t="n">
        <v>1282</v>
      </c>
      <c r="B1283" s="3" t="n">
        <v>1281</v>
      </c>
      <c r="C1283" s="3" t="n">
        <v>6</v>
      </c>
      <c r="D1283" s="3" t="n">
        <v>7</v>
      </c>
      <c r="E1283" s="3" t="n">
        <v>7</v>
      </c>
      <c r="F1283" s="24" t="n">
        <v>2.6663959</v>
      </c>
    </row>
    <row r="1284" customFormat="false" ht="15" hidden="false" customHeight="false" outlineLevel="0" collapsed="false">
      <c r="A1284" s="3" t="n">
        <v>1283</v>
      </c>
      <c r="B1284" s="3" t="n">
        <v>1282</v>
      </c>
      <c r="C1284" s="3" t="n">
        <v>6</v>
      </c>
      <c r="D1284" s="3" t="n">
        <v>7</v>
      </c>
      <c r="E1284" s="3" t="n">
        <v>8</v>
      </c>
      <c r="F1284" s="24" t="n">
        <v>0.237851471</v>
      </c>
    </row>
    <row r="1285" customFormat="false" ht="15" hidden="false" customHeight="false" outlineLevel="0" collapsed="false">
      <c r="A1285" s="3" t="n">
        <v>1284</v>
      </c>
      <c r="B1285" s="3" t="n">
        <v>1283</v>
      </c>
      <c r="C1285" s="3" t="n">
        <v>6</v>
      </c>
      <c r="D1285" s="3" t="n">
        <v>7</v>
      </c>
      <c r="E1285" s="3" t="n">
        <v>9</v>
      </c>
      <c r="F1285" s="24" t="n">
        <v>-0.157895446</v>
      </c>
    </row>
    <row r="1286" customFormat="false" ht="15" hidden="false" customHeight="false" outlineLevel="0" collapsed="false">
      <c r="A1286" s="3" t="n">
        <v>1285</v>
      </c>
      <c r="B1286" s="3" t="n">
        <v>1284</v>
      </c>
      <c r="C1286" s="3" t="n">
        <v>6</v>
      </c>
      <c r="D1286" s="3" t="n">
        <v>7</v>
      </c>
      <c r="E1286" s="3" t="n">
        <v>10</v>
      </c>
      <c r="F1286" s="24" t="n">
        <v>-0.397005647</v>
      </c>
    </row>
    <row r="1287" customFormat="false" ht="15" hidden="false" customHeight="false" outlineLevel="0" collapsed="false">
      <c r="A1287" s="3" t="n">
        <v>1286</v>
      </c>
      <c r="B1287" s="3" t="n">
        <v>1285</v>
      </c>
      <c r="C1287" s="3" t="n">
        <v>6</v>
      </c>
      <c r="D1287" s="3" t="n">
        <v>7</v>
      </c>
      <c r="E1287" s="3" t="n">
        <v>11</v>
      </c>
      <c r="F1287" s="24" t="n">
        <v>-1.66892862</v>
      </c>
    </row>
    <row r="1288" customFormat="false" ht="15" hidden="false" customHeight="false" outlineLevel="0" collapsed="false">
      <c r="A1288" s="3" t="n">
        <v>1287</v>
      </c>
      <c r="B1288" s="3" t="n">
        <v>1286</v>
      </c>
      <c r="C1288" s="3" t="n">
        <v>6</v>
      </c>
      <c r="D1288" s="3" t="n">
        <v>7</v>
      </c>
      <c r="E1288" s="3" t="n">
        <v>12</v>
      </c>
      <c r="F1288" s="24" t="n">
        <v>-0.360634416</v>
      </c>
    </row>
    <row r="1289" customFormat="false" ht="15" hidden="false" customHeight="false" outlineLevel="0" collapsed="false">
      <c r="A1289" s="3" t="n">
        <v>1288</v>
      </c>
      <c r="B1289" s="3" t="n">
        <v>1287</v>
      </c>
      <c r="C1289" s="3" t="n">
        <v>6</v>
      </c>
      <c r="D1289" s="3" t="n">
        <v>7</v>
      </c>
      <c r="E1289" s="3" t="n">
        <v>13</v>
      </c>
      <c r="F1289" s="24" t="n">
        <v>-0.636554182</v>
      </c>
    </row>
    <row r="1290" customFormat="false" ht="15" hidden="false" customHeight="false" outlineLevel="0" collapsed="false">
      <c r="A1290" s="3" t="n">
        <v>1289</v>
      </c>
      <c r="B1290" s="3" t="n">
        <v>1288</v>
      </c>
      <c r="C1290" s="3" t="n">
        <v>6</v>
      </c>
      <c r="D1290" s="3" t="n">
        <v>8</v>
      </c>
      <c r="E1290" s="3" t="n">
        <v>0</v>
      </c>
      <c r="F1290" s="24" t="n">
        <v>-0.0446271896</v>
      </c>
    </row>
    <row r="1291" customFormat="false" ht="15" hidden="false" customHeight="false" outlineLevel="0" collapsed="false">
      <c r="A1291" s="3" t="n">
        <v>1290</v>
      </c>
      <c r="B1291" s="3" t="n">
        <v>1289</v>
      </c>
      <c r="C1291" s="3" t="n">
        <v>6</v>
      </c>
      <c r="D1291" s="3" t="n">
        <v>8</v>
      </c>
      <c r="E1291" s="3" t="n">
        <v>1</v>
      </c>
      <c r="F1291" s="24" t="n">
        <v>-0.262987316</v>
      </c>
    </row>
    <row r="1292" customFormat="false" ht="15" hidden="false" customHeight="false" outlineLevel="0" collapsed="false">
      <c r="A1292" s="3" t="n">
        <v>1291</v>
      </c>
      <c r="B1292" s="3" t="n">
        <v>1290</v>
      </c>
      <c r="C1292" s="3" t="n">
        <v>6</v>
      </c>
      <c r="D1292" s="3" t="n">
        <v>8</v>
      </c>
      <c r="E1292" s="3" t="n">
        <v>2</v>
      </c>
      <c r="F1292" s="24" t="n">
        <v>-0.275324613</v>
      </c>
    </row>
    <row r="1293" customFormat="false" ht="15" hidden="false" customHeight="false" outlineLevel="0" collapsed="false">
      <c r="A1293" s="3" t="n">
        <v>1292</v>
      </c>
      <c r="B1293" s="3" t="n">
        <v>1291</v>
      </c>
      <c r="C1293" s="3" t="n">
        <v>6</v>
      </c>
      <c r="D1293" s="3" t="n">
        <v>8</v>
      </c>
      <c r="E1293" s="3" t="n">
        <v>3</v>
      </c>
      <c r="F1293" s="24" t="n">
        <v>-0.275324613</v>
      </c>
    </row>
    <row r="1294" customFormat="false" ht="15" hidden="false" customHeight="false" outlineLevel="0" collapsed="false">
      <c r="A1294" s="3" t="n">
        <v>1293</v>
      </c>
      <c r="B1294" s="3" t="n">
        <v>1292</v>
      </c>
      <c r="C1294" s="3" t="n">
        <v>6</v>
      </c>
      <c r="D1294" s="3" t="n">
        <v>8</v>
      </c>
      <c r="E1294" s="3" t="n">
        <v>4</v>
      </c>
      <c r="F1294" s="24" t="n">
        <v>-0.268313915</v>
      </c>
    </row>
    <row r="1295" customFormat="false" ht="15" hidden="false" customHeight="false" outlineLevel="0" collapsed="false">
      <c r="A1295" s="3" t="n">
        <v>1294</v>
      </c>
      <c r="B1295" s="3" t="n">
        <v>1293</v>
      </c>
      <c r="C1295" s="3" t="n">
        <v>6</v>
      </c>
      <c r="D1295" s="3" t="n">
        <v>8</v>
      </c>
      <c r="E1295" s="3" t="n">
        <v>5</v>
      </c>
      <c r="F1295" s="24" t="n">
        <v>-1.13408804</v>
      </c>
    </row>
    <row r="1296" customFormat="false" ht="15" hidden="false" customHeight="false" outlineLevel="0" collapsed="false">
      <c r="A1296" s="3" t="n">
        <v>1295</v>
      </c>
      <c r="B1296" s="3" t="n">
        <v>1294</v>
      </c>
      <c r="C1296" s="3" t="n">
        <v>6</v>
      </c>
      <c r="D1296" s="3" t="n">
        <v>8</v>
      </c>
      <c r="E1296" s="3" t="n">
        <v>6</v>
      </c>
      <c r="F1296" s="24" t="n">
        <v>2.44991231</v>
      </c>
    </row>
    <row r="1297" customFormat="false" ht="15" hidden="false" customHeight="false" outlineLevel="0" collapsed="false">
      <c r="A1297" s="3" t="n">
        <v>1296</v>
      </c>
      <c r="B1297" s="3" t="n">
        <v>1295</v>
      </c>
      <c r="C1297" s="3" t="n">
        <v>6</v>
      </c>
      <c r="D1297" s="3" t="n">
        <v>8</v>
      </c>
      <c r="E1297" s="3" t="n">
        <v>7</v>
      </c>
      <c r="F1297" s="24" t="n">
        <v>3.88434505</v>
      </c>
    </row>
    <row r="1298" customFormat="false" ht="15" hidden="false" customHeight="false" outlineLevel="0" collapsed="false">
      <c r="A1298" s="3" t="n">
        <v>1297</v>
      </c>
      <c r="B1298" s="3" t="n">
        <v>1296</v>
      </c>
      <c r="C1298" s="3" t="n">
        <v>6</v>
      </c>
      <c r="D1298" s="3" t="n">
        <v>8</v>
      </c>
      <c r="E1298" s="3" t="n">
        <v>8</v>
      </c>
      <c r="F1298" s="24" t="n">
        <v>-0.967838526</v>
      </c>
    </row>
    <row r="1299" customFormat="false" ht="15" hidden="false" customHeight="false" outlineLevel="0" collapsed="false">
      <c r="A1299" s="3" t="n">
        <v>1298</v>
      </c>
      <c r="B1299" s="3" t="n">
        <v>1297</v>
      </c>
      <c r="C1299" s="3" t="n">
        <v>6</v>
      </c>
      <c r="D1299" s="3" t="n">
        <v>8</v>
      </c>
      <c r="E1299" s="3" t="n">
        <v>9</v>
      </c>
      <c r="F1299" s="24" t="n">
        <v>0.525866747</v>
      </c>
    </row>
    <row r="1300" customFormat="false" ht="15" hidden="false" customHeight="false" outlineLevel="0" collapsed="false">
      <c r="A1300" s="3" t="n">
        <v>1299</v>
      </c>
      <c r="B1300" s="3" t="n">
        <v>1298</v>
      </c>
      <c r="C1300" s="3" t="n">
        <v>6</v>
      </c>
      <c r="D1300" s="3" t="n">
        <v>8</v>
      </c>
      <c r="E1300" s="3" t="n">
        <v>10</v>
      </c>
      <c r="F1300" s="24" t="n">
        <v>-1.59929633</v>
      </c>
    </row>
    <row r="1301" customFormat="false" ht="15" hidden="false" customHeight="false" outlineLevel="0" collapsed="false">
      <c r="A1301" s="3" t="n">
        <v>1300</v>
      </c>
      <c r="B1301" s="3" t="n">
        <v>1299</v>
      </c>
      <c r="C1301" s="3" t="n">
        <v>6</v>
      </c>
      <c r="D1301" s="3" t="n">
        <v>8</v>
      </c>
      <c r="E1301" s="3" t="n">
        <v>11</v>
      </c>
      <c r="F1301" s="24" t="n">
        <v>-1.04533195</v>
      </c>
    </row>
    <row r="1302" customFormat="false" ht="15" hidden="false" customHeight="false" outlineLevel="0" collapsed="false">
      <c r="A1302" s="3" t="n">
        <v>1301</v>
      </c>
      <c r="B1302" s="3" t="n">
        <v>1300</v>
      </c>
      <c r="C1302" s="3" t="n">
        <v>6</v>
      </c>
      <c r="D1302" s="3" t="n">
        <v>8</v>
      </c>
      <c r="E1302" s="3" t="n">
        <v>12</v>
      </c>
      <c r="F1302" s="24" t="n">
        <v>-0.332140326</v>
      </c>
    </row>
    <row r="1303" customFormat="false" ht="15" hidden="false" customHeight="false" outlineLevel="0" collapsed="false">
      <c r="A1303" s="3" t="n">
        <v>1302</v>
      </c>
      <c r="B1303" s="3" t="n">
        <v>1301</v>
      </c>
      <c r="C1303" s="3" t="n">
        <v>6</v>
      </c>
      <c r="D1303" s="3" t="n">
        <v>8</v>
      </c>
      <c r="E1303" s="3" t="n">
        <v>13</v>
      </c>
      <c r="F1303" s="24" t="n">
        <v>-0.636554182</v>
      </c>
    </row>
    <row r="1304" customFormat="false" ht="15" hidden="false" customHeight="false" outlineLevel="0" collapsed="false">
      <c r="A1304" s="3" t="n">
        <v>1303</v>
      </c>
      <c r="B1304" s="3" t="n">
        <v>1302</v>
      </c>
      <c r="C1304" s="3" t="n">
        <v>6</v>
      </c>
      <c r="D1304" s="3" t="n">
        <v>9</v>
      </c>
      <c r="E1304" s="3" t="n">
        <v>0</v>
      </c>
      <c r="F1304" s="24" t="n">
        <v>-0.0446271896</v>
      </c>
    </row>
    <row r="1305" customFormat="false" ht="15" hidden="false" customHeight="false" outlineLevel="0" collapsed="false">
      <c r="A1305" s="3" t="n">
        <v>1304</v>
      </c>
      <c r="B1305" s="3" t="n">
        <v>1303</v>
      </c>
      <c r="C1305" s="3" t="n">
        <v>6</v>
      </c>
      <c r="D1305" s="3" t="n">
        <v>9</v>
      </c>
      <c r="E1305" s="3" t="n">
        <v>1</v>
      </c>
      <c r="F1305" s="24" t="n">
        <v>-0.262987316</v>
      </c>
    </row>
    <row r="1306" customFormat="false" ht="15" hidden="false" customHeight="false" outlineLevel="0" collapsed="false">
      <c r="A1306" s="3" t="n">
        <v>1305</v>
      </c>
      <c r="B1306" s="3" t="n">
        <v>1304</v>
      </c>
      <c r="C1306" s="3" t="n">
        <v>6</v>
      </c>
      <c r="D1306" s="3" t="n">
        <v>9</v>
      </c>
      <c r="E1306" s="3" t="n">
        <v>2</v>
      </c>
      <c r="F1306" s="24" t="n">
        <v>-0.275324613</v>
      </c>
    </row>
    <row r="1307" customFormat="false" ht="15" hidden="false" customHeight="false" outlineLevel="0" collapsed="false">
      <c r="A1307" s="3" t="n">
        <v>1306</v>
      </c>
      <c r="B1307" s="3" t="n">
        <v>1305</v>
      </c>
      <c r="C1307" s="3" t="n">
        <v>6</v>
      </c>
      <c r="D1307" s="3" t="n">
        <v>9</v>
      </c>
      <c r="E1307" s="3" t="n">
        <v>3</v>
      </c>
      <c r="F1307" s="24" t="n">
        <v>-0.275324613</v>
      </c>
    </row>
    <row r="1308" customFormat="false" ht="15" hidden="false" customHeight="false" outlineLevel="0" collapsed="false">
      <c r="A1308" s="3" t="n">
        <v>1307</v>
      </c>
      <c r="B1308" s="3" t="n">
        <v>1306</v>
      </c>
      <c r="C1308" s="3" t="n">
        <v>6</v>
      </c>
      <c r="D1308" s="3" t="n">
        <v>9</v>
      </c>
      <c r="E1308" s="3" t="n">
        <v>4</v>
      </c>
      <c r="F1308" s="24" t="n">
        <v>-0.656471014</v>
      </c>
    </row>
    <row r="1309" customFormat="false" ht="15" hidden="false" customHeight="false" outlineLevel="0" collapsed="false">
      <c r="A1309" s="3" t="n">
        <v>1308</v>
      </c>
      <c r="B1309" s="3" t="n">
        <v>1307</v>
      </c>
      <c r="C1309" s="3" t="n">
        <v>6</v>
      </c>
      <c r="D1309" s="3" t="n">
        <v>9</v>
      </c>
      <c r="E1309" s="3" t="n">
        <v>5</v>
      </c>
      <c r="F1309" s="24" t="n">
        <v>1.29486978</v>
      </c>
    </row>
    <row r="1310" customFormat="false" ht="15" hidden="false" customHeight="false" outlineLevel="0" collapsed="false">
      <c r="A1310" s="3" t="n">
        <v>1309</v>
      </c>
      <c r="B1310" s="3" t="n">
        <v>1308</v>
      </c>
      <c r="C1310" s="3" t="n">
        <v>6</v>
      </c>
      <c r="D1310" s="3" t="n">
        <v>9</v>
      </c>
      <c r="E1310" s="3" t="n">
        <v>6</v>
      </c>
      <c r="F1310" s="24" t="n">
        <v>6.03698635</v>
      </c>
    </row>
    <row r="1311" customFormat="false" ht="15" hidden="false" customHeight="false" outlineLevel="0" collapsed="false">
      <c r="A1311" s="3" t="n">
        <v>1310</v>
      </c>
      <c r="B1311" s="3" t="n">
        <v>1309</v>
      </c>
      <c r="C1311" s="3" t="n">
        <v>6</v>
      </c>
      <c r="D1311" s="3" t="n">
        <v>9</v>
      </c>
      <c r="E1311" s="3" t="n">
        <v>7</v>
      </c>
      <c r="F1311" s="24" t="n">
        <v>1.06193316</v>
      </c>
    </row>
    <row r="1312" customFormat="false" ht="15" hidden="false" customHeight="false" outlineLevel="0" collapsed="false">
      <c r="A1312" s="3" t="n">
        <v>1311</v>
      </c>
      <c r="B1312" s="3" t="n">
        <v>1310</v>
      </c>
      <c r="C1312" s="3" t="n">
        <v>6</v>
      </c>
      <c r="D1312" s="3" t="n">
        <v>9</v>
      </c>
      <c r="E1312" s="3" t="n">
        <v>8</v>
      </c>
      <c r="F1312" s="24" t="n">
        <v>-0.000694900751</v>
      </c>
    </row>
    <row r="1313" customFormat="false" ht="15" hidden="false" customHeight="false" outlineLevel="0" collapsed="false">
      <c r="A1313" s="3" t="n">
        <v>1312</v>
      </c>
      <c r="B1313" s="3" t="n">
        <v>1311</v>
      </c>
      <c r="C1313" s="3" t="n">
        <v>6</v>
      </c>
      <c r="D1313" s="3" t="n">
        <v>9</v>
      </c>
      <c r="E1313" s="3" t="n">
        <v>9</v>
      </c>
      <c r="F1313" s="24" t="n">
        <v>-0.402799606</v>
      </c>
    </row>
    <row r="1314" customFormat="false" ht="15" hidden="false" customHeight="false" outlineLevel="0" collapsed="false">
      <c r="A1314" s="3" t="n">
        <v>1313</v>
      </c>
      <c r="B1314" s="3" t="n">
        <v>1312</v>
      </c>
      <c r="C1314" s="3" t="n">
        <v>6</v>
      </c>
      <c r="D1314" s="3" t="n">
        <v>9</v>
      </c>
      <c r="E1314" s="3" t="n">
        <v>10</v>
      </c>
      <c r="F1314" s="24" t="n">
        <v>-1.51993859</v>
      </c>
    </row>
    <row r="1315" customFormat="false" ht="15" hidden="false" customHeight="false" outlineLevel="0" collapsed="false">
      <c r="A1315" s="3" t="n">
        <v>1314</v>
      </c>
      <c r="B1315" s="3" t="n">
        <v>1313</v>
      </c>
      <c r="C1315" s="3" t="n">
        <v>6</v>
      </c>
      <c r="D1315" s="3" t="n">
        <v>9</v>
      </c>
      <c r="E1315" s="3" t="n">
        <v>11</v>
      </c>
      <c r="F1315" s="24" t="n">
        <v>-0.280824602</v>
      </c>
    </row>
    <row r="1316" customFormat="false" ht="15" hidden="false" customHeight="false" outlineLevel="0" collapsed="false">
      <c r="A1316" s="3" t="n">
        <v>1315</v>
      </c>
      <c r="B1316" s="3" t="n">
        <v>1314</v>
      </c>
      <c r="C1316" s="3" t="n">
        <v>6</v>
      </c>
      <c r="D1316" s="3" t="n">
        <v>9</v>
      </c>
      <c r="E1316" s="3" t="n">
        <v>12</v>
      </c>
      <c r="F1316" s="24" t="n">
        <v>-0.332140326</v>
      </c>
    </row>
    <row r="1317" customFormat="false" ht="15" hidden="false" customHeight="false" outlineLevel="0" collapsed="false">
      <c r="A1317" s="3" t="n">
        <v>1316</v>
      </c>
      <c r="B1317" s="3" t="n">
        <v>1315</v>
      </c>
      <c r="C1317" s="3" t="n">
        <v>6</v>
      </c>
      <c r="D1317" s="3" t="n">
        <v>9</v>
      </c>
      <c r="E1317" s="3" t="n">
        <v>13</v>
      </c>
      <c r="F1317" s="24" t="n">
        <v>-0.636554182</v>
      </c>
    </row>
    <row r="1318" customFormat="false" ht="15" hidden="false" customHeight="false" outlineLevel="0" collapsed="false">
      <c r="A1318" s="3" t="n">
        <v>1317</v>
      </c>
      <c r="B1318" s="3" t="n">
        <v>1316</v>
      </c>
      <c r="C1318" s="3" t="n">
        <v>6</v>
      </c>
      <c r="D1318" s="3" t="n">
        <v>10</v>
      </c>
      <c r="E1318" s="3" t="n">
        <v>0</v>
      </c>
      <c r="F1318" s="24" t="n">
        <v>-0.0446271896</v>
      </c>
    </row>
    <row r="1319" customFormat="false" ht="15" hidden="false" customHeight="false" outlineLevel="0" collapsed="false">
      <c r="A1319" s="3" t="n">
        <v>1318</v>
      </c>
      <c r="B1319" s="3" t="n">
        <v>1317</v>
      </c>
      <c r="C1319" s="3" t="n">
        <v>6</v>
      </c>
      <c r="D1319" s="3" t="n">
        <v>10</v>
      </c>
      <c r="E1319" s="3" t="n">
        <v>1</v>
      </c>
      <c r="F1319" s="24" t="n">
        <v>-0.262987316</v>
      </c>
    </row>
    <row r="1320" customFormat="false" ht="15" hidden="false" customHeight="false" outlineLevel="0" collapsed="false">
      <c r="A1320" s="3" t="n">
        <v>1319</v>
      </c>
      <c r="B1320" s="3" t="n">
        <v>1318</v>
      </c>
      <c r="C1320" s="3" t="n">
        <v>6</v>
      </c>
      <c r="D1320" s="3" t="n">
        <v>10</v>
      </c>
      <c r="E1320" s="3" t="n">
        <v>2</v>
      </c>
      <c r="F1320" s="24" t="n">
        <v>-0.275324613</v>
      </c>
    </row>
    <row r="1321" customFormat="false" ht="15" hidden="false" customHeight="false" outlineLevel="0" collapsed="false">
      <c r="A1321" s="3" t="n">
        <v>1320</v>
      </c>
      <c r="B1321" s="3" t="n">
        <v>1319</v>
      </c>
      <c r="C1321" s="3" t="n">
        <v>6</v>
      </c>
      <c r="D1321" s="3" t="n">
        <v>10</v>
      </c>
      <c r="E1321" s="3" t="n">
        <v>3</v>
      </c>
      <c r="F1321" s="24" t="n">
        <v>-0.207276076</v>
      </c>
    </row>
    <row r="1322" customFormat="false" ht="15" hidden="false" customHeight="false" outlineLevel="0" collapsed="false">
      <c r="A1322" s="3" t="n">
        <v>1321</v>
      </c>
      <c r="B1322" s="3" t="n">
        <v>1320</v>
      </c>
      <c r="C1322" s="3" t="n">
        <v>6</v>
      </c>
      <c r="D1322" s="3" t="n">
        <v>10</v>
      </c>
      <c r="E1322" s="3" t="n">
        <v>4</v>
      </c>
      <c r="F1322" s="24" t="n">
        <v>-0.52730763</v>
      </c>
    </row>
    <row r="1323" customFormat="false" ht="15" hidden="false" customHeight="false" outlineLevel="0" collapsed="false">
      <c r="A1323" s="3" t="n">
        <v>1322</v>
      </c>
      <c r="B1323" s="3" t="n">
        <v>1321</v>
      </c>
      <c r="C1323" s="3" t="n">
        <v>6</v>
      </c>
      <c r="D1323" s="3" t="n">
        <v>10</v>
      </c>
      <c r="E1323" s="3" t="n">
        <v>5</v>
      </c>
      <c r="F1323" s="24" t="n">
        <v>3.30380058</v>
      </c>
    </row>
    <row r="1324" customFormat="false" ht="15" hidden="false" customHeight="false" outlineLevel="0" collapsed="false">
      <c r="A1324" s="3" t="n">
        <v>1323</v>
      </c>
      <c r="B1324" s="3" t="n">
        <v>1322</v>
      </c>
      <c r="C1324" s="3" t="n">
        <v>6</v>
      </c>
      <c r="D1324" s="3" t="n">
        <v>10</v>
      </c>
      <c r="E1324" s="3" t="n">
        <v>6</v>
      </c>
      <c r="F1324" s="24" t="n">
        <v>2.21608829</v>
      </c>
    </row>
    <row r="1325" customFormat="false" ht="15" hidden="false" customHeight="false" outlineLevel="0" collapsed="false">
      <c r="A1325" s="3" t="n">
        <v>1324</v>
      </c>
      <c r="B1325" s="3" t="n">
        <v>1323</v>
      </c>
      <c r="C1325" s="3" t="n">
        <v>6</v>
      </c>
      <c r="D1325" s="3" t="n">
        <v>10</v>
      </c>
      <c r="E1325" s="3" t="n">
        <v>7</v>
      </c>
      <c r="F1325" s="24" t="n">
        <v>-0.877037168</v>
      </c>
    </row>
    <row r="1326" customFormat="false" ht="15" hidden="false" customHeight="false" outlineLevel="0" collapsed="false">
      <c r="A1326" s="3" t="n">
        <v>1325</v>
      </c>
      <c r="B1326" s="3" t="n">
        <v>1324</v>
      </c>
      <c r="C1326" s="3" t="n">
        <v>6</v>
      </c>
      <c r="D1326" s="3" t="n">
        <v>10</v>
      </c>
      <c r="E1326" s="3" t="n">
        <v>8</v>
      </c>
      <c r="F1326" s="24" t="n">
        <v>-0.148666859</v>
      </c>
    </row>
    <row r="1327" customFormat="false" ht="15" hidden="false" customHeight="false" outlineLevel="0" collapsed="false">
      <c r="A1327" s="3" t="n">
        <v>1326</v>
      </c>
      <c r="B1327" s="3" t="n">
        <v>1325</v>
      </c>
      <c r="C1327" s="3" t="n">
        <v>6</v>
      </c>
      <c r="D1327" s="3" t="n">
        <v>10</v>
      </c>
      <c r="E1327" s="3" t="n">
        <v>9</v>
      </c>
      <c r="F1327" s="24" t="n">
        <v>-1.72865355</v>
      </c>
    </row>
    <row r="1328" customFormat="false" ht="15" hidden="false" customHeight="false" outlineLevel="0" collapsed="false">
      <c r="A1328" s="3" t="n">
        <v>1327</v>
      </c>
      <c r="B1328" s="3" t="n">
        <v>1326</v>
      </c>
      <c r="C1328" s="3" t="n">
        <v>6</v>
      </c>
      <c r="D1328" s="3" t="n">
        <v>10</v>
      </c>
      <c r="E1328" s="3" t="n">
        <v>10</v>
      </c>
      <c r="F1328" s="24" t="n">
        <v>-0.775167942</v>
      </c>
    </row>
    <row r="1329" customFormat="false" ht="15" hidden="false" customHeight="false" outlineLevel="0" collapsed="false">
      <c r="A1329" s="3" t="n">
        <v>1328</v>
      </c>
      <c r="B1329" s="3" t="n">
        <v>1327</v>
      </c>
      <c r="C1329" s="3" t="n">
        <v>6</v>
      </c>
      <c r="D1329" s="3" t="n">
        <v>10</v>
      </c>
      <c r="E1329" s="3" t="n">
        <v>11</v>
      </c>
      <c r="F1329" s="24" t="n">
        <v>-0.275324613</v>
      </c>
    </row>
    <row r="1330" customFormat="false" ht="15" hidden="false" customHeight="false" outlineLevel="0" collapsed="false">
      <c r="A1330" s="3" t="n">
        <v>1329</v>
      </c>
      <c r="B1330" s="3" t="n">
        <v>1328</v>
      </c>
      <c r="C1330" s="3" t="n">
        <v>6</v>
      </c>
      <c r="D1330" s="3" t="n">
        <v>10</v>
      </c>
      <c r="E1330" s="3" t="n">
        <v>12</v>
      </c>
      <c r="F1330" s="24" t="n">
        <v>-0.332140326</v>
      </c>
    </row>
    <row r="1331" customFormat="false" ht="15" hidden="false" customHeight="false" outlineLevel="0" collapsed="false">
      <c r="A1331" s="3" t="n">
        <v>1330</v>
      </c>
      <c r="B1331" s="3" t="n">
        <v>1329</v>
      </c>
      <c r="C1331" s="3" t="n">
        <v>6</v>
      </c>
      <c r="D1331" s="3" t="n">
        <v>10</v>
      </c>
      <c r="E1331" s="3" t="n">
        <v>13</v>
      </c>
      <c r="F1331" s="24" t="n">
        <v>-0.636554182</v>
      </c>
    </row>
    <row r="1332" customFormat="false" ht="15" hidden="false" customHeight="false" outlineLevel="0" collapsed="false">
      <c r="A1332" s="3" t="n">
        <v>1331</v>
      </c>
      <c r="B1332" s="3" t="n">
        <v>1330</v>
      </c>
      <c r="C1332" s="3" t="n">
        <v>6</v>
      </c>
      <c r="D1332" s="3" t="n">
        <v>11</v>
      </c>
      <c r="E1332" s="3" t="n">
        <v>0</v>
      </c>
      <c r="F1332" s="24" t="n">
        <v>-0.0446271896</v>
      </c>
    </row>
    <row r="1333" customFormat="false" ht="15" hidden="false" customHeight="false" outlineLevel="0" collapsed="false">
      <c r="A1333" s="3" t="n">
        <v>1332</v>
      </c>
      <c r="B1333" s="3" t="n">
        <v>1331</v>
      </c>
      <c r="C1333" s="3" t="n">
        <v>6</v>
      </c>
      <c r="D1333" s="3" t="n">
        <v>11</v>
      </c>
      <c r="E1333" s="3" t="n">
        <v>1</v>
      </c>
      <c r="F1333" s="24" t="n">
        <v>-0.262987316</v>
      </c>
    </row>
    <row r="1334" customFormat="false" ht="15" hidden="false" customHeight="false" outlineLevel="0" collapsed="false">
      <c r="A1334" s="3" t="n">
        <v>1333</v>
      </c>
      <c r="B1334" s="3" t="n">
        <v>1332</v>
      </c>
      <c r="C1334" s="3" t="n">
        <v>6</v>
      </c>
      <c r="D1334" s="3" t="n">
        <v>11</v>
      </c>
      <c r="E1334" s="3" t="n">
        <v>2</v>
      </c>
      <c r="F1334" s="24" t="n">
        <v>-0.275324613</v>
      </c>
    </row>
    <row r="1335" customFormat="false" ht="15" hidden="false" customHeight="false" outlineLevel="0" collapsed="false">
      <c r="A1335" s="3" t="n">
        <v>1334</v>
      </c>
      <c r="B1335" s="3" t="n">
        <v>1333</v>
      </c>
      <c r="C1335" s="3" t="n">
        <v>6</v>
      </c>
      <c r="D1335" s="3" t="n">
        <v>11</v>
      </c>
      <c r="E1335" s="3" t="n">
        <v>3</v>
      </c>
      <c r="F1335" s="24" t="n">
        <v>-0.743998766</v>
      </c>
    </row>
    <row r="1336" customFormat="false" ht="15" hidden="false" customHeight="false" outlineLevel="0" collapsed="false">
      <c r="A1336" s="3" t="n">
        <v>1335</v>
      </c>
      <c r="B1336" s="3" t="n">
        <v>1334</v>
      </c>
      <c r="C1336" s="3" t="n">
        <v>6</v>
      </c>
      <c r="D1336" s="3" t="n">
        <v>11</v>
      </c>
      <c r="E1336" s="3" t="n">
        <v>4</v>
      </c>
      <c r="F1336" s="24" t="n">
        <v>1.86836374</v>
      </c>
    </row>
    <row r="1337" customFormat="false" ht="15" hidden="false" customHeight="false" outlineLevel="0" collapsed="false">
      <c r="A1337" s="3" t="n">
        <v>1336</v>
      </c>
      <c r="B1337" s="3" t="n">
        <v>1335</v>
      </c>
      <c r="C1337" s="3" t="n">
        <v>6</v>
      </c>
      <c r="D1337" s="3" t="n">
        <v>11</v>
      </c>
      <c r="E1337" s="3" t="n">
        <v>5</v>
      </c>
      <c r="F1337" s="24" t="n">
        <v>4.08271837</v>
      </c>
    </row>
    <row r="1338" customFormat="false" ht="15" hidden="false" customHeight="false" outlineLevel="0" collapsed="false">
      <c r="A1338" s="3" t="n">
        <v>1337</v>
      </c>
      <c r="B1338" s="3" t="n">
        <v>1336</v>
      </c>
      <c r="C1338" s="3" t="n">
        <v>6</v>
      </c>
      <c r="D1338" s="3" t="n">
        <v>11</v>
      </c>
      <c r="E1338" s="3" t="n">
        <v>6</v>
      </c>
      <c r="F1338" s="24" t="n">
        <v>0.616996527</v>
      </c>
    </row>
    <row r="1339" customFormat="false" ht="15" hidden="false" customHeight="false" outlineLevel="0" collapsed="false">
      <c r="A1339" s="3" t="n">
        <v>1338</v>
      </c>
      <c r="B1339" s="3" t="n">
        <v>1337</v>
      </c>
      <c r="C1339" s="3" t="n">
        <v>6</v>
      </c>
      <c r="D1339" s="3" t="n">
        <v>11</v>
      </c>
      <c r="E1339" s="3" t="n">
        <v>7</v>
      </c>
      <c r="F1339" s="24" t="n">
        <v>0.841368318</v>
      </c>
    </row>
    <row r="1340" customFormat="false" ht="15" hidden="false" customHeight="false" outlineLevel="0" collapsed="false">
      <c r="A1340" s="3" t="n">
        <v>1339</v>
      </c>
      <c r="B1340" s="3" t="n">
        <v>1338</v>
      </c>
      <c r="C1340" s="3" t="n">
        <v>6</v>
      </c>
      <c r="D1340" s="3" t="n">
        <v>11</v>
      </c>
      <c r="E1340" s="3" t="n">
        <v>8</v>
      </c>
      <c r="F1340" s="24" t="n">
        <v>-1.64876378</v>
      </c>
    </row>
    <row r="1341" customFormat="false" ht="15" hidden="false" customHeight="false" outlineLevel="0" collapsed="false">
      <c r="A1341" s="3" t="n">
        <v>1340</v>
      </c>
      <c r="B1341" s="3" t="n">
        <v>1339</v>
      </c>
      <c r="C1341" s="3" t="n">
        <v>6</v>
      </c>
      <c r="D1341" s="3" t="n">
        <v>11</v>
      </c>
      <c r="E1341" s="3" t="n">
        <v>9</v>
      </c>
      <c r="F1341" s="24" t="n">
        <v>-1.6580714</v>
      </c>
    </row>
    <row r="1342" customFormat="false" ht="15" hidden="false" customHeight="false" outlineLevel="0" collapsed="false">
      <c r="A1342" s="3" t="n">
        <v>1341</v>
      </c>
      <c r="B1342" s="3" t="n">
        <v>1340</v>
      </c>
      <c r="C1342" s="3" t="n">
        <v>6</v>
      </c>
      <c r="D1342" s="3" t="n">
        <v>11</v>
      </c>
      <c r="E1342" s="3" t="n">
        <v>10</v>
      </c>
      <c r="F1342" s="24" t="n">
        <v>-0.275324613</v>
      </c>
    </row>
    <row r="1343" customFormat="false" ht="15" hidden="false" customHeight="false" outlineLevel="0" collapsed="false">
      <c r="A1343" s="3" t="n">
        <v>1342</v>
      </c>
      <c r="B1343" s="3" t="n">
        <v>1341</v>
      </c>
      <c r="C1343" s="3" t="n">
        <v>6</v>
      </c>
      <c r="D1343" s="3" t="n">
        <v>11</v>
      </c>
      <c r="E1343" s="3" t="n">
        <v>11</v>
      </c>
      <c r="F1343" s="24" t="n">
        <v>-0.275324613</v>
      </c>
    </row>
    <row r="1344" customFormat="false" ht="15" hidden="false" customHeight="false" outlineLevel="0" collapsed="false">
      <c r="A1344" s="3" t="n">
        <v>1343</v>
      </c>
      <c r="B1344" s="3" t="n">
        <v>1342</v>
      </c>
      <c r="C1344" s="3" t="n">
        <v>6</v>
      </c>
      <c r="D1344" s="3" t="n">
        <v>11</v>
      </c>
      <c r="E1344" s="3" t="n">
        <v>12</v>
      </c>
      <c r="F1344" s="24" t="n">
        <v>-0.332140326</v>
      </c>
    </row>
    <row r="1345" customFormat="false" ht="15" hidden="false" customHeight="false" outlineLevel="0" collapsed="false">
      <c r="A1345" s="3" t="n">
        <v>1344</v>
      </c>
      <c r="B1345" s="3" t="n">
        <v>1343</v>
      </c>
      <c r="C1345" s="3" t="n">
        <v>6</v>
      </c>
      <c r="D1345" s="3" t="n">
        <v>11</v>
      </c>
      <c r="E1345" s="3" t="n">
        <v>13</v>
      </c>
      <c r="F1345" s="24" t="n">
        <v>-0.636554182</v>
      </c>
    </row>
    <row r="1346" customFormat="false" ht="15" hidden="false" customHeight="false" outlineLevel="0" collapsed="false">
      <c r="A1346" s="3" t="n">
        <v>1345</v>
      </c>
      <c r="B1346" s="3" t="n">
        <v>1344</v>
      </c>
      <c r="C1346" s="3" t="n">
        <v>6</v>
      </c>
      <c r="D1346" s="3" t="n">
        <v>12</v>
      </c>
      <c r="E1346" s="3" t="n">
        <v>0</v>
      </c>
      <c r="F1346" s="24" t="n">
        <v>0.035718441</v>
      </c>
    </row>
    <row r="1347" customFormat="false" ht="15" hidden="false" customHeight="false" outlineLevel="0" collapsed="false">
      <c r="A1347" s="3" t="n">
        <v>1346</v>
      </c>
      <c r="B1347" s="3" t="n">
        <v>1345</v>
      </c>
      <c r="C1347" s="3" t="n">
        <v>6</v>
      </c>
      <c r="D1347" s="3" t="n">
        <v>12</v>
      </c>
      <c r="E1347" s="3" t="n">
        <v>1</v>
      </c>
      <c r="F1347" s="24" t="n">
        <v>-0.125777602</v>
      </c>
    </row>
    <row r="1348" customFormat="false" ht="15" hidden="false" customHeight="false" outlineLevel="0" collapsed="false">
      <c r="A1348" s="3" t="n">
        <v>1347</v>
      </c>
      <c r="B1348" s="3" t="n">
        <v>1346</v>
      </c>
      <c r="C1348" s="3" t="n">
        <v>6</v>
      </c>
      <c r="D1348" s="3" t="n">
        <v>12</v>
      </c>
      <c r="E1348" s="3" t="n">
        <v>2</v>
      </c>
      <c r="F1348" s="24" t="n">
        <v>-0.158579454</v>
      </c>
    </row>
    <row r="1349" customFormat="false" ht="15" hidden="false" customHeight="false" outlineLevel="0" collapsed="false">
      <c r="A1349" s="3" t="n">
        <v>1348</v>
      </c>
      <c r="B1349" s="3" t="n">
        <v>1347</v>
      </c>
      <c r="C1349" s="3" t="n">
        <v>6</v>
      </c>
      <c r="D1349" s="3" t="n">
        <v>12</v>
      </c>
      <c r="E1349" s="3" t="n">
        <v>3</v>
      </c>
      <c r="F1349" s="24" t="n">
        <v>0.263514072</v>
      </c>
    </row>
    <row r="1350" customFormat="false" ht="15" hidden="false" customHeight="false" outlineLevel="0" collapsed="false">
      <c r="A1350" s="3" t="n">
        <v>1349</v>
      </c>
      <c r="B1350" s="3" t="n">
        <v>1348</v>
      </c>
      <c r="C1350" s="3" t="n">
        <v>6</v>
      </c>
      <c r="D1350" s="3" t="n">
        <v>12</v>
      </c>
      <c r="E1350" s="3" t="n">
        <v>4</v>
      </c>
      <c r="F1350" s="24" t="n">
        <v>3.50031376</v>
      </c>
    </row>
    <row r="1351" customFormat="false" ht="15" hidden="false" customHeight="false" outlineLevel="0" collapsed="false">
      <c r="A1351" s="3" t="n">
        <v>1350</v>
      </c>
      <c r="B1351" s="3" t="n">
        <v>1349</v>
      </c>
      <c r="C1351" s="3" t="n">
        <v>6</v>
      </c>
      <c r="D1351" s="3" t="n">
        <v>12</v>
      </c>
      <c r="E1351" s="3" t="n">
        <v>5</v>
      </c>
      <c r="F1351" s="24" t="n">
        <v>1.5964601</v>
      </c>
    </row>
    <row r="1352" customFormat="false" ht="15" hidden="false" customHeight="false" outlineLevel="0" collapsed="false">
      <c r="A1352" s="3" t="n">
        <v>1351</v>
      </c>
      <c r="B1352" s="3" t="n">
        <v>1350</v>
      </c>
      <c r="C1352" s="3" t="n">
        <v>6</v>
      </c>
      <c r="D1352" s="3" t="n">
        <v>12</v>
      </c>
      <c r="E1352" s="3" t="n">
        <v>6</v>
      </c>
      <c r="F1352" s="24" t="n">
        <v>1.21739793</v>
      </c>
    </row>
    <row r="1353" customFormat="false" ht="15" hidden="false" customHeight="false" outlineLevel="0" collapsed="false">
      <c r="A1353" s="3" t="n">
        <v>1352</v>
      </c>
      <c r="B1353" s="3" t="n">
        <v>1351</v>
      </c>
      <c r="C1353" s="3" t="n">
        <v>6</v>
      </c>
      <c r="D1353" s="3" t="n">
        <v>12</v>
      </c>
      <c r="E1353" s="3" t="n">
        <v>7</v>
      </c>
      <c r="F1353" s="24" t="n">
        <v>0.633069277</v>
      </c>
    </row>
    <row r="1354" customFormat="false" ht="15" hidden="false" customHeight="false" outlineLevel="0" collapsed="false">
      <c r="A1354" s="3" t="n">
        <v>1353</v>
      </c>
      <c r="B1354" s="3" t="n">
        <v>1352</v>
      </c>
      <c r="C1354" s="3" t="n">
        <v>6</v>
      </c>
      <c r="D1354" s="3" t="n">
        <v>12</v>
      </c>
      <c r="E1354" s="3" t="n">
        <v>8</v>
      </c>
      <c r="F1354" s="24" t="n">
        <v>-1.13702774</v>
      </c>
    </row>
    <row r="1355" customFormat="false" ht="15" hidden="false" customHeight="false" outlineLevel="0" collapsed="false">
      <c r="A1355" s="3" t="n">
        <v>1354</v>
      </c>
      <c r="B1355" s="3" t="n">
        <v>1353</v>
      </c>
      <c r="C1355" s="3" t="n">
        <v>6</v>
      </c>
      <c r="D1355" s="3" t="n">
        <v>12</v>
      </c>
      <c r="E1355" s="3" t="n">
        <v>9</v>
      </c>
      <c r="F1355" s="24" t="n">
        <v>-0.313854128</v>
      </c>
    </row>
    <row r="1356" customFormat="false" ht="15" hidden="false" customHeight="false" outlineLevel="0" collapsed="false">
      <c r="A1356" s="3" t="n">
        <v>1355</v>
      </c>
      <c r="B1356" s="3" t="n">
        <v>1354</v>
      </c>
      <c r="C1356" s="3" t="n">
        <v>6</v>
      </c>
      <c r="D1356" s="3" t="n">
        <v>12</v>
      </c>
      <c r="E1356" s="3" t="n">
        <v>10</v>
      </c>
      <c r="F1356" s="24" t="n">
        <v>-0.158579454</v>
      </c>
    </row>
    <row r="1357" customFormat="false" ht="15" hidden="false" customHeight="false" outlineLevel="0" collapsed="false">
      <c r="A1357" s="3" t="n">
        <v>1356</v>
      </c>
      <c r="B1357" s="3" t="n">
        <v>1355</v>
      </c>
      <c r="C1357" s="3" t="n">
        <v>6</v>
      </c>
      <c r="D1357" s="3" t="n">
        <v>12</v>
      </c>
      <c r="E1357" s="3" t="n">
        <v>11</v>
      </c>
      <c r="F1357" s="24" t="n">
        <v>-0.158579454</v>
      </c>
    </row>
    <row r="1358" customFormat="false" ht="15" hidden="false" customHeight="false" outlineLevel="0" collapsed="false">
      <c r="A1358" s="3" t="n">
        <v>1357</v>
      </c>
      <c r="B1358" s="3" t="n">
        <v>1356</v>
      </c>
      <c r="C1358" s="3" t="n">
        <v>6</v>
      </c>
      <c r="D1358" s="3" t="n">
        <v>12</v>
      </c>
      <c r="E1358" s="3" t="n">
        <v>12</v>
      </c>
      <c r="F1358" s="24" t="n">
        <v>-0.215395182</v>
      </c>
    </row>
    <row r="1359" customFormat="false" ht="15" hidden="false" customHeight="false" outlineLevel="0" collapsed="false">
      <c r="A1359" s="3" t="n">
        <v>1358</v>
      </c>
      <c r="B1359" s="3" t="n">
        <v>1357</v>
      </c>
      <c r="C1359" s="3" t="n">
        <v>6</v>
      </c>
      <c r="D1359" s="3" t="n">
        <v>12</v>
      </c>
      <c r="E1359" s="3" t="n">
        <v>13</v>
      </c>
      <c r="F1359" s="24" t="n">
        <v>-0.547208905</v>
      </c>
    </row>
    <row r="1360" customFormat="false" ht="15" hidden="false" customHeight="false" outlineLevel="0" collapsed="false">
      <c r="A1360" s="3" t="n">
        <v>1359</v>
      </c>
      <c r="B1360" s="3" t="n">
        <v>1358</v>
      </c>
      <c r="C1360" s="3" t="n">
        <v>6</v>
      </c>
      <c r="D1360" s="3" t="n">
        <v>13</v>
      </c>
      <c r="E1360" s="3" t="n">
        <v>0</v>
      </c>
      <c r="F1360" s="24" t="n">
        <v>0.102498293</v>
      </c>
    </row>
    <row r="1361" customFormat="false" ht="15" hidden="false" customHeight="false" outlineLevel="0" collapsed="false">
      <c r="A1361" s="3" t="n">
        <v>1360</v>
      </c>
      <c r="B1361" s="3" t="n">
        <v>1359</v>
      </c>
      <c r="C1361" s="3" t="n">
        <v>6</v>
      </c>
      <c r="D1361" s="3" t="n">
        <v>13</v>
      </c>
      <c r="E1361" s="3" t="n">
        <v>1</v>
      </c>
      <c r="F1361" s="24" t="n">
        <v>-0.0841945112</v>
      </c>
    </row>
    <row r="1362" customFormat="false" ht="15" hidden="false" customHeight="false" outlineLevel="0" collapsed="false">
      <c r="A1362" s="3" t="n">
        <v>1361</v>
      </c>
      <c r="B1362" s="3" t="n">
        <v>1360</v>
      </c>
      <c r="C1362" s="3" t="n">
        <v>6</v>
      </c>
      <c r="D1362" s="3" t="n">
        <v>13</v>
      </c>
      <c r="E1362" s="3" t="n">
        <v>2</v>
      </c>
      <c r="F1362" s="24" t="n">
        <v>-0.0693774819</v>
      </c>
    </row>
    <row r="1363" customFormat="false" ht="15" hidden="false" customHeight="false" outlineLevel="0" collapsed="false">
      <c r="A1363" s="3" t="n">
        <v>1362</v>
      </c>
      <c r="B1363" s="3" t="n">
        <v>1361</v>
      </c>
      <c r="C1363" s="3" t="n">
        <v>6</v>
      </c>
      <c r="D1363" s="3" t="n">
        <v>13</v>
      </c>
      <c r="E1363" s="3" t="n">
        <v>3</v>
      </c>
      <c r="F1363" s="24" t="n">
        <v>0.474163979</v>
      </c>
    </row>
    <row r="1364" customFormat="false" ht="15" hidden="false" customHeight="false" outlineLevel="0" collapsed="false">
      <c r="A1364" s="3" t="n">
        <v>1363</v>
      </c>
      <c r="B1364" s="3" t="n">
        <v>1362</v>
      </c>
      <c r="C1364" s="3" t="n">
        <v>6</v>
      </c>
      <c r="D1364" s="3" t="n">
        <v>13</v>
      </c>
      <c r="E1364" s="3" t="n">
        <v>4</v>
      </c>
      <c r="F1364" s="24" t="n">
        <v>-0.427850187</v>
      </c>
    </row>
    <row r="1365" customFormat="false" ht="15" hidden="false" customHeight="false" outlineLevel="0" collapsed="false">
      <c r="A1365" s="3" t="n">
        <v>1364</v>
      </c>
      <c r="B1365" s="3" t="n">
        <v>1363</v>
      </c>
      <c r="C1365" s="3" t="n">
        <v>6</v>
      </c>
      <c r="D1365" s="3" t="n">
        <v>13</v>
      </c>
      <c r="E1365" s="3" t="n">
        <v>5</v>
      </c>
      <c r="F1365" s="24" t="n">
        <v>-4.86092234</v>
      </c>
    </row>
    <row r="1366" customFormat="false" ht="15" hidden="false" customHeight="false" outlineLevel="0" collapsed="false">
      <c r="A1366" s="3" t="n">
        <v>1365</v>
      </c>
      <c r="B1366" s="3" t="n">
        <v>1364</v>
      </c>
      <c r="C1366" s="3" t="n">
        <v>6</v>
      </c>
      <c r="D1366" s="3" t="n">
        <v>13</v>
      </c>
      <c r="E1366" s="3" t="n">
        <v>6</v>
      </c>
      <c r="F1366" s="24" t="n">
        <v>-2.67723632</v>
      </c>
    </row>
    <row r="1367" customFormat="false" ht="15" hidden="false" customHeight="false" outlineLevel="0" collapsed="false">
      <c r="A1367" s="3" t="n">
        <v>1366</v>
      </c>
      <c r="B1367" s="3" t="n">
        <v>1365</v>
      </c>
      <c r="C1367" s="3" t="n">
        <v>6</v>
      </c>
      <c r="D1367" s="3" t="n">
        <v>13</v>
      </c>
      <c r="E1367" s="3" t="n">
        <v>7</v>
      </c>
      <c r="F1367" s="24" t="n">
        <v>-1.96010888</v>
      </c>
    </row>
    <row r="1368" customFormat="false" ht="15" hidden="false" customHeight="false" outlineLevel="0" collapsed="false">
      <c r="A1368" s="3" t="n">
        <v>1367</v>
      </c>
      <c r="B1368" s="3" t="n">
        <v>1366</v>
      </c>
      <c r="C1368" s="3" t="n">
        <v>6</v>
      </c>
      <c r="D1368" s="3" t="n">
        <v>13</v>
      </c>
      <c r="E1368" s="3" t="n">
        <v>8</v>
      </c>
      <c r="F1368" s="24" t="n">
        <v>-1.20204604</v>
      </c>
    </row>
    <row r="1369" customFormat="false" ht="15" hidden="false" customHeight="false" outlineLevel="0" collapsed="false">
      <c r="A1369" s="3" t="n">
        <v>1368</v>
      </c>
      <c r="B1369" s="3" t="n">
        <v>1367</v>
      </c>
      <c r="C1369" s="3" t="n">
        <v>6</v>
      </c>
      <c r="D1369" s="3" t="n">
        <v>13</v>
      </c>
      <c r="E1369" s="3" t="n">
        <v>9</v>
      </c>
      <c r="F1369" s="24" t="n">
        <v>-0.0693774819</v>
      </c>
    </row>
    <row r="1370" customFormat="false" ht="15" hidden="false" customHeight="false" outlineLevel="0" collapsed="false">
      <c r="A1370" s="3" t="n">
        <v>1369</v>
      </c>
      <c r="B1370" s="3" t="n">
        <v>1368</v>
      </c>
      <c r="C1370" s="3" t="n">
        <v>6</v>
      </c>
      <c r="D1370" s="3" t="n">
        <v>13</v>
      </c>
      <c r="E1370" s="3" t="n">
        <v>10</v>
      </c>
      <c r="F1370" s="24" t="n">
        <v>-0.0693774819</v>
      </c>
    </row>
    <row r="1371" customFormat="false" ht="15" hidden="false" customHeight="false" outlineLevel="0" collapsed="false">
      <c r="A1371" s="3" t="n">
        <v>1370</v>
      </c>
      <c r="B1371" s="3" t="n">
        <v>1369</v>
      </c>
      <c r="C1371" s="3" t="n">
        <v>6</v>
      </c>
      <c r="D1371" s="3" t="n">
        <v>13</v>
      </c>
      <c r="E1371" s="3" t="n">
        <v>11</v>
      </c>
      <c r="F1371" s="24" t="n">
        <v>-0.0693774819</v>
      </c>
    </row>
    <row r="1372" customFormat="false" ht="15" hidden="false" customHeight="false" outlineLevel="0" collapsed="false">
      <c r="A1372" s="3" t="n">
        <v>1371</v>
      </c>
      <c r="B1372" s="3" t="n">
        <v>1370</v>
      </c>
      <c r="C1372" s="3" t="n">
        <v>6</v>
      </c>
      <c r="D1372" s="3" t="n">
        <v>13</v>
      </c>
      <c r="E1372" s="3" t="n">
        <v>12</v>
      </c>
      <c r="F1372" s="24" t="n">
        <v>0.0820699632</v>
      </c>
    </row>
    <row r="1373" customFormat="false" ht="15" hidden="false" customHeight="false" outlineLevel="0" collapsed="false">
      <c r="A1373" s="3" t="n">
        <v>1372</v>
      </c>
      <c r="B1373" s="3" t="n">
        <v>1371</v>
      </c>
      <c r="C1373" s="3" t="n">
        <v>6</v>
      </c>
      <c r="D1373" s="3" t="n">
        <v>13</v>
      </c>
      <c r="E1373" s="3" t="n">
        <v>13</v>
      </c>
      <c r="F1373" s="24" t="n">
        <v>-0.411713243</v>
      </c>
    </row>
    <row r="1374" customFormat="false" ht="15" hidden="false" customHeight="false" outlineLevel="0" collapsed="false">
      <c r="A1374" s="3" t="n">
        <v>1373</v>
      </c>
      <c r="B1374" s="3" t="n">
        <v>1372</v>
      </c>
      <c r="C1374" s="3" t="n">
        <v>7</v>
      </c>
      <c r="D1374" s="3" t="n">
        <v>0</v>
      </c>
      <c r="E1374" s="3" t="n">
        <v>0</v>
      </c>
      <c r="F1374" s="24" t="n">
        <v>-0.589269876</v>
      </c>
    </row>
    <row r="1375" customFormat="false" ht="15" hidden="false" customHeight="false" outlineLevel="0" collapsed="false">
      <c r="A1375" s="3" t="n">
        <v>1374</v>
      </c>
      <c r="B1375" s="3" t="n">
        <v>1373</v>
      </c>
      <c r="C1375" s="3" t="n">
        <v>7</v>
      </c>
      <c r="D1375" s="3" t="n">
        <v>0</v>
      </c>
      <c r="E1375" s="3" t="n">
        <v>1</v>
      </c>
      <c r="F1375" s="24" t="n">
        <v>-0.372013927</v>
      </c>
    </row>
    <row r="1376" customFormat="false" ht="15" hidden="false" customHeight="false" outlineLevel="0" collapsed="false">
      <c r="A1376" s="3" t="n">
        <v>1375</v>
      </c>
      <c r="B1376" s="3" t="n">
        <v>1374</v>
      </c>
      <c r="C1376" s="3" t="n">
        <v>7</v>
      </c>
      <c r="D1376" s="3" t="n">
        <v>0</v>
      </c>
      <c r="E1376" s="3" t="n">
        <v>2</v>
      </c>
      <c r="F1376" s="24" t="n">
        <v>-0.595892191</v>
      </c>
    </row>
    <row r="1377" customFormat="false" ht="15" hidden="false" customHeight="false" outlineLevel="0" collapsed="false">
      <c r="A1377" s="3" t="n">
        <v>1376</v>
      </c>
      <c r="B1377" s="3" t="n">
        <v>1375</v>
      </c>
      <c r="C1377" s="3" t="n">
        <v>7</v>
      </c>
      <c r="D1377" s="3" t="n">
        <v>0</v>
      </c>
      <c r="E1377" s="3" t="n">
        <v>3</v>
      </c>
      <c r="F1377" s="24" t="n">
        <v>-0.595892191</v>
      </c>
    </row>
    <row r="1378" customFormat="false" ht="15" hidden="false" customHeight="false" outlineLevel="0" collapsed="false">
      <c r="A1378" s="3" t="n">
        <v>1377</v>
      </c>
      <c r="B1378" s="3" t="n">
        <v>1376</v>
      </c>
      <c r="C1378" s="3" t="n">
        <v>7</v>
      </c>
      <c r="D1378" s="3" t="n">
        <v>0</v>
      </c>
      <c r="E1378" s="3" t="n">
        <v>4</v>
      </c>
      <c r="F1378" s="24" t="n">
        <v>-0.595892191</v>
      </c>
    </row>
    <row r="1379" customFormat="false" ht="15" hidden="false" customHeight="false" outlineLevel="0" collapsed="false">
      <c r="A1379" s="3" t="n">
        <v>1378</v>
      </c>
      <c r="B1379" s="3" t="n">
        <v>1377</v>
      </c>
      <c r="C1379" s="3" t="n">
        <v>7</v>
      </c>
      <c r="D1379" s="3" t="n">
        <v>0</v>
      </c>
      <c r="E1379" s="3" t="n">
        <v>5</v>
      </c>
      <c r="F1379" s="24" t="n">
        <v>-0.595892191</v>
      </c>
    </row>
    <row r="1380" customFormat="false" ht="15" hidden="false" customHeight="false" outlineLevel="0" collapsed="false">
      <c r="A1380" s="3" t="n">
        <v>1379</v>
      </c>
      <c r="B1380" s="3" t="n">
        <v>1378</v>
      </c>
      <c r="C1380" s="3" t="n">
        <v>7</v>
      </c>
      <c r="D1380" s="3" t="n">
        <v>0</v>
      </c>
      <c r="E1380" s="3" t="n">
        <v>6</v>
      </c>
      <c r="F1380" s="24" t="n">
        <v>-0.595892191</v>
      </c>
    </row>
    <row r="1381" customFormat="false" ht="15" hidden="false" customHeight="false" outlineLevel="0" collapsed="false">
      <c r="A1381" s="3" t="n">
        <v>1380</v>
      </c>
      <c r="B1381" s="3" t="n">
        <v>1379</v>
      </c>
      <c r="C1381" s="3" t="n">
        <v>7</v>
      </c>
      <c r="D1381" s="3" t="n">
        <v>0</v>
      </c>
      <c r="E1381" s="3" t="n">
        <v>7</v>
      </c>
      <c r="F1381" s="24" t="n">
        <v>-0.595892191</v>
      </c>
    </row>
    <row r="1382" customFormat="false" ht="15" hidden="false" customHeight="false" outlineLevel="0" collapsed="false">
      <c r="A1382" s="3" t="n">
        <v>1381</v>
      </c>
      <c r="B1382" s="3" t="n">
        <v>1380</v>
      </c>
      <c r="C1382" s="3" t="n">
        <v>7</v>
      </c>
      <c r="D1382" s="3" t="n">
        <v>0</v>
      </c>
      <c r="E1382" s="3" t="n">
        <v>8</v>
      </c>
      <c r="F1382" s="24" t="n">
        <v>-0.595892191</v>
      </c>
    </row>
    <row r="1383" customFormat="false" ht="15" hidden="false" customHeight="false" outlineLevel="0" collapsed="false">
      <c r="A1383" s="3" t="n">
        <v>1382</v>
      </c>
      <c r="B1383" s="3" t="n">
        <v>1381</v>
      </c>
      <c r="C1383" s="3" t="n">
        <v>7</v>
      </c>
      <c r="D1383" s="3" t="n">
        <v>0</v>
      </c>
      <c r="E1383" s="3" t="n">
        <v>9</v>
      </c>
      <c r="F1383" s="24" t="n">
        <v>-0.595892191</v>
      </c>
    </row>
    <row r="1384" customFormat="false" ht="15" hidden="false" customHeight="false" outlineLevel="0" collapsed="false">
      <c r="A1384" s="3" t="n">
        <v>1383</v>
      </c>
      <c r="B1384" s="3" t="n">
        <v>1382</v>
      </c>
      <c r="C1384" s="3" t="n">
        <v>7</v>
      </c>
      <c r="D1384" s="3" t="n">
        <v>0</v>
      </c>
      <c r="E1384" s="3" t="n">
        <v>10</v>
      </c>
      <c r="F1384" s="24" t="n">
        <v>-0.595892191</v>
      </c>
    </row>
    <row r="1385" customFormat="false" ht="15" hidden="false" customHeight="false" outlineLevel="0" collapsed="false">
      <c r="A1385" s="3" t="n">
        <v>1384</v>
      </c>
      <c r="B1385" s="3" t="n">
        <v>1383</v>
      </c>
      <c r="C1385" s="3" t="n">
        <v>7</v>
      </c>
      <c r="D1385" s="3" t="n">
        <v>0</v>
      </c>
      <c r="E1385" s="3" t="n">
        <v>11</v>
      </c>
      <c r="F1385" s="24" t="n">
        <v>-0.595892191</v>
      </c>
    </row>
    <row r="1386" customFormat="false" ht="15" hidden="false" customHeight="false" outlineLevel="0" collapsed="false">
      <c r="A1386" s="3" t="n">
        <v>1385</v>
      </c>
      <c r="B1386" s="3" t="n">
        <v>1384</v>
      </c>
      <c r="C1386" s="3" t="n">
        <v>7</v>
      </c>
      <c r="D1386" s="3" t="n">
        <v>0</v>
      </c>
      <c r="E1386" s="3" t="n">
        <v>12</v>
      </c>
      <c r="F1386" s="24" t="n">
        <v>-0.677219927</v>
      </c>
    </row>
    <row r="1387" customFormat="false" ht="15" hidden="false" customHeight="false" outlineLevel="0" collapsed="false">
      <c r="A1387" s="3" t="n">
        <v>1386</v>
      </c>
      <c r="B1387" s="3" t="n">
        <v>1385</v>
      </c>
      <c r="C1387" s="3" t="n">
        <v>7</v>
      </c>
      <c r="D1387" s="3" t="n">
        <v>0</v>
      </c>
      <c r="E1387" s="3" t="n">
        <v>13</v>
      </c>
      <c r="F1387" s="24" t="n">
        <v>-0.392259955</v>
      </c>
    </row>
    <row r="1388" customFormat="false" ht="15" hidden="false" customHeight="false" outlineLevel="0" collapsed="false">
      <c r="A1388" s="3" t="n">
        <v>1387</v>
      </c>
      <c r="B1388" s="3" t="n">
        <v>1386</v>
      </c>
      <c r="C1388" s="3" t="n">
        <v>7</v>
      </c>
      <c r="D1388" s="3" t="n">
        <v>1</v>
      </c>
      <c r="E1388" s="3" t="n">
        <v>0</v>
      </c>
      <c r="F1388" s="24" t="n">
        <v>-0.577143312</v>
      </c>
    </row>
    <row r="1389" customFormat="false" ht="15" hidden="false" customHeight="false" outlineLevel="0" collapsed="false">
      <c r="A1389" s="3" t="n">
        <v>1388</v>
      </c>
      <c r="B1389" s="3" t="n">
        <v>1387</v>
      </c>
      <c r="C1389" s="3" t="n">
        <v>7</v>
      </c>
      <c r="D1389" s="3" t="n">
        <v>1</v>
      </c>
      <c r="E1389" s="3" t="n">
        <v>1</v>
      </c>
      <c r="F1389" s="24" t="n">
        <v>-0.487564147</v>
      </c>
    </row>
    <row r="1390" customFormat="false" ht="15" hidden="false" customHeight="false" outlineLevel="0" collapsed="false">
      <c r="A1390" s="3" t="n">
        <v>1389</v>
      </c>
      <c r="B1390" s="3" t="n">
        <v>1388</v>
      </c>
      <c r="C1390" s="3" t="n">
        <v>7</v>
      </c>
      <c r="D1390" s="3" t="n">
        <v>1</v>
      </c>
      <c r="E1390" s="3" t="n">
        <v>2</v>
      </c>
      <c r="F1390" s="24" t="n">
        <v>-0.582188785</v>
      </c>
    </row>
    <row r="1391" customFormat="false" ht="15" hidden="false" customHeight="false" outlineLevel="0" collapsed="false">
      <c r="A1391" s="3" t="n">
        <v>1390</v>
      </c>
      <c r="B1391" s="3" t="n">
        <v>1389</v>
      </c>
      <c r="C1391" s="3" t="n">
        <v>7</v>
      </c>
      <c r="D1391" s="3" t="n">
        <v>1</v>
      </c>
      <c r="E1391" s="3" t="n">
        <v>3</v>
      </c>
      <c r="F1391" s="24" t="n">
        <v>-0.582188785</v>
      </c>
    </row>
    <row r="1392" customFormat="false" ht="15" hidden="false" customHeight="false" outlineLevel="0" collapsed="false">
      <c r="A1392" s="3" t="n">
        <v>1391</v>
      </c>
      <c r="B1392" s="3" t="n">
        <v>1390</v>
      </c>
      <c r="C1392" s="3" t="n">
        <v>7</v>
      </c>
      <c r="D1392" s="3" t="n">
        <v>1</v>
      </c>
      <c r="E1392" s="3" t="n">
        <v>4</v>
      </c>
      <c r="F1392" s="24" t="n">
        <v>-0.582188785</v>
      </c>
    </row>
    <row r="1393" customFormat="false" ht="15" hidden="false" customHeight="false" outlineLevel="0" collapsed="false">
      <c r="A1393" s="3" t="n">
        <v>1392</v>
      </c>
      <c r="B1393" s="3" t="n">
        <v>1391</v>
      </c>
      <c r="C1393" s="3" t="n">
        <v>7</v>
      </c>
      <c r="D1393" s="3" t="n">
        <v>1</v>
      </c>
      <c r="E1393" s="3" t="n">
        <v>5</v>
      </c>
      <c r="F1393" s="24" t="n">
        <v>-0.582188785</v>
      </c>
    </row>
    <row r="1394" customFormat="false" ht="15" hidden="false" customHeight="false" outlineLevel="0" collapsed="false">
      <c r="A1394" s="3" t="n">
        <v>1393</v>
      </c>
      <c r="B1394" s="3" t="n">
        <v>1392</v>
      </c>
      <c r="C1394" s="3" t="n">
        <v>7</v>
      </c>
      <c r="D1394" s="3" t="n">
        <v>1</v>
      </c>
      <c r="E1394" s="3" t="n">
        <v>6</v>
      </c>
      <c r="F1394" s="24" t="n">
        <v>-0.582188785</v>
      </c>
    </row>
    <row r="1395" customFormat="false" ht="15" hidden="false" customHeight="false" outlineLevel="0" collapsed="false">
      <c r="A1395" s="3" t="n">
        <v>1394</v>
      </c>
      <c r="B1395" s="3" t="n">
        <v>1393</v>
      </c>
      <c r="C1395" s="3" t="n">
        <v>7</v>
      </c>
      <c r="D1395" s="3" t="n">
        <v>1</v>
      </c>
      <c r="E1395" s="3" t="n">
        <v>7</v>
      </c>
      <c r="F1395" s="24" t="n">
        <v>-0.582188785</v>
      </c>
    </row>
    <row r="1396" customFormat="false" ht="15" hidden="false" customHeight="false" outlineLevel="0" collapsed="false">
      <c r="A1396" s="3" t="n">
        <v>1395</v>
      </c>
      <c r="B1396" s="3" t="n">
        <v>1394</v>
      </c>
      <c r="C1396" s="3" t="n">
        <v>7</v>
      </c>
      <c r="D1396" s="3" t="n">
        <v>1</v>
      </c>
      <c r="E1396" s="3" t="n">
        <v>8</v>
      </c>
      <c r="F1396" s="24" t="n">
        <v>-0.582188785</v>
      </c>
    </row>
    <row r="1397" customFormat="false" ht="15" hidden="false" customHeight="false" outlineLevel="0" collapsed="false">
      <c r="A1397" s="3" t="n">
        <v>1396</v>
      </c>
      <c r="B1397" s="3" t="n">
        <v>1395</v>
      </c>
      <c r="C1397" s="3" t="n">
        <v>7</v>
      </c>
      <c r="D1397" s="3" t="n">
        <v>1</v>
      </c>
      <c r="E1397" s="3" t="n">
        <v>9</v>
      </c>
      <c r="F1397" s="24" t="n">
        <v>-0.582188785</v>
      </c>
    </row>
    <row r="1398" customFormat="false" ht="15" hidden="false" customHeight="false" outlineLevel="0" collapsed="false">
      <c r="A1398" s="3" t="n">
        <v>1397</v>
      </c>
      <c r="B1398" s="3" t="n">
        <v>1396</v>
      </c>
      <c r="C1398" s="3" t="n">
        <v>7</v>
      </c>
      <c r="D1398" s="3" t="n">
        <v>1</v>
      </c>
      <c r="E1398" s="3" t="n">
        <v>10</v>
      </c>
      <c r="F1398" s="24" t="n">
        <v>-0.582188785</v>
      </c>
    </row>
    <row r="1399" customFormat="false" ht="15" hidden="false" customHeight="false" outlineLevel="0" collapsed="false">
      <c r="A1399" s="3" t="n">
        <v>1398</v>
      </c>
      <c r="B1399" s="3" t="n">
        <v>1397</v>
      </c>
      <c r="C1399" s="3" t="n">
        <v>7</v>
      </c>
      <c r="D1399" s="3" t="n">
        <v>1</v>
      </c>
      <c r="E1399" s="3" t="n">
        <v>11</v>
      </c>
      <c r="F1399" s="24" t="n">
        <v>-0.582188785</v>
      </c>
    </row>
    <row r="1400" customFormat="false" ht="15" hidden="false" customHeight="false" outlineLevel="0" collapsed="false">
      <c r="A1400" s="3" t="n">
        <v>1399</v>
      </c>
      <c r="B1400" s="3" t="n">
        <v>1398</v>
      </c>
      <c r="C1400" s="3" t="n">
        <v>7</v>
      </c>
      <c r="D1400" s="3" t="n">
        <v>1</v>
      </c>
      <c r="E1400" s="3" t="n">
        <v>12</v>
      </c>
      <c r="F1400" s="24" t="n">
        <v>-0.549798489</v>
      </c>
    </row>
    <row r="1401" customFormat="false" ht="15" hidden="false" customHeight="false" outlineLevel="0" collapsed="false">
      <c r="A1401" s="3" t="n">
        <v>1400</v>
      </c>
      <c r="B1401" s="3" t="n">
        <v>1399</v>
      </c>
      <c r="C1401" s="3" t="n">
        <v>7</v>
      </c>
      <c r="D1401" s="3" t="n">
        <v>1</v>
      </c>
      <c r="E1401" s="3" t="n">
        <v>13</v>
      </c>
      <c r="F1401" s="24" t="n">
        <v>-0.201675117</v>
      </c>
    </row>
    <row r="1402" customFormat="false" ht="15" hidden="false" customHeight="false" outlineLevel="0" collapsed="false">
      <c r="A1402" s="3" t="n">
        <v>1401</v>
      </c>
      <c r="B1402" s="3" t="n">
        <v>1400</v>
      </c>
      <c r="C1402" s="3" t="n">
        <v>7</v>
      </c>
      <c r="D1402" s="3" t="n">
        <v>2</v>
      </c>
      <c r="E1402" s="3" t="n">
        <v>0</v>
      </c>
      <c r="F1402" s="24" t="n">
        <v>-0.637213945</v>
      </c>
    </row>
    <row r="1403" customFormat="false" ht="15" hidden="false" customHeight="false" outlineLevel="0" collapsed="false">
      <c r="A1403" s="3" t="n">
        <v>1402</v>
      </c>
      <c r="B1403" s="3" t="n">
        <v>1401</v>
      </c>
      <c r="C1403" s="3" t="n">
        <v>7</v>
      </c>
      <c r="D1403" s="3" t="n">
        <v>2</v>
      </c>
      <c r="E1403" s="3" t="n">
        <v>1</v>
      </c>
      <c r="F1403" s="24" t="n">
        <v>-0.525919318</v>
      </c>
    </row>
    <row r="1404" customFormat="false" ht="15" hidden="false" customHeight="false" outlineLevel="0" collapsed="false">
      <c r="A1404" s="3" t="n">
        <v>1403</v>
      </c>
      <c r="B1404" s="3" t="n">
        <v>1402</v>
      </c>
      <c r="C1404" s="3" t="n">
        <v>7</v>
      </c>
      <c r="D1404" s="3" t="n">
        <v>2</v>
      </c>
      <c r="E1404" s="3" t="n">
        <v>2</v>
      </c>
      <c r="F1404" s="24" t="n">
        <v>0.703762412</v>
      </c>
    </row>
    <row r="1405" customFormat="false" ht="15" hidden="false" customHeight="false" outlineLevel="0" collapsed="false">
      <c r="A1405" s="3" t="n">
        <v>1404</v>
      </c>
      <c r="B1405" s="3" t="n">
        <v>1403</v>
      </c>
      <c r="C1405" s="3" t="n">
        <v>7</v>
      </c>
      <c r="D1405" s="3" t="n">
        <v>2</v>
      </c>
      <c r="E1405" s="3" t="n">
        <v>3</v>
      </c>
      <c r="F1405" s="24" t="n">
        <v>3.57920623</v>
      </c>
    </row>
    <row r="1406" customFormat="false" ht="15" hidden="false" customHeight="false" outlineLevel="0" collapsed="false">
      <c r="A1406" s="3" t="n">
        <v>1405</v>
      </c>
      <c r="B1406" s="3" t="n">
        <v>1404</v>
      </c>
      <c r="C1406" s="3" t="n">
        <v>7</v>
      </c>
      <c r="D1406" s="3" t="n">
        <v>2</v>
      </c>
      <c r="E1406" s="3" t="n">
        <v>4</v>
      </c>
      <c r="F1406" s="24" t="n">
        <v>5.56494522</v>
      </c>
    </row>
    <row r="1407" customFormat="false" ht="15" hidden="false" customHeight="false" outlineLevel="0" collapsed="false">
      <c r="A1407" s="3" t="n">
        <v>1406</v>
      </c>
      <c r="B1407" s="3" t="n">
        <v>1405</v>
      </c>
      <c r="C1407" s="3" t="n">
        <v>7</v>
      </c>
      <c r="D1407" s="3" t="n">
        <v>2</v>
      </c>
      <c r="E1407" s="3" t="n">
        <v>5</v>
      </c>
      <c r="F1407" s="24" t="n">
        <v>3.6890893</v>
      </c>
    </row>
    <row r="1408" customFormat="false" ht="15" hidden="false" customHeight="false" outlineLevel="0" collapsed="false">
      <c r="A1408" s="3" t="n">
        <v>1407</v>
      </c>
      <c r="B1408" s="3" t="n">
        <v>1406</v>
      </c>
      <c r="C1408" s="3" t="n">
        <v>7</v>
      </c>
      <c r="D1408" s="3" t="n">
        <v>2</v>
      </c>
      <c r="E1408" s="3" t="n">
        <v>6</v>
      </c>
      <c r="F1408" s="24" t="n">
        <v>2.27690434</v>
      </c>
    </row>
    <row r="1409" customFormat="false" ht="15" hidden="false" customHeight="false" outlineLevel="0" collapsed="false">
      <c r="A1409" s="3" t="n">
        <v>1408</v>
      </c>
      <c r="B1409" s="3" t="n">
        <v>1407</v>
      </c>
      <c r="C1409" s="3" t="n">
        <v>7</v>
      </c>
      <c r="D1409" s="3" t="n">
        <v>2</v>
      </c>
      <c r="E1409" s="3" t="n">
        <v>7</v>
      </c>
      <c r="F1409" s="24" t="n">
        <v>1.94962168</v>
      </c>
    </row>
    <row r="1410" customFormat="false" ht="15" hidden="false" customHeight="false" outlineLevel="0" collapsed="false">
      <c r="A1410" s="3" t="n">
        <v>1409</v>
      </c>
      <c r="B1410" s="3" t="n">
        <v>1408</v>
      </c>
      <c r="C1410" s="3" t="n">
        <v>7</v>
      </c>
      <c r="D1410" s="3" t="n">
        <v>2</v>
      </c>
      <c r="E1410" s="3" t="n">
        <v>8</v>
      </c>
      <c r="F1410" s="24" t="n">
        <v>1.90121365</v>
      </c>
    </row>
    <row r="1411" customFormat="false" ht="15" hidden="false" customHeight="false" outlineLevel="0" collapsed="false">
      <c r="A1411" s="3" t="n">
        <v>1410</v>
      </c>
      <c r="B1411" s="3" t="n">
        <v>1409</v>
      </c>
      <c r="C1411" s="3" t="n">
        <v>7</v>
      </c>
      <c r="D1411" s="3" t="n">
        <v>2</v>
      </c>
      <c r="E1411" s="3" t="n">
        <v>9</v>
      </c>
      <c r="F1411" s="24" t="n">
        <v>1.58167458</v>
      </c>
    </row>
    <row r="1412" customFormat="false" ht="15" hidden="false" customHeight="false" outlineLevel="0" collapsed="false">
      <c r="A1412" s="3" t="n">
        <v>1411</v>
      </c>
      <c r="B1412" s="3" t="n">
        <v>1410</v>
      </c>
      <c r="C1412" s="3" t="n">
        <v>7</v>
      </c>
      <c r="D1412" s="3" t="n">
        <v>2</v>
      </c>
      <c r="E1412" s="3" t="n">
        <v>10</v>
      </c>
      <c r="F1412" s="24" t="n">
        <v>0.697397768</v>
      </c>
    </row>
    <row r="1413" customFormat="false" ht="15" hidden="false" customHeight="false" outlineLevel="0" collapsed="false">
      <c r="A1413" s="3" t="n">
        <v>1412</v>
      </c>
      <c r="B1413" s="3" t="n">
        <v>1411</v>
      </c>
      <c r="C1413" s="3" t="n">
        <v>7</v>
      </c>
      <c r="D1413" s="3" t="n">
        <v>2</v>
      </c>
      <c r="E1413" s="3" t="n">
        <v>11</v>
      </c>
      <c r="F1413" s="24" t="n">
        <v>-0.148528993</v>
      </c>
    </row>
    <row r="1414" customFormat="false" ht="15" hidden="false" customHeight="false" outlineLevel="0" collapsed="false">
      <c r="A1414" s="3" t="n">
        <v>1413</v>
      </c>
      <c r="B1414" s="3" t="n">
        <v>1412</v>
      </c>
      <c r="C1414" s="3" t="n">
        <v>7</v>
      </c>
      <c r="D1414" s="3" t="n">
        <v>2</v>
      </c>
      <c r="E1414" s="3" t="n">
        <v>12</v>
      </c>
      <c r="F1414" s="24" t="n">
        <v>-0.525588751</v>
      </c>
    </row>
    <row r="1415" customFormat="false" ht="15" hidden="false" customHeight="false" outlineLevel="0" collapsed="false">
      <c r="A1415" s="3" t="n">
        <v>1414</v>
      </c>
      <c r="B1415" s="3" t="n">
        <v>1413</v>
      </c>
      <c r="C1415" s="3" t="n">
        <v>7</v>
      </c>
      <c r="D1415" s="3" t="n">
        <v>2</v>
      </c>
      <c r="E1415" s="3" t="n">
        <v>13</v>
      </c>
      <c r="F1415" s="24" t="n">
        <v>-0.165425688</v>
      </c>
    </row>
    <row r="1416" customFormat="false" ht="15" hidden="false" customHeight="false" outlineLevel="0" collapsed="false">
      <c r="A1416" s="3" t="n">
        <v>1415</v>
      </c>
      <c r="B1416" s="3" t="n">
        <v>1414</v>
      </c>
      <c r="C1416" s="3" t="n">
        <v>7</v>
      </c>
      <c r="D1416" s="3" t="n">
        <v>3</v>
      </c>
      <c r="E1416" s="3" t="n">
        <v>0</v>
      </c>
      <c r="F1416" s="24" t="n">
        <v>-0.637213945</v>
      </c>
    </row>
    <row r="1417" customFormat="false" ht="15" hidden="false" customHeight="false" outlineLevel="0" collapsed="false">
      <c r="A1417" s="3" t="n">
        <v>1416</v>
      </c>
      <c r="B1417" s="3" t="n">
        <v>1415</v>
      </c>
      <c r="C1417" s="3" t="n">
        <v>7</v>
      </c>
      <c r="D1417" s="3" t="n">
        <v>3</v>
      </c>
      <c r="E1417" s="3" t="n">
        <v>1</v>
      </c>
      <c r="F1417" s="24" t="n">
        <v>-0.729429722</v>
      </c>
    </row>
    <row r="1418" customFormat="false" ht="15" hidden="false" customHeight="false" outlineLevel="0" collapsed="false">
      <c r="A1418" s="3" t="n">
        <v>1417</v>
      </c>
      <c r="B1418" s="3" t="n">
        <v>1416</v>
      </c>
      <c r="C1418" s="3" t="n">
        <v>7</v>
      </c>
      <c r="D1418" s="3" t="n">
        <v>3</v>
      </c>
      <c r="E1418" s="3" t="n">
        <v>2</v>
      </c>
      <c r="F1418" s="24" t="n">
        <v>-3.11869216</v>
      </c>
    </row>
    <row r="1419" customFormat="false" ht="15" hidden="false" customHeight="false" outlineLevel="0" collapsed="false">
      <c r="A1419" s="3" t="n">
        <v>1418</v>
      </c>
      <c r="B1419" s="3" t="n">
        <v>1417</v>
      </c>
      <c r="C1419" s="3" t="n">
        <v>7</v>
      </c>
      <c r="D1419" s="3" t="n">
        <v>3</v>
      </c>
      <c r="E1419" s="3" t="n">
        <v>3</v>
      </c>
      <c r="F1419" s="24" t="n">
        <v>-3.70050383</v>
      </c>
    </row>
    <row r="1420" customFormat="false" ht="15" hidden="false" customHeight="false" outlineLevel="0" collapsed="false">
      <c r="A1420" s="3" t="n">
        <v>1419</v>
      </c>
      <c r="B1420" s="3" t="n">
        <v>1418</v>
      </c>
      <c r="C1420" s="3" t="n">
        <v>7</v>
      </c>
      <c r="D1420" s="3" t="n">
        <v>3</v>
      </c>
      <c r="E1420" s="3" t="n">
        <v>4</v>
      </c>
      <c r="F1420" s="24" t="n">
        <v>4.97062969</v>
      </c>
    </row>
    <row r="1421" customFormat="false" ht="15" hidden="false" customHeight="false" outlineLevel="0" collapsed="false">
      <c r="A1421" s="3" t="n">
        <v>1420</v>
      </c>
      <c r="B1421" s="3" t="n">
        <v>1419</v>
      </c>
      <c r="C1421" s="3" t="n">
        <v>7</v>
      </c>
      <c r="D1421" s="3" t="n">
        <v>3</v>
      </c>
      <c r="E1421" s="3" t="n">
        <v>5</v>
      </c>
      <c r="F1421" s="24" t="n">
        <v>10.5120106</v>
      </c>
    </row>
    <row r="1422" customFormat="false" ht="15" hidden="false" customHeight="false" outlineLevel="0" collapsed="false">
      <c r="A1422" s="3" t="n">
        <v>1421</v>
      </c>
      <c r="B1422" s="3" t="n">
        <v>1420</v>
      </c>
      <c r="C1422" s="3" t="n">
        <v>7</v>
      </c>
      <c r="D1422" s="3" t="n">
        <v>3</v>
      </c>
      <c r="E1422" s="3" t="n">
        <v>6</v>
      </c>
      <c r="F1422" s="24" t="n">
        <v>10.9675512</v>
      </c>
    </row>
    <row r="1423" customFormat="false" ht="15" hidden="false" customHeight="false" outlineLevel="0" collapsed="false">
      <c r="A1423" s="3" t="n">
        <v>1422</v>
      </c>
      <c r="B1423" s="3" t="n">
        <v>1421</v>
      </c>
      <c r="C1423" s="3" t="n">
        <v>7</v>
      </c>
      <c r="D1423" s="3" t="n">
        <v>3</v>
      </c>
      <c r="E1423" s="3" t="n">
        <v>7</v>
      </c>
      <c r="F1423" s="24" t="n">
        <v>9.29100323</v>
      </c>
    </row>
    <row r="1424" customFormat="false" ht="15" hidden="false" customHeight="false" outlineLevel="0" collapsed="false">
      <c r="A1424" s="3" t="n">
        <v>1423</v>
      </c>
      <c r="B1424" s="3" t="n">
        <v>1422</v>
      </c>
      <c r="C1424" s="3" t="n">
        <v>7</v>
      </c>
      <c r="D1424" s="3" t="n">
        <v>3</v>
      </c>
      <c r="E1424" s="3" t="n">
        <v>8</v>
      </c>
      <c r="F1424" s="24" t="n">
        <v>8.45191193</v>
      </c>
    </row>
    <row r="1425" customFormat="false" ht="15" hidden="false" customHeight="false" outlineLevel="0" collapsed="false">
      <c r="A1425" s="3" t="n">
        <v>1424</v>
      </c>
      <c r="B1425" s="3" t="n">
        <v>1423</v>
      </c>
      <c r="C1425" s="3" t="n">
        <v>7</v>
      </c>
      <c r="D1425" s="3" t="n">
        <v>3</v>
      </c>
      <c r="E1425" s="3" t="n">
        <v>9</v>
      </c>
      <c r="F1425" s="24" t="n">
        <v>8.16796398</v>
      </c>
    </row>
    <row r="1426" customFormat="false" ht="15" hidden="false" customHeight="false" outlineLevel="0" collapsed="false">
      <c r="A1426" s="3" t="n">
        <v>1425</v>
      </c>
      <c r="B1426" s="3" t="n">
        <v>1424</v>
      </c>
      <c r="C1426" s="3" t="n">
        <v>7</v>
      </c>
      <c r="D1426" s="3" t="n">
        <v>3</v>
      </c>
      <c r="E1426" s="3" t="n">
        <v>10</v>
      </c>
      <c r="F1426" s="24" t="n">
        <v>7.4032445</v>
      </c>
    </row>
    <row r="1427" customFormat="false" ht="15" hidden="false" customHeight="false" outlineLevel="0" collapsed="false">
      <c r="A1427" s="3" t="n">
        <v>1426</v>
      </c>
      <c r="B1427" s="3" t="n">
        <v>1425</v>
      </c>
      <c r="C1427" s="3" t="n">
        <v>7</v>
      </c>
      <c r="D1427" s="3" t="n">
        <v>3</v>
      </c>
      <c r="E1427" s="3" t="n">
        <v>11</v>
      </c>
      <c r="F1427" s="24" t="n">
        <v>3.15862346</v>
      </c>
    </row>
    <row r="1428" customFormat="false" ht="15" hidden="false" customHeight="false" outlineLevel="0" collapsed="false">
      <c r="A1428" s="3" t="n">
        <v>1427</v>
      </c>
      <c r="B1428" s="3" t="n">
        <v>1426</v>
      </c>
      <c r="C1428" s="3" t="n">
        <v>7</v>
      </c>
      <c r="D1428" s="3" t="n">
        <v>3</v>
      </c>
      <c r="E1428" s="3" t="n">
        <v>12</v>
      </c>
      <c r="F1428" s="24" t="n">
        <v>-0.252436608</v>
      </c>
    </row>
    <row r="1429" customFormat="false" ht="15" hidden="false" customHeight="false" outlineLevel="0" collapsed="false">
      <c r="A1429" s="3" t="n">
        <v>1428</v>
      </c>
      <c r="B1429" s="3" t="n">
        <v>1427</v>
      </c>
      <c r="C1429" s="3" t="n">
        <v>7</v>
      </c>
      <c r="D1429" s="3" t="n">
        <v>3</v>
      </c>
      <c r="E1429" s="3" t="n">
        <v>13</v>
      </c>
      <c r="F1429" s="24" t="n">
        <v>-0.165425688</v>
      </c>
    </row>
    <row r="1430" customFormat="false" ht="15" hidden="false" customHeight="false" outlineLevel="0" collapsed="false">
      <c r="A1430" s="3" t="n">
        <v>1429</v>
      </c>
      <c r="B1430" s="3" t="n">
        <v>1428</v>
      </c>
      <c r="C1430" s="3" t="n">
        <v>7</v>
      </c>
      <c r="D1430" s="3" t="n">
        <v>4</v>
      </c>
      <c r="E1430" s="3" t="n">
        <v>0</v>
      </c>
      <c r="F1430" s="24" t="n">
        <v>-0.637213945</v>
      </c>
    </row>
    <row r="1431" customFormat="false" ht="15" hidden="false" customHeight="false" outlineLevel="0" collapsed="false">
      <c r="A1431" s="3" t="n">
        <v>1430</v>
      </c>
      <c r="B1431" s="3" t="n">
        <v>1429</v>
      </c>
      <c r="C1431" s="3" t="n">
        <v>7</v>
      </c>
      <c r="D1431" s="3" t="n">
        <v>4</v>
      </c>
      <c r="E1431" s="3" t="n">
        <v>1</v>
      </c>
      <c r="F1431" s="24" t="n">
        <v>-1.48164904</v>
      </c>
    </row>
    <row r="1432" customFormat="false" ht="15" hidden="false" customHeight="false" outlineLevel="0" collapsed="false">
      <c r="A1432" s="3" t="n">
        <v>1431</v>
      </c>
      <c r="B1432" s="3" t="n">
        <v>1430</v>
      </c>
      <c r="C1432" s="3" t="n">
        <v>7</v>
      </c>
      <c r="D1432" s="3" t="n">
        <v>4</v>
      </c>
      <c r="E1432" s="3" t="n">
        <v>2</v>
      </c>
      <c r="F1432" s="24" t="n">
        <v>-5.46423149</v>
      </c>
    </row>
    <row r="1433" customFormat="false" ht="15" hidden="false" customHeight="false" outlineLevel="0" collapsed="false">
      <c r="A1433" s="3" t="n">
        <v>1432</v>
      </c>
      <c r="B1433" s="3" t="n">
        <v>1431</v>
      </c>
      <c r="C1433" s="3" t="n">
        <v>7</v>
      </c>
      <c r="D1433" s="3" t="n">
        <v>4</v>
      </c>
      <c r="E1433" s="3" t="n">
        <v>3</v>
      </c>
      <c r="F1433" s="24" t="n">
        <v>-11.2281265</v>
      </c>
    </row>
    <row r="1434" customFormat="false" ht="15" hidden="false" customHeight="false" outlineLevel="0" collapsed="false">
      <c r="A1434" s="3" t="n">
        <v>1433</v>
      </c>
      <c r="B1434" s="3" t="n">
        <v>1432</v>
      </c>
      <c r="C1434" s="3" t="n">
        <v>7</v>
      </c>
      <c r="D1434" s="3" t="n">
        <v>4</v>
      </c>
      <c r="E1434" s="3" t="n">
        <v>4</v>
      </c>
      <c r="F1434" s="24" t="n">
        <v>-14.2889929</v>
      </c>
    </row>
    <row r="1435" customFormat="false" ht="15" hidden="false" customHeight="false" outlineLevel="0" collapsed="false">
      <c r="A1435" s="3" t="n">
        <v>1434</v>
      </c>
      <c r="B1435" s="3" t="n">
        <v>1433</v>
      </c>
      <c r="C1435" s="3" t="n">
        <v>7</v>
      </c>
      <c r="D1435" s="3" t="n">
        <v>4</v>
      </c>
      <c r="E1435" s="3" t="n">
        <v>5</v>
      </c>
      <c r="F1435" s="24" t="n">
        <v>-10.3156452</v>
      </c>
    </row>
    <row r="1436" customFormat="false" ht="15" hidden="false" customHeight="false" outlineLevel="0" collapsed="false">
      <c r="A1436" s="3" t="n">
        <v>1435</v>
      </c>
      <c r="B1436" s="3" t="n">
        <v>1434</v>
      </c>
      <c r="C1436" s="3" t="n">
        <v>7</v>
      </c>
      <c r="D1436" s="3" t="n">
        <v>4</v>
      </c>
      <c r="E1436" s="3" t="n">
        <v>6</v>
      </c>
      <c r="F1436" s="24" t="n">
        <v>-5.69393301</v>
      </c>
    </row>
    <row r="1437" customFormat="false" ht="15" hidden="false" customHeight="false" outlineLevel="0" collapsed="false">
      <c r="A1437" s="3" t="n">
        <v>1436</v>
      </c>
      <c r="B1437" s="3" t="n">
        <v>1435</v>
      </c>
      <c r="C1437" s="3" t="n">
        <v>7</v>
      </c>
      <c r="D1437" s="3" t="n">
        <v>4</v>
      </c>
      <c r="E1437" s="3" t="n">
        <v>7</v>
      </c>
      <c r="F1437" s="24" t="n">
        <v>-4.15939856</v>
      </c>
    </row>
    <row r="1438" customFormat="false" ht="15" hidden="false" customHeight="false" outlineLevel="0" collapsed="false">
      <c r="A1438" s="3" t="n">
        <v>1437</v>
      </c>
      <c r="B1438" s="3" t="n">
        <v>1436</v>
      </c>
      <c r="C1438" s="3" t="n">
        <v>7</v>
      </c>
      <c r="D1438" s="3" t="n">
        <v>4</v>
      </c>
      <c r="E1438" s="3" t="n">
        <v>8</v>
      </c>
      <c r="F1438" s="24" t="n">
        <v>-3.02561522</v>
      </c>
    </row>
    <row r="1439" customFormat="false" ht="15" hidden="false" customHeight="false" outlineLevel="0" collapsed="false">
      <c r="A1439" s="3" t="n">
        <v>1438</v>
      </c>
      <c r="B1439" s="3" t="n">
        <v>1437</v>
      </c>
      <c r="C1439" s="3" t="n">
        <v>7</v>
      </c>
      <c r="D1439" s="3" t="n">
        <v>4</v>
      </c>
      <c r="E1439" s="3" t="n">
        <v>9</v>
      </c>
      <c r="F1439" s="24" t="n">
        <v>0.750301242</v>
      </c>
    </row>
    <row r="1440" customFormat="false" ht="15" hidden="false" customHeight="false" outlineLevel="0" collapsed="false">
      <c r="A1440" s="3" t="n">
        <v>1439</v>
      </c>
      <c r="B1440" s="3" t="n">
        <v>1438</v>
      </c>
      <c r="C1440" s="3" t="n">
        <v>7</v>
      </c>
      <c r="D1440" s="3" t="n">
        <v>4</v>
      </c>
      <c r="E1440" s="3" t="n">
        <v>10</v>
      </c>
      <c r="F1440" s="24" t="n">
        <v>3.84352946</v>
      </c>
    </row>
    <row r="1441" customFormat="false" ht="15" hidden="false" customHeight="false" outlineLevel="0" collapsed="false">
      <c r="A1441" s="3" t="n">
        <v>1440</v>
      </c>
      <c r="B1441" s="3" t="n">
        <v>1439</v>
      </c>
      <c r="C1441" s="3" t="n">
        <v>7</v>
      </c>
      <c r="D1441" s="3" t="n">
        <v>4</v>
      </c>
      <c r="E1441" s="3" t="n">
        <v>11</v>
      </c>
      <c r="F1441" s="24" t="n">
        <v>5.08224678</v>
      </c>
    </row>
    <row r="1442" customFormat="false" ht="15" hidden="false" customHeight="false" outlineLevel="0" collapsed="false">
      <c r="A1442" s="3" t="n">
        <v>1441</v>
      </c>
      <c r="B1442" s="3" t="n">
        <v>1440</v>
      </c>
      <c r="C1442" s="3" t="n">
        <v>7</v>
      </c>
      <c r="D1442" s="3" t="n">
        <v>4</v>
      </c>
      <c r="E1442" s="3" t="n">
        <v>12</v>
      </c>
      <c r="F1442" s="24" t="n">
        <v>0.810897946</v>
      </c>
    </row>
    <row r="1443" customFormat="false" ht="15" hidden="false" customHeight="false" outlineLevel="0" collapsed="false">
      <c r="A1443" s="3" t="n">
        <v>1442</v>
      </c>
      <c r="B1443" s="3" t="n">
        <v>1441</v>
      </c>
      <c r="C1443" s="3" t="n">
        <v>7</v>
      </c>
      <c r="D1443" s="3" t="n">
        <v>4</v>
      </c>
      <c r="E1443" s="3" t="n">
        <v>13</v>
      </c>
      <c r="F1443" s="24" t="n">
        <v>-0.165425688</v>
      </c>
    </row>
    <row r="1444" customFormat="false" ht="15" hidden="false" customHeight="false" outlineLevel="0" collapsed="false">
      <c r="A1444" s="3" t="n">
        <v>1443</v>
      </c>
      <c r="B1444" s="3" t="n">
        <v>1442</v>
      </c>
      <c r="C1444" s="3" t="n">
        <v>7</v>
      </c>
      <c r="D1444" s="3" t="n">
        <v>5</v>
      </c>
      <c r="E1444" s="3" t="n">
        <v>0</v>
      </c>
      <c r="F1444" s="24" t="n">
        <v>-0.637213945</v>
      </c>
    </row>
    <row r="1445" customFormat="false" ht="15" hidden="false" customHeight="false" outlineLevel="0" collapsed="false">
      <c r="A1445" s="3" t="n">
        <v>1444</v>
      </c>
      <c r="B1445" s="3" t="n">
        <v>1443</v>
      </c>
      <c r="C1445" s="3" t="n">
        <v>7</v>
      </c>
      <c r="D1445" s="3" t="n">
        <v>5</v>
      </c>
      <c r="E1445" s="3" t="n">
        <v>1</v>
      </c>
      <c r="F1445" s="24" t="n">
        <v>-0.0342944786</v>
      </c>
    </row>
    <row r="1446" customFormat="false" ht="15" hidden="false" customHeight="false" outlineLevel="0" collapsed="false">
      <c r="A1446" s="3" t="n">
        <v>1445</v>
      </c>
      <c r="B1446" s="3" t="n">
        <v>1444</v>
      </c>
      <c r="C1446" s="3" t="n">
        <v>7</v>
      </c>
      <c r="D1446" s="3" t="n">
        <v>5</v>
      </c>
      <c r="E1446" s="3" t="n">
        <v>2</v>
      </c>
      <c r="F1446" s="24" t="n">
        <v>1.95324492</v>
      </c>
    </row>
    <row r="1447" customFormat="false" ht="15" hidden="false" customHeight="false" outlineLevel="0" collapsed="false">
      <c r="A1447" s="3" t="n">
        <v>1446</v>
      </c>
      <c r="B1447" s="3" t="n">
        <v>1445</v>
      </c>
      <c r="C1447" s="3" t="n">
        <v>7</v>
      </c>
      <c r="D1447" s="3" t="n">
        <v>5</v>
      </c>
      <c r="E1447" s="3" t="n">
        <v>3</v>
      </c>
      <c r="F1447" s="24" t="n">
        <v>0.451696754</v>
      </c>
    </row>
    <row r="1448" customFormat="false" ht="15" hidden="false" customHeight="false" outlineLevel="0" collapsed="false">
      <c r="A1448" s="3" t="n">
        <v>1447</v>
      </c>
      <c r="B1448" s="3" t="n">
        <v>1446</v>
      </c>
      <c r="C1448" s="3" t="n">
        <v>7</v>
      </c>
      <c r="D1448" s="3" t="n">
        <v>5</v>
      </c>
      <c r="E1448" s="3" t="n">
        <v>4</v>
      </c>
      <c r="F1448" s="24" t="n">
        <v>-5.55222559</v>
      </c>
    </row>
    <row r="1449" customFormat="false" ht="15" hidden="false" customHeight="false" outlineLevel="0" collapsed="false">
      <c r="A1449" s="3" t="n">
        <v>1448</v>
      </c>
      <c r="B1449" s="3" t="n">
        <v>1447</v>
      </c>
      <c r="C1449" s="3" t="n">
        <v>7</v>
      </c>
      <c r="D1449" s="3" t="n">
        <v>5</v>
      </c>
      <c r="E1449" s="3" t="n">
        <v>5</v>
      </c>
      <c r="F1449" s="24" t="n">
        <v>-8.12643242</v>
      </c>
    </row>
    <row r="1450" customFormat="false" ht="15" hidden="false" customHeight="false" outlineLevel="0" collapsed="false">
      <c r="A1450" s="3" t="n">
        <v>1449</v>
      </c>
      <c r="B1450" s="3" t="n">
        <v>1448</v>
      </c>
      <c r="C1450" s="3" t="n">
        <v>7</v>
      </c>
      <c r="D1450" s="3" t="n">
        <v>5</v>
      </c>
      <c r="E1450" s="3" t="n">
        <v>6</v>
      </c>
      <c r="F1450" s="24" t="n">
        <v>-9.6214838</v>
      </c>
    </row>
    <row r="1451" customFormat="false" ht="15" hidden="false" customHeight="false" outlineLevel="0" collapsed="false">
      <c r="A1451" s="3" t="n">
        <v>1450</v>
      </c>
      <c r="B1451" s="3" t="n">
        <v>1449</v>
      </c>
      <c r="C1451" s="3" t="n">
        <v>7</v>
      </c>
      <c r="D1451" s="3" t="n">
        <v>5</v>
      </c>
      <c r="E1451" s="3" t="n">
        <v>7</v>
      </c>
      <c r="F1451" s="24" t="n">
        <v>-9.52544117</v>
      </c>
    </row>
    <row r="1452" customFormat="false" ht="15" hidden="false" customHeight="false" outlineLevel="0" collapsed="false">
      <c r="A1452" s="3" t="n">
        <v>1451</v>
      </c>
      <c r="B1452" s="3" t="n">
        <v>1450</v>
      </c>
      <c r="C1452" s="3" t="n">
        <v>7</v>
      </c>
      <c r="D1452" s="3" t="n">
        <v>5</v>
      </c>
      <c r="E1452" s="3" t="n">
        <v>8</v>
      </c>
      <c r="F1452" s="24" t="n">
        <v>-8.64901543</v>
      </c>
    </row>
    <row r="1453" customFormat="false" ht="15" hidden="false" customHeight="false" outlineLevel="0" collapsed="false">
      <c r="A1453" s="3" t="n">
        <v>1452</v>
      </c>
      <c r="B1453" s="3" t="n">
        <v>1451</v>
      </c>
      <c r="C1453" s="3" t="n">
        <v>7</v>
      </c>
      <c r="D1453" s="3" t="n">
        <v>5</v>
      </c>
      <c r="E1453" s="3" t="n">
        <v>9</v>
      </c>
      <c r="F1453" s="24" t="n">
        <v>-9.24315357</v>
      </c>
    </row>
    <row r="1454" customFormat="false" ht="15" hidden="false" customHeight="false" outlineLevel="0" collapsed="false">
      <c r="A1454" s="3" t="n">
        <v>1453</v>
      </c>
      <c r="B1454" s="3" t="n">
        <v>1452</v>
      </c>
      <c r="C1454" s="3" t="n">
        <v>7</v>
      </c>
      <c r="D1454" s="3" t="n">
        <v>5</v>
      </c>
      <c r="E1454" s="3" t="n">
        <v>10</v>
      </c>
      <c r="F1454" s="24" t="n">
        <v>-7.76334524</v>
      </c>
    </row>
    <row r="1455" customFormat="false" ht="15" hidden="false" customHeight="false" outlineLevel="0" collapsed="false">
      <c r="A1455" s="3" t="n">
        <v>1454</v>
      </c>
      <c r="B1455" s="3" t="n">
        <v>1453</v>
      </c>
      <c r="C1455" s="3" t="n">
        <v>7</v>
      </c>
      <c r="D1455" s="3" t="n">
        <v>5</v>
      </c>
      <c r="E1455" s="3" t="n">
        <v>11</v>
      </c>
      <c r="F1455" s="24" t="n">
        <v>-2.05518389</v>
      </c>
    </row>
    <row r="1456" customFormat="false" ht="15" hidden="false" customHeight="false" outlineLevel="0" collapsed="false">
      <c r="A1456" s="3" t="n">
        <v>1455</v>
      </c>
      <c r="B1456" s="3" t="n">
        <v>1454</v>
      </c>
      <c r="C1456" s="3" t="n">
        <v>7</v>
      </c>
      <c r="D1456" s="3" t="n">
        <v>5</v>
      </c>
      <c r="E1456" s="3" t="n">
        <v>12</v>
      </c>
      <c r="F1456" s="24" t="n">
        <v>-0.700607955</v>
      </c>
    </row>
    <row r="1457" customFormat="false" ht="15" hidden="false" customHeight="false" outlineLevel="0" collapsed="false">
      <c r="A1457" s="3" t="n">
        <v>1456</v>
      </c>
      <c r="B1457" s="3" t="n">
        <v>1455</v>
      </c>
      <c r="C1457" s="3" t="n">
        <v>7</v>
      </c>
      <c r="D1457" s="3" t="n">
        <v>5</v>
      </c>
      <c r="E1457" s="3" t="n">
        <v>13</v>
      </c>
      <c r="F1457" s="24" t="n">
        <v>-0.165425688</v>
      </c>
    </row>
    <row r="1458" customFormat="false" ht="15" hidden="false" customHeight="false" outlineLevel="0" collapsed="false">
      <c r="A1458" s="3" t="n">
        <v>1457</v>
      </c>
      <c r="B1458" s="3" t="n">
        <v>1456</v>
      </c>
      <c r="C1458" s="3" t="n">
        <v>7</v>
      </c>
      <c r="D1458" s="3" t="n">
        <v>6</v>
      </c>
      <c r="E1458" s="3" t="n">
        <v>0</v>
      </c>
      <c r="F1458" s="24" t="n">
        <v>-0.637213945</v>
      </c>
    </row>
    <row r="1459" customFormat="false" ht="15" hidden="false" customHeight="false" outlineLevel="0" collapsed="false">
      <c r="A1459" s="3" t="n">
        <v>1458</v>
      </c>
      <c r="B1459" s="3" t="n">
        <v>1457</v>
      </c>
      <c r="C1459" s="3" t="n">
        <v>7</v>
      </c>
      <c r="D1459" s="3" t="n">
        <v>6</v>
      </c>
      <c r="E1459" s="3" t="n">
        <v>1</v>
      </c>
      <c r="F1459" s="24" t="n">
        <v>-0.407026947</v>
      </c>
    </row>
    <row r="1460" customFormat="false" ht="15" hidden="false" customHeight="false" outlineLevel="0" collapsed="false">
      <c r="A1460" s="3" t="n">
        <v>1459</v>
      </c>
      <c r="B1460" s="3" t="n">
        <v>1458</v>
      </c>
      <c r="C1460" s="3" t="n">
        <v>7</v>
      </c>
      <c r="D1460" s="3" t="n">
        <v>6</v>
      </c>
      <c r="E1460" s="3" t="n">
        <v>2</v>
      </c>
      <c r="F1460" s="24" t="n">
        <v>-0.307590008</v>
      </c>
    </row>
    <row r="1461" customFormat="false" ht="15" hidden="false" customHeight="false" outlineLevel="0" collapsed="false">
      <c r="A1461" s="3" t="n">
        <v>1460</v>
      </c>
      <c r="B1461" s="3" t="n">
        <v>1459</v>
      </c>
      <c r="C1461" s="3" t="n">
        <v>7</v>
      </c>
      <c r="D1461" s="3" t="n">
        <v>6</v>
      </c>
      <c r="E1461" s="3" t="n">
        <v>3</v>
      </c>
      <c r="F1461" s="24" t="n">
        <v>-0.242291003</v>
      </c>
    </row>
    <row r="1462" customFormat="false" ht="15" hidden="false" customHeight="false" outlineLevel="0" collapsed="false">
      <c r="A1462" s="3" t="n">
        <v>1461</v>
      </c>
      <c r="B1462" s="3" t="n">
        <v>1460</v>
      </c>
      <c r="C1462" s="3" t="n">
        <v>7</v>
      </c>
      <c r="D1462" s="3" t="n">
        <v>6</v>
      </c>
      <c r="E1462" s="3" t="n">
        <v>4</v>
      </c>
      <c r="F1462" s="24" t="n">
        <v>-0.375404686</v>
      </c>
    </row>
    <row r="1463" customFormat="false" ht="15" hidden="false" customHeight="false" outlineLevel="0" collapsed="false">
      <c r="A1463" s="3" t="n">
        <v>1462</v>
      </c>
      <c r="B1463" s="3" t="n">
        <v>1461</v>
      </c>
      <c r="C1463" s="3" t="n">
        <v>7</v>
      </c>
      <c r="D1463" s="3" t="n">
        <v>6</v>
      </c>
      <c r="E1463" s="3" t="n">
        <v>5</v>
      </c>
      <c r="F1463" s="24" t="n">
        <v>-0.156208068</v>
      </c>
    </row>
    <row r="1464" customFormat="false" ht="15" hidden="false" customHeight="false" outlineLevel="0" collapsed="false">
      <c r="A1464" s="3" t="n">
        <v>1463</v>
      </c>
      <c r="B1464" s="3" t="n">
        <v>1462</v>
      </c>
      <c r="C1464" s="3" t="n">
        <v>7</v>
      </c>
      <c r="D1464" s="3" t="n">
        <v>6</v>
      </c>
      <c r="E1464" s="3" t="n">
        <v>6</v>
      </c>
      <c r="F1464" s="24" t="n">
        <v>-0.350513697</v>
      </c>
    </row>
    <row r="1465" customFormat="false" ht="15" hidden="false" customHeight="false" outlineLevel="0" collapsed="false">
      <c r="A1465" s="3" t="n">
        <v>1464</v>
      </c>
      <c r="B1465" s="3" t="n">
        <v>1463</v>
      </c>
      <c r="C1465" s="3" t="n">
        <v>7</v>
      </c>
      <c r="D1465" s="3" t="n">
        <v>6</v>
      </c>
      <c r="E1465" s="3" t="n">
        <v>7</v>
      </c>
      <c r="F1465" s="24" t="n">
        <v>-0.284071445</v>
      </c>
    </row>
    <row r="1466" customFormat="false" ht="15" hidden="false" customHeight="false" outlineLevel="0" collapsed="false">
      <c r="A1466" s="3" t="n">
        <v>1465</v>
      </c>
      <c r="B1466" s="3" t="n">
        <v>1464</v>
      </c>
      <c r="C1466" s="3" t="n">
        <v>7</v>
      </c>
      <c r="D1466" s="3" t="n">
        <v>6</v>
      </c>
      <c r="E1466" s="3" t="n">
        <v>8</v>
      </c>
      <c r="F1466" s="24" t="n">
        <v>-1.53394639</v>
      </c>
    </row>
    <row r="1467" customFormat="false" ht="15" hidden="false" customHeight="false" outlineLevel="0" collapsed="false">
      <c r="A1467" s="3" t="n">
        <v>1466</v>
      </c>
      <c r="B1467" s="3" t="n">
        <v>1465</v>
      </c>
      <c r="C1467" s="3" t="n">
        <v>7</v>
      </c>
      <c r="D1467" s="3" t="n">
        <v>6</v>
      </c>
      <c r="E1467" s="3" t="n">
        <v>9</v>
      </c>
      <c r="F1467" s="24" t="n">
        <v>-1.90521252</v>
      </c>
    </row>
    <row r="1468" customFormat="false" ht="15" hidden="false" customHeight="false" outlineLevel="0" collapsed="false">
      <c r="A1468" s="3" t="n">
        <v>1467</v>
      </c>
      <c r="B1468" s="3" t="n">
        <v>1466</v>
      </c>
      <c r="C1468" s="3" t="n">
        <v>7</v>
      </c>
      <c r="D1468" s="3" t="n">
        <v>6</v>
      </c>
      <c r="E1468" s="3" t="n">
        <v>10</v>
      </c>
      <c r="F1468" s="24" t="n">
        <v>-2.28294349</v>
      </c>
    </row>
    <row r="1469" customFormat="false" ht="15" hidden="false" customHeight="false" outlineLevel="0" collapsed="false">
      <c r="A1469" s="3" t="n">
        <v>1468</v>
      </c>
      <c r="B1469" s="3" t="n">
        <v>1467</v>
      </c>
      <c r="C1469" s="3" t="n">
        <v>7</v>
      </c>
      <c r="D1469" s="3" t="n">
        <v>6</v>
      </c>
      <c r="E1469" s="3" t="n">
        <v>11</v>
      </c>
      <c r="F1469" s="24" t="n">
        <v>-1.51022577</v>
      </c>
    </row>
    <row r="1470" customFormat="false" ht="15" hidden="false" customHeight="false" outlineLevel="0" collapsed="false">
      <c r="A1470" s="3" t="n">
        <v>1469</v>
      </c>
      <c r="B1470" s="3" t="n">
        <v>1468</v>
      </c>
      <c r="C1470" s="3" t="n">
        <v>7</v>
      </c>
      <c r="D1470" s="3" t="n">
        <v>6</v>
      </c>
      <c r="E1470" s="3" t="n">
        <v>12</v>
      </c>
      <c r="F1470" s="24" t="n">
        <v>-1.12457323</v>
      </c>
    </row>
    <row r="1471" customFormat="false" ht="15" hidden="false" customHeight="false" outlineLevel="0" collapsed="false">
      <c r="A1471" s="3" t="n">
        <v>1470</v>
      </c>
      <c r="B1471" s="3" t="n">
        <v>1469</v>
      </c>
      <c r="C1471" s="3" t="n">
        <v>7</v>
      </c>
      <c r="D1471" s="3" t="n">
        <v>6</v>
      </c>
      <c r="E1471" s="3" t="n">
        <v>13</v>
      </c>
      <c r="F1471" s="24" t="n">
        <v>-0.165425688</v>
      </c>
    </row>
    <row r="1472" customFormat="false" ht="15" hidden="false" customHeight="false" outlineLevel="0" collapsed="false">
      <c r="A1472" s="3" t="n">
        <v>1471</v>
      </c>
      <c r="B1472" s="3" t="n">
        <v>1470</v>
      </c>
      <c r="C1472" s="3" t="n">
        <v>7</v>
      </c>
      <c r="D1472" s="3" t="n">
        <v>7</v>
      </c>
      <c r="E1472" s="3" t="n">
        <v>0</v>
      </c>
      <c r="F1472" s="24" t="n">
        <v>-0.637213945</v>
      </c>
    </row>
    <row r="1473" customFormat="false" ht="15" hidden="false" customHeight="false" outlineLevel="0" collapsed="false">
      <c r="A1473" s="3" t="n">
        <v>1472</v>
      </c>
      <c r="B1473" s="3" t="n">
        <v>1471</v>
      </c>
      <c r="C1473" s="3" t="n">
        <v>7</v>
      </c>
      <c r="D1473" s="3" t="n">
        <v>7</v>
      </c>
      <c r="E1473" s="3" t="n">
        <v>1</v>
      </c>
      <c r="F1473" s="24" t="n">
        <v>-0.481531441</v>
      </c>
    </row>
    <row r="1474" customFormat="false" ht="15" hidden="false" customHeight="false" outlineLevel="0" collapsed="false">
      <c r="A1474" s="3" t="n">
        <v>1473</v>
      </c>
      <c r="B1474" s="3" t="n">
        <v>1472</v>
      </c>
      <c r="C1474" s="3" t="n">
        <v>7</v>
      </c>
      <c r="D1474" s="3" t="n">
        <v>7</v>
      </c>
      <c r="E1474" s="3" t="n">
        <v>2</v>
      </c>
      <c r="F1474" s="24" t="n">
        <v>-0.553006768</v>
      </c>
    </row>
    <row r="1475" customFormat="false" ht="15" hidden="false" customHeight="false" outlineLevel="0" collapsed="false">
      <c r="A1475" s="3" t="n">
        <v>1474</v>
      </c>
      <c r="B1475" s="3" t="n">
        <v>1473</v>
      </c>
      <c r="C1475" s="3" t="n">
        <v>7</v>
      </c>
      <c r="D1475" s="3" t="n">
        <v>7</v>
      </c>
      <c r="E1475" s="3" t="n">
        <v>3</v>
      </c>
      <c r="F1475" s="24" t="n">
        <v>-0.553006768</v>
      </c>
    </row>
    <row r="1476" customFormat="false" ht="15" hidden="false" customHeight="false" outlineLevel="0" collapsed="false">
      <c r="A1476" s="3" t="n">
        <v>1475</v>
      </c>
      <c r="B1476" s="3" t="n">
        <v>1474</v>
      </c>
      <c r="C1476" s="3" t="n">
        <v>7</v>
      </c>
      <c r="D1476" s="3" t="n">
        <v>7</v>
      </c>
      <c r="E1476" s="3" t="n">
        <v>4</v>
      </c>
      <c r="F1476" s="24" t="n">
        <v>-0.553006768</v>
      </c>
    </row>
    <row r="1477" customFormat="false" ht="15" hidden="false" customHeight="false" outlineLevel="0" collapsed="false">
      <c r="A1477" s="3" t="n">
        <v>1476</v>
      </c>
      <c r="B1477" s="3" t="n">
        <v>1475</v>
      </c>
      <c r="C1477" s="3" t="n">
        <v>7</v>
      </c>
      <c r="D1477" s="3" t="n">
        <v>7</v>
      </c>
      <c r="E1477" s="3" t="n">
        <v>5</v>
      </c>
      <c r="F1477" s="24" t="n">
        <v>-0.724365711</v>
      </c>
    </row>
    <row r="1478" customFormat="false" ht="15" hidden="false" customHeight="false" outlineLevel="0" collapsed="false">
      <c r="A1478" s="3" t="n">
        <v>1477</v>
      </c>
      <c r="B1478" s="3" t="n">
        <v>1476</v>
      </c>
      <c r="C1478" s="3" t="n">
        <v>7</v>
      </c>
      <c r="D1478" s="3" t="n">
        <v>7</v>
      </c>
      <c r="E1478" s="3" t="n">
        <v>6</v>
      </c>
      <c r="F1478" s="24" t="n">
        <v>-0.792876184</v>
      </c>
    </row>
    <row r="1479" customFormat="false" ht="15" hidden="false" customHeight="false" outlineLevel="0" collapsed="false">
      <c r="A1479" s="3" t="n">
        <v>1478</v>
      </c>
      <c r="B1479" s="3" t="n">
        <v>1477</v>
      </c>
      <c r="C1479" s="3" t="n">
        <v>7</v>
      </c>
      <c r="D1479" s="3" t="n">
        <v>7</v>
      </c>
      <c r="E1479" s="3" t="n">
        <v>7</v>
      </c>
      <c r="F1479" s="24" t="n">
        <v>-1.19805717</v>
      </c>
    </row>
    <row r="1480" customFormat="false" ht="15" hidden="false" customHeight="false" outlineLevel="0" collapsed="false">
      <c r="A1480" s="3" t="n">
        <v>1479</v>
      </c>
      <c r="B1480" s="3" t="n">
        <v>1478</v>
      </c>
      <c r="C1480" s="3" t="n">
        <v>7</v>
      </c>
      <c r="D1480" s="3" t="n">
        <v>7</v>
      </c>
      <c r="E1480" s="3" t="n">
        <v>8</v>
      </c>
      <c r="F1480" s="24" t="n">
        <v>-0.125602424</v>
      </c>
    </row>
    <row r="1481" customFormat="false" ht="15" hidden="false" customHeight="false" outlineLevel="0" collapsed="false">
      <c r="A1481" s="3" t="n">
        <v>1480</v>
      </c>
      <c r="B1481" s="3" t="n">
        <v>1479</v>
      </c>
      <c r="C1481" s="3" t="n">
        <v>7</v>
      </c>
      <c r="D1481" s="3" t="n">
        <v>7</v>
      </c>
      <c r="E1481" s="3" t="n">
        <v>9</v>
      </c>
      <c r="F1481" s="24" t="n">
        <v>-0.479308426</v>
      </c>
    </row>
    <row r="1482" customFormat="false" ht="15" hidden="false" customHeight="false" outlineLevel="0" collapsed="false">
      <c r="A1482" s="3" t="n">
        <v>1481</v>
      </c>
      <c r="B1482" s="3" t="n">
        <v>1480</v>
      </c>
      <c r="C1482" s="3" t="n">
        <v>7</v>
      </c>
      <c r="D1482" s="3" t="n">
        <v>7</v>
      </c>
      <c r="E1482" s="3" t="n">
        <v>10</v>
      </c>
      <c r="F1482" s="24" t="n">
        <v>-1.8053416</v>
      </c>
    </row>
    <row r="1483" customFormat="false" ht="15" hidden="false" customHeight="false" outlineLevel="0" collapsed="false">
      <c r="A1483" s="3" t="n">
        <v>1482</v>
      </c>
      <c r="B1483" s="3" t="n">
        <v>1481</v>
      </c>
      <c r="C1483" s="3" t="n">
        <v>7</v>
      </c>
      <c r="D1483" s="3" t="n">
        <v>7</v>
      </c>
      <c r="E1483" s="3" t="n">
        <v>11</v>
      </c>
      <c r="F1483" s="24" t="n">
        <v>-2.23173261</v>
      </c>
    </row>
    <row r="1484" customFormat="false" ht="15" hidden="false" customHeight="false" outlineLevel="0" collapsed="false">
      <c r="A1484" s="3" t="n">
        <v>1483</v>
      </c>
      <c r="B1484" s="3" t="n">
        <v>1482</v>
      </c>
      <c r="C1484" s="3" t="n">
        <v>7</v>
      </c>
      <c r="D1484" s="3" t="n">
        <v>7</v>
      </c>
      <c r="E1484" s="3" t="n">
        <v>12</v>
      </c>
      <c r="F1484" s="24" t="n">
        <v>-0.551871955</v>
      </c>
    </row>
    <row r="1485" customFormat="false" ht="15" hidden="false" customHeight="false" outlineLevel="0" collapsed="false">
      <c r="A1485" s="3" t="n">
        <v>1484</v>
      </c>
      <c r="B1485" s="3" t="n">
        <v>1483</v>
      </c>
      <c r="C1485" s="3" t="n">
        <v>7</v>
      </c>
      <c r="D1485" s="3" t="n">
        <v>7</v>
      </c>
      <c r="E1485" s="3" t="n">
        <v>13</v>
      </c>
      <c r="F1485" s="24" t="n">
        <v>-0.165425688</v>
      </c>
    </row>
    <row r="1486" customFormat="false" ht="15" hidden="false" customHeight="false" outlineLevel="0" collapsed="false">
      <c r="A1486" s="3" t="n">
        <v>1485</v>
      </c>
      <c r="B1486" s="3" t="n">
        <v>1484</v>
      </c>
      <c r="C1486" s="3" t="n">
        <v>7</v>
      </c>
      <c r="D1486" s="3" t="n">
        <v>8</v>
      </c>
      <c r="E1486" s="3" t="n">
        <v>0</v>
      </c>
      <c r="F1486" s="24" t="n">
        <v>-0.637213945</v>
      </c>
    </row>
    <row r="1487" customFormat="false" ht="15" hidden="false" customHeight="false" outlineLevel="0" collapsed="false">
      <c r="A1487" s="3" t="n">
        <v>1486</v>
      </c>
      <c r="B1487" s="3" t="n">
        <v>1485</v>
      </c>
      <c r="C1487" s="3" t="n">
        <v>7</v>
      </c>
      <c r="D1487" s="3" t="n">
        <v>8</v>
      </c>
      <c r="E1487" s="3" t="n">
        <v>1</v>
      </c>
      <c r="F1487" s="24" t="n">
        <v>-0.481531441</v>
      </c>
    </row>
    <row r="1488" customFormat="false" ht="15" hidden="false" customHeight="false" outlineLevel="0" collapsed="false">
      <c r="A1488" s="3" t="n">
        <v>1487</v>
      </c>
      <c r="B1488" s="3" t="n">
        <v>1486</v>
      </c>
      <c r="C1488" s="3" t="n">
        <v>7</v>
      </c>
      <c r="D1488" s="3" t="n">
        <v>8</v>
      </c>
      <c r="E1488" s="3" t="n">
        <v>2</v>
      </c>
      <c r="F1488" s="24" t="n">
        <v>-0.553006768</v>
      </c>
    </row>
    <row r="1489" customFormat="false" ht="15" hidden="false" customHeight="false" outlineLevel="0" collapsed="false">
      <c r="A1489" s="3" t="n">
        <v>1488</v>
      </c>
      <c r="B1489" s="3" t="n">
        <v>1487</v>
      </c>
      <c r="C1489" s="3" t="n">
        <v>7</v>
      </c>
      <c r="D1489" s="3" t="n">
        <v>8</v>
      </c>
      <c r="E1489" s="3" t="n">
        <v>3</v>
      </c>
      <c r="F1489" s="24" t="n">
        <v>-0.553006768</v>
      </c>
    </row>
    <row r="1490" customFormat="false" ht="15" hidden="false" customHeight="false" outlineLevel="0" collapsed="false">
      <c r="A1490" s="3" t="n">
        <v>1489</v>
      </c>
      <c r="B1490" s="3" t="n">
        <v>1488</v>
      </c>
      <c r="C1490" s="3" t="n">
        <v>7</v>
      </c>
      <c r="D1490" s="3" t="n">
        <v>8</v>
      </c>
      <c r="E1490" s="3" t="n">
        <v>4</v>
      </c>
      <c r="F1490" s="24" t="n">
        <v>-0.563037336</v>
      </c>
    </row>
    <row r="1491" customFormat="false" ht="15" hidden="false" customHeight="false" outlineLevel="0" collapsed="false">
      <c r="A1491" s="3" t="n">
        <v>1490</v>
      </c>
      <c r="B1491" s="3" t="n">
        <v>1489</v>
      </c>
      <c r="C1491" s="3" t="n">
        <v>7</v>
      </c>
      <c r="D1491" s="3" t="n">
        <v>8</v>
      </c>
      <c r="E1491" s="3" t="n">
        <v>5</v>
      </c>
      <c r="F1491" s="24" t="n">
        <v>-0.553112745</v>
      </c>
    </row>
    <row r="1492" customFormat="false" ht="15" hidden="false" customHeight="false" outlineLevel="0" collapsed="false">
      <c r="A1492" s="3" t="n">
        <v>1491</v>
      </c>
      <c r="B1492" s="3" t="n">
        <v>1490</v>
      </c>
      <c r="C1492" s="3" t="n">
        <v>7</v>
      </c>
      <c r="D1492" s="3" t="n">
        <v>8</v>
      </c>
      <c r="E1492" s="3" t="n">
        <v>6</v>
      </c>
      <c r="F1492" s="24" t="n">
        <v>-0.000268511474</v>
      </c>
    </row>
    <row r="1493" customFormat="false" ht="15" hidden="false" customHeight="false" outlineLevel="0" collapsed="false">
      <c r="A1493" s="3" t="n">
        <v>1492</v>
      </c>
      <c r="B1493" s="3" t="n">
        <v>1491</v>
      </c>
      <c r="C1493" s="3" t="n">
        <v>7</v>
      </c>
      <c r="D1493" s="3" t="n">
        <v>8</v>
      </c>
      <c r="E1493" s="3" t="n">
        <v>7</v>
      </c>
      <c r="F1493" s="24" t="n">
        <v>0.924296498</v>
      </c>
    </row>
    <row r="1494" customFormat="false" ht="15" hidden="false" customHeight="false" outlineLevel="0" collapsed="false">
      <c r="A1494" s="3" t="n">
        <v>1493</v>
      </c>
      <c r="B1494" s="3" t="n">
        <v>1492</v>
      </c>
      <c r="C1494" s="3" t="n">
        <v>7</v>
      </c>
      <c r="D1494" s="3" t="n">
        <v>8</v>
      </c>
      <c r="E1494" s="3" t="n">
        <v>8</v>
      </c>
      <c r="F1494" s="24" t="n">
        <v>-0.792802155</v>
      </c>
    </row>
    <row r="1495" customFormat="false" ht="15" hidden="false" customHeight="false" outlineLevel="0" collapsed="false">
      <c r="A1495" s="3" t="n">
        <v>1494</v>
      </c>
      <c r="B1495" s="3" t="n">
        <v>1493</v>
      </c>
      <c r="C1495" s="3" t="n">
        <v>7</v>
      </c>
      <c r="D1495" s="3" t="n">
        <v>8</v>
      </c>
      <c r="E1495" s="3" t="n">
        <v>9</v>
      </c>
      <c r="F1495" s="24" t="n">
        <v>-2.48715639</v>
      </c>
    </row>
    <row r="1496" customFormat="false" ht="15" hidden="false" customHeight="false" outlineLevel="0" collapsed="false">
      <c r="A1496" s="3" t="n">
        <v>1495</v>
      </c>
      <c r="B1496" s="3" t="n">
        <v>1494</v>
      </c>
      <c r="C1496" s="3" t="n">
        <v>7</v>
      </c>
      <c r="D1496" s="3" t="n">
        <v>8</v>
      </c>
      <c r="E1496" s="3" t="n">
        <v>10</v>
      </c>
      <c r="F1496" s="24" t="n">
        <v>-1.91276777</v>
      </c>
    </row>
    <row r="1497" customFormat="false" ht="15" hidden="false" customHeight="false" outlineLevel="0" collapsed="false">
      <c r="A1497" s="3" t="n">
        <v>1496</v>
      </c>
      <c r="B1497" s="3" t="n">
        <v>1495</v>
      </c>
      <c r="C1497" s="3" t="n">
        <v>7</v>
      </c>
      <c r="D1497" s="3" t="n">
        <v>8</v>
      </c>
      <c r="E1497" s="3" t="n">
        <v>11</v>
      </c>
      <c r="F1497" s="24" t="n">
        <v>-1.28092837</v>
      </c>
    </row>
    <row r="1498" customFormat="false" ht="15" hidden="false" customHeight="false" outlineLevel="0" collapsed="false">
      <c r="A1498" s="3" t="n">
        <v>1497</v>
      </c>
      <c r="B1498" s="3" t="n">
        <v>1496</v>
      </c>
      <c r="C1498" s="3" t="n">
        <v>7</v>
      </c>
      <c r="D1498" s="3" t="n">
        <v>8</v>
      </c>
      <c r="E1498" s="3" t="n">
        <v>12</v>
      </c>
      <c r="F1498" s="24" t="n">
        <v>-0.536552012</v>
      </c>
    </row>
    <row r="1499" customFormat="false" ht="15" hidden="false" customHeight="false" outlineLevel="0" collapsed="false">
      <c r="A1499" s="3" t="n">
        <v>1498</v>
      </c>
      <c r="B1499" s="3" t="n">
        <v>1497</v>
      </c>
      <c r="C1499" s="3" t="n">
        <v>7</v>
      </c>
      <c r="D1499" s="3" t="n">
        <v>8</v>
      </c>
      <c r="E1499" s="3" t="n">
        <v>13</v>
      </c>
      <c r="F1499" s="24" t="n">
        <v>-0.165425688</v>
      </c>
    </row>
    <row r="1500" customFormat="false" ht="15" hidden="false" customHeight="false" outlineLevel="0" collapsed="false">
      <c r="A1500" s="3" t="n">
        <v>1499</v>
      </c>
      <c r="B1500" s="3" t="n">
        <v>1498</v>
      </c>
      <c r="C1500" s="3" t="n">
        <v>7</v>
      </c>
      <c r="D1500" s="3" t="n">
        <v>9</v>
      </c>
      <c r="E1500" s="3" t="n">
        <v>0</v>
      </c>
      <c r="F1500" s="24" t="n">
        <v>-0.637213945</v>
      </c>
    </row>
    <row r="1501" customFormat="false" ht="15" hidden="false" customHeight="false" outlineLevel="0" collapsed="false">
      <c r="A1501" s="3" t="n">
        <v>1500</v>
      </c>
      <c r="B1501" s="3" t="n">
        <v>1499</v>
      </c>
      <c r="C1501" s="3" t="n">
        <v>7</v>
      </c>
      <c r="D1501" s="3" t="n">
        <v>9</v>
      </c>
      <c r="E1501" s="3" t="n">
        <v>1</v>
      </c>
      <c r="F1501" s="24" t="n">
        <v>-0.481531441</v>
      </c>
    </row>
    <row r="1502" customFormat="false" ht="15" hidden="false" customHeight="false" outlineLevel="0" collapsed="false">
      <c r="A1502" s="3" t="n">
        <v>1501</v>
      </c>
      <c r="B1502" s="3" t="n">
        <v>1500</v>
      </c>
      <c r="C1502" s="3" t="n">
        <v>7</v>
      </c>
      <c r="D1502" s="3" t="n">
        <v>9</v>
      </c>
      <c r="E1502" s="3" t="n">
        <v>2</v>
      </c>
      <c r="F1502" s="24" t="n">
        <v>-0.553006768</v>
      </c>
    </row>
    <row r="1503" customFormat="false" ht="15" hidden="false" customHeight="false" outlineLevel="0" collapsed="false">
      <c r="A1503" s="3" t="n">
        <v>1502</v>
      </c>
      <c r="B1503" s="3" t="n">
        <v>1501</v>
      </c>
      <c r="C1503" s="3" t="n">
        <v>7</v>
      </c>
      <c r="D1503" s="3" t="n">
        <v>9</v>
      </c>
      <c r="E1503" s="3" t="n">
        <v>3</v>
      </c>
      <c r="F1503" s="24" t="n">
        <v>-0.553006768</v>
      </c>
    </row>
    <row r="1504" customFormat="false" ht="15" hidden="false" customHeight="false" outlineLevel="0" collapsed="false">
      <c r="A1504" s="3" t="n">
        <v>1503</v>
      </c>
      <c r="B1504" s="3" t="n">
        <v>1502</v>
      </c>
      <c r="C1504" s="3" t="n">
        <v>7</v>
      </c>
      <c r="D1504" s="3" t="n">
        <v>9</v>
      </c>
      <c r="E1504" s="3" t="n">
        <v>4</v>
      </c>
      <c r="F1504" s="24" t="n">
        <v>-0.574863315</v>
      </c>
    </row>
    <row r="1505" customFormat="false" ht="15" hidden="false" customHeight="false" outlineLevel="0" collapsed="false">
      <c r="A1505" s="3" t="n">
        <v>1504</v>
      </c>
      <c r="B1505" s="3" t="n">
        <v>1503</v>
      </c>
      <c r="C1505" s="3" t="n">
        <v>7</v>
      </c>
      <c r="D1505" s="3" t="n">
        <v>9</v>
      </c>
      <c r="E1505" s="3" t="n">
        <v>5</v>
      </c>
      <c r="F1505" s="24" t="n">
        <v>-0.0588687137</v>
      </c>
    </row>
    <row r="1506" customFormat="false" ht="15" hidden="false" customHeight="false" outlineLevel="0" collapsed="false">
      <c r="A1506" s="3" t="n">
        <v>1505</v>
      </c>
      <c r="B1506" s="3" t="n">
        <v>1504</v>
      </c>
      <c r="C1506" s="3" t="n">
        <v>7</v>
      </c>
      <c r="D1506" s="3" t="n">
        <v>9</v>
      </c>
      <c r="E1506" s="3" t="n">
        <v>6</v>
      </c>
      <c r="F1506" s="24" t="n">
        <v>-1.80348945</v>
      </c>
    </row>
    <row r="1507" customFormat="false" ht="15" hidden="false" customHeight="false" outlineLevel="0" collapsed="false">
      <c r="A1507" s="3" t="n">
        <v>1506</v>
      </c>
      <c r="B1507" s="3" t="n">
        <v>1505</v>
      </c>
      <c r="C1507" s="3" t="n">
        <v>7</v>
      </c>
      <c r="D1507" s="3" t="n">
        <v>9</v>
      </c>
      <c r="E1507" s="3" t="n">
        <v>7</v>
      </c>
      <c r="F1507" s="24" t="n">
        <v>-1.01850092</v>
      </c>
    </row>
    <row r="1508" customFormat="false" ht="15" hidden="false" customHeight="false" outlineLevel="0" collapsed="false">
      <c r="A1508" s="3" t="n">
        <v>1507</v>
      </c>
      <c r="B1508" s="3" t="n">
        <v>1506</v>
      </c>
      <c r="C1508" s="3" t="n">
        <v>7</v>
      </c>
      <c r="D1508" s="3" t="n">
        <v>9</v>
      </c>
      <c r="E1508" s="3" t="n">
        <v>8</v>
      </c>
      <c r="F1508" s="24" t="n">
        <v>0.547314703</v>
      </c>
    </row>
    <row r="1509" customFormat="false" ht="15" hidden="false" customHeight="false" outlineLevel="0" collapsed="false">
      <c r="A1509" s="3" t="n">
        <v>1508</v>
      </c>
      <c r="B1509" s="3" t="n">
        <v>1507</v>
      </c>
      <c r="C1509" s="3" t="n">
        <v>7</v>
      </c>
      <c r="D1509" s="3" t="n">
        <v>9</v>
      </c>
      <c r="E1509" s="3" t="n">
        <v>9</v>
      </c>
      <c r="F1509" s="24" t="n">
        <v>-1.36002147</v>
      </c>
    </row>
    <row r="1510" customFormat="false" ht="15" hidden="false" customHeight="false" outlineLevel="0" collapsed="false">
      <c r="A1510" s="3" t="n">
        <v>1509</v>
      </c>
      <c r="B1510" s="3" t="n">
        <v>1508</v>
      </c>
      <c r="C1510" s="3" t="n">
        <v>7</v>
      </c>
      <c r="D1510" s="3" t="n">
        <v>9</v>
      </c>
      <c r="E1510" s="3" t="n">
        <v>10</v>
      </c>
      <c r="F1510" s="24" t="n">
        <v>-2.04550481</v>
      </c>
    </row>
    <row r="1511" customFormat="false" ht="15" hidden="false" customHeight="false" outlineLevel="0" collapsed="false">
      <c r="A1511" s="3" t="n">
        <v>1510</v>
      </c>
      <c r="B1511" s="3" t="n">
        <v>1509</v>
      </c>
      <c r="C1511" s="3" t="n">
        <v>7</v>
      </c>
      <c r="D1511" s="3" t="n">
        <v>9</v>
      </c>
      <c r="E1511" s="3" t="n">
        <v>11</v>
      </c>
      <c r="F1511" s="24" t="n">
        <v>-0.553006113</v>
      </c>
    </row>
    <row r="1512" customFormat="false" ht="15" hidden="false" customHeight="false" outlineLevel="0" collapsed="false">
      <c r="A1512" s="3" t="n">
        <v>1511</v>
      </c>
      <c r="B1512" s="3" t="n">
        <v>1510</v>
      </c>
      <c r="C1512" s="3" t="n">
        <v>7</v>
      </c>
      <c r="D1512" s="3" t="n">
        <v>9</v>
      </c>
      <c r="E1512" s="3" t="n">
        <v>12</v>
      </c>
      <c r="F1512" s="24" t="n">
        <v>-0.536552012</v>
      </c>
    </row>
    <row r="1513" customFormat="false" ht="15" hidden="false" customHeight="false" outlineLevel="0" collapsed="false">
      <c r="A1513" s="3" t="n">
        <v>1512</v>
      </c>
      <c r="B1513" s="3" t="n">
        <v>1511</v>
      </c>
      <c r="C1513" s="3" t="n">
        <v>7</v>
      </c>
      <c r="D1513" s="3" t="n">
        <v>9</v>
      </c>
      <c r="E1513" s="3" t="n">
        <v>13</v>
      </c>
      <c r="F1513" s="24" t="n">
        <v>-0.165425688</v>
      </c>
    </row>
    <row r="1514" customFormat="false" ht="15" hidden="false" customHeight="false" outlineLevel="0" collapsed="false">
      <c r="A1514" s="3" t="n">
        <v>1513</v>
      </c>
      <c r="B1514" s="3" t="n">
        <v>1512</v>
      </c>
      <c r="C1514" s="3" t="n">
        <v>7</v>
      </c>
      <c r="D1514" s="3" t="n">
        <v>10</v>
      </c>
      <c r="E1514" s="3" t="n">
        <v>0</v>
      </c>
      <c r="F1514" s="24" t="n">
        <v>-0.637213945</v>
      </c>
    </row>
    <row r="1515" customFormat="false" ht="15" hidden="false" customHeight="false" outlineLevel="0" collapsed="false">
      <c r="A1515" s="3" t="n">
        <v>1514</v>
      </c>
      <c r="B1515" s="3" t="n">
        <v>1513</v>
      </c>
      <c r="C1515" s="3" t="n">
        <v>7</v>
      </c>
      <c r="D1515" s="3" t="n">
        <v>10</v>
      </c>
      <c r="E1515" s="3" t="n">
        <v>1</v>
      </c>
      <c r="F1515" s="24" t="n">
        <v>-0.481531441</v>
      </c>
    </row>
    <row r="1516" customFormat="false" ht="15" hidden="false" customHeight="false" outlineLevel="0" collapsed="false">
      <c r="A1516" s="3" t="n">
        <v>1515</v>
      </c>
      <c r="B1516" s="3" t="n">
        <v>1514</v>
      </c>
      <c r="C1516" s="3" t="n">
        <v>7</v>
      </c>
      <c r="D1516" s="3" t="n">
        <v>10</v>
      </c>
      <c r="E1516" s="3" t="n">
        <v>2</v>
      </c>
      <c r="F1516" s="24" t="n">
        <v>-0.553006768</v>
      </c>
    </row>
    <row r="1517" customFormat="false" ht="15" hidden="false" customHeight="false" outlineLevel="0" collapsed="false">
      <c r="A1517" s="3" t="n">
        <v>1516</v>
      </c>
      <c r="B1517" s="3" t="n">
        <v>1515</v>
      </c>
      <c r="C1517" s="3" t="n">
        <v>7</v>
      </c>
      <c r="D1517" s="3" t="n">
        <v>10</v>
      </c>
      <c r="E1517" s="3" t="n">
        <v>3</v>
      </c>
      <c r="F1517" s="24" t="n">
        <v>-0.694013774</v>
      </c>
    </row>
    <row r="1518" customFormat="false" ht="15" hidden="false" customHeight="false" outlineLevel="0" collapsed="false">
      <c r="A1518" s="3" t="n">
        <v>1517</v>
      </c>
      <c r="B1518" s="3" t="n">
        <v>1516</v>
      </c>
      <c r="C1518" s="3" t="n">
        <v>7</v>
      </c>
      <c r="D1518" s="3" t="n">
        <v>10</v>
      </c>
      <c r="E1518" s="3" t="n">
        <v>4</v>
      </c>
      <c r="F1518" s="24" t="n">
        <v>-0.320654184</v>
      </c>
    </row>
    <row r="1519" customFormat="false" ht="15" hidden="false" customHeight="false" outlineLevel="0" collapsed="false">
      <c r="A1519" s="3" t="n">
        <v>1518</v>
      </c>
      <c r="B1519" s="3" t="n">
        <v>1517</v>
      </c>
      <c r="C1519" s="3" t="n">
        <v>7</v>
      </c>
      <c r="D1519" s="3" t="n">
        <v>10</v>
      </c>
      <c r="E1519" s="3" t="n">
        <v>5</v>
      </c>
      <c r="F1519" s="24" t="n">
        <v>0.351581484</v>
      </c>
    </row>
    <row r="1520" customFormat="false" ht="15" hidden="false" customHeight="false" outlineLevel="0" collapsed="false">
      <c r="A1520" s="3" t="n">
        <v>1519</v>
      </c>
      <c r="B1520" s="3" t="n">
        <v>1518</v>
      </c>
      <c r="C1520" s="3" t="n">
        <v>7</v>
      </c>
      <c r="D1520" s="3" t="n">
        <v>10</v>
      </c>
      <c r="E1520" s="3" t="n">
        <v>6</v>
      </c>
      <c r="F1520" s="24" t="n">
        <v>0.643710077</v>
      </c>
    </row>
    <row r="1521" customFormat="false" ht="15" hidden="false" customHeight="false" outlineLevel="0" collapsed="false">
      <c r="A1521" s="3" t="n">
        <v>1520</v>
      </c>
      <c r="B1521" s="3" t="n">
        <v>1519</v>
      </c>
      <c r="C1521" s="3" t="n">
        <v>7</v>
      </c>
      <c r="D1521" s="3" t="n">
        <v>10</v>
      </c>
      <c r="E1521" s="3" t="n">
        <v>7</v>
      </c>
      <c r="F1521" s="24" t="n">
        <v>-0.434844196</v>
      </c>
    </row>
    <row r="1522" customFormat="false" ht="15" hidden="false" customHeight="false" outlineLevel="0" collapsed="false">
      <c r="A1522" s="3" t="n">
        <v>1521</v>
      </c>
      <c r="B1522" s="3" t="n">
        <v>1520</v>
      </c>
      <c r="C1522" s="3" t="n">
        <v>7</v>
      </c>
      <c r="D1522" s="3" t="n">
        <v>10</v>
      </c>
      <c r="E1522" s="3" t="n">
        <v>8</v>
      </c>
      <c r="F1522" s="24" t="n">
        <v>-1.49533236</v>
      </c>
    </row>
    <row r="1523" customFormat="false" ht="15" hidden="false" customHeight="false" outlineLevel="0" collapsed="false">
      <c r="A1523" s="3" t="n">
        <v>1522</v>
      </c>
      <c r="B1523" s="3" t="n">
        <v>1521</v>
      </c>
      <c r="C1523" s="3" t="n">
        <v>7</v>
      </c>
      <c r="D1523" s="3" t="n">
        <v>10</v>
      </c>
      <c r="E1523" s="3" t="n">
        <v>9</v>
      </c>
      <c r="F1523" s="24" t="n">
        <v>-2.27495337</v>
      </c>
    </row>
    <row r="1524" customFormat="false" ht="15" hidden="false" customHeight="false" outlineLevel="0" collapsed="false">
      <c r="A1524" s="3" t="n">
        <v>1523</v>
      </c>
      <c r="B1524" s="3" t="n">
        <v>1522</v>
      </c>
      <c r="C1524" s="3" t="n">
        <v>7</v>
      </c>
      <c r="D1524" s="3" t="n">
        <v>10</v>
      </c>
      <c r="E1524" s="3" t="n">
        <v>10</v>
      </c>
      <c r="F1524" s="24" t="n">
        <v>-1.06322825</v>
      </c>
    </row>
    <row r="1525" customFormat="false" ht="15" hidden="false" customHeight="false" outlineLevel="0" collapsed="false">
      <c r="A1525" s="3" t="n">
        <v>1524</v>
      </c>
      <c r="B1525" s="3" t="n">
        <v>1523</v>
      </c>
      <c r="C1525" s="3" t="n">
        <v>7</v>
      </c>
      <c r="D1525" s="3" t="n">
        <v>10</v>
      </c>
      <c r="E1525" s="3" t="n">
        <v>11</v>
      </c>
      <c r="F1525" s="24" t="n">
        <v>-0.553006768</v>
      </c>
    </row>
    <row r="1526" customFormat="false" ht="15" hidden="false" customHeight="false" outlineLevel="0" collapsed="false">
      <c r="A1526" s="3" t="n">
        <v>1525</v>
      </c>
      <c r="B1526" s="3" t="n">
        <v>1524</v>
      </c>
      <c r="C1526" s="3" t="n">
        <v>7</v>
      </c>
      <c r="D1526" s="3" t="n">
        <v>10</v>
      </c>
      <c r="E1526" s="3" t="n">
        <v>12</v>
      </c>
      <c r="F1526" s="24" t="n">
        <v>-0.536552012</v>
      </c>
    </row>
    <row r="1527" customFormat="false" ht="15" hidden="false" customHeight="false" outlineLevel="0" collapsed="false">
      <c r="A1527" s="3" t="n">
        <v>1526</v>
      </c>
      <c r="B1527" s="3" t="n">
        <v>1525</v>
      </c>
      <c r="C1527" s="3" t="n">
        <v>7</v>
      </c>
      <c r="D1527" s="3" t="n">
        <v>10</v>
      </c>
      <c r="E1527" s="3" t="n">
        <v>13</v>
      </c>
      <c r="F1527" s="24" t="n">
        <v>-0.165425688</v>
      </c>
    </row>
    <row r="1528" customFormat="false" ht="15" hidden="false" customHeight="false" outlineLevel="0" collapsed="false">
      <c r="A1528" s="3" t="n">
        <v>1527</v>
      </c>
      <c r="B1528" s="3" t="n">
        <v>1526</v>
      </c>
      <c r="C1528" s="3" t="n">
        <v>7</v>
      </c>
      <c r="D1528" s="3" t="n">
        <v>11</v>
      </c>
      <c r="E1528" s="3" t="n">
        <v>0</v>
      </c>
      <c r="F1528" s="24" t="n">
        <v>-0.637213945</v>
      </c>
    </row>
    <row r="1529" customFormat="false" ht="15" hidden="false" customHeight="false" outlineLevel="0" collapsed="false">
      <c r="A1529" s="3" t="n">
        <v>1528</v>
      </c>
      <c r="B1529" s="3" t="n">
        <v>1527</v>
      </c>
      <c r="C1529" s="3" t="n">
        <v>7</v>
      </c>
      <c r="D1529" s="3" t="n">
        <v>11</v>
      </c>
      <c r="E1529" s="3" t="n">
        <v>1</v>
      </c>
      <c r="F1529" s="24" t="n">
        <v>-0.481531441</v>
      </c>
    </row>
    <row r="1530" customFormat="false" ht="15" hidden="false" customHeight="false" outlineLevel="0" collapsed="false">
      <c r="A1530" s="3" t="n">
        <v>1529</v>
      </c>
      <c r="B1530" s="3" t="n">
        <v>1528</v>
      </c>
      <c r="C1530" s="3" t="n">
        <v>7</v>
      </c>
      <c r="D1530" s="3" t="n">
        <v>11</v>
      </c>
      <c r="E1530" s="3" t="n">
        <v>2</v>
      </c>
      <c r="F1530" s="24" t="n">
        <v>-0.553006768</v>
      </c>
    </row>
    <row r="1531" customFormat="false" ht="15" hidden="false" customHeight="false" outlineLevel="0" collapsed="false">
      <c r="A1531" s="3" t="n">
        <v>1530</v>
      </c>
      <c r="B1531" s="3" t="n">
        <v>1529</v>
      </c>
      <c r="C1531" s="3" t="n">
        <v>7</v>
      </c>
      <c r="D1531" s="3" t="n">
        <v>11</v>
      </c>
      <c r="E1531" s="3" t="n">
        <v>3</v>
      </c>
      <c r="F1531" s="24" t="n">
        <v>-0.50735718</v>
      </c>
    </row>
    <row r="1532" customFormat="false" ht="15" hidden="false" customHeight="false" outlineLevel="0" collapsed="false">
      <c r="A1532" s="3" t="n">
        <v>1531</v>
      </c>
      <c r="B1532" s="3" t="n">
        <v>1530</v>
      </c>
      <c r="C1532" s="3" t="n">
        <v>7</v>
      </c>
      <c r="D1532" s="3" t="n">
        <v>11</v>
      </c>
      <c r="E1532" s="3" t="n">
        <v>4</v>
      </c>
      <c r="F1532" s="24" t="n">
        <v>-0.45767349</v>
      </c>
    </row>
    <row r="1533" customFormat="false" ht="15" hidden="false" customHeight="false" outlineLevel="0" collapsed="false">
      <c r="A1533" s="3" t="n">
        <v>1532</v>
      </c>
      <c r="B1533" s="3" t="n">
        <v>1531</v>
      </c>
      <c r="C1533" s="3" t="n">
        <v>7</v>
      </c>
      <c r="D1533" s="3" t="n">
        <v>11</v>
      </c>
      <c r="E1533" s="3" t="n">
        <v>5</v>
      </c>
      <c r="F1533" s="24" t="n">
        <v>-0.343120545</v>
      </c>
    </row>
    <row r="1534" customFormat="false" ht="15" hidden="false" customHeight="false" outlineLevel="0" collapsed="false">
      <c r="A1534" s="3" t="n">
        <v>1533</v>
      </c>
      <c r="B1534" s="3" t="n">
        <v>1532</v>
      </c>
      <c r="C1534" s="3" t="n">
        <v>7</v>
      </c>
      <c r="D1534" s="3" t="n">
        <v>11</v>
      </c>
      <c r="E1534" s="3" t="n">
        <v>6</v>
      </c>
      <c r="F1534" s="24" t="n">
        <v>0.350436836</v>
      </c>
    </row>
    <row r="1535" customFormat="false" ht="15" hidden="false" customHeight="false" outlineLevel="0" collapsed="false">
      <c r="A1535" s="3" t="n">
        <v>1534</v>
      </c>
      <c r="B1535" s="3" t="n">
        <v>1533</v>
      </c>
      <c r="C1535" s="3" t="n">
        <v>7</v>
      </c>
      <c r="D1535" s="3" t="n">
        <v>11</v>
      </c>
      <c r="E1535" s="3" t="n">
        <v>7</v>
      </c>
      <c r="F1535" s="24" t="n">
        <v>-0.00140289962</v>
      </c>
    </row>
    <row r="1536" customFormat="false" ht="15" hidden="false" customHeight="false" outlineLevel="0" collapsed="false">
      <c r="A1536" s="3" t="n">
        <v>1535</v>
      </c>
      <c r="B1536" s="3" t="n">
        <v>1534</v>
      </c>
      <c r="C1536" s="3" t="n">
        <v>7</v>
      </c>
      <c r="D1536" s="3" t="n">
        <v>11</v>
      </c>
      <c r="E1536" s="3" t="n">
        <v>8</v>
      </c>
      <c r="F1536" s="24" t="n">
        <v>-1.05135119</v>
      </c>
    </row>
    <row r="1537" customFormat="false" ht="15" hidden="false" customHeight="false" outlineLevel="0" collapsed="false">
      <c r="A1537" s="3" t="n">
        <v>1536</v>
      </c>
      <c r="B1537" s="3" t="n">
        <v>1535</v>
      </c>
      <c r="C1537" s="3" t="n">
        <v>7</v>
      </c>
      <c r="D1537" s="3" t="n">
        <v>11</v>
      </c>
      <c r="E1537" s="3" t="n">
        <v>9</v>
      </c>
      <c r="F1537" s="24" t="n">
        <v>-2.11599231</v>
      </c>
    </row>
    <row r="1538" customFormat="false" ht="15" hidden="false" customHeight="false" outlineLevel="0" collapsed="false">
      <c r="A1538" s="3" t="n">
        <v>1537</v>
      </c>
      <c r="B1538" s="3" t="n">
        <v>1536</v>
      </c>
      <c r="C1538" s="3" t="n">
        <v>7</v>
      </c>
      <c r="D1538" s="3" t="n">
        <v>11</v>
      </c>
      <c r="E1538" s="3" t="n">
        <v>10</v>
      </c>
      <c r="F1538" s="24" t="n">
        <v>-0.553006768</v>
      </c>
    </row>
    <row r="1539" customFormat="false" ht="15" hidden="false" customHeight="false" outlineLevel="0" collapsed="false">
      <c r="A1539" s="3" t="n">
        <v>1538</v>
      </c>
      <c r="B1539" s="3" t="n">
        <v>1537</v>
      </c>
      <c r="C1539" s="3" t="n">
        <v>7</v>
      </c>
      <c r="D1539" s="3" t="n">
        <v>11</v>
      </c>
      <c r="E1539" s="3" t="n">
        <v>11</v>
      </c>
      <c r="F1539" s="24" t="n">
        <v>-0.553006768</v>
      </c>
    </row>
    <row r="1540" customFormat="false" ht="15" hidden="false" customHeight="false" outlineLevel="0" collapsed="false">
      <c r="A1540" s="3" t="n">
        <v>1539</v>
      </c>
      <c r="B1540" s="3" t="n">
        <v>1538</v>
      </c>
      <c r="C1540" s="3" t="n">
        <v>7</v>
      </c>
      <c r="D1540" s="3" t="n">
        <v>11</v>
      </c>
      <c r="E1540" s="3" t="n">
        <v>12</v>
      </c>
      <c r="F1540" s="24" t="n">
        <v>-0.536552012</v>
      </c>
    </row>
    <row r="1541" customFormat="false" ht="15" hidden="false" customHeight="false" outlineLevel="0" collapsed="false">
      <c r="A1541" s="3" t="n">
        <v>1540</v>
      </c>
      <c r="B1541" s="3" t="n">
        <v>1539</v>
      </c>
      <c r="C1541" s="3" t="n">
        <v>7</v>
      </c>
      <c r="D1541" s="3" t="n">
        <v>11</v>
      </c>
      <c r="E1541" s="3" t="n">
        <v>13</v>
      </c>
      <c r="F1541" s="24" t="n">
        <v>-0.165425688</v>
      </c>
    </row>
    <row r="1542" customFormat="false" ht="15" hidden="false" customHeight="false" outlineLevel="0" collapsed="false">
      <c r="A1542" s="3" t="n">
        <v>1541</v>
      </c>
      <c r="B1542" s="3" t="n">
        <v>1540</v>
      </c>
      <c r="C1542" s="3" t="n">
        <v>7</v>
      </c>
      <c r="D1542" s="3" t="n">
        <v>12</v>
      </c>
      <c r="E1542" s="3" t="n">
        <v>0</v>
      </c>
      <c r="F1542" s="24" t="n">
        <v>-0.382938445</v>
      </c>
    </row>
    <row r="1543" customFormat="false" ht="15" hidden="false" customHeight="false" outlineLevel="0" collapsed="false">
      <c r="A1543" s="3" t="n">
        <v>1542</v>
      </c>
      <c r="B1543" s="3" t="n">
        <v>1541</v>
      </c>
      <c r="C1543" s="3" t="n">
        <v>7</v>
      </c>
      <c r="D1543" s="3" t="n">
        <v>12</v>
      </c>
      <c r="E1543" s="3" t="n">
        <v>1</v>
      </c>
      <c r="F1543" s="24" t="n">
        <v>-0.205926806</v>
      </c>
    </row>
    <row r="1544" customFormat="false" ht="15" hidden="false" customHeight="false" outlineLevel="0" collapsed="false">
      <c r="A1544" s="3" t="n">
        <v>1543</v>
      </c>
      <c r="B1544" s="3" t="n">
        <v>1542</v>
      </c>
      <c r="C1544" s="3" t="n">
        <v>7</v>
      </c>
      <c r="D1544" s="3" t="n">
        <v>12</v>
      </c>
      <c r="E1544" s="3" t="n">
        <v>2</v>
      </c>
      <c r="F1544" s="24" t="n">
        <v>-0.302508831</v>
      </c>
    </row>
    <row r="1545" customFormat="false" ht="15" hidden="false" customHeight="false" outlineLevel="0" collapsed="false">
      <c r="A1545" s="3" t="n">
        <v>1544</v>
      </c>
      <c r="B1545" s="3" t="n">
        <v>1543</v>
      </c>
      <c r="C1545" s="3" t="n">
        <v>7</v>
      </c>
      <c r="D1545" s="3" t="n">
        <v>12</v>
      </c>
      <c r="E1545" s="3" t="n">
        <v>3</v>
      </c>
      <c r="F1545" s="24" t="n">
        <v>-0.732042253</v>
      </c>
    </row>
    <row r="1546" customFormat="false" ht="15" hidden="false" customHeight="false" outlineLevel="0" collapsed="false">
      <c r="A1546" s="3" t="n">
        <v>1545</v>
      </c>
      <c r="B1546" s="3" t="n">
        <v>1544</v>
      </c>
      <c r="C1546" s="3" t="n">
        <v>7</v>
      </c>
      <c r="D1546" s="3" t="n">
        <v>12</v>
      </c>
      <c r="E1546" s="3" t="n">
        <v>4</v>
      </c>
      <c r="F1546" s="24" t="n">
        <v>-3.94581866</v>
      </c>
    </row>
    <row r="1547" customFormat="false" ht="15" hidden="false" customHeight="false" outlineLevel="0" collapsed="false">
      <c r="A1547" s="3" t="n">
        <v>1546</v>
      </c>
      <c r="B1547" s="3" t="n">
        <v>1545</v>
      </c>
      <c r="C1547" s="3" t="n">
        <v>7</v>
      </c>
      <c r="D1547" s="3" t="n">
        <v>12</v>
      </c>
      <c r="E1547" s="3" t="n">
        <v>5</v>
      </c>
      <c r="F1547" s="24" t="n">
        <v>-6.11398315</v>
      </c>
    </row>
    <row r="1548" customFormat="false" ht="15" hidden="false" customHeight="false" outlineLevel="0" collapsed="false">
      <c r="A1548" s="3" t="n">
        <v>1547</v>
      </c>
      <c r="B1548" s="3" t="n">
        <v>1546</v>
      </c>
      <c r="C1548" s="3" t="n">
        <v>7</v>
      </c>
      <c r="D1548" s="3" t="n">
        <v>12</v>
      </c>
      <c r="E1548" s="3" t="n">
        <v>6</v>
      </c>
      <c r="F1548" s="24" t="n">
        <v>-3.53949833</v>
      </c>
    </row>
    <row r="1549" customFormat="false" ht="15" hidden="false" customHeight="false" outlineLevel="0" collapsed="false">
      <c r="A1549" s="3" t="n">
        <v>1548</v>
      </c>
      <c r="B1549" s="3" t="n">
        <v>1547</v>
      </c>
      <c r="C1549" s="3" t="n">
        <v>7</v>
      </c>
      <c r="D1549" s="3" t="n">
        <v>12</v>
      </c>
      <c r="E1549" s="3" t="n">
        <v>7</v>
      </c>
      <c r="F1549" s="24" t="n">
        <v>-0.478608549</v>
      </c>
    </row>
    <row r="1550" customFormat="false" ht="15" hidden="false" customHeight="false" outlineLevel="0" collapsed="false">
      <c r="A1550" s="3" t="n">
        <v>1549</v>
      </c>
      <c r="B1550" s="3" t="n">
        <v>1548</v>
      </c>
      <c r="C1550" s="3" t="n">
        <v>7</v>
      </c>
      <c r="D1550" s="3" t="n">
        <v>12</v>
      </c>
      <c r="E1550" s="3" t="n">
        <v>8</v>
      </c>
      <c r="F1550" s="24" t="n">
        <v>-0.484016776</v>
      </c>
    </row>
    <row r="1551" customFormat="false" ht="15" hidden="false" customHeight="false" outlineLevel="0" collapsed="false">
      <c r="A1551" s="3" t="n">
        <v>1550</v>
      </c>
      <c r="B1551" s="3" t="n">
        <v>1549</v>
      </c>
      <c r="C1551" s="3" t="n">
        <v>7</v>
      </c>
      <c r="D1551" s="3" t="n">
        <v>12</v>
      </c>
      <c r="E1551" s="3" t="n">
        <v>9</v>
      </c>
      <c r="F1551" s="24" t="n">
        <v>-0.430009007</v>
      </c>
    </row>
    <row r="1552" customFormat="false" ht="15" hidden="false" customHeight="false" outlineLevel="0" collapsed="false">
      <c r="A1552" s="3" t="n">
        <v>1551</v>
      </c>
      <c r="B1552" s="3" t="n">
        <v>1550</v>
      </c>
      <c r="C1552" s="3" t="n">
        <v>7</v>
      </c>
      <c r="D1552" s="3" t="n">
        <v>12</v>
      </c>
      <c r="E1552" s="3" t="n">
        <v>10</v>
      </c>
      <c r="F1552" s="24" t="n">
        <v>-0.302508831</v>
      </c>
    </row>
    <row r="1553" customFormat="false" ht="15" hidden="false" customHeight="false" outlineLevel="0" collapsed="false">
      <c r="A1553" s="3" t="n">
        <v>1552</v>
      </c>
      <c r="B1553" s="3" t="n">
        <v>1551</v>
      </c>
      <c r="C1553" s="3" t="n">
        <v>7</v>
      </c>
      <c r="D1553" s="3" t="n">
        <v>12</v>
      </c>
      <c r="E1553" s="3" t="n">
        <v>11</v>
      </c>
      <c r="F1553" s="24" t="n">
        <v>-0.302508831</v>
      </c>
    </row>
    <row r="1554" customFormat="false" ht="15" hidden="false" customHeight="false" outlineLevel="0" collapsed="false">
      <c r="A1554" s="3" t="n">
        <v>1553</v>
      </c>
      <c r="B1554" s="3" t="n">
        <v>1552</v>
      </c>
      <c r="C1554" s="3" t="n">
        <v>7</v>
      </c>
      <c r="D1554" s="3" t="n">
        <v>12</v>
      </c>
      <c r="E1554" s="3" t="n">
        <v>12</v>
      </c>
      <c r="F1554" s="24" t="n">
        <v>-0.286054075</v>
      </c>
    </row>
    <row r="1555" customFormat="false" ht="15" hidden="false" customHeight="false" outlineLevel="0" collapsed="false">
      <c r="A1555" s="3" t="n">
        <v>1554</v>
      </c>
      <c r="B1555" s="3" t="n">
        <v>1553</v>
      </c>
      <c r="C1555" s="3" t="n">
        <v>7</v>
      </c>
      <c r="D1555" s="3" t="n">
        <v>12</v>
      </c>
      <c r="E1555" s="3" t="n">
        <v>13</v>
      </c>
      <c r="F1555" s="24" t="n">
        <v>-0.049283497</v>
      </c>
    </row>
    <row r="1556" customFormat="false" ht="15" hidden="false" customHeight="false" outlineLevel="0" collapsed="false">
      <c r="A1556" s="3" t="n">
        <v>1555</v>
      </c>
      <c r="B1556" s="3" t="n">
        <v>1554</v>
      </c>
      <c r="C1556" s="3" t="n">
        <v>7</v>
      </c>
      <c r="D1556" s="3" t="n">
        <v>13</v>
      </c>
      <c r="E1556" s="3" t="n">
        <v>0</v>
      </c>
      <c r="F1556" s="24" t="n">
        <v>0.0813839287</v>
      </c>
    </row>
    <row r="1557" customFormat="false" ht="15" hidden="false" customHeight="false" outlineLevel="0" collapsed="false">
      <c r="A1557" s="3" t="n">
        <v>1556</v>
      </c>
      <c r="B1557" s="3" t="n">
        <v>1555</v>
      </c>
      <c r="C1557" s="3" t="n">
        <v>7</v>
      </c>
      <c r="D1557" s="3" t="n">
        <v>13</v>
      </c>
      <c r="E1557" s="3" t="n">
        <v>1</v>
      </c>
      <c r="F1557" s="24" t="n">
        <v>0.467008471</v>
      </c>
    </row>
    <row r="1558" customFormat="false" ht="15" hidden="false" customHeight="false" outlineLevel="0" collapsed="false">
      <c r="A1558" s="3" t="n">
        <v>1557</v>
      </c>
      <c r="B1558" s="3" t="n">
        <v>1556</v>
      </c>
      <c r="C1558" s="3" t="n">
        <v>7</v>
      </c>
      <c r="D1558" s="3" t="n">
        <v>13</v>
      </c>
      <c r="E1558" s="3" t="n">
        <v>2</v>
      </c>
      <c r="F1558" s="24" t="n">
        <v>0.457742751</v>
      </c>
    </row>
    <row r="1559" customFormat="false" ht="15" hidden="false" customHeight="false" outlineLevel="0" collapsed="false">
      <c r="A1559" s="3" t="n">
        <v>1558</v>
      </c>
      <c r="B1559" s="3" t="n">
        <v>1557</v>
      </c>
      <c r="C1559" s="3" t="n">
        <v>7</v>
      </c>
      <c r="D1559" s="3" t="n">
        <v>13</v>
      </c>
      <c r="E1559" s="3" t="n">
        <v>3</v>
      </c>
      <c r="F1559" s="24" t="n">
        <v>0.196500361</v>
      </c>
    </row>
    <row r="1560" customFormat="false" ht="15" hidden="false" customHeight="false" outlineLevel="0" collapsed="false">
      <c r="A1560" s="3" t="n">
        <v>1559</v>
      </c>
      <c r="B1560" s="3" t="n">
        <v>1558</v>
      </c>
      <c r="C1560" s="3" t="n">
        <v>7</v>
      </c>
      <c r="D1560" s="3" t="n">
        <v>13</v>
      </c>
      <c r="E1560" s="3" t="n">
        <v>4</v>
      </c>
      <c r="F1560" s="24" t="n">
        <v>0.118397668</v>
      </c>
    </row>
    <row r="1561" customFormat="false" ht="15" hidden="false" customHeight="false" outlineLevel="0" collapsed="false">
      <c r="A1561" s="3" t="n">
        <v>1560</v>
      </c>
      <c r="B1561" s="3" t="n">
        <v>1559</v>
      </c>
      <c r="C1561" s="3" t="n">
        <v>7</v>
      </c>
      <c r="D1561" s="3" t="n">
        <v>13</v>
      </c>
      <c r="E1561" s="3" t="n">
        <v>5</v>
      </c>
      <c r="F1561" s="24" t="n">
        <v>-1.29005957</v>
      </c>
    </row>
    <row r="1562" customFormat="false" ht="15" hidden="false" customHeight="false" outlineLevel="0" collapsed="false">
      <c r="A1562" s="3" t="n">
        <v>1561</v>
      </c>
      <c r="B1562" s="3" t="n">
        <v>1560</v>
      </c>
      <c r="C1562" s="3" t="n">
        <v>7</v>
      </c>
      <c r="D1562" s="3" t="n">
        <v>13</v>
      </c>
      <c r="E1562" s="3" t="n">
        <v>6</v>
      </c>
      <c r="F1562" s="24" t="n">
        <v>-5.24264193</v>
      </c>
    </row>
    <row r="1563" customFormat="false" ht="15" hidden="false" customHeight="false" outlineLevel="0" collapsed="false">
      <c r="A1563" s="3" t="n">
        <v>1562</v>
      </c>
      <c r="B1563" s="3" t="n">
        <v>1561</v>
      </c>
      <c r="C1563" s="3" t="n">
        <v>7</v>
      </c>
      <c r="D1563" s="3" t="n">
        <v>13</v>
      </c>
      <c r="E1563" s="3" t="n">
        <v>7</v>
      </c>
      <c r="F1563" s="24" t="n">
        <v>-3.11195517</v>
      </c>
    </row>
    <row r="1564" customFormat="false" ht="15" hidden="false" customHeight="false" outlineLevel="0" collapsed="false">
      <c r="A1564" s="3" t="n">
        <v>1563</v>
      </c>
      <c r="B1564" s="3" t="n">
        <v>1562</v>
      </c>
      <c r="C1564" s="3" t="n">
        <v>7</v>
      </c>
      <c r="D1564" s="3" t="n">
        <v>13</v>
      </c>
      <c r="E1564" s="3" t="n">
        <v>8</v>
      </c>
      <c r="F1564" s="24" t="n">
        <v>-1.17073572</v>
      </c>
    </row>
    <row r="1565" customFormat="false" ht="15" hidden="false" customHeight="false" outlineLevel="0" collapsed="false">
      <c r="A1565" s="3" t="n">
        <v>1564</v>
      </c>
      <c r="B1565" s="3" t="n">
        <v>1563</v>
      </c>
      <c r="C1565" s="3" t="n">
        <v>7</v>
      </c>
      <c r="D1565" s="3" t="n">
        <v>13</v>
      </c>
      <c r="E1565" s="3" t="n">
        <v>9</v>
      </c>
      <c r="F1565" s="24" t="n">
        <v>0.457742751</v>
      </c>
    </row>
    <row r="1566" customFormat="false" ht="15" hidden="false" customHeight="false" outlineLevel="0" collapsed="false">
      <c r="A1566" s="3" t="n">
        <v>1565</v>
      </c>
      <c r="B1566" s="3" t="n">
        <v>1564</v>
      </c>
      <c r="C1566" s="3" t="n">
        <v>7</v>
      </c>
      <c r="D1566" s="3" t="n">
        <v>13</v>
      </c>
      <c r="E1566" s="3" t="n">
        <v>10</v>
      </c>
      <c r="F1566" s="24" t="n">
        <v>0.457742751</v>
      </c>
    </row>
    <row r="1567" customFormat="false" ht="15" hidden="false" customHeight="false" outlineLevel="0" collapsed="false">
      <c r="A1567" s="3" t="n">
        <v>1566</v>
      </c>
      <c r="B1567" s="3" t="n">
        <v>1565</v>
      </c>
      <c r="C1567" s="3" t="n">
        <v>7</v>
      </c>
      <c r="D1567" s="3" t="n">
        <v>13</v>
      </c>
      <c r="E1567" s="3" t="n">
        <v>11</v>
      </c>
      <c r="F1567" s="24" t="n">
        <v>0.457742751</v>
      </c>
    </row>
    <row r="1568" customFormat="false" ht="15" hidden="false" customHeight="false" outlineLevel="0" collapsed="false">
      <c r="A1568" s="3" t="n">
        <v>1567</v>
      </c>
      <c r="B1568" s="3" t="n">
        <v>1566</v>
      </c>
      <c r="C1568" s="3" t="n">
        <v>7</v>
      </c>
      <c r="D1568" s="3" t="n">
        <v>13</v>
      </c>
      <c r="E1568" s="3" t="n">
        <v>12</v>
      </c>
      <c r="F1568" s="24" t="n">
        <v>0.518655956</v>
      </c>
    </row>
    <row r="1569" customFormat="false" ht="15" hidden="false" customHeight="false" outlineLevel="0" collapsed="false">
      <c r="A1569" s="3" t="n">
        <v>1568</v>
      </c>
      <c r="B1569" s="3" t="n">
        <v>1567</v>
      </c>
      <c r="C1569" s="3" t="n">
        <v>7</v>
      </c>
      <c r="D1569" s="3" t="n">
        <v>13</v>
      </c>
      <c r="E1569" s="3" t="n">
        <v>13</v>
      </c>
      <c r="F1569" s="24" t="n">
        <v>0.517279625</v>
      </c>
    </row>
    <row r="1570" customFormat="false" ht="15" hidden="false" customHeight="false" outlineLevel="0" collapsed="false">
      <c r="A1570" s="3" t="n">
        <v>1569</v>
      </c>
      <c r="B1570" s="3" t="n">
        <v>1568</v>
      </c>
      <c r="C1570" s="3" t="n">
        <v>8</v>
      </c>
      <c r="D1570" s="3" t="n">
        <v>0</v>
      </c>
      <c r="E1570" s="3" t="n">
        <v>0</v>
      </c>
      <c r="F1570" s="24" t="n">
        <v>-1.50429618</v>
      </c>
    </row>
    <row r="1571" customFormat="false" ht="15" hidden="false" customHeight="false" outlineLevel="0" collapsed="false">
      <c r="A1571" s="3" t="n">
        <v>1570</v>
      </c>
      <c r="B1571" s="3" t="n">
        <v>1569</v>
      </c>
      <c r="C1571" s="3" t="n">
        <v>8</v>
      </c>
      <c r="D1571" s="3" t="n">
        <v>0</v>
      </c>
      <c r="E1571" s="3" t="n">
        <v>1</v>
      </c>
      <c r="F1571" s="24" t="n">
        <v>-1.9662236</v>
      </c>
    </row>
    <row r="1572" customFormat="false" ht="15" hidden="false" customHeight="false" outlineLevel="0" collapsed="false">
      <c r="A1572" s="3" t="n">
        <v>1571</v>
      </c>
      <c r="B1572" s="3" t="n">
        <v>1570</v>
      </c>
      <c r="C1572" s="3" t="n">
        <v>8</v>
      </c>
      <c r="D1572" s="3" t="n">
        <v>0</v>
      </c>
      <c r="E1572" s="3" t="n">
        <v>2</v>
      </c>
      <c r="F1572" s="24" t="n">
        <v>-1.82286417</v>
      </c>
    </row>
    <row r="1573" customFormat="false" ht="15" hidden="false" customHeight="false" outlineLevel="0" collapsed="false">
      <c r="A1573" s="3" t="n">
        <v>1572</v>
      </c>
      <c r="B1573" s="3" t="n">
        <v>1571</v>
      </c>
      <c r="C1573" s="3" t="n">
        <v>8</v>
      </c>
      <c r="D1573" s="3" t="n">
        <v>0</v>
      </c>
      <c r="E1573" s="3" t="n">
        <v>3</v>
      </c>
      <c r="F1573" s="24" t="n">
        <v>-1.82286417</v>
      </c>
    </row>
    <row r="1574" customFormat="false" ht="15" hidden="false" customHeight="false" outlineLevel="0" collapsed="false">
      <c r="A1574" s="3" t="n">
        <v>1573</v>
      </c>
      <c r="B1574" s="3" t="n">
        <v>1572</v>
      </c>
      <c r="C1574" s="3" t="n">
        <v>8</v>
      </c>
      <c r="D1574" s="3" t="n">
        <v>0</v>
      </c>
      <c r="E1574" s="3" t="n">
        <v>4</v>
      </c>
      <c r="F1574" s="24" t="n">
        <v>-1.82286417</v>
      </c>
    </row>
    <row r="1575" customFormat="false" ht="15" hidden="false" customHeight="false" outlineLevel="0" collapsed="false">
      <c r="A1575" s="3" t="n">
        <v>1574</v>
      </c>
      <c r="B1575" s="3" t="n">
        <v>1573</v>
      </c>
      <c r="C1575" s="3" t="n">
        <v>8</v>
      </c>
      <c r="D1575" s="3" t="n">
        <v>0</v>
      </c>
      <c r="E1575" s="3" t="n">
        <v>5</v>
      </c>
      <c r="F1575" s="24" t="n">
        <v>-1.82286417</v>
      </c>
    </row>
    <row r="1576" customFormat="false" ht="15" hidden="false" customHeight="false" outlineLevel="0" collapsed="false">
      <c r="A1576" s="3" t="n">
        <v>1575</v>
      </c>
      <c r="B1576" s="3" t="n">
        <v>1574</v>
      </c>
      <c r="C1576" s="3" t="n">
        <v>8</v>
      </c>
      <c r="D1576" s="3" t="n">
        <v>0</v>
      </c>
      <c r="E1576" s="3" t="n">
        <v>6</v>
      </c>
      <c r="F1576" s="24" t="n">
        <v>-1.82286417</v>
      </c>
    </row>
    <row r="1577" customFormat="false" ht="15" hidden="false" customHeight="false" outlineLevel="0" collapsed="false">
      <c r="A1577" s="3" t="n">
        <v>1576</v>
      </c>
      <c r="B1577" s="3" t="n">
        <v>1575</v>
      </c>
      <c r="C1577" s="3" t="n">
        <v>8</v>
      </c>
      <c r="D1577" s="3" t="n">
        <v>0</v>
      </c>
      <c r="E1577" s="3" t="n">
        <v>7</v>
      </c>
      <c r="F1577" s="24" t="n">
        <v>-1.82286417</v>
      </c>
    </row>
    <row r="1578" customFormat="false" ht="15" hidden="false" customHeight="false" outlineLevel="0" collapsed="false">
      <c r="A1578" s="3" t="n">
        <v>1577</v>
      </c>
      <c r="B1578" s="3" t="n">
        <v>1576</v>
      </c>
      <c r="C1578" s="3" t="n">
        <v>8</v>
      </c>
      <c r="D1578" s="3" t="n">
        <v>0</v>
      </c>
      <c r="E1578" s="3" t="n">
        <v>8</v>
      </c>
      <c r="F1578" s="24" t="n">
        <v>-1.82286417</v>
      </c>
    </row>
    <row r="1579" customFormat="false" ht="15" hidden="false" customHeight="false" outlineLevel="0" collapsed="false">
      <c r="A1579" s="3" t="n">
        <v>1578</v>
      </c>
      <c r="B1579" s="3" t="n">
        <v>1577</v>
      </c>
      <c r="C1579" s="3" t="n">
        <v>8</v>
      </c>
      <c r="D1579" s="3" t="n">
        <v>0</v>
      </c>
      <c r="E1579" s="3" t="n">
        <v>9</v>
      </c>
      <c r="F1579" s="24" t="n">
        <v>-1.82286417</v>
      </c>
    </row>
    <row r="1580" customFormat="false" ht="15" hidden="false" customHeight="false" outlineLevel="0" collapsed="false">
      <c r="A1580" s="3" t="n">
        <v>1579</v>
      </c>
      <c r="B1580" s="3" t="n">
        <v>1578</v>
      </c>
      <c r="C1580" s="3" t="n">
        <v>8</v>
      </c>
      <c r="D1580" s="3" t="n">
        <v>0</v>
      </c>
      <c r="E1580" s="3" t="n">
        <v>10</v>
      </c>
      <c r="F1580" s="24" t="n">
        <v>-1.82286417</v>
      </c>
    </row>
    <row r="1581" customFormat="false" ht="15" hidden="false" customHeight="false" outlineLevel="0" collapsed="false">
      <c r="A1581" s="3" t="n">
        <v>1580</v>
      </c>
      <c r="B1581" s="3" t="n">
        <v>1579</v>
      </c>
      <c r="C1581" s="3" t="n">
        <v>8</v>
      </c>
      <c r="D1581" s="3" t="n">
        <v>0</v>
      </c>
      <c r="E1581" s="3" t="n">
        <v>11</v>
      </c>
      <c r="F1581" s="24" t="n">
        <v>-1.82286417</v>
      </c>
    </row>
    <row r="1582" customFormat="false" ht="15" hidden="false" customHeight="false" outlineLevel="0" collapsed="false">
      <c r="A1582" s="3" t="n">
        <v>1581</v>
      </c>
      <c r="B1582" s="3" t="n">
        <v>1580</v>
      </c>
      <c r="C1582" s="3" t="n">
        <v>8</v>
      </c>
      <c r="D1582" s="3" t="n">
        <v>0</v>
      </c>
      <c r="E1582" s="3" t="n">
        <v>12</v>
      </c>
      <c r="F1582" s="24" t="n">
        <v>-1.94154751</v>
      </c>
    </row>
    <row r="1583" customFormat="false" ht="15" hidden="false" customHeight="false" outlineLevel="0" collapsed="false">
      <c r="A1583" s="3" t="n">
        <v>1582</v>
      </c>
      <c r="B1583" s="3" t="n">
        <v>1581</v>
      </c>
      <c r="C1583" s="3" t="n">
        <v>8</v>
      </c>
      <c r="D1583" s="3" t="n">
        <v>0</v>
      </c>
      <c r="E1583" s="3" t="n">
        <v>13</v>
      </c>
      <c r="F1583" s="24" t="n">
        <v>-1.12710893</v>
      </c>
    </row>
    <row r="1584" customFormat="false" ht="15" hidden="false" customHeight="false" outlineLevel="0" collapsed="false">
      <c r="A1584" s="3" t="n">
        <v>1583</v>
      </c>
      <c r="B1584" s="3" t="n">
        <v>1582</v>
      </c>
      <c r="C1584" s="3" t="n">
        <v>8</v>
      </c>
      <c r="D1584" s="3" t="n">
        <v>1</v>
      </c>
      <c r="E1584" s="3" t="n">
        <v>0</v>
      </c>
      <c r="F1584" s="24" t="n">
        <v>-1.05185497</v>
      </c>
    </row>
    <row r="1585" customFormat="false" ht="15" hidden="false" customHeight="false" outlineLevel="0" collapsed="false">
      <c r="A1585" s="3" t="n">
        <v>1584</v>
      </c>
      <c r="B1585" s="3" t="n">
        <v>1583</v>
      </c>
      <c r="C1585" s="3" t="n">
        <v>8</v>
      </c>
      <c r="D1585" s="3" t="n">
        <v>1</v>
      </c>
      <c r="E1585" s="3" t="n">
        <v>1</v>
      </c>
      <c r="F1585" s="24" t="n">
        <v>-1.38732672</v>
      </c>
    </row>
    <row r="1586" customFormat="false" ht="15" hidden="false" customHeight="false" outlineLevel="0" collapsed="false">
      <c r="A1586" s="3" t="n">
        <v>1585</v>
      </c>
      <c r="B1586" s="3" t="n">
        <v>1584</v>
      </c>
      <c r="C1586" s="3" t="n">
        <v>8</v>
      </c>
      <c r="D1586" s="3" t="n">
        <v>1</v>
      </c>
      <c r="E1586" s="3" t="n">
        <v>2</v>
      </c>
      <c r="F1586" s="24" t="n">
        <v>-1.26580513</v>
      </c>
    </row>
    <row r="1587" customFormat="false" ht="15" hidden="false" customHeight="false" outlineLevel="0" collapsed="false">
      <c r="A1587" s="3" t="n">
        <v>1586</v>
      </c>
      <c r="B1587" s="3" t="n">
        <v>1585</v>
      </c>
      <c r="C1587" s="3" t="n">
        <v>8</v>
      </c>
      <c r="D1587" s="3" t="n">
        <v>1</v>
      </c>
      <c r="E1587" s="3" t="n">
        <v>3</v>
      </c>
      <c r="F1587" s="24" t="n">
        <v>-1.26580513</v>
      </c>
    </row>
    <row r="1588" customFormat="false" ht="15" hidden="false" customHeight="false" outlineLevel="0" collapsed="false">
      <c r="A1588" s="3" t="n">
        <v>1587</v>
      </c>
      <c r="B1588" s="3" t="n">
        <v>1586</v>
      </c>
      <c r="C1588" s="3" t="n">
        <v>8</v>
      </c>
      <c r="D1588" s="3" t="n">
        <v>1</v>
      </c>
      <c r="E1588" s="3" t="n">
        <v>4</v>
      </c>
      <c r="F1588" s="24" t="n">
        <v>-1.26580513</v>
      </c>
    </row>
    <row r="1589" customFormat="false" ht="15" hidden="false" customHeight="false" outlineLevel="0" collapsed="false">
      <c r="A1589" s="3" t="n">
        <v>1588</v>
      </c>
      <c r="B1589" s="3" t="n">
        <v>1587</v>
      </c>
      <c r="C1589" s="3" t="n">
        <v>8</v>
      </c>
      <c r="D1589" s="3" t="n">
        <v>1</v>
      </c>
      <c r="E1589" s="3" t="n">
        <v>5</v>
      </c>
      <c r="F1589" s="24" t="n">
        <v>-1.26580513</v>
      </c>
    </row>
    <row r="1590" customFormat="false" ht="15" hidden="false" customHeight="false" outlineLevel="0" collapsed="false">
      <c r="A1590" s="3" t="n">
        <v>1589</v>
      </c>
      <c r="B1590" s="3" t="n">
        <v>1588</v>
      </c>
      <c r="C1590" s="3" t="n">
        <v>8</v>
      </c>
      <c r="D1590" s="3" t="n">
        <v>1</v>
      </c>
      <c r="E1590" s="3" t="n">
        <v>6</v>
      </c>
      <c r="F1590" s="24" t="n">
        <v>-1.26580513</v>
      </c>
    </row>
    <row r="1591" customFormat="false" ht="15" hidden="false" customHeight="false" outlineLevel="0" collapsed="false">
      <c r="A1591" s="3" t="n">
        <v>1590</v>
      </c>
      <c r="B1591" s="3" t="n">
        <v>1589</v>
      </c>
      <c r="C1591" s="3" t="n">
        <v>8</v>
      </c>
      <c r="D1591" s="3" t="n">
        <v>1</v>
      </c>
      <c r="E1591" s="3" t="n">
        <v>7</v>
      </c>
      <c r="F1591" s="24" t="n">
        <v>-1.26580513</v>
      </c>
    </row>
    <row r="1592" customFormat="false" ht="15" hidden="false" customHeight="false" outlineLevel="0" collapsed="false">
      <c r="A1592" s="3" t="n">
        <v>1591</v>
      </c>
      <c r="B1592" s="3" t="n">
        <v>1590</v>
      </c>
      <c r="C1592" s="3" t="n">
        <v>8</v>
      </c>
      <c r="D1592" s="3" t="n">
        <v>1</v>
      </c>
      <c r="E1592" s="3" t="n">
        <v>8</v>
      </c>
      <c r="F1592" s="24" t="n">
        <v>-1.26580513</v>
      </c>
    </row>
    <row r="1593" customFormat="false" ht="15" hidden="false" customHeight="false" outlineLevel="0" collapsed="false">
      <c r="A1593" s="3" t="n">
        <v>1592</v>
      </c>
      <c r="B1593" s="3" t="n">
        <v>1591</v>
      </c>
      <c r="C1593" s="3" t="n">
        <v>8</v>
      </c>
      <c r="D1593" s="3" t="n">
        <v>1</v>
      </c>
      <c r="E1593" s="3" t="n">
        <v>9</v>
      </c>
      <c r="F1593" s="24" t="n">
        <v>-1.26580513</v>
      </c>
    </row>
    <row r="1594" customFormat="false" ht="15" hidden="false" customHeight="false" outlineLevel="0" collapsed="false">
      <c r="A1594" s="3" t="n">
        <v>1593</v>
      </c>
      <c r="B1594" s="3" t="n">
        <v>1592</v>
      </c>
      <c r="C1594" s="3" t="n">
        <v>8</v>
      </c>
      <c r="D1594" s="3" t="n">
        <v>1</v>
      </c>
      <c r="E1594" s="3" t="n">
        <v>10</v>
      </c>
      <c r="F1594" s="24" t="n">
        <v>-1.26580513</v>
      </c>
    </row>
    <row r="1595" customFormat="false" ht="15" hidden="false" customHeight="false" outlineLevel="0" collapsed="false">
      <c r="A1595" s="3" t="n">
        <v>1594</v>
      </c>
      <c r="B1595" s="3" t="n">
        <v>1593</v>
      </c>
      <c r="C1595" s="3" t="n">
        <v>8</v>
      </c>
      <c r="D1595" s="3" t="n">
        <v>1</v>
      </c>
      <c r="E1595" s="3" t="n">
        <v>11</v>
      </c>
      <c r="F1595" s="24" t="n">
        <v>-1.26580513</v>
      </c>
    </row>
    <row r="1596" customFormat="false" ht="15" hidden="false" customHeight="false" outlineLevel="0" collapsed="false">
      <c r="A1596" s="3" t="n">
        <v>1595</v>
      </c>
      <c r="B1596" s="3" t="n">
        <v>1594</v>
      </c>
      <c r="C1596" s="3" t="n">
        <v>8</v>
      </c>
      <c r="D1596" s="3" t="n">
        <v>1</v>
      </c>
      <c r="E1596" s="3" t="n">
        <v>12</v>
      </c>
      <c r="F1596" s="24" t="n">
        <v>-1.42868233</v>
      </c>
    </row>
    <row r="1597" customFormat="false" ht="15" hidden="false" customHeight="false" outlineLevel="0" collapsed="false">
      <c r="A1597" s="3" t="n">
        <v>1596</v>
      </c>
      <c r="B1597" s="3" t="n">
        <v>1595</v>
      </c>
      <c r="C1597" s="3" t="n">
        <v>8</v>
      </c>
      <c r="D1597" s="3" t="n">
        <v>1</v>
      </c>
      <c r="E1597" s="3" t="n">
        <v>13</v>
      </c>
      <c r="F1597" s="24" t="n">
        <v>-0.905666769</v>
      </c>
    </row>
    <row r="1598" customFormat="false" ht="15" hidden="false" customHeight="false" outlineLevel="0" collapsed="false">
      <c r="A1598" s="3" t="n">
        <v>1597</v>
      </c>
      <c r="B1598" s="3" t="n">
        <v>1596</v>
      </c>
      <c r="C1598" s="3" t="n">
        <v>8</v>
      </c>
      <c r="D1598" s="3" t="n">
        <v>2</v>
      </c>
      <c r="E1598" s="3" t="n">
        <v>0</v>
      </c>
      <c r="F1598" s="24" t="n">
        <v>-1.00570059</v>
      </c>
    </row>
    <row r="1599" customFormat="false" ht="15" hidden="false" customHeight="false" outlineLevel="0" collapsed="false">
      <c r="A1599" s="3" t="n">
        <v>1598</v>
      </c>
      <c r="B1599" s="3" t="n">
        <v>1597</v>
      </c>
      <c r="C1599" s="3" t="n">
        <v>8</v>
      </c>
      <c r="D1599" s="3" t="n">
        <v>2</v>
      </c>
      <c r="E1599" s="3" t="n">
        <v>1</v>
      </c>
      <c r="F1599" s="24" t="n">
        <v>-1.16635466</v>
      </c>
    </row>
    <row r="1600" customFormat="false" ht="15" hidden="false" customHeight="false" outlineLevel="0" collapsed="false">
      <c r="A1600" s="3" t="n">
        <v>1599</v>
      </c>
      <c r="B1600" s="3" t="n">
        <v>1598</v>
      </c>
      <c r="C1600" s="3" t="n">
        <v>8</v>
      </c>
      <c r="D1600" s="3" t="n">
        <v>2</v>
      </c>
      <c r="E1600" s="3" t="n">
        <v>2</v>
      </c>
      <c r="F1600" s="24" t="n">
        <v>-0.603399754</v>
      </c>
    </row>
    <row r="1601" customFormat="false" ht="15" hidden="false" customHeight="false" outlineLevel="0" collapsed="false">
      <c r="A1601" s="3" t="n">
        <v>1600</v>
      </c>
      <c r="B1601" s="3" t="n">
        <v>1599</v>
      </c>
      <c r="C1601" s="3" t="n">
        <v>8</v>
      </c>
      <c r="D1601" s="3" t="n">
        <v>2</v>
      </c>
      <c r="E1601" s="3" t="n">
        <v>3</v>
      </c>
      <c r="F1601" s="24" t="n">
        <v>0.163972259</v>
      </c>
    </row>
    <row r="1602" customFormat="false" ht="15" hidden="false" customHeight="false" outlineLevel="0" collapsed="false">
      <c r="A1602" s="3" t="n">
        <v>1601</v>
      </c>
      <c r="B1602" s="3" t="n">
        <v>1600</v>
      </c>
      <c r="C1602" s="3" t="n">
        <v>8</v>
      </c>
      <c r="D1602" s="3" t="n">
        <v>2</v>
      </c>
      <c r="E1602" s="3" t="n">
        <v>4</v>
      </c>
      <c r="F1602" s="24" t="n">
        <v>-1.21443713</v>
      </c>
    </row>
    <row r="1603" customFormat="false" ht="15" hidden="false" customHeight="false" outlineLevel="0" collapsed="false">
      <c r="A1603" s="3" t="n">
        <v>1602</v>
      </c>
      <c r="B1603" s="3" t="n">
        <v>1601</v>
      </c>
      <c r="C1603" s="3" t="n">
        <v>8</v>
      </c>
      <c r="D1603" s="3" t="n">
        <v>2</v>
      </c>
      <c r="E1603" s="3" t="n">
        <v>5</v>
      </c>
      <c r="F1603" s="24" t="n">
        <v>-1.57355523</v>
      </c>
    </row>
    <row r="1604" customFormat="false" ht="15" hidden="false" customHeight="false" outlineLevel="0" collapsed="false">
      <c r="A1604" s="3" t="n">
        <v>1603</v>
      </c>
      <c r="B1604" s="3" t="n">
        <v>1602</v>
      </c>
      <c r="C1604" s="3" t="n">
        <v>8</v>
      </c>
      <c r="D1604" s="3" t="n">
        <v>2</v>
      </c>
      <c r="E1604" s="3" t="n">
        <v>6</v>
      </c>
      <c r="F1604" s="24" t="n">
        <v>-1.64283967</v>
      </c>
    </row>
    <row r="1605" customFormat="false" ht="15" hidden="false" customHeight="false" outlineLevel="0" collapsed="false">
      <c r="A1605" s="3" t="n">
        <v>1604</v>
      </c>
      <c r="B1605" s="3" t="n">
        <v>1603</v>
      </c>
      <c r="C1605" s="3" t="n">
        <v>8</v>
      </c>
      <c r="D1605" s="3" t="n">
        <v>2</v>
      </c>
      <c r="E1605" s="3" t="n">
        <v>7</v>
      </c>
      <c r="F1605" s="24" t="n">
        <v>-1.27333379</v>
      </c>
    </row>
    <row r="1606" customFormat="false" ht="15" hidden="false" customHeight="false" outlineLevel="0" collapsed="false">
      <c r="A1606" s="3" t="n">
        <v>1605</v>
      </c>
      <c r="B1606" s="3" t="n">
        <v>1604</v>
      </c>
      <c r="C1606" s="3" t="n">
        <v>8</v>
      </c>
      <c r="D1606" s="3" t="n">
        <v>2</v>
      </c>
      <c r="E1606" s="3" t="n">
        <v>8</v>
      </c>
      <c r="F1606" s="24" t="n">
        <v>-1.18632448</v>
      </c>
    </row>
    <row r="1607" customFormat="false" ht="15" hidden="false" customHeight="false" outlineLevel="0" collapsed="false">
      <c r="A1607" s="3" t="n">
        <v>1606</v>
      </c>
      <c r="B1607" s="3" t="n">
        <v>1605</v>
      </c>
      <c r="C1607" s="3" t="n">
        <v>8</v>
      </c>
      <c r="D1607" s="3" t="n">
        <v>2</v>
      </c>
      <c r="E1607" s="3" t="n">
        <v>9</v>
      </c>
      <c r="F1607" s="24" t="n">
        <v>-1.59895027</v>
      </c>
    </row>
    <row r="1608" customFormat="false" ht="15" hidden="false" customHeight="false" outlineLevel="0" collapsed="false">
      <c r="A1608" s="3" t="n">
        <v>1607</v>
      </c>
      <c r="B1608" s="3" t="n">
        <v>1606</v>
      </c>
      <c r="C1608" s="3" t="n">
        <v>8</v>
      </c>
      <c r="D1608" s="3" t="n">
        <v>2</v>
      </c>
      <c r="E1608" s="3" t="n">
        <v>10</v>
      </c>
      <c r="F1608" s="24" t="n">
        <v>-2.20803237</v>
      </c>
    </row>
    <row r="1609" customFormat="false" ht="15" hidden="false" customHeight="false" outlineLevel="0" collapsed="false">
      <c r="A1609" s="3" t="n">
        <v>1608</v>
      </c>
      <c r="B1609" s="3" t="n">
        <v>1607</v>
      </c>
      <c r="C1609" s="3" t="n">
        <v>8</v>
      </c>
      <c r="D1609" s="3" t="n">
        <v>2</v>
      </c>
      <c r="E1609" s="3" t="n">
        <v>11</v>
      </c>
      <c r="F1609" s="24" t="n">
        <v>-1.81497729</v>
      </c>
    </row>
    <row r="1610" customFormat="false" ht="15" hidden="false" customHeight="false" outlineLevel="0" collapsed="false">
      <c r="A1610" s="3" t="n">
        <v>1609</v>
      </c>
      <c r="B1610" s="3" t="n">
        <v>1608</v>
      </c>
      <c r="C1610" s="3" t="n">
        <v>8</v>
      </c>
      <c r="D1610" s="3" t="n">
        <v>2</v>
      </c>
      <c r="E1610" s="3" t="n">
        <v>12</v>
      </c>
      <c r="F1610" s="24" t="n">
        <v>-1.41419184</v>
      </c>
    </row>
    <row r="1611" customFormat="false" ht="15" hidden="false" customHeight="false" outlineLevel="0" collapsed="false">
      <c r="A1611" s="3" t="n">
        <v>1610</v>
      </c>
      <c r="B1611" s="3" t="n">
        <v>1609</v>
      </c>
      <c r="C1611" s="3" t="n">
        <v>8</v>
      </c>
      <c r="D1611" s="3" t="n">
        <v>2</v>
      </c>
      <c r="E1611" s="3" t="n">
        <v>13</v>
      </c>
      <c r="F1611" s="24" t="n">
        <v>-0.854047239</v>
      </c>
    </row>
    <row r="1612" customFormat="false" ht="15" hidden="false" customHeight="false" outlineLevel="0" collapsed="false">
      <c r="A1612" s="3" t="n">
        <v>1611</v>
      </c>
      <c r="B1612" s="3" t="n">
        <v>1610</v>
      </c>
      <c r="C1612" s="3" t="n">
        <v>8</v>
      </c>
      <c r="D1612" s="3" t="n">
        <v>3</v>
      </c>
      <c r="E1612" s="3" t="n">
        <v>0</v>
      </c>
      <c r="F1612" s="24" t="n">
        <v>-1.00570059</v>
      </c>
    </row>
    <row r="1613" customFormat="false" ht="15" hidden="false" customHeight="false" outlineLevel="0" collapsed="false">
      <c r="A1613" s="3" t="n">
        <v>1612</v>
      </c>
      <c r="B1613" s="3" t="n">
        <v>1611</v>
      </c>
      <c r="C1613" s="3" t="n">
        <v>8</v>
      </c>
      <c r="D1613" s="3" t="n">
        <v>3</v>
      </c>
      <c r="E1613" s="3" t="n">
        <v>1</v>
      </c>
      <c r="F1613" s="24" t="n">
        <v>-1.94055247</v>
      </c>
    </row>
    <row r="1614" customFormat="false" ht="15" hidden="false" customHeight="false" outlineLevel="0" collapsed="false">
      <c r="A1614" s="3" t="n">
        <v>1613</v>
      </c>
      <c r="B1614" s="3" t="n">
        <v>1612</v>
      </c>
      <c r="C1614" s="3" t="n">
        <v>8</v>
      </c>
      <c r="D1614" s="3" t="n">
        <v>3</v>
      </c>
      <c r="E1614" s="3" t="n">
        <v>2</v>
      </c>
      <c r="F1614" s="24" t="n">
        <v>-2.01534438</v>
      </c>
    </row>
    <row r="1615" customFormat="false" ht="15" hidden="false" customHeight="false" outlineLevel="0" collapsed="false">
      <c r="A1615" s="3" t="n">
        <v>1614</v>
      </c>
      <c r="B1615" s="3" t="n">
        <v>1613</v>
      </c>
      <c r="C1615" s="3" t="n">
        <v>8</v>
      </c>
      <c r="D1615" s="3" t="n">
        <v>3</v>
      </c>
      <c r="E1615" s="3" t="n">
        <v>3</v>
      </c>
      <c r="F1615" s="24" t="n">
        <v>-0.152030915</v>
      </c>
    </row>
    <row r="1616" customFormat="false" ht="15" hidden="false" customHeight="false" outlineLevel="0" collapsed="false">
      <c r="A1616" s="3" t="n">
        <v>1615</v>
      </c>
      <c r="B1616" s="3" t="n">
        <v>1614</v>
      </c>
      <c r="C1616" s="3" t="n">
        <v>8</v>
      </c>
      <c r="D1616" s="3" t="n">
        <v>3</v>
      </c>
      <c r="E1616" s="3" t="n">
        <v>4</v>
      </c>
      <c r="F1616" s="24" t="n">
        <v>-0.256229281</v>
      </c>
    </row>
    <row r="1617" customFormat="false" ht="15" hidden="false" customHeight="false" outlineLevel="0" collapsed="false">
      <c r="A1617" s="3" t="n">
        <v>1616</v>
      </c>
      <c r="B1617" s="3" t="n">
        <v>1615</v>
      </c>
      <c r="C1617" s="3" t="n">
        <v>8</v>
      </c>
      <c r="D1617" s="3" t="n">
        <v>3</v>
      </c>
      <c r="E1617" s="3" t="n">
        <v>5</v>
      </c>
      <c r="F1617" s="24" t="n">
        <v>-0.438200951</v>
      </c>
    </row>
    <row r="1618" customFormat="false" ht="15" hidden="false" customHeight="false" outlineLevel="0" collapsed="false">
      <c r="A1618" s="3" t="n">
        <v>1617</v>
      </c>
      <c r="B1618" s="3" t="n">
        <v>1616</v>
      </c>
      <c r="C1618" s="3" t="n">
        <v>8</v>
      </c>
      <c r="D1618" s="3" t="n">
        <v>3</v>
      </c>
      <c r="E1618" s="3" t="n">
        <v>6</v>
      </c>
      <c r="F1618" s="24" t="n">
        <v>-1.01392031</v>
      </c>
    </row>
    <row r="1619" customFormat="false" ht="15" hidden="false" customHeight="false" outlineLevel="0" collapsed="false">
      <c r="A1619" s="3" t="n">
        <v>1618</v>
      </c>
      <c r="B1619" s="3" t="n">
        <v>1617</v>
      </c>
      <c r="C1619" s="3" t="n">
        <v>8</v>
      </c>
      <c r="D1619" s="3" t="n">
        <v>3</v>
      </c>
      <c r="E1619" s="3" t="n">
        <v>7</v>
      </c>
      <c r="F1619" s="24" t="n">
        <v>-0.473379284</v>
      </c>
    </row>
    <row r="1620" customFormat="false" ht="15" hidden="false" customHeight="false" outlineLevel="0" collapsed="false">
      <c r="A1620" s="3" t="n">
        <v>1619</v>
      </c>
      <c r="B1620" s="3" t="n">
        <v>1618</v>
      </c>
      <c r="C1620" s="3" t="n">
        <v>8</v>
      </c>
      <c r="D1620" s="3" t="n">
        <v>3</v>
      </c>
      <c r="E1620" s="3" t="n">
        <v>8</v>
      </c>
      <c r="F1620" s="24" t="n">
        <v>-0.513659298</v>
      </c>
    </row>
    <row r="1621" customFormat="false" ht="15" hidden="false" customHeight="false" outlineLevel="0" collapsed="false">
      <c r="A1621" s="3" t="n">
        <v>1620</v>
      </c>
      <c r="B1621" s="3" t="n">
        <v>1619</v>
      </c>
      <c r="C1621" s="3" t="n">
        <v>8</v>
      </c>
      <c r="D1621" s="3" t="n">
        <v>3</v>
      </c>
      <c r="E1621" s="3" t="n">
        <v>9</v>
      </c>
      <c r="F1621" s="24" t="n">
        <v>-0.786054969</v>
      </c>
    </row>
    <row r="1622" customFormat="false" ht="15" hidden="false" customHeight="false" outlineLevel="0" collapsed="false">
      <c r="A1622" s="3" t="n">
        <v>1621</v>
      </c>
      <c r="B1622" s="3" t="n">
        <v>1620</v>
      </c>
      <c r="C1622" s="3" t="n">
        <v>8</v>
      </c>
      <c r="D1622" s="3" t="n">
        <v>3</v>
      </c>
      <c r="E1622" s="3" t="n">
        <v>10</v>
      </c>
      <c r="F1622" s="24" t="n">
        <v>-3.0414691</v>
      </c>
    </row>
    <row r="1623" customFormat="false" ht="15" hidden="false" customHeight="false" outlineLevel="0" collapsed="false">
      <c r="A1623" s="3" t="n">
        <v>1622</v>
      </c>
      <c r="B1623" s="3" t="n">
        <v>1621</v>
      </c>
      <c r="C1623" s="3" t="n">
        <v>8</v>
      </c>
      <c r="D1623" s="3" t="n">
        <v>3</v>
      </c>
      <c r="E1623" s="3" t="n">
        <v>11</v>
      </c>
      <c r="F1623" s="24" t="n">
        <v>-3.36941838</v>
      </c>
    </row>
    <row r="1624" customFormat="false" ht="15" hidden="false" customHeight="false" outlineLevel="0" collapsed="false">
      <c r="A1624" s="3" t="n">
        <v>1623</v>
      </c>
      <c r="B1624" s="3" t="n">
        <v>1622</v>
      </c>
      <c r="C1624" s="3" t="n">
        <v>8</v>
      </c>
      <c r="D1624" s="3" t="n">
        <v>3</v>
      </c>
      <c r="E1624" s="3" t="n">
        <v>12</v>
      </c>
      <c r="F1624" s="24" t="n">
        <v>-1.73624778</v>
      </c>
    </row>
    <row r="1625" customFormat="false" ht="15" hidden="false" customHeight="false" outlineLevel="0" collapsed="false">
      <c r="A1625" s="3" t="n">
        <v>1624</v>
      </c>
      <c r="B1625" s="3" t="n">
        <v>1623</v>
      </c>
      <c r="C1625" s="3" t="n">
        <v>8</v>
      </c>
      <c r="D1625" s="3" t="n">
        <v>3</v>
      </c>
      <c r="E1625" s="3" t="n">
        <v>13</v>
      </c>
      <c r="F1625" s="24" t="n">
        <v>-0.854047239</v>
      </c>
    </row>
    <row r="1626" customFormat="false" ht="15" hidden="false" customHeight="false" outlineLevel="0" collapsed="false">
      <c r="A1626" s="3" t="n">
        <v>1625</v>
      </c>
      <c r="B1626" s="3" t="n">
        <v>1624</v>
      </c>
      <c r="C1626" s="3" t="n">
        <v>8</v>
      </c>
      <c r="D1626" s="3" t="n">
        <v>4</v>
      </c>
      <c r="E1626" s="3" t="n">
        <v>0</v>
      </c>
      <c r="F1626" s="24" t="n">
        <v>-1.00570059</v>
      </c>
    </row>
    <row r="1627" customFormat="false" ht="15" hidden="false" customHeight="false" outlineLevel="0" collapsed="false">
      <c r="A1627" s="3" t="n">
        <v>1626</v>
      </c>
      <c r="B1627" s="3" t="n">
        <v>1625</v>
      </c>
      <c r="C1627" s="3" t="n">
        <v>8</v>
      </c>
      <c r="D1627" s="3" t="n">
        <v>4</v>
      </c>
      <c r="E1627" s="3" t="n">
        <v>1</v>
      </c>
      <c r="F1627" s="24" t="n">
        <v>-1.67055357</v>
      </c>
    </row>
    <row r="1628" customFormat="false" ht="15" hidden="false" customHeight="false" outlineLevel="0" collapsed="false">
      <c r="A1628" s="3" t="n">
        <v>1627</v>
      </c>
      <c r="B1628" s="3" t="n">
        <v>1626</v>
      </c>
      <c r="C1628" s="3" t="n">
        <v>8</v>
      </c>
      <c r="D1628" s="3" t="n">
        <v>4</v>
      </c>
      <c r="E1628" s="3" t="n">
        <v>2</v>
      </c>
      <c r="F1628" s="24" t="n">
        <v>-2.52868271</v>
      </c>
    </row>
    <row r="1629" customFormat="false" ht="15" hidden="false" customHeight="false" outlineLevel="0" collapsed="false">
      <c r="A1629" s="3" t="n">
        <v>1628</v>
      </c>
      <c r="B1629" s="3" t="n">
        <v>1627</v>
      </c>
      <c r="C1629" s="3" t="n">
        <v>8</v>
      </c>
      <c r="D1629" s="3" t="n">
        <v>4</v>
      </c>
      <c r="E1629" s="3" t="n">
        <v>3</v>
      </c>
      <c r="F1629" s="24" t="n">
        <v>-2.28044367</v>
      </c>
    </row>
    <row r="1630" customFormat="false" ht="15" hidden="false" customHeight="false" outlineLevel="0" collapsed="false">
      <c r="A1630" s="3" t="n">
        <v>1629</v>
      </c>
      <c r="B1630" s="3" t="n">
        <v>1628</v>
      </c>
      <c r="C1630" s="3" t="n">
        <v>8</v>
      </c>
      <c r="D1630" s="3" t="n">
        <v>4</v>
      </c>
      <c r="E1630" s="3" t="n">
        <v>4</v>
      </c>
      <c r="F1630" s="24" t="n">
        <v>-1.17958403</v>
      </c>
    </row>
    <row r="1631" customFormat="false" ht="15" hidden="false" customHeight="false" outlineLevel="0" collapsed="false">
      <c r="A1631" s="3" t="n">
        <v>1630</v>
      </c>
      <c r="B1631" s="3" t="n">
        <v>1629</v>
      </c>
      <c r="C1631" s="3" t="n">
        <v>8</v>
      </c>
      <c r="D1631" s="3" t="n">
        <v>4</v>
      </c>
      <c r="E1631" s="3" t="n">
        <v>5</v>
      </c>
      <c r="F1631" s="24" t="n">
        <v>-0.0201982632</v>
      </c>
    </row>
    <row r="1632" customFormat="false" ht="15" hidden="false" customHeight="false" outlineLevel="0" collapsed="false">
      <c r="A1632" s="3" t="n">
        <v>1631</v>
      </c>
      <c r="B1632" s="3" t="n">
        <v>1630</v>
      </c>
      <c r="C1632" s="3" t="n">
        <v>8</v>
      </c>
      <c r="D1632" s="3" t="n">
        <v>4</v>
      </c>
      <c r="E1632" s="3" t="n">
        <v>6</v>
      </c>
      <c r="F1632" s="24" t="n">
        <v>-1.21871805</v>
      </c>
    </row>
    <row r="1633" customFormat="false" ht="15" hidden="false" customHeight="false" outlineLevel="0" collapsed="false">
      <c r="A1633" s="3" t="n">
        <v>1632</v>
      </c>
      <c r="B1633" s="3" t="n">
        <v>1631</v>
      </c>
      <c r="C1633" s="3" t="n">
        <v>8</v>
      </c>
      <c r="D1633" s="3" t="n">
        <v>4</v>
      </c>
      <c r="E1633" s="3" t="n">
        <v>7</v>
      </c>
      <c r="F1633" s="24" t="n">
        <v>-1.34828496</v>
      </c>
    </row>
    <row r="1634" customFormat="false" ht="15" hidden="false" customHeight="false" outlineLevel="0" collapsed="false">
      <c r="A1634" s="3" t="n">
        <v>1633</v>
      </c>
      <c r="B1634" s="3" t="n">
        <v>1632</v>
      </c>
      <c r="C1634" s="3" t="n">
        <v>8</v>
      </c>
      <c r="D1634" s="3" t="n">
        <v>4</v>
      </c>
      <c r="E1634" s="3" t="n">
        <v>8</v>
      </c>
      <c r="F1634" s="24" t="n">
        <v>-2.21710515</v>
      </c>
    </row>
    <row r="1635" customFormat="false" ht="15" hidden="false" customHeight="false" outlineLevel="0" collapsed="false">
      <c r="A1635" s="3" t="n">
        <v>1634</v>
      </c>
      <c r="B1635" s="3" t="n">
        <v>1633</v>
      </c>
      <c r="C1635" s="3" t="n">
        <v>8</v>
      </c>
      <c r="D1635" s="3" t="n">
        <v>4</v>
      </c>
      <c r="E1635" s="3" t="n">
        <v>9</v>
      </c>
      <c r="F1635" s="24" t="n">
        <v>0.806699038</v>
      </c>
    </row>
    <row r="1636" customFormat="false" ht="15" hidden="false" customHeight="false" outlineLevel="0" collapsed="false">
      <c r="A1636" s="3" t="n">
        <v>1635</v>
      </c>
      <c r="B1636" s="3" t="n">
        <v>1634</v>
      </c>
      <c r="C1636" s="3" t="n">
        <v>8</v>
      </c>
      <c r="D1636" s="3" t="n">
        <v>4</v>
      </c>
      <c r="E1636" s="3" t="n">
        <v>10</v>
      </c>
      <c r="F1636" s="24" t="n">
        <v>-0.675052404</v>
      </c>
    </row>
    <row r="1637" customFormat="false" ht="15" hidden="false" customHeight="false" outlineLevel="0" collapsed="false">
      <c r="A1637" s="3" t="n">
        <v>1636</v>
      </c>
      <c r="B1637" s="3" t="n">
        <v>1635</v>
      </c>
      <c r="C1637" s="3" t="n">
        <v>8</v>
      </c>
      <c r="D1637" s="3" t="n">
        <v>4</v>
      </c>
      <c r="E1637" s="3" t="n">
        <v>11</v>
      </c>
      <c r="F1637" s="24" t="n">
        <v>-2.71500468</v>
      </c>
    </row>
    <row r="1638" customFormat="false" ht="15" hidden="false" customHeight="false" outlineLevel="0" collapsed="false">
      <c r="A1638" s="3" t="n">
        <v>1637</v>
      </c>
      <c r="B1638" s="3" t="n">
        <v>1636</v>
      </c>
      <c r="C1638" s="3" t="n">
        <v>8</v>
      </c>
      <c r="D1638" s="3" t="n">
        <v>4</v>
      </c>
      <c r="E1638" s="3" t="n">
        <v>12</v>
      </c>
      <c r="F1638" s="24" t="n">
        <v>-2.11655283</v>
      </c>
    </row>
    <row r="1639" customFormat="false" ht="15" hidden="false" customHeight="false" outlineLevel="0" collapsed="false">
      <c r="A1639" s="3" t="n">
        <v>1638</v>
      </c>
      <c r="B1639" s="3" t="n">
        <v>1637</v>
      </c>
      <c r="C1639" s="3" t="n">
        <v>8</v>
      </c>
      <c r="D1639" s="3" t="n">
        <v>4</v>
      </c>
      <c r="E1639" s="3" t="n">
        <v>13</v>
      </c>
      <c r="F1639" s="24" t="n">
        <v>-0.854047239</v>
      </c>
    </row>
    <row r="1640" customFormat="false" ht="15" hidden="false" customHeight="false" outlineLevel="0" collapsed="false">
      <c r="A1640" s="3" t="n">
        <v>1639</v>
      </c>
      <c r="B1640" s="3" t="n">
        <v>1638</v>
      </c>
      <c r="C1640" s="3" t="n">
        <v>8</v>
      </c>
      <c r="D1640" s="3" t="n">
        <v>5</v>
      </c>
      <c r="E1640" s="3" t="n">
        <v>0</v>
      </c>
      <c r="F1640" s="24" t="n">
        <v>-1.00570059</v>
      </c>
    </row>
    <row r="1641" customFormat="false" ht="15" hidden="false" customHeight="false" outlineLevel="0" collapsed="false">
      <c r="A1641" s="3" t="n">
        <v>1640</v>
      </c>
      <c r="B1641" s="3" t="n">
        <v>1639</v>
      </c>
      <c r="C1641" s="3" t="n">
        <v>8</v>
      </c>
      <c r="D1641" s="3" t="n">
        <v>5</v>
      </c>
      <c r="E1641" s="3" t="n">
        <v>1</v>
      </c>
      <c r="F1641" s="24" t="n">
        <v>-1.40491247</v>
      </c>
    </row>
    <row r="1642" customFormat="false" ht="15" hidden="false" customHeight="false" outlineLevel="0" collapsed="false">
      <c r="A1642" s="3" t="n">
        <v>1641</v>
      </c>
      <c r="B1642" s="3" t="n">
        <v>1640</v>
      </c>
      <c r="C1642" s="3" t="n">
        <v>8</v>
      </c>
      <c r="D1642" s="3" t="n">
        <v>5</v>
      </c>
      <c r="E1642" s="3" t="n">
        <v>2</v>
      </c>
      <c r="F1642" s="24" t="n">
        <v>-1.68626451</v>
      </c>
    </row>
    <row r="1643" customFormat="false" ht="15" hidden="false" customHeight="false" outlineLevel="0" collapsed="false">
      <c r="A1643" s="3" t="n">
        <v>1642</v>
      </c>
      <c r="B1643" s="3" t="n">
        <v>1641</v>
      </c>
      <c r="C1643" s="3" t="n">
        <v>8</v>
      </c>
      <c r="D1643" s="3" t="n">
        <v>5</v>
      </c>
      <c r="E1643" s="3" t="n">
        <v>3</v>
      </c>
      <c r="F1643" s="24" t="n">
        <v>-2.27880979</v>
      </c>
    </row>
    <row r="1644" customFormat="false" ht="15" hidden="false" customHeight="false" outlineLevel="0" collapsed="false">
      <c r="A1644" s="3" t="n">
        <v>1643</v>
      </c>
      <c r="B1644" s="3" t="n">
        <v>1642</v>
      </c>
      <c r="C1644" s="3" t="n">
        <v>8</v>
      </c>
      <c r="D1644" s="3" t="n">
        <v>5</v>
      </c>
      <c r="E1644" s="3" t="n">
        <v>4</v>
      </c>
      <c r="F1644" s="24" t="n">
        <v>-1.82144248</v>
      </c>
    </row>
    <row r="1645" customFormat="false" ht="15" hidden="false" customHeight="false" outlineLevel="0" collapsed="false">
      <c r="A1645" s="3" t="n">
        <v>1644</v>
      </c>
      <c r="B1645" s="3" t="n">
        <v>1643</v>
      </c>
      <c r="C1645" s="3" t="n">
        <v>8</v>
      </c>
      <c r="D1645" s="3" t="n">
        <v>5</v>
      </c>
      <c r="E1645" s="3" t="n">
        <v>5</v>
      </c>
      <c r="F1645" s="24" t="n">
        <v>-1.46152496</v>
      </c>
    </row>
    <row r="1646" customFormat="false" ht="15" hidden="false" customHeight="false" outlineLevel="0" collapsed="false">
      <c r="A1646" s="3" t="n">
        <v>1645</v>
      </c>
      <c r="B1646" s="3" t="n">
        <v>1644</v>
      </c>
      <c r="C1646" s="3" t="n">
        <v>8</v>
      </c>
      <c r="D1646" s="3" t="n">
        <v>5</v>
      </c>
      <c r="E1646" s="3" t="n">
        <v>6</v>
      </c>
      <c r="F1646" s="24" t="n">
        <v>-1.38096619</v>
      </c>
    </row>
    <row r="1647" customFormat="false" ht="15" hidden="false" customHeight="false" outlineLevel="0" collapsed="false">
      <c r="A1647" s="3" t="n">
        <v>1646</v>
      </c>
      <c r="B1647" s="3" t="n">
        <v>1645</v>
      </c>
      <c r="C1647" s="3" t="n">
        <v>8</v>
      </c>
      <c r="D1647" s="3" t="n">
        <v>5</v>
      </c>
      <c r="E1647" s="3" t="n">
        <v>7</v>
      </c>
      <c r="F1647" s="24" t="n">
        <v>-1.95059717</v>
      </c>
    </row>
    <row r="1648" customFormat="false" ht="15" hidden="false" customHeight="false" outlineLevel="0" collapsed="false">
      <c r="A1648" s="3" t="n">
        <v>1647</v>
      </c>
      <c r="B1648" s="3" t="n">
        <v>1646</v>
      </c>
      <c r="C1648" s="3" t="n">
        <v>8</v>
      </c>
      <c r="D1648" s="3" t="n">
        <v>5</v>
      </c>
      <c r="E1648" s="3" t="n">
        <v>8</v>
      </c>
      <c r="F1648" s="24" t="n">
        <v>-1.18437564</v>
      </c>
    </row>
    <row r="1649" customFormat="false" ht="15" hidden="false" customHeight="false" outlineLevel="0" collapsed="false">
      <c r="A1649" s="3" t="n">
        <v>1648</v>
      </c>
      <c r="B1649" s="3" t="n">
        <v>1647</v>
      </c>
      <c r="C1649" s="3" t="n">
        <v>8</v>
      </c>
      <c r="D1649" s="3" t="n">
        <v>5</v>
      </c>
      <c r="E1649" s="3" t="n">
        <v>9</v>
      </c>
      <c r="F1649" s="24" t="n">
        <v>2.91066146</v>
      </c>
    </row>
    <row r="1650" customFormat="false" ht="15" hidden="false" customHeight="false" outlineLevel="0" collapsed="false">
      <c r="A1650" s="3" t="n">
        <v>1649</v>
      </c>
      <c r="B1650" s="3" t="n">
        <v>1648</v>
      </c>
      <c r="C1650" s="3" t="n">
        <v>8</v>
      </c>
      <c r="D1650" s="3" t="n">
        <v>5</v>
      </c>
      <c r="E1650" s="3" t="n">
        <v>10</v>
      </c>
      <c r="F1650" s="24" t="n">
        <v>2.23791599</v>
      </c>
    </row>
    <row r="1651" customFormat="false" ht="15" hidden="false" customHeight="false" outlineLevel="0" collapsed="false">
      <c r="A1651" s="3" t="n">
        <v>1650</v>
      </c>
      <c r="B1651" s="3" t="n">
        <v>1649</v>
      </c>
      <c r="C1651" s="3" t="n">
        <v>8</v>
      </c>
      <c r="D1651" s="3" t="n">
        <v>5</v>
      </c>
      <c r="E1651" s="3" t="n">
        <v>11</v>
      </c>
      <c r="F1651" s="24" t="n">
        <v>-1.0769887</v>
      </c>
    </row>
    <row r="1652" customFormat="false" ht="15" hidden="false" customHeight="false" outlineLevel="0" collapsed="false">
      <c r="A1652" s="3" t="n">
        <v>1651</v>
      </c>
      <c r="B1652" s="3" t="n">
        <v>1650</v>
      </c>
      <c r="C1652" s="3" t="n">
        <v>8</v>
      </c>
      <c r="D1652" s="3" t="n">
        <v>5</v>
      </c>
      <c r="E1652" s="3" t="n">
        <v>12</v>
      </c>
      <c r="F1652" s="24" t="n">
        <v>-1.53571963</v>
      </c>
    </row>
    <row r="1653" customFormat="false" ht="15" hidden="false" customHeight="false" outlineLevel="0" collapsed="false">
      <c r="A1653" s="3" t="n">
        <v>1652</v>
      </c>
      <c r="B1653" s="3" t="n">
        <v>1651</v>
      </c>
      <c r="C1653" s="3" t="n">
        <v>8</v>
      </c>
      <c r="D1653" s="3" t="n">
        <v>5</v>
      </c>
      <c r="E1653" s="3" t="n">
        <v>13</v>
      </c>
      <c r="F1653" s="24" t="n">
        <v>-0.854047239</v>
      </c>
    </row>
    <row r="1654" customFormat="false" ht="15" hidden="false" customHeight="false" outlineLevel="0" collapsed="false">
      <c r="A1654" s="3" t="n">
        <v>1653</v>
      </c>
      <c r="B1654" s="3" t="n">
        <v>1652</v>
      </c>
      <c r="C1654" s="3" t="n">
        <v>8</v>
      </c>
      <c r="D1654" s="3" t="n">
        <v>6</v>
      </c>
      <c r="E1654" s="3" t="n">
        <v>0</v>
      </c>
      <c r="F1654" s="24" t="n">
        <v>-1.00570059</v>
      </c>
    </row>
    <row r="1655" customFormat="false" ht="15" hidden="false" customHeight="false" outlineLevel="0" collapsed="false">
      <c r="A1655" s="3" t="n">
        <v>1654</v>
      </c>
      <c r="B1655" s="3" t="n">
        <v>1653</v>
      </c>
      <c r="C1655" s="3" t="n">
        <v>8</v>
      </c>
      <c r="D1655" s="3" t="n">
        <v>6</v>
      </c>
      <c r="E1655" s="3" t="n">
        <v>1</v>
      </c>
      <c r="F1655" s="24" t="n">
        <v>-1.31018364</v>
      </c>
    </row>
    <row r="1656" customFormat="false" ht="15" hidden="false" customHeight="false" outlineLevel="0" collapsed="false">
      <c r="A1656" s="3" t="n">
        <v>1655</v>
      </c>
      <c r="B1656" s="3" t="n">
        <v>1654</v>
      </c>
      <c r="C1656" s="3" t="n">
        <v>8</v>
      </c>
      <c r="D1656" s="3" t="n">
        <v>6</v>
      </c>
      <c r="E1656" s="3" t="n">
        <v>2</v>
      </c>
      <c r="F1656" s="24" t="n">
        <v>-1.12108493</v>
      </c>
    </row>
    <row r="1657" customFormat="false" ht="15" hidden="false" customHeight="false" outlineLevel="0" collapsed="false">
      <c r="A1657" s="3" t="n">
        <v>1656</v>
      </c>
      <c r="B1657" s="3" t="n">
        <v>1655</v>
      </c>
      <c r="C1657" s="3" t="n">
        <v>8</v>
      </c>
      <c r="D1657" s="3" t="n">
        <v>6</v>
      </c>
      <c r="E1657" s="3" t="n">
        <v>3</v>
      </c>
      <c r="F1657" s="24" t="n">
        <v>-1.17960536</v>
      </c>
    </row>
    <row r="1658" customFormat="false" ht="15" hidden="false" customHeight="false" outlineLevel="0" collapsed="false">
      <c r="A1658" s="3" t="n">
        <v>1657</v>
      </c>
      <c r="B1658" s="3" t="n">
        <v>1656</v>
      </c>
      <c r="C1658" s="3" t="n">
        <v>8</v>
      </c>
      <c r="D1658" s="3" t="n">
        <v>6</v>
      </c>
      <c r="E1658" s="3" t="n">
        <v>4</v>
      </c>
      <c r="F1658" s="24" t="n">
        <v>-0.980293512</v>
      </c>
    </row>
    <row r="1659" customFormat="false" ht="15" hidden="false" customHeight="false" outlineLevel="0" collapsed="false">
      <c r="A1659" s="3" t="n">
        <v>1658</v>
      </c>
      <c r="B1659" s="3" t="n">
        <v>1657</v>
      </c>
      <c r="C1659" s="3" t="n">
        <v>8</v>
      </c>
      <c r="D1659" s="3" t="n">
        <v>6</v>
      </c>
      <c r="E1659" s="3" t="n">
        <v>5</v>
      </c>
      <c r="F1659" s="24" t="n">
        <v>-0.760234773</v>
      </c>
    </row>
    <row r="1660" customFormat="false" ht="15" hidden="false" customHeight="false" outlineLevel="0" collapsed="false">
      <c r="A1660" s="3" t="n">
        <v>1659</v>
      </c>
      <c r="B1660" s="3" t="n">
        <v>1658</v>
      </c>
      <c r="C1660" s="3" t="n">
        <v>8</v>
      </c>
      <c r="D1660" s="3" t="n">
        <v>6</v>
      </c>
      <c r="E1660" s="3" t="n">
        <v>6</v>
      </c>
      <c r="F1660" s="24" t="n">
        <v>-0.786401927</v>
      </c>
    </row>
    <row r="1661" customFormat="false" ht="15" hidden="false" customHeight="false" outlineLevel="0" collapsed="false">
      <c r="A1661" s="3" t="n">
        <v>1660</v>
      </c>
      <c r="B1661" s="3" t="n">
        <v>1659</v>
      </c>
      <c r="C1661" s="3" t="n">
        <v>8</v>
      </c>
      <c r="D1661" s="3" t="n">
        <v>6</v>
      </c>
      <c r="E1661" s="3" t="n">
        <v>7</v>
      </c>
      <c r="F1661" s="24" t="n">
        <v>-0.93575561</v>
      </c>
    </row>
    <row r="1662" customFormat="false" ht="15" hidden="false" customHeight="false" outlineLevel="0" collapsed="false">
      <c r="A1662" s="3" t="n">
        <v>1661</v>
      </c>
      <c r="B1662" s="3" t="n">
        <v>1660</v>
      </c>
      <c r="C1662" s="3" t="n">
        <v>8</v>
      </c>
      <c r="D1662" s="3" t="n">
        <v>6</v>
      </c>
      <c r="E1662" s="3" t="n">
        <v>8</v>
      </c>
      <c r="F1662" s="24" t="n">
        <v>1.19950962</v>
      </c>
    </row>
    <row r="1663" customFormat="false" ht="15" hidden="false" customHeight="false" outlineLevel="0" collapsed="false">
      <c r="A1663" s="3" t="n">
        <v>1662</v>
      </c>
      <c r="B1663" s="3" t="n">
        <v>1661</v>
      </c>
      <c r="C1663" s="3" t="n">
        <v>8</v>
      </c>
      <c r="D1663" s="3" t="n">
        <v>6</v>
      </c>
      <c r="E1663" s="3" t="n">
        <v>9</v>
      </c>
      <c r="F1663" s="24" t="n">
        <v>3.52433372</v>
      </c>
    </row>
    <row r="1664" customFormat="false" ht="15" hidden="false" customHeight="false" outlineLevel="0" collapsed="false">
      <c r="A1664" s="3" t="n">
        <v>1663</v>
      </c>
      <c r="B1664" s="3" t="n">
        <v>1662</v>
      </c>
      <c r="C1664" s="3" t="n">
        <v>8</v>
      </c>
      <c r="D1664" s="3" t="n">
        <v>6</v>
      </c>
      <c r="E1664" s="3" t="n">
        <v>10</v>
      </c>
      <c r="F1664" s="24" t="n">
        <v>0.804278553</v>
      </c>
    </row>
    <row r="1665" customFormat="false" ht="15" hidden="false" customHeight="false" outlineLevel="0" collapsed="false">
      <c r="A1665" s="3" t="n">
        <v>1664</v>
      </c>
      <c r="B1665" s="3" t="n">
        <v>1663</v>
      </c>
      <c r="C1665" s="3" t="n">
        <v>8</v>
      </c>
      <c r="D1665" s="3" t="n">
        <v>6</v>
      </c>
      <c r="E1665" s="3" t="n">
        <v>11</v>
      </c>
      <c r="F1665" s="24" t="n">
        <v>-0.984332681</v>
      </c>
    </row>
    <row r="1666" customFormat="false" ht="15" hidden="false" customHeight="false" outlineLevel="0" collapsed="false">
      <c r="A1666" s="3" t="n">
        <v>1665</v>
      </c>
      <c r="B1666" s="3" t="n">
        <v>1664</v>
      </c>
      <c r="C1666" s="3" t="n">
        <v>8</v>
      </c>
      <c r="D1666" s="3" t="n">
        <v>6</v>
      </c>
      <c r="E1666" s="3" t="n">
        <v>12</v>
      </c>
      <c r="F1666" s="24" t="n">
        <v>-1.21784687</v>
      </c>
    </row>
    <row r="1667" customFormat="false" ht="15" hidden="false" customHeight="false" outlineLevel="0" collapsed="false">
      <c r="A1667" s="3" t="n">
        <v>1666</v>
      </c>
      <c r="B1667" s="3" t="n">
        <v>1665</v>
      </c>
      <c r="C1667" s="3" t="n">
        <v>8</v>
      </c>
      <c r="D1667" s="3" t="n">
        <v>6</v>
      </c>
      <c r="E1667" s="3" t="n">
        <v>13</v>
      </c>
      <c r="F1667" s="24" t="n">
        <v>-0.854047239</v>
      </c>
    </row>
    <row r="1668" customFormat="false" ht="15" hidden="false" customHeight="false" outlineLevel="0" collapsed="false">
      <c r="A1668" s="3" t="n">
        <v>1667</v>
      </c>
      <c r="B1668" s="3" t="n">
        <v>1666</v>
      </c>
      <c r="C1668" s="3" t="n">
        <v>8</v>
      </c>
      <c r="D1668" s="3" t="n">
        <v>7</v>
      </c>
      <c r="E1668" s="3" t="n">
        <v>0</v>
      </c>
      <c r="F1668" s="24" t="n">
        <v>-1.00570059</v>
      </c>
    </row>
    <row r="1669" customFormat="false" ht="15" hidden="false" customHeight="false" outlineLevel="0" collapsed="false">
      <c r="A1669" s="3" t="n">
        <v>1668</v>
      </c>
      <c r="B1669" s="3" t="n">
        <v>1667</v>
      </c>
      <c r="C1669" s="3" t="n">
        <v>8</v>
      </c>
      <c r="D1669" s="3" t="n">
        <v>7</v>
      </c>
      <c r="E1669" s="3" t="n">
        <v>1</v>
      </c>
      <c r="F1669" s="24" t="n">
        <v>-1.38017058</v>
      </c>
    </row>
    <row r="1670" customFormat="false" ht="15" hidden="false" customHeight="false" outlineLevel="0" collapsed="false">
      <c r="A1670" s="3" t="n">
        <v>1669</v>
      </c>
      <c r="B1670" s="3" t="n">
        <v>1668</v>
      </c>
      <c r="C1670" s="3" t="n">
        <v>8</v>
      </c>
      <c r="D1670" s="3" t="n">
        <v>7</v>
      </c>
      <c r="E1670" s="3" t="n">
        <v>2</v>
      </c>
      <c r="F1670" s="24" t="n">
        <v>-1.26739395</v>
      </c>
    </row>
    <row r="1671" customFormat="false" ht="15" hidden="false" customHeight="false" outlineLevel="0" collapsed="false">
      <c r="A1671" s="3" t="n">
        <v>1670</v>
      </c>
      <c r="B1671" s="3" t="n">
        <v>1669</v>
      </c>
      <c r="C1671" s="3" t="n">
        <v>8</v>
      </c>
      <c r="D1671" s="3" t="n">
        <v>7</v>
      </c>
      <c r="E1671" s="3" t="n">
        <v>3</v>
      </c>
      <c r="F1671" s="24" t="n">
        <v>-1.26739395</v>
      </c>
    </row>
    <row r="1672" customFormat="false" ht="15" hidden="false" customHeight="false" outlineLevel="0" collapsed="false">
      <c r="A1672" s="3" t="n">
        <v>1671</v>
      </c>
      <c r="B1672" s="3" t="n">
        <v>1670</v>
      </c>
      <c r="C1672" s="3" t="n">
        <v>8</v>
      </c>
      <c r="D1672" s="3" t="n">
        <v>7</v>
      </c>
      <c r="E1672" s="3" t="n">
        <v>4</v>
      </c>
      <c r="F1672" s="24" t="n">
        <v>-1.26739395</v>
      </c>
    </row>
    <row r="1673" customFormat="false" ht="15" hidden="false" customHeight="false" outlineLevel="0" collapsed="false">
      <c r="A1673" s="3" t="n">
        <v>1672</v>
      </c>
      <c r="B1673" s="3" t="n">
        <v>1671</v>
      </c>
      <c r="C1673" s="3" t="n">
        <v>8</v>
      </c>
      <c r="D1673" s="3" t="n">
        <v>7</v>
      </c>
      <c r="E1673" s="3" t="n">
        <v>5</v>
      </c>
      <c r="F1673" s="24" t="n">
        <v>-1.22371686</v>
      </c>
    </row>
    <row r="1674" customFormat="false" ht="15" hidden="false" customHeight="false" outlineLevel="0" collapsed="false">
      <c r="A1674" s="3" t="n">
        <v>1673</v>
      </c>
      <c r="B1674" s="3" t="n">
        <v>1672</v>
      </c>
      <c r="C1674" s="3" t="n">
        <v>8</v>
      </c>
      <c r="D1674" s="3" t="n">
        <v>7</v>
      </c>
      <c r="E1674" s="3" t="n">
        <v>6</v>
      </c>
      <c r="F1674" s="24" t="n">
        <v>-1.69852471</v>
      </c>
    </row>
    <row r="1675" customFormat="false" ht="15" hidden="false" customHeight="false" outlineLevel="0" collapsed="false">
      <c r="A1675" s="3" t="n">
        <v>1674</v>
      </c>
      <c r="B1675" s="3" t="n">
        <v>1673</v>
      </c>
      <c r="C1675" s="3" t="n">
        <v>8</v>
      </c>
      <c r="D1675" s="3" t="n">
        <v>7</v>
      </c>
      <c r="E1675" s="3" t="n">
        <v>7</v>
      </c>
      <c r="F1675" s="24" t="n">
        <v>-1.3487519</v>
      </c>
    </row>
    <row r="1676" customFormat="false" ht="15" hidden="false" customHeight="false" outlineLevel="0" collapsed="false">
      <c r="A1676" s="3" t="n">
        <v>1675</v>
      </c>
      <c r="B1676" s="3" t="n">
        <v>1674</v>
      </c>
      <c r="C1676" s="3" t="n">
        <v>8</v>
      </c>
      <c r="D1676" s="3" t="n">
        <v>7</v>
      </c>
      <c r="E1676" s="3" t="n">
        <v>8</v>
      </c>
      <c r="F1676" s="24" t="n">
        <v>3.0446353</v>
      </c>
    </row>
    <row r="1677" customFormat="false" ht="15" hidden="false" customHeight="false" outlineLevel="0" collapsed="false">
      <c r="A1677" s="3" t="n">
        <v>1676</v>
      </c>
      <c r="B1677" s="3" t="n">
        <v>1675</v>
      </c>
      <c r="C1677" s="3" t="n">
        <v>8</v>
      </c>
      <c r="D1677" s="3" t="n">
        <v>7</v>
      </c>
      <c r="E1677" s="3" t="n">
        <v>9</v>
      </c>
      <c r="F1677" s="24" t="n">
        <v>1.57740843</v>
      </c>
    </row>
    <row r="1678" customFormat="false" ht="15" hidden="false" customHeight="false" outlineLevel="0" collapsed="false">
      <c r="A1678" s="3" t="n">
        <v>1677</v>
      </c>
      <c r="B1678" s="3" t="n">
        <v>1676</v>
      </c>
      <c r="C1678" s="3" t="n">
        <v>8</v>
      </c>
      <c r="D1678" s="3" t="n">
        <v>7</v>
      </c>
      <c r="E1678" s="3" t="n">
        <v>10</v>
      </c>
      <c r="F1678" s="24" t="n">
        <v>-0.824343503</v>
      </c>
    </row>
    <row r="1679" customFormat="false" ht="15" hidden="false" customHeight="false" outlineLevel="0" collapsed="false">
      <c r="A1679" s="3" t="n">
        <v>1678</v>
      </c>
      <c r="B1679" s="3" t="n">
        <v>1677</v>
      </c>
      <c r="C1679" s="3" t="n">
        <v>8</v>
      </c>
      <c r="D1679" s="3" t="n">
        <v>7</v>
      </c>
      <c r="E1679" s="3" t="n">
        <v>11</v>
      </c>
      <c r="F1679" s="24" t="n">
        <v>-0.892569005</v>
      </c>
    </row>
    <row r="1680" customFormat="false" ht="15" hidden="false" customHeight="false" outlineLevel="0" collapsed="false">
      <c r="A1680" s="3" t="n">
        <v>1679</v>
      </c>
      <c r="B1680" s="3" t="n">
        <v>1678</v>
      </c>
      <c r="C1680" s="3" t="n">
        <v>8</v>
      </c>
      <c r="D1680" s="3" t="n">
        <v>7</v>
      </c>
      <c r="E1680" s="3" t="n">
        <v>12</v>
      </c>
      <c r="F1680" s="24" t="n">
        <v>-1.38119042</v>
      </c>
    </row>
    <row r="1681" customFormat="false" ht="15" hidden="false" customHeight="false" outlineLevel="0" collapsed="false">
      <c r="A1681" s="3" t="n">
        <v>1680</v>
      </c>
      <c r="B1681" s="3" t="n">
        <v>1679</v>
      </c>
      <c r="C1681" s="3" t="n">
        <v>8</v>
      </c>
      <c r="D1681" s="3" t="n">
        <v>7</v>
      </c>
      <c r="E1681" s="3" t="n">
        <v>13</v>
      </c>
      <c r="F1681" s="24" t="n">
        <v>-0.854047239</v>
      </c>
    </row>
    <row r="1682" customFormat="false" ht="15" hidden="false" customHeight="false" outlineLevel="0" collapsed="false">
      <c r="A1682" s="3" t="n">
        <v>1681</v>
      </c>
      <c r="B1682" s="3" t="n">
        <v>1680</v>
      </c>
      <c r="C1682" s="3" t="n">
        <v>8</v>
      </c>
      <c r="D1682" s="3" t="n">
        <v>8</v>
      </c>
      <c r="E1682" s="3" t="n">
        <v>0</v>
      </c>
      <c r="F1682" s="24" t="n">
        <v>-1.00570059</v>
      </c>
    </row>
    <row r="1683" customFormat="false" ht="15" hidden="false" customHeight="false" outlineLevel="0" collapsed="false">
      <c r="A1683" s="3" t="n">
        <v>1682</v>
      </c>
      <c r="B1683" s="3" t="n">
        <v>1681</v>
      </c>
      <c r="C1683" s="3" t="n">
        <v>8</v>
      </c>
      <c r="D1683" s="3" t="n">
        <v>8</v>
      </c>
      <c r="E1683" s="3" t="n">
        <v>1</v>
      </c>
      <c r="F1683" s="24" t="n">
        <v>-1.38017058</v>
      </c>
    </row>
    <row r="1684" customFormat="false" ht="15" hidden="false" customHeight="false" outlineLevel="0" collapsed="false">
      <c r="A1684" s="3" t="n">
        <v>1683</v>
      </c>
      <c r="B1684" s="3" t="n">
        <v>1682</v>
      </c>
      <c r="C1684" s="3" t="n">
        <v>8</v>
      </c>
      <c r="D1684" s="3" t="n">
        <v>8</v>
      </c>
      <c r="E1684" s="3" t="n">
        <v>2</v>
      </c>
      <c r="F1684" s="24" t="n">
        <v>-1.26739395</v>
      </c>
    </row>
    <row r="1685" customFormat="false" ht="15" hidden="false" customHeight="false" outlineLevel="0" collapsed="false">
      <c r="A1685" s="3" t="n">
        <v>1684</v>
      </c>
      <c r="B1685" s="3" t="n">
        <v>1683</v>
      </c>
      <c r="C1685" s="3" t="n">
        <v>8</v>
      </c>
      <c r="D1685" s="3" t="n">
        <v>8</v>
      </c>
      <c r="E1685" s="3" t="n">
        <v>3</v>
      </c>
      <c r="F1685" s="24" t="n">
        <v>-1.26739395</v>
      </c>
    </row>
    <row r="1686" customFormat="false" ht="15" hidden="false" customHeight="false" outlineLevel="0" collapsed="false">
      <c r="A1686" s="3" t="n">
        <v>1685</v>
      </c>
      <c r="B1686" s="3" t="n">
        <v>1684</v>
      </c>
      <c r="C1686" s="3" t="n">
        <v>8</v>
      </c>
      <c r="D1686" s="3" t="n">
        <v>8</v>
      </c>
      <c r="E1686" s="3" t="n">
        <v>4</v>
      </c>
      <c r="F1686" s="24" t="n">
        <v>-1.27011514</v>
      </c>
    </row>
    <row r="1687" customFormat="false" ht="15" hidden="false" customHeight="false" outlineLevel="0" collapsed="false">
      <c r="A1687" s="3" t="n">
        <v>1686</v>
      </c>
      <c r="B1687" s="3" t="n">
        <v>1685</v>
      </c>
      <c r="C1687" s="3" t="n">
        <v>8</v>
      </c>
      <c r="D1687" s="3" t="n">
        <v>8</v>
      </c>
      <c r="E1687" s="3" t="n">
        <v>5</v>
      </c>
      <c r="F1687" s="24" t="n">
        <v>-1.403139</v>
      </c>
    </row>
    <row r="1688" customFormat="false" ht="15" hidden="false" customHeight="false" outlineLevel="0" collapsed="false">
      <c r="A1688" s="3" t="n">
        <v>1687</v>
      </c>
      <c r="B1688" s="3" t="n">
        <v>1686</v>
      </c>
      <c r="C1688" s="3" t="n">
        <v>8</v>
      </c>
      <c r="D1688" s="3" t="n">
        <v>8</v>
      </c>
      <c r="E1688" s="3" t="n">
        <v>6</v>
      </c>
      <c r="F1688" s="24" t="n">
        <v>-2.33268094</v>
      </c>
    </row>
    <row r="1689" customFormat="false" ht="15" hidden="false" customHeight="false" outlineLevel="0" collapsed="false">
      <c r="A1689" s="3" t="n">
        <v>1688</v>
      </c>
      <c r="B1689" s="3" t="n">
        <v>1687</v>
      </c>
      <c r="C1689" s="3" t="n">
        <v>8</v>
      </c>
      <c r="D1689" s="3" t="n">
        <v>8</v>
      </c>
      <c r="E1689" s="3" t="n">
        <v>7</v>
      </c>
      <c r="F1689" s="24" t="n">
        <v>-0.0671500564</v>
      </c>
    </row>
    <row r="1690" customFormat="false" ht="15" hidden="false" customHeight="false" outlineLevel="0" collapsed="false">
      <c r="A1690" s="3" t="n">
        <v>1689</v>
      </c>
      <c r="B1690" s="3" t="n">
        <v>1688</v>
      </c>
      <c r="C1690" s="3" t="n">
        <v>8</v>
      </c>
      <c r="D1690" s="3" t="n">
        <v>8</v>
      </c>
      <c r="E1690" s="3" t="n">
        <v>8</v>
      </c>
      <c r="F1690" s="24" t="n">
        <v>2.7174387</v>
      </c>
    </row>
    <row r="1691" customFormat="false" ht="15" hidden="false" customHeight="false" outlineLevel="0" collapsed="false">
      <c r="A1691" s="3" t="n">
        <v>1690</v>
      </c>
      <c r="B1691" s="3" t="n">
        <v>1689</v>
      </c>
      <c r="C1691" s="3" t="n">
        <v>8</v>
      </c>
      <c r="D1691" s="3" t="n">
        <v>8</v>
      </c>
      <c r="E1691" s="3" t="n">
        <v>9</v>
      </c>
      <c r="F1691" s="24" t="n">
        <v>0.409520447</v>
      </c>
    </row>
    <row r="1692" customFormat="false" ht="15" hidden="false" customHeight="false" outlineLevel="0" collapsed="false">
      <c r="A1692" s="3" t="n">
        <v>1691</v>
      </c>
      <c r="B1692" s="3" t="n">
        <v>1690</v>
      </c>
      <c r="C1692" s="3" t="n">
        <v>8</v>
      </c>
      <c r="D1692" s="3" t="n">
        <v>8</v>
      </c>
      <c r="E1692" s="3" t="n">
        <v>10</v>
      </c>
      <c r="F1692" s="24" t="n">
        <v>-0.994415224</v>
      </c>
    </row>
    <row r="1693" customFormat="false" ht="15" hidden="false" customHeight="false" outlineLevel="0" collapsed="false">
      <c r="A1693" s="3" t="n">
        <v>1692</v>
      </c>
      <c r="B1693" s="3" t="n">
        <v>1691</v>
      </c>
      <c r="C1693" s="3" t="n">
        <v>8</v>
      </c>
      <c r="D1693" s="3" t="n">
        <v>8</v>
      </c>
      <c r="E1693" s="3" t="n">
        <v>11</v>
      </c>
      <c r="F1693" s="24" t="n">
        <v>-1.01271594</v>
      </c>
    </row>
    <row r="1694" customFormat="false" ht="15" hidden="false" customHeight="false" outlineLevel="0" collapsed="false">
      <c r="A1694" s="3" t="n">
        <v>1693</v>
      </c>
      <c r="B1694" s="3" t="n">
        <v>1692</v>
      </c>
      <c r="C1694" s="3" t="n">
        <v>8</v>
      </c>
      <c r="D1694" s="3" t="n">
        <v>8</v>
      </c>
      <c r="E1694" s="3" t="n">
        <v>12</v>
      </c>
      <c r="F1694" s="24" t="n">
        <v>-1.38971412</v>
      </c>
    </row>
    <row r="1695" customFormat="false" ht="15" hidden="false" customHeight="false" outlineLevel="0" collapsed="false">
      <c r="A1695" s="3" t="n">
        <v>1694</v>
      </c>
      <c r="B1695" s="3" t="n">
        <v>1693</v>
      </c>
      <c r="C1695" s="3" t="n">
        <v>8</v>
      </c>
      <c r="D1695" s="3" t="n">
        <v>8</v>
      </c>
      <c r="E1695" s="3" t="n">
        <v>13</v>
      </c>
      <c r="F1695" s="24" t="n">
        <v>-0.854047239</v>
      </c>
    </row>
    <row r="1696" customFormat="false" ht="15" hidden="false" customHeight="false" outlineLevel="0" collapsed="false">
      <c r="A1696" s="3" t="n">
        <v>1695</v>
      </c>
      <c r="B1696" s="3" t="n">
        <v>1694</v>
      </c>
      <c r="C1696" s="3" t="n">
        <v>8</v>
      </c>
      <c r="D1696" s="3" t="n">
        <v>9</v>
      </c>
      <c r="E1696" s="3" t="n">
        <v>0</v>
      </c>
      <c r="F1696" s="24" t="n">
        <v>-1.00570059</v>
      </c>
    </row>
    <row r="1697" customFormat="false" ht="15" hidden="false" customHeight="false" outlineLevel="0" collapsed="false">
      <c r="A1697" s="3" t="n">
        <v>1696</v>
      </c>
      <c r="B1697" s="3" t="n">
        <v>1695</v>
      </c>
      <c r="C1697" s="3" t="n">
        <v>8</v>
      </c>
      <c r="D1697" s="3" t="n">
        <v>9</v>
      </c>
      <c r="E1697" s="3" t="n">
        <v>1</v>
      </c>
      <c r="F1697" s="24" t="n">
        <v>-1.38017058</v>
      </c>
    </row>
    <row r="1698" customFormat="false" ht="15" hidden="false" customHeight="false" outlineLevel="0" collapsed="false">
      <c r="A1698" s="3" t="n">
        <v>1697</v>
      </c>
      <c r="B1698" s="3" t="n">
        <v>1696</v>
      </c>
      <c r="C1698" s="3" t="n">
        <v>8</v>
      </c>
      <c r="D1698" s="3" t="n">
        <v>9</v>
      </c>
      <c r="E1698" s="3" t="n">
        <v>2</v>
      </c>
      <c r="F1698" s="24" t="n">
        <v>-1.26739395</v>
      </c>
    </row>
    <row r="1699" customFormat="false" ht="15" hidden="false" customHeight="false" outlineLevel="0" collapsed="false">
      <c r="A1699" s="3" t="n">
        <v>1698</v>
      </c>
      <c r="B1699" s="3" t="n">
        <v>1697</v>
      </c>
      <c r="C1699" s="3" t="n">
        <v>8</v>
      </c>
      <c r="D1699" s="3" t="n">
        <v>9</v>
      </c>
      <c r="E1699" s="3" t="n">
        <v>3</v>
      </c>
      <c r="F1699" s="24" t="n">
        <v>-1.26739395</v>
      </c>
    </row>
    <row r="1700" customFormat="false" ht="15" hidden="false" customHeight="false" outlineLevel="0" collapsed="false">
      <c r="A1700" s="3" t="n">
        <v>1699</v>
      </c>
      <c r="B1700" s="3" t="n">
        <v>1698</v>
      </c>
      <c r="C1700" s="3" t="n">
        <v>8</v>
      </c>
      <c r="D1700" s="3" t="n">
        <v>9</v>
      </c>
      <c r="E1700" s="3" t="n">
        <v>4</v>
      </c>
      <c r="F1700" s="24" t="n">
        <v>-1.01316488</v>
      </c>
    </row>
    <row r="1701" customFormat="false" ht="15" hidden="false" customHeight="false" outlineLevel="0" collapsed="false">
      <c r="A1701" s="3" t="n">
        <v>1700</v>
      </c>
      <c r="B1701" s="3" t="n">
        <v>1699</v>
      </c>
      <c r="C1701" s="3" t="n">
        <v>8</v>
      </c>
      <c r="D1701" s="3" t="n">
        <v>9</v>
      </c>
      <c r="E1701" s="3" t="n">
        <v>5</v>
      </c>
      <c r="F1701" s="24" t="n">
        <v>-2.13947964</v>
      </c>
    </row>
    <row r="1702" customFormat="false" ht="15" hidden="false" customHeight="false" outlineLevel="0" collapsed="false">
      <c r="A1702" s="3" t="n">
        <v>1701</v>
      </c>
      <c r="B1702" s="3" t="n">
        <v>1700</v>
      </c>
      <c r="C1702" s="3" t="n">
        <v>8</v>
      </c>
      <c r="D1702" s="3" t="n">
        <v>9</v>
      </c>
      <c r="E1702" s="3" t="n">
        <v>6</v>
      </c>
      <c r="F1702" s="24" t="n">
        <v>-0.483851284</v>
      </c>
    </row>
    <row r="1703" customFormat="false" ht="15" hidden="false" customHeight="false" outlineLevel="0" collapsed="false">
      <c r="A1703" s="3" t="n">
        <v>1702</v>
      </c>
      <c r="B1703" s="3" t="n">
        <v>1701</v>
      </c>
      <c r="C1703" s="3" t="n">
        <v>8</v>
      </c>
      <c r="D1703" s="3" t="n">
        <v>9</v>
      </c>
      <c r="E1703" s="3" t="n">
        <v>7</v>
      </c>
      <c r="F1703" s="24" t="n">
        <v>1.41012621</v>
      </c>
    </row>
    <row r="1704" customFormat="false" ht="15" hidden="false" customHeight="false" outlineLevel="0" collapsed="false">
      <c r="A1704" s="3" t="n">
        <v>1703</v>
      </c>
      <c r="B1704" s="3" t="n">
        <v>1702</v>
      </c>
      <c r="C1704" s="3" t="n">
        <v>8</v>
      </c>
      <c r="D1704" s="3" t="n">
        <v>9</v>
      </c>
      <c r="E1704" s="3" t="n">
        <v>8</v>
      </c>
      <c r="F1704" s="24" t="n">
        <v>1.09048665</v>
      </c>
    </row>
    <row r="1705" customFormat="false" ht="15" hidden="false" customHeight="false" outlineLevel="0" collapsed="false">
      <c r="A1705" s="3" t="n">
        <v>1704</v>
      </c>
      <c r="B1705" s="3" t="n">
        <v>1703</v>
      </c>
      <c r="C1705" s="3" t="n">
        <v>8</v>
      </c>
      <c r="D1705" s="3" t="n">
        <v>9</v>
      </c>
      <c r="E1705" s="3" t="n">
        <v>9</v>
      </c>
      <c r="F1705" s="24" t="n">
        <v>-0.930671513</v>
      </c>
    </row>
    <row r="1706" customFormat="false" ht="15" hidden="false" customHeight="false" outlineLevel="0" collapsed="false">
      <c r="A1706" s="3" t="n">
        <v>1705</v>
      </c>
      <c r="B1706" s="3" t="n">
        <v>1704</v>
      </c>
      <c r="C1706" s="3" t="n">
        <v>8</v>
      </c>
      <c r="D1706" s="3" t="n">
        <v>9</v>
      </c>
      <c r="E1706" s="3" t="n">
        <v>10</v>
      </c>
      <c r="F1706" s="24" t="n">
        <v>-0.910947382</v>
      </c>
    </row>
    <row r="1707" customFormat="false" ht="15" hidden="false" customHeight="false" outlineLevel="0" collapsed="false">
      <c r="A1707" s="3" t="n">
        <v>1706</v>
      </c>
      <c r="B1707" s="3" t="n">
        <v>1705</v>
      </c>
      <c r="C1707" s="3" t="n">
        <v>8</v>
      </c>
      <c r="D1707" s="3" t="n">
        <v>9</v>
      </c>
      <c r="E1707" s="3" t="n">
        <v>11</v>
      </c>
      <c r="F1707" s="24" t="n">
        <v>-1.26683247</v>
      </c>
    </row>
    <row r="1708" customFormat="false" ht="15" hidden="false" customHeight="false" outlineLevel="0" collapsed="false">
      <c r="A1708" s="3" t="n">
        <v>1707</v>
      </c>
      <c r="B1708" s="3" t="n">
        <v>1706</v>
      </c>
      <c r="C1708" s="3" t="n">
        <v>8</v>
      </c>
      <c r="D1708" s="3" t="n">
        <v>9</v>
      </c>
      <c r="E1708" s="3" t="n">
        <v>12</v>
      </c>
      <c r="F1708" s="24" t="n">
        <v>-1.38971412</v>
      </c>
    </row>
    <row r="1709" customFormat="false" ht="15" hidden="false" customHeight="false" outlineLevel="0" collapsed="false">
      <c r="A1709" s="3" t="n">
        <v>1708</v>
      </c>
      <c r="B1709" s="3" t="n">
        <v>1707</v>
      </c>
      <c r="C1709" s="3" t="n">
        <v>8</v>
      </c>
      <c r="D1709" s="3" t="n">
        <v>9</v>
      </c>
      <c r="E1709" s="3" t="n">
        <v>13</v>
      </c>
      <c r="F1709" s="24" t="n">
        <v>-0.854047239</v>
      </c>
    </row>
    <row r="1710" customFormat="false" ht="15" hidden="false" customHeight="false" outlineLevel="0" collapsed="false">
      <c r="A1710" s="3" t="n">
        <v>1709</v>
      </c>
      <c r="B1710" s="3" t="n">
        <v>1708</v>
      </c>
      <c r="C1710" s="3" t="n">
        <v>8</v>
      </c>
      <c r="D1710" s="3" t="n">
        <v>10</v>
      </c>
      <c r="E1710" s="3" t="n">
        <v>0</v>
      </c>
      <c r="F1710" s="24" t="n">
        <v>-1.00570059</v>
      </c>
    </row>
    <row r="1711" customFormat="false" ht="15" hidden="false" customHeight="false" outlineLevel="0" collapsed="false">
      <c r="A1711" s="3" t="n">
        <v>1710</v>
      </c>
      <c r="B1711" s="3" t="n">
        <v>1709</v>
      </c>
      <c r="C1711" s="3" t="n">
        <v>8</v>
      </c>
      <c r="D1711" s="3" t="n">
        <v>10</v>
      </c>
      <c r="E1711" s="3" t="n">
        <v>1</v>
      </c>
      <c r="F1711" s="24" t="n">
        <v>-1.38017058</v>
      </c>
    </row>
    <row r="1712" customFormat="false" ht="15" hidden="false" customHeight="false" outlineLevel="0" collapsed="false">
      <c r="A1712" s="3" t="n">
        <v>1711</v>
      </c>
      <c r="B1712" s="3" t="n">
        <v>1710</v>
      </c>
      <c r="C1712" s="3" t="n">
        <v>8</v>
      </c>
      <c r="D1712" s="3" t="n">
        <v>10</v>
      </c>
      <c r="E1712" s="3" t="n">
        <v>2</v>
      </c>
      <c r="F1712" s="24" t="n">
        <v>-1.26739395</v>
      </c>
    </row>
    <row r="1713" customFormat="false" ht="15" hidden="false" customHeight="false" outlineLevel="0" collapsed="false">
      <c r="A1713" s="3" t="n">
        <v>1712</v>
      </c>
      <c r="B1713" s="3" t="n">
        <v>1711</v>
      </c>
      <c r="C1713" s="3" t="n">
        <v>8</v>
      </c>
      <c r="D1713" s="3" t="n">
        <v>10</v>
      </c>
      <c r="E1713" s="3" t="n">
        <v>3</v>
      </c>
      <c r="F1713" s="24" t="n">
        <v>-1.23190367</v>
      </c>
    </row>
    <row r="1714" customFormat="false" ht="15" hidden="false" customHeight="false" outlineLevel="0" collapsed="false">
      <c r="A1714" s="3" t="n">
        <v>1713</v>
      </c>
      <c r="B1714" s="3" t="n">
        <v>1712</v>
      </c>
      <c r="C1714" s="3" t="n">
        <v>8</v>
      </c>
      <c r="D1714" s="3" t="n">
        <v>10</v>
      </c>
      <c r="E1714" s="3" t="n">
        <v>4</v>
      </c>
      <c r="F1714" s="24" t="n">
        <v>-1.4858228</v>
      </c>
    </row>
    <row r="1715" customFormat="false" ht="15" hidden="false" customHeight="false" outlineLevel="0" collapsed="false">
      <c r="A1715" s="3" t="n">
        <v>1714</v>
      </c>
      <c r="B1715" s="3" t="n">
        <v>1713</v>
      </c>
      <c r="C1715" s="3" t="n">
        <v>8</v>
      </c>
      <c r="D1715" s="3" t="n">
        <v>10</v>
      </c>
      <c r="E1715" s="3" t="n">
        <v>5</v>
      </c>
      <c r="F1715" s="24" t="n">
        <v>-0.642409682</v>
      </c>
    </row>
    <row r="1716" customFormat="false" ht="15" hidden="false" customHeight="false" outlineLevel="0" collapsed="false">
      <c r="A1716" s="3" t="n">
        <v>1715</v>
      </c>
      <c r="B1716" s="3" t="n">
        <v>1714</v>
      </c>
      <c r="C1716" s="3" t="n">
        <v>8</v>
      </c>
      <c r="D1716" s="3" t="n">
        <v>10</v>
      </c>
      <c r="E1716" s="3" t="n">
        <v>6</v>
      </c>
      <c r="F1716" s="24" t="n">
        <v>1.95171916</v>
      </c>
    </row>
    <row r="1717" customFormat="false" ht="15" hidden="false" customHeight="false" outlineLevel="0" collapsed="false">
      <c r="A1717" s="3" t="n">
        <v>1716</v>
      </c>
      <c r="B1717" s="3" t="n">
        <v>1715</v>
      </c>
      <c r="C1717" s="3" t="n">
        <v>8</v>
      </c>
      <c r="D1717" s="3" t="n">
        <v>10</v>
      </c>
      <c r="E1717" s="3" t="n">
        <v>7</v>
      </c>
      <c r="F1717" s="24" t="n">
        <v>0.827918172</v>
      </c>
    </row>
    <row r="1718" customFormat="false" ht="15" hidden="false" customHeight="false" outlineLevel="0" collapsed="false">
      <c r="A1718" s="3" t="n">
        <v>1717</v>
      </c>
      <c r="B1718" s="3" t="n">
        <v>1716</v>
      </c>
      <c r="C1718" s="3" t="n">
        <v>8</v>
      </c>
      <c r="D1718" s="3" t="n">
        <v>10</v>
      </c>
      <c r="E1718" s="3" t="n">
        <v>8</v>
      </c>
      <c r="F1718" s="24" t="n">
        <v>-0.0391470939</v>
      </c>
    </row>
    <row r="1719" customFormat="false" ht="15" hidden="false" customHeight="false" outlineLevel="0" collapsed="false">
      <c r="A1719" s="3" t="n">
        <v>1718</v>
      </c>
      <c r="B1719" s="3" t="n">
        <v>1717</v>
      </c>
      <c r="C1719" s="3" t="n">
        <v>8</v>
      </c>
      <c r="D1719" s="3" t="n">
        <v>10</v>
      </c>
      <c r="E1719" s="3" t="n">
        <v>9</v>
      </c>
      <c r="F1719" s="24" t="n">
        <v>-0.873940885</v>
      </c>
    </row>
    <row r="1720" customFormat="false" ht="15" hidden="false" customHeight="false" outlineLevel="0" collapsed="false">
      <c r="A1720" s="3" t="n">
        <v>1719</v>
      </c>
      <c r="B1720" s="3" t="n">
        <v>1718</v>
      </c>
      <c r="C1720" s="3" t="n">
        <v>8</v>
      </c>
      <c r="D1720" s="3" t="n">
        <v>10</v>
      </c>
      <c r="E1720" s="3" t="n">
        <v>10</v>
      </c>
      <c r="F1720" s="24" t="n">
        <v>-1.08881438</v>
      </c>
    </row>
    <row r="1721" customFormat="false" ht="15" hidden="false" customHeight="false" outlineLevel="0" collapsed="false">
      <c r="A1721" s="3" t="n">
        <v>1720</v>
      </c>
      <c r="B1721" s="3" t="n">
        <v>1719</v>
      </c>
      <c r="C1721" s="3" t="n">
        <v>8</v>
      </c>
      <c r="D1721" s="3" t="n">
        <v>10</v>
      </c>
      <c r="E1721" s="3" t="n">
        <v>11</v>
      </c>
      <c r="F1721" s="24" t="n">
        <v>-1.26739395</v>
      </c>
    </row>
    <row r="1722" customFormat="false" ht="15" hidden="false" customHeight="false" outlineLevel="0" collapsed="false">
      <c r="A1722" s="3" t="n">
        <v>1721</v>
      </c>
      <c r="B1722" s="3" t="n">
        <v>1720</v>
      </c>
      <c r="C1722" s="3" t="n">
        <v>8</v>
      </c>
      <c r="D1722" s="3" t="n">
        <v>10</v>
      </c>
      <c r="E1722" s="3" t="n">
        <v>12</v>
      </c>
      <c r="F1722" s="24" t="n">
        <v>-1.38971412</v>
      </c>
    </row>
    <row r="1723" customFormat="false" ht="15" hidden="false" customHeight="false" outlineLevel="0" collapsed="false">
      <c r="A1723" s="3" t="n">
        <v>1722</v>
      </c>
      <c r="B1723" s="3" t="n">
        <v>1721</v>
      </c>
      <c r="C1723" s="3" t="n">
        <v>8</v>
      </c>
      <c r="D1723" s="3" t="n">
        <v>10</v>
      </c>
      <c r="E1723" s="3" t="n">
        <v>13</v>
      </c>
      <c r="F1723" s="24" t="n">
        <v>-0.854047239</v>
      </c>
    </row>
    <row r="1724" customFormat="false" ht="15" hidden="false" customHeight="false" outlineLevel="0" collapsed="false">
      <c r="A1724" s="3" t="n">
        <v>1723</v>
      </c>
      <c r="B1724" s="3" t="n">
        <v>1722</v>
      </c>
      <c r="C1724" s="3" t="n">
        <v>8</v>
      </c>
      <c r="D1724" s="3" t="n">
        <v>11</v>
      </c>
      <c r="E1724" s="3" t="n">
        <v>0</v>
      </c>
      <c r="F1724" s="24" t="n">
        <v>-1.00570059</v>
      </c>
    </row>
    <row r="1725" customFormat="false" ht="15" hidden="false" customHeight="false" outlineLevel="0" collapsed="false">
      <c r="A1725" s="3" t="n">
        <v>1724</v>
      </c>
      <c r="B1725" s="3" t="n">
        <v>1723</v>
      </c>
      <c r="C1725" s="3" t="n">
        <v>8</v>
      </c>
      <c r="D1725" s="3" t="n">
        <v>11</v>
      </c>
      <c r="E1725" s="3" t="n">
        <v>1</v>
      </c>
      <c r="F1725" s="24" t="n">
        <v>-1.38017058</v>
      </c>
    </row>
    <row r="1726" customFormat="false" ht="15" hidden="false" customHeight="false" outlineLevel="0" collapsed="false">
      <c r="A1726" s="3" t="n">
        <v>1725</v>
      </c>
      <c r="B1726" s="3" t="n">
        <v>1724</v>
      </c>
      <c r="C1726" s="3" t="n">
        <v>8</v>
      </c>
      <c r="D1726" s="3" t="n">
        <v>11</v>
      </c>
      <c r="E1726" s="3" t="n">
        <v>2</v>
      </c>
      <c r="F1726" s="24" t="n">
        <v>-1.26739395</v>
      </c>
    </row>
    <row r="1727" customFormat="false" ht="15" hidden="false" customHeight="false" outlineLevel="0" collapsed="false">
      <c r="A1727" s="3" t="n">
        <v>1726</v>
      </c>
      <c r="B1727" s="3" t="n">
        <v>1725</v>
      </c>
      <c r="C1727" s="3" t="n">
        <v>8</v>
      </c>
      <c r="D1727" s="3" t="n">
        <v>11</v>
      </c>
      <c r="E1727" s="3" t="n">
        <v>3</v>
      </c>
      <c r="F1727" s="24" t="n">
        <v>-1.42348874</v>
      </c>
    </row>
    <row r="1728" customFormat="false" ht="15" hidden="false" customHeight="false" outlineLevel="0" collapsed="false">
      <c r="A1728" s="3" t="n">
        <v>1727</v>
      </c>
      <c r="B1728" s="3" t="n">
        <v>1726</v>
      </c>
      <c r="C1728" s="3" t="n">
        <v>8</v>
      </c>
      <c r="D1728" s="3" t="n">
        <v>11</v>
      </c>
      <c r="E1728" s="3" t="n">
        <v>4</v>
      </c>
      <c r="F1728" s="24" t="n">
        <v>-1.69201565</v>
      </c>
    </row>
    <row r="1729" customFormat="false" ht="15" hidden="false" customHeight="false" outlineLevel="0" collapsed="false">
      <c r="A1729" s="3" t="n">
        <v>1728</v>
      </c>
      <c r="B1729" s="3" t="n">
        <v>1727</v>
      </c>
      <c r="C1729" s="3" t="n">
        <v>8</v>
      </c>
      <c r="D1729" s="3" t="n">
        <v>11</v>
      </c>
      <c r="E1729" s="3" t="n">
        <v>5</v>
      </c>
      <c r="F1729" s="24" t="n">
        <v>2.44115138</v>
      </c>
    </row>
    <row r="1730" customFormat="false" ht="15" hidden="false" customHeight="false" outlineLevel="0" collapsed="false">
      <c r="A1730" s="3" t="n">
        <v>1729</v>
      </c>
      <c r="B1730" s="3" t="n">
        <v>1728</v>
      </c>
      <c r="C1730" s="3" t="n">
        <v>8</v>
      </c>
      <c r="D1730" s="3" t="n">
        <v>11</v>
      </c>
      <c r="E1730" s="3" t="n">
        <v>6</v>
      </c>
      <c r="F1730" s="24" t="n">
        <v>5.06260061</v>
      </c>
    </row>
    <row r="1731" customFormat="false" ht="15" hidden="false" customHeight="false" outlineLevel="0" collapsed="false">
      <c r="A1731" s="3" t="n">
        <v>1730</v>
      </c>
      <c r="B1731" s="3" t="n">
        <v>1729</v>
      </c>
      <c r="C1731" s="3" t="n">
        <v>8</v>
      </c>
      <c r="D1731" s="3" t="n">
        <v>11</v>
      </c>
      <c r="E1731" s="3" t="n">
        <v>7</v>
      </c>
      <c r="F1731" s="24" t="n">
        <v>0.673649609</v>
      </c>
    </row>
    <row r="1732" customFormat="false" ht="15" hidden="false" customHeight="false" outlineLevel="0" collapsed="false">
      <c r="A1732" s="3" t="n">
        <v>1731</v>
      </c>
      <c r="B1732" s="3" t="n">
        <v>1730</v>
      </c>
      <c r="C1732" s="3" t="n">
        <v>8</v>
      </c>
      <c r="D1732" s="3" t="n">
        <v>11</v>
      </c>
      <c r="E1732" s="3" t="n">
        <v>8</v>
      </c>
      <c r="F1732" s="24" t="n">
        <v>-1.23226714</v>
      </c>
    </row>
    <row r="1733" customFormat="false" ht="15" hidden="false" customHeight="false" outlineLevel="0" collapsed="false">
      <c r="A1733" s="3" t="n">
        <v>1732</v>
      </c>
      <c r="B1733" s="3" t="n">
        <v>1731</v>
      </c>
      <c r="C1733" s="3" t="n">
        <v>8</v>
      </c>
      <c r="D1733" s="3" t="n">
        <v>11</v>
      </c>
      <c r="E1733" s="3" t="n">
        <v>9</v>
      </c>
      <c r="F1733" s="24" t="n">
        <v>-0.813185155</v>
      </c>
    </row>
    <row r="1734" customFormat="false" ht="15" hidden="false" customHeight="false" outlineLevel="0" collapsed="false">
      <c r="A1734" s="3" t="n">
        <v>1733</v>
      </c>
      <c r="B1734" s="3" t="n">
        <v>1732</v>
      </c>
      <c r="C1734" s="3" t="n">
        <v>8</v>
      </c>
      <c r="D1734" s="3" t="n">
        <v>11</v>
      </c>
      <c r="E1734" s="3" t="n">
        <v>10</v>
      </c>
      <c r="F1734" s="24" t="n">
        <v>-1.26739395</v>
      </c>
    </row>
    <row r="1735" customFormat="false" ht="15" hidden="false" customHeight="false" outlineLevel="0" collapsed="false">
      <c r="A1735" s="3" t="n">
        <v>1734</v>
      </c>
      <c r="B1735" s="3" t="n">
        <v>1733</v>
      </c>
      <c r="C1735" s="3" t="n">
        <v>8</v>
      </c>
      <c r="D1735" s="3" t="n">
        <v>11</v>
      </c>
      <c r="E1735" s="3" t="n">
        <v>11</v>
      </c>
      <c r="F1735" s="24" t="n">
        <v>-1.26739395</v>
      </c>
    </row>
    <row r="1736" customFormat="false" ht="15" hidden="false" customHeight="false" outlineLevel="0" collapsed="false">
      <c r="A1736" s="3" t="n">
        <v>1735</v>
      </c>
      <c r="B1736" s="3" t="n">
        <v>1734</v>
      </c>
      <c r="C1736" s="3" t="n">
        <v>8</v>
      </c>
      <c r="D1736" s="3" t="n">
        <v>11</v>
      </c>
      <c r="E1736" s="3" t="n">
        <v>12</v>
      </c>
      <c r="F1736" s="24" t="n">
        <v>-1.38971412</v>
      </c>
    </row>
    <row r="1737" customFormat="false" ht="15" hidden="false" customHeight="false" outlineLevel="0" collapsed="false">
      <c r="A1737" s="3" t="n">
        <v>1736</v>
      </c>
      <c r="B1737" s="3" t="n">
        <v>1735</v>
      </c>
      <c r="C1737" s="3" t="n">
        <v>8</v>
      </c>
      <c r="D1737" s="3" t="n">
        <v>11</v>
      </c>
      <c r="E1737" s="3" t="n">
        <v>13</v>
      </c>
      <c r="F1737" s="24" t="n">
        <v>-0.854047239</v>
      </c>
    </row>
    <row r="1738" customFormat="false" ht="15" hidden="false" customHeight="false" outlineLevel="0" collapsed="false">
      <c r="A1738" s="3" t="n">
        <v>1737</v>
      </c>
      <c r="B1738" s="3" t="n">
        <v>1736</v>
      </c>
      <c r="C1738" s="3" t="n">
        <v>8</v>
      </c>
      <c r="D1738" s="3" t="n">
        <v>12</v>
      </c>
      <c r="E1738" s="3" t="n">
        <v>0</v>
      </c>
      <c r="F1738" s="24" t="n">
        <v>-0.878555834</v>
      </c>
    </row>
    <row r="1739" customFormat="false" ht="15" hidden="false" customHeight="false" outlineLevel="0" collapsed="false">
      <c r="A1739" s="3" t="n">
        <v>1738</v>
      </c>
      <c r="B1739" s="3" t="n">
        <v>1737</v>
      </c>
      <c r="C1739" s="3" t="n">
        <v>8</v>
      </c>
      <c r="D1739" s="3" t="n">
        <v>12</v>
      </c>
      <c r="E1739" s="3" t="n">
        <v>1</v>
      </c>
      <c r="F1739" s="24" t="n">
        <v>-1.41731787</v>
      </c>
    </row>
    <row r="1740" customFormat="false" ht="15" hidden="false" customHeight="false" outlineLevel="0" collapsed="false">
      <c r="A1740" s="3" t="n">
        <v>1739</v>
      </c>
      <c r="B1740" s="3" t="n">
        <v>1738</v>
      </c>
      <c r="C1740" s="3" t="n">
        <v>8</v>
      </c>
      <c r="D1740" s="3" t="n">
        <v>12</v>
      </c>
      <c r="E1740" s="3" t="n">
        <v>2</v>
      </c>
      <c r="F1740" s="24" t="n">
        <v>-1.30272603</v>
      </c>
    </row>
    <row r="1741" customFormat="false" ht="15" hidden="false" customHeight="false" outlineLevel="0" collapsed="false">
      <c r="A1741" s="3" t="n">
        <v>1740</v>
      </c>
      <c r="B1741" s="3" t="n">
        <v>1739</v>
      </c>
      <c r="C1741" s="3" t="n">
        <v>8</v>
      </c>
      <c r="D1741" s="3" t="n">
        <v>12</v>
      </c>
      <c r="E1741" s="3" t="n">
        <v>3</v>
      </c>
      <c r="F1741" s="24" t="n">
        <v>-1.72165537</v>
      </c>
    </row>
    <row r="1742" customFormat="false" ht="15" hidden="false" customHeight="false" outlineLevel="0" collapsed="false">
      <c r="A1742" s="3" t="n">
        <v>1741</v>
      </c>
      <c r="B1742" s="3" t="n">
        <v>1740</v>
      </c>
      <c r="C1742" s="3" t="n">
        <v>8</v>
      </c>
      <c r="D1742" s="3" t="n">
        <v>12</v>
      </c>
      <c r="E1742" s="3" t="n">
        <v>4</v>
      </c>
      <c r="F1742" s="24" t="n">
        <v>-1.90740669</v>
      </c>
    </row>
    <row r="1743" customFormat="false" ht="15" hidden="false" customHeight="false" outlineLevel="0" collapsed="false">
      <c r="A1743" s="3" t="n">
        <v>1742</v>
      </c>
      <c r="B1743" s="3" t="n">
        <v>1741</v>
      </c>
      <c r="C1743" s="3" t="n">
        <v>8</v>
      </c>
      <c r="D1743" s="3" t="n">
        <v>12</v>
      </c>
      <c r="E1743" s="3" t="n">
        <v>5</v>
      </c>
      <c r="F1743" s="24" t="n">
        <v>2.50091815</v>
      </c>
    </row>
    <row r="1744" customFormat="false" ht="15" hidden="false" customHeight="false" outlineLevel="0" collapsed="false">
      <c r="A1744" s="3" t="n">
        <v>1743</v>
      </c>
      <c r="B1744" s="3" t="n">
        <v>1742</v>
      </c>
      <c r="C1744" s="3" t="n">
        <v>8</v>
      </c>
      <c r="D1744" s="3" t="n">
        <v>12</v>
      </c>
      <c r="E1744" s="3" t="n">
        <v>6</v>
      </c>
      <c r="F1744" s="24" t="n">
        <v>3.1841886</v>
      </c>
    </row>
    <row r="1745" customFormat="false" ht="15" hidden="false" customHeight="false" outlineLevel="0" collapsed="false">
      <c r="A1745" s="3" t="n">
        <v>1744</v>
      </c>
      <c r="B1745" s="3" t="n">
        <v>1743</v>
      </c>
      <c r="C1745" s="3" t="n">
        <v>8</v>
      </c>
      <c r="D1745" s="3" t="n">
        <v>12</v>
      </c>
      <c r="E1745" s="3" t="n">
        <v>7</v>
      </c>
      <c r="F1745" s="24" t="n">
        <v>-0.354280353</v>
      </c>
    </row>
    <row r="1746" customFormat="false" ht="15" hidden="false" customHeight="false" outlineLevel="0" collapsed="false">
      <c r="A1746" s="3" t="n">
        <v>1745</v>
      </c>
      <c r="B1746" s="3" t="n">
        <v>1744</v>
      </c>
      <c r="C1746" s="3" t="n">
        <v>8</v>
      </c>
      <c r="D1746" s="3" t="n">
        <v>12</v>
      </c>
      <c r="E1746" s="3" t="n">
        <v>8</v>
      </c>
      <c r="F1746" s="24" t="n">
        <v>-1.6115998</v>
      </c>
    </row>
    <row r="1747" customFormat="false" ht="15" hidden="false" customHeight="false" outlineLevel="0" collapsed="false">
      <c r="A1747" s="3" t="n">
        <v>1746</v>
      </c>
      <c r="B1747" s="3" t="n">
        <v>1745</v>
      </c>
      <c r="C1747" s="3" t="n">
        <v>8</v>
      </c>
      <c r="D1747" s="3" t="n">
        <v>12</v>
      </c>
      <c r="E1747" s="3" t="n">
        <v>9</v>
      </c>
      <c r="F1747" s="24" t="n">
        <v>-1.2502799</v>
      </c>
    </row>
    <row r="1748" customFormat="false" ht="15" hidden="false" customHeight="false" outlineLevel="0" collapsed="false">
      <c r="A1748" s="3" t="n">
        <v>1747</v>
      </c>
      <c r="B1748" s="3" t="n">
        <v>1746</v>
      </c>
      <c r="C1748" s="3" t="n">
        <v>8</v>
      </c>
      <c r="D1748" s="3" t="n">
        <v>12</v>
      </c>
      <c r="E1748" s="3" t="n">
        <v>10</v>
      </c>
      <c r="F1748" s="24" t="n">
        <v>-1.30272603</v>
      </c>
    </row>
    <row r="1749" customFormat="false" ht="15" hidden="false" customHeight="false" outlineLevel="0" collapsed="false">
      <c r="A1749" s="3" t="n">
        <v>1748</v>
      </c>
      <c r="B1749" s="3" t="n">
        <v>1747</v>
      </c>
      <c r="C1749" s="3" t="n">
        <v>8</v>
      </c>
      <c r="D1749" s="3" t="n">
        <v>12</v>
      </c>
      <c r="E1749" s="3" t="n">
        <v>11</v>
      </c>
      <c r="F1749" s="24" t="n">
        <v>-1.30272603</v>
      </c>
    </row>
    <row r="1750" customFormat="false" ht="15" hidden="false" customHeight="false" outlineLevel="0" collapsed="false">
      <c r="A1750" s="3" t="n">
        <v>1749</v>
      </c>
      <c r="B1750" s="3" t="n">
        <v>1748</v>
      </c>
      <c r="C1750" s="3" t="n">
        <v>8</v>
      </c>
      <c r="D1750" s="3" t="n">
        <v>12</v>
      </c>
      <c r="E1750" s="3" t="n">
        <v>12</v>
      </c>
      <c r="F1750" s="24" t="n">
        <v>-1.42504609</v>
      </c>
    </row>
    <row r="1751" customFormat="false" ht="15" hidden="false" customHeight="false" outlineLevel="0" collapsed="false">
      <c r="A1751" s="3" t="n">
        <v>1750</v>
      </c>
      <c r="B1751" s="3" t="n">
        <v>1749</v>
      </c>
      <c r="C1751" s="3" t="n">
        <v>8</v>
      </c>
      <c r="D1751" s="3" t="n">
        <v>12</v>
      </c>
      <c r="E1751" s="3" t="n">
        <v>13</v>
      </c>
      <c r="F1751" s="24" t="n">
        <v>-1.07600164</v>
      </c>
    </row>
    <row r="1752" customFormat="false" ht="15" hidden="false" customHeight="false" outlineLevel="0" collapsed="false">
      <c r="A1752" s="3" t="n">
        <v>1751</v>
      </c>
      <c r="B1752" s="3" t="n">
        <v>1750</v>
      </c>
      <c r="C1752" s="3" t="n">
        <v>8</v>
      </c>
      <c r="D1752" s="3" t="n">
        <v>13</v>
      </c>
      <c r="E1752" s="3" t="n">
        <v>0</v>
      </c>
      <c r="F1752" s="24" t="n">
        <v>-0.541331232</v>
      </c>
    </row>
    <row r="1753" customFormat="false" ht="15" hidden="false" customHeight="false" outlineLevel="0" collapsed="false">
      <c r="A1753" s="3" t="n">
        <v>1752</v>
      </c>
      <c r="B1753" s="3" t="n">
        <v>1751</v>
      </c>
      <c r="C1753" s="3" t="n">
        <v>8</v>
      </c>
      <c r="D1753" s="3" t="n">
        <v>13</v>
      </c>
      <c r="E1753" s="3" t="n">
        <v>1</v>
      </c>
      <c r="F1753" s="24" t="n">
        <v>-1.00332272</v>
      </c>
    </row>
    <row r="1754" customFormat="false" ht="15" hidden="false" customHeight="false" outlineLevel="0" collapsed="false">
      <c r="A1754" s="3" t="n">
        <v>1753</v>
      </c>
      <c r="B1754" s="3" t="n">
        <v>1752</v>
      </c>
      <c r="C1754" s="3" t="n">
        <v>8</v>
      </c>
      <c r="D1754" s="3" t="n">
        <v>13</v>
      </c>
      <c r="E1754" s="3" t="n">
        <v>2</v>
      </c>
      <c r="F1754" s="24" t="n">
        <v>-0.968032479</v>
      </c>
    </row>
    <row r="1755" customFormat="false" ht="15" hidden="false" customHeight="false" outlineLevel="0" collapsed="false">
      <c r="A1755" s="3" t="n">
        <v>1754</v>
      </c>
      <c r="B1755" s="3" t="n">
        <v>1753</v>
      </c>
      <c r="C1755" s="3" t="n">
        <v>8</v>
      </c>
      <c r="D1755" s="3" t="n">
        <v>13</v>
      </c>
      <c r="E1755" s="3" t="n">
        <v>3</v>
      </c>
      <c r="F1755" s="24" t="n">
        <v>-1.07971179</v>
      </c>
    </row>
    <row r="1756" customFormat="false" ht="15" hidden="false" customHeight="false" outlineLevel="0" collapsed="false">
      <c r="A1756" s="3" t="n">
        <v>1755</v>
      </c>
      <c r="B1756" s="3" t="n">
        <v>1754</v>
      </c>
      <c r="C1756" s="3" t="n">
        <v>8</v>
      </c>
      <c r="D1756" s="3" t="n">
        <v>13</v>
      </c>
      <c r="E1756" s="3" t="n">
        <v>4</v>
      </c>
      <c r="F1756" s="24" t="n">
        <v>-1.90917695</v>
      </c>
    </row>
    <row r="1757" customFormat="false" ht="15" hidden="false" customHeight="false" outlineLevel="0" collapsed="false">
      <c r="A1757" s="3" t="n">
        <v>1756</v>
      </c>
      <c r="B1757" s="3" t="n">
        <v>1755</v>
      </c>
      <c r="C1757" s="3" t="n">
        <v>8</v>
      </c>
      <c r="D1757" s="3" t="n">
        <v>13</v>
      </c>
      <c r="E1757" s="3" t="n">
        <v>5</v>
      </c>
      <c r="F1757" s="24" t="n">
        <v>0.431216776</v>
      </c>
    </row>
    <row r="1758" customFormat="false" ht="15" hidden="false" customHeight="false" outlineLevel="0" collapsed="false">
      <c r="A1758" s="3" t="n">
        <v>1757</v>
      </c>
      <c r="B1758" s="3" t="n">
        <v>1756</v>
      </c>
      <c r="C1758" s="3" t="n">
        <v>8</v>
      </c>
      <c r="D1758" s="3" t="n">
        <v>13</v>
      </c>
      <c r="E1758" s="3" t="n">
        <v>6</v>
      </c>
      <c r="F1758" s="24" t="n">
        <v>1.51496351</v>
      </c>
    </row>
    <row r="1759" customFormat="false" ht="15" hidden="false" customHeight="false" outlineLevel="0" collapsed="false">
      <c r="A1759" s="3" t="n">
        <v>1758</v>
      </c>
      <c r="B1759" s="3" t="n">
        <v>1757</v>
      </c>
      <c r="C1759" s="3" t="n">
        <v>8</v>
      </c>
      <c r="D1759" s="3" t="n">
        <v>13</v>
      </c>
      <c r="E1759" s="3" t="n">
        <v>7</v>
      </c>
      <c r="F1759" s="24" t="n">
        <v>-0.208286762</v>
      </c>
    </row>
    <row r="1760" customFormat="false" ht="15" hidden="false" customHeight="false" outlineLevel="0" collapsed="false">
      <c r="A1760" s="3" t="n">
        <v>1759</v>
      </c>
      <c r="B1760" s="3" t="n">
        <v>1758</v>
      </c>
      <c r="C1760" s="3" t="n">
        <v>8</v>
      </c>
      <c r="D1760" s="3" t="n">
        <v>13</v>
      </c>
      <c r="E1760" s="3" t="n">
        <v>8</v>
      </c>
      <c r="F1760" s="24" t="n">
        <v>-0.638958156</v>
      </c>
    </row>
    <row r="1761" customFormat="false" ht="15" hidden="false" customHeight="false" outlineLevel="0" collapsed="false">
      <c r="A1761" s="3" t="n">
        <v>1760</v>
      </c>
      <c r="B1761" s="3" t="n">
        <v>1759</v>
      </c>
      <c r="C1761" s="3" t="n">
        <v>8</v>
      </c>
      <c r="D1761" s="3" t="n">
        <v>13</v>
      </c>
      <c r="E1761" s="3" t="n">
        <v>9</v>
      </c>
      <c r="F1761" s="24" t="n">
        <v>-0.968032479</v>
      </c>
    </row>
    <row r="1762" customFormat="false" ht="15" hidden="false" customHeight="false" outlineLevel="0" collapsed="false">
      <c r="A1762" s="3" t="n">
        <v>1761</v>
      </c>
      <c r="B1762" s="3" t="n">
        <v>1760</v>
      </c>
      <c r="C1762" s="3" t="n">
        <v>8</v>
      </c>
      <c r="D1762" s="3" t="n">
        <v>13</v>
      </c>
      <c r="E1762" s="3" t="n">
        <v>10</v>
      </c>
      <c r="F1762" s="24" t="n">
        <v>-0.968032479</v>
      </c>
    </row>
    <row r="1763" customFormat="false" ht="15" hidden="false" customHeight="false" outlineLevel="0" collapsed="false">
      <c r="A1763" s="3" t="n">
        <v>1762</v>
      </c>
      <c r="B1763" s="3" t="n">
        <v>1761</v>
      </c>
      <c r="C1763" s="3" t="n">
        <v>8</v>
      </c>
      <c r="D1763" s="3" t="n">
        <v>13</v>
      </c>
      <c r="E1763" s="3" t="n">
        <v>11</v>
      </c>
      <c r="F1763" s="24" t="n">
        <v>-0.968032479</v>
      </c>
    </row>
    <row r="1764" customFormat="false" ht="15" hidden="false" customHeight="false" outlineLevel="0" collapsed="false">
      <c r="A1764" s="3" t="n">
        <v>1763</v>
      </c>
      <c r="B1764" s="3" t="n">
        <v>1762</v>
      </c>
      <c r="C1764" s="3" t="n">
        <v>8</v>
      </c>
      <c r="D1764" s="3" t="n">
        <v>13</v>
      </c>
      <c r="E1764" s="3" t="n">
        <v>12</v>
      </c>
      <c r="F1764" s="24" t="n">
        <v>-0.982923746</v>
      </c>
    </row>
    <row r="1765" customFormat="false" ht="15" hidden="false" customHeight="false" outlineLevel="0" collapsed="false">
      <c r="A1765" s="3" t="n">
        <v>1764</v>
      </c>
      <c r="B1765" s="3" t="n">
        <v>1763</v>
      </c>
      <c r="C1765" s="3" t="n">
        <v>8</v>
      </c>
      <c r="D1765" s="3" t="n">
        <v>13</v>
      </c>
      <c r="E1765" s="3" t="n">
        <v>13</v>
      </c>
      <c r="F1765" s="24" t="n">
        <v>-0.761382282</v>
      </c>
    </row>
    <row r="1766" customFormat="false" ht="15" hidden="false" customHeight="false" outlineLevel="0" collapsed="false">
      <c r="A1766" s="3" t="n">
        <v>1765</v>
      </c>
      <c r="B1766" s="3" t="n">
        <v>1764</v>
      </c>
      <c r="C1766" s="3" t="n">
        <v>9</v>
      </c>
      <c r="D1766" s="3" t="n">
        <v>0</v>
      </c>
      <c r="E1766" s="3" t="n">
        <v>0</v>
      </c>
      <c r="F1766" s="24" t="n">
        <v>-0.125070617</v>
      </c>
    </row>
    <row r="1767" customFormat="false" ht="15" hidden="false" customHeight="false" outlineLevel="0" collapsed="false">
      <c r="A1767" s="3" t="n">
        <v>1766</v>
      </c>
      <c r="B1767" s="3" t="n">
        <v>1765</v>
      </c>
      <c r="C1767" s="3" t="n">
        <v>9</v>
      </c>
      <c r="D1767" s="3" t="n">
        <v>0</v>
      </c>
      <c r="E1767" s="3" t="n">
        <v>1</v>
      </c>
      <c r="F1767" s="24" t="n">
        <v>0.278177232</v>
      </c>
    </row>
    <row r="1768" customFormat="false" ht="15" hidden="false" customHeight="false" outlineLevel="0" collapsed="false">
      <c r="A1768" s="3" t="n">
        <v>1767</v>
      </c>
      <c r="B1768" s="3" t="n">
        <v>1766</v>
      </c>
      <c r="C1768" s="3" t="n">
        <v>9</v>
      </c>
      <c r="D1768" s="3" t="n">
        <v>0</v>
      </c>
      <c r="E1768" s="3" t="n">
        <v>2</v>
      </c>
      <c r="F1768" s="24" t="n">
        <v>0.296260387</v>
      </c>
    </row>
    <row r="1769" customFormat="false" ht="15" hidden="false" customHeight="false" outlineLevel="0" collapsed="false">
      <c r="A1769" s="3" t="n">
        <v>1768</v>
      </c>
      <c r="B1769" s="3" t="n">
        <v>1767</v>
      </c>
      <c r="C1769" s="3" t="n">
        <v>9</v>
      </c>
      <c r="D1769" s="3" t="n">
        <v>0</v>
      </c>
      <c r="E1769" s="3" t="n">
        <v>3</v>
      </c>
      <c r="F1769" s="24" t="n">
        <v>0.296260387</v>
      </c>
    </row>
    <row r="1770" customFormat="false" ht="15" hidden="false" customHeight="false" outlineLevel="0" collapsed="false">
      <c r="A1770" s="3" t="n">
        <v>1769</v>
      </c>
      <c r="B1770" s="3" t="n">
        <v>1768</v>
      </c>
      <c r="C1770" s="3" t="n">
        <v>9</v>
      </c>
      <c r="D1770" s="3" t="n">
        <v>0</v>
      </c>
      <c r="E1770" s="3" t="n">
        <v>4</v>
      </c>
      <c r="F1770" s="24" t="n">
        <v>0.296260387</v>
      </c>
    </row>
    <row r="1771" customFormat="false" ht="15" hidden="false" customHeight="false" outlineLevel="0" collapsed="false">
      <c r="A1771" s="3" t="n">
        <v>1770</v>
      </c>
      <c r="B1771" s="3" t="n">
        <v>1769</v>
      </c>
      <c r="C1771" s="3" t="n">
        <v>9</v>
      </c>
      <c r="D1771" s="3" t="n">
        <v>0</v>
      </c>
      <c r="E1771" s="3" t="n">
        <v>5</v>
      </c>
      <c r="F1771" s="24" t="n">
        <v>0.296260387</v>
      </c>
    </row>
    <row r="1772" customFormat="false" ht="15" hidden="false" customHeight="false" outlineLevel="0" collapsed="false">
      <c r="A1772" s="3" t="n">
        <v>1771</v>
      </c>
      <c r="B1772" s="3" t="n">
        <v>1770</v>
      </c>
      <c r="C1772" s="3" t="n">
        <v>9</v>
      </c>
      <c r="D1772" s="3" t="n">
        <v>0</v>
      </c>
      <c r="E1772" s="3" t="n">
        <v>6</v>
      </c>
      <c r="F1772" s="24" t="n">
        <v>0.296260387</v>
      </c>
    </row>
    <row r="1773" customFormat="false" ht="15" hidden="false" customHeight="false" outlineLevel="0" collapsed="false">
      <c r="A1773" s="3" t="n">
        <v>1772</v>
      </c>
      <c r="B1773" s="3" t="n">
        <v>1771</v>
      </c>
      <c r="C1773" s="3" t="n">
        <v>9</v>
      </c>
      <c r="D1773" s="3" t="n">
        <v>0</v>
      </c>
      <c r="E1773" s="3" t="n">
        <v>7</v>
      </c>
      <c r="F1773" s="24" t="n">
        <v>0.296260387</v>
      </c>
    </row>
    <row r="1774" customFormat="false" ht="15" hidden="false" customHeight="false" outlineLevel="0" collapsed="false">
      <c r="A1774" s="3" t="n">
        <v>1773</v>
      </c>
      <c r="B1774" s="3" t="n">
        <v>1772</v>
      </c>
      <c r="C1774" s="3" t="n">
        <v>9</v>
      </c>
      <c r="D1774" s="3" t="n">
        <v>0</v>
      </c>
      <c r="E1774" s="3" t="n">
        <v>8</v>
      </c>
      <c r="F1774" s="24" t="n">
        <v>0.296260387</v>
      </c>
    </row>
    <row r="1775" customFormat="false" ht="15" hidden="false" customHeight="false" outlineLevel="0" collapsed="false">
      <c r="A1775" s="3" t="n">
        <v>1774</v>
      </c>
      <c r="B1775" s="3" t="n">
        <v>1773</v>
      </c>
      <c r="C1775" s="3" t="n">
        <v>9</v>
      </c>
      <c r="D1775" s="3" t="n">
        <v>0</v>
      </c>
      <c r="E1775" s="3" t="n">
        <v>9</v>
      </c>
      <c r="F1775" s="24" t="n">
        <v>0.296260387</v>
      </c>
    </row>
    <row r="1776" customFormat="false" ht="15" hidden="false" customHeight="false" outlineLevel="0" collapsed="false">
      <c r="A1776" s="3" t="n">
        <v>1775</v>
      </c>
      <c r="B1776" s="3" t="n">
        <v>1774</v>
      </c>
      <c r="C1776" s="3" t="n">
        <v>9</v>
      </c>
      <c r="D1776" s="3" t="n">
        <v>0</v>
      </c>
      <c r="E1776" s="3" t="n">
        <v>10</v>
      </c>
      <c r="F1776" s="24" t="n">
        <v>0.296260387</v>
      </c>
    </row>
    <row r="1777" customFormat="false" ht="15" hidden="false" customHeight="false" outlineLevel="0" collapsed="false">
      <c r="A1777" s="3" t="n">
        <v>1776</v>
      </c>
      <c r="B1777" s="3" t="n">
        <v>1775</v>
      </c>
      <c r="C1777" s="3" t="n">
        <v>9</v>
      </c>
      <c r="D1777" s="3" t="n">
        <v>0</v>
      </c>
      <c r="E1777" s="3" t="n">
        <v>11</v>
      </c>
      <c r="F1777" s="24" t="n">
        <v>0.296260387</v>
      </c>
    </row>
    <row r="1778" customFormat="false" ht="15" hidden="false" customHeight="false" outlineLevel="0" collapsed="false">
      <c r="A1778" s="3" t="n">
        <v>1777</v>
      </c>
      <c r="B1778" s="3" t="n">
        <v>1776</v>
      </c>
      <c r="C1778" s="3" t="n">
        <v>9</v>
      </c>
      <c r="D1778" s="3" t="n">
        <v>0</v>
      </c>
      <c r="E1778" s="3" t="n">
        <v>12</v>
      </c>
      <c r="F1778" s="24" t="n">
        <v>0.340297312</v>
      </c>
    </row>
    <row r="1779" customFormat="false" ht="15" hidden="false" customHeight="false" outlineLevel="0" collapsed="false">
      <c r="A1779" s="3" t="n">
        <v>1778</v>
      </c>
      <c r="B1779" s="3" t="n">
        <v>1777</v>
      </c>
      <c r="C1779" s="3" t="n">
        <v>9</v>
      </c>
      <c r="D1779" s="3" t="n">
        <v>0</v>
      </c>
      <c r="E1779" s="3" t="n">
        <v>13</v>
      </c>
      <c r="F1779" s="24" t="n">
        <v>0.239627272</v>
      </c>
    </row>
    <row r="1780" customFormat="false" ht="15" hidden="false" customHeight="false" outlineLevel="0" collapsed="false">
      <c r="A1780" s="3" t="n">
        <v>1779</v>
      </c>
      <c r="B1780" s="3" t="n">
        <v>1778</v>
      </c>
      <c r="C1780" s="3" t="n">
        <v>9</v>
      </c>
      <c r="D1780" s="3" t="n">
        <v>1</v>
      </c>
      <c r="E1780" s="3" t="n">
        <v>0</v>
      </c>
      <c r="F1780" s="24" t="n">
        <v>-0.18476516</v>
      </c>
    </row>
    <row r="1781" customFormat="false" ht="15" hidden="false" customHeight="false" outlineLevel="0" collapsed="false">
      <c r="A1781" s="3" t="n">
        <v>1780</v>
      </c>
      <c r="B1781" s="3" t="n">
        <v>1779</v>
      </c>
      <c r="C1781" s="3" t="n">
        <v>9</v>
      </c>
      <c r="D1781" s="3" t="n">
        <v>1</v>
      </c>
      <c r="E1781" s="3" t="n">
        <v>1</v>
      </c>
      <c r="F1781" s="24" t="n">
        <v>0.111595809</v>
      </c>
    </row>
    <row r="1782" customFormat="false" ht="15" hidden="false" customHeight="false" outlineLevel="0" collapsed="false">
      <c r="A1782" s="3" t="n">
        <v>1781</v>
      </c>
      <c r="B1782" s="3" t="n">
        <v>1780</v>
      </c>
      <c r="C1782" s="3" t="n">
        <v>9</v>
      </c>
      <c r="D1782" s="3" t="n">
        <v>1</v>
      </c>
      <c r="E1782" s="3" t="n">
        <v>2</v>
      </c>
      <c r="F1782" s="24" t="n">
        <v>0.165668458</v>
      </c>
    </row>
    <row r="1783" customFormat="false" ht="15" hidden="false" customHeight="false" outlineLevel="0" collapsed="false">
      <c r="A1783" s="3" t="n">
        <v>1782</v>
      </c>
      <c r="B1783" s="3" t="n">
        <v>1781</v>
      </c>
      <c r="C1783" s="3" t="n">
        <v>9</v>
      </c>
      <c r="D1783" s="3" t="n">
        <v>1</v>
      </c>
      <c r="E1783" s="3" t="n">
        <v>3</v>
      </c>
      <c r="F1783" s="24" t="n">
        <v>0.165668458</v>
      </c>
    </row>
    <row r="1784" customFormat="false" ht="15" hidden="false" customHeight="false" outlineLevel="0" collapsed="false">
      <c r="A1784" s="3" t="n">
        <v>1783</v>
      </c>
      <c r="B1784" s="3" t="n">
        <v>1782</v>
      </c>
      <c r="C1784" s="3" t="n">
        <v>9</v>
      </c>
      <c r="D1784" s="3" t="n">
        <v>1</v>
      </c>
      <c r="E1784" s="3" t="n">
        <v>4</v>
      </c>
      <c r="F1784" s="24" t="n">
        <v>0.165668458</v>
      </c>
    </row>
    <row r="1785" customFormat="false" ht="15" hidden="false" customHeight="false" outlineLevel="0" collapsed="false">
      <c r="A1785" s="3" t="n">
        <v>1784</v>
      </c>
      <c r="B1785" s="3" t="n">
        <v>1783</v>
      </c>
      <c r="C1785" s="3" t="n">
        <v>9</v>
      </c>
      <c r="D1785" s="3" t="n">
        <v>1</v>
      </c>
      <c r="E1785" s="3" t="n">
        <v>5</v>
      </c>
      <c r="F1785" s="24" t="n">
        <v>0.165668458</v>
      </c>
    </row>
    <row r="1786" customFormat="false" ht="15" hidden="false" customHeight="false" outlineLevel="0" collapsed="false">
      <c r="A1786" s="3" t="n">
        <v>1785</v>
      </c>
      <c r="B1786" s="3" t="n">
        <v>1784</v>
      </c>
      <c r="C1786" s="3" t="n">
        <v>9</v>
      </c>
      <c r="D1786" s="3" t="n">
        <v>1</v>
      </c>
      <c r="E1786" s="3" t="n">
        <v>6</v>
      </c>
      <c r="F1786" s="24" t="n">
        <v>0.165668458</v>
      </c>
    </row>
    <row r="1787" customFormat="false" ht="15" hidden="false" customHeight="false" outlineLevel="0" collapsed="false">
      <c r="A1787" s="3" t="n">
        <v>1786</v>
      </c>
      <c r="B1787" s="3" t="n">
        <v>1785</v>
      </c>
      <c r="C1787" s="3" t="n">
        <v>9</v>
      </c>
      <c r="D1787" s="3" t="n">
        <v>1</v>
      </c>
      <c r="E1787" s="3" t="n">
        <v>7</v>
      </c>
      <c r="F1787" s="24" t="n">
        <v>0.165668458</v>
      </c>
    </row>
    <row r="1788" customFormat="false" ht="15" hidden="false" customHeight="false" outlineLevel="0" collapsed="false">
      <c r="A1788" s="3" t="n">
        <v>1787</v>
      </c>
      <c r="B1788" s="3" t="n">
        <v>1786</v>
      </c>
      <c r="C1788" s="3" t="n">
        <v>9</v>
      </c>
      <c r="D1788" s="3" t="n">
        <v>1</v>
      </c>
      <c r="E1788" s="3" t="n">
        <v>8</v>
      </c>
      <c r="F1788" s="24" t="n">
        <v>0.165668458</v>
      </c>
    </row>
    <row r="1789" customFormat="false" ht="15" hidden="false" customHeight="false" outlineLevel="0" collapsed="false">
      <c r="A1789" s="3" t="n">
        <v>1788</v>
      </c>
      <c r="B1789" s="3" t="n">
        <v>1787</v>
      </c>
      <c r="C1789" s="3" t="n">
        <v>9</v>
      </c>
      <c r="D1789" s="3" t="n">
        <v>1</v>
      </c>
      <c r="E1789" s="3" t="n">
        <v>9</v>
      </c>
      <c r="F1789" s="24" t="n">
        <v>0.165668458</v>
      </c>
    </row>
    <row r="1790" customFormat="false" ht="15" hidden="false" customHeight="false" outlineLevel="0" collapsed="false">
      <c r="A1790" s="3" t="n">
        <v>1789</v>
      </c>
      <c r="B1790" s="3" t="n">
        <v>1788</v>
      </c>
      <c r="C1790" s="3" t="n">
        <v>9</v>
      </c>
      <c r="D1790" s="3" t="n">
        <v>1</v>
      </c>
      <c r="E1790" s="3" t="n">
        <v>10</v>
      </c>
      <c r="F1790" s="24" t="n">
        <v>0.165668458</v>
      </c>
    </row>
    <row r="1791" customFormat="false" ht="15" hidden="false" customHeight="false" outlineLevel="0" collapsed="false">
      <c r="A1791" s="3" t="n">
        <v>1790</v>
      </c>
      <c r="B1791" s="3" t="n">
        <v>1789</v>
      </c>
      <c r="C1791" s="3" t="n">
        <v>9</v>
      </c>
      <c r="D1791" s="3" t="n">
        <v>1</v>
      </c>
      <c r="E1791" s="3" t="n">
        <v>11</v>
      </c>
      <c r="F1791" s="24" t="n">
        <v>0.165668458</v>
      </c>
    </row>
    <row r="1792" customFormat="false" ht="15" hidden="false" customHeight="false" outlineLevel="0" collapsed="false">
      <c r="A1792" s="3" t="n">
        <v>1791</v>
      </c>
      <c r="B1792" s="3" t="n">
        <v>1790</v>
      </c>
      <c r="C1792" s="3" t="n">
        <v>9</v>
      </c>
      <c r="D1792" s="3" t="n">
        <v>1</v>
      </c>
      <c r="E1792" s="3" t="n">
        <v>12</v>
      </c>
      <c r="F1792" s="24" t="n">
        <v>0.321593672</v>
      </c>
    </row>
    <row r="1793" customFormat="false" ht="15" hidden="false" customHeight="false" outlineLevel="0" collapsed="false">
      <c r="A1793" s="3" t="n">
        <v>1792</v>
      </c>
      <c r="B1793" s="3" t="n">
        <v>1791</v>
      </c>
      <c r="C1793" s="3" t="n">
        <v>9</v>
      </c>
      <c r="D1793" s="3" t="n">
        <v>1</v>
      </c>
      <c r="E1793" s="3" t="n">
        <v>13</v>
      </c>
      <c r="F1793" s="24" t="n">
        <v>0.290081292</v>
      </c>
    </row>
    <row r="1794" customFormat="false" ht="15" hidden="false" customHeight="false" outlineLevel="0" collapsed="false">
      <c r="A1794" s="3" t="n">
        <v>1793</v>
      </c>
      <c r="B1794" s="3" t="n">
        <v>1792</v>
      </c>
      <c r="C1794" s="3" t="n">
        <v>9</v>
      </c>
      <c r="D1794" s="3" t="n">
        <v>2</v>
      </c>
      <c r="E1794" s="3" t="n">
        <v>0</v>
      </c>
      <c r="F1794" s="24" t="n">
        <v>-0.262632221</v>
      </c>
    </row>
    <row r="1795" customFormat="false" ht="15" hidden="false" customHeight="false" outlineLevel="0" collapsed="false">
      <c r="A1795" s="3" t="n">
        <v>1794</v>
      </c>
      <c r="B1795" s="3" t="n">
        <v>1793</v>
      </c>
      <c r="C1795" s="3" t="n">
        <v>9</v>
      </c>
      <c r="D1795" s="3" t="n">
        <v>2</v>
      </c>
      <c r="E1795" s="3" t="n">
        <v>1</v>
      </c>
      <c r="F1795" s="24" t="n">
        <v>-0.70365423</v>
      </c>
    </row>
    <row r="1796" customFormat="false" ht="15" hidden="false" customHeight="false" outlineLevel="0" collapsed="false">
      <c r="A1796" s="3" t="n">
        <v>1795</v>
      </c>
      <c r="B1796" s="3" t="n">
        <v>1794</v>
      </c>
      <c r="C1796" s="3" t="n">
        <v>9</v>
      </c>
      <c r="D1796" s="3" t="n">
        <v>2</v>
      </c>
      <c r="E1796" s="3" t="n">
        <v>2</v>
      </c>
      <c r="F1796" s="24" t="n">
        <v>-2.04710221</v>
      </c>
    </row>
    <row r="1797" customFormat="false" ht="15" hidden="false" customHeight="false" outlineLevel="0" collapsed="false">
      <c r="A1797" s="3" t="n">
        <v>1796</v>
      </c>
      <c r="B1797" s="3" t="n">
        <v>1795</v>
      </c>
      <c r="C1797" s="3" t="n">
        <v>9</v>
      </c>
      <c r="D1797" s="3" t="n">
        <v>2</v>
      </c>
      <c r="E1797" s="3" t="n">
        <v>3</v>
      </c>
      <c r="F1797" s="24" t="n">
        <v>-2.23332882</v>
      </c>
    </row>
    <row r="1798" customFormat="false" ht="15" hidden="false" customHeight="false" outlineLevel="0" collapsed="false">
      <c r="A1798" s="3" t="n">
        <v>1797</v>
      </c>
      <c r="B1798" s="3" t="n">
        <v>1796</v>
      </c>
      <c r="C1798" s="3" t="n">
        <v>9</v>
      </c>
      <c r="D1798" s="3" t="n">
        <v>2</v>
      </c>
      <c r="E1798" s="3" t="n">
        <v>4</v>
      </c>
      <c r="F1798" s="24" t="n">
        <v>-1.17257047</v>
      </c>
    </row>
    <row r="1799" customFormat="false" ht="15" hidden="false" customHeight="false" outlineLevel="0" collapsed="false">
      <c r="A1799" s="3" t="n">
        <v>1798</v>
      </c>
      <c r="B1799" s="3" t="n">
        <v>1797</v>
      </c>
      <c r="C1799" s="3" t="n">
        <v>9</v>
      </c>
      <c r="D1799" s="3" t="n">
        <v>2</v>
      </c>
      <c r="E1799" s="3" t="n">
        <v>5</v>
      </c>
      <c r="F1799" s="24" t="n">
        <v>-0.730140686</v>
      </c>
    </row>
    <row r="1800" customFormat="false" ht="15" hidden="false" customHeight="false" outlineLevel="0" collapsed="false">
      <c r="A1800" s="3" t="n">
        <v>1799</v>
      </c>
      <c r="B1800" s="3" t="n">
        <v>1798</v>
      </c>
      <c r="C1800" s="3" t="n">
        <v>9</v>
      </c>
      <c r="D1800" s="3" t="n">
        <v>2</v>
      </c>
      <c r="E1800" s="3" t="n">
        <v>6</v>
      </c>
      <c r="F1800" s="24" t="n">
        <v>-0.748512924</v>
      </c>
    </row>
    <row r="1801" customFormat="false" ht="15" hidden="false" customHeight="false" outlineLevel="0" collapsed="false">
      <c r="A1801" s="3" t="n">
        <v>1800</v>
      </c>
      <c r="B1801" s="3" t="n">
        <v>1799</v>
      </c>
      <c r="C1801" s="3" t="n">
        <v>9</v>
      </c>
      <c r="D1801" s="3" t="n">
        <v>2</v>
      </c>
      <c r="E1801" s="3" t="n">
        <v>7</v>
      </c>
      <c r="F1801" s="24" t="n">
        <v>-0.886188865</v>
      </c>
    </row>
    <row r="1802" customFormat="false" ht="15" hidden="false" customHeight="false" outlineLevel="0" collapsed="false">
      <c r="A1802" s="3" t="n">
        <v>1801</v>
      </c>
      <c r="B1802" s="3" t="n">
        <v>1800</v>
      </c>
      <c r="C1802" s="3" t="n">
        <v>9</v>
      </c>
      <c r="D1802" s="3" t="n">
        <v>2</v>
      </c>
      <c r="E1802" s="3" t="n">
        <v>8</v>
      </c>
      <c r="F1802" s="24" t="n">
        <v>-0.928726673</v>
      </c>
    </row>
    <row r="1803" customFormat="false" ht="15" hidden="false" customHeight="false" outlineLevel="0" collapsed="false">
      <c r="A1803" s="3" t="n">
        <v>1802</v>
      </c>
      <c r="B1803" s="3" t="n">
        <v>1801</v>
      </c>
      <c r="C1803" s="3" t="n">
        <v>9</v>
      </c>
      <c r="D1803" s="3" t="n">
        <v>2</v>
      </c>
      <c r="E1803" s="3" t="n">
        <v>9</v>
      </c>
      <c r="F1803" s="24" t="n">
        <v>-0.62749958</v>
      </c>
    </row>
    <row r="1804" customFormat="false" ht="15" hidden="false" customHeight="false" outlineLevel="0" collapsed="false">
      <c r="A1804" s="3" t="n">
        <v>1803</v>
      </c>
      <c r="B1804" s="3" t="n">
        <v>1802</v>
      </c>
      <c r="C1804" s="3" t="n">
        <v>9</v>
      </c>
      <c r="D1804" s="3" t="n">
        <v>2</v>
      </c>
      <c r="E1804" s="3" t="n">
        <v>10</v>
      </c>
      <c r="F1804" s="24" t="n">
        <v>-0.0958355069</v>
      </c>
    </row>
    <row r="1805" customFormat="false" ht="15" hidden="false" customHeight="false" outlineLevel="0" collapsed="false">
      <c r="A1805" s="3" t="n">
        <v>1804</v>
      </c>
      <c r="B1805" s="3" t="n">
        <v>1803</v>
      </c>
      <c r="C1805" s="3" t="n">
        <v>9</v>
      </c>
      <c r="D1805" s="3" t="n">
        <v>2</v>
      </c>
      <c r="E1805" s="3" t="n">
        <v>11</v>
      </c>
      <c r="F1805" s="24" t="n">
        <v>0.179415107</v>
      </c>
    </row>
    <row r="1806" customFormat="false" ht="15" hidden="false" customHeight="false" outlineLevel="0" collapsed="false">
      <c r="A1806" s="3" t="n">
        <v>1805</v>
      </c>
      <c r="B1806" s="3" t="n">
        <v>1804</v>
      </c>
      <c r="C1806" s="3" t="n">
        <v>9</v>
      </c>
      <c r="D1806" s="3" t="n">
        <v>2</v>
      </c>
      <c r="E1806" s="3" t="n">
        <v>12</v>
      </c>
      <c r="F1806" s="24" t="n">
        <v>0.217400432</v>
      </c>
    </row>
    <row r="1807" customFormat="false" ht="15" hidden="false" customHeight="false" outlineLevel="0" collapsed="false">
      <c r="A1807" s="3" t="n">
        <v>1806</v>
      </c>
      <c r="B1807" s="3" t="n">
        <v>1805</v>
      </c>
      <c r="C1807" s="3" t="n">
        <v>9</v>
      </c>
      <c r="D1807" s="3" t="n">
        <v>2</v>
      </c>
      <c r="E1807" s="3" t="n">
        <v>13</v>
      </c>
      <c r="F1807" s="24" t="n">
        <v>0.161294132</v>
      </c>
    </row>
    <row r="1808" customFormat="false" ht="15" hidden="false" customHeight="false" outlineLevel="0" collapsed="false">
      <c r="A1808" s="3" t="n">
        <v>1807</v>
      </c>
      <c r="B1808" s="3" t="n">
        <v>1806</v>
      </c>
      <c r="C1808" s="3" t="n">
        <v>9</v>
      </c>
      <c r="D1808" s="3" t="n">
        <v>3</v>
      </c>
      <c r="E1808" s="3" t="n">
        <v>0</v>
      </c>
      <c r="F1808" s="24" t="n">
        <v>-0.262632221</v>
      </c>
    </row>
    <row r="1809" customFormat="false" ht="15" hidden="false" customHeight="false" outlineLevel="0" collapsed="false">
      <c r="A1809" s="3" t="n">
        <v>1808</v>
      </c>
      <c r="B1809" s="3" t="n">
        <v>1807</v>
      </c>
      <c r="C1809" s="3" t="n">
        <v>9</v>
      </c>
      <c r="D1809" s="3" t="n">
        <v>3</v>
      </c>
      <c r="E1809" s="3" t="n">
        <v>1</v>
      </c>
      <c r="F1809" s="24" t="n">
        <v>-0.577724576</v>
      </c>
    </row>
    <row r="1810" customFormat="false" ht="15" hidden="false" customHeight="false" outlineLevel="0" collapsed="false">
      <c r="A1810" s="3" t="n">
        <v>1809</v>
      </c>
      <c r="B1810" s="3" t="n">
        <v>1808</v>
      </c>
      <c r="C1810" s="3" t="n">
        <v>9</v>
      </c>
      <c r="D1810" s="3" t="n">
        <v>3</v>
      </c>
      <c r="E1810" s="3" t="n">
        <v>2</v>
      </c>
      <c r="F1810" s="24" t="n">
        <v>-1.62337053</v>
      </c>
    </row>
    <row r="1811" customFormat="false" ht="15" hidden="false" customHeight="false" outlineLevel="0" collapsed="false">
      <c r="A1811" s="3" t="n">
        <v>1810</v>
      </c>
      <c r="B1811" s="3" t="n">
        <v>1809</v>
      </c>
      <c r="C1811" s="3" t="n">
        <v>9</v>
      </c>
      <c r="D1811" s="3" t="n">
        <v>3</v>
      </c>
      <c r="E1811" s="3" t="n">
        <v>3</v>
      </c>
      <c r="F1811" s="24" t="n">
        <v>0.173661202</v>
      </c>
    </row>
    <row r="1812" customFormat="false" ht="15" hidden="false" customHeight="false" outlineLevel="0" collapsed="false">
      <c r="A1812" s="3" t="n">
        <v>1811</v>
      </c>
      <c r="B1812" s="3" t="n">
        <v>1810</v>
      </c>
      <c r="C1812" s="3" t="n">
        <v>9</v>
      </c>
      <c r="D1812" s="3" t="n">
        <v>3</v>
      </c>
      <c r="E1812" s="3" t="n">
        <v>4</v>
      </c>
      <c r="F1812" s="24" t="n">
        <v>1.85009372</v>
      </c>
    </row>
    <row r="1813" customFormat="false" ht="15" hidden="false" customHeight="false" outlineLevel="0" collapsed="false">
      <c r="A1813" s="3" t="n">
        <v>1812</v>
      </c>
      <c r="B1813" s="3" t="n">
        <v>1811</v>
      </c>
      <c r="C1813" s="3" t="n">
        <v>9</v>
      </c>
      <c r="D1813" s="3" t="n">
        <v>3</v>
      </c>
      <c r="E1813" s="3" t="n">
        <v>5</v>
      </c>
      <c r="F1813" s="24" t="n">
        <v>0.0769796669</v>
      </c>
    </row>
    <row r="1814" customFormat="false" ht="15" hidden="false" customHeight="false" outlineLevel="0" collapsed="false">
      <c r="A1814" s="3" t="n">
        <v>1813</v>
      </c>
      <c r="B1814" s="3" t="n">
        <v>1812</v>
      </c>
      <c r="C1814" s="3" t="n">
        <v>9</v>
      </c>
      <c r="D1814" s="3" t="n">
        <v>3</v>
      </c>
      <c r="E1814" s="3" t="n">
        <v>6</v>
      </c>
      <c r="F1814" s="24" t="n">
        <v>-0.30384472</v>
      </c>
    </row>
    <row r="1815" customFormat="false" ht="15" hidden="false" customHeight="false" outlineLevel="0" collapsed="false">
      <c r="A1815" s="3" t="n">
        <v>1814</v>
      </c>
      <c r="B1815" s="3" t="n">
        <v>1813</v>
      </c>
      <c r="C1815" s="3" t="n">
        <v>9</v>
      </c>
      <c r="D1815" s="3" t="n">
        <v>3</v>
      </c>
      <c r="E1815" s="3" t="n">
        <v>7</v>
      </c>
      <c r="F1815" s="24" t="n">
        <v>-0.603363514</v>
      </c>
    </row>
    <row r="1816" customFormat="false" ht="15" hidden="false" customHeight="false" outlineLevel="0" collapsed="false">
      <c r="A1816" s="3" t="n">
        <v>1815</v>
      </c>
      <c r="B1816" s="3" t="n">
        <v>1814</v>
      </c>
      <c r="C1816" s="3" t="n">
        <v>9</v>
      </c>
      <c r="D1816" s="3" t="n">
        <v>3</v>
      </c>
      <c r="E1816" s="3" t="n">
        <v>8</v>
      </c>
      <c r="F1816" s="24" t="n">
        <v>-0.892005801</v>
      </c>
    </row>
    <row r="1817" customFormat="false" ht="15" hidden="false" customHeight="false" outlineLevel="0" collapsed="false">
      <c r="A1817" s="3" t="n">
        <v>1816</v>
      </c>
      <c r="B1817" s="3" t="n">
        <v>1815</v>
      </c>
      <c r="C1817" s="3" t="n">
        <v>9</v>
      </c>
      <c r="D1817" s="3" t="n">
        <v>3</v>
      </c>
      <c r="E1817" s="3" t="n">
        <v>9</v>
      </c>
      <c r="F1817" s="24" t="n">
        <v>0.574311733</v>
      </c>
    </row>
    <row r="1818" customFormat="false" ht="15" hidden="false" customHeight="false" outlineLevel="0" collapsed="false">
      <c r="A1818" s="3" t="n">
        <v>1817</v>
      </c>
      <c r="B1818" s="3" t="n">
        <v>1816</v>
      </c>
      <c r="C1818" s="3" t="n">
        <v>9</v>
      </c>
      <c r="D1818" s="3" t="n">
        <v>3</v>
      </c>
      <c r="E1818" s="3" t="n">
        <v>10</v>
      </c>
      <c r="F1818" s="24" t="n">
        <v>2.94799042</v>
      </c>
    </row>
    <row r="1819" customFormat="false" ht="15" hidden="false" customHeight="false" outlineLevel="0" collapsed="false">
      <c r="A1819" s="3" t="n">
        <v>1818</v>
      </c>
      <c r="B1819" s="3" t="n">
        <v>1817</v>
      </c>
      <c r="C1819" s="3" t="n">
        <v>9</v>
      </c>
      <c r="D1819" s="3" t="n">
        <v>3</v>
      </c>
      <c r="E1819" s="3" t="n">
        <v>11</v>
      </c>
      <c r="F1819" s="24" t="n">
        <v>1.91309917</v>
      </c>
    </row>
    <row r="1820" customFormat="false" ht="15" hidden="false" customHeight="false" outlineLevel="0" collapsed="false">
      <c r="A1820" s="3" t="n">
        <v>1819</v>
      </c>
      <c r="B1820" s="3" t="n">
        <v>1818</v>
      </c>
      <c r="C1820" s="3" t="n">
        <v>9</v>
      </c>
      <c r="D1820" s="3" t="n">
        <v>3</v>
      </c>
      <c r="E1820" s="3" t="n">
        <v>12</v>
      </c>
      <c r="F1820" s="24" t="n">
        <v>0.346789747</v>
      </c>
    </row>
    <row r="1821" customFormat="false" ht="15" hidden="false" customHeight="false" outlineLevel="0" collapsed="false">
      <c r="A1821" s="3" t="n">
        <v>1820</v>
      </c>
      <c r="B1821" s="3" t="n">
        <v>1819</v>
      </c>
      <c r="C1821" s="3" t="n">
        <v>9</v>
      </c>
      <c r="D1821" s="3" t="n">
        <v>3</v>
      </c>
      <c r="E1821" s="3" t="n">
        <v>13</v>
      </c>
      <c r="F1821" s="24" t="n">
        <v>0.161294132</v>
      </c>
    </row>
    <row r="1822" customFormat="false" ht="15" hidden="false" customHeight="false" outlineLevel="0" collapsed="false">
      <c r="A1822" s="3" t="n">
        <v>1821</v>
      </c>
      <c r="B1822" s="3" t="n">
        <v>1820</v>
      </c>
      <c r="C1822" s="3" t="n">
        <v>9</v>
      </c>
      <c r="D1822" s="3" t="n">
        <v>4</v>
      </c>
      <c r="E1822" s="3" t="n">
        <v>0</v>
      </c>
      <c r="F1822" s="24" t="n">
        <v>-0.262632221</v>
      </c>
    </row>
    <row r="1823" customFormat="false" ht="15" hidden="false" customHeight="false" outlineLevel="0" collapsed="false">
      <c r="A1823" s="3" t="n">
        <v>1822</v>
      </c>
      <c r="B1823" s="3" t="n">
        <v>1821</v>
      </c>
      <c r="C1823" s="3" t="n">
        <v>9</v>
      </c>
      <c r="D1823" s="3" t="n">
        <v>4</v>
      </c>
      <c r="E1823" s="3" t="n">
        <v>1</v>
      </c>
      <c r="F1823" s="24" t="n">
        <v>0.367459327</v>
      </c>
    </row>
    <row r="1824" customFormat="false" ht="15" hidden="false" customHeight="false" outlineLevel="0" collapsed="false">
      <c r="A1824" s="3" t="n">
        <v>1823</v>
      </c>
      <c r="B1824" s="3" t="n">
        <v>1822</v>
      </c>
      <c r="C1824" s="3" t="n">
        <v>9</v>
      </c>
      <c r="D1824" s="3" t="n">
        <v>4</v>
      </c>
      <c r="E1824" s="3" t="n">
        <v>2</v>
      </c>
      <c r="F1824" s="24" t="n">
        <v>2.276757</v>
      </c>
    </row>
    <row r="1825" customFormat="false" ht="15" hidden="false" customHeight="false" outlineLevel="0" collapsed="false">
      <c r="A1825" s="3" t="n">
        <v>1824</v>
      </c>
      <c r="B1825" s="3" t="n">
        <v>1823</v>
      </c>
      <c r="C1825" s="3" t="n">
        <v>9</v>
      </c>
      <c r="D1825" s="3" t="n">
        <v>4</v>
      </c>
      <c r="E1825" s="3" t="n">
        <v>3</v>
      </c>
      <c r="F1825" s="24" t="n">
        <v>3.3080554</v>
      </c>
    </row>
    <row r="1826" customFormat="false" ht="15" hidden="false" customHeight="false" outlineLevel="0" collapsed="false">
      <c r="A1826" s="3" t="n">
        <v>1825</v>
      </c>
      <c r="B1826" s="3" t="n">
        <v>1824</v>
      </c>
      <c r="C1826" s="3" t="n">
        <v>9</v>
      </c>
      <c r="D1826" s="3" t="n">
        <v>4</v>
      </c>
      <c r="E1826" s="3" t="n">
        <v>4</v>
      </c>
      <c r="F1826" s="24" t="n">
        <v>1.39244831</v>
      </c>
    </row>
    <row r="1827" customFormat="false" ht="15" hidden="false" customHeight="false" outlineLevel="0" collapsed="false">
      <c r="A1827" s="3" t="n">
        <v>1826</v>
      </c>
      <c r="B1827" s="3" t="n">
        <v>1825</v>
      </c>
      <c r="C1827" s="3" t="n">
        <v>9</v>
      </c>
      <c r="D1827" s="3" t="n">
        <v>4</v>
      </c>
      <c r="E1827" s="3" t="n">
        <v>5</v>
      </c>
      <c r="F1827" s="24" t="n">
        <v>0.40407601</v>
      </c>
    </row>
    <row r="1828" customFormat="false" ht="15" hidden="false" customHeight="false" outlineLevel="0" collapsed="false">
      <c r="A1828" s="3" t="n">
        <v>1827</v>
      </c>
      <c r="B1828" s="3" t="n">
        <v>1826</v>
      </c>
      <c r="C1828" s="3" t="n">
        <v>9</v>
      </c>
      <c r="D1828" s="3" t="n">
        <v>4</v>
      </c>
      <c r="E1828" s="3" t="n">
        <v>6</v>
      </c>
      <c r="F1828" s="24" t="n">
        <v>1.86824119</v>
      </c>
    </row>
    <row r="1829" customFormat="false" ht="15" hidden="false" customHeight="false" outlineLevel="0" collapsed="false">
      <c r="A1829" s="3" t="n">
        <v>1828</v>
      </c>
      <c r="B1829" s="3" t="n">
        <v>1827</v>
      </c>
      <c r="C1829" s="3" t="n">
        <v>9</v>
      </c>
      <c r="D1829" s="3" t="n">
        <v>4</v>
      </c>
      <c r="E1829" s="3" t="n">
        <v>7</v>
      </c>
      <c r="F1829" s="24" t="n">
        <v>2.35923481</v>
      </c>
    </row>
    <row r="1830" customFormat="false" ht="15" hidden="false" customHeight="false" outlineLevel="0" collapsed="false">
      <c r="A1830" s="3" t="n">
        <v>1829</v>
      </c>
      <c r="B1830" s="3" t="n">
        <v>1828</v>
      </c>
      <c r="C1830" s="3" t="n">
        <v>9</v>
      </c>
      <c r="D1830" s="3" t="n">
        <v>4</v>
      </c>
      <c r="E1830" s="3" t="n">
        <v>8</v>
      </c>
      <c r="F1830" s="24" t="n">
        <v>1.88367164</v>
      </c>
    </row>
    <row r="1831" customFormat="false" ht="15" hidden="false" customHeight="false" outlineLevel="0" collapsed="false">
      <c r="A1831" s="3" t="n">
        <v>1830</v>
      </c>
      <c r="B1831" s="3" t="n">
        <v>1829</v>
      </c>
      <c r="C1831" s="3" t="n">
        <v>9</v>
      </c>
      <c r="D1831" s="3" t="n">
        <v>4</v>
      </c>
      <c r="E1831" s="3" t="n">
        <v>9</v>
      </c>
      <c r="F1831" s="24" t="n">
        <v>3.81978989</v>
      </c>
    </row>
    <row r="1832" customFormat="false" ht="15" hidden="false" customHeight="false" outlineLevel="0" collapsed="false">
      <c r="A1832" s="3" t="n">
        <v>1831</v>
      </c>
      <c r="B1832" s="3" t="n">
        <v>1830</v>
      </c>
      <c r="C1832" s="3" t="n">
        <v>9</v>
      </c>
      <c r="D1832" s="3" t="n">
        <v>4</v>
      </c>
      <c r="E1832" s="3" t="n">
        <v>10</v>
      </c>
      <c r="F1832" s="24" t="n">
        <v>5.39356709</v>
      </c>
    </row>
    <row r="1833" customFormat="false" ht="15" hidden="false" customHeight="false" outlineLevel="0" collapsed="false">
      <c r="A1833" s="3" t="n">
        <v>1832</v>
      </c>
      <c r="B1833" s="3" t="n">
        <v>1831</v>
      </c>
      <c r="C1833" s="3" t="n">
        <v>9</v>
      </c>
      <c r="D1833" s="3" t="n">
        <v>4</v>
      </c>
      <c r="E1833" s="3" t="n">
        <v>11</v>
      </c>
      <c r="F1833" s="24" t="n">
        <v>1.77187335</v>
      </c>
    </row>
    <row r="1834" customFormat="false" ht="15" hidden="false" customHeight="false" outlineLevel="0" collapsed="false">
      <c r="A1834" s="3" t="n">
        <v>1833</v>
      </c>
      <c r="B1834" s="3" t="n">
        <v>1832</v>
      </c>
      <c r="C1834" s="3" t="n">
        <v>9</v>
      </c>
      <c r="D1834" s="3" t="n">
        <v>4</v>
      </c>
      <c r="E1834" s="3" t="n">
        <v>12</v>
      </c>
      <c r="F1834" s="24" t="n">
        <v>0.279983491</v>
      </c>
    </row>
    <row r="1835" customFormat="false" ht="15" hidden="false" customHeight="false" outlineLevel="0" collapsed="false">
      <c r="A1835" s="3" t="n">
        <v>1834</v>
      </c>
      <c r="B1835" s="3" t="n">
        <v>1833</v>
      </c>
      <c r="C1835" s="3" t="n">
        <v>9</v>
      </c>
      <c r="D1835" s="3" t="n">
        <v>4</v>
      </c>
      <c r="E1835" s="3" t="n">
        <v>13</v>
      </c>
      <c r="F1835" s="24" t="n">
        <v>0.161294132</v>
      </c>
    </row>
    <row r="1836" customFormat="false" ht="15" hidden="false" customHeight="false" outlineLevel="0" collapsed="false">
      <c r="A1836" s="3" t="n">
        <v>1835</v>
      </c>
      <c r="B1836" s="3" t="n">
        <v>1834</v>
      </c>
      <c r="C1836" s="3" t="n">
        <v>9</v>
      </c>
      <c r="D1836" s="3" t="n">
        <v>5</v>
      </c>
      <c r="E1836" s="3" t="n">
        <v>0</v>
      </c>
      <c r="F1836" s="24" t="n">
        <v>-0.262632221</v>
      </c>
    </row>
    <row r="1837" customFormat="false" ht="15" hidden="false" customHeight="false" outlineLevel="0" collapsed="false">
      <c r="A1837" s="3" t="n">
        <v>1836</v>
      </c>
      <c r="B1837" s="3" t="n">
        <v>1835</v>
      </c>
      <c r="C1837" s="3" t="n">
        <v>9</v>
      </c>
      <c r="D1837" s="3" t="n">
        <v>5</v>
      </c>
      <c r="E1837" s="3" t="n">
        <v>1</v>
      </c>
      <c r="F1837" s="24" t="n">
        <v>0.671406865</v>
      </c>
    </row>
    <row r="1838" customFormat="false" ht="15" hidden="false" customHeight="false" outlineLevel="0" collapsed="false">
      <c r="A1838" s="3" t="n">
        <v>1837</v>
      </c>
      <c r="B1838" s="3" t="n">
        <v>1836</v>
      </c>
      <c r="C1838" s="3" t="n">
        <v>9</v>
      </c>
      <c r="D1838" s="3" t="n">
        <v>5</v>
      </c>
      <c r="E1838" s="3" t="n">
        <v>2</v>
      </c>
      <c r="F1838" s="24" t="n">
        <v>1.83325803</v>
      </c>
    </row>
    <row r="1839" customFormat="false" ht="15" hidden="false" customHeight="false" outlineLevel="0" collapsed="false">
      <c r="A1839" s="3" t="n">
        <v>1838</v>
      </c>
      <c r="B1839" s="3" t="n">
        <v>1837</v>
      </c>
      <c r="C1839" s="3" t="n">
        <v>9</v>
      </c>
      <c r="D1839" s="3" t="n">
        <v>5</v>
      </c>
      <c r="E1839" s="3" t="n">
        <v>3</v>
      </c>
      <c r="F1839" s="24" t="n">
        <v>2.64468646</v>
      </c>
    </row>
    <row r="1840" customFormat="false" ht="15" hidden="false" customHeight="false" outlineLevel="0" collapsed="false">
      <c r="A1840" s="3" t="n">
        <v>1839</v>
      </c>
      <c r="B1840" s="3" t="n">
        <v>1838</v>
      </c>
      <c r="C1840" s="3" t="n">
        <v>9</v>
      </c>
      <c r="D1840" s="3" t="n">
        <v>5</v>
      </c>
      <c r="E1840" s="3" t="n">
        <v>4</v>
      </c>
      <c r="F1840" s="24" t="n">
        <v>1.81502616</v>
      </c>
    </row>
    <row r="1841" customFormat="false" ht="15" hidden="false" customHeight="false" outlineLevel="0" collapsed="false">
      <c r="A1841" s="3" t="n">
        <v>1840</v>
      </c>
      <c r="B1841" s="3" t="n">
        <v>1839</v>
      </c>
      <c r="C1841" s="3" t="n">
        <v>9</v>
      </c>
      <c r="D1841" s="3" t="n">
        <v>5</v>
      </c>
      <c r="E1841" s="3" t="n">
        <v>5</v>
      </c>
      <c r="F1841" s="24" t="n">
        <v>1.82325542</v>
      </c>
    </row>
    <row r="1842" customFormat="false" ht="15" hidden="false" customHeight="false" outlineLevel="0" collapsed="false">
      <c r="A1842" s="3" t="n">
        <v>1841</v>
      </c>
      <c r="B1842" s="3" t="n">
        <v>1840</v>
      </c>
      <c r="C1842" s="3" t="n">
        <v>9</v>
      </c>
      <c r="D1842" s="3" t="n">
        <v>5</v>
      </c>
      <c r="E1842" s="3" t="n">
        <v>6</v>
      </c>
      <c r="F1842" s="24" t="n">
        <v>1.8282572</v>
      </c>
    </row>
    <row r="1843" customFormat="false" ht="15" hidden="false" customHeight="false" outlineLevel="0" collapsed="false">
      <c r="A1843" s="3" t="n">
        <v>1842</v>
      </c>
      <c r="B1843" s="3" t="n">
        <v>1841</v>
      </c>
      <c r="C1843" s="3" t="n">
        <v>9</v>
      </c>
      <c r="D1843" s="3" t="n">
        <v>5</v>
      </c>
      <c r="E1843" s="3" t="n">
        <v>7</v>
      </c>
      <c r="F1843" s="24" t="n">
        <v>0.272320122</v>
      </c>
    </row>
    <row r="1844" customFormat="false" ht="15" hidden="false" customHeight="false" outlineLevel="0" collapsed="false">
      <c r="A1844" s="3" t="n">
        <v>1843</v>
      </c>
      <c r="B1844" s="3" t="n">
        <v>1842</v>
      </c>
      <c r="C1844" s="3" t="n">
        <v>9</v>
      </c>
      <c r="D1844" s="3" t="n">
        <v>5</v>
      </c>
      <c r="E1844" s="3" t="n">
        <v>8</v>
      </c>
      <c r="F1844" s="24" t="n">
        <v>1.83886778</v>
      </c>
    </row>
    <row r="1845" customFormat="false" ht="15" hidden="false" customHeight="false" outlineLevel="0" collapsed="false">
      <c r="A1845" s="3" t="n">
        <v>1844</v>
      </c>
      <c r="B1845" s="3" t="n">
        <v>1843</v>
      </c>
      <c r="C1845" s="3" t="n">
        <v>9</v>
      </c>
      <c r="D1845" s="3" t="n">
        <v>5</v>
      </c>
      <c r="E1845" s="3" t="n">
        <v>9</v>
      </c>
      <c r="F1845" s="24" t="n">
        <v>7.39819098</v>
      </c>
    </row>
    <row r="1846" customFormat="false" ht="15" hidden="false" customHeight="false" outlineLevel="0" collapsed="false">
      <c r="A1846" s="3" t="n">
        <v>1845</v>
      </c>
      <c r="B1846" s="3" t="n">
        <v>1844</v>
      </c>
      <c r="C1846" s="3" t="n">
        <v>9</v>
      </c>
      <c r="D1846" s="3" t="n">
        <v>5</v>
      </c>
      <c r="E1846" s="3" t="n">
        <v>10</v>
      </c>
      <c r="F1846" s="24" t="n">
        <v>4.38483429</v>
      </c>
    </row>
    <row r="1847" customFormat="false" ht="15" hidden="false" customHeight="false" outlineLevel="0" collapsed="false">
      <c r="A1847" s="3" t="n">
        <v>1846</v>
      </c>
      <c r="B1847" s="3" t="n">
        <v>1845</v>
      </c>
      <c r="C1847" s="3" t="n">
        <v>9</v>
      </c>
      <c r="D1847" s="3" t="n">
        <v>5</v>
      </c>
      <c r="E1847" s="3" t="n">
        <v>11</v>
      </c>
      <c r="F1847" s="24" t="n">
        <v>-1.77197623</v>
      </c>
    </row>
    <row r="1848" customFormat="false" ht="15" hidden="false" customHeight="false" outlineLevel="0" collapsed="false">
      <c r="A1848" s="3" t="n">
        <v>1847</v>
      </c>
      <c r="B1848" s="3" t="n">
        <v>1846</v>
      </c>
      <c r="C1848" s="3" t="n">
        <v>9</v>
      </c>
      <c r="D1848" s="3" t="n">
        <v>5</v>
      </c>
      <c r="E1848" s="3" t="n">
        <v>12</v>
      </c>
      <c r="F1848" s="24" t="n">
        <v>-0.112037003</v>
      </c>
    </row>
    <row r="1849" customFormat="false" ht="15" hidden="false" customHeight="false" outlineLevel="0" collapsed="false">
      <c r="A1849" s="3" t="n">
        <v>1848</v>
      </c>
      <c r="B1849" s="3" t="n">
        <v>1847</v>
      </c>
      <c r="C1849" s="3" t="n">
        <v>9</v>
      </c>
      <c r="D1849" s="3" t="n">
        <v>5</v>
      </c>
      <c r="E1849" s="3" t="n">
        <v>13</v>
      </c>
      <c r="F1849" s="24" t="n">
        <v>0.161294132</v>
      </c>
    </row>
    <row r="1850" customFormat="false" ht="15" hidden="false" customHeight="false" outlineLevel="0" collapsed="false">
      <c r="A1850" s="3" t="n">
        <v>1849</v>
      </c>
      <c r="B1850" s="3" t="n">
        <v>1848</v>
      </c>
      <c r="C1850" s="3" t="n">
        <v>9</v>
      </c>
      <c r="D1850" s="3" t="n">
        <v>6</v>
      </c>
      <c r="E1850" s="3" t="n">
        <v>0</v>
      </c>
      <c r="F1850" s="24" t="n">
        <v>-0.262632221</v>
      </c>
    </row>
    <row r="1851" customFormat="false" ht="15" hidden="false" customHeight="false" outlineLevel="0" collapsed="false">
      <c r="A1851" s="3" t="n">
        <v>1850</v>
      </c>
      <c r="B1851" s="3" t="n">
        <v>1849</v>
      </c>
      <c r="C1851" s="3" t="n">
        <v>9</v>
      </c>
      <c r="D1851" s="3" t="n">
        <v>6</v>
      </c>
      <c r="E1851" s="3" t="n">
        <v>1</v>
      </c>
      <c r="F1851" s="24" t="n">
        <v>-0.0116747022</v>
      </c>
    </row>
    <row r="1852" customFormat="false" ht="15" hidden="false" customHeight="false" outlineLevel="0" collapsed="false">
      <c r="A1852" s="3" t="n">
        <v>1851</v>
      </c>
      <c r="B1852" s="3" t="n">
        <v>1850</v>
      </c>
      <c r="C1852" s="3" t="n">
        <v>9</v>
      </c>
      <c r="D1852" s="3" t="n">
        <v>6</v>
      </c>
      <c r="E1852" s="3" t="n">
        <v>2</v>
      </c>
      <c r="F1852" s="24" t="n">
        <v>0.118121386</v>
      </c>
    </row>
    <row r="1853" customFormat="false" ht="15" hidden="false" customHeight="false" outlineLevel="0" collapsed="false">
      <c r="A1853" s="3" t="n">
        <v>1852</v>
      </c>
      <c r="B1853" s="3" t="n">
        <v>1851</v>
      </c>
      <c r="C1853" s="3" t="n">
        <v>9</v>
      </c>
      <c r="D1853" s="3" t="n">
        <v>6</v>
      </c>
      <c r="E1853" s="3" t="n">
        <v>3</v>
      </c>
      <c r="F1853" s="24" t="n">
        <v>0.341783673</v>
      </c>
    </row>
    <row r="1854" customFormat="false" ht="15" hidden="false" customHeight="false" outlineLevel="0" collapsed="false">
      <c r="A1854" s="3" t="n">
        <v>1853</v>
      </c>
      <c r="B1854" s="3" t="n">
        <v>1852</v>
      </c>
      <c r="C1854" s="3" t="n">
        <v>9</v>
      </c>
      <c r="D1854" s="3" t="n">
        <v>6</v>
      </c>
      <c r="E1854" s="3" t="n">
        <v>4</v>
      </c>
      <c r="F1854" s="24" t="n">
        <v>0.629336596</v>
      </c>
    </row>
    <row r="1855" customFormat="false" ht="15" hidden="false" customHeight="false" outlineLevel="0" collapsed="false">
      <c r="A1855" s="3" t="n">
        <v>1854</v>
      </c>
      <c r="B1855" s="3" t="n">
        <v>1853</v>
      </c>
      <c r="C1855" s="3" t="n">
        <v>9</v>
      </c>
      <c r="D1855" s="3" t="n">
        <v>6</v>
      </c>
      <c r="E1855" s="3" t="n">
        <v>5</v>
      </c>
      <c r="F1855" s="24" t="n">
        <v>1.07281506</v>
      </c>
    </row>
    <row r="1856" customFormat="false" ht="15" hidden="false" customHeight="false" outlineLevel="0" collapsed="false">
      <c r="A1856" s="3" t="n">
        <v>1855</v>
      </c>
      <c r="B1856" s="3" t="n">
        <v>1854</v>
      </c>
      <c r="C1856" s="3" t="n">
        <v>9</v>
      </c>
      <c r="D1856" s="3" t="n">
        <v>6</v>
      </c>
      <c r="E1856" s="3" t="n">
        <v>6</v>
      </c>
      <c r="F1856" s="24" t="n">
        <v>0.495650619</v>
      </c>
    </row>
    <row r="1857" customFormat="false" ht="15" hidden="false" customHeight="false" outlineLevel="0" collapsed="false">
      <c r="A1857" s="3" t="n">
        <v>1856</v>
      </c>
      <c r="B1857" s="3" t="n">
        <v>1855</v>
      </c>
      <c r="C1857" s="3" t="n">
        <v>9</v>
      </c>
      <c r="D1857" s="3" t="n">
        <v>6</v>
      </c>
      <c r="E1857" s="3" t="n">
        <v>7</v>
      </c>
      <c r="F1857" s="24" t="n">
        <v>-0.479768872</v>
      </c>
    </row>
    <row r="1858" customFormat="false" ht="15" hidden="false" customHeight="false" outlineLevel="0" collapsed="false">
      <c r="A1858" s="3" t="n">
        <v>1857</v>
      </c>
      <c r="B1858" s="3" t="n">
        <v>1856</v>
      </c>
      <c r="C1858" s="3" t="n">
        <v>9</v>
      </c>
      <c r="D1858" s="3" t="n">
        <v>6</v>
      </c>
      <c r="E1858" s="3" t="n">
        <v>8</v>
      </c>
      <c r="F1858" s="24" t="n">
        <v>5.56392193</v>
      </c>
    </row>
    <row r="1859" customFormat="false" ht="15" hidden="false" customHeight="false" outlineLevel="0" collapsed="false">
      <c r="A1859" s="3" t="n">
        <v>1858</v>
      </c>
      <c r="B1859" s="3" t="n">
        <v>1857</v>
      </c>
      <c r="C1859" s="3" t="n">
        <v>9</v>
      </c>
      <c r="D1859" s="3" t="n">
        <v>6</v>
      </c>
      <c r="E1859" s="3" t="n">
        <v>9</v>
      </c>
      <c r="F1859" s="24" t="n">
        <v>10.2039213</v>
      </c>
    </row>
    <row r="1860" customFormat="false" ht="15" hidden="false" customHeight="false" outlineLevel="0" collapsed="false">
      <c r="A1860" s="3" t="n">
        <v>1859</v>
      </c>
      <c r="B1860" s="3" t="n">
        <v>1858</v>
      </c>
      <c r="C1860" s="3" t="n">
        <v>9</v>
      </c>
      <c r="D1860" s="3" t="n">
        <v>6</v>
      </c>
      <c r="E1860" s="3" t="n">
        <v>10</v>
      </c>
      <c r="F1860" s="24" t="n">
        <v>1.95199335</v>
      </c>
    </row>
    <row r="1861" customFormat="false" ht="15" hidden="false" customHeight="false" outlineLevel="0" collapsed="false">
      <c r="A1861" s="3" t="n">
        <v>1860</v>
      </c>
      <c r="B1861" s="3" t="n">
        <v>1859</v>
      </c>
      <c r="C1861" s="3" t="n">
        <v>9</v>
      </c>
      <c r="D1861" s="3" t="n">
        <v>6</v>
      </c>
      <c r="E1861" s="3" t="n">
        <v>11</v>
      </c>
      <c r="F1861" s="24" t="n">
        <v>-2.23127675</v>
      </c>
    </row>
    <row r="1862" customFormat="false" ht="15" hidden="false" customHeight="false" outlineLevel="0" collapsed="false">
      <c r="A1862" s="3" t="n">
        <v>1861</v>
      </c>
      <c r="B1862" s="3" t="n">
        <v>1860</v>
      </c>
      <c r="C1862" s="3" t="n">
        <v>9</v>
      </c>
      <c r="D1862" s="3" t="n">
        <v>6</v>
      </c>
      <c r="E1862" s="3" t="n">
        <v>12</v>
      </c>
      <c r="F1862" s="24" t="n">
        <v>-0.0746952891</v>
      </c>
    </row>
    <row r="1863" customFormat="false" ht="15" hidden="false" customHeight="false" outlineLevel="0" collapsed="false">
      <c r="A1863" s="3" t="n">
        <v>1862</v>
      </c>
      <c r="B1863" s="3" t="n">
        <v>1861</v>
      </c>
      <c r="C1863" s="3" t="n">
        <v>9</v>
      </c>
      <c r="D1863" s="3" t="n">
        <v>6</v>
      </c>
      <c r="E1863" s="3" t="n">
        <v>13</v>
      </c>
      <c r="F1863" s="24" t="n">
        <v>0.161294132</v>
      </c>
    </row>
    <row r="1864" customFormat="false" ht="15" hidden="false" customHeight="false" outlineLevel="0" collapsed="false">
      <c r="A1864" s="3" t="n">
        <v>1863</v>
      </c>
      <c r="B1864" s="3" t="n">
        <v>1862</v>
      </c>
      <c r="C1864" s="3" t="n">
        <v>9</v>
      </c>
      <c r="D1864" s="3" t="n">
        <v>7</v>
      </c>
      <c r="E1864" s="3" t="n">
        <v>0</v>
      </c>
      <c r="F1864" s="24" t="n">
        <v>-0.262632221</v>
      </c>
    </row>
    <row r="1865" customFormat="false" ht="15" hidden="false" customHeight="false" outlineLevel="0" collapsed="false">
      <c r="A1865" s="3" t="n">
        <v>1864</v>
      </c>
      <c r="B1865" s="3" t="n">
        <v>1863</v>
      </c>
      <c r="C1865" s="3" t="n">
        <v>9</v>
      </c>
      <c r="D1865" s="3" t="n">
        <v>7</v>
      </c>
      <c r="E1865" s="3" t="n">
        <v>1</v>
      </c>
      <c r="F1865" s="24" t="n">
        <v>-0.0123908818</v>
      </c>
    </row>
    <row r="1866" customFormat="false" ht="15" hidden="false" customHeight="false" outlineLevel="0" collapsed="false">
      <c r="A1866" s="3" t="n">
        <v>1865</v>
      </c>
      <c r="B1866" s="3" t="n">
        <v>1864</v>
      </c>
      <c r="C1866" s="3" t="n">
        <v>9</v>
      </c>
      <c r="D1866" s="3" t="n">
        <v>7</v>
      </c>
      <c r="E1866" s="3" t="n">
        <v>2</v>
      </c>
      <c r="F1866" s="24" t="n">
        <v>0.0564652383</v>
      </c>
    </row>
    <row r="1867" customFormat="false" ht="15" hidden="false" customHeight="false" outlineLevel="0" collapsed="false">
      <c r="A1867" s="3" t="n">
        <v>1866</v>
      </c>
      <c r="B1867" s="3" t="n">
        <v>1865</v>
      </c>
      <c r="C1867" s="3" t="n">
        <v>9</v>
      </c>
      <c r="D1867" s="3" t="n">
        <v>7</v>
      </c>
      <c r="E1867" s="3" t="n">
        <v>3</v>
      </c>
      <c r="F1867" s="24" t="n">
        <v>0.0564652383</v>
      </c>
    </row>
    <row r="1868" customFormat="false" ht="15" hidden="false" customHeight="false" outlineLevel="0" collapsed="false">
      <c r="A1868" s="3" t="n">
        <v>1867</v>
      </c>
      <c r="B1868" s="3" t="n">
        <v>1866</v>
      </c>
      <c r="C1868" s="3" t="n">
        <v>9</v>
      </c>
      <c r="D1868" s="3" t="n">
        <v>7</v>
      </c>
      <c r="E1868" s="3" t="n">
        <v>4</v>
      </c>
      <c r="F1868" s="24" t="n">
        <v>0.0564652383</v>
      </c>
    </row>
    <row r="1869" customFormat="false" ht="15" hidden="false" customHeight="false" outlineLevel="0" collapsed="false">
      <c r="A1869" s="3" t="n">
        <v>1868</v>
      </c>
      <c r="B1869" s="3" t="n">
        <v>1867</v>
      </c>
      <c r="C1869" s="3" t="n">
        <v>9</v>
      </c>
      <c r="D1869" s="3" t="n">
        <v>7</v>
      </c>
      <c r="E1869" s="3" t="n">
        <v>5</v>
      </c>
      <c r="F1869" s="24" t="n">
        <v>-0.144896328</v>
      </c>
    </row>
    <row r="1870" customFormat="false" ht="15" hidden="false" customHeight="false" outlineLevel="0" collapsed="false">
      <c r="A1870" s="3" t="n">
        <v>1869</v>
      </c>
      <c r="B1870" s="3" t="n">
        <v>1868</v>
      </c>
      <c r="C1870" s="3" t="n">
        <v>9</v>
      </c>
      <c r="D1870" s="3" t="n">
        <v>7</v>
      </c>
      <c r="E1870" s="3" t="n">
        <v>6</v>
      </c>
      <c r="F1870" s="24" t="n">
        <v>-1.71747887</v>
      </c>
    </row>
    <row r="1871" customFormat="false" ht="15" hidden="false" customHeight="false" outlineLevel="0" collapsed="false">
      <c r="A1871" s="3" t="n">
        <v>1870</v>
      </c>
      <c r="B1871" s="3" t="n">
        <v>1869</v>
      </c>
      <c r="C1871" s="3" t="n">
        <v>9</v>
      </c>
      <c r="D1871" s="3" t="n">
        <v>7</v>
      </c>
      <c r="E1871" s="3" t="n">
        <v>7</v>
      </c>
      <c r="F1871" s="24" t="n">
        <v>2.14858341</v>
      </c>
    </row>
    <row r="1872" customFormat="false" ht="15" hidden="false" customHeight="false" outlineLevel="0" collapsed="false">
      <c r="A1872" s="3" t="n">
        <v>1871</v>
      </c>
      <c r="B1872" s="3" t="n">
        <v>1870</v>
      </c>
      <c r="C1872" s="3" t="n">
        <v>9</v>
      </c>
      <c r="D1872" s="3" t="n">
        <v>7</v>
      </c>
      <c r="E1872" s="3" t="n">
        <v>8</v>
      </c>
      <c r="F1872" s="24" t="n">
        <v>10.0886526</v>
      </c>
    </row>
    <row r="1873" customFormat="false" ht="15" hidden="false" customHeight="false" outlineLevel="0" collapsed="false">
      <c r="A1873" s="3" t="n">
        <v>1872</v>
      </c>
      <c r="B1873" s="3" t="n">
        <v>1871</v>
      </c>
      <c r="C1873" s="3" t="n">
        <v>9</v>
      </c>
      <c r="D1873" s="3" t="n">
        <v>7</v>
      </c>
      <c r="E1873" s="3" t="n">
        <v>9</v>
      </c>
      <c r="F1873" s="24" t="n">
        <v>5.9119544</v>
      </c>
    </row>
    <row r="1874" customFormat="false" ht="15" hidden="false" customHeight="false" outlineLevel="0" collapsed="false">
      <c r="A1874" s="3" t="n">
        <v>1873</v>
      </c>
      <c r="B1874" s="3" t="n">
        <v>1872</v>
      </c>
      <c r="C1874" s="3" t="n">
        <v>9</v>
      </c>
      <c r="D1874" s="3" t="n">
        <v>7</v>
      </c>
      <c r="E1874" s="3" t="n">
        <v>10</v>
      </c>
      <c r="F1874" s="24" t="n">
        <v>-1.25514305</v>
      </c>
    </row>
    <row r="1875" customFormat="false" ht="15" hidden="false" customHeight="false" outlineLevel="0" collapsed="false">
      <c r="A1875" s="3" t="n">
        <v>1874</v>
      </c>
      <c r="B1875" s="3" t="n">
        <v>1873</v>
      </c>
      <c r="C1875" s="3" t="n">
        <v>9</v>
      </c>
      <c r="D1875" s="3" t="n">
        <v>7</v>
      </c>
      <c r="E1875" s="3" t="n">
        <v>11</v>
      </c>
      <c r="F1875" s="24" t="n">
        <v>-1.06774926</v>
      </c>
    </row>
    <row r="1876" customFormat="false" ht="15" hidden="false" customHeight="false" outlineLevel="0" collapsed="false">
      <c r="A1876" s="3" t="n">
        <v>1875</v>
      </c>
      <c r="B1876" s="3" t="n">
        <v>1874</v>
      </c>
      <c r="C1876" s="3" t="n">
        <v>9</v>
      </c>
      <c r="D1876" s="3" t="n">
        <v>7</v>
      </c>
      <c r="E1876" s="3" t="n">
        <v>12</v>
      </c>
      <c r="F1876" s="24" t="n">
        <v>0.175389022</v>
      </c>
    </row>
    <row r="1877" customFormat="false" ht="15" hidden="false" customHeight="false" outlineLevel="0" collapsed="false">
      <c r="A1877" s="3" t="n">
        <v>1876</v>
      </c>
      <c r="B1877" s="3" t="n">
        <v>1875</v>
      </c>
      <c r="C1877" s="3" t="n">
        <v>9</v>
      </c>
      <c r="D1877" s="3" t="n">
        <v>7</v>
      </c>
      <c r="E1877" s="3" t="n">
        <v>13</v>
      </c>
      <c r="F1877" s="24" t="n">
        <v>0.161294132</v>
      </c>
    </row>
    <row r="1878" customFormat="false" ht="15" hidden="false" customHeight="false" outlineLevel="0" collapsed="false">
      <c r="A1878" s="3" t="n">
        <v>1877</v>
      </c>
      <c r="B1878" s="3" t="n">
        <v>1876</v>
      </c>
      <c r="C1878" s="3" t="n">
        <v>9</v>
      </c>
      <c r="D1878" s="3" t="n">
        <v>8</v>
      </c>
      <c r="E1878" s="3" t="n">
        <v>0</v>
      </c>
      <c r="F1878" s="24" t="n">
        <v>-0.262632221</v>
      </c>
    </row>
    <row r="1879" customFormat="false" ht="15" hidden="false" customHeight="false" outlineLevel="0" collapsed="false">
      <c r="A1879" s="3" t="n">
        <v>1878</v>
      </c>
      <c r="B1879" s="3" t="n">
        <v>1877</v>
      </c>
      <c r="C1879" s="3" t="n">
        <v>9</v>
      </c>
      <c r="D1879" s="3" t="n">
        <v>8</v>
      </c>
      <c r="E1879" s="3" t="n">
        <v>1</v>
      </c>
      <c r="F1879" s="24" t="n">
        <v>-0.0123908818</v>
      </c>
    </row>
    <row r="1880" customFormat="false" ht="15" hidden="false" customHeight="false" outlineLevel="0" collapsed="false">
      <c r="A1880" s="3" t="n">
        <v>1879</v>
      </c>
      <c r="B1880" s="3" t="n">
        <v>1878</v>
      </c>
      <c r="C1880" s="3" t="n">
        <v>9</v>
      </c>
      <c r="D1880" s="3" t="n">
        <v>8</v>
      </c>
      <c r="E1880" s="3" t="n">
        <v>2</v>
      </c>
      <c r="F1880" s="24" t="n">
        <v>0.0564652383</v>
      </c>
    </row>
    <row r="1881" customFormat="false" ht="15" hidden="false" customHeight="false" outlineLevel="0" collapsed="false">
      <c r="A1881" s="3" t="n">
        <v>1880</v>
      </c>
      <c r="B1881" s="3" t="n">
        <v>1879</v>
      </c>
      <c r="C1881" s="3" t="n">
        <v>9</v>
      </c>
      <c r="D1881" s="3" t="n">
        <v>8</v>
      </c>
      <c r="E1881" s="3" t="n">
        <v>3</v>
      </c>
      <c r="F1881" s="24" t="n">
        <v>0.0564652383</v>
      </c>
    </row>
    <row r="1882" customFormat="false" ht="15" hidden="false" customHeight="false" outlineLevel="0" collapsed="false">
      <c r="A1882" s="3" t="n">
        <v>1881</v>
      </c>
      <c r="B1882" s="3" t="n">
        <v>1880</v>
      </c>
      <c r="C1882" s="3" t="n">
        <v>9</v>
      </c>
      <c r="D1882" s="3" t="n">
        <v>8</v>
      </c>
      <c r="E1882" s="3" t="n">
        <v>4</v>
      </c>
      <c r="F1882" s="24" t="n">
        <v>0.054462105</v>
      </c>
    </row>
    <row r="1883" customFormat="false" ht="15" hidden="false" customHeight="false" outlineLevel="0" collapsed="false">
      <c r="A1883" s="3" t="n">
        <v>1882</v>
      </c>
      <c r="B1883" s="3" t="n">
        <v>1881</v>
      </c>
      <c r="C1883" s="3" t="n">
        <v>9</v>
      </c>
      <c r="D1883" s="3" t="n">
        <v>8</v>
      </c>
      <c r="E1883" s="3" t="n">
        <v>5</v>
      </c>
      <c r="F1883" s="24" t="n">
        <v>-1.36620915</v>
      </c>
    </row>
    <row r="1884" customFormat="false" ht="15" hidden="false" customHeight="false" outlineLevel="0" collapsed="false">
      <c r="A1884" s="3" t="n">
        <v>1883</v>
      </c>
      <c r="B1884" s="3" t="n">
        <v>1882</v>
      </c>
      <c r="C1884" s="3" t="n">
        <v>9</v>
      </c>
      <c r="D1884" s="3" t="n">
        <v>8</v>
      </c>
      <c r="E1884" s="3" t="n">
        <v>6</v>
      </c>
      <c r="F1884" s="24" t="n">
        <v>-1.11393225</v>
      </c>
    </row>
    <row r="1885" customFormat="false" ht="15" hidden="false" customHeight="false" outlineLevel="0" collapsed="false">
      <c r="A1885" s="3" t="n">
        <v>1884</v>
      </c>
      <c r="B1885" s="3" t="n">
        <v>1883</v>
      </c>
      <c r="C1885" s="3" t="n">
        <v>9</v>
      </c>
      <c r="D1885" s="3" t="n">
        <v>8</v>
      </c>
      <c r="E1885" s="3" t="n">
        <v>7</v>
      </c>
      <c r="F1885" s="24" t="n">
        <v>5.89212275</v>
      </c>
    </row>
    <row r="1886" customFormat="false" ht="15" hidden="false" customHeight="false" outlineLevel="0" collapsed="false">
      <c r="A1886" s="3" t="n">
        <v>1885</v>
      </c>
      <c r="B1886" s="3" t="n">
        <v>1884</v>
      </c>
      <c r="C1886" s="3" t="n">
        <v>9</v>
      </c>
      <c r="D1886" s="3" t="n">
        <v>8</v>
      </c>
      <c r="E1886" s="3" t="n">
        <v>8</v>
      </c>
      <c r="F1886" s="24" t="n">
        <v>9.67237949</v>
      </c>
    </row>
    <row r="1887" customFormat="false" ht="15" hidden="false" customHeight="false" outlineLevel="0" collapsed="false">
      <c r="A1887" s="3" t="n">
        <v>1886</v>
      </c>
      <c r="B1887" s="3" t="n">
        <v>1885</v>
      </c>
      <c r="C1887" s="3" t="n">
        <v>9</v>
      </c>
      <c r="D1887" s="3" t="n">
        <v>8</v>
      </c>
      <c r="E1887" s="3" t="n">
        <v>9</v>
      </c>
      <c r="F1887" s="24" t="n">
        <v>2.19564533</v>
      </c>
    </row>
    <row r="1888" customFormat="false" ht="15" hidden="false" customHeight="false" outlineLevel="0" collapsed="false">
      <c r="A1888" s="3" t="n">
        <v>1887</v>
      </c>
      <c r="B1888" s="3" t="n">
        <v>1886</v>
      </c>
      <c r="C1888" s="3" t="n">
        <v>9</v>
      </c>
      <c r="D1888" s="3" t="n">
        <v>8</v>
      </c>
      <c r="E1888" s="3" t="n">
        <v>10</v>
      </c>
      <c r="F1888" s="24" t="n">
        <v>-2.23705149</v>
      </c>
    </row>
    <row r="1889" customFormat="false" ht="15" hidden="false" customHeight="false" outlineLevel="0" collapsed="false">
      <c r="A1889" s="3" t="n">
        <v>1888</v>
      </c>
      <c r="B1889" s="3" t="n">
        <v>1887</v>
      </c>
      <c r="C1889" s="3" t="n">
        <v>9</v>
      </c>
      <c r="D1889" s="3" t="n">
        <v>8</v>
      </c>
      <c r="E1889" s="3" t="n">
        <v>11</v>
      </c>
      <c r="F1889" s="24" t="n">
        <v>-0.256871521</v>
      </c>
    </row>
    <row r="1890" customFormat="false" ht="15" hidden="false" customHeight="false" outlineLevel="0" collapsed="false">
      <c r="A1890" s="3" t="n">
        <v>1889</v>
      </c>
      <c r="B1890" s="3" t="n">
        <v>1888</v>
      </c>
      <c r="C1890" s="3" t="n">
        <v>9</v>
      </c>
      <c r="D1890" s="3" t="n">
        <v>8</v>
      </c>
      <c r="E1890" s="3" t="n">
        <v>12</v>
      </c>
      <c r="F1890" s="24" t="n">
        <v>0.182477832</v>
      </c>
    </row>
    <row r="1891" customFormat="false" ht="15" hidden="false" customHeight="false" outlineLevel="0" collapsed="false">
      <c r="A1891" s="3" t="n">
        <v>1890</v>
      </c>
      <c r="B1891" s="3" t="n">
        <v>1889</v>
      </c>
      <c r="C1891" s="3" t="n">
        <v>9</v>
      </c>
      <c r="D1891" s="3" t="n">
        <v>8</v>
      </c>
      <c r="E1891" s="3" t="n">
        <v>13</v>
      </c>
      <c r="F1891" s="24" t="n">
        <v>0.161294132</v>
      </c>
    </row>
    <row r="1892" customFormat="false" ht="15" hidden="false" customHeight="false" outlineLevel="0" collapsed="false">
      <c r="A1892" s="3" t="n">
        <v>1891</v>
      </c>
      <c r="B1892" s="3" t="n">
        <v>1890</v>
      </c>
      <c r="C1892" s="3" t="n">
        <v>9</v>
      </c>
      <c r="D1892" s="3" t="n">
        <v>9</v>
      </c>
      <c r="E1892" s="3" t="n">
        <v>0</v>
      </c>
      <c r="F1892" s="24" t="n">
        <v>-0.262632221</v>
      </c>
    </row>
    <row r="1893" customFormat="false" ht="15" hidden="false" customHeight="false" outlineLevel="0" collapsed="false">
      <c r="A1893" s="3" t="n">
        <v>1892</v>
      </c>
      <c r="B1893" s="3" t="n">
        <v>1891</v>
      </c>
      <c r="C1893" s="3" t="n">
        <v>9</v>
      </c>
      <c r="D1893" s="3" t="n">
        <v>9</v>
      </c>
      <c r="E1893" s="3" t="n">
        <v>1</v>
      </c>
      <c r="F1893" s="24" t="n">
        <v>-0.0123908818</v>
      </c>
    </row>
    <row r="1894" customFormat="false" ht="15" hidden="false" customHeight="false" outlineLevel="0" collapsed="false">
      <c r="A1894" s="3" t="n">
        <v>1893</v>
      </c>
      <c r="B1894" s="3" t="n">
        <v>1892</v>
      </c>
      <c r="C1894" s="3" t="n">
        <v>9</v>
      </c>
      <c r="D1894" s="3" t="n">
        <v>9</v>
      </c>
      <c r="E1894" s="3" t="n">
        <v>2</v>
      </c>
      <c r="F1894" s="24" t="n">
        <v>0.0564652383</v>
      </c>
    </row>
    <row r="1895" customFormat="false" ht="15" hidden="false" customHeight="false" outlineLevel="0" collapsed="false">
      <c r="A1895" s="3" t="n">
        <v>1894</v>
      </c>
      <c r="B1895" s="3" t="n">
        <v>1893</v>
      </c>
      <c r="C1895" s="3" t="n">
        <v>9</v>
      </c>
      <c r="D1895" s="3" t="n">
        <v>9</v>
      </c>
      <c r="E1895" s="3" t="n">
        <v>3</v>
      </c>
      <c r="F1895" s="24" t="n">
        <v>0.0564652383</v>
      </c>
    </row>
    <row r="1896" customFormat="false" ht="15" hidden="false" customHeight="false" outlineLevel="0" collapsed="false">
      <c r="A1896" s="3" t="n">
        <v>1895</v>
      </c>
      <c r="B1896" s="3" t="n">
        <v>1894</v>
      </c>
      <c r="C1896" s="3" t="n">
        <v>9</v>
      </c>
      <c r="D1896" s="3" t="n">
        <v>9</v>
      </c>
      <c r="E1896" s="3" t="n">
        <v>4</v>
      </c>
      <c r="F1896" s="24" t="n">
        <v>-0.537113905</v>
      </c>
    </row>
    <row r="1897" customFormat="false" ht="15" hidden="false" customHeight="false" outlineLevel="0" collapsed="false">
      <c r="A1897" s="3" t="n">
        <v>1896</v>
      </c>
      <c r="B1897" s="3" t="n">
        <v>1895</v>
      </c>
      <c r="C1897" s="3" t="n">
        <v>9</v>
      </c>
      <c r="D1897" s="3" t="n">
        <v>9</v>
      </c>
      <c r="E1897" s="3" t="n">
        <v>5</v>
      </c>
      <c r="F1897" s="24" t="n">
        <v>-2.16164184</v>
      </c>
    </row>
    <row r="1898" customFormat="false" ht="15" hidden="false" customHeight="false" outlineLevel="0" collapsed="false">
      <c r="A1898" s="3" t="n">
        <v>1897</v>
      </c>
      <c r="B1898" s="3" t="n">
        <v>1896</v>
      </c>
      <c r="C1898" s="3" t="n">
        <v>9</v>
      </c>
      <c r="D1898" s="3" t="n">
        <v>9</v>
      </c>
      <c r="E1898" s="3" t="n">
        <v>6</v>
      </c>
      <c r="F1898" s="24" t="n">
        <v>2.56936312</v>
      </c>
    </row>
    <row r="1899" customFormat="false" ht="15" hidden="false" customHeight="false" outlineLevel="0" collapsed="false">
      <c r="A1899" s="3" t="n">
        <v>1898</v>
      </c>
      <c r="B1899" s="3" t="n">
        <v>1897</v>
      </c>
      <c r="C1899" s="3" t="n">
        <v>9</v>
      </c>
      <c r="D1899" s="3" t="n">
        <v>9</v>
      </c>
      <c r="E1899" s="3" t="n">
        <v>7</v>
      </c>
      <c r="F1899" s="24" t="n">
        <v>11.3129549</v>
      </c>
    </row>
    <row r="1900" customFormat="false" ht="15" hidden="false" customHeight="false" outlineLevel="0" collapsed="false">
      <c r="A1900" s="3" t="n">
        <v>1899</v>
      </c>
      <c r="B1900" s="3" t="n">
        <v>1898</v>
      </c>
      <c r="C1900" s="3" t="n">
        <v>9</v>
      </c>
      <c r="D1900" s="3" t="n">
        <v>9</v>
      </c>
      <c r="E1900" s="3" t="n">
        <v>8</v>
      </c>
      <c r="F1900" s="24" t="n">
        <v>6.31354284</v>
      </c>
    </row>
    <row r="1901" customFormat="false" ht="15" hidden="false" customHeight="false" outlineLevel="0" collapsed="false">
      <c r="A1901" s="3" t="n">
        <v>1900</v>
      </c>
      <c r="B1901" s="3" t="n">
        <v>1899</v>
      </c>
      <c r="C1901" s="3" t="n">
        <v>9</v>
      </c>
      <c r="D1901" s="3" t="n">
        <v>9</v>
      </c>
      <c r="E1901" s="3" t="n">
        <v>9</v>
      </c>
      <c r="F1901" s="24" t="n">
        <v>-1.25789726</v>
      </c>
    </row>
    <row r="1902" customFormat="false" ht="15" hidden="false" customHeight="false" outlineLevel="0" collapsed="false">
      <c r="A1902" s="3" t="n">
        <v>1901</v>
      </c>
      <c r="B1902" s="3" t="n">
        <v>1900</v>
      </c>
      <c r="C1902" s="3" t="n">
        <v>9</v>
      </c>
      <c r="D1902" s="3" t="n">
        <v>9</v>
      </c>
      <c r="E1902" s="3" t="n">
        <v>10</v>
      </c>
      <c r="F1902" s="24" t="n">
        <v>-0.839166284</v>
      </c>
    </row>
    <row r="1903" customFormat="false" ht="15" hidden="false" customHeight="false" outlineLevel="0" collapsed="false">
      <c r="A1903" s="3" t="n">
        <v>1902</v>
      </c>
      <c r="B1903" s="3" t="n">
        <v>1901</v>
      </c>
      <c r="C1903" s="3" t="n">
        <v>9</v>
      </c>
      <c r="D1903" s="3" t="n">
        <v>9</v>
      </c>
      <c r="E1903" s="3" t="n">
        <v>11</v>
      </c>
      <c r="F1903" s="24" t="n">
        <v>0.0578909814</v>
      </c>
    </row>
    <row r="1904" customFormat="false" ht="15" hidden="false" customHeight="false" outlineLevel="0" collapsed="false">
      <c r="A1904" s="3" t="n">
        <v>1903</v>
      </c>
      <c r="B1904" s="3" t="n">
        <v>1902</v>
      </c>
      <c r="C1904" s="3" t="n">
        <v>9</v>
      </c>
      <c r="D1904" s="3" t="n">
        <v>9</v>
      </c>
      <c r="E1904" s="3" t="n">
        <v>12</v>
      </c>
      <c r="F1904" s="24" t="n">
        <v>0.182477832</v>
      </c>
    </row>
    <row r="1905" customFormat="false" ht="15" hidden="false" customHeight="false" outlineLevel="0" collapsed="false">
      <c r="A1905" s="3" t="n">
        <v>1904</v>
      </c>
      <c r="B1905" s="3" t="n">
        <v>1903</v>
      </c>
      <c r="C1905" s="3" t="n">
        <v>9</v>
      </c>
      <c r="D1905" s="3" t="n">
        <v>9</v>
      </c>
      <c r="E1905" s="3" t="n">
        <v>13</v>
      </c>
      <c r="F1905" s="24" t="n">
        <v>0.161294132</v>
      </c>
    </row>
    <row r="1906" customFormat="false" ht="15" hidden="false" customHeight="false" outlineLevel="0" collapsed="false">
      <c r="A1906" s="3" t="n">
        <v>1905</v>
      </c>
      <c r="B1906" s="3" t="n">
        <v>1904</v>
      </c>
      <c r="C1906" s="3" t="n">
        <v>9</v>
      </c>
      <c r="D1906" s="3" t="n">
        <v>10</v>
      </c>
      <c r="E1906" s="3" t="n">
        <v>0</v>
      </c>
      <c r="F1906" s="24" t="n">
        <v>-0.262632221</v>
      </c>
    </row>
    <row r="1907" customFormat="false" ht="15" hidden="false" customHeight="false" outlineLevel="0" collapsed="false">
      <c r="A1907" s="3" t="n">
        <v>1906</v>
      </c>
      <c r="B1907" s="3" t="n">
        <v>1905</v>
      </c>
      <c r="C1907" s="3" t="n">
        <v>9</v>
      </c>
      <c r="D1907" s="3" t="n">
        <v>10</v>
      </c>
      <c r="E1907" s="3" t="n">
        <v>1</v>
      </c>
      <c r="F1907" s="24" t="n">
        <v>-0.0123908818</v>
      </c>
    </row>
    <row r="1908" customFormat="false" ht="15" hidden="false" customHeight="false" outlineLevel="0" collapsed="false">
      <c r="A1908" s="3" t="n">
        <v>1907</v>
      </c>
      <c r="B1908" s="3" t="n">
        <v>1906</v>
      </c>
      <c r="C1908" s="3" t="n">
        <v>9</v>
      </c>
      <c r="D1908" s="3" t="n">
        <v>10</v>
      </c>
      <c r="E1908" s="3" t="n">
        <v>2</v>
      </c>
      <c r="F1908" s="24" t="n">
        <v>0.0564652383</v>
      </c>
    </row>
    <row r="1909" customFormat="false" ht="15" hidden="false" customHeight="false" outlineLevel="0" collapsed="false">
      <c r="A1909" s="3" t="n">
        <v>1908</v>
      </c>
      <c r="B1909" s="3" t="n">
        <v>1907</v>
      </c>
      <c r="C1909" s="3" t="n">
        <v>9</v>
      </c>
      <c r="D1909" s="3" t="n">
        <v>10</v>
      </c>
      <c r="E1909" s="3" t="n">
        <v>3</v>
      </c>
      <c r="F1909" s="24" t="n">
        <v>-0.109660044</v>
      </c>
    </row>
    <row r="1910" customFormat="false" ht="15" hidden="false" customHeight="false" outlineLevel="0" collapsed="false">
      <c r="A1910" s="3" t="n">
        <v>1909</v>
      </c>
      <c r="B1910" s="3" t="n">
        <v>1908</v>
      </c>
      <c r="C1910" s="3" t="n">
        <v>9</v>
      </c>
      <c r="D1910" s="3" t="n">
        <v>10</v>
      </c>
      <c r="E1910" s="3" t="n">
        <v>4</v>
      </c>
      <c r="F1910" s="24" t="n">
        <v>-1.99121726</v>
      </c>
    </row>
    <row r="1911" customFormat="false" ht="15" hidden="false" customHeight="false" outlineLevel="0" collapsed="false">
      <c r="A1911" s="3" t="n">
        <v>1910</v>
      </c>
      <c r="B1911" s="3" t="n">
        <v>1909</v>
      </c>
      <c r="C1911" s="3" t="n">
        <v>9</v>
      </c>
      <c r="D1911" s="3" t="n">
        <v>10</v>
      </c>
      <c r="E1911" s="3" t="n">
        <v>5</v>
      </c>
      <c r="F1911" s="24" t="n">
        <v>0.946183681</v>
      </c>
    </row>
    <row r="1912" customFormat="false" ht="15" hidden="false" customHeight="false" outlineLevel="0" collapsed="false">
      <c r="A1912" s="3" t="n">
        <v>1911</v>
      </c>
      <c r="B1912" s="3" t="n">
        <v>1910</v>
      </c>
      <c r="C1912" s="3" t="n">
        <v>9</v>
      </c>
      <c r="D1912" s="3" t="n">
        <v>10</v>
      </c>
      <c r="E1912" s="3" t="n">
        <v>6</v>
      </c>
      <c r="F1912" s="24" t="n">
        <v>9.27487183</v>
      </c>
    </row>
    <row r="1913" customFormat="false" ht="15" hidden="false" customHeight="false" outlineLevel="0" collapsed="false">
      <c r="A1913" s="3" t="n">
        <v>1912</v>
      </c>
      <c r="B1913" s="3" t="n">
        <v>1911</v>
      </c>
      <c r="C1913" s="3" t="n">
        <v>9</v>
      </c>
      <c r="D1913" s="3" t="n">
        <v>10</v>
      </c>
      <c r="E1913" s="3" t="n">
        <v>7</v>
      </c>
      <c r="F1913" s="24" t="n">
        <v>8.05525494</v>
      </c>
    </row>
    <row r="1914" customFormat="false" ht="15" hidden="false" customHeight="false" outlineLevel="0" collapsed="false">
      <c r="A1914" s="3" t="n">
        <v>1913</v>
      </c>
      <c r="B1914" s="3" t="n">
        <v>1912</v>
      </c>
      <c r="C1914" s="3" t="n">
        <v>9</v>
      </c>
      <c r="D1914" s="3" t="n">
        <v>10</v>
      </c>
      <c r="E1914" s="3" t="n">
        <v>8</v>
      </c>
      <c r="F1914" s="24" t="n">
        <v>0.861157537</v>
      </c>
    </row>
    <row r="1915" customFormat="false" ht="15" hidden="false" customHeight="false" outlineLevel="0" collapsed="false">
      <c r="A1915" s="3" t="n">
        <v>1914</v>
      </c>
      <c r="B1915" s="3" t="n">
        <v>1913</v>
      </c>
      <c r="C1915" s="3" t="n">
        <v>9</v>
      </c>
      <c r="D1915" s="3" t="n">
        <v>10</v>
      </c>
      <c r="E1915" s="3" t="n">
        <v>9</v>
      </c>
      <c r="F1915" s="24" t="n">
        <v>-2.10240173</v>
      </c>
    </row>
    <row r="1916" customFormat="false" ht="15" hidden="false" customHeight="false" outlineLevel="0" collapsed="false">
      <c r="A1916" s="3" t="n">
        <v>1915</v>
      </c>
      <c r="B1916" s="3" t="n">
        <v>1914</v>
      </c>
      <c r="C1916" s="3" t="n">
        <v>9</v>
      </c>
      <c r="D1916" s="3" t="n">
        <v>10</v>
      </c>
      <c r="E1916" s="3" t="n">
        <v>10</v>
      </c>
      <c r="F1916" s="24" t="n">
        <v>-0.193149224</v>
      </c>
    </row>
    <row r="1917" customFormat="false" ht="15" hidden="false" customHeight="false" outlineLevel="0" collapsed="false">
      <c r="A1917" s="3" t="n">
        <v>1916</v>
      </c>
      <c r="B1917" s="3" t="n">
        <v>1915</v>
      </c>
      <c r="C1917" s="3" t="n">
        <v>9</v>
      </c>
      <c r="D1917" s="3" t="n">
        <v>10</v>
      </c>
      <c r="E1917" s="3" t="n">
        <v>11</v>
      </c>
      <c r="F1917" s="24" t="n">
        <v>0.0564652383</v>
      </c>
    </row>
    <row r="1918" customFormat="false" ht="15" hidden="false" customHeight="false" outlineLevel="0" collapsed="false">
      <c r="A1918" s="3" t="n">
        <v>1917</v>
      </c>
      <c r="B1918" s="3" t="n">
        <v>1916</v>
      </c>
      <c r="C1918" s="3" t="n">
        <v>9</v>
      </c>
      <c r="D1918" s="3" t="n">
        <v>10</v>
      </c>
      <c r="E1918" s="3" t="n">
        <v>12</v>
      </c>
      <c r="F1918" s="24" t="n">
        <v>0.182477832</v>
      </c>
    </row>
    <row r="1919" customFormat="false" ht="15" hidden="false" customHeight="false" outlineLevel="0" collapsed="false">
      <c r="A1919" s="3" t="n">
        <v>1918</v>
      </c>
      <c r="B1919" s="3" t="n">
        <v>1917</v>
      </c>
      <c r="C1919" s="3" t="n">
        <v>9</v>
      </c>
      <c r="D1919" s="3" t="n">
        <v>10</v>
      </c>
      <c r="E1919" s="3" t="n">
        <v>13</v>
      </c>
      <c r="F1919" s="24" t="n">
        <v>0.161294132</v>
      </c>
    </row>
    <row r="1920" customFormat="false" ht="15" hidden="false" customHeight="false" outlineLevel="0" collapsed="false">
      <c r="A1920" s="3" t="n">
        <v>1919</v>
      </c>
      <c r="B1920" s="3" t="n">
        <v>1918</v>
      </c>
      <c r="C1920" s="3" t="n">
        <v>9</v>
      </c>
      <c r="D1920" s="3" t="n">
        <v>11</v>
      </c>
      <c r="E1920" s="3" t="n">
        <v>0</v>
      </c>
      <c r="F1920" s="24" t="n">
        <v>-0.262632221</v>
      </c>
    </row>
    <row r="1921" customFormat="false" ht="15" hidden="false" customHeight="false" outlineLevel="0" collapsed="false">
      <c r="A1921" s="3" t="n">
        <v>1920</v>
      </c>
      <c r="B1921" s="3" t="n">
        <v>1919</v>
      </c>
      <c r="C1921" s="3" t="n">
        <v>9</v>
      </c>
      <c r="D1921" s="3" t="n">
        <v>11</v>
      </c>
      <c r="E1921" s="3" t="n">
        <v>1</v>
      </c>
      <c r="F1921" s="24" t="n">
        <v>-0.0123908818</v>
      </c>
    </row>
    <row r="1922" customFormat="false" ht="15" hidden="false" customHeight="false" outlineLevel="0" collapsed="false">
      <c r="A1922" s="3" t="n">
        <v>1921</v>
      </c>
      <c r="B1922" s="3" t="n">
        <v>1920</v>
      </c>
      <c r="C1922" s="3" t="n">
        <v>9</v>
      </c>
      <c r="D1922" s="3" t="n">
        <v>11</v>
      </c>
      <c r="E1922" s="3" t="n">
        <v>2</v>
      </c>
      <c r="F1922" s="24" t="n">
        <v>0.0564652383</v>
      </c>
    </row>
    <row r="1923" customFormat="false" ht="15" hidden="false" customHeight="false" outlineLevel="0" collapsed="false">
      <c r="A1923" s="3" t="n">
        <v>1922</v>
      </c>
      <c r="B1923" s="3" t="n">
        <v>1921</v>
      </c>
      <c r="C1923" s="3" t="n">
        <v>9</v>
      </c>
      <c r="D1923" s="3" t="n">
        <v>11</v>
      </c>
      <c r="E1923" s="3" t="n">
        <v>3</v>
      </c>
      <c r="F1923" s="24" t="n">
        <v>-0.351152509</v>
      </c>
    </row>
    <row r="1924" customFormat="false" ht="15" hidden="false" customHeight="false" outlineLevel="0" collapsed="false">
      <c r="A1924" s="3" t="n">
        <v>1923</v>
      </c>
      <c r="B1924" s="3" t="n">
        <v>1922</v>
      </c>
      <c r="C1924" s="3" t="n">
        <v>9</v>
      </c>
      <c r="D1924" s="3" t="n">
        <v>11</v>
      </c>
      <c r="E1924" s="3" t="n">
        <v>4</v>
      </c>
      <c r="F1924" s="24" t="n">
        <v>-1.55848777</v>
      </c>
    </row>
    <row r="1925" customFormat="false" ht="15" hidden="false" customHeight="false" outlineLevel="0" collapsed="false">
      <c r="A1925" s="3" t="n">
        <v>1924</v>
      </c>
      <c r="B1925" s="3" t="n">
        <v>1923</v>
      </c>
      <c r="C1925" s="3" t="n">
        <v>9</v>
      </c>
      <c r="D1925" s="3" t="n">
        <v>11</v>
      </c>
      <c r="E1925" s="3" t="n">
        <v>5</v>
      </c>
      <c r="F1925" s="24" t="n">
        <v>4.31428862</v>
      </c>
    </row>
    <row r="1926" customFormat="false" ht="15" hidden="false" customHeight="false" outlineLevel="0" collapsed="false">
      <c r="A1926" s="3" t="n">
        <v>1925</v>
      </c>
      <c r="B1926" s="3" t="n">
        <v>1924</v>
      </c>
      <c r="C1926" s="3" t="n">
        <v>9</v>
      </c>
      <c r="D1926" s="3" t="n">
        <v>11</v>
      </c>
      <c r="E1926" s="3" t="n">
        <v>6</v>
      </c>
      <c r="F1926" s="24" t="n">
        <v>10.0826683</v>
      </c>
    </row>
    <row r="1927" customFormat="false" ht="15" hidden="false" customHeight="false" outlineLevel="0" collapsed="false">
      <c r="A1927" s="3" t="n">
        <v>1926</v>
      </c>
      <c r="B1927" s="3" t="n">
        <v>1925</v>
      </c>
      <c r="C1927" s="3" t="n">
        <v>9</v>
      </c>
      <c r="D1927" s="3" t="n">
        <v>11</v>
      </c>
      <c r="E1927" s="3" t="n">
        <v>7</v>
      </c>
      <c r="F1927" s="24" t="n">
        <v>3.94547415</v>
      </c>
    </row>
    <row r="1928" customFormat="false" ht="15" hidden="false" customHeight="false" outlineLevel="0" collapsed="false">
      <c r="A1928" s="3" t="n">
        <v>1927</v>
      </c>
      <c r="B1928" s="3" t="n">
        <v>1926</v>
      </c>
      <c r="C1928" s="3" t="n">
        <v>9</v>
      </c>
      <c r="D1928" s="3" t="n">
        <v>11</v>
      </c>
      <c r="E1928" s="3" t="n">
        <v>8</v>
      </c>
      <c r="F1928" s="24" t="n">
        <v>-1.97816479</v>
      </c>
    </row>
    <row r="1929" customFormat="false" ht="15" hidden="false" customHeight="false" outlineLevel="0" collapsed="false">
      <c r="A1929" s="3" t="n">
        <v>1928</v>
      </c>
      <c r="B1929" s="3" t="n">
        <v>1927</v>
      </c>
      <c r="C1929" s="3" t="n">
        <v>9</v>
      </c>
      <c r="D1929" s="3" t="n">
        <v>11</v>
      </c>
      <c r="E1929" s="3" t="n">
        <v>9</v>
      </c>
      <c r="F1929" s="24" t="n">
        <v>-0.574917436</v>
      </c>
    </row>
    <row r="1930" customFormat="false" ht="15" hidden="false" customHeight="false" outlineLevel="0" collapsed="false">
      <c r="A1930" s="3" t="n">
        <v>1929</v>
      </c>
      <c r="B1930" s="3" t="n">
        <v>1928</v>
      </c>
      <c r="C1930" s="3" t="n">
        <v>9</v>
      </c>
      <c r="D1930" s="3" t="n">
        <v>11</v>
      </c>
      <c r="E1930" s="3" t="n">
        <v>10</v>
      </c>
      <c r="F1930" s="24" t="n">
        <v>0.0564652383</v>
      </c>
    </row>
    <row r="1931" customFormat="false" ht="15" hidden="false" customHeight="false" outlineLevel="0" collapsed="false">
      <c r="A1931" s="3" t="n">
        <v>1930</v>
      </c>
      <c r="B1931" s="3" t="n">
        <v>1929</v>
      </c>
      <c r="C1931" s="3" t="n">
        <v>9</v>
      </c>
      <c r="D1931" s="3" t="n">
        <v>11</v>
      </c>
      <c r="E1931" s="3" t="n">
        <v>11</v>
      </c>
      <c r="F1931" s="24" t="n">
        <v>0.0564652383</v>
      </c>
    </row>
    <row r="1932" customFormat="false" ht="15" hidden="false" customHeight="false" outlineLevel="0" collapsed="false">
      <c r="A1932" s="3" t="n">
        <v>1931</v>
      </c>
      <c r="B1932" s="3" t="n">
        <v>1930</v>
      </c>
      <c r="C1932" s="3" t="n">
        <v>9</v>
      </c>
      <c r="D1932" s="3" t="n">
        <v>11</v>
      </c>
      <c r="E1932" s="3" t="n">
        <v>12</v>
      </c>
      <c r="F1932" s="24" t="n">
        <v>0.182477832</v>
      </c>
    </row>
    <row r="1933" customFormat="false" ht="15" hidden="false" customHeight="false" outlineLevel="0" collapsed="false">
      <c r="A1933" s="3" t="n">
        <v>1932</v>
      </c>
      <c r="B1933" s="3" t="n">
        <v>1931</v>
      </c>
      <c r="C1933" s="3" t="n">
        <v>9</v>
      </c>
      <c r="D1933" s="3" t="n">
        <v>11</v>
      </c>
      <c r="E1933" s="3" t="n">
        <v>13</v>
      </c>
      <c r="F1933" s="24" t="n">
        <v>0.161294132</v>
      </c>
    </row>
    <row r="1934" customFormat="false" ht="15" hidden="false" customHeight="false" outlineLevel="0" collapsed="false">
      <c r="A1934" s="3" t="n">
        <v>1933</v>
      </c>
      <c r="B1934" s="3" t="n">
        <v>1932</v>
      </c>
      <c r="C1934" s="3" t="n">
        <v>9</v>
      </c>
      <c r="D1934" s="3" t="n">
        <v>12</v>
      </c>
      <c r="E1934" s="3" t="n">
        <v>0</v>
      </c>
      <c r="F1934" s="24" t="n">
        <v>-0.469008982</v>
      </c>
    </row>
    <row r="1935" customFormat="false" ht="15" hidden="false" customHeight="false" outlineLevel="0" collapsed="false">
      <c r="A1935" s="3" t="n">
        <v>1934</v>
      </c>
      <c r="B1935" s="3" t="n">
        <v>1933</v>
      </c>
      <c r="C1935" s="3" t="n">
        <v>9</v>
      </c>
      <c r="D1935" s="3" t="n">
        <v>12</v>
      </c>
      <c r="E1935" s="3" t="n">
        <v>1</v>
      </c>
      <c r="F1935" s="24" t="n">
        <v>-0.264905363</v>
      </c>
    </row>
    <row r="1936" customFormat="false" ht="15" hidden="false" customHeight="false" outlineLevel="0" collapsed="false">
      <c r="A1936" s="3" t="n">
        <v>1935</v>
      </c>
      <c r="B1936" s="3" t="n">
        <v>1934</v>
      </c>
      <c r="C1936" s="3" t="n">
        <v>9</v>
      </c>
      <c r="D1936" s="3" t="n">
        <v>12</v>
      </c>
      <c r="E1936" s="3" t="n">
        <v>2</v>
      </c>
      <c r="F1936" s="24" t="n">
        <v>-0.196217731</v>
      </c>
    </row>
    <row r="1937" customFormat="false" ht="15" hidden="false" customHeight="false" outlineLevel="0" collapsed="false">
      <c r="A1937" s="3" t="n">
        <v>1936</v>
      </c>
      <c r="B1937" s="3" t="n">
        <v>1935</v>
      </c>
      <c r="C1937" s="3" t="n">
        <v>9</v>
      </c>
      <c r="D1937" s="3" t="n">
        <v>12</v>
      </c>
      <c r="E1937" s="3" t="n">
        <v>3</v>
      </c>
      <c r="F1937" s="24" t="n">
        <v>-0.301059932</v>
      </c>
    </row>
    <row r="1938" customFormat="false" ht="15" hidden="false" customHeight="false" outlineLevel="0" collapsed="false">
      <c r="A1938" s="3" t="n">
        <v>1937</v>
      </c>
      <c r="B1938" s="3" t="n">
        <v>1936</v>
      </c>
      <c r="C1938" s="3" t="n">
        <v>9</v>
      </c>
      <c r="D1938" s="3" t="n">
        <v>12</v>
      </c>
      <c r="E1938" s="3" t="n">
        <v>4</v>
      </c>
      <c r="F1938" s="24" t="n">
        <v>1.06328058</v>
      </c>
    </row>
    <row r="1939" customFormat="false" ht="15" hidden="false" customHeight="false" outlineLevel="0" collapsed="false">
      <c r="A1939" s="3" t="n">
        <v>1938</v>
      </c>
      <c r="B1939" s="3" t="n">
        <v>1937</v>
      </c>
      <c r="C1939" s="3" t="n">
        <v>9</v>
      </c>
      <c r="D1939" s="3" t="n">
        <v>12</v>
      </c>
      <c r="E1939" s="3" t="n">
        <v>5</v>
      </c>
      <c r="F1939" s="24" t="n">
        <v>7.00890017</v>
      </c>
    </row>
    <row r="1940" customFormat="false" ht="15" hidden="false" customHeight="false" outlineLevel="0" collapsed="false">
      <c r="A1940" s="3" t="n">
        <v>1939</v>
      </c>
      <c r="B1940" s="3" t="n">
        <v>1938</v>
      </c>
      <c r="C1940" s="3" t="n">
        <v>9</v>
      </c>
      <c r="D1940" s="3" t="n">
        <v>12</v>
      </c>
      <c r="E1940" s="3" t="n">
        <v>6</v>
      </c>
      <c r="F1940" s="24" t="n">
        <v>7.14055395</v>
      </c>
    </row>
    <row r="1941" customFormat="false" ht="15" hidden="false" customHeight="false" outlineLevel="0" collapsed="false">
      <c r="A1941" s="3" t="n">
        <v>1940</v>
      </c>
      <c r="B1941" s="3" t="n">
        <v>1939</v>
      </c>
      <c r="C1941" s="3" t="n">
        <v>9</v>
      </c>
      <c r="D1941" s="3" t="n">
        <v>12</v>
      </c>
      <c r="E1941" s="3" t="n">
        <v>7</v>
      </c>
      <c r="F1941" s="24" t="n">
        <v>-0.06722866</v>
      </c>
    </row>
    <row r="1942" customFormat="false" ht="15" hidden="false" customHeight="false" outlineLevel="0" collapsed="false">
      <c r="A1942" s="3" t="n">
        <v>1941</v>
      </c>
      <c r="B1942" s="3" t="n">
        <v>1940</v>
      </c>
      <c r="C1942" s="3" t="n">
        <v>9</v>
      </c>
      <c r="D1942" s="3" t="n">
        <v>12</v>
      </c>
      <c r="E1942" s="3" t="n">
        <v>8</v>
      </c>
      <c r="F1942" s="24" t="n">
        <v>-1.30187714</v>
      </c>
    </row>
    <row r="1943" customFormat="false" ht="15" hidden="false" customHeight="false" outlineLevel="0" collapsed="false">
      <c r="A1943" s="3" t="n">
        <v>1942</v>
      </c>
      <c r="B1943" s="3" t="n">
        <v>1941</v>
      </c>
      <c r="C1943" s="3" t="n">
        <v>9</v>
      </c>
      <c r="D1943" s="3" t="n">
        <v>12</v>
      </c>
      <c r="E1943" s="3" t="n">
        <v>9</v>
      </c>
      <c r="F1943" s="24" t="n">
        <v>-0.262430131</v>
      </c>
    </row>
    <row r="1944" customFormat="false" ht="15" hidden="false" customHeight="false" outlineLevel="0" collapsed="false">
      <c r="A1944" s="3" t="n">
        <v>1943</v>
      </c>
      <c r="B1944" s="3" t="n">
        <v>1942</v>
      </c>
      <c r="C1944" s="3" t="n">
        <v>9</v>
      </c>
      <c r="D1944" s="3" t="n">
        <v>12</v>
      </c>
      <c r="E1944" s="3" t="n">
        <v>10</v>
      </c>
      <c r="F1944" s="24" t="n">
        <v>-0.196217731</v>
      </c>
    </row>
    <row r="1945" customFormat="false" ht="15" hidden="false" customHeight="false" outlineLevel="0" collapsed="false">
      <c r="A1945" s="3" t="n">
        <v>1944</v>
      </c>
      <c r="B1945" s="3" t="n">
        <v>1943</v>
      </c>
      <c r="C1945" s="3" t="n">
        <v>9</v>
      </c>
      <c r="D1945" s="3" t="n">
        <v>12</v>
      </c>
      <c r="E1945" s="3" t="n">
        <v>11</v>
      </c>
      <c r="F1945" s="24" t="n">
        <v>-0.196217731</v>
      </c>
    </row>
    <row r="1946" customFormat="false" ht="15" hidden="false" customHeight="false" outlineLevel="0" collapsed="false">
      <c r="A1946" s="3" t="n">
        <v>1945</v>
      </c>
      <c r="B1946" s="3" t="n">
        <v>1944</v>
      </c>
      <c r="C1946" s="3" t="n">
        <v>9</v>
      </c>
      <c r="D1946" s="3" t="n">
        <v>12</v>
      </c>
      <c r="E1946" s="3" t="n">
        <v>12</v>
      </c>
      <c r="F1946" s="24" t="n">
        <v>-0.0702050924</v>
      </c>
    </row>
    <row r="1947" customFormat="false" ht="15" hidden="false" customHeight="false" outlineLevel="0" collapsed="false">
      <c r="A1947" s="3" t="n">
        <v>1946</v>
      </c>
      <c r="B1947" s="3" t="n">
        <v>1945</v>
      </c>
      <c r="C1947" s="3" t="n">
        <v>9</v>
      </c>
      <c r="D1947" s="3" t="n">
        <v>12</v>
      </c>
      <c r="E1947" s="3" t="n">
        <v>13</v>
      </c>
      <c r="F1947" s="24" t="n">
        <v>-0.0240473151</v>
      </c>
    </row>
    <row r="1948" customFormat="false" ht="15" hidden="false" customHeight="false" outlineLevel="0" collapsed="false">
      <c r="A1948" s="3" t="n">
        <v>1947</v>
      </c>
      <c r="B1948" s="3" t="n">
        <v>1946</v>
      </c>
      <c r="C1948" s="3" t="n">
        <v>9</v>
      </c>
      <c r="D1948" s="3" t="n">
        <v>13</v>
      </c>
      <c r="E1948" s="3" t="n">
        <v>0</v>
      </c>
      <c r="F1948" s="24" t="n">
        <v>-0.434328347</v>
      </c>
    </row>
    <row r="1949" customFormat="false" ht="15" hidden="false" customHeight="false" outlineLevel="0" collapsed="false">
      <c r="A1949" s="3" t="n">
        <v>1948</v>
      </c>
      <c r="B1949" s="3" t="n">
        <v>1947</v>
      </c>
      <c r="C1949" s="3" t="n">
        <v>9</v>
      </c>
      <c r="D1949" s="3" t="n">
        <v>13</v>
      </c>
      <c r="E1949" s="3" t="n">
        <v>1</v>
      </c>
      <c r="F1949" s="24" t="n">
        <v>-0.278331578</v>
      </c>
    </row>
    <row r="1950" customFormat="false" ht="15" hidden="false" customHeight="false" outlineLevel="0" collapsed="false">
      <c r="A1950" s="3" t="n">
        <v>1949</v>
      </c>
      <c r="B1950" s="3" t="n">
        <v>1948</v>
      </c>
      <c r="C1950" s="3" t="n">
        <v>9</v>
      </c>
      <c r="D1950" s="3" t="n">
        <v>13</v>
      </c>
      <c r="E1950" s="3" t="n">
        <v>2</v>
      </c>
      <c r="F1950" s="24" t="n">
        <v>-0.130489781</v>
      </c>
    </row>
    <row r="1951" customFormat="false" ht="15" hidden="false" customHeight="false" outlineLevel="0" collapsed="false">
      <c r="A1951" s="3" t="n">
        <v>1950</v>
      </c>
      <c r="B1951" s="3" t="n">
        <v>1949</v>
      </c>
      <c r="C1951" s="3" t="n">
        <v>9</v>
      </c>
      <c r="D1951" s="3" t="n">
        <v>13</v>
      </c>
      <c r="E1951" s="3" t="n">
        <v>3</v>
      </c>
      <c r="F1951" s="24" t="n">
        <v>0.315762907</v>
      </c>
    </row>
    <row r="1952" customFormat="false" ht="15" hidden="false" customHeight="false" outlineLevel="0" collapsed="false">
      <c r="A1952" s="3" t="n">
        <v>1951</v>
      </c>
      <c r="B1952" s="3" t="n">
        <v>1950</v>
      </c>
      <c r="C1952" s="3" t="n">
        <v>9</v>
      </c>
      <c r="D1952" s="3" t="n">
        <v>13</v>
      </c>
      <c r="E1952" s="3" t="n">
        <v>4</v>
      </c>
      <c r="F1952" s="24" t="n">
        <v>3.26522422</v>
      </c>
    </row>
    <row r="1953" customFormat="false" ht="15" hidden="false" customHeight="false" outlineLevel="0" collapsed="false">
      <c r="A1953" s="3" t="n">
        <v>1952</v>
      </c>
      <c r="B1953" s="3" t="n">
        <v>1951</v>
      </c>
      <c r="C1953" s="3" t="n">
        <v>9</v>
      </c>
      <c r="D1953" s="3" t="n">
        <v>13</v>
      </c>
      <c r="E1953" s="3" t="n">
        <v>5</v>
      </c>
      <c r="F1953" s="24" t="n">
        <v>5.20944738</v>
      </c>
    </row>
    <row r="1954" customFormat="false" ht="15" hidden="false" customHeight="false" outlineLevel="0" collapsed="false">
      <c r="A1954" s="3" t="n">
        <v>1953</v>
      </c>
      <c r="B1954" s="3" t="n">
        <v>1952</v>
      </c>
      <c r="C1954" s="3" t="n">
        <v>9</v>
      </c>
      <c r="D1954" s="3" t="n">
        <v>13</v>
      </c>
      <c r="E1954" s="3" t="n">
        <v>6</v>
      </c>
      <c r="F1954" s="24" t="n">
        <v>1.59904647</v>
      </c>
    </row>
    <row r="1955" customFormat="false" ht="15" hidden="false" customHeight="false" outlineLevel="0" collapsed="false">
      <c r="A1955" s="3" t="n">
        <v>1954</v>
      </c>
      <c r="B1955" s="3" t="n">
        <v>1953</v>
      </c>
      <c r="C1955" s="3" t="n">
        <v>9</v>
      </c>
      <c r="D1955" s="3" t="n">
        <v>13</v>
      </c>
      <c r="E1955" s="3" t="n">
        <v>7</v>
      </c>
      <c r="F1955" s="24" t="n">
        <v>-2.96954513</v>
      </c>
    </row>
    <row r="1956" customFormat="false" ht="15" hidden="false" customHeight="false" outlineLevel="0" collapsed="false">
      <c r="A1956" s="3" t="n">
        <v>1955</v>
      </c>
      <c r="B1956" s="3" t="n">
        <v>1954</v>
      </c>
      <c r="C1956" s="3" t="n">
        <v>9</v>
      </c>
      <c r="D1956" s="3" t="n">
        <v>13</v>
      </c>
      <c r="E1956" s="3" t="n">
        <v>8</v>
      </c>
      <c r="F1956" s="24" t="n">
        <v>-0.808091998</v>
      </c>
    </row>
    <row r="1957" customFormat="false" ht="15" hidden="false" customHeight="false" outlineLevel="0" collapsed="false">
      <c r="A1957" s="3" t="n">
        <v>1956</v>
      </c>
      <c r="B1957" s="3" t="n">
        <v>1955</v>
      </c>
      <c r="C1957" s="3" t="n">
        <v>9</v>
      </c>
      <c r="D1957" s="3" t="n">
        <v>13</v>
      </c>
      <c r="E1957" s="3" t="n">
        <v>9</v>
      </c>
      <c r="F1957" s="24" t="n">
        <v>-0.130489781</v>
      </c>
    </row>
    <row r="1958" customFormat="false" ht="15" hidden="false" customHeight="false" outlineLevel="0" collapsed="false">
      <c r="A1958" s="3" t="n">
        <v>1957</v>
      </c>
      <c r="B1958" s="3" t="n">
        <v>1956</v>
      </c>
      <c r="C1958" s="3" t="n">
        <v>9</v>
      </c>
      <c r="D1958" s="3" t="n">
        <v>13</v>
      </c>
      <c r="E1958" s="3" t="n">
        <v>10</v>
      </c>
      <c r="F1958" s="24" t="n">
        <v>-0.130489781</v>
      </c>
    </row>
    <row r="1959" customFormat="false" ht="15" hidden="false" customHeight="false" outlineLevel="0" collapsed="false">
      <c r="A1959" s="3" t="n">
        <v>1958</v>
      </c>
      <c r="B1959" s="3" t="n">
        <v>1957</v>
      </c>
      <c r="C1959" s="3" t="n">
        <v>9</v>
      </c>
      <c r="D1959" s="3" t="n">
        <v>13</v>
      </c>
      <c r="E1959" s="3" t="n">
        <v>11</v>
      </c>
      <c r="F1959" s="24" t="n">
        <v>-0.130489781</v>
      </c>
    </row>
    <row r="1960" customFormat="false" ht="15" hidden="false" customHeight="false" outlineLevel="0" collapsed="false">
      <c r="A1960" s="3" t="n">
        <v>1959</v>
      </c>
      <c r="B1960" s="3" t="n">
        <v>1958</v>
      </c>
      <c r="C1960" s="3" t="n">
        <v>9</v>
      </c>
      <c r="D1960" s="3" t="n">
        <v>13</v>
      </c>
      <c r="E1960" s="3" t="n">
        <v>12</v>
      </c>
      <c r="F1960" s="24" t="n">
        <v>-0.0303140581</v>
      </c>
    </row>
    <row r="1961" customFormat="false" ht="15" hidden="false" customHeight="false" outlineLevel="0" collapsed="false">
      <c r="A1961" s="3" t="n">
        <v>1960</v>
      </c>
      <c r="B1961" s="3" t="n">
        <v>1959</v>
      </c>
      <c r="C1961" s="3" t="n">
        <v>9</v>
      </c>
      <c r="D1961" s="3" t="n">
        <v>13</v>
      </c>
      <c r="E1961" s="3" t="n">
        <v>13</v>
      </c>
      <c r="F1961" s="24" t="n">
        <v>-0.0183182359</v>
      </c>
    </row>
    <row r="1962" customFormat="false" ht="15" hidden="false" customHeight="false" outlineLevel="0" collapsed="false">
      <c r="A1962" s="3" t="n">
        <v>1961</v>
      </c>
      <c r="B1962" s="3" t="n">
        <v>1960</v>
      </c>
      <c r="C1962" s="3" t="n">
        <v>10</v>
      </c>
      <c r="D1962" s="3" t="n">
        <v>0</v>
      </c>
      <c r="E1962" s="3" t="n">
        <v>0</v>
      </c>
      <c r="F1962" s="24" t="n">
        <v>-0.553500533</v>
      </c>
    </row>
    <row r="1963" customFormat="false" ht="15" hidden="false" customHeight="false" outlineLevel="0" collapsed="false">
      <c r="A1963" s="3" t="n">
        <v>1962</v>
      </c>
      <c r="B1963" s="3" t="n">
        <v>1961</v>
      </c>
      <c r="C1963" s="3" t="n">
        <v>10</v>
      </c>
      <c r="D1963" s="3" t="n">
        <v>0</v>
      </c>
      <c r="E1963" s="3" t="n">
        <v>1</v>
      </c>
      <c r="F1963" s="24" t="n">
        <v>-0.76781249</v>
      </c>
    </row>
    <row r="1964" customFormat="false" ht="15" hidden="false" customHeight="false" outlineLevel="0" collapsed="false">
      <c r="A1964" s="3" t="n">
        <v>1963</v>
      </c>
      <c r="B1964" s="3" t="n">
        <v>1962</v>
      </c>
      <c r="C1964" s="3" t="n">
        <v>10</v>
      </c>
      <c r="D1964" s="3" t="n">
        <v>0</v>
      </c>
      <c r="E1964" s="3" t="n">
        <v>2</v>
      </c>
      <c r="F1964" s="24" t="n">
        <v>-0.699424982</v>
      </c>
    </row>
    <row r="1965" customFormat="false" ht="15" hidden="false" customHeight="false" outlineLevel="0" collapsed="false">
      <c r="A1965" s="3" t="n">
        <v>1964</v>
      </c>
      <c r="B1965" s="3" t="n">
        <v>1963</v>
      </c>
      <c r="C1965" s="3" t="n">
        <v>10</v>
      </c>
      <c r="D1965" s="3" t="n">
        <v>0</v>
      </c>
      <c r="E1965" s="3" t="n">
        <v>3</v>
      </c>
      <c r="F1965" s="24" t="n">
        <v>-0.699424982</v>
      </c>
    </row>
    <row r="1966" customFormat="false" ht="15" hidden="false" customHeight="false" outlineLevel="0" collapsed="false">
      <c r="A1966" s="3" t="n">
        <v>1965</v>
      </c>
      <c r="B1966" s="3" t="n">
        <v>1964</v>
      </c>
      <c r="C1966" s="3" t="n">
        <v>10</v>
      </c>
      <c r="D1966" s="3" t="n">
        <v>0</v>
      </c>
      <c r="E1966" s="3" t="n">
        <v>4</v>
      </c>
      <c r="F1966" s="24" t="n">
        <v>-0.699424982</v>
      </c>
    </row>
    <row r="1967" customFormat="false" ht="15" hidden="false" customHeight="false" outlineLevel="0" collapsed="false">
      <c r="A1967" s="3" t="n">
        <v>1966</v>
      </c>
      <c r="B1967" s="3" t="n">
        <v>1965</v>
      </c>
      <c r="C1967" s="3" t="n">
        <v>10</v>
      </c>
      <c r="D1967" s="3" t="n">
        <v>0</v>
      </c>
      <c r="E1967" s="3" t="n">
        <v>5</v>
      </c>
      <c r="F1967" s="24" t="n">
        <v>-0.699424982</v>
      </c>
    </row>
    <row r="1968" customFormat="false" ht="15" hidden="false" customHeight="false" outlineLevel="0" collapsed="false">
      <c r="A1968" s="3" t="n">
        <v>1967</v>
      </c>
      <c r="B1968" s="3" t="n">
        <v>1966</v>
      </c>
      <c r="C1968" s="3" t="n">
        <v>10</v>
      </c>
      <c r="D1968" s="3" t="n">
        <v>0</v>
      </c>
      <c r="E1968" s="3" t="n">
        <v>6</v>
      </c>
      <c r="F1968" s="24" t="n">
        <v>-0.699424982</v>
      </c>
    </row>
    <row r="1969" customFormat="false" ht="15" hidden="false" customHeight="false" outlineLevel="0" collapsed="false">
      <c r="A1969" s="3" t="n">
        <v>1968</v>
      </c>
      <c r="B1969" s="3" t="n">
        <v>1967</v>
      </c>
      <c r="C1969" s="3" t="n">
        <v>10</v>
      </c>
      <c r="D1969" s="3" t="n">
        <v>0</v>
      </c>
      <c r="E1969" s="3" t="n">
        <v>7</v>
      </c>
      <c r="F1969" s="24" t="n">
        <v>-0.699424982</v>
      </c>
    </row>
    <row r="1970" customFormat="false" ht="15" hidden="false" customHeight="false" outlineLevel="0" collapsed="false">
      <c r="A1970" s="3" t="n">
        <v>1969</v>
      </c>
      <c r="B1970" s="3" t="n">
        <v>1968</v>
      </c>
      <c r="C1970" s="3" t="n">
        <v>10</v>
      </c>
      <c r="D1970" s="3" t="n">
        <v>0</v>
      </c>
      <c r="E1970" s="3" t="n">
        <v>8</v>
      </c>
      <c r="F1970" s="24" t="n">
        <v>-0.699424982</v>
      </c>
    </row>
    <row r="1971" customFormat="false" ht="15" hidden="false" customHeight="false" outlineLevel="0" collapsed="false">
      <c r="A1971" s="3" t="n">
        <v>1970</v>
      </c>
      <c r="B1971" s="3" t="n">
        <v>1969</v>
      </c>
      <c r="C1971" s="3" t="n">
        <v>10</v>
      </c>
      <c r="D1971" s="3" t="n">
        <v>0</v>
      </c>
      <c r="E1971" s="3" t="n">
        <v>9</v>
      </c>
      <c r="F1971" s="24" t="n">
        <v>-0.699424982</v>
      </c>
    </row>
    <row r="1972" customFormat="false" ht="15" hidden="false" customHeight="false" outlineLevel="0" collapsed="false">
      <c r="A1972" s="3" t="n">
        <v>1971</v>
      </c>
      <c r="B1972" s="3" t="n">
        <v>1970</v>
      </c>
      <c r="C1972" s="3" t="n">
        <v>10</v>
      </c>
      <c r="D1972" s="3" t="n">
        <v>0</v>
      </c>
      <c r="E1972" s="3" t="n">
        <v>10</v>
      </c>
      <c r="F1972" s="24" t="n">
        <v>-0.699424982</v>
      </c>
    </row>
    <row r="1973" customFormat="false" ht="15" hidden="false" customHeight="false" outlineLevel="0" collapsed="false">
      <c r="A1973" s="3" t="n">
        <v>1972</v>
      </c>
      <c r="B1973" s="3" t="n">
        <v>1971</v>
      </c>
      <c r="C1973" s="3" t="n">
        <v>10</v>
      </c>
      <c r="D1973" s="3" t="n">
        <v>0</v>
      </c>
      <c r="E1973" s="3" t="n">
        <v>11</v>
      </c>
      <c r="F1973" s="24" t="n">
        <v>-0.699424982</v>
      </c>
    </row>
    <row r="1974" customFormat="false" ht="15" hidden="false" customHeight="false" outlineLevel="0" collapsed="false">
      <c r="A1974" s="3" t="n">
        <v>1973</v>
      </c>
      <c r="B1974" s="3" t="n">
        <v>1972</v>
      </c>
      <c r="C1974" s="3" t="n">
        <v>10</v>
      </c>
      <c r="D1974" s="3" t="n">
        <v>0</v>
      </c>
      <c r="E1974" s="3" t="n">
        <v>12</v>
      </c>
      <c r="F1974" s="24" t="n">
        <v>-0.585547805</v>
      </c>
    </row>
    <row r="1975" customFormat="false" ht="15" hidden="false" customHeight="false" outlineLevel="0" collapsed="false">
      <c r="A1975" s="3" t="n">
        <v>1974</v>
      </c>
      <c r="B1975" s="3" t="n">
        <v>1973</v>
      </c>
      <c r="C1975" s="3" t="n">
        <v>10</v>
      </c>
      <c r="D1975" s="3" t="n">
        <v>0</v>
      </c>
      <c r="E1975" s="3" t="n">
        <v>13</v>
      </c>
      <c r="F1975" s="24" t="n">
        <v>-0.532332897</v>
      </c>
    </row>
    <row r="1976" customFormat="false" ht="15" hidden="false" customHeight="false" outlineLevel="0" collapsed="false">
      <c r="A1976" s="3" t="n">
        <v>1975</v>
      </c>
      <c r="B1976" s="3" t="n">
        <v>1974</v>
      </c>
      <c r="C1976" s="3" t="n">
        <v>10</v>
      </c>
      <c r="D1976" s="3" t="n">
        <v>1</v>
      </c>
      <c r="E1976" s="3" t="n">
        <v>0</v>
      </c>
      <c r="F1976" s="24" t="n">
        <v>-0.454388767</v>
      </c>
    </row>
    <row r="1977" customFormat="false" ht="15" hidden="false" customHeight="false" outlineLevel="0" collapsed="false">
      <c r="A1977" s="3" t="n">
        <v>1976</v>
      </c>
      <c r="B1977" s="3" t="n">
        <v>1975</v>
      </c>
      <c r="C1977" s="3" t="n">
        <v>10</v>
      </c>
      <c r="D1977" s="3" t="n">
        <v>1</v>
      </c>
      <c r="E1977" s="3" t="n">
        <v>1</v>
      </c>
      <c r="F1977" s="24" t="n">
        <v>-0.51751554</v>
      </c>
    </row>
    <row r="1978" customFormat="false" ht="15" hidden="false" customHeight="false" outlineLevel="0" collapsed="false">
      <c r="A1978" s="3" t="n">
        <v>1977</v>
      </c>
      <c r="B1978" s="3" t="n">
        <v>1976</v>
      </c>
      <c r="C1978" s="3" t="n">
        <v>10</v>
      </c>
      <c r="D1978" s="3" t="n">
        <v>1</v>
      </c>
      <c r="E1978" s="3" t="n">
        <v>2</v>
      </c>
      <c r="F1978" s="24" t="n">
        <v>-0.329954326</v>
      </c>
    </row>
    <row r="1979" customFormat="false" ht="15" hidden="false" customHeight="false" outlineLevel="0" collapsed="false">
      <c r="A1979" s="3" t="n">
        <v>1978</v>
      </c>
      <c r="B1979" s="3" t="n">
        <v>1977</v>
      </c>
      <c r="C1979" s="3" t="n">
        <v>10</v>
      </c>
      <c r="D1979" s="3" t="n">
        <v>1</v>
      </c>
      <c r="E1979" s="3" t="n">
        <v>3</v>
      </c>
      <c r="F1979" s="24" t="n">
        <v>-0.329954326</v>
      </c>
    </row>
    <row r="1980" customFormat="false" ht="15" hidden="false" customHeight="false" outlineLevel="0" collapsed="false">
      <c r="A1980" s="3" t="n">
        <v>1979</v>
      </c>
      <c r="B1980" s="3" t="n">
        <v>1978</v>
      </c>
      <c r="C1980" s="3" t="n">
        <v>10</v>
      </c>
      <c r="D1980" s="3" t="n">
        <v>1</v>
      </c>
      <c r="E1980" s="3" t="n">
        <v>4</v>
      </c>
      <c r="F1980" s="24" t="n">
        <v>-0.329954326</v>
      </c>
    </row>
    <row r="1981" customFormat="false" ht="15" hidden="false" customHeight="false" outlineLevel="0" collapsed="false">
      <c r="A1981" s="3" t="n">
        <v>1980</v>
      </c>
      <c r="B1981" s="3" t="n">
        <v>1979</v>
      </c>
      <c r="C1981" s="3" t="n">
        <v>10</v>
      </c>
      <c r="D1981" s="3" t="n">
        <v>1</v>
      </c>
      <c r="E1981" s="3" t="n">
        <v>5</v>
      </c>
      <c r="F1981" s="24" t="n">
        <v>-0.329954326</v>
      </c>
    </row>
    <row r="1982" customFormat="false" ht="15" hidden="false" customHeight="false" outlineLevel="0" collapsed="false">
      <c r="A1982" s="3" t="n">
        <v>1981</v>
      </c>
      <c r="B1982" s="3" t="n">
        <v>1980</v>
      </c>
      <c r="C1982" s="3" t="n">
        <v>10</v>
      </c>
      <c r="D1982" s="3" t="n">
        <v>1</v>
      </c>
      <c r="E1982" s="3" t="n">
        <v>6</v>
      </c>
      <c r="F1982" s="24" t="n">
        <v>-0.329954326</v>
      </c>
    </row>
    <row r="1983" customFormat="false" ht="15" hidden="false" customHeight="false" outlineLevel="0" collapsed="false">
      <c r="A1983" s="3" t="n">
        <v>1982</v>
      </c>
      <c r="B1983" s="3" t="n">
        <v>1981</v>
      </c>
      <c r="C1983" s="3" t="n">
        <v>10</v>
      </c>
      <c r="D1983" s="3" t="n">
        <v>1</v>
      </c>
      <c r="E1983" s="3" t="n">
        <v>7</v>
      </c>
      <c r="F1983" s="24" t="n">
        <v>-0.329954326</v>
      </c>
    </row>
    <row r="1984" customFormat="false" ht="15" hidden="false" customHeight="false" outlineLevel="0" collapsed="false">
      <c r="A1984" s="3" t="n">
        <v>1983</v>
      </c>
      <c r="B1984" s="3" t="n">
        <v>1982</v>
      </c>
      <c r="C1984" s="3" t="n">
        <v>10</v>
      </c>
      <c r="D1984" s="3" t="n">
        <v>1</v>
      </c>
      <c r="E1984" s="3" t="n">
        <v>8</v>
      </c>
      <c r="F1984" s="24" t="n">
        <v>-0.329954326</v>
      </c>
    </row>
    <row r="1985" customFormat="false" ht="15" hidden="false" customHeight="false" outlineLevel="0" collapsed="false">
      <c r="A1985" s="3" t="n">
        <v>1984</v>
      </c>
      <c r="B1985" s="3" t="n">
        <v>1983</v>
      </c>
      <c r="C1985" s="3" t="n">
        <v>10</v>
      </c>
      <c r="D1985" s="3" t="n">
        <v>1</v>
      </c>
      <c r="E1985" s="3" t="n">
        <v>9</v>
      </c>
      <c r="F1985" s="24" t="n">
        <v>-0.329954326</v>
      </c>
    </row>
    <row r="1986" customFormat="false" ht="15" hidden="false" customHeight="false" outlineLevel="0" collapsed="false">
      <c r="A1986" s="3" t="n">
        <v>1985</v>
      </c>
      <c r="B1986" s="3" t="n">
        <v>1984</v>
      </c>
      <c r="C1986" s="3" t="n">
        <v>10</v>
      </c>
      <c r="D1986" s="3" t="n">
        <v>1</v>
      </c>
      <c r="E1986" s="3" t="n">
        <v>10</v>
      </c>
      <c r="F1986" s="24" t="n">
        <v>-0.329954326</v>
      </c>
    </row>
    <row r="1987" customFormat="false" ht="15" hidden="false" customHeight="false" outlineLevel="0" collapsed="false">
      <c r="A1987" s="3" t="n">
        <v>1986</v>
      </c>
      <c r="B1987" s="3" t="n">
        <v>1985</v>
      </c>
      <c r="C1987" s="3" t="n">
        <v>10</v>
      </c>
      <c r="D1987" s="3" t="n">
        <v>1</v>
      </c>
      <c r="E1987" s="3" t="n">
        <v>11</v>
      </c>
      <c r="F1987" s="24" t="n">
        <v>-0.329954326</v>
      </c>
    </row>
    <row r="1988" customFormat="false" ht="15" hidden="false" customHeight="false" outlineLevel="0" collapsed="false">
      <c r="A1988" s="3" t="n">
        <v>1987</v>
      </c>
      <c r="B1988" s="3" t="n">
        <v>1986</v>
      </c>
      <c r="C1988" s="3" t="n">
        <v>10</v>
      </c>
      <c r="D1988" s="3" t="n">
        <v>1</v>
      </c>
      <c r="E1988" s="3" t="n">
        <v>12</v>
      </c>
      <c r="F1988" s="24" t="n">
        <v>-0.142515212</v>
      </c>
    </row>
    <row r="1989" customFormat="false" ht="15" hidden="false" customHeight="false" outlineLevel="0" collapsed="false">
      <c r="A1989" s="3" t="n">
        <v>1988</v>
      </c>
      <c r="B1989" s="3" t="n">
        <v>1987</v>
      </c>
      <c r="C1989" s="3" t="n">
        <v>10</v>
      </c>
      <c r="D1989" s="3" t="n">
        <v>1</v>
      </c>
      <c r="E1989" s="3" t="n">
        <v>13</v>
      </c>
      <c r="F1989" s="24" t="n">
        <v>-0.265325665</v>
      </c>
    </row>
    <row r="1990" customFormat="false" ht="15" hidden="false" customHeight="false" outlineLevel="0" collapsed="false">
      <c r="A1990" s="3" t="n">
        <v>1989</v>
      </c>
      <c r="B1990" s="3" t="n">
        <v>1988</v>
      </c>
      <c r="C1990" s="3" t="n">
        <v>10</v>
      </c>
      <c r="D1990" s="3" t="n">
        <v>2</v>
      </c>
      <c r="E1990" s="3" t="n">
        <v>0</v>
      </c>
      <c r="F1990" s="24" t="n">
        <v>-0.45403555</v>
      </c>
    </row>
    <row r="1991" customFormat="false" ht="15" hidden="false" customHeight="false" outlineLevel="0" collapsed="false">
      <c r="A1991" s="3" t="n">
        <v>1990</v>
      </c>
      <c r="B1991" s="3" t="n">
        <v>1989</v>
      </c>
      <c r="C1991" s="3" t="n">
        <v>10</v>
      </c>
      <c r="D1991" s="3" t="n">
        <v>2</v>
      </c>
      <c r="E1991" s="3" t="n">
        <v>1</v>
      </c>
      <c r="F1991" s="24" t="n">
        <v>0.0873674154</v>
      </c>
    </row>
    <row r="1992" customFormat="false" ht="15" hidden="false" customHeight="false" outlineLevel="0" collapsed="false">
      <c r="A1992" s="3" t="n">
        <v>1991</v>
      </c>
      <c r="B1992" s="3" t="n">
        <v>1990</v>
      </c>
      <c r="C1992" s="3" t="n">
        <v>10</v>
      </c>
      <c r="D1992" s="3" t="n">
        <v>2</v>
      </c>
      <c r="E1992" s="3" t="n">
        <v>2</v>
      </c>
      <c r="F1992" s="24" t="n">
        <v>1.11496556</v>
      </c>
    </row>
    <row r="1993" customFormat="false" ht="15" hidden="false" customHeight="false" outlineLevel="0" collapsed="false">
      <c r="A1993" s="3" t="n">
        <v>1992</v>
      </c>
      <c r="B1993" s="3" t="n">
        <v>1991</v>
      </c>
      <c r="C1993" s="3" t="n">
        <v>10</v>
      </c>
      <c r="D1993" s="3" t="n">
        <v>2</v>
      </c>
      <c r="E1993" s="3" t="n">
        <v>3</v>
      </c>
      <c r="F1993" s="24" t="n">
        <v>-0.547558546</v>
      </c>
    </row>
    <row r="1994" customFormat="false" ht="15" hidden="false" customHeight="false" outlineLevel="0" collapsed="false">
      <c r="A1994" s="3" t="n">
        <v>1993</v>
      </c>
      <c r="B1994" s="3" t="n">
        <v>1992</v>
      </c>
      <c r="C1994" s="3" t="n">
        <v>10</v>
      </c>
      <c r="D1994" s="3" t="n">
        <v>2</v>
      </c>
      <c r="E1994" s="3" t="n">
        <v>4</v>
      </c>
      <c r="F1994" s="24" t="n">
        <v>-2.26150131</v>
      </c>
    </row>
    <row r="1995" customFormat="false" ht="15" hidden="false" customHeight="false" outlineLevel="0" collapsed="false">
      <c r="A1995" s="3" t="n">
        <v>1994</v>
      </c>
      <c r="B1995" s="3" t="n">
        <v>1993</v>
      </c>
      <c r="C1995" s="3" t="n">
        <v>10</v>
      </c>
      <c r="D1995" s="3" t="n">
        <v>2</v>
      </c>
      <c r="E1995" s="3" t="n">
        <v>5</v>
      </c>
      <c r="F1995" s="24" t="n">
        <v>-1.86405575</v>
      </c>
    </row>
    <row r="1996" customFormat="false" ht="15" hidden="false" customHeight="false" outlineLevel="0" collapsed="false">
      <c r="A1996" s="3" t="n">
        <v>1995</v>
      </c>
      <c r="B1996" s="3" t="n">
        <v>1994</v>
      </c>
      <c r="C1996" s="3" t="n">
        <v>10</v>
      </c>
      <c r="D1996" s="3" t="n">
        <v>2</v>
      </c>
      <c r="E1996" s="3" t="n">
        <v>6</v>
      </c>
      <c r="F1996" s="24" t="n">
        <v>-1.51746285</v>
      </c>
    </row>
    <row r="1997" customFormat="false" ht="15" hidden="false" customHeight="false" outlineLevel="0" collapsed="false">
      <c r="A1997" s="3" t="n">
        <v>1996</v>
      </c>
      <c r="B1997" s="3" t="n">
        <v>1995</v>
      </c>
      <c r="C1997" s="3" t="n">
        <v>10</v>
      </c>
      <c r="D1997" s="3" t="n">
        <v>2</v>
      </c>
      <c r="E1997" s="3" t="n">
        <v>7</v>
      </c>
      <c r="F1997" s="24" t="n">
        <v>-1.23721766</v>
      </c>
    </row>
    <row r="1998" customFormat="false" ht="15" hidden="false" customHeight="false" outlineLevel="0" collapsed="false">
      <c r="A1998" s="3" t="n">
        <v>1997</v>
      </c>
      <c r="B1998" s="3" t="n">
        <v>1996</v>
      </c>
      <c r="C1998" s="3" t="n">
        <v>10</v>
      </c>
      <c r="D1998" s="3" t="n">
        <v>2</v>
      </c>
      <c r="E1998" s="3" t="n">
        <v>8</v>
      </c>
      <c r="F1998" s="24" t="n">
        <v>-1.23523211</v>
      </c>
    </row>
    <row r="1999" customFormat="false" ht="15" hidden="false" customHeight="false" outlineLevel="0" collapsed="false">
      <c r="A1999" s="3" t="n">
        <v>1998</v>
      </c>
      <c r="B1999" s="3" t="n">
        <v>1997</v>
      </c>
      <c r="C1999" s="3" t="n">
        <v>10</v>
      </c>
      <c r="D1999" s="3" t="n">
        <v>2</v>
      </c>
      <c r="E1999" s="3" t="n">
        <v>9</v>
      </c>
      <c r="F1999" s="24" t="n">
        <v>-1.55359817</v>
      </c>
    </row>
    <row r="2000" customFormat="false" ht="15" hidden="false" customHeight="false" outlineLevel="0" collapsed="false">
      <c r="A2000" s="3" t="n">
        <v>1999</v>
      </c>
      <c r="B2000" s="3" t="n">
        <v>1998</v>
      </c>
      <c r="C2000" s="3" t="n">
        <v>10</v>
      </c>
      <c r="D2000" s="3" t="n">
        <v>2</v>
      </c>
      <c r="E2000" s="3" t="n">
        <v>10</v>
      </c>
      <c r="F2000" s="24" t="n">
        <v>-1.70207191</v>
      </c>
    </row>
    <row r="2001" customFormat="false" ht="15" hidden="false" customHeight="false" outlineLevel="0" collapsed="false">
      <c r="A2001" s="3" t="n">
        <v>2000</v>
      </c>
      <c r="B2001" s="3" t="n">
        <v>1999</v>
      </c>
      <c r="C2001" s="3" t="n">
        <v>10</v>
      </c>
      <c r="D2001" s="3" t="n">
        <v>2</v>
      </c>
      <c r="E2001" s="3" t="n">
        <v>11</v>
      </c>
      <c r="F2001" s="24" t="n">
        <v>-0.678206444</v>
      </c>
    </row>
    <row r="2002" customFormat="false" ht="15" hidden="false" customHeight="false" outlineLevel="0" collapsed="false">
      <c r="A2002" s="3" t="n">
        <v>2001</v>
      </c>
      <c r="B2002" s="3" t="n">
        <v>2000</v>
      </c>
      <c r="C2002" s="3" t="n">
        <v>10</v>
      </c>
      <c r="D2002" s="3" t="n">
        <v>2</v>
      </c>
      <c r="E2002" s="3" t="n">
        <v>12</v>
      </c>
      <c r="F2002" s="24" t="n">
        <v>-0.190131336</v>
      </c>
    </row>
    <row r="2003" customFormat="false" ht="15" hidden="false" customHeight="false" outlineLevel="0" collapsed="false">
      <c r="A2003" s="3" t="n">
        <v>2002</v>
      </c>
      <c r="B2003" s="3" t="n">
        <v>2001</v>
      </c>
      <c r="C2003" s="3" t="n">
        <v>10</v>
      </c>
      <c r="D2003" s="3" t="n">
        <v>2</v>
      </c>
      <c r="E2003" s="3" t="n">
        <v>13</v>
      </c>
      <c r="F2003" s="24" t="n">
        <v>-0.282810807</v>
      </c>
    </row>
    <row r="2004" customFormat="false" ht="15" hidden="false" customHeight="false" outlineLevel="0" collapsed="false">
      <c r="A2004" s="3" t="n">
        <v>2003</v>
      </c>
      <c r="B2004" s="3" t="n">
        <v>2002</v>
      </c>
      <c r="C2004" s="3" t="n">
        <v>10</v>
      </c>
      <c r="D2004" s="3" t="n">
        <v>3</v>
      </c>
      <c r="E2004" s="3" t="n">
        <v>0</v>
      </c>
      <c r="F2004" s="24" t="n">
        <v>-0.45403555</v>
      </c>
    </row>
    <row r="2005" customFormat="false" ht="15" hidden="false" customHeight="false" outlineLevel="0" collapsed="false">
      <c r="A2005" s="3" t="n">
        <v>2004</v>
      </c>
      <c r="B2005" s="3" t="n">
        <v>2003</v>
      </c>
      <c r="C2005" s="3" t="n">
        <v>10</v>
      </c>
      <c r="D2005" s="3" t="n">
        <v>3</v>
      </c>
      <c r="E2005" s="3" t="n">
        <v>1</v>
      </c>
      <c r="F2005" s="24" t="n">
        <v>0.0195585936</v>
      </c>
    </row>
    <row r="2006" customFormat="false" ht="15" hidden="false" customHeight="false" outlineLevel="0" collapsed="false">
      <c r="A2006" s="3" t="n">
        <v>2005</v>
      </c>
      <c r="B2006" s="3" t="n">
        <v>2004</v>
      </c>
      <c r="C2006" s="3" t="n">
        <v>10</v>
      </c>
      <c r="D2006" s="3" t="n">
        <v>3</v>
      </c>
      <c r="E2006" s="3" t="n">
        <v>2</v>
      </c>
      <c r="F2006" s="24" t="n">
        <v>0.413222462</v>
      </c>
    </row>
    <row r="2007" customFormat="false" ht="15" hidden="false" customHeight="false" outlineLevel="0" collapsed="false">
      <c r="A2007" s="3" t="n">
        <v>2006</v>
      </c>
      <c r="B2007" s="3" t="n">
        <v>2005</v>
      </c>
      <c r="C2007" s="3" t="n">
        <v>10</v>
      </c>
      <c r="D2007" s="3" t="n">
        <v>3</v>
      </c>
      <c r="E2007" s="3" t="n">
        <v>3</v>
      </c>
      <c r="F2007" s="24" t="n">
        <v>0.388718575</v>
      </c>
    </row>
    <row r="2008" customFormat="false" ht="15" hidden="false" customHeight="false" outlineLevel="0" collapsed="false">
      <c r="A2008" s="3" t="n">
        <v>2007</v>
      </c>
      <c r="B2008" s="3" t="n">
        <v>2006</v>
      </c>
      <c r="C2008" s="3" t="n">
        <v>10</v>
      </c>
      <c r="D2008" s="3" t="n">
        <v>3</v>
      </c>
      <c r="E2008" s="3" t="n">
        <v>4</v>
      </c>
      <c r="F2008" s="24" t="n">
        <v>0.765860438</v>
      </c>
    </row>
    <row r="2009" customFormat="false" ht="15" hidden="false" customHeight="false" outlineLevel="0" collapsed="false">
      <c r="A2009" s="3" t="n">
        <v>2008</v>
      </c>
      <c r="B2009" s="3" t="n">
        <v>2007</v>
      </c>
      <c r="C2009" s="3" t="n">
        <v>10</v>
      </c>
      <c r="D2009" s="3" t="n">
        <v>3</v>
      </c>
      <c r="E2009" s="3" t="n">
        <v>5</v>
      </c>
      <c r="F2009" s="24" t="n">
        <v>0.351318449</v>
      </c>
    </row>
    <row r="2010" customFormat="false" ht="15" hidden="false" customHeight="false" outlineLevel="0" collapsed="false">
      <c r="A2010" s="3" t="n">
        <v>2009</v>
      </c>
      <c r="B2010" s="3" t="n">
        <v>2008</v>
      </c>
      <c r="C2010" s="3" t="n">
        <v>10</v>
      </c>
      <c r="D2010" s="3" t="n">
        <v>3</v>
      </c>
      <c r="E2010" s="3" t="n">
        <v>6</v>
      </c>
      <c r="F2010" s="24" t="n">
        <v>0.135575116</v>
      </c>
    </row>
    <row r="2011" customFormat="false" ht="15" hidden="false" customHeight="false" outlineLevel="0" collapsed="false">
      <c r="A2011" s="3" t="n">
        <v>2010</v>
      </c>
      <c r="B2011" s="3" t="n">
        <v>2009</v>
      </c>
      <c r="C2011" s="3" t="n">
        <v>10</v>
      </c>
      <c r="D2011" s="3" t="n">
        <v>3</v>
      </c>
      <c r="E2011" s="3" t="n">
        <v>7</v>
      </c>
      <c r="F2011" s="24" t="n">
        <v>0.0462226421</v>
      </c>
    </row>
    <row r="2012" customFormat="false" ht="15" hidden="false" customHeight="false" outlineLevel="0" collapsed="false">
      <c r="A2012" s="3" t="n">
        <v>2011</v>
      </c>
      <c r="B2012" s="3" t="n">
        <v>2010</v>
      </c>
      <c r="C2012" s="3" t="n">
        <v>10</v>
      </c>
      <c r="D2012" s="3" t="n">
        <v>3</v>
      </c>
      <c r="E2012" s="3" t="n">
        <v>8</v>
      </c>
      <c r="F2012" s="24" t="n">
        <v>0.0820739418</v>
      </c>
    </row>
    <row r="2013" customFormat="false" ht="15" hidden="false" customHeight="false" outlineLevel="0" collapsed="false">
      <c r="A2013" s="3" t="n">
        <v>2012</v>
      </c>
      <c r="B2013" s="3" t="n">
        <v>2011</v>
      </c>
      <c r="C2013" s="3" t="n">
        <v>10</v>
      </c>
      <c r="D2013" s="3" t="n">
        <v>3</v>
      </c>
      <c r="E2013" s="3" t="n">
        <v>9</v>
      </c>
      <c r="F2013" s="24" t="n">
        <v>-0.240075916</v>
      </c>
    </row>
    <row r="2014" customFormat="false" ht="15" hidden="false" customHeight="false" outlineLevel="0" collapsed="false">
      <c r="A2014" s="3" t="n">
        <v>2013</v>
      </c>
      <c r="B2014" s="3" t="n">
        <v>2012</v>
      </c>
      <c r="C2014" s="3" t="n">
        <v>10</v>
      </c>
      <c r="D2014" s="3" t="n">
        <v>3</v>
      </c>
      <c r="E2014" s="3" t="n">
        <v>10</v>
      </c>
      <c r="F2014" s="24" t="n">
        <v>-2.55473113</v>
      </c>
    </row>
    <row r="2015" customFormat="false" ht="15" hidden="false" customHeight="false" outlineLevel="0" collapsed="false">
      <c r="A2015" s="3" t="n">
        <v>2014</v>
      </c>
      <c r="B2015" s="3" t="n">
        <v>2013</v>
      </c>
      <c r="C2015" s="3" t="n">
        <v>10</v>
      </c>
      <c r="D2015" s="3" t="n">
        <v>3</v>
      </c>
      <c r="E2015" s="3" t="n">
        <v>11</v>
      </c>
      <c r="F2015" s="24" t="n">
        <v>-1.69766426</v>
      </c>
    </row>
    <row r="2016" customFormat="false" ht="15" hidden="false" customHeight="false" outlineLevel="0" collapsed="false">
      <c r="A2016" s="3" t="n">
        <v>2015</v>
      </c>
      <c r="B2016" s="3" t="n">
        <v>2014</v>
      </c>
      <c r="C2016" s="3" t="n">
        <v>10</v>
      </c>
      <c r="D2016" s="3" t="n">
        <v>3</v>
      </c>
      <c r="E2016" s="3" t="n">
        <v>12</v>
      </c>
      <c r="F2016" s="24" t="n">
        <v>-0.211233258</v>
      </c>
    </row>
    <row r="2017" customFormat="false" ht="15" hidden="false" customHeight="false" outlineLevel="0" collapsed="false">
      <c r="A2017" s="3" t="n">
        <v>2016</v>
      </c>
      <c r="B2017" s="3" t="n">
        <v>2015</v>
      </c>
      <c r="C2017" s="3" t="n">
        <v>10</v>
      </c>
      <c r="D2017" s="3" t="n">
        <v>3</v>
      </c>
      <c r="E2017" s="3" t="n">
        <v>13</v>
      </c>
      <c r="F2017" s="24" t="n">
        <v>-0.282810807</v>
      </c>
    </row>
    <row r="2018" customFormat="false" ht="15" hidden="false" customHeight="false" outlineLevel="0" collapsed="false">
      <c r="A2018" s="3" t="n">
        <v>2017</v>
      </c>
      <c r="B2018" s="3" t="n">
        <v>2016</v>
      </c>
      <c r="C2018" s="3" t="n">
        <v>10</v>
      </c>
      <c r="D2018" s="3" t="n">
        <v>4</v>
      </c>
      <c r="E2018" s="3" t="n">
        <v>0</v>
      </c>
      <c r="F2018" s="24" t="n">
        <v>-0.45403555</v>
      </c>
    </row>
    <row r="2019" customFormat="false" ht="15" hidden="false" customHeight="false" outlineLevel="0" collapsed="false">
      <c r="A2019" s="3" t="n">
        <v>2018</v>
      </c>
      <c r="B2019" s="3" t="n">
        <v>2017</v>
      </c>
      <c r="C2019" s="3" t="n">
        <v>10</v>
      </c>
      <c r="D2019" s="3" t="n">
        <v>4</v>
      </c>
      <c r="E2019" s="3" t="n">
        <v>1</v>
      </c>
      <c r="F2019" s="24" t="n">
        <v>-0.186403811</v>
      </c>
    </row>
    <row r="2020" customFormat="false" ht="15" hidden="false" customHeight="false" outlineLevel="0" collapsed="false">
      <c r="A2020" s="3" t="n">
        <v>2019</v>
      </c>
      <c r="B2020" s="3" t="n">
        <v>2018</v>
      </c>
      <c r="C2020" s="3" t="n">
        <v>10</v>
      </c>
      <c r="D2020" s="3" t="n">
        <v>4</v>
      </c>
      <c r="E2020" s="3" t="n">
        <v>2</v>
      </c>
      <c r="F2020" s="24" t="n">
        <v>0.715162039</v>
      </c>
    </row>
    <row r="2021" customFormat="false" ht="15" hidden="false" customHeight="false" outlineLevel="0" collapsed="false">
      <c r="A2021" s="3" t="n">
        <v>2020</v>
      </c>
      <c r="B2021" s="3" t="n">
        <v>2019</v>
      </c>
      <c r="C2021" s="3" t="n">
        <v>10</v>
      </c>
      <c r="D2021" s="3" t="n">
        <v>4</v>
      </c>
      <c r="E2021" s="3" t="n">
        <v>3</v>
      </c>
      <c r="F2021" s="24" t="n">
        <v>0.531069756</v>
      </c>
    </row>
    <row r="2022" customFormat="false" ht="15" hidden="false" customHeight="false" outlineLevel="0" collapsed="false">
      <c r="A2022" s="3" t="n">
        <v>2021</v>
      </c>
      <c r="B2022" s="3" t="n">
        <v>2020</v>
      </c>
      <c r="C2022" s="3" t="n">
        <v>10</v>
      </c>
      <c r="D2022" s="3" t="n">
        <v>4</v>
      </c>
      <c r="E2022" s="3" t="n">
        <v>4</v>
      </c>
      <c r="F2022" s="24" t="n">
        <v>-2.80694818</v>
      </c>
    </row>
    <row r="2023" customFormat="false" ht="15" hidden="false" customHeight="false" outlineLevel="0" collapsed="false">
      <c r="A2023" s="3" t="n">
        <v>2022</v>
      </c>
      <c r="B2023" s="3" t="n">
        <v>2021</v>
      </c>
      <c r="C2023" s="3" t="n">
        <v>10</v>
      </c>
      <c r="D2023" s="3" t="n">
        <v>4</v>
      </c>
      <c r="E2023" s="3" t="n">
        <v>5</v>
      </c>
      <c r="F2023" s="24" t="n">
        <v>-4.33259583</v>
      </c>
    </row>
    <row r="2024" customFormat="false" ht="15" hidden="false" customHeight="false" outlineLevel="0" collapsed="false">
      <c r="A2024" s="3" t="n">
        <v>2023</v>
      </c>
      <c r="B2024" s="3" t="n">
        <v>2022</v>
      </c>
      <c r="C2024" s="3" t="n">
        <v>10</v>
      </c>
      <c r="D2024" s="3" t="n">
        <v>4</v>
      </c>
      <c r="E2024" s="3" t="n">
        <v>6</v>
      </c>
      <c r="F2024" s="24" t="n">
        <v>-3.76156473</v>
      </c>
    </row>
    <row r="2025" customFormat="false" ht="15" hidden="false" customHeight="false" outlineLevel="0" collapsed="false">
      <c r="A2025" s="3" t="n">
        <v>2024</v>
      </c>
      <c r="B2025" s="3" t="n">
        <v>2023</v>
      </c>
      <c r="C2025" s="3" t="n">
        <v>10</v>
      </c>
      <c r="D2025" s="3" t="n">
        <v>4</v>
      </c>
      <c r="E2025" s="3" t="n">
        <v>7</v>
      </c>
      <c r="F2025" s="24" t="n">
        <v>-1.8463074</v>
      </c>
    </row>
    <row r="2026" customFormat="false" ht="15" hidden="false" customHeight="false" outlineLevel="0" collapsed="false">
      <c r="A2026" s="3" t="n">
        <v>2025</v>
      </c>
      <c r="B2026" s="3" t="n">
        <v>2024</v>
      </c>
      <c r="C2026" s="3" t="n">
        <v>10</v>
      </c>
      <c r="D2026" s="3" t="n">
        <v>4</v>
      </c>
      <c r="E2026" s="3" t="n">
        <v>8</v>
      </c>
      <c r="F2026" s="24" t="n">
        <v>-1.13146353</v>
      </c>
    </row>
    <row r="2027" customFormat="false" ht="15" hidden="false" customHeight="false" outlineLevel="0" collapsed="false">
      <c r="A2027" s="3" t="n">
        <v>2026</v>
      </c>
      <c r="B2027" s="3" t="n">
        <v>2025</v>
      </c>
      <c r="C2027" s="3" t="n">
        <v>10</v>
      </c>
      <c r="D2027" s="3" t="n">
        <v>4</v>
      </c>
      <c r="E2027" s="3" t="n">
        <v>9</v>
      </c>
      <c r="F2027" s="24" t="n">
        <v>-0.670691609</v>
      </c>
    </row>
    <row r="2028" customFormat="false" ht="15" hidden="false" customHeight="false" outlineLevel="0" collapsed="false">
      <c r="A2028" s="3" t="n">
        <v>2027</v>
      </c>
      <c r="B2028" s="3" t="n">
        <v>2026</v>
      </c>
      <c r="C2028" s="3" t="n">
        <v>10</v>
      </c>
      <c r="D2028" s="3" t="n">
        <v>4</v>
      </c>
      <c r="E2028" s="3" t="n">
        <v>10</v>
      </c>
      <c r="F2028" s="24" t="n">
        <v>-4.17436886</v>
      </c>
    </row>
    <row r="2029" customFormat="false" ht="15" hidden="false" customHeight="false" outlineLevel="0" collapsed="false">
      <c r="A2029" s="3" t="n">
        <v>2028</v>
      </c>
      <c r="B2029" s="3" t="n">
        <v>2027</v>
      </c>
      <c r="C2029" s="3" t="n">
        <v>10</v>
      </c>
      <c r="D2029" s="3" t="n">
        <v>4</v>
      </c>
      <c r="E2029" s="3" t="n">
        <v>11</v>
      </c>
      <c r="F2029" s="24" t="n">
        <v>-3.18689823</v>
      </c>
    </row>
    <row r="2030" customFormat="false" ht="15" hidden="false" customHeight="false" outlineLevel="0" collapsed="false">
      <c r="A2030" s="3" t="n">
        <v>2029</v>
      </c>
      <c r="B2030" s="3" t="n">
        <v>2028</v>
      </c>
      <c r="C2030" s="3" t="n">
        <v>10</v>
      </c>
      <c r="D2030" s="3" t="n">
        <v>4</v>
      </c>
      <c r="E2030" s="3" t="n">
        <v>12</v>
      </c>
      <c r="F2030" s="24" t="n">
        <v>-0.522962451</v>
      </c>
    </row>
    <row r="2031" customFormat="false" ht="15" hidden="false" customHeight="false" outlineLevel="0" collapsed="false">
      <c r="A2031" s="3" t="n">
        <v>2030</v>
      </c>
      <c r="B2031" s="3" t="n">
        <v>2029</v>
      </c>
      <c r="C2031" s="3" t="n">
        <v>10</v>
      </c>
      <c r="D2031" s="3" t="n">
        <v>4</v>
      </c>
      <c r="E2031" s="3" t="n">
        <v>13</v>
      </c>
      <c r="F2031" s="24" t="n">
        <v>-0.282810807</v>
      </c>
    </row>
    <row r="2032" customFormat="false" ht="15" hidden="false" customHeight="false" outlineLevel="0" collapsed="false">
      <c r="A2032" s="3" t="n">
        <v>2031</v>
      </c>
      <c r="B2032" s="3" t="n">
        <v>2030</v>
      </c>
      <c r="C2032" s="3" t="n">
        <v>10</v>
      </c>
      <c r="D2032" s="3" t="n">
        <v>5</v>
      </c>
      <c r="E2032" s="3" t="n">
        <v>0</v>
      </c>
      <c r="F2032" s="24" t="n">
        <v>-0.45403555</v>
      </c>
    </row>
    <row r="2033" customFormat="false" ht="15" hidden="false" customHeight="false" outlineLevel="0" collapsed="false">
      <c r="A2033" s="3" t="n">
        <v>2032</v>
      </c>
      <c r="B2033" s="3" t="n">
        <v>2031</v>
      </c>
      <c r="C2033" s="3" t="n">
        <v>10</v>
      </c>
      <c r="D2033" s="3" t="n">
        <v>5</v>
      </c>
      <c r="E2033" s="3" t="n">
        <v>1</v>
      </c>
      <c r="F2033" s="24" t="n">
        <v>-0.0788578093</v>
      </c>
    </row>
    <row r="2034" customFormat="false" ht="15" hidden="false" customHeight="false" outlineLevel="0" collapsed="false">
      <c r="A2034" s="3" t="n">
        <v>2033</v>
      </c>
      <c r="B2034" s="3" t="n">
        <v>2032</v>
      </c>
      <c r="C2034" s="3" t="n">
        <v>10</v>
      </c>
      <c r="D2034" s="3" t="n">
        <v>5</v>
      </c>
      <c r="E2034" s="3" t="n">
        <v>2</v>
      </c>
      <c r="F2034" s="24" t="n">
        <v>0.801254869</v>
      </c>
    </row>
    <row r="2035" customFormat="false" ht="15" hidden="false" customHeight="false" outlineLevel="0" collapsed="false">
      <c r="A2035" s="3" t="n">
        <v>2034</v>
      </c>
      <c r="B2035" s="3" t="n">
        <v>2033</v>
      </c>
      <c r="C2035" s="3" t="n">
        <v>10</v>
      </c>
      <c r="D2035" s="3" t="n">
        <v>5</v>
      </c>
      <c r="E2035" s="3" t="n">
        <v>3</v>
      </c>
      <c r="F2035" s="24" t="n">
        <v>-0.382920265</v>
      </c>
    </row>
    <row r="2036" customFormat="false" ht="15" hidden="false" customHeight="false" outlineLevel="0" collapsed="false">
      <c r="A2036" s="3" t="n">
        <v>2035</v>
      </c>
      <c r="B2036" s="3" t="n">
        <v>2034</v>
      </c>
      <c r="C2036" s="3" t="n">
        <v>10</v>
      </c>
      <c r="D2036" s="3" t="n">
        <v>5</v>
      </c>
      <c r="E2036" s="3" t="n">
        <v>4</v>
      </c>
      <c r="F2036" s="24" t="n">
        <v>-0.635842562</v>
      </c>
    </row>
    <row r="2037" customFormat="false" ht="15" hidden="false" customHeight="false" outlineLevel="0" collapsed="false">
      <c r="A2037" s="3" t="n">
        <v>2036</v>
      </c>
      <c r="B2037" s="3" t="n">
        <v>2035</v>
      </c>
      <c r="C2037" s="3" t="n">
        <v>10</v>
      </c>
      <c r="D2037" s="3" t="n">
        <v>5</v>
      </c>
      <c r="E2037" s="3" t="n">
        <v>5</v>
      </c>
      <c r="F2037" s="24" t="n">
        <v>-1.64648604</v>
      </c>
    </row>
    <row r="2038" customFormat="false" ht="15" hidden="false" customHeight="false" outlineLevel="0" collapsed="false">
      <c r="A2038" s="3" t="n">
        <v>2037</v>
      </c>
      <c r="B2038" s="3" t="n">
        <v>2036</v>
      </c>
      <c r="C2038" s="3" t="n">
        <v>10</v>
      </c>
      <c r="D2038" s="3" t="n">
        <v>5</v>
      </c>
      <c r="E2038" s="3" t="n">
        <v>6</v>
      </c>
      <c r="F2038" s="24" t="n">
        <v>-3.77370071</v>
      </c>
    </row>
    <row r="2039" customFormat="false" ht="15" hidden="false" customHeight="false" outlineLevel="0" collapsed="false">
      <c r="A2039" s="3" t="n">
        <v>2038</v>
      </c>
      <c r="B2039" s="3" t="n">
        <v>2037</v>
      </c>
      <c r="C2039" s="3" t="n">
        <v>10</v>
      </c>
      <c r="D2039" s="3" t="n">
        <v>5</v>
      </c>
      <c r="E2039" s="3" t="n">
        <v>7</v>
      </c>
      <c r="F2039" s="24" t="n">
        <v>-3.50279284</v>
      </c>
    </row>
    <row r="2040" customFormat="false" ht="15" hidden="false" customHeight="false" outlineLevel="0" collapsed="false">
      <c r="A2040" s="3" t="n">
        <v>2039</v>
      </c>
      <c r="B2040" s="3" t="n">
        <v>2038</v>
      </c>
      <c r="C2040" s="3" t="n">
        <v>10</v>
      </c>
      <c r="D2040" s="3" t="n">
        <v>5</v>
      </c>
      <c r="E2040" s="3" t="n">
        <v>8</v>
      </c>
      <c r="F2040" s="24" t="n">
        <v>-3.27766466</v>
      </c>
    </row>
    <row r="2041" customFormat="false" ht="15" hidden="false" customHeight="false" outlineLevel="0" collapsed="false">
      <c r="A2041" s="3" t="n">
        <v>2040</v>
      </c>
      <c r="B2041" s="3" t="n">
        <v>2039</v>
      </c>
      <c r="C2041" s="3" t="n">
        <v>10</v>
      </c>
      <c r="D2041" s="3" t="n">
        <v>5</v>
      </c>
      <c r="E2041" s="3" t="n">
        <v>9</v>
      </c>
      <c r="F2041" s="24" t="n">
        <v>-3.29762864</v>
      </c>
    </row>
    <row r="2042" customFormat="false" ht="15" hidden="false" customHeight="false" outlineLevel="0" collapsed="false">
      <c r="A2042" s="3" t="n">
        <v>2041</v>
      </c>
      <c r="B2042" s="3" t="n">
        <v>2040</v>
      </c>
      <c r="C2042" s="3" t="n">
        <v>10</v>
      </c>
      <c r="D2042" s="3" t="n">
        <v>5</v>
      </c>
      <c r="E2042" s="3" t="n">
        <v>10</v>
      </c>
      <c r="F2042" s="24" t="n">
        <v>-4.30516672</v>
      </c>
    </row>
    <row r="2043" customFormat="false" ht="15" hidden="false" customHeight="false" outlineLevel="0" collapsed="false">
      <c r="A2043" s="3" t="n">
        <v>2042</v>
      </c>
      <c r="B2043" s="3" t="n">
        <v>2041</v>
      </c>
      <c r="C2043" s="3" t="n">
        <v>10</v>
      </c>
      <c r="D2043" s="3" t="n">
        <v>5</v>
      </c>
      <c r="E2043" s="3" t="n">
        <v>11</v>
      </c>
      <c r="F2043" s="24" t="n">
        <v>-5.30614471</v>
      </c>
    </row>
    <row r="2044" customFormat="false" ht="15" hidden="false" customHeight="false" outlineLevel="0" collapsed="false">
      <c r="A2044" s="3" t="n">
        <v>2043</v>
      </c>
      <c r="B2044" s="3" t="n">
        <v>2042</v>
      </c>
      <c r="C2044" s="3" t="n">
        <v>10</v>
      </c>
      <c r="D2044" s="3" t="n">
        <v>5</v>
      </c>
      <c r="E2044" s="3" t="n">
        <v>12</v>
      </c>
      <c r="F2044" s="24" t="n">
        <v>-1.25318432</v>
      </c>
    </row>
    <row r="2045" customFormat="false" ht="15" hidden="false" customHeight="false" outlineLevel="0" collapsed="false">
      <c r="A2045" s="3" t="n">
        <v>2044</v>
      </c>
      <c r="B2045" s="3" t="n">
        <v>2043</v>
      </c>
      <c r="C2045" s="3" t="n">
        <v>10</v>
      </c>
      <c r="D2045" s="3" t="n">
        <v>5</v>
      </c>
      <c r="E2045" s="3" t="n">
        <v>13</v>
      </c>
      <c r="F2045" s="24" t="n">
        <v>-0.282810807</v>
      </c>
    </row>
    <row r="2046" customFormat="false" ht="15" hidden="false" customHeight="false" outlineLevel="0" collapsed="false">
      <c r="A2046" s="3" t="n">
        <v>2045</v>
      </c>
      <c r="B2046" s="3" t="n">
        <v>2044</v>
      </c>
      <c r="C2046" s="3" t="n">
        <v>10</v>
      </c>
      <c r="D2046" s="3" t="n">
        <v>6</v>
      </c>
      <c r="E2046" s="3" t="n">
        <v>0</v>
      </c>
      <c r="F2046" s="24" t="n">
        <v>-0.45403555</v>
      </c>
    </row>
    <row r="2047" customFormat="false" ht="15" hidden="false" customHeight="false" outlineLevel="0" collapsed="false">
      <c r="A2047" s="3" t="n">
        <v>2046</v>
      </c>
      <c r="B2047" s="3" t="n">
        <v>2045</v>
      </c>
      <c r="C2047" s="3" t="n">
        <v>10</v>
      </c>
      <c r="D2047" s="3" t="n">
        <v>6</v>
      </c>
      <c r="E2047" s="3" t="n">
        <v>1</v>
      </c>
      <c r="F2047" s="24" t="n">
        <v>-0.516916394</v>
      </c>
    </row>
    <row r="2048" customFormat="false" ht="15" hidden="false" customHeight="false" outlineLevel="0" collapsed="false">
      <c r="A2048" s="3" t="n">
        <v>2047</v>
      </c>
      <c r="B2048" s="3" t="n">
        <v>2046</v>
      </c>
      <c r="C2048" s="3" t="n">
        <v>10</v>
      </c>
      <c r="D2048" s="3" t="n">
        <v>6</v>
      </c>
      <c r="E2048" s="3" t="n">
        <v>2</v>
      </c>
      <c r="F2048" s="24" t="n">
        <v>-0.18887715</v>
      </c>
    </row>
    <row r="2049" customFormat="false" ht="15" hidden="false" customHeight="false" outlineLevel="0" collapsed="false">
      <c r="A2049" s="3" t="n">
        <v>2048</v>
      </c>
      <c r="B2049" s="3" t="n">
        <v>2047</v>
      </c>
      <c r="C2049" s="3" t="n">
        <v>10</v>
      </c>
      <c r="D2049" s="3" t="n">
        <v>6</v>
      </c>
      <c r="E2049" s="3" t="n">
        <v>3</v>
      </c>
      <c r="F2049" s="24" t="n">
        <v>-0.194813341</v>
      </c>
    </row>
    <row r="2050" customFormat="false" ht="15" hidden="false" customHeight="false" outlineLevel="0" collapsed="false">
      <c r="A2050" s="3" t="n">
        <v>2049</v>
      </c>
      <c r="B2050" s="3" t="n">
        <v>2048</v>
      </c>
      <c r="C2050" s="3" t="n">
        <v>10</v>
      </c>
      <c r="D2050" s="3" t="n">
        <v>6</v>
      </c>
      <c r="E2050" s="3" t="n">
        <v>4</v>
      </c>
      <c r="F2050" s="24" t="n">
        <v>0.0570994318</v>
      </c>
    </row>
    <row r="2051" customFormat="false" ht="15" hidden="false" customHeight="false" outlineLevel="0" collapsed="false">
      <c r="A2051" s="3" t="n">
        <v>2050</v>
      </c>
      <c r="B2051" s="3" t="n">
        <v>2049</v>
      </c>
      <c r="C2051" s="3" t="n">
        <v>10</v>
      </c>
      <c r="D2051" s="3" t="n">
        <v>6</v>
      </c>
      <c r="E2051" s="3" t="n">
        <v>5</v>
      </c>
      <c r="F2051" s="24" t="n">
        <v>0.197589457</v>
      </c>
    </row>
    <row r="2052" customFormat="false" ht="15" hidden="false" customHeight="false" outlineLevel="0" collapsed="false">
      <c r="A2052" s="3" t="n">
        <v>2051</v>
      </c>
      <c r="B2052" s="3" t="n">
        <v>2050</v>
      </c>
      <c r="C2052" s="3" t="n">
        <v>10</v>
      </c>
      <c r="D2052" s="3" t="n">
        <v>6</v>
      </c>
      <c r="E2052" s="3" t="n">
        <v>6</v>
      </c>
      <c r="F2052" s="24" t="n">
        <v>0.79904139</v>
      </c>
    </row>
    <row r="2053" customFormat="false" ht="15" hidden="false" customHeight="false" outlineLevel="0" collapsed="false">
      <c r="A2053" s="3" t="n">
        <v>2052</v>
      </c>
      <c r="B2053" s="3" t="n">
        <v>2051</v>
      </c>
      <c r="C2053" s="3" t="n">
        <v>10</v>
      </c>
      <c r="D2053" s="3" t="n">
        <v>6</v>
      </c>
      <c r="E2053" s="3" t="n">
        <v>7</v>
      </c>
      <c r="F2053" s="24" t="n">
        <v>1.66993642</v>
      </c>
    </row>
    <row r="2054" customFormat="false" ht="15" hidden="false" customHeight="false" outlineLevel="0" collapsed="false">
      <c r="A2054" s="3" t="n">
        <v>2053</v>
      </c>
      <c r="B2054" s="3" t="n">
        <v>2052</v>
      </c>
      <c r="C2054" s="3" t="n">
        <v>10</v>
      </c>
      <c r="D2054" s="3" t="n">
        <v>6</v>
      </c>
      <c r="E2054" s="3" t="n">
        <v>8</v>
      </c>
      <c r="F2054" s="24" t="n">
        <v>1.89678872</v>
      </c>
    </row>
    <row r="2055" customFormat="false" ht="15" hidden="false" customHeight="false" outlineLevel="0" collapsed="false">
      <c r="A2055" s="3" t="n">
        <v>2054</v>
      </c>
      <c r="B2055" s="3" t="n">
        <v>2053</v>
      </c>
      <c r="C2055" s="3" t="n">
        <v>10</v>
      </c>
      <c r="D2055" s="3" t="n">
        <v>6</v>
      </c>
      <c r="E2055" s="3" t="n">
        <v>9</v>
      </c>
      <c r="F2055" s="24" t="n">
        <v>2.38595033</v>
      </c>
    </row>
    <row r="2056" customFormat="false" ht="15" hidden="false" customHeight="false" outlineLevel="0" collapsed="false">
      <c r="A2056" s="3" t="n">
        <v>2055</v>
      </c>
      <c r="B2056" s="3" t="n">
        <v>2054</v>
      </c>
      <c r="C2056" s="3" t="n">
        <v>10</v>
      </c>
      <c r="D2056" s="3" t="n">
        <v>6</v>
      </c>
      <c r="E2056" s="3" t="n">
        <v>10</v>
      </c>
      <c r="F2056" s="24" t="n">
        <v>-0.945356488</v>
      </c>
    </row>
    <row r="2057" customFormat="false" ht="15" hidden="false" customHeight="false" outlineLevel="0" collapsed="false">
      <c r="A2057" s="3" t="n">
        <v>2056</v>
      </c>
      <c r="B2057" s="3" t="n">
        <v>2055</v>
      </c>
      <c r="C2057" s="3" t="n">
        <v>10</v>
      </c>
      <c r="D2057" s="3" t="n">
        <v>6</v>
      </c>
      <c r="E2057" s="3" t="n">
        <v>11</v>
      </c>
      <c r="F2057" s="24" t="n">
        <v>-2.817137</v>
      </c>
    </row>
    <row r="2058" customFormat="false" ht="15" hidden="false" customHeight="false" outlineLevel="0" collapsed="false">
      <c r="A2058" s="3" t="n">
        <v>2057</v>
      </c>
      <c r="B2058" s="3" t="n">
        <v>2056</v>
      </c>
      <c r="C2058" s="3" t="n">
        <v>10</v>
      </c>
      <c r="D2058" s="3" t="n">
        <v>6</v>
      </c>
      <c r="E2058" s="3" t="n">
        <v>12</v>
      </c>
      <c r="F2058" s="24" t="n">
        <v>-0.45044902</v>
      </c>
    </row>
    <row r="2059" customFormat="false" ht="15" hidden="false" customHeight="false" outlineLevel="0" collapsed="false">
      <c r="A2059" s="3" t="n">
        <v>2058</v>
      </c>
      <c r="B2059" s="3" t="n">
        <v>2057</v>
      </c>
      <c r="C2059" s="3" t="n">
        <v>10</v>
      </c>
      <c r="D2059" s="3" t="n">
        <v>6</v>
      </c>
      <c r="E2059" s="3" t="n">
        <v>13</v>
      </c>
      <c r="F2059" s="24" t="n">
        <v>-0.282810807</v>
      </c>
    </row>
    <row r="2060" customFormat="false" ht="15" hidden="false" customHeight="false" outlineLevel="0" collapsed="false">
      <c r="A2060" s="3" t="n">
        <v>2059</v>
      </c>
      <c r="B2060" s="3" t="n">
        <v>2058</v>
      </c>
      <c r="C2060" s="3" t="n">
        <v>10</v>
      </c>
      <c r="D2060" s="3" t="n">
        <v>7</v>
      </c>
      <c r="E2060" s="3" t="n">
        <v>0</v>
      </c>
      <c r="F2060" s="24" t="n">
        <v>-0.45403555</v>
      </c>
    </row>
    <row r="2061" customFormat="false" ht="15" hidden="false" customHeight="false" outlineLevel="0" collapsed="false">
      <c r="A2061" s="3" t="n">
        <v>2060</v>
      </c>
      <c r="B2061" s="3" t="n">
        <v>2059</v>
      </c>
      <c r="C2061" s="3" t="n">
        <v>10</v>
      </c>
      <c r="D2061" s="3" t="n">
        <v>7</v>
      </c>
      <c r="E2061" s="3" t="n">
        <v>1</v>
      </c>
      <c r="F2061" s="24" t="n">
        <v>-0.601964712</v>
      </c>
    </row>
    <row r="2062" customFormat="false" ht="15" hidden="false" customHeight="false" outlineLevel="0" collapsed="false">
      <c r="A2062" s="3" t="n">
        <v>2061</v>
      </c>
      <c r="B2062" s="3" t="n">
        <v>2060</v>
      </c>
      <c r="C2062" s="3" t="n">
        <v>10</v>
      </c>
      <c r="D2062" s="3" t="n">
        <v>7</v>
      </c>
      <c r="E2062" s="3" t="n">
        <v>2</v>
      </c>
      <c r="F2062" s="24" t="n">
        <v>-0.415381342</v>
      </c>
    </row>
    <row r="2063" customFormat="false" ht="15" hidden="false" customHeight="false" outlineLevel="0" collapsed="false">
      <c r="A2063" s="3" t="n">
        <v>2062</v>
      </c>
      <c r="B2063" s="3" t="n">
        <v>2061</v>
      </c>
      <c r="C2063" s="3" t="n">
        <v>10</v>
      </c>
      <c r="D2063" s="3" t="n">
        <v>7</v>
      </c>
      <c r="E2063" s="3" t="n">
        <v>3</v>
      </c>
      <c r="F2063" s="24" t="n">
        <v>-0.415381342</v>
      </c>
    </row>
    <row r="2064" customFormat="false" ht="15" hidden="false" customHeight="false" outlineLevel="0" collapsed="false">
      <c r="A2064" s="3" t="n">
        <v>2063</v>
      </c>
      <c r="B2064" s="3" t="n">
        <v>2062</v>
      </c>
      <c r="C2064" s="3" t="n">
        <v>10</v>
      </c>
      <c r="D2064" s="3" t="n">
        <v>7</v>
      </c>
      <c r="E2064" s="3" t="n">
        <v>4</v>
      </c>
      <c r="F2064" s="24" t="n">
        <v>-0.415381342</v>
      </c>
    </row>
    <row r="2065" customFormat="false" ht="15" hidden="false" customHeight="false" outlineLevel="0" collapsed="false">
      <c r="A2065" s="3" t="n">
        <v>2064</v>
      </c>
      <c r="B2065" s="3" t="n">
        <v>2063</v>
      </c>
      <c r="C2065" s="3" t="n">
        <v>10</v>
      </c>
      <c r="D2065" s="3" t="n">
        <v>7</v>
      </c>
      <c r="E2065" s="3" t="n">
        <v>5</v>
      </c>
      <c r="F2065" s="24" t="n">
        <v>-0.307267427</v>
      </c>
    </row>
    <row r="2066" customFormat="false" ht="15" hidden="false" customHeight="false" outlineLevel="0" collapsed="false">
      <c r="A2066" s="3" t="n">
        <v>2065</v>
      </c>
      <c r="B2066" s="3" t="n">
        <v>2064</v>
      </c>
      <c r="C2066" s="3" t="n">
        <v>10</v>
      </c>
      <c r="D2066" s="3" t="n">
        <v>7</v>
      </c>
      <c r="E2066" s="3" t="n">
        <v>6</v>
      </c>
      <c r="F2066" s="24" t="n">
        <v>0.58955431</v>
      </c>
    </row>
    <row r="2067" customFormat="false" ht="15" hidden="false" customHeight="false" outlineLevel="0" collapsed="false">
      <c r="A2067" s="3" t="n">
        <v>2066</v>
      </c>
      <c r="B2067" s="3" t="n">
        <v>2065</v>
      </c>
      <c r="C2067" s="3" t="n">
        <v>10</v>
      </c>
      <c r="D2067" s="3" t="n">
        <v>7</v>
      </c>
      <c r="E2067" s="3" t="n">
        <v>7</v>
      </c>
      <c r="F2067" s="24" t="n">
        <v>1.48067689</v>
      </c>
    </row>
    <row r="2068" customFormat="false" ht="15" hidden="false" customHeight="false" outlineLevel="0" collapsed="false">
      <c r="A2068" s="3" t="n">
        <v>2067</v>
      </c>
      <c r="B2068" s="3" t="n">
        <v>2066</v>
      </c>
      <c r="C2068" s="3" t="n">
        <v>10</v>
      </c>
      <c r="D2068" s="3" t="n">
        <v>7</v>
      </c>
      <c r="E2068" s="3" t="n">
        <v>8</v>
      </c>
      <c r="F2068" s="24" t="n">
        <v>3.07072926</v>
      </c>
    </row>
    <row r="2069" customFormat="false" ht="15" hidden="false" customHeight="false" outlineLevel="0" collapsed="false">
      <c r="A2069" s="3" t="n">
        <v>2068</v>
      </c>
      <c r="B2069" s="3" t="n">
        <v>2067</v>
      </c>
      <c r="C2069" s="3" t="n">
        <v>10</v>
      </c>
      <c r="D2069" s="3" t="n">
        <v>7</v>
      </c>
      <c r="E2069" s="3" t="n">
        <v>9</v>
      </c>
      <c r="F2069" s="24" t="n">
        <v>-0.730325937</v>
      </c>
    </row>
    <row r="2070" customFormat="false" ht="15" hidden="false" customHeight="false" outlineLevel="0" collapsed="false">
      <c r="A2070" s="3" t="n">
        <v>2069</v>
      </c>
      <c r="B2070" s="3" t="n">
        <v>2068</v>
      </c>
      <c r="C2070" s="3" t="n">
        <v>10</v>
      </c>
      <c r="D2070" s="3" t="n">
        <v>7</v>
      </c>
      <c r="E2070" s="3" t="n">
        <v>10</v>
      </c>
      <c r="F2070" s="24" t="n">
        <v>-3.23279166</v>
      </c>
    </row>
    <row r="2071" customFormat="false" ht="15" hidden="false" customHeight="false" outlineLevel="0" collapsed="false">
      <c r="A2071" s="3" t="n">
        <v>2070</v>
      </c>
      <c r="B2071" s="3" t="n">
        <v>2069</v>
      </c>
      <c r="C2071" s="3" t="n">
        <v>10</v>
      </c>
      <c r="D2071" s="3" t="n">
        <v>7</v>
      </c>
      <c r="E2071" s="3" t="n">
        <v>11</v>
      </c>
      <c r="F2071" s="24" t="n">
        <v>-1.87786639</v>
      </c>
    </row>
    <row r="2072" customFormat="false" ht="15" hidden="false" customHeight="false" outlineLevel="0" collapsed="false">
      <c r="A2072" s="3" t="n">
        <v>2071</v>
      </c>
      <c r="B2072" s="3" t="n">
        <v>2070</v>
      </c>
      <c r="C2072" s="3" t="n">
        <v>10</v>
      </c>
      <c r="D2072" s="3" t="n">
        <v>7</v>
      </c>
      <c r="E2072" s="3" t="n">
        <v>12</v>
      </c>
      <c r="F2072" s="24" t="n">
        <v>-0.196206272</v>
      </c>
    </row>
    <row r="2073" customFormat="false" ht="15" hidden="false" customHeight="false" outlineLevel="0" collapsed="false">
      <c r="A2073" s="3" t="n">
        <v>2072</v>
      </c>
      <c r="B2073" s="3" t="n">
        <v>2071</v>
      </c>
      <c r="C2073" s="3" t="n">
        <v>10</v>
      </c>
      <c r="D2073" s="3" t="n">
        <v>7</v>
      </c>
      <c r="E2073" s="3" t="n">
        <v>13</v>
      </c>
      <c r="F2073" s="24" t="n">
        <v>-0.282810807</v>
      </c>
    </row>
    <row r="2074" customFormat="false" ht="15" hidden="false" customHeight="false" outlineLevel="0" collapsed="false">
      <c r="A2074" s="3" t="n">
        <v>2073</v>
      </c>
      <c r="B2074" s="3" t="n">
        <v>2072</v>
      </c>
      <c r="C2074" s="3" t="n">
        <v>10</v>
      </c>
      <c r="D2074" s="3" t="n">
        <v>8</v>
      </c>
      <c r="E2074" s="3" t="n">
        <v>0</v>
      </c>
      <c r="F2074" s="24" t="n">
        <v>-0.45403555</v>
      </c>
    </row>
    <row r="2075" customFormat="false" ht="15" hidden="false" customHeight="false" outlineLevel="0" collapsed="false">
      <c r="A2075" s="3" t="n">
        <v>2074</v>
      </c>
      <c r="B2075" s="3" t="n">
        <v>2073</v>
      </c>
      <c r="C2075" s="3" t="n">
        <v>10</v>
      </c>
      <c r="D2075" s="3" t="n">
        <v>8</v>
      </c>
      <c r="E2075" s="3" t="n">
        <v>1</v>
      </c>
      <c r="F2075" s="24" t="n">
        <v>-0.601964712</v>
      </c>
    </row>
    <row r="2076" customFormat="false" ht="15" hidden="false" customHeight="false" outlineLevel="0" collapsed="false">
      <c r="A2076" s="3" t="n">
        <v>2075</v>
      </c>
      <c r="B2076" s="3" t="n">
        <v>2074</v>
      </c>
      <c r="C2076" s="3" t="n">
        <v>10</v>
      </c>
      <c r="D2076" s="3" t="n">
        <v>8</v>
      </c>
      <c r="E2076" s="3" t="n">
        <v>2</v>
      </c>
      <c r="F2076" s="24" t="n">
        <v>-0.415381342</v>
      </c>
    </row>
    <row r="2077" customFormat="false" ht="15" hidden="false" customHeight="false" outlineLevel="0" collapsed="false">
      <c r="A2077" s="3" t="n">
        <v>2076</v>
      </c>
      <c r="B2077" s="3" t="n">
        <v>2075</v>
      </c>
      <c r="C2077" s="3" t="n">
        <v>10</v>
      </c>
      <c r="D2077" s="3" t="n">
        <v>8</v>
      </c>
      <c r="E2077" s="3" t="n">
        <v>3</v>
      </c>
      <c r="F2077" s="24" t="n">
        <v>-0.415381342</v>
      </c>
    </row>
    <row r="2078" customFormat="false" ht="15" hidden="false" customHeight="false" outlineLevel="0" collapsed="false">
      <c r="A2078" s="3" t="n">
        <v>2077</v>
      </c>
      <c r="B2078" s="3" t="n">
        <v>2076</v>
      </c>
      <c r="C2078" s="3" t="n">
        <v>10</v>
      </c>
      <c r="D2078" s="3" t="n">
        <v>8</v>
      </c>
      <c r="E2078" s="3" t="n">
        <v>4</v>
      </c>
      <c r="F2078" s="24" t="n">
        <v>-0.417899489</v>
      </c>
    </row>
    <row r="2079" customFormat="false" ht="15" hidden="false" customHeight="false" outlineLevel="0" collapsed="false">
      <c r="A2079" s="3" t="n">
        <v>2078</v>
      </c>
      <c r="B2079" s="3" t="n">
        <v>2077</v>
      </c>
      <c r="C2079" s="3" t="n">
        <v>10</v>
      </c>
      <c r="D2079" s="3" t="n">
        <v>8</v>
      </c>
      <c r="E2079" s="3" t="n">
        <v>5</v>
      </c>
      <c r="F2079" s="24" t="n">
        <v>0.730513453</v>
      </c>
    </row>
    <row r="2080" customFormat="false" ht="15" hidden="false" customHeight="false" outlineLevel="0" collapsed="false">
      <c r="A2080" s="3" t="n">
        <v>2079</v>
      </c>
      <c r="B2080" s="3" t="n">
        <v>2078</v>
      </c>
      <c r="C2080" s="3" t="n">
        <v>10</v>
      </c>
      <c r="D2080" s="3" t="n">
        <v>8</v>
      </c>
      <c r="E2080" s="3" t="n">
        <v>6</v>
      </c>
      <c r="F2080" s="24" t="n">
        <v>0.493685216</v>
      </c>
    </row>
    <row r="2081" customFormat="false" ht="15" hidden="false" customHeight="false" outlineLevel="0" collapsed="false">
      <c r="A2081" s="3" t="n">
        <v>2080</v>
      </c>
      <c r="B2081" s="3" t="n">
        <v>2079</v>
      </c>
      <c r="C2081" s="3" t="n">
        <v>10</v>
      </c>
      <c r="D2081" s="3" t="n">
        <v>8</v>
      </c>
      <c r="E2081" s="3" t="n">
        <v>7</v>
      </c>
      <c r="F2081" s="24" t="n">
        <v>1.02337122</v>
      </c>
    </row>
    <row r="2082" customFormat="false" ht="15" hidden="false" customHeight="false" outlineLevel="0" collapsed="false">
      <c r="A2082" s="3" t="n">
        <v>2081</v>
      </c>
      <c r="B2082" s="3" t="n">
        <v>2080</v>
      </c>
      <c r="C2082" s="3" t="n">
        <v>10</v>
      </c>
      <c r="D2082" s="3" t="n">
        <v>8</v>
      </c>
      <c r="E2082" s="3" t="n">
        <v>8</v>
      </c>
      <c r="F2082" s="24" t="n">
        <v>1.82261825</v>
      </c>
    </row>
    <row r="2083" customFormat="false" ht="15" hidden="false" customHeight="false" outlineLevel="0" collapsed="false">
      <c r="A2083" s="3" t="n">
        <v>2082</v>
      </c>
      <c r="B2083" s="3" t="n">
        <v>2081</v>
      </c>
      <c r="C2083" s="3" t="n">
        <v>10</v>
      </c>
      <c r="D2083" s="3" t="n">
        <v>8</v>
      </c>
      <c r="E2083" s="3" t="n">
        <v>9</v>
      </c>
      <c r="F2083" s="24" t="n">
        <v>-1.88193285</v>
      </c>
    </row>
    <row r="2084" customFormat="false" ht="15" hidden="false" customHeight="false" outlineLevel="0" collapsed="false">
      <c r="A2084" s="3" t="n">
        <v>2083</v>
      </c>
      <c r="B2084" s="3" t="n">
        <v>2082</v>
      </c>
      <c r="C2084" s="3" t="n">
        <v>10</v>
      </c>
      <c r="D2084" s="3" t="n">
        <v>8</v>
      </c>
      <c r="E2084" s="3" t="n">
        <v>10</v>
      </c>
      <c r="F2084" s="24" t="n">
        <v>-2.71287656</v>
      </c>
    </row>
    <row r="2085" customFormat="false" ht="15" hidden="false" customHeight="false" outlineLevel="0" collapsed="false">
      <c r="A2085" s="3" t="n">
        <v>2084</v>
      </c>
      <c r="B2085" s="3" t="n">
        <v>2083</v>
      </c>
      <c r="C2085" s="3" t="n">
        <v>10</v>
      </c>
      <c r="D2085" s="3" t="n">
        <v>8</v>
      </c>
      <c r="E2085" s="3" t="n">
        <v>11</v>
      </c>
      <c r="F2085" s="24" t="n">
        <v>-0.556783319</v>
      </c>
    </row>
    <row r="2086" customFormat="false" ht="15" hidden="false" customHeight="false" outlineLevel="0" collapsed="false">
      <c r="A2086" s="3" t="n">
        <v>2085</v>
      </c>
      <c r="B2086" s="3" t="n">
        <v>2084</v>
      </c>
      <c r="C2086" s="3" t="n">
        <v>10</v>
      </c>
      <c r="D2086" s="3" t="n">
        <v>8</v>
      </c>
      <c r="E2086" s="3" t="n">
        <v>12</v>
      </c>
      <c r="F2086" s="24" t="n">
        <v>-0.205545396</v>
      </c>
    </row>
    <row r="2087" customFormat="false" ht="15" hidden="false" customHeight="false" outlineLevel="0" collapsed="false">
      <c r="A2087" s="3" t="n">
        <v>2086</v>
      </c>
      <c r="B2087" s="3" t="n">
        <v>2085</v>
      </c>
      <c r="C2087" s="3" t="n">
        <v>10</v>
      </c>
      <c r="D2087" s="3" t="n">
        <v>8</v>
      </c>
      <c r="E2087" s="3" t="n">
        <v>13</v>
      </c>
      <c r="F2087" s="24" t="n">
        <v>-0.282810807</v>
      </c>
    </row>
    <row r="2088" customFormat="false" ht="15" hidden="false" customHeight="false" outlineLevel="0" collapsed="false">
      <c r="A2088" s="3" t="n">
        <v>2087</v>
      </c>
      <c r="B2088" s="3" t="n">
        <v>2086</v>
      </c>
      <c r="C2088" s="3" t="n">
        <v>10</v>
      </c>
      <c r="D2088" s="3" t="n">
        <v>9</v>
      </c>
      <c r="E2088" s="3" t="n">
        <v>0</v>
      </c>
      <c r="F2088" s="24" t="n">
        <v>-0.45403555</v>
      </c>
    </row>
    <row r="2089" customFormat="false" ht="15" hidden="false" customHeight="false" outlineLevel="0" collapsed="false">
      <c r="A2089" s="3" t="n">
        <v>2088</v>
      </c>
      <c r="B2089" s="3" t="n">
        <v>2087</v>
      </c>
      <c r="C2089" s="3" t="n">
        <v>10</v>
      </c>
      <c r="D2089" s="3" t="n">
        <v>9</v>
      </c>
      <c r="E2089" s="3" t="n">
        <v>1</v>
      </c>
      <c r="F2089" s="24" t="n">
        <v>-0.601964712</v>
      </c>
    </row>
    <row r="2090" customFormat="false" ht="15" hidden="false" customHeight="false" outlineLevel="0" collapsed="false">
      <c r="A2090" s="3" t="n">
        <v>2089</v>
      </c>
      <c r="B2090" s="3" t="n">
        <v>2088</v>
      </c>
      <c r="C2090" s="3" t="n">
        <v>10</v>
      </c>
      <c r="D2090" s="3" t="n">
        <v>9</v>
      </c>
      <c r="E2090" s="3" t="n">
        <v>2</v>
      </c>
      <c r="F2090" s="24" t="n">
        <v>-0.415381342</v>
      </c>
    </row>
    <row r="2091" customFormat="false" ht="15" hidden="false" customHeight="false" outlineLevel="0" collapsed="false">
      <c r="A2091" s="3" t="n">
        <v>2090</v>
      </c>
      <c r="B2091" s="3" t="n">
        <v>2089</v>
      </c>
      <c r="C2091" s="3" t="n">
        <v>10</v>
      </c>
      <c r="D2091" s="3" t="n">
        <v>9</v>
      </c>
      <c r="E2091" s="3" t="n">
        <v>3</v>
      </c>
      <c r="F2091" s="24" t="n">
        <v>-0.415381342</v>
      </c>
    </row>
    <row r="2092" customFormat="false" ht="15" hidden="false" customHeight="false" outlineLevel="0" collapsed="false">
      <c r="A2092" s="3" t="n">
        <v>2091</v>
      </c>
      <c r="B2092" s="3" t="n">
        <v>2090</v>
      </c>
      <c r="C2092" s="3" t="n">
        <v>10</v>
      </c>
      <c r="D2092" s="3" t="n">
        <v>9</v>
      </c>
      <c r="E2092" s="3" t="n">
        <v>4</v>
      </c>
      <c r="F2092" s="24" t="n">
        <v>0.223902583</v>
      </c>
    </row>
    <row r="2093" customFormat="false" ht="15" hidden="false" customHeight="false" outlineLevel="0" collapsed="false">
      <c r="A2093" s="3" t="n">
        <v>2092</v>
      </c>
      <c r="B2093" s="3" t="n">
        <v>2091</v>
      </c>
      <c r="C2093" s="3" t="n">
        <v>10</v>
      </c>
      <c r="D2093" s="3" t="n">
        <v>9</v>
      </c>
      <c r="E2093" s="3" t="n">
        <v>5</v>
      </c>
      <c r="F2093" s="24" t="n">
        <v>0.497148901</v>
      </c>
    </row>
    <row r="2094" customFormat="false" ht="15" hidden="false" customHeight="false" outlineLevel="0" collapsed="false">
      <c r="A2094" s="3" t="n">
        <v>2093</v>
      </c>
      <c r="B2094" s="3" t="n">
        <v>2092</v>
      </c>
      <c r="C2094" s="3" t="n">
        <v>10</v>
      </c>
      <c r="D2094" s="3" t="n">
        <v>9</v>
      </c>
      <c r="E2094" s="3" t="n">
        <v>6</v>
      </c>
      <c r="F2094" s="24" t="n">
        <v>0.534751296</v>
      </c>
    </row>
    <row r="2095" customFormat="false" ht="15" hidden="false" customHeight="false" outlineLevel="0" collapsed="false">
      <c r="A2095" s="3" t="n">
        <v>2094</v>
      </c>
      <c r="B2095" s="3" t="n">
        <v>2093</v>
      </c>
      <c r="C2095" s="3" t="n">
        <v>10</v>
      </c>
      <c r="D2095" s="3" t="n">
        <v>9</v>
      </c>
      <c r="E2095" s="3" t="n">
        <v>7</v>
      </c>
      <c r="F2095" s="24" t="n">
        <v>2.62648249</v>
      </c>
    </row>
    <row r="2096" customFormat="false" ht="15" hidden="false" customHeight="false" outlineLevel="0" collapsed="false">
      <c r="A2096" s="3" t="n">
        <v>2095</v>
      </c>
      <c r="B2096" s="3" t="n">
        <v>2094</v>
      </c>
      <c r="C2096" s="3" t="n">
        <v>10</v>
      </c>
      <c r="D2096" s="3" t="n">
        <v>9</v>
      </c>
      <c r="E2096" s="3" t="n">
        <v>8</v>
      </c>
      <c r="F2096" s="24" t="n">
        <v>0.317462921</v>
      </c>
    </row>
    <row r="2097" customFormat="false" ht="15" hidden="false" customHeight="false" outlineLevel="0" collapsed="false">
      <c r="A2097" s="3" t="n">
        <v>2096</v>
      </c>
      <c r="B2097" s="3" t="n">
        <v>2095</v>
      </c>
      <c r="C2097" s="3" t="n">
        <v>10</v>
      </c>
      <c r="D2097" s="3" t="n">
        <v>9</v>
      </c>
      <c r="E2097" s="3" t="n">
        <v>9</v>
      </c>
      <c r="F2097" s="24" t="n">
        <v>-2.79711151</v>
      </c>
    </row>
    <row r="2098" customFormat="false" ht="15" hidden="false" customHeight="false" outlineLevel="0" collapsed="false">
      <c r="A2098" s="3" t="n">
        <v>2097</v>
      </c>
      <c r="B2098" s="3" t="n">
        <v>2096</v>
      </c>
      <c r="C2098" s="3" t="n">
        <v>10</v>
      </c>
      <c r="D2098" s="3" t="n">
        <v>9</v>
      </c>
      <c r="E2098" s="3" t="n">
        <v>10</v>
      </c>
      <c r="F2098" s="24" t="n">
        <v>-1.48120046</v>
      </c>
    </row>
    <row r="2099" customFormat="false" ht="15" hidden="false" customHeight="false" outlineLevel="0" collapsed="false">
      <c r="A2099" s="3" t="n">
        <v>2098</v>
      </c>
      <c r="B2099" s="3" t="n">
        <v>2097</v>
      </c>
      <c r="C2099" s="3" t="n">
        <v>10</v>
      </c>
      <c r="D2099" s="3" t="n">
        <v>9</v>
      </c>
      <c r="E2099" s="3" t="n">
        <v>11</v>
      </c>
      <c r="F2099" s="24" t="n">
        <v>-0.412902534</v>
      </c>
    </row>
    <row r="2100" customFormat="false" ht="15" hidden="false" customHeight="false" outlineLevel="0" collapsed="false">
      <c r="A2100" s="3" t="n">
        <v>2099</v>
      </c>
      <c r="B2100" s="3" t="n">
        <v>2098</v>
      </c>
      <c r="C2100" s="3" t="n">
        <v>10</v>
      </c>
      <c r="D2100" s="3" t="n">
        <v>9</v>
      </c>
      <c r="E2100" s="3" t="n">
        <v>12</v>
      </c>
      <c r="F2100" s="24" t="n">
        <v>-0.205545396</v>
      </c>
    </row>
    <row r="2101" customFormat="false" ht="15" hidden="false" customHeight="false" outlineLevel="0" collapsed="false">
      <c r="A2101" s="3" t="n">
        <v>2100</v>
      </c>
      <c r="B2101" s="3" t="n">
        <v>2099</v>
      </c>
      <c r="C2101" s="3" t="n">
        <v>10</v>
      </c>
      <c r="D2101" s="3" t="n">
        <v>9</v>
      </c>
      <c r="E2101" s="3" t="n">
        <v>13</v>
      </c>
      <c r="F2101" s="24" t="n">
        <v>-0.282810807</v>
      </c>
    </row>
    <row r="2102" customFormat="false" ht="15" hidden="false" customHeight="false" outlineLevel="0" collapsed="false">
      <c r="A2102" s="3" t="n">
        <v>2101</v>
      </c>
      <c r="B2102" s="3" t="n">
        <v>2100</v>
      </c>
      <c r="C2102" s="3" t="n">
        <v>10</v>
      </c>
      <c r="D2102" s="3" t="n">
        <v>10</v>
      </c>
      <c r="E2102" s="3" t="n">
        <v>0</v>
      </c>
      <c r="F2102" s="24" t="n">
        <v>-0.45403555</v>
      </c>
    </row>
    <row r="2103" customFormat="false" ht="15" hidden="false" customHeight="false" outlineLevel="0" collapsed="false">
      <c r="A2103" s="3" t="n">
        <v>2102</v>
      </c>
      <c r="B2103" s="3" t="n">
        <v>2101</v>
      </c>
      <c r="C2103" s="3" t="n">
        <v>10</v>
      </c>
      <c r="D2103" s="3" t="n">
        <v>10</v>
      </c>
      <c r="E2103" s="3" t="n">
        <v>1</v>
      </c>
      <c r="F2103" s="24" t="n">
        <v>-0.601964712</v>
      </c>
    </row>
    <row r="2104" customFormat="false" ht="15" hidden="false" customHeight="false" outlineLevel="0" collapsed="false">
      <c r="A2104" s="3" t="n">
        <v>2103</v>
      </c>
      <c r="B2104" s="3" t="n">
        <v>2102</v>
      </c>
      <c r="C2104" s="3" t="n">
        <v>10</v>
      </c>
      <c r="D2104" s="3" t="n">
        <v>10</v>
      </c>
      <c r="E2104" s="3" t="n">
        <v>2</v>
      </c>
      <c r="F2104" s="24" t="n">
        <v>-0.415381342</v>
      </c>
    </row>
    <row r="2105" customFormat="false" ht="15" hidden="false" customHeight="false" outlineLevel="0" collapsed="false">
      <c r="A2105" s="3" t="n">
        <v>2104</v>
      </c>
      <c r="B2105" s="3" t="n">
        <v>2103</v>
      </c>
      <c r="C2105" s="3" t="n">
        <v>10</v>
      </c>
      <c r="D2105" s="3" t="n">
        <v>10</v>
      </c>
      <c r="E2105" s="3" t="n">
        <v>3</v>
      </c>
      <c r="F2105" s="24" t="n">
        <v>-0.335435212</v>
      </c>
    </row>
    <row r="2106" customFormat="false" ht="15" hidden="false" customHeight="false" outlineLevel="0" collapsed="false">
      <c r="A2106" s="3" t="n">
        <v>2105</v>
      </c>
      <c r="B2106" s="3" t="n">
        <v>2104</v>
      </c>
      <c r="C2106" s="3" t="n">
        <v>10</v>
      </c>
      <c r="D2106" s="3" t="n">
        <v>10</v>
      </c>
      <c r="E2106" s="3" t="n">
        <v>4</v>
      </c>
      <c r="F2106" s="24" t="n">
        <v>0.746038437</v>
      </c>
    </row>
    <row r="2107" customFormat="false" ht="15" hidden="false" customHeight="false" outlineLevel="0" collapsed="false">
      <c r="A2107" s="3" t="n">
        <v>2106</v>
      </c>
      <c r="B2107" s="3" t="n">
        <v>2105</v>
      </c>
      <c r="C2107" s="3" t="n">
        <v>10</v>
      </c>
      <c r="D2107" s="3" t="n">
        <v>10</v>
      </c>
      <c r="E2107" s="3" t="n">
        <v>5</v>
      </c>
      <c r="F2107" s="24" t="n">
        <v>1.67133546</v>
      </c>
    </row>
    <row r="2108" customFormat="false" ht="15" hidden="false" customHeight="false" outlineLevel="0" collapsed="false">
      <c r="A2108" s="3" t="n">
        <v>2107</v>
      </c>
      <c r="B2108" s="3" t="n">
        <v>2106</v>
      </c>
      <c r="C2108" s="3" t="n">
        <v>10</v>
      </c>
      <c r="D2108" s="3" t="n">
        <v>10</v>
      </c>
      <c r="E2108" s="3" t="n">
        <v>6</v>
      </c>
      <c r="F2108" s="24" t="n">
        <v>1.57725048</v>
      </c>
    </row>
    <row r="2109" customFormat="false" ht="15" hidden="false" customHeight="false" outlineLevel="0" collapsed="false">
      <c r="A2109" s="3" t="n">
        <v>2108</v>
      </c>
      <c r="B2109" s="3" t="n">
        <v>2107</v>
      </c>
      <c r="C2109" s="3" t="n">
        <v>10</v>
      </c>
      <c r="D2109" s="3" t="n">
        <v>10</v>
      </c>
      <c r="E2109" s="3" t="n">
        <v>7</v>
      </c>
      <c r="F2109" s="24" t="n">
        <v>-0.467544138</v>
      </c>
    </row>
    <row r="2110" customFormat="false" ht="15" hidden="false" customHeight="false" outlineLevel="0" collapsed="false">
      <c r="A2110" s="3" t="n">
        <v>2109</v>
      </c>
      <c r="B2110" s="3" t="n">
        <v>2108</v>
      </c>
      <c r="C2110" s="3" t="n">
        <v>10</v>
      </c>
      <c r="D2110" s="3" t="n">
        <v>10</v>
      </c>
      <c r="E2110" s="3" t="n">
        <v>8</v>
      </c>
      <c r="F2110" s="24" t="n">
        <v>-3.14354992</v>
      </c>
    </row>
    <row r="2111" customFormat="false" ht="15" hidden="false" customHeight="false" outlineLevel="0" collapsed="false">
      <c r="A2111" s="3" t="n">
        <v>2110</v>
      </c>
      <c r="B2111" s="3" t="n">
        <v>2109</v>
      </c>
      <c r="C2111" s="3" t="n">
        <v>10</v>
      </c>
      <c r="D2111" s="3" t="n">
        <v>10</v>
      </c>
      <c r="E2111" s="3" t="n">
        <v>9</v>
      </c>
      <c r="F2111" s="24" t="n">
        <v>-2.63275361</v>
      </c>
    </row>
    <row r="2112" customFormat="false" ht="15" hidden="false" customHeight="false" outlineLevel="0" collapsed="false">
      <c r="A2112" s="3" t="n">
        <v>2111</v>
      </c>
      <c r="B2112" s="3" t="n">
        <v>2110</v>
      </c>
      <c r="C2112" s="3" t="n">
        <v>10</v>
      </c>
      <c r="D2112" s="3" t="n">
        <v>10</v>
      </c>
      <c r="E2112" s="3" t="n">
        <v>10</v>
      </c>
      <c r="F2112" s="24" t="n">
        <v>-0.552074552</v>
      </c>
    </row>
    <row r="2113" customFormat="false" ht="15" hidden="false" customHeight="false" outlineLevel="0" collapsed="false">
      <c r="A2113" s="3" t="n">
        <v>2112</v>
      </c>
      <c r="B2113" s="3" t="n">
        <v>2111</v>
      </c>
      <c r="C2113" s="3" t="n">
        <v>10</v>
      </c>
      <c r="D2113" s="3" t="n">
        <v>10</v>
      </c>
      <c r="E2113" s="3" t="n">
        <v>11</v>
      </c>
      <c r="F2113" s="24" t="n">
        <v>-0.415381342</v>
      </c>
    </row>
    <row r="2114" customFormat="false" ht="15" hidden="false" customHeight="false" outlineLevel="0" collapsed="false">
      <c r="A2114" s="3" t="n">
        <v>2113</v>
      </c>
      <c r="B2114" s="3" t="n">
        <v>2112</v>
      </c>
      <c r="C2114" s="3" t="n">
        <v>10</v>
      </c>
      <c r="D2114" s="3" t="n">
        <v>10</v>
      </c>
      <c r="E2114" s="3" t="n">
        <v>12</v>
      </c>
      <c r="F2114" s="24" t="n">
        <v>-0.205545396</v>
      </c>
    </row>
    <row r="2115" customFormat="false" ht="15" hidden="false" customHeight="false" outlineLevel="0" collapsed="false">
      <c r="A2115" s="3" t="n">
        <v>2114</v>
      </c>
      <c r="B2115" s="3" t="n">
        <v>2113</v>
      </c>
      <c r="C2115" s="3" t="n">
        <v>10</v>
      </c>
      <c r="D2115" s="3" t="n">
        <v>10</v>
      </c>
      <c r="E2115" s="3" t="n">
        <v>13</v>
      </c>
      <c r="F2115" s="24" t="n">
        <v>-0.282810807</v>
      </c>
    </row>
    <row r="2116" customFormat="false" ht="15" hidden="false" customHeight="false" outlineLevel="0" collapsed="false">
      <c r="A2116" s="3" t="n">
        <v>2115</v>
      </c>
      <c r="B2116" s="3" t="n">
        <v>2114</v>
      </c>
      <c r="C2116" s="3" t="n">
        <v>10</v>
      </c>
      <c r="D2116" s="3" t="n">
        <v>11</v>
      </c>
      <c r="E2116" s="3" t="n">
        <v>0</v>
      </c>
      <c r="F2116" s="24" t="n">
        <v>-0.45403555</v>
      </c>
    </row>
    <row r="2117" customFormat="false" ht="15" hidden="false" customHeight="false" outlineLevel="0" collapsed="false">
      <c r="A2117" s="3" t="n">
        <v>2116</v>
      </c>
      <c r="B2117" s="3" t="n">
        <v>2115</v>
      </c>
      <c r="C2117" s="3" t="n">
        <v>10</v>
      </c>
      <c r="D2117" s="3" t="n">
        <v>11</v>
      </c>
      <c r="E2117" s="3" t="n">
        <v>1</v>
      </c>
      <c r="F2117" s="24" t="n">
        <v>-0.601964712</v>
      </c>
    </row>
    <row r="2118" customFormat="false" ht="15" hidden="false" customHeight="false" outlineLevel="0" collapsed="false">
      <c r="A2118" s="3" t="n">
        <v>2117</v>
      </c>
      <c r="B2118" s="3" t="n">
        <v>2116</v>
      </c>
      <c r="C2118" s="3" t="n">
        <v>10</v>
      </c>
      <c r="D2118" s="3" t="n">
        <v>11</v>
      </c>
      <c r="E2118" s="3" t="n">
        <v>2</v>
      </c>
      <c r="F2118" s="24" t="n">
        <v>-0.415381342</v>
      </c>
    </row>
    <row r="2119" customFormat="false" ht="15" hidden="false" customHeight="false" outlineLevel="0" collapsed="false">
      <c r="A2119" s="3" t="n">
        <v>2118</v>
      </c>
      <c r="B2119" s="3" t="n">
        <v>2117</v>
      </c>
      <c r="C2119" s="3" t="n">
        <v>10</v>
      </c>
      <c r="D2119" s="3" t="n">
        <v>11</v>
      </c>
      <c r="E2119" s="3" t="n">
        <v>3</v>
      </c>
      <c r="F2119" s="24" t="n">
        <v>0.106300429</v>
      </c>
    </row>
    <row r="2120" customFormat="false" ht="15" hidden="false" customHeight="false" outlineLevel="0" collapsed="false">
      <c r="A2120" s="3" t="n">
        <v>2119</v>
      </c>
      <c r="B2120" s="3" t="n">
        <v>2118</v>
      </c>
      <c r="C2120" s="3" t="n">
        <v>10</v>
      </c>
      <c r="D2120" s="3" t="n">
        <v>11</v>
      </c>
      <c r="E2120" s="3" t="n">
        <v>4</v>
      </c>
      <c r="F2120" s="24" t="n">
        <v>0.880717158</v>
      </c>
    </row>
    <row r="2121" customFormat="false" ht="15" hidden="false" customHeight="false" outlineLevel="0" collapsed="false">
      <c r="A2121" s="3" t="n">
        <v>2120</v>
      </c>
      <c r="B2121" s="3" t="n">
        <v>2119</v>
      </c>
      <c r="C2121" s="3" t="n">
        <v>10</v>
      </c>
      <c r="D2121" s="3" t="n">
        <v>11</v>
      </c>
      <c r="E2121" s="3" t="n">
        <v>5</v>
      </c>
      <c r="F2121" s="24" t="n">
        <v>3.22472477</v>
      </c>
    </row>
    <row r="2122" customFormat="false" ht="15" hidden="false" customHeight="false" outlineLevel="0" collapsed="false">
      <c r="A2122" s="3" t="n">
        <v>2121</v>
      </c>
      <c r="B2122" s="3" t="n">
        <v>2120</v>
      </c>
      <c r="C2122" s="3" t="n">
        <v>10</v>
      </c>
      <c r="D2122" s="3" t="n">
        <v>11</v>
      </c>
      <c r="E2122" s="3" t="n">
        <v>6</v>
      </c>
      <c r="F2122" s="24" t="n">
        <v>2.51743197</v>
      </c>
    </row>
    <row r="2123" customFormat="false" ht="15" hidden="false" customHeight="false" outlineLevel="0" collapsed="false">
      <c r="A2123" s="3" t="n">
        <v>2122</v>
      </c>
      <c r="B2123" s="3" t="n">
        <v>2121</v>
      </c>
      <c r="C2123" s="3" t="n">
        <v>10</v>
      </c>
      <c r="D2123" s="3" t="n">
        <v>11</v>
      </c>
      <c r="E2123" s="3" t="n">
        <v>7</v>
      </c>
      <c r="F2123" s="24" t="n">
        <v>-2.51459336</v>
      </c>
    </row>
    <row r="2124" customFormat="false" ht="15" hidden="false" customHeight="false" outlineLevel="0" collapsed="false">
      <c r="A2124" s="3" t="n">
        <v>2123</v>
      </c>
      <c r="B2124" s="3" t="n">
        <v>2122</v>
      </c>
      <c r="C2124" s="3" t="n">
        <v>10</v>
      </c>
      <c r="D2124" s="3" t="n">
        <v>11</v>
      </c>
      <c r="E2124" s="3" t="n">
        <v>8</v>
      </c>
      <c r="F2124" s="24" t="n">
        <v>-2.96918941</v>
      </c>
    </row>
    <row r="2125" customFormat="false" ht="15" hidden="false" customHeight="false" outlineLevel="0" collapsed="false">
      <c r="A2125" s="3" t="n">
        <v>2124</v>
      </c>
      <c r="B2125" s="3" t="n">
        <v>2123</v>
      </c>
      <c r="C2125" s="3" t="n">
        <v>10</v>
      </c>
      <c r="D2125" s="3" t="n">
        <v>11</v>
      </c>
      <c r="E2125" s="3" t="n">
        <v>9</v>
      </c>
      <c r="F2125" s="24" t="n">
        <v>-0.968634248</v>
      </c>
    </row>
    <row r="2126" customFormat="false" ht="15" hidden="false" customHeight="false" outlineLevel="0" collapsed="false">
      <c r="A2126" s="3" t="n">
        <v>2125</v>
      </c>
      <c r="B2126" s="3" t="n">
        <v>2124</v>
      </c>
      <c r="C2126" s="3" t="n">
        <v>10</v>
      </c>
      <c r="D2126" s="3" t="n">
        <v>11</v>
      </c>
      <c r="E2126" s="3" t="n">
        <v>10</v>
      </c>
      <c r="F2126" s="24" t="n">
        <v>-0.415381342</v>
      </c>
    </row>
    <row r="2127" customFormat="false" ht="15" hidden="false" customHeight="false" outlineLevel="0" collapsed="false">
      <c r="A2127" s="3" t="n">
        <v>2126</v>
      </c>
      <c r="B2127" s="3" t="n">
        <v>2125</v>
      </c>
      <c r="C2127" s="3" t="n">
        <v>10</v>
      </c>
      <c r="D2127" s="3" t="n">
        <v>11</v>
      </c>
      <c r="E2127" s="3" t="n">
        <v>11</v>
      </c>
      <c r="F2127" s="24" t="n">
        <v>-0.415381342</v>
      </c>
    </row>
    <row r="2128" customFormat="false" ht="15" hidden="false" customHeight="false" outlineLevel="0" collapsed="false">
      <c r="A2128" s="3" t="n">
        <v>2127</v>
      </c>
      <c r="B2128" s="3" t="n">
        <v>2126</v>
      </c>
      <c r="C2128" s="3" t="n">
        <v>10</v>
      </c>
      <c r="D2128" s="3" t="n">
        <v>11</v>
      </c>
      <c r="E2128" s="3" t="n">
        <v>12</v>
      </c>
      <c r="F2128" s="24" t="n">
        <v>-0.205545396</v>
      </c>
    </row>
    <row r="2129" customFormat="false" ht="15" hidden="false" customHeight="false" outlineLevel="0" collapsed="false">
      <c r="A2129" s="3" t="n">
        <v>2128</v>
      </c>
      <c r="B2129" s="3" t="n">
        <v>2127</v>
      </c>
      <c r="C2129" s="3" t="n">
        <v>10</v>
      </c>
      <c r="D2129" s="3" t="n">
        <v>11</v>
      </c>
      <c r="E2129" s="3" t="n">
        <v>13</v>
      </c>
      <c r="F2129" s="24" t="n">
        <v>-0.282810807</v>
      </c>
    </row>
    <row r="2130" customFormat="false" ht="15" hidden="false" customHeight="false" outlineLevel="0" collapsed="false">
      <c r="A2130" s="3" t="n">
        <v>2129</v>
      </c>
      <c r="B2130" s="3" t="n">
        <v>2128</v>
      </c>
      <c r="C2130" s="3" t="n">
        <v>10</v>
      </c>
      <c r="D2130" s="3" t="n">
        <v>12</v>
      </c>
      <c r="E2130" s="3" t="n">
        <v>0</v>
      </c>
      <c r="F2130" s="24" t="n">
        <v>-0.445012242</v>
      </c>
    </row>
    <row r="2131" customFormat="false" ht="15" hidden="false" customHeight="false" outlineLevel="0" collapsed="false">
      <c r="A2131" s="3" t="n">
        <v>2130</v>
      </c>
      <c r="B2131" s="3" t="n">
        <v>2129</v>
      </c>
      <c r="C2131" s="3" t="n">
        <v>10</v>
      </c>
      <c r="D2131" s="3" t="n">
        <v>12</v>
      </c>
      <c r="E2131" s="3" t="n">
        <v>1</v>
      </c>
      <c r="F2131" s="24" t="n">
        <v>-0.633208871</v>
      </c>
    </row>
    <row r="2132" customFormat="false" ht="15" hidden="false" customHeight="false" outlineLevel="0" collapsed="false">
      <c r="A2132" s="3" t="n">
        <v>2131</v>
      </c>
      <c r="B2132" s="3" t="n">
        <v>2130</v>
      </c>
      <c r="C2132" s="3" t="n">
        <v>10</v>
      </c>
      <c r="D2132" s="3" t="n">
        <v>12</v>
      </c>
      <c r="E2132" s="3" t="n">
        <v>2</v>
      </c>
      <c r="F2132" s="24" t="n">
        <v>-0.430206478</v>
      </c>
    </row>
    <row r="2133" customFormat="false" ht="15" hidden="false" customHeight="false" outlineLevel="0" collapsed="false">
      <c r="A2133" s="3" t="n">
        <v>2132</v>
      </c>
      <c r="B2133" s="3" t="n">
        <v>2131</v>
      </c>
      <c r="C2133" s="3" t="n">
        <v>10</v>
      </c>
      <c r="D2133" s="3" t="n">
        <v>12</v>
      </c>
      <c r="E2133" s="3" t="n">
        <v>3</v>
      </c>
      <c r="F2133" s="24" t="n">
        <v>-0.123437032</v>
      </c>
    </row>
    <row r="2134" customFormat="false" ht="15" hidden="false" customHeight="false" outlineLevel="0" collapsed="false">
      <c r="A2134" s="3" t="n">
        <v>2133</v>
      </c>
      <c r="B2134" s="3" t="n">
        <v>2132</v>
      </c>
      <c r="C2134" s="3" t="n">
        <v>10</v>
      </c>
      <c r="D2134" s="3" t="n">
        <v>12</v>
      </c>
      <c r="E2134" s="3" t="n">
        <v>4</v>
      </c>
      <c r="F2134" s="24" t="n">
        <v>0.684571266</v>
      </c>
    </row>
    <row r="2135" customFormat="false" ht="15" hidden="false" customHeight="false" outlineLevel="0" collapsed="false">
      <c r="A2135" s="3" t="n">
        <v>2134</v>
      </c>
      <c r="B2135" s="3" t="n">
        <v>2133</v>
      </c>
      <c r="C2135" s="3" t="n">
        <v>10</v>
      </c>
      <c r="D2135" s="3" t="n">
        <v>12</v>
      </c>
      <c r="E2135" s="3" t="n">
        <v>5</v>
      </c>
      <c r="F2135" s="24" t="n">
        <v>4.6647706</v>
      </c>
    </row>
    <row r="2136" customFormat="false" ht="15" hidden="false" customHeight="false" outlineLevel="0" collapsed="false">
      <c r="A2136" s="3" t="n">
        <v>2135</v>
      </c>
      <c r="B2136" s="3" t="n">
        <v>2134</v>
      </c>
      <c r="C2136" s="3" t="n">
        <v>10</v>
      </c>
      <c r="D2136" s="3" t="n">
        <v>12</v>
      </c>
      <c r="E2136" s="3" t="n">
        <v>6</v>
      </c>
      <c r="F2136" s="24" t="n">
        <v>1.93294275</v>
      </c>
    </row>
    <row r="2137" customFormat="false" ht="15" hidden="false" customHeight="false" outlineLevel="0" collapsed="false">
      <c r="A2137" s="3" t="n">
        <v>2136</v>
      </c>
      <c r="B2137" s="3" t="n">
        <v>2135</v>
      </c>
      <c r="C2137" s="3" t="n">
        <v>10</v>
      </c>
      <c r="D2137" s="3" t="n">
        <v>12</v>
      </c>
      <c r="E2137" s="3" t="n">
        <v>7</v>
      </c>
      <c r="F2137" s="24" t="n">
        <v>-3.47731161</v>
      </c>
    </row>
    <row r="2138" customFormat="false" ht="15" hidden="false" customHeight="false" outlineLevel="0" collapsed="false">
      <c r="A2138" s="3" t="n">
        <v>2137</v>
      </c>
      <c r="B2138" s="3" t="n">
        <v>2136</v>
      </c>
      <c r="C2138" s="3" t="n">
        <v>10</v>
      </c>
      <c r="D2138" s="3" t="n">
        <v>12</v>
      </c>
      <c r="E2138" s="3" t="n">
        <v>8</v>
      </c>
      <c r="F2138" s="24" t="n">
        <v>-2.46866107</v>
      </c>
    </row>
    <row r="2139" customFormat="false" ht="15" hidden="false" customHeight="false" outlineLevel="0" collapsed="false">
      <c r="A2139" s="3" t="n">
        <v>2138</v>
      </c>
      <c r="B2139" s="3" t="n">
        <v>2137</v>
      </c>
      <c r="C2139" s="3" t="n">
        <v>10</v>
      </c>
      <c r="D2139" s="3" t="n">
        <v>12</v>
      </c>
      <c r="E2139" s="3" t="n">
        <v>9</v>
      </c>
      <c r="F2139" s="24" t="n">
        <v>-0.440259933</v>
      </c>
    </row>
    <row r="2140" customFormat="false" ht="15" hidden="false" customHeight="false" outlineLevel="0" collapsed="false">
      <c r="A2140" s="3" t="n">
        <v>2139</v>
      </c>
      <c r="B2140" s="3" t="n">
        <v>2138</v>
      </c>
      <c r="C2140" s="3" t="n">
        <v>10</v>
      </c>
      <c r="D2140" s="3" t="n">
        <v>12</v>
      </c>
      <c r="E2140" s="3" t="n">
        <v>10</v>
      </c>
      <c r="F2140" s="24" t="n">
        <v>-0.430206478</v>
      </c>
    </row>
    <row r="2141" customFormat="false" ht="15" hidden="false" customHeight="false" outlineLevel="0" collapsed="false">
      <c r="A2141" s="3" t="n">
        <v>2140</v>
      </c>
      <c r="B2141" s="3" t="n">
        <v>2139</v>
      </c>
      <c r="C2141" s="3" t="n">
        <v>10</v>
      </c>
      <c r="D2141" s="3" t="n">
        <v>12</v>
      </c>
      <c r="E2141" s="3" t="n">
        <v>11</v>
      </c>
      <c r="F2141" s="24" t="n">
        <v>-0.430206478</v>
      </c>
    </row>
    <row r="2142" customFormat="false" ht="15" hidden="false" customHeight="false" outlineLevel="0" collapsed="false">
      <c r="A2142" s="3" t="n">
        <v>2141</v>
      </c>
      <c r="B2142" s="3" t="n">
        <v>2140</v>
      </c>
      <c r="C2142" s="3" t="n">
        <v>10</v>
      </c>
      <c r="D2142" s="3" t="n">
        <v>12</v>
      </c>
      <c r="E2142" s="3" t="n">
        <v>12</v>
      </c>
      <c r="F2142" s="24" t="n">
        <v>-0.220370516</v>
      </c>
    </row>
    <row r="2143" customFormat="false" ht="15" hidden="false" customHeight="false" outlineLevel="0" collapsed="false">
      <c r="A2143" s="3" t="n">
        <v>2142</v>
      </c>
      <c r="B2143" s="3" t="n">
        <v>2141</v>
      </c>
      <c r="C2143" s="3" t="n">
        <v>10</v>
      </c>
      <c r="D2143" s="3" t="n">
        <v>12</v>
      </c>
      <c r="E2143" s="3" t="n">
        <v>13</v>
      </c>
      <c r="F2143" s="24" t="n">
        <v>-0.470682949</v>
      </c>
    </row>
    <row r="2144" customFormat="false" ht="15" hidden="false" customHeight="false" outlineLevel="0" collapsed="false">
      <c r="A2144" s="3" t="n">
        <v>2143</v>
      </c>
      <c r="B2144" s="3" t="n">
        <v>2142</v>
      </c>
      <c r="C2144" s="3" t="n">
        <v>10</v>
      </c>
      <c r="D2144" s="3" t="n">
        <v>13</v>
      </c>
      <c r="E2144" s="3" t="n">
        <v>0</v>
      </c>
      <c r="F2144" s="24" t="n">
        <v>-0.213773668</v>
      </c>
    </row>
    <row r="2145" customFormat="false" ht="15" hidden="false" customHeight="false" outlineLevel="0" collapsed="false">
      <c r="A2145" s="3" t="n">
        <v>2144</v>
      </c>
      <c r="B2145" s="3" t="n">
        <v>2143</v>
      </c>
      <c r="C2145" s="3" t="n">
        <v>10</v>
      </c>
      <c r="D2145" s="3" t="n">
        <v>13</v>
      </c>
      <c r="E2145" s="3" t="n">
        <v>1</v>
      </c>
      <c r="F2145" s="24" t="n">
        <v>-0.557769895</v>
      </c>
    </row>
    <row r="2146" customFormat="false" ht="15" hidden="false" customHeight="false" outlineLevel="0" collapsed="false">
      <c r="A2146" s="3" t="n">
        <v>2145</v>
      </c>
      <c r="B2146" s="3" t="n">
        <v>2144</v>
      </c>
      <c r="C2146" s="3" t="n">
        <v>10</v>
      </c>
      <c r="D2146" s="3" t="n">
        <v>13</v>
      </c>
      <c r="E2146" s="3" t="n">
        <v>2</v>
      </c>
      <c r="F2146" s="24" t="n">
        <v>-0.355865121</v>
      </c>
    </row>
    <row r="2147" customFormat="false" ht="15" hidden="false" customHeight="false" outlineLevel="0" collapsed="false">
      <c r="A2147" s="3" t="n">
        <v>2146</v>
      </c>
      <c r="B2147" s="3" t="n">
        <v>2145</v>
      </c>
      <c r="C2147" s="3" t="n">
        <v>10</v>
      </c>
      <c r="D2147" s="3" t="n">
        <v>13</v>
      </c>
      <c r="E2147" s="3" t="n">
        <v>3</v>
      </c>
      <c r="F2147" s="24" t="n">
        <v>0.0383774489</v>
      </c>
    </row>
    <row r="2148" customFormat="false" ht="15" hidden="false" customHeight="false" outlineLevel="0" collapsed="false">
      <c r="A2148" s="3" t="n">
        <v>2147</v>
      </c>
      <c r="B2148" s="3" t="n">
        <v>2146</v>
      </c>
      <c r="C2148" s="3" t="n">
        <v>10</v>
      </c>
      <c r="D2148" s="3" t="n">
        <v>13</v>
      </c>
      <c r="E2148" s="3" t="n">
        <v>4</v>
      </c>
      <c r="F2148" s="24" t="n">
        <v>1.01976919</v>
      </c>
    </row>
    <row r="2149" customFormat="false" ht="15" hidden="false" customHeight="false" outlineLevel="0" collapsed="false">
      <c r="A2149" s="3" t="n">
        <v>2148</v>
      </c>
      <c r="B2149" s="3" t="n">
        <v>2147</v>
      </c>
      <c r="C2149" s="3" t="n">
        <v>10</v>
      </c>
      <c r="D2149" s="3" t="n">
        <v>13</v>
      </c>
      <c r="E2149" s="3" t="n">
        <v>5</v>
      </c>
      <c r="F2149" s="24" t="n">
        <v>2.79495668</v>
      </c>
    </row>
    <row r="2150" customFormat="false" ht="15" hidden="false" customHeight="false" outlineLevel="0" collapsed="false">
      <c r="A2150" s="3" t="n">
        <v>2149</v>
      </c>
      <c r="B2150" s="3" t="n">
        <v>2148</v>
      </c>
      <c r="C2150" s="3" t="n">
        <v>10</v>
      </c>
      <c r="D2150" s="3" t="n">
        <v>13</v>
      </c>
      <c r="E2150" s="3" t="n">
        <v>6</v>
      </c>
      <c r="F2150" s="24" t="n">
        <v>-0.573595941</v>
      </c>
    </row>
    <row r="2151" customFormat="false" ht="15" hidden="false" customHeight="false" outlineLevel="0" collapsed="false">
      <c r="A2151" s="3" t="n">
        <v>2150</v>
      </c>
      <c r="B2151" s="3" t="n">
        <v>2149</v>
      </c>
      <c r="C2151" s="3" t="n">
        <v>10</v>
      </c>
      <c r="D2151" s="3" t="n">
        <v>13</v>
      </c>
      <c r="E2151" s="3" t="n">
        <v>7</v>
      </c>
      <c r="F2151" s="24" t="n">
        <v>-4.14699888</v>
      </c>
    </row>
    <row r="2152" customFormat="false" ht="15" hidden="false" customHeight="false" outlineLevel="0" collapsed="false">
      <c r="A2152" s="3" t="n">
        <v>2151</v>
      </c>
      <c r="B2152" s="3" t="n">
        <v>2150</v>
      </c>
      <c r="C2152" s="3" t="n">
        <v>10</v>
      </c>
      <c r="D2152" s="3" t="n">
        <v>13</v>
      </c>
      <c r="E2152" s="3" t="n">
        <v>8</v>
      </c>
      <c r="F2152" s="24" t="n">
        <v>-1.69569421</v>
      </c>
    </row>
    <row r="2153" customFormat="false" ht="15" hidden="false" customHeight="false" outlineLevel="0" collapsed="false">
      <c r="A2153" s="3" t="n">
        <v>2152</v>
      </c>
      <c r="B2153" s="3" t="n">
        <v>2151</v>
      </c>
      <c r="C2153" s="3" t="n">
        <v>10</v>
      </c>
      <c r="D2153" s="3" t="n">
        <v>13</v>
      </c>
      <c r="E2153" s="3" t="n">
        <v>9</v>
      </c>
      <c r="F2153" s="24" t="n">
        <v>-0.355865121</v>
      </c>
    </row>
    <row r="2154" customFormat="false" ht="15" hidden="false" customHeight="false" outlineLevel="0" collapsed="false">
      <c r="A2154" s="3" t="n">
        <v>2153</v>
      </c>
      <c r="B2154" s="3" t="n">
        <v>2152</v>
      </c>
      <c r="C2154" s="3" t="n">
        <v>10</v>
      </c>
      <c r="D2154" s="3" t="n">
        <v>13</v>
      </c>
      <c r="E2154" s="3" t="n">
        <v>10</v>
      </c>
      <c r="F2154" s="24" t="n">
        <v>-0.355865121</v>
      </c>
    </row>
    <row r="2155" customFormat="false" ht="15" hidden="false" customHeight="false" outlineLevel="0" collapsed="false">
      <c r="A2155" s="3" t="n">
        <v>2154</v>
      </c>
      <c r="B2155" s="3" t="n">
        <v>2153</v>
      </c>
      <c r="C2155" s="3" t="n">
        <v>10</v>
      </c>
      <c r="D2155" s="3" t="n">
        <v>13</v>
      </c>
      <c r="E2155" s="3" t="n">
        <v>11</v>
      </c>
      <c r="F2155" s="24" t="n">
        <v>-0.355865121</v>
      </c>
    </row>
    <row r="2156" customFormat="false" ht="15" hidden="false" customHeight="false" outlineLevel="0" collapsed="false">
      <c r="A2156" s="3" t="n">
        <v>2155</v>
      </c>
      <c r="B2156" s="3" t="n">
        <v>2154</v>
      </c>
      <c r="C2156" s="3" t="n">
        <v>10</v>
      </c>
      <c r="D2156" s="3" t="n">
        <v>13</v>
      </c>
      <c r="E2156" s="3" t="n">
        <v>12</v>
      </c>
      <c r="F2156" s="24" t="n">
        <v>-0.218360901</v>
      </c>
    </row>
    <row r="2157" customFormat="false" ht="15" hidden="false" customHeight="false" outlineLevel="0" collapsed="false">
      <c r="A2157" s="3" t="n">
        <v>2156</v>
      </c>
      <c r="B2157" s="3" t="n">
        <v>2155</v>
      </c>
      <c r="C2157" s="3" t="n">
        <v>10</v>
      </c>
      <c r="D2157" s="3" t="n">
        <v>13</v>
      </c>
      <c r="E2157" s="3" t="n">
        <v>13</v>
      </c>
      <c r="F2157" s="24" t="n">
        <v>-0.37732321</v>
      </c>
    </row>
    <row r="2158" customFormat="false" ht="15" hidden="false" customHeight="false" outlineLevel="0" collapsed="false">
      <c r="A2158" s="3" t="n">
        <v>2157</v>
      </c>
      <c r="B2158" s="3" t="n">
        <v>2156</v>
      </c>
      <c r="C2158" s="3" t="n">
        <v>11</v>
      </c>
      <c r="D2158" s="3" t="n">
        <v>0</v>
      </c>
      <c r="E2158" s="3" t="n">
        <v>0</v>
      </c>
      <c r="F2158" s="24" t="n">
        <v>0.152415872</v>
      </c>
    </row>
    <row r="2159" customFormat="false" ht="15" hidden="false" customHeight="false" outlineLevel="0" collapsed="false">
      <c r="A2159" s="3" t="n">
        <v>2158</v>
      </c>
      <c r="B2159" s="3" t="n">
        <v>2157</v>
      </c>
      <c r="C2159" s="3" t="n">
        <v>11</v>
      </c>
      <c r="D2159" s="3" t="n">
        <v>0</v>
      </c>
      <c r="E2159" s="3" t="n">
        <v>1</v>
      </c>
      <c r="F2159" s="24" t="n">
        <v>0.280706078</v>
      </c>
    </row>
    <row r="2160" customFormat="false" ht="15" hidden="false" customHeight="false" outlineLevel="0" collapsed="false">
      <c r="A2160" s="3" t="n">
        <v>2159</v>
      </c>
      <c r="B2160" s="3" t="n">
        <v>2158</v>
      </c>
      <c r="C2160" s="3" t="n">
        <v>11</v>
      </c>
      <c r="D2160" s="3" t="n">
        <v>0</v>
      </c>
      <c r="E2160" s="3" t="n">
        <v>2</v>
      </c>
      <c r="F2160" s="24" t="n">
        <v>0.287904233</v>
      </c>
    </row>
    <row r="2161" customFormat="false" ht="15" hidden="false" customHeight="false" outlineLevel="0" collapsed="false">
      <c r="A2161" s="3" t="n">
        <v>2160</v>
      </c>
      <c r="B2161" s="3" t="n">
        <v>2159</v>
      </c>
      <c r="C2161" s="3" t="n">
        <v>11</v>
      </c>
      <c r="D2161" s="3" t="n">
        <v>0</v>
      </c>
      <c r="E2161" s="3" t="n">
        <v>3</v>
      </c>
      <c r="F2161" s="24" t="n">
        <v>0.287904233</v>
      </c>
    </row>
    <row r="2162" customFormat="false" ht="15" hidden="false" customHeight="false" outlineLevel="0" collapsed="false">
      <c r="A2162" s="3" t="n">
        <v>2161</v>
      </c>
      <c r="B2162" s="3" t="n">
        <v>2160</v>
      </c>
      <c r="C2162" s="3" t="n">
        <v>11</v>
      </c>
      <c r="D2162" s="3" t="n">
        <v>0</v>
      </c>
      <c r="E2162" s="3" t="n">
        <v>4</v>
      </c>
      <c r="F2162" s="24" t="n">
        <v>0.287904233</v>
      </c>
    </row>
    <row r="2163" customFormat="false" ht="15" hidden="false" customHeight="false" outlineLevel="0" collapsed="false">
      <c r="A2163" s="3" t="n">
        <v>2162</v>
      </c>
      <c r="B2163" s="3" t="n">
        <v>2161</v>
      </c>
      <c r="C2163" s="3" t="n">
        <v>11</v>
      </c>
      <c r="D2163" s="3" t="n">
        <v>0</v>
      </c>
      <c r="E2163" s="3" t="n">
        <v>5</v>
      </c>
      <c r="F2163" s="24" t="n">
        <v>0.287904233</v>
      </c>
    </row>
    <row r="2164" customFormat="false" ht="15" hidden="false" customHeight="false" outlineLevel="0" collapsed="false">
      <c r="A2164" s="3" t="n">
        <v>2163</v>
      </c>
      <c r="B2164" s="3" t="n">
        <v>2162</v>
      </c>
      <c r="C2164" s="3" t="n">
        <v>11</v>
      </c>
      <c r="D2164" s="3" t="n">
        <v>0</v>
      </c>
      <c r="E2164" s="3" t="n">
        <v>6</v>
      </c>
      <c r="F2164" s="24" t="n">
        <v>0.287904233</v>
      </c>
    </row>
    <row r="2165" customFormat="false" ht="15" hidden="false" customHeight="false" outlineLevel="0" collapsed="false">
      <c r="A2165" s="3" t="n">
        <v>2164</v>
      </c>
      <c r="B2165" s="3" t="n">
        <v>2163</v>
      </c>
      <c r="C2165" s="3" t="n">
        <v>11</v>
      </c>
      <c r="D2165" s="3" t="n">
        <v>0</v>
      </c>
      <c r="E2165" s="3" t="n">
        <v>7</v>
      </c>
      <c r="F2165" s="24" t="n">
        <v>0.287904233</v>
      </c>
    </row>
    <row r="2166" customFormat="false" ht="15" hidden="false" customHeight="false" outlineLevel="0" collapsed="false">
      <c r="A2166" s="3" t="n">
        <v>2165</v>
      </c>
      <c r="B2166" s="3" t="n">
        <v>2164</v>
      </c>
      <c r="C2166" s="3" t="n">
        <v>11</v>
      </c>
      <c r="D2166" s="3" t="n">
        <v>0</v>
      </c>
      <c r="E2166" s="3" t="n">
        <v>8</v>
      </c>
      <c r="F2166" s="24" t="n">
        <v>0.287904233</v>
      </c>
    </row>
    <row r="2167" customFormat="false" ht="15" hidden="false" customHeight="false" outlineLevel="0" collapsed="false">
      <c r="A2167" s="3" t="n">
        <v>2166</v>
      </c>
      <c r="B2167" s="3" t="n">
        <v>2165</v>
      </c>
      <c r="C2167" s="3" t="n">
        <v>11</v>
      </c>
      <c r="D2167" s="3" t="n">
        <v>0</v>
      </c>
      <c r="E2167" s="3" t="n">
        <v>9</v>
      </c>
      <c r="F2167" s="24" t="n">
        <v>0.287904233</v>
      </c>
    </row>
    <row r="2168" customFormat="false" ht="15" hidden="false" customHeight="false" outlineLevel="0" collapsed="false">
      <c r="A2168" s="3" t="n">
        <v>2167</v>
      </c>
      <c r="B2168" s="3" t="n">
        <v>2166</v>
      </c>
      <c r="C2168" s="3" t="n">
        <v>11</v>
      </c>
      <c r="D2168" s="3" t="n">
        <v>0</v>
      </c>
      <c r="E2168" s="3" t="n">
        <v>10</v>
      </c>
      <c r="F2168" s="24" t="n">
        <v>0.287904233</v>
      </c>
    </row>
    <row r="2169" customFormat="false" ht="15" hidden="false" customHeight="false" outlineLevel="0" collapsed="false">
      <c r="A2169" s="3" t="n">
        <v>2168</v>
      </c>
      <c r="B2169" s="3" t="n">
        <v>2167</v>
      </c>
      <c r="C2169" s="3" t="n">
        <v>11</v>
      </c>
      <c r="D2169" s="3" t="n">
        <v>0</v>
      </c>
      <c r="E2169" s="3" t="n">
        <v>11</v>
      </c>
      <c r="F2169" s="24" t="n">
        <v>0.287904233</v>
      </c>
    </row>
    <row r="2170" customFormat="false" ht="15" hidden="false" customHeight="false" outlineLevel="0" collapsed="false">
      <c r="A2170" s="3" t="n">
        <v>2169</v>
      </c>
      <c r="B2170" s="3" t="n">
        <v>2168</v>
      </c>
      <c r="C2170" s="3" t="n">
        <v>11</v>
      </c>
      <c r="D2170" s="3" t="n">
        <v>0</v>
      </c>
      <c r="E2170" s="3" t="n">
        <v>12</v>
      </c>
      <c r="F2170" s="24" t="n">
        <v>0.223767549</v>
      </c>
    </row>
    <row r="2171" customFormat="false" ht="15" hidden="false" customHeight="false" outlineLevel="0" collapsed="false">
      <c r="A2171" s="3" t="n">
        <v>2170</v>
      </c>
      <c r="B2171" s="3" t="n">
        <v>2169</v>
      </c>
      <c r="C2171" s="3" t="n">
        <v>11</v>
      </c>
      <c r="D2171" s="3" t="n">
        <v>0</v>
      </c>
      <c r="E2171" s="3" t="n">
        <v>13</v>
      </c>
      <c r="F2171" s="24" t="n">
        <v>-0.0161908269</v>
      </c>
    </row>
    <row r="2172" customFormat="false" ht="15" hidden="false" customHeight="false" outlineLevel="0" collapsed="false">
      <c r="A2172" s="3" t="n">
        <v>2171</v>
      </c>
      <c r="B2172" s="3" t="n">
        <v>2170</v>
      </c>
      <c r="C2172" s="3" t="n">
        <v>11</v>
      </c>
      <c r="D2172" s="3" t="n">
        <v>1</v>
      </c>
      <c r="E2172" s="3" t="n">
        <v>0</v>
      </c>
      <c r="F2172" s="24" t="n">
        <v>0.0895617008</v>
      </c>
    </row>
    <row r="2173" customFormat="false" ht="15" hidden="false" customHeight="false" outlineLevel="0" collapsed="false">
      <c r="A2173" s="3" t="n">
        <v>2172</v>
      </c>
      <c r="B2173" s="3" t="n">
        <v>2171</v>
      </c>
      <c r="C2173" s="3" t="n">
        <v>11</v>
      </c>
      <c r="D2173" s="3" t="n">
        <v>1</v>
      </c>
      <c r="E2173" s="3" t="n">
        <v>1</v>
      </c>
      <c r="F2173" s="24" t="n">
        <v>0.149672866</v>
      </c>
    </row>
    <row r="2174" customFormat="false" ht="15" hidden="false" customHeight="false" outlineLevel="0" collapsed="false">
      <c r="A2174" s="3" t="n">
        <v>2173</v>
      </c>
      <c r="B2174" s="3" t="n">
        <v>2172</v>
      </c>
      <c r="C2174" s="3" t="n">
        <v>11</v>
      </c>
      <c r="D2174" s="3" t="n">
        <v>1</v>
      </c>
      <c r="E2174" s="3" t="n">
        <v>2</v>
      </c>
      <c r="F2174" s="24" t="n">
        <v>0.182665616</v>
      </c>
    </row>
    <row r="2175" customFormat="false" ht="15" hidden="false" customHeight="false" outlineLevel="0" collapsed="false">
      <c r="A2175" s="3" t="n">
        <v>2174</v>
      </c>
      <c r="B2175" s="3" t="n">
        <v>2173</v>
      </c>
      <c r="C2175" s="3" t="n">
        <v>11</v>
      </c>
      <c r="D2175" s="3" t="n">
        <v>1</v>
      </c>
      <c r="E2175" s="3" t="n">
        <v>3</v>
      </c>
      <c r="F2175" s="24" t="n">
        <v>0.182665616</v>
      </c>
    </row>
    <row r="2176" customFormat="false" ht="15" hidden="false" customHeight="false" outlineLevel="0" collapsed="false">
      <c r="A2176" s="3" t="n">
        <v>2175</v>
      </c>
      <c r="B2176" s="3" t="n">
        <v>2174</v>
      </c>
      <c r="C2176" s="3" t="n">
        <v>11</v>
      </c>
      <c r="D2176" s="3" t="n">
        <v>1</v>
      </c>
      <c r="E2176" s="3" t="n">
        <v>4</v>
      </c>
      <c r="F2176" s="24" t="n">
        <v>0.182665616</v>
      </c>
    </row>
    <row r="2177" customFormat="false" ht="15" hidden="false" customHeight="false" outlineLevel="0" collapsed="false">
      <c r="A2177" s="3" t="n">
        <v>2176</v>
      </c>
      <c r="B2177" s="3" t="n">
        <v>2175</v>
      </c>
      <c r="C2177" s="3" t="n">
        <v>11</v>
      </c>
      <c r="D2177" s="3" t="n">
        <v>1</v>
      </c>
      <c r="E2177" s="3" t="n">
        <v>5</v>
      </c>
      <c r="F2177" s="24" t="n">
        <v>0.182665616</v>
      </c>
    </row>
    <row r="2178" customFormat="false" ht="15" hidden="false" customHeight="false" outlineLevel="0" collapsed="false">
      <c r="A2178" s="3" t="n">
        <v>2177</v>
      </c>
      <c r="B2178" s="3" t="n">
        <v>2176</v>
      </c>
      <c r="C2178" s="3" t="n">
        <v>11</v>
      </c>
      <c r="D2178" s="3" t="n">
        <v>1</v>
      </c>
      <c r="E2178" s="3" t="n">
        <v>6</v>
      </c>
      <c r="F2178" s="24" t="n">
        <v>0.182665616</v>
      </c>
    </row>
    <row r="2179" customFormat="false" ht="15" hidden="false" customHeight="false" outlineLevel="0" collapsed="false">
      <c r="A2179" s="3" t="n">
        <v>2178</v>
      </c>
      <c r="B2179" s="3" t="n">
        <v>2177</v>
      </c>
      <c r="C2179" s="3" t="n">
        <v>11</v>
      </c>
      <c r="D2179" s="3" t="n">
        <v>1</v>
      </c>
      <c r="E2179" s="3" t="n">
        <v>7</v>
      </c>
      <c r="F2179" s="24" t="n">
        <v>0.182665616</v>
      </c>
    </row>
    <row r="2180" customFormat="false" ht="15" hidden="false" customHeight="false" outlineLevel="0" collapsed="false">
      <c r="A2180" s="3" t="n">
        <v>2179</v>
      </c>
      <c r="B2180" s="3" t="n">
        <v>2178</v>
      </c>
      <c r="C2180" s="3" t="n">
        <v>11</v>
      </c>
      <c r="D2180" s="3" t="n">
        <v>1</v>
      </c>
      <c r="E2180" s="3" t="n">
        <v>8</v>
      </c>
      <c r="F2180" s="24" t="n">
        <v>0.182665616</v>
      </c>
    </row>
    <row r="2181" customFormat="false" ht="15" hidden="false" customHeight="false" outlineLevel="0" collapsed="false">
      <c r="A2181" s="3" t="n">
        <v>2180</v>
      </c>
      <c r="B2181" s="3" t="n">
        <v>2179</v>
      </c>
      <c r="C2181" s="3" t="n">
        <v>11</v>
      </c>
      <c r="D2181" s="3" t="n">
        <v>1</v>
      </c>
      <c r="E2181" s="3" t="n">
        <v>9</v>
      </c>
      <c r="F2181" s="24" t="n">
        <v>0.182665616</v>
      </c>
    </row>
    <row r="2182" customFormat="false" ht="15" hidden="false" customHeight="false" outlineLevel="0" collapsed="false">
      <c r="A2182" s="3" t="n">
        <v>2181</v>
      </c>
      <c r="B2182" s="3" t="n">
        <v>2180</v>
      </c>
      <c r="C2182" s="3" t="n">
        <v>11</v>
      </c>
      <c r="D2182" s="3" t="n">
        <v>1</v>
      </c>
      <c r="E2182" s="3" t="n">
        <v>10</v>
      </c>
      <c r="F2182" s="24" t="n">
        <v>0.182665616</v>
      </c>
    </row>
    <row r="2183" customFormat="false" ht="15" hidden="false" customHeight="false" outlineLevel="0" collapsed="false">
      <c r="A2183" s="3" t="n">
        <v>2182</v>
      </c>
      <c r="B2183" s="3" t="n">
        <v>2181</v>
      </c>
      <c r="C2183" s="3" t="n">
        <v>11</v>
      </c>
      <c r="D2183" s="3" t="n">
        <v>1</v>
      </c>
      <c r="E2183" s="3" t="n">
        <v>11</v>
      </c>
      <c r="F2183" s="24" t="n">
        <v>0.182665616</v>
      </c>
    </row>
    <row r="2184" customFormat="false" ht="15" hidden="false" customHeight="false" outlineLevel="0" collapsed="false">
      <c r="A2184" s="3" t="n">
        <v>2183</v>
      </c>
      <c r="B2184" s="3" t="n">
        <v>2182</v>
      </c>
      <c r="C2184" s="3" t="n">
        <v>11</v>
      </c>
      <c r="D2184" s="3" t="n">
        <v>1</v>
      </c>
      <c r="E2184" s="3" t="n">
        <v>12</v>
      </c>
      <c r="F2184" s="24" t="n">
        <v>0.201114684</v>
      </c>
    </row>
    <row r="2185" customFormat="false" ht="15" hidden="false" customHeight="false" outlineLevel="0" collapsed="false">
      <c r="A2185" s="3" t="n">
        <v>2184</v>
      </c>
      <c r="B2185" s="3" t="n">
        <v>2183</v>
      </c>
      <c r="C2185" s="3" t="n">
        <v>11</v>
      </c>
      <c r="D2185" s="3" t="n">
        <v>1</v>
      </c>
      <c r="E2185" s="3" t="n">
        <v>13</v>
      </c>
      <c r="F2185" s="24" t="n">
        <v>-0.0514405668</v>
      </c>
    </row>
    <row r="2186" customFormat="false" ht="15" hidden="false" customHeight="false" outlineLevel="0" collapsed="false">
      <c r="A2186" s="3" t="n">
        <v>2185</v>
      </c>
      <c r="B2186" s="3" t="n">
        <v>2184</v>
      </c>
      <c r="C2186" s="3" t="n">
        <v>11</v>
      </c>
      <c r="D2186" s="3" t="n">
        <v>2</v>
      </c>
      <c r="E2186" s="3" t="n">
        <v>0</v>
      </c>
      <c r="F2186" s="24" t="n">
        <v>0.0595110059</v>
      </c>
    </row>
    <row r="2187" customFormat="false" ht="15" hidden="false" customHeight="false" outlineLevel="0" collapsed="false">
      <c r="A2187" s="3" t="n">
        <v>2186</v>
      </c>
      <c r="B2187" s="3" t="n">
        <v>2185</v>
      </c>
      <c r="C2187" s="3" t="n">
        <v>11</v>
      </c>
      <c r="D2187" s="3" t="n">
        <v>2</v>
      </c>
      <c r="E2187" s="3" t="n">
        <v>1</v>
      </c>
      <c r="F2187" s="24" t="n">
        <v>-0.26588425</v>
      </c>
    </row>
    <row r="2188" customFormat="false" ht="15" hidden="false" customHeight="false" outlineLevel="0" collapsed="false">
      <c r="A2188" s="3" t="n">
        <v>2187</v>
      </c>
      <c r="B2188" s="3" t="n">
        <v>2186</v>
      </c>
      <c r="C2188" s="3" t="n">
        <v>11</v>
      </c>
      <c r="D2188" s="3" t="n">
        <v>2</v>
      </c>
      <c r="E2188" s="3" t="n">
        <v>2</v>
      </c>
      <c r="F2188" s="24" t="n">
        <v>-2.93642426</v>
      </c>
    </row>
    <row r="2189" customFormat="false" ht="15" hidden="false" customHeight="false" outlineLevel="0" collapsed="false">
      <c r="A2189" s="3" t="n">
        <v>2188</v>
      </c>
      <c r="B2189" s="3" t="n">
        <v>2187</v>
      </c>
      <c r="C2189" s="3" t="n">
        <v>11</v>
      </c>
      <c r="D2189" s="3" t="n">
        <v>2</v>
      </c>
      <c r="E2189" s="3" t="n">
        <v>3</v>
      </c>
      <c r="F2189" s="24" t="n">
        <v>-3.6835649</v>
      </c>
    </row>
    <row r="2190" customFormat="false" ht="15" hidden="false" customHeight="false" outlineLevel="0" collapsed="false">
      <c r="A2190" s="3" t="n">
        <v>2189</v>
      </c>
      <c r="B2190" s="3" t="n">
        <v>2188</v>
      </c>
      <c r="C2190" s="3" t="n">
        <v>11</v>
      </c>
      <c r="D2190" s="3" t="n">
        <v>2</v>
      </c>
      <c r="E2190" s="3" t="n">
        <v>4</v>
      </c>
      <c r="F2190" s="24" t="n">
        <v>-4.27114439</v>
      </c>
    </row>
    <row r="2191" customFormat="false" ht="15" hidden="false" customHeight="false" outlineLevel="0" collapsed="false">
      <c r="A2191" s="3" t="n">
        <v>2190</v>
      </c>
      <c r="B2191" s="3" t="n">
        <v>2189</v>
      </c>
      <c r="C2191" s="3" t="n">
        <v>11</v>
      </c>
      <c r="D2191" s="3" t="n">
        <v>2</v>
      </c>
      <c r="E2191" s="3" t="n">
        <v>5</v>
      </c>
      <c r="F2191" s="24" t="n">
        <v>-3.64375448</v>
      </c>
    </row>
    <row r="2192" customFormat="false" ht="15" hidden="false" customHeight="false" outlineLevel="0" collapsed="false">
      <c r="A2192" s="3" t="n">
        <v>2191</v>
      </c>
      <c r="B2192" s="3" t="n">
        <v>2190</v>
      </c>
      <c r="C2192" s="3" t="n">
        <v>11</v>
      </c>
      <c r="D2192" s="3" t="n">
        <v>2</v>
      </c>
      <c r="E2192" s="3" t="n">
        <v>6</v>
      </c>
      <c r="F2192" s="24" t="n">
        <v>-3.0120275</v>
      </c>
    </row>
    <row r="2193" customFormat="false" ht="15" hidden="false" customHeight="false" outlineLevel="0" collapsed="false">
      <c r="A2193" s="3" t="n">
        <v>2192</v>
      </c>
      <c r="B2193" s="3" t="n">
        <v>2191</v>
      </c>
      <c r="C2193" s="3" t="n">
        <v>11</v>
      </c>
      <c r="D2193" s="3" t="n">
        <v>2</v>
      </c>
      <c r="E2193" s="3" t="n">
        <v>7</v>
      </c>
      <c r="F2193" s="24" t="n">
        <v>-2.55004406</v>
      </c>
    </row>
    <row r="2194" customFormat="false" ht="15" hidden="false" customHeight="false" outlineLevel="0" collapsed="false">
      <c r="A2194" s="3" t="n">
        <v>2193</v>
      </c>
      <c r="B2194" s="3" t="n">
        <v>2192</v>
      </c>
      <c r="C2194" s="3" t="n">
        <v>11</v>
      </c>
      <c r="D2194" s="3" t="n">
        <v>2</v>
      </c>
      <c r="E2194" s="3" t="n">
        <v>8</v>
      </c>
      <c r="F2194" s="24" t="n">
        <v>-2.49436903</v>
      </c>
    </row>
    <row r="2195" customFormat="false" ht="15" hidden="false" customHeight="false" outlineLevel="0" collapsed="false">
      <c r="A2195" s="3" t="n">
        <v>2194</v>
      </c>
      <c r="B2195" s="3" t="n">
        <v>2193</v>
      </c>
      <c r="C2195" s="3" t="n">
        <v>11</v>
      </c>
      <c r="D2195" s="3" t="n">
        <v>2</v>
      </c>
      <c r="E2195" s="3" t="n">
        <v>9</v>
      </c>
      <c r="F2195" s="24" t="n">
        <v>-2.00638247</v>
      </c>
    </row>
    <row r="2196" customFormat="false" ht="15" hidden="false" customHeight="false" outlineLevel="0" collapsed="false">
      <c r="A2196" s="3" t="n">
        <v>2195</v>
      </c>
      <c r="B2196" s="3" t="n">
        <v>2194</v>
      </c>
      <c r="C2196" s="3" t="n">
        <v>11</v>
      </c>
      <c r="D2196" s="3" t="n">
        <v>2</v>
      </c>
      <c r="E2196" s="3" t="n">
        <v>10</v>
      </c>
      <c r="F2196" s="24" t="n">
        <v>-0.885957122</v>
      </c>
    </row>
    <row r="2197" customFormat="false" ht="15" hidden="false" customHeight="false" outlineLevel="0" collapsed="false">
      <c r="A2197" s="3" t="n">
        <v>2196</v>
      </c>
      <c r="B2197" s="3" t="n">
        <v>2195</v>
      </c>
      <c r="C2197" s="3" t="n">
        <v>11</v>
      </c>
      <c r="D2197" s="3" t="n">
        <v>2</v>
      </c>
      <c r="E2197" s="3" t="n">
        <v>11</v>
      </c>
      <c r="F2197" s="24" t="n">
        <v>-0.278285056</v>
      </c>
    </row>
    <row r="2198" customFormat="false" ht="15" hidden="false" customHeight="false" outlineLevel="0" collapsed="false">
      <c r="A2198" s="3" t="n">
        <v>2197</v>
      </c>
      <c r="B2198" s="3" t="n">
        <v>2196</v>
      </c>
      <c r="C2198" s="3" t="n">
        <v>11</v>
      </c>
      <c r="D2198" s="3" t="n">
        <v>2</v>
      </c>
      <c r="E2198" s="3" t="n">
        <v>12</v>
      </c>
      <c r="F2198" s="24" t="n">
        <v>0.169542938</v>
      </c>
    </row>
    <row r="2199" customFormat="false" ht="15" hidden="false" customHeight="false" outlineLevel="0" collapsed="false">
      <c r="A2199" s="3" t="n">
        <v>2198</v>
      </c>
      <c r="B2199" s="3" t="n">
        <v>2197</v>
      </c>
      <c r="C2199" s="3" t="n">
        <v>11</v>
      </c>
      <c r="D2199" s="3" t="n">
        <v>2</v>
      </c>
      <c r="E2199" s="3" t="n">
        <v>13</v>
      </c>
      <c r="F2199" s="24" t="n">
        <v>-0.138378024</v>
      </c>
    </row>
    <row r="2200" customFormat="false" ht="15" hidden="false" customHeight="false" outlineLevel="0" collapsed="false">
      <c r="A2200" s="3" t="n">
        <v>2199</v>
      </c>
      <c r="B2200" s="3" t="n">
        <v>2198</v>
      </c>
      <c r="C2200" s="3" t="n">
        <v>11</v>
      </c>
      <c r="D2200" s="3" t="n">
        <v>3</v>
      </c>
      <c r="E2200" s="3" t="n">
        <v>0</v>
      </c>
      <c r="F2200" s="24" t="n">
        <v>0.0595110059</v>
      </c>
    </row>
    <row r="2201" customFormat="false" ht="15" hidden="false" customHeight="false" outlineLevel="0" collapsed="false">
      <c r="A2201" s="3" t="n">
        <v>2200</v>
      </c>
      <c r="B2201" s="3" t="n">
        <v>2199</v>
      </c>
      <c r="C2201" s="3" t="n">
        <v>11</v>
      </c>
      <c r="D2201" s="3" t="n">
        <v>3</v>
      </c>
      <c r="E2201" s="3" t="n">
        <v>1</v>
      </c>
      <c r="F2201" s="24" t="n">
        <v>-0.268774569</v>
      </c>
    </row>
    <row r="2202" customFormat="false" ht="15" hidden="false" customHeight="false" outlineLevel="0" collapsed="false">
      <c r="A2202" s="3" t="n">
        <v>2201</v>
      </c>
      <c r="B2202" s="3" t="n">
        <v>2200</v>
      </c>
      <c r="C2202" s="3" t="n">
        <v>11</v>
      </c>
      <c r="D2202" s="3" t="n">
        <v>3</v>
      </c>
      <c r="E2202" s="3" t="n">
        <v>2</v>
      </c>
      <c r="F2202" s="24" t="n">
        <v>-0.101285592</v>
      </c>
    </row>
    <row r="2203" customFormat="false" ht="15" hidden="false" customHeight="false" outlineLevel="0" collapsed="false">
      <c r="A2203" s="3" t="n">
        <v>2202</v>
      </c>
      <c r="B2203" s="3" t="n">
        <v>2201</v>
      </c>
      <c r="C2203" s="3" t="n">
        <v>11</v>
      </c>
      <c r="D2203" s="3" t="n">
        <v>3</v>
      </c>
      <c r="E2203" s="3" t="n">
        <v>3</v>
      </c>
      <c r="F2203" s="24" t="n">
        <v>0.626852155</v>
      </c>
    </row>
    <row r="2204" customFormat="false" ht="15" hidden="false" customHeight="false" outlineLevel="0" collapsed="false">
      <c r="A2204" s="3" t="n">
        <v>2203</v>
      </c>
      <c r="B2204" s="3" t="n">
        <v>2202</v>
      </c>
      <c r="C2204" s="3" t="n">
        <v>11</v>
      </c>
      <c r="D2204" s="3" t="n">
        <v>3</v>
      </c>
      <c r="E2204" s="3" t="n">
        <v>4</v>
      </c>
      <c r="F2204" s="24" t="n">
        <v>0.149845779</v>
      </c>
    </row>
    <row r="2205" customFormat="false" ht="15" hidden="false" customHeight="false" outlineLevel="0" collapsed="false">
      <c r="A2205" s="3" t="n">
        <v>2204</v>
      </c>
      <c r="B2205" s="3" t="n">
        <v>2203</v>
      </c>
      <c r="C2205" s="3" t="n">
        <v>11</v>
      </c>
      <c r="D2205" s="3" t="n">
        <v>3</v>
      </c>
      <c r="E2205" s="3" t="n">
        <v>5</v>
      </c>
      <c r="F2205" s="24" t="n">
        <v>-1.4956193</v>
      </c>
    </row>
    <row r="2206" customFormat="false" ht="15" hidden="false" customHeight="false" outlineLevel="0" collapsed="false">
      <c r="A2206" s="3" t="n">
        <v>2205</v>
      </c>
      <c r="B2206" s="3" t="n">
        <v>2204</v>
      </c>
      <c r="C2206" s="3" t="n">
        <v>11</v>
      </c>
      <c r="D2206" s="3" t="n">
        <v>3</v>
      </c>
      <c r="E2206" s="3" t="n">
        <v>6</v>
      </c>
      <c r="F2206" s="24" t="n">
        <v>-2.9130795</v>
      </c>
    </row>
    <row r="2207" customFormat="false" ht="15" hidden="false" customHeight="false" outlineLevel="0" collapsed="false">
      <c r="A2207" s="3" t="n">
        <v>2206</v>
      </c>
      <c r="B2207" s="3" t="n">
        <v>2205</v>
      </c>
      <c r="C2207" s="3" t="n">
        <v>11</v>
      </c>
      <c r="D2207" s="3" t="n">
        <v>3</v>
      </c>
      <c r="E2207" s="3" t="n">
        <v>7</v>
      </c>
      <c r="F2207" s="24" t="n">
        <v>-3.54036474</v>
      </c>
    </row>
    <row r="2208" customFormat="false" ht="15" hidden="false" customHeight="false" outlineLevel="0" collapsed="false">
      <c r="A2208" s="3" t="n">
        <v>2207</v>
      </c>
      <c r="B2208" s="3" t="n">
        <v>2206</v>
      </c>
      <c r="C2208" s="3" t="n">
        <v>11</v>
      </c>
      <c r="D2208" s="3" t="n">
        <v>3</v>
      </c>
      <c r="E2208" s="3" t="n">
        <v>8</v>
      </c>
      <c r="F2208" s="24" t="n">
        <v>-3.66938591</v>
      </c>
    </row>
    <row r="2209" customFormat="false" ht="15" hidden="false" customHeight="false" outlineLevel="0" collapsed="false">
      <c r="A2209" s="3" t="n">
        <v>2208</v>
      </c>
      <c r="B2209" s="3" t="n">
        <v>2207</v>
      </c>
      <c r="C2209" s="3" t="n">
        <v>11</v>
      </c>
      <c r="D2209" s="3" t="n">
        <v>3</v>
      </c>
      <c r="E2209" s="3" t="n">
        <v>9</v>
      </c>
      <c r="F2209" s="24" t="n">
        <v>-3.79896069</v>
      </c>
    </row>
    <row r="2210" customFormat="false" ht="15" hidden="false" customHeight="false" outlineLevel="0" collapsed="false">
      <c r="A2210" s="3" t="n">
        <v>2209</v>
      </c>
      <c r="B2210" s="3" t="n">
        <v>2208</v>
      </c>
      <c r="C2210" s="3" t="n">
        <v>11</v>
      </c>
      <c r="D2210" s="3" t="n">
        <v>3</v>
      </c>
      <c r="E2210" s="3" t="n">
        <v>10</v>
      </c>
      <c r="F2210" s="24" t="n">
        <v>-1.35184824</v>
      </c>
    </row>
    <row r="2211" customFormat="false" ht="15" hidden="false" customHeight="false" outlineLevel="0" collapsed="false">
      <c r="A2211" s="3" t="n">
        <v>2210</v>
      </c>
      <c r="B2211" s="3" t="n">
        <v>2209</v>
      </c>
      <c r="C2211" s="3" t="n">
        <v>11</v>
      </c>
      <c r="D2211" s="3" t="n">
        <v>3</v>
      </c>
      <c r="E2211" s="3" t="n">
        <v>11</v>
      </c>
      <c r="F2211" s="24" t="n">
        <v>-0.49564898</v>
      </c>
    </row>
    <row r="2212" customFormat="false" ht="15" hidden="false" customHeight="false" outlineLevel="0" collapsed="false">
      <c r="A2212" s="3" t="n">
        <v>2211</v>
      </c>
      <c r="B2212" s="3" t="n">
        <v>2210</v>
      </c>
      <c r="C2212" s="3" t="n">
        <v>11</v>
      </c>
      <c r="D2212" s="3" t="n">
        <v>3</v>
      </c>
      <c r="E2212" s="3" t="n">
        <v>12</v>
      </c>
      <c r="F2212" s="24" t="n">
        <v>0.0222728848</v>
      </c>
    </row>
    <row r="2213" customFormat="false" ht="15" hidden="false" customHeight="false" outlineLevel="0" collapsed="false">
      <c r="A2213" s="3" t="n">
        <v>2212</v>
      </c>
      <c r="B2213" s="3" t="n">
        <v>2211</v>
      </c>
      <c r="C2213" s="3" t="n">
        <v>11</v>
      </c>
      <c r="D2213" s="3" t="n">
        <v>3</v>
      </c>
      <c r="E2213" s="3" t="n">
        <v>13</v>
      </c>
      <c r="F2213" s="24" t="n">
        <v>-0.138378024</v>
      </c>
    </row>
    <row r="2214" customFormat="false" ht="15" hidden="false" customHeight="false" outlineLevel="0" collapsed="false">
      <c r="A2214" s="3" t="n">
        <v>2213</v>
      </c>
      <c r="B2214" s="3" t="n">
        <v>2212</v>
      </c>
      <c r="C2214" s="3" t="n">
        <v>11</v>
      </c>
      <c r="D2214" s="3" t="n">
        <v>4</v>
      </c>
      <c r="E2214" s="3" t="n">
        <v>0</v>
      </c>
      <c r="F2214" s="24" t="n">
        <v>0.0595110059</v>
      </c>
    </row>
    <row r="2215" customFormat="false" ht="15" hidden="false" customHeight="false" outlineLevel="0" collapsed="false">
      <c r="A2215" s="3" t="n">
        <v>2214</v>
      </c>
      <c r="B2215" s="3" t="n">
        <v>2213</v>
      </c>
      <c r="C2215" s="3" t="n">
        <v>11</v>
      </c>
      <c r="D2215" s="3" t="n">
        <v>4</v>
      </c>
      <c r="E2215" s="3" t="n">
        <v>1</v>
      </c>
      <c r="F2215" s="24" t="n">
        <v>0.807500958</v>
      </c>
    </row>
    <row r="2216" customFormat="false" ht="15" hidden="false" customHeight="false" outlineLevel="0" collapsed="false">
      <c r="A2216" s="3" t="n">
        <v>2215</v>
      </c>
      <c r="B2216" s="3" t="n">
        <v>2214</v>
      </c>
      <c r="C2216" s="3" t="n">
        <v>11</v>
      </c>
      <c r="D2216" s="3" t="n">
        <v>4</v>
      </c>
      <c r="E2216" s="3" t="n">
        <v>2</v>
      </c>
      <c r="F2216" s="24" t="n">
        <v>3.22806931</v>
      </c>
    </row>
    <row r="2217" customFormat="false" ht="15" hidden="false" customHeight="false" outlineLevel="0" collapsed="false">
      <c r="A2217" s="3" t="n">
        <v>2216</v>
      </c>
      <c r="B2217" s="3" t="n">
        <v>2215</v>
      </c>
      <c r="C2217" s="3" t="n">
        <v>11</v>
      </c>
      <c r="D2217" s="3" t="n">
        <v>4</v>
      </c>
      <c r="E2217" s="3" t="n">
        <v>3</v>
      </c>
      <c r="F2217" s="24" t="n">
        <v>2.98908138</v>
      </c>
    </row>
    <row r="2218" customFormat="false" ht="15" hidden="false" customHeight="false" outlineLevel="0" collapsed="false">
      <c r="A2218" s="3" t="n">
        <v>2217</v>
      </c>
      <c r="B2218" s="3" t="n">
        <v>2216</v>
      </c>
      <c r="C2218" s="3" t="n">
        <v>11</v>
      </c>
      <c r="D2218" s="3" t="n">
        <v>4</v>
      </c>
      <c r="E2218" s="3" t="n">
        <v>4</v>
      </c>
      <c r="F2218" s="24" t="n">
        <v>3.96196461</v>
      </c>
    </row>
    <row r="2219" customFormat="false" ht="15" hidden="false" customHeight="false" outlineLevel="0" collapsed="false">
      <c r="A2219" s="3" t="n">
        <v>2218</v>
      </c>
      <c r="B2219" s="3" t="n">
        <v>2217</v>
      </c>
      <c r="C2219" s="3" t="n">
        <v>11</v>
      </c>
      <c r="D2219" s="3" t="n">
        <v>4</v>
      </c>
      <c r="E2219" s="3" t="n">
        <v>5</v>
      </c>
      <c r="F2219" s="24" t="n">
        <v>4.04979134</v>
      </c>
    </row>
    <row r="2220" customFormat="false" ht="15" hidden="false" customHeight="false" outlineLevel="0" collapsed="false">
      <c r="A2220" s="3" t="n">
        <v>2219</v>
      </c>
      <c r="B2220" s="3" t="n">
        <v>2218</v>
      </c>
      <c r="C2220" s="3" t="n">
        <v>11</v>
      </c>
      <c r="D2220" s="3" t="n">
        <v>4</v>
      </c>
      <c r="E2220" s="3" t="n">
        <v>6</v>
      </c>
      <c r="F2220" s="24" t="n">
        <v>4.52723694</v>
      </c>
    </row>
    <row r="2221" customFormat="false" ht="15" hidden="false" customHeight="false" outlineLevel="0" collapsed="false">
      <c r="A2221" s="3" t="n">
        <v>2220</v>
      </c>
      <c r="B2221" s="3" t="n">
        <v>2219</v>
      </c>
      <c r="C2221" s="3" t="n">
        <v>11</v>
      </c>
      <c r="D2221" s="3" t="n">
        <v>4</v>
      </c>
      <c r="E2221" s="3" t="n">
        <v>7</v>
      </c>
      <c r="F2221" s="24" t="n">
        <v>4.69654465</v>
      </c>
    </row>
    <row r="2222" customFormat="false" ht="15" hidden="false" customHeight="false" outlineLevel="0" collapsed="false">
      <c r="A2222" s="3" t="n">
        <v>2221</v>
      </c>
      <c r="B2222" s="3" t="n">
        <v>2220</v>
      </c>
      <c r="C2222" s="3" t="n">
        <v>11</v>
      </c>
      <c r="D2222" s="3" t="n">
        <v>4</v>
      </c>
      <c r="E2222" s="3" t="n">
        <v>8</v>
      </c>
      <c r="F2222" s="24" t="n">
        <v>1.94231689</v>
      </c>
    </row>
    <row r="2223" customFormat="false" ht="15" hidden="false" customHeight="false" outlineLevel="0" collapsed="false">
      <c r="A2223" s="3" t="n">
        <v>2222</v>
      </c>
      <c r="B2223" s="3" t="n">
        <v>2221</v>
      </c>
      <c r="C2223" s="3" t="n">
        <v>11</v>
      </c>
      <c r="D2223" s="3" t="n">
        <v>4</v>
      </c>
      <c r="E2223" s="3" t="n">
        <v>9</v>
      </c>
      <c r="F2223" s="24" t="n">
        <v>1.15961397</v>
      </c>
    </row>
    <row r="2224" customFormat="false" ht="15" hidden="false" customHeight="false" outlineLevel="0" collapsed="false">
      <c r="A2224" s="3" t="n">
        <v>2223</v>
      </c>
      <c r="B2224" s="3" t="n">
        <v>2222</v>
      </c>
      <c r="C2224" s="3" t="n">
        <v>11</v>
      </c>
      <c r="D2224" s="3" t="n">
        <v>4</v>
      </c>
      <c r="E2224" s="3" t="n">
        <v>10</v>
      </c>
      <c r="F2224" s="24" t="n">
        <v>0.893485069</v>
      </c>
    </row>
    <row r="2225" customFormat="false" ht="15" hidden="false" customHeight="false" outlineLevel="0" collapsed="false">
      <c r="A2225" s="3" t="n">
        <v>2224</v>
      </c>
      <c r="B2225" s="3" t="n">
        <v>2223</v>
      </c>
      <c r="C2225" s="3" t="n">
        <v>11</v>
      </c>
      <c r="D2225" s="3" t="n">
        <v>4</v>
      </c>
      <c r="E2225" s="3" t="n">
        <v>11</v>
      </c>
      <c r="F2225" s="24" t="n">
        <v>0.332373828</v>
      </c>
    </row>
    <row r="2226" customFormat="false" ht="15" hidden="false" customHeight="false" outlineLevel="0" collapsed="false">
      <c r="A2226" s="3" t="n">
        <v>2225</v>
      </c>
      <c r="B2226" s="3" t="n">
        <v>2224</v>
      </c>
      <c r="C2226" s="3" t="n">
        <v>11</v>
      </c>
      <c r="D2226" s="3" t="n">
        <v>4</v>
      </c>
      <c r="E2226" s="3" t="n">
        <v>12</v>
      </c>
      <c r="F2226" s="24" t="n">
        <v>0.280834526</v>
      </c>
    </row>
    <row r="2227" customFormat="false" ht="15" hidden="false" customHeight="false" outlineLevel="0" collapsed="false">
      <c r="A2227" s="3" t="n">
        <v>2226</v>
      </c>
      <c r="B2227" s="3" t="n">
        <v>2225</v>
      </c>
      <c r="C2227" s="3" t="n">
        <v>11</v>
      </c>
      <c r="D2227" s="3" t="n">
        <v>4</v>
      </c>
      <c r="E2227" s="3" t="n">
        <v>13</v>
      </c>
      <c r="F2227" s="24" t="n">
        <v>-0.138378024</v>
      </c>
    </row>
    <row r="2228" customFormat="false" ht="15" hidden="false" customHeight="false" outlineLevel="0" collapsed="false">
      <c r="A2228" s="3" t="n">
        <v>2227</v>
      </c>
      <c r="B2228" s="3" t="n">
        <v>2226</v>
      </c>
      <c r="C2228" s="3" t="n">
        <v>11</v>
      </c>
      <c r="D2228" s="3" t="n">
        <v>5</v>
      </c>
      <c r="E2228" s="3" t="n">
        <v>0</v>
      </c>
      <c r="F2228" s="24" t="n">
        <v>0.0595110059</v>
      </c>
    </row>
    <row r="2229" customFormat="false" ht="15" hidden="false" customHeight="false" outlineLevel="0" collapsed="false">
      <c r="A2229" s="3" t="n">
        <v>2228</v>
      </c>
      <c r="B2229" s="3" t="n">
        <v>2227</v>
      </c>
      <c r="C2229" s="3" t="n">
        <v>11</v>
      </c>
      <c r="D2229" s="3" t="n">
        <v>5</v>
      </c>
      <c r="E2229" s="3" t="n">
        <v>1</v>
      </c>
      <c r="F2229" s="24" t="n">
        <v>0.776855826</v>
      </c>
    </row>
    <row r="2230" customFormat="false" ht="15" hidden="false" customHeight="false" outlineLevel="0" collapsed="false">
      <c r="A2230" s="3" t="n">
        <v>2229</v>
      </c>
      <c r="B2230" s="3" t="n">
        <v>2228</v>
      </c>
      <c r="C2230" s="3" t="n">
        <v>11</v>
      </c>
      <c r="D2230" s="3" t="n">
        <v>5</v>
      </c>
      <c r="E2230" s="3" t="n">
        <v>2</v>
      </c>
      <c r="F2230" s="24" t="n">
        <v>1.55677485</v>
      </c>
    </row>
    <row r="2231" customFormat="false" ht="15" hidden="false" customHeight="false" outlineLevel="0" collapsed="false">
      <c r="A2231" s="3" t="n">
        <v>2230</v>
      </c>
      <c r="B2231" s="3" t="n">
        <v>2229</v>
      </c>
      <c r="C2231" s="3" t="n">
        <v>11</v>
      </c>
      <c r="D2231" s="3" t="n">
        <v>5</v>
      </c>
      <c r="E2231" s="3" t="n">
        <v>3</v>
      </c>
      <c r="F2231" s="24" t="n">
        <v>1.47720873</v>
      </c>
    </row>
    <row r="2232" customFormat="false" ht="15" hidden="false" customHeight="false" outlineLevel="0" collapsed="false">
      <c r="A2232" s="3" t="n">
        <v>2231</v>
      </c>
      <c r="B2232" s="3" t="n">
        <v>2230</v>
      </c>
      <c r="C2232" s="3" t="n">
        <v>11</v>
      </c>
      <c r="D2232" s="3" t="n">
        <v>5</v>
      </c>
      <c r="E2232" s="3" t="n">
        <v>4</v>
      </c>
      <c r="F2232" s="24" t="n">
        <v>3.16867089</v>
      </c>
    </row>
    <row r="2233" customFormat="false" ht="15" hidden="false" customHeight="false" outlineLevel="0" collapsed="false">
      <c r="A2233" s="3" t="n">
        <v>2232</v>
      </c>
      <c r="B2233" s="3" t="n">
        <v>2231</v>
      </c>
      <c r="C2233" s="3" t="n">
        <v>11</v>
      </c>
      <c r="D2233" s="3" t="n">
        <v>5</v>
      </c>
      <c r="E2233" s="3" t="n">
        <v>5</v>
      </c>
      <c r="F2233" s="24" t="n">
        <v>3.2158165</v>
      </c>
    </row>
    <row r="2234" customFormat="false" ht="15" hidden="false" customHeight="false" outlineLevel="0" collapsed="false">
      <c r="A2234" s="3" t="n">
        <v>2233</v>
      </c>
      <c r="B2234" s="3" t="n">
        <v>2232</v>
      </c>
      <c r="C2234" s="3" t="n">
        <v>11</v>
      </c>
      <c r="D2234" s="3" t="n">
        <v>5</v>
      </c>
      <c r="E2234" s="3" t="n">
        <v>6</v>
      </c>
      <c r="F2234" s="24" t="n">
        <v>2.99295402</v>
      </c>
    </row>
    <row r="2235" customFormat="false" ht="15" hidden="false" customHeight="false" outlineLevel="0" collapsed="false">
      <c r="A2235" s="3" t="n">
        <v>2234</v>
      </c>
      <c r="B2235" s="3" t="n">
        <v>2233</v>
      </c>
      <c r="C2235" s="3" t="n">
        <v>11</v>
      </c>
      <c r="D2235" s="3" t="n">
        <v>5</v>
      </c>
      <c r="E2235" s="3" t="n">
        <v>7</v>
      </c>
      <c r="F2235" s="24" t="n">
        <v>0.761934638</v>
      </c>
    </row>
    <row r="2236" customFormat="false" ht="15" hidden="false" customHeight="false" outlineLevel="0" collapsed="false">
      <c r="A2236" s="3" t="n">
        <v>2235</v>
      </c>
      <c r="B2236" s="3" t="n">
        <v>2234</v>
      </c>
      <c r="C2236" s="3" t="n">
        <v>11</v>
      </c>
      <c r="D2236" s="3" t="n">
        <v>5</v>
      </c>
      <c r="E2236" s="3" t="n">
        <v>8</v>
      </c>
      <c r="F2236" s="24" t="n">
        <v>-0.358382285</v>
      </c>
    </row>
    <row r="2237" customFormat="false" ht="15" hidden="false" customHeight="false" outlineLevel="0" collapsed="false">
      <c r="A2237" s="3" t="n">
        <v>2236</v>
      </c>
      <c r="B2237" s="3" t="n">
        <v>2235</v>
      </c>
      <c r="C2237" s="3" t="n">
        <v>11</v>
      </c>
      <c r="D2237" s="3" t="n">
        <v>5</v>
      </c>
      <c r="E2237" s="3" t="n">
        <v>9</v>
      </c>
      <c r="F2237" s="24" t="n">
        <v>1.05600333</v>
      </c>
    </row>
    <row r="2238" customFormat="false" ht="15" hidden="false" customHeight="false" outlineLevel="0" collapsed="false">
      <c r="A2238" s="3" t="n">
        <v>2237</v>
      </c>
      <c r="B2238" s="3" t="n">
        <v>2236</v>
      </c>
      <c r="C2238" s="3" t="n">
        <v>11</v>
      </c>
      <c r="D2238" s="3" t="n">
        <v>5</v>
      </c>
      <c r="E2238" s="3" t="n">
        <v>10</v>
      </c>
      <c r="F2238" s="24" t="n">
        <v>0.647099495</v>
      </c>
    </row>
    <row r="2239" customFormat="false" ht="15" hidden="false" customHeight="false" outlineLevel="0" collapsed="false">
      <c r="A2239" s="3" t="n">
        <v>2238</v>
      </c>
      <c r="B2239" s="3" t="n">
        <v>2237</v>
      </c>
      <c r="C2239" s="3" t="n">
        <v>11</v>
      </c>
      <c r="D2239" s="3" t="n">
        <v>5</v>
      </c>
      <c r="E2239" s="3" t="n">
        <v>11</v>
      </c>
      <c r="F2239" s="24" t="n">
        <v>0.820939183</v>
      </c>
    </row>
    <row r="2240" customFormat="false" ht="15" hidden="false" customHeight="false" outlineLevel="0" collapsed="false">
      <c r="A2240" s="3" t="n">
        <v>2239</v>
      </c>
      <c r="B2240" s="3" t="n">
        <v>2238</v>
      </c>
      <c r="C2240" s="3" t="n">
        <v>11</v>
      </c>
      <c r="D2240" s="3" t="n">
        <v>5</v>
      </c>
      <c r="E2240" s="3" t="n">
        <v>12</v>
      </c>
      <c r="F2240" s="24" t="n">
        <v>0.0551779866</v>
      </c>
    </row>
    <row r="2241" customFormat="false" ht="15" hidden="false" customHeight="false" outlineLevel="0" collapsed="false">
      <c r="A2241" s="3" t="n">
        <v>2240</v>
      </c>
      <c r="B2241" s="3" t="n">
        <v>2239</v>
      </c>
      <c r="C2241" s="3" t="n">
        <v>11</v>
      </c>
      <c r="D2241" s="3" t="n">
        <v>5</v>
      </c>
      <c r="E2241" s="3" t="n">
        <v>13</v>
      </c>
      <c r="F2241" s="24" t="n">
        <v>-0.138378024</v>
      </c>
    </row>
    <row r="2242" customFormat="false" ht="15" hidden="false" customHeight="false" outlineLevel="0" collapsed="false">
      <c r="A2242" s="3" t="n">
        <v>2241</v>
      </c>
      <c r="B2242" s="3" t="n">
        <v>2240</v>
      </c>
      <c r="C2242" s="3" t="n">
        <v>11</v>
      </c>
      <c r="D2242" s="3" t="n">
        <v>6</v>
      </c>
      <c r="E2242" s="3" t="n">
        <v>0</v>
      </c>
      <c r="F2242" s="24" t="n">
        <v>0.0595110059</v>
      </c>
    </row>
    <row r="2243" customFormat="false" ht="15" hidden="false" customHeight="false" outlineLevel="0" collapsed="false">
      <c r="A2243" s="3" t="n">
        <v>2242</v>
      </c>
      <c r="B2243" s="3" t="n">
        <v>2241</v>
      </c>
      <c r="C2243" s="3" t="n">
        <v>11</v>
      </c>
      <c r="D2243" s="3" t="n">
        <v>6</v>
      </c>
      <c r="E2243" s="3" t="n">
        <v>1</v>
      </c>
      <c r="F2243" s="24" t="n">
        <v>0.118502557</v>
      </c>
    </row>
    <row r="2244" customFormat="false" ht="15" hidden="false" customHeight="false" outlineLevel="0" collapsed="false">
      <c r="A2244" s="3" t="n">
        <v>2243</v>
      </c>
      <c r="B2244" s="3" t="n">
        <v>2242</v>
      </c>
      <c r="C2244" s="3" t="n">
        <v>11</v>
      </c>
      <c r="D2244" s="3" t="n">
        <v>6</v>
      </c>
      <c r="E2244" s="3" t="n">
        <v>2</v>
      </c>
      <c r="F2244" s="24" t="n">
        <v>0.13113603</v>
      </c>
    </row>
    <row r="2245" customFormat="false" ht="15" hidden="false" customHeight="false" outlineLevel="0" collapsed="false">
      <c r="A2245" s="3" t="n">
        <v>2244</v>
      </c>
      <c r="B2245" s="3" t="n">
        <v>2243</v>
      </c>
      <c r="C2245" s="3" t="n">
        <v>11</v>
      </c>
      <c r="D2245" s="3" t="n">
        <v>6</v>
      </c>
      <c r="E2245" s="3" t="n">
        <v>3</v>
      </c>
      <c r="F2245" s="24" t="n">
        <v>0.221730202</v>
      </c>
    </row>
    <row r="2246" customFormat="false" ht="15" hidden="false" customHeight="false" outlineLevel="0" collapsed="false">
      <c r="A2246" s="3" t="n">
        <v>2245</v>
      </c>
      <c r="B2246" s="3" t="n">
        <v>2244</v>
      </c>
      <c r="C2246" s="3" t="n">
        <v>11</v>
      </c>
      <c r="D2246" s="3" t="n">
        <v>6</v>
      </c>
      <c r="E2246" s="3" t="n">
        <v>4</v>
      </c>
      <c r="F2246" s="24" t="n">
        <v>0.361168593</v>
      </c>
    </row>
    <row r="2247" customFormat="false" ht="15" hidden="false" customHeight="false" outlineLevel="0" collapsed="false">
      <c r="A2247" s="3" t="n">
        <v>2246</v>
      </c>
      <c r="B2247" s="3" t="n">
        <v>2245</v>
      </c>
      <c r="C2247" s="3" t="n">
        <v>11</v>
      </c>
      <c r="D2247" s="3" t="n">
        <v>6</v>
      </c>
      <c r="E2247" s="3" t="n">
        <v>5</v>
      </c>
      <c r="F2247" s="24" t="n">
        <v>0.402765065</v>
      </c>
    </row>
    <row r="2248" customFormat="false" ht="15" hidden="false" customHeight="false" outlineLevel="0" collapsed="false">
      <c r="A2248" s="3" t="n">
        <v>2247</v>
      </c>
      <c r="B2248" s="3" t="n">
        <v>2246</v>
      </c>
      <c r="C2248" s="3" t="n">
        <v>11</v>
      </c>
      <c r="D2248" s="3" t="n">
        <v>6</v>
      </c>
      <c r="E2248" s="3" t="n">
        <v>6</v>
      </c>
      <c r="F2248" s="24" t="n">
        <v>0.0642206967</v>
      </c>
    </row>
    <row r="2249" customFormat="false" ht="15" hidden="false" customHeight="false" outlineLevel="0" collapsed="false">
      <c r="A2249" s="3" t="n">
        <v>2248</v>
      </c>
      <c r="B2249" s="3" t="n">
        <v>2247</v>
      </c>
      <c r="C2249" s="3" t="n">
        <v>11</v>
      </c>
      <c r="D2249" s="3" t="n">
        <v>6</v>
      </c>
      <c r="E2249" s="3" t="n">
        <v>7</v>
      </c>
      <c r="F2249" s="24" t="n">
        <v>-1.85461593</v>
      </c>
    </row>
    <row r="2250" customFormat="false" ht="15" hidden="false" customHeight="false" outlineLevel="0" collapsed="false">
      <c r="A2250" s="3" t="n">
        <v>2249</v>
      </c>
      <c r="B2250" s="3" t="n">
        <v>2248</v>
      </c>
      <c r="C2250" s="3" t="n">
        <v>11</v>
      </c>
      <c r="D2250" s="3" t="n">
        <v>6</v>
      </c>
      <c r="E2250" s="3" t="n">
        <v>8</v>
      </c>
      <c r="F2250" s="24" t="n">
        <v>1.12446785</v>
      </c>
    </row>
    <row r="2251" customFormat="false" ht="15" hidden="false" customHeight="false" outlineLevel="0" collapsed="false">
      <c r="A2251" s="3" t="n">
        <v>2250</v>
      </c>
      <c r="B2251" s="3" t="n">
        <v>2249</v>
      </c>
      <c r="C2251" s="3" t="n">
        <v>11</v>
      </c>
      <c r="D2251" s="3" t="n">
        <v>6</v>
      </c>
      <c r="E2251" s="3" t="n">
        <v>9</v>
      </c>
      <c r="F2251" s="24" t="n">
        <v>1.36341155</v>
      </c>
    </row>
    <row r="2252" customFormat="false" ht="15" hidden="false" customHeight="false" outlineLevel="0" collapsed="false">
      <c r="A2252" s="3" t="n">
        <v>2251</v>
      </c>
      <c r="B2252" s="3" t="n">
        <v>2250</v>
      </c>
      <c r="C2252" s="3" t="n">
        <v>11</v>
      </c>
      <c r="D2252" s="3" t="n">
        <v>6</v>
      </c>
      <c r="E2252" s="3" t="n">
        <v>10</v>
      </c>
      <c r="F2252" s="24" t="n">
        <v>1.96311772</v>
      </c>
    </row>
    <row r="2253" customFormat="false" ht="15" hidden="false" customHeight="false" outlineLevel="0" collapsed="false">
      <c r="A2253" s="3" t="n">
        <v>2252</v>
      </c>
      <c r="B2253" s="3" t="n">
        <v>2251</v>
      </c>
      <c r="C2253" s="3" t="n">
        <v>11</v>
      </c>
      <c r="D2253" s="3" t="n">
        <v>6</v>
      </c>
      <c r="E2253" s="3" t="n">
        <v>11</v>
      </c>
      <c r="F2253" s="24" t="n">
        <v>1.2117734</v>
      </c>
    </row>
    <row r="2254" customFormat="false" ht="15" hidden="false" customHeight="false" outlineLevel="0" collapsed="false">
      <c r="A2254" s="3" t="n">
        <v>2253</v>
      </c>
      <c r="B2254" s="3" t="n">
        <v>2252</v>
      </c>
      <c r="C2254" s="3" t="n">
        <v>11</v>
      </c>
      <c r="D2254" s="3" t="n">
        <v>6</v>
      </c>
      <c r="E2254" s="3" t="n">
        <v>12</v>
      </c>
      <c r="F2254" s="24" t="n">
        <v>0.132748157</v>
      </c>
    </row>
    <row r="2255" customFormat="false" ht="15" hidden="false" customHeight="false" outlineLevel="0" collapsed="false">
      <c r="A2255" s="3" t="n">
        <v>2254</v>
      </c>
      <c r="B2255" s="3" t="n">
        <v>2253</v>
      </c>
      <c r="C2255" s="3" t="n">
        <v>11</v>
      </c>
      <c r="D2255" s="3" t="n">
        <v>6</v>
      </c>
      <c r="E2255" s="3" t="n">
        <v>13</v>
      </c>
      <c r="F2255" s="24" t="n">
        <v>-0.138378024</v>
      </c>
    </row>
    <row r="2256" customFormat="false" ht="15" hidden="false" customHeight="false" outlineLevel="0" collapsed="false">
      <c r="A2256" s="3" t="n">
        <v>2255</v>
      </c>
      <c r="B2256" s="3" t="n">
        <v>2254</v>
      </c>
      <c r="C2256" s="3" t="n">
        <v>11</v>
      </c>
      <c r="D2256" s="3" t="n">
        <v>7</v>
      </c>
      <c r="E2256" s="3" t="n">
        <v>0</v>
      </c>
      <c r="F2256" s="24" t="n">
        <v>0.0595110059</v>
      </c>
    </row>
    <row r="2257" customFormat="false" ht="15" hidden="false" customHeight="false" outlineLevel="0" collapsed="false">
      <c r="A2257" s="3" t="n">
        <v>2256</v>
      </c>
      <c r="B2257" s="3" t="n">
        <v>2255</v>
      </c>
      <c r="C2257" s="3" t="n">
        <v>11</v>
      </c>
      <c r="D2257" s="3" t="n">
        <v>7</v>
      </c>
      <c r="E2257" s="3" t="n">
        <v>1</v>
      </c>
      <c r="F2257" s="24" t="n">
        <v>0.123146236</v>
      </c>
    </row>
    <row r="2258" customFormat="false" ht="15" hidden="false" customHeight="false" outlineLevel="0" collapsed="false">
      <c r="A2258" s="3" t="n">
        <v>2257</v>
      </c>
      <c r="B2258" s="3" t="n">
        <v>2256</v>
      </c>
      <c r="C2258" s="3" t="n">
        <v>11</v>
      </c>
      <c r="D2258" s="3" t="n">
        <v>7</v>
      </c>
      <c r="E2258" s="3" t="n">
        <v>2</v>
      </c>
      <c r="F2258" s="24" t="n">
        <v>0.151524842</v>
      </c>
    </row>
    <row r="2259" customFormat="false" ht="15" hidden="false" customHeight="false" outlineLevel="0" collapsed="false">
      <c r="A2259" s="3" t="n">
        <v>2258</v>
      </c>
      <c r="B2259" s="3" t="n">
        <v>2257</v>
      </c>
      <c r="C2259" s="3" t="n">
        <v>11</v>
      </c>
      <c r="D2259" s="3" t="n">
        <v>7</v>
      </c>
      <c r="E2259" s="3" t="n">
        <v>3</v>
      </c>
      <c r="F2259" s="24" t="n">
        <v>0.151524842</v>
      </c>
    </row>
    <row r="2260" customFormat="false" ht="15" hidden="false" customHeight="false" outlineLevel="0" collapsed="false">
      <c r="A2260" s="3" t="n">
        <v>2259</v>
      </c>
      <c r="B2260" s="3" t="n">
        <v>2258</v>
      </c>
      <c r="C2260" s="3" t="n">
        <v>11</v>
      </c>
      <c r="D2260" s="3" t="n">
        <v>7</v>
      </c>
      <c r="E2260" s="3" t="n">
        <v>4</v>
      </c>
      <c r="F2260" s="24" t="n">
        <v>0.151524842</v>
      </c>
    </row>
    <row r="2261" customFormat="false" ht="15" hidden="false" customHeight="false" outlineLevel="0" collapsed="false">
      <c r="A2261" s="3" t="n">
        <v>2260</v>
      </c>
      <c r="B2261" s="3" t="n">
        <v>2259</v>
      </c>
      <c r="C2261" s="3" t="n">
        <v>11</v>
      </c>
      <c r="D2261" s="3" t="n">
        <v>7</v>
      </c>
      <c r="E2261" s="3" t="n">
        <v>5</v>
      </c>
      <c r="F2261" s="24" t="n">
        <v>0.182723254</v>
      </c>
    </row>
    <row r="2262" customFormat="false" ht="15" hidden="false" customHeight="false" outlineLevel="0" collapsed="false">
      <c r="A2262" s="3" t="n">
        <v>2261</v>
      </c>
      <c r="B2262" s="3" t="n">
        <v>2260</v>
      </c>
      <c r="C2262" s="3" t="n">
        <v>11</v>
      </c>
      <c r="D2262" s="3" t="n">
        <v>7</v>
      </c>
      <c r="E2262" s="3" t="n">
        <v>6</v>
      </c>
      <c r="F2262" s="24" t="n">
        <v>-1.81924284</v>
      </c>
    </row>
    <row r="2263" customFormat="false" ht="15" hidden="false" customHeight="false" outlineLevel="0" collapsed="false">
      <c r="A2263" s="3" t="n">
        <v>2262</v>
      </c>
      <c r="B2263" s="3" t="n">
        <v>2261</v>
      </c>
      <c r="C2263" s="3" t="n">
        <v>11</v>
      </c>
      <c r="D2263" s="3" t="n">
        <v>7</v>
      </c>
      <c r="E2263" s="3" t="n">
        <v>7</v>
      </c>
      <c r="F2263" s="24" t="n">
        <v>-0.938904166</v>
      </c>
    </row>
    <row r="2264" customFormat="false" ht="15" hidden="false" customHeight="false" outlineLevel="0" collapsed="false">
      <c r="A2264" s="3" t="n">
        <v>2263</v>
      </c>
      <c r="B2264" s="3" t="n">
        <v>2262</v>
      </c>
      <c r="C2264" s="3" t="n">
        <v>11</v>
      </c>
      <c r="D2264" s="3" t="n">
        <v>7</v>
      </c>
      <c r="E2264" s="3" t="n">
        <v>8</v>
      </c>
      <c r="F2264" s="24" t="n">
        <v>1.28407454</v>
      </c>
    </row>
    <row r="2265" customFormat="false" ht="15" hidden="false" customHeight="false" outlineLevel="0" collapsed="false">
      <c r="A2265" s="3" t="n">
        <v>2264</v>
      </c>
      <c r="B2265" s="3" t="n">
        <v>2263</v>
      </c>
      <c r="C2265" s="3" t="n">
        <v>11</v>
      </c>
      <c r="D2265" s="3" t="n">
        <v>7</v>
      </c>
      <c r="E2265" s="3" t="n">
        <v>9</v>
      </c>
      <c r="F2265" s="24" t="n">
        <v>0.661880374</v>
      </c>
    </row>
    <row r="2266" customFormat="false" ht="15" hidden="false" customHeight="false" outlineLevel="0" collapsed="false">
      <c r="A2266" s="3" t="n">
        <v>2265</v>
      </c>
      <c r="B2266" s="3" t="n">
        <v>2264</v>
      </c>
      <c r="C2266" s="3" t="n">
        <v>11</v>
      </c>
      <c r="D2266" s="3" t="n">
        <v>7</v>
      </c>
      <c r="E2266" s="3" t="n">
        <v>10</v>
      </c>
      <c r="F2266" s="24" t="n">
        <v>1.85820067</v>
      </c>
    </row>
    <row r="2267" customFormat="false" ht="15" hidden="false" customHeight="false" outlineLevel="0" collapsed="false">
      <c r="A2267" s="3" t="n">
        <v>2266</v>
      </c>
      <c r="B2267" s="3" t="n">
        <v>2265</v>
      </c>
      <c r="C2267" s="3" t="n">
        <v>11</v>
      </c>
      <c r="D2267" s="3" t="n">
        <v>7</v>
      </c>
      <c r="E2267" s="3" t="n">
        <v>11</v>
      </c>
      <c r="F2267" s="24" t="n">
        <v>0.196728081</v>
      </c>
    </row>
    <row r="2268" customFormat="false" ht="15" hidden="false" customHeight="false" outlineLevel="0" collapsed="false">
      <c r="A2268" s="3" t="n">
        <v>2267</v>
      </c>
      <c r="B2268" s="3" t="n">
        <v>2266</v>
      </c>
      <c r="C2268" s="3" t="n">
        <v>11</v>
      </c>
      <c r="D2268" s="3" t="n">
        <v>7</v>
      </c>
      <c r="E2268" s="3" t="n">
        <v>12</v>
      </c>
      <c r="F2268" s="24" t="n">
        <v>0.161764771</v>
      </c>
    </row>
    <row r="2269" customFormat="false" ht="15" hidden="false" customHeight="false" outlineLevel="0" collapsed="false">
      <c r="A2269" s="3" t="n">
        <v>2268</v>
      </c>
      <c r="B2269" s="3" t="n">
        <v>2267</v>
      </c>
      <c r="C2269" s="3" t="n">
        <v>11</v>
      </c>
      <c r="D2269" s="3" t="n">
        <v>7</v>
      </c>
      <c r="E2269" s="3" t="n">
        <v>13</v>
      </c>
      <c r="F2269" s="24" t="n">
        <v>-0.138378024</v>
      </c>
    </row>
    <row r="2270" customFormat="false" ht="15" hidden="false" customHeight="false" outlineLevel="0" collapsed="false">
      <c r="A2270" s="3" t="n">
        <v>2269</v>
      </c>
      <c r="B2270" s="3" t="n">
        <v>2268</v>
      </c>
      <c r="C2270" s="3" t="n">
        <v>11</v>
      </c>
      <c r="D2270" s="3" t="n">
        <v>8</v>
      </c>
      <c r="E2270" s="3" t="n">
        <v>0</v>
      </c>
      <c r="F2270" s="24" t="n">
        <v>0.0595110059</v>
      </c>
    </row>
    <row r="2271" customFormat="false" ht="15" hidden="false" customHeight="false" outlineLevel="0" collapsed="false">
      <c r="A2271" s="3" t="n">
        <v>2270</v>
      </c>
      <c r="B2271" s="3" t="n">
        <v>2269</v>
      </c>
      <c r="C2271" s="3" t="n">
        <v>11</v>
      </c>
      <c r="D2271" s="3" t="n">
        <v>8</v>
      </c>
      <c r="E2271" s="3" t="n">
        <v>1</v>
      </c>
      <c r="F2271" s="24" t="n">
        <v>0.123146236</v>
      </c>
    </row>
    <row r="2272" customFormat="false" ht="15" hidden="false" customHeight="false" outlineLevel="0" collapsed="false">
      <c r="A2272" s="3" t="n">
        <v>2271</v>
      </c>
      <c r="B2272" s="3" t="n">
        <v>2270</v>
      </c>
      <c r="C2272" s="3" t="n">
        <v>11</v>
      </c>
      <c r="D2272" s="3" t="n">
        <v>8</v>
      </c>
      <c r="E2272" s="3" t="n">
        <v>2</v>
      </c>
      <c r="F2272" s="24" t="n">
        <v>0.151524842</v>
      </c>
    </row>
    <row r="2273" customFormat="false" ht="15" hidden="false" customHeight="false" outlineLevel="0" collapsed="false">
      <c r="A2273" s="3" t="n">
        <v>2272</v>
      </c>
      <c r="B2273" s="3" t="n">
        <v>2271</v>
      </c>
      <c r="C2273" s="3" t="n">
        <v>11</v>
      </c>
      <c r="D2273" s="3" t="n">
        <v>8</v>
      </c>
      <c r="E2273" s="3" t="n">
        <v>3</v>
      </c>
      <c r="F2273" s="24" t="n">
        <v>0.151524842</v>
      </c>
    </row>
    <row r="2274" customFormat="false" ht="15" hidden="false" customHeight="false" outlineLevel="0" collapsed="false">
      <c r="A2274" s="3" t="n">
        <v>2273</v>
      </c>
      <c r="B2274" s="3" t="n">
        <v>2272</v>
      </c>
      <c r="C2274" s="3" t="n">
        <v>11</v>
      </c>
      <c r="D2274" s="3" t="n">
        <v>8</v>
      </c>
      <c r="E2274" s="3" t="n">
        <v>4</v>
      </c>
      <c r="F2274" s="24" t="n">
        <v>0.157094777</v>
      </c>
    </row>
    <row r="2275" customFormat="false" ht="15" hidden="false" customHeight="false" outlineLevel="0" collapsed="false">
      <c r="A2275" s="3" t="n">
        <v>2274</v>
      </c>
      <c r="B2275" s="3" t="n">
        <v>2273</v>
      </c>
      <c r="C2275" s="3" t="n">
        <v>11</v>
      </c>
      <c r="D2275" s="3" t="n">
        <v>8</v>
      </c>
      <c r="E2275" s="3" t="n">
        <v>5</v>
      </c>
      <c r="F2275" s="24" t="n">
        <v>-1.47836816</v>
      </c>
    </row>
    <row r="2276" customFormat="false" ht="15" hidden="false" customHeight="false" outlineLevel="0" collapsed="false">
      <c r="A2276" s="3" t="n">
        <v>2275</v>
      </c>
      <c r="B2276" s="3" t="n">
        <v>2274</v>
      </c>
      <c r="C2276" s="3" t="n">
        <v>11</v>
      </c>
      <c r="D2276" s="3" t="n">
        <v>8</v>
      </c>
      <c r="E2276" s="3" t="n">
        <v>6</v>
      </c>
      <c r="F2276" s="24" t="n">
        <v>-2.59505939</v>
      </c>
    </row>
    <row r="2277" customFormat="false" ht="15" hidden="false" customHeight="false" outlineLevel="0" collapsed="false">
      <c r="A2277" s="3" t="n">
        <v>2276</v>
      </c>
      <c r="B2277" s="3" t="n">
        <v>2275</v>
      </c>
      <c r="C2277" s="3" t="n">
        <v>11</v>
      </c>
      <c r="D2277" s="3" t="n">
        <v>8</v>
      </c>
      <c r="E2277" s="3" t="n">
        <v>7</v>
      </c>
      <c r="F2277" s="24" t="n">
        <v>0.626085281</v>
      </c>
    </row>
    <row r="2278" customFormat="false" ht="15" hidden="false" customHeight="false" outlineLevel="0" collapsed="false">
      <c r="A2278" s="3" t="n">
        <v>2277</v>
      </c>
      <c r="B2278" s="3" t="n">
        <v>2276</v>
      </c>
      <c r="C2278" s="3" t="n">
        <v>11</v>
      </c>
      <c r="D2278" s="3" t="n">
        <v>8</v>
      </c>
      <c r="E2278" s="3" t="n">
        <v>8</v>
      </c>
      <c r="F2278" s="24" t="n">
        <v>0.947160602</v>
      </c>
    </row>
    <row r="2279" customFormat="false" ht="15" hidden="false" customHeight="false" outlineLevel="0" collapsed="false">
      <c r="A2279" s="3" t="n">
        <v>2278</v>
      </c>
      <c r="B2279" s="3" t="n">
        <v>2277</v>
      </c>
      <c r="C2279" s="3" t="n">
        <v>11</v>
      </c>
      <c r="D2279" s="3" t="n">
        <v>8</v>
      </c>
      <c r="E2279" s="3" t="n">
        <v>9</v>
      </c>
      <c r="F2279" s="24" t="n">
        <v>1.64630151</v>
      </c>
    </row>
    <row r="2280" customFormat="false" ht="15" hidden="false" customHeight="false" outlineLevel="0" collapsed="false">
      <c r="A2280" s="3" t="n">
        <v>2279</v>
      </c>
      <c r="B2280" s="3" t="n">
        <v>2278</v>
      </c>
      <c r="C2280" s="3" t="n">
        <v>11</v>
      </c>
      <c r="D2280" s="3" t="n">
        <v>8</v>
      </c>
      <c r="E2280" s="3" t="n">
        <v>10</v>
      </c>
      <c r="F2280" s="24" t="n">
        <v>1.14411783</v>
      </c>
    </row>
    <row r="2281" customFormat="false" ht="15" hidden="false" customHeight="false" outlineLevel="0" collapsed="false">
      <c r="A2281" s="3" t="n">
        <v>2280</v>
      </c>
      <c r="B2281" s="3" t="n">
        <v>2279</v>
      </c>
      <c r="C2281" s="3" t="n">
        <v>11</v>
      </c>
      <c r="D2281" s="3" t="n">
        <v>8</v>
      </c>
      <c r="E2281" s="3" t="n">
        <v>11</v>
      </c>
      <c r="F2281" s="24" t="n">
        <v>0.107867628</v>
      </c>
    </row>
    <row r="2282" customFormat="false" ht="15" hidden="false" customHeight="false" outlineLevel="0" collapsed="false">
      <c r="A2282" s="3" t="n">
        <v>2281</v>
      </c>
      <c r="B2282" s="3" t="n">
        <v>2280</v>
      </c>
      <c r="C2282" s="3" t="n">
        <v>11</v>
      </c>
      <c r="D2282" s="3" t="n">
        <v>8</v>
      </c>
      <c r="E2282" s="3" t="n">
        <v>12</v>
      </c>
      <c r="F2282" s="24" t="n">
        <v>0.162026316</v>
      </c>
    </row>
    <row r="2283" customFormat="false" ht="15" hidden="false" customHeight="false" outlineLevel="0" collapsed="false">
      <c r="A2283" s="3" t="n">
        <v>2282</v>
      </c>
      <c r="B2283" s="3" t="n">
        <v>2281</v>
      </c>
      <c r="C2283" s="3" t="n">
        <v>11</v>
      </c>
      <c r="D2283" s="3" t="n">
        <v>8</v>
      </c>
      <c r="E2283" s="3" t="n">
        <v>13</v>
      </c>
      <c r="F2283" s="24" t="n">
        <v>-0.138378024</v>
      </c>
    </row>
    <row r="2284" customFormat="false" ht="15" hidden="false" customHeight="false" outlineLevel="0" collapsed="false">
      <c r="A2284" s="3" t="n">
        <v>2283</v>
      </c>
      <c r="B2284" s="3" t="n">
        <v>2282</v>
      </c>
      <c r="C2284" s="3" t="n">
        <v>11</v>
      </c>
      <c r="D2284" s="3" t="n">
        <v>9</v>
      </c>
      <c r="E2284" s="3" t="n">
        <v>0</v>
      </c>
      <c r="F2284" s="24" t="n">
        <v>0.0595110059</v>
      </c>
    </row>
    <row r="2285" customFormat="false" ht="15" hidden="false" customHeight="false" outlineLevel="0" collapsed="false">
      <c r="A2285" s="3" t="n">
        <v>2284</v>
      </c>
      <c r="B2285" s="3" t="n">
        <v>2283</v>
      </c>
      <c r="C2285" s="3" t="n">
        <v>11</v>
      </c>
      <c r="D2285" s="3" t="n">
        <v>9</v>
      </c>
      <c r="E2285" s="3" t="n">
        <v>1</v>
      </c>
      <c r="F2285" s="24" t="n">
        <v>0.123146236</v>
      </c>
    </row>
    <row r="2286" customFormat="false" ht="15" hidden="false" customHeight="false" outlineLevel="0" collapsed="false">
      <c r="A2286" s="3" t="n">
        <v>2285</v>
      </c>
      <c r="B2286" s="3" t="n">
        <v>2284</v>
      </c>
      <c r="C2286" s="3" t="n">
        <v>11</v>
      </c>
      <c r="D2286" s="3" t="n">
        <v>9</v>
      </c>
      <c r="E2286" s="3" t="n">
        <v>2</v>
      </c>
      <c r="F2286" s="24" t="n">
        <v>0.151524842</v>
      </c>
    </row>
    <row r="2287" customFormat="false" ht="15" hidden="false" customHeight="false" outlineLevel="0" collapsed="false">
      <c r="A2287" s="3" t="n">
        <v>2286</v>
      </c>
      <c r="B2287" s="3" t="n">
        <v>2285</v>
      </c>
      <c r="C2287" s="3" t="n">
        <v>11</v>
      </c>
      <c r="D2287" s="3" t="n">
        <v>9</v>
      </c>
      <c r="E2287" s="3" t="n">
        <v>3</v>
      </c>
      <c r="F2287" s="24" t="n">
        <v>0.151524842</v>
      </c>
    </row>
    <row r="2288" customFormat="false" ht="15" hidden="false" customHeight="false" outlineLevel="0" collapsed="false">
      <c r="A2288" s="3" t="n">
        <v>2287</v>
      </c>
      <c r="B2288" s="3" t="n">
        <v>2286</v>
      </c>
      <c r="C2288" s="3" t="n">
        <v>11</v>
      </c>
      <c r="D2288" s="3" t="n">
        <v>9</v>
      </c>
      <c r="E2288" s="3" t="n">
        <v>4</v>
      </c>
      <c r="F2288" s="24" t="n">
        <v>-0.278014511</v>
      </c>
    </row>
    <row r="2289" customFormat="false" ht="15" hidden="false" customHeight="false" outlineLevel="0" collapsed="false">
      <c r="A2289" s="3" t="n">
        <v>2288</v>
      </c>
      <c r="B2289" s="3" t="n">
        <v>2287</v>
      </c>
      <c r="C2289" s="3" t="n">
        <v>11</v>
      </c>
      <c r="D2289" s="3" t="n">
        <v>9</v>
      </c>
      <c r="E2289" s="3" t="n">
        <v>5</v>
      </c>
      <c r="F2289" s="24" t="n">
        <v>-2.61553717</v>
      </c>
    </row>
    <row r="2290" customFormat="false" ht="15" hidden="false" customHeight="false" outlineLevel="0" collapsed="false">
      <c r="A2290" s="3" t="n">
        <v>2289</v>
      </c>
      <c r="B2290" s="3" t="n">
        <v>2288</v>
      </c>
      <c r="C2290" s="3" t="n">
        <v>11</v>
      </c>
      <c r="D2290" s="3" t="n">
        <v>9</v>
      </c>
      <c r="E2290" s="3" t="n">
        <v>6</v>
      </c>
      <c r="F2290" s="24" t="n">
        <v>0.0453457832</v>
      </c>
    </row>
    <row r="2291" customFormat="false" ht="15" hidden="false" customHeight="false" outlineLevel="0" collapsed="false">
      <c r="A2291" s="3" t="n">
        <v>2290</v>
      </c>
      <c r="B2291" s="3" t="n">
        <v>2289</v>
      </c>
      <c r="C2291" s="3" t="n">
        <v>11</v>
      </c>
      <c r="D2291" s="3" t="n">
        <v>9</v>
      </c>
      <c r="E2291" s="3" t="n">
        <v>7</v>
      </c>
      <c r="F2291" s="24" t="n">
        <v>2.03940058</v>
      </c>
    </row>
    <row r="2292" customFormat="false" ht="15" hidden="false" customHeight="false" outlineLevel="0" collapsed="false">
      <c r="A2292" s="3" t="n">
        <v>2291</v>
      </c>
      <c r="B2292" s="3" t="n">
        <v>2290</v>
      </c>
      <c r="C2292" s="3" t="n">
        <v>11</v>
      </c>
      <c r="D2292" s="3" t="n">
        <v>9</v>
      </c>
      <c r="E2292" s="3" t="n">
        <v>8</v>
      </c>
      <c r="F2292" s="24" t="n">
        <v>1.14568973</v>
      </c>
    </row>
    <row r="2293" customFormat="false" ht="15" hidden="false" customHeight="false" outlineLevel="0" collapsed="false">
      <c r="A2293" s="3" t="n">
        <v>2292</v>
      </c>
      <c r="B2293" s="3" t="n">
        <v>2291</v>
      </c>
      <c r="C2293" s="3" t="n">
        <v>11</v>
      </c>
      <c r="D2293" s="3" t="n">
        <v>9</v>
      </c>
      <c r="E2293" s="3" t="n">
        <v>9</v>
      </c>
      <c r="F2293" s="24" t="n">
        <v>1.96462929</v>
      </c>
    </row>
    <row r="2294" customFormat="false" ht="15" hidden="false" customHeight="false" outlineLevel="0" collapsed="false">
      <c r="A2294" s="3" t="n">
        <v>2293</v>
      </c>
      <c r="B2294" s="3" t="n">
        <v>2292</v>
      </c>
      <c r="C2294" s="3" t="n">
        <v>11</v>
      </c>
      <c r="D2294" s="3" t="n">
        <v>9</v>
      </c>
      <c r="E2294" s="3" t="n">
        <v>10</v>
      </c>
      <c r="F2294" s="24" t="n">
        <v>0.174791098</v>
      </c>
    </row>
    <row r="2295" customFormat="false" ht="15" hidden="false" customHeight="false" outlineLevel="0" collapsed="false">
      <c r="A2295" s="3" t="n">
        <v>2294</v>
      </c>
      <c r="B2295" s="3" t="n">
        <v>2293</v>
      </c>
      <c r="C2295" s="3" t="n">
        <v>11</v>
      </c>
      <c r="D2295" s="3" t="n">
        <v>9</v>
      </c>
      <c r="E2295" s="3" t="n">
        <v>11</v>
      </c>
      <c r="F2295" s="24" t="n">
        <v>0.150595397</v>
      </c>
    </row>
    <row r="2296" customFormat="false" ht="15" hidden="false" customHeight="false" outlineLevel="0" collapsed="false">
      <c r="A2296" s="3" t="n">
        <v>2295</v>
      </c>
      <c r="B2296" s="3" t="n">
        <v>2294</v>
      </c>
      <c r="C2296" s="3" t="n">
        <v>11</v>
      </c>
      <c r="D2296" s="3" t="n">
        <v>9</v>
      </c>
      <c r="E2296" s="3" t="n">
        <v>12</v>
      </c>
      <c r="F2296" s="24" t="n">
        <v>0.162026316</v>
      </c>
    </row>
    <row r="2297" customFormat="false" ht="15" hidden="false" customHeight="false" outlineLevel="0" collapsed="false">
      <c r="A2297" s="3" t="n">
        <v>2296</v>
      </c>
      <c r="B2297" s="3" t="n">
        <v>2295</v>
      </c>
      <c r="C2297" s="3" t="n">
        <v>11</v>
      </c>
      <c r="D2297" s="3" t="n">
        <v>9</v>
      </c>
      <c r="E2297" s="3" t="n">
        <v>13</v>
      </c>
      <c r="F2297" s="24" t="n">
        <v>-0.138378024</v>
      </c>
    </row>
    <row r="2298" customFormat="false" ht="15" hidden="false" customHeight="false" outlineLevel="0" collapsed="false">
      <c r="A2298" s="3" t="n">
        <v>2297</v>
      </c>
      <c r="B2298" s="3" t="n">
        <v>2296</v>
      </c>
      <c r="C2298" s="3" t="n">
        <v>11</v>
      </c>
      <c r="D2298" s="3" t="n">
        <v>10</v>
      </c>
      <c r="E2298" s="3" t="n">
        <v>0</v>
      </c>
      <c r="F2298" s="24" t="n">
        <v>0.0595110059</v>
      </c>
    </row>
    <row r="2299" customFormat="false" ht="15" hidden="false" customHeight="false" outlineLevel="0" collapsed="false">
      <c r="A2299" s="3" t="n">
        <v>2298</v>
      </c>
      <c r="B2299" s="3" t="n">
        <v>2297</v>
      </c>
      <c r="C2299" s="3" t="n">
        <v>11</v>
      </c>
      <c r="D2299" s="3" t="n">
        <v>10</v>
      </c>
      <c r="E2299" s="3" t="n">
        <v>1</v>
      </c>
      <c r="F2299" s="24" t="n">
        <v>0.123146236</v>
      </c>
    </row>
    <row r="2300" customFormat="false" ht="15" hidden="false" customHeight="false" outlineLevel="0" collapsed="false">
      <c r="A2300" s="3" t="n">
        <v>2299</v>
      </c>
      <c r="B2300" s="3" t="n">
        <v>2298</v>
      </c>
      <c r="C2300" s="3" t="n">
        <v>11</v>
      </c>
      <c r="D2300" s="3" t="n">
        <v>10</v>
      </c>
      <c r="E2300" s="3" t="n">
        <v>2</v>
      </c>
      <c r="F2300" s="24" t="n">
        <v>0.151524842</v>
      </c>
    </row>
    <row r="2301" customFormat="false" ht="15" hidden="false" customHeight="false" outlineLevel="0" collapsed="false">
      <c r="A2301" s="3" t="n">
        <v>2300</v>
      </c>
      <c r="B2301" s="3" t="n">
        <v>2299</v>
      </c>
      <c r="C2301" s="3" t="n">
        <v>11</v>
      </c>
      <c r="D2301" s="3" t="n">
        <v>10</v>
      </c>
      <c r="E2301" s="3" t="n">
        <v>3</v>
      </c>
      <c r="F2301" s="24" t="n">
        <v>0.183655828</v>
      </c>
    </row>
    <row r="2302" customFormat="false" ht="15" hidden="false" customHeight="false" outlineLevel="0" collapsed="false">
      <c r="A2302" s="3" t="n">
        <v>2301</v>
      </c>
      <c r="B2302" s="3" t="n">
        <v>2300</v>
      </c>
      <c r="C2302" s="3" t="n">
        <v>11</v>
      </c>
      <c r="D2302" s="3" t="n">
        <v>10</v>
      </c>
      <c r="E2302" s="3" t="n">
        <v>4</v>
      </c>
      <c r="F2302" s="24" t="n">
        <v>-2.04012775</v>
      </c>
    </row>
    <row r="2303" customFormat="false" ht="15" hidden="false" customHeight="false" outlineLevel="0" collapsed="false">
      <c r="A2303" s="3" t="n">
        <v>2302</v>
      </c>
      <c r="B2303" s="3" t="n">
        <v>2301</v>
      </c>
      <c r="C2303" s="3" t="n">
        <v>11</v>
      </c>
      <c r="D2303" s="3" t="n">
        <v>10</v>
      </c>
      <c r="E2303" s="3" t="n">
        <v>5</v>
      </c>
      <c r="F2303" s="24" t="n">
        <v>-2.56587577</v>
      </c>
    </row>
    <row r="2304" customFormat="false" ht="15" hidden="false" customHeight="false" outlineLevel="0" collapsed="false">
      <c r="A2304" s="3" t="n">
        <v>2303</v>
      </c>
      <c r="B2304" s="3" t="n">
        <v>2302</v>
      </c>
      <c r="C2304" s="3" t="n">
        <v>11</v>
      </c>
      <c r="D2304" s="3" t="n">
        <v>10</v>
      </c>
      <c r="E2304" s="3" t="n">
        <v>6</v>
      </c>
      <c r="F2304" s="24" t="n">
        <v>0.717733264</v>
      </c>
    </row>
    <row r="2305" customFormat="false" ht="15" hidden="false" customHeight="false" outlineLevel="0" collapsed="false">
      <c r="A2305" s="3" t="n">
        <v>2304</v>
      </c>
      <c r="B2305" s="3" t="n">
        <v>2303</v>
      </c>
      <c r="C2305" s="3" t="n">
        <v>11</v>
      </c>
      <c r="D2305" s="3" t="n">
        <v>10</v>
      </c>
      <c r="E2305" s="3" t="n">
        <v>7</v>
      </c>
      <c r="F2305" s="24" t="n">
        <v>1.03166723</v>
      </c>
    </row>
    <row r="2306" customFormat="false" ht="15" hidden="false" customHeight="false" outlineLevel="0" collapsed="false">
      <c r="A2306" s="3" t="n">
        <v>2305</v>
      </c>
      <c r="B2306" s="3" t="n">
        <v>2304</v>
      </c>
      <c r="C2306" s="3" t="n">
        <v>11</v>
      </c>
      <c r="D2306" s="3" t="n">
        <v>10</v>
      </c>
      <c r="E2306" s="3" t="n">
        <v>8</v>
      </c>
      <c r="F2306" s="24" t="n">
        <v>1.91787517</v>
      </c>
    </row>
    <row r="2307" customFormat="false" ht="15" hidden="false" customHeight="false" outlineLevel="0" collapsed="false">
      <c r="A2307" s="3" t="n">
        <v>2306</v>
      </c>
      <c r="B2307" s="3" t="n">
        <v>2305</v>
      </c>
      <c r="C2307" s="3" t="n">
        <v>11</v>
      </c>
      <c r="D2307" s="3" t="n">
        <v>10</v>
      </c>
      <c r="E2307" s="3" t="n">
        <v>9</v>
      </c>
      <c r="F2307" s="24" t="n">
        <v>0.852997422</v>
      </c>
    </row>
    <row r="2308" customFormat="false" ht="15" hidden="false" customHeight="false" outlineLevel="0" collapsed="false">
      <c r="A2308" s="3" t="n">
        <v>2307</v>
      </c>
      <c r="B2308" s="3" t="n">
        <v>2306</v>
      </c>
      <c r="C2308" s="3" t="n">
        <v>11</v>
      </c>
      <c r="D2308" s="3" t="n">
        <v>10</v>
      </c>
      <c r="E2308" s="3" t="n">
        <v>10</v>
      </c>
      <c r="F2308" s="24" t="n">
        <v>0.120473146</v>
      </c>
    </row>
    <row r="2309" customFormat="false" ht="15" hidden="false" customHeight="false" outlineLevel="0" collapsed="false">
      <c r="A2309" s="3" t="n">
        <v>2308</v>
      </c>
      <c r="B2309" s="3" t="n">
        <v>2307</v>
      </c>
      <c r="C2309" s="3" t="n">
        <v>11</v>
      </c>
      <c r="D2309" s="3" t="n">
        <v>10</v>
      </c>
      <c r="E2309" s="3" t="n">
        <v>11</v>
      </c>
      <c r="F2309" s="24" t="n">
        <v>0.151524842</v>
      </c>
    </row>
    <row r="2310" customFormat="false" ht="15" hidden="false" customHeight="false" outlineLevel="0" collapsed="false">
      <c r="A2310" s="3" t="n">
        <v>2309</v>
      </c>
      <c r="B2310" s="3" t="n">
        <v>2308</v>
      </c>
      <c r="C2310" s="3" t="n">
        <v>11</v>
      </c>
      <c r="D2310" s="3" t="n">
        <v>10</v>
      </c>
      <c r="E2310" s="3" t="n">
        <v>12</v>
      </c>
      <c r="F2310" s="24" t="n">
        <v>0.162026316</v>
      </c>
    </row>
    <row r="2311" customFormat="false" ht="15" hidden="false" customHeight="false" outlineLevel="0" collapsed="false">
      <c r="A2311" s="3" t="n">
        <v>2310</v>
      </c>
      <c r="B2311" s="3" t="n">
        <v>2309</v>
      </c>
      <c r="C2311" s="3" t="n">
        <v>11</v>
      </c>
      <c r="D2311" s="3" t="n">
        <v>10</v>
      </c>
      <c r="E2311" s="3" t="n">
        <v>13</v>
      </c>
      <c r="F2311" s="24" t="n">
        <v>-0.138378024</v>
      </c>
    </row>
    <row r="2312" customFormat="false" ht="15" hidden="false" customHeight="false" outlineLevel="0" collapsed="false">
      <c r="A2312" s="3" t="n">
        <v>2311</v>
      </c>
      <c r="B2312" s="3" t="n">
        <v>2310</v>
      </c>
      <c r="C2312" s="3" t="n">
        <v>11</v>
      </c>
      <c r="D2312" s="3" t="n">
        <v>11</v>
      </c>
      <c r="E2312" s="3" t="n">
        <v>0</v>
      </c>
      <c r="F2312" s="24" t="n">
        <v>0.0595110059</v>
      </c>
    </row>
    <row r="2313" customFormat="false" ht="15" hidden="false" customHeight="false" outlineLevel="0" collapsed="false">
      <c r="A2313" s="3" t="n">
        <v>2312</v>
      </c>
      <c r="B2313" s="3" t="n">
        <v>2311</v>
      </c>
      <c r="C2313" s="3" t="n">
        <v>11</v>
      </c>
      <c r="D2313" s="3" t="n">
        <v>11</v>
      </c>
      <c r="E2313" s="3" t="n">
        <v>1</v>
      </c>
      <c r="F2313" s="24" t="n">
        <v>0.123146236</v>
      </c>
    </row>
    <row r="2314" customFormat="false" ht="15" hidden="false" customHeight="false" outlineLevel="0" collapsed="false">
      <c r="A2314" s="3" t="n">
        <v>2313</v>
      </c>
      <c r="B2314" s="3" t="n">
        <v>2312</v>
      </c>
      <c r="C2314" s="3" t="n">
        <v>11</v>
      </c>
      <c r="D2314" s="3" t="n">
        <v>11</v>
      </c>
      <c r="E2314" s="3" t="n">
        <v>2</v>
      </c>
      <c r="F2314" s="24" t="n">
        <v>0.151524842</v>
      </c>
    </row>
    <row r="2315" customFormat="false" ht="15" hidden="false" customHeight="false" outlineLevel="0" collapsed="false">
      <c r="A2315" s="3" t="n">
        <v>2314</v>
      </c>
      <c r="B2315" s="3" t="n">
        <v>2313</v>
      </c>
      <c r="C2315" s="3" t="n">
        <v>11</v>
      </c>
      <c r="D2315" s="3" t="n">
        <v>11</v>
      </c>
      <c r="E2315" s="3" t="n">
        <v>3</v>
      </c>
      <c r="F2315" s="24" t="n">
        <v>-0.305430174</v>
      </c>
    </row>
    <row r="2316" customFormat="false" ht="15" hidden="false" customHeight="false" outlineLevel="0" collapsed="false">
      <c r="A2316" s="3" t="n">
        <v>2315</v>
      </c>
      <c r="B2316" s="3" t="n">
        <v>2314</v>
      </c>
      <c r="C2316" s="3" t="n">
        <v>11</v>
      </c>
      <c r="D2316" s="3" t="n">
        <v>11</v>
      </c>
      <c r="E2316" s="3" t="n">
        <v>4</v>
      </c>
      <c r="F2316" s="24" t="n">
        <v>-2.17324638</v>
      </c>
    </row>
    <row r="2317" customFormat="false" ht="15" hidden="false" customHeight="false" outlineLevel="0" collapsed="false">
      <c r="A2317" s="3" t="n">
        <v>2316</v>
      </c>
      <c r="B2317" s="3" t="n">
        <v>2315</v>
      </c>
      <c r="C2317" s="3" t="n">
        <v>11</v>
      </c>
      <c r="D2317" s="3" t="n">
        <v>11</v>
      </c>
      <c r="E2317" s="3" t="n">
        <v>5</v>
      </c>
      <c r="F2317" s="24" t="n">
        <v>-0.628377557</v>
      </c>
    </row>
    <row r="2318" customFormat="false" ht="15" hidden="false" customHeight="false" outlineLevel="0" collapsed="false">
      <c r="A2318" s="3" t="n">
        <v>2317</v>
      </c>
      <c r="B2318" s="3" t="n">
        <v>2316</v>
      </c>
      <c r="C2318" s="3" t="n">
        <v>11</v>
      </c>
      <c r="D2318" s="3" t="n">
        <v>11</v>
      </c>
      <c r="E2318" s="3" t="n">
        <v>6</v>
      </c>
      <c r="F2318" s="24" t="n">
        <v>0.467497081</v>
      </c>
    </row>
    <row r="2319" customFormat="false" ht="15" hidden="false" customHeight="false" outlineLevel="0" collapsed="false">
      <c r="A2319" s="3" t="n">
        <v>2318</v>
      </c>
      <c r="B2319" s="3" t="n">
        <v>2317</v>
      </c>
      <c r="C2319" s="3" t="n">
        <v>11</v>
      </c>
      <c r="D2319" s="3" t="n">
        <v>11</v>
      </c>
      <c r="E2319" s="3" t="n">
        <v>7</v>
      </c>
      <c r="F2319" s="24" t="n">
        <v>1.17592061</v>
      </c>
    </row>
    <row r="2320" customFormat="false" ht="15" hidden="false" customHeight="false" outlineLevel="0" collapsed="false">
      <c r="A2320" s="3" t="n">
        <v>2319</v>
      </c>
      <c r="B2320" s="3" t="n">
        <v>2318</v>
      </c>
      <c r="C2320" s="3" t="n">
        <v>11</v>
      </c>
      <c r="D2320" s="3" t="n">
        <v>11</v>
      </c>
      <c r="E2320" s="3" t="n">
        <v>8</v>
      </c>
      <c r="F2320" s="24" t="n">
        <v>1.61832798</v>
      </c>
    </row>
    <row r="2321" customFormat="false" ht="15" hidden="false" customHeight="false" outlineLevel="0" collapsed="false">
      <c r="A2321" s="3" t="n">
        <v>2320</v>
      </c>
      <c r="B2321" s="3" t="n">
        <v>2319</v>
      </c>
      <c r="C2321" s="3" t="n">
        <v>11</v>
      </c>
      <c r="D2321" s="3" t="n">
        <v>11</v>
      </c>
      <c r="E2321" s="3" t="n">
        <v>9</v>
      </c>
      <c r="F2321" s="24" t="n">
        <v>0.112235934</v>
      </c>
    </row>
    <row r="2322" customFormat="false" ht="15" hidden="false" customHeight="false" outlineLevel="0" collapsed="false">
      <c r="A2322" s="3" t="n">
        <v>2321</v>
      </c>
      <c r="B2322" s="3" t="n">
        <v>2320</v>
      </c>
      <c r="C2322" s="3" t="n">
        <v>11</v>
      </c>
      <c r="D2322" s="3" t="n">
        <v>11</v>
      </c>
      <c r="E2322" s="3" t="n">
        <v>10</v>
      </c>
      <c r="F2322" s="24" t="n">
        <v>0.151524842</v>
      </c>
    </row>
    <row r="2323" customFormat="false" ht="15" hidden="false" customHeight="false" outlineLevel="0" collapsed="false">
      <c r="A2323" s="3" t="n">
        <v>2322</v>
      </c>
      <c r="B2323" s="3" t="n">
        <v>2321</v>
      </c>
      <c r="C2323" s="3" t="n">
        <v>11</v>
      </c>
      <c r="D2323" s="3" t="n">
        <v>11</v>
      </c>
      <c r="E2323" s="3" t="n">
        <v>11</v>
      </c>
      <c r="F2323" s="24" t="n">
        <v>0.151524842</v>
      </c>
    </row>
    <row r="2324" customFormat="false" ht="15" hidden="false" customHeight="false" outlineLevel="0" collapsed="false">
      <c r="A2324" s="3" t="n">
        <v>2323</v>
      </c>
      <c r="B2324" s="3" t="n">
        <v>2322</v>
      </c>
      <c r="C2324" s="3" t="n">
        <v>11</v>
      </c>
      <c r="D2324" s="3" t="n">
        <v>11</v>
      </c>
      <c r="E2324" s="3" t="n">
        <v>12</v>
      </c>
      <c r="F2324" s="24" t="n">
        <v>0.162026316</v>
      </c>
    </row>
    <row r="2325" customFormat="false" ht="15" hidden="false" customHeight="false" outlineLevel="0" collapsed="false">
      <c r="A2325" s="3" t="n">
        <v>2324</v>
      </c>
      <c r="B2325" s="3" t="n">
        <v>2323</v>
      </c>
      <c r="C2325" s="3" t="n">
        <v>11</v>
      </c>
      <c r="D2325" s="3" t="n">
        <v>11</v>
      </c>
      <c r="E2325" s="3" t="n">
        <v>13</v>
      </c>
      <c r="F2325" s="24" t="n">
        <v>-0.138378024</v>
      </c>
    </row>
    <row r="2326" customFormat="false" ht="15" hidden="false" customHeight="false" outlineLevel="0" collapsed="false">
      <c r="A2326" s="3" t="n">
        <v>2325</v>
      </c>
      <c r="B2326" s="3" t="n">
        <v>2324</v>
      </c>
      <c r="C2326" s="3" t="n">
        <v>11</v>
      </c>
      <c r="D2326" s="3" t="n">
        <v>12</v>
      </c>
      <c r="E2326" s="3" t="n">
        <v>0</v>
      </c>
      <c r="F2326" s="24" t="n">
        <v>-0.147748917</v>
      </c>
    </row>
    <row r="2327" customFormat="false" ht="15" hidden="false" customHeight="false" outlineLevel="0" collapsed="false">
      <c r="A2327" s="3" t="n">
        <v>2326</v>
      </c>
      <c r="B2327" s="3" t="n">
        <v>2325</v>
      </c>
      <c r="C2327" s="3" t="n">
        <v>11</v>
      </c>
      <c r="D2327" s="3" t="n">
        <v>12</v>
      </c>
      <c r="E2327" s="3" t="n">
        <v>1</v>
      </c>
      <c r="F2327" s="24" t="n">
        <v>-0.13859421</v>
      </c>
    </row>
    <row r="2328" customFormat="false" ht="15" hidden="false" customHeight="false" outlineLevel="0" collapsed="false">
      <c r="A2328" s="3" t="n">
        <v>2327</v>
      </c>
      <c r="B2328" s="3" t="n">
        <v>2326</v>
      </c>
      <c r="C2328" s="3" t="n">
        <v>11</v>
      </c>
      <c r="D2328" s="3" t="n">
        <v>12</v>
      </c>
      <c r="E2328" s="3" t="n">
        <v>2</v>
      </c>
      <c r="F2328" s="24" t="n">
        <v>-0.108738586</v>
      </c>
    </row>
    <row r="2329" customFormat="false" ht="15" hidden="false" customHeight="false" outlineLevel="0" collapsed="false">
      <c r="A2329" s="3" t="n">
        <v>2328</v>
      </c>
      <c r="B2329" s="3" t="n">
        <v>2327</v>
      </c>
      <c r="C2329" s="3" t="n">
        <v>11</v>
      </c>
      <c r="D2329" s="3" t="n">
        <v>12</v>
      </c>
      <c r="E2329" s="3" t="n">
        <v>3</v>
      </c>
      <c r="F2329" s="24" t="n">
        <v>-0.215492561</v>
      </c>
    </row>
    <row r="2330" customFormat="false" ht="15" hidden="false" customHeight="false" outlineLevel="0" collapsed="false">
      <c r="A2330" s="3" t="n">
        <v>2329</v>
      </c>
      <c r="B2330" s="3" t="n">
        <v>2328</v>
      </c>
      <c r="C2330" s="3" t="n">
        <v>11</v>
      </c>
      <c r="D2330" s="3" t="n">
        <v>12</v>
      </c>
      <c r="E2330" s="3" t="n">
        <v>4</v>
      </c>
      <c r="F2330" s="24" t="n">
        <v>2.16262627</v>
      </c>
    </row>
    <row r="2331" customFormat="false" ht="15" hidden="false" customHeight="false" outlineLevel="0" collapsed="false">
      <c r="A2331" s="3" t="n">
        <v>2330</v>
      </c>
      <c r="B2331" s="3" t="n">
        <v>2329</v>
      </c>
      <c r="C2331" s="3" t="n">
        <v>11</v>
      </c>
      <c r="D2331" s="3" t="n">
        <v>12</v>
      </c>
      <c r="E2331" s="3" t="n">
        <v>5</v>
      </c>
      <c r="F2331" s="24" t="n">
        <v>3.72680616</v>
      </c>
    </row>
    <row r="2332" customFormat="false" ht="15" hidden="false" customHeight="false" outlineLevel="0" collapsed="false">
      <c r="A2332" s="3" t="n">
        <v>2331</v>
      </c>
      <c r="B2332" s="3" t="n">
        <v>2330</v>
      </c>
      <c r="C2332" s="3" t="n">
        <v>11</v>
      </c>
      <c r="D2332" s="3" t="n">
        <v>12</v>
      </c>
      <c r="E2332" s="3" t="n">
        <v>6</v>
      </c>
      <c r="F2332" s="24" t="n">
        <v>3.15938616</v>
      </c>
    </row>
    <row r="2333" customFormat="false" ht="15" hidden="false" customHeight="false" outlineLevel="0" collapsed="false">
      <c r="A2333" s="3" t="n">
        <v>2332</v>
      </c>
      <c r="B2333" s="3" t="n">
        <v>2331</v>
      </c>
      <c r="C2333" s="3" t="n">
        <v>11</v>
      </c>
      <c r="D2333" s="3" t="n">
        <v>12</v>
      </c>
      <c r="E2333" s="3" t="n">
        <v>7</v>
      </c>
      <c r="F2333" s="24" t="n">
        <v>2.99140549</v>
      </c>
    </row>
    <row r="2334" customFormat="false" ht="15" hidden="false" customHeight="false" outlineLevel="0" collapsed="false">
      <c r="A2334" s="3" t="n">
        <v>2333</v>
      </c>
      <c r="B2334" s="3" t="n">
        <v>2332</v>
      </c>
      <c r="C2334" s="3" t="n">
        <v>11</v>
      </c>
      <c r="D2334" s="3" t="n">
        <v>12</v>
      </c>
      <c r="E2334" s="3" t="n">
        <v>8</v>
      </c>
      <c r="F2334" s="24" t="n">
        <v>0.49886921</v>
      </c>
    </row>
    <row r="2335" customFormat="false" ht="15" hidden="false" customHeight="false" outlineLevel="0" collapsed="false">
      <c r="A2335" s="3" t="n">
        <v>2334</v>
      </c>
      <c r="B2335" s="3" t="n">
        <v>2333</v>
      </c>
      <c r="C2335" s="3" t="n">
        <v>11</v>
      </c>
      <c r="D2335" s="3" t="n">
        <v>12</v>
      </c>
      <c r="E2335" s="3" t="n">
        <v>9</v>
      </c>
      <c r="F2335" s="24" t="n">
        <v>-0.117009893</v>
      </c>
    </row>
    <row r="2336" customFormat="false" ht="15" hidden="false" customHeight="false" outlineLevel="0" collapsed="false">
      <c r="A2336" s="3" t="n">
        <v>2335</v>
      </c>
      <c r="B2336" s="3" t="n">
        <v>2334</v>
      </c>
      <c r="C2336" s="3" t="n">
        <v>11</v>
      </c>
      <c r="D2336" s="3" t="n">
        <v>12</v>
      </c>
      <c r="E2336" s="3" t="n">
        <v>10</v>
      </c>
      <c r="F2336" s="24" t="n">
        <v>-0.108738586</v>
      </c>
    </row>
    <row r="2337" customFormat="false" ht="15" hidden="false" customHeight="false" outlineLevel="0" collapsed="false">
      <c r="A2337" s="3" t="n">
        <v>2336</v>
      </c>
      <c r="B2337" s="3" t="n">
        <v>2335</v>
      </c>
      <c r="C2337" s="3" t="n">
        <v>11</v>
      </c>
      <c r="D2337" s="3" t="n">
        <v>12</v>
      </c>
      <c r="E2337" s="3" t="n">
        <v>11</v>
      </c>
      <c r="F2337" s="24" t="n">
        <v>-0.108738586</v>
      </c>
    </row>
    <row r="2338" customFormat="false" ht="15" hidden="false" customHeight="false" outlineLevel="0" collapsed="false">
      <c r="A2338" s="3" t="n">
        <v>2337</v>
      </c>
      <c r="B2338" s="3" t="n">
        <v>2336</v>
      </c>
      <c r="C2338" s="3" t="n">
        <v>11</v>
      </c>
      <c r="D2338" s="3" t="n">
        <v>12</v>
      </c>
      <c r="E2338" s="3" t="n">
        <v>12</v>
      </c>
      <c r="F2338" s="24" t="n">
        <v>-0.0982371122</v>
      </c>
    </row>
    <row r="2339" customFormat="false" ht="15" hidden="false" customHeight="false" outlineLevel="0" collapsed="false">
      <c r="A2339" s="3" t="n">
        <v>2338</v>
      </c>
      <c r="B2339" s="3" t="n">
        <v>2337</v>
      </c>
      <c r="C2339" s="3" t="n">
        <v>11</v>
      </c>
      <c r="D2339" s="3" t="n">
        <v>12</v>
      </c>
      <c r="E2339" s="3" t="n">
        <v>13</v>
      </c>
      <c r="F2339" s="24" t="n">
        <v>-0.295731187</v>
      </c>
    </row>
    <row r="2340" customFormat="false" ht="15" hidden="false" customHeight="false" outlineLevel="0" collapsed="false">
      <c r="A2340" s="3" t="n">
        <v>2339</v>
      </c>
      <c r="B2340" s="3" t="n">
        <v>2338</v>
      </c>
      <c r="C2340" s="3" t="n">
        <v>11</v>
      </c>
      <c r="D2340" s="3" t="n">
        <v>13</v>
      </c>
      <c r="E2340" s="3" t="n">
        <v>0</v>
      </c>
      <c r="F2340" s="24" t="n">
        <v>-0.204373986</v>
      </c>
    </row>
    <row r="2341" customFormat="false" ht="15" hidden="false" customHeight="false" outlineLevel="0" collapsed="false">
      <c r="A2341" s="3" t="n">
        <v>2340</v>
      </c>
      <c r="B2341" s="3" t="n">
        <v>2339</v>
      </c>
      <c r="C2341" s="3" t="n">
        <v>11</v>
      </c>
      <c r="D2341" s="3" t="n">
        <v>13</v>
      </c>
      <c r="E2341" s="3" t="n">
        <v>1</v>
      </c>
      <c r="F2341" s="24" t="n">
        <v>-0.270922154</v>
      </c>
    </row>
    <row r="2342" customFormat="false" ht="15" hidden="false" customHeight="false" outlineLevel="0" collapsed="false">
      <c r="A2342" s="3" t="n">
        <v>2341</v>
      </c>
      <c r="B2342" s="3" t="n">
        <v>2340</v>
      </c>
      <c r="C2342" s="3" t="n">
        <v>11</v>
      </c>
      <c r="D2342" s="3" t="n">
        <v>13</v>
      </c>
      <c r="E2342" s="3" t="n">
        <v>2</v>
      </c>
      <c r="F2342" s="24" t="n">
        <v>-0.272434443</v>
      </c>
    </row>
    <row r="2343" customFormat="false" ht="15" hidden="false" customHeight="false" outlineLevel="0" collapsed="false">
      <c r="A2343" s="3" t="n">
        <v>2342</v>
      </c>
      <c r="B2343" s="3" t="n">
        <v>2341</v>
      </c>
      <c r="C2343" s="3" t="n">
        <v>11</v>
      </c>
      <c r="D2343" s="3" t="n">
        <v>13</v>
      </c>
      <c r="E2343" s="3" t="n">
        <v>3</v>
      </c>
      <c r="F2343" s="24" t="n">
        <v>0.207174689</v>
      </c>
    </row>
    <row r="2344" customFormat="false" ht="15" hidden="false" customHeight="false" outlineLevel="0" collapsed="false">
      <c r="A2344" s="3" t="n">
        <v>2343</v>
      </c>
      <c r="B2344" s="3" t="n">
        <v>2342</v>
      </c>
      <c r="C2344" s="3" t="n">
        <v>11</v>
      </c>
      <c r="D2344" s="3" t="n">
        <v>13</v>
      </c>
      <c r="E2344" s="3" t="n">
        <v>4</v>
      </c>
      <c r="F2344" s="24" t="n">
        <v>2.71044421</v>
      </c>
    </row>
    <row r="2345" customFormat="false" ht="15" hidden="false" customHeight="false" outlineLevel="0" collapsed="false">
      <c r="A2345" s="3" t="n">
        <v>2344</v>
      </c>
      <c r="B2345" s="3" t="n">
        <v>2343</v>
      </c>
      <c r="C2345" s="3" t="n">
        <v>11</v>
      </c>
      <c r="D2345" s="3" t="n">
        <v>13</v>
      </c>
      <c r="E2345" s="3" t="n">
        <v>5</v>
      </c>
      <c r="F2345" s="24" t="n">
        <v>2.05137849</v>
      </c>
    </row>
    <row r="2346" customFormat="false" ht="15" hidden="false" customHeight="false" outlineLevel="0" collapsed="false">
      <c r="A2346" s="3" t="n">
        <v>2345</v>
      </c>
      <c r="B2346" s="3" t="n">
        <v>2344</v>
      </c>
      <c r="C2346" s="3" t="n">
        <v>11</v>
      </c>
      <c r="D2346" s="3" t="n">
        <v>13</v>
      </c>
      <c r="E2346" s="3" t="n">
        <v>6</v>
      </c>
      <c r="F2346" s="24" t="n">
        <v>1.3640635</v>
      </c>
    </row>
    <row r="2347" customFormat="false" ht="15" hidden="false" customHeight="false" outlineLevel="0" collapsed="false">
      <c r="A2347" s="3" t="n">
        <v>2346</v>
      </c>
      <c r="B2347" s="3" t="n">
        <v>2345</v>
      </c>
      <c r="C2347" s="3" t="n">
        <v>11</v>
      </c>
      <c r="D2347" s="3" t="n">
        <v>13</v>
      </c>
      <c r="E2347" s="3" t="n">
        <v>7</v>
      </c>
      <c r="F2347" s="24" t="n">
        <v>1.03103471</v>
      </c>
    </row>
    <row r="2348" customFormat="false" ht="15" hidden="false" customHeight="false" outlineLevel="0" collapsed="false">
      <c r="A2348" s="3" t="n">
        <v>2347</v>
      </c>
      <c r="B2348" s="3" t="n">
        <v>2346</v>
      </c>
      <c r="C2348" s="3" t="n">
        <v>11</v>
      </c>
      <c r="D2348" s="3" t="n">
        <v>13</v>
      </c>
      <c r="E2348" s="3" t="n">
        <v>8</v>
      </c>
      <c r="F2348" s="24" t="n">
        <v>-0.442255199</v>
      </c>
    </row>
    <row r="2349" customFormat="false" ht="15" hidden="false" customHeight="false" outlineLevel="0" collapsed="false">
      <c r="A2349" s="3" t="n">
        <v>2348</v>
      </c>
      <c r="B2349" s="3" t="n">
        <v>2347</v>
      </c>
      <c r="C2349" s="3" t="n">
        <v>11</v>
      </c>
      <c r="D2349" s="3" t="n">
        <v>13</v>
      </c>
      <c r="E2349" s="3" t="n">
        <v>9</v>
      </c>
      <c r="F2349" s="24" t="n">
        <v>-0.272434443</v>
      </c>
    </row>
    <row r="2350" customFormat="false" ht="15" hidden="false" customHeight="false" outlineLevel="0" collapsed="false">
      <c r="A2350" s="3" t="n">
        <v>2349</v>
      </c>
      <c r="B2350" s="3" t="n">
        <v>2348</v>
      </c>
      <c r="C2350" s="3" t="n">
        <v>11</v>
      </c>
      <c r="D2350" s="3" t="n">
        <v>13</v>
      </c>
      <c r="E2350" s="3" t="n">
        <v>10</v>
      </c>
      <c r="F2350" s="24" t="n">
        <v>-0.272434443</v>
      </c>
    </row>
    <row r="2351" customFormat="false" ht="15" hidden="false" customHeight="false" outlineLevel="0" collapsed="false">
      <c r="A2351" s="3" t="n">
        <v>2350</v>
      </c>
      <c r="B2351" s="3" t="n">
        <v>2349</v>
      </c>
      <c r="C2351" s="3" t="n">
        <v>11</v>
      </c>
      <c r="D2351" s="3" t="n">
        <v>13</v>
      </c>
      <c r="E2351" s="3" t="n">
        <v>11</v>
      </c>
      <c r="F2351" s="24" t="n">
        <v>-0.272434443</v>
      </c>
    </row>
    <row r="2352" customFormat="false" ht="15" hidden="false" customHeight="false" outlineLevel="0" collapsed="false">
      <c r="A2352" s="3" t="n">
        <v>2351</v>
      </c>
      <c r="B2352" s="3" t="n">
        <v>2350</v>
      </c>
      <c r="C2352" s="3" t="n">
        <v>11</v>
      </c>
      <c r="D2352" s="3" t="n">
        <v>13</v>
      </c>
      <c r="E2352" s="3" t="n">
        <v>12</v>
      </c>
      <c r="F2352" s="24" t="n">
        <v>-0.163346022</v>
      </c>
    </row>
    <row r="2353" customFormat="false" ht="15" hidden="false" customHeight="false" outlineLevel="0" collapsed="false">
      <c r="A2353" s="3" t="n">
        <v>2352</v>
      </c>
      <c r="B2353" s="3" t="n">
        <v>2351</v>
      </c>
      <c r="C2353" s="3" t="n">
        <v>11</v>
      </c>
      <c r="D2353" s="3" t="n">
        <v>13</v>
      </c>
      <c r="E2353" s="3" t="n">
        <v>13</v>
      </c>
      <c r="F2353" s="24" t="n">
        <v>-0.350263596</v>
      </c>
    </row>
    <row r="2354" customFormat="false" ht="15" hidden="false" customHeight="false" outlineLevel="0" collapsed="false">
      <c r="A2354" s="3" t="n">
        <v>2353</v>
      </c>
      <c r="B2354" s="3" t="n">
        <v>2352</v>
      </c>
      <c r="C2354" s="3" t="n">
        <v>12</v>
      </c>
      <c r="D2354" s="3" t="n">
        <v>0</v>
      </c>
      <c r="E2354" s="3" t="n">
        <v>0</v>
      </c>
      <c r="F2354" s="24" t="n">
        <v>-0.400085062</v>
      </c>
    </row>
    <row r="2355" customFormat="false" ht="15" hidden="false" customHeight="false" outlineLevel="0" collapsed="false">
      <c r="A2355" s="3" t="n">
        <v>2354</v>
      </c>
      <c r="B2355" s="3" t="n">
        <v>2353</v>
      </c>
      <c r="C2355" s="3" t="n">
        <v>12</v>
      </c>
      <c r="D2355" s="3" t="n">
        <v>0</v>
      </c>
      <c r="E2355" s="3" t="n">
        <v>1</v>
      </c>
      <c r="F2355" s="24" t="n">
        <v>-0.26022625</v>
      </c>
    </row>
    <row r="2356" customFormat="false" ht="15" hidden="false" customHeight="false" outlineLevel="0" collapsed="false">
      <c r="A2356" s="3" t="n">
        <v>2355</v>
      </c>
      <c r="B2356" s="3" t="n">
        <v>2354</v>
      </c>
      <c r="C2356" s="3" t="n">
        <v>12</v>
      </c>
      <c r="D2356" s="3" t="n">
        <v>0</v>
      </c>
      <c r="E2356" s="3" t="n">
        <v>2</v>
      </c>
      <c r="F2356" s="24" t="n">
        <v>-0.31445381</v>
      </c>
    </row>
    <row r="2357" customFormat="false" ht="15" hidden="false" customHeight="false" outlineLevel="0" collapsed="false">
      <c r="A2357" s="3" t="n">
        <v>2356</v>
      </c>
      <c r="B2357" s="3" t="n">
        <v>2355</v>
      </c>
      <c r="C2357" s="3" t="n">
        <v>12</v>
      </c>
      <c r="D2357" s="3" t="n">
        <v>0</v>
      </c>
      <c r="E2357" s="3" t="n">
        <v>3</v>
      </c>
      <c r="F2357" s="24" t="n">
        <v>-0.31445381</v>
      </c>
    </row>
    <row r="2358" customFormat="false" ht="15" hidden="false" customHeight="false" outlineLevel="0" collapsed="false">
      <c r="A2358" s="3" t="n">
        <v>2357</v>
      </c>
      <c r="B2358" s="3" t="n">
        <v>2356</v>
      </c>
      <c r="C2358" s="3" t="n">
        <v>12</v>
      </c>
      <c r="D2358" s="3" t="n">
        <v>0</v>
      </c>
      <c r="E2358" s="3" t="n">
        <v>4</v>
      </c>
      <c r="F2358" s="24" t="n">
        <v>-0.31445381</v>
      </c>
    </row>
    <row r="2359" customFormat="false" ht="15" hidden="false" customHeight="false" outlineLevel="0" collapsed="false">
      <c r="A2359" s="3" t="n">
        <v>2358</v>
      </c>
      <c r="B2359" s="3" t="n">
        <v>2357</v>
      </c>
      <c r="C2359" s="3" t="n">
        <v>12</v>
      </c>
      <c r="D2359" s="3" t="n">
        <v>0</v>
      </c>
      <c r="E2359" s="3" t="n">
        <v>5</v>
      </c>
      <c r="F2359" s="24" t="n">
        <v>-0.31445381</v>
      </c>
    </row>
    <row r="2360" customFormat="false" ht="15" hidden="false" customHeight="false" outlineLevel="0" collapsed="false">
      <c r="A2360" s="3" t="n">
        <v>2359</v>
      </c>
      <c r="B2360" s="3" t="n">
        <v>2358</v>
      </c>
      <c r="C2360" s="3" t="n">
        <v>12</v>
      </c>
      <c r="D2360" s="3" t="n">
        <v>0</v>
      </c>
      <c r="E2360" s="3" t="n">
        <v>6</v>
      </c>
      <c r="F2360" s="24" t="n">
        <v>-0.31445381</v>
      </c>
    </row>
    <row r="2361" customFormat="false" ht="15" hidden="false" customHeight="false" outlineLevel="0" collapsed="false">
      <c r="A2361" s="3" t="n">
        <v>2360</v>
      </c>
      <c r="B2361" s="3" t="n">
        <v>2359</v>
      </c>
      <c r="C2361" s="3" t="n">
        <v>12</v>
      </c>
      <c r="D2361" s="3" t="n">
        <v>0</v>
      </c>
      <c r="E2361" s="3" t="n">
        <v>7</v>
      </c>
      <c r="F2361" s="24" t="n">
        <v>-0.31445381</v>
      </c>
    </row>
    <row r="2362" customFormat="false" ht="15" hidden="false" customHeight="false" outlineLevel="0" collapsed="false">
      <c r="A2362" s="3" t="n">
        <v>2361</v>
      </c>
      <c r="B2362" s="3" t="n">
        <v>2360</v>
      </c>
      <c r="C2362" s="3" t="n">
        <v>12</v>
      </c>
      <c r="D2362" s="3" t="n">
        <v>0</v>
      </c>
      <c r="E2362" s="3" t="n">
        <v>8</v>
      </c>
      <c r="F2362" s="24" t="n">
        <v>-0.31445381</v>
      </c>
    </row>
    <row r="2363" customFormat="false" ht="15" hidden="false" customHeight="false" outlineLevel="0" collapsed="false">
      <c r="A2363" s="3" t="n">
        <v>2362</v>
      </c>
      <c r="B2363" s="3" t="n">
        <v>2361</v>
      </c>
      <c r="C2363" s="3" t="n">
        <v>12</v>
      </c>
      <c r="D2363" s="3" t="n">
        <v>0</v>
      </c>
      <c r="E2363" s="3" t="n">
        <v>9</v>
      </c>
      <c r="F2363" s="24" t="n">
        <v>-0.31445381</v>
      </c>
    </row>
    <row r="2364" customFormat="false" ht="15" hidden="false" customHeight="false" outlineLevel="0" collapsed="false">
      <c r="A2364" s="3" t="n">
        <v>2363</v>
      </c>
      <c r="B2364" s="3" t="n">
        <v>2362</v>
      </c>
      <c r="C2364" s="3" t="n">
        <v>12</v>
      </c>
      <c r="D2364" s="3" t="n">
        <v>0</v>
      </c>
      <c r="E2364" s="3" t="n">
        <v>10</v>
      </c>
      <c r="F2364" s="24" t="n">
        <v>-0.31445381</v>
      </c>
    </row>
    <row r="2365" customFormat="false" ht="15" hidden="false" customHeight="false" outlineLevel="0" collapsed="false">
      <c r="A2365" s="3" t="n">
        <v>2364</v>
      </c>
      <c r="B2365" s="3" t="n">
        <v>2363</v>
      </c>
      <c r="C2365" s="3" t="n">
        <v>12</v>
      </c>
      <c r="D2365" s="3" t="n">
        <v>0</v>
      </c>
      <c r="E2365" s="3" t="n">
        <v>11</v>
      </c>
      <c r="F2365" s="24" t="n">
        <v>-0.31445381</v>
      </c>
    </row>
    <row r="2366" customFormat="false" ht="15" hidden="false" customHeight="false" outlineLevel="0" collapsed="false">
      <c r="A2366" s="3" t="n">
        <v>2365</v>
      </c>
      <c r="B2366" s="3" t="n">
        <v>2364</v>
      </c>
      <c r="C2366" s="3" t="n">
        <v>12</v>
      </c>
      <c r="D2366" s="3" t="n">
        <v>0</v>
      </c>
      <c r="E2366" s="3" t="n">
        <v>12</v>
      </c>
      <c r="F2366" s="24" t="n">
        <v>0.0199332088</v>
      </c>
    </row>
    <row r="2367" customFormat="false" ht="15" hidden="false" customHeight="false" outlineLevel="0" collapsed="false">
      <c r="A2367" s="3" t="n">
        <v>2366</v>
      </c>
      <c r="B2367" s="3" t="n">
        <v>2365</v>
      </c>
      <c r="C2367" s="3" t="n">
        <v>12</v>
      </c>
      <c r="D2367" s="3" t="n">
        <v>0</v>
      </c>
      <c r="E2367" s="3" t="n">
        <v>13</v>
      </c>
      <c r="F2367" s="24" t="n">
        <v>0.00101104379</v>
      </c>
    </row>
    <row r="2368" customFormat="false" ht="15" hidden="false" customHeight="false" outlineLevel="0" collapsed="false">
      <c r="A2368" s="3" t="n">
        <v>2367</v>
      </c>
      <c r="B2368" s="3" t="n">
        <v>2366</v>
      </c>
      <c r="C2368" s="3" t="n">
        <v>12</v>
      </c>
      <c r="D2368" s="3" t="n">
        <v>1</v>
      </c>
      <c r="E2368" s="3" t="n">
        <v>0</v>
      </c>
      <c r="F2368" s="24" t="n">
        <v>-0.246453494</v>
      </c>
    </row>
    <row r="2369" customFormat="false" ht="15" hidden="false" customHeight="false" outlineLevel="0" collapsed="false">
      <c r="A2369" s="3" t="n">
        <v>2368</v>
      </c>
      <c r="B2369" s="3" t="n">
        <v>2367</v>
      </c>
      <c r="C2369" s="3" t="n">
        <v>12</v>
      </c>
      <c r="D2369" s="3" t="n">
        <v>1</v>
      </c>
      <c r="E2369" s="3" t="n">
        <v>1</v>
      </c>
      <c r="F2369" s="24" t="n">
        <v>0.0291634053</v>
      </c>
    </row>
    <row r="2370" customFormat="false" ht="15" hidden="false" customHeight="false" outlineLevel="0" collapsed="false">
      <c r="A2370" s="3" t="n">
        <v>2369</v>
      </c>
      <c r="B2370" s="3" t="n">
        <v>2368</v>
      </c>
      <c r="C2370" s="3" t="n">
        <v>12</v>
      </c>
      <c r="D2370" s="3" t="n">
        <v>1</v>
      </c>
      <c r="E2370" s="3" t="n">
        <v>2</v>
      </c>
      <c r="F2370" s="24" t="n">
        <v>-0.142995328</v>
      </c>
    </row>
    <row r="2371" customFormat="false" ht="15" hidden="false" customHeight="false" outlineLevel="0" collapsed="false">
      <c r="A2371" s="3" t="n">
        <v>2370</v>
      </c>
      <c r="B2371" s="3" t="n">
        <v>2369</v>
      </c>
      <c r="C2371" s="3" t="n">
        <v>12</v>
      </c>
      <c r="D2371" s="3" t="n">
        <v>1</v>
      </c>
      <c r="E2371" s="3" t="n">
        <v>3</v>
      </c>
      <c r="F2371" s="24" t="n">
        <v>-0.142995328</v>
      </c>
    </row>
    <row r="2372" customFormat="false" ht="15" hidden="false" customHeight="false" outlineLevel="0" collapsed="false">
      <c r="A2372" s="3" t="n">
        <v>2371</v>
      </c>
      <c r="B2372" s="3" t="n">
        <v>2370</v>
      </c>
      <c r="C2372" s="3" t="n">
        <v>12</v>
      </c>
      <c r="D2372" s="3" t="n">
        <v>1</v>
      </c>
      <c r="E2372" s="3" t="n">
        <v>4</v>
      </c>
      <c r="F2372" s="24" t="n">
        <v>-0.142995328</v>
      </c>
    </row>
    <row r="2373" customFormat="false" ht="15" hidden="false" customHeight="false" outlineLevel="0" collapsed="false">
      <c r="A2373" s="3" t="n">
        <v>2372</v>
      </c>
      <c r="B2373" s="3" t="n">
        <v>2371</v>
      </c>
      <c r="C2373" s="3" t="n">
        <v>12</v>
      </c>
      <c r="D2373" s="3" t="n">
        <v>1</v>
      </c>
      <c r="E2373" s="3" t="n">
        <v>5</v>
      </c>
      <c r="F2373" s="24" t="n">
        <v>-0.142995328</v>
      </c>
    </row>
    <row r="2374" customFormat="false" ht="15" hidden="false" customHeight="false" outlineLevel="0" collapsed="false">
      <c r="A2374" s="3" t="n">
        <v>2373</v>
      </c>
      <c r="B2374" s="3" t="n">
        <v>2372</v>
      </c>
      <c r="C2374" s="3" t="n">
        <v>12</v>
      </c>
      <c r="D2374" s="3" t="n">
        <v>1</v>
      </c>
      <c r="E2374" s="3" t="n">
        <v>6</v>
      </c>
      <c r="F2374" s="24" t="n">
        <v>-0.142995328</v>
      </c>
    </row>
    <row r="2375" customFormat="false" ht="15" hidden="false" customHeight="false" outlineLevel="0" collapsed="false">
      <c r="A2375" s="3" t="n">
        <v>2374</v>
      </c>
      <c r="B2375" s="3" t="n">
        <v>2373</v>
      </c>
      <c r="C2375" s="3" t="n">
        <v>12</v>
      </c>
      <c r="D2375" s="3" t="n">
        <v>1</v>
      </c>
      <c r="E2375" s="3" t="n">
        <v>7</v>
      </c>
      <c r="F2375" s="24" t="n">
        <v>-0.142995328</v>
      </c>
    </row>
    <row r="2376" customFormat="false" ht="15" hidden="false" customHeight="false" outlineLevel="0" collapsed="false">
      <c r="A2376" s="3" t="n">
        <v>2375</v>
      </c>
      <c r="B2376" s="3" t="n">
        <v>2374</v>
      </c>
      <c r="C2376" s="3" t="n">
        <v>12</v>
      </c>
      <c r="D2376" s="3" t="n">
        <v>1</v>
      </c>
      <c r="E2376" s="3" t="n">
        <v>8</v>
      </c>
      <c r="F2376" s="24" t="n">
        <v>-0.142995328</v>
      </c>
    </row>
    <row r="2377" customFormat="false" ht="15" hidden="false" customHeight="false" outlineLevel="0" collapsed="false">
      <c r="A2377" s="3" t="n">
        <v>2376</v>
      </c>
      <c r="B2377" s="3" t="n">
        <v>2375</v>
      </c>
      <c r="C2377" s="3" t="n">
        <v>12</v>
      </c>
      <c r="D2377" s="3" t="n">
        <v>1</v>
      </c>
      <c r="E2377" s="3" t="n">
        <v>9</v>
      </c>
      <c r="F2377" s="24" t="n">
        <v>-0.142995328</v>
      </c>
    </row>
    <row r="2378" customFormat="false" ht="15" hidden="false" customHeight="false" outlineLevel="0" collapsed="false">
      <c r="A2378" s="3" t="n">
        <v>2377</v>
      </c>
      <c r="B2378" s="3" t="n">
        <v>2376</v>
      </c>
      <c r="C2378" s="3" t="n">
        <v>12</v>
      </c>
      <c r="D2378" s="3" t="n">
        <v>1</v>
      </c>
      <c r="E2378" s="3" t="n">
        <v>10</v>
      </c>
      <c r="F2378" s="24" t="n">
        <v>-0.142995328</v>
      </c>
    </row>
    <row r="2379" customFormat="false" ht="15" hidden="false" customHeight="false" outlineLevel="0" collapsed="false">
      <c r="A2379" s="3" t="n">
        <v>2378</v>
      </c>
      <c r="B2379" s="3" t="n">
        <v>2377</v>
      </c>
      <c r="C2379" s="3" t="n">
        <v>12</v>
      </c>
      <c r="D2379" s="3" t="n">
        <v>1</v>
      </c>
      <c r="E2379" s="3" t="n">
        <v>11</v>
      </c>
      <c r="F2379" s="24" t="n">
        <v>-0.142995328</v>
      </c>
    </row>
    <row r="2380" customFormat="false" ht="15" hidden="false" customHeight="false" outlineLevel="0" collapsed="false">
      <c r="A2380" s="3" t="n">
        <v>2379</v>
      </c>
      <c r="B2380" s="3" t="n">
        <v>2378</v>
      </c>
      <c r="C2380" s="3" t="n">
        <v>12</v>
      </c>
      <c r="D2380" s="3" t="n">
        <v>1</v>
      </c>
      <c r="E2380" s="3" t="n">
        <v>12</v>
      </c>
      <c r="F2380" s="24" t="n">
        <v>0.083162725</v>
      </c>
    </row>
    <row r="2381" customFormat="false" ht="15" hidden="false" customHeight="false" outlineLevel="0" collapsed="false">
      <c r="A2381" s="3" t="n">
        <v>2380</v>
      </c>
      <c r="B2381" s="3" t="n">
        <v>2379</v>
      </c>
      <c r="C2381" s="3" t="n">
        <v>12</v>
      </c>
      <c r="D2381" s="3" t="n">
        <v>1</v>
      </c>
      <c r="E2381" s="3" t="n">
        <v>13</v>
      </c>
      <c r="F2381" s="24" t="n">
        <v>-0.375420958</v>
      </c>
    </row>
    <row r="2382" customFormat="false" ht="15" hidden="false" customHeight="false" outlineLevel="0" collapsed="false">
      <c r="A2382" s="3" t="n">
        <v>2381</v>
      </c>
      <c r="B2382" s="3" t="n">
        <v>2380</v>
      </c>
      <c r="C2382" s="3" t="n">
        <v>12</v>
      </c>
      <c r="D2382" s="3" t="n">
        <v>2</v>
      </c>
      <c r="E2382" s="3" t="n">
        <v>0</v>
      </c>
      <c r="F2382" s="24" t="n">
        <v>-0.182348877</v>
      </c>
    </row>
    <row r="2383" customFormat="false" ht="15" hidden="false" customHeight="false" outlineLevel="0" collapsed="false">
      <c r="A2383" s="3" t="n">
        <v>2382</v>
      </c>
      <c r="B2383" s="3" t="n">
        <v>2381</v>
      </c>
      <c r="C2383" s="3" t="n">
        <v>12</v>
      </c>
      <c r="D2383" s="3" t="n">
        <v>2</v>
      </c>
      <c r="E2383" s="3" t="n">
        <v>1</v>
      </c>
      <c r="F2383" s="24" t="n">
        <v>1.01922548</v>
      </c>
    </row>
    <row r="2384" customFormat="false" ht="15" hidden="false" customHeight="false" outlineLevel="0" collapsed="false">
      <c r="A2384" s="3" t="n">
        <v>2383</v>
      </c>
      <c r="B2384" s="3" t="n">
        <v>2382</v>
      </c>
      <c r="C2384" s="3" t="n">
        <v>12</v>
      </c>
      <c r="D2384" s="3" t="n">
        <v>2</v>
      </c>
      <c r="E2384" s="3" t="n">
        <v>2</v>
      </c>
      <c r="F2384" s="24" t="n">
        <v>3.61930013</v>
      </c>
    </row>
    <row r="2385" customFormat="false" ht="15" hidden="false" customHeight="false" outlineLevel="0" collapsed="false">
      <c r="A2385" s="3" t="n">
        <v>2384</v>
      </c>
      <c r="B2385" s="3" t="n">
        <v>2383</v>
      </c>
      <c r="C2385" s="3" t="n">
        <v>12</v>
      </c>
      <c r="D2385" s="3" t="n">
        <v>2</v>
      </c>
      <c r="E2385" s="3" t="n">
        <v>3</v>
      </c>
      <c r="F2385" s="24" t="n">
        <v>3.63406396</v>
      </c>
    </row>
    <row r="2386" customFormat="false" ht="15" hidden="false" customHeight="false" outlineLevel="0" collapsed="false">
      <c r="A2386" s="3" t="n">
        <v>2385</v>
      </c>
      <c r="B2386" s="3" t="n">
        <v>2384</v>
      </c>
      <c r="C2386" s="3" t="n">
        <v>12</v>
      </c>
      <c r="D2386" s="3" t="n">
        <v>2</v>
      </c>
      <c r="E2386" s="3" t="n">
        <v>4</v>
      </c>
      <c r="F2386" s="24" t="n">
        <v>1.44219542</v>
      </c>
    </row>
    <row r="2387" customFormat="false" ht="15" hidden="false" customHeight="false" outlineLevel="0" collapsed="false">
      <c r="A2387" s="3" t="n">
        <v>2386</v>
      </c>
      <c r="B2387" s="3" t="n">
        <v>2385</v>
      </c>
      <c r="C2387" s="3" t="n">
        <v>12</v>
      </c>
      <c r="D2387" s="3" t="n">
        <v>2</v>
      </c>
      <c r="E2387" s="3" t="n">
        <v>5</v>
      </c>
      <c r="F2387" s="24" t="n">
        <v>1.93031704</v>
      </c>
    </row>
    <row r="2388" customFormat="false" ht="15" hidden="false" customHeight="false" outlineLevel="0" collapsed="false">
      <c r="A2388" s="3" t="n">
        <v>2387</v>
      </c>
      <c r="B2388" s="3" t="n">
        <v>2386</v>
      </c>
      <c r="C2388" s="3" t="n">
        <v>12</v>
      </c>
      <c r="D2388" s="3" t="n">
        <v>2</v>
      </c>
      <c r="E2388" s="3" t="n">
        <v>6</v>
      </c>
      <c r="F2388" s="24" t="n">
        <v>1.83521104</v>
      </c>
    </row>
    <row r="2389" customFormat="false" ht="15" hidden="false" customHeight="false" outlineLevel="0" collapsed="false">
      <c r="A2389" s="3" t="n">
        <v>2388</v>
      </c>
      <c r="B2389" s="3" t="n">
        <v>2387</v>
      </c>
      <c r="C2389" s="3" t="n">
        <v>12</v>
      </c>
      <c r="D2389" s="3" t="n">
        <v>2</v>
      </c>
      <c r="E2389" s="3" t="n">
        <v>7</v>
      </c>
      <c r="F2389" s="24" t="n">
        <v>1.75331688</v>
      </c>
    </row>
    <row r="2390" customFormat="false" ht="15" hidden="false" customHeight="false" outlineLevel="0" collapsed="false">
      <c r="A2390" s="3" t="n">
        <v>2389</v>
      </c>
      <c r="B2390" s="3" t="n">
        <v>2388</v>
      </c>
      <c r="C2390" s="3" t="n">
        <v>12</v>
      </c>
      <c r="D2390" s="3" t="n">
        <v>2</v>
      </c>
      <c r="E2390" s="3" t="n">
        <v>8</v>
      </c>
      <c r="F2390" s="24" t="n">
        <v>1.72945654</v>
      </c>
    </row>
    <row r="2391" customFormat="false" ht="15" hidden="false" customHeight="false" outlineLevel="0" collapsed="false">
      <c r="A2391" s="3" t="n">
        <v>2390</v>
      </c>
      <c r="B2391" s="3" t="n">
        <v>2389</v>
      </c>
      <c r="C2391" s="3" t="n">
        <v>12</v>
      </c>
      <c r="D2391" s="3" t="n">
        <v>2</v>
      </c>
      <c r="E2391" s="3" t="n">
        <v>9</v>
      </c>
      <c r="F2391" s="24" t="n">
        <v>1.41673326</v>
      </c>
    </row>
    <row r="2392" customFormat="false" ht="15" hidden="false" customHeight="false" outlineLevel="0" collapsed="false">
      <c r="A2392" s="3" t="n">
        <v>2391</v>
      </c>
      <c r="B2392" s="3" t="n">
        <v>2390</v>
      </c>
      <c r="C2392" s="3" t="n">
        <v>12</v>
      </c>
      <c r="D2392" s="3" t="n">
        <v>2</v>
      </c>
      <c r="E2392" s="3" t="n">
        <v>10</v>
      </c>
      <c r="F2392" s="24" t="n">
        <v>0.577134967</v>
      </c>
    </row>
    <row r="2393" customFormat="false" ht="15" hidden="false" customHeight="false" outlineLevel="0" collapsed="false">
      <c r="A2393" s="3" t="n">
        <v>2392</v>
      </c>
      <c r="B2393" s="3" t="n">
        <v>2391</v>
      </c>
      <c r="C2393" s="3" t="n">
        <v>12</v>
      </c>
      <c r="D2393" s="3" t="n">
        <v>2</v>
      </c>
      <c r="E2393" s="3" t="n">
        <v>11</v>
      </c>
      <c r="F2393" s="24" t="n">
        <v>0.0217712224</v>
      </c>
    </row>
    <row r="2394" customFormat="false" ht="15" hidden="false" customHeight="false" outlineLevel="0" collapsed="false">
      <c r="A2394" s="3" t="n">
        <v>2393</v>
      </c>
      <c r="B2394" s="3" t="n">
        <v>2392</v>
      </c>
      <c r="C2394" s="3" t="n">
        <v>12</v>
      </c>
      <c r="D2394" s="3" t="n">
        <v>2</v>
      </c>
      <c r="E2394" s="3" t="n">
        <v>12</v>
      </c>
      <c r="F2394" s="24" t="n">
        <v>0.284144759</v>
      </c>
    </row>
    <row r="2395" customFormat="false" ht="15" hidden="false" customHeight="false" outlineLevel="0" collapsed="false">
      <c r="A2395" s="3" t="n">
        <v>2394</v>
      </c>
      <c r="B2395" s="3" t="n">
        <v>2393</v>
      </c>
      <c r="C2395" s="3" t="n">
        <v>12</v>
      </c>
      <c r="D2395" s="3" t="n">
        <v>2</v>
      </c>
      <c r="E2395" s="3" t="n">
        <v>13</v>
      </c>
      <c r="F2395" s="24" t="n">
        <v>-0.0832687318</v>
      </c>
    </row>
    <row r="2396" customFormat="false" ht="15" hidden="false" customHeight="false" outlineLevel="0" collapsed="false">
      <c r="A2396" s="3" t="n">
        <v>2395</v>
      </c>
      <c r="B2396" s="3" t="n">
        <v>2394</v>
      </c>
      <c r="C2396" s="3" t="n">
        <v>12</v>
      </c>
      <c r="D2396" s="3" t="n">
        <v>3</v>
      </c>
      <c r="E2396" s="3" t="n">
        <v>0</v>
      </c>
      <c r="F2396" s="24" t="n">
        <v>-0.182348877</v>
      </c>
    </row>
    <row r="2397" customFormat="false" ht="15" hidden="false" customHeight="false" outlineLevel="0" collapsed="false">
      <c r="A2397" s="3" t="n">
        <v>2396</v>
      </c>
      <c r="B2397" s="3" t="n">
        <v>2395</v>
      </c>
      <c r="C2397" s="3" t="n">
        <v>12</v>
      </c>
      <c r="D2397" s="3" t="n">
        <v>3</v>
      </c>
      <c r="E2397" s="3" t="n">
        <v>1</v>
      </c>
      <c r="F2397" s="24" t="n">
        <v>2.00716853</v>
      </c>
    </row>
    <row r="2398" customFormat="false" ht="15" hidden="false" customHeight="false" outlineLevel="0" collapsed="false">
      <c r="A2398" s="3" t="n">
        <v>2397</v>
      </c>
      <c r="B2398" s="3" t="n">
        <v>2396</v>
      </c>
      <c r="C2398" s="3" t="n">
        <v>12</v>
      </c>
      <c r="D2398" s="3" t="n">
        <v>3</v>
      </c>
      <c r="E2398" s="3" t="n">
        <v>2</v>
      </c>
      <c r="F2398" s="24" t="n">
        <v>5.39949942</v>
      </c>
    </row>
    <row r="2399" customFormat="false" ht="15" hidden="false" customHeight="false" outlineLevel="0" collapsed="false">
      <c r="A2399" s="3" t="n">
        <v>2398</v>
      </c>
      <c r="B2399" s="3" t="n">
        <v>2397</v>
      </c>
      <c r="C2399" s="3" t="n">
        <v>12</v>
      </c>
      <c r="D2399" s="3" t="n">
        <v>3</v>
      </c>
      <c r="E2399" s="3" t="n">
        <v>3</v>
      </c>
      <c r="F2399" s="24" t="n">
        <v>0.953261614</v>
      </c>
    </row>
    <row r="2400" customFormat="false" ht="15" hidden="false" customHeight="false" outlineLevel="0" collapsed="false">
      <c r="A2400" s="3" t="n">
        <v>2399</v>
      </c>
      <c r="B2400" s="3" t="n">
        <v>2398</v>
      </c>
      <c r="C2400" s="3" t="n">
        <v>12</v>
      </c>
      <c r="D2400" s="3" t="n">
        <v>3</v>
      </c>
      <c r="E2400" s="3" t="n">
        <v>4</v>
      </c>
      <c r="F2400" s="24" t="n">
        <v>-2.44190383</v>
      </c>
    </row>
    <row r="2401" customFormat="false" ht="15" hidden="false" customHeight="false" outlineLevel="0" collapsed="false">
      <c r="A2401" s="3" t="n">
        <v>2400</v>
      </c>
      <c r="B2401" s="3" t="n">
        <v>2399</v>
      </c>
      <c r="C2401" s="3" t="n">
        <v>12</v>
      </c>
      <c r="D2401" s="3" t="n">
        <v>3</v>
      </c>
      <c r="E2401" s="3" t="n">
        <v>5</v>
      </c>
      <c r="F2401" s="24" t="n">
        <v>-0.470883042</v>
      </c>
    </row>
    <row r="2402" customFormat="false" ht="15" hidden="false" customHeight="false" outlineLevel="0" collapsed="false">
      <c r="A2402" s="3" t="n">
        <v>2401</v>
      </c>
      <c r="B2402" s="3" t="n">
        <v>2400</v>
      </c>
      <c r="C2402" s="3" t="n">
        <v>12</v>
      </c>
      <c r="D2402" s="3" t="n">
        <v>3</v>
      </c>
      <c r="E2402" s="3" t="n">
        <v>6</v>
      </c>
      <c r="F2402" s="24" t="n">
        <v>0.996882439</v>
      </c>
    </row>
    <row r="2403" customFormat="false" ht="15" hidden="false" customHeight="false" outlineLevel="0" collapsed="false">
      <c r="A2403" s="3" t="n">
        <v>2402</v>
      </c>
      <c r="B2403" s="3" t="n">
        <v>2401</v>
      </c>
      <c r="C2403" s="3" t="n">
        <v>12</v>
      </c>
      <c r="D2403" s="3" t="n">
        <v>3</v>
      </c>
      <c r="E2403" s="3" t="n">
        <v>7</v>
      </c>
      <c r="F2403" s="24" t="n">
        <v>1.5930723</v>
      </c>
    </row>
    <row r="2404" customFormat="false" ht="15" hidden="false" customHeight="false" outlineLevel="0" collapsed="false">
      <c r="A2404" s="3" t="n">
        <v>2403</v>
      </c>
      <c r="B2404" s="3" t="n">
        <v>2402</v>
      </c>
      <c r="C2404" s="3" t="n">
        <v>12</v>
      </c>
      <c r="D2404" s="3" t="n">
        <v>3</v>
      </c>
      <c r="E2404" s="3" t="n">
        <v>8</v>
      </c>
      <c r="F2404" s="24" t="n">
        <v>1.91483951</v>
      </c>
    </row>
    <row r="2405" customFormat="false" ht="15" hidden="false" customHeight="false" outlineLevel="0" collapsed="false">
      <c r="A2405" s="3" t="n">
        <v>2404</v>
      </c>
      <c r="B2405" s="3" t="n">
        <v>2403</v>
      </c>
      <c r="C2405" s="3" t="n">
        <v>12</v>
      </c>
      <c r="D2405" s="3" t="n">
        <v>3</v>
      </c>
      <c r="E2405" s="3" t="n">
        <v>9</v>
      </c>
      <c r="F2405" s="24" t="n">
        <v>1.3803668</v>
      </c>
    </row>
    <row r="2406" customFormat="false" ht="15" hidden="false" customHeight="false" outlineLevel="0" collapsed="false">
      <c r="A2406" s="3" t="n">
        <v>2405</v>
      </c>
      <c r="B2406" s="3" t="n">
        <v>2404</v>
      </c>
      <c r="C2406" s="3" t="n">
        <v>12</v>
      </c>
      <c r="D2406" s="3" t="n">
        <v>3</v>
      </c>
      <c r="E2406" s="3" t="n">
        <v>10</v>
      </c>
      <c r="F2406" s="24" t="n">
        <v>-1.18217957</v>
      </c>
    </row>
    <row r="2407" customFormat="false" ht="15" hidden="false" customHeight="false" outlineLevel="0" collapsed="false">
      <c r="A2407" s="3" t="n">
        <v>2406</v>
      </c>
      <c r="B2407" s="3" t="n">
        <v>2405</v>
      </c>
      <c r="C2407" s="3" t="n">
        <v>12</v>
      </c>
      <c r="D2407" s="3" t="n">
        <v>3</v>
      </c>
      <c r="E2407" s="3" t="n">
        <v>11</v>
      </c>
      <c r="F2407" s="24" t="n">
        <v>-0.831303954</v>
      </c>
    </row>
    <row r="2408" customFormat="false" ht="15" hidden="false" customHeight="false" outlineLevel="0" collapsed="false">
      <c r="A2408" s="3" t="n">
        <v>2407</v>
      </c>
      <c r="B2408" s="3" t="n">
        <v>2406</v>
      </c>
      <c r="C2408" s="3" t="n">
        <v>12</v>
      </c>
      <c r="D2408" s="3" t="n">
        <v>3</v>
      </c>
      <c r="E2408" s="3" t="n">
        <v>12</v>
      </c>
      <c r="F2408" s="24" t="n">
        <v>0.388623416</v>
      </c>
    </row>
    <row r="2409" customFormat="false" ht="15" hidden="false" customHeight="false" outlineLevel="0" collapsed="false">
      <c r="A2409" s="3" t="n">
        <v>2408</v>
      </c>
      <c r="B2409" s="3" t="n">
        <v>2407</v>
      </c>
      <c r="C2409" s="3" t="n">
        <v>12</v>
      </c>
      <c r="D2409" s="3" t="n">
        <v>3</v>
      </c>
      <c r="E2409" s="3" t="n">
        <v>13</v>
      </c>
      <c r="F2409" s="24" t="n">
        <v>-0.0832687318</v>
      </c>
    </row>
    <row r="2410" customFormat="false" ht="15" hidden="false" customHeight="false" outlineLevel="0" collapsed="false">
      <c r="A2410" s="3" t="n">
        <v>2409</v>
      </c>
      <c r="B2410" s="3" t="n">
        <v>2408</v>
      </c>
      <c r="C2410" s="3" t="n">
        <v>12</v>
      </c>
      <c r="D2410" s="3" t="n">
        <v>4</v>
      </c>
      <c r="E2410" s="3" t="n">
        <v>0</v>
      </c>
      <c r="F2410" s="24" t="n">
        <v>-0.182348877</v>
      </c>
    </row>
    <row r="2411" customFormat="false" ht="15" hidden="false" customHeight="false" outlineLevel="0" collapsed="false">
      <c r="A2411" s="3" t="n">
        <v>2410</v>
      </c>
      <c r="B2411" s="3" t="n">
        <v>2409</v>
      </c>
      <c r="C2411" s="3" t="n">
        <v>12</v>
      </c>
      <c r="D2411" s="3" t="n">
        <v>4</v>
      </c>
      <c r="E2411" s="3" t="n">
        <v>1</v>
      </c>
      <c r="F2411" s="24" t="n">
        <v>1.10571122</v>
      </c>
    </row>
    <row r="2412" customFormat="false" ht="15" hidden="false" customHeight="false" outlineLevel="0" collapsed="false">
      <c r="A2412" s="3" t="n">
        <v>2411</v>
      </c>
      <c r="B2412" s="3" t="n">
        <v>2410</v>
      </c>
      <c r="C2412" s="3" t="n">
        <v>12</v>
      </c>
      <c r="D2412" s="3" t="n">
        <v>4</v>
      </c>
      <c r="E2412" s="3" t="n">
        <v>2</v>
      </c>
      <c r="F2412" s="24" t="n">
        <v>-0.857100606</v>
      </c>
    </row>
    <row r="2413" customFormat="false" ht="15" hidden="false" customHeight="false" outlineLevel="0" collapsed="false">
      <c r="A2413" s="3" t="n">
        <v>2412</v>
      </c>
      <c r="B2413" s="3" t="n">
        <v>2411</v>
      </c>
      <c r="C2413" s="3" t="n">
        <v>12</v>
      </c>
      <c r="D2413" s="3" t="n">
        <v>4</v>
      </c>
      <c r="E2413" s="3" t="n">
        <v>3</v>
      </c>
      <c r="F2413" s="24" t="n">
        <v>-7.29163694</v>
      </c>
    </row>
    <row r="2414" customFormat="false" ht="15" hidden="false" customHeight="false" outlineLevel="0" collapsed="false">
      <c r="A2414" s="3" t="n">
        <v>2413</v>
      </c>
      <c r="B2414" s="3" t="n">
        <v>2412</v>
      </c>
      <c r="C2414" s="3" t="n">
        <v>12</v>
      </c>
      <c r="D2414" s="3" t="n">
        <v>4</v>
      </c>
      <c r="E2414" s="3" t="n">
        <v>4</v>
      </c>
      <c r="F2414" s="24" t="n">
        <v>-4.27958393</v>
      </c>
    </row>
    <row r="2415" customFormat="false" ht="15" hidden="false" customHeight="false" outlineLevel="0" collapsed="false">
      <c r="A2415" s="3" t="n">
        <v>2414</v>
      </c>
      <c r="B2415" s="3" t="n">
        <v>2413</v>
      </c>
      <c r="C2415" s="3" t="n">
        <v>12</v>
      </c>
      <c r="D2415" s="3" t="n">
        <v>4</v>
      </c>
      <c r="E2415" s="3" t="n">
        <v>5</v>
      </c>
      <c r="F2415" s="24" t="n">
        <v>-1.97277665</v>
      </c>
    </row>
    <row r="2416" customFormat="false" ht="15" hidden="false" customHeight="false" outlineLevel="0" collapsed="false">
      <c r="A2416" s="3" t="n">
        <v>2415</v>
      </c>
      <c r="B2416" s="3" t="n">
        <v>2414</v>
      </c>
      <c r="C2416" s="3" t="n">
        <v>12</v>
      </c>
      <c r="D2416" s="3" t="n">
        <v>4</v>
      </c>
      <c r="E2416" s="3" t="n">
        <v>6</v>
      </c>
      <c r="F2416" s="24" t="n">
        <v>-1.24907243</v>
      </c>
    </row>
    <row r="2417" customFormat="false" ht="15" hidden="false" customHeight="false" outlineLevel="0" collapsed="false">
      <c r="A2417" s="3" t="n">
        <v>2416</v>
      </c>
      <c r="B2417" s="3" t="n">
        <v>2415</v>
      </c>
      <c r="C2417" s="3" t="n">
        <v>12</v>
      </c>
      <c r="D2417" s="3" t="n">
        <v>4</v>
      </c>
      <c r="E2417" s="3" t="n">
        <v>7</v>
      </c>
      <c r="F2417" s="24" t="n">
        <v>-1.36651421</v>
      </c>
    </row>
    <row r="2418" customFormat="false" ht="15" hidden="false" customHeight="false" outlineLevel="0" collapsed="false">
      <c r="A2418" s="3" t="n">
        <v>2417</v>
      </c>
      <c r="B2418" s="3" t="n">
        <v>2416</v>
      </c>
      <c r="C2418" s="3" t="n">
        <v>12</v>
      </c>
      <c r="D2418" s="3" t="n">
        <v>4</v>
      </c>
      <c r="E2418" s="3" t="n">
        <v>8</v>
      </c>
      <c r="F2418" s="24" t="n">
        <v>1.56782246</v>
      </c>
    </row>
    <row r="2419" customFormat="false" ht="15" hidden="false" customHeight="false" outlineLevel="0" collapsed="false">
      <c r="A2419" s="3" t="n">
        <v>2418</v>
      </c>
      <c r="B2419" s="3" t="n">
        <v>2417</v>
      </c>
      <c r="C2419" s="3" t="n">
        <v>12</v>
      </c>
      <c r="D2419" s="3" t="n">
        <v>4</v>
      </c>
      <c r="E2419" s="3" t="n">
        <v>9</v>
      </c>
      <c r="F2419" s="24" t="n">
        <v>-0.983030558</v>
      </c>
    </row>
    <row r="2420" customFormat="false" ht="15" hidden="false" customHeight="false" outlineLevel="0" collapsed="false">
      <c r="A2420" s="3" t="n">
        <v>2419</v>
      </c>
      <c r="B2420" s="3" t="n">
        <v>2418</v>
      </c>
      <c r="C2420" s="3" t="n">
        <v>12</v>
      </c>
      <c r="D2420" s="3" t="n">
        <v>4</v>
      </c>
      <c r="E2420" s="3" t="n">
        <v>10</v>
      </c>
      <c r="F2420" s="24" t="n">
        <v>-6.68058825</v>
      </c>
    </row>
    <row r="2421" customFormat="false" ht="15" hidden="false" customHeight="false" outlineLevel="0" collapsed="false">
      <c r="A2421" s="3" t="n">
        <v>2420</v>
      </c>
      <c r="B2421" s="3" t="n">
        <v>2419</v>
      </c>
      <c r="C2421" s="3" t="n">
        <v>12</v>
      </c>
      <c r="D2421" s="3" t="n">
        <v>4</v>
      </c>
      <c r="E2421" s="3" t="n">
        <v>11</v>
      </c>
      <c r="F2421" s="24" t="n">
        <v>-1.54743087</v>
      </c>
    </row>
    <row r="2422" customFormat="false" ht="15" hidden="false" customHeight="false" outlineLevel="0" collapsed="false">
      <c r="A2422" s="3" t="n">
        <v>2421</v>
      </c>
      <c r="B2422" s="3" t="n">
        <v>2420</v>
      </c>
      <c r="C2422" s="3" t="n">
        <v>12</v>
      </c>
      <c r="D2422" s="3" t="n">
        <v>4</v>
      </c>
      <c r="E2422" s="3" t="n">
        <v>12</v>
      </c>
      <c r="F2422" s="24" t="n">
        <v>0.366663754</v>
      </c>
    </row>
    <row r="2423" customFormat="false" ht="15" hidden="false" customHeight="false" outlineLevel="0" collapsed="false">
      <c r="A2423" s="3" t="n">
        <v>2422</v>
      </c>
      <c r="B2423" s="3" t="n">
        <v>2421</v>
      </c>
      <c r="C2423" s="3" t="n">
        <v>12</v>
      </c>
      <c r="D2423" s="3" t="n">
        <v>4</v>
      </c>
      <c r="E2423" s="3" t="n">
        <v>13</v>
      </c>
      <c r="F2423" s="24" t="n">
        <v>-0.0832687318</v>
      </c>
    </row>
    <row r="2424" customFormat="false" ht="15" hidden="false" customHeight="false" outlineLevel="0" collapsed="false">
      <c r="A2424" s="3" t="n">
        <v>2423</v>
      </c>
      <c r="B2424" s="3" t="n">
        <v>2422</v>
      </c>
      <c r="C2424" s="3" t="n">
        <v>12</v>
      </c>
      <c r="D2424" s="3" t="n">
        <v>5</v>
      </c>
      <c r="E2424" s="3" t="n">
        <v>0</v>
      </c>
      <c r="F2424" s="24" t="n">
        <v>-0.182348877</v>
      </c>
    </row>
    <row r="2425" customFormat="false" ht="15" hidden="false" customHeight="false" outlineLevel="0" collapsed="false">
      <c r="A2425" s="3" t="n">
        <v>2424</v>
      </c>
      <c r="B2425" s="3" t="n">
        <v>2423</v>
      </c>
      <c r="C2425" s="3" t="n">
        <v>12</v>
      </c>
      <c r="D2425" s="3" t="n">
        <v>5</v>
      </c>
      <c r="E2425" s="3" t="n">
        <v>1</v>
      </c>
      <c r="F2425" s="24" t="n">
        <v>-0.232344329</v>
      </c>
    </row>
    <row r="2426" customFormat="false" ht="15" hidden="false" customHeight="false" outlineLevel="0" collapsed="false">
      <c r="A2426" s="3" t="n">
        <v>2425</v>
      </c>
      <c r="B2426" s="3" t="n">
        <v>2424</v>
      </c>
      <c r="C2426" s="3" t="n">
        <v>12</v>
      </c>
      <c r="D2426" s="3" t="n">
        <v>5</v>
      </c>
      <c r="E2426" s="3" t="n">
        <v>2</v>
      </c>
      <c r="F2426" s="24" t="n">
        <v>-3.26358056</v>
      </c>
    </row>
    <row r="2427" customFormat="false" ht="15" hidden="false" customHeight="false" outlineLevel="0" collapsed="false">
      <c r="A2427" s="3" t="n">
        <v>2426</v>
      </c>
      <c r="B2427" s="3" t="n">
        <v>2425</v>
      </c>
      <c r="C2427" s="3" t="n">
        <v>12</v>
      </c>
      <c r="D2427" s="3" t="n">
        <v>5</v>
      </c>
      <c r="E2427" s="3" t="n">
        <v>3</v>
      </c>
      <c r="F2427" s="24" t="n">
        <v>-8.06372833</v>
      </c>
    </row>
    <row r="2428" customFormat="false" ht="15" hidden="false" customHeight="false" outlineLevel="0" collapsed="false">
      <c r="A2428" s="3" t="n">
        <v>2427</v>
      </c>
      <c r="B2428" s="3" t="n">
        <v>2426</v>
      </c>
      <c r="C2428" s="3" t="n">
        <v>12</v>
      </c>
      <c r="D2428" s="3" t="n">
        <v>5</v>
      </c>
      <c r="E2428" s="3" t="n">
        <v>4</v>
      </c>
      <c r="F2428" s="24" t="n">
        <v>-8.26314259</v>
      </c>
    </row>
    <row r="2429" customFormat="false" ht="15" hidden="false" customHeight="false" outlineLevel="0" collapsed="false">
      <c r="A2429" s="3" t="n">
        <v>2428</v>
      </c>
      <c r="B2429" s="3" t="n">
        <v>2427</v>
      </c>
      <c r="C2429" s="3" t="n">
        <v>12</v>
      </c>
      <c r="D2429" s="3" t="n">
        <v>5</v>
      </c>
      <c r="E2429" s="3" t="n">
        <v>5</v>
      </c>
      <c r="F2429" s="24" t="n">
        <v>-9.2587862</v>
      </c>
    </row>
    <row r="2430" customFormat="false" ht="15" hidden="false" customHeight="false" outlineLevel="0" collapsed="false">
      <c r="A2430" s="3" t="n">
        <v>2429</v>
      </c>
      <c r="B2430" s="3" t="n">
        <v>2428</v>
      </c>
      <c r="C2430" s="3" t="n">
        <v>12</v>
      </c>
      <c r="D2430" s="3" t="n">
        <v>5</v>
      </c>
      <c r="E2430" s="3" t="n">
        <v>6</v>
      </c>
      <c r="F2430" s="24" t="n">
        <v>-8.26117611</v>
      </c>
    </row>
    <row r="2431" customFormat="false" ht="15" hidden="false" customHeight="false" outlineLevel="0" collapsed="false">
      <c r="A2431" s="3" t="n">
        <v>2430</v>
      </c>
      <c r="B2431" s="3" t="n">
        <v>2429</v>
      </c>
      <c r="C2431" s="3" t="n">
        <v>12</v>
      </c>
      <c r="D2431" s="3" t="n">
        <v>5</v>
      </c>
      <c r="E2431" s="3" t="n">
        <v>7</v>
      </c>
      <c r="F2431" s="24" t="n">
        <v>-5.01120615</v>
      </c>
    </row>
    <row r="2432" customFormat="false" ht="15" hidden="false" customHeight="false" outlineLevel="0" collapsed="false">
      <c r="A2432" s="3" t="n">
        <v>2431</v>
      </c>
      <c r="B2432" s="3" t="n">
        <v>2430</v>
      </c>
      <c r="C2432" s="3" t="n">
        <v>12</v>
      </c>
      <c r="D2432" s="3" t="n">
        <v>5</v>
      </c>
      <c r="E2432" s="3" t="n">
        <v>8</v>
      </c>
      <c r="F2432" s="24" t="n">
        <v>0.056289129</v>
      </c>
    </row>
    <row r="2433" customFormat="false" ht="15" hidden="false" customHeight="false" outlineLevel="0" collapsed="false">
      <c r="A2433" s="3" t="n">
        <v>2432</v>
      </c>
      <c r="B2433" s="3" t="n">
        <v>2431</v>
      </c>
      <c r="C2433" s="3" t="n">
        <v>12</v>
      </c>
      <c r="D2433" s="3" t="n">
        <v>5</v>
      </c>
      <c r="E2433" s="3" t="n">
        <v>9</v>
      </c>
      <c r="F2433" s="24" t="n">
        <v>-9.62909985</v>
      </c>
    </row>
    <row r="2434" customFormat="false" ht="15" hidden="false" customHeight="false" outlineLevel="0" collapsed="false">
      <c r="A2434" s="3" t="n">
        <v>2433</v>
      </c>
      <c r="B2434" s="3" t="n">
        <v>2432</v>
      </c>
      <c r="C2434" s="3" t="n">
        <v>12</v>
      </c>
      <c r="D2434" s="3" t="n">
        <v>5</v>
      </c>
      <c r="E2434" s="3" t="n">
        <v>10</v>
      </c>
      <c r="F2434" s="24" t="n">
        <v>-9.70456696</v>
      </c>
    </row>
    <row r="2435" customFormat="false" ht="15" hidden="false" customHeight="false" outlineLevel="0" collapsed="false">
      <c r="A2435" s="3" t="n">
        <v>2434</v>
      </c>
      <c r="B2435" s="3" t="n">
        <v>2433</v>
      </c>
      <c r="C2435" s="3" t="n">
        <v>12</v>
      </c>
      <c r="D2435" s="3" t="n">
        <v>5</v>
      </c>
      <c r="E2435" s="3" t="n">
        <v>11</v>
      </c>
      <c r="F2435" s="24" t="n">
        <v>0.863385081</v>
      </c>
    </row>
    <row r="2436" customFormat="false" ht="15" hidden="false" customHeight="false" outlineLevel="0" collapsed="false">
      <c r="A2436" s="3" t="n">
        <v>2435</v>
      </c>
      <c r="B2436" s="3" t="n">
        <v>2434</v>
      </c>
      <c r="C2436" s="3" t="n">
        <v>12</v>
      </c>
      <c r="D2436" s="3" t="n">
        <v>5</v>
      </c>
      <c r="E2436" s="3" t="n">
        <v>12</v>
      </c>
      <c r="F2436" s="24" t="n">
        <v>0.91236341</v>
      </c>
    </row>
    <row r="2437" customFormat="false" ht="15" hidden="false" customHeight="false" outlineLevel="0" collapsed="false">
      <c r="A2437" s="3" t="n">
        <v>2436</v>
      </c>
      <c r="B2437" s="3" t="n">
        <v>2435</v>
      </c>
      <c r="C2437" s="3" t="n">
        <v>12</v>
      </c>
      <c r="D2437" s="3" t="n">
        <v>5</v>
      </c>
      <c r="E2437" s="3" t="n">
        <v>13</v>
      </c>
      <c r="F2437" s="24" t="n">
        <v>-0.0832687318</v>
      </c>
    </row>
    <row r="2438" customFormat="false" ht="15" hidden="false" customHeight="false" outlineLevel="0" collapsed="false">
      <c r="A2438" s="3" t="n">
        <v>2437</v>
      </c>
      <c r="B2438" s="3" t="n">
        <v>2436</v>
      </c>
      <c r="C2438" s="3" t="n">
        <v>12</v>
      </c>
      <c r="D2438" s="3" t="n">
        <v>6</v>
      </c>
      <c r="E2438" s="3" t="n">
        <v>0</v>
      </c>
      <c r="F2438" s="24" t="n">
        <v>-0.182348877</v>
      </c>
    </row>
    <row r="2439" customFormat="false" ht="15" hidden="false" customHeight="false" outlineLevel="0" collapsed="false">
      <c r="A2439" s="3" t="n">
        <v>2438</v>
      </c>
      <c r="B2439" s="3" t="n">
        <v>2437</v>
      </c>
      <c r="C2439" s="3" t="n">
        <v>12</v>
      </c>
      <c r="D2439" s="3" t="n">
        <v>6</v>
      </c>
      <c r="E2439" s="3" t="n">
        <v>1</v>
      </c>
      <c r="F2439" s="24" t="n">
        <v>0.219906747</v>
      </c>
    </row>
    <row r="2440" customFormat="false" ht="15" hidden="false" customHeight="false" outlineLevel="0" collapsed="false">
      <c r="A2440" s="3" t="n">
        <v>2439</v>
      </c>
      <c r="B2440" s="3" t="n">
        <v>2438</v>
      </c>
      <c r="C2440" s="3" t="n">
        <v>12</v>
      </c>
      <c r="D2440" s="3" t="n">
        <v>6</v>
      </c>
      <c r="E2440" s="3" t="n">
        <v>2</v>
      </c>
      <c r="F2440" s="24" t="n">
        <v>0.0404642448</v>
      </c>
    </row>
    <row r="2441" customFormat="false" ht="15" hidden="false" customHeight="false" outlineLevel="0" collapsed="false">
      <c r="A2441" s="3" t="n">
        <v>2440</v>
      </c>
      <c r="B2441" s="3" t="n">
        <v>2439</v>
      </c>
      <c r="C2441" s="3" t="n">
        <v>12</v>
      </c>
      <c r="D2441" s="3" t="n">
        <v>6</v>
      </c>
      <c r="E2441" s="3" t="n">
        <v>3</v>
      </c>
      <c r="F2441" s="24" t="n">
        <v>-0.402103037</v>
      </c>
    </row>
    <row r="2442" customFormat="false" ht="15" hidden="false" customHeight="false" outlineLevel="0" collapsed="false">
      <c r="A2442" s="3" t="n">
        <v>2441</v>
      </c>
      <c r="B2442" s="3" t="n">
        <v>2440</v>
      </c>
      <c r="C2442" s="3" t="n">
        <v>12</v>
      </c>
      <c r="D2442" s="3" t="n">
        <v>6</v>
      </c>
      <c r="E2442" s="3" t="n">
        <v>4</v>
      </c>
      <c r="F2442" s="24" t="n">
        <v>-0.688883424</v>
      </c>
    </row>
    <row r="2443" customFormat="false" ht="15" hidden="false" customHeight="false" outlineLevel="0" collapsed="false">
      <c r="A2443" s="3" t="n">
        <v>2442</v>
      </c>
      <c r="B2443" s="3" t="n">
        <v>2441</v>
      </c>
      <c r="C2443" s="3" t="n">
        <v>12</v>
      </c>
      <c r="D2443" s="3" t="n">
        <v>6</v>
      </c>
      <c r="E2443" s="3" t="n">
        <v>5</v>
      </c>
      <c r="F2443" s="24" t="n">
        <v>-1.79334843</v>
      </c>
    </row>
    <row r="2444" customFormat="false" ht="15" hidden="false" customHeight="false" outlineLevel="0" collapsed="false">
      <c r="A2444" s="3" t="n">
        <v>2443</v>
      </c>
      <c r="B2444" s="3" t="n">
        <v>2442</v>
      </c>
      <c r="C2444" s="3" t="n">
        <v>12</v>
      </c>
      <c r="D2444" s="3" t="n">
        <v>6</v>
      </c>
      <c r="E2444" s="3" t="n">
        <v>6</v>
      </c>
      <c r="F2444" s="24" t="n">
        <v>-1.59075725</v>
      </c>
    </row>
    <row r="2445" customFormat="false" ht="15" hidden="false" customHeight="false" outlineLevel="0" collapsed="false">
      <c r="A2445" s="3" t="n">
        <v>2444</v>
      </c>
      <c r="B2445" s="3" t="n">
        <v>2443</v>
      </c>
      <c r="C2445" s="3" t="n">
        <v>12</v>
      </c>
      <c r="D2445" s="3" t="n">
        <v>6</v>
      </c>
      <c r="E2445" s="3" t="n">
        <v>7</v>
      </c>
      <c r="F2445" s="24" t="n">
        <v>4.54369354</v>
      </c>
    </row>
    <row r="2446" customFormat="false" ht="15" hidden="false" customHeight="false" outlineLevel="0" collapsed="false">
      <c r="A2446" s="3" t="n">
        <v>2445</v>
      </c>
      <c r="B2446" s="3" t="n">
        <v>2444</v>
      </c>
      <c r="C2446" s="3" t="n">
        <v>12</v>
      </c>
      <c r="D2446" s="3" t="n">
        <v>6</v>
      </c>
      <c r="E2446" s="3" t="n">
        <v>8</v>
      </c>
      <c r="F2446" s="24" t="n">
        <v>-0.837703824</v>
      </c>
    </row>
    <row r="2447" customFormat="false" ht="15" hidden="false" customHeight="false" outlineLevel="0" collapsed="false">
      <c r="A2447" s="3" t="n">
        <v>2446</v>
      </c>
      <c r="B2447" s="3" t="n">
        <v>2445</v>
      </c>
      <c r="C2447" s="3" t="n">
        <v>12</v>
      </c>
      <c r="D2447" s="3" t="n">
        <v>6</v>
      </c>
      <c r="E2447" s="3" t="n">
        <v>9</v>
      </c>
      <c r="F2447" s="24" t="n">
        <v>-15.7890501</v>
      </c>
    </row>
    <row r="2448" customFormat="false" ht="15" hidden="false" customHeight="false" outlineLevel="0" collapsed="false">
      <c r="A2448" s="3" t="n">
        <v>2447</v>
      </c>
      <c r="B2448" s="3" t="n">
        <v>2446</v>
      </c>
      <c r="C2448" s="3" t="n">
        <v>12</v>
      </c>
      <c r="D2448" s="3" t="n">
        <v>6</v>
      </c>
      <c r="E2448" s="3" t="n">
        <v>10</v>
      </c>
      <c r="F2448" s="24" t="n">
        <v>-9.00811958</v>
      </c>
    </row>
    <row r="2449" customFormat="false" ht="15" hidden="false" customHeight="false" outlineLevel="0" collapsed="false">
      <c r="A2449" s="3" t="n">
        <v>2448</v>
      </c>
      <c r="B2449" s="3" t="n">
        <v>2447</v>
      </c>
      <c r="C2449" s="3" t="n">
        <v>12</v>
      </c>
      <c r="D2449" s="3" t="n">
        <v>6</v>
      </c>
      <c r="E2449" s="3" t="n">
        <v>11</v>
      </c>
      <c r="F2449" s="24" t="n">
        <v>0.741658092</v>
      </c>
    </row>
    <row r="2450" customFormat="false" ht="15" hidden="false" customHeight="false" outlineLevel="0" collapsed="false">
      <c r="A2450" s="3" t="n">
        <v>2449</v>
      </c>
      <c r="B2450" s="3" t="n">
        <v>2448</v>
      </c>
      <c r="C2450" s="3" t="n">
        <v>12</v>
      </c>
      <c r="D2450" s="3" t="n">
        <v>6</v>
      </c>
      <c r="E2450" s="3" t="n">
        <v>12</v>
      </c>
      <c r="F2450" s="24" t="n">
        <v>0.707277656</v>
      </c>
    </row>
    <row r="2451" customFormat="false" ht="15" hidden="false" customHeight="false" outlineLevel="0" collapsed="false">
      <c r="A2451" s="3" t="n">
        <v>2450</v>
      </c>
      <c r="B2451" s="3" t="n">
        <v>2449</v>
      </c>
      <c r="C2451" s="3" t="n">
        <v>12</v>
      </c>
      <c r="D2451" s="3" t="n">
        <v>6</v>
      </c>
      <c r="E2451" s="3" t="n">
        <v>13</v>
      </c>
      <c r="F2451" s="24" t="n">
        <v>-0.0832687318</v>
      </c>
    </row>
    <row r="2452" customFormat="false" ht="15" hidden="false" customHeight="false" outlineLevel="0" collapsed="false">
      <c r="A2452" s="3" t="n">
        <v>2451</v>
      </c>
      <c r="B2452" s="3" t="n">
        <v>2450</v>
      </c>
      <c r="C2452" s="3" t="n">
        <v>12</v>
      </c>
      <c r="D2452" s="3" t="n">
        <v>7</v>
      </c>
      <c r="E2452" s="3" t="n">
        <v>0</v>
      </c>
      <c r="F2452" s="24" t="n">
        <v>-0.182348877</v>
      </c>
    </row>
    <row r="2453" customFormat="false" ht="15" hidden="false" customHeight="false" outlineLevel="0" collapsed="false">
      <c r="A2453" s="3" t="n">
        <v>2452</v>
      </c>
      <c r="B2453" s="3" t="n">
        <v>2451</v>
      </c>
      <c r="C2453" s="3" t="n">
        <v>12</v>
      </c>
      <c r="D2453" s="3" t="n">
        <v>7</v>
      </c>
      <c r="E2453" s="3" t="n">
        <v>1</v>
      </c>
      <c r="F2453" s="24" t="n">
        <v>0.179122329</v>
      </c>
    </row>
    <row r="2454" customFormat="false" ht="15" hidden="false" customHeight="false" outlineLevel="0" collapsed="false">
      <c r="A2454" s="3" t="n">
        <v>2453</v>
      </c>
      <c r="B2454" s="3" t="n">
        <v>2452</v>
      </c>
      <c r="C2454" s="3" t="n">
        <v>12</v>
      </c>
      <c r="D2454" s="3" t="n">
        <v>7</v>
      </c>
      <c r="E2454" s="3" t="n">
        <v>2</v>
      </c>
      <c r="F2454" s="24" t="n">
        <v>0.00439970195</v>
      </c>
    </row>
    <row r="2455" customFormat="false" ht="15" hidden="false" customHeight="false" outlineLevel="0" collapsed="false">
      <c r="A2455" s="3" t="n">
        <v>2454</v>
      </c>
      <c r="B2455" s="3" t="n">
        <v>2453</v>
      </c>
      <c r="C2455" s="3" t="n">
        <v>12</v>
      </c>
      <c r="D2455" s="3" t="n">
        <v>7</v>
      </c>
      <c r="E2455" s="3" t="n">
        <v>3</v>
      </c>
      <c r="F2455" s="24" t="n">
        <v>0.00439970195</v>
      </c>
    </row>
    <row r="2456" customFormat="false" ht="15" hidden="false" customHeight="false" outlineLevel="0" collapsed="false">
      <c r="A2456" s="3" t="n">
        <v>2455</v>
      </c>
      <c r="B2456" s="3" t="n">
        <v>2454</v>
      </c>
      <c r="C2456" s="3" t="n">
        <v>12</v>
      </c>
      <c r="D2456" s="3" t="n">
        <v>7</v>
      </c>
      <c r="E2456" s="3" t="n">
        <v>4</v>
      </c>
      <c r="F2456" s="24" t="n">
        <v>0.00439970195</v>
      </c>
    </row>
    <row r="2457" customFormat="false" ht="15" hidden="false" customHeight="false" outlineLevel="0" collapsed="false">
      <c r="A2457" s="3" t="n">
        <v>2456</v>
      </c>
      <c r="B2457" s="3" t="n">
        <v>2455</v>
      </c>
      <c r="C2457" s="3" t="n">
        <v>12</v>
      </c>
      <c r="D2457" s="3" t="n">
        <v>7</v>
      </c>
      <c r="E2457" s="3" t="n">
        <v>5</v>
      </c>
      <c r="F2457" s="24" t="n">
        <v>0.170722976</v>
      </c>
    </row>
    <row r="2458" customFormat="false" ht="15" hidden="false" customHeight="false" outlineLevel="0" collapsed="false">
      <c r="A2458" s="3" t="n">
        <v>2457</v>
      </c>
      <c r="B2458" s="3" t="n">
        <v>2456</v>
      </c>
      <c r="C2458" s="3" t="n">
        <v>12</v>
      </c>
      <c r="D2458" s="3" t="n">
        <v>7</v>
      </c>
      <c r="E2458" s="3" t="n">
        <v>6</v>
      </c>
      <c r="F2458" s="24" t="n">
        <v>4.08948421</v>
      </c>
    </row>
    <row r="2459" customFormat="false" ht="15" hidden="false" customHeight="false" outlineLevel="0" collapsed="false">
      <c r="A2459" s="3" t="n">
        <v>2458</v>
      </c>
      <c r="B2459" s="3" t="n">
        <v>2457</v>
      </c>
      <c r="C2459" s="3" t="n">
        <v>12</v>
      </c>
      <c r="D2459" s="3" t="n">
        <v>7</v>
      </c>
      <c r="E2459" s="3" t="n">
        <v>7</v>
      </c>
      <c r="F2459" s="24" t="n">
        <v>6.83154011</v>
      </c>
    </row>
    <row r="2460" customFormat="false" ht="15" hidden="false" customHeight="false" outlineLevel="0" collapsed="false">
      <c r="A2460" s="3" t="n">
        <v>2459</v>
      </c>
      <c r="B2460" s="3" t="n">
        <v>2458</v>
      </c>
      <c r="C2460" s="3" t="n">
        <v>12</v>
      </c>
      <c r="D2460" s="3" t="n">
        <v>7</v>
      </c>
      <c r="E2460" s="3" t="n">
        <v>8</v>
      </c>
      <c r="F2460" s="24" t="n">
        <v>-9.63678932</v>
      </c>
    </row>
    <row r="2461" customFormat="false" ht="15" hidden="false" customHeight="false" outlineLevel="0" collapsed="false">
      <c r="A2461" s="3" t="n">
        <v>2460</v>
      </c>
      <c r="B2461" s="3" t="n">
        <v>2459</v>
      </c>
      <c r="C2461" s="3" t="n">
        <v>12</v>
      </c>
      <c r="D2461" s="3" t="n">
        <v>7</v>
      </c>
      <c r="E2461" s="3" t="n">
        <v>9</v>
      </c>
      <c r="F2461" s="24" t="n">
        <v>-14.2408133</v>
      </c>
    </row>
    <row r="2462" customFormat="false" ht="15" hidden="false" customHeight="false" outlineLevel="0" collapsed="false">
      <c r="A2462" s="3" t="n">
        <v>2461</v>
      </c>
      <c r="B2462" s="3" t="n">
        <v>2460</v>
      </c>
      <c r="C2462" s="3" t="n">
        <v>12</v>
      </c>
      <c r="D2462" s="3" t="n">
        <v>7</v>
      </c>
      <c r="E2462" s="3" t="n">
        <v>10</v>
      </c>
      <c r="F2462" s="24" t="n">
        <v>-2.42595339</v>
      </c>
    </row>
    <row r="2463" customFormat="false" ht="15" hidden="false" customHeight="false" outlineLevel="0" collapsed="false">
      <c r="A2463" s="3" t="n">
        <v>2462</v>
      </c>
      <c r="B2463" s="3" t="n">
        <v>2461</v>
      </c>
      <c r="C2463" s="3" t="n">
        <v>12</v>
      </c>
      <c r="D2463" s="3" t="n">
        <v>7</v>
      </c>
      <c r="E2463" s="3" t="n">
        <v>11</v>
      </c>
      <c r="F2463" s="24" t="n">
        <v>1.23063123</v>
      </c>
    </row>
    <row r="2464" customFormat="false" ht="15" hidden="false" customHeight="false" outlineLevel="0" collapsed="false">
      <c r="A2464" s="3" t="n">
        <v>2463</v>
      </c>
      <c r="B2464" s="3" t="n">
        <v>2462</v>
      </c>
      <c r="C2464" s="3" t="n">
        <v>12</v>
      </c>
      <c r="D2464" s="3" t="n">
        <v>7</v>
      </c>
      <c r="E2464" s="3" t="n">
        <v>12</v>
      </c>
      <c r="F2464" s="24" t="n">
        <v>0.281982332</v>
      </c>
    </row>
    <row r="2465" customFormat="false" ht="15" hidden="false" customHeight="false" outlineLevel="0" collapsed="false">
      <c r="A2465" s="3" t="n">
        <v>2464</v>
      </c>
      <c r="B2465" s="3" t="n">
        <v>2463</v>
      </c>
      <c r="C2465" s="3" t="n">
        <v>12</v>
      </c>
      <c r="D2465" s="3" t="n">
        <v>7</v>
      </c>
      <c r="E2465" s="3" t="n">
        <v>13</v>
      </c>
      <c r="F2465" s="24" t="n">
        <v>-0.0832687318</v>
      </c>
    </row>
    <row r="2466" customFormat="false" ht="15" hidden="false" customHeight="false" outlineLevel="0" collapsed="false">
      <c r="A2466" s="3" t="n">
        <v>2465</v>
      </c>
      <c r="B2466" s="3" t="n">
        <v>2464</v>
      </c>
      <c r="C2466" s="3" t="n">
        <v>12</v>
      </c>
      <c r="D2466" s="3" t="n">
        <v>8</v>
      </c>
      <c r="E2466" s="3" t="n">
        <v>0</v>
      </c>
      <c r="F2466" s="24" t="n">
        <v>-0.182348877</v>
      </c>
    </row>
    <row r="2467" customFormat="false" ht="15" hidden="false" customHeight="false" outlineLevel="0" collapsed="false">
      <c r="A2467" s="3" t="n">
        <v>2466</v>
      </c>
      <c r="B2467" s="3" t="n">
        <v>2465</v>
      </c>
      <c r="C2467" s="3" t="n">
        <v>12</v>
      </c>
      <c r="D2467" s="3" t="n">
        <v>8</v>
      </c>
      <c r="E2467" s="3" t="n">
        <v>1</v>
      </c>
      <c r="F2467" s="24" t="n">
        <v>0.179122329</v>
      </c>
    </row>
    <row r="2468" customFormat="false" ht="15" hidden="false" customHeight="false" outlineLevel="0" collapsed="false">
      <c r="A2468" s="3" t="n">
        <v>2467</v>
      </c>
      <c r="B2468" s="3" t="n">
        <v>2466</v>
      </c>
      <c r="C2468" s="3" t="n">
        <v>12</v>
      </c>
      <c r="D2468" s="3" t="n">
        <v>8</v>
      </c>
      <c r="E2468" s="3" t="n">
        <v>2</v>
      </c>
      <c r="F2468" s="24" t="n">
        <v>0.00439970195</v>
      </c>
    </row>
    <row r="2469" customFormat="false" ht="15" hidden="false" customHeight="false" outlineLevel="0" collapsed="false">
      <c r="A2469" s="3" t="n">
        <v>2468</v>
      </c>
      <c r="B2469" s="3" t="n">
        <v>2467</v>
      </c>
      <c r="C2469" s="3" t="n">
        <v>12</v>
      </c>
      <c r="D2469" s="3" t="n">
        <v>8</v>
      </c>
      <c r="E2469" s="3" t="n">
        <v>3</v>
      </c>
      <c r="F2469" s="24" t="n">
        <v>0.00439970195</v>
      </c>
    </row>
    <row r="2470" customFormat="false" ht="15" hidden="false" customHeight="false" outlineLevel="0" collapsed="false">
      <c r="A2470" s="3" t="n">
        <v>2469</v>
      </c>
      <c r="B2470" s="3" t="n">
        <v>2468</v>
      </c>
      <c r="C2470" s="3" t="n">
        <v>12</v>
      </c>
      <c r="D2470" s="3" t="n">
        <v>8</v>
      </c>
      <c r="E2470" s="3" t="n">
        <v>4</v>
      </c>
      <c r="F2470" s="24" t="n">
        <v>0.00548239052</v>
      </c>
    </row>
    <row r="2471" customFormat="false" ht="15" hidden="false" customHeight="false" outlineLevel="0" collapsed="false">
      <c r="A2471" s="3" t="n">
        <v>2470</v>
      </c>
      <c r="B2471" s="3" t="n">
        <v>2469</v>
      </c>
      <c r="C2471" s="3" t="n">
        <v>12</v>
      </c>
      <c r="D2471" s="3" t="n">
        <v>8</v>
      </c>
      <c r="E2471" s="3" t="n">
        <v>5</v>
      </c>
      <c r="F2471" s="24" t="n">
        <v>2.46244645</v>
      </c>
    </row>
    <row r="2472" customFormat="false" ht="15" hidden="false" customHeight="false" outlineLevel="0" collapsed="false">
      <c r="A2472" s="3" t="n">
        <v>2471</v>
      </c>
      <c r="B2472" s="3" t="n">
        <v>2470</v>
      </c>
      <c r="C2472" s="3" t="n">
        <v>12</v>
      </c>
      <c r="D2472" s="3" t="n">
        <v>8</v>
      </c>
      <c r="E2472" s="3" t="n">
        <v>6</v>
      </c>
      <c r="F2472" s="24" t="n">
        <v>7.80004072</v>
      </c>
    </row>
    <row r="2473" customFormat="false" ht="15" hidden="false" customHeight="false" outlineLevel="0" collapsed="false">
      <c r="A2473" s="3" t="n">
        <v>2472</v>
      </c>
      <c r="B2473" s="3" t="n">
        <v>2471</v>
      </c>
      <c r="C2473" s="3" t="n">
        <v>12</v>
      </c>
      <c r="D2473" s="3" t="n">
        <v>8</v>
      </c>
      <c r="E2473" s="3" t="n">
        <v>7</v>
      </c>
      <c r="F2473" s="24" t="n">
        <v>-0.619987607</v>
      </c>
    </row>
    <row r="2474" customFormat="false" ht="15" hidden="false" customHeight="false" outlineLevel="0" collapsed="false">
      <c r="A2474" s="3" t="n">
        <v>2473</v>
      </c>
      <c r="B2474" s="3" t="n">
        <v>2472</v>
      </c>
      <c r="C2474" s="3" t="n">
        <v>12</v>
      </c>
      <c r="D2474" s="3" t="n">
        <v>8</v>
      </c>
      <c r="E2474" s="3" t="n">
        <v>8</v>
      </c>
      <c r="F2474" s="24" t="n">
        <v>-14.6838722</v>
      </c>
    </row>
    <row r="2475" customFormat="false" ht="15" hidden="false" customHeight="false" outlineLevel="0" collapsed="false">
      <c r="A2475" s="3" t="n">
        <v>2474</v>
      </c>
      <c r="B2475" s="3" t="n">
        <v>2473</v>
      </c>
      <c r="C2475" s="3" t="n">
        <v>12</v>
      </c>
      <c r="D2475" s="3" t="n">
        <v>8</v>
      </c>
      <c r="E2475" s="3" t="n">
        <v>9</v>
      </c>
      <c r="F2475" s="24" t="n">
        <v>-7.96512175</v>
      </c>
    </row>
    <row r="2476" customFormat="false" ht="15" hidden="false" customHeight="false" outlineLevel="0" collapsed="false">
      <c r="A2476" s="3" t="n">
        <v>2475</v>
      </c>
      <c r="B2476" s="3" t="n">
        <v>2474</v>
      </c>
      <c r="C2476" s="3" t="n">
        <v>12</v>
      </c>
      <c r="D2476" s="3" t="n">
        <v>8</v>
      </c>
      <c r="E2476" s="3" t="n">
        <v>10</v>
      </c>
      <c r="F2476" s="24" t="n">
        <v>0.532813787</v>
      </c>
    </row>
    <row r="2477" customFormat="false" ht="15" hidden="false" customHeight="false" outlineLevel="0" collapsed="false">
      <c r="A2477" s="3" t="n">
        <v>2476</v>
      </c>
      <c r="B2477" s="3" t="n">
        <v>2475</v>
      </c>
      <c r="C2477" s="3" t="n">
        <v>12</v>
      </c>
      <c r="D2477" s="3" t="n">
        <v>8</v>
      </c>
      <c r="E2477" s="3" t="n">
        <v>11</v>
      </c>
      <c r="F2477" s="24" t="n">
        <v>0.402000487</v>
      </c>
    </row>
    <row r="2478" customFormat="false" ht="15" hidden="false" customHeight="false" outlineLevel="0" collapsed="false">
      <c r="A2478" s="3" t="n">
        <v>2477</v>
      </c>
      <c r="B2478" s="3" t="n">
        <v>2476</v>
      </c>
      <c r="C2478" s="3" t="n">
        <v>12</v>
      </c>
      <c r="D2478" s="3" t="n">
        <v>8</v>
      </c>
      <c r="E2478" s="3" t="n">
        <v>12</v>
      </c>
      <c r="F2478" s="24" t="n">
        <v>0.286149859</v>
      </c>
    </row>
    <row r="2479" customFormat="false" ht="15" hidden="false" customHeight="false" outlineLevel="0" collapsed="false">
      <c r="A2479" s="3" t="n">
        <v>2478</v>
      </c>
      <c r="B2479" s="3" t="n">
        <v>2477</v>
      </c>
      <c r="C2479" s="3" t="n">
        <v>12</v>
      </c>
      <c r="D2479" s="3" t="n">
        <v>8</v>
      </c>
      <c r="E2479" s="3" t="n">
        <v>13</v>
      </c>
      <c r="F2479" s="24" t="n">
        <v>-0.0832687318</v>
      </c>
    </row>
    <row r="2480" customFormat="false" ht="15" hidden="false" customHeight="false" outlineLevel="0" collapsed="false">
      <c r="A2480" s="3" t="n">
        <v>2479</v>
      </c>
      <c r="B2480" s="3" t="n">
        <v>2478</v>
      </c>
      <c r="C2480" s="3" t="n">
        <v>12</v>
      </c>
      <c r="D2480" s="3" t="n">
        <v>9</v>
      </c>
      <c r="E2480" s="3" t="n">
        <v>0</v>
      </c>
      <c r="F2480" s="24" t="n">
        <v>-0.182348877</v>
      </c>
    </row>
    <row r="2481" customFormat="false" ht="15" hidden="false" customHeight="false" outlineLevel="0" collapsed="false">
      <c r="A2481" s="3" t="n">
        <v>2480</v>
      </c>
      <c r="B2481" s="3" t="n">
        <v>2479</v>
      </c>
      <c r="C2481" s="3" t="n">
        <v>12</v>
      </c>
      <c r="D2481" s="3" t="n">
        <v>9</v>
      </c>
      <c r="E2481" s="3" t="n">
        <v>1</v>
      </c>
      <c r="F2481" s="24" t="n">
        <v>0.179122329</v>
      </c>
    </row>
    <row r="2482" customFormat="false" ht="15" hidden="false" customHeight="false" outlineLevel="0" collapsed="false">
      <c r="A2482" s="3" t="n">
        <v>2481</v>
      </c>
      <c r="B2482" s="3" t="n">
        <v>2480</v>
      </c>
      <c r="C2482" s="3" t="n">
        <v>12</v>
      </c>
      <c r="D2482" s="3" t="n">
        <v>9</v>
      </c>
      <c r="E2482" s="3" t="n">
        <v>2</v>
      </c>
      <c r="F2482" s="24" t="n">
        <v>0.00439970195</v>
      </c>
    </row>
    <row r="2483" customFormat="false" ht="15" hidden="false" customHeight="false" outlineLevel="0" collapsed="false">
      <c r="A2483" s="3" t="n">
        <v>2482</v>
      </c>
      <c r="B2483" s="3" t="n">
        <v>2481</v>
      </c>
      <c r="C2483" s="3" t="n">
        <v>12</v>
      </c>
      <c r="D2483" s="3" t="n">
        <v>9</v>
      </c>
      <c r="E2483" s="3" t="n">
        <v>3</v>
      </c>
      <c r="F2483" s="24" t="n">
        <v>0.00439970195</v>
      </c>
    </row>
    <row r="2484" customFormat="false" ht="15" hidden="false" customHeight="false" outlineLevel="0" collapsed="false">
      <c r="A2484" s="3" t="n">
        <v>2483</v>
      </c>
      <c r="B2484" s="3" t="n">
        <v>2482</v>
      </c>
      <c r="C2484" s="3" t="n">
        <v>12</v>
      </c>
      <c r="D2484" s="3" t="n">
        <v>9</v>
      </c>
      <c r="E2484" s="3" t="n">
        <v>4</v>
      </c>
      <c r="F2484" s="24" t="n">
        <v>0.773793936</v>
      </c>
    </row>
    <row r="2485" customFormat="false" ht="15" hidden="false" customHeight="false" outlineLevel="0" collapsed="false">
      <c r="A2485" s="3" t="n">
        <v>2484</v>
      </c>
      <c r="B2485" s="3" t="n">
        <v>2483</v>
      </c>
      <c r="C2485" s="3" t="n">
        <v>12</v>
      </c>
      <c r="D2485" s="3" t="n">
        <v>9</v>
      </c>
      <c r="E2485" s="3" t="n">
        <v>5</v>
      </c>
      <c r="F2485" s="24" t="n">
        <v>6.6233983</v>
      </c>
    </row>
    <row r="2486" customFormat="false" ht="15" hidden="false" customHeight="false" outlineLevel="0" collapsed="false">
      <c r="A2486" s="3" t="n">
        <v>2485</v>
      </c>
      <c r="B2486" s="3" t="n">
        <v>2484</v>
      </c>
      <c r="C2486" s="3" t="n">
        <v>12</v>
      </c>
      <c r="D2486" s="3" t="n">
        <v>9</v>
      </c>
      <c r="E2486" s="3" t="n">
        <v>6</v>
      </c>
      <c r="F2486" s="24" t="n">
        <v>4.68431091</v>
      </c>
    </row>
    <row r="2487" customFormat="false" ht="15" hidden="false" customHeight="false" outlineLevel="0" collapsed="false">
      <c r="A2487" s="3" t="n">
        <v>2486</v>
      </c>
      <c r="B2487" s="3" t="n">
        <v>2485</v>
      </c>
      <c r="C2487" s="3" t="n">
        <v>12</v>
      </c>
      <c r="D2487" s="3" t="n">
        <v>9</v>
      </c>
      <c r="E2487" s="3" t="n">
        <v>7</v>
      </c>
      <c r="F2487" s="24" t="n">
        <v>-11.5086107</v>
      </c>
    </row>
    <row r="2488" customFormat="false" ht="15" hidden="false" customHeight="false" outlineLevel="0" collapsed="false">
      <c r="A2488" s="3" t="n">
        <v>2487</v>
      </c>
      <c r="B2488" s="3" t="n">
        <v>2486</v>
      </c>
      <c r="C2488" s="3" t="n">
        <v>12</v>
      </c>
      <c r="D2488" s="3" t="n">
        <v>9</v>
      </c>
      <c r="E2488" s="3" t="n">
        <v>8</v>
      </c>
      <c r="F2488" s="24" t="n">
        <v>-12.9213877</v>
      </c>
    </row>
    <row r="2489" customFormat="false" ht="15" hidden="false" customHeight="false" outlineLevel="0" collapsed="false">
      <c r="A2489" s="3" t="n">
        <v>2488</v>
      </c>
      <c r="B2489" s="3" t="n">
        <v>2487</v>
      </c>
      <c r="C2489" s="3" t="n">
        <v>12</v>
      </c>
      <c r="D2489" s="3" t="n">
        <v>9</v>
      </c>
      <c r="E2489" s="3" t="n">
        <v>9</v>
      </c>
      <c r="F2489" s="24" t="n">
        <v>-1.59178674</v>
      </c>
    </row>
    <row r="2490" customFormat="false" ht="15" hidden="false" customHeight="false" outlineLevel="0" collapsed="false">
      <c r="A2490" s="3" t="n">
        <v>2489</v>
      </c>
      <c r="B2490" s="3" t="n">
        <v>2488</v>
      </c>
      <c r="C2490" s="3" t="n">
        <v>12</v>
      </c>
      <c r="D2490" s="3" t="n">
        <v>9</v>
      </c>
      <c r="E2490" s="3" t="n">
        <v>10</v>
      </c>
      <c r="F2490" s="24" t="n">
        <v>1.07448411</v>
      </c>
    </row>
    <row r="2491" customFormat="false" ht="15" hidden="false" customHeight="false" outlineLevel="0" collapsed="false">
      <c r="A2491" s="3" t="n">
        <v>2490</v>
      </c>
      <c r="B2491" s="3" t="n">
        <v>2489</v>
      </c>
      <c r="C2491" s="3" t="n">
        <v>12</v>
      </c>
      <c r="D2491" s="3" t="n">
        <v>9</v>
      </c>
      <c r="E2491" s="3" t="n">
        <v>11</v>
      </c>
      <c r="F2491" s="24" t="n">
        <v>0.00264017284</v>
      </c>
    </row>
    <row r="2492" customFormat="false" ht="15" hidden="false" customHeight="false" outlineLevel="0" collapsed="false">
      <c r="A2492" s="3" t="n">
        <v>2491</v>
      </c>
      <c r="B2492" s="3" t="n">
        <v>2490</v>
      </c>
      <c r="C2492" s="3" t="n">
        <v>12</v>
      </c>
      <c r="D2492" s="3" t="n">
        <v>9</v>
      </c>
      <c r="E2492" s="3" t="n">
        <v>12</v>
      </c>
      <c r="F2492" s="24" t="n">
        <v>0.286149859</v>
      </c>
    </row>
    <row r="2493" customFormat="false" ht="15" hidden="false" customHeight="false" outlineLevel="0" collapsed="false">
      <c r="A2493" s="3" t="n">
        <v>2492</v>
      </c>
      <c r="B2493" s="3" t="n">
        <v>2491</v>
      </c>
      <c r="C2493" s="3" t="n">
        <v>12</v>
      </c>
      <c r="D2493" s="3" t="n">
        <v>9</v>
      </c>
      <c r="E2493" s="3" t="n">
        <v>13</v>
      </c>
      <c r="F2493" s="24" t="n">
        <v>-0.0832687318</v>
      </c>
    </row>
    <row r="2494" customFormat="false" ht="15" hidden="false" customHeight="false" outlineLevel="0" collapsed="false">
      <c r="A2494" s="3" t="n">
        <v>2493</v>
      </c>
      <c r="B2494" s="3" t="n">
        <v>2492</v>
      </c>
      <c r="C2494" s="3" t="n">
        <v>12</v>
      </c>
      <c r="D2494" s="3" t="n">
        <v>10</v>
      </c>
      <c r="E2494" s="3" t="n">
        <v>0</v>
      </c>
      <c r="F2494" s="24" t="n">
        <v>-0.182348877</v>
      </c>
    </row>
    <row r="2495" customFormat="false" ht="15" hidden="false" customHeight="false" outlineLevel="0" collapsed="false">
      <c r="A2495" s="3" t="n">
        <v>2494</v>
      </c>
      <c r="B2495" s="3" t="n">
        <v>2493</v>
      </c>
      <c r="C2495" s="3" t="n">
        <v>12</v>
      </c>
      <c r="D2495" s="3" t="n">
        <v>10</v>
      </c>
      <c r="E2495" s="3" t="n">
        <v>1</v>
      </c>
      <c r="F2495" s="24" t="n">
        <v>0.179122329</v>
      </c>
    </row>
    <row r="2496" customFormat="false" ht="15" hidden="false" customHeight="false" outlineLevel="0" collapsed="false">
      <c r="A2496" s="3" t="n">
        <v>2495</v>
      </c>
      <c r="B2496" s="3" t="n">
        <v>2494</v>
      </c>
      <c r="C2496" s="3" t="n">
        <v>12</v>
      </c>
      <c r="D2496" s="3" t="n">
        <v>10</v>
      </c>
      <c r="E2496" s="3" t="n">
        <v>2</v>
      </c>
      <c r="F2496" s="24" t="n">
        <v>0.00439970195</v>
      </c>
    </row>
    <row r="2497" customFormat="false" ht="15" hidden="false" customHeight="false" outlineLevel="0" collapsed="false">
      <c r="A2497" s="3" t="n">
        <v>2496</v>
      </c>
      <c r="B2497" s="3" t="n">
        <v>2495</v>
      </c>
      <c r="C2497" s="3" t="n">
        <v>12</v>
      </c>
      <c r="D2497" s="3" t="n">
        <v>10</v>
      </c>
      <c r="E2497" s="3" t="n">
        <v>3</v>
      </c>
      <c r="F2497" s="24" t="n">
        <v>0.134393871</v>
      </c>
    </row>
    <row r="2498" customFormat="false" ht="15" hidden="false" customHeight="false" outlineLevel="0" collapsed="false">
      <c r="A2498" s="3" t="n">
        <v>2497</v>
      </c>
      <c r="B2498" s="3" t="n">
        <v>2496</v>
      </c>
      <c r="C2498" s="3" t="n">
        <v>12</v>
      </c>
      <c r="D2498" s="3" t="n">
        <v>10</v>
      </c>
      <c r="E2498" s="3" t="n">
        <v>4</v>
      </c>
      <c r="F2498" s="24" t="n">
        <v>3.71240211</v>
      </c>
    </row>
    <row r="2499" customFormat="false" ht="15" hidden="false" customHeight="false" outlineLevel="0" collapsed="false">
      <c r="A2499" s="3" t="n">
        <v>2498</v>
      </c>
      <c r="B2499" s="3" t="n">
        <v>2497</v>
      </c>
      <c r="C2499" s="3" t="n">
        <v>12</v>
      </c>
      <c r="D2499" s="3" t="n">
        <v>10</v>
      </c>
      <c r="E2499" s="3" t="n">
        <v>5</v>
      </c>
      <c r="F2499" s="24" t="n">
        <v>7.78639936</v>
      </c>
    </row>
    <row r="2500" customFormat="false" ht="15" hidden="false" customHeight="false" outlineLevel="0" collapsed="false">
      <c r="A2500" s="3" t="n">
        <v>2499</v>
      </c>
      <c r="B2500" s="3" t="n">
        <v>2498</v>
      </c>
      <c r="C2500" s="3" t="n">
        <v>12</v>
      </c>
      <c r="D2500" s="3" t="n">
        <v>10</v>
      </c>
      <c r="E2500" s="3" t="n">
        <v>6</v>
      </c>
      <c r="F2500" s="24" t="n">
        <v>-6.54898167</v>
      </c>
    </row>
    <row r="2501" customFormat="false" ht="15" hidden="false" customHeight="false" outlineLevel="0" collapsed="false">
      <c r="A2501" s="3" t="n">
        <v>2500</v>
      </c>
      <c r="B2501" s="3" t="n">
        <v>2499</v>
      </c>
      <c r="C2501" s="3" t="n">
        <v>12</v>
      </c>
      <c r="D2501" s="3" t="n">
        <v>10</v>
      </c>
      <c r="E2501" s="3" t="n">
        <v>7</v>
      </c>
      <c r="F2501" s="24" t="n">
        <v>-14.9301262</v>
      </c>
    </row>
    <row r="2502" customFormat="false" ht="15" hidden="false" customHeight="false" outlineLevel="0" collapsed="false">
      <c r="A2502" s="3" t="n">
        <v>2501</v>
      </c>
      <c r="B2502" s="3" t="n">
        <v>2500</v>
      </c>
      <c r="C2502" s="3" t="n">
        <v>12</v>
      </c>
      <c r="D2502" s="3" t="n">
        <v>10</v>
      </c>
      <c r="E2502" s="3" t="n">
        <v>8</v>
      </c>
      <c r="F2502" s="24" t="n">
        <v>-6.24541998</v>
      </c>
    </row>
    <row r="2503" customFormat="false" ht="15" hidden="false" customHeight="false" outlineLevel="0" collapsed="false">
      <c r="A2503" s="3" t="n">
        <v>2502</v>
      </c>
      <c r="B2503" s="3" t="n">
        <v>2501</v>
      </c>
      <c r="C2503" s="3" t="n">
        <v>12</v>
      </c>
      <c r="D2503" s="3" t="n">
        <v>10</v>
      </c>
      <c r="E2503" s="3" t="n">
        <v>9</v>
      </c>
      <c r="F2503" s="24" t="n">
        <v>0.713011861</v>
      </c>
    </row>
    <row r="2504" customFormat="false" ht="15" hidden="false" customHeight="false" outlineLevel="0" collapsed="false">
      <c r="A2504" s="3" t="n">
        <v>2503</v>
      </c>
      <c r="B2504" s="3" t="n">
        <v>2502</v>
      </c>
      <c r="C2504" s="3" t="n">
        <v>12</v>
      </c>
      <c r="D2504" s="3" t="n">
        <v>10</v>
      </c>
      <c r="E2504" s="3" t="n">
        <v>10</v>
      </c>
      <c r="F2504" s="24" t="n">
        <v>0.326324612</v>
      </c>
    </row>
    <row r="2505" customFormat="false" ht="15" hidden="false" customHeight="false" outlineLevel="0" collapsed="false">
      <c r="A2505" s="3" t="n">
        <v>2504</v>
      </c>
      <c r="B2505" s="3" t="n">
        <v>2503</v>
      </c>
      <c r="C2505" s="3" t="n">
        <v>12</v>
      </c>
      <c r="D2505" s="3" t="n">
        <v>10</v>
      </c>
      <c r="E2505" s="3" t="n">
        <v>11</v>
      </c>
      <c r="F2505" s="24" t="n">
        <v>0.00439970195</v>
      </c>
    </row>
    <row r="2506" customFormat="false" ht="15" hidden="false" customHeight="false" outlineLevel="0" collapsed="false">
      <c r="A2506" s="3" t="n">
        <v>2505</v>
      </c>
      <c r="B2506" s="3" t="n">
        <v>2504</v>
      </c>
      <c r="C2506" s="3" t="n">
        <v>12</v>
      </c>
      <c r="D2506" s="3" t="n">
        <v>10</v>
      </c>
      <c r="E2506" s="3" t="n">
        <v>12</v>
      </c>
      <c r="F2506" s="24" t="n">
        <v>0.286149859</v>
      </c>
    </row>
    <row r="2507" customFormat="false" ht="15" hidden="false" customHeight="false" outlineLevel="0" collapsed="false">
      <c r="A2507" s="3" t="n">
        <v>2506</v>
      </c>
      <c r="B2507" s="3" t="n">
        <v>2505</v>
      </c>
      <c r="C2507" s="3" t="n">
        <v>12</v>
      </c>
      <c r="D2507" s="3" t="n">
        <v>10</v>
      </c>
      <c r="E2507" s="3" t="n">
        <v>13</v>
      </c>
      <c r="F2507" s="24" t="n">
        <v>-0.0832687318</v>
      </c>
    </row>
    <row r="2508" customFormat="false" ht="15" hidden="false" customHeight="false" outlineLevel="0" collapsed="false">
      <c r="A2508" s="3" t="n">
        <v>2507</v>
      </c>
      <c r="B2508" s="3" t="n">
        <v>2506</v>
      </c>
      <c r="C2508" s="3" t="n">
        <v>12</v>
      </c>
      <c r="D2508" s="3" t="n">
        <v>11</v>
      </c>
      <c r="E2508" s="3" t="n">
        <v>0</v>
      </c>
      <c r="F2508" s="24" t="n">
        <v>-0.182348877</v>
      </c>
    </row>
    <row r="2509" customFormat="false" ht="15" hidden="false" customHeight="false" outlineLevel="0" collapsed="false">
      <c r="A2509" s="3" t="n">
        <v>2508</v>
      </c>
      <c r="B2509" s="3" t="n">
        <v>2507</v>
      </c>
      <c r="C2509" s="3" t="n">
        <v>12</v>
      </c>
      <c r="D2509" s="3" t="n">
        <v>11</v>
      </c>
      <c r="E2509" s="3" t="n">
        <v>1</v>
      </c>
      <c r="F2509" s="24" t="n">
        <v>0.179122329</v>
      </c>
    </row>
    <row r="2510" customFormat="false" ht="15" hidden="false" customHeight="false" outlineLevel="0" collapsed="false">
      <c r="A2510" s="3" t="n">
        <v>2509</v>
      </c>
      <c r="B2510" s="3" t="n">
        <v>2508</v>
      </c>
      <c r="C2510" s="3" t="n">
        <v>12</v>
      </c>
      <c r="D2510" s="3" t="n">
        <v>11</v>
      </c>
      <c r="E2510" s="3" t="n">
        <v>2</v>
      </c>
      <c r="F2510" s="24" t="n">
        <v>0.00439970195</v>
      </c>
    </row>
    <row r="2511" customFormat="false" ht="15" hidden="false" customHeight="false" outlineLevel="0" collapsed="false">
      <c r="A2511" s="3" t="n">
        <v>2510</v>
      </c>
      <c r="B2511" s="3" t="n">
        <v>2509</v>
      </c>
      <c r="C2511" s="3" t="n">
        <v>12</v>
      </c>
      <c r="D2511" s="3" t="n">
        <v>11</v>
      </c>
      <c r="E2511" s="3" t="n">
        <v>3</v>
      </c>
      <c r="F2511" s="24" t="n">
        <v>0.767283559</v>
      </c>
    </row>
    <row r="2512" customFormat="false" ht="15" hidden="false" customHeight="false" outlineLevel="0" collapsed="false">
      <c r="A2512" s="3" t="n">
        <v>2511</v>
      </c>
      <c r="B2512" s="3" t="n">
        <v>2510</v>
      </c>
      <c r="C2512" s="3" t="n">
        <v>12</v>
      </c>
      <c r="D2512" s="3" t="n">
        <v>11</v>
      </c>
      <c r="E2512" s="3" t="n">
        <v>4</v>
      </c>
      <c r="F2512" s="24" t="n">
        <v>6.79201365</v>
      </c>
    </row>
    <row r="2513" customFormat="false" ht="15" hidden="false" customHeight="false" outlineLevel="0" collapsed="false">
      <c r="A2513" s="3" t="n">
        <v>2512</v>
      </c>
      <c r="B2513" s="3" t="n">
        <v>2511</v>
      </c>
      <c r="C2513" s="3" t="n">
        <v>12</v>
      </c>
      <c r="D2513" s="3" t="n">
        <v>11</v>
      </c>
      <c r="E2513" s="3" t="n">
        <v>5</v>
      </c>
      <c r="F2513" s="24" t="n">
        <v>2.13661289</v>
      </c>
    </row>
    <row r="2514" customFormat="false" ht="15" hidden="false" customHeight="false" outlineLevel="0" collapsed="false">
      <c r="A2514" s="3" t="n">
        <v>2513</v>
      </c>
      <c r="B2514" s="3" t="n">
        <v>2512</v>
      </c>
      <c r="C2514" s="3" t="n">
        <v>12</v>
      </c>
      <c r="D2514" s="3" t="n">
        <v>11</v>
      </c>
      <c r="E2514" s="3" t="n">
        <v>6</v>
      </c>
      <c r="F2514" s="24" t="n">
        <v>-14.8074303</v>
      </c>
    </row>
    <row r="2515" customFormat="false" ht="15" hidden="false" customHeight="false" outlineLevel="0" collapsed="false">
      <c r="A2515" s="3" t="n">
        <v>2514</v>
      </c>
      <c r="B2515" s="3" t="n">
        <v>2513</v>
      </c>
      <c r="C2515" s="3" t="n">
        <v>12</v>
      </c>
      <c r="D2515" s="3" t="n">
        <v>11</v>
      </c>
      <c r="E2515" s="3" t="n">
        <v>7</v>
      </c>
      <c r="F2515" s="24" t="n">
        <v>-10.9102993</v>
      </c>
    </row>
    <row r="2516" customFormat="false" ht="15" hidden="false" customHeight="false" outlineLevel="0" collapsed="false">
      <c r="A2516" s="3" t="n">
        <v>2515</v>
      </c>
      <c r="B2516" s="3" t="n">
        <v>2514</v>
      </c>
      <c r="C2516" s="3" t="n">
        <v>12</v>
      </c>
      <c r="D2516" s="3" t="n">
        <v>11</v>
      </c>
      <c r="E2516" s="3" t="n">
        <v>8</v>
      </c>
      <c r="F2516" s="24" t="n">
        <v>-1.04121625</v>
      </c>
    </row>
    <row r="2517" customFormat="false" ht="15" hidden="false" customHeight="false" outlineLevel="0" collapsed="false">
      <c r="A2517" s="3" t="n">
        <v>2516</v>
      </c>
      <c r="B2517" s="3" t="n">
        <v>2515</v>
      </c>
      <c r="C2517" s="3" t="n">
        <v>12</v>
      </c>
      <c r="D2517" s="3" t="n">
        <v>11</v>
      </c>
      <c r="E2517" s="3" t="n">
        <v>9</v>
      </c>
      <c r="F2517" s="24" t="n">
        <v>0.904209375</v>
      </c>
    </row>
    <row r="2518" customFormat="false" ht="15" hidden="false" customHeight="false" outlineLevel="0" collapsed="false">
      <c r="A2518" s="3" t="n">
        <v>2517</v>
      </c>
      <c r="B2518" s="3" t="n">
        <v>2516</v>
      </c>
      <c r="C2518" s="3" t="n">
        <v>12</v>
      </c>
      <c r="D2518" s="3" t="n">
        <v>11</v>
      </c>
      <c r="E2518" s="3" t="n">
        <v>10</v>
      </c>
      <c r="F2518" s="24" t="n">
        <v>0.00439970195</v>
      </c>
    </row>
    <row r="2519" customFormat="false" ht="15" hidden="false" customHeight="false" outlineLevel="0" collapsed="false">
      <c r="A2519" s="3" t="n">
        <v>2518</v>
      </c>
      <c r="B2519" s="3" t="n">
        <v>2517</v>
      </c>
      <c r="C2519" s="3" t="n">
        <v>12</v>
      </c>
      <c r="D2519" s="3" t="n">
        <v>11</v>
      </c>
      <c r="E2519" s="3" t="n">
        <v>11</v>
      </c>
      <c r="F2519" s="24" t="n">
        <v>0.00439970195</v>
      </c>
    </row>
    <row r="2520" customFormat="false" ht="15" hidden="false" customHeight="false" outlineLevel="0" collapsed="false">
      <c r="A2520" s="3" t="n">
        <v>2519</v>
      </c>
      <c r="B2520" s="3" t="n">
        <v>2518</v>
      </c>
      <c r="C2520" s="3" t="n">
        <v>12</v>
      </c>
      <c r="D2520" s="3" t="n">
        <v>11</v>
      </c>
      <c r="E2520" s="3" t="n">
        <v>12</v>
      </c>
      <c r="F2520" s="24" t="n">
        <v>0.286149859</v>
      </c>
    </row>
    <row r="2521" customFormat="false" ht="15" hidden="false" customHeight="false" outlineLevel="0" collapsed="false">
      <c r="A2521" s="3" t="n">
        <v>2520</v>
      </c>
      <c r="B2521" s="3" t="n">
        <v>2519</v>
      </c>
      <c r="C2521" s="3" t="n">
        <v>12</v>
      </c>
      <c r="D2521" s="3" t="n">
        <v>11</v>
      </c>
      <c r="E2521" s="3" t="n">
        <v>13</v>
      </c>
      <c r="F2521" s="24" t="n">
        <v>-0.0832687318</v>
      </c>
    </row>
    <row r="2522" customFormat="false" ht="15" hidden="false" customHeight="false" outlineLevel="0" collapsed="false">
      <c r="A2522" s="3" t="n">
        <v>2521</v>
      </c>
      <c r="B2522" s="3" t="n">
        <v>2520</v>
      </c>
      <c r="C2522" s="3" t="n">
        <v>12</v>
      </c>
      <c r="D2522" s="3" t="n">
        <v>12</v>
      </c>
      <c r="E2522" s="3" t="n">
        <v>0</v>
      </c>
      <c r="F2522" s="24" t="n">
        <v>-0.0692634135</v>
      </c>
    </row>
    <row r="2523" customFormat="false" ht="15" hidden="false" customHeight="false" outlineLevel="0" collapsed="false">
      <c r="A2523" s="3" t="n">
        <v>2522</v>
      </c>
      <c r="B2523" s="3" t="n">
        <v>2521</v>
      </c>
      <c r="C2523" s="3" t="n">
        <v>12</v>
      </c>
      <c r="D2523" s="3" t="n">
        <v>12</v>
      </c>
      <c r="E2523" s="3" t="n">
        <v>1</v>
      </c>
      <c r="F2523" s="24" t="n">
        <v>0.374906123</v>
      </c>
    </row>
    <row r="2524" customFormat="false" ht="15" hidden="false" customHeight="false" outlineLevel="0" collapsed="false">
      <c r="A2524" s="3" t="n">
        <v>2523</v>
      </c>
      <c r="B2524" s="3" t="n">
        <v>2522</v>
      </c>
      <c r="C2524" s="3" t="n">
        <v>12</v>
      </c>
      <c r="D2524" s="3" t="n">
        <v>12</v>
      </c>
      <c r="E2524" s="3" t="n">
        <v>2</v>
      </c>
      <c r="F2524" s="24" t="n">
        <v>0.207115248</v>
      </c>
    </row>
    <row r="2525" customFormat="false" ht="15" hidden="false" customHeight="false" outlineLevel="0" collapsed="false">
      <c r="A2525" s="3" t="n">
        <v>2524</v>
      </c>
      <c r="B2525" s="3" t="n">
        <v>2523</v>
      </c>
      <c r="C2525" s="3" t="n">
        <v>12</v>
      </c>
      <c r="D2525" s="3" t="n">
        <v>12</v>
      </c>
      <c r="E2525" s="3" t="n">
        <v>3</v>
      </c>
      <c r="F2525" s="24" t="n">
        <v>1.49570286</v>
      </c>
    </row>
    <row r="2526" customFormat="false" ht="15" hidden="false" customHeight="false" outlineLevel="0" collapsed="false">
      <c r="A2526" s="3" t="n">
        <v>2525</v>
      </c>
      <c r="B2526" s="3" t="n">
        <v>2524</v>
      </c>
      <c r="C2526" s="3" t="n">
        <v>12</v>
      </c>
      <c r="D2526" s="3" t="n">
        <v>12</v>
      </c>
      <c r="E2526" s="3" t="n">
        <v>4</v>
      </c>
      <c r="F2526" s="24" t="n">
        <v>5.17858267</v>
      </c>
    </row>
    <row r="2527" customFormat="false" ht="15" hidden="false" customHeight="false" outlineLevel="0" collapsed="false">
      <c r="A2527" s="3" t="n">
        <v>2526</v>
      </c>
      <c r="B2527" s="3" t="n">
        <v>2525</v>
      </c>
      <c r="C2527" s="3" t="n">
        <v>12</v>
      </c>
      <c r="D2527" s="3" t="n">
        <v>12</v>
      </c>
      <c r="E2527" s="3" t="n">
        <v>5</v>
      </c>
      <c r="F2527" s="24" t="n">
        <v>-6.7212162</v>
      </c>
    </row>
    <row r="2528" customFormat="false" ht="15" hidden="false" customHeight="false" outlineLevel="0" collapsed="false">
      <c r="A2528" s="3" t="n">
        <v>2527</v>
      </c>
      <c r="B2528" s="3" t="n">
        <v>2526</v>
      </c>
      <c r="C2528" s="3" t="n">
        <v>12</v>
      </c>
      <c r="D2528" s="3" t="n">
        <v>12</v>
      </c>
      <c r="E2528" s="3" t="n">
        <v>6</v>
      </c>
      <c r="F2528" s="24" t="n">
        <v>-15.1926107</v>
      </c>
    </row>
    <row r="2529" customFormat="false" ht="15" hidden="false" customHeight="false" outlineLevel="0" collapsed="false">
      <c r="A2529" s="3" t="n">
        <v>2528</v>
      </c>
      <c r="B2529" s="3" t="n">
        <v>2527</v>
      </c>
      <c r="C2529" s="3" t="n">
        <v>12</v>
      </c>
      <c r="D2529" s="3" t="n">
        <v>12</v>
      </c>
      <c r="E2529" s="3" t="n">
        <v>7</v>
      </c>
      <c r="F2529" s="24" t="n">
        <v>-4.19987345</v>
      </c>
    </row>
    <row r="2530" customFormat="false" ht="15" hidden="false" customHeight="false" outlineLevel="0" collapsed="false">
      <c r="A2530" s="3" t="n">
        <v>2529</v>
      </c>
      <c r="B2530" s="3" t="n">
        <v>2528</v>
      </c>
      <c r="C2530" s="3" t="n">
        <v>12</v>
      </c>
      <c r="D2530" s="3" t="n">
        <v>12</v>
      </c>
      <c r="E2530" s="3" t="n">
        <v>8</v>
      </c>
      <c r="F2530" s="24" t="n">
        <v>1.37741983</v>
      </c>
    </row>
    <row r="2531" customFormat="false" ht="15" hidden="false" customHeight="false" outlineLevel="0" collapsed="false">
      <c r="A2531" s="3" t="n">
        <v>2530</v>
      </c>
      <c r="B2531" s="3" t="n">
        <v>2529</v>
      </c>
      <c r="C2531" s="3" t="n">
        <v>12</v>
      </c>
      <c r="D2531" s="3" t="n">
        <v>12</v>
      </c>
      <c r="E2531" s="3" t="n">
        <v>9</v>
      </c>
      <c r="F2531" s="24" t="n">
        <v>0.264793605</v>
      </c>
    </row>
    <row r="2532" customFormat="false" ht="15" hidden="false" customHeight="false" outlineLevel="0" collapsed="false">
      <c r="A2532" s="3" t="n">
        <v>2531</v>
      </c>
      <c r="B2532" s="3" t="n">
        <v>2530</v>
      </c>
      <c r="C2532" s="3" t="n">
        <v>12</v>
      </c>
      <c r="D2532" s="3" t="n">
        <v>12</v>
      </c>
      <c r="E2532" s="3" t="n">
        <v>10</v>
      </c>
      <c r="F2532" s="24" t="n">
        <v>0.207115248</v>
      </c>
    </row>
    <row r="2533" customFormat="false" ht="15" hidden="false" customHeight="false" outlineLevel="0" collapsed="false">
      <c r="A2533" s="3" t="n">
        <v>2532</v>
      </c>
      <c r="B2533" s="3" t="n">
        <v>2531</v>
      </c>
      <c r="C2533" s="3" t="n">
        <v>12</v>
      </c>
      <c r="D2533" s="3" t="n">
        <v>12</v>
      </c>
      <c r="E2533" s="3" t="n">
        <v>11</v>
      </c>
      <c r="F2533" s="24" t="n">
        <v>0.207115248</v>
      </c>
    </row>
    <row r="2534" customFormat="false" ht="15" hidden="false" customHeight="false" outlineLevel="0" collapsed="false">
      <c r="A2534" s="3" t="n">
        <v>2533</v>
      </c>
      <c r="B2534" s="3" t="n">
        <v>2532</v>
      </c>
      <c r="C2534" s="3" t="n">
        <v>12</v>
      </c>
      <c r="D2534" s="3" t="n">
        <v>12</v>
      </c>
      <c r="E2534" s="3" t="n">
        <v>12</v>
      </c>
      <c r="F2534" s="24" t="n">
        <v>0.488865376</v>
      </c>
    </row>
    <row r="2535" customFormat="false" ht="15" hidden="false" customHeight="false" outlineLevel="0" collapsed="false">
      <c r="A2535" s="3" t="n">
        <v>2534</v>
      </c>
      <c r="B2535" s="3" t="n">
        <v>2533</v>
      </c>
      <c r="C2535" s="3" t="n">
        <v>12</v>
      </c>
      <c r="D2535" s="3" t="n">
        <v>12</v>
      </c>
      <c r="E2535" s="3" t="n">
        <v>13</v>
      </c>
      <c r="F2535" s="24" t="n">
        <v>0.104774028</v>
      </c>
    </row>
    <row r="2536" customFormat="false" ht="15" hidden="false" customHeight="false" outlineLevel="0" collapsed="false">
      <c r="A2536" s="3" t="n">
        <v>2535</v>
      </c>
      <c r="B2536" s="3" t="n">
        <v>2534</v>
      </c>
      <c r="C2536" s="3" t="n">
        <v>12</v>
      </c>
      <c r="D2536" s="3" t="n">
        <v>13</v>
      </c>
      <c r="E2536" s="3" t="n">
        <v>0</v>
      </c>
      <c r="F2536" s="24" t="n">
        <v>-0.359139353</v>
      </c>
    </row>
    <row r="2537" customFormat="false" ht="15" hidden="false" customHeight="false" outlineLevel="0" collapsed="false">
      <c r="A2537" s="3" t="n">
        <v>2536</v>
      </c>
      <c r="B2537" s="3" t="n">
        <v>2535</v>
      </c>
      <c r="C2537" s="3" t="n">
        <v>12</v>
      </c>
      <c r="D2537" s="3" t="n">
        <v>13</v>
      </c>
      <c r="E2537" s="3" t="n">
        <v>1</v>
      </c>
      <c r="F2537" s="24" t="n">
        <v>0.0566796437</v>
      </c>
    </row>
    <row r="2538" customFormat="false" ht="15" hidden="false" customHeight="false" outlineLevel="0" collapsed="false">
      <c r="A2538" s="3" t="n">
        <v>2537</v>
      </c>
      <c r="B2538" s="3" t="n">
        <v>2536</v>
      </c>
      <c r="C2538" s="3" t="n">
        <v>12</v>
      </c>
      <c r="D2538" s="3" t="n">
        <v>13</v>
      </c>
      <c r="E2538" s="3" t="n">
        <v>2</v>
      </c>
      <c r="F2538" s="24" t="n">
        <v>-0.110884696</v>
      </c>
    </row>
    <row r="2539" customFormat="false" ht="15" hidden="false" customHeight="false" outlineLevel="0" collapsed="false">
      <c r="A2539" s="3" t="n">
        <v>2538</v>
      </c>
      <c r="B2539" s="3" t="n">
        <v>2537</v>
      </c>
      <c r="C2539" s="3" t="n">
        <v>12</v>
      </c>
      <c r="D2539" s="3" t="n">
        <v>13</v>
      </c>
      <c r="E2539" s="3" t="n">
        <v>3</v>
      </c>
      <c r="F2539" s="24" t="n">
        <v>0.077923581</v>
      </c>
    </row>
    <row r="2540" customFormat="false" ht="15" hidden="false" customHeight="false" outlineLevel="0" collapsed="false">
      <c r="A2540" s="3" t="n">
        <v>2539</v>
      </c>
      <c r="B2540" s="3" t="n">
        <v>2538</v>
      </c>
      <c r="C2540" s="3" t="n">
        <v>12</v>
      </c>
      <c r="D2540" s="3" t="n">
        <v>13</v>
      </c>
      <c r="E2540" s="3" t="n">
        <v>4</v>
      </c>
      <c r="F2540" s="24" t="n">
        <v>-1.88078308</v>
      </c>
    </row>
    <row r="2541" customFormat="false" ht="15" hidden="false" customHeight="false" outlineLevel="0" collapsed="false">
      <c r="A2541" s="3" t="n">
        <v>2540</v>
      </c>
      <c r="B2541" s="3" t="n">
        <v>2539</v>
      </c>
      <c r="C2541" s="3" t="n">
        <v>12</v>
      </c>
      <c r="D2541" s="3" t="n">
        <v>13</v>
      </c>
      <c r="E2541" s="3" t="n">
        <v>5</v>
      </c>
      <c r="F2541" s="24" t="n">
        <v>-12.2476158</v>
      </c>
    </row>
    <row r="2542" customFormat="false" ht="15" hidden="false" customHeight="false" outlineLevel="0" collapsed="false">
      <c r="A2542" s="3" t="n">
        <v>2541</v>
      </c>
      <c r="B2542" s="3" t="n">
        <v>2540</v>
      </c>
      <c r="C2542" s="3" t="n">
        <v>12</v>
      </c>
      <c r="D2542" s="3" t="n">
        <v>13</v>
      </c>
      <c r="E2542" s="3" t="n">
        <v>6</v>
      </c>
      <c r="F2542" s="24" t="n">
        <v>-10.2517834</v>
      </c>
    </row>
    <row r="2543" customFormat="false" ht="15" hidden="false" customHeight="false" outlineLevel="0" collapsed="false">
      <c r="A2543" s="3" t="n">
        <v>2542</v>
      </c>
      <c r="B2543" s="3" t="n">
        <v>2541</v>
      </c>
      <c r="C2543" s="3" t="n">
        <v>12</v>
      </c>
      <c r="D2543" s="3" t="n">
        <v>13</v>
      </c>
      <c r="E2543" s="3" t="n">
        <v>7</v>
      </c>
      <c r="F2543" s="24" t="n">
        <v>-0.729745984</v>
      </c>
    </row>
    <row r="2544" customFormat="false" ht="15" hidden="false" customHeight="false" outlineLevel="0" collapsed="false">
      <c r="A2544" s="3" t="n">
        <v>2543</v>
      </c>
      <c r="B2544" s="3" t="n">
        <v>2542</v>
      </c>
      <c r="C2544" s="3" t="n">
        <v>12</v>
      </c>
      <c r="D2544" s="3" t="n">
        <v>13</v>
      </c>
      <c r="E2544" s="3" t="n">
        <v>8</v>
      </c>
      <c r="F2544" s="24" t="n">
        <v>1.07318914</v>
      </c>
    </row>
    <row r="2545" customFormat="false" ht="15" hidden="false" customHeight="false" outlineLevel="0" collapsed="false">
      <c r="A2545" s="3" t="n">
        <v>2544</v>
      </c>
      <c r="B2545" s="3" t="n">
        <v>2543</v>
      </c>
      <c r="C2545" s="3" t="n">
        <v>12</v>
      </c>
      <c r="D2545" s="3" t="n">
        <v>13</v>
      </c>
      <c r="E2545" s="3" t="n">
        <v>9</v>
      </c>
      <c r="F2545" s="24" t="n">
        <v>-0.110884696</v>
      </c>
    </row>
    <row r="2546" customFormat="false" ht="15" hidden="false" customHeight="false" outlineLevel="0" collapsed="false">
      <c r="A2546" s="3" t="n">
        <v>2545</v>
      </c>
      <c r="B2546" s="3" t="n">
        <v>2544</v>
      </c>
      <c r="C2546" s="3" t="n">
        <v>12</v>
      </c>
      <c r="D2546" s="3" t="n">
        <v>13</v>
      </c>
      <c r="E2546" s="3" t="n">
        <v>10</v>
      </c>
      <c r="F2546" s="24" t="n">
        <v>-0.110884696</v>
      </c>
    </row>
    <row r="2547" customFormat="false" ht="15" hidden="false" customHeight="false" outlineLevel="0" collapsed="false">
      <c r="A2547" s="3" t="n">
        <v>2546</v>
      </c>
      <c r="B2547" s="3" t="n">
        <v>2545</v>
      </c>
      <c r="C2547" s="3" t="n">
        <v>12</v>
      </c>
      <c r="D2547" s="3" t="n">
        <v>13</v>
      </c>
      <c r="E2547" s="3" t="n">
        <v>11</v>
      </c>
      <c r="F2547" s="24" t="n">
        <v>-0.110884696</v>
      </c>
    </row>
    <row r="2548" customFormat="false" ht="15" hidden="false" customHeight="false" outlineLevel="0" collapsed="false">
      <c r="A2548" s="3" t="n">
        <v>2547</v>
      </c>
      <c r="B2548" s="3" t="n">
        <v>2546</v>
      </c>
      <c r="C2548" s="3" t="n">
        <v>12</v>
      </c>
      <c r="D2548" s="3" t="n">
        <v>13</v>
      </c>
      <c r="E2548" s="3" t="n">
        <v>12</v>
      </c>
      <c r="F2548" s="24" t="n">
        <v>0.0158060789</v>
      </c>
    </row>
    <row r="2549" customFormat="false" ht="15" hidden="false" customHeight="false" outlineLevel="0" collapsed="false">
      <c r="A2549" s="3" t="n">
        <v>2548</v>
      </c>
      <c r="B2549" s="3" t="n">
        <v>2547</v>
      </c>
      <c r="C2549" s="3" t="n">
        <v>12</v>
      </c>
      <c r="D2549" s="3" t="n">
        <v>13</v>
      </c>
      <c r="E2549" s="3" t="n">
        <v>13</v>
      </c>
      <c r="F2549" s="24" t="n">
        <v>-0.277925879</v>
      </c>
    </row>
    <row r="2550" customFormat="false" ht="15" hidden="false" customHeight="false" outlineLevel="0" collapsed="false">
      <c r="A2550" s="3" t="n">
        <v>2549</v>
      </c>
      <c r="B2550" s="3" t="n">
        <v>2548</v>
      </c>
      <c r="C2550" s="3" t="n">
        <v>13</v>
      </c>
      <c r="D2550" s="3" t="n">
        <v>0</v>
      </c>
      <c r="E2550" s="3" t="n">
        <v>0</v>
      </c>
      <c r="F2550" s="24" t="n">
        <v>0.283979654</v>
      </c>
    </row>
    <row r="2551" customFormat="false" ht="15" hidden="false" customHeight="false" outlineLevel="0" collapsed="false">
      <c r="A2551" s="3" t="n">
        <v>2550</v>
      </c>
      <c r="B2551" s="3" t="n">
        <v>2549</v>
      </c>
      <c r="C2551" s="3" t="n">
        <v>13</v>
      </c>
      <c r="D2551" s="3" t="n">
        <v>0</v>
      </c>
      <c r="E2551" s="3" t="n">
        <v>1</v>
      </c>
      <c r="F2551" s="24" t="n">
        <v>0.572720945</v>
      </c>
    </row>
    <row r="2552" customFormat="false" ht="15" hidden="false" customHeight="false" outlineLevel="0" collapsed="false">
      <c r="A2552" s="3" t="n">
        <v>2551</v>
      </c>
      <c r="B2552" s="3" t="n">
        <v>2550</v>
      </c>
      <c r="C2552" s="3" t="n">
        <v>13</v>
      </c>
      <c r="D2552" s="3" t="n">
        <v>0</v>
      </c>
      <c r="E2552" s="3" t="n">
        <v>2</v>
      </c>
      <c r="F2552" s="24" t="n">
        <v>0.542648315</v>
      </c>
    </row>
    <row r="2553" customFormat="false" ht="15" hidden="false" customHeight="false" outlineLevel="0" collapsed="false">
      <c r="A2553" s="3" t="n">
        <v>2552</v>
      </c>
      <c r="B2553" s="3" t="n">
        <v>2551</v>
      </c>
      <c r="C2553" s="3" t="n">
        <v>13</v>
      </c>
      <c r="D2553" s="3" t="n">
        <v>0</v>
      </c>
      <c r="E2553" s="3" t="n">
        <v>3</v>
      </c>
      <c r="F2553" s="24" t="n">
        <v>0.542648315</v>
      </c>
    </row>
    <row r="2554" customFormat="false" ht="15" hidden="false" customHeight="false" outlineLevel="0" collapsed="false">
      <c r="A2554" s="3" t="n">
        <v>2553</v>
      </c>
      <c r="B2554" s="3" t="n">
        <v>2552</v>
      </c>
      <c r="C2554" s="3" t="n">
        <v>13</v>
      </c>
      <c r="D2554" s="3" t="n">
        <v>0</v>
      </c>
      <c r="E2554" s="3" t="n">
        <v>4</v>
      </c>
      <c r="F2554" s="24" t="n">
        <v>0.542648315</v>
      </c>
    </row>
    <row r="2555" customFormat="false" ht="15" hidden="false" customHeight="false" outlineLevel="0" collapsed="false">
      <c r="A2555" s="3" t="n">
        <v>2554</v>
      </c>
      <c r="B2555" s="3" t="n">
        <v>2553</v>
      </c>
      <c r="C2555" s="3" t="n">
        <v>13</v>
      </c>
      <c r="D2555" s="3" t="n">
        <v>0</v>
      </c>
      <c r="E2555" s="3" t="n">
        <v>5</v>
      </c>
      <c r="F2555" s="24" t="n">
        <v>0.542648315</v>
      </c>
    </row>
    <row r="2556" customFormat="false" ht="15" hidden="false" customHeight="false" outlineLevel="0" collapsed="false">
      <c r="A2556" s="3" t="n">
        <v>2555</v>
      </c>
      <c r="B2556" s="3" t="n">
        <v>2554</v>
      </c>
      <c r="C2556" s="3" t="n">
        <v>13</v>
      </c>
      <c r="D2556" s="3" t="n">
        <v>0</v>
      </c>
      <c r="E2556" s="3" t="n">
        <v>6</v>
      </c>
      <c r="F2556" s="24" t="n">
        <v>0.542648315</v>
      </c>
    </row>
    <row r="2557" customFormat="false" ht="15" hidden="false" customHeight="false" outlineLevel="0" collapsed="false">
      <c r="A2557" s="3" t="n">
        <v>2556</v>
      </c>
      <c r="B2557" s="3" t="n">
        <v>2555</v>
      </c>
      <c r="C2557" s="3" t="n">
        <v>13</v>
      </c>
      <c r="D2557" s="3" t="n">
        <v>0</v>
      </c>
      <c r="E2557" s="3" t="n">
        <v>7</v>
      </c>
      <c r="F2557" s="24" t="n">
        <v>0.542648315</v>
      </c>
    </row>
    <row r="2558" customFormat="false" ht="15" hidden="false" customHeight="false" outlineLevel="0" collapsed="false">
      <c r="A2558" s="3" t="n">
        <v>2557</v>
      </c>
      <c r="B2558" s="3" t="n">
        <v>2556</v>
      </c>
      <c r="C2558" s="3" t="n">
        <v>13</v>
      </c>
      <c r="D2558" s="3" t="n">
        <v>0</v>
      </c>
      <c r="E2558" s="3" t="n">
        <v>8</v>
      </c>
      <c r="F2558" s="24" t="n">
        <v>0.542648315</v>
      </c>
    </row>
    <row r="2559" customFormat="false" ht="15" hidden="false" customHeight="false" outlineLevel="0" collapsed="false">
      <c r="A2559" s="3" t="n">
        <v>2558</v>
      </c>
      <c r="B2559" s="3" t="n">
        <v>2557</v>
      </c>
      <c r="C2559" s="3" t="n">
        <v>13</v>
      </c>
      <c r="D2559" s="3" t="n">
        <v>0</v>
      </c>
      <c r="E2559" s="3" t="n">
        <v>9</v>
      </c>
      <c r="F2559" s="24" t="n">
        <v>0.542648315</v>
      </c>
    </row>
    <row r="2560" customFormat="false" ht="15" hidden="false" customHeight="false" outlineLevel="0" collapsed="false">
      <c r="A2560" s="3" t="n">
        <v>2559</v>
      </c>
      <c r="B2560" s="3" t="n">
        <v>2558</v>
      </c>
      <c r="C2560" s="3" t="n">
        <v>13</v>
      </c>
      <c r="D2560" s="3" t="n">
        <v>0</v>
      </c>
      <c r="E2560" s="3" t="n">
        <v>10</v>
      </c>
      <c r="F2560" s="24" t="n">
        <v>0.542648315</v>
      </c>
    </row>
    <row r="2561" customFormat="false" ht="15" hidden="false" customHeight="false" outlineLevel="0" collapsed="false">
      <c r="A2561" s="3" t="n">
        <v>2560</v>
      </c>
      <c r="B2561" s="3" t="n">
        <v>2559</v>
      </c>
      <c r="C2561" s="3" t="n">
        <v>13</v>
      </c>
      <c r="D2561" s="3" t="n">
        <v>0</v>
      </c>
      <c r="E2561" s="3" t="n">
        <v>11</v>
      </c>
      <c r="F2561" s="24" t="n">
        <v>0.542648315</v>
      </c>
    </row>
    <row r="2562" customFormat="false" ht="15" hidden="false" customHeight="false" outlineLevel="0" collapsed="false">
      <c r="A2562" s="3" t="n">
        <v>2561</v>
      </c>
      <c r="B2562" s="3" t="n">
        <v>2560</v>
      </c>
      <c r="C2562" s="3" t="n">
        <v>13</v>
      </c>
      <c r="D2562" s="3" t="n">
        <v>0</v>
      </c>
      <c r="E2562" s="3" t="n">
        <v>12</v>
      </c>
      <c r="F2562" s="24" t="n">
        <v>0.577626288</v>
      </c>
    </row>
    <row r="2563" customFormat="false" ht="15" hidden="false" customHeight="false" outlineLevel="0" collapsed="false">
      <c r="A2563" s="3" t="n">
        <v>2562</v>
      </c>
      <c r="B2563" s="3" t="n">
        <v>2561</v>
      </c>
      <c r="C2563" s="3" t="n">
        <v>13</v>
      </c>
      <c r="D2563" s="3" t="n">
        <v>0</v>
      </c>
      <c r="E2563" s="3" t="n">
        <v>13</v>
      </c>
      <c r="F2563" s="24" t="n">
        <v>0.795495749</v>
      </c>
    </row>
    <row r="2564" customFormat="false" ht="15" hidden="false" customHeight="false" outlineLevel="0" collapsed="false">
      <c r="A2564" s="3" t="n">
        <v>2563</v>
      </c>
      <c r="B2564" s="3" t="n">
        <v>2562</v>
      </c>
      <c r="C2564" s="3" t="n">
        <v>13</v>
      </c>
      <c r="D2564" s="3" t="n">
        <v>1</v>
      </c>
      <c r="E2564" s="3" t="n">
        <v>0</v>
      </c>
      <c r="F2564" s="24" t="n">
        <v>0.148110285</v>
      </c>
    </row>
    <row r="2565" customFormat="false" ht="15" hidden="false" customHeight="false" outlineLevel="0" collapsed="false">
      <c r="A2565" s="3" t="n">
        <v>2564</v>
      </c>
      <c r="B2565" s="3" t="n">
        <v>2563</v>
      </c>
      <c r="C2565" s="3" t="n">
        <v>13</v>
      </c>
      <c r="D2565" s="3" t="n">
        <v>1</v>
      </c>
      <c r="E2565" s="3" t="n">
        <v>1</v>
      </c>
      <c r="F2565" s="24" t="n">
        <v>0.504373312</v>
      </c>
    </row>
    <row r="2566" customFormat="false" ht="15" hidden="false" customHeight="false" outlineLevel="0" collapsed="false">
      <c r="A2566" s="3" t="n">
        <v>2565</v>
      </c>
      <c r="B2566" s="3" t="n">
        <v>2564</v>
      </c>
      <c r="C2566" s="3" t="n">
        <v>13</v>
      </c>
      <c r="D2566" s="3" t="n">
        <v>1</v>
      </c>
      <c r="E2566" s="3" t="n">
        <v>2</v>
      </c>
      <c r="F2566" s="24" t="n">
        <v>0.417114079</v>
      </c>
    </row>
    <row r="2567" customFormat="false" ht="15" hidden="false" customHeight="false" outlineLevel="0" collapsed="false">
      <c r="A2567" s="3" t="n">
        <v>2566</v>
      </c>
      <c r="B2567" s="3" t="n">
        <v>2565</v>
      </c>
      <c r="C2567" s="3" t="n">
        <v>13</v>
      </c>
      <c r="D2567" s="3" t="n">
        <v>1</v>
      </c>
      <c r="E2567" s="3" t="n">
        <v>3</v>
      </c>
      <c r="F2567" s="24" t="n">
        <v>0.417114079</v>
      </c>
    </row>
    <row r="2568" customFormat="false" ht="15" hidden="false" customHeight="false" outlineLevel="0" collapsed="false">
      <c r="A2568" s="3" t="n">
        <v>2567</v>
      </c>
      <c r="B2568" s="3" t="n">
        <v>2566</v>
      </c>
      <c r="C2568" s="3" t="n">
        <v>13</v>
      </c>
      <c r="D2568" s="3" t="n">
        <v>1</v>
      </c>
      <c r="E2568" s="3" t="n">
        <v>4</v>
      </c>
      <c r="F2568" s="24" t="n">
        <v>0.417114079</v>
      </c>
    </row>
    <row r="2569" customFormat="false" ht="15" hidden="false" customHeight="false" outlineLevel="0" collapsed="false">
      <c r="A2569" s="3" t="n">
        <v>2568</v>
      </c>
      <c r="B2569" s="3" t="n">
        <v>2567</v>
      </c>
      <c r="C2569" s="3" t="n">
        <v>13</v>
      </c>
      <c r="D2569" s="3" t="n">
        <v>1</v>
      </c>
      <c r="E2569" s="3" t="n">
        <v>5</v>
      </c>
      <c r="F2569" s="24" t="n">
        <v>0.417114079</v>
      </c>
    </row>
    <row r="2570" customFormat="false" ht="15" hidden="false" customHeight="false" outlineLevel="0" collapsed="false">
      <c r="A2570" s="3" t="n">
        <v>2569</v>
      </c>
      <c r="B2570" s="3" t="n">
        <v>2568</v>
      </c>
      <c r="C2570" s="3" t="n">
        <v>13</v>
      </c>
      <c r="D2570" s="3" t="n">
        <v>1</v>
      </c>
      <c r="E2570" s="3" t="n">
        <v>6</v>
      </c>
      <c r="F2570" s="24" t="n">
        <v>0.417114079</v>
      </c>
    </row>
    <row r="2571" customFormat="false" ht="15" hidden="false" customHeight="false" outlineLevel="0" collapsed="false">
      <c r="A2571" s="3" t="n">
        <v>2570</v>
      </c>
      <c r="B2571" s="3" t="n">
        <v>2569</v>
      </c>
      <c r="C2571" s="3" t="n">
        <v>13</v>
      </c>
      <c r="D2571" s="3" t="n">
        <v>1</v>
      </c>
      <c r="E2571" s="3" t="n">
        <v>7</v>
      </c>
      <c r="F2571" s="24" t="n">
        <v>0.417114079</v>
      </c>
    </row>
    <row r="2572" customFormat="false" ht="15" hidden="false" customHeight="false" outlineLevel="0" collapsed="false">
      <c r="A2572" s="3" t="n">
        <v>2571</v>
      </c>
      <c r="B2572" s="3" t="n">
        <v>2570</v>
      </c>
      <c r="C2572" s="3" t="n">
        <v>13</v>
      </c>
      <c r="D2572" s="3" t="n">
        <v>1</v>
      </c>
      <c r="E2572" s="3" t="n">
        <v>8</v>
      </c>
      <c r="F2572" s="24" t="n">
        <v>0.417114079</v>
      </c>
    </row>
    <row r="2573" customFormat="false" ht="15" hidden="false" customHeight="false" outlineLevel="0" collapsed="false">
      <c r="A2573" s="3" t="n">
        <v>2572</v>
      </c>
      <c r="B2573" s="3" t="n">
        <v>2571</v>
      </c>
      <c r="C2573" s="3" t="n">
        <v>13</v>
      </c>
      <c r="D2573" s="3" t="n">
        <v>1</v>
      </c>
      <c r="E2573" s="3" t="n">
        <v>9</v>
      </c>
      <c r="F2573" s="24" t="n">
        <v>0.417114079</v>
      </c>
    </row>
    <row r="2574" customFormat="false" ht="15" hidden="false" customHeight="false" outlineLevel="0" collapsed="false">
      <c r="A2574" s="3" t="n">
        <v>2573</v>
      </c>
      <c r="B2574" s="3" t="n">
        <v>2572</v>
      </c>
      <c r="C2574" s="3" t="n">
        <v>13</v>
      </c>
      <c r="D2574" s="3" t="n">
        <v>1</v>
      </c>
      <c r="E2574" s="3" t="n">
        <v>10</v>
      </c>
      <c r="F2574" s="24" t="n">
        <v>0.417114079</v>
      </c>
    </row>
    <row r="2575" customFormat="false" ht="15" hidden="false" customHeight="false" outlineLevel="0" collapsed="false">
      <c r="A2575" s="3" t="n">
        <v>2574</v>
      </c>
      <c r="B2575" s="3" t="n">
        <v>2573</v>
      </c>
      <c r="C2575" s="3" t="n">
        <v>13</v>
      </c>
      <c r="D2575" s="3" t="n">
        <v>1</v>
      </c>
      <c r="E2575" s="3" t="n">
        <v>11</v>
      </c>
      <c r="F2575" s="24" t="n">
        <v>0.417114079</v>
      </c>
    </row>
    <row r="2576" customFormat="false" ht="15" hidden="false" customHeight="false" outlineLevel="0" collapsed="false">
      <c r="A2576" s="3" t="n">
        <v>2575</v>
      </c>
      <c r="B2576" s="3" t="n">
        <v>2574</v>
      </c>
      <c r="C2576" s="3" t="n">
        <v>13</v>
      </c>
      <c r="D2576" s="3" t="n">
        <v>1</v>
      </c>
      <c r="E2576" s="3" t="n">
        <v>12</v>
      </c>
      <c r="F2576" s="24" t="n">
        <v>0.496189266</v>
      </c>
    </row>
    <row r="2577" customFormat="false" ht="15" hidden="false" customHeight="false" outlineLevel="0" collapsed="false">
      <c r="A2577" s="3" t="n">
        <v>2576</v>
      </c>
      <c r="B2577" s="3" t="n">
        <v>2575</v>
      </c>
      <c r="C2577" s="3" t="n">
        <v>13</v>
      </c>
      <c r="D2577" s="3" t="n">
        <v>1</v>
      </c>
      <c r="E2577" s="3" t="n">
        <v>13</v>
      </c>
      <c r="F2577" s="24" t="n">
        <v>0.695690393</v>
      </c>
    </row>
    <row r="2578" customFormat="false" ht="15" hidden="false" customHeight="false" outlineLevel="0" collapsed="false">
      <c r="A2578" s="3" t="n">
        <v>2577</v>
      </c>
      <c r="B2578" s="3" t="n">
        <v>2576</v>
      </c>
      <c r="C2578" s="3" t="n">
        <v>13</v>
      </c>
      <c r="D2578" s="3" t="n">
        <v>2</v>
      </c>
      <c r="E2578" s="3" t="n">
        <v>0</v>
      </c>
      <c r="F2578" s="24" t="n">
        <v>0.157317013</v>
      </c>
    </row>
    <row r="2579" customFormat="false" ht="15" hidden="false" customHeight="false" outlineLevel="0" collapsed="false">
      <c r="A2579" s="3" t="n">
        <v>2578</v>
      </c>
      <c r="B2579" s="3" t="n">
        <v>2577</v>
      </c>
      <c r="C2579" s="3" t="n">
        <v>13</v>
      </c>
      <c r="D2579" s="3" t="n">
        <v>2</v>
      </c>
      <c r="E2579" s="3" t="n">
        <v>1</v>
      </c>
      <c r="F2579" s="24" t="n">
        <v>0.969135284</v>
      </c>
    </row>
    <row r="2580" customFormat="false" ht="15" hidden="false" customHeight="false" outlineLevel="0" collapsed="false">
      <c r="A2580" s="3" t="n">
        <v>2579</v>
      </c>
      <c r="B2580" s="3" t="n">
        <v>2578</v>
      </c>
      <c r="C2580" s="3" t="n">
        <v>13</v>
      </c>
      <c r="D2580" s="3" t="n">
        <v>2</v>
      </c>
      <c r="E2580" s="3" t="n">
        <v>2</v>
      </c>
      <c r="F2580" s="24" t="n">
        <v>2.53533292</v>
      </c>
    </row>
    <row r="2581" customFormat="false" ht="15" hidden="false" customHeight="false" outlineLevel="0" collapsed="false">
      <c r="A2581" s="3" t="n">
        <v>2580</v>
      </c>
      <c r="B2581" s="3" t="n">
        <v>2579</v>
      </c>
      <c r="C2581" s="3" t="n">
        <v>13</v>
      </c>
      <c r="D2581" s="3" t="n">
        <v>2</v>
      </c>
      <c r="E2581" s="3" t="n">
        <v>3</v>
      </c>
      <c r="F2581" s="24" t="n">
        <v>0.991310894</v>
      </c>
    </row>
    <row r="2582" customFormat="false" ht="15" hidden="false" customHeight="false" outlineLevel="0" collapsed="false">
      <c r="A2582" s="3" t="n">
        <v>2581</v>
      </c>
      <c r="B2582" s="3" t="n">
        <v>2580</v>
      </c>
      <c r="C2582" s="3" t="n">
        <v>13</v>
      </c>
      <c r="D2582" s="3" t="n">
        <v>2</v>
      </c>
      <c r="E2582" s="3" t="n">
        <v>4</v>
      </c>
      <c r="F2582" s="24" t="n">
        <v>-2.789186</v>
      </c>
    </row>
    <row r="2583" customFormat="false" ht="15" hidden="false" customHeight="false" outlineLevel="0" collapsed="false">
      <c r="A2583" s="3" t="n">
        <v>2582</v>
      </c>
      <c r="B2583" s="3" t="n">
        <v>2581</v>
      </c>
      <c r="C2583" s="3" t="n">
        <v>13</v>
      </c>
      <c r="D2583" s="3" t="n">
        <v>2</v>
      </c>
      <c r="E2583" s="3" t="n">
        <v>5</v>
      </c>
      <c r="F2583" s="24" t="n">
        <v>-1.35955524</v>
      </c>
    </row>
    <row r="2584" customFormat="false" ht="15" hidden="false" customHeight="false" outlineLevel="0" collapsed="false">
      <c r="A2584" s="3" t="n">
        <v>2583</v>
      </c>
      <c r="B2584" s="3" t="n">
        <v>2582</v>
      </c>
      <c r="C2584" s="3" t="n">
        <v>13</v>
      </c>
      <c r="D2584" s="3" t="n">
        <v>2</v>
      </c>
      <c r="E2584" s="3" t="n">
        <v>6</v>
      </c>
      <c r="F2584" s="24" t="n">
        <v>-0.976408541</v>
      </c>
    </row>
    <row r="2585" customFormat="false" ht="15" hidden="false" customHeight="false" outlineLevel="0" collapsed="false">
      <c r="A2585" s="3" t="n">
        <v>2584</v>
      </c>
      <c r="B2585" s="3" t="n">
        <v>2583</v>
      </c>
      <c r="C2585" s="3" t="n">
        <v>13</v>
      </c>
      <c r="D2585" s="3" t="n">
        <v>2</v>
      </c>
      <c r="E2585" s="3" t="n">
        <v>7</v>
      </c>
      <c r="F2585" s="24" t="n">
        <v>-0.257115662</v>
      </c>
    </row>
    <row r="2586" customFormat="false" ht="15" hidden="false" customHeight="false" outlineLevel="0" collapsed="false">
      <c r="A2586" s="3" t="n">
        <v>2585</v>
      </c>
      <c r="B2586" s="3" t="n">
        <v>2584</v>
      </c>
      <c r="C2586" s="3" t="n">
        <v>13</v>
      </c>
      <c r="D2586" s="3" t="n">
        <v>2</v>
      </c>
      <c r="E2586" s="3" t="n">
        <v>8</v>
      </c>
      <c r="F2586" s="24" t="n">
        <v>-0.147136688</v>
      </c>
    </row>
    <row r="2587" customFormat="false" ht="15" hidden="false" customHeight="false" outlineLevel="0" collapsed="false">
      <c r="A2587" s="3" t="n">
        <v>2586</v>
      </c>
      <c r="B2587" s="3" t="n">
        <v>2585</v>
      </c>
      <c r="C2587" s="3" t="n">
        <v>13</v>
      </c>
      <c r="D2587" s="3" t="n">
        <v>2</v>
      </c>
      <c r="E2587" s="3" t="n">
        <v>9</v>
      </c>
      <c r="F2587" s="24" t="n">
        <v>-0.373219848</v>
      </c>
    </row>
    <row r="2588" customFormat="false" ht="15" hidden="false" customHeight="false" outlineLevel="0" collapsed="false">
      <c r="A2588" s="3" t="n">
        <v>2587</v>
      </c>
      <c r="B2588" s="3" t="n">
        <v>2586</v>
      </c>
      <c r="C2588" s="3" t="n">
        <v>13</v>
      </c>
      <c r="D2588" s="3" t="n">
        <v>2</v>
      </c>
      <c r="E2588" s="3" t="n">
        <v>10</v>
      </c>
      <c r="F2588" s="24" t="n">
        <v>-0.801392019</v>
      </c>
    </row>
    <row r="2589" customFormat="false" ht="15" hidden="false" customHeight="false" outlineLevel="0" collapsed="false">
      <c r="A2589" s="3" t="n">
        <v>2588</v>
      </c>
      <c r="B2589" s="3" t="n">
        <v>2587</v>
      </c>
      <c r="C2589" s="3" t="n">
        <v>13</v>
      </c>
      <c r="D2589" s="3" t="n">
        <v>2</v>
      </c>
      <c r="E2589" s="3" t="n">
        <v>11</v>
      </c>
      <c r="F2589" s="24" t="n">
        <v>-0.237247735</v>
      </c>
    </row>
    <row r="2590" customFormat="false" ht="15" hidden="false" customHeight="false" outlineLevel="0" collapsed="false">
      <c r="A2590" s="3" t="n">
        <v>2589</v>
      </c>
      <c r="B2590" s="3" t="n">
        <v>2588</v>
      </c>
      <c r="C2590" s="3" t="n">
        <v>13</v>
      </c>
      <c r="D2590" s="3" t="n">
        <v>2</v>
      </c>
      <c r="E2590" s="3" t="n">
        <v>12</v>
      </c>
      <c r="F2590" s="24" t="n">
        <v>0.482555896</v>
      </c>
    </row>
    <row r="2591" customFormat="false" ht="15" hidden="false" customHeight="false" outlineLevel="0" collapsed="false">
      <c r="A2591" s="3" t="n">
        <v>2590</v>
      </c>
      <c r="B2591" s="3" t="n">
        <v>2589</v>
      </c>
      <c r="C2591" s="3" t="n">
        <v>13</v>
      </c>
      <c r="D2591" s="3" t="n">
        <v>2</v>
      </c>
      <c r="E2591" s="3" t="n">
        <v>13</v>
      </c>
      <c r="F2591" s="24" t="n">
        <v>0.709126413</v>
      </c>
    </row>
    <row r="2592" customFormat="false" ht="15" hidden="false" customHeight="false" outlineLevel="0" collapsed="false">
      <c r="A2592" s="3" t="n">
        <v>2591</v>
      </c>
      <c r="B2592" s="3" t="n">
        <v>2590</v>
      </c>
      <c r="C2592" s="3" t="n">
        <v>13</v>
      </c>
      <c r="D2592" s="3" t="n">
        <v>3</v>
      </c>
      <c r="E2592" s="3" t="n">
        <v>0</v>
      </c>
      <c r="F2592" s="24" t="n">
        <v>0.157317013</v>
      </c>
    </row>
    <row r="2593" customFormat="false" ht="15" hidden="false" customHeight="false" outlineLevel="0" collapsed="false">
      <c r="A2593" s="3" t="n">
        <v>2592</v>
      </c>
      <c r="B2593" s="3" t="n">
        <v>2591</v>
      </c>
      <c r="C2593" s="3" t="n">
        <v>13</v>
      </c>
      <c r="D2593" s="3" t="n">
        <v>3</v>
      </c>
      <c r="E2593" s="3" t="n">
        <v>1</v>
      </c>
      <c r="F2593" s="24" t="n">
        <v>0.760015845</v>
      </c>
    </row>
    <row r="2594" customFormat="false" ht="15" hidden="false" customHeight="false" outlineLevel="0" collapsed="false">
      <c r="A2594" s="3" t="n">
        <v>2593</v>
      </c>
      <c r="B2594" s="3" t="n">
        <v>2592</v>
      </c>
      <c r="C2594" s="3" t="n">
        <v>13</v>
      </c>
      <c r="D2594" s="3" t="n">
        <v>3</v>
      </c>
      <c r="E2594" s="3" t="n">
        <v>2</v>
      </c>
      <c r="F2594" s="24" t="n">
        <v>0.234192595</v>
      </c>
    </row>
    <row r="2595" customFormat="false" ht="15" hidden="false" customHeight="false" outlineLevel="0" collapsed="false">
      <c r="A2595" s="3" t="n">
        <v>2594</v>
      </c>
      <c r="B2595" s="3" t="n">
        <v>2593</v>
      </c>
      <c r="C2595" s="3" t="n">
        <v>13</v>
      </c>
      <c r="D2595" s="3" t="n">
        <v>3</v>
      </c>
      <c r="E2595" s="3" t="n">
        <v>3</v>
      </c>
      <c r="F2595" s="24" t="n">
        <v>-6.25860786</v>
      </c>
    </row>
    <row r="2596" customFormat="false" ht="15" hidden="false" customHeight="false" outlineLevel="0" collapsed="false">
      <c r="A2596" s="3" t="n">
        <v>2595</v>
      </c>
      <c r="B2596" s="3" t="n">
        <v>2594</v>
      </c>
      <c r="C2596" s="3" t="n">
        <v>13</v>
      </c>
      <c r="D2596" s="3" t="n">
        <v>3</v>
      </c>
      <c r="E2596" s="3" t="n">
        <v>4</v>
      </c>
      <c r="F2596" s="24" t="n">
        <v>-6.37343979</v>
      </c>
    </row>
    <row r="2597" customFormat="false" ht="15" hidden="false" customHeight="false" outlineLevel="0" collapsed="false">
      <c r="A2597" s="3" t="n">
        <v>2596</v>
      </c>
      <c r="B2597" s="3" t="n">
        <v>2595</v>
      </c>
      <c r="C2597" s="3" t="n">
        <v>13</v>
      </c>
      <c r="D2597" s="3" t="n">
        <v>3</v>
      </c>
      <c r="E2597" s="3" t="n">
        <v>5</v>
      </c>
      <c r="F2597" s="24" t="n">
        <v>-3.56550598</v>
      </c>
    </row>
    <row r="2598" customFormat="false" ht="15" hidden="false" customHeight="false" outlineLevel="0" collapsed="false">
      <c r="A2598" s="3" t="n">
        <v>2597</v>
      </c>
      <c r="B2598" s="3" t="n">
        <v>2596</v>
      </c>
      <c r="C2598" s="3" t="n">
        <v>13</v>
      </c>
      <c r="D2598" s="3" t="n">
        <v>3</v>
      </c>
      <c r="E2598" s="3" t="n">
        <v>6</v>
      </c>
      <c r="F2598" s="24" t="n">
        <v>-4.18774271</v>
      </c>
    </row>
    <row r="2599" customFormat="false" ht="15" hidden="false" customHeight="false" outlineLevel="0" collapsed="false">
      <c r="A2599" s="3" t="n">
        <v>2598</v>
      </c>
      <c r="B2599" s="3" t="n">
        <v>2597</v>
      </c>
      <c r="C2599" s="3" t="n">
        <v>13</v>
      </c>
      <c r="D2599" s="3" t="n">
        <v>3</v>
      </c>
      <c r="E2599" s="3" t="n">
        <v>7</v>
      </c>
      <c r="F2599" s="24" t="n">
        <v>-5.026649</v>
      </c>
    </row>
    <row r="2600" customFormat="false" ht="15" hidden="false" customHeight="false" outlineLevel="0" collapsed="false">
      <c r="A2600" s="3" t="n">
        <v>2599</v>
      </c>
      <c r="B2600" s="3" t="n">
        <v>2598</v>
      </c>
      <c r="C2600" s="3" t="n">
        <v>13</v>
      </c>
      <c r="D2600" s="3" t="n">
        <v>3</v>
      </c>
      <c r="E2600" s="3" t="n">
        <v>8</v>
      </c>
      <c r="F2600" s="24" t="n">
        <v>-5.07895231</v>
      </c>
    </row>
    <row r="2601" customFormat="false" ht="15" hidden="false" customHeight="false" outlineLevel="0" collapsed="false">
      <c r="A2601" s="3" t="n">
        <v>2600</v>
      </c>
      <c r="B2601" s="3" t="n">
        <v>2599</v>
      </c>
      <c r="C2601" s="3" t="n">
        <v>13</v>
      </c>
      <c r="D2601" s="3" t="n">
        <v>3</v>
      </c>
      <c r="E2601" s="3" t="n">
        <v>9</v>
      </c>
      <c r="F2601" s="24" t="n">
        <v>-5.17950726</v>
      </c>
    </row>
    <row r="2602" customFormat="false" ht="15" hidden="false" customHeight="false" outlineLevel="0" collapsed="false">
      <c r="A2602" s="3" t="n">
        <v>2601</v>
      </c>
      <c r="B2602" s="3" t="n">
        <v>2600</v>
      </c>
      <c r="C2602" s="3" t="n">
        <v>13</v>
      </c>
      <c r="D2602" s="3" t="n">
        <v>3</v>
      </c>
      <c r="E2602" s="3" t="n">
        <v>10</v>
      </c>
      <c r="F2602" s="24" t="n">
        <v>-4.68026257</v>
      </c>
    </row>
    <row r="2603" customFormat="false" ht="15" hidden="false" customHeight="false" outlineLevel="0" collapsed="false">
      <c r="A2603" s="3" t="n">
        <v>2602</v>
      </c>
      <c r="B2603" s="3" t="n">
        <v>2601</v>
      </c>
      <c r="C2603" s="3" t="n">
        <v>13</v>
      </c>
      <c r="D2603" s="3" t="n">
        <v>3</v>
      </c>
      <c r="E2603" s="3" t="n">
        <v>11</v>
      </c>
      <c r="F2603" s="24" t="n">
        <v>-1.55502391</v>
      </c>
    </row>
    <row r="2604" customFormat="false" ht="15" hidden="false" customHeight="false" outlineLevel="0" collapsed="false">
      <c r="A2604" s="3" t="n">
        <v>2603</v>
      </c>
      <c r="B2604" s="3" t="n">
        <v>2602</v>
      </c>
      <c r="C2604" s="3" t="n">
        <v>13</v>
      </c>
      <c r="D2604" s="3" t="n">
        <v>3</v>
      </c>
      <c r="E2604" s="3" t="n">
        <v>12</v>
      </c>
      <c r="F2604" s="24" t="n">
        <v>0.370026022</v>
      </c>
    </row>
    <row r="2605" customFormat="false" ht="15" hidden="false" customHeight="false" outlineLevel="0" collapsed="false">
      <c r="A2605" s="3" t="n">
        <v>2604</v>
      </c>
      <c r="B2605" s="3" t="n">
        <v>2603</v>
      </c>
      <c r="C2605" s="3" t="n">
        <v>13</v>
      </c>
      <c r="D2605" s="3" t="n">
        <v>3</v>
      </c>
      <c r="E2605" s="3" t="n">
        <v>13</v>
      </c>
      <c r="F2605" s="24" t="n">
        <v>0.709126413</v>
      </c>
    </row>
    <row r="2606" customFormat="false" ht="15" hidden="false" customHeight="false" outlineLevel="0" collapsed="false">
      <c r="A2606" s="3" t="n">
        <v>2605</v>
      </c>
      <c r="B2606" s="3" t="n">
        <v>2604</v>
      </c>
      <c r="C2606" s="3" t="n">
        <v>13</v>
      </c>
      <c r="D2606" s="3" t="n">
        <v>4</v>
      </c>
      <c r="E2606" s="3" t="n">
        <v>0</v>
      </c>
      <c r="F2606" s="24" t="n">
        <v>0.157317013</v>
      </c>
    </row>
    <row r="2607" customFormat="false" ht="15" hidden="false" customHeight="false" outlineLevel="0" collapsed="false">
      <c r="A2607" s="3" t="n">
        <v>2606</v>
      </c>
      <c r="B2607" s="3" t="n">
        <v>2605</v>
      </c>
      <c r="C2607" s="3" t="n">
        <v>13</v>
      </c>
      <c r="D2607" s="3" t="n">
        <v>4</v>
      </c>
      <c r="E2607" s="3" t="n">
        <v>1</v>
      </c>
      <c r="F2607" s="24" t="n">
        <v>-0.534799159</v>
      </c>
    </row>
    <row r="2608" customFormat="false" ht="15" hidden="false" customHeight="false" outlineLevel="0" collapsed="false">
      <c r="A2608" s="3" t="n">
        <v>2607</v>
      </c>
      <c r="B2608" s="3" t="n">
        <v>2606</v>
      </c>
      <c r="C2608" s="3" t="n">
        <v>13</v>
      </c>
      <c r="D2608" s="3" t="n">
        <v>4</v>
      </c>
      <c r="E2608" s="3" t="n">
        <v>2</v>
      </c>
      <c r="F2608" s="24" t="n">
        <v>-3.8842783</v>
      </c>
    </row>
    <row r="2609" customFormat="false" ht="15" hidden="false" customHeight="false" outlineLevel="0" collapsed="false">
      <c r="A2609" s="3" t="n">
        <v>2608</v>
      </c>
      <c r="B2609" s="3" t="n">
        <v>2607</v>
      </c>
      <c r="C2609" s="3" t="n">
        <v>13</v>
      </c>
      <c r="D2609" s="3" t="n">
        <v>4</v>
      </c>
      <c r="E2609" s="3" t="n">
        <v>3</v>
      </c>
      <c r="F2609" s="24" t="n">
        <v>-5.75285578</v>
      </c>
    </row>
    <row r="2610" customFormat="false" ht="15" hidden="false" customHeight="false" outlineLevel="0" collapsed="false">
      <c r="A2610" s="3" t="n">
        <v>2609</v>
      </c>
      <c r="B2610" s="3" t="n">
        <v>2608</v>
      </c>
      <c r="C2610" s="3" t="n">
        <v>13</v>
      </c>
      <c r="D2610" s="3" t="n">
        <v>4</v>
      </c>
      <c r="E2610" s="3" t="n">
        <v>4</v>
      </c>
      <c r="F2610" s="24" t="n">
        <v>-5.28391266</v>
      </c>
    </row>
    <row r="2611" customFormat="false" ht="15" hidden="false" customHeight="false" outlineLevel="0" collapsed="false">
      <c r="A2611" s="3" t="n">
        <v>2610</v>
      </c>
      <c r="B2611" s="3" t="n">
        <v>2609</v>
      </c>
      <c r="C2611" s="3" t="n">
        <v>13</v>
      </c>
      <c r="D2611" s="3" t="n">
        <v>4</v>
      </c>
      <c r="E2611" s="3" t="n">
        <v>5</v>
      </c>
      <c r="F2611" s="24" t="n">
        <v>-7.5425849</v>
      </c>
    </row>
    <row r="2612" customFormat="false" ht="15" hidden="false" customHeight="false" outlineLevel="0" collapsed="false">
      <c r="A2612" s="3" t="n">
        <v>2611</v>
      </c>
      <c r="B2612" s="3" t="n">
        <v>2610</v>
      </c>
      <c r="C2612" s="3" t="n">
        <v>13</v>
      </c>
      <c r="D2612" s="3" t="n">
        <v>4</v>
      </c>
      <c r="E2612" s="3" t="n">
        <v>6</v>
      </c>
      <c r="F2612" s="24" t="n">
        <v>-8.39146233</v>
      </c>
    </row>
    <row r="2613" customFormat="false" ht="15" hidden="false" customHeight="false" outlineLevel="0" collapsed="false">
      <c r="A2613" s="3" t="n">
        <v>2612</v>
      </c>
      <c r="B2613" s="3" t="n">
        <v>2611</v>
      </c>
      <c r="C2613" s="3" t="n">
        <v>13</v>
      </c>
      <c r="D2613" s="3" t="n">
        <v>4</v>
      </c>
      <c r="E2613" s="3" t="n">
        <v>7</v>
      </c>
      <c r="F2613" s="24" t="n">
        <v>-7.39622259</v>
      </c>
    </row>
    <row r="2614" customFormat="false" ht="15" hidden="false" customHeight="false" outlineLevel="0" collapsed="false">
      <c r="A2614" s="3" t="n">
        <v>2613</v>
      </c>
      <c r="B2614" s="3" t="n">
        <v>2612</v>
      </c>
      <c r="C2614" s="3" t="n">
        <v>13</v>
      </c>
      <c r="D2614" s="3" t="n">
        <v>4</v>
      </c>
      <c r="E2614" s="3" t="n">
        <v>8</v>
      </c>
      <c r="F2614" s="24" t="n">
        <v>-6.41910601</v>
      </c>
    </row>
    <row r="2615" customFormat="false" ht="15" hidden="false" customHeight="false" outlineLevel="0" collapsed="false">
      <c r="A2615" s="3" t="n">
        <v>2614</v>
      </c>
      <c r="B2615" s="3" t="n">
        <v>2613</v>
      </c>
      <c r="C2615" s="3" t="n">
        <v>13</v>
      </c>
      <c r="D2615" s="3" t="n">
        <v>4</v>
      </c>
      <c r="E2615" s="3" t="n">
        <v>9</v>
      </c>
      <c r="F2615" s="24" t="n">
        <v>-7.29644537</v>
      </c>
    </row>
    <row r="2616" customFormat="false" ht="15" hidden="false" customHeight="false" outlineLevel="0" collapsed="false">
      <c r="A2616" s="3" t="n">
        <v>2615</v>
      </c>
      <c r="B2616" s="3" t="n">
        <v>2614</v>
      </c>
      <c r="C2616" s="3" t="n">
        <v>13</v>
      </c>
      <c r="D2616" s="3" t="n">
        <v>4</v>
      </c>
      <c r="E2616" s="3" t="n">
        <v>10</v>
      </c>
      <c r="F2616" s="24" t="n">
        <v>-8.58093262</v>
      </c>
    </row>
    <row r="2617" customFormat="false" ht="15" hidden="false" customHeight="false" outlineLevel="0" collapsed="false">
      <c r="A2617" s="3" t="n">
        <v>2616</v>
      </c>
      <c r="B2617" s="3" t="n">
        <v>2615</v>
      </c>
      <c r="C2617" s="3" t="n">
        <v>13</v>
      </c>
      <c r="D2617" s="3" t="n">
        <v>4</v>
      </c>
      <c r="E2617" s="3" t="n">
        <v>11</v>
      </c>
      <c r="F2617" s="24" t="n">
        <v>1.16937232</v>
      </c>
    </row>
    <row r="2618" customFormat="false" ht="15" hidden="false" customHeight="false" outlineLevel="0" collapsed="false">
      <c r="A2618" s="3" t="n">
        <v>2617</v>
      </c>
      <c r="B2618" s="3" t="n">
        <v>2616</v>
      </c>
      <c r="C2618" s="3" t="n">
        <v>13</v>
      </c>
      <c r="D2618" s="3" t="n">
        <v>4</v>
      </c>
      <c r="E2618" s="3" t="n">
        <v>12</v>
      </c>
      <c r="F2618" s="24" t="n">
        <v>0.832630634</v>
      </c>
    </row>
    <row r="2619" customFormat="false" ht="15" hidden="false" customHeight="false" outlineLevel="0" collapsed="false">
      <c r="A2619" s="3" t="n">
        <v>2618</v>
      </c>
      <c r="B2619" s="3" t="n">
        <v>2617</v>
      </c>
      <c r="C2619" s="3" t="n">
        <v>13</v>
      </c>
      <c r="D2619" s="3" t="n">
        <v>4</v>
      </c>
      <c r="E2619" s="3" t="n">
        <v>13</v>
      </c>
      <c r="F2619" s="24" t="n">
        <v>0.709126413</v>
      </c>
    </row>
    <row r="2620" customFormat="false" ht="15" hidden="false" customHeight="false" outlineLevel="0" collapsed="false">
      <c r="A2620" s="3" t="n">
        <v>2619</v>
      </c>
      <c r="B2620" s="3" t="n">
        <v>2618</v>
      </c>
      <c r="C2620" s="3" t="n">
        <v>13</v>
      </c>
      <c r="D2620" s="3" t="n">
        <v>5</v>
      </c>
      <c r="E2620" s="3" t="n">
        <v>0</v>
      </c>
      <c r="F2620" s="24" t="n">
        <v>0.157317013</v>
      </c>
    </row>
    <row r="2621" customFormat="false" ht="15" hidden="false" customHeight="false" outlineLevel="0" collapsed="false">
      <c r="A2621" s="3" t="n">
        <v>2620</v>
      </c>
      <c r="B2621" s="3" t="n">
        <v>2619</v>
      </c>
      <c r="C2621" s="3" t="n">
        <v>13</v>
      </c>
      <c r="D2621" s="3" t="n">
        <v>5</v>
      </c>
      <c r="E2621" s="3" t="n">
        <v>1</v>
      </c>
      <c r="F2621" s="24" t="n">
        <v>0.0981526002</v>
      </c>
    </row>
    <row r="2622" customFormat="false" ht="15" hidden="false" customHeight="false" outlineLevel="0" collapsed="false">
      <c r="A2622" s="3" t="n">
        <v>2621</v>
      </c>
      <c r="B2622" s="3" t="n">
        <v>2620</v>
      </c>
      <c r="C2622" s="3" t="n">
        <v>13</v>
      </c>
      <c r="D2622" s="3" t="n">
        <v>5</v>
      </c>
      <c r="E2622" s="3" t="n">
        <v>2</v>
      </c>
      <c r="F2622" s="24" t="n">
        <v>0.442430943</v>
      </c>
    </row>
    <row r="2623" customFormat="false" ht="15" hidden="false" customHeight="false" outlineLevel="0" collapsed="false">
      <c r="A2623" s="3" t="n">
        <v>2622</v>
      </c>
      <c r="B2623" s="3" t="n">
        <v>2621</v>
      </c>
      <c r="C2623" s="3" t="n">
        <v>13</v>
      </c>
      <c r="D2623" s="3" t="n">
        <v>5</v>
      </c>
      <c r="E2623" s="3" t="n">
        <v>3</v>
      </c>
      <c r="F2623" s="24" t="n">
        <v>0.79339087</v>
      </c>
    </row>
    <row r="2624" customFormat="false" ht="15" hidden="false" customHeight="false" outlineLevel="0" collapsed="false">
      <c r="A2624" s="3" t="n">
        <v>2623</v>
      </c>
      <c r="B2624" s="3" t="n">
        <v>2622</v>
      </c>
      <c r="C2624" s="3" t="n">
        <v>13</v>
      </c>
      <c r="D2624" s="3" t="n">
        <v>5</v>
      </c>
      <c r="E2624" s="3" t="n">
        <v>4</v>
      </c>
      <c r="F2624" s="24" t="n">
        <v>-1.47374511</v>
      </c>
    </row>
    <row r="2625" customFormat="false" ht="15" hidden="false" customHeight="false" outlineLevel="0" collapsed="false">
      <c r="A2625" s="3" t="n">
        <v>2624</v>
      </c>
      <c r="B2625" s="3" t="n">
        <v>2623</v>
      </c>
      <c r="C2625" s="3" t="n">
        <v>13</v>
      </c>
      <c r="D2625" s="3" t="n">
        <v>5</v>
      </c>
      <c r="E2625" s="3" t="n">
        <v>5</v>
      </c>
      <c r="F2625" s="24" t="n">
        <v>-4.38729858</v>
      </c>
    </row>
    <row r="2626" customFormat="false" ht="15" hidden="false" customHeight="false" outlineLevel="0" collapsed="false">
      <c r="A2626" s="3" t="n">
        <v>2625</v>
      </c>
      <c r="B2626" s="3" t="n">
        <v>2624</v>
      </c>
      <c r="C2626" s="3" t="n">
        <v>13</v>
      </c>
      <c r="D2626" s="3" t="n">
        <v>5</v>
      </c>
      <c r="E2626" s="3" t="n">
        <v>6</v>
      </c>
      <c r="F2626" s="24" t="n">
        <v>-4.61040354</v>
      </c>
    </row>
    <row r="2627" customFormat="false" ht="15" hidden="false" customHeight="false" outlineLevel="0" collapsed="false">
      <c r="A2627" s="3" t="n">
        <v>2626</v>
      </c>
      <c r="B2627" s="3" t="n">
        <v>2625</v>
      </c>
      <c r="C2627" s="3" t="n">
        <v>13</v>
      </c>
      <c r="D2627" s="3" t="n">
        <v>5</v>
      </c>
      <c r="E2627" s="3" t="n">
        <v>7</v>
      </c>
      <c r="F2627" s="24" t="n">
        <v>-3.36766958</v>
      </c>
    </row>
    <row r="2628" customFormat="false" ht="15" hidden="false" customHeight="false" outlineLevel="0" collapsed="false">
      <c r="A2628" s="3" t="n">
        <v>2627</v>
      </c>
      <c r="B2628" s="3" t="n">
        <v>2626</v>
      </c>
      <c r="C2628" s="3" t="n">
        <v>13</v>
      </c>
      <c r="D2628" s="3" t="n">
        <v>5</v>
      </c>
      <c r="E2628" s="3" t="n">
        <v>8</v>
      </c>
      <c r="F2628" s="24" t="n">
        <v>-3.43410945</v>
      </c>
    </row>
    <row r="2629" customFormat="false" ht="15" hidden="false" customHeight="false" outlineLevel="0" collapsed="false">
      <c r="A2629" s="3" t="n">
        <v>2628</v>
      </c>
      <c r="B2629" s="3" t="n">
        <v>2627</v>
      </c>
      <c r="C2629" s="3" t="n">
        <v>13</v>
      </c>
      <c r="D2629" s="3" t="n">
        <v>5</v>
      </c>
      <c r="E2629" s="3" t="n">
        <v>9</v>
      </c>
      <c r="F2629" s="24" t="n">
        <v>-10.5657053</v>
      </c>
    </row>
    <row r="2630" customFormat="false" ht="15" hidden="false" customHeight="false" outlineLevel="0" collapsed="false">
      <c r="A2630" s="3" t="n">
        <v>2629</v>
      </c>
      <c r="B2630" s="3" t="n">
        <v>2628</v>
      </c>
      <c r="C2630" s="3" t="n">
        <v>13</v>
      </c>
      <c r="D2630" s="3" t="n">
        <v>5</v>
      </c>
      <c r="E2630" s="3" t="n">
        <v>10</v>
      </c>
      <c r="F2630" s="24" t="n">
        <v>-2.97544527</v>
      </c>
    </row>
    <row r="2631" customFormat="false" ht="15" hidden="false" customHeight="false" outlineLevel="0" collapsed="false">
      <c r="A2631" s="3" t="n">
        <v>2630</v>
      </c>
      <c r="B2631" s="3" t="n">
        <v>2629</v>
      </c>
      <c r="C2631" s="3" t="n">
        <v>13</v>
      </c>
      <c r="D2631" s="3" t="n">
        <v>5</v>
      </c>
      <c r="E2631" s="3" t="n">
        <v>11</v>
      </c>
      <c r="F2631" s="24" t="n">
        <v>4.60584354</v>
      </c>
    </row>
    <row r="2632" customFormat="false" ht="15" hidden="false" customHeight="false" outlineLevel="0" collapsed="false">
      <c r="A2632" s="3" t="n">
        <v>2631</v>
      </c>
      <c r="B2632" s="3" t="n">
        <v>2630</v>
      </c>
      <c r="C2632" s="3" t="n">
        <v>13</v>
      </c>
      <c r="D2632" s="3" t="n">
        <v>5</v>
      </c>
      <c r="E2632" s="3" t="n">
        <v>12</v>
      </c>
      <c r="F2632" s="24" t="n">
        <v>0.786693454</v>
      </c>
    </row>
    <row r="2633" customFormat="false" ht="15" hidden="false" customHeight="false" outlineLevel="0" collapsed="false">
      <c r="A2633" s="3" t="n">
        <v>2632</v>
      </c>
      <c r="B2633" s="3" t="n">
        <v>2631</v>
      </c>
      <c r="C2633" s="3" t="n">
        <v>13</v>
      </c>
      <c r="D2633" s="3" t="n">
        <v>5</v>
      </c>
      <c r="E2633" s="3" t="n">
        <v>13</v>
      </c>
      <c r="F2633" s="24" t="n">
        <v>0.709126413</v>
      </c>
    </row>
    <row r="2634" customFormat="false" ht="15" hidden="false" customHeight="false" outlineLevel="0" collapsed="false">
      <c r="A2634" s="3" t="n">
        <v>2633</v>
      </c>
      <c r="B2634" s="3" t="n">
        <v>2632</v>
      </c>
      <c r="C2634" s="3" t="n">
        <v>13</v>
      </c>
      <c r="D2634" s="3" t="n">
        <v>6</v>
      </c>
      <c r="E2634" s="3" t="n">
        <v>0</v>
      </c>
      <c r="F2634" s="24" t="n">
        <v>0.157317013</v>
      </c>
    </row>
    <row r="2635" customFormat="false" ht="15" hidden="false" customHeight="false" outlineLevel="0" collapsed="false">
      <c r="A2635" s="3" t="n">
        <v>2634</v>
      </c>
      <c r="B2635" s="3" t="n">
        <v>2633</v>
      </c>
      <c r="C2635" s="3" t="n">
        <v>13</v>
      </c>
      <c r="D2635" s="3" t="n">
        <v>6</v>
      </c>
      <c r="E2635" s="3" t="n">
        <v>1</v>
      </c>
      <c r="F2635" s="24" t="n">
        <v>0.531317592</v>
      </c>
    </row>
    <row r="2636" customFormat="false" ht="15" hidden="false" customHeight="false" outlineLevel="0" collapsed="false">
      <c r="A2636" s="3" t="n">
        <v>2635</v>
      </c>
      <c r="B2636" s="3" t="n">
        <v>2634</v>
      </c>
      <c r="C2636" s="3" t="n">
        <v>13</v>
      </c>
      <c r="D2636" s="3" t="n">
        <v>6</v>
      </c>
      <c r="E2636" s="3" t="n">
        <v>2</v>
      </c>
      <c r="F2636" s="24" t="n">
        <v>0.531850815</v>
      </c>
    </row>
    <row r="2637" customFormat="false" ht="15" hidden="false" customHeight="false" outlineLevel="0" collapsed="false">
      <c r="A2637" s="3" t="n">
        <v>2636</v>
      </c>
      <c r="B2637" s="3" t="n">
        <v>2635</v>
      </c>
      <c r="C2637" s="3" t="n">
        <v>13</v>
      </c>
      <c r="D2637" s="3" t="n">
        <v>6</v>
      </c>
      <c r="E2637" s="3" t="n">
        <v>3</v>
      </c>
      <c r="F2637" s="24" t="n">
        <v>0.551781118</v>
      </c>
    </row>
    <row r="2638" customFormat="false" ht="15" hidden="false" customHeight="false" outlineLevel="0" collapsed="false">
      <c r="A2638" s="3" t="n">
        <v>2637</v>
      </c>
      <c r="B2638" s="3" t="n">
        <v>2636</v>
      </c>
      <c r="C2638" s="3" t="n">
        <v>13</v>
      </c>
      <c r="D2638" s="3" t="n">
        <v>6</v>
      </c>
      <c r="E2638" s="3" t="n">
        <v>4</v>
      </c>
      <c r="F2638" s="24" t="n">
        <v>0.586413085</v>
      </c>
    </row>
    <row r="2639" customFormat="false" ht="15" hidden="false" customHeight="false" outlineLevel="0" collapsed="false">
      <c r="A2639" s="3" t="n">
        <v>2638</v>
      </c>
      <c r="B2639" s="3" t="n">
        <v>2637</v>
      </c>
      <c r="C2639" s="3" t="n">
        <v>13</v>
      </c>
      <c r="D2639" s="3" t="n">
        <v>6</v>
      </c>
      <c r="E2639" s="3" t="n">
        <v>5</v>
      </c>
      <c r="F2639" s="24" t="n">
        <v>0.60323894</v>
      </c>
    </row>
    <row r="2640" customFormat="false" ht="15" hidden="false" customHeight="false" outlineLevel="0" collapsed="false">
      <c r="A2640" s="3" t="n">
        <v>2639</v>
      </c>
      <c r="B2640" s="3" t="n">
        <v>2638</v>
      </c>
      <c r="C2640" s="3" t="n">
        <v>13</v>
      </c>
      <c r="D2640" s="3" t="n">
        <v>6</v>
      </c>
      <c r="E2640" s="3" t="n">
        <v>6</v>
      </c>
      <c r="F2640" s="24" t="n">
        <v>1.22303367</v>
      </c>
    </row>
    <row r="2641" customFormat="false" ht="15" hidden="false" customHeight="false" outlineLevel="0" collapsed="false">
      <c r="A2641" s="3" t="n">
        <v>2640</v>
      </c>
      <c r="B2641" s="3" t="n">
        <v>2639</v>
      </c>
      <c r="C2641" s="3" t="n">
        <v>13</v>
      </c>
      <c r="D2641" s="3" t="n">
        <v>6</v>
      </c>
      <c r="E2641" s="3" t="n">
        <v>7</v>
      </c>
      <c r="F2641" s="24" t="n">
        <v>1.95222759</v>
      </c>
    </row>
    <row r="2642" customFormat="false" ht="15" hidden="false" customHeight="false" outlineLevel="0" collapsed="false">
      <c r="A2642" s="3" t="n">
        <v>2641</v>
      </c>
      <c r="B2642" s="3" t="n">
        <v>2640</v>
      </c>
      <c r="C2642" s="3" t="n">
        <v>13</v>
      </c>
      <c r="D2642" s="3" t="n">
        <v>6</v>
      </c>
      <c r="E2642" s="3" t="n">
        <v>8</v>
      </c>
      <c r="F2642" s="24" t="n">
        <v>-4.73801708</v>
      </c>
    </row>
    <row r="2643" customFormat="false" ht="15" hidden="false" customHeight="false" outlineLevel="0" collapsed="false">
      <c r="A2643" s="3" t="n">
        <v>2642</v>
      </c>
      <c r="B2643" s="3" t="n">
        <v>2641</v>
      </c>
      <c r="C2643" s="3" t="n">
        <v>13</v>
      </c>
      <c r="D2643" s="3" t="n">
        <v>6</v>
      </c>
      <c r="E2643" s="3" t="n">
        <v>9</v>
      </c>
      <c r="F2643" s="24" t="n">
        <v>-6.79599714</v>
      </c>
    </row>
    <row r="2644" customFormat="false" ht="15" hidden="false" customHeight="false" outlineLevel="0" collapsed="false">
      <c r="A2644" s="3" t="n">
        <v>2643</v>
      </c>
      <c r="B2644" s="3" t="n">
        <v>2642</v>
      </c>
      <c r="C2644" s="3" t="n">
        <v>13</v>
      </c>
      <c r="D2644" s="3" t="n">
        <v>6</v>
      </c>
      <c r="E2644" s="3" t="n">
        <v>10</v>
      </c>
      <c r="F2644" s="24" t="n">
        <v>7.17256594</v>
      </c>
    </row>
    <row r="2645" customFormat="false" ht="15" hidden="false" customHeight="false" outlineLevel="0" collapsed="false">
      <c r="A2645" s="3" t="n">
        <v>2644</v>
      </c>
      <c r="B2645" s="3" t="n">
        <v>2643</v>
      </c>
      <c r="C2645" s="3" t="n">
        <v>13</v>
      </c>
      <c r="D2645" s="3" t="n">
        <v>6</v>
      </c>
      <c r="E2645" s="3" t="n">
        <v>11</v>
      </c>
      <c r="F2645" s="24" t="n">
        <v>4.70014763</v>
      </c>
    </row>
    <row r="2646" customFormat="false" ht="15" hidden="false" customHeight="false" outlineLevel="0" collapsed="false">
      <c r="A2646" s="3" t="n">
        <v>2645</v>
      </c>
      <c r="B2646" s="3" t="n">
        <v>2644</v>
      </c>
      <c r="C2646" s="3" t="n">
        <v>13</v>
      </c>
      <c r="D2646" s="3" t="n">
        <v>6</v>
      </c>
      <c r="E2646" s="3" t="n">
        <v>12</v>
      </c>
      <c r="F2646" s="24" t="n">
        <v>0.772215903</v>
      </c>
    </row>
    <row r="2647" customFormat="false" ht="15" hidden="false" customHeight="false" outlineLevel="0" collapsed="false">
      <c r="A2647" s="3" t="n">
        <v>2646</v>
      </c>
      <c r="B2647" s="3" t="n">
        <v>2645</v>
      </c>
      <c r="C2647" s="3" t="n">
        <v>13</v>
      </c>
      <c r="D2647" s="3" t="n">
        <v>6</v>
      </c>
      <c r="E2647" s="3" t="n">
        <v>13</v>
      </c>
      <c r="F2647" s="24" t="n">
        <v>0.709126413</v>
      </c>
    </row>
    <row r="2648" customFormat="false" ht="15" hidden="false" customHeight="false" outlineLevel="0" collapsed="false">
      <c r="A2648" s="3" t="n">
        <v>2647</v>
      </c>
      <c r="B2648" s="3" t="n">
        <v>2646</v>
      </c>
      <c r="C2648" s="3" t="n">
        <v>13</v>
      </c>
      <c r="D2648" s="3" t="n">
        <v>7</v>
      </c>
      <c r="E2648" s="3" t="n">
        <v>0</v>
      </c>
      <c r="F2648" s="24" t="n">
        <v>0.157317013</v>
      </c>
    </row>
    <row r="2649" customFormat="false" ht="15" hidden="false" customHeight="false" outlineLevel="0" collapsed="false">
      <c r="A2649" s="3" t="n">
        <v>2648</v>
      </c>
      <c r="B2649" s="3" t="n">
        <v>2647</v>
      </c>
      <c r="C2649" s="3" t="n">
        <v>13</v>
      </c>
      <c r="D2649" s="3" t="n">
        <v>7</v>
      </c>
      <c r="E2649" s="3" t="n">
        <v>1</v>
      </c>
      <c r="F2649" s="24" t="n">
        <v>0.509611964</v>
      </c>
    </row>
    <row r="2650" customFormat="false" ht="15" hidden="false" customHeight="false" outlineLevel="0" collapsed="false">
      <c r="A2650" s="3" t="n">
        <v>2649</v>
      </c>
      <c r="B2650" s="3" t="n">
        <v>2648</v>
      </c>
      <c r="C2650" s="3" t="n">
        <v>13</v>
      </c>
      <c r="D2650" s="3" t="n">
        <v>7</v>
      </c>
      <c r="E2650" s="3" t="n">
        <v>2</v>
      </c>
      <c r="F2650" s="24" t="n">
        <v>0.410889685</v>
      </c>
    </row>
    <row r="2651" customFormat="false" ht="15" hidden="false" customHeight="false" outlineLevel="0" collapsed="false">
      <c r="A2651" s="3" t="n">
        <v>2650</v>
      </c>
      <c r="B2651" s="3" t="n">
        <v>2649</v>
      </c>
      <c r="C2651" s="3" t="n">
        <v>13</v>
      </c>
      <c r="D2651" s="3" t="n">
        <v>7</v>
      </c>
      <c r="E2651" s="3" t="n">
        <v>3</v>
      </c>
      <c r="F2651" s="24" t="n">
        <v>0.410889685</v>
      </c>
    </row>
    <row r="2652" customFormat="false" ht="15" hidden="false" customHeight="false" outlineLevel="0" collapsed="false">
      <c r="A2652" s="3" t="n">
        <v>2651</v>
      </c>
      <c r="B2652" s="3" t="n">
        <v>2650</v>
      </c>
      <c r="C2652" s="3" t="n">
        <v>13</v>
      </c>
      <c r="D2652" s="3" t="n">
        <v>7</v>
      </c>
      <c r="E2652" s="3" t="n">
        <v>4</v>
      </c>
      <c r="F2652" s="24" t="n">
        <v>0.410889685</v>
      </c>
    </row>
    <row r="2653" customFormat="false" ht="15" hidden="false" customHeight="false" outlineLevel="0" collapsed="false">
      <c r="A2653" s="3" t="n">
        <v>2652</v>
      </c>
      <c r="B2653" s="3" t="n">
        <v>2651</v>
      </c>
      <c r="C2653" s="3" t="n">
        <v>13</v>
      </c>
      <c r="D2653" s="3" t="n">
        <v>7</v>
      </c>
      <c r="E2653" s="3" t="n">
        <v>5</v>
      </c>
      <c r="F2653" s="24" t="n">
        <v>0.519242883</v>
      </c>
    </row>
    <row r="2654" customFormat="false" ht="15" hidden="false" customHeight="false" outlineLevel="0" collapsed="false">
      <c r="A2654" s="3" t="n">
        <v>2653</v>
      </c>
      <c r="B2654" s="3" t="n">
        <v>2652</v>
      </c>
      <c r="C2654" s="3" t="n">
        <v>13</v>
      </c>
      <c r="D2654" s="3" t="n">
        <v>7</v>
      </c>
      <c r="E2654" s="3" t="n">
        <v>6</v>
      </c>
      <c r="F2654" s="24" t="n">
        <v>1.43783259</v>
      </c>
    </row>
    <row r="2655" customFormat="false" ht="15" hidden="false" customHeight="false" outlineLevel="0" collapsed="false">
      <c r="A2655" s="3" t="n">
        <v>2654</v>
      </c>
      <c r="B2655" s="3" t="n">
        <v>2653</v>
      </c>
      <c r="C2655" s="3" t="n">
        <v>13</v>
      </c>
      <c r="D2655" s="3" t="n">
        <v>7</v>
      </c>
      <c r="E2655" s="3" t="n">
        <v>7</v>
      </c>
      <c r="F2655" s="24" t="n">
        <v>-1.10137749</v>
      </c>
    </row>
    <row r="2656" customFormat="false" ht="15" hidden="false" customHeight="false" outlineLevel="0" collapsed="false">
      <c r="A2656" s="3" t="n">
        <v>2655</v>
      </c>
      <c r="B2656" s="3" t="n">
        <v>2654</v>
      </c>
      <c r="C2656" s="3" t="n">
        <v>13</v>
      </c>
      <c r="D2656" s="3" t="n">
        <v>7</v>
      </c>
      <c r="E2656" s="3" t="n">
        <v>8</v>
      </c>
      <c r="F2656" s="24" t="n">
        <v>-8.49770451</v>
      </c>
    </row>
    <row r="2657" customFormat="false" ht="15" hidden="false" customHeight="false" outlineLevel="0" collapsed="false">
      <c r="A2657" s="3" t="n">
        <v>2656</v>
      </c>
      <c r="B2657" s="3" t="n">
        <v>2655</v>
      </c>
      <c r="C2657" s="3" t="n">
        <v>13</v>
      </c>
      <c r="D2657" s="3" t="n">
        <v>7</v>
      </c>
      <c r="E2657" s="3" t="n">
        <v>9</v>
      </c>
      <c r="F2657" s="24" t="n">
        <v>0.795278728</v>
      </c>
    </row>
    <row r="2658" customFormat="false" ht="15" hidden="false" customHeight="false" outlineLevel="0" collapsed="false">
      <c r="A2658" s="3" t="n">
        <v>2657</v>
      </c>
      <c r="B2658" s="3" t="n">
        <v>2656</v>
      </c>
      <c r="C2658" s="3" t="n">
        <v>13</v>
      </c>
      <c r="D2658" s="3" t="n">
        <v>7</v>
      </c>
      <c r="E2658" s="3" t="n">
        <v>10</v>
      </c>
      <c r="F2658" s="24" t="n">
        <v>7.78881359</v>
      </c>
    </row>
    <row r="2659" customFormat="false" ht="15" hidden="false" customHeight="false" outlineLevel="0" collapsed="false">
      <c r="A2659" s="3" t="n">
        <v>2658</v>
      </c>
      <c r="B2659" s="3" t="n">
        <v>2657</v>
      </c>
      <c r="C2659" s="3" t="n">
        <v>13</v>
      </c>
      <c r="D2659" s="3" t="n">
        <v>7</v>
      </c>
      <c r="E2659" s="3" t="n">
        <v>11</v>
      </c>
      <c r="F2659" s="24" t="n">
        <v>1.66055059</v>
      </c>
    </row>
    <row r="2660" customFormat="false" ht="15" hidden="false" customHeight="false" outlineLevel="0" collapsed="false">
      <c r="A2660" s="3" t="n">
        <v>2659</v>
      </c>
      <c r="B2660" s="3" t="n">
        <v>2658</v>
      </c>
      <c r="C2660" s="3" t="n">
        <v>13</v>
      </c>
      <c r="D2660" s="3" t="n">
        <v>7</v>
      </c>
      <c r="E2660" s="3" t="n">
        <v>12</v>
      </c>
      <c r="F2660" s="24" t="n">
        <v>0.50846684</v>
      </c>
    </row>
    <row r="2661" customFormat="false" ht="15" hidden="false" customHeight="false" outlineLevel="0" collapsed="false">
      <c r="A2661" s="3" t="n">
        <v>2660</v>
      </c>
      <c r="B2661" s="3" t="n">
        <v>2659</v>
      </c>
      <c r="C2661" s="3" t="n">
        <v>13</v>
      </c>
      <c r="D2661" s="3" t="n">
        <v>7</v>
      </c>
      <c r="E2661" s="3" t="n">
        <v>13</v>
      </c>
      <c r="F2661" s="24" t="n">
        <v>0.709126413</v>
      </c>
    </row>
    <row r="2662" customFormat="false" ht="15" hidden="false" customHeight="false" outlineLevel="0" collapsed="false">
      <c r="A2662" s="3" t="n">
        <v>2661</v>
      </c>
      <c r="B2662" s="3" t="n">
        <v>2660</v>
      </c>
      <c r="C2662" s="3" t="n">
        <v>13</v>
      </c>
      <c r="D2662" s="3" t="n">
        <v>8</v>
      </c>
      <c r="E2662" s="3" t="n">
        <v>0</v>
      </c>
      <c r="F2662" s="24" t="n">
        <v>0.157317013</v>
      </c>
    </row>
    <row r="2663" customFormat="false" ht="15" hidden="false" customHeight="false" outlineLevel="0" collapsed="false">
      <c r="A2663" s="3" t="n">
        <v>2662</v>
      </c>
      <c r="B2663" s="3" t="n">
        <v>2661</v>
      </c>
      <c r="C2663" s="3" t="n">
        <v>13</v>
      </c>
      <c r="D2663" s="3" t="n">
        <v>8</v>
      </c>
      <c r="E2663" s="3" t="n">
        <v>1</v>
      </c>
      <c r="F2663" s="24" t="n">
        <v>0.509611964</v>
      </c>
    </row>
    <row r="2664" customFormat="false" ht="15" hidden="false" customHeight="false" outlineLevel="0" collapsed="false">
      <c r="A2664" s="3" t="n">
        <v>2663</v>
      </c>
      <c r="B2664" s="3" t="n">
        <v>2662</v>
      </c>
      <c r="C2664" s="3" t="n">
        <v>13</v>
      </c>
      <c r="D2664" s="3" t="n">
        <v>8</v>
      </c>
      <c r="E2664" s="3" t="n">
        <v>2</v>
      </c>
      <c r="F2664" s="24" t="n">
        <v>0.410889685</v>
      </c>
    </row>
    <row r="2665" customFormat="false" ht="15" hidden="false" customHeight="false" outlineLevel="0" collapsed="false">
      <c r="A2665" s="3" t="n">
        <v>2664</v>
      </c>
      <c r="B2665" s="3" t="n">
        <v>2663</v>
      </c>
      <c r="C2665" s="3" t="n">
        <v>13</v>
      </c>
      <c r="D2665" s="3" t="n">
        <v>8</v>
      </c>
      <c r="E2665" s="3" t="n">
        <v>3</v>
      </c>
      <c r="F2665" s="24" t="n">
        <v>0.410889685</v>
      </c>
    </row>
    <row r="2666" customFormat="false" ht="15" hidden="false" customHeight="false" outlineLevel="0" collapsed="false">
      <c r="A2666" s="3" t="n">
        <v>2665</v>
      </c>
      <c r="B2666" s="3" t="n">
        <v>2664</v>
      </c>
      <c r="C2666" s="3" t="n">
        <v>13</v>
      </c>
      <c r="D2666" s="3" t="n">
        <v>8</v>
      </c>
      <c r="E2666" s="3" t="n">
        <v>4</v>
      </c>
      <c r="F2666" s="24" t="n">
        <v>0.411639661</v>
      </c>
    </row>
    <row r="2667" customFormat="false" ht="15" hidden="false" customHeight="false" outlineLevel="0" collapsed="false">
      <c r="A2667" s="3" t="n">
        <v>2666</v>
      </c>
      <c r="B2667" s="3" t="n">
        <v>2665</v>
      </c>
      <c r="C2667" s="3" t="n">
        <v>13</v>
      </c>
      <c r="D2667" s="3" t="n">
        <v>8</v>
      </c>
      <c r="E2667" s="3" t="n">
        <v>5</v>
      </c>
      <c r="F2667" s="24" t="n">
        <v>1.43278551</v>
      </c>
    </row>
    <row r="2668" customFormat="false" ht="15" hidden="false" customHeight="false" outlineLevel="0" collapsed="false">
      <c r="A2668" s="3" t="n">
        <v>2667</v>
      </c>
      <c r="B2668" s="3" t="n">
        <v>2666</v>
      </c>
      <c r="C2668" s="3" t="n">
        <v>13</v>
      </c>
      <c r="D2668" s="3" t="n">
        <v>8</v>
      </c>
      <c r="E2668" s="3" t="n">
        <v>6</v>
      </c>
      <c r="F2668" s="24" t="n">
        <v>1.12111473</v>
      </c>
    </row>
    <row r="2669" customFormat="false" ht="15" hidden="false" customHeight="false" outlineLevel="0" collapsed="false">
      <c r="A2669" s="3" t="n">
        <v>2668</v>
      </c>
      <c r="B2669" s="3" t="n">
        <v>2667</v>
      </c>
      <c r="C2669" s="3" t="n">
        <v>13</v>
      </c>
      <c r="D2669" s="3" t="n">
        <v>8</v>
      </c>
      <c r="E2669" s="3" t="n">
        <v>7</v>
      </c>
      <c r="F2669" s="24" t="n">
        <v>-7.24315119</v>
      </c>
    </row>
    <row r="2670" customFormat="false" ht="15" hidden="false" customHeight="false" outlineLevel="0" collapsed="false">
      <c r="A2670" s="3" t="n">
        <v>2669</v>
      </c>
      <c r="B2670" s="3" t="n">
        <v>2668</v>
      </c>
      <c r="C2670" s="3" t="n">
        <v>13</v>
      </c>
      <c r="D2670" s="3" t="n">
        <v>8</v>
      </c>
      <c r="E2670" s="3" t="n">
        <v>8</v>
      </c>
      <c r="F2670" s="24" t="n">
        <v>-6.22368956</v>
      </c>
    </row>
    <row r="2671" customFormat="false" ht="15" hidden="false" customHeight="false" outlineLevel="0" collapsed="false">
      <c r="A2671" s="3" t="n">
        <v>2670</v>
      </c>
      <c r="B2671" s="3" t="n">
        <v>2669</v>
      </c>
      <c r="C2671" s="3" t="n">
        <v>13</v>
      </c>
      <c r="D2671" s="3" t="n">
        <v>8</v>
      </c>
      <c r="E2671" s="3" t="n">
        <v>9</v>
      </c>
      <c r="F2671" s="24" t="n">
        <v>7.3206296</v>
      </c>
    </row>
    <row r="2672" customFormat="false" ht="15" hidden="false" customHeight="false" outlineLevel="0" collapsed="false">
      <c r="A2672" s="3" t="n">
        <v>2671</v>
      </c>
      <c r="B2672" s="3" t="n">
        <v>2670</v>
      </c>
      <c r="C2672" s="3" t="n">
        <v>13</v>
      </c>
      <c r="D2672" s="3" t="n">
        <v>8</v>
      </c>
      <c r="E2672" s="3" t="n">
        <v>10</v>
      </c>
      <c r="F2672" s="24" t="n">
        <v>4.0791831</v>
      </c>
    </row>
    <row r="2673" customFormat="false" ht="15" hidden="false" customHeight="false" outlineLevel="0" collapsed="false">
      <c r="A2673" s="3" t="n">
        <v>2672</v>
      </c>
      <c r="B2673" s="3" t="n">
        <v>2671</v>
      </c>
      <c r="C2673" s="3" t="n">
        <v>13</v>
      </c>
      <c r="D2673" s="3" t="n">
        <v>8</v>
      </c>
      <c r="E2673" s="3" t="n">
        <v>11</v>
      </c>
      <c r="F2673" s="24" t="n">
        <v>0.654426038</v>
      </c>
    </row>
    <row r="2674" customFormat="false" ht="15" hidden="false" customHeight="false" outlineLevel="0" collapsed="false">
      <c r="A2674" s="3" t="n">
        <v>2673</v>
      </c>
      <c r="B2674" s="3" t="n">
        <v>2672</v>
      </c>
      <c r="C2674" s="3" t="n">
        <v>13</v>
      </c>
      <c r="D2674" s="3" t="n">
        <v>8</v>
      </c>
      <c r="E2674" s="3" t="n">
        <v>12</v>
      </c>
      <c r="F2674" s="24" t="n">
        <v>0.508993745</v>
      </c>
    </row>
    <row r="2675" customFormat="false" ht="15" hidden="false" customHeight="false" outlineLevel="0" collapsed="false">
      <c r="A2675" s="3" t="n">
        <v>2674</v>
      </c>
      <c r="B2675" s="3" t="n">
        <v>2673</v>
      </c>
      <c r="C2675" s="3" t="n">
        <v>13</v>
      </c>
      <c r="D2675" s="3" t="n">
        <v>8</v>
      </c>
      <c r="E2675" s="3" t="n">
        <v>13</v>
      </c>
      <c r="F2675" s="24" t="n">
        <v>0.709126413</v>
      </c>
    </row>
    <row r="2676" customFormat="false" ht="15" hidden="false" customHeight="false" outlineLevel="0" collapsed="false">
      <c r="A2676" s="3" t="n">
        <v>2675</v>
      </c>
      <c r="B2676" s="3" t="n">
        <v>2674</v>
      </c>
      <c r="C2676" s="3" t="n">
        <v>13</v>
      </c>
      <c r="D2676" s="3" t="n">
        <v>9</v>
      </c>
      <c r="E2676" s="3" t="n">
        <v>0</v>
      </c>
      <c r="F2676" s="24" t="n">
        <v>0.157317013</v>
      </c>
    </row>
    <row r="2677" customFormat="false" ht="15" hidden="false" customHeight="false" outlineLevel="0" collapsed="false">
      <c r="A2677" s="3" t="n">
        <v>2676</v>
      </c>
      <c r="B2677" s="3" t="n">
        <v>2675</v>
      </c>
      <c r="C2677" s="3" t="n">
        <v>13</v>
      </c>
      <c r="D2677" s="3" t="n">
        <v>9</v>
      </c>
      <c r="E2677" s="3" t="n">
        <v>1</v>
      </c>
      <c r="F2677" s="24" t="n">
        <v>0.509611964</v>
      </c>
    </row>
    <row r="2678" customFormat="false" ht="15" hidden="false" customHeight="false" outlineLevel="0" collapsed="false">
      <c r="A2678" s="3" t="n">
        <v>2677</v>
      </c>
      <c r="B2678" s="3" t="n">
        <v>2676</v>
      </c>
      <c r="C2678" s="3" t="n">
        <v>13</v>
      </c>
      <c r="D2678" s="3" t="n">
        <v>9</v>
      </c>
      <c r="E2678" s="3" t="n">
        <v>2</v>
      </c>
      <c r="F2678" s="24" t="n">
        <v>0.410889685</v>
      </c>
    </row>
    <row r="2679" customFormat="false" ht="15" hidden="false" customHeight="false" outlineLevel="0" collapsed="false">
      <c r="A2679" s="3" t="n">
        <v>2678</v>
      </c>
      <c r="B2679" s="3" t="n">
        <v>2677</v>
      </c>
      <c r="C2679" s="3" t="n">
        <v>13</v>
      </c>
      <c r="D2679" s="3" t="n">
        <v>9</v>
      </c>
      <c r="E2679" s="3" t="n">
        <v>3</v>
      </c>
      <c r="F2679" s="24" t="n">
        <v>0.410889685</v>
      </c>
    </row>
    <row r="2680" customFormat="false" ht="15" hidden="false" customHeight="false" outlineLevel="0" collapsed="false">
      <c r="A2680" s="3" t="n">
        <v>2679</v>
      </c>
      <c r="B2680" s="3" t="n">
        <v>2678</v>
      </c>
      <c r="C2680" s="3" t="n">
        <v>13</v>
      </c>
      <c r="D2680" s="3" t="n">
        <v>9</v>
      </c>
      <c r="E2680" s="3" t="n">
        <v>4</v>
      </c>
      <c r="F2680" s="24" t="n">
        <v>0.850210488</v>
      </c>
    </row>
    <row r="2681" customFormat="false" ht="15" hidden="false" customHeight="false" outlineLevel="0" collapsed="false">
      <c r="A2681" s="3" t="n">
        <v>2680</v>
      </c>
      <c r="B2681" s="3" t="n">
        <v>2679</v>
      </c>
      <c r="C2681" s="3" t="n">
        <v>13</v>
      </c>
      <c r="D2681" s="3" t="n">
        <v>9</v>
      </c>
      <c r="E2681" s="3" t="n">
        <v>5</v>
      </c>
      <c r="F2681" s="24" t="n">
        <v>1.63096261</v>
      </c>
    </row>
    <row r="2682" customFormat="false" ht="15" hidden="false" customHeight="false" outlineLevel="0" collapsed="false">
      <c r="A2682" s="3" t="n">
        <v>2681</v>
      </c>
      <c r="B2682" s="3" t="n">
        <v>2680</v>
      </c>
      <c r="C2682" s="3" t="n">
        <v>13</v>
      </c>
      <c r="D2682" s="3" t="n">
        <v>9</v>
      </c>
      <c r="E2682" s="3" t="n">
        <v>6</v>
      </c>
      <c r="F2682" s="24" t="n">
        <v>-4.42883682</v>
      </c>
    </row>
    <row r="2683" customFormat="false" ht="15" hidden="false" customHeight="false" outlineLevel="0" collapsed="false">
      <c r="A2683" s="3" t="n">
        <v>2682</v>
      </c>
      <c r="B2683" s="3" t="n">
        <v>2681</v>
      </c>
      <c r="C2683" s="3" t="n">
        <v>13</v>
      </c>
      <c r="D2683" s="3" t="n">
        <v>9</v>
      </c>
      <c r="E2683" s="3" t="n">
        <v>7</v>
      </c>
      <c r="F2683" s="24" t="n">
        <v>-11.0787773</v>
      </c>
    </row>
    <row r="2684" customFormat="false" ht="15" hidden="false" customHeight="false" outlineLevel="0" collapsed="false">
      <c r="A2684" s="3" t="n">
        <v>2683</v>
      </c>
      <c r="B2684" s="3" t="n">
        <v>2682</v>
      </c>
      <c r="C2684" s="3" t="n">
        <v>13</v>
      </c>
      <c r="D2684" s="3" t="n">
        <v>9</v>
      </c>
      <c r="E2684" s="3" t="n">
        <v>8</v>
      </c>
      <c r="F2684" s="24" t="n">
        <v>4.31738997</v>
      </c>
    </row>
    <row r="2685" customFormat="false" ht="15" hidden="false" customHeight="false" outlineLevel="0" collapsed="false">
      <c r="A2685" s="3" t="n">
        <v>2684</v>
      </c>
      <c r="B2685" s="3" t="n">
        <v>2683</v>
      </c>
      <c r="C2685" s="3" t="n">
        <v>13</v>
      </c>
      <c r="D2685" s="3" t="n">
        <v>9</v>
      </c>
      <c r="E2685" s="3" t="n">
        <v>9</v>
      </c>
      <c r="F2685" s="24" t="n">
        <v>7.89416647</v>
      </c>
    </row>
    <row r="2686" customFormat="false" ht="15" hidden="false" customHeight="false" outlineLevel="0" collapsed="false">
      <c r="A2686" s="3" t="n">
        <v>2685</v>
      </c>
      <c r="B2686" s="3" t="n">
        <v>2684</v>
      </c>
      <c r="C2686" s="3" t="n">
        <v>13</v>
      </c>
      <c r="D2686" s="3" t="n">
        <v>9</v>
      </c>
      <c r="E2686" s="3" t="n">
        <v>10</v>
      </c>
      <c r="F2686" s="24" t="n">
        <v>1.46916938</v>
      </c>
    </row>
    <row r="2687" customFormat="false" ht="15" hidden="false" customHeight="false" outlineLevel="0" collapsed="false">
      <c r="A2687" s="3" t="n">
        <v>2686</v>
      </c>
      <c r="B2687" s="3" t="n">
        <v>2685</v>
      </c>
      <c r="C2687" s="3" t="n">
        <v>13</v>
      </c>
      <c r="D2687" s="3" t="n">
        <v>9</v>
      </c>
      <c r="E2687" s="3" t="n">
        <v>11</v>
      </c>
      <c r="F2687" s="24" t="n">
        <v>0.40878287</v>
      </c>
    </row>
    <row r="2688" customFormat="false" ht="15" hidden="false" customHeight="false" outlineLevel="0" collapsed="false">
      <c r="A2688" s="3" t="n">
        <v>2687</v>
      </c>
      <c r="B2688" s="3" t="n">
        <v>2686</v>
      </c>
      <c r="C2688" s="3" t="n">
        <v>13</v>
      </c>
      <c r="D2688" s="3" t="n">
        <v>9</v>
      </c>
      <c r="E2688" s="3" t="n">
        <v>12</v>
      </c>
      <c r="F2688" s="24" t="n">
        <v>0.508993745</v>
      </c>
    </row>
    <row r="2689" customFormat="false" ht="15" hidden="false" customHeight="false" outlineLevel="0" collapsed="false">
      <c r="A2689" s="3" t="n">
        <v>2688</v>
      </c>
      <c r="B2689" s="3" t="n">
        <v>2687</v>
      </c>
      <c r="C2689" s="3" t="n">
        <v>13</v>
      </c>
      <c r="D2689" s="3" t="n">
        <v>9</v>
      </c>
      <c r="E2689" s="3" t="n">
        <v>13</v>
      </c>
      <c r="F2689" s="24" t="n">
        <v>0.709126413</v>
      </c>
    </row>
    <row r="2690" customFormat="false" ht="15" hidden="false" customHeight="false" outlineLevel="0" collapsed="false">
      <c r="A2690" s="3" t="n">
        <v>2689</v>
      </c>
      <c r="B2690" s="3" t="n">
        <v>2688</v>
      </c>
      <c r="C2690" s="3" t="n">
        <v>13</v>
      </c>
      <c r="D2690" s="3" t="n">
        <v>10</v>
      </c>
      <c r="E2690" s="3" t="n">
        <v>0</v>
      </c>
      <c r="F2690" s="24" t="n">
        <v>0.157317013</v>
      </c>
    </row>
    <row r="2691" customFormat="false" ht="15" hidden="false" customHeight="false" outlineLevel="0" collapsed="false">
      <c r="A2691" s="3" t="n">
        <v>2690</v>
      </c>
      <c r="B2691" s="3" t="n">
        <v>2689</v>
      </c>
      <c r="C2691" s="3" t="n">
        <v>13</v>
      </c>
      <c r="D2691" s="3" t="n">
        <v>10</v>
      </c>
      <c r="E2691" s="3" t="n">
        <v>1</v>
      </c>
      <c r="F2691" s="24" t="n">
        <v>0.509611964</v>
      </c>
    </row>
    <row r="2692" customFormat="false" ht="15" hidden="false" customHeight="false" outlineLevel="0" collapsed="false">
      <c r="A2692" s="3" t="n">
        <v>2691</v>
      </c>
      <c r="B2692" s="3" t="n">
        <v>2690</v>
      </c>
      <c r="C2692" s="3" t="n">
        <v>13</v>
      </c>
      <c r="D2692" s="3" t="n">
        <v>10</v>
      </c>
      <c r="E2692" s="3" t="n">
        <v>2</v>
      </c>
      <c r="F2692" s="24" t="n">
        <v>0.410889685</v>
      </c>
    </row>
    <row r="2693" customFormat="false" ht="15" hidden="false" customHeight="false" outlineLevel="0" collapsed="false">
      <c r="A2693" s="3" t="n">
        <v>2692</v>
      </c>
      <c r="B2693" s="3" t="n">
        <v>2691</v>
      </c>
      <c r="C2693" s="3" t="n">
        <v>13</v>
      </c>
      <c r="D2693" s="3" t="n">
        <v>10</v>
      </c>
      <c r="E2693" s="3" t="n">
        <v>3</v>
      </c>
      <c r="F2693" s="24" t="n">
        <v>0.49522534</v>
      </c>
    </row>
    <row r="2694" customFormat="false" ht="15" hidden="false" customHeight="false" outlineLevel="0" collapsed="false">
      <c r="A2694" s="3" t="n">
        <v>2693</v>
      </c>
      <c r="B2694" s="3" t="n">
        <v>2692</v>
      </c>
      <c r="C2694" s="3" t="n">
        <v>13</v>
      </c>
      <c r="D2694" s="3" t="n">
        <v>10</v>
      </c>
      <c r="E2694" s="3" t="n">
        <v>4</v>
      </c>
      <c r="F2694" s="24" t="n">
        <v>1.55816531</v>
      </c>
    </row>
    <row r="2695" customFormat="false" ht="15" hidden="false" customHeight="false" outlineLevel="0" collapsed="false">
      <c r="A2695" s="3" t="n">
        <v>2694</v>
      </c>
      <c r="B2695" s="3" t="n">
        <v>2693</v>
      </c>
      <c r="C2695" s="3" t="n">
        <v>13</v>
      </c>
      <c r="D2695" s="3" t="n">
        <v>10</v>
      </c>
      <c r="E2695" s="3" t="n">
        <v>5</v>
      </c>
      <c r="F2695" s="24" t="n">
        <v>-0.978892028</v>
      </c>
    </row>
    <row r="2696" customFormat="false" ht="15" hidden="false" customHeight="false" outlineLevel="0" collapsed="false">
      <c r="A2696" s="3" t="n">
        <v>2695</v>
      </c>
      <c r="B2696" s="3" t="n">
        <v>2694</v>
      </c>
      <c r="C2696" s="3" t="n">
        <v>13</v>
      </c>
      <c r="D2696" s="3" t="n">
        <v>10</v>
      </c>
      <c r="E2696" s="3" t="n">
        <v>6</v>
      </c>
      <c r="F2696" s="24" t="n">
        <v>-10.6590614</v>
      </c>
    </row>
    <row r="2697" customFormat="false" ht="15" hidden="false" customHeight="false" outlineLevel="0" collapsed="false">
      <c r="A2697" s="3" t="n">
        <v>2696</v>
      </c>
      <c r="B2697" s="3" t="n">
        <v>2695</v>
      </c>
      <c r="C2697" s="3" t="n">
        <v>13</v>
      </c>
      <c r="D2697" s="3" t="n">
        <v>10</v>
      </c>
      <c r="E2697" s="3" t="n">
        <v>7</v>
      </c>
      <c r="F2697" s="24" t="n">
        <v>-3.55070138</v>
      </c>
    </row>
    <row r="2698" customFormat="false" ht="15" hidden="false" customHeight="false" outlineLevel="0" collapsed="false">
      <c r="A2698" s="3" t="n">
        <v>2697</v>
      </c>
      <c r="B2698" s="3" t="n">
        <v>2696</v>
      </c>
      <c r="C2698" s="3" t="n">
        <v>13</v>
      </c>
      <c r="D2698" s="3" t="n">
        <v>10</v>
      </c>
      <c r="E2698" s="3" t="n">
        <v>8</v>
      </c>
      <c r="F2698" s="24" t="n">
        <v>7.57092762</v>
      </c>
    </row>
    <row r="2699" customFormat="false" ht="15" hidden="false" customHeight="false" outlineLevel="0" collapsed="false">
      <c r="A2699" s="3" t="n">
        <v>2698</v>
      </c>
      <c r="B2699" s="3" t="n">
        <v>2697</v>
      </c>
      <c r="C2699" s="3" t="n">
        <v>13</v>
      </c>
      <c r="D2699" s="3" t="n">
        <v>10</v>
      </c>
      <c r="E2699" s="3" t="n">
        <v>9</v>
      </c>
      <c r="F2699" s="24" t="n">
        <v>3.15825295</v>
      </c>
    </row>
    <row r="2700" customFormat="false" ht="15" hidden="false" customHeight="false" outlineLevel="0" collapsed="false">
      <c r="A2700" s="3" t="n">
        <v>2699</v>
      </c>
      <c r="B2700" s="3" t="n">
        <v>2698</v>
      </c>
      <c r="C2700" s="3" t="n">
        <v>13</v>
      </c>
      <c r="D2700" s="3" t="n">
        <v>10</v>
      </c>
      <c r="E2700" s="3" t="n">
        <v>10</v>
      </c>
      <c r="F2700" s="24" t="n">
        <v>0.598477006</v>
      </c>
    </row>
    <row r="2701" customFormat="false" ht="15" hidden="false" customHeight="false" outlineLevel="0" collapsed="false">
      <c r="A2701" s="3" t="n">
        <v>2700</v>
      </c>
      <c r="B2701" s="3" t="n">
        <v>2699</v>
      </c>
      <c r="C2701" s="3" t="n">
        <v>13</v>
      </c>
      <c r="D2701" s="3" t="n">
        <v>10</v>
      </c>
      <c r="E2701" s="3" t="n">
        <v>11</v>
      </c>
      <c r="F2701" s="24" t="n">
        <v>0.410889685</v>
      </c>
    </row>
    <row r="2702" customFormat="false" ht="15" hidden="false" customHeight="false" outlineLevel="0" collapsed="false">
      <c r="A2702" s="3" t="n">
        <v>2701</v>
      </c>
      <c r="B2702" s="3" t="n">
        <v>2700</v>
      </c>
      <c r="C2702" s="3" t="n">
        <v>13</v>
      </c>
      <c r="D2702" s="3" t="n">
        <v>10</v>
      </c>
      <c r="E2702" s="3" t="n">
        <v>12</v>
      </c>
      <c r="F2702" s="24" t="n">
        <v>0.508993745</v>
      </c>
    </row>
    <row r="2703" customFormat="false" ht="15" hidden="false" customHeight="false" outlineLevel="0" collapsed="false">
      <c r="A2703" s="3" t="n">
        <v>2702</v>
      </c>
      <c r="B2703" s="3" t="n">
        <v>2701</v>
      </c>
      <c r="C2703" s="3" t="n">
        <v>13</v>
      </c>
      <c r="D2703" s="3" t="n">
        <v>10</v>
      </c>
      <c r="E2703" s="3" t="n">
        <v>13</v>
      </c>
      <c r="F2703" s="24" t="n">
        <v>0.709126413</v>
      </c>
    </row>
    <row r="2704" customFormat="false" ht="15" hidden="false" customHeight="false" outlineLevel="0" collapsed="false">
      <c r="A2704" s="3" t="n">
        <v>2703</v>
      </c>
      <c r="B2704" s="3" t="n">
        <v>2702</v>
      </c>
      <c r="C2704" s="3" t="n">
        <v>13</v>
      </c>
      <c r="D2704" s="3" t="n">
        <v>11</v>
      </c>
      <c r="E2704" s="3" t="n">
        <v>0</v>
      </c>
      <c r="F2704" s="24" t="n">
        <v>0.157317013</v>
      </c>
    </row>
    <row r="2705" customFormat="false" ht="15" hidden="false" customHeight="false" outlineLevel="0" collapsed="false">
      <c r="A2705" s="3" t="n">
        <v>2704</v>
      </c>
      <c r="B2705" s="3" t="n">
        <v>2703</v>
      </c>
      <c r="C2705" s="3" t="n">
        <v>13</v>
      </c>
      <c r="D2705" s="3" t="n">
        <v>11</v>
      </c>
      <c r="E2705" s="3" t="n">
        <v>1</v>
      </c>
      <c r="F2705" s="24" t="n">
        <v>0.509611964</v>
      </c>
    </row>
    <row r="2706" customFormat="false" ht="15" hidden="false" customHeight="false" outlineLevel="0" collapsed="false">
      <c r="A2706" s="3" t="n">
        <v>2705</v>
      </c>
      <c r="B2706" s="3" t="n">
        <v>2704</v>
      </c>
      <c r="C2706" s="3" t="n">
        <v>13</v>
      </c>
      <c r="D2706" s="3" t="n">
        <v>11</v>
      </c>
      <c r="E2706" s="3" t="n">
        <v>2</v>
      </c>
      <c r="F2706" s="24" t="n">
        <v>0.410889685</v>
      </c>
    </row>
    <row r="2707" customFormat="false" ht="15" hidden="false" customHeight="false" outlineLevel="0" collapsed="false">
      <c r="A2707" s="3" t="n">
        <v>2706</v>
      </c>
      <c r="B2707" s="3" t="n">
        <v>2705</v>
      </c>
      <c r="C2707" s="3" t="n">
        <v>13</v>
      </c>
      <c r="D2707" s="3" t="n">
        <v>11</v>
      </c>
      <c r="E2707" s="3" t="n">
        <v>3</v>
      </c>
      <c r="F2707" s="24" t="n">
        <v>0.733422399</v>
      </c>
    </row>
    <row r="2708" customFormat="false" ht="15" hidden="false" customHeight="false" outlineLevel="0" collapsed="false">
      <c r="A2708" s="3" t="n">
        <v>2707</v>
      </c>
      <c r="B2708" s="3" t="n">
        <v>2706</v>
      </c>
      <c r="C2708" s="3" t="n">
        <v>13</v>
      </c>
      <c r="D2708" s="3" t="n">
        <v>11</v>
      </c>
      <c r="E2708" s="3" t="n">
        <v>4</v>
      </c>
      <c r="F2708" s="24" t="n">
        <v>0.671165824</v>
      </c>
    </row>
    <row r="2709" customFormat="false" ht="15" hidden="false" customHeight="false" outlineLevel="0" collapsed="false">
      <c r="A2709" s="3" t="n">
        <v>2708</v>
      </c>
      <c r="B2709" s="3" t="n">
        <v>2707</v>
      </c>
      <c r="C2709" s="3" t="n">
        <v>13</v>
      </c>
      <c r="D2709" s="3" t="n">
        <v>11</v>
      </c>
      <c r="E2709" s="3" t="n">
        <v>5</v>
      </c>
      <c r="F2709" s="24" t="n">
        <v>-6.87448502</v>
      </c>
    </row>
    <row r="2710" customFormat="false" ht="15" hidden="false" customHeight="false" outlineLevel="0" collapsed="false">
      <c r="A2710" s="3" t="n">
        <v>2709</v>
      </c>
      <c r="B2710" s="3" t="n">
        <v>2708</v>
      </c>
      <c r="C2710" s="3" t="n">
        <v>13</v>
      </c>
      <c r="D2710" s="3" t="n">
        <v>11</v>
      </c>
      <c r="E2710" s="3" t="n">
        <v>6</v>
      </c>
      <c r="F2710" s="24" t="n">
        <v>-9.36177731</v>
      </c>
    </row>
    <row r="2711" customFormat="false" ht="15" hidden="false" customHeight="false" outlineLevel="0" collapsed="false">
      <c r="A2711" s="3" t="n">
        <v>2710</v>
      </c>
      <c r="B2711" s="3" t="n">
        <v>2709</v>
      </c>
      <c r="C2711" s="3" t="n">
        <v>13</v>
      </c>
      <c r="D2711" s="3" t="n">
        <v>11</v>
      </c>
      <c r="E2711" s="3" t="n">
        <v>7</v>
      </c>
      <c r="F2711" s="24" t="n">
        <v>5.09727812</v>
      </c>
    </row>
    <row r="2712" customFormat="false" ht="15" hidden="false" customHeight="false" outlineLevel="0" collapsed="false">
      <c r="A2712" s="3" t="n">
        <v>2711</v>
      </c>
      <c r="B2712" s="3" t="n">
        <v>2710</v>
      </c>
      <c r="C2712" s="3" t="n">
        <v>13</v>
      </c>
      <c r="D2712" s="3" t="n">
        <v>11</v>
      </c>
      <c r="E2712" s="3" t="n">
        <v>8</v>
      </c>
      <c r="F2712" s="24" t="n">
        <v>5.68482971</v>
      </c>
    </row>
    <row r="2713" customFormat="false" ht="15" hidden="false" customHeight="false" outlineLevel="0" collapsed="false">
      <c r="A2713" s="3" t="n">
        <v>2712</v>
      </c>
      <c r="B2713" s="3" t="n">
        <v>2711</v>
      </c>
      <c r="C2713" s="3" t="n">
        <v>13</v>
      </c>
      <c r="D2713" s="3" t="n">
        <v>11</v>
      </c>
      <c r="E2713" s="3" t="n">
        <v>9</v>
      </c>
      <c r="F2713" s="24" t="n">
        <v>1.14603519</v>
      </c>
    </row>
    <row r="2714" customFormat="false" ht="15" hidden="false" customHeight="false" outlineLevel="0" collapsed="false">
      <c r="A2714" s="3" t="n">
        <v>2713</v>
      </c>
      <c r="B2714" s="3" t="n">
        <v>2712</v>
      </c>
      <c r="C2714" s="3" t="n">
        <v>13</v>
      </c>
      <c r="D2714" s="3" t="n">
        <v>11</v>
      </c>
      <c r="E2714" s="3" t="n">
        <v>10</v>
      </c>
      <c r="F2714" s="24" t="n">
        <v>0.410889685</v>
      </c>
    </row>
    <row r="2715" customFormat="false" ht="15" hidden="false" customHeight="false" outlineLevel="0" collapsed="false">
      <c r="A2715" s="3" t="n">
        <v>2714</v>
      </c>
      <c r="B2715" s="3" t="n">
        <v>2713</v>
      </c>
      <c r="C2715" s="3" t="n">
        <v>13</v>
      </c>
      <c r="D2715" s="3" t="n">
        <v>11</v>
      </c>
      <c r="E2715" s="3" t="n">
        <v>11</v>
      </c>
      <c r="F2715" s="24" t="n">
        <v>0.410889685</v>
      </c>
    </row>
    <row r="2716" customFormat="false" ht="15" hidden="false" customHeight="false" outlineLevel="0" collapsed="false">
      <c r="A2716" s="3" t="n">
        <v>2715</v>
      </c>
      <c r="B2716" s="3" t="n">
        <v>2714</v>
      </c>
      <c r="C2716" s="3" t="n">
        <v>13</v>
      </c>
      <c r="D2716" s="3" t="n">
        <v>11</v>
      </c>
      <c r="E2716" s="3" t="n">
        <v>12</v>
      </c>
      <c r="F2716" s="24" t="n">
        <v>0.508993745</v>
      </c>
    </row>
    <row r="2717" customFormat="false" ht="15" hidden="false" customHeight="false" outlineLevel="0" collapsed="false">
      <c r="A2717" s="3" t="n">
        <v>2716</v>
      </c>
      <c r="B2717" s="3" t="n">
        <v>2715</v>
      </c>
      <c r="C2717" s="3" t="n">
        <v>13</v>
      </c>
      <c r="D2717" s="3" t="n">
        <v>11</v>
      </c>
      <c r="E2717" s="3" t="n">
        <v>13</v>
      </c>
      <c r="F2717" s="24" t="n">
        <v>0.709126413</v>
      </c>
    </row>
    <row r="2718" customFormat="false" ht="15" hidden="false" customHeight="false" outlineLevel="0" collapsed="false">
      <c r="A2718" s="3" t="n">
        <v>2717</v>
      </c>
      <c r="B2718" s="3" t="n">
        <v>2716</v>
      </c>
      <c r="C2718" s="3" t="n">
        <v>13</v>
      </c>
      <c r="D2718" s="3" t="n">
        <v>12</v>
      </c>
      <c r="E2718" s="3" t="n">
        <v>0</v>
      </c>
      <c r="F2718" s="24" t="n">
        <v>0.302966535</v>
      </c>
    </row>
    <row r="2719" customFormat="false" ht="15" hidden="false" customHeight="false" outlineLevel="0" collapsed="false">
      <c r="A2719" s="3" t="n">
        <v>2718</v>
      </c>
      <c r="B2719" s="3" t="n">
        <v>2717</v>
      </c>
      <c r="C2719" s="3" t="n">
        <v>13</v>
      </c>
      <c r="D2719" s="3" t="n">
        <v>12</v>
      </c>
      <c r="E2719" s="3" t="n">
        <v>1</v>
      </c>
      <c r="F2719" s="24" t="n">
        <v>0.583972394</v>
      </c>
    </row>
    <row r="2720" customFormat="false" ht="15" hidden="false" customHeight="false" outlineLevel="0" collapsed="false">
      <c r="A2720" s="3" t="n">
        <v>2719</v>
      </c>
      <c r="B2720" s="3" t="n">
        <v>2718</v>
      </c>
      <c r="C2720" s="3" t="n">
        <v>13</v>
      </c>
      <c r="D2720" s="3" t="n">
        <v>12</v>
      </c>
      <c r="E2720" s="3" t="n">
        <v>2</v>
      </c>
      <c r="F2720" s="24" t="n">
        <v>0.45204708</v>
      </c>
    </row>
    <row r="2721" customFormat="false" ht="15" hidden="false" customHeight="false" outlineLevel="0" collapsed="false">
      <c r="A2721" s="3" t="n">
        <v>2720</v>
      </c>
      <c r="B2721" s="3" t="n">
        <v>2719</v>
      </c>
      <c r="C2721" s="3" t="n">
        <v>13</v>
      </c>
      <c r="D2721" s="3" t="n">
        <v>12</v>
      </c>
      <c r="E2721" s="3" t="n">
        <v>3</v>
      </c>
      <c r="F2721" s="24" t="n">
        <v>0.407793105</v>
      </c>
    </row>
    <row r="2722" customFormat="false" ht="15" hidden="false" customHeight="false" outlineLevel="0" collapsed="false">
      <c r="A2722" s="3" t="n">
        <v>2721</v>
      </c>
      <c r="B2722" s="3" t="n">
        <v>2720</v>
      </c>
      <c r="C2722" s="3" t="n">
        <v>13</v>
      </c>
      <c r="D2722" s="3" t="n">
        <v>12</v>
      </c>
      <c r="E2722" s="3" t="n">
        <v>4</v>
      </c>
      <c r="F2722" s="24" t="n">
        <v>-1.77797413</v>
      </c>
    </row>
    <row r="2723" customFormat="false" ht="15" hidden="false" customHeight="false" outlineLevel="0" collapsed="false">
      <c r="A2723" s="3" t="n">
        <v>2722</v>
      </c>
      <c r="B2723" s="3" t="n">
        <v>2721</v>
      </c>
      <c r="C2723" s="3" t="n">
        <v>13</v>
      </c>
      <c r="D2723" s="3" t="n">
        <v>12</v>
      </c>
      <c r="E2723" s="3" t="n">
        <v>5</v>
      </c>
      <c r="F2723" s="24" t="n">
        <v>-7.42091513</v>
      </c>
    </row>
    <row r="2724" customFormat="false" ht="15" hidden="false" customHeight="false" outlineLevel="0" collapsed="false">
      <c r="A2724" s="3" t="n">
        <v>2723</v>
      </c>
      <c r="B2724" s="3" t="n">
        <v>2722</v>
      </c>
      <c r="C2724" s="3" t="n">
        <v>13</v>
      </c>
      <c r="D2724" s="3" t="n">
        <v>12</v>
      </c>
      <c r="E2724" s="3" t="n">
        <v>6</v>
      </c>
      <c r="F2724" s="24" t="n">
        <v>0.310095966</v>
      </c>
    </row>
    <row r="2725" customFormat="false" ht="15" hidden="false" customHeight="false" outlineLevel="0" collapsed="false">
      <c r="A2725" s="3" t="n">
        <v>2724</v>
      </c>
      <c r="B2725" s="3" t="n">
        <v>2723</v>
      </c>
      <c r="C2725" s="3" t="n">
        <v>13</v>
      </c>
      <c r="D2725" s="3" t="n">
        <v>12</v>
      </c>
      <c r="E2725" s="3" t="n">
        <v>7</v>
      </c>
      <c r="F2725" s="24" t="n">
        <v>9.83453274</v>
      </c>
    </row>
    <row r="2726" customFormat="false" ht="15" hidden="false" customHeight="false" outlineLevel="0" collapsed="false">
      <c r="A2726" s="3" t="n">
        <v>2725</v>
      </c>
      <c r="B2726" s="3" t="n">
        <v>2724</v>
      </c>
      <c r="C2726" s="3" t="n">
        <v>13</v>
      </c>
      <c r="D2726" s="3" t="n">
        <v>12</v>
      </c>
      <c r="E2726" s="3" t="n">
        <v>8</v>
      </c>
      <c r="F2726" s="24" t="n">
        <v>3.01094508</v>
      </c>
    </row>
    <row r="2727" customFormat="false" ht="15" hidden="false" customHeight="false" outlineLevel="0" collapsed="false">
      <c r="A2727" s="3" t="n">
        <v>2726</v>
      </c>
      <c r="B2727" s="3" t="n">
        <v>2725</v>
      </c>
      <c r="C2727" s="3" t="n">
        <v>13</v>
      </c>
      <c r="D2727" s="3" t="n">
        <v>12</v>
      </c>
      <c r="E2727" s="3" t="n">
        <v>9</v>
      </c>
      <c r="F2727" s="24" t="n">
        <v>0.484378397</v>
      </c>
    </row>
    <row r="2728" customFormat="false" ht="15" hidden="false" customHeight="false" outlineLevel="0" collapsed="false">
      <c r="A2728" s="3" t="n">
        <v>2727</v>
      </c>
      <c r="B2728" s="3" t="n">
        <v>2726</v>
      </c>
      <c r="C2728" s="3" t="n">
        <v>13</v>
      </c>
      <c r="D2728" s="3" t="n">
        <v>12</v>
      </c>
      <c r="E2728" s="3" t="n">
        <v>10</v>
      </c>
      <c r="F2728" s="24" t="n">
        <v>0.45204708</v>
      </c>
    </row>
    <row r="2729" customFormat="false" ht="15" hidden="false" customHeight="false" outlineLevel="0" collapsed="false">
      <c r="A2729" s="3" t="n">
        <v>2728</v>
      </c>
      <c r="B2729" s="3" t="n">
        <v>2727</v>
      </c>
      <c r="C2729" s="3" t="n">
        <v>13</v>
      </c>
      <c r="D2729" s="3" t="n">
        <v>12</v>
      </c>
      <c r="E2729" s="3" t="n">
        <v>11</v>
      </c>
      <c r="F2729" s="24" t="n">
        <v>0.45204708</v>
      </c>
    </row>
    <row r="2730" customFormat="false" ht="15" hidden="false" customHeight="false" outlineLevel="0" collapsed="false">
      <c r="A2730" s="3" t="n">
        <v>2729</v>
      </c>
      <c r="B2730" s="3" t="n">
        <v>2728</v>
      </c>
      <c r="C2730" s="3" t="n">
        <v>13</v>
      </c>
      <c r="D2730" s="3" t="n">
        <v>12</v>
      </c>
      <c r="E2730" s="3" t="n">
        <v>12</v>
      </c>
      <c r="F2730" s="24" t="n">
        <v>0.55015111</v>
      </c>
    </row>
    <row r="2731" customFormat="false" ht="15" hidden="false" customHeight="false" outlineLevel="0" collapsed="false">
      <c r="A2731" s="3" t="n">
        <v>2730</v>
      </c>
      <c r="B2731" s="3" t="n">
        <v>2729</v>
      </c>
      <c r="C2731" s="3" t="n">
        <v>13</v>
      </c>
      <c r="D2731" s="3" t="n">
        <v>12</v>
      </c>
      <c r="E2731" s="3" t="n">
        <v>13</v>
      </c>
      <c r="F2731" s="24" t="n">
        <v>0.685322464</v>
      </c>
    </row>
    <row r="2732" customFormat="false" ht="15" hidden="false" customHeight="false" outlineLevel="0" collapsed="false">
      <c r="A2732" s="3" t="n">
        <v>2731</v>
      </c>
      <c r="B2732" s="3" t="n">
        <v>2730</v>
      </c>
      <c r="C2732" s="3" t="n">
        <v>13</v>
      </c>
      <c r="D2732" s="3" t="n">
        <v>13</v>
      </c>
      <c r="E2732" s="3" t="n">
        <v>0</v>
      </c>
      <c r="F2732" s="24" t="n">
        <v>-0.132801548</v>
      </c>
    </row>
    <row r="2733" customFormat="false" ht="15" hidden="false" customHeight="false" outlineLevel="0" collapsed="false">
      <c r="A2733" s="3" t="n">
        <v>2732</v>
      </c>
      <c r="B2733" s="3" t="n">
        <v>2731</v>
      </c>
      <c r="C2733" s="3" t="n">
        <v>13</v>
      </c>
      <c r="D2733" s="3" t="n">
        <v>13</v>
      </c>
      <c r="E2733" s="3" t="n">
        <v>1</v>
      </c>
      <c r="F2733" s="24" t="n">
        <v>-0.329111665</v>
      </c>
    </row>
    <row r="2734" customFormat="false" ht="15" hidden="false" customHeight="false" outlineLevel="0" collapsed="false">
      <c r="A2734" s="3" t="n">
        <v>2733</v>
      </c>
      <c r="B2734" s="3" t="n">
        <v>2732</v>
      </c>
      <c r="C2734" s="3" t="n">
        <v>13</v>
      </c>
      <c r="D2734" s="3" t="n">
        <v>13</v>
      </c>
      <c r="E2734" s="3" t="n">
        <v>2</v>
      </c>
      <c r="F2734" s="24" t="n">
        <v>-0.452643871</v>
      </c>
    </row>
    <row r="2735" customFormat="false" ht="15" hidden="false" customHeight="false" outlineLevel="0" collapsed="false">
      <c r="A2735" s="3" t="n">
        <v>2734</v>
      </c>
      <c r="B2735" s="3" t="n">
        <v>2733</v>
      </c>
      <c r="C2735" s="3" t="n">
        <v>13</v>
      </c>
      <c r="D2735" s="3" t="n">
        <v>13</v>
      </c>
      <c r="E2735" s="3" t="n">
        <v>3</v>
      </c>
      <c r="F2735" s="24" t="n">
        <v>-0.957000673</v>
      </c>
    </row>
    <row r="2736" customFormat="false" ht="15" hidden="false" customHeight="false" outlineLevel="0" collapsed="false">
      <c r="A2736" s="3" t="n">
        <v>2735</v>
      </c>
      <c r="B2736" s="3" t="n">
        <v>2734</v>
      </c>
      <c r="C2736" s="3" t="n">
        <v>13</v>
      </c>
      <c r="D2736" s="3" t="n">
        <v>13</v>
      </c>
      <c r="E2736" s="3" t="n">
        <v>4</v>
      </c>
      <c r="F2736" s="24" t="n">
        <v>-2.59916687</v>
      </c>
    </row>
    <row r="2737" customFormat="false" ht="15" hidden="false" customHeight="false" outlineLevel="0" collapsed="false">
      <c r="A2737" s="3" t="n">
        <v>2736</v>
      </c>
      <c r="B2737" s="3" t="n">
        <v>2735</v>
      </c>
      <c r="C2737" s="3" t="n">
        <v>13</v>
      </c>
      <c r="D2737" s="3" t="n">
        <v>13</v>
      </c>
      <c r="E2737" s="3" t="n">
        <v>5</v>
      </c>
      <c r="F2737" s="24" t="n">
        <v>-1.43106318</v>
      </c>
    </row>
    <row r="2738" customFormat="false" ht="15" hidden="false" customHeight="false" outlineLevel="0" collapsed="false">
      <c r="A2738" s="3" t="n">
        <v>2737</v>
      </c>
      <c r="B2738" s="3" t="n">
        <v>2736</v>
      </c>
      <c r="C2738" s="3" t="n">
        <v>13</v>
      </c>
      <c r="D2738" s="3" t="n">
        <v>13</v>
      </c>
      <c r="E2738" s="3" t="n">
        <v>6</v>
      </c>
      <c r="F2738" s="24" t="n">
        <v>3.79988384</v>
      </c>
    </row>
    <row r="2739" customFormat="false" ht="15" hidden="false" customHeight="false" outlineLevel="0" collapsed="false">
      <c r="A2739" s="3" t="n">
        <v>2738</v>
      </c>
      <c r="B2739" s="3" t="n">
        <v>2737</v>
      </c>
      <c r="C2739" s="3" t="n">
        <v>13</v>
      </c>
      <c r="D2739" s="3" t="n">
        <v>13</v>
      </c>
      <c r="E2739" s="3" t="n">
        <v>7</v>
      </c>
      <c r="F2739" s="24" t="n">
        <v>3.76646304</v>
      </c>
    </row>
    <row r="2740" customFormat="false" ht="15" hidden="false" customHeight="false" outlineLevel="0" collapsed="false">
      <c r="A2740" s="3" t="n">
        <v>2739</v>
      </c>
      <c r="B2740" s="3" t="n">
        <v>2738</v>
      </c>
      <c r="C2740" s="3" t="n">
        <v>13</v>
      </c>
      <c r="D2740" s="3" t="n">
        <v>13</v>
      </c>
      <c r="E2740" s="3" t="n">
        <v>8</v>
      </c>
      <c r="F2740" s="24" t="n">
        <v>0.232587487</v>
      </c>
    </row>
    <row r="2741" customFormat="false" ht="15" hidden="false" customHeight="false" outlineLevel="0" collapsed="false">
      <c r="A2741" s="3" t="n">
        <v>2740</v>
      </c>
      <c r="B2741" s="3" t="n">
        <v>2739</v>
      </c>
      <c r="C2741" s="3" t="n">
        <v>13</v>
      </c>
      <c r="D2741" s="3" t="n">
        <v>13</v>
      </c>
      <c r="E2741" s="3" t="n">
        <v>9</v>
      </c>
      <c r="F2741" s="24" t="n">
        <v>-0.452643871</v>
      </c>
    </row>
    <row r="2742" customFormat="false" ht="15" hidden="false" customHeight="false" outlineLevel="0" collapsed="false">
      <c r="A2742" s="3" t="n">
        <v>2741</v>
      </c>
      <c r="B2742" s="3" t="n">
        <v>2740</v>
      </c>
      <c r="C2742" s="3" t="n">
        <v>13</v>
      </c>
      <c r="D2742" s="3" t="n">
        <v>13</v>
      </c>
      <c r="E2742" s="3" t="n">
        <v>10</v>
      </c>
      <c r="F2742" s="24" t="n">
        <v>-0.452643871</v>
      </c>
    </row>
    <row r="2743" customFormat="false" ht="15" hidden="false" customHeight="false" outlineLevel="0" collapsed="false">
      <c r="A2743" s="3" t="n">
        <v>2742</v>
      </c>
      <c r="B2743" s="3" t="n">
        <v>2741</v>
      </c>
      <c r="C2743" s="3" t="n">
        <v>13</v>
      </c>
      <c r="D2743" s="3" t="n">
        <v>13</v>
      </c>
      <c r="E2743" s="3" t="n">
        <v>11</v>
      </c>
      <c r="F2743" s="24" t="n">
        <v>-0.452643871</v>
      </c>
    </row>
    <row r="2744" customFormat="false" ht="15" hidden="false" customHeight="false" outlineLevel="0" collapsed="false">
      <c r="A2744" s="3" t="n">
        <v>2743</v>
      </c>
      <c r="B2744" s="3" t="n">
        <v>2742</v>
      </c>
      <c r="C2744" s="3" t="n">
        <v>13</v>
      </c>
      <c r="D2744" s="3" t="n">
        <v>13</v>
      </c>
      <c r="E2744" s="3" t="n">
        <v>12</v>
      </c>
      <c r="F2744" s="24" t="n">
        <v>-0.415163517</v>
      </c>
    </row>
    <row r="2745" customFormat="false" ht="15" hidden="false" customHeight="false" outlineLevel="0" collapsed="false">
      <c r="A2745" s="3" t="n">
        <v>2744</v>
      </c>
      <c r="B2745" s="3" t="n">
        <v>2743</v>
      </c>
      <c r="C2745" s="3" t="n">
        <v>13</v>
      </c>
      <c r="D2745" s="3" t="n">
        <v>13</v>
      </c>
      <c r="E2745" s="3" t="n">
        <v>13</v>
      </c>
      <c r="F2745" s="24" t="n">
        <v>-0.269099534</v>
      </c>
    </row>
    <row r="2746" customFormat="false" ht="15" hidden="false" customHeight="false" outlineLevel="0" collapsed="false">
      <c r="A2746" s="3" t="n">
        <v>2745</v>
      </c>
      <c r="B2746" s="3" t="n">
        <v>2744</v>
      </c>
      <c r="C2746" s="3" t="n">
        <v>14</v>
      </c>
      <c r="D2746" s="3" t="n">
        <v>0</v>
      </c>
      <c r="E2746" s="3" t="n">
        <v>0</v>
      </c>
      <c r="F2746" s="24" t="n">
        <v>-1.01536441</v>
      </c>
    </row>
    <row r="2747" customFormat="false" ht="15" hidden="false" customHeight="false" outlineLevel="0" collapsed="false">
      <c r="A2747" s="3" t="n">
        <v>2746</v>
      </c>
      <c r="B2747" s="3" t="n">
        <v>2745</v>
      </c>
      <c r="C2747" s="3" t="n">
        <v>14</v>
      </c>
      <c r="D2747" s="3" t="n">
        <v>0</v>
      </c>
      <c r="E2747" s="3" t="n">
        <v>1</v>
      </c>
      <c r="F2747" s="24" t="n">
        <v>-0.539258718</v>
      </c>
    </row>
    <row r="2748" customFormat="false" ht="15" hidden="false" customHeight="false" outlineLevel="0" collapsed="false">
      <c r="A2748" s="3" t="n">
        <v>2747</v>
      </c>
      <c r="B2748" s="3" t="n">
        <v>2746</v>
      </c>
      <c r="C2748" s="3" t="n">
        <v>14</v>
      </c>
      <c r="D2748" s="3" t="n">
        <v>0</v>
      </c>
      <c r="E2748" s="3" t="n">
        <v>2</v>
      </c>
      <c r="F2748" s="24" t="n">
        <v>-0.386093438</v>
      </c>
    </row>
    <row r="2749" customFormat="false" ht="15" hidden="false" customHeight="false" outlineLevel="0" collapsed="false">
      <c r="A2749" s="3" t="n">
        <v>2748</v>
      </c>
      <c r="B2749" s="3" t="n">
        <v>2747</v>
      </c>
      <c r="C2749" s="3" t="n">
        <v>14</v>
      </c>
      <c r="D2749" s="3" t="n">
        <v>0</v>
      </c>
      <c r="E2749" s="3" t="n">
        <v>3</v>
      </c>
      <c r="F2749" s="24" t="n">
        <v>-0.386093438</v>
      </c>
    </row>
    <row r="2750" customFormat="false" ht="15" hidden="false" customHeight="false" outlineLevel="0" collapsed="false">
      <c r="A2750" s="3" t="n">
        <v>2749</v>
      </c>
      <c r="B2750" s="3" t="n">
        <v>2748</v>
      </c>
      <c r="C2750" s="3" t="n">
        <v>14</v>
      </c>
      <c r="D2750" s="3" t="n">
        <v>0</v>
      </c>
      <c r="E2750" s="3" t="n">
        <v>4</v>
      </c>
      <c r="F2750" s="24" t="n">
        <v>-0.386093438</v>
      </c>
    </row>
    <row r="2751" customFormat="false" ht="15" hidden="false" customHeight="false" outlineLevel="0" collapsed="false">
      <c r="A2751" s="3" t="n">
        <v>2750</v>
      </c>
      <c r="B2751" s="3" t="n">
        <v>2749</v>
      </c>
      <c r="C2751" s="3" t="n">
        <v>14</v>
      </c>
      <c r="D2751" s="3" t="n">
        <v>0</v>
      </c>
      <c r="E2751" s="3" t="n">
        <v>5</v>
      </c>
      <c r="F2751" s="24" t="n">
        <v>-0.386093438</v>
      </c>
    </row>
    <row r="2752" customFormat="false" ht="15" hidden="false" customHeight="false" outlineLevel="0" collapsed="false">
      <c r="A2752" s="3" t="n">
        <v>2751</v>
      </c>
      <c r="B2752" s="3" t="n">
        <v>2750</v>
      </c>
      <c r="C2752" s="3" t="n">
        <v>14</v>
      </c>
      <c r="D2752" s="3" t="n">
        <v>0</v>
      </c>
      <c r="E2752" s="3" t="n">
        <v>6</v>
      </c>
      <c r="F2752" s="24" t="n">
        <v>-0.386093438</v>
      </c>
    </row>
    <row r="2753" customFormat="false" ht="15" hidden="false" customHeight="false" outlineLevel="0" collapsed="false">
      <c r="A2753" s="3" t="n">
        <v>2752</v>
      </c>
      <c r="B2753" s="3" t="n">
        <v>2751</v>
      </c>
      <c r="C2753" s="3" t="n">
        <v>14</v>
      </c>
      <c r="D2753" s="3" t="n">
        <v>0</v>
      </c>
      <c r="E2753" s="3" t="n">
        <v>7</v>
      </c>
      <c r="F2753" s="24" t="n">
        <v>-0.386093438</v>
      </c>
    </row>
    <row r="2754" customFormat="false" ht="15" hidden="false" customHeight="false" outlineLevel="0" collapsed="false">
      <c r="A2754" s="3" t="n">
        <v>2753</v>
      </c>
      <c r="B2754" s="3" t="n">
        <v>2752</v>
      </c>
      <c r="C2754" s="3" t="n">
        <v>14</v>
      </c>
      <c r="D2754" s="3" t="n">
        <v>0</v>
      </c>
      <c r="E2754" s="3" t="n">
        <v>8</v>
      </c>
      <c r="F2754" s="24" t="n">
        <v>-0.386093438</v>
      </c>
    </row>
    <row r="2755" customFormat="false" ht="15" hidden="false" customHeight="false" outlineLevel="0" collapsed="false">
      <c r="A2755" s="3" t="n">
        <v>2754</v>
      </c>
      <c r="B2755" s="3" t="n">
        <v>2753</v>
      </c>
      <c r="C2755" s="3" t="n">
        <v>14</v>
      </c>
      <c r="D2755" s="3" t="n">
        <v>0</v>
      </c>
      <c r="E2755" s="3" t="n">
        <v>9</v>
      </c>
      <c r="F2755" s="24" t="n">
        <v>-0.386093438</v>
      </c>
    </row>
    <row r="2756" customFormat="false" ht="15" hidden="false" customHeight="false" outlineLevel="0" collapsed="false">
      <c r="A2756" s="3" t="n">
        <v>2755</v>
      </c>
      <c r="B2756" s="3" t="n">
        <v>2754</v>
      </c>
      <c r="C2756" s="3" t="n">
        <v>14</v>
      </c>
      <c r="D2756" s="3" t="n">
        <v>0</v>
      </c>
      <c r="E2756" s="3" t="n">
        <v>10</v>
      </c>
      <c r="F2756" s="24" t="n">
        <v>-0.386093438</v>
      </c>
    </row>
    <row r="2757" customFormat="false" ht="15" hidden="false" customHeight="false" outlineLevel="0" collapsed="false">
      <c r="A2757" s="3" t="n">
        <v>2756</v>
      </c>
      <c r="B2757" s="3" t="n">
        <v>2755</v>
      </c>
      <c r="C2757" s="3" t="n">
        <v>14</v>
      </c>
      <c r="D2757" s="3" t="n">
        <v>0</v>
      </c>
      <c r="E2757" s="3" t="n">
        <v>11</v>
      </c>
      <c r="F2757" s="24" t="n">
        <v>-0.386093438</v>
      </c>
    </row>
    <row r="2758" customFormat="false" ht="15" hidden="false" customHeight="false" outlineLevel="0" collapsed="false">
      <c r="A2758" s="3" t="n">
        <v>2757</v>
      </c>
      <c r="B2758" s="3" t="n">
        <v>2756</v>
      </c>
      <c r="C2758" s="3" t="n">
        <v>14</v>
      </c>
      <c r="D2758" s="3" t="n">
        <v>0</v>
      </c>
      <c r="E2758" s="3" t="n">
        <v>12</v>
      </c>
      <c r="F2758" s="24" t="n">
        <v>-0.603540421</v>
      </c>
    </row>
    <row r="2759" customFormat="false" ht="15" hidden="false" customHeight="false" outlineLevel="0" collapsed="false">
      <c r="A2759" s="3" t="n">
        <v>2758</v>
      </c>
      <c r="B2759" s="3" t="n">
        <v>2757</v>
      </c>
      <c r="C2759" s="3" t="n">
        <v>14</v>
      </c>
      <c r="D2759" s="3" t="n">
        <v>0</v>
      </c>
      <c r="E2759" s="3" t="n">
        <v>13</v>
      </c>
      <c r="F2759" s="24" t="n">
        <v>0.424594641</v>
      </c>
    </row>
    <row r="2760" customFormat="false" ht="15" hidden="false" customHeight="false" outlineLevel="0" collapsed="false">
      <c r="A2760" s="3" t="n">
        <v>2759</v>
      </c>
      <c r="B2760" s="3" t="n">
        <v>2758</v>
      </c>
      <c r="C2760" s="3" t="n">
        <v>14</v>
      </c>
      <c r="D2760" s="3" t="n">
        <v>1</v>
      </c>
      <c r="E2760" s="3" t="n">
        <v>0</v>
      </c>
      <c r="F2760" s="24" t="n">
        <v>-0.838619769</v>
      </c>
    </row>
    <row r="2761" customFormat="false" ht="15" hidden="false" customHeight="false" outlineLevel="0" collapsed="false">
      <c r="A2761" s="3" t="n">
        <v>2760</v>
      </c>
      <c r="B2761" s="3" t="n">
        <v>2759</v>
      </c>
      <c r="C2761" s="3" t="n">
        <v>14</v>
      </c>
      <c r="D2761" s="3" t="n">
        <v>1</v>
      </c>
      <c r="E2761" s="3" t="n">
        <v>1</v>
      </c>
      <c r="F2761" s="24" t="n">
        <v>-0.467933208</v>
      </c>
    </row>
    <row r="2762" customFormat="false" ht="15" hidden="false" customHeight="false" outlineLevel="0" collapsed="false">
      <c r="A2762" s="3" t="n">
        <v>2761</v>
      </c>
      <c r="B2762" s="3" t="n">
        <v>2760</v>
      </c>
      <c r="C2762" s="3" t="n">
        <v>14</v>
      </c>
      <c r="D2762" s="3" t="n">
        <v>1</v>
      </c>
      <c r="E2762" s="3" t="n">
        <v>2</v>
      </c>
      <c r="F2762" s="24" t="n">
        <v>-0.359855831</v>
      </c>
    </row>
    <row r="2763" customFormat="false" ht="15" hidden="false" customHeight="false" outlineLevel="0" collapsed="false">
      <c r="A2763" s="3" t="n">
        <v>2762</v>
      </c>
      <c r="B2763" s="3" t="n">
        <v>2761</v>
      </c>
      <c r="C2763" s="3" t="n">
        <v>14</v>
      </c>
      <c r="D2763" s="3" t="n">
        <v>1</v>
      </c>
      <c r="E2763" s="3" t="n">
        <v>3</v>
      </c>
      <c r="F2763" s="24" t="n">
        <v>-0.359855831</v>
      </c>
    </row>
    <row r="2764" customFormat="false" ht="15" hidden="false" customHeight="false" outlineLevel="0" collapsed="false">
      <c r="A2764" s="3" t="n">
        <v>2763</v>
      </c>
      <c r="B2764" s="3" t="n">
        <v>2762</v>
      </c>
      <c r="C2764" s="3" t="n">
        <v>14</v>
      </c>
      <c r="D2764" s="3" t="n">
        <v>1</v>
      </c>
      <c r="E2764" s="3" t="n">
        <v>4</v>
      </c>
      <c r="F2764" s="24" t="n">
        <v>-0.359855831</v>
      </c>
    </row>
    <row r="2765" customFormat="false" ht="15" hidden="false" customHeight="false" outlineLevel="0" collapsed="false">
      <c r="A2765" s="3" t="n">
        <v>2764</v>
      </c>
      <c r="B2765" s="3" t="n">
        <v>2763</v>
      </c>
      <c r="C2765" s="3" t="n">
        <v>14</v>
      </c>
      <c r="D2765" s="3" t="n">
        <v>1</v>
      </c>
      <c r="E2765" s="3" t="n">
        <v>5</v>
      </c>
      <c r="F2765" s="24" t="n">
        <v>-0.359855831</v>
      </c>
    </row>
    <row r="2766" customFormat="false" ht="15" hidden="false" customHeight="false" outlineLevel="0" collapsed="false">
      <c r="A2766" s="3" t="n">
        <v>2765</v>
      </c>
      <c r="B2766" s="3" t="n">
        <v>2764</v>
      </c>
      <c r="C2766" s="3" t="n">
        <v>14</v>
      </c>
      <c r="D2766" s="3" t="n">
        <v>1</v>
      </c>
      <c r="E2766" s="3" t="n">
        <v>6</v>
      </c>
      <c r="F2766" s="24" t="n">
        <v>-0.359855831</v>
      </c>
    </row>
    <row r="2767" customFormat="false" ht="15" hidden="false" customHeight="false" outlineLevel="0" collapsed="false">
      <c r="A2767" s="3" t="n">
        <v>2766</v>
      </c>
      <c r="B2767" s="3" t="n">
        <v>2765</v>
      </c>
      <c r="C2767" s="3" t="n">
        <v>14</v>
      </c>
      <c r="D2767" s="3" t="n">
        <v>1</v>
      </c>
      <c r="E2767" s="3" t="n">
        <v>7</v>
      </c>
      <c r="F2767" s="24" t="n">
        <v>-0.359855831</v>
      </c>
    </row>
    <row r="2768" customFormat="false" ht="15" hidden="false" customHeight="false" outlineLevel="0" collapsed="false">
      <c r="A2768" s="3" t="n">
        <v>2767</v>
      </c>
      <c r="B2768" s="3" t="n">
        <v>2766</v>
      </c>
      <c r="C2768" s="3" t="n">
        <v>14</v>
      </c>
      <c r="D2768" s="3" t="n">
        <v>1</v>
      </c>
      <c r="E2768" s="3" t="n">
        <v>8</v>
      </c>
      <c r="F2768" s="24" t="n">
        <v>-0.359855831</v>
      </c>
    </row>
    <row r="2769" customFormat="false" ht="15" hidden="false" customHeight="false" outlineLevel="0" collapsed="false">
      <c r="A2769" s="3" t="n">
        <v>2768</v>
      </c>
      <c r="B2769" s="3" t="n">
        <v>2767</v>
      </c>
      <c r="C2769" s="3" t="n">
        <v>14</v>
      </c>
      <c r="D2769" s="3" t="n">
        <v>1</v>
      </c>
      <c r="E2769" s="3" t="n">
        <v>9</v>
      </c>
      <c r="F2769" s="24" t="n">
        <v>-0.359855831</v>
      </c>
    </row>
    <row r="2770" customFormat="false" ht="15" hidden="false" customHeight="false" outlineLevel="0" collapsed="false">
      <c r="A2770" s="3" t="n">
        <v>2769</v>
      </c>
      <c r="B2770" s="3" t="n">
        <v>2768</v>
      </c>
      <c r="C2770" s="3" t="n">
        <v>14</v>
      </c>
      <c r="D2770" s="3" t="n">
        <v>1</v>
      </c>
      <c r="E2770" s="3" t="n">
        <v>10</v>
      </c>
      <c r="F2770" s="24" t="n">
        <v>-0.359855831</v>
      </c>
    </row>
    <row r="2771" customFormat="false" ht="15" hidden="false" customHeight="false" outlineLevel="0" collapsed="false">
      <c r="A2771" s="3" t="n">
        <v>2770</v>
      </c>
      <c r="B2771" s="3" t="n">
        <v>2769</v>
      </c>
      <c r="C2771" s="3" t="n">
        <v>14</v>
      </c>
      <c r="D2771" s="3" t="n">
        <v>1</v>
      </c>
      <c r="E2771" s="3" t="n">
        <v>11</v>
      </c>
      <c r="F2771" s="24" t="n">
        <v>-0.359855831</v>
      </c>
    </row>
    <row r="2772" customFormat="false" ht="15" hidden="false" customHeight="false" outlineLevel="0" collapsed="false">
      <c r="A2772" s="3" t="n">
        <v>2771</v>
      </c>
      <c r="B2772" s="3" t="n">
        <v>2770</v>
      </c>
      <c r="C2772" s="3" t="n">
        <v>14</v>
      </c>
      <c r="D2772" s="3" t="n">
        <v>1</v>
      </c>
      <c r="E2772" s="3" t="n">
        <v>12</v>
      </c>
      <c r="F2772" s="24" t="n">
        <v>-0.720025063</v>
      </c>
    </row>
    <row r="2773" customFormat="false" ht="15" hidden="false" customHeight="false" outlineLevel="0" collapsed="false">
      <c r="A2773" s="3" t="n">
        <v>2772</v>
      </c>
      <c r="B2773" s="3" t="n">
        <v>2771</v>
      </c>
      <c r="C2773" s="3" t="n">
        <v>14</v>
      </c>
      <c r="D2773" s="3" t="n">
        <v>1</v>
      </c>
      <c r="E2773" s="3" t="n">
        <v>13</v>
      </c>
      <c r="F2773" s="24" t="n">
        <v>0.147645652</v>
      </c>
    </row>
    <row r="2774" customFormat="false" ht="15" hidden="false" customHeight="false" outlineLevel="0" collapsed="false">
      <c r="A2774" s="3" t="n">
        <v>2773</v>
      </c>
      <c r="B2774" s="3" t="n">
        <v>2772</v>
      </c>
      <c r="C2774" s="3" t="n">
        <v>14</v>
      </c>
      <c r="D2774" s="3" t="n">
        <v>2</v>
      </c>
      <c r="E2774" s="3" t="n">
        <v>0</v>
      </c>
      <c r="F2774" s="24" t="n">
        <v>-0.838891208</v>
      </c>
    </row>
    <row r="2775" customFormat="false" ht="15" hidden="false" customHeight="false" outlineLevel="0" collapsed="false">
      <c r="A2775" s="3" t="n">
        <v>2774</v>
      </c>
      <c r="B2775" s="3" t="n">
        <v>2773</v>
      </c>
      <c r="C2775" s="3" t="n">
        <v>14</v>
      </c>
      <c r="D2775" s="3" t="n">
        <v>2</v>
      </c>
      <c r="E2775" s="3" t="n">
        <v>1</v>
      </c>
      <c r="F2775" s="24" t="n">
        <v>-2.22770309</v>
      </c>
    </row>
    <row r="2776" customFormat="false" ht="15" hidden="false" customHeight="false" outlineLevel="0" collapsed="false">
      <c r="A2776" s="3" t="n">
        <v>2775</v>
      </c>
      <c r="B2776" s="3" t="n">
        <v>2774</v>
      </c>
      <c r="C2776" s="3" t="n">
        <v>14</v>
      </c>
      <c r="D2776" s="3" t="n">
        <v>2</v>
      </c>
      <c r="E2776" s="3" t="n">
        <v>2</v>
      </c>
      <c r="F2776" s="24" t="n">
        <v>-4.46363211</v>
      </c>
    </row>
    <row r="2777" customFormat="false" ht="15" hidden="false" customHeight="false" outlineLevel="0" collapsed="false">
      <c r="A2777" s="3" t="n">
        <v>2776</v>
      </c>
      <c r="B2777" s="3" t="n">
        <v>2775</v>
      </c>
      <c r="C2777" s="3" t="n">
        <v>14</v>
      </c>
      <c r="D2777" s="3" t="n">
        <v>2</v>
      </c>
      <c r="E2777" s="3" t="n">
        <v>3</v>
      </c>
      <c r="F2777" s="24" t="n">
        <v>-4.78000736</v>
      </c>
    </row>
    <row r="2778" customFormat="false" ht="15" hidden="false" customHeight="false" outlineLevel="0" collapsed="false">
      <c r="A2778" s="3" t="n">
        <v>2777</v>
      </c>
      <c r="B2778" s="3" t="n">
        <v>2776</v>
      </c>
      <c r="C2778" s="3" t="n">
        <v>14</v>
      </c>
      <c r="D2778" s="3" t="n">
        <v>2</v>
      </c>
      <c r="E2778" s="3" t="n">
        <v>4</v>
      </c>
      <c r="F2778" s="24" t="n">
        <v>-6.2967205</v>
      </c>
    </row>
    <row r="2779" customFormat="false" ht="15" hidden="false" customHeight="false" outlineLevel="0" collapsed="false">
      <c r="A2779" s="3" t="n">
        <v>2778</v>
      </c>
      <c r="B2779" s="3" t="n">
        <v>2777</v>
      </c>
      <c r="C2779" s="3" t="n">
        <v>14</v>
      </c>
      <c r="D2779" s="3" t="n">
        <v>2</v>
      </c>
      <c r="E2779" s="3" t="n">
        <v>5</v>
      </c>
      <c r="F2779" s="24" t="n">
        <v>-6.22785473</v>
      </c>
    </row>
    <row r="2780" customFormat="false" ht="15" hidden="false" customHeight="false" outlineLevel="0" collapsed="false">
      <c r="A2780" s="3" t="n">
        <v>2779</v>
      </c>
      <c r="B2780" s="3" t="n">
        <v>2778</v>
      </c>
      <c r="C2780" s="3" t="n">
        <v>14</v>
      </c>
      <c r="D2780" s="3" t="n">
        <v>2</v>
      </c>
      <c r="E2780" s="3" t="n">
        <v>6</v>
      </c>
      <c r="F2780" s="24" t="n">
        <v>-5.18277693</v>
      </c>
    </row>
    <row r="2781" customFormat="false" ht="15" hidden="false" customHeight="false" outlineLevel="0" collapsed="false">
      <c r="A2781" s="3" t="n">
        <v>2780</v>
      </c>
      <c r="B2781" s="3" t="n">
        <v>2779</v>
      </c>
      <c r="C2781" s="3" t="n">
        <v>14</v>
      </c>
      <c r="D2781" s="3" t="n">
        <v>2</v>
      </c>
      <c r="E2781" s="3" t="n">
        <v>7</v>
      </c>
      <c r="F2781" s="24" t="n">
        <v>-4.49933481</v>
      </c>
    </row>
    <row r="2782" customFormat="false" ht="15" hidden="false" customHeight="false" outlineLevel="0" collapsed="false">
      <c r="A2782" s="3" t="n">
        <v>2781</v>
      </c>
      <c r="B2782" s="3" t="n">
        <v>2780</v>
      </c>
      <c r="C2782" s="3" t="n">
        <v>14</v>
      </c>
      <c r="D2782" s="3" t="n">
        <v>2</v>
      </c>
      <c r="E2782" s="3" t="n">
        <v>8</v>
      </c>
      <c r="F2782" s="24" t="n">
        <v>-4.41186571</v>
      </c>
    </row>
    <row r="2783" customFormat="false" ht="15" hidden="false" customHeight="false" outlineLevel="0" collapsed="false">
      <c r="A2783" s="3" t="n">
        <v>2782</v>
      </c>
      <c r="B2783" s="3" t="n">
        <v>2781</v>
      </c>
      <c r="C2783" s="3" t="n">
        <v>14</v>
      </c>
      <c r="D2783" s="3" t="n">
        <v>2</v>
      </c>
      <c r="E2783" s="3" t="n">
        <v>9</v>
      </c>
      <c r="F2783" s="24" t="n">
        <v>-3.88019109</v>
      </c>
    </row>
    <row r="2784" customFormat="false" ht="15" hidden="false" customHeight="false" outlineLevel="0" collapsed="false">
      <c r="A2784" s="3" t="n">
        <v>2783</v>
      </c>
      <c r="B2784" s="3" t="n">
        <v>2782</v>
      </c>
      <c r="C2784" s="3" t="n">
        <v>14</v>
      </c>
      <c r="D2784" s="3" t="n">
        <v>2</v>
      </c>
      <c r="E2784" s="3" t="n">
        <v>10</v>
      </c>
      <c r="F2784" s="24" t="n">
        <v>-2.68707037</v>
      </c>
    </row>
    <row r="2785" customFormat="false" ht="15" hidden="false" customHeight="false" outlineLevel="0" collapsed="false">
      <c r="A2785" s="3" t="n">
        <v>2784</v>
      </c>
      <c r="B2785" s="3" t="n">
        <v>2783</v>
      </c>
      <c r="C2785" s="3" t="n">
        <v>14</v>
      </c>
      <c r="D2785" s="3" t="n">
        <v>2</v>
      </c>
      <c r="E2785" s="3" t="n">
        <v>11</v>
      </c>
      <c r="F2785" s="24" t="n">
        <v>-1.19772959</v>
      </c>
    </row>
    <row r="2786" customFormat="false" ht="15" hidden="false" customHeight="false" outlineLevel="0" collapsed="false">
      <c r="A2786" s="3" t="n">
        <v>2785</v>
      </c>
      <c r="B2786" s="3" t="n">
        <v>2784</v>
      </c>
      <c r="C2786" s="3" t="n">
        <v>14</v>
      </c>
      <c r="D2786" s="3" t="n">
        <v>2</v>
      </c>
      <c r="E2786" s="3" t="n">
        <v>12</v>
      </c>
      <c r="F2786" s="24" t="n">
        <v>-0.728162289</v>
      </c>
    </row>
    <row r="2787" customFormat="false" ht="15" hidden="false" customHeight="false" outlineLevel="0" collapsed="false">
      <c r="A2787" s="3" t="n">
        <v>2786</v>
      </c>
      <c r="B2787" s="3" t="n">
        <v>2785</v>
      </c>
      <c r="C2787" s="3" t="n">
        <v>14</v>
      </c>
      <c r="D2787" s="3" t="n">
        <v>2</v>
      </c>
      <c r="E2787" s="3" t="n">
        <v>13</v>
      </c>
      <c r="F2787" s="24" t="n">
        <v>0.171683058</v>
      </c>
    </row>
    <row r="2788" customFormat="false" ht="15" hidden="false" customHeight="false" outlineLevel="0" collapsed="false">
      <c r="A2788" s="3" t="n">
        <v>2787</v>
      </c>
      <c r="B2788" s="3" t="n">
        <v>2786</v>
      </c>
      <c r="C2788" s="3" t="n">
        <v>14</v>
      </c>
      <c r="D2788" s="3" t="n">
        <v>3</v>
      </c>
      <c r="E2788" s="3" t="n">
        <v>0</v>
      </c>
      <c r="F2788" s="24" t="n">
        <v>-0.838891208</v>
      </c>
    </row>
    <row r="2789" customFormat="false" ht="15" hidden="false" customHeight="false" outlineLevel="0" collapsed="false">
      <c r="A2789" s="3" t="n">
        <v>2788</v>
      </c>
      <c r="B2789" s="3" t="n">
        <v>2787</v>
      </c>
      <c r="C2789" s="3" t="n">
        <v>14</v>
      </c>
      <c r="D2789" s="3" t="n">
        <v>3</v>
      </c>
      <c r="E2789" s="3" t="n">
        <v>1</v>
      </c>
      <c r="F2789" s="24" t="n">
        <v>-2.93000507</v>
      </c>
    </row>
    <row r="2790" customFormat="false" ht="15" hidden="false" customHeight="false" outlineLevel="0" collapsed="false">
      <c r="A2790" s="3" t="n">
        <v>2789</v>
      </c>
      <c r="B2790" s="3" t="n">
        <v>2788</v>
      </c>
      <c r="C2790" s="3" t="n">
        <v>14</v>
      </c>
      <c r="D2790" s="3" t="n">
        <v>3</v>
      </c>
      <c r="E2790" s="3" t="n">
        <v>2</v>
      </c>
      <c r="F2790" s="24" t="n">
        <v>-5.98626757</v>
      </c>
    </row>
    <row r="2791" customFormat="false" ht="15" hidden="false" customHeight="false" outlineLevel="0" collapsed="false">
      <c r="A2791" s="3" t="n">
        <v>2790</v>
      </c>
      <c r="B2791" s="3" t="n">
        <v>2789</v>
      </c>
      <c r="C2791" s="3" t="n">
        <v>14</v>
      </c>
      <c r="D2791" s="3" t="n">
        <v>3</v>
      </c>
      <c r="E2791" s="3" t="n">
        <v>3</v>
      </c>
      <c r="F2791" s="24" t="n">
        <v>-4.17775154</v>
      </c>
    </row>
    <row r="2792" customFormat="false" ht="15" hidden="false" customHeight="false" outlineLevel="0" collapsed="false">
      <c r="A2792" s="3" t="n">
        <v>2791</v>
      </c>
      <c r="B2792" s="3" t="n">
        <v>2790</v>
      </c>
      <c r="C2792" s="3" t="n">
        <v>14</v>
      </c>
      <c r="D2792" s="3" t="n">
        <v>3</v>
      </c>
      <c r="E2792" s="3" t="n">
        <v>4</v>
      </c>
      <c r="F2792" s="24" t="n">
        <v>-6.03474951</v>
      </c>
    </row>
    <row r="2793" customFormat="false" ht="15" hidden="false" customHeight="false" outlineLevel="0" collapsed="false">
      <c r="A2793" s="3" t="n">
        <v>2792</v>
      </c>
      <c r="B2793" s="3" t="n">
        <v>2791</v>
      </c>
      <c r="C2793" s="3" t="n">
        <v>14</v>
      </c>
      <c r="D2793" s="3" t="n">
        <v>3</v>
      </c>
      <c r="E2793" s="3" t="n">
        <v>5</v>
      </c>
      <c r="F2793" s="24" t="n">
        <v>-9.18783569</v>
      </c>
    </row>
    <row r="2794" customFormat="false" ht="15" hidden="false" customHeight="false" outlineLevel="0" collapsed="false">
      <c r="A2794" s="3" t="n">
        <v>2793</v>
      </c>
      <c r="B2794" s="3" t="n">
        <v>2792</v>
      </c>
      <c r="C2794" s="3" t="n">
        <v>14</v>
      </c>
      <c r="D2794" s="3" t="n">
        <v>3</v>
      </c>
      <c r="E2794" s="3" t="n">
        <v>6</v>
      </c>
      <c r="F2794" s="24" t="n">
        <v>-9.8208952</v>
      </c>
    </row>
    <row r="2795" customFormat="false" ht="15" hidden="false" customHeight="false" outlineLevel="0" collapsed="false">
      <c r="A2795" s="3" t="n">
        <v>2794</v>
      </c>
      <c r="B2795" s="3" t="n">
        <v>2793</v>
      </c>
      <c r="C2795" s="3" t="n">
        <v>14</v>
      </c>
      <c r="D2795" s="3" t="n">
        <v>3</v>
      </c>
      <c r="E2795" s="3" t="n">
        <v>7</v>
      </c>
      <c r="F2795" s="24" t="n">
        <v>-9.14447975</v>
      </c>
    </row>
    <row r="2796" customFormat="false" ht="15" hidden="false" customHeight="false" outlineLevel="0" collapsed="false">
      <c r="A2796" s="3" t="n">
        <v>2795</v>
      </c>
      <c r="B2796" s="3" t="n">
        <v>2794</v>
      </c>
      <c r="C2796" s="3" t="n">
        <v>14</v>
      </c>
      <c r="D2796" s="3" t="n">
        <v>3</v>
      </c>
      <c r="E2796" s="3" t="n">
        <v>8</v>
      </c>
      <c r="F2796" s="24" t="n">
        <v>-9.68851471</v>
      </c>
    </row>
    <row r="2797" customFormat="false" ht="15" hidden="false" customHeight="false" outlineLevel="0" collapsed="false">
      <c r="A2797" s="3" t="n">
        <v>2796</v>
      </c>
      <c r="B2797" s="3" t="n">
        <v>2795</v>
      </c>
      <c r="C2797" s="3" t="n">
        <v>14</v>
      </c>
      <c r="D2797" s="3" t="n">
        <v>3</v>
      </c>
      <c r="E2797" s="3" t="n">
        <v>9</v>
      </c>
      <c r="F2797" s="24" t="n">
        <v>-7.45472336</v>
      </c>
    </row>
    <row r="2798" customFormat="false" ht="15" hidden="false" customHeight="false" outlineLevel="0" collapsed="false">
      <c r="A2798" s="3" t="n">
        <v>2797</v>
      </c>
      <c r="B2798" s="3" t="n">
        <v>2796</v>
      </c>
      <c r="C2798" s="3" t="n">
        <v>14</v>
      </c>
      <c r="D2798" s="3" t="n">
        <v>3</v>
      </c>
      <c r="E2798" s="3" t="n">
        <v>10</v>
      </c>
      <c r="F2798" s="24" t="n">
        <v>-4.9701643</v>
      </c>
    </row>
    <row r="2799" customFormat="false" ht="15" hidden="false" customHeight="false" outlineLevel="0" collapsed="false">
      <c r="A2799" s="3" t="n">
        <v>2798</v>
      </c>
      <c r="B2799" s="3" t="n">
        <v>2797</v>
      </c>
      <c r="C2799" s="3" t="n">
        <v>14</v>
      </c>
      <c r="D2799" s="3" t="n">
        <v>3</v>
      </c>
      <c r="E2799" s="3" t="n">
        <v>11</v>
      </c>
      <c r="F2799" s="24" t="n">
        <v>-2.83301139</v>
      </c>
    </row>
    <row r="2800" customFormat="false" ht="15" hidden="false" customHeight="false" outlineLevel="0" collapsed="false">
      <c r="A2800" s="3" t="n">
        <v>2799</v>
      </c>
      <c r="B2800" s="3" t="n">
        <v>2798</v>
      </c>
      <c r="C2800" s="3" t="n">
        <v>14</v>
      </c>
      <c r="D2800" s="3" t="n">
        <v>3</v>
      </c>
      <c r="E2800" s="3" t="n">
        <v>12</v>
      </c>
      <c r="F2800" s="24" t="n">
        <v>-1.02783895</v>
      </c>
    </row>
    <row r="2801" customFormat="false" ht="15" hidden="false" customHeight="false" outlineLevel="0" collapsed="false">
      <c r="A2801" s="3" t="n">
        <v>2800</v>
      </c>
      <c r="B2801" s="3" t="n">
        <v>2799</v>
      </c>
      <c r="C2801" s="3" t="n">
        <v>14</v>
      </c>
      <c r="D2801" s="3" t="n">
        <v>3</v>
      </c>
      <c r="E2801" s="3" t="n">
        <v>13</v>
      </c>
      <c r="F2801" s="24" t="n">
        <v>0.171683058</v>
      </c>
    </row>
    <row r="2802" customFormat="false" ht="15" hidden="false" customHeight="false" outlineLevel="0" collapsed="false">
      <c r="A2802" s="3" t="n">
        <v>2801</v>
      </c>
      <c r="B2802" s="3" t="n">
        <v>2800</v>
      </c>
      <c r="C2802" s="3" t="n">
        <v>14</v>
      </c>
      <c r="D2802" s="3" t="n">
        <v>4</v>
      </c>
      <c r="E2802" s="3" t="n">
        <v>0</v>
      </c>
      <c r="F2802" s="24" t="n">
        <v>-0.838891208</v>
      </c>
    </row>
    <row r="2803" customFormat="false" ht="15" hidden="false" customHeight="false" outlineLevel="0" collapsed="false">
      <c r="A2803" s="3" t="n">
        <v>2802</v>
      </c>
      <c r="B2803" s="3" t="n">
        <v>2801</v>
      </c>
      <c r="C2803" s="3" t="n">
        <v>14</v>
      </c>
      <c r="D2803" s="3" t="n">
        <v>4</v>
      </c>
      <c r="E2803" s="3" t="n">
        <v>1</v>
      </c>
      <c r="F2803" s="24" t="n">
        <v>-2.32917476</v>
      </c>
    </row>
    <row r="2804" customFormat="false" ht="15" hidden="false" customHeight="false" outlineLevel="0" collapsed="false">
      <c r="A2804" s="3" t="n">
        <v>2803</v>
      </c>
      <c r="B2804" s="3" t="n">
        <v>2802</v>
      </c>
      <c r="C2804" s="3" t="n">
        <v>14</v>
      </c>
      <c r="D2804" s="3" t="n">
        <v>4</v>
      </c>
      <c r="E2804" s="3" t="n">
        <v>2</v>
      </c>
      <c r="F2804" s="24" t="n">
        <v>-5.17387009</v>
      </c>
    </row>
    <row r="2805" customFormat="false" ht="15" hidden="false" customHeight="false" outlineLevel="0" collapsed="false">
      <c r="A2805" s="3" t="n">
        <v>2804</v>
      </c>
      <c r="B2805" s="3" t="n">
        <v>2803</v>
      </c>
      <c r="C2805" s="3" t="n">
        <v>14</v>
      </c>
      <c r="D2805" s="3" t="n">
        <v>4</v>
      </c>
      <c r="E2805" s="3" t="n">
        <v>3</v>
      </c>
      <c r="F2805" s="24" t="n">
        <v>-1.62251365</v>
      </c>
    </row>
    <row r="2806" customFormat="false" ht="15" hidden="false" customHeight="false" outlineLevel="0" collapsed="false">
      <c r="A2806" s="3" t="n">
        <v>2805</v>
      </c>
      <c r="B2806" s="3" t="n">
        <v>2804</v>
      </c>
      <c r="C2806" s="3" t="n">
        <v>14</v>
      </c>
      <c r="D2806" s="3" t="n">
        <v>4</v>
      </c>
      <c r="E2806" s="3" t="n">
        <v>4</v>
      </c>
      <c r="F2806" s="24" t="n">
        <v>0.0439723842</v>
      </c>
    </row>
    <row r="2807" customFormat="false" ht="15" hidden="false" customHeight="false" outlineLevel="0" collapsed="false">
      <c r="A2807" s="3" t="n">
        <v>2806</v>
      </c>
      <c r="B2807" s="3" t="n">
        <v>2805</v>
      </c>
      <c r="C2807" s="3" t="n">
        <v>14</v>
      </c>
      <c r="D2807" s="3" t="n">
        <v>4</v>
      </c>
      <c r="E2807" s="3" t="n">
        <v>5</v>
      </c>
      <c r="F2807" s="24" t="n">
        <v>-2.7883997</v>
      </c>
    </row>
    <row r="2808" customFormat="false" ht="15" hidden="false" customHeight="false" outlineLevel="0" collapsed="false">
      <c r="A2808" s="3" t="n">
        <v>2807</v>
      </c>
      <c r="B2808" s="3" t="n">
        <v>2806</v>
      </c>
      <c r="C2808" s="3" t="n">
        <v>14</v>
      </c>
      <c r="D2808" s="3" t="n">
        <v>4</v>
      </c>
      <c r="E2808" s="3" t="n">
        <v>6</v>
      </c>
      <c r="F2808" s="24" t="n">
        <v>-3.75643134</v>
      </c>
    </row>
    <row r="2809" customFormat="false" ht="15" hidden="false" customHeight="false" outlineLevel="0" collapsed="false">
      <c r="A2809" s="3" t="n">
        <v>2808</v>
      </c>
      <c r="B2809" s="3" t="n">
        <v>2807</v>
      </c>
      <c r="C2809" s="3" t="n">
        <v>14</v>
      </c>
      <c r="D2809" s="3" t="n">
        <v>4</v>
      </c>
      <c r="E2809" s="3" t="n">
        <v>7</v>
      </c>
      <c r="F2809" s="24" t="n">
        <v>-5.64347506</v>
      </c>
    </row>
    <row r="2810" customFormat="false" ht="15" hidden="false" customHeight="false" outlineLevel="0" collapsed="false">
      <c r="A2810" s="3" t="n">
        <v>2809</v>
      </c>
      <c r="B2810" s="3" t="n">
        <v>2808</v>
      </c>
      <c r="C2810" s="3" t="n">
        <v>14</v>
      </c>
      <c r="D2810" s="3" t="n">
        <v>4</v>
      </c>
      <c r="E2810" s="3" t="n">
        <v>8</v>
      </c>
      <c r="F2810" s="24" t="n">
        <v>-6.07007313</v>
      </c>
    </row>
    <row r="2811" customFormat="false" ht="15" hidden="false" customHeight="false" outlineLevel="0" collapsed="false">
      <c r="A2811" s="3" t="n">
        <v>2810</v>
      </c>
      <c r="B2811" s="3" t="n">
        <v>2809</v>
      </c>
      <c r="C2811" s="3" t="n">
        <v>14</v>
      </c>
      <c r="D2811" s="3" t="n">
        <v>4</v>
      </c>
      <c r="E2811" s="3" t="n">
        <v>9</v>
      </c>
      <c r="F2811" s="24" t="n">
        <v>-0.884661615</v>
      </c>
    </row>
    <row r="2812" customFormat="false" ht="15" hidden="false" customHeight="false" outlineLevel="0" collapsed="false">
      <c r="A2812" s="3" t="n">
        <v>2811</v>
      </c>
      <c r="B2812" s="3" t="n">
        <v>2810</v>
      </c>
      <c r="C2812" s="3" t="n">
        <v>14</v>
      </c>
      <c r="D2812" s="3" t="n">
        <v>4</v>
      </c>
      <c r="E2812" s="3" t="n">
        <v>10</v>
      </c>
      <c r="F2812" s="24" t="n">
        <v>-0.803271592</v>
      </c>
    </row>
    <row r="2813" customFormat="false" ht="15" hidden="false" customHeight="false" outlineLevel="0" collapsed="false">
      <c r="A2813" s="3" t="n">
        <v>2812</v>
      </c>
      <c r="B2813" s="3" t="n">
        <v>2811</v>
      </c>
      <c r="C2813" s="3" t="n">
        <v>14</v>
      </c>
      <c r="D2813" s="3" t="n">
        <v>4</v>
      </c>
      <c r="E2813" s="3" t="n">
        <v>11</v>
      </c>
      <c r="F2813" s="24" t="n">
        <v>-1.98628891</v>
      </c>
    </row>
    <row r="2814" customFormat="false" ht="15" hidden="false" customHeight="false" outlineLevel="0" collapsed="false">
      <c r="A2814" s="3" t="n">
        <v>2813</v>
      </c>
      <c r="B2814" s="3" t="n">
        <v>2812</v>
      </c>
      <c r="C2814" s="3" t="n">
        <v>14</v>
      </c>
      <c r="D2814" s="3" t="n">
        <v>4</v>
      </c>
      <c r="E2814" s="3" t="n">
        <v>12</v>
      </c>
      <c r="F2814" s="24" t="n">
        <v>-1.18470788</v>
      </c>
    </row>
    <row r="2815" customFormat="false" ht="15" hidden="false" customHeight="false" outlineLevel="0" collapsed="false">
      <c r="A2815" s="3" t="n">
        <v>2814</v>
      </c>
      <c r="B2815" s="3" t="n">
        <v>2813</v>
      </c>
      <c r="C2815" s="3" t="n">
        <v>14</v>
      </c>
      <c r="D2815" s="3" t="n">
        <v>4</v>
      </c>
      <c r="E2815" s="3" t="n">
        <v>13</v>
      </c>
      <c r="F2815" s="24" t="n">
        <v>0.171683058</v>
      </c>
    </row>
    <row r="2816" customFormat="false" ht="15" hidden="false" customHeight="false" outlineLevel="0" collapsed="false">
      <c r="A2816" s="3" t="n">
        <v>2815</v>
      </c>
      <c r="B2816" s="3" t="n">
        <v>2814</v>
      </c>
      <c r="C2816" s="3" t="n">
        <v>14</v>
      </c>
      <c r="D2816" s="3" t="n">
        <v>5</v>
      </c>
      <c r="E2816" s="3" t="n">
        <v>0</v>
      </c>
      <c r="F2816" s="24" t="n">
        <v>-0.838891208</v>
      </c>
    </row>
    <row r="2817" customFormat="false" ht="15" hidden="false" customHeight="false" outlineLevel="0" collapsed="false">
      <c r="A2817" s="3" t="n">
        <v>2816</v>
      </c>
      <c r="B2817" s="3" t="n">
        <v>2815</v>
      </c>
      <c r="C2817" s="3" t="n">
        <v>14</v>
      </c>
      <c r="D2817" s="3" t="n">
        <v>5</v>
      </c>
      <c r="E2817" s="3" t="n">
        <v>1</v>
      </c>
      <c r="F2817" s="24" t="n">
        <v>-1.31001592</v>
      </c>
    </row>
    <row r="2818" customFormat="false" ht="15" hidden="false" customHeight="false" outlineLevel="0" collapsed="false">
      <c r="A2818" s="3" t="n">
        <v>2817</v>
      </c>
      <c r="B2818" s="3" t="n">
        <v>2816</v>
      </c>
      <c r="C2818" s="3" t="n">
        <v>14</v>
      </c>
      <c r="D2818" s="3" t="n">
        <v>5</v>
      </c>
      <c r="E2818" s="3" t="n">
        <v>2</v>
      </c>
      <c r="F2818" s="24" t="n">
        <v>-1.291798</v>
      </c>
    </row>
    <row r="2819" customFormat="false" ht="15" hidden="false" customHeight="false" outlineLevel="0" collapsed="false">
      <c r="A2819" s="3" t="n">
        <v>2818</v>
      </c>
      <c r="B2819" s="3" t="n">
        <v>2817</v>
      </c>
      <c r="C2819" s="3" t="n">
        <v>14</v>
      </c>
      <c r="D2819" s="3" t="n">
        <v>5</v>
      </c>
      <c r="E2819" s="3" t="n">
        <v>3</v>
      </c>
      <c r="F2819" s="24" t="n">
        <v>1.54326844</v>
      </c>
    </row>
    <row r="2820" customFormat="false" ht="15" hidden="false" customHeight="false" outlineLevel="0" collapsed="false">
      <c r="A2820" s="3" t="n">
        <v>2819</v>
      </c>
      <c r="B2820" s="3" t="n">
        <v>2818</v>
      </c>
      <c r="C2820" s="3" t="n">
        <v>14</v>
      </c>
      <c r="D2820" s="3" t="n">
        <v>5</v>
      </c>
      <c r="E2820" s="3" t="n">
        <v>4</v>
      </c>
      <c r="F2820" s="24" t="n">
        <v>1.10371995</v>
      </c>
    </row>
    <row r="2821" customFormat="false" ht="15" hidden="false" customHeight="false" outlineLevel="0" collapsed="false">
      <c r="A2821" s="3" t="n">
        <v>2820</v>
      </c>
      <c r="B2821" s="3" t="n">
        <v>2819</v>
      </c>
      <c r="C2821" s="3" t="n">
        <v>14</v>
      </c>
      <c r="D2821" s="3" t="n">
        <v>5</v>
      </c>
      <c r="E2821" s="3" t="n">
        <v>5</v>
      </c>
      <c r="F2821" s="24" t="n">
        <v>-0.104321651</v>
      </c>
    </row>
    <row r="2822" customFormat="false" ht="15" hidden="false" customHeight="false" outlineLevel="0" collapsed="false">
      <c r="A2822" s="3" t="n">
        <v>2821</v>
      </c>
      <c r="B2822" s="3" t="n">
        <v>2820</v>
      </c>
      <c r="C2822" s="3" t="n">
        <v>14</v>
      </c>
      <c r="D2822" s="3" t="n">
        <v>5</v>
      </c>
      <c r="E2822" s="3" t="n">
        <v>6</v>
      </c>
      <c r="F2822" s="24" t="n">
        <v>1.19547737</v>
      </c>
    </row>
    <row r="2823" customFormat="false" ht="15" hidden="false" customHeight="false" outlineLevel="0" collapsed="false">
      <c r="A2823" s="3" t="n">
        <v>2822</v>
      </c>
      <c r="B2823" s="3" t="n">
        <v>2821</v>
      </c>
      <c r="C2823" s="3" t="n">
        <v>14</v>
      </c>
      <c r="D2823" s="3" t="n">
        <v>5</v>
      </c>
      <c r="E2823" s="3" t="n">
        <v>7</v>
      </c>
      <c r="F2823" s="24" t="n">
        <v>-1.87279093</v>
      </c>
    </row>
    <row r="2824" customFormat="false" ht="15" hidden="false" customHeight="false" outlineLevel="0" collapsed="false">
      <c r="A2824" s="3" t="n">
        <v>2823</v>
      </c>
      <c r="B2824" s="3" t="n">
        <v>2822</v>
      </c>
      <c r="C2824" s="3" t="n">
        <v>14</v>
      </c>
      <c r="D2824" s="3" t="n">
        <v>5</v>
      </c>
      <c r="E2824" s="3" t="n">
        <v>8</v>
      </c>
      <c r="F2824" s="24" t="n">
        <v>0.0865249336</v>
      </c>
    </row>
    <row r="2825" customFormat="false" ht="15" hidden="false" customHeight="false" outlineLevel="0" collapsed="false">
      <c r="A2825" s="3" t="n">
        <v>2824</v>
      </c>
      <c r="B2825" s="3" t="n">
        <v>2823</v>
      </c>
      <c r="C2825" s="3" t="n">
        <v>14</v>
      </c>
      <c r="D2825" s="3" t="n">
        <v>5</v>
      </c>
      <c r="E2825" s="3" t="n">
        <v>9</v>
      </c>
      <c r="F2825" s="24" t="n">
        <v>3.62635636</v>
      </c>
    </row>
    <row r="2826" customFormat="false" ht="15" hidden="false" customHeight="false" outlineLevel="0" collapsed="false">
      <c r="A2826" s="3" t="n">
        <v>2825</v>
      </c>
      <c r="B2826" s="3" t="n">
        <v>2824</v>
      </c>
      <c r="C2826" s="3" t="n">
        <v>14</v>
      </c>
      <c r="D2826" s="3" t="n">
        <v>5</v>
      </c>
      <c r="E2826" s="3" t="n">
        <v>10</v>
      </c>
      <c r="F2826" s="24" t="n">
        <v>1.71566534</v>
      </c>
    </row>
    <row r="2827" customFormat="false" ht="15" hidden="false" customHeight="false" outlineLevel="0" collapsed="false">
      <c r="A2827" s="3" t="n">
        <v>2826</v>
      </c>
      <c r="B2827" s="3" t="n">
        <v>2825</v>
      </c>
      <c r="C2827" s="3" t="n">
        <v>14</v>
      </c>
      <c r="D2827" s="3" t="n">
        <v>5</v>
      </c>
      <c r="E2827" s="3" t="n">
        <v>11</v>
      </c>
      <c r="F2827" s="24" t="n">
        <v>-0.433222085</v>
      </c>
    </row>
    <row r="2828" customFormat="false" ht="15" hidden="false" customHeight="false" outlineLevel="0" collapsed="false">
      <c r="A2828" s="3" t="n">
        <v>2827</v>
      </c>
      <c r="B2828" s="3" t="n">
        <v>2826</v>
      </c>
      <c r="C2828" s="3" t="n">
        <v>14</v>
      </c>
      <c r="D2828" s="3" t="n">
        <v>5</v>
      </c>
      <c r="E2828" s="3" t="n">
        <v>12</v>
      </c>
      <c r="F2828" s="24" t="n">
        <v>-0.644536138</v>
      </c>
    </row>
    <row r="2829" customFormat="false" ht="15" hidden="false" customHeight="false" outlineLevel="0" collapsed="false">
      <c r="A2829" s="3" t="n">
        <v>2828</v>
      </c>
      <c r="B2829" s="3" t="n">
        <v>2827</v>
      </c>
      <c r="C2829" s="3" t="n">
        <v>14</v>
      </c>
      <c r="D2829" s="3" t="n">
        <v>5</v>
      </c>
      <c r="E2829" s="3" t="n">
        <v>13</v>
      </c>
      <c r="F2829" s="24" t="n">
        <v>0.171683058</v>
      </c>
    </row>
    <row r="2830" customFormat="false" ht="15" hidden="false" customHeight="false" outlineLevel="0" collapsed="false">
      <c r="A2830" s="3" t="n">
        <v>2829</v>
      </c>
      <c r="B2830" s="3" t="n">
        <v>2828</v>
      </c>
      <c r="C2830" s="3" t="n">
        <v>14</v>
      </c>
      <c r="D2830" s="3" t="n">
        <v>6</v>
      </c>
      <c r="E2830" s="3" t="n">
        <v>0</v>
      </c>
      <c r="F2830" s="24" t="n">
        <v>-0.838891208</v>
      </c>
    </row>
    <row r="2831" customFormat="false" ht="15" hidden="false" customHeight="false" outlineLevel="0" collapsed="false">
      <c r="A2831" s="3" t="n">
        <v>2830</v>
      </c>
      <c r="B2831" s="3" t="n">
        <v>2829</v>
      </c>
      <c r="C2831" s="3" t="n">
        <v>14</v>
      </c>
      <c r="D2831" s="3" t="n">
        <v>6</v>
      </c>
      <c r="E2831" s="3" t="n">
        <v>1</v>
      </c>
      <c r="F2831" s="24" t="n">
        <v>-0.488233119</v>
      </c>
    </row>
    <row r="2832" customFormat="false" ht="15" hidden="false" customHeight="false" outlineLevel="0" collapsed="false">
      <c r="A2832" s="3" t="n">
        <v>2831</v>
      </c>
      <c r="B2832" s="3" t="n">
        <v>2830</v>
      </c>
      <c r="C2832" s="3" t="n">
        <v>14</v>
      </c>
      <c r="D2832" s="3" t="n">
        <v>6</v>
      </c>
      <c r="E2832" s="3" t="n">
        <v>2</v>
      </c>
      <c r="F2832" s="24" t="n">
        <v>-0.379773051</v>
      </c>
    </row>
    <row r="2833" customFormat="false" ht="15" hidden="false" customHeight="false" outlineLevel="0" collapsed="false">
      <c r="A2833" s="3" t="n">
        <v>2832</v>
      </c>
      <c r="B2833" s="3" t="n">
        <v>2831</v>
      </c>
      <c r="C2833" s="3" t="n">
        <v>14</v>
      </c>
      <c r="D2833" s="3" t="n">
        <v>6</v>
      </c>
      <c r="E2833" s="3" t="n">
        <v>3</v>
      </c>
      <c r="F2833" s="24" t="n">
        <v>-0.296898007</v>
      </c>
    </row>
    <row r="2834" customFormat="false" ht="15" hidden="false" customHeight="false" outlineLevel="0" collapsed="false">
      <c r="A2834" s="3" t="n">
        <v>2833</v>
      </c>
      <c r="B2834" s="3" t="n">
        <v>2832</v>
      </c>
      <c r="C2834" s="3" t="n">
        <v>14</v>
      </c>
      <c r="D2834" s="3" t="n">
        <v>6</v>
      </c>
      <c r="E2834" s="3" t="n">
        <v>4</v>
      </c>
      <c r="F2834" s="24" t="n">
        <v>-0.0843999535</v>
      </c>
    </row>
    <row r="2835" customFormat="false" ht="15" hidden="false" customHeight="false" outlineLevel="0" collapsed="false">
      <c r="A2835" s="3" t="n">
        <v>2834</v>
      </c>
      <c r="B2835" s="3" t="n">
        <v>2833</v>
      </c>
      <c r="C2835" s="3" t="n">
        <v>14</v>
      </c>
      <c r="D2835" s="3" t="n">
        <v>6</v>
      </c>
      <c r="E2835" s="3" t="n">
        <v>5</v>
      </c>
      <c r="F2835" s="24" t="n">
        <v>0.0104380064</v>
      </c>
    </row>
    <row r="2836" customFormat="false" ht="15" hidden="false" customHeight="false" outlineLevel="0" collapsed="false">
      <c r="A2836" s="3" t="n">
        <v>2835</v>
      </c>
      <c r="B2836" s="3" t="n">
        <v>2834</v>
      </c>
      <c r="C2836" s="3" t="n">
        <v>14</v>
      </c>
      <c r="D2836" s="3" t="n">
        <v>6</v>
      </c>
      <c r="E2836" s="3" t="n">
        <v>6</v>
      </c>
      <c r="F2836" s="24" t="n">
        <v>-1.72142255</v>
      </c>
    </row>
    <row r="2837" customFormat="false" ht="15" hidden="false" customHeight="false" outlineLevel="0" collapsed="false">
      <c r="A2837" s="3" t="n">
        <v>2836</v>
      </c>
      <c r="B2837" s="3" t="n">
        <v>2835</v>
      </c>
      <c r="C2837" s="3" t="n">
        <v>14</v>
      </c>
      <c r="D2837" s="3" t="n">
        <v>6</v>
      </c>
      <c r="E2837" s="3" t="n">
        <v>7</v>
      </c>
      <c r="F2837" s="24" t="n">
        <v>-5.24145269</v>
      </c>
    </row>
    <row r="2838" customFormat="false" ht="15" hidden="false" customHeight="false" outlineLevel="0" collapsed="false">
      <c r="A2838" s="3" t="n">
        <v>2837</v>
      </c>
      <c r="B2838" s="3" t="n">
        <v>2836</v>
      </c>
      <c r="C2838" s="3" t="n">
        <v>14</v>
      </c>
      <c r="D2838" s="3" t="n">
        <v>6</v>
      </c>
      <c r="E2838" s="3" t="n">
        <v>8</v>
      </c>
      <c r="F2838" s="24" t="n">
        <v>-2.09578681</v>
      </c>
    </row>
    <row r="2839" customFormat="false" ht="15" hidden="false" customHeight="false" outlineLevel="0" collapsed="false">
      <c r="A2839" s="3" t="n">
        <v>2838</v>
      </c>
      <c r="B2839" s="3" t="n">
        <v>2837</v>
      </c>
      <c r="C2839" s="3" t="n">
        <v>14</v>
      </c>
      <c r="D2839" s="3" t="n">
        <v>6</v>
      </c>
      <c r="E2839" s="3" t="n">
        <v>9</v>
      </c>
      <c r="F2839" s="24" t="n">
        <v>1.64611518</v>
      </c>
    </row>
    <row r="2840" customFormat="false" ht="15" hidden="false" customHeight="false" outlineLevel="0" collapsed="false">
      <c r="A2840" s="3" t="n">
        <v>2839</v>
      </c>
      <c r="B2840" s="3" t="n">
        <v>2838</v>
      </c>
      <c r="C2840" s="3" t="n">
        <v>14</v>
      </c>
      <c r="D2840" s="3" t="n">
        <v>6</v>
      </c>
      <c r="E2840" s="3" t="n">
        <v>10</v>
      </c>
      <c r="F2840" s="24" t="n">
        <v>0.489052922</v>
      </c>
    </row>
    <row r="2841" customFormat="false" ht="15" hidden="false" customHeight="false" outlineLevel="0" collapsed="false">
      <c r="A2841" s="3" t="n">
        <v>2840</v>
      </c>
      <c r="B2841" s="3" t="n">
        <v>2839</v>
      </c>
      <c r="C2841" s="3" t="n">
        <v>14</v>
      </c>
      <c r="D2841" s="3" t="n">
        <v>6</v>
      </c>
      <c r="E2841" s="3" t="n">
        <v>11</v>
      </c>
      <c r="F2841" s="24" t="n">
        <v>-1.1968677</v>
      </c>
    </row>
    <row r="2842" customFormat="false" ht="15" hidden="false" customHeight="false" outlineLevel="0" collapsed="false">
      <c r="A2842" s="3" t="n">
        <v>2841</v>
      </c>
      <c r="B2842" s="3" t="n">
        <v>2840</v>
      </c>
      <c r="C2842" s="3" t="n">
        <v>14</v>
      </c>
      <c r="D2842" s="3" t="n">
        <v>6</v>
      </c>
      <c r="E2842" s="3" t="n">
        <v>12</v>
      </c>
      <c r="F2842" s="24" t="n">
        <v>-0.639333665</v>
      </c>
    </row>
    <row r="2843" customFormat="false" ht="15" hidden="false" customHeight="false" outlineLevel="0" collapsed="false">
      <c r="A2843" s="3" t="n">
        <v>2842</v>
      </c>
      <c r="B2843" s="3" t="n">
        <v>2841</v>
      </c>
      <c r="C2843" s="3" t="n">
        <v>14</v>
      </c>
      <c r="D2843" s="3" t="n">
        <v>6</v>
      </c>
      <c r="E2843" s="3" t="n">
        <v>13</v>
      </c>
      <c r="F2843" s="24" t="n">
        <v>0.171683058</v>
      </c>
    </row>
    <row r="2844" customFormat="false" ht="15" hidden="false" customHeight="false" outlineLevel="0" collapsed="false">
      <c r="A2844" s="3" t="n">
        <v>2843</v>
      </c>
      <c r="B2844" s="3" t="n">
        <v>2842</v>
      </c>
      <c r="C2844" s="3" t="n">
        <v>14</v>
      </c>
      <c r="D2844" s="3" t="n">
        <v>7</v>
      </c>
      <c r="E2844" s="3" t="n">
        <v>0</v>
      </c>
      <c r="F2844" s="24" t="n">
        <v>-0.838891208</v>
      </c>
    </row>
    <row r="2845" customFormat="false" ht="15" hidden="false" customHeight="false" outlineLevel="0" collapsed="false">
      <c r="A2845" s="3" t="n">
        <v>2844</v>
      </c>
      <c r="B2845" s="3" t="n">
        <v>2843</v>
      </c>
      <c r="C2845" s="3" t="n">
        <v>14</v>
      </c>
      <c r="D2845" s="3" t="n">
        <v>7</v>
      </c>
      <c r="E2845" s="3" t="n">
        <v>1</v>
      </c>
      <c r="F2845" s="24" t="n">
        <v>-0.459504873</v>
      </c>
    </row>
    <row r="2846" customFormat="false" ht="15" hidden="false" customHeight="false" outlineLevel="0" collapsed="false">
      <c r="A2846" s="3" t="n">
        <v>2845</v>
      </c>
      <c r="B2846" s="3" t="n">
        <v>2844</v>
      </c>
      <c r="C2846" s="3" t="n">
        <v>14</v>
      </c>
      <c r="D2846" s="3" t="n">
        <v>7</v>
      </c>
      <c r="E2846" s="3" t="n">
        <v>2</v>
      </c>
      <c r="F2846" s="24" t="n">
        <v>-0.343044341</v>
      </c>
    </row>
    <row r="2847" customFormat="false" ht="15" hidden="false" customHeight="false" outlineLevel="0" collapsed="false">
      <c r="A2847" s="3" t="n">
        <v>2846</v>
      </c>
      <c r="B2847" s="3" t="n">
        <v>2845</v>
      </c>
      <c r="C2847" s="3" t="n">
        <v>14</v>
      </c>
      <c r="D2847" s="3" t="n">
        <v>7</v>
      </c>
      <c r="E2847" s="3" t="n">
        <v>3</v>
      </c>
      <c r="F2847" s="24" t="n">
        <v>-0.343044341</v>
      </c>
    </row>
    <row r="2848" customFormat="false" ht="15" hidden="false" customHeight="false" outlineLevel="0" collapsed="false">
      <c r="A2848" s="3" t="n">
        <v>2847</v>
      </c>
      <c r="B2848" s="3" t="n">
        <v>2846</v>
      </c>
      <c r="C2848" s="3" t="n">
        <v>14</v>
      </c>
      <c r="D2848" s="3" t="n">
        <v>7</v>
      </c>
      <c r="E2848" s="3" t="n">
        <v>4</v>
      </c>
      <c r="F2848" s="24" t="n">
        <v>-0.343044341</v>
      </c>
    </row>
    <row r="2849" customFormat="false" ht="15" hidden="false" customHeight="false" outlineLevel="0" collapsed="false">
      <c r="A2849" s="3" t="n">
        <v>2848</v>
      </c>
      <c r="B2849" s="3" t="n">
        <v>2847</v>
      </c>
      <c r="C2849" s="3" t="n">
        <v>14</v>
      </c>
      <c r="D2849" s="3" t="n">
        <v>7</v>
      </c>
      <c r="E2849" s="3" t="n">
        <v>5</v>
      </c>
      <c r="F2849" s="24" t="n">
        <v>-0.86898458</v>
      </c>
    </row>
    <row r="2850" customFormat="false" ht="15" hidden="false" customHeight="false" outlineLevel="0" collapsed="false">
      <c r="A2850" s="3" t="n">
        <v>2849</v>
      </c>
      <c r="B2850" s="3" t="n">
        <v>2848</v>
      </c>
      <c r="C2850" s="3" t="n">
        <v>14</v>
      </c>
      <c r="D2850" s="3" t="n">
        <v>7</v>
      </c>
      <c r="E2850" s="3" t="n">
        <v>6</v>
      </c>
      <c r="F2850" s="24" t="n">
        <v>-4.36474991</v>
      </c>
    </row>
    <row r="2851" customFormat="false" ht="15" hidden="false" customHeight="false" outlineLevel="0" collapsed="false">
      <c r="A2851" s="3" t="n">
        <v>2850</v>
      </c>
      <c r="B2851" s="3" t="n">
        <v>2849</v>
      </c>
      <c r="C2851" s="3" t="n">
        <v>14</v>
      </c>
      <c r="D2851" s="3" t="n">
        <v>7</v>
      </c>
      <c r="E2851" s="3" t="n">
        <v>7</v>
      </c>
      <c r="F2851" s="24" t="n">
        <v>-4.33253145</v>
      </c>
    </row>
    <row r="2852" customFormat="false" ht="15" hidden="false" customHeight="false" outlineLevel="0" collapsed="false">
      <c r="A2852" s="3" t="n">
        <v>2851</v>
      </c>
      <c r="B2852" s="3" t="n">
        <v>2850</v>
      </c>
      <c r="C2852" s="3" t="n">
        <v>14</v>
      </c>
      <c r="D2852" s="3" t="n">
        <v>7</v>
      </c>
      <c r="E2852" s="3" t="n">
        <v>8</v>
      </c>
      <c r="F2852" s="24" t="n">
        <v>-0.0943567306</v>
      </c>
    </row>
    <row r="2853" customFormat="false" ht="15" hidden="false" customHeight="false" outlineLevel="0" collapsed="false">
      <c r="A2853" s="3" t="n">
        <v>2852</v>
      </c>
      <c r="B2853" s="3" t="n">
        <v>2851</v>
      </c>
      <c r="C2853" s="3" t="n">
        <v>14</v>
      </c>
      <c r="D2853" s="3" t="n">
        <v>7</v>
      </c>
      <c r="E2853" s="3" t="n">
        <v>9</v>
      </c>
      <c r="F2853" s="24" t="n">
        <v>2.71152735</v>
      </c>
    </row>
    <row r="2854" customFormat="false" ht="15" hidden="false" customHeight="false" outlineLevel="0" collapsed="false">
      <c r="A2854" s="3" t="n">
        <v>2853</v>
      </c>
      <c r="B2854" s="3" t="n">
        <v>2852</v>
      </c>
      <c r="C2854" s="3" t="n">
        <v>14</v>
      </c>
      <c r="D2854" s="3" t="n">
        <v>7</v>
      </c>
      <c r="E2854" s="3" t="n">
        <v>10</v>
      </c>
      <c r="F2854" s="24" t="n">
        <v>-0.0236932114</v>
      </c>
    </row>
    <row r="2855" customFormat="false" ht="15" hidden="false" customHeight="false" outlineLevel="0" collapsed="false">
      <c r="A2855" s="3" t="n">
        <v>2854</v>
      </c>
      <c r="B2855" s="3" t="n">
        <v>2853</v>
      </c>
      <c r="C2855" s="3" t="n">
        <v>14</v>
      </c>
      <c r="D2855" s="3" t="n">
        <v>7</v>
      </c>
      <c r="E2855" s="3" t="n">
        <v>11</v>
      </c>
      <c r="F2855" s="24" t="n">
        <v>-0.305144399</v>
      </c>
    </row>
    <row r="2856" customFormat="false" ht="15" hidden="false" customHeight="false" outlineLevel="0" collapsed="false">
      <c r="A2856" s="3" t="n">
        <v>2855</v>
      </c>
      <c r="B2856" s="3" t="n">
        <v>2854</v>
      </c>
      <c r="C2856" s="3" t="n">
        <v>14</v>
      </c>
      <c r="D2856" s="3" t="n">
        <v>7</v>
      </c>
      <c r="E2856" s="3" t="n">
        <v>12</v>
      </c>
      <c r="F2856" s="24" t="n">
        <v>-0.728819132</v>
      </c>
    </row>
    <row r="2857" customFormat="false" ht="15" hidden="false" customHeight="false" outlineLevel="0" collapsed="false">
      <c r="A2857" s="3" t="n">
        <v>2856</v>
      </c>
      <c r="B2857" s="3" t="n">
        <v>2855</v>
      </c>
      <c r="C2857" s="3" t="n">
        <v>14</v>
      </c>
      <c r="D2857" s="3" t="n">
        <v>7</v>
      </c>
      <c r="E2857" s="3" t="n">
        <v>13</v>
      </c>
      <c r="F2857" s="24" t="n">
        <v>0.171683058</v>
      </c>
    </row>
    <row r="2858" customFormat="false" ht="15" hidden="false" customHeight="false" outlineLevel="0" collapsed="false">
      <c r="A2858" s="3" t="n">
        <v>2857</v>
      </c>
      <c r="B2858" s="3" t="n">
        <v>2856</v>
      </c>
      <c r="C2858" s="3" t="n">
        <v>14</v>
      </c>
      <c r="D2858" s="3" t="n">
        <v>8</v>
      </c>
      <c r="E2858" s="3" t="n">
        <v>0</v>
      </c>
      <c r="F2858" s="24" t="n">
        <v>-0.838891208</v>
      </c>
    </row>
    <row r="2859" customFormat="false" ht="15" hidden="false" customHeight="false" outlineLevel="0" collapsed="false">
      <c r="A2859" s="3" t="n">
        <v>2858</v>
      </c>
      <c r="B2859" s="3" t="n">
        <v>2857</v>
      </c>
      <c r="C2859" s="3" t="n">
        <v>14</v>
      </c>
      <c r="D2859" s="3" t="n">
        <v>8</v>
      </c>
      <c r="E2859" s="3" t="n">
        <v>1</v>
      </c>
      <c r="F2859" s="24" t="n">
        <v>-0.459504873</v>
      </c>
    </row>
    <row r="2860" customFormat="false" ht="15" hidden="false" customHeight="false" outlineLevel="0" collapsed="false">
      <c r="A2860" s="3" t="n">
        <v>2859</v>
      </c>
      <c r="B2860" s="3" t="n">
        <v>2858</v>
      </c>
      <c r="C2860" s="3" t="n">
        <v>14</v>
      </c>
      <c r="D2860" s="3" t="n">
        <v>8</v>
      </c>
      <c r="E2860" s="3" t="n">
        <v>2</v>
      </c>
      <c r="F2860" s="24" t="n">
        <v>-0.343044341</v>
      </c>
    </row>
    <row r="2861" customFormat="false" ht="15" hidden="false" customHeight="false" outlineLevel="0" collapsed="false">
      <c r="A2861" s="3" t="n">
        <v>2860</v>
      </c>
      <c r="B2861" s="3" t="n">
        <v>2859</v>
      </c>
      <c r="C2861" s="3" t="n">
        <v>14</v>
      </c>
      <c r="D2861" s="3" t="n">
        <v>8</v>
      </c>
      <c r="E2861" s="3" t="n">
        <v>3</v>
      </c>
      <c r="F2861" s="24" t="n">
        <v>-0.343044341</v>
      </c>
    </row>
    <row r="2862" customFormat="false" ht="15" hidden="false" customHeight="false" outlineLevel="0" collapsed="false">
      <c r="A2862" s="3" t="n">
        <v>2861</v>
      </c>
      <c r="B2862" s="3" t="n">
        <v>2860</v>
      </c>
      <c r="C2862" s="3" t="n">
        <v>14</v>
      </c>
      <c r="D2862" s="3" t="n">
        <v>8</v>
      </c>
      <c r="E2862" s="3" t="n">
        <v>4</v>
      </c>
      <c r="F2862" s="24" t="n">
        <v>-0.350403309</v>
      </c>
    </row>
    <row r="2863" customFormat="false" ht="15" hidden="false" customHeight="false" outlineLevel="0" collapsed="false">
      <c r="A2863" s="3" t="n">
        <v>2862</v>
      </c>
      <c r="B2863" s="3" t="n">
        <v>2861</v>
      </c>
      <c r="C2863" s="3" t="n">
        <v>14</v>
      </c>
      <c r="D2863" s="3" t="n">
        <v>8</v>
      </c>
      <c r="E2863" s="3" t="n">
        <v>5</v>
      </c>
      <c r="F2863" s="24" t="n">
        <v>-3.66356039</v>
      </c>
    </row>
    <row r="2864" customFormat="false" ht="15" hidden="false" customHeight="false" outlineLevel="0" collapsed="false">
      <c r="A2864" s="3" t="n">
        <v>2863</v>
      </c>
      <c r="B2864" s="3" t="n">
        <v>2862</v>
      </c>
      <c r="C2864" s="3" t="n">
        <v>14</v>
      </c>
      <c r="D2864" s="3" t="n">
        <v>8</v>
      </c>
      <c r="E2864" s="3" t="n">
        <v>6</v>
      </c>
      <c r="F2864" s="24" t="n">
        <v>-6.28661728</v>
      </c>
    </row>
    <row r="2865" customFormat="false" ht="15" hidden="false" customHeight="false" outlineLevel="0" collapsed="false">
      <c r="A2865" s="3" t="n">
        <v>2864</v>
      </c>
      <c r="B2865" s="3" t="n">
        <v>2863</v>
      </c>
      <c r="C2865" s="3" t="n">
        <v>14</v>
      </c>
      <c r="D2865" s="3" t="n">
        <v>8</v>
      </c>
      <c r="E2865" s="3" t="n">
        <v>7</v>
      </c>
      <c r="F2865" s="24" t="n">
        <v>-2.6005652</v>
      </c>
    </row>
    <row r="2866" customFormat="false" ht="15" hidden="false" customHeight="false" outlineLevel="0" collapsed="false">
      <c r="A2866" s="3" t="n">
        <v>2865</v>
      </c>
      <c r="B2866" s="3" t="n">
        <v>2864</v>
      </c>
      <c r="C2866" s="3" t="n">
        <v>14</v>
      </c>
      <c r="D2866" s="3" t="n">
        <v>8</v>
      </c>
      <c r="E2866" s="3" t="n">
        <v>8</v>
      </c>
      <c r="F2866" s="24" t="n">
        <v>2.42547202</v>
      </c>
    </row>
    <row r="2867" customFormat="false" ht="15" hidden="false" customHeight="false" outlineLevel="0" collapsed="false">
      <c r="A2867" s="3" t="n">
        <v>2866</v>
      </c>
      <c r="B2867" s="3" t="n">
        <v>2865</v>
      </c>
      <c r="C2867" s="3" t="n">
        <v>14</v>
      </c>
      <c r="D2867" s="3" t="n">
        <v>8</v>
      </c>
      <c r="E2867" s="3" t="n">
        <v>9</v>
      </c>
      <c r="F2867" s="24" t="n">
        <v>1.22741568</v>
      </c>
    </row>
    <row r="2868" customFormat="false" ht="15" hidden="false" customHeight="false" outlineLevel="0" collapsed="false">
      <c r="A2868" s="3" t="n">
        <v>2867</v>
      </c>
      <c r="B2868" s="3" t="n">
        <v>2866</v>
      </c>
      <c r="C2868" s="3" t="n">
        <v>14</v>
      </c>
      <c r="D2868" s="3" t="n">
        <v>8</v>
      </c>
      <c r="E2868" s="3" t="n">
        <v>10</v>
      </c>
      <c r="F2868" s="24" t="n">
        <v>-1.1904074</v>
      </c>
    </row>
    <row r="2869" customFormat="false" ht="15" hidden="false" customHeight="false" outlineLevel="0" collapsed="false">
      <c r="A2869" s="3" t="n">
        <v>2868</v>
      </c>
      <c r="B2869" s="3" t="n">
        <v>2867</v>
      </c>
      <c r="C2869" s="3" t="n">
        <v>14</v>
      </c>
      <c r="D2869" s="3" t="n">
        <v>8</v>
      </c>
      <c r="E2869" s="3" t="n">
        <v>11</v>
      </c>
      <c r="F2869" s="24" t="n">
        <v>-0.260123044</v>
      </c>
    </row>
    <row r="2870" customFormat="false" ht="15" hidden="false" customHeight="false" outlineLevel="0" collapsed="false">
      <c r="A2870" s="3" t="n">
        <v>2869</v>
      </c>
      <c r="B2870" s="3" t="n">
        <v>2868</v>
      </c>
      <c r="C2870" s="3" t="n">
        <v>14</v>
      </c>
      <c r="D2870" s="3" t="n">
        <v>8</v>
      </c>
      <c r="E2870" s="3" t="n">
        <v>12</v>
      </c>
      <c r="F2870" s="24" t="n">
        <v>-0.727080166</v>
      </c>
    </row>
    <row r="2871" customFormat="false" ht="15" hidden="false" customHeight="false" outlineLevel="0" collapsed="false">
      <c r="A2871" s="3" t="n">
        <v>2870</v>
      </c>
      <c r="B2871" s="3" t="n">
        <v>2869</v>
      </c>
      <c r="C2871" s="3" t="n">
        <v>14</v>
      </c>
      <c r="D2871" s="3" t="n">
        <v>8</v>
      </c>
      <c r="E2871" s="3" t="n">
        <v>13</v>
      </c>
      <c r="F2871" s="24" t="n">
        <v>0.171683058</v>
      </c>
    </row>
    <row r="2872" customFormat="false" ht="15" hidden="false" customHeight="false" outlineLevel="0" collapsed="false">
      <c r="A2872" s="3" t="n">
        <v>2871</v>
      </c>
      <c r="B2872" s="3" t="n">
        <v>2870</v>
      </c>
      <c r="C2872" s="3" t="n">
        <v>14</v>
      </c>
      <c r="D2872" s="3" t="n">
        <v>9</v>
      </c>
      <c r="E2872" s="3" t="n">
        <v>0</v>
      </c>
      <c r="F2872" s="24" t="n">
        <v>-0.838891208</v>
      </c>
    </row>
    <row r="2873" customFormat="false" ht="15" hidden="false" customHeight="false" outlineLevel="0" collapsed="false">
      <c r="A2873" s="3" t="n">
        <v>2872</v>
      </c>
      <c r="B2873" s="3" t="n">
        <v>2871</v>
      </c>
      <c r="C2873" s="3" t="n">
        <v>14</v>
      </c>
      <c r="D2873" s="3" t="n">
        <v>9</v>
      </c>
      <c r="E2873" s="3" t="n">
        <v>1</v>
      </c>
      <c r="F2873" s="24" t="n">
        <v>-0.459504873</v>
      </c>
    </row>
    <row r="2874" customFormat="false" ht="15" hidden="false" customHeight="false" outlineLevel="0" collapsed="false">
      <c r="A2874" s="3" t="n">
        <v>2873</v>
      </c>
      <c r="B2874" s="3" t="n">
        <v>2872</v>
      </c>
      <c r="C2874" s="3" t="n">
        <v>14</v>
      </c>
      <c r="D2874" s="3" t="n">
        <v>9</v>
      </c>
      <c r="E2874" s="3" t="n">
        <v>2</v>
      </c>
      <c r="F2874" s="24" t="n">
        <v>-0.343044341</v>
      </c>
    </row>
    <row r="2875" customFormat="false" ht="15" hidden="false" customHeight="false" outlineLevel="0" collapsed="false">
      <c r="A2875" s="3" t="n">
        <v>2874</v>
      </c>
      <c r="B2875" s="3" t="n">
        <v>2873</v>
      </c>
      <c r="C2875" s="3" t="n">
        <v>14</v>
      </c>
      <c r="D2875" s="3" t="n">
        <v>9</v>
      </c>
      <c r="E2875" s="3" t="n">
        <v>3</v>
      </c>
      <c r="F2875" s="24" t="n">
        <v>-0.343044341</v>
      </c>
    </row>
    <row r="2876" customFormat="false" ht="15" hidden="false" customHeight="false" outlineLevel="0" collapsed="false">
      <c r="A2876" s="3" t="n">
        <v>2875</v>
      </c>
      <c r="B2876" s="3" t="n">
        <v>2874</v>
      </c>
      <c r="C2876" s="3" t="n">
        <v>14</v>
      </c>
      <c r="D2876" s="3" t="n">
        <v>9</v>
      </c>
      <c r="E2876" s="3" t="n">
        <v>4</v>
      </c>
      <c r="F2876" s="24" t="n">
        <v>-1.93532717</v>
      </c>
    </row>
    <row r="2877" customFormat="false" ht="15" hidden="false" customHeight="false" outlineLevel="0" collapsed="false">
      <c r="A2877" s="3" t="n">
        <v>2876</v>
      </c>
      <c r="B2877" s="3" t="n">
        <v>2875</v>
      </c>
      <c r="C2877" s="3" t="n">
        <v>14</v>
      </c>
      <c r="D2877" s="3" t="n">
        <v>9</v>
      </c>
      <c r="E2877" s="3" t="n">
        <v>5</v>
      </c>
      <c r="F2877" s="24" t="n">
        <v>-6.04741192</v>
      </c>
    </row>
    <row r="2878" customFormat="false" ht="15" hidden="false" customHeight="false" outlineLevel="0" collapsed="false">
      <c r="A2878" s="3" t="n">
        <v>2877</v>
      </c>
      <c r="B2878" s="3" t="n">
        <v>2876</v>
      </c>
      <c r="C2878" s="3" t="n">
        <v>14</v>
      </c>
      <c r="D2878" s="3" t="n">
        <v>9</v>
      </c>
      <c r="E2878" s="3" t="n">
        <v>6</v>
      </c>
      <c r="F2878" s="24" t="n">
        <v>-4.43869495</v>
      </c>
    </row>
    <row r="2879" customFormat="false" ht="15" hidden="false" customHeight="false" outlineLevel="0" collapsed="false">
      <c r="A2879" s="3" t="n">
        <v>2878</v>
      </c>
      <c r="B2879" s="3" t="n">
        <v>2877</v>
      </c>
      <c r="C2879" s="3" t="n">
        <v>14</v>
      </c>
      <c r="D2879" s="3" t="n">
        <v>9</v>
      </c>
      <c r="E2879" s="3" t="n">
        <v>7</v>
      </c>
      <c r="F2879" s="24" t="n">
        <v>-0.833577156</v>
      </c>
    </row>
    <row r="2880" customFormat="false" ht="15" hidden="false" customHeight="false" outlineLevel="0" collapsed="false">
      <c r="A2880" s="3" t="n">
        <v>2879</v>
      </c>
      <c r="B2880" s="3" t="n">
        <v>2878</v>
      </c>
      <c r="C2880" s="3" t="n">
        <v>14</v>
      </c>
      <c r="D2880" s="3" t="n">
        <v>9</v>
      </c>
      <c r="E2880" s="3" t="n">
        <v>8</v>
      </c>
      <c r="F2880" s="24" t="n">
        <v>2.66827869</v>
      </c>
    </row>
    <row r="2881" customFormat="false" ht="15" hidden="false" customHeight="false" outlineLevel="0" collapsed="false">
      <c r="A2881" s="3" t="n">
        <v>2880</v>
      </c>
      <c r="B2881" s="3" t="n">
        <v>2879</v>
      </c>
      <c r="C2881" s="3" t="n">
        <v>14</v>
      </c>
      <c r="D2881" s="3" t="n">
        <v>9</v>
      </c>
      <c r="E2881" s="3" t="n">
        <v>9</v>
      </c>
      <c r="F2881" s="24" t="n">
        <v>-0.0304162055</v>
      </c>
    </row>
    <row r="2882" customFormat="false" ht="15" hidden="false" customHeight="false" outlineLevel="0" collapsed="false">
      <c r="A2882" s="3" t="n">
        <v>2881</v>
      </c>
      <c r="B2882" s="3" t="n">
        <v>2880</v>
      </c>
      <c r="C2882" s="3" t="n">
        <v>14</v>
      </c>
      <c r="D2882" s="3" t="n">
        <v>9</v>
      </c>
      <c r="E2882" s="3" t="n">
        <v>10</v>
      </c>
      <c r="F2882" s="24" t="n">
        <v>-0.413028836</v>
      </c>
    </row>
    <row r="2883" customFormat="false" ht="15" hidden="false" customHeight="false" outlineLevel="0" collapsed="false">
      <c r="A2883" s="3" t="n">
        <v>2882</v>
      </c>
      <c r="B2883" s="3" t="n">
        <v>2881</v>
      </c>
      <c r="C2883" s="3" t="n">
        <v>14</v>
      </c>
      <c r="D2883" s="3" t="n">
        <v>9</v>
      </c>
      <c r="E2883" s="3" t="n">
        <v>11</v>
      </c>
      <c r="F2883" s="24" t="n">
        <v>-0.342047185</v>
      </c>
    </row>
    <row r="2884" customFormat="false" ht="15" hidden="false" customHeight="false" outlineLevel="0" collapsed="false">
      <c r="A2884" s="3" t="n">
        <v>2883</v>
      </c>
      <c r="B2884" s="3" t="n">
        <v>2882</v>
      </c>
      <c r="C2884" s="3" t="n">
        <v>14</v>
      </c>
      <c r="D2884" s="3" t="n">
        <v>9</v>
      </c>
      <c r="E2884" s="3" t="n">
        <v>12</v>
      </c>
      <c r="F2884" s="24" t="n">
        <v>-0.727080166</v>
      </c>
    </row>
    <row r="2885" customFormat="false" ht="15" hidden="false" customHeight="false" outlineLevel="0" collapsed="false">
      <c r="A2885" s="3" t="n">
        <v>2884</v>
      </c>
      <c r="B2885" s="3" t="n">
        <v>2883</v>
      </c>
      <c r="C2885" s="3" t="n">
        <v>14</v>
      </c>
      <c r="D2885" s="3" t="n">
        <v>9</v>
      </c>
      <c r="E2885" s="3" t="n">
        <v>13</v>
      </c>
      <c r="F2885" s="24" t="n">
        <v>0.171683058</v>
      </c>
    </row>
    <row r="2886" customFormat="false" ht="15" hidden="false" customHeight="false" outlineLevel="0" collapsed="false">
      <c r="A2886" s="3" t="n">
        <v>2885</v>
      </c>
      <c r="B2886" s="3" t="n">
        <v>2884</v>
      </c>
      <c r="C2886" s="3" t="n">
        <v>14</v>
      </c>
      <c r="D2886" s="3" t="n">
        <v>10</v>
      </c>
      <c r="E2886" s="3" t="n">
        <v>0</v>
      </c>
      <c r="F2886" s="24" t="n">
        <v>-0.838891208</v>
      </c>
    </row>
    <row r="2887" customFormat="false" ht="15" hidden="false" customHeight="false" outlineLevel="0" collapsed="false">
      <c r="A2887" s="3" t="n">
        <v>2886</v>
      </c>
      <c r="B2887" s="3" t="n">
        <v>2885</v>
      </c>
      <c r="C2887" s="3" t="n">
        <v>14</v>
      </c>
      <c r="D2887" s="3" t="n">
        <v>10</v>
      </c>
      <c r="E2887" s="3" t="n">
        <v>1</v>
      </c>
      <c r="F2887" s="24" t="n">
        <v>-0.459504873</v>
      </c>
    </row>
    <row r="2888" customFormat="false" ht="15" hidden="false" customHeight="false" outlineLevel="0" collapsed="false">
      <c r="A2888" s="3" t="n">
        <v>2887</v>
      </c>
      <c r="B2888" s="3" t="n">
        <v>2886</v>
      </c>
      <c r="C2888" s="3" t="n">
        <v>14</v>
      </c>
      <c r="D2888" s="3" t="n">
        <v>10</v>
      </c>
      <c r="E2888" s="3" t="n">
        <v>2</v>
      </c>
      <c r="F2888" s="24" t="n">
        <v>-0.343044341</v>
      </c>
    </row>
    <row r="2889" customFormat="false" ht="15" hidden="false" customHeight="false" outlineLevel="0" collapsed="false">
      <c r="A2889" s="3" t="n">
        <v>2888</v>
      </c>
      <c r="B2889" s="3" t="n">
        <v>2887</v>
      </c>
      <c r="C2889" s="3" t="n">
        <v>14</v>
      </c>
      <c r="D2889" s="3" t="n">
        <v>10</v>
      </c>
      <c r="E2889" s="3" t="n">
        <v>3</v>
      </c>
      <c r="F2889" s="24" t="n">
        <v>-0.765356481</v>
      </c>
    </row>
    <row r="2890" customFormat="false" ht="15" hidden="false" customHeight="false" outlineLevel="0" collapsed="false">
      <c r="A2890" s="3" t="n">
        <v>2889</v>
      </c>
      <c r="B2890" s="3" t="n">
        <v>2888</v>
      </c>
      <c r="C2890" s="3" t="n">
        <v>14</v>
      </c>
      <c r="D2890" s="3" t="n">
        <v>10</v>
      </c>
      <c r="E2890" s="3" t="n">
        <v>4</v>
      </c>
      <c r="F2890" s="24" t="n">
        <v>-4.51883173</v>
      </c>
    </row>
    <row r="2891" customFormat="false" ht="15" hidden="false" customHeight="false" outlineLevel="0" collapsed="false">
      <c r="A2891" s="3" t="n">
        <v>2890</v>
      </c>
      <c r="B2891" s="3" t="n">
        <v>2889</v>
      </c>
      <c r="C2891" s="3" t="n">
        <v>14</v>
      </c>
      <c r="D2891" s="3" t="n">
        <v>10</v>
      </c>
      <c r="E2891" s="3" t="n">
        <v>5</v>
      </c>
      <c r="F2891" s="24" t="n">
        <v>-4.95420647</v>
      </c>
    </row>
    <row r="2892" customFormat="false" ht="15" hidden="false" customHeight="false" outlineLevel="0" collapsed="false">
      <c r="A2892" s="3" t="n">
        <v>2891</v>
      </c>
      <c r="B2892" s="3" t="n">
        <v>2890</v>
      </c>
      <c r="C2892" s="3" t="n">
        <v>14</v>
      </c>
      <c r="D2892" s="3" t="n">
        <v>10</v>
      </c>
      <c r="E2892" s="3" t="n">
        <v>6</v>
      </c>
      <c r="F2892" s="24" t="n">
        <v>-2.55861759</v>
      </c>
    </row>
    <row r="2893" customFormat="false" ht="15" hidden="false" customHeight="false" outlineLevel="0" collapsed="false">
      <c r="A2893" s="3" t="n">
        <v>2892</v>
      </c>
      <c r="B2893" s="3" t="n">
        <v>2891</v>
      </c>
      <c r="C2893" s="3" t="n">
        <v>14</v>
      </c>
      <c r="D2893" s="3" t="n">
        <v>10</v>
      </c>
      <c r="E2893" s="3" t="n">
        <v>7</v>
      </c>
      <c r="F2893" s="24" t="n">
        <v>2.4294076</v>
      </c>
    </row>
    <row r="2894" customFormat="false" ht="15" hidden="false" customHeight="false" outlineLevel="0" collapsed="false">
      <c r="A2894" s="3" t="n">
        <v>2893</v>
      </c>
      <c r="B2894" s="3" t="n">
        <v>2892</v>
      </c>
      <c r="C2894" s="3" t="n">
        <v>14</v>
      </c>
      <c r="D2894" s="3" t="n">
        <v>10</v>
      </c>
      <c r="E2894" s="3" t="n">
        <v>8</v>
      </c>
      <c r="F2894" s="24" t="n">
        <v>1.35604239</v>
      </c>
    </row>
    <row r="2895" customFormat="false" ht="15" hidden="false" customHeight="false" outlineLevel="0" collapsed="false">
      <c r="A2895" s="3" t="n">
        <v>2894</v>
      </c>
      <c r="B2895" s="3" t="n">
        <v>2893</v>
      </c>
      <c r="C2895" s="3" t="n">
        <v>14</v>
      </c>
      <c r="D2895" s="3" t="n">
        <v>10</v>
      </c>
      <c r="E2895" s="3" t="n">
        <v>9</v>
      </c>
      <c r="F2895" s="24" t="n">
        <v>-0.805745721</v>
      </c>
    </row>
    <row r="2896" customFormat="false" ht="15" hidden="false" customHeight="false" outlineLevel="0" collapsed="false">
      <c r="A2896" s="3" t="n">
        <v>2895</v>
      </c>
      <c r="B2896" s="3" t="n">
        <v>2894</v>
      </c>
      <c r="C2896" s="3" t="n">
        <v>14</v>
      </c>
      <c r="D2896" s="3" t="n">
        <v>10</v>
      </c>
      <c r="E2896" s="3" t="n">
        <v>10</v>
      </c>
      <c r="F2896" s="24" t="n">
        <v>-0.279013306</v>
      </c>
    </row>
    <row r="2897" customFormat="false" ht="15" hidden="false" customHeight="false" outlineLevel="0" collapsed="false">
      <c r="A2897" s="3" t="n">
        <v>2896</v>
      </c>
      <c r="B2897" s="3" t="n">
        <v>2895</v>
      </c>
      <c r="C2897" s="3" t="n">
        <v>14</v>
      </c>
      <c r="D2897" s="3" t="n">
        <v>10</v>
      </c>
      <c r="E2897" s="3" t="n">
        <v>11</v>
      </c>
      <c r="F2897" s="24" t="n">
        <v>-0.343044341</v>
      </c>
    </row>
    <row r="2898" customFormat="false" ht="15" hidden="false" customHeight="false" outlineLevel="0" collapsed="false">
      <c r="A2898" s="3" t="n">
        <v>2897</v>
      </c>
      <c r="B2898" s="3" t="n">
        <v>2896</v>
      </c>
      <c r="C2898" s="3" t="n">
        <v>14</v>
      </c>
      <c r="D2898" s="3" t="n">
        <v>10</v>
      </c>
      <c r="E2898" s="3" t="n">
        <v>12</v>
      </c>
      <c r="F2898" s="24" t="n">
        <v>-0.727080166</v>
      </c>
    </row>
    <row r="2899" customFormat="false" ht="15" hidden="false" customHeight="false" outlineLevel="0" collapsed="false">
      <c r="A2899" s="3" t="n">
        <v>2898</v>
      </c>
      <c r="B2899" s="3" t="n">
        <v>2897</v>
      </c>
      <c r="C2899" s="3" t="n">
        <v>14</v>
      </c>
      <c r="D2899" s="3" t="n">
        <v>10</v>
      </c>
      <c r="E2899" s="3" t="n">
        <v>13</v>
      </c>
      <c r="F2899" s="24" t="n">
        <v>0.171683058</v>
      </c>
    </row>
    <row r="2900" customFormat="false" ht="15" hidden="false" customHeight="false" outlineLevel="0" collapsed="false">
      <c r="A2900" s="3" t="n">
        <v>2899</v>
      </c>
      <c r="B2900" s="3" t="n">
        <v>2898</v>
      </c>
      <c r="C2900" s="3" t="n">
        <v>14</v>
      </c>
      <c r="D2900" s="3" t="n">
        <v>11</v>
      </c>
      <c r="E2900" s="3" t="n">
        <v>0</v>
      </c>
      <c r="F2900" s="24" t="n">
        <v>-0.838891208</v>
      </c>
    </row>
    <row r="2901" customFormat="false" ht="15" hidden="false" customHeight="false" outlineLevel="0" collapsed="false">
      <c r="A2901" s="3" t="n">
        <v>2900</v>
      </c>
      <c r="B2901" s="3" t="n">
        <v>2899</v>
      </c>
      <c r="C2901" s="3" t="n">
        <v>14</v>
      </c>
      <c r="D2901" s="3" t="n">
        <v>11</v>
      </c>
      <c r="E2901" s="3" t="n">
        <v>1</v>
      </c>
      <c r="F2901" s="24" t="n">
        <v>-0.459504873</v>
      </c>
    </row>
    <row r="2902" customFormat="false" ht="15" hidden="false" customHeight="false" outlineLevel="0" collapsed="false">
      <c r="A2902" s="3" t="n">
        <v>2901</v>
      </c>
      <c r="B2902" s="3" t="n">
        <v>2900</v>
      </c>
      <c r="C2902" s="3" t="n">
        <v>14</v>
      </c>
      <c r="D2902" s="3" t="n">
        <v>11</v>
      </c>
      <c r="E2902" s="3" t="n">
        <v>2</v>
      </c>
      <c r="F2902" s="24" t="n">
        <v>-0.343044341</v>
      </c>
    </row>
    <row r="2903" customFormat="false" ht="15" hidden="false" customHeight="false" outlineLevel="0" collapsed="false">
      <c r="A2903" s="3" t="n">
        <v>2902</v>
      </c>
      <c r="B2903" s="3" t="n">
        <v>2901</v>
      </c>
      <c r="C2903" s="3" t="n">
        <v>14</v>
      </c>
      <c r="D2903" s="3" t="n">
        <v>11</v>
      </c>
      <c r="E2903" s="3" t="n">
        <v>3</v>
      </c>
      <c r="F2903" s="24" t="n">
        <v>-1.78643036</v>
      </c>
    </row>
    <row r="2904" customFormat="false" ht="15" hidden="false" customHeight="false" outlineLevel="0" collapsed="false">
      <c r="A2904" s="3" t="n">
        <v>2903</v>
      </c>
      <c r="B2904" s="3" t="n">
        <v>2902</v>
      </c>
      <c r="C2904" s="3" t="n">
        <v>14</v>
      </c>
      <c r="D2904" s="3" t="n">
        <v>11</v>
      </c>
      <c r="E2904" s="3" t="n">
        <v>4</v>
      </c>
      <c r="F2904" s="24" t="n">
        <v>-5.37871647</v>
      </c>
    </row>
    <row r="2905" customFormat="false" ht="15" hidden="false" customHeight="false" outlineLevel="0" collapsed="false">
      <c r="A2905" s="3" t="n">
        <v>2904</v>
      </c>
      <c r="B2905" s="3" t="n">
        <v>2903</v>
      </c>
      <c r="C2905" s="3" t="n">
        <v>14</v>
      </c>
      <c r="D2905" s="3" t="n">
        <v>11</v>
      </c>
      <c r="E2905" s="3" t="n">
        <v>5</v>
      </c>
      <c r="F2905" s="24" t="n">
        <v>-1.85136747</v>
      </c>
    </row>
    <row r="2906" customFormat="false" ht="15" hidden="false" customHeight="false" outlineLevel="0" collapsed="false">
      <c r="A2906" s="3" t="n">
        <v>2905</v>
      </c>
      <c r="B2906" s="3" t="n">
        <v>2904</v>
      </c>
      <c r="C2906" s="3" t="n">
        <v>14</v>
      </c>
      <c r="D2906" s="3" t="n">
        <v>11</v>
      </c>
      <c r="E2906" s="3" t="n">
        <v>6</v>
      </c>
      <c r="F2906" s="24" t="n">
        <v>1.77272391</v>
      </c>
    </row>
    <row r="2907" customFormat="false" ht="15" hidden="false" customHeight="false" outlineLevel="0" collapsed="false">
      <c r="A2907" s="3" t="n">
        <v>2906</v>
      </c>
      <c r="B2907" s="3" t="n">
        <v>2905</v>
      </c>
      <c r="C2907" s="3" t="n">
        <v>14</v>
      </c>
      <c r="D2907" s="3" t="n">
        <v>11</v>
      </c>
      <c r="E2907" s="3" t="n">
        <v>7</v>
      </c>
      <c r="F2907" s="24" t="n">
        <v>0.129030272</v>
      </c>
    </row>
    <row r="2908" customFormat="false" ht="15" hidden="false" customHeight="false" outlineLevel="0" collapsed="false">
      <c r="A2908" s="3" t="n">
        <v>2907</v>
      </c>
      <c r="B2908" s="3" t="n">
        <v>2906</v>
      </c>
      <c r="C2908" s="3" t="n">
        <v>14</v>
      </c>
      <c r="D2908" s="3" t="n">
        <v>11</v>
      </c>
      <c r="E2908" s="3" t="n">
        <v>8</v>
      </c>
      <c r="F2908" s="24" t="n">
        <v>-1.72457528</v>
      </c>
    </row>
    <row r="2909" customFormat="false" ht="15" hidden="false" customHeight="false" outlineLevel="0" collapsed="false">
      <c r="A2909" s="3" t="n">
        <v>2908</v>
      </c>
      <c r="B2909" s="3" t="n">
        <v>2907</v>
      </c>
      <c r="C2909" s="3" t="n">
        <v>14</v>
      </c>
      <c r="D2909" s="3" t="n">
        <v>11</v>
      </c>
      <c r="E2909" s="3" t="n">
        <v>9</v>
      </c>
      <c r="F2909" s="24" t="n">
        <v>-0.249069408</v>
      </c>
    </row>
    <row r="2910" customFormat="false" ht="15" hidden="false" customHeight="false" outlineLevel="0" collapsed="false">
      <c r="A2910" s="3" t="n">
        <v>2909</v>
      </c>
      <c r="B2910" s="3" t="n">
        <v>2908</v>
      </c>
      <c r="C2910" s="3" t="n">
        <v>14</v>
      </c>
      <c r="D2910" s="3" t="n">
        <v>11</v>
      </c>
      <c r="E2910" s="3" t="n">
        <v>10</v>
      </c>
      <c r="F2910" s="24" t="n">
        <v>-0.343044341</v>
      </c>
    </row>
    <row r="2911" customFormat="false" ht="15" hidden="false" customHeight="false" outlineLevel="0" collapsed="false">
      <c r="A2911" s="3" t="n">
        <v>2910</v>
      </c>
      <c r="B2911" s="3" t="n">
        <v>2909</v>
      </c>
      <c r="C2911" s="3" t="n">
        <v>14</v>
      </c>
      <c r="D2911" s="3" t="n">
        <v>11</v>
      </c>
      <c r="E2911" s="3" t="n">
        <v>11</v>
      </c>
      <c r="F2911" s="24" t="n">
        <v>-0.343044341</v>
      </c>
    </row>
    <row r="2912" customFormat="false" ht="15" hidden="false" customHeight="false" outlineLevel="0" collapsed="false">
      <c r="A2912" s="3" t="n">
        <v>2911</v>
      </c>
      <c r="B2912" s="3" t="n">
        <v>2910</v>
      </c>
      <c r="C2912" s="3" t="n">
        <v>14</v>
      </c>
      <c r="D2912" s="3" t="n">
        <v>11</v>
      </c>
      <c r="E2912" s="3" t="n">
        <v>12</v>
      </c>
      <c r="F2912" s="24" t="n">
        <v>-0.727080166</v>
      </c>
    </row>
    <row r="2913" customFormat="false" ht="15" hidden="false" customHeight="false" outlineLevel="0" collapsed="false">
      <c r="A2913" s="3" t="n">
        <v>2912</v>
      </c>
      <c r="B2913" s="3" t="n">
        <v>2911</v>
      </c>
      <c r="C2913" s="3" t="n">
        <v>14</v>
      </c>
      <c r="D2913" s="3" t="n">
        <v>11</v>
      </c>
      <c r="E2913" s="3" t="n">
        <v>13</v>
      </c>
      <c r="F2913" s="24" t="n">
        <v>0.171683058</v>
      </c>
    </row>
    <row r="2914" customFormat="false" ht="15" hidden="false" customHeight="false" outlineLevel="0" collapsed="false">
      <c r="A2914" s="3" t="n">
        <v>2913</v>
      </c>
      <c r="B2914" s="3" t="n">
        <v>2912</v>
      </c>
      <c r="C2914" s="3" t="n">
        <v>14</v>
      </c>
      <c r="D2914" s="3" t="n">
        <v>12</v>
      </c>
      <c r="E2914" s="3" t="n">
        <v>0</v>
      </c>
      <c r="F2914" s="24" t="n">
        <v>-1.37208426</v>
      </c>
    </row>
    <row r="2915" customFormat="false" ht="15" hidden="false" customHeight="false" outlineLevel="0" collapsed="false">
      <c r="A2915" s="3" t="n">
        <v>2914</v>
      </c>
      <c r="B2915" s="3" t="n">
        <v>2913</v>
      </c>
      <c r="C2915" s="3" t="n">
        <v>14</v>
      </c>
      <c r="D2915" s="3" t="n">
        <v>12</v>
      </c>
      <c r="E2915" s="3" t="n">
        <v>1</v>
      </c>
      <c r="F2915" s="24" t="n">
        <v>-1.14668548</v>
      </c>
    </row>
    <row r="2916" customFormat="false" ht="15" hidden="false" customHeight="false" outlineLevel="0" collapsed="false">
      <c r="A2916" s="3" t="n">
        <v>2915</v>
      </c>
      <c r="B2916" s="3" t="n">
        <v>2914</v>
      </c>
      <c r="C2916" s="3" t="n">
        <v>14</v>
      </c>
      <c r="D2916" s="3" t="n">
        <v>12</v>
      </c>
      <c r="E2916" s="3" t="n">
        <v>2</v>
      </c>
      <c r="F2916" s="24" t="n">
        <v>-1.01520419</v>
      </c>
    </row>
    <row r="2917" customFormat="false" ht="15" hidden="false" customHeight="false" outlineLevel="0" collapsed="false">
      <c r="A2917" s="3" t="n">
        <v>2916</v>
      </c>
      <c r="B2917" s="3" t="n">
        <v>2915</v>
      </c>
      <c r="C2917" s="3" t="n">
        <v>14</v>
      </c>
      <c r="D2917" s="3" t="n">
        <v>12</v>
      </c>
      <c r="E2917" s="3" t="n">
        <v>3</v>
      </c>
      <c r="F2917" s="24" t="n">
        <v>-2.36977196</v>
      </c>
    </row>
    <row r="2918" customFormat="false" ht="15" hidden="false" customHeight="false" outlineLevel="0" collapsed="false">
      <c r="A2918" s="3" t="n">
        <v>2917</v>
      </c>
      <c r="B2918" s="3" t="n">
        <v>2916</v>
      </c>
      <c r="C2918" s="3" t="n">
        <v>14</v>
      </c>
      <c r="D2918" s="3" t="n">
        <v>12</v>
      </c>
      <c r="E2918" s="3" t="n">
        <v>4</v>
      </c>
      <c r="F2918" s="24" t="n">
        <v>-5.63929749</v>
      </c>
    </row>
    <row r="2919" customFormat="false" ht="15" hidden="false" customHeight="false" outlineLevel="0" collapsed="false">
      <c r="A2919" s="3" t="n">
        <v>2918</v>
      </c>
      <c r="B2919" s="3" t="n">
        <v>2917</v>
      </c>
      <c r="C2919" s="3" t="n">
        <v>14</v>
      </c>
      <c r="D2919" s="3" t="n">
        <v>12</v>
      </c>
      <c r="E2919" s="3" t="n">
        <v>5</v>
      </c>
      <c r="F2919" s="24" t="n">
        <v>-1.03806007</v>
      </c>
    </row>
    <row r="2920" customFormat="false" ht="15" hidden="false" customHeight="false" outlineLevel="0" collapsed="false">
      <c r="A2920" s="3" t="n">
        <v>2919</v>
      </c>
      <c r="B2920" s="3" t="n">
        <v>2918</v>
      </c>
      <c r="C2920" s="3" t="n">
        <v>14</v>
      </c>
      <c r="D2920" s="3" t="n">
        <v>12</v>
      </c>
      <c r="E2920" s="3" t="n">
        <v>6</v>
      </c>
      <c r="F2920" s="24" t="n">
        <v>3.0135169</v>
      </c>
    </row>
    <row r="2921" customFormat="false" ht="15" hidden="false" customHeight="false" outlineLevel="0" collapsed="false">
      <c r="A2921" s="3" t="n">
        <v>2920</v>
      </c>
      <c r="B2921" s="3" t="n">
        <v>2919</v>
      </c>
      <c r="C2921" s="3" t="n">
        <v>14</v>
      </c>
      <c r="D2921" s="3" t="n">
        <v>12</v>
      </c>
      <c r="E2921" s="3" t="n">
        <v>7</v>
      </c>
      <c r="F2921" s="24" t="n">
        <v>-0.642359018</v>
      </c>
    </row>
    <row r="2922" customFormat="false" ht="15" hidden="false" customHeight="false" outlineLevel="0" collapsed="false">
      <c r="A2922" s="3" t="n">
        <v>2921</v>
      </c>
      <c r="B2922" s="3" t="n">
        <v>2920</v>
      </c>
      <c r="C2922" s="3" t="n">
        <v>14</v>
      </c>
      <c r="D2922" s="3" t="n">
        <v>12</v>
      </c>
      <c r="E2922" s="3" t="n">
        <v>8</v>
      </c>
      <c r="F2922" s="24" t="n">
        <v>-1.41938233</v>
      </c>
    </row>
    <row r="2923" customFormat="false" ht="15" hidden="false" customHeight="false" outlineLevel="0" collapsed="false">
      <c r="A2923" s="3" t="n">
        <v>2922</v>
      </c>
      <c r="B2923" s="3" t="n">
        <v>2921</v>
      </c>
      <c r="C2923" s="3" t="n">
        <v>14</v>
      </c>
      <c r="D2923" s="3" t="n">
        <v>12</v>
      </c>
      <c r="E2923" s="3" t="n">
        <v>9</v>
      </c>
      <c r="F2923" s="24" t="n">
        <v>-1.00241005</v>
      </c>
    </row>
    <row r="2924" customFormat="false" ht="15" hidden="false" customHeight="false" outlineLevel="0" collapsed="false">
      <c r="A2924" s="3" t="n">
        <v>2923</v>
      </c>
      <c r="B2924" s="3" t="n">
        <v>2922</v>
      </c>
      <c r="C2924" s="3" t="n">
        <v>14</v>
      </c>
      <c r="D2924" s="3" t="n">
        <v>12</v>
      </c>
      <c r="E2924" s="3" t="n">
        <v>10</v>
      </c>
      <c r="F2924" s="24" t="n">
        <v>-1.01520419</v>
      </c>
    </row>
    <row r="2925" customFormat="false" ht="15" hidden="false" customHeight="false" outlineLevel="0" collapsed="false">
      <c r="A2925" s="3" t="n">
        <v>2924</v>
      </c>
      <c r="B2925" s="3" t="n">
        <v>2923</v>
      </c>
      <c r="C2925" s="3" t="n">
        <v>14</v>
      </c>
      <c r="D2925" s="3" t="n">
        <v>12</v>
      </c>
      <c r="E2925" s="3" t="n">
        <v>11</v>
      </c>
      <c r="F2925" s="24" t="n">
        <v>-1.01520419</v>
      </c>
    </row>
    <row r="2926" customFormat="false" ht="15" hidden="false" customHeight="false" outlineLevel="0" collapsed="false">
      <c r="A2926" s="3" t="n">
        <v>2925</v>
      </c>
      <c r="B2926" s="3" t="n">
        <v>2924</v>
      </c>
      <c r="C2926" s="3" t="n">
        <v>14</v>
      </c>
      <c r="D2926" s="3" t="n">
        <v>12</v>
      </c>
      <c r="E2926" s="3" t="n">
        <v>12</v>
      </c>
      <c r="F2926" s="24" t="n">
        <v>-1.39924002</v>
      </c>
    </row>
    <row r="2927" customFormat="false" ht="15" hidden="false" customHeight="false" outlineLevel="0" collapsed="false">
      <c r="A2927" s="3" t="n">
        <v>2926</v>
      </c>
      <c r="B2927" s="3" t="n">
        <v>2925</v>
      </c>
      <c r="C2927" s="3" t="n">
        <v>14</v>
      </c>
      <c r="D2927" s="3" t="n">
        <v>12</v>
      </c>
      <c r="E2927" s="3" t="n">
        <v>13</v>
      </c>
      <c r="F2927" s="24" t="n">
        <v>-0.292441607</v>
      </c>
    </row>
    <row r="2928" customFormat="false" ht="15" hidden="false" customHeight="false" outlineLevel="0" collapsed="false">
      <c r="A2928" s="3" t="n">
        <v>2927</v>
      </c>
      <c r="B2928" s="3" t="n">
        <v>2926</v>
      </c>
      <c r="C2928" s="3" t="n">
        <v>14</v>
      </c>
      <c r="D2928" s="3" t="n">
        <v>13</v>
      </c>
      <c r="E2928" s="3" t="n">
        <v>0</v>
      </c>
      <c r="F2928" s="24" t="n">
        <v>-0.636250198</v>
      </c>
    </row>
    <row r="2929" customFormat="false" ht="15" hidden="false" customHeight="false" outlineLevel="0" collapsed="false">
      <c r="A2929" s="3" t="n">
        <v>2928</v>
      </c>
      <c r="B2929" s="3" t="n">
        <v>2927</v>
      </c>
      <c r="C2929" s="3" t="n">
        <v>14</v>
      </c>
      <c r="D2929" s="3" t="n">
        <v>13</v>
      </c>
      <c r="E2929" s="3" t="n">
        <v>1</v>
      </c>
      <c r="F2929" s="24" t="n">
        <v>-0.511560023</v>
      </c>
    </row>
    <row r="2930" customFormat="false" ht="15" hidden="false" customHeight="false" outlineLevel="0" collapsed="false">
      <c r="A2930" s="3" t="n">
        <v>2929</v>
      </c>
      <c r="B2930" s="3" t="n">
        <v>2928</v>
      </c>
      <c r="C2930" s="3" t="n">
        <v>14</v>
      </c>
      <c r="D2930" s="3" t="n">
        <v>13</v>
      </c>
      <c r="E2930" s="3" t="n">
        <v>2</v>
      </c>
      <c r="F2930" s="24" t="n">
        <v>-0.427500606</v>
      </c>
    </row>
    <row r="2931" customFormat="false" ht="15" hidden="false" customHeight="false" outlineLevel="0" collapsed="false">
      <c r="A2931" s="3" t="n">
        <v>2930</v>
      </c>
      <c r="B2931" s="3" t="n">
        <v>2929</v>
      </c>
      <c r="C2931" s="3" t="n">
        <v>14</v>
      </c>
      <c r="D2931" s="3" t="n">
        <v>13</v>
      </c>
      <c r="E2931" s="3" t="n">
        <v>3</v>
      </c>
      <c r="F2931" s="24" t="n">
        <v>-1.44705641</v>
      </c>
    </row>
    <row r="2932" customFormat="false" ht="15" hidden="false" customHeight="false" outlineLevel="0" collapsed="false">
      <c r="A2932" s="3" t="n">
        <v>2931</v>
      </c>
      <c r="B2932" s="3" t="n">
        <v>2930</v>
      </c>
      <c r="C2932" s="3" t="n">
        <v>14</v>
      </c>
      <c r="D2932" s="3" t="n">
        <v>13</v>
      </c>
      <c r="E2932" s="3" t="n">
        <v>4</v>
      </c>
      <c r="F2932" s="24" t="n">
        <v>-3.09873652</v>
      </c>
    </row>
    <row r="2933" customFormat="false" ht="15" hidden="false" customHeight="false" outlineLevel="0" collapsed="false">
      <c r="A2933" s="3" t="n">
        <v>2932</v>
      </c>
      <c r="B2933" s="3" t="n">
        <v>2931</v>
      </c>
      <c r="C2933" s="3" t="n">
        <v>14</v>
      </c>
      <c r="D2933" s="3" t="n">
        <v>13</v>
      </c>
      <c r="E2933" s="3" t="n">
        <v>5</v>
      </c>
      <c r="F2933" s="24" t="n">
        <v>1.87595546</v>
      </c>
    </row>
    <row r="2934" customFormat="false" ht="15" hidden="false" customHeight="false" outlineLevel="0" collapsed="false">
      <c r="A2934" s="3" t="n">
        <v>2933</v>
      </c>
      <c r="B2934" s="3" t="n">
        <v>2932</v>
      </c>
      <c r="C2934" s="3" t="n">
        <v>14</v>
      </c>
      <c r="D2934" s="3" t="n">
        <v>13</v>
      </c>
      <c r="E2934" s="3" t="n">
        <v>6</v>
      </c>
      <c r="F2934" s="24" t="n">
        <v>4.31851149</v>
      </c>
    </row>
    <row r="2935" customFormat="false" ht="15" hidden="false" customHeight="false" outlineLevel="0" collapsed="false">
      <c r="A2935" s="3" t="n">
        <v>2934</v>
      </c>
      <c r="B2935" s="3" t="n">
        <v>2933</v>
      </c>
      <c r="C2935" s="3" t="n">
        <v>14</v>
      </c>
      <c r="D2935" s="3" t="n">
        <v>13</v>
      </c>
      <c r="E2935" s="3" t="n">
        <v>7</v>
      </c>
      <c r="F2935" s="24" t="n">
        <v>0.184080839</v>
      </c>
    </row>
    <row r="2936" customFormat="false" ht="15" hidden="false" customHeight="false" outlineLevel="0" collapsed="false">
      <c r="A2936" s="3" t="n">
        <v>2935</v>
      </c>
      <c r="B2936" s="3" t="n">
        <v>2934</v>
      </c>
      <c r="C2936" s="3" t="n">
        <v>14</v>
      </c>
      <c r="D2936" s="3" t="n">
        <v>13</v>
      </c>
      <c r="E2936" s="3" t="n">
        <v>8</v>
      </c>
      <c r="F2936" s="24" t="n">
        <v>0.0625627935</v>
      </c>
    </row>
    <row r="2937" customFormat="false" ht="15" hidden="false" customHeight="false" outlineLevel="0" collapsed="false">
      <c r="A2937" s="3" t="n">
        <v>2936</v>
      </c>
      <c r="B2937" s="3" t="n">
        <v>2935</v>
      </c>
      <c r="C2937" s="3" t="n">
        <v>14</v>
      </c>
      <c r="D2937" s="3" t="n">
        <v>13</v>
      </c>
      <c r="E2937" s="3" t="n">
        <v>9</v>
      </c>
      <c r="F2937" s="24" t="n">
        <v>-0.427500606</v>
      </c>
    </row>
    <row r="2938" customFormat="false" ht="15" hidden="false" customHeight="false" outlineLevel="0" collapsed="false">
      <c r="A2938" s="3" t="n">
        <v>2937</v>
      </c>
      <c r="B2938" s="3" t="n">
        <v>2936</v>
      </c>
      <c r="C2938" s="3" t="n">
        <v>14</v>
      </c>
      <c r="D2938" s="3" t="n">
        <v>13</v>
      </c>
      <c r="E2938" s="3" t="n">
        <v>10</v>
      </c>
      <c r="F2938" s="24" t="n">
        <v>-0.427500606</v>
      </c>
    </row>
    <row r="2939" customFormat="false" ht="15" hidden="false" customHeight="false" outlineLevel="0" collapsed="false">
      <c r="A2939" s="3" t="n">
        <v>2938</v>
      </c>
      <c r="B2939" s="3" t="n">
        <v>2937</v>
      </c>
      <c r="C2939" s="3" t="n">
        <v>14</v>
      </c>
      <c r="D2939" s="3" t="n">
        <v>13</v>
      </c>
      <c r="E2939" s="3" t="n">
        <v>11</v>
      </c>
      <c r="F2939" s="24" t="n">
        <v>-0.427500606</v>
      </c>
    </row>
    <row r="2940" customFormat="false" ht="15" hidden="false" customHeight="false" outlineLevel="0" collapsed="false">
      <c r="A2940" s="3" t="n">
        <v>2939</v>
      </c>
      <c r="B2940" s="3" t="n">
        <v>2938</v>
      </c>
      <c r="C2940" s="3" t="n">
        <v>14</v>
      </c>
      <c r="D2940" s="3" t="n">
        <v>13</v>
      </c>
      <c r="E2940" s="3" t="n">
        <v>12</v>
      </c>
      <c r="F2940" s="24" t="n">
        <v>-0.690874219</v>
      </c>
    </row>
    <row r="2941" customFormat="false" ht="15" hidden="false" customHeight="false" outlineLevel="0" collapsed="false">
      <c r="A2941" s="3" t="n">
        <v>2940</v>
      </c>
      <c r="B2941" s="3" t="n">
        <v>2939</v>
      </c>
      <c r="C2941" s="3" t="n">
        <v>14</v>
      </c>
      <c r="D2941" s="3" t="n">
        <v>13</v>
      </c>
      <c r="E2941" s="3" t="n">
        <v>13</v>
      </c>
      <c r="F2941" s="24" t="n">
        <v>-0.0597919188</v>
      </c>
    </row>
    <row r="2942" customFormat="false" ht="15" hidden="false" customHeight="false" outlineLevel="0" collapsed="false">
      <c r="A2942" s="3" t="n">
        <v>2941</v>
      </c>
      <c r="B2942" s="3" t="n">
        <v>2940</v>
      </c>
      <c r="C2942" s="3" t="n">
        <v>15</v>
      </c>
      <c r="D2942" s="3" t="n">
        <v>0</v>
      </c>
      <c r="E2942" s="3" t="n">
        <v>0</v>
      </c>
      <c r="F2942" s="24" t="n">
        <v>0.753347933</v>
      </c>
    </row>
    <row r="2943" customFormat="false" ht="15" hidden="false" customHeight="false" outlineLevel="0" collapsed="false">
      <c r="A2943" s="3" t="n">
        <v>2942</v>
      </c>
      <c r="B2943" s="3" t="n">
        <v>2941</v>
      </c>
      <c r="C2943" s="3" t="n">
        <v>15</v>
      </c>
      <c r="D2943" s="3" t="n">
        <v>0</v>
      </c>
      <c r="E2943" s="3" t="n">
        <v>1</v>
      </c>
      <c r="F2943" s="24" t="n">
        <v>0.831287801</v>
      </c>
    </row>
    <row r="2944" customFormat="false" ht="15" hidden="false" customHeight="false" outlineLevel="0" collapsed="false">
      <c r="A2944" s="3" t="n">
        <v>2943</v>
      </c>
      <c r="B2944" s="3" t="n">
        <v>2942</v>
      </c>
      <c r="C2944" s="3" t="n">
        <v>15</v>
      </c>
      <c r="D2944" s="3" t="n">
        <v>0</v>
      </c>
      <c r="E2944" s="3" t="n">
        <v>2</v>
      </c>
      <c r="F2944" s="24" t="n">
        <v>0.826025844</v>
      </c>
    </row>
    <row r="2945" customFormat="false" ht="15" hidden="false" customHeight="false" outlineLevel="0" collapsed="false">
      <c r="A2945" s="3" t="n">
        <v>2944</v>
      </c>
      <c r="B2945" s="3" t="n">
        <v>2943</v>
      </c>
      <c r="C2945" s="3" t="n">
        <v>15</v>
      </c>
      <c r="D2945" s="3" t="n">
        <v>0</v>
      </c>
      <c r="E2945" s="3" t="n">
        <v>3</v>
      </c>
      <c r="F2945" s="24" t="n">
        <v>0.826025844</v>
      </c>
    </row>
    <row r="2946" customFormat="false" ht="15" hidden="false" customHeight="false" outlineLevel="0" collapsed="false">
      <c r="A2946" s="3" t="n">
        <v>2945</v>
      </c>
      <c r="B2946" s="3" t="n">
        <v>2944</v>
      </c>
      <c r="C2946" s="3" t="n">
        <v>15</v>
      </c>
      <c r="D2946" s="3" t="n">
        <v>0</v>
      </c>
      <c r="E2946" s="3" t="n">
        <v>4</v>
      </c>
      <c r="F2946" s="24" t="n">
        <v>0.826025844</v>
      </c>
    </row>
    <row r="2947" customFormat="false" ht="15" hidden="false" customHeight="false" outlineLevel="0" collapsed="false">
      <c r="A2947" s="3" t="n">
        <v>2946</v>
      </c>
      <c r="B2947" s="3" t="n">
        <v>2945</v>
      </c>
      <c r="C2947" s="3" t="n">
        <v>15</v>
      </c>
      <c r="D2947" s="3" t="n">
        <v>0</v>
      </c>
      <c r="E2947" s="3" t="n">
        <v>5</v>
      </c>
      <c r="F2947" s="24" t="n">
        <v>0.826025844</v>
      </c>
    </row>
    <row r="2948" customFormat="false" ht="15" hidden="false" customHeight="false" outlineLevel="0" collapsed="false">
      <c r="A2948" s="3" t="n">
        <v>2947</v>
      </c>
      <c r="B2948" s="3" t="n">
        <v>2946</v>
      </c>
      <c r="C2948" s="3" t="n">
        <v>15</v>
      </c>
      <c r="D2948" s="3" t="n">
        <v>0</v>
      </c>
      <c r="E2948" s="3" t="n">
        <v>6</v>
      </c>
      <c r="F2948" s="24" t="n">
        <v>0.826025844</v>
      </c>
    </row>
    <row r="2949" customFormat="false" ht="15" hidden="false" customHeight="false" outlineLevel="0" collapsed="false">
      <c r="A2949" s="3" t="n">
        <v>2948</v>
      </c>
      <c r="B2949" s="3" t="n">
        <v>2947</v>
      </c>
      <c r="C2949" s="3" t="n">
        <v>15</v>
      </c>
      <c r="D2949" s="3" t="n">
        <v>0</v>
      </c>
      <c r="E2949" s="3" t="n">
        <v>7</v>
      </c>
      <c r="F2949" s="24" t="n">
        <v>0.826025844</v>
      </c>
    </row>
    <row r="2950" customFormat="false" ht="15" hidden="false" customHeight="false" outlineLevel="0" collapsed="false">
      <c r="A2950" s="3" t="n">
        <v>2949</v>
      </c>
      <c r="B2950" s="3" t="n">
        <v>2948</v>
      </c>
      <c r="C2950" s="3" t="n">
        <v>15</v>
      </c>
      <c r="D2950" s="3" t="n">
        <v>0</v>
      </c>
      <c r="E2950" s="3" t="n">
        <v>8</v>
      </c>
      <c r="F2950" s="24" t="n">
        <v>0.826025844</v>
      </c>
    </row>
    <row r="2951" customFormat="false" ht="15" hidden="false" customHeight="false" outlineLevel="0" collapsed="false">
      <c r="A2951" s="3" t="n">
        <v>2950</v>
      </c>
      <c r="B2951" s="3" t="n">
        <v>2949</v>
      </c>
      <c r="C2951" s="3" t="n">
        <v>15</v>
      </c>
      <c r="D2951" s="3" t="n">
        <v>0</v>
      </c>
      <c r="E2951" s="3" t="n">
        <v>9</v>
      </c>
      <c r="F2951" s="24" t="n">
        <v>0.826025844</v>
      </c>
    </row>
    <row r="2952" customFormat="false" ht="15" hidden="false" customHeight="false" outlineLevel="0" collapsed="false">
      <c r="A2952" s="3" t="n">
        <v>2951</v>
      </c>
      <c r="B2952" s="3" t="n">
        <v>2950</v>
      </c>
      <c r="C2952" s="3" t="n">
        <v>15</v>
      </c>
      <c r="D2952" s="3" t="n">
        <v>0</v>
      </c>
      <c r="E2952" s="3" t="n">
        <v>10</v>
      </c>
      <c r="F2952" s="24" t="n">
        <v>0.826025844</v>
      </c>
    </row>
    <row r="2953" customFormat="false" ht="15" hidden="false" customHeight="false" outlineLevel="0" collapsed="false">
      <c r="A2953" s="3" t="n">
        <v>2952</v>
      </c>
      <c r="B2953" s="3" t="n">
        <v>2951</v>
      </c>
      <c r="C2953" s="3" t="n">
        <v>15</v>
      </c>
      <c r="D2953" s="3" t="n">
        <v>0</v>
      </c>
      <c r="E2953" s="3" t="n">
        <v>11</v>
      </c>
      <c r="F2953" s="24" t="n">
        <v>0.826025844</v>
      </c>
    </row>
    <row r="2954" customFormat="false" ht="15" hidden="false" customHeight="false" outlineLevel="0" collapsed="false">
      <c r="A2954" s="3" t="n">
        <v>2953</v>
      </c>
      <c r="B2954" s="3" t="n">
        <v>2952</v>
      </c>
      <c r="C2954" s="3" t="n">
        <v>15</v>
      </c>
      <c r="D2954" s="3" t="n">
        <v>0</v>
      </c>
      <c r="E2954" s="3" t="n">
        <v>12</v>
      </c>
      <c r="F2954" s="24" t="n">
        <v>0.657663286</v>
      </c>
    </row>
    <row r="2955" customFormat="false" ht="15" hidden="false" customHeight="false" outlineLevel="0" collapsed="false">
      <c r="A2955" s="3" t="n">
        <v>2954</v>
      </c>
      <c r="B2955" s="3" t="n">
        <v>2953</v>
      </c>
      <c r="C2955" s="3" t="n">
        <v>15</v>
      </c>
      <c r="D2955" s="3" t="n">
        <v>0</v>
      </c>
      <c r="E2955" s="3" t="n">
        <v>13</v>
      </c>
      <c r="F2955" s="24" t="n">
        <v>0.294178784</v>
      </c>
    </row>
    <row r="2956" customFormat="false" ht="15" hidden="false" customHeight="false" outlineLevel="0" collapsed="false">
      <c r="A2956" s="3" t="n">
        <v>2955</v>
      </c>
      <c r="B2956" s="3" t="n">
        <v>2954</v>
      </c>
      <c r="C2956" s="3" t="n">
        <v>15</v>
      </c>
      <c r="D2956" s="3" t="n">
        <v>1</v>
      </c>
      <c r="E2956" s="3" t="n">
        <v>0</v>
      </c>
      <c r="F2956" s="24" t="n">
        <v>-0.128147438</v>
      </c>
    </row>
    <row r="2957" customFormat="false" ht="15" hidden="false" customHeight="false" outlineLevel="0" collapsed="false">
      <c r="A2957" s="3" t="n">
        <v>2956</v>
      </c>
      <c r="B2957" s="3" t="n">
        <v>2955</v>
      </c>
      <c r="C2957" s="3" t="n">
        <v>15</v>
      </c>
      <c r="D2957" s="3" t="n">
        <v>1</v>
      </c>
      <c r="E2957" s="3" t="n">
        <v>1</v>
      </c>
      <c r="F2957" s="24" t="n">
        <v>-0.557823122</v>
      </c>
    </row>
    <row r="2958" customFormat="false" ht="15" hidden="false" customHeight="false" outlineLevel="0" collapsed="false">
      <c r="A2958" s="3" t="n">
        <v>2957</v>
      </c>
      <c r="B2958" s="3" t="n">
        <v>2956</v>
      </c>
      <c r="C2958" s="3" t="n">
        <v>15</v>
      </c>
      <c r="D2958" s="3" t="n">
        <v>1</v>
      </c>
      <c r="E2958" s="3" t="n">
        <v>2</v>
      </c>
      <c r="F2958" s="24" t="n">
        <v>-0.53463763</v>
      </c>
    </row>
    <row r="2959" customFormat="false" ht="15" hidden="false" customHeight="false" outlineLevel="0" collapsed="false">
      <c r="A2959" s="3" t="n">
        <v>2958</v>
      </c>
      <c r="B2959" s="3" t="n">
        <v>2957</v>
      </c>
      <c r="C2959" s="3" t="n">
        <v>15</v>
      </c>
      <c r="D2959" s="3" t="n">
        <v>1</v>
      </c>
      <c r="E2959" s="3" t="n">
        <v>3</v>
      </c>
      <c r="F2959" s="24" t="n">
        <v>-0.53463763</v>
      </c>
    </row>
    <row r="2960" customFormat="false" ht="15" hidden="false" customHeight="false" outlineLevel="0" collapsed="false">
      <c r="A2960" s="3" t="n">
        <v>2959</v>
      </c>
      <c r="B2960" s="3" t="n">
        <v>2958</v>
      </c>
      <c r="C2960" s="3" t="n">
        <v>15</v>
      </c>
      <c r="D2960" s="3" t="n">
        <v>1</v>
      </c>
      <c r="E2960" s="3" t="n">
        <v>4</v>
      </c>
      <c r="F2960" s="24" t="n">
        <v>-0.53463763</v>
      </c>
    </row>
    <row r="2961" customFormat="false" ht="15" hidden="false" customHeight="false" outlineLevel="0" collapsed="false">
      <c r="A2961" s="3" t="n">
        <v>2960</v>
      </c>
      <c r="B2961" s="3" t="n">
        <v>2959</v>
      </c>
      <c r="C2961" s="3" t="n">
        <v>15</v>
      </c>
      <c r="D2961" s="3" t="n">
        <v>1</v>
      </c>
      <c r="E2961" s="3" t="n">
        <v>5</v>
      </c>
      <c r="F2961" s="24" t="n">
        <v>-0.53463763</v>
      </c>
    </row>
    <row r="2962" customFormat="false" ht="15" hidden="false" customHeight="false" outlineLevel="0" collapsed="false">
      <c r="A2962" s="3" t="n">
        <v>2961</v>
      </c>
      <c r="B2962" s="3" t="n">
        <v>2960</v>
      </c>
      <c r="C2962" s="3" t="n">
        <v>15</v>
      </c>
      <c r="D2962" s="3" t="n">
        <v>1</v>
      </c>
      <c r="E2962" s="3" t="n">
        <v>6</v>
      </c>
      <c r="F2962" s="24" t="n">
        <v>-0.53463763</v>
      </c>
    </row>
    <row r="2963" customFormat="false" ht="15" hidden="false" customHeight="false" outlineLevel="0" collapsed="false">
      <c r="A2963" s="3" t="n">
        <v>2962</v>
      </c>
      <c r="B2963" s="3" t="n">
        <v>2961</v>
      </c>
      <c r="C2963" s="3" t="n">
        <v>15</v>
      </c>
      <c r="D2963" s="3" t="n">
        <v>1</v>
      </c>
      <c r="E2963" s="3" t="n">
        <v>7</v>
      </c>
      <c r="F2963" s="24" t="n">
        <v>-0.53463763</v>
      </c>
    </row>
    <row r="2964" customFormat="false" ht="15" hidden="false" customHeight="false" outlineLevel="0" collapsed="false">
      <c r="A2964" s="3" t="n">
        <v>2963</v>
      </c>
      <c r="B2964" s="3" t="n">
        <v>2962</v>
      </c>
      <c r="C2964" s="3" t="n">
        <v>15</v>
      </c>
      <c r="D2964" s="3" t="n">
        <v>1</v>
      </c>
      <c r="E2964" s="3" t="n">
        <v>8</v>
      </c>
      <c r="F2964" s="24" t="n">
        <v>-0.53463763</v>
      </c>
    </row>
    <row r="2965" customFormat="false" ht="15" hidden="false" customHeight="false" outlineLevel="0" collapsed="false">
      <c r="A2965" s="3" t="n">
        <v>2964</v>
      </c>
      <c r="B2965" s="3" t="n">
        <v>2963</v>
      </c>
      <c r="C2965" s="3" t="n">
        <v>15</v>
      </c>
      <c r="D2965" s="3" t="n">
        <v>1</v>
      </c>
      <c r="E2965" s="3" t="n">
        <v>9</v>
      </c>
      <c r="F2965" s="24" t="n">
        <v>-0.53463763</v>
      </c>
    </row>
    <row r="2966" customFormat="false" ht="15" hidden="false" customHeight="false" outlineLevel="0" collapsed="false">
      <c r="A2966" s="3" t="n">
        <v>2965</v>
      </c>
      <c r="B2966" s="3" t="n">
        <v>2964</v>
      </c>
      <c r="C2966" s="3" t="n">
        <v>15</v>
      </c>
      <c r="D2966" s="3" t="n">
        <v>1</v>
      </c>
      <c r="E2966" s="3" t="n">
        <v>10</v>
      </c>
      <c r="F2966" s="24" t="n">
        <v>-0.53463763</v>
      </c>
    </row>
    <row r="2967" customFormat="false" ht="15" hidden="false" customHeight="false" outlineLevel="0" collapsed="false">
      <c r="A2967" s="3" t="n">
        <v>2966</v>
      </c>
      <c r="B2967" s="3" t="n">
        <v>2965</v>
      </c>
      <c r="C2967" s="3" t="n">
        <v>15</v>
      </c>
      <c r="D2967" s="3" t="n">
        <v>1</v>
      </c>
      <c r="E2967" s="3" t="n">
        <v>11</v>
      </c>
      <c r="F2967" s="24" t="n">
        <v>-0.53463763</v>
      </c>
    </row>
    <row r="2968" customFormat="false" ht="15" hidden="false" customHeight="false" outlineLevel="0" collapsed="false">
      <c r="A2968" s="3" t="n">
        <v>2967</v>
      </c>
      <c r="B2968" s="3" t="n">
        <v>2966</v>
      </c>
      <c r="C2968" s="3" t="n">
        <v>15</v>
      </c>
      <c r="D2968" s="3" t="n">
        <v>1</v>
      </c>
      <c r="E2968" s="3" t="n">
        <v>12</v>
      </c>
      <c r="F2968" s="24" t="n">
        <v>-0.780882895</v>
      </c>
    </row>
    <row r="2969" customFormat="false" ht="15" hidden="false" customHeight="false" outlineLevel="0" collapsed="false">
      <c r="A2969" s="3" t="n">
        <v>2968</v>
      </c>
      <c r="B2969" s="3" t="n">
        <v>2967</v>
      </c>
      <c r="C2969" s="3" t="n">
        <v>15</v>
      </c>
      <c r="D2969" s="3" t="n">
        <v>1</v>
      </c>
      <c r="E2969" s="3" t="n">
        <v>13</v>
      </c>
      <c r="F2969" s="24" t="n">
        <v>-0.882580161</v>
      </c>
    </row>
    <row r="2970" customFormat="false" ht="15" hidden="false" customHeight="false" outlineLevel="0" collapsed="false">
      <c r="A2970" s="3" t="n">
        <v>2969</v>
      </c>
      <c r="B2970" s="3" t="n">
        <v>2968</v>
      </c>
      <c r="C2970" s="3" t="n">
        <v>15</v>
      </c>
      <c r="D2970" s="3" t="n">
        <v>2</v>
      </c>
      <c r="E2970" s="3" t="n">
        <v>0</v>
      </c>
      <c r="F2970" s="24" t="n">
        <v>0.158075586</v>
      </c>
    </row>
    <row r="2971" customFormat="false" ht="15" hidden="false" customHeight="false" outlineLevel="0" collapsed="false">
      <c r="A2971" s="3" t="n">
        <v>2970</v>
      </c>
      <c r="B2971" s="3" t="n">
        <v>2969</v>
      </c>
      <c r="C2971" s="3" t="n">
        <v>15</v>
      </c>
      <c r="D2971" s="3" t="n">
        <v>2</v>
      </c>
      <c r="E2971" s="3" t="n">
        <v>1</v>
      </c>
      <c r="F2971" s="24" t="n">
        <v>-0.885047734</v>
      </c>
    </row>
    <row r="2972" customFormat="false" ht="15" hidden="false" customHeight="false" outlineLevel="0" collapsed="false">
      <c r="A2972" s="3" t="n">
        <v>2971</v>
      </c>
      <c r="B2972" s="3" t="n">
        <v>2970</v>
      </c>
      <c r="C2972" s="3" t="n">
        <v>15</v>
      </c>
      <c r="D2972" s="3" t="n">
        <v>2</v>
      </c>
      <c r="E2972" s="3" t="n">
        <v>2</v>
      </c>
      <c r="F2972" s="24" t="n">
        <v>-2.92040324</v>
      </c>
    </row>
    <row r="2973" customFormat="false" ht="15" hidden="false" customHeight="false" outlineLevel="0" collapsed="false">
      <c r="A2973" s="3" t="n">
        <v>2972</v>
      </c>
      <c r="B2973" s="3" t="n">
        <v>2971</v>
      </c>
      <c r="C2973" s="3" t="n">
        <v>15</v>
      </c>
      <c r="D2973" s="3" t="n">
        <v>2</v>
      </c>
      <c r="E2973" s="3" t="n">
        <v>3</v>
      </c>
      <c r="F2973" s="24" t="n">
        <v>-5.77373266</v>
      </c>
    </row>
    <row r="2974" customFormat="false" ht="15" hidden="false" customHeight="false" outlineLevel="0" collapsed="false">
      <c r="A2974" s="3" t="n">
        <v>2973</v>
      </c>
      <c r="B2974" s="3" t="n">
        <v>2972</v>
      </c>
      <c r="C2974" s="3" t="n">
        <v>15</v>
      </c>
      <c r="D2974" s="3" t="n">
        <v>2</v>
      </c>
      <c r="E2974" s="3" t="n">
        <v>4</v>
      </c>
      <c r="F2974" s="24" t="n">
        <v>-7.0950489</v>
      </c>
    </row>
    <row r="2975" customFormat="false" ht="15" hidden="false" customHeight="false" outlineLevel="0" collapsed="false">
      <c r="A2975" s="3" t="n">
        <v>2974</v>
      </c>
      <c r="B2975" s="3" t="n">
        <v>2973</v>
      </c>
      <c r="C2975" s="3" t="n">
        <v>15</v>
      </c>
      <c r="D2975" s="3" t="n">
        <v>2</v>
      </c>
      <c r="E2975" s="3" t="n">
        <v>5</v>
      </c>
      <c r="F2975" s="24" t="n">
        <v>-5.7748518</v>
      </c>
    </row>
    <row r="2976" customFormat="false" ht="15" hidden="false" customHeight="false" outlineLevel="0" collapsed="false">
      <c r="A2976" s="3" t="n">
        <v>2975</v>
      </c>
      <c r="B2976" s="3" t="n">
        <v>2974</v>
      </c>
      <c r="C2976" s="3" t="n">
        <v>15</v>
      </c>
      <c r="D2976" s="3" t="n">
        <v>2</v>
      </c>
      <c r="E2976" s="3" t="n">
        <v>6</v>
      </c>
      <c r="F2976" s="24" t="n">
        <v>-4.47723675</v>
      </c>
    </row>
    <row r="2977" customFormat="false" ht="15" hidden="false" customHeight="false" outlineLevel="0" collapsed="false">
      <c r="A2977" s="3" t="n">
        <v>2976</v>
      </c>
      <c r="B2977" s="3" t="n">
        <v>2975</v>
      </c>
      <c r="C2977" s="3" t="n">
        <v>15</v>
      </c>
      <c r="D2977" s="3" t="n">
        <v>2</v>
      </c>
      <c r="E2977" s="3" t="n">
        <v>7</v>
      </c>
      <c r="F2977" s="24" t="n">
        <v>-4.01989031</v>
      </c>
    </row>
    <row r="2978" customFormat="false" ht="15" hidden="false" customHeight="false" outlineLevel="0" collapsed="false">
      <c r="A2978" s="3" t="n">
        <v>2977</v>
      </c>
      <c r="B2978" s="3" t="n">
        <v>2976</v>
      </c>
      <c r="C2978" s="3" t="n">
        <v>15</v>
      </c>
      <c r="D2978" s="3" t="n">
        <v>2</v>
      </c>
      <c r="E2978" s="3" t="n">
        <v>8</v>
      </c>
      <c r="F2978" s="24" t="n">
        <v>-3.91829419</v>
      </c>
    </row>
    <row r="2979" customFormat="false" ht="15" hidden="false" customHeight="false" outlineLevel="0" collapsed="false">
      <c r="A2979" s="3" t="n">
        <v>2978</v>
      </c>
      <c r="B2979" s="3" t="n">
        <v>2977</v>
      </c>
      <c r="C2979" s="3" t="n">
        <v>15</v>
      </c>
      <c r="D2979" s="3" t="n">
        <v>2</v>
      </c>
      <c r="E2979" s="3" t="n">
        <v>9</v>
      </c>
      <c r="F2979" s="24" t="n">
        <v>-3.38456273</v>
      </c>
    </row>
    <row r="2980" customFormat="false" ht="15" hidden="false" customHeight="false" outlineLevel="0" collapsed="false">
      <c r="A2980" s="3" t="n">
        <v>2979</v>
      </c>
      <c r="B2980" s="3" t="n">
        <v>2978</v>
      </c>
      <c r="C2980" s="3" t="n">
        <v>15</v>
      </c>
      <c r="D2980" s="3" t="n">
        <v>2</v>
      </c>
      <c r="E2980" s="3" t="n">
        <v>10</v>
      </c>
      <c r="F2980" s="24" t="n">
        <v>-1.90657318</v>
      </c>
    </row>
    <row r="2981" customFormat="false" ht="15" hidden="false" customHeight="false" outlineLevel="0" collapsed="false">
      <c r="A2981" s="3" t="n">
        <v>2980</v>
      </c>
      <c r="B2981" s="3" t="n">
        <v>2979</v>
      </c>
      <c r="C2981" s="3" t="n">
        <v>15</v>
      </c>
      <c r="D2981" s="3" t="n">
        <v>2</v>
      </c>
      <c r="E2981" s="3" t="n">
        <v>11</v>
      </c>
      <c r="F2981" s="24" t="n">
        <v>-0.701093018</v>
      </c>
    </row>
    <row r="2982" customFormat="false" ht="15" hidden="false" customHeight="false" outlineLevel="0" collapsed="false">
      <c r="A2982" s="3" t="n">
        <v>2981</v>
      </c>
      <c r="B2982" s="3" t="n">
        <v>2980</v>
      </c>
      <c r="C2982" s="3" t="n">
        <v>15</v>
      </c>
      <c r="D2982" s="3" t="n">
        <v>2</v>
      </c>
      <c r="E2982" s="3" t="n">
        <v>12</v>
      </c>
      <c r="F2982" s="24" t="n">
        <v>-0.347222358</v>
      </c>
    </row>
    <row r="2983" customFormat="false" ht="15" hidden="false" customHeight="false" outlineLevel="0" collapsed="false">
      <c r="A2983" s="3" t="n">
        <v>2982</v>
      </c>
      <c r="B2983" s="3" t="n">
        <v>2981</v>
      </c>
      <c r="C2983" s="3" t="n">
        <v>15</v>
      </c>
      <c r="D2983" s="3" t="n">
        <v>2</v>
      </c>
      <c r="E2983" s="3" t="n">
        <v>13</v>
      </c>
      <c r="F2983" s="24" t="n">
        <v>-0.544894576</v>
      </c>
    </row>
    <row r="2984" customFormat="false" ht="15" hidden="false" customHeight="false" outlineLevel="0" collapsed="false">
      <c r="A2984" s="3" t="n">
        <v>2983</v>
      </c>
      <c r="B2984" s="3" t="n">
        <v>2982</v>
      </c>
      <c r="C2984" s="3" t="n">
        <v>15</v>
      </c>
      <c r="D2984" s="3" t="n">
        <v>3</v>
      </c>
      <c r="E2984" s="3" t="n">
        <v>0</v>
      </c>
      <c r="F2984" s="24" t="n">
        <v>0.158075586</v>
      </c>
    </row>
    <row r="2985" customFormat="false" ht="15" hidden="false" customHeight="false" outlineLevel="0" collapsed="false">
      <c r="A2985" s="3" t="n">
        <v>2984</v>
      </c>
      <c r="B2985" s="3" t="n">
        <v>2983</v>
      </c>
      <c r="C2985" s="3" t="n">
        <v>15</v>
      </c>
      <c r="D2985" s="3" t="n">
        <v>3</v>
      </c>
      <c r="E2985" s="3" t="n">
        <v>1</v>
      </c>
      <c r="F2985" s="24" t="n">
        <v>-0.210990235</v>
      </c>
    </row>
    <row r="2986" customFormat="false" ht="15" hidden="false" customHeight="false" outlineLevel="0" collapsed="false">
      <c r="A2986" s="3" t="n">
        <v>2985</v>
      </c>
      <c r="B2986" s="3" t="n">
        <v>2984</v>
      </c>
      <c r="C2986" s="3" t="n">
        <v>15</v>
      </c>
      <c r="D2986" s="3" t="n">
        <v>3</v>
      </c>
      <c r="E2986" s="3" t="n">
        <v>2</v>
      </c>
      <c r="F2986" s="24" t="n">
        <v>1.99768877</v>
      </c>
    </row>
    <row r="2987" customFormat="false" ht="15" hidden="false" customHeight="false" outlineLevel="0" collapsed="false">
      <c r="A2987" s="3" t="n">
        <v>2986</v>
      </c>
      <c r="B2987" s="3" t="n">
        <v>2985</v>
      </c>
      <c r="C2987" s="3" t="n">
        <v>15</v>
      </c>
      <c r="D2987" s="3" t="n">
        <v>3</v>
      </c>
      <c r="E2987" s="3" t="n">
        <v>3</v>
      </c>
      <c r="F2987" s="24" t="n">
        <v>2.90404892</v>
      </c>
    </row>
    <row r="2988" customFormat="false" ht="15" hidden="false" customHeight="false" outlineLevel="0" collapsed="false">
      <c r="A2988" s="3" t="n">
        <v>2987</v>
      </c>
      <c r="B2988" s="3" t="n">
        <v>2986</v>
      </c>
      <c r="C2988" s="3" t="n">
        <v>15</v>
      </c>
      <c r="D2988" s="3" t="n">
        <v>3</v>
      </c>
      <c r="E2988" s="3" t="n">
        <v>4</v>
      </c>
      <c r="F2988" s="24" t="n">
        <v>0.239556327</v>
      </c>
    </row>
    <row r="2989" customFormat="false" ht="15" hidden="false" customHeight="false" outlineLevel="0" collapsed="false">
      <c r="A2989" s="3" t="n">
        <v>2988</v>
      </c>
      <c r="B2989" s="3" t="n">
        <v>2987</v>
      </c>
      <c r="C2989" s="3" t="n">
        <v>15</v>
      </c>
      <c r="D2989" s="3" t="n">
        <v>3</v>
      </c>
      <c r="E2989" s="3" t="n">
        <v>5</v>
      </c>
      <c r="F2989" s="24" t="n">
        <v>-2.72473168</v>
      </c>
    </row>
    <row r="2990" customFormat="false" ht="15" hidden="false" customHeight="false" outlineLevel="0" collapsed="false">
      <c r="A2990" s="3" t="n">
        <v>2989</v>
      </c>
      <c r="B2990" s="3" t="n">
        <v>2988</v>
      </c>
      <c r="C2990" s="3" t="n">
        <v>15</v>
      </c>
      <c r="D2990" s="3" t="n">
        <v>3</v>
      </c>
      <c r="E2990" s="3" t="n">
        <v>6</v>
      </c>
      <c r="F2990" s="24" t="n">
        <v>-4.45293808</v>
      </c>
    </row>
    <row r="2991" customFormat="false" ht="15" hidden="false" customHeight="false" outlineLevel="0" collapsed="false">
      <c r="A2991" s="3" t="n">
        <v>2990</v>
      </c>
      <c r="B2991" s="3" t="n">
        <v>2989</v>
      </c>
      <c r="C2991" s="3" t="n">
        <v>15</v>
      </c>
      <c r="D2991" s="3" t="n">
        <v>3</v>
      </c>
      <c r="E2991" s="3" t="n">
        <v>7</v>
      </c>
      <c r="F2991" s="24" t="n">
        <v>-5.00627279</v>
      </c>
    </row>
    <row r="2992" customFormat="false" ht="15" hidden="false" customHeight="false" outlineLevel="0" collapsed="false">
      <c r="A2992" s="3" t="n">
        <v>2991</v>
      </c>
      <c r="B2992" s="3" t="n">
        <v>2990</v>
      </c>
      <c r="C2992" s="3" t="n">
        <v>15</v>
      </c>
      <c r="D2992" s="3" t="n">
        <v>3</v>
      </c>
      <c r="E2992" s="3" t="n">
        <v>8</v>
      </c>
      <c r="F2992" s="24" t="n">
        <v>-4.61955404</v>
      </c>
    </row>
    <row r="2993" customFormat="false" ht="15" hidden="false" customHeight="false" outlineLevel="0" collapsed="false">
      <c r="A2993" s="3" t="n">
        <v>2992</v>
      </c>
      <c r="B2993" s="3" t="n">
        <v>2991</v>
      </c>
      <c r="C2993" s="3" t="n">
        <v>15</v>
      </c>
      <c r="D2993" s="3" t="n">
        <v>3</v>
      </c>
      <c r="E2993" s="3" t="n">
        <v>9</v>
      </c>
      <c r="F2993" s="24" t="n">
        <v>-4.86996841</v>
      </c>
    </row>
    <row r="2994" customFormat="false" ht="15" hidden="false" customHeight="false" outlineLevel="0" collapsed="false">
      <c r="A2994" s="3" t="n">
        <v>2993</v>
      </c>
      <c r="B2994" s="3" t="n">
        <v>2992</v>
      </c>
      <c r="C2994" s="3" t="n">
        <v>15</v>
      </c>
      <c r="D2994" s="3" t="n">
        <v>3</v>
      </c>
      <c r="E2994" s="3" t="n">
        <v>10</v>
      </c>
      <c r="F2994" s="24" t="n">
        <v>-3.99502587</v>
      </c>
    </row>
    <row r="2995" customFormat="false" ht="15" hidden="false" customHeight="false" outlineLevel="0" collapsed="false">
      <c r="A2995" s="3" t="n">
        <v>2994</v>
      </c>
      <c r="B2995" s="3" t="n">
        <v>2993</v>
      </c>
      <c r="C2995" s="3" t="n">
        <v>15</v>
      </c>
      <c r="D2995" s="3" t="n">
        <v>3</v>
      </c>
      <c r="E2995" s="3" t="n">
        <v>11</v>
      </c>
      <c r="F2995" s="24" t="n">
        <v>-1.61546814</v>
      </c>
    </row>
    <row r="2996" customFormat="false" ht="15" hidden="false" customHeight="false" outlineLevel="0" collapsed="false">
      <c r="A2996" s="3" t="n">
        <v>2995</v>
      </c>
      <c r="B2996" s="3" t="n">
        <v>2994</v>
      </c>
      <c r="C2996" s="3" t="n">
        <v>15</v>
      </c>
      <c r="D2996" s="3" t="n">
        <v>3</v>
      </c>
      <c r="E2996" s="3" t="n">
        <v>12</v>
      </c>
      <c r="F2996" s="24" t="n">
        <v>-0.645969272</v>
      </c>
    </row>
    <row r="2997" customFormat="false" ht="15" hidden="false" customHeight="false" outlineLevel="0" collapsed="false">
      <c r="A2997" s="3" t="n">
        <v>2996</v>
      </c>
      <c r="B2997" s="3" t="n">
        <v>2995</v>
      </c>
      <c r="C2997" s="3" t="n">
        <v>15</v>
      </c>
      <c r="D2997" s="3" t="n">
        <v>3</v>
      </c>
      <c r="E2997" s="3" t="n">
        <v>13</v>
      </c>
      <c r="F2997" s="24" t="n">
        <v>-0.544894576</v>
      </c>
    </row>
    <row r="2998" customFormat="false" ht="15" hidden="false" customHeight="false" outlineLevel="0" collapsed="false">
      <c r="A2998" s="3" t="n">
        <v>2997</v>
      </c>
      <c r="B2998" s="3" t="n">
        <v>2996</v>
      </c>
      <c r="C2998" s="3" t="n">
        <v>15</v>
      </c>
      <c r="D2998" s="3" t="n">
        <v>4</v>
      </c>
      <c r="E2998" s="3" t="n">
        <v>0</v>
      </c>
      <c r="F2998" s="24" t="n">
        <v>0.158075586</v>
      </c>
    </row>
    <row r="2999" customFormat="false" ht="15" hidden="false" customHeight="false" outlineLevel="0" collapsed="false">
      <c r="A2999" s="3" t="n">
        <v>2998</v>
      </c>
      <c r="B2999" s="3" t="n">
        <v>2997</v>
      </c>
      <c r="C2999" s="3" t="n">
        <v>15</v>
      </c>
      <c r="D2999" s="3" t="n">
        <v>4</v>
      </c>
      <c r="E2999" s="3" t="n">
        <v>1</v>
      </c>
      <c r="F2999" s="24" t="n">
        <v>-0.23666203</v>
      </c>
    </row>
    <row r="3000" customFormat="false" ht="15" hidden="false" customHeight="false" outlineLevel="0" collapsed="false">
      <c r="A3000" s="3" t="n">
        <v>2999</v>
      </c>
      <c r="B3000" s="3" t="n">
        <v>2998</v>
      </c>
      <c r="C3000" s="3" t="n">
        <v>15</v>
      </c>
      <c r="D3000" s="3" t="n">
        <v>4</v>
      </c>
      <c r="E3000" s="3" t="n">
        <v>2</v>
      </c>
      <c r="F3000" s="24" t="n">
        <v>1.22335732</v>
      </c>
    </row>
    <row r="3001" customFormat="false" ht="15" hidden="false" customHeight="false" outlineLevel="0" collapsed="false">
      <c r="A3001" s="3" t="n">
        <v>3000</v>
      </c>
      <c r="B3001" s="3" t="n">
        <v>2999</v>
      </c>
      <c r="C3001" s="3" t="n">
        <v>15</v>
      </c>
      <c r="D3001" s="3" t="n">
        <v>4</v>
      </c>
      <c r="E3001" s="3" t="n">
        <v>3</v>
      </c>
      <c r="F3001" s="24" t="n">
        <v>4.86983681</v>
      </c>
    </row>
    <row r="3002" customFormat="false" ht="15" hidden="false" customHeight="false" outlineLevel="0" collapsed="false">
      <c r="A3002" s="3" t="n">
        <v>3001</v>
      </c>
      <c r="B3002" s="3" t="n">
        <v>3000</v>
      </c>
      <c r="C3002" s="3" t="n">
        <v>15</v>
      </c>
      <c r="D3002" s="3" t="n">
        <v>4</v>
      </c>
      <c r="E3002" s="3" t="n">
        <v>4</v>
      </c>
      <c r="F3002" s="24" t="n">
        <v>9.33661747</v>
      </c>
    </row>
    <row r="3003" customFormat="false" ht="15" hidden="false" customHeight="false" outlineLevel="0" collapsed="false">
      <c r="A3003" s="3" t="n">
        <v>3002</v>
      </c>
      <c r="B3003" s="3" t="n">
        <v>3001</v>
      </c>
      <c r="C3003" s="3" t="n">
        <v>15</v>
      </c>
      <c r="D3003" s="3" t="n">
        <v>4</v>
      </c>
      <c r="E3003" s="3" t="n">
        <v>5</v>
      </c>
      <c r="F3003" s="24" t="n">
        <v>10.3309345</v>
      </c>
    </row>
    <row r="3004" customFormat="false" ht="15" hidden="false" customHeight="false" outlineLevel="0" collapsed="false">
      <c r="A3004" s="3" t="n">
        <v>3003</v>
      </c>
      <c r="B3004" s="3" t="n">
        <v>3002</v>
      </c>
      <c r="C3004" s="3" t="n">
        <v>15</v>
      </c>
      <c r="D3004" s="3" t="n">
        <v>4</v>
      </c>
      <c r="E3004" s="3" t="n">
        <v>6</v>
      </c>
      <c r="F3004" s="24" t="n">
        <v>9.93035889</v>
      </c>
    </row>
    <row r="3005" customFormat="false" ht="15" hidden="false" customHeight="false" outlineLevel="0" collapsed="false">
      <c r="A3005" s="3" t="n">
        <v>3004</v>
      </c>
      <c r="B3005" s="3" t="n">
        <v>3003</v>
      </c>
      <c r="C3005" s="3" t="n">
        <v>15</v>
      </c>
      <c r="D3005" s="3" t="n">
        <v>4</v>
      </c>
      <c r="E3005" s="3" t="n">
        <v>7</v>
      </c>
      <c r="F3005" s="24" t="n">
        <v>8.93110085</v>
      </c>
    </row>
    <row r="3006" customFormat="false" ht="15" hidden="false" customHeight="false" outlineLevel="0" collapsed="false">
      <c r="A3006" s="3" t="n">
        <v>3005</v>
      </c>
      <c r="B3006" s="3" t="n">
        <v>3004</v>
      </c>
      <c r="C3006" s="3" t="n">
        <v>15</v>
      </c>
      <c r="D3006" s="3" t="n">
        <v>4</v>
      </c>
      <c r="E3006" s="3" t="n">
        <v>8</v>
      </c>
      <c r="F3006" s="24" t="n">
        <v>8.72967529</v>
      </c>
    </row>
    <row r="3007" customFormat="false" ht="15" hidden="false" customHeight="false" outlineLevel="0" collapsed="false">
      <c r="A3007" s="3" t="n">
        <v>3006</v>
      </c>
      <c r="B3007" s="3" t="n">
        <v>3005</v>
      </c>
      <c r="C3007" s="3" t="n">
        <v>15</v>
      </c>
      <c r="D3007" s="3" t="n">
        <v>4</v>
      </c>
      <c r="E3007" s="3" t="n">
        <v>9</v>
      </c>
      <c r="F3007" s="24" t="n">
        <v>6.08521795</v>
      </c>
    </row>
    <row r="3008" customFormat="false" ht="15" hidden="false" customHeight="false" outlineLevel="0" collapsed="false">
      <c r="A3008" s="3" t="n">
        <v>3007</v>
      </c>
      <c r="B3008" s="3" t="n">
        <v>3006</v>
      </c>
      <c r="C3008" s="3" t="n">
        <v>15</v>
      </c>
      <c r="D3008" s="3" t="n">
        <v>4</v>
      </c>
      <c r="E3008" s="3" t="n">
        <v>10</v>
      </c>
      <c r="F3008" s="24" t="n">
        <v>2.5661633</v>
      </c>
    </row>
    <row r="3009" customFormat="false" ht="15" hidden="false" customHeight="false" outlineLevel="0" collapsed="false">
      <c r="A3009" s="3" t="n">
        <v>3008</v>
      </c>
      <c r="B3009" s="3" t="n">
        <v>3007</v>
      </c>
      <c r="C3009" s="3" t="n">
        <v>15</v>
      </c>
      <c r="D3009" s="3" t="n">
        <v>4</v>
      </c>
      <c r="E3009" s="3" t="n">
        <v>11</v>
      </c>
      <c r="F3009" s="24" t="n">
        <v>0.803337336</v>
      </c>
    </row>
    <row r="3010" customFormat="false" ht="15" hidden="false" customHeight="false" outlineLevel="0" collapsed="false">
      <c r="A3010" s="3" t="n">
        <v>3009</v>
      </c>
      <c r="B3010" s="3" t="n">
        <v>3008</v>
      </c>
      <c r="C3010" s="3" t="n">
        <v>15</v>
      </c>
      <c r="D3010" s="3" t="n">
        <v>4</v>
      </c>
      <c r="E3010" s="3" t="n">
        <v>12</v>
      </c>
      <c r="F3010" s="24" t="n">
        <v>-0.245860785</v>
      </c>
    </row>
    <row r="3011" customFormat="false" ht="15" hidden="false" customHeight="false" outlineLevel="0" collapsed="false">
      <c r="A3011" s="3" t="n">
        <v>3010</v>
      </c>
      <c r="B3011" s="3" t="n">
        <v>3009</v>
      </c>
      <c r="C3011" s="3" t="n">
        <v>15</v>
      </c>
      <c r="D3011" s="3" t="n">
        <v>4</v>
      </c>
      <c r="E3011" s="3" t="n">
        <v>13</v>
      </c>
      <c r="F3011" s="24" t="n">
        <v>-0.544894576</v>
      </c>
    </row>
    <row r="3012" customFormat="false" ht="15" hidden="false" customHeight="false" outlineLevel="0" collapsed="false">
      <c r="A3012" s="3" t="n">
        <v>3011</v>
      </c>
      <c r="B3012" s="3" t="n">
        <v>3010</v>
      </c>
      <c r="C3012" s="3" t="n">
        <v>15</v>
      </c>
      <c r="D3012" s="3" t="n">
        <v>5</v>
      </c>
      <c r="E3012" s="3" t="n">
        <v>0</v>
      </c>
      <c r="F3012" s="24" t="n">
        <v>0.158075586</v>
      </c>
    </row>
    <row r="3013" customFormat="false" ht="15" hidden="false" customHeight="false" outlineLevel="0" collapsed="false">
      <c r="A3013" s="3" t="n">
        <v>3012</v>
      </c>
      <c r="B3013" s="3" t="n">
        <v>3011</v>
      </c>
      <c r="C3013" s="3" t="n">
        <v>15</v>
      </c>
      <c r="D3013" s="3" t="n">
        <v>5</v>
      </c>
      <c r="E3013" s="3" t="n">
        <v>1</v>
      </c>
      <c r="F3013" s="24" t="n">
        <v>-0.286837637</v>
      </c>
    </row>
    <row r="3014" customFormat="false" ht="15" hidden="false" customHeight="false" outlineLevel="0" collapsed="false">
      <c r="A3014" s="3" t="n">
        <v>3013</v>
      </c>
      <c r="B3014" s="3" t="n">
        <v>3012</v>
      </c>
      <c r="C3014" s="3" t="n">
        <v>15</v>
      </c>
      <c r="D3014" s="3" t="n">
        <v>5</v>
      </c>
      <c r="E3014" s="3" t="n">
        <v>2</v>
      </c>
      <c r="F3014" s="24" t="n">
        <v>-1.70676064</v>
      </c>
    </row>
    <row r="3015" customFormat="false" ht="15" hidden="false" customHeight="false" outlineLevel="0" collapsed="false">
      <c r="A3015" s="3" t="n">
        <v>3014</v>
      </c>
      <c r="B3015" s="3" t="n">
        <v>3013</v>
      </c>
      <c r="C3015" s="3" t="n">
        <v>15</v>
      </c>
      <c r="D3015" s="3" t="n">
        <v>5</v>
      </c>
      <c r="E3015" s="3" t="n">
        <v>3</v>
      </c>
      <c r="F3015" s="24" t="n">
        <v>-1.32346237</v>
      </c>
    </row>
    <row r="3016" customFormat="false" ht="15" hidden="false" customHeight="false" outlineLevel="0" collapsed="false">
      <c r="A3016" s="3" t="n">
        <v>3015</v>
      </c>
      <c r="B3016" s="3" t="n">
        <v>3014</v>
      </c>
      <c r="C3016" s="3" t="n">
        <v>15</v>
      </c>
      <c r="D3016" s="3" t="n">
        <v>5</v>
      </c>
      <c r="E3016" s="3" t="n">
        <v>4</v>
      </c>
      <c r="F3016" s="24" t="n">
        <v>0.753188014</v>
      </c>
    </row>
    <row r="3017" customFormat="false" ht="15" hidden="false" customHeight="false" outlineLevel="0" collapsed="false">
      <c r="A3017" s="3" t="n">
        <v>3016</v>
      </c>
      <c r="B3017" s="3" t="n">
        <v>3015</v>
      </c>
      <c r="C3017" s="3" t="n">
        <v>15</v>
      </c>
      <c r="D3017" s="3" t="n">
        <v>5</v>
      </c>
      <c r="E3017" s="3" t="n">
        <v>5</v>
      </c>
      <c r="F3017" s="24" t="n">
        <v>2.35475397</v>
      </c>
    </row>
    <row r="3018" customFormat="false" ht="15" hidden="false" customHeight="false" outlineLevel="0" collapsed="false">
      <c r="A3018" s="3" t="n">
        <v>3017</v>
      </c>
      <c r="B3018" s="3" t="n">
        <v>3016</v>
      </c>
      <c r="C3018" s="3" t="n">
        <v>15</v>
      </c>
      <c r="D3018" s="3" t="n">
        <v>5</v>
      </c>
      <c r="E3018" s="3" t="n">
        <v>6</v>
      </c>
      <c r="F3018" s="24" t="n">
        <v>3.7527101</v>
      </c>
    </row>
    <row r="3019" customFormat="false" ht="15" hidden="false" customHeight="false" outlineLevel="0" collapsed="false">
      <c r="A3019" s="3" t="n">
        <v>3018</v>
      </c>
      <c r="B3019" s="3" t="n">
        <v>3017</v>
      </c>
      <c r="C3019" s="3" t="n">
        <v>15</v>
      </c>
      <c r="D3019" s="3" t="n">
        <v>5</v>
      </c>
      <c r="E3019" s="3" t="n">
        <v>7</v>
      </c>
      <c r="F3019" s="24" t="n">
        <v>3.56626844</v>
      </c>
    </row>
    <row r="3020" customFormat="false" ht="15" hidden="false" customHeight="false" outlineLevel="0" collapsed="false">
      <c r="A3020" s="3" t="n">
        <v>3019</v>
      </c>
      <c r="B3020" s="3" t="n">
        <v>3018</v>
      </c>
      <c r="C3020" s="3" t="n">
        <v>15</v>
      </c>
      <c r="D3020" s="3" t="n">
        <v>5</v>
      </c>
      <c r="E3020" s="3" t="n">
        <v>8</v>
      </c>
      <c r="F3020" s="24" t="n">
        <v>2.71424937</v>
      </c>
    </row>
    <row r="3021" customFormat="false" ht="15" hidden="false" customHeight="false" outlineLevel="0" collapsed="false">
      <c r="A3021" s="3" t="n">
        <v>3020</v>
      </c>
      <c r="B3021" s="3" t="n">
        <v>3019</v>
      </c>
      <c r="C3021" s="3" t="n">
        <v>15</v>
      </c>
      <c r="D3021" s="3" t="n">
        <v>5</v>
      </c>
      <c r="E3021" s="3" t="n">
        <v>9</v>
      </c>
      <c r="F3021" s="24" t="n">
        <v>-0.249521375</v>
      </c>
    </row>
    <row r="3022" customFormat="false" ht="15" hidden="false" customHeight="false" outlineLevel="0" collapsed="false">
      <c r="A3022" s="3" t="n">
        <v>3021</v>
      </c>
      <c r="B3022" s="3" t="n">
        <v>3020</v>
      </c>
      <c r="C3022" s="3" t="n">
        <v>15</v>
      </c>
      <c r="D3022" s="3" t="n">
        <v>5</v>
      </c>
      <c r="E3022" s="3" t="n">
        <v>10</v>
      </c>
      <c r="F3022" s="24" t="n">
        <v>-0.51878345</v>
      </c>
    </row>
    <row r="3023" customFormat="false" ht="15" hidden="false" customHeight="false" outlineLevel="0" collapsed="false">
      <c r="A3023" s="3" t="n">
        <v>3022</v>
      </c>
      <c r="B3023" s="3" t="n">
        <v>3021</v>
      </c>
      <c r="C3023" s="3" t="n">
        <v>15</v>
      </c>
      <c r="D3023" s="3" t="n">
        <v>5</v>
      </c>
      <c r="E3023" s="3" t="n">
        <v>11</v>
      </c>
      <c r="F3023" s="24" t="n">
        <v>-0.323932171</v>
      </c>
    </row>
    <row r="3024" customFormat="false" ht="15" hidden="false" customHeight="false" outlineLevel="0" collapsed="false">
      <c r="A3024" s="3" t="n">
        <v>3023</v>
      </c>
      <c r="B3024" s="3" t="n">
        <v>3022</v>
      </c>
      <c r="C3024" s="3" t="n">
        <v>15</v>
      </c>
      <c r="D3024" s="3" t="n">
        <v>5</v>
      </c>
      <c r="E3024" s="3" t="n">
        <v>12</v>
      </c>
      <c r="F3024" s="24" t="n">
        <v>-0.0713449344</v>
      </c>
    </row>
    <row r="3025" customFormat="false" ht="15" hidden="false" customHeight="false" outlineLevel="0" collapsed="false">
      <c r="A3025" s="3" t="n">
        <v>3024</v>
      </c>
      <c r="B3025" s="3" t="n">
        <v>3023</v>
      </c>
      <c r="C3025" s="3" t="n">
        <v>15</v>
      </c>
      <c r="D3025" s="3" t="n">
        <v>5</v>
      </c>
      <c r="E3025" s="3" t="n">
        <v>13</v>
      </c>
      <c r="F3025" s="24" t="n">
        <v>-0.544894576</v>
      </c>
    </row>
    <row r="3026" customFormat="false" ht="15" hidden="false" customHeight="false" outlineLevel="0" collapsed="false">
      <c r="A3026" s="3" t="n">
        <v>3025</v>
      </c>
      <c r="B3026" s="3" t="n">
        <v>3024</v>
      </c>
      <c r="C3026" s="3" t="n">
        <v>15</v>
      </c>
      <c r="D3026" s="3" t="n">
        <v>6</v>
      </c>
      <c r="E3026" s="3" t="n">
        <v>0</v>
      </c>
      <c r="F3026" s="24" t="n">
        <v>0.158075586</v>
      </c>
    </row>
    <row r="3027" customFormat="false" ht="15" hidden="false" customHeight="false" outlineLevel="0" collapsed="false">
      <c r="A3027" s="3" t="n">
        <v>3026</v>
      </c>
      <c r="B3027" s="3" t="n">
        <v>3025</v>
      </c>
      <c r="C3027" s="3" t="n">
        <v>15</v>
      </c>
      <c r="D3027" s="3" t="n">
        <v>6</v>
      </c>
      <c r="E3027" s="3" t="n">
        <v>1</v>
      </c>
      <c r="F3027" s="24" t="n">
        <v>-0.199919075</v>
      </c>
    </row>
    <row r="3028" customFormat="false" ht="15" hidden="false" customHeight="false" outlineLevel="0" collapsed="false">
      <c r="A3028" s="3" t="n">
        <v>3027</v>
      </c>
      <c r="B3028" s="3" t="n">
        <v>3026</v>
      </c>
      <c r="C3028" s="3" t="n">
        <v>15</v>
      </c>
      <c r="D3028" s="3" t="n">
        <v>6</v>
      </c>
      <c r="E3028" s="3" t="n">
        <v>2</v>
      </c>
      <c r="F3028" s="24" t="n">
        <v>-0.587813795</v>
      </c>
    </row>
    <row r="3029" customFormat="false" ht="15" hidden="false" customHeight="false" outlineLevel="0" collapsed="false">
      <c r="A3029" s="3" t="n">
        <v>3028</v>
      </c>
      <c r="B3029" s="3" t="n">
        <v>3027</v>
      </c>
      <c r="C3029" s="3" t="n">
        <v>15</v>
      </c>
      <c r="D3029" s="3" t="n">
        <v>6</v>
      </c>
      <c r="E3029" s="3" t="n">
        <v>3</v>
      </c>
      <c r="F3029" s="24" t="n">
        <v>-1.16809952</v>
      </c>
    </row>
    <row r="3030" customFormat="false" ht="15" hidden="false" customHeight="false" outlineLevel="0" collapsed="false">
      <c r="A3030" s="3" t="n">
        <v>3029</v>
      </c>
      <c r="B3030" s="3" t="n">
        <v>3028</v>
      </c>
      <c r="C3030" s="3" t="n">
        <v>15</v>
      </c>
      <c r="D3030" s="3" t="n">
        <v>6</v>
      </c>
      <c r="E3030" s="3" t="n">
        <v>4</v>
      </c>
      <c r="F3030" s="24" t="n">
        <v>-1.80909646</v>
      </c>
    </row>
    <row r="3031" customFormat="false" ht="15" hidden="false" customHeight="false" outlineLevel="0" collapsed="false">
      <c r="A3031" s="3" t="n">
        <v>3030</v>
      </c>
      <c r="B3031" s="3" t="n">
        <v>3029</v>
      </c>
      <c r="C3031" s="3" t="n">
        <v>15</v>
      </c>
      <c r="D3031" s="3" t="n">
        <v>6</v>
      </c>
      <c r="E3031" s="3" t="n">
        <v>5</v>
      </c>
      <c r="F3031" s="24" t="n">
        <v>-2.54138327</v>
      </c>
    </row>
    <row r="3032" customFormat="false" ht="15" hidden="false" customHeight="false" outlineLevel="0" collapsed="false">
      <c r="A3032" s="3" t="n">
        <v>3031</v>
      </c>
      <c r="B3032" s="3" t="n">
        <v>3030</v>
      </c>
      <c r="C3032" s="3" t="n">
        <v>15</v>
      </c>
      <c r="D3032" s="3" t="n">
        <v>6</v>
      </c>
      <c r="E3032" s="3" t="n">
        <v>6</v>
      </c>
      <c r="F3032" s="24" t="n">
        <v>-3.63363576</v>
      </c>
    </row>
    <row r="3033" customFormat="false" ht="15" hidden="false" customHeight="false" outlineLevel="0" collapsed="false">
      <c r="A3033" s="3" t="n">
        <v>3032</v>
      </c>
      <c r="B3033" s="3" t="n">
        <v>3031</v>
      </c>
      <c r="C3033" s="3" t="n">
        <v>15</v>
      </c>
      <c r="D3033" s="3" t="n">
        <v>6</v>
      </c>
      <c r="E3033" s="3" t="n">
        <v>7</v>
      </c>
      <c r="F3033" s="24" t="n">
        <v>-4.20951414</v>
      </c>
    </row>
    <row r="3034" customFormat="false" ht="15" hidden="false" customHeight="false" outlineLevel="0" collapsed="false">
      <c r="A3034" s="3" t="n">
        <v>3033</v>
      </c>
      <c r="B3034" s="3" t="n">
        <v>3032</v>
      </c>
      <c r="C3034" s="3" t="n">
        <v>15</v>
      </c>
      <c r="D3034" s="3" t="n">
        <v>6</v>
      </c>
      <c r="E3034" s="3" t="n">
        <v>8</v>
      </c>
      <c r="F3034" s="24" t="n">
        <v>-4.97681999</v>
      </c>
    </row>
    <row r="3035" customFormat="false" ht="15" hidden="false" customHeight="false" outlineLevel="0" collapsed="false">
      <c r="A3035" s="3" t="n">
        <v>3034</v>
      </c>
      <c r="B3035" s="3" t="n">
        <v>3033</v>
      </c>
      <c r="C3035" s="3" t="n">
        <v>15</v>
      </c>
      <c r="D3035" s="3" t="n">
        <v>6</v>
      </c>
      <c r="E3035" s="3" t="n">
        <v>9</v>
      </c>
      <c r="F3035" s="24" t="n">
        <v>-5.34872866</v>
      </c>
    </row>
    <row r="3036" customFormat="false" ht="15" hidden="false" customHeight="false" outlineLevel="0" collapsed="false">
      <c r="A3036" s="3" t="n">
        <v>3035</v>
      </c>
      <c r="B3036" s="3" t="n">
        <v>3034</v>
      </c>
      <c r="C3036" s="3" t="n">
        <v>15</v>
      </c>
      <c r="D3036" s="3" t="n">
        <v>6</v>
      </c>
      <c r="E3036" s="3" t="n">
        <v>10</v>
      </c>
      <c r="F3036" s="24" t="n">
        <v>-1.66650653</v>
      </c>
    </row>
    <row r="3037" customFormat="false" ht="15" hidden="false" customHeight="false" outlineLevel="0" collapsed="false">
      <c r="A3037" s="3" t="n">
        <v>3036</v>
      </c>
      <c r="B3037" s="3" t="n">
        <v>3035</v>
      </c>
      <c r="C3037" s="3" t="n">
        <v>15</v>
      </c>
      <c r="D3037" s="3" t="n">
        <v>6</v>
      </c>
      <c r="E3037" s="3" t="n">
        <v>11</v>
      </c>
      <c r="F3037" s="24" t="n">
        <v>-1.18944168</v>
      </c>
    </row>
    <row r="3038" customFormat="false" ht="15" hidden="false" customHeight="false" outlineLevel="0" collapsed="false">
      <c r="A3038" s="3" t="n">
        <v>3037</v>
      </c>
      <c r="B3038" s="3" t="n">
        <v>3036</v>
      </c>
      <c r="C3038" s="3" t="n">
        <v>15</v>
      </c>
      <c r="D3038" s="3" t="n">
        <v>6</v>
      </c>
      <c r="E3038" s="3" t="n">
        <v>12</v>
      </c>
      <c r="F3038" s="24" t="n">
        <v>-0.559086025</v>
      </c>
    </row>
    <row r="3039" customFormat="false" ht="15" hidden="false" customHeight="false" outlineLevel="0" collapsed="false">
      <c r="A3039" s="3" t="n">
        <v>3038</v>
      </c>
      <c r="B3039" s="3" t="n">
        <v>3037</v>
      </c>
      <c r="C3039" s="3" t="n">
        <v>15</v>
      </c>
      <c r="D3039" s="3" t="n">
        <v>6</v>
      </c>
      <c r="E3039" s="3" t="n">
        <v>13</v>
      </c>
      <c r="F3039" s="24" t="n">
        <v>-0.544894576</v>
      </c>
    </row>
    <row r="3040" customFormat="false" ht="15" hidden="false" customHeight="false" outlineLevel="0" collapsed="false">
      <c r="A3040" s="3" t="n">
        <v>3039</v>
      </c>
      <c r="B3040" s="3" t="n">
        <v>3038</v>
      </c>
      <c r="C3040" s="3" t="n">
        <v>15</v>
      </c>
      <c r="D3040" s="3" t="n">
        <v>7</v>
      </c>
      <c r="E3040" s="3" t="n">
        <v>0</v>
      </c>
      <c r="F3040" s="24" t="n">
        <v>0.158075586</v>
      </c>
    </row>
    <row r="3041" customFormat="false" ht="15" hidden="false" customHeight="false" outlineLevel="0" collapsed="false">
      <c r="A3041" s="3" t="n">
        <v>3040</v>
      </c>
      <c r="B3041" s="3" t="n">
        <v>3039</v>
      </c>
      <c r="C3041" s="3" t="n">
        <v>15</v>
      </c>
      <c r="D3041" s="3" t="n">
        <v>7</v>
      </c>
      <c r="E3041" s="3" t="n">
        <v>1</v>
      </c>
      <c r="F3041" s="24" t="n">
        <v>-0.0841015279</v>
      </c>
    </row>
    <row r="3042" customFormat="false" ht="15" hidden="false" customHeight="false" outlineLevel="0" collapsed="false">
      <c r="A3042" s="3" t="n">
        <v>3041</v>
      </c>
      <c r="B3042" s="3" t="n">
        <v>3040</v>
      </c>
      <c r="C3042" s="3" t="n">
        <v>15</v>
      </c>
      <c r="D3042" s="3" t="n">
        <v>7</v>
      </c>
      <c r="E3042" s="3" t="n">
        <v>2</v>
      </c>
      <c r="F3042" s="24" t="n">
        <v>-0.0563585982</v>
      </c>
    </row>
    <row r="3043" customFormat="false" ht="15" hidden="false" customHeight="false" outlineLevel="0" collapsed="false">
      <c r="A3043" s="3" t="n">
        <v>3042</v>
      </c>
      <c r="B3043" s="3" t="n">
        <v>3041</v>
      </c>
      <c r="C3043" s="3" t="n">
        <v>15</v>
      </c>
      <c r="D3043" s="3" t="n">
        <v>7</v>
      </c>
      <c r="E3043" s="3" t="n">
        <v>3</v>
      </c>
      <c r="F3043" s="24" t="n">
        <v>-0.0563585982</v>
      </c>
    </row>
    <row r="3044" customFormat="false" ht="15" hidden="false" customHeight="false" outlineLevel="0" collapsed="false">
      <c r="A3044" s="3" t="n">
        <v>3043</v>
      </c>
      <c r="B3044" s="3" t="n">
        <v>3042</v>
      </c>
      <c r="C3044" s="3" t="n">
        <v>15</v>
      </c>
      <c r="D3044" s="3" t="n">
        <v>7</v>
      </c>
      <c r="E3044" s="3" t="n">
        <v>4</v>
      </c>
      <c r="F3044" s="24" t="n">
        <v>-0.0563585982</v>
      </c>
    </row>
    <row r="3045" customFormat="false" ht="15" hidden="false" customHeight="false" outlineLevel="0" collapsed="false">
      <c r="A3045" s="3" t="n">
        <v>3044</v>
      </c>
      <c r="B3045" s="3" t="n">
        <v>3043</v>
      </c>
      <c r="C3045" s="3" t="n">
        <v>15</v>
      </c>
      <c r="D3045" s="3" t="n">
        <v>7</v>
      </c>
      <c r="E3045" s="3" t="n">
        <v>5</v>
      </c>
      <c r="F3045" s="24" t="n">
        <v>-0.174420998</v>
      </c>
    </row>
    <row r="3046" customFormat="false" ht="15" hidden="false" customHeight="false" outlineLevel="0" collapsed="false">
      <c r="A3046" s="3" t="n">
        <v>3045</v>
      </c>
      <c r="B3046" s="3" t="n">
        <v>3044</v>
      </c>
      <c r="C3046" s="3" t="n">
        <v>15</v>
      </c>
      <c r="D3046" s="3" t="n">
        <v>7</v>
      </c>
      <c r="E3046" s="3" t="n">
        <v>6</v>
      </c>
      <c r="F3046" s="24" t="n">
        <v>-0.898415208</v>
      </c>
    </row>
    <row r="3047" customFormat="false" ht="15" hidden="false" customHeight="false" outlineLevel="0" collapsed="false">
      <c r="A3047" s="3" t="n">
        <v>3046</v>
      </c>
      <c r="B3047" s="3" t="n">
        <v>3045</v>
      </c>
      <c r="C3047" s="3" t="n">
        <v>15</v>
      </c>
      <c r="D3047" s="3" t="n">
        <v>7</v>
      </c>
      <c r="E3047" s="3" t="n">
        <v>7</v>
      </c>
      <c r="F3047" s="24" t="n">
        <v>-1.19644272</v>
      </c>
    </row>
    <row r="3048" customFormat="false" ht="15" hidden="false" customHeight="false" outlineLevel="0" collapsed="false">
      <c r="A3048" s="3" t="n">
        <v>3047</v>
      </c>
      <c r="B3048" s="3" t="n">
        <v>3046</v>
      </c>
      <c r="C3048" s="3" t="n">
        <v>15</v>
      </c>
      <c r="D3048" s="3" t="n">
        <v>7</v>
      </c>
      <c r="E3048" s="3" t="n">
        <v>8</v>
      </c>
      <c r="F3048" s="24" t="n">
        <v>-3.552526</v>
      </c>
    </row>
    <row r="3049" customFormat="false" ht="15" hidden="false" customHeight="false" outlineLevel="0" collapsed="false">
      <c r="A3049" s="3" t="n">
        <v>3048</v>
      </c>
      <c r="B3049" s="3" t="n">
        <v>3047</v>
      </c>
      <c r="C3049" s="3" t="n">
        <v>15</v>
      </c>
      <c r="D3049" s="3" t="n">
        <v>7</v>
      </c>
      <c r="E3049" s="3" t="n">
        <v>9</v>
      </c>
      <c r="F3049" s="24" t="n">
        <v>-1.64035666</v>
      </c>
    </row>
    <row r="3050" customFormat="false" ht="15" hidden="false" customHeight="false" outlineLevel="0" collapsed="false">
      <c r="A3050" s="3" t="n">
        <v>3049</v>
      </c>
      <c r="B3050" s="3" t="n">
        <v>3048</v>
      </c>
      <c r="C3050" s="3" t="n">
        <v>15</v>
      </c>
      <c r="D3050" s="3" t="n">
        <v>7</v>
      </c>
      <c r="E3050" s="3" t="n">
        <v>10</v>
      </c>
      <c r="F3050" s="24" t="n">
        <v>-0.158311054</v>
      </c>
    </row>
    <row r="3051" customFormat="false" ht="15" hidden="false" customHeight="false" outlineLevel="0" collapsed="false">
      <c r="A3051" s="3" t="n">
        <v>3050</v>
      </c>
      <c r="B3051" s="3" t="n">
        <v>3049</v>
      </c>
      <c r="C3051" s="3" t="n">
        <v>15</v>
      </c>
      <c r="D3051" s="3" t="n">
        <v>7</v>
      </c>
      <c r="E3051" s="3" t="n">
        <v>11</v>
      </c>
      <c r="F3051" s="24" t="n">
        <v>-0.36845696</v>
      </c>
    </row>
    <row r="3052" customFormat="false" ht="15" hidden="false" customHeight="false" outlineLevel="0" collapsed="false">
      <c r="A3052" s="3" t="n">
        <v>3051</v>
      </c>
      <c r="B3052" s="3" t="n">
        <v>3050</v>
      </c>
      <c r="C3052" s="3" t="n">
        <v>15</v>
      </c>
      <c r="D3052" s="3" t="n">
        <v>7</v>
      </c>
      <c r="E3052" s="3" t="n">
        <v>12</v>
      </c>
      <c r="F3052" s="24" t="n">
        <v>-0.334287703</v>
      </c>
    </row>
    <row r="3053" customFormat="false" ht="15" hidden="false" customHeight="false" outlineLevel="0" collapsed="false">
      <c r="A3053" s="3" t="n">
        <v>3052</v>
      </c>
      <c r="B3053" s="3" t="n">
        <v>3051</v>
      </c>
      <c r="C3053" s="3" t="n">
        <v>15</v>
      </c>
      <c r="D3053" s="3" t="n">
        <v>7</v>
      </c>
      <c r="E3053" s="3" t="n">
        <v>13</v>
      </c>
      <c r="F3053" s="24" t="n">
        <v>-0.544894576</v>
      </c>
    </row>
    <row r="3054" customFormat="false" ht="15" hidden="false" customHeight="false" outlineLevel="0" collapsed="false">
      <c r="A3054" s="3" t="n">
        <v>3053</v>
      </c>
      <c r="B3054" s="3" t="n">
        <v>3052</v>
      </c>
      <c r="C3054" s="3" t="n">
        <v>15</v>
      </c>
      <c r="D3054" s="3" t="n">
        <v>8</v>
      </c>
      <c r="E3054" s="3" t="n">
        <v>0</v>
      </c>
      <c r="F3054" s="24" t="n">
        <v>0.158075586</v>
      </c>
    </row>
    <row r="3055" customFormat="false" ht="15" hidden="false" customHeight="false" outlineLevel="0" collapsed="false">
      <c r="A3055" s="3" t="n">
        <v>3054</v>
      </c>
      <c r="B3055" s="3" t="n">
        <v>3053</v>
      </c>
      <c r="C3055" s="3" t="n">
        <v>15</v>
      </c>
      <c r="D3055" s="3" t="n">
        <v>8</v>
      </c>
      <c r="E3055" s="3" t="n">
        <v>1</v>
      </c>
      <c r="F3055" s="24" t="n">
        <v>-0.0841015279</v>
      </c>
    </row>
    <row r="3056" customFormat="false" ht="15" hidden="false" customHeight="false" outlineLevel="0" collapsed="false">
      <c r="A3056" s="3" t="n">
        <v>3055</v>
      </c>
      <c r="B3056" s="3" t="n">
        <v>3054</v>
      </c>
      <c r="C3056" s="3" t="n">
        <v>15</v>
      </c>
      <c r="D3056" s="3" t="n">
        <v>8</v>
      </c>
      <c r="E3056" s="3" t="n">
        <v>2</v>
      </c>
      <c r="F3056" s="24" t="n">
        <v>-0.0563585982</v>
      </c>
    </row>
    <row r="3057" customFormat="false" ht="15" hidden="false" customHeight="false" outlineLevel="0" collapsed="false">
      <c r="A3057" s="3" t="n">
        <v>3056</v>
      </c>
      <c r="B3057" s="3" t="n">
        <v>3055</v>
      </c>
      <c r="C3057" s="3" t="n">
        <v>15</v>
      </c>
      <c r="D3057" s="3" t="n">
        <v>8</v>
      </c>
      <c r="E3057" s="3" t="n">
        <v>3</v>
      </c>
      <c r="F3057" s="24" t="n">
        <v>-0.0563585982</v>
      </c>
    </row>
    <row r="3058" customFormat="false" ht="15" hidden="false" customHeight="false" outlineLevel="0" collapsed="false">
      <c r="A3058" s="3" t="n">
        <v>3057</v>
      </c>
      <c r="B3058" s="3" t="n">
        <v>3056</v>
      </c>
      <c r="C3058" s="3" t="n">
        <v>15</v>
      </c>
      <c r="D3058" s="3" t="n">
        <v>8</v>
      </c>
      <c r="E3058" s="3" t="n">
        <v>4</v>
      </c>
      <c r="F3058" s="24" t="n">
        <v>-0.0514905006</v>
      </c>
    </row>
    <row r="3059" customFormat="false" ht="15" hidden="false" customHeight="false" outlineLevel="0" collapsed="false">
      <c r="A3059" s="3" t="n">
        <v>3058</v>
      </c>
      <c r="B3059" s="3" t="n">
        <v>3057</v>
      </c>
      <c r="C3059" s="3" t="n">
        <v>15</v>
      </c>
      <c r="D3059" s="3" t="n">
        <v>8</v>
      </c>
      <c r="E3059" s="3" t="n">
        <v>5</v>
      </c>
      <c r="F3059" s="24" t="n">
        <v>-0.695962489</v>
      </c>
    </row>
    <row r="3060" customFormat="false" ht="15" hidden="false" customHeight="false" outlineLevel="0" collapsed="false">
      <c r="A3060" s="3" t="n">
        <v>3059</v>
      </c>
      <c r="B3060" s="3" t="n">
        <v>3058</v>
      </c>
      <c r="C3060" s="3" t="n">
        <v>15</v>
      </c>
      <c r="D3060" s="3" t="n">
        <v>8</v>
      </c>
      <c r="E3060" s="3" t="n">
        <v>6</v>
      </c>
      <c r="F3060" s="24" t="n">
        <v>-1.43346834</v>
      </c>
    </row>
    <row r="3061" customFormat="false" ht="15" hidden="false" customHeight="false" outlineLevel="0" collapsed="false">
      <c r="A3061" s="3" t="n">
        <v>3060</v>
      </c>
      <c r="B3061" s="3" t="n">
        <v>3059</v>
      </c>
      <c r="C3061" s="3" t="n">
        <v>15</v>
      </c>
      <c r="D3061" s="3" t="n">
        <v>8</v>
      </c>
      <c r="E3061" s="3" t="n">
        <v>7</v>
      </c>
      <c r="F3061" s="24" t="n">
        <v>-3.32137275</v>
      </c>
    </row>
    <row r="3062" customFormat="false" ht="15" hidden="false" customHeight="false" outlineLevel="0" collapsed="false">
      <c r="A3062" s="3" t="n">
        <v>3061</v>
      </c>
      <c r="B3062" s="3" t="n">
        <v>3060</v>
      </c>
      <c r="C3062" s="3" t="n">
        <v>15</v>
      </c>
      <c r="D3062" s="3" t="n">
        <v>8</v>
      </c>
      <c r="E3062" s="3" t="n">
        <v>8</v>
      </c>
      <c r="F3062" s="24" t="n">
        <v>-3.37319207</v>
      </c>
    </row>
    <row r="3063" customFormat="false" ht="15" hidden="false" customHeight="false" outlineLevel="0" collapsed="false">
      <c r="A3063" s="3" t="n">
        <v>3062</v>
      </c>
      <c r="B3063" s="3" t="n">
        <v>3061</v>
      </c>
      <c r="C3063" s="3" t="n">
        <v>15</v>
      </c>
      <c r="D3063" s="3" t="n">
        <v>8</v>
      </c>
      <c r="E3063" s="3" t="n">
        <v>9</v>
      </c>
      <c r="F3063" s="24" t="n">
        <v>-1.34894896</v>
      </c>
    </row>
    <row r="3064" customFormat="false" ht="15" hidden="false" customHeight="false" outlineLevel="0" collapsed="false">
      <c r="A3064" s="3" t="n">
        <v>3063</v>
      </c>
      <c r="B3064" s="3" t="n">
        <v>3062</v>
      </c>
      <c r="C3064" s="3" t="n">
        <v>15</v>
      </c>
      <c r="D3064" s="3" t="n">
        <v>8</v>
      </c>
      <c r="E3064" s="3" t="n">
        <v>10</v>
      </c>
      <c r="F3064" s="24" t="n">
        <v>-1.41270423</v>
      </c>
    </row>
    <row r="3065" customFormat="false" ht="15" hidden="false" customHeight="false" outlineLevel="0" collapsed="false">
      <c r="A3065" s="3" t="n">
        <v>3064</v>
      </c>
      <c r="B3065" s="3" t="n">
        <v>3063</v>
      </c>
      <c r="C3065" s="3" t="n">
        <v>15</v>
      </c>
      <c r="D3065" s="3" t="n">
        <v>8</v>
      </c>
      <c r="E3065" s="3" t="n">
        <v>11</v>
      </c>
      <c r="F3065" s="24" t="n">
        <v>-0.551419497</v>
      </c>
    </row>
    <row r="3066" customFormat="false" ht="15" hidden="false" customHeight="false" outlineLevel="0" collapsed="false">
      <c r="A3066" s="3" t="n">
        <v>3065</v>
      </c>
      <c r="B3066" s="3" t="n">
        <v>3064</v>
      </c>
      <c r="C3066" s="3" t="n">
        <v>15</v>
      </c>
      <c r="D3066" s="3" t="n">
        <v>8</v>
      </c>
      <c r="E3066" s="3" t="n">
        <v>12</v>
      </c>
      <c r="F3066" s="24" t="n">
        <v>-0.314002633</v>
      </c>
    </row>
    <row r="3067" customFormat="false" ht="15" hidden="false" customHeight="false" outlineLevel="0" collapsed="false">
      <c r="A3067" s="3" t="n">
        <v>3066</v>
      </c>
      <c r="B3067" s="3" t="n">
        <v>3065</v>
      </c>
      <c r="C3067" s="3" t="n">
        <v>15</v>
      </c>
      <c r="D3067" s="3" t="n">
        <v>8</v>
      </c>
      <c r="E3067" s="3" t="n">
        <v>13</v>
      </c>
      <c r="F3067" s="24" t="n">
        <v>-0.544894576</v>
      </c>
    </row>
    <row r="3068" customFormat="false" ht="15" hidden="false" customHeight="false" outlineLevel="0" collapsed="false">
      <c r="A3068" s="3" t="n">
        <v>3067</v>
      </c>
      <c r="B3068" s="3" t="n">
        <v>3066</v>
      </c>
      <c r="C3068" s="3" t="n">
        <v>15</v>
      </c>
      <c r="D3068" s="3" t="n">
        <v>9</v>
      </c>
      <c r="E3068" s="3" t="n">
        <v>0</v>
      </c>
      <c r="F3068" s="24" t="n">
        <v>0.158075586</v>
      </c>
    </row>
    <row r="3069" customFormat="false" ht="15" hidden="false" customHeight="false" outlineLevel="0" collapsed="false">
      <c r="A3069" s="3" t="n">
        <v>3068</v>
      </c>
      <c r="B3069" s="3" t="n">
        <v>3067</v>
      </c>
      <c r="C3069" s="3" t="n">
        <v>15</v>
      </c>
      <c r="D3069" s="3" t="n">
        <v>9</v>
      </c>
      <c r="E3069" s="3" t="n">
        <v>1</v>
      </c>
      <c r="F3069" s="24" t="n">
        <v>-0.0841015279</v>
      </c>
    </row>
    <row r="3070" customFormat="false" ht="15" hidden="false" customHeight="false" outlineLevel="0" collapsed="false">
      <c r="A3070" s="3" t="n">
        <v>3069</v>
      </c>
      <c r="B3070" s="3" t="n">
        <v>3068</v>
      </c>
      <c r="C3070" s="3" t="n">
        <v>15</v>
      </c>
      <c r="D3070" s="3" t="n">
        <v>9</v>
      </c>
      <c r="E3070" s="3" t="n">
        <v>2</v>
      </c>
      <c r="F3070" s="24" t="n">
        <v>-0.0563585982</v>
      </c>
    </row>
    <row r="3071" customFormat="false" ht="15" hidden="false" customHeight="false" outlineLevel="0" collapsed="false">
      <c r="A3071" s="3" t="n">
        <v>3070</v>
      </c>
      <c r="B3071" s="3" t="n">
        <v>3069</v>
      </c>
      <c r="C3071" s="3" t="n">
        <v>15</v>
      </c>
      <c r="D3071" s="3" t="n">
        <v>9</v>
      </c>
      <c r="E3071" s="3" t="n">
        <v>3</v>
      </c>
      <c r="F3071" s="24" t="n">
        <v>-0.0563585982</v>
      </c>
    </row>
    <row r="3072" customFormat="false" ht="15" hidden="false" customHeight="false" outlineLevel="0" collapsed="false">
      <c r="A3072" s="3" t="n">
        <v>3071</v>
      </c>
      <c r="B3072" s="3" t="n">
        <v>3070</v>
      </c>
      <c r="C3072" s="3" t="n">
        <v>15</v>
      </c>
      <c r="D3072" s="3" t="n">
        <v>9</v>
      </c>
      <c r="E3072" s="3" t="n">
        <v>4</v>
      </c>
      <c r="F3072" s="24" t="n">
        <v>-0.817159474</v>
      </c>
    </row>
    <row r="3073" customFormat="false" ht="15" hidden="false" customHeight="false" outlineLevel="0" collapsed="false">
      <c r="A3073" s="3" t="n">
        <v>3072</v>
      </c>
      <c r="B3073" s="3" t="n">
        <v>3071</v>
      </c>
      <c r="C3073" s="3" t="n">
        <v>15</v>
      </c>
      <c r="D3073" s="3" t="n">
        <v>9</v>
      </c>
      <c r="E3073" s="3" t="n">
        <v>5</v>
      </c>
      <c r="F3073" s="24" t="n">
        <v>-1.28977513</v>
      </c>
    </row>
    <row r="3074" customFormat="false" ht="15" hidden="false" customHeight="false" outlineLevel="0" collapsed="false">
      <c r="A3074" s="3" t="n">
        <v>3073</v>
      </c>
      <c r="B3074" s="3" t="n">
        <v>3072</v>
      </c>
      <c r="C3074" s="3" t="n">
        <v>15</v>
      </c>
      <c r="D3074" s="3" t="n">
        <v>9</v>
      </c>
      <c r="E3074" s="3" t="n">
        <v>6</v>
      </c>
      <c r="F3074" s="24" t="n">
        <v>-0.693984032</v>
      </c>
    </row>
    <row r="3075" customFormat="false" ht="15" hidden="false" customHeight="false" outlineLevel="0" collapsed="false">
      <c r="A3075" s="3" t="n">
        <v>3074</v>
      </c>
      <c r="B3075" s="3" t="n">
        <v>3073</v>
      </c>
      <c r="C3075" s="3" t="n">
        <v>15</v>
      </c>
      <c r="D3075" s="3" t="n">
        <v>9</v>
      </c>
      <c r="E3075" s="3" t="n">
        <v>7</v>
      </c>
      <c r="F3075" s="24" t="n">
        <v>-2.4833715</v>
      </c>
    </row>
    <row r="3076" customFormat="false" ht="15" hidden="false" customHeight="false" outlineLevel="0" collapsed="false">
      <c r="A3076" s="3" t="n">
        <v>3075</v>
      </c>
      <c r="B3076" s="3" t="n">
        <v>3074</v>
      </c>
      <c r="C3076" s="3" t="n">
        <v>15</v>
      </c>
      <c r="D3076" s="3" t="n">
        <v>9</v>
      </c>
      <c r="E3076" s="3" t="n">
        <v>8</v>
      </c>
      <c r="F3076" s="24" t="n">
        <v>-2.08669257</v>
      </c>
    </row>
    <row r="3077" customFormat="false" ht="15" hidden="false" customHeight="false" outlineLevel="0" collapsed="false">
      <c r="A3077" s="3" t="n">
        <v>3076</v>
      </c>
      <c r="B3077" s="3" t="n">
        <v>3075</v>
      </c>
      <c r="C3077" s="3" t="n">
        <v>15</v>
      </c>
      <c r="D3077" s="3" t="n">
        <v>9</v>
      </c>
      <c r="E3077" s="3" t="n">
        <v>9</v>
      </c>
      <c r="F3077" s="24" t="n">
        <v>-0.629931569</v>
      </c>
    </row>
    <row r="3078" customFormat="false" ht="15" hidden="false" customHeight="false" outlineLevel="0" collapsed="false">
      <c r="A3078" s="3" t="n">
        <v>3077</v>
      </c>
      <c r="B3078" s="3" t="n">
        <v>3076</v>
      </c>
      <c r="C3078" s="3" t="n">
        <v>15</v>
      </c>
      <c r="D3078" s="3" t="n">
        <v>9</v>
      </c>
      <c r="E3078" s="3" t="n">
        <v>10</v>
      </c>
      <c r="F3078" s="24" t="n">
        <v>-0.428636372</v>
      </c>
    </row>
    <row r="3079" customFormat="false" ht="15" hidden="false" customHeight="false" outlineLevel="0" collapsed="false">
      <c r="A3079" s="3" t="n">
        <v>3078</v>
      </c>
      <c r="B3079" s="3" t="n">
        <v>3077</v>
      </c>
      <c r="C3079" s="3" t="n">
        <v>15</v>
      </c>
      <c r="D3079" s="3" t="n">
        <v>9</v>
      </c>
      <c r="E3079" s="3" t="n">
        <v>11</v>
      </c>
      <c r="F3079" s="24" t="n">
        <v>-0.0614033937</v>
      </c>
    </row>
    <row r="3080" customFormat="false" ht="15" hidden="false" customHeight="false" outlineLevel="0" collapsed="false">
      <c r="A3080" s="3" t="n">
        <v>3079</v>
      </c>
      <c r="B3080" s="3" t="n">
        <v>3078</v>
      </c>
      <c r="C3080" s="3" t="n">
        <v>15</v>
      </c>
      <c r="D3080" s="3" t="n">
        <v>9</v>
      </c>
      <c r="E3080" s="3" t="n">
        <v>12</v>
      </c>
      <c r="F3080" s="24" t="n">
        <v>-0.314002633</v>
      </c>
    </row>
    <row r="3081" customFormat="false" ht="15" hidden="false" customHeight="false" outlineLevel="0" collapsed="false">
      <c r="A3081" s="3" t="n">
        <v>3080</v>
      </c>
      <c r="B3081" s="3" t="n">
        <v>3079</v>
      </c>
      <c r="C3081" s="3" t="n">
        <v>15</v>
      </c>
      <c r="D3081" s="3" t="n">
        <v>9</v>
      </c>
      <c r="E3081" s="3" t="n">
        <v>13</v>
      </c>
      <c r="F3081" s="24" t="n">
        <v>-0.544894576</v>
      </c>
    </row>
    <row r="3082" customFormat="false" ht="15" hidden="false" customHeight="false" outlineLevel="0" collapsed="false">
      <c r="A3082" s="3" t="n">
        <v>3081</v>
      </c>
      <c r="B3082" s="3" t="n">
        <v>3080</v>
      </c>
      <c r="C3082" s="3" t="n">
        <v>15</v>
      </c>
      <c r="D3082" s="3" t="n">
        <v>10</v>
      </c>
      <c r="E3082" s="3" t="n">
        <v>0</v>
      </c>
      <c r="F3082" s="24" t="n">
        <v>0.158075586</v>
      </c>
    </row>
    <row r="3083" customFormat="false" ht="15" hidden="false" customHeight="false" outlineLevel="0" collapsed="false">
      <c r="A3083" s="3" t="n">
        <v>3082</v>
      </c>
      <c r="B3083" s="3" t="n">
        <v>3081</v>
      </c>
      <c r="C3083" s="3" t="n">
        <v>15</v>
      </c>
      <c r="D3083" s="3" t="n">
        <v>10</v>
      </c>
      <c r="E3083" s="3" t="n">
        <v>1</v>
      </c>
      <c r="F3083" s="24" t="n">
        <v>-0.0841015279</v>
      </c>
    </row>
    <row r="3084" customFormat="false" ht="15" hidden="false" customHeight="false" outlineLevel="0" collapsed="false">
      <c r="A3084" s="3" t="n">
        <v>3083</v>
      </c>
      <c r="B3084" s="3" t="n">
        <v>3082</v>
      </c>
      <c r="C3084" s="3" t="n">
        <v>15</v>
      </c>
      <c r="D3084" s="3" t="n">
        <v>10</v>
      </c>
      <c r="E3084" s="3" t="n">
        <v>2</v>
      </c>
      <c r="F3084" s="24" t="n">
        <v>-0.0563585982</v>
      </c>
    </row>
    <row r="3085" customFormat="false" ht="15" hidden="false" customHeight="false" outlineLevel="0" collapsed="false">
      <c r="A3085" s="3" t="n">
        <v>3084</v>
      </c>
      <c r="B3085" s="3" t="n">
        <v>3083</v>
      </c>
      <c r="C3085" s="3" t="n">
        <v>15</v>
      </c>
      <c r="D3085" s="3" t="n">
        <v>10</v>
      </c>
      <c r="E3085" s="3" t="n">
        <v>3</v>
      </c>
      <c r="F3085" s="24" t="n">
        <v>-0.146535009</v>
      </c>
    </row>
    <row r="3086" customFormat="false" ht="15" hidden="false" customHeight="false" outlineLevel="0" collapsed="false">
      <c r="A3086" s="3" t="n">
        <v>3085</v>
      </c>
      <c r="B3086" s="3" t="n">
        <v>3084</v>
      </c>
      <c r="C3086" s="3" t="n">
        <v>15</v>
      </c>
      <c r="D3086" s="3" t="n">
        <v>10</v>
      </c>
      <c r="E3086" s="3" t="n">
        <v>4</v>
      </c>
      <c r="F3086" s="24" t="n">
        <v>-0.744096577</v>
      </c>
    </row>
    <row r="3087" customFormat="false" ht="15" hidden="false" customHeight="false" outlineLevel="0" collapsed="false">
      <c r="A3087" s="3" t="n">
        <v>3086</v>
      </c>
      <c r="B3087" s="3" t="n">
        <v>3085</v>
      </c>
      <c r="C3087" s="3" t="n">
        <v>15</v>
      </c>
      <c r="D3087" s="3" t="n">
        <v>10</v>
      </c>
      <c r="E3087" s="3" t="n">
        <v>5</v>
      </c>
      <c r="F3087" s="24" t="n">
        <v>-1.39918053</v>
      </c>
    </row>
    <row r="3088" customFormat="false" ht="15" hidden="false" customHeight="false" outlineLevel="0" collapsed="false">
      <c r="A3088" s="3" t="n">
        <v>3087</v>
      </c>
      <c r="B3088" s="3" t="n">
        <v>3086</v>
      </c>
      <c r="C3088" s="3" t="n">
        <v>15</v>
      </c>
      <c r="D3088" s="3" t="n">
        <v>10</v>
      </c>
      <c r="E3088" s="3" t="n">
        <v>6</v>
      </c>
      <c r="F3088" s="24" t="n">
        <v>-2.9827342</v>
      </c>
    </row>
    <row r="3089" customFormat="false" ht="15" hidden="false" customHeight="false" outlineLevel="0" collapsed="false">
      <c r="A3089" s="3" t="n">
        <v>3088</v>
      </c>
      <c r="B3089" s="3" t="n">
        <v>3087</v>
      </c>
      <c r="C3089" s="3" t="n">
        <v>15</v>
      </c>
      <c r="D3089" s="3" t="n">
        <v>10</v>
      </c>
      <c r="E3089" s="3" t="n">
        <v>7</v>
      </c>
      <c r="F3089" s="24" t="n">
        <v>-1.23018026</v>
      </c>
    </row>
    <row r="3090" customFormat="false" ht="15" hidden="false" customHeight="false" outlineLevel="0" collapsed="false">
      <c r="A3090" s="3" t="n">
        <v>3089</v>
      </c>
      <c r="B3090" s="3" t="n">
        <v>3088</v>
      </c>
      <c r="C3090" s="3" t="n">
        <v>15</v>
      </c>
      <c r="D3090" s="3" t="n">
        <v>10</v>
      </c>
      <c r="E3090" s="3" t="n">
        <v>8</v>
      </c>
      <c r="F3090" s="24" t="n">
        <v>0.2637043</v>
      </c>
    </row>
    <row r="3091" customFormat="false" ht="15" hidden="false" customHeight="false" outlineLevel="0" collapsed="false">
      <c r="A3091" s="3" t="n">
        <v>3090</v>
      </c>
      <c r="B3091" s="3" t="n">
        <v>3089</v>
      </c>
      <c r="C3091" s="3" t="n">
        <v>15</v>
      </c>
      <c r="D3091" s="3" t="n">
        <v>10</v>
      </c>
      <c r="E3091" s="3" t="n">
        <v>9</v>
      </c>
      <c r="F3091" s="24" t="n">
        <v>-0.727228761</v>
      </c>
    </row>
    <row r="3092" customFormat="false" ht="15" hidden="false" customHeight="false" outlineLevel="0" collapsed="false">
      <c r="A3092" s="3" t="n">
        <v>3091</v>
      </c>
      <c r="B3092" s="3" t="n">
        <v>3090</v>
      </c>
      <c r="C3092" s="3" t="n">
        <v>15</v>
      </c>
      <c r="D3092" s="3" t="n">
        <v>10</v>
      </c>
      <c r="E3092" s="3" t="n">
        <v>10</v>
      </c>
      <c r="F3092" s="24" t="n">
        <v>-0.364170134</v>
      </c>
    </row>
    <row r="3093" customFormat="false" ht="15" hidden="false" customHeight="false" outlineLevel="0" collapsed="false">
      <c r="A3093" s="3" t="n">
        <v>3092</v>
      </c>
      <c r="B3093" s="3" t="n">
        <v>3091</v>
      </c>
      <c r="C3093" s="3" t="n">
        <v>15</v>
      </c>
      <c r="D3093" s="3" t="n">
        <v>10</v>
      </c>
      <c r="E3093" s="3" t="n">
        <v>11</v>
      </c>
      <c r="F3093" s="24" t="n">
        <v>-0.0563585982</v>
      </c>
    </row>
    <row r="3094" customFormat="false" ht="15" hidden="false" customHeight="false" outlineLevel="0" collapsed="false">
      <c r="A3094" s="3" t="n">
        <v>3093</v>
      </c>
      <c r="B3094" s="3" t="n">
        <v>3092</v>
      </c>
      <c r="C3094" s="3" t="n">
        <v>15</v>
      </c>
      <c r="D3094" s="3" t="n">
        <v>10</v>
      </c>
      <c r="E3094" s="3" t="n">
        <v>12</v>
      </c>
      <c r="F3094" s="24" t="n">
        <v>-0.314002633</v>
      </c>
    </row>
    <row r="3095" customFormat="false" ht="15" hidden="false" customHeight="false" outlineLevel="0" collapsed="false">
      <c r="A3095" s="3" t="n">
        <v>3094</v>
      </c>
      <c r="B3095" s="3" t="n">
        <v>3093</v>
      </c>
      <c r="C3095" s="3" t="n">
        <v>15</v>
      </c>
      <c r="D3095" s="3" t="n">
        <v>10</v>
      </c>
      <c r="E3095" s="3" t="n">
        <v>13</v>
      </c>
      <c r="F3095" s="24" t="n">
        <v>-0.544894576</v>
      </c>
    </row>
    <row r="3096" customFormat="false" ht="15" hidden="false" customHeight="false" outlineLevel="0" collapsed="false">
      <c r="A3096" s="3" t="n">
        <v>3095</v>
      </c>
      <c r="B3096" s="3" t="n">
        <v>3094</v>
      </c>
      <c r="C3096" s="3" t="n">
        <v>15</v>
      </c>
      <c r="D3096" s="3" t="n">
        <v>11</v>
      </c>
      <c r="E3096" s="3" t="n">
        <v>0</v>
      </c>
      <c r="F3096" s="24" t="n">
        <v>0.158075586</v>
      </c>
    </row>
    <row r="3097" customFormat="false" ht="15" hidden="false" customHeight="false" outlineLevel="0" collapsed="false">
      <c r="A3097" s="3" t="n">
        <v>3096</v>
      </c>
      <c r="B3097" s="3" t="n">
        <v>3095</v>
      </c>
      <c r="C3097" s="3" t="n">
        <v>15</v>
      </c>
      <c r="D3097" s="3" t="n">
        <v>11</v>
      </c>
      <c r="E3097" s="3" t="n">
        <v>1</v>
      </c>
      <c r="F3097" s="24" t="n">
        <v>-0.0841015279</v>
      </c>
    </row>
    <row r="3098" customFormat="false" ht="15" hidden="false" customHeight="false" outlineLevel="0" collapsed="false">
      <c r="A3098" s="3" t="n">
        <v>3097</v>
      </c>
      <c r="B3098" s="3" t="n">
        <v>3096</v>
      </c>
      <c r="C3098" s="3" t="n">
        <v>15</v>
      </c>
      <c r="D3098" s="3" t="n">
        <v>11</v>
      </c>
      <c r="E3098" s="3" t="n">
        <v>2</v>
      </c>
      <c r="F3098" s="24" t="n">
        <v>-0.0563585982</v>
      </c>
    </row>
    <row r="3099" customFormat="false" ht="15" hidden="false" customHeight="false" outlineLevel="0" collapsed="false">
      <c r="A3099" s="3" t="n">
        <v>3098</v>
      </c>
      <c r="B3099" s="3" t="n">
        <v>3097</v>
      </c>
      <c r="C3099" s="3" t="n">
        <v>15</v>
      </c>
      <c r="D3099" s="3" t="n">
        <v>11</v>
      </c>
      <c r="E3099" s="3" t="n">
        <v>3</v>
      </c>
      <c r="F3099" s="24" t="n">
        <v>-0.509141922</v>
      </c>
    </row>
    <row r="3100" customFormat="false" ht="15" hidden="false" customHeight="false" outlineLevel="0" collapsed="false">
      <c r="A3100" s="3" t="n">
        <v>3099</v>
      </c>
      <c r="B3100" s="3" t="n">
        <v>3098</v>
      </c>
      <c r="C3100" s="3" t="n">
        <v>15</v>
      </c>
      <c r="D3100" s="3" t="n">
        <v>11</v>
      </c>
      <c r="E3100" s="3" t="n">
        <v>4</v>
      </c>
      <c r="F3100" s="24" t="n">
        <v>-0.0287456363</v>
      </c>
    </row>
    <row r="3101" customFormat="false" ht="15" hidden="false" customHeight="false" outlineLevel="0" collapsed="false">
      <c r="A3101" s="3" t="n">
        <v>3100</v>
      </c>
      <c r="B3101" s="3" t="n">
        <v>3099</v>
      </c>
      <c r="C3101" s="3" t="n">
        <v>15</v>
      </c>
      <c r="D3101" s="3" t="n">
        <v>11</v>
      </c>
      <c r="E3101" s="3" t="n">
        <v>5</v>
      </c>
      <c r="F3101" s="24" t="n">
        <v>-1.46250761</v>
      </c>
    </row>
    <row r="3102" customFormat="false" ht="15" hidden="false" customHeight="false" outlineLevel="0" collapsed="false">
      <c r="A3102" s="3" t="n">
        <v>3101</v>
      </c>
      <c r="B3102" s="3" t="n">
        <v>3100</v>
      </c>
      <c r="C3102" s="3" t="n">
        <v>15</v>
      </c>
      <c r="D3102" s="3" t="n">
        <v>11</v>
      </c>
      <c r="E3102" s="3" t="n">
        <v>6</v>
      </c>
      <c r="F3102" s="24" t="n">
        <v>-3.87523913</v>
      </c>
    </row>
    <row r="3103" customFormat="false" ht="15" hidden="false" customHeight="false" outlineLevel="0" collapsed="false">
      <c r="A3103" s="3" t="n">
        <v>3102</v>
      </c>
      <c r="B3103" s="3" t="n">
        <v>3101</v>
      </c>
      <c r="C3103" s="3" t="n">
        <v>15</v>
      </c>
      <c r="D3103" s="3" t="n">
        <v>11</v>
      </c>
      <c r="E3103" s="3" t="n">
        <v>7</v>
      </c>
      <c r="F3103" s="24" t="n">
        <v>-1.60450649</v>
      </c>
    </row>
    <row r="3104" customFormat="false" ht="15" hidden="false" customHeight="false" outlineLevel="0" collapsed="false">
      <c r="A3104" s="3" t="n">
        <v>3103</v>
      </c>
      <c r="B3104" s="3" t="n">
        <v>3102</v>
      </c>
      <c r="C3104" s="3" t="n">
        <v>15</v>
      </c>
      <c r="D3104" s="3" t="n">
        <v>11</v>
      </c>
      <c r="E3104" s="3" t="n">
        <v>8</v>
      </c>
      <c r="F3104" s="24" t="n">
        <v>-2.44864035</v>
      </c>
    </row>
    <row r="3105" customFormat="false" ht="15" hidden="false" customHeight="false" outlineLevel="0" collapsed="false">
      <c r="A3105" s="3" t="n">
        <v>3104</v>
      </c>
      <c r="B3105" s="3" t="n">
        <v>3103</v>
      </c>
      <c r="C3105" s="3" t="n">
        <v>15</v>
      </c>
      <c r="D3105" s="3" t="n">
        <v>11</v>
      </c>
      <c r="E3105" s="3" t="n">
        <v>9</v>
      </c>
      <c r="F3105" s="24" t="n">
        <v>-0.813641906</v>
      </c>
    </row>
    <row r="3106" customFormat="false" ht="15" hidden="false" customHeight="false" outlineLevel="0" collapsed="false">
      <c r="A3106" s="3" t="n">
        <v>3105</v>
      </c>
      <c r="B3106" s="3" t="n">
        <v>3104</v>
      </c>
      <c r="C3106" s="3" t="n">
        <v>15</v>
      </c>
      <c r="D3106" s="3" t="n">
        <v>11</v>
      </c>
      <c r="E3106" s="3" t="n">
        <v>10</v>
      </c>
      <c r="F3106" s="24" t="n">
        <v>-0.0563585982</v>
      </c>
    </row>
    <row r="3107" customFormat="false" ht="15" hidden="false" customHeight="false" outlineLevel="0" collapsed="false">
      <c r="A3107" s="3" t="n">
        <v>3106</v>
      </c>
      <c r="B3107" s="3" t="n">
        <v>3105</v>
      </c>
      <c r="C3107" s="3" t="n">
        <v>15</v>
      </c>
      <c r="D3107" s="3" t="n">
        <v>11</v>
      </c>
      <c r="E3107" s="3" t="n">
        <v>11</v>
      </c>
      <c r="F3107" s="24" t="n">
        <v>-0.0563585982</v>
      </c>
    </row>
    <row r="3108" customFormat="false" ht="15" hidden="false" customHeight="false" outlineLevel="0" collapsed="false">
      <c r="A3108" s="3" t="n">
        <v>3107</v>
      </c>
      <c r="B3108" s="3" t="n">
        <v>3106</v>
      </c>
      <c r="C3108" s="3" t="n">
        <v>15</v>
      </c>
      <c r="D3108" s="3" t="n">
        <v>11</v>
      </c>
      <c r="E3108" s="3" t="n">
        <v>12</v>
      </c>
      <c r="F3108" s="24" t="n">
        <v>-0.314002633</v>
      </c>
    </row>
    <row r="3109" customFormat="false" ht="15" hidden="false" customHeight="false" outlineLevel="0" collapsed="false">
      <c r="A3109" s="3" t="n">
        <v>3108</v>
      </c>
      <c r="B3109" s="3" t="n">
        <v>3107</v>
      </c>
      <c r="C3109" s="3" t="n">
        <v>15</v>
      </c>
      <c r="D3109" s="3" t="n">
        <v>11</v>
      </c>
      <c r="E3109" s="3" t="n">
        <v>13</v>
      </c>
      <c r="F3109" s="24" t="n">
        <v>-0.544894576</v>
      </c>
    </row>
    <row r="3110" customFormat="false" ht="15" hidden="false" customHeight="false" outlineLevel="0" collapsed="false">
      <c r="A3110" s="3" t="n">
        <v>3109</v>
      </c>
      <c r="B3110" s="3" t="n">
        <v>3108</v>
      </c>
      <c r="C3110" s="3" t="n">
        <v>15</v>
      </c>
      <c r="D3110" s="3" t="n">
        <v>12</v>
      </c>
      <c r="E3110" s="3" t="n">
        <v>0</v>
      </c>
      <c r="F3110" s="24" t="n">
        <v>-0.335034966</v>
      </c>
    </row>
    <row r="3111" customFormat="false" ht="15" hidden="false" customHeight="false" outlineLevel="0" collapsed="false">
      <c r="A3111" s="3" t="n">
        <v>3110</v>
      </c>
      <c r="B3111" s="3" t="n">
        <v>3109</v>
      </c>
      <c r="C3111" s="3" t="n">
        <v>15</v>
      </c>
      <c r="D3111" s="3" t="n">
        <v>12</v>
      </c>
      <c r="E3111" s="3" t="n">
        <v>1</v>
      </c>
      <c r="F3111" s="24" t="n">
        <v>-0.698016644</v>
      </c>
    </row>
    <row r="3112" customFormat="false" ht="15" hidden="false" customHeight="false" outlineLevel="0" collapsed="false">
      <c r="A3112" s="3" t="n">
        <v>3111</v>
      </c>
      <c r="B3112" s="3" t="n">
        <v>3110</v>
      </c>
      <c r="C3112" s="3" t="n">
        <v>15</v>
      </c>
      <c r="D3112" s="3" t="n">
        <v>12</v>
      </c>
      <c r="E3112" s="3" t="n">
        <v>2</v>
      </c>
      <c r="F3112" s="24" t="n">
        <v>-0.669879317</v>
      </c>
    </row>
    <row r="3113" customFormat="false" ht="15" hidden="false" customHeight="false" outlineLevel="0" collapsed="false">
      <c r="A3113" s="3" t="n">
        <v>3112</v>
      </c>
      <c r="B3113" s="3" t="n">
        <v>3111</v>
      </c>
      <c r="C3113" s="3" t="n">
        <v>15</v>
      </c>
      <c r="D3113" s="3" t="n">
        <v>12</v>
      </c>
      <c r="E3113" s="3" t="n">
        <v>3</v>
      </c>
      <c r="F3113" s="24" t="n">
        <v>-0.909831524</v>
      </c>
    </row>
    <row r="3114" customFormat="false" ht="15" hidden="false" customHeight="false" outlineLevel="0" collapsed="false">
      <c r="A3114" s="3" t="n">
        <v>3113</v>
      </c>
      <c r="B3114" s="3" t="n">
        <v>3112</v>
      </c>
      <c r="C3114" s="3" t="n">
        <v>15</v>
      </c>
      <c r="D3114" s="3" t="n">
        <v>12</v>
      </c>
      <c r="E3114" s="3" t="n">
        <v>4</v>
      </c>
      <c r="F3114" s="24" t="n">
        <v>1.53077626</v>
      </c>
    </row>
    <row r="3115" customFormat="false" ht="15" hidden="false" customHeight="false" outlineLevel="0" collapsed="false">
      <c r="A3115" s="3" t="n">
        <v>3114</v>
      </c>
      <c r="B3115" s="3" t="n">
        <v>3113</v>
      </c>
      <c r="C3115" s="3" t="n">
        <v>15</v>
      </c>
      <c r="D3115" s="3" t="n">
        <v>12</v>
      </c>
      <c r="E3115" s="3" t="n">
        <v>5</v>
      </c>
      <c r="F3115" s="24" t="n">
        <v>0.336514771</v>
      </c>
    </row>
    <row r="3116" customFormat="false" ht="15" hidden="false" customHeight="false" outlineLevel="0" collapsed="false">
      <c r="A3116" s="3" t="n">
        <v>3115</v>
      </c>
      <c r="B3116" s="3" t="n">
        <v>3114</v>
      </c>
      <c r="C3116" s="3" t="n">
        <v>15</v>
      </c>
      <c r="D3116" s="3" t="n">
        <v>12</v>
      </c>
      <c r="E3116" s="3" t="n">
        <v>6</v>
      </c>
      <c r="F3116" s="24" t="n">
        <v>-1.35934186</v>
      </c>
    </row>
    <row r="3117" customFormat="false" ht="15" hidden="false" customHeight="false" outlineLevel="0" collapsed="false">
      <c r="A3117" s="3" t="n">
        <v>3116</v>
      </c>
      <c r="B3117" s="3" t="n">
        <v>3115</v>
      </c>
      <c r="C3117" s="3" t="n">
        <v>15</v>
      </c>
      <c r="D3117" s="3" t="n">
        <v>12</v>
      </c>
      <c r="E3117" s="3" t="n">
        <v>7</v>
      </c>
      <c r="F3117" s="24" t="n">
        <v>-0.817342579</v>
      </c>
    </row>
    <row r="3118" customFormat="false" ht="15" hidden="false" customHeight="false" outlineLevel="0" collapsed="false">
      <c r="A3118" s="3" t="n">
        <v>3117</v>
      </c>
      <c r="B3118" s="3" t="n">
        <v>3116</v>
      </c>
      <c r="C3118" s="3" t="n">
        <v>15</v>
      </c>
      <c r="D3118" s="3" t="n">
        <v>12</v>
      </c>
      <c r="E3118" s="3" t="n">
        <v>8</v>
      </c>
      <c r="F3118" s="24" t="n">
        <v>-1.10235941</v>
      </c>
    </row>
    <row r="3119" customFormat="false" ht="15" hidden="false" customHeight="false" outlineLevel="0" collapsed="false">
      <c r="A3119" s="3" t="n">
        <v>3118</v>
      </c>
      <c r="B3119" s="3" t="n">
        <v>3117</v>
      </c>
      <c r="C3119" s="3" t="n">
        <v>15</v>
      </c>
      <c r="D3119" s="3" t="n">
        <v>12</v>
      </c>
      <c r="E3119" s="3" t="n">
        <v>9</v>
      </c>
      <c r="F3119" s="24" t="n">
        <v>-0.769840181</v>
      </c>
    </row>
    <row r="3120" customFormat="false" ht="15" hidden="false" customHeight="false" outlineLevel="0" collapsed="false">
      <c r="A3120" s="3" t="n">
        <v>3119</v>
      </c>
      <c r="B3120" s="3" t="n">
        <v>3118</v>
      </c>
      <c r="C3120" s="3" t="n">
        <v>15</v>
      </c>
      <c r="D3120" s="3" t="n">
        <v>12</v>
      </c>
      <c r="E3120" s="3" t="n">
        <v>10</v>
      </c>
      <c r="F3120" s="24" t="n">
        <v>-0.669879317</v>
      </c>
    </row>
    <row r="3121" customFormat="false" ht="15" hidden="false" customHeight="false" outlineLevel="0" collapsed="false">
      <c r="A3121" s="3" t="n">
        <v>3120</v>
      </c>
      <c r="B3121" s="3" t="n">
        <v>3119</v>
      </c>
      <c r="C3121" s="3" t="n">
        <v>15</v>
      </c>
      <c r="D3121" s="3" t="n">
        <v>12</v>
      </c>
      <c r="E3121" s="3" t="n">
        <v>11</v>
      </c>
      <c r="F3121" s="24" t="n">
        <v>-0.669879317</v>
      </c>
    </row>
    <row r="3122" customFormat="false" ht="15" hidden="false" customHeight="false" outlineLevel="0" collapsed="false">
      <c r="A3122" s="3" t="n">
        <v>3121</v>
      </c>
      <c r="B3122" s="3" t="n">
        <v>3120</v>
      </c>
      <c r="C3122" s="3" t="n">
        <v>15</v>
      </c>
      <c r="D3122" s="3" t="n">
        <v>12</v>
      </c>
      <c r="E3122" s="3" t="n">
        <v>12</v>
      </c>
      <c r="F3122" s="24" t="n">
        <v>-0.927523494</v>
      </c>
    </row>
    <row r="3123" customFormat="false" ht="15" hidden="false" customHeight="false" outlineLevel="0" collapsed="false">
      <c r="A3123" s="3" t="n">
        <v>3122</v>
      </c>
      <c r="B3123" s="3" t="n">
        <v>3121</v>
      </c>
      <c r="C3123" s="3" t="n">
        <v>15</v>
      </c>
      <c r="D3123" s="3" t="n">
        <v>12</v>
      </c>
      <c r="E3123" s="3" t="n">
        <v>13</v>
      </c>
      <c r="F3123" s="24" t="n">
        <v>-0.883795202</v>
      </c>
    </row>
    <row r="3124" customFormat="false" ht="15" hidden="false" customHeight="false" outlineLevel="0" collapsed="false">
      <c r="A3124" s="3" t="n">
        <v>3123</v>
      </c>
      <c r="B3124" s="3" t="n">
        <v>3122</v>
      </c>
      <c r="C3124" s="3" t="n">
        <v>15</v>
      </c>
      <c r="D3124" s="3" t="n">
        <v>13</v>
      </c>
      <c r="E3124" s="3" t="n">
        <v>0</v>
      </c>
      <c r="F3124" s="24" t="n">
        <v>0.243085101</v>
      </c>
    </row>
    <row r="3125" customFormat="false" ht="15" hidden="false" customHeight="false" outlineLevel="0" collapsed="false">
      <c r="A3125" s="3" t="n">
        <v>3124</v>
      </c>
      <c r="B3125" s="3" t="n">
        <v>3123</v>
      </c>
      <c r="C3125" s="3" t="n">
        <v>15</v>
      </c>
      <c r="D3125" s="3" t="n">
        <v>13</v>
      </c>
      <c r="E3125" s="3" t="n">
        <v>1</v>
      </c>
      <c r="F3125" s="24" t="n">
        <v>0.305787921</v>
      </c>
    </row>
    <row r="3126" customFormat="false" ht="15" hidden="false" customHeight="false" outlineLevel="0" collapsed="false">
      <c r="A3126" s="3" t="n">
        <v>3125</v>
      </c>
      <c r="B3126" s="3" t="n">
        <v>3124</v>
      </c>
      <c r="C3126" s="3" t="n">
        <v>15</v>
      </c>
      <c r="D3126" s="3" t="n">
        <v>13</v>
      </c>
      <c r="E3126" s="3" t="n">
        <v>2</v>
      </c>
      <c r="F3126" s="24" t="n">
        <v>0.249885723</v>
      </c>
    </row>
    <row r="3127" customFormat="false" ht="15" hidden="false" customHeight="false" outlineLevel="0" collapsed="false">
      <c r="A3127" s="3" t="n">
        <v>3126</v>
      </c>
      <c r="B3127" s="3" t="n">
        <v>3125</v>
      </c>
      <c r="C3127" s="3" t="n">
        <v>15</v>
      </c>
      <c r="D3127" s="3" t="n">
        <v>13</v>
      </c>
      <c r="E3127" s="3" t="n">
        <v>3</v>
      </c>
      <c r="F3127" s="24" t="n">
        <v>-0.136786595</v>
      </c>
    </row>
    <row r="3128" customFormat="false" ht="15" hidden="false" customHeight="false" outlineLevel="0" collapsed="false">
      <c r="A3128" s="3" t="n">
        <v>3127</v>
      </c>
      <c r="B3128" s="3" t="n">
        <v>3126</v>
      </c>
      <c r="C3128" s="3" t="n">
        <v>15</v>
      </c>
      <c r="D3128" s="3" t="n">
        <v>13</v>
      </c>
      <c r="E3128" s="3" t="n">
        <v>4</v>
      </c>
      <c r="F3128" s="24" t="n">
        <v>-0.0904200971</v>
      </c>
    </row>
    <row r="3129" customFormat="false" ht="15" hidden="false" customHeight="false" outlineLevel="0" collapsed="false">
      <c r="A3129" s="3" t="n">
        <v>3128</v>
      </c>
      <c r="B3129" s="3" t="n">
        <v>3127</v>
      </c>
      <c r="C3129" s="3" t="n">
        <v>15</v>
      </c>
      <c r="D3129" s="3" t="n">
        <v>13</v>
      </c>
      <c r="E3129" s="3" t="n">
        <v>5</v>
      </c>
      <c r="F3129" s="24" t="n">
        <v>0.46157831</v>
      </c>
    </row>
    <row r="3130" customFormat="false" ht="15" hidden="false" customHeight="false" outlineLevel="0" collapsed="false">
      <c r="A3130" s="3" t="n">
        <v>3129</v>
      </c>
      <c r="B3130" s="3" t="n">
        <v>3128</v>
      </c>
      <c r="C3130" s="3" t="n">
        <v>15</v>
      </c>
      <c r="D3130" s="3" t="n">
        <v>13</v>
      </c>
      <c r="E3130" s="3" t="n">
        <v>6</v>
      </c>
      <c r="F3130" s="24" t="n">
        <v>2.44248652</v>
      </c>
    </row>
    <row r="3131" customFormat="false" ht="15" hidden="false" customHeight="false" outlineLevel="0" collapsed="false">
      <c r="A3131" s="3" t="n">
        <v>3130</v>
      </c>
      <c r="B3131" s="3" t="n">
        <v>3129</v>
      </c>
      <c r="C3131" s="3" t="n">
        <v>15</v>
      </c>
      <c r="D3131" s="3" t="n">
        <v>13</v>
      </c>
      <c r="E3131" s="3" t="n">
        <v>7</v>
      </c>
      <c r="F3131" s="24" t="n">
        <v>0.465203822</v>
      </c>
    </row>
    <row r="3132" customFormat="false" ht="15" hidden="false" customHeight="false" outlineLevel="0" collapsed="false">
      <c r="A3132" s="3" t="n">
        <v>3131</v>
      </c>
      <c r="B3132" s="3" t="n">
        <v>3130</v>
      </c>
      <c r="C3132" s="3" t="n">
        <v>15</v>
      </c>
      <c r="D3132" s="3" t="n">
        <v>13</v>
      </c>
      <c r="E3132" s="3" t="n">
        <v>8</v>
      </c>
      <c r="F3132" s="24" t="n">
        <v>-0.0779405087</v>
      </c>
    </row>
    <row r="3133" customFormat="false" ht="15" hidden="false" customHeight="false" outlineLevel="0" collapsed="false">
      <c r="A3133" s="3" t="n">
        <v>3132</v>
      </c>
      <c r="B3133" s="3" t="n">
        <v>3131</v>
      </c>
      <c r="C3133" s="3" t="n">
        <v>15</v>
      </c>
      <c r="D3133" s="3" t="n">
        <v>13</v>
      </c>
      <c r="E3133" s="3" t="n">
        <v>9</v>
      </c>
      <c r="F3133" s="24" t="n">
        <v>0.249885723</v>
      </c>
    </row>
    <row r="3134" customFormat="false" ht="15" hidden="false" customHeight="false" outlineLevel="0" collapsed="false">
      <c r="A3134" s="3" t="n">
        <v>3133</v>
      </c>
      <c r="B3134" s="3" t="n">
        <v>3132</v>
      </c>
      <c r="C3134" s="3" t="n">
        <v>15</v>
      </c>
      <c r="D3134" s="3" t="n">
        <v>13</v>
      </c>
      <c r="E3134" s="3" t="n">
        <v>10</v>
      </c>
      <c r="F3134" s="24" t="n">
        <v>0.249885723</v>
      </c>
    </row>
    <row r="3135" customFormat="false" ht="15" hidden="false" customHeight="false" outlineLevel="0" collapsed="false">
      <c r="A3135" s="3" t="n">
        <v>3134</v>
      </c>
      <c r="B3135" s="3" t="n">
        <v>3133</v>
      </c>
      <c r="C3135" s="3" t="n">
        <v>15</v>
      </c>
      <c r="D3135" s="3" t="n">
        <v>13</v>
      </c>
      <c r="E3135" s="3" t="n">
        <v>11</v>
      </c>
      <c r="F3135" s="24" t="n">
        <v>0.249885723</v>
      </c>
    </row>
    <row r="3136" customFormat="false" ht="15" hidden="false" customHeight="false" outlineLevel="0" collapsed="false">
      <c r="A3136" s="3" t="n">
        <v>3135</v>
      </c>
      <c r="B3136" s="3" t="n">
        <v>3134</v>
      </c>
      <c r="C3136" s="3" t="n">
        <v>15</v>
      </c>
      <c r="D3136" s="3" t="n">
        <v>13</v>
      </c>
      <c r="E3136" s="3" t="n">
        <v>12</v>
      </c>
      <c r="F3136" s="24" t="n">
        <v>0.0108617991</v>
      </c>
    </row>
    <row r="3137" customFormat="false" ht="15" hidden="false" customHeight="false" outlineLevel="0" collapsed="false">
      <c r="A3137" s="3" t="n">
        <v>3136</v>
      </c>
      <c r="B3137" s="3" t="n">
        <v>3135</v>
      </c>
      <c r="C3137" s="3" t="n">
        <v>15</v>
      </c>
      <c r="D3137" s="3" t="n">
        <v>13</v>
      </c>
      <c r="E3137" s="3" t="n">
        <v>13</v>
      </c>
      <c r="F3137" s="24" t="n">
        <v>-0.142220959</v>
      </c>
    </row>
  </sheetData>
  <autoFilter ref="A1:F31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5" min="3" style="0" width="8"/>
    <col collapsed="false" customWidth="true" hidden="false" outlineLevel="0" max="6" min="6" style="0" width="14"/>
  </cols>
  <sheetData>
    <row r="1" customFormat="false" ht="23.85" hidden="false" customHeight="false" outlineLevel="0" collapsed="false">
      <c r="A1" s="9" t="s">
        <v>109</v>
      </c>
      <c r="B1" s="9" t="s">
        <v>110</v>
      </c>
      <c r="C1" s="9" t="s">
        <v>121</v>
      </c>
      <c r="D1" s="9" t="s">
        <v>122</v>
      </c>
      <c r="E1" s="9" t="s">
        <v>123</v>
      </c>
      <c r="F1" s="9" t="s">
        <v>114</v>
      </c>
      <c r="H1" s="4" t="s">
        <v>129</v>
      </c>
    </row>
    <row r="2" customFormat="false" ht="15" hidden="false" customHeight="false" outlineLevel="0" collapsed="false">
      <c r="A2" s="3" t="n">
        <v>1</v>
      </c>
      <c r="B2" s="3" t="n">
        <v>0</v>
      </c>
      <c r="C2" s="3" t="n">
        <v>0</v>
      </c>
      <c r="D2" s="3" t="n">
        <v>0</v>
      </c>
      <c r="E2" s="3" t="n">
        <v>0</v>
      </c>
      <c r="F2" s="24" t="n">
        <v>0.479761153</v>
      </c>
    </row>
    <row r="3" customFormat="false" ht="15" hidden="false" customHeight="false" outlineLevel="0" collapsed="false">
      <c r="A3" s="3" t="n">
        <v>2</v>
      </c>
      <c r="B3" s="3" t="n">
        <v>1</v>
      </c>
      <c r="C3" s="3" t="n">
        <v>0</v>
      </c>
      <c r="D3" s="3" t="n">
        <v>0</v>
      </c>
      <c r="E3" s="3" t="n">
        <v>1</v>
      </c>
      <c r="F3" s="24" t="n">
        <v>0.587074876</v>
      </c>
    </row>
    <row r="4" customFormat="false" ht="15" hidden="false" customHeight="false" outlineLevel="0" collapsed="false">
      <c r="A4" s="3" t="n">
        <v>3</v>
      </c>
      <c r="B4" s="3" t="n">
        <v>2</v>
      </c>
      <c r="C4" s="3" t="n">
        <v>0</v>
      </c>
      <c r="D4" s="3" t="n">
        <v>0</v>
      </c>
      <c r="E4" s="3" t="n">
        <v>2</v>
      </c>
      <c r="F4" s="24" t="n">
        <v>0.445337713</v>
      </c>
    </row>
    <row r="5" customFormat="false" ht="15" hidden="false" customHeight="false" outlineLevel="0" collapsed="false">
      <c r="A5" s="3" t="n">
        <v>4</v>
      </c>
      <c r="B5" s="3" t="n">
        <v>3</v>
      </c>
      <c r="C5" s="3" t="n">
        <v>0</v>
      </c>
      <c r="D5" s="3" t="n">
        <v>0</v>
      </c>
      <c r="E5" s="3" t="n">
        <v>3</v>
      </c>
      <c r="F5" s="24" t="n">
        <v>0.445337713</v>
      </c>
    </row>
    <row r="6" customFormat="false" ht="15" hidden="false" customHeight="false" outlineLevel="0" collapsed="false">
      <c r="A6" s="3" t="n">
        <v>5</v>
      </c>
      <c r="B6" s="3" t="n">
        <v>4</v>
      </c>
      <c r="C6" s="3" t="n">
        <v>0</v>
      </c>
      <c r="D6" s="3" t="n">
        <v>0</v>
      </c>
      <c r="E6" s="3" t="n">
        <v>4</v>
      </c>
      <c r="F6" s="24" t="n">
        <v>0.445337713</v>
      </c>
    </row>
    <row r="7" customFormat="false" ht="15" hidden="false" customHeight="false" outlineLevel="0" collapsed="false">
      <c r="A7" s="3" t="n">
        <v>6</v>
      </c>
      <c r="B7" s="3" t="n">
        <v>5</v>
      </c>
      <c r="C7" s="3" t="n">
        <v>0</v>
      </c>
      <c r="D7" s="3" t="n">
        <v>0</v>
      </c>
      <c r="E7" s="3" t="n">
        <v>5</v>
      </c>
      <c r="F7" s="24" t="n">
        <v>0.445337713</v>
      </c>
    </row>
    <row r="8" customFormat="false" ht="15" hidden="false" customHeight="false" outlineLevel="0" collapsed="false">
      <c r="A8" s="3" t="n">
        <v>7</v>
      </c>
      <c r="B8" s="3" t="n">
        <v>6</v>
      </c>
      <c r="C8" s="3" t="n">
        <v>0</v>
      </c>
      <c r="D8" s="3" t="n">
        <v>0</v>
      </c>
      <c r="E8" s="3" t="n">
        <v>6</v>
      </c>
      <c r="F8" s="24" t="n">
        <v>0.445337713</v>
      </c>
    </row>
    <row r="9" customFormat="false" ht="15" hidden="false" customHeight="false" outlineLevel="0" collapsed="false">
      <c r="A9" s="3" t="n">
        <v>8</v>
      </c>
      <c r="B9" s="3" t="n">
        <v>7</v>
      </c>
      <c r="C9" s="3" t="n">
        <v>0</v>
      </c>
      <c r="D9" s="3" t="n">
        <v>0</v>
      </c>
      <c r="E9" s="3" t="n">
        <v>7</v>
      </c>
      <c r="F9" s="24" t="n">
        <v>0.445337713</v>
      </c>
    </row>
    <row r="10" customFormat="false" ht="15" hidden="false" customHeight="false" outlineLevel="0" collapsed="false">
      <c r="A10" s="3" t="n">
        <v>9</v>
      </c>
      <c r="B10" s="3" t="n">
        <v>8</v>
      </c>
      <c r="C10" s="3" t="n">
        <v>0</v>
      </c>
      <c r="D10" s="3" t="n">
        <v>0</v>
      </c>
      <c r="E10" s="3" t="n">
        <v>8</v>
      </c>
      <c r="F10" s="24" t="n">
        <v>0.445337713</v>
      </c>
    </row>
    <row r="11" customFormat="false" ht="15" hidden="false" customHeight="false" outlineLevel="0" collapsed="false">
      <c r="A11" s="3" t="n">
        <v>10</v>
      </c>
      <c r="B11" s="3" t="n">
        <v>9</v>
      </c>
      <c r="C11" s="3" t="n">
        <v>0</v>
      </c>
      <c r="D11" s="3" t="n">
        <v>0</v>
      </c>
      <c r="E11" s="3" t="n">
        <v>9</v>
      </c>
      <c r="F11" s="24" t="n">
        <v>0.445337713</v>
      </c>
    </row>
    <row r="12" customFormat="false" ht="15" hidden="false" customHeight="false" outlineLevel="0" collapsed="false">
      <c r="A12" s="3" t="n">
        <v>11</v>
      </c>
      <c r="B12" s="3" t="n">
        <v>10</v>
      </c>
      <c r="C12" s="3" t="n">
        <v>0</v>
      </c>
      <c r="D12" s="3" t="n">
        <v>0</v>
      </c>
      <c r="E12" s="3" t="n">
        <v>10</v>
      </c>
      <c r="F12" s="24" t="n">
        <v>0.445337713</v>
      </c>
    </row>
    <row r="13" customFormat="false" ht="15" hidden="false" customHeight="false" outlineLevel="0" collapsed="false">
      <c r="A13" s="3" t="n">
        <v>12</v>
      </c>
      <c r="B13" s="3" t="n">
        <v>11</v>
      </c>
      <c r="C13" s="3" t="n">
        <v>0</v>
      </c>
      <c r="D13" s="3" t="n">
        <v>0</v>
      </c>
      <c r="E13" s="3" t="n">
        <v>11</v>
      </c>
      <c r="F13" s="24" t="n">
        <v>0.445337713</v>
      </c>
    </row>
    <row r="14" customFormat="false" ht="15" hidden="false" customHeight="false" outlineLevel="0" collapsed="false">
      <c r="A14" s="3" t="n">
        <v>13</v>
      </c>
      <c r="B14" s="3" t="n">
        <v>12</v>
      </c>
      <c r="C14" s="3" t="n">
        <v>0</v>
      </c>
      <c r="D14" s="3" t="n">
        <v>0</v>
      </c>
      <c r="E14" s="3" t="n">
        <v>12</v>
      </c>
      <c r="F14" s="24" t="n">
        <v>0.585846663</v>
      </c>
    </row>
    <row r="15" customFormat="false" ht="15" hidden="false" customHeight="false" outlineLevel="0" collapsed="false">
      <c r="A15" s="3" t="n">
        <v>14</v>
      </c>
      <c r="B15" s="3" t="n">
        <v>13</v>
      </c>
      <c r="C15" s="3" t="n">
        <v>0</v>
      </c>
      <c r="D15" s="3" t="n">
        <v>0</v>
      </c>
      <c r="E15" s="3" t="n">
        <v>13</v>
      </c>
      <c r="F15" s="24" t="n">
        <v>0.698455334</v>
      </c>
    </row>
    <row r="16" customFormat="false" ht="15" hidden="false" customHeight="false" outlineLevel="0" collapsed="false">
      <c r="A16" s="3" t="n">
        <v>15</v>
      </c>
      <c r="B16" s="3" t="n">
        <v>14</v>
      </c>
      <c r="C16" s="3" t="n">
        <v>0</v>
      </c>
      <c r="D16" s="3" t="n">
        <v>1</v>
      </c>
      <c r="E16" s="3" t="n">
        <v>0</v>
      </c>
      <c r="F16" s="24" t="n">
        <v>0.375728965</v>
      </c>
    </row>
    <row r="17" customFormat="false" ht="15" hidden="false" customHeight="false" outlineLevel="0" collapsed="false">
      <c r="A17" s="3" t="n">
        <v>16</v>
      </c>
      <c r="B17" s="3" t="n">
        <v>15</v>
      </c>
      <c r="C17" s="3" t="n">
        <v>0</v>
      </c>
      <c r="D17" s="3" t="n">
        <v>1</v>
      </c>
      <c r="E17" s="3" t="n">
        <v>1</v>
      </c>
      <c r="F17" s="24" t="n">
        <v>0.299728811</v>
      </c>
    </row>
    <row r="18" customFormat="false" ht="15" hidden="false" customHeight="false" outlineLevel="0" collapsed="false">
      <c r="A18" s="3" t="n">
        <v>17</v>
      </c>
      <c r="B18" s="3" t="n">
        <v>16</v>
      </c>
      <c r="C18" s="3" t="n">
        <v>0</v>
      </c>
      <c r="D18" s="3" t="n">
        <v>1</v>
      </c>
      <c r="E18" s="3" t="n">
        <v>2</v>
      </c>
      <c r="F18" s="24" t="n">
        <v>0.128866971</v>
      </c>
    </row>
    <row r="19" customFormat="false" ht="15" hidden="false" customHeight="false" outlineLevel="0" collapsed="false">
      <c r="A19" s="3" t="n">
        <v>18</v>
      </c>
      <c r="B19" s="3" t="n">
        <v>17</v>
      </c>
      <c r="C19" s="3" t="n">
        <v>0</v>
      </c>
      <c r="D19" s="3" t="n">
        <v>1</v>
      </c>
      <c r="E19" s="3" t="n">
        <v>3</v>
      </c>
      <c r="F19" s="24" t="n">
        <v>0.128866971</v>
      </c>
    </row>
    <row r="20" customFormat="false" ht="15" hidden="false" customHeight="false" outlineLevel="0" collapsed="false">
      <c r="A20" s="3" t="n">
        <v>19</v>
      </c>
      <c r="B20" s="3" t="n">
        <v>18</v>
      </c>
      <c r="C20" s="3" t="n">
        <v>0</v>
      </c>
      <c r="D20" s="3" t="n">
        <v>1</v>
      </c>
      <c r="E20" s="3" t="n">
        <v>4</v>
      </c>
      <c r="F20" s="24" t="n">
        <v>0.128866971</v>
      </c>
    </row>
    <row r="21" customFormat="false" ht="15" hidden="false" customHeight="false" outlineLevel="0" collapsed="false">
      <c r="A21" s="3" t="n">
        <v>20</v>
      </c>
      <c r="B21" s="3" t="n">
        <v>19</v>
      </c>
      <c r="C21" s="3" t="n">
        <v>0</v>
      </c>
      <c r="D21" s="3" t="n">
        <v>1</v>
      </c>
      <c r="E21" s="3" t="n">
        <v>5</v>
      </c>
      <c r="F21" s="24" t="n">
        <v>0.128866971</v>
      </c>
    </row>
    <row r="22" customFormat="false" ht="15" hidden="false" customHeight="false" outlineLevel="0" collapsed="false">
      <c r="A22" s="3" t="n">
        <v>21</v>
      </c>
      <c r="B22" s="3" t="n">
        <v>20</v>
      </c>
      <c r="C22" s="3" t="n">
        <v>0</v>
      </c>
      <c r="D22" s="3" t="n">
        <v>1</v>
      </c>
      <c r="E22" s="3" t="n">
        <v>6</v>
      </c>
      <c r="F22" s="24" t="n">
        <v>0.128866971</v>
      </c>
    </row>
    <row r="23" customFormat="false" ht="15" hidden="false" customHeight="false" outlineLevel="0" collapsed="false">
      <c r="A23" s="3" t="n">
        <v>22</v>
      </c>
      <c r="B23" s="3" t="n">
        <v>21</v>
      </c>
      <c r="C23" s="3" t="n">
        <v>0</v>
      </c>
      <c r="D23" s="3" t="n">
        <v>1</v>
      </c>
      <c r="E23" s="3" t="n">
        <v>7</v>
      </c>
      <c r="F23" s="24" t="n">
        <v>0.128866971</v>
      </c>
    </row>
    <row r="24" customFormat="false" ht="15" hidden="false" customHeight="false" outlineLevel="0" collapsed="false">
      <c r="A24" s="3" t="n">
        <v>23</v>
      </c>
      <c r="B24" s="3" t="n">
        <v>22</v>
      </c>
      <c r="C24" s="3" t="n">
        <v>0</v>
      </c>
      <c r="D24" s="3" t="n">
        <v>1</v>
      </c>
      <c r="E24" s="3" t="n">
        <v>8</v>
      </c>
      <c r="F24" s="24" t="n">
        <v>0.128866971</v>
      </c>
    </row>
    <row r="25" customFormat="false" ht="15" hidden="false" customHeight="false" outlineLevel="0" collapsed="false">
      <c r="A25" s="3" t="n">
        <v>24</v>
      </c>
      <c r="B25" s="3" t="n">
        <v>23</v>
      </c>
      <c r="C25" s="3" t="n">
        <v>0</v>
      </c>
      <c r="D25" s="3" t="n">
        <v>1</v>
      </c>
      <c r="E25" s="3" t="n">
        <v>9</v>
      </c>
      <c r="F25" s="24" t="n">
        <v>0.128866971</v>
      </c>
    </row>
    <row r="26" customFormat="false" ht="15" hidden="false" customHeight="false" outlineLevel="0" collapsed="false">
      <c r="A26" s="3" t="n">
        <v>25</v>
      </c>
      <c r="B26" s="3" t="n">
        <v>24</v>
      </c>
      <c r="C26" s="3" t="n">
        <v>0</v>
      </c>
      <c r="D26" s="3" t="n">
        <v>1</v>
      </c>
      <c r="E26" s="3" t="n">
        <v>10</v>
      </c>
      <c r="F26" s="24" t="n">
        <v>0.128866971</v>
      </c>
    </row>
    <row r="27" customFormat="false" ht="15" hidden="false" customHeight="false" outlineLevel="0" collapsed="false">
      <c r="A27" s="3" t="n">
        <v>26</v>
      </c>
      <c r="B27" s="3" t="n">
        <v>25</v>
      </c>
      <c r="C27" s="3" t="n">
        <v>0</v>
      </c>
      <c r="D27" s="3" t="n">
        <v>1</v>
      </c>
      <c r="E27" s="3" t="n">
        <v>11</v>
      </c>
      <c r="F27" s="24" t="n">
        <v>0.128866971</v>
      </c>
    </row>
    <row r="28" customFormat="false" ht="15" hidden="false" customHeight="false" outlineLevel="0" collapsed="false">
      <c r="A28" s="3" t="n">
        <v>27</v>
      </c>
      <c r="B28" s="3" t="n">
        <v>26</v>
      </c>
      <c r="C28" s="3" t="n">
        <v>0</v>
      </c>
      <c r="D28" s="3" t="n">
        <v>1</v>
      </c>
      <c r="E28" s="3" t="n">
        <v>12</v>
      </c>
      <c r="F28" s="24" t="n">
        <v>0.436699629</v>
      </c>
    </row>
    <row r="29" customFormat="false" ht="15" hidden="false" customHeight="false" outlineLevel="0" collapsed="false">
      <c r="A29" s="3" t="n">
        <v>28</v>
      </c>
      <c r="B29" s="3" t="n">
        <v>27</v>
      </c>
      <c r="C29" s="3" t="n">
        <v>0</v>
      </c>
      <c r="D29" s="3" t="n">
        <v>1</v>
      </c>
      <c r="E29" s="3" t="n">
        <v>13</v>
      </c>
      <c r="F29" s="24" t="n">
        <v>0.130766064</v>
      </c>
    </row>
    <row r="30" customFormat="false" ht="15" hidden="false" customHeight="false" outlineLevel="0" collapsed="false">
      <c r="A30" s="3" t="n">
        <v>29</v>
      </c>
      <c r="B30" s="3" t="n">
        <v>28</v>
      </c>
      <c r="C30" s="3" t="n">
        <v>0</v>
      </c>
      <c r="D30" s="3" t="n">
        <v>2</v>
      </c>
      <c r="E30" s="3" t="n">
        <v>0</v>
      </c>
      <c r="F30" s="24" t="n">
        <v>0.411655962</v>
      </c>
    </row>
    <row r="31" customFormat="false" ht="15" hidden="false" customHeight="false" outlineLevel="0" collapsed="false">
      <c r="A31" s="3" t="n">
        <v>30</v>
      </c>
      <c r="B31" s="3" t="n">
        <v>29</v>
      </c>
      <c r="C31" s="3" t="n">
        <v>0</v>
      </c>
      <c r="D31" s="3" t="n">
        <v>2</v>
      </c>
      <c r="E31" s="3" t="n">
        <v>1</v>
      </c>
      <c r="F31" s="24" t="n">
        <v>0.11592266</v>
      </c>
    </row>
    <row r="32" customFormat="false" ht="15" hidden="false" customHeight="false" outlineLevel="0" collapsed="false">
      <c r="A32" s="3" t="n">
        <v>31</v>
      </c>
      <c r="B32" s="3" t="n">
        <v>30</v>
      </c>
      <c r="C32" s="3" t="n">
        <v>0</v>
      </c>
      <c r="D32" s="3" t="n">
        <v>2</v>
      </c>
      <c r="E32" s="3" t="n">
        <v>2</v>
      </c>
      <c r="F32" s="24" t="n">
        <v>0</v>
      </c>
    </row>
    <row r="33" customFormat="false" ht="15" hidden="false" customHeight="false" outlineLevel="0" collapsed="false">
      <c r="A33" s="3" t="n">
        <v>32</v>
      </c>
      <c r="B33" s="3" t="n">
        <v>31</v>
      </c>
      <c r="C33" s="3" t="n">
        <v>0</v>
      </c>
      <c r="D33" s="3" t="n">
        <v>2</v>
      </c>
      <c r="E33" s="3" t="n">
        <v>3</v>
      </c>
      <c r="F33" s="24" t="n">
        <v>0.0427010953</v>
      </c>
    </row>
    <row r="34" customFormat="false" ht="15" hidden="false" customHeight="false" outlineLevel="0" collapsed="false">
      <c r="A34" s="3" t="n">
        <v>33</v>
      </c>
      <c r="B34" s="3" t="n">
        <v>32</v>
      </c>
      <c r="C34" s="3" t="n">
        <v>0</v>
      </c>
      <c r="D34" s="3" t="n">
        <v>2</v>
      </c>
      <c r="E34" s="3" t="n">
        <v>4</v>
      </c>
      <c r="F34" s="24" t="n">
        <v>3.63096952</v>
      </c>
    </row>
    <row r="35" customFormat="false" ht="15" hidden="false" customHeight="false" outlineLevel="0" collapsed="false">
      <c r="A35" s="3" t="n">
        <v>34</v>
      </c>
      <c r="B35" s="3" t="n">
        <v>33</v>
      </c>
      <c r="C35" s="3" t="n">
        <v>0</v>
      </c>
      <c r="D35" s="3" t="n">
        <v>2</v>
      </c>
      <c r="E35" s="3" t="n">
        <v>5</v>
      </c>
      <c r="F35" s="24" t="n">
        <v>1.68989277</v>
      </c>
    </row>
    <row r="36" customFormat="false" ht="15" hidden="false" customHeight="false" outlineLevel="0" collapsed="false">
      <c r="A36" s="3" t="n">
        <v>35</v>
      </c>
      <c r="B36" s="3" t="n">
        <v>34</v>
      </c>
      <c r="C36" s="3" t="n">
        <v>0</v>
      </c>
      <c r="D36" s="3" t="n">
        <v>2</v>
      </c>
      <c r="E36" s="3" t="n">
        <v>6</v>
      </c>
      <c r="F36" s="24" t="n">
        <v>0.795837581</v>
      </c>
    </row>
    <row r="37" customFormat="false" ht="15" hidden="false" customHeight="false" outlineLevel="0" collapsed="false">
      <c r="A37" s="3" t="n">
        <v>36</v>
      </c>
      <c r="B37" s="3" t="n">
        <v>35</v>
      </c>
      <c r="C37" s="3" t="n">
        <v>0</v>
      </c>
      <c r="D37" s="3" t="n">
        <v>2</v>
      </c>
      <c r="E37" s="3" t="n">
        <v>7</v>
      </c>
      <c r="F37" s="24" t="n">
        <v>0.368707508</v>
      </c>
    </row>
    <row r="38" customFormat="false" ht="15" hidden="false" customHeight="false" outlineLevel="0" collapsed="false">
      <c r="A38" s="3" t="n">
        <v>37</v>
      </c>
      <c r="B38" s="3" t="n">
        <v>36</v>
      </c>
      <c r="C38" s="3" t="n">
        <v>0</v>
      </c>
      <c r="D38" s="3" t="n">
        <v>2</v>
      </c>
      <c r="E38" s="3" t="n">
        <v>8</v>
      </c>
      <c r="F38" s="24" t="n">
        <v>0.348230004</v>
      </c>
    </row>
    <row r="39" customFormat="false" ht="15" hidden="false" customHeight="false" outlineLevel="0" collapsed="false">
      <c r="A39" s="3" t="n">
        <v>38</v>
      </c>
      <c r="B39" s="3" t="n">
        <v>37</v>
      </c>
      <c r="C39" s="3" t="n">
        <v>0</v>
      </c>
      <c r="D39" s="3" t="n">
        <v>2</v>
      </c>
      <c r="E39" s="3" t="n">
        <v>9</v>
      </c>
      <c r="F39" s="24" t="n">
        <v>0.798609138</v>
      </c>
    </row>
    <row r="40" customFormat="false" ht="15" hidden="false" customHeight="false" outlineLevel="0" collapsed="false">
      <c r="A40" s="3" t="n">
        <v>39</v>
      </c>
      <c r="B40" s="3" t="n">
        <v>38</v>
      </c>
      <c r="C40" s="3" t="n">
        <v>0</v>
      </c>
      <c r="D40" s="3" t="n">
        <v>2</v>
      </c>
      <c r="E40" s="3" t="n">
        <v>10</v>
      </c>
      <c r="F40" s="24" t="n">
        <v>1.61786973</v>
      </c>
    </row>
    <row r="41" customFormat="false" ht="15" hidden="false" customHeight="false" outlineLevel="0" collapsed="false">
      <c r="A41" s="3" t="n">
        <v>40</v>
      </c>
      <c r="B41" s="3" t="n">
        <v>39</v>
      </c>
      <c r="C41" s="3" t="n">
        <v>0</v>
      </c>
      <c r="D41" s="3" t="n">
        <v>2</v>
      </c>
      <c r="E41" s="3" t="n">
        <v>11</v>
      </c>
      <c r="F41" s="24" t="n">
        <v>0.732098877</v>
      </c>
    </row>
    <row r="42" customFormat="false" ht="15" hidden="false" customHeight="false" outlineLevel="0" collapsed="false">
      <c r="A42" s="3" t="n">
        <v>41</v>
      </c>
      <c r="B42" s="3" t="n">
        <v>40</v>
      </c>
      <c r="C42" s="3" t="n">
        <v>0</v>
      </c>
      <c r="D42" s="3" t="n">
        <v>2</v>
      </c>
      <c r="E42" s="3" t="n">
        <v>12</v>
      </c>
      <c r="F42" s="24" t="n">
        <v>0.66246438</v>
      </c>
    </row>
    <row r="43" customFormat="false" ht="15" hidden="false" customHeight="false" outlineLevel="0" collapsed="false">
      <c r="A43" s="3" t="n">
        <v>42</v>
      </c>
      <c r="B43" s="3" t="n">
        <v>41</v>
      </c>
      <c r="C43" s="3" t="n">
        <v>0</v>
      </c>
      <c r="D43" s="3" t="n">
        <v>2</v>
      </c>
      <c r="E43" s="3" t="n">
        <v>13</v>
      </c>
      <c r="F43" s="24" t="n">
        <v>0.342791796</v>
      </c>
    </row>
    <row r="44" customFormat="false" ht="15" hidden="false" customHeight="false" outlineLevel="0" collapsed="false">
      <c r="A44" s="3" t="n">
        <v>43</v>
      </c>
      <c r="B44" s="3" t="n">
        <v>42</v>
      </c>
      <c r="C44" s="3" t="n">
        <v>0</v>
      </c>
      <c r="D44" s="3" t="n">
        <v>3</v>
      </c>
      <c r="E44" s="3" t="n">
        <v>0</v>
      </c>
      <c r="F44" s="24" t="n">
        <v>0.411655962</v>
      </c>
    </row>
    <row r="45" customFormat="false" ht="15" hidden="false" customHeight="false" outlineLevel="0" collapsed="false">
      <c r="A45" s="3" t="n">
        <v>44</v>
      </c>
      <c r="B45" s="3" t="n">
        <v>43</v>
      </c>
      <c r="C45" s="3" t="n">
        <v>0</v>
      </c>
      <c r="D45" s="3" t="n">
        <v>3</v>
      </c>
      <c r="E45" s="3" t="n">
        <v>1</v>
      </c>
      <c r="F45" s="24" t="n">
        <v>0</v>
      </c>
    </row>
    <row r="46" customFormat="false" ht="15" hidden="false" customHeight="false" outlineLevel="0" collapsed="false">
      <c r="A46" s="3" t="n">
        <v>45</v>
      </c>
      <c r="B46" s="3" t="n">
        <v>44</v>
      </c>
      <c r="C46" s="3" t="n">
        <v>0</v>
      </c>
      <c r="D46" s="3" t="n">
        <v>3</v>
      </c>
      <c r="E46" s="3" t="n">
        <v>2</v>
      </c>
      <c r="F46" s="24" t="n">
        <v>0</v>
      </c>
    </row>
    <row r="47" customFormat="false" ht="15" hidden="false" customHeight="false" outlineLevel="0" collapsed="false">
      <c r="A47" s="3" t="n">
        <v>46</v>
      </c>
      <c r="B47" s="3" t="n">
        <v>45</v>
      </c>
      <c r="C47" s="3" t="n">
        <v>0</v>
      </c>
      <c r="D47" s="3" t="n">
        <v>3</v>
      </c>
      <c r="E47" s="3" t="n">
        <v>3</v>
      </c>
      <c r="F47" s="24" t="n">
        <v>0</v>
      </c>
    </row>
    <row r="48" customFormat="false" ht="15" hidden="false" customHeight="false" outlineLevel="0" collapsed="false">
      <c r="A48" s="3" t="n">
        <v>47</v>
      </c>
      <c r="B48" s="3" t="n">
        <v>46</v>
      </c>
      <c r="C48" s="3" t="n">
        <v>0</v>
      </c>
      <c r="D48" s="3" t="n">
        <v>3</v>
      </c>
      <c r="E48" s="3" t="n">
        <v>4</v>
      </c>
      <c r="F48" s="24" t="n">
        <v>0</v>
      </c>
    </row>
    <row r="49" customFormat="false" ht="15" hidden="false" customHeight="false" outlineLevel="0" collapsed="false">
      <c r="A49" s="3" t="n">
        <v>48</v>
      </c>
      <c r="B49" s="3" t="n">
        <v>47</v>
      </c>
      <c r="C49" s="3" t="n">
        <v>0</v>
      </c>
      <c r="D49" s="3" t="n">
        <v>3</v>
      </c>
      <c r="E49" s="3" t="n">
        <v>5</v>
      </c>
      <c r="F49" s="24" t="n">
        <v>0</v>
      </c>
    </row>
    <row r="50" customFormat="false" ht="15" hidden="false" customHeight="false" outlineLevel="0" collapsed="false">
      <c r="A50" s="3" t="n">
        <v>49</v>
      </c>
      <c r="B50" s="3" t="n">
        <v>48</v>
      </c>
      <c r="C50" s="3" t="n">
        <v>0</v>
      </c>
      <c r="D50" s="3" t="n">
        <v>3</v>
      </c>
      <c r="E50" s="3" t="n">
        <v>6</v>
      </c>
      <c r="F50" s="24" t="n">
        <v>0</v>
      </c>
    </row>
    <row r="51" customFormat="false" ht="15" hidden="false" customHeight="false" outlineLevel="0" collapsed="false">
      <c r="A51" s="3" t="n">
        <v>50</v>
      </c>
      <c r="B51" s="3" t="n">
        <v>49</v>
      </c>
      <c r="C51" s="3" t="n">
        <v>0</v>
      </c>
      <c r="D51" s="3" t="n">
        <v>3</v>
      </c>
      <c r="E51" s="3" t="n">
        <v>7</v>
      </c>
      <c r="F51" s="24" t="n">
        <v>0</v>
      </c>
    </row>
    <row r="52" customFormat="false" ht="15" hidden="false" customHeight="false" outlineLevel="0" collapsed="false">
      <c r="A52" s="3" t="n">
        <v>51</v>
      </c>
      <c r="B52" s="3" t="n">
        <v>50</v>
      </c>
      <c r="C52" s="3" t="n">
        <v>0</v>
      </c>
      <c r="D52" s="3" t="n">
        <v>3</v>
      </c>
      <c r="E52" s="3" t="n">
        <v>8</v>
      </c>
      <c r="F52" s="24" t="n">
        <v>0</v>
      </c>
    </row>
    <row r="53" customFormat="false" ht="15" hidden="false" customHeight="false" outlineLevel="0" collapsed="false">
      <c r="A53" s="3" t="n">
        <v>52</v>
      </c>
      <c r="B53" s="3" t="n">
        <v>51</v>
      </c>
      <c r="C53" s="3" t="n">
        <v>0</v>
      </c>
      <c r="D53" s="3" t="n">
        <v>3</v>
      </c>
      <c r="E53" s="3" t="n">
        <v>9</v>
      </c>
      <c r="F53" s="24" t="n">
        <v>0</v>
      </c>
    </row>
    <row r="54" customFormat="false" ht="15" hidden="false" customHeight="false" outlineLevel="0" collapsed="false">
      <c r="A54" s="3" t="n">
        <v>53</v>
      </c>
      <c r="B54" s="3" t="n">
        <v>52</v>
      </c>
      <c r="C54" s="3" t="n">
        <v>0</v>
      </c>
      <c r="D54" s="3" t="n">
        <v>3</v>
      </c>
      <c r="E54" s="3" t="n">
        <v>10</v>
      </c>
      <c r="F54" s="24" t="n">
        <v>5.97832632</v>
      </c>
    </row>
    <row r="55" customFormat="false" ht="15" hidden="false" customHeight="false" outlineLevel="0" collapsed="false">
      <c r="A55" s="3" t="n">
        <v>54</v>
      </c>
      <c r="B55" s="3" t="n">
        <v>53</v>
      </c>
      <c r="C55" s="3" t="n">
        <v>0</v>
      </c>
      <c r="D55" s="3" t="n">
        <v>3</v>
      </c>
      <c r="E55" s="3" t="n">
        <v>11</v>
      </c>
      <c r="F55" s="24" t="n">
        <v>3.63369012</v>
      </c>
    </row>
    <row r="56" customFormat="false" ht="15" hidden="false" customHeight="false" outlineLevel="0" collapsed="false">
      <c r="A56" s="3" t="n">
        <v>55</v>
      </c>
      <c r="B56" s="3" t="n">
        <v>54</v>
      </c>
      <c r="C56" s="3" t="n">
        <v>0</v>
      </c>
      <c r="D56" s="3" t="n">
        <v>3</v>
      </c>
      <c r="E56" s="3" t="n">
        <v>12</v>
      </c>
      <c r="F56" s="24" t="n">
        <v>0.813200414</v>
      </c>
    </row>
    <row r="57" customFormat="false" ht="15" hidden="false" customHeight="false" outlineLevel="0" collapsed="false">
      <c r="A57" s="3" t="n">
        <v>56</v>
      </c>
      <c r="B57" s="3" t="n">
        <v>55</v>
      </c>
      <c r="C57" s="3" t="n">
        <v>0</v>
      </c>
      <c r="D57" s="3" t="n">
        <v>3</v>
      </c>
      <c r="E57" s="3" t="n">
        <v>13</v>
      </c>
      <c r="F57" s="24" t="n">
        <v>0.342791796</v>
      </c>
    </row>
    <row r="58" customFormat="false" ht="15" hidden="false" customHeight="false" outlineLevel="0" collapsed="false">
      <c r="A58" s="3" t="n">
        <v>57</v>
      </c>
      <c r="B58" s="3" t="n">
        <v>56</v>
      </c>
      <c r="C58" s="3" t="n">
        <v>0</v>
      </c>
      <c r="D58" s="3" t="n">
        <v>4</v>
      </c>
      <c r="E58" s="3" t="n">
        <v>0</v>
      </c>
      <c r="F58" s="24" t="n">
        <v>0.411655962</v>
      </c>
    </row>
    <row r="59" customFormat="false" ht="15" hidden="false" customHeight="false" outlineLevel="0" collapsed="false">
      <c r="A59" s="3" t="n">
        <v>58</v>
      </c>
      <c r="B59" s="3" t="n">
        <v>57</v>
      </c>
      <c r="C59" s="3" t="n">
        <v>0</v>
      </c>
      <c r="D59" s="3" t="n">
        <v>4</v>
      </c>
      <c r="E59" s="3" t="n">
        <v>1</v>
      </c>
      <c r="F59" s="24" t="n">
        <v>0.154896855</v>
      </c>
    </row>
    <row r="60" customFormat="false" ht="15" hidden="false" customHeight="false" outlineLevel="0" collapsed="false">
      <c r="A60" s="3" t="n">
        <v>59</v>
      </c>
      <c r="B60" s="3" t="n">
        <v>58</v>
      </c>
      <c r="C60" s="3" t="n">
        <v>0</v>
      </c>
      <c r="D60" s="3" t="n">
        <v>4</v>
      </c>
      <c r="E60" s="3" t="n">
        <v>2</v>
      </c>
      <c r="F60" s="24" t="n">
        <v>0</v>
      </c>
    </row>
    <row r="61" customFormat="false" ht="15" hidden="false" customHeight="false" outlineLevel="0" collapsed="false">
      <c r="A61" s="3" t="n">
        <v>60</v>
      </c>
      <c r="B61" s="3" t="n">
        <v>59</v>
      </c>
      <c r="C61" s="3" t="n">
        <v>0</v>
      </c>
      <c r="D61" s="3" t="n">
        <v>4</v>
      </c>
      <c r="E61" s="3" t="n">
        <v>3</v>
      </c>
      <c r="F61" s="24" t="n">
        <v>0</v>
      </c>
    </row>
    <row r="62" customFormat="false" ht="15" hidden="false" customHeight="false" outlineLevel="0" collapsed="false">
      <c r="A62" s="3" t="n">
        <v>61</v>
      </c>
      <c r="B62" s="3" t="n">
        <v>60</v>
      </c>
      <c r="C62" s="3" t="n">
        <v>0</v>
      </c>
      <c r="D62" s="3" t="n">
        <v>4</v>
      </c>
      <c r="E62" s="3" t="n">
        <v>4</v>
      </c>
      <c r="F62" s="24" t="n">
        <v>0</v>
      </c>
    </row>
    <row r="63" customFormat="false" ht="15" hidden="false" customHeight="false" outlineLevel="0" collapsed="false">
      <c r="A63" s="3" t="n">
        <v>62</v>
      </c>
      <c r="B63" s="3" t="n">
        <v>61</v>
      </c>
      <c r="C63" s="3" t="n">
        <v>0</v>
      </c>
      <c r="D63" s="3" t="n">
        <v>4</v>
      </c>
      <c r="E63" s="3" t="n">
        <v>5</v>
      </c>
      <c r="F63" s="24" t="n">
        <v>0</v>
      </c>
    </row>
    <row r="64" customFormat="false" ht="15" hidden="false" customHeight="false" outlineLevel="0" collapsed="false">
      <c r="A64" s="3" t="n">
        <v>63</v>
      </c>
      <c r="B64" s="3" t="n">
        <v>62</v>
      </c>
      <c r="C64" s="3" t="n">
        <v>0</v>
      </c>
      <c r="D64" s="3" t="n">
        <v>4</v>
      </c>
      <c r="E64" s="3" t="n">
        <v>6</v>
      </c>
      <c r="F64" s="24" t="n">
        <v>0</v>
      </c>
    </row>
    <row r="65" customFormat="false" ht="15" hidden="false" customHeight="false" outlineLevel="0" collapsed="false">
      <c r="A65" s="3" t="n">
        <v>64</v>
      </c>
      <c r="B65" s="3" t="n">
        <v>63</v>
      </c>
      <c r="C65" s="3" t="n">
        <v>0</v>
      </c>
      <c r="D65" s="3" t="n">
        <v>4</v>
      </c>
      <c r="E65" s="3" t="n">
        <v>7</v>
      </c>
      <c r="F65" s="24" t="n">
        <v>0</v>
      </c>
    </row>
    <row r="66" customFormat="false" ht="15" hidden="false" customHeight="false" outlineLevel="0" collapsed="false">
      <c r="A66" s="3" t="n">
        <v>65</v>
      </c>
      <c r="B66" s="3" t="n">
        <v>64</v>
      </c>
      <c r="C66" s="3" t="n">
        <v>0</v>
      </c>
      <c r="D66" s="3" t="n">
        <v>4</v>
      </c>
      <c r="E66" s="3" t="n">
        <v>8</v>
      </c>
      <c r="F66" s="24" t="n">
        <v>0</v>
      </c>
    </row>
    <row r="67" customFormat="false" ht="15" hidden="false" customHeight="false" outlineLevel="0" collapsed="false">
      <c r="A67" s="3" t="n">
        <v>66</v>
      </c>
      <c r="B67" s="3" t="n">
        <v>65</v>
      </c>
      <c r="C67" s="3" t="n">
        <v>0</v>
      </c>
      <c r="D67" s="3" t="n">
        <v>4</v>
      </c>
      <c r="E67" s="3" t="n">
        <v>9</v>
      </c>
      <c r="F67" s="24" t="n">
        <v>0</v>
      </c>
    </row>
    <row r="68" customFormat="false" ht="15" hidden="false" customHeight="false" outlineLevel="0" collapsed="false">
      <c r="A68" s="3" t="n">
        <v>67</v>
      </c>
      <c r="B68" s="3" t="n">
        <v>66</v>
      </c>
      <c r="C68" s="3" t="n">
        <v>0</v>
      </c>
      <c r="D68" s="3" t="n">
        <v>4</v>
      </c>
      <c r="E68" s="3" t="n">
        <v>10</v>
      </c>
      <c r="F68" s="24" t="n">
        <v>9.95975971</v>
      </c>
    </row>
    <row r="69" customFormat="false" ht="15" hidden="false" customHeight="false" outlineLevel="0" collapsed="false">
      <c r="A69" s="3" t="n">
        <v>68</v>
      </c>
      <c r="B69" s="3" t="n">
        <v>67</v>
      </c>
      <c r="C69" s="3" t="n">
        <v>0</v>
      </c>
      <c r="D69" s="3" t="n">
        <v>4</v>
      </c>
      <c r="E69" s="3" t="n">
        <v>11</v>
      </c>
      <c r="F69" s="24" t="n">
        <v>6.19198132</v>
      </c>
    </row>
    <row r="70" customFormat="false" ht="15" hidden="false" customHeight="false" outlineLevel="0" collapsed="false">
      <c r="A70" s="3" t="n">
        <v>69</v>
      </c>
      <c r="B70" s="3" t="n">
        <v>68</v>
      </c>
      <c r="C70" s="3" t="n">
        <v>0</v>
      </c>
      <c r="D70" s="3" t="n">
        <v>4</v>
      </c>
      <c r="E70" s="3" t="n">
        <v>12</v>
      </c>
      <c r="F70" s="24" t="n">
        <v>1.3198818</v>
      </c>
    </row>
    <row r="71" customFormat="false" ht="15" hidden="false" customHeight="false" outlineLevel="0" collapsed="false">
      <c r="A71" s="3" t="n">
        <v>70</v>
      </c>
      <c r="B71" s="3" t="n">
        <v>69</v>
      </c>
      <c r="C71" s="3" t="n">
        <v>0</v>
      </c>
      <c r="D71" s="3" t="n">
        <v>4</v>
      </c>
      <c r="E71" s="3" t="n">
        <v>13</v>
      </c>
      <c r="F71" s="24" t="n">
        <v>0.342791796</v>
      </c>
    </row>
    <row r="72" customFormat="false" ht="15" hidden="false" customHeight="false" outlineLevel="0" collapsed="false">
      <c r="A72" s="3" t="n">
        <v>71</v>
      </c>
      <c r="B72" s="3" t="n">
        <v>70</v>
      </c>
      <c r="C72" s="3" t="n">
        <v>0</v>
      </c>
      <c r="D72" s="3" t="n">
        <v>5</v>
      </c>
      <c r="E72" s="3" t="n">
        <v>0</v>
      </c>
      <c r="F72" s="24" t="n">
        <v>0.411655962</v>
      </c>
    </row>
    <row r="73" customFormat="false" ht="15" hidden="false" customHeight="false" outlineLevel="0" collapsed="false">
      <c r="A73" s="3" t="n">
        <v>72</v>
      </c>
      <c r="B73" s="3" t="n">
        <v>71</v>
      </c>
      <c r="C73" s="3" t="n">
        <v>0</v>
      </c>
      <c r="D73" s="3" t="n">
        <v>5</v>
      </c>
      <c r="E73" s="3" t="n">
        <v>1</v>
      </c>
      <c r="F73" s="24" t="n">
        <v>0.670438409</v>
      </c>
    </row>
    <row r="74" customFormat="false" ht="15" hidden="false" customHeight="false" outlineLevel="0" collapsed="false">
      <c r="A74" s="3" t="n">
        <v>73</v>
      </c>
      <c r="B74" s="3" t="n">
        <v>72</v>
      </c>
      <c r="C74" s="3" t="n">
        <v>0</v>
      </c>
      <c r="D74" s="3" t="n">
        <v>5</v>
      </c>
      <c r="E74" s="3" t="n">
        <v>2</v>
      </c>
      <c r="F74" s="24" t="n">
        <v>0</v>
      </c>
    </row>
    <row r="75" customFormat="false" ht="15" hidden="false" customHeight="false" outlineLevel="0" collapsed="false">
      <c r="A75" s="3" t="n">
        <v>74</v>
      </c>
      <c r="B75" s="3" t="n">
        <v>73</v>
      </c>
      <c r="C75" s="3" t="n">
        <v>0</v>
      </c>
      <c r="D75" s="3" t="n">
        <v>5</v>
      </c>
      <c r="E75" s="3" t="n">
        <v>3</v>
      </c>
      <c r="F75" s="24" t="n">
        <v>0</v>
      </c>
    </row>
    <row r="76" customFormat="false" ht="15" hidden="false" customHeight="false" outlineLevel="0" collapsed="false">
      <c r="A76" s="3" t="n">
        <v>75</v>
      </c>
      <c r="B76" s="3" t="n">
        <v>74</v>
      </c>
      <c r="C76" s="3" t="n">
        <v>0</v>
      </c>
      <c r="D76" s="3" t="n">
        <v>5</v>
      </c>
      <c r="E76" s="3" t="n">
        <v>4</v>
      </c>
      <c r="F76" s="24" t="n">
        <v>0</v>
      </c>
    </row>
    <row r="77" customFormat="false" ht="15" hidden="false" customHeight="false" outlineLevel="0" collapsed="false">
      <c r="A77" s="3" t="n">
        <v>76</v>
      </c>
      <c r="B77" s="3" t="n">
        <v>75</v>
      </c>
      <c r="C77" s="3" t="n">
        <v>0</v>
      </c>
      <c r="D77" s="3" t="n">
        <v>5</v>
      </c>
      <c r="E77" s="3" t="n">
        <v>5</v>
      </c>
      <c r="F77" s="24" t="n">
        <v>0</v>
      </c>
    </row>
    <row r="78" customFormat="false" ht="15" hidden="false" customHeight="false" outlineLevel="0" collapsed="false">
      <c r="A78" s="3" t="n">
        <v>77</v>
      </c>
      <c r="B78" s="3" t="n">
        <v>76</v>
      </c>
      <c r="C78" s="3" t="n">
        <v>0</v>
      </c>
      <c r="D78" s="3" t="n">
        <v>5</v>
      </c>
      <c r="E78" s="3" t="n">
        <v>6</v>
      </c>
      <c r="F78" s="24" t="n">
        <v>0</v>
      </c>
    </row>
    <row r="79" customFormat="false" ht="15" hidden="false" customHeight="false" outlineLevel="0" collapsed="false">
      <c r="A79" s="3" t="n">
        <v>78</v>
      </c>
      <c r="B79" s="3" t="n">
        <v>77</v>
      </c>
      <c r="C79" s="3" t="n">
        <v>0</v>
      </c>
      <c r="D79" s="3" t="n">
        <v>5</v>
      </c>
      <c r="E79" s="3" t="n">
        <v>7</v>
      </c>
      <c r="F79" s="24" t="n">
        <v>0</v>
      </c>
    </row>
    <row r="80" customFormat="false" ht="15" hidden="false" customHeight="false" outlineLevel="0" collapsed="false">
      <c r="A80" s="3" t="n">
        <v>79</v>
      </c>
      <c r="B80" s="3" t="n">
        <v>78</v>
      </c>
      <c r="C80" s="3" t="n">
        <v>0</v>
      </c>
      <c r="D80" s="3" t="n">
        <v>5</v>
      </c>
      <c r="E80" s="3" t="n">
        <v>8</v>
      </c>
      <c r="F80" s="24" t="n">
        <v>0</v>
      </c>
    </row>
    <row r="81" customFormat="false" ht="15" hidden="false" customHeight="false" outlineLevel="0" collapsed="false">
      <c r="A81" s="3" t="n">
        <v>80</v>
      </c>
      <c r="B81" s="3" t="n">
        <v>79</v>
      </c>
      <c r="C81" s="3" t="n">
        <v>0</v>
      </c>
      <c r="D81" s="3" t="n">
        <v>5</v>
      </c>
      <c r="E81" s="3" t="n">
        <v>9</v>
      </c>
      <c r="F81" s="24" t="n">
        <v>0</v>
      </c>
    </row>
    <row r="82" customFormat="false" ht="15" hidden="false" customHeight="false" outlineLevel="0" collapsed="false">
      <c r="A82" s="3" t="n">
        <v>81</v>
      </c>
      <c r="B82" s="3" t="n">
        <v>80</v>
      </c>
      <c r="C82" s="3" t="n">
        <v>0</v>
      </c>
      <c r="D82" s="3" t="n">
        <v>5</v>
      </c>
      <c r="E82" s="3" t="n">
        <v>10</v>
      </c>
      <c r="F82" s="24" t="n">
        <v>3.9299438</v>
      </c>
    </row>
    <row r="83" customFormat="false" ht="15" hidden="false" customHeight="false" outlineLevel="0" collapsed="false">
      <c r="A83" s="3" t="n">
        <v>82</v>
      </c>
      <c r="B83" s="3" t="n">
        <v>81</v>
      </c>
      <c r="C83" s="3" t="n">
        <v>0</v>
      </c>
      <c r="D83" s="3" t="n">
        <v>5</v>
      </c>
      <c r="E83" s="3" t="n">
        <v>11</v>
      </c>
      <c r="F83" s="24" t="n">
        <v>3.41870856</v>
      </c>
    </row>
    <row r="84" customFormat="false" ht="15" hidden="false" customHeight="false" outlineLevel="0" collapsed="false">
      <c r="A84" s="3" t="n">
        <v>83</v>
      </c>
      <c r="B84" s="3" t="n">
        <v>82</v>
      </c>
      <c r="C84" s="3" t="n">
        <v>0</v>
      </c>
      <c r="D84" s="3" t="n">
        <v>5</v>
      </c>
      <c r="E84" s="3" t="n">
        <v>12</v>
      </c>
      <c r="F84" s="24" t="n">
        <v>1.49327302</v>
      </c>
    </row>
    <row r="85" customFormat="false" ht="15" hidden="false" customHeight="false" outlineLevel="0" collapsed="false">
      <c r="A85" s="3" t="n">
        <v>84</v>
      </c>
      <c r="B85" s="3" t="n">
        <v>83</v>
      </c>
      <c r="C85" s="3" t="n">
        <v>0</v>
      </c>
      <c r="D85" s="3" t="n">
        <v>5</v>
      </c>
      <c r="E85" s="3" t="n">
        <v>13</v>
      </c>
      <c r="F85" s="24" t="n">
        <v>0.342791796</v>
      </c>
    </row>
    <row r="86" customFormat="false" ht="15" hidden="false" customHeight="false" outlineLevel="0" collapsed="false">
      <c r="A86" s="3" t="n">
        <v>85</v>
      </c>
      <c r="B86" s="3" t="n">
        <v>84</v>
      </c>
      <c r="C86" s="3" t="n">
        <v>0</v>
      </c>
      <c r="D86" s="3" t="n">
        <v>6</v>
      </c>
      <c r="E86" s="3" t="n">
        <v>0</v>
      </c>
      <c r="F86" s="24" t="n">
        <v>0.411655962</v>
      </c>
    </row>
    <row r="87" customFormat="false" ht="15" hidden="false" customHeight="false" outlineLevel="0" collapsed="false">
      <c r="A87" s="3" t="n">
        <v>86</v>
      </c>
      <c r="B87" s="3" t="n">
        <v>85</v>
      </c>
      <c r="C87" s="3" t="n">
        <v>0</v>
      </c>
      <c r="D87" s="3" t="n">
        <v>6</v>
      </c>
      <c r="E87" s="3" t="n">
        <v>1</v>
      </c>
      <c r="F87" s="24" t="n">
        <v>0.463885635</v>
      </c>
    </row>
    <row r="88" customFormat="false" ht="15" hidden="false" customHeight="false" outlineLevel="0" collapsed="false">
      <c r="A88" s="3" t="n">
        <v>87</v>
      </c>
      <c r="B88" s="3" t="n">
        <v>86</v>
      </c>
      <c r="C88" s="3" t="n">
        <v>0</v>
      </c>
      <c r="D88" s="3" t="n">
        <v>6</v>
      </c>
      <c r="E88" s="3" t="n">
        <v>2</v>
      </c>
      <c r="F88" s="24" t="n">
        <v>0.183970287</v>
      </c>
    </row>
    <row r="89" customFormat="false" ht="15" hidden="false" customHeight="false" outlineLevel="0" collapsed="false">
      <c r="A89" s="3" t="n">
        <v>88</v>
      </c>
      <c r="B89" s="3" t="n">
        <v>87</v>
      </c>
      <c r="C89" s="3" t="n">
        <v>0</v>
      </c>
      <c r="D89" s="3" t="n">
        <v>6</v>
      </c>
      <c r="E89" s="3" t="n">
        <v>3</v>
      </c>
      <c r="F89" s="24" t="n">
        <v>0</v>
      </c>
    </row>
    <row r="90" customFormat="false" ht="15" hidden="false" customHeight="false" outlineLevel="0" collapsed="false">
      <c r="A90" s="3" t="n">
        <v>89</v>
      </c>
      <c r="B90" s="3" t="n">
        <v>88</v>
      </c>
      <c r="C90" s="3" t="n">
        <v>0</v>
      </c>
      <c r="D90" s="3" t="n">
        <v>6</v>
      </c>
      <c r="E90" s="3" t="n">
        <v>4</v>
      </c>
      <c r="F90" s="24" t="n">
        <v>0</v>
      </c>
    </row>
    <row r="91" customFormat="false" ht="15" hidden="false" customHeight="false" outlineLevel="0" collapsed="false">
      <c r="A91" s="3" t="n">
        <v>90</v>
      </c>
      <c r="B91" s="3" t="n">
        <v>89</v>
      </c>
      <c r="C91" s="3" t="n">
        <v>0</v>
      </c>
      <c r="D91" s="3" t="n">
        <v>6</v>
      </c>
      <c r="E91" s="3" t="n">
        <v>5</v>
      </c>
      <c r="F91" s="24" t="n">
        <v>0</v>
      </c>
    </row>
    <row r="92" customFormat="false" ht="15" hidden="false" customHeight="false" outlineLevel="0" collapsed="false">
      <c r="A92" s="3" t="n">
        <v>91</v>
      </c>
      <c r="B92" s="3" t="n">
        <v>90</v>
      </c>
      <c r="C92" s="3" t="n">
        <v>0</v>
      </c>
      <c r="D92" s="3" t="n">
        <v>6</v>
      </c>
      <c r="E92" s="3" t="n">
        <v>6</v>
      </c>
      <c r="F92" s="24" t="n">
        <v>0</v>
      </c>
    </row>
    <row r="93" customFormat="false" ht="15" hidden="false" customHeight="false" outlineLevel="0" collapsed="false">
      <c r="A93" s="3" t="n">
        <v>92</v>
      </c>
      <c r="B93" s="3" t="n">
        <v>91</v>
      </c>
      <c r="C93" s="3" t="n">
        <v>0</v>
      </c>
      <c r="D93" s="3" t="n">
        <v>6</v>
      </c>
      <c r="E93" s="3" t="n">
        <v>7</v>
      </c>
      <c r="F93" s="24" t="n">
        <v>0</v>
      </c>
    </row>
    <row r="94" customFormat="false" ht="15" hidden="false" customHeight="false" outlineLevel="0" collapsed="false">
      <c r="A94" s="3" t="n">
        <v>93</v>
      </c>
      <c r="B94" s="3" t="n">
        <v>92</v>
      </c>
      <c r="C94" s="3" t="n">
        <v>0</v>
      </c>
      <c r="D94" s="3" t="n">
        <v>6</v>
      </c>
      <c r="E94" s="3" t="n">
        <v>8</v>
      </c>
      <c r="F94" s="24" t="n">
        <v>0</v>
      </c>
    </row>
    <row r="95" customFormat="false" ht="15" hidden="false" customHeight="false" outlineLevel="0" collapsed="false">
      <c r="A95" s="3" t="n">
        <v>94</v>
      </c>
      <c r="B95" s="3" t="n">
        <v>93</v>
      </c>
      <c r="C95" s="3" t="n">
        <v>0</v>
      </c>
      <c r="D95" s="3" t="n">
        <v>6</v>
      </c>
      <c r="E95" s="3" t="n">
        <v>9</v>
      </c>
      <c r="F95" s="24" t="n">
        <v>0</v>
      </c>
    </row>
    <row r="96" customFormat="false" ht="15" hidden="false" customHeight="false" outlineLevel="0" collapsed="false">
      <c r="A96" s="3" t="n">
        <v>95</v>
      </c>
      <c r="B96" s="3" t="n">
        <v>94</v>
      </c>
      <c r="C96" s="3" t="n">
        <v>0</v>
      </c>
      <c r="D96" s="3" t="n">
        <v>6</v>
      </c>
      <c r="E96" s="3" t="n">
        <v>10</v>
      </c>
      <c r="F96" s="24" t="n">
        <v>0</v>
      </c>
    </row>
    <row r="97" customFormat="false" ht="15" hidden="false" customHeight="false" outlineLevel="0" collapsed="false">
      <c r="A97" s="3" t="n">
        <v>96</v>
      </c>
      <c r="B97" s="3" t="n">
        <v>95</v>
      </c>
      <c r="C97" s="3" t="n">
        <v>0</v>
      </c>
      <c r="D97" s="3" t="n">
        <v>6</v>
      </c>
      <c r="E97" s="3" t="n">
        <v>11</v>
      </c>
      <c r="F97" s="24" t="n">
        <v>0</v>
      </c>
    </row>
    <row r="98" customFormat="false" ht="15" hidden="false" customHeight="false" outlineLevel="0" collapsed="false">
      <c r="A98" s="3" t="n">
        <v>97</v>
      </c>
      <c r="B98" s="3" t="n">
        <v>96</v>
      </c>
      <c r="C98" s="3" t="n">
        <v>0</v>
      </c>
      <c r="D98" s="3" t="n">
        <v>6</v>
      </c>
      <c r="E98" s="3" t="n">
        <v>12</v>
      </c>
      <c r="F98" s="24" t="n">
        <v>0.524353564</v>
      </c>
    </row>
    <row r="99" customFormat="false" ht="15" hidden="false" customHeight="false" outlineLevel="0" collapsed="false">
      <c r="A99" s="3" t="n">
        <v>98</v>
      </c>
      <c r="B99" s="3" t="n">
        <v>97</v>
      </c>
      <c r="C99" s="3" t="n">
        <v>0</v>
      </c>
      <c r="D99" s="3" t="n">
        <v>6</v>
      </c>
      <c r="E99" s="3" t="n">
        <v>13</v>
      </c>
      <c r="F99" s="24" t="n">
        <v>0.342791796</v>
      </c>
    </row>
    <row r="100" customFormat="false" ht="15" hidden="false" customHeight="false" outlineLevel="0" collapsed="false">
      <c r="A100" s="3" t="n">
        <v>99</v>
      </c>
      <c r="B100" s="3" t="n">
        <v>98</v>
      </c>
      <c r="C100" s="3" t="n">
        <v>0</v>
      </c>
      <c r="D100" s="3" t="n">
        <v>7</v>
      </c>
      <c r="E100" s="3" t="n">
        <v>0</v>
      </c>
      <c r="F100" s="24" t="n">
        <v>0.411655962</v>
      </c>
    </row>
    <row r="101" customFormat="false" ht="15" hidden="false" customHeight="false" outlineLevel="0" collapsed="false">
      <c r="A101" s="3" t="n">
        <v>100</v>
      </c>
      <c r="B101" s="3" t="n">
        <v>99</v>
      </c>
      <c r="C101" s="3" t="n">
        <v>0</v>
      </c>
      <c r="D101" s="3" t="n">
        <v>7</v>
      </c>
      <c r="E101" s="3" t="n">
        <v>1</v>
      </c>
      <c r="F101" s="24" t="n">
        <v>0.474261254</v>
      </c>
    </row>
    <row r="102" customFormat="false" ht="15" hidden="false" customHeight="false" outlineLevel="0" collapsed="false">
      <c r="A102" s="3" t="n">
        <v>101</v>
      </c>
      <c r="B102" s="3" t="n">
        <v>100</v>
      </c>
      <c r="C102" s="3" t="n">
        <v>0</v>
      </c>
      <c r="D102" s="3" t="n">
        <v>7</v>
      </c>
      <c r="E102" s="3" t="n">
        <v>2</v>
      </c>
      <c r="F102" s="24" t="n">
        <v>0.316527247</v>
      </c>
    </row>
    <row r="103" customFormat="false" ht="15" hidden="false" customHeight="false" outlineLevel="0" collapsed="false">
      <c r="A103" s="3" t="n">
        <v>102</v>
      </c>
      <c r="B103" s="3" t="n">
        <v>101</v>
      </c>
      <c r="C103" s="3" t="n">
        <v>0</v>
      </c>
      <c r="D103" s="3" t="n">
        <v>7</v>
      </c>
      <c r="E103" s="3" t="n">
        <v>3</v>
      </c>
      <c r="F103" s="24" t="n">
        <v>0.316527247</v>
      </c>
    </row>
    <row r="104" customFormat="false" ht="15" hidden="false" customHeight="false" outlineLevel="0" collapsed="false">
      <c r="A104" s="3" t="n">
        <v>103</v>
      </c>
      <c r="B104" s="3" t="n">
        <v>102</v>
      </c>
      <c r="C104" s="3" t="n">
        <v>0</v>
      </c>
      <c r="D104" s="3" t="n">
        <v>7</v>
      </c>
      <c r="E104" s="3" t="n">
        <v>4</v>
      </c>
      <c r="F104" s="24" t="n">
        <v>0.316527247</v>
      </c>
    </row>
    <row r="105" customFormat="false" ht="15" hidden="false" customHeight="false" outlineLevel="0" collapsed="false">
      <c r="A105" s="3" t="n">
        <v>104</v>
      </c>
      <c r="B105" s="3" t="n">
        <v>103</v>
      </c>
      <c r="C105" s="3" t="n">
        <v>0</v>
      </c>
      <c r="D105" s="3" t="n">
        <v>7</v>
      </c>
      <c r="E105" s="3" t="n">
        <v>5</v>
      </c>
      <c r="F105" s="24" t="n">
        <v>0.151979864</v>
      </c>
    </row>
    <row r="106" customFormat="false" ht="15" hidden="false" customHeight="false" outlineLevel="0" collapsed="false">
      <c r="A106" s="3" t="n">
        <v>105</v>
      </c>
      <c r="B106" s="3" t="n">
        <v>104</v>
      </c>
      <c r="C106" s="3" t="n">
        <v>0</v>
      </c>
      <c r="D106" s="3" t="n">
        <v>7</v>
      </c>
      <c r="E106" s="3" t="n">
        <v>6</v>
      </c>
      <c r="F106" s="24" t="n">
        <v>0</v>
      </c>
    </row>
    <row r="107" customFormat="false" ht="15" hidden="false" customHeight="false" outlineLevel="0" collapsed="false">
      <c r="A107" s="3" t="n">
        <v>106</v>
      </c>
      <c r="B107" s="3" t="n">
        <v>105</v>
      </c>
      <c r="C107" s="3" t="n">
        <v>0</v>
      </c>
      <c r="D107" s="3" t="n">
        <v>7</v>
      </c>
      <c r="E107" s="3" t="n">
        <v>7</v>
      </c>
      <c r="F107" s="24" t="n">
        <v>0</v>
      </c>
    </row>
    <row r="108" customFormat="false" ht="15" hidden="false" customHeight="false" outlineLevel="0" collapsed="false">
      <c r="A108" s="3" t="n">
        <v>107</v>
      </c>
      <c r="B108" s="3" t="n">
        <v>106</v>
      </c>
      <c r="C108" s="3" t="n">
        <v>0</v>
      </c>
      <c r="D108" s="3" t="n">
        <v>7</v>
      </c>
      <c r="E108" s="3" t="n">
        <v>8</v>
      </c>
      <c r="F108" s="24" t="n">
        <v>0</v>
      </c>
    </row>
    <row r="109" customFormat="false" ht="15" hidden="false" customHeight="false" outlineLevel="0" collapsed="false">
      <c r="A109" s="3" t="n">
        <v>108</v>
      </c>
      <c r="B109" s="3" t="n">
        <v>107</v>
      </c>
      <c r="C109" s="3" t="n">
        <v>0</v>
      </c>
      <c r="D109" s="3" t="n">
        <v>7</v>
      </c>
      <c r="E109" s="3" t="n">
        <v>9</v>
      </c>
      <c r="F109" s="24" t="n">
        <v>0</v>
      </c>
    </row>
    <row r="110" customFormat="false" ht="15" hidden="false" customHeight="false" outlineLevel="0" collapsed="false">
      <c r="A110" s="3" t="n">
        <v>109</v>
      </c>
      <c r="B110" s="3" t="n">
        <v>108</v>
      </c>
      <c r="C110" s="3" t="n">
        <v>0</v>
      </c>
      <c r="D110" s="3" t="n">
        <v>7</v>
      </c>
      <c r="E110" s="3" t="n">
        <v>10</v>
      </c>
      <c r="F110" s="24" t="n">
        <v>0</v>
      </c>
    </row>
    <row r="111" customFormat="false" ht="15" hidden="false" customHeight="false" outlineLevel="0" collapsed="false">
      <c r="A111" s="3" t="n">
        <v>110</v>
      </c>
      <c r="B111" s="3" t="n">
        <v>109</v>
      </c>
      <c r="C111" s="3" t="n">
        <v>0</v>
      </c>
      <c r="D111" s="3" t="n">
        <v>7</v>
      </c>
      <c r="E111" s="3" t="n">
        <v>11</v>
      </c>
      <c r="F111" s="24" t="n">
        <v>0.405309498</v>
      </c>
    </row>
    <row r="112" customFormat="false" ht="15" hidden="false" customHeight="false" outlineLevel="0" collapsed="false">
      <c r="A112" s="3" t="n">
        <v>111</v>
      </c>
      <c r="B112" s="3" t="n">
        <v>110</v>
      </c>
      <c r="C112" s="3" t="n">
        <v>0</v>
      </c>
      <c r="D112" s="3" t="n">
        <v>7</v>
      </c>
      <c r="E112" s="3" t="n">
        <v>12</v>
      </c>
      <c r="F112" s="24" t="n">
        <v>0.645047963</v>
      </c>
    </row>
    <row r="113" customFormat="false" ht="15" hidden="false" customHeight="false" outlineLevel="0" collapsed="false">
      <c r="A113" s="3" t="n">
        <v>112</v>
      </c>
      <c r="B113" s="3" t="n">
        <v>111</v>
      </c>
      <c r="C113" s="3" t="n">
        <v>0</v>
      </c>
      <c r="D113" s="3" t="n">
        <v>7</v>
      </c>
      <c r="E113" s="3" t="n">
        <v>13</v>
      </c>
      <c r="F113" s="24" t="n">
        <v>0.342791796</v>
      </c>
    </row>
    <row r="114" customFormat="false" ht="15" hidden="false" customHeight="false" outlineLevel="0" collapsed="false">
      <c r="A114" s="3" t="n">
        <v>113</v>
      </c>
      <c r="B114" s="3" t="n">
        <v>112</v>
      </c>
      <c r="C114" s="3" t="n">
        <v>0</v>
      </c>
      <c r="D114" s="3" t="n">
        <v>8</v>
      </c>
      <c r="E114" s="3" t="n">
        <v>0</v>
      </c>
      <c r="F114" s="24" t="n">
        <v>0.411655962</v>
      </c>
    </row>
    <row r="115" customFormat="false" ht="15" hidden="false" customHeight="false" outlineLevel="0" collapsed="false">
      <c r="A115" s="3" t="n">
        <v>114</v>
      </c>
      <c r="B115" s="3" t="n">
        <v>113</v>
      </c>
      <c r="C115" s="3" t="n">
        <v>0</v>
      </c>
      <c r="D115" s="3" t="n">
        <v>8</v>
      </c>
      <c r="E115" s="3" t="n">
        <v>1</v>
      </c>
      <c r="F115" s="24" t="n">
        <v>0.474261254</v>
      </c>
    </row>
    <row r="116" customFormat="false" ht="15" hidden="false" customHeight="false" outlineLevel="0" collapsed="false">
      <c r="A116" s="3" t="n">
        <v>115</v>
      </c>
      <c r="B116" s="3" t="n">
        <v>114</v>
      </c>
      <c r="C116" s="3" t="n">
        <v>0</v>
      </c>
      <c r="D116" s="3" t="n">
        <v>8</v>
      </c>
      <c r="E116" s="3" t="n">
        <v>2</v>
      </c>
      <c r="F116" s="24" t="n">
        <v>0.316527247</v>
      </c>
    </row>
    <row r="117" customFormat="false" ht="15" hidden="false" customHeight="false" outlineLevel="0" collapsed="false">
      <c r="A117" s="3" t="n">
        <v>116</v>
      </c>
      <c r="B117" s="3" t="n">
        <v>115</v>
      </c>
      <c r="C117" s="3" t="n">
        <v>0</v>
      </c>
      <c r="D117" s="3" t="n">
        <v>8</v>
      </c>
      <c r="E117" s="3" t="n">
        <v>3</v>
      </c>
      <c r="F117" s="24" t="n">
        <v>0.316527247</v>
      </c>
    </row>
    <row r="118" customFormat="false" ht="15" hidden="false" customHeight="false" outlineLevel="0" collapsed="false">
      <c r="A118" s="3" t="n">
        <v>117</v>
      </c>
      <c r="B118" s="3" t="n">
        <v>116</v>
      </c>
      <c r="C118" s="3" t="n">
        <v>0</v>
      </c>
      <c r="D118" s="3" t="n">
        <v>8</v>
      </c>
      <c r="E118" s="3" t="n">
        <v>4</v>
      </c>
      <c r="F118" s="24" t="n">
        <v>0.313828081</v>
      </c>
    </row>
    <row r="119" customFormat="false" ht="15" hidden="false" customHeight="false" outlineLevel="0" collapsed="false">
      <c r="A119" s="3" t="n">
        <v>118</v>
      </c>
      <c r="B119" s="3" t="n">
        <v>117</v>
      </c>
      <c r="C119" s="3" t="n">
        <v>0</v>
      </c>
      <c r="D119" s="3" t="n">
        <v>8</v>
      </c>
      <c r="E119" s="3" t="n">
        <v>5</v>
      </c>
      <c r="F119" s="24" t="n">
        <v>0</v>
      </c>
    </row>
    <row r="120" customFormat="false" ht="15" hidden="false" customHeight="false" outlineLevel="0" collapsed="false">
      <c r="A120" s="3" t="n">
        <v>119</v>
      </c>
      <c r="B120" s="3" t="n">
        <v>118</v>
      </c>
      <c r="C120" s="3" t="n">
        <v>0</v>
      </c>
      <c r="D120" s="3" t="n">
        <v>8</v>
      </c>
      <c r="E120" s="3" t="n">
        <v>6</v>
      </c>
      <c r="F120" s="24" t="n">
        <v>0</v>
      </c>
    </row>
    <row r="121" customFormat="false" ht="15" hidden="false" customHeight="false" outlineLevel="0" collapsed="false">
      <c r="A121" s="3" t="n">
        <v>120</v>
      </c>
      <c r="B121" s="3" t="n">
        <v>119</v>
      </c>
      <c r="C121" s="3" t="n">
        <v>0</v>
      </c>
      <c r="D121" s="3" t="n">
        <v>8</v>
      </c>
      <c r="E121" s="3" t="n">
        <v>7</v>
      </c>
      <c r="F121" s="24" t="n">
        <v>0</v>
      </c>
    </row>
    <row r="122" customFormat="false" ht="15" hidden="false" customHeight="false" outlineLevel="0" collapsed="false">
      <c r="A122" s="3" t="n">
        <v>121</v>
      </c>
      <c r="B122" s="3" t="n">
        <v>120</v>
      </c>
      <c r="C122" s="3" t="n">
        <v>0</v>
      </c>
      <c r="D122" s="3" t="n">
        <v>8</v>
      </c>
      <c r="E122" s="3" t="n">
        <v>8</v>
      </c>
      <c r="F122" s="24" t="n">
        <v>0</v>
      </c>
    </row>
    <row r="123" customFormat="false" ht="15" hidden="false" customHeight="false" outlineLevel="0" collapsed="false">
      <c r="A123" s="3" t="n">
        <v>122</v>
      </c>
      <c r="B123" s="3" t="n">
        <v>121</v>
      </c>
      <c r="C123" s="3" t="n">
        <v>0</v>
      </c>
      <c r="D123" s="3" t="n">
        <v>8</v>
      </c>
      <c r="E123" s="3" t="n">
        <v>9</v>
      </c>
      <c r="F123" s="24" t="n">
        <v>0</v>
      </c>
    </row>
    <row r="124" customFormat="false" ht="15" hidden="false" customHeight="false" outlineLevel="0" collapsed="false">
      <c r="A124" s="3" t="n">
        <v>123</v>
      </c>
      <c r="B124" s="3" t="n">
        <v>122</v>
      </c>
      <c r="C124" s="3" t="n">
        <v>0</v>
      </c>
      <c r="D124" s="3" t="n">
        <v>8</v>
      </c>
      <c r="E124" s="3" t="n">
        <v>10</v>
      </c>
      <c r="F124" s="24" t="n">
        <v>0</v>
      </c>
    </row>
    <row r="125" customFormat="false" ht="15" hidden="false" customHeight="false" outlineLevel="0" collapsed="false">
      <c r="A125" s="3" t="n">
        <v>124</v>
      </c>
      <c r="B125" s="3" t="n">
        <v>123</v>
      </c>
      <c r="C125" s="3" t="n">
        <v>0</v>
      </c>
      <c r="D125" s="3" t="n">
        <v>8</v>
      </c>
      <c r="E125" s="3" t="n">
        <v>11</v>
      </c>
      <c r="F125" s="24" t="n">
        <v>0.0237534046</v>
      </c>
    </row>
    <row r="126" customFormat="false" ht="15" hidden="false" customHeight="false" outlineLevel="0" collapsed="false">
      <c r="A126" s="3" t="n">
        <v>125</v>
      </c>
      <c r="B126" s="3" t="n">
        <v>124</v>
      </c>
      <c r="C126" s="3" t="n">
        <v>0</v>
      </c>
      <c r="D126" s="3" t="n">
        <v>8</v>
      </c>
      <c r="E126" s="3" t="n">
        <v>12</v>
      </c>
      <c r="F126" s="24" t="n">
        <v>0.659375548</v>
      </c>
    </row>
    <row r="127" customFormat="false" ht="15" hidden="false" customHeight="false" outlineLevel="0" collapsed="false">
      <c r="A127" s="3" t="n">
        <v>126</v>
      </c>
      <c r="B127" s="3" t="n">
        <v>125</v>
      </c>
      <c r="C127" s="3" t="n">
        <v>0</v>
      </c>
      <c r="D127" s="3" t="n">
        <v>8</v>
      </c>
      <c r="E127" s="3" t="n">
        <v>13</v>
      </c>
      <c r="F127" s="24" t="n">
        <v>0.342791796</v>
      </c>
    </row>
    <row r="128" customFormat="false" ht="15" hidden="false" customHeight="false" outlineLevel="0" collapsed="false">
      <c r="A128" s="3" t="n">
        <v>127</v>
      </c>
      <c r="B128" s="3" t="n">
        <v>126</v>
      </c>
      <c r="C128" s="3" t="n">
        <v>0</v>
      </c>
      <c r="D128" s="3" t="n">
        <v>9</v>
      </c>
      <c r="E128" s="3" t="n">
        <v>0</v>
      </c>
      <c r="F128" s="24" t="n">
        <v>0.411655962</v>
      </c>
    </row>
    <row r="129" customFormat="false" ht="15" hidden="false" customHeight="false" outlineLevel="0" collapsed="false">
      <c r="A129" s="3" t="n">
        <v>128</v>
      </c>
      <c r="B129" s="3" t="n">
        <v>127</v>
      </c>
      <c r="C129" s="3" t="n">
        <v>0</v>
      </c>
      <c r="D129" s="3" t="n">
        <v>9</v>
      </c>
      <c r="E129" s="3" t="n">
        <v>1</v>
      </c>
      <c r="F129" s="24" t="n">
        <v>0.474261254</v>
      </c>
    </row>
    <row r="130" customFormat="false" ht="15" hidden="false" customHeight="false" outlineLevel="0" collapsed="false">
      <c r="A130" s="3" t="n">
        <v>129</v>
      </c>
      <c r="B130" s="3" t="n">
        <v>128</v>
      </c>
      <c r="C130" s="3" t="n">
        <v>0</v>
      </c>
      <c r="D130" s="3" t="n">
        <v>9</v>
      </c>
      <c r="E130" s="3" t="n">
        <v>2</v>
      </c>
      <c r="F130" s="24" t="n">
        <v>0.316527247</v>
      </c>
    </row>
    <row r="131" customFormat="false" ht="15" hidden="false" customHeight="false" outlineLevel="0" collapsed="false">
      <c r="A131" s="3" t="n">
        <v>130</v>
      </c>
      <c r="B131" s="3" t="n">
        <v>129</v>
      </c>
      <c r="C131" s="3" t="n">
        <v>0</v>
      </c>
      <c r="D131" s="3" t="n">
        <v>9</v>
      </c>
      <c r="E131" s="3" t="n">
        <v>3</v>
      </c>
      <c r="F131" s="24" t="n">
        <v>0.316527247</v>
      </c>
    </row>
    <row r="132" customFormat="false" ht="15" hidden="false" customHeight="false" outlineLevel="0" collapsed="false">
      <c r="A132" s="3" t="n">
        <v>131</v>
      </c>
      <c r="B132" s="3" t="n">
        <v>130</v>
      </c>
      <c r="C132" s="3" t="n">
        <v>0</v>
      </c>
      <c r="D132" s="3" t="n">
        <v>9</v>
      </c>
      <c r="E132" s="3" t="n">
        <v>4</v>
      </c>
      <c r="F132" s="24" t="n">
        <v>0</v>
      </c>
    </row>
    <row r="133" customFormat="false" ht="15" hidden="false" customHeight="false" outlineLevel="0" collapsed="false">
      <c r="A133" s="3" t="n">
        <v>132</v>
      </c>
      <c r="B133" s="3" t="n">
        <v>131</v>
      </c>
      <c r="C133" s="3" t="n">
        <v>0</v>
      </c>
      <c r="D133" s="3" t="n">
        <v>9</v>
      </c>
      <c r="E133" s="3" t="n">
        <v>5</v>
      </c>
      <c r="F133" s="24" t="n">
        <v>0</v>
      </c>
    </row>
    <row r="134" customFormat="false" ht="15" hidden="false" customHeight="false" outlineLevel="0" collapsed="false">
      <c r="A134" s="3" t="n">
        <v>133</v>
      </c>
      <c r="B134" s="3" t="n">
        <v>132</v>
      </c>
      <c r="C134" s="3" t="n">
        <v>0</v>
      </c>
      <c r="D134" s="3" t="n">
        <v>9</v>
      </c>
      <c r="E134" s="3" t="n">
        <v>6</v>
      </c>
      <c r="F134" s="24" t="n">
        <v>0</v>
      </c>
    </row>
    <row r="135" customFormat="false" ht="15" hidden="false" customHeight="false" outlineLevel="0" collapsed="false">
      <c r="A135" s="3" t="n">
        <v>134</v>
      </c>
      <c r="B135" s="3" t="n">
        <v>133</v>
      </c>
      <c r="C135" s="3" t="n">
        <v>0</v>
      </c>
      <c r="D135" s="3" t="n">
        <v>9</v>
      </c>
      <c r="E135" s="3" t="n">
        <v>7</v>
      </c>
      <c r="F135" s="24" t="n">
        <v>0</v>
      </c>
    </row>
    <row r="136" customFormat="false" ht="15" hidden="false" customHeight="false" outlineLevel="0" collapsed="false">
      <c r="A136" s="3" t="n">
        <v>135</v>
      </c>
      <c r="B136" s="3" t="n">
        <v>134</v>
      </c>
      <c r="C136" s="3" t="n">
        <v>0</v>
      </c>
      <c r="D136" s="3" t="n">
        <v>9</v>
      </c>
      <c r="E136" s="3" t="n">
        <v>8</v>
      </c>
      <c r="F136" s="24" t="n">
        <v>0</v>
      </c>
    </row>
    <row r="137" customFormat="false" ht="15" hidden="false" customHeight="false" outlineLevel="0" collapsed="false">
      <c r="A137" s="3" t="n">
        <v>136</v>
      </c>
      <c r="B137" s="3" t="n">
        <v>135</v>
      </c>
      <c r="C137" s="3" t="n">
        <v>0</v>
      </c>
      <c r="D137" s="3" t="n">
        <v>9</v>
      </c>
      <c r="E137" s="3" t="n">
        <v>9</v>
      </c>
      <c r="F137" s="24" t="n">
        <v>0</v>
      </c>
    </row>
    <row r="138" customFormat="false" ht="15" hidden="false" customHeight="false" outlineLevel="0" collapsed="false">
      <c r="A138" s="3" t="n">
        <v>137</v>
      </c>
      <c r="B138" s="3" t="n">
        <v>136</v>
      </c>
      <c r="C138" s="3" t="n">
        <v>0</v>
      </c>
      <c r="D138" s="3" t="n">
        <v>9</v>
      </c>
      <c r="E138" s="3" t="n">
        <v>10</v>
      </c>
      <c r="F138" s="24" t="n">
        <v>0.254302472</v>
      </c>
    </row>
    <row r="139" customFormat="false" ht="15" hidden="false" customHeight="false" outlineLevel="0" collapsed="false">
      <c r="A139" s="3" t="n">
        <v>138</v>
      </c>
      <c r="B139" s="3" t="n">
        <v>137</v>
      </c>
      <c r="C139" s="3" t="n">
        <v>0</v>
      </c>
      <c r="D139" s="3" t="n">
        <v>9</v>
      </c>
      <c r="E139" s="3" t="n">
        <v>11</v>
      </c>
      <c r="F139" s="24" t="n">
        <v>0.314773709</v>
      </c>
    </row>
    <row r="140" customFormat="false" ht="15" hidden="false" customHeight="false" outlineLevel="0" collapsed="false">
      <c r="A140" s="3" t="n">
        <v>139</v>
      </c>
      <c r="B140" s="3" t="n">
        <v>138</v>
      </c>
      <c r="C140" s="3" t="n">
        <v>0</v>
      </c>
      <c r="D140" s="3" t="n">
        <v>9</v>
      </c>
      <c r="E140" s="3" t="n">
        <v>12</v>
      </c>
      <c r="F140" s="24" t="n">
        <v>0.659375548</v>
      </c>
    </row>
    <row r="141" customFormat="false" ht="15" hidden="false" customHeight="false" outlineLevel="0" collapsed="false">
      <c r="A141" s="3" t="n">
        <v>140</v>
      </c>
      <c r="B141" s="3" t="n">
        <v>139</v>
      </c>
      <c r="C141" s="3" t="n">
        <v>0</v>
      </c>
      <c r="D141" s="3" t="n">
        <v>9</v>
      </c>
      <c r="E141" s="3" t="n">
        <v>13</v>
      </c>
      <c r="F141" s="24" t="n">
        <v>0.342791796</v>
      </c>
    </row>
    <row r="142" customFormat="false" ht="15" hidden="false" customHeight="false" outlineLevel="0" collapsed="false">
      <c r="A142" s="3" t="n">
        <v>141</v>
      </c>
      <c r="B142" s="3" t="n">
        <v>140</v>
      </c>
      <c r="C142" s="3" t="n">
        <v>0</v>
      </c>
      <c r="D142" s="3" t="n">
        <v>10</v>
      </c>
      <c r="E142" s="3" t="n">
        <v>0</v>
      </c>
      <c r="F142" s="24" t="n">
        <v>0.411655962</v>
      </c>
    </row>
    <row r="143" customFormat="false" ht="15" hidden="false" customHeight="false" outlineLevel="0" collapsed="false">
      <c r="A143" s="3" t="n">
        <v>142</v>
      </c>
      <c r="B143" s="3" t="n">
        <v>141</v>
      </c>
      <c r="C143" s="3" t="n">
        <v>0</v>
      </c>
      <c r="D143" s="3" t="n">
        <v>10</v>
      </c>
      <c r="E143" s="3" t="n">
        <v>1</v>
      </c>
      <c r="F143" s="24" t="n">
        <v>0.474261254</v>
      </c>
    </row>
    <row r="144" customFormat="false" ht="15" hidden="false" customHeight="false" outlineLevel="0" collapsed="false">
      <c r="A144" s="3" t="n">
        <v>143</v>
      </c>
      <c r="B144" s="3" t="n">
        <v>142</v>
      </c>
      <c r="C144" s="3" t="n">
        <v>0</v>
      </c>
      <c r="D144" s="3" t="n">
        <v>10</v>
      </c>
      <c r="E144" s="3" t="n">
        <v>2</v>
      </c>
      <c r="F144" s="24" t="n">
        <v>0.316527247</v>
      </c>
    </row>
    <row r="145" customFormat="false" ht="15" hidden="false" customHeight="false" outlineLevel="0" collapsed="false">
      <c r="A145" s="3" t="n">
        <v>144</v>
      </c>
      <c r="B145" s="3" t="n">
        <v>143</v>
      </c>
      <c r="C145" s="3" t="n">
        <v>0</v>
      </c>
      <c r="D145" s="3" t="n">
        <v>10</v>
      </c>
      <c r="E145" s="3" t="n">
        <v>3</v>
      </c>
      <c r="F145" s="24" t="n">
        <v>0.184083089</v>
      </c>
    </row>
    <row r="146" customFormat="false" ht="15" hidden="false" customHeight="false" outlineLevel="0" collapsed="false">
      <c r="A146" s="3" t="n">
        <v>145</v>
      </c>
      <c r="B146" s="3" t="n">
        <v>144</v>
      </c>
      <c r="C146" s="3" t="n">
        <v>0</v>
      </c>
      <c r="D146" s="3" t="n">
        <v>10</v>
      </c>
      <c r="E146" s="3" t="n">
        <v>4</v>
      </c>
      <c r="F146" s="24" t="n">
        <v>0</v>
      </c>
    </row>
    <row r="147" customFormat="false" ht="15" hidden="false" customHeight="false" outlineLevel="0" collapsed="false">
      <c r="A147" s="3" t="n">
        <v>146</v>
      </c>
      <c r="B147" s="3" t="n">
        <v>145</v>
      </c>
      <c r="C147" s="3" t="n">
        <v>0</v>
      </c>
      <c r="D147" s="3" t="n">
        <v>10</v>
      </c>
      <c r="E147" s="3" t="n">
        <v>5</v>
      </c>
      <c r="F147" s="24" t="n">
        <v>0</v>
      </c>
    </row>
    <row r="148" customFormat="false" ht="15" hidden="false" customHeight="false" outlineLevel="0" collapsed="false">
      <c r="A148" s="3" t="n">
        <v>147</v>
      </c>
      <c r="B148" s="3" t="n">
        <v>146</v>
      </c>
      <c r="C148" s="3" t="n">
        <v>0</v>
      </c>
      <c r="D148" s="3" t="n">
        <v>10</v>
      </c>
      <c r="E148" s="3" t="n">
        <v>6</v>
      </c>
      <c r="F148" s="24" t="n">
        <v>0</v>
      </c>
    </row>
    <row r="149" customFormat="false" ht="15" hidden="false" customHeight="false" outlineLevel="0" collapsed="false">
      <c r="A149" s="3" t="n">
        <v>148</v>
      </c>
      <c r="B149" s="3" t="n">
        <v>147</v>
      </c>
      <c r="C149" s="3" t="n">
        <v>0</v>
      </c>
      <c r="D149" s="3" t="n">
        <v>10</v>
      </c>
      <c r="E149" s="3" t="n">
        <v>7</v>
      </c>
      <c r="F149" s="24" t="n">
        <v>0</v>
      </c>
    </row>
    <row r="150" customFormat="false" ht="15" hidden="false" customHeight="false" outlineLevel="0" collapsed="false">
      <c r="A150" s="3" t="n">
        <v>149</v>
      </c>
      <c r="B150" s="3" t="n">
        <v>148</v>
      </c>
      <c r="C150" s="3" t="n">
        <v>0</v>
      </c>
      <c r="D150" s="3" t="n">
        <v>10</v>
      </c>
      <c r="E150" s="3" t="n">
        <v>8</v>
      </c>
      <c r="F150" s="24" t="n">
        <v>0</v>
      </c>
    </row>
    <row r="151" customFormat="false" ht="15" hidden="false" customHeight="false" outlineLevel="0" collapsed="false">
      <c r="A151" s="3" t="n">
        <v>150</v>
      </c>
      <c r="B151" s="3" t="n">
        <v>149</v>
      </c>
      <c r="C151" s="3" t="n">
        <v>0</v>
      </c>
      <c r="D151" s="3" t="n">
        <v>10</v>
      </c>
      <c r="E151" s="3" t="n">
        <v>9</v>
      </c>
      <c r="F151" s="24" t="n">
        <v>0</v>
      </c>
    </row>
    <row r="152" customFormat="false" ht="15" hidden="false" customHeight="false" outlineLevel="0" collapsed="false">
      <c r="A152" s="3" t="n">
        <v>151</v>
      </c>
      <c r="B152" s="3" t="n">
        <v>150</v>
      </c>
      <c r="C152" s="3" t="n">
        <v>0</v>
      </c>
      <c r="D152" s="3" t="n">
        <v>10</v>
      </c>
      <c r="E152" s="3" t="n">
        <v>10</v>
      </c>
      <c r="F152" s="24" t="n">
        <v>0.138945043</v>
      </c>
    </row>
    <row r="153" customFormat="false" ht="15" hidden="false" customHeight="false" outlineLevel="0" collapsed="false">
      <c r="A153" s="3" t="n">
        <v>152</v>
      </c>
      <c r="B153" s="3" t="n">
        <v>151</v>
      </c>
      <c r="C153" s="3" t="n">
        <v>0</v>
      </c>
      <c r="D153" s="3" t="n">
        <v>10</v>
      </c>
      <c r="E153" s="3" t="n">
        <v>11</v>
      </c>
      <c r="F153" s="24" t="n">
        <v>0.316527247</v>
      </c>
    </row>
    <row r="154" customFormat="false" ht="15" hidden="false" customHeight="false" outlineLevel="0" collapsed="false">
      <c r="A154" s="3" t="n">
        <v>153</v>
      </c>
      <c r="B154" s="3" t="n">
        <v>152</v>
      </c>
      <c r="C154" s="3" t="n">
        <v>0</v>
      </c>
      <c r="D154" s="3" t="n">
        <v>10</v>
      </c>
      <c r="E154" s="3" t="n">
        <v>12</v>
      </c>
      <c r="F154" s="24" t="n">
        <v>0.659375548</v>
      </c>
    </row>
    <row r="155" customFormat="false" ht="15" hidden="false" customHeight="false" outlineLevel="0" collapsed="false">
      <c r="A155" s="3" t="n">
        <v>154</v>
      </c>
      <c r="B155" s="3" t="n">
        <v>153</v>
      </c>
      <c r="C155" s="3" t="n">
        <v>0</v>
      </c>
      <c r="D155" s="3" t="n">
        <v>10</v>
      </c>
      <c r="E155" s="3" t="n">
        <v>13</v>
      </c>
      <c r="F155" s="24" t="n">
        <v>0.342791796</v>
      </c>
    </row>
    <row r="156" customFormat="false" ht="15" hidden="false" customHeight="false" outlineLevel="0" collapsed="false">
      <c r="A156" s="3" t="n">
        <v>155</v>
      </c>
      <c r="B156" s="3" t="n">
        <v>154</v>
      </c>
      <c r="C156" s="3" t="n">
        <v>0</v>
      </c>
      <c r="D156" s="3" t="n">
        <v>11</v>
      </c>
      <c r="E156" s="3" t="n">
        <v>0</v>
      </c>
      <c r="F156" s="24" t="n">
        <v>0.411655962</v>
      </c>
    </row>
    <row r="157" customFormat="false" ht="15" hidden="false" customHeight="false" outlineLevel="0" collapsed="false">
      <c r="A157" s="3" t="n">
        <v>156</v>
      </c>
      <c r="B157" s="3" t="n">
        <v>155</v>
      </c>
      <c r="C157" s="3" t="n">
        <v>0</v>
      </c>
      <c r="D157" s="3" t="n">
        <v>11</v>
      </c>
      <c r="E157" s="3" t="n">
        <v>1</v>
      </c>
      <c r="F157" s="24" t="n">
        <v>0.474261254</v>
      </c>
    </row>
    <row r="158" customFormat="false" ht="15" hidden="false" customHeight="false" outlineLevel="0" collapsed="false">
      <c r="A158" s="3" t="n">
        <v>157</v>
      </c>
      <c r="B158" s="3" t="n">
        <v>156</v>
      </c>
      <c r="C158" s="3" t="n">
        <v>0</v>
      </c>
      <c r="D158" s="3" t="n">
        <v>11</v>
      </c>
      <c r="E158" s="3" t="n">
        <v>2</v>
      </c>
      <c r="F158" s="24" t="n">
        <v>0.316527247</v>
      </c>
    </row>
    <row r="159" customFormat="false" ht="15" hidden="false" customHeight="false" outlineLevel="0" collapsed="false">
      <c r="A159" s="3" t="n">
        <v>158</v>
      </c>
      <c r="B159" s="3" t="n">
        <v>157</v>
      </c>
      <c r="C159" s="3" t="n">
        <v>0</v>
      </c>
      <c r="D159" s="3" t="n">
        <v>11</v>
      </c>
      <c r="E159" s="3" t="n">
        <v>3</v>
      </c>
      <c r="F159" s="24" t="n">
        <v>0.23694998</v>
      </c>
    </row>
    <row r="160" customFormat="false" ht="15" hidden="false" customHeight="false" outlineLevel="0" collapsed="false">
      <c r="A160" s="3" t="n">
        <v>159</v>
      </c>
      <c r="B160" s="3" t="n">
        <v>158</v>
      </c>
      <c r="C160" s="3" t="n">
        <v>0</v>
      </c>
      <c r="D160" s="3" t="n">
        <v>11</v>
      </c>
      <c r="E160" s="3" t="n">
        <v>4</v>
      </c>
      <c r="F160" s="24" t="n">
        <v>0</v>
      </c>
    </row>
    <row r="161" customFormat="false" ht="15" hidden="false" customHeight="false" outlineLevel="0" collapsed="false">
      <c r="A161" s="3" t="n">
        <v>160</v>
      </c>
      <c r="B161" s="3" t="n">
        <v>159</v>
      </c>
      <c r="C161" s="3" t="n">
        <v>0</v>
      </c>
      <c r="D161" s="3" t="n">
        <v>11</v>
      </c>
      <c r="E161" s="3" t="n">
        <v>5</v>
      </c>
      <c r="F161" s="24" t="n">
        <v>0</v>
      </c>
    </row>
    <row r="162" customFormat="false" ht="15" hidden="false" customHeight="false" outlineLevel="0" collapsed="false">
      <c r="A162" s="3" t="n">
        <v>161</v>
      </c>
      <c r="B162" s="3" t="n">
        <v>160</v>
      </c>
      <c r="C162" s="3" t="n">
        <v>0</v>
      </c>
      <c r="D162" s="3" t="n">
        <v>11</v>
      </c>
      <c r="E162" s="3" t="n">
        <v>6</v>
      </c>
      <c r="F162" s="24" t="n">
        <v>0</v>
      </c>
    </row>
    <row r="163" customFormat="false" ht="15" hidden="false" customHeight="false" outlineLevel="0" collapsed="false">
      <c r="A163" s="3" t="n">
        <v>162</v>
      </c>
      <c r="B163" s="3" t="n">
        <v>161</v>
      </c>
      <c r="C163" s="3" t="n">
        <v>0</v>
      </c>
      <c r="D163" s="3" t="n">
        <v>11</v>
      </c>
      <c r="E163" s="3" t="n">
        <v>7</v>
      </c>
      <c r="F163" s="24" t="n">
        <v>0</v>
      </c>
    </row>
    <row r="164" customFormat="false" ht="15" hidden="false" customHeight="false" outlineLevel="0" collapsed="false">
      <c r="A164" s="3" t="n">
        <v>163</v>
      </c>
      <c r="B164" s="3" t="n">
        <v>162</v>
      </c>
      <c r="C164" s="3" t="n">
        <v>0</v>
      </c>
      <c r="D164" s="3" t="n">
        <v>11</v>
      </c>
      <c r="E164" s="3" t="n">
        <v>8</v>
      </c>
      <c r="F164" s="24" t="n">
        <v>0</v>
      </c>
    </row>
    <row r="165" customFormat="false" ht="15" hidden="false" customHeight="false" outlineLevel="0" collapsed="false">
      <c r="A165" s="3" t="n">
        <v>164</v>
      </c>
      <c r="B165" s="3" t="n">
        <v>163</v>
      </c>
      <c r="C165" s="3" t="n">
        <v>0</v>
      </c>
      <c r="D165" s="3" t="n">
        <v>11</v>
      </c>
      <c r="E165" s="3" t="n">
        <v>9</v>
      </c>
      <c r="F165" s="24" t="n">
        <v>0</v>
      </c>
    </row>
    <row r="166" customFormat="false" ht="15" hidden="false" customHeight="false" outlineLevel="0" collapsed="false">
      <c r="A166" s="3" t="n">
        <v>165</v>
      </c>
      <c r="B166" s="3" t="n">
        <v>164</v>
      </c>
      <c r="C166" s="3" t="n">
        <v>0</v>
      </c>
      <c r="D166" s="3" t="n">
        <v>11</v>
      </c>
      <c r="E166" s="3" t="n">
        <v>10</v>
      </c>
      <c r="F166" s="24" t="n">
        <v>0.316527247</v>
      </c>
    </row>
    <row r="167" customFormat="false" ht="15" hidden="false" customHeight="false" outlineLevel="0" collapsed="false">
      <c r="A167" s="3" t="n">
        <v>166</v>
      </c>
      <c r="B167" s="3" t="n">
        <v>165</v>
      </c>
      <c r="C167" s="3" t="n">
        <v>0</v>
      </c>
      <c r="D167" s="3" t="n">
        <v>11</v>
      </c>
      <c r="E167" s="3" t="n">
        <v>11</v>
      </c>
      <c r="F167" s="24" t="n">
        <v>0.316527247</v>
      </c>
    </row>
    <row r="168" customFormat="false" ht="15" hidden="false" customHeight="false" outlineLevel="0" collapsed="false">
      <c r="A168" s="3" t="n">
        <v>167</v>
      </c>
      <c r="B168" s="3" t="n">
        <v>166</v>
      </c>
      <c r="C168" s="3" t="n">
        <v>0</v>
      </c>
      <c r="D168" s="3" t="n">
        <v>11</v>
      </c>
      <c r="E168" s="3" t="n">
        <v>12</v>
      </c>
      <c r="F168" s="24" t="n">
        <v>0.659375548</v>
      </c>
    </row>
    <row r="169" customFormat="false" ht="15" hidden="false" customHeight="false" outlineLevel="0" collapsed="false">
      <c r="A169" s="3" t="n">
        <v>168</v>
      </c>
      <c r="B169" s="3" t="n">
        <v>167</v>
      </c>
      <c r="C169" s="3" t="n">
        <v>0</v>
      </c>
      <c r="D169" s="3" t="n">
        <v>11</v>
      </c>
      <c r="E169" s="3" t="n">
        <v>13</v>
      </c>
      <c r="F169" s="24" t="n">
        <v>0.342791796</v>
      </c>
    </row>
    <row r="170" customFormat="false" ht="15" hidden="false" customHeight="false" outlineLevel="0" collapsed="false">
      <c r="A170" s="3" t="n">
        <v>169</v>
      </c>
      <c r="B170" s="3" t="n">
        <v>168</v>
      </c>
      <c r="C170" s="3" t="n">
        <v>0</v>
      </c>
      <c r="D170" s="3" t="n">
        <v>12</v>
      </c>
      <c r="E170" s="3" t="n">
        <v>0</v>
      </c>
      <c r="F170" s="24" t="n">
        <v>0.330324352</v>
      </c>
    </row>
    <row r="171" customFormat="false" ht="15" hidden="false" customHeight="false" outlineLevel="0" collapsed="false">
      <c r="A171" s="3" t="n">
        <v>170</v>
      </c>
      <c r="B171" s="3" t="n">
        <v>169</v>
      </c>
      <c r="C171" s="3" t="n">
        <v>0</v>
      </c>
      <c r="D171" s="3" t="n">
        <v>12</v>
      </c>
      <c r="E171" s="3" t="n">
        <v>1</v>
      </c>
      <c r="F171" s="24" t="n">
        <v>0.363228589</v>
      </c>
    </row>
    <row r="172" customFormat="false" ht="15" hidden="false" customHeight="false" outlineLevel="0" collapsed="false">
      <c r="A172" s="3" t="n">
        <v>171</v>
      </c>
      <c r="B172" s="3" t="n">
        <v>170</v>
      </c>
      <c r="C172" s="3" t="n">
        <v>0</v>
      </c>
      <c r="D172" s="3" t="n">
        <v>12</v>
      </c>
      <c r="E172" s="3" t="n">
        <v>2</v>
      </c>
      <c r="F172" s="24" t="n">
        <v>0.171908289</v>
      </c>
    </row>
    <row r="173" customFormat="false" ht="15" hidden="false" customHeight="false" outlineLevel="0" collapsed="false">
      <c r="A173" s="3" t="n">
        <v>172</v>
      </c>
      <c r="B173" s="3" t="n">
        <v>171</v>
      </c>
      <c r="C173" s="3" t="n">
        <v>0</v>
      </c>
      <c r="D173" s="3" t="n">
        <v>12</v>
      </c>
      <c r="E173" s="3" t="n">
        <v>3</v>
      </c>
      <c r="F173" s="24" t="n">
        <v>0.183691546</v>
      </c>
    </row>
    <row r="174" customFormat="false" ht="15" hidden="false" customHeight="false" outlineLevel="0" collapsed="false">
      <c r="A174" s="3" t="n">
        <v>173</v>
      </c>
      <c r="B174" s="3" t="n">
        <v>172</v>
      </c>
      <c r="C174" s="3" t="n">
        <v>0</v>
      </c>
      <c r="D174" s="3" t="n">
        <v>12</v>
      </c>
      <c r="E174" s="3" t="n">
        <v>4</v>
      </c>
      <c r="F174" s="24" t="n">
        <v>0</v>
      </c>
    </row>
    <row r="175" customFormat="false" ht="15" hidden="false" customHeight="false" outlineLevel="0" collapsed="false">
      <c r="A175" s="3" t="n">
        <v>174</v>
      </c>
      <c r="B175" s="3" t="n">
        <v>173</v>
      </c>
      <c r="C175" s="3" t="n">
        <v>0</v>
      </c>
      <c r="D175" s="3" t="n">
        <v>12</v>
      </c>
      <c r="E175" s="3" t="n">
        <v>5</v>
      </c>
      <c r="F175" s="24" t="n">
        <v>0</v>
      </c>
    </row>
    <row r="176" customFormat="false" ht="15" hidden="false" customHeight="false" outlineLevel="0" collapsed="false">
      <c r="A176" s="3" t="n">
        <v>175</v>
      </c>
      <c r="B176" s="3" t="n">
        <v>174</v>
      </c>
      <c r="C176" s="3" t="n">
        <v>0</v>
      </c>
      <c r="D176" s="3" t="n">
        <v>12</v>
      </c>
      <c r="E176" s="3" t="n">
        <v>6</v>
      </c>
      <c r="F176" s="24" t="n">
        <v>0</v>
      </c>
    </row>
    <row r="177" customFormat="false" ht="15" hidden="false" customHeight="false" outlineLevel="0" collapsed="false">
      <c r="A177" s="3" t="n">
        <v>176</v>
      </c>
      <c r="B177" s="3" t="n">
        <v>175</v>
      </c>
      <c r="C177" s="3" t="n">
        <v>0</v>
      </c>
      <c r="D177" s="3" t="n">
        <v>12</v>
      </c>
      <c r="E177" s="3" t="n">
        <v>7</v>
      </c>
      <c r="F177" s="24" t="n">
        <v>0</v>
      </c>
    </row>
    <row r="178" customFormat="false" ht="15" hidden="false" customHeight="false" outlineLevel="0" collapsed="false">
      <c r="A178" s="3" t="n">
        <v>177</v>
      </c>
      <c r="B178" s="3" t="n">
        <v>176</v>
      </c>
      <c r="C178" s="3" t="n">
        <v>0</v>
      </c>
      <c r="D178" s="3" t="n">
        <v>12</v>
      </c>
      <c r="E178" s="3" t="n">
        <v>8</v>
      </c>
      <c r="F178" s="24" t="n">
        <v>0.77717793</v>
      </c>
    </row>
    <row r="179" customFormat="false" ht="15" hidden="false" customHeight="false" outlineLevel="0" collapsed="false">
      <c r="A179" s="3" t="n">
        <v>178</v>
      </c>
      <c r="B179" s="3" t="n">
        <v>177</v>
      </c>
      <c r="C179" s="3" t="n">
        <v>0</v>
      </c>
      <c r="D179" s="3" t="n">
        <v>12</v>
      </c>
      <c r="E179" s="3" t="n">
        <v>9</v>
      </c>
      <c r="F179" s="24" t="n">
        <v>0.112714469</v>
      </c>
    </row>
    <row r="180" customFormat="false" ht="15" hidden="false" customHeight="false" outlineLevel="0" collapsed="false">
      <c r="A180" s="3" t="n">
        <v>179</v>
      </c>
      <c r="B180" s="3" t="n">
        <v>178</v>
      </c>
      <c r="C180" s="3" t="n">
        <v>0</v>
      </c>
      <c r="D180" s="3" t="n">
        <v>12</v>
      </c>
      <c r="E180" s="3" t="n">
        <v>10</v>
      </c>
      <c r="F180" s="24" t="n">
        <v>0.171908289</v>
      </c>
    </row>
    <row r="181" customFormat="false" ht="15" hidden="false" customHeight="false" outlineLevel="0" collapsed="false">
      <c r="A181" s="3" t="n">
        <v>180</v>
      </c>
      <c r="B181" s="3" t="n">
        <v>179</v>
      </c>
      <c r="C181" s="3" t="n">
        <v>0</v>
      </c>
      <c r="D181" s="3" t="n">
        <v>12</v>
      </c>
      <c r="E181" s="3" t="n">
        <v>11</v>
      </c>
      <c r="F181" s="24" t="n">
        <v>0.171908289</v>
      </c>
    </row>
    <row r="182" customFormat="false" ht="15" hidden="false" customHeight="false" outlineLevel="0" collapsed="false">
      <c r="A182" s="3" t="n">
        <v>181</v>
      </c>
      <c r="B182" s="3" t="n">
        <v>180</v>
      </c>
      <c r="C182" s="3" t="n">
        <v>0</v>
      </c>
      <c r="D182" s="3" t="n">
        <v>12</v>
      </c>
      <c r="E182" s="3" t="n">
        <v>12</v>
      </c>
      <c r="F182" s="24" t="n">
        <v>0.51475662</v>
      </c>
    </row>
    <row r="183" customFormat="false" ht="15" hidden="false" customHeight="false" outlineLevel="0" collapsed="false">
      <c r="A183" s="3" t="n">
        <v>182</v>
      </c>
      <c r="B183" s="3" t="n">
        <v>181</v>
      </c>
      <c r="C183" s="3" t="n">
        <v>0</v>
      </c>
      <c r="D183" s="3" t="n">
        <v>12</v>
      </c>
      <c r="E183" s="3" t="n">
        <v>13</v>
      </c>
      <c r="F183" s="24" t="n">
        <v>0.352743238</v>
      </c>
    </row>
    <row r="184" customFormat="false" ht="15" hidden="false" customHeight="false" outlineLevel="0" collapsed="false">
      <c r="A184" s="3" t="n">
        <v>183</v>
      </c>
      <c r="B184" s="3" t="n">
        <v>182</v>
      </c>
      <c r="C184" s="3" t="n">
        <v>0</v>
      </c>
      <c r="D184" s="3" t="n">
        <v>13</v>
      </c>
      <c r="E184" s="3" t="n">
        <v>0</v>
      </c>
      <c r="F184" s="24" t="n">
        <v>0.46519202</v>
      </c>
    </row>
    <row r="185" customFormat="false" ht="15" hidden="false" customHeight="false" outlineLevel="0" collapsed="false">
      <c r="A185" s="3" t="n">
        <v>184</v>
      </c>
      <c r="B185" s="3" t="n">
        <v>183</v>
      </c>
      <c r="C185" s="3" t="n">
        <v>0</v>
      </c>
      <c r="D185" s="3" t="n">
        <v>13</v>
      </c>
      <c r="E185" s="3" t="n">
        <v>1</v>
      </c>
      <c r="F185" s="24" t="n">
        <v>0.902494311</v>
      </c>
    </row>
    <row r="186" customFormat="false" ht="15" hidden="false" customHeight="false" outlineLevel="0" collapsed="false">
      <c r="A186" s="3" t="n">
        <v>185</v>
      </c>
      <c r="B186" s="3" t="n">
        <v>184</v>
      </c>
      <c r="C186" s="3" t="n">
        <v>0</v>
      </c>
      <c r="D186" s="3" t="n">
        <v>13</v>
      </c>
      <c r="E186" s="3" t="n">
        <v>2</v>
      </c>
      <c r="F186" s="24" t="n">
        <v>0.762173057</v>
      </c>
    </row>
    <row r="187" customFormat="false" ht="15" hidden="false" customHeight="false" outlineLevel="0" collapsed="false">
      <c r="A187" s="3" t="n">
        <v>186</v>
      </c>
      <c r="B187" s="3" t="n">
        <v>185</v>
      </c>
      <c r="C187" s="3" t="n">
        <v>0</v>
      </c>
      <c r="D187" s="3" t="n">
        <v>13</v>
      </c>
      <c r="E187" s="3" t="n">
        <v>3</v>
      </c>
      <c r="F187" s="24" t="n">
        <v>1.12995422</v>
      </c>
    </row>
    <row r="188" customFormat="false" ht="15" hidden="false" customHeight="false" outlineLevel="0" collapsed="false">
      <c r="A188" s="3" t="n">
        <v>187</v>
      </c>
      <c r="B188" s="3" t="n">
        <v>186</v>
      </c>
      <c r="C188" s="3" t="n">
        <v>0</v>
      </c>
      <c r="D188" s="3" t="n">
        <v>13</v>
      </c>
      <c r="E188" s="3" t="n">
        <v>4</v>
      </c>
      <c r="F188" s="24" t="n">
        <v>0</v>
      </c>
    </row>
    <row r="189" customFormat="false" ht="15" hidden="false" customHeight="false" outlineLevel="0" collapsed="false">
      <c r="A189" s="3" t="n">
        <v>188</v>
      </c>
      <c r="B189" s="3" t="n">
        <v>187</v>
      </c>
      <c r="C189" s="3" t="n">
        <v>0</v>
      </c>
      <c r="D189" s="3" t="n">
        <v>13</v>
      </c>
      <c r="E189" s="3" t="n">
        <v>5</v>
      </c>
      <c r="F189" s="24" t="n">
        <v>0</v>
      </c>
    </row>
    <row r="190" customFormat="false" ht="15" hidden="false" customHeight="false" outlineLevel="0" collapsed="false">
      <c r="A190" s="3" t="n">
        <v>189</v>
      </c>
      <c r="B190" s="3" t="n">
        <v>188</v>
      </c>
      <c r="C190" s="3" t="n">
        <v>0</v>
      </c>
      <c r="D190" s="3" t="n">
        <v>13</v>
      </c>
      <c r="E190" s="3" t="n">
        <v>6</v>
      </c>
      <c r="F190" s="24" t="n">
        <v>0</v>
      </c>
    </row>
    <row r="191" customFormat="false" ht="15" hidden="false" customHeight="false" outlineLevel="0" collapsed="false">
      <c r="A191" s="3" t="n">
        <v>190</v>
      </c>
      <c r="B191" s="3" t="n">
        <v>189</v>
      </c>
      <c r="C191" s="3" t="n">
        <v>0</v>
      </c>
      <c r="D191" s="3" t="n">
        <v>13</v>
      </c>
      <c r="E191" s="3" t="n">
        <v>7</v>
      </c>
      <c r="F191" s="24" t="n">
        <v>0</v>
      </c>
    </row>
    <row r="192" customFormat="false" ht="15" hidden="false" customHeight="false" outlineLevel="0" collapsed="false">
      <c r="A192" s="3" t="n">
        <v>191</v>
      </c>
      <c r="B192" s="3" t="n">
        <v>190</v>
      </c>
      <c r="C192" s="3" t="n">
        <v>0</v>
      </c>
      <c r="D192" s="3" t="n">
        <v>13</v>
      </c>
      <c r="E192" s="3" t="n">
        <v>8</v>
      </c>
      <c r="F192" s="24" t="n">
        <v>1.08207631</v>
      </c>
    </row>
    <row r="193" customFormat="false" ht="15" hidden="false" customHeight="false" outlineLevel="0" collapsed="false">
      <c r="A193" s="3" t="n">
        <v>192</v>
      </c>
      <c r="B193" s="3" t="n">
        <v>191</v>
      </c>
      <c r="C193" s="3" t="n">
        <v>0</v>
      </c>
      <c r="D193" s="3" t="n">
        <v>13</v>
      </c>
      <c r="E193" s="3" t="n">
        <v>9</v>
      </c>
      <c r="F193" s="24" t="n">
        <v>0.762173057</v>
      </c>
    </row>
    <row r="194" customFormat="false" ht="15" hidden="false" customHeight="false" outlineLevel="0" collapsed="false">
      <c r="A194" s="3" t="n">
        <v>193</v>
      </c>
      <c r="B194" s="3" t="n">
        <v>192</v>
      </c>
      <c r="C194" s="3" t="n">
        <v>0</v>
      </c>
      <c r="D194" s="3" t="n">
        <v>13</v>
      </c>
      <c r="E194" s="3" t="n">
        <v>10</v>
      </c>
      <c r="F194" s="24" t="n">
        <v>0.762173057</v>
      </c>
    </row>
    <row r="195" customFormat="false" ht="15" hidden="false" customHeight="false" outlineLevel="0" collapsed="false">
      <c r="A195" s="3" t="n">
        <v>194</v>
      </c>
      <c r="B195" s="3" t="n">
        <v>193</v>
      </c>
      <c r="C195" s="3" t="n">
        <v>0</v>
      </c>
      <c r="D195" s="3" t="n">
        <v>13</v>
      </c>
      <c r="E195" s="3" t="n">
        <v>11</v>
      </c>
      <c r="F195" s="24" t="n">
        <v>0.762173057</v>
      </c>
    </row>
    <row r="196" customFormat="false" ht="15" hidden="false" customHeight="false" outlineLevel="0" collapsed="false">
      <c r="A196" s="3" t="n">
        <v>195</v>
      </c>
      <c r="B196" s="3" t="n">
        <v>194</v>
      </c>
      <c r="C196" s="3" t="n">
        <v>0</v>
      </c>
      <c r="D196" s="3" t="n">
        <v>13</v>
      </c>
      <c r="E196" s="3" t="n">
        <v>12</v>
      </c>
      <c r="F196" s="24" t="n">
        <v>1.01097476</v>
      </c>
    </row>
    <row r="197" customFormat="false" ht="15" hidden="false" customHeight="false" outlineLevel="0" collapsed="false">
      <c r="A197" s="3" t="n">
        <v>196</v>
      </c>
      <c r="B197" s="3" t="n">
        <v>195</v>
      </c>
      <c r="C197" s="3" t="n">
        <v>0</v>
      </c>
      <c r="D197" s="3" t="n">
        <v>13</v>
      </c>
      <c r="E197" s="3" t="n">
        <v>13</v>
      </c>
      <c r="F197" s="24" t="n">
        <v>0.803704143</v>
      </c>
    </row>
    <row r="198" customFormat="false" ht="15" hidden="false" customHeight="false" outlineLevel="0" collapsed="false">
      <c r="A198" s="3" t="n">
        <v>197</v>
      </c>
      <c r="B198" s="3" t="n">
        <v>196</v>
      </c>
      <c r="C198" s="3" t="n">
        <v>1</v>
      </c>
      <c r="D198" s="3" t="n">
        <v>0</v>
      </c>
      <c r="E198" s="3" t="n">
        <v>0</v>
      </c>
      <c r="F198" s="24" t="n">
        <v>0</v>
      </c>
    </row>
    <row r="199" customFormat="false" ht="15" hidden="false" customHeight="false" outlineLevel="0" collapsed="false">
      <c r="A199" s="3" t="n">
        <v>198</v>
      </c>
      <c r="B199" s="3" t="n">
        <v>197</v>
      </c>
      <c r="C199" s="3" t="n">
        <v>1</v>
      </c>
      <c r="D199" s="3" t="n">
        <v>0</v>
      </c>
      <c r="E199" s="3" t="n">
        <v>1</v>
      </c>
      <c r="F199" s="24" t="n">
        <v>0</v>
      </c>
    </row>
    <row r="200" customFormat="false" ht="15" hidden="false" customHeight="false" outlineLevel="0" collapsed="false">
      <c r="A200" s="3" t="n">
        <v>199</v>
      </c>
      <c r="B200" s="3" t="n">
        <v>198</v>
      </c>
      <c r="C200" s="3" t="n">
        <v>1</v>
      </c>
      <c r="D200" s="3" t="n">
        <v>0</v>
      </c>
      <c r="E200" s="3" t="n">
        <v>2</v>
      </c>
      <c r="F200" s="24" t="n">
        <v>0</v>
      </c>
    </row>
    <row r="201" customFormat="false" ht="15" hidden="false" customHeight="false" outlineLevel="0" collapsed="false">
      <c r="A201" s="3" t="n">
        <v>200</v>
      </c>
      <c r="B201" s="3" t="n">
        <v>199</v>
      </c>
      <c r="C201" s="3" t="n">
        <v>1</v>
      </c>
      <c r="D201" s="3" t="n">
        <v>0</v>
      </c>
      <c r="E201" s="3" t="n">
        <v>3</v>
      </c>
      <c r="F201" s="24" t="n">
        <v>0</v>
      </c>
    </row>
    <row r="202" customFormat="false" ht="15" hidden="false" customHeight="false" outlineLevel="0" collapsed="false">
      <c r="A202" s="3" t="n">
        <v>201</v>
      </c>
      <c r="B202" s="3" t="n">
        <v>200</v>
      </c>
      <c r="C202" s="3" t="n">
        <v>1</v>
      </c>
      <c r="D202" s="3" t="n">
        <v>0</v>
      </c>
      <c r="E202" s="3" t="n">
        <v>4</v>
      </c>
      <c r="F202" s="24" t="n">
        <v>0</v>
      </c>
    </row>
    <row r="203" customFormat="false" ht="15" hidden="false" customHeight="false" outlineLevel="0" collapsed="false">
      <c r="A203" s="3" t="n">
        <v>202</v>
      </c>
      <c r="B203" s="3" t="n">
        <v>201</v>
      </c>
      <c r="C203" s="3" t="n">
        <v>1</v>
      </c>
      <c r="D203" s="3" t="n">
        <v>0</v>
      </c>
      <c r="E203" s="3" t="n">
        <v>5</v>
      </c>
      <c r="F203" s="24" t="n">
        <v>0</v>
      </c>
    </row>
    <row r="204" customFormat="false" ht="15" hidden="false" customHeight="false" outlineLevel="0" collapsed="false">
      <c r="A204" s="3" t="n">
        <v>203</v>
      </c>
      <c r="B204" s="3" t="n">
        <v>202</v>
      </c>
      <c r="C204" s="3" t="n">
        <v>1</v>
      </c>
      <c r="D204" s="3" t="n">
        <v>0</v>
      </c>
      <c r="E204" s="3" t="n">
        <v>6</v>
      </c>
      <c r="F204" s="24" t="n">
        <v>0</v>
      </c>
    </row>
    <row r="205" customFormat="false" ht="15" hidden="false" customHeight="false" outlineLevel="0" collapsed="false">
      <c r="A205" s="3" t="n">
        <v>204</v>
      </c>
      <c r="B205" s="3" t="n">
        <v>203</v>
      </c>
      <c r="C205" s="3" t="n">
        <v>1</v>
      </c>
      <c r="D205" s="3" t="n">
        <v>0</v>
      </c>
      <c r="E205" s="3" t="n">
        <v>7</v>
      </c>
      <c r="F205" s="24" t="n">
        <v>0</v>
      </c>
    </row>
    <row r="206" customFormat="false" ht="15" hidden="false" customHeight="false" outlineLevel="0" collapsed="false">
      <c r="A206" s="3" t="n">
        <v>205</v>
      </c>
      <c r="B206" s="3" t="n">
        <v>204</v>
      </c>
      <c r="C206" s="3" t="n">
        <v>1</v>
      </c>
      <c r="D206" s="3" t="n">
        <v>0</v>
      </c>
      <c r="E206" s="3" t="n">
        <v>8</v>
      </c>
      <c r="F206" s="24" t="n">
        <v>0</v>
      </c>
    </row>
    <row r="207" customFormat="false" ht="15" hidden="false" customHeight="false" outlineLevel="0" collapsed="false">
      <c r="A207" s="3" t="n">
        <v>206</v>
      </c>
      <c r="B207" s="3" t="n">
        <v>205</v>
      </c>
      <c r="C207" s="3" t="n">
        <v>1</v>
      </c>
      <c r="D207" s="3" t="n">
        <v>0</v>
      </c>
      <c r="E207" s="3" t="n">
        <v>9</v>
      </c>
      <c r="F207" s="24" t="n">
        <v>0</v>
      </c>
    </row>
    <row r="208" customFormat="false" ht="15" hidden="false" customHeight="false" outlineLevel="0" collapsed="false">
      <c r="A208" s="3" t="n">
        <v>207</v>
      </c>
      <c r="B208" s="3" t="n">
        <v>206</v>
      </c>
      <c r="C208" s="3" t="n">
        <v>1</v>
      </c>
      <c r="D208" s="3" t="n">
        <v>0</v>
      </c>
      <c r="E208" s="3" t="n">
        <v>10</v>
      </c>
      <c r="F208" s="24" t="n">
        <v>0</v>
      </c>
    </row>
    <row r="209" customFormat="false" ht="15" hidden="false" customHeight="false" outlineLevel="0" collapsed="false">
      <c r="A209" s="3" t="n">
        <v>208</v>
      </c>
      <c r="B209" s="3" t="n">
        <v>207</v>
      </c>
      <c r="C209" s="3" t="n">
        <v>1</v>
      </c>
      <c r="D209" s="3" t="n">
        <v>0</v>
      </c>
      <c r="E209" s="3" t="n">
        <v>11</v>
      </c>
      <c r="F209" s="24" t="n">
        <v>0</v>
      </c>
    </row>
    <row r="210" customFormat="false" ht="15" hidden="false" customHeight="false" outlineLevel="0" collapsed="false">
      <c r="A210" s="3" t="n">
        <v>209</v>
      </c>
      <c r="B210" s="3" t="n">
        <v>208</v>
      </c>
      <c r="C210" s="3" t="n">
        <v>1</v>
      </c>
      <c r="D210" s="3" t="n">
        <v>0</v>
      </c>
      <c r="E210" s="3" t="n">
        <v>12</v>
      </c>
      <c r="F210" s="24" t="n">
        <v>0</v>
      </c>
    </row>
    <row r="211" customFormat="false" ht="15" hidden="false" customHeight="false" outlineLevel="0" collapsed="false">
      <c r="A211" s="3" t="n">
        <v>210</v>
      </c>
      <c r="B211" s="3" t="n">
        <v>209</v>
      </c>
      <c r="C211" s="3" t="n">
        <v>1</v>
      </c>
      <c r="D211" s="3" t="n">
        <v>0</v>
      </c>
      <c r="E211" s="3" t="n">
        <v>13</v>
      </c>
      <c r="F211" s="24" t="n">
        <v>0</v>
      </c>
    </row>
    <row r="212" customFormat="false" ht="15" hidden="false" customHeight="false" outlineLevel="0" collapsed="false">
      <c r="A212" s="3" t="n">
        <v>211</v>
      </c>
      <c r="B212" s="3" t="n">
        <v>210</v>
      </c>
      <c r="C212" s="3" t="n">
        <v>1</v>
      </c>
      <c r="D212" s="3" t="n">
        <v>1</v>
      </c>
      <c r="E212" s="3" t="n">
        <v>0</v>
      </c>
      <c r="F212" s="24" t="n">
        <v>0</v>
      </c>
    </row>
    <row r="213" customFormat="false" ht="15" hidden="false" customHeight="false" outlineLevel="0" collapsed="false">
      <c r="A213" s="3" t="n">
        <v>212</v>
      </c>
      <c r="B213" s="3" t="n">
        <v>211</v>
      </c>
      <c r="C213" s="3" t="n">
        <v>1</v>
      </c>
      <c r="D213" s="3" t="n">
        <v>1</v>
      </c>
      <c r="E213" s="3" t="n">
        <v>1</v>
      </c>
      <c r="F213" s="24" t="n">
        <v>0</v>
      </c>
    </row>
    <row r="214" customFormat="false" ht="15" hidden="false" customHeight="false" outlineLevel="0" collapsed="false">
      <c r="A214" s="3" t="n">
        <v>213</v>
      </c>
      <c r="B214" s="3" t="n">
        <v>212</v>
      </c>
      <c r="C214" s="3" t="n">
        <v>1</v>
      </c>
      <c r="D214" s="3" t="n">
        <v>1</v>
      </c>
      <c r="E214" s="3" t="n">
        <v>2</v>
      </c>
      <c r="F214" s="24" t="n">
        <v>0</v>
      </c>
    </row>
    <row r="215" customFormat="false" ht="15" hidden="false" customHeight="false" outlineLevel="0" collapsed="false">
      <c r="A215" s="3" t="n">
        <v>214</v>
      </c>
      <c r="B215" s="3" t="n">
        <v>213</v>
      </c>
      <c r="C215" s="3" t="n">
        <v>1</v>
      </c>
      <c r="D215" s="3" t="n">
        <v>1</v>
      </c>
      <c r="E215" s="3" t="n">
        <v>3</v>
      </c>
      <c r="F215" s="24" t="n">
        <v>0</v>
      </c>
    </row>
    <row r="216" customFormat="false" ht="15" hidden="false" customHeight="false" outlineLevel="0" collapsed="false">
      <c r="A216" s="3" t="n">
        <v>215</v>
      </c>
      <c r="B216" s="3" t="n">
        <v>214</v>
      </c>
      <c r="C216" s="3" t="n">
        <v>1</v>
      </c>
      <c r="D216" s="3" t="n">
        <v>1</v>
      </c>
      <c r="E216" s="3" t="n">
        <v>4</v>
      </c>
      <c r="F216" s="24" t="n">
        <v>0</v>
      </c>
    </row>
    <row r="217" customFormat="false" ht="15" hidden="false" customHeight="false" outlineLevel="0" collapsed="false">
      <c r="A217" s="3" t="n">
        <v>216</v>
      </c>
      <c r="B217" s="3" t="n">
        <v>215</v>
      </c>
      <c r="C217" s="3" t="n">
        <v>1</v>
      </c>
      <c r="D217" s="3" t="n">
        <v>1</v>
      </c>
      <c r="E217" s="3" t="n">
        <v>5</v>
      </c>
      <c r="F217" s="24" t="n">
        <v>0</v>
      </c>
    </row>
    <row r="218" customFormat="false" ht="15" hidden="false" customHeight="false" outlineLevel="0" collapsed="false">
      <c r="A218" s="3" t="n">
        <v>217</v>
      </c>
      <c r="B218" s="3" t="n">
        <v>216</v>
      </c>
      <c r="C218" s="3" t="n">
        <v>1</v>
      </c>
      <c r="D218" s="3" t="n">
        <v>1</v>
      </c>
      <c r="E218" s="3" t="n">
        <v>6</v>
      </c>
      <c r="F218" s="24" t="n">
        <v>0</v>
      </c>
    </row>
    <row r="219" customFormat="false" ht="15" hidden="false" customHeight="false" outlineLevel="0" collapsed="false">
      <c r="A219" s="3" t="n">
        <v>218</v>
      </c>
      <c r="B219" s="3" t="n">
        <v>217</v>
      </c>
      <c r="C219" s="3" t="n">
        <v>1</v>
      </c>
      <c r="D219" s="3" t="n">
        <v>1</v>
      </c>
      <c r="E219" s="3" t="n">
        <v>7</v>
      </c>
      <c r="F219" s="24" t="n">
        <v>0</v>
      </c>
    </row>
    <row r="220" customFormat="false" ht="15" hidden="false" customHeight="false" outlineLevel="0" collapsed="false">
      <c r="A220" s="3" t="n">
        <v>219</v>
      </c>
      <c r="B220" s="3" t="n">
        <v>218</v>
      </c>
      <c r="C220" s="3" t="n">
        <v>1</v>
      </c>
      <c r="D220" s="3" t="n">
        <v>1</v>
      </c>
      <c r="E220" s="3" t="n">
        <v>8</v>
      </c>
      <c r="F220" s="24" t="n">
        <v>0</v>
      </c>
    </row>
    <row r="221" customFormat="false" ht="15" hidden="false" customHeight="false" outlineLevel="0" collapsed="false">
      <c r="A221" s="3" t="n">
        <v>220</v>
      </c>
      <c r="B221" s="3" t="n">
        <v>219</v>
      </c>
      <c r="C221" s="3" t="n">
        <v>1</v>
      </c>
      <c r="D221" s="3" t="n">
        <v>1</v>
      </c>
      <c r="E221" s="3" t="n">
        <v>9</v>
      </c>
      <c r="F221" s="24" t="n">
        <v>0</v>
      </c>
    </row>
    <row r="222" customFormat="false" ht="15" hidden="false" customHeight="false" outlineLevel="0" collapsed="false">
      <c r="A222" s="3" t="n">
        <v>221</v>
      </c>
      <c r="B222" s="3" t="n">
        <v>220</v>
      </c>
      <c r="C222" s="3" t="n">
        <v>1</v>
      </c>
      <c r="D222" s="3" t="n">
        <v>1</v>
      </c>
      <c r="E222" s="3" t="n">
        <v>10</v>
      </c>
      <c r="F222" s="24" t="n">
        <v>0</v>
      </c>
    </row>
    <row r="223" customFormat="false" ht="15" hidden="false" customHeight="false" outlineLevel="0" collapsed="false">
      <c r="A223" s="3" t="n">
        <v>222</v>
      </c>
      <c r="B223" s="3" t="n">
        <v>221</v>
      </c>
      <c r="C223" s="3" t="n">
        <v>1</v>
      </c>
      <c r="D223" s="3" t="n">
        <v>1</v>
      </c>
      <c r="E223" s="3" t="n">
        <v>11</v>
      </c>
      <c r="F223" s="24" t="n">
        <v>0</v>
      </c>
    </row>
    <row r="224" customFormat="false" ht="15" hidden="false" customHeight="false" outlineLevel="0" collapsed="false">
      <c r="A224" s="3" t="n">
        <v>223</v>
      </c>
      <c r="B224" s="3" t="n">
        <v>222</v>
      </c>
      <c r="C224" s="3" t="n">
        <v>1</v>
      </c>
      <c r="D224" s="3" t="n">
        <v>1</v>
      </c>
      <c r="E224" s="3" t="n">
        <v>12</v>
      </c>
      <c r="F224" s="24" t="n">
        <v>0</v>
      </c>
    </row>
    <row r="225" customFormat="false" ht="15" hidden="false" customHeight="false" outlineLevel="0" collapsed="false">
      <c r="A225" s="3" t="n">
        <v>224</v>
      </c>
      <c r="B225" s="3" t="n">
        <v>223</v>
      </c>
      <c r="C225" s="3" t="n">
        <v>1</v>
      </c>
      <c r="D225" s="3" t="n">
        <v>1</v>
      </c>
      <c r="E225" s="3" t="n">
        <v>13</v>
      </c>
      <c r="F225" s="24" t="n">
        <v>0</v>
      </c>
    </row>
    <row r="226" customFormat="false" ht="15" hidden="false" customHeight="false" outlineLevel="0" collapsed="false">
      <c r="A226" s="3" t="n">
        <v>225</v>
      </c>
      <c r="B226" s="3" t="n">
        <v>224</v>
      </c>
      <c r="C226" s="3" t="n">
        <v>1</v>
      </c>
      <c r="D226" s="3" t="n">
        <v>2</v>
      </c>
      <c r="E226" s="3" t="n">
        <v>0</v>
      </c>
      <c r="F226" s="24" t="n">
        <v>0</v>
      </c>
    </row>
    <row r="227" customFormat="false" ht="15" hidden="false" customHeight="false" outlineLevel="0" collapsed="false">
      <c r="A227" s="3" t="n">
        <v>226</v>
      </c>
      <c r="B227" s="3" t="n">
        <v>225</v>
      </c>
      <c r="C227" s="3" t="n">
        <v>1</v>
      </c>
      <c r="D227" s="3" t="n">
        <v>2</v>
      </c>
      <c r="E227" s="3" t="n">
        <v>1</v>
      </c>
      <c r="F227" s="24" t="n">
        <v>0</v>
      </c>
    </row>
    <row r="228" customFormat="false" ht="15" hidden="false" customHeight="false" outlineLevel="0" collapsed="false">
      <c r="A228" s="3" t="n">
        <v>227</v>
      </c>
      <c r="B228" s="3" t="n">
        <v>226</v>
      </c>
      <c r="C228" s="3" t="n">
        <v>1</v>
      </c>
      <c r="D228" s="3" t="n">
        <v>2</v>
      </c>
      <c r="E228" s="3" t="n">
        <v>2</v>
      </c>
      <c r="F228" s="24" t="n">
        <v>0</v>
      </c>
    </row>
    <row r="229" customFormat="false" ht="15" hidden="false" customHeight="false" outlineLevel="0" collapsed="false">
      <c r="A229" s="3" t="n">
        <v>228</v>
      </c>
      <c r="B229" s="3" t="n">
        <v>227</v>
      </c>
      <c r="C229" s="3" t="n">
        <v>1</v>
      </c>
      <c r="D229" s="3" t="n">
        <v>2</v>
      </c>
      <c r="E229" s="3" t="n">
        <v>3</v>
      </c>
      <c r="F229" s="24" t="n">
        <v>0.322056651</v>
      </c>
    </row>
    <row r="230" customFormat="false" ht="15" hidden="false" customHeight="false" outlineLevel="0" collapsed="false">
      <c r="A230" s="3" t="n">
        <v>229</v>
      </c>
      <c r="B230" s="3" t="n">
        <v>228</v>
      </c>
      <c r="C230" s="3" t="n">
        <v>1</v>
      </c>
      <c r="D230" s="3" t="n">
        <v>2</v>
      </c>
      <c r="E230" s="3" t="n">
        <v>4</v>
      </c>
      <c r="F230" s="24" t="n">
        <v>0.245311648</v>
      </c>
    </row>
    <row r="231" customFormat="false" ht="15" hidden="false" customHeight="false" outlineLevel="0" collapsed="false">
      <c r="A231" s="3" t="n">
        <v>230</v>
      </c>
      <c r="B231" s="3" t="n">
        <v>229</v>
      </c>
      <c r="C231" s="3" t="n">
        <v>1</v>
      </c>
      <c r="D231" s="3" t="n">
        <v>2</v>
      </c>
      <c r="E231" s="3" t="n">
        <v>5</v>
      </c>
      <c r="F231" s="24" t="n">
        <v>0</v>
      </c>
    </row>
    <row r="232" customFormat="false" ht="15" hidden="false" customHeight="false" outlineLevel="0" collapsed="false">
      <c r="A232" s="3" t="n">
        <v>231</v>
      </c>
      <c r="B232" s="3" t="n">
        <v>230</v>
      </c>
      <c r="C232" s="3" t="n">
        <v>1</v>
      </c>
      <c r="D232" s="3" t="n">
        <v>2</v>
      </c>
      <c r="E232" s="3" t="n">
        <v>6</v>
      </c>
      <c r="F232" s="24" t="n">
        <v>0</v>
      </c>
    </row>
    <row r="233" customFormat="false" ht="15" hidden="false" customHeight="false" outlineLevel="0" collapsed="false">
      <c r="A233" s="3" t="n">
        <v>232</v>
      </c>
      <c r="B233" s="3" t="n">
        <v>231</v>
      </c>
      <c r="C233" s="3" t="n">
        <v>1</v>
      </c>
      <c r="D233" s="3" t="n">
        <v>2</v>
      </c>
      <c r="E233" s="3" t="n">
        <v>7</v>
      </c>
      <c r="F233" s="24" t="n">
        <v>0</v>
      </c>
    </row>
    <row r="234" customFormat="false" ht="15" hidden="false" customHeight="false" outlineLevel="0" collapsed="false">
      <c r="A234" s="3" t="n">
        <v>233</v>
      </c>
      <c r="B234" s="3" t="n">
        <v>232</v>
      </c>
      <c r="C234" s="3" t="n">
        <v>1</v>
      </c>
      <c r="D234" s="3" t="n">
        <v>2</v>
      </c>
      <c r="E234" s="3" t="n">
        <v>8</v>
      </c>
      <c r="F234" s="24" t="n">
        <v>0</v>
      </c>
    </row>
    <row r="235" customFormat="false" ht="15" hidden="false" customHeight="false" outlineLevel="0" collapsed="false">
      <c r="A235" s="3" t="n">
        <v>234</v>
      </c>
      <c r="B235" s="3" t="n">
        <v>233</v>
      </c>
      <c r="C235" s="3" t="n">
        <v>1</v>
      </c>
      <c r="D235" s="3" t="n">
        <v>2</v>
      </c>
      <c r="E235" s="3" t="n">
        <v>9</v>
      </c>
      <c r="F235" s="24" t="n">
        <v>0</v>
      </c>
    </row>
    <row r="236" customFormat="false" ht="15" hidden="false" customHeight="false" outlineLevel="0" collapsed="false">
      <c r="A236" s="3" t="n">
        <v>235</v>
      </c>
      <c r="B236" s="3" t="n">
        <v>234</v>
      </c>
      <c r="C236" s="3" t="n">
        <v>1</v>
      </c>
      <c r="D236" s="3" t="n">
        <v>2</v>
      </c>
      <c r="E236" s="3" t="n">
        <v>10</v>
      </c>
      <c r="F236" s="24" t="n">
        <v>0</v>
      </c>
    </row>
    <row r="237" customFormat="false" ht="15" hidden="false" customHeight="false" outlineLevel="0" collapsed="false">
      <c r="A237" s="3" t="n">
        <v>236</v>
      </c>
      <c r="B237" s="3" t="n">
        <v>235</v>
      </c>
      <c r="C237" s="3" t="n">
        <v>1</v>
      </c>
      <c r="D237" s="3" t="n">
        <v>2</v>
      </c>
      <c r="E237" s="3" t="n">
        <v>11</v>
      </c>
      <c r="F237" s="24" t="n">
        <v>0</v>
      </c>
    </row>
    <row r="238" customFormat="false" ht="15" hidden="false" customHeight="false" outlineLevel="0" collapsed="false">
      <c r="A238" s="3" t="n">
        <v>237</v>
      </c>
      <c r="B238" s="3" t="n">
        <v>236</v>
      </c>
      <c r="C238" s="3" t="n">
        <v>1</v>
      </c>
      <c r="D238" s="3" t="n">
        <v>2</v>
      </c>
      <c r="E238" s="3" t="n">
        <v>12</v>
      </c>
      <c r="F238" s="24" t="n">
        <v>0</v>
      </c>
    </row>
    <row r="239" customFormat="false" ht="15" hidden="false" customHeight="false" outlineLevel="0" collapsed="false">
      <c r="A239" s="3" t="n">
        <v>238</v>
      </c>
      <c r="B239" s="3" t="n">
        <v>237</v>
      </c>
      <c r="C239" s="3" t="n">
        <v>1</v>
      </c>
      <c r="D239" s="3" t="n">
        <v>2</v>
      </c>
      <c r="E239" s="3" t="n">
        <v>13</v>
      </c>
      <c r="F239" s="24" t="n">
        <v>0</v>
      </c>
    </row>
    <row r="240" customFormat="false" ht="15" hidden="false" customHeight="false" outlineLevel="0" collapsed="false">
      <c r="A240" s="3" t="n">
        <v>239</v>
      </c>
      <c r="B240" s="3" t="n">
        <v>238</v>
      </c>
      <c r="C240" s="3" t="n">
        <v>1</v>
      </c>
      <c r="D240" s="3" t="n">
        <v>3</v>
      </c>
      <c r="E240" s="3" t="n">
        <v>0</v>
      </c>
      <c r="F240" s="24" t="n">
        <v>0</v>
      </c>
    </row>
    <row r="241" customFormat="false" ht="15" hidden="false" customHeight="false" outlineLevel="0" collapsed="false">
      <c r="A241" s="3" t="n">
        <v>240</v>
      </c>
      <c r="B241" s="3" t="n">
        <v>239</v>
      </c>
      <c r="C241" s="3" t="n">
        <v>1</v>
      </c>
      <c r="D241" s="3" t="n">
        <v>3</v>
      </c>
      <c r="E241" s="3" t="n">
        <v>1</v>
      </c>
      <c r="F241" s="24" t="n">
        <v>0</v>
      </c>
    </row>
    <row r="242" customFormat="false" ht="15" hidden="false" customHeight="false" outlineLevel="0" collapsed="false">
      <c r="A242" s="3" t="n">
        <v>241</v>
      </c>
      <c r="B242" s="3" t="n">
        <v>240</v>
      </c>
      <c r="C242" s="3" t="n">
        <v>1</v>
      </c>
      <c r="D242" s="3" t="n">
        <v>3</v>
      </c>
      <c r="E242" s="3" t="n">
        <v>2</v>
      </c>
      <c r="F242" s="24" t="n">
        <v>0</v>
      </c>
    </row>
    <row r="243" customFormat="false" ht="15" hidden="false" customHeight="false" outlineLevel="0" collapsed="false">
      <c r="A243" s="3" t="n">
        <v>242</v>
      </c>
      <c r="B243" s="3" t="n">
        <v>241</v>
      </c>
      <c r="C243" s="3" t="n">
        <v>1</v>
      </c>
      <c r="D243" s="3" t="n">
        <v>3</v>
      </c>
      <c r="E243" s="3" t="n">
        <v>3</v>
      </c>
      <c r="F243" s="24" t="n">
        <v>0</v>
      </c>
    </row>
    <row r="244" customFormat="false" ht="15" hidden="false" customHeight="false" outlineLevel="0" collapsed="false">
      <c r="A244" s="3" t="n">
        <v>243</v>
      </c>
      <c r="B244" s="3" t="n">
        <v>242</v>
      </c>
      <c r="C244" s="3" t="n">
        <v>1</v>
      </c>
      <c r="D244" s="3" t="n">
        <v>3</v>
      </c>
      <c r="E244" s="3" t="n">
        <v>4</v>
      </c>
      <c r="F244" s="24" t="n">
        <v>0</v>
      </c>
    </row>
    <row r="245" customFormat="false" ht="15" hidden="false" customHeight="false" outlineLevel="0" collapsed="false">
      <c r="A245" s="3" t="n">
        <v>244</v>
      </c>
      <c r="B245" s="3" t="n">
        <v>243</v>
      </c>
      <c r="C245" s="3" t="n">
        <v>1</v>
      </c>
      <c r="D245" s="3" t="n">
        <v>3</v>
      </c>
      <c r="E245" s="3" t="n">
        <v>5</v>
      </c>
      <c r="F245" s="24" t="n">
        <v>0</v>
      </c>
    </row>
    <row r="246" customFormat="false" ht="15" hidden="false" customHeight="false" outlineLevel="0" collapsed="false">
      <c r="A246" s="3" t="n">
        <v>245</v>
      </c>
      <c r="B246" s="3" t="n">
        <v>244</v>
      </c>
      <c r="C246" s="3" t="n">
        <v>1</v>
      </c>
      <c r="D246" s="3" t="n">
        <v>3</v>
      </c>
      <c r="E246" s="3" t="n">
        <v>6</v>
      </c>
      <c r="F246" s="24" t="n">
        <v>0.22023654</v>
      </c>
    </row>
    <row r="247" customFormat="false" ht="15" hidden="false" customHeight="false" outlineLevel="0" collapsed="false">
      <c r="A247" s="3" t="n">
        <v>246</v>
      </c>
      <c r="B247" s="3" t="n">
        <v>245</v>
      </c>
      <c r="C247" s="3" t="n">
        <v>1</v>
      </c>
      <c r="D247" s="3" t="n">
        <v>3</v>
      </c>
      <c r="E247" s="3" t="n">
        <v>7</v>
      </c>
      <c r="F247" s="24" t="n">
        <v>0.216450781</v>
      </c>
    </row>
    <row r="248" customFormat="false" ht="15" hidden="false" customHeight="false" outlineLevel="0" collapsed="false">
      <c r="A248" s="3" t="n">
        <v>247</v>
      </c>
      <c r="B248" s="3" t="n">
        <v>246</v>
      </c>
      <c r="C248" s="3" t="n">
        <v>1</v>
      </c>
      <c r="D248" s="3" t="n">
        <v>3</v>
      </c>
      <c r="E248" s="3" t="n">
        <v>8</v>
      </c>
      <c r="F248" s="24" t="n">
        <v>0.0592819415</v>
      </c>
    </row>
    <row r="249" customFormat="false" ht="15" hidden="false" customHeight="false" outlineLevel="0" collapsed="false">
      <c r="A249" s="3" t="n">
        <v>248</v>
      </c>
      <c r="B249" s="3" t="n">
        <v>247</v>
      </c>
      <c r="C249" s="3" t="n">
        <v>1</v>
      </c>
      <c r="D249" s="3" t="n">
        <v>3</v>
      </c>
      <c r="E249" s="3" t="n">
        <v>9</v>
      </c>
      <c r="F249" s="24" t="n">
        <v>0.662068129</v>
      </c>
    </row>
    <row r="250" customFormat="false" ht="15" hidden="false" customHeight="false" outlineLevel="0" collapsed="false">
      <c r="A250" s="3" t="n">
        <v>249</v>
      </c>
      <c r="B250" s="3" t="n">
        <v>248</v>
      </c>
      <c r="C250" s="3" t="n">
        <v>1</v>
      </c>
      <c r="D250" s="3" t="n">
        <v>3</v>
      </c>
      <c r="E250" s="3" t="n">
        <v>10</v>
      </c>
      <c r="F250" s="24" t="n">
        <v>0.593636572</v>
      </c>
    </row>
    <row r="251" customFormat="false" ht="15" hidden="false" customHeight="false" outlineLevel="0" collapsed="false">
      <c r="A251" s="3" t="n">
        <v>250</v>
      </c>
      <c r="B251" s="3" t="n">
        <v>249</v>
      </c>
      <c r="C251" s="3" t="n">
        <v>1</v>
      </c>
      <c r="D251" s="3" t="n">
        <v>3</v>
      </c>
      <c r="E251" s="3" t="n">
        <v>11</v>
      </c>
      <c r="F251" s="24" t="n">
        <v>0</v>
      </c>
    </row>
    <row r="252" customFormat="false" ht="15" hidden="false" customHeight="false" outlineLevel="0" collapsed="false">
      <c r="A252" s="3" t="n">
        <v>251</v>
      </c>
      <c r="B252" s="3" t="n">
        <v>250</v>
      </c>
      <c r="C252" s="3" t="n">
        <v>1</v>
      </c>
      <c r="D252" s="3" t="n">
        <v>3</v>
      </c>
      <c r="E252" s="3" t="n">
        <v>12</v>
      </c>
      <c r="F252" s="24" t="n">
        <v>0</v>
      </c>
    </row>
    <row r="253" customFormat="false" ht="15" hidden="false" customHeight="false" outlineLevel="0" collapsed="false">
      <c r="A253" s="3" t="n">
        <v>252</v>
      </c>
      <c r="B253" s="3" t="n">
        <v>251</v>
      </c>
      <c r="C253" s="3" t="n">
        <v>1</v>
      </c>
      <c r="D253" s="3" t="n">
        <v>3</v>
      </c>
      <c r="E253" s="3" t="n">
        <v>13</v>
      </c>
      <c r="F253" s="24" t="n">
        <v>0</v>
      </c>
    </row>
    <row r="254" customFormat="false" ht="15" hidden="false" customHeight="false" outlineLevel="0" collapsed="false">
      <c r="A254" s="3" t="n">
        <v>253</v>
      </c>
      <c r="B254" s="3" t="n">
        <v>252</v>
      </c>
      <c r="C254" s="3" t="n">
        <v>1</v>
      </c>
      <c r="D254" s="3" t="n">
        <v>4</v>
      </c>
      <c r="E254" s="3" t="n">
        <v>0</v>
      </c>
      <c r="F254" s="24" t="n">
        <v>0</v>
      </c>
    </row>
    <row r="255" customFormat="false" ht="15" hidden="false" customHeight="false" outlineLevel="0" collapsed="false">
      <c r="A255" s="3" t="n">
        <v>254</v>
      </c>
      <c r="B255" s="3" t="n">
        <v>253</v>
      </c>
      <c r="C255" s="3" t="n">
        <v>1</v>
      </c>
      <c r="D255" s="3" t="n">
        <v>4</v>
      </c>
      <c r="E255" s="3" t="n">
        <v>1</v>
      </c>
      <c r="F255" s="24" t="n">
        <v>0.49130702</v>
      </c>
    </row>
    <row r="256" customFormat="false" ht="15" hidden="false" customHeight="false" outlineLevel="0" collapsed="false">
      <c r="A256" s="3" t="n">
        <v>255</v>
      </c>
      <c r="B256" s="3" t="n">
        <v>254</v>
      </c>
      <c r="C256" s="3" t="n">
        <v>1</v>
      </c>
      <c r="D256" s="3" t="n">
        <v>4</v>
      </c>
      <c r="E256" s="3" t="n">
        <v>2</v>
      </c>
      <c r="F256" s="24" t="n">
        <v>2.83054781</v>
      </c>
    </row>
    <row r="257" customFormat="false" ht="15" hidden="false" customHeight="false" outlineLevel="0" collapsed="false">
      <c r="A257" s="3" t="n">
        <v>256</v>
      </c>
      <c r="B257" s="3" t="n">
        <v>255</v>
      </c>
      <c r="C257" s="3" t="n">
        <v>1</v>
      </c>
      <c r="D257" s="3" t="n">
        <v>4</v>
      </c>
      <c r="E257" s="3" t="n">
        <v>3</v>
      </c>
      <c r="F257" s="24" t="n">
        <v>0</v>
      </c>
    </row>
    <row r="258" customFormat="false" ht="15" hidden="false" customHeight="false" outlineLevel="0" collapsed="false">
      <c r="A258" s="3" t="n">
        <v>257</v>
      </c>
      <c r="B258" s="3" t="n">
        <v>256</v>
      </c>
      <c r="C258" s="3" t="n">
        <v>1</v>
      </c>
      <c r="D258" s="3" t="n">
        <v>4</v>
      </c>
      <c r="E258" s="3" t="n">
        <v>4</v>
      </c>
      <c r="F258" s="24" t="n">
        <v>0</v>
      </c>
    </row>
    <row r="259" customFormat="false" ht="15" hidden="false" customHeight="false" outlineLevel="0" collapsed="false">
      <c r="A259" s="3" t="n">
        <v>258</v>
      </c>
      <c r="B259" s="3" t="n">
        <v>257</v>
      </c>
      <c r="C259" s="3" t="n">
        <v>1</v>
      </c>
      <c r="D259" s="3" t="n">
        <v>4</v>
      </c>
      <c r="E259" s="3" t="n">
        <v>5</v>
      </c>
      <c r="F259" s="24" t="n">
        <v>0</v>
      </c>
    </row>
    <row r="260" customFormat="false" ht="15" hidden="false" customHeight="false" outlineLevel="0" collapsed="false">
      <c r="A260" s="3" t="n">
        <v>259</v>
      </c>
      <c r="B260" s="3" t="n">
        <v>258</v>
      </c>
      <c r="C260" s="3" t="n">
        <v>1</v>
      </c>
      <c r="D260" s="3" t="n">
        <v>4</v>
      </c>
      <c r="E260" s="3" t="n">
        <v>6</v>
      </c>
      <c r="F260" s="24" t="n">
        <v>0</v>
      </c>
    </row>
    <row r="261" customFormat="false" ht="15" hidden="false" customHeight="false" outlineLevel="0" collapsed="false">
      <c r="A261" s="3" t="n">
        <v>260</v>
      </c>
      <c r="B261" s="3" t="n">
        <v>259</v>
      </c>
      <c r="C261" s="3" t="n">
        <v>1</v>
      </c>
      <c r="D261" s="3" t="n">
        <v>4</v>
      </c>
      <c r="E261" s="3" t="n">
        <v>7</v>
      </c>
      <c r="F261" s="24" t="n">
        <v>0</v>
      </c>
    </row>
    <row r="262" customFormat="false" ht="15" hidden="false" customHeight="false" outlineLevel="0" collapsed="false">
      <c r="A262" s="3" t="n">
        <v>261</v>
      </c>
      <c r="B262" s="3" t="n">
        <v>260</v>
      </c>
      <c r="C262" s="3" t="n">
        <v>1</v>
      </c>
      <c r="D262" s="3" t="n">
        <v>4</v>
      </c>
      <c r="E262" s="3" t="n">
        <v>8</v>
      </c>
      <c r="F262" s="24" t="n">
        <v>0</v>
      </c>
    </row>
    <row r="263" customFormat="false" ht="15" hidden="false" customHeight="false" outlineLevel="0" collapsed="false">
      <c r="A263" s="3" t="n">
        <v>262</v>
      </c>
      <c r="B263" s="3" t="n">
        <v>261</v>
      </c>
      <c r="C263" s="3" t="n">
        <v>1</v>
      </c>
      <c r="D263" s="3" t="n">
        <v>4</v>
      </c>
      <c r="E263" s="3" t="n">
        <v>9</v>
      </c>
      <c r="F263" s="24" t="n">
        <v>2.58623195</v>
      </c>
    </row>
    <row r="264" customFormat="false" ht="15" hidden="false" customHeight="false" outlineLevel="0" collapsed="false">
      <c r="A264" s="3" t="n">
        <v>263</v>
      </c>
      <c r="B264" s="3" t="n">
        <v>262</v>
      </c>
      <c r="C264" s="3" t="n">
        <v>1</v>
      </c>
      <c r="D264" s="3" t="n">
        <v>4</v>
      </c>
      <c r="E264" s="3" t="n">
        <v>10</v>
      </c>
      <c r="F264" s="24" t="n">
        <v>0.508572876</v>
      </c>
    </row>
    <row r="265" customFormat="false" ht="15" hidden="false" customHeight="false" outlineLevel="0" collapsed="false">
      <c r="A265" s="3" t="n">
        <v>264</v>
      </c>
      <c r="B265" s="3" t="n">
        <v>263</v>
      </c>
      <c r="C265" s="3" t="n">
        <v>1</v>
      </c>
      <c r="D265" s="3" t="n">
        <v>4</v>
      </c>
      <c r="E265" s="3" t="n">
        <v>11</v>
      </c>
      <c r="F265" s="24" t="n">
        <v>0</v>
      </c>
    </row>
    <row r="266" customFormat="false" ht="15" hidden="false" customHeight="false" outlineLevel="0" collapsed="false">
      <c r="A266" s="3" t="n">
        <v>265</v>
      </c>
      <c r="B266" s="3" t="n">
        <v>264</v>
      </c>
      <c r="C266" s="3" t="n">
        <v>1</v>
      </c>
      <c r="D266" s="3" t="n">
        <v>4</v>
      </c>
      <c r="E266" s="3" t="n">
        <v>12</v>
      </c>
      <c r="F266" s="24" t="n">
        <v>0</v>
      </c>
    </row>
    <row r="267" customFormat="false" ht="15" hidden="false" customHeight="false" outlineLevel="0" collapsed="false">
      <c r="A267" s="3" t="n">
        <v>266</v>
      </c>
      <c r="B267" s="3" t="n">
        <v>265</v>
      </c>
      <c r="C267" s="3" t="n">
        <v>1</v>
      </c>
      <c r="D267" s="3" t="n">
        <v>4</v>
      </c>
      <c r="E267" s="3" t="n">
        <v>13</v>
      </c>
      <c r="F267" s="24" t="n">
        <v>0</v>
      </c>
    </row>
    <row r="268" customFormat="false" ht="15" hidden="false" customHeight="false" outlineLevel="0" collapsed="false">
      <c r="A268" s="3" t="n">
        <v>267</v>
      </c>
      <c r="B268" s="3" t="n">
        <v>266</v>
      </c>
      <c r="C268" s="3" t="n">
        <v>1</v>
      </c>
      <c r="D268" s="3" t="n">
        <v>5</v>
      </c>
      <c r="E268" s="3" t="n">
        <v>0</v>
      </c>
      <c r="F268" s="24" t="n">
        <v>0</v>
      </c>
    </row>
    <row r="269" customFormat="false" ht="15" hidden="false" customHeight="false" outlineLevel="0" collapsed="false">
      <c r="A269" s="3" t="n">
        <v>268</v>
      </c>
      <c r="B269" s="3" t="n">
        <v>267</v>
      </c>
      <c r="C269" s="3" t="n">
        <v>1</v>
      </c>
      <c r="D269" s="3" t="n">
        <v>5</v>
      </c>
      <c r="E269" s="3" t="n">
        <v>1</v>
      </c>
      <c r="F269" s="24" t="n">
        <v>0.620840192</v>
      </c>
    </row>
    <row r="270" customFormat="false" ht="15" hidden="false" customHeight="false" outlineLevel="0" collapsed="false">
      <c r="A270" s="3" t="n">
        <v>269</v>
      </c>
      <c r="B270" s="3" t="n">
        <v>268</v>
      </c>
      <c r="C270" s="3" t="n">
        <v>1</v>
      </c>
      <c r="D270" s="3" t="n">
        <v>5</v>
      </c>
      <c r="E270" s="3" t="n">
        <v>2</v>
      </c>
      <c r="F270" s="24" t="n">
        <v>0.342800945</v>
      </c>
    </row>
    <row r="271" customFormat="false" ht="15" hidden="false" customHeight="false" outlineLevel="0" collapsed="false">
      <c r="A271" s="3" t="n">
        <v>270</v>
      </c>
      <c r="B271" s="3" t="n">
        <v>269</v>
      </c>
      <c r="C271" s="3" t="n">
        <v>1</v>
      </c>
      <c r="D271" s="3" t="n">
        <v>5</v>
      </c>
      <c r="E271" s="3" t="n">
        <v>3</v>
      </c>
      <c r="F271" s="24" t="n">
        <v>0</v>
      </c>
    </row>
    <row r="272" customFormat="false" ht="15" hidden="false" customHeight="false" outlineLevel="0" collapsed="false">
      <c r="A272" s="3" t="n">
        <v>271</v>
      </c>
      <c r="B272" s="3" t="n">
        <v>270</v>
      </c>
      <c r="C272" s="3" t="n">
        <v>1</v>
      </c>
      <c r="D272" s="3" t="n">
        <v>5</v>
      </c>
      <c r="E272" s="3" t="n">
        <v>4</v>
      </c>
      <c r="F272" s="24" t="n">
        <v>0</v>
      </c>
    </row>
    <row r="273" customFormat="false" ht="15" hidden="false" customHeight="false" outlineLevel="0" collapsed="false">
      <c r="A273" s="3" t="n">
        <v>272</v>
      </c>
      <c r="B273" s="3" t="n">
        <v>271</v>
      </c>
      <c r="C273" s="3" t="n">
        <v>1</v>
      </c>
      <c r="D273" s="3" t="n">
        <v>5</v>
      </c>
      <c r="E273" s="3" t="n">
        <v>5</v>
      </c>
      <c r="F273" s="24" t="n">
        <v>0</v>
      </c>
    </row>
    <row r="274" customFormat="false" ht="15" hidden="false" customHeight="false" outlineLevel="0" collapsed="false">
      <c r="A274" s="3" t="n">
        <v>273</v>
      </c>
      <c r="B274" s="3" t="n">
        <v>272</v>
      </c>
      <c r="C274" s="3" t="n">
        <v>1</v>
      </c>
      <c r="D274" s="3" t="n">
        <v>5</v>
      </c>
      <c r="E274" s="3" t="n">
        <v>6</v>
      </c>
      <c r="F274" s="24" t="n">
        <v>0</v>
      </c>
    </row>
    <row r="275" customFormat="false" ht="15" hidden="false" customHeight="false" outlineLevel="0" collapsed="false">
      <c r="A275" s="3" t="n">
        <v>274</v>
      </c>
      <c r="B275" s="3" t="n">
        <v>273</v>
      </c>
      <c r="C275" s="3" t="n">
        <v>1</v>
      </c>
      <c r="D275" s="3" t="n">
        <v>5</v>
      </c>
      <c r="E275" s="3" t="n">
        <v>7</v>
      </c>
      <c r="F275" s="24" t="n">
        <v>0</v>
      </c>
    </row>
    <row r="276" customFormat="false" ht="15" hidden="false" customHeight="false" outlineLevel="0" collapsed="false">
      <c r="A276" s="3" t="n">
        <v>275</v>
      </c>
      <c r="B276" s="3" t="n">
        <v>274</v>
      </c>
      <c r="C276" s="3" t="n">
        <v>1</v>
      </c>
      <c r="D276" s="3" t="n">
        <v>5</v>
      </c>
      <c r="E276" s="3" t="n">
        <v>8</v>
      </c>
      <c r="F276" s="24" t="n">
        <v>0</v>
      </c>
    </row>
    <row r="277" customFormat="false" ht="15" hidden="false" customHeight="false" outlineLevel="0" collapsed="false">
      <c r="A277" s="3" t="n">
        <v>276</v>
      </c>
      <c r="B277" s="3" t="n">
        <v>275</v>
      </c>
      <c r="C277" s="3" t="n">
        <v>1</v>
      </c>
      <c r="D277" s="3" t="n">
        <v>5</v>
      </c>
      <c r="E277" s="3" t="n">
        <v>9</v>
      </c>
      <c r="F277" s="24" t="n">
        <v>0.402043283</v>
      </c>
    </row>
    <row r="278" customFormat="false" ht="15" hidden="false" customHeight="false" outlineLevel="0" collapsed="false">
      <c r="A278" s="3" t="n">
        <v>277</v>
      </c>
      <c r="B278" s="3" t="n">
        <v>276</v>
      </c>
      <c r="C278" s="3" t="n">
        <v>1</v>
      </c>
      <c r="D278" s="3" t="n">
        <v>5</v>
      </c>
      <c r="E278" s="3" t="n">
        <v>10</v>
      </c>
      <c r="F278" s="24" t="n">
        <v>0</v>
      </c>
    </row>
    <row r="279" customFormat="false" ht="15" hidden="false" customHeight="false" outlineLevel="0" collapsed="false">
      <c r="A279" s="3" t="n">
        <v>278</v>
      </c>
      <c r="B279" s="3" t="n">
        <v>277</v>
      </c>
      <c r="C279" s="3" t="n">
        <v>1</v>
      </c>
      <c r="D279" s="3" t="n">
        <v>5</v>
      </c>
      <c r="E279" s="3" t="n">
        <v>11</v>
      </c>
      <c r="F279" s="24" t="n">
        <v>0</v>
      </c>
    </row>
    <row r="280" customFormat="false" ht="15" hidden="false" customHeight="false" outlineLevel="0" collapsed="false">
      <c r="A280" s="3" t="n">
        <v>279</v>
      </c>
      <c r="B280" s="3" t="n">
        <v>278</v>
      </c>
      <c r="C280" s="3" t="n">
        <v>1</v>
      </c>
      <c r="D280" s="3" t="n">
        <v>5</v>
      </c>
      <c r="E280" s="3" t="n">
        <v>12</v>
      </c>
      <c r="F280" s="24" t="n">
        <v>0</v>
      </c>
    </row>
    <row r="281" customFormat="false" ht="15" hidden="false" customHeight="false" outlineLevel="0" collapsed="false">
      <c r="A281" s="3" t="n">
        <v>280</v>
      </c>
      <c r="B281" s="3" t="n">
        <v>279</v>
      </c>
      <c r="C281" s="3" t="n">
        <v>1</v>
      </c>
      <c r="D281" s="3" t="n">
        <v>5</v>
      </c>
      <c r="E281" s="3" t="n">
        <v>13</v>
      </c>
      <c r="F281" s="24" t="n">
        <v>0</v>
      </c>
    </row>
    <row r="282" customFormat="false" ht="15" hidden="false" customHeight="false" outlineLevel="0" collapsed="false">
      <c r="A282" s="3" t="n">
        <v>281</v>
      </c>
      <c r="B282" s="3" t="n">
        <v>280</v>
      </c>
      <c r="C282" s="3" t="n">
        <v>1</v>
      </c>
      <c r="D282" s="3" t="n">
        <v>6</v>
      </c>
      <c r="E282" s="3" t="n">
        <v>0</v>
      </c>
      <c r="F282" s="24" t="n">
        <v>0</v>
      </c>
    </row>
    <row r="283" customFormat="false" ht="15" hidden="false" customHeight="false" outlineLevel="0" collapsed="false">
      <c r="A283" s="3" t="n">
        <v>282</v>
      </c>
      <c r="B283" s="3" t="n">
        <v>281</v>
      </c>
      <c r="C283" s="3" t="n">
        <v>1</v>
      </c>
      <c r="D283" s="3" t="n">
        <v>6</v>
      </c>
      <c r="E283" s="3" t="n">
        <v>1</v>
      </c>
      <c r="F283" s="24" t="n">
        <v>0</v>
      </c>
    </row>
    <row r="284" customFormat="false" ht="15" hidden="false" customHeight="false" outlineLevel="0" collapsed="false">
      <c r="A284" s="3" t="n">
        <v>283</v>
      </c>
      <c r="B284" s="3" t="n">
        <v>282</v>
      </c>
      <c r="C284" s="3" t="n">
        <v>1</v>
      </c>
      <c r="D284" s="3" t="n">
        <v>6</v>
      </c>
      <c r="E284" s="3" t="n">
        <v>2</v>
      </c>
      <c r="F284" s="24" t="n">
        <v>0</v>
      </c>
    </row>
    <row r="285" customFormat="false" ht="15" hidden="false" customHeight="false" outlineLevel="0" collapsed="false">
      <c r="A285" s="3" t="n">
        <v>284</v>
      </c>
      <c r="B285" s="3" t="n">
        <v>283</v>
      </c>
      <c r="C285" s="3" t="n">
        <v>1</v>
      </c>
      <c r="D285" s="3" t="n">
        <v>6</v>
      </c>
      <c r="E285" s="3" t="n">
        <v>3</v>
      </c>
      <c r="F285" s="24" t="n">
        <v>0</v>
      </c>
    </row>
    <row r="286" customFormat="false" ht="15" hidden="false" customHeight="false" outlineLevel="0" collapsed="false">
      <c r="A286" s="3" t="n">
        <v>285</v>
      </c>
      <c r="B286" s="3" t="n">
        <v>284</v>
      </c>
      <c r="C286" s="3" t="n">
        <v>1</v>
      </c>
      <c r="D286" s="3" t="n">
        <v>6</v>
      </c>
      <c r="E286" s="3" t="n">
        <v>4</v>
      </c>
      <c r="F286" s="24" t="n">
        <v>0</v>
      </c>
    </row>
    <row r="287" customFormat="false" ht="15" hidden="false" customHeight="false" outlineLevel="0" collapsed="false">
      <c r="A287" s="3" t="n">
        <v>286</v>
      </c>
      <c r="B287" s="3" t="n">
        <v>285</v>
      </c>
      <c r="C287" s="3" t="n">
        <v>1</v>
      </c>
      <c r="D287" s="3" t="n">
        <v>6</v>
      </c>
      <c r="E287" s="3" t="n">
        <v>5</v>
      </c>
      <c r="F287" s="24" t="n">
        <v>0</v>
      </c>
    </row>
    <row r="288" customFormat="false" ht="15" hidden="false" customHeight="false" outlineLevel="0" collapsed="false">
      <c r="A288" s="3" t="n">
        <v>287</v>
      </c>
      <c r="B288" s="3" t="n">
        <v>286</v>
      </c>
      <c r="C288" s="3" t="n">
        <v>1</v>
      </c>
      <c r="D288" s="3" t="n">
        <v>6</v>
      </c>
      <c r="E288" s="3" t="n">
        <v>6</v>
      </c>
      <c r="F288" s="24" t="n">
        <v>0</v>
      </c>
    </row>
    <row r="289" customFormat="false" ht="15" hidden="false" customHeight="false" outlineLevel="0" collapsed="false">
      <c r="A289" s="3" t="n">
        <v>288</v>
      </c>
      <c r="B289" s="3" t="n">
        <v>287</v>
      </c>
      <c r="C289" s="3" t="n">
        <v>1</v>
      </c>
      <c r="D289" s="3" t="n">
        <v>6</v>
      </c>
      <c r="E289" s="3" t="n">
        <v>7</v>
      </c>
      <c r="F289" s="24" t="n">
        <v>0</v>
      </c>
    </row>
    <row r="290" customFormat="false" ht="15" hidden="false" customHeight="false" outlineLevel="0" collapsed="false">
      <c r="A290" s="3" t="n">
        <v>289</v>
      </c>
      <c r="B290" s="3" t="n">
        <v>288</v>
      </c>
      <c r="C290" s="3" t="n">
        <v>1</v>
      </c>
      <c r="D290" s="3" t="n">
        <v>6</v>
      </c>
      <c r="E290" s="3" t="n">
        <v>8</v>
      </c>
      <c r="F290" s="24" t="n">
        <v>4.35405207</v>
      </c>
    </row>
    <row r="291" customFormat="false" ht="15" hidden="false" customHeight="false" outlineLevel="0" collapsed="false">
      <c r="A291" s="3" t="n">
        <v>290</v>
      </c>
      <c r="B291" s="3" t="n">
        <v>289</v>
      </c>
      <c r="C291" s="3" t="n">
        <v>1</v>
      </c>
      <c r="D291" s="3" t="n">
        <v>6</v>
      </c>
      <c r="E291" s="3" t="n">
        <v>9</v>
      </c>
      <c r="F291" s="24" t="n">
        <v>0</v>
      </c>
    </row>
    <row r="292" customFormat="false" ht="15" hidden="false" customHeight="false" outlineLevel="0" collapsed="false">
      <c r="A292" s="3" t="n">
        <v>291</v>
      </c>
      <c r="B292" s="3" t="n">
        <v>290</v>
      </c>
      <c r="C292" s="3" t="n">
        <v>1</v>
      </c>
      <c r="D292" s="3" t="n">
        <v>6</v>
      </c>
      <c r="E292" s="3" t="n">
        <v>10</v>
      </c>
      <c r="F292" s="24" t="n">
        <v>0</v>
      </c>
    </row>
    <row r="293" customFormat="false" ht="15" hidden="false" customHeight="false" outlineLevel="0" collapsed="false">
      <c r="A293" s="3" t="n">
        <v>292</v>
      </c>
      <c r="B293" s="3" t="n">
        <v>291</v>
      </c>
      <c r="C293" s="3" t="n">
        <v>1</v>
      </c>
      <c r="D293" s="3" t="n">
        <v>6</v>
      </c>
      <c r="E293" s="3" t="n">
        <v>11</v>
      </c>
      <c r="F293" s="24" t="n">
        <v>0</v>
      </c>
    </row>
    <row r="294" customFormat="false" ht="15" hidden="false" customHeight="false" outlineLevel="0" collapsed="false">
      <c r="A294" s="3" t="n">
        <v>293</v>
      </c>
      <c r="B294" s="3" t="n">
        <v>292</v>
      </c>
      <c r="C294" s="3" t="n">
        <v>1</v>
      </c>
      <c r="D294" s="3" t="n">
        <v>6</v>
      </c>
      <c r="E294" s="3" t="n">
        <v>12</v>
      </c>
      <c r="F294" s="24" t="n">
        <v>0</v>
      </c>
    </row>
    <row r="295" customFormat="false" ht="15" hidden="false" customHeight="false" outlineLevel="0" collapsed="false">
      <c r="A295" s="3" t="n">
        <v>294</v>
      </c>
      <c r="B295" s="3" t="n">
        <v>293</v>
      </c>
      <c r="C295" s="3" t="n">
        <v>1</v>
      </c>
      <c r="D295" s="3" t="n">
        <v>6</v>
      </c>
      <c r="E295" s="3" t="n">
        <v>13</v>
      </c>
      <c r="F295" s="24" t="n">
        <v>0</v>
      </c>
    </row>
    <row r="296" customFormat="false" ht="15" hidden="false" customHeight="false" outlineLevel="0" collapsed="false">
      <c r="A296" s="3" t="n">
        <v>295</v>
      </c>
      <c r="B296" s="3" t="n">
        <v>294</v>
      </c>
      <c r="C296" s="3" t="n">
        <v>1</v>
      </c>
      <c r="D296" s="3" t="n">
        <v>7</v>
      </c>
      <c r="E296" s="3" t="n">
        <v>0</v>
      </c>
      <c r="F296" s="24" t="n">
        <v>0</v>
      </c>
    </row>
    <row r="297" customFormat="false" ht="15" hidden="false" customHeight="false" outlineLevel="0" collapsed="false">
      <c r="A297" s="3" t="n">
        <v>296</v>
      </c>
      <c r="B297" s="3" t="n">
        <v>295</v>
      </c>
      <c r="C297" s="3" t="n">
        <v>1</v>
      </c>
      <c r="D297" s="3" t="n">
        <v>7</v>
      </c>
      <c r="E297" s="3" t="n">
        <v>1</v>
      </c>
      <c r="F297" s="24" t="n">
        <v>0</v>
      </c>
    </row>
    <row r="298" customFormat="false" ht="15" hidden="false" customHeight="false" outlineLevel="0" collapsed="false">
      <c r="A298" s="3" t="n">
        <v>297</v>
      </c>
      <c r="B298" s="3" t="n">
        <v>296</v>
      </c>
      <c r="C298" s="3" t="n">
        <v>1</v>
      </c>
      <c r="D298" s="3" t="n">
        <v>7</v>
      </c>
      <c r="E298" s="3" t="n">
        <v>2</v>
      </c>
      <c r="F298" s="24" t="n">
        <v>0</v>
      </c>
    </row>
    <row r="299" customFormat="false" ht="15" hidden="false" customHeight="false" outlineLevel="0" collapsed="false">
      <c r="A299" s="3" t="n">
        <v>298</v>
      </c>
      <c r="B299" s="3" t="n">
        <v>297</v>
      </c>
      <c r="C299" s="3" t="n">
        <v>1</v>
      </c>
      <c r="D299" s="3" t="n">
        <v>7</v>
      </c>
      <c r="E299" s="3" t="n">
        <v>3</v>
      </c>
      <c r="F299" s="24" t="n">
        <v>0</v>
      </c>
    </row>
    <row r="300" customFormat="false" ht="15" hidden="false" customHeight="false" outlineLevel="0" collapsed="false">
      <c r="A300" s="3" t="n">
        <v>299</v>
      </c>
      <c r="B300" s="3" t="n">
        <v>298</v>
      </c>
      <c r="C300" s="3" t="n">
        <v>1</v>
      </c>
      <c r="D300" s="3" t="n">
        <v>7</v>
      </c>
      <c r="E300" s="3" t="n">
        <v>4</v>
      </c>
      <c r="F300" s="24" t="n">
        <v>0</v>
      </c>
    </row>
    <row r="301" customFormat="false" ht="15" hidden="false" customHeight="false" outlineLevel="0" collapsed="false">
      <c r="A301" s="3" t="n">
        <v>300</v>
      </c>
      <c r="B301" s="3" t="n">
        <v>299</v>
      </c>
      <c r="C301" s="3" t="n">
        <v>1</v>
      </c>
      <c r="D301" s="3" t="n">
        <v>7</v>
      </c>
      <c r="E301" s="3" t="n">
        <v>5</v>
      </c>
      <c r="F301" s="24" t="n">
        <v>0</v>
      </c>
    </row>
    <row r="302" customFormat="false" ht="15" hidden="false" customHeight="false" outlineLevel="0" collapsed="false">
      <c r="A302" s="3" t="n">
        <v>301</v>
      </c>
      <c r="B302" s="3" t="n">
        <v>300</v>
      </c>
      <c r="C302" s="3" t="n">
        <v>1</v>
      </c>
      <c r="D302" s="3" t="n">
        <v>7</v>
      </c>
      <c r="E302" s="3" t="n">
        <v>6</v>
      </c>
      <c r="F302" s="24" t="n">
        <v>0</v>
      </c>
    </row>
    <row r="303" customFormat="false" ht="15" hidden="false" customHeight="false" outlineLevel="0" collapsed="false">
      <c r="A303" s="3" t="n">
        <v>302</v>
      </c>
      <c r="B303" s="3" t="n">
        <v>301</v>
      </c>
      <c r="C303" s="3" t="n">
        <v>1</v>
      </c>
      <c r="D303" s="3" t="n">
        <v>7</v>
      </c>
      <c r="E303" s="3" t="n">
        <v>7</v>
      </c>
      <c r="F303" s="24" t="n">
        <v>5.45089626</v>
      </c>
    </row>
    <row r="304" customFormat="false" ht="15" hidden="false" customHeight="false" outlineLevel="0" collapsed="false">
      <c r="A304" s="3" t="n">
        <v>303</v>
      </c>
      <c r="B304" s="3" t="n">
        <v>302</v>
      </c>
      <c r="C304" s="3" t="n">
        <v>1</v>
      </c>
      <c r="D304" s="3" t="n">
        <v>7</v>
      </c>
      <c r="E304" s="3" t="n">
        <v>8</v>
      </c>
      <c r="F304" s="24" t="n">
        <v>5.99672031</v>
      </c>
    </row>
    <row r="305" customFormat="false" ht="15" hidden="false" customHeight="false" outlineLevel="0" collapsed="false">
      <c r="A305" s="3" t="n">
        <v>304</v>
      </c>
      <c r="B305" s="3" t="n">
        <v>303</v>
      </c>
      <c r="C305" s="3" t="n">
        <v>1</v>
      </c>
      <c r="D305" s="3" t="n">
        <v>7</v>
      </c>
      <c r="E305" s="3" t="n">
        <v>9</v>
      </c>
      <c r="F305" s="24" t="n">
        <v>0</v>
      </c>
    </row>
    <row r="306" customFormat="false" ht="15" hidden="false" customHeight="false" outlineLevel="0" collapsed="false">
      <c r="A306" s="3" t="n">
        <v>305</v>
      </c>
      <c r="B306" s="3" t="n">
        <v>304</v>
      </c>
      <c r="C306" s="3" t="n">
        <v>1</v>
      </c>
      <c r="D306" s="3" t="n">
        <v>7</v>
      </c>
      <c r="E306" s="3" t="n">
        <v>10</v>
      </c>
      <c r="F306" s="24" t="n">
        <v>0</v>
      </c>
    </row>
    <row r="307" customFormat="false" ht="15" hidden="false" customHeight="false" outlineLevel="0" collapsed="false">
      <c r="A307" s="3" t="n">
        <v>306</v>
      </c>
      <c r="B307" s="3" t="n">
        <v>305</v>
      </c>
      <c r="C307" s="3" t="n">
        <v>1</v>
      </c>
      <c r="D307" s="3" t="n">
        <v>7</v>
      </c>
      <c r="E307" s="3" t="n">
        <v>11</v>
      </c>
      <c r="F307" s="24" t="n">
        <v>0</v>
      </c>
    </row>
    <row r="308" customFormat="false" ht="15" hidden="false" customHeight="false" outlineLevel="0" collapsed="false">
      <c r="A308" s="3" t="n">
        <v>307</v>
      </c>
      <c r="B308" s="3" t="n">
        <v>306</v>
      </c>
      <c r="C308" s="3" t="n">
        <v>1</v>
      </c>
      <c r="D308" s="3" t="n">
        <v>7</v>
      </c>
      <c r="E308" s="3" t="n">
        <v>12</v>
      </c>
      <c r="F308" s="24" t="n">
        <v>0</v>
      </c>
    </row>
    <row r="309" customFormat="false" ht="15" hidden="false" customHeight="false" outlineLevel="0" collapsed="false">
      <c r="A309" s="3" t="n">
        <v>308</v>
      </c>
      <c r="B309" s="3" t="n">
        <v>307</v>
      </c>
      <c r="C309" s="3" t="n">
        <v>1</v>
      </c>
      <c r="D309" s="3" t="n">
        <v>7</v>
      </c>
      <c r="E309" s="3" t="n">
        <v>13</v>
      </c>
      <c r="F309" s="24" t="n">
        <v>0</v>
      </c>
    </row>
    <row r="310" customFormat="false" ht="15" hidden="false" customHeight="false" outlineLevel="0" collapsed="false">
      <c r="A310" s="3" t="n">
        <v>309</v>
      </c>
      <c r="B310" s="3" t="n">
        <v>308</v>
      </c>
      <c r="C310" s="3" t="n">
        <v>1</v>
      </c>
      <c r="D310" s="3" t="n">
        <v>8</v>
      </c>
      <c r="E310" s="3" t="n">
        <v>0</v>
      </c>
      <c r="F310" s="24" t="n">
        <v>0</v>
      </c>
    </row>
    <row r="311" customFormat="false" ht="15" hidden="false" customHeight="false" outlineLevel="0" collapsed="false">
      <c r="A311" s="3" t="n">
        <v>310</v>
      </c>
      <c r="B311" s="3" t="n">
        <v>309</v>
      </c>
      <c r="C311" s="3" t="n">
        <v>1</v>
      </c>
      <c r="D311" s="3" t="n">
        <v>8</v>
      </c>
      <c r="E311" s="3" t="n">
        <v>1</v>
      </c>
      <c r="F311" s="24" t="n">
        <v>0</v>
      </c>
    </row>
    <row r="312" customFormat="false" ht="15" hidden="false" customHeight="false" outlineLevel="0" collapsed="false">
      <c r="A312" s="3" t="n">
        <v>311</v>
      </c>
      <c r="B312" s="3" t="n">
        <v>310</v>
      </c>
      <c r="C312" s="3" t="n">
        <v>1</v>
      </c>
      <c r="D312" s="3" t="n">
        <v>8</v>
      </c>
      <c r="E312" s="3" t="n">
        <v>2</v>
      </c>
      <c r="F312" s="24" t="n">
        <v>0</v>
      </c>
    </row>
    <row r="313" customFormat="false" ht="15" hidden="false" customHeight="false" outlineLevel="0" collapsed="false">
      <c r="A313" s="3" t="n">
        <v>312</v>
      </c>
      <c r="B313" s="3" t="n">
        <v>311</v>
      </c>
      <c r="C313" s="3" t="n">
        <v>1</v>
      </c>
      <c r="D313" s="3" t="n">
        <v>8</v>
      </c>
      <c r="E313" s="3" t="n">
        <v>3</v>
      </c>
      <c r="F313" s="24" t="n">
        <v>0</v>
      </c>
    </row>
    <row r="314" customFormat="false" ht="15" hidden="false" customHeight="false" outlineLevel="0" collapsed="false">
      <c r="A314" s="3" t="n">
        <v>313</v>
      </c>
      <c r="B314" s="3" t="n">
        <v>312</v>
      </c>
      <c r="C314" s="3" t="n">
        <v>1</v>
      </c>
      <c r="D314" s="3" t="n">
        <v>8</v>
      </c>
      <c r="E314" s="3" t="n">
        <v>4</v>
      </c>
      <c r="F314" s="24" t="n">
        <v>0</v>
      </c>
    </row>
    <row r="315" customFormat="false" ht="15" hidden="false" customHeight="false" outlineLevel="0" collapsed="false">
      <c r="A315" s="3" t="n">
        <v>314</v>
      </c>
      <c r="B315" s="3" t="n">
        <v>313</v>
      </c>
      <c r="C315" s="3" t="n">
        <v>1</v>
      </c>
      <c r="D315" s="3" t="n">
        <v>8</v>
      </c>
      <c r="E315" s="3" t="n">
        <v>5</v>
      </c>
      <c r="F315" s="24" t="n">
        <v>0</v>
      </c>
    </row>
    <row r="316" customFormat="false" ht="15" hidden="false" customHeight="false" outlineLevel="0" collapsed="false">
      <c r="A316" s="3" t="n">
        <v>315</v>
      </c>
      <c r="B316" s="3" t="n">
        <v>314</v>
      </c>
      <c r="C316" s="3" t="n">
        <v>1</v>
      </c>
      <c r="D316" s="3" t="n">
        <v>8</v>
      </c>
      <c r="E316" s="3" t="n">
        <v>6</v>
      </c>
      <c r="F316" s="24" t="n">
        <v>2.34647512</v>
      </c>
    </row>
    <row r="317" customFormat="false" ht="15" hidden="false" customHeight="false" outlineLevel="0" collapsed="false">
      <c r="A317" s="3" t="n">
        <v>316</v>
      </c>
      <c r="B317" s="3" t="n">
        <v>315</v>
      </c>
      <c r="C317" s="3" t="n">
        <v>1</v>
      </c>
      <c r="D317" s="3" t="n">
        <v>8</v>
      </c>
      <c r="E317" s="3" t="n">
        <v>7</v>
      </c>
      <c r="F317" s="24" t="n">
        <v>6.33747959</v>
      </c>
    </row>
    <row r="318" customFormat="false" ht="15" hidden="false" customHeight="false" outlineLevel="0" collapsed="false">
      <c r="A318" s="3" t="n">
        <v>317</v>
      </c>
      <c r="B318" s="3" t="n">
        <v>316</v>
      </c>
      <c r="C318" s="3" t="n">
        <v>1</v>
      </c>
      <c r="D318" s="3" t="n">
        <v>8</v>
      </c>
      <c r="E318" s="3" t="n">
        <v>8</v>
      </c>
      <c r="F318" s="24" t="n">
        <v>0</v>
      </c>
    </row>
    <row r="319" customFormat="false" ht="15" hidden="false" customHeight="false" outlineLevel="0" collapsed="false">
      <c r="A319" s="3" t="n">
        <v>318</v>
      </c>
      <c r="B319" s="3" t="n">
        <v>317</v>
      </c>
      <c r="C319" s="3" t="n">
        <v>1</v>
      </c>
      <c r="D319" s="3" t="n">
        <v>8</v>
      </c>
      <c r="E319" s="3" t="n">
        <v>9</v>
      </c>
      <c r="F319" s="24" t="n">
        <v>0</v>
      </c>
    </row>
    <row r="320" customFormat="false" ht="15" hidden="false" customHeight="false" outlineLevel="0" collapsed="false">
      <c r="A320" s="3" t="n">
        <v>319</v>
      </c>
      <c r="B320" s="3" t="n">
        <v>318</v>
      </c>
      <c r="C320" s="3" t="n">
        <v>1</v>
      </c>
      <c r="D320" s="3" t="n">
        <v>8</v>
      </c>
      <c r="E320" s="3" t="n">
        <v>10</v>
      </c>
      <c r="F320" s="24" t="n">
        <v>0</v>
      </c>
    </row>
    <row r="321" customFormat="false" ht="15" hidden="false" customHeight="false" outlineLevel="0" collapsed="false">
      <c r="A321" s="3" t="n">
        <v>320</v>
      </c>
      <c r="B321" s="3" t="n">
        <v>319</v>
      </c>
      <c r="C321" s="3" t="n">
        <v>1</v>
      </c>
      <c r="D321" s="3" t="n">
        <v>8</v>
      </c>
      <c r="E321" s="3" t="n">
        <v>11</v>
      </c>
      <c r="F321" s="24" t="n">
        <v>0</v>
      </c>
    </row>
    <row r="322" customFormat="false" ht="15" hidden="false" customHeight="false" outlineLevel="0" collapsed="false">
      <c r="A322" s="3" t="n">
        <v>321</v>
      </c>
      <c r="B322" s="3" t="n">
        <v>320</v>
      </c>
      <c r="C322" s="3" t="n">
        <v>1</v>
      </c>
      <c r="D322" s="3" t="n">
        <v>8</v>
      </c>
      <c r="E322" s="3" t="n">
        <v>12</v>
      </c>
      <c r="F322" s="24" t="n">
        <v>0</v>
      </c>
    </row>
    <row r="323" customFormat="false" ht="15" hidden="false" customHeight="false" outlineLevel="0" collapsed="false">
      <c r="A323" s="3" t="n">
        <v>322</v>
      </c>
      <c r="B323" s="3" t="n">
        <v>321</v>
      </c>
      <c r="C323" s="3" t="n">
        <v>1</v>
      </c>
      <c r="D323" s="3" t="n">
        <v>8</v>
      </c>
      <c r="E323" s="3" t="n">
        <v>13</v>
      </c>
      <c r="F323" s="24" t="n">
        <v>0</v>
      </c>
    </row>
    <row r="324" customFormat="false" ht="15" hidden="false" customHeight="false" outlineLevel="0" collapsed="false">
      <c r="A324" s="3" t="n">
        <v>323</v>
      </c>
      <c r="B324" s="3" t="n">
        <v>322</v>
      </c>
      <c r="C324" s="3" t="n">
        <v>1</v>
      </c>
      <c r="D324" s="3" t="n">
        <v>9</v>
      </c>
      <c r="E324" s="3" t="n">
        <v>0</v>
      </c>
      <c r="F324" s="24" t="n">
        <v>0</v>
      </c>
    </row>
    <row r="325" customFormat="false" ht="15" hidden="false" customHeight="false" outlineLevel="0" collapsed="false">
      <c r="A325" s="3" t="n">
        <v>324</v>
      </c>
      <c r="B325" s="3" t="n">
        <v>323</v>
      </c>
      <c r="C325" s="3" t="n">
        <v>1</v>
      </c>
      <c r="D325" s="3" t="n">
        <v>9</v>
      </c>
      <c r="E325" s="3" t="n">
        <v>1</v>
      </c>
      <c r="F325" s="24" t="n">
        <v>0</v>
      </c>
    </row>
    <row r="326" customFormat="false" ht="15" hidden="false" customHeight="false" outlineLevel="0" collapsed="false">
      <c r="A326" s="3" t="n">
        <v>325</v>
      </c>
      <c r="B326" s="3" t="n">
        <v>324</v>
      </c>
      <c r="C326" s="3" t="n">
        <v>1</v>
      </c>
      <c r="D326" s="3" t="n">
        <v>9</v>
      </c>
      <c r="E326" s="3" t="n">
        <v>2</v>
      </c>
      <c r="F326" s="24" t="n">
        <v>0</v>
      </c>
    </row>
    <row r="327" customFormat="false" ht="15" hidden="false" customHeight="false" outlineLevel="0" collapsed="false">
      <c r="A327" s="3" t="n">
        <v>326</v>
      </c>
      <c r="B327" s="3" t="n">
        <v>325</v>
      </c>
      <c r="C327" s="3" t="n">
        <v>1</v>
      </c>
      <c r="D327" s="3" t="n">
        <v>9</v>
      </c>
      <c r="E327" s="3" t="n">
        <v>3</v>
      </c>
      <c r="F327" s="24" t="n">
        <v>0</v>
      </c>
    </row>
    <row r="328" customFormat="false" ht="15" hidden="false" customHeight="false" outlineLevel="0" collapsed="false">
      <c r="A328" s="3" t="n">
        <v>327</v>
      </c>
      <c r="B328" s="3" t="n">
        <v>326</v>
      </c>
      <c r="C328" s="3" t="n">
        <v>1</v>
      </c>
      <c r="D328" s="3" t="n">
        <v>9</v>
      </c>
      <c r="E328" s="3" t="n">
        <v>4</v>
      </c>
      <c r="F328" s="24" t="n">
        <v>0</v>
      </c>
    </row>
    <row r="329" customFormat="false" ht="15" hidden="false" customHeight="false" outlineLevel="0" collapsed="false">
      <c r="A329" s="3" t="n">
        <v>328</v>
      </c>
      <c r="B329" s="3" t="n">
        <v>327</v>
      </c>
      <c r="C329" s="3" t="n">
        <v>1</v>
      </c>
      <c r="D329" s="3" t="n">
        <v>9</v>
      </c>
      <c r="E329" s="3" t="n">
        <v>5</v>
      </c>
      <c r="F329" s="24" t="n">
        <v>0.154093027</v>
      </c>
    </row>
    <row r="330" customFormat="false" ht="15" hidden="false" customHeight="false" outlineLevel="0" collapsed="false">
      <c r="A330" s="3" t="n">
        <v>329</v>
      </c>
      <c r="B330" s="3" t="n">
        <v>328</v>
      </c>
      <c r="C330" s="3" t="n">
        <v>1</v>
      </c>
      <c r="D330" s="3" t="n">
        <v>9</v>
      </c>
      <c r="E330" s="3" t="n">
        <v>6</v>
      </c>
      <c r="F330" s="24" t="n">
        <v>5.67270231</v>
      </c>
    </row>
    <row r="331" customFormat="false" ht="15" hidden="false" customHeight="false" outlineLevel="0" collapsed="false">
      <c r="A331" s="3" t="n">
        <v>330</v>
      </c>
      <c r="B331" s="3" t="n">
        <v>329</v>
      </c>
      <c r="C331" s="3" t="n">
        <v>1</v>
      </c>
      <c r="D331" s="3" t="n">
        <v>9</v>
      </c>
      <c r="E331" s="3" t="n">
        <v>7</v>
      </c>
      <c r="F331" s="24" t="n">
        <v>3.8156445</v>
      </c>
    </row>
    <row r="332" customFormat="false" ht="15" hidden="false" customHeight="false" outlineLevel="0" collapsed="false">
      <c r="A332" s="3" t="n">
        <v>331</v>
      </c>
      <c r="B332" s="3" t="n">
        <v>330</v>
      </c>
      <c r="C332" s="3" t="n">
        <v>1</v>
      </c>
      <c r="D332" s="3" t="n">
        <v>9</v>
      </c>
      <c r="E332" s="3" t="n">
        <v>8</v>
      </c>
      <c r="F332" s="24" t="n">
        <v>0</v>
      </c>
    </row>
    <row r="333" customFormat="false" ht="15" hidden="false" customHeight="false" outlineLevel="0" collapsed="false">
      <c r="A333" s="3" t="n">
        <v>332</v>
      </c>
      <c r="B333" s="3" t="n">
        <v>331</v>
      </c>
      <c r="C333" s="3" t="n">
        <v>1</v>
      </c>
      <c r="D333" s="3" t="n">
        <v>9</v>
      </c>
      <c r="E333" s="3" t="n">
        <v>9</v>
      </c>
      <c r="F333" s="24" t="n">
        <v>0</v>
      </c>
    </row>
    <row r="334" customFormat="false" ht="15" hidden="false" customHeight="false" outlineLevel="0" collapsed="false">
      <c r="A334" s="3" t="n">
        <v>333</v>
      </c>
      <c r="B334" s="3" t="n">
        <v>332</v>
      </c>
      <c r="C334" s="3" t="n">
        <v>1</v>
      </c>
      <c r="D334" s="3" t="n">
        <v>9</v>
      </c>
      <c r="E334" s="3" t="n">
        <v>10</v>
      </c>
      <c r="F334" s="24" t="n">
        <v>0</v>
      </c>
    </row>
    <row r="335" customFormat="false" ht="15" hidden="false" customHeight="false" outlineLevel="0" collapsed="false">
      <c r="A335" s="3" t="n">
        <v>334</v>
      </c>
      <c r="B335" s="3" t="n">
        <v>333</v>
      </c>
      <c r="C335" s="3" t="n">
        <v>1</v>
      </c>
      <c r="D335" s="3" t="n">
        <v>9</v>
      </c>
      <c r="E335" s="3" t="n">
        <v>11</v>
      </c>
      <c r="F335" s="24" t="n">
        <v>0</v>
      </c>
    </row>
    <row r="336" customFormat="false" ht="15" hidden="false" customHeight="false" outlineLevel="0" collapsed="false">
      <c r="A336" s="3" t="n">
        <v>335</v>
      </c>
      <c r="B336" s="3" t="n">
        <v>334</v>
      </c>
      <c r="C336" s="3" t="n">
        <v>1</v>
      </c>
      <c r="D336" s="3" t="n">
        <v>9</v>
      </c>
      <c r="E336" s="3" t="n">
        <v>12</v>
      </c>
      <c r="F336" s="24" t="n">
        <v>0</v>
      </c>
    </row>
    <row r="337" customFormat="false" ht="15" hidden="false" customHeight="false" outlineLevel="0" collapsed="false">
      <c r="A337" s="3" t="n">
        <v>336</v>
      </c>
      <c r="B337" s="3" t="n">
        <v>335</v>
      </c>
      <c r="C337" s="3" t="n">
        <v>1</v>
      </c>
      <c r="D337" s="3" t="n">
        <v>9</v>
      </c>
      <c r="E337" s="3" t="n">
        <v>13</v>
      </c>
      <c r="F337" s="24" t="n">
        <v>0</v>
      </c>
    </row>
    <row r="338" customFormat="false" ht="15" hidden="false" customHeight="false" outlineLevel="0" collapsed="false">
      <c r="A338" s="3" t="n">
        <v>337</v>
      </c>
      <c r="B338" s="3" t="n">
        <v>336</v>
      </c>
      <c r="C338" s="3" t="n">
        <v>1</v>
      </c>
      <c r="D338" s="3" t="n">
        <v>10</v>
      </c>
      <c r="E338" s="3" t="n">
        <v>0</v>
      </c>
      <c r="F338" s="24" t="n">
        <v>0</v>
      </c>
    </row>
    <row r="339" customFormat="false" ht="15" hidden="false" customHeight="false" outlineLevel="0" collapsed="false">
      <c r="A339" s="3" t="n">
        <v>338</v>
      </c>
      <c r="B339" s="3" t="n">
        <v>337</v>
      </c>
      <c r="C339" s="3" t="n">
        <v>1</v>
      </c>
      <c r="D339" s="3" t="n">
        <v>10</v>
      </c>
      <c r="E339" s="3" t="n">
        <v>1</v>
      </c>
      <c r="F339" s="24" t="n">
        <v>0</v>
      </c>
    </row>
    <row r="340" customFormat="false" ht="15" hidden="false" customHeight="false" outlineLevel="0" collapsed="false">
      <c r="A340" s="3" t="n">
        <v>339</v>
      </c>
      <c r="B340" s="3" t="n">
        <v>338</v>
      </c>
      <c r="C340" s="3" t="n">
        <v>1</v>
      </c>
      <c r="D340" s="3" t="n">
        <v>10</v>
      </c>
      <c r="E340" s="3" t="n">
        <v>2</v>
      </c>
      <c r="F340" s="24" t="n">
        <v>0</v>
      </c>
    </row>
    <row r="341" customFormat="false" ht="15" hidden="false" customHeight="false" outlineLevel="0" collapsed="false">
      <c r="A341" s="3" t="n">
        <v>340</v>
      </c>
      <c r="B341" s="3" t="n">
        <v>339</v>
      </c>
      <c r="C341" s="3" t="n">
        <v>1</v>
      </c>
      <c r="D341" s="3" t="n">
        <v>10</v>
      </c>
      <c r="E341" s="3" t="n">
        <v>3</v>
      </c>
      <c r="F341" s="24" t="n">
        <v>0</v>
      </c>
    </row>
    <row r="342" customFormat="false" ht="15" hidden="false" customHeight="false" outlineLevel="0" collapsed="false">
      <c r="A342" s="3" t="n">
        <v>341</v>
      </c>
      <c r="B342" s="3" t="n">
        <v>340</v>
      </c>
      <c r="C342" s="3" t="n">
        <v>1</v>
      </c>
      <c r="D342" s="3" t="n">
        <v>10</v>
      </c>
      <c r="E342" s="3" t="n">
        <v>4</v>
      </c>
      <c r="F342" s="24" t="n">
        <v>0</v>
      </c>
    </row>
    <row r="343" customFormat="false" ht="15" hidden="false" customHeight="false" outlineLevel="0" collapsed="false">
      <c r="A343" s="3" t="n">
        <v>342</v>
      </c>
      <c r="B343" s="3" t="n">
        <v>341</v>
      </c>
      <c r="C343" s="3" t="n">
        <v>1</v>
      </c>
      <c r="D343" s="3" t="n">
        <v>10</v>
      </c>
      <c r="E343" s="3" t="n">
        <v>5</v>
      </c>
      <c r="F343" s="24" t="n">
        <v>5.18581247</v>
      </c>
    </row>
    <row r="344" customFormat="false" ht="15" hidden="false" customHeight="false" outlineLevel="0" collapsed="false">
      <c r="A344" s="3" t="n">
        <v>343</v>
      </c>
      <c r="B344" s="3" t="n">
        <v>342</v>
      </c>
      <c r="C344" s="3" t="n">
        <v>1</v>
      </c>
      <c r="D344" s="3" t="n">
        <v>10</v>
      </c>
      <c r="E344" s="3" t="n">
        <v>6</v>
      </c>
      <c r="F344" s="24" t="n">
        <v>7.90193319</v>
      </c>
    </row>
    <row r="345" customFormat="false" ht="15" hidden="false" customHeight="false" outlineLevel="0" collapsed="false">
      <c r="A345" s="3" t="n">
        <v>344</v>
      </c>
      <c r="B345" s="3" t="n">
        <v>343</v>
      </c>
      <c r="C345" s="3" t="n">
        <v>1</v>
      </c>
      <c r="D345" s="3" t="n">
        <v>10</v>
      </c>
      <c r="E345" s="3" t="n">
        <v>7</v>
      </c>
      <c r="F345" s="24" t="n">
        <v>0</v>
      </c>
    </row>
    <row r="346" customFormat="false" ht="15" hidden="false" customHeight="false" outlineLevel="0" collapsed="false">
      <c r="A346" s="3" t="n">
        <v>345</v>
      </c>
      <c r="B346" s="3" t="n">
        <v>344</v>
      </c>
      <c r="C346" s="3" t="n">
        <v>1</v>
      </c>
      <c r="D346" s="3" t="n">
        <v>10</v>
      </c>
      <c r="E346" s="3" t="n">
        <v>8</v>
      </c>
      <c r="F346" s="24" t="n">
        <v>0</v>
      </c>
    </row>
    <row r="347" customFormat="false" ht="15" hidden="false" customHeight="false" outlineLevel="0" collapsed="false">
      <c r="A347" s="3" t="n">
        <v>346</v>
      </c>
      <c r="B347" s="3" t="n">
        <v>345</v>
      </c>
      <c r="C347" s="3" t="n">
        <v>1</v>
      </c>
      <c r="D347" s="3" t="n">
        <v>10</v>
      </c>
      <c r="E347" s="3" t="n">
        <v>9</v>
      </c>
      <c r="F347" s="24" t="n">
        <v>0</v>
      </c>
    </row>
    <row r="348" customFormat="false" ht="15" hidden="false" customHeight="false" outlineLevel="0" collapsed="false">
      <c r="A348" s="3" t="n">
        <v>347</v>
      </c>
      <c r="B348" s="3" t="n">
        <v>346</v>
      </c>
      <c r="C348" s="3" t="n">
        <v>1</v>
      </c>
      <c r="D348" s="3" t="n">
        <v>10</v>
      </c>
      <c r="E348" s="3" t="n">
        <v>10</v>
      </c>
      <c r="F348" s="24" t="n">
        <v>0</v>
      </c>
    </row>
    <row r="349" customFormat="false" ht="15" hidden="false" customHeight="false" outlineLevel="0" collapsed="false">
      <c r="A349" s="3" t="n">
        <v>348</v>
      </c>
      <c r="B349" s="3" t="n">
        <v>347</v>
      </c>
      <c r="C349" s="3" t="n">
        <v>1</v>
      </c>
      <c r="D349" s="3" t="n">
        <v>10</v>
      </c>
      <c r="E349" s="3" t="n">
        <v>11</v>
      </c>
      <c r="F349" s="24" t="n">
        <v>0</v>
      </c>
    </row>
    <row r="350" customFormat="false" ht="15" hidden="false" customHeight="false" outlineLevel="0" collapsed="false">
      <c r="A350" s="3" t="n">
        <v>349</v>
      </c>
      <c r="B350" s="3" t="n">
        <v>348</v>
      </c>
      <c r="C350" s="3" t="n">
        <v>1</v>
      </c>
      <c r="D350" s="3" t="n">
        <v>10</v>
      </c>
      <c r="E350" s="3" t="n">
        <v>12</v>
      </c>
      <c r="F350" s="24" t="n">
        <v>0</v>
      </c>
    </row>
    <row r="351" customFormat="false" ht="15" hidden="false" customHeight="false" outlineLevel="0" collapsed="false">
      <c r="A351" s="3" t="n">
        <v>350</v>
      </c>
      <c r="B351" s="3" t="n">
        <v>349</v>
      </c>
      <c r="C351" s="3" t="n">
        <v>1</v>
      </c>
      <c r="D351" s="3" t="n">
        <v>10</v>
      </c>
      <c r="E351" s="3" t="n">
        <v>13</v>
      </c>
      <c r="F351" s="24" t="n">
        <v>0</v>
      </c>
    </row>
    <row r="352" customFormat="false" ht="15" hidden="false" customHeight="false" outlineLevel="0" collapsed="false">
      <c r="A352" s="3" t="n">
        <v>351</v>
      </c>
      <c r="B352" s="3" t="n">
        <v>350</v>
      </c>
      <c r="C352" s="3" t="n">
        <v>1</v>
      </c>
      <c r="D352" s="3" t="n">
        <v>11</v>
      </c>
      <c r="E352" s="3" t="n">
        <v>0</v>
      </c>
      <c r="F352" s="24" t="n">
        <v>0</v>
      </c>
    </row>
    <row r="353" customFormat="false" ht="15" hidden="false" customHeight="false" outlineLevel="0" collapsed="false">
      <c r="A353" s="3" t="n">
        <v>352</v>
      </c>
      <c r="B353" s="3" t="n">
        <v>351</v>
      </c>
      <c r="C353" s="3" t="n">
        <v>1</v>
      </c>
      <c r="D353" s="3" t="n">
        <v>11</v>
      </c>
      <c r="E353" s="3" t="n">
        <v>1</v>
      </c>
      <c r="F353" s="24" t="n">
        <v>0</v>
      </c>
    </row>
    <row r="354" customFormat="false" ht="15" hidden="false" customHeight="false" outlineLevel="0" collapsed="false">
      <c r="A354" s="3" t="n">
        <v>353</v>
      </c>
      <c r="B354" s="3" t="n">
        <v>352</v>
      </c>
      <c r="C354" s="3" t="n">
        <v>1</v>
      </c>
      <c r="D354" s="3" t="n">
        <v>11</v>
      </c>
      <c r="E354" s="3" t="n">
        <v>2</v>
      </c>
      <c r="F354" s="24" t="n">
        <v>0</v>
      </c>
    </row>
    <row r="355" customFormat="false" ht="15" hidden="false" customHeight="false" outlineLevel="0" collapsed="false">
      <c r="A355" s="3" t="n">
        <v>354</v>
      </c>
      <c r="B355" s="3" t="n">
        <v>353</v>
      </c>
      <c r="C355" s="3" t="n">
        <v>1</v>
      </c>
      <c r="D355" s="3" t="n">
        <v>11</v>
      </c>
      <c r="E355" s="3" t="n">
        <v>3</v>
      </c>
      <c r="F355" s="24" t="n">
        <v>0</v>
      </c>
    </row>
    <row r="356" customFormat="false" ht="15" hidden="false" customHeight="false" outlineLevel="0" collapsed="false">
      <c r="A356" s="3" t="n">
        <v>355</v>
      </c>
      <c r="B356" s="3" t="n">
        <v>354</v>
      </c>
      <c r="C356" s="3" t="n">
        <v>1</v>
      </c>
      <c r="D356" s="3" t="n">
        <v>11</v>
      </c>
      <c r="E356" s="3" t="n">
        <v>4</v>
      </c>
      <c r="F356" s="24" t="n">
        <v>1.46497035</v>
      </c>
    </row>
    <row r="357" customFormat="false" ht="15" hidden="false" customHeight="false" outlineLevel="0" collapsed="false">
      <c r="A357" s="3" t="n">
        <v>356</v>
      </c>
      <c r="B357" s="3" t="n">
        <v>355</v>
      </c>
      <c r="C357" s="3" t="n">
        <v>1</v>
      </c>
      <c r="D357" s="3" t="n">
        <v>11</v>
      </c>
      <c r="E357" s="3" t="n">
        <v>5</v>
      </c>
      <c r="F357" s="24" t="n">
        <v>7.10343981</v>
      </c>
    </row>
    <row r="358" customFormat="false" ht="15" hidden="false" customHeight="false" outlineLevel="0" collapsed="false">
      <c r="A358" s="3" t="n">
        <v>357</v>
      </c>
      <c r="B358" s="3" t="n">
        <v>356</v>
      </c>
      <c r="C358" s="3" t="n">
        <v>1</v>
      </c>
      <c r="D358" s="3" t="n">
        <v>11</v>
      </c>
      <c r="E358" s="3" t="n">
        <v>6</v>
      </c>
      <c r="F358" s="24" t="n">
        <v>0.21341753</v>
      </c>
    </row>
    <row r="359" customFormat="false" ht="15" hidden="false" customHeight="false" outlineLevel="0" collapsed="false">
      <c r="A359" s="3" t="n">
        <v>358</v>
      </c>
      <c r="B359" s="3" t="n">
        <v>357</v>
      </c>
      <c r="C359" s="3" t="n">
        <v>1</v>
      </c>
      <c r="D359" s="3" t="n">
        <v>11</v>
      </c>
      <c r="E359" s="3" t="n">
        <v>7</v>
      </c>
      <c r="F359" s="24" t="n">
        <v>0</v>
      </c>
    </row>
    <row r="360" customFormat="false" ht="15" hidden="false" customHeight="false" outlineLevel="0" collapsed="false">
      <c r="A360" s="3" t="n">
        <v>359</v>
      </c>
      <c r="B360" s="3" t="n">
        <v>358</v>
      </c>
      <c r="C360" s="3" t="n">
        <v>1</v>
      </c>
      <c r="D360" s="3" t="n">
        <v>11</v>
      </c>
      <c r="E360" s="3" t="n">
        <v>8</v>
      </c>
      <c r="F360" s="24" t="n">
        <v>0</v>
      </c>
    </row>
    <row r="361" customFormat="false" ht="15" hidden="false" customHeight="false" outlineLevel="0" collapsed="false">
      <c r="A361" s="3" t="n">
        <v>360</v>
      </c>
      <c r="B361" s="3" t="n">
        <v>359</v>
      </c>
      <c r="C361" s="3" t="n">
        <v>1</v>
      </c>
      <c r="D361" s="3" t="n">
        <v>11</v>
      </c>
      <c r="E361" s="3" t="n">
        <v>9</v>
      </c>
      <c r="F361" s="24" t="n">
        <v>0</v>
      </c>
    </row>
    <row r="362" customFormat="false" ht="15" hidden="false" customHeight="false" outlineLevel="0" collapsed="false">
      <c r="A362" s="3" t="n">
        <v>361</v>
      </c>
      <c r="B362" s="3" t="n">
        <v>360</v>
      </c>
      <c r="C362" s="3" t="n">
        <v>1</v>
      </c>
      <c r="D362" s="3" t="n">
        <v>11</v>
      </c>
      <c r="E362" s="3" t="n">
        <v>10</v>
      </c>
      <c r="F362" s="24" t="n">
        <v>0</v>
      </c>
    </row>
    <row r="363" customFormat="false" ht="15" hidden="false" customHeight="false" outlineLevel="0" collapsed="false">
      <c r="A363" s="3" t="n">
        <v>362</v>
      </c>
      <c r="B363" s="3" t="n">
        <v>361</v>
      </c>
      <c r="C363" s="3" t="n">
        <v>1</v>
      </c>
      <c r="D363" s="3" t="n">
        <v>11</v>
      </c>
      <c r="E363" s="3" t="n">
        <v>11</v>
      </c>
      <c r="F363" s="24" t="n">
        <v>0</v>
      </c>
    </row>
    <row r="364" customFormat="false" ht="15" hidden="false" customHeight="false" outlineLevel="0" collapsed="false">
      <c r="A364" s="3" t="n">
        <v>363</v>
      </c>
      <c r="B364" s="3" t="n">
        <v>362</v>
      </c>
      <c r="C364" s="3" t="n">
        <v>1</v>
      </c>
      <c r="D364" s="3" t="n">
        <v>11</v>
      </c>
      <c r="E364" s="3" t="n">
        <v>12</v>
      </c>
      <c r="F364" s="24" t="n">
        <v>0</v>
      </c>
    </row>
    <row r="365" customFormat="false" ht="15" hidden="false" customHeight="false" outlineLevel="0" collapsed="false">
      <c r="A365" s="3" t="n">
        <v>364</v>
      </c>
      <c r="B365" s="3" t="n">
        <v>363</v>
      </c>
      <c r="C365" s="3" t="n">
        <v>1</v>
      </c>
      <c r="D365" s="3" t="n">
        <v>11</v>
      </c>
      <c r="E365" s="3" t="n">
        <v>13</v>
      </c>
      <c r="F365" s="24" t="n">
        <v>0</v>
      </c>
    </row>
    <row r="366" customFormat="false" ht="15" hidden="false" customHeight="false" outlineLevel="0" collapsed="false">
      <c r="A366" s="3" t="n">
        <v>365</v>
      </c>
      <c r="B366" s="3" t="n">
        <v>364</v>
      </c>
      <c r="C366" s="3" t="n">
        <v>1</v>
      </c>
      <c r="D366" s="3" t="n">
        <v>12</v>
      </c>
      <c r="E366" s="3" t="n">
        <v>0</v>
      </c>
      <c r="F366" s="24" t="n">
        <v>0</v>
      </c>
    </row>
    <row r="367" customFormat="false" ht="15" hidden="false" customHeight="false" outlineLevel="0" collapsed="false">
      <c r="A367" s="3" t="n">
        <v>366</v>
      </c>
      <c r="B367" s="3" t="n">
        <v>365</v>
      </c>
      <c r="C367" s="3" t="n">
        <v>1</v>
      </c>
      <c r="D367" s="3" t="n">
        <v>12</v>
      </c>
      <c r="E367" s="3" t="n">
        <v>1</v>
      </c>
      <c r="F367" s="24" t="n">
        <v>0</v>
      </c>
    </row>
    <row r="368" customFormat="false" ht="15" hidden="false" customHeight="false" outlineLevel="0" collapsed="false">
      <c r="A368" s="3" t="n">
        <v>367</v>
      </c>
      <c r="B368" s="3" t="n">
        <v>366</v>
      </c>
      <c r="C368" s="3" t="n">
        <v>1</v>
      </c>
      <c r="D368" s="3" t="n">
        <v>12</v>
      </c>
      <c r="E368" s="3" t="n">
        <v>2</v>
      </c>
      <c r="F368" s="24" t="n">
        <v>0</v>
      </c>
    </row>
    <row r="369" customFormat="false" ht="15" hidden="false" customHeight="false" outlineLevel="0" collapsed="false">
      <c r="A369" s="3" t="n">
        <v>368</v>
      </c>
      <c r="B369" s="3" t="n">
        <v>367</v>
      </c>
      <c r="C369" s="3" t="n">
        <v>1</v>
      </c>
      <c r="D369" s="3" t="n">
        <v>12</v>
      </c>
      <c r="E369" s="3" t="n">
        <v>3</v>
      </c>
      <c r="F369" s="24" t="n">
        <v>0</v>
      </c>
    </row>
    <row r="370" customFormat="false" ht="15" hidden="false" customHeight="false" outlineLevel="0" collapsed="false">
      <c r="A370" s="3" t="n">
        <v>369</v>
      </c>
      <c r="B370" s="3" t="n">
        <v>368</v>
      </c>
      <c r="C370" s="3" t="n">
        <v>1</v>
      </c>
      <c r="D370" s="3" t="n">
        <v>12</v>
      </c>
      <c r="E370" s="3" t="n">
        <v>4</v>
      </c>
      <c r="F370" s="24" t="n">
        <v>3.03139067</v>
      </c>
    </row>
    <row r="371" customFormat="false" ht="15" hidden="false" customHeight="false" outlineLevel="0" collapsed="false">
      <c r="A371" s="3" t="n">
        <v>370</v>
      </c>
      <c r="B371" s="3" t="n">
        <v>369</v>
      </c>
      <c r="C371" s="3" t="n">
        <v>1</v>
      </c>
      <c r="D371" s="3" t="n">
        <v>12</v>
      </c>
      <c r="E371" s="3" t="n">
        <v>5</v>
      </c>
      <c r="F371" s="24" t="n">
        <v>3.37485957</v>
      </c>
    </row>
    <row r="372" customFormat="false" ht="15" hidden="false" customHeight="false" outlineLevel="0" collapsed="false">
      <c r="A372" s="3" t="n">
        <v>371</v>
      </c>
      <c r="B372" s="3" t="n">
        <v>370</v>
      </c>
      <c r="C372" s="3" t="n">
        <v>1</v>
      </c>
      <c r="D372" s="3" t="n">
        <v>12</v>
      </c>
      <c r="E372" s="3" t="n">
        <v>6</v>
      </c>
      <c r="F372" s="24" t="n">
        <v>0</v>
      </c>
    </row>
    <row r="373" customFormat="false" ht="15" hidden="false" customHeight="false" outlineLevel="0" collapsed="false">
      <c r="A373" s="3" t="n">
        <v>372</v>
      </c>
      <c r="B373" s="3" t="n">
        <v>371</v>
      </c>
      <c r="C373" s="3" t="n">
        <v>1</v>
      </c>
      <c r="D373" s="3" t="n">
        <v>12</v>
      </c>
      <c r="E373" s="3" t="n">
        <v>7</v>
      </c>
      <c r="F373" s="24" t="n">
        <v>0</v>
      </c>
    </row>
    <row r="374" customFormat="false" ht="15" hidden="false" customHeight="false" outlineLevel="0" collapsed="false">
      <c r="A374" s="3" t="n">
        <v>373</v>
      </c>
      <c r="B374" s="3" t="n">
        <v>372</v>
      </c>
      <c r="C374" s="3" t="n">
        <v>1</v>
      </c>
      <c r="D374" s="3" t="n">
        <v>12</v>
      </c>
      <c r="E374" s="3" t="n">
        <v>8</v>
      </c>
      <c r="F374" s="24" t="n">
        <v>0</v>
      </c>
    </row>
    <row r="375" customFormat="false" ht="15" hidden="false" customHeight="false" outlineLevel="0" collapsed="false">
      <c r="A375" s="3" t="n">
        <v>374</v>
      </c>
      <c r="B375" s="3" t="n">
        <v>373</v>
      </c>
      <c r="C375" s="3" t="n">
        <v>1</v>
      </c>
      <c r="D375" s="3" t="n">
        <v>12</v>
      </c>
      <c r="E375" s="3" t="n">
        <v>9</v>
      </c>
      <c r="F375" s="24" t="n">
        <v>0</v>
      </c>
    </row>
    <row r="376" customFormat="false" ht="15" hidden="false" customHeight="false" outlineLevel="0" collapsed="false">
      <c r="A376" s="3" t="n">
        <v>375</v>
      </c>
      <c r="B376" s="3" t="n">
        <v>374</v>
      </c>
      <c r="C376" s="3" t="n">
        <v>1</v>
      </c>
      <c r="D376" s="3" t="n">
        <v>12</v>
      </c>
      <c r="E376" s="3" t="n">
        <v>10</v>
      </c>
      <c r="F376" s="24" t="n">
        <v>0</v>
      </c>
    </row>
    <row r="377" customFormat="false" ht="15" hidden="false" customHeight="false" outlineLevel="0" collapsed="false">
      <c r="A377" s="3" t="n">
        <v>376</v>
      </c>
      <c r="B377" s="3" t="n">
        <v>375</v>
      </c>
      <c r="C377" s="3" t="n">
        <v>1</v>
      </c>
      <c r="D377" s="3" t="n">
        <v>12</v>
      </c>
      <c r="E377" s="3" t="n">
        <v>11</v>
      </c>
      <c r="F377" s="24" t="n">
        <v>0</v>
      </c>
    </row>
    <row r="378" customFormat="false" ht="15" hidden="false" customHeight="false" outlineLevel="0" collapsed="false">
      <c r="A378" s="3" t="n">
        <v>377</v>
      </c>
      <c r="B378" s="3" t="n">
        <v>376</v>
      </c>
      <c r="C378" s="3" t="n">
        <v>1</v>
      </c>
      <c r="D378" s="3" t="n">
        <v>12</v>
      </c>
      <c r="E378" s="3" t="n">
        <v>12</v>
      </c>
      <c r="F378" s="24" t="n">
        <v>0</v>
      </c>
    </row>
    <row r="379" customFormat="false" ht="15" hidden="false" customHeight="false" outlineLevel="0" collapsed="false">
      <c r="A379" s="3" t="n">
        <v>378</v>
      </c>
      <c r="B379" s="3" t="n">
        <v>377</v>
      </c>
      <c r="C379" s="3" t="n">
        <v>1</v>
      </c>
      <c r="D379" s="3" t="n">
        <v>12</v>
      </c>
      <c r="E379" s="3" t="n">
        <v>13</v>
      </c>
      <c r="F379" s="24" t="n">
        <v>0</v>
      </c>
    </row>
    <row r="380" customFormat="false" ht="15" hidden="false" customHeight="false" outlineLevel="0" collapsed="false">
      <c r="A380" s="3" t="n">
        <v>379</v>
      </c>
      <c r="B380" s="3" t="n">
        <v>378</v>
      </c>
      <c r="C380" s="3" t="n">
        <v>1</v>
      </c>
      <c r="D380" s="3" t="n">
        <v>13</v>
      </c>
      <c r="E380" s="3" t="n">
        <v>0</v>
      </c>
      <c r="F380" s="24" t="n">
        <v>0</v>
      </c>
    </row>
    <row r="381" customFormat="false" ht="15" hidden="false" customHeight="false" outlineLevel="0" collapsed="false">
      <c r="A381" s="3" t="n">
        <v>380</v>
      </c>
      <c r="B381" s="3" t="n">
        <v>379</v>
      </c>
      <c r="C381" s="3" t="n">
        <v>1</v>
      </c>
      <c r="D381" s="3" t="n">
        <v>13</v>
      </c>
      <c r="E381" s="3" t="n">
        <v>1</v>
      </c>
      <c r="F381" s="24" t="n">
        <v>0</v>
      </c>
    </row>
    <row r="382" customFormat="false" ht="15" hidden="false" customHeight="false" outlineLevel="0" collapsed="false">
      <c r="A382" s="3" t="n">
        <v>381</v>
      </c>
      <c r="B382" s="3" t="n">
        <v>380</v>
      </c>
      <c r="C382" s="3" t="n">
        <v>1</v>
      </c>
      <c r="D382" s="3" t="n">
        <v>13</v>
      </c>
      <c r="E382" s="3" t="n">
        <v>2</v>
      </c>
      <c r="F382" s="24" t="n">
        <v>0</v>
      </c>
    </row>
    <row r="383" customFormat="false" ht="15" hidden="false" customHeight="false" outlineLevel="0" collapsed="false">
      <c r="A383" s="3" t="n">
        <v>382</v>
      </c>
      <c r="B383" s="3" t="n">
        <v>381</v>
      </c>
      <c r="C383" s="3" t="n">
        <v>1</v>
      </c>
      <c r="D383" s="3" t="n">
        <v>13</v>
      </c>
      <c r="E383" s="3" t="n">
        <v>3</v>
      </c>
      <c r="F383" s="24" t="n">
        <v>0.775209069</v>
      </c>
    </row>
    <row r="384" customFormat="false" ht="15" hidden="false" customHeight="false" outlineLevel="0" collapsed="false">
      <c r="A384" s="3" t="n">
        <v>383</v>
      </c>
      <c r="B384" s="3" t="n">
        <v>382</v>
      </c>
      <c r="C384" s="3" t="n">
        <v>1</v>
      </c>
      <c r="D384" s="3" t="n">
        <v>13</v>
      </c>
      <c r="E384" s="3" t="n">
        <v>4</v>
      </c>
      <c r="F384" s="24" t="n">
        <v>3.95338917</v>
      </c>
    </row>
    <row r="385" customFormat="false" ht="15" hidden="false" customHeight="false" outlineLevel="0" collapsed="false">
      <c r="A385" s="3" t="n">
        <v>384</v>
      </c>
      <c r="B385" s="3" t="n">
        <v>383</v>
      </c>
      <c r="C385" s="3" t="n">
        <v>1</v>
      </c>
      <c r="D385" s="3" t="n">
        <v>13</v>
      </c>
      <c r="E385" s="3" t="n">
        <v>5</v>
      </c>
      <c r="F385" s="24" t="n">
        <v>0</v>
      </c>
    </row>
    <row r="386" customFormat="false" ht="15" hidden="false" customHeight="false" outlineLevel="0" collapsed="false">
      <c r="A386" s="3" t="n">
        <v>385</v>
      </c>
      <c r="B386" s="3" t="n">
        <v>384</v>
      </c>
      <c r="C386" s="3" t="n">
        <v>1</v>
      </c>
      <c r="D386" s="3" t="n">
        <v>13</v>
      </c>
      <c r="E386" s="3" t="n">
        <v>6</v>
      </c>
      <c r="F386" s="24" t="n">
        <v>0</v>
      </c>
    </row>
    <row r="387" customFormat="false" ht="15" hidden="false" customHeight="false" outlineLevel="0" collapsed="false">
      <c r="A387" s="3" t="n">
        <v>386</v>
      </c>
      <c r="B387" s="3" t="n">
        <v>385</v>
      </c>
      <c r="C387" s="3" t="n">
        <v>1</v>
      </c>
      <c r="D387" s="3" t="n">
        <v>13</v>
      </c>
      <c r="E387" s="3" t="n">
        <v>7</v>
      </c>
      <c r="F387" s="24" t="n">
        <v>0</v>
      </c>
    </row>
    <row r="388" customFormat="false" ht="15" hidden="false" customHeight="false" outlineLevel="0" collapsed="false">
      <c r="A388" s="3" t="n">
        <v>387</v>
      </c>
      <c r="B388" s="3" t="n">
        <v>386</v>
      </c>
      <c r="C388" s="3" t="n">
        <v>1</v>
      </c>
      <c r="D388" s="3" t="n">
        <v>13</v>
      </c>
      <c r="E388" s="3" t="n">
        <v>8</v>
      </c>
      <c r="F388" s="24" t="n">
        <v>0</v>
      </c>
    </row>
    <row r="389" customFormat="false" ht="15" hidden="false" customHeight="false" outlineLevel="0" collapsed="false">
      <c r="A389" s="3" t="n">
        <v>388</v>
      </c>
      <c r="B389" s="3" t="n">
        <v>387</v>
      </c>
      <c r="C389" s="3" t="n">
        <v>1</v>
      </c>
      <c r="D389" s="3" t="n">
        <v>13</v>
      </c>
      <c r="E389" s="3" t="n">
        <v>9</v>
      </c>
      <c r="F389" s="24" t="n">
        <v>0</v>
      </c>
    </row>
    <row r="390" customFormat="false" ht="15" hidden="false" customHeight="false" outlineLevel="0" collapsed="false">
      <c r="A390" s="3" t="n">
        <v>389</v>
      </c>
      <c r="B390" s="3" t="n">
        <v>388</v>
      </c>
      <c r="C390" s="3" t="n">
        <v>1</v>
      </c>
      <c r="D390" s="3" t="n">
        <v>13</v>
      </c>
      <c r="E390" s="3" t="n">
        <v>10</v>
      </c>
      <c r="F390" s="24" t="n">
        <v>0</v>
      </c>
    </row>
    <row r="391" customFormat="false" ht="15" hidden="false" customHeight="false" outlineLevel="0" collapsed="false">
      <c r="A391" s="3" t="n">
        <v>390</v>
      </c>
      <c r="B391" s="3" t="n">
        <v>389</v>
      </c>
      <c r="C391" s="3" t="n">
        <v>1</v>
      </c>
      <c r="D391" s="3" t="n">
        <v>13</v>
      </c>
      <c r="E391" s="3" t="n">
        <v>11</v>
      </c>
      <c r="F391" s="24" t="n">
        <v>0</v>
      </c>
    </row>
    <row r="392" customFormat="false" ht="15" hidden="false" customHeight="false" outlineLevel="0" collapsed="false">
      <c r="A392" s="3" t="n">
        <v>391</v>
      </c>
      <c r="B392" s="3" t="n">
        <v>390</v>
      </c>
      <c r="C392" s="3" t="n">
        <v>1</v>
      </c>
      <c r="D392" s="3" t="n">
        <v>13</v>
      </c>
      <c r="E392" s="3" t="n">
        <v>12</v>
      </c>
      <c r="F392" s="24" t="n">
        <v>0.0492724627</v>
      </c>
    </row>
    <row r="393" customFormat="false" ht="15" hidden="false" customHeight="false" outlineLevel="0" collapsed="false">
      <c r="A393" s="3" t="n">
        <v>392</v>
      </c>
      <c r="B393" s="3" t="n">
        <v>391</v>
      </c>
      <c r="C393" s="3" t="n">
        <v>1</v>
      </c>
      <c r="D393" s="3" t="n">
        <v>13</v>
      </c>
      <c r="E393" s="3" t="n">
        <v>13</v>
      </c>
      <c r="F393" s="24" t="n">
        <v>0</v>
      </c>
    </row>
    <row r="394" customFormat="false" ht="15" hidden="false" customHeight="false" outlineLevel="0" collapsed="false">
      <c r="A394" s="3" t="n">
        <v>393</v>
      </c>
      <c r="B394" s="3" t="n">
        <v>392</v>
      </c>
      <c r="C394" s="3" t="n">
        <v>2</v>
      </c>
      <c r="D394" s="3" t="n">
        <v>0</v>
      </c>
      <c r="E394" s="3" t="n">
        <v>0</v>
      </c>
      <c r="F394" s="24" t="n">
        <v>1.15854084</v>
      </c>
    </row>
    <row r="395" customFormat="false" ht="15" hidden="false" customHeight="false" outlineLevel="0" collapsed="false">
      <c r="A395" s="3" t="n">
        <v>394</v>
      </c>
      <c r="B395" s="3" t="n">
        <v>393</v>
      </c>
      <c r="C395" s="3" t="n">
        <v>2</v>
      </c>
      <c r="D395" s="3" t="n">
        <v>0</v>
      </c>
      <c r="E395" s="3" t="n">
        <v>1</v>
      </c>
      <c r="F395" s="24" t="n">
        <v>1.2016834</v>
      </c>
    </row>
    <row r="396" customFormat="false" ht="15" hidden="false" customHeight="false" outlineLevel="0" collapsed="false">
      <c r="A396" s="3" t="n">
        <v>395</v>
      </c>
      <c r="B396" s="3" t="n">
        <v>394</v>
      </c>
      <c r="C396" s="3" t="n">
        <v>2</v>
      </c>
      <c r="D396" s="3" t="n">
        <v>0</v>
      </c>
      <c r="E396" s="3" t="n">
        <v>2</v>
      </c>
      <c r="F396" s="24" t="n">
        <v>1.4698441</v>
      </c>
    </row>
    <row r="397" customFormat="false" ht="15" hidden="false" customHeight="false" outlineLevel="0" collapsed="false">
      <c r="A397" s="3" t="n">
        <v>396</v>
      </c>
      <c r="B397" s="3" t="n">
        <v>395</v>
      </c>
      <c r="C397" s="3" t="n">
        <v>2</v>
      </c>
      <c r="D397" s="3" t="n">
        <v>0</v>
      </c>
      <c r="E397" s="3" t="n">
        <v>3</v>
      </c>
      <c r="F397" s="24" t="n">
        <v>1.4698441</v>
      </c>
    </row>
    <row r="398" customFormat="false" ht="15" hidden="false" customHeight="false" outlineLevel="0" collapsed="false">
      <c r="A398" s="3" t="n">
        <v>397</v>
      </c>
      <c r="B398" s="3" t="n">
        <v>396</v>
      </c>
      <c r="C398" s="3" t="n">
        <v>2</v>
      </c>
      <c r="D398" s="3" t="n">
        <v>0</v>
      </c>
      <c r="E398" s="3" t="n">
        <v>4</v>
      </c>
      <c r="F398" s="24" t="n">
        <v>1.4698441</v>
      </c>
    </row>
    <row r="399" customFormat="false" ht="15" hidden="false" customHeight="false" outlineLevel="0" collapsed="false">
      <c r="A399" s="3" t="n">
        <v>398</v>
      </c>
      <c r="B399" s="3" t="n">
        <v>397</v>
      </c>
      <c r="C399" s="3" t="n">
        <v>2</v>
      </c>
      <c r="D399" s="3" t="n">
        <v>0</v>
      </c>
      <c r="E399" s="3" t="n">
        <v>5</v>
      </c>
      <c r="F399" s="24" t="n">
        <v>1.4698441</v>
      </c>
    </row>
    <row r="400" customFormat="false" ht="15" hidden="false" customHeight="false" outlineLevel="0" collapsed="false">
      <c r="A400" s="3" t="n">
        <v>399</v>
      </c>
      <c r="B400" s="3" t="n">
        <v>398</v>
      </c>
      <c r="C400" s="3" t="n">
        <v>2</v>
      </c>
      <c r="D400" s="3" t="n">
        <v>0</v>
      </c>
      <c r="E400" s="3" t="n">
        <v>6</v>
      </c>
      <c r="F400" s="24" t="n">
        <v>1.4698441</v>
      </c>
    </row>
    <row r="401" customFormat="false" ht="15" hidden="false" customHeight="false" outlineLevel="0" collapsed="false">
      <c r="A401" s="3" t="n">
        <v>400</v>
      </c>
      <c r="B401" s="3" t="n">
        <v>399</v>
      </c>
      <c r="C401" s="3" t="n">
        <v>2</v>
      </c>
      <c r="D401" s="3" t="n">
        <v>0</v>
      </c>
      <c r="E401" s="3" t="n">
        <v>7</v>
      </c>
      <c r="F401" s="24" t="n">
        <v>1.4698441</v>
      </c>
    </row>
    <row r="402" customFormat="false" ht="15" hidden="false" customHeight="false" outlineLevel="0" collapsed="false">
      <c r="A402" s="3" t="n">
        <v>401</v>
      </c>
      <c r="B402" s="3" t="n">
        <v>400</v>
      </c>
      <c r="C402" s="3" t="n">
        <v>2</v>
      </c>
      <c r="D402" s="3" t="n">
        <v>0</v>
      </c>
      <c r="E402" s="3" t="n">
        <v>8</v>
      </c>
      <c r="F402" s="24" t="n">
        <v>1.4698441</v>
      </c>
    </row>
    <row r="403" customFormat="false" ht="15" hidden="false" customHeight="false" outlineLevel="0" collapsed="false">
      <c r="A403" s="3" t="n">
        <v>402</v>
      </c>
      <c r="B403" s="3" t="n">
        <v>401</v>
      </c>
      <c r="C403" s="3" t="n">
        <v>2</v>
      </c>
      <c r="D403" s="3" t="n">
        <v>0</v>
      </c>
      <c r="E403" s="3" t="n">
        <v>9</v>
      </c>
      <c r="F403" s="24" t="n">
        <v>1.4698441</v>
      </c>
    </row>
    <row r="404" customFormat="false" ht="15" hidden="false" customHeight="false" outlineLevel="0" collapsed="false">
      <c r="A404" s="3" t="n">
        <v>403</v>
      </c>
      <c r="B404" s="3" t="n">
        <v>402</v>
      </c>
      <c r="C404" s="3" t="n">
        <v>2</v>
      </c>
      <c r="D404" s="3" t="n">
        <v>0</v>
      </c>
      <c r="E404" s="3" t="n">
        <v>10</v>
      </c>
      <c r="F404" s="24" t="n">
        <v>1.4698441</v>
      </c>
    </row>
    <row r="405" customFormat="false" ht="15" hidden="false" customHeight="false" outlineLevel="0" collapsed="false">
      <c r="A405" s="3" t="n">
        <v>404</v>
      </c>
      <c r="B405" s="3" t="n">
        <v>403</v>
      </c>
      <c r="C405" s="3" t="n">
        <v>2</v>
      </c>
      <c r="D405" s="3" t="n">
        <v>0</v>
      </c>
      <c r="E405" s="3" t="n">
        <v>11</v>
      </c>
      <c r="F405" s="24" t="n">
        <v>1.4698441</v>
      </c>
    </row>
    <row r="406" customFormat="false" ht="15" hidden="false" customHeight="false" outlineLevel="0" collapsed="false">
      <c r="A406" s="3" t="n">
        <v>405</v>
      </c>
      <c r="B406" s="3" t="n">
        <v>404</v>
      </c>
      <c r="C406" s="3" t="n">
        <v>2</v>
      </c>
      <c r="D406" s="3" t="n">
        <v>0</v>
      </c>
      <c r="E406" s="3" t="n">
        <v>12</v>
      </c>
      <c r="F406" s="24" t="n">
        <v>1.20705199</v>
      </c>
    </row>
    <row r="407" customFormat="false" ht="15" hidden="false" customHeight="false" outlineLevel="0" collapsed="false">
      <c r="A407" s="3" t="n">
        <v>406</v>
      </c>
      <c r="B407" s="3" t="n">
        <v>405</v>
      </c>
      <c r="C407" s="3" t="n">
        <v>2</v>
      </c>
      <c r="D407" s="3" t="n">
        <v>0</v>
      </c>
      <c r="E407" s="3" t="n">
        <v>13</v>
      </c>
      <c r="F407" s="24" t="n">
        <v>0.697268009</v>
      </c>
    </row>
    <row r="408" customFormat="false" ht="15" hidden="false" customHeight="false" outlineLevel="0" collapsed="false">
      <c r="A408" s="3" t="n">
        <v>407</v>
      </c>
      <c r="B408" s="3" t="n">
        <v>406</v>
      </c>
      <c r="C408" s="3" t="n">
        <v>2</v>
      </c>
      <c r="D408" s="3" t="n">
        <v>1</v>
      </c>
      <c r="E408" s="3" t="n">
        <v>0</v>
      </c>
      <c r="F408" s="24" t="n">
        <v>0.575945139</v>
      </c>
    </row>
    <row r="409" customFormat="false" ht="15" hidden="false" customHeight="false" outlineLevel="0" collapsed="false">
      <c r="A409" s="3" t="n">
        <v>408</v>
      </c>
      <c r="B409" s="3" t="n">
        <v>407</v>
      </c>
      <c r="C409" s="3" t="n">
        <v>2</v>
      </c>
      <c r="D409" s="3" t="n">
        <v>1</v>
      </c>
      <c r="E409" s="3" t="n">
        <v>1</v>
      </c>
      <c r="F409" s="24" t="n">
        <v>0.49109441</v>
      </c>
    </row>
    <row r="410" customFormat="false" ht="15" hidden="false" customHeight="false" outlineLevel="0" collapsed="false">
      <c r="A410" s="3" t="n">
        <v>409</v>
      </c>
      <c r="B410" s="3" t="n">
        <v>408</v>
      </c>
      <c r="C410" s="3" t="n">
        <v>2</v>
      </c>
      <c r="D410" s="3" t="n">
        <v>1</v>
      </c>
      <c r="E410" s="3" t="n">
        <v>2</v>
      </c>
      <c r="F410" s="24" t="n">
        <v>0.627092481</v>
      </c>
    </row>
    <row r="411" customFormat="false" ht="15" hidden="false" customHeight="false" outlineLevel="0" collapsed="false">
      <c r="A411" s="3" t="n">
        <v>410</v>
      </c>
      <c r="B411" s="3" t="n">
        <v>409</v>
      </c>
      <c r="C411" s="3" t="n">
        <v>2</v>
      </c>
      <c r="D411" s="3" t="n">
        <v>1</v>
      </c>
      <c r="E411" s="3" t="n">
        <v>3</v>
      </c>
      <c r="F411" s="24" t="n">
        <v>0.627092481</v>
      </c>
    </row>
    <row r="412" customFormat="false" ht="15" hidden="false" customHeight="false" outlineLevel="0" collapsed="false">
      <c r="A412" s="3" t="n">
        <v>411</v>
      </c>
      <c r="B412" s="3" t="n">
        <v>410</v>
      </c>
      <c r="C412" s="3" t="n">
        <v>2</v>
      </c>
      <c r="D412" s="3" t="n">
        <v>1</v>
      </c>
      <c r="E412" s="3" t="n">
        <v>4</v>
      </c>
      <c r="F412" s="24" t="n">
        <v>0.627092481</v>
      </c>
    </row>
    <row r="413" customFormat="false" ht="15" hidden="false" customHeight="false" outlineLevel="0" collapsed="false">
      <c r="A413" s="3" t="n">
        <v>412</v>
      </c>
      <c r="B413" s="3" t="n">
        <v>411</v>
      </c>
      <c r="C413" s="3" t="n">
        <v>2</v>
      </c>
      <c r="D413" s="3" t="n">
        <v>1</v>
      </c>
      <c r="E413" s="3" t="n">
        <v>5</v>
      </c>
      <c r="F413" s="24" t="n">
        <v>0.627092481</v>
      </c>
    </row>
    <row r="414" customFormat="false" ht="15" hidden="false" customHeight="false" outlineLevel="0" collapsed="false">
      <c r="A414" s="3" t="n">
        <v>413</v>
      </c>
      <c r="B414" s="3" t="n">
        <v>412</v>
      </c>
      <c r="C414" s="3" t="n">
        <v>2</v>
      </c>
      <c r="D414" s="3" t="n">
        <v>1</v>
      </c>
      <c r="E414" s="3" t="n">
        <v>6</v>
      </c>
      <c r="F414" s="24" t="n">
        <v>0.627092481</v>
      </c>
    </row>
    <row r="415" customFormat="false" ht="15" hidden="false" customHeight="false" outlineLevel="0" collapsed="false">
      <c r="A415" s="3" t="n">
        <v>414</v>
      </c>
      <c r="B415" s="3" t="n">
        <v>413</v>
      </c>
      <c r="C415" s="3" t="n">
        <v>2</v>
      </c>
      <c r="D415" s="3" t="n">
        <v>1</v>
      </c>
      <c r="E415" s="3" t="n">
        <v>7</v>
      </c>
      <c r="F415" s="24" t="n">
        <v>0.627092481</v>
      </c>
    </row>
    <row r="416" customFormat="false" ht="15" hidden="false" customHeight="false" outlineLevel="0" collapsed="false">
      <c r="A416" s="3" t="n">
        <v>415</v>
      </c>
      <c r="B416" s="3" t="n">
        <v>414</v>
      </c>
      <c r="C416" s="3" t="n">
        <v>2</v>
      </c>
      <c r="D416" s="3" t="n">
        <v>1</v>
      </c>
      <c r="E416" s="3" t="n">
        <v>8</v>
      </c>
      <c r="F416" s="24" t="n">
        <v>0.627092481</v>
      </c>
    </row>
    <row r="417" customFormat="false" ht="15" hidden="false" customHeight="false" outlineLevel="0" collapsed="false">
      <c r="A417" s="3" t="n">
        <v>416</v>
      </c>
      <c r="B417" s="3" t="n">
        <v>415</v>
      </c>
      <c r="C417" s="3" t="n">
        <v>2</v>
      </c>
      <c r="D417" s="3" t="n">
        <v>1</v>
      </c>
      <c r="E417" s="3" t="n">
        <v>9</v>
      </c>
      <c r="F417" s="24" t="n">
        <v>0.627092481</v>
      </c>
    </row>
    <row r="418" customFormat="false" ht="15" hidden="false" customHeight="false" outlineLevel="0" collapsed="false">
      <c r="A418" s="3" t="n">
        <v>417</v>
      </c>
      <c r="B418" s="3" t="n">
        <v>416</v>
      </c>
      <c r="C418" s="3" t="n">
        <v>2</v>
      </c>
      <c r="D418" s="3" t="n">
        <v>1</v>
      </c>
      <c r="E418" s="3" t="n">
        <v>10</v>
      </c>
      <c r="F418" s="24" t="n">
        <v>0.627092481</v>
      </c>
    </row>
    <row r="419" customFormat="false" ht="15" hidden="false" customHeight="false" outlineLevel="0" collapsed="false">
      <c r="A419" s="3" t="n">
        <v>418</v>
      </c>
      <c r="B419" s="3" t="n">
        <v>417</v>
      </c>
      <c r="C419" s="3" t="n">
        <v>2</v>
      </c>
      <c r="D419" s="3" t="n">
        <v>1</v>
      </c>
      <c r="E419" s="3" t="n">
        <v>11</v>
      </c>
      <c r="F419" s="24" t="n">
        <v>0.627092481</v>
      </c>
    </row>
    <row r="420" customFormat="false" ht="15" hidden="false" customHeight="false" outlineLevel="0" collapsed="false">
      <c r="A420" s="3" t="n">
        <v>419</v>
      </c>
      <c r="B420" s="3" t="n">
        <v>418</v>
      </c>
      <c r="C420" s="3" t="n">
        <v>2</v>
      </c>
      <c r="D420" s="3" t="n">
        <v>1</v>
      </c>
      <c r="E420" s="3" t="n">
        <v>12</v>
      </c>
      <c r="F420" s="24" t="n">
        <v>0.397241712</v>
      </c>
    </row>
    <row r="421" customFormat="false" ht="15" hidden="false" customHeight="false" outlineLevel="0" collapsed="false">
      <c r="A421" s="3" t="n">
        <v>420</v>
      </c>
      <c r="B421" s="3" t="n">
        <v>419</v>
      </c>
      <c r="C421" s="3" t="n">
        <v>2</v>
      </c>
      <c r="D421" s="3" t="n">
        <v>1</v>
      </c>
      <c r="E421" s="3" t="n">
        <v>13</v>
      </c>
      <c r="F421" s="24" t="n">
        <v>0.178861186</v>
      </c>
    </row>
    <row r="422" customFormat="false" ht="15" hidden="false" customHeight="false" outlineLevel="0" collapsed="false">
      <c r="A422" s="3" t="n">
        <v>421</v>
      </c>
      <c r="B422" s="3" t="n">
        <v>420</v>
      </c>
      <c r="C422" s="3" t="n">
        <v>2</v>
      </c>
      <c r="D422" s="3" t="n">
        <v>2</v>
      </c>
      <c r="E422" s="3" t="n">
        <v>0</v>
      </c>
      <c r="F422" s="24" t="n">
        <v>0.587804258</v>
      </c>
    </row>
    <row r="423" customFormat="false" ht="15" hidden="false" customHeight="false" outlineLevel="0" collapsed="false">
      <c r="A423" s="3" t="n">
        <v>422</v>
      </c>
      <c r="B423" s="3" t="n">
        <v>421</v>
      </c>
      <c r="C423" s="3" t="n">
        <v>2</v>
      </c>
      <c r="D423" s="3" t="n">
        <v>2</v>
      </c>
      <c r="E423" s="3" t="n">
        <v>1</v>
      </c>
      <c r="F423" s="24" t="n">
        <v>0.486765444</v>
      </c>
    </row>
    <row r="424" customFormat="false" ht="15" hidden="false" customHeight="false" outlineLevel="0" collapsed="false">
      <c r="A424" s="3" t="n">
        <v>423</v>
      </c>
      <c r="B424" s="3" t="n">
        <v>422</v>
      </c>
      <c r="C424" s="3" t="n">
        <v>2</v>
      </c>
      <c r="D424" s="3" t="n">
        <v>2</v>
      </c>
      <c r="E424" s="3" t="n">
        <v>2</v>
      </c>
      <c r="F424" s="24" t="n">
        <v>2.0405457</v>
      </c>
    </row>
    <row r="425" customFormat="false" ht="15" hidden="false" customHeight="false" outlineLevel="0" collapsed="false">
      <c r="A425" s="3" t="n">
        <v>424</v>
      </c>
      <c r="B425" s="3" t="n">
        <v>423</v>
      </c>
      <c r="C425" s="3" t="n">
        <v>2</v>
      </c>
      <c r="D425" s="3" t="n">
        <v>2</v>
      </c>
      <c r="E425" s="3" t="n">
        <v>3</v>
      </c>
      <c r="F425" s="24" t="n">
        <v>4.22180939</v>
      </c>
    </row>
    <row r="426" customFormat="false" ht="15" hidden="false" customHeight="false" outlineLevel="0" collapsed="false">
      <c r="A426" s="3" t="n">
        <v>425</v>
      </c>
      <c r="B426" s="3" t="n">
        <v>424</v>
      </c>
      <c r="C426" s="3" t="n">
        <v>2</v>
      </c>
      <c r="D426" s="3" t="n">
        <v>2</v>
      </c>
      <c r="E426" s="3" t="n">
        <v>4</v>
      </c>
      <c r="F426" s="24" t="n">
        <v>3.22038651</v>
      </c>
    </row>
    <row r="427" customFormat="false" ht="15" hidden="false" customHeight="false" outlineLevel="0" collapsed="false">
      <c r="A427" s="3" t="n">
        <v>426</v>
      </c>
      <c r="B427" s="3" t="n">
        <v>425</v>
      </c>
      <c r="C427" s="3" t="n">
        <v>2</v>
      </c>
      <c r="D427" s="3" t="n">
        <v>2</v>
      </c>
      <c r="E427" s="3" t="n">
        <v>5</v>
      </c>
      <c r="F427" s="24" t="n">
        <v>2.33569193</v>
      </c>
    </row>
    <row r="428" customFormat="false" ht="15" hidden="false" customHeight="false" outlineLevel="0" collapsed="false">
      <c r="A428" s="3" t="n">
        <v>427</v>
      </c>
      <c r="B428" s="3" t="n">
        <v>426</v>
      </c>
      <c r="C428" s="3" t="n">
        <v>2</v>
      </c>
      <c r="D428" s="3" t="n">
        <v>2</v>
      </c>
      <c r="E428" s="3" t="n">
        <v>6</v>
      </c>
      <c r="F428" s="24" t="n">
        <v>1.88665271</v>
      </c>
    </row>
    <row r="429" customFormat="false" ht="15" hidden="false" customHeight="false" outlineLevel="0" collapsed="false">
      <c r="A429" s="3" t="n">
        <v>428</v>
      </c>
      <c r="B429" s="3" t="n">
        <v>427</v>
      </c>
      <c r="C429" s="3" t="n">
        <v>2</v>
      </c>
      <c r="D429" s="3" t="n">
        <v>2</v>
      </c>
      <c r="E429" s="3" t="n">
        <v>7</v>
      </c>
      <c r="F429" s="24" t="n">
        <v>2.26063871</v>
      </c>
    </row>
    <row r="430" customFormat="false" ht="15" hidden="false" customHeight="false" outlineLevel="0" collapsed="false">
      <c r="A430" s="3" t="n">
        <v>429</v>
      </c>
      <c r="B430" s="3" t="n">
        <v>428</v>
      </c>
      <c r="C430" s="3" t="n">
        <v>2</v>
      </c>
      <c r="D430" s="3" t="n">
        <v>2</v>
      </c>
      <c r="E430" s="3" t="n">
        <v>8</v>
      </c>
      <c r="F430" s="24" t="n">
        <v>2.29182053</v>
      </c>
    </row>
    <row r="431" customFormat="false" ht="15" hidden="false" customHeight="false" outlineLevel="0" collapsed="false">
      <c r="A431" s="3" t="n">
        <v>430</v>
      </c>
      <c r="B431" s="3" t="n">
        <v>429</v>
      </c>
      <c r="C431" s="3" t="n">
        <v>2</v>
      </c>
      <c r="D431" s="3" t="n">
        <v>2</v>
      </c>
      <c r="E431" s="3" t="n">
        <v>9</v>
      </c>
      <c r="F431" s="24" t="n">
        <v>1.97974467</v>
      </c>
    </row>
    <row r="432" customFormat="false" ht="15" hidden="false" customHeight="false" outlineLevel="0" collapsed="false">
      <c r="A432" s="3" t="n">
        <v>431</v>
      </c>
      <c r="B432" s="3" t="n">
        <v>430</v>
      </c>
      <c r="C432" s="3" t="n">
        <v>2</v>
      </c>
      <c r="D432" s="3" t="n">
        <v>2</v>
      </c>
      <c r="E432" s="3" t="n">
        <v>10</v>
      </c>
      <c r="F432" s="24" t="n">
        <v>0.901531637</v>
      </c>
    </row>
    <row r="433" customFormat="false" ht="15" hidden="false" customHeight="false" outlineLevel="0" collapsed="false">
      <c r="A433" s="3" t="n">
        <v>432</v>
      </c>
      <c r="B433" s="3" t="n">
        <v>431</v>
      </c>
      <c r="C433" s="3" t="n">
        <v>2</v>
      </c>
      <c r="D433" s="3" t="n">
        <v>2</v>
      </c>
      <c r="E433" s="3" t="n">
        <v>11</v>
      </c>
      <c r="F433" s="24" t="n">
        <v>0.132043779</v>
      </c>
    </row>
    <row r="434" customFormat="false" ht="15" hidden="false" customHeight="false" outlineLevel="0" collapsed="false">
      <c r="A434" s="3" t="n">
        <v>433</v>
      </c>
      <c r="B434" s="3" t="n">
        <v>432</v>
      </c>
      <c r="C434" s="3" t="n">
        <v>2</v>
      </c>
      <c r="D434" s="3" t="n">
        <v>2</v>
      </c>
      <c r="E434" s="3" t="n">
        <v>12</v>
      </c>
      <c r="F434" s="24" t="n">
        <v>0.37193346</v>
      </c>
    </row>
    <row r="435" customFormat="false" ht="15" hidden="false" customHeight="false" outlineLevel="0" collapsed="false">
      <c r="A435" s="3" t="n">
        <v>434</v>
      </c>
      <c r="B435" s="3" t="n">
        <v>433</v>
      </c>
      <c r="C435" s="3" t="n">
        <v>2</v>
      </c>
      <c r="D435" s="3" t="n">
        <v>2</v>
      </c>
      <c r="E435" s="3" t="n">
        <v>13</v>
      </c>
      <c r="F435" s="24" t="n">
        <v>0.191397607</v>
      </c>
    </row>
    <row r="436" customFormat="false" ht="15" hidden="false" customHeight="false" outlineLevel="0" collapsed="false">
      <c r="A436" s="3" t="n">
        <v>435</v>
      </c>
      <c r="B436" s="3" t="n">
        <v>434</v>
      </c>
      <c r="C436" s="3" t="n">
        <v>2</v>
      </c>
      <c r="D436" s="3" t="n">
        <v>3</v>
      </c>
      <c r="E436" s="3" t="n">
        <v>0</v>
      </c>
      <c r="F436" s="24" t="n">
        <v>0.587804258</v>
      </c>
    </row>
    <row r="437" customFormat="false" ht="15" hidden="false" customHeight="false" outlineLevel="0" collapsed="false">
      <c r="A437" s="3" t="n">
        <v>436</v>
      </c>
      <c r="B437" s="3" t="n">
        <v>435</v>
      </c>
      <c r="C437" s="3" t="n">
        <v>2</v>
      </c>
      <c r="D437" s="3" t="n">
        <v>3</v>
      </c>
      <c r="E437" s="3" t="n">
        <v>1</v>
      </c>
      <c r="F437" s="24" t="n">
        <v>0</v>
      </c>
    </row>
    <row r="438" customFormat="false" ht="15" hidden="false" customHeight="false" outlineLevel="0" collapsed="false">
      <c r="A438" s="3" t="n">
        <v>437</v>
      </c>
      <c r="B438" s="3" t="n">
        <v>436</v>
      </c>
      <c r="C438" s="3" t="n">
        <v>2</v>
      </c>
      <c r="D438" s="3" t="n">
        <v>3</v>
      </c>
      <c r="E438" s="3" t="n">
        <v>2</v>
      </c>
      <c r="F438" s="24" t="n">
        <v>0</v>
      </c>
    </row>
    <row r="439" customFormat="false" ht="15" hidden="false" customHeight="false" outlineLevel="0" collapsed="false">
      <c r="A439" s="3" t="n">
        <v>438</v>
      </c>
      <c r="B439" s="3" t="n">
        <v>437</v>
      </c>
      <c r="C439" s="3" t="n">
        <v>2</v>
      </c>
      <c r="D439" s="3" t="n">
        <v>3</v>
      </c>
      <c r="E439" s="3" t="n">
        <v>3</v>
      </c>
      <c r="F439" s="24" t="n">
        <v>0</v>
      </c>
    </row>
    <row r="440" customFormat="false" ht="15" hidden="false" customHeight="false" outlineLevel="0" collapsed="false">
      <c r="A440" s="3" t="n">
        <v>439</v>
      </c>
      <c r="B440" s="3" t="n">
        <v>438</v>
      </c>
      <c r="C440" s="3" t="n">
        <v>2</v>
      </c>
      <c r="D440" s="3" t="n">
        <v>3</v>
      </c>
      <c r="E440" s="3" t="n">
        <v>4</v>
      </c>
      <c r="F440" s="24" t="n">
        <v>0</v>
      </c>
    </row>
    <row r="441" customFormat="false" ht="15" hidden="false" customHeight="false" outlineLevel="0" collapsed="false">
      <c r="A441" s="3" t="n">
        <v>440</v>
      </c>
      <c r="B441" s="3" t="n">
        <v>439</v>
      </c>
      <c r="C441" s="3" t="n">
        <v>2</v>
      </c>
      <c r="D441" s="3" t="n">
        <v>3</v>
      </c>
      <c r="E441" s="3" t="n">
        <v>5</v>
      </c>
      <c r="F441" s="24" t="n">
        <v>0</v>
      </c>
    </row>
    <row r="442" customFormat="false" ht="15" hidden="false" customHeight="false" outlineLevel="0" collapsed="false">
      <c r="A442" s="3" t="n">
        <v>441</v>
      </c>
      <c r="B442" s="3" t="n">
        <v>440</v>
      </c>
      <c r="C442" s="3" t="n">
        <v>2</v>
      </c>
      <c r="D442" s="3" t="n">
        <v>3</v>
      </c>
      <c r="E442" s="3" t="n">
        <v>6</v>
      </c>
      <c r="F442" s="24" t="n">
        <v>0</v>
      </c>
    </row>
    <row r="443" customFormat="false" ht="15" hidden="false" customHeight="false" outlineLevel="0" collapsed="false">
      <c r="A443" s="3" t="n">
        <v>442</v>
      </c>
      <c r="B443" s="3" t="n">
        <v>441</v>
      </c>
      <c r="C443" s="3" t="n">
        <v>2</v>
      </c>
      <c r="D443" s="3" t="n">
        <v>3</v>
      </c>
      <c r="E443" s="3" t="n">
        <v>7</v>
      </c>
      <c r="F443" s="24" t="n">
        <v>0</v>
      </c>
    </row>
    <row r="444" customFormat="false" ht="15" hidden="false" customHeight="false" outlineLevel="0" collapsed="false">
      <c r="A444" s="3" t="n">
        <v>443</v>
      </c>
      <c r="B444" s="3" t="n">
        <v>442</v>
      </c>
      <c r="C444" s="3" t="n">
        <v>2</v>
      </c>
      <c r="D444" s="3" t="n">
        <v>3</v>
      </c>
      <c r="E444" s="3" t="n">
        <v>8</v>
      </c>
      <c r="F444" s="24" t="n">
        <v>0</v>
      </c>
    </row>
    <row r="445" customFormat="false" ht="15" hidden="false" customHeight="false" outlineLevel="0" collapsed="false">
      <c r="A445" s="3" t="n">
        <v>444</v>
      </c>
      <c r="B445" s="3" t="n">
        <v>443</v>
      </c>
      <c r="C445" s="3" t="n">
        <v>2</v>
      </c>
      <c r="D445" s="3" t="n">
        <v>3</v>
      </c>
      <c r="E445" s="3" t="n">
        <v>9</v>
      </c>
      <c r="F445" s="24" t="n">
        <v>0</v>
      </c>
    </row>
    <row r="446" customFormat="false" ht="15" hidden="false" customHeight="false" outlineLevel="0" collapsed="false">
      <c r="A446" s="3" t="n">
        <v>445</v>
      </c>
      <c r="B446" s="3" t="n">
        <v>444</v>
      </c>
      <c r="C446" s="3" t="n">
        <v>2</v>
      </c>
      <c r="D446" s="3" t="n">
        <v>3</v>
      </c>
      <c r="E446" s="3" t="n">
        <v>10</v>
      </c>
      <c r="F446" s="24" t="n">
        <v>0</v>
      </c>
    </row>
    <row r="447" customFormat="false" ht="15" hidden="false" customHeight="false" outlineLevel="0" collapsed="false">
      <c r="A447" s="3" t="n">
        <v>446</v>
      </c>
      <c r="B447" s="3" t="n">
        <v>445</v>
      </c>
      <c r="C447" s="3" t="n">
        <v>2</v>
      </c>
      <c r="D447" s="3" t="n">
        <v>3</v>
      </c>
      <c r="E447" s="3" t="n">
        <v>11</v>
      </c>
      <c r="F447" s="24" t="n">
        <v>0</v>
      </c>
    </row>
    <row r="448" customFormat="false" ht="15" hidden="false" customHeight="false" outlineLevel="0" collapsed="false">
      <c r="A448" s="3" t="n">
        <v>447</v>
      </c>
      <c r="B448" s="3" t="n">
        <v>446</v>
      </c>
      <c r="C448" s="3" t="n">
        <v>2</v>
      </c>
      <c r="D448" s="3" t="n">
        <v>3</v>
      </c>
      <c r="E448" s="3" t="n">
        <v>12</v>
      </c>
      <c r="F448" s="24" t="n">
        <v>0</v>
      </c>
    </row>
    <row r="449" customFormat="false" ht="15" hidden="false" customHeight="false" outlineLevel="0" collapsed="false">
      <c r="A449" s="3" t="n">
        <v>448</v>
      </c>
      <c r="B449" s="3" t="n">
        <v>447</v>
      </c>
      <c r="C449" s="3" t="n">
        <v>2</v>
      </c>
      <c r="D449" s="3" t="n">
        <v>3</v>
      </c>
      <c r="E449" s="3" t="n">
        <v>13</v>
      </c>
      <c r="F449" s="24" t="n">
        <v>0.191397607</v>
      </c>
    </row>
    <row r="450" customFormat="false" ht="15" hidden="false" customHeight="false" outlineLevel="0" collapsed="false">
      <c r="A450" s="3" t="n">
        <v>449</v>
      </c>
      <c r="B450" s="3" t="n">
        <v>448</v>
      </c>
      <c r="C450" s="3" t="n">
        <v>2</v>
      </c>
      <c r="D450" s="3" t="n">
        <v>4</v>
      </c>
      <c r="E450" s="3" t="n">
        <v>0</v>
      </c>
      <c r="F450" s="24" t="n">
        <v>0.587804258</v>
      </c>
    </row>
    <row r="451" customFormat="false" ht="15" hidden="false" customHeight="false" outlineLevel="0" collapsed="false">
      <c r="A451" s="3" t="n">
        <v>450</v>
      </c>
      <c r="B451" s="3" t="n">
        <v>449</v>
      </c>
      <c r="C451" s="3" t="n">
        <v>2</v>
      </c>
      <c r="D451" s="3" t="n">
        <v>4</v>
      </c>
      <c r="E451" s="3" t="n">
        <v>1</v>
      </c>
      <c r="F451" s="24" t="n">
        <v>0</v>
      </c>
    </row>
    <row r="452" customFormat="false" ht="15" hidden="false" customHeight="false" outlineLevel="0" collapsed="false">
      <c r="A452" s="3" t="n">
        <v>451</v>
      </c>
      <c r="B452" s="3" t="n">
        <v>450</v>
      </c>
      <c r="C452" s="3" t="n">
        <v>2</v>
      </c>
      <c r="D452" s="3" t="n">
        <v>4</v>
      </c>
      <c r="E452" s="3" t="n">
        <v>2</v>
      </c>
      <c r="F452" s="24" t="n">
        <v>0.0435169563</v>
      </c>
    </row>
    <row r="453" customFormat="false" ht="15" hidden="false" customHeight="false" outlineLevel="0" collapsed="false">
      <c r="A453" s="3" t="n">
        <v>452</v>
      </c>
      <c r="B453" s="3" t="n">
        <v>451</v>
      </c>
      <c r="C453" s="3" t="n">
        <v>2</v>
      </c>
      <c r="D453" s="3" t="n">
        <v>4</v>
      </c>
      <c r="E453" s="3" t="n">
        <v>3</v>
      </c>
      <c r="F453" s="24" t="n">
        <v>2.15303421</v>
      </c>
    </row>
    <row r="454" customFormat="false" ht="15" hidden="false" customHeight="false" outlineLevel="0" collapsed="false">
      <c r="A454" s="3" t="n">
        <v>453</v>
      </c>
      <c r="B454" s="3" t="n">
        <v>452</v>
      </c>
      <c r="C454" s="3" t="n">
        <v>2</v>
      </c>
      <c r="D454" s="3" t="n">
        <v>4</v>
      </c>
      <c r="E454" s="3" t="n">
        <v>4</v>
      </c>
      <c r="F454" s="24" t="n">
        <v>2.60464835</v>
      </c>
    </row>
    <row r="455" customFormat="false" ht="15" hidden="false" customHeight="false" outlineLevel="0" collapsed="false">
      <c r="A455" s="3" t="n">
        <v>454</v>
      </c>
      <c r="B455" s="3" t="n">
        <v>453</v>
      </c>
      <c r="C455" s="3" t="n">
        <v>2</v>
      </c>
      <c r="D455" s="3" t="n">
        <v>4</v>
      </c>
      <c r="E455" s="3" t="n">
        <v>5</v>
      </c>
      <c r="F455" s="24" t="n">
        <v>1.4429847</v>
      </c>
    </row>
    <row r="456" customFormat="false" ht="15" hidden="false" customHeight="false" outlineLevel="0" collapsed="false">
      <c r="A456" s="3" t="n">
        <v>455</v>
      </c>
      <c r="B456" s="3" t="n">
        <v>454</v>
      </c>
      <c r="C456" s="3" t="n">
        <v>2</v>
      </c>
      <c r="D456" s="3" t="n">
        <v>4</v>
      </c>
      <c r="E456" s="3" t="n">
        <v>6</v>
      </c>
      <c r="F456" s="24" t="n">
        <v>0</v>
      </c>
    </row>
    <row r="457" customFormat="false" ht="15" hidden="false" customHeight="false" outlineLevel="0" collapsed="false">
      <c r="A457" s="3" t="n">
        <v>456</v>
      </c>
      <c r="B457" s="3" t="n">
        <v>455</v>
      </c>
      <c r="C457" s="3" t="n">
        <v>2</v>
      </c>
      <c r="D457" s="3" t="n">
        <v>4</v>
      </c>
      <c r="E457" s="3" t="n">
        <v>7</v>
      </c>
      <c r="F457" s="24" t="n">
        <v>0</v>
      </c>
    </row>
    <row r="458" customFormat="false" ht="15" hidden="false" customHeight="false" outlineLevel="0" collapsed="false">
      <c r="A458" s="3" t="n">
        <v>457</v>
      </c>
      <c r="B458" s="3" t="n">
        <v>456</v>
      </c>
      <c r="C458" s="3" t="n">
        <v>2</v>
      </c>
      <c r="D458" s="3" t="n">
        <v>4</v>
      </c>
      <c r="E458" s="3" t="n">
        <v>8</v>
      </c>
      <c r="F458" s="24" t="n">
        <v>0</v>
      </c>
    </row>
    <row r="459" customFormat="false" ht="15" hidden="false" customHeight="false" outlineLevel="0" collapsed="false">
      <c r="A459" s="3" t="n">
        <v>458</v>
      </c>
      <c r="B459" s="3" t="n">
        <v>457</v>
      </c>
      <c r="C459" s="3" t="n">
        <v>2</v>
      </c>
      <c r="D459" s="3" t="n">
        <v>4</v>
      </c>
      <c r="E459" s="3" t="n">
        <v>9</v>
      </c>
      <c r="F459" s="24" t="n">
        <v>0</v>
      </c>
    </row>
    <row r="460" customFormat="false" ht="15" hidden="false" customHeight="false" outlineLevel="0" collapsed="false">
      <c r="A460" s="3" t="n">
        <v>459</v>
      </c>
      <c r="B460" s="3" t="n">
        <v>458</v>
      </c>
      <c r="C460" s="3" t="n">
        <v>2</v>
      </c>
      <c r="D460" s="3" t="n">
        <v>4</v>
      </c>
      <c r="E460" s="3" t="n">
        <v>10</v>
      </c>
      <c r="F460" s="24" t="n">
        <v>0</v>
      </c>
    </row>
    <row r="461" customFormat="false" ht="15" hidden="false" customHeight="false" outlineLevel="0" collapsed="false">
      <c r="A461" s="3" t="n">
        <v>460</v>
      </c>
      <c r="B461" s="3" t="n">
        <v>459</v>
      </c>
      <c r="C461" s="3" t="n">
        <v>2</v>
      </c>
      <c r="D461" s="3" t="n">
        <v>4</v>
      </c>
      <c r="E461" s="3" t="n">
        <v>11</v>
      </c>
      <c r="F461" s="24" t="n">
        <v>0</v>
      </c>
    </row>
    <row r="462" customFormat="false" ht="15" hidden="false" customHeight="false" outlineLevel="0" collapsed="false">
      <c r="A462" s="3" t="n">
        <v>461</v>
      </c>
      <c r="B462" s="3" t="n">
        <v>460</v>
      </c>
      <c r="C462" s="3" t="n">
        <v>2</v>
      </c>
      <c r="D462" s="3" t="n">
        <v>4</v>
      </c>
      <c r="E462" s="3" t="n">
        <v>12</v>
      </c>
      <c r="F462" s="24" t="n">
        <v>0</v>
      </c>
    </row>
    <row r="463" customFormat="false" ht="15" hidden="false" customHeight="false" outlineLevel="0" collapsed="false">
      <c r="A463" s="3" t="n">
        <v>462</v>
      </c>
      <c r="B463" s="3" t="n">
        <v>461</v>
      </c>
      <c r="C463" s="3" t="n">
        <v>2</v>
      </c>
      <c r="D463" s="3" t="n">
        <v>4</v>
      </c>
      <c r="E463" s="3" t="n">
        <v>13</v>
      </c>
      <c r="F463" s="24" t="n">
        <v>0.191397607</v>
      </c>
    </row>
    <row r="464" customFormat="false" ht="15" hidden="false" customHeight="false" outlineLevel="0" collapsed="false">
      <c r="A464" s="3" t="n">
        <v>463</v>
      </c>
      <c r="B464" s="3" t="n">
        <v>462</v>
      </c>
      <c r="C464" s="3" t="n">
        <v>2</v>
      </c>
      <c r="D464" s="3" t="n">
        <v>5</v>
      </c>
      <c r="E464" s="3" t="n">
        <v>0</v>
      </c>
      <c r="F464" s="24" t="n">
        <v>0.587804258</v>
      </c>
    </row>
    <row r="465" customFormat="false" ht="15" hidden="false" customHeight="false" outlineLevel="0" collapsed="false">
      <c r="A465" s="3" t="n">
        <v>464</v>
      </c>
      <c r="B465" s="3" t="n">
        <v>463</v>
      </c>
      <c r="C465" s="3" t="n">
        <v>2</v>
      </c>
      <c r="D465" s="3" t="n">
        <v>5</v>
      </c>
      <c r="E465" s="3" t="n">
        <v>1</v>
      </c>
      <c r="F465" s="24" t="n">
        <v>0.809068084</v>
      </c>
    </row>
    <row r="466" customFormat="false" ht="15" hidden="false" customHeight="false" outlineLevel="0" collapsed="false">
      <c r="A466" s="3" t="n">
        <v>465</v>
      </c>
      <c r="B466" s="3" t="n">
        <v>464</v>
      </c>
      <c r="C466" s="3" t="n">
        <v>2</v>
      </c>
      <c r="D466" s="3" t="n">
        <v>5</v>
      </c>
      <c r="E466" s="3" t="n">
        <v>2</v>
      </c>
      <c r="F466" s="24" t="n">
        <v>4.07212782</v>
      </c>
    </row>
    <row r="467" customFormat="false" ht="15" hidden="false" customHeight="false" outlineLevel="0" collapsed="false">
      <c r="A467" s="3" t="n">
        <v>466</v>
      </c>
      <c r="B467" s="3" t="n">
        <v>465</v>
      </c>
      <c r="C467" s="3" t="n">
        <v>2</v>
      </c>
      <c r="D467" s="3" t="n">
        <v>5</v>
      </c>
      <c r="E467" s="3" t="n">
        <v>3</v>
      </c>
      <c r="F467" s="24" t="n">
        <v>6.13524723</v>
      </c>
    </row>
    <row r="468" customFormat="false" ht="15" hidden="false" customHeight="false" outlineLevel="0" collapsed="false">
      <c r="A468" s="3" t="n">
        <v>467</v>
      </c>
      <c r="B468" s="3" t="n">
        <v>466</v>
      </c>
      <c r="C468" s="3" t="n">
        <v>2</v>
      </c>
      <c r="D468" s="3" t="n">
        <v>5</v>
      </c>
      <c r="E468" s="3" t="n">
        <v>4</v>
      </c>
      <c r="F468" s="24" t="n">
        <v>8.23742962</v>
      </c>
    </row>
    <row r="469" customFormat="false" ht="15" hidden="false" customHeight="false" outlineLevel="0" collapsed="false">
      <c r="A469" s="3" t="n">
        <v>468</v>
      </c>
      <c r="B469" s="3" t="n">
        <v>467</v>
      </c>
      <c r="C469" s="3" t="n">
        <v>2</v>
      </c>
      <c r="D469" s="3" t="n">
        <v>5</v>
      </c>
      <c r="E469" s="3" t="n">
        <v>5</v>
      </c>
      <c r="F469" s="24" t="n">
        <v>10.5070009</v>
      </c>
    </row>
    <row r="470" customFormat="false" ht="15" hidden="false" customHeight="false" outlineLevel="0" collapsed="false">
      <c r="A470" s="3" t="n">
        <v>469</v>
      </c>
      <c r="B470" s="3" t="n">
        <v>468</v>
      </c>
      <c r="C470" s="3" t="n">
        <v>2</v>
      </c>
      <c r="D470" s="3" t="n">
        <v>5</v>
      </c>
      <c r="E470" s="3" t="n">
        <v>6</v>
      </c>
      <c r="F470" s="24" t="n">
        <v>11.8248329</v>
      </c>
    </row>
    <row r="471" customFormat="false" ht="15" hidden="false" customHeight="false" outlineLevel="0" collapsed="false">
      <c r="A471" s="3" t="n">
        <v>470</v>
      </c>
      <c r="B471" s="3" t="n">
        <v>469</v>
      </c>
      <c r="C471" s="3" t="n">
        <v>2</v>
      </c>
      <c r="D471" s="3" t="n">
        <v>5</v>
      </c>
      <c r="E471" s="3" t="n">
        <v>7</v>
      </c>
      <c r="F471" s="24" t="n">
        <v>11.8981276</v>
      </c>
    </row>
    <row r="472" customFormat="false" ht="15" hidden="false" customHeight="false" outlineLevel="0" collapsed="false">
      <c r="A472" s="3" t="n">
        <v>471</v>
      </c>
      <c r="B472" s="3" t="n">
        <v>470</v>
      </c>
      <c r="C472" s="3" t="n">
        <v>2</v>
      </c>
      <c r="D472" s="3" t="n">
        <v>5</v>
      </c>
      <c r="E472" s="3" t="n">
        <v>8</v>
      </c>
      <c r="F472" s="24" t="n">
        <v>8.64560318</v>
      </c>
    </row>
    <row r="473" customFormat="false" ht="15" hidden="false" customHeight="false" outlineLevel="0" collapsed="false">
      <c r="A473" s="3" t="n">
        <v>472</v>
      </c>
      <c r="B473" s="3" t="n">
        <v>471</v>
      </c>
      <c r="C473" s="3" t="n">
        <v>2</v>
      </c>
      <c r="D473" s="3" t="n">
        <v>5</v>
      </c>
      <c r="E473" s="3" t="n">
        <v>9</v>
      </c>
      <c r="F473" s="24" t="n">
        <v>3.17524743</v>
      </c>
    </row>
    <row r="474" customFormat="false" ht="15" hidden="false" customHeight="false" outlineLevel="0" collapsed="false">
      <c r="A474" s="3" t="n">
        <v>473</v>
      </c>
      <c r="B474" s="3" t="n">
        <v>472</v>
      </c>
      <c r="C474" s="3" t="n">
        <v>2</v>
      </c>
      <c r="D474" s="3" t="n">
        <v>5</v>
      </c>
      <c r="E474" s="3" t="n">
        <v>10</v>
      </c>
      <c r="F474" s="24" t="n">
        <v>0</v>
      </c>
    </row>
    <row r="475" customFormat="false" ht="15" hidden="false" customHeight="false" outlineLevel="0" collapsed="false">
      <c r="A475" s="3" t="n">
        <v>474</v>
      </c>
      <c r="B475" s="3" t="n">
        <v>473</v>
      </c>
      <c r="C475" s="3" t="n">
        <v>2</v>
      </c>
      <c r="D475" s="3" t="n">
        <v>5</v>
      </c>
      <c r="E475" s="3" t="n">
        <v>11</v>
      </c>
      <c r="F475" s="24" t="n">
        <v>0</v>
      </c>
    </row>
    <row r="476" customFormat="false" ht="15" hidden="false" customHeight="false" outlineLevel="0" collapsed="false">
      <c r="A476" s="3" t="n">
        <v>475</v>
      </c>
      <c r="B476" s="3" t="n">
        <v>474</v>
      </c>
      <c r="C476" s="3" t="n">
        <v>2</v>
      </c>
      <c r="D476" s="3" t="n">
        <v>5</v>
      </c>
      <c r="E476" s="3" t="n">
        <v>12</v>
      </c>
      <c r="F476" s="24" t="n">
        <v>0.785543621</v>
      </c>
    </row>
    <row r="477" customFormat="false" ht="15" hidden="false" customHeight="false" outlineLevel="0" collapsed="false">
      <c r="A477" s="3" t="n">
        <v>476</v>
      </c>
      <c r="B477" s="3" t="n">
        <v>475</v>
      </c>
      <c r="C477" s="3" t="n">
        <v>2</v>
      </c>
      <c r="D477" s="3" t="n">
        <v>5</v>
      </c>
      <c r="E477" s="3" t="n">
        <v>13</v>
      </c>
      <c r="F477" s="24" t="n">
        <v>0.191397607</v>
      </c>
    </row>
    <row r="478" customFormat="false" ht="15" hidden="false" customHeight="false" outlineLevel="0" collapsed="false">
      <c r="A478" s="3" t="n">
        <v>477</v>
      </c>
      <c r="B478" s="3" t="n">
        <v>476</v>
      </c>
      <c r="C478" s="3" t="n">
        <v>2</v>
      </c>
      <c r="D478" s="3" t="n">
        <v>6</v>
      </c>
      <c r="E478" s="3" t="n">
        <v>0</v>
      </c>
      <c r="F478" s="24" t="n">
        <v>0.587804258</v>
      </c>
    </row>
    <row r="479" customFormat="false" ht="15" hidden="false" customHeight="false" outlineLevel="0" collapsed="false">
      <c r="A479" s="3" t="n">
        <v>478</v>
      </c>
      <c r="B479" s="3" t="n">
        <v>477</v>
      </c>
      <c r="C479" s="3" t="n">
        <v>2</v>
      </c>
      <c r="D479" s="3" t="n">
        <v>6</v>
      </c>
      <c r="E479" s="3" t="n">
        <v>1</v>
      </c>
      <c r="F479" s="24" t="n">
        <v>0.5392946</v>
      </c>
    </row>
    <row r="480" customFormat="false" ht="15" hidden="false" customHeight="false" outlineLevel="0" collapsed="false">
      <c r="A480" s="3" t="n">
        <v>479</v>
      </c>
      <c r="B480" s="3" t="n">
        <v>478</v>
      </c>
      <c r="C480" s="3" t="n">
        <v>2</v>
      </c>
      <c r="D480" s="3" t="n">
        <v>6</v>
      </c>
      <c r="E480" s="3" t="n">
        <v>2</v>
      </c>
      <c r="F480" s="24" t="n">
        <v>0.788173735</v>
      </c>
    </row>
    <row r="481" customFormat="false" ht="15" hidden="false" customHeight="false" outlineLevel="0" collapsed="false">
      <c r="A481" s="3" t="n">
        <v>480</v>
      </c>
      <c r="B481" s="3" t="n">
        <v>479</v>
      </c>
      <c r="C481" s="3" t="n">
        <v>2</v>
      </c>
      <c r="D481" s="3" t="n">
        <v>6</v>
      </c>
      <c r="E481" s="3" t="n">
        <v>3</v>
      </c>
      <c r="F481" s="24" t="n">
        <v>0.85178107</v>
      </c>
    </row>
    <row r="482" customFormat="false" ht="15" hidden="false" customHeight="false" outlineLevel="0" collapsed="false">
      <c r="A482" s="3" t="n">
        <v>481</v>
      </c>
      <c r="B482" s="3" t="n">
        <v>480</v>
      </c>
      <c r="C482" s="3" t="n">
        <v>2</v>
      </c>
      <c r="D482" s="3" t="n">
        <v>6</v>
      </c>
      <c r="E482" s="3" t="n">
        <v>4</v>
      </c>
      <c r="F482" s="24" t="n">
        <v>1.29635787</v>
      </c>
    </row>
    <row r="483" customFormat="false" ht="15" hidden="false" customHeight="false" outlineLevel="0" collapsed="false">
      <c r="A483" s="3" t="n">
        <v>482</v>
      </c>
      <c r="B483" s="3" t="n">
        <v>481</v>
      </c>
      <c r="C483" s="3" t="n">
        <v>2</v>
      </c>
      <c r="D483" s="3" t="n">
        <v>6</v>
      </c>
      <c r="E483" s="3" t="n">
        <v>5</v>
      </c>
      <c r="F483" s="24" t="n">
        <v>1.80526686</v>
      </c>
    </row>
    <row r="484" customFormat="false" ht="15" hidden="false" customHeight="false" outlineLevel="0" collapsed="false">
      <c r="A484" s="3" t="n">
        <v>483</v>
      </c>
      <c r="B484" s="3" t="n">
        <v>482</v>
      </c>
      <c r="C484" s="3" t="n">
        <v>2</v>
      </c>
      <c r="D484" s="3" t="n">
        <v>6</v>
      </c>
      <c r="E484" s="3" t="n">
        <v>6</v>
      </c>
      <c r="F484" s="24" t="n">
        <v>2.08910632</v>
      </c>
    </row>
    <row r="485" customFormat="false" ht="15" hidden="false" customHeight="false" outlineLevel="0" collapsed="false">
      <c r="A485" s="3" t="n">
        <v>484</v>
      </c>
      <c r="B485" s="3" t="n">
        <v>483</v>
      </c>
      <c r="C485" s="3" t="n">
        <v>2</v>
      </c>
      <c r="D485" s="3" t="n">
        <v>6</v>
      </c>
      <c r="E485" s="3" t="n">
        <v>7</v>
      </c>
      <c r="F485" s="24" t="n">
        <v>0</v>
      </c>
    </row>
    <row r="486" customFormat="false" ht="15" hidden="false" customHeight="false" outlineLevel="0" collapsed="false">
      <c r="A486" s="3" t="n">
        <v>485</v>
      </c>
      <c r="B486" s="3" t="n">
        <v>484</v>
      </c>
      <c r="C486" s="3" t="n">
        <v>2</v>
      </c>
      <c r="D486" s="3" t="n">
        <v>6</v>
      </c>
      <c r="E486" s="3" t="n">
        <v>8</v>
      </c>
      <c r="F486" s="24" t="n">
        <v>0</v>
      </c>
    </row>
    <row r="487" customFormat="false" ht="15" hidden="false" customHeight="false" outlineLevel="0" collapsed="false">
      <c r="A487" s="3" t="n">
        <v>486</v>
      </c>
      <c r="B487" s="3" t="n">
        <v>485</v>
      </c>
      <c r="C487" s="3" t="n">
        <v>2</v>
      </c>
      <c r="D487" s="3" t="n">
        <v>6</v>
      </c>
      <c r="E487" s="3" t="n">
        <v>9</v>
      </c>
      <c r="F487" s="24" t="n">
        <v>0</v>
      </c>
    </row>
    <row r="488" customFormat="false" ht="15" hidden="false" customHeight="false" outlineLevel="0" collapsed="false">
      <c r="A488" s="3" t="n">
        <v>487</v>
      </c>
      <c r="B488" s="3" t="n">
        <v>486</v>
      </c>
      <c r="C488" s="3" t="n">
        <v>2</v>
      </c>
      <c r="D488" s="3" t="n">
        <v>6</v>
      </c>
      <c r="E488" s="3" t="n">
        <v>10</v>
      </c>
      <c r="F488" s="24" t="n">
        <v>0</v>
      </c>
    </row>
    <row r="489" customFormat="false" ht="15" hidden="false" customHeight="false" outlineLevel="0" collapsed="false">
      <c r="A489" s="3" t="n">
        <v>488</v>
      </c>
      <c r="B489" s="3" t="n">
        <v>487</v>
      </c>
      <c r="C489" s="3" t="n">
        <v>2</v>
      </c>
      <c r="D489" s="3" t="n">
        <v>6</v>
      </c>
      <c r="E489" s="3" t="n">
        <v>11</v>
      </c>
      <c r="F489" s="24" t="n">
        <v>2.32514763</v>
      </c>
    </row>
    <row r="490" customFormat="false" ht="15" hidden="false" customHeight="false" outlineLevel="0" collapsed="false">
      <c r="A490" s="3" t="n">
        <v>489</v>
      </c>
      <c r="B490" s="3" t="n">
        <v>488</v>
      </c>
      <c r="C490" s="3" t="n">
        <v>2</v>
      </c>
      <c r="D490" s="3" t="n">
        <v>6</v>
      </c>
      <c r="E490" s="3" t="n">
        <v>12</v>
      </c>
      <c r="F490" s="24" t="n">
        <v>0.878169417</v>
      </c>
    </row>
    <row r="491" customFormat="false" ht="15" hidden="false" customHeight="false" outlineLevel="0" collapsed="false">
      <c r="A491" s="3" t="n">
        <v>490</v>
      </c>
      <c r="B491" s="3" t="n">
        <v>489</v>
      </c>
      <c r="C491" s="3" t="n">
        <v>2</v>
      </c>
      <c r="D491" s="3" t="n">
        <v>6</v>
      </c>
      <c r="E491" s="3" t="n">
        <v>13</v>
      </c>
      <c r="F491" s="24" t="n">
        <v>0.191397607</v>
      </c>
    </row>
    <row r="492" customFormat="false" ht="15" hidden="false" customHeight="false" outlineLevel="0" collapsed="false">
      <c r="A492" s="3" t="n">
        <v>491</v>
      </c>
      <c r="B492" s="3" t="n">
        <v>490</v>
      </c>
      <c r="C492" s="3" t="n">
        <v>2</v>
      </c>
      <c r="D492" s="3" t="n">
        <v>7</v>
      </c>
      <c r="E492" s="3" t="n">
        <v>0</v>
      </c>
      <c r="F492" s="24" t="n">
        <v>0.587804258</v>
      </c>
    </row>
    <row r="493" customFormat="false" ht="15" hidden="false" customHeight="false" outlineLevel="0" collapsed="false">
      <c r="A493" s="3" t="n">
        <v>492</v>
      </c>
      <c r="B493" s="3" t="n">
        <v>491</v>
      </c>
      <c r="C493" s="3" t="n">
        <v>2</v>
      </c>
      <c r="D493" s="3" t="n">
        <v>7</v>
      </c>
      <c r="E493" s="3" t="n">
        <v>1</v>
      </c>
      <c r="F493" s="24" t="n">
        <v>0.509327829</v>
      </c>
    </row>
    <row r="494" customFormat="false" ht="15" hidden="false" customHeight="false" outlineLevel="0" collapsed="false">
      <c r="A494" s="3" t="n">
        <v>493</v>
      </c>
      <c r="B494" s="3" t="n">
        <v>492</v>
      </c>
      <c r="C494" s="3" t="n">
        <v>2</v>
      </c>
      <c r="D494" s="3" t="n">
        <v>7</v>
      </c>
      <c r="E494" s="3" t="n">
        <v>2</v>
      </c>
      <c r="F494" s="24" t="n">
        <v>0.633773386</v>
      </c>
    </row>
    <row r="495" customFormat="false" ht="15" hidden="false" customHeight="false" outlineLevel="0" collapsed="false">
      <c r="A495" s="3" t="n">
        <v>494</v>
      </c>
      <c r="B495" s="3" t="n">
        <v>493</v>
      </c>
      <c r="C495" s="3" t="n">
        <v>2</v>
      </c>
      <c r="D495" s="3" t="n">
        <v>7</v>
      </c>
      <c r="E495" s="3" t="n">
        <v>3</v>
      </c>
      <c r="F495" s="24" t="n">
        <v>0.633773386</v>
      </c>
    </row>
    <row r="496" customFormat="false" ht="15" hidden="false" customHeight="false" outlineLevel="0" collapsed="false">
      <c r="A496" s="3" t="n">
        <v>495</v>
      </c>
      <c r="B496" s="3" t="n">
        <v>494</v>
      </c>
      <c r="C496" s="3" t="n">
        <v>2</v>
      </c>
      <c r="D496" s="3" t="n">
        <v>7</v>
      </c>
      <c r="E496" s="3" t="n">
        <v>4</v>
      </c>
      <c r="F496" s="24" t="n">
        <v>0.633773386</v>
      </c>
    </row>
    <row r="497" customFormat="false" ht="15" hidden="false" customHeight="false" outlineLevel="0" collapsed="false">
      <c r="A497" s="3" t="n">
        <v>496</v>
      </c>
      <c r="B497" s="3" t="n">
        <v>495</v>
      </c>
      <c r="C497" s="3" t="n">
        <v>2</v>
      </c>
      <c r="D497" s="3" t="n">
        <v>7</v>
      </c>
      <c r="E497" s="3" t="n">
        <v>5</v>
      </c>
      <c r="F497" s="24" t="n">
        <v>0.611165822</v>
      </c>
    </row>
    <row r="498" customFormat="false" ht="15" hidden="false" customHeight="false" outlineLevel="0" collapsed="false">
      <c r="A498" s="3" t="n">
        <v>497</v>
      </c>
      <c r="B498" s="3" t="n">
        <v>496</v>
      </c>
      <c r="C498" s="3" t="n">
        <v>2</v>
      </c>
      <c r="D498" s="3" t="n">
        <v>7</v>
      </c>
      <c r="E498" s="3" t="n">
        <v>6</v>
      </c>
      <c r="F498" s="24" t="n">
        <v>0</v>
      </c>
    </row>
    <row r="499" customFormat="false" ht="15" hidden="false" customHeight="false" outlineLevel="0" collapsed="false">
      <c r="A499" s="3" t="n">
        <v>498</v>
      </c>
      <c r="B499" s="3" t="n">
        <v>497</v>
      </c>
      <c r="C499" s="3" t="n">
        <v>2</v>
      </c>
      <c r="D499" s="3" t="n">
        <v>7</v>
      </c>
      <c r="E499" s="3" t="n">
        <v>7</v>
      </c>
      <c r="F499" s="24" t="n">
        <v>0</v>
      </c>
    </row>
    <row r="500" customFormat="false" ht="15" hidden="false" customHeight="false" outlineLevel="0" collapsed="false">
      <c r="A500" s="3" t="n">
        <v>499</v>
      </c>
      <c r="B500" s="3" t="n">
        <v>498</v>
      </c>
      <c r="C500" s="3" t="n">
        <v>2</v>
      </c>
      <c r="D500" s="3" t="n">
        <v>7</v>
      </c>
      <c r="E500" s="3" t="n">
        <v>8</v>
      </c>
      <c r="F500" s="24" t="n">
        <v>0</v>
      </c>
    </row>
    <row r="501" customFormat="false" ht="15" hidden="false" customHeight="false" outlineLevel="0" collapsed="false">
      <c r="A501" s="3" t="n">
        <v>500</v>
      </c>
      <c r="B501" s="3" t="n">
        <v>499</v>
      </c>
      <c r="C501" s="3" t="n">
        <v>2</v>
      </c>
      <c r="D501" s="3" t="n">
        <v>7</v>
      </c>
      <c r="E501" s="3" t="n">
        <v>9</v>
      </c>
      <c r="F501" s="24" t="n">
        <v>0</v>
      </c>
    </row>
    <row r="502" customFormat="false" ht="15" hidden="false" customHeight="false" outlineLevel="0" collapsed="false">
      <c r="A502" s="3" t="n">
        <v>501</v>
      </c>
      <c r="B502" s="3" t="n">
        <v>500</v>
      </c>
      <c r="C502" s="3" t="n">
        <v>2</v>
      </c>
      <c r="D502" s="3" t="n">
        <v>7</v>
      </c>
      <c r="E502" s="3" t="n">
        <v>10</v>
      </c>
      <c r="F502" s="24" t="n">
        <v>1.65046978</v>
      </c>
    </row>
    <row r="503" customFormat="false" ht="15" hidden="false" customHeight="false" outlineLevel="0" collapsed="false">
      <c r="A503" s="3" t="n">
        <v>502</v>
      </c>
      <c r="B503" s="3" t="n">
        <v>501</v>
      </c>
      <c r="C503" s="3" t="n">
        <v>2</v>
      </c>
      <c r="D503" s="3" t="n">
        <v>7</v>
      </c>
      <c r="E503" s="3" t="n">
        <v>11</v>
      </c>
      <c r="F503" s="24" t="n">
        <v>2.61104035</v>
      </c>
    </row>
    <row r="504" customFormat="false" ht="15" hidden="false" customHeight="false" outlineLevel="0" collapsed="false">
      <c r="A504" s="3" t="n">
        <v>503</v>
      </c>
      <c r="B504" s="3" t="n">
        <v>502</v>
      </c>
      <c r="C504" s="3" t="n">
        <v>2</v>
      </c>
      <c r="D504" s="3" t="n">
        <v>7</v>
      </c>
      <c r="E504" s="3" t="n">
        <v>12</v>
      </c>
      <c r="F504" s="24" t="n">
        <v>0.352780074</v>
      </c>
    </row>
    <row r="505" customFormat="false" ht="15" hidden="false" customHeight="false" outlineLevel="0" collapsed="false">
      <c r="A505" s="3" t="n">
        <v>504</v>
      </c>
      <c r="B505" s="3" t="n">
        <v>503</v>
      </c>
      <c r="C505" s="3" t="n">
        <v>2</v>
      </c>
      <c r="D505" s="3" t="n">
        <v>7</v>
      </c>
      <c r="E505" s="3" t="n">
        <v>13</v>
      </c>
      <c r="F505" s="24" t="n">
        <v>0.191397607</v>
      </c>
    </row>
    <row r="506" customFormat="false" ht="15" hidden="false" customHeight="false" outlineLevel="0" collapsed="false">
      <c r="A506" s="3" t="n">
        <v>505</v>
      </c>
      <c r="B506" s="3" t="n">
        <v>504</v>
      </c>
      <c r="C506" s="3" t="n">
        <v>2</v>
      </c>
      <c r="D506" s="3" t="n">
        <v>8</v>
      </c>
      <c r="E506" s="3" t="n">
        <v>0</v>
      </c>
      <c r="F506" s="24" t="n">
        <v>0.587804258</v>
      </c>
    </row>
    <row r="507" customFormat="false" ht="15" hidden="false" customHeight="false" outlineLevel="0" collapsed="false">
      <c r="A507" s="3" t="n">
        <v>506</v>
      </c>
      <c r="B507" s="3" t="n">
        <v>505</v>
      </c>
      <c r="C507" s="3" t="n">
        <v>2</v>
      </c>
      <c r="D507" s="3" t="n">
        <v>8</v>
      </c>
      <c r="E507" s="3" t="n">
        <v>1</v>
      </c>
      <c r="F507" s="24" t="n">
        <v>0.509327829</v>
      </c>
    </row>
    <row r="508" customFormat="false" ht="15" hidden="false" customHeight="false" outlineLevel="0" collapsed="false">
      <c r="A508" s="3" t="n">
        <v>507</v>
      </c>
      <c r="B508" s="3" t="n">
        <v>506</v>
      </c>
      <c r="C508" s="3" t="n">
        <v>2</v>
      </c>
      <c r="D508" s="3" t="n">
        <v>8</v>
      </c>
      <c r="E508" s="3" t="n">
        <v>2</v>
      </c>
      <c r="F508" s="24" t="n">
        <v>0.633773386</v>
      </c>
    </row>
    <row r="509" customFormat="false" ht="15" hidden="false" customHeight="false" outlineLevel="0" collapsed="false">
      <c r="A509" s="3" t="n">
        <v>508</v>
      </c>
      <c r="B509" s="3" t="n">
        <v>507</v>
      </c>
      <c r="C509" s="3" t="n">
        <v>2</v>
      </c>
      <c r="D509" s="3" t="n">
        <v>8</v>
      </c>
      <c r="E509" s="3" t="n">
        <v>3</v>
      </c>
      <c r="F509" s="24" t="n">
        <v>0.633773386</v>
      </c>
    </row>
    <row r="510" customFormat="false" ht="15" hidden="false" customHeight="false" outlineLevel="0" collapsed="false">
      <c r="A510" s="3" t="n">
        <v>509</v>
      </c>
      <c r="B510" s="3" t="n">
        <v>508</v>
      </c>
      <c r="C510" s="3" t="n">
        <v>2</v>
      </c>
      <c r="D510" s="3" t="n">
        <v>8</v>
      </c>
      <c r="E510" s="3" t="n">
        <v>4</v>
      </c>
      <c r="F510" s="24" t="n">
        <v>0.631171227</v>
      </c>
    </row>
    <row r="511" customFormat="false" ht="15" hidden="false" customHeight="false" outlineLevel="0" collapsed="false">
      <c r="A511" s="3" t="n">
        <v>510</v>
      </c>
      <c r="B511" s="3" t="n">
        <v>509</v>
      </c>
      <c r="C511" s="3" t="n">
        <v>2</v>
      </c>
      <c r="D511" s="3" t="n">
        <v>8</v>
      </c>
      <c r="E511" s="3" t="n">
        <v>5</v>
      </c>
      <c r="F511" s="24" t="n">
        <v>0.390243649</v>
      </c>
    </row>
    <row r="512" customFormat="false" ht="15" hidden="false" customHeight="false" outlineLevel="0" collapsed="false">
      <c r="A512" s="3" t="n">
        <v>511</v>
      </c>
      <c r="B512" s="3" t="n">
        <v>510</v>
      </c>
      <c r="C512" s="3" t="n">
        <v>2</v>
      </c>
      <c r="D512" s="3" t="n">
        <v>8</v>
      </c>
      <c r="E512" s="3" t="n">
        <v>6</v>
      </c>
      <c r="F512" s="24" t="n">
        <v>0</v>
      </c>
    </row>
    <row r="513" customFormat="false" ht="15" hidden="false" customHeight="false" outlineLevel="0" collapsed="false">
      <c r="A513" s="3" t="n">
        <v>512</v>
      </c>
      <c r="B513" s="3" t="n">
        <v>511</v>
      </c>
      <c r="C513" s="3" t="n">
        <v>2</v>
      </c>
      <c r="D513" s="3" t="n">
        <v>8</v>
      </c>
      <c r="E513" s="3" t="n">
        <v>7</v>
      </c>
      <c r="F513" s="24" t="n">
        <v>0</v>
      </c>
    </row>
    <row r="514" customFormat="false" ht="15" hidden="false" customHeight="false" outlineLevel="0" collapsed="false">
      <c r="A514" s="3" t="n">
        <v>513</v>
      </c>
      <c r="B514" s="3" t="n">
        <v>512</v>
      </c>
      <c r="C514" s="3" t="n">
        <v>2</v>
      </c>
      <c r="D514" s="3" t="n">
        <v>8</v>
      </c>
      <c r="E514" s="3" t="n">
        <v>8</v>
      </c>
      <c r="F514" s="24" t="n">
        <v>0</v>
      </c>
    </row>
    <row r="515" customFormat="false" ht="15" hidden="false" customHeight="false" outlineLevel="0" collapsed="false">
      <c r="A515" s="3" t="n">
        <v>514</v>
      </c>
      <c r="B515" s="3" t="n">
        <v>513</v>
      </c>
      <c r="C515" s="3" t="n">
        <v>2</v>
      </c>
      <c r="D515" s="3" t="n">
        <v>8</v>
      </c>
      <c r="E515" s="3" t="n">
        <v>9</v>
      </c>
      <c r="F515" s="24" t="n">
        <v>0</v>
      </c>
    </row>
    <row r="516" customFormat="false" ht="15" hidden="false" customHeight="false" outlineLevel="0" collapsed="false">
      <c r="A516" s="3" t="n">
        <v>515</v>
      </c>
      <c r="B516" s="3" t="n">
        <v>514</v>
      </c>
      <c r="C516" s="3" t="n">
        <v>2</v>
      </c>
      <c r="D516" s="3" t="n">
        <v>8</v>
      </c>
      <c r="E516" s="3" t="n">
        <v>10</v>
      </c>
      <c r="F516" s="24" t="n">
        <v>2.71663165</v>
      </c>
    </row>
    <row r="517" customFormat="false" ht="15" hidden="false" customHeight="false" outlineLevel="0" collapsed="false">
      <c r="A517" s="3" t="n">
        <v>516</v>
      </c>
      <c r="B517" s="3" t="n">
        <v>515</v>
      </c>
      <c r="C517" s="3" t="n">
        <v>2</v>
      </c>
      <c r="D517" s="3" t="n">
        <v>8</v>
      </c>
      <c r="E517" s="3" t="n">
        <v>11</v>
      </c>
      <c r="F517" s="24" t="n">
        <v>1.1271081</v>
      </c>
    </row>
    <row r="518" customFormat="false" ht="15" hidden="false" customHeight="false" outlineLevel="0" collapsed="false">
      <c r="A518" s="3" t="n">
        <v>517</v>
      </c>
      <c r="B518" s="3" t="n">
        <v>516</v>
      </c>
      <c r="C518" s="3" t="n">
        <v>2</v>
      </c>
      <c r="D518" s="3" t="n">
        <v>8</v>
      </c>
      <c r="E518" s="3" t="n">
        <v>12</v>
      </c>
      <c r="F518" s="24" t="n">
        <v>0.354083538</v>
      </c>
    </row>
    <row r="519" customFormat="false" ht="15" hidden="false" customHeight="false" outlineLevel="0" collapsed="false">
      <c r="A519" s="3" t="n">
        <v>518</v>
      </c>
      <c r="B519" s="3" t="n">
        <v>517</v>
      </c>
      <c r="C519" s="3" t="n">
        <v>2</v>
      </c>
      <c r="D519" s="3" t="n">
        <v>8</v>
      </c>
      <c r="E519" s="3" t="n">
        <v>13</v>
      </c>
      <c r="F519" s="24" t="n">
        <v>0.191397607</v>
      </c>
    </row>
    <row r="520" customFormat="false" ht="15" hidden="false" customHeight="false" outlineLevel="0" collapsed="false">
      <c r="A520" s="3" t="n">
        <v>519</v>
      </c>
      <c r="B520" s="3" t="n">
        <v>518</v>
      </c>
      <c r="C520" s="3" t="n">
        <v>2</v>
      </c>
      <c r="D520" s="3" t="n">
        <v>9</v>
      </c>
      <c r="E520" s="3" t="n">
        <v>0</v>
      </c>
      <c r="F520" s="24" t="n">
        <v>0.587804258</v>
      </c>
    </row>
    <row r="521" customFormat="false" ht="15" hidden="false" customHeight="false" outlineLevel="0" collapsed="false">
      <c r="A521" s="3" t="n">
        <v>520</v>
      </c>
      <c r="B521" s="3" t="n">
        <v>519</v>
      </c>
      <c r="C521" s="3" t="n">
        <v>2</v>
      </c>
      <c r="D521" s="3" t="n">
        <v>9</v>
      </c>
      <c r="E521" s="3" t="n">
        <v>1</v>
      </c>
      <c r="F521" s="24" t="n">
        <v>0.509327829</v>
      </c>
    </row>
    <row r="522" customFormat="false" ht="15" hidden="false" customHeight="false" outlineLevel="0" collapsed="false">
      <c r="A522" s="3" t="n">
        <v>521</v>
      </c>
      <c r="B522" s="3" t="n">
        <v>520</v>
      </c>
      <c r="C522" s="3" t="n">
        <v>2</v>
      </c>
      <c r="D522" s="3" t="n">
        <v>9</v>
      </c>
      <c r="E522" s="3" t="n">
        <v>2</v>
      </c>
      <c r="F522" s="24" t="n">
        <v>0.633773386</v>
      </c>
    </row>
    <row r="523" customFormat="false" ht="15" hidden="false" customHeight="false" outlineLevel="0" collapsed="false">
      <c r="A523" s="3" t="n">
        <v>522</v>
      </c>
      <c r="B523" s="3" t="n">
        <v>521</v>
      </c>
      <c r="C523" s="3" t="n">
        <v>2</v>
      </c>
      <c r="D523" s="3" t="n">
        <v>9</v>
      </c>
      <c r="E523" s="3" t="n">
        <v>3</v>
      </c>
      <c r="F523" s="24" t="n">
        <v>0.633773386</v>
      </c>
    </row>
    <row r="524" customFormat="false" ht="15" hidden="false" customHeight="false" outlineLevel="0" collapsed="false">
      <c r="A524" s="3" t="n">
        <v>523</v>
      </c>
      <c r="B524" s="3" t="n">
        <v>522</v>
      </c>
      <c r="C524" s="3" t="n">
        <v>2</v>
      </c>
      <c r="D524" s="3" t="n">
        <v>9</v>
      </c>
      <c r="E524" s="3" t="n">
        <v>4</v>
      </c>
      <c r="F524" s="24" t="n">
        <v>0.678896189</v>
      </c>
    </row>
    <row r="525" customFormat="false" ht="15" hidden="false" customHeight="false" outlineLevel="0" collapsed="false">
      <c r="A525" s="3" t="n">
        <v>524</v>
      </c>
      <c r="B525" s="3" t="n">
        <v>523</v>
      </c>
      <c r="C525" s="3" t="n">
        <v>2</v>
      </c>
      <c r="D525" s="3" t="n">
        <v>9</v>
      </c>
      <c r="E525" s="3" t="n">
        <v>5</v>
      </c>
      <c r="F525" s="24" t="n">
        <v>0</v>
      </c>
    </row>
    <row r="526" customFormat="false" ht="15" hidden="false" customHeight="false" outlineLevel="0" collapsed="false">
      <c r="A526" s="3" t="n">
        <v>525</v>
      </c>
      <c r="B526" s="3" t="n">
        <v>524</v>
      </c>
      <c r="C526" s="3" t="n">
        <v>2</v>
      </c>
      <c r="D526" s="3" t="n">
        <v>9</v>
      </c>
      <c r="E526" s="3" t="n">
        <v>6</v>
      </c>
      <c r="F526" s="24" t="n">
        <v>0</v>
      </c>
    </row>
    <row r="527" customFormat="false" ht="15" hidden="false" customHeight="false" outlineLevel="0" collapsed="false">
      <c r="A527" s="3" t="n">
        <v>526</v>
      </c>
      <c r="B527" s="3" t="n">
        <v>525</v>
      </c>
      <c r="C527" s="3" t="n">
        <v>2</v>
      </c>
      <c r="D527" s="3" t="n">
        <v>9</v>
      </c>
      <c r="E527" s="3" t="n">
        <v>7</v>
      </c>
      <c r="F527" s="24" t="n">
        <v>0</v>
      </c>
    </row>
    <row r="528" customFormat="false" ht="15" hidden="false" customHeight="false" outlineLevel="0" collapsed="false">
      <c r="A528" s="3" t="n">
        <v>527</v>
      </c>
      <c r="B528" s="3" t="n">
        <v>526</v>
      </c>
      <c r="C528" s="3" t="n">
        <v>2</v>
      </c>
      <c r="D528" s="3" t="n">
        <v>9</v>
      </c>
      <c r="E528" s="3" t="n">
        <v>8</v>
      </c>
      <c r="F528" s="24" t="n">
        <v>0</v>
      </c>
    </row>
    <row r="529" customFormat="false" ht="15" hidden="false" customHeight="false" outlineLevel="0" collapsed="false">
      <c r="A529" s="3" t="n">
        <v>528</v>
      </c>
      <c r="B529" s="3" t="n">
        <v>527</v>
      </c>
      <c r="C529" s="3" t="n">
        <v>2</v>
      </c>
      <c r="D529" s="3" t="n">
        <v>9</v>
      </c>
      <c r="E529" s="3" t="n">
        <v>9</v>
      </c>
      <c r="F529" s="24" t="n">
        <v>1.69762623</v>
      </c>
    </row>
    <row r="530" customFormat="false" ht="15" hidden="false" customHeight="false" outlineLevel="0" collapsed="false">
      <c r="A530" s="3" t="n">
        <v>529</v>
      </c>
      <c r="B530" s="3" t="n">
        <v>528</v>
      </c>
      <c r="C530" s="3" t="n">
        <v>2</v>
      </c>
      <c r="D530" s="3" t="n">
        <v>9</v>
      </c>
      <c r="E530" s="3" t="n">
        <v>10</v>
      </c>
      <c r="F530" s="24" t="n">
        <v>2.23630309</v>
      </c>
    </row>
    <row r="531" customFormat="false" ht="15" hidden="false" customHeight="false" outlineLevel="0" collapsed="false">
      <c r="A531" s="3" t="n">
        <v>530</v>
      </c>
      <c r="B531" s="3" t="n">
        <v>529</v>
      </c>
      <c r="C531" s="3" t="n">
        <v>2</v>
      </c>
      <c r="D531" s="3" t="n">
        <v>9</v>
      </c>
      <c r="E531" s="3" t="n">
        <v>11</v>
      </c>
      <c r="F531" s="24" t="n">
        <v>0.631360531</v>
      </c>
    </row>
    <row r="532" customFormat="false" ht="15" hidden="false" customHeight="false" outlineLevel="0" collapsed="false">
      <c r="A532" s="3" t="n">
        <v>531</v>
      </c>
      <c r="B532" s="3" t="n">
        <v>530</v>
      </c>
      <c r="C532" s="3" t="n">
        <v>2</v>
      </c>
      <c r="D532" s="3" t="n">
        <v>9</v>
      </c>
      <c r="E532" s="3" t="n">
        <v>12</v>
      </c>
      <c r="F532" s="24" t="n">
        <v>0.354083538</v>
      </c>
    </row>
    <row r="533" customFormat="false" ht="15" hidden="false" customHeight="false" outlineLevel="0" collapsed="false">
      <c r="A533" s="3" t="n">
        <v>532</v>
      </c>
      <c r="B533" s="3" t="n">
        <v>531</v>
      </c>
      <c r="C533" s="3" t="n">
        <v>2</v>
      </c>
      <c r="D533" s="3" t="n">
        <v>9</v>
      </c>
      <c r="E533" s="3" t="n">
        <v>13</v>
      </c>
      <c r="F533" s="24" t="n">
        <v>0.191397607</v>
      </c>
    </row>
    <row r="534" customFormat="false" ht="15" hidden="false" customHeight="false" outlineLevel="0" collapsed="false">
      <c r="A534" s="3" t="n">
        <v>533</v>
      </c>
      <c r="B534" s="3" t="n">
        <v>532</v>
      </c>
      <c r="C534" s="3" t="n">
        <v>2</v>
      </c>
      <c r="D534" s="3" t="n">
        <v>10</v>
      </c>
      <c r="E534" s="3" t="n">
        <v>0</v>
      </c>
      <c r="F534" s="24" t="n">
        <v>0.587804258</v>
      </c>
    </row>
    <row r="535" customFormat="false" ht="15" hidden="false" customHeight="false" outlineLevel="0" collapsed="false">
      <c r="A535" s="3" t="n">
        <v>534</v>
      </c>
      <c r="B535" s="3" t="n">
        <v>533</v>
      </c>
      <c r="C535" s="3" t="n">
        <v>2</v>
      </c>
      <c r="D535" s="3" t="n">
        <v>10</v>
      </c>
      <c r="E535" s="3" t="n">
        <v>1</v>
      </c>
      <c r="F535" s="24" t="n">
        <v>0.509327829</v>
      </c>
    </row>
    <row r="536" customFormat="false" ht="15" hidden="false" customHeight="false" outlineLevel="0" collapsed="false">
      <c r="A536" s="3" t="n">
        <v>535</v>
      </c>
      <c r="B536" s="3" t="n">
        <v>534</v>
      </c>
      <c r="C536" s="3" t="n">
        <v>2</v>
      </c>
      <c r="D536" s="3" t="n">
        <v>10</v>
      </c>
      <c r="E536" s="3" t="n">
        <v>2</v>
      </c>
      <c r="F536" s="24" t="n">
        <v>0.633773386</v>
      </c>
    </row>
    <row r="537" customFormat="false" ht="15" hidden="false" customHeight="false" outlineLevel="0" collapsed="false">
      <c r="A537" s="3" t="n">
        <v>536</v>
      </c>
      <c r="B537" s="3" t="n">
        <v>535</v>
      </c>
      <c r="C537" s="3" t="n">
        <v>2</v>
      </c>
      <c r="D537" s="3" t="n">
        <v>10</v>
      </c>
      <c r="E537" s="3" t="n">
        <v>3</v>
      </c>
      <c r="F537" s="24" t="n">
        <v>0.61705929</v>
      </c>
    </row>
    <row r="538" customFormat="false" ht="15" hidden="false" customHeight="false" outlineLevel="0" collapsed="false">
      <c r="A538" s="3" t="n">
        <v>537</v>
      </c>
      <c r="B538" s="3" t="n">
        <v>536</v>
      </c>
      <c r="C538" s="3" t="n">
        <v>2</v>
      </c>
      <c r="D538" s="3" t="n">
        <v>10</v>
      </c>
      <c r="E538" s="3" t="n">
        <v>4</v>
      </c>
      <c r="F538" s="24" t="n">
        <v>0</v>
      </c>
    </row>
    <row r="539" customFormat="false" ht="15" hidden="false" customHeight="false" outlineLevel="0" collapsed="false">
      <c r="A539" s="3" t="n">
        <v>538</v>
      </c>
      <c r="B539" s="3" t="n">
        <v>537</v>
      </c>
      <c r="C539" s="3" t="n">
        <v>2</v>
      </c>
      <c r="D539" s="3" t="n">
        <v>10</v>
      </c>
      <c r="E539" s="3" t="n">
        <v>5</v>
      </c>
      <c r="F539" s="24" t="n">
        <v>0</v>
      </c>
    </row>
    <row r="540" customFormat="false" ht="15" hidden="false" customHeight="false" outlineLevel="0" collapsed="false">
      <c r="A540" s="3" t="n">
        <v>539</v>
      </c>
      <c r="B540" s="3" t="n">
        <v>538</v>
      </c>
      <c r="C540" s="3" t="n">
        <v>2</v>
      </c>
      <c r="D540" s="3" t="n">
        <v>10</v>
      </c>
      <c r="E540" s="3" t="n">
        <v>6</v>
      </c>
      <c r="F540" s="24" t="n">
        <v>0</v>
      </c>
    </row>
    <row r="541" customFormat="false" ht="15" hidden="false" customHeight="false" outlineLevel="0" collapsed="false">
      <c r="A541" s="3" t="n">
        <v>540</v>
      </c>
      <c r="B541" s="3" t="n">
        <v>539</v>
      </c>
      <c r="C541" s="3" t="n">
        <v>2</v>
      </c>
      <c r="D541" s="3" t="n">
        <v>10</v>
      </c>
      <c r="E541" s="3" t="n">
        <v>7</v>
      </c>
      <c r="F541" s="24" t="n">
        <v>0</v>
      </c>
    </row>
    <row r="542" customFormat="false" ht="15" hidden="false" customHeight="false" outlineLevel="0" collapsed="false">
      <c r="A542" s="3" t="n">
        <v>541</v>
      </c>
      <c r="B542" s="3" t="n">
        <v>540</v>
      </c>
      <c r="C542" s="3" t="n">
        <v>2</v>
      </c>
      <c r="D542" s="3" t="n">
        <v>10</v>
      </c>
      <c r="E542" s="3" t="n">
        <v>8</v>
      </c>
      <c r="F542" s="24" t="n">
        <v>1.28016651</v>
      </c>
    </row>
    <row r="543" customFormat="false" ht="15" hidden="false" customHeight="false" outlineLevel="0" collapsed="false">
      <c r="A543" s="3" t="n">
        <v>542</v>
      </c>
      <c r="B543" s="3" t="n">
        <v>541</v>
      </c>
      <c r="C543" s="3" t="n">
        <v>2</v>
      </c>
      <c r="D543" s="3" t="n">
        <v>10</v>
      </c>
      <c r="E543" s="3" t="n">
        <v>9</v>
      </c>
      <c r="F543" s="24" t="n">
        <v>3.32958722</v>
      </c>
    </row>
    <row r="544" customFormat="false" ht="15" hidden="false" customHeight="false" outlineLevel="0" collapsed="false">
      <c r="A544" s="3" t="n">
        <v>543</v>
      </c>
      <c r="B544" s="3" t="n">
        <v>542</v>
      </c>
      <c r="C544" s="3" t="n">
        <v>2</v>
      </c>
      <c r="D544" s="3" t="n">
        <v>10</v>
      </c>
      <c r="E544" s="3" t="n">
        <v>10</v>
      </c>
      <c r="F544" s="24" t="n">
        <v>1.01111281</v>
      </c>
    </row>
    <row r="545" customFormat="false" ht="15" hidden="false" customHeight="false" outlineLevel="0" collapsed="false">
      <c r="A545" s="3" t="n">
        <v>544</v>
      </c>
      <c r="B545" s="3" t="n">
        <v>543</v>
      </c>
      <c r="C545" s="3" t="n">
        <v>2</v>
      </c>
      <c r="D545" s="3" t="n">
        <v>10</v>
      </c>
      <c r="E545" s="3" t="n">
        <v>11</v>
      </c>
      <c r="F545" s="24" t="n">
        <v>0.633773386</v>
      </c>
    </row>
    <row r="546" customFormat="false" ht="15" hidden="false" customHeight="false" outlineLevel="0" collapsed="false">
      <c r="A546" s="3" t="n">
        <v>545</v>
      </c>
      <c r="B546" s="3" t="n">
        <v>544</v>
      </c>
      <c r="C546" s="3" t="n">
        <v>2</v>
      </c>
      <c r="D546" s="3" t="n">
        <v>10</v>
      </c>
      <c r="E546" s="3" t="n">
        <v>12</v>
      </c>
      <c r="F546" s="24" t="n">
        <v>0.354083538</v>
      </c>
    </row>
    <row r="547" customFormat="false" ht="15" hidden="false" customHeight="false" outlineLevel="0" collapsed="false">
      <c r="A547" s="3" t="n">
        <v>546</v>
      </c>
      <c r="B547" s="3" t="n">
        <v>545</v>
      </c>
      <c r="C547" s="3" t="n">
        <v>2</v>
      </c>
      <c r="D547" s="3" t="n">
        <v>10</v>
      </c>
      <c r="E547" s="3" t="n">
        <v>13</v>
      </c>
      <c r="F547" s="24" t="n">
        <v>0.191397607</v>
      </c>
    </row>
    <row r="548" customFormat="false" ht="15" hidden="false" customHeight="false" outlineLevel="0" collapsed="false">
      <c r="A548" s="3" t="n">
        <v>547</v>
      </c>
      <c r="B548" s="3" t="n">
        <v>546</v>
      </c>
      <c r="C548" s="3" t="n">
        <v>2</v>
      </c>
      <c r="D548" s="3" t="n">
        <v>11</v>
      </c>
      <c r="E548" s="3" t="n">
        <v>0</v>
      </c>
      <c r="F548" s="24" t="n">
        <v>0.587804258</v>
      </c>
    </row>
    <row r="549" customFormat="false" ht="15" hidden="false" customHeight="false" outlineLevel="0" collapsed="false">
      <c r="A549" s="3" t="n">
        <v>548</v>
      </c>
      <c r="B549" s="3" t="n">
        <v>547</v>
      </c>
      <c r="C549" s="3" t="n">
        <v>2</v>
      </c>
      <c r="D549" s="3" t="n">
        <v>11</v>
      </c>
      <c r="E549" s="3" t="n">
        <v>1</v>
      </c>
      <c r="F549" s="24" t="n">
        <v>0.509327829</v>
      </c>
    </row>
    <row r="550" customFormat="false" ht="15" hidden="false" customHeight="false" outlineLevel="0" collapsed="false">
      <c r="A550" s="3" t="n">
        <v>549</v>
      </c>
      <c r="B550" s="3" t="n">
        <v>548</v>
      </c>
      <c r="C550" s="3" t="n">
        <v>2</v>
      </c>
      <c r="D550" s="3" t="n">
        <v>11</v>
      </c>
      <c r="E550" s="3" t="n">
        <v>2</v>
      </c>
      <c r="F550" s="24" t="n">
        <v>0.633773386</v>
      </c>
    </row>
    <row r="551" customFormat="false" ht="15" hidden="false" customHeight="false" outlineLevel="0" collapsed="false">
      <c r="A551" s="3" t="n">
        <v>550</v>
      </c>
      <c r="B551" s="3" t="n">
        <v>549</v>
      </c>
      <c r="C551" s="3" t="n">
        <v>2</v>
      </c>
      <c r="D551" s="3" t="n">
        <v>11</v>
      </c>
      <c r="E551" s="3" t="n">
        <v>3</v>
      </c>
      <c r="F551" s="24" t="n">
        <v>0.485891134</v>
      </c>
    </row>
    <row r="552" customFormat="false" ht="15" hidden="false" customHeight="false" outlineLevel="0" collapsed="false">
      <c r="A552" s="3" t="n">
        <v>551</v>
      </c>
      <c r="B552" s="3" t="n">
        <v>550</v>
      </c>
      <c r="C552" s="3" t="n">
        <v>2</v>
      </c>
      <c r="D552" s="3" t="n">
        <v>11</v>
      </c>
      <c r="E552" s="3" t="n">
        <v>4</v>
      </c>
      <c r="F552" s="24" t="n">
        <v>0</v>
      </c>
    </row>
    <row r="553" customFormat="false" ht="15" hidden="false" customHeight="false" outlineLevel="0" collapsed="false">
      <c r="A553" s="3" t="n">
        <v>552</v>
      </c>
      <c r="B553" s="3" t="n">
        <v>551</v>
      </c>
      <c r="C553" s="3" t="n">
        <v>2</v>
      </c>
      <c r="D553" s="3" t="n">
        <v>11</v>
      </c>
      <c r="E553" s="3" t="n">
        <v>5</v>
      </c>
      <c r="F553" s="24" t="n">
        <v>0</v>
      </c>
    </row>
    <row r="554" customFormat="false" ht="15" hidden="false" customHeight="false" outlineLevel="0" collapsed="false">
      <c r="A554" s="3" t="n">
        <v>553</v>
      </c>
      <c r="B554" s="3" t="n">
        <v>552</v>
      </c>
      <c r="C554" s="3" t="n">
        <v>2</v>
      </c>
      <c r="D554" s="3" t="n">
        <v>11</v>
      </c>
      <c r="E554" s="3" t="n">
        <v>6</v>
      </c>
      <c r="F554" s="24" t="n">
        <v>0</v>
      </c>
    </row>
    <row r="555" customFormat="false" ht="15" hidden="false" customHeight="false" outlineLevel="0" collapsed="false">
      <c r="A555" s="3" t="n">
        <v>554</v>
      </c>
      <c r="B555" s="3" t="n">
        <v>553</v>
      </c>
      <c r="C555" s="3" t="n">
        <v>2</v>
      </c>
      <c r="D555" s="3" t="n">
        <v>11</v>
      </c>
      <c r="E555" s="3" t="n">
        <v>7</v>
      </c>
      <c r="F555" s="24" t="n">
        <v>0</v>
      </c>
    </row>
    <row r="556" customFormat="false" ht="15" hidden="false" customHeight="false" outlineLevel="0" collapsed="false">
      <c r="A556" s="3" t="n">
        <v>555</v>
      </c>
      <c r="B556" s="3" t="n">
        <v>554</v>
      </c>
      <c r="C556" s="3" t="n">
        <v>2</v>
      </c>
      <c r="D556" s="3" t="n">
        <v>11</v>
      </c>
      <c r="E556" s="3" t="n">
        <v>8</v>
      </c>
      <c r="F556" s="24" t="n">
        <v>1.53036833</v>
      </c>
    </row>
    <row r="557" customFormat="false" ht="15" hidden="false" customHeight="false" outlineLevel="0" collapsed="false">
      <c r="A557" s="3" t="n">
        <v>556</v>
      </c>
      <c r="B557" s="3" t="n">
        <v>555</v>
      </c>
      <c r="C557" s="3" t="n">
        <v>2</v>
      </c>
      <c r="D557" s="3" t="n">
        <v>11</v>
      </c>
      <c r="E557" s="3" t="n">
        <v>9</v>
      </c>
      <c r="F557" s="24" t="n">
        <v>1.93384552</v>
      </c>
    </row>
    <row r="558" customFormat="false" ht="15" hidden="false" customHeight="false" outlineLevel="0" collapsed="false">
      <c r="A558" s="3" t="n">
        <v>557</v>
      </c>
      <c r="B558" s="3" t="n">
        <v>556</v>
      </c>
      <c r="C558" s="3" t="n">
        <v>2</v>
      </c>
      <c r="D558" s="3" t="n">
        <v>11</v>
      </c>
      <c r="E558" s="3" t="n">
        <v>10</v>
      </c>
      <c r="F558" s="24" t="n">
        <v>0.633773386</v>
      </c>
    </row>
    <row r="559" customFormat="false" ht="15" hidden="false" customHeight="false" outlineLevel="0" collapsed="false">
      <c r="A559" s="3" t="n">
        <v>558</v>
      </c>
      <c r="B559" s="3" t="n">
        <v>557</v>
      </c>
      <c r="C559" s="3" t="n">
        <v>2</v>
      </c>
      <c r="D559" s="3" t="n">
        <v>11</v>
      </c>
      <c r="E559" s="3" t="n">
        <v>11</v>
      </c>
      <c r="F559" s="24" t="n">
        <v>0.633773386</v>
      </c>
    </row>
    <row r="560" customFormat="false" ht="15" hidden="false" customHeight="false" outlineLevel="0" collapsed="false">
      <c r="A560" s="3" t="n">
        <v>559</v>
      </c>
      <c r="B560" s="3" t="n">
        <v>558</v>
      </c>
      <c r="C560" s="3" t="n">
        <v>2</v>
      </c>
      <c r="D560" s="3" t="n">
        <v>11</v>
      </c>
      <c r="E560" s="3" t="n">
        <v>12</v>
      </c>
      <c r="F560" s="24" t="n">
        <v>0.354083538</v>
      </c>
    </row>
    <row r="561" customFormat="false" ht="15" hidden="false" customHeight="false" outlineLevel="0" collapsed="false">
      <c r="A561" s="3" t="n">
        <v>560</v>
      </c>
      <c r="B561" s="3" t="n">
        <v>559</v>
      </c>
      <c r="C561" s="3" t="n">
        <v>2</v>
      </c>
      <c r="D561" s="3" t="n">
        <v>11</v>
      </c>
      <c r="E561" s="3" t="n">
        <v>13</v>
      </c>
      <c r="F561" s="24" t="n">
        <v>0.191397607</v>
      </c>
    </row>
    <row r="562" customFormat="false" ht="15" hidden="false" customHeight="false" outlineLevel="0" collapsed="false">
      <c r="A562" s="3" t="n">
        <v>561</v>
      </c>
      <c r="B562" s="3" t="n">
        <v>560</v>
      </c>
      <c r="C562" s="3" t="n">
        <v>2</v>
      </c>
      <c r="D562" s="3" t="n">
        <v>12</v>
      </c>
      <c r="E562" s="3" t="n">
        <v>0</v>
      </c>
      <c r="F562" s="24" t="n">
        <v>0.88668561</v>
      </c>
    </row>
    <row r="563" customFormat="false" ht="15" hidden="false" customHeight="false" outlineLevel="0" collapsed="false">
      <c r="A563" s="3" t="n">
        <v>562</v>
      </c>
      <c r="B563" s="3" t="n">
        <v>561</v>
      </c>
      <c r="C563" s="3" t="n">
        <v>2</v>
      </c>
      <c r="D563" s="3" t="n">
        <v>12</v>
      </c>
      <c r="E563" s="3" t="n">
        <v>1</v>
      </c>
      <c r="F563" s="24" t="n">
        <v>0.805991888</v>
      </c>
    </row>
    <row r="564" customFormat="false" ht="15" hidden="false" customHeight="false" outlineLevel="0" collapsed="false">
      <c r="A564" s="3" t="n">
        <v>563</v>
      </c>
      <c r="B564" s="3" t="n">
        <v>562</v>
      </c>
      <c r="C564" s="3" t="n">
        <v>2</v>
      </c>
      <c r="D564" s="3" t="n">
        <v>12</v>
      </c>
      <c r="E564" s="3" t="n">
        <v>2</v>
      </c>
      <c r="F564" s="24" t="n">
        <v>1.02608156</v>
      </c>
    </row>
    <row r="565" customFormat="false" ht="15" hidden="false" customHeight="false" outlineLevel="0" collapsed="false">
      <c r="A565" s="3" t="n">
        <v>564</v>
      </c>
      <c r="B565" s="3" t="n">
        <v>563</v>
      </c>
      <c r="C565" s="3" t="n">
        <v>2</v>
      </c>
      <c r="D565" s="3" t="n">
        <v>12</v>
      </c>
      <c r="E565" s="3" t="n">
        <v>3</v>
      </c>
      <c r="F565" s="24" t="n">
        <v>0</v>
      </c>
    </row>
    <row r="566" customFormat="false" ht="15" hidden="false" customHeight="false" outlineLevel="0" collapsed="false">
      <c r="A566" s="3" t="n">
        <v>565</v>
      </c>
      <c r="B566" s="3" t="n">
        <v>564</v>
      </c>
      <c r="C566" s="3" t="n">
        <v>2</v>
      </c>
      <c r="D566" s="3" t="n">
        <v>12</v>
      </c>
      <c r="E566" s="3" t="n">
        <v>4</v>
      </c>
      <c r="F566" s="24" t="n">
        <v>0</v>
      </c>
    </row>
    <row r="567" customFormat="false" ht="15" hidden="false" customHeight="false" outlineLevel="0" collapsed="false">
      <c r="A567" s="3" t="n">
        <v>566</v>
      </c>
      <c r="B567" s="3" t="n">
        <v>565</v>
      </c>
      <c r="C567" s="3" t="n">
        <v>2</v>
      </c>
      <c r="D567" s="3" t="n">
        <v>12</v>
      </c>
      <c r="E567" s="3" t="n">
        <v>5</v>
      </c>
      <c r="F567" s="24" t="n">
        <v>0</v>
      </c>
    </row>
    <row r="568" customFormat="false" ht="15" hidden="false" customHeight="false" outlineLevel="0" collapsed="false">
      <c r="A568" s="3" t="n">
        <v>567</v>
      </c>
      <c r="B568" s="3" t="n">
        <v>566</v>
      </c>
      <c r="C568" s="3" t="n">
        <v>2</v>
      </c>
      <c r="D568" s="3" t="n">
        <v>12</v>
      </c>
      <c r="E568" s="3" t="n">
        <v>6</v>
      </c>
      <c r="F568" s="24" t="n">
        <v>0.193447292</v>
      </c>
    </row>
    <row r="569" customFormat="false" ht="15" hidden="false" customHeight="false" outlineLevel="0" collapsed="false">
      <c r="A569" s="3" t="n">
        <v>568</v>
      </c>
      <c r="B569" s="3" t="n">
        <v>567</v>
      </c>
      <c r="C569" s="3" t="n">
        <v>2</v>
      </c>
      <c r="D569" s="3" t="n">
        <v>12</v>
      </c>
      <c r="E569" s="3" t="n">
        <v>7</v>
      </c>
      <c r="F569" s="24" t="n">
        <v>1.64689243</v>
      </c>
    </row>
    <row r="570" customFormat="false" ht="15" hidden="false" customHeight="false" outlineLevel="0" collapsed="false">
      <c r="A570" s="3" t="n">
        <v>569</v>
      </c>
      <c r="B570" s="3" t="n">
        <v>568</v>
      </c>
      <c r="C570" s="3" t="n">
        <v>2</v>
      </c>
      <c r="D570" s="3" t="n">
        <v>12</v>
      </c>
      <c r="E570" s="3" t="n">
        <v>8</v>
      </c>
      <c r="F570" s="24" t="n">
        <v>2.35648537</v>
      </c>
    </row>
    <row r="571" customFormat="false" ht="15" hidden="false" customHeight="false" outlineLevel="0" collapsed="false">
      <c r="A571" s="3" t="n">
        <v>570</v>
      </c>
      <c r="B571" s="3" t="n">
        <v>569</v>
      </c>
      <c r="C571" s="3" t="n">
        <v>2</v>
      </c>
      <c r="D571" s="3" t="n">
        <v>12</v>
      </c>
      <c r="E571" s="3" t="n">
        <v>9</v>
      </c>
      <c r="F571" s="24" t="n">
        <v>1.0962075</v>
      </c>
    </row>
    <row r="572" customFormat="false" ht="15" hidden="false" customHeight="false" outlineLevel="0" collapsed="false">
      <c r="A572" s="3" t="n">
        <v>571</v>
      </c>
      <c r="B572" s="3" t="n">
        <v>570</v>
      </c>
      <c r="C572" s="3" t="n">
        <v>2</v>
      </c>
      <c r="D572" s="3" t="n">
        <v>12</v>
      </c>
      <c r="E572" s="3" t="n">
        <v>10</v>
      </c>
      <c r="F572" s="24" t="n">
        <v>1.02608156</v>
      </c>
    </row>
    <row r="573" customFormat="false" ht="15" hidden="false" customHeight="false" outlineLevel="0" collapsed="false">
      <c r="A573" s="3" t="n">
        <v>572</v>
      </c>
      <c r="B573" s="3" t="n">
        <v>571</v>
      </c>
      <c r="C573" s="3" t="n">
        <v>2</v>
      </c>
      <c r="D573" s="3" t="n">
        <v>12</v>
      </c>
      <c r="E573" s="3" t="n">
        <v>11</v>
      </c>
      <c r="F573" s="24" t="n">
        <v>1.02608156</v>
      </c>
    </row>
    <row r="574" customFormat="false" ht="15" hidden="false" customHeight="false" outlineLevel="0" collapsed="false">
      <c r="A574" s="3" t="n">
        <v>573</v>
      </c>
      <c r="B574" s="3" t="n">
        <v>572</v>
      </c>
      <c r="C574" s="3" t="n">
        <v>2</v>
      </c>
      <c r="D574" s="3" t="n">
        <v>12</v>
      </c>
      <c r="E574" s="3" t="n">
        <v>12</v>
      </c>
      <c r="F574" s="24" t="n">
        <v>0.746391773</v>
      </c>
    </row>
    <row r="575" customFormat="false" ht="15" hidden="false" customHeight="false" outlineLevel="0" collapsed="false">
      <c r="A575" s="3" t="n">
        <v>574</v>
      </c>
      <c r="B575" s="3" t="n">
        <v>573</v>
      </c>
      <c r="C575" s="3" t="n">
        <v>2</v>
      </c>
      <c r="D575" s="3" t="n">
        <v>12</v>
      </c>
      <c r="E575" s="3" t="n">
        <v>13</v>
      </c>
      <c r="F575" s="24" t="n">
        <v>0.485037833</v>
      </c>
    </row>
    <row r="576" customFormat="false" ht="15" hidden="false" customHeight="false" outlineLevel="0" collapsed="false">
      <c r="A576" s="3" t="n">
        <v>575</v>
      </c>
      <c r="B576" s="3" t="n">
        <v>574</v>
      </c>
      <c r="C576" s="3" t="n">
        <v>2</v>
      </c>
      <c r="D576" s="3" t="n">
        <v>13</v>
      </c>
      <c r="E576" s="3" t="n">
        <v>0</v>
      </c>
      <c r="F576" s="24" t="n">
        <v>0.172628909</v>
      </c>
    </row>
    <row r="577" customFormat="false" ht="15" hidden="false" customHeight="false" outlineLevel="0" collapsed="false">
      <c r="A577" s="3" t="n">
        <v>576</v>
      </c>
      <c r="B577" s="3" t="n">
        <v>575</v>
      </c>
      <c r="C577" s="3" t="n">
        <v>2</v>
      </c>
      <c r="D577" s="3" t="n">
        <v>13</v>
      </c>
      <c r="E577" s="3" t="n">
        <v>1</v>
      </c>
      <c r="F577" s="24" t="n">
        <v>0.143022001</v>
      </c>
    </row>
    <row r="578" customFormat="false" ht="15" hidden="false" customHeight="false" outlineLevel="0" collapsed="false">
      <c r="A578" s="3" t="n">
        <v>577</v>
      </c>
      <c r="B578" s="3" t="n">
        <v>576</v>
      </c>
      <c r="C578" s="3" t="n">
        <v>2</v>
      </c>
      <c r="D578" s="3" t="n">
        <v>13</v>
      </c>
      <c r="E578" s="3" t="n">
        <v>2</v>
      </c>
      <c r="F578" s="24" t="n">
        <v>0.070983842</v>
      </c>
    </row>
    <row r="579" customFormat="false" ht="15" hidden="false" customHeight="false" outlineLevel="0" collapsed="false">
      <c r="A579" s="3" t="n">
        <v>578</v>
      </c>
      <c r="B579" s="3" t="n">
        <v>577</v>
      </c>
      <c r="C579" s="3" t="n">
        <v>2</v>
      </c>
      <c r="D579" s="3" t="n">
        <v>13</v>
      </c>
      <c r="E579" s="3" t="n">
        <v>3</v>
      </c>
      <c r="F579" s="24" t="n">
        <v>0</v>
      </c>
    </row>
    <row r="580" customFormat="false" ht="15" hidden="false" customHeight="false" outlineLevel="0" collapsed="false">
      <c r="A580" s="3" t="n">
        <v>579</v>
      </c>
      <c r="B580" s="3" t="n">
        <v>578</v>
      </c>
      <c r="C580" s="3" t="n">
        <v>2</v>
      </c>
      <c r="D580" s="3" t="n">
        <v>13</v>
      </c>
      <c r="E580" s="3" t="n">
        <v>4</v>
      </c>
      <c r="F580" s="24" t="n">
        <v>2.89441586</v>
      </c>
    </row>
    <row r="581" customFormat="false" ht="15" hidden="false" customHeight="false" outlineLevel="0" collapsed="false">
      <c r="A581" s="3" t="n">
        <v>580</v>
      </c>
      <c r="B581" s="3" t="n">
        <v>579</v>
      </c>
      <c r="C581" s="3" t="n">
        <v>2</v>
      </c>
      <c r="D581" s="3" t="n">
        <v>13</v>
      </c>
      <c r="E581" s="3" t="n">
        <v>5</v>
      </c>
      <c r="F581" s="24" t="n">
        <v>7.19992018</v>
      </c>
    </row>
    <row r="582" customFormat="false" ht="15" hidden="false" customHeight="false" outlineLevel="0" collapsed="false">
      <c r="A582" s="3" t="n">
        <v>581</v>
      </c>
      <c r="B582" s="3" t="n">
        <v>580</v>
      </c>
      <c r="C582" s="3" t="n">
        <v>2</v>
      </c>
      <c r="D582" s="3" t="n">
        <v>13</v>
      </c>
      <c r="E582" s="3" t="n">
        <v>6</v>
      </c>
      <c r="F582" s="24" t="n">
        <v>7.3890624</v>
      </c>
    </row>
    <row r="583" customFormat="false" ht="15" hidden="false" customHeight="false" outlineLevel="0" collapsed="false">
      <c r="A583" s="3" t="n">
        <v>582</v>
      </c>
      <c r="B583" s="3" t="n">
        <v>581</v>
      </c>
      <c r="C583" s="3" t="n">
        <v>2</v>
      </c>
      <c r="D583" s="3" t="n">
        <v>13</v>
      </c>
      <c r="E583" s="3" t="n">
        <v>7</v>
      </c>
      <c r="F583" s="24" t="n">
        <v>5.61211252</v>
      </c>
    </row>
    <row r="584" customFormat="false" ht="15" hidden="false" customHeight="false" outlineLevel="0" collapsed="false">
      <c r="A584" s="3" t="n">
        <v>583</v>
      </c>
      <c r="B584" s="3" t="n">
        <v>582</v>
      </c>
      <c r="C584" s="3" t="n">
        <v>2</v>
      </c>
      <c r="D584" s="3" t="n">
        <v>13</v>
      </c>
      <c r="E584" s="3" t="n">
        <v>8</v>
      </c>
      <c r="F584" s="24" t="n">
        <v>1.75435066</v>
      </c>
    </row>
    <row r="585" customFormat="false" ht="15" hidden="false" customHeight="false" outlineLevel="0" collapsed="false">
      <c r="A585" s="3" t="n">
        <v>584</v>
      </c>
      <c r="B585" s="3" t="n">
        <v>583</v>
      </c>
      <c r="C585" s="3" t="n">
        <v>2</v>
      </c>
      <c r="D585" s="3" t="n">
        <v>13</v>
      </c>
      <c r="E585" s="3" t="n">
        <v>9</v>
      </c>
      <c r="F585" s="24" t="n">
        <v>0.070983842</v>
      </c>
    </row>
    <row r="586" customFormat="false" ht="15" hidden="false" customHeight="false" outlineLevel="0" collapsed="false">
      <c r="A586" s="3" t="n">
        <v>585</v>
      </c>
      <c r="B586" s="3" t="n">
        <v>584</v>
      </c>
      <c r="C586" s="3" t="n">
        <v>2</v>
      </c>
      <c r="D586" s="3" t="n">
        <v>13</v>
      </c>
      <c r="E586" s="3" t="n">
        <v>10</v>
      </c>
      <c r="F586" s="24" t="n">
        <v>0.070983842</v>
      </c>
    </row>
    <row r="587" customFormat="false" ht="15" hidden="false" customHeight="false" outlineLevel="0" collapsed="false">
      <c r="A587" s="3" t="n">
        <v>586</v>
      </c>
      <c r="B587" s="3" t="n">
        <v>585</v>
      </c>
      <c r="C587" s="3" t="n">
        <v>2</v>
      </c>
      <c r="D587" s="3" t="n">
        <v>13</v>
      </c>
      <c r="E587" s="3" t="n">
        <v>11</v>
      </c>
      <c r="F587" s="24" t="n">
        <v>0.070983842</v>
      </c>
    </row>
    <row r="588" customFormat="false" ht="15" hidden="false" customHeight="false" outlineLevel="0" collapsed="false">
      <c r="A588" s="3" t="n">
        <v>587</v>
      </c>
      <c r="B588" s="3" t="n">
        <v>586</v>
      </c>
      <c r="C588" s="3" t="n">
        <v>2</v>
      </c>
      <c r="D588" s="3" t="n">
        <v>13</v>
      </c>
      <c r="E588" s="3" t="n">
        <v>12</v>
      </c>
      <c r="F588" s="24" t="n">
        <v>0</v>
      </c>
    </row>
    <row r="589" customFormat="false" ht="15" hidden="false" customHeight="false" outlineLevel="0" collapsed="false">
      <c r="A589" s="3" t="n">
        <v>588</v>
      </c>
      <c r="B589" s="3" t="n">
        <v>587</v>
      </c>
      <c r="C589" s="3" t="n">
        <v>2</v>
      </c>
      <c r="D589" s="3" t="n">
        <v>13</v>
      </c>
      <c r="E589" s="3" t="n">
        <v>13</v>
      </c>
      <c r="F589" s="24" t="n">
        <v>0</v>
      </c>
    </row>
    <row r="590" customFormat="false" ht="15" hidden="false" customHeight="false" outlineLevel="0" collapsed="false">
      <c r="A590" s="3" t="n">
        <v>589</v>
      </c>
      <c r="B590" s="3" t="n">
        <v>588</v>
      </c>
      <c r="C590" s="3" t="n">
        <v>3</v>
      </c>
      <c r="D590" s="3" t="n">
        <v>0</v>
      </c>
      <c r="E590" s="3" t="n">
        <v>0</v>
      </c>
      <c r="F590" s="24" t="n">
        <v>0</v>
      </c>
    </row>
    <row r="591" customFormat="false" ht="15" hidden="false" customHeight="false" outlineLevel="0" collapsed="false">
      <c r="A591" s="3" t="n">
        <v>590</v>
      </c>
      <c r="B591" s="3" t="n">
        <v>589</v>
      </c>
      <c r="C591" s="3" t="n">
        <v>3</v>
      </c>
      <c r="D591" s="3" t="n">
        <v>0</v>
      </c>
      <c r="E591" s="3" t="n">
        <v>1</v>
      </c>
      <c r="F591" s="24" t="n">
        <v>0</v>
      </c>
    </row>
    <row r="592" customFormat="false" ht="15" hidden="false" customHeight="false" outlineLevel="0" collapsed="false">
      <c r="A592" s="3" t="n">
        <v>591</v>
      </c>
      <c r="B592" s="3" t="n">
        <v>590</v>
      </c>
      <c r="C592" s="3" t="n">
        <v>3</v>
      </c>
      <c r="D592" s="3" t="n">
        <v>0</v>
      </c>
      <c r="E592" s="3" t="n">
        <v>2</v>
      </c>
      <c r="F592" s="24" t="n">
        <v>0</v>
      </c>
    </row>
    <row r="593" customFormat="false" ht="15" hidden="false" customHeight="false" outlineLevel="0" collapsed="false">
      <c r="A593" s="3" t="n">
        <v>592</v>
      </c>
      <c r="B593" s="3" t="n">
        <v>591</v>
      </c>
      <c r="C593" s="3" t="n">
        <v>3</v>
      </c>
      <c r="D593" s="3" t="n">
        <v>0</v>
      </c>
      <c r="E593" s="3" t="n">
        <v>3</v>
      </c>
      <c r="F593" s="24" t="n">
        <v>0</v>
      </c>
    </row>
    <row r="594" customFormat="false" ht="15" hidden="false" customHeight="false" outlineLevel="0" collapsed="false">
      <c r="A594" s="3" t="n">
        <v>593</v>
      </c>
      <c r="B594" s="3" t="n">
        <v>592</v>
      </c>
      <c r="C594" s="3" t="n">
        <v>3</v>
      </c>
      <c r="D594" s="3" t="n">
        <v>0</v>
      </c>
      <c r="E594" s="3" t="n">
        <v>4</v>
      </c>
      <c r="F594" s="24" t="n">
        <v>0</v>
      </c>
    </row>
    <row r="595" customFormat="false" ht="15" hidden="false" customHeight="false" outlineLevel="0" collapsed="false">
      <c r="A595" s="3" t="n">
        <v>594</v>
      </c>
      <c r="B595" s="3" t="n">
        <v>593</v>
      </c>
      <c r="C595" s="3" t="n">
        <v>3</v>
      </c>
      <c r="D595" s="3" t="n">
        <v>0</v>
      </c>
      <c r="E595" s="3" t="n">
        <v>5</v>
      </c>
      <c r="F595" s="24" t="n">
        <v>0</v>
      </c>
    </row>
    <row r="596" customFormat="false" ht="15" hidden="false" customHeight="false" outlineLevel="0" collapsed="false">
      <c r="A596" s="3" t="n">
        <v>595</v>
      </c>
      <c r="B596" s="3" t="n">
        <v>594</v>
      </c>
      <c r="C596" s="3" t="n">
        <v>3</v>
      </c>
      <c r="D596" s="3" t="n">
        <v>0</v>
      </c>
      <c r="E596" s="3" t="n">
        <v>6</v>
      </c>
      <c r="F596" s="24" t="n">
        <v>0</v>
      </c>
    </row>
    <row r="597" customFormat="false" ht="15" hidden="false" customHeight="false" outlineLevel="0" collapsed="false">
      <c r="A597" s="3" t="n">
        <v>596</v>
      </c>
      <c r="B597" s="3" t="n">
        <v>595</v>
      </c>
      <c r="C597" s="3" t="n">
        <v>3</v>
      </c>
      <c r="D597" s="3" t="n">
        <v>0</v>
      </c>
      <c r="E597" s="3" t="n">
        <v>7</v>
      </c>
      <c r="F597" s="24" t="n">
        <v>0</v>
      </c>
    </row>
    <row r="598" customFormat="false" ht="15" hidden="false" customHeight="false" outlineLevel="0" collapsed="false">
      <c r="A598" s="3" t="n">
        <v>597</v>
      </c>
      <c r="B598" s="3" t="n">
        <v>596</v>
      </c>
      <c r="C598" s="3" t="n">
        <v>3</v>
      </c>
      <c r="D598" s="3" t="n">
        <v>0</v>
      </c>
      <c r="E598" s="3" t="n">
        <v>8</v>
      </c>
      <c r="F598" s="24" t="n">
        <v>0</v>
      </c>
    </row>
    <row r="599" customFormat="false" ht="15" hidden="false" customHeight="false" outlineLevel="0" collapsed="false">
      <c r="A599" s="3" t="n">
        <v>598</v>
      </c>
      <c r="B599" s="3" t="n">
        <v>597</v>
      </c>
      <c r="C599" s="3" t="n">
        <v>3</v>
      </c>
      <c r="D599" s="3" t="n">
        <v>0</v>
      </c>
      <c r="E599" s="3" t="n">
        <v>9</v>
      </c>
      <c r="F599" s="24" t="n">
        <v>0</v>
      </c>
    </row>
    <row r="600" customFormat="false" ht="15" hidden="false" customHeight="false" outlineLevel="0" collapsed="false">
      <c r="A600" s="3" t="n">
        <v>599</v>
      </c>
      <c r="B600" s="3" t="n">
        <v>598</v>
      </c>
      <c r="C600" s="3" t="n">
        <v>3</v>
      </c>
      <c r="D600" s="3" t="n">
        <v>0</v>
      </c>
      <c r="E600" s="3" t="n">
        <v>10</v>
      </c>
      <c r="F600" s="24" t="n">
        <v>0</v>
      </c>
    </row>
    <row r="601" customFormat="false" ht="15" hidden="false" customHeight="false" outlineLevel="0" collapsed="false">
      <c r="A601" s="3" t="n">
        <v>600</v>
      </c>
      <c r="B601" s="3" t="n">
        <v>599</v>
      </c>
      <c r="C601" s="3" t="n">
        <v>3</v>
      </c>
      <c r="D601" s="3" t="n">
        <v>0</v>
      </c>
      <c r="E601" s="3" t="n">
        <v>11</v>
      </c>
      <c r="F601" s="24" t="n">
        <v>0</v>
      </c>
    </row>
    <row r="602" customFormat="false" ht="15" hidden="false" customHeight="false" outlineLevel="0" collapsed="false">
      <c r="A602" s="3" t="n">
        <v>601</v>
      </c>
      <c r="B602" s="3" t="n">
        <v>600</v>
      </c>
      <c r="C602" s="3" t="n">
        <v>3</v>
      </c>
      <c r="D602" s="3" t="n">
        <v>0</v>
      </c>
      <c r="E602" s="3" t="n">
        <v>12</v>
      </c>
      <c r="F602" s="24" t="n">
        <v>0</v>
      </c>
    </row>
    <row r="603" customFormat="false" ht="15" hidden="false" customHeight="false" outlineLevel="0" collapsed="false">
      <c r="A603" s="3" t="n">
        <v>602</v>
      </c>
      <c r="B603" s="3" t="n">
        <v>601</v>
      </c>
      <c r="C603" s="3" t="n">
        <v>3</v>
      </c>
      <c r="D603" s="3" t="n">
        <v>0</v>
      </c>
      <c r="E603" s="3" t="n">
        <v>13</v>
      </c>
      <c r="F603" s="24" t="n">
        <v>0</v>
      </c>
    </row>
    <row r="604" customFormat="false" ht="15" hidden="false" customHeight="false" outlineLevel="0" collapsed="false">
      <c r="A604" s="3" t="n">
        <v>603</v>
      </c>
      <c r="B604" s="3" t="n">
        <v>602</v>
      </c>
      <c r="C604" s="3" t="n">
        <v>3</v>
      </c>
      <c r="D604" s="3" t="n">
        <v>1</v>
      </c>
      <c r="E604" s="3" t="n">
        <v>0</v>
      </c>
      <c r="F604" s="24" t="n">
        <v>0</v>
      </c>
    </row>
    <row r="605" customFormat="false" ht="15" hidden="false" customHeight="false" outlineLevel="0" collapsed="false">
      <c r="A605" s="3" t="n">
        <v>604</v>
      </c>
      <c r="B605" s="3" t="n">
        <v>603</v>
      </c>
      <c r="C605" s="3" t="n">
        <v>3</v>
      </c>
      <c r="D605" s="3" t="n">
        <v>1</v>
      </c>
      <c r="E605" s="3" t="n">
        <v>1</v>
      </c>
      <c r="F605" s="24" t="n">
        <v>0</v>
      </c>
    </row>
    <row r="606" customFormat="false" ht="15" hidden="false" customHeight="false" outlineLevel="0" collapsed="false">
      <c r="A606" s="3" t="n">
        <v>605</v>
      </c>
      <c r="B606" s="3" t="n">
        <v>604</v>
      </c>
      <c r="C606" s="3" t="n">
        <v>3</v>
      </c>
      <c r="D606" s="3" t="n">
        <v>1</v>
      </c>
      <c r="E606" s="3" t="n">
        <v>2</v>
      </c>
      <c r="F606" s="24" t="n">
        <v>0</v>
      </c>
    </row>
    <row r="607" customFormat="false" ht="15" hidden="false" customHeight="false" outlineLevel="0" collapsed="false">
      <c r="A607" s="3" t="n">
        <v>606</v>
      </c>
      <c r="B607" s="3" t="n">
        <v>605</v>
      </c>
      <c r="C607" s="3" t="n">
        <v>3</v>
      </c>
      <c r="D607" s="3" t="n">
        <v>1</v>
      </c>
      <c r="E607" s="3" t="n">
        <v>3</v>
      </c>
      <c r="F607" s="24" t="n">
        <v>0</v>
      </c>
    </row>
    <row r="608" customFormat="false" ht="15" hidden="false" customHeight="false" outlineLevel="0" collapsed="false">
      <c r="A608" s="3" t="n">
        <v>607</v>
      </c>
      <c r="B608" s="3" t="n">
        <v>606</v>
      </c>
      <c r="C608" s="3" t="n">
        <v>3</v>
      </c>
      <c r="D608" s="3" t="n">
        <v>1</v>
      </c>
      <c r="E608" s="3" t="n">
        <v>4</v>
      </c>
      <c r="F608" s="24" t="n">
        <v>0</v>
      </c>
    </row>
    <row r="609" customFormat="false" ht="15" hidden="false" customHeight="false" outlineLevel="0" collapsed="false">
      <c r="A609" s="3" t="n">
        <v>608</v>
      </c>
      <c r="B609" s="3" t="n">
        <v>607</v>
      </c>
      <c r="C609" s="3" t="n">
        <v>3</v>
      </c>
      <c r="D609" s="3" t="n">
        <v>1</v>
      </c>
      <c r="E609" s="3" t="n">
        <v>5</v>
      </c>
      <c r="F609" s="24" t="n">
        <v>0</v>
      </c>
    </row>
    <row r="610" customFormat="false" ht="15" hidden="false" customHeight="false" outlineLevel="0" collapsed="false">
      <c r="A610" s="3" t="n">
        <v>609</v>
      </c>
      <c r="B610" s="3" t="n">
        <v>608</v>
      </c>
      <c r="C610" s="3" t="n">
        <v>3</v>
      </c>
      <c r="D610" s="3" t="n">
        <v>1</v>
      </c>
      <c r="E610" s="3" t="n">
        <v>6</v>
      </c>
      <c r="F610" s="24" t="n">
        <v>0</v>
      </c>
    </row>
    <row r="611" customFormat="false" ht="15" hidden="false" customHeight="false" outlineLevel="0" collapsed="false">
      <c r="A611" s="3" t="n">
        <v>610</v>
      </c>
      <c r="B611" s="3" t="n">
        <v>609</v>
      </c>
      <c r="C611" s="3" t="n">
        <v>3</v>
      </c>
      <c r="D611" s="3" t="n">
        <v>1</v>
      </c>
      <c r="E611" s="3" t="n">
        <v>7</v>
      </c>
      <c r="F611" s="24" t="n">
        <v>0</v>
      </c>
    </row>
    <row r="612" customFormat="false" ht="15" hidden="false" customHeight="false" outlineLevel="0" collapsed="false">
      <c r="A612" s="3" t="n">
        <v>611</v>
      </c>
      <c r="B612" s="3" t="n">
        <v>610</v>
      </c>
      <c r="C612" s="3" t="n">
        <v>3</v>
      </c>
      <c r="D612" s="3" t="n">
        <v>1</v>
      </c>
      <c r="E612" s="3" t="n">
        <v>8</v>
      </c>
      <c r="F612" s="24" t="n">
        <v>0</v>
      </c>
    </row>
    <row r="613" customFormat="false" ht="15" hidden="false" customHeight="false" outlineLevel="0" collapsed="false">
      <c r="A613" s="3" t="n">
        <v>612</v>
      </c>
      <c r="B613" s="3" t="n">
        <v>611</v>
      </c>
      <c r="C613" s="3" t="n">
        <v>3</v>
      </c>
      <c r="D613" s="3" t="n">
        <v>1</v>
      </c>
      <c r="E613" s="3" t="n">
        <v>9</v>
      </c>
      <c r="F613" s="24" t="n">
        <v>0</v>
      </c>
    </row>
    <row r="614" customFormat="false" ht="15" hidden="false" customHeight="false" outlineLevel="0" collapsed="false">
      <c r="A614" s="3" t="n">
        <v>613</v>
      </c>
      <c r="B614" s="3" t="n">
        <v>612</v>
      </c>
      <c r="C614" s="3" t="n">
        <v>3</v>
      </c>
      <c r="D614" s="3" t="n">
        <v>1</v>
      </c>
      <c r="E614" s="3" t="n">
        <v>10</v>
      </c>
      <c r="F614" s="24" t="n">
        <v>0</v>
      </c>
    </row>
    <row r="615" customFormat="false" ht="15" hidden="false" customHeight="false" outlineLevel="0" collapsed="false">
      <c r="A615" s="3" t="n">
        <v>614</v>
      </c>
      <c r="B615" s="3" t="n">
        <v>613</v>
      </c>
      <c r="C615" s="3" t="n">
        <v>3</v>
      </c>
      <c r="D615" s="3" t="n">
        <v>1</v>
      </c>
      <c r="E615" s="3" t="n">
        <v>11</v>
      </c>
      <c r="F615" s="24" t="n">
        <v>0</v>
      </c>
    </row>
    <row r="616" customFormat="false" ht="15" hidden="false" customHeight="false" outlineLevel="0" collapsed="false">
      <c r="A616" s="3" t="n">
        <v>615</v>
      </c>
      <c r="B616" s="3" t="n">
        <v>614</v>
      </c>
      <c r="C616" s="3" t="n">
        <v>3</v>
      </c>
      <c r="D616" s="3" t="n">
        <v>1</v>
      </c>
      <c r="E616" s="3" t="n">
        <v>12</v>
      </c>
      <c r="F616" s="24" t="n">
        <v>0</v>
      </c>
    </row>
    <row r="617" customFormat="false" ht="15" hidden="false" customHeight="false" outlineLevel="0" collapsed="false">
      <c r="A617" s="3" t="n">
        <v>616</v>
      </c>
      <c r="B617" s="3" t="n">
        <v>615</v>
      </c>
      <c r="C617" s="3" t="n">
        <v>3</v>
      </c>
      <c r="D617" s="3" t="n">
        <v>1</v>
      </c>
      <c r="E617" s="3" t="n">
        <v>13</v>
      </c>
      <c r="F617" s="24" t="n">
        <v>0</v>
      </c>
    </row>
    <row r="618" customFormat="false" ht="15" hidden="false" customHeight="false" outlineLevel="0" collapsed="false">
      <c r="A618" s="3" t="n">
        <v>617</v>
      </c>
      <c r="B618" s="3" t="n">
        <v>616</v>
      </c>
      <c r="C618" s="3" t="n">
        <v>3</v>
      </c>
      <c r="D618" s="3" t="n">
        <v>2</v>
      </c>
      <c r="E618" s="3" t="n">
        <v>0</v>
      </c>
      <c r="F618" s="24" t="n">
        <v>0</v>
      </c>
    </row>
    <row r="619" customFormat="false" ht="15" hidden="false" customHeight="false" outlineLevel="0" collapsed="false">
      <c r="A619" s="3" t="n">
        <v>618</v>
      </c>
      <c r="B619" s="3" t="n">
        <v>617</v>
      </c>
      <c r="C619" s="3" t="n">
        <v>3</v>
      </c>
      <c r="D619" s="3" t="n">
        <v>2</v>
      </c>
      <c r="E619" s="3" t="n">
        <v>1</v>
      </c>
      <c r="F619" s="24" t="n">
        <v>0</v>
      </c>
    </row>
    <row r="620" customFormat="false" ht="15" hidden="false" customHeight="false" outlineLevel="0" collapsed="false">
      <c r="A620" s="3" t="n">
        <v>619</v>
      </c>
      <c r="B620" s="3" t="n">
        <v>618</v>
      </c>
      <c r="C620" s="3" t="n">
        <v>3</v>
      </c>
      <c r="D620" s="3" t="n">
        <v>2</v>
      </c>
      <c r="E620" s="3" t="n">
        <v>2</v>
      </c>
      <c r="F620" s="24" t="n">
        <v>0</v>
      </c>
    </row>
    <row r="621" customFormat="false" ht="15" hidden="false" customHeight="false" outlineLevel="0" collapsed="false">
      <c r="A621" s="3" t="n">
        <v>620</v>
      </c>
      <c r="B621" s="3" t="n">
        <v>619</v>
      </c>
      <c r="C621" s="3" t="n">
        <v>3</v>
      </c>
      <c r="D621" s="3" t="n">
        <v>2</v>
      </c>
      <c r="E621" s="3" t="n">
        <v>3</v>
      </c>
      <c r="F621" s="24" t="n">
        <v>0</v>
      </c>
    </row>
    <row r="622" customFormat="false" ht="15" hidden="false" customHeight="false" outlineLevel="0" collapsed="false">
      <c r="A622" s="3" t="n">
        <v>621</v>
      </c>
      <c r="B622" s="3" t="n">
        <v>620</v>
      </c>
      <c r="C622" s="3" t="n">
        <v>3</v>
      </c>
      <c r="D622" s="3" t="n">
        <v>2</v>
      </c>
      <c r="E622" s="3" t="n">
        <v>4</v>
      </c>
      <c r="F622" s="24" t="n">
        <v>0</v>
      </c>
    </row>
    <row r="623" customFormat="false" ht="15" hidden="false" customHeight="false" outlineLevel="0" collapsed="false">
      <c r="A623" s="3" t="n">
        <v>622</v>
      </c>
      <c r="B623" s="3" t="n">
        <v>621</v>
      </c>
      <c r="C623" s="3" t="n">
        <v>3</v>
      </c>
      <c r="D623" s="3" t="n">
        <v>2</v>
      </c>
      <c r="E623" s="3" t="n">
        <v>5</v>
      </c>
      <c r="F623" s="24" t="n">
        <v>0</v>
      </c>
    </row>
    <row r="624" customFormat="false" ht="15" hidden="false" customHeight="false" outlineLevel="0" collapsed="false">
      <c r="A624" s="3" t="n">
        <v>623</v>
      </c>
      <c r="B624" s="3" t="n">
        <v>622</v>
      </c>
      <c r="C624" s="3" t="n">
        <v>3</v>
      </c>
      <c r="D624" s="3" t="n">
        <v>2</v>
      </c>
      <c r="E624" s="3" t="n">
        <v>6</v>
      </c>
      <c r="F624" s="24" t="n">
        <v>0</v>
      </c>
    </row>
    <row r="625" customFormat="false" ht="15" hidden="false" customHeight="false" outlineLevel="0" collapsed="false">
      <c r="A625" s="3" t="n">
        <v>624</v>
      </c>
      <c r="B625" s="3" t="n">
        <v>623</v>
      </c>
      <c r="C625" s="3" t="n">
        <v>3</v>
      </c>
      <c r="D625" s="3" t="n">
        <v>2</v>
      </c>
      <c r="E625" s="3" t="n">
        <v>7</v>
      </c>
      <c r="F625" s="24" t="n">
        <v>0</v>
      </c>
    </row>
    <row r="626" customFormat="false" ht="15" hidden="false" customHeight="false" outlineLevel="0" collapsed="false">
      <c r="A626" s="3" t="n">
        <v>625</v>
      </c>
      <c r="B626" s="3" t="n">
        <v>624</v>
      </c>
      <c r="C626" s="3" t="n">
        <v>3</v>
      </c>
      <c r="D626" s="3" t="n">
        <v>2</v>
      </c>
      <c r="E626" s="3" t="n">
        <v>8</v>
      </c>
      <c r="F626" s="24" t="n">
        <v>0</v>
      </c>
    </row>
    <row r="627" customFormat="false" ht="15" hidden="false" customHeight="false" outlineLevel="0" collapsed="false">
      <c r="A627" s="3" t="n">
        <v>626</v>
      </c>
      <c r="B627" s="3" t="n">
        <v>625</v>
      </c>
      <c r="C627" s="3" t="n">
        <v>3</v>
      </c>
      <c r="D627" s="3" t="n">
        <v>2</v>
      </c>
      <c r="E627" s="3" t="n">
        <v>9</v>
      </c>
      <c r="F627" s="24" t="n">
        <v>0</v>
      </c>
    </row>
    <row r="628" customFormat="false" ht="15" hidden="false" customHeight="false" outlineLevel="0" collapsed="false">
      <c r="A628" s="3" t="n">
        <v>627</v>
      </c>
      <c r="B628" s="3" t="n">
        <v>626</v>
      </c>
      <c r="C628" s="3" t="n">
        <v>3</v>
      </c>
      <c r="D628" s="3" t="n">
        <v>2</v>
      </c>
      <c r="E628" s="3" t="n">
        <v>10</v>
      </c>
      <c r="F628" s="24" t="n">
        <v>0.0736294538</v>
      </c>
    </row>
    <row r="629" customFormat="false" ht="15" hidden="false" customHeight="false" outlineLevel="0" collapsed="false">
      <c r="A629" s="3" t="n">
        <v>628</v>
      </c>
      <c r="B629" s="3" t="n">
        <v>627</v>
      </c>
      <c r="C629" s="3" t="n">
        <v>3</v>
      </c>
      <c r="D629" s="3" t="n">
        <v>2</v>
      </c>
      <c r="E629" s="3" t="n">
        <v>11</v>
      </c>
      <c r="F629" s="24" t="n">
        <v>0.122139737</v>
      </c>
    </row>
    <row r="630" customFormat="false" ht="15" hidden="false" customHeight="false" outlineLevel="0" collapsed="false">
      <c r="A630" s="3" t="n">
        <v>629</v>
      </c>
      <c r="B630" s="3" t="n">
        <v>628</v>
      </c>
      <c r="C630" s="3" t="n">
        <v>3</v>
      </c>
      <c r="D630" s="3" t="n">
        <v>2</v>
      </c>
      <c r="E630" s="3" t="n">
        <v>12</v>
      </c>
      <c r="F630" s="24" t="n">
        <v>0</v>
      </c>
    </row>
    <row r="631" customFormat="false" ht="15" hidden="false" customHeight="false" outlineLevel="0" collapsed="false">
      <c r="A631" s="3" t="n">
        <v>630</v>
      </c>
      <c r="B631" s="3" t="n">
        <v>629</v>
      </c>
      <c r="C631" s="3" t="n">
        <v>3</v>
      </c>
      <c r="D631" s="3" t="n">
        <v>2</v>
      </c>
      <c r="E631" s="3" t="n">
        <v>13</v>
      </c>
      <c r="F631" s="24" t="n">
        <v>0</v>
      </c>
    </row>
    <row r="632" customFormat="false" ht="15" hidden="false" customHeight="false" outlineLevel="0" collapsed="false">
      <c r="A632" s="3" t="n">
        <v>631</v>
      </c>
      <c r="B632" s="3" t="n">
        <v>630</v>
      </c>
      <c r="C632" s="3" t="n">
        <v>3</v>
      </c>
      <c r="D632" s="3" t="n">
        <v>3</v>
      </c>
      <c r="E632" s="3" t="n">
        <v>0</v>
      </c>
      <c r="F632" s="24" t="n">
        <v>0</v>
      </c>
    </row>
    <row r="633" customFormat="false" ht="15" hidden="false" customHeight="false" outlineLevel="0" collapsed="false">
      <c r="A633" s="3" t="n">
        <v>632</v>
      </c>
      <c r="B633" s="3" t="n">
        <v>631</v>
      </c>
      <c r="C633" s="3" t="n">
        <v>3</v>
      </c>
      <c r="D633" s="3" t="n">
        <v>3</v>
      </c>
      <c r="E633" s="3" t="n">
        <v>1</v>
      </c>
      <c r="F633" s="24" t="n">
        <v>1.24248445</v>
      </c>
    </row>
    <row r="634" customFormat="false" ht="15" hidden="false" customHeight="false" outlineLevel="0" collapsed="false">
      <c r="A634" s="3" t="n">
        <v>633</v>
      </c>
      <c r="B634" s="3" t="n">
        <v>632</v>
      </c>
      <c r="C634" s="3" t="n">
        <v>3</v>
      </c>
      <c r="D634" s="3" t="n">
        <v>3</v>
      </c>
      <c r="E634" s="3" t="n">
        <v>2</v>
      </c>
      <c r="F634" s="24" t="n">
        <v>4.00915003</v>
      </c>
    </row>
    <row r="635" customFormat="false" ht="15" hidden="false" customHeight="false" outlineLevel="0" collapsed="false">
      <c r="A635" s="3" t="n">
        <v>634</v>
      </c>
      <c r="B635" s="3" t="n">
        <v>633</v>
      </c>
      <c r="C635" s="3" t="n">
        <v>3</v>
      </c>
      <c r="D635" s="3" t="n">
        <v>3</v>
      </c>
      <c r="E635" s="3" t="n">
        <v>3</v>
      </c>
      <c r="F635" s="24" t="n">
        <v>0</v>
      </c>
    </row>
    <row r="636" customFormat="false" ht="15" hidden="false" customHeight="false" outlineLevel="0" collapsed="false">
      <c r="A636" s="3" t="n">
        <v>635</v>
      </c>
      <c r="B636" s="3" t="n">
        <v>634</v>
      </c>
      <c r="C636" s="3" t="n">
        <v>3</v>
      </c>
      <c r="D636" s="3" t="n">
        <v>3</v>
      </c>
      <c r="E636" s="3" t="n">
        <v>4</v>
      </c>
      <c r="F636" s="24" t="n">
        <v>0</v>
      </c>
    </row>
    <row r="637" customFormat="false" ht="15" hidden="false" customHeight="false" outlineLevel="0" collapsed="false">
      <c r="A637" s="3" t="n">
        <v>636</v>
      </c>
      <c r="B637" s="3" t="n">
        <v>635</v>
      </c>
      <c r="C637" s="3" t="n">
        <v>3</v>
      </c>
      <c r="D637" s="3" t="n">
        <v>3</v>
      </c>
      <c r="E637" s="3" t="n">
        <v>5</v>
      </c>
      <c r="F637" s="24" t="n">
        <v>0</v>
      </c>
    </row>
    <row r="638" customFormat="false" ht="15" hidden="false" customHeight="false" outlineLevel="0" collapsed="false">
      <c r="A638" s="3" t="n">
        <v>637</v>
      </c>
      <c r="B638" s="3" t="n">
        <v>636</v>
      </c>
      <c r="C638" s="3" t="n">
        <v>3</v>
      </c>
      <c r="D638" s="3" t="n">
        <v>3</v>
      </c>
      <c r="E638" s="3" t="n">
        <v>6</v>
      </c>
      <c r="F638" s="24" t="n">
        <v>0</v>
      </c>
    </row>
    <row r="639" customFormat="false" ht="15" hidden="false" customHeight="false" outlineLevel="0" collapsed="false">
      <c r="A639" s="3" t="n">
        <v>638</v>
      </c>
      <c r="B639" s="3" t="n">
        <v>637</v>
      </c>
      <c r="C639" s="3" t="n">
        <v>3</v>
      </c>
      <c r="D639" s="3" t="n">
        <v>3</v>
      </c>
      <c r="E639" s="3" t="n">
        <v>7</v>
      </c>
      <c r="F639" s="24" t="n">
        <v>0</v>
      </c>
    </row>
    <row r="640" customFormat="false" ht="15" hidden="false" customHeight="false" outlineLevel="0" collapsed="false">
      <c r="A640" s="3" t="n">
        <v>639</v>
      </c>
      <c r="B640" s="3" t="n">
        <v>638</v>
      </c>
      <c r="C640" s="3" t="n">
        <v>3</v>
      </c>
      <c r="D640" s="3" t="n">
        <v>3</v>
      </c>
      <c r="E640" s="3" t="n">
        <v>8</v>
      </c>
      <c r="F640" s="24" t="n">
        <v>0</v>
      </c>
    </row>
    <row r="641" customFormat="false" ht="15" hidden="false" customHeight="false" outlineLevel="0" collapsed="false">
      <c r="A641" s="3" t="n">
        <v>640</v>
      </c>
      <c r="B641" s="3" t="n">
        <v>639</v>
      </c>
      <c r="C641" s="3" t="n">
        <v>3</v>
      </c>
      <c r="D641" s="3" t="n">
        <v>3</v>
      </c>
      <c r="E641" s="3" t="n">
        <v>9</v>
      </c>
      <c r="F641" s="24" t="n">
        <v>0</v>
      </c>
    </row>
    <row r="642" customFormat="false" ht="15" hidden="false" customHeight="false" outlineLevel="0" collapsed="false">
      <c r="A642" s="3" t="n">
        <v>641</v>
      </c>
      <c r="B642" s="3" t="n">
        <v>640</v>
      </c>
      <c r="C642" s="3" t="n">
        <v>3</v>
      </c>
      <c r="D642" s="3" t="n">
        <v>3</v>
      </c>
      <c r="E642" s="3" t="n">
        <v>10</v>
      </c>
      <c r="F642" s="24" t="n">
        <v>0</v>
      </c>
    </row>
    <row r="643" customFormat="false" ht="15" hidden="false" customHeight="false" outlineLevel="0" collapsed="false">
      <c r="A643" s="3" t="n">
        <v>642</v>
      </c>
      <c r="B643" s="3" t="n">
        <v>641</v>
      </c>
      <c r="C643" s="3" t="n">
        <v>3</v>
      </c>
      <c r="D643" s="3" t="n">
        <v>3</v>
      </c>
      <c r="E643" s="3" t="n">
        <v>11</v>
      </c>
      <c r="F643" s="24" t="n">
        <v>0</v>
      </c>
    </row>
    <row r="644" customFormat="false" ht="15" hidden="false" customHeight="false" outlineLevel="0" collapsed="false">
      <c r="A644" s="3" t="n">
        <v>643</v>
      </c>
      <c r="B644" s="3" t="n">
        <v>642</v>
      </c>
      <c r="C644" s="3" t="n">
        <v>3</v>
      </c>
      <c r="D644" s="3" t="n">
        <v>3</v>
      </c>
      <c r="E644" s="3" t="n">
        <v>12</v>
      </c>
      <c r="F644" s="24" t="n">
        <v>0.209626421</v>
      </c>
    </row>
    <row r="645" customFormat="false" ht="15" hidden="false" customHeight="false" outlineLevel="0" collapsed="false">
      <c r="A645" s="3" t="n">
        <v>644</v>
      </c>
      <c r="B645" s="3" t="n">
        <v>643</v>
      </c>
      <c r="C645" s="3" t="n">
        <v>3</v>
      </c>
      <c r="D645" s="3" t="n">
        <v>3</v>
      </c>
      <c r="E645" s="3" t="n">
        <v>13</v>
      </c>
      <c r="F645" s="24" t="n">
        <v>0</v>
      </c>
    </row>
    <row r="646" customFormat="false" ht="15" hidden="false" customHeight="false" outlineLevel="0" collapsed="false">
      <c r="A646" s="3" t="n">
        <v>645</v>
      </c>
      <c r="B646" s="3" t="n">
        <v>644</v>
      </c>
      <c r="C646" s="3" t="n">
        <v>3</v>
      </c>
      <c r="D646" s="3" t="n">
        <v>4</v>
      </c>
      <c r="E646" s="3" t="n">
        <v>0</v>
      </c>
      <c r="F646" s="24" t="n">
        <v>0</v>
      </c>
    </row>
    <row r="647" customFormat="false" ht="15" hidden="false" customHeight="false" outlineLevel="0" collapsed="false">
      <c r="A647" s="3" t="n">
        <v>646</v>
      </c>
      <c r="B647" s="3" t="n">
        <v>645</v>
      </c>
      <c r="C647" s="3" t="n">
        <v>3</v>
      </c>
      <c r="D647" s="3" t="n">
        <v>4</v>
      </c>
      <c r="E647" s="3" t="n">
        <v>1</v>
      </c>
      <c r="F647" s="24" t="n">
        <v>0.662586689</v>
      </c>
    </row>
    <row r="648" customFormat="false" ht="15" hidden="false" customHeight="false" outlineLevel="0" collapsed="false">
      <c r="A648" s="3" t="n">
        <v>647</v>
      </c>
      <c r="B648" s="3" t="n">
        <v>646</v>
      </c>
      <c r="C648" s="3" t="n">
        <v>3</v>
      </c>
      <c r="D648" s="3" t="n">
        <v>4</v>
      </c>
      <c r="E648" s="3" t="n">
        <v>2</v>
      </c>
      <c r="F648" s="24" t="n">
        <v>3.54295993</v>
      </c>
    </row>
    <row r="649" customFormat="false" ht="15" hidden="false" customHeight="false" outlineLevel="0" collapsed="false">
      <c r="A649" s="3" t="n">
        <v>648</v>
      </c>
      <c r="B649" s="3" t="n">
        <v>647</v>
      </c>
      <c r="C649" s="3" t="n">
        <v>3</v>
      </c>
      <c r="D649" s="3" t="n">
        <v>4</v>
      </c>
      <c r="E649" s="3" t="n">
        <v>3</v>
      </c>
      <c r="F649" s="24" t="n">
        <v>6.11717987</v>
      </c>
    </row>
    <row r="650" customFormat="false" ht="15" hidden="false" customHeight="false" outlineLevel="0" collapsed="false">
      <c r="A650" s="3" t="n">
        <v>649</v>
      </c>
      <c r="B650" s="3" t="n">
        <v>648</v>
      </c>
      <c r="C650" s="3" t="n">
        <v>3</v>
      </c>
      <c r="D650" s="3" t="n">
        <v>4</v>
      </c>
      <c r="E650" s="3" t="n">
        <v>4</v>
      </c>
      <c r="F650" s="24" t="n">
        <v>7.88046694</v>
      </c>
    </row>
    <row r="651" customFormat="false" ht="15" hidden="false" customHeight="false" outlineLevel="0" collapsed="false">
      <c r="A651" s="3" t="n">
        <v>650</v>
      </c>
      <c r="B651" s="3" t="n">
        <v>649</v>
      </c>
      <c r="C651" s="3" t="n">
        <v>3</v>
      </c>
      <c r="D651" s="3" t="n">
        <v>4</v>
      </c>
      <c r="E651" s="3" t="n">
        <v>5</v>
      </c>
      <c r="F651" s="24" t="n">
        <v>5.30941153</v>
      </c>
    </row>
    <row r="652" customFormat="false" ht="15" hidden="false" customHeight="false" outlineLevel="0" collapsed="false">
      <c r="A652" s="3" t="n">
        <v>651</v>
      </c>
      <c r="B652" s="3" t="n">
        <v>650</v>
      </c>
      <c r="C652" s="3" t="n">
        <v>3</v>
      </c>
      <c r="D652" s="3" t="n">
        <v>4</v>
      </c>
      <c r="E652" s="3" t="n">
        <v>6</v>
      </c>
      <c r="F652" s="24" t="n">
        <v>3.2465868</v>
      </c>
    </row>
    <row r="653" customFormat="false" ht="15" hidden="false" customHeight="false" outlineLevel="0" collapsed="false">
      <c r="A653" s="3" t="n">
        <v>652</v>
      </c>
      <c r="B653" s="3" t="n">
        <v>651</v>
      </c>
      <c r="C653" s="3" t="n">
        <v>3</v>
      </c>
      <c r="D653" s="3" t="n">
        <v>4</v>
      </c>
      <c r="E653" s="3" t="n">
        <v>7</v>
      </c>
      <c r="F653" s="24" t="n">
        <v>2.53939557</v>
      </c>
    </row>
    <row r="654" customFormat="false" ht="15" hidden="false" customHeight="false" outlineLevel="0" collapsed="false">
      <c r="A654" s="3" t="n">
        <v>653</v>
      </c>
      <c r="B654" s="3" t="n">
        <v>652</v>
      </c>
      <c r="C654" s="3" t="n">
        <v>3</v>
      </c>
      <c r="D654" s="3" t="n">
        <v>4</v>
      </c>
      <c r="E654" s="3" t="n">
        <v>8</v>
      </c>
      <c r="F654" s="24" t="n">
        <v>3.09113455</v>
      </c>
    </row>
    <row r="655" customFormat="false" ht="15" hidden="false" customHeight="false" outlineLevel="0" collapsed="false">
      <c r="A655" s="3" t="n">
        <v>654</v>
      </c>
      <c r="B655" s="3" t="n">
        <v>653</v>
      </c>
      <c r="C655" s="3" t="n">
        <v>3</v>
      </c>
      <c r="D655" s="3" t="n">
        <v>4</v>
      </c>
      <c r="E655" s="3" t="n">
        <v>9</v>
      </c>
      <c r="F655" s="24" t="n">
        <v>0</v>
      </c>
    </row>
    <row r="656" customFormat="false" ht="15" hidden="false" customHeight="false" outlineLevel="0" collapsed="false">
      <c r="A656" s="3" t="n">
        <v>655</v>
      </c>
      <c r="B656" s="3" t="n">
        <v>654</v>
      </c>
      <c r="C656" s="3" t="n">
        <v>3</v>
      </c>
      <c r="D656" s="3" t="n">
        <v>4</v>
      </c>
      <c r="E656" s="3" t="n">
        <v>10</v>
      </c>
      <c r="F656" s="24" t="n">
        <v>0</v>
      </c>
    </row>
    <row r="657" customFormat="false" ht="15" hidden="false" customHeight="false" outlineLevel="0" collapsed="false">
      <c r="A657" s="3" t="n">
        <v>656</v>
      </c>
      <c r="B657" s="3" t="n">
        <v>655</v>
      </c>
      <c r="C657" s="3" t="n">
        <v>3</v>
      </c>
      <c r="D657" s="3" t="n">
        <v>4</v>
      </c>
      <c r="E657" s="3" t="n">
        <v>11</v>
      </c>
      <c r="F657" s="24" t="n">
        <v>0</v>
      </c>
    </row>
    <row r="658" customFormat="false" ht="15" hidden="false" customHeight="false" outlineLevel="0" collapsed="false">
      <c r="A658" s="3" t="n">
        <v>657</v>
      </c>
      <c r="B658" s="3" t="n">
        <v>656</v>
      </c>
      <c r="C658" s="3" t="n">
        <v>3</v>
      </c>
      <c r="D658" s="3" t="n">
        <v>4</v>
      </c>
      <c r="E658" s="3" t="n">
        <v>12</v>
      </c>
      <c r="F658" s="24" t="n">
        <v>0</v>
      </c>
    </row>
    <row r="659" customFormat="false" ht="15" hidden="false" customHeight="false" outlineLevel="0" collapsed="false">
      <c r="A659" s="3" t="n">
        <v>658</v>
      </c>
      <c r="B659" s="3" t="n">
        <v>657</v>
      </c>
      <c r="C659" s="3" t="n">
        <v>3</v>
      </c>
      <c r="D659" s="3" t="n">
        <v>4</v>
      </c>
      <c r="E659" s="3" t="n">
        <v>13</v>
      </c>
      <c r="F659" s="24" t="n">
        <v>0</v>
      </c>
    </row>
    <row r="660" customFormat="false" ht="15" hidden="false" customHeight="false" outlineLevel="0" collapsed="false">
      <c r="A660" s="3" t="n">
        <v>659</v>
      </c>
      <c r="B660" s="3" t="n">
        <v>658</v>
      </c>
      <c r="C660" s="3" t="n">
        <v>3</v>
      </c>
      <c r="D660" s="3" t="n">
        <v>5</v>
      </c>
      <c r="E660" s="3" t="n">
        <v>0</v>
      </c>
      <c r="F660" s="24" t="n">
        <v>0</v>
      </c>
    </row>
    <row r="661" customFormat="false" ht="15" hidden="false" customHeight="false" outlineLevel="0" collapsed="false">
      <c r="A661" s="3" t="n">
        <v>660</v>
      </c>
      <c r="B661" s="3" t="n">
        <v>659</v>
      </c>
      <c r="C661" s="3" t="n">
        <v>3</v>
      </c>
      <c r="D661" s="3" t="n">
        <v>5</v>
      </c>
      <c r="E661" s="3" t="n">
        <v>1</v>
      </c>
      <c r="F661" s="24" t="n">
        <v>0</v>
      </c>
    </row>
    <row r="662" customFormat="false" ht="15" hidden="false" customHeight="false" outlineLevel="0" collapsed="false">
      <c r="A662" s="3" t="n">
        <v>661</v>
      </c>
      <c r="B662" s="3" t="n">
        <v>660</v>
      </c>
      <c r="C662" s="3" t="n">
        <v>3</v>
      </c>
      <c r="D662" s="3" t="n">
        <v>5</v>
      </c>
      <c r="E662" s="3" t="n">
        <v>2</v>
      </c>
      <c r="F662" s="24" t="n">
        <v>0.269670486</v>
      </c>
    </row>
    <row r="663" customFormat="false" ht="15" hidden="false" customHeight="false" outlineLevel="0" collapsed="false">
      <c r="A663" s="3" t="n">
        <v>662</v>
      </c>
      <c r="B663" s="3" t="n">
        <v>661</v>
      </c>
      <c r="C663" s="3" t="n">
        <v>3</v>
      </c>
      <c r="D663" s="3" t="n">
        <v>5</v>
      </c>
      <c r="E663" s="3" t="n">
        <v>3</v>
      </c>
      <c r="F663" s="24" t="n">
        <v>1.61052847</v>
      </c>
    </row>
    <row r="664" customFormat="false" ht="15" hidden="false" customHeight="false" outlineLevel="0" collapsed="false">
      <c r="A664" s="3" t="n">
        <v>663</v>
      </c>
      <c r="B664" s="3" t="n">
        <v>662</v>
      </c>
      <c r="C664" s="3" t="n">
        <v>3</v>
      </c>
      <c r="D664" s="3" t="n">
        <v>5</v>
      </c>
      <c r="E664" s="3" t="n">
        <v>4</v>
      </c>
      <c r="F664" s="24" t="n">
        <v>3.05307126</v>
      </c>
    </row>
    <row r="665" customFormat="false" ht="15" hidden="false" customHeight="false" outlineLevel="0" collapsed="false">
      <c r="A665" s="3" t="n">
        <v>664</v>
      </c>
      <c r="B665" s="3" t="n">
        <v>663</v>
      </c>
      <c r="C665" s="3" t="n">
        <v>3</v>
      </c>
      <c r="D665" s="3" t="n">
        <v>5</v>
      </c>
      <c r="E665" s="3" t="n">
        <v>5</v>
      </c>
      <c r="F665" s="24" t="n">
        <v>3.83667302</v>
      </c>
    </row>
    <row r="666" customFormat="false" ht="15" hidden="false" customHeight="false" outlineLevel="0" collapsed="false">
      <c r="A666" s="3" t="n">
        <v>665</v>
      </c>
      <c r="B666" s="3" t="n">
        <v>664</v>
      </c>
      <c r="C666" s="3" t="n">
        <v>3</v>
      </c>
      <c r="D666" s="3" t="n">
        <v>5</v>
      </c>
      <c r="E666" s="3" t="n">
        <v>6</v>
      </c>
      <c r="F666" s="24" t="n">
        <v>4.36483717</v>
      </c>
    </row>
    <row r="667" customFormat="false" ht="15" hidden="false" customHeight="false" outlineLevel="0" collapsed="false">
      <c r="A667" s="3" t="n">
        <v>666</v>
      </c>
      <c r="B667" s="3" t="n">
        <v>665</v>
      </c>
      <c r="C667" s="3" t="n">
        <v>3</v>
      </c>
      <c r="D667" s="3" t="n">
        <v>5</v>
      </c>
      <c r="E667" s="3" t="n">
        <v>7</v>
      </c>
      <c r="F667" s="24" t="n">
        <v>4.96549368</v>
      </c>
    </row>
    <row r="668" customFormat="false" ht="15" hidden="false" customHeight="false" outlineLevel="0" collapsed="false">
      <c r="A668" s="3" t="n">
        <v>667</v>
      </c>
      <c r="B668" s="3" t="n">
        <v>666</v>
      </c>
      <c r="C668" s="3" t="n">
        <v>3</v>
      </c>
      <c r="D668" s="3" t="n">
        <v>5</v>
      </c>
      <c r="E668" s="3" t="n">
        <v>8</v>
      </c>
      <c r="F668" s="24" t="n">
        <v>2.07936811</v>
      </c>
    </row>
    <row r="669" customFormat="false" ht="15" hidden="false" customHeight="false" outlineLevel="0" collapsed="false">
      <c r="A669" s="3" t="n">
        <v>668</v>
      </c>
      <c r="B669" s="3" t="n">
        <v>667</v>
      </c>
      <c r="C669" s="3" t="n">
        <v>3</v>
      </c>
      <c r="D669" s="3" t="n">
        <v>5</v>
      </c>
      <c r="E669" s="3" t="n">
        <v>9</v>
      </c>
      <c r="F669" s="24" t="n">
        <v>0</v>
      </c>
    </row>
    <row r="670" customFormat="false" ht="15" hidden="false" customHeight="false" outlineLevel="0" collapsed="false">
      <c r="A670" s="3" t="n">
        <v>669</v>
      </c>
      <c r="B670" s="3" t="n">
        <v>668</v>
      </c>
      <c r="C670" s="3" t="n">
        <v>3</v>
      </c>
      <c r="D670" s="3" t="n">
        <v>5</v>
      </c>
      <c r="E670" s="3" t="n">
        <v>10</v>
      </c>
      <c r="F670" s="24" t="n">
        <v>0</v>
      </c>
    </row>
    <row r="671" customFormat="false" ht="15" hidden="false" customHeight="false" outlineLevel="0" collapsed="false">
      <c r="A671" s="3" t="n">
        <v>670</v>
      </c>
      <c r="B671" s="3" t="n">
        <v>669</v>
      </c>
      <c r="C671" s="3" t="n">
        <v>3</v>
      </c>
      <c r="D671" s="3" t="n">
        <v>5</v>
      </c>
      <c r="E671" s="3" t="n">
        <v>11</v>
      </c>
      <c r="F671" s="24" t="n">
        <v>0</v>
      </c>
    </row>
    <row r="672" customFormat="false" ht="15" hidden="false" customHeight="false" outlineLevel="0" collapsed="false">
      <c r="A672" s="3" t="n">
        <v>671</v>
      </c>
      <c r="B672" s="3" t="n">
        <v>670</v>
      </c>
      <c r="C672" s="3" t="n">
        <v>3</v>
      </c>
      <c r="D672" s="3" t="n">
        <v>5</v>
      </c>
      <c r="E672" s="3" t="n">
        <v>12</v>
      </c>
      <c r="F672" s="24" t="n">
        <v>0</v>
      </c>
    </row>
    <row r="673" customFormat="false" ht="15" hidden="false" customHeight="false" outlineLevel="0" collapsed="false">
      <c r="A673" s="3" t="n">
        <v>672</v>
      </c>
      <c r="B673" s="3" t="n">
        <v>671</v>
      </c>
      <c r="C673" s="3" t="n">
        <v>3</v>
      </c>
      <c r="D673" s="3" t="n">
        <v>5</v>
      </c>
      <c r="E673" s="3" t="n">
        <v>13</v>
      </c>
      <c r="F673" s="24" t="n">
        <v>0</v>
      </c>
    </row>
    <row r="674" customFormat="false" ht="15" hidden="false" customHeight="false" outlineLevel="0" collapsed="false">
      <c r="A674" s="3" t="n">
        <v>673</v>
      </c>
      <c r="B674" s="3" t="n">
        <v>672</v>
      </c>
      <c r="C674" s="3" t="n">
        <v>3</v>
      </c>
      <c r="D674" s="3" t="n">
        <v>6</v>
      </c>
      <c r="E674" s="3" t="n">
        <v>0</v>
      </c>
      <c r="F674" s="24" t="n">
        <v>0</v>
      </c>
    </row>
    <row r="675" customFormat="false" ht="15" hidden="false" customHeight="false" outlineLevel="0" collapsed="false">
      <c r="A675" s="3" t="n">
        <v>674</v>
      </c>
      <c r="B675" s="3" t="n">
        <v>673</v>
      </c>
      <c r="C675" s="3" t="n">
        <v>3</v>
      </c>
      <c r="D675" s="3" t="n">
        <v>6</v>
      </c>
      <c r="E675" s="3" t="n">
        <v>1</v>
      </c>
      <c r="F675" s="24" t="n">
        <v>0</v>
      </c>
    </row>
    <row r="676" customFormat="false" ht="15" hidden="false" customHeight="false" outlineLevel="0" collapsed="false">
      <c r="A676" s="3" t="n">
        <v>675</v>
      </c>
      <c r="B676" s="3" t="n">
        <v>674</v>
      </c>
      <c r="C676" s="3" t="n">
        <v>3</v>
      </c>
      <c r="D676" s="3" t="n">
        <v>6</v>
      </c>
      <c r="E676" s="3" t="n">
        <v>2</v>
      </c>
      <c r="F676" s="24" t="n">
        <v>0</v>
      </c>
    </row>
    <row r="677" customFormat="false" ht="15" hidden="false" customHeight="false" outlineLevel="0" collapsed="false">
      <c r="A677" s="3" t="n">
        <v>676</v>
      </c>
      <c r="B677" s="3" t="n">
        <v>675</v>
      </c>
      <c r="C677" s="3" t="n">
        <v>3</v>
      </c>
      <c r="D677" s="3" t="n">
        <v>6</v>
      </c>
      <c r="E677" s="3" t="n">
        <v>3</v>
      </c>
      <c r="F677" s="24" t="n">
        <v>0</v>
      </c>
    </row>
    <row r="678" customFormat="false" ht="15" hidden="false" customHeight="false" outlineLevel="0" collapsed="false">
      <c r="A678" s="3" t="n">
        <v>677</v>
      </c>
      <c r="B678" s="3" t="n">
        <v>676</v>
      </c>
      <c r="C678" s="3" t="n">
        <v>3</v>
      </c>
      <c r="D678" s="3" t="n">
        <v>6</v>
      </c>
      <c r="E678" s="3" t="n">
        <v>4</v>
      </c>
      <c r="F678" s="24" t="n">
        <v>0</v>
      </c>
    </row>
    <row r="679" customFormat="false" ht="15" hidden="false" customHeight="false" outlineLevel="0" collapsed="false">
      <c r="A679" s="3" t="n">
        <v>678</v>
      </c>
      <c r="B679" s="3" t="n">
        <v>677</v>
      </c>
      <c r="C679" s="3" t="n">
        <v>3</v>
      </c>
      <c r="D679" s="3" t="n">
        <v>6</v>
      </c>
      <c r="E679" s="3" t="n">
        <v>5</v>
      </c>
      <c r="F679" s="24" t="n">
        <v>0.303750217</v>
      </c>
    </row>
    <row r="680" customFormat="false" ht="15" hidden="false" customHeight="false" outlineLevel="0" collapsed="false">
      <c r="A680" s="3" t="n">
        <v>679</v>
      </c>
      <c r="B680" s="3" t="n">
        <v>678</v>
      </c>
      <c r="C680" s="3" t="n">
        <v>3</v>
      </c>
      <c r="D680" s="3" t="n">
        <v>6</v>
      </c>
      <c r="E680" s="3" t="n">
        <v>6</v>
      </c>
      <c r="F680" s="24" t="n">
        <v>1.29023111</v>
      </c>
    </row>
    <row r="681" customFormat="false" ht="15" hidden="false" customHeight="false" outlineLevel="0" collapsed="false">
      <c r="A681" s="3" t="n">
        <v>680</v>
      </c>
      <c r="B681" s="3" t="n">
        <v>679</v>
      </c>
      <c r="C681" s="3" t="n">
        <v>3</v>
      </c>
      <c r="D681" s="3" t="n">
        <v>6</v>
      </c>
      <c r="E681" s="3" t="n">
        <v>7</v>
      </c>
      <c r="F681" s="24" t="n">
        <v>2.89165044</v>
      </c>
    </row>
    <row r="682" customFormat="false" ht="15" hidden="false" customHeight="false" outlineLevel="0" collapsed="false">
      <c r="A682" s="3" t="n">
        <v>681</v>
      </c>
      <c r="B682" s="3" t="n">
        <v>680</v>
      </c>
      <c r="C682" s="3" t="n">
        <v>3</v>
      </c>
      <c r="D682" s="3" t="n">
        <v>6</v>
      </c>
      <c r="E682" s="3" t="n">
        <v>8</v>
      </c>
      <c r="F682" s="24" t="n">
        <v>0</v>
      </c>
    </row>
    <row r="683" customFormat="false" ht="15" hidden="false" customHeight="false" outlineLevel="0" collapsed="false">
      <c r="A683" s="3" t="n">
        <v>682</v>
      </c>
      <c r="B683" s="3" t="n">
        <v>681</v>
      </c>
      <c r="C683" s="3" t="n">
        <v>3</v>
      </c>
      <c r="D683" s="3" t="n">
        <v>6</v>
      </c>
      <c r="E683" s="3" t="n">
        <v>9</v>
      </c>
      <c r="F683" s="24" t="n">
        <v>0</v>
      </c>
    </row>
    <row r="684" customFormat="false" ht="15" hidden="false" customHeight="false" outlineLevel="0" collapsed="false">
      <c r="A684" s="3" t="n">
        <v>683</v>
      </c>
      <c r="B684" s="3" t="n">
        <v>682</v>
      </c>
      <c r="C684" s="3" t="n">
        <v>3</v>
      </c>
      <c r="D684" s="3" t="n">
        <v>6</v>
      </c>
      <c r="E684" s="3" t="n">
        <v>10</v>
      </c>
      <c r="F684" s="24" t="n">
        <v>0</v>
      </c>
    </row>
    <row r="685" customFormat="false" ht="15" hidden="false" customHeight="false" outlineLevel="0" collapsed="false">
      <c r="A685" s="3" t="n">
        <v>684</v>
      </c>
      <c r="B685" s="3" t="n">
        <v>683</v>
      </c>
      <c r="C685" s="3" t="n">
        <v>3</v>
      </c>
      <c r="D685" s="3" t="n">
        <v>6</v>
      </c>
      <c r="E685" s="3" t="n">
        <v>11</v>
      </c>
      <c r="F685" s="24" t="n">
        <v>0</v>
      </c>
    </row>
    <row r="686" customFormat="false" ht="15" hidden="false" customHeight="false" outlineLevel="0" collapsed="false">
      <c r="A686" s="3" t="n">
        <v>685</v>
      </c>
      <c r="B686" s="3" t="n">
        <v>684</v>
      </c>
      <c r="C686" s="3" t="n">
        <v>3</v>
      </c>
      <c r="D686" s="3" t="n">
        <v>6</v>
      </c>
      <c r="E686" s="3" t="n">
        <v>12</v>
      </c>
      <c r="F686" s="24" t="n">
        <v>0.194474474</v>
      </c>
    </row>
    <row r="687" customFormat="false" ht="15" hidden="false" customHeight="false" outlineLevel="0" collapsed="false">
      <c r="A687" s="3" t="n">
        <v>686</v>
      </c>
      <c r="B687" s="3" t="n">
        <v>685</v>
      </c>
      <c r="C687" s="3" t="n">
        <v>3</v>
      </c>
      <c r="D687" s="3" t="n">
        <v>6</v>
      </c>
      <c r="E687" s="3" t="n">
        <v>13</v>
      </c>
      <c r="F687" s="24" t="n">
        <v>0</v>
      </c>
    </row>
    <row r="688" customFormat="false" ht="15" hidden="false" customHeight="false" outlineLevel="0" collapsed="false">
      <c r="A688" s="3" t="n">
        <v>687</v>
      </c>
      <c r="B688" s="3" t="n">
        <v>686</v>
      </c>
      <c r="C688" s="3" t="n">
        <v>3</v>
      </c>
      <c r="D688" s="3" t="n">
        <v>7</v>
      </c>
      <c r="E688" s="3" t="n">
        <v>0</v>
      </c>
      <c r="F688" s="24" t="n">
        <v>0</v>
      </c>
    </row>
    <row r="689" customFormat="false" ht="15" hidden="false" customHeight="false" outlineLevel="0" collapsed="false">
      <c r="A689" s="3" t="n">
        <v>688</v>
      </c>
      <c r="B689" s="3" t="n">
        <v>687</v>
      </c>
      <c r="C689" s="3" t="n">
        <v>3</v>
      </c>
      <c r="D689" s="3" t="n">
        <v>7</v>
      </c>
      <c r="E689" s="3" t="n">
        <v>1</v>
      </c>
      <c r="F689" s="24" t="n">
        <v>0</v>
      </c>
    </row>
    <row r="690" customFormat="false" ht="15" hidden="false" customHeight="false" outlineLevel="0" collapsed="false">
      <c r="A690" s="3" t="n">
        <v>689</v>
      </c>
      <c r="B690" s="3" t="n">
        <v>688</v>
      </c>
      <c r="C690" s="3" t="n">
        <v>3</v>
      </c>
      <c r="D690" s="3" t="n">
        <v>7</v>
      </c>
      <c r="E690" s="3" t="n">
        <v>2</v>
      </c>
      <c r="F690" s="24" t="n">
        <v>0</v>
      </c>
    </row>
    <row r="691" customFormat="false" ht="15" hidden="false" customHeight="false" outlineLevel="0" collapsed="false">
      <c r="A691" s="3" t="n">
        <v>690</v>
      </c>
      <c r="B691" s="3" t="n">
        <v>689</v>
      </c>
      <c r="C691" s="3" t="n">
        <v>3</v>
      </c>
      <c r="D691" s="3" t="n">
        <v>7</v>
      </c>
      <c r="E691" s="3" t="n">
        <v>3</v>
      </c>
      <c r="F691" s="24" t="n">
        <v>0</v>
      </c>
    </row>
    <row r="692" customFormat="false" ht="15" hidden="false" customHeight="false" outlineLevel="0" collapsed="false">
      <c r="A692" s="3" t="n">
        <v>691</v>
      </c>
      <c r="B692" s="3" t="n">
        <v>690</v>
      </c>
      <c r="C692" s="3" t="n">
        <v>3</v>
      </c>
      <c r="D692" s="3" t="n">
        <v>7</v>
      </c>
      <c r="E692" s="3" t="n">
        <v>4</v>
      </c>
      <c r="F692" s="24" t="n">
        <v>0</v>
      </c>
    </row>
    <row r="693" customFormat="false" ht="15" hidden="false" customHeight="false" outlineLevel="0" collapsed="false">
      <c r="A693" s="3" t="n">
        <v>692</v>
      </c>
      <c r="B693" s="3" t="n">
        <v>691</v>
      </c>
      <c r="C693" s="3" t="n">
        <v>3</v>
      </c>
      <c r="D693" s="3" t="n">
        <v>7</v>
      </c>
      <c r="E693" s="3" t="n">
        <v>5</v>
      </c>
      <c r="F693" s="24" t="n">
        <v>0</v>
      </c>
    </row>
    <row r="694" customFormat="false" ht="15" hidden="false" customHeight="false" outlineLevel="0" collapsed="false">
      <c r="A694" s="3" t="n">
        <v>693</v>
      </c>
      <c r="B694" s="3" t="n">
        <v>692</v>
      </c>
      <c r="C694" s="3" t="n">
        <v>3</v>
      </c>
      <c r="D694" s="3" t="n">
        <v>7</v>
      </c>
      <c r="E694" s="3" t="n">
        <v>6</v>
      </c>
      <c r="F694" s="24" t="n">
        <v>1.02028692</v>
      </c>
    </row>
    <row r="695" customFormat="false" ht="15" hidden="false" customHeight="false" outlineLevel="0" collapsed="false">
      <c r="A695" s="3" t="n">
        <v>694</v>
      </c>
      <c r="B695" s="3" t="n">
        <v>693</v>
      </c>
      <c r="C695" s="3" t="n">
        <v>3</v>
      </c>
      <c r="D695" s="3" t="n">
        <v>7</v>
      </c>
      <c r="E695" s="3" t="n">
        <v>7</v>
      </c>
      <c r="F695" s="24" t="n">
        <v>0.313953578</v>
      </c>
    </row>
    <row r="696" customFormat="false" ht="15" hidden="false" customHeight="false" outlineLevel="0" collapsed="false">
      <c r="A696" s="3" t="n">
        <v>695</v>
      </c>
      <c r="B696" s="3" t="n">
        <v>694</v>
      </c>
      <c r="C696" s="3" t="n">
        <v>3</v>
      </c>
      <c r="D696" s="3" t="n">
        <v>7</v>
      </c>
      <c r="E696" s="3" t="n">
        <v>8</v>
      </c>
      <c r="F696" s="24" t="n">
        <v>0</v>
      </c>
    </row>
    <row r="697" customFormat="false" ht="15" hidden="false" customHeight="false" outlineLevel="0" collapsed="false">
      <c r="A697" s="3" t="n">
        <v>696</v>
      </c>
      <c r="B697" s="3" t="n">
        <v>695</v>
      </c>
      <c r="C697" s="3" t="n">
        <v>3</v>
      </c>
      <c r="D697" s="3" t="n">
        <v>7</v>
      </c>
      <c r="E697" s="3" t="n">
        <v>9</v>
      </c>
      <c r="F697" s="24" t="n">
        <v>0.0611427873</v>
      </c>
    </row>
    <row r="698" customFormat="false" ht="15" hidden="false" customHeight="false" outlineLevel="0" collapsed="false">
      <c r="A698" s="3" t="n">
        <v>697</v>
      </c>
      <c r="B698" s="3" t="n">
        <v>696</v>
      </c>
      <c r="C698" s="3" t="n">
        <v>3</v>
      </c>
      <c r="D698" s="3" t="n">
        <v>7</v>
      </c>
      <c r="E698" s="3" t="n">
        <v>10</v>
      </c>
      <c r="F698" s="24" t="n">
        <v>0.43501848</v>
      </c>
    </row>
    <row r="699" customFormat="false" ht="15" hidden="false" customHeight="false" outlineLevel="0" collapsed="false">
      <c r="A699" s="3" t="n">
        <v>698</v>
      </c>
      <c r="B699" s="3" t="n">
        <v>697</v>
      </c>
      <c r="C699" s="3" t="n">
        <v>3</v>
      </c>
      <c r="D699" s="3" t="n">
        <v>7</v>
      </c>
      <c r="E699" s="3" t="n">
        <v>11</v>
      </c>
      <c r="F699" s="24" t="n">
        <v>0</v>
      </c>
    </row>
    <row r="700" customFormat="false" ht="15" hidden="false" customHeight="false" outlineLevel="0" collapsed="false">
      <c r="A700" s="3" t="n">
        <v>699</v>
      </c>
      <c r="B700" s="3" t="n">
        <v>698</v>
      </c>
      <c r="C700" s="3" t="n">
        <v>3</v>
      </c>
      <c r="D700" s="3" t="n">
        <v>7</v>
      </c>
      <c r="E700" s="3" t="n">
        <v>12</v>
      </c>
      <c r="F700" s="24" t="n">
        <v>0</v>
      </c>
    </row>
    <row r="701" customFormat="false" ht="15" hidden="false" customHeight="false" outlineLevel="0" collapsed="false">
      <c r="A701" s="3" t="n">
        <v>700</v>
      </c>
      <c r="B701" s="3" t="n">
        <v>699</v>
      </c>
      <c r="C701" s="3" t="n">
        <v>3</v>
      </c>
      <c r="D701" s="3" t="n">
        <v>7</v>
      </c>
      <c r="E701" s="3" t="n">
        <v>13</v>
      </c>
      <c r="F701" s="24" t="n">
        <v>0</v>
      </c>
    </row>
    <row r="702" customFormat="false" ht="15" hidden="false" customHeight="false" outlineLevel="0" collapsed="false">
      <c r="A702" s="3" t="n">
        <v>701</v>
      </c>
      <c r="B702" s="3" t="n">
        <v>700</v>
      </c>
      <c r="C702" s="3" t="n">
        <v>3</v>
      </c>
      <c r="D702" s="3" t="n">
        <v>8</v>
      </c>
      <c r="E702" s="3" t="n">
        <v>0</v>
      </c>
      <c r="F702" s="24" t="n">
        <v>0</v>
      </c>
    </row>
    <row r="703" customFormat="false" ht="15" hidden="false" customHeight="false" outlineLevel="0" collapsed="false">
      <c r="A703" s="3" t="n">
        <v>702</v>
      </c>
      <c r="B703" s="3" t="n">
        <v>701</v>
      </c>
      <c r="C703" s="3" t="n">
        <v>3</v>
      </c>
      <c r="D703" s="3" t="n">
        <v>8</v>
      </c>
      <c r="E703" s="3" t="n">
        <v>1</v>
      </c>
      <c r="F703" s="24" t="n">
        <v>0</v>
      </c>
    </row>
    <row r="704" customFormat="false" ht="15" hidden="false" customHeight="false" outlineLevel="0" collapsed="false">
      <c r="A704" s="3" t="n">
        <v>703</v>
      </c>
      <c r="B704" s="3" t="n">
        <v>702</v>
      </c>
      <c r="C704" s="3" t="n">
        <v>3</v>
      </c>
      <c r="D704" s="3" t="n">
        <v>8</v>
      </c>
      <c r="E704" s="3" t="n">
        <v>2</v>
      </c>
      <c r="F704" s="24" t="n">
        <v>0</v>
      </c>
    </row>
    <row r="705" customFormat="false" ht="15" hidden="false" customHeight="false" outlineLevel="0" collapsed="false">
      <c r="A705" s="3" t="n">
        <v>704</v>
      </c>
      <c r="B705" s="3" t="n">
        <v>703</v>
      </c>
      <c r="C705" s="3" t="n">
        <v>3</v>
      </c>
      <c r="D705" s="3" t="n">
        <v>8</v>
      </c>
      <c r="E705" s="3" t="n">
        <v>3</v>
      </c>
      <c r="F705" s="24" t="n">
        <v>0</v>
      </c>
    </row>
    <row r="706" customFormat="false" ht="15" hidden="false" customHeight="false" outlineLevel="0" collapsed="false">
      <c r="A706" s="3" t="n">
        <v>705</v>
      </c>
      <c r="B706" s="3" t="n">
        <v>704</v>
      </c>
      <c r="C706" s="3" t="n">
        <v>3</v>
      </c>
      <c r="D706" s="3" t="n">
        <v>8</v>
      </c>
      <c r="E706" s="3" t="n">
        <v>4</v>
      </c>
      <c r="F706" s="24" t="n">
        <v>0</v>
      </c>
    </row>
    <row r="707" customFormat="false" ht="15" hidden="false" customHeight="false" outlineLevel="0" collapsed="false">
      <c r="A707" s="3" t="n">
        <v>706</v>
      </c>
      <c r="B707" s="3" t="n">
        <v>705</v>
      </c>
      <c r="C707" s="3" t="n">
        <v>3</v>
      </c>
      <c r="D707" s="3" t="n">
        <v>8</v>
      </c>
      <c r="E707" s="3" t="n">
        <v>5</v>
      </c>
      <c r="F707" s="24" t="n">
        <v>0.152183697</v>
      </c>
    </row>
    <row r="708" customFormat="false" ht="15" hidden="false" customHeight="false" outlineLevel="0" collapsed="false">
      <c r="A708" s="3" t="n">
        <v>707</v>
      </c>
      <c r="B708" s="3" t="n">
        <v>706</v>
      </c>
      <c r="C708" s="3" t="n">
        <v>3</v>
      </c>
      <c r="D708" s="3" t="n">
        <v>8</v>
      </c>
      <c r="E708" s="3" t="n">
        <v>6</v>
      </c>
      <c r="F708" s="24" t="n">
        <v>0</v>
      </c>
    </row>
    <row r="709" customFormat="false" ht="15" hidden="false" customHeight="false" outlineLevel="0" collapsed="false">
      <c r="A709" s="3" t="n">
        <v>708</v>
      </c>
      <c r="B709" s="3" t="n">
        <v>707</v>
      </c>
      <c r="C709" s="3" t="n">
        <v>3</v>
      </c>
      <c r="D709" s="3" t="n">
        <v>8</v>
      </c>
      <c r="E709" s="3" t="n">
        <v>7</v>
      </c>
      <c r="F709" s="24" t="n">
        <v>0</v>
      </c>
    </row>
    <row r="710" customFormat="false" ht="15" hidden="false" customHeight="false" outlineLevel="0" collapsed="false">
      <c r="A710" s="3" t="n">
        <v>709</v>
      </c>
      <c r="B710" s="3" t="n">
        <v>708</v>
      </c>
      <c r="C710" s="3" t="n">
        <v>3</v>
      </c>
      <c r="D710" s="3" t="n">
        <v>8</v>
      </c>
      <c r="E710" s="3" t="n">
        <v>8</v>
      </c>
      <c r="F710" s="24" t="n">
        <v>0</v>
      </c>
    </row>
    <row r="711" customFormat="false" ht="15" hidden="false" customHeight="false" outlineLevel="0" collapsed="false">
      <c r="A711" s="3" t="n">
        <v>710</v>
      </c>
      <c r="B711" s="3" t="n">
        <v>709</v>
      </c>
      <c r="C711" s="3" t="n">
        <v>3</v>
      </c>
      <c r="D711" s="3" t="n">
        <v>8</v>
      </c>
      <c r="E711" s="3" t="n">
        <v>9</v>
      </c>
      <c r="F711" s="24" t="n">
        <v>0</v>
      </c>
    </row>
    <row r="712" customFormat="false" ht="15" hidden="false" customHeight="false" outlineLevel="0" collapsed="false">
      <c r="A712" s="3" t="n">
        <v>711</v>
      </c>
      <c r="B712" s="3" t="n">
        <v>710</v>
      </c>
      <c r="C712" s="3" t="n">
        <v>3</v>
      </c>
      <c r="D712" s="3" t="n">
        <v>8</v>
      </c>
      <c r="E712" s="3" t="n">
        <v>10</v>
      </c>
      <c r="F712" s="24" t="n">
        <v>0.0477315038</v>
      </c>
    </row>
    <row r="713" customFormat="false" ht="15" hidden="false" customHeight="false" outlineLevel="0" collapsed="false">
      <c r="A713" s="3" t="n">
        <v>712</v>
      </c>
      <c r="B713" s="3" t="n">
        <v>711</v>
      </c>
      <c r="C713" s="3" t="n">
        <v>3</v>
      </c>
      <c r="D713" s="3" t="n">
        <v>8</v>
      </c>
      <c r="E713" s="3" t="n">
        <v>11</v>
      </c>
      <c r="F713" s="24" t="n">
        <v>0.0138948113</v>
      </c>
    </row>
    <row r="714" customFormat="false" ht="15" hidden="false" customHeight="false" outlineLevel="0" collapsed="false">
      <c r="A714" s="3" t="n">
        <v>713</v>
      </c>
      <c r="B714" s="3" t="n">
        <v>712</v>
      </c>
      <c r="C714" s="3" t="n">
        <v>3</v>
      </c>
      <c r="D714" s="3" t="n">
        <v>8</v>
      </c>
      <c r="E714" s="3" t="n">
        <v>12</v>
      </c>
      <c r="F714" s="24" t="n">
        <v>0</v>
      </c>
    </row>
    <row r="715" customFormat="false" ht="15" hidden="false" customHeight="false" outlineLevel="0" collapsed="false">
      <c r="A715" s="3" t="n">
        <v>714</v>
      </c>
      <c r="B715" s="3" t="n">
        <v>713</v>
      </c>
      <c r="C715" s="3" t="n">
        <v>3</v>
      </c>
      <c r="D715" s="3" t="n">
        <v>8</v>
      </c>
      <c r="E715" s="3" t="n">
        <v>13</v>
      </c>
      <c r="F715" s="24" t="n">
        <v>0</v>
      </c>
    </row>
    <row r="716" customFormat="false" ht="15" hidden="false" customHeight="false" outlineLevel="0" collapsed="false">
      <c r="A716" s="3" t="n">
        <v>715</v>
      </c>
      <c r="B716" s="3" t="n">
        <v>714</v>
      </c>
      <c r="C716" s="3" t="n">
        <v>3</v>
      </c>
      <c r="D716" s="3" t="n">
        <v>9</v>
      </c>
      <c r="E716" s="3" t="n">
        <v>0</v>
      </c>
      <c r="F716" s="24" t="n">
        <v>0</v>
      </c>
    </row>
    <row r="717" customFormat="false" ht="15" hidden="false" customHeight="false" outlineLevel="0" collapsed="false">
      <c r="A717" s="3" t="n">
        <v>716</v>
      </c>
      <c r="B717" s="3" t="n">
        <v>715</v>
      </c>
      <c r="C717" s="3" t="n">
        <v>3</v>
      </c>
      <c r="D717" s="3" t="n">
        <v>9</v>
      </c>
      <c r="E717" s="3" t="n">
        <v>1</v>
      </c>
      <c r="F717" s="24" t="n">
        <v>0</v>
      </c>
    </row>
    <row r="718" customFormat="false" ht="15" hidden="false" customHeight="false" outlineLevel="0" collapsed="false">
      <c r="A718" s="3" t="n">
        <v>717</v>
      </c>
      <c r="B718" s="3" t="n">
        <v>716</v>
      </c>
      <c r="C718" s="3" t="n">
        <v>3</v>
      </c>
      <c r="D718" s="3" t="n">
        <v>9</v>
      </c>
      <c r="E718" s="3" t="n">
        <v>2</v>
      </c>
      <c r="F718" s="24" t="n">
        <v>0</v>
      </c>
    </row>
    <row r="719" customFormat="false" ht="15" hidden="false" customHeight="false" outlineLevel="0" collapsed="false">
      <c r="A719" s="3" t="n">
        <v>718</v>
      </c>
      <c r="B719" s="3" t="n">
        <v>717</v>
      </c>
      <c r="C719" s="3" t="n">
        <v>3</v>
      </c>
      <c r="D719" s="3" t="n">
        <v>9</v>
      </c>
      <c r="E719" s="3" t="n">
        <v>3</v>
      </c>
      <c r="F719" s="24" t="n">
        <v>0</v>
      </c>
    </row>
    <row r="720" customFormat="false" ht="15" hidden="false" customHeight="false" outlineLevel="0" collapsed="false">
      <c r="A720" s="3" t="n">
        <v>719</v>
      </c>
      <c r="B720" s="3" t="n">
        <v>718</v>
      </c>
      <c r="C720" s="3" t="n">
        <v>3</v>
      </c>
      <c r="D720" s="3" t="n">
        <v>9</v>
      </c>
      <c r="E720" s="3" t="n">
        <v>4</v>
      </c>
      <c r="F720" s="24" t="n">
        <v>0</v>
      </c>
    </row>
    <row r="721" customFormat="false" ht="15" hidden="false" customHeight="false" outlineLevel="0" collapsed="false">
      <c r="A721" s="3" t="n">
        <v>720</v>
      </c>
      <c r="B721" s="3" t="n">
        <v>719</v>
      </c>
      <c r="C721" s="3" t="n">
        <v>3</v>
      </c>
      <c r="D721" s="3" t="n">
        <v>9</v>
      </c>
      <c r="E721" s="3" t="n">
        <v>5</v>
      </c>
      <c r="F721" s="24" t="n">
        <v>1.3709141</v>
      </c>
    </row>
    <row r="722" customFormat="false" ht="15" hidden="false" customHeight="false" outlineLevel="0" collapsed="false">
      <c r="A722" s="3" t="n">
        <v>721</v>
      </c>
      <c r="B722" s="3" t="n">
        <v>720</v>
      </c>
      <c r="C722" s="3" t="n">
        <v>3</v>
      </c>
      <c r="D722" s="3" t="n">
        <v>9</v>
      </c>
      <c r="E722" s="3" t="n">
        <v>6</v>
      </c>
      <c r="F722" s="24" t="n">
        <v>0</v>
      </c>
    </row>
    <row r="723" customFormat="false" ht="15" hidden="false" customHeight="false" outlineLevel="0" collapsed="false">
      <c r="A723" s="3" t="n">
        <v>722</v>
      </c>
      <c r="B723" s="3" t="n">
        <v>721</v>
      </c>
      <c r="C723" s="3" t="n">
        <v>3</v>
      </c>
      <c r="D723" s="3" t="n">
        <v>9</v>
      </c>
      <c r="E723" s="3" t="n">
        <v>7</v>
      </c>
      <c r="F723" s="24" t="n">
        <v>0</v>
      </c>
    </row>
    <row r="724" customFormat="false" ht="15" hidden="false" customHeight="false" outlineLevel="0" collapsed="false">
      <c r="A724" s="3" t="n">
        <v>723</v>
      </c>
      <c r="B724" s="3" t="n">
        <v>722</v>
      </c>
      <c r="C724" s="3" t="n">
        <v>3</v>
      </c>
      <c r="D724" s="3" t="n">
        <v>9</v>
      </c>
      <c r="E724" s="3" t="n">
        <v>8</v>
      </c>
      <c r="F724" s="24" t="n">
        <v>0</v>
      </c>
    </row>
    <row r="725" customFormat="false" ht="15" hidden="false" customHeight="false" outlineLevel="0" collapsed="false">
      <c r="A725" s="3" t="n">
        <v>724</v>
      </c>
      <c r="B725" s="3" t="n">
        <v>723</v>
      </c>
      <c r="C725" s="3" t="n">
        <v>3</v>
      </c>
      <c r="D725" s="3" t="n">
        <v>9</v>
      </c>
      <c r="E725" s="3" t="n">
        <v>9</v>
      </c>
      <c r="F725" s="24" t="n">
        <v>0.417253554</v>
      </c>
    </row>
    <row r="726" customFormat="false" ht="15" hidden="false" customHeight="false" outlineLevel="0" collapsed="false">
      <c r="A726" s="3" t="n">
        <v>725</v>
      </c>
      <c r="B726" s="3" t="n">
        <v>724</v>
      </c>
      <c r="C726" s="3" t="n">
        <v>3</v>
      </c>
      <c r="D726" s="3" t="n">
        <v>9</v>
      </c>
      <c r="E726" s="3" t="n">
        <v>10</v>
      </c>
      <c r="F726" s="24" t="n">
        <v>0</v>
      </c>
    </row>
    <row r="727" customFormat="false" ht="15" hidden="false" customHeight="false" outlineLevel="0" collapsed="false">
      <c r="A727" s="3" t="n">
        <v>726</v>
      </c>
      <c r="B727" s="3" t="n">
        <v>725</v>
      </c>
      <c r="C727" s="3" t="n">
        <v>3</v>
      </c>
      <c r="D727" s="3" t="n">
        <v>9</v>
      </c>
      <c r="E727" s="3" t="n">
        <v>11</v>
      </c>
      <c r="F727" s="24" t="n">
        <v>0</v>
      </c>
    </row>
    <row r="728" customFormat="false" ht="15" hidden="false" customHeight="false" outlineLevel="0" collapsed="false">
      <c r="A728" s="3" t="n">
        <v>727</v>
      </c>
      <c r="B728" s="3" t="n">
        <v>726</v>
      </c>
      <c r="C728" s="3" t="n">
        <v>3</v>
      </c>
      <c r="D728" s="3" t="n">
        <v>9</v>
      </c>
      <c r="E728" s="3" t="n">
        <v>12</v>
      </c>
      <c r="F728" s="24" t="n">
        <v>0</v>
      </c>
    </row>
    <row r="729" customFormat="false" ht="15" hidden="false" customHeight="false" outlineLevel="0" collapsed="false">
      <c r="A729" s="3" t="n">
        <v>728</v>
      </c>
      <c r="B729" s="3" t="n">
        <v>727</v>
      </c>
      <c r="C729" s="3" t="n">
        <v>3</v>
      </c>
      <c r="D729" s="3" t="n">
        <v>9</v>
      </c>
      <c r="E729" s="3" t="n">
        <v>13</v>
      </c>
      <c r="F729" s="24" t="n">
        <v>0</v>
      </c>
    </row>
    <row r="730" customFormat="false" ht="15" hidden="false" customHeight="false" outlineLevel="0" collapsed="false">
      <c r="A730" s="3" t="n">
        <v>729</v>
      </c>
      <c r="B730" s="3" t="n">
        <v>728</v>
      </c>
      <c r="C730" s="3" t="n">
        <v>3</v>
      </c>
      <c r="D730" s="3" t="n">
        <v>10</v>
      </c>
      <c r="E730" s="3" t="n">
        <v>0</v>
      </c>
      <c r="F730" s="24" t="n">
        <v>0</v>
      </c>
    </row>
    <row r="731" customFormat="false" ht="15" hidden="false" customHeight="false" outlineLevel="0" collapsed="false">
      <c r="A731" s="3" t="n">
        <v>730</v>
      </c>
      <c r="B731" s="3" t="n">
        <v>729</v>
      </c>
      <c r="C731" s="3" t="n">
        <v>3</v>
      </c>
      <c r="D731" s="3" t="n">
        <v>10</v>
      </c>
      <c r="E731" s="3" t="n">
        <v>1</v>
      </c>
      <c r="F731" s="24" t="n">
        <v>0</v>
      </c>
    </row>
    <row r="732" customFormat="false" ht="15" hidden="false" customHeight="false" outlineLevel="0" collapsed="false">
      <c r="A732" s="3" t="n">
        <v>731</v>
      </c>
      <c r="B732" s="3" t="n">
        <v>730</v>
      </c>
      <c r="C732" s="3" t="n">
        <v>3</v>
      </c>
      <c r="D732" s="3" t="n">
        <v>10</v>
      </c>
      <c r="E732" s="3" t="n">
        <v>2</v>
      </c>
      <c r="F732" s="24" t="n">
        <v>0</v>
      </c>
    </row>
    <row r="733" customFormat="false" ht="15" hidden="false" customHeight="false" outlineLevel="0" collapsed="false">
      <c r="A733" s="3" t="n">
        <v>732</v>
      </c>
      <c r="B733" s="3" t="n">
        <v>731</v>
      </c>
      <c r="C733" s="3" t="n">
        <v>3</v>
      </c>
      <c r="D733" s="3" t="n">
        <v>10</v>
      </c>
      <c r="E733" s="3" t="n">
        <v>3</v>
      </c>
      <c r="F733" s="24" t="n">
        <v>0</v>
      </c>
    </row>
    <row r="734" customFormat="false" ht="15" hidden="false" customHeight="false" outlineLevel="0" collapsed="false">
      <c r="A734" s="3" t="n">
        <v>733</v>
      </c>
      <c r="B734" s="3" t="n">
        <v>732</v>
      </c>
      <c r="C734" s="3" t="n">
        <v>3</v>
      </c>
      <c r="D734" s="3" t="n">
        <v>10</v>
      </c>
      <c r="E734" s="3" t="n">
        <v>4</v>
      </c>
      <c r="F734" s="24" t="n">
        <v>0.842182517</v>
      </c>
    </row>
    <row r="735" customFormat="false" ht="15" hidden="false" customHeight="false" outlineLevel="0" collapsed="false">
      <c r="A735" s="3" t="n">
        <v>734</v>
      </c>
      <c r="B735" s="3" t="n">
        <v>733</v>
      </c>
      <c r="C735" s="3" t="n">
        <v>3</v>
      </c>
      <c r="D735" s="3" t="n">
        <v>10</v>
      </c>
      <c r="E735" s="3" t="n">
        <v>5</v>
      </c>
      <c r="F735" s="24" t="n">
        <v>0</v>
      </c>
    </row>
    <row r="736" customFormat="false" ht="15" hidden="false" customHeight="false" outlineLevel="0" collapsed="false">
      <c r="A736" s="3" t="n">
        <v>735</v>
      </c>
      <c r="B736" s="3" t="n">
        <v>734</v>
      </c>
      <c r="C736" s="3" t="n">
        <v>3</v>
      </c>
      <c r="D736" s="3" t="n">
        <v>10</v>
      </c>
      <c r="E736" s="3" t="n">
        <v>6</v>
      </c>
      <c r="F736" s="24" t="n">
        <v>0</v>
      </c>
    </row>
    <row r="737" customFormat="false" ht="15" hidden="false" customHeight="false" outlineLevel="0" collapsed="false">
      <c r="A737" s="3" t="n">
        <v>736</v>
      </c>
      <c r="B737" s="3" t="n">
        <v>735</v>
      </c>
      <c r="C737" s="3" t="n">
        <v>3</v>
      </c>
      <c r="D737" s="3" t="n">
        <v>10</v>
      </c>
      <c r="E737" s="3" t="n">
        <v>7</v>
      </c>
      <c r="F737" s="24" t="n">
        <v>1.17385733</v>
      </c>
    </row>
    <row r="738" customFormat="false" ht="15" hidden="false" customHeight="false" outlineLevel="0" collapsed="false">
      <c r="A738" s="3" t="n">
        <v>737</v>
      </c>
      <c r="B738" s="3" t="n">
        <v>736</v>
      </c>
      <c r="C738" s="3" t="n">
        <v>3</v>
      </c>
      <c r="D738" s="3" t="n">
        <v>10</v>
      </c>
      <c r="E738" s="3" t="n">
        <v>8</v>
      </c>
      <c r="F738" s="24" t="n">
        <v>0</v>
      </c>
    </row>
    <row r="739" customFormat="false" ht="15" hidden="false" customHeight="false" outlineLevel="0" collapsed="false">
      <c r="A739" s="3" t="n">
        <v>738</v>
      </c>
      <c r="B739" s="3" t="n">
        <v>737</v>
      </c>
      <c r="C739" s="3" t="n">
        <v>3</v>
      </c>
      <c r="D739" s="3" t="n">
        <v>10</v>
      </c>
      <c r="E739" s="3" t="n">
        <v>9</v>
      </c>
      <c r="F739" s="24" t="n">
        <v>0</v>
      </c>
    </row>
    <row r="740" customFormat="false" ht="15" hidden="false" customHeight="false" outlineLevel="0" collapsed="false">
      <c r="A740" s="3" t="n">
        <v>739</v>
      </c>
      <c r="B740" s="3" t="n">
        <v>738</v>
      </c>
      <c r="C740" s="3" t="n">
        <v>3</v>
      </c>
      <c r="D740" s="3" t="n">
        <v>10</v>
      </c>
      <c r="E740" s="3" t="n">
        <v>10</v>
      </c>
      <c r="F740" s="24" t="n">
        <v>0</v>
      </c>
    </row>
    <row r="741" customFormat="false" ht="15" hidden="false" customHeight="false" outlineLevel="0" collapsed="false">
      <c r="A741" s="3" t="n">
        <v>740</v>
      </c>
      <c r="B741" s="3" t="n">
        <v>739</v>
      </c>
      <c r="C741" s="3" t="n">
        <v>3</v>
      </c>
      <c r="D741" s="3" t="n">
        <v>10</v>
      </c>
      <c r="E741" s="3" t="n">
        <v>11</v>
      </c>
      <c r="F741" s="24" t="n">
        <v>0</v>
      </c>
    </row>
    <row r="742" customFormat="false" ht="15" hidden="false" customHeight="false" outlineLevel="0" collapsed="false">
      <c r="A742" s="3" t="n">
        <v>741</v>
      </c>
      <c r="B742" s="3" t="n">
        <v>740</v>
      </c>
      <c r="C742" s="3" t="n">
        <v>3</v>
      </c>
      <c r="D742" s="3" t="n">
        <v>10</v>
      </c>
      <c r="E742" s="3" t="n">
        <v>12</v>
      </c>
      <c r="F742" s="24" t="n">
        <v>0</v>
      </c>
    </row>
    <row r="743" customFormat="false" ht="15" hidden="false" customHeight="false" outlineLevel="0" collapsed="false">
      <c r="A743" s="3" t="n">
        <v>742</v>
      </c>
      <c r="B743" s="3" t="n">
        <v>741</v>
      </c>
      <c r="C743" s="3" t="n">
        <v>3</v>
      </c>
      <c r="D743" s="3" t="n">
        <v>10</v>
      </c>
      <c r="E743" s="3" t="n">
        <v>13</v>
      </c>
      <c r="F743" s="24" t="n">
        <v>0</v>
      </c>
    </row>
    <row r="744" customFormat="false" ht="15" hidden="false" customHeight="false" outlineLevel="0" collapsed="false">
      <c r="A744" s="3" t="n">
        <v>743</v>
      </c>
      <c r="B744" s="3" t="n">
        <v>742</v>
      </c>
      <c r="C744" s="3" t="n">
        <v>3</v>
      </c>
      <c r="D744" s="3" t="n">
        <v>11</v>
      </c>
      <c r="E744" s="3" t="n">
        <v>0</v>
      </c>
      <c r="F744" s="24" t="n">
        <v>0</v>
      </c>
    </row>
    <row r="745" customFormat="false" ht="15" hidden="false" customHeight="false" outlineLevel="0" collapsed="false">
      <c r="A745" s="3" t="n">
        <v>744</v>
      </c>
      <c r="B745" s="3" t="n">
        <v>743</v>
      </c>
      <c r="C745" s="3" t="n">
        <v>3</v>
      </c>
      <c r="D745" s="3" t="n">
        <v>11</v>
      </c>
      <c r="E745" s="3" t="n">
        <v>1</v>
      </c>
      <c r="F745" s="24" t="n">
        <v>0</v>
      </c>
    </row>
    <row r="746" customFormat="false" ht="15" hidden="false" customHeight="false" outlineLevel="0" collapsed="false">
      <c r="A746" s="3" t="n">
        <v>745</v>
      </c>
      <c r="B746" s="3" t="n">
        <v>744</v>
      </c>
      <c r="C746" s="3" t="n">
        <v>3</v>
      </c>
      <c r="D746" s="3" t="n">
        <v>11</v>
      </c>
      <c r="E746" s="3" t="n">
        <v>2</v>
      </c>
      <c r="F746" s="24" t="n">
        <v>0</v>
      </c>
    </row>
    <row r="747" customFormat="false" ht="15" hidden="false" customHeight="false" outlineLevel="0" collapsed="false">
      <c r="A747" s="3" t="n">
        <v>746</v>
      </c>
      <c r="B747" s="3" t="n">
        <v>745</v>
      </c>
      <c r="C747" s="3" t="n">
        <v>3</v>
      </c>
      <c r="D747" s="3" t="n">
        <v>11</v>
      </c>
      <c r="E747" s="3" t="n">
        <v>3</v>
      </c>
      <c r="F747" s="24" t="n">
        <v>0</v>
      </c>
    </row>
    <row r="748" customFormat="false" ht="15" hidden="false" customHeight="false" outlineLevel="0" collapsed="false">
      <c r="A748" s="3" t="n">
        <v>747</v>
      </c>
      <c r="B748" s="3" t="n">
        <v>746</v>
      </c>
      <c r="C748" s="3" t="n">
        <v>3</v>
      </c>
      <c r="D748" s="3" t="n">
        <v>11</v>
      </c>
      <c r="E748" s="3" t="n">
        <v>4</v>
      </c>
      <c r="F748" s="24" t="n">
        <v>2.3020196</v>
      </c>
    </row>
    <row r="749" customFormat="false" ht="15" hidden="false" customHeight="false" outlineLevel="0" collapsed="false">
      <c r="A749" s="3" t="n">
        <v>748</v>
      </c>
      <c r="B749" s="3" t="n">
        <v>747</v>
      </c>
      <c r="C749" s="3" t="n">
        <v>3</v>
      </c>
      <c r="D749" s="3" t="n">
        <v>11</v>
      </c>
      <c r="E749" s="3" t="n">
        <v>5</v>
      </c>
      <c r="F749" s="24" t="n">
        <v>0</v>
      </c>
    </row>
    <row r="750" customFormat="false" ht="15" hidden="false" customHeight="false" outlineLevel="0" collapsed="false">
      <c r="A750" s="3" t="n">
        <v>749</v>
      </c>
      <c r="B750" s="3" t="n">
        <v>748</v>
      </c>
      <c r="C750" s="3" t="n">
        <v>3</v>
      </c>
      <c r="D750" s="3" t="n">
        <v>11</v>
      </c>
      <c r="E750" s="3" t="n">
        <v>6</v>
      </c>
      <c r="F750" s="24" t="n">
        <v>0</v>
      </c>
    </row>
    <row r="751" customFormat="false" ht="15" hidden="false" customHeight="false" outlineLevel="0" collapsed="false">
      <c r="A751" s="3" t="n">
        <v>750</v>
      </c>
      <c r="B751" s="3" t="n">
        <v>749</v>
      </c>
      <c r="C751" s="3" t="n">
        <v>3</v>
      </c>
      <c r="D751" s="3" t="n">
        <v>11</v>
      </c>
      <c r="E751" s="3" t="n">
        <v>7</v>
      </c>
      <c r="F751" s="24" t="n">
        <v>0</v>
      </c>
    </row>
    <row r="752" customFormat="false" ht="15" hidden="false" customHeight="false" outlineLevel="0" collapsed="false">
      <c r="A752" s="3" t="n">
        <v>751</v>
      </c>
      <c r="B752" s="3" t="n">
        <v>750</v>
      </c>
      <c r="C752" s="3" t="n">
        <v>3</v>
      </c>
      <c r="D752" s="3" t="n">
        <v>11</v>
      </c>
      <c r="E752" s="3" t="n">
        <v>8</v>
      </c>
      <c r="F752" s="24" t="n">
        <v>0.734983563</v>
      </c>
    </row>
    <row r="753" customFormat="false" ht="15" hidden="false" customHeight="false" outlineLevel="0" collapsed="false">
      <c r="A753" s="3" t="n">
        <v>752</v>
      </c>
      <c r="B753" s="3" t="n">
        <v>751</v>
      </c>
      <c r="C753" s="3" t="n">
        <v>3</v>
      </c>
      <c r="D753" s="3" t="n">
        <v>11</v>
      </c>
      <c r="E753" s="3" t="n">
        <v>9</v>
      </c>
      <c r="F753" s="24" t="n">
        <v>0.377169311</v>
      </c>
    </row>
    <row r="754" customFormat="false" ht="15" hidden="false" customHeight="false" outlineLevel="0" collapsed="false">
      <c r="A754" s="3" t="n">
        <v>753</v>
      </c>
      <c r="B754" s="3" t="n">
        <v>752</v>
      </c>
      <c r="C754" s="3" t="n">
        <v>3</v>
      </c>
      <c r="D754" s="3" t="n">
        <v>11</v>
      </c>
      <c r="E754" s="3" t="n">
        <v>10</v>
      </c>
      <c r="F754" s="24" t="n">
        <v>0</v>
      </c>
    </row>
    <row r="755" customFormat="false" ht="15" hidden="false" customHeight="false" outlineLevel="0" collapsed="false">
      <c r="A755" s="3" t="n">
        <v>754</v>
      </c>
      <c r="B755" s="3" t="n">
        <v>753</v>
      </c>
      <c r="C755" s="3" t="n">
        <v>3</v>
      </c>
      <c r="D755" s="3" t="n">
        <v>11</v>
      </c>
      <c r="E755" s="3" t="n">
        <v>11</v>
      </c>
      <c r="F755" s="24" t="n">
        <v>0</v>
      </c>
    </row>
    <row r="756" customFormat="false" ht="15" hidden="false" customHeight="false" outlineLevel="0" collapsed="false">
      <c r="A756" s="3" t="n">
        <v>755</v>
      </c>
      <c r="B756" s="3" t="n">
        <v>754</v>
      </c>
      <c r="C756" s="3" t="n">
        <v>3</v>
      </c>
      <c r="D756" s="3" t="n">
        <v>11</v>
      </c>
      <c r="E756" s="3" t="n">
        <v>12</v>
      </c>
      <c r="F756" s="24" t="n">
        <v>0</v>
      </c>
    </row>
    <row r="757" customFormat="false" ht="15" hidden="false" customHeight="false" outlineLevel="0" collapsed="false">
      <c r="A757" s="3" t="n">
        <v>756</v>
      </c>
      <c r="B757" s="3" t="n">
        <v>755</v>
      </c>
      <c r="C757" s="3" t="n">
        <v>3</v>
      </c>
      <c r="D757" s="3" t="n">
        <v>11</v>
      </c>
      <c r="E757" s="3" t="n">
        <v>13</v>
      </c>
      <c r="F757" s="24" t="n">
        <v>0</v>
      </c>
    </row>
    <row r="758" customFormat="false" ht="15" hidden="false" customHeight="false" outlineLevel="0" collapsed="false">
      <c r="A758" s="3" t="n">
        <v>757</v>
      </c>
      <c r="B758" s="3" t="n">
        <v>756</v>
      </c>
      <c r="C758" s="3" t="n">
        <v>3</v>
      </c>
      <c r="D758" s="3" t="n">
        <v>12</v>
      </c>
      <c r="E758" s="3" t="n">
        <v>0</v>
      </c>
      <c r="F758" s="24" t="n">
        <v>0</v>
      </c>
    </row>
    <row r="759" customFormat="false" ht="15" hidden="false" customHeight="false" outlineLevel="0" collapsed="false">
      <c r="A759" s="3" t="n">
        <v>758</v>
      </c>
      <c r="B759" s="3" t="n">
        <v>757</v>
      </c>
      <c r="C759" s="3" t="n">
        <v>3</v>
      </c>
      <c r="D759" s="3" t="n">
        <v>12</v>
      </c>
      <c r="E759" s="3" t="n">
        <v>1</v>
      </c>
      <c r="F759" s="24" t="n">
        <v>0</v>
      </c>
    </row>
    <row r="760" customFormat="false" ht="15" hidden="false" customHeight="false" outlineLevel="0" collapsed="false">
      <c r="A760" s="3" t="n">
        <v>759</v>
      </c>
      <c r="B760" s="3" t="n">
        <v>758</v>
      </c>
      <c r="C760" s="3" t="n">
        <v>3</v>
      </c>
      <c r="D760" s="3" t="n">
        <v>12</v>
      </c>
      <c r="E760" s="3" t="n">
        <v>2</v>
      </c>
      <c r="F760" s="24" t="n">
        <v>0</v>
      </c>
    </row>
    <row r="761" customFormat="false" ht="15" hidden="false" customHeight="false" outlineLevel="0" collapsed="false">
      <c r="A761" s="3" t="n">
        <v>760</v>
      </c>
      <c r="B761" s="3" t="n">
        <v>759</v>
      </c>
      <c r="C761" s="3" t="n">
        <v>3</v>
      </c>
      <c r="D761" s="3" t="n">
        <v>12</v>
      </c>
      <c r="E761" s="3" t="n">
        <v>3</v>
      </c>
      <c r="F761" s="24" t="n">
        <v>0.746443152</v>
      </c>
    </row>
    <row r="762" customFormat="false" ht="15" hidden="false" customHeight="false" outlineLevel="0" collapsed="false">
      <c r="A762" s="3" t="n">
        <v>761</v>
      </c>
      <c r="B762" s="3" t="n">
        <v>760</v>
      </c>
      <c r="C762" s="3" t="n">
        <v>3</v>
      </c>
      <c r="D762" s="3" t="n">
        <v>12</v>
      </c>
      <c r="E762" s="3" t="n">
        <v>4</v>
      </c>
      <c r="F762" s="24" t="n">
        <v>5.60710192</v>
      </c>
    </row>
    <row r="763" customFormat="false" ht="15" hidden="false" customHeight="false" outlineLevel="0" collapsed="false">
      <c r="A763" s="3" t="n">
        <v>762</v>
      </c>
      <c r="B763" s="3" t="n">
        <v>761</v>
      </c>
      <c r="C763" s="3" t="n">
        <v>3</v>
      </c>
      <c r="D763" s="3" t="n">
        <v>12</v>
      </c>
      <c r="E763" s="3" t="n">
        <v>5</v>
      </c>
      <c r="F763" s="24" t="n">
        <v>3.89456582</v>
      </c>
    </row>
    <row r="764" customFormat="false" ht="15" hidden="false" customHeight="false" outlineLevel="0" collapsed="false">
      <c r="A764" s="3" t="n">
        <v>763</v>
      </c>
      <c r="B764" s="3" t="n">
        <v>762</v>
      </c>
      <c r="C764" s="3" t="n">
        <v>3</v>
      </c>
      <c r="D764" s="3" t="n">
        <v>12</v>
      </c>
      <c r="E764" s="3" t="n">
        <v>6</v>
      </c>
      <c r="F764" s="24" t="n">
        <v>0</v>
      </c>
    </row>
    <row r="765" customFormat="false" ht="15" hidden="false" customHeight="false" outlineLevel="0" collapsed="false">
      <c r="A765" s="3" t="n">
        <v>764</v>
      </c>
      <c r="B765" s="3" t="n">
        <v>763</v>
      </c>
      <c r="C765" s="3" t="n">
        <v>3</v>
      </c>
      <c r="D765" s="3" t="n">
        <v>12</v>
      </c>
      <c r="E765" s="3" t="n">
        <v>7</v>
      </c>
      <c r="F765" s="24" t="n">
        <v>0</v>
      </c>
    </row>
    <row r="766" customFormat="false" ht="15" hidden="false" customHeight="false" outlineLevel="0" collapsed="false">
      <c r="A766" s="3" t="n">
        <v>765</v>
      </c>
      <c r="B766" s="3" t="n">
        <v>764</v>
      </c>
      <c r="C766" s="3" t="n">
        <v>3</v>
      </c>
      <c r="D766" s="3" t="n">
        <v>12</v>
      </c>
      <c r="E766" s="3" t="n">
        <v>8</v>
      </c>
      <c r="F766" s="24" t="n">
        <v>0</v>
      </c>
    </row>
    <row r="767" customFormat="false" ht="15" hidden="false" customHeight="false" outlineLevel="0" collapsed="false">
      <c r="A767" s="3" t="n">
        <v>766</v>
      </c>
      <c r="B767" s="3" t="n">
        <v>765</v>
      </c>
      <c r="C767" s="3" t="n">
        <v>3</v>
      </c>
      <c r="D767" s="3" t="n">
        <v>12</v>
      </c>
      <c r="E767" s="3" t="n">
        <v>9</v>
      </c>
      <c r="F767" s="24" t="n">
        <v>0</v>
      </c>
    </row>
    <row r="768" customFormat="false" ht="15" hidden="false" customHeight="false" outlineLevel="0" collapsed="false">
      <c r="A768" s="3" t="n">
        <v>767</v>
      </c>
      <c r="B768" s="3" t="n">
        <v>766</v>
      </c>
      <c r="C768" s="3" t="n">
        <v>3</v>
      </c>
      <c r="D768" s="3" t="n">
        <v>12</v>
      </c>
      <c r="E768" s="3" t="n">
        <v>10</v>
      </c>
      <c r="F768" s="24" t="n">
        <v>0</v>
      </c>
    </row>
    <row r="769" customFormat="false" ht="15" hidden="false" customHeight="false" outlineLevel="0" collapsed="false">
      <c r="A769" s="3" t="n">
        <v>768</v>
      </c>
      <c r="B769" s="3" t="n">
        <v>767</v>
      </c>
      <c r="C769" s="3" t="n">
        <v>3</v>
      </c>
      <c r="D769" s="3" t="n">
        <v>12</v>
      </c>
      <c r="E769" s="3" t="n">
        <v>11</v>
      </c>
      <c r="F769" s="24" t="n">
        <v>0</v>
      </c>
    </row>
    <row r="770" customFormat="false" ht="15" hidden="false" customHeight="false" outlineLevel="0" collapsed="false">
      <c r="A770" s="3" t="n">
        <v>769</v>
      </c>
      <c r="B770" s="3" t="n">
        <v>768</v>
      </c>
      <c r="C770" s="3" t="n">
        <v>3</v>
      </c>
      <c r="D770" s="3" t="n">
        <v>12</v>
      </c>
      <c r="E770" s="3" t="n">
        <v>12</v>
      </c>
      <c r="F770" s="24" t="n">
        <v>0</v>
      </c>
    </row>
    <row r="771" customFormat="false" ht="15" hidden="false" customHeight="false" outlineLevel="0" collapsed="false">
      <c r="A771" s="3" t="n">
        <v>770</v>
      </c>
      <c r="B771" s="3" t="n">
        <v>769</v>
      </c>
      <c r="C771" s="3" t="n">
        <v>3</v>
      </c>
      <c r="D771" s="3" t="n">
        <v>12</v>
      </c>
      <c r="E771" s="3" t="n">
        <v>13</v>
      </c>
      <c r="F771" s="24" t="n">
        <v>0</v>
      </c>
    </row>
    <row r="772" customFormat="false" ht="15" hidden="false" customHeight="false" outlineLevel="0" collapsed="false">
      <c r="A772" s="3" t="n">
        <v>771</v>
      </c>
      <c r="B772" s="3" t="n">
        <v>770</v>
      </c>
      <c r="C772" s="3" t="n">
        <v>3</v>
      </c>
      <c r="D772" s="3" t="n">
        <v>13</v>
      </c>
      <c r="E772" s="3" t="n">
        <v>0</v>
      </c>
      <c r="F772" s="24" t="n">
        <v>0</v>
      </c>
    </row>
    <row r="773" customFormat="false" ht="15" hidden="false" customHeight="false" outlineLevel="0" collapsed="false">
      <c r="A773" s="3" t="n">
        <v>772</v>
      </c>
      <c r="B773" s="3" t="n">
        <v>771</v>
      </c>
      <c r="C773" s="3" t="n">
        <v>3</v>
      </c>
      <c r="D773" s="3" t="n">
        <v>13</v>
      </c>
      <c r="E773" s="3" t="n">
        <v>1</v>
      </c>
      <c r="F773" s="24" t="n">
        <v>0</v>
      </c>
    </row>
    <row r="774" customFormat="false" ht="15" hidden="false" customHeight="false" outlineLevel="0" collapsed="false">
      <c r="A774" s="3" t="n">
        <v>773</v>
      </c>
      <c r="B774" s="3" t="n">
        <v>772</v>
      </c>
      <c r="C774" s="3" t="n">
        <v>3</v>
      </c>
      <c r="D774" s="3" t="n">
        <v>13</v>
      </c>
      <c r="E774" s="3" t="n">
        <v>2</v>
      </c>
      <c r="F774" s="24" t="n">
        <v>0</v>
      </c>
    </row>
    <row r="775" customFormat="false" ht="15" hidden="false" customHeight="false" outlineLevel="0" collapsed="false">
      <c r="A775" s="3" t="n">
        <v>774</v>
      </c>
      <c r="B775" s="3" t="n">
        <v>773</v>
      </c>
      <c r="C775" s="3" t="n">
        <v>3</v>
      </c>
      <c r="D775" s="3" t="n">
        <v>13</v>
      </c>
      <c r="E775" s="3" t="n">
        <v>3</v>
      </c>
      <c r="F775" s="24" t="n">
        <v>0</v>
      </c>
    </row>
    <row r="776" customFormat="false" ht="15" hidden="false" customHeight="false" outlineLevel="0" collapsed="false">
      <c r="A776" s="3" t="n">
        <v>775</v>
      </c>
      <c r="B776" s="3" t="n">
        <v>774</v>
      </c>
      <c r="C776" s="3" t="n">
        <v>3</v>
      </c>
      <c r="D776" s="3" t="n">
        <v>13</v>
      </c>
      <c r="E776" s="3" t="n">
        <v>4</v>
      </c>
      <c r="F776" s="24" t="n">
        <v>2.70845008</v>
      </c>
    </row>
    <row r="777" customFormat="false" ht="15" hidden="false" customHeight="false" outlineLevel="0" collapsed="false">
      <c r="A777" s="3" t="n">
        <v>776</v>
      </c>
      <c r="B777" s="3" t="n">
        <v>775</v>
      </c>
      <c r="C777" s="3" t="n">
        <v>3</v>
      </c>
      <c r="D777" s="3" t="n">
        <v>13</v>
      </c>
      <c r="E777" s="3" t="n">
        <v>5</v>
      </c>
      <c r="F777" s="24" t="n">
        <v>5.07055283</v>
      </c>
    </row>
    <row r="778" customFormat="false" ht="15" hidden="false" customHeight="false" outlineLevel="0" collapsed="false">
      <c r="A778" s="3" t="n">
        <v>777</v>
      </c>
      <c r="B778" s="3" t="n">
        <v>776</v>
      </c>
      <c r="C778" s="3" t="n">
        <v>3</v>
      </c>
      <c r="D778" s="3" t="n">
        <v>13</v>
      </c>
      <c r="E778" s="3" t="n">
        <v>6</v>
      </c>
      <c r="F778" s="24" t="n">
        <v>2.53685594</v>
      </c>
    </row>
    <row r="779" customFormat="false" ht="15" hidden="false" customHeight="false" outlineLevel="0" collapsed="false">
      <c r="A779" s="3" t="n">
        <v>778</v>
      </c>
      <c r="B779" s="3" t="n">
        <v>777</v>
      </c>
      <c r="C779" s="3" t="n">
        <v>3</v>
      </c>
      <c r="D779" s="3" t="n">
        <v>13</v>
      </c>
      <c r="E779" s="3" t="n">
        <v>7</v>
      </c>
      <c r="F779" s="24" t="n">
        <v>0.729175627</v>
      </c>
    </row>
    <row r="780" customFormat="false" ht="15" hidden="false" customHeight="false" outlineLevel="0" collapsed="false">
      <c r="A780" s="3" t="n">
        <v>779</v>
      </c>
      <c r="B780" s="3" t="n">
        <v>778</v>
      </c>
      <c r="C780" s="3" t="n">
        <v>3</v>
      </c>
      <c r="D780" s="3" t="n">
        <v>13</v>
      </c>
      <c r="E780" s="3" t="n">
        <v>8</v>
      </c>
      <c r="F780" s="24" t="n">
        <v>0.181695715</v>
      </c>
    </row>
    <row r="781" customFormat="false" ht="15" hidden="false" customHeight="false" outlineLevel="0" collapsed="false">
      <c r="A781" s="3" t="n">
        <v>780</v>
      </c>
      <c r="B781" s="3" t="n">
        <v>779</v>
      </c>
      <c r="C781" s="3" t="n">
        <v>3</v>
      </c>
      <c r="D781" s="3" t="n">
        <v>13</v>
      </c>
      <c r="E781" s="3" t="n">
        <v>9</v>
      </c>
      <c r="F781" s="24" t="n">
        <v>0</v>
      </c>
    </row>
    <row r="782" customFormat="false" ht="15" hidden="false" customHeight="false" outlineLevel="0" collapsed="false">
      <c r="A782" s="3" t="n">
        <v>781</v>
      </c>
      <c r="B782" s="3" t="n">
        <v>780</v>
      </c>
      <c r="C782" s="3" t="n">
        <v>3</v>
      </c>
      <c r="D782" s="3" t="n">
        <v>13</v>
      </c>
      <c r="E782" s="3" t="n">
        <v>10</v>
      </c>
      <c r="F782" s="24" t="n">
        <v>0</v>
      </c>
    </row>
    <row r="783" customFormat="false" ht="15" hidden="false" customHeight="false" outlineLevel="0" collapsed="false">
      <c r="A783" s="3" t="n">
        <v>782</v>
      </c>
      <c r="B783" s="3" t="n">
        <v>781</v>
      </c>
      <c r="C783" s="3" t="n">
        <v>3</v>
      </c>
      <c r="D783" s="3" t="n">
        <v>13</v>
      </c>
      <c r="E783" s="3" t="n">
        <v>11</v>
      </c>
      <c r="F783" s="24" t="n">
        <v>0</v>
      </c>
    </row>
    <row r="784" customFormat="false" ht="15" hidden="false" customHeight="false" outlineLevel="0" collapsed="false">
      <c r="A784" s="3" t="n">
        <v>783</v>
      </c>
      <c r="B784" s="3" t="n">
        <v>782</v>
      </c>
      <c r="C784" s="3" t="n">
        <v>3</v>
      </c>
      <c r="D784" s="3" t="n">
        <v>13</v>
      </c>
      <c r="E784" s="3" t="n">
        <v>12</v>
      </c>
      <c r="F784" s="24" t="n">
        <v>0</v>
      </c>
    </row>
    <row r="785" customFormat="false" ht="15" hidden="false" customHeight="false" outlineLevel="0" collapsed="false">
      <c r="A785" s="3" t="n">
        <v>784</v>
      </c>
      <c r="B785" s="3" t="n">
        <v>783</v>
      </c>
      <c r="C785" s="3" t="n">
        <v>3</v>
      </c>
      <c r="D785" s="3" t="n">
        <v>13</v>
      </c>
      <c r="E785" s="3" t="n">
        <v>13</v>
      </c>
      <c r="F785" s="24" t="n">
        <v>0</v>
      </c>
    </row>
    <row r="786" customFormat="false" ht="15" hidden="false" customHeight="false" outlineLevel="0" collapsed="false">
      <c r="A786" s="3" t="n">
        <v>785</v>
      </c>
      <c r="B786" s="3" t="n">
        <v>784</v>
      </c>
      <c r="C786" s="3" t="n">
        <v>4</v>
      </c>
      <c r="D786" s="3" t="n">
        <v>0</v>
      </c>
      <c r="E786" s="3" t="n">
        <v>0</v>
      </c>
      <c r="F786" s="24" t="n">
        <v>0</v>
      </c>
    </row>
    <row r="787" customFormat="false" ht="15" hidden="false" customHeight="false" outlineLevel="0" collapsed="false">
      <c r="A787" s="3" t="n">
        <v>786</v>
      </c>
      <c r="B787" s="3" t="n">
        <v>785</v>
      </c>
      <c r="C787" s="3" t="n">
        <v>4</v>
      </c>
      <c r="D787" s="3" t="n">
        <v>0</v>
      </c>
      <c r="E787" s="3" t="n">
        <v>1</v>
      </c>
      <c r="F787" s="24" t="n">
        <v>0</v>
      </c>
    </row>
    <row r="788" customFormat="false" ht="15" hidden="false" customHeight="false" outlineLevel="0" collapsed="false">
      <c r="A788" s="3" t="n">
        <v>787</v>
      </c>
      <c r="B788" s="3" t="n">
        <v>786</v>
      </c>
      <c r="C788" s="3" t="n">
        <v>4</v>
      </c>
      <c r="D788" s="3" t="n">
        <v>0</v>
      </c>
      <c r="E788" s="3" t="n">
        <v>2</v>
      </c>
      <c r="F788" s="24" t="n">
        <v>0</v>
      </c>
    </row>
    <row r="789" customFormat="false" ht="15" hidden="false" customHeight="false" outlineLevel="0" collapsed="false">
      <c r="A789" s="3" t="n">
        <v>788</v>
      </c>
      <c r="B789" s="3" t="n">
        <v>787</v>
      </c>
      <c r="C789" s="3" t="n">
        <v>4</v>
      </c>
      <c r="D789" s="3" t="n">
        <v>0</v>
      </c>
      <c r="E789" s="3" t="n">
        <v>3</v>
      </c>
      <c r="F789" s="24" t="n">
        <v>0</v>
      </c>
    </row>
    <row r="790" customFormat="false" ht="15" hidden="false" customHeight="false" outlineLevel="0" collapsed="false">
      <c r="A790" s="3" t="n">
        <v>789</v>
      </c>
      <c r="B790" s="3" t="n">
        <v>788</v>
      </c>
      <c r="C790" s="3" t="n">
        <v>4</v>
      </c>
      <c r="D790" s="3" t="n">
        <v>0</v>
      </c>
      <c r="E790" s="3" t="n">
        <v>4</v>
      </c>
      <c r="F790" s="24" t="n">
        <v>0</v>
      </c>
    </row>
    <row r="791" customFormat="false" ht="15" hidden="false" customHeight="false" outlineLevel="0" collapsed="false">
      <c r="A791" s="3" t="n">
        <v>790</v>
      </c>
      <c r="B791" s="3" t="n">
        <v>789</v>
      </c>
      <c r="C791" s="3" t="n">
        <v>4</v>
      </c>
      <c r="D791" s="3" t="n">
        <v>0</v>
      </c>
      <c r="E791" s="3" t="n">
        <v>5</v>
      </c>
      <c r="F791" s="24" t="n">
        <v>0</v>
      </c>
    </row>
    <row r="792" customFormat="false" ht="15" hidden="false" customHeight="false" outlineLevel="0" collapsed="false">
      <c r="A792" s="3" t="n">
        <v>791</v>
      </c>
      <c r="B792" s="3" t="n">
        <v>790</v>
      </c>
      <c r="C792" s="3" t="n">
        <v>4</v>
      </c>
      <c r="D792" s="3" t="n">
        <v>0</v>
      </c>
      <c r="E792" s="3" t="n">
        <v>6</v>
      </c>
      <c r="F792" s="24" t="n">
        <v>0</v>
      </c>
    </row>
    <row r="793" customFormat="false" ht="15" hidden="false" customHeight="false" outlineLevel="0" collapsed="false">
      <c r="A793" s="3" t="n">
        <v>792</v>
      </c>
      <c r="B793" s="3" t="n">
        <v>791</v>
      </c>
      <c r="C793" s="3" t="n">
        <v>4</v>
      </c>
      <c r="D793" s="3" t="n">
        <v>0</v>
      </c>
      <c r="E793" s="3" t="n">
        <v>7</v>
      </c>
      <c r="F793" s="24" t="n">
        <v>0</v>
      </c>
    </row>
    <row r="794" customFormat="false" ht="15" hidden="false" customHeight="false" outlineLevel="0" collapsed="false">
      <c r="A794" s="3" t="n">
        <v>793</v>
      </c>
      <c r="B794" s="3" t="n">
        <v>792</v>
      </c>
      <c r="C794" s="3" t="n">
        <v>4</v>
      </c>
      <c r="D794" s="3" t="n">
        <v>0</v>
      </c>
      <c r="E794" s="3" t="n">
        <v>8</v>
      </c>
      <c r="F794" s="24" t="n">
        <v>0</v>
      </c>
    </row>
    <row r="795" customFormat="false" ht="15" hidden="false" customHeight="false" outlineLevel="0" collapsed="false">
      <c r="A795" s="3" t="n">
        <v>794</v>
      </c>
      <c r="B795" s="3" t="n">
        <v>793</v>
      </c>
      <c r="C795" s="3" t="n">
        <v>4</v>
      </c>
      <c r="D795" s="3" t="n">
        <v>0</v>
      </c>
      <c r="E795" s="3" t="n">
        <v>9</v>
      </c>
      <c r="F795" s="24" t="n">
        <v>0</v>
      </c>
    </row>
    <row r="796" customFormat="false" ht="15" hidden="false" customHeight="false" outlineLevel="0" collapsed="false">
      <c r="A796" s="3" t="n">
        <v>795</v>
      </c>
      <c r="B796" s="3" t="n">
        <v>794</v>
      </c>
      <c r="C796" s="3" t="n">
        <v>4</v>
      </c>
      <c r="D796" s="3" t="n">
        <v>0</v>
      </c>
      <c r="E796" s="3" t="n">
        <v>10</v>
      </c>
      <c r="F796" s="24" t="n">
        <v>0</v>
      </c>
    </row>
    <row r="797" customFormat="false" ht="15" hidden="false" customHeight="false" outlineLevel="0" collapsed="false">
      <c r="A797" s="3" t="n">
        <v>796</v>
      </c>
      <c r="B797" s="3" t="n">
        <v>795</v>
      </c>
      <c r="C797" s="3" t="n">
        <v>4</v>
      </c>
      <c r="D797" s="3" t="n">
        <v>0</v>
      </c>
      <c r="E797" s="3" t="n">
        <v>11</v>
      </c>
      <c r="F797" s="24" t="n">
        <v>0</v>
      </c>
    </row>
    <row r="798" customFormat="false" ht="15" hidden="false" customHeight="false" outlineLevel="0" collapsed="false">
      <c r="A798" s="3" t="n">
        <v>797</v>
      </c>
      <c r="B798" s="3" t="n">
        <v>796</v>
      </c>
      <c r="C798" s="3" t="n">
        <v>4</v>
      </c>
      <c r="D798" s="3" t="n">
        <v>0</v>
      </c>
      <c r="E798" s="3" t="n">
        <v>12</v>
      </c>
      <c r="F798" s="24" t="n">
        <v>0</v>
      </c>
    </row>
    <row r="799" customFormat="false" ht="15" hidden="false" customHeight="false" outlineLevel="0" collapsed="false">
      <c r="A799" s="3" t="n">
        <v>798</v>
      </c>
      <c r="B799" s="3" t="n">
        <v>797</v>
      </c>
      <c r="C799" s="3" t="n">
        <v>4</v>
      </c>
      <c r="D799" s="3" t="n">
        <v>0</v>
      </c>
      <c r="E799" s="3" t="n">
        <v>13</v>
      </c>
      <c r="F799" s="24" t="n">
        <v>0.0739145279</v>
      </c>
    </row>
    <row r="800" customFormat="false" ht="15" hidden="false" customHeight="false" outlineLevel="0" collapsed="false">
      <c r="A800" s="3" t="n">
        <v>799</v>
      </c>
      <c r="B800" s="3" t="n">
        <v>798</v>
      </c>
      <c r="C800" s="3" t="n">
        <v>4</v>
      </c>
      <c r="D800" s="3" t="n">
        <v>1</v>
      </c>
      <c r="E800" s="3" t="n">
        <v>0</v>
      </c>
      <c r="F800" s="24" t="n">
        <v>0</v>
      </c>
    </row>
    <row r="801" customFormat="false" ht="15" hidden="false" customHeight="false" outlineLevel="0" collapsed="false">
      <c r="A801" s="3" t="n">
        <v>800</v>
      </c>
      <c r="B801" s="3" t="n">
        <v>799</v>
      </c>
      <c r="C801" s="3" t="n">
        <v>4</v>
      </c>
      <c r="D801" s="3" t="n">
        <v>1</v>
      </c>
      <c r="E801" s="3" t="n">
        <v>1</v>
      </c>
      <c r="F801" s="24" t="n">
        <v>0</v>
      </c>
    </row>
    <row r="802" customFormat="false" ht="15" hidden="false" customHeight="false" outlineLevel="0" collapsed="false">
      <c r="A802" s="3" t="n">
        <v>801</v>
      </c>
      <c r="B802" s="3" t="n">
        <v>800</v>
      </c>
      <c r="C802" s="3" t="n">
        <v>4</v>
      </c>
      <c r="D802" s="3" t="n">
        <v>1</v>
      </c>
      <c r="E802" s="3" t="n">
        <v>2</v>
      </c>
      <c r="F802" s="24" t="n">
        <v>0</v>
      </c>
    </row>
    <row r="803" customFormat="false" ht="15" hidden="false" customHeight="false" outlineLevel="0" collapsed="false">
      <c r="A803" s="3" t="n">
        <v>802</v>
      </c>
      <c r="B803" s="3" t="n">
        <v>801</v>
      </c>
      <c r="C803" s="3" t="n">
        <v>4</v>
      </c>
      <c r="D803" s="3" t="n">
        <v>1</v>
      </c>
      <c r="E803" s="3" t="n">
        <v>3</v>
      </c>
      <c r="F803" s="24" t="n">
        <v>0</v>
      </c>
    </row>
    <row r="804" customFormat="false" ht="15" hidden="false" customHeight="false" outlineLevel="0" collapsed="false">
      <c r="A804" s="3" t="n">
        <v>803</v>
      </c>
      <c r="B804" s="3" t="n">
        <v>802</v>
      </c>
      <c r="C804" s="3" t="n">
        <v>4</v>
      </c>
      <c r="D804" s="3" t="n">
        <v>1</v>
      </c>
      <c r="E804" s="3" t="n">
        <v>4</v>
      </c>
      <c r="F804" s="24" t="n">
        <v>0</v>
      </c>
    </row>
    <row r="805" customFormat="false" ht="15" hidden="false" customHeight="false" outlineLevel="0" collapsed="false">
      <c r="A805" s="3" t="n">
        <v>804</v>
      </c>
      <c r="B805" s="3" t="n">
        <v>803</v>
      </c>
      <c r="C805" s="3" t="n">
        <v>4</v>
      </c>
      <c r="D805" s="3" t="n">
        <v>1</v>
      </c>
      <c r="E805" s="3" t="n">
        <v>5</v>
      </c>
      <c r="F805" s="24" t="n">
        <v>0</v>
      </c>
    </row>
    <row r="806" customFormat="false" ht="15" hidden="false" customHeight="false" outlineLevel="0" collapsed="false">
      <c r="A806" s="3" t="n">
        <v>805</v>
      </c>
      <c r="B806" s="3" t="n">
        <v>804</v>
      </c>
      <c r="C806" s="3" t="n">
        <v>4</v>
      </c>
      <c r="D806" s="3" t="n">
        <v>1</v>
      </c>
      <c r="E806" s="3" t="n">
        <v>6</v>
      </c>
      <c r="F806" s="24" t="n">
        <v>0</v>
      </c>
    </row>
    <row r="807" customFormat="false" ht="15" hidden="false" customHeight="false" outlineLevel="0" collapsed="false">
      <c r="A807" s="3" t="n">
        <v>806</v>
      </c>
      <c r="B807" s="3" t="n">
        <v>805</v>
      </c>
      <c r="C807" s="3" t="n">
        <v>4</v>
      </c>
      <c r="D807" s="3" t="n">
        <v>1</v>
      </c>
      <c r="E807" s="3" t="n">
        <v>7</v>
      </c>
      <c r="F807" s="24" t="n">
        <v>0</v>
      </c>
    </row>
    <row r="808" customFormat="false" ht="15" hidden="false" customHeight="false" outlineLevel="0" collapsed="false">
      <c r="A808" s="3" t="n">
        <v>807</v>
      </c>
      <c r="B808" s="3" t="n">
        <v>806</v>
      </c>
      <c r="C808" s="3" t="n">
        <v>4</v>
      </c>
      <c r="D808" s="3" t="n">
        <v>1</v>
      </c>
      <c r="E808" s="3" t="n">
        <v>8</v>
      </c>
      <c r="F808" s="24" t="n">
        <v>0</v>
      </c>
    </row>
    <row r="809" customFormat="false" ht="15" hidden="false" customHeight="false" outlineLevel="0" collapsed="false">
      <c r="A809" s="3" t="n">
        <v>808</v>
      </c>
      <c r="B809" s="3" t="n">
        <v>807</v>
      </c>
      <c r="C809" s="3" t="n">
        <v>4</v>
      </c>
      <c r="D809" s="3" t="n">
        <v>1</v>
      </c>
      <c r="E809" s="3" t="n">
        <v>9</v>
      </c>
      <c r="F809" s="24" t="n">
        <v>0</v>
      </c>
    </row>
    <row r="810" customFormat="false" ht="15" hidden="false" customHeight="false" outlineLevel="0" collapsed="false">
      <c r="A810" s="3" t="n">
        <v>809</v>
      </c>
      <c r="B810" s="3" t="n">
        <v>808</v>
      </c>
      <c r="C810" s="3" t="n">
        <v>4</v>
      </c>
      <c r="D810" s="3" t="n">
        <v>1</v>
      </c>
      <c r="E810" s="3" t="n">
        <v>10</v>
      </c>
      <c r="F810" s="24" t="n">
        <v>0</v>
      </c>
    </row>
    <row r="811" customFormat="false" ht="15" hidden="false" customHeight="false" outlineLevel="0" collapsed="false">
      <c r="A811" s="3" t="n">
        <v>810</v>
      </c>
      <c r="B811" s="3" t="n">
        <v>809</v>
      </c>
      <c r="C811" s="3" t="n">
        <v>4</v>
      </c>
      <c r="D811" s="3" t="n">
        <v>1</v>
      </c>
      <c r="E811" s="3" t="n">
        <v>11</v>
      </c>
      <c r="F811" s="24" t="n">
        <v>0</v>
      </c>
    </row>
    <row r="812" customFormat="false" ht="15" hidden="false" customHeight="false" outlineLevel="0" collapsed="false">
      <c r="A812" s="3" t="n">
        <v>811</v>
      </c>
      <c r="B812" s="3" t="n">
        <v>810</v>
      </c>
      <c r="C812" s="3" t="n">
        <v>4</v>
      </c>
      <c r="D812" s="3" t="n">
        <v>1</v>
      </c>
      <c r="E812" s="3" t="n">
        <v>12</v>
      </c>
      <c r="F812" s="24" t="n">
        <v>0</v>
      </c>
    </row>
    <row r="813" customFormat="false" ht="15" hidden="false" customHeight="false" outlineLevel="0" collapsed="false">
      <c r="A813" s="3" t="n">
        <v>812</v>
      </c>
      <c r="B813" s="3" t="n">
        <v>811</v>
      </c>
      <c r="C813" s="3" t="n">
        <v>4</v>
      </c>
      <c r="D813" s="3" t="n">
        <v>1</v>
      </c>
      <c r="E813" s="3" t="n">
        <v>13</v>
      </c>
      <c r="F813" s="24" t="n">
        <v>0.0218260176</v>
      </c>
    </row>
    <row r="814" customFormat="false" ht="15" hidden="false" customHeight="false" outlineLevel="0" collapsed="false">
      <c r="A814" s="3" t="n">
        <v>813</v>
      </c>
      <c r="B814" s="3" t="n">
        <v>812</v>
      </c>
      <c r="C814" s="3" t="n">
        <v>4</v>
      </c>
      <c r="D814" s="3" t="n">
        <v>2</v>
      </c>
      <c r="E814" s="3" t="n">
        <v>0</v>
      </c>
      <c r="F814" s="24" t="n">
        <v>0</v>
      </c>
    </row>
    <row r="815" customFormat="false" ht="15" hidden="false" customHeight="false" outlineLevel="0" collapsed="false">
      <c r="A815" s="3" t="n">
        <v>814</v>
      </c>
      <c r="B815" s="3" t="n">
        <v>813</v>
      </c>
      <c r="C815" s="3" t="n">
        <v>4</v>
      </c>
      <c r="D815" s="3" t="n">
        <v>2</v>
      </c>
      <c r="E815" s="3" t="n">
        <v>1</v>
      </c>
      <c r="F815" s="24" t="n">
        <v>0</v>
      </c>
    </row>
    <row r="816" customFormat="false" ht="15" hidden="false" customHeight="false" outlineLevel="0" collapsed="false">
      <c r="A816" s="3" t="n">
        <v>815</v>
      </c>
      <c r="B816" s="3" t="n">
        <v>814</v>
      </c>
      <c r="C816" s="3" t="n">
        <v>4</v>
      </c>
      <c r="D816" s="3" t="n">
        <v>2</v>
      </c>
      <c r="E816" s="3" t="n">
        <v>2</v>
      </c>
      <c r="F816" s="24" t="n">
        <v>0.82081598</v>
      </c>
    </row>
    <row r="817" customFormat="false" ht="15" hidden="false" customHeight="false" outlineLevel="0" collapsed="false">
      <c r="A817" s="3" t="n">
        <v>816</v>
      </c>
      <c r="B817" s="3" t="n">
        <v>815</v>
      </c>
      <c r="C817" s="3" t="n">
        <v>4</v>
      </c>
      <c r="D817" s="3" t="n">
        <v>2</v>
      </c>
      <c r="E817" s="3" t="n">
        <v>3</v>
      </c>
      <c r="F817" s="24" t="n">
        <v>0</v>
      </c>
    </row>
    <row r="818" customFormat="false" ht="15" hidden="false" customHeight="false" outlineLevel="0" collapsed="false">
      <c r="A818" s="3" t="n">
        <v>817</v>
      </c>
      <c r="B818" s="3" t="n">
        <v>816</v>
      </c>
      <c r="C818" s="3" t="n">
        <v>4</v>
      </c>
      <c r="D818" s="3" t="n">
        <v>2</v>
      </c>
      <c r="E818" s="3" t="n">
        <v>4</v>
      </c>
      <c r="F818" s="24" t="n">
        <v>0</v>
      </c>
    </row>
    <row r="819" customFormat="false" ht="15" hidden="false" customHeight="false" outlineLevel="0" collapsed="false">
      <c r="A819" s="3" t="n">
        <v>818</v>
      </c>
      <c r="B819" s="3" t="n">
        <v>817</v>
      </c>
      <c r="C819" s="3" t="n">
        <v>4</v>
      </c>
      <c r="D819" s="3" t="n">
        <v>2</v>
      </c>
      <c r="E819" s="3" t="n">
        <v>5</v>
      </c>
      <c r="F819" s="24" t="n">
        <v>0</v>
      </c>
    </row>
    <row r="820" customFormat="false" ht="15" hidden="false" customHeight="false" outlineLevel="0" collapsed="false">
      <c r="A820" s="3" t="n">
        <v>819</v>
      </c>
      <c r="B820" s="3" t="n">
        <v>818</v>
      </c>
      <c r="C820" s="3" t="n">
        <v>4</v>
      </c>
      <c r="D820" s="3" t="n">
        <v>2</v>
      </c>
      <c r="E820" s="3" t="n">
        <v>6</v>
      </c>
      <c r="F820" s="24" t="n">
        <v>0</v>
      </c>
    </row>
    <row r="821" customFormat="false" ht="15" hidden="false" customHeight="false" outlineLevel="0" collapsed="false">
      <c r="A821" s="3" t="n">
        <v>820</v>
      </c>
      <c r="B821" s="3" t="n">
        <v>819</v>
      </c>
      <c r="C821" s="3" t="n">
        <v>4</v>
      </c>
      <c r="D821" s="3" t="n">
        <v>2</v>
      </c>
      <c r="E821" s="3" t="n">
        <v>7</v>
      </c>
      <c r="F821" s="24" t="n">
        <v>0</v>
      </c>
    </row>
    <row r="822" customFormat="false" ht="15" hidden="false" customHeight="false" outlineLevel="0" collapsed="false">
      <c r="A822" s="3" t="n">
        <v>821</v>
      </c>
      <c r="B822" s="3" t="n">
        <v>820</v>
      </c>
      <c r="C822" s="3" t="n">
        <v>4</v>
      </c>
      <c r="D822" s="3" t="n">
        <v>2</v>
      </c>
      <c r="E822" s="3" t="n">
        <v>8</v>
      </c>
      <c r="F822" s="24" t="n">
        <v>0</v>
      </c>
    </row>
    <row r="823" customFormat="false" ht="15" hidden="false" customHeight="false" outlineLevel="0" collapsed="false">
      <c r="A823" s="3" t="n">
        <v>822</v>
      </c>
      <c r="B823" s="3" t="n">
        <v>821</v>
      </c>
      <c r="C823" s="3" t="n">
        <v>4</v>
      </c>
      <c r="D823" s="3" t="n">
        <v>2</v>
      </c>
      <c r="E823" s="3" t="n">
        <v>9</v>
      </c>
      <c r="F823" s="24" t="n">
        <v>0</v>
      </c>
    </row>
    <row r="824" customFormat="false" ht="15" hidden="false" customHeight="false" outlineLevel="0" collapsed="false">
      <c r="A824" s="3" t="n">
        <v>823</v>
      </c>
      <c r="B824" s="3" t="n">
        <v>822</v>
      </c>
      <c r="C824" s="3" t="n">
        <v>4</v>
      </c>
      <c r="D824" s="3" t="n">
        <v>2</v>
      </c>
      <c r="E824" s="3" t="n">
        <v>10</v>
      </c>
      <c r="F824" s="24" t="n">
        <v>0</v>
      </c>
    </row>
    <row r="825" customFormat="false" ht="15" hidden="false" customHeight="false" outlineLevel="0" collapsed="false">
      <c r="A825" s="3" t="n">
        <v>824</v>
      </c>
      <c r="B825" s="3" t="n">
        <v>823</v>
      </c>
      <c r="C825" s="3" t="n">
        <v>4</v>
      </c>
      <c r="D825" s="3" t="n">
        <v>2</v>
      </c>
      <c r="E825" s="3" t="n">
        <v>11</v>
      </c>
      <c r="F825" s="24" t="n">
        <v>0</v>
      </c>
    </row>
    <row r="826" customFormat="false" ht="15" hidden="false" customHeight="false" outlineLevel="0" collapsed="false">
      <c r="A826" s="3" t="n">
        <v>825</v>
      </c>
      <c r="B826" s="3" t="n">
        <v>824</v>
      </c>
      <c r="C826" s="3" t="n">
        <v>4</v>
      </c>
      <c r="D826" s="3" t="n">
        <v>2</v>
      </c>
      <c r="E826" s="3" t="n">
        <v>12</v>
      </c>
      <c r="F826" s="24" t="n">
        <v>0</v>
      </c>
    </row>
    <row r="827" customFormat="false" ht="15" hidden="false" customHeight="false" outlineLevel="0" collapsed="false">
      <c r="A827" s="3" t="n">
        <v>826</v>
      </c>
      <c r="B827" s="3" t="n">
        <v>825</v>
      </c>
      <c r="C827" s="3" t="n">
        <v>4</v>
      </c>
      <c r="D827" s="3" t="n">
        <v>2</v>
      </c>
      <c r="E827" s="3" t="n">
        <v>13</v>
      </c>
      <c r="F827" s="24" t="n">
        <v>0</v>
      </c>
    </row>
    <row r="828" customFormat="false" ht="15" hidden="false" customHeight="false" outlineLevel="0" collapsed="false">
      <c r="A828" s="3" t="n">
        <v>827</v>
      </c>
      <c r="B828" s="3" t="n">
        <v>826</v>
      </c>
      <c r="C828" s="3" t="n">
        <v>4</v>
      </c>
      <c r="D828" s="3" t="n">
        <v>3</v>
      </c>
      <c r="E828" s="3" t="n">
        <v>0</v>
      </c>
      <c r="F828" s="24" t="n">
        <v>0</v>
      </c>
    </row>
    <row r="829" customFormat="false" ht="15" hidden="false" customHeight="false" outlineLevel="0" collapsed="false">
      <c r="A829" s="3" t="n">
        <v>828</v>
      </c>
      <c r="B829" s="3" t="n">
        <v>827</v>
      </c>
      <c r="C829" s="3" t="n">
        <v>4</v>
      </c>
      <c r="D829" s="3" t="n">
        <v>3</v>
      </c>
      <c r="E829" s="3" t="n">
        <v>1</v>
      </c>
      <c r="F829" s="24" t="n">
        <v>0</v>
      </c>
    </row>
    <row r="830" customFormat="false" ht="15" hidden="false" customHeight="false" outlineLevel="0" collapsed="false">
      <c r="A830" s="3" t="n">
        <v>829</v>
      </c>
      <c r="B830" s="3" t="n">
        <v>828</v>
      </c>
      <c r="C830" s="3" t="n">
        <v>4</v>
      </c>
      <c r="D830" s="3" t="n">
        <v>3</v>
      </c>
      <c r="E830" s="3" t="n">
        <v>2</v>
      </c>
      <c r="F830" s="24" t="n">
        <v>0.32315731</v>
      </c>
    </row>
    <row r="831" customFormat="false" ht="15" hidden="false" customHeight="false" outlineLevel="0" collapsed="false">
      <c r="A831" s="3" t="n">
        <v>830</v>
      </c>
      <c r="B831" s="3" t="n">
        <v>829</v>
      </c>
      <c r="C831" s="3" t="n">
        <v>4</v>
      </c>
      <c r="D831" s="3" t="n">
        <v>3</v>
      </c>
      <c r="E831" s="3" t="n">
        <v>3</v>
      </c>
      <c r="F831" s="24" t="n">
        <v>0</v>
      </c>
    </row>
    <row r="832" customFormat="false" ht="15" hidden="false" customHeight="false" outlineLevel="0" collapsed="false">
      <c r="A832" s="3" t="n">
        <v>831</v>
      </c>
      <c r="B832" s="3" t="n">
        <v>830</v>
      </c>
      <c r="C832" s="3" t="n">
        <v>4</v>
      </c>
      <c r="D832" s="3" t="n">
        <v>3</v>
      </c>
      <c r="E832" s="3" t="n">
        <v>4</v>
      </c>
      <c r="F832" s="24" t="n">
        <v>0</v>
      </c>
    </row>
    <row r="833" customFormat="false" ht="15" hidden="false" customHeight="false" outlineLevel="0" collapsed="false">
      <c r="A833" s="3" t="n">
        <v>832</v>
      </c>
      <c r="B833" s="3" t="n">
        <v>831</v>
      </c>
      <c r="C833" s="3" t="n">
        <v>4</v>
      </c>
      <c r="D833" s="3" t="n">
        <v>3</v>
      </c>
      <c r="E833" s="3" t="n">
        <v>5</v>
      </c>
      <c r="F833" s="24" t="n">
        <v>0</v>
      </c>
    </row>
    <row r="834" customFormat="false" ht="15" hidden="false" customHeight="false" outlineLevel="0" collapsed="false">
      <c r="A834" s="3" t="n">
        <v>833</v>
      </c>
      <c r="B834" s="3" t="n">
        <v>832</v>
      </c>
      <c r="C834" s="3" t="n">
        <v>4</v>
      </c>
      <c r="D834" s="3" t="n">
        <v>3</v>
      </c>
      <c r="E834" s="3" t="n">
        <v>6</v>
      </c>
      <c r="F834" s="24" t="n">
        <v>0</v>
      </c>
    </row>
    <row r="835" customFormat="false" ht="15" hidden="false" customHeight="false" outlineLevel="0" collapsed="false">
      <c r="A835" s="3" t="n">
        <v>834</v>
      </c>
      <c r="B835" s="3" t="n">
        <v>833</v>
      </c>
      <c r="C835" s="3" t="n">
        <v>4</v>
      </c>
      <c r="D835" s="3" t="n">
        <v>3</v>
      </c>
      <c r="E835" s="3" t="n">
        <v>7</v>
      </c>
      <c r="F835" s="24" t="n">
        <v>0</v>
      </c>
    </row>
    <row r="836" customFormat="false" ht="15" hidden="false" customHeight="false" outlineLevel="0" collapsed="false">
      <c r="A836" s="3" t="n">
        <v>835</v>
      </c>
      <c r="B836" s="3" t="n">
        <v>834</v>
      </c>
      <c r="C836" s="3" t="n">
        <v>4</v>
      </c>
      <c r="D836" s="3" t="n">
        <v>3</v>
      </c>
      <c r="E836" s="3" t="n">
        <v>8</v>
      </c>
      <c r="F836" s="24" t="n">
        <v>0</v>
      </c>
    </row>
    <row r="837" customFormat="false" ht="15" hidden="false" customHeight="false" outlineLevel="0" collapsed="false">
      <c r="A837" s="3" t="n">
        <v>836</v>
      </c>
      <c r="B837" s="3" t="n">
        <v>835</v>
      </c>
      <c r="C837" s="3" t="n">
        <v>4</v>
      </c>
      <c r="D837" s="3" t="n">
        <v>3</v>
      </c>
      <c r="E837" s="3" t="n">
        <v>9</v>
      </c>
      <c r="F837" s="24" t="n">
        <v>0</v>
      </c>
    </row>
    <row r="838" customFormat="false" ht="15" hidden="false" customHeight="false" outlineLevel="0" collapsed="false">
      <c r="A838" s="3" t="n">
        <v>837</v>
      </c>
      <c r="B838" s="3" t="n">
        <v>836</v>
      </c>
      <c r="C838" s="3" t="n">
        <v>4</v>
      </c>
      <c r="D838" s="3" t="n">
        <v>3</v>
      </c>
      <c r="E838" s="3" t="n">
        <v>10</v>
      </c>
      <c r="F838" s="24" t="n">
        <v>0</v>
      </c>
    </row>
    <row r="839" customFormat="false" ht="15" hidden="false" customHeight="false" outlineLevel="0" collapsed="false">
      <c r="A839" s="3" t="n">
        <v>838</v>
      </c>
      <c r="B839" s="3" t="n">
        <v>837</v>
      </c>
      <c r="C839" s="3" t="n">
        <v>4</v>
      </c>
      <c r="D839" s="3" t="n">
        <v>3</v>
      </c>
      <c r="E839" s="3" t="n">
        <v>11</v>
      </c>
      <c r="F839" s="24" t="n">
        <v>0</v>
      </c>
    </row>
    <row r="840" customFormat="false" ht="15" hidden="false" customHeight="false" outlineLevel="0" collapsed="false">
      <c r="A840" s="3" t="n">
        <v>839</v>
      </c>
      <c r="B840" s="3" t="n">
        <v>838</v>
      </c>
      <c r="C840" s="3" t="n">
        <v>4</v>
      </c>
      <c r="D840" s="3" t="n">
        <v>3</v>
      </c>
      <c r="E840" s="3" t="n">
        <v>12</v>
      </c>
      <c r="F840" s="24" t="n">
        <v>0</v>
      </c>
    </row>
    <row r="841" customFormat="false" ht="15" hidden="false" customHeight="false" outlineLevel="0" collapsed="false">
      <c r="A841" s="3" t="n">
        <v>840</v>
      </c>
      <c r="B841" s="3" t="n">
        <v>839</v>
      </c>
      <c r="C841" s="3" t="n">
        <v>4</v>
      </c>
      <c r="D841" s="3" t="n">
        <v>3</v>
      </c>
      <c r="E841" s="3" t="n">
        <v>13</v>
      </c>
      <c r="F841" s="24" t="n">
        <v>0</v>
      </c>
    </row>
    <row r="842" customFormat="false" ht="15" hidden="false" customHeight="false" outlineLevel="0" collapsed="false">
      <c r="A842" s="3" t="n">
        <v>841</v>
      </c>
      <c r="B842" s="3" t="n">
        <v>840</v>
      </c>
      <c r="C842" s="3" t="n">
        <v>4</v>
      </c>
      <c r="D842" s="3" t="n">
        <v>4</v>
      </c>
      <c r="E842" s="3" t="n">
        <v>0</v>
      </c>
      <c r="F842" s="24" t="n">
        <v>0</v>
      </c>
    </row>
    <row r="843" customFormat="false" ht="15" hidden="false" customHeight="false" outlineLevel="0" collapsed="false">
      <c r="A843" s="3" t="n">
        <v>842</v>
      </c>
      <c r="B843" s="3" t="n">
        <v>841</v>
      </c>
      <c r="C843" s="3" t="n">
        <v>4</v>
      </c>
      <c r="D843" s="3" t="n">
        <v>4</v>
      </c>
      <c r="E843" s="3" t="n">
        <v>1</v>
      </c>
      <c r="F843" s="24" t="n">
        <v>0</v>
      </c>
    </row>
    <row r="844" customFormat="false" ht="15" hidden="false" customHeight="false" outlineLevel="0" collapsed="false">
      <c r="A844" s="3" t="n">
        <v>843</v>
      </c>
      <c r="B844" s="3" t="n">
        <v>842</v>
      </c>
      <c r="C844" s="3" t="n">
        <v>4</v>
      </c>
      <c r="D844" s="3" t="n">
        <v>4</v>
      </c>
      <c r="E844" s="3" t="n">
        <v>2</v>
      </c>
      <c r="F844" s="24" t="n">
        <v>0.562819302</v>
      </c>
    </row>
    <row r="845" customFormat="false" ht="15" hidden="false" customHeight="false" outlineLevel="0" collapsed="false">
      <c r="A845" s="3" t="n">
        <v>844</v>
      </c>
      <c r="B845" s="3" t="n">
        <v>843</v>
      </c>
      <c r="C845" s="3" t="n">
        <v>4</v>
      </c>
      <c r="D845" s="3" t="n">
        <v>4</v>
      </c>
      <c r="E845" s="3" t="n">
        <v>3</v>
      </c>
      <c r="F845" s="24" t="n">
        <v>0</v>
      </c>
    </row>
    <row r="846" customFormat="false" ht="15" hidden="false" customHeight="false" outlineLevel="0" collapsed="false">
      <c r="A846" s="3" t="n">
        <v>845</v>
      </c>
      <c r="B846" s="3" t="n">
        <v>844</v>
      </c>
      <c r="C846" s="3" t="n">
        <v>4</v>
      </c>
      <c r="D846" s="3" t="n">
        <v>4</v>
      </c>
      <c r="E846" s="3" t="n">
        <v>4</v>
      </c>
      <c r="F846" s="24" t="n">
        <v>0</v>
      </c>
    </row>
    <row r="847" customFormat="false" ht="15" hidden="false" customHeight="false" outlineLevel="0" collapsed="false">
      <c r="A847" s="3" t="n">
        <v>846</v>
      </c>
      <c r="B847" s="3" t="n">
        <v>845</v>
      </c>
      <c r="C847" s="3" t="n">
        <v>4</v>
      </c>
      <c r="D847" s="3" t="n">
        <v>4</v>
      </c>
      <c r="E847" s="3" t="n">
        <v>5</v>
      </c>
      <c r="F847" s="24" t="n">
        <v>0</v>
      </c>
    </row>
    <row r="848" customFormat="false" ht="15" hidden="false" customHeight="false" outlineLevel="0" collapsed="false">
      <c r="A848" s="3" t="n">
        <v>847</v>
      </c>
      <c r="B848" s="3" t="n">
        <v>846</v>
      </c>
      <c r="C848" s="3" t="n">
        <v>4</v>
      </c>
      <c r="D848" s="3" t="n">
        <v>4</v>
      </c>
      <c r="E848" s="3" t="n">
        <v>6</v>
      </c>
      <c r="F848" s="24" t="n">
        <v>0</v>
      </c>
    </row>
    <row r="849" customFormat="false" ht="15" hidden="false" customHeight="false" outlineLevel="0" collapsed="false">
      <c r="A849" s="3" t="n">
        <v>848</v>
      </c>
      <c r="B849" s="3" t="n">
        <v>847</v>
      </c>
      <c r="C849" s="3" t="n">
        <v>4</v>
      </c>
      <c r="D849" s="3" t="n">
        <v>4</v>
      </c>
      <c r="E849" s="3" t="n">
        <v>7</v>
      </c>
      <c r="F849" s="24" t="n">
        <v>0</v>
      </c>
    </row>
    <row r="850" customFormat="false" ht="15" hidden="false" customHeight="false" outlineLevel="0" collapsed="false">
      <c r="A850" s="3" t="n">
        <v>849</v>
      </c>
      <c r="B850" s="3" t="n">
        <v>848</v>
      </c>
      <c r="C850" s="3" t="n">
        <v>4</v>
      </c>
      <c r="D850" s="3" t="n">
        <v>4</v>
      </c>
      <c r="E850" s="3" t="n">
        <v>8</v>
      </c>
      <c r="F850" s="24" t="n">
        <v>0</v>
      </c>
    </row>
    <row r="851" customFormat="false" ht="15" hidden="false" customHeight="false" outlineLevel="0" collapsed="false">
      <c r="A851" s="3" t="n">
        <v>850</v>
      </c>
      <c r="B851" s="3" t="n">
        <v>849</v>
      </c>
      <c r="C851" s="3" t="n">
        <v>4</v>
      </c>
      <c r="D851" s="3" t="n">
        <v>4</v>
      </c>
      <c r="E851" s="3" t="n">
        <v>9</v>
      </c>
      <c r="F851" s="24" t="n">
        <v>0</v>
      </c>
    </row>
    <row r="852" customFormat="false" ht="15" hidden="false" customHeight="false" outlineLevel="0" collapsed="false">
      <c r="A852" s="3" t="n">
        <v>851</v>
      </c>
      <c r="B852" s="3" t="n">
        <v>850</v>
      </c>
      <c r="C852" s="3" t="n">
        <v>4</v>
      </c>
      <c r="D852" s="3" t="n">
        <v>4</v>
      </c>
      <c r="E852" s="3" t="n">
        <v>10</v>
      </c>
      <c r="F852" s="24" t="n">
        <v>0</v>
      </c>
    </row>
    <row r="853" customFormat="false" ht="15" hidden="false" customHeight="false" outlineLevel="0" collapsed="false">
      <c r="A853" s="3" t="n">
        <v>852</v>
      </c>
      <c r="B853" s="3" t="n">
        <v>851</v>
      </c>
      <c r="C853" s="3" t="n">
        <v>4</v>
      </c>
      <c r="D853" s="3" t="n">
        <v>4</v>
      </c>
      <c r="E853" s="3" t="n">
        <v>11</v>
      </c>
      <c r="F853" s="24" t="n">
        <v>0</v>
      </c>
    </row>
    <row r="854" customFormat="false" ht="15" hidden="false" customHeight="false" outlineLevel="0" collapsed="false">
      <c r="A854" s="3" t="n">
        <v>853</v>
      </c>
      <c r="B854" s="3" t="n">
        <v>852</v>
      </c>
      <c r="C854" s="3" t="n">
        <v>4</v>
      </c>
      <c r="D854" s="3" t="n">
        <v>4</v>
      </c>
      <c r="E854" s="3" t="n">
        <v>12</v>
      </c>
      <c r="F854" s="24" t="n">
        <v>0</v>
      </c>
    </row>
    <row r="855" customFormat="false" ht="15" hidden="false" customHeight="false" outlineLevel="0" collapsed="false">
      <c r="A855" s="3" t="n">
        <v>854</v>
      </c>
      <c r="B855" s="3" t="n">
        <v>853</v>
      </c>
      <c r="C855" s="3" t="n">
        <v>4</v>
      </c>
      <c r="D855" s="3" t="n">
        <v>4</v>
      </c>
      <c r="E855" s="3" t="n">
        <v>13</v>
      </c>
      <c r="F855" s="24" t="n">
        <v>0</v>
      </c>
    </row>
    <row r="856" customFormat="false" ht="15" hidden="false" customHeight="false" outlineLevel="0" collapsed="false">
      <c r="A856" s="3" t="n">
        <v>855</v>
      </c>
      <c r="B856" s="3" t="n">
        <v>854</v>
      </c>
      <c r="C856" s="3" t="n">
        <v>4</v>
      </c>
      <c r="D856" s="3" t="n">
        <v>5</v>
      </c>
      <c r="E856" s="3" t="n">
        <v>0</v>
      </c>
      <c r="F856" s="24" t="n">
        <v>0</v>
      </c>
    </row>
    <row r="857" customFormat="false" ht="15" hidden="false" customHeight="false" outlineLevel="0" collapsed="false">
      <c r="A857" s="3" t="n">
        <v>856</v>
      </c>
      <c r="B857" s="3" t="n">
        <v>855</v>
      </c>
      <c r="C857" s="3" t="n">
        <v>4</v>
      </c>
      <c r="D857" s="3" t="n">
        <v>5</v>
      </c>
      <c r="E857" s="3" t="n">
        <v>1</v>
      </c>
      <c r="F857" s="24" t="n">
        <v>0</v>
      </c>
    </row>
    <row r="858" customFormat="false" ht="15" hidden="false" customHeight="false" outlineLevel="0" collapsed="false">
      <c r="A858" s="3" t="n">
        <v>857</v>
      </c>
      <c r="B858" s="3" t="n">
        <v>856</v>
      </c>
      <c r="C858" s="3" t="n">
        <v>4</v>
      </c>
      <c r="D858" s="3" t="n">
        <v>5</v>
      </c>
      <c r="E858" s="3" t="n">
        <v>2</v>
      </c>
      <c r="F858" s="24" t="n">
        <v>0</v>
      </c>
    </row>
    <row r="859" customFormat="false" ht="15" hidden="false" customHeight="false" outlineLevel="0" collapsed="false">
      <c r="A859" s="3" t="n">
        <v>858</v>
      </c>
      <c r="B859" s="3" t="n">
        <v>857</v>
      </c>
      <c r="C859" s="3" t="n">
        <v>4</v>
      </c>
      <c r="D859" s="3" t="n">
        <v>5</v>
      </c>
      <c r="E859" s="3" t="n">
        <v>3</v>
      </c>
      <c r="F859" s="24" t="n">
        <v>0</v>
      </c>
    </row>
    <row r="860" customFormat="false" ht="15" hidden="false" customHeight="false" outlineLevel="0" collapsed="false">
      <c r="A860" s="3" t="n">
        <v>859</v>
      </c>
      <c r="B860" s="3" t="n">
        <v>858</v>
      </c>
      <c r="C860" s="3" t="n">
        <v>4</v>
      </c>
      <c r="D860" s="3" t="n">
        <v>5</v>
      </c>
      <c r="E860" s="3" t="n">
        <v>4</v>
      </c>
      <c r="F860" s="24" t="n">
        <v>0</v>
      </c>
    </row>
    <row r="861" customFormat="false" ht="15" hidden="false" customHeight="false" outlineLevel="0" collapsed="false">
      <c r="A861" s="3" t="n">
        <v>860</v>
      </c>
      <c r="B861" s="3" t="n">
        <v>859</v>
      </c>
      <c r="C861" s="3" t="n">
        <v>4</v>
      </c>
      <c r="D861" s="3" t="n">
        <v>5</v>
      </c>
      <c r="E861" s="3" t="n">
        <v>5</v>
      </c>
      <c r="F861" s="24" t="n">
        <v>0.683881819</v>
      </c>
    </row>
    <row r="862" customFormat="false" ht="15" hidden="false" customHeight="false" outlineLevel="0" collapsed="false">
      <c r="A862" s="3" t="n">
        <v>861</v>
      </c>
      <c r="B862" s="3" t="n">
        <v>860</v>
      </c>
      <c r="C862" s="3" t="n">
        <v>4</v>
      </c>
      <c r="D862" s="3" t="n">
        <v>5</v>
      </c>
      <c r="E862" s="3" t="n">
        <v>6</v>
      </c>
      <c r="F862" s="24" t="n">
        <v>0.839912772</v>
      </c>
    </row>
    <row r="863" customFormat="false" ht="15" hidden="false" customHeight="false" outlineLevel="0" collapsed="false">
      <c r="A863" s="3" t="n">
        <v>862</v>
      </c>
      <c r="B863" s="3" t="n">
        <v>861</v>
      </c>
      <c r="C863" s="3" t="n">
        <v>4</v>
      </c>
      <c r="D863" s="3" t="n">
        <v>5</v>
      </c>
      <c r="E863" s="3" t="n">
        <v>7</v>
      </c>
      <c r="F863" s="24" t="n">
        <v>2.6520102</v>
      </c>
    </row>
    <row r="864" customFormat="false" ht="15" hidden="false" customHeight="false" outlineLevel="0" collapsed="false">
      <c r="A864" s="3" t="n">
        <v>863</v>
      </c>
      <c r="B864" s="3" t="n">
        <v>862</v>
      </c>
      <c r="C864" s="3" t="n">
        <v>4</v>
      </c>
      <c r="D864" s="3" t="n">
        <v>5</v>
      </c>
      <c r="E864" s="3" t="n">
        <v>8</v>
      </c>
      <c r="F864" s="24" t="n">
        <v>7.81758022</v>
      </c>
    </row>
    <row r="865" customFormat="false" ht="15" hidden="false" customHeight="false" outlineLevel="0" collapsed="false">
      <c r="A865" s="3" t="n">
        <v>864</v>
      </c>
      <c r="B865" s="3" t="n">
        <v>863</v>
      </c>
      <c r="C865" s="3" t="n">
        <v>4</v>
      </c>
      <c r="D865" s="3" t="n">
        <v>5</v>
      </c>
      <c r="E865" s="3" t="n">
        <v>9</v>
      </c>
      <c r="F865" s="24" t="n">
        <v>2.40938401</v>
      </c>
    </row>
    <row r="866" customFormat="false" ht="15" hidden="false" customHeight="false" outlineLevel="0" collapsed="false">
      <c r="A866" s="3" t="n">
        <v>865</v>
      </c>
      <c r="B866" s="3" t="n">
        <v>864</v>
      </c>
      <c r="C866" s="3" t="n">
        <v>4</v>
      </c>
      <c r="D866" s="3" t="n">
        <v>5</v>
      </c>
      <c r="E866" s="3" t="n">
        <v>10</v>
      </c>
      <c r="F866" s="24" t="n">
        <v>0</v>
      </c>
    </row>
    <row r="867" customFormat="false" ht="15" hidden="false" customHeight="false" outlineLevel="0" collapsed="false">
      <c r="A867" s="3" t="n">
        <v>866</v>
      </c>
      <c r="B867" s="3" t="n">
        <v>865</v>
      </c>
      <c r="C867" s="3" t="n">
        <v>4</v>
      </c>
      <c r="D867" s="3" t="n">
        <v>5</v>
      </c>
      <c r="E867" s="3" t="n">
        <v>11</v>
      </c>
      <c r="F867" s="24" t="n">
        <v>0</v>
      </c>
    </row>
    <row r="868" customFormat="false" ht="15" hidden="false" customHeight="false" outlineLevel="0" collapsed="false">
      <c r="A868" s="3" t="n">
        <v>867</v>
      </c>
      <c r="B868" s="3" t="n">
        <v>866</v>
      </c>
      <c r="C868" s="3" t="n">
        <v>4</v>
      </c>
      <c r="D868" s="3" t="n">
        <v>5</v>
      </c>
      <c r="E868" s="3" t="n">
        <v>12</v>
      </c>
      <c r="F868" s="24" t="n">
        <v>0</v>
      </c>
    </row>
    <row r="869" customFormat="false" ht="15" hidden="false" customHeight="false" outlineLevel="0" collapsed="false">
      <c r="A869" s="3" t="n">
        <v>868</v>
      </c>
      <c r="B869" s="3" t="n">
        <v>867</v>
      </c>
      <c r="C869" s="3" t="n">
        <v>4</v>
      </c>
      <c r="D869" s="3" t="n">
        <v>5</v>
      </c>
      <c r="E869" s="3" t="n">
        <v>13</v>
      </c>
      <c r="F869" s="24" t="n">
        <v>0</v>
      </c>
    </row>
    <row r="870" customFormat="false" ht="15" hidden="false" customHeight="false" outlineLevel="0" collapsed="false">
      <c r="A870" s="3" t="n">
        <v>869</v>
      </c>
      <c r="B870" s="3" t="n">
        <v>868</v>
      </c>
      <c r="C870" s="3" t="n">
        <v>4</v>
      </c>
      <c r="D870" s="3" t="n">
        <v>6</v>
      </c>
      <c r="E870" s="3" t="n">
        <v>0</v>
      </c>
      <c r="F870" s="24" t="n">
        <v>0</v>
      </c>
    </row>
    <row r="871" customFormat="false" ht="15" hidden="false" customHeight="false" outlineLevel="0" collapsed="false">
      <c r="A871" s="3" t="n">
        <v>870</v>
      </c>
      <c r="B871" s="3" t="n">
        <v>869</v>
      </c>
      <c r="C871" s="3" t="n">
        <v>4</v>
      </c>
      <c r="D871" s="3" t="n">
        <v>6</v>
      </c>
      <c r="E871" s="3" t="n">
        <v>1</v>
      </c>
      <c r="F871" s="24" t="n">
        <v>0</v>
      </c>
    </row>
    <row r="872" customFormat="false" ht="15" hidden="false" customHeight="false" outlineLevel="0" collapsed="false">
      <c r="A872" s="3" t="n">
        <v>871</v>
      </c>
      <c r="B872" s="3" t="n">
        <v>870</v>
      </c>
      <c r="C872" s="3" t="n">
        <v>4</v>
      </c>
      <c r="D872" s="3" t="n">
        <v>6</v>
      </c>
      <c r="E872" s="3" t="n">
        <v>2</v>
      </c>
      <c r="F872" s="24" t="n">
        <v>0</v>
      </c>
    </row>
    <row r="873" customFormat="false" ht="15" hidden="false" customHeight="false" outlineLevel="0" collapsed="false">
      <c r="A873" s="3" t="n">
        <v>872</v>
      </c>
      <c r="B873" s="3" t="n">
        <v>871</v>
      </c>
      <c r="C873" s="3" t="n">
        <v>4</v>
      </c>
      <c r="D873" s="3" t="n">
        <v>6</v>
      </c>
      <c r="E873" s="3" t="n">
        <v>3</v>
      </c>
      <c r="F873" s="24" t="n">
        <v>0</v>
      </c>
    </row>
    <row r="874" customFormat="false" ht="15" hidden="false" customHeight="false" outlineLevel="0" collapsed="false">
      <c r="A874" s="3" t="n">
        <v>873</v>
      </c>
      <c r="B874" s="3" t="n">
        <v>872</v>
      </c>
      <c r="C874" s="3" t="n">
        <v>4</v>
      </c>
      <c r="D874" s="3" t="n">
        <v>6</v>
      </c>
      <c r="E874" s="3" t="n">
        <v>4</v>
      </c>
      <c r="F874" s="24" t="n">
        <v>0</v>
      </c>
    </row>
    <row r="875" customFormat="false" ht="15" hidden="false" customHeight="false" outlineLevel="0" collapsed="false">
      <c r="A875" s="3" t="n">
        <v>874</v>
      </c>
      <c r="B875" s="3" t="n">
        <v>873</v>
      </c>
      <c r="C875" s="3" t="n">
        <v>4</v>
      </c>
      <c r="D875" s="3" t="n">
        <v>6</v>
      </c>
      <c r="E875" s="3" t="n">
        <v>5</v>
      </c>
      <c r="F875" s="24" t="n">
        <v>0</v>
      </c>
    </row>
    <row r="876" customFormat="false" ht="15" hidden="false" customHeight="false" outlineLevel="0" collapsed="false">
      <c r="A876" s="3" t="n">
        <v>875</v>
      </c>
      <c r="B876" s="3" t="n">
        <v>874</v>
      </c>
      <c r="C876" s="3" t="n">
        <v>4</v>
      </c>
      <c r="D876" s="3" t="n">
        <v>6</v>
      </c>
      <c r="E876" s="3" t="n">
        <v>6</v>
      </c>
      <c r="F876" s="24" t="n">
        <v>0</v>
      </c>
    </row>
    <row r="877" customFormat="false" ht="15" hidden="false" customHeight="false" outlineLevel="0" collapsed="false">
      <c r="A877" s="3" t="n">
        <v>876</v>
      </c>
      <c r="B877" s="3" t="n">
        <v>875</v>
      </c>
      <c r="C877" s="3" t="n">
        <v>4</v>
      </c>
      <c r="D877" s="3" t="n">
        <v>6</v>
      </c>
      <c r="E877" s="3" t="n">
        <v>7</v>
      </c>
      <c r="F877" s="24" t="n">
        <v>3.41702175</v>
      </c>
    </row>
    <row r="878" customFormat="false" ht="15" hidden="false" customHeight="false" outlineLevel="0" collapsed="false">
      <c r="A878" s="3" t="n">
        <v>877</v>
      </c>
      <c r="B878" s="3" t="n">
        <v>876</v>
      </c>
      <c r="C878" s="3" t="n">
        <v>4</v>
      </c>
      <c r="D878" s="3" t="n">
        <v>6</v>
      </c>
      <c r="E878" s="3" t="n">
        <v>8</v>
      </c>
      <c r="F878" s="24" t="n">
        <v>5.27686977</v>
      </c>
    </row>
    <row r="879" customFormat="false" ht="15" hidden="false" customHeight="false" outlineLevel="0" collapsed="false">
      <c r="A879" s="3" t="n">
        <v>878</v>
      </c>
      <c r="B879" s="3" t="n">
        <v>877</v>
      </c>
      <c r="C879" s="3" t="n">
        <v>4</v>
      </c>
      <c r="D879" s="3" t="n">
        <v>6</v>
      </c>
      <c r="E879" s="3" t="n">
        <v>9</v>
      </c>
      <c r="F879" s="24" t="n">
        <v>0</v>
      </c>
    </row>
    <row r="880" customFormat="false" ht="15" hidden="false" customHeight="false" outlineLevel="0" collapsed="false">
      <c r="A880" s="3" t="n">
        <v>879</v>
      </c>
      <c r="B880" s="3" t="n">
        <v>878</v>
      </c>
      <c r="C880" s="3" t="n">
        <v>4</v>
      </c>
      <c r="D880" s="3" t="n">
        <v>6</v>
      </c>
      <c r="E880" s="3" t="n">
        <v>10</v>
      </c>
      <c r="F880" s="24" t="n">
        <v>0</v>
      </c>
    </row>
    <row r="881" customFormat="false" ht="15" hidden="false" customHeight="false" outlineLevel="0" collapsed="false">
      <c r="A881" s="3" t="n">
        <v>880</v>
      </c>
      <c r="B881" s="3" t="n">
        <v>879</v>
      </c>
      <c r="C881" s="3" t="n">
        <v>4</v>
      </c>
      <c r="D881" s="3" t="n">
        <v>6</v>
      </c>
      <c r="E881" s="3" t="n">
        <v>11</v>
      </c>
      <c r="F881" s="24" t="n">
        <v>0</v>
      </c>
    </row>
    <row r="882" customFormat="false" ht="15" hidden="false" customHeight="false" outlineLevel="0" collapsed="false">
      <c r="A882" s="3" t="n">
        <v>881</v>
      </c>
      <c r="B882" s="3" t="n">
        <v>880</v>
      </c>
      <c r="C882" s="3" t="n">
        <v>4</v>
      </c>
      <c r="D882" s="3" t="n">
        <v>6</v>
      </c>
      <c r="E882" s="3" t="n">
        <v>12</v>
      </c>
      <c r="F882" s="24" t="n">
        <v>0</v>
      </c>
    </row>
    <row r="883" customFormat="false" ht="15" hidden="false" customHeight="false" outlineLevel="0" collapsed="false">
      <c r="A883" s="3" t="n">
        <v>882</v>
      </c>
      <c r="B883" s="3" t="n">
        <v>881</v>
      </c>
      <c r="C883" s="3" t="n">
        <v>4</v>
      </c>
      <c r="D883" s="3" t="n">
        <v>6</v>
      </c>
      <c r="E883" s="3" t="n">
        <v>13</v>
      </c>
      <c r="F883" s="24" t="n">
        <v>0</v>
      </c>
    </row>
    <row r="884" customFormat="false" ht="15" hidden="false" customHeight="false" outlineLevel="0" collapsed="false">
      <c r="A884" s="3" t="n">
        <v>883</v>
      </c>
      <c r="B884" s="3" t="n">
        <v>882</v>
      </c>
      <c r="C884" s="3" t="n">
        <v>4</v>
      </c>
      <c r="D884" s="3" t="n">
        <v>7</v>
      </c>
      <c r="E884" s="3" t="n">
        <v>0</v>
      </c>
      <c r="F884" s="24" t="n">
        <v>0</v>
      </c>
    </row>
    <row r="885" customFormat="false" ht="15" hidden="false" customHeight="false" outlineLevel="0" collapsed="false">
      <c r="A885" s="3" t="n">
        <v>884</v>
      </c>
      <c r="B885" s="3" t="n">
        <v>883</v>
      </c>
      <c r="C885" s="3" t="n">
        <v>4</v>
      </c>
      <c r="D885" s="3" t="n">
        <v>7</v>
      </c>
      <c r="E885" s="3" t="n">
        <v>1</v>
      </c>
      <c r="F885" s="24" t="n">
        <v>0</v>
      </c>
    </row>
    <row r="886" customFormat="false" ht="15" hidden="false" customHeight="false" outlineLevel="0" collapsed="false">
      <c r="A886" s="3" t="n">
        <v>885</v>
      </c>
      <c r="B886" s="3" t="n">
        <v>884</v>
      </c>
      <c r="C886" s="3" t="n">
        <v>4</v>
      </c>
      <c r="D886" s="3" t="n">
        <v>7</v>
      </c>
      <c r="E886" s="3" t="n">
        <v>2</v>
      </c>
      <c r="F886" s="24" t="n">
        <v>0</v>
      </c>
    </row>
    <row r="887" customFormat="false" ht="15" hidden="false" customHeight="false" outlineLevel="0" collapsed="false">
      <c r="A887" s="3" t="n">
        <v>886</v>
      </c>
      <c r="B887" s="3" t="n">
        <v>885</v>
      </c>
      <c r="C887" s="3" t="n">
        <v>4</v>
      </c>
      <c r="D887" s="3" t="n">
        <v>7</v>
      </c>
      <c r="E887" s="3" t="n">
        <v>3</v>
      </c>
      <c r="F887" s="24" t="n">
        <v>0</v>
      </c>
    </row>
    <row r="888" customFormat="false" ht="15" hidden="false" customHeight="false" outlineLevel="0" collapsed="false">
      <c r="A888" s="3" t="n">
        <v>887</v>
      </c>
      <c r="B888" s="3" t="n">
        <v>886</v>
      </c>
      <c r="C888" s="3" t="n">
        <v>4</v>
      </c>
      <c r="D888" s="3" t="n">
        <v>7</v>
      </c>
      <c r="E888" s="3" t="n">
        <v>4</v>
      </c>
      <c r="F888" s="24" t="n">
        <v>0</v>
      </c>
    </row>
    <row r="889" customFormat="false" ht="15" hidden="false" customHeight="false" outlineLevel="0" collapsed="false">
      <c r="A889" s="3" t="n">
        <v>888</v>
      </c>
      <c r="B889" s="3" t="n">
        <v>887</v>
      </c>
      <c r="C889" s="3" t="n">
        <v>4</v>
      </c>
      <c r="D889" s="3" t="n">
        <v>7</v>
      </c>
      <c r="E889" s="3" t="n">
        <v>5</v>
      </c>
      <c r="F889" s="24" t="n">
        <v>0</v>
      </c>
    </row>
    <row r="890" customFormat="false" ht="15" hidden="false" customHeight="false" outlineLevel="0" collapsed="false">
      <c r="A890" s="3" t="n">
        <v>889</v>
      </c>
      <c r="B890" s="3" t="n">
        <v>888</v>
      </c>
      <c r="C890" s="3" t="n">
        <v>4</v>
      </c>
      <c r="D890" s="3" t="n">
        <v>7</v>
      </c>
      <c r="E890" s="3" t="n">
        <v>6</v>
      </c>
      <c r="F890" s="24" t="n">
        <v>1.12529016</v>
      </c>
    </row>
    <row r="891" customFormat="false" ht="15" hidden="false" customHeight="false" outlineLevel="0" collapsed="false">
      <c r="A891" s="3" t="n">
        <v>890</v>
      </c>
      <c r="B891" s="3" t="n">
        <v>889</v>
      </c>
      <c r="C891" s="3" t="n">
        <v>4</v>
      </c>
      <c r="D891" s="3" t="n">
        <v>7</v>
      </c>
      <c r="E891" s="3" t="n">
        <v>7</v>
      </c>
      <c r="F891" s="24" t="n">
        <v>6.82287025</v>
      </c>
    </row>
    <row r="892" customFormat="false" ht="15" hidden="false" customHeight="false" outlineLevel="0" collapsed="false">
      <c r="A892" s="3" t="n">
        <v>891</v>
      </c>
      <c r="B892" s="3" t="n">
        <v>890</v>
      </c>
      <c r="C892" s="3" t="n">
        <v>4</v>
      </c>
      <c r="D892" s="3" t="n">
        <v>7</v>
      </c>
      <c r="E892" s="3" t="n">
        <v>8</v>
      </c>
      <c r="F892" s="24" t="n">
        <v>1.93264997</v>
      </c>
    </row>
    <row r="893" customFormat="false" ht="15" hidden="false" customHeight="false" outlineLevel="0" collapsed="false">
      <c r="A893" s="3" t="n">
        <v>892</v>
      </c>
      <c r="B893" s="3" t="n">
        <v>891</v>
      </c>
      <c r="C893" s="3" t="n">
        <v>4</v>
      </c>
      <c r="D893" s="3" t="n">
        <v>7</v>
      </c>
      <c r="E893" s="3" t="n">
        <v>9</v>
      </c>
      <c r="F893" s="24" t="n">
        <v>0</v>
      </c>
    </row>
    <row r="894" customFormat="false" ht="15" hidden="false" customHeight="false" outlineLevel="0" collapsed="false">
      <c r="A894" s="3" t="n">
        <v>893</v>
      </c>
      <c r="B894" s="3" t="n">
        <v>892</v>
      </c>
      <c r="C894" s="3" t="n">
        <v>4</v>
      </c>
      <c r="D894" s="3" t="n">
        <v>7</v>
      </c>
      <c r="E894" s="3" t="n">
        <v>10</v>
      </c>
      <c r="F894" s="24" t="n">
        <v>0</v>
      </c>
    </row>
    <row r="895" customFormat="false" ht="15" hidden="false" customHeight="false" outlineLevel="0" collapsed="false">
      <c r="A895" s="3" t="n">
        <v>894</v>
      </c>
      <c r="B895" s="3" t="n">
        <v>893</v>
      </c>
      <c r="C895" s="3" t="n">
        <v>4</v>
      </c>
      <c r="D895" s="3" t="n">
        <v>7</v>
      </c>
      <c r="E895" s="3" t="n">
        <v>11</v>
      </c>
      <c r="F895" s="24" t="n">
        <v>0</v>
      </c>
    </row>
    <row r="896" customFormat="false" ht="15" hidden="false" customHeight="false" outlineLevel="0" collapsed="false">
      <c r="A896" s="3" t="n">
        <v>895</v>
      </c>
      <c r="B896" s="3" t="n">
        <v>894</v>
      </c>
      <c r="C896" s="3" t="n">
        <v>4</v>
      </c>
      <c r="D896" s="3" t="n">
        <v>7</v>
      </c>
      <c r="E896" s="3" t="n">
        <v>12</v>
      </c>
      <c r="F896" s="24" t="n">
        <v>0</v>
      </c>
    </row>
    <row r="897" customFormat="false" ht="15" hidden="false" customHeight="false" outlineLevel="0" collapsed="false">
      <c r="A897" s="3" t="n">
        <v>896</v>
      </c>
      <c r="B897" s="3" t="n">
        <v>895</v>
      </c>
      <c r="C897" s="3" t="n">
        <v>4</v>
      </c>
      <c r="D897" s="3" t="n">
        <v>7</v>
      </c>
      <c r="E897" s="3" t="n">
        <v>13</v>
      </c>
      <c r="F897" s="24" t="n">
        <v>0</v>
      </c>
    </row>
    <row r="898" customFormat="false" ht="15" hidden="false" customHeight="false" outlineLevel="0" collapsed="false">
      <c r="A898" s="3" t="n">
        <v>897</v>
      </c>
      <c r="B898" s="3" t="n">
        <v>896</v>
      </c>
      <c r="C898" s="3" t="n">
        <v>4</v>
      </c>
      <c r="D898" s="3" t="n">
        <v>8</v>
      </c>
      <c r="E898" s="3" t="n">
        <v>0</v>
      </c>
      <c r="F898" s="24" t="n">
        <v>0</v>
      </c>
    </row>
    <row r="899" customFormat="false" ht="15" hidden="false" customHeight="false" outlineLevel="0" collapsed="false">
      <c r="A899" s="3" t="n">
        <v>898</v>
      </c>
      <c r="B899" s="3" t="n">
        <v>897</v>
      </c>
      <c r="C899" s="3" t="n">
        <v>4</v>
      </c>
      <c r="D899" s="3" t="n">
        <v>8</v>
      </c>
      <c r="E899" s="3" t="n">
        <v>1</v>
      </c>
      <c r="F899" s="24" t="n">
        <v>0</v>
      </c>
    </row>
    <row r="900" customFormat="false" ht="15" hidden="false" customHeight="false" outlineLevel="0" collapsed="false">
      <c r="A900" s="3" t="n">
        <v>899</v>
      </c>
      <c r="B900" s="3" t="n">
        <v>898</v>
      </c>
      <c r="C900" s="3" t="n">
        <v>4</v>
      </c>
      <c r="D900" s="3" t="n">
        <v>8</v>
      </c>
      <c r="E900" s="3" t="n">
        <v>2</v>
      </c>
      <c r="F900" s="24" t="n">
        <v>0</v>
      </c>
    </row>
    <row r="901" customFormat="false" ht="15" hidden="false" customHeight="false" outlineLevel="0" collapsed="false">
      <c r="A901" s="3" t="n">
        <v>900</v>
      </c>
      <c r="B901" s="3" t="n">
        <v>899</v>
      </c>
      <c r="C901" s="3" t="n">
        <v>4</v>
      </c>
      <c r="D901" s="3" t="n">
        <v>8</v>
      </c>
      <c r="E901" s="3" t="n">
        <v>3</v>
      </c>
      <c r="F901" s="24" t="n">
        <v>0</v>
      </c>
    </row>
    <row r="902" customFormat="false" ht="15" hidden="false" customHeight="false" outlineLevel="0" collapsed="false">
      <c r="A902" s="3" t="n">
        <v>901</v>
      </c>
      <c r="B902" s="3" t="n">
        <v>900</v>
      </c>
      <c r="C902" s="3" t="n">
        <v>4</v>
      </c>
      <c r="D902" s="3" t="n">
        <v>8</v>
      </c>
      <c r="E902" s="3" t="n">
        <v>4</v>
      </c>
      <c r="F902" s="24" t="n">
        <v>0</v>
      </c>
    </row>
    <row r="903" customFormat="false" ht="15" hidden="false" customHeight="false" outlineLevel="0" collapsed="false">
      <c r="A903" s="3" t="n">
        <v>902</v>
      </c>
      <c r="B903" s="3" t="n">
        <v>901</v>
      </c>
      <c r="C903" s="3" t="n">
        <v>4</v>
      </c>
      <c r="D903" s="3" t="n">
        <v>8</v>
      </c>
      <c r="E903" s="3" t="n">
        <v>5</v>
      </c>
      <c r="F903" s="24" t="n">
        <v>0.231953382</v>
      </c>
    </row>
    <row r="904" customFormat="false" ht="15" hidden="false" customHeight="false" outlineLevel="0" collapsed="false">
      <c r="A904" s="3" t="n">
        <v>903</v>
      </c>
      <c r="B904" s="3" t="n">
        <v>902</v>
      </c>
      <c r="C904" s="3" t="n">
        <v>4</v>
      </c>
      <c r="D904" s="3" t="n">
        <v>8</v>
      </c>
      <c r="E904" s="3" t="n">
        <v>6</v>
      </c>
      <c r="F904" s="24" t="n">
        <v>4.43710041</v>
      </c>
    </row>
    <row r="905" customFormat="false" ht="15" hidden="false" customHeight="false" outlineLevel="0" collapsed="false">
      <c r="A905" s="3" t="n">
        <v>904</v>
      </c>
      <c r="B905" s="3" t="n">
        <v>903</v>
      </c>
      <c r="C905" s="3" t="n">
        <v>4</v>
      </c>
      <c r="D905" s="3" t="n">
        <v>8</v>
      </c>
      <c r="E905" s="3" t="n">
        <v>7</v>
      </c>
      <c r="F905" s="24" t="n">
        <v>4.79451084</v>
      </c>
    </row>
    <row r="906" customFormat="false" ht="15" hidden="false" customHeight="false" outlineLevel="0" collapsed="false">
      <c r="A906" s="3" t="n">
        <v>905</v>
      </c>
      <c r="B906" s="3" t="n">
        <v>904</v>
      </c>
      <c r="C906" s="3" t="n">
        <v>4</v>
      </c>
      <c r="D906" s="3" t="n">
        <v>8</v>
      </c>
      <c r="E906" s="3" t="n">
        <v>8</v>
      </c>
      <c r="F906" s="24" t="n">
        <v>0</v>
      </c>
    </row>
    <row r="907" customFormat="false" ht="15" hidden="false" customHeight="false" outlineLevel="0" collapsed="false">
      <c r="A907" s="3" t="n">
        <v>906</v>
      </c>
      <c r="B907" s="3" t="n">
        <v>905</v>
      </c>
      <c r="C907" s="3" t="n">
        <v>4</v>
      </c>
      <c r="D907" s="3" t="n">
        <v>8</v>
      </c>
      <c r="E907" s="3" t="n">
        <v>9</v>
      </c>
      <c r="F907" s="24" t="n">
        <v>0</v>
      </c>
    </row>
    <row r="908" customFormat="false" ht="15" hidden="false" customHeight="false" outlineLevel="0" collapsed="false">
      <c r="A908" s="3" t="n">
        <v>907</v>
      </c>
      <c r="B908" s="3" t="n">
        <v>906</v>
      </c>
      <c r="C908" s="3" t="n">
        <v>4</v>
      </c>
      <c r="D908" s="3" t="n">
        <v>8</v>
      </c>
      <c r="E908" s="3" t="n">
        <v>10</v>
      </c>
      <c r="F908" s="24" t="n">
        <v>0</v>
      </c>
    </row>
    <row r="909" customFormat="false" ht="15" hidden="false" customHeight="false" outlineLevel="0" collapsed="false">
      <c r="A909" s="3" t="n">
        <v>908</v>
      </c>
      <c r="B909" s="3" t="n">
        <v>907</v>
      </c>
      <c r="C909" s="3" t="n">
        <v>4</v>
      </c>
      <c r="D909" s="3" t="n">
        <v>8</v>
      </c>
      <c r="E909" s="3" t="n">
        <v>11</v>
      </c>
      <c r="F909" s="24" t="n">
        <v>0</v>
      </c>
    </row>
    <row r="910" customFormat="false" ht="15" hidden="false" customHeight="false" outlineLevel="0" collapsed="false">
      <c r="A910" s="3" t="n">
        <v>909</v>
      </c>
      <c r="B910" s="3" t="n">
        <v>908</v>
      </c>
      <c r="C910" s="3" t="n">
        <v>4</v>
      </c>
      <c r="D910" s="3" t="n">
        <v>8</v>
      </c>
      <c r="E910" s="3" t="n">
        <v>12</v>
      </c>
      <c r="F910" s="24" t="n">
        <v>0</v>
      </c>
    </row>
    <row r="911" customFormat="false" ht="15" hidden="false" customHeight="false" outlineLevel="0" collapsed="false">
      <c r="A911" s="3" t="n">
        <v>910</v>
      </c>
      <c r="B911" s="3" t="n">
        <v>909</v>
      </c>
      <c r="C911" s="3" t="n">
        <v>4</v>
      </c>
      <c r="D911" s="3" t="n">
        <v>8</v>
      </c>
      <c r="E911" s="3" t="n">
        <v>13</v>
      </c>
      <c r="F911" s="24" t="n">
        <v>0</v>
      </c>
    </row>
    <row r="912" customFormat="false" ht="15" hidden="false" customHeight="false" outlineLevel="0" collapsed="false">
      <c r="A912" s="3" t="n">
        <v>911</v>
      </c>
      <c r="B912" s="3" t="n">
        <v>910</v>
      </c>
      <c r="C912" s="3" t="n">
        <v>4</v>
      </c>
      <c r="D912" s="3" t="n">
        <v>9</v>
      </c>
      <c r="E912" s="3" t="n">
        <v>0</v>
      </c>
      <c r="F912" s="24" t="n">
        <v>0</v>
      </c>
    </row>
    <row r="913" customFormat="false" ht="15" hidden="false" customHeight="false" outlineLevel="0" collapsed="false">
      <c r="A913" s="3" t="n">
        <v>912</v>
      </c>
      <c r="B913" s="3" t="n">
        <v>911</v>
      </c>
      <c r="C913" s="3" t="n">
        <v>4</v>
      </c>
      <c r="D913" s="3" t="n">
        <v>9</v>
      </c>
      <c r="E913" s="3" t="n">
        <v>1</v>
      </c>
      <c r="F913" s="24" t="n">
        <v>0</v>
      </c>
    </row>
    <row r="914" customFormat="false" ht="15" hidden="false" customHeight="false" outlineLevel="0" collapsed="false">
      <c r="A914" s="3" t="n">
        <v>913</v>
      </c>
      <c r="B914" s="3" t="n">
        <v>912</v>
      </c>
      <c r="C914" s="3" t="n">
        <v>4</v>
      </c>
      <c r="D914" s="3" t="n">
        <v>9</v>
      </c>
      <c r="E914" s="3" t="n">
        <v>2</v>
      </c>
      <c r="F914" s="24" t="n">
        <v>0</v>
      </c>
    </row>
    <row r="915" customFormat="false" ht="15" hidden="false" customHeight="false" outlineLevel="0" collapsed="false">
      <c r="A915" s="3" t="n">
        <v>914</v>
      </c>
      <c r="B915" s="3" t="n">
        <v>913</v>
      </c>
      <c r="C915" s="3" t="n">
        <v>4</v>
      </c>
      <c r="D915" s="3" t="n">
        <v>9</v>
      </c>
      <c r="E915" s="3" t="n">
        <v>3</v>
      </c>
      <c r="F915" s="24" t="n">
        <v>0</v>
      </c>
    </row>
    <row r="916" customFormat="false" ht="15" hidden="false" customHeight="false" outlineLevel="0" collapsed="false">
      <c r="A916" s="3" t="n">
        <v>915</v>
      </c>
      <c r="B916" s="3" t="n">
        <v>914</v>
      </c>
      <c r="C916" s="3" t="n">
        <v>4</v>
      </c>
      <c r="D916" s="3" t="n">
        <v>9</v>
      </c>
      <c r="E916" s="3" t="n">
        <v>4</v>
      </c>
      <c r="F916" s="24" t="n">
        <v>0</v>
      </c>
    </row>
    <row r="917" customFormat="false" ht="15" hidden="false" customHeight="false" outlineLevel="0" collapsed="false">
      <c r="A917" s="3" t="n">
        <v>916</v>
      </c>
      <c r="B917" s="3" t="n">
        <v>915</v>
      </c>
      <c r="C917" s="3" t="n">
        <v>4</v>
      </c>
      <c r="D917" s="3" t="n">
        <v>9</v>
      </c>
      <c r="E917" s="3" t="n">
        <v>5</v>
      </c>
      <c r="F917" s="24" t="n">
        <v>2.61449766</v>
      </c>
    </row>
    <row r="918" customFormat="false" ht="15" hidden="false" customHeight="false" outlineLevel="0" collapsed="false">
      <c r="A918" s="3" t="n">
        <v>917</v>
      </c>
      <c r="B918" s="3" t="n">
        <v>916</v>
      </c>
      <c r="C918" s="3" t="n">
        <v>4</v>
      </c>
      <c r="D918" s="3" t="n">
        <v>9</v>
      </c>
      <c r="E918" s="3" t="n">
        <v>6</v>
      </c>
      <c r="F918" s="24" t="n">
        <v>3.97857189</v>
      </c>
    </row>
    <row r="919" customFormat="false" ht="15" hidden="false" customHeight="false" outlineLevel="0" collapsed="false">
      <c r="A919" s="3" t="n">
        <v>918</v>
      </c>
      <c r="B919" s="3" t="n">
        <v>917</v>
      </c>
      <c r="C919" s="3" t="n">
        <v>4</v>
      </c>
      <c r="D919" s="3" t="n">
        <v>9</v>
      </c>
      <c r="E919" s="3" t="n">
        <v>7</v>
      </c>
      <c r="F919" s="24" t="n">
        <v>0</v>
      </c>
    </row>
    <row r="920" customFormat="false" ht="15" hidden="false" customHeight="false" outlineLevel="0" collapsed="false">
      <c r="A920" s="3" t="n">
        <v>919</v>
      </c>
      <c r="B920" s="3" t="n">
        <v>918</v>
      </c>
      <c r="C920" s="3" t="n">
        <v>4</v>
      </c>
      <c r="D920" s="3" t="n">
        <v>9</v>
      </c>
      <c r="E920" s="3" t="n">
        <v>8</v>
      </c>
      <c r="F920" s="24" t="n">
        <v>0</v>
      </c>
    </row>
    <row r="921" customFormat="false" ht="15" hidden="false" customHeight="false" outlineLevel="0" collapsed="false">
      <c r="A921" s="3" t="n">
        <v>920</v>
      </c>
      <c r="B921" s="3" t="n">
        <v>919</v>
      </c>
      <c r="C921" s="3" t="n">
        <v>4</v>
      </c>
      <c r="D921" s="3" t="n">
        <v>9</v>
      </c>
      <c r="E921" s="3" t="n">
        <v>9</v>
      </c>
      <c r="F921" s="24" t="n">
        <v>0</v>
      </c>
    </row>
    <row r="922" customFormat="false" ht="15" hidden="false" customHeight="false" outlineLevel="0" collapsed="false">
      <c r="A922" s="3" t="n">
        <v>921</v>
      </c>
      <c r="B922" s="3" t="n">
        <v>920</v>
      </c>
      <c r="C922" s="3" t="n">
        <v>4</v>
      </c>
      <c r="D922" s="3" t="n">
        <v>9</v>
      </c>
      <c r="E922" s="3" t="n">
        <v>10</v>
      </c>
      <c r="F922" s="24" t="n">
        <v>0</v>
      </c>
    </row>
    <row r="923" customFormat="false" ht="15" hidden="false" customHeight="false" outlineLevel="0" collapsed="false">
      <c r="A923" s="3" t="n">
        <v>922</v>
      </c>
      <c r="B923" s="3" t="n">
        <v>921</v>
      </c>
      <c r="C923" s="3" t="n">
        <v>4</v>
      </c>
      <c r="D923" s="3" t="n">
        <v>9</v>
      </c>
      <c r="E923" s="3" t="n">
        <v>11</v>
      </c>
      <c r="F923" s="24" t="n">
        <v>0</v>
      </c>
    </row>
    <row r="924" customFormat="false" ht="15" hidden="false" customHeight="false" outlineLevel="0" collapsed="false">
      <c r="A924" s="3" t="n">
        <v>923</v>
      </c>
      <c r="B924" s="3" t="n">
        <v>922</v>
      </c>
      <c r="C924" s="3" t="n">
        <v>4</v>
      </c>
      <c r="D924" s="3" t="n">
        <v>9</v>
      </c>
      <c r="E924" s="3" t="n">
        <v>12</v>
      </c>
      <c r="F924" s="24" t="n">
        <v>0</v>
      </c>
    </row>
    <row r="925" customFormat="false" ht="15" hidden="false" customHeight="false" outlineLevel="0" collapsed="false">
      <c r="A925" s="3" t="n">
        <v>924</v>
      </c>
      <c r="B925" s="3" t="n">
        <v>923</v>
      </c>
      <c r="C925" s="3" t="n">
        <v>4</v>
      </c>
      <c r="D925" s="3" t="n">
        <v>9</v>
      </c>
      <c r="E925" s="3" t="n">
        <v>13</v>
      </c>
      <c r="F925" s="24" t="n">
        <v>0</v>
      </c>
    </row>
    <row r="926" customFormat="false" ht="15" hidden="false" customHeight="false" outlineLevel="0" collapsed="false">
      <c r="A926" s="3" t="n">
        <v>925</v>
      </c>
      <c r="B926" s="3" t="n">
        <v>924</v>
      </c>
      <c r="C926" s="3" t="n">
        <v>4</v>
      </c>
      <c r="D926" s="3" t="n">
        <v>10</v>
      </c>
      <c r="E926" s="3" t="n">
        <v>0</v>
      </c>
      <c r="F926" s="24" t="n">
        <v>0</v>
      </c>
    </row>
    <row r="927" customFormat="false" ht="15" hidden="false" customHeight="false" outlineLevel="0" collapsed="false">
      <c r="A927" s="3" t="n">
        <v>926</v>
      </c>
      <c r="B927" s="3" t="n">
        <v>925</v>
      </c>
      <c r="C927" s="3" t="n">
        <v>4</v>
      </c>
      <c r="D927" s="3" t="n">
        <v>10</v>
      </c>
      <c r="E927" s="3" t="n">
        <v>1</v>
      </c>
      <c r="F927" s="24" t="n">
        <v>0</v>
      </c>
    </row>
    <row r="928" customFormat="false" ht="15" hidden="false" customHeight="false" outlineLevel="0" collapsed="false">
      <c r="A928" s="3" t="n">
        <v>927</v>
      </c>
      <c r="B928" s="3" t="n">
        <v>926</v>
      </c>
      <c r="C928" s="3" t="n">
        <v>4</v>
      </c>
      <c r="D928" s="3" t="n">
        <v>10</v>
      </c>
      <c r="E928" s="3" t="n">
        <v>2</v>
      </c>
      <c r="F928" s="24" t="n">
        <v>0</v>
      </c>
    </row>
    <row r="929" customFormat="false" ht="15" hidden="false" customHeight="false" outlineLevel="0" collapsed="false">
      <c r="A929" s="3" t="n">
        <v>928</v>
      </c>
      <c r="B929" s="3" t="n">
        <v>927</v>
      </c>
      <c r="C929" s="3" t="n">
        <v>4</v>
      </c>
      <c r="D929" s="3" t="n">
        <v>10</v>
      </c>
      <c r="E929" s="3" t="n">
        <v>3</v>
      </c>
      <c r="F929" s="24" t="n">
        <v>0</v>
      </c>
    </row>
    <row r="930" customFormat="false" ht="15" hidden="false" customHeight="false" outlineLevel="0" collapsed="false">
      <c r="A930" s="3" t="n">
        <v>929</v>
      </c>
      <c r="B930" s="3" t="n">
        <v>928</v>
      </c>
      <c r="C930" s="3" t="n">
        <v>4</v>
      </c>
      <c r="D930" s="3" t="n">
        <v>10</v>
      </c>
      <c r="E930" s="3" t="n">
        <v>4</v>
      </c>
      <c r="F930" s="24" t="n">
        <v>0.842508614</v>
      </c>
    </row>
    <row r="931" customFormat="false" ht="15" hidden="false" customHeight="false" outlineLevel="0" collapsed="false">
      <c r="A931" s="3" t="n">
        <v>930</v>
      </c>
      <c r="B931" s="3" t="n">
        <v>929</v>
      </c>
      <c r="C931" s="3" t="n">
        <v>4</v>
      </c>
      <c r="D931" s="3" t="n">
        <v>10</v>
      </c>
      <c r="E931" s="3" t="n">
        <v>5</v>
      </c>
      <c r="F931" s="24" t="n">
        <v>6.55087852</v>
      </c>
    </row>
    <row r="932" customFormat="false" ht="15" hidden="false" customHeight="false" outlineLevel="0" collapsed="false">
      <c r="A932" s="3" t="n">
        <v>931</v>
      </c>
      <c r="B932" s="3" t="n">
        <v>930</v>
      </c>
      <c r="C932" s="3" t="n">
        <v>4</v>
      </c>
      <c r="D932" s="3" t="n">
        <v>10</v>
      </c>
      <c r="E932" s="3" t="n">
        <v>6</v>
      </c>
      <c r="F932" s="24" t="n">
        <v>1.43124688</v>
      </c>
    </row>
    <row r="933" customFormat="false" ht="15" hidden="false" customHeight="false" outlineLevel="0" collapsed="false">
      <c r="A933" s="3" t="n">
        <v>932</v>
      </c>
      <c r="B933" s="3" t="n">
        <v>931</v>
      </c>
      <c r="C933" s="3" t="n">
        <v>4</v>
      </c>
      <c r="D933" s="3" t="n">
        <v>10</v>
      </c>
      <c r="E933" s="3" t="n">
        <v>7</v>
      </c>
      <c r="F933" s="24" t="n">
        <v>0</v>
      </c>
    </row>
    <row r="934" customFormat="false" ht="15" hidden="false" customHeight="false" outlineLevel="0" collapsed="false">
      <c r="A934" s="3" t="n">
        <v>933</v>
      </c>
      <c r="B934" s="3" t="n">
        <v>932</v>
      </c>
      <c r="C934" s="3" t="n">
        <v>4</v>
      </c>
      <c r="D934" s="3" t="n">
        <v>10</v>
      </c>
      <c r="E934" s="3" t="n">
        <v>8</v>
      </c>
      <c r="F934" s="24" t="n">
        <v>0</v>
      </c>
    </row>
    <row r="935" customFormat="false" ht="15" hidden="false" customHeight="false" outlineLevel="0" collapsed="false">
      <c r="A935" s="3" t="n">
        <v>934</v>
      </c>
      <c r="B935" s="3" t="n">
        <v>933</v>
      </c>
      <c r="C935" s="3" t="n">
        <v>4</v>
      </c>
      <c r="D935" s="3" t="n">
        <v>10</v>
      </c>
      <c r="E935" s="3" t="n">
        <v>9</v>
      </c>
      <c r="F935" s="24" t="n">
        <v>0</v>
      </c>
    </row>
    <row r="936" customFormat="false" ht="15" hidden="false" customHeight="false" outlineLevel="0" collapsed="false">
      <c r="A936" s="3" t="n">
        <v>935</v>
      </c>
      <c r="B936" s="3" t="n">
        <v>934</v>
      </c>
      <c r="C936" s="3" t="n">
        <v>4</v>
      </c>
      <c r="D936" s="3" t="n">
        <v>10</v>
      </c>
      <c r="E936" s="3" t="n">
        <v>10</v>
      </c>
      <c r="F936" s="24" t="n">
        <v>0</v>
      </c>
    </row>
    <row r="937" customFormat="false" ht="15" hidden="false" customHeight="false" outlineLevel="0" collapsed="false">
      <c r="A937" s="3" t="n">
        <v>936</v>
      </c>
      <c r="B937" s="3" t="n">
        <v>935</v>
      </c>
      <c r="C937" s="3" t="n">
        <v>4</v>
      </c>
      <c r="D937" s="3" t="n">
        <v>10</v>
      </c>
      <c r="E937" s="3" t="n">
        <v>11</v>
      </c>
      <c r="F937" s="24" t="n">
        <v>0</v>
      </c>
    </row>
    <row r="938" customFormat="false" ht="15" hidden="false" customHeight="false" outlineLevel="0" collapsed="false">
      <c r="A938" s="3" t="n">
        <v>937</v>
      </c>
      <c r="B938" s="3" t="n">
        <v>936</v>
      </c>
      <c r="C938" s="3" t="n">
        <v>4</v>
      </c>
      <c r="D938" s="3" t="n">
        <v>10</v>
      </c>
      <c r="E938" s="3" t="n">
        <v>12</v>
      </c>
      <c r="F938" s="24" t="n">
        <v>0</v>
      </c>
    </row>
    <row r="939" customFormat="false" ht="15" hidden="false" customHeight="false" outlineLevel="0" collapsed="false">
      <c r="A939" s="3" t="n">
        <v>938</v>
      </c>
      <c r="B939" s="3" t="n">
        <v>937</v>
      </c>
      <c r="C939" s="3" t="n">
        <v>4</v>
      </c>
      <c r="D939" s="3" t="n">
        <v>10</v>
      </c>
      <c r="E939" s="3" t="n">
        <v>13</v>
      </c>
      <c r="F939" s="24" t="n">
        <v>0</v>
      </c>
    </row>
    <row r="940" customFormat="false" ht="15" hidden="false" customHeight="false" outlineLevel="0" collapsed="false">
      <c r="A940" s="3" t="n">
        <v>939</v>
      </c>
      <c r="B940" s="3" t="n">
        <v>938</v>
      </c>
      <c r="C940" s="3" t="n">
        <v>4</v>
      </c>
      <c r="D940" s="3" t="n">
        <v>11</v>
      </c>
      <c r="E940" s="3" t="n">
        <v>0</v>
      </c>
      <c r="F940" s="24" t="n">
        <v>0</v>
      </c>
    </row>
    <row r="941" customFormat="false" ht="15" hidden="false" customHeight="false" outlineLevel="0" collapsed="false">
      <c r="A941" s="3" t="n">
        <v>940</v>
      </c>
      <c r="B941" s="3" t="n">
        <v>939</v>
      </c>
      <c r="C941" s="3" t="n">
        <v>4</v>
      </c>
      <c r="D941" s="3" t="n">
        <v>11</v>
      </c>
      <c r="E941" s="3" t="n">
        <v>1</v>
      </c>
      <c r="F941" s="24" t="n">
        <v>0</v>
      </c>
    </row>
    <row r="942" customFormat="false" ht="15" hidden="false" customHeight="false" outlineLevel="0" collapsed="false">
      <c r="A942" s="3" t="n">
        <v>941</v>
      </c>
      <c r="B942" s="3" t="n">
        <v>940</v>
      </c>
      <c r="C942" s="3" t="n">
        <v>4</v>
      </c>
      <c r="D942" s="3" t="n">
        <v>11</v>
      </c>
      <c r="E942" s="3" t="n">
        <v>2</v>
      </c>
      <c r="F942" s="24" t="n">
        <v>0</v>
      </c>
    </row>
    <row r="943" customFormat="false" ht="15" hidden="false" customHeight="false" outlineLevel="0" collapsed="false">
      <c r="A943" s="3" t="n">
        <v>942</v>
      </c>
      <c r="B943" s="3" t="n">
        <v>941</v>
      </c>
      <c r="C943" s="3" t="n">
        <v>4</v>
      </c>
      <c r="D943" s="3" t="n">
        <v>11</v>
      </c>
      <c r="E943" s="3" t="n">
        <v>3</v>
      </c>
      <c r="F943" s="24" t="n">
        <v>0</v>
      </c>
    </row>
    <row r="944" customFormat="false" ht="15" hidden="false" customHeight="false" outlineLevel="0" collapsed="false">
      <c r="A944" s="3" t="n">
        <v>943</v>
      </c>
      <c r="B944" s="3" t="n">
        <v>942</v>
      </c>
      <c r="C944" s="3" t="n">
        <v>4</v>
      </c>
      <c r="D944" s="3" t="n">
        <v>11</v>
      </c>
      <c r="E944" s="3" t="n">
        <v>4</v>
      </c>
      <c r="F944" s="24" t="n">
        <v>4.22203493</v>
      </c>
    </row>
    <row r="945" customFormat="false" ht="15" hidden="false" customHeight="false" outlineLevel="0" collapsed="false">
      <c r="A945" s="3" t="n">
        <v>944</v>
      </c>
      <c r="B945" s="3" t="n">
        <v>943</v>
      </c>
      <c r="C945" s="3" t="n">
        <v>4</v>
      </c>
      <c r="D945" s="3" t="n">
        <v>11</v>
      </c>
      <c r="E945" s="3" t="n">
        <v>5</v>
      </c>
      <c r="F945" s="24" t="n">
        <v>7.20866632</v>
      </c>
    </row>
    <row r="946" customFormat="false" ht="15" hidden="false" customHeight="false" outlineLevel="0" collapsed="false">
      <c r="A946" s="3" t="n">
        <v>945</v>
      </c>
      <c r="B946" s="3" t="n">
        <v>944</v>
      </c>
      <c r="C946" s="3" t="n">
        <v>4</v>
      </c>
      <c r="D946" s="3" t="n">
        <v>11</v>
      </c>
      <c r="E946" s="3" t="n">
        <v>6</v>
      </c>
      <c r="F946" s="24" t="n">
        <v>0</v>
      </c>
    </row>
    <row r="947" customFormat="false" ht="15" hidden="false" customHeight="false" outlineLevel="0" collapsed="false">
      <c r="A947" s="3" t="n">
        <v>946</v>
      </c>
      <c r="B947" s="3" t="n">
        <v>945</v>
      </c>
      <c r="C947" s="3" t="n">
        <v>4</v>
      </c>
      <c r="D947" s="3" t="n">
        <v>11</v>
      </c>
      <c r="E947" s="3" t="n">
        <v>7</v>
      </c>
      <c r="F947" s="24" t="n">
        <v>0</v>
      </c>
    </row>
    <row r="948" customFormat="false" ht="15" hidden="false" customHeight="false" outlineLevel="0" collapsed="false">
      <c r="A948" s="3" t="n">
        <v>947</v>
      </c>
      <c r="B948" s="3" t="n">
        <v>946</v>
      </c>
      <c r="C948" s="3" t="n">
        <v>4</v>
      </c>
      <c r="D948" s="3" t="n">
        <v>11</v>
      </c>
      <c r="E948" s="3" t="n">
        <v>8</v>
      </c>
      <c r="F948" s="24" t="n">
        <v>0</v>
      </c>
    </row>
    <row r="949" customFormat="false" ht="15" hidden="false" customHeight="false" outlineLevel="0" collapsed="false">
      <c r="A949" s="3" t="n">
        <v>948</v>
      </c>
      <c r="B949" s="3" t="n">
        <v>947</v>
      </c>
      <c r="C949" s="3" t="n">
        <v>4</v>
      </c>
      <c r="D949" s="3" t="n">
        <v>11</v>
      </c>
      <c r="E949" s="3" t="n">
        <v>9</v>
      </c>
      <c r="F949" s="24" t="n">
        <v>0</v>
      </c>
    </row>
    <row r="950" customFormat="false" ht="15" hidden="false" customHeight="false" outlineLevel="0" collapsed="false">
      <c r="A950" s="3" t="n">
        <v>949</v>
      </c>
      <c r="B950" s="3" t="n">
        <v>948</v>
      </c>
      <c r="C950" s="3" t="n">
        <v>4</v>
      </c>
      <c r="D950" s="3" t="n">
        <v>11</v>
      </c>
      <c r="E950" s="3" t="n">
        <v>10</v>
      </c>
      <c r="F950" s="24" t="n">
        <v>0</v>
      </c>
    </row>
    <row r="951" customFormat="false" ht="15" hidden="false" customHeight="false" outlineLevel="0" collapsed="false">
      <c r="A951" s="3" t="n">
        <v>950</v>
      </c>
      <c r="B951" s="3" t="n">
        <v>949</v>
      </c>
      <c r="C951" s="3" t="n">
        <v>4</v>
      </c>
      <c r="D951" s="3" t="n">
        <v>11</v>
      </c>
      <c r="E951" s="3" t="n">
        <v>11</v>
      </c>
      <c r="F951" s="24" t="n">
        <v>0</v>
      </c>
    </row>
    <row r="952" customFormat="false" ht="15" hidden="false" customHeight="false" outlineLevel="0" collapsed="false">
      <c r="A952" s="3" t="n">
        <v>951</v>
      </c>
      <c r="B952" s="3" t="n">
        <v>950</v>
      </c>
      <c r="C952" s="3" t="n">
        <v>4</v>
      </c>
      <c r="D952" s="3" t="n">
        <v>11</v>
      </c>
      <c r="E952" s="3" t="n">
        <v>12</v>
      </c>
      <c r="F952" s="24" t="n">
        <v>0</v>
      </c>
    </row>
    <row r="953" customFormat="false" ht="15" hidden="false" customHeight="false" outlineLevel="0" collapsed="false">
      <c r="A953" s="3" t="n">
        <v>952</v>
      </c>
      <c r="B953" s="3" t="n">
        <v>951</v>
      </c>
      <c r="C953" s="3" t="n">
        <v>4</v>
      </c>
      <c r="D953" s="3" t="n">
        <v>11</v>
      </c>
      <c r="E953" s="3" t="n">
        <v>13</v>
      </c>
      <c r="F953" s="24" t="n">
        <v>0</v>
      </c>
    </row>
    <row r="954" customFormat="false" ht="15" hidden="false" customHeight="false" outlineLevel="0" collapsed="false">
      <c r="A954" s="3" t="n">
        <v>953</v>
      </c>
      <c r="B954" s="3" t="n">
        <v>952</v>
      </c>
      <c r="C954" s="3" t="n">
        <v>4</v>
      </c>
      <c r="D954" s="3" t="n">
        <v>12</v>
      </c>
      <c r="E954" s="3" t="n">
        <v>0</v>
      </c>
      <c r="F954" s="24" t="n">
        <v>0</v>
      </c>
    </row>
    <row r="955" customFormat="false" ht="15" hidden="false" customHeight="false" outlineLevel="0" collapsed="false">
      <c r="A955" s="3" t="n">
        <v>954</v>
      </c>
      <c r="B955" s="3" t="n">
        <v>953</v>
      </c>
      <c r="C955" s="3" t="n">
        <v>4</v>
      </c>
      <c r="D955" s="3" t="n">
        <v>12</v>
      </c>
      <c r="E955" s="3" t="n">
        <v>1</v>
      </c>
      <c r="F955" s="24" t="n">
        <v>0</v>
      </c>
    </row>
    <row r="956" customFormat="false" ht="15" hidden="false" customHeight="false" outlineLevel="0" collapsed="false">
      <c r="A956" s="3" t="n">
        <v>955</v>
      </c>
      <c r="B956" s="3" t="n">
        <v>954</v>
      </c>
      <c r="C956" s="3" t="n">
        <v>4</v>
      </c>
      <c r="D956" s="3" t="n">
        <v>12</v>
      </c>
      <c r="E956" s="3" t="n">
        <v>2</v>
      </c>
      <c r="F956" s="24" t="n">
        <v>0</v>
      </c>
    </row>
    <row r="957" customFormat="false" ht="15" hidden="false" customHeight="false" outlineLevel="0" collapsed="false">
      <c r="A957" s="3" t="n">
        <v>956</v>
      </c>
      <c r="B957" s="3" t="n">
        <v>955</v>
      </c>
      <c r="C957" s="3" t="n">
        <v>4</v>
      </c>
      <c r="D957" s="3" t="n">
        <v>12</v>
      </c>
      <c r="E957" s="3" t="n">
        <v>3</v>
      </c>
      <c r="F957" s="24" t="n">
        <v>0</v>
      </c>
    </row>
    <row r="958" customFormat="false" ht="15" hidden="false" customHeight="false" outlineLevel="0" collapsed="false">
      <c r="A958" s="3" t="n">
        <v>957</v>
      </c>
      <c r="B958" s="3" t="n">
        <v>956</v>
      </c>
      <c r="C958" s="3" t="n">
        <v>4</v>
      </c>
      <c r="D958" s="3" t="n">
        <v>12</v>
      </c>
      <c r="E958" s="3" t="n">
        <v>4</v>
      </c>
      <c r="F958" s="24" t="n">
        <v>4.28531742</v>
      </c>
    </row>
    <row r="959" customFormat="false" ht="15" hidden="false" customHeight="false" outlineLevel="0" collapsed="false">
      <c r="A959" s="3" t="n">
        <v>958</v>
      </c>
      <c r="B959" s="3" t="n">
        <v>957</v>
      </c>
      <c r="C959" s="3" t="n">
        <v>4</v>
      </c>
      <c r="D959" s="3" t="n">
        <v>12</v>
      </c>
      <c r="E959" s="3" t="n">
        <v>5</v>
      </c>
      <c r="F959" s="24" t="n">
        <v>3.01881456</v>
      </c>
    </row>
    <row r="960" customFormat="false" ht="15" hidden="false" customHeight="false" outlineLevel="0" collapsed="false">
      <c r="A960" s="3" t="n">
        <v>959</v>
      </c>
      <c r="B960" s="3" t="n">
        <v>958</v>
      </c>
      <c r="C960" s="3" t="n">
        <v>4</v>
      </c>
      <c r="D960" s="3" t="n">
        <v>12</v>
      </c>
      <c r="E960" s="3" t="n">
        <v>6</v>
      </c>
      <c r="F960" s="24" t="n">
        <v>0</v>
      </c>
    </row>
    <row r="961" customFormat="false" ht="15" hidden="false" customHeight="false" outlineLevel="0" collapsed="false">
      <c r="A961" s="3" t="n">
        <v>960</v>
      </c>
      <c r="B961" s="3" t="n">
        <v>959</v>
      </c>
      <c r="C961" s="3" t="n">
        <v>4</v>
      </c>
      <c r="D961" s="3" t="n">
        <v>12</v>
      </c>
      <c r="E961" s="3" t="n">
        <v>7</v>
      </c>
      <c r="F961" s="24" t="n">
        <v>0</v>
      </c>
    </row>
    <row r="962" customFormat="false" ht="15" hidden="false" customHeight="false" outlineLevel="0" collapsed="false">
      <c r="A962" s="3" t="n">
        <v>961</v>
      </c>
      <c r="B962" s="3" t="n">
        <v>960</v>
      </c>
      <c r="C962" s="3" t="n">
        <v>4</v>
      </c>
      <c r="D962" s="3" t="n">
        <v>12</v>
      </c>
      <c r="E962" s="3" t="n">
        <v>8</v>
      </c>
      <c r="F962" s="24" t="n">
        <v>0</v>
      </c>
    </row>
    <row r="963" customFormat="false" ht="15" hidden="false" customHeight="false" outlineLevel="0" collapsed="false">
      <c r="A963" s="3" t="n">
        <v>962</v>
      </c>
      <c r="B963" s="3" t="n">
        <v>961</v>
      </c>
      <c r="C963" s="3" t="n">
        <v>4</v>
      </c>
      <c r="D963" s="3" t="n">
        <v>12</v>
      </c>
      <c r="E963" s="3" t="n">
        <v>9</v>
      </c>
      <c r="F963" s="24" t="n">
        <v>0</v>
      </c>
    </row>
    <row r="964" customFormat="false" ht="15" hidden="false" customHeight="false" outlineLevel="0" collapsed="false">
      <c r="A964" s="3" t="n">
        <v>963</v>
      </c>
      <c r="B964" s="3" t="n">
        <v>962</v>
      </c>
      <c r="C964" s="3" t="n">
        <v>4</v>
      </c>
      <c r="D964" s="3" t="n">
        <v>12</v>
      </c>
      <c r="E964" s="3" t="n">
        <v>10</v>
      </c>
      <c r="F964" s="24" t="n">
        <v>0</v>
      </c>
    </row>
    <row r="965" customFormat="false" ht="15" hidden="false" customHeight="false" outlineLevel="0" collapsed="false">
      <c r="A965" s="3" t="n">
        <v>964</v>
      </c>
      <c r="B965" s="3" t="n">
        <v>963</v>
      </c>
      <c r="C965" s="3" t="n">
        <v>4</v>
      </c>
      <c r="D965" s="3" t="n">
        <v>12</v>
      </c>
      <c r="E965" s="3" t="n">
        <v>11</v>
      </c>
      <c r="F965" s="24" t="n">
        <v>0</v>
      </c>
    </row>
    <row r="966" customFormat="false" ht="15" hidden="false" customHeight="false" outlineLevel="0" collapsed="false">
      <c r="A966" s="3" t="n">
        <v>965</v>
      </c>
      <c r="B966" s="3" t="n">
        <v>964</v>
      </c>
      <c r="C966" s="3" t="n">
        <v>4</v>
      </c>
      <c r="D966" s="3" t="n">
        <v>12</v>
      </c>
      <c r="E966" s="3" t="n">
        <v>12</v>
      </c>
      <c r="F966" s="24" t="n">
        <v>0</v>
      </c>
    </row>
    <row r="967" customFormat="false" ht="15" hidden="false" customHeight="false" outlineLevel="0" collapsed="false">
      <c r="A967" s="3" t="n">
        <v>966</v>
      </c>
      <c r="B967" s="3" t="n">
        <v>965</v>
      </c>
      <c r="C967" s="3" t="n">
        <v>4</v>
      </c>
      <c r="D967" s="3" t="n">
        <v>12</v>
      </c>
      <c r="E967" s="3" t="n">
        <v>13</v>
      </c>
      <c r="F967" s="24" t="n">
        <v>0</v>
      </c>
    </row>
    <row r="968" customFormat="false" ht="15" hidden="false" customHeight="false" outlineLevel="0" collapsed="false">
      <c r="A968" s="3" t="n">
        <v>967</v>
      </c>
      <c r="B968" s="3" t="n">
        <v>966</v>
      </c>
      <c r="C968" s="3" t="n">
        <v>4</v>
      </c>
      <c r="D968" s="3" t="n">
        <v>13</v>
      </c>
      <c r="E968" s="3" t="n">
        <v>0</v>
      </c>
      <c r="F968" s="24" t="n">
        <v>0</v>
      </c>
    </row>
    <row r="969" customFormat="false" ht="15" hidden="false" customHeight="false" outlineLevel="0" collapsed="false">
      <c r="A969" s="3" t="n">
        <v>968</v>
      </c>
      <c r="B969" s="3" t="n">
        <v>967</v>
      </c>
      <c r="C969" s="3" t="n">
        <v>4</v>
      </c>
      <c r="D969" s="3" t="n">
        <v>13</v>
      </c>
      <c r="E969" s="3" t="n">
        <v>1</v>
      </c>
      <c r="F969" s="24" t="n">
        <v>0</v>
      </c>
    </row>
    <row r="970" customFormat="false" ht="15" hidden="false" customHeight="false" outlineLevel="0" collapsed="false">
      <c r="A970" s="3" t="n">
        <v>969</v>
      </c>
      <c r="B970" s="3" t="n">
        <v>968</v>
      </c>
      <c r="C970" s="3" t="n">
        <v>4</v>
      </c>
      <c r="D970" s="3" t="n">
        <v>13</v>
      </c>
      <c r="E970" s="3" t="n">
        <v>2</v>
      </c>
      <c r="F970" s="24" t="n">
        <v>0</v>
      </c>
    </row>
    <row r="971" customFormat="false" ht="15" hidden="false" customHeight="false" outlineLevel="0" collapsed="false">
      <c r="A971" s="3" t="n">
        <v>970</v>
      </c>
      <c r="B971" s="3" t="n">
        <v>969</v>
      </c>
      <c r="C971" s="3" t="n">
        <v>4</v>
      </c>
      <c r="D971" s="3" t="n">
        <v>13</v>
      </c>
      <c r="E971" s="3" t="n">
        <v>3</v>
      </c>
      <c r="F971" s="24" t="n">
        <v>0</v>
      </c>
    </row>
    <row r="972" customFormat="false" ht="15" hidden="false" customHeight="false" outlineLevel="0" collapsed="false">
      <c r="A972" s="3" t="n">
        <v>971</v>
      </c>
      <c r="B972" s="3" t="n">
        <v>970</v>
      </c>
      <c r="C972" s="3" t="n">
        <v>4</v>
      </c>
      <c r="D972" s="3" t="n">
        <v>13</v>
      </c>
      <c r="E972" s="3" t="n">
        <v>4</v>
      </c>
      <c r="F972" s="24" t="n">
        <v>2.52378249</v>
      </c>
    </row>
    <row r="973" customFormat="false" ht="15" hidden="false" customHeight="false" outlineLevel="0" collapsed="false">
      <c r="A973" s="3" t="n">
        <v>972</v>
      </c>
      <c r="B973" s="3" t="n">
        <v>971</v>
      </c>
      <c r="C973" s="3" t="n">
        <v>4</v>
      </c>
      <c r="D973" s="3" t="n">
        <v>13</v>
      </c>
      <c r="E973" s="3" t="n">
        <v>5</v>
      </c>
      <c r="F973" s="24" t="n">
        <v>1.096542</v>
      </c>
    </row>
    <row r="974" customFormat="false" ht="15" hidden="false" customHeight="false" outlineLevel="0" collapsed="false">
      <c r="A974" s="3" t="n">
        <v>973</v>
      </c>
      <c r="B974" s="3" t="n">
        <v>972</v>
      </c>
      <c r="C974" s="3" t="n">
        <v>4</v>
      </c>
      <c r="D974" s="3" t="n">
        <v>13</v>
      </c>
      <c r="E974" s="3" t="n">
        <v>6</v>
      </c>
      <c r="F974" s="24" t="n">
        <v>0</v>
      </c>
    </row>
    <row r="975" customFormat="false" ht="15" hidden="false" customHeight="false" outlineLevel="0" collapsed="false">
      <c r="A975" s="3" t="n">
        <v>974</v>
      </c>
      <c r="B975" s="3" t="n">
        <v>973</v>
      </c>
      <c r="C975" s="3" t="n">
        <v>4</v>
      </c>
      <c r="D975" s="3" t="n">
        <v>13</v>
      </c>
      <c r="E975" s="3" t="n">
        <v>7</v>
      </c>
      <c r="F975" s="24" t="n">
        <v>0</v>
      </c>
    </row>
    <row r="976" customFormat="false" ht="15" hidden="false" customHeight="false" outlineLevel="0" collapsed="false">
      <c r="A976" s="3" t="n">
        <v>975</v>
      </c>
      <c r="B976" s="3" t="n">
        <v>974</v>
      </c>
      <c r="C976" s="3" t="n">
        <v>4</v>
      </c>
      <c r="D976" s="3" t="n">
        <v>13</v>
      </c>
      <c r="E976" s="3" t="n">
        <v>8</v>
      </c>
      <c r="F976" s="24" t="n">
        <v>0</v>
      </c>
    </row>
    <row r="977" customFormat="false" ht="15" hidden="false" customHeight="false" outlineLevel="0" collapsed="false">
      <c r="A977" s="3" t="n">
        <v>976</v>
      </c>
      <c r="B977" s="3" t="n">
        <v>975</v>
      </c>
      <c r="C977" s="3" t="n">
        <v>4</v>
      </c>
      <c r="D977" s="3" t="n">
        <v>13</v>
      </c>
      <c r="E977" s="3" t="n">
        <v>9</v>
      </c>
      <c r="F977" s="24" t="n">
        <v>0</v>
      </c>
    </row>
    <row r="978" customFormat="false" ht="15" hidden="false" customHeight="false" outlineLevel="0" collapsed="false">
      <c r="A978" s="3" t="n">
        <v>977</v>
      </c>
      <c r="B978" s="3" t="n">
        <v>976</v>
      </c>
      <c r="C978" s="3" t="n">
        <v>4</v>
      </c>
      <c r="D978" s="3" t="n">
        <v>13</v>
      </c>
      <c r="E978" s="3" t="n">
        <v>10</v>
      </c>
      <c r="F978" s="24" t="n">
        <v>0</v>
      </c>
    </row>
    <row r="979" customFormat="false" ht="15" hidden="false" customHeight="false" outlineLevel="0" collapsed="false">
      <c r="A979" s="3" t="n">
        <v>978</v>
      </c>
      <c r="B979" s="3" t="n">
        <v>977</v>
      </c>
      <c r="C979" s="3" t="n">
        <v>4</v>
      </c>
      <c r="D979" s="3" t="n">
        <v>13</v>
      </c>
      <c r="E979" s="3" t="n">
        <v>11</v>
      </c>
      <c r="F979" s="24" t="n">
        <v>0</v>
      </c>
    </row>
    <row r="980" customFormat="false" ht="15" hidden="false" customHeight="false" outlineLevel="0" collapsed="false">
      <c r="A980" s="3" t="n">
        <v>979</v>
      </c>
      <c r="B980" s="3" t="n">
        <v>978</v>
      </c>
      <c r="C980" s="3" t="n">
        <v>4</v>
      </c>
      <c r="D980" s="3" t="n">
        <v>13</v>
      </c>
      <c r="E980" s="3" t="n">
        <v>12</v>
      </c>
      <c r="F980" s="24" t="n">
        <v>0</v>
      </c>
    </row>
    <row r="981" customFormat="false" ht="15" hidden="false" customHeight="false" outlineLevel="0" collapsed="false">
      <c r="A981" s="3" t="n">
        <v>980</v>
      </c>
      <c r="B981" s="3" t="n">
        <v>979</v>
      </c>
      <c r="C981" s="3" t="n">
        <v>4</v>
      </c>
      <c r="D981" s="3" t="n">
        <v>13</v>
      </c>
      <c r="E981" s="3" t="n">
        <v>13</v>
      </c>
      <c r="F981" s="24" t="n">
        <v>0</v>
      </c>
    </row>
    <row r="982" customFormat="false" ht="15" hidden="false" customHeight="false" outlineLevel="0" collapsed="false">
      <c r="A982" s="3" t="n">
        <v>981</v>
      </c>
      <c r="B982" s="3" t="n">
        <v>980</v>
      </c>
      <c r="C982" s="3" t="n">
        <v>5</v>
      </c>
      <c r="D982" s="3" t="n">
        <v>0</v>
      </c>
      <c r="E982" s="3" t="n">
        <v>0</v>
      </c>
      <c r="F982" s="24" t="n">
        <v>0</v>
      </c>
    </row>
    <row r="983" customFormat="false" ht="15" hidden="false" customHeight="false" outlineLevel="0" collapsed="false">
      <c r="A983" s="3" t="n">
        <v>982</v>
      </c>
      <c r="B983" s="3" t="n">
        <v>981</v>
      </c>
      <c r="C983" s="3" t="n">
        <v>5</v>
      </c>
      <c r="D983" s="3" t="n">
        <v>0</v>
      </c>
      <c r="E983" s="3" t="n">
        <v>1</v>
      </c>
      <c r="F983" s="24" t="n">
        <v>0</v>
      </c>
    </row>
    <row r="984" customFormat="false" ht="15" hidden="false" customHeight="false" outlineLevel="0" collapsed="false">
      <c r="A984" s="3" t="n">
        <v>983</v>
      </c>
      <c r="B984" s="3" t="n">
        <v>982</v>
      </c>
      <c r="C984" s="3" t="n">
        <v>5</v>
      </c>
      <c r="D984" s="3" t="n">
        <v>0</v>
      </c>
      <c r="E984" s="3" t="n">
        <v>2</v>
      </c>
      <c r="F984" s="24" t="n">
        <v>0</v>
      </c>
    </row>
    <row r="985" customFormat="false" ht="15" hidden="false" customHeight="false" outlineLevel="0" collapsed="false">
      <c r="A985" s="3" t="n">
        <v>984</v>
      </c>
      <c r="B985" s="3" t="n">
        <v>983</v>
      </c>
      <c r="C985" s="3" t="n">
        <v>5</v>
      </c>
      <c r="D985" s="3" t="n">
        <v>0</v>
      </c>
      <c r="E985" s="3" t="n">
        <v>3</v>
      </c>
      <c r="F985" s="24" t="n">
        <v>0</v>
      </c>
    </row>
    <row r="986" customFormat="false" ht="15" hidden="false" customHeight="false" outlineLevel="0" collapsed="false">
      <c r="A986" s="3" t="n">
        <v>985</v>
      </c>
      <c r="B986" s="3" t="n">
        <v>984</v>
      </c>
      <c r="C986" s="3" t="n">
        <v>5</v>
      </c>
      <c r="D986" s="3" t="n">
        <v>0</v>
      </c>
      <c r="E986" s="3" t="n">
        <v>4</v>
      </c>
      <c r="F986" s="24" t="n">
        <v>0</v>
      </c>
    </row>
    <row r="987" customFormat="false" ht="15" hidden="false" customHeight="false" outlineLevel="0" collapsed="false">
      <c r="A987" s="3" t="n">
        <v>986</v>
      </c>
      <c r="B987" s="3" t="n">
        <v>985</v>
      </c>
      <c r="C987" s="3" t="n">
        <v>5</v>
      </c>
      <c r="D987" s="3" t="n">
        <v>0</v>
      </c>
      <c r="E987" s="3" t="n">
        <v>5</v>
      </c>
      <c r="F987" s="24" t="n">
        <v>0</v>
      </c>
    </row>
    <row r="988" customFormat="false" ht="15" hidden="false" customHeight="false" outlineLevel="0" collapsed="false">
      <c r="A988" s="3" t="n">
        <v>987</v>
      </c>
      <c r="B988" s="3" t="n">
        <v>986</v>
      </c>
      <c r="C988" s="3" t="n">
        <v>5</v>
      </c>
      <c r="D988" s="3" t="n">
        <v>0</v>
      </c>
      <c r="E988" s="3" t="n">
        <v>6</v>
      </c>
      <c r="F988" s="24" t="n">
        <v>0</v>
      </c>
    </row>
    <row r="989" customFormat="false" ht="15" hidden="false" customHeight="false" outlineLevel="0" collapsed="false">
      <c r="A989" s="3" t="n">
        <v>988</v>
      </c>
      <c r="B989" s="3" t="n">
        <v>987</v>
      </c>
      <c r="C989" s="3" t="n">
        <v>5</v>
      </c>
      <c r="D989" s="3" t="n">
        <v>0</v>
      </c>
      <c r="E989" s="3" t="n">
        <v>7</v>
      </c>
      <c r="F989" s="24" t="n">
        <v>0</v>
      </c>
    </row>
    <row r="990" customFormat="false" ht="15" hidden="false" customHeight="false" outlineLevel="0" collapsed="false">
      <c r="A990" s="3" t="n">
        <v>989</v>
      </c>
      <c r="B990" s="3" t="n">
        <v>988</v>
      </c>
      <c r="C990" s="3" t="n">
        <v>5</v>
      </c>
      <c r="D990" s="3" t="n">
        <v>0</v>
      </c>
      <c r="E990" s="3" t="n">
        <v>8</v>
      </c>
      <c r="F990" s="24" t="n">
        <v>0</v>
      </c>
    </row>
    <row r="991" customFormat="false" ht="15" hidden="false" customHeight="false" outlineLevel="0" collapsed="false">
      <c r="A991" s="3" t="n">
        <v>990</v>
      </c>
      <c r="B991" s="3" t="n">
        <v>989</v>
      </c>
      <c r="C991" s="3" t="n">
        <v>5</v>
      </c>
      <c r="D991" s="3" t="n">
        <v>0</v>
      </c>
      <c r="E991" s="3" t="n">
        <v>9</v>
      </c>
      <c r="F991" s="24" t="n">
        <v>0</v>
      </c>
    </row>
    <row r="992" customFormat="false" ht="15" hidden="false" customHeight="false" outlineLevel="0" collapsed="false">
      <c r="A992" s="3" t="n">
        <v>991</v>
      </c>
      <c r="B992" s="3" t="n">
        <v>990</v>
      </c>
      <c r="C992" s="3" t="n">
        <v>5</v>
      </c>
      <c r="D992" s="3" t="n">
        <v>0</v>
      </c>
      <c r="E992" s="3" t="n">
        <v>10</v>
      </c>
      <c r="F992" s="24" t="n">
        <v>0</v>
      </c>
    </row>
    <row r="993" customFormat="false" ht="15" hidden="false" customHeight="false" outlineLevel="0" collapsed="false">
      <c r="A993" s="3" t="n">
        <v>992</v>
      </c>
      <c r="B993" s="3" t="n">
        <v>991</v>
      </c>
      <c r="C993" s="3" t="n">
        <v>5</v>
      </c>
      <c r="D993" s="3" t="n">
        <v>0</v>
      </c>
      <c r="E993" s="3" t="n">
        <v>11</v>
      </c>
      <c r="F993" s="24" t="n">
        <v>0</v>
      </c>
    </row>
    <row r="994" customFormat="false" ht="15" hidden="false" customHeight="false" outlineLevel="0" collapsed="false">
      <c r="A994" s="3" t="n">
        <v>993</v>
      </c>
      <c r="B994" s="3" t="n">
        <v>992</v>
      </c>
      <c r="C994" s="3" t="n">
        <v>5</v>
      </c>
      <c r="D994" s="3" t="n">
        <v>0</v>
      </c>
      <c r="E994" s="3" t="n">
        <v>12</v>
      </c>
      <c r="F994" s="24" t="n">
        <v>0</v>
      </c>
    </row>
    <row r="995" customFormat="false" ht="15" hidden="false" customHeight="false" outlineLevel="0" collapsed="false">
      <c r="A995" s="3" t="n">
        <v>994</v>
      </c>
      <c r="B995" s="3" t="n">
        <v>993</v>
      </c>
      <c r="C995" s="3" t="n">
        <v>5</v>
      </c>
      <c r="D995" s="3" t="n">
        <v>0</v>
      </c>
      <c r="E995" s="3" t="n">
        <v>13</v>
      </c>
      <c r="F995" s="24" t="n">
        <v>0</v>
      </c>
    </row>
    <row r="996" customFormat="false" ht="15" hidden="false" customHeight="false" outlineLevel="0" collapsed="false">
      <c r="A996" s="3" t="n">
        <v>995</v>
      </c>
      <c r="B996" s="3" t="n">
        <v>994</v>
      </c>
      <c r="C996" s="3" t="n">
        <v>5</v>
      </c>
      <c r="D996" s="3" t="n">
        <v>1</v>
      </c>
      <c r="E996" s="3" t="n">
        <v>0</v>
      </c>
      <c r="F996" s="24" t="n">
        <v>0</v>
      </c>
    </row>
    <row r="997" customFormat="false" ht="15" hidden="false" customHeight="false" outlineLevel="0" collapsed="false">
      <c r="A997" s="3" t="n">
        <v>996</v>
      </c>
      <c r="B997" s="3" t="n">
        <v>995</v>
      </c>
      <c r="C997" s="3" t="n">
        <v>5</v>
      </c>
      <c r="D997" s="3" t="n">
        <v>1</v>
      </c>
      <c r="E997" s="3" t="n">
        <v>1</v>
      </c>
      <c r="F997" s="24" t="n">
        <v>0</v>
      </c>
    </row>
    <row r="998" customFormat="false" ht="15" hidden="false" customHeight="false" outlineLevel="0" collapsed="false">
      <c r="A998" s="3" t="n">
        <v>997</v>
      </c>
      <c r="B998" s="3" t="n">
        <v>996</v>
      </c>
      <c r="C998" s="3" t="n">
        <v>5</v>
      </c>
      <c r="D998" s="3" t="n">
        <v>1</v>
      </c>
      <c r="E998" s="3" t="n">
        <v>2</v>
      </c>
      <c r="F998" s="24" t="n">
        <v>0</v>
      </c>
    </row>
    <row r="999" customFormat="false" ht="15" hidden="false" customHeight="false" outlineLevel="0" collapsed="false">
      <c r="A999" s="3" t="n">
        <v>998</v>
      </c>
      <c r="B999" s="3" t="n">
        <v>997</v>
      </c>
      <c r="C999" s="3" t="n">
        <v>5</v>
      </c>
      <c r="D999" s="3" t="n">
        <v>1</v>
      </c>
      <c r="E999" s="3" t="n">
        <v>3</v>
      </c>
      <c r="F999" s="24" t="n">
        <v>0</v>
      </c>
    </row>
    <row r="1000" customFormat="false" ht="15" hidden="false" customHeight="false" outlineLevel="0" collapsed="false">
      <c r="A1000" s="3" t="n">
        <v>999</v>
      </c>
      <c r="B1000" s="3" t="n">
        <v>998</v>
      </c>
      <c r="C1000" s="3" t="n">
        <v>5</v>
      </c>
      <c r="D1000" s="3" t="n">
        <v>1</v>
      </c>
      <c r="E1000" s="3" t="n">
        <v>4</v>
      </c>
      <c r="F1000" s="24" t="n">
        <v>0</v>
      </c>
    </row>
    <row r="1001" customFormat="false" ht="15" hidden="false" customHeight="false" outlineLevel="0" collapsed="false">
      <c r="A1001" s="3" t="n">
        <v>1000</v>
      </c>
      <c r="B1001" s="3" t="n">
        <v>999</v>
      </c>
      <c r="C1001" s="3" t="n">
        <v>5</v>
      </c>
      <c r="D1001" s="3" t="n">
        <v>1</v>
      </c>
      <c r="E1001" s="3" t="n">
        <v>5</v>
      </c>
      <c r="F1001" s="24" t="n">
        <v>0</v>
      </c>
    </row>
    <row r="1002" customFormat="false" ht="15" hidden="false" customHeight="false" outlineLevel="0" collapsed="false">
      <c r="A1002" s="3" t="n">
        <v>1001</v>
      </c>
      <c r="B1002" s="3" t="n">
        <v>1000</v>
      </c>
      <c r="C1002" s="3" t="n">
        <v>5</v>
      </c>
      <c r="D1002" s="3" t="n">
        <v>1</v>
      </c>
      <c r="E1002" s="3" t="n">
        <v>6</v>
      </c>
      <c r="F1002" s="24" t="n">
        <v>0</v>
      </c>
    </row>
    <row r="1003" customFormat="false" ht="15" hidden="false" customHeight="false" outlineLevel="0" collapsed="false">
      <c r="A1003" s="3" t="n">
        <v>1002</v>
      </c>
      <c r="B1003" s="3" t="n">
        <v>1001</v>
      </c>
      <c r="C1003" s="3" t="n">
        <v>5</v>
      </c>
      <c r="D1003" s="3" t="n">
        <v>1</v>
      </c>
      <c r="E1003" s="3" t="n">
        <v>7</v>
      </c>
      <c r="F1003" s="24" t="n">
        <v>0</v>
      </c>
    </row>
    <row r="1004" customFormat="false" ht="15" hidden="false" customHeight="false" outlineLevel="0" collapsed="false">
      <c r="A1004" s="3" t="n">
        <v>1003</v>
      </c>
      <c r="B1004" s="3" t="n">
        <v>1002</v>
      </c>
      <c r="C1004" s="3" t="n">
        <v>5</v>
      </c>
      <c r="D1004" s="3" t="n">
        <v>1</v>
      </c>
      <c r="E1004" s="3" t="n">
        <v>8</v>
      </c>
      <c r="F1004" s="24" t="n">
        <v>0</v>
      </c>
    </row>
    <row r="1005" customFormat="false" ht="15" hidden="false" customHeight="false" outlineLevel="0" collapsed="false">
      <c r="A1005" s="3" t="n">
        <v>1004</v>
      </c>
      <c r="B1005" s="3" t="n">
        <v>1003</v>
      </c>
      <c r="C1005" s="3" t="n">
        <v>5</v>
      </c>
      <c r="D1005" s="3" t="n">
        <v>1</v>
      </c>
      <c r="E1005" s="3" t="n">
        <v>9</v>
      </c>
      <c r="F1005" s="24" t="n">
        <v>0</v>
      </c>
    </row>
    <row r="1006" customFormat="false" ht="15" hidden="false" customHeight="false" outlineLevel="0" collapsed="false">
      <c r="A1006" s="3" t="n">
        <v>1005</v>
      </c>
      <c r="B1006" s="3" t="n">
        <v>1004</v>
      </c>
      <c r="C1006" s="3" t="n">
        <v>5</v>
      </c>
      <c r="D1006" s="3" t="n">
        <v>1</v>
      </c>
      <c r="E1006" s="3" t="n">
        <v>10</v>
      </c>
      <c r="F1006" s="24" t="n">
        <v>0</v>
      </c>
    </row>
    <row r="1007" customFormat="false" ht="15" hidden="false" customHeight="false" outlineLevel="0" collapsed="false">
      <c r="A1007" s="3" t="n">
        <v>1006</v>
      </c>
      <c r="B1007" s="3" t="n">
        <v>1005</v>
      </c>
      <c r="C1007" s="3" t="n">
        <v>5</v>
      </c>
      <c r="D1007" s="3" t="n">
        <v>1</v>
      </c>
      <c r="E1007" s="3" t="n">
        <v>11</v>
      </c>
      <c r="F1007" s="24" t="n">
        <v>0</v>
      </c>
    </row>
    <row r="1008" customFormat="false" ht="15" hidden="false" customHeight="false" outlineLevel="0" collapsed="false">
      <c r="A1008" s="3" t="n">
        <v>1007</v>
      </c>
      <c r="B1008" s="3" t="n">
        <v>1006</v>
      </c>
      <c r="C1008" s="3" t="n">
        <v>5</v>
      </c>
      <c r="D1008" s="3" t="n">
        <v>1</v>
      </c>
      <c r="E1008" s="3" t="n">
        <v>12</v>
      </c>
      <c r="F1008" s="24" t="n">
        <v>0</v>
      </c>
    </row>
    <row r="1009" customFormat="false" ht="15" hidden="false" customHeight="false" outlineLevel="0" collapsed="false">
      <c r="A1009" s="3" t="n">
        <v>1008</v>
      </c>
      <c r="B1009" s="3" t="n">
        <v>1007</v>
      </c>
      <c r="C1009" s="3" t="n">
        <v>5</v>
      </c>
      <c r="D1009" s="3" t="n">
        <v>1</v>
      </c>
      <c r="E1009" s="3" t="n">
        <v>13</v>
      </c>
      <c r="F1009" s="24" t="n">
        <v>0</v>
      </c>
    </row>
    <row r="1010" customFormat="false" ht="15" hidden="false" customHeight="false" outlineLevel="0" collapsed="false">
      <c r="A1010" s="3" t="n">
        <v>1009</v>
      </c>
      <c r="B1010" s="3" t="n">
        <v>1008</v>
      </c>
      <c r="C1010" s="3" t="n">
        <v>5</v>
      </c>
      <c r="D1010" s="3" t="n">
        <v>2</v>
      </c>
      <c r="E1010" s="3" t="n">
        <v>0</v>
      </c>
      <c r="F1010" s="24" t="n">
        <v>0</v>
      </c>
    </row>
    <row r="1011" customFormat="false" ht="15" hidden="false" customHeight="false" outlineLevel="0" collapsed="false">
      <c r="A1011" s="3" t="n">
        <v>1010</v>
      </c>
      <c r="B1011" s="3" t="n">
        <v>1009</v>
      </c>
      <c r="C1011" s="3" t="n">
        <v>5</v>
      </c>
      <c r="D1011" s="3" t="n">
        <v>2</v>
      </c>
      <c r="E1011" s="3" t="n">
        <v>1</v>
      </c>
      <c r="F1011" s="24" t="n">
        <v>0.241012126</v>
      </c>
    </row>
    <row r="1012" customFormat="false" ht="15" hidden="false" customHeight="false" outlineLevel="0" collapsed="false">
      <c r="A1012" s="3" t="n">
        <v>1011</v>
      </c>
      <c r="B1012" s="3" t="n">
        <v>1010</v>
      </c>
      <c r="C1012" s="3" t="n">
        <v>5</v>
      </c>
      <c r="D1012" s="3" t="n">
        <v>2</v>
      </c>
      <c r="E1012" s="3" t="n">
        <v>2</v>
      </c>
      <c r="F1012" s="24" t="n">
        <v>0.22944504</v>
      </c>
    </row>
    <row r="1013" customFormat="false" ht="15" hidden="false" customHeight="false" outlineLevel="0" collapsed="false">
      <c r="A1013" s="3" t="n">
        <v>1012</v>
      </c>
      <c r="B1013" s="3" t="n">
        <v>1011</v>
      </c>
      <c r="C1013" s="3" t="n">
        <v>5</v>
      </c>
      <c r="D1013" s="3" t="n">
        <v>2</v>
      </c>
      <c r="E1013" s="3" t="n">
        <v>3</v>
      </c>
      <c r="F1013" s="24" t="n">
        <v>0</v>
      </c>
    </row>
    <row r="1014" customFormat="false" ht="15" hidden="false" customHeight="false" outlineLevel="0" collapsed="false">
      <c r="A1014" s="3" t="n">
        <v>1013</v>
      </c>
      <c r="B1014" s="3" t="n">
        <v>1012</v>
      </c>
      <c r="C1014" s="3" t="n">
        <v>5</v>
      </c>
      <c r="D1014" s="3" t="n">
        <v>2</v>
      </c>
      <c r="E1014" s="3" t="n">
        <v>4</v>
      </c>
      <c r="F1014" s="24" t="n">
        <v>0</v>
      </c>
    </row>
    <row r="1015" customFormat="false" ht="15" hidden="false" customHeight="false" outlineLevel="0" collapsed="false">
      <c r="A1015" s="3" t="n">
        <v>1014</v>
      </c>
      <c r="B1015" s="3" t="n">
        <v>1013</v>
      </c>
      <c r="C1015" s="3" t="n">
        <v>5</v>
      </c>
      <c r="D1015" s="3" t="n">
        <v>2</v>
      </c>
      <c r="E1015" s="3" t="n">
        <v>5</v>
      </c>
      <c r="F1015" s="24" t="n">
        <v>0</v>
      </c>
    </row>
    <row r="1016" customFormat="false" ht="15" hidden="false" customHeight="false" outlineLevel="0" collapsed="false">
      <c r="A1016" s="3" t="n">
        <v>1015</v>
      </c>
      <c r="B1016" s="3" t="n">
        <v>1014</v>
      </c>
      <c r="C1016" s="3" t="n">
        <v>5</v>
      </c>
      <c r="D1016" s="3" t="n">
        <v>2</v>
      </c>
      <c r="E1016" s="3" t="n">
        <v>6</v>
      </c>
      <c r="F1016" s="24" t="n">
        <v>0</v>
      </c>
    </row>
    <row r="1017" customFormat="false" ht="15" hidden="false" customHeight="false" outlineLevel="0" collapsed="false">
      <c r="A1017" s="3" t="n">
        <v>1016</v>
      </c>
      <c r="B1017" s="3" t="n">
        <v>1015</v>
      </c>
      <c r="C1017" s="3" t="n">
        <v>5</v>
      </c>
      <c r="D1017" s="3" t="n">
        <v>2</v>
      </c>
      <c r="E1017" s="3" t="n">
        <v>7</v>
      </c>
      <c r="F1017" s="24" t="n">
        <v>0</v>
      </c>
    </row>
    <row r="1018" customFormat="false" ht="15" hidden="false" customHeight="false" outlineLevel="0" collapsed="false">
      <c r="A1018" s="3" t="n">
        <v>1017</v>
      </c>
      <c r="B1018" s="3" t="n">
        <v>1016</v>
      </c>
      <c r="C1018" s="3" t="n">
        <v>5</v>
      </c>
      <c r="D1018" s="3" t="n">
        <v>2</v>
      </c>
      <c r="E1018" s="3" t="n">
        <v>8</v>
      </c>
      <c r="F1018" s="24" t="n">
        <v>0</v>
      </c>
    </row>
    <row r="1019" customFormat="false" ht="15" hidden="false" customHeight="false" outlineLevel="0" collapsed="false">
      <c r="A1019" s="3" t="n">
        <v>1018</v>
      </c>
      <c r="B1019" s="3" t="n">
        <v>1017</v>
      </c>
      <c r="C1019" s="3" t="n">
        <v>5</v>
      </c>
      <c r="D1019" s="3" t="n">
        <v>2</v>
      </c>
      <c r="E1019" s="3" t="n">
        <v>9</v>
      </c>
      <c r="F1019" s="24" t="n">
        <v>0</v>
      </c>
    </row>
    <row r="1020" customFormat="false" ht="15" hidden="false" customHeight="false" outlineLevel="0" collapsed="false">
      <c r="A1020" s="3" t="n">
        <v>1019</v>
      </c>
      <c r="B1020" s="3" t="n">
        <v>1018</v>
      </c>
      <c r="C1020" s="3" t="n">
        <v>5</v>
      </c>
      <c r="D1020" s="3" t="n">
        <v>2</v>
      </c>
      <c r="E1020" s="3" t="n">
        <v>10</v>
      </c>
      <c r="F1020" s="24" t="n">
        <v>0</v>
      </c>
    </row>
    <row r="1021" customFormat="false" ht="15" hidden="false" customHeight="false" outlineLevel="0" collapsed="false">
      <c r="A1021" s="3" t="n">
        <v>1020</v>
      </c>
      <c r="B1021" s="3" t="n">
        <v>1019</v>
      </c>
      <c r="C1021" s="3" t="n">
        <v>5</v>
      </c>
      <c r="D1021" s="3" t="n">
        <v>2</v>
      </c>
      <c r="E1021" s="3" t="n">
        <v>11</v>
      </c>
      <c r="F1021" s="24" t="n">
        <v>0</v>
      </c>
    </row>
    <row r="1022" customFormat="false" ht="15" hidden="false" customHeight="false" outlineLevel="0" collapsed="false">
      <c r="A1022" s="3" t="n">
        <v>1021</v>
      </c>
      <c r="B1022" s="3" t="n">
        <v>1020</v>
      </c>
      <c r="C1022" s="3" t="n">
        <v>5</v>
      </c>
      <c r="D1022" s="3" t="n">
        <v>2</v>
      </c>
      <c r="E1022" s="3" t="n">
        <v>12</v>
      </c>
      <c r="F1022" s="24" t="n">
        <v>0</v>
      </c>
    </row>
    <row r="1023" customFormat="false" ht="15" hidden="false" customHeight="false" outlineLevel="0" collapsed="false">
      <c r="A1023" s="3" t="n">
        <v>1022</v>
      </c>
      <c r="B1023" s="3" t="n">
        <v>1021</v>
      </c>
      <c r="C1023" s="3" t="n">
        <v>5</v>
      </c>
      <c r="D1023" s="3" t="n">
        <v>2</v>
      </c>
      <c r="E1023" s="3" t="n">
        <v>13</v>
      </c>
      <c r="F1023" s="24" t="n">
        <v>0</v>
      </c>
    </row>
    <row r="1024" customFormat="false" ht="15" hidden="false" customHeight="false" outlineLevel="0" collapsed="false">
      <c r="A1024" s="3" t="n">
        <v>1023</v>
      </c>
      <c r="B1024" s="3" t="n">
        <v>1022</v>
      </c>
      <c r="C1024" s="3" t="n">
        <v>5</v>
      </c>
      <c r="D1024" s="3" t="n">
        <v>3</v>
      </c>
      <c r="E1024" s="3" t="n">
        <v>0</v>
      </c>
      <c r="F1024" s="24" t="n">
        <v>0</v>
      </c>
    </row>
    <row r="1025" customFormat="false" ht="15" hidden="false" customHeight="false" outlineLevel="0" collapsed="false">
      <c r="A1025" s="3" t="n">
        <v>1024</v>
      </c>
      <c r="B1025" s="3" t="n">
        <v>1023</v>
      </c>
      <c r="C1025" s="3" t="n">
        <v>5</v>
      </c>
      <c r="D1025" s="3" t="n">
        <v>3</v>
      </c>
      <c r="E1025" s="3" t="n">
        <v>1</v>
      </c>
      <c r="F1025" s="24" t="n">
        <v>0.324476361</v>
      </c>
    </row>
    <row r="1026" customFormat="false" ht="15" hidden="false" customHeight="false" outlineLevel="0" collapsed="false">
      <c r="A1026" s="3" t="n">
        <v>1025</v>
      </c>
      <c r="B1026" s="3" t="n">
        <v>1024</v>
      </c>
      <c r="C1026" s="3" t="n">
        <v>5</v>
      </c>
      <c r="D1026" s="3" t="n">
        <v>3</v>
      </c>
      <c r="E1026" s="3" t="n">
        <v>2</v>
      </c>
      <c r="F1026" s="24" t="n">
        <v>3.37207627</v>
      </c>
    </row>
    <row r="1027" customFormat="false" ht="15" hidden="false" customHeight="false" outlineLevel="0" collapsed="false">
      <c r="A1027" s="3" t="n">
        <v>1026</v>
      </c>
      <c r="B1027" s="3" t="n">
        <v>1025</v>
      </c>
      <c r="C1027" s="3" t="n">
        <v>5</v>
      </c>
      <c r="D1027" s="3" t="n">
        <v>3</v>
      </c>
      <c r="E1027" s="3" t="n">
        <v>3</v>
      </c>
      <c r="F1027" s="24" t="n">
        <v>8.08771038</v>
      </c>
    </row>
    <row r="1028" customFormat="false" ht="15" hidden="false" customHeight="false" outlineLevel="0" collapsed="false">
      <c r="A1028" s="3" t="n">
        <v>1027</v>
      </c>
      <c r="B1028" s="3" t="n">
        <v>1026</v>
      </c>
      <c r="C1028" s="3" t="n">
        <v>5</v>
      </c>
      <c r="D1028" s="3" t="n">
        <v>3</v>
      </c>
      <c r="E1028" s="3" t="n">
        <v>4</v>
      </c>
      <c r="F1028" s="24" t="n">
        <v>7.65097046</v>
      </c>
    </row>
    <row r="1029" customFormat="false" ht="15" hidden="false" customHeight="false" outlineLevel="0" collapsed="false">
      <c r="A1029" s="3" t="n">
        <v>1028</v>
      </c>
      <c r="B1029" s="3" t="n">
        <v>1027</v>
      </c>
      <c r="C1029" s="3" t="n">
        <v>5</v>
      </c>
      <c r="D1029" s="3" t="n">
        <v>3</v>
      </c>
      <c r="E1029" s="3" t="n">
        <v>5</v>
      </c>
      <c r="F1029" s="24" t="n">
        <v>3.66941929</v>
      </c>
    </row>
    <row r="1030" customFormat="false" ht="15" hidden="false" customHeight="false" outlineLevel="0" collapsed="false">
      <c r="A1030" s="3" t="n">
        <v>1029</v>
      </c>
      <c r="B1030" s="3" t="n">
        <v>1028</v>
      </c>
      <c r="C1030" s="3" t="n">
        <v>5</v>
      </c>
      <c r="D1030" s="3" t="n">
        <v>3</v>
      </c>
      <c r="E1030" s="3" t="n">
        <v>6</v>
      </c>
      <c r="F1030" s="24" t="n">
        <v>1.65264988</v>
      </c>
    </row>
    <row r="1031" customFormat="false" ht="15" hidden="false" customHeight="false" outlineLevel="0" collapsed="false">
      <c r="A1031" s="3" t="n">
        <v>1030</v>
      </c>
      <c r="B1031" s="3" t="n">
        <v>1029</v>
      </c>
      <c r="C1031" s="3" t="n">
        <v>5</v>
      </c>
      <c r="D1031" s="3" t="n">
        <v>3</v>
      </c>
      <c r="E1031" s="3" t="n">
        <v>7</v>
      </c>
      <c r="F1031" s="24" t="n">
        <v>1.564569</v>
      </c>
    </row>
    <row r="1032" customFormat="false" ht="15" hidden="false" customHeight="false" outlineLevel="0" collapsed="false">
      <c r="A1032" s="3" t="n">
        <v>1031</v>
      </c>
      <c r="B1032" s="3" t="n">
        <v>1030</v>
      </c>
      <c r="C1032" s="3" t="n">
        <v>5</v>
      </c>
      <c r="D1032" s="3" t="n">
        <v>3</v>
      </c>
      <c r="E1032" s="3" t="n">
        <v>8</v>
      </c>
      <c r="F1032" s="24" t="n">
        <v>1.93870425</v>
      </c>
    </row>
    <row r="1033" customFormat="false" ht="15" hidden="false" customHeight="false" outlineLevel="0" collapsed="false">
      <c r="A1033" s="3" t="n">
        <v>1032</v>
      </c>
      <c r="B1033" s="3" t="n">
        <v>1031</v>
      </c>
      <c r="C1033" s="3" t="n">
        <v>5</v>
      </c>
      <c r="D1033" s="3" t="n">
        <v>3</v>
      </c>
      <c r="E1033" s="3" t="n">
        <v>9</v>
      </c>
      <c r="F1033" s="24" t="n">
        <v>0.815054178</v>
      </c>
    </row>
    <row r="1034" customFormat="false" ht="15" hidden="false" customHeight="false" outlineLevel="0" collapsed="false">
      <c r="A1034" s="3" t="n">
        <v>1033</v>
      </c>
      <c r="B1034" s="3" t="n">
        <v>1032</v>
      </c>
      <c r="C1034" s="3" t="n">
        <v>5</v>
      </c>
      <c r="D1034" s="3" t="n">
        <v>3</v>
      </c>
      <c r="E1034" s="3" t="n">
        <v>10</v>
      </c>
      <c r="F1034" s="24" t="n">
        <v>0</v>
      </c>
    </row>
    <row r="1035" customFormat="false" ht="15" hidden="false" customHeight="false" outlineLevel="0" collapsed="false">
      <c r="A1035" s="3" t="n">
        <v>1034</v>
      </c>
      <c r="B1035" s="3" t="n">
        <v>1033</v>
      </c>
      <c r="C1035" s="3" t="n">
        <v>5</v>
      </c>
      <c r="D1035" s="3" t="n">
        <v>3</v>
      </c>
      <c r="E1035" s="3" t="n">
        <v>11</v>
      </c>
      <c r="F1035" s="24" t="n">
        <v>0</v>
      </c>
    </row>
    <row r="1036" customFormat="false" ht="15" hidden="false" customHeight="false" outlineLevel="0" collapsed="false">
      <c r="A1036" s="3" t="n">
        <v>1035</v>
      </c>
      <c r="B1036" s="3" t="n">
        <v>1034</v>
      </c>
      <c r="C1036" s="3" t="n">
        <v>5</v>
      </c>
      <c r="D1036" s="3" t="n">
        <v>3</v>
      </c>
      <c r="E1036" s="3" t="n">
        <v>12</v>
      </c>
      <c r="F1036" s="24" t="n">
        <v>0</v>
      </c>
    </row>
    <row r="1037" customFormat="false" ht="15" hidden="false" customHeight="false" outlineLevel="0" collapsed="false">
      <c r="A1037" s="3" t="n">
        <v>1036</v>
      </c>
      <c r="B1037" s="3" t="n">
        <v>1035</v>
      </c>
      <c r="C1037" s="3" t="n">
        <v>5</v>
      </c>
      <c r="D1037" s="3" t="n">
        <v>3</v>
      </c>
      <c r="E1037" s="3" t="n">
        <v>13</v>
      </c>
      <c r="F1037" s="24" t="n">
        <v>0</v>
      </c>
    </row>
    <row r="1038" customFormat="false" ht="15" hidden="false" customHeight="false" outlineLevel="0" collapsed="false">
      <c r="A1038" s="3" t="n">
        <v>1037</v>
      </c>
      <c r="B1038" s="3" t="n">
        <v>1036</v>
      </c>
      <c r="C1038" s="3" t="n">
        <v>5</v>
      </c>
      <c r="D1038" s="3" t="n">
        <v>4</v>
      </c>
      <c r="E1038" s="3" t="n">
        <v>0</v>
      </c>
      <c r="F1038" s="24" t="n">
        <v>0</v>
      </c>
    </row>
    <row r="1039" customFormat="false" ht="15" hidden="false" customHeight="false" outlineLevel="0" collapsed="false">
      <c r="A1039" s="3" t="n">
        <v>1038</v>
      </c>
      <c r="B1039" s="3" t="n">
        <v>1037</v>
      </c>
      <c r="C1039" s="3" t="n">
        <v>5</v>
      </c>
      <c r="D1039" s="3" t="n">
        <v>4</v>
      </c>
      <c r="E1039" s="3" t="n">
        <v>1</v>
      </c>
      <c r="F1039" s="24" t="n">
        <v>0</v>
      </c>
    </row>
    <row r="1040" customFormat="false" ht="15" hidden="false" customHeight="false" outlineLevel="0" collapsed="false">
      <c r="A1040" s="3" t="n">
        <v>1039</v>
      </c>
      <c r="B1040" s="3" t="n">
        <v>1038</v>
      </c>
      <c r="C1040" s="3" t="n">
        <v>5</v>
      </c>
      <c r="D1040" s="3" t="n">
        <v>4</v>
      </c>
      <c r="E1040" s="3" t="n">
        <v>2</v>
      </c>
      <c r="F1040" s="24" t="n">
        <v>0</v>
      </c>
    </row>
    <row r="1041" customFormat="false" ht="15" hidden="false" customHeight="false" outlineLevel="0" collapsed="false">
      <c r="A1041" s="3" t="n">
        <v>1040</v>
      </c>
      <c r="B1041" s="3" t="n">
        <v>1039</v>
      </c>
      <c r="C1041" s="3" t="n">
        <v>5</v>
      </c>
      <c r="D1041" s="3" t="n">
        <v>4</v>
      </c>
      <c r="E1041" s="3" t="n">
        <v>3</v>
      </c>
      <c r="F1041" s="24" t="n">
        <v>0</v>
      </c>
    </row>
    <row r="1042" customFormat="false" ht="15" hidden="false" customHeight="false" outlineLevel="0" collapsed="false">
      <c r="A1042" s="3" t="n">
        <v>1041</v>
      </c>
      <c r="B1042" s="3" t="n">
        <v>1040</v>
      </c>
      <c r="C1042" s="3" t="n">
        <v>5</v>
      </c>
      <c r="D1042" s="3" t="n">
        <v>4</v>
      </c>
      <c r="E1042" s="3" t="n">
        <v>4</v>
      </c>
      <c r="F1042" s="24" t="n">
        <v>5.36296272</v>
      </c>
    </row>
    <row r="1043" customFormat="false" ht="15" hidden="false" customHeight="false" outlineLevel="0" collapsed="false">
      <c r="A1043" s="3" t="n">
        <v>1042</v>
      </c>
      <c r="B1043" s="3" t="n">
        <v>1041</v>
      </c>
      <c r="C1043" s="3" t="n">
        <v>5</v>
      </c>
      <c r="D1043" s="3" t="n">
        <v>4</v>
      </c>
      <c r="E1043" s="3" t="n">
        <v>5</v>
      </c>
      <c r="F1043" s="24" t="n">
        <v>9.04720497</v>
      </c>
    </row>
    <row r="1044" customFormat="false" ht="15" hidden="false" customHeight="false" outlineLevel="0" collapsed="false">
      <c r="A1044" s="3" t="n">
        <v>1043</v>
      </c>
      <c r="B1044" s="3" t="n">
        <v>1042</v>
      </c>
      <c r="C1044" s="3" t="n">
        <v>5</v>
      </c>
      <c r="D1044" s="3" t="n">
        <v>4</v>
      </c>
      <c r="E1044" s="3" t="n">
        <v>6</v>
      </c>
      <c r="F1044" s="24" t="n">
        <v>8.76235104</v>
      </c>
    </row>
    <row r="1045" customFormat="false" ht="15" hidden="false" customHeight="false" outlineLevel="0" collapsed="false">
      <c r="A1045" s="3" t="n">
        <v>1044</v>
      </c>
      <c r="B1045" s="3" t="n">
        <v>1043</v>
      </c>
      <c r="C1045" s="3" t="n">
        <v>5</v>
      </c>
      <c r="D1045" s="3" t="n">
        <v>4</v>
      </c>
      <c r="E1045" s="3" t="n">
        <v>7</v>
      </c>
      <c r="F1045" s="24" t="n">
        <v>8.42131805</v>
      </c>
    </row>
    <row r="1046" customFormat="false" ht="15" hidden="false" customHeight="false" outlineLevel="0" collapsed="false">
      <c r="A1046" s="3" t="n">
        <v>1045</v>
      </c>
      <c r="B1046" s="3" t="n">
        <v>1044</v>
      </c>
      <c r="C1046" s="3" t="n">
        <v>5</v>
      </c>
      <c r="D1046" s="3" t="n">
        <v>4</v>
      </c>
      <c r="E1046" s="3" t="n">
        <v>8</v>
      </c>
      <c r="F1046" s="24" t="n">
        <v>8.44269466</v>
      </c>
    </row>
    <row r="1047" customFormat="false" ht="15" hidden="false" customHeight="false" outlineLevel="0" collapsed="false">
      <c r="A1047" s="3" t="n">
        <v>1046</v>
      </c>
      <c r="B1047" s="3" t="n">
        <v>1045</v>
      </c>
      <c r="C1047" s="3" t="n">
        <v>5</v>
      </c>
      <c r="D1047" s="3" t="n">
        <v>4</v>
      </c>
      <c r="E1047" s="3" t="n">
        <v>9</v>
      </c>
      <c r="F1047" s="24" t="n">
        <v>8.59503078</v>
      </c>
    </row>
    <row r="1048" customFormat="false" ht="15" hidden="false" customHeight="false" outlineLevel="0" collapsed="false">
      <c r="A1048" s="3" t="n">
        <v>1047</v>
      </c>
      <c r="B1048" s="3" t="n">
        <v>1046</v>
      </c>
      <c r="C1048" s="3" t="n">
        <v>5</v>
      </c>
      <c r="D1048" s="3" t="n">
        <v>4</v>
      </c>
      <c r="E1048" s="3" t="n">
        <v>10</v>
      </c>
      <c r="F1048" s="24" t="n">
        <v>5.13567686</v>
      </c>
    </row>
    <row r="1049" customFormat="false" ht="15" hidden="false" customHeight="false" outlineLevel="0" collapsed="false">
      <c r="A1049" s="3" t="n">
        <v>1048</v>
      </c>
      <c r="B1049" s="3" t="n">
        <v>1047</v>
      </c>
      <c r="C1049" s="3" t="n">
        <v>5</v>
      </c>
      <c r="D1049" s="3" t="n">
        <v>4</v>
      </c>
      <c r="E1049" s="3" t="n">
        <v>11</v>
      </c>
      <c r="F1049" s="24" t="n">
        <v>0.335021257</v>
      </c>
    </row>
    <row r="1050" customFormat="false" ht="15" hidden="false" customHeight="false" outlineLevel="0" collapsed="false">
      <c r="A1050" s="3" t="n">
        <v>1049</v>
      </c>
      <c r="B1050" s="3" t="n">
        <v>1048</v>
      </c>
      <c r="C1050" s="3" t="n">
        <v>5</v>
      </c>
      <c r="D1050" s="3" t="n">
        <v>4</v>
      </c>
      <c r="E1050" s="3" t="n">
        <v>12</v>
      </c>
      <c r="F1050" s="24" t="n">
        <v>0</v>
      </c>
    </row>
    <row r="1051" customFormat="false" ht="15" hidden="false" customHeight="false" outlineLevel="0" collapsed="false">
      <c r="A1051" s="3" t="n">
        <v>1050</v>
      </c>
      <c r="B1051" s="3" t="n">
        <v>1049</v>
      </c>
      <c r="C1051" s="3" t="n">
        <v>5</v>
      </c>
      <c r="D1051" s="3" t="n">
        <v>4</v>
      </c>
      <c r="E1051" s="3" t="n">
        <v>13</v>
      </c>
      <c r="F1051" s="24" t="n">
        <v>0</v>
      </c>
    </row>
    <row r="1052" customFormat="false" ht="15" hidden="false" customHeight="false" outlineLevel="0" collapsed="false">
      <c r="A1052" s="3" t="n">
        <v>1051</v>
      </c>
      <c r="B1052" s="3" t="n">
        <v>1050</v>
      </c>
      <c r="C1052" s="3" t="n">
        <v>5</v>
      </c>
      <c r="D1052" s="3" t="n">
        <v>5</v>
      </c>
      <c r="E1052" s="3" t="n">
        <v>0</v>
      </c>
      <c r="F1052" s="24" t="n">
        <v>0</v>
      </c>
    </row>
    <row r="1053" customFormat="false" ht="15" hidden="false" customHeight="false" outlineLevel="0" collapsed="false">
      <c r="A1053" s="3" t="n">
        <v>1052</v>
      </c>
      <c r="B1053" s="3" t="n">
        <v>1051</v>
      </c>
      <c r="C1053" s="3" t="n">
        <v>5</v>
      </c>
      <c r="D1053" s="3" t="n">
        <v>5</v>
      </c>
      <c r="E1053" s="3" t="n">
        <v>1</v>
      </c>
      <c r="F1053" s="24" t="n">
        <v>0</v>
      </c>
    </row>
    <row r="1054" customFormat="false" ht="15" hidden="false" customHeight="false" outlineLevel="0" collapsed="false">
      <c r="A1054" s="3" t="n">
        <v>1053</v>
      </c>
      <c r="B1054" s="3" t="n">
        <v>1052</v>
      </c>
      <c r="C1054" s="3" t="n">
        <v>5</v>
      </c>
      <c r="D1054" s="3" t="n">
        <v>5</v>
      </c>
      <c r="E1054" s="3" t="n">
        <v>2</v>
      </c>
      <c r="F1054" s="24" t="n">
        <v>0</v>
      </c>
    </row>
    <row r="1055" customFormat="false" ht="15" hidden="false" customHeight="false" outlineLevel="0" collapsed="false">
      <c r="A1055" s="3" t="n">
        <v>1054</v>
      </c>
      <c r="B1055" s="3" t="n">
        <v>1053</v>
      </c>
      <c r="C1055" s="3" t="n">
        <v>5</v>
      </c>
      <c r="D1055" s="3" t="n">
        <v>5</v>
      </c>
      <c r="E1055" s="3" t="n">
        <v>3</v>
      </c>
      <c r="F1055" s="24" t="n">
        <v>0</v>
      </c>
    </row>
    <row r="1056" customFormat="false" ht="15" hidden="false" customHeight="false" outlineLevel="0" collapsed="false">
      <c r="A1056" s="3" t="n">
        <v>1055</v>
      </c>
      <c r="B1056" s="3" t="n">
        <v>1054</v>
      </c>
      <c r="C1056" s="3" t="n">
        <v>5</v>
      </c>
      <c r="D1056" s="3" t="n">
        <v>5</v>
      </c>
      <c r="E1056" s="3" t="n">
        <v>4</v>
      </c>
      <c r="F1056" s="24" t="n">
        <v>0</v>
      </c>
    </row>
    <row r="1057" customFormat="false" ht="15" hidden="false" customHeight="false" outlineLevel="0" collapsed="false">
      <c r="A1057" s="3" t="n">
        <v>1056</v>
      </c>
      <c r="B1057" s="3" t="n">
        <v>1055</v>
      </c>
      <c r="C1057" s="3" t="n">
        <v>5</v>
      </c>
      <c r="D1057" s="3" t="n">
        <v>5</v>
      </c>
      <c r="E1057" s="3" t="n">
        <v>5</v>
      </c>
      <c r="F1057" s="24" t="n">
        <v>0</v>
      </c>
    </row>
    <row r="1058" customFormat="false" ht="15" hidden="false" customHeight="false" outlineLevel="0" collapsed="false">
      <c r="A1058" s="3" t="n">
        <v>1057</v>
      </c>
      <c r="B1058" s="3" t="n">
        <v>1056</v>
      </c>
      <c r="C1058" s="3" t="n">
        <v>5</v>
      </c>
      <c r="D1058" s="3" t="n">
        <v>5</v>
      </c>
      <c r="E1058" s="3" t="n">
        <v>6</v>
      </c>
      <c r="F1058" s="24" t="n">
        <v>0</v>
      </c>
    </row>
    <row r="1059" customFormat="false" ht="15" hidden="false" customHeight="false" outlineLevel="0" collapsed="false">
      <c r="A1059" s="3" t="n">
        <v>1058</v>
      </c>
      <c r="B1059" s="3" t="n">
        <v>1057</v>
      </c>
      <c r="C1059" s="3" t="n">
        <v>5</v>
      </c>
      <c r="D1059" s="3" t="n">
        <v>5</v>
      </c>
      <c r="E1059" s="3" t="n">
        <v>7</v>
      </c>
      <c r="F1059" s="24" t="n">
        <v>0.892360806</v>
      </c>
    </row>
    <row r="1060" customFormat="false" ht="15" hidden="false" customHeight="false" outlineLevel="0" collapsed="false">
      <c r="A1060" s="3" t="n">
        <v>1059</v>
      </c>
      <c r="B1060" s="3" t="n">
        <v>1058</v>
      </c>
      <c r="C1060" s="3" t="n">
        <v>5</v>
      </c>
      <c r="D1060" s="3" t="n">
        <v>5</v>
      </c>
      <c r="E1060" s="3" t="n">
        <v>8</v>
      </c>
      <c r="F1060" s="24" t="n">
        <v>0</v>
      </c>
    </row>
    <row r="1061" customFormat="false" ht="15" hidden="false" customHeight="false" outlineLevel="0" collapsed="false">
      <c r="A1061" s="3" t="n">
        <v>1060</v>
      </c>
      <c r="B1061" s="3" t="n">
        <v>1059</v>
      </c>
      <c r="C1061" s="3" t="n">
        <v>5</v>
      </c>
      <c r="D1061" s="3" t="n">
        <v>5</v>
      </c>
      <c r="E1061" s="3" t="n">
        <v>9</v>
      </c>
      <c r="F1061" s="24" t="n">
        <v>1.79967868</v>
      </c>
    </row>
    <row r="1062" customFormat="false" ht="15" hidden="false" customHeight="false" outlineLevel="0" collapsed="false">
      <c r="A1062" s="3" t="n">
        <v>1061</v>
      </c>
      <c r="B1062" s="3" t="n">
        <v>1060</v>
      </c>
      <c r="C1062" s="3" t="n">
        <v>5</v>
      </c>
      <c r="D1062" s="3" t="n">
        <v>5</v>
      </c>
      <c r="E1062" s="3" t="n">
        <v>10</v>
      </c>
      <c r="F1062" s="24" t="n">
        <v>2.42446041</v>
      </c>
    </row>
    <row r="1063" customFormat="false" ht="15" hidden="false" customHeight="false" outlineLevel="0" collapsed="false">
      <c r="A1063" s="3" t="n">
        <v>1062</v>
      </c>
      <c r="B1063" s="3" t="n">
        <v>1061</v>
      </c>
      <c r="C1063" s="3" t="n">
        <v>5</v>
      </c>
      <c r="D1063" s="3" t="n">
        <v>5</v>
      </c>
      <c r="E1063" s="3" t="n">
        <v>11</v>
      </c>
      <c r="F1063" s="24" t="n">
        <v>0.355429888</v>
      </c>
    </row>
    <row r="1064" customFormat="false" ht="15" hidden="false" customHeight="false" outlineLevel="0" collapsed="false">
      <c r="A1064" s="3" t="n">
        <v>1063</v>
      </c>
      <c r="B1064" s="3" t="n">
        <v>1062</v>
      </c>
      <c r="C1064" s="3" t="n">
        <v>5</v>
      </c>
      <c r="D1064" s="3" t="n">
        <v>5</v>
      </c>
      <c r="E1064" s="3" t="n">
        <v>12</v>
      </c>
      <c r="F1064" s="24" t="n">
        <v>0.0335896164</v>
      </c>
    </row>
    <row r="1065" customFormat="false" ht="15" hidden="false" customHeight="false" outlineLevel="0" collapsed="false">
      <c r="A1065" s="3" t="n">
        <v>1064</v>
      </c>
      <c r="B1065" s="3" t="n">
        <v>1063</v>
      </c>
      <c r="C1065" s="3" t="n">
        <v>5</v>
      </c>
      <c r="D1065" s="3" t="n">
        <v>5</v>
      </c>
      <c r="E1065" s="3" t="n">
        <v>13</v>
      </c>
      <c r="F1065" s="24" t="n">
        <v>0</v>
      </c>
    </row>
    <row r="1066" customFormat="false" ht="15" hidden="false" customHeight="false" outlineLevel="0" collapsed="false">
      <c r="A1066" s="3" t="n">
        <v>1065</v>
      </c>
      <c r="B1066" s="3" t="n">
        <v>1064</v>
      </c>
      <c r="C1066" s="3" t="n">
        <v>5</v>
      </c>
      <c r="D1066" s="3" t="n">
        <v>6</v>
      </c>
      <c r="E1066" s="3" t="n">
        <v>0</v>
      </c>
      <c r="F1066" s="24" t="n">
        <v>0</v>
      </c>
    </row>
    <row r="1067" customFormat="false" ht="15" hidden="false" customHeight="false" outlineLevel="0" collapsed="false">
      <c r="A1067" s="3" t="n">
        <v>1066</v>
      </c>
      <c r="B1067" s="3" t="n">
        <v>1065</v>
      </c>
      <c r="C1067" s="3" t="n">
        <v>5</v>
      </c>
      <c r="D1067" s="3" t="n">
        <v>6</v>
      </c>
      <c r="E1067" s="3" t="n">
        <v>1</v>
      </c>
      <c r="F1067" s="24" t="n">
        <v>0.0189483389</v>
      </c>
    </row>
    <row r="1068" customFormat="false" ht="15" hidden="false" customHeight="false" outlineLevel="0" collapsed="false">
      <c r="A1068" s="3" t="n">
        <v>1067</v>
      </c>
      <c r="B1068" s="3" t="n">
        <v>1066</v>
      </c>
      <c r="C1068" s="3" t="n">
        <v>5</v>
      </c>
      <c r="D1068" s="3" t="n">
        <v>6</v>
      </c>
      <c r="E1068" s="3" t="n">
        <v>2</v>
      </c>
      <c r="F1068" s="24" t="n">
        <v>0.204222918</v>
      </c>
    </row>
    <row r="1069" customFormat="false" ht="15" hidden="false" customHeight="false" outlineLevel="0" collapsed="false">
      <c r="A1069" s="3" t="n">
        <v>1068</v>
      </c>
      <c r="B1069" s="3" t="n">
        <v>1067</v>
      </c>
      <c r="C1069" s="3" t="n">
        <v>5</v>
      </c>
      <c r="D1069" s="3" t="n">
        <v>6</v>
      </c>
      <c r="E1069" s="3" t="n">
        <v>3</v>
      </c>
      <c r="F1069" s="24" t="n">
        <v>0</v>
      </c>
    </row>
    <row r="1070" customFormat="false" ht="15" hidden="false" customHeight="false" outlineLevel="0" collapsed="false">
      <c r="A1070" s="3" t="n">
        <v>1069</v>
      </c>
      <c r="B1070" s="3" t="n">
        <v>1068</v>
      </c>
      <c r="C1070" s="3" t="n">
        <v>5</v>
      </c>
      <c r="D1070" s="3" t="n">
        <v>6</v>
      </c>
      <c r="E1070" s="3" t="n">
        <v>4</v>
      </c>
      <c r="F1070" s="24" t="n">
        <v>0</v>
      </c>
    </row>
    <row r="1071" customFormat="false" ht="15" hidden="false" customHeight="false" outlineLevel="0" collapsed="false">
      <c r="A1071" s="3" t="n">
        <v>1070</v>
      </c>
      <c r="B1071" s="3" t="n">
        <v>1069</v>
      </c>
      <c r="C1071" s="3" t="n">
        <v>5</v>
      </c>
      <c r="D1071" s="3" t="n">
        <v>6</v>
      </c>
      <c r="E1071" s="3" t="n">
        <v>5</v>
      </c>
      <c r="F1071" s="24" t="n">
        <v>0</v>
      </c>
    </row>
    <row r="1072" customFormat="false" ht="15" hidden="false" customHeight="false" outlineLevel="0" collapsed="false">
      <c r="A1072" s="3" t="n">
        <v>1071</v>
      </c>
      <c r="B1072" s="3" t="n">
        <v>1070</v>
      </c>
      <c r="C1072" s="3" t="n">
        <v>5</v>
      </c>
      <c r="D1072" s="3" t="n">
        <v>6</v>
      </c>
      <c r="E1072" s="3" t="n">
        <v>6</v>
      </c>
      <c r="F1072" s="24" t="n">
        <v>0</v>
      </c>
    </row>
    <row r="1073" customFormat="false" ht="15" hidden="false" customHeight="false" outlineLevel="0" collapsed="false">
      <c r="A1073" s="3" t="n">
        <v>1072</v>
      </c>
      <c r="B1073" s="3" t="n">
        <v>1071</v>
      </c>
      <c r="C1073" s="3" t="n">
        <v>5</v>
      </c>
      <c r="D1073" s="3" t="n">
        <v>6</v>
      </c>
      <c r="E1073" s="3" t="n">
        <v>7</v>
      </c>
      <c r="F1073" s="24" t="n">
        <v>0</v>
      </c>
    </row>
    <row r="1074" customFormat="false" ht="15" hidden="false" customHeight="false" outlineLevel="0" collapsed="false">
      <c r="A1074" s="3" t="n">
        <v>1073</v>
      </c>
      <c r="B1074" s="3" t="n">
        <v>1072</v>
      </c>
      <c r="C1074" s="3" t="n">
        <v>5</v>
      </c>
      <c r="D1074" s="3" t="n">
        <v>6</v>
      </c>
      <c r="E1074" s="3" t="n">
        <v>8</v>
      </c>
      <c r="F1074" s="24" t="n">
        <v>0</v>
      </c>
    </row>
    <row r="1075" customFormat="false" ht="15" hidden="false" customHeight="false" outlineLevel="0" collapsed="false">
      <c r="A1075" s="3" t="n">
        <v>1074</v>
      </c>
      <c r="B1075" s="3" t="n">
        <v>1073</v>
      </c>
      <c r="C1075" s="3" t="n">
        <v>5</v>
      </c>
      <c r="D1075" s="3" t="n">
        <v>6</v>
      </c>
      <c r="E1075" s="3" t="n">
        <v>9</v>
      </c>
      <c r="F1075" s="24" t="n">
        <v>0</v>
      </c>
    </row>
    <row r="1076" customFormat="false" ht="15" hidden="false" customHeight="false" outlineLevel="0" collapsed="false">
      <c r="A1076" s="3" t="n">
        <v>1075</v>
      </c>
      <c r="B1076" s="3" t="n">
        <v>1074</v>
      </c>
      <c r="C1076" s="3" t="n">
        <v>5</v>
      </c>
      <c r="D1076" s="3" t="n">
        <v>6</v>
      </c>
      <c r="E1076" s="3" t="n">
        <v>10</v>
      </c>
      <c r="F1076" s="24" t="n">
        <v>0</v>
      </c>
    </row>
    <row r="1077" customFormat="false" ht="15" hidden="false" customHeight="false" outlineLevel="0" collapsed="false">
      <c r="A1077" s="3" t="n">
        <v>1076</v>
      </c>
      <c r="B1077" s="3" t="n">
        <v>1075</v>
      </c>
      <c r="C1077" s="3" t="n">
        <v>5</v>
      </c>
      <c r="D1077" s="3" t="n">
        <v>6</v>
      </c>
      <c r="E1077" s="3" t="n">
        <v>11</v>
      </c>
      <c r="F1077" s="24" t="n">
        <v>0</v>
      </c>
    </row>
    <row r="1078" customFormat="false" ht="15" hidden="false" customHeight="false" outlineLevel="0" collapsed="false">
      <c r="A1078" s="3" t="n">
        <v>1077</v>
      </c>
      <c r="B1078" s="3" t="n">
        <v>1076</v>
      </c>
      <c r="C1078" s="3" t="n">
        <v>5</v>
      </c>
      <c r="D1078" s="3" t="n">
        <v>6</v>
      </c>
      <c r="E1078" s="3" t="n">
        <v>12</v>
      </c>
      <c r="F1078" s="24" t="n">
        <v>0</v>
      </c>
    </row>
    <row r="1079" customFormat="false" ht="15" hidden="false" customHeight="false" outlineLevel="0" collapsed="false">
      <c r="A1079" s="3" t="n">
        <v>1078</v>
      </c>
      <c r="B1079" s="3" t="n">
        <v>1077</v>
      </c>
      <c r="C1079" s="3" t="n">
        <v>5</v>
      </c>
      <c r="D1079" s="3" t="n">
        <v>6</v>
      </c>
      <c r="E1079" s="3" t="n">
        <v>13</v>
      </c>
      <c r="F1079" s="24" t="n">
        <v>0</v>
      </c>
    </row>
    <row r="1080" customFormat="false" ht="15" hidden="false" customHeight="false" outlineLevel="0" collapsed="false">
      <c r="A1080" s="3" t="n">
        <v>1079</v>
      </c>
      <c r="B1080" s="3" t="n">
        <v>1078</v>
      </c>
      <c r="C1080" s="3" t="n">
        <v>5</v>
      </c>
      <c r="D1080" s="3" t="n">
        <v>7</v>
      </c>
      <c r="E1080" s="3" t="n">
        <v>0</v>
      </c>
      <c r="F1080" s="24" t="n">
        <v>0</v>
      </c>
    </row>
    <row r="1081" customFormat="false" ht="15" hidden="false" customHeight="false" outlineLevel="0" collapsed="false">
      <c r="A1081" s="3" t="n">
        <v>1080</v>
      </c>
      <c r="B1081" s="3" t="n">
        <v>1079</v>
      </c>
      <c r="C1081" s="3" t="n">
        <v>5</v>
      </c>
      <c r="D1081" s="3" t="n">
        <v>7</v>
      </c>
      <c r="E1081" s="3" t="n">
        <v>1</v>
      </c>
      <c r="F1081" s="24" t="n">
        <v>0</v>
      </c>
    </row>
    <row r="1082" customFormat="false" ht="15" hidden="false" customHeight="false" outlineLevel="0" collapsed="false">
      <c r="A1082" s="3" t="n">
        <v>1081</v>
      </c>
      <c r="B1082" s="3" t="n">
        <v>1080</v>
      </c>
      <c r="C1082" s="3" t="n">
        <v>5</v>
      </c>
      <c r="D1082" s="3" t="n">
        <v>7</v>
      </c>
      <c r="E1082" s="3" t="n">
        <v>2</v>
      </c>
      <c r="F1082" s="24" t="n">
        <v>0</v>
      </c>
    </row>
    <row r="1083" customFormat="false" ht="15" hidden="false" customHeight="false" outlineLevel="0" collapsed="false">
      <c r="A1083" s="3" t="n">
        <v>1082</v>
      </c>
      <c r="B1083" s="3" t="n">
        <v>1081</v>
      </c>
      <c r="C1083" s="3" t="n">
        <v>5</v>
      </c>
      <c r="D1083" s="3" t="n">
        <v>7</v>
      </c>
      <c r="E1083" s="3" t="n">
        <v>3</v>
      </c>
      <c r="F1083" s="24" t="n">
        <v>0</v>
      </c>
    </row>
    <row r="1084" customFormat="false" ht="15" hidden="false" customHeight="false" outlineLevel="0" collapsed="false">
      <c r="A1084" s="3" t="n">
        <v>1083</v>
      </c>
      <c r="B1084" s="3" t="n">
        <v>1082</v>
      </c>
      <c r="C1084" s="3" t="n">
        <v>5</v>
      </c>
      <c r="D1084" s="3" t="n">
        <v>7</v>
      </c>
      <c r="E1084" s="3" t="n">
        <v>4</v>
      </c>
      <c r="F1084" s="24" t="n">
        <v>0</v>
      </c>
    </row>
    <row r="1085" customFormat="false" ht="15" hidden="false" customHeight="false" outlineLevel="0" collapsed="false">
      <c r="A1085" s="3" t="n">
        <v>1084</v>
      </c>
      <c r="B1085" s="3" t="n">
        <v>1083</v>
      </c>
      <c r="C1085" s="3" t="n">
        <v>5</v>
      </c>
      <c r="D1085" s="3" t="n">
        <v>7</v>
      </c>
      <c r="E1085" s="3" t="n">
        <v>5</v>
      </c>
      <c r="F1085" s="24" t="n">
        <v>0.0188121721</v>
      </c>
    </row>
    <row r="1086" customFormat="false" ht="15" hidden="false" customHeight="false" outlineLevel="0" collapsed="false">
      <c r="A1086" s="3" t="n">
        <v>1085</v>
      </c>
      <c r="B1086" s="3" t="n">
        <v>1084</v>
      </c>
      <c r="C1086" s="3" t="n">
        <v>5</v>
      </c>
      <c r="D1086" s="3" t="n">
        <v>7</v>
      </c>
      <c r="E1086" s="3" t="n">
        <v>6</v>
      </c>
      <c r="F1086" s="24" t="n">
        <v>0.31953764</v>
      </c>
    </row>
    <row r="1087" customFormat="false" ht="15" hidden="false" customHeight="false" outlineLevel="0" collapsed="false">
      <c r="A1087" s="3" t="n">
        <v>1086</v>
      </c>
      <c r="B1087" s="3" t="n">
        <v>1085</v>
      </c>
      <c r="C1087" s="3" t="n">
        <v>5</v>
      </c>
      <c r="D1087" s="3" t="n">
        <v>7</v>
      </c>
      <c r="E1087" s="3" t="n">
        <v>7</v>
      </c>
      <c r="F1087" s="24" t="n">
        <v>0</v>
      </c>
    </row>
    <row r="1088" customFormat="false" ht="15" hidden="false" customHeight="false" outlineLevel="0" collapsed="false">
      <c r="A1088" s="3" t="n">
        <v>1087</v>
      </c>
      <c r="B1088" s="3" t="n">
        <v>1086</v>
      </c>
      <c r="C1088" s="3" t="n">
        <v>5</v>
      </c>
      <c r="D1088" s="3" t="n">
        <v>7</v>
      </c>
      <c r="E1088" s="3" t="n">
        <v>8</v>
      </c>
      <c r="F1088" s="24" t="n">
        <v>0</v>
      </c>
    </row>
    <row r="1089" customFormat="false" ht="15" hidden="false" customHeight="false" outlineLevel="0" collapsed="false">
      <c r="A1089" s="3" t="n">
        <v>1088</v>
      </c>
      <c r="B1089" s="3" t="n">
        <v>1087</v>
      </c>
      <c r="C1089" s="3" t="n">
        <v>5</v>
      </c>
      <c r="D1089" s="3" t="n">
        <v>7</v>
      </c>
      <c r="E1089" s="3" t="n">
        <v>9</v>
      </c>
      <c r="F1089" s="24" t="n">
        <v>0</v>
      </c>
    </row>
    <row r="1090" customFormat="false" ht="15" hidden="false" customHeight="false" outlineLevel="0" collapsed="false">
      <c r="A1090" s="3" t="n">
        <v>1089</v>
      </c>
      <c r="B1090" s="3" t="n">
        <v>1088</v>
      </c>
      <c r="C1090" s="3" t="n">
        <v>5</v>
      </c>
      <c r="D1090" s="3" t="n">
        <v>7</v>
      </c>
      <c r="E1090" s="3" t="n">
        <v>10</v>
      </c>
      <c r="F1090" s="24" t="n">
        <v>0</v>
      </c>
    </row>
    <row r="1091" customFormat="false" ht="15" hidden="false" customHeight="false" outlineLevel="0" collapsed="false">
      <c r="A1091" s="3" t="n">
        <v>1090</v>
      </c>
      <c r="B1091" s="3" t="n">
        <v>1089</v>
      </c>
      <c r="C1091" s="3" t="n">
        <v>5</v>
      </c>
      <c r="D1091" s="3" t="n">
        <v>7</v>
      </c>
      <c r="E1091" s="3" t="n">
        <v>11</v>
      </c>
      <c r="F1091" s="24" t="n">
        <v>0.154389948</v>
      </c>
    </row>
    <row r="1092" customFormat="false" ht="15" hidden="false" customHeight="false" outlineLevel="0" collapsed="false">
      <c r="A1092" s="3" t="n">
        <v>1091</v>
      </c>
      <c r="B1092" s="3" t="n">
        <v>1090</v>
      </c>
      <c r="C1092" s="3" t="n">
        <v>5</v>
      </c>
      <c r="D1092" s="3" t="n">
        <v>7</v>
      </c>
      <c r="E1092" s="3" t="n">
        <v>12</v>
      </c>
      <c r="F1092" s="24" t="n">
        <v>0</v>
      </c>
    </row>
    <row r="1093" customFormat="false" ht="15" hidden="false" customHeight="false" outlineLevel="0" collapsed="false">
      <c r="A1093" s="3" t="n">
        <v>1092</v>
      </c>
      <c r="B1093" s="3" t="n">
        <v>1091</v>
      </c>
      <c r="C1093" s="3" t="n">
        <v>5</v>
      </c>
      <c r="D1093" s="3" t="n">
        <v>7</v>
      </c>
      <c r="E1093" s="3" t="n">
        <v>13</v>
      </c>
      <c r="F1093" s="24" t="n">
        <v>0</v>
      </c>
    </row>
    <row r="1094" customFormat="false" ht="15" hidden="false" customHeight="false" outlineLevel="0" collapsed="false">
      <c r="A1094" s="3" t="n">
        <v>1093</v>
      </c>
      <c r="B1094" s="3" t="n">
        <v>1092</v>
      </c>
      <c r="C1094" s="3" t="n">
        <v>5</v>
      </c>
      <c r="D1094" s="3" t="n">
        <v>8</v>
      </c>
      <c r="E1094" s="3" t="n">
        <v>0</v>
      </c>
      <c r="F1094" s="24" t="n">
        <v>0</v>
      </c>
    </row>
    <row r="1095" customFormat="false" ht="15" hidden="false" customHeight="false" outlineLevel="0" collapsed="false">
      <c r="A1095" s="3" t="n">
        <v>1094</v>
      </c>
      <c r="B1095" s="3" t="n">
        <v>1093</v>
      </c>
      <c r="C1095" s="3" t="n">
        <v>5</v>
      </c>
      <c r="D1095" s="3" t="n">
        <v>8</v>
      </c>
      <c r="E1095" s="3" t="n">
        <v>1</v>
      </c>
      <c r="F1095" s="24" t="n">
        <v>0</v>
      </c>
    </row>
    <row r="1096" customFormat="false" ht="15" hidden="false" customHeight="false" outlineLevel="0" collapsed="false">
      <c r="A1096" s="3" t="n">
        <v>1095</v>
      </c>
      <c r="B1096" s="3" t="n">
        <v>1094</v>
      </c>
      <c r="C1096" s="3" t="n">
        <v>5</v>
      </c>
      <c r="D1096" s="3" t="n">
        <v>8</v>
      </c>
      <c r="E1096" s="3" t="n">
        <v>2</v>
      </c>
      <c r="F1096" s="24" t="n">
        <v>0</v>
      </c>
    </row>
    <row r="1097" customFormat="false" ht="15" hidden="false" customHeight="false" outlineLevel="0" collapsed="false">
      <c r="A1097" s="3" t="n">
        <v>1096</v>
      </c>
      <c r="B1097" s="3" t="n">
        <v>1095</v>
      </c>
      <c r="C1097" s="3" t="n">
        <v>5</v>
      </c>
      <c r="D1097" s="3" t="n">
        <v>8</v>
      </c>
      <c r="E1097" s="3" t="n">
        <v>3</v>
      </c>
      <c r="F1097" s="24" t="n">
        <v>0</v>
      </c>
    </row>
    <row r="1098" customFormat="false" ht="15" hidden="false" customHeight="false" outlineLevel="0" collapsed="false">
      <c r="A1098" s="3" t="n">
        <v>1097</v>
      </c>
      <c r="B1098" s="3" t="n">
        <v>1096</v>
      </c>
      <c r="C1098" s="3" t="n">
        <v>5</v>
      </c>
      <c r="D1098" s="3" t="n">
        <v>8</v>
      </c>
      <c r="E1098" s="3" t="n">
        <v>4</v>
      </c>
      <c r="F1098" s="24" t="n">
        <v>0</v>
      </c>
    </row>
    <row r="1099" customFormat="false" ht="15" hidden="false" customHeight="false" outlineLevel="0" collapsed="false">
      <c r="A1099" s="3" t="n">
        <v>1098</v>
      </c>
      <c r="B1099" s="3" t="n">
        <v>1097</v>
      </c>
      <c r="C1099" s="3" t="n">
        <v>5</v>
      </c>
      <c r="D1099" s="3" t="n">
        <v>8</v>
      </c>
      <c r="E1099" s="3" t="n">
        <v>5</v>
      </c>
      <c r="F1099" s="24" t="n">
        <v>0.795341432</v>
      </c>
    </row>
    <row r="1100" customFormat="false" ht="15" hidden="false" customHeight="false" outlineLevel="0" collapsed="false">
      <c r="A1100" s="3" t="n">
        <v>1099</v>
      </c>
      <c r="B1100" s="3" t="n">
        <v>1098</v>
      </c>
      <c r="C1100" s="3" t="n">
        <v>5</v>
      </c>
      <c r="D1100" s="3" t="n">
        <v>8</v>
      </c>
      <c r="E1100" s="3" t="n">
        <v>6</v>
      </c>
      <c r="F1100" s="24" t="n">
        <v>0</v>
      </c>
    </row>
    <row r="1101" customFormat="false" ht="15" hidden="false" customHeight="false" outlineLevel="0" collapsed="false">
      <c r="A1101" s="3" t="n">
        <v>1100</v>
      </c>
      <c r="B1101" s="3" t="n">
        <v>1099</v>
      </c>
      <c r="C1101" s="3" t="n">
        <v>5</v>
      </c>
      <c r="D1101" s="3" t="n">
        <v>8</v>
      </c>
      <c r="E1101" s="3" t="n">
        <v>7</v>
      </c>
      <c r="F1101" s="24" t="n">
        <v>0</v>
      </c>
    </row>
    <row r="1102" customFormat="false" ht="15" hidden="false" customHeight="false" outlineLevel="0" collapsed="false">
      <c r="A1102" s="3" t="n">
        <v>1101</v>
      </c>
      <c r="B1102" s="3" t="n">
        <v>1100</v>
      </c>
      <c r="C1102" s="3" t="n">
        <v>5</v>
      </c>
      <c r="D1102" s="3" t="n">
        <v>8</v>
      </c>
      <c r="E1102" s="3" t="n">
        <v>8</v>
      </c>
      <c r="F1102" s="24" t="n">
        <v>0</v>
      </c>
    </row>
    <row r="1103" customFormat="false" ht="15" hidden="false" customHeight="false" outlineLevel="0" collapsed="false">
      <c r="A1103" s="3" t="n">
        <v>1102</v>
      </c>
      <c r="B1103" s="3" t="n">
        <v>1101</v>
      </c>
      <c r="C1103" s="3" t="n">
        <v>5</v>
      </c>
      <c r="D1103" s="3" t="n">
        <v>8</v>
      </c>
      <c r="E1103" s="3" t="n">
        <v>9</v>
      </c>
      <c r="F1103" s="24" t="n">
        <v>0</v>
      </c>
    </row>
    <row r="1104" customFormat="false" ht="15" hidden="false" customHeight="false" outlineLevel="0" collapsed="false">
      <c r="A1104" s="3" t="n">
        <v>1103</v>
      </c>
      <c r="B1104" s="3" t="n">
        <v>1102</v>
      </c>
      <c r="C1104" s="3" t="n">
        <v>5</v>
      </c>
      <c r="D1104" s="3" t="n">
        <v>8</v>
      </c>
      <c r="E1104" s="3" t="n">
        <v>10</v>
      </c>
      <c r="F1104" s="24" t="n">
        <v>0</v>
      </c>
    </row>
    <row r="1105" customFormat="false" ht="15" hidden="false" customHeight="false" outlineLevel="0" collapsed="false">
      <c r="A1105" s="3" t="n">
        <v>1104</v>
      </c>
      <c r="B1105" s="3" t="n">
        <v>1103</v>
      </c>
      <c r="C1105" s="3" t="n">
        <v>5</v>
      </c>
      <c r="D1105" s="3" t="n">
        <v>8</v>
      </c>
      <c r="E1105" s="3" t="n">
        <v>11</v>
      </c>
      <c r="F1105" s="24" t="n">
        <v>0</v>
      </c>
    </row>
    <row r="1106" customFormat="false" ht="15" hidden="false" customHeight="false" outlineLevel="0" collapsed="false">
      <c r="A1106" s="3" t="n">
        <v>1105</v>
      </c>
      <c r="B1106" s="3" t="n">
        <v>1104</v>
      </c>
      <c r="C1106" s="3" t="n">
        <v>5</v>
      </c>
      <c r="D1106" s="3" t="n">
        <v>8</v>
      </c>
      <c r="E1106" s="3" t="n">
        <v>12</v>
      </c>
      <c r="F1106" s="24" t="n">
        <v>0</v>
      </c>
    </row>
    <row r="1107" customFormat="false" ht="15" hidden="false" customHeight="false" outlineLevel="0" collapsed="false">
      <c r="A1107" s="3" t="n">
        <v>1106</v>
      </c>
      <c r="B1107" s="3" t="n">
        <v>1105</v>
      </c>
      <c r="C1107" s="3" t="n">
        <v>5</v>
      </c>
      <c r="D1107" s="3" t="n">
        <v>8</v>
      </c>
      <c r="E1107" s="3" t="n">
        <v>13</v>
      </c>
      <c r="F1107" s="24" t="n">
        <v>0</v>
      </c>
    </row>
    <row r="1108" customFormat="false" ht="15" hidden="false" customHeight="false" outlineLevel="0" collapsed="false">
      <c r="A1108" s="3" t="n">
        <v>1107</v>
      </c>
      <c r="B1108" s="3" t="n">
        <v>1106</v>
      </c>
      <c r="C1108" s="3" t="n">
        <v>5</v>
      </c>
      <c r="D1108" s="3" t="n">
        <v>9</v>
      </c>
      <c r="E1108" s="3" t="n">
        <v>0</v>
      </c>
      <c r="F1108" s="24" t="n">
        <v>0</v>
      </c>
    </row>
    <row r="1109" customFormat="false" ht="15" hidden="false" customHeight="false" outlineLevel="0" collapsed="false">
      <c r="A1109" s="3" t="n">
        <v>1108</v>
      </c>
      <c r="B1109" s="3" t="n">
        <v>1107</v>
      </c>
      <c r="C1109" s="3" t="n">
        <v>5</v>
      </c>
      <c r="D1109" s="3" t="n">
        <v>9</v>
      </c>
      <c r="E1109" s="3" t="n">
        <v>1</v>
      </c>
      <c r="F1109" s="24" t="n">
        <v>0</v>
      </c>
    </row>
    <row r="1110" customFormat="false" ht="15" hidden="false" customHeight="false" outlineLevel="0" collapsed="false">
      <c r="A1110" s="3" t="n">
        <v>1109</v>
      </c>
      <c r="B1110" s="3" t="n">
        <v>1108</v>
      </c>
      <c r="C1110" s="3" t="n">
        <v>5</v>
      </c>
      <c r="D1110" s="3" t="n">
        <v>9</v>
      </c>
      <c r="E1110" s="3" t="n">
        <v>2</v>
      </c>
      <c r="F1110" s="24" t="n">
        <v>0</v>
      </c>
    </row>
    <row r="1111" customFormat="false" ht="15" hidden="false" customHeight="false" outlineLevel="0" collapsed="false">
      <c r="A1111" s="3" t="n">
        <v>1110</v>
      </c>
      <c r="B1111" s="3" t="n">
        <v>1109</v>
      </c>
      <c r="C1111" s="3" t="n">
        <v>5</v>
      </c>
      <c r="D1111" s="3" t="n">
        <v>9</v>
      </c>
      <c r="E1111" s="3" t="n">
        <v>3</v>
      </c>
      <c r="F1111" s="24" t="n">
        <v>0</v>
      </c>
    </row>
    <row r="1112" customFormat="false" ht="15" hidden="false" customHeight="false" outlineLevel="0" collapsed="false">
      <c r="A1112" s="3" t="n">
        <v>1111</v>
      </c>
      <c r="B1112" s="3" t="n">
        <v>1110</v>
      </c>
      <c r="C1112" s="3" t="n">
        <v>5</v>
      </c>
      <c r="D1112" s="3" t="n">
        <v>9</v>
      </c>
      <c r="E1112" s="3" t="n">
        <v>4</v>
      </c>
      <c r="F1112" s="24" t="n">
        <v>0.168337405</v>
      </c>
    </row>
    <row r="1113" customFormat="false" ht="15" hidden="false" customHeight="false" outlineLevel="0" collapsed="false">
      <c r="A1113" s="3" t="n">
        <v>1112</v>
      </c>
      <c r="B1113" s="3" t="n">
        <v>1111</v>
      </c>
      <c r="C1113" s="3" t="n">
        <v>5</v>
      </c>
      <c r="D1113" s="3" t="n">
        <v>9</v>
      </c>
      <c r="E1113" s="3" t="n">
        <v>5</v>
      </c>
      <c r="F1113" s="24" t="n">
        <v>0.0906885043</v>
      </c>
    </row>
    <row r="1114" customFormat="false" ht="15" hidden="false" customHeight="false" outlineLevel="0" collapsed="false">
      <c r="A1114" s="3" t="n">
        <v>1113</v>
      </c>
      <c r="B1114" s="3" t="n">
        <v>1112</v>
      </c>
      <c r="C1114" s="3" t="n">
        <v>5</v>
      </c>
      <c r="D1114" s="3" t="n">
        <v>9</v>
      </c>
      <c r="E1114" s="3" t="n">
        <v>6</v>
      </c>
      <c r="F1114" s="24" t="n">
        <v>0</v>
      </c>
    </row>
    <row r="1115" customFormat="false" ht="15" hidden="false" customHeight="false" outlineLevel="0" collapsed="false">
      <c r="A1115" s="3" t="n">
        <v>1114</v>
      </c>
      <c r="B1115" s="3" t="n">
        <v>1113</v>
      </c>
      <c r="C1115" s="3" t="n">
        <v>5</v>
      </c>
      <c r="D1115" s="3" t="n">
        <v>9</v>
      </c>
      <c r="E1115" s="3" t="n">
        <v>7</v>
      </c>
      <c r="F1115" s="24" t="n">
        <v>0</v>
      </c>
    </row>
    <row r="1116" customFormat="false" ht="15" hidden="false" customHeight="false" outlineLevel="0" collapsed="false">
      <c r="A1116" s="3" t="n">
        <v>1115</v>
      </c>
      <c r="B1116" s="3" t="n">
        <v>1114</v>
      </c>
      <c r="C1116" s="3" t="n">
        <v>5</v>
      </c>
      <c r="D1116" s="3" t="n">
        <v>9</v>
      </c>
      <c r="E1116" s="3" t="n">
        <v>8</v>
      </c>
      <c r="F1116" s="24" t="n">
        <v>0</v>
      </c>
    </row>
    <row r="1117" customFormat="false" ht="15" hidden="false" customHeight="false" outlineLevel="0" collapsed="false">
      <c r="A1117" s="3" t="n">
        <v>1116</v>
      </c>
      <c r="B1117" s="3" t="n">
        <v>1115</v>
      </c>
      <c r="C1117" s="3" t="n">
        <v>5</v>
      </c>
      <c r="D1117" s="3" t="n">
        <v>9</v>
      </c>
      <c r="E1117" s="3" t="n">
        <v>9</v>
      </c>
      <c r="F1117" s="24" t="n">
        <v>0</v>
      </c>
    </row>
    <row r="1118" customFormat="false" ht="15" hidden="false" customHeight="false" outlineLevel="0" collapsed="false">
      <c r="A1118" s="3" t="n">
        <v>1117</v>
      </c>
      <c r="B1118" s="3" t="n">
        <v>1116</v>
      </c>
      <c r="C1118" s="3" t="n">
        <v>5</v>
      </c>
      <c r="D1118" s="3" t="n">
        <v>9</v>
      </c>
      <c r="E1118" s="3" t="n">
        <v>10</v>
      </c>
      <c r="F1118" s="24" t="n">
        <v>0.0388988554</v>
      </c>
    </row>
    <row r="1119" customFormat="false" ht="15" hidden="false" customHeight="false" outlineLevel="0" collapsed="false">
      <c r="A1119" s="3" t="n">
        <v>1118</v>
      </c>
      <c r="B1119" s="3" t="n">
        <v>1117</v>
      </c>
      <c r="C1119" s="3" t="n">
        <v>5</v>
      </c>
      <c r="D1119" s="3" t="n">
        <v>9</v>
      </c>
      <c r="E1119" s="3" t="n">
        <v>11</v>
      </c>
      <c r="F1119" s="24" t="n">
        <v>0</v>
      </c>
    </row>
    <row r="1120" customFormat="false" ht="15" hidden="false" customHeight="false" outlineLevel="0" collapsed="false">
      <c r="A1120" s="3" t="n">
        <v>1119</v>
      </c>
      <c r="B1120" s="3" t="n">
        <v>1118</v>
      </c>
      <c r="C1120" s="3" t="n">
        <v>5</v>
      </c>
      <c r="D1120" s="3" t="n">
        <v>9</v>
      </c>
      <c r="E1120" s="3" t="n">
        <v>12</v>
      </c>
      <c r="F1120" s="24" t="n">
        <v>0</v>
      </c>
    </row>
    <row r="1121" customFormat="false" ht="15" hidden="false" customHeight="false" outlineLevel="0" collapsed="false">
      <c r="A1121" s="3" t="n">
        <v>1120</v>
      </c>
      <c r="B1121" s="3" t="n">
        <v>1119</v>
      </c>
      <c r="C1121" s="3" t="n">
        <v>5</v>
      </c>
      <c r="D1121" s="3" t="n">
        <v>9</v>
      </c>
      <c r="E1121" s="3" t="n">
        <v>13</v>
      </c>
      <c r="F1121" s="24" t="n">
        <v>0</v>
      </c>
    </row>
    <row r="1122" customFormat="false" ht="15" hidden="false" customHeight="false" outlineLevel="0" collapsed="false">
      <c r="A1122" s="3" t="n">
        <v>1121</v>
      </c>
      <c r="B1122" s="3" t="n">
        <v>1120</v>
      </c>
      <c r="C1122" s="3" t="n">
        <v>5</v>
      </c>
      <c r="D1122" s="3" t="n">
        <v>10</v>
      </c>
      <c r="E1122" s="3" t="n">
        <v>0</v>
      </c>
      <c r="F1122" s="24" t="n">
        <v>0</v>
      </c>
    </row>
    <row r="1123" customFormat="false" ht="15" hidden="false" customHeight="false" outlineLevel="0" collapsed="false">
      <c r="A1123" s="3" t="n">
        <v>1122</v>
      </c>
      <c r="B1123" s="3" t="n">
        <v>1121</v>
      </c>
      <c r="C1123" s="3" t="n">
        <v>5</v>
      </c>
      <c r="D1123" s="3" t="n">
        <v>10</v>
      </c>
      <c r="E1123" s="3" t="n">
        <v>1</v>
      </c>
      <c r="F1123" s="24" t="n">
        <v>0</v>
      </c>
    </row>
    <row r="1124" customFormat="false" ht="15" hidden="false" customHeight="false" outlineLevel="0" collapsed="false">
      <c r="A1124" s="3" t="n">
        <v>1123</v>
      </c>
      <c r="B1124" s="3" t="n">
        <v>1122</v>
      </c>
      <c r="C1124" s="3" t="n">
        <v>5</v>
      </c>
      <c r="D1124" s="3" t="n">
        <v>10</v>
      </c>
      <c r="E1124" s="3" t="n">
        <v>2</v>
      </c>
      <c r="F1124" s="24" t="n">
        <v>0</v>
      </c>
    </row>
    <row r="1125" customFormat="false" ht="15" hidden="false" customHeight="false" outlineLevel="0" collapsed="false">
      <c r="A1125" s="3" t="n">
        <v>1124</v>
      </c>
      <c r="B1125" s="3" t="n">
        <v>1123</v>
      </c>
      <c r="C1125" s="3" t="n">
        <v>5</v>
      </c>
      <c r="D1125" s="3" t="n">
        <v>10</v>
      </c>
      <c r="E1125" s="3" t="n">
        <v>3</v>
      </c>
      <c r="F1125" s="24" t="n">
        <v>0</v>
      </c>
    </row>
    <row r="1126" customFormat="false" ht="15" hidden="false" customHeight="false" outlineLevel="0" collapsed="false">
      <c r="A1126" s="3" t="n">
        <v>1125</v>
      </c>
      <c r="B1126" s="3" t="n">
        <v>1124</v>
      </c>
      <c r="C1126" s="3" t="n">
        <v>5</v>
      </c>
      <c r="D1126" s="3" t="n">
        <v>10</v>
      </c>
      <c r="E1126" s="3" t="n">
        <v>4</v>
      </c>
      <c r="F1126" s="24" t="n">
        <v>0.946763694</v>
      </c>
    </row>
    <row r="1127" customFormat="false" ht="15" hidden="false" customHeight="false" outlineLevel="0" collapsed="false">
      <c r="A1127" s="3" t="n">
        <v>1126</v>
      </c>
      <c r="B1127" s="3" t="n">
        <v>1125</v>
      </c>
      <c r="C1127" s="3" t="n">
        <v>5</v>
      </c>
      <c r="D1127" s="3" t="n">
        <v>10</v>
      </c>
      <c r="E1127" s="3" t="n">
        <v>5</v>
      </c>
      <c r="F1127" s="24" t="n">
        <v>0</v>
      </c>
    </row>
    <row r="1128" customFormat="false" ht="15" hidden="false" customHeight="false" outlineLevel="0" collapsed="false">
      <c r="A1128" s="3" t="n">
        <v>1127</v>
      </c>
      <c r="B1128" s="3" t="n">
        <v>1126</v>
      </c>
      <c r="C1128" s="3" t="n">
        <v>5</v>
      </c>
      <c r="D1128" s="3" t="n">
        <v>10</v>
      </c>
      <c r="E1128" s="3" t="n">
        <v>6</v>
      </c>
      <c r="F1128" s="24" t="n">
        <v>0</v>
      </c>
    </row>
    <row r="1129" customFormat="false" ht="15" hidden="false" customHeight="false" outlineLevel="0" collapsed="false">
      <c r="A1129" s="3" t="n">
        <v>1128</v>
      </c>
      <c r="B1129" s="3" t="n">
        <v>1127</v>
      </c>
      <c r="C1129" s="3" t="n">
        <v>5</v>
      </c>
      <c r="D1129" s="3" t="n">
        <v>10</v>
      </c>
      <c r="E1129" s="3" t="n">
        <v>7</v>
      </c>
      <c r="F1129" s="24" t="n">
        <v>0</v>
      </c>
    </row>
    <row r="1130" customFormat="false" ht="15" hidden="false" customHeight="false" outlineLevel="0" collapsed="false">
      <c r="A1130" s="3" t="n">
        <v>1129</v>
      </c>
      <c r="B1130" s="3" t="n">
        <v>1128</v>
      </c>
      <c r="C1130" s="3" t="n">
        <v>5</v>
      </c>
      <c r="D1130" s="3" t="n">
        <v>10</v>
      </c>
      <c r="E1130" s="3" t="n">
        <v>8</v>
      </c>
      <c r="F1130" s="24" t="n">
        <v>0</v>
      </c>
    </row>
    <row r="1131" customFormat="false" ht="15" hidden="false" customHeight="false" outlineLevel="0" collapsed="false">
      <c r="A1131" s="3" t="n">
        <v>1130</v>
      </c>
      <c r="B1131" s="3" t="n">
        <v>1129</v>
      </c>
      <c r="C1131" s="3" t="n">
        <v>5</v>
      </c>
      <c r="D1131" s="3" t="n">
        <v>10</v>
      </c>
      <c r="E1131" s="3" t="n">
        <v>9</v>
      </c>
      <c r="F1131" s="24" t="n">
        <v>0</v>
      </c>
    </row>
    <row r="1132" customFormat="false" ht="15" hidden="false" customHeight="false" outlineLevel="0" collapsed="false">
      <c r="A1132" s="3" t="n">
        <v>1131</v>
      </c>
      <c r="B1132" s="3" t="n">
        <v>1130</v>
      </c>
      <c r="C1132" s="3" t="n">
        <v>5</v>
      </c>
      <c r="D1132" s="3" t="n">
        <v>10</v>
      </c>
      <c r="E1132" s="3" t="n">
        <v>10</v>
      </c>
      <c r="F1132" s="24" t="n">
        <v>0</v>
      </c>
    </row>
    <row r="1133" customFormat="false" ht="15" hidden="false" customHeight="false" outlineLevel="0" collapsed="false">
      <c r="A1133" s="3" t="n">
        <v>1132</v>
      </c>
      <c r="B1133" s="3" t="n">
        <v>1131</v>
      </c>
      <c r="C1133" s="3" t="n">
        <v>5</v>
      </c>
      <c r="D1133" s="3" t="n">
        <v>10</v>
      </c>
      <c r="E1133" s="3" t="n">
        <v>11</v>
      </c>
      <c r="F1133" s="24" t="n">
        <v>0</v>
      </c>
    </row>
    <row r="1134" customFormat="false" ht="15" hidden="false" customHeight="false" outlineLevel="0" collapsed="false">
      <c r="A1134" s="3" t="n">
        <v>1133</v>
      </c>
      <c r="B1134" s="3" t="n">
        <v>1132</v>
      </c>
      <c r="C1134" s="3" t="n">
        <v>5</v>
      </c>
      <c r="D1134" s="3" t="n">
        <v>10</v>
      </c>
      <c r="E1134" s="3" t="n">
        <v>12</v>
      </c>
      <c r="F1134" s="24" t="n">
        <v>0</v>
      </c>
    </row>
    <row r="1135" customFormat="false" ht="15" hidden="false" customHeight="false" outlineLevel="0" collapsed="false">
      <c r="A1135" s="3" t="n">
        <v>1134</v>
      </c>
      <c r="B1135" s="3" t="n">
        <v>1133</v>
      </c>
      <c r="C1135" s="3" t="n">
        <v>5</v>
      </c>
      <c r="D1135" s="3" t="n">
        <v>10</v>
      </c>
      <c r="E1135" s="3" t="n">
        <v>13</v>
      </c>
      <c r="F1135" s="24" t="n">
        <v>0</v>
      </c>
    </row>
    <row r="1136" customFormat="false" ht="15" hidden="false" customHeight="false" outlineLevel="0" collapsed="false">
      <c r="A1136" s="3" t="n">
        <v>1135</v>
      </c>
      <c r="B1136" s="3" t="n">
        <v>1134</v>
      </c>
      <c r="C1136" s="3" t="n">
        <v>5</v>
      </c>
      <c r="D1136" s="3" t="n">
        <v>11</v>
      </c>
      <c r="E1136" s="3" t="n">
        <v>0</v>
      </c>
      <c r="F1136" s="24" t="n">
        <v>0</v>
      </c>
    </row>
    <row r="1137" customFormat="false" ht="15" hidden="false" customHeight="false" outlineLevel="0" collapsed="false">
      <c r="A1137" s="3" t="n">
        <v>1136</v>
      </c>
      <c r="B1137" s="3" t="n">
        <v>1135</v>
      </c>
      <c r="C1137" s="3" t="n">
        <v>5</v>
      </c>
      <c r="D1137" s="3" t="n">
        <v>11</v>
      </c>
      <c r="E1137" s="3" t="n">
        <v>1</v>
      </c>
      <c r="F1137" s="24" t="n">
        <v>0</v>
      </c>
    </row>
    <row r="1138" customFormat="false" ht="15" hidden="false" customHeight="false" outlineLevel="0" collapsed="false">
      <c r="A1138" s="3" t="n">
        <v>1137</v>
      </c>
      <c r="B1138" s="3" t="n">
        <v>1136</v>
      </c>
      <c r="C1138" s="3" t="n">
        <v>5</v>
      </c>
      <c r="D1138" s="3" t="n">
        <v>11</v>
      </c>
      <c r="E1138" s="3" t="n">
        <v>2</v>
      </c>
      <c r="F1138" s="24" t="n">
        <v>0</v>
      </c>
    </row>
    <row r="1139" customFormat="false" ht="15" hidden="false" customHeight="false" outlineLevel="0" collapsed="false">
      <c r="A1139" s="3" t="n">
        <v>1138</v>
      </c>
      <c r="B1139" s="3" t="n">
        <v>1137</v>
      </c>
      <c r="C1139" s="3" t="n">
        <v>5</v>
      </c>
      <c r="D1139" s="3" t="n">
        <v>11</v>
      </c>
      <c r="E1139" s="3" t="n">
        <v>3</v>
      </c>
      <c r="F1139" s="24" t="n">
        <v>0.137062669</v>
      </c>
    </row>
    <row r="1140" customFormat="false" ht="15" hidden="false" customHeight="false" outlineLevel="0" collapsed="false">
      <c r="A1140" s="3" t="n">
        <v>1139</v>
      </c>
      <c r="B1140" s="3" t="n">
        <v>1138</v>
      </c>
      <c r="C1140" s="3" t="n">
        <v>5</v>
      </c>
      <c r="D1140" s="3" t="n">
        <v>11</v>
      </c>
      <c r="E1140" s="3" t="n">
        <v>4</v>
      </c>
      <c r="F1140" s="24" t="n">
        <v>0.473896503</v>
      </c>
    </row>
    <row r="1141" customFormat="false" ht="15" hidden="false" customHeight="false" outlineLevel="0" collapsed="false">
      <c r="A1141" s="3" t="n">
        <v>1140</v>
      </c>
      <c r="B1141" s="3" t="n">
        <v>1139</v>
      </c>
      <c r="C1141" s="3" t="n">
        <v>5</v>
      </c>
      <c r="D1141" s="3" t="n">
        <v>11</v>
      </c>
      <c r="E1141" s="3" t="n">
        <v>5</v>
      </c>
      <c r="F1141" s="24" t="n">
        <v>0.680238843</v>
      </c>
    </row>
    <row r="1142" customFormat="false" ht="15" hidden="false" customHeight="false" outlineLevel="0" collapsed="false">
      <c r="A1142" s="3" t="n">
        <v>1141</v>
      </c>
      <c r="B1142" s="3" t="n">
        <v>1140</v>
      </c>
      <c r="C1142" s="3" t="n">
        <v>5</v>
      </c>
      <c r="D1142" s="3" t="n">
        <v>11</v>
      </c>
      <c r="E1142" s="3" t="n">
        <v>6</v>
      </c>
      <c r="F1142" s="24" t="n">
        <v>1.27654672</v>
      </c>
    </row>
    <row r="1143" customFormat="false" ht="15" hidden="false" customHeight="false" outlineLevel="0" collapsed="false">
      <c r="A1143" s="3" t="n">
        <v>1142</v>
      </c>
      <c r="B1143" s="3" t="n">
        <v>1141</v>
      </c>
      <c r="C1143" s="3" t="n">
        <v>5</v>
      </c>
      <c r="D1143" s="3" t="n">
        <v>11</v>
      </c>
      <c r="E1143" s="3" t="n">
        <v>7</v>
      </c>
      <c r="F1143" s="24" t="n">
        <v>0</v>
      </c>
    </row>
    <row r="1144" customFormat="false" ht="15" hidden="false" customHeight="false" outlineLevel="0" collapsed="false">
      <c r="A1144" s="3" t="n">
        <v>1143</v>
      </c>
      <c r="B1144" s="3" t="n">
        <v>1142</v>
      </c>
      <c r="C1144" s="3" t="n">
        <v>5</v>
      </c>
      <c r="D1144" s="3" t="n">
        <v>11</v>
      </c>
      <c r="E1144" s="3" t="n">
        <v>8</v>
      </c>
      <c r="F1144" s="24" t="n">
        <v>0</v>
      </c>
    </row>
    <row r="1145" customFormat="false" ht="15" hidden="false" customHeight="false" outlineLevel="0" collapsed="false">
      <c r="A1145" s="3" t="n">
        <v>1144</v>
      </c>
      <c r="B1145" s="3" t="n">
        <v>1143</v>
      </c>
      <c r="C1145" s="3" t="n">
        <v>5</v>
      </c>
      <c r="D1145" s="3" t="n">
        <v>11</v>
      </c>
      <c r="E1145" s="3" t="n">
        <v>9</v>
      </c>
      <c r="F1145" s="24" t="n">
        <v>0</v>
      </c>
    </row>
    <row r="1146" customFormat="false" ht="15" hidden="false" customHeight="false" outlineLevel="0" collapsed="false">
      <c r="A1146" s="3" t="n">
        <v>1145</v>
      </c>
      <c r="B1146" s="3" t="n">
        <v>1144</v>
      </c>
      <c r="C1146" s="3" t="n">
        <v>5</v>
      </c>
      <c r="D1146" s="3" t="n">
        <v>11</v>
      </c>
      <c r="E1146" s="3" t="n">
        <v>10</v>
      </c>
      <c r="F1146" s="24" t="n">
        <v>0</v>
      </c>
    </row>
    <row r="1147" customFormat="false" ht="15" hidden="false" customHeight="false" outlineLevel="0" collapsed="false">
      <c r="A1147" s="3" t="n">
        <v>1146</v>
      </c>
      <c r="B1147" s="3" t="n">
        <v>1145</v>
      </c>
      <c r="C1147" s="3" t="n">
        <v>5</v>
      </c>
      <c r="D1147" s="3" t="n">
        <v>11</v>
      </c>
      <c r="E1147" s="3" t="n">
        <v>11</v>
      </c>
      <c r="F1147" s="24" t="n">
        <v>0</v>
      </c>
    </row>
    <row r="1148" customFormat="false" ht="15" hidden="false" customHeight="false" outlineLevel="0" collapsed="false">
      <c r="A1148" s="3" t="n">
        <v>1147</v>
      </c>
      <c r="B1148" s="3" t="n">
        <v>1146</v>
      </c>
      <c r="C1148" s="3" t="n">
        <v>5</v>
      </c>
      <c r="D1148" s="3" t="n">
        <v>11</v>
      </c>
      <c r="E1148" s="3" t="n">
        <v>12</v>
      </c>
      <c r="F1148" s="24" t="n">
        <v>0</v>
      </c>
    </row>
    <row r="1149" customFormat="false" ht="15" hidden="false" customHeight="false" outlineLevel="0" collapsed="false">
      <c r="A1149" s="3" t="n">
        <v>1148</v>
      </c>
      <c r="B1149" s="3" t="n">
        <v>1147</v>
      </c>
      <c r="C1149" s="3" t="n">
        <v>5</v>
      </c>
      <c r="D1149" s="3" t="n">
        <v>11</v>
      </c>
      <c r="E1149" s="3" t="n">
        <v>13</v>
      </c>
      <c r="F1149" s="24" t="n">
        <v>0</v>
      </c>
    </row>
    <row r="1150" customFormat="false" ht="15" hidden="false" customHeight="false" outlineLevel="0" collapsed="false">
      <c r="A1150" s="3" t="n">
        <v>1149</v>
      </c>
      <c r="B1150" s="3" t="n">
        <v>1148</v>
      </c>
      <c r="C1150" s="3" t="n">
        <v>5</v>
      </c>
      <c r="D1150" s="3" t="n">
        <v>12</v>
      </c>
      <c r="E1150" s="3" t="n">
        <v>0</v>
      </c>
      <c r="F1150" s="24" t="n">
        <v>0</v>
      </c>
    </row>
    <row r="1151" customFormat="false" ht="15" hidden="false" customHeight="false" outlineLevel="0" collapsed="false">
      <c r="A1151" s="3" t="n">
        <v>1150</v>
      </c>
      <c r="B1151" s="3" t="n">
        <v>1149</v>
      </c>
      <c r="C1151" s="3" t="n">
        <v>5</v>
      </c>
      <c r="D1151" s="3" t="n">
        <v>12</v>
      </c>
      <c r="E1151" s="3" t="n">
        <v>1</v>
      </c>
      <c r="F1151" s="24" t="n">
        <v>0</v>
      </c>
    </row>
    <row r="1152" customFormat="false" ht="15" hidden="false" customHeight="false" outlineLevel="0" collapsed="false">
      <c r="A1152" s="3" t="n">
        <v>1151</v>
      </c>
      <c r="B1152" s="3" t="n">
        <v>1150</v>
      </c>
      <c r="C1152" s="3" t="n">
        <v>5</v>
      </c>
      <c r="D1152" s="3" t="n">
        <v>12</v>
      </c>
      <c r="E1152" s="3" t="n">
        <v>2</v>
      </c>
      <c r="F1152" s="24" t="n">
        <v>0</v>
      </c>
    </row>
    <row r="1153" customFormat="false" ht="15" hidden="false" customHeight="false" outlineLevel="0" collapsed="false">
      <c r="A1153" s="3" t="n">
        <v>1152</v>
      </c>
      <c r="B1153" s="3" t="n">
        <v>1151</v>
      </c>
      <c r="C1153" s="3" t="n">
        <v>5</v>
      </c>
      <c r="D1153" s="3" t="n">
        <v>12</v>
      </c>
      <c r="E1153" s="3" t="n">
        <v>3</v>
      </c>
      <c r="F1153" s="24" t="n">
        <v>0</v>
      </c>
    </row>
    <row r="1154" customFormat="false" ht="15" hidden="false" customHeight="false" outlineLevel="0" collapsed="false">
      <c r="A1154" s="3" t="n">
        <v>1153</v>
      </c>
      <c r="B1154" s="3" t="n">
        <v>1152</v>
      </c>
      <c r="C1154" s="3" t="n">
        <v>5</v>
      </c>
      <c r="D1154" s="3" t="n">
        <v>12</v>
      </c>
      <c r="E1154" s="3" t="n">
        <v>4</v>
      </c>
      <c r="F1154" s="24" t="n">
        <v>0</v>
      </c>
    </row>
    <row r="1155" customFormat="false" ht="15" hidden="false" customHeight="false" outlineLevel="0" collapsed="false">
      <c r="A1155" s="3" t="n">
        <v>1154</v>
      </c>
      <c r="B1155" s="3" t="n">
        <v>1153</v>
      </c>
      <c r="C1155" s="3" t="n">
        <v>5</v>
      </c>
      <c r="D1155" s="3" t="n">
        <v>12</v>
      </c>
      <c r="E1155" s="3" t="n">
        <v>5</v>
      </c>
      <c r="F1155" s="24" t="n">
        <v>2.014889</v>
      </c>
    </row>
    <row r="1156" customFormat="false" ht="15" hidden="false" customHeight="false" outlineLevel="0" collapsed="false">
      <c r="A1156" s="3" t="n">
        <v>1155</v>
      </c>
      <c r="B1156" s="3" t="n">
        <v>1154</v>
      </c>
      <c r="C1156" s="3" t="n">
        <v>5</v>
      </c>
      <c r="D1156" s="3" t="n">
        <v>12</v>
      </c>
      <c r="E1156" s="3" t="n">
        <v>6</v>
      </c>
      <c r="F1156" s="24" t="n">
        <v>1.44499826</v>
      </c>
    </row>
    <row r="1157" customFormat="false" ht="15" hidden="false" customHeight="false" outlineLevel="0" collapsed="false">
      <c r="A1157" s="3" t="n">
        <v>1156</v>
      </c>
      <c r="B1157" s="3" t="n">
        <v>1155</v>
      </c>
      <c r="C1157" s="3" t="n">
        <v>5</v>
      </c>
      <c r="D1157" s="3" t="n">
        <v>12</v>
      </c>
      <c r="E1157" s="3" t="n">
        <v>7</v>
      </c>
      <c r="F1157" s="24" t="n">
        <v>0</v>
      </c>
    </row>
    <row r="1158" customFormat="false" ht="15" hidden="false" customHeight="false" outlineLevel="0" collapsed="false">
      <c r="A1158" s="3" t="n">
        <v>1157</v>
      </c>
      <c r="B1158" s="3" t="n">
        <v>1156</v>
      </c>
      <c r="C1158" s="3" t="n">
        <v>5</v>
      </c>
      <c r="D1158" s="3" t="n">
        <v>12</v>
      </c>
      <c r="E1158" s="3" t="n">
        <v>8</v>
      </c>
      <c r="F1158" s="24" t="n">
        <v>0</v>
      </c>
    </row>
    <row r="1159" customFormat="false" ht="15" hidden="false" customHeight="false" outlineLevel="0" collapsed="false">
      <c r="A1159" s="3" t="n">
        <v>1158</v>
      </c>
      <c r="B1159" s="3" t="n">
        <v>1157</v>
      </c>
      <c r="C1159" s="3" t="n">
        <v>5</v>
      </c>
      <c r="D1159" s="3" t="n">
        <v>12</v>
      </c>
      <c r="E1159" s="3" t="n">
        <v>9</v>
      </c>
      <c r="F1159" s="24" t="n">
        <v>0</v>
      </c>
    </row>
    <row r="1160" customFormat="false" ht="15" hidden="false" customHeight="false" outlineLevel="0" collapsed="false">
      <c r="A1160" s="3" t="n">
        <v>1159</v>
      </c>
      <c r="B1160" s="3" t="n">
        <v>1158</v>
      </c>
      <c r="C1160" s="3" t="n">
        <v>5</v>
      </c>
      <c r="D1160" s="3" t="n">
        <v>12</v>
      </c>
      <c r="E1160" s="3" t="n">
        <v>10</v>
      </c>
      <c r="F1160" s="24" t="n">
        <v>0</v>
      </c>
    </row>
    <row r="1161" customFormat="false" ht="15" hidden="false" customHeight="false" outlineLevel="0" collapsed="false">
      <c r="A1161" s="3" t="n">
        <v>1160</v>
      </c>
      <c r="B1161" s="3" t="n">
        <v>1159</v>
      </c>
      <c r="C1161" s="3" t="n">
        <v>5</v>
      </c>
      <c r="D1161" s="3" t="n">
        <v>12</v>
      </c>
      <c r="E1161" s="3" t="n">
        <v>11</v>
      </c>
      <c r="F1161" s="24" t="n">
        <v>0</v>
      </c>
    </row>
    <row r="1162" customFormat="false" ht="15" hidden="false" customHeight="false" outlineLevel="0" collapsed="false">
      <c r="A1162" s="3" t="n">
        <v>1161</v>
      </c>
      <c r="B1162" s="3" t="n">
        <v>1160</v>
      </c>
      <c r="C1162" s="3" t="n">
        <v>5</v>
      </c>
      <c r="D1162" s="3" t="n">
        <v>12</v>
      </c>
      <c r="E1162" s="3" t="n">
        <v>12</v>
      </c>
      <c r="F1162" s="24" t="n">
        <v>0</v>
      </c>
    </row>
    <row r="1163" customFormat="false" ht="15" hidden="false" customHeight="false" outlineLevel="0" collapsed="false">
      <c r="A1163" s="3" t="n">
        <v>1162</v>
      </c>
      <c r="B1163" s="3" t="n">
        <v>1161</v>
      </c>
      <c r="C1163" s="3" t="n">
        <v>5</v>
      </c>
      <c r="D1163" s="3" t="n">
        <v>12</v>
      </c>
      <c r="E1163" s="3" t="n">
        <v>13</v>
      </c>
      <c r="F1163" s="24" t="n">
        <v>0</v>
      </c>
    </row>
    <row r="1164" customFormat="false" ht="15" hidden="false" customHeight="false" outlineLevel="0" collapsed="false">
      <c r="A1164" s="3" t="n">
        <v>1163</v>
      </c>
      <c r="B1164" s="3" t="n">
        <v>1162</v>
      </c>
      <c r="C1164" s="3" t="n">
        <v>5</v>
      </c>
      <c r="D1164" s="3" t="n">
        <v>13</v>
      </c>
      <c r="E1164" s="3" t="n">
        <v>0</v>
      </c>
      <c r="F1164" s="24" t="n">
        <v>0.35177961</v>
      </c>
    </row>
    <row r="1165" customFormat="false" ht="15" hidden="false" customHeight="false" outlineLevel="0" collapsed="false">
      <c r="A1165" s="3" t="n">
        <v>1164</v>
      </c>
      <c r="B1165" s="3" t="n">
        <v>1163</v>
      </c>
      <c r="C1165" s="3" t="n">
        <v>5</v>
      </c>
      <c r="D1165" s="3" t="n">
        <v>13</v>
      </c>
      <c r="E1165" s="3" t="n">
        <v>1</v>
      </c>
      <c r="F1165" s="24" t="n">
        <v>0.377983749</v>
      </c>
    </row>
    <row r="1166" customFormat="false" ht="15" hidden="false" customHeight="false" outlineLevel="0" collapsed="false">
      <c r="A1166" s="3" t="n">
        <v>1165</v>
      </c>
      <c r="B1166" s="3" t="n">
        <v>1164</v>
      </c>
      <c r="C1166" s="3" t="n">
        <v>5</v>
      </c>
      <c r="D1166" s="3" t="n">
        <v>13</v>
      </c>
      <c r="E1166" s="3" t="n">
        <v>2</v>
      </c>
      <c r="F1166" s="24" t="n">
        <v>0.355703056</v>
      </c>
    </row>
    <row r="1167" customFormat="false" ht="15" hidden="false" customHeight="false" outlineLevel="0" collapsed="false">
      <c r="A1167" s="3" t="n">
        <v>1166</v>
      </c>
      <c r="B1167" s="3" t="n">
        <v>1165</v>
      </c>
      <c r="C1167" s="3" t="n">
        <v>5</v>
      </c>
      <c r="D1167" s="3" t="n">
        <v>13</v>
      </c>
      <c r="E1167" s="3" t="n">
        <v>3</v>
      </c>
      <c r="F1167" s="24" t="n">
        <v>0</v>
      </c>
    </row>
    <row r="1168" customFormat="false" ht="15" hidden="false" customHeight="false" outlineLevel="0" collapsed="false">
      <c r="A1168" s="3" t="n">
        <v>1167</v>
      </c>
      <c r="B1168" s="3" t="n">
        <v>1166</v>
      </c>
      <c r="C1168" s="3" t="n">
        <v>5</v>
      </c>
      <c r="D1168" s="3" t="n">
        <v>13</v>
      </c>
      <c r="E1168" s="3" t="n">
        <v>4</v>
      </c>
      <c r="F1168" s="24" t="n">
        <v>0</v>
      </c>
    </row>
    <row r="1169" customFormat="false" ht="15" hidden="false" customHeight="false" outlineLevel="0" collapsed="false">
      <c r="A1169" s="3" t="n">
        <v>1168</v>
      </c>
      <c r="B1169" s="3" t="n">
        <v>1167</v>
      </c>
      <c r="C1169" s="3" t="n">
        <v>5</v>
      </c>
      <c r="D1169" s="3" t="n">
        <v>13</v>
      </c>
      <c r="E1169" s="3" t="n">
        <v>5</v>
      </c>
      <c r="F1169" s="24" t="n">
        <v>0</v>
      </c>
    </row>
    <row r="1170" customFormat="false" ht="15" hidden="false" customHeight="false" outlineLevel="0" collapsed="false">
      <c r="A1170" s="3" t="n">
        <v>1169</v>
      </c>
      <c r="B1170" s="3" t="n">
        <v>1168</v>
      </c>
      <c r="C1170" s="3" t="n">
        <v>5</v>
      </c>
      <c r="D1170" s="3" t="n">
        <v>13</v>
      </c>
      <c r="E1170" s="3" t="n">
        <v>6</v>
      </c>
      <c r="F1170" s="24" t="n">
        <v>0</v>
      </c>
    </row>
    <row r="1171" customFormat="false" ht="15" hidden="false" customHeight="false" outlineLevel="0" collapsed="false">
      <c r="A1171" s="3" t="n">
        <v>1170</v>
      </c>
      <c r="B1171" s="3" t="n">
        <v>1169</v>
      </c>
      <c r="C1171" s="3" t="n">
        <v>5</v>
      </c>
      <c r="D1171" s="3" t="n">
        <v>13</v>
      </c>
      <c r="E1171" s="3" t="n">
        <v>7</v>
      </c>
      <c r="F1171" s="24" t="n">
        <v>0.602205336</v>
      </c>
    </row>
    <row r="1172" customFormat="false" ht="15" hidden="false" customHeight="false" outlineLevel="0" collapsed="false">
      <c r="A1172" s="3" t="n">
        <v>1171</v>
      </c>
      <c r="B1172" s="3" t="n">
        <v>1170</v>
      </c>
      <c r="C1172" s="3" t="n">
        <v>5</v>
      </c>
      <c r="D1172" s="3" t="n">
        <v>13</v>
      </c>
      <c r="E1172" s="3" t="n">
        <v>8</v>
      </c>
      <c r="F1172" s="24" t="n">
        <v>0.845065117</v>
      </c>
    </row>
    <row r="1173" customFormat="false" ht="15" hidden="false" customHeight="false" outlineLevel="0" collapsed="false">
      <c r="A1173" s="3" t="n">
        <v>1172</v>
      </c>
      <c r="B1173" s="3" t="n">
        <v>1171</v>
      </c>
      <c r="C1173" s="3" t="n">
        <v>5</v>
      </c>
      <c r="D1173" s="3" t="n">
        <v>13</v>
      </c>
      <c r="E1173" s="3" t="n">
        <v>9</v>
      </c>
      <c r="F1173" s="24" t="n">
        <v>0.355703056</v>
      </c>
    </row>
    <row r="1174" customFormat="false" ht="15" hidden="false" customHeight="false" outlineLevel="0" collapsed="false">
      <c r="A1174" s="3" t="n">
        <v>1173</v>
      </c>
      <c r="B1174" s="3" t="n">
        <v>1172</v>
      </c>
      <c r="C1174" s="3" t="n">
        <v>5</v>
      </c>
      <c r="D1174" s="3" t="n">
        <v>13</v>
      </c>
      <c r="E1174" s="3" t="n">
        <v>10</v>
      </c>
      <c r="F1174" s="24" t="n">
        <v>0.355703056</v>
      </c>
    </row>
    <row r="1175" customFormat="false" ht="15" hidden="false" customHeight="false" outlineLevel="0" collapsed="false">
      <c r="A1175" s="3" t="n">
        <v>1174</v>
      </c>
      <c r="B1175" s="3" t="n">
        <v>1173</v>
      </c>
      <c r="C1175" s="3" t="n">
        <v>5</v>
      </c>
      <c r="D1175" s="3" t="n">
        <v>13</v>
      </c>
      <c r="E1175" s="3" t="n">
        <v>11</v>
      </c>
      <c r="F1175" s="24" t="n">
        <v>0.355703056</v>
      </c>
    </row>
    <row r="1176" customFormat="false" ht="15" hidden="false" customHeight="false" outlineLevel="0" collapsed="false">
      <c r="A1176" s="3" t="n">
        <v>1175</v>
      </c>
      <c r="B1176" s="3" t="n">
        <v>1174</v>
      </c>
      <c r="C1176" s="3" t="n">
        <v>5</v>
      </c>
      <c r="D1176" s="3" t="n">
        <v>13</v>
      </c>
      <c r="E1176" s="3" t="n">
        <v>12</v>
      </c>
      <c r="F1176" s="24" t="n">
        <v>0.167286277</v>
      </c>
    </row>
    <row r="1177" customFormat="false" ht="15" hidden="false" customHeight="false" outlineLevel="0" collapsed="false">
      <c r="A1177" s="3" t="n">
        <v>1176</v>
      </c>
      <c r="B1177" s="3" t="n">
        <v>1175</v>
      </c>
      <c r="C1177" s="3" t="n">
        <v>5</v>
      </c>
      <c r="D1177" s="3" t="n">
        <v>13</v>
      </c>
      <c r="E1177" s="3" t="n">
        <v>13</v>
      </c>
      <c r="F1177" s="24" t="n">
        <v>0</v>
      </c>
    </row>
    <row r="1178" customFormat="false" ht="15" hidden="false" customHeight="false" outlineLevel="0" collapsed="false">
      <c r="A1178" s="3" t="n">
        <v>1177</v>
      </c>
      <c r="B1178" s="3" t="n">
        <v>1176</v>
      </c>
      <c r="C1178" s="3" t="n">
        <v>6</v>
      </c>
      <c r="D1178" s="3" t="n">
        <v>0</v>
      </c>
      <c r="E1178" s="3" t="n">
        <v>0</v>
      </c>
      <c r="F1178" s="24" t="n">
        <v>0</v>
      </c>
    </row>
    <row r="1179" customFormat="false" ht="15" hidden="false" customHeight="false" outlineLevel="0" collapsed="false">
      <c r="A1179" s="3" t="n">
        <v>1178</v>
      </c>
      <c r="B1179" s="3" t="n">
        <v>1177</v>
      </c>
      <c r="C1179" s="3" t="n">
        <v>6</v>
      </c>
      <c r="D1179" s="3" t="n">
        <v>0</v>
      </c>
      <c r="E1179" s="3" t="n">
        <v>1</v>
      </c>
      <c r="F1179" s="24" t="n">
        <v>0</v>
      </c>
    </row>
    <row r="1180" customFormat="false" ht="15" hidden="false" customHeight="false" outlineLevel="0" collapsed="false">
      <c r="A1180" s="3" t="n">
        <v>1179</v>
      </c>
      <c r="B1180" s="3" t="n">
        <v>1178</v>
      </c>
      <c r="C1180" s="3" t="n">
        <v>6</v>
      </c>
      <c r="D1180" s="3" t="n">
        <v>0</v>
      </c>
      <c r="E1180" s="3" t="n">
        <v>2</v>
      </c>
      <c r="F1180" s="24" t="n">
        <v>0</v>
      </c>
    </row>
    <row r="1181" customFormat="false" ht="15" hidden="false" customHeight="false" outlineLevel="0" collapsed="false">
      <c r="A1181" s="3" t="n">
        <v>1180</v>
      </c>
      <c r="B1181" s="3" t="n">
        <v>1179</v>
      </c>
      <c r="C1181" s="3" t="n">
        <v>6</v>
      </c>
      <c r="D1181" s="3" t="n">
        <v>0</v>
      </c>
      <c r="E1181" s="3" t="n">
        <v>3</v>
      </c>
      <c r="F1181" s="24" t="n">
        <v>0</v>
      </c>
    </row>
    <row r="1182" customFormat="false" ht="15" hidden="false" customHeight="false" outlineLevel="0" collapsed="false">
      <c r="A1182" s="3" t="n">
        <v>1181</v>
      </c>
      <c r="B1182" s="3" t="n">
        <v>1180</v>
      </c>
      <c r="C1182" s="3" t="n">
        <v>6</v>
      </c>
      <c r="D1182" s="3" t="n">
        <v>0</v>
      </c>
      <c r="E1182" s="3" t="n">
        <v>4</v>
      </c>
      <c r="F1182" s="24" t="n">
        <v>0</v>
      </c>
    </row>
    <row r="1183" customFormat="false" ht="15" hidden="false" customHeight="false" outlineLevel="0" collapsed="false">
      <c r="A1183" s="3" t="n">
        <v>1182</v>
      </c>
      <c r="B1183" s="3" t="n">
        <v>1181</v>
      </c>
      <c r="C1183" s="3" t="n">
        <v>6</v>
      </c>
      <c r="D1183" s="3" t="n">
        <v>0</v>
      </c>
      <c r="E1183" s="3" t="n">
        <v>5</v>
      </c>
      <c r="F1183" s="24" t="n">
        <v>0</v>
      </c>
    </row>
    <row r="1184" customFormat="false" ht="15" hidden="false" customHeight="false" outlineLevel="0" collapsed="false">
      <c r="A1184" s="3" t="n">
        <v>1183</v>
      </c>
      <c r="B1184" s="3" t="n">
        <v>1182</v>
      </c>
      <c r="C1184" s="3" t="n">
        <v>6</v>
      </c>
      <c r="D1184" s="3" t="n">
        <v>0</v>
      </c>
      <c r="E1184" s="3" t="n">
        <v>6</v>
      </c>
      <c r="F1184" s="24" t="n">
        <v>0</v>
      </c>
    </row>
    <row r="1185" customFormat="false" ht="15" hidden="false" customHeight="false" outlineLevel="0" collapsed="false">
      <c r="A1185" s="3" t="n">
        <v>1184</v>
      </c>
      <c r="B1185" s="3" t="n">
        <v>1183</v>
      </c>
      <c r="C1185" s="3" t="n">
        <v>6</v>
      </c>
      <c r="D1185" s="3" t="n">
        <v>0</v>
      </c>
      <c r="E1185" s="3" t="n">
        <v>7</v>
      </c>
      <c r="F1185" s="24" t="n">
        <v>0</v>
      </c>
    </row>
    <row r="1186" customFormat="false" ht="15" hidden="false" customHeight="false" outlineLevel="0" collapsed="false">
      <c r="A1186" s="3" t="n">
        <v>1185</v>
      </c>
      <c r="B1186" s="3" t="n">
        <v>1184</v>
      </c>
      <c r="C1186" s="3" t="n">
        <v>6</v>
      </c>
      <c r="D1186" s="3" t="n">
        <v>0</v>
      </c>
      <c r="E1186" s="3" t="n">
        <v>8</v>
      </c>
      <c r="F1186" s="24" t="n">
        <v>0</v>
      </c>
    </row>
    <row r="1187" customFormat="false" ht="15" hidden="false" customHeight="false" outlineLevel="0" collapsed="false">
      <c r="A1187" s="3" t="n">
        <v>1186</v>
      </c>
      <c r="B1187" s="3" t="n">
        <v>1185</v>
      </c>
      <c r="C1187" s="3" t="n">
        <v>6</v>
      </c>
      <c r="D1187" s="3" t="n">
        <v>0</v>
      </c>
      <c r="E1187" s="3" t="n">
        <v>9</v>
      </c>
      <c r="F1187" s="24" t="n">
        <v>0</v>
      </c>
    </row>
    <row r="1188" customFormat="false" ht="15" hidden="false" customHeight="false" outlineLevel="0" collapsed="false">
      <c r="A1188" s="3" t="n">
        <v>1187</v>
      </c>
      <c r="B1188" s="3" t="n">
        <v>1186</v>
      </c>
      <c r="C1188" s="3" t="n">
        <v>6</v>
      </c>
      <c r="D1188" s="3" t="n">
        <v>0</v>
      </c>
      <c r="E1188" s="3" t="n">
        <v>10</v>
      </c>
      <c r="F1188" s="24" t="n">
        <v>0</v>
      </c>
    </row>
    <row r="1189" customFormat="false" ht="15" hidden="false" customHeight="false" outlineLevel="0" collapsed="false">
      <c r="A1189" s="3" t="n">
        <v>1188</v>
      </c>
      <c r="B1189" s="3" t="n">
        <v>1187</v>
      </c>
      <c r="C1189" s="3" t="n">
        <v>6</v>
      </c>
      <c r="D1189" s="3" t="n">
        <v>0</v>
      </c>
      <c r="E1189" s="3" t="n">
        <v>11</v>
      </c>
      <c r="F1189" s="24" t="n">
        <v>0</v>
      </c>
    </row>
    <row r="1190" customFormat="false" ht="15" hidden="false" customHeight="false" outlineLevel="0" collapsed="false">
      <c r="A1190" s="3" t="n">
        <v>1189</v>
      </c>
      <c r="B1190" s="3" t="n">
        <v>1188</v>
      </c>
      <c r="C1190" s="3" t="n">
        <v>6</v>
      </c>
      <c r="D1190" s="3" t="n">
        <v>0</v>
      </c>
      <c r="E1190" s="3" t="n">
        <v>12</v>
      </c>
      <c r="F1190" s="24" t="n">
        <v>0</v>
      </c>
    </row>
    <row r="1191" customFormat="false" ht="15" hidden="false" customHeight="false" outlineLevel="0" collapsed="false">
      <c r="A1191" s="3" t="n">
        <v>1190</v>
      </c>
      <c r="B1191" s="3" t="n">
        <v>1189</v>
      </c>
      <c r="C1191" s="3" t="n">
        <v>6</v>
      </c>
      <c r="D1191" s="3" t="n">
        <v>0</v>
      </c>
      <c r="E1191" s="3" t="n">
        <v>13</v>
      </c>
      <c r="F1191" s="24" t="n">
        <v>0</v>
      </c>
    </row>
    <row r="1192" customFormat="false" ht="15" hidden="false" customHeight="false" outlineLevel="0" collapsed="false">
      <c r="A1192" s="3" t="n">
        <v>1191</v>
      </c>
      <c r="B1192" s="3" t="n">
        <v>1190</v>
      </c>
      <c r="C1192" s="3" t="n">
        <v>6</v>
      </c>
      <c r="D1192" s="3" t="n">
        <v>1</v>
      </c>
      <c r="E1192" s="3" t="n">
        <v>0</v>
      </c>
      <c r="F1192" s="24" t="n">
        <v>0</v>
      </c>
    </row>
    <row r="1193" customFormat="false" ht="15" hidden="false" customHeight="false" outlineLevel="0" collapsed="false">
      <c r="A1193" s="3" t="n">
        <v>1192</v>
      </c>
      <c r="B1193" s="3" t="n">
        <v>1191</v>
      </c>
      <c r="C1193" s="3" t="n">
        <v>6</v>
      </c>
      <c r="D1193" s="3" t="n">
        <v>1</v>
      </c>
      <c r="E1193" s="3" t="n">
        <v>1</v>
      </c>
      <c r="F1193" s="24" t="n">
        <v>0</v>
      </c>
    </row>
    <row r="1194" customFormat="false" ht="15" hidden="false" customHeight="false" outlineLevel="0" collapsed="false">
      <c r="A1194" s="3" t="n">
        <v>1193</v>
      </c>
      <c r="B1194" s="3" t="n">
        <v>1192</v>
      </c>
      <c r="C1194" s="3" t="n">
        <v>6</v>
      </c>
      <c r="D1194" s="3" t="n">
        <v>1</v>
      </c>
      <c r="E1194" s="3" t="n">
        <v>2</v>
      </c>
      <c r="F1194" s="24" t="n">
        <v>0</v>
      </c>
    </row>
    <row r="1195" customFormat="false" ht="15" hidden="false" customHeight="false" outlineLevel="0" collapsed="false">
      <c r="A1195" s="3" t="n">
        <v>1194</v>
      </c>
      <c r="B1195" s="3" t="n">
        <v>1193</v>
      </c>
      <c r="C1195" s="3" t="n">
        <v>6</v>
      </c>
      <c r="D1195" s="3" t="n">
        <v>1</v>
      </c>
      <c r="E1195" s="3" t="n">
        <v>3</v>
      </c>
      <c r="F1195" s="24" t="n">
        <v>0</v>
      </c>
    </row>
    <row r="1196" customFormat="false" ht="15" hidden="false" customHeight="false" outlineLevel="0" collapsed="false">
      <c r="A1196" s="3" t="n">
        <v>1195</v>
      </c>
      <c r="B1196" s="3" t="n">
        <v>1194</v>
      </c>
      <c r="C1196" s="3" t="n">
        <v>6</v>
      </c>
      <c r="D1196" s="3" t="n">
        <v>1</v>
      </c>
      <c r="E1196" s="3" t="n">
        <v>4</v>
      </c>
      <c r="F1196" s="24" t="n">
        <v>0</v>
      </c>
    </row>
    <row r="1197" customFormat="false" ht="15" hidden="false" customHeight="false" outlineLevel="0" collapsed="false">
      <c r="A1197" s="3" t="n">
        <v>1196</v>
      </c>
      <c r="B1197" s="3" t="n">
        <v>1195</v>
      </c>
      <c r="C1197" s="3" t="n">
        <v>6</v>
      </c>
      <c r="D1197" s="3" t="n">
        <v>1</v>
      </c>
      <c r="E1197" s="3" t="n">
        <v>5</v>
      </c>
      <c r="F1197" s="24" t="n">
        <v>0</v>
      </c>
    </row>
    <row r="1198" customFormat="false" ht="15" hidden="false" customHeight="false" outlineLevel="0" collapsed="false">
      <c r="A1198" s="3" t="n">
        <v>1197</v>
      </c>
      <c r="B1198" s="3" t="n">
        <v>1196</v>
      </c>
      <c r="C1198" s="3" t="n">
        <v>6</v>
      </c>
      <c r="D1198" s="3" t="n">
        <v>1</v>
      </c>
      <c r="E1198" s="3" t="n">
        <v>6</v>
      </c>
      <c r="F1198" s="24" t="n">
        <v>0</v>
      </c>
    </row>
    <row r="1199" customFormat="false" ht="15" hidden="false" customHeight="false" outlineLevel="0" collapsed="false">
      <c r="A1199" s="3" t="n">
        <v>1198</v>
      </c>
      <c r="B1199" s="3" t="n">
        <v>1197</v>
      </c>
      <c r="C1199" s="3" t="n">
        <v>6</v>
      </c>
      <c r="D1199" s="3" t="n">
        <v>1</v>
      </c>
      <c r="E1199" s="3" t="n">
        <v>7</v>
      </c>
      <c r="F1199" s="24" t="n">
        <v>0</v>
      </c>
    </row>
    <row r="1200" customFormat="false" ht="15" hidden="false" customHeight="false" outlineLevel="0" collapsed="false">
      <c r="A1200" s="3" t="n">
        <v>1199</v>
      </c>
      <c r="B1200" s="3" t="n">
        <v>1198</v>
      </c>
      <c r="C1200" s="3" t="n">
        <v>6</v>
      </c>
      <c r="D1200" s="3" t="n">
        <v>1</v>
      </c>
      <c r="E1200" s="3" t="n">
        <v>8</v>
      </c>
      <c r="F1200" s="24" t="n">
        <v>0</v>
      </c>
    </row>
    <row r="1201" customFormat="false" ht="15" hidden="false" customHeight="false" outlineLevel="0" collapsed="false">
      <c r="A1201" s="3" t="n">
        <v>1200</v>
      </c>
      <c r="B1201" s="3" t="n">
        <v>1199</v>
      </c>
      <c r="C1201" s="3" t="n">
        <v>6</v>
      </c>
      <c r="D1201" s="3" t="n">
        <v>1</v>
      </c>
      <c r="E1201" s="3" t="n">
        <v>9</v>
      </c>
      <c r="F1201" s="24" t="n">
        <v>0</v>
      </c>
    </row>
    <row r="1202" customFormat="false" ht="15" hidden="false" customHeight="false" outlineLevel="0" collapsed="false">
      <c r="A1202" s="3" t="n">
        <v>1201</v>
      </c>
      <c r="B1202" s="3" t="n">
        <v>1200</v>
      </c>
      <c r="C1202" s="3" t="n">
        <v>6</v>
      </c>
      <c r="D1202" s="3" t="n">
        <v>1</v>
      </c>
      <c r="E1202" s="3" t="n">
        <v>10</v>
      </c>
      <c r="F1202" s="24" t="n">
        <v>0</v>
      </c>
    </row>
    <row r="1203" customFormat="false" ht="15" hidden="false" customHeight="false" outlineLevel="0" collapsed="false">
      <c r="A1203" s="3" t="n">
        <v>1202</v>
      </c>
      <c r="B1203" s="3" t="n">
        <v>1201</v>
      </c>
      <c r="C1203" s="3" t="n">
        <v>6</v>
      </c>
      <c r="D1203" s="3" t="n">
        <v>1</v>
      </c>
      <c r="E1203" s="3" t="n">
        <v>11</v>
      </c>
      <c r="F1203" s="24" t="n">
        <v>0</v>
      </c>
    </row>
    <row r="1204" customFormat="false" ht="15" hidden="false" customHeight="false" outlineLevel="0" collapsed="false">
      <c r="A1204" s="3" t="n">
        <v>1203</v>
      </c>
      <c r="B1204" s="3" t="n">
        <v>1202</v>
      </c>
      <c r="C1204" s="3" t="n">
        <v>6</v>
      </c>
      <c r="D1204" s="3" t="n">
        <v>1</v>
      </c>
      <c r="E1204" s="3" t="n">
        <v>12</v>
      </c>
      <c r="F1204" s="24" t="n">
        <v>0</v>
      </c>
    </row>
    <row r="1205" customFormat="false" ht="15" hidden="false" customHeight="false" outlineLevel="0" collapsed="false">
      <c r="A1205" s="3" t="n">
        <v>1204</v>
      </c>
      <c r="B1205" s="3" t="n">
        <v>1203</v>
      </c>
      <c r="C1205" s="3" t="n">
        <v>6</v>
      </c>
      <c r="D1205" s="3" t="n">
        <v>1</v>
      </c>
      <c r="E1205" s="3" t="n">
        <v>13</v>
      </c>
      <c r="F1205" s="24" t="n">
        <v>0</v>
      </c>
    </row>
    <row r="1206" customFormat="false" ht="15" hidden="false" customHeight="false" outlineLevel="0" collapsed="false">
      <c r="A1206" s="3" t="n">
        <v>1205</v>
      </c>
      <c r="B1206" s="3" t="n">
        <v>1204</v>
      </c>
      <c r="C1206" s="3" t="n">
        <v>6</v>
      </c>
      <c r="D1206" s="3" t="n">
        <v>2</v>
      </c>
      <c r="E1206" s="3" t="n">
        <v>0</v>
      </c>
      <c r="F1206" s="24" t="n">
        <v>0</v>
      </c>
    </row>
    <row r="1207" customFormat="false" ht="15" hidden="false" customHeight="false" outlineLevel="0" collapsed="false">
      <c r="A1207" s="3" t="n">
        <v>1206</v>
      </c>
      <c r="B1207" s="3" t="n">
        <v>1205</v>
      </c>
      <c r="C1207" s="3" t="n">
        <v>6</v>
      </c>
      <c r="D1207" s="3" t="n">
        <v>2</v>
      </c>
      <c r="E1207" s="3" t="n">
        <v>1</v>
      </c>
      <c r="F1207" s="24" t="n">
        <v>0</v>
      </c>
    </row>
    <row r="1208" customFormat="false" ht="15" hidden="false" customHeight="false" outlineLevel="0" collapsed="false">
      <c r="A1208" s="3" t="n">
        <v>1207</v>
      </c>
      <c r="B1208" s="3" t="n">
        <v>1206</v>
      </c>
      <c r="C1208" s="3" t="n">
        <v>6</v>
      </c>
      <c r="D1208" s="3" t="n">
        <v>2</v>
      </c>
      <c r="E1208" s="3" t="n">
        <v>2</v>
      </c>
      <c r="F1208" s="24" t="n">
        <v>0</v>
      </c>
    </row>
    <row r="1209" customFormat="false" ht="15" hidden="false" customHeight="false" outlineLevel="0" collapsed="false">
      <c r="A1209" s="3" t="n">
        <v>1208</v>
      </c>
      <c r="B1209" s="3" t="n">
        <v>1207</v>
      </c>
      <c r="C1209" s="3" t="n">
        <v>6</v>
      </c>
      <c r="D1209" s="3" t="n">
        <v>2</v>
      </c>
      <c r="E1209" s="3" t="n">
        <v>3</v>
      </c>
      <c r="F1209" s="24" t="n">
        <v>1.4352771</v>
      </c>
    </row>
    <row r="1210" customFormat="false" ht="15" hidden="false" customHeight="false" outlineLevel="0" collapsed="false">
      <c r="A1210" s="3" t="n">
        <v>1209</v>
      </c>
      <c r="B1210" s="3" t="n">
        <v>1208</v>
      </c>
      <c r="C1210" s="3" t="n">
        <v>6</v>
      </c>
      <c r="D1210" s="3" t="n">
        <v>2</v>
      </c>
      <c r="E1210" s="3" t="n">
        <v>4</v>
      </c>
      <c r="F1210" s="24" t="n">
        <v>1.94497001</v>
      </c>
    </row>
    <row r="1211" customFormat="false" ht="15" hidden="false" customHeight="false" outlineLevel="0" collapsed="false">
      <c r="A1211" s="3" t="n">
        <v>1210</v>
      </c>
      <c r="B1211" s="3" t="n">
        <v>1209</v>
      </c>
      <c r="C1211" s="3" t="n">
        <v>6</v>
      </c>
      <c r="D1211" s="3" t="n">
        <v>2</v>
      </c>
      <c r="E1211" s="3" t="n">
        <v>5</v>
      </c>
      <c r="F1211" s="24" t="n">
        <v>1.10955632</v>
      </c>
    </row>
    <row r="1212" customFormat="false" ht="15" hidden="false" customHeight="false" outlineLevel="0" collapsed="false">
      <c r="A1212" s="3" t="n">
        <v>1211</v>
      </c>
      <c r="B1212" s="3" t="n">
        <v>1210</v>
      </c>
      <c r="C1212" s="3" t="n">
        <v>6</v>
      </c>
      <c r="D1212" s="3" t="n">
        <v>2</v>
      </c>
      <c r="E1212" s="3" t="n">
        <v>6</v>
      </c>
      <c r="F1212" s="24" t="n">
        <v>0.397829086</v>
      </c>
    </row>
    <row r="1213" customFormat="false" ht="15" hidden="false" customHeight="false" outlineLevel="0" collapsed="false">
      <c r="A1213" s="3" t="n">
        <v>1212</v>
      </c>
      <c r="B1213" s="3" t="n">
        <v>1211</v>
      </c>
      <c r="C1213" s="3" t="n">
        <v>6</v>
      </c>
      <c r="D1213" s="3" t="n">
        <v>2</v>
      </c>
      <c r="E1213" s="3" t="n">
        <v>7</v>
      </c>
      <c r="F1213" s="24" t="n">
        <v>0.0693947673</v>
      </c>
    </row>
    <row r="1214" customFormat="false" ht="15" hidden="false" customHeight="false" outlineLevel="0" collapsed="false">
      <c r="A1214" s="3" t="n">
        <v>1213</v>
      </c>
      <c r="B1214" s="3" t="n">
        <v>1212</v>
      </c>
      <c r="C1214" s="3" t="n">
        <v>6</v>
      </c>
      <c r="D1214" s="3" t="n">
        <v>2</v>
      </c>
      <c r="E1214" s="3" t="n">
        <v>8</v>
      </c>
      <c r="F1214" s="24" t="n">
        <v>0.0398566723</v>
      </c>
    </row>
    <row r="1215" customFormat="false" ht="15" hidden="false" customHeight="false" outlineLevel="0" collapsed="false">
      <c r="A1215" s="3" t="n">
        <v>1214</v>
      </c>
      <c r="B1215" s="3" t="n">
        <v>1213</v>
      </c>
      <c r="C1215" s="3" t="n">
        <v>6</v>
      </c>
      <c r="D1215" s="3" t="n">
        <v>2</v>
      </c>
      <c r="E1215" s="3" t="n">
        <v>9</v>
      </c>
      <c r="F1215" s="24" t="n">
        <v>0.113718301</v>
      </c>
    </row>
    <row r="1216" customFormat="false" ht="15" hidden="false" customHeight="false" outlineLevel="0" collapsed="false">
      <c r="A1216" s="3" t="n">
        <v>1215</v>
      </c>
      <c r="B1216" s="3" t="n">
        <v>1214</v>
      </c>
      <c r="C1216" s="3" t="n">
        <v>6</v>
      </c>
      <c r="D1216" s="3" t="n">
        <v>2</v>
      </c>
      <c r="E1216" s="3" t="n">
        <v>10</v>
      </c>
      <c r="F1216" s="24" t="n">
        <v>0</v>
      </c>
    </row>
    <row r="1217" customFormat="false" ht="15" hidden="false" customHeight="false" outlineLevel="0" collapsed="false">
      <c r="A1217" s="3" t="n">
        <v>1216</v>
      </c>
      <c r="B1217" s="3" t="n">
        <v>1215</v>
      </c>
      <c r="C1217" s="3" t="n">
        <v>6</v>
      </c>
      <c r="D1217" s="3" t="n">
        <v>2</v>
      </c>
      <c r="E1217" s="3" t="n">
        <v>11</v>
      </c>
      <c r="F1217" s="24" t="n">
        <v>0</v>
      </c>
    </row>
    <row r="1218" customFormat="false" ht="15" hidden="false" customHeight="false" outlineLevel="0" collapsed="false">
      <c r="A1218" s="3" t="n">
        <v>1217</v>
      </c>
      <c r="B1218" s="3" t="n">
        <v>1216</v>
      </c>
      <c r="C1218" s="3" t="n">
        <v>6</v>
      </c>
      <c r="D1218" s="3" t="n">
        <v>2</v>
      </c>
      <c r="E1218" s="3" t="n">
        <v>12</v>
      </c>
      <c r="F1218" s="24" t="n">
        <v>0</v>
      </c>
    </row>
    <row r="1219" customFormat="false" ht="15" hidden="false" customHeight="false" outlineLevel="0" collapsed="false">
      <c r="A1219" s="3" t="n">
        <v>1218</v>
      </c>
      <c r="B1219" s="3" t="n">
        <v>1217</v>
      </c>
      <c r="C1219" s="3" t="n">
        <v>6</v>
      </c>
      <c r="D1219" s="3" t="n">
        <v>2</v>
      </c>
      <c r="E1219" s="3" t="n">
        <v>13</v>
      </c>
      <c r="F1219" s="24" t="n">
        <v>0</v>
      </c>
    </row>
    <row r="1220" customFormat="false" ht="15" hidden="false" customHeight="false" outlineLevel="0" collapsed="false">
      <c r="A1220" s="3" t="n">
        <v>1219</v>
      </c>
      <c r="B1220" s="3" t="n">
        <v>1218</v>
      </c>
      <c r="C1220" s="3" t="n">
        <v>6</v>
      </c>
      <c r="D1220" s="3" t="n">
        <v>3</v>
      </c>
      <c r="E1220" s="3" t="n">
        <v>0</v>
      </c>
      <c r="F1220" s="24" t="n">
        <v>0</v>
      </c>
    </row>
    <row r="1221" customFormat="false" ht="15" hidden="false" customHeight="false" outlineLevel="0" collapsed="false">
      <c r="A1221" s="3" t="n">
        <v>1220</v>
      </c>
      <c r="B1221" s="3" t="n">
        <v>1219</v>
      </c>
      <c r="C1221" s="3" t="n">
        <v>6</v>
      </c>
      <c r="D1221" s="3" t="n">
        <v>3</v>
      </c>
      <c r="E1221" s="3" t="n">
        <v>1</v>
      </c>
      <c r="F1221" s="24" t="n">
        <v>0.161526233</v>
      </c>
    </row>
    <row r="1222" customFormat="false" ht="15" hidden="false" customHeight="false" outlineLevel="0" collapsed="false">
      <c r="A1222" s="3" t="n">
        <v>1221</v>
      </c>
      <c r="B1222" s="3" t="n">
        <v>1220</v>
      </c>
      <c r="C1222" s="3" t="n">
        <v>6</v>
      </c>
      <c r="D1222" s="3" t="n">
        <v>3</v>
      </c>
      <c r="E1222" s="3" t="n">
        <v>2</v>
      </c>
      <c r="F1222" s="24" t="n">
        <v>5.11072254</v>
      </c>
    </row>
    <row r="1223" customFormat="false" ht="15" hidden="false" customHeight="false" outlineLevel="0" collapsed="false">
      <c r="A1223" s="3" t="n">
        <v>1222</v>
      </c>
      <c r="B1223" s="3" t="n">
        <v>1221</v>
      </c>
      <c r="C1223" s="3" t="n">
        <v>6</v>
      </c>
      <c r="D1223" s="3" t="n">
        <v>3</v>
      </c>
      <c r="E1223" s="3" t="n">
        <v>3</v>
      </c>
      <c r="F1223" s="24" t="n">
        <v>7.76166296</v>
      </c>
    </row>
    <row r="1224" customFormat="false" ht="15" hidden="false" customHeight="false" outlineLevel="0" collapsed="false">
      <c r="A1224" s="3" t="n">
        <v>1223</v>
      </c>
      <c r="B1224" s="3" t="n">
        <v>1222</v>
      </c>
      <c r="C1224" s="3" t="n">
        <v>6</v>
      </c>
      <c r="D1224" s="3" t="n">
        <v>3</v>
      </c>
      <c r="E1224" s="3" t="n">
        <v>4</v>
      </c>
      <c r="F1224" s="24" t="n">
        <v>9.21909809</v>
      </c>
    </row>
    <row r="1225" customFormat="false" ht="15" hidden="false" customHeight="false" outlineLevel="0" collapsed="false">
      <c r="A1225" s="3" t="n">
        <v>1224</v>
      </c>
      <c r="B1225" s="3" t="n">
        <v>1223</v>
      </c>
      <c r="C1225" s="3" t="n">
        <v>6</v>
      </c>
      <c r="D1225" s="3" t="n">
        <v>3</v>
      </c>
      <c r="E1225" s="3" t="n">
        <v>5</v>
      </c>
      <c r="F1225" s="24" t="n">
        <v>8.04787159</v>
      </c>
    </row>
    <row r="1226" customFormat="false" ht="15" hidden="false" customHeight="false" outlineLevel="0" collapsed="false">
      <c r="A1226" s="3" t="n">
        <v>1225</v>
      </c>
      <c r="B1226" s="3" t="n">
        <v>1224</v>
      </c>
      <c r="C1226" s="3" t="n">
        <v>6</v>
      </c>
      <c r="D1226" s="3" t="n">
        <v>3</v>
      </c>
      <c r="E1226" s="3" t="n">
        <v>6</v>
      </c>
      <c r="F1226" s="24" t="n">
        <v>7.24363565</v>
      </c>
    </row>
    <row r="1227" customFormat="false" ht="15" hidden="false" customHeight="false" outlineLevel="0" collapsed="false">
      <c r="A1227" s="3" t="n">
        <v>1226</v>
      </c>
      <c r="B1227" s="3" t="n">
        <v>1225</v>
      </c>
      <c r="C1227" s="3" t="n">
        <v>6</v>
      </c>
      <c r="D1227" s="3" t="n">
        <v>3</v>
      </c>
      <c r="E1227" s="3" t="n">
        <v>7</v>
      </c>
      <c r="F1227" s="24" t="n">
        <v>6.76160097</v>
      </c>
    </row>
    <row r="1228" customFormat="false" ht="15" hidden="false" customHeight="false" outlineLevel="0" collapsed="false">
      <c r="A1228" s="3" t="n">
        <v>1227</v>
      </c>
      <c r="B1228" s="3" t="n">
        <v>1226</v>
      </c>
      <c r="C1228" s="3" t="n">
        <v>6</v>
      </c>
      <c r="D1228" s="3" t="n">
        <v>3</v>
      </c>
      <c r="E1228" s="3" t="n">
        <v>8</v>
      </c>
      <c r="F1228" s="24" t="n">
        <v>6.75939226</v>
      </c>
    </row>
    <row r="1229" customFormat="false" ht="15" hidden="false" customHeight="false" outlineLevel="0" collapsed="false">
      <c r="A1229" s="3" t="n">
        <v>1228</v>
      </c>
      <c r="B1229" s="3" t="n">
        <v>1227</v>
      </c>
      <c r="C1229" s="3" t="n">
        <v>6</v>
      </c>
      <c r="D1229" s="3" t="n">
        <v>3</v>
      </c>
      <c r="E1229" s="3" t="n">
        <v>9</v>
      </c>
      <c r="F1229" s="24" t="n">
        <v>5.56443787</v>
      </c>
    </row>
    <row r="1230" customFormat="false" ht="15" hidden="false" customHeight="false" outlineLevel="0" collapsed="false">
      <c r="A1230" s="3" t="n">
        <v>1229</v>
      </c>
      <c r="B1230" s="3" t="n">
        <v>1228</v>
      </c>
      <c r="C1230" s="3" t="n">
        <v>6</v>
      </c>
      <c r="D1230" s="3" t="n">
        <v>3</v>
      </c>
      <c r="E1230" s="3" t="n">
        <v>10</v>
      </c>
      <c r="F1230" s="24" t="n">
        <v>3.66861916</v>
      </c>
    </row>
    <row r="1231" customFormat="false" ht="15" hidden="false" customHeight="false" outlineLevel="0" collapsed="false">
      <c r="A1231" s="3" t="n">
        <v>1230</v>
      </c>
      <c r="B1231" s="3" t="n">
        <v>1229</v>
      </c>
      <c r="C1231" s="3" t="n">
        <v>6</v>
      </c>
      <c r="D1231" s="3" t="n">
        <v>3</v>
      </c>
      <c r="E1231" s="3" t="n">
        <v>11</v>
      </c>
      <c r="F1231" s="24" t="n">
        <v>1.01348054</v>
      </c>
    </row>
    <row r="1232" customFormat="false" ht="15" hidden="false" customHeight="false" outlineLevel="0" collapsed="false">
      <c r="A1232" s="3" t="n">
        <v>1231</v>
      </c>
      <c r="B1232" s="3" t="n">
        <v>1230</v>
      </c>
      <c r="C1232" s="3" t="n">
        <v>6</v>
      </c>
      <c r="D1232" s="3" t="n">
        <v>3</v>
      </c>
      <c r="E1232" s="3" t="n">
        <v>12</v>
      </c>
      <c r="F1232" s="24" t="n">
        <v>0</v>
      </c>
    </row>
    <row r="1233" customFormat="false" ht="15" hidden="false" customHeight="false" outlineLevel="0" collapsed="false">
      <c r="A1233" s="3" t="n">
        <v>1232</v>
      </c>
      <c r="B1233" s="3" t="n">
        <v>1231</v>
      </c>
      <c r="C1233" s="3" t="n">
        <v>6</v>
      </c>
      <c r="D1233" s="3" t="n">
        <v>3</v>
      </c>
      <c r="E1233" s="3" t="n">
        <v>13</v>
      </c>
      <c r="F1233" s="24" t="n">
        <v>0</v>
      </c>
    </row>
    <row r="1234" customFormat="false" ht="15" hidden="false" customHeight="false" outlineLevel="0" collapsed="false">
      <c r="A1234" s="3" t="n">
        <v>1233</v>
      </c>
      <c r="B1234" s="3" t="n">
        <v>1232</v>
      </c>
      <c r="C1234" s="3" t="n">
        <v>6</v>
      </c>
      <c r="D1234" s="3" t="n">
        <v>4</v>
      </c>
      <c r="E1234" s="3" t="n">
        <v>0</v>
      </c>
      <c r="F1234" s="24" t="n">
        <v>0</v>
      </c>
    </row>
    <row r="1235" customFormat="false" ht="15" hidden="false" customHeight="false" outlineLevel="0" collapsed="false">
      <c r="A1235" s="3" t="n">
        <v>1234</v>
      </c>
      <c r="B1235" s="3" t="n">
        <v>1233</v>
      </c>
      <c r="C1235" s="3" t="n">
        <v>6</v>
      </c>
      <c r="D1235" s="3" t="n">
        <v>4</v>
      </c>
      <c r="E1235" s="3" t="n">
        <v>1</v>
      </c>
      <c r="F1235" s="24" t="n">
        <v>1.04164183</v>
      </c>
    </row>
    <row r="1236" customFormat="false" ht="15" hidden="false" customHeight="false" outlineLevel="0" collapsed="false">
      <c r="A1236" s="3" t="n">
        <v>1235</v>
      </c>
      <c r="B1236" s="3" t="n">
        <v>1234</v>
      </c>
      <c r="C1236" s="3" t="n">
        <v>6</v>
      </c>
      <c r="D1236" s="3" t="n">
        <v>4</v>
      </c>
      <c r="E1236" s="3" t="n">
        <v>2</v>
      </c>
      <c r="F1236" s="24" t="n">
        <v>1.94287479</v>
      </c>
    </row>
    <row r="1237" customFormat="false" ht="15" hidden="false" customHeight="false" outlineLevel="0" collapsed="false">
      <c r="A1237" s="3" t="n">
        <v>1236</v>
      </c>
      <c r="B1237" s="3" t="n">
        <v>1235</v>
      </c>
      <c r="C1237" s="3" t="n">
        <v>6</v>
      </c>
      <c r="D1237" s="3" t="n">
        <v>4</v>
      </c>
      <c r="E1237" s="3" t="n">
        <v>3</v>
      </c>
      <c r="F1237" s="24" t="n">
        <v>0.233292013</v>
      </c>
    </row>
    <row r="1238" customFormat="false" ht="15" hidden="false" customHeight="false" outlineLevel="0" collapsed="false">
      <c r="A1238" s="3" t="n">
        <v>1237</v>
      </c>
      <c r="B1238" s="3" t="n">
        <v>1236</v>
      </c>
      <c r="C1238" s="3" t="n">
        <v>6</v>
      </c>
      <c r="D1238" s="3" t="n">
        <v>4</v>
      </c>
      <c r="E1238" s="3" t="n">
        <v>4</v>
      </c>
      <c r="F1238" s="24" t="n">
        <v>4.83087969</v>
      </c>
    </row>
    <row r="1239" customFormat="false" ht="15" hidden="false" customHeight="false" outlineLevel="0" collapsed="false">
      <c r="A1239" s="3" t="n">
        <v>1238</v>
      </c>
      <c r="B1239" s="3" t="n">
        <v>1237</v>
      </c>
      <c r="C1239" s="3" t="n">
        <v>6</v>
      </c>
      <c r="D1239" s="3" t="n">
        <v>4</v>
      </c>
      <c r="E1239" s="3" t="n">
        <v>5</v>
      </c>
      <c r="F1239" s="24" t="n">
        <v>6.70926332</v>
      </c>
    </row>
    <row r="1240" customFormat="false" ht="15" hidden="false" customHeight="false" outlineLevel="0" collapsed="false">
      <c r="A1240" s="3" t="n">
        <v>1239</v>
      </c>
      <c r="B1240" s="3" t="n">
        <v>1238</v>
      </c>
      <c r="C1240" s="3" t="n">
        <v>6</v>
      </c>
      <c r="D1240" s="3" t="n">
        <v>4</v>
      </c>
      <c r="E1240" s="3" t="n">
        <v>6</v>
      </c>
      <c r="F1240" s="24" t="n">
        <v>7.70817232</v>
      </c>
    </row>
    <row r="1241" customFormat="false" ht="15" hidden="false" customHeight="false" outlineLevel="0" collapsed="false">
      <c r="A1241" s="3" t="n">
        <v>1240</v>
      </c>
      <c r="B1241" s="3" t="n">
        <v>1239</v>
      </c>
      <c r="C1241" s="3" t="n">
        <v>6</v>
      </c>
      <c r="D1241" s="3" t="n">
        <v>4</v>
      </c>
      <c r="E1241" s="3" t="n">
        <v>7</v>
      </c>
      <c r="F1241" s="24" t="n">
        <v>6.97527885</v>
      </c>
    </row>
    <row r="1242" customFormat="false" ht="15" hidden="false" customHeight="false" outlineLevel="0" collapsed="false">
      <c r="A1242" s="3" t="n">
        <v>1241</v>
      </c>
      <c r="B1242" s="3" t="n">
        <v>1240</v>
      </c>
      <c r="C1242" s="3" t="n">
        <v>6</v>
      </c>
      <c r="D1242" s="3" t="n">
        <v>4</v>
      </c>
      <c r="E1242" s="3" t="n">
        <v>8</v>
      </c>
      <c r="F1242" s="24" t="n">
        <v>5.59687376</v>
      </c>
    </row>
    <row r="1243" customFormat="false" ht="15" hidden="false" customHeight="false" outlineLevel="0" collapsed="false">
      <c r="A1243" s="3" t="n">
        <v>1242</v>
      </c>
      <c r="B1243" s="3" t="n">
        <v>1241</v>
      </c>
      <c r="C1243" s="3" t="n">
        <v>6</v>
      </c>
      <c r="D1243" s="3" t="n">
        <v>4</v>
      </c>
      <c r="E1243" s="3" t="n">
        <v>9</v>
      </c>
      <c r="F1243" s="24" t="n">
        <v>6.99577665</v>
      </c>
    </row>
    <row r="1244" customFormat="false" ht="15" hidden="false" customHeight="false" outlineLevel="0" collapsed="false">
      <c r="A1244" s="3" t="n">
        <v>1243</v>
      </c>
      <c r="B1244" s="3" t="n">
        <v>1242</v>
      </c>
      <c r="C1244" s="3" t="n">
        <v>6</v>
      </c>
      <c r="D1244" s="3" t="n">
        <v>4</v>
      </c>
      <c r="E1244" s="3" t="n">
        <v>10</v>
      </c>
      <c r="F1244" s="24" t="n">
        <v>4.70144367</v>
      </c>
    </row>
    <row r="1245" customFormat="false" ht="15" hidden="false" customHeight="false" outlineLevel="0" collapsed="false">
      <c r="A1245" s="3" t="n">
        <v>1244</v>
      </c>
      <c r="B1245" s="3" t="n">
        <v>1243</v>
      </c>
      <c r="C1245" s="3" t="n">
        <v>6</v>
      </c>
      <c r="D1245" s="3" t="n">
        <v>4</v>
      </c>
      <c r="E1245" s="3" t="n">
        <v>11</v>
      </c>
      <c r="F1245" s="24" t="n">
        <v>1.69293487</v>
      </c>
    </row>
    <row r="1246" customFormat="false" ht="15" hidden="false" customHeight="false" outlineLevel="0" collapsed="false">
      <c r="A1246" s="3" t="n">
        <v>1245</v>
      </c>
      <c r="B1246" s="3" t="n">
        <v>1244</v>
      </c>
      <c r="C1246" s="3" t="n">
        <v>6</v>
      </c>
      <c r="D1246" s="3" t="n">
        <v>4</v>
      </c>
      <c r="E1246" s="3" t="n">
        <v>12</v>
      </c>
      <c r="F1246" s="24" t="n">
        <v>0.053639859</v>
      </c>
    </row>
    <row r="1247" customFormat="false" ht="15" hidden="false" customHeight="false" outlineLevel="0" collapsed="false">
      <c r="A1247" s="3" t="n">
        <v>1246</v>
      </c>
      <c r="B1247" s="3" t="n">
        <v>1245</v>
      </c>
      <c r="C1247" s="3" t="n">
        <v>6</v>
      </c>
      <c r="D1247" s="3" t="n">
        <v>4</v>
      </c>
      <c r="E1247" s="3" t="n">
        <v>13</v>
      </c>
      <c r="F1247" s="24" t="n">
        <v>0</v>
      </c>
    </row>
    <row r="1248" customFormat="false" ht="15" hidden="false" customHeight="false" outlineLevel="0" collapsed="false">
      <c r="A1248" s="3" t="n">
        <v>1247</v>
      </c>
      <c r="B1248" s="3" t="n">
        <v>1246</v>
      </c>
      <c r="C1248" s="3" t="n">
        <v>6</v>
      </c>
      <c r="D1248" s="3" t="n">
        <v>5</v>
      </c>
      <c r="E1248" s="3" t="n">
        <v>0</v>
      </c>
      <c r="F1248" s="24" t="n">
        <v>0</v>
      </c>
    </row>
    <row r="1249" customFormat="false" ht="15" hidden="false" customHeight="false" outlineLevel="0" collapsed="false">
      <c r="A1249" s="3" t="n">
        <v>1248</v>
      </c>
      <c r="B1249" s="3" t="n">
        <v>1247</v>
      </c>
      <c r="C1249" s="3" t="n">
        <v>6</v>
      </c>
      <c r="D1249" s="3" t="n">
        <v>5</v>
      </c>
      <c r="E1249" s="3" t="n">
        <v>1</v>
      </c>
      <c r="F1249" s="24" t="n">
        <v>0</v>
      </c>
    </row>
    <row r="1250" customFormat="false" ht="15" hidden="false" customHeight="false" outlineLevel="0" collapsed="false">
      <c r="A1250" s="3" t="n">
        <v>1249</v>
      </c>
      <c r="B1250" s="3" t="n">
        <v>1248</v>
      </c>
      <c r="C1250" s="3" t="n">
        <v>6</v>
      </c>
      <c r="D1250" s="3" t="n">
        <v>5</v>
      </c>
      <c r="E1250" s="3" t="n">
        <v>2</v>
      </c>
      <c r="F1250" s="24" t="n">
        <v>0</v>
      </c>
    </row>
    <row r="1251" customFormat="false" ht="15" hidden="false" customHeight="false" outlineLevel="0" collapsed="false">
      <c r="A1251" s="3" t="n">
        <v>1250</v>
      </c>
      <c r="B1251" s="3" t="n">
        <v>1249</v>
      </c>
      <c r="C1251" s="3" t="n">
        <v>6</v>
      </c>
      <c r="D1251" s="3" t="n">
        <v>5</v>
      </c>
      <c r="E1251" s="3" t="n">
        <v>3</v>
      </c>
      <c r="F1251" s="24" t="n">
        <v>0</v>
      </c>
    </row>
    <row r="1252" customFormat="false" ht="15" hidden="false" customHeight="false" outlineLevel="0" collapsed="false">
      <c r="A1252" s="3" t="n">
        <v>1251</v>
      </c>
      <c r="B1252" s="3" t="n">
        <v>1250</v>
      </c>
      <c r="C1252" s="3" t="n">
        <v>6</v>
      </c>
      <c r="D1252" s="3" t="n">
        <v>5</v>
      </c>
      <c r="E1252" s="3" t="n">
        <v>4</v>
      </c>
      <c r="F1252" s="24" t="n">
        <v>0</v>
      </c>
    </row>
    <row r="1253" customFormat="false" ht="15" hidden="false" customHeight="false" outlineLevel="0" collapsed="false">
      <c r="A1253" s="3" t="n">
        <v>1252</v>
      </c>
      <c r="B1253" s="3" t="n">
        <v>1251</v>
      </c>
      <c r="C1253" s="3" t="n">
        <v>6</v>
      </c>
      <c r="D1253" s="3" t="n">
        <v>5</v>
      </c>
      <c r="E1253" s="3" t="n">
        <v>5</v>
      </c>
      <c r="F1253" s="24" t="n">
        <v>0</v>
      </c>
    </row>
    <row r="1254" customFormat="false" ht="15" hidden="false" customHeight="false" outlineLevel="0" collapsed="false">
      <c r="A1254" s="3" t="n">
        <v>1253</v>
      </c>
      <c r="B1254" s="3" t="n">
        <v>1252</v>
      </c>
      <c r="C1254" s="3" t="n">
        <v>6</v>
      </c>
      <c r="D1254" s="3" t="n">
        <v>5</v>
      </c>
      <c r="E1254" s="3" t="n">
        <v>6</v>
      </c>
      <c r="F1254" s="24" t="n">
        <v>0</v>
      </c>
    </row>
    <row r="1255" customFormat="false" ht="15" hidden="false" customHeight="false" outlineLevel="0" collapsed="false">
      <c r="A1255" s="3" t="n">
        <v>1254</v>
      </c>
      <c r="B1255" s="3" t="n">
        <v>1253</v>
      </c>
      <c r="C1255" s="3" t="n">
        <v>6</v>
      </c>
      <c r="D1255" s="3" t="n">
        <v>5</v>
      </c>
      <c r="E1255" s="3" t="n">
        <v>7</v>
      </c>
      <c r="F1255" s="24" t="n">
        <v>0</v>
      </c>
    </row>
    <row r="1256" customFormat="false" ht="15" hidden="false" customHeight="false" outlineLevel="0" collapsed="false">
      <c r="A1256" s="3" t="n">
        <v>1255</v>
      </c>
      <c r="B1256" s="3" t="n">
        <v>1254</v>
      </c>
      <c r="C1256" s="3" t="n">
        <v>6</v>
      </c>
      <c r="D1256" s="3" t="n">
        <v>5</v>
      </c>
      <c r="E1256" s="3" t="n">
        <v>8</v>
      </c>
      <c r="F1256" s="24" t="n">
        <v>0</v>
      </c>
    </row>
    <row r="1257" customFormat="false" ht="15" hidden="false" customHeight="false" outlineLevel="0" collapsed="false">
      <c r="A1257" s="3" t="n">
        <v>1256</v>
      </c>
      <c r="B1257" s="3" t="n">
        <v>1255</v>
      </c>
      <c r="C1257" s="3" t="n">
        <v>6</v>
      </c>
      <c r="D1257" s="3" t="n">
        <v>5</v>
      </c>
      <c r="E1257" s="3" t="n">
        <v>9</v>
      </c>
      <c r="F1257" s="24" t="n">
        <v>0.55154407</v>
      </c>
    </row>
    <row r="1258" customFormat="false" ht="15" hidden="false" customHeight="false" outlineLevel="0" collapsed="false">
      <c r="A1258" s="3" t="n">
        <v>1257</v>
      </c>
      <c r="B1258" s="3" t="n">
        <v>1256</v>
      </c>
      <c r="C1258" s="3" t="n">
        <v>6</v>
      </c>
      <c r="D1258" s="3" t="n">
        <v>5</v>
      </c>
      <c r="E1258" s="3" t="n">
        <v>10</v>
      </c>
      <c r="F1258" s="24" t="n">
        <v>0.299811035</v>
      </c>
    </row>
    <row r="1259" customFormat="false" ht="15" hidden="false" customHeight="false" outlineLevel="0" collapsed="false">
      <c r="A1259" s="3" t="n">
        <v>1258</v>
      </c>
      <c r="B1259" s="3" t="n">
        <v>1257</v>
      </c>
      <c r="C1259" s="3" t="n">
        <v>6</v>
      </c>
      <c r="D1259" s="3" t="n">
        <v>5</v>
      </c>
      <c r="E1259" s="3" t="n">
        <v>11</v>
      </c>
      <c r="F1259" s="24" t="n">
        <v>1.28672135</v>
      </c>
    </row>
    <row r="1260" customFormat="false" ht="15" hidden="false" customHeight="false" outlineLevel="0" collapsed="false">
      <c r="A1260" s="3" t="n">
        <v>1259</v>
      </c>
      <c r="B1260" s="3" t="n">
        <v>1258</v>
      </c>
      <c r="C1260" s="3" t="n">
        <v>6</v>
      </c>
      <c r="D1260" s="3" t="n">
        <v>5</v>
      </c>
      <c r="E1260" s="3" t="n">
        <v>12</v>
      </c>
      <c r="F1260" s="24" t="n">
        <v>0</v>
      </c>
    </row>
    <row r="1261" customFormat="false" ht="15" hidden="false" customHeight="false" outlineLevel="0" collapsed="false">
      <c r="A1261" s="3" t="n">
        <v>1260</v>
      </c>
      <c r="B1261" s="3" t="n">
        <v>1259</v>
      </c>
      <c r="C1261" s="3" t="n">
        <v>6</v>
      </c>
      <c r="D1261" s="3" t="n">
        <v>5</v>
      </c>
      <c r="E1261" s="3" t="n">
        <v>13</v>
      </c>
      <c r="F1261" s="24" t="n">
        <v>0</v>
      </c>
    </row>
    <row r="1262" customFormat="false" ht="15" hidden="false" customHeight="false" outlineLevel="0" collapsed="false">
      <c r="A1262" s="3" t="n">
        <v>1261</v>
      </c>
      <c r="B1262" s="3" t="n">
        <v>1260</v>
      </c>
      <c r="C1262" s="3" t="n">
        <v>6</v>
      </c>
      <c r="D1262" s="3" t="n">
        <v>6</v>
      </c>
      <c r="E1262" s="3" t="n">
        <v>0</v>
      </c>
      <c r="F1262" s="24" t="n">
        <v>0</v>
      </c>
    </row>
    <row r="1263" customFormat="false" ht="15" hidden="false" customHeight="false" outlineLevel="0" collapsed="false">
      <c r="A1263" s="3" t="n">
        <v>1262</v>
      </c>
      <c r="B1263" s="3" t="n">
        <v>1261</v>
      </c>
      <c r="C1263" s="3" t="n">
        <v>6</v>
      </c>
      <c r="D1263" s="3" t="n">
        <v>6</v>
      </c>
      <c r="E1263" s="3" t="n">
        <v>1</v>
      </c>
      <c r="F1263" s="24" t="n">
        <v>0</v>
      </c>
    </row>
    <row r="1264" customFormat="false" ht="15" hidden="false" customHeight="false" outlineLevel="0" collapsed="false">
      <c r="A1264" s="3" t="n">
        <v>1263</v>
      </c>
      <c r="B1264" s="3" t="n">
        <v>1262</v>
      </c>
      <c r="C1264" s="3" t="n">
        <v>6</v>
      </c>
      <c r="D1264" s="3" t="n">
        <v>6</v>
      </c>
      <c r="E1264" s="3" t="n">
        <v>2</v>
      </c>
      <c r="F1264" s="24" t="n">
        <v>0</v>
      </c>
    </row>
    <row r="1265" customFormat="false" ht="15" hidden="false" customHeight="false" outlineLevel="0" collapsed="false">
      <c r="A1265" s="3" t="n">
        <v>1264</v>
      </c>
      <c r="B1265" s="3" t="n">
        <v>1263</v>
      </c>
      <c r="C1265" s="3" t="n">
        <v>6</v>
      </c>
      <c r="D1265" s="3" t="n">
        <v>6</v>
      </c>
      <c r="E1265" s="3" t="n">
        <v>3</v>
      </c>
      <c r="F1265" s="24" t="n">
        <v>0</v>
      </c>
    </row>
    <row r="1266" customFormat="false" ht="15" hidden="false" customHeight="false" outlineLevel="0" collapsed="false">
      <c r="A1266" s="3" t="n">
        <v>1265</v>
      </c>
      <c r="B1266" s="3" t="n">
        <v>1264</v>
      </c>
      <c r="C1266" s="3" t="n">
        <v>6</v>
      </c>
      <c r="D1266" s="3" t="n">
        <v>6</v>
      </c>
      <c r="E1266" s="3" t="n">
        <v>4</v>
      </c>
      <c r="F1266" s="24" t="n">
        <v>0</v>
      </c>
    </row>
    <row r="1267" customFormat="false" ht="15" hidden="false" customHeight="false" outlineLevel="0" collapsed="false">
      <c r="A1267" s="3" t="n">
        <v>1266</v>
      </c>
      <c r="B1267" s="3" t="n">
        <v>1265</v>
      </c>
      <c r="C1267" s="3" t="n">
        <v>6</v>
      </c>
      <c r="D1267" s="3" t="n">
        <v>6</v>
      </c>
      <c r="E1267" s="3" t="n">
        <v>5</v>
      </c>
      <c r="F1267" s="24" t="n">
        <v>0</v>
      </c>
    </row>
    <row r="1268" customFormat="false" ht="15" hidden="false" customHeight="false" outlineLevel="0" collapsed="false">
      <c r="A1268" s="3" t="n">
        <v>1267</v>
      </c>
      <c r="B1268" s="3" t="n">
        <v>1266</v>
      </c>
      <c r="C1268" s="3" t="n">
        <v>6</v>
      </c>
      <c r="D1268" s="3" t="n">
        <v>6</v>
      </c>
      <c r="E1268" s="3" t="n">
        <v>6</v>
      </c>
      <c r="F1268" s="24" t="n">
        <v>0</v>
      </c>
    </row>
    <row r="1269" customFormat="false" ht="15" hidden="false" customHeight="false" outlineLevel="0" collapsed="false">
      <c r="A1269" s="3" t="n">
        <v>1268</v>
      </c>
      <c r="B1269" s="3" t="n">
        <v>1267</v>
      </c>
      <c r="C1269" s="3" t="n">
        <v>6</v>
      </c>
      <c r="D1269" s="3" t="n">
        <v>6</v>
      </c>
      <c r="E1269" s="3" t="n">
        <v>7</v>
      </c>
      <c r="F1269" s="24" t="n">
        <v>0</v>
      </c>
    </row>
    <row r="1270" customFormat="false" ht="15" hidden="false" customHeight="false" outlineLevel="0" collapsed="false">
      <c r="A1270" s="3" t="n">
        <v>1269</v>
      </c>
      <c r="B1270" s="3" t="n">
        <v>1268</v>
      </c>
      <c r="C1270" s="3" t="n">
        <v>6</v>
      </c>
      <c r="D1270" s="3" t="n">
        <v>6</v>
      </c>
      <c r="E1270" s="3" t="n">
        <v>8</v>
      </c>
      <c r="F1270" s="24" t="n">
        <v>1.28130782</v>
      </c>
    </row>
    <row r="1271" customFormat="false" ht="15" hidden="false" customHeight="false" outlineLevel="0" collapsed="false">
      <c r="A1271" s="3" t="n">
        <v>1270</v>
      </c>
      <c r="B1271" s="3" t="n">
        <v>1269</v>
      </c>
      <c r="C1271" s="3" t="n">
        <v>6</v>
      </c>
      <c r="D1271" s="3" t="n">
        <v>6</v>
      </c>
      <c r="E1271" s="3" t="n">
        <v>9</v>
      </c>
      <c r="F1271" s="24" t="n">
        <v>0</v>
      </c>
    </row>
    <row r="1272" customFormat="false" ht="15" hidden="false" customHeight="false" outlineLevel="0" collapsed="false">
      <c r="A1272" s="3" t="n">
        <v>1271</v>
      </c>
      <c r="B1272" s="3" t="n">
        <v>1270</v>
      </c>
      <c r="C1272" s="3" t="n">
        <v>6</v>
      </c>
      <c r="D1272" s="3" t="n">
        <v>6</v>
      </c>
      <c r="E1272" s="3" t="n">
        <v>10</v>
      </c>
      <c r="F1272" s="24" t="n">
        <v>0</v>
      </c>
    </row>
    <row r="1273" customFormat="false" ht="15" hidden="false" customHeight="false" outlineLevel="0" collapsed="false">
      <c r="A1273" s="3" t="n">
        <v>1272</v>
      </c>
      <c r="B1273" s="3" t="n">
        <v>1271</v>
      </c>
      <c r="C1273" s="3" t="n">
        <v>6</v>
      </c>
      <c r="D1273" s="3" t="n">
        <v>6</v>
      </c>
      <c r="E1273" s="3" t="n">
        <v>11</v>
      </c>
      <c r="F1273" s="24" t="n">
        <v>0</v>
      </c>
    </row>
    <row r="1274" customFormat="false" ht="15" hidden="false" customHeight="false" outlineLevel="0" collapsed="false">
      <c r="A1274" s="3" t="n">
        <v>1273</v>
      </c>
      <c r="B1274" s="3" t="n">
        <v>1272</v>
      </c>
      <c r="C1274" s="3" t="n">
        <v>6</v>
      </c>
      <c r="D1274" s="3" t="n">
        <v>6</v>
      </c>
      <c r="E1274" s="3" t="n">
        <v>12</v>
      </c>
      <c r="F1274" s="24" t="n">
        <v>0</v>
      </c>
    </row>
    <row r="1275" customFormat="false" ht="15" hidden="false" customHeight="false" outlineLevel="0" collapsed="false">
      <c r="A1275" s="3" t="n">
        <v>1274</v>
      </c>
      <c r="B1275" s="3" t="n">
        <v>1273</v>
      </c>
      <c r="C1275" s="3" t="n">
        <v>6</v>
      </c>
      <c r="D1275" s="3" t="n">
        <v>6</v>
      </c>
      <c r="E1275" s="3" t="n">
        <v>13</v>
      </c>
      <c r="F1275" s="24" t="n">
        <v>0</v>
      </c>
    </row>
    <row r="1276" customFormat="false" ht="15" hidden="false" customHeight="false" outlineLevel="0" collapsed="false">
      <c r="A1276" s="3" t="n">
        <v>1275</v>
      </c>
      <c r="B1276" s="3" t="n">
        <v>1274</v>
      </c>
      <c r="C1276" s="3" t="n">
        <v>6</v>
      </c>
      <c r="D1276" s="3" t="n">
        <v>7</v>
      </c>
      <c r="E1276" s="3" t="n">
        <v>0</v>
      </c>
      <c r="F1276" s="24" t="n">
        <v>0</v>
      </c>
    </row>
    <row r="1277" customFormat="false" ht="15" hidden="false" customHeight="false" outlineLevel="0" collapsed="false">
      <c r="A1277" s="3" t="n">
        <v>1276</v>
      </c>
      <c r="B1277" s="3" t="n">
        <v>1275</v>
      </c>
      <c r="C1277" s="3" t="n">
        <v>6</v>
      </c>
      <c r="D1277" s="3" t="n">
        <v>7</v>
      </c>
      <c r="E1277" s="3" t="n">
        <v>1</v>
      </c>
      <c r="F1277" s="24" t="n">
        <v>0</v>
      </c>
    </row>
    <row r="1278" customFormat="false" ht="15" hidden="false" customHeight="false" outlineLevel="0" collapsed="false">
      <c r="A1278" s="3" t="n">
        <v>1277</v>
      </c>
      <c r="B1278" s="3" t="n">
        <v>1276</v>
      </c>
      <c r="C1278" s="3" t="n">
        <v>6</v>
      </c>
      <c r="D1278" s="3" t="n">
        <v>7</v>
      </c>
      <c r="E1278" s="3" t="n">
        <v>2</v>
      </c>
      <c r="F1278" s="24" t="n">
        <v>0</v>
      </c>
    </row>
    <row r="1279" customFormat="false" ht="15" hidden="false" customHeight="false" outlineLevel="0" collapsed="false">
      <c r="A1279" s="3" t="n">
        <v>1278</v>
      </c>
      <c r="B1279" s="3" t="n">
        <v>1277</v>
      </c>
      <c r="C1279" s="3" t="n">
        <v>6</v>
      </c>
      <c r="D1279" s="3" t="n">
        <v>7</v>
      </c>
      <c r="E1279" s="3" t="n">
        <v>3</v>
      </c>
      <c r="F1279" s="24" t="n">
        <v>0</v>
      </c>
    </row>
    <row r="1280" customFormat="false" ht="15" hidden="false" customHeight="false" outlineLevel="0" collapsed="false">
      <c r="A1280" s="3" t="n">
        <v>1279</v>
      </c>
      <c r="B1280" s="3" t="n">
        <v>1278</v>
      </c>
      <c r="C1280" s="3" t="n">
        <v>6</v>
      </c>
      <c r="D1280" s="3" t="n">
        <v>7</v>
      </c>
      <c r="E1280" s="3" t="n">
        <v>4</v>
      </c>
      <c r="F1280" s="24" t="n">
        <v>0</v>
      </c>
    </row>
    <row r="1281" customFormat="false" ht="15" hidden="false" customHeight="false" outlineLevel="0" collapsed="false">
      <c r="A1281" s="3" t="n">
        <v>1280</v>
      </c>
      <c r="B1281" s="3" t="n">
        <v>1279</v>
      </c>
      <c r="C1281" s="3" t="n">
        <v>6</v>
      </c>
      <c r="D1281" s="3" t="n">
        <v>7</v>
      </c>
      <c r="E1281" s="3" t="n">
        <v>5</v>
      </c>
      <c r="F1281" s="24" t="n">
        <v>0</v>
      </c>
    </row>
    <row r="1282" customFormat="false" ht="15" hidden="false" customHeight="false" outlineLevel="0" collapsed="false">
      <c r="A1282" s="3" t="n">
        <v>1281</v>
      </c>
      <c r="B1282" s="3" t="n">
        <v>1280</v>
      </c>
      <c r="C1282" s="3" t="n">
        <v>6</v>
      </c>
      <c r="D1282" s="3" t="n">
        <v>7</v>
      </c>
      <c r="E1282" s="3" t="n">
        <v>6</v>
      </c>
      <c r="F1282" s="24" t="n">
        <v>0</v>
      </c>
    </row>
    <row r="1283" customFormat="false" ht="15" hidden="false" customHeight="false" outlineLevel="0" collapsed="false">
      <c r="A1283" s="3" t="n">
        <v>1282</v>
      </c>
      <c r="B1283" s="3" t="n">
        <v>1281</v>
      </c>
      <c r="C1283" s="3" t="n">
        <v>6</v>
      </c>
      <c r="D1283" s="3" t="n">
        <v>7</v>
      </c>
      <c r="E1283" s="3" t="n">
        <v>7</v>
      </c>
      <c r="F1283" s="24" t="n">
        <v>2.6663959</v>
      </c>
    </row>
    <row r="1284" customFormat="false" ht="15" hidden="false" customHeight="false" outlineLevel="0" collapsed="false">
      <c r="A1284" s="3" t="n">
        <v>1283</v>
      </c>
      <c r="B1284" s="3" t="n">
        <v>1282</v>
      </c>
      <c r="C1284" s="3" t="n">
        <v>6</v>
      </c>
      <c r="D1284" s="3" t="n">
        <v>7</v>
      </c>
      <c r="E1284" s="3" t="n">
        <v>8</v>
      </c>
      <c r="F1284" s="24" t="n">
        <v>0.237851471</v>
      </c>
    </row>
    <row r="1285" customFormat="false" ht="15" hidden="false" customHeight="false" outlineLevel="0" collapsed="false">
      <c r="A1285" s="3" t="n">
        <v>1284</v>
      </c>
      <c r="B1285" s="3" t="n">
        <v>1283</v>
      </c>
      <c r="C1285" s="3" t="n">
        <v>6</v>
      </c>
      <c r="D1285" s="3" t="n">
        <v>7</v>
      </c>
      <c r="E1285" s="3" t="n">
        <v>9</v>
      </c>
      <c r="F1285" s="24" t="n">
        <v>0</v>
      </c>
    </row>
    <row r="1286" customFormat="false" ht="15" hidden="false" customHeight="false" outlineLevel="0" collapsed="false">
      <c r="A1286" s="3" t="n">
        <v>1285</v>
      </c>
      <c r="B1286" s="3" t="n">
        <v>1284</v>
      </c>
      <c r="C1286" s="3" t="n">
        <v>6</v>
      </c>
      <c r="D1286" s="3" t="n">
        <v>7</v>
      </c>
      <c r="E1286" s="3" t="n">
        <v>10</v>
      </c>
      <c r="F1286" s="24" t="n">
        <v>0</v>
      </c>
    </row>
    <row r="1287" customFormat="false" ht="15" hidden="false" customHeight="false" outlineLevel="0" collapsed="false">
      <c r="A1287" s="3" t="n">
        <v>1286</v>
      </c>
      <c r="B1287" s="3" t="n">
        <v>1285</v>
      </c>
      <c r="C1287" s="3" t="n">
        <v>6</v>
      </c>
      <c r="D1287" s="3" t="n">
        <v>7</v>
      </c>
      <c r="E1287" s="3" t="n">
        <v>11</v>
      </c>
      <c r="F1287" s="24" t="n">
        <v>0</v>
      </c>
    </row>
    <row r="1288" customFormat="false" ht="15" hidden="false" customHeight="false" outlineLevel="0" collapsed="false">
      <c r="A1288" s="3" t="n">
        <v>1287</v>
      </c>
      <c r="B1288" s="3" t="n">
        <v>1286</v>
      </c>
      <c r="C1288" s="3" t="n">
        <v>6</v>
      </c>
      <c r="D1288" s="3" t="n">
        <v>7</v>
      </c>
      <c r="E1288" s="3" t="n">
        <v>12</v>
      </c>
      <c r="F1288" s="24" t="n">
        <v>0</v>
      </c>
    </row>
    <row r="1289" customFormat="false" ht="15" hidden="false" customHeight="false" outlineLevel="0" collapsed="false">
      <c r="A1289" s="3" t="n">
        <v>1288</v>
      </c>
      <c r="B1289" s="3" t="n">
        <v>1287</v>
      </c>
      <c r="C1289" s="3" t="n">
        <v>6</v>
      </c>
      <c r="D1289" s="3" t="n">
        <v>7</v>
      </c>
      <c r="E1289" s="3" t="n">
        <v>13</v>
      </c>
      <c r="F1289" s="24" t="n">
        <v>0</v>
      </c>
    </row>
    <row r="1290" customFormat="false" ht="15" hidden="false" customHeight="false" outlineLevel="0" collapsed="false">
      <c r="A1290" s="3" t="n">
        <v>1289</v>
      </c>
      <c r="B1290" s="3" t="n">
        <v>1288</v>
      </c>
      <c r="C1290" s="3" t="n">
        <v>6</v>
      </c>
      <c r="D1290" s="3" t="n">
        <v>8</v>
      </c>
      <c r="E1290" s="3" t="n">
        <v>0</v>
      </c>
      <c r="F1290" s="24" t="n">
        <v>0</v>
      </c>
    </row>
    <row r="1291" customFormat="false" ht="15" hidden="false" customHeight="false" outlineLevel="0" collapsed="false">
      <c r="A1291" s="3" t="n">
        <v>1290</v>
      </c>
      <c r="B1291" s="3" t="n">
        <v>1289</v>
      </c>
      <c r="C1291" s="3" t="n">
        <v>6</v>
      </c>
      <c r="D1291" s="3" t="n">
        <v>8</v>
      </c>
      <c r="E1291" s="3" t="n">
        <v>1</v>
      </c>
      <c r="F1291" s="24" t="n">
        <v>0</v>
      </c>
    </row>
    <row r="1292" customFormat="false" ht="15" hidden="false" customHeight="false" outlineLevel="0" collapsed="false">
      <c r="A1292" s="3" t="n">
        <v>1291</v>
      </c>
      <c r="B1292" s="3" t="n">
        <v>1290</v>
      </c>
      <c r="C1292" s="3" t="n">
        <v>6</v>
      </c>
      <c r="D1292" s="3" t="n">
        <v>8</v>
      </c>
      <c r="E1292" s="3" t="n">
        <v>2</v>
      </c>
      <c r="F1292" s="24" t="n">
        <v>0</v>
      </c>
    </row>
    <row r="1293" customFormat="false" ht="15" hidden="false" customHeight="false" outlineLevel="0" collapsed="false">
      <c r="A1293" s="3" t="n">
        <v>1292</v>
      </c>
      <c r="B1293" s="3" t="n">
        <v>1291</v>
      </c>
      <c r="C1293" s="3" t="n">
        <v>6</v>
      </c>
      <c r="D1293" s="3" t="n">
        <v>8</v>
      </c>
      <c r="E1293" s="3" t="n">
        <v>3</v>
      </c>
      <c r="F1293" s="24" t="n">
        <v>0</v>
      </c>
    </row>
    <row r="1294" customFormat="false" ht="15" hidden="false" customHeight="false" outlineLevel="0" collapsed="false">
      <c r="A1294" s="3" t="n">
        <v>1293</v>
      </c>
      <c r="B1294" s="3" t="n">
        <v>1292</v>
      </c>
      <c r="C1294" s="3" t="n">
        <v>6</v>
      </c>
      <c r="D1294" s="3" t="n">
        <v>8</v>
      </c>
      <c r="E1294" s="3" t="n">
        <v>4</v>
      </c>
      <c r="F1294" s="24" t="n">
        <v>0</v>
      </c>
    </row>
    <row r="1295" customFormat="false" ht="15" hidden="false" customHeight="false" outlineLevel="0" collapsed="false">
      <c r="A1295" s="3" t="n">
        <v>1294</v>
      </c>
      <c r="B1295" s="3" t="n">
        <v>1293</v>
      </c>
      <c r="C1295" s="3" t="n">
        <v>6</v>
      </c>
      <c r="D1295" s="3" t="n">
        <v>8</v>
      </c>
      <c r="E1295" s="3" t="n">
        <v>5</v>
      </c>
      <c r="F1295" s="24" t="n">
        <v>0</v>
      </c>
    </row>
    <row r="1296" customFormat="false" ht="15" hidden="false" customHeight="false" outlineLevel="0" collapsed="false">
      <c r="A1296" s="3" t="n">
        <v>1295</v>
      </c>
      <c r="B1296" s="3" t="n">
        <v>1294</v>
      </c>
      <c r="C1296" s="3" t="n">
        <v>6</v>
      </c>
      <c r="D1296" s="3" t="n">
        <v>8</v>
      </c>
      <c r="E1296" s="3" t="n">
        <v>6</v>
      </c>
      <c r="F1296" s="24" t="n">
        <v>2.44991231</v>
      </c>
    </row>
    <row r="1297" customFormat="false" ht="15" hidden="false" customHeight="false" outlineLevel="0" collapsed="false">
      <c r="A1297" s="3" t="n">
        <v>1296</v>
      </c>
      <c r="B1297" s="3" t="n">
        <v>1295</v>
      </c>
      <c r="C1297" s="3" t="n">
        <v>6</v>
      </c>
      <c r="D1297" s="3" t="n">
        <v>8</v>
      </c>
      <c r="E1297" s="3" t="n">
        <v>7</v>
      </c>
      <c r="F1297" s="24" t="n">
        <v>3.88434505</v>
      </c>
    </row>
    <row r="1298" customFormat="false" ht="15" hidden="false" customHeight="false" outlineLevel="0" collapsed="false">
      <c r="A1298" s="3" t="n">
        <v>1297</v>
      </c>
      <c r="B1298" s="3" t="n">
        <v>1296</v>
      </c>
      <c r="C1298" s="3" t="n">
        <v>6</v>
      </c>
      <c r="D1298" s="3" t="n">
        <v>8</v>
      </c>
      <c r="E1298" s="3" t="n">
        <v>8</v>
      </c>
      <c r="F1298" s="24" t="n">
        <v>0</v>
      </c>
    </row>
    <row r="1299" customFormat="false" ht="15" hidden="false" customHeight="false" outlineLevel="0" collapsed="false">
      <c r="A1299" s="3" t="n">
        <v>1298</v>
      </c>
      <c r="B1299" s="3" t="n">
        <v>1297</v>
      </c>
      <c r="C1299" s="3" t="n">
        <v>6</v>
      </c>
      <c r="D1299" s="3" t="n">
        <v>8</v>
      </c>
      <c r="E1299" s="3" t="n">
        <v>9</v>
      </c>
      <c r="F1299" s="24" t="n">
        <v>0.525866747</v>
      </c>
    </row>
    <row r="1300" customFormat="false" ht="15" hidden="false" customHeight="false" outlineLevel="0" collapsed="false">
      <c r="A1300" s="3" t="n">
        <v>1299</v>
      </c>
      <c r="B1300" s="3" t="n">
        <v>1298</v>
      </c>
      <c r="C1300" s="3" t="n">
        <v>6</v>
      </c>
      <c r="D1300" s="3" t="n">
        <v>8</v>
      </c>
      <c r="E1300" s="3" t="n">
        <v>10</v>
      </c>
      <c r="F1300" s="24" t="n">
        <v>0</v>
      </c>
    </row>
    <row r="1301" customFormat="false" ht="15" hidden="false" customHeight="false" outlineLevel="0" collapsed="false">
      <c r="A1301" s="3" t="n">
        <v>1300</v>
      </c>
      <c r="B1301" s="3" t="n">
        <v>1299</v>
      </c>
      <c r="C1301" s="3" t="n">
        <v>6</v>
      </c>
      <c r="D1301" s="3" t="n">
        <v>8</v>
      </c>
      <c r="E1301" s="3" t="n">
        <v>11</v>
      </c>
      <c r="F1301" s="24" t="n">
        <v>0</v>
      </c>
    </row>
    <row r="1302" customFormat="false" ht="15" hidden="false" customHeight="false" outlineLevel="0" collapsed="false">
      <c r="A1302" s="3" t="n">
        <v>1301</v>
      </c>
      <c r="B1302" s="3" t="n">
        <v>1300</v>
      </c>
      <c r="C1302" s="3" t="n">
        <v>6</v>
      </c>
      <c r="D1302" s="3" t="n">
        <v>8</v>
      </c>
      <c r="E1302" s="3" t="n">
        <v>12</v>
      </c>
      <c r="F1302" s="24" t="n">
        <v>0</v>
      </c>
    </row>
    <row r="1303" customFormat="false" ht="15" hidden="false" customHeight="false" outlineLevel="0" collapsed="false">
      <c r="A1303" s="3" t="n">
        <v>1302</v>
      </c>
      <c r="B1303" s="3" t="n">
        <v>1301</v>
      </c>
      <c r="C1303" s="3" t="n">
        <v>6</v>
      </c>
      <c r="D1303" s="3" t="n">
        <v>8</v>
      </c>
      <c r="E1303" s="3" t="n">
        <v>13</v>
      </c>
      <c r="F1303" s="24" t="n">
        <v>0</v>
      </c>
    </row>
    <row r="1304" customFormat="false" ht="15" hidden="false" customHeight="false" outlineLevel="0" collapsed="false">
      <c r="A1304" s="3" t="n">
        <v>1303</v>
      </c>
      <c r="B1304" s="3" t="n">
        <v>1302</v>
      </c>
      <c r="C1304" s="3" t="n">
        <v>6</v>
      </c>
      <c r="D1304" s="3" t="n">
        <v>9</v>
      </c>
      <c r="E1304" s="3" t="n">
        <v>0</v>
      </c>
      <c r="F1304" s="24" t="n">
        <v>0</v>
      </c>
    </row>
    <row r="1305" customFormat="false" ht="15" hidden="false" customHeight="false" outlineLevel="0" collapsed="false">
      <c r="A1305" s="3" t="n">
        <v>1304</v>
      </c>
      <c r="B1305" s="3" t="n">
        <v>1303</v>
      </c>
      <c r="C1305" s="3" t="n">
        <v>6</v>
      </c>
      <c r="D1305" s="3" t="n">
        <v>9</v>
      </c>
      <c r="E1305" s="3" t="n">
        <v>1</v>
      </c>
      <c r="F1305" s="24" t="n">
        <v>0</v>
      </c>
    </row>
    <row r="1306" customFormat="false" ht="15" hidden="false" customHeight="false" outlineLevel="0" collapsed="false">
      <c r="A1306" s="3" t="n">
        <v>1305</v>
      </c>
      <c r="B1306" s="3" t="n">
        <v>1304</v>
      </c>
      <c r="C1306" s="3" t="n">
        <v>6</v>
      </c>
      <c r="D1306" s="3" t="n">
        <v>9</v>
      </c>
      <c r="E1306" s="3" t="n">
        <v>2</v>
      </c>
      <c r="F1306" s="24" t="n">
        <v>0</v>
      </c>
    </row>
    <row r="1307" customFormat="false" ht="15" hidden="false" customHeight="false" outlineLevel="0" collapsed="false">
      <c r="A1307" s="3" t="n">
        <v>1306</v>
      </c>
      <c r="B1307" s="3" t="n">
        <v>1305</v>
      </c>
      <c r="C1307" s="3" t="n">
        <v>6</v>
      </c>
      <c r="D1307" s="3" t="n">
        <v>9</v>
      </c>
      <c r="E1307" s="3" t="n">
        <v>3</v>
      </c>
      <c r="F1307" s="24" t="n">
        <v>0</v>
      </c>
    </row>
    <row r="1308" customFormat="false" ht="15" hidden="false" customHeight="false" outlineLevel="0" collapsed="false">
      <c r="A1308" s="3" t="n">
        <v>1307</v>
      </c>
      <c r="B1308" s="3" t="n">
        <v>1306</v>
      </c>
      <c r="C1308" s="3" t="n">
        <v>6</v>
      </c>
      <c r="D1308" s="3" t="n">
        <v>9</v>
      </c>
      <c r="E1308" s="3" t="n">
        <v>4</v>
      </c>
      <c r="F1308" s="24" t="n">
        <v>0</v>
      </c>
    </row>
    <row r="1309" customFormat="false" ht="15" hidden="false" customHeight="false" outlineLevel="0" collapsed="false">
      <c r="A1309" s="3" t="n">
        <v>1308</v>
      </c>
      <c r="B1309" s="3" t="n">
        <v>1307</v>
      </c>
      <c r="C1309" s="3" t="n">
        <v>6</v>
      </c>
      <c r="D1309" s="3" t="n">
        <v>9</v>
      </c>
      <c r="E1309" s="3" t="n">
        <v>5</v>
      </c>
      <c r="F1309" s="24" t="n">
        <v>1.29486978</v>
      </c>
    </row>
    <row r="1310" customFormat="false" ht="15" hidden="false" customHeight="false" outlineLevel="0" collapsed="false">
      <c r="A1310" s="3" t="n">
        <v>1309</v>
      </c>
      <c r="B1310" s="3" t="n">
        <v>1308</v>
      </c>
      <c r="C1310" s="3" t="n">
        <v>6</v>
      </c>
      <c r="D1310" s="3" t="n">
        <v>9</v>
      </c>
      <c r="E1310" s="3" t="n">
        <v>6</v>
      </c>
      <c r="F1310" s="24" t="n">
        <v>6.03698635</v>
      </c>
    </row>
    <row r="1311" customFormat="false" ht="15" hidden="false" customHeight="false" outlineLevel="0" collapsed="false">
      <c r="A1311" s="3" t="n">
        <v>1310</v>
      </c>
      <c r="B1311" s="3" t="n">
        <v>1309</v>
      </c>
      <c r="C1311" s="3" t="n">
        <v>6</v>
      </c>
      <c r="D1311" s="3" t="n">
        <v>9</v>
      </c>
      <c r="E1311" s="3" t="n">
        <v>7</v>
      </c>
      <c r="F1311" s="24" t="n">
        <v>1.06193316</v>
      </c>
    </row>
    <row r="1312" customFormat="false" ht="15" hidden="false" customHeight="false" outlineLevel="0" collapsed="false">
      <c r="A1312" s="3" t="n">
        <v>1311</v>
      </c>
      <c r="B1312" s="3" t="n">
        <v>1310</v>
      </c>
      <c r="C1312" s="3" t="n">
        <v>6</v>
      </c>
      <c r="D1312" s="3" t="n">
        <v>9</v>
      </c>
      <c r="E1312" s="3" t="n">
        <v>8</v>
      </c>
      <c r="F1312" s="24" t="n">
        <v>0</v>
      </c>
    </row>
    <row r="1313" customFormat="false" ht="15" hidden="false" customHeight="false" outlineLevel="0" collapsed="false">
      <c r="A1313" s="3" t="n">
        <v>1312</v>
      </c>
      <c r="B1313" s="3" t="n">
        <v>1311</v>
      </c>
      <c r="C1313" s="3" t="n">
        <v>6</v>
      </c>
      <c r="D1313" s="3" t="n">
        <v>9</v>
      </c>
      <c r="E1313" s="3" t="n">
        <v>9</v>
      </c>
      <c r="F1313" s="24" t="n">
        <v>0</v>
      </c>
    </row>
    <row r="1314" customFormat="false" ht="15" hidden="false" customHeight="false" outlineLevel="0" collapsed="false">
      <c r="A1314" s="3" t="n">
        <v>1313</v>
      </c>
      <c r="B1314" s="3" t="n">
        <v>1312</v>
      </c>
      <c r="C1314" s="3" t="n">
        <v>6</v>
      </c>
      <c r="D1314" s="3" t="n">
        <v>9</v>
      </c>
      <c r="E1314" s="3" t="n">
        <v>10</v>
      </c>
      <c r="F1314" s="24" t="n">
        <v>0</v>
      </c>
    </row>
    <row r="1315" customFormat="false" ht="15" hidden="false" customHeight="false" outlineLevel="0" collapsed="false">
      <c r="A1315" s="3" t="n">
        <v>1314</v>
      </c>
      <c r="B1315" s="3" t="n">
        <v>1313</v>
      </c>
      <c r="C1315" s="3" t="n">
        <v>6</v>
      </c>
      <c r="D1315" s="3" t="n">
        <v>9</v>
      </c>
      <c r="E1315" s="3" t="n">
        <v>11</v>
      </c>
      <c r="F1315" s="24" t="n">
        <v>0</v>
      </c>
    </row>
    <row r="1316" customFormat="false" ht="15" hidden="false" customHeight="false" outlineLevel="0" collapsed="false">
      <c r="A1316" s="3" t="n">
        <v>1315</v>
      </c>
      <c r="B1316" s="3" t="n">
        <v>1314</v>
      </c>
      <c r="C1316" s="3" t="n">
        <v>6</v>
      </c>
      <c r="D1316" s="3" t="n">
        <v>9</v>
      </c>
      <c r="E1316" s="3" t="n">
        <v>12</v>
      </c>
      <c r="F1316" s="24" t="n">
        <v>0</v>
      </c>
    </row>
    <row r="1317" customFormat="false" ht="15" hidden="false" customHeight="false" outlineLevel="0" collapsed="false">
      <c r="A1317" s="3" t="n">
        <v>1316</v>
      </c>
      <c r="B1317" s="3" t="n">
        <v>1315</v>
      </c>
      <c r="C1317" s="3" t="n">
        <v>6</v>
      </c>
      <c r="D1317" s="3" t="n">
        <v>9</v>
      </c>
      <c r="E1317" s="3" t="n">
        <v>13</v>
      </c>
      <c r="F1317" s="24" t="n">
        <v>0</v>
      </c>
    </row>
    <row r="1318" customFormat="false" ht="15" hidden="false" customHeight="false" outlineLevel="0" collapsed="false">
      <c r="A1318" s="3" t="n">
        <v>1317</v>
      </c>
      <c r="B1318" s="3" t="n">
        <v>1316</v>
      </c>
      <c r="C1318" s="3" t="n">
        <v>6</v>
      </c>
      <c r="D1318" s="3" t="n">
        <v>10</v>
      </c>
      <c r="E1318" s="3" t="n">
        <v>0</v>
      </c>
      <c r="F1318" s="24" t="n">
        <v>0</v>
      </c>
    </row>
    <row r="1319" customFormat="false" ht="15" hidden="false" customHeight="false" outlineLevel="0" collapsed="false">
      <c r="A1319" s="3" t="n">
        <v>1318</v>
      </c>
      <c r="B1319" s="3" t="n">
        <v>1317</v>
      </c>
      <c r="C1319" s="3" t="n">
        <v>6</v>
      </c>
      <c r="D1319" s="3" t="n">
        <v>10</v>
      </c>
      <c r="E1319" s="3" t="n">
        <v>1</v>
      </c>
      <c r="F1319" s="24" t="n">
        <v>0</v>
      </c>
    </row>
    <row r="1320" customFormat="false" ht="15" hidden="false" customHeight="false" outlineLevel="0" collapsed="false">
      <c r="A1320" s="3" t="n">
        <v>1319</v>
      </c>
      <c r="B1320" s="3" t="n">
        <v>1318</v>
      </c>
      <c r="C1320" s="3" t="n">
        <v>6</v>
      </c>
      <c r="D1320" s="3" t="n">
        <v>10</v>
      </c>
      <c r="E1320" s="3" t="n">
        <v>2</v>
      </c>
      <c r="F1320" s="24" t="n">
        <v>0</v>
      </c>
    </row>
    <row r="1321" customFormat="false" ht="15" hidden="false" customHeight="false" outlineLevel="0" collapsed="false">
      <c r="A1321" s="3" t="n">
        <v>1320</v>
      </c>
      <c r="B1321" s="3" t="n">
        <v>1319</v>
      </c>
      <c r="C1321" s="3" t="n">
        <v>6</v>
      </c>
      <c r="D1321" s="3" t="n">
        <v>10</v>
      </c>
      <c r="E1321" s="3" t="n">
        <v>3</v>
      </c>
      <c r="F1321" s="24" t="n">
        <v>0</v>
      </c>
    </row>
    <row r="1322" customFormat="false" ht="15" hidden="false" customHeight="false" outlineLevel="0" collapsed="false">
      <c r="A1322" s="3" t="n">
        <v>1321</v>
      </c>
      <c r="B1322" s="3" t="n">
        <v>1320</v>
      </c>
      <c r="C1322" s="3" t="n">
        <v>6</v>
      </c>
      <c r="D1322" s="3" t="n">
        <v>10</v>
      </c>
      <c r="E1322" s="3" t="n">
        <v>4</v>
      </c>
      <c r="F1322" s="24" t="n">
        <v>0</v>
      </c>
    </row>
    <row r="1323" customFormat="false" ht="15" hidden="false" customHeight="false" outlineLevel="0" collapsed="false">
      <c r="A1323" s="3" t="n">
        <v>1322</v>
      </c>
      <c r="B1323" s="3" t="n">
        <v>1321</v>
      </c>
      <c r="C1323" s="3" t="n">
        <v>6</v>
      </c>
      <c r="D1323" s="3" t="n">
        <v>10</v>
      </c>
      <c r="E1323" s="3" t="n">
        <v>5</v>
      </c>
      <c r="F1323" s="24" t="n">
        <v>3.30380058</v>
      </c>
    </row>
    <row r="1324" customFormat="false" ht="15" hidden="false" customHeight="false" outlineLevel="0" collapsed="false">
      <c r="A1324" s="3" t="n">
        <v>1323</v>
      </c>
      <c r="B1324" s="3" t="n">
        <v>1322</v>
      </c>
      <c r="C1324" s="3" t="n">
        <v>6</v>
      </c>
      <c r="D1324" s="3" t="n">
        <v>10</v>
      </c>
      <c r="E1324" s="3" t="n">
        <v>6</v>
      </c>
      <c r="F1324" s="24" t="n">
        <v>2.21608829</v>
      </c>
    </row>
    <row r="1325" customFormat="false" ht="15" hidden="false" customHeight="false" outlineLevel="0" collapsed="false">
      <c r="A1325" s="3" t="n">
        <v>1324</v>
      </c>
      <c r="B1325" s="3" t="n">
        <v>1323</v>
      </c>
      <c r="C1325" s="3" t="n">
        <v>6</v>
      </c>
      <c r="D1325" s="3" t="n">
        <v>10</v>
      </c>
      <c r="E1325" s="3" t="n">
        <v>7</v>
      </c>
      <c r="F1325" s="24" t="n">
        <v>0</v>
      </c>
    </row>
    <row r="1326" customFormat="false" ht="15" hidden="false" customHeight="false" outlineLevel="0" collapsed="false">
      <c r="A1326" s="3" t="n">
        <v>1325</v>
      </c>
      <c r="B1326" s="3" t="n">
        <v>1324</v>
      </c>
      <c r="C1326" s="3" t="n">
        <v>6</v>
      </c>
      <c r="D1326" s="3" t="n">
        <v>10</v>
      </c>
      <c r="E1326" s="3" t="n">
        <v>8</v>
      </c>
      <c r="F1326" s="24" t="n">
        <v>0</v>
      </c>
    </row>
    <row r="1327" customFormat="false" ht="15" hidden="false" customHeight="false" outlineLevel="0" collapsed="false">
      <c r="A1327" s="3" t="n">
        <v>1326</v>
      </c>
      <c r="B1327" s="3" t="n">
        <v>1325</v>
      </c>
      <c r="C1327" s="3" t="n">
        <v>6</v>
      </c>
      <c r="D1327" s="3" t="n">
        <v>10</v>
      </c>
      <c r="E1327" s="3" t="n">
        <v>9</v>
      </c>
      <c r="F1327" s="24" t="n">
        <v>0</v>
      </c>
    </row>
    <row r="1328" customFormat="false" ht="15" hidden="false" customHeight="false" outlineLevel="0" collapsed="false">
      <c r="A1328" s="3" t="n">
        <v>1327</v>
      </c>
      <c r="B1328" s="3" t="n">
        <v>1326</v>
      </c>
      <c r="C1328" s="3" t="n">
        <v>6</v>
      </c>
      <c r="D1328" s="3" t="n">
        <v>10</v>
      </c>
      <c r="E1328" s="3" t="n">
        <v>10</v>
      </c>
      <c r="F1328" s="24" t="n">
        <v>0</v>
      </c>
    </row>
    <row r="1329" customFormat="false" ht="15" hidden="false" customHeight="false" outlineLevel="0" collapsed="false">
      <c r="A1329" s="3" t="n">
        <v>1328</v>
      </c>
      <c r="B1329" s="3" t="n">
        <v>1327</v>
      </c>
      <c r="C1329" s="3" t="n">
        <v>6</v>
      </c>
      <c r="D1329" s="3" t="n">
        <v>10</v>
      </c>
      <c r="E1329" s="3" t="n">
        <v>11</v>
      </c>
      <c r="F1329" s="24" t="n">
        <v>0</v>
      </c>
    </row>
    <row r="1330" customFormat="false" ht="15" hidden="false" customHeight="false" outlineLevel="0" collapsed="false">
      <c r="A1330" s="3" t="n">
        <v>1329</v>
      </c>
      <c r="B1330" s="3" t="n">
        <v>1328</v>
      </c>
      <c r="C1330" s="3" t="n">
        <v>6</v>
      </c>
      <c r="D1330" s="3" t="n">
        <v>10</v>
      </c>
      <c r="E1330" s="3" t="n">
        <v>12</v>
      </c>
      <c r="F1330" s="24" t="n">
        <v>0</v>
      </c>
    </row>
    <row r="1331" customFormat="false" ht="15" hidden="false" customHeight="false" outlineLevel="0" collapsed="false">
      <c r="A1331" s="3" t="n">
        <v>1330</v>
      </c>
      <c r="B1331" s="3" t="n">
        <v>1329</v>
      </c>
      <c r="C1331" s="3" t="n">
        <v>6</v>
      </c>
      <c r="D1331" s="3" t="n">
        <v>10</v>
      </c>
      <c r="E1331" s="3" t="n">
        <v>13</v>
      </c>
      <c r="F1331" s="24" t="n">
        <v>0</v>
      </c>
    </row>
    <row r="1332" customFormat="false" ht="15" hidden="false" customHeight="false" outlineLevel="0" collapsed="false">
      <c r="A1332" s="3" t="n">
        <v>1331</v>
      </c>
      <c r="B1332" s="3" t="n">
        <v>1330</v>
      </c>
      <c r="C1332" s="3" t="n">
        <v>6</v>
      </c>
      <c r="D1332" s="3" t="n">
        <v>11</v>
      </c>
      <c r="E1332" s="3" t="n">
        <v>0</v>
      </c>
      <c r="F1332" s="24" t="n">
        <v>0</v>
      </c>
    </row>
    <row r="1333" customFormat="false" ht="15" hidden="false" customHeight="false" outlineLevel="0" collapsed="false">
      <c r="A1333" s="3" t="n">
        <v>1332</v>
      </c>
      <c r="B1333" s="3" t="n">
        <v>1331</v>
      </c>
      <c r="C1333" s="3" t="n">
        <v>6</v>
      </c>
      <c r="D1333" s="3" t="n">
        <v>11</v>
      </c>
      <c r="E1333" s="3" t="n">
        <v>1</v>
      </c>
      <c r="F1333" s="24" t="n">
        <v>0</v>
      </c>
    </row>
    <row r="1334" customFormat="false" ht="15" hidden="false" customHeight="false" outlineLevel="0" collapsed="false">
      <c r="A1334" s="3" t="n">
        <v>1333</v>
      </c>
      <c r="B1334" s="3" t="n">
        <v>1332</v>
      </c>
      <c r="C1334" s="3" t="n">
        <v>6</v>
      </c>
      <c r="D1334" s="3" t="n">
        <v>11</v>
      </c>
      <c r="E1334" s="3" t="n">
        <v>2</v>
      </c>
      <c r="F1334" s="24" t="n">
        <v>0</v>
      </c>
    </row>
    <row r="1335" customFormat="false" ht="15" hidden="false" customHeight="false" outlineLevel="0" collapsed="false">
      <c r="A1335" s="3" t="n">
        <v>1334</v>
      </c>
      <c r="B1335" s="3" t="n">
        <v>1333</v>
      </c>
      <c r="C1335" s="3" t="n">
        <v>6</v>
      </c>
      <c r="D1335" s="3" t="n">
        <v>11</v>
      </c>
      <c r="E1335" s="3" t="n">
        <v>3</v>
      </c>
      <c r="F1335" s="24" t="n">
        <v>0</v>
      </c>
    </row>
    <row r="1336" customFormat="false" ht="15" hidden="false" customHeight="false" outlineLevel="0" collapsed="false">
      <c r="A1336" s="3" t="n">
        <v>1335</v>
      </c>
      <c r="B1336" s="3" t="n">
        <v>1334</v>
      </c>
      <c r="C1336" s="3" t="n">
        <v>6</v>
      </c>
      <c r="D1336" s="3" t="n">
        <v>11</v>
      </c>
      <c r="E1336" s="3" t="n">
        <v>4</v>
      </c>
      <c r="F1336" s="24" t="n">
        <v>1.86836374</v>
      </c>
    </row>
    <row r="1337" customFormat="false" ht="15" hidden="false" customHeight="false" outlineLevel="0" collapsed="false">
      <c r="A1337" s="3" t="n">
        <v>1336</v>
      </c>
      <c r="B1337" s="3" t="n">
        <v>1335</v>
      </c>
      <c r="C1337" s="3" t="n">
        <v>6</v>
      </c>
      <c r="D1337" s="3" t="n">
        <v>11</v>
      </c>
      <c r="E1337" s="3" t="n">
        <v>5</v>
      </c>
      <c r="F1337" s="24" t="n">
        <v>4.08271837</v>
      </c>
    </row>
    <row r="1338" customFormat="false" ht="15" hidden="false" customHeight="false" outlineLevel="0" collapsed="false">
      <c r="A1338" s="3" t="n">
        <v>1337</v>
      </c>
      <c r="B1338" s="3" t="n">
        <v>1336</v>
      </c>
      <c r="C1338" s="3" t="n">
        <v>6</v>
      </c>
      <c r="D1338" s="3" t="n">
        <v>11</v>
      </c>
      <c r="E1338" s="3" t="n">
        <v>6</v>
      </c>
      <c r="F1338" s="24" t="n">
        <v>0.616996527</v>
      </c>
    </row>
    <row r="1339" customFormat="false" ht="15" hidden="false" customHeight="false" outlineLevel="0" collapsed="false">
      <c r="A1339" s="3" t="n">
        <v>1338</v>
      </c>
      <c r="B1339" s="3" t="n">
        <v>1337</v>
      </c>
      <c r="C1339" s="3" t="n">
        <v>6</v>
      </c>
      <c r="D1339" s="3" t="n">
        <v>11</v>
      </c>
      <c r="E1339" s="3" t="n">
        <v>7</v>
      </c>
      <c r="F1339" s="24" t="n">
        <v>0.841368318</v>
      </c>
    </row>
    <row r="1340" customFormat="false" ht="15" hidden="false" customHeight="false" outlineLevel="0" collapsed="false">
      <c r="A1340" s="3" t="n">
        <v>1339</v>
      </c>
      <c r="B1340" s="3" t="n">
        <v>1338</v>
      </c>
      <c r="C1340" s="3" t="n">
        <v>6</v>
      </c>
      <c r="D1340" s="3" t="n">
        <v>11</v>
      </c>
      <c r="E1340" s="3" t="n">
        <v>8</v>
      </c>
      <c r="F1340" s="24" t="n">
        <v>0</v>
      </c>
    </row>
    <row r="1341" customFormat="false" ht="15" hidden="false" customHeight="false" outlineLevel="0" collapsed="false">
      <c r="A1341" s="3" t="n">
        <v>1340</v>
      </c>
      <c r="B1341" s="3" t="n">
        <v>1339</v>
      </c>
      <c r="C1341" s="3" t="n">
        <v>6</v>
      </c>
      <c r="D1341" s="3" t="n">
        <v>11</v>
      </c>
      <c r="E1341" s="3" t="n">
        <v>9</v>
      </c>
      <c r="F1341" s="24" t="n">
        <v>0</v>
      </c>
    </row>
    <row r="1342" customFormat="false" ht="15" hidden="false" customHeight="false" outlineLevel="0" collapsed="false">
      <c r="A1342" s="3" t="n">
        <v>1341</v>
      </c>
      <c r="B1342" s="3" t="n">
        <v>1340</v>
      </c>
      <c r="C1342" s="3" t="n">
        <v>6</v>
      </c>
      <c r="D1342" s="3" t="n">
        <v>11</v>
      </c>
      <c r="E1342" s="3" t="n">
        <v>10</v>
      </c>
      <c r="F1342" s="24" t="n">
        <v>0</v>
      </c>
    </row>
    <row r="1343" customFormat="false" ht="15" hidden="false" customHeight="false" outlineLevel="0" collapsed="false">
      <c r="A1343" s="3" t="n">
        <v>1342</v>
      </c>
      <c r="B1343" s="3" t="n">
        <v>1341</v>
      </c>
      <c r="C1343" s="3" t="n">
        <v>6</v>
      </c>
      <c r="D1343" s="3" t="n">
        <v>11</v>
      </c>
      <c r="E1343" s="3" t="n">
        <v>11</v>
      </c>
      <c r="F1343" s="24" t="n">
        <v>0</v>
      </c>
    </row>
    <row r="1344" customFormat="false" ht="15" hidden="false" customHeight="false" outlineLevel="0" collapsed="false">
      <c r="A1344" s="3" t="n">
        <v>1343</v>
      </c>
      <c r="B1344" s="3" t="n">
        <v>1342</v>
      </c>
      <c r="C1344" s="3" t="n">
        <v>6</v>
      </c>
      <c r="D1344" s="3" t="n">
        <v>11</v>
      </c>
      <c r="E1344" s="3" t="n">
        <v>12</v>
      </c>
      <c r="F1344" s="24" t="n">
        <v>0</v>
      </c>
    </row>
    <row r="1345" customFormat="false" ht="15" hidden="false" customHeight="false" outlineLevel="0" collapsed="false">
      <c r="A1345" s="3" t="n">
        <v>1344</v>
      </c>
      <c r="B1345" s="3" t="n">
        <v>1343</v>
      </c>
      <c r="C1345" s="3" t="n">
        <v>6</v>
      </c>
      <c r="D1345" s="3" t="n">
        <v>11</v>
      </c>
      <c r="E1345" s="3" t="n">
        <v>13</v>
      </c>
      <c r="F1345" s="24" t="n">
        <v>0</v>
      </c>
    </row>
    <row r="1346" customFormat="false" ht="15" hidden="false" customHeight="false" outlineLevel="0" collapsed="false">
      <c r="A1346" s="3" t="n">
        <v>1345</v>
      </c>
      <c r="B1346" s="3" t="n">
        <v>1344</v>
      </c>
      <c r="C1346" s="3" t="n">
        <v>6</v>
      </c>
      <c r="D1346" s="3" t="n">
        <v>12</v>
      </c>
      <c r="E1346" s="3" t="n">
        <v>0</v>
      </c>
      <c r="F1346" s="24" t="n">
        <v>0.035718441</v>
      </c>
    </row>
    <row r="1347" customFormat="false" ht="15" hidden="false" customHeight="false" outlineLevel="0" collapsed="false">
      <c r="A1347" s="3" t="n">
        <v>1346</v>
      </c>
      <c r="B1347" s="3" t="n">
        <v>1345</v>
      </c>
      <c r="C1347" s="3" t="n">
        <v>6</v>
      </c>
      <c r="D1347" s="3" t="n">
        <v>12</v>
      </c>
      <c r="E1347" s="3" t="n">
        <v>1</v>
      </c>
      <c r="F1347" s="24" t="n">
        <v>0</v>
      </c>
    </row>
    <row r="1348" customFormat="false" ht="15" hidden="false" customHeight="false" outlineLevel="0" collapsed="false">
      <c r="A1348" s="3" t="n">
        <v>1347</v>
      </c>
      <c r="B1348" s="3" t="n">
        <v>1346</v>
      </c>
      <c r="C1348" s="3" t="n">
        <v>6</v>
      </c>
      <c r="D1348" s="3" t="n">
        <v>12</v>
      </c>
      <c r="E1348" s="3" t="n">
        <v>2</v>
      </c>
      <c r="F1348" s="24" t="n">
        <v>0</v>
      </c>
    </row>
    <row r="1349" customFormat="false" ht="15" hidden="false" customHeight="false" outlineLevel="0" collapsed="false">
      <c r="A1349" s="3" t="n">
        <v>1348</v>
      </c>
      <c r="B1349" s="3" t="n">
        <v>1347</v>
      </c>
      <c r="C1349" s="3" t="n">
        <v>6</v>
      </c>
      <c r="D1349" s="3" t="n">
        <v>12</v>
      </c>
      <c r="E1349" s="3" t="n">
        <v>3</v>
      </c>
      <c r="F1349" s="24" t="n">
        <v>0.263514072</v>
      </c>
    </row>
    <row r="1350" customFormat="false" ht="15" hidden="false" customHeight="false" outlineLevel="0" collapsed="false">
      <c r="A1350" s="3" t="n">
        <v>1349</v>
      </c>
      <c r="B1350" s="3" t="n">
        <v>1348</v>
      </c>
      <c r="C1350" s="3" t="n">
        <v>6</v>
      </c>
      <c r="D1350" s="3" t="n">
        <v>12</v>
      </c>
      <c r="E1350" s="3" t="n">
        <v>4</v>
      </c>
      <c r="F1350" s="24" t="n">
        <v>3.50031376</v>
      </c>
    </row>
    <row r="1351" customFormat="false" ht="15" hidden="false" customHeight="false" outlineLevel="0" collapsed="false">
      <c r="A1351" s="3" t="n">
        <v>1350</v>
      </c>
      <c r="B1351" s="3" t="n">
        <v>1349</v>
      </c>
      <c r="C1351" s="3" t="n">
        <v>6</v>
      </c>
      <c r="D1351" s="3" t="n">
        <v>12</v>
      </c>
      <c r="E1351" s="3" t="n">
        <v>5</v>
      </c>
      <c r="F1351" s="24" t="n">
        <v>1.5964601</v>
      </c>
    </row>
    <row r="1352" customFormat="false" ht="15" hidden="false" customHeight="false" outlineLevel="0" collapsed="false">
      <c r="A1352" s="3" t="n">
        <v>1351</v>
      </c>
      <c r="B1352" s="3" t="n">
        <v>1350</v>
      </c>
      <c r="C1352" s="3" t="n">
        <v>6</v>
      </c>
      <c r="D1352" s="3" t="n">
        <v>12</v>
      </c>
      <c r="E1352" s="3" t="n">
        <v>6</v>
      </c>
      <c r="F1352" s="24" t="n">
        <v>1.21739793</v>
      </c>
    </row>
    <row r="1353" customFormat="false" ht="15" hidden="false" customHeight="false" outlineLevel="0" collapsed="false">
      <c r="A1353" s="3" t="n">
        <v>1352</v>
      </c>
      <c r="B1353" s="3" t="n">
        <v>1351</v>
      </c>
      <c r="C1353" s="3" t="n">
        <v>6</v>
      </c>
      <c r="D1353" s="3" t="n">
        <v>12</v>
      </c>
      <c r="E1353" s="3" t="n">
        <v>7</v>
      </c>
      <c r="F1353" s="24" t="n">
        <v>0.633069277</v>
      </c>
    </row>
    <row r="1354" customFormat="false" ht="15" hidden="false" customHeight="false" outlineLevel="0" collapsed="false">
      <c r="A1354" s="3" t="n">
        <v>1353</v>
      </c>
      <c r="B1354" s="3" t="n">
        <v>1352</v>
      </c>
      <c r="C1354" s="3" t="n">
        <v>6</v>
      </c>
      <c r="D1354" s="3" t="n">
        <v>12</v>
      </c>
      <c r="E1354" s="3" t="n">
        <v>8</v>
      </c>
      <c r="F1354" s="24" t="n">
        <v>0</v>
      </c>
    </row>
    <row r="1355" customFormat="false" ht="15" hidden="false" customHeight="false" outlineLevel="0" collapsed="false">
      <c r="A1355" s="3" t="n">
        <v>1354</v>
      </c>
      <c r="B1355" s="3" t="n">
        <v>1353</v>
      </c>
      <c r="C1355" s="3" t="n">
        <v>6</v>
      </c>
      <c r="D1355" s="3" t="n">
        <v>12</v>
      </c>
      <c r="E1355" s="3" t="n">
        <v>9</v>
      </c>
      <c r="F1355" s="24" t="n">
        <v>0</v>
      </c>
    </row>
    <row r="1356" customFormat="false" ht="15" hidden="false" customHeight="false" outlineLevel="0" collapsed="false">
      <c r="A1356" s="3" t="n">
        <v>1355</v>
      </c>
      <c r="B1356" s="3" t="n">
        <v>1354</v>
      </c>
      <c r="C1356" s="3" t="n">
        <v>6</v>
      </c>
      <c r="D1356" s="3" t="n">
        <v>12</v>
      </c>
      <c r="E1356" s="3" t="n">
        <v>10</v>
      </c>
      <c r="F1356" s="24" t="n">
        <v>0</v>
      </c>
    </row>
    <row r="1357" customFormat="false" ht="15" hidden="false" customHeight="false" outlineLevel="0" collapsed="false">
      <c r="A1357" s="3" t="n">
        <v>1356</v>
      </c>
      <c r="B1357" s="3" t="n">
        <v>1355</v>
      </c>
      <c r="C1357" s="3" t="n">
        <v>6</v>
      </c>
      <c r="D1357" s="3" t="n">
        <v>12</v>
      </c>
      <c r="E1357" s="3" t="n">
        <v>11</v>
      </c>
      <c r="F1357" s="24" t="n">
        <v>0</v>
      </c>
    </row>
    <row r="1358" customFormat="false" ht="15" hidden="false" customHeight="false" outlineLevel="0" collapsed="false">
      <c r="A1358" s="3" t="n">
        <v>1357</v>
      </c>
      <c r="B1358" s="3" t="n">
        <v>1356</v>
      </c>
      <c r="C1358" s="3" t="n">
        <v>6</v>
      </c>
      <c r="D1358" s="3" t="n">
        <v>12</v>
      </c>
      <c r="E1358" s="3" t="n">
        <v>12</v>
      </c>
      <c r="F1358" s="24" t="n">
        <v>0</v>
      </c>
    </row>
    <row r="1359" customFormat="false" ht="15" hidden="false" customHeight="false" outlineLevel="0" collapsed="false">
      <c r="A1359" s="3" t="n">
        <v>1358</v>
      </c>
      <c r="B1359" s="3" t="n">
        <v>1357</v>
      </c>
      <c r="C1359" s="3" t="n">
        <v>6</v>
      </c>
      <c r="D1359" s="3" t="n">
        <v>12</v>
      </c>
      <c r="E1359" s="3" t="n">
        <v>13</v>
      </c>
      <c r="F1359" s="24" t="n">
        <v>0</v>
      </c>
    </row>
    <row r="1360" customFormat="false" ht="15" hidden="false" customHeight="false" outlineLevel="0" collapsed="false">
      <c r="A1360" s="3" t="n">
        <v>1359</v>
      </c>
      <c r="B1360" s="3" t="n">
        <v>1358</v>
      </c>
      <c r="C1360" s="3" t="n">
        <v>6</v>
      </c>
      <c r="D1360" s="3" t="n">
        <v>13</v>
      </c>
      <c r="E1360" s="3" t="n">
        <v>0</v>
      </c>
      <c r="F1360" s="24" t="n">
        <v>0.102498293</v>
      </c>
    </row>
    <row r="1361" customFormat="false" ht="15" hidden="false" customHeight="false" outlineLevel="0" collapsed="false">
      <c r="A1361" s="3" t="n">
        <v>1360</v>
      </c>
      <c r="B1361" s="3" t="n">
        <v>1359</v>
      </c>
      <c r="C1361" s="3" t="n">
        <v>6</v>
      </c>
      <c r="D1361" s="3" t="n">
        <v>13</v>
      </c>
      <c r="E1361" s="3" t="n">
        <v>1</v>
      </c>
      <c r="F1361" s="24" t="n">
        <v>0</v>
      </c>
    </row>
    <row r="1362" customFormat="false" ht="15" hidden="false" customHeight="false" outlineLevel="0" collapsed="false">
      <c r="A1362" s="3" t="n">
        <v>1361</v>
      </c>
      <c r="B1362" s="3" t="n">
        <v>1360</v>
      </c>
      <c r="C1362" s="3" t="n">
        <v>6</v>
      </c>
      <c r="D1362" s="3" t="n">
        <v>13</v>
      </c>
      <c r="E1362" s="3" t="n">
        <v>2</v>
      </c>
      <c r="F1362" s="24" t="n">
        <v>0</v>
      </c>
    </row>
    <row r="1363" customFormat="false" ht="15" hidden="false" customHeight="false" outlineLevel="0" collapsed="false">
      <c r="A1363" s="3" t="n">
        <v>1362</v>
      </c>
      <c r="B1363" s="3" t="n">
        <v>1361</v>
      </c>
      <c r="C1363" s="3" t="n">
        <v>6</v>
      </c>
      <c r="D1363" s="3" t="n">
        <v>13</v>
      </c>
      <c r="E1363" s="3" t="n">
        <v>3</v>
      </c>
      <c r="F1363" s="24" t="n">
        <v>0.474163979</v>
      </c>
    </row>
    <row r="1364" customFormat="false" ht="15" hidden="false" customHeight="false" outlineLevel="0" collapsed="false">
      <c r="A1364" s="3" t="n">
        <v>1363</v>
      </c>
      <c r="B1364" s="3" t="n">
        <v>1362</v>
      </c>
      <c r="C1364" s="3" t="n">
        <v>6</v>
      </c>
      <c r="D1364" s="3" t="n">
        <v>13</v>
      </c>
      <c r="E1364" s="3" t="n">
        <v>4</v>
      </c>
      <c r="F1364" s="24" t="n">
        <v>0</v>
      </c>
    </row>
    <row r="1365" customFormat="false" ht="15" hidden="false" customHeight="false" outlineLevel="0" collapsed="false">
      <c r="A1365" s="3" t="n">
        <v>1364</v>
      </c>
      <c r="B1365" s="3" t="n">
        <v>1363</v>
      </c>
      <c r="C1365" s="3" t="n">
        <v>6</v>
      </c>
      <c r="D1365" s="3" t="n">
        <v>13</v>
      </c>
      <c r="E1365" s="3" t="n">
        <v>5</v>
      </c>
      <c r="F1365" s="24" t="n">
        <v>0</v>
      </c>
    </row>
    <row r="1366" customFormat="false" ht="15" hidden="false" customHeight="false" outlineLevel="0" collapsed="false">
      <c r="A1366" s="3" t="n">
        <v>1365</v>
      </c>
      <c r="B1366" s="3" t="n">
        <v>1364</v>
      </c>
      <c r="C1366" s="3" t="n">
        <v>6</v>
      </c>
      <c r="D1366" s="3" t="n">
        <v>13</v>
      </c>
      <c r="E1366" s="3" t="n">
        <v>6</v>
      </c>
      <c r="F1366" s="24" t="n">
        <v>0</v>
      </c>
    </row>
    <row r="1367" customFormat="false" ht="15" hidden="false" customHeight="false" outlineLevel="0" collapsed="false">
      <c r="A1367" s="3" t="n">
        <v>1366</v>
      </c>
      <c r="B1367" s="3" t="n">
        <v>1365</v>
      </c>
      <c r="C1367" s="3" t="n">
        <v>6</v>
      </c>
      <c r="D1367" s="3" t="n">
        <v>13</v>
      </c>
      <c r="E1367" s="3" t="n">
        <v>7</v>
      </c>
      <c r="F1367" s="24" t="n">
        <v>0</v>
      </c>
    </row>
    <row r="1368" customFormat="false" ht="15" hidden="false" customHeight="false" outlineLevel="0" collapsed="false">
      <c r="A1368" s="3" t="n">
        <v>1367</v>
      </c>
      <c r="B1368" s="3" t="n">
        <v>1366</v>
      </c>
      <c r="C1368" s="3" t="n">
        <v>6</v>
      </c>
      <c r="D1368" s="3" t="n">
        <v>13</v>
      </c>
      <c r="E1368" s="3" t="n">
        <v>8</v>
      </c>
      <c r="F1368" s="24" t="n">
        <v>0</v>
      </c>
    </row>
    <row r="1369" customFormat="false" ht="15" hidden="false" customHeight="false" outlineLevel="0" collapsed="false">
      <c r="A1369" s="3" t="n">
        <v>1368</v>
      </c>
      <c r="B1369" s="3" t="n">
        <v>1367</v>
      </c>
      <c r="C1369" s="3" t="n">
        <v>6</v>
      </c>
      <c r="D1369" s="3" t="n">
        <v>13</v>
      </c>
      <c r="E1369" s="3" t="n">
        <v>9</v>
      </c>
      <c r="F1369" s="24" t="n">
        <v>0</v>
      </c>
    </row>
    <row r="1370" customFormat="false" ht="15" hidden="false" customHeight="false" outlineLevel="0" collapsed="false">
      <c r="A1370" s="3" t="n">
        <v>1369</v>
      </c>
      <c r="B1370" s="3" t="n">
        <v>1368</v>
      </c>
      <c r="C1370" s="3" t="n">
        <v>6</v>
      </c>
      <c r="D1370" s="3" t="n">
        <v>13</v>
      </c>
      <c r="E1370" s="3" t="n">
        <v>10</v>
      </c>
      <c r="F1370" s="24" t="n">
        <v>0</v>
      </c>
    </row>
    <row r="1371" customFormat="false" ht="15" hidden="false" customHeight="false" outlineLevel="0" collapsed="false">
      <c r="A1371" s="3" t="n">
        <v>1370</v>
      </c>
      <c r="B1371" s="3" t="n">
        <v>1369</v>
      </c>
      <c r="C1371" s="3" t="n">
        <v>6</v>
      </c>
      <c r="D1371" s="3" t="n">
        <v>13</v>
      </c>
      <c r="E1371" s="3" t="n">
        <v>11</v>
      </c>
      <c r="F1371" s="24" t="n">
        <v>0</v>
      </c>
    </row>
    <row r="1372" customFormat="false" ht="15" hidden="false" customHeight="false" outlineLevel="0" collapsed="false">
      <c r="A1372" s="3" t="n">
        <v>1371</v>
      </c>
      <c r="B1372" s="3" t="n">
        <v>1370</v>
      </c>
      <c r="C1372" s="3" t="n">
        <v>6</v>
      </c>
      <c r="D1372" s="3" t="n">
        <v>13</v>
      </c>
      <c r="E1372" s="3" t="n">
        <v>12</v>
      </c>
      <c r="F1372" s="24" t="n">
        <v>0.0820699632</v>
      </c>
    </row>
    <row r="1373" customFormat="false" ht="15" hidden="false" customHeight="false" outlineLevel="0" collapsed="false">
      <c r="A1373" s="3" t="n">
        <v>1372</v>
      </c>
      <c r="B1373" s="3" t="n">
        <v>1371</v>
      </c>
      <c r="C1373" s="3" t="n">
        <v>6</v>
      </c>
      <c r="D1373" s="3" t="n">
        <v>13</v>
      </c>
      <c r="E1373" s="3" t="n">
        <v>13</v>
      </c>
      <c r="F1373" s="24" t="n">
        <v>0</v>
      </c>
    </row>
    <row r="1374" customFormat="false" ht="15" hidden="false" customHeight="false" outlineLevel="0" collapsed="false">
      <c r="A1374" s="3" t="n">
        <v>1373</v>
      </c>
      <c r="B1374" s="3" t="n">
        <v>1372</v>
      </c>
      <c r="C1374" s="3" t="n">
        <v>7</v>
      </c>
      <c r="D1374" s="3" t="n">
        <v>0</v>
      </c>
      <c r="E1374" s="3" t="n">
        <v>0</v>
      </c>
      <c r="F1374" s="24" t="n">
        <v>0</v>
      </c>
    </row>
    <row r="1375" customFormat="false" ht="15" hidden="false" customHeight="false" outlineLevel="0" collapsed="false">
      <c r="A1375" s="3" t="n">
        <v>1374</v>
      </c>
      <c r="B1375" s="3" t="n">
        <v>1373</v>
      </c>
      <c r="C1375" s="3" t="n">
        <v>7</v>
      </c>
      <c r="D1375" s="3" t="n">
        <v>0</v>
      </c>
      <c r="E1375" s="3" t="n">
        <v>1</v>
      </c>
      <c r="F1375" s="24" t="n">
        <v>0</v>
      </c>
    </row>
    <row r="1376" customFormat="false" ht="15" hidden="false" customHeight="false" outlineLevel="0" collapsed="false">
      <c r="A1376" s="3" t="n">
        <v>1375</v>
      </c>
      <c r="B1376" s="3" t="n">
        <v>1374</v>
      </c>
      <c r="C1376" s="3" t="n">
        <v>7</v>
      </c>
      <c r="D1376" s="3" t="n">
        <v>0</v>
      </c>
      <c r="E1376" s="3" t="n">
        <v>2</v>
      </c>
      <c r="F1376" s="24" t="n">
        <v>0</v>
      </c>
    </row>
    <row r="1377" customFormat="false" ht="15" hidden="false" customHeight="false" outlineLevel="0" collapsed="false">
      <c r="A1377" s="3" t="n">
        <v>1376</v>
      </c>
      <c r="B1377" s="3" t="n">
        <v>1375</v>
      </c>
      <c r="C1377" s="3" t="n">
        <v>7</v>
      </c>
      <c r="D1377" s="3" t="n">
        <v>0</v>
      </c>
      <c r="E1377" s="3" t="n">
        <v>3</v>
      </c>
      <c r="F1377" s="24" t="n">
        <v>0</v>
      </c>
    </row>
    <row r="1378" customFormat="false" ht="15" hidden="false" customHeight="false" outlineLevel="0" collapsed="false">
      <c r="A1378" s="3" t="n">
        <v>1377</v>
      </c>
      <c r="B1378" s="3" t="n">
        <v>1376</v>
      </c>
      <c r="C1378" s="3" t="n">
        <v>7</v>
      </c>
      <c r="D1378" s="3" t="n">
        <v>0</v>
      </c>
      <c r="E1378" s="3" t="n">
        <v>4</v>
      </c>
      <c r="F1378" s="24" t="n">
        <v>0</v>
      </c>
    </row>
    <row r="1379" customFormat="false" ht="15" hidden="false" customHeight="false" outlineLevel="0" collapsed="false">
      <c r="A1379" s="3" t="n">
        <v>1378</v>
      </c>
      <c r="B1379" s="3" t="n">
        <v>1377</v>
      </c>
      <c r="C1379" s="3" t="n">
        <v>7</v>
      </c>
      <c r="D1379" s="3" t="n">
        <v>0</v>
      </c>
      <c r="E1379" s="3" t="n">
        <v>5</v>
      </c>
      <c r="F1379" s="24" t="n">
        <v>0</v>
      </c>
    </row>
    <row r="1380" customFormat="false" ht="15" hidden="false" customHeight="false" outlineLevel="0" collapsed="false">
      <c r="A1380" s="3" t="n">
        <v>1379</v>
      </c>
      <c r="B1380" s="3" t="n">
        <v>1378</v>
      </c>
      <c r="C1380" s="3" t="n">
        <v>7</v>
      </c>
      <c r="D1380" s="3" t="n">
        <v>0</v>
      </c>
      <c r="E1380" s="3" t="n">
        <v>6</v>
      </c>
      <c r="F1380" s="24" t="n">
        <v>0</v>
      </c>
    </row>
    <row r="1381" customFormat="false" ht="15" hidden="false" customHeight="false" outlineLevel="0" collapsed="false">
      <c r="A1381" s="3" t="n">
        <v>1380</v>
      </c>
      <c r="B1381" s="3" t="n">
        <v>1379</v>
      </c>
      <c r="C1381" s="3" t="n">
        <v>7</v>
      </c>
      <c r="D1381" s="3" t="n">
        <v>0</v>
      </c>
      <c r="E1381" s="3" t="n">
        <v>7</v>
      </c>
      <c r="F1381" s="24" t="n">
        <v>0</v>
      </c>
    </row>
    <row r="1382" customFormat="false" ht="15" hidden="false" customHeight="false" outlineLevel="0" collapsed="false">
      <c r="A1382" s="3" t="n">
        <v>1381</v>
      </c>
      <c r="B1382" s="3" t="n">
        <v>1380</v>
      </c>
      <c r="C1382" s="3" t="n">
        <v>7</v>
      </c>
      <c r="D1382" s="3" t="n">
        <v>0</v>
      </c>
      <c r="E1382" s="3" t="n">
        <v>8</v>
      </c>
      <c r="F1382" s="24" t="n">
        <v>0</v>
      </c>
    </row>
    <row r="1383" customFormat="false" ht="15" hidden="false" customHeight="false" outlineLevel="0" collapsed="false">
      <c r="A1383" s="3" t="n">
        <v>1382</v>
      </c>
      <c r="B1383" s="3" t="n">
        <v>1381</v>
      </c>
      <c r="C1383" s="3" t="n">
        <v>7</v>
      </c>
      <c r="D1383" s="3" t="n">
        <v>0</v>
      </c>
      <c r="E1383" s="3" t="n">
        <v>9</v>
      </c>
      <c r="F1383" s="24" t="n">
        <v>0</v>
      </c>
    </row>
    <row r="1384" customFormat="false" ht="15" hidden="false" customHeight="false" outlineLevel="0" collapsed="false">
      <c r="A1384" s="3" t="n">
        <v>1383</v>
      </c>
      <c r="B1384" s="3" t="n">
        <v>1382</v>
      </c>
      <c r="C1384" s="3" t="n">
        <v>7</v>
      </c>
      <c r="D1384" s="3" t="n">
        <v>0</v>
      </c>
      <c r="E1384" s="3" t="n">
        <v>10</v>
      </c>
      <c r="F1384" s="24" t="n">
        <v>0</v>
      </c>
    </row>
    <row r="1385" customFormat="false" ht="15" hidden="false" customHeight="false" outlineLevel="0" collapsed="false">
      <c r="A1385" s="3" t="n">
        <v>1384</v>
      </c>
      <c r="B1385" s="3" t="n">
        <v>1383</v>
      </c>
      <c r="C1385" s="3" t="n">
        <v>7</v>
      </c>
      <c r="D1385" s="3" t="n">
        <v>0</v>
      </c>
      <c r="E1385" s="3" t="n">
        <v>11</v>
      </c>
      <c r="F1385" s="24" t="n">
        <v>0</v>
      </c>
    </row>
    <row r="1386" customFormat="false" ht="15" hidden="false" customHeight="false" outlineLevel="0" collapsed="false">
      <c r="A1386" s="3" t="n">
        <v>1385</v>
      </c>
      <c r="B1386" s="3" t="n">
        <v>1384</v>
      </c>
      <c r="C1386" s="3" t="n">
        <v>7</v>
      </c>
      <c r="D1386" s="3" t="n">
        <v>0</v>
      </c>
      <c r="E1386" s="3" t="n">
        <v>12</v>
      </c>
      <c r="F1386" s="24" t="n">
        <v>0</v>
      </c>
    </row>
    <row r="1387" customFormat="false" ht="15" hidden="false" customHeight="false" outlineLevel="0" collapsed="false">
      <c r="A1387" s="3" t="n">
        <v>1386</v>
      </c>
      <c r="B1387" s="3" t="n">
        <v>1385</v>
      </c>
      <c r="C1387" s="3" t="n">
        <v>7</v>
      </c>
      <c r="D1387" s="3" t="n">
        <v>0</v>
      </c>
      <c r="E1387" s="3" t="n">
        <v>13</v>
      </c>
      <c r="F1387" s="24" t="n">
        <v>0</v>
      </c>
    </row>
    <row r="1388" customFormat="false" ht="15" hidden="false" customHeight="false" outlineLevel="0" collapsed="false">
      <c r="A1388" s="3" t="n">
        <v>1387</v>
      </c>
      <c r="B1388" s="3" t="n">
        <v>1386</v>
      </c>
      <c r="C1388" s="3" t="n">
        <v>7</v>
      </c>
      <c r="D1388" s="3" t="n">
        <v>1</v>
      </c>
      <c r="E1388" s="3" t="n">
        <v>0</v>
      </c>
      <c r="F1388" s="24" t="n">
        <v>0</v>
      </c>
    </row>
    <row r="1389" customFormat="false" ht="15" hidden="false" customHeight="false" outlineLevel="0" collapsed="false">
      <c r="A1389" s="3" t="n">
        <v>1388</v>
      </c>
      <c r="B1389" s="3" t="n">
        <v>1387</v>
      </c>
      <c r="C1389" s="3" t="n">
        <v>7</v>
      </c>
      <c r="D1389" s="3" t="n">
        <v>1</v>
      </c>
      <c r="E1389" s="3" t="n">
        <v>1</v>
      </c>
      <c r="F1389" s="24" t="n">
        <v>0</v>
      </c>
    </row>
    <row r="1390" customFormat="false" ht="15" hidden="false" customHeight="false" outlineLevel="0" collapsed="false">
      <c r="A1390" s="3" t="n">
        <v>1389</v>
      </c>
      <c r="B1390" s="3" t="n">
        <v>1388</v>
      </c>
      <c r="C1390" s="3" t="n">
        <v>7</v>
      </c>
      <c r="D1390" s="3" t="n">
        <v>1</v>
      </c>
      <c r="E1390" s="3" t="n">
        <v>2</v>
      </c>
      <c r="F1390" s="24" t="n">
        <v>0</v>
      </c>
    </row>
    <row r="1391" customFormat="false" ht="15" hidden="false" customHeight="false" outlineLevel="0" collapsed="false">
      <c r="A1391" s="3" t="n">
        <v>1390</v>
      </c>
      <c r="B1391" s="3" t="n">
        <v>1389</v>
      </c>
      <c r="C1391" s="3" t="n">
        <v>7</v>
      </c>
      <c r="D1391" s="3" t="n">
        <v>1</v>
      </c>
      <c r="E1391" s="3" t="n">
        <v>3</v>
      </c>
      <c r="F1391" s="24" t="n">
        <v>0</v>
      </c>
    </row>
    <row r="1392" customFormat="false" ht="15" hidden="false" customHeight="false" outlineLevel="0" collapsed="false">
      <c r="A1392" s="3" t="n">
        <v>1391</v>
      </c>
      <c r="B1392" s="3" t="n">
        <v>1390</v>
      </c>
      <c r="C1392" s="3" t="n">
        <v>7</v>
      </c>
      <c r="D1392" s="3" t="n">
        <v>1</v>
      </c>
      <c r="E1392" s="3" t="n">
        <v>4</v>
      </c>
      <c r="F1392" s="24" t="n">
        <v>0</v>
      </c>
    </row>
    <row r="1393" customFormat="false" ht="15" hidden="false" customHeight="false" outlineLevel="0" collapsed="false">
      <c r="A1393" s="3" t="n">
        <v>1392</v>
      </c>
      <c r="B1393" s="3" t="n">
        <v>1391</v>
      </c>
      <c r="C1393" s="3" t="n">
        <v>7</v>
      </c>
      <c r="D1393" s="3" t="n">
        <v>1</v>
      </c>
      <c r="E1393" s="3" t="n">
        <v>5</v>
      </c>
      <c r="F1393" s="24" t="n">
        <v>0</v>
      </c>
    </row>
    <row r="1394" customFormat="false" ht="15" hidden="false" customHeight="false" outlineLevel="0" collapsed="false">
      <c r="A1394" s="3" t="n">
        <v>1393</v>
      </c>
      <c r="B1394" s="3" t="n">
        <v>1392</v>
      </c>
      <c r="C1394" s="3" t="n">
        <v>7</v>
      </c>
      <c r="D1394" s="3" t="n">
        <v>1</v>
      </c>
      <c r="E1394" s="3" t="n">
        <v>6</v>
      </c>
      <c r="F1394" s="24" t="n">
        <v>0</v>
      </c>
    </row>
    <row r="1395" customFormat="false" ht="15" hidden="false" customHeight="false" outlineLevel="0" collapsed="false">
      <c r="A1395" s="3" t="n">
        <v>1394</v>
      </c>
      <c r="B1395" s="3" t="n">
        <v>1393</v>
      </c>
      <c r="C1395" s="3" t="n">
        <v>7</v>
      </c>
      <c r="D1395" s="3" t="n">
        <v>1</v>
      </c>
      <c r="E1395" s="3" t="n">
        <v>7</v>
      </c>
      <c r="F1395" s="24" t="n">
        <v>0</v>
      </c>
    </row>
    <row r="1396" customFormat="false" ht="15" hidden="false" customHeight="false" outlineLevel="0" collapsed="false">
      <c r="A1396" s="3" t="n">
        <v>1395</v>
      </c>
      <c r="B1396" s="3" t="n">
        <v>1394</v>
      </c>
      <c r="C1396" s="3" t="n">
        <v>7</v>
      </c>
      <c r="D1396" s="3" t="n">
        <v>1</v>
      </c>
      <c r="E1396" s="3" t="n">
        <v>8</v>
      </c>
      <c r="F1396" s="24" t="n">
        <v>0</v>
      </c>
    </row>
    <row r="1397" customFormat="false" ht="15" hidden="false" customHeight="false" outlineLevel="0" collapsed="false">
      <c r="A1397" s="3" t="n">
        <v>1396</v>
      </c>
      <c r="B1397" s="3" t="n">
        <v>1395</v>
      </c>
      <c r="C1397" s="3" t="n">
        <v>7</v>
      </c>
      <c r="D1397" s="3" t="n">
        <v>1</v>
      </c>
      <c r="E1397" s="3" t="n">
        <v>9</v>
      </c>
      <c r="F1397" s="24" t="n">
        <v>0</v>
      </c>
    </row>
    <row r="1398" customFormat="false" ht="15" hidden="false" customHeight="false" outlineLevel="0" collapsed="false">
      <c r="A1398" s="3" t="n">
        <v>1397</v>
      </c>
      <c r="B1398" s="3" t="n">
        <v>1396</v>
      </c>
      <c r="C1398" s="3" t="n">
        <v>7</v>
      </c>
      <c r="D1398" s="3" t="n">
        <v>1</v>
      </c>
      <c r="E1398" s="3" t="n">
        <v>10</v>
      </c>
      <c r="F1398" s="24" t="n">
        <v>0</v>
      </c>
    </row>
    <row r="1399" customFormat="false" ht="15" hidden="false" customHeight="false" outlineLevel="0" collapsed="false">
      <c r="A1399" s="3" t="n">
        <v>1398</v>
      </c>
      <c r="B1399" s="3" t="n">
        <v>1397</v>
      </c>
      <c r="C1399" s="3" t="n">
        <v>7</v>
      </c>
      <c r="D1399" s="3" t="n">
        <v>1</v>
      </c>
      <c r="E1399" s="3" t="n">
        <v>11</v>
      </c>
      <c r="F1399" s="24" t="n">
        <v>0</v>
      </c>
    </row>
    <row r="1400" customFormat="false" ht="15" hidden="false" customHeight="false" outlineLevel="0" collapsed="false">
      <c r="A1400" s="3" t="n">
        <v>1399</v>
      </c>
      <c r="B1400" s="3" t="n">
        <v>1398</v>
      </c>
      <c r="C1400" s="3" t="n">
        <v>7</v>
      </c>
      <c r="D1400" s="3" t="n">
        <v>1</v>
      </c>
      <c r="E1400" s="3" t="n">
        <v>12</v>
      </c>
      <c r="F1400" s="24" t="n">
        <v>0</v>
      </c>
    </row>
    <row r="1401" customFormat="false" ht="15" hidden="false" customHeight="false" outlineLevel="0" collapsed="false">
      <c r="A1401" s="3" t="n">
        <v>1400</v>
      </c>
      <c r="B1401" s="3" t="n">
        <v>1399</v>
      </c>
      <c r="C1401" s="3" t="n">
        <v>7</v>
      </c>
      <c r="D1401" s="3" t="n">
        <v>1</v>
      </c>
      <c r="E1401" s="3" t="n">
        <v>13</v>
      </c>
      <c r="F1401" s="24" t="n">
        <v>0</v>
      </c>
    </row>
    <row r="1402" customFormat="false" ht="15" hidden="false" customHeight="false" outlineLevel="0" collapsed="false">
      <c r="A1402" s="3" t="n">
        <v>1401</v>
      </c>
      <c r="B1402" s="3" t="n">
        <v>1400</v>
      </c>
      <c r="C1402" s="3" t="n">
        <v>7</v>
      </c>
      <c r="D1402" s="3" t="n">
        <v>2</v>
      </c>
      <c r="E1402" s="3" t="n">
        <v>0</v>
      </c>
      <c r="F1402" s="24" t="n">
        <v>0</v>
      </c>
    </row>
    <row r="1403" customFormat="false" ht="15" hidden="false" customHeight="false" outlineLevel="0" collapsed="false">
      <c r="A1403" s="3" t="n">
        <v>1402</v>
      </c>
      <c r="B1403" s="3" t="n">
        <v>1401</v>
      </c>
      <c r="C1403" s="3" t="n">
        <v>7</v>
      </c>
      <c r="D1403" s="3" t="n">
        <v>2</v>
      </c>
      <c r="E1403" s="3" t="n">
        <v>1</v>
      </c>
      <c r="F1403" s="24" t="n">
        <v>0</v>
      </c>
    </row>
    <row r="1404" customFormat="false" ht="15" hidden="false" customHeight="false" outlineLevel="0" collapsed="false">
      <c r="A1404" s="3" t="n">
        <v>1403</v>
      </c>
      <c r="B1404" s="3" t="n">
        <v>1402</v>
      </c>
      <c r="C1404" s="3" t="n">
        <v>7</v>
      </c>
      <c r="D1404" s="3" t="n">
        <v>2</v>
      </c>
      <c r="E1404" s="3" t="n">
        <v>2</v>
      </c>
      <c r="F1404" s="24" t="n">
        <v>0.703762412</v>
      </c>
    </row>
    <row r="1405" customFormat="false" ht="15" hidden="false" customHeight="false" outlineLevel="0" collapsed="false">
      <c r="A1405" s="3" t="n">
        <v>1404</v>
      </c>
      <c r="B1405" s="3" t="n">
        <v>1403</v>
      </c>
      <c r="C1405" s="3" t="n">
        <v>7</v>
      </c>
      <c r="D1405" s="3" t="n">
        <v>2</v>
      </c>
      <c r="E1405" s="3" t="n">
        <v>3</v>
      </c>
      <c r="F1405" s="24" t="n">
        <v>3.57920623</v>
      </c>
    </row>
    <row r="1406" customFormat="false" ht="15" hidden="false" customHeight="false" outlineLevel="0" collapsed="false">
      <c r="A1406" s="3" t="n">
        <v>1405</v>
      </c>
      <c r="B1406" s="3" t="n">
        <v>1404</v>
      </c>
      <c r="C1406" s="3" t="n">
        <v>7</v>
      </c>
      <c r="D1406" s="3" t="n">
        <v>2</v>
      </c>
      <c r="E1406" s="3" t="n">
        <v>4</v>
      </c>
      <c r="F1406" s="24" t="n">
        <v>5.56494522</v>
      </c>
    </row>
    <row r="1407" customFormat="false" ht="15" hidden="false" customHeight="false" outlineLevel="0" collapsed="false">
      <c r="A1407" s="3" t="n">
        <v>1406</v>
      </c>
      <c r="B1407" s="3" t="n">
        <v>1405</v>
      </c>
      <c r="C1407" s="3" t="n">
        <v>7</v>
      </c>
      <c r="D1407" s="3" t="n">
        <v>2</v>
      </c>
      <c r="E1407" s="3" t="n">
        <v>5</v>
      </c>
      <c r="F1407" s="24" t="n">
        <v>3.6890893</v>
      </c>
    </row>
    <row r="1408" customFormat="false" ht="15" hidden="false" customHeight="false" outlineLevel="0" collapsed="false">
      <c r="A1408" s="3" t="n">
        <v>1407</v>
      </c>
      <c r="B1408" s="3" t="n">
        <v>1406</v>
      </c>
      <c r="C1408" s="3" t="n">
        <v>7</v>
      </c>
      <c r="D1408" s="3" t="n">
        <v>2</v>
      </c>
      <c r="E1408" s="3" t="n">
        <v>6</v>
      </c>
      <c r="F1408" s="24" t="n">
        <v>2.27690434</v>
      </c>
    </row>
    <row r="1409" customFormat="false" ht="15" hidden="false" customHeight="false" outlineLevel="0" collapsed="false">
      <c r="A1409" s="3" t="n">
        <v>1408</v>
      </c>
      <c r="B1409" s="3" t="n">
        <v>1407</v>
      </c>
      <c r="C1409" s="3" t="n">
        <v>7</v>
      </c>
      <c r="D1409" s="3" t="n">
        <v>2</v>
      </c>
      <c r="E1409" s="3" t="n">
        <v>7</v>
      </c>
      <c r="F1409" s="24" t="n">
        <v>1.94962168</v>
      </c>
    </row>
    <row r="1410" customFormat="false" ht="15" hidden="false" customHeight="false" outlineLevel="0" collapsed="false">
      <c r="A1410" s="3" t="n">
        <v>1409</v>
      </c>
      <c r="B1410" s="3" t="n">
        <v>1408</v>
      </c>
      <c r="C1410" s="3" t="n">
        <v>7</v>
      </c>
      <c r="D1410" s="3" t="n">
        <v>2</v>
      </c>
      <c r="E1410" s="3" t="n">
        <v>8</v>
      </c>
      <c r="F1410" s="24" t="n">
        <v>1.90121365</v>
      </c>
    </row>
    <row r="1411" customFormat="false" ht="15" hidden="false" customHeight="false" outlineLevel="0" collapsed="false">
      <c r="A1411" s="3" t="n">
        <v>1410</v>
      </c>
      <c r="B1411" s="3" t="n">
        <v>1409</v>
      </c>
      <c r="C1411" s="3" t="n">
        <v>7</v>
      </c>
      <c r="D1411" s="3" t="n">
        <v>2</v>
      </c>
      <c r="E1411" s="3" t="n">
        <v>9</v>
      </c>
      <c r="F1411" s="24" t="n">
        <v>1.58167458</v>
      </c>
    </row>
    <row r="1412" customFormat="false" ht="15" hidden="false" customHeight="false" outlineLevel="0" collapsed="false">
      <c r="A1412" s="3" t="n">
        <v>1411</v>
      </c>
      <c r="B1412" s="3" t="n">
        <v>1410</v>
      </c>
      <c r="C1412" s="3" t="n">
        <v>7</v>
      </c>
      <c r="D1412" s="3" t="n">
        <v>2</v>
      </c>
      <c r="E1412" s="3" t="n">
        <v>10</v>
      </c>
      <c r="F1412" s="24" t="n">
        <v>0.697397768</v>
      </c>
    </row>
    <row r="1413" customFormat="false" ht="15" hidden="false" customHeight="false" outlineLevel="0" collapsed="false">
      <c r="A1413" s="3" t="n">
        <v>1412</v>
      </c>
      <c r="B1413" s="3" t="n">
        <v>1411</v>
      </c>
      <c r="C1413" s="3" t="n">
        <v>7</v>
      </c>
      <c r="D1413" s="3" t="n">
        <v>2</v>
      </c>
      <c r="E1413" s="3" t="n">
        <v>11</v>
      </c>
      <c r="F1413" s="24" t="n">
        <v>0</v>
      </c>
    </row>
    <row r="1414" customFormat="false" ht="15" hidden="false" customHeight="false" outlineLevel="0" collapsed="false">
      <c r="A1414" s="3" t="n">
        <v>1413</v>
      </c>
      <c r="B1414" s="3" t="n">
        <v>1412</v>
      </c>
      <c r="C1414" s="3" t="n">
        <v>7</v>
      </c>
      <c r="D1414" s="3" t="n">
        <v>2</v>
      </c>
      <c r="E1414" s="3" t="n">
        <v>12</v>
      </c>
      <c r="F1414" s="24" t="n">
        <v>0</v>
      </c>
    </row>
    <row r="1415" customFormat="false" ht="15" hidden="false" customHeight="false" outlineLevel="0" collapsed="false">
      <c r="A1415" s="3" t="n">
        <v>1414</v>
      </c>
      <c r="B1415" s="3" t="n">
        <v>1413</v>
      </c>
      <c r="C1415" s="3" t="n">
        <v>7</v>
      </c>
      <c r="D1415" s="3" t="n">
        <v>2</v>
      </c>
      <c r="E1415" s="3" t="n">
        <v>13</v>
      </c>
      <c r="F1415" s="24" t="n">
        <v>0</v>
      </c>
    </row>
    <row r="1416" customFormat="false" ht="15" hidden="false" customHeight="false" outlineLevel="0" collapsed="false">
      <c r="A1416" s="3" t="n">
        <v>1415</v>
      </c>
      <c r="B1416" s="3" t="n">
        <v>1414</v>
      </c>
      <c r="C1416" s="3" t="n">
        <v>7</v>
      </c>
      <c r="D1416" s="3" t="n">
        <v>3</v>
      </c>
      <c r="E1416" s="3" t="n">
        <v>0</v>
      </c>
      <c r="F1416" s="24" t="n">
        <v>0</v>
      </c>
    </row>
    <row r="1417" customFormat="false" ht="15" hidden="false" customHeight="false" outlineLevel="0" collapsed="false">
      <c r="A1417" s="3" t="n">
        <v>1416</v>
      </c>
      <c r="B1417" s="3" t="n">
        <v>1415</v>
      </c>
      <c r="C1417" s="3" t="n">
        <v>7</v>
      </c>
      <c r="D1417" s="3" t="n">
        <v>3</v>
      </c>
      <c r="E1417" s="3" t="n">
        <v>1</v>
      </c>
      <c r="F1417" s="24" t="n">
        <v>0</v>
      </c>
    </row>
    <row r="1418" customFormat="false" ht="15" hidden="false" customHeight="false" outlineLevel="0" collapsed="false">
      <c r="A1418" s="3" t="n">
        <v>1417</v>
      </c>
      <c r="B1418" s="3" t="n">
        <v>1416</v>
      </c>
      <c r="C1418" s="3" t="n">
        <v>7</v>
      </c>
      <c r="D1418" s="3" t="n">
        <v>3</v>
      </c>
      <c r="E1418" s="3" t="n">
        <v>2</v>
      </c>
      <c r="F1418" s="24" t="n">
        <v>0</v>
      </c>
    </row>
    <row r="1419" customFormat="false" ht="15" hidden="false" customHeight="false" outlineLevel="0" collapsed="false">
      <c r="A1419" s="3" t="n">
        <v>1418</v>
      </c>
      <c r="B1419" s="3" t="n">
        <v>1417</v>
      </c>
      <c r="C1419" s="3" t="n">
        <v>7</v>
      </c>
      <c r="D1419" s="3" t="n">
        <v>3</v>
      </c>
      <c r="E1419" s="3" t="n">
        <v>3</v>
      </c>
      <c r="F1419" s="24" t="n">
        <v>0</v>
      </c>
    </row>
    <row r="1420" customFormat="false" ht="15" hidden="false" customHeight="false" outlineLevel="0" collapsed="false">
      <c r="A1420" s="3" t="n">
        <v>1419</v>
      </c>
      <c r="B1420" s="3" t="n">
        <v>1418</v>
      </c>
      <c r="C1420" s="3" t="n">
        <v>7</v>
      </c>
      <c r="D1420" s="3" t="n">
        <v>3</v>
      </c>
      <c r="E1420" s="3" t="n">
        <v>4</v>
      </c>
      <c r="F1420" s="24" t="n">
        <v>4.97062969</v>
      </c>
    </row>
    <row r="1421" customFormat="false" ht="15" hidden="false" customHeight="false" outlineLevel="0" collapsed="false">
      <c r="A1421" s="3" t="n">
        <v>1420</v>
      </c>
      <c r="B1421" s="3" t="n">
        <v>1419</v>
      </c>
      <c r="C1421" s="3" t="n">
        <v>7</v>
      </c>
      <c r="D1421" s="3" t="n">
        <v>3</v>
      </c>
      <c r="E1421" s="3" t="n">
        <v>5</v>
      </c>
      <c r="F1421" s="24" t="n">
        <v>10.5120106</v>
      </c>
    </row>
    <row r="1422" customFormat="false" ht="15" hidden="false" customHeight="false" outlineLevel="0" collapsed="false">
      <c r="A1422" s="3" t="n">
        <v>1421</v>
      </c>
      <c r="B1422" s="3" t="n">
        <v>1420</v>
      </c>
      <c r="C1422" s="3" t="n">
        <v>7</v>
      </c>
      <c r="D1422" s="3" t="n">
        <v>3</v>
      </c>
      <c r="E1422" s="3" t="n">
        <v>6</v>
      </c>
      <c r="F1422" s="24" t="n">
        <v>10.9675512</v>
      </c>
    </row>
    <row r="1423" customFormat="false" ht="15" hidden="false" customHeight="false" outlineLevel="0" collapsed="false">
      <c r="A1423" s="3" t="n">
        <v>1422</v>
      </c>
      <c r="B1423" s="3" t="n">
        <v>1421</v>
      </c>
      <c r="C1423" s="3" t="n">
        <v>7</v>
      </c>
      <c r="D1423" s="3" t="n">
        <v>3</v>
      </c>
      <c r="E1423" s="3" t="n">
        <v>7</v>
      </c>
      <c r="F1423" s="24" t="n">
        <v>9.29100323</v>
      </c>
    </row>
    <row r="1424" customFormat="false" ht="15" hidden="false" customHeight="false" outlineLevel="0" collapsed="false">
      <c r="A1424" s="3" t="n">
        <v>1423</v>
      </c>
      <c r="B1424" s="3" t="n">
        <v>1422</v>
      </c>
      <c r="C1424" s="3" t="n">
        <v>7</v>
      </c>
      <c r="D1424" s="3" t="n">
        <v>3</v>
      </c>
      <c r="E1424" s="3" t="n">
        <v>8</v>
      </c>
      <c r="F1424" s="24" t="n">
        <v>8.45191193</v>
      </c>
    </row>
    <row r="1425" customFormat="false" ht="15" hidden="false" customHeight="false" outlineLevel="0" collapsed="false">
      <c r="A1425" s="3" t="n">
        <v>1424</v>
      </c>
      <c r="B1425" s="3" t="n">
        <v>1423</v>
      </c>
      <c r="C1425" s="3" t="n">
        <v>7</v>
      </c>
      <c r="D1425" s="3" t="n">
        <v>3</v>
      </c>
      <c r="E1425" s="3" t="n">
        <v>9</v>
      </c>
      <c r="F1425" s="24" t="n">
        <v>8.16796398</v>
      </c>
    </row>
    <row r="1426" customFormat="false" ht="15" hidden="false" customHeight="false" outlineLevel="0" collapsed="false">
      <c r="A1426" s="3" t="n">
        <v>1425</v>
      </c>
      <c r="B1426" s="3" t="n">
        <v>1424</v>
      </c>
      <c r="C1426" s="3" t="n">
        <v>7</v>
      </c>
      <c r="D1426" s="3" t="n">
        <v>3</v>
      </c>
      <c r="E1426" s="3" t="n">
        <v>10</v>
      </c>
      <c r="F1426" s="24" t="n">
        <v>7.4032445</v>
      </c>
    </row>
    <row r="1427" customFormat="false" ht="15" hidden="false" customHeight="false" outlineLevel="0" collapsed="false">
      <c r="A1427" s="3" t="n">
        <v>1426</v>
      </c>
      <c r="B1427" s="3" t="n">
        <v>1425</v>
      </c>
      <c r="C1427" s="3" t="n">
        <v>7</v>
      </c>
      <c r="D1427" s="3" t="n">
        <v>3</v>
      </c>
      <c r="E1427" s="3" t="n">
        <v>11</v>
      </c>
      <c r="F1427" s="24" t="n">
        <v>3.15862346</v>
      </c>
    </row>
    <row r="1428" customFormat="false" ht="15" hidden="false" customHeight="false" outlineLevel="0" collapsed="false">
      <c r="A1428" s="3" t="n">
        <v>1427</v>
      </c>
      <c r="B1428" s="3" t="n">
        <v>1426</v>
      </c>
      <c r="C1428" s="3" t="n">
        <v>7</v>
      </c>
      <c r="D1428" s="3" t="n">
        <v>3</v>
      </c>
      <c r="E1428" s="3" t="n">
        <v>12</v>
      </c>
      <c r="F1428" s="24" t="n">
        <v>0</v>
      </c>
    </row>
    <row r="1429" customFormat="false" ht="15" hidden="false" customHeight="false" outlineLevel="0" collapsed="false">
      <c r="A1429" s="3" t="n">
        <v>1428</v>
      </c>
      <c r="B1429" s="3" t="n">
        <v>1427</v>
      </c>
      <c r="C1429" s="3" t="n">
        <v>7</v>
      </c>
      <c r="D1429" s="3" t="n">
        <v>3</v>
      </c>
      <c r="E1429" s="3" t="n">
        <v>13</v>
      </c>
      <c r="F1429" s="24" t="n">
        <v>0</v>
      </c>
    </row>
    <row r="1430" customFormat="false" ht="15" hidden="false" customHeight="false" outlineLevel="0" collapsed="false">
      <c r="A1430" s="3" t="n">
        <v>1429</v>
      </c>
      <c r="B1430" s="3" t="n">
        <v>1428</v>
      </c>
      <c r="C1430" s="3" t="n">
        <v>7</v>
      </c>
      <c r="D1430" s="3" t="n">
        <v>4</v>
      </c>
      <c r="E1430" s="3" t="n">
        <v>0</v>
      </c>
      <c r="F1430" s="24" t="n">
        <v>0</v>
      </c>
    </row>
    <row r="1431" customFormat="false" ht="15" hidden="false" customHeight="false" outlineLevel="0" collapsed="false">
      <c r="A1431" s="3" t="n">
        <v>1430</v>
      </c>
      <c r="B1431" s="3" t="n">
        <v>1429</v>
      </c>
      <c r="C1431" s="3" t="n">
        <v>7</v>
      </c>
      <c r="D1431" s="3" t="n">
        <v>4</v>
      </c>
      <c r="E1431" s="3" t="n">
        <v>1</v>
      </c>
      <c r="F1431" s="24" t="n">
        <v>0</v>
      </c>
    </row>
    <row r="1432" customFormat="false" ht="15" hidden="false" customHeight="false" outlineLevel="0" collapsed="false">
      <c r="A1432" s="3" t="n">
        <v>1431</v>
      </c>
      <c r="B1432" s="3" t="n">
        <v>1430</v>
      </c>
      <c r="C1432" s="3" t="n">
        <v>7</v>
      </c>
      <c r="D1432" s="3" t="n">
        <v>4</v>
      </c>
      <c r="E1432" s="3" t="n">
        <v>2</v>
      </c>
      <c r="F1432" s="24" t="n">
        <v>0</v>
      </c>
    </row>
    <row r="1433" customFormat="false" ht="15" hidden="false" customHeight="false" outlineLevel="0" collapsed="false">
      <c r="A1433" s="3" t="n">
        <v>1432</v>
      </c>
      <c r="B1433" s="3" t="n">
        <v>1431</v>
      </c>
      <c r="C1433" s="3" t="n">
        <v>7</v>
      </c>
      <c r="D1433" s="3" t="n">
        <v>4</v>
      </c>
      <c r="E1433" s="3" t="n">
        <v>3</v>
      </c>
      <c r="F1433" s="24" t="n">
        <v>0</v>
      </c>
    </row>
    <row r="1434" customFormat="false" ht="15" hidden="false" customHeight="false" outlineLevel="0" collapsed="false">
      <c r="A1434" s="3" t="n">
        <v>1433</v>
      </c>
      <c r="B1434" s="3" t="n">
        <v>1432</v>
      </c>
      <c r="C1434" s="3" t="n">
        <v>7</v>
      </c>
      <c r="D1434" s="3" t="n">
        <v>4</v>
      </c>
      <c r="E1434" s="3" t="n">
        <v>4</v>
      </c>
      <c r="F1434" s="24" t="n">
        <v>0</v>
      </c>
    </row>
    <row r="1435" customFormat="false" ht="15" hidden="false" customHeight="false" outlineLevel="0" collapsed="false">
      <c r="A1435" s="3" t="n">
        <v>1434</v>
      </c>
      <c r="B1435" s="3" t="n">
        <v>1433</v>
      </c>
      <c r="C1435" s="3" t="n">
        <v>7</v>
      </c>
      <c r="D1435" s="3" t="n">
        <v>4</v>
      </c>
      <c r="E1435" s="3" t="n">
        <v>5</v>
      </c>
      <c r="F1435" s="24" t="n">
        <v>0</v>
      </c>
    </row>
    <row r="1436" customFormat="false" ht="15" hidden="false" customHeight="false" outlineLevel="0" collapsed="false">
      <c r="A1436" s="3" t="n">
        <v>1435</v>
      </c>
      <c r="B1436" s="3" t="n">
        <v>1434</v>
      </c>
      <c r="C1436" s="3" t="n">
        <v>7</v>
      </c>
      <c r="D1436" s="3" t="n">
        <v>4</v>
      </c>
      <c r="E1436" s="3" t="n">
        <v>6</v>
      </c>
      <c r="F1436" s="24" t="n">
        <v>0</v>
      </c>
    </row>
    <row r="1437" customFormat="false" ht="15" hidden="false" customHeight="false" outlineLevel="0" collapsed="false">
      <c r="A1437" s="3" t="n">
        <v>1436</v>
      </c>
      <c r="B1437" s="3" t="n">
        <v>1435</v>
      </c>
      <c r="C1437" s="3" t="n">
        <v>7</v>
      </c>
      <c r="D1437" s="3" t="n">
        <v>4</v>
      </c>
      <c r="E1437" s="3" t="n">
        <v>7</v>
      </c>
      <c r="F1437" s="24" t="n">
        <v>0</v>
      </c>
    </row>
    <row r="1438" customFormat="false" ht="15" hidden="false" customHeight="false" outlineLevel="0" collapsed="false">
      <c r="A1438" s="3" t="n">
        <v>1437</v>
      </c>
      <c r="B1438" s="3" t="n">
        <v>1436</v>
      </c>
      <c r="C1438" s="3" t="n">
        <v>7</v>
      </c>
      <c r="D1438" s="3" t="n">
        <v>4</v>
      </c>
      <c r="E1438" s="3" t="n">
        <v>8</v>
      </c>
      <c r="F1438" s="24" t="n">
        <v>0</v>
      </c>
    </row>
    <row r="1439" customFormat="false" ht="15" hidden="false" customHeight="false" outlineLevel="0" collapsed="false">
      <c r="A1439" s="3" t="n">
        <v>1438</v>
      </c>
      <c r="B1439" s="3" t="n">
        <v>1437</v>
      </c>
      <c r="C1439" s="3" t="n">
        <v>7</v>
      </c>
      <c r="D1439" s="3" t="n">
        <v>4</v>
      </c>
      <c r="E1439" s="3" t="n">
        <v>9</v>
      </c>
      <c r="F1439" s="24" t="n">
        <v>0.750301242</v>
      </c>
    </row>
    <row r="1440" customFormat="false" ht="15" hidden="false" customHeight="false" outlineLevel="0" collapsed="false">
      <c r="A1440" s="3" t="n">
        <v>1439</v>
      </c>
      <c r="B1440" s="3" t="n">
        <v>1438</v>
      </c>
      <c r="C1440" s="3" t="n">
        <v>7</v>
      </c>
      <c r="D1440" s="3" t="n">
        <v>4</v>
      </c>
      <c r="E1440" s="3" t="n">
        <v>10</v>
      </c>
      <c r="F1440" s="24" t="n">
        <v>3.84352946</v>
      </c>
    </row>
    <row r="1441" customFormat="false" ht="15" hidden="false" customHeight="false" outlineLevel="0" collapsed="false">
      <c r="A1441" s="3" t="n">
        <v>1440</v>
      </c>
      <c r="B1441" s="3" t="n">
        <v>1439</v>
      </c>
      <c r="C1441" s="3" t="n">
        <v>7</v>
      </c>
      <c r="D1441" s="3" t="n">
        <v>4</v>
      </c>
      <c r="E1441" s="3" t="n">
        <v>11</v>
      </c>
      <c r="F1441" s="24" t="n">
        <v>5.08224678</v>
      </c>
    </row>
    <row r="1442" customFormat="false" ht="15" hidden="false" customHeight="false" outlineLevel="0" collapsed="false">
      <c r="A1442" s="3" t="n">
        <v>1441</v>
      </c>
      <c r="B1442" s="3" t="n">
        <v>1440</v>
      </c>
      <c r="C1442" s="3" t="n">
        <v>7</v>
      </c>
      <c r="D1442" s="3" t="n">
        <v>4</v>
      </c>
      <c r="E1442" s="3" t="n">
        <v>12</v>
      </c>
      <c r="F1442" s="24" t="n">
        <v>0.810897946</v>
      </c>
    </row>
    <row r="1443" customFormat="false" ht="15" hidden="false" customHeight="false" outlineLevel="0" collapsed="false">
      <c r="A1443" s="3" t="n">
        <v>1442</v>
      </c>
      <c r="B1443" s="3" t="n">
        <v>1441</v>
      </c>
      <c r="C1443" s="3" t="n">
        <v>7</v>
      </c>
      <c r="D1443" s="3" t="n">
        <v>4</v>
      </c>
      <c r="E1443" s="3" t="n">
        <v>13</v>
      </c>
      <c r="F1443" s="24" t="n">
        <v>0</v>
      </c>
    </row>
    <row r="1444" customFormat="false" ht="15" hidden="false" customHeight="false" outlineLevel="0" collapsed="false">
      <c r="A1444" s="3" t="n">
        <v>1443</v>
      </c>
      <c r="B1444" s="3" t="n">
        <v>1442</v>
      </c>
      <c r="C1444" s="3" t="n">
        <v>7</v>
      </c>
      <c r="D1444" s="3" t="n">
        <v>5</v>
      </c>
      <c r="E1444" s="3" t="n">
        <v>0</v>
      </c>
      <c r="F1444" s="24" t="n">
        <v>0</v>
      </c>
    </row>
    <row r="1445" customFormat="false" ht="15" hidden="false" customHeight="false" outlineLevel="0" collapsed="false">
      <c r="A1445" s="3" t="n">
        <v>1444</v>
      </c>
      <c r="B1445" s="3" t="n">
        <v>1443</v>
      </c>
      <c r="C1445" s="3" t="n">
        <v>7</v>
      </c>
      <c r="D1445" s="3" t="n">
        <v>5</v>
      </c>
      <c r="E1445" s="3" t="n">
        <v>1</v>
      </c>
      <c r="F1445" s="24" t="n">
        <v>0</v>
      </c>
    </row>
    <row r="1446" customFormat="false" ht="15" hidden="false" customHeight="false" outlineLevel="0" collapsed="false">
      <c r="A1446" s="3" t="n">
        <v>1445</v>
      </c>
      <c r="B1446" s="3" t="n">
        <v>1444</v>
      </c>
      <c r="C1446" s="3" t="n">
        <v>7</v>
      </c>
      <c r="D1446" s="3" t="n">
        <v>5</v>
      </c>
      <c r="E1446" s="3" t="n">
        <v>2</v>
      </c>
      <c r="F1446" s="24" t="n">
        <v>1.95324492</v>
      </c>
    </row>
    <row r="1447" customFormat="false" ht="15" hidden="false" customHeight="false" outlineLevel="0" collapsed="false">
      <c r="A1447" s="3" t="n">
        <v>1446</v>
      </c>
      <c r="B1447" s="3" t="n">
        <v>1445</v>
      </c>
      <c r="C1447" s="3" t="n">
        <v>7</v>
      </c>
      <c r="D1447" s="3" t="n">
        <v>5</v>
      </c>
      <c r="E1447" s="3" t="n">
        <v>3</v>
      </c>
      <c r="F1447" s="24" t="n">
        <v>0.451696754</v>
      </c>
    </row>
    <row r="1448" customFormat="false" ht="15" hidden="false" customHeight="false" outlineLevel="0" collapsed="false">
      <c r="A1448" s="3" t="n">
        <v>1447</v>
      </c>
      <c r="B1448" s="3" t="n">
        <v>1446</v>
      </c>
      <c r="C1448" s="3" t="n">
        <v>7</v>
      </c>
      <c r="D1448" s="3" t="n">
        <v>5</v>
      </c>
      <c r="E1448" s="3" t="n">
        <v>4</v>
      </c>
      <c r="F1448" s="24" t="n">
        <v>0</v>
      </c>
    </row>
    <row r="1449" customFormat="false" ht="15" hidden="false" customHeight="false" outlineLevel="0" collapsed="false">
      <c r="A1449" s="3" t="n">
        <v>1448</v>
      </c>
      <c r="B1449" s="3" t="n">
        <v>1447</v>
      </c>
      <c r="C1449" s="3" t="n">
        <v>7</v>
      </c>
      <c r="D1449" s="3" t="n">
        <v>5</v>
      </c>
      <c r="E1449" s="3" t="n">
        <v>5</v>
      </c>
      <c r="F1449" s="24" t="n">
        <v>0</v>
      </c>
    </row>
    <row r="1450" customFormat="false" ht="15" hidden="false" customHeight="false" outlineLevel="0" collapsed="false">
      <c r="A1450" s="3" t="n">
        <v>1449</v>
      </c>
      <c r="B1450" s="3" t="n">
        <v>1448</v>
      </c>
      <c r="C1450" s="3" t="n">
        <v>7</v>
      </c>
      <c r="D1450" s="3" t="n">
        <v>5</v>
      </c>
      <c r="E1450" s="3" t="n">
        <v>6</v>
      </c>
      <c r="F1450" s="24" t="n">
        <v>0</v>
      </c>
    </row>
    <row r="1451" customFormat="false" ht="15" hidden="false" customHeight="false" outlineLevel="0" collapsed="false">
      <c r="A1451" s="3" t="n">
        <v>1450</v>
      </c>
      <c r="B1451" s="3" t="n">
        <v>1449</v>
      </c>
      <c r="C1451" s="3" t="n">
        <v>7</v>
      </c>
      <c r="D1451" s="3" t="n">
        <v>5</v>
      </c>
      <c r="E1451" s="3" t="n">
        <v>7</v>
      </c>
      <c r="F1451" s="24" t="n">
        <v>0</v>
      </c>
    </row>
    <row r="1452" customFormat="false" ht="15" hidden="false" customHeight="false" outlineLevel="0" collapsed="false">
      <c r="A1452" s="3" t="n">
        <v>1451</v>
      </c>
      <c r="B1452" s="3" t="n">
        <v>1450</v>
      </c>
      <c r="C1452" s="3" t="n">
        <v>7</v>
      </c>
      <c r="D1452" s="3" t="n">
        <v>5</v>
      </c>
      <c r="E1452" s="3" t="n">
        <v>8</v>
      </c>
      <c r="F1452" s="24" t="n">
        <v>0</v>
      </c>
    </row>
    <row r="1453" customFormat="false" ht="15" hidden="false" customHeight="false" outlineLevel="0" collapsed="false">
      <c r="A1453" s="3" t="n">
        <v>1452</v>
      </c>
      <c r="B1453" s="3" t="n">
        <v>1451</v>
      </c>
      <c r="C1453" s="3" t="n">
        <v>7</v>
      </c>
      <c r="D1453" s="3" t="n">
        <v>5</v>
      </c>
      <c r="E1453" s="3" t="n">
        <v>9</v>
      </c>
      <c r="F1453" s="24" t="n">
        <v>0</v>
      </c>
    </row>
    <row r="1454" customFormat="false" ht="15" hidden="false" customHeight="false" outlineLevel="0" collapsed="false">
      <c r="A1454" s="3" t="n">
        <v>1453</v>
      </c>
      <c r="B1454" s="3" t="n">
        <v>1452</v>
      </c>
      <c r="C1454" s="3" t="n">
        <v>7</v>
      </c>
      <c r="D1454" s="3" t="n">
        <v>5</v>
      </c>
      <c r="E1454" s="3" t="n">
        <v>10</v>
      </c>
      <c r="F1454" s="24" t="n">
        <v>0</v>
      </c>
    </row>
    <row r="1455" customFormat="false" ht="15" hidden="false" customHeight="false" outlineLevel="0" collapsed="false">
      <c r="A1455" s="3" t="n">
        <v>1454</v>
      </c>
      <c r="B1455" s="3" t="n">
        <v>1453</v>
      </c>
      <c r="C1455" s="3" t="n">
        <v>7</v>
      </c>
      <c r="D1455" s="3" t="n">
        <v>5</v>
      </c>
      <c r="E1455" s="3" t="n">
        <v>11</v>
      </c>
      <c r="F1455" s="24" t="n">
        <v>0</v>
      </c>
    </row>
    <row r="1456" customFormat="false" ht="15" hidden="false" customHeight="false" outlineLevel="0" collapsed="false">
      <c r="A1456" s="3" t="n">
        <v>1455</v>
      </c>
      <c r="B1456" s="3" t="n">
        <v>1454</v>
      </c>
      <c r="C1456" s="3" t="n">
        <v>7</v>
      </c>
      <c r="D1456" s="3" t="n">
        <v>5</v>
      </c>
      <c r="E1456" s="3" t="n">
        <v>12</v>
      </c>
      <c r="F1456" s="24" t="n">
        <v>0</v>
      </c>
    </row>
    <row r="1457" customFormat="false" ht="15" hidden="false" customHeight="false" outlineLevel="0" collapsed="false">
      <c r="A1457" s="3" t="n">
        <v>1456</v>
      </c>
      <c r="B1457" s="3" t="n">
        <v>1455</v>
      </c>
      <c r="C1457" s="3" t="n">
        <v>7</v>
      </c>
      <c r="D1457" s="3" t="n">
        <v>5</v>
      </c>
      <c r="E1457" s="3" t="n">
        <v>13</v>
      </c>
      <c r="F1457" s="24" t="n">
        <v>0</v>
      </c>
    </row>
    <row r="1458" customFormat="false" ht="15" hidden="false" customHeight="false" outlineLevel="0" collapsed="false">
      <c r="A1458" s="3" t="n">
        <v>1457</v>
      </c>
      <c r="B1458" s="3" t="n">
        <v>1456</v>
      </c>
      <c r="C1458" s="3" t="n">
        <v>7</v>
      </c>
      <c r="D1458" s="3" t="n">
        <v>6</v>
      </c>
      <c r="E1458" s="3" t="n">
        <v>0</v>
      </c>
      <c r="F1458" s="24" t="n">
        <v>0</v>
      </c>
    </row>
    <row r="1459" customFormat="false" ht="15" hidden="false" customHeight="false" outlineLevel="0" collapsed="false">
      <c r="A1459" s="3" t="n">
        <v>1458</v>
      </c>
      <c r="B1459" s="3" t="n">
        <v>1457</v>
      </c>
      <c r="C1459" s="3" t="n">
        <v>7</v>
      </c>
      <c r="D1459" s="3" t="n">
        <v>6</v>
      </c>
      <c r="E1459" s="3" t="n">
        <v>1</v>
      </c>
      <c r="F1459" s="24" t="n">
        <v>0</v>
      </c>
    </row>
    <row r="1460" customFormat="false" ht="15" hidden="false" customHeight="false" outlineLevel="0" collapsed="false">
      <c r="A1460" s="3" t="n">
        <v>1459</v>
      </c>
      <c r="B1460" s="3" t="n">
        <v>1458</v>
      </c>
      <c r="C1460" s="3" t="n">
        <v>7</v>
      </c>
      <c r="D1460" s="3" t="n">
        <v>6</v>
      </c>
      <c r="E1460" s="3" t="n">
        <v>2</v>
      </c>
      <c r="F1460" s="24" t="n">
        <v>0</v>
      </c>
    </row>
    <row r="1461" customFormat="false" ht="15" hidden="false" customHeight="false" outlineLevel="0" collapsed="false">
      <c r="A1461" s="3" t="n">
        <v>1460</v>
      </c>
      <c r="B1461" s="3" t="n">
        <v>1459</v>
      </c>
      <c r="C1461" s="3" t="n">
        <v>7</v>
      </c>
      <c r="D1461" s="3" t="n">
        <v>6</v>
      </c>
      <c r="E1461" s="3" t="n">
        <v>3</v>
      </c>
      <c r="F1461" s="24" t="n">
        <v>0</v>
      </c>
    </row>
    <row r="1462" customFormat="false" ht="15" hidden="false" customHeight="false" outlineLevel="0" collapsed="false">
      <c r="A1462" s="3" t="n">
        <v>1461</v>
      </c>
      <c r="B1462" s="3" t="n">
        <v>1460</v>
      </c>
      <c r="C1462" s="3" t="n">
        <v>7</v>
      </c>
      <c r="D1462" s="3" t="n">
        <v>6</v>
      </c>
      <c r="E1462" s="3" t="n">
        <v>4</v>
      </c>
      <c r="F1462" s="24" t="n">
        <v>0</v>
      </c>
    </row>
    <row r="1463" customFormat="false" ht="15" hidden="false" customHeight="false" outlineLevel="0" collapsed="false">
      <c r="A1463" s="3" t="n">
        <v>1462</v>
      </c>
      <c r="B1463" s="3" t="n">
        <v>1461</v>
      </c>
      <c r="C1463" s="3" t="n">
        <v>7</v>
      </c>
      <c r="D1463" s="3" t="n">
        <v>6</v>
      </c>
      <c r="E1463" s="3" t="n">
        <v>5</v>
      </c>
      <c r="F1463" s="24" t="n">
        <v>0</v>
      </c>
    </row>
    <row r="1464" customFormat="false" ht="15" hidden="false" customHeight="false" outlineLevel="0" collapsed="false">
      <c r="A1464" s="3" t="n">
        <v>1463</v>
      </c>
      <c r="B1464" s="3" t="n">
        <v>1462</v>
      </c>
      <c r="C1464" s="3" t="n">
        <v>7</v>
      </c>
      <c r="D1464" s="3" t="n">
        <v>6</v>
      </c>
      <c r="E1464" s="3" t="n">
        <v>6</v>
      </c>
      <c r="F1464" s="24" t="n">
        <v>0</v>
      </c>
    </row>
    <row r="1465" customFormat="false" ht="15" hidden="false" customHeight="false" outlineLevel="0" collapsed="false">
      <c r="A1465" s="3" t="n">
        <v>1464</v>
      </c>
      <c r="B1465" s="3" t="n">
        <v>1463</v>
      </c>
      <c r="C1465" s="3" t="n">
        <v>7</v>
      </c>
      <c r="D1465" s="3" t="n">
        <v>6</v>
      </c>
      <c r="E1465" s="3" t="n">
        <v>7</v>
      </c>
      <c r="F1465" s="24" t="n">
        <v>0</v>
      </c>
    </row>
    <row r="1466" customFormat="false" ht="15" hidden="false" customHeight="false" outlineLevel="0" collapsed="false">
      <c r="A1466" s="3" t="n">
        <v>1465</v>
      </c>
      <c r="B1466" s="3" t="n">
        <v>1464</v>
      </c>
      <c r="C1466" s="3" t="n">
        <v>7</v>
      </c>
      <c r="D1466" s="3" t="n">
        <v>6</v>
      </c>
      <c r="E1466" s="3" t="n">
        <v>8</v>
      </c>
      <c r="F1466" s="24" t="n">
        <v>0</v>
      </c>
    </row>
    <row r="1467" customFormat="false" ht="15" hidden="false" customHeight="false" outlineLevel="0" collapsed="false">
      <c r="A1467" s="3" t="n">
        <v>1466</v>
      </c>
      <c r="B1467" s="3" t="n">
        <v>1465</v>
      </c>
      <c r="C1467" s="3" t="n">
        <v>7</v>
      </c>
      <c r="D1467" s="3" t="n">
        <v>6</v>
      </c>
      <c r="E1467" s="3" t="n">
        <v>9</v>
      </c>
      <c r="F1467" s="24" t="n">
        <v>0</v>
      </c>
    </row>
    <row r="1468" customFormat="false" ht="15" hidden="false" customHeight="false" outlineLevel="0" collapsed="false">
      <c r="A1468" s="3" t="n">
        <v>1467</v>
      </c>
      <c r="B1468" s="3" t="n">
        <v>1466</v>
      </c>
      <c r="C1468" s="3" t="n">
        <v>7</v>
      </c>
      <c r="D1468" s="3" t="n">
        <v>6</v>
      </c>
      <c r="E1468" s="3" t="n">
        <v>10</v>
      </c>
      <c r="F1468" s="24" t="n">
        <v>0</v>
      </c>
    </row>
    <row r="1469" customFormat="false" ht="15" hidden="false" customHeight="false" outlineLevel="0" collapsed="false">
      <c r="A1469" s="3" t="n">
        <v>1468</v>
      </c>
      <c r="B1469" s="3" t="n">
        <v>1467</v>
      </c>
      <c r="C1469" s="3" t="n">
        <v>7</v>
      </c>
      <c r="D1469" s="3" t="n">
        <v>6</v>
      </c>
      <c r="E1469" s="3" t="n">
        <v>11</v>
      </c>
      <c r="F1469" s="24" t="n">
        <v>0</v>
      </c>
    </row>
    <row r="1470" customFormat="false" ht="15" hidden="false" customHeight="false" outlineLevel="0" collapsed="false">
      <c r="A1470" s="3" t="n">
        <v>1469</v>
      </c>
      <c r="B1470" s="3" t="n">
        <v>1468</v>
      </c>
      <c r="C1470" s="3" t="n">
        <v>7</v>
      </c>
      <c r="D1470" s="3" t="n">
        <v>6</v>
      </c>
      <c r="E1470" s="3" t="n">
        <v>12</v>
      </c>
      <c r="F1470" s="24" t="n">
        <v>0</v>
      </c>
    </row>
    <row r="1471" customFormat="false" ht="15" hidden="false" customHeight="false" outlineLevel="0" collapsed="false">
      <c r="A1471" s="3" t="n">
        <v>1470</v>
      </c>
      <c r="B1471" s="3" t="n">
        <v>1469</v>
      </c>
      <c r="C1471" s="3" t="n">
        <v>7</v>
      </c>
      <c r="D1471" s="3" t="n">
        <v>6</v>
      </c>
      <c r="E1471" s="3" t="n">
        <v>13</v>
      </c>
      <c r="F1471" s="24" t="n">
        <v>0</v>
      </c>
    </row>
    <row r="1472" customFormat="false" ht="15" hidden="false" customHeight="false" outlineLevel="0" collapsed="false">
      <c r="A1472" s="3" t="n">
        <v>1471</v>
      </c>
      <c r="B1472" s="3" t="n">
        <v>1470</v>
      </c>
      <c r="C1472" s="3" t="n">
        <v>7</v>
      </c>
      <c r="D1472" s="3" t="n">
        <v>7</v>
      </c>
      <c r="E1472" s="3" t="n">
        <v>0</v>
      </c>
      <c r="F1472" s="24" t="n">
        <v>0</v>
      </c>
    </row>
    <row r="1473" customFormat="false" ht="15" hidden="false" customHeight="false" outlineLevel="0" collapsed="false">
      <c r="A1473" s="3" t="n">
        <v>1472</v>
      </c>
      <c r="B1473" s="3" t="n">
        <v>1471</v>
      </c>
      <c r="C1473" s="3" t="n">
        <v>7</v>
      </c>
      <c r="D1473" s="3" t="n">
        <v>7</v>
      </c>
      <c r="E1473" s="3" t="n">
        <v>1</v>
      </c>
      <c r="F1473" s="24" t="n">
        <v>0</v>
      </c>
    </row>
    <row r="1474" customFormat="false" ht="15" hidden="false" customHeight="false" outlineLevel="0" collapsed="false">
      <c r="A1474" s="3" t="n">
        <v>1473</v>
      </c>
      <c r="B1474" s="3" t="n">
        <v>1472</v>
      </c>
      <c r="C1474" s="3" t="n">
        <v>7</v>
      </c>
      <c r="D1474" s="3" t="n">
        <v>7</v>
      </c>
      <c r="E1474" s="3" t="n">
        <v>2</v>
      </c>
      <c r="F1474" s="24" t="n">
        <v>0</v>
      </c>
    </row>
    <row r="1475" customFormat="false" ht="15" hidden="false" customHeight="false" outlineLevel="0" collapsed="false">
      <c r="A1475" s="3" t="n">
        <v>1474</v>
      </c>
      <c r="B1475" s="3" t="n">
        <v>1473</v>
      </c>
      <c r="C1475" s="3" t="n">
        <v>7</v>
      </c>
      <c r="D1475" s="3" t="n">
        <v>7</v>
      </c>
      <c r="E1475" s="3" t="n">
        <v>3</v>
      </c>
      <c r="F1475" s="24" t="n">
        <v>0</v>
      </c>
    </row>
    <row r="1476" customFormat="false" ht="15" hidden="false" customHeight="false" outlineLevel="0" collapsed="false">
      <c r="A1476" s="3" t="n">
        <v>1475</v>
      </c>
      <c r="B1476" s="3" t="n">
        <v>1474</v>
      </c>
      <c r="C1476" s="3" t="n">
        <v>7</v>
      </c>
      <c r="D1476" s="3" t="n">
        <v>7</v>
      </c>
      <c r="E1476" s="3" t="n">
        <v>4</v>
      </c>
      <c r="F1476" s="24" t="n">
        <v>0</v>
      </c>
    </row>
    <row r="1477" customFormat="false" ht="15" hidden="false" customHeight="false" outlineLevel="0" collapsed="false">
      <c r="A1477" s="3" t="n">
        <v>1476</v>
      </c>
      <c r="B1477" s="3" t="n">
        <v>1475</v>
      </c>
      <c r="C1477" s="3" t="n">
        <v>7</v>
      </c>
      <c r="D1477" s="3" t="n">
        <v>7</v>
      </c>
      <c r="E1477" s="3" t="n">
        <v>5</v>
      </c>
      <c r="F1477" s="24" t="n">
        <v>0</v>
      </c>
    </row>
    <row r="1478" customFormat="false" ht="15" hidden="false" customHeight="false" outlineLevel="0" collapsed="false">
      <c r="A1478" s="3" t="n">
        <v>1477</v>
      </c>
      <c r="B1478" s="3" t="n">
        <v>1476</v>
      </c>
      <c r="C1478" s="3" t="n">
        <v>7</v>
      </c>
      <c r="D1478" s="3" t="n">
        <v>7</v>
      </c>
      <c r="E1478" s="3" t="n">
        <v>6</v>
      </c>
      <c r="F1478" s="24" t="n">
        <v>0</v>
      </c>
    </row>
    <row r="1479" customFormat="false" ht="15" hidden="false" customHeight="false" outlineLevel="0" collapsed="false">
      <c r="A1479" s="3" t="n">
        <v>1478</v>
      </c>
      <c r="B1479" s="3" t="n">
        <v>1477</v>
      </c>
      <c r="C1479" s="3" t="n">
        <v>7</v>
      </c>
      <c r="D1479" s="3" t="n">
        <v>7</v>
      </c>
      <c r="E1479" s="3" t="n">
        <v>7</v>
      </c>
      <c r="F1479" s="24" t="n">
        <v>0</v>
      </c>
    </row>
    <row r="1480" customFormat="false" ht="15" hidden="false" customHeight="false" outlineLevel="0" collapsed="false">
      <c r="A1480" s="3" t="n">
        <v>1479</v>
      </c>
      <c r="B1480" s="3" t="n">
        <v>1478</v>
      </c>
      <c r="C1480" s="3" t="n">
        <v>7</v>
      </c>
      <c r="D1480" s="3" t="n">
        <v>7</v>
      </c>
      <c r="E1480" s="3" t="n">
        <v>8</v>
      </c>
      <c r="F1480" s="24" t="n">
        <v>0</v>
      </c>
    </row>
    <row r="1481" customFormat="false" ht="15" hidden="false" customHeight="false" outlineLevel="0" collapsed="false">
      <c r="A1481" s="3" t="n">
        <v>1480</v>
      </c>
      <c r="B1481" s="3" t="n">
        <v>1479</v>
      </c>
      <c r="C1481" s="3" t="n">
        <v>7</v>
      </c>
      <c r="D1481" s="3" t="n">
        <v>7</v>
      </c>
      <c r="E1481" s="3" t="n">
        <v>9</v>
      </c>
      <c r="F1481" s="24" t="n">
        <v>0</v>
      </c>
    </row>
    <row r="1482" customFormat="false" ht="15" hidden="false" customHeight="false" outlineLevel="0" collapsed="false">
      <c r="A1482" s="3" t="n">
        <v>1481</v>
      </c>
      <c r="B1482" s="3" t="n">
        <v>1480</v>
      </c>
      <c r="C1482" s="3" t="n">
        <v>7</v>
      </c>
      <c r="D1482" s="3" t="n">
        <v>7</v>
      </c>
      <c r="E1482" s="3" t="n">
        <v>10</v>
      </c>
      <c r="F1482" s="24" t="n">
        <v>0</v>
      </c>
    </row>
    <row r="1483" customFormat="false" ht="15" hidden="false" customHeight="false" outlineLevel="0" collapsed="false">
      <c r="A1483" s="3" t="n">
        <v>1482</v>
      </c>
      <c r="B1483" s="3" t="n">
        <v>1481</v>
      </c>
      <c r="C1483" s="3" t="n">
        <v>7</v>
      </c>
      <c r="D1483" s="3" t="n">
        <v>7</v>
      </c>
      <c r="E1483" s="3" t="n">
        <v>11</v>
      </c>
      <c r="F1483" s="24" t="n">
        <v>0</v>
      </c>
    </row>
    <row r="1484" customFormat="false" ht="15" hidden="false" customHeight="false" outlineLevel="0" collapsed="false">
      <c r="A1484" s="3" t="n">
        <v>1483</v>
      </c>
      <c r="B1484" s="3" t="n">
        <v>1482</v>
      </c>
      <c r="C1484" s="3" t="n">
        <v>7</v>
      </c>
      <c r="D1484" s="3" t="n">
        <v>7</v>
      </c>
      <c r="E1484" s="3" t="n">
        <v>12</v>
      </c>
      <c r="F1484" s="24" t="n">
        <v>0</v>
      </c>
    </row>
    <row r="1485" customFormat="false" ht="15" hidden="false" customHeight="false" outlineLevel="0" collapsed="false">
      <c r="A1485" s="3" t="n">
        <v>1484</v>
      </c>
      <c r="B1485" s="3" t="n">
        <v>1483</v>
      </c>
      <c r="C1485" s="3" t="n">
        <v>7</v>
      </c>
      <c r="D1485" s="3" t="n">
        <v>7</v>
      </c>
      <c r="E1485" s="3" t="n">
        <v>13</v>
      </c>
      <c r="F1485" s="24" t="n">
        <v>0</v>
      </c>
    </row>
    <row r="1486" customFormat="false" ht="15" hidden="false" customHeight="false" outlineLevel="0" collapsed="false">
      <c r="A1486" s="3" t="n">
        <v>1485</v>
      </c>
      <c r="B1486" s="3" t="n">
        <v>1484</v>
      </c>
      <c r="C1486" s="3" t="n">
        <v>7</v>
      </c>
      <c r="D1486" s="3" t="n">
        <v>8</v>
      </c>
      <c r="E1486" s="3" t="n">
        <v>0</v>
      </c>
      <c r="F1486" s="24" t="n">
        <v>0</v>
      </c>
    </row>
    <row r="1487" customFormat="false" ht="15" hidden="false" customHeight="false" outlineLevel="0" collapsed="false">
      <c r="A1487" s="3" t="n">
        <v>1486</v>
      </c>
      <c r="B1487" s="3" t="n">
        <v>1485</v>
      </c>
      <c r="C1487" s="3" t="n">
        <v>7</v>
      </c>
      <c r="D1487" s="3" t="n">
        <v>8</v>
      </c>
      <c r="E1487" s="3" t="n">
        <v>1</v>
      </c>
      <c r="F1487" s="24" t="n">
        <v>0</v>
      </c>
    </row>
    <row r="1488" customFormat="false" ht="15" hidden="false" customHeight="false" outlineLevel="0" collapsed="false">
      <c r="A1488" s="3" t="n">
        <v>1487</v>
      </c>
      <c r="B1488" s="3" t="n">
        <v>1486</v>
      </c>
      <c r="C1488" s="3" t="n">
        <v>7</v>
      </c>
      <c r="D1488" s="3" t="n">
        <v>8</v>
      </c>
      <c r="E1488" s="3" t="n">
        <v>2</v>
      </c>
      <c r="F1488" s="24" t="n">
        <v>0</v>
      </c>
    </row>
    <row r="1489" customFormat="false" ht="15" hidden="false" customHeight="false" outlineLevel="0" collapsed="false">
      <c r="A1489" s="3" t="n">
        <v>1488</v>
      </c>
      <c r="B1489" s="3" t="n">
        <v>1487</v>
      </c>
      <c r="C1489" s="3" t="n">
        <v>7</v>
      </c>
      <c r="D1489" s="3" t="n">
        <v>8</v>
      </c>
      <c r="E1489" s="3" t="n">
        <v>3</v>
      </c>
      <c r="F1489" s="24" t="n">
        <v>0</v>
      </c>
    </row>
    <row r="1490" customFormat="false" ht="15" hidden="false" customHeight="false" outlineLevel="0" collapsed="false">
      <c r="A1490" s="3" t="n">
        <v>1489</v>
      </c>
      <c r="B1490" s="3" t="n">
        <v>1488</v>
      </c>
      <c r="C1490" s="3" t="n">
        <v>7</v>
      </c>
      <c r="D1490" s="3" t="n">
        <v>8</v>
      </c>
      <c r="E1490" s="3" t="n">
        <v>4</v>
      </c>
      <c r="F1490" s="24" t="n">
        <v>0</v>
      </c>
    </row>
    <row r="1491" customFormat="false" ht="15" hidden="false" customHeight="false" outlineLevel="0" collapsed="false">
      <c r="A1491" s="3" t="n">
        <v>1490</v>
      </c>
      <c r="B1491" s="3" t="n">
        <v>1489</v>
      </c>
      <c r="C1491" s="3" t="n">
        <v>7</v>
      </c>
      <c r="D1491" s="3" t="n">
        <v>8</v>
      </c>
      <c r="E1491" s="3" t="n">
        <v>5</v>
      </c>
      <c r="F1491" s="24" t="n">
        <v>0</v>
      </c>
    </row>
    <row r="1492" customFormat="false" ht="15" hidden="false" customHeight="false" outlineLevel="0" collapsed="false">
      <c r="A1492" s="3" t="n">
        <v>1491</v>
      </c>
      <c r="B1492" s="3" t="n">
        <v>1490</v>
      </c>
      <c r="C1492" s="3" t="n">
        <v>7</v>
      </c>
      <c r="D1492" s="3" t="n">
        <v>8</v>
      </c>
      <c r="E1492" s="3" t="n">
        <v>6</v>
      </c>
      <c r="F1492" s="24" t="n">
        <v>0</v>
      </c>
    </row>
    <row r="1493" customFormat="false" ht="15" hidden="false" customHeight="false" outlineLevel="0" collapsed="false">
      <c r="A1493" s="3" t="n">
        <v>1492</v>
      </c>
      <c r="B1493" s="3" t="n">
        <v>1491</v>
      </c>
      <c r="C1493" s="3" t="n">
        <v>7</v>
      </c>
      <c r="D1493" s="3" t="n">
        <v>8</v>
      </c>
      <c r="E1493" s="3" t="n">
        <v>7</v>
      </c>
      <c r="F1493" s="24" t="n">
        <v>0.924296498</v>
      </c>
    </row>
    <row r="1494" customFormat="false" ht="15" hidden="false" customHeight="false" outlineLevel="0" collapsed="false">
      <c r="A1494" s="3" t="n">
        <v>1493</v>
      </c>
      <c r="B1494" s="3" t="n">
        <v>1492</v>
      </c>
      <c r="C1494" s="3" t="n">
        <v>7</v>
      </c>
      <c r="D1494" s="3" t="n">
        <v>8</v>
      </c>
      <c r="E1494" s="3" t="n">
        <v>8</v>
      </c>
      <c r="F1494" s="24" t="n">
        <v>0</v>
      </c>
    </row>
    <row r="1495" customFormat="false" ht="15" hidden="false" customHeight="false" outlineLevel="0" collapsed="false">
      <c r="A1495" s="3" t="n">
        <v>1494</v>
      </c>
      <c r="B1495" s="3" t="n">
        <v>1493</v>
      </c>
      <c r="C1495" s="3" t="n">
        <v>7</v>
      </c>
      <c r="D1495" s="3" t="n">
        <v>8</v>
      </c>
      <c r="E1495" s="3" t="n">
        <v>9</v>
      </c>
      <c r="F1495" s="24" t="n">
        <v>0</v>
      </c>
    </row>
    <row r="1496" customFormat="false" ht="15" hidden="false" customHeight="false" outlineLevel="0" collapsed="false">
      <c r="A1496" s="3" t="n">
        <v>1495</v>
      </c>
      <c r="B1496" s="3" t="n">
        <v>1494</v>
      </c>
      <c r="C1496" s="3" t="n">
        <v>7</v>
      </c>
      <c r="D1496" s="3" t="n">
        <v>8</v>
      </c>
      <c r="E1496" s="3" t="n">
        <v>10</v>
      </c>
      <c r="F1496" s="24" t="n">
        <v>0</v>
      </c>
    </row>
    <row r="1497" customFormat="false" ht="15" hidden="false" customHeight="false" outlineLevel="0" collapsed="false">
      <c r="A1497" s="3" t="n">
        <v>1496</v>
      </c>
      <c r="B1497" s="3" t="n">
        <v>1495</v>
      </c>
      <c r="C1497" s="3" t="n">
        <v>7</v>
      </c>
      <c r="D1497" s="3" t="n">
        <v>8</v>
      </c>
      <c r="E1497" s="3" t="n">
        <v>11</v>
      </c>
      <c r="F1497" s="24" t="n">
        <v>0</v>
      </c>
    </row>
    <row r="1498" customFormat="false" ht="15" hidden="false" customHeight="false" outlineLevel="0" collapsed="false">
      <c r="A1498" s="3" t="n">
        <v>1497</v>
      </c>
      <c r="B1498" s="3" t="n">
        <v>1496</v>
      </c>
      <c r="C1498" s="3" t="n">
        <v>7</v>
      </c>
      <c r="D1498" s="3" t="n">
        <v>8</v>
      </c>
      <c r="E1498" s="3" t="n">
        <v>12</v>
      </c>
      <c r="F1498" s="24" t="n">
        <v>0</v>
      </c>
    </row>
    <row r="1499" customFormat="false" ht="15" hidden="false" customHeight="false" outlineLevel="0" collapsed="false">
      <c r="A1499" s="3" t="n">
        <v>1498</v>
      </c>
      <c r="B1499" s="3" t="n">
        <v>1497</v>
      </c>
      <c r="C1499" s="3" t="n">
        <v>7</v>
      </c>
      <c r="D1499" s="3" t="n">
        <v>8</v>
      </c>
      <c r="E1499" s="3" t="n">
        <v>13</v>
      </c>
      <c r="F1499" s="24" t="n">
        <v>0</v>
      </c>
    </row>
    <row r="1500" customFormat="false" ht="15" hidden="false" customHeight="false" outlineLevel="0" collapsed="false">
      <c r="A1500" s="3" t="n">
        <v>1499</v>
      </c>
      <c r="B1500" s="3" t="n">
        <v>1498</v>
      </c>
      <c r="C1500" s="3" t="n">
        <v>7</v>
      </c>
      <c r="D1500" s="3" t="n">
        <v>9</v>
      </c>
      <c r="E1500" s="3" t="n">
        <v>0</v>
      </c>
      <c r="F1500" s="24" t="n">
        <v>0</v>
      </c>
    </row>
    <row r="1501" customFormat="false" ht="15" hidden="false" customHeight="false" outlineLevel="0" collapsed="false">
      <c r="A1501" s="3" t="n">
        <v>1500</v>
      </c>
      <c r="B1501" s="3" t="n">
        <v>1499</v>
      </c>
      <c r="C1501" s="3" t="n">
        <v>7</v>
      </c>
      <c r="D1501" s="3" t="n">
        <v>9</v>
      </c>
      <c r="E1501" s="3" t="n">
        <v>1</v>
      </c>
      <c r="F1501" s="24" t="n">
        <v>0</v>
      </c>
    </row>
    <row r="1502" customFormat="false" ht="15" hidden="false" customHeight="false" outlineLevel="0" collapsed="false">
      <c r="A1502" s="3" t="n">
        <v>1501</v>
      </c>
      <c r="B1502" s="3" t="n">
        <v>1500</v>
      </c>
      <c r="C1502" s="3" t="n">
        <v>7</v>
      </c>
      <c r="D1502" s="3" t="n">
        <v>9</v>
      </c>
      <c r="E1502" s="3" t="n">
        <v>2</v>
      </c>
      <c r="F1502" s="24" t="n">
        <v>0</v>
      </c>
    </row>
    <row r="1503" customFormat="false" ht="15" hidden="false" customHeight="false" outlineLevel="0" collapsed="false">
      <c r="A1503" s="3" t="n">
        <v>1502</v>
      </c>
      <c r="B1503" s="3" t="n">
        <v>1501</v>
      </c>
      <c r="C1503" s="3" t="n">
        <v>7</v>
      </c>
      <c r="D1503" s="3" t="n">
        <v>9</v>
      </c>
      <c r="E1503" s="3" t="n">
        <v>3</v>
      </c>
      <c r="F1503" s="24" t="n">
        <v>0</v>
      </c>
    </row>
    <row r="1504" customFormat="false" ht="15" hidden="false" customHeight="false" outlineLevel="0" collapsed="false">
      <c r="A1504" s="3" t="n">
        <v>1503</v>
      </c>
      <c r="B1504" s="3" t="n">
        <v>1502</v>
      </c>
      <c r="C1504" s="3" t="n">
        <v>7</v>
      </c>
      <c r="D1504" s="3" t="n">
        <v>9</v>
      </c>
      <c r="E1504" s="3" t="n">
        <v>4</v>
      </c>
      <c r="F1504" s="24" t="n">
        <v>0</v>
      </c>
    </row>
    <row r="1505" customFormat="false" ht="15" hidden="false" customHeight="false" outlineLevel="0" collapsed="false">
      <c r="A1505" s="3" t="n">
        <v>1504</v>
      </c>
      <c r="B1505" s="3" t="n">
        <v>1503</v>
      </c>
      <c r="C1505" s="3" t="n">
        <v>7</v>
      </c>
      <c r="D1505" s="3" t="n">
        <v>9</v>
      </c>
      <c r="E1505" s="3" t="n">
        <v>5</v>
      </c>
      <c r="F1505" s="24" t="n">
        <v>0</v>
      </c>
    </row>
    <row r="1506" customFormat="false" ht="15" hidden="false" customHeight="false" outlineLevel="0" collapsed="false">
      <c r="A1506" s="3" t="n">
        <v>1505</v>
      </c>
      <c r="B1506" s="3" t="n">
        <v>1504</v>
      </c>
      <c r="C1506" s="3" t="n">
        <v>7</v>
      </c>
      <c r="D1506" s="3" t="n">
        <v>9</v>
      </c>
      <c r="E1506" s="3" t="n">
        <v>6</v>
      </c>
      <c r="F1506" s="24" t="n">
        <v>0</v>
      </c>
    </row>
    <row r="1507" customFormat="false" ht="15" hidden="false" customHeight="false" outlineLevel="0" collapsed="false">
      <c r="A1507" s="3" t="n">
        <v>1506</v>
      </c>
      <c r="B1507" s="3" t="n">
        <v>1505</v>
      </c>
      <c r="C1507" s="3" t="n">
        <v>7</v>
      </c>
      <c r="D1507" s="3" t="n">
        <v>9</v>
      </c>
      <c r="E1507" s="3" t="n">
        <v>7</v>
      </c>
      <c r="F1507" s="24" t="n">
        <v>0</v>
      </c>
    </row>
    <row r="1508" customFormat="false" ht="15" hidden="false" customHeight="false" outlineLevel="0" collapsed="false">
      <c r="A1508" s="3" t="n">
        <v>1507</v>
      </c>
      <c r="B1508" s="3" t="n">
        <v>1506</v>
      </c>
      <c r="C1508" s="3" t="n">
        <v>7</v>
      </c>
      <c r="D1508" s="3" t="n">
        <v>9</v>
      </c>
      <c r="E1508" s="3" t="n">
        <v>8</v>
      </c>
      <c r="F1508" s="24" t="n">
        <v>0.547314703</v>
      </c>
    </row>
    <row r="1509" customFormat="false" ht="15" hidden="false" customHeight="false" outlineLevel="0" collapsed="false">
      <c r="A1509" s="3" t="n">
        <v>1508</v>
      </c>
      <c r="B1509" s="3" t="n">
        <v>1507</v>
      </c>
      <c r="C1509" s="3" t="n">
        <v>7</v>
      </c>
      <c r="D1509" s="3" t="n">
        <v>9</v>
      </c>
      <c r="E1509" s="3" t="n">
        <v>9</v>
      </c>
      <c r="F1509" s="24" t="n">
        <v>0</v>
      </c>
    </row>
    <row r="1510" customFormat="false" ht="15" hidden="false" customHeight="false" outlineLevel="0" collapsed="false">
      <c r="A1510" s="3" t="n">
        <v>1509</v>
      </c>
      <c r="B1510" s="3" t="n">
        <v>1508</v>
      </c>
      <c r="C1510" s="3" t="n">
        <v>7</v>
      </c>
      <c r="D1510" s="3" t="n">
        <v>9</v>
      </c>
      <c r="E1510" s="3" t="n">
        <v>10</v>
      </c>
      <c r="F1510" s="24" t="n">
        <v>0</v>
      </c>
    </row>
    <row r="1511" customFormat="false" ht="15" hidden="false" customHeight="false" outlineLevel="0" collapsed="false">
      <c r="A1511" s="3" t="n">
        <v>1510</v>
      </c>
      <c r="B1511" s="3" t="n">
        <v>1509</v>
      </c>
      <c r="C1511" s="3" t="n">
        <v>7</v>
      </c>
      <c r="D1511" s="3" t="n">
        <v>9</v>
      </c>
      <c r="E1511" s="3" t="n">
        <v>11</v>
      </c>
      <c r="F1511" s="24" t="n">
        <v>0</v>
      </c>
    </row>
    <row r="1512" customFormat="false" ht="15" hidden="false" customHeight="false" outlineLevel="0" collapsed="false">
      <c r="A1512" s="3" t="n">
        <v>1511</v>
      </c>
      <c r="B1512" s="3" t="n">
        <v>1510</v>
      </c>
      <c r="C1512" s="3" t="n">
        <v>7</v>
      </c>
      <c r="D1512" s="3" t="n">
        <v>9</v>
      </c>
      <c r="E1512" s="3" t="n">
        <v>12</v>
      </c>
      <c r="F1512" s="24" t="n">
        <v>0</v>
      </c>
    </row>
    <row r="1513" customFormat="false" ht="15" hidden="false" customHeight="false" outlineLevel="0" collapsed="false">
      <c r="A1513" s="3" t="n">
        <v>1512</v>
      </c>
      <c r="B1513" s="3" t="n">
        <v>1511</v>
      </c>
      <c r="C1513" s="3" t="n">
        <v>7</v>
      </c>
      <c r="D1513" s="3" t="n">
        <v>9</v>
      </c>
      <c r="E1513" s="3" t="n">
        <v>13</v>
      </c>
      <c r="F1513" s="24" t="n">
        <v>0</v>
      </c>
    </row>
    <row r="1514" customFormat="false" ht="15" hidden="false" customHeight="false" outlineLevel="0" collapsed="false">
      <c r="A1514" s="3" t="n">
        <v>1513</v>
      </c>
      <c r="B1514" s="3" t="n">
        <v>1512</v>
      </c>
      <c r="C1514" s="3" t="n">
        <v>7</v>
      </c>
      <c r="D1514" s="3" t="n">
        <v>10</v>
      </c>
      <c r="E1514" s="3" t="n">
        <v>0</v>
      </c>
      <c r="F1514" s="24" t="n">
        <v>0</v>
      </c>
    </row>
    <row r="1515" customFormat="false" ht="15" hidden="false" customHeight="false" outlineLevel="0" collapsed="false">
      <c r="A1515" s="3" t="n">
        <v>1514</v>
      </c>
      <c r="B1515" s="3" t="n">
        <v>1513</v>
      </c>
      <c r="C1515" s="3" t="n">
        <v>7</v>
      </c>
      <c r="D1515" s="3" t="n">
        <v>10</v>
      </c>
      <c r="E1515" s="3" t="n">
        <v>1</v>
      </c>
      <c r="F1515" s="24" t="n">
        <v>0</v>
      </c>
    </row>
    <row r="1516" customFormat="false" ht="15" hidden="false" customHeight="false" outlineLevel="0" collapsed="false">
      <c r="A1516" s="3" t="n">
        <v>1515</v>
      </c>
      <c r="B1516" s="3" t="n">
        <v>1514</v>
      </c>
      <c r="C1516" s="3" t="n">
        <v>7</v>
      </c>
      <c r="D1516" s="3" t="n">
        <v>10</v>
      </c>
      <c r="E1516" s="3" t="n">
        <v>2</v>
      </c>
      <c r="F1516" s="24" t="n">
        <v>0</v>
      </c>
    </row>
    <row r="1517" customFormat="false" ht="15" hidden="false" customHeight="false" outlineLevel="0" collapsed="false">
      <c r="A1517" s="3" t="n">
        <v>1516</v>
      </c>
      <c r="B1517" s="3" t="n">
        <v>1515</v>
      </c>
      <c r="C1517" s="3" t="n">
        <v>7</v>
      </c>
      <c r="D1517" s="3" t="n">
        <v>10</v>
      </c>
      <c r="E1517" s="3" t="n">
        <v>3</v>
      </c>
      <c r="F1517" s="24" t="n">
        <v>0</v>
      </c>
    </row>
    <row r="1518" customFormat="false" ht="15" hidden="false" customHeight="false" outlineLevel="0" collapsed="false">
      <c r="A1518" s="3" t="n">
        <v>1517</v>
      </c>
      <c r="B1518" s="3" t="n">
        <v>1516</v>
      </c>
      <c r="C1518" s="3" t="n">
        <v>7</v>
      </c>
      <c r="D1518" s="3" t="n">
        <v>10</v>
      </c>
      <c r="E1518" s="3" t="n">
        <v>4</v>
      </c>
      <c r="F1518" s="24" t="n">
        <v>0</v>
      </c>
    </row>
    <row r="1519" customFormat="false" ht="15" hidden="false" customHeight="false" outlineLevel="0" collapsed="false">
      <c r="A1519" s="3" t="n">
        <v>1518</v>
      </c>
      <c r="B1519" s="3" t="n">
        <v>1517</v>
      </c>
      <c r="C1519" s="3" t="n">
        <v>7</v>
      </c>
      <c r="D1519" s="3" t="n">
        <v>10</v>
      </c>
      <c r="E1519" s="3" t="n">
        <v>5</v>
      </c>
      <c r="F1519" s="24" t="n">
        <v>0.351581484</v>
      </c>
    </row>
    <row r="1520" customFormat="false" ht="15" hidden="false" customHeight="false" outlineLevel="0" collapsed="false">
      <c r="A1520" s="3" t="n">
        <v>1519</v>
      </c>
      <c r="B1520" s="3" t="n">
        <v>1518</v>
      </c>
      <c r="C1520" s="3" t="n">
        <v>7</v>
      </c>
      <c r="D1520" s="3" t="n">
        <v>10</v>
      </c>
      <c r="E1520" s="3" t="n">
        <v>6</v>
      </c>
      <c r="F1520" s="24" t="n">
        <v>0.643710077</v>
      </c>
    </row>
    <row r="1521" customFormat="false" ht="15" hidden="false" customHeight="false" outlineLevel="0" collapsed="false">
      <c r="A1521" s="3" t="n">
        <v>1520</v>
      </c>
      <c r="B1521" s="3" t="n">
        <v>1519</v>
      </c>
      <c r="C1521" s="3" t="n">
        <v>7</v>
      </c>
      <c r="D1521" s="3" t="n">
        <v>10</v>
      </c>
      <c r="E1521" s="3" t="n">
        <v>7</v>
      </c>
      <c r="F1521" s="24" t="n">
        <v>0</v>
      </c>
    </row>
    <row r="1522" customFormat="false" ht="15" hidden="false" customHeight="false" outlineLevel="0" collapsed="false">
      <c r="A1522" s="3" t="n">
        <v>1521</v>
      </c>
      <c r="B1522" s="3" t="n">
        <v>1520</v>
      </c>
      <c r="C1522" s="3" t="n">
        <v>7</v>
      </c>
      <c r="D1522" s="3" t="n">
        <v>10</v>
      </c>
      <c r="E1522" s="3" t="n">
        <v>8</v>
      </c>
      <c r="F1522" s="24" t="n">
        <v>0</v>
      </c>
    </row>
    <row r="1523" customFormat="false" ht="15" hidden="false" customHeight="false" outlineLevel="0" collapsed="false">
      <c r="A1523" s="3" t="n">
        <v>1522</v>
      </c>
      <c r="B1523" s="3" t="n">
        <v>1521</v>
      </c>
      <c r="C1523" s="3" t="n">
        <v>7</v>
      </c>
      <c r="D1523" s="3" t="n">
        <v>10</v>
      </c>
      <c r="E1523" s="3" t="n">
        <v>9</v>
      </c>
      <c r="F1523" s="24" t="n">
        <v>0</v>
      </c>
    </row>
    <row r="1524" customFormat="false" ht="15" hidden="false" customHeight="false" outlineLevel="0" collapsed="false">
      <c r="A1524" s="3" t="n">
        <v>1523</v>
      </c>
      <c r="B1524" s="3" t="n">
        <v>1522</v>
      </c>
      <c r="C1524" s="3" t="n">
        <v>7</v>
      </c>
      <c r="D1524" s="3" t="n">
        <v>10</v>
      </c>
      <c r="E1524" s="3" t="n">
        <v>10</v>
      </c>
      <c r="F1524" s="24" t="n">
        <v>0</v>
      </c>
    </row>
    <row r="1525" customFormat="false" ht="15" hidden="false" customHeight="false" outlineLevel="0" collapsed="false">
      <c r="A1525" s="3" t="n">
        <v>1524</v>
      </c>
      <c r="B1525" s="3" t="n">
        <v>1523</v>
      </c>
      <c r="C1525" s="3" t="n">
        <v>7</v>
      </c>
      <c r="D1525" s="3" t="n">
        <v>10</v>
      </c>
      <c r="E1525" s="3" t="n">
        <v>11</v>
      </c>
      <c r="F1525" s="24" t="n">
        <v>0</v>
      </c>
    </row>
    <row r="1526" customFormat="false" ht="15" hidden="false" customHeight="false" outlineLevel="0" collapsed="false">
      <c r="A1526" s="3" t="n">
        <v>1525</v>
      </c>
      <c r="B1526" s="3" t="n">
        <v>1524</v>
      </c>
      <c r="C1526" s="3" t="n">
        <v>7</v>
      </c>
      <c r="D1526" s="3" t="n">
        <v>10</v>
      </c>
      <c r="E1526" s="3" t="n">
        <v>12</v>
      </c>
      <c r="F1526" s="24" t="n">
        <v>0</v>
      </c>
    </row>
    <row r="1527" customFormat="false" ht="15" hidden="false" customHeight="false" outlineLevel="0" collapsed="false">
      <c r="A1527" s="3" t="n">
        <v>1526</v>
      </c>
      <c r="B1527" s="3" t="n">
        <v>1525</v>
      </c>
      <c r="C1527" s="3" t="n">
        <v>7</v>
      </c>
      <c r="D1527" s="3" t="n">
        <v>10</v>
      </c>
      <c r="E1527" s="3" t="n">
        <v>13</v>
      </c>
      <c r="F1527" s="24" t="n">
        <v>0</v>
      </c>
    </row>
    <row r="1528" customFormat="false" ht="15" hidden="false" customHeight="false" outlineLevel="0" collapsed="false">
      <c r="A1528" s="3" t="n">
        <v>1527</v>
      </c>
      <c r="B1528" s="3" t="n">
        <v>1526</v>
      </c>
      <c r="C1528" s="3" t="n">
        <v>7</v>
      </c>
      <c r="D1528" s="3" t="n">
        <v>11</v>
      </c>
      <c r="E1528" s="3" t="n">
        <v>0</v>
      </c>
      <c r="F1528" s="24" t="n">
        <v>0</v>
      </c>
    </row>
    <row r="1529" customFormat="false" ht="15" hidden="false" customHeight="false" outlineLevel="0" collapsed="false">
      <c r="A1529" s="3" t="n">
        <v>1528</v>
      </c>
      <c r="B1529" s="3" t="n">
        <v>1527</v>
      </c>
      <c r="C1529" s="3" t="n">
        <v>7</v>
      </c>
      <c r="D1529" s="3" t="n">
        <v>11</v>
      </c>
      <c r="E1529" s="3" t="n">
        <v>1</v>
      </c>
      <c r="F1529" s="24" t="n">
        <v>0</v>
      </c>
    </row>
    <row r="1530" customFormat="false" ht="15" hidden="false" customHeight="false" outlineLevel="0" collapsed="false">
      <c r="A1530" s="3" t="n">
        <v>1529</v>
      </c>
      <c r="B1530" s="3" t="n">
        <v>1528</v>
      </c>
      <c r="C1530" s="3" t="n">
        <v>7</v>
      </c>
      <c r="D1530" s="3" t="n">
        <v>11</v>
      </c>
      <c r="E1530" s="3" t="n">
        <v>2</v>
      </c>
      <c r="F1530" s="24" t="n">
        <v>0</v>
      </c>
    </row>
    <row r="1531" customFormat="false" ht="15" hidden="false" customHeight="false" outlineLevel="0" collapsed="false">
      <c r="A1531" s="3" t="n">
        <v>1530</v>
      </c>
      <c r="B1531" s="3" t="n">
        <v>1529</v>
      </c>
      <c r="C1531" s="3" t="n">
        <v>7</v>
      </c>
      <c r="D1531" s="3" t="n">
        <v>11</v>
      </c>
      <c r="E1531" s="3" t="n">
        <v>3</v>
      </c>
      <c r="F1531" s="24" t="n">
        <v>0</v>
      </c>
    </row>
    <row r="1532" customFormat="false" ht="15" hidden="false" customHeight="false" outlineLevel="0" collapsed="false">
      <c r="A1532" s="3" t="n">
        <v>1531</v>
      </c>
      <c r="B1532" s="3" t="n">
        <v>1530</v>
      </c>
      <c r="C1532" s="3" t="n">
        <v>7</v>
      </c>
      <c r="D1532" s="3" t="n">
        <v>11</v>
      </c>
      <c r="E1532" s="3" t="n">
        <v>4</v>
      </c>
      <c r="F1532" s="24" t="n">
        <v>0</v>
      </c>
    </row>
    <row r="1533" customFormat="false" ht="15" hidden="false" customHeight="false" outlineLevel="0" collapsed="false">
      <c r="A1533" s="3" t="n">
        <v>1532</v>
      </c>
      <c r="B1533" s="3" t="n">
        <v>1531</v>
      </c>
      <c r="C1533" s="3" t="n">
        <v>7</v>
      </c>
      <c r="D1533" s="3" t="n">
        <v>11</v>
      </c>
      <c r="E1533" s="3" t="n">
        <v>5</v>
      </c>
      <c r="F1533" s="24" t="n">
        <v>0</v>
      </c>
    </row>
    <row r="1534" customFormat="false" ht="15" hidden="false" customHeight="false" outlineLevel="0" collapsed="false">
      <c r="A1534" s="3" t="n">
        <v>1533</v>
      </c>
      <c r="B1534" s="3" t="n">
        <v>1532</v>
      </c>
      <c r="C1534" s="3" t="n">
        <v>7</v>
      </c>
      <c r="D1534" s="3" t="n">
        <v>11</v>
      </c>
      <c r="E1534" s="3" t="n">
        <v>6</v>
      </c>
      <c r="F1534" s="24" t="n">
        <v>0.350436836</v>
      </c>
    </row>
    <row r="1535" customFormat="false" ht="15" hidden="false" customHeight="false" outlineLevel="0" collapsed="false">
      <c r="A1535" s="3" t="n">
        <v>1534</v>
      </c>
      <c r="B1535" s="3" t="n">
        <v>1533</v>
      </c>
      <c r="C1535" s="3" t="n">
        <v>7</v>
      </c>
      <c r="D1535" s="3" t="n">
        <v>11</v>
      </c>
      <c r="E1535" s="3" t="n">
        <v>7</v>
      </c>
      <c r="F1535" s="24" t="n">
        <v>0</v>
      </c>
    </row>
    <row r="1536" customFormat="false" ht="15" hidden="false" customHeight="false" outlineLevel="0" collapsed="false">
      <c r="A1536" s="3" t="n">
        <v>1535</v>
      </c>
      <c r="B1536" s="3" t="n">
        <v>1534</v>
      </c>
      <c r="C1536" s="3" t="n">
        <v>7</v>
      </c>
      <c r="D1536" s="3" t="n">
        <v>11</v>
      </c>
      <c r="E1536" s="3" t="n">
        <v>8</v>
      </c>
      <c r="F1536" s="24" t="n">
        <v>0</v>
      </c>
    </row>
    <row r="1537" customFormat="false" ht="15" hidden="false" customHeight="false" outlineLevel="0" collapsed="false">
      <c r="A1537" s="3" t="n">
        <v>1536</v>
      </c>
      <c r="B1537" s="3" t="n">
        <v>1535</v>
      </c>
      <c r="C1537" s="3" t="n">
        <v>7</v>
      </c>
      <c r="D1537" s="3" t="n">
        <v>11</v>
      </c>
      <c r="E1537" s="3" t="n">
        <v>9</v>
      </c>
      <c r="F1537" s="24" t="n">
        <v>0</v>
      </c>
    </row>
    <row r="1538" customFormat="false" ht="15" hidden="false" customHeight="false" outlineLevel="0" collapsed="false">
      <c r="A1538" s="3" t="n">
        <v>1537</v>
      </c>
      <c r="B1538" s="3" t="n">
        <v>1536</v>
      </c>
      <c r="C1538" s="3" t="n">
        <v>7</v>
      </c>
      <c r="D1538" s="3" t="n">
        <v>11</v>
      </c>
      <c r="E1538" s="3" t="n">
        <v>10</v>
      </c>
      <c r="F1538" s="24" t="n">
        <v>0</v>
      </c>
    </row>
    <row r="1539" customFormat="false" ht="15" hidden="false" customHeight="false" outlineLevel="0" collapsed="false">
      <c r="A1539" s="3" t="n">
        <v>1538</v>
      </c>
      <c r="B1539" s="3" t="n">
        <v>1537</v>
      </c>
      <c r="C1539" s="3" t="n">
        <v>7</v>
      </c>
      <c r="D1539" s="3" t="n">
        <v>11</v>
      </c>
      <c r="E1539" s="3" t="n">
        <v>11</v>
      </c>
      <c r="F1539" s="24" t="n">
        <v>0</v>
      </c>
    </row>
    <row r="1540" customFormat="false" ht="15" hidden="false" customHeight="false" outlineLevel="0" collapsed="false">
      <c r="A1540" s="3" t="n">
        <v>1539</v>
      </c>
      <c r="B1540" s="3" t="n">
        <v>1538</v>
      </c>
      <c r="C1540" s="3" t="n">
        <v>7</v>
      </c>
      <c r="D1540" s="3" t="n">
        <v>11</v>
      </c>
      <c r="E1540" s="3" t="n">
        <v>12</v>
      </c>
      <c r="F1540" s="24" t="n">
        <v>0</v>
      </c>
    </row>
    <row r="1541" customFormat="false" ht="15" hidden="false" customHeight="false" outlineLevel="0" collapsed="false">
      <c r="A1541" s="3" t="n">
        <v>1540</v>
      </c>
      <c r="B1541" s="3" t="n">
        <v>1539</v>
      </c>
      <c r="C1541" s="3" t="n">
        <v>7</v>
      </c>
      <c r="D1541" s="3" t="n">
        <v>11</v>
      </c>
      <c r="E1541" s="3" t="n">
        <v>13</v>
      </c>
      <c r="F1541" s="24" t="n">
        <v>0</v>
      </c>
    </row>
    <row r="1542" customFormat="false" ht="15" hidden="false" customHeight="false" outlineLevel="0" collapsed="false">
      <c r="A1542" s="3" t="n">
        <v>1541</v>
      </c>
      <c r="B1542" s="3" t="n">
        <v>1540</v>
      </c>
      <c r="C1542" s="3" t="n">
        <v>7</v>
      </c>
      <c r="D1542" s="3" t="n">
        <v>12</v>
      </c>
      <c r="E1542" s="3" t="n">
        <v>0</v>
      </c>
      <c r="F1542" s="24" t="n">
        <v>0</v>
      </c>
    </row>
    <row r="1543" customFormat="false" ht="15" hidden="false" customHeight="false" outlineLevel="0" collapsed="false">
      <c r="A1543" s="3" t="n">
        <v>1542</v>
      </c>
      <c r="B1543" s="3" t="n">
        <v>1541</v>
      </c>
      <c r="C1543" s="3" t="n">
        <v>7</v>
      </c>
      <c r="D1543" s="3" t="n">
        <v>12</v>
      </c>
      <c r="E1543" s="3" t="n">
        <v>1</v>
      </c>
      <c r="F1543" s="24" t="n">
        <v>0</v>
      </c>
    </row>
    <row r="1544" customFormat="false" ht="15" hidden="false" customHeight="false" outlineLevel="0" collapsed="false">
      <c r="A1544" s="3" t="n">
        <v>1543</v>
      </c>
      <c r="B1544" s="3" t="n">
        <v>1542</v>
      </c>
      <c r="C1544" s="3" t="n">
        <v>7</v>
      </c>
      <c r="D1544" s="3" t="n">
        <v>12</v>
      </c>
      <c r="E1544" s="3" t="n">
        <v>2</v>
      </c>
      <c r="F1544" s="24" t="n">
        <v>0</v>
      </c>
    </row>
    <row r="1545" customFormat="false" ht="15" hidden="false" customHeight="false" outlineLevel="0" collapsed="false">
      <c r="A1545" s="3" t="n">
        <v>1544</v>
      </c>
      <c r="B1545" s="3" t="n">
        <v>1543</v>
      </c>
      <c r="C1545" s="3" t="n">
        <v>7</v>
      </c>
      <c r="D1545" s="3" t="n">
        <v>12</v>
      </c>
      <c r="E1545" s="3" t="n">
        <v>3</v>
      </c>
      <c r="F1545" s="24" t="n">
        <v>0</v>
      </c>
    </row>
    <row r="1546" customFormat="false" ht="15" hidden="false" customHeight="false" outlineLevel="0" collapsed="false">
      <c r="A1546" s="3" t="n">
        <v>1545</v>
      </c>
      <c r="B1546" s="3" t="n">
        <v>1544</v>
      </c>
      <c r="C1546" s="3" t="n">
        <v>7</v>
      </c>
      <c r="D1546" s="3" t="n">
        <v>12</v>
      </c>
      <c r="E1546" s="3" t="n">
        <v>4</v>
      </c>
      <c r="F1546" s="24" t="n">
        <v>0</v>
      </c>
    </row>
    <row r="1547" customFormat="false" ht="15" hidden="false" customHeight="false" outlineLevel="0" collapsed="false">
      <c r="A1547" s="3" t="n">
        <v>1546</v>
      </c>
      <c r="B1547" s="3" t="n">
        <v>1545</v>
      </c>
      <c r="C1547" s="3" t="n">
        <v>7</v>
      </c>
      <c r="D1547" s="3" t="n">
        <v>12</v>
      </c>
      <c r="E1547" s="3" t="n">
        <v>5</v>
      </c>
      <c r="F1547" s="24" t="n">
        <v>0</v>
      </c>
    </row>
    <row r="1548" customFormat="false" ht="15" hidden="false" customHeight="false" outlineLevel="0" collapsed="false">
      <c r="A1548" s="3" t="n">
        <v>1547</v>
      </c>
      <c r="B1548" s="3" t="n">
        <v>1546</v>
      </c>
      <c r="C1548" s="3" t="n">
        <v>7</v>
      </c>
      <c r="D1548" s="3" t="n">
        <v>12</v>
      </c>
      <c r="E1548" s="3" t="n">
        <v>6</v>
      </c>
      <c r="F1548" s="24" t="n">
        <v>0</v>
      </c>
    </row>
    <row r="1549" customFormat="false" ht="15" hidden="false" customHeight="false" outlineLevel="0" collapsed="false">
      <c r="A1549" s="3" t="n">
        <v>1548</v>
      </c>
      <c r="B1549" s="3" t="n">
        <v>1547</v>
      </c>
      <c r="C1549" s="3" t="n">
        <v>7</v>
      </c>
      <c r="D1549" s="3" t="n">
        <v>12</v>
      </c>
      <c r="E1549" s="3" t="n">
        <v>7</v>
      </c>
      <c r="F1549" s="24" t="n">
        <v>0</v>
      </c>
    </row>
    <row r="1550" customFormat="false" ht="15" hidden="false" customHeight="false" outlineLevel="0" collapsed="false">
      <c r="A1550" s="3" t="n">
        <v>1549</v>
      </c>
      <c r="B1550" s="3" t="n">
        <v>1548</v>
      </c>
      <c r="C1550" s="3" t="n">
        <v>7</v>
      </c>
      <c r="D1550" s="3" t="n">
        <v>12</v>
      </c>
      <c r="E1550" s="3" t="n">
        <v>8</v>
      </c>
      <c r="F1550" s="24" t="n">
        <v>0</v>
      </c>
    </row>
    <row r="1551" customFormat="false" ht="15" hidden="false" customHeight="false" outlineLevel="0" collapsed="false">
      <c r="A1551" s="3" t="n">
        <v>1550</v>
      </c>
      <c r="B1551" s="3" t="n">
        <v>1549</v>
      </c>
      <c r="C1551" s="3" t="n">
        <v>7</v>
      </c>
      <c r="D1551" s="3" t="n">
        <v>12</v>
      </c>
      <c r="E1551" s="3" t="n">
        <v>9</v>
      </c>
      <c r="F1551" s="24" t="n">
        <v>0</v>
      </c>
    </row>
    <row r="1552" customFormat="false" ht="15" hidden="false" customHeight="false" outlineLevel="0" collapsed="false">
      <c r="A1552" s="3" t="n">
        <v>1551</v>
      </c>
      <c r="B1552" s="3" t="n">
        <v>1550</v>
      </c>
      <c r="C1552" s="3" t="n">
        <v>7</v>
      </c>
      <c r="D1552" s="3" t="n">
        <v>12</v>
      </c>
      <c r="E1552" s="3" t="n">
        <v>10</v>
      </c>
      <c r="F1552" s="24" t="n">
        <v>0</v>
      </c>
    </row>
    <row r="1553" customFormat="false" ht="15" hidden="false" customHeight="false" outlineLevel="0" collapsed="false">
      <c r="A1553" s="3" t="n">
        <v>1552</v>
      </c>
      <c r="B1553" s="3" t="n">
        <v>1551</v>
      </c>
      <c r="C1553" s="3" t="n">
        <v>7</v>
      </c>
      <c r="D1553" s="3" t="n">
        <v>12</v>
      </c>
      <c r="E1553" s="3" t="n">
        <v>11</v>
      </c>
      <c r="F1553" s="24" t="n">
        <v>0</v>
      </c>
    </row>
    <row r="1554" customFormat="false" ht="15" hidden="false" customHeight="false" outlineLevel="0" collapsed="false">
      <c r="A1554" s="3" t="n">
        <v>1553</v>
      </c>
      <c r="B1554" s="3" t="n">
        <v>1552</v>
      </c>
      <c r="C1554" s="3" t="n">
        <v>7</v>
      </c>
      <c r="D1554" s="3" t="n">
        <v>12</v>
      </c>
      <c r="E1554" s="3" t="n">
        <v>12</v>
      </c>
      <c r="F1554" s="24" t="n">
        <v>0</v>
      </c>
    </row>
    <row r="1555" customFormat="false" ht="15" hidden="false" customHeight="false" outlineLevel="0" collapsed="false">
      <c r="A1555" s="3" t="n">
        <v>1554</v>
      </c>
      <c r="B1555" s="3" t="n">
        <v>1553</v>
      </c>
      <c r="C1555" s="3" t="n">
        <v>7</v>
      </c>
      <c r="D1555" s="3" t="n">
        <v>12</v>
      </c>
      <c r="E1555" s="3" t="n">
        <v>13</v>
      </c>
      <c r="F1555" s="24" t="n">
        <v>0</v>
      </c>
    </row>
    <row r="1556" customFormat="false" ht="15" hidden="false" customHeight="false" outlineLevel="0" collapsed="false">
      <c r="A1556" s="3" t="n">
        <v>1555</v>
      </c>
      <c r="B1556" s="3" t="n">
        <v>1554</v>
      </c>
      <c r="C1556" s="3" t="n">
        <v>7</v>
      </c>
      <c r="D1556" s="3" t="n">
        <v>13</v>
      </c>
      <c r="E1556" s="3" t="n">
        <v>0</v>
      </c>
      <c r="F1556" s="24" t="n">
        <v>0.0813839287</v>
      </c>
    </row>
    <row r="1557" customFormat="false" ht="15" hidden="false" customHeight="false" outlineLevel="0" collapsed="false">
      <c r="A1557" s="3" t="n">
        <v>1556</v>
      </c>
      <c r="B1557" s="3" t="n">
        <v>1555</v>
      </c>
      <c r="C1557" s="3" t="n">
        <v>7</v>
      </c>
      <c r="D1557" s="3" t="n">
        <v>13</v>
      </c>
      <c r="E1557" s="3" t="n">
        <v>1</v>
      </c>
      <c r="F1557" s="24" t="n">
        <v>0.467008471</v>
      </c>
    </row>
    <row r="1558" customFormat="false" ht="15" hidden="false" customHeight="false" outlineLevel="0" collapsed="false">
      <c r="A1558" s="3" t="n">
        <v>1557</v>
      </c>
      <c r="B1558" s="3" t="n">
        <v>1556</v>
      </c>
      <c r="C1558" s="3" t="n">
        <v>7</v>
      </c>
      <c r="D1558" s="3" t="n">
        <v>13</v>
      </c>
      <c r="E1558" s="3" t="n">
        <v>2</v>
      </c>
      <c r="F1558" s="24" t="n">
        <v>0.457742751</v>
      </c>
    </row>
    <row r="1559" customFormat="false" ht="15" hidden="false" customHeight="false" outlineLevel="0" collapsed="false">
      <c r="A1559" s="3" t="n">
        <v>1558</v>
      </c>
      <c r="B1559" s="3" t="n">
        <v>1557</v>
      </c>
      <c r="C1559" s="3" t="n">
        <v>7</v>
      </c>
      <c r="D1559" s="3" t="n">
        <v>13</v>
      </c>
      <c r="E1559" s="3" t="n">
        <v>3</v>
      </c>
      <c r="F1559" s="24" t="n">
        <v>0.196500361</v>
      </c>
    </row>
    <row r="1560" customFormat="false" ht="15" hidden="false" customHeight="false" outlineLevel="0" collapsed="false">
      <c r="A1560" s="3" t="n">
        <v>1559</v>
      </c>
      <c r="B1560" s="3" t="n">
        <v>1558</v>
      </c>
      <c r="C1560" s="3" t="n">
        <v>7</v>
      </c>
      <c r="D1560" s="3" t="n">
        <v>13</v>
      </c>
      <c r="E1560" s="3" t="n">
        <v>4</v>
      </c>
      <c r="F1560" s="24" t="n">
        <v>0.118397668</v>
      </c>
    </row>
    <row r="1561" customFormat="false" ht="15" hidden="false" customHeight="false" outlineLevel="0" collapsed="false">
      <c r="A1561" s="3" t="n">
        <v>1560</v>
      </c>
      <c r="B1561" s="3" t="n">
        <v>1559</v>
      </c>
      <c r="C1561" s="3" t="n">
        <v>7</v>
      </c>
      <c r="D1561" s="3" t="n">
        <v>13</v>
      </c>
      <c r="E1561" s="3" t="n">
        <v>5</v>
      </c>
      <c r="F1561" s="24" t="n">
        <v>0</v>
      </c>
    </row>
    <row r="1562" customFormat="false" ht="15" hidden="false" customHeight="false" outlineLevel="0" collapsed="false">
      <c r="A1562" s="3" t="n">
        <v>1561</v>
      </c>
      <c r="B1562" s="3" t="n">
        <v>1560</v>
      </c>
      <c r="C1562" s="3" t="n">
        <v>7</v>
      </c>
      <c r="D1562" s="3" t="n">
        <v>13</v>
      </c>
      <c r="E1562" s="3" t="n">
        <v>6</v>
      </c>
      <c r="F1562" s="24" t="n">
        <v>0</v>
      </c>
    </row>
    <row r="1563" customFormat="false" ht="15" hidden="false" customHeight="false" outlineLevel="0" collapsed="false">
      <c r="A1563" s="3" t="n">
        <v>1562</v>
      </c>
      <c r="B1563" s="3" t="n">
        <v>1561</v>
      </c>
      <c r="C1563" s="3" t="n">
        <v>7</v>
      </c>
      <c r="D1563" s="3" t="n">
        <v>13</v>
      </c>
      <c r="E1563" s="3" t="n">
        <v>7</v>
      </c>
      <c r="F1563" s="24" t="n">
        <v>0</v>
      </c>
    </row>
    <row r="1564" customFormat="false" ht="15" hidden="false" customHeight="false" outlineLevel="0" collapsed="false">
      <c r="A1564" s="3" t="n">
        <v>1563</v>
      </c>
      <c r="B1564" s="3" t="n">
        <v>1562</v>
      </c>
      <c r="C1564" s="3" t="n">
        <v>7</v>
      </c>
      <c r="D1564" s="3" t="n">
        <v>13</v>
      </c>
      <c r="E1564" s="3" t="n">
        <v>8</v>
      </c>
      <c r="F1564" s="24" t="n">
        <v>0</v>
      </c>
    </row>
    <row r="1565" customFormat="false" ht="15" hidden="false" customHeight="false" outlineLevel="0" collapsed="false">
      <c r="A1565" s="3" t="n">
        <v>1564</v>
      </c>
      <c r="B1565" s="3" t="n">
        <v>1563</v>
      </c>
      <c r="C1565" s="3" t="n">
        <v>7</v>
      </c>
      <c r="D1565" s="3" t="n">
        <v>13</v>
      </c>
      <c r="E1565" s="3" t="n">
        <v>9</v>
      </c>
      <c r="F1565" s="24" t="n">
        <v>0.457742751</v>
      </c>
    </row>
    <row r="1566" customFormat="false" ht="15" hidden="false" customHeight="false" outlineLevel="0" collapsed="false">
      <c r="A1566" s="3" t="n">
        <v>1565</v>
      </c>
      <c r="B1566" s="3" t="n">
        <v>1564</v>
      </c>
      <c r="C1566" s="3" t="n">
        <v>7</v>
      </c>
      <c r="D1566" s="3" t="n">
        <v>13</v>
      </c>
      <c r="E1566" s="3" t="n">
        <v>10</v>
      </c>
      <c r="F1566" s="24" t="n">
        <v>0.457742751</v>
      </c>
    </row>
    <row r="1567" customFormat="false" ht="15" hidden="false" customHeight="false" outlineLevel="0" collapsed="false">
      <c r="A1567" s="3" t="n">
        <v>1566</v>
      </c>
      <c r="B1567" s="3" t="n">
        <v>1565</v>
      </c>
      <c r="C1567" s="3" t="n">
        <v>7</v>
      </c>
      <c r="D1567" s="3" t="n">
        <v>13</v>
      </c>
      <c r="E1567" s="3" t="n">
        <v>11</v>
      </c>
      <c r="F1567" s="24" t="n">
        <v>0.457742751</v>
      </c>
    </row>
    <row r="1568" customFormat="false" ht="15" hidden="false" customHeight="false" outlineLevel="0" collapsed="false">
      <c r="A1568" s="3" t="n">
        <v>1567</v>
      </c>
      <c r="B1568" s="3" t="n">
        <v>1566</v>
      </c>
      <c r="C1568" s="3" t="n">
        <v>7</v>
      </c>
      <c r="D1568" s="3" t="n">
        <v>13</v>
      </c>
      <c r="E1568" s="3" t="n">
        <v>12</v>
      </c>
      <c r="F1568" s="24" t="n">
        <v>0.518655956</v>
      </c>
    </row>
    <row r="1569" customFormat="false" ht="15" hidden="false" customHeight="false" outlineLevel="0" collapsed="false">
      <c r="A1569" s="3" t="n">
        <v>1568</v>
      </c>
      <c r="B1569" s="3" t="n">
        <v>1567</v>
      </c>
      <c r="C1569" s="3" t="n">
        <v>7</v>
      </c>
      <c r="D1569" s="3" t="n">
        <v>13</v>
      </c>
      <c r="E1569" s="3" t="n">
        <v>13</v>
      </c>
      <c r="F1569" s="24" t="n">
        <v>0.517279625</v>
      </c>
    </row>
    <row r="1570" customFormat="false" ht="15" hidden="false" customHeight="false" outlineLevel="0" collapsed="false">
      <c r="A1570" s="3" t="n">
        <v>1569</v>
      </c>
      <c r="B1570" s="3" t="n">
        <v>1568</v>
      </c>
      <c r="C1570" s="3" t="n">
        <v>8</v>
      </c>
      <c r="D1570" s="3" t="n">
        <v>0</v>
      </c>
      <c r="E1570" s="3" t="n">
        <v>0</v>
      </c>
      <c r="F1570" s="24" t="n">
        <v>0</v>
      </c>
    </row>
    <row r="1571" customFormat="false" ht="15" hidden="false" customHeight="false" outlineLevel="0" collapsed="false">
      <c r="A1571" s="3" t="n">
        <v>1570</v>
      </c>
      <c r="B1571" s="3" t="n">
        <v>1569</v>
      </c>
      <c r="C1571" s="3" t="n">
        <v>8</v>
      </c>
      <c r="D1571" s="3" t="n">
        <v>0</v>
      </c>
      <c r="E1571" s="3" t="n">
        <v>1</v>
      </c>
      <c r="F1571" s="24" t="n">
        <v>0</v>
      </c>
    </row>
    <row r="1572" customFormat="false" ht="15" hidden="false" customHeight="false" outlineLevel="0" collapsed="false">
      <c r="A1572" s="3" t="n">
        <v>1571</v>
      </c>
      <c r="B1572" s="3" t="n">
        <v>1570</v>
      </c>
      <c r="C1572" s="3" t="n">
        <v>8</v>
      </c>
      <c r="D1572" s="3" t="n">
        <v>0</v>
      </c>
      <c r="E1572" s="3" t="n">
        <v>2</v>
      </c>
      <c r="F1572" s="24" t="n">
        <v>0</v>
      </c>
    </row>
    <row r="1573" customFormat="false" ht="15" hidden="false" customHeight="false" outlineLevel="0" collapsed="false">
      <c r="A1573" s="3" t="n">
        <v>1572</v>
      </c>
      <c r="B1573" s="3" t="n">
        <v>1571</v>
      </c>
      <c r="C1573" s="3" t="n">
        <v>8</v>
      </c>
      <c r="D1573" s="3" t="n">
        <v>0</v>
      </c>
      <c r="E1573" s="3" t="n">
        <v>3</v>
      </c>
      <c r="F1573" s="24" t="n">
        <v>0</v>
      </c>
    </row>
    <row r="1574" customFormat="false" ht="15" hidden="false" customHeight="false" outlineLevel="0" collapsed="false">
      <c r="A1574" s="3" t="n">
        <v>1573</v>
      </c>
      <c r="B1574" s="3" t="n">
        <v>1572</v>
      </c>
      <c r="C1574" s="3" t="n">
        <v>8</v>
      </c>
      <c r="D1574" s="3" t="n">
        <v>0</v>
      </c>
      <c r="E1574" s="3" t="n">
        <v>4</v>
      </c>
      <c r="F1574" s="24" t="n">
        <v>0</v>
      </c>
    </row>
    <row r="1575" customFormat="false" ht="15" hidden="false" customHeight="false" outlineLevel="0" collapsed="false">
      <c r="A1575" s="3" t="n">
        <v>1574</v>
      </c>
      <c r="B1575" s="3" t="n">
        <v>1573</v>
      </c>
      <c r="C1575" s="3" t="n">
        <v>8</v>
      </c>
      <c r="D1575" s="3" t="n">
        <v>0</v>
      </c>
      <c r="E1575" s="3" t="n">
        <v>5</v>
      </c>
      <c r="F1575" s="24" t="n">
        <v>0</v>
      </c>
    </row>
    <row r="1576" customFormat="false" ht="15" hidden="false" customHeight="false" outlineLevel="0" collapsed="false">
      <c r="A1576" s="3" t="n">
        <v>1575</v>
      </c>
      <c r="B1576" s="3" t="n">
        <v>1574</v>
      </c>
      <c r="C1576" s="3" t="n">
        <v>8</v>
      </c>
      <c r="D1576" s="3" t="n">
        <v>0</v>
      </c>
      <c r="E1576" s="3" t="n">
        <v>6</v>
      </c>
      <c r="F1576" s="24" t="n">
        <v>0</v>
      </c>
    </row>
    <row r="1577" customFormat="false" ht="15" hidden="false" customHeight="false" outlineLevel="0" collapsed="false">
      <c r="A1577" s="3" t="n">
        <v>1576</v>
      </c>
      <c r="B1577" s="3" t="n">
        <v>1575</v>
      </c>
      <c r="C1577" s="3" t="n">
        <v>8</v>
      </c>
      <c r="D1577" s="3" t="n">
        <v>0</v>
      </c>
      <c r="E1577" s="3" t="n">
        <v>7</v>
      </c>
      <c r="F1577" s="24" t="n">
        <v>0</v>
      </c>
    </row>
    <row r="1578" customFormat="false" ht="15" hidden="false" customHeight="false" outlineLevel="0" collapsed="false">
      <c r="A1578" s="3" t="n">
        <v>1577</v>
      </c>
      <c r="B1578" s="3" t="n">
        <v>1576</v>
      </c>
      <c r="C1578" s="3" t="n">
        <v>8</v>
      </c>
      <c r="D1578" s="3" t="n">
        <v>0</v>
      </c>
      <c r="E1578" s="3" t="n">
        <v>8</v>
      </c>
      <c r="F1578" s="24" t="n">
        <v>0</v>
      </c>
    </row>
    <row r="1579" customFormat="false" ht="15" hidden="false" customHeight="false" outlineLevel="0" collapsed="false">
      <c r="A1579" s="3" t="n">
        <v>1578</v>
      </c>
      <c r="B1579" s="3" t="n">
        <v>1577</v>
      </c>
      <c r="C1579" s="3" t="n">
        <v>8</v>
      </c>
      <c r="D1579" s="3" t="n">
        <v>0</v>
      </c>
      <c r="E1579" s="3" t="n">
        <v>9</v>
      </c>
      <c r="F1579" s="24" t="n">
        <v>0</v>
      </c>
    </row>
    <row r="1580" customFormat="false" ht="15" hidden="false" customHeight="false" outlineLevel="0" collapsed="false">
      <c r="A1580" s="3" t="n">
        <v>1579</v>
      </c>
      <c r="B1580" s="3" t="n">
        <v>1578</v>
      </c>
      <c r="C1580" s="3" t="n">
        <v>8</v>
      </c>
      <c r="D1580" s="3" t="n">
        <v>0</v>
      </c>
      <c r="E1580" s="3" t="n">
        <v>10</v>
      </c>
      <c r="F1580" s="24" t="n">
        <v>0</v>
      </c>
    </row>
    <row r="1581" customFormat="false" ht="15" hidden="false" customHeight="false" outlineLevel="0" collapsed="false">
      <c r="A1581" s="3" t="n">
        <v>1580</v>
      </c>
      <c r="B1581" s="3" t="n">
        <v>1579</v>
      </c>
      <c r="C1581" s="3" t="n">
        <v>8</v>
      </c>
      <c r="D1581" s="3" t="n">
        <v>0</v>
      </c>
      <c r="E1581" s="3" t="n">
        <v>11</v>
      </c>
      <c r="F1581" s="24" t="n">
        <v>0</v>
      </c>
    </row>
    <row r="1582" customFormat="false" ht="15" hidden="false" customHeight="false" outlineLevel="0" collapsed="false">
      <c r="A1582" s="3" t="n">
        <v>1581</v>
      </c>
      <c r="B1582" s="3" t="n">
        <v>1580</v>
      </c>
      <c r="C1582" s="3" t="n">
        <v>8</v>
      </c>
      <c r="D1582" s="3" t="n">
        <v>0</v>
      </c>
      <c r="E1582" s="3" t="n">
        <v>12</v>
      </c>
      <c r="F1582" s="24" t="n">
        <v>0</v>
      </c>
    </row>
    <row r="1583" customFormat="false" ht="15" hidden="false" customHeight="false" outlineLevel="0" collapsed="false">
      <c r="A1583" s="3" t="n">
        <v>1582</v>
      </c>
      <c r="B1583" s="3" t="n">
        <v>1581</v>
      </c>
      <c r="C1583" s="3" t="n">
        <v>8</v>
      </c>
      <c r="D1583" s="3" t="n">
        <v>0</v>
      </c>
      <c r="E1583" s="3" t="n">
        <v>13</v>
      </c>
      <c r="F1583" s="24" t="n">
        <v>0</v>
      </c>
    </row>
    <row r="1584" customFormat="false" ht="15" hidden="false" customHeight="false" outlineLevel="0" collapsed="false">
      <c r="A1584" s="3" t="n">
        <v>1583</v>
      </c>
      <c r="B1584" s="3" t="n">
        <v>1582</v>
      </c>
      <c r="C1584" s="3" t="n">
        <v>8</v>
      </c>
      <c r="D1584" s="3" t="n">
        <v>1</v>
      </c>
      <c r="E1584" s="3" t="n">
        <v>0</v>
      </c>
      <c r="F1584" s="24" t="n">
        <v>0</v>
      </c>
    </row>
    <row r="1585" customFormat="false" ht="15" hidden="false" customHeight="false" outlineLevel="0" collapsed="false">
      <c r="A1585" s="3" t="n">
        <v>1584</v>
      </c>
      <c r="B1585" s="3" t="n">
        <v>1583</v>
      </c>
      <c r="C1585" s="3" t="n">
        <v>8</v>
      </c>
      <c r="D1585" s="3" t="n">
        <v>1</v>
      </c>
      <c r="E1585" s="3" t="n">
        <v>1</v>
      </c>
      <c r="F1585" s="24" t="n">
        <v>0</v>
      </c>
    </row>
    <row r="1586" customFormat="false" ht="15" hidden="false" customHeight="false" outlineLevel="0" collapsed="false">
      <c r="A1586" s="3" t="n">
        <v>1585</v>
      </c>
      <c r="B1586" s="3" t="n">
        <v>1584</v>
      </c>
      <c r="C1586" s="3" t="n">
        <v>8</v>
      </c>
      <c r="D1586" s="3" t="n">
        <v>1</v>
      </c>
      <c r="E1586" s="3" t="n">
        <v>2</v>
      </c>
      <c r="F1586" s="24" t="n">
        <v>0</v>
      </c>
    </row>
    <row r="1587" customFormat="false" ht="15" hidden="false" customHeight="false" outlineLevel="0" collapsed="false">
      <c r="A1587" s="3" t="n">
        <v>1586</v>
      </c>
      <c r="B1587" s="3" t="n">
        <v>1585</v>
      </c>
      <c r="C1587" s="3" t="n">
        <v>8</v>
      </c>
      <c r="D1587" s="3" t="n">
        <v>1</v>
      </c>
      <c r="E1587" s="3" t="n">
        <v>3</v>
      </c>
      <c r="F1587" s="24" t="n">
        <v>0</v>
      </c>
    </row>
    <row r="1588" customFormat="false" ht="15" hidden="false" customHeight="false" outlineLevel="0" collapsed="false">
      <c r="A1588" s="3" t="n">
        <v>1587</v>
      </c>
      <c r="B1588" s="3" t="n">
        <v>1586</v>
      </c>
      <c r="C1588" s="3" t="n">
        <v>8</v>
      </c>
      <c r="D1588" s="3" t="n">
        <v>1</v>
      </c>
      <c r="E1588" s="3" t="n">
        <v>4</v>
      </c>
      <c r="F1588" s="24" t="n">
        <v>0</v>
      </c>
    </row>
    <row r="1589" customFormat="false" ht="15" hidden="false" customHeight="false" outlineLevel="0" collapsed="false">
      <c r="A1589" s="3" t="n">
        <v>1588</v>
      </c>
      <c r="B1589" s="3" t="n">
        <v>1587</v>
      </c>
      <c r="C1589" s="3" t="n">
        <v>8</v>
      </c>
      <c r="D1589" s="3" t="n">
        <v>1</v>
      </c>
      <c r="E1589" s="3" t="n">
        <v>5</v>
      </c>
      <c r="F1589" s="24" t="n">
        <v>0</v>
      </c>
    </row>
    <row r="1590" customFormat="false" ht="15" hidden="false" customHeight="false" outlineLevel="0" collapsed="false">
      <c r="A1590" s="3" t="n">
        <v>1589</v>
      </c>
      <c r="B1590" s="3" t="n">
        <v>1588</v>
      </c>
      <c r="C1590" s="3" t="n">
        <v>8</v>
      </c>
      <c r="D1590" s="3" t="n">
        <v>1</v>
      </c>
      <c r="E1590" s="3" t="n">
        <v>6</v>
      </c>
      <c r="F1590" s="24" t="n">
        <v>0</v>
      </c>
    </row>
    <row r="1591" customFormat="false" ht="15" hidden="false" customHeight="false" outlineLevel="0" collapsed="false">
      <c r="A1591" s="3" t="n">
        <v>1590</v>
      </c>
      <c r="B1591" s="3" t="n">
        <v>1589</v>
      </c>
      <c r="C1591" s="3" t="n">
        <v>8</v>
      </c>
      <c r="D1591" s="3" t="n">
        <v>1</v>
      </c>
      <c r="E1591" s="3" t="n">
        <v>7</v>
      </c>
      <c r="F1591" s="24" t="n">
        <v>0</v>
      </c>
    </row>
    <row r="1592" customFormat="false" ht="15" hidden="false" customHeight="false" outlineLevel="0" collapsed="false">
      <c r="A1592" s="3" t="n">
        <v>1591</v>
      </c>
      <c r="B1592" s="3" t="n">
        <v>1590</v>
      </c>
      <c r="C1592" s="3" t="n">
        <v>8</v>
      </c>
      <c r="D1592" s="3" t="n">
        <v>1</v>
      </c>
      <c r="E1592" s="3" t="n">
        <v>8</v>
      </c>
      <c r="F1592" s="24" t="n">
        <v>0</v>
      </c>
    </row>
    <row r="1593" customFormat="false" ht="15" hidden="false" customHeight="false" outlineLevel="0" collapsed="false">
      <c r="A1593" s="3" t="n">
        <v>1592</v>
      </c>
      <c r="B1593" s="3" t="n">
        <v>1591</v>
      </c>
      <c r="C1593" s="3" t="n">
        <v>8</v>
      </c>
      <c r="D1593" s="3" t="n">
        <v>1</v>
      </c>
      <c r="E1593" s="3" t="n">
        <v>9</v>
      </c>
      <c r="F1593" s="24" t="n">
        <v>0</v>
      </c>
    </row>
    <row r="1594" customFormat="false" ht="15" hidden="false" customHeight="false" outlineLevel="0" collapsed="false">
      <c r="A1594" s="3" t="n">
        <v>1593</v>
      </c>
      <c r="B1594" s="3" t="n">
        <v>1592</v>
      </c>
      <c r="C1594" s="3" t="n">
        <v>8</v>
      </c>
      <c r="D1594" s="3" t="n">
        <v>1</v>
      </c>
      <c r="E1594" s="3" t="n">
        <v>10</v>
      </c>
      <c r="F1594" s="24" t="n">
        <v>0</v>
      </c>
    </row>
    <row r="1595" customFormat="false" ht="15" hidden="false" customHeight="false" outlineLevel="0" collapsed="false">
      <c r="A1595" s="3" t="n">
        <v>1594</v>
      </c>
      <c r="B1595" s="3" t="n">
        <v>1593</v>
      </c>
      <c r="C1595" s="3" t="n">
        <v>8</v>
      </c>
      <c r="D1595" s="3" t="n">
        <v>1</v>
      </c>
      <c r="E1595" s="3" t="n">
        <v>11</v>
      </c>
      <c r="F1595" s="24" t="n">
        <v>0</v>
      </c>
    </row>
    <row r="1596" customFormat="false" ht="15" hidden="false" customHeight="false" outlineLevel="0" collapsed="false">
      <c r="A1596" s="3" t="n">
        <v>1595</v>
      </c>
      <c r="B1596" s="3" t="n">
        <v>1594</v>
      </c>
      <c r="C1596" s="3" t="n">
        <v>8</v>
      </c>
      <c r="D1596" s="3" t="n">
        <v>1</v>
      </c>
      <c r="E1596" s="3" t="n">
        <v>12</v>
      </c>
      <c r="F1596" s="24" t="n">
        <v>0</v>
      </c>
    </row>
    <row r="1597" customFormat="false" ht="15" hidden="false" customHeight="false" outlineLevel="0" collapsed="false">
      <c r="A1597" s="3" t="n">
        <v>1596</v>
      </c>
      <c r="B1597" s="3" t="n">
        <v>1595</v>
      </c>
      <c r="C1597" s="3" t="n">
        <v>8</v>
      </c>
      <c r="D1597" s="3" t="n">
        <v>1</v>
      </c>
      <c r="E1597" s="3" t="n">
        <v>13</v>
      </c>
      <c r="F1597" s="24" t="n">
        <v>0</v>
      </c>
    </row>
    <row r="1598" customFormat="false" ht="15" hidden="false" customHeight="false" outlineLevel="0" collapsed="false">
      <c r="A1598" s="3" t="n">
        <v>1597</v>
      </c>
      <c r="B1598" s="3" t="n">
        <v>1596</v>
      </c>
      <c r="C1598" s="3" t="n">
        <v>8</v>
      </c>
      <c r="D1598" s="3" t="n">
        <v>2</v>
      </c>
      <c r="E1598" s="3" t="n">
        <v>0</v>
      </c>
      <c r="F1598" s="24" t="n">
        <v>0</v>
      </c>
    </row>
    <row r="1599" customFormat="false" ht="15" hidden="false" customHeight="false" outlineLevel="0" collapsed="false">
      <c r="A1599" s="3" t="n">
        <v>1598</v>
      </c>
      <c r="B1599" s="3" t="n">
        <v>1597</v>
      </c>
      <c r="C1599" s="3" t="n">
        <v>8</v>
      </c>
      <c r="D1599" s="3" t="n">
        <v>2</v>
      </c>
      <c r="E1599" s="3" t="n">
        <v>1</v>
      </c>
      <c r="F1599" s="24" t="n">
        <v>0</v>
      </c>
    </row>
    <row r="1600" customFormat="false" ht="15" hidden="false" customHeight="false" outlineLevel="0" collapsed="false">
      <c r="A1600" s="3" t="n">
        <v>1599</v>
      </c>
      <c r="B1600" s="3" t="n">
        <v>1598</v>
      </c>
      <c r="C1600" s="3" t="n">
        <v>8</v>
      </c>
      <c r="D1600" s="3" t="n">
        <v>2</v>
      </c>
      <c r="E1600" s="3" t="n">
        <v>2</v>
      </c>
      <c r="F1600" s="24" t="n">
        <v>0</v>
      </c>
    </row>
    <row r="1601" customFormat="false" ht="15" hidden="false" customHeight="false" outlineLevel="0" collapsed="false">
      <c r="A1601" s="3" t="n">
        <v>1600</v>
      </c>
      <c r="B1601" s="3" t="n">
        <v>1599</v>
      </c>
      <c r="C1601" s="3" t="n">
        <v>8</v>
      </c>
      <c r="D1601" s="3" t="n">
        <v>2</v>
      </c>
      <c r="E1601" s="3" t="n">
        <v>3</v>
      </c>
      <c r="F1601" s="24" t="n">
        <v>0.163972259</v>
      </c>
    </row>
    <row r="1602" customFormat="false" ht="15" hidden="false" customHeight="false" outlineLevel="0" collapsed="false">
      <c r="A1602" s="3" t="n">
        <v>1601</v>
      </c>
      <c r="B1602" s="3" t="n">
        <v>1600</v>
      </c>
      <c r="C1602" s="3" t="n">
        <v>8</v>
      </c>
      <c r="D1602" s="3" t="n">
        <v>2</v>
      </c>
      <c r="E1602" s="3" t="n">
        <v>4</v>
      </c>
      <c r="F1602" s="24" t="n">
        <v>0</v>
      </c>
    </row>
    <row r="1603" customFormat="false" ht="15" hidden="false" customHeight="false" outlineLevel="0" collapsed="false">
      <c r="A1603" s="3" t="n">
        <v>1602</v>
      </c>
      <c r="B1603" s="3" t="n">
        <v>1601</v>
      </c>
      <c r="C1603" s="3" t="n">
        <v>8</v>
      </c>
      <c r="D1603" s="3" t="n">
        <v>2</v>
      </c>
      <c r="E1603" s="3" t="n">
        <v>5</v>
      </c>
      <c r="F1603" s="24" t="n">
        <v>0</v>
      </c>
    </row>
    <row r="1604" customFormat="false" ht="15" hidden="false" customHeight="false" outlineLevel="0" collapsed="false">
      <c r="A1604" s="3" t="n">
        <v>1603</v>
      </c>
      <c r="B1604" s="3" t="n">
        <v>1602</v>
      </c>
      <c r="C1604" s="3" t="n">
        <v>8</v>
      </c>
      <c r="D1604" s="3" t="n">
        <v>2</v>
      </c>
      <c r="E1604" s="3" t="n">
        <v>6</v>
      </c>
      <c r="F1604" s="24" t="n">
        <v>0</v>
      </c>
    </row>
    <row r="1605" customFormat="false" ht="15" hidden="false" customHeight="false" outlineLevel="0" collapsed="false">
      <c r="A1605" s="3" t="n">
        <v>1604</v>
      </c>
      <c r="B1605" s="3" t="n">
        <v>1603</v>
      </c>
      <c r="C1605" s="3" t="n">
        <v>8</v>
      </c>
      <c r="D1605" s="3" t="n">
        <v>2</v>
      </c>
      <c r="E1605" s="3" t="n">
        <v>7</v>
      </c>
      <c r="F1605" s="24" t="n">
        <v>0</v>
      </c>
    </row>
    <row r="1606" customFormat="false" ht="15" hidden="false" customHeight="false" outlineLevel="0" collapsed="false">
      <c r="A1606" s="3" t="n">
        <v>1605</v>
      </c>
      <c r="B1606" s="3" t="n">
        <v>1604</v>
      </c>
      <c r="C1606" s="3" t="n">
        <v>8</v>
      </c>
      <c r="D1606" s="3" t="n">
        <v>2</v>
      </c>
      <c r="E1606" s="3" t="n">
        <v>8</v>
      </c>
      <c r="F1606" s="24" t="n">
        <v>0</v>
      </c>
    </row>
    <row r="1607" customFormat="false" ht="15" hidden="false" customHeight="false" outlineLevel="0" collapsed="false">
      <c r="A1607" s="3" t="n">
        <v>1606</v>
      </c>
      <c r="B1607" s="3" t="n">
        <v>1605</v>
      </c>
      <c r="C1607" s="3" t="n">
        <v>8</v>
      </c>
      <c r="D1607" s="3" t="n">
        <v>2</v>
      </c>
      <c r="E1607" s="3" t="n">
        <v>9</v>
      </c>
      <c r="F1607" s="24" t="n">
        <v>0</v>
      </c>
    </row>
    <row r="1608" customFormat="false" ht="15" hidden="false" customHeight="false" outlineLevel="0" collapsed="false">
      <c r="A1608" s="3" t="n">
        <v>1607</v>
      </c>
      <c r="B1608" s="3" t="n">
        <v>1606</v>
      </c>
      <c r="C1608" s="3" t="n">
        <v>8</v>
      </c>
      <c r="D1608" s="3" t="n">
        <v>2</v>
      </c>
      <c r="E1608" s="3" t="n">
        <v>10</v>
      </c>
      <c r="F1608" s="24" t="n">
        <v>0</v>
      </c>
    </row>
    <row r="1609" customFormat="false" ht="15" hidden="false" customHeight="false" outlineLevel="0" collapsed="false">
      <c r="A1609" s="3" t="n">
        <v>1608</v>
      </c>
      <c r="B1609" s="3" t="n">
        <v>1607</v>
      </c>
      <c r="C1609" s="3" t="n">
        <v>8</v>
      </c>
      <c r="D1609" s="3" t="n">
        <v>2</v>
      </c>
      <c r="E1609" s="3" t="n">
        <v>11</v>
      </c>
      <c r="F1609" s="24" t="n">
        <v>0</v>
      </c>
    </row>
    <row r="1610" customFormat="false" ht="15" hidden="false" customHeight="false" outlineLevel="0" collapsed="false">
      <c r="A1610" s="3" t="n">
        <v>1609</v>
      </c>
      <c r="B1610" s="3" t="n">
        <v>1608</v>
      </c>
      <c r="C1610" s="3" t="n">
        <v>8</v>
      </c>
      <c r="D1610" s="3" t="n">
        <v>2</v>
      </c>
      <c r="E1610" s="3" t="n">
        <v>12</v>
      </c>
      <c r="F1610" s="24" t="n">
        <v>0</v>
      </c>
    </row>
    <row r="1611" customFormat="false" ht="15" hidden="false" customHeight="false" outlineLevel="0" collapsed="false">
      <c r="A1611" s="3" t="n">
        <v>1610</v>
      </c>
      <c r="B1611" s="3" t="n">
        <v>1609</v>
      </c>
      <c r="C1611" s="3" t="n">
        <v>8</v>
      </c>
      <c r="D1611" s="3" t="n">
        <v>2</v>
      </c>
      <c r="E1611" s="3" t="n">
        <v>13</v>
      </c>
      <c r="F1611" s="24" t="n">
        <v>0</v>
      </c>
    </row>
    <row r="1612" customFormat="false" ht="15" hidden="false" customHeight="false" outlineLevel="0" collapsed="false">
      <c r="A1612" s="3" t="n">
        <v>1611</v>
      </c>
      <c r="B1612" s="3" t="n">
        <v>1610</v>
      </c>
      <c r="C1612" s="3" t="n">
        <v>8</v>
      </c>
      <c r="D1612" s="3" t="n">
        <v>3</v>
      </c>
      <c r="E1612" s="3" t="n">
        <v>0</v>
      </c>
      <c r="F1612" s="24" t="n">
        <v>0</v>
      </c>
    </row>
    <row r="1613" customFormat="false" ht="15" hidden="false" customHeight="false" outlineLevel="0" collapsed="false">
      <c r="A1613" s="3" t="n">
        <v>1612</v>
      </c>
      <c r="B1613" s="3" t="n">
        <v>1611</v>
      </c>
      <c r="C1613" s="3" t="n">
        <v>8</v>
      </c>
      <c r="D1613" s="3" t="n">
        <v>3</v>
      </c>
      <c r="E1613" s="3" t="n">
        <v>1</v>
      </c>
      <c r="F1613" s="24" t="n">
        <v>0</v>
      </c>
    </row>
    <row r="1614" customFormat="false" ht="15" hidden="false" customHeight="false" outlineLevel="0" collapsed="false">
      <c r="A1614" s="3" t="n">
        <v>1613</v>
      </c>
      <c r="B1614" s="3" t="n">
        <v>1612</v>
      </c>
      <c r="C1614" s="3" t="n">
        <v>8</v>
      </c>
      <c r="D1614" s="3" t="n">
        <v>3</v>
      </c>
      <c r="E1614" s="3" t="n">
        <v>2</v>
      </c>
      <c r="F1614" s="24" t="n">
        <v>0</v>
      </c>
    </row>
    <row r="1615" customFormat="false" ht="15" hidden="false" customHeight="false" outlineLevel="0" collapsed="false">
      <c r="A1615" s="3" t="n">
        <v>1614</v>
      </c>
      <c r="B1615" s="3" t="n">
        <v>1613</v>
      </c>
      <c r="C1615" s="3" t="n">
        <v>8</v>
      </c>
      <c r="D1615" s="3" t="n">
        <v>3</v>
      </c>
      <c r="E1615" s="3" t="n">
        <v>3</v>
      </c>
      <c r="F1615" s="24" t="n">
        <v>0</v>
      </c>
    </row>
    <row r="1616" customFormat="false" ht="15" hidden="false" customHeight="false" outlineLevel="0" collapsed="false">
      <c r="A1616" s="3" t="n">
        <v>1615</v>
      </c>
      <c r="B1616" s="3" t="n">
        <v>1614</v>
      </c>
      <c r="C1616" s="3" t="n">
        <v>8</v>
      </c>
      <c r="D1616" s="3" t="n">
        <v>3</v>
      </c>
      <c r="E1616" s="3" t="n">
        <v>4</v>
      </c>
      <c r="F1616" s="24" t="n">
        <v>0</v>
      </c>
    </row>
    <row r="1617" customFormat="false" ht="15" hidden="false" customHeight="false" outlineLevel="0" collapsed="false">
      <c r="A1617" s="3" t="n">
        <v>1616</v>
      </c>
      <c r="B1617" s="3" t="n">
        <v>1615</v>
      </c>
      <c r="C1617" s="3" t="n">
        <v>8</v>
      </c>
      <c r="D1617" s="3" t="n">
        <v>3</v>
      </c>
      <c r="E1617" s="3" t="n">
        <v>5</v>
      </c>
      <c r="F1617" s="24" t="n">
        <v>0</v>
      </c>
    </row>
    <row r="1618" customFormat="false" ht="15" hidden="false" customHeight="false" outlineLevel="0" collapsed="false">
      <c r="A1618" s="3" t="n">
        <v>1617</v>
      </c>
      <c r="B1618" s="3" t="n">
        <v>1616</v>
      </c>
      <c r="C1618" s="3" t="n">
        <v>8</v>
      </c>
      <c r="D1618" s="3" t="n">
        <v>3</v>
      </c>
      <c r="E1618" s="3" t="n">
        <v>6</v>
      </c>
      <c r="F1618" s="24" t="n">
        <v>0</v>
      </c>
    </row>
    <row r="1619" customFormat="false" ht="15" hidden="false" customHeight="false" outlineLevel="0" collapsed="false">
      <c r="A1619" s="3" t="n">
        <v>1618</v>
      </c>
      <c r="B1619" s="3" t="n">
        <v>1617</v>
      </c>
      <c r="C1619" s="3" t="n">
        <v>8</v>
      </c>
      <c r="D1619" s="3" t="n">
        <v>3</v>
      </c>
      <c r="E1619" s="3" t="n">
        <v>7</v>
      </c>
      <c r="F1619" s="24" t="n">
        <v>0</v>
      </c>
    </row>
    <row r="1620" customFormat="false" ht="15" hidden="false" customHeight="false" outlineLevel="0" collapsed="false">
      <c r="A1620" s="3" t="n">
        <v>1619</v>
      </c>
      <c r="B1620" s="3" t="n">
        <v>1618</v>
      </c>
      <c r="C1620" s="3" t="n">
        <v>8</v>
      </c>
      <c r="D1620" s="3" t="n">
        <v>3</v>
      </c>
      <c r="E1620" s="3" t="n">
        <v>8</v>
      </c>
      <c r="F1620" s="24" t="n">
        <v>0</v>
      </c>
    </row>
    <row r="1621" customFormat="false" ht="15" hidden="false" customHeight="false" outlineLevel="0" collapsed="false">
      <c r="A1621" s="3" t="n">
        <v>1620</v>
      </c>
      <c r="B1621" s="3" t="n">
        <v>1619</v>
      </c>
      <c r="C1621" s="3" t="n">
        <v>8</v>
      </c>
      <c r="D1621" s="3" t="n">
        <v>3</v>
      </c>
      <c r="E1621" s="3" t="n">
        <v>9</v>
      </c>
      <c r="F1621" s="24" t="n">
        <v>0</v>
      </c>
    </row>
    <row r="1622" customFormat="false" ht="15" hidden="false" customHeight="false" outlineLevel="0" collapsed="false">
      <c r="A1622" s="3" t="n">
        <v>1621</v>
      </c>
      <c r="B1622" s="3" t="n">
        <v>1620</v>
      </c>
      <c r="C1622" s="3" t="n">
        <v>8</v>
      </c>
      <c r="D1622" s="3" t="n">
        <v>3</v>
      </c>
      <c r="E1622" s="3" t="n">
        <v>10</v>
      </c>
      <c r="F1622" s="24" t="n">
        <v>0</v>
      </c>
    </row>
    <row r="1623" customFormat="false" ht="15" hidden="false" customHeight="false" outlineLevel="0" collapsed="false">
      <c r="A1623" s="3" t="n">
        <v>1622</v>
      </c>
      <c r="B1623" s="3" t="n">
        <v>1621</v>
      </c>
      <c r="C1623" s="3" t="n">
        <v>8</v>
      </c>
      <c r="D1623" s="3" t="n">
        <v>3</v>
      </c>
      <c r="E1623" s="3" t="n">
        <v>11</v>
      </c>
      <c r="F1623" s="24" t="n">
        <v>0</v>
      </c>
    </row>
    <row r="1624" customFormat="false" ht="15" hidden="false" customHeight="false" outlineLevel="0" collapsed="false">
      <c r="A1624" s="3" t="n">
        <v>1623</v>
      </c>
      <c r="B1624" s="3" t="n">
        <v>1622</v>
      </c>
      <c r="C1624" s="3" t="n">
        <v>8</v>
      </c>
      <c r="D1624" s="3" t="n">
        <v>3</v>
      </c>
      <c r="E1624" s="3" t="n">
        <v>12</v>
      </c>
      <c r="F1624" s="24" t="n">
        <v>0</v>
      </c>
    </row>
    <row r="1625" customFormat="false" ht="15" hidden="false" customHeight="false" outlineLevel="0" collapsed="false">
      <c r="A1625" s="3" t="n">
        <v>1624</v>
      </c>
      <c r="B1625" s="3" t="n">
        <v>1623</v>
      </c>
      <c r="C1625" s="3" t="n">
        <v>8</v>
      </c>
      <c r="D1625" s="3" t="n">
        <v>3</v>
      </c>
      <c r="E1625" s="3" t="n">
        <v>13</v>
      </c>
      <c r="F1625" s="24" t="n">
        <v>0</v>
      </c>
    </row>
    <row r="1626" customFormat="false" ht="15" hidden="false" customHeight="false" outlineLevel="0" collapsed="false">
      <c r="A1626" s="3" t="n">
        <v>1625</v>
      </c>
      <c r="B1626" s="3" t="n">
        <v>1624</v>
      </c>
      <c r="C1626" s="3" t="n">
        <v>8</v>
      </c>
      <c r="D1626" s="3" t="n">
        <v>4</v>
      </c>
      <c r="E1626" s="3" t="n">
        <v>0</v>
      </c>
      <c r="F1626" s="24" t="n">
        <v>0</v>
      </c>
    </row>
    <row r="1627" customFormat="false" ht="15" hidden="false" customHeight="false" outlineLevel="0" collapsed="false">
      <c r="A1627" s="3" t="n">
        <v>1626</v>
      </c>
      <c r="B1627" s="3" t="n">
        <v>1625</v>
      </c>
      <c r="C1627" s="3" t="n">
        <v>8</v>
      </c>
      <c r="D1627" s="3" t="n">
        <v>4</v>
      </c>
      <c r="E1627" s="3" t="n">
        <v>1</v>
      </c>
      <c r="F1627" s="24" t="n">
        <v>0</v>
      </c>
    </row>
    <row r="1628" customFormat="false" ht="15" hidden="false" customHeight="false" outlineLevel="0" collapsed="false">
      <c r="A1628" s="3" t="n">
        <v>1627</v>
      </c>
      <c r="B1628" s="3" t="n">
        <v>1626</v>
      </c>
      <c r="C1628" s="3" t="n">
        <v>8</v>
      </c>
      <c r="D1628" s="3" t="n">
        <v>4</v>
      </c>
      <c r="E1628" s="3" t="n">
        <v>2</v>
      </c>
      <c r="F1628" s="24" t="n">
        <v>0</v>
      </c>
    </row>
    <row r="1629" customFormat="false" ht="15" hidden="false" customHeight="false" outlineLevel="0" collapsed="false">
      <c r="A1629" s="3" t="n">
        <v>1628</v>
      </c>
      <c r="B1629" s="3" t="n">
        <v>1627</v>
      </c>
      <c r="C1629" s="3" t="n">
        <v>8</v>
      </c>
      <c r="D1629" s="3" t="n">
        <v>4</v>
      </c>
      <c r="E1629" s="3" t="n">
        <v>3</v>
      </c>
      <c r="F1629" s="24" t="n">
        <v>0</v>
      </c>
    </row>
    <row r="1630" customFormat="false" ht="15" hidden="false" customHeight="false" outlineLevel="0" collapsed="false">
      <c r="A1630" s="3" t="n">
        <v>1629</v>
      </c>
      <c r="B1630" s="3" t="n">
        <v>1628</v>
      </c>
      <c r="C1630" s="3" t="n">
        <v>8</v>
      </c>
      <c r="D1630" s="3" t="n">
        <v>4</v>
      </c>
      <c r="E1630" s="3" t="n">
        <v>4</v>
      </c>
      <c r="F1630" s="24" t="n">
        <v>0</v>
      </c>
    </row>
    <row r="1631" customFormat="false" ht="15" hidden="false" customHeight="false" outlineLevel="0" collapsed="false">
      <c r="A1631" s="3" t="n">
        <v>1630</v>
      </c>
      <c r="B1631" s="3" t="n">
        <v>1629</v>
      </c>
      <c r="C1631" s="3" t="n">
        <v>8</v>
      </c>
      <c r="D1631" s="3" t="n">
        <v>4</v>
      </c>
      <c r="E1631" s="3" t="n">
        <v>5</v>
      </c>
      <c r="F1631" s="24" t="n">
        <v>0</v>
      </c>
    </row>
    <row r="1632" customFormat="false" ht="15" hidden="false" customHeight="false" outlineLevel="0" collapsed="false">
      <c r="A1632" s="3" t="n">
        <v>1631</v>
      </c>
      <c r="B1632" s="3" t="n">
        <v>1630</v>
      </c>
      <c r="C1632" s="3" t="n">
        <v>8</v>
      </c>
      <c r="D1632" s="3" t="n">
        <v>4</v>
      </c>
      <c r="E1632" s="3" t="n">
        <v>6</v>
      </c>
      <c r="F1632" s="24" t="n">
        <v>0</v>
      </c>
    </row>
    <row r="1633" customFormat="false" ht="15" hidden="false" customHeight="false" outlineLevel="0" collapsed="false">
      <c r="A1633" s="3" t="n">
        <v>1632</v>
      </c>
      <c r="B1633" s="3" t="n">
        <v>1631</v>
      </c>
      <c r="C1633" s="3" t="n">
        <v>8</v>
      </c>
      <c r="D1633" s="3" t="n">
        <v>4</v>
      </c>
      <c r="E1633" s="3" t="n">
        <v>7</v>
      </c>
      <c r="F1633" s="24" t="n">
        <v>0</v>
      </c>
    </row>
    <row r="1634" customFormat="false" ht="15" hidden="false" customHeight="false" outlineLevel="0" collapsed="false">
      <c r="A1634" s="3" t="n">
        <v>1633</v>
      </c>
      <c r="B1634" s="3" t="n">
        <v>1632</v>
      </c>
      <c r="C1634" s="3" t="n">
        <v>8</v>
      </c>
      <c r="D1634" s="3" t="n">
        <v>4</v>
      </c>
      <c r="E1634" s="3" t="n">
        <v>8</v>
      </c>
      <c r="F1634" s="24" t="n">
        <v>0</v>
      </c>
    </row>
    <row r="1635" customFormat="false" ht="15" hidden="false" customHeight="false" outlineLevel="0" collapsed="false">
      <c r="A1635" s="3" t="n">
        <v>1634</v>
      </c>
      <c r="B1635" s="3" t="n">
        <v>1633</v>
      </c>
      <c r="C1635" s="3" t="n">
        <v>8</v>
      </c>
      <c r="D1635" s="3" t="n">
        <v>4</v>
      </c>
      <c r="E1635" s="3" t="n">
        <v>9</v>
      </c>
      <c r="F1635" s="24" t="n">
        <v>0.806699038</v>
      </c>
    </row>
    <row r="1636" customFormat="false" ht="15" hidden="false" customHeight="false" outlineLevel="0" collapsed="false">
      <c r="A1636" s="3" t="n">
        <v>1635</v>
      </c>
      <c r="B1636" s="3" t="n">
        <v>1634</v>
      </c>
      <c r="C1636" s="3" t="n">
        <v>8</v>
      </c>
      <c r="D1636" s="3" t="n">
        <v>4</v>
      </c>
      <c r="E1636" s="3" t="n">
        <v>10</v>
      </c>
      <c r="F1636" s="24" t="n">
        <v>0</v>
      </c>
    </row>
    <row r="1637" customFormat="false" ht="15" hidden="false" customHeight="false" outlineLevel="0" collapsed="false">
      <c r="A1637" s="3" t="n">
        <v>1636</v>
      </c>
      <c r="B1637" s="3" t="n">
        <v>1635</v>
      </c>
      <c r="C1637" s="3" t="n">
        <v>8</v>
      </c>
      <c r="D1637" s="3" t="n">
        <v>4</v>
      </c>
      <c r="E1637" s="3" t="n">
        <v>11</v>
      </c>
      <c r="F1637" s="24" t="n">
        <v>0</v>
      </c>
    </row>
    <row r="1638" customFormat="false" ht="15" hidden="false" customHeight="false" outlineLevel="0" collapsed="false">
      <c r="A1638" s="3" t="n">
        <v>1637</v>
      </c>
      <c r="B1638" s="3" t="n">
        <v>1636</v>
      </c>
      <c r="C1638" s="3" t="n">
        <v>8</v>
      </c>
      <c r="D1638" s="3" t="n">
        <v>4</v>
      </c>
      <c r="E1638" s="3" t="n">
        <v>12</v>
      </c>
      <c r="F1638" s="24" t="n">
        <v>0</v>
      </c>
    </row>
    <row r="1639" customFormat="false" ht="15" hidden="false" customHeight="false" outlineLevel="0" collapsed="false">
      <c r="A1639" s="3" t="n">
        <v>1638</v>
      </c>
      <c r="B1639" s="3" t="n">
        <v>1637</v>
      </c>
      <c r="C1639" s="3" t="n">
        <v>8</v>
      </c>
      <c r="D1639" s="3" t="n">
        <v>4</v>
      </c>
      <c r="E1639" s="3" t="n">
        <v>13</v>
      </c>
      <c r="F1639" s="24" t="n">
        <v>0</v>
      </c>
    </row>
    <row r="1640" customFormat="false" ht="15" hidden="false" customHeight="false" outlineLevel="0" collapsed="false">
      <c r="A1640" s="3" t="n">
        <v>1639</v>
      </c>
      <c r="B1640" s="3" t="n">
        <v>1638</v>
      </c>
      <c r="C1640" s="3" t="n">
        <v>8</v>
      </c>
      <c r="D1640" s="3" t="n">
        <v>5</v>
      </c>
      <c r="E1640" s="3" t="n">
        <v>0</v>
      </c>
      <c r="F1640" s="24" t="n">
        <v>0</v>
      </c>
    </row>
    <row r="1641" customFormat="false" ht="15" hidden="false" customHeight="false" outlineLevel="0" collapsed="false">
      <c r="A1641" s="3" t="n">
        <v>1640</v>
      </c>
      <c r="B1641" s="3" t="n">
        <v>1639</v>
      </c>
      <c r="C1641" s="3" t="n">
        <v>8</v>
      </c>
      <c r="D1641" s="3" t="n">
        <v>5</v>
      </c>
      <c r="E1641" s="3" t="n">
        <v>1</v>
      </c>
      <c r="F1641" s="24" t="n">
        <v>0</v>
      </c>
    </row>
    <row r="1642" customFormat="false" ht="15" hidden="false" customHeight="false" outlineLevel="0" collapsed="false">
      <c r="A1642" s="3" t="n">
        <v>1641</v>
      </c>
      <c r="B1642" s="3" t="n">
        <v>1640</v>
      </c>
      <c r="C1642" s="3" t="n">
        <v>8</v>
      </c>
      <c r="D1642" s="3" t="n">
        <v>5</v>
      </c>
      <c r="E1642" s="3" t="n">
        <v>2</v>
      </c>
      <c r="F1642" s="24" t="n">
        <v>0</v>
      </c>
    </row>
    <row r="1643" customFormat="false" ht="15" hidden="false" customHeight="false" outlineLevel="0" collapsed="false">
      <c r="A1643" s="3" t="n">
        <v>1642</v>
      </c>
      <c r="B1643" s="3" t="n">
        <v>1641</v>
      </c>
      <c r="C1643" s="3" t="n">
        <v>8</v>
      </c>
      <c r="D1643" s="3" t="n">
        <v>5</v>
      </c>
      <c r="E1643" s="3" t="n">
        <v>3</v>
      </c>
      <c r="F1643" s="24" t="n">
        <v>0</v>
      </c>
    </row>
    <row r="1644" customFormat="false" ht="15" hidden="false" customHeight="false" outlineLevel="0" collapsed="false">
      <c r="A1644" s="3" t="n">
        <v>1643</v>
      </c>
      <c r="B1644" s="3" t="n">
        <v>1642</v>
      </c>
      <c r="C1644" s="3" t="n">
        <v>8</v>
      </c>
      <c r="D1644" s="3" t="n">
        <v>5</v>
      </c>
      <c r="E1644" s="3" t="n">
        <v>4</v>
      </c>
      <c r="F1644" s="24" t="n">
        <v>0</v>
      </c>
    </row>
    <row r="1645" customFormat="false" ht="15" hidden="false" customHeight="false" outlineLevel="0" collapsed="false">
      <c r="A1645" s="3" t="n">
        <v>1644</v>
      </c>
      <c r="B1645" s="3" t="n">
        <v>1643</v>
      </c>
      <c r="C1645" s="3" t="n">
        <v>8</v>
      </c>
      <c r="D1645" s="3" t="n">
        <v>5</v>
      </c>
      <c r="E1645" s="3" t="n">
        <v>5</v>
      </c>
      <c r="F1645" s="24" t="n">
        <v>0</v>
      </c>
    </row>
    <row r="1646" customFormat="false" ht="15" hidden="false" customHeight="false" outlineLevel="0" collapsed="false">
      <c r="A1646" s="3" t="n">
        <v>1645</v>
      </c>
      <c r="B1646" s="3" t="n">
        <v>1644</v>
      </c>
      <c r="C1646" s="3" t="n">
        <v>8</v>
      </c>
      <c r="D1646" s="3" t="n">
        <v>5</v>
      </c>
      <c r="E1646" s="3" t="n">
        <v>6</v>
      </c>
      <c r="F1646" s="24" t="n">
        <v>0</v>
      </c>
    </row>
    <row r="1647" customFormat="false" ht="15" hidden="false" customHeight="false" outlineLevel="0" collapsed="false">
      <c r="A1647" s="3" t="n">
        <v>1646</v>
      </c>
      <c r="B1647" s="3" t="n">
        <v>1645</v>
      </c>
      <c r="C1647" s="3" t="n">
        <v>8</v>
      </c>
      <c r="D1647" s="3" t="n">
        <v>5</v>
      </c>
      <c r="E1647" s="3" t="n">
        <v>7</v>
      </c>
      <c r="F1647" s="24" t="n">
        <v>0</v>
      </c>
    </row>
    <row r="1648" customFormat="false" ht="15" hidden="false" customHeight="false" outlineLevel="0" collapsed="false">
      <c r="A1648" s="3" t="n">
        <v>1647</v>
      </c>
      <c r="B1648" s="3" t="n">
        <v>1646</v>
      </c>
      <c r="C1648" s="3" t="n">
        <v>8</v>
      </c>
      <c r="D1648" s="3" t="n">
        <v>5</v>
      </c>
      <c r="E1648" s="3" t="n">
        <v>8</v>
      </c>
      <c r="F1648" s="24" t="n">
        <v>0</v>
      </c>
    </row>
    <row r="1649" customFormat="false" ht="15" hidden="false" customHeight="false" outlineLevel="0" collapsed="false">
      <c r="A1649" s="3" t="n">
        <v>1648</v>
      </c>
      <c r="B1649" s="3" t="n">
        <v>1647</v>
      </c>
      <c r="C1649" s="3" t="n">
        <v>8</v>
      </c>
      <c r="D1649" s="3" t="n">
        <v>5</v>
      </c>
      <c r="E1649" s="3" t="n">
        <v>9</v>
      </c>
      <c r="F1649" s="24" t="n">
        <v>2.91066146</v>
      </c>
    </row>
    <row r="1650" customFormat="false" ht="15" hidden="false" customHeight="false" outlineLevel="0" collapsed="false">
      <c r="A1650" s="3" t="n">
        <v>1649</v>
      </c>
      <c r="B1650" s="3" t="n">
        <v>1648</v>
      </c>
      <c r="C1650" s="3" t="n">
        <v>8</v>
      </c>
      <c r="D1650" s="3" t="n">
        <v>5</v>
      </c>
      <c r="E1650" s="3" t="n">
        <v>10</v>
      </c>
      <c r="F1650" s="24" t="n">
        <v>2.23791599</v>
      </c>
    </row>
    <row r="1651" customFormat="false" ht="15" hidden="false" customHeight="false" outlineLevel="0" collapsed="false">
      <c r="A1651" s="3" t="n">
        <v>1650</v>
      </c>
      <c r="B1651" s="3" t="n">
        <v>1649</v>
      </c>
      <c r="C1651" s="3" t="n">
        <v>8</v>
      </c>
      <c r="D1651" s="3" t="n">
        <v>5</v>
      </c>
      <c r="E1651" s="3" t="n">
        <v>11</v>
      </c>
      <c r="F1651" s="24" t="n">
        <v>0</v>
      </c>
    </row>
    <row r="1652" customFormat="false" ht="15" hidden="false" customHeight="false" outlineLevel="0" collapsed="false">
      <c r="A1652" s="3" t="n">
        <v>1651</v>
      </c>
      <c r="B1652" s="3" t="n">
        <v>1650</v>
      </c>
      <c r="C1652" s="3" t="n">
        <v>8</v>
      </c>
      <c r="D1652" s="3" t="n">
        <v>5</v>
      </c>
      <c r="E1652" s="3" t="n">
        <v>12</v>
      </c>
      <c r="F1652" s="24" t="n">
        <v>0</v>
      </c>
    </row>
    <row r="1653" customFormat="false" ht="15" hidden="false" customHeight="false" outlineLevel="0" collapsed="false">
      <c r="A1653" s="3" t="n">
        <v>1652</v>
      </c>
      <c r="B1653" s="3" t="n">
        <v>1651</v>
      </c>
      <c r="C1653" s="3" t="n">
        <v>8</v>
      </c>
      <c r="D1653" s="3" t="n">
        <v>5</v>
      </c>
      <c r="E1653" s="3" t="n">
        <v>13</v>
      </c>
      <c r="F1653" s="24" t="n">
        <v>0</v>
      </c>
    </row>
    <row r="1654" customFormat="false" ht="15" hidden="false" customHeight="false" outlineLevel="0" collapsed="false">
      <c r="A1654" s="3" t="n">
        <v>1653</v>
      </c>
      <c r="B1654" s="3" t="n">
        <v>1652</v>
      </c>
      <c r="C1654" s="3" t="n">
        <v>8</v>
      </c>
      <c r="D1654" s="3" t="n">
        <v>6</v>
      </c>
      <c r="E1654" s="3" t="n">
        <v>0</v>
      </c>
      <c r="F1654" s="24" t="n">
        <v>0</v>
      </c>
    </row>
    <row r="1655" customFormat="false" ht="15" hidden="false" customHeight="false" outlineLevel="0" collapsed="false">
      <c r="A1655" s="3" t="n">
        <v>1654</v>
      </c>
      <c r="B1655" s="3" t="n">
        <v>1653</v>
      </c>
      <c r="C1655" s="3" t="n">
        <v>8</v>
      </c>
      <c r="D1655" s="3" t="n">
        <v>6</v>
      </c>
      <c r="E1655" s="3" t="n">
        <v>1</v>
      </c>
      <c r="F1655" s="24" t="n">
        <v>0</v>
      </c>
    </row>
    <row r="1656" customFormat="false" ht="15" hidden="false" customHeight="false" outlineLevel="0" collapsed="false">
      <c r="A1656" s="3" t="n">
        <v>1655</v>
      </c>
      <c r="B1656" s="3" t="n">
        <v>1654</v>
      </c>
      <c r="C1656" s="3" t="n">
        <v>8</v>
      </c>
      <c r="D1656" s="3" t="n">
        <v>6</v>
      </c>
      <c r="E1656" s="3" t="n">
        <v>2</v>
      </c>
      <c r="F1656" s="24" t="n">
        <v>0</v>
      </c>
    </row>
    <row r="1657" customFormat="false" ht="15" hidden="false" customHeight="false" outlineLevel="0" collapsed="false">
      <c r="A1657" s="3" t="n">
        <v>1656</v>
      </c>
      <c r="B1657" s="3" t="n">
        <v>1655</v>
      </c>
      <c r="C1657" s="3" t="n">
        <v>8</v>
      </c>
      <c r="D1657" s="3" t="n">
        <v>6</v>
      </c>
      <c r="E1657" s="3" t="n">
        <v>3</v>
      </c>
      <c r="F1657" s="24" t="n">
        <v>0</v>
      </c>
    </row>
    <row r="1658" customFormat="false" ht="15" hidden="false" customHeight="false" outlineLevel="0" collapsed="false">
      <c r="A1658" s="3" t="n">
        <v>1657</v>
      </c>
      <c r="B1658" s="3" t="n">
        <v>1656</v>
      </c>
      <c r="C1658" s="3" t="n">
        <v>8</v>
      </c>
      <c r="D1658" s="3" t="n">
        <v>6</v>
      </c>
      <c r="E1658" s="3" t="n">
        <v>4</v>
      </c>
      <c r="F1658" s="24" t="n">
        <v>0</v>
      </c>
    </row>
    <row r="1659" customFormat="false" ht="15" hidden="false" customHeight="false" outlineLevel="0" collapsed="false">
      <c r="A1659" s="3" t="n">
        <v>1658</v>
      </c>
      <c r="B1659" s="3" t="n">
        <v>1657</v>
      </c>
      <c r="C1659" s="3" t="n">
        <v>8</v>
      </c>
      <c r="D1659" s="3" t="n">
        <v>6</v>
      </c>
      <c r="E1659" s="3" t="n">
        <v>5</v>
      </c>
      <c r="F1659" s="24" t="n">
        <v>0</v>
      </c>
    </row>
    <row r="1660" customFormat="false" ht="15" hidden="false" customHeight="false" outlineLevel="0" collapsed="false">
      <c r="A1660" s="3" t="n">
        <v>1659</v>
      </c>
      <c r="B1660" s="3" t="n">
        <v>1658</v>
      </c>
      <c r="C1660" s="3" t="n">
        <v>8</v>
      </c>
      <c r="D1660" s="3" t="n">
        <v>6</v>
      </c>
      <c r="E1660" s="3" t="n">
        <v>6</v>
      </c>
      <c r="F1660" s="24" t="n">
        <v>0</v>
      </c>
    </row>
    <row r="1661" customFormat="false" ht="15" hidden="false" customHeight="false" outlineLevel="0" collapsed="false">
      <c r="A1661" s="3" t="n">
        <v>1660</v>
      </c>
      <c r="B1661" s="3" t="n">
        <v>1659</v>
      </c>
      <c r="C1661" s="3" t="n">
        <v>8</v>
      </c>
      <c r="D1661" s="3" t="n">
        <v>6</v>
      </c>
      <c r="E1661" s="3" t="n">
        <v>7</v>
      </c>
      <c r="F1661" s="24" t="n">
        <v>0</v>
      </c>
    </row>
    <row r="1662" customFormat="false" ht="15" hidden="false" customHeight="false" outlineLevel="0" collapsed="false">
      <c r="A1662" s="3" t="n">
        <v>1661</v>
      </c>
      <c r="B1662" s="3" t="n">
        <v>1660</v>
      </c>
      <c r="C1662" s="3" t="n">
        <v>8</v>
      </c>
      <c r="D1662" s="3" t="n">
        <v>6</v>
      </c>
      <c r="E1662" s="3" t="n">
        <v>8</v>
      </c>
      <c r="F1662" s="24" t="n">
        <v>1.19950962</v>
      </c>
    </row>
    <row r="1663" customFormat="false" ht="15" hidden="false" customHeight="false" outlineLevel="0" collapsed="false">
      <c r="A1663" s="3" t="n">
        <v>1662</v>
      </c>
      <c r="B1663" s="3" t="n">
        <v>1661</v>
      </c>
      <c r="C1663" s="3" t="n">
        <v>8</v>
      </c>
      <c r="D1663" s="3" t="n">
        <v>6</v>
      </c>
      <c r="E1663" s="3" t="n">
        <v>9</v>
      </c>
      <c r="F1663" s="24" t="n">
        <v>3.52433372</v>
      </c>
    </row>
    <row r="1664" customFormat="false" ht="15" hidden="false" customHeight="false" outlineLevel="0" collapsed="false">
      <c r="A1664" s="3" t="n">
        <v>1663</v>
      </c>
      <c r="B1664" s="3" t="n">
        <v>1662</v>
      </c>
      <c r="C1664" s="3" t="n">
        <v>8</v>
      </c>
      <c r="D1664" s="3" t="n">
        <v>6</v>
      </c>
      <c r="E1664" s="3" t="n">
        <v>10</v>
      </c>
      <c r="F1664" s="24" t="n">
        <v>0.804278553</v>
      </c>
    </row>
    <row r="1665" customFormat="false" ht="15" hidden="false" customHeight="false" outlineLevel="0" collapsed="false">
      <c r="A1665" s="3" t="n">
        <v>1664</v>
      </c>
      <c r="B1665" s="3" t="n">
        <v>1663</v>
      </c>
      <c r="C1665" s="3" t="n">
        <v>8</v>
      </c>
      <c r="D1665" s="3" t="n">
        <v>6</v>
      </c>
      <c r="E1665" s="3" t="n">
        <v>11</v>
      </c>
      <c r="F1665" s="24" t="n">
        <v>0</v>
      </c>
    </row>
    <row r="1666" customFormat="false" ht="15" hidden="false" customHeight="false" outlineLevel="0" collapsed="false">
      <c r="A1666" s="3" t="n">
        <v>1665</v>
      </c>
      <c r="B1666" s="3" t="n">
        <v>1664</v>
      </c>
      <c r="C1666" s="3" t="n">
        <v>8</v>
      </c>
      <c r="D1666" s="3" t="n">
        <v>6</v>
      </c>
      <c r="E1666" s="3" t="n">
        <v>12</v>
      </c>
      <c r="F1666" s="24" t="n">
        <v>0</v>
      </c>
    </row>
    <row r="1667" customFormat="false" ht="15" hidden="false" customHeight="false" outlineLevel="0" collapsed="false">
      <c r="A1667" s="3" t="n">
        <v>1666</v>
      </c>
      <c r="B1667" s="3" t="n">
        <v>1665</v>
      </c>
      <c r="C1667" s="3" t="n">
        <v>8</v>
      </c>
      <c r="D1667" s="3" t="n">
        <v>6</v>
      </c>
      <c r="E1667" s="3" t="n">
        <v>13</v>
      </c>
      <c r="F1667" s="24" t="n">
        <v>0</v>
      </c>
    </row>
    <row r="1668" customFormat="false" ht="15" hidden="false" customHeight="false" outlineLevel="0" collapsed="false">
      <c r="A1668" s="3" t="n">
        <v>1667</v>
      </c>
      <c r="B1668" s="3" t="n">
        <v>1666</v>
      </c>
      <c r="C1668" s="3" t="n">
        <v>8</v>
      </c>
      <c r="D1668" s="3" t="n">
        <v>7</v>
      </c>
      <c r="E1668" s="3" t="n">
        <v>0</v>
      </c>
      <c r="F1668" s="24" t="n">
        <v>0</v>
      </c>
    </row>
    <row r="1669" customFormat="false" ht="15" hidden="false" customHeight="false" outlineLevel="0" collapsed="false">
      <c r="A1669" s="3" t="n">
        <v>1668</v>
      </c>
      <c r="B1669" s="3" t="n">
        <v>1667</v>
      </c>
      <c r="C1669" s="3" t="n">
        <v>8</v>
      </c>
      <c r="D1669" s="3" t="n">
        <v>7</v>
      </c>
      <c r="E1669" s="3" t="n">
        <v>1</v>
      </c>
      <c r="F1669" s="24" t="n">
        <v>0</v>
      </c>
    </row>
    <row r="1670" customFormat="false" ht="15" hidden="false" customHeight="false" outlineLevel="0" collapsed="false">
      <c r="A1670" s="3" t="n">
        <v>1669</v>
      </c>
      <c r="B1670" s="3" t="n">
        <v>1668</v>
      </c>
      <c r="C1670" s="3" t="n">
        <v>8</v>
      </c>
      <c r="D1670" s="3" t="n">
        <v>7</v>
      </c>
      <c r="E1670" s="3" t="n">
        <v>2</v>
      </c>
      <c r="F1670" s="24" t="n">
        <v>0</v>
      </c>
    </row>
    <row r="1671" customFormat="false" ht="15" hidden="false" customHeight="false" outlineLevel="0" collapsed="false">
      <c r="A1671" s="3" t="n">
        <v>1670</v>
      </c>
      <c r="B1671" s="3" t="n">
        <v>1669</v>
      </c>
      <c r="C1671" s="3" t="n">
        <v>8</v>
      </c>
      <c r="D1671" s="3" t="n">
        <v>7</v>
      </c>
      <c r="E1671" s="3" t="n">
        <v>3</v>
      </c>
      <c r="F1671" s="24" t="n">
        <v>0</v>
      </c>
    </row>
    <row r="1672" customFormat="false" ht="15" hidden="false" customHeight="false" outlineLevel="0" collapsed="false">
      <c r="A1672" s="3" t="n">
        <v>1671</v>
      </c>
      <c r="B1672" s="3" t="n">
        <v>1670</v>
      </c>
      <c r="C1672" s="3" t="n">
        <v>8</v>
      </c>
      <c r="D1672" s="3" t="n">
        <v>7</v>
      </c>
      <c r="E1672" s="3" t="n">
        <v>4</v>
      </c>
      <c r="F1672" s="24" t="n">
        <v>0</v>
      </c>
    </row>
    <row r="1673" customFormat="false" ht="15" hidden="false" customHeight="false" outlineLevel="0" collapsed="false">
      <c r="A1673" s="3" t="n">
        <v>1672</v>
      </c>
      <c r="B1673" s="3" t="n">
        <v>1671</v>
      </c>
      <c r="C1673" s="3" t="n">
        <v>8</v>
      </c>
      <c r="D1673" s="3" t="n">
        <v>7</v>
      </c>
      <c r="E1673" s="3" t="n">
        <v>5</v>
      </c>
      <c r="F1673" s="24" t="n">
        <v>0</v>
      </c>
    </row>
    <row r="1674" customFormat="false" ht="15" hidden="false" customHeight="false" outlineLevel="0" collapsed="false">
      <c r="A1674" s="3" t="n">
        <v>1673</v>
      </c>
      <c r="B1674" s="3" t="n">
        <v>1672</v>
      </c>
      <c r="C1674" s="3" t="n">
        <v>8</v>
      </c>
      <c r="D1674" s="3" t="n">
        <v>7</v>
      </c>
      <c r="E1674" s="3" t="n">
        <v>6</v>
      </c>
      <c r="F1674" s="24" t="n">
        <v>0</v>
      </c>
    </row>
    <row r="1675" customFormat="false" ht="15" hidden="false" customHeight="false" outlineLevel="0" collapsed="false">
      <c r="A1675" s="3" t="n">
        <v>1674</v>
      </c>
      <c r="B1675" s="3" t="n">
        <v>1673</v>
      </c>
      <c r="C1675" s="3" t="n">
        <v>8</v>
      </c>
      <c r="D1675" s="3" t="n">
        <v>7</v>
      </c>
      <c r="E1675" s="3" t="n">
        <v>7</v>
      </c>
      <c r="F1675" s="24" t="n">
        <v>0</v>
      </c>
    </row>
    <row r="1676" customFormat="false" ht="15" hidden="false" customHeight="false" outlineLevel="0" collapsed="false">
      <c r="A1676" s="3" t="n">
        <v>1675</v>
      </c>
      <c r="B1676" s="3" t="n">
        <v>1674</v>
      </c>
      <c r="C1676" s="3" t="n">
        <v>8</v>
      </c>
      <c r="D1676" s="3" t="n">
        <v>7</v>
      </c>
      <c r="E1676" s="3" t="n">
        <v>8</v>
      </c>
      <c r="F1676" s="24" t="n">
        <v>3.0446353</v>
      </c>
    </row>
    <row r="1677" customFormat="false" ht="15" hidden="false" customHeight="false" outlineLevel="0" collapsed="false">
      <c r="A1677" s="3" t="n">
        <v>1676</v>
      </c>
      <c r="B1677" s="3" t="n">
        <v>1675</v>
      </c>
      <c r="C1677" s="3" t="n">
        <v>8</v>
      </c>
      <c r="D1677" s="3" t="n">
        <v>7</v>
      </c>
      <c r="E1677" s="3" t="n">
        <v>9</v>
      </c>
      <c r="F1677" s="24" t="n">
        <v>1.57740843</v>
      </c>
    </row>
    <row r="1678" customFormat="false" ht="15" hidden="false" customHeight="false" outlineLevel="0" collapsed="false">
      <c r="A1678" s="3" t="n">
        <v>1677</v>
      </c>
      <c r="B1678" s="3" t="n">
        <v>1676</v>
      </c>
      <c r="C1678" s="3" t="n">
        <v>8</v>
      </c>
      <c r="D1678" s="3" t="n">
        <v>7</v>
      </c>
      <c r="E1678" s="3" t="n">
        <v>10</v>
      </c>
      <c r="F1678" s="24" t="n">
        <v>0</v>
      </c>
    </row>
    <row r="1679" customFormat="false" ht="15" hidden="false" customHeight="false" outlineLevel="0" collapsed="false">
      <c r="A1679" s="3" t="n">
        <v>1678</v>
      </c>
      <c r="B1679" s="3" t="n">
        <v>1677</v>
      </c>
      <c r="C1679" s="3" t="n">
        <v>8</v>
      </c>
      <c r="D1679" s="3" t="n">
        <v>7</v>
      </c>
      <c r="E1679" s="3" t="n">
        <v>11</v>
      </c>
      <c r="F1679" s="24" t="n">
        <v>0</v>
      </c>
    </row>
    <row r="1680" customFormat="false" ht="15" hidden="false" customHeight="false" outlineLevel="0" collapsed="false">
      <c r="A1680" s="3" t="n">
        <v>1679</v>
      </c>
      <c r="B1680" s="3" t="n">
        <v>1678</v>
      </c>
      <c r="C1680" s="3" t="n">
        <v>8</v>
      </c>
      <c r="D1680" s="3" t="n">
        <v>7</v>
      </c>
      <c r="E1680" s="3" t="n">
        <v>12</v>
      </c>
      <c r="F1680" s="24" t="n">
        <v>0</v>
      </c>
    </row>
    <row r="1681" customFormat="false" ht="15" hidden="false" customHeight="false" outlineLevel="0" collapsed="false">
      <c r="A1681" s="3" t="n">
        <v>1680</v>
      </c>
      <c r="B1681" s="3" t="n">
        <v>1679</v>
      </c>
      <c r="C1681" s="3" t="n">
        <v>8</v>
      </c>
      <c r="D1681" s="3" t="n">
        <v>7</v>
      </c>
      <c r="E1681" s="3" t="n">
        <v>13</v>
      </c>
      <c r="F1681" s="24" t="n">
        <v>0</v>
      </c>
    </row>
    <row r="1682" customFormat="false" ht="15" hidden="false" customHeight="false" outlineLevel="0" collapsed="false">
      <c r="A1682" s="3" t="n">
        <v>1681</v>
      </c>
      <c r="B1682" s="3" t="n">
        <v>1680</v>
      </c>
      <c r="C1682" s="3" t="n">
        <v>8</v>
      </c>
      <c r="D1682" s="3" t="n">
        <v>8</v>
      </c>
      <c r="E1682" s="3" t="n">
        <v>0</v>
      </c>
      <c r="F1682" s="24" t="n">
        <v>0</v>
      </c>
    </row>
    <row r="1683" customFormat="false" ht="15" hidden="false" customHeight="false" outlineLevel="0" collapsed="false">
      <c r="A1683" s="3" t="n">
        <v>1682</v>
      </c>
      <c r="B1683" s="3" t="n">
        <v>1681</v>
      </c>
      <c r="C1683" s="3" t="n">
        <v>8</v>
      </c>
      <c r="D1683" s="3" t="n">
        <v>8</v>
      </c>
      <c r="E1683" s="3" t="n">
        <v>1</v>
      </c>
      <c r="F1683" s="24" t="n">
        <v>0</v>
      </c>
    </row>
    <row r="1684" customFormat="false" ht="15" hidden="false" customHeight="false" outlineLevel="0" collapsed="false">
      <c r="A1684" s="3" t="n">
        <v>1683</v>
      </c>
      <c r="B1684" s="3" t="n">
        <v>1682</v>
      </c>
      <c r="C1684" s="3" t="n">
        <v>8</v>
      </c>
      <c r="D1684" s="3" t="n">
        <v>8</v>
      </c>
      <c r="E1684" s="3" t="n">
        <v>2</v>
      </c>
      <c r="F1684" s="24" t="n">
        <v>0</v>
      </c>
    </row>
    <row r="1685" customFormat="false" ht="15" hidden="false" customHeight="false" outlineLevel="0" collapsed="false">
      <c r="A1685" s="3" t="n">
        <v>1684</v>
      </c>
      <c r="B1685" s="3" t="n">
        <v>1683</v>
      </c>
      <c r="C1685" s="3" t="n">
        <v>8</v>
      </c>
      <c r="D1685" s="3" t="n">
        <v>8</v>
      </c>
      <c r="E1685" s="3" t="n">
        <v>3</v>
      </c>
      <c r="F1685" s="24" t="n">
        <v>0</v>
      </c>
    </row>
    <row r="1686" customFormat="false" ht="15" hidden="false" customHeight="false" outlineLevel="0" collapsed="false">
      <c r="A1686" s="3" t="n">
        <v>1685</v>
      </c>
      <c r="B1686" s="3" t="n">
        <v>1684</v>
      </c>
      <c r="C1686" s="3" t="n">
        <v>8</v>
      </c>
      <c r="D1686" s="3" t="n">
        <v>8</v>
      </c>
      <c r="E1686" s="3" t="n">
        <v>4</v>
      </c>
      <c r="F1686" s="24" t="n">
        <v>0</v>
      </c>
    </row>
    <row r="1687" customFormat="false" ht="15" hidden="false" customHeight="false" outlineLevel="0" collapsed="false">
      <c r="A1687" s="3" t="n">
        <v>1686</v>
      </c>
      <c r="B1687" s="3" t="n">
        <v>1685</v>
      </c>
      <c r="C1687" s="3" t="n">
        <v>8</v>
      </c>
      <c r="D1687" s="3" t="n">
        <v>8</v>
      </c>
      <c r="E1687" s="3" t="n">
        <v>5</v>
      </c>
      <c r="F1687" s="24" t="n">
        <v>0</v>
      </c>
    </row>
    <row r="1688" customFormat="false" ht="15" hidden="false" customHeight="false" outlineLevel="0" collapsed="false">
      <c r="A1688" s="3" t="n">
        <v>1687</v>
      </c>
      <c r="B1688" s="3" t="n">
        <v>1686</v>
      </c>
      <c r="C1688" s="3" t="n">
        <v>8</v>
      </c>
      <c r="D1688" s="3" t="n">
        <v>8</v>
      </c>
      <c r="E1688" s="3" t="n">
        <v>6</v>
      </c>
      <c r="F1688" s="24" t="n">
        <v>0</v>
      </c>
    </row>
    <row r="1689" customFormat="false" ht="15" hidden="false" customHeight="false" outlineLevel="0" collapsed="false">
      <c r="A1689" s="3" t="n">
        <v>1688</v>
      </c>
      <c r="B1689" s="3" t="n">
        <v>1687</v>
      </c>
      <c r="C1689" s="3" t="n">
        <v>8</v>
      </c>
      <c r="D1689" s="3" t="n">
        <v>8</v>
      </c>
      <c r="E1689" s="3" t="n">
        <v>7</v>
      </c>
      <c r="F1689" s="24" t="n">
        <v>0</v>
      </c>
    </row>
    <row r="1690" customFormat="false" ht="15" hidden="false" customHeight="false" outlineLevel="0" collapsed="false">
      <c r="A1690" s="3" t="n">
        <v>1689</v>
      </c>
      <c r="B1690" s="3" t="n">
        <v>1688</v>
      </c>
      <c r="C1690" s="3" t="n">
        <v>8</v>
      </c>
      <c r="D1690" s="3" t="n">
        <v>8</v>
      </c>
      <c r="E1690" s="3" t="n">
        <v>8</v>
      </c>
      <c r="F1690" s="24" t="n">
        <v>2.7174387</v>
      </c>
    </row>
    <row r="1691" customFormat="false" ht="15" hidden="false" customHeight="false" outlineLevel="0" collapsed="false">
      <c r="A1691" s="3" t="n">
        <v>1690</v>
      </c>
      <c r="B1691" s="3" t="n">
        <v>1689</v>
      </c>
      <c r="C1691" s="3" t="n">
        <v>8</v>
      </c>
      <c r="D1691" s="3" t="n">
        <v>8</v>
      </c>
      <c r="E1691" s="3" t="n">
        <v>9</v>
      </c>
      <c r="F1691" s="24" t="n">
        <v>0.409520447</v>
      </c>
    </row>
    <row r="1692" customFormat="false" ht="15" hidden="false" customHeight="false" outlineLevel="0" collapsed="false">
      <c r="A1692" s="3" t="n">
        <v>1691</v>
      </c>
      <c r="B1692" s="3" t="n">
        <v>1690</v>
      </c>
      <c r="C1692" s="3" t="n">
        <v>8</v>
      </c>
      <c r="D1692" s="3" t="n">
        <v>8</v>
      </c>
      <c r="E1692" s="3" t="n">
        <v>10</v>
      </c>
      <c r="F1692" s="24" t="n">
        <v>0</v>
      </c>
    </row>
    <row r="1693" customFormat="false" ht="15" hidden="false" customHeight="false" outlineLevel="0" collapsed="false">
      <c r="A1693" s="3" t="n">
        <v>1692</v>
      </c>
      <c r="B1693" s="3" t="n">
        <v>1691</v>
      </c>
      <c r="C1693" s="3" t="n">
        <v>8</v>
      </c>
      <c r="D1693" s="3" t="n">
        <v>8</v>
      </c>
      <c r="E1693" s="3" t="n">
        <v>11</v>
      </c>
      <c r="F1693" s="24" t="n">
        <v>0</v>
      </c>
    </row>
    <row r="1694" customFormat="false" ht="15" hidden="false" customHeight="false" outlineLevel="0" collapsed="false">
      <c r="A1694" s="3" t="n">
        <v>1693</v>
      </c>
      <c r="B1694" s="3" t="n">
        <v>1692</v>
      </c>
      <c r="C1694" s="3" t="n">
        <v>8</v>
      </c>
      <c r="D1694" s="3" t="n">
        <v>8</v>
      </c>
      <c r="E1694" s="3" t="n">
        <v>12</v>
      </c>
      <c r="F1694" s="24" t="n">
        <v>0</v>
      </c>
    </row>
    <row r="1695" customFormat="false" ht="15" hidden="false" customHeight="false" outlineLevel="0" collapsed="false">
      <c r="A1695" s="3" t="n">
        <v>1694</v>
      </c>
      <c r="B1695" s="3" t="n">
        <v>1693</v>
      </c>
      <c r="C1695" s="3" t="n">
        <v>8</v>
      </c>
      <c r="D1695" s="3" t="n">
        <v>8</v>
      </c>
      <c r="E1695" s="3" t="n">
        <v>13</v>
      </c>
      <c r="F1695" s="24" t="n">
        <v>0</v>
      </c>
    </row>
    <row r="1696" customFormat="false" ht="15" hidden="false" customHeight="false" outlineLevel="0" collapsed="false">
      <c r="A1696" s="3" t="n">
        <v>1695</v>
      </c>
      <c r="B1696" s="3" t="n">
        <v>1694</v>
      </c>
      <c r="C1696" s="3" t="n">
        <v>8</v>
      </c>
      <c r="D1696" s="3" t="n">
        <v>9</v>
      </c>
      <c r="E1696" s="3" t="n">
        <v>0</v>
      </c>
      <c r="F1696" s="24" t="n">
        <v>0</v>
      </c>
    </row>
    <row r="1697" customFormat="false" ht="15" hidden="false" customHeight="false" outlineLevel="0" collapsed="false">
      <c r="A1697" s="3" t="n">
        <v>1696</v>
      </c>
      <c r="B1697" s="3" t="n">
        <v>1695</v>
      </c>
      <c r="C1697" s="3" t="n">
        <v>8</v>
      </c>
      <c r="D1697" s="3" t="n">
        <v>9</v>
      </c>
      <c r="E1697" s="3" t="n">
        <v>1</v>
      </c>
      <c r="F1697" s="24" t="n">
        <v>0</v>
      </c>
    </row>
    <row r="1698" customFormat="false" ht="15" hidden="false" customHeight="false" outlineLevel="0" collapsed="false">
      <c r="A1698" s="3" t="n">
        <v>1697</v>
      </c>
      <c r="B1698" s="3" t="n">
        <v>1696</v>
      </c>
      <c r="C1698" s="3" t="n">
        <v>8</v>
      </c>
      <c r="D1698" s="3" t="n">
        <v>9</v>
      </c>
      <c r="E1698" s="3" t="n">
        <v>2</v>
      </c>
      <c r="F1698" s="24" t="n">
        <v>0</v>
      </c>
    </row>
    <row r="1699" customFormat="false" ht="15" hidden="false" customHeight="false" outlineLevel="0" collapsed="false">
      <c r="A1699" s="3" t="n">
        <v>1698</v>
      </c>
      <c r="B1699" s="3" t="n">
        <v>1697</v>
      </c>
      <c r="C1699" s="3" t="n">
        <v>8</v>
      </c>
      <c r="D1699" s="3" t="n">
        <v>9</v>
      </c>
      <c r="E1699" s="3" t="n">
        <v>3</v>
      </c>
      <c r="F1699" s="24" t="n">
        <v>0</v>
      </c>
    </row>
    <row r="1700" customFormat="false" ht="15" hidden="false" customHeight="false" outlineLevel="0" collapsed="false">
      <c r="A1700" s="3" t="n">
        <v>1699</v>
      </c>
      <c r="B1700" s="3" t="n">
        <v>1698</v>
      </c>
      <c r="C1700" s="3" t="n">
        <v>8</v>
      </c>
      <c r="D1700" s="3" t="n">
        <v>9</v>
      </c>
      <c r="E1700" s="3" t="n">
        <v>4</v>
      </c>
      <c r="F1700" s="24" t="n">
        <v>0</v>
      </c>
    </row>
    <row r="1701" customFormat="false" ht="15" hidden="false" customHeight="false" outlineLevel="0" collapsed="false">
      <c r="A1701" s="3" t="n">
        <v>1700</v>
      </c>
      <c r="B1701" s="3" t="n">
        <v>1699</v>
      </c>
      <c r="C1701" s="3" t="n">
        <v>8</v>
      </c>
      <c r="D1701" s="3" t="n">
        <v>9</v>
      </c>
      <c r="E1701" s="3" t="n">
        <v>5</v>
      </c>
      <c r="F1701" s="24" t="n">
        <v>0</v>
      </c>
    </row>
    <row r="1702" customFormat="false" ht="15" hidden="false" customHeight="false" outlineLevel="0" collapsed="false">
      <c r="A1702" s="3" t="n">
        <v>1701</v>
      </c>
      <c r="B1702" s="3" t="n">
        <v>1700</v>
      </c>
      <c r="C1702" s="3" t="n">
        <v>8</v>
      </c>
      <c r="D1702" s="3" t="n">
        <v>9</v>
      </c>
      <c r="E1702" s="3" t="n">
        <v>6</v>
      </c>
      <c r="F1702" s="24" t="n">
        <v>0</v>
      </c>
    </row>
    <row r="1703" customFormat="false" ht="15" hidden="false" customHeight="false" outlineLevel="0" collapsed="false">
      <c r="A1703" s="3" t="n">
        <v>1702</v>
      </c>
      <c r="B1703" s="3" t="n">
        <v>1701</v>
      </c>
      <c r="C1703" s="3" t="n">
        <v>8</v>
      </c>
      <c r="D1703" s="3" t="n">
        <v>9</v>
      </c>
      <c r="E1703" s="3" t="n">
        <v>7</v>
      </c>
      <c r="F1703" s="24" t="n">
        <v>1.41012621</v>
      </c>
    </row>
    <row r="1704" customFormat="false" ht="15" hidden="false" customHeight="false" outlineLevel="0" collapsed="false">
      <c r="A1704" s="3" t="n">
        <v>1703</v>
      </c>
      <c r="B1704" s="3" t="n">
        <v>1702</v>
      </c>
      <c r="C1704" s="3" t="n">
        <v>8</v>
      </c>
      <c r="D1704" s="3" t="n">
        <v>9</v>
      </c>
      <c r="E1704" s="3" t="n">
        <v>8</v>
      </c>
      <c r="F1704" s="24" t="n">
        <v>1.09048665</v>
      </c>
    </row>
    <row r="1705" customFormat="false" ht="15" hidden="false" customHeight="false" outlineLevel="0" collapsed="false">
      <c r="A1705" s="3" t="n">
        <v>1704</v>
      </c>
      <c r="B1705" s="3" t="n">
        <v>1703</v>
      </c>
      <c r="C1705" s="3" t="n">
        <v>8</v>
      </c>
      <c r="D1705" s="3" t="n">
        <v>9</v>
      </c>
      <c r="E1705" s="3" t="n">
        <v>9</v>
      </c>
      <c r="F1705" s="24" t="n">
        <v>0</v>
      </c>
    </row>
    <row r="1706" customFormat="false" ht="15" hidden="false" customHeight="false" outlineLevel="0" collapsed="false">
      <c r="A1706" s="3" t="n">
        <v>1705</v>
      </c>
      <c r="B1706" s="3" t="n">
        <v>1704</v>
      </c>
      <c r="C1706" s="3" t="n">
        <v>8</v>
      </c>
      <c r="D1706" s="3" t="n">
        <v>9</v>
      </c>
      <c r="E1706" s="3" t="n">
        <v>10</v>
      </c>
      <c r="F1706" s="24" t="n">
        <v>0</v>
      </c>
    </row>
    <row r="1707" customFormat="false" ht="15" hidden="false" customHeight="false" outlineLevel="0" collapsed="false">
      <c r="A1707" s="3" t="n">
        <v>1706</v>
      </c>
      <c r="B1707" s="3" t="n">
        <v>1705</v>
      </c>
      <c r="C1707" s="3" t="n">
        <v>8</v>
      </c>
      <c r="D1707" s="3" t="n">
        <v>9</v>
      </c>
      <c r="E1707" s="3" t="n">
        <v>11</v>
      </c>
      <c r="F1707" s="24" t="n">
        <v>0</v>
      </c>
    </row>
    <row r="1708" customFormat="false" ht="15" hidden="false" customHeight="false" outlineLevel="0" collapsed="false">
      <c r="A1708" s="3" t="n">
        <v>1707</v>
      </c>
      <c r="B1708" s="3" t="n">
        <v>1706</v>
      </c>
      <c r="C1708" s="3" t="n">
        <v>8</v>
      </c>
      <c r="D1708" s="3" t="n">
        <v>9</v>
      </c>
      <c r="E1708" s="3" t="n">
        <v>12</v>
      </c>
      <c r="F1708" s="24" t="n">
        <v>0</v>
      </c>
    </row>
    <row r="1709" customFormat="false" ht="15" hidden="false" customHeight="false" outlineLevel="0" collapsed="false">
      <c r="A1709" s="3" t="n">
        <v>1708</v>
      </c>
      <c r="B1709" s="3" t="n">
        <v>1707</v>
      </c>
      <c r="C1709" s="3" t="n">
        <v>8</v>
      </c>
      <c r="D1709" s="3" t="n">
        <v>9</v>
      </c>
      <c r="E1709" s="3" t="n">
        <v>13</v>
      </c>
      <c r="F1709" s="24" t="n">
        <v>0</v>
      </c>
    </row>
    <row r="1710" customFormat="false" ht="15" hidden="false" customHeight="false" outlineLevel="0" collapsed="false">
      <c r="A1710" s="3" t="n">
        <v>1709</v>
      </c>
      <c r="B1710" s="3" t="n">
        <v>1708</v>
      </c>
      <c r="C1710" s="3" t="n">
        <v>8</v>
      </c>
      <c r="D1710" s="3" t="n">
        <v>10</v>
      </c>
      <c r="E1710" s="3" t="n">
        <v>0</v>
      </c>
      <c r="F1710" s="24" t="n">
        <v>0</v>
      </c>
    </row>
    <row r="1711" customFormat="false" ht="15" hidden="false" customHeight="false" outlineLevel="0" collapsed="false">
      <c r="A1711" s="3" t="n">
        <v>1710</v>
      </c>
      <c r="B1711" s="3" t="n">
        <v>1709</v>
      </c>
      <c r="C1711" s="3" t="n">
        <v>8</v>
      </c>
      <c r="D1711" s="3" t="n">
        <v>10</v>
      </c>
      <c r="E1711" s="3" t="n">
        <v>1</v>
      </c>
      <c r="F1711" s="24" t="n">
        <v>0</v>
      </c>
    </row>
    <row r="1712" customFormat="false" ht="15" hidden="false" customHeight="false" outlineLevel="0" collapsed="false">
      <c r="A1712" s="3" t="n">
        <v>1711</v>
      </c>
      <c r="B1712" s="3" t="n">
        <v>1710</v>
      </c>
      <c r="C1712" s="3" t="n">
        <v>8</v>
      </c>
      <c r="D1712" s="3" t="n">
        <v>10</v>
      </c>
      <c r="E1712" s="3" t="n">
        <v>2</v>
      </c>
      <c r="F1712" s="24" t="n">
        <v>0</v>
      </c>
    </row>
    <row r="1713" customFormat="false" ht="15" hidden="false" customHeight="false" outlineLevel="0" collapsed="false">
      <c r="A1713" s="3" t="n">
        <v>1712</v>
      </c>
      <c r="B1713" s="3" t="n">
        <v>1711</v>
      </c>
      <c r="C1713" s="3" t="n">
        <v>8</v>
      </c>
      <c r="D1713" s="3" t="n">
        <v>10</v>
      </c>
      <c r="E1713" s="3" t="n">
        <v>3</v>
      </c>
      <c r="F1713" s="24" t="n">
        <v>0</v>
      </c>
    </row>
    <row r="1714" customFormat="false" ht="15" hidden="false" customHeight="false" outlineLevel="0" collapsed="false">
      <c r="A1714" s="3" t="n">
        <v>1713</v>
      </c>
      <c r="B1714" s="3" t="n">
        <v>1712</v>
      </c>
      <c r="C1714" s="3" t="n">
        <v>8</v>
      </c>
      <c r="D1714" s="3" t="n">
        <v>10</v>
      </c>
      <c r="E1714" s="3" t="n">
        <v>4</v>
      </c>
      <c r="F1714" s="24" t="n">
        <v>0</v>
      </c>
    </row>
    <row r="1715" customFormat="false" ht="15" hidden="false" customHeight="false" outlineLevel="0" collapsed="false">
      <c r="A1715" s="3" t="n">
        <v>1714</v>
      </c>
      <c r="B1715" s="3" t="n">
        <v>1713</v>
      </c>
      <c r="C1715" s="3" t="n">
        <v>8</v>
      </c>
      <c r="D1715" s="3" t="n">
        <v>10</v>
      </c>
      <c r="E1715" s="3" t="n">
        <v>5</v>
      </c>
      <c r="F1715" s="24" t="n">
        <v>0</v>
      </c>
    </row>
    <row r="1716" customFormat="false" ht="15" hidden="false" customHeight="false" outlineLevel="0" collapsed="false">
      <c r="A1716" s="3" t="n">
        <v>1715</v>
      </c>
      <c r="B1716" s="3" t="n">
        <v>1714</v>
      </c>
      <c r="C1716" s="3" t="n">
        <v>8</v>
      </c>
      <c r="D1716" s="3" t="n">
        <v>10</v>
      </c>
      <c r="E1716" s="3" t="n">
        <v>6</v>
      </c>
      <c r="F1716" s="24" t="n">
        <v>1.95171916</v>
      </c>
    </row>
    <row r="1717" customFormat="false" ht="15" hidden="false" customHeight="false" outlineLevel="0" collapsed="false">
      <c r="A1717" s="3" t="n">
        <v>1716</v>
      </c>
      <c r="B1717" s="3" t="n">
        <v>1715</v>
      </c>
      <c r="C1717" s="3" t="n">
        <v>8</v>
      </c>
      <c r="D1717" s="3" t="n">
        <v>10</v>
      </c>
      <c r="E1717" s="3" t="n">
        <v>7</v>
      </c>
      <c r="F1717" s="24" t="n">
        <v>0.827918172</v>
      </c>
    </row>
    <row r="1718" customFormat="false" ht="15" hidden="false" customHeight="false" outlineLevel="0" collapsed="false">
      <c r="A1718" s="3" t="n">
        <v>1717</v>
      </c>
      <c r="B1718" s="3" t="n">
        <v>1716</v>
      </c>
      <c r="C1718" s="3" t="n">
        <v>8</v>
      </c>
      <c r="D1718" s="3" t="n">
        <v>10</v>
      </c>
      <c r="E1718" s="3" t="n">
        <v>8</v>
      </c>
      <c r="F1718" s="24" t="n">
        <v>0</v>
      </c>
    </row>
    <row r="1719" customFormat="false" ht="15" hidden="false" customHeight="false" outlineLevel="0" collapsed="false">
      <c r="A1719" s="3" t="n">
        <v>1718</v>
      </c>
      <c r="B1719" s="3" t="n">
        <v>1717</v>
      </c>
      <c r="C1719" s="3" t="n">
        <v>8</v>
      </c>
      <c r="D1719" s="3" t="n">
        <v>10</v>
      </c>
      <c r="E1719" s="3" t="n">
        <v>9</v>
      </c>
      <c r="F1719" s="24" t="n">
        <v>0</v>
      </c>
    </row>
    <row r="1720" customFormat="false" ht="15" hidden="false" customHeight="false" outlineLevel="0" collapsed="false">
      <c r="A1720" s="3" t="n">
        <v>1719</v>
      </c>
      <c r="B1720" s="3" t="n">
        <v>1718</v>
      </c>
      <c r="C1720" s="3" t="n">
        <v>8</v>
      </c>
      <c r="D1720" s="3" t="n">
        <v>10</v>
      </c>
      <c r="E1720" s="3" t="n">
        <v>10</v>
      </c>
      <c r="F1720" s="24" t="n">
        <v>0</v>
      </c>
    </row>
    <row r="1721" customFormat="false" ht="15" hidden="false" customHeight="false" outlineLevel="0" collapsed="false">
      <c r="A1721" s="3" t="n">
        <v>1720</v>
      </c>
      <c r="B1721" s="3" t="n">
        <v>1719</v>
      </c>
      <c r="C1721" s="3" t="n">
        <v>8</v>
      </c>
      <c r="D1721" s="3" t="n">
        <v>10</v>
      </c>
      <c r="E1721" s="3" t="n">
        <v>11</v>
      </c>
      <c r="F1721" s="24" t="n">
        <v>0</v>
      </c>
    </row>
    <row r="1722" customFormat="false" ht="15" hidden="false" customHeight="false" outlineLevel="0" collapsed="false">
      <c r="A1722" s="3" t="n">
        <v>1721</v>
      </c>
      <c r="B1722" s="3" t="n">
        <v>1720</v>
      </c>
      <c r="C1722" s="3" t="n">
        <v>8</v>
      </c>
      <c r="D1722" s="3" t="n">
        <v>10</v>
      </c>
      <c r="E1722" s="3" t="n">
        <v>12</v>
      </c>
      <c r="F1722" s="24" t="n">
        <v>0</v>
      </c>
    </row>
    <row r="1723" customFormat="false" ht="15" hidden="false" customHeight="false" outlineLevel="0" collapsed="false">
      <c r="A1723" s="3" t="n">
        <v>1722</v>
      </c>
      <c r="B1723" s="3" t="n">
        <v>1721</v>
      </c>
      <c r="C1723" s="3" t="n">
        <v>8</v>
      </c>
      <c r="D1723" s="3" t="n">
        <v>10</v>
      </c>
      <c r="E1723" s="3" t="n">
        <v>13</v>
      </c>
      <c r="F1723" s="24" t="n">
        <v>0</v>
      </c>
    </row>
    <row r="1724" customFormat="false" ht="15" hidden="false" customHeight="false" outlineLevel="0" collapsed="false">
      <c r="A1724" s="3" t="n">
        <v>1723</v>
      </c>
      <c r="B1724" s="3" t="n">
        <v>1722</v>
      </c>
      <c r="C1724" s="3" t="n">
        <v>8</v>
      </c>
      <c r="D1724" s="3" t="n">
        <v>11</v>
      </c>
      <c r="E1724" s="3" t="n">
        <v>0</v>
      </c>
      <c r="F1724" s="24" t="n">
        <v>0</v>
      </c>
    </row>
    <row r="1725" customFormat="false" ht="15" hidden="false" customHeight="false" outlineLevel="0" collapsed="false">
      <c r="A1725" s="3" t="n">
        <v>1724</v>
      </c>
      <c r="B1725" s="3" t="n">
        <v>1723</v>
      </c>
      <c r="C1725" s="3" t="n">
        <v>8</v>
      </c>
      <c r="D1725" s="3" t="n">
        <v>11</v>
      </c>
      <c r="E1725" s="3" t="n">
        <v>1</v>
      </c>
      <c r="F1725" s="24" t="n">
        <v>0</v>
      </c>
    </row>
    <row r="1726" customFormat="false" ht="15" hidden="false" customHeight="false" outlineLevel="0" collapsed="false">
      <c r="A1726" s="3" t="n">
        <v>1725</v>
      </c>
      <c r="B1726" s="3" t="n">
        <v>1724</v>
      </c>
      <c r="C1726" s="3" t="n">
        <v>8</v>
      </c>
      <c r="D1726" s="3" t="n">
        <v>11</v>
      </c>
      <c r="E1726" s="3" t="n">
        <v>2</v>
      </c>
      <c r="F1726" s="24" t="n">
        <v>0</v>
      </c>
    </row>
    <row r="1727" customFormat="false" ht="15" hidden="false" customHeight="false" outlineLevel="0" collapsed="false">
      <c r="A1727" s="3" t="n">
        <v>1726</v>
      </c>
      <c r="B1727" s="3" t="n">
        <v>1725</v>
      </c>
      <c r="C1727" s="3" t="n">
        <v>8</v>
      </c>
      <c r="D1727" s="3" t="n">
        <v>11</v>
      </c>
      <c r="E1727" s="3" t="n">
        <v>3</v>
      </c>
      <c r="F1727" s="24" t="n">
        <v>0</v>
      </c>
    </row>
    <row r="1728" customFormat="false" ht="15" hidden="false" customHeight="false" outlineLevel="0" collapsed="false">
      <c r="A1728" s="3" t="n">
        <v>1727</v>
      </c>
      <c r="B1728" s="3" t="n">
        <v>1726</v>
      </c>
      <c r="C1728" s="3" t="n">
        <v>8</v>
      </c>
      <c r="D1728" s="3" t="n">
        <v>11</v>
      </c>
      <c r="E1728" s="3" t="n">
        <v>4</v>
      </c>
      <c r="F1728" s="24" t="n">
        <v>0</v>
      </c>
    </row>
    <row r="1729" customFormat="false" ht="15" hidden="false" customHeight="false" outlineLevel="0" collapsed="false">
      <c r="A1729" s="3" t="n">
        <v>1728</v>
      </c>
      <c r="B1729" s="3" t="n">
        <v>1727</v>
      </c>
      <c r="C1729" s="3" t="n">
        <v>8</v>
      </c>
      <c r="D1729" s="3" t="n">
        <v>11</v>
      </c>
      <c r="E1729" s="3" t="n">
        <v>5</v>
      </c>
      <c r="F1729" s="24" t="n">
        <v>2.44115138</v>
      </c>
    </row>
    <row r="1730" customFormat="false" ht="15" hidden="false" customHeight="false" outlineLevel="0" collapsed="false">
      <c r="A1730" s="3" t="n">
        <v>1729</v>
      </c>
      <c r="B1730" s="3" t="n">
        <v>1728</v>
      </c>
      <c r="C1730" s="3" t="n">
        <v>8</v>
      </c>
      <c r="D1730" s="3" t="n">
        <v>11</v>
      </c>
      <c r="E1730" s="3" t="n">
        <v>6</v>
      </c>
      <c r="F1730" s="24" t="n">
        <v>5.06260061</v>
      </c>
    </row>
    <row r="1731" customFormat="false" ht="15" hidden="false" customHeight="false" outlineLevel="0" collapsed="false">
      <c r="A1731" s="3" t="n">
        <v>1730</v>
      </c>
      <c r="B1731" s="3" t="n">
        <v>1729</v>
      </c>
      <c r="C1731" s="3" t="n">
        <v>8</v>
      </c>
      <c r="D1731" s="3" t="n">
        <v>11</v>
      </c>
      <c r="E1731" s="3" t="n">
        <v>7</v>
      </c>
      <c r="F1731" s="24" t="n">
        <v>0.673649609</v>
      </c>
    </row>
    <row r="1732" customFormat="false" ht="15" hidden="false" customHeight="false" outlineLevel="0" collapsed="false">
      <c r="A1732" s="3" t="n">
        <v>1731</v>
      </c>
      <c r="B1732" s="3" t="n">
        <v>1730</v>
      </c>
      <c r="C1732" s="3" t="n">
        <v>8</v>
      </c>
      <c r="D1732" s="3" t="n">
        <v>11</v>
      </c>
      <c r="E1732" s="3" t="n">
        <v>8</v>
      </c>
      <c r="F1732" s="24" t="n">
        <v>0</v>
      </c>
    </row>
    <row r="1733" customFormat="false" ht="15" hidden="false" customHeight="false" outlineLevel="0" collapsed="false">
      <c r="A1733" s="3" t="n">
        <v>1732</v>
      </c>
      <c r="B1733" s="3" t="n">
        <v>1731</v>
      </c>
      <c r="C1733" s="3" t="n">
        <v>8</v>
      </c>
      <c r="D1733" s="3" t="n">
        <v>11</v>
      </c>
      <c r="E1733" s="3" t="n">
        <v>9</v>
      </c>
      <c r="F1733" s="24" t="n">
        <v>0</v>
      </c>
    </row>
    <row r="1734" customFormat="false" ht="15" hidden="false" customHeight="false" outlineLevel="0" collapsed="false">
      <c r="A1734" s="3" t="n">
        <v>1733</v>
      </c>
      <c r="B1734" s="3" t="n">
        <v>1732</v>
      </c>
      <c r="C1734" s="3" t="n">
        <v>8</v>
      </c>
      <c r="D1734" s="3" t="n">
        <v>11</v>
      </c>
      <c r="E1734" s="3" t="n">
        <v>10</v>
      </c>
      <c r="F1734" s="24" t="n">
        <v>0</v>
      </c>
    </row>
    <row r="1735" customFormat="false" ht="15" hidden="false" customHeight="false" outlineLevel="0" collapsed="false">
      <c r="A1735" s="3" t="n">
        <v>1734</v>
      </c>
      <c r="B1735" s="3" t="n">
        <v>1733</v>
      </c>
      <c r="C1735" s="3" t="n">
        <v>8</v>
      </c>
      <c r="D1735" s="3" t="n">
        <v>11</v>
      </c>
      <c r="E1735" s="3" t="n">
        <v>11</v>
      </c>
      <c r="F1735" s="24" t="n">
        <v>0</v>
      </c>
    </row>
    <row r="1736" customFormat="false" ht="15" hidden="false" customHeight="false" outlineLevel="0" collapsed="false">
      <c r="A1736" s="3" t="n">
        <v>1735</v>
      </c>
      <c r="B1736" s="3" t="n">
        <v>1734</v>
      </c>
      <c r="C1736" s="3" t="n">
        <v>8</v>
      </c>
      <c r="D1736" s="3" t="n">
        <v>11</v>
      </c>
      <c r="E1736" s="3" t="n">
        <v>12</v>
      </c>
      <c r="F1736" s="24" t="n">
        <v>0</v>
      </c>
    </row>
    <row r="1737" customFormat="false" ht="15" hidden="false" customHeight="false" outlineLevel="0" collapsed="false">
      <c r="A1737" s="3" t="n">
        <v>1736</v>
      </c>
      <c r="B1737" s="3" t="n">
        <v>1735</v>
      </c>
      <c r="C1737" s="3" t="n">
        <v>8</v>
      </c>
      <c r="D1737" s="3" t="n">
        <v>11</v>
      </c>
      <c r="E1737" s="3" t="n">
        <v>13</v>
      </c>
      <c r="F1737" s="24" t="n">
        <v>0</v>
      </c>
    </row>
    <row r="1738" customFormat="false" ht="15" hidden="false" customHeight="false" outlineLevel="0" collapsed="false">
      <c r="A1738" s="3" t="n">
        <v>1737</v>
      </c>
      <c r="B1738" s="3" t="n">
        <v>1736</v>
      </c>
      <c r="C1738" s="3" t="n">
        <v>8</v>
      </c>
      <c r="D1738" s="3" t="n">
        <v>12</v>
      </c>
      <c r="E1738" s="3" t="n">
        <v>0</v>
      </c>
      <c r="F1738" s="24" t="n">
        <v>0</v>
      </c>
    </row>
    <row r="1739" customFormat="false" ht="15" hidden="false" customHeight="false" outlineLevel="0" collapsed="false">
      <c r="A1739" s="3" t="n">
        <v>1738</v>
      </c>
      <c r="B1739" s="3" t="n">
        <v>1737</v>
      </c>
      <c r="C1739" s="3" t="n">
        <v>8</v>
      </c>
      <c r="D1739" s="3" t="n">
        <v>12</v>
      </c>
      <c r="E1739" s="3" t="n">
        <v>1</v>
      </c>
      <c r="F1739" s="24" t="n">
        <v>0</v>
      </c>
    </row>
    <row r="1740" customFormat="false" ht="15" hidden="false" customHeight="false" outlineLevel="0" collapsed="false">
      <c r="A1740" s="3" t="n">
        <v>1739</v>
      </c>
      <c r="B1740" s="3" t="n">
        <v>1738</v>
      </c>
      <c r="C1740" s="3" t="n">
        <v>8</v>
      </c>
      <c r="D1740" s="3" t="n">
        <v>12</v>
      </c>
      <c r="E1740" s="3" t="n">
        <v>2</v>
      </c>
      <c r="F1740" s="24" t="n">
        <v>0</v>
      </c>
    </row>
    <row r="1741" customFormat="false" ht="15" hidden="false" customHeight="false" outlineLevel="0" collapsed="false">
      <c r="A1741" s="3" t="n">
        <v>1740</v>
      </c>
      <c r="B1741" s="3" t="n">
        <v>1739</v>
      </c>
      <c r="C1741" s="3" t="n">
        <v>8</v>
      </c>
      <c r="D1741" s="3" t="n">
        <v>12</v>
      </c>
      <c r="E1741" s="3" t="n">
        <v>3</v>
      </c>
      <c r="F1741" s="24" t="n">
        <v>0</v>
      </c>
    </row>
    <row r="1742" customFormat="false" ht="15" hidden="false" customHeight="false" outlineLevel="0" collapsed="false">
      <c r="A1742" s="3" t="n">
        <v>1741</v>
      </c>
      <c r="B1742" s="3" t="n">
        <v>1740</v>
      </c>
      <c r="C1742" s="3" t="n">
        <v>8</v>
      </c>
      <c r="D1742" s="3" t="n">
        <v>12</v>
      </c>
      <c r="E1742" s="3" t="n">
        <v>4</v>
      </c>
      <c r="F1742" s="24" t="n">
        <v>0</v>
      </c>
    </row>
    <row r="1743" customFormat="false" ht="15" hidden="false" customHeight="false" outlineLevel="0" collapsed="false">
      <c r="A1743" s="3" t="n">
        <v>1742</v>
      </c>
      <c r="B1743" s="3" t="n">
        <v>1741</v>
      </c>
      <c r="C1743" s="3" t="n">
        <v>8</v>
      </c>
      <c r="D1743" s="3" t="n">
        <v>12</v>
      </c>
      <c r="E1743" s="3" t="n">
        <v>5</v>
      </c>
      <c r="F1743" s="24" t="n">
        <v>2.50091815</v>
      </c>
    </row>
    <row r="1744" customFormat="false" ht="15" hidden="false" customHeight="false" outlineLevel="0" collapsed="false">
      <c r="A1744" s="3" t="n">
        <v>1743</v>
      </c>
      <c r="B1744" s="3" t="n">
        <v>1742</v>
      </c>
      <c r="C1744" s="3" t="n">
        <v>8</v>
      </c>
      <c r="D1744" s="3" t="n">
        <v>12</v>
      </c>
      <c r="E1744" s="3" t="n">
        <v>6</v>
      </c>
      <c r="F1744" s="24" t="n">
        <v>3.1841886</v>
      </c>
    </row>
    <row r="1745" customFormat="false" ht="15" hidden="false" customHeight="false" outlineLevel="0" collapsed="false">
      <c r="A1745" s="3" t="n">
        <v>1744</v>
      </c>
      <c r="B1745" s="3" t="n">
        <v>1743</v>
      </c>
      <c r="C1745" s="3" t="n">
        <v>8</v>
      </c>
      <c r="D1745" s="3" t="n">
        <v>12</v>
      </c>
      <c r="E1745" s="3" t="n">
        <v>7</v>
      </c>
      <c r="F1745" s="24" t="n">
        <v>0</v>
      </c>
    </row>
    <row r="1746" customFormat="false" ht="15" hidden="false" customHeight="false" outlineLevel="0" collapsed="false">
      <c r="A1746" s="3" t="n">
        <v>1745</v>
      </c>
      <c r="B1746" s="3" t="n">
        <v>1744</v>
      </c>
      <c r="C1746" s="3" t="n">
        <v>8</v>
      </c>
      <c r="D1746" s="3" t="n">
        <v>12</v>
      </c>
      <c r="E1746" s="3" t="n">
        <v>8</v>
      </c>
      <c r="F1746" s="24" t="n">
        <v>0</v>
      </c>
    </row>
    <row r="1747" customFormat="false" ht="15" hidden="false" customHeight="false" outlineLevel="0" collapsed="false">
      <c r="A1747" s="3" t="n">
        <v>1746</v>
      </c>
      <c r="B1747" s="3" t="n">
        <v>1745</v>
      </c>
      <c r="C1747" s="3" t="n">
        <v>8</v>
      </c>
      <c r="D1747" s="3" t="n">
        <v>12</v>
      </c>
      <c r="E1747" s="3" t="n">
        <v>9</v>
      </c>
      <c r="F1747" s="24" t="n">
        <v>0</v>
      </c>
    </row>
    <row r="1748" customFormat="false" ht="15" hidden="false" customHeight="false" outlineLevel="0" collapsed="false">
      <c r="A1748" s="3" t="n">
        <v>1747</v>
      </c>
      <c r="B1748" s="3" t="n">
        <v>1746</v>
      </c>
      <c r="C1748" s="3" t="n">
        <v>8</v>
      </c>
      <c r="D1748" s="3" t="n">
        <v>12</v>
      </c>
      <c r="E1748" s="3" t="n">
        <v>10</v>
      </c>
      <c r="F1748" s="24" t="n">
        <v>0</v>
      </c>
    </row>
    <row r="1749" customFormat="false" ht="15" hidden="false" customHeight="false" outlineLevel="0" collapsed="false">
      <c r="A1749" s="3" t="n">
        <v>1748</v>
      </c>
      <c r="B1749" s="3" t="n">
        <v>1747</v>
      </c>
      <c r="C1749" s="3" t="n">
        <v>8</v>
      </c>
      <c r="D1749" s="3" t="n">
        <v>12</v>
      </c>
      <c r="E1749" s="3" t="n">
        <v>11</v>
      </c>
      <c r="F1749" s="24" t="n">
        <v>0</v>
      </c>
    </row>
    <row r="1750" customFormat="false" ht="15" hidden="false" customHeight="false" outlineLevel="0" collapsed="false">
      <c r="A1750" s="3" t="n">
        <v>1749</v>
      </c>
      <c r="B1750" s="3" t="n">
        <v>1748</v>
      </c>
      <c r="C1750" s="3" t="n">
        <v>8</v>
      </c>
      <c r="D1750" s="3" t="n">
        <v>12</v>
      </c>
      <c r="E1750" s="3" t="n">
        <v>12</v>
      </c>
      <c r="F1750" s="24" t="n">
        <v>0</v>
      </c>
    </row>
    <row r="1751" customFormat="false" ht="15" hidden="false" customHeight="false" outlineLevel="0" collapsed="false">
      <c r="A1751" s="3" t="n">
        <v>1750</v>
      </c>
      <c r="B1751" s="3" t="n">
        <v>1749</v>
      </c>
      <c r="C1751" s="3" t="n">
        <v>8</v>
      </c>
      <c r="D1751" s="3" t="n">
        <v>12</v>
      </c>
      <c r="E1751" s="3" t="n">
        <v>13</v>
      </c>
      <c r="F1751" s="24" t="n">
        <v>0</v>
      </c>
    </row>
    <row r="1752" customFormat="false" ht="15" hidden="false" customHeight="false" outlineLevel="0" collapsed="false">
      <c r="A1752" s="3" t="n">
        <v>1751</v>
      </c>
      <c r="B1752" s="3" t="n">
        <v>1750</v>
      </c>
      <c r="C1752" s="3" t="n">
        <v>8</v>
      </c>
      <c r="D1752" s="3" t="n">
        <v>13</v>
      </c>
      <c r="E1752" s="3" t="n">
        <v>0</v>
      </c>
      <c r="F1752" s="24" t="n">
        <v>0</v>
      </c>
    </row>
    <row r="1753" customFormat="false" ht="15" hidden="false" customHeight="false" outlineLevel="0" collapsed="false">
      <c r="A1753" s="3" t="n">
        <v>1752</v>
      </c>
      <c r="B1753" s="3" t="n">
        <v>1751</v>
      </c>
      <c r="C1753" s="3" t="n">
        <v>8</v>
      </c>
      <c r="D1753" s="3" t="n">
        <v>13</v>
      </c>
      <c r="E1753" s="3" t="n">
        <v>1</v>
      </c>
      <c r="F1753" s="24" t="n">
        <v>0</v>
      </c>
    </row>
    <row r="1754" customFormat="false" ht="15" hidden="false" customHeight="false" outlineLevel="0" collapsed="false">
      <c r="A1754" s="3" t="n">
        <v>1753</v>
      </c>
      <c r="B1754" s="3" t="n">
        <v>1752</v>
      </c>
      <c r="C1754" s="3" t="n">
        <v>8</v>
      </c>
      <c r="D1754" s="3" t="n">
        <v>13</v>
      </c>
      <c r="E1754" s="3" t="n">
        <v>2</v>
      </c>
      <c r="F1754" s="24" t="n">
        <v>0</v>
      </c>
    </row>
    <row r="1755" customFormat="false" ht="15" hidden="false" customHeight="false" outlineLevel="0" collapsed="false">
      <c r="A1755" s="3" t="n">
        <v>1754</v>
      </c>
      <c r="B1755" s="3" t="n">
        <v>1753</v>
      </c>
      <c r="C1755" s="3" t="n">
        <v>8</v>
      </c>
      <c r="D1755" s="3" t="n">
        <v>13</v>
      </c>
      <c r="E1755" s="3" t="n">
        <v>3</v>
      </c>
      <c r="F1755" s="24" t="n">
        <v>0</v>
      </c>
    </row>
    <row r="1756" customFormat="false" ht="15" hidden="false" customHeight="false" outlineLevel="0" collapsed="false">
      <c r="A1756" s="3" t="n">
        <v>1755</v>
      </c>
      <c r="B1756" s="3" t="n">
        <v>1754</v>
      </c>
      <c r="C1756" s="3" t="n">
        <v>8</v>
      </c>
      <c r="D1756" s="3" t="n">
        <v>13</v>
      </c>
      <c r="E1756" s="3" t="n">
        <v>4</v>
      </c>
      <c r="F1756" s="24" t="n">
        <v>0</v>
      </c>
    </row>
    <row r="1757" customFormat="false" ht="15" hidden="false" customHeight="false" outlineLevel="0" collapsed="false">
      <c r="A1757" s="3" t="n">
        <v>1756</v>
      </c>
      <c r="B1757" s="3" t="n">
        <v>1755</v>
      </c>
      <c r="C1757" s="3" t="n">
        <v>8</v>
      </c>
      <c r="D1757" s="3" t="n">
        <v>13</v>
      </c>
      <c r="E1757" s="3" t="n">
        <v>5</v>
      </c>
      <c r="F1757" s="24" t="n">
        <v>0.431216776</v>
      </c>
    </row>
    <row r="1758" customFormat="false" ht="15" hidden="false" customHeight="false" outlineLevel="0" collapsed="false">
      <c r="A1758" s="3" t="n">
        <v>1757</v>
      </c>
      <c r="B1758" s="3" t="n">
        <v>1756</v>
      </c>
      <c r="C1758" s="3" t="n">
        <v>8</v>
      </c>
      <c r="D1758" s="3" t="n">
        <v>13</v>
      </c>
      <c r="E1758" s="3" t="n">
        <v>6</v>
      </c>
      <c r="F1758" s="24" t="n">
        <v>1.51496351</v>
      </c>
    </row>
    <row r="1759" customFormat="false" ht="15" hidden="false" customHeight="false" outlineLevel="0" collapsed="false">
      <c r="A1759" s="3" t="n">
        <v>1758</v>
      </c>
      <c r="B1759" s="3" t="n">
        <v>1757</v>
      </c>
      <c r="C1759" s="3" t="n">
        <v>8</v>
      </c>
      <c r="D1759" s="3" t="n">
        <v>13</v>
      </c>
      <c r="E1759" s="3" t="n">
        <v>7</v>
      </c>
      <c r="F1759" s="24" t="n">
        <v>0</v>
      </c>
    </row>
    <row r="1760" customFormat="false" ht="15" hidden="false" customHeight="false" outlineLevel="0" collapsed="false">
      <c r="A1760" s="3" t="n">
        <v>1759</v>
      </c>
      <c r="B1760" s="3" t="n">
        <v>1758</v>
      </c>
      <c r="C1760" s="3" t="n">
        <v>8</v>
      </c>
      <c r="D1760" s="3" t="n">
        <v>13</v>
      </c>
      <c r="E1760" s="3" t="n">
        <v>8</v>
      </c>
      <c r="F1760" s="24" t="n">
        <v>0</v>
      </c>
    </row>
    <row r="1761" customFormat="false" ht="15" hidden="false" customHeight="false" outlineLevel="0" collapsed="false">
      <c r="A1761" s="3" t="n">
        <v>1760</v>
      </c>
      <c r="B1761" s="3" t="n">
        <v>1759</v>
      </c>
      <c r="C1761" s="3" t="n">
        <v>8</v>
      </c>
      <c r="D1761" s="3" t="n">
        <v>13</v>
      </c>
      <c r="E1761" s="3" t="n">
        <v>9</v>
      </c>
      <c r="F1761" s="24" t="n">
        <v>0</v>
      </c>
    </row>
    <row r="1762" customFormat="false" ht="15" hidden="false" customHeight="false" outlineLevel="0" collapsed="false">
      <c r="A1762" s="3" t="n">
        <v>1761</v>
      </c>
      <c r="B1762" s="3" t="n">
        <v>1760</v>
      </c>
      <c r="C1762" s="3" t="n">
        <v>8</v>
      </c>
      <c r="D1762" s="3" t="n">
        <v>13</v>
      </c>
      <c r="E1762" s="3" t="n">
        <v>10</v>
      </c>
      <c r="F1762" s="24" t="n">
        <v>0</v>
      </c>
    </row>
    <row r="1763" customFormat="false" ht="15" hidden="false" customHeight="false" outlineLevel="0" collapsed="false">
      <c r="A1763" s="3" t="n">
        <v>1762</v>
      </c>
      <c r="B1763" s="3" t="n">
        <v>1761</v>
      </c>
      <c r="C1763" s="3" t="n">
        <v>8</v>
      </c>
      <c r="D1763" s="3" t="n">
        <v>13</v>
      </c>
      <c r="E1763" s="3" t="n">
        <v>11</v>
      </c>
      <c r="F1763" s="24" t="n">
        <v>0</v>
      </c>
    </row>
    <row r="1764" customFormat="false" ht="15" hidden="false" customHeight="false" outlineLevel="0" collapsed="false">
      <c r="A1764" s="3" t="n">
        <v>1763</v>
      </c>
      <c r="B1764" s="3" t="n">
        <v>1762</v>
      </c>
      <c r="C1764" s="3" t="n">
        <v>8</v>
      </c>
      <c r="D1764" s="3" t="n">
        <v>13</v>
      </c>
      <c r="E1764" s="3" t="n">
        <v>12</v>
      </c>
      <c r="F1764" s="24" t="n">
        <v>0</v>
      </c>
    </row>
    <row r="1765" customFormat="false" ht="15" hidden="false" customHeight="false" outlineLevel="0" collapsed="false">
      <c r="A1765" s="3" t="n">
        <v>1764</v>
      </c>
      <c r="B1765" s="3" t="n">
        <v>1763</v>
      </c>
      <c r="C1765" s="3" t="n">
        <v>8</v>
      </c>
      <c r="D1765" s="3" t="n">
        <v>13</v>
      </c>
      <c r="E1765" s="3" t="n">
        <v>13</v>
      </c>
      <c r="F1765" s="24" t="n">
        <v>0</v>
      </c>
    </row>
    <row r="1766" customFormat="false" ht="15" hidden="false" customHeight="false" outlineLevel="0" collapsed="false">
      <c r="A1766" s="3" t="n">
        <v>1765</v>
      </c>
      <c r="B1766" s="3" t="n">
        <v>1764</v>
      </c>
      <c r="C1766" s="3" t="n">
        <v>9</v>
      </c>
      <c r="D1766" s="3" t="n">
        <v>0</v>
      </c>
      <c r="E1766" s="3" t="n">
        <v>0</v>
      </c>
      <c r="F1766" s="24" t="n">
        <v>0</v>
      </c>
    </row>
    <row r="1767" customFormat="false" ht="15" hidden="false" customHeight="false" outlineLevel="0" collapsed="false">
      <c r="A1767" s="3" t="n">
        <v>1766</v>
      </c>
      <c r="B1767" s="3" t="n">
        <v>1765</v>
      </c>
      <c r="C1767" s="3" t="n">
        <v>9</v>
      </c>
      <c r="D1767" s="3" t="n">
        <v>0</v>
      </c>
      <c r="E1767" s="3" t="n">
        <v>1</v>
      </c>
      <c r="F1767" s="24" t="n">
        <v>0.278177232</v>
      </c>
    </row>
    <row r="1768" customFormat="false" ht="15" hidden="false" customHeight="false" outlineLevel="0" collapsed="false">
      <c r="A1768" s="3" t="n">
        <v>1767</v>
      </c>
      <c r="B1768" s="3" t="n">
        <v>1766</v>
      </c>
      <c r="C1768" s="3" t="n">
        <v>9</v>
      </c>
      <c r="D1768" s="3" t="n">
        <v>0</v>
      </c>
      <c r="E1768" s="3" t="n">
        <v>2</v>
      </c>
      <c r="F1768" s="24" t="n">
        <v>0.296260387</v>
      </c>
    </row>
    <row r="1769" customFormat="false" ht="15" hidden="false" customHeight="false" outlineLevel="0" collapsed="false">
      <c r="A1769" s="3" t="n">
        <v>1768</v>
      </c>
      <c r="B1769" s="3" t="n">
        <v>1767</v>
      </c>
      <c r="C1769" s="3" t="n">
        <v>9</v>
      </c>
      <c r="D1769" s="3" t="n">
        <v>0</v>
      </c>
      <c r="E1769" s="3" t="n">
        <v>3</v>
      </c>
      <c r="F1769" s="24" t="n">
        <v>0.296260387</v>
      </c>
    </row>
    <row r="1770" customFormat="false" ht="15" hidden="false" customHeight="false" outlineLevel="0" collapsed="false">
      <c r="A1770" s="3" t="n">
        <v>1769</v>
      </c>
      <c r="B1770" s="3" t="n">
        <v>1768</v>
      </c>
      <c r="C1770" s="3" t="n">
        <v>9</v>
      </c>
      <c r="D1770" s="3" t="n">
        <v>0</v>
      </c>
      <c r="E1770" s="3" t="n">
        <v>4</v>
      </c>
      <c r="F1770" s="24" t="n">
        <v>0.296260387</v>
      </c>
    </row>
    <row r="1771" customFormat="false" ht="15" hidden="false" customHeight="false" outlineLevel="0" collapsed="false">
      <c r="A1771" s="3" t="n">
        <v>1770</v>
      </c>
      <c r="B1771" s="3" t="n">
        <v>1769</v>
      </c>
      <c r="C1771" s="3" t="n">
        <v>9</v>
      </c>
      <c r="D1771" s="3" t="n">
        <v>0</v>
      </c>
      <c r="E1771" s="3" t="n">
        <v>5</v>
      </c>
      <c r="F1771" s="24" t="n">
        <v>0.296260387</v>
      </c>
    </row>
    <row r="1772" customFormat="false" ht="15" hidden="false" customHeight="false" outlineLevel="0" collapsed="false">
      <c r="A1772" s="3" t="n">
        <v>1771</v>
      </c>
      <c r="B1772" s="3" t="n">
        <v>1770</v>
      </c>
      <c r="C1772" s="3" t="n">
        <v>9</v>
      </c>
      <c r="D1772" s="3" t="n">
        <v>0</v>
      </c>
      <c r="E1772" s="3" t="n">
        <v>6</v>
      </c>
      <c r="F1772" s="24" t="n">
        <v>0.296260387</v>
      </c>
    </row>
    <row r="1773" customFormat="false" ht="15" hidden="false" customHeight="false" outlineLevel="0" collapsed="false">
      <c r="A1773" s="3" t="n">
        <v>1772</v>
      </c>
      <c r="B1773" s="3" t="n">
        <v>1771</v>
      </c>
      <c r="C1773" s="3" t="n">
        <v>9</v>
      </c>
      <c r="D1773" s="3" t="n">
        <v>0</v>
      </c>
      <c r="E1773" s="3" t="n">
        <v>7</v>
      </c>
      <c r="F1773" s="24" t="n">
        <v>0.296260387</v>
      </c>
    </row>
    <row r="1774" customFormat="false" ht="15" hidden="false" customHeight="false" outlineLevel="0" collapsed="false">
      <c r="A1774" s="3" t="n">
        <v>1773</v>
      </c>
      <c r="B1774" s="3" t="n">
        <v>1772</v>
      </c>
      <c r="C1774" s="3" t="n">
        <v>9</v>
      </c>
      <c r="D1774" s="3" t="n">
        <v>0</v>
      </c>
      <c r="E1774" s="3" t="n">
        <v>8</v>
      </c>
      <c r="F1774" s="24" t="n">
        <v>0.296260387</v>
      </c>
    </row>
    <row r="1775" customFormat="false" ht="15" hidden="false" customHeight="false" outlineLevel="0" collapsed="false">
      <c r="A1775" s="3" t="n">
        <v>1774</v>
      </c>
      <c r="B1775" s="3" t="n">
        <v>1773</v>
      </c>
      <c r="C1775" s="3" t="n">
        <v>9</v>
      </c>
      <c r="D1775" s="3" t="n">
        <v>0</v>
      </c>
      <c r="E1775" s="3" t="n">
        <v>9</v>
      </c>
      <c r="F1775" s="24" t="n">
        <v>0.296260387</v>
      </c>
    </row>
    <row r="1776" customFormat="false" ht="15" hidden="false" customHeight="false" outlineLevel="0" collapsed="false">
      <c r="A1776" s="3" t="n">
        <v>1775</v>
      </c>
      <c r="B1776" s="3" t="n">
        <v>1774</v>
      </c>
      <c r="C1776" s="3" t="n">
        <v>9</v>
      </c>
      <c r="D1776" s="3" t="n">
        <v>0</v>
      </c>
      <c r="E1776" s="3" t="n">
        <v>10</v>
      </c>
      <c r="F1776" s="24" t="n">
        <v>0.296260387</v>
      </c>
    </row>
    <row r="1777" customFormat="false" ht="15" hidden="false" customHeight="false" outlineLevel="0" collapsed="false">
      <c r="A1777" s="3" t="n">
        <v>1776</v>
      </c>
      <c r="B1777" s="3" t="n">
        <v>1775</v>
      </c>
      <c r="C1777" s="3" t="n">
        <v>9</v>
      </c>
      <c r="D1777" s="3" t="n">
        <v>0</v>
      </c>
      <c r="E1777" s="3" t="n">
        <v>11</v>
      </c>
      <c r="F1777" s="24" t="n">
        <v>0.296260387</v>
      </c>
    </row>
    <row r="1778" customFormat="false" ht="15" hidden="false" customHeight="false" outlineLevel="0" collapsed="false">
      <c r="A1778" s="3" t="n">
        <v>1777</v>
      </c>
      <c r="B1778" s="3" t="n">
        <v>1776</v>
      </c>
      <c r="C1778" s="3" t="n">
        <v>9</v>
      </c>
      <c r="D1778" s="3" t="n">
        <v>0</v>
      </c>
      <c r="E1778" s="3" t="n">
        <v>12</v>
      </c>
      <c r="F1778" s="24" t="n">
        <v>0.340297312</v>
      </c>
    </row>
    <row r="1779" customFormat="false" ht="15" hidden="false" customHeight="false" outlineLevel="0" collapsed="false">
      <c r="A1779" s="3" t="n">
        <v>1778</v>
      </c>
      <c r="B1779" s="3" t="n">
        <v>1777</v>
      </c>
      <c r="C1779" s="3" t="n">
        <v>9</v>
      </c>
      <c r="D1779" s="3" t="n">
        <v>0</v>
      </c>
      <c r="E1779" s="3" t="n">
        <v>13</v>
      </c>
      <c r="F1779" s="24" t="n">
        <v>0.239627272</v>
      </c>
    </row>
    <row r="1780" customFormat="false" ht="15" hidden="false" customHeight="false" outlineLevel="0" collapsed="false">
      <c r="A1780" s="3" t="n">
        <v>1779</v>
      </c>
      <c r="B1780" s="3" t="n">
        <v>1778</v>
      </c>
      <c r="C1780" s="3" t="n">
        <v>9</v>
      </c>
      <c r="D1780" s="3" t="n">
        <v>1</v>
      </c>
      <c r="E1780" s="3" t="n">
        <v>0</v>
      </c>
      <c r="F1780" s="24" t="n">
        <v>0</v>
      </c>
    </row>
    <row r="1781" customFormat="false" ht="15" hidden="false" customHeight="false" outlineLevel="0" collapsed="false">
      <c r="A1781" s="3" t="n">
        <v>1780</v>
      </c>
      <c r="B1781" s="3" t="n">
        <v>1779</v>
      </c>
      <c r="C1781" s="3" t="n">
        <v>9</v>
      </c>
      <c r="D1781" s="3" t="n">
        <v>1</v>
      </c>
      <c r="E1781" s="3" t="n">
        <v>1</v>
      </c>
      <c r="F1781" s="24" t="n">
        <v>0.111595809</v>
      </c>
    </row>
    <row r="1782" customFormat="false" ht="15" hidden="false" customHeight="false" outlineLevel="0" collapsed="false">
      <c r="A1782" s="3" t="n">
        <v>1781</v>
      </c>
      <c r="B1782" s="3" t="n">
        <v>1780</v>
      </c>
      <c r="C1782" s="3" t="n">
        <v>9</v>
      </c>
      <c r="D1782" s="3" t="n">
        <v>1</v>
      </c>
      <c r="E1782" s="3" t="n">
        <v>2</v>
      </c>
      <c r="F1782" s="24" t="n">
        <v>0.165668458</v>
      </c>
    </row>
    <row r="1783" customFormat="false" ht="15" hidden="false" customHeight="false" outlineLevel="0" collapsed="false">
      <c r="A1783" s="3" t="n">
        <v>1782</v>
      </c>
      <c r="B1783" s="3" t="n">
        <v>1781</v>
      </c>
      <c r="C1783" s="3" t="n">
        <v>9</v>
      </c>
      <c r="D1783" s="3" t="n">
        <v>1</v>
      </c>
      <c r="E1783" s="3" t="n">
        <v>3</v>
      </c>
      <c r="F1783" s="24" t="n">
        <v>0.165668458</v>
      </c>
    </row>
    <row r="1784" customFormat="false" ht="15" hidden="false" customHeight="false" outlineLevel="0" collapsed="false">
      <c r="A1784" s="3" t="n">
        <v>1783</v>
      </c>
      <c r="B1784" s="3" t="n">
        <v>1782</v>
      </c>
      <c r="C1784" s="3" t="n">
        <v>9</v>
      </c>
      <c r="D1784" s="3" t="n">
        <v>1</v>
      </c>
      <c r="E1784" s="3" t="n">
        <v>4</v>
      </c>
      <c r="F1784" s="24" t="n">
        <v>0.165668458</v>
      </c>
    </row>
    <row r="1785" customFormat="false" ht="15" hidden="false" customHeight="false" outlineLevel="0" collapsed="false">
      <c r="A1785" s="3" t="n">
        <v>1784</v>
      </c>
      <c r="B1785" s="3" t="n">
        <v>1783</v>
      </c>
      <c r="C1785" s="3" t="n">
        <v>9</v>
      </c>
      <c r="D1785" s="3" t="n">
        <v>1</v>
      </c>
      <c r="E1785" s="3" t="n">
        <v>5</v>
      </c>
      <c r="F1785" s="24" t="n">
        <v>0.165668458</v>
      </c>
    </row>
    <row r="1786" customFormat="false" ht="15" hidden="false" customHeight="false" outlineLevel="0" collapsed="false">
      <c r="A1786" s="3" t="n">
        <v>1785</v>
      </c>
      <c r="B1786" s="3" t="n">
        <v>1784</v>
      </c>
      <c r="C1786" s="3" t="n">
        <v>9</v>
      </c>
      <c r="D1786" s="3" t="n">
        <v>1</v>
      </c>
      <c r="E1786" s="3" t="n">
        <v>6</v>
      </c>
      <c r="F1786" s="24" t="n">
        <v>0.165668458</v>
      </c>
    </row>
    <row r="1787" customFormat="false" ht="15" hidden="false" customHeight="false" outlineLevel="0" collapsed="false">
      <c r="A1787" s="3" t="n">
        <v>1786</v>
      </c>
      <c r="B1787" s="3" t="n">
        <v>1785</v>
      </c>
      <c r="C1787" s="3" t="n">
        <v>9</v>
      </c>
      <c r="D1787" s="3" t="n">
        <v>1</v>
      </c>
      <c r="E1787" s="3" t="n">
        <v>7</v>
      </c>
      <c r="F1787" s="24" t="n">
        <v>0.165668458</v>
      </c>
    </row>
    <row r="1788" customFormat="false" ht="15" hidden="false" customHeight="false" outlineLevel="0" collapsed="false">
      <c r="A1788" s="3" t="n">
        <v>1787</v>
      </c>
      <c r="B1788" s="3" t="n">
        <v>1786</v>
      </c>
      <c r="C1788" s="3" t="n">
        <v>9</v>
      </c>
      <c r="D1788" s="3" t="n">
        <v>1</v>
      </c>
      <c r="E1788" s="3" t="n">
        <v>8</v>
      </c>
      <c r="F1788" s="24" t="n">
        <v>0.165668458</v>
      </c>
    </row>
    <row r="1789" customFormat="false" ht="15" hidden="false" customHeight="false" outlineLevel="0" collapsed="false">
      <c r="A1789" s="3" t="n">
        <v>1788</v>
      </c>
      <c r="B1789" s="3" t="n">
        <v>1787</v>
      </c>
      <c r="C1789" s="3" t="n">
        <v>9</v>
      </c>
      <c r="D1789" s="3" t="n">
        <v>1</v>
      </c>
      <c r="E1789" s="3" t="n">
        <v>9</v>
      </c>
      <c r="F1789" s="24" t="n">
        <v>0.165668458</v>
      </c>
    </row>
    <row r="1790" customFormat="false" ht="15" hidden="false" customHeight="false" outlineLevel="0" collapsed="false">
      <c r="A1790" s="3" t="n">
        <v>1789</v>
      </c>
      <c r="B1790" s="3" t="n">
        <v>1788</v>
      </c>
      <c r="C1790" s="3" t="n">
        <v>9</v>
      </c>
      <c r="D1790" s="3" t="n">
        <v>1</v>
      </c>
      <c r="E1790" s="3" t="n">
        <v>10</v>
      </c>
      <c r="F1790" s="24" t="n">
        <v>0.165668458</v>
      </c>
    </row>
    <row r="1791" customFormat="false" ht="15" hidden="false" customHeight="false" outlineLevel="0" collapsed="false">
      <c r="A1791" s="3" t="n">
        <v>1790</v>
      </c>
      <c r="B1791" s="3" t="n">
        <v>1789</v>
      </c>
      <c r="C1791" s="3" t="n">
        <v>9</v>
      </c>
      <c r="D1791" s="3" t="n">
        <v>1</v>
      </c>
      <c r="E1791" s="3" t="n">
        <v>11</v>
      </c>
      <c r="F1791" s="24" t="n">
        <v>0.165668458</v>
      </c>
    </row>
    <row r="1792" customFormat="false" ht="15" hidden="false" customHeight="false" outlineLevel="0" collapsed="false">
      <c r="A1792" s="3" t="n">
        <v>1791</v>
      </c>
      <c r="B1792" s="3" t="n">
        <v>1790</v>
      </c>
      <c r="C1792" s="3" t="n">
        <v>9</v>
      </c>
      <c r="D1792" s="3" t="n">
        <v>1</v>
      </c>
      <c r="E1792" s="3" t="n">
        <v>12</v>
      </c>
      <c r="F1792" s="24" t="n">
        <v>0.321593672</v>
      </c>
    </row>
    <row r="1793" customFormat="false" ht="15" hidden="false" customHeight="false" outlineLevel="0" collapsed="false">
      <c r="A1793" s="3" t="n">
        <v>1792</v>
      </c>
      <c r="B1793" s="3" t="n">
        <v>1791</v>
      </c>
      <c r="C1793" s="3" t="n">
        <v>9</v>
      </c>
      <c r="D1793" s="3" t="n">
        <v>1</v>
      </c>
      <c r="E1793" s="3" t="n">
        <v>13</v>
      </c>
      <c r="F1793" s="24" t="n">
        <v>0.290081292</v>
      </c>
    </row>
    <row r="1794" customFormat="false" ht="15" hidden="false" customHeight="false" outlineLevel="0" collapsed="false">
      <c r="A1794" s="3" t="n">
        <v>1793</v>
      </c>
      <c r="B1794" s="3" t="n">
        <v>1792</v>
      </c>
      <c r="C1794" s="3" t="n">
        <v>9</v>
      </c>
      <c r="D1794" s="3" t="n">
        <v>2</v>
      </c>
      <c r="E1794" s="3" t="n">
        <v>0</v>
      </c>
      <c r="F1794" s="24" t="n">
        <v>0</v>
      </c>
    </row>
    <row r="1795" customFormat="false" ht="15" hidden="false" customHeight="false" outlineLevel="0" collapsed="false">
      <c r="A1795" s="3" t="n">
        <v>1794</v>
      </c>
      <c r="B1795" s="3" t="n">
        <v>1793</v>
      </c>
      <c r="C1795" s="3" t="n">
        <v>9</v>
      </c>
      <c r="D1795" s="3" t="n">
        <v>2</v>
      </c>
      <c r="E1795" s="3" t="n">
        <v>1</v>
      </c>
      <c r="F1795" s="24" t="n">
        <v>0</v>
      </c>
    </row>
    <row r="1796" customFormat="false" ht="15" hidden="false" customHeight="false" outlineLevel="0" collapsed="false">
      <c r="A1796" s="3" t="n">
        <v>1795</v>
      </c>
      <c r="B1796" s="3" t="n">
        <v>1794</v>
      </c>
      <c r="C1796" s="3" t="n">
        <v>9</v>
      </c>
      <c r="D1796" s="3" t="n">
        <v>2</v>
      </c>
      <c r="E1796" s="3" t="n">
        <v>2</v>
      </c>
      <c r="F1796" s="24" t="n">
        <v>0</v>
      </c>
    </row>
    <row r="1797" customFormat="false" ht="15" hidden="false" customHeight="false" outlineLevel="0" collapsed="false">
      <c r="A1797" s="3" t="n">
        <v>1796</v>
      </c>
      <c r="B1797" s="3" t="n">
        <v>1795</v>
      </c>
      <c r="C1797" s="3" t="n">
        <v>9</v>
      </c>
      <c r="D1797" s="3" t="n">
        <v>2</v>
      </c>
      <c r="E1797" s="3" t="n">
        <v>3</v>
      </c>
      <c r="F1797" s="24" t="n">
        <v>0</v>
      </c>
    </row>
    <row r="1798" customFormat="false" ht="15" hidden="false" customHeight="false" outlineLevel="0" collapsed="false">
      <c r="A1798" s="3" t="n">
        <v>1797</v>
      </c>
      <c r="B1798" s="3" t="n">
        <v>1796</v>
      </c>
      <c r="C1798" s="3" t="n">
        <v>9</v>
      </c>
      <c r="D1798" s="3" t="n">
        <v>2</v>
      </c>
      <c r="E1798" s="3" t="n">
        <v>4</v>
      </c>
      <c r="F1798" s="24" t="n">
        <v>0</v>
      </c>
    </row>
    <row r="1799" customFormat="false" ht="15" hidden="false" customHeight="false" outlineLevel="0" collapsed="false">
      <c r="A1799" s="3" t="n">
        <v>1798</v>
      </c>
      <c r="B1799" s="3" t="n">
        <v>1797</v>
      </c>
      <c r="C1799" s="3" t="n">
        <v>9</v>
      </c>
      <c r="D1799" s="3" t="n">
        <v>2</v>
      </c>
      <c r="E1799" s="3" t="n">
        <v>5</v>
      </c>
      <c r="F1799" s="24" t="n">
        <v>0</v>
      </c>
    </row>
    <row r="1800" customFormat="false" ht="15" hidden="false" customHeight="false" outlineLevel="0" collapsed="false">
      <c r="A1800" s="3" t="n">
        <v>1799</v>
      </c>
      <c r="B1800" s="3" t="n">
        <v>1798</v>
      </c>
      <c r="C1800" s="3" t="n">
        <v>9</v>
      </c>
      <c r="D1800" s="3" t="n">
        <v>2</v>
      </c>
      <c r="E1800" s="3" t="n">
        <v>6</v>
      </c>
      <c r="F1800" s="24" t="n">
        <v>0</v>
      </c>
    </row>
    <row r="1801" customFormat="false" ht="15" hidden="false" customHeight="false" outlineLevel="0" collapsed="false">
      <c r="A1801" s="3" t="n">
        <v>1800</v>
      </c>
      <c r="B1801" s="3" t="n">
        <v>1799</v>
      </c>
      <c r="C1801" s="3" t="n">
        <v>9</v>
      </c>
      <c r="D1801" s="3" t="n">
        <v>2</v>
      </c>
      <c r="E1801" s="3" t="n">
        <v>7</v>
      </c>
      <c r="F1801" s="24" t="n">
        <v>0</v>
      </c>
    </row>
    <row r="1802" customFormat="false" ht="15" hidden="false" customHeight="false" outlineLevel="0" collapsed="false">
      <c r="A1802" s="3" t="n">
        <v>1801</v>
      </c>
      <c r="B1802" s="3" t="n">
        <v>1800</v>
      </c>
      <c r="C1802" s="3" t="n">
        <v>9</v>
      </c>
      <c r="D1802" s="3" t="n">
        <v>2</v>
      </c>
      <c r="E1802" s="3" t="n">
        <v>8</v>
      </c>
      <c r="F1802" s="24" t="n">
        <v>0</v>
      </c>
    </row>
    <row r="1803" customFormat="false" ht="15" hidden="false" customHeight="false" outlineLevel="0" collapsed="false">
      <c r="A1803" s="3" t="n">
        <v>1802</v>
      </c>
      <c r="B1803" s="3" t="n">
        <v>1801</v>
      </c>
      <c r="C1803" s="3" t="n">
        <v>9</v>
      </c>
      <c r="D1803" s="3" t="n">
        <v>2</v>
      </c>
      <c r="E1803" s="3" t="n">
        <v>9</v>
      </c>
      <c r="F1803" s="24" t="n">
        <v>0</v>
      </c>
    </row>
    <row r="1804" customFormat="false" ht="15" hidden="false" customHeight="false" outlineLevel="0" collapsed="false">
      <c r="A1804" s="3" t="n">
        <v>1803</v>
      </c>
      <c r="B1804" s="3" t="n">
        <v>1802</v>
      </c>
      <c r="C1804" s="3" t="n">
        <v>9</v>
      </c>
      <c r="D1804" s="3" t="n">
        <v>2</v>
      </c>
      <c r="E1804" s="3" t="n">
        <v>10</v>
      </c>
      <c r="F1804" s="24" t="n">
        <v>0</v>
      </c>
    </row>
    <row r="1805" customFormat="false" ht="15" hidden="false" customHeight="false" outlineLevel="0" collapsed="false">
      <c r="A1805" s="3" t="n">
        <v>1804</v>
      </c>
      <c r="B1805" s="3" t="n">
        <v>1803</v>
      </c>
      <c r="C1805" s="3" t="n">
        <v>9</v>
      </c>
      <c r="D1805" s="3" t="n">
        <v>2</v>
      </c>
      <c r="E1805" s="3" t="n">
        <v>11</v>
      </c>
      <c r="F1805" s="24" t="n">
        <v>0.179415107</v>
      </c>
    </row>
    <row r="1806" customFormat="false" ht="15" hidden="false" customHeight="false" outlineLevel="0" collapsed="false">
      <c r="A1806" s="3" t="n">
        <v>1805</v>
      </c>
      <c r="B1806" s="3" t="n">
        <v>1804</v>
      </c>
      <c r="C1806" s="3" t="n">
        <v>9</v>
      </c>
      <c r="D1806" s="3" t="n">
        <v>2</v>
      </c>
      <c r="E1806" s="3" t="n">
        <v>12</v>
      </c>
      <c r="F1806" s="24" t="n">
        <v>0.217400432</v>
      </c>
    </row>
    <row r="1807" customFormat="false" ht="15" hidden="false" customHeight="false" outlineLevel="0" collapsed="false">
      <c r="A1807" s="3" t="n">
        <v>1806</v>
      </c>
      <c r="B1807" s="3" t="n">
        <v>1805</v>
      </c>
      <c r="C1807" s="3" t="n">
        <v>9</v>
      </c>
      <c r="D1807" s="3" t="n">
        <v>2</v>
      </c>
      <c r="E1807" s="3" t="n">
        <v>13</v>
      </c>
      <c r="F1807" s="24" t="n">
        <v>0.161294132</v>
      </c>
    </row>
    <row r="1808" customFormat="false" ht="15" hidden="false" customHeight="false" outlineLevel="0" collapsed="false">
      <c r="A1808" s="3" t="n">
        <v>1807</v>
      </c>
      <c r="B1808" s="3" t="n">
        <v>1806</v>
      </c>
      <c r="C1808" s="3" t="n">
        <v>9</v>
      </c>
      <c r="D1808" s="3" t="n">
        <v>3</v>
      </c>
      <c r="E1808" s="3" t="n">
        <v>0</v>
      </c>
      <c r="F1808" s="24" t="n">
        <v>0</v>
      </c>
    </row>
    <row r="1809" customFormat="false" ht="15" hidden="false" customHeight="false" outlineLevel="0" collapsed="false">
      <c r="A1809" s="3" t="n">
        <v>1808</v>
      </c>
      <c r="B1809" s="3" t="n">
        <v>1807</v>
      </c>
      <c r="C1809" s="3" t="n">
        <v>9</v>
      </c>
      <c r="D1809" s="3" t="n">
        <v>3</v>
      </c>
      <c r="E1809" s="3" t="n">
        <v>1</v>
      </c>
      <c r="F1809" s="24" t="n">
        <v>0</v>
      </c>
    </row>
    <row r="1810" customFormat="false" ht="15" hidden="false" customHeight="false" outlineLevel="0" collapsed="false">
      <c r="A1810" s="3" t="n">
        <v>1809</v>
      </c>
      <c r="B1810" s="3" t="n">
        <v>1808</v>
      </c>
      <c r="C1810" s="3" t="n">
        <v>9</v>
      </c>
      <c r="D1810" s="3" t="n">
        <v>3</v>
      </c>
      <c r="E1810" s="3" t="n">
        <v>2</v>
      </c>
      <c r="F1810" s="24" t="n">
        <v>0</v>
      </c>
    </row>
    <row r="1811" customFormat="false" ht="15" hidden="false" customHeight="false" outlineLevel="0" collapsed="false">
      <c r="A1811" s="3" t="n">
        <v>1810</v>
      </c>
      <c r="B1811" s="3" t="n">
        <v>1809</v>
      </c>
      <c r="C1811" s="3" t="n">
        <v>9</v>
      </c>
      <c r="D1811" s="3" t="n">
        <v>3</v>
      </c>
      <c r="E1811" s="3" t="n">
        <v>3</v>
      </c>
      <c r="F1811" s="24" t="n">
        <v>0.173661202</v>
      </c>
    </row>
    <row r="1812" customFormat="false" ht="15" hidden="false" customHeight="false" outlineLevel="0" collapsed="false">
      <c r="A1812" s="3" t="n">
        <v>1811</v>
      </c>
      <c r="B1812" s="3" t="n">
        <v>1810</v>
      </c>
      <c r="C1812" s="3" t="n">
        <v>9</v>
      </c>
      <c r="D1812" s="3" t="n">
        <v>3</v>
      </c>
      <c r="E1812" s="3" t="n">
        <v>4</v>
      </c>
      <c r="F1812" s="24" t="n">
        <v>1.85009372</v>
      </c>
    </row>
    <row r="1813" customFormat="false" ht="15" hidden="false" customHeight="false" outlineLevel="0" collapsed="false">
      <c r="A1813" s="3" t="n">
        <v>1812</v>
      </c>
      <c r="B1813" s="3" t="n">
        <v>1811</v>
      </c>
      <c r="C1813" s="3" t="n">
        <v>9</v>
      </c>
      <c r="D1813" s="3" t="n">
        <v>3</v>
      </c>
      <c r="E1813" s="3" t="n">
        <v>5</v>
      </c>
      <c r="F1813" s="24" t="n">
        <v>0.0769796669</v>
      </c>
    </row>
    <row r="1814" customFormat="false" ht="15" hidden="false" customHeight="false" outlineLevel="0" collapsed="false">
      <c r="A1814" s="3" t="n">
        <v>1813</v>
      </c>
      <c r="B1814" s="3" t="n">
        <v>1812</v>
      </c>
      <c r="C1814" s="3" t="n">
        <v>9</v>
      </c>
      <c r="D1814" s="3" t="n">
        <v>3</v>
      </c>
      <c r="E1814" s="3" t="n">
        <v>6</v>
      </c>
      <c r="F1814" s="24" t="n">
        <v>0</v>
      </c>
    </row>
    <row r="1815" customFormat="false" ht="15" hidden="false" customHeight="false" outlineLevel="0" collapsed="false">
      <c r="A1815" s="3" t="n">
        <v>1814</v>
      </c>
      <c r="B1815" s="3" t="n">
        <v>1813</v>
      </c>
      <c r="C1815" s="3" t="n">
        <v>9</v>
      </c>
      <c r="D1815" s="3" t="n">
        <v>3</v>
      </c>
      <c r="E1815" s="3" t="n">
        <v>7</v>
      </c>
      <c r="F1815" s="24" t="n">
        <v>0</v>
      </c>
    </row>
    <row r="1816" customFormat="false" ht="15" hidden="false" customHeight="false" outlineLevel="0" collapsed="false">
      <c r="A1816" s="3" t="n">
        <v>1815</v>
      </c>
      <c r="B1816" s="3" t="n">
        <v>1814</v>
      </c>
      <c r="C1816" s="3" t="n">
        <v>9</v>
      </c>
      <c r="D1816" s="3" t="n">
        <v>3</v>
      </c>
      <c r="E1816" s="3" t="n">
        <v>8</v>
      </c>
      <c r="F1816" s="24" t="n">
        <v>0</v>
      </c>
    </row>
    <row r="1817" customFormat="false" ht="15" hidden="false" customHeight="false" outlineLevel="0" collapsed="false">
      <c r="A1817" s="3" t="n">
        <v>1816</v>
      </c>
      <c r="B1817" s="3" t="n">
        <v>1815</v>
      </c>
      <c r="C1817" s="3" t="n">
        <v>9</v>
      </c>
      <c r="D1817" s="3" t="n">
        <v>3</v>
      </c>
      <c r="E1817" s="3" t="n">
        <v>9</v>
      </c>
      <c r="F1817" s="24" t="n">
        <v>0.574311733</v>
      </c>
    </row>
    <row r="1818" customFormat="false" ht="15" hidden="false" customHeight="false" outlineLevel="0" collapsed="false">
      <c r="A1818" s="3" t="n">
        <v>1817</v>
      </c>
      <c r="B1818" s="3" t="n">
        <v>1816</v>
      </c>
      <c r="C1818" s="3" t="n">
        <v>9</v>
      </c>
      <c r="D1818" s="3" t="n">
        <v>3</v>
      </c>
      <c r="E1818" s="3" t="n">
        <v>10</v>
      </c>
      <c r="F1818" s="24" t="n">
        <v>2.94799042</v>
      </c>
    </row>
    <row r="1819" customFormat="false" ht="15" hidden="false" customHeight="false" outlineLevel="0" collapsed="false">
      <c r="A1819" s="3" t="n">
        <v>1818</v>
      </c>
      <c r="B1819" s="3" t="n">
        <v>1817</v>
      </c>
      <c r="C1819" s="3" t="n">
        <v>9</v>
      </c>
      <c r="D1819" s="3" t="n">
        <v>3</v>
      </c>
      <c r="E1819" s="3" t="n">
        <v>11</v>
      </c>
      <c r="F1819" s="24" t="n">
        <v>1.91309917</v>
      </c>
    </row>
    <row r="1820" customFormat="false" ht="15" hidden="false" customHeight="false" outlineLevel="0" collapsed="false">
      <c r="A1820" s="3" t="n">
        <v>1819</v>
      </c>
      <c r="B1820" s="3" t="n">
        <v>1818</v>
      </c>
      <c r="C1820" s="3" t="n">
        <v>9</v>
      </c>
      <c r="D1820" s="3" t="n">
        <v>3</v>
      </c>
      <c r="E1820" s="3" t="n">
        <v>12</v>
      </c>
      <c r="F1820" s="24" t="n">
        <v>0.346789747</v>
      </c>
    </row>
    <row r="1821" customFormat="false" ht="15" hidden="false" customHeight="false" outlineLevel="0" collapsed="false">
      <c r="A1821" s="3" t="n">
        <v>1820</v>
      </c>
      <c r="B1821" s="3" t="n">
        <v>1819</v>
      </c>
      <c r="C1821" s="3" t="n">
        <v>9</v>
      </c>
      <c r="D1821" s="3" t="n">
        <v>3</v>
      </c>
      <c r="E1821" s="3" t="n">
        <v>13</v>
      </c>
      <c r="F1821" s="24" t="n">
        <v>0.161294132</v>
      </c>
    </row>
    <row r="1822" customFormat="false" ht="15" hidden="false" customHeight="false" outlineLevel="0" collapsed="false">
      <c r="A1822" s="3" t="n">
        <v>1821</v>
      </c>
      <c r="B1822" s="3" t="n">
        <v>1820</v>
      </c>
      <c r="C1822" s="3" t="n">
        <v>9</v>
      </c>
      <c r="D1822" s="3" t="n">
        <v>4</v>
      </c>
      <c r="E1822" s="3" t="n">
        <v>0</v>
      </c>
      <c r="F1822" s="24" t="n">
        <v>0</v>
      </c>
    </row>
    <row r="1823" customFormat="false" ht="15" hidden="false" customHeight="false" outlineLevel="0" collapsed="false">
      <c r="A1823" s="3" t="n">
        <v>1822</v>
      </c>
      <c r="B1823" s="3" t="n">
        <v>1821</v>
      </c>
      <c r="C1823" s="3" t="n">
        <v>9</v>
      </c>
      <c r="D1823" s="3" t="n">
        <v>4</v>
      </c>
      <c r="E1823" s="3" t="n">
        <v>1</v>
      </c>
      <c r="F1823" s="24" t="n">
        <v>0.367459327</v>
      </c>
    </row>
    <row r="1824" customFormat="false" ht="15" hidden="false" customHeight="false" outlineLevel="0" collapsed="false">
      <c r="A1824" s="3" t="n">
        <v>1823</v>
      </c>
      <c r="B1824" s="3" t="n">
        <v>1822</v>
      </c>
      <c r="C1824" s="3" t="n">
        <v>9</v>
      </c>
      <c r="D1824" s="3" t="n">
        <v>4</v>
      </c>
      <c r="E1824" s="3" t="n">
        <v>2</v>
      </c>
      <c r="F1824" s="24" t="n">
        <v>2.276757</v>
      </c>
    </row>
    <row r="1825" customFormat="false" ht="15" hidden="false" customHeight="false" outlineLevel="0" collapsed="false">
      <c r="A1825" s="3" t="n">
        <v>1824</v>
      </c>
      <c r="B1825" s="3" t="n">
        <v>1823</v>
      </c>
      <c r="C1825" s="3" t="n">
        <v>9</v>
      </c>
      <c r="D1825" s="3" t="n">
        <v>4</v>
      </c>
      <c r="E1825" s="3" t="n">
        <v>3</v>
      </c>
      <c r="F1825" s="24" t="n">
        <v>3.3080554</v>
      </c>
    </row>
    <row r="1826" customFormat="false" ht="15" hidden="false" customHeight="false" outlineLevel="0" collapsed="false">
      <c r="A1826" s="3" t="n">
        <v>1825</v>
      </c>
      <c r="B1826" s="3" t="n">
        <v>1824</v>
      </c>
      <c r="C1826" s="3" t="n">
        <v>9</v>
      </c>
      <c r="D1826" s="3" t="n">
        <v>4</v>
      </c>
      <c r="E1826" s="3" t="n">
        <v>4</v>
      </c>
      <c r="F1826" s="24" t="n">
        <v>1.39244831</v>
      </c>
    </row>
    <row r="1827" customFormat="false" ht="15" hidden="false" customHeight="false" outlineLevel="0" collapsed="false">
      <c r="A1827" s="3" t="n">
        <v>1826</v>
      </c>
      <c r="B1827" s="3" t="n">
        <v>1825</v>
      </c>
      <c r="C1827" s="3" t="n">
        <v>9</v>
      </c>
      <c r="D1827" s="3" t="n">
        <v>4</v>
      </c>
      <c r="E1827" s="3" t="n">
        <v>5</v>
      </c>
      <c r="F1827" s="24" t="n">
        <v>0.40407601</v>
      </c>
    </row>
    <row r="1828" customFormat="false" ht="15" hidden="false" customHeight="false" outlineLevel="0" collapsed="false">
      <c r="A1828" s="3" t="n">
        <v>1827</v>
      </c>
      <c r="B1828" s="3" t="n">
        <v>1826</v>
      </c>
      <c r="C1828" s="3" t="n">
        <v>9</v>
      </c>
      <c r="D1828" s="3" t="n">
        <v>4</v>
      </c>
      <c r="E1828" s="3" t="n">
        <v>6</v>
      </c>
      <c r="F1828" s="24" t="n">
        <v>1.86824119</v>
      </c>
    </row>
    <row r="1829" customFormat="false" ht="15" hidden="false" customHeight="false" outlineLevel="0" collapsed="false">
      <c r="A1829" s="3" t="n">
        <v>1828</v>
      </c>
      <c r="B1829" s="3" t="n">
        <v>1827</v>
      </c>
      <c r="C1829" s="3" t="n">
        <v>9</v>
      </c>
      <c r="D1829" s="3" t="n">
        <v>4</v>
      </c>
      <c r="E1829" s="3" t="n">
        <v>7</v>
      </c>
      <c r="F1829" s="24" t="n">
        <v>2.35923481</v>
      </c>
    </row>
    <row r="1830" customFormat="false" ht="15" hidden="false" customHeight="false" outlineLevel="0" collapsed="false">
      <c r="A1830" s="3" t="n">
        <v>1829</v>
      </c>
      <c r="B1830" s="3" t="n">
        <v>1828</v>
      </c>
      <c r="C1830" s="3" t="n">
        <v>9</v>
      </c>
      <c r="D1830" s="3" t="n">
        <v>4</v>
      </c>
      <c r="E1830" s="3" t="n">
        <v>8</v>
      </c>
      <c r="F1830" s="24" t="n">
        <v>1.88367164</v>
      </c>
    </row>
    <row r="1831" customFormat="false" ht="15" hidden="false" customHeight="false" outlineLevel="0" collapsed="false">
      <c r="A1831" s="3" t="n">
        <v>1830</v>
      </c>
      <c r="B1831" s="3" t="n">
        <v>1829</v>
      </c>
      <c r="C1831" s="3" t="n">
        <v>9</v>
      </c>
      <c r="D1831" s="3" t="n">
        <v>4</v>
      </c>
      <c r="E1831" s="3" t="n">
        <v>9</v>
      </c>
      <c r="F1831" s="24" t="n">
        <v>3.81978989</v>
      </c>
    </row>
    <row r="1832" customFormat="false" ht="15" hidden="false" customHeight="false" outlineLevel="0" collapsed="false">
      <c r="A1832" s="3" t="n">
        <v>1831</v>
      </c>
      <c r="B1832" s="3" t="n">
        <v>1830</v>
      </c>
      <c r="C1832" s="3" t="n">
        <v>9</v>
      </c>
      <c r="D1832" s="3" t="n">
        <v>4</v>
      </c>
      <c r="E1832" s="3" t="n">
        <v>10</v>
      </c>
      <c r="F1832" s="24" t="n">
        <v>5.39356709</v>
      </c>
    </row>
    <row r="1833" customFormat="false" ht="15" hidden="false" customHeight="false" outlineLevel="0" collapsed="false">
      <c r="A1833" s="3" t="n">
        <v>1832</v>
      </c>
      <c r="B1833" s="3" t="n">
        <v>1831</v>
      </c>
      <c r="C1833" s="3" t="n">
        <v>9</v>
      </c>
      <c r="D1833" s="3" t="n">
        <v>4</v>
      </c>
      <c r="E1833" s="3" t="n">
        <v>11</v>
      </c>
      <c r="F1833" s="24" t="n">
        <v>1.77187335</v>
      </c>
    </row>
    <row r="1834" customFormat="false" ht="15" hidden="false" customHeight="false" outlineLevel="0" collapsed="false">
      <c r="A1834" s="3" t="n">
        <v>1833</v>
      </c>
      <c r="B1834" s="3" t="n">
        <v>1832</v>
      </c>
      <c r="C1834" s="3" t="n">
        <v>9</v>
      </c>
      <c r="D1834" s="3" t="n">
        <v>4</v>
      </c>
      <c r="E1834" s="3" t="n">
        <v>12</v>
      </c>
      <c r="F1834" s="24" t="n">
        <v>0.279983491</v>
      </c>
    </row>
    <row r="1835" customFormat="false" ht="15" hidden="false" customHeight="false" outlineLevel="0" collapsed="false">
      <c r="A1835" s="3" t="n">
        <v>1834</v>
      </c>
      <c r="B1835" s="3" t="n">
        <v>1833</v>
      </c>
      <c r="C1835" s="3" t="n">
        <v>9</v>
      </c>
      <c r="D1835" s="3" t="n">
        <v>4</v>
      </c>
      <c r="E1835" s="3" t="n">
        <v>13</v>
      </c>
      <c r="F1835" s="24" t="n">
        <v>0.161294132</v>
      </c>
    </row>
    <row r="1836" customFormat="false" ht="15" hidden="false" customHeight="false" outlineLevel="0" collapsed="false">
      <c r="A1836" s="3" t="n">
        <v>1835</v>
      </c>
      <c r="B1836" s="3" t="n">
        <v>1834</v>
      </c>
      <c r="C1836" s="3" t="n">
        <v>9</v>
      </c>
      <c r="D1836" s="3" t="n">
        <v>5</v>
      </c>
      <c r="E1836" s="3" t="n">
        <v>0</v>
      </c>
      <c r="F1836" s="24" t="n">
        <v>0</v>
      </c>
    </row>
    <row r="1837" customFormat="false" ht="15" hidden="false" customHeight="false" outlineLevel="0" collapsed="false">
      <c r="A1837" s="3" t="n">
        <v>1836</v>
      </c>
      <c r="B1837" s="3" t="n">
        <v>1835</v>
      </c>
      <c r="C1837" s="3" t="n">
        <v>9</v>
      </c>
      <c r="D1837" s="3" t="n">
        <v>5</v>
      </c>
      <c r="E1837" s="3" t="n">
        <v>1</v>
      </c>
      <c r="F1837" s="24" t="n">
        <v>0.671406865</v>
      </c>
    </row>
    <row r="1838" customFormat="false" ht="15" hidden="false" customHeight="false" outlineLevel="0" collapsed="false">
      <c r="A1838" s="3" t="n">
        <v>1837</v>
      </c>
      <c r="B1838" s="3" t="n">
        <v>1836</v>
      </c>
      <c r="C1838" s="3" t="n">
        <v>9</v>
      </c>
      <c r="D1838" s="3" t="n">
        <v>5</v>
      </c>
      <c r="E1838" s="3" t="n">
        <v>2</v>
      </c>
      <c r="F1838" s="24" t="n">
        <v>1.83325803</v>
      </c>
    </row>
    <row r="1839" customFormat="false" ht="15" hidden="false" customHeight="false" outlineLevel="0" collapsed="false">
      <c r="A1839" s="3" t="n">
        <v>1838</v>
      </c>
      <c r="B1839" s="3" t="n">
        <v>1837</v>
      </c>
      <c r="C1839" s="3" t="n">
        <v>9</v>
      </c>
      <c r="D1839" s="3" t="n">
        <v>5</v>
      </c>
      <c r="E1839" s="3" t="n">
        <v>3</v>
      </c>
      <c r="F1839" s="24" t="n">
        <v>2.64468646</v>
      </c>
    </row>
    <row r="1840" customFormat="false" ht="15" hidden="false" customHeight="false" outlineLevel="0" collapsed="false">
      <c r="A1840" s="3" t="n">
        <v>1839</v>
      </c>
      <c r="B1840" s="3" t="n">
        <v>1838</v>
      </c>
      <c r="C1840" s="3" t="n">
        <v>9</v>
      </c>
      <c r="D1840" s="3" t="n">
        <v>5</v>
      </c>
      <c r="E1840" s="3" t="n">
        <v>4</v>
      </c>
      <c r="F1840" s="24" t="n">
        <v>1.81502616</v>
      </c>
    </row>
    <row r="1841" customFormat="false" ht="15" hidden="false" customHeight="false" outlineLevel="0" collapsed="false">
      <c r="A1841" s="3" t="n">
        <v>1840</v>
      </c>
      <c r="B1841" s="3" t="n">
        <v>1839</v>
      </c>
      <c r="C1841" s="3" t="n">
        <v>9</v>
      </c>
      <c r="D1841" s="3" t="n">
        <v>5</v>
      </c>
      <c r="E1841" s="3" t="n">
        <v>5</v>
      </c>
      <c r="F1841" s="24" t="n">
        <v>1.82325542</v>
      </c>
    </row>
    <row r="1842" customFormat="false" ht="15" hidden="false" customHeight="false" outlineLevel="0" collapsed="false">
      <c r="A1842" s="3" t="n">
        <v>1841</v>
      </c>
      <c r="B1842" s="3" t="n">
        <v>1840</v>
      </c>
      <c r="C1842" s="3" t="n">
        <v>9</v>
      </c>
      <c r="D1842" s="3" t="n">
        <v>5</v>
      </c>
      <c r="E1842" s="3" t="n">
        <v>6</v>
      </c>
      <c r="F1842" s="24" t="n">
        <v>1.8282572</v>
      </c>
    </row>
    <row r="1843" customFormat="false" ht="15" hidden="false" customHeight="false" outlineLevel="0" collapsed="false">
      <c r="A1843" s="3" t="n">
        <v>1842</v>
      </c>
      <c r="B1843" s="3" t="n">
        <v>1841</v>
      </c>
      <c r="C1843" s="3" t="n">
        <v>9</v>
      </c>
      <c r="D1843" s="3" t="n">
        <v>5</v>
      </c>
      <c r="E1843" s="3" t="n">
        <v>7</v>
      </c>
      <c r="F1843" s="24" t="n">
        <v>0.272320122</v>
      </c>
    </row>
    <row r="1844" customFormat="false" ht="15" hidden="false" customHeight="false" outlineLevel="0" collapsed="false">
      <c r="A1844" s="3" t="n">
        <v>1843</v>
      </c>
      <c r="B1844" s="3" t="n">
        <v>1842</v>
      </c>
      <c r="C1844" s="3" t="n">
        <v>9</v>
      </c>
      <c r="D1844" s="3" t="n">
        <v>5</v>
      </c>
      <c r="E1844" s="3" t="n">
        <v>8</v>
      </c>
      <c r="F1844" s="24" t="n">
        <v>1.83886778</v>
      </c>
    </row>
    <row r="1845" customFormat="false" ht="15" hidden="false" customHeight="false" outlineLevel="0" collapsed="false">
      <c r="A1845" s="3" t="n">
        <v>1844</v>
      </c>
      <c r="B1845" s="3" t="n">
        <v>1843</v>
      </c>
      <c r="C1845" s="3" t="n">
        <v>9</v>
      </c>
      <c r="D1845" s="3" t="n">
        <v>5</v>
      </c>
      <c r="E1845" s="3" t="n">
        <v>9</v>
      </c>
      <c r="F1845" s="24" t="n">
        <v>7.39819098</v>
      </c>
    </row>
    <row r="1846" customFormat="false" ht="15" hidden="false" customHeight="false" outlineLevel="0" collapsed="false">
      <c r="A1846" s="3" t="n">
        <v>1845</v>
      </c>
      <c r="B1846" s="3" t="n">
        <v>1844</v>
      </c>
      <c r="C1846" s="3" t="n">
        <v>9</v>
      </c>
      <c r="D1846" s="3" t="n">
        <v>5</v>
      </c>
      <c r="E1846" s="3" t="n">
        <v>10</v>
      </c>
      <c r="F1846" s="24" t="n">
        <v>4.38483429</v>
      </c>
    </row>
    <row r="1847" customFormat="false" ht="15" hidden="false" customHeight="false" outlineLevel="0" collapsed="false">
      <c r="A1847" s="3" t="n">
        <v>1846</v>
      </c>
      <c r="B1847" s="3" t="n">
        <v>1845</v>
      </c>
      <c r="C1847" s="3" t="n">
        <v>9</v>
      </c>
      <c r="D1847" s="3" t="n">
        <v>5</v>
      </c>
      <c r="E1847" s="3" t="n">
        <v>11</v>
      </c>
      <c r="F1847" s="24" t="n">
        <v>0</v>
      </c>
    </row>
    <row r="1848" customFormat="false" ht="15" hidden="false" customHeight="false" outlineLevel="0" collapsed="false">
      <c r="A1848" s="3" t="n">
        <v>1847</v>
      </c>
      <c r="B1848" s="3" t="n">
        <v>1846</v>
      </c>
      <c r="C1848" s="3" t="n">
        <v>9</v>
      </c>
      <c r="D1848" s="3" t="n">
        <v>5</v>
      </c>
      <c r="E1848" s="3" t="n">
        <v>12</v>
      </c>
      <c r="F1848" s="24" t="n">
        <v>0</v>
      </c>
    </row>
    <row r="1849" customFormat="false" ht="15" hidden="false" customHeight="false" outlineLevel="0" collapsed="false">
      <c r="A1849" s="3" t="n">
        <v>1848</v>
      </c>
      <c r="B1849" s="3" t="n">
        <v>1847</v>
      </c>
      <c r="C1849" s="3" t="n">
        <v>9</v>
      </c>
      <c r="D1849" s="3" t="n">
        <v>5</v>
      </c>
      <c r="E1849" s="3" t="n">
        <v>13</v>
      </c>
      <c r="F1849" s="24" t="n">
        <v>0.161294132</v>
      </c>
    </row>
    <row r="1850" customFormat="false" ht="15" hidden="false" customHeight="false" outlineLevel="0" collapsed="false">
      <c r="A1850" s="3" t="n">
        <v>1849</v>
      </c>
      <c r="B1850" s="3" t="n">
        <v>1848</v>
      </c>
      <c r="C1850" s="3" t="n">
        <v>9</v>
      </c>
      <c r="D1850" s="3" t="n">
        <v>6</v>
      </c>
      <c r="E1850" s="3" t="n">
        <v>0</v>
      </c>
      <c r="F1850" s="24" t="n">
        <v>0</v>
      </c>
    </row>
    <row r="1851" customFormat="false" ht="15" hidden="false" customHeight="false" outlineLevel="0" collapsed="false">
      <c r="A1851" s="3" t="n">
        <v>1850</v>
      </c>
      <c r="B1851" s="3" t="n">
        <v>1849</v>
      </c>
      <c r="C1851" s="3" t="n">
        <v>9</v>
      </c>
      <c r="D1851" s="3" t="n">
        <v>6</v>
      </c>
      <c r="E1851" s="3" t="n">
        <v>1</v>
      </c>
      <c r="F1851" s="24" t="n">
        <v>0</v>
      </c>
    </row>
    <row r="1852" customFormat="false" ht="15" hidden="false" customHeight="false" outlineLevel="0" collapsed="false">
      <c r="A1852" s="3" t="n">
        <v>1851</v>
      </c>
      <c r="B1852" s="3" t="n">
        <v>1850</v>
      </c>
      <c r="C1852" s="3" t="n">
        <v>9</v>
      </c>
      <c r="D1852" s="3" t="n">
        <v>6</v>
      </c>
      <c r="E1852" s="3" t="n">
        <v>2</v>
      </c>
      <c r="F1852" s="24" t="n">
        <v>0.118121386</v>
      </c>
    </row>
    <row r="1853" customFormat="false" ht="15" hidden="false" customHeight="false" outlineLevel="0" collapsed="false">
      <c r="A1853" s="3" t="n">
        <v>1852</v>
      </c>
      <c r="B1853" s="3" t="n">
        <v>1851</v>
      </c>
      <c r="C1853" s="3" t="n">
        <v>9</v>
      </c>
      <c r="D1853" s="3" t="n">
        <v>6</v>
      </c>
      <c r="E1853" s="3" t="n">
        <v>3</v>
      </c>
      <c r="F1853" s="24" t="n">
        <v>0.341783673</v>
      </c>
    </row>
    <row r="1854" customFormat="false" ht="15" hidden="false" customHeight="false" outlineLevel="0" collapsed="false">
      <c r="A1854" s="3" t="n">
        <v>1853</v>
      </c>
      <c r="B1854" s="3" t="n">
        <v>1852</v>
      </c>
      <c r="C1854" s="3" t="n">
        <v>9</v>
      </c>
      <c r="D1854" s="3" t="n">
        <v>6</v>
      </c>
      <c r="E1854" s="3" t="n">
        <v>4</v>
      </c>
      <c r="F1854" s="24" t="n">
        <v>0.629336596</v>
      </c>
    </row>
    <row r="1855" customFormat="false" ht="15" hidden="false" customHeight="false" outlineLevel="0" collapsed="false">
      <c r="A1855" s="3" t="n">
        <v>1854</v>
      </c>
      <c r="B1855" s="3" t="n">
        <v>1853</v>
      </c>
      <c r="C1855" s="3" t="n">
        <v>9</v>
      </c>
      <c r="D1855" s="3" t="n">
        <v>6</v>
      </c>
      <c r="E1855" s="3" t="n">
        <v>5</v>
      </c>
      <c r="F1855" s="24" t="n">
        <v>1.07281506</v>
      </c>
    </row>
    <row r="1856" customFormat="false" ht="15" hidden="false" customHeight="false" outlineLevel="0" collapsed="false">
      <c r="A1856" s="3" t="n">
        <v>1855</v>
      </c>
      <c r="B1856" s="3" t="n">
        <v>1854</v>
      </c>
      <c r="C1856" s="3" t="n">
        <v>9</v>
      </c>
      <c r="D1856" s="3" t="n">
        <v>6</v>
      </c>
      <c r="E1856" s="3" t="n">
        <v>6</v>
      </c>
      <c r="F1856" s="24" t="n">
        <v>0.495650619</v>
      </c>
    </row>
    <row r="1857" customFormat="false" ht="15" hidden="false" customHeight="false" outlineLevel="0" collapsed="false">
      <c r="A1857" s="3" t="n">
        <v>1856</v>
      </c>
      <c r="B1857" s="3" t="n">
        <v>1855</v>
      </c>
      <c r="C1857" s="3" t="n">
        <v>9</v>
      </c>
      <c r="D1857" s="3" t="n">
        <v>6</v>
      </c>
      <c r="E1857" s="3" t="n">
        <v>7</v>
      </c>
      <c r="F1857" s="24" t="n">
        <v>0</v>
      </c>
    </row>
    <row r="1858" customFormat="false" ht="15" hidden="false" customHeight="false" outlineLevel="0" collapsed="false">
      <c r="A1858" s="3" t="n">
        <v>1857</v>
      </c>
      <c r="B1858" s="3" t="n">
        <v>1856</v>
      </c>
      <c r="C1858" s="3" t="n">
        <v>9</v>
      </c>
      <c r="D1858" s="3" t="n">
        <v>6</v>
      </c>
      <c r="E1858" s="3" t="n">
        <v>8</v>
      </c>
      <c r="F1858" s="24" t="n">
        <v>5.56392193</v>
      </c>
    </row>
    <row r="1859" customFormat="false" ht="15" hidden="false" customHeight="false" outlineLevel="0" collapsed="false">
      <c r="A1859" s="3" t="n">
        <v>1858</v>
      </c>
      <c r="B1859" s="3" t="n">
        <v>1857</v>
      </c>
      <c r="C1859" s="3" t="n">
        <v>9</v>
      </c>
      <c r="D1859" s="3" t="n">
        <v>6</v>
      </c>
      <c r="E1859" s="3" t="n">
        <v>9</v>
      </c>
      <c r="F1859" s="24" t="n">
        <v>10.2039213</v>
      </c>
    </row>
    <row r="1860" customFormat="false" ht="15" hidden="false" customHeight="false" outlineLevel="0" collapsed="false">
      <c r="A1860" s="3" t="n">
        <v>1859</v>
      </c>
      <c r="B1860" s="3" t="n">
        <v>1858</v>
      </c>
      <c r="C1860" s="3" t="n">
        <v>9</v>
      </c>
      <c r="D1860" s="3" t="n">
        <v>6</v>
      </c>
      <c r="E1860" s="3" t="n">
        <v>10</v>
      </c>
      <c r="F1860" s="24" t="n">
        <v>1.95199335</v>
      </c>
    </row>
    <row r="1861" customFormat="false" ht="15" hidden="false" customHeight="false" outlineLevel="0" collapsed="false">
      <c r="A1861" s="3" t="n">
        <v>1860</v>
      </c>
      <c r="B1861" s="3" t="n">
        <v>1859</v>
      </c>
      <c r="C1861" s="3" t="n">
        <v>9</v>
      </c>
      <c r="D1861" s="3" t="n">
        <v>6</v>
      </c>
      <c r="E1861" s="3" t="n">
        <v>11</v>
      </c>
      <c r="F1861" s="24" t="n">
        <v>0</v>
      </c>
    </row>
    <row r="1862" customFormat="false" ht="15" hidden="false" customHeight="false" outlineLevel="0" collapsed="false">
      <c r="A1862" s="3" t="n">
        <v>1861</v>
      </c>
      <c r="B1862" s="3" t="n">
        <v>1860</v>
      </c>
      <c r="C1862" s="3" t="n">
        <v>9</v>
      </c>
      <c r="D1862" s="3" t="n">
        <v>6</v>
      </c>
      <c r="E1862" s="3" t="n">
        <v>12</v>
      </c>
      <c r="F1862" s="24" t="n">
        <v>0</v>
      </c>
    </row>
    <row r="1863" customFormat="false" ht="15" hidden="false" customHeight="false" outlineLevel="0" collapsed="false">
      <c r="A1863" s="3" t="n">
        <v>1862</v>
      </c>
      <c r="B1863" s="3" t="n">
        <v>1861</v>
      </c>
      <c r="C1863" s="3" t="n">
        <v>9</v>
      </c>
      <c r="D1863" s="3" t="n">
        <v>6</v>
      </c>
      <c r="E1863" s="3" t="n">
        <v>13</v>
      </c>
      <c r="F1863" s="24" t="n">
        <v>0.161294132</v>
      </c>
    </row>
    <row r="1864" customFormat="false" ht="15" hidden="false" customHeight="false" outlineLevel="0" collapsed="false">
      <c r="A1864" s="3" t="n">
        <v>1863</v>
      </c>
      <c r="B1864" s="3" t="n">
        <v>1862</v>
      </c>
      <c r="C1864" s="3" t="n">
        <v>9</v>
      </c>
      <c r="D1864" s="3" t="n">
        <v>7</v>
      </c>
      <c r="E1864" s="3" t="n">
        <v>0</v>
      </c>
      <c r="F1864" s="24" t="n">
        <v>0</v>
      </c>
    </row>
    <row r="1865" customFormat="false" ht="15" hidden="false" customHeight="false" outlineLevel="0" collapsed="false">
      <c r="A1865" s="3" t="n">
        <v>1864</v>
      </c>
      <c r="B1865" s="3" t="n">
        <v>1863</v>
      </c>
      <c r="C1865" s="3" t="n">
        <v>9</v>
      </c>
      <c r="D1865" s="3" t="n">
        <v>7</v>
      </c>
      <c r="E1865" s="3" t="n">
        <v>1</v>
      </c>
      <c r="F1865" s="24" t="n">
        <v>0</v>
      </c>
    </row>
    <row r="1866" customFormat="false" ht="15" hidden="false" customHeight="false" outlineLevel="0" collapsed="false">
      <c r="A1866" s="3" t="n">
        <v>1865</v>
      </c>
      <c r="B1866" s="3" t="n">
        <v>1864</v>
      </c>
      <c r="C1866" s="3" t="n">
        <v>9</v>
      </c>
      <c r="D1866" s="3" t="n">
        <v>7</v>
      </c>
      <c r="E1866" s="3" t="n">
        <v>2</v>
      </c>
      <c r="F1866" s="24" t="n">
        <v>0.0564652383</v>
      </c>
    </row>
    <row r="1867" customFormat="false" ht="15" hidden="false" customHeight="false" outlineLevel="0" collapsed="false">
      <c r="A1867" s="3" t="n">
        <v>1866</v>
      </c>
      <c r="B1867" s="3" t="n">
        <v>1865</v>
      </c>
      <c r="C1867" s="3" t="n">
        <v>9</v>
      </c>
      <c r="D1867" s="3" t="n">
        <v>7</v>
      </c>
      <c r="E1867" s="3" t="n">
        <v>3</v>
      </c>
      <c r="F1867" s="24" t="n">
        <v>0.0564652383</v>
      </c>
    </row>
    <row r="1868" customFormat="false" ht="15" hidden="false" customHeight="false" outlineLevel="0" collapsed="false">
      <c r="A1868" s="3" t="n">
        <v>1867</v>
      </c>
      <c r="B1868" s="3" t="n">
        <v>1866</v>
      </c>
      <c r="C1868" s="3" t="n">
        <v>9</v>
      </c>
      <c r="D1868" s="3" t="n">
        <v>7</v>
      </c>
      <c r="E1868" s="3" t="n">
        <v>4</v>
      </c>
      <c r="F1868" s="24" t="n">
        <v>0.0564652383</v>
      </c>
    </row>
    <row r="1869" customFormat="false" ht="15" hidden="false" customHeight="false" outlineLevel="0" collapsed="false">
      <c r="A1869" s="3" t="n">
        <v>1868</v>
      </c>
      <c r="B1869" s="3" t="n">
        <v>1867</v>
      </c>
      <c r="C1869" s="3" t="n">
        <v>9</v>
      </c>
      <c r="D1869" s="3" t="n">
        <v>7</v>
      </c>
      <c r="E1869" s="3" t="n">
        <v>5</v>
      </c>
      <c r="F1869" s="24" t="n">
        <v>0</v>
      </c>
    </row>
    <row r="1870" customFormat="false" ht="15" hidden="false" customHeight="false" outlineLevel="0" collapsed="false">
      <c r="A1870" s="3" t="n">
        <v>1869</v>
      </c>
      <c r="B1870" s="3" t="n">
        <v>1868</v>
      </c>
      <c r="C1870" s="3" t="n">
        <v>9</v>
      </c>
      <c r="D1870" s="3" t="n">
        <v>7</v>
      </c>
      <c r="E1870" s="3" t="n">
        <v>6</v>
      </c>
      <c r="F1870" s="24" t="n">
        <v>0</v>
      </c>
    </row>
    <row r="1871" customFormat="false" ht="15" hidden="false" customHeight="false" outlineLevel="0" collapsed="false">
      <c r="A1871" s="3" t="n">
        <v>1870</v>
      </c>
      <c r="B1871" s="3" t="n">
        <v>1869</v>
      </c>
      <c r="C1871" s="3" t="n">
        <v>9</v>
      </c>
      <c r="D1871" s="3" t="n">
        <v>7</v>
      </c>
      <c r="E1871" s="3" t="n">
        <v>7</v>
      </c>
      <c r="F1871" s="24" t="n">
        <v>2.14858341</v>
      </c>
    </row>
    <row r="1872" customFormat="false" ht="15" hidden="false" customHeight="false" outlineLevel="0" collapsed="false">
      <c r="A1872" s="3" t="n">
        <v>1871</v>
      </c>
      <c r="B1872" s="3" t="n">
        <v>1870</v>
      </c>
      <c r="C1872" s="3" t="n">
        <v>9</v>
      </c>
      <c r="D1872" s="3" t="n">
        <v>7</v>
      </c>
      <c r="E1872" s="3" t="n">
        <v>8</v>
      </c>
      <c r="F1872" s="24" t="n">
        <v>10.0886526</v>
      </c>
    </row>
    <row r="1873" customFormat="false" ht="15" hidden="false" customHeight="false" outlineLevel="0" collapsed="false">
      <c r="A1873" s="3" t="n">
        <v>1872</v>
      </c>
      <c r="B1873" s="3" t="n">
        <v>1871</v>
      </c>
      <c r="C1873" s="3" t="n">
        <v>9</v>
      </c>
      <c r="D1873" s="3" t="n">
        <v>7</v>
      </c>
      <c r="E1873" s="3" t="n">
        <v>9</v>
      </c>
      <c r="F1873" s="24" t="n">
        <v>5.9119544</v>
      </c>
    </row>
    <row r="1874" customFormat="false" ht="15" hidden="false" customHeight="false" outlineLevel="0" collapsed="false">
      <c r="A1874" s="3" t="n">
        <v>1873</v>
      </c>
      <c r="B1874" s="3" t="n">
        <v>1872</v>
      </c>
      <c r="C1874" s="3" t="n">
        <v>9</v>
      </c>
      <c r="D1874" s="3" t="n">
        <v>7</v>
      </c>
      <c r="E1874" s="3" t="n">
        <v>10</v>
      </c>
      <c r="F1874" s="24" t="n">
        <v>0</v>
      </c>
    </row>
    <row r="1875" customFormat="false" ht="15" hidden="false" customHeight="false" outlineLevel="0" collapsed="false">
      <c r="A1875" s="3" t="n">
        <v>1874</v>
      </c>
      <c r="B1875" s="3" t="n">
        <v>1873</v>
      </c>
      <c r="C1875" s="3" t="n">
        <v>9</v>
      </c>
      <c r="D1875" s="3" t="n">
        <v>7</v>
      </c>
      <c r="E1875" s="3" t="n">
        <v>11</v>
      </c>
      <c r="F1875" s="24" t="n">
        <v>0</v>
      </c>
    </row>
    <row r="1876" customFormat="false" ht="15" hidden="false" customHeight="false" outlineLevel="0" collapsed="false">
      <c r="A1876" s="3" t="n">
        <v>1875</v>
      </c>
      <c r="B1876" s="3" t="n">
        <v>1874</v>
      </c>
      <c r="C1876" s="3" t="n">
        <v>9</v>
      </c>
      <c r="D1876" s="3" t="n">
        <v>7</v>
      </c>
      <c r="E1876" s="3" t="n">
        <v>12</v>
      </c>
      <c r="F1876" s="24" t="n">
        <v>0.175389022</v>
      </c>
    </row>
    <row r="1877" customFormat="false" ht="15" hidden="false" customHeight="false" outlineLevel="0" collapsed="false">
      <c r="A1877" s="3" t="n">
        <v>1876</v>
      </c>
      <c r="B1877" s="3" t="n">
        <v>1875</v>
      </c>
      <c r="C1877" s="3" t="n">
        <v>9</v>
      </c>
      <c r="D1877" s="3" t="n">
        <v>7</v>
      </c>
      <c r="E1877" s="3" t="n">
        <v>13</v>
      </c>
      <c r="F1877" s="24" t="n">
        <v>0.161294132</v>
      </c>
    </row>
    <row r="1878" customFormat="false" ht="15" hidden="false" customHeight="false" outlineLevel="0" collapsed="false">
      <c r="A1878" s="3" t="n">
        <v>1877</v>
      </c>
      <c r="B1878" s="3" t="n">
        <v>1876</v>
      </c>
      <c r="C1878" s="3" t="n">
        <v>9</v>
      </c>
      <c r="D1878" s="3" t="n">
        <v>8</v>
      </c>
      <c r="E1878" s="3" t="n">
        <v>0</v>
      </c>
      <c r="F1878" s="24" t="n">
        <v>0</v>
      </c>
    </row>
    <row r="1879" customFormat="false" ht="15" hidden="false" customHeight="false" outlineLevel="0" collapsed="false">
      <c r="A1879" s="3" t="n">
        <v>1878</v>
      </c>
      <c r="B1879" s="3" t="n">
        <v>1877</v>
      </c>
      <c r="C1879" s="3" t="n">
        <v>9</v>
      </c>
      <c r="D1879" s="3" t="n">
        <v>8</v>
      </c>
      <c r="E1879" s="3" t="n">
        <v>1</v>
      </c>
      <c r="F1879" s="24" t="n">
        <v>0</v>
      </c>
    </row>
    <row r="1880" customFormat="false" ht="15" hidden="false" customHeight="false" outlineLevel="0" collapsed="false">
      <c r="A1880" s="3" t="n">
        <v>1879</v>
      </c>
      <c r="B1880" s="3" t="n">
        <v>1878</v>
      </c>
      <c r="C1880" s="3" t="n">
        <v>9</v>
      </c>
      <c r="D1880" s="3" t="n">
        <v>8</v>
      </c>
      <c r="E1880" s="3" t="n">
        <v>2</v>
      </c>
      <c r="F1880" s="24" t="n">
        <v>0.0564652383</v>
      </c>
    </row>
    <row r="1881" customFormat="false" ht="15" hidden="false" customHeight="false" outlineLevel="0" collapsed="false">
      <c r="A1881" s="3" t="n">
        <v>1880</v>
      </c>
      <c r="B1881" s="3" t="n">
        <v>1879</v>
      </c>
      <c r="C1881" s="3" t="n">
        <v>9</v>
      </c>
      <c r="D1881" s="3" t="n">
        <v>8</v>
      </c>
      <c r="E1881" s="3" t="n">
        <v>3</v>
      </c>
      <c r="F1881" s="24" t="n">
        <v>0.0564652383</v>
      </c>
    </row>
    <row r="1882" customFormat="false" ht="15" hidden="false" customHeight="false" outlineLevel="0" collapsed="false">
      <c r="A1882" s="3" t="n">
        <v>1881</v>
      </c>
      <c r="B1882" s="3" t="n">
        <v>1880</v>
      </c>
      <c r="C1882" s="3" t="n">
        <v>9</v>
      </c>
      <c r="D1882" s="3" t="n">
        <v>8</v>
      </c>
      <c r="E1882" s="3" t="n">
        <v>4</v>
      </c>
      <c r="F1882" s="24" t="n">
        <v>0.054462105</v>
      </c>
    </row>
    <row r="1883" customFormat="false" ht="15" hidden="false" customHeight="false" outlineLevel="0" collapsed="false">
      <c r="A1883" s="3" t="n">
        <v>1882</v>
      </c>
      <c r="B1883" s="3" t="n">
        <v>1881</v>
      </c>
      <c r="C1883" s="3" t="n">
        <v>9</v>
      </c>
      <c r="D1883" s="3" t="n">
        <v>8</v>
      </c>
      <c r="E1883" s="3" t="n">
        <v>5</v>
      </c>
      <c r="F1883" s="24" t="n">
        <v>0</v>
      </c>
    </row>
    <row r="1884" customFormat="false" ht="15" hidden="false" customHeight="false" outlineLevel="0" collapsed="false">
      <c r="A1884" s="3" t="n">
        <v>1883</v>
      </c>
      <c r="B1884" s="3" t="n">
        <v>1882</v>
      </c>
      <c r="C1884" s="3" t="n">
        <v>9</v>
      </c>
      <c r="D1884" s="3" t="n">
        <v>8</v>
      </c>
      <c r="E1884" s="3" t="n">
        <v>6</v>
      </c>
      <c r="F1884" s="24" t="n">
        <v>0</v>
      </c>
    </row>
    <row r="1885" customFormat="false" ht="15" hidden="false" customHeight="false" outlineLevel="0" collapsed="false">
      <c r="A1885" s="3" t="n">
        <v>1884</v>
      </c>
      <c r="B1885" s="3" t="n">
        <v>1883</v>
      </c>
      <c r="C1885" s="3" t="n">
        <v>9</v>
      </c>
      <c r="D1885" s="3" t="n">
        <v>8</v>
      </c>
      <c r="E1885" s="3" t="n">
        <v>7</v>
      </c>
      <c r="F1885" s="24" t="n">
        <v>5.89212275</v>
      </c>
    </row>
    <row r="1886" customFormat="false" ht="15" hidden="false" customHeight="false" outlineLevel="0" collapsed="false">
      <c r="A1886" s="3" t="n">
        <v>1885</v>
      </c>
      <c r="B1886" s="3" t="n">
        <v>1884</v>
      </c>
      <c r="C1886" s="3" t="n">
        <v>9</v>
      </c>
      <c r="D1886" s="3" t="n">
        <v>8</v>
      </c>
      <c r="E1886" s="3" t="n">
        <v>8</v>
      </c>
      <c r="F1886" s="24" t="n">
        <v>9.67237949</v>
      </c>
    </row>
    <row r="1887" customFormat="false" ht="15" hidden="false" customHeight="false" outlineLevel="0" collapsed="false">
      <c r="A1887" s="3" t="n">
        <v>1886</v>
      </c>
      <c r="B1887" s="3" t="n">
        <v>1885</v>
      </c>
      <c r="C1887" s="3" t="n">
        <v>9</v>
      </c>
      <c r="D1887" s="3" t="n">
        <v>8</v>
      </c>
      <c r="E1887" s="3" t="n">
        <v>9</v>
      </c>
      <c r="F1887" s="24" t="n">
        <v>2.19564533</v>
      </c>
    </row>
    <row r="1888" customFormat="false" ht="15" hidden="false" customHeight="false" outlineLevel="0" collapsed="false">
      <c r="A1888" s="3" t="n">
        <v>1887</v>
      </c>
      <c r="B1888" s="3" t="n">
        <v>1886</v>
      </c>
      <c r="C1888" s="3" t="n">
        <v>9</v>
      </c>
      <c r="D1888" s="3" t="n">
        <v>8</v>
      </c>
      <c r="E1888" s="3" t="n">
        <v>10</v>
      </c>
      <c r="F1888" s="24" t="n">
        <v>0</v>
      </c>
    </row>
    <row r="1889" customFormat="false" ht="15" hidden="false" customHeight="false" outlineLevel="0" collapsed="false">
      <c r="A1889" s="3" t="n">
        <v>1888</v>
      </c>
      <c r="B1889" s="3" t="n">
        <v>1887</v>
      </c>
      <c r="C1889" s="3" t="n">
        <v>9</v>
      </c>
      <c r="D1889" s="3" t="n">
        <v>8</v>
      </c>
      <c r="E1889" s="3" t="n">
        <v>11</v>
      </c>
      <c r="F1889" s="24" t="n">
        <v>0</v>
      </c>
    </row>
    <row r="1890" customFormat="false" ht="15" hidden="false" customHeight="false" outlineLevel="0" collapsed="false">
      <c r="A1890" s="3" t="n">
        <v>1889</v>
      </c>
      <c r="B1890" s="3" t="n">
        <v>1888</v>
      </c>
      <c r="C1890" s="3" t="n">
        <v>9</v>
      </c>
      <c r="D1890" s="3" t="n">
        <v>8</v>
      </c>
      <c r="E1890" s="3" t="n">
        <v>12</v>
      </c>
      <c r="F1890" s="24" t="n">
        <v>0.182477832</v>
      </c>
    </row>
    <row r="1891" customFormat="false" ht="15" hidden="false" customHeight="false" outlineLevel="0" collapsed="false">
      <c r="A1891" s="3" t="n">
        <v>1890</v>
      </c>
      <c r="B1891" s="3" t="n">
        <v>1889</v>
      </c>
      <c r="C1891" s="3" t="n">
        <v>9</v>
      </c>
      <c r="D1891" s="3" t="n">
        <v>8</v>
      </c>
      <c r="E1891" s="3" t="n">
        <v>13</v>
      </c>
      <c r="F1891" s="24" t="n">
        <v>0.161294132</v>
      </c>
    </row>
    <row r="1892" customFormat="false" ht="15" hidden="false" customHeight="false" outlineLevel="0" collapsed="false">
      <c r="A1892" s="3" t="n">
        <v>1891</v>
      </c>
      <c r="B1892" s="3" t="n">
        <v>1890</v>
      </c>
      <c r="C1892" s="3" t="n">
        <v>9</v>
      </c>
      <c r="D1892" s="3" t="n">
        <v>9</v>
      </c>
      <c r="E1892" s="3" t="n">
        <v>0</v>
      </c>
      <c r="F1892" s="24" t="n">
        <v>0</v>
      </c>
    </row>
    <row r="1893" customFormat="false" ht="15" hidden="false" customHeight="false" outlineLevel="0" collapsed="false">
      <c r="A1893" s="3" t="n">
        <v>1892</v>
      </c>
      <c r="B1893" s="3" t="n">
        <v>1891</v>
      </c>
      <c r="C1893" s="3" t="n">
        <v>9</v>
      </c>
      <c r="D1893" s="3" t="n">
        <v>9</v>
      </c>
      <c r="E1893" s="3" t="n">
        <v>1</v>
      </c>
      <c r="F1893" s="24" t="n">
        <v>0</v>
      </c>
    </row>
    <row r="1894" customFormat="false" ht="15" hidden="false" customHeight="false" outlineLevel="0" collapsed="false">
      <c r="A1894" s="3" t="n">
        <v>1893</v>
      </c>
      <c r="B1894" s="3" t="n">
        <v>1892</v>
      </c>
      <c r="C1894" s="3" t="n">
        <v>9</v>
      </c>
      <c r="D1894" s="3" t="n">
        <v>9</v>
      </c>
      <c r="E1894" s="3" t="n">
        <v>2</v>
      </c>
      <c r="F1894" s="24" t="n">
        <v>0.0564652383</v>
      </c>
    </row>
    <row r="1895" customFormat="false" ht="15" hidden="false" customHeight="false" outlineLevel="0" collapsed="false">
      <c r="A1895" s="3" t="n">
        <v>1894</v>
      </c>
      <c r="B1895" s="3" t="n">
        <v>1893</v>
      </c>
      <c r="C1895" s="3" t="n">
        <v>9</v>
      </c>
      <c r="D1895" s="3" t="n">
        <v>9</v>
      </c>
      <c r="E1895" s="3" t="n">
        <v>3</v>
      </c>
      <c r="F1895" s="24" t="n">
        <v>0.0564652383</v>
      </c>
    </row>
    <row r="1896" customFormat="false" ht="15" hidden="false" customHeight="false" outlineLevel="0" collapsed="false">
      <c r="A1896" s="3" t="n">
        <v>1895</v>
      </c>
      <c r="B1896" s="3" t="n">
        <v>1894</v>
      </c>
      <c r="C1896" s="3" t="n">
        <v>9</v>
      </c>
      <c r="D1896" s="3" t="n">
        <v>9</v>
      </c>
      <c r="E1896" s="3" t="n">
        <v>4</v>
      </c>
      <c r="F1896" s="24" t="n">
        <v>0</v>
      </c>
    </row>
    <row r="1897" customFormat="false" ht="15" hidden="false" customHeight="false" outlineLevel="0" collapsed="false">
      <c r="A1897" s="3" t="n">
        <v>1896</v>
      </c>
      <c r="B1897" s="3" t="n">
        <v>1895</v>
      </c>
      <c r="C1897" s="3" t="n">
        <v>9</v>
      </c>
      <c r="D1897" s="3" t="n">
        <v>9</v>
      </c>
      <c r="E1897" s="3" t="n">
        <v>5</v>
      </c>
      <c r="F1897" s="24" t="n">
        <v>0</v>
      </c>
    </row>
    <row r="1898" customFormat="false" ht="15" hidden="false" customHeight="false" outlineLevel="0" collapsed="false">
      <c r="A1898" s="3" t="n">
        <v>1897</v>
      </c>
      <c r="B1898" s="3" t="n">
        <v>1896</v>
      </c>
      <c r="C1898" s="3" t="n">
        <v>9</v>
      </c>
      <c r="D1898" s="3" t="n">
        <v>9</v>
      </c>
      <c r="E1898" s="3" t="n">
        <v>6</v>
      </c>
      <c r="F1898" s="24" t="n">
        <v>2.56936312</v>
      </c>
    </row>
    <row r="1899" customFormat="false" ht="15" hidden="false" customHeight="false" outlineLevel="0" collapsed="false">
      <c r="A1899" s="3" t="n">
        <v>1898</v>
      </c>
      <c r="B1899" s="3" t="n">
        <v>1897</v>
      </c>
      <c r="C1899" s="3" t="n">
        <v>9</v>
      </c>
      <c r="D1899" s="3" t="n">
        <v>9</v>
      </c>
      <c r="E1899" s="3" t="n">
        <v>7</v>
      </c>
      <c r="F1899" s="24" t="n">
        <v>11.3129549</v>
      </c>
    </row>
    <row r="1900" customFormat="false" ht="15" hidden="false" customHeight="false" outlineLevel="0" collapsed="false">
      <c r="A1900" s="3" t="n">
        <v>1899</v>
      </c>
      <c r="B1900" s="3" t="n">
        <v>1898</v>
      </c>
      <c r="C1900" s="3" t="n">
        <v>9</v>
      </c>
      <c r="D1900" s="3" t="n">
        <v>9</v>
      </c>
      <c r="E1900" s="3" t="n">
        <v>8</v>
      </c>
      <c r="F1900" s="24" t="n">
        <v>6.31354284</v>
      </c>
    </row>
    <row r="1901" customFormat="false" ht="15" hidden="false" customHeight="false" outlineLevel="0" collapsed="false">
      <c r="A1901" s="3" t="n">
        <v>1900</v>
      </c>
      <c r="B1901" s="3" t="n">
        <v>1899</v>
      </c>
      <c r="C1901" s="3" t="n">
        <v>9</v>
      </c>
      <c r="D1901" s="3" t="n">
        <v>9</v>
      </c>
      <c r="E1901" s="3" t="n">
        <v>9</v>
      </c>
      <c r="F1901" s="24" t="n">
        <v>0</v>
      </c>
    </row>
    <row r="1902" customFormat="false" ht="15" hidden="false" customHeight="false" outlineLevel="0" collapsed="false">
      <c r="A1902" s="3" t="n">
        <v>1901</v>
      </c>
      <c r="B1902" s="3" t="n">
        <v>1900</v>
      </c>
      <c r="C1902" s="3" t="n">
        <v>9</v>
      </c>
      <c r="D1902" s="3" t="n">
        <v>9</v>
      </c>
      <c r="E1902" s="3" t="n">
        <v>10</v>
      </c>
      <c r="F1902" s="24" t="n">
        <v>0</v>
      </c>
    </row>
    <row r="1903" customFormat="false" ht="15" hidden="false" customHeight="false" outlineLevel="0" collapsed="false">
      <c r="A1903" s="3" t="n">
        <v>1902</v>
      </c>
      <c r="B1903" s="3" t="n">
        <v>1901</v>
      </c>
      <c r="C1903" s="3" t="n">
        <v>9</v>
      </c>
      <c r="D1903" s="3" t="n">
        <v>9</v>
      </c>
      <c r="E1903" s="3" t="n">
        <v>11</v>
      </c>
      <c r="F1903" s="24" t="n">
        <v>0.0578909814</v>
      </c>
    </row>
    <row r="1904" customFormat="false" ht="15" hidden="false" customHeight="false" outlineLevel="0" collapsed="false">
      <c r="A1904" s="3" t="n">
        <v>1903</v>
      </c>
      <c r="B1904" s="3" t="n">
        <v>1902</v>
      </c>
      <c r="C1904" s="3" t="n">
        <v>9</v>
      </c>
      <c r="D1904" s="3" t="n">
        <v>9</v>
      </c>
      <c r="E1904" s="3" t="n">
        <v>12</v>
      </c>
      <c r="F1904" s="24" t="n">
        <v>0.182477832</v>
      </c>
    </row>
    <row r="1905" customFormat="false" ht="15" hidden="false" customHeight="false" outlineLevel="0" collapsed="false">
      <c r="A1905" s="3" t="n">
        <v>1904</v>
      </c>
      <c r="B1905" s="3" t="n">
        <v>1903</v>
      </c>
      <c r="C1905" s="3" t="n">
        <v>9</v>
      </c>
      <c r="D1905" s="3" t="n">
        <v>9</v>
      </c>
      <c r="E1905" s="3" t="n">
        <v>13</v>
      </c>
      <c r="F1905" s="24" t="n">
        <v>0.161294132</v>
      </c>
    </row>
    <row r="1906" customFormat="false" ht="15" hidden="false" customHeight="false" outlineLevel="0" collapsed="false">
      <c r="A1906" s="3" t="n">
        <v>1905</v>
      </c>
      <c r="B1906" s="3" t="n">
        <v>1904</v>
      </c>
      <c r="C1906" s="3" t="n">
        <v>9</v>
      </c>
      <c r="D1906" s="3" t="n">
        <v>10</v>
      </c>
      <c r="E1906" s="3" t="n">
        <v>0</v>
      </c>
      <c r="F1906" s="24" t="n">
        <v>0</v>
      </c>
    </row>
    <row r="1907" customFormat="false" ht="15" hidden="false" customHeight="false" outlineLevel="0" collapsed="false">
      <c r="A1907" s="3" t="n">
        <v>1906</v>
      </c>
      <c r="B1907" s="3" t="n">
        <v>1905</v>
      </c>
      <c r="C1907" s="3" t="n">
        <v>9</v>
      </c>
      <c r="D1907" s="3" t="n">
        <v>10</v>
      </c>
      <c r="E1907" s="3" t="n">
        <v>1</v>
      </c>
      <c r="F1907" s="24" t="n">
        <v>0</v>
      </c>
    </row>
    <row r="1908" customFormat="false" ht="15" hidden="false" customHeight="false" outlineLevel="0" collapsed="false">
      <c r="A1908" s="3" t="n">
        <v>1907</v>
      </c>
      <c r="B1908" s="3" t="n">
        <v>1906</v>
      </c>
      <c r="C1908" s="3" t="n">
        <v>9</v>
      </c>
      <c r="D1908" s="3" t="n">
        <v>10</v>
      </c>
      <c r="E1908" s="3" t="n">
        <v>2</v>
      </c>
      <c r="F1908" s="24" t="n">
        <v>0.0564652383</v>
      </c>
    </row>
    <row r="1909" customFormat="false" ht="15" hidden="false" customHeight="false" outlineLevel="0" collapsed="false">
      <c r="A1909" s="3" t="n">
        <v>1908</v>
      </c>
      <c r="B1909" s="3" t="n">
        <v>1907</v>
      </c>
      <c r="C1909" s="3" t="n">
        <v>9</v>
      </c>
      <c r="D1909" s="3" t="n">
        <v>10</v>
      </c>
      <c r="E1909" s="3" t="n">
        <v>3</v>
      </c>
      <c r="F1909" s="24" t="n">
        <v>0</v>
      </c>
    </row>
    <row r="1910" customFormat="false" ht="15" hidden="false" customHeight="false" outlineLevel="0" collapsed="false">
      <c r="A1910" s="3" t="n">
        <v>1909</v>
      </c>
      <c r="B1910" s="3" t="n">
        <v>1908</v>
      </c>
      <c r="C1910" s="3" t="n">
        <v>9</v>
      </c>
      <c r="D1910" s="3" t="n">
        <v>10</v>
      </c>
      <c r="E1910" s="3" t="n">
        <v>4</v>
      </c>
      <c r="F1910" s="24" t="n">
        <v>0</v>
      </c>
    </row>
    <row r="1911" customFormat="false" ht="15" hidden="false" customHeight="false" outlineLevel="0" collapsed="false">
      <c r="A1911" s="3" t="n">
        <v>1910</v>
      </c>
      <c r="B1911" s="3" t="n">
        <v>1909</v>
      </c>
      <c r="C1911" s="3" t="n">
        <v>9</v>
      </c>
      <c r="D1911" s="3" t="n">
        <v>10</v>
      </c>
      <c r="E1911" s="3" t="n">
        <v>5</v>
      </c>
      <c r="F1911" s="24" t="n">
        <v>0.946183681</v>
      </c>
    </row>
    <row r="1912" customFormat="false" ht="15" hidden="false" customHeight="false" outlineLevel="0" collapsed="false">
      <c r="A1912" s="3" t="n">
        <v>1911</v>
      </c>
      <c r="B1912" s="3" t="n">
        <v>1910</v>
      </c>
      <c r="C1912" s="3" t="n">
        <v>9</v>
      </c>
      <c r="D1912" s="3" t="n">
        <v>10</v>
      </c>
      <c r="E1912" s="3" t="n">
        <v>6</v>
      </c>
      <c r="F1912" s="24" t="n">
        <v>9.27487183</v>
      </c>
    </row>
    <row r="1913" customFormat="false" ht="15" hidden="false" customHeight="false" outlineLevel="0" collapsed="false">
      <c r="A1913" s="3" t="n">
        <v>1912</v>
      </c>
      <c r="B1913" s="3" t="n">
        <v>1911</v>
      </c>
      <c r="C1913" s="3" t="n">
        <v>9</v>
      </c>
      <c r="D1913" s="3" t="n">
        <v>10</v>
      </c>
      <c r="E1913" s="3" t="n">
        <v>7</v>
      </c>
      <c r="F1913" s="24" t="n">
        <v>8.05525494</v>
      </c>
    </row>
    <row r="1914" customFormat="false" ht="15" hidden="false" customHeight="false" outlineLevel="0" collapsed="false">
      <c r="A1914" s="3" t="n">
        <v>1913</v>
      </c>
      <c r="B1914" s="3" t="n">
        <v>1912</v>
      </c>
      <c r="C1914" s="3" t="n">
        <v>9</v>
      </c>
      <c r="D1914" s="3" t="n">
        <v>10</v>
      </c>
      <c r="E1914" s="3" t="n">
        <v>8</v>
      </c>
      <c r="F1914" s="24" t="n">
        <v>0.861157537</v>
      </c>
    </row>
    <row r="1915" customFormat="false" ht="15" hidden="false" customHeight="false" outlineLevel="0" collapsed="false">
      <c r="A1915" s="3" t="n">
        <v>1914</v>
      </c>
      <c r="B1915" s="3" t="n">
        <v>1913</v>
      </c>
      <c r="C1915" s="3" t="n">
        <v>9</v>
      </c>
      <c r="D1915" s="3" t="n">
        <v>10</v>
      </c>
      <c r="E1915" s="3" t="n">
        <v>9</v>
      </c>
      <c r="F1915" s="24" t="n">
        <v>0</v>
      </c>
    </row>
    <row r="1916" customFormat="false" ht="15" hidden="false" customHeight="false" outlineLevel="0" collapsed="false">
      <c r="A1916" s="3" t="n">
        <v>1915</v>
      </c>
      <c r="B1916" s="3" t="n">
        <v>1914</v>
      </c>
      <c r="C1916" s="3" t="n">
        <v>9</v>
      </c>
      <c r="D1916" s="3" t="n">
        <v>10</v>
      </c>
      <c r="E1916" s="3" t="n">
        <v>10</v>
      </c>
      <c r="F1916" s="24" t="n">
        <v>0</v>
      </c>
    </row>
    <row r="1917" customFormat="false" ht="15" hidden="false" customHeight="false" outlineLevel="0" collapsed="false">
      <c r="A1917" s="3" t="n">
        <v>1916</v>
      </c>
      <c r="B1917" s="3" t="n">
        <v>1915</v>
      </c>
      <c r="C1917" s="3" t="n">
        <v>9</v>
      </c>
      <c r="D1917" s="3" t="n">
        <v>10</v>
      </c>
      <c r="E1917" s="3" t="n">
        <v>11</v>
      </c>
      <c r="F1917" s="24" t="n">
        <v>0.0564652383</v>
      </c>
    </row>
    <row r="1918" customFormat="false" ht="15" hidden="false" customHeight="false" outlineLevel="0" collapsed="false">
      <c r="A1918" s="3" t="n">
        <v>1917</v>
      </c>
      <c r="B1918" s="3" t="n">
        <v>1916</v>
      </c>
      <c r="C1918" s="3" t="n">
        <v>9</v>
      </c>
      <c r="D1918" s="3" t="n">
        <v>10</v>
      </c>
      <c r="E1918" s="3" t="n">
        <v>12</v>
      </c>
      <c r="F1918" s="24" t="n">
        <v>0.182477832</v>
      </c>
    </row>
    <row r="1919" customFormat="false" ht="15" hidden="false" customHeight="false" outlineLevel="0" collapsed="false">
      <c r="A1919" s="3" t="n">
        <v>1918</v>
      </c>
      <c r="B1919" s="3" t="n">
        <v>1917</v>
      </c>
      <c r="C1919" s="3" t="n">
        <v>9</v>
      </c>
      <c r="D1919" s="3" t="n">
        <v>10</v>
      </c>
      <c r="E1919" s="3" t="n">
        <v>13</v>
      </c>
      <c r="F1919" s="24" t="n">
        <v>0.161294132</v>
      </c>
    </row>
    <row r="1920" customFormat="false" ht="15" hidden="false" customHeight="false" outlineLevel="0" collapsed="false">
      <c r="A1920" s="3" t="n">
        <v>1919</v>
      </c>
      <c r="B1920" s="3" t="n">
        <v>1918</v>
      </c>
      <c r="C1920" s="3" t="n">
        <v>9</v>
      </c>
      <c r="D1920" s="3" t="n">
        <v>11</v>
      </c>
      <c r="E1920" s="3" t="n">
        <v>0</v>
      </c>
      <c r="F1920" s="24" t="n">
        <v>0</v>
      </c>
    </row>
    <row r="1921" customFormat="false" ht="15" hidden="false" customHeight="false" outlineLevel="0" collapsed="false">
      <c r="A1921" s="3" t="n">
        <v>1920</v>
      </c>
      <c r="B1921" s="3" t="n">
        <v>1919</v>
      </c>
      <c r="C1921" s="3" t="n">
        <v>9</v>
      </c>
      <c r="D1921" s="3" t="n">
        <v>11</v>
      </c>
      <c r="E1921" s="3" t="n">
        <v>1</v>
      </c>
      <c r="F1921" s="24" t="n">
        <v>0</v>
      </c>
    </row>
    <row r="1922" customFormat="false" ht="15" hidden="false" customHeight="false" outlineLevel="0" collapsed="false">
      <c r="A1922" s="3" t="n">
        <v>1921</v>
      </c>
      <c r="B1922" s="3" t="n">
        <v>1920</v>
      </c>
      <c r="C1922" s="3" t="n">
        <v>9</v>
      </c>
      <c r="D1922" s="3" t="n">
        <v>11</v>
      </c>
      <c r="E1922" s="3" t="n">
        <v>2</v>
      </c>
      <c r="F1922" s="24" t="n">
        <v>0.0564652383</v>
      </c>
    </row>
    <row r="1923" customFormat="false" ht="15" hidden="false" customHeight="false" outlineLevel="0" collapsed="false">
      <c r="A1923" s="3" t="n">
        <v>1922</v>
      </c>
      <c r="B1923" s="3" t="n">
        <v>1921</v>
      </c>
      <c r="C1923" s="3" t="n">
        <v>9</v>
      </c>
      <c r="D1923" s="3" t="n">
        <v>11</v>
      </c>
      <c r="E1923" s="3" t="n">
        <v>3</v>
      </c>
      <c r="F1923" s="24" t="n">
        <v>0</v>
      </c>
    </row>
    <row r="1924" customFormat="false" ht="15" hidden="false" customHeight="false" outlineLevel="0" collapsed="false">
      <c r="A1924" s="3" t="n">
        <v>1923</v>
      </c>
      <c r="B1924" s="3" t="n">
        <v>1922</v>
      </c>
      <c r="C1924" s="3" t="n">
        <v>9</v>
      </c>
      <c r="D1924" s="3" t="n">
        <v>11</v>
      </c>
      <c r="E1924" s="3" t="n">
        <v>4</v>
      </c>
      <c r="F1924" s="24" t="n">
        <v>0</v>
      </c>
    </row>
    <row r="1925" customFormat="false" ht="15" hidden="false" customHeight="false" outlineLevel="0" collapsed="false">
      <c r="A1925" s="3" t="n">
        <v>1924</v>
      </c>
      <c r="B1925" s="3" t="n">
        <v>1923</v>
      </c>
      <c r="C1925" s="3" t="n">
        <v>9</v>
      </c>
      <c r="D1925" s="3" t="n">
        <v>11</v>
      </c>
      <c r="E1925" s="3" t="n">
        <v>5</v>
      </c>
      <c r="F1925" s="24" t="n">
        <v>4.31428862</v>
      </c>
    </row>
    <row r="1926" customFormat="false" ht="15" hidden="false" customHeight="false" outlineLevel="0" collapsed="false">
      <c r="A1926" s="3" t="n">
        <v>1925</v>
      </c>
      <c r="B1926" s="3" t="n">
        <v>1924</v>
      </c>
      <c r="C1926" s="3" t="n">
        <v>9</v>
      </c>
      <c r="D1926" s="3" t="n">
        <v>11</v>
      </c>
      <c r="E1926" s="3" t="n">
        <v>6</v>
      </c>
      <c r="F1926" s="24" t="n">
        <v>10.0826683</v>
      </c>
    </row>
    <row r="1927" customFormat="false" ht="15" hidden="false" customHeight="false" outlineLevel="0" collapsed="false">
      <c r="A1927" s="3" t="n">
        <v>1926</v>
      </c>
      <c r="B1927" s="3" t="n">
        <v>1925</v>
      </c>
      <c r="C1927" s="3" t="n">
        <v>9</v>
      </c>
      <c r="D1927" s="3" t="n">
        <v>11</v>
      </c>
      <c r="E1927" s="3" t="n">
        <v>7</v>
      </c>
      <c r="F1927" s="24" t="n">
        <v>3.94547415</v>
      </c>
    </row>
    <row r="1928" customFormat="false" ht="15" hidden="false" customHeight="false" outlineLevel="0" collapsed="false">
      <c r="A1928" s="3" t="n">
        <v>1927</v>
      </c>
      <c r="B1928" s="3" t="n">
        <v>1926</v>
      </c>
      <c r="C1928" s="3" t="n">
        <v>9</v>
      </c>
      <c r="D1928" s="3" t="n">
        <v>11</v>
      </c>
      <c r="E1928" s="3" t="n">
        <v>8</v>
      </c>
      <c r="F1928" s="24" t="n">
        <v>0</v>
      </c>
    </row>
    <row r="1929" customFormat="false" ht="15" hidden="false" customHeight="false" outlineLevel="0" collapsed="false">
      <c r="A1929" s="3" t="n">
        <v>1928</v>
      </c>
      <c r="B1929" s="3" t="n">
        <v>1927</v>
      </c>
      <c r="C1929" s="3" t="n">
        <v>9</v>
      </c>
      <c r="D1929" s="3" t="n">
        <v>11</v>
      </c>
      <c r="E1929" s="3" t="n">
        <v>9</v>
      </c>
      <c r="F1929" s="24" t="n">
        <v>0</v>
      </c>
    </row>
    <row r="1930" customFormat="false" ht="15" hidden="false" customHeight="false" outlineLevel="0" collapsed="false">
      <c r="A1930" s="3" t="n">
        <v>1929</v>
      </c>
      <c r="B1930" s="3" t="n">
        <v>1928</v>
      </c>
      <c r="C1930" s="3" t="n">
        <v>9</v>
      </c>
      <c r="D1930" s="3" t="n">
        <v>11</v>
      </c>
      <c r="E1930" s="3" t="n">
        <v>10</v>
      </c>
      <c r="F1930" s="24" t="n">
        <v>0.0564652383</v>
      </c>
    </row>
    <row r="1931" customFormat="false" ht="15" hidden="false" customHeight="false" outlineLevel="0" collapsed="false">
      <c r="A1931" s="3" t="n">
        <v>1930</v>
      </c>
      <c r="B1931" s="3" t="n">
        <v>1929</v>
      </c>
      <c r="C1931" s="3" t="n">
        <v>9</v>
      </c>
      <c r="D1931" s="3" t="n">
        <v>11</v>
      </c>
      <c r="E1931" s="3" t="n">
        <v>11</v>
      </c>
      <c r="F1931" s="24" t="n">
        <v>0.0564652383</v>
      </c>
    </row>
    <row r="1932" customFormat="false" ht="15" hidden="false" customHeight="false" outlineLevel="0" collapsed="false">
      <c r="A1932" s="3" t="n">
        <v>1931</v>
      </c>
      <c r="B1932" s="3" t="n">
        <v>1930</v>
      </c>
      <c r="C1932" s="3" t="n">
        <v>9</v>
      </c>
      <c r="D1932" s="3" t="n">
        <v>11</v>
      </c>
      <c r="E1932" s="3" t="n">
        <v>12</v>
      </c>
      <c r="F1932" s="24" t="n">
        <v>0.182477832</v>
      </c>
    </row>
    <row r="1933" customFormat="false" ht="15" hidden="false" customHeight="false" outlineLevel="0" collapsed="false">
      <c r="A1933" s="3" t="n">
        <v>1932</v>
      </c>
      <c r="B1933" s="3" t="n">
        <v>1931</v>
      </c>
      <c r="C1933" s="3" t="n">
        <v>9</v>
      </c>
      <c r="D1933" s="3" t="n">
        <v>11</v>
      </c>
      <c r="E1933" s="3" t="n">
        <v>13</v>
      </c>
      <c r="F1933" s="24" t="n">
        <v>0.161294132</v>
      </c>
    </row>
    <row r="1934" customFormat="false" ht="15" hidden="false" customHeight="false" outlineLevel="0" collapsed="false">
      <c r="A1934" s="3" t="n">
        <v>1933</v>
      </c>
      <c r="B1934" s="3" t="n">
        <v>1932</v>
      </c>
      <c r="C1934" s="3" t="n">
        <v>9</v>
      </c>
      <c r="D1934" s="3" t="n">
        <v>12</v>
      </c>
      <c r="E1934" s="3" t="n">
        <v>0</v>
      </c>
      <c r="F1934" s="24" t="n">
        <v>0</v>
      </c>
    </row>
    <row r="1935" customFormat="false" ht="15" hidden="false" customHeight="false" outlineLevel="0" collapsed="false">
      <c r="A1935" s="3" t="n">
        <v>1934</v>
      </c>
      <c r="B1935" s="3" t="n">
        <v>1933</v>
      </c>
      <c r="C1935" s="3" t="n">
        <v>9</v>
      </c>
      <c r="D1935" s="3" t="n">
        <v>12</v>
      </c>
      <c r="E1935" s="3" t="n">
        <v>1</v>
      </c>
      <c r="F1935" s="24" t="n">
        <v>0</v>
      </c>
    </row>
    <row r="1936" customFormat="false" ht="15" hidden="false" customHeight="false" outlineLevel="0" collapsed="false">
      <c r="A1936" s="3" t="n">
        <v>1935</v>
      </c>
      <c r="B1936" s="3" t="n">
        <v>1934</v>
      </c>
      <c r="C1936" s="3" t="n">
        <v>9</v>
      </c>
      <c r="D1936" s="3" t="n">
        <v>12</v>
      </c>
      <c r="E1936" s="3" t="n">
        <v>2</v>
      </c>
      <c r="F1936" s="24" t="n">
        <v>0</v>
      </c>
    </row>
    <row r="1937" customFormat="false" ht="15" hidden="false" customHeight="false" outlineLevel="0" collapsed="false">
      <c r="A1937" s="3" t="n">
        <v>1936</v>
      </c>
      <c r="B1937" s="3" t="n">
        <v>1935</v>
      </c>
      <c r="C1937" s="3" t="n">
        <v>9</v>
      </c>
      <c r="D1937" s="3" t="n">
        <v>12</v>
      </c>
      <c r="E1937" s="3" t="n">
        <v>3</v>
      </c>
      <c r="F1937" s="24" t="n">
        <v>0</v>
      </c>
    </row>
    <row r="1938" customFormat="false" ht="15" hidden="false" customHeight="false" outlineLevel="0" collapsed="false">
      <c r="A1938" s="3" t="n">
        <v>1937</v>
      </c>
      <c r="B1938" s="3" t="n">
        <v>1936</v>
      </c>
      <c r="C1938" s="3" t="n">
        <v>9</v>
      </c>
      <c r="D1938" s="3" t="n">
        <v>12</v>
      </c>
      <c r="E1938" s="3" t="n">
        <v>4</v>
      </c>
      <c r="F1938" s="24" t="n">
        <v>1.06328058</v>
      </c>
    </row>
    <row r="1939" customFormat="false" ht="15" hidden="false" customHeight="false" outlineLevel="0" collapsed="false">
      <c r="A1939" s="3" t="n">
        <v>1938</v>
      </c>
      <c r="B1939" s="3" t="n">
        <v>1937</v>
      </c>
      <c r="C1939" s="3" t="n">
        <v>9</v>
      </c>
      <c r="D1939" s="3" t="n">
        <v>12</v>
      </c>
      <c r="E1939" s="3" t="n">
        <v>5</v>
      </c>
      <c r="F1939" s="24" t="n">
        <v>7.00890017</v>
      </c>
    </row>
    <row r="1940" customFormat="false" ht="15" hidden="false" customHeight="false" outlineLevel="0" collapsed="false">
      <c r="A1940" s="3" t="n">
        <v>1939</v>
      </c>
      <c r="B1940" s="3" t="n">
        <v>1938</v>
      </c>
      <c r="C1940" s="3" t="n">
        <v>9</v>
      </c>
      <c r="D1940" s="3" t="n">
        <v>12</v>
      </c>
      <c r="E1940" s="3" t="n">
        <v>6</v>
      </c>
      <c r="F1940" s="24" t="n">
        <v>7.14055395</v>
      </c>
    </row>
    <row r="1941" customFormat="false" ht="15" hidden="false" customHeight="false" outlineLevel="0" collapsed="false">
      <c r="A1941" s="3" t="n">
        <v>1940</v>
      </c>
      <c r="B1941" s="3" t="n">
        <v>1939</v>
      </c>
      <c r="C1941" s="3" t="n">
        <v>9</v>
      </c>
      <c r="D1941" s="3" t="n">
        <v>12</v>
      </c>
      <c r="E1941" s="3" t="n">
        <v>7</v>
      </c>
      <c r="F1941" s="24" t="n">
        <v>0</v>
      </c>
    </row>
    <row r="1942" customFormat="false" ht="15" hidden="false" customHeight="false" outlineLevel="0" collapsed="false">
      <c r="A1942" s="3" t="n">
        <v>1941</v>
      </c>
      <c r="B1942" s="3" t="n">
        <v>1940</v>
      </c>
      <c r="C1942" s="3" t="n">
        <v>9</v>
      </c>
      <c r="D1942" s="3" t="n">
        <v>12</v>
      </c>
      <c r="E1942" s="3" t="n">
        <v>8</v>
      </c>
      <c r="F1942" s="24" t="n">
        <v>0</v>
      </c>
    </row>
    <row r="1943" customFormat="false" ht="15" hidden="false" customHeight="false" outlineLevel="0" collapsed="false">
      <c r="A1943" s="3" t="n">
        <v>1942</v>
      </c>
      <c r="B1943" s="3" t="n">
        <v>1941</v>
      </c>
      <c r="C1943" s="3" t="n">
        <v>9</v>
      </c>
      <c r="D1943" s="3" t="n">
        <v>12</v>
      </c>
      <c r="E1943" s="3" t="n">
        <v>9</v>
      </c>
      <c r="F1943" s="24" t="n">
        <v>0</v>
      </c>
    </row>
    <row r="1944" customFormat="false" ht="15" hidden="false" customHeight="false" outlineLevel="0" collapsed="false">
      <c r="A1944" s="3" t="n">
        <v>1943</v>
      </c>
      <c r="B1944" s="3" t="n">
        <v>1942</v>
      </c>
      <c r="C1944" s="3" t="n">
        <v>9</v>
      </c>
      <c r="D1944" s="3" t="n">
        <v>12</v>
      </c>
      <c r="E1944" s="3" t="n">
        <v>10</v>
      </c>
      <c r="F1944" s="24" t="n">
        <v>0</v>
      </c>
    </row>
    <row r="1945" customFormat="false" ht="15" hidden="false" customHeight="false" outlineLevel="0" collapsed="false">
      <c r="A1945" s="3" t="n">
        <v>1944</v>
      </c>
      <c r="B1945" s="3" t="n">
        <v>1943</v>
      </c>
      <c r="C1945" s="3" t="n">
        <v>9</v>
      </c>
      <c r="D1945" s="3" t="n">
        <v>12</v>
      </c>
      <c r="E1945" s="3" t="n">
        <v>11</v>
      </c>
      <c r="F1945" s="24" t="n">
        <v>0</v>
      </c>
    </row>
    <row r="1946" customFormat="false" ht="15" hidden="false" customHeight="false" outlineLevel="0" collapsed="false">
      <c r="A1946" s="3" t="n">
        <v>1945</v>
      </c>
      <c r="B1946" s="3" t="n">
        <v>1944</v>
      </c>
      <c r="C1946" s="3" t="n">
        <v>9</v>
      </c>
      <c r="D1946" s="3" t="n">
        <v>12</v>
      </c>
      <c r="E1946" s="3" t="n">
        <v>12</v>
      </c>
      <c r="F1946" s="24" t="n">
        <v>0</v>
      </c>
    </row>
    <row r="1947" customFormat="false" ht="15" hidden="false" customHeight="false" outlineLevel="0" collapsed="false">
      <c r="A1947" s="3" t="n">
        <v>1946</v>
      </c>
      <c r="B1947" s="3" t="n">
        <v>1945</v>
      </c>
      <c r="C1947" s="3" t="n">
        <v>9</v>
      </c>
      <c r="D1947" s="3" t="n">
        <v>12</v>
      </c>
      <c r="E1947" s="3" t="n">
        <v>13</v>
      </c>
      <c r="F1947" s="24" t="n">
        <v>0</v>
      </c>
    </row>
    <row r="1948" customFormat="false" ht="15" hidden="false" customHeight="false" outlineLevel="0" collapsed="false">
      <c r="A1948" s="3" t="n">
        <v>1947</v>
      </c>
      <c r="B1948" s="3" t="n">
        <v>1946</v>
      </c>
      <c r="C1948" s="3" t="n">
        <v>9</v>
      </c>
      <c r="D1948" s="3" t="n">
        <v>13</v>
      </c>
      <c r="E1948" s="3" t="n">
        <v>0</v>
      </c>
      <c r="F1948" s="24" t="n">
        <v>0</v>
      </c>
    </row>
    <row r="1949" customFormat="false" ht="15" hidden="false" customHeight="false" outlineLevel="0" collapsed="false">
      <c r="A1949" s="3" t="n">
        <v>1948</v>
      </c>
      <c r="B1949" s="3" t="n">
        <v>1947</v>
      </c>
      <c r="C1949" s="3" t="n">
        <v>9</v>
      </c>
      <c r="D1949" s="3" t="n">
        <v>13</v>
      </c>
      <c r="E1949" s="3" t="n">
        <v>1</v>
      </c>
      <c r="F1949" s="24" t="n">
        <v>0</v>
      </c>
    </row>
    <row r="1950" customFormat="false" ht="15" hidden="false" customHeight="false" outlineLevel="0" collapsed="false">
      <c r="A1950" s="3" t="n">
        <v>1949</v>
      </c>
      <c r="B1950" s="3" t="n">
        <v>1948</v>
      </c>
      <c r="C1950" s="3" t="n">
        <v>9</v>
      </c>
      <c r="D1950" s="3" t="n">
        <v>13</v>
      </c>
      <c r="E1950" s="3" t="n">
        <v>2</v>
      </c>
      <c r="F1950" s="24" t="n">
        <v>0</v>
      </c>
    </row>
    <row r="1951" customFormat="false" ht="15" hidden="false" customHeight="false" outlineLevel="0" collapsed="false">
      <c r="A1951" s="3" t="n">
        <v>1950</v>
      </c>
      <c r="B1951" s="3" t="n">
        <v>1949</v>
      </c>
      <c r="C1951" s="3" t="n">
        <v>9</v>
      </c>
      <c r="D1951" s="3" t="n">
        <v>13</v>
      </c>
      <c r="E1951" s="3" t="n">
        <v>3</v>
      </c>
      <c r="F1951" s="24" t="n">
        <v>0.315762907</v>
      </c>
    </row>
    <row r="1952" customFormat="false" ht="15" hidden="false" customHeight="false" outlineLevel="0" collapsed="false">
      <c r="A1952" s="3" t="n">
        <v>1951</v>
      </c>
      <c r="B1952" s="3" t="n">
        <v>1950</v>
      </c>
      <c r="C1952" s="3" t="n">
        <v>9</v>
      </c>
      <c r="D1952" s="3" t="n">
        <v>13</v>
      </c>
      <c r="E1952" s="3" t="n">
        <v>4</v>
      </c>
      <c r="F1952" s="24" t="n">
        <v>3.26522422</v>
      </c>
    </row>
    <row r="1953" customFormat="false" ht="15" hidden="false" customHeight="false" outlineLevel="0" collapsed="false">
      <c r="A1953" s="3" t="n">
        <v>1952</v>
      </c>
      <c r="B1953" s="3" t="n">
        <v>1951</v>
      </c>
      <c r="C1953" s="3" t="n">
        <v>9</v>
      </c>
      <c r="D1953" s="3" t="n">
        <v>13</v>
      </c>
      <c r="E1953" s="3" t="n">
        <v>5</v>
      </c>
      <c r="F1953" s="24" t="n">
        <v>5.20944738</v>
      </c>
    </row>
    <row r="1954" customFormat="false" ht="15" hidden="false" customHeight="false" outlineLevel="0" collapsed="false">
      <c r="A1954" s="3" t="n">
        <v>1953</v>
      </c>
      <c r="B1954" s="3" t="n">
        <v>1952</v>
      </c>
      <c r="C1954" s="3" t="n">
        <v>9</v>
      </c>
      <c r="D1954" s="3" t="n">
        <v>13</v>
      </c>
      <c r="E1954" s="3" t="n">
        <v>6</v>
      </c>
      <c r="F1954" s="24" t="n">
        <v>1.59904647</v>
      </c>
    </row>
    <row r="1955" customFormat="false" ht="15" hidden="false" customHeight="false" outlineLevel="0" collapsed="false">
      <c r="A1955" s="3" t="n">
        <v>1954</v>
      </c>
      <c r="B1955" s="3" t="n">
        <v>1953</v>
      </c>
      <c r="C1955" s="3" t="n">
        <v>9</v>
      </c>
      <c r="D1955" s="3" t="n">
        <v>13</v>
      </c>
      <c r="E1955" s="3" t="n">
        <v>7</v>
      </c>
      <c r="F1955" s="24" t="n">
        <v>0</v>
      </c>
    </row>
    <row r="1956" customFormat="false" ht="15" hidden="false" customHeight="false" outlineLevel="0" collapsed="false">
      <c r="A1956" s="3" t="n">
        <v>1955</v>
      </c>
      <c r="B1956" s="3" t="n">
        <v>1954</v>
      </c>
      <c r="C1956" s="3" t="n">
        <v>9</v>
      </c>
      <c r="D1956" s="3" t="n">
        <v>13</v>
      </c>
      <c r="E1956" s="3" t="n">
        <v>8</v>
      </c>
      <c r="F1956" s="24" t="n">
        <v>0</v>
      </c>
    </row>
    <row r="1957" customFormat="false" ht="15" hidden="false" customHeight="false" outlineLevel="0" collapsed="false">
      <c r="A1957" s="3" t="n">
        <v>1956</v>
      </c>
      <c r="B1957" s="3" t="n">
        <v>1955</v>
      </c>
      <c r="C1957" s="3" t="n">
        <v>9</v>
      </c>
      <c r="D1957" s="3" t="n">
        <v>13</v>
      </c>
      <c r="E1957" s="3" t="n">
        <v>9</v>
      </c>
      <c r="F1957" s="24" t="n">
        <v>0</v>
      </c>
    </row>
    <row r="1958" customFormat="false" ht="15" hidden="false" customHeight="false" outlineLevel="0" collapsed="false">
      <c r="A1958" s="3" t="n">
        <v>1957</v>
      </c>
      <c r="B1958" s="3" t="n">
        <v>1956</v>
      </c>
      <c r="C1958" s="3" t="n">
        <v>9</v>
      </c>
      <c r="D1958" s="3" t="n">
        <v>13</v>
      </c>
      <c r="E1958" s="3" t="n">
        <v>10</v>
      </c>
      <c r="F1958" s="24" t="n">
        <v>0</v>
      </c>
    </row>
    <row r="1959" customFormat="false" ht="15" hidden="false" customHeight="false" outlineLevel="0" collapsed="false">
      <c r="A1959" s="3" t="n">
        <v>1958</v>
      </c>
      <c r="B1959" s="3" t="n">
        <v>1957</v>
      </c>
      <c r="C1959" s="3" t="n">
        <v>9</v>
      </c>
      <c r="D1959" s="3" t="n">
        <v>13</v>
      </c>
      <c r="E1959" s="3" t="n">
        <v>11</v>
      </c>
      <c r="F1959" s="24" t="n">
        <v>0</v>
      </c>
    </row>
    <row r="1960" customFormat="false" ht="15" hidden="false" customHeight="false" outlineLevel="0" collapsed="false">
      <c r="A1960" s="3" t="n">
        <v>1959</v>
      </c>
      <c r="B1960" s="3" t="n">
        <v>1958</v>
      </c>
      <c r="C1960" s="3" t="n">
        <v>9</v>
      </c>
      <c r="D1960" s="3" t="n">
        <v>13</v>
      </c>
      <c r="E1960" s="3" t="n">
        <v>12</v>
      </c>
      <c r="F1960" s="24" t="n">
        <v>0</v>
      </c>
    </row>
    <row r="1961" customFormat="false" ht="15" hidden="false" customHeight="false" outlineLevel="0" collapsed="false">
      <c r="A1961" s="3" t="n">
        <v>1960</v>
      </c>
      <c r="B1961" s="3" t="n">
        <v>1959</v>
      </c>
      <c r="C1961" s="3" t="n">
        <v>9</v>
      </c>
      <c r="D1961" s="3" t="n">
        <v>13</v>
      </c>
      <c r="E1961" s="3" t="n">
        <v>13</v>
      </c>
      <c r="F1961" s="24" t="n">
        <v>0</v>
      </c>
    </row>
    <row r="1962" customFormat="false" ht="15" hidden="false" customHeight="false" outlineLevel="0" collapsed="false">
      <c r="A1962" s="3" t="n">
        <v>1961</v>
      </c>
      <c r="B1962" s="3" t="n">
        <v>1960</v>
      </c>
      <c r="C1962" s="3" t="n">
        <v>10</v>
      </c>
      <c r="D1962" s="3" t="n">
        <v>0</v>
      </c>
      <c r="E1962" s="3" t="n">
        <v>0</v>
      </c>
      <c r="F1962" s="24" t="n">
        <v>0</v>
      </c>
    </row>
    <row r="1963" customFormat="false" ht="15" hidden="false" customHeight="false" outlineLevel="0" collapsed="false">
      <c r="A1963" s="3" t="n">
        <v>1962</v>
      </c>
      <c r="B1963" s="3" t="n">
        <v>1961</v>
      </c>
      <c r="C1963" s="3" t="n">
        <v>10</v>
      </c>
      <c r="D1963" s="3" t="n">
        <v>0</v>
      </c>
      <c r="E1963" s="3" t="n">
        <v>1</v>
      </c>
      <c r="F1963" s="24" t="n">
        <v>0</v>
      </c>
    </row>
    <row r="1964" customFormat="false" ht="15" hidden="false" customHeight="false" outlineLevel="0" collapsed="false">
      <c r="A1964" s="3" t="n">
        <v>1963</v>
      </c>
      <c r="B1964" s="3" t="n">
        <v>1962</v>
      </c>
      <c r="C1964" s="3" t="n">
        <v>10</v>
      </c>
      <c r="D1964" s="3" t="n">
        <v>0</v>
      </c>
      <c r="E1964" s="3" t="n">
        <v>2</v>
      </c>
      <c r="F1964" s="24" t="n">
        <v>0</v>
      </c>
    </row>
    <row r="1965" customFormat="false" ht="15" hidden="false" customHeight="false" outlineLevel="0" collapsed="false">
      <c r="A1965" s="3" t="n">
        <v>1964</v>
      </c>
      <c r="B1965" s="3" t="n">
        <v>1963</v>
      </c>
      <c r="C1965" s="3" t="n">
        <v>10</v>
      </c>
      <c r="D1965" s="3" t="n">
        <v>0</v>
      </c>
      <c r="E1965" s="3" t="n">
        <v>3</v>
      </c>
      <c r="F1965" s="24" t="n">
        <v>0</v>
      </c>
    </row>
    <row r="1966" customFormat="false" ht="15" hidden="false" customHeight="false" outlineLevel="0" collapsed="false">
      <c r="A1966" s="3" t="n">
        <v>1965</v>
      </c>
      <c r="B1966" s="3" t="n">
        <v>1964</v>
      </c>
      <c r="C1966" s="3" t="n">
        <v>10</v>
      </c>
      <c r="D1966" s="3" t="n">
        <v>0</v>
      </c>
      <c r="E1966" s="3" t="n">
        <v>4</v>
      </c>
      <c r="F1966" s="24" t="n">
        <v>0</v>
      </c>
    </row>
    <row r="1967" customFormat="false" ht="15" hidden="false" customHeight="false" outlineLevel="0" collapsed="false">
      <c r="A1967" s="3" t="n">
        <v>1966</v>
      </c>
      <c r="B1967" s="3" t="n">
        <v>1965</v>
      </c>
      <c r="C1967" s="3" t="n">
        <v>10</v>
      </c>
      <c r="D1967" s="3" t="n">
        <v>0</v>
      </c>
      <c r="E1967" s="3" t="n">
        <v>5</v>
      </c>
      <c r="F1967" s="24" t="n">
        <v>0</v>
      </c>
    </row>
    <row r="1968" customFormat="false" ht="15" hidden="false" customHeight="false" outlineLevel="0" collapsed="false">
      <c r="A1968" s="3" t="n">
        <v>1967</v>
      </c>
      <c r="B1968" s="3" t="n">
        <v>1966</v>
      </c>
      <c r="C1968" s="3" t="n">
        <v>10</v>
      </c>
      <c r="D1968" s="3" t="n">
        <v>0</v>
      </c>
      <c r="E1968" s="3" t="n">
        <v>6</v>
      </c>
      <c r="F1968" s="24" t="n">
        <v>0</v>
      </c>
    </row>
    <row r="1969" customFormat="false" ht="15" hidden="false" customHeight="false" outlineLevel="0" collapsed="false">
      <c r="A1969" s="3" t="n">
        <v>1968</v>
      </c>
      <c r="B1969" s="3" t="n">
        <v>1967</v>
      </c>
      <c r="C1969" s="3" t="n">
        <v>10</v>
      </c>
      <c r="D1969" s="3" t="n">
        <v>0</v>
      </c>
      <c r="E1969" s="3" t="n">
        <v>7</v>
      </c>
      <c r="F1969" s="24" t="n">
        <v>0</v>
      </c>
    </row>
    <row r="1970" customFormat="false" ht="15" hidden="false" customHeight="false" outlineLevel="0" collapsed="false">
      <c r="A1970" s="3" t="n">
        <v>1969</v>
      </c>
      <c r="B1970" s="3" t="n">
        <v>1968</v>
      </c>
      <c r="C1970" s="3" t="n">
        <v>10</v>
      </c>
      <c r="D1970" s="3" t="n">
        <v>0</v>
      </c>
      <c r="E1970" s="3" t="n">
        <v>8</v>
      </c>
      <c r="F1970" s="24" t="n">
        <v>0</v>
      </c>
    </row>
    <row r="1971" customFormat="false" ht="15" hidden="false" customHeight="false" outlineLevel="0" collapsed="false">
      <c r="A1971" s="3" t="n">
        <v>1970</v>
      </c>
      <c r="B1971" s="3" t="n">
        <v>1969</v>
      </c>
      <c r="C1971" s="3" t="n">
        <v>10</v>
      </c>
      <c r="D1971" s="3" t="n">
        <v>0</v>
      </c>
      <c r="E1971" s="3" t="n">
        <v>9</v>
      </c>
      <c r="F1971" s="24" t="n">
        <v>0</v>
      </c>
    </row>
    <row r="1972" customFormat="false" ht="15" hidden="false" customHeight="false" outlineLevel="0" collapsed="false">
      <c r="A1972" s="3" t="n">
        <v>1971</v>
      </c>
      <c r="B1972" s="3" t="n">
        <v>1970</v>
      </c>
      <c r="C1972" s="3" t="n">
        <v>10</v>
      </c>
      <c r="D1972" s="3" t="n">
        <v>0</v>
      </c>
      <c r="E1972" s="3" t="n">
        <v>10</v>
      </c>
      <c r="F1972" s="24" t="n">
        <v>0</v>
      </c>
    </row>
    <row r="1973" customFormat="false" ht="15" hidden="false" customHeight="false" outlineLevel="0" collapsed="false">
      <c r="A1973" s="3" t="n">
        <v>1972</v>
      </c>
      <c r="B1973" s="3" t="n">
        <v>1971</v>
      </c>
      <c r="C1973" s="3" t="n">
        <v>10</v>
      </c>
      <c r="D1973" s="3" t="n">
        <v>0</v>
      </c>
      <c r="E1973" s="3" t="n">
        <v>11</v>
      </c>
      <c r="F1973" s="24" t="n">
        <v>0</v>
      </c>
    </row>
    <row r="1974" customFormat="false" ht="15" hidden="false" customHeight="false" outlineLevel="0" collapsed="false">
      <c r="A1974" s="3" t="n">
        <v>1973</v>
      </c>
      <c r="B1974" s="3" t="n">
        <v>1972</v>
      </c>
      <c r="C1974" s="3" t="n">
        <v>10</v>
      </c>
      <c r="D1974" s="3" t="n">
        <v>0</v>
      </c>
      <c r="E1974" s="3" t="n">
        <v>12</v>
      </c>
      <c r="F1974" s="24" t="n">
        <v>0</v>
      </c>
    </row>
    <row r="1975" customFormat="false" ht="15" hidden="false" customHeight="false" outlineLevel="0" collapsed="false">
      <c r="A1975" s="3" t="n">
        <v>1974</v>
      </c>
      <c r="B1975" s="3" t="n">
        <v>1973</v>
      </c>
      <c r="C1975" s="3" t="n">
        <v>10</v>
      </c>
      <c r="D1975" s="3" t="n">
        <v>0</v>
      </c>
      <c r="E1975" s="3" t="n">
        <v>13</v>
      </c>
      <c r="F1975" s="24" t="n">
        <v>0</v>
      </c>
    </row>
    <row r="1976" customFormat="false" ht="15" hidden="false" customHeight="false" outlineLevel="0" collapsed="false">
      <c r="A1976" s="3" t="n">
        <v>1975</v>
      </c>
      <c r="B1976" s="3" t="n">
        <v>1974</v>
      </c>
      <c r="C1976" s="3" t="n">
        <v>10</v>
      </c>
      <c r="D1976" s="3" t="n">
        <v>1</v>
      </c>
      <c r="E1976" s="3" t="n">
        <v>0</v>
      </c>
      <c r="F1976" s="24" t="n">
        <v>0</v>
      </c>
    </row>
    <row r="1977" customFormat="false" ht="15" hidden="false" customHeight="false" outlineLevel="0" collapsed="false">
      <c r="A1977" s="3" t="n">
        <v>1976</v>
      </c>
      <c r="B1977" s="3" t="n">
        <v>1975</v>
      </c>
      <c r="C1977" s="3" t="n">
        <v>10</v>
      </c>
      <c r="D1977" s="3" t="n">
        <v>1</v>
      </c>
      <c r="E1977" s="3" t="n">
        <v>1</v>
      </c>
      <c r="F1977" s="24" t="n">
        <v>0</v>
      </c>
    </row>
    <row r="1978" customFormat="false" ht="15" hidden="false" customHeight="false" outlineLevel="0" collapsed="false">
      <c r="A1978" s="3" t="n">
        <v>1977</v>
      </c>
      <c r="B1978" s="3" t="n">
        <v>1976</v>
      </c>
      <c r="C1978" s="3" t="n">
        <v>10</v>
      </c>
      <c r="D1978" s="3" t="n">
        <v>1</v>
      </c>
      <c r="E1978" s="3" t="n">
        <v>2</v>
      </c>
      <c r="F1978" s="24" t="n">
        <v>0</v>
      </c>
    </row>
    <row r="1979" customFormat="false" ht="15" hidden="false" customHeight="false" outlineLevel="0" collapsed="false">
      <c r="A1979" s="3" t="n">
        <v>1978</v>
      </c>
      <c r="B1979" s="3" t="n">
        <v>1977</v>
      </c>
      <c r="C1979" s="3" t="n">
        <v>10</v>
      </c>
      <c r="D1979" s="3" t="n">
        <v>1</v>
      </c>
      <c r="E1979" s="3" t="n">
        <v>3</v>
      </c>
      <c r="F1979" s="24" t="n">
        <v>0</v>
      </c>
    </row>
    <row r="1980" customFormat="false" ht="15" hidden="false" customHeight="false" outlineLevel="0" collapsed="false">
      <c r="A1980" s="3" t="n">
        <v>1979</v>
      </c>
      <c r="B1980" s="3" t="n">
        <v>1978</v>
      </c>
      <c r="C1980" s="3" t="n">
        <v>10</v>
      </c>
      <c r="D1980" s="3" t="n">
        <v>1</v>
      </c>
      <c r="E1980" s="3" t="n">
        <v>4</v>
      </c>
      <c r="F1980" s="24" t="n">
        <v>0</v>
      </c>
    </row>
    <row r="1981" customFormat="false" ht="15" hidden="false" customHeight="false" outlineLevel="0" collapsed="false">
      <c r="A1981" s="3" t="n">
        <v>1980</v>
      </c>
      <c r="B1981" s="3" t="n">
        <v>1979</v>
      </c>
      <c r="C1981" s="3" t="n">
        <v>10</v>
      </c>
      <c r="D1981" s="3" t="n">
        <v>1</v>
      </c>
      <c r="E1981" s="3" t="n">
        <v>5</v>
      </c>
      <c r="F1981" s="24" t="n">
        <v>0</v>
      </c>
    </row>
    <row r="1982" customFormat="false" ht="15" hidden="false" customHeight="false" outlineLevel="0" collapsed="false">
      <c r="A1982" s="3" t="n">
        <v>1981</v>
      </c>
      <c r="B1982" s="3" t="n">
        <v>1980</v>
      </c>
      <c r="C1982" s="3" t="n">
        <v>10</v>
      </c>
      <c r="D1982" s="3" t="n">
        <v>1</v>
      </c>
      <c r="E1982" s="3" t="n">
        <v>6</v>
      </c>
      <c r="F1982" s="24" t="n">
        <v>0</v>
      </c>
    </row>
    <row r="1983" customFormat="false" ht="15" hidden="false" customHeight="false" outlineLevel="0" collapsed="false">
      <c r="A1983" s="3" t="n">
        <v>1982</v>
      </c>
      <c r="B1983" s="3" t="n">
        <v>1981</v>
      </c>
      <c r="C1983" s="3" t="n">
        <v>10</v>
      </c>
      <c r="D1983" s="3" t="n">
        <v>1</v>
      </c>
      <c r="E1983" s="3" t="n">
        <v>7</v>
      </c>
      <c r="F1983" s="24" t="n">
        <v>0</v>
      </c>
    </row>
    <row r="1984" customFormat="false" ht="15" hidden="false" customHeight="false" outlineLevel="0" collapsed="false">
      <c r="A1984" s="3" t="n">
        <v>1983</v>
      </c>
      <c r="B1984" s="3" t="n">
        <v>1982</v>
      </c>
      <c r="C1984" s="3" t="n">
        <v>10</v>
      </c>
      <c r="D1984" s="3" t="n">
        <v>1</v>
      </c>
      <c r="E1984" s="3" t="n">
        <v>8</v>
      </c>
      <c r="F1984" s="24" t="n">
        <v>0</v>
      </c>
    </row>
    <row r="1985" customFormat="false" ht="15" hidden="false" customHeight="false" outlineLevel="0" collapsed="false">
      <c r="A1985" s="3" t="n">
        <v>1984</v>
      </c>
      <c r="B1985" s="3" t="n">
        <v>1983</v>
      </c>
      <c r="C1985" s="3" t="n">
        <v>10</v>
      </c>
      <c r="D1985" s="3" t="n">
        <v>1</v>
      </c>
      <c r="E1985" s="3" t="n">
        <v>9</v>
      </c>
      <c r="F1985" s="24" t="n">
        <v>0</v>
      </c>
    </row>
    <row r="1986" customFormat="false" ht="15" hidden="false" customHeight="false" outlineLevel="0" collapsed="false">
      <c r="A1986" s="3" t="n">
        <v>1985</v>
      </c>
      <c r="B1986" s="3" t="n">
        <v>1984</v>
      </c>
      <c r="C1986" s="3" t="n">
        <v>10</v>
      </c>
      <c r="D1986" s="3" t="n">
        <v>1</v>
      </c>
      <c r="E1986" s="3" t="n">
        <v>10</v>
      </c>
      <c r="F1986" s="24" t="n">
        <v>0</v>
      </c>
    </row>
    <row r="1987" customFormat="false" ht="15" hidden="false" customHeight="false" outlineLevel="0" collapsed="false">
      <c r="A1987" s="3" t="n">
        <v>1986</v>
      </c>
      <c r="B1987" s="3" t="n">
        <v>1985</v>
      </c>
      <c r="C1987" s="3" t="n">
        <v>10</v>
      </c>
      <c r="D1987" s="3" t="n">
        <v>1</v>
      </c>
      <c r="E1987" s="3" t="n">
        <v>11</v>
      </c>
      <c r="F1987" s="24" t="n">
        <v>0</v>
      </c>
    </row>
    <row r="1988" customFormat="false" ht="15" hidden="false" customHeight="false" outlineLevel="0" collapsed="false">
      <c r="A1988" s="3" t="n">
        <v>1987</v>
      </c>
      <c r="B1988" s="3" t="n">
        <v>1986</v>
      </c>
      <c r="C1988" s="3" t="n">
        <v>10</v>
      </c>
      <c r="D1988" s="3" t="n">
        <v>1</v>
      </c>
      <c r="E1988" s="3" t="n">
        <v>12</v>
      </c>
      <c r="F1988" s="24" t="n">
        <v>0</v>
      </c>
    </row>
    <row r="1989" customFormat="false" ht="15" hidden="false" customHeight="false" outlineLevel="0" collapsed="false">
      <c r="A1989" s="3" t="n">
        <v>1988</v>
      </c>
      <c r="B1989" s="3" t="n">
        <v>1987</v>
      </c>
      <c r="C1989" s="3" t="n">
        <v>10</v>
      </c>
      <c r="D1989" s="3" t="n">
        <v>1</v>
      </c>
      <c r="E1989" s="3" t="n">
        <v>13</v>
      </c>
      <c r="F1989" s="24" t="n">
        <v>0</v>
      </c>
    </row>
    <row r="1990" customFormat="false" ht="15" hidden="false" customHeight="false" outlineLevel="0" collapsed="false">
      <c r="A1990" s="3" t="n">
        <v>1989</v>
      </c>
      <c r="B1990" s="3" t="n">
        <v>1988</v>
      </c>
      <c r="C1990" s="3" t="n">
        <v>10</v>
      </c>
      <c r="D1990" s="3" t="n">
        <v>2</v>
      </c>
      <c r="E1990" s="3" t="n">
        <v>0</v>
      </c>
      <c r="F1990" s="24" t="n">
        <v>0</v>
      </c>
    </row>
    <row r="1991" customFormat="false" ht="15" hidden="false" customHeight="false" outlineLevel="0" collapsed="false">
      <c r="A1991" s="3" t="n">
        <v>1990</v>
      </c>
      <c r="B1991" s="3" t="n">
        <v>1989</v>
      </c>
      <c r="C1991" s="3" t="n">
        <v>10</v>
      </c>
      <c r="D1991" s="3" t="n">
        <v>2</v>
      </c>
      <c r="E1991" s="3" t="n">
        <v>1</v>
      </c>
      <c r="F1991" s="24" t="n">
        <v>0.0873674154</v>
      </c>
    </row>
    <row r="1992" customFormat="false" ht="15" hidden="false" customHeight="false" outlineLevel="0" collapsed="false">
      <c r="A1992" s="3" t="n">
        <v>1991</v>
      </c>
      <c r="B1992" s="3" t="n">
        <v>1990</v>
      </c>
      <c r="C1992" s="3" t="n">
        <v>10</v>
      </c>
      <c r="D1992" s="3" t="n">
        <v>2</v>
      </c>
      <c r="E1992" s="3" t="n">
        <v>2</v>
      </c>
      <c r="F1992" s="24" t="n">
        <v>1.11496556</v>
      </c>
    </row>
    <row r="1993" customFormat="false" ht="15" hidden="false" customHeight="false" outlineLevel="0" collapsed="false">
      <c r="A1993" s="3" t="n">
        <v>1992</v>
      </c>
      <c r="B1993" s="3" t="n">
        <v>1991</v>
      </c>
      <c r="C1993" s="3" t="n">
        <v>10</v>
      </c>
      <c r="D1993" s="3" t="n">
        <v>2</v>
      </c>
      <c r="E1993" s="3" t="n">
        <v>3</v>
      </c>
      <c r="F1993" s="24" t="n">
        <v>0</v>
      </c>
    </row>
    <row r="1994" customFormat="false" ht="15" hidden="false" customHeight="false" outlineLevel="0" collapsed="false">
      <c r="A1994" s="3" t="n">
        <v>1993</v>
      </c>
      <c r="B1994" s="3" t="n">
        <v>1992</v>
      </c>
      <c r="C1994" s="3" t="n">
        <v>10</v>
      </c>
      <c r="D1994" s="3" t="n">
        <v>2</v>
      </c>
      <c r="E1994" s="3" t="n">
        <v>4</v>
      </c>
      <c r="F1994" s="24" t="n">
        <v>0</v>
      </c>
    </row>
    <row r="1995" customFormat="false" ht="15" hidden="false" customHeight="false" outlineLevel="0" collapsed="false">
      <c r="A1995" s="3" t="n">
        <v>1994</v>
      </c>
      <c r="B1995" s="3" t="n">
        <v>1993</v>
      </c>
      <c r="C1995" s="3" t="n">
        <v>10</v>
      </c>
      <c r="D1995" s="3" t="n">
        <v>2</v>
      </c>
      <c r="E1995" s="3" t="n">
        <v>5</v>
      </c>
      <c r="F1995" s="24" t="n">
        <v>0</v>
      </c>
    </row>
    <row r="1996" customFormat="false" ht="15" hidden="false" customHeight="false" outlineLevel="0" collapsed="false">
      <c r="A1996" s="3" t="n">
        <v>1995</v>
      </c>
      <c r="B1996" s="3" t="n">
        <v>1994</v>
      </c>
      <c r="C1996" s="3" t="n">
        <v>10</v>
      </c>
      <c r="D1996" s="3" t="n">
        <v>2</v>
      </c>
      <c r="E1996" s="3" t="n">
        <v>6</v>
      </c>
      <c r="F1996" s="24" t="n">
        <v>0</v>
      </c>
    </row>
    <row r="1997" customFormat="false" ht="15" hidden="false" customHeight="false" outlineLevel="0" collapsed="false">
      <c r="A1997" s="3" t="n">
        <v>1996</v>
      </c>
      <c r="B1997" s="3" t="n">
        <v>1995</v>
      </c>
      <c r="C1997" s="3" t="n">
        <v>10</v>
      </c>
      <c r="D1997" s="3" t="n">
        <v>2</v>
      </c>
      <c r="E1997" s="3" t="n">
        <v>7</v>
      </c>
      <c r="F1997" s="24" t="n">
        <v>0</v>
      </c>
    </row>
    <row r="1998" customFormat="false" ht="15" hidden="false" customHeight="false" outlineLevel="0" collapsed="false">
      <c r="A1998" s="3" t="n">
        <v>1997</v>
      </c>
      <c r="B1998" s="3" t="n">
        <v>1996</v>
      </c>
      <c r="C1998" s="3" t="n">
        <v>10</v>
      </c>
      <c r="D1998" s="3" t="n">
        <v>2</v>
      </c>
      <c r="E1998" s="3" t="n">
        <v>8</v>
      </c>
      <c r="F1998" s="24" t="n">
        <v>0</v>
      </c>
    </row>
    <row r="1999" customFormat="false" ht="15" hidden="false" customHeight="false" outlineLevel="0" collapsed="false">
      <c r="A1999" s="3" t="n">
        <v>1998</v>
      </c>
      <c r="B1999" s="3" t="n">
        <v>1997</v>
      </c>
      <c r="C1999" s="3" t="n">
        <v>10</v>
      </c>
      <c r="D1999" s="3" t="n">
        <v>2</v>
      </c>
      <c r="E1999" s="3" t="n">
        <v>9</v>
      </c>
      <c r="F1999" s="24" t="n">
        <v>0</v>
      </c>
    </row>
    <row r="2000" customFormat="false" ht="15" hidden="false" customHeight="false" outlineLevel="0" collapsed="false">
      <c r="A2000" s="3" t="n">
        <v>1999</v>
      </c>
      <c r="B2000" s="3" t="n">
        <v>1998</v>
      </c>
      <c r="C2000" s="3" t="n">
        <v>10</v>
      </c>
      <c r="D2000" s="3" t="n">
        <v>2</v>
      </c>
      <c r="E2000" s="3" t="n">
        <v>10</v>
      </c>
      <c r="F2000" s="24" t="n">
        <v>0</v>
      </c>
    </row>
    <row r="2001" customFormat="false" ht="15" hidden="false" customHeight="false" outlineLevel="0" collapsed="false">
      <c r="A2001" s="3" t="n">
        <v>2000</v>
      </c>
      <c r="B2001" s="3" t="n">
        <v>1999</v>
      </c>
      <c r="C2001" s="3" t="n">
        <v>10</v>
      </c>
      <c r="D2001" s="3" t="n">
        <v>2</v>
      </c>
      <c r="E2001" s="3" t="n">
        <v>11</v>
      </c>
      <c r="F2001" s="24" t="n">
        <v>0</v>
      </c>
    </row>
    <row r="2002" customFormat="false" ht="15" hidden="false" customHeight="false" outlineLevel="0" collapsed="false">
      <c r="A2002" s="3" t="n">
        <v>2001</v>
      </c>
      <c r="B2002" s="3" t="n">
        <v>2000</v>
      </c>
      <c r="C2002" s="3" t="n">
        <v>10</v>
      </c>
      <c r="D2002" s="3" t="n">
        <v>2</v>
      </c>
      <c r="E2002" s="3" t="n">
        <v>12</v>
      </c>
      <c r="F2002" s="24" t="n">
        <v>0</v>
      </c>
    </row>
    <row r="2003" customFormat="false" ht="15" hidden="false" customHeight="false" outlineLevel="0" collapsed="false">
      <c r="A2003" s="3" t="n">
        <v>2002</v>
      </c>
      <c r="B2003" s="3" t="n">
        <v>2001</v>
      </c>
      <c r="C2003" s="3" t="n">
        <v>10</v>
      </c>
      <c r="D2003" s="3" t="n">
        <v>2</v>
      </c>
      <c r="E2003" s="3" t="n">
        <v>13</v>
      </c>
      <c r="F2003" s="24" t="n">
        <v>0</v>
      </c>
    </row>
    <row r="2004" customFormat="false" ht="15" hidden="false" customHeight="false" outlineLevel="0" collapsed="false">
      <c r="A2004" s="3" t="n">
        <v>2003</v>
      </c>
      <c r="B2004" s="3" t="n">
        <v>2002</v>
      </c>
      <c r="C2004" s="3" t="n">
        <v>10</v>
      </c>
      <c r="D2004" s="3" t="n">
        <v>3</v>
      </c>
      <c r="E2004" s="3" t="n">
        <v>0</v>
      </c>
      <c r="F2004" s="24" t="n">
        <v>0</v>
      </c>
    </row>
    <row r="2005" customFormat="false" ht="15" hidden="false" customHeight="false" outlineLevel="0" collapsed="false">
      <c r="A2005" s="3" t="n">
        <v>2004</v>
      </c>
      <c r="B2005" s="3" t="n">
        <v>2003</v>
      </c>
      <c r="C2005" s="3" t="n">
        <v>10</v>
      </c>
      <c r="D2005" s="3" t="n">
        <v>3</v>
      </c>
      <c r="E2005" s="3" t="n">
        <v>1</v>
      </c>
      <c r="F2005" s="24" t="n">
        <v>0.0195585936</v>
      </c>
    </row>
    <row r="2006" customFormat="false" ht="15" hidden="false" customHeight="false" outlineLevel="0" collapsed="false">
      <c r="A2006" s="3" t="n">
        <v>2005</v>
      </c>
      <c r="B2006" s="3" t="n">
        <v>2004</v>
      </c>
      <c r="C2006" s="3" t="n">
        <v>10</v>
      </c>
      <c r="D2006" s="3" t="n">
        <v>3</v>
      </c>
      <c r="E2006" s="3" t="n">
        <v>2</v>
      </c>
      <c r="F2006" s="24" t="n">
        <v>0.413222462</v>
      </c>
    </row>
    <row r="2007" customFormat="false" ht="15" hidden="false" customHeight="false" outlineLevel="0" collapsed="false">
      <c r="A2007" s="3" t="n">
        <v>2006</v>
      </c>
      <c r="B2007" s="3" t="n">
        <v>2005</v>
      </c>
      <c r="C2007" s="3" t="n">
        <v>10</v>
      </c>
      <c r="D2007" s="3" t="n">
        <v>3</v>
      </c>
      <c r="E2007" s="3" t="n">
        <v>3</v>
      </c>
      <c r="F2007" s="24" t="n">
        <v>0.388718575</v>
      </c>
    </row>
    <row r="2008" customFormat="false" ht="15" hidden="false" customHeight="false" outlineLevel="0" collapsed="false">
      <c r="A2008" s="3" t="n">
        <v>2007</v>
      </c>
      <c r="B2008" s="3" t="n">
        <v>2006</v>
      </c>
      <c r="C2008" s="3" t="n">
        <v>10</v>
      </c>
      <c r="D2008" s="3" t="n">
        <v>3</v>
      </c>
      <c r="E2008" s="3" t="n">
        <v>4</v>
      </c>
      <c r="F2008" s="24" t="n">
        <v>0.765860438</v>
      </c>
    </row>
    <row r="2009" customFormat="false" ht="15" hidden="false" customHeight="false" outlineLevel="0" collapsed="false">
      <c r="A2009" s="3" t="n">
        <v>2008</v>
      </c>
      <c r="B2009" s="3" t="n">
        <v>2007</v>
      </c>
      <c r="C2009" s="3" t="n">
        <v>10</v>
      </c>
      <c r="D2009" s="3" t="n">
        <v>3</v>
      </c>
      <c r="E2009" s="3" t="n">
        <v>5</v>
      </c>
      <c r="F2009" s="24" t="n">
        <v>0.351318449</v>
      </c>
    </row>
    <row r="2010" customFormat="false" ht="15" hidden="false" customHeight="false" outlineLevel="0" collapsed="false">
      <c r="A2010" s="3" t="n">
        <v>2009</v>
      </c>
      <c r="B2010" s="3" t="n">
        <v>2008</v>
      </c>
      <c r="C2010" s="3" t="n">
        <v>10</v>
      </c>
      <c r="D2010" s="3" t="n">
        <v>3</v>
      </c>
      <c r="E2010" s="3" t="n">
        <v>6</v>
      </c>
      <c r="F2010" s="24" t="n">
        <v>0.135575116</v>
      </c>
    </row>
    <row r="2011" customFormat="false" ht="15" hidden="false" customHeight="false" outlineLevel="0" collapsed="false">
      <c r="A2011" s="3" t="n">
        <v>2010</v>
      </c>
      <c r="B2011" s="3" t="n">
        <v>2009</v>
      </c>
      <c r="C2011" s="3" t="n">
        <v>10</v>
      </c>
      <c r="D2011" s="3" t="n">
        <v>3</v>
      </c>
      <c r="E2011" s="3" t="n">
        <v>7</v>
      </c>
      <c r="F2011" s="24" t="n">
        <v>0.0462226421</v>
      </c>
    </row>
    <row r="2012" customFormat="false" ht="15" hidden="false" customHeight="false" outlineLevel="0" collapsed="false">
      <c r="A2012" s="3" t="n">
        <v>2011</v>
      </c>
      <c r="B2012" s="3" t="n">
        <v>2010</v>
      </c>
      <c r="C2012" s="3" t="n">
        <v>10</v>
      </c>
      <c r="D2012" s="3" t="n">
        <v>3</v>
      </c>
      <c r="E2012" s="3" t="n">
        <v>8</v>
      </c>
      <c r="F2012" s="24" t="n">
        <v>0.0820739418</v>
      </c>
    </row>
    <row r="2013" customFormat="false" ht="15" hidden="false" customHeight="false" outlineLevel="0" collapsed="false">
      <c r="A2013" s="3" t="n">
        <v>2012</v>
      </c>
      <c r="B2013" s="3" t="n">
        <v>2011</v>
      </c>
      <c r="C2013" s="3" t="n">
        <v>10</v>
      </c>
      <c r="D2013" s="3" t="n">
        <v>3</v>
      </c>
      <c r="E2013" s="3" t="n">
        <v>9</v>
      </c>
      <c r="F2013" s="24" t="n">
        <v>0</v>
      </c>
    </row>
    <row r="2014" customFormat="false" ht="15" hidden="false" customHeight="false" outlineLevel="0" collapsed="false">
      <c r="A2014" s="3" t="n">
        <v>2013</v>
      </c>
      <c r="B2014" s="3" t="n">
        <v>2012</v>
      </c>
      <c r="C2014" s="3" t="n">
        <v>10</v>
      </c>
      <c r="D2014" s="3" t="n">
        <v>3</v>
      </c>
      <c r="E2014" s="3" t="n">
        <v>10</v>
      </c>
      <c r="F2014" s="24" t="n">
        <v>0</v>
      </c>
    </row>
    <row r="2015" customFormat="false" ht="15" hidden="false" customHeight="false" outlineLevel="0" collapsed="false">
      <c r="A2015" s="3" t="n">
        <v>2014</v>
      </c>
      <c r="B2015" s="3" t="n">
        <v>2013</v>
      </c>
      <c r="C2015" s="3" t="n">
        <v>10</v>
      </c>
      <c r="D2015" s="3" t="n">
        <v>3</v>
      </c>
      <c r="E2015" s="3" t="n">
        <v>11</v>
      </c>
      <c r="F2015" s="24" t="n">
        <v>0</v>
      </c>
    </row>
    <row r="2016" customFormat="false" ht="15" hidden="false" customHeight="false" outlineLevel="0" collapsed="false">
      <c r="A2016" s="3" t="n">
        <v>2015</v>
      </c>
      <c r="B2016" s="3" t="n">
        <v>2014</v>
      </c>
      <c r="C2016" s="3" t="n">
        <v>10</v>
      </c>
      <c r="D2016" s="3" t="n">
        <v>3</v>
      </c>
      <c r="E2016" s="3" t="n">
        <v>12</v>
      </c>
      <c r="F2016" s="24" t="n">
        <v>0</v>
      </c>
    </row>
    <row r="2017" customFormat="false" ht="15" hidden="false" customHeight="false" outlineLevel="0" collapsed="false">
      <c r="A2017" s="3" t="n">
        <v>2016</v>
      </c>
      <c r="B2017" s="3" t="n">
        <v>2015</v>
      </c>
      <c r="C2017" s="3" t="n">
        <v>10</v>
      </c>
      <c r="D2017" s="3" t="n">
        <v>3</v>
      </c>
      <c r="E2017" s="3" t="n">
        <v>13</v>
      </c>
      <c r="F2017" s="24" t="n">
        <v>0</v>
      </c>
    </row>
    <row r="2018" customFormat="false" ht="15" hidden="false" customHeight="false" outlineLevel="0" collapsed="false">
      <c r="A2018" s="3" t="n">
        <v>2017</v>
      </c>
      <c r="B2018" s="3" t="n">
        <v>2016</v>
      </c>
      <c r="C2018" s="3" t="n">
        <v>10</v>
      </c>
      <c r="D2018" s="3" t="n">
        <v>4</v>
      </c>
      <c r="E2018" s="3" t="n">
        <v>0</v>
      </c>
      <c r="F2018" s="24" t="n">
        <v>0</v>
      </c>
    </row>
    <row r="2019" customFormat="false" ht="15" hidden="false" customHeight="false" outlineLevel="0" collapsed="false">
      <c r="A2019" s="3" t="n">
        <v>2018</v>
      </c>
      <c r="B2019" s="3" t="n">
        <v>2017</v>
      </c>
      <c r="C2019" s="3" t="n">
        <v>10</v>
      </c>
      <c r="D2019" s="3" t="n">
        <v>4</v>
      </c>
      <c r="E2019" s="3" t="n">
        <v>1</v>
      </c>
      <c r="F2019" s="24" t="n">
        <v>0</v>
      </c>
    </row>
    <row r="2020" customFormat="false" ht="15" hidden="false" customHeight="false" outlineLevel="0" collapsed="false">
      <c r="A2020" s="3" t="n">
        <v>2019</v>
      </c>
      <c r="B2020" s="3" t="n">
        <v>2018</v>
      </c>
      <c r="C2020" s="3" t="n">
        <v>10</v>
      </c>
      <c r="D2020" s="3" t="n">
        <v>4</v>
      </c>
      <c r="E2020" s="3" t="n">
        <v>2</v>
      </c>
      <c r="F2020" s="24" t="n">
        <v>0.715162039</v>
      </c>
    </row>
    <row r="2021" customFormat="false" ht="15" hidden="false" customHeight="false" outlineLevel="0" collapsed="false">
      <c r="A2021" s="3" t="n">
        <v>2020</v>
      </c>
      <c r="B2021" s="3" t="n">
        <v>2019</v>
      </c>
      <c r="C2021" s="3" t="n">
        <v>10</v>
      </c>
      <c r="D2021" s="3" t="n">
        <v>4</v>
      </c>
      <c r="E2021" s="3" t="n">
        <v>3</v>
      </c>
      <c r="F2021" s="24" t="n">
        <v>0.531069756</v>
      </c>
    </row>
    <row r="2022" customFormat="false" ht="15" hidden="false" customHeight="false" outlineLevel="0" collapsed="false">
      <c r="A2022" s="3" t="n">
        <v>2021</v>
      </c>
      <c r="B2022" s="3" t="n">
        <v>2020</v>
      </c>
      <c r="C2022" s="3" t="n">
        <v>10</v>
      </c>
      <c r="D2022" s="3" t="n">
        <v>4</v>
      </c>
      <c r="E2022" s="3" t="n">
        <v>4</v>
      </c>
      <c r="F2022" s="24" t="n">
        <v>0</v>
      </c>
    </row>
    <row r="2023" customFormat="false" ht="15" hidden="false" customHeight="false" outlineLevel="0" collapsed="false">
      <c r="A2023" s="3" t="n">
        <v>2022</v>
      </c>
      <c r="B2023" s="3" t="n">
        <v>2021</v>
      </c>
      <c r="C2023" s="3" t="n">
        <v>10</v>
      </c>
      <c r="D2023" s="3" t="n">
        <v>4</v>
      </c>
      <c r="E2023" s="3" t="n">
        <v>5</v>
      </c>
      <c r="F2023" s="24" t="n">
        <v>0</v>
      </c>
    </row>
    <row r="2024" customFormat="false" ht="15" hidden="false" customHeight="false" outlineLevel="0" collapsed="false">
      <c r="A2024" s="3" t="n">
        <v>2023</v>
      </c>
      <c r="B2024" s="3" t="n">
        <v>2022</v>
      </c>
      <c r="C2024" s="3" t="n">
        <v>10</v>
      </c>
      <c r="D2024" s="3" t="n">
        <v>4</v>
      </c>
      <c r="E2024" s="3" t="n">
        <v>6</v>
      </c>
      <c r="F2024" s="24" t="n">
        <v>0</v>
      </c>
    </row>
    <row r="2025" customFormat="false" ht="15" hidden="false" customHeight="false" outlineLevel="0" collapsed="false">
      <c r="A2025" s="3" t="n">
        <v>2024</v>
      </c>
      <c r="B2025" s="3" t="n">
        <v>2023</v>
      </c>
      <c r="C2025" s="3" t="n">
        <v>10</v>
      </c>
      <c r="D2025" s="3" t="n">
        <v>4</v>
      </c>
      <c r="E2025" s="3" t="n">
        <v>7</v>
      </c>
      <c r="F2025" s="24" t="n">
        <v>0</v>
      </c>
    </row>
    <row r="2026" customFormat="false" ht="15" hidden="false" customHeight="false" outlineLevel="0" collapsed="false">
      <c r="A2026" s="3" t="n">
        <v>2025</v>
      </c>
      <c r="B2026" s="3" t="n">
        <v>2024</v>
      </c>
      <c r="C2026" s="3" t="n">
        <v>10</v>
      </c>
      <c r="D2026" s="3" t="n">
        <v>4</v>
      </c>
      <c r="E2026" s="3" t="n">
        <v>8</v>
      </c>
      <c r="F2026" s="24" t="n">
        <v>0</v>
      </c>
    </row>
    <row r="2027" customFormat="false" ht="15" hidden="false" customHeight="false" outlineLevel="0" collapsed="false">
      <c r="A2027" s="3" t="n">
        <v>2026</v>
      </c>
      <c r="B2027" s="3" t="n">
        <v>2025</v>
      </c>
      <c r="C2027" s="3" t="n">
        <v>10</v>
      </c>
      <c r="D2027" s="3" t="n">
        <v>4</v>
      </c>
      <c r="E2027" s="3" t="n">
        <v>9</v>
      </c>
      <c r="F2027" s="24" t="n">
        <v>0</v>
      </c>
    </row>
    <row r="2028" customFormat="false" ht="15" hidden="false" customHeight="false" outlineLevel="0" collapsed="false">
      <c r="A2028" s="3" t="n">
        <v>2027</v>
      </c>
      <c r="B2028" s="3" t="n">
        <v>2026</v>
      </c>
      <c r="C2028" s="3" t="n">
        <v>10</v>
      </c>
      <c r="D2028" s="3" t="n">
        <v>4</v>
      </c>
      <c r="E2028" s="3" t="n">
        <v>10</v>
      </c>
      <c r="F2028" s="24" t="n">
        <v>0</v>
      </c>
    </row>
    <row r="2029" customFormat="false" ht="15" hidden="false" customHeight="false" outlineLevel="0" collapsed="false">
      <c r="A2029" s="3" t="n">
        <v>2028</v>
      </c>
      <c r="B2029" s="3" t="n">
        <v>2027</v>
      </c>
      <c r="C2029" s="3" t="n">
        <v>10</v>
      </c>
      <c r="D2029" s="3" t="n">
        <v>4</v>
      </c>
      <c r="E2029" s="3" t="n">
        <v>11</v>
      </c>
      <c r="F2029" s="24" t="n">
        <v>0</v>
      </c>
    </row>
    <row r="2030" customFormat="false" ht="15" hidden="false" customHeight="false" outlineLevel="0" collapsed="false">
      <c r="A2030" s="3" t="n">
        <v>2029</v>
      </c>
      <c r="B2030" s="3" t="n">
        <v>2028</v>
      </c>
      <c r="C2030" s="3" t="n">
        <v>10</v>
      </c>
      <c r="D2030" s="3" t="n">
        <v>4</v>
      </c>
      <c r="E2030" s="3" t="n">
        <v>12</v>
      </c>
      <c r="F2030" s="24" t="n">
        <v>0</v>
      </c>
    </row>
    <row r="2031" customFormat="false" ht="15" hidden="false" customHeight="false" outlineLevel="0" collapsed="false">
      <c r="A2031" s="3" t="n">
        <v>2030</v>
      </c>
      <c r="B2031" s="3" t="n">
        <v>2029</v>
      </c>
      <c r="C2031" s="3" t="n">
        <v>10</v>
      </c>
      <c r="D2031" s="3" t="n">
        <v>4</v>
      </c>
      <c r="E2031" s="3" t="n">
        <v>13</v>
      </c>
      <c r="F2031" s="24" t="n">
        <v>0</v>
      </c>
    </row>
    <row r="2032" customFormat="false" ht="15" hidden="false" customHeight="false" outlineLevel="0" collapsed="false">
      <c r="A2032" s="3" t="n">
        <v>2031</v>
      </c>
      <c r="B2032" s="3" t="n">
        <v>2030</v>
      </c>
      <c r="C2032" s="3" t="n">
        <v>10</v>
      </c>
      <c r="D2032" s="3" t="n">
        <v>5</v>
      </c>
      <c r="E2032" s="3" t="n">
        <v>0</v>
      </c>
      <c r="F2032" s="24" t="n">
        <v>0</v>
      </c>
    </row>
    <row r="2033" customFormat="false" ht="15" hidden="false" customHeight="false" outlineLevel="0" collapsed="false">
      <c r="A2033" s="3" t="n">
        <v>2032</v>
      </c>
      <c r="B2033" s="3" t="n">
        <v>2031</v>
      </c>
      <c r="C2033" s="3" t="n">
        <v>10</v>
      </c>
      <c r="D2033" s="3" t="n">
        <v>5</v>
      </c>
      <c r="E2033" s="3" t="n">
        <v>1</v>
      </c>
      <c r="F2033" s="24" t="n">
        <v>0</v>
      </c>
    </row>
    <row r="2034" customFormat="false" ht="15" hidden="false" customHeight="false" outlineLevel="0" collapsed="false">
      <c r="A2034" s="3" t="n">
        <v>2033</v>
      </c>
      <c r="B2034" s="3" t="n">
        <v>2032</v>
      </c>
      <c r="C2034" s="3" t="n">
        <v>10</v>
      </c>
      <c r="D2034" s="3" t="n">
        <v>5</v>
      </c>
      <c r="E2034" s="3" t="n">
        <v>2</v>
      </c>
      <c r="F2034" s="24" t="n">
        <v>0.801254869</v>
      </c>
    </row>
    <row r="2035" customFormat="false" ht="15" hidden="false" customHeight="false" outlineLevel="0" collapsed="false">
      <c r="A2035" s="3" t="n">
        <v>2034</v>
      </c>
      <c r="B2035" s="3" t="n">
        <v>2033</v>
      </c>
      <c r="C2035" s="3" t="n">
        <v>10</v>
      </c>
      <c r="D2035" s="3" t="n">
        <v>5</v>
      </c>
      <c r="E2035" s="3" t="n">
        <v>3</v>
      </c>
      <c r="F2035" s="24" t="n">
        <v>0</v>
      </c>
    </row>
    <row r="2036" customFormat="false" ht="15" hidden="false" customHeight="false" outlineLevel="0" collapsed="false">
      <c r="A2036" s="3" t="n">
        <v>2035</v>
      </c>
      <c r="B2036" s="3" t="n">
        <v>2034</v>
      </c>
      <c r="C2036" s="3" t="n">
        <v>10</v>
      </c>
      <c r="D2036" s="3" t="n">
        <v>5</v>
      </c>
      <c r="E2036" s="3" t="n">
        <v>4</v>
      </c>
      <c r="F2036" s="24" t="n">
        <v>0</v>
      </c>
    </row>
    <row r="2037" customFormat="false" ht="15" hidden="false" customHeight="false" outlineLevel="0" collapsed="false">
      <c r="A2037" s="3" t="n">
        <v>2036</v>
      </c>
      <c r="B2037" s="3" t="n">
        <v>2035</v>
      </c>
      <c r="C2037" s="3" t="n">
        <v>10</v>
      </c>
      <c r="D2037" s="3" t="n">
        <v>5</v>
      </c>
      <c r="E2037" s="3" t="n">
        <v>5</v>
      </c>
      <c r="F2037" s="24" t="n">
        <v>0</v>
      </c>
    </row>
    <row r="2038" customFormat="false" ht="15" hidden="false" customHeight="false" outlineLevel="0" collapsed="false">
      <c r="A2038" s="3" t="n">
        <v>2037</v>
      </c>
      <c r="B2038" s="3" t="n">
        <v>2036</v>
      </c>
      <c r="C2038" s="3" t="n">
        <v>10</v>
      </c>
      <c r="D2038" s="3" t="n">
        <v>5</v>
      </c>
      <c r="E2038" s="3" t="n">
        <v>6</v>
      </c>
      <c r="F2038" s="24" t="n">
        <v>0</v>
      </c>
    </row>
    <row r="2039" customFormat="false" ht="15" hidden="false" customHeight="false" outlineLevel="0" collapsed="false">
      <c r="A2039" s="3" t="n">
        <v>2038</v>
      </c>
      <c r="B2039" s="3" t="n">
        <v>2037</v>
      </c>
      <c r="C2039" s="3" t="n">
        <v>10</v>
      </c>
      <c r="D2039" s="3" t="n">
        <v>5</v>
      </c>
      <c r="E2039" s="3" t="n">
        <v>7</v>
      </c>
      <c r="F2039" s="24" t="n">
        <v>0</v>
      </c>
    </row>
    <row r="2040" customFormat="false" ht="15" hidden="false" customHeight="false" outlineLevel="0" collapsed="false">
      <c r="A2040" s="3" t="n">
        <v>2039</v>
      </c>
      <c r="B2040" s="3" t="n">
        <v>2038</v>
      </c>
      <c r="C2040" s="3" t="n">
        <v>10</v>
      </c>
      <c r="D2040" s="3" t="n">
        <v>5</v>
      </c>
      <c r="E2040" s="3" t="n">
        <v>8</v>
      </c>
      <c r="F2040" s="24" t="n">
        <v>0</v>
      </c>
    </row>
    <row r="2041" customFormat="false" ht="15" hidden="false" customHeight="false" outlineLevel="0" collapsed="false">
      <c r="A2041" s="3" t="n">
        <v>2040</v>
      </c>
      <c r="B2041" s="3" t="n">
        <v>2039</v>
      </c>
      <c r="C2041" s="3" t="n">
        <v>10</v>
      </c>
      <c r="D2041" s="3" t="n">
        <v>5</v>
      </c>
      <c r="E2041" s="3" t="n">
        <v>9</v>
      </c>
      <c r="F2041" s="24" t="n">
        <v>0</v>
      </c>
    </row>
    <row r="2042" customFormat="false" ht="15" hidden="false" customHeight="false" outlineLevel="0" collapsed="false">
      <c r="A2042" s="3" t="n">
        <v>2041</v>
      </c>
      <c r="B2042" s="3" t="n">
        <v>2040</v>
      </c>
      <c r="C2042" s="3" t="n">
        <v>10</v>
      </c>
      <c r="D2042" s="3" t="n">
        <v>5</v>
      </c>
      <c r="E2042" s="3" t="n">
        <v>10</v>
      </c>
      <c r="F2042" s="24" t="n">
        <v>0</v>
      </c>
    </row>
    <row r="2043" customFormat="false" ht="15" hidden="false" customHeight="false" outlineLevel="0" collapsed="false">
      <c r="A2043" s="3" t="n">
        <v>2042</v>
      </c>
      <c r="B2043" s="3" t="n">
        <v>2041</v>
      </c>
      <c r="C2043" s="3" t="n">
        <v>10</v>
      </c>
      <c r="D2043" s="3" t="n">
        <v>5</v>
      </c>
      <c r="E2043" s="3" t="n">
        <v>11</v>
      </c>
      <c r="F2043" s="24" t="n">
        <v>0</v>
      </c>
    </row>
    <row r="2044" customFormat="false" ht="15" hidden="false" customHeight="false" outlineLevel="0" collapsed="false">
      <c r="A2044" s="3" t="n">
        <v>2043</v>
      </c>
      <c r="B2044" s="3" t="n">
        <v>2042</v>
      </c>
      <c r="C2044" s="3" t="n">
        <v>10</v>
      </c>
      <c r="D2044" s="3" t="n">
        <v>5</v>
      </c>
      <c r="E2044" s="3" t="n">
        <v>12</v>
      </c>
      <c r="F2044" s="24" t="n">
        <v>0</v>
      </c>
    </row>
    <row r="2045" customFormat="false" ht="15" hidden="false" customHeight="false" outlineLevel="0" collapsed="false">
      <c r="A2045" s="3" t="n">
        <v>2044</v>
      </c>
      <c r="B2045" s="3" t="n">
        <v>2043</v>
      </c>
      <c r="C2045" s="3" t="n">
        <v>10</v>
      </c>
      <c r="D2045" s="3" t="n">
        <v>5</v>
      </c>
      <c r="E2045" s="3" t="n">
        <v>13</v>
      </c>
      <c r="F2045" s="24" t="n">
        <v>0</v>
      </c>
    </row>
    <row r="2046" customFormat="false" ht="15" hidden="false" customHeight="false" outlineLevel="0" collapsed="false">
      <c r="A2046" s="3" t="n">
        <v>2045</v>
      </c>
      <c r="B2046" s="3" t="n">
        <v>2044</v>
      </c>
      <c r="C2046" s="3" t="n">
        <v>10</v>
      </c>
      <c r="D2046" s="3" t="n">
        <v>6</v>
      </c>
      <c r="E2046" s="3" t="n">
        <v>0</v>
      </c>
      <c r="F2046" s="24" t="n">
        <v>0</v>
      </c>
    </row>
    <row r="2047" customFormat="false" ht="15" hidden="false" customHeight="false" outlineLevel="0" collapsed="false">
      <c r="A2047" s="3" t="n">
        <v>2046</v>
      </c>
      <c r="B2047" s="3" t="n">
        <v>2045</v>
      </c>
      <c r="C2047" s="3" t="n">
        <v>10</v>
      </c>
      <c r="D2047" s="3" t="n">
        <v>6</v>
      </c>
      <c r="E2047" s="3" t="n">
        <v>1</v>
      </c>
      <c r="F2047" s="24" t="n">
        <v>0</v>
      </c>
    </row>
    <row r="2048" customFormat="false" ht="15" hidden="false" customHeight="false" outlineLevel="0" collapsed="false">
      <c r="A2048" s="3" t="n">
        <v>2047</v>
      </c>
      <c r="B2048" s="3" t="n">
        <v>2046</v>
      </c>
      <c r="C2048" s="3" t="n">
        <v>10</v>
      </c>
      <c r="D2048" s="3" t="n">
        <v>6</v>
      </c>
      <c r="E2048" s="3" t="n">
        <v>2</v>
      </c>
      <c r="F2048" s="24" t="n">
        <v>0</v>
      </c>
    </row>
    <row r="2049" customFormat="false" ht="15" hidden="false" customHeight="false" outlineLevel="0" collapsed="false">
      <c r="A2049" s="3" t="n">
        <v>2048</v>
      </c>
      <c r="B2049" s="3" t="n">
        <v>2047</v>
      </c>
      <c r="C2049" s="3" t="n">
        <v>10</v>
      </c>
      <c r="D2049" s="3" t="n">
        <v>6</v>
      </c>
      <c r="E2049" s="3" t="n">
        <v>3</v>
      </c>
      <c r="F2049" s="24" t="n">
        <v>0</v>
      </c>
    </row>
    <row r="2050" customFormat="false" ht="15" hidden="false" customHeight="false" outlineLevel="0" collapsed="false">
      <c r="A2050" s="3" t="n">
        <v>2049</v>
      </c>
      <c r="B2050" s="3" t="n">
        <v>2048</v>
      </c>
      <c r="C2050" s="3" t="n">
        <v>10</v>
      </c>
      <c r="D2050" s="3" t="n">
        <v>6</v>
      </c>
      <c r="E2050" s="3" t="n">
        <v>4</v>
      </c>
      <c r="F2050" s="24" t="n">
        <v>0.0570994318</v>
      </c>
    </row>
    <row r="2051" customFormat="false" ht="15" hidden="false" customHeight="false" outlineLevel="0" collapsed="false">
      <c r="A2051" s="3" t="n">
        <v>2050</v>
      </c>
      <c r="B2051" s="3" t="n">
        <v>2049</v>
      </c>
      <c r="C2051" s="3" t="n">
        <v>10</v>
      </c>
      <c r="D2051" s="3" t="n">
        <v>6</v>
      </c>
      <c r="E2051" s="3" t="n">
        <v>5</v>
      </c>
      <c r="F2051" s="24" t="n">
        <v>0.197589457</v>
      </c>
    </row>
    <row r="2052" customFormat="false" ht="15" hidden="false" customHeight="false" outlineLevel="0" collapsed="false">
      <c r="A2052" s="3" t="n">
        <v>2051</v>
      </c>
      <c r="B2052" s="3" t="n">
        <v>2050</v>
      </c>
      <c r="C2052" s="3" t="n">
        <v>10</v>
      </c>
      <c r="D2052" s="3" t="n">
        <v>6</v>
      </c>
      <c r="E2052" s="3" t="n">
        <v>6</v>
      </c>
      <c r="F2052" s="24" t="n">
        <v>0.79904139</v>
      </c>
    </row>
    <row r="2053" customFormat="false" ht="15" hidden="false" customHeight="false" outlineLevel="0" collapsed="false">
      <c r="A2053" s="3" t="n">
        <v>2052</v>
      </c>
      <c r="B2053" s="3" t="n">
        <v>2051</v>
      </c>
      <c r="C2053" s="3" t="n">
        <v>10</v>
      </c>
      <c r="D2053" s="3" t="n">
        <v>6</v>
      </c>
      <c r="E2053" s="3" t="n">
        <v>7</v>
      </c>
      <c r="F2053" s="24" t="n">
        <v>1.66993642</v>
      </c>
    </row>
    <row r="2054" customFormat="false" ht="15" hidden="false" customHeight="false" outlineLevel="0" collapsed="false">
      <c r="A2054" s="3" t="n">
        <v>2053</v>
      </c>
      <c r="B2054" s="3" t="n">
        <v>2052</v>
      </c>
      <c r="C2054" s="3" t="n">
        <v>10</v>
      </c>
      <c r="D2054" s="3" t="n">
        <v>6</v>
      </c>
      <c r="E2054" s="3" t="n">
        <v>8</v>
      </c>
      <c r="F2054" s="24" t="n">
        <v>1.89678872</v>
      </c>
    </row>
    <row r="2055" customFormat="false" ht="15" hidden="false" customHeight="false" outlineLevel="0" collapsed="false">
      <c r="A2055" s="3" t="n">
        <v>2054</v>
      </c>
      <c r="B2055" s="3" t="n">
        <v>2053</v>
      </c>
      <c r="C2055" s="3" t="n">
        <v>10</v>
      </c>
      <c r="D2055" s="3" t="n">
        <v>6</v>
      </c>
      <c r="E2055" s="3" t="n">
        <v>9</v>
      </c>
      <c r="F2055" s="24" t="n">
        <v>2.38595033</v>
      </c>
    </row>
    <row r="2056" customFormat="false" ht="15" hidden="false" customHeight="false" outlineLevel="0" collapsed="false">
      <c r="A2056" s="3" t="n">
        <v>2055</v>
      </c>
      <c r="B2056" s="3" t="n">
        <v>2054</v>
      </c>
      <c r="C2056" s="3" t="n">
        <v>10</v>
      </c>
      <c r="D2056" s="3" t="n">
        <v>6</v>
      </c>
      <c r="E2056" s="3" t="n">
        <v>10</v>
      </c>
      <c r="F2056" s="24" t="n">
        <v>0</v>
      </c>
    </row>
    <row r="2057" customFormat="false" ht="15" hidden="false" customHeight="false" outlineLevel="0" collapsed="false">
      <c r="A2057" s="3" t="n">
        <v>2056</v>
      </c>
      <c r="B2057" s="3" t="n">
        <v>2055</v>
      </c>
      <c r="C2057" s="3" t="n">
        <v>10</v>
      </c>
      <c r="D2057" s="3" t="n">
        <v>6</v>
      </c>
      <c r="E2057" s="3" t="n">
        <v>11</v>
      </c>
      <c r="F2057" s="24" t="n">
        <v>0</v>
      </c>
    </row>
    <row r="2058" customFormat="false" ht="15" hidden="false" customHeight="false" outlineLevel="0" collapsed="false">
      <c r="A2058" s="3" t="n">
        <v>2057</v>
      </c>
      <c r="B2058" s="3" t="n">
        <v>2056</v>
      </c>
      <c r="C2058" s="3" t="n">
        <v>10</v>
      </c>
      <c r="D2058" s="3" t="n">
        <v>6</v>
      </c>
      <c r="E2058" s="3" t="n">
        <v>12</v>
      </c>
      <c r="F2058" s="24" t="n">
        <v>0</v>
      </c>
    </row>
    <row r="2059" customFormat="false" ht="15" hidden="false" customHeight="false" outlineLevel="0" collapsed="false">
      <c r="A2059" s="3" t="n">
        <v>2058</v>
      </c>
      <c r="B2059" s="3" t="n">
        <v>2057</v>
      </c>
      <c r="C2059" s="3" t="n">
        <v>10</v>
      </c>
      <c r="D2059" s="3" t="n">
        <v>6</v>
      </c>
      <c r="E2059" s="3" t="n">
        <v>13</v>
      </c>
      <c r="F2059" s="24" t="n">
        <v>0</v>
      </c>
    </row>
    <row r="2060" customFormat="false" ht="15" hidden="false" customHeight="false" outlineLevel="0" collapsed="false">
      <c r="A2060" s="3" t="n">
        <v>2059</v>
      </c>
      <c r="B2060" s="3" t="n">
        <v>2058</v>
      </c>
      <c r="C2060" s="3" t="n">
        <v>10</v>
      </c>
      <c r="D2060" s="3" t="n">
        <v>7</v>
      </c>
      <c r="E2060" s="3" t="n">
        <v>0</v>
      </c>
      <c r="F2060" s="24" t="n">
        <v>0</v>
      </c>
    </row>
    <row r="2061" customFormat="false" ht="15" hidden="false" customHeight="false" outlineLevel="0" collapsed="false">
      <c r="A2061" s="3" t="n">
        <v>2060</v>
      </c>
      <c r="B2061" s="3" t="n">
        <v>2059</v>
      </c>
      <c r="C2061" s="3" t="n">
        <v>10</v>
      </c>
      <c r="D2061" s="3" t="n">
        <v>7</v>
      </c>
      <c r="E2061" s="3" t="n">
        <v>1</v>
      </c>
      <c r="F2061" s="24" t="n">
        <v>0</v>
      </c>
    </row>
    <row r="2062" customFormat="false" ht="15" hidden="false" customHeight="false" outlineLevel="0" collapsed="false">
      <c r="A2062" s="3" t="n">
        <v>2061</v>
      </c>
      <c r="B2062" s="3" t="n">
        <v>2060</v>
      </c>
      <c r="C2062" s="3" t="n">
        <v>10</v>
      </c>
      <c r="D2062" s="3" t="n">
        <v>7</v>
      </c>
      <c r="E2062" s="3" t="n">
        <v>2</v>
      </c>
      <c r="F2062" s="24" t="n">
        <v>0</v>
      </c>
    </row>
    <row r="2063" customFormat="false" ht="15" hidden="false" customHeight="false" outlineLevel="0" collapsed="false">
      <c r="A2063" s="3" t="n">
        <v>2062</v>
      </c>
      <c r="B2063" s="3" t="n">
        <v>2061</v>
      </c>
      <c r="C2063" s="3" t="n">
        <v>10</v>
      </c>
      <c r="D2063" s="3" t="n">
        <v>7</v>
      </c>
      <c r="E2063" s="3" t="n">
        <v>3</v>
      </c>
      <c r="F2063" s="24" t="n">
        <v>0</v>
      </c>
    </row>
    <row r="2064" customFormat="false" ht="15" hidden="false" customHeight="false" outlineLevel="0" collapsed="false">
      <c r="A2064" s="3" t="n">
        <v>2063</v>
      </c>
      <c r="B2064" s="3" t="n">
        <v>2062</v>
      </c>
      <c r="C2064" s="3" t="n">
        <v>10</v>
      </c>
      <c r="D2064" s="3" t="n">
        <v>7</v>
      </c>
      <c r="E2064" s="3" t="n">
        <v>4</v>
      </c>
      <c r="F2064" s="24" t="n">
        <v>0</v>
      </c>
    </row>
    <row r="2065" customFormat="false" ht="15" hidden="false" customHeight="false" outlineLevel="0" collapsed="false">
      <c r="A2065" s="3" t="n">
        <v>2064</v>
      </c>
      <c r="B2065" s="3" t="n">
        <v>2063</v>
      </c>
      <c r="C2065" s="3" t="n">
        <v>10</v>
      </c>
      <c r="D2065" s="3" t="n">
        <v>7</v>
      </c>
      <c r="E2065" s="3" t="n">
        <v>5</v>
      </c>
      <c r="F2065" s="24" t="n">
        <v>0</v>
      </c>
    </row>
    <row r="2066" customFormat="false" ht="15" hidden="false" customHeight="false" outlineLevel="0" collapsed="false">
      <c r="A2066" s="3" t="n">
        <v>2065</v>
      </c>
      <c r="B2066" s="3" t="n">
        <v>2064</v>
      </c>
      <c r="C2066" s="3" t="n">
        <v>10</v>
      </c>
      <c r="D2066" s="3" t="n">
        <v>7</v>
      </c>
      <c r="E2066" s="3" t="n">
        <v>6</v>
      </c>
      <c r="F2066" s="24" t="n">
        <v>0.58955431</v>
      </c>
    </row>
    <row r="2067" customFormat="false" ht="15" hidden="false" customHeight="false" outlineLevel="0" collapsed="false">
      <c r="A2067" s="3" t="n">
        <v>2066</v>
      </c>
      <c r="B2067" s="3" t="n">
        <v>2065</v>
      </c>
      <c r="C2067" s="3" t="n">
        <v>10</v>
      </c>
      <c r="D2067" s="3" t="n">
        <v>7</v>
      </c>
      <c r="E2067" s="3" t="n">
        <v>7</v>
      </c>
      <c r="F2067" s="24" t="n">
        <v>1.48067689</v>
      </c>
    </row>
    <row r="2068" customFormat="false" ht="15" hidden="false" customHeight="false" outlineLevel="0" collapsed="false">
      <c r="A2068" s="3" t="n">
        <v>2067</v>
      </c>
      <c r="B2068" s="3" t="n">
        <v>2066</v>
      </c>
      <c r="C2068" s="3" t="n">
        <v>10</v>
      </c>
      <c r="D2068" s="3" t="n">
        <v>7</v>
      </c>
      <c r="E2068" s="3" t="n">
        <v>8</v>
      </c>
      <c r="F2068" s="24" t="n">
        <v>3.07072926</v>
      </c>
    </row>
    <row r="2069" customFormat="false" ht="15" hidden="false" customHeight="false" outlineLevel="0" collapsed="false">
      <c r="A2069" s="3" t="n">
        <v>2068</v>
      </c>
      <c r="B2069" s="3" t="n">
        <v>2067</v>
      </c>
      <c r="C2069" s="3" t="n">
        <v>10</v>
      </c>
      <c r="D2069" s="3" t="n">
        <v>7</v>
      </c>
      <c r="E2069" s="3" t="n">
        <v>9</v>
      </c>
      <c r="F2069" s="24" t="n">
        <v>0</v>
      </c>
    </row>
    <row r="2070" customFormat="false" ht="15" hidden="false" customHeight="false" outlineLevel="0" collapsed="false">
      <c r="A2070" s="3" t="n">
        <v>2069</v>
      </c>
      <c r="B2070" s="3" t="n">
        <v>2068</v>
      </c>
      <c r="C2070" s="3" t="n">
        <v>10</v>
      </c>
      <c r="D2070" s="3" t="n">
        <v>7</v>
      </c>
      <c r="E2070" s="3" t="n">
        <v>10</v>
      </c>
      <c r="F2070" s="24" t="n">
        <v>0</v>
      </c>
    </row>
    <row r="2071" customFormat="false" ht="15" hidden="false" customHeight="false" outlineLevel="0" collapsed="false">
      <c r="A2071" s="3" t="n">
        <v>2070</v>
      </c>
      <c r="B2071" s="3" t="n">
        <v>2069</v>
      </c>
      <c r="C2071" s="3" t="n">
        <v>10</v>
      </c>
      <c r="D2071" s="3" t="n">
        <v>7</v>
      </c>
      <c r="E2071" s="3" t="n">
        <v>11</v>
      </c>
      <c r="F2071" s="24" t="n">
        <v>0</v>
      </c>
    </row>
    <row r="2072" customFormat="false" ht="15" hidden="false" customHeight="false" outlineLevel="0" collapsed="false">
      <c r="A2072" s="3" t="n">
        <v>2071</v>
      </c>
      <c r="B2072" s="3" t="n">
        <v>2070</v>
      </c>
      <c r="C2072" s="3" t="n">
        <v>10</v>
      </c>
      <c r="D2072" s="3" t="n">
        <v>7</v>
      </c>
      <c r="E2072" s="3" t="n">
        <v>12</v>
      </c>
      <c r="F2072" s="24" t="n">
        <v>0</v>
      </c>
    </row>
    <row r="2073" customFormat="false" ht="15" hidden="false" customHeight="false" outlineLevel="0" collapsed="false">
      <c r="A2073" s="3" t="n">
        <v>2072</v>
      </c>
      <c r="B2073" s="3" t="n">
        <v>2071</v>
      </c>
      <c r="C2073" s="3" t="n">
        <v>10</v>
      </c>
      <c r="D2073" s="3" t="n">
        <v>7</v>
      </c>
      <c r="E2073" s="3" t="n">
        <v>13</v>
      </c>
      <c r="F2073" s="24" t="n">
        <v>0</v>
      </c>
    </row>
    <row r="2074" customFormat="false" ht="15" hidden="false" customHeight="false" outlineLevel="0" collapsed="false">
      <c r="A2074" s="3" t="n">
        <v>2073</v>
      </c>
      <c r="B2074" s="3" t="n">
        <v>2072</v>
      </c>
      <c r="C2074" s="3" t="n">
        <v>10</v>
      </c>
      <c r="D2074" s="3" t="n">
        <v>8</v>
      </c>
      <c r="E2074" s="3" t="n">
        <v>0</v>
      </c>
      <c r="F2074" s="24" t="n">
        <v>0</v>
      </c>
    </row>
    <row r="2075" customFormat="false" ht="15" hidden="false" customHeight="false" outlineLevel="0" collapsed="false">
      <c r="A2075" s="3" t="n">
        <v>2074</v>
      </c>
      <c r="B2075" s="3" t="n">
        <v>2073</v>
      </c>
      <c r="C2075" s="3" t="n">
        <v>10</v>
      </c>
      <c r="D2075" s="3" t="n">
        <v>8</v>
      </c>
      <c r="E2075" s="3" t="n">
        <v>1</v>
      </c>
      <c r="F2075" s="24" t="n">
        <v>0</v>
      </c>
    </row>
    <row r="2076" customFormat="false" ht="15" hidden="false" customHeight="false" outlineLevel="0" collapsed="false">
      <c r="A2076" s="3" t="n">
        <v>2075</v>
      </c>
      <c r="B2076" s="3" t="n">
        <v>2074</v>
      </c>
      <c r="C2076" s="3" t="n">
        <v>10</v>
      </c>
      <c r="D2076" s="3" t="n">
        <v>8</v>
      </c>
      <c r="E2076" s="3" t="n">
        <v>2</v>
      </c>
      <c r="F2076" s="24" t="n">
        <v>0</v>
      </c>
    </row>
    <row r="2077" customFormat="false" ht="15" hidden="false" customHeight="false" outlineLevel="0" collapsed="false">
      <c r="A2077" s="3" t="n">
        <v>2076</v>
      </c>
      <c r="B2077" s="3" t="n">
        <v>2075</v>
      </c>
      <c r="C2077" s="3" t="n">
        <v>10</v>
      </c>
      <c r="D2077" s="3" t="n">
        <v>8</v>
      </c>
      <c r="E2077" s="3" t="n">
        <v>3</v>
      </c>
      <c r="F2077" s="24" t="n">
        <v>0</v>
      </c>
    </row>
    <row r="2078" customFormat="false" ht="15" hidden="false" customHeight="false" outlineLevel="0" collapsed="false">
      <c r="A2078" s="3" t="n">
        <v>2077</v>
      </c>
      <c r="B2078" s="3" t="n">
        <v>2076</v>
      </c>
      <c r="C2078" s="3" t="n">
        <v>10</v>
      </c>
      <c r="D2078" s="3" t="n">
        <v>8</v>
      </c>
      <c r="E2078" s="3" t="n">
        <v>4</v>
      </c>
      <c r="F2078" s="24" t="n">
        <v>0</v>
      </c>
    </row>
    <row r="2079" customFormat="false" ht="15" hidden="false" customHeight="false" outlineLevel="0" collapsed="false">
      <c r="A2079" s="3" t="n">
        <v>2078</v>
      </c>
      <c r="B2079" s="3" t="n">
        <v>2077</v>
      </c>
      <c r="C2079" s="3" t="n">
        <v>10</v>
      </c>
      <c r="D2079" s="3" t="n">
        <v>8</v>
      </c>
      <c r="E2079" s="3" t="n">
        <v>5</v>
      </c>
      <c r="F2079" s="24" t="n">
        <v>0.730513453</v>
      </c>
    </row>
    <row r="2080" customFormat="false" ht="15" hidden="false" customHeight="false" outlineLevel="0" collapsed="false">
      <c r="A2080" s="3" t="n">
        <v>2079</v>
      </c>
      <c r="B2080" s="3" t="n">
        <v>2078</v>
      </c>
      <c r="C2080" s="3" t="n">
        <v>10</v>
      </c>
      <c r="D2080" s="3" t="n">
        <v>8</v>
      </c>
      <c r="E2080" s="3" t="n">
        <v>6</v>
      </c>
      <c r="F2080" s="24" t="n">
        <v>0.493685216</v>
      </c>
    </row>
    <row r="2081" customFormat="false" ht="15" hidden="false" customHeight="false" outlineLevel="0" collapsed="false">
      <c r="A2081" s="3" t="n">
        <v>2080</v>
      </c>
      <c r="B2081" s="3" t="n">
        <v>2079</v>
      </c>
      <c r="C2081" s="3" t="n">
        <v>10</v>
      </c>
      <c r="D2081" s="3" t="n">
        <v>8</v>
      </c>
      <c r="E2081" s="3" t="n">
        <v>7</v>
      </c>
      <c r="F2081" s="24" t="n">
        <v>1.02337122</v>
      </c>
    </row>
    <row r="2082" customFormat="false" ht="15" hidden="false" customHeight="false" outlineLevel="0" collapsed="false">
      <c r="A2082" s="3" t="n">
        <v>2081</v>
      </c>
      <c r="B2082" s="3" t="n">
        <v>2080</v>
      </c>
      <c r="C2082" s="3" t="n">
        <v>10</v>
      </c>
      <c r="D2082" s="3" t="n">
        <v>8</v>
      </c>
      <c r="E2082" s="3" t="n">
        <v>8</v>
      </c>
      <c r="F2082" s="24" t="n">
        <v>1.82261825</v>
      </c>
    </row>
    <row r="2083" customFormat="false" ht="15" hidden="false" customHeight="false" outlineLevel="0" collapsed="false">
      <c r="A2083" s="3" t="n">
        <v>2082</v>
      </c>
      <c r="B2083" s="3" t="n">
        <v>2081</v>
      </c>
      <c r="C2083" s="3" t="n">
        <v>10</v>
      </c>
      <c r="D2083" s="3" t="n">
        <v>8</v>
      </c>
      <c r="E2083" s="3" t="n">
        <v>9</v>
      </c>
      <c r="F2083" s="24" t="n">
        <v>0</v>
      </c>
    </row>
    <row r="2084" customFormat="false" ht="15" hidden="false" customHeight="false" outlineLevel="0" collapsed="false">
      <c r="A2084" s="3" t="n">
        <v>2083</v>
      </c>
      <c r="B2084" s="3" t="n">
        <v>2082</v>
      </c>
      <c r="C2084" s="3" t="n">
        <v>10</v>
      </c>
      <c r="D2084" s="3" t="n">
        <v>8</v>
      </c>
      <c r="E2084" s="3" t="n">
        <v>10</v>
      </c>
      <c r="F2084" s="24" t="n">
        <v>0</v>
      </c>
    </row>
    <row r="2085" customFormat="false" ht="15" hidden="false" customHeight="false" outlineLevel="0" collapsed="false">
      <c r="A2085" s="3" t="n">
        <v>2084</v>
      </c>
      <c r="B2085" s="3" t="n">
        <v>2083</v>
      </c>
      <c r="C2085" s="3" t="n">
        <v>10</v>
      </c>
      <c r="D2085" s="3" t="n">
        <v>8</v>
      </c>
      <c r="E2085" s="3" t="n">
        <v>11</v>
      </c>
      <c r="F2085" s="24" t="n">
        <v>0</v>
      </c>
    </row>
    <row r="2086" customFormat="false" ht="15" hidden="false" customHeight="false" outlineLevel="0" collapsed="false">
      <c r="A2086" s="3" t="n">
        <v>2085</v>
      </c>
      <c r="B2086" s="3" t="n">
        <v>2084</v>
      </c>
      <c r="C2086" s="3" t="n">
        <v>10</v>
      </c>
      <c r="D2086" s="3" t="n">
        <v>8</v>
      </c>
      <c r="E2086" s="3" t="n">
        <v>12</v>
      </c>
      <c r="F2086" s="24" t="n">
        <v>0</v>
      </c>
    </row>
    <row r="2087" customFormat="false" ht="15" hidden="false" customHeight="false" outlineLevel="0" collapsed="false">
      <c r="A2087" s="3" t="n">
        <v>2086</v>
      </c>
      <c r="B2087" s="3" t="n">
        <v>2085</v>
      </c>
      <c r="C2087" s="3" t="n">
        <v>10</v>
      </c>
      <c r="D2087" s="3" t="n">
        <v>8</v>
      </c>
      <c r="E2087" s="3" t="n">
        <v>13</v>
      </c>
      <c r="F2087" s="24" t="n">
        <v>0</v>
      </c>
    </row>
    <row r="2088" customFormat="false" ht="15" hidden="false" customHeight="false" outlineLevel="0" collapsed="false">
      <c r="A2088" s="3" t="n">
        <v>2087</v>
      </c>
      <c r="B2088" s="3" t="n">
        <v>2086</v>
      </c>
      <c r="C2088" s="3" t="n">
        <v>10</v>
      </c>
      <c r="D2088" s="3" t="n">
        <v>9</v>
      </c>
      <c r="E2088" s="3" t="n">
        <v>0</v>
      </c>
      <c r="F2088" s="24" t="n">
        <v>0</v>
      </c>
    </row>
    <row r="2089" customFormat="false" ht="15" hidden="false" customHeight="false" outlineLevel="0" collapsed="false">
      <c r="A2089" s="3" t="n">
        <v>2088</v>
      </c>
      <c r="B2089" s="3" t="n">
        <v>2087</v>
      </c>
      <c r="C2089" s="3" t="n">
        <v>10</v>
      </c>
      <c r="D2089" s="3" t="n">
        <v>9</v>
      </c>
      <c r="E2089" s="3" t="n">
        <v>1</v>
      </c>
      <c r="F2089" s="24" t="n">
        <v>0</v>
      </c>
    </row>
    <row r="2090" customFormat="false" ht="15" hidden="false" customHeight="false" outlineLevel="0" collapsed="false">
      <c r="A2090" s="3" t="n">
        <v>2089</v>
      </c>
      <c r="B2090" s="3" t="n">
        <v>2088</v>
      </c>
      <c r="C2090" s="3" t="n">
        <v>10</v>
      </c>
      <c r="D2090" s="3" t="n">
        <v>9</v>
      </c>
      <c r="E2090" s="3" t="n">
        <v>2</v>
      </c>
      <c r="F2090" s="24" t="n">
        <v>0</v>
      </c>
    </row>
    <row r="2091" customFormat="false" ht="15" hidden="false" customHeight="false" outlineLevel="0" collapsed="false">
      <c r="A2091" s="3" t="n">
        <v>2090</v>
      </c>
      <c r="B2091" s="3" t="n">
        <v>2089</v>
      </c>
      <c r="C2091" s="3" t="n">
        <v>10</v>
      </c>
      <c r="D2091" s="3" t="n">
        <v>9</v>
      </c>
      <c r="E2091" s="3" t="n">
        <v>3</v>
      </c>
      <c r="F2091" s="24" t="n">
        <v>0</v>
      </c>
    </row>
    <row r="2092" customFormat="false" ht="15" hidden="false" customHeight="false" outlineLevel="0" collapsed="false">
      <c r="A2092" s="3" t="n">
        <v>2091</v>
      </c>
      <c r="B2092" s="3" t="n">
        <v>2090</v>
      </c>
      <c r="C2092" s="3" t="n">
        <v>10</v>
      </c>
      <c r="D2092" s="3" t="n">
        <v>9</v>
      </c>
      <c r="E2092" s="3" t="n">
        <v>4</v>
      </c>
      <c r="F2092" s="24" t="n">
        <v>0.223902583</v>
      </c>
    </row>
    <row r="2093" customFormat="false" ht="15" hidden="false" customHeight="false" outlineLevel="0" collapsed="false">
      <c r="A2093" s="3" t="n">
        <v>2092</v>
      </c>
      <c r="B2093" s="3" t="n">
        <v>2091</v>
      </c>
      <c r="C2093" s="3" t="n">
        <v>10</v>
      </c>
      <c r="D2093" s="3" t="n">
        <v>9</v>
      </c>
      <c r="E2093" s="3" t="n">
        <v>5</v>
      </c>
      <c r="F2093" s="24" t="n">
        <v>0.497148901</v>
      </c>
    </row>
    <row r="2094" customFormat="false" ht="15" hidden="false" customHeight="false" outlineLevel="0" collapsed="false">
      <c r="A2094" s="3" t="n">
        <v>2093</v>
      </c>
      <c r="B2094" s="3" t="n">
        <v>2092</v>
      </c>
      <c r="C2094" s="3" t="n">
        <v>10</v>
      </c>
      <c r="D2094" s="3" t="n">
        <v>9</v>
      </c>
      <c r="E2094" s="3" t="n">
        <v>6</v>
      </c>
      <c r="F2094" s="24" t="n">
        <v>0.534751296</v>
      </c>
    </row>
    <row r="2095" customFormat="false" ht="15" hidden="false" customHeight="false" outlineLevel="0" collapsed="false">
      <c r="A2095" s="3" t="n">
        <v>2094</v>
      </c>
      <c r="B2095" s="3" t="n">
        <v>2093</v>
      </c>
      <c r="C2095" s="3" t="n">
        <v>10</v>
      </c>
      <c r="D2095" s="3" t="n">
        <v>9</v>
      </c>
      <c r="E2095" s="3" t="n">
        <v>7</v>
      </c>
      <c r="F2095" s="24" t="n">
        <v>2.62648249</v>
      </c>
    </row>
    <row r="2096" customFormat="false" ht="15" hidden="false" customHeight="false" outlineLevel="0" collapsed="false">
      <c r="A2096" s="3" t="n">
        <v>2095</v>
      </c>
      <c r="B2096" s="3" t="n">
        <v>2094</v>
      </c>
      <c r="C2096" s="3" t="n">
        <v>10</v>
      </c>
      <c r="D2096" s="3" t="n">
        <v>9</v>
      </c>
      <c r="E2096" s="3" t="n">
        <v>8</v>
      </c>
      <c r="F2096" s="24" t="n">
        <v>0.317462921</v>
      </c>
    </row>
    <row r="2097" customFormat="false" ht="15" hidden="false" customHeight="false" outlineLevel="0" collapsed="false">
      <c r="A2097" s="3" t="n">
        <v>2096</v>
      </c>
      <c r="B2097" s="3" t="n">
        <v>2095</v>
      </c>
      <c r="C2097" s="3" t="n">
        <v>10</v>
      </c>
      <c r="D2097" s="3" t="n">
        <v>9</v>
      </c>
      <c r="E2097" s="3" t="n">
        <v>9</v>
      </c>
      <c r="F2097" s="24" t="n">
        <v>0</v>
      </c>
    </row>
    <row r="2098" customFormat="false" ht="15" hidden="false" customHeight="false" outlineLevel="0" collapsed="false">
      <c r="A2098" s="3" t="n">
        <v>2097</v>
      </c>
      <c r="B2098" s="3" t="n">
        <v>2096</v>
      </c>
      <c r="C2098" s="3" t="n">
        <v>10</v>
      </c>
      <c r="D2098" s="3" t="n">
        <v>9</v>
      </c>
      <c r="E2098" s="3" t="n">
        <v>10</v>
      </c>
      <c r="F2098" s="24" t="n">
        <v>0</v>
      </c>
    </row>
    <row r="2099" customFormat="false" ht="15" hidden="false" customHeight="false" outlineLevel="0" collapsed="false">
      <c r="A2099" s="3" t="n">
        <v>2098</v>
      </c>
      <c r="B2099" s="3" t="n">
        <v>2097</v>
      </c>
      <c r="C2099" s="3" t="n">
        <v>10</v>
      </c>
      <c r="D2099" s="3" t="n">
        <v>9</v>
      </c>
      <c r="E2099" s="3" t="n">
        <v>11</v>
      </c>
      <c r="F2099" s="24" t="n">
        <v>0</v>
      </c>
    </row>
    <row r="2100" customFormat="false" ht="15" hidden="false" customHeight="false" outlineLevel="0" collapsed="false">
      <c r="A2100" s="3" t="n">
        <v>2099</v>
      </c>
      <c r="B2100" s="3" t="n">
        <v>2098</v>
      </c>
      <c r="C2100" s="3" t="n">
        <v>10</v>
      </c>
      <c r="D2100" s="3" t="n">
        <v>9</v>
      </c>
      <c r="E2100" s="3" t="n">
        <v>12</v>
      </c>
      <c r="F2100" s="24" t="n">
        <v>0</v>
      </c>
    </row>
    <row r="2101" customFormat="false" ht="15" hidden="false" customHeight="false" outlineLevel="0" collapsed="false">
      <c r="A2101" s="3" t="n">
        <v>2100</v>
      </c>
      <c r="B2101" s="3" t="n">
        <v>2099</v>
      </c>
      <c r="C2101" s="3" t="n">
        <v>10</v>
      </c>
      <c r="D2101" s="3" t="n">
        <v>9</v>
      </c>
      <c r="E2101" s="3" t="n">
        <v>13</v>
      </c>
      <c r="F2101" s="24" t="n">
        <v>0</v>
      </c>
    </row>
    <row r="2102" customFormat="false" ht="15" hidden="false" customHeight="false" outlineLevel="0" collapsed="false">
      <c r="A2102" s="3" t="n">
        <v>2101</v>
      </c>
      <c r="B2102" s="3" t="n">
        <v>2100</v>
      </c>
      <c r="C2102" s="3" t="n">
        <v>10</v>
      </c>
      <c r="D2102" s="3" t="n">
        <v>10</v>
      </c>
      <c r="E2102" s="3" t="n">
        <v>0</v>
      </c>
      <c r="F2102" s="24" t="n">
        <v>0</v>
      </c>
    </row>
    <row r="2103" customFormat="false" ht="15" hidden="false" customHeight="false" outlineLevel="0" collapsed="false">
      <c r="A2103" s="3" t="n">
        <v>2102</v>
      </c>
      <c r="B2103" s="3" t="n">
        <v>2101</v>
      </c>
      <c r="C2103" s="3" t="n">
        <v>10</v>
      </c>
      <c r="D2103" s="3" t="n">
        <v>10</v>
      </c>
      <c r="E2103" s="3" t="n">
        <v>1</v>
      </c>
      <c r="F2103" s="24" t="n">
        <v>0</v>
      </c>
    </row>
    <row r="2104" customFormat="false" ht="15" hidden="false" customHeight="false" outlineLevel="0" collapsed="false">
      <c r="A2104" s="3" t="n">
        <v>2103</v>
      </c>
      <c r="B2104" s="3" t="n">
        <v>2102</v>
      </c>
      <c r="C2104" s="3" t="n">
        <v>10</v>
      </c>
      <c r="D2104" s="3" t="n">
        <v>10</v>
      </c>
      <c r="E2104" s="3" t="n">
        <v>2</v>
      </c>
      <c r="F2104" s="24" t="n">
        <v>0</v>
      </c>
    </row>
    <row r="2105" customFormat="false" ht="15" hidden="false" customHeight="false" outlineLevel="0" collapsed="false">
      <c r="A2105" s="3" t="n">
        <v>2104</v>
      </c>
      <c r="B2105" s="3" t="n">
        <v>2103</v>
      </c>
      <c r="C2105" s="3" t="n">
        <v>10</v>
      </c>
      <c r="D2105" s="3" t="n">
        <v>10</v>
      </c>
      <c r="E2105" s="3" t="n">
        <v>3</v>
      </c>
      <c r="F2105" s="24" t="n">
        <v>0</v>
      </c>
    </row>
    <row r="2106" customFormat="false" ht="15" hidden="false" customHeight="false" outlineLevel="0" collapsed="false">
      <c r="A2106" s="3" t="n">
        <v>2105</v>
      </c>
      <c r="B2106" s="3" t="n">
        <v>2104</v>
      </c>
      <c r="C2106" s="3" t="n">
        <v>10</v>
      </c>
      <c r="D2106" s="3" t="n">
        <v>10</v>
      </c>
      <c r="E2106" s="3" t="n">
        <v>4</v>
      </c>
      <c r="F2106" s="24" t="n">
        <v>0.746038437</v>
      </c>
    </row>
    <row r="2107" customFormat="false" ht="15" hidden="false" customHeight="false" outlineLevel="0" collapsed="false">
      <c r="A2107" s="3" t="n">
        <v>2106</v>
      </c>
      <c r="B2107" s="3" t="n">
        <v>2105</v>
      </c>
      <c r="C2107" s="3" t="n">
        <v>10</v>
      </c>
      <c r="D2107" s="3" t="n">
        <v>10</v>
      </c>
      <c r="E2107" s="3" t="n">
        <v>5</v>
      </c>
      <c r="F2107" s="24" t="n">
        <v>1.67133546</v>
      </c>
    </row>
    <row r="2108" customFormat="false" ht="15" hidden="false" customHeight="false" outlineLevel="0" collapsed="false">
      <c r="A2108" s="3" t="n">
        <v>2107</v>
      </c>
      <c r="B2108" s="3" t="n">
        <v>2106</v>
      </c>
      <c r="C2108" s="3" t="n">
        <v>10</v>
      </c>
      <c r="D2108" s="3" t="n">
        <v>10</v>
      </c>
      <c r="E2108" s="3" t="n">
        <v>6</v>
      </c>
      <c r="F2108" s="24" t="n">
        <v>1.57725048</v>
      </c>
    </row>
    <row r="2109" customFormat="false" ht="15" hidden="false" customHeight="false" outlineLevel="0" collapsed="false">
      <c r="A2109" s="3" t="n">
        <v>2108</v>
      </c>
      <c r="B2109" s="3" t="n">
        <v>2107</v>
      </c>
      <c r="C2109" s="3" t="n">
        <v>10</v>
      </c>
      <c r="D2109" s="3" t="n">
        <v>10</v>
      </c>
      <c r="E2109" s="3" t="n">
        <v>7</v>
      </c>
      <c r="F2109" s="24" t="n">
        <v>0</v>
      </c>
    </row>
    <row r="2110" customFormat="false" ht="15" hidden="false" customHeight="false" outlineLevel="0" collapsed="false">
      <c r="A2110" s="3" t="n">
        <v>2109</v>
      </c>
      <c r="B2110" s="3" t="n">
        <v>2108</v>
      </c>
      <c r="C2110" s="3" t="n">
        <v>10</v>
      </c>
      <c r="D2110" s="3" t="n">
        <v>10</v>
      </c>
      <c r="E2110" s="3" t="n">
        <v>8</v>
      </c>
      <c r="F2110" s="24" t="n">
        <v>0</v>
      </c>
    </row>
    <row r="2111" customFormat="false" ht="15" hidden="false" customHeight="false" outlineLevel="0" collapsed="false">
      <c r="A2111" s="3" t="n">
        <v>2110</v>
      </c>
      <c r="B2111" s="3" t="n">
        <v>2109</v>
      </c>
      <c r="C2111" s="3" t="n">
        <v>10</v>
      </c>
      <c r="D2111" s="3" t="n">
        <v>10</v>
      </c>
      <c r="E2111" s="3" t="n">
        <v>9</v>
      </c>
      <c r="F2111" s="24" t="n">
        <v>0</v>
      </c>
    </row>
    <row r="2112" customFormat="false" ht="15" hidden="false" customHeight="false" outlineLevel="0" collapsed="false">
      <c r="A2112" s="3" t="n">
        <v>2111</v>
      </c>
      <c r="B2112" s="3" t="n">
        <v>2110</v>
      </c>
      <c r="C2112" s="3" t="n">
        <v>10</v>
      </c>
      <c r="D2112" s="3" t="n">
        <v>10</v>
      </c>
      <c r="E2112" s="3" t="n">
        <v>10</v>
      </c>
      <c r="F2112" s="24" t="n">
        <v>0</v>
      </c>
    </row>
    <row r="2113" customFormat="false" ht="15" hidden="false" customHeight="false" outlineLevel="0" collapsed="false">
      <c r="A2113" s="3" t="n">
        <v>2112</v>
      </c>
      <c r="B2113" s="3" t="n">
        <v>2111</v>
      </c>
      <c r="C2113" s="3" t="n">
        <v>10</v>
      </c>
      <c r="D2113" s="3" t="n">
        <v>10</v>
      </c>
      <c r="E2113" s="3" t="n">
        <v>11</v>
      </c>
      <c r="F2113" s="24" t="n">
        <v>0</v>
      </c>
    </row>
    <row r="2114" customFormat="false" ht="15" hidden="false" customHeight="false" outlineLevel="0" collapsed="false">
      <c r="A2114" s="3" t="n">
        <v>2113</v>
      </c>
      <c r="B2114" s="3" t="n">
        <v>2112</v>
      </c>
      <c r="C2114" s="3" t="n">
        <v>10</v>
      </c>
      <c r="D2114" s="3" t="n">
        <v>10</v>
      </c>
      <c r="E2114" s="3" t="n">
        <v>12</v>
      </c>
      <c r="F2114" s="24" t="n">
        <v>0</v>
      </c>
    </row>
    <row r="2115" customFormat="false" ht="15" hidden="false" customHeight="false" outlineLevel="0" collapsed="false">
      <c r="A2115" s="3" t="n">
        <v>2114</v>
      </c>
      <c r="B2115" s="3" t="n">
        <v>2113</v>
      </c>
      <c r="C2115" s="3" t="n">
        <v>10</v>
      </c>
      <c r="D2115" s="3" t="n">
        <v>10</v>
      </c>
      <c r="E2115" s="3" t="n">
        <v>13</v>
      </c>
      <c r="F2115" s="24" t="n">
        <v>0</v>
      </c>
    </row>
    <row r="2116" customFormat="false" ht="15" hidden="false" customHeight="false" outlineLevel="0" collapsed="false">
      <c r="A2116" s="3" t="n">
        <v>2115</v>
      </c>
      <c r="B2116" s="3" t="n">
        <v>2114</v>
      </c>
      <c r="C2116" s="3" t="n">
        <v>10</v>
      </c>
      <c r="D2116" s="3" t="n">
        <v>11</v>
      </c>
      <c r="E2116" s="3" t="n">
        <v>0</v>
      </c>
      <c r="F2116" s="24" t="n">
        <v>0</v>
      </c>
    </row>
    <row r="2117" customFormat="false" ht="15" hidden="false" customHeight="false" outlineLevel="0" collapsed="false">
      <c r="A2117" s="3" t="n">
        <v>2116</v>
      </c>
      <c r="B2117" s="3" t="n">
        <v>2115</v>
      </c>
      <c r="C2117" s="3" t="n">
        <v>10</v>
      </c>
      <c r="D2117" s="3" t="n">
        <v>11</v>
      </c>
      <c r="E2117" s="3" t="n">
        <v>1</v>
      </c>
      <c r="F2117" s="24" t="n">
        <v>0</v>
      </c>
    </row>
    <row r="2118" customFormat="false" ht="15" hidden="false" customHeight="false" outlineLevel="0" collapsed="false">
      <c r="A2118" s="3" t="n">
        <v>2117</v>
      </c>
      <c r="B2118" s="3" t="n">
        <v>2116</v>
      </c>
      <c r="C2118" s="3" t="n">
        <v>10</v>
      </c>
      <c r="D2118" s="3" t="n">
        <v>11</v>
      </c>
      <c r="E2118" s="3" t="n">
        <v>2</v>
      </c>
      <c r="F2118" s="24" t="n">
        <v>0</v>
      </c>
    </row>
    <row r="2119" customFormat="false" ht="15" hidden="false" customHeight="false" outlineLevel="0" collapsed="false">
      <c r="A2119" s="3" t="n">
        <v>2118</v>
      </c>
      <c r="B2119" s="3" t="n">
        <v>2117</v>
      </c>
      <c r="C2119" s="3" t="n">
        <v>10</v>
      </c>
      <c r="D2119" s="3" t="n">
        <v>11</v>
      </c>
      <c r="E2119" s="3" t="n">
        <v>3</v>
      </c>
      <c r="F2119" s="24" t="n">
        <v>0.106300429</v>
      </c>
    </row>
    <row r="2120" customFormat="false" ht="15" hidden="false" customHeight="false" outlineLevel="0" collapsed="false">
      <c r="A2120" s="3" t="n">
        <v>2119</v>
      </c>
      <c r="B2120" s="3" t="n">
        <v>2118</v>
      </c>
      <c r="C2120" s="3" t="n">
        <v>10</v>
      </c>
      <c r="D2120" s="3" t="n">
        <v>11</v>
      </c>
      <c r="E2120" s="3" t="n">
        <v>4</v>
      </c>
      <c r="F2120" s="24" t="n">
        <v>0.880717158</v>
      </c>
    </row>
    <row r="2121" customFormat="false" ht="15" hidden="false" customHeight="false" outlineLevel="0" collapsed="false">
      <c r="A2121" s="3" t="n">
        <v>2120</v>
      </c>
      <c r="B2121" s="3" t="n">
        <v>2119</v>
      </c>
      <c r="C2121" s="3" t="n">
        <v>10</v>
      </c>
      <c r="D2121" s="3" t="n">
        <v>11</v>
      </c>
      <c r="E2121" s="3" t="n">
        <v>5</v>
      </c>
      <c r="F2121" s="24" t="n">
        <v>3.22472477</v>
      </c>
    </row>
    <row r="2122" customFormat="false" ht="15" hidden="false" customHeight="false" outlineLevel="0" collapsed="false">
      <c r="A2122" s="3" t="n">
        <v>2121</v>
      </c>
      <c r="B2122" s="3" t="n">
        <v>2120</v>
      </c>
      <c r="C2122" s="3" t="n">
        <v>10</v>
      </c>
      <c r="D2122" s="3" t="n">
        <v>11</v>
      </c>
      <c r="E2122" s="3" t="n">
        <v>6</v>
      </c>
      <c r="F2122" s="24" t="n">
        <v>2.51743197</v>
      </c>
    </row>
    <row r="2123" customFormat="false" ht="15" hidden="false" customHeight="false" outlineLevel="0" collapsed="false">
      <c r="A2123" s="3" t="n">
        <v>2122</v>
      </c>
      <c r="B2123" s="3" t="n">
        <v>2121</v>
      </c>
      <c r="C2123" s="3" t="n">
        <v>10</v>
      </c>
      <c r="D2123" s="3" t="n">
        <v>11</v>
      </c>
      <c r="E2123" s="3" t="n">
        <v>7</v>
      </c>
      <c r="F2123" s="24" t="n">
        <v>0</v>
      </c>
    </row>
    <row r="2124" customFormat="false" ht="15" hidden="false" customHeight="false" outlineLevel="0" collapsed="false">
      <c r="A2124" s="3" t="n">
        <v>2123</v>
      </c>
      <c r="B2124" s="3" t="n">
        <v>2122</v>
      </c>
      <c r="C2124" s="3" t="n">
        <v>10</v>
      </c>
      <c r="D2124" s="3" t="n">
        <v>11</v>
      </c>
      <c r="E2124" s="3" t="n">
        <v>8</v>
      </c>
      <c r="F2124" s="24" t="n">
        <v>0</v>
      </c>
    </row>
    <row r="2125" customFormat="false" ht="15" hidden="false" customHeight="false" outlineLevel="0" collapsed="false">
      <c r="A2125" s="3" t="n">
        <v>2124</v>
      </c>
      <c r="B2125" s="3" t="n">
        <v>2123</v>
      </c>
      <c r="C2125" s="3" t="n">
        <v>10</v>
      </c>
      <c r="D2125" s="3" t="n">
        <v>11</v>
      </c>
      <c r="E2125" s="3" t="n">
        <v>9</v>
      </c>
      <c r="F2125" s="24" t="n">
        <v>0</v>
      </c>
    </row>
    <row r="2126" customFormat="false" ht="15" hidden="false" customHeight="false" outlineLevel="0" collapsed="false">
      <c r="A2126" s="3" t="n">
        <v>2125</v>
      </c>
      <c r="B2126" s="3" t="n">
        <v>2124</v>
      </c>
      <c r="C2126" s="3" t="n">
        <v>10</v>
      </c>
      <c r="D2126" s="3" t="n">
        <v>11</v>
      </c>
      <c r="E2126" s="3" t="n">
        <v>10</v>
      </c>
      <c r="F2126" s="24" t="n">
        <v>0</v>
      </c>
    </row>
    <row r="2127" customFormat="false" ht="15" hidden="false" customHeight="false" outlineLevel="0" collapsed="false">
      <c r="A2127" s="3" t="n">
        <v>2126</v>
      </c>
      <c r="B2127" s="3" t="n">
        <v>2125</v>
      </c>
      <c r="C2127" s="3" t="n">
        <v>10</v>
      </c>
      <c r="D2127" s="3" t="n">
        <v>11</v>
      </c>
      <c r="E2127" s="3" t="n">
        <v>11</v>
      </c>
      <c r="F2127" s="24" t="n">
        <v>0</v>
      </c>
    </row>
    <row r="2128" customFormat="false" ht="15" hidden="false" customHeight="false" outlineLevel="0" collapsed="false">
      <c r="A2128" s="3" t="n">
        <v>2127</v>
      </c>
      <c r="B2128" s="3" t="n">
        <v>2126</v>
      </c>
      <c r="C2128" s="3" t="n">
        <v>10</v>
      </c>
      <c r="D2128" s="3" t="n">
        <v>11</v>
      </c>
      <c r="E2128" s="3" t="n">
        <v>12</v>
      </c>
      <c r="F2128" s="24" t="n">
        <v>0</v>
      </c>
    </row>
    <row r="2129" customFormat="false" ht="15" hidden="false" customHeight="false" outlineLevel="0" collapsed="false">
      <c r="A2129" s="3" t="n">
        <v>2128</v>
      </c>
      <c r="B2129" s="3" t="n">
        <v>2127</v>
      </c>
      <c r="C2129" s="3" t="n">
        <v>10</v>
      </c>
      <c r="D2129" s="3" t="n">
        <v>11</v>
      </c>
      <c r="E2129" s="3" t="n">
        <v>13</v>
      </c>
      <c r="F2129" s="24" t="n">
        <v>0</v>
      </c>
    </row>
    <row r="2130" customFormat="false" ht="15" hidden="false" customHeight="false" outlineLevel="0" collapsed="false">
      <c r="A2130" s="3" t="n">
        <v>2129</v>
      </c>
      <c r="B2130" s="3" t="n">
        <v>2128</v>
      </c>
      <c r="C2130" s="3" t="n">
        <v>10</v>
      </c>
      <c r="D2130" s="3" t="n">
        <v>12</v>
      </c>
      <c r="E2130" s="3" t="n">
        <v>0</v>
      </c>
      <c r="F2130" s="24" t="n">
        <v>0</v>
      </c>
    </row>
    <row r="2131" customFormat="false" ht="15" hidden="false" customHeight="false" outlineLevel="0" collapsed="false">
      <c r="A2131" s="3" t="n">
        <v>2130</v>
      </c>
      <c r="B2131" s="3" t="n">
        <v>2129</v>
      </c>
      <c r="C2131" s="3" t="n">
        <v>10</v>
      </c>
      <c r="D2131" s="3" t="n">
        <v>12</v>
      </c>
      <c r="E2131" s="3" t="n">
        <v>1</v>
      </c>
      <c r="F2131" s="24" t="n">
        <v>0</v>
      </c>
    </row>
    <row r="2132" customFormat="false" ht="15" hidden="false" customHeight="false" outlineLevel="0" collapsed="false">
      <c r="A2132" s="3" t="n">
        <v>2131</v>
      </c>
      <c r="B2132" s="3" t="n">
        <v>2130</v>
      </c>
      <c r="C2132" s="3" t="n">
        <v>10</v>
      </c>
      <c r="D2132" s="3" t="n">
        <v>12</v>
      </c>
      <c r="E2132" s="3" t="n">
        <v>2</v>
      </c>
      <c r="F2132" s="24" t="n">
        <v>0</v>
      </c>
    </row>
    <row r="2133" customFormat="false" ht="15" hidden="false" customHeight="false" outlineLevel="0" collapsed="false">
      <c r="A2133" s="3" t="n">
        <v>2132</v>
      </c>
      <c r="B2133" s="3" t="n">
        <v>2131</v>
      </c>
      <c r="C2133" s="3" t="n">
        <v>10</v>
      </c>
      <c r="D2133" s="3" t="n">
        <v>12</v>
      </c>
      <c r="E2133" s="3" t="n">
        <v>3</v>
      </c>
      <c r="F2133" s="24" t="n">
        <v>0</v>
      </c>
    </row>
    <row r="2134" customFormat="false" ht="15" hidden="false" customHeight="false" outlineLevel="0" collapsed="false">
      <c r="A2134" s="3" t="n">
        <v>2133</v>
      </c>
      <c r="B2134" s="3" t="n">
        <v>2132</v>
      </c>
      <c r="C2134" s="3" t="n">
        <v>10</v>
      </c>
      <c r="D2134" s="3" t="n">
        <v>12</v>
      </c>
      <c r="E2134" s="3" t="n">
        <v>4</v>
      </c>
      <c r="F2134" s="24" t="n">
        <v>0.684571266</v>
      </c>
    </row>
    <row r="2135" customFormat="false" ht="15" hidden="false" customHeight="false" outlineLevel="0" collapsed="false">
      <c r="A2135" s="3" t="n">
        <v>2134</v>
      </c>
      <c r="B2135" s="3" t="n">
        <v>2133</v>
      </c>
      <c r="C2135" s="3" t="n">
        <v>10</v>
      </c>
      <c r="D2135" s="3" t="n">
        <v>12</v>
      </c>
      <c r="E2135" s="3" t="n">
        <v>5</v>
      </c>
      <c r="F2135" s="24" t="n">
        <v>4.6647706</v>
      </c>
    </row>
    <row r="2136" customFormat="false" ht="15" hidden="false" customHeight="false" outlineLevel="0" collapsed="false">
      <c r="A2136" s="3" t="n">
        <v>2135</v>
      </c>
      <c r="B2136" s="3" t="n">
        <v>2134</v>
      </c>
      <c r="C2136" s="3" t="n">
        <v>10</v>
      </c>
      <c r="D2136" s="3" t="n">
        <v>12</v>
      </c>
      <c r="E2136" s="3" t="n">
        <v>6</v>
      </c>
      <c r="F2136" s="24" t="n">
        <v>1.93294275</v>
      </c>
    </row>
    <row r="2137" customFormat="false" ht="15" hidden="false" customHeight="false" outlineLevel="0" collapsed="false">
      <c r="A2137" s="3" t="n">
        <v>2136</v>
      </c>
      <c r="B2137" s="3" t="n">
        <v>2135</v>
      </c>
      <c r="C2137" s="3" t="n">
        <v>10</v>
      </c>
      <c r="D2137" s="3" t="n">
        <v>12</v>
      </c>
      <c r="E2137" s="3" t="n">
        <v>7</v>
      </c>
      <c r="F2137" s="24" t="n">
        <v>0</v>
      </c>
    </row>
    <row r="2138" customFormat="false" ht="15" hidden="false" customHeight="false" outlineLevel="0" collapsed="false">
      <c r="A2138" s="3" t="n">
        <v>2137</v>
      </c>
      <c r="B2138" s="3" t="n">
        <v>2136</v>
      </c>
      <c r="C2138" s="3" t="n">
        <v>10</v>
      </c>
      <c r="D2138" s="3" t="n">
        <v>12</v>
      </c>
      <c r="E2138" s="3" t="n">
        <v>8</v>
      </c>
      <c r="F2138" s="24" t="n">
        <v>0</v>
      </c>
    </row>
    <row r="2139" customFormat="false" ht="15" hidden="false" customHeight="false" outlineLevel="0" collapsed="false">
      <c r="A2139" s="3" t="n">
        <v>2138</v>
      </c>
      <c r="B2139" s="3" t="n">
        <v>2137</v>
      </c>
      <c r="C2139" s="3" t="n">
        <v>10</v>
      </c>
      <c r="D2139" s="3" t="n">
        <v>12</v>
      </c>
      <c r="E2139" s="3" t="n">
        <v>9</v>
      </c>
      <c r="F2139" s="24" t="n">
        <v>0</v>
      </c>
    </row>
    <row r="2140" customFormat="false" ht="15" hidden="false" customHeight="false" outlineLevel="0" collapsed="false">
      <c r="A2140" s="3" t="n">
        <v>2139</v>
      </c>
      <c r="B2140" s="3" t="n">
        <v>2138</v>
      </c>
      <c r="C2140" s="3" t="n">
        <v>10</v>
      </c>
      <c r="D2140" s="3" t="n">
        <v>12</v>
      </c>
      <c r="E2140" s="3" t="n">
        <v>10</v>
      </c>
      <c r="F2140" s="24" t="n">
        <v>0</v>
      </c>
    </row>
    <row r="2141" customFormat="false" ht="15" hidden="false" customHeight="false" outlineLevel="0" collapsed="false">
      <c r="A2141" s="3" t="n">
        <v>2140</v>
      </c>
      <c r="B2141" s="3" t="n">
        <v>2139</v>
      </c>
      <c r="C2141" s="3" t="n">
        <v>10</v>
      </c>
      <c r="D2141" s="3" t="n">
        <v>12</v>
      </c>
      <c r="E2141" s="3" t="n">
        <v>11</v>
      </c>
      <c r="F2141" s="24" t="n">
        <v>0</v>
      </c>
    </row>
    <row r="2142" customFormat="false" ht="15" hidden="false" customHeight="false" outlineLevel="0" collapsed="false">
      <c r="A2142" s="3" t="n">
        <v>2141</v>
      </c>
      <c r="B2142" s="3" t="n">
        <v>2140</v>
      </c>
      <c r="C2142" s="3" t="n">
        <v>10</v>
      </c>
      <c r="D2142" s="3" t="n">
        <v>12</v>
      </c>
      <c r="E2142" s="3" t="n">
        <v>12</v>
      </c>
      <c r="F2142" s="24" t="n">
        <v>0</v>
      </c>
    </row>
    <row r="2143" customFormat="false" ht="15" hidden="false" customHeight="false" outlineLevel="0" collapsed="false">
      <c r="A2143" s="3" t="n">
        <v>2142</v>
      </c>
      <c r="B2143" s="3" t="n">
        <v>2141</v>
      </c>
      <c r="C2143" s="3" t="n">
        <v>10</v>
      </c>
      <c r="D2143" s="3" t="n">
        <v>12</v>
      </c>
      <c r="E2143" s="3" t="n">
        <v>13</v>
      </c>
      <c r="F2143" s="24" t="n">
        <v>0</v>
      </c>
    </row>
    <row r="2144" customFormat="false" ht="15" hidden="false" customHeight="false" outlineLevel="0" collapsed="false">
      <c r="A2144" s="3" t="n">
        <v>2143</v>
      </c>
      <c r="B2144" s="3" t="n">
        <v>2142</v>
      </c>
      <c r="C2144" s="3" t="n">
        <v>10</v>
      </c>
      <c r="D2144" s="3" t="n">
        <v>13</v>
      </c>
      <c r="E2144" s="3" t="n">
        <v>0</v>
      </c>
      <c r="F2144" s="24" t="n">
        <v>0</v>
      </c>
    </row>
    <row r="2145" customFormat="false" ht="15" hidden="false" customHeight="false" outlineLevel="0" collapsed="false">
      <c r="A2145" s="3" t="n">
        <v>2144</v>
      </c>
      <c r="B2145" s="3" t="n">
        <v>2143</v>
      </c>
      <c r="C2145" s="3" t="n">
        <v>10</v>
      </c>
      <c r="D2145" s="3" t="n">
        <v>13</v>
      </c>
      <c r="E2145" s="3" t="n">
        <v>1</v>
      </c>
      <c r="F2145" s="24" t="n">
        <v>0</v>
      </c>
    </row>
    <row r="2146" customFormat="false" ht="15" hidden="false" customHeight="false" outlineLevel="0" collapsed="false">
      <c r="A2146" s="3" t="n">
        <v>2145</v>
      </c>
      <c r="B2146" s="3" t="n">
        <v>2144</v>
      </c>
      <c r="C2146" s="3" t="n">
        <v>10</v>
      </c>
      <c r="D2146" s="3" t="n">
        <v>13</v>
      </c>
      <c r="E2146" s="3" t="n">
        <v>2</v>
      </c>
      <c r="F2146" s="24" t="n">
        <v>0</v>
      </c>
    </row>
    <row r="2147" customFormat="false" ht="15" hidden="false" customHeight="false" outlineLevel="0" collapsed="false">
      <c r="A2147" s="3" t="n">
        <v>2146</v>
      </c>
      <c r="B2147" s="3" t="n">
        <v>2145</v>
      </c>
      <c r="C2147" s="3" t="n">
        <v>10</v>
      </c>
      <c r="D2147" s="3" t="n">
        <v>13</v>
      </c>
      <c r="E2147" s="3" t="n">
        <v>3</v>
      </c>
      <c r="F2147" s="24" t="n">
        <v>0.0383774489</v>
      </c>
    </row>
    <row r="2148" customFormat="false" ht="15" hidden="false" customHeight="false" outlineLevel="0" collapsed="false">
      <c r="A2148" s="3" t="n">
        <v>2147</v>
      </c>
      <c r="B2148" s="3" t="n">
        <v>2146</v>
      </c>
      <c r="C2148" s="3" t="n">
        <v>10</v>
      </c>
      <c r="D2148" s="3" t="n">
        <v>13</v>
      </c>
      <c r="E2148" s="3" t="n">
        <v>4</v>
      </c>
      <c r="F2148" s="24" t="n">
        <v>1.01976919</v>
      </c>
    </row>
    <row r="2149" customFormat="false" ht="15" hidden="false" customHeight="false" outlineLevel="0" collapsed="false">
      <c r="A2149" s="3" t="n">
        <v>2148</v>
      </c>
      <c r="B2149" s="3" t="n">
        <v>2147</v>
      </c>
      <c r="C2149" s="3" t="n">
        <v>10</v>
      </c>
      <c r="D2149" s="3" t="n">
        <v>13</v>
      </c>
      <c r="E2149" s="3" t="n">
        <v>5</v>
      </c>
      <c r="F2149" s="24" t="n">
        <v>2.79495668</v>
      </c>
    </row>
    <row r="2150" customFormat="false" ht="15" hidden="false" customHeight="false" outlineLevel="0" collapsed="false">
      <c r="A2150" s="3" t="n">
        <v>2149</v>
      </c>
      <c r="B2150" s="3" t="n">
        <v>2148</v>
      </c>
      <c r="C2150" s="3" t="n">
        <v>10</v>
      </c>
      <c r="D2150" s="3" t="n">
        <v>13</v>
      </c>
      <c r="E2150" s="3" t="n">
        <v>6</v>
      </c>
      <c r="F2150" s="24" t="n">
        <v>0</v>
      </c>
    </row>
    <row r="2151" customFormat="false" ht="15" hidden="false" customHeight="false" outlineLevel="0" collapsed="false">
      <c r="A2151" s="3" t="n">
        <v>2150</v>
      </c>
      <c r="B2151" s="3" t="n">
        <v>2149</v>
      </c>
      <c r="C2151" s="3" t="n">
        <v>10</v>
      </c>
      <c r="D2151" s="3" t="n">
        <v>13</v>
      </c>
      <c r="E2151" s="3" t="n">
        <v>7</v>
      </c>
      <c r="F2151" s="24" t="n">
        <v>0</v>
      </c>
    </row>
    <row r="2152" customFormat="false" ht="15" hidden="false" customHeight="false" outlineLevel="0" collapsed="false">
      <c r="A2152" s="3" t="n">
        <v>2151</v>
      </c>
      <c r="B2152" s="3" t="n">
        <v>2150</v>
      </c>
      <c r="C2152" s="3" t="n">
        <v>10</v>
      </c>
      <c r="D2152" s="3" t="n">
        <v>13</v>
      </c>
      <c r="E2152" s="3" t="n">
        <v>8</v>
      </c>
      <c r="F2152" s="24" t="n">
        <v>0</v>
      </c>
    </row>
    <row r="2153" customFormat="false" ht="15" hidden="false" customHeight="false" outlineLevel="0" collapsed="false">
      <c r="A2153" s="3" t="n">
        <v>2152</v>
      </c>
      <c r="B2153" s="3" t="n">
        <v>2151</v>
      </c>
      <c r="C2153" s="3" t="n">
        <v>10</v>
      </c>
      <c r="D2153" s="3" t="n">
        <v>13</v>
      </c>
      <c r="E2153" s="3" t="n">
        <v>9</v>
      </c>
      <c r="F2153" s="24" t="n">
        <v>0</v>
      </c>
    </row>
    <row r="2154" customFormat="false" ht="15" hidden="false" customHeight="false" outlineLevel="0" collapsed="false">
      <c r="A2154" s="3" t="n">
        <v>2153</v>
      </c>
      <c r="B2154" s="3" t="n">
        <v>2152</v>
      </c>
      <c r="C2154" s="3" t="n">
        <v>10</v>
      </c>
      <c r="D2154" s="3" t="n">
        <v>13</v>
      </c>
      <c r="E2154" s="3" t="n">
        <v>10</v>
      </c>
      <c r="F2154" s="24" t="n">
        <v>0</v>
      </c>
    </row>
    <row r="2155" customFormat="false" ht="15" hidden="false" customHeight="false" outlineLevel="0" collapsed="false">
      <c r="A2155" s="3" t="n">
        <v>2154</v>
      </c>
      <c r="B2155" s="3" t="n">
        <v>2153</v>
      </c>
      <c r="C2155" s="3" t="n">
        <v>10</v>
      </c>
      <c r="D2155" s="3" t="n">
        <v>13</v>
      </c>
      <c r="E2155" s="3" t="n">
        <v>11</v>
      </c>
      <c r="F2155" s="24" t="n">
        <v>0</v>
      </c>
    </row>
    <row r="2156" customFormat="false" ht="15" hidden="false" customHeight="false" outlineLevel="0" collapsed="false">
      <c r="A2156" s="3" t="n">
        <v>2155</v>
      </c>
      <c r="B2156" s="3" t="n">
        <v>2154</v>
      </c>
      <c r="C2156" s="3" t="n">
        <v>10</v>
      </c>
      <c r="D2156" s="3" t="n">
        <v>13</v>
      </c>
      <c r="E2156" s="3" t="n">
        <v>12</v>
      </c>
      <c r="F2156" s="24" t="n">
        <v>0</v>
      </c>
    </row>
    <row r="2157" customFormat="false" ht="15" hidden="false" customHeight="false" outlineLevel="0" collapsed="false">
      <c r="A2157" s="3" t="n">
        <v>2156</v>
      </c>
      <c r="B2157" s="3" t="n">
        <v>2155</v>
      </c>
      <c r="C2157" s="3" t="n">
        <v>10</v>
      </c>
      <c r="D2157" s="3" t="n">
        <v>13</v>
      </c>
      <c r="E2157" s="3" t="n">
        <v>13</v>
      </c>
      <c r="F2157" s="24" t="n">
        <v>0</v>
      </c>
    </row>
    <row r="2158" customFormat="false" ht="15" hidden="false" customHeight="false" outlineLevel="0" collapsed="false">
      <c r="A2158" s="3" t="n">
        <v>2157</v>
      </c>
      <c r="B2158" s="3" t="n">
        <v>2156</v>
      </c>
      <c r="C2158" s="3" t="n">
        <v>11</v>
      </c>
      <c r="D2158" s="3" t="n">
        <v>0</v>
      </c>
      <c r="E2158" s="3" t="n">
        <v>0</v>
      </c>
      <c r="F2158" s="24" t="n">
        <v>0.152415872</v>
      </c>
    </row>
    <row r="2159" customFormat="false" ht="15" hidden="false" customHeight="false" outlineLevel="0" collapsed="false">
      <c r="A2159" s="3" t="n">
        <v>2158</v>
      </c>
      <c r="B2159" s="3" t="n">
        <v>2157</v>
      </c>
      <c r="C2159" s="3" t="n">
        <v>11</v>
      </c>
      <c r="D2159" s="3" t="n">
        <v>0</v>
      </c>
      <c r="E2159" s="3" t="n">
        <v>1</v>
      </c>
      <c r="F2159" s="24" t="n">
        <v>0.280706078</v>
      </c>
    </row>
    <row r="2160" customFormat="false" ht="15" hidden="false" customHeight="false" outlineLevel="0" collapsed="false">
      <c r="A2160" s="3" t="n">
        <v>2159</v>
      </c>
      <c r="B2160" s="3" t="n">
        <v>2158</v>
      </c>
      <c r="C2160" s="3" t="n">
        <v>11</v>
      </c>
      <c r="D2160" s="3" t="n">
        <v>0</v>
      </c>
      <c r="E2160" s="3" t="n">
        <v>2</v>
      </c>
      <c r="F2160" s="24" t="n">
        <v>0.287904233</v>
      </c>
    </row>
    <row r="2161" customFormat="false" ht="15" hidden="false" customHeight="false" outlineLevel="0" collapsed="false">
      <c r="A2161" s="3" t="n">
        <v>2160</v>
      </c>
      <c r="B2161" s="3" t="n">
        <v>2159</v>
      </c>
      <c r="C2161" s="3" t="n">
        <v>11</v>
      </c>
      <c r="D2161" s="3" t="n">
        <v>0</v>
      </c>
      <c r="E2161" s="3" t="n">
        <v>3</v>
      </c>
      <c r="F2161" s="24" t="n">
        <v>0.287904233</v>
      </c>
    </row>
    <row r="2162" customFormat="false" ht="15" hidden="false" customHeight="false" outlineLevel="0" collapsed="false">
      <c r="A2162" s="3" t="n">
        <v>2161</v>
      </c>
      <c r="B2162" s="3" t="n">
        <v>2160</v>
      </c>
      <c r="C2162" s="3" t="n">
        <v>11</v>
      </c>
      <c r="D2162" s="3" t="n">
        <v>0</v>
      </c>
      <c r="E2162" s="3" t="n">
        <v>4</v>
      </c>
      <c r="F2162" s="24" t="n">
        <v>0.287904233</v>
      </c>
    </row>
    <row r="2163" customFormat="false" ht="15" hidden="false" customHeight="false" outlineLevel="0" collapsed="false">
      <c r="A2163" s="3" t="n">
        <v>2162</v>
      </c>
      <c r="B2163" s="3" t="n">
        <v>2161</v>
      </c>
      <c r="C2163" s="3" t="n">
        <v>11</v>
      </c>
      <c r="D2163" s="3" t="n">
        <v>0</v>
      </c>
      <c r="E2163" s="3" t="n">
        <v>5</v>
      </c>
      <c r="F2163" s="24" t="n">
        <v>0.287904233</v>
      </c>
    </row>
    <row r="2164" customFormat="false" ht="15" hidden="false" customHeight="false" outlineLevel="0" collapsed="false">
      <c r="A2164" s="3" t="n">
        <v>2163</v>
      </c>
      <c r="B2164" s="3" t="n">
        <v>2162</v>
      </c>
      <c r="C2164" s="3" t="n">
        <v>11</v>
      </c>
      <c r="D2164" s="3" t="n">
        <v>0</v>
      </c>
      <c r="E2164" s="3" t="n">
        <v>6</v>
      </c>
      <c r="F2164" s="24" t="n">
        <v>0.287904233</v>
      </c>
    </row>
    <row r="2165" customFormat="false" ht="15" hidden="false" customHeight="false" outlineLevel="0" collapsed="false">
      <c r="A2165" s="3" t="n">
        <v>2164</v>
      </c>
      <c r="B2165" s="3" t="n">
        <v>2163</v>
      </c>
      <c r="C2165" s="3" t="n">
        <v>11</v>
      </c>
      <c r="D2165" s="3" t="n">
        <v>0</v>
      </c>
      <c r="E2165" s="3" t="n">
        <v>7</v>
      </c>
      <c r="F2165" s="24" t="n">
        <v>0.287904233</v>
      </c>
    </row>
    <row r="2166" customFormat="false" ht="15" hidden="false" customHeight="false" outlineLevel="0" collapsed="false">
      <c r="A2166" s="3" t="n">
        <v>2165</v>
      </c>
      <c r="B2166" s="3" t="n">
        <v>2164</v>
      </c>
      <c r="C2166" s="3" t="n">
        <v>11</v>
      </c>
      <c r="D2166" s="3" t="n">
        <v>0</v>
      </c>
      <c r="E2166" s="3" t="n">
        <v>8</v>
      </c>
      <c r="F2166" s="24" t="n">
        <v>0.287904233</v>
      </c>
    </row>
    <row r="2167" customFormat="false" ht="15" hidden="false" customHeight="false" outlineLevel="0" collapsed="false">
      <c r="A2167" s="3" t="n">
        <v>2166</v>
      </c>
      <c r="B2167" s="3" t="n">
        <v>2165</v>
      </c>
      <c r="C2167" s="3" t="n">
        <v>11</v>
      </c>
      <c r="D2167" s="3" t="n">
        <v>0</v>
      </c>
      <c r="E2167" s="3" t="n">
        <v>9</v>
      </c>
      <c r="F2167" s="24" t="n">
        <v>0.287904233</v>
      </c>
    </row>
    <row r="2168" customFormat="false" ht="15" hidden="false" customHeight="false" outlineLevel="0" collapsed="false">
      <c r="A2168" s="3" t="n">
        <v>2167</v>
      </c>
      <c r="B2168" s="3" t="n">
        <v>2166</v>
      </c>
      <c r="C2168" s="3" t="n">
        <v>11</v>
      </c>
      <c r="D2168" s="3" t="n">
        <v>0</v>
      </c>
      <c r="E2168" s="3" t="n">
        <v>10</v>
      </c>
      <c r="F2168" s="24" t="n">
        <v>0.287904233</v>
      </c>
    </row>
    <row r="2169" customFormat="false" ht="15" hidden="false" customHeight="false" outlineLevel="0" collapsed="false">
      <c r="A2169" s="3" t="n">
        <v>2168</v>
      </c>
      <c r="B2169" s="3" t="n">
        <v>2167</v>
      </c>
      <c r="C2169" s="3" t="n">
        <v>11</v>
      </c>
      <c r="D2169" s="3" t="n">
        <v>0</v>
      </c>
      <c r="E2169" s="3" t="n">
        <v>11</v>
      </c>
      <c r="F2169" s="24" t="n">
        <v>0.287904233</v>
      </c>
    </row>
    <row r="2170" customFormat="false" ht="15" hidden="false" customHeight="false" outlineLevel="0" collapsed="false">
      <c r="A2170" s="3" t="n">
        <v>2169</v>
      </c>
      <c r="B2170" s="3" t="n">
        <v>2168</v>
      </c>
      <c r="C2170" s="3" t="n">
        <v>11</v>
      </c>
      <c r="D2170" s="3" t="n">
        <v>0</v>
      </c>
      <c r="E2170" s="3" t="n">
        <v>12</v>
      </c>
      <c r="F2170" s="24" t="n">
        <v>0.223767549</v>
      </c>
    </row>
    <row r="2171" customFormat="false" ht="15" hidden="false" customHeight="false" outlineLevel="0" collapsed="false">
      <c r="A2171" s="3" t="n">
        <v>2170</v>
      </c>
      <c r="B2171" s="3" t="n">
        <v>2169</v>
      </c>
      <c r="C2171" s="3" t="n">
        <v>11</v>
      </c>
      <c r="D2171" s="3" t="n">
        <v>0</v>
      </c>
      <c r="E2171" s="3" t="n">
        <v>13</v>
      </c>
      <c r="F2171" s="24" t="n">
        <v>0</v>
      </c>
    </row>
    <row r="2172" customFormat="false" ht="15" hidden="false" customHeight="false" outlineLevel="0" collapsed="false">
      <c r="A2172" s="3" t="n">
        <v>2171</v>
      </c>
      <c r="B2172" s="3" t="n">
        <v>2170</v>
      </c>
      <c r="C2172" s="3" t="n">
        <v>11</v>
      </c>
      <c r="D2172" s="3" t="n">
        <v>1</v>
      </c>
      <c r="E2172" s="3" t="n">
        <v>0</v>
      </c>
      <c r="F2172" s="24" t="n">
        <v>0.0895617008</v>
      </c>
    </row>
    <row r="2173" customFormat="false" ht="15" hidden="false" customHeight="false" outlineLevel="0" collapsed="false">
      <c r="A2173" s="3" t="n">
        <v>2172</v>
      </c>
      <c r="B2173" s="3" t="n">
        <v>2171</v>
      </c>
      <c r="C2173" s="3" t="n">
        <v>11</v>
      </c>
      <c r="D2173" s="3" t="n">
        <v>1</v>
      </c>
      <c r="E2173" s="3" t="n">
        <v>1</v>
      </c>
      <c r="F2173" s="24" t="n">
        <v>0.149672866</v>
      </c>
    </row>
    <row r="2174" customFormat="false" ht="15" hidden="false" customHeight="false" outlineLevel="0" collapsed="false">
      <c r="A2174" s="3" t="n">
        <v>2173</v>
      </c>
      <c r="B2174" s="3" t="n">
        <v>2172</v>
      </c>
      <c r="C2174" s="3" t="n">
        <v>11</v>
      </c>
      <c r="D2174" s="3" t="n">
        <v>1</v>
      </c>
      <c r="E2174" s="3" t="n">
        <v>2</v>
      </c>
      <c r="F2174" s="24" t="n">
        <v>0.182665616</v>
      </c>
    </row>
    <row r="2175" customFormat="false" ht="15" hidden="false" customHeight="false" outlineLevel="0" collapsed="false">
      <c r="A2175" s="3" t="n">
        <v>2174</v>
      </c>
      <c r="B2175" s="3" t="n">
        <v>2173</v>
      </c>
      <c r="C2175" s="3" t="n">
        <v>11</v>
      </c>
      <c r="D2175" s="3" t="n">
        <v>1</v>
      </c>
      <c r="E2175" s="3" t="n">
        <v>3</v>
      </c>
      <c r="F2175" s="24" t="n">
        <v>0.182665616</v>
      </c>
    </row>
    <row r="2176" customFormat="false" ht="15" hidden="false" customHeight="false" outlineLevel="0" collapsed="false">
      <c r="A2176" s="3" t="n">
        <v>2175</v>
      </c>
      <c r="B2176" s="3" t="n">
        <v>2174</v>
      </c>
      <c r="C2176" s="3" t="n">
        <v>11</v>
      </c>
      <c r="D2176" s="3" t="n">
        <v>1</v>
      </c>
      <c r="E2176" s="3" t="n">
        <v>4</v>
      </c>
      <c r="F2176" s="24" t="n">
        <v>0.182665616</v>
      </c>
    </row>
    <row r="2177" customFormat="false" ht="15" hidden="false" customHeight="false" outlineLevel="0" collapsed="false">
      <c r="A2177" s="3" t="n">
        <v>2176</v>
      </c>
      <c r="B2177" s="3" t="n">
        <v>2175</v>
      </c>
      <c r="C2177" s="3" t="n">
        <v>11</v>
      </c>
      <c r="D2177" s="3" t="n">
        <v>1</v>
      </c>
      <c r="E2177" s="3" t="n">
        <v>5</v>
      </c>
      <c r="F2177" s="24" t="n">
        <v>0.182665616</v>
      </c>
    </row>
    <row r="2178" customFormat="false" ht="15" hidden="false" customHeight="false" outlineLevel="0" collapsed="false">
      <c r="A2178" s="3" t="n">
        <v>2177</v>
      </c>
      <c r="B2178" s="3" t="n">
        <v>2176</v>
      </c>
      <c r="C2178" s="3" t="n">
        <v>11</v>
      </c>
      <c r="D2178" s="3" t="n">
        <v>1</v>
      </c>
      <c r="E2178" s="3" t="n">
        <v>6</v>
      </c>
      <c r="F2178" s="24" t="n">
        <v>0.182665616</v>
      </c>
    </row>
    <row r="2179" customFormat="false" ht="15" hidden="false" customHeight="false" outlineLevel="0" collapsed="false">
      <c r="A2179" s="3" t="n">
        <v>2178</v>
      </c>
      <c r="B2179" s="3" t="n">
        <v>2177</v>
      </c>
      <c r="C2179" s="3" t="n">
        <v>11</v>
      </c>
      <c r="D2179" s="3" t="n">
        <v>1</v>
      </c>
      <c r="E2179" s="3" t="n">
        <v>7</v>
      </c>
      <c r="F2179" s="24" t="n">
        <v>0.182665616</v>
      </c>
    </row>
    <row r="2180" customFormat="false" ht="15" hidden="false" customHeight="false" outlineLevel="0" collapsed="false">
      <c r="A2180" s="3" t="n">
        <v>2179</v>
      </c>
      <c r="B2180" s="3" t="n">
        <v>2178</v>
      </c>
      <c r="C2180" s="3" t="n">
        <v>11</v>
      </c>
      <c r="D2180" s="3" t="n">
        <v>1</v>
      </c>
      <c r="E2180" s="3" t="n">
        <v>8</v>
      </c>
      <c r="F2180" s="24" t="n">
        <v>0.182665616</v>
      </c>
    </row>
    <row r="2181" customFormat="false" ht="15" hidden="false" customHeight="false" outlineLevel="0" collapsed="false">
      <c r="A2181" s="3" t="n">
        <v>2180</v>
      </c>
      <c r="B2181" s="3" t="n">
        <v>2179</v>
      </c>
      <c r="C2181" s="3" t="n">
        <v>11</v>
      </c>
      <c r="D2181" s="3" t="n">
        <v>1</v>
      </c>
      <c r="E2181" s="3" t="n">
        <v>9</v>
      </c>
      <c r="F2181" s="24" t="n">
        <v>0.182665616</v>
      </c>
    </row>
    <row r="2182" customFormat="false" ht="15" hidden="false" customHeight="false" outlineLevel="0" collapsed="false">
      <c r="A2182" s="3" t="n">
        <v>2181</v>
      </c>
      <c r="B2182" s="3" t="n">
        <v>2180</v>
      </c>
      <c r="C2182" s="3" t="n">
        <v>11</v>
      </c>
      <c r="D2182" s="3" t="n">
        <v>1</v>
      </c>
      <c r="E2182" s="3" t="n">
        <v>10</v>
      </c>
      <c r="F2182" s="24" t="n">
        <v>0.182665616</v>
      </c>
    </row>
    <row r="2183" customFormat="false" ht="15" hidden="false" customHeight="false" outlineLevel="0" collapsed="false">
      <c r="A2183" s="3" t="n">
        <v>2182</v>
      </c>
      <c r="B2183" s="3" t="n">
        <v>2181</v>
      </c>
      <c r="C2183" s="3" t="n">
        <v>11</v>
      </c>
      <c r="D2183" s="3" t="n">
        <v>1</v>
      </c>
      <c r="E2183" s="3" t="n">
        <v>11</v>
      </c>
      <c r="F2183" s="24" t="n">
        <v>0.182665616</v>
      </c>
    </row>
    <row r="2184" customFormat="false" ht="15" hidden="false" customHeight="false" outlineLevel="0" collapsed="false">
      <c r="A2184" s="3" t="n">
        <v>2183</v>
      </c>
      <c r="B2184" s="3" t="n">
        <v>2182</v>
      </c>
      <c r="C2184" s="3" t="n">
        <v>11</v>
      </c>
      <c r="D2184" s="3" t="n">
        <v>1</v>
      </c>
      <c r="E2184" s="3" t="n">
        <v>12</v>
      </c>
      <c r="F2184" s="24" t="n">
        <v>0.201114684</v>
      </c>
    </row>
    <row r="2185" customFormat="false" ht="15" hidden="false" customHeight="false" outlineLevel="0" collapsed="false">
      <c r="A2185" s="3" t="n">
        <v>2184</v>
      </c>
      <c r="B2185" s="3" t="n">
        <v>2183</v>
      </c>
      <c r="C2185" s="3" t="n">
        <v>11</v>
      </c>
      <c r="D2185" s="3" t="n">
        <v>1</v>
      </c>
      <c r="E2185" s="3" t="n">
        <v>13</v>
      </c>
      <c r="F2185" s="24" t="n">
        <v>0</v>
      </c>
    </row>
    <row r="2186" customFormat="false" ht="15" hidden="false" customHeight="false" outlineLevel="0" collapsed="false">
      <c r="A2186" s="3" t="n">
        <v>2185</v>
      </c>
      <c r="B2186" s="3" t="n">
        <v>2184</v>
      </c>
      <c r="C2186" s="3" t="n">
        <v>11</v>
      </c>
      <c r="D2186" s="3" t="n">
        <v>2</v>
      </c>
      <c r="E2186" s="3" t="n">
        <v>0</v>
      </c>
      <c r="F2186" s="24" t="n">
        <v>0.0595110059</v>
      </c>
    </row>
    <row r="2187" customFormat="false" ht="15" hidden="false" customHeight="false" outlineLevel="0" collapsed="false">
      <c r="A2187" s="3" t="n">
        <v>2186</v>
      </c>
      <c r="B2187" s="3" t="n">
        <v>2185</v>
      </c>
      <c r="C2187" s="3" t="n">
        <v>11</v>
      </c>
      <c r="D2187" s="3" t="n">
        <v>2</v>
      </c>
      <c r="E2187" s="3" t="n">
        <v>1</v>
      </c>
      <c r="F2187" s="24" t="n">
        <v>0</v>
      </c>
    </row>
    <row r="2188" customFormat="false" ht="15" hidden="false" customHeight="false" outlineLevel="0" collapsed="false">
      <c r="A2188" s="3" t="n">
        <v>2187</v>
      </c>
      <c r="B2188" s="3" t="n">
        <v>2186</v>
      </c>
      <c r="C2188" s="3" t="n">
        <v>11</v>
      </c>
      <c r="D2188" s="3" t="n">
        <v>2</v>
      </c>
      <c r="E2188" s="3" t="n">
        <v>2</v>
      </c>
      <c r="F2188" s="24" t="n">
        <v>0</v>
      </c>
    </row>
    <row r="2189" customFormat="false" ht="15" hidden="false" customHeight="false" outlineLevel="0" collapsed="false">
      <c r="A2189" s="3" t="n">
        <v>2188</v>
      </c>
      <c r="B2189" s="3" t="n">
        <v>2187</v>
      </c>
      <c r="C2189" s="3" t="n">
        <v>11</v>
      </c>
      <c r="D2189" s="3" t="n">
        <v>2</v>
      </c>
      <c r="E2189" s="3" t="n">
        <v>3</v>
      </c>
      <c r="F2189" s="24" t="n">
        <v>0</v>
      </c>
    </row>
    <row r="2190" customFormat="false" ht="15" hidden="false" customHeight="false" outlineLevel="0" collapsed="false">
      <c r="A2190" s="3" t="n">
        <v>2189</v>
      </c>
      <c r="B2190" s="3" t="n">
        <v>2188</v>
      </c>
      <c r="C2190" s="3" t="n">
        <v>11</v>
      </c>
      <c r="D2190" s="3" t="n">
        <v>2</v>
      </c>
      <c r="E2190" s="3" t="n">
        <v>4</v>
      </c>
      <c r="F2190" s="24" t="n">
        <v>0</v>
      </c>
    </row>
    <row r="2191" customFormat="false" ht="15" hidden="false" customHeight="false" outlineLevel="0" collapsed="false">
      <c r="A2191" s="3" t="n">
        <v>2190</v>
      </c>
      <c r="B2191" s="3" t="n">
        <v>2189</v>
      </c>
      <c r="C2191" s="3" t="n">
        <v>11</v>
      </c>
      <c r="D2191" s="3" t="n">
        <v>2</v>
      </c>
      <c r="E2191" s="3" t="n">
        <v>5</v>
      </c>
      <c r="F2191" s="24" t="n">
        <v>0</v>
      </c>
    </row>
    <row r="2192" customFormat="false" ht="15" hidden="false" customHeight="false" outlineLevel="0" collapsed="false">
      <c r="A2192" s="3" t="n">
        <v>2191</v>
      </c>
      <c r="B2192" s="3" t="n">
        <v>2190</v>
      </c>
      <c r="C2192" s="3" t="n">
        <v>11</v>
      </c>
      <c r="D2192" s="3" t="n">
        <v>2</v>
      </c>
      <c r="E2192" s="3" t="n">
        <v>6</v>
      </c>
      <c r="F2192" s="24" t="n">
        <v>0</v>
      </c>
    </row>
    <row r="2193" customFormat="false" ht="15" hidden="false" customHeight="false" outlineLevel="0" collapsed="false">
      <c r="A2193" s="3" t="n">
        <v>2192</v>
      </c>
      <c r="B2193" s="3" t="n">
        <v>2191</v>
      </c>
      <c r="C2193" s="3" t="n">
        <v>11</v>
      </c>
      <c r="D2193" s="3" t="n">
        <v>2</v>
      </c>
      <c r="E2193" s="3" t="n">
        <v>7</v>
      </c>
      <c r="F2193" s="24" t="n">
        <v>0</v>
      </c>
    </row>
    <row r="2194" customFormat="false" ht="15" hidden="false" customHeight="false" outlineLevel="0" collapsed="false">
      <c r="A2194" s="3" t="n">
        <v>2193</v>
      </c>
      <c r="B2194" s="3" t="n">
        <v>2192</v>
      </c>
      <c r="C2194" s="3" t="n">
        <v>11</v>
      </c>
      <c r="D2194" s="3" t="n">
        <v>2</v>
      </c>
      <c r="E2194" s="3" t="n">
        <v>8</v>
      </c>
      <c r="F2194" s="24" t="n">
        <v>0</v>
      </c>
    </row>
    <row r="2195" customFormat="false" ht="15" hidden="false" customHeight="false" outlineLevel="0" collapsed="false">
      <c r="A2195" s="3" t="n">
        <v>2194</v>
      </c>
      <c r="B2195" s="3" t="n">
        <v>2193</v>
      </c>
      <c r="C2195" s="3" t="n">
        <v>11</v>
      </c>
      <c r="D2195" s="3" t="n">
        <v>2</v>
      </c>
      <c r="E2195" s="3" t="n">
        <v>9</v>
      </c>
      <c r="F2195" s="24" t="n">
        <v>0</v>
      </c>
    </row>
    <row r="2196" customFormat="false" ht="15" hidden="false" customHeight="false" outlineLevel="0" collapsed="false">
      <c r="A2196" s="3" t="n">
        <v>2195</v>
      </c>
      <c r="B2196" s="3" t="n">
        <v>2194</v>
      </c>
      <c r="C2196" s="3" t="n">
        <v>11</v>
      </c>
      <c r="D2196" s="3" t="n">
        <v>2</v>
      </c>
      <c r="E2196" s="3" t="n">
        <v>10</v>
      </c>
      <c r="F2196" s="24" t="n">
        <v>0</v>
      </c>
    </row>
    <row r="2197" customFormat="false" ht="15" hidden="false" customHeight="false" outlineLevel="0" collapsed="false">
      <c r="A2197" s="3" t="n">
        <v>2196</v>
      </c>
      <c r="B2197" s="3" t="n">
        <v>2195</v>
      </c>
      <c r="C2197" s="3" t="n">
        <v>11</v>
      </c>
      <c r="D2197" s="3" t="n">
        <v>2</v>
      </c>
      <c r="E2197" s="3" t="n">
        <v>11</v>
      </c>
      <c r="F2197" s="24" t="n">
        <v>0</v>
      </c>
    </row>
    <row r="2198" customFormat="false" ht="15" hidden="false" customHeight="false" outlineLevel="0" collapsed="false">
      <c r="A2198" s="3" t="n">
        <v>2197</v>
      </c>
      <c r="B2198" s="3" t="n">
        <v>2196</v>
      </c>
      <c r="C2198" s="3" t="n">
        <v>11</v>
      </c>
      <c r="D2198" s="3" t="n">
        <v>2</v>
      </c>
      <c r="E2198" s="3" t="n">
        <v>12</v>
      </c>
      <c r="F2198" s="24" t="n">
        <v>0.169542938</v>
      </c>
    </row>
    <row r="2199" customFormat="false" ht="15" hidden="false" customHeight="false" outlineLevel="0" collapsed="false">
      <c r="A2199" s="3" t="n">
        <v>2198</v>
      </c>
      <c r="B2199" s="3" t="n">
        <v>2197</v>
      </c>
      <c r="C2199" s="3" t="n">
        <v>11</v>
      </c>
      <c r="D2199" s="3" t="n">
        <v>2</v>
      </c>
      <c r="E2199" s="3" t="n">
        <v>13</v>
      </c>
      <c r="F2199" s="24" t="n">
        <v>0</v>
      </c>
    </row>
    <row r="2200" customFormat="false" ht="15" hidden="false" customHeight="false" outlineLevel="0" collapsed="false">
      <c r="A2200" s="3" t="n">
        <v>2199</v>
      </c>
      <c r="B2200" s="3" t="n">
        <v>2198</v>
      </c>
      <c r="C2200" s="3" t="n">
        <v>11</v>
      </c>
      <c r="D2200" s="3" t="n">
        <v>3</v>
      </c>
      <c r="E2200" s="3" t="n">
        <v>0</v>
      </c>
      <c r="F2200" s="24" t="n">
        <v>0.0595110059</v>
      </c>
    </row>
    <row r="2201" customFormat="false" ht="15" hidden="false" customHeight="false" outlineLevel="0" collapsed="false">
      <c r="A2201" s="3" t="n">
        <v>2200</v>
      </c>
      <c r="B2201" s="3" t="n">
        <v>2199</v>
      </c>
      <c r="C2201" s="3" t="n">
        <v>11</v>
      </c>
      <c r="D2201" s="3" t="n">
        <v>3</v>
      </c>
      <c r="E2201" s="3" t="n">
        <v>1</v>
      </c>
      <c r="F2201" s="24" t="n">
        <v>0</v>
      </c>
    </row>
    <row r="2202" customFormat="false" ht="15" hidden="false" customHeight="false" outlineLevel="0" collapsed="false">
      <c r="A2202" s="3" t="n">
        <v>2201</v>
      </c>
      <c r="B2202" s="3" t="n">
        <v>2200</v>
      </c>
      <c r="C2202" s="3" t="n">
        <v>11</v>
      </c>
      <c r="D2202" s="3" t="n">
        <v>3</v>
      </c>
      <c r="E2202" s="3" t="n">
        <v>2</v>
      </c>
      <c r="F2202" s="24" t="n">
        <v>0</v>
      </c>
    </row>
    <row r="2203" customFormat="false" ht="15" hidden="false" customHeight="false" outlineLevel="0" collapsed="false">
      <c r="A2203" s="3" t="n">
        <v>2202</v>
      </c>
      <c r="B2203" s="3" t="n">
        <v>2201</v>
      </c>
      <c r="C2203" s="3" t="n">
        <v>11</v>
      </c>
      <c r="D2203" s="3" t="n">
        <v>3</v>
      </c>
      <c r="E2203" s="3" t="n">
        <v>3</v>
      </c>
      <c r="F2203" s="24" t="n">
        <v>0.626852155</v>
      </c>
    </row>
    <row r="2204" customFormat="false" ht="15" hidden="false" customHeight="false" outlineLevel="0" collapsed="false">
      <c r="A2204" s="3" t="n">
        <v>2203</v>
      </c>
      <c r="B2204" s="3" t="n">
        <v>2202</v>
      </c>
      <c r="C2204" s="3" t="n">
        <v>11</v>
      </c>
      <c r="D2204" s="3" t="n">
        <v>3</v>
      </c>
      <c r="E2204" s="3" t="n">
        <v>4</v>
      </c>
      <c r="F2204" s="24" t="n">
        <v>0.149845779</v>
      </c>
    </row>
    <row r="2205" customFormat="false" ht="15" hidden="false" customHeight="false" outlineLevel="0" collapsed="false">
      <c r="A2205" s="3" t="n">
        <v>2204</v>
      </c>
      <c r="B2205" s="3" t="n">
        <v>2203</v>
      </c>
      <c r="C2205" s="3" t="n">
        <v>11</v>
      </c>
      <c r="D2205" s="3" t="n">
        <v>3</v>
      </c>
      <c r="E2205" s="3" t="n">
        <v>5</v>
      </c>
      <c r="F2205" s="24" t="n">
        <v>0</v>
      </c>
    </row>
    <row r="2206" customFormat="false" ht="15" hidden="false" customHeight="false" outlineLevel="0" collapsed="false">
      <c r="A2206" s="3" t="n">
        <v>2205</v>
      </c>
      <c r="B2206" s="3" t="n">
        <v>2204</v>
      </c>
      <c r="C2206" s="3" t="n">
        <v>11</v>
      </c>
      <c r="D2206" s="3" t="n">
        <v>3</v>
      </c>
      <c r="E2206" s="3" t="n">
        <v>6</v>
      </c>
      <c r="F2206" s="24" t="n">
        <v>0</v>
      </c>
    </row>
    <row r="2207" customFormat="false" ht="15" hidden="false" customHeight="false" outlineLevel="0" collapsed="false">
      <c r="A2207" s="3" t="n">
        <v>2206</v>
      </c>
      <c r="B2207" s="3" t="n">
        <v>2205</v>
      </c>
      <c r="C2207" s="3" t="n">
        <v>11</v>
      </c>
      <c r="D2207" s="3" t="n">
        <v>3</v>
      </c>
      <c r="E2207" s="3" t="n">
        <v>7</v>
      </c>
      <c r="F2207" s="24" t="n">
        <v>0</v>
      </c>
    </row>
    <row r="2208" customFormat="false" ht="15" hidden="false" customHeight="false" outlineLevel="0" collapsed="false">
      <c r="A2208" s="3" t="n">
        <v>2207</v>
      </c>
      <c r="B2208" s="3" t="n">
        <v>2206</v>
      </c>
      <c r="C2208" s="3" t="n">
        <v>11</v>
      </c>
      <c r="D2208" s="3" t="n">
        <v>3</v>
      </c>
      <c r="E2208" s="3" t="n">
        <v>8</v>
      </c>
      <c r="F2208" s="24" t="n">
        <v>0</v>
      </c>
    </row>
    <row r="2209" customFormat="false" ht="15" hidden="false" customHeight="false" outlineLevel="0" collapsed="false">
      <c r="A2209" s="3" t="n">
        <v>2208</v>
      </c>
      <c r="B2209" s="3" t="n">
        <v>2207</v>
      </c>
      <c r="C2209" s="3" t="n">
        <v>11</v>
      </c>
      <c r="D2209" s="3" t="n">
        <v>3</v>
      </c>
      <c r="E2209" s="3" t="n">
        <v>9</v>
      </c>
      <c r="F2209" s="24" t="n">
        <v>0</v>
      </c>
    </row>
    <row r="2210" customFormat="false" ht="15" hidden="false" customHeight="false" outlineLevel="0" collapsed="false">
      <c r="A2210" s="3" t="n">
        <v>2209</v>
      </c>
      <c r="B2210" s="3" t="n">
        <v>2208</v>
      </c>
      <c r="C2210" s="3" t="n">
        <v>11</v>
      </c>
      <c r="D2210" s="3" t="n">
        <v>3</v>
      </c>
      <c r="E2210" s="3" t="n">
        <v>10</v>
      </c>
      <c r="F2210" s="24" t="n">
        <v>0</v>
      </c>
    </row>
    <row r="2211" customFormat="false" ht="15" hidden="false" customHeight="false" outlineLevel="0" collapsed="false">
      <c r="A2211" s="3" t="n">
        <v>2210</v>
      </c>
      <c r="B2211" s="3" t="n">
        <v>2209</v>
      </c>
      <c r="C2211" s="3" t="n">
        <v>11</v>
      </c>
      <c r="D2211" s="3" t="n">
        <v>3</v>
      </c>
      <c r="E2211" s="3" t="n">
        <v>11</v>
      </c>
      <c r="F2211" s="24" t="n">
        <v>0</v>
      </c>
    </row>
    <row r="2212" customFormat="false" ht="15" hidden="false" customHeight="false" outlineLevel="0" collapsed="false">
      <c r="A2212" s="3" t="n">
        <v>2211</v>
      </c>
      <c r="B2212" s="3" t="n">
        <v>2210</v>
      </c>
      <c r="C2212" s="3" t="n">
        <v>11</v>
      </c>
      <c r="D2212" s="3" t="n">
        <v>3</v>
      </c>
      <c r="E2212" s="3" t="n">
        <v>12</v>
      </c>
      <c r="F2212" s="24" t="n">
        <v>0.0222728848</v>
      </c>
    </row>
    <row r="2213" customFormat="false" ht="15" hidden="false" customHeight="false" outlineLevel="0" collapsed="false">
      <c r="A2213" s="3" t="n">
        <v>2212</v>
      </c>
      <c r="B2213" s="3" t="n">
        <v>2211</v>
      </c>
      <c r="C2213" s="3" t="n">
        <v>11</v>
      </c>
      <c r="D2213" s="3" t="n">
        <v>3</v>
      </c>
      <c r="E2213" s="3" t="n">
        <v>13</v>
      </c>
      <c r="F2213" s="24" t="n">
        <v>0</v>
      </c>
    </row>
    <row r="2214" customFormat="false" ht="15" hidden="false" customHeight="false" outlineLevel="0" collapsed="false">
      <c r="A2214" s="3" t="n">
        <v>2213</v>
      </c>
      <c r="B2214" s="3" t="n">
        <v>2212</v>
      </c>
      <c r="C2214" s="3" t="n">
        <v>11</v>
      </c>
      <c r="D2214" s="3" t="n">
        <v>4</v>
      </c>
      <c r="E2214" s="3" t="n">
        <v>0</v>
      </c>
      <c r="F2214" s="24" t="n">
        <v>0.0595110059</v>
      </c>
    </row>
    <row r="2215" customFormat="false" ht="15" hidden="false" customHeight="false" outlineLevel="0" collapsed="false">
      <c r="A2215" s="3" t="n">
        <v>2214</v>
      </c>
      <c r="B2215" s="3" t="n">
        <v>2213</v>
      </c>
      <c r="C2215" s="3" t="n">
        <v>11</v>
      </c>
      <c r="D2215" s="3" t="n">
        <v>4</v>
      </c>
      <c r="E2215" s="3" t="n">
        <v>1</v>
      </c>
      <c r="F2215" s="24" t="n">
        <v>0.807500958</v>
      </c>
    </row>
    <row r="2216" customFormat="false" ht="15" hidden="false" customHeight="false" outlineLevel="0" collapsed="false">
      <c r="A2216" s="3" t="n">
        <v>2215</v>
      </c>
      <c r="B2216" s="3" t="n">
        <v>2214</v>
      </c>
      <c r="C2216" s="3" t="n">
        <v>11</v>
      </c>
      <c r="D2216" s="3" t="n">
        <v>4</v>
      </c>
      <c r="E2216" s="3" t="n">
        <v>2</v>
      </c>
      <c r="F2216" s="24" t="n">
        <v>3.22806931</v>
      </c>
    </row>
    <row r="2217" customFormat="false" ht="15" hidden="false" customHeight="false" outlineLevel="0" collapsed="false">
      <c r="A2217" s="3" t="n">
        <v>2216</v>
      </c>
      <c r="B2217" s="3" t="n">
        <v>2215</v>
      </c>
      <c r="C2217" s="3" t="n">
        <v>11</v>
      </c>
      <c r="D2217" s="3" t="n">
        <v>4</v>
      </c>
      <c r="E2217" s="3" t="n">
        <v>3</v>
      </c>
      <c r="F2217" s="24" t="n">
        <v>2.98908138</v>
      </c>
    </row>
    <row r="2218" customFormat="false" ht="15" hidden="false" customHeight="false" outlineLevel="0" collapsed="false">
      <c r="A2218" s="3" t="n">
        <v>2217</v>
      </c>
      <c r="B2218" s="3" t="n">
        <v>2216</v>
      </c>
      <c r="C2218" s="3" t="n">
        <v>11</v>
      </c>
      <c r="D2218" s="3" t="n">
        <v>4</v>
      </c>
      <c r="E2218" s="3" t="n">
        <v>4</v>
      </c>
      <c r="F2218" s="24" t="n">
        <v>3.96196461</v>
      </c>
    </row>
    <row r="2219" customFormat="false" ht="15" hidden="false" customHeight="false" outlineLevel="0" collapsed="false">
      <c r="A2219" s="3" t="n">
        <v>2218</v>
      </c>
      <c r="B2219" s="3" t="n">
        <v>2217</v>
      </c>
      <c r="C2219" s="3" t="n">
        <v>11</v>
      </c>
      <c r="D2219" s="3" t="n">
        <v>4</v>
      </c>
      <c r="E2219" s="3" t="n">
        <v>5</v>
      </c>
      <c r="F2219" s="24" t="n">
        <v>4.04979134</v>
      </c>
    </row>
    <row r="2220" customFormat="false" ht="15" hidden="false" customHeight="false" outlineLevel="0" collapsed="false">
      <c r="A2220" s="3" t="n">
        <v>2219</v>
      </c>
      <c r="B2220" s="3" t="n">
        <v>2218</v>
      </c>
      <c r="C2220" s="3" t="n">
        <v>11</v>
      </c>
      <c r="D2220" s="3" t="n">
        <v>4</v>
      </c>
      <c r="E2220" s="3" t="n">
        <v>6</v>
      </c>
      <c r="F2220" s="24" t="n">
        <v>4.52723694</v>
      </c>
    </row>
    <row r="2221" customFormat="false" ht="15" hidden="false" customHeight="false" outlineLevel="0" collapsed="false">
      <c r="A2221" s="3" t="n">
        <v>2220</v>
      </c>
      <c r="B2221" s="3" t="n">
        <v>2219</v>
      </c>
      <c r="C2221" s="3" t="n">
        <v>11</v>
      </c>
      <c r="D2221" s="3" t="n">
        <v>4</v>
      </c>
      <c r="E2221" s="3" t="n">
        <v>7</v>
      </c>
      <c r="F2221" s="24" t="n">
        <v>4.69654465</v>
      </c>
    </row>
    <row r="2222" customFormat="false" ht="15" hidden="false" customHeight="false" outlineLevel="0" collapsed="false">
      <c r="A2222" s="3" t="n">
        <v>2221</v>
      </c>
      <c r="B2222" s="3" t="n">
        <v>2220</v>
      </c>
      <c r="C2222" s="3" t="n">
        <v>11</v>
      </c>
      <c r="D2222" s="3" t="n">
        <v>4</v>
      </c>
      <c r="E2222" s="3" t="n">
        <v>8</v>
      </c>
      <c r="F2222" s="24" t="n">
        <v>1.94231689</v>
      </c>
    </row>
    <row r="2223" customFormat="false" ht="15" hidden="false" customHeight="false" outlineLevel="0" collapsed="false">
      <c r="A2223" s="3" t="n">
        <v>2222</v>
      </c>
      <c r="B2223" s="3" t="n">
        <v>2221</v>
      </c>
      <c r="C2223" s="3" t="n">
        <v>11</v>
      </c>
      <c r="D2223" s="3" t="n">
        <v>4</v>
      </c>
      <c r="E2223" s="3" t="n">
        <v>9</v>
      </c>
      <c r="F2223" s="24" t="n">
        <v>1.15961397</v>
      </c>
    </row>
    <row r="2224" customFormat="false" ht="15" hidden="false" customHeight="false" outlineLevel="0" collapsed="false">
      <c r="A2224" s="3" t="n">
        <v>2223</v>
      </c>
      <c r="B2224" s="3" t="n">
        <v>2222</v>
      </c>
      <c r="C2224" s="3" t="n">
        <v>11</v>
      </c>
      <c r="D2224" s="3" t="n">
        <v>4</v>
      </c>
      <c r="E2224" s="3" t="n">
        <v>10</v>
      </c>
      <c r="F2224" s="24" t="n">
        <v>0.893485069</v>
      </c>
    </row>
    <row r="2225" customFormat="false" ht="15" hidden="false" customHeight="false" outlineLevel="0" collapsed="false">
      <c r="A2225" s="3" t="n">
        <v>2224</v>
      </c>
      <c r="B2225" s="3" t="n">
        <v>2223</v>
      </c>
      <c r="C2225" s="3" t="n">
        <v>11</v>
      </c>
      <c r="D2225" s="3" t="n">
        <v>4</v>
      </c>
      <c r="E2225" s="3" t="n">
        <v>11</v>
      </c>
      <c r="F2225" s="24" t="n">
        <v>0.332373828</v>
      </c>
    </row>
    <row r="2226" customFormat="false" ht="15" hidden="false" customHeight="false" outlineLevel="0" collapsed="false">
      <c r="A2226" s="3" t="n">
        <v>2225</v>
      </c>
      <c r="B2226" s="3" t="n">
        <v>2224</v>
      </c>
      <c r="C2226" s="3" t="n">
        <v>11</v>
      </c>
      <c r="D2226" s="3" t="n">
        <v>4</v>
      </c>
      <c r="E2226" s="3" t="n">
        <v>12</v>
      </c>
      <c r="F2226" s="24" t="n">
        <v>0.280834526</v>
      </c>
    </row>
    <row r="2227" customFormat="false" ht="15" hidden="false" customHeight="false" outlineLevel="0" collapsed="false">
      <c r="A2227" s="3" t="n">
        <v>2226</v>
      </c>
      <c r="B2227" s="3" t="n">
        <v>2225</v>
      </c>
      <c r="C2227" s="3" t="n">
        <v>11</v>
      </c>
      <c r="D2227" s="3" t="n">
        <v>4</v>
      </c>
      <c r="E2227" s="3" t="n">
        <v>13</v>
      </c>
      <c r="F2227" s="24" t="n">
        <v>0</v>
      </c>
    </row>
    <row r="2228" customFormat="false" ht="15" hidden="false" customHeight="false" outlineLevel="0" collapsed="false">
      <c r="A2228" s="3" t="n">
        <v>2227</v>
      </c>
      <c r="B2228" s="3" t="n">
        <v>2226</v>
      </c>
      <c r="C2228" s="3" t="n">
        <v>11</v>
      </c>
      <c r="D2228" s="3" t="n">
        <v>5</v>
      </c>
      <c r="E2228" s="3" t="n">
        <v>0</v>
      </c>
      <c r="F2228" s="24" t="n">
        <v>0.0595110059</v>
      </c>
    </row>
    <row r="2229" customFormat="false" ht="15" hidden="false" customHeight="false" outlineLevel="0" collapsed="false">
      <c r="A2229" s="3" t="n">
        <v>2228</v>
      </c>
      <c r="B2229" s="3" t="n">
        <v>2227</v>
      </c>
      <c r="C2229" s="3" t="n">
        <v>11</v>
      </c>
      <c r="D2229" s="3" t="n">
        <v>5</v>
      </c>
      <c r="E2229" s="3" t="n">
        <v>1</v>
      </c>
      <c r="F2229" s="24" t="n">
        <v>0.776855826</v>
      </c>
    </row>
    <row r="2230" customFormat="false" ht="15" hidden="false" customHeight="false" outlineLevel="0" collapsed="false">
      <c r="A2230" s="3" t="n">
        <v>2229</v>
      </c>
      <c r="B2230" s="3" t="n">
        <v>2228</v>
      </c>
      <c r="C2230" s="3" t="n">
        <v>11</v>
      </c>
      <c r="D2230" s="3" t="n">
        <v>5</v>
      </c>
      <c r="E2230" s="3" t="n">
        <v>2</v>
      </c>
      <c r="F2230" s="24" t="n">
        <v>1.55677485</v>
      </c>
    </row>
    <row r="2231" customFormat="false" ht="15" hidden="false" customHeight="false" outlineLevel="0" collapsed="false">
      <c r="A2231" s="3" t="n">
        <v>2230</v>
      </c>
      <c r="B2231" s="3" t="n">
        <v>2229</v>
      </c>
      <c r="C2231" s="3" t="n">
        <v>11</v>
      </c>
      <c r="D2231" s="3" t="n">
        <v>5</v>
      </c>
      <c r="E2231" s="3" t="n">
        <v>3</v>
      </c>
      <c r="F2231" s="24" t="n">
        <v>1.47720873</v>
      </c>
    </row>
    <row r="2232" customFormat="false" ht="15" hidden="false" customHeight="false" outlineLevel="0" collapsed="false">
      <c r="A2232" s="3" t="n">
        <v>2231</v>
      </c>
      <c r="B2232" s="3" t="n">
        <v>2230</v>
      </c>
      <c r="C2232" s="3" t="n">
        <v>11</v>
      </c>
      <c r="D2232" s="3" t="n">
        <v>5</v>
      </c>
      <c r="E2232" s="3" t="n">
        <v>4</v>
      </c>
      <c r="F2232" s="24" t="n">
        <v>3.16867089</v>
      </c>
    </row>
    <row r="2233" customFormat="false" ht="15" hidden="false" customHeight="false" outlineLevel="0" collapsed="false">
      <c r="A2233" s="3" t="n">
        <v>2232</v>
      </c>
      <c r="B2233" s="3" t="n">
        <v>2231</v>
      </c>
      <c r="C2233" s="3" t="n">
        <v>11</v>
      </c>
      <c r="D2233" s="3" t="n">
        <v>5</v>
      </c>
      <c r="E2233" s="3" t="n">
        <v>5</v>
      </c>
      <c r="F2233" s="24" t="n">
        <v>3.2158165</v>
      </c>
    </row>
    <row r="2234" customFormat="false" ht="15" hidden="false" customHeight="false" outlineLevel="0" collapsed="false">
      <c r="A2234" s="3" t="n">
        <v>2233</v>
      </c>
      <c r="B2234" s="3" t="n">
        <v>2232</v>
      </c>
      <c r="C2234" s="3" t="n">
        <v>11</v>
      </c>
      <c r="D2234" s="3" t="n">
        <v>5</v>
      </c>
      <c r="E2234" s="3" t="n">
        <v>6</v>
      </c>
      <c r="F2234" s="24" t="n">
        <v>2.99295402</v>
      </c>
    </row>
    <row r="2235" customFormat="false" ht="15" hidden="false" customHeight="false" outlineLevel="0" collapsed="false">
      <c r="A2235" s="3" t="n">
        <v>2234</v>
      </c>
      <c r="B2235" s="3" t="n">
        <v>2233</v>
      </c>
      <c r="C2235" s="3" t="n">
        <v>11</v>
      </c>
      <c r="D2235" s="3" t="n">
        <v>5</v>
      </c>
      <c r="E2235" s="3" t="n">
        <v>7</v>
      </c>
      <c r="F2235" s="24" t="n">
        <v>0.761934638</v>
      </c>
    </row>
    <row r="2236" customFormat="false" ht="15" hidden="false" customHeight="false" outlineLevel="0" collapsed="false">
      <c r="A2236" s="3" t="n">
        <v>2235</v>
      </c>
      <c r="B2236" s="3" t="n">
        <v>2234</v>
      </c>
      <c r="C2236" s="3" t="n">
        <v>11</v>
      </c>
      <c r="D2236" s="3" t="n">
        <v>5</v>
      </c>
      <c r="E2236" s="3" t="n">
        <v>8</v>
      </c>
      <c r="F2236" s="24" t="n">
        <v>0</v>
      </c>
    </row>
    <row r="2237" customFormat="false" ht="15" hidden="false" customHeight="false" outlineLevel="0" collapsed="false">
      <c r="A2237" s="3" t="n">
        <v>2236</v>
      </c>
      <c r="B2237" s="3" t="n">
        <v>2235</v>
      </c>
      <c r="C2237" s="3" t="n">
        <v>11</v>
      </c>
      <c r="D2237" s="3" t="n">
        <v>5</v>
      </c>
      <c r="E2237" s="3" t="n">
        <v>9</v>
      </c>
      <c r="F2237" s="24" t="n">
        <v>1.05600333</v>
      </c>
    </row>
    <row r="2238" customFormat="false" ht="15" hidden="false" customHeight="false" outlineLevel="0" collapsed="false">
      <c r="A2238" s="3" t="n">
        <v>2237</v>
      </c>
      <c r="B2238" s="3" t="n">
        <v>2236</v>
      </c>
      <c r="C2238" s="3" t="n">
        <v>11</v>
      </c>
      <c r="D2238" s="3" t="n">
        <v>5</v>
      </c>
      <c r="E2238" s="3" t="n">
        <v>10</v>
      </c>
      <c r="F2238" s="24" t="n">
        <v>0.647099495</v>
      </c>
    </row>
    <row r="2239" customFormat="false" ht="15" hidden="false" customHeight="false" outlineLevel="0" collapsed="false">
      <c r="A2239" s="3" t="n">
        <v>2238</v>
      </c>
      <c r="B2239" s="3" t="n">
        <v>2237</v>
      </c>
      <c r="C2239" s="3" t="n">
        <v>11</v>
      </c>
      <c r="D2239" s="3" t="n">
        <v>5</v>
      </c>
      <c r="E2239" s="3" t="n">
        <v>11</v>
      </c>
      <c r="F2239" s="24" t="n">
        <v>0.820939183</v>
      </c>
    </row>
    <row r="2240" customFormat="false" ht="15" hidden="false" customHeight="false" outlineLevel="0" collapsed="false">
      <c r="A2240" s="3" t="n">
        <v>2239</v>
      </c>
      <c r="B2240" s="3" t="n">
        <v>2238</v>
      </c>
      <c r="C2240" s="3" t="n">
        <v>11</v>
      </c>
      <c r="D2240" s="3" t="n">
        <v>5</v>
      </c>
      <c r="E2240" s="3" t="n">
        <v>12</v>
      </c>
      <c r="F2240" s="24" t="n">
        <v>0.0551779866</v>
      </c>
    </row>
    <row r="2241" customFormat="false" ht="15" hidden="false" customHeight="false" outlineLevel="0" collapsed="false">
      <c r="A2241" s="3" t="n">
        <v>2240</v>
      </c>
      <c r="B2241" s="3" t="n">
        <v>2239</v>
      </c>
      <c r="C2241" s="3" t="n">
        <v>11</v>
      </c>
      <c r="D2241" s="3" t="n">
        <v>5</v>
      </c>
      <c r="E2241" s="3" t="n">
        <v>13</v>
      </c>
      <c r="F2241" s="24" t="n">
        <v>0</v>
      </c>
    </row>
    <row r="2242" customFormat="false" ht="15" hidden="false" customHeight="false" outlineLevel="0" collapsed="false">
      <c r="A2242" s="3" t="n">
        <v>2241</v>
      </c>
      <c r="B2242" s="3" t="n">
        <v>2240</v>
      </c>
      <c r="C2242" s="3" t="n">
        <v>11</v>
      </c>
      <c r="D2242" s="3" t="n">
        <v>6</v>
      </c>
      <c r="E2242" s="3" t="n">
        <v>0</v>
      </c>
      <c r="F2242" s="24" t="n">
        <v>0.0595110059</v>
      </c>
    </row>
    <row r="2243" customFormat="false" ht="15" hidden="false" customHeight="false" outlineLevel="0" collapsed="false">
      <c r="A2243" s="3" t="n">
        <v>2242</v>
      </c>
      <c r="B2243" s="3" t="n">
        <v>2241</v>
      </c>
      <c r="C2243" s="3" t="n">
        <v>11</v>
      </c>
      <c r="D2243" s="3" t="n">
        <v>6</v>
      </c>
      <c r="E2243" s="3" t="n">
        <v>1</v>
      </c>
      <c r="F2243" s="24" t="n">
        <v>0.118502557</v>
      </c>
    </row>
    <row r="2244" customFormat="false" ht="15" hidden="false" customHeight="false" outlineLevel="0" collapsed="false">
      <c r="A2244" s="3" t="n">
        <v>2243</v>
      </c>
      <c r="B2244" s="3" t="n">
        <v>2242</v>
      </c>
      <c r="C2244" s="3" t="n">
        <v>11</v>
      </c>
      <c r="D2244" s="3" t="n">
        <v>6</v>
      </c>
      <c r="E2244" s="3" t="n">
        <v>2</v>
      </c>
      <c r="F2244" s="24" t="n">
        <v>0.13113603</v>
      </c>
    </row>
    <row r="2245" customFormat="false" ht="15" hidden="false" customHeight="false" outlineLevel="0" collapsed="false">
      <c r="A2245" s="3" t="n">
        <v>2244</v>
      </c>
      <c r="B2245" s="3" t="n">
        <v>2243</v>
      </c>
      <c r="C2245" s="3" t="n">
        <v>11</v>
      </c>
      <c r="D2245" s="3" t="n">
        <v>6</v>
      </c>
      <c r="E2245" s="3" t="n">
        <v>3</v>
      </c>
      <c r="F2245" s="24" t="n">
        <v>0.221730202</v>
      </c>
    </row>
    <row r="2246" customFormat="false" ht="15" hidden="false" customHeight="false" outlineLevel="0" collapsed="false">
      <c r="A2246" s="3" t="n">
        <v>2245</v>
      </c>
      <c r="B2246" s="3" t="n">
        <v>2244</v>
      </c>
      <c r="C2246" s="3" t="n">
        <v>11</v>
      </c>
      <c r="D2246" s="3" t="n">
        <v>6</v>
      </c>
      <c r="E2246" s="3" t="n">
        <v>4</v>
      </c>
      <c r="F2246" s="24" t="n">
        <v>0.361168593</v>
      </c>
    </row>
    <row r="2247" customFormat="false" ht="15" hidden="false" customHeight="false" outlineLevel="0" collapsed="false">
      <c r="A2247" s="3" t="n">
        <v>2246</v>
      </c>
      <c r="B2247" s="3" t="n">
        <v>2245</v>
      </c>
      <c r="C2247" s="3" t="n">
        <v>11</v>
      </c>
      <c r="D2247" s="3" t="n">
        <v>6</v>
      </c>
      <c r="E2247" s="3" t="n">
        <v>5</v>
      </c>
      <c r="F2247" s="24" t="n">
        <v>0.402765065</v>
      </c>
    </row>
    <row r="2248" customFormat="false" ht="15" hidden="false" customHeight="false" outlineLevel="0" collapsed="false">
      <c r="A2248" s="3" t="n">
        <v>2247</v>
      </c>
      <c r="B2248" s="3" t="n">
        <v>2246</v>
      </c>
      <c r="C2248" s="3" t="n">
        <v>11</v>
      </c>
      <c r="D2248" s="3" t="n">
        <v>6</v>
      </c>
      <c r="E2248" s="3" t="n">
        <v>6</v>
      </c>
      <c r="F2248" s="24" t="n">
        <v>0.0642206967</v>
      </c>
    </row>
    <row r="2249" customFormat="false" ht="15" hidden="false" customHeight="false" outlineLevel="0" collapsed="false">
      <c r="A2249" s="3" t="n">
        <v>2248</v>
      </c>
      <c r="B2249" s="3" t="n">
        <v>2247</v>
      </c>
      <c r="C2249" s="3" t="n">
        <v>11</v>
      </c>
      <c r="D2249" s="3" t="n">
        <v>6</v>
      </c>
      <c r="E2249" s="3" t="n">
        <v>7</v>
      </c>
      <c r="F2249" s="24" t="n">
        <v>0</v>
      </c>
    </row>
    <row r="2250" customFormat="false" ht="15" hidden="false" customHeight="false" outlineLevel="0" collapsed="false">
      <c r="A2250" s="3" t="n">
        <v>2249</v>
      </c>
      <c r="B2250" s="3" t="n">
        <v>2248</v>
      </c>
      <c r="C2250" s="3" t="n">
        <v>11</v>
      </c>
      <c r="D2250" s="3" t="n">
        <v>6</v>
      </c>
      <c r="E2250" s="3" t="n">
        <v>8</v>
      </c>
      <c r="F2250" s="24" t="n">
        <v>1.12446785</v>
      </c>
    </row>
    <row r="2251" customFormat="false" ht="15" hidden="false" customHeight="false" outlineLevel="0" collapsed="false">
      <c r="A2251" s="3" t="n">
        <v>2250</v>
      </c>
      <c r="B2251" s="3" t="n">
        <v>2249</v>
      </c>
      <c r="C2251" s="3" t="n">
        <v>11</v>
      </c>
      <c r="D2251" s="3" t="n">
        <v>6</v>
      </c>
      <c r="E2251" s="3" t="n">
        <v>9</v>
      </c>
      <c r="F2251" s="24" t="n">
        <v>1.36341155</v>
      </c>
    </row>
    <row r="2252" customFormat="false" ht="15" hidden="false" customHeight="false" outlineLevel="0" collapsed="false">
      <c r="A2252" s="3" t="n">
        <v>2251</v>
      </c>
      <c r="B2252" s="3" t="n">
        <v>2250</v>
      </c>
      <c r="C2252" s="3" t="n">
        <v>11</v>
      </c>
      <c r="D2252" s="3" t="n">
        <v>6</v>
      </c>
      <c r="E2252" s="3" t="n">
        <v>10</v>
      </c>
      <c r="F2252" s="24" t="n">
        <v>1.96311772</v>
      </c>
    </row>
    <row r="2253" customFormat="false" ht="15" hidden="false" customHeight="false" outlineLevel="0" collapsed="false">
      <c r="A2253" s="3" t="n">
        <v>2252</v>
      </c>
      <c r="B2253" s="3" t="n">
        <v>2251</v>
      </c>
      <c r="C2253" s="3" t="n">
        <v>11</v>
      </c>
      <c r="D2253" s="3" t="n">
        <v>6</v>
      </c>
      <c r="E2253" s="3" t="n">
        <v>11</v>
      </c>
      <c r="F2253" s="24" t="n">
        <v>1.2117734</v>
      </c>
    </row>
    <row r="2254" customFormat="false" ht="15" hidden="false" customHeight="false" outlineLevel="0" collapsed="false">
      <c r="A2254" s="3" t="n">
        <v>2253</v>
      </c>
      <c r="B2254" s="3" t="n">
        <v>2252</v>
      </c>
      <c r="C2254" s="3" t="n">
        <v>11</v>
      </c>
      <c r="D2254" s="3" t="n">
        <v>6</v>
      </c>
      <c r="E2254" s="3" t="n">
        <v>12</v>
      </c>
      <c r="F2254" s="24" t="n">
        <v>0.132748157</v>
      </c>
    </row>
    <row r="2255" customFormat="false" ht="15" hidden="false" customHeight="false" outlineLevel="0" collapsed="false">
      <c r="A2255" s="3" t="n">
        <v>2254</v>
      </c>
      <c r="B2255" s="3" t="n">
        <v>2253</v>
      </c>
      <c r="C2255" s="3" t="n">
        <v>11</v>
      </c>
      <c r="D2255" s="3" t="n">
        <v>6</v>
      </c>
      <c r="E2255" s="3" t="n">
        <v>13</v>
      </c>
      <c r="F2255" s="24" t="n">
        <v>0</v>
      </c>
    </row>
    <row r="2256" customFormat="false" ht="15" hidden="false" customHeight="false" outlineLevel="0" collapsed="false">
      <c r="A2256" s="3" t="n">
        <v>2255</v>
      </c>
      <c r="B2256" s="3" t="n">
        <v>2254</v>
      </c>
      <c r="C2256" s="3" t="n">
        <v>11</v>
      </c>
      <c r="D2256" s="3" t="n">
        <v>7</v>
      </c>
      <c r="E2256" s="3" t="n">
        <v>0</v>
      </c>
      <c r="F2256" s="24" t="n">
        <v>0.0595110059</v>
      </c>
    </row>
    <row r="2257" customFormat="false" ht="15" hidden="false" customHeight="false" outlineLevel="0" collapsed="false">
      <c r="A2257" s="3" t="n">
        <v>2256</v>
      </c>
      <c r="B2257" s="3" t="n">
        <v>2255</v>
      </c>
      <c r="C2257" s="3" t="n">
        <v>11</v>
      </c>
      <c r="D2257" s="3" t="n">
        <v>7</v>
      </c>
      <c r="E2257" s="3" t="n">
        <v>1</v>
      </c>
      <c r="F2257" s="24" t="n">
        <v>0.123146236</v>
      </c>
    </row>
    <row r="2258" customFormat="false" ht="15" hidden="false" customHeight="false" outlineLevel="0" collapsed="false">
      <c r="A2258" s="3" t="n">
        <v>2257</v>
      </c>
      <c r="B2258" s="3" t="n">
        <v>2256</v>
      </c>
      <c r="C2258" s="3" t="n">
        <v>11</v>
      </c>
      <c r="D2258" s="3" t="n">
        <v>7</v>
      </c>
      <c r="E2258" s="3" t="n">
        <v>2</v>
      </c>
      <c r="F2258" s="24" t="n">
        <v>0.151524842</v>
      </c>
    </row>
    <row r="2259" customFormat="false" ht="15" hidden="false" customHeight="false" outlineLevel="0" collapsed="false">
      <c r="A2259" s="3" t="n">
        <v>2258</v>
      </c>
      <c r="B2259" s="3" t="n">
        <v>2257</v>
      </c>
      <c r="C2259" s="3" t="n">
        <v>11</v>
      </c>
      <c r="D2259" s="3" t="n">
        <v>7</v>
      </c>
      <c r="E2259" s="3" t="n">
        <v>3</v>
      </c>
      <c r="F2259" s="24" t="n">
        <v>0.151524842</v>
      </c>
    </row>
    <row r="2260" customFormat="false" ht="15" hidden="false" customHeight="false" outlineLevel="0" collapsed="false">
      <c r="A2260" s="3" t="n">
        <v>2259</v>
      </c>
      <c r="B2260" s="3" t="n">
        <v>2258</v>
      </c>
      <c r="C2260" s="3" t="n">
        <v>11</v>
      </c>
      <c r="D2260" s="3" t="n">
        <v>7</v>
      </c>
      <c r="E2260" s="3" t="n">
        <v>4</v>
      </c>
      <c r="F2260" s="24" t="n">
        <v>0.151524842</v>
      </c>
    </row>
    <row r="2261" customFormat="false" ht="15" hidden="false" customHeight="false" outlineLevel="0" collapsed="false">
      <c r="A2261" s="3" t="n">
        <v>2260</v>
      </c>
      <c r="B2261" s="3" t="n">
        <v>2259</v>
      </c>
      <c r="C2261" s="3" t="n">
        <v>11</v>
      </c>
      <c r="D2261" s="3" t="n">
        <v>7</v>
      </c>
      <c r="E2261" s="3" t="n">
        <v>5</v>
      </c>
      <c r="F2261" s="24" t="n">
        <v>0.182723254</v>
      </c>
    </row>
    <row r="2262" customFormat="false" ht="15" hidden="false" customHeight="false" outlineLevel="0" collapsed="false">
      <c r="A2262" s="3" t="n">
        <v>2261</v>
      </c>
      <c r="B2262" s="3" t="n">
        <v>2260</v>
      </c>
      <c r="C2262" s="3" t="n">
        <v>11</v>
      </c>
      <c r="D2262" s="3" t="n">
        <v>7</v>
      </c>
      <c r="E2262" s="3" t="n">
        <v>6</v>
      </c>
      <c r="F2262" s="24" t="n">
        <v>0</v>
      </c>
    </row>
    <row r="2263" customFormat="false" ht="15" hidden="false" customHeight="false" outlineLevel="0" collapsed="false">
      <c r="A2263" s="3" t="n">
        <v>2262</v>
      </c>
      <c r="B2263" s="3" t="n">
        <v>2261</v>
      </c>
      <c r="C2263" s="3" t="n">
        <v>11</v>
      </c>
      <c r="D2263" s="3" t="n">
        <v>7</v>
      </c>
      <c r="E2263" s="3" t="n">
        <v>7</v>
      </c>
      <c r="F2263" s="24" t="n">
        <v>0</v>
      </c>
    </row>
    <row r="2264" customFormat="false" ht="15" hidden="false" customHeight="false" outlineLevel="0" collapsed="false">
      <c r="A2264" s="3" t="n">
        <v>2263</v>
      </c>
      <c r="B2264" s="3" t="n">
        <v>2262</v>
      </c>
      <c r="C2264" s="3" t="n">
        <v>11</v>
      </c>
      <c r="D2264" s="3" t="n">
        <v>7</v>
      </c>
      <c r="E2264" s="3" t="n">
        <v>8</v>
      </c>
      <c r="F2264" s="24" t="n">
        <v>1.28407454</v>
      </c>
    </row>
    <row r="2265" customFormat="false" ht="15" hidden="false" customHeight="false" outlineLevel="0" collapsed="false">
      <c r="A2265" s="3" t="n">
        <v>2264</v>
      </c>
      <c r="B2265" s="3" t="n">
        <v>2263</v>
      </c>
      <c r="C2265" s="3" t="n">
        <v>11</v>
      </c>
      <c r="D2265" s="3" t="n">
        <v>7</v>
      </c>
      <c r="E2265" s="3" t="n">
        <v>9</v>
      </c>
      <c r="F2265" s="24" t="n">
        <v>0.661880374</v>
      </c>
    </row>
    <row r="2266" customFormat="false" ht="15" hidden="false" customHeight="false" outlineLevel="0" collapsed="false">
      <c r="A2266" s="3" t="n">
        <v>2265</v>
      </c>
      <c r="B2266" s="3" t="n">
        <v>2264</v>
      </c>
      <c r="C2266" s="3" t="n">
        <v>11</v>
      </c>
      <c r="D2266" s="3" t="n">
        <v>7</v>
      </c>
      <c r="E2266" s="3" t="n">
        <v>10</v>
      </c>
      <c r="F2266" s="24" t="n">
        <v>1.85820067</v>
      </c>
    </row>
    <row r="2267" customFormat="false" ht="15" hidden="false" customHeight="false" outlineLevel="0" collapsed="false">
      <c r="A2267" s="3" t="n">
        <v>2266</v>
      </c>
      <c r="B2267" s="3" t="n">
        <v>2265</v>
      </c>
      <c r="C2267" s="3" t="n">
        <v>11</v>
      </c>
      <c r="D2267" s="3" t="n">
        <v>7</v>
      </c>
      <c r="E2267" s="3" t="n">
        <v>11</v>
      </c>
      <c r="F2267" s="24" t="n">
        <v>0.196728081</v>
      </c>
    </row>
    <row r="2268" customFormat="false" ht="15" hidden="false" customHeight="false" outlineLevel="0" collapsed="false">
      <c r="A2268" s="3" t="n">
        <v>2267</v>
      </c>
      <c r="B2268" s="3" t="n">
        <v>2266</v>
      </c>
      <c r="C2268" s="3" t="n">
        <v>11</v>
      </c>
      <c r="D2268" s="3" t="n">
        <v>7</v>
      </c>
      <c r="E2268" s="3" t="n">
        <v>12</v>
      </c>
      <c r="F2268" s="24" t="n">
        <v>0.161764771</v>
      </c>
    </row>
    <row r="2269" customFormat="false" ht="15" hidden="false" customHeight="false" outlineLevel="0" collapsed="false">
      <c r="A2269" s="3" t="n">
        <v>2268</v>
      </c>
      <c r="B2269" s="3" t="n">
        <v>2267</v>
      </c>
      <c r="C2269" s="3" t="n">
        <v>11</v>
      </c>
      <c r="D2269" s="3" t="n">
        <v>7</v>
      </c>
      <c r="E2269" s="3" t="n">
        <v>13</v>
      </c>
      <c r="F2269" s="24" t="n">
        <v>0</v>
      </c>
    </row>
    <row r="2270" customFormat="false" ht="15" hidden="false" customHeight="false" outlineLevel="0" collapsed="false">
      <c r="A2270" s="3" t="n">
        <v>2269</v>
      </c>
      <c r="B2270" s="3" t="n">
        <v>2268</v>
      </c>
      <c r="C2270" s="3" t="n">
        <v>11</v>
      </c>
      <c r="D2270" s="3" t="n">
        <v>8</v>
      </c>
      <c r="E2270" s="3" t="n">
        <v>0</v>
      </c>
      <c r="F2270" s="24" t="n">
        <v>0.0595110059</v>
      </c>
    </row>
    <row r="2271" customFormat="false" ht="15" hidden="false" customHeight="false" outlineLevel="0" collapsed="false">
      <c r="A2271" s="3" t="n">
        <v>2270</v>
      </c>
      <c r="B2271" s="3" t="n">
        <v>2269</v>
      </c>
      <c r="C2271" s="3" t="n">
        <v>11</v>
      </c>
      <c r="D2271" s="3" t="n">
        <v>8</v>
      </c>
      <c r="E2271" s="3" t="n">
        <v>1</v>
      </c>
      <c r="F2271" s="24" t="n">
        <v>0.123146236</v>
      </c>
    </row>
    <row r="2272" customFormat="false" ht="15" hidden="false" customHeight="false" outlineLevel="0" collapsed="false">
      <c r="A2272" s="3" t="n">
        <v>2271</v>
      </c>
      <c r="B2272" s="3" t="n">
        <v>2270</v>
      </c>
      <c r="C2272" s="3" t="n">
        <v>11</v>
      </c>
      <c r="D2272" s="3" t="n">
        <v>8</v>
      </c>
      <c r="E2272" s="3" t="n">
        <v>2</v>
      </c>
      <c r="F2272" s="24" t="n">
        <v>0.151524842</v>
      </c>
    </row>
    <row r="2273" customFormat="false" ht="15" hidden="false" customHeight="false" outlineLevel="0" collapsed="false">
      <c r="A2273" s="3" t="n">
        <v>2272</v>
      </c>
      <c r="B2273" s="3" t="n">
        <v>2271</v>
      </c>
      <c r="C2273" s="3" t="n">
        <v>11</v>
      </c>
      <c r="D2273" s="3" t="n">
        <v>8</v>
      </c>
      <c r="E2273" s="3" t="n">
        <v>3</v>
      </c>
      <c r="F2273" s="24" t="n">
        <v>0.151524842</v>
      </c>
    </row>
    <row r="2274" customFormat="false" ht="15" hidden="false" customHeight="false" outlineLevel="0" collapsed="false">
      <c r="A2274" s="3" t="n">
        <v>2273</v>
      </c>
      <c r="B2274" s="3" t="n">
        <v>2272</v>
      </c>
      <c r="C2274" s="3" t="n">
        <v>11</v>
      </c>
      <c r="D2274" s="3" t="n">
        <v>8</v>
      </c>
      <c r="E2274" s="3" t="n">
        <v>4</v>
      </c>
      <c r="F2274" s="24" t="n">
        <v>0.157094777</v>
      </c>
    </row>
    <row r="2275" customFormat="false" ht="15" hidden="false" customHeight="false" outlineLevel="0" collapsed="false">
      <c r="A2275" s="3" t="n">
        <v>2274</v>
      </c>
      <c r="B2275" s="3" t="n">
        <v>2273</v>
      </c>
      <c r="C2275" s="3" t="n">
        <v>11</v>
      </c>
      <c r="D2275" s="3" t="n">
        <v>8</v>
      </c>
      <c r="E2275" s="3" t="n">
        <v>5</v>
      </c>
      <c r="F2275" s="24" t="n">
        <v>0</v>
      </c>
    </row>
    <row r="2276" customFormat="false" ht="15" hidden="false" customHeight="false" outlineLevel="0" collapsed="false">
      <c r="A2276" s="3" t="n">
        <v>2275</v>
      </c>
      <c r="B2276" s="3" t="n">
        <v>2274</v>
      </c>
      <c r="C2276" s="3" t="n">
        <v>11</v>
      </c>
      <c r="D2276" s="3" t="n">
        <v>8</v>
      </c>
      <c r="E2276" s="3" t="n">
        <v>6</v>
      </c>
      <c r="F2276" s="24" t="n">
        <v>0</v>
      </c>
    </row>
    <row r="2277" customFormat="false" ht="15" hidden="false" customHeight="false" outlineLevel="0" collapsed="false">
      <c r="A2277" s="3" t="n">
        <v>2276</v>
      </c>
      <c r="B2277" s="3" t="n">
        <v>2275</v>
      </c>
      <c r="C2277" s="3" t="n">
        <v>11</v>
      </c>
      <c r="D2277" s="3" t="n">
        <v>8</v>
      </c>
      <c r="E2277" s="3" t="n">
        <v>7</v>
      </c>
      <c r="F2277" s="24" t="n">
        <v>0.626085281</v>
      </c>
    </row>
    <row r="2278" customFormat="false" ht="15" hidden="false" customHeight="false" outlineLevel="0" collapsed="false">
      <c r="A2278" s="3" t="n">
        <v>2277</v>
      </c>
      <c r="B2278" s="3" t="n">
        <v>2276</v>
      </c>
      <c r="C2278" s="3" t="n">
        <v>11</v>
      </c>
      <c r="D2278" s="3" t="n">
        <v>8</v>
      </c>
      <c r="E2278" s="3" t="n">
        <v>8</v>
      </c>
      <c r="F2278" s="24" t="n">
        <v>0.947160602</v>
      </c>
    </row>
    <row r="2279" customFormat="false" ht="15" hidden="false" customHeight="false" outlineLevel="0" collapsed="false">
      <c r="A2279" s="3" t="n">
        <v>2278</v>
      </c>
      <c r="B2279" s="3" t="n">
        <v>2277</v>
      </c>
      <c r="C2279" s="3" t="n">
        <v>11</v>
      </c>
      <c r="D2279" s="3" t="n">
        <v>8</v>
      </c>
      <c r="E2279" s="3" t="n">
        <v>9</v>
      </c>
      <c r="F2279" s="24" t="n">
        <v>1.64630151</v>
      </c>
    </row>
    <row r="2280" customFormat="false" ht="15" hidden="false" customHeight="false" outlineLevel="0" collapsed="false">
      <c r="A2280" s="3" t="n">
        <v>2279</v>
      </c>
      <c r="B2280" s="3" t="n">
        <v>2278</v>
      </c>
      <c r="C2280" s="3" t="n">
        <v>11</v>
      </c>
      <c r="D2280" s="3" t="n">
        <v>8</v>
      </c>
      <c r="E2280" s="3" t="n">
        <v>10</v>
      </c>
      <c r="F2280" s="24" t="n">
        <v>1.14411783</v>
      </c>
    </row>
    <row r="2281" customFormat="false" ht="15" hidden="false" customHeight="false" outlineLevel="0" collapsed="false">
      <c r="A2281" s="3" t="n">
        <v>2280</v>
      </c>
      <c r="B2281" s="3" t="n">
        <v>2279</v>
      </c>
      <c r="C2281" s="3" t="n">
        <v>11</v>
      </c>
      <c r="D2281" s="3" t="n">
        <v>8</v>
      </c>
      <c r="E2281" s="3" t="n">
        <v>11</v>
      </c>
      <c r="F2281" s="24" t="n">
        <v>0.107867628</v>
      </c>
    </row>
    <row r="2282" customFormat="false" ht="15" hidden="false" customHeight="false" outlineLevel="0" collapsed="false">
      <c r="A2282" s="3" t="n">
        <v>2281</v>
      </c>
      <c r="B2282" s="3" t="n">
        <v>2280</v>
      </c>
      <c r="C2282" s="3" t="n">
        <v>11</v>
      </c>
      <c r="D2282" s="3" t="n">
        <v>8</v>
      </c>
      <c r="E2282" s="3" t="n">
        <v>12</v>
      </c>
      <c r="F2282" s="24" t="n">
        <v>0.162026316</v>
      </c>
    </row>
    <row r="2283" customFormat="false" ht="15" hidden="false" customHeight="false" outlineLevel="0" collapsed="false">
      <c r="A2283" s="3" t="n">
        <v>2282</v>
      </c>
      <c r="B2283" s="3" t="n">
        <v>2281</v>
      </c>
      <c r="C2283" s="3" t="n">
        <v>11</v>
      </c>
      <c r="D2283" s="3" t="n">
        <v>8</v>
      </c>
      <c r="E2283" s="3" t="n">
        <v>13</v>
      </c>
      <c r="F2283" s="24" t="n">
        <v>0</v>
      </c>
    </row>
    <row r="2284" customFormat="false" ht="15" hidden="false" customHeight="false" outlineLevel="0" collapsed="false">
      <c r="A2284" s="3" t="n">
        <v>2283</v>
      </c>
      <c r="B2284" s="3" t="n">
        <v>2282</v>
      </c>
      <c r="C2284" s="3" t="n">
        <v>11</v>
      </c>
      <c r="D2284" s="3" t="n">
        <v>9</v>
      </c>
      <c r="E2284" s="3" t="n">
        <v>0</v>
      </c>
      <c r="F2284" s="24" t="n">
        <v>0.0595110059</v>
      </c>
    </row>
    <row r="2285" customFormat="false" ht="15" hidden="false" customHeight="false" outlineLevel="0" collapsed="false">
      <c r="A2285" s="3" t="n">
        <v>2284</v>
      </c>
      <c r="B2285" s="3" t="n">
        <v>2283</v>
      </c>
      <c r="C2285" s="3" t="n">
        <v>11</v>
      </c>
      <c r="D2285" s="3" t="n">
        <v>9</v>
      </c>
      <c r="E2285" s="3" t="n">
        <v>1</v>
      </c>
      <c r="F2285" s="24" t="n">
        <v>0.123146236</v>
      </c>
    </row>
    <row r="2286" customFormat="false" ht="15" hidden="false" customHeight="false" outlineLevel="0" collapsed="false">
      <c r="A2286" s="3" t="n">
        <v>2285</v>
      </c>
      <c r="B2286" s="3" t="n">
        <v>2284</v>
      </c>
      <c r="C2286" s="3" t="n">
        <v>11</v>
      </c>
      <c r="D2286" s="3" t="n">
        <v>9</v>
      </c>
      <c r="E2286" s="3" t="n">
        <v>2</v>
      </c>
      <c r="F2286" s="24" t="n">
        <v>0.151524842</v>
      </c>
    </row>
    <row r="2287" customFormat="false" ht="15" hidden="false" customHeight="false" outlineLevel="0" collapsed="false">
      <c r="A2287" s="3" t="n">
        <v>2286</v>
      </c>
      <c r="B2287" s="3" t="n">
        <v>2285</v>
      </c>
      <c r="C2287" s="3" t="n">
        <v>11</v>
      </c>
      <c r="D2287" s="3" t="n">
        <v>9</v>
      </c>
      <c r="E2287" s="3" t="n">
        <v>3</v>
      </c>
      <c r="F2287" s="24" t="n">
        <v>0.151524842</v>
      </c>
    </row>
    <row r="2288" customFormat="false" ht="15" hidden="false" customHeight="false" outlineLevel="0" collapsed="false">
      <c r="A2288" s="3" t="n">
        <v>2287</v>
      </c>
      <c r="B2288" s="3" t="n">
        <v>2286</v>
      </c>
      <c r="C2288" s="3" t="n">
        <v>11</v>
      </c>
      <c r="D2288" s="3" t="n">
        <v>9</v>
      </c>
      <c r="E2288" s="3" t="n">
        <v>4</v>
      </c>
      <c r="F2288" s="24" t="n">
        <v>0</v>
      </c>
    </row>
    <row r="2289" customFormat="false" ht="15" hidden="false" customHeight="false" outlineLevel="0" collapsed="false">
      <c r="A2289" s="3" t="n">
        <v>2288</v>
      </c>
      <c r="B2289" s="3" t="n">
        <v>2287</v>
      </c>
      <c r="C2289" s="3" t="n">
        <v>11</v>
      </c>
      <c r="D2289" s="3" t="n">
        <v>9</v>
      </c>
      <c r="E2289" s="3" t="n">
        <v>5</v>
      </c>
      <c r="F2289" s="24" t="n">
        <v>0</v>
      </c>
    </row>
    <row r="2290" customFormat="false" ht="15" hidden="false" customHeight="false" outlineLevel="0" collapsed="false">
      <c r="A2290" s="3" t="n">
        <v>2289</v>
      </c>
      <c r="B2290" s="3" t="n">
        <v>2288</v>
      </c>
      <c r="C2290" s="3" t="n">
        <v>11</v>
      </c>
      <c r="D2290" s="3" t="n">
        <v>9</v>
      </c>
      <c r="E2290" s="3" t="n">
        <v>6</v>
      </c>
      <c r="F2290" s="24" t="n">
        <v>0.0453457832</v>
      </c>
    </row>
    <row r="2291" customFormat="false" ht="15" hidden="false" customHeight="false" outlineLevel="0" collapsed="false">
      <c r="A2291" s="3" t="n">
        <v>2290</v>
      </c>
      <c r="B2291" s="3" t="n">
        <v>2289</v>
      </c>
      <c r="C2291" s="3" t="n">
        <v>11</v>
      </c>
      <c r="D2291" s="3" t="n">
        <v>9</v>
      </c>
      <c r="E2291" s="3" t="n">
        <v>7</v>
      </c>
      <c r="F2291" s="24" t="n">
        <v>2.03940058</v>
      </c>
    </row>
    <row r="2292" customFormat="false" ht="15" hidden="false" customHeight="false" outlineLevel="0" collapsed="false">
      <c r="A2292" s="3" t="n">
        <v>2291</v>
      </c>
      <c r="B2292" s="3" t="n">
        <v>2290</v>
      </c>
      <c r="C2292" s="3" t="n">
        <v>11</v>
      </c>
      <c r="D2292" s="3" t="n">
        <v>9</v>
      </c>
      <c r="E2292" s="3" t="n">
        <v>8</v>
      </c>
      <c r="F2292" s="24" t="n">
        <v>1.14568973</v>
      </c>
    </row>
    <row r="2293" customFormat="false" ht="15" hidden="false" customHeight="false" outlineLevel="0" collapsed="false">
      <c r="A2293" s="3" t="n">
        <v>2292</v>
      </c>
      <c r="B2293" s="3" t="n">
        <v>2291</v>
      </c>
      <c r="C2293" s="3" t="n">
        <v>11</v>
      </c>
      <c r="D2293" s="3" t="n">
        <v>9</v>
      </c>
      <c r="E2293" s="3" t="n">
        <v>9</v>
      </c>
      <c r="F2293" s="24" t="n">
        <v>1.96462929</v>
      </c>
    </row>
    <row r="2294" customFormat="false" ht="15" hidden="false" customHeight="false" outlineLevel="0" collapsed="false">
      <c r="A2294" s="3" t="n">
        <v>2293</v>
      </c>
      <c r="B2294" s="3" t="n">
        <v>2292</v>
      </c>
      <c r="C2294" s="3" t="n">
        <v>11</v>
      </c>
      <c r="D2294" s="3" t="n">
        <v>9</v>
      </c>
      <c r="E2294" s="3" t="n">
        <v>10</v>
      </c>
      <c r="F2294" s="24" t="n">
        <v>0.174791098</v>
      </c>
    </row>
    <row r="2295" customFormat="false" ht="15" hidden="false" customHeight="false" outlineLevel="0" collapsed="false">
      <c r="A2295" s="3" t="n">
        <v>2294</v>
      </c>
      <c r="B2295" s="3" t="n">
        <v>2293</v>
      </c>
      <c r="C2295" s="3" t="n">
        <v>11</v>
      </c>
      <c r="D2295" s="3" t="n">
        <v>9</v>
      </c>
      <c r="E2295" s="3" t="n">
        <v>11</v>
      </c>
      <c r="F2295" s="24" t="n">
        <v>0.150595397</v>
      </c>
    </row>
    <row r="2296" customFormat="false" ht="15" hidden="false" customHeight="false" outlineLevel="0" collapsed="false">
      <c r="A2296" s="3" t="n">
        <v>2295</v>
      </c>
      <c r="B2296" s="3" t="n">
        <v>2294</v>
      </c>
      <c r="C2296" s="3" t="n">
        <v>11</v>
      </c>
      <c r="D2296" s="3" t="n">
        <v>9</v>
      </c>
      <c r="E2296" s="3" t="n">
        <v>12</v>
      </c>
      <c r="F2296" s="24" t="n">
        <v>0.162026316</v>
      </c>
    </row>
    <row r="2297" customFormat="false" ht="15" hidden="false" customHeight="false" outlineLevel="0" collapsed="false">
      <c r="A2297" s="3" t="n">
        <v>2296</v>
      </c>
      <c r="B2297" s="3" t="n">
        <v>2295</v>
      </c>
      <c r="C2297" s="3" t="n">
        <v>11</v>
      </c>
      <c r="D2297" s="3" t="n">
        <v>9</v>
      </c>
      <c r="E2297" s="3" t="n">
        <v>13</v>
      </c>
      <c r="F2297" s="24" t="n">
        <v>0</v>
      </c>
    </row>
    <row r="2298" customFormat="false" ht="15" hidden="false" customHeight="false" outlineLevel="0" collapsed="false">
      <c r="A2298" s="3" t="n">
        <v>2297</v>
      </c>
      <c r="B2298" s="3" t="n">
        <v>2296</v>
      </c>
      <c r="C2298" s="3" t="n">
        <v>11</v>
      </c>
      <c r="D2298" s="3" t="n">
        <v>10</v>
      </c>
      <c r="E2298" s="3" t="n">
        <v>0</v>
      </c>
      <c r="F2298" s="24" t="n">
        <v>0.0595110059</v>
      </c>
    </row>
    <row r="2299" customFormat="false" ht="15" hidden="false" customHeight="false" outlineLevel="0" collapsed="false">
      <c r="A2299" s="3" t="n">
        <v>2298</v>
      </c>
      <c r="B2299" s="3" t="n">
        <v>2297</v>
      </c>
      <c r="C2299" s="3" t="n">
        <v>11</v>
      </c>
      <c r="D2299" s="3" t="n">
        <v>10</v>
      </c>
      <c r="E2299" s="3" t="n">
        <v>1</v>
      </c>
      <c r="F2299" s="24" t="n">
        <v>0.123146236</v>
      </c>
    </row>
    <row r="2300" customFormat="false" ht="15" hidden="false" customHeight="false" outlineLevel="0" collapsed="false">
      <c r="A2300" s="3" t="n">
        <v>2299</v>
      </c>
      <c r="B2300" s="3" t="n">
        <v>2298</v>
      </c>
      <c r="C2300" s="3" t="n">
        <v>11</v>
      </c>
      <c r="D2300" s="3" t="n">
        <v>10</v>
      </c>
      <c r="E2300" s="3" t="n">
        <v>2</v>
      </c>
      <c r="F2300" s="24" t="n">
        <v>0.151524842</v>
      </c>
    </row>
    <row r="2301" customFormat="false" ht="15" hidden="false" customHeight="false" outlineLevel="0" collapsed="false">
      <c r="A2301" s="3" t="n">
        <v>2300</v>
      </c>
      <c r="B2301" s="3" t="n">
        <v>2299</v>
      </c>
      <c r="C2301" s="3" t="n">
        <v>11</v>
      </c>
      <c r="D2301" s="3" t="n">
        <v>10</v>
      </c>
      <c r="E2301" s="3" t="n">
        <v>3</v>
      </c>
      <c r="F2301" s="24" t="n">
        <v>0.183655828</v>
      </c>
    </row>
    <row r="2302" customFormat="false" ht="15" hidden="false" customHeight="false" outlineLevel="0" collapsed="false">
      <c r="A2302" s="3" t="n">
        <v>2301</v>
      </c>
      <c r="B2302" s="3" t="n">
        <v>2300</v>
      </c>
      <c r="C2302" s="3" t="n">
        <v>11</v>
      </c>
      <c r="D2302" s="3" t="n">
        <v>10</v>
      </c>
      <c r="E2302" s="3" t="n">
        <v>4</v>
      </c>
      <c r="F2302" s="24" t="n">
        <v>0</v>
      </c>
    </row>
    <row r="2303" customFormat="false" ht="15" hidden="false" customHeight="false" outlineLevel="0" collapsed="false">
      <c r="A2303" s="3" t="n">
        <v>2302</v>
      </c>
      <c r="B2303" s="3" t="n">
        <v>2301</v>
      </c>
      <c r="C2303" s="3" t="n">
        <v>11</v>
      </c>
      <c r="D2303" s="3" t="n">
        <v>10</v>
      </c>
      <c r="E2303" s="3" t="n">
        <v>5</v>
      </c>
      <c r="F2303" s="24" t="n">
        <v>0</v>
      </c>
    </row>
    <row r="2304" customFormat="false" ht="15" hidden="false" customHeight="false" outlineLevel="0" collapsed="false">
      <c r="A2304" s="3" t="n">
        <v>2303</v>
      </c>
      <c r="B2304" s="3" t="n">
        <v>2302</v>
      </c>
      <c r="C2304" s="3" t="n">
        <v>11</v>
      </c>
      <c r="D2304" s="3" t="n">
        <v>10</v>
      </c>
      <c r="E2304" s="3" t="n">
        <v>6</v>
      </c>
      <c r="F2304" s="24" t="n">
        <v>0.717733264</v>
      </c>
    </row>
    <row r="2305" customFormat="false" ht="15" hidden="false" customHeight="false" outlineLevel="0" collapsed="false">
      <c r="A2305" s="3" t="n">
        <v>2304</v>
      </c>
      <c r="B2305" s="3" t="n">
        <v>2303</v>
      </c>
      <c r="C2305" s="3" t="n">
        <v>11</v>
      </c>
      <c r="D2305" s="3" t="n">
        <v>10</v>
      </c>
      <c r="E2305" s="3" t="n">
        <v>7</v>
      </c>
      <c r="F2305" s="24" t="n">
        <v>1.03166723</v>
      </c>
    </row>
    <row r="2306" customFormat="false" ht="15" hidden="false" customHeight="false" outlineLevel="0" collapsed="false">
      <c r="A2306" s="3" t="n">
        <v>2305</v>
      </c>
      <c r="B2306" s="3" t="n">
        <v>2304</v>
      </c>
      <c r="C2306" s="3" t="n">
        <v>11</v>
      </c>
      <c r="D2306" s="3" t="n">
        <v>10</v>
      </c>
      <c r="E2306" s="3" t="n">
        <v>8</v>
      </c>
      <c r="F2306" s="24" t="n">
        <v>1.91787517</v>
      </c>
    </row>
    <row r="2307" customFormat="false" ht="15" hidden="false" customHeight="false" outlineLevel="0" collapsed="false">
      <c r="A2307" s="3" t="n">
        <v>2306</v>
      </c>
      <c r="B2307" s="3" t="n">
        <v>2305</v>
      </c>
      <c r="C2307" s="3" t="n">
        <v>11</v>
      </c>
      <c r="D2307" s="3" t="n">
        <v>10</v>
      </c>
      <c r="E2307" s="3" t="n">
        <v>9</v>
      </c>
      <c r="F2307" s="24" t="n">
        <v>0.852997422</v>
      </c>
    </row>
    <row r="2308" customFormat="false" ht="15" hidden="false" customHeight="false" outlineLevel="0" collapsed="false">
      <c r="A2308" s="3" t="n">
        <v>2307</v>
      </c>
      <c r="B2308" s="3" t="n">
        <v>2306</v>
      </c>
      <c r="C2308" s="3" t="n">
        <v>11</v>
      </c>
      <c r="D2308" s="3" t="n">
        <v>10</v>
      </c>
      <c r="E2308" s="3" t="n">
        <v>10</v>
      </c>
      <c r="F2308" s="24" t="n">
        <v>0.120473146</v>
      </c>
    </row>
    <row r="2309" customFormat="false" ht="15" hidden="false" customHeight="false" outlineLevel="0" collapsed="false">
      <c r="A2309" s="3" t="n">
        <v>2308</v>
      </c>
      <c r="B2309" s="3" t="n">
        <v>2307</v>
      </c>
      <c r="C2309" s="3" t="n">
        <v>11</v>
      </c>
      <c r="D2309" s="3" t="n">
        <v>10</v>
      </c>
      <c r="E2309" s="3" t="n">
        <v>11</v>
      </c>
      <c r="F2309" s="24" t="n">
        <v>0.151524842</v>
      </c>
    </row>
    <row r="2310" customFormat="false" ht="15" hidden="false" customHeight="false" outlineLevel="0" collapsed="false">
      <c r="A2310" s="3" t="n">
        <v>2309</v>
      </c>
      <c r="B2310" s="3" t="n">
        <v>2308</v>
      </c>
      <c r="C2310" s="3" t="n">
        <v>11</v>
      </c>
      <c r="D2310" s="3" t="n">
        <v>10</v>
      </c>
      <c r="E2310" s="3" t="n">
        <v>12</v>
      </c>
      <c r="F2310" s="24" t="n">
        <v>0.162026316</v>
      </c>
    </row>
    <row r="2311" customFormat="false" ht="15" hidden="false" customHeight="false" outlineLevel="0" collapsed="false">
      <c r="A2311" s="3" t="n">
        <v>2310</v>
      </c>
      <c r="B2311" s="3" t="n">
        <v>2309</v>
      </c>
      <c r="C2311" s="3" t="n">
        <v>11</v>
      </c>
      <c r="D2311" s="3" t="n">
        <v>10</v>
      </c>
      <c r="E2311" s="3" t="n">
        <v>13</v>
      </c>
      <c r="F2311" s="24" t="n">
        <v>0</v>
      </c>
    </row>
    <row r="2312" customFormat="false" ht="15" hidden="false" customHeight="false" outlineLevel="0" collapsed="false">
      <c r="A2312" s="3" t="n">
        <v>2311</v>
      </c>
      <c r="B2312" s="3" t="n">
        <v>2310</v>
      </c>
      <c r="C2312" s="3" t="n">
        <v>11</v>
      </c>
      <c r="D2312" s="3" t="n">
        <v>11</v>
      </c>
      <c r="E2312" s="3" t="n">
        <v>0</v>
      </c>
      <c r="F2312" s="24" t="n">
        <v>0.0595110059</v>
      </c>
    </row>
    <row r="2313" customFormat="false" ht="15" hidden="false" customHeight="false" outlineLevel="0" collapsed="false">
      <c r="A2313" s="3" t="n">
        <v>2312</v>
      </c>
      <c r="B2313" s="3" t="n">
        <v>2311</v>
      </c>
      <c r="C2313" s="3" t="n">
        <v>11</v>
      </c>
      <c r="D2313" s="3" t="n">
        <v>11</v>
      </c>
      <c r="E2313" s="3" t="n">
        <v>1</v>
      </c>
      <c r="F2313" s="24" t="n">
        <v>0.123146236</v>
      </c>
    </row>
    <row r="2314" customFormat="false" ht="15" hidden="false" customHeight="false" outlineLevel="0" collapsed="false">
      <c r="A2314" s="3" t="n">
        <v>2313</v>
      </c>
      <c r="B2314" s="3" t="n">
        <v>2312</v>
      </c>
      <c r="C2314" s="3" t="n">
        <v>11</v>
      </c>
      <c r="D2314" s="3" t="n">
        <v>11</v>
      </c>
      <c r="E2314" s="3" t="n">
        <v>2</v>
      </c>
      <c r="F2314" s="24" t="n">
        <v>0.151524842</v>
      </c>
    </row>
    <row r="2315" customFormat="false" ht="15" hidden="false" customHeight="false" outlineLevel="0" collapsed="false">
      <c r="A2315" s="3" t="n">
        <v>2314</v>
      </c>
      <c r="B2315" s="3" t="n">
        <v>2313</v>
      </c>
      <c r="C2315" s="3" t="n">
        <v>11</v>
      </c>
      <c r="D2315" s="3" t="n">
        <v>11</v>
      </c>
      <c r="E2315" s="3" t="n">
        <v>3</v>
      </c>
      <c r="F2315" s="24" t="n">
        <v>0</v>
      </c>
    </row>
    <row r="2316" customFormat="false" ht="15" hidden="false" customHeight="false" outlineLevel="0" collapsed="false">
      <c r="A2316" s="3" t="n">
        <v>2315</v>
      </c>
      <c r="B2316" s="3" t="n">
        <v>2314</v>
      </c>
      <c r="C2316" s="3" t="n">
        <v>11</v>
      </c>
      <c r="D2316" s="3" t="n">
        <v>11</v>
      </c>
      <c r="E2316" s="3" t="n">
        <v>4</v>
      </c>
      <c r="F2316" s="24" t="n">
        <v>0</v>
      </c>
    </row>
    <row r="2317" customFormat="false" ht="15" hidden="false" customHeight="false" outlineLevel="0" collapsed="false">
      <c r="A2317" s="3" t="n">
        <v>2316</v>
      </c>
      <c r="B2317" s="3" t="n">
        <v>2315</v>
      </c>
      <c r="C2317" s="3" t="n">
        <v>11</v>
      </c>
      <c r="D2317" s="3" t="n">
        <v>11</v>
      </c>
      <c r="E2317" s="3" t="n">
        <v>5</v>
      </c>
      <c r="F2317" s="24" t="n">
        <v>0</v>
      </c>
    </row>
    <row r="2318" customFormat="false" ht="15" hidden="false" customHeight="false" outlineLevel="0" collapsed="false">
      <c r="A2318" s="3" t="n">
        <v>2317</v>
      </c>
      <c r="B2318" s="3" t="n">
        <v>2316</v>
      </c>
      <c r="C2318" s="3" t="n">
        <v>11</v>
      </c>
      <c r="D2318" s="3" t="n">
        <v>11</v>
      </c>
      <c r="E2318" s="3" t="n">
        <v>6</v>
      </c>
      <c r="F2318" s="24" t="n">
        <v>0.467497081</v>
      </c>
    </row>
    <row r="2319" customFormat="false" ht="15" hidden="false" customHeight="false" outlineLevel="0" collapsed="false">
      <c r="A2319" s="3" t="n">
        <v>2318</v>
      </c>
      <c r="B2319" s="3" t="n">
        <v>2317</v>
      </c>
      <c r="C2319" s="3" t="n">
        <v>11</v>
      </c>
      <c r="D2319" s="3" t="n">
        <v>11</v>
      </c>
      <c r="E2319" s="3" t="n">
        <v>7</v>
      </c>
      <c r="F2319" s="24" t="n">
        <v>1.17592061</v>
      </c>
    </row>
    <row r="2320" customFormat="false" ht="15" hidden="false" customHeight="false" outlineLevel="0" collapsed="false">
      <c r="A2320" s="3" t="n">
        <v>2319</v>
      </c>
      <c r="B2320" s="3" t="n">
        <v>2318</v>
      </c>
      <c r="C2320" s="3" t="n">
        <v>11</v>
      </c>
      <c r="D2320" s="3" t="n">
        <v>11</v>
      </c>
      <c r="E2320" s="3" t="n">
        <v>8</v>
      </c>
      <c r="F2320" s="24" t="n">
        <v>1.61832798</v>
      </c>
    </row>
    <row r="2321" customFormat="false" ht="15" hidden="false" customHeight="false" outlineLevel="0" collapsed="false">
      <c r="A2321" s="3" t="n">
        <v>2320</v>
      </c>
      <c r="B2321" s="3" t="n">
        <v>2319</v>
      </c>
      <c r="C2321" s="3" t="n">
        <v>11</v>
      </c>
      <c r="D2321" s="3" t="n">
        <v>11</v>
      </c>
      <c r="E2321" s="3" t="n">
        <v>9</v>
      </c>
      <c r="F2321" s="24" t="n">
        <v>0.112235934</v>
      </c>
    </row>
    <row r="2322" customFormat="false" ht="15" hidden="false" customHeight="false" outlineLevel="0" collapsed="false">
      <c r="A2322" s="3" t="n">
        <v>2321</v>
      </c>
      <c r="B2322" s="3" t="n">
        <v>2320</v>
      </c>
      <c r="C2322" s="3" t="n">
        <v>11</v>
      </c>
      <c r="D2322" s="3" t="n">
        <v>11</v>
      </c>
      <c r="E2322" s="3" t="n">
        <v>10</v>
      </c>
      <c r="F2322" s="24" t="n">
        <v>0.151524842</v>
      </c>
    </row>
    <row r="2323" customFormat="false" ht="15" hidden="false" customHeight="false" outlineLevel="0" collapsed="false">
      <c r="A2323" s="3" t="n">
        <v>2322</v>
      </c>
      <c r="B2323" s="3" t="n">
        <v>2321</v>
      </c>
      <c r="C2323" s="3" t="n">
        <v>11</v>
      </c>
      <c r="D2323" s="3" t="n">
        <v>11</v>
      </c>
      <c r="E2323" s="3" t="n">
        <v>11</v>
      </c>
      <c r="F2323" s="24" t="n">
        <v>0.151524842</v>
      </c>
    </row>
    <row r="2324" customFormat="false" ht="15" hidden="false" customHeight="false" outlineLevel="0" collapsed="false">
      <c r="A2324" s="3" t="n">
        <v>2323</v>
      </c>
      <c r="B2324" s="3" t="n">
        <v>2322</v>
      </c>
      <c r="C2324" s="3" t="n">
        <v>11</v>
      </c>
      <c r="D2324" s="3" t="n">
        <v>11</v>
      </c>
      <c r="E2324" s="3" t="n">
        <v>12</v>
      </c>
      <c r="F2324" s="24" t="n">
        <v>0.162026316</v>
      </c>
    </row>
    <row r="2325" customFormat="false" ht="15" hidden="false" customHeight="false" outlineLevel="0" collapsed="false">
      <c r="A2325" s="3" t="n">
        <v>2324</v>
      </c>
      <c r="B2325" s="3" t="n">
        <v>2323</v>
      </c>
      <c r="C2325" s="3" t="n">
        <v>11</v>
      </c>
      <c r="D2325" s="3" t="n">
        <v>11</v>
      </c>
      <c r="E2325" s="3" t="n">
        <v>13</v>
      </c>
      <c r="F2325" s="24" t="n">
        <v>0</v>
      </c>
    </row>
    <row r="2326" customFormat="false" ht="15" hidden="false" customHeight="false" outlineLevel="0" collapsed="false">
      <c r="A2326" s="3" t="n">
        <v>2325</v>
      </c>
      <c r="B2326" s="3" t="n">
        <v>2324</v>
      </c>
      <c r="C2326" s="3" t="n">
        <v>11</v>
      </c>
      <c r="D2326" s="3" t="n">
        <v>12</v>
      </c>
      <c r="E2326" s="3" t="n">
        <v>0</v>
      </c>
      <c r="F2326" s="24" t="n">
        <v>0</v>
      </c>
    </row>
    <row r="2327" customFormat="false" ht="15" hidden="false" customHeight="false" outlineLevel="0" collapsed="false">
      <c r="A2327" s="3" t="n">
        <v>2326</v>
      </c>
      <c r="B2327" s="3" t="n">
        <v>2325</v>
      </c>
      <c r="C2327" s="3" t="n">
        <v>11</v>
      </c>
      <c r="D2327" s="3" t="n">
        <v>12</v>
      </c>
      <c r="E2327" s="3" t="n">
        <v>1</v>
      </c>
      <c r="F2327" s="24" t="n">
        <v>0</v>
      </c>
    </row>
    <row r="2328" customFormat="false" ht="15" hidden="false" customHeight="false" outlineLevel="0" collapsed="false">
      <c r="A2328" s="3" t="n">
        <v>2327</v>
      </c>
      <c r="B2328" s="3" t="n">
        <v>2326</v>
      </c>
      <c r="C2328" s="3" t="n">
        <v>11</v>
      </c>
      <c r="D2328" s="3" t="n">
        <v>12</v>
      </c>
      <c r="E2328" s="3" t="n">
        <v>2</v>
      </c>
      <c r="F2328" s="24" t="n">
        <v>0</v>
      </c>
    </row>
    <row r="2329" customFormat="false" ht="15" hidden="false" customHeight="false" outlineLevel="0" collapsed="false">
      <c r="A2329" s="3" t="n">
        <v>2328</v>
      </c>
      <c r="B2329" s="3" t="n">
        <v>2327</v>
      </c>
      <c r="C2329" s="3" t="n">
        <v>11</v>
      </c>
      <c r="D2329" s="3" t="n">
        <v>12</v>
      </c>
      <c r="E2329" s="3" t="n">
        <v>3</v>
      </c>
      <c r="F2329" s="24" t="n">
        <v>0</v>
      </c>
    </row>
    <row r="2330" customFormat="false" ht="15" hidden="false" customHeight="false" outlineLevel="0" collapsed="false">
      <c r="A2330" s="3" t="n">
        <v>2329</v>
      </c>
      <c r="B2330" s="3" t="n">
        <v>2328</v>
      </c>
      <c r="C2330" s="3" t="n">
        <v>11</v>
      </c>
      <c r="D2330" s="3" t="n">
        <v>12</v>
      </c>
      <c r="E2330" s="3" t="n">
        <v>4</v>
      </c>
      <c r="F2330" s="24" t="n">
        <v>2.16262627</v>
      </c>
    </row>
    <row r="2331" customFormat="false" ht="15" hidden="false" customHeight="false" outlineLevel="0" collapsed="false">
      <c r="A2331" s="3" t="n">
        <v>2330</v>
      </c>
      <c r="B2331" s="3" t="n">
        <v>2329</v>
      </c>
      <c r="C2331" s="3" t="n">
        <v>11</v>
      </c>
      <c r="D2331" s="3" t="n">
        <v>12</v>
      </c>
      <c r="E2331" s="3" t="n">
        <v>5</v>
      </c>
      <c r="F2331" s="24" t="n">
        <v>3.72680616</v>
      </c>
    </row>
    <row r="2332" customFormat="false" ht="15" hidden="false" customHeight="false" outlineLevel="0" collapsed="false">
      <c r="A2332" s="3" t="n">
        <v>2331</v>
      </c>
      <c r="B2332" s="3" t="n">
        <v>2330</v>
      </c>
      <c r="C2332" s="3" t="n">
        <v>11</v>
      </c>
      <c r="D2332" s="3" t="n">
        <v>12</v>
      </c>
      <c r="E2332" s="3" t="n">
        <v>6</v>
      </c>
      <c r="F2332" s="24" t="n">
        <v>3.15938616</v>
      </c>
    </row>
    <row r="2333" customFormat="false" ht="15" hidden="false" customHeight="false" outlineLevel="0" collapsed="false">
      <c r="A2333" s="3" t="n">
        <v>2332</v>
      </c>
      <c r="B2333" s="3" t="n">
        <v>2331</v>
      </c>
      <c r="C2333" s="3" t="n">
        <v>11</v>
      </c>
      <c r="D2333" s="3" t="n">
        <v>12</v>
      </c>
      <c r="E2333" s="3" t="n">
        <v>7</v>
      </c>
      <c r="F2333" s="24" t="n">
        <v>2.99140549</v>
      </c>
    </row>
    <row r="2334" customFormat="false" ht="15" hidden="false" customHeight="false" outlineLevel="0" collapsed="false">
      <c r="A2334" s="3" t="n">
        <v>2333</v>
      </c>
      <c r="B2334" s="3" t="n">
        <v>2332</v>
      </c>
      <c r="C2334" s="3" t="n">
        <v>11</v>
      </c>
      <c r="D2334" s="3" t="n">
        <v>12</v>
      </c>
      <c r="E2334" s="3" t="n">
        <v>8</v>
      </c>
      <c r="F2334" s="24" t="n">
        <v>0.49886921</v>
      </c>
    </row>
    <row r="2335" customFormat="false" ht="15" hidden="false" customHeight="false" outlineLevel="0" collapsed="false">
      <c r="A2335" s="3" t="n">
        <v>2334</v>
      </c>
      <c r="B2335" s="3" t="n">
        <v>2333</v>
      </c>
      <c r="C2335" s="3" t="n">
        <v>11</v>
      </c>
      <c r="D2335" s="3" t="n">
        <v>12</v>
      </c>
      <c r="E2335" s="3" t="n">
        <v>9</v>
      </c>
      <c r="F2335" s="24" t="n">
        <v>0</v>
      </c>
    </row>
    <row r="2336" customFormat="false" ht="15" hidden="false" customHeight="false" outlineLevel="0" collapsed="false">
      <c r="A2336" s="3" t="n">
        <v>2335</v>
      </c>
      <c r="B2336" s="3" t="n">
        <v>2334</v>
      </c>
      <c r="C2336" s="3" t="n">
        <v>11</v>
      </c>
      <c r="D2336" s="3" t="n">
        <v>12</v>
      </c>
      <c r="E2336" s="3" t="n">
        <v>10</v>
      </c>
      <c r="F2336" s="24" t="n">
        <v>0</v>
      </c>
    </row>
    <row r="2337" customFormat="false" ht="15" hidden="false" customHeight="false" outlineLevel="0" collapsed="false">
      <c r="A2337" s="3" t="n">
        <v>2336</v>
      </c>
      <c r="B2337" s="3" t="n">
        <v>2335</v>
      </c>
      <c r="C2337" s="3" t="n">
        <v>11</v>
      </c>
      <c r="D2337" s="3" t="n">
        <v>12</v>
      </c>
      <c r="E2337" s="3" t="n">
        <v>11</v>
      </c>
      <c r="F2337" s="24" t="n">
        <v>0</v>
      </c>
    </row>
    <row r="2338" customFormat="false" ht="15" hidden="false" customHeight="false" outlineLevel="0" collapsed="false">
      <c r="A2338" s="3" t="n">
        <v>2337</v>
      </c>
      <c r="B2338" s="3" t="n">
        <v>2336</v>
      </c>
      <c r="C2338" s="3" t="n">
        <v>11</v>
      </c>
      <c r="D2338" s="3" t="n">
        <v>12</v>
      </c>
      <c r="E2338" s="3" t="n">
        <v>12</v>
      </c>
      <c r="F2338" s="24" t="n">
        <v>0</v>
      </c>
    </row>
    <row r="2339" customFormat="false" ht="15" hidden="false" customHeight="false" outlineLevel="0" collapsed="false">
      <c r="A2339" s="3" t="n">
        <v>2338</v>
      </c>
      <c r="B2339" s="3" t="n">
        <v>2337</v>
      </c>
      <c r="C2339" s="3" t="n">
        <v>11</v>
      </c>
      <c r="D2339" s="3" t="n">
        <v>12</v>
      </c>
      <c r="E2339" s="3" t="n">
        <v>13</v>
      </c>
      <c r="F2339" s="24" t="n">
        <v>0</v>
      </c>
    </row>
    <row r="2340" customFormat="false" ht="15" hidden="false" customHeight="false" outlineLevel="0" collapsed="false">
      <c r="A2340" s="3" t="n">
        <v>2339</v>
      </c>
      <c r="B2340" s="3" t="n">
        <v>2338</v>
      </c>
      <c r="C2340" s="3" t="n">
        <v>11</v>
      </c>
      <c r="D2340" s="3" t="n">
        <v>13</v>
      </c>
      <c r="E2340" s="3" t="n">
        <v>0</v>
      </c>
      <c r="F2340" s="24" t="n">
        <v>0</v>
      </c>
    </row>
    <row r="2341" customFormat="false" ht="15" hidden="false" customHeight="false" outlineLevel="0" collapsed="false">
      <c r="A2341" s="3" t="n">
        <v>2340</v>
      </c>
      <c r="B2341" s="3" t="n">
        <v>2339</v>
      </c>
      <c r="C2341" s="3" t="n">
        <v>11</v>
      </c>
      <c r="D2341" s="3" t="n">
        <v>13</v>
      </c>
      <c r="E2341" s="3" t="n">
        <v>1</v>
      </c>
      <c r="F2341" s="24" t="n">
        <v>0</v>
      </c>
    </row>
    <row r="2342" customFormat="false" ht="15" hidden="false" customHeight="false" outlineLevel="0" collapsed="false">
      <c r="A2342" s="3" t="n">
        <v>2341</v>
      </c>
      <c r="B2342" s="3" t="n">
        <v>2340</v>
      </c>
      <c r="C2342" s="3" t="n">
        <v>11</v>
      </c>
      <c r="D2342" s="3" t="n">
        <v>13</v>
      </c>
      <c r="E2342" s="3" t="n">
        <v>2</v>
      </c>
      <c r="F2342" s="24" t="n">
        <v>0</v>
      </c>
    </row>
    <row r="2343" customFormat="false" ht="15" hidden="false" customHeight="false" outlineLevel="0" collapsed="false">
      <c r="A2343" s="3" t="n">
        <v>2342</v>
      </c>
      <c r="B2343" s="3" t="n">
        <v>2341</v>
      </c>
      <c r="C2343" s="3" t="n">
        <v>11</v>
      </c>
      <c r="D2343" s="3" t="n">
        <v>13</v>
      </c>
      <c r="E2343" s="3" t="n">
        <v>3</v>
      </c>
      <c r="F2343" s="24" t="n">
        <v>0.207174689</v>
      </c>
    </row>
    <row r="2344" customFormat="false" ht="15" hidden="false" customHeight="false" outlineLevel="0" collapsed="false">
      <c r="A2344" s="3" t="n">
        <v>2343</v>
      </c>
      <c r="B2344" s="3" t="n">
        <v>2342</v>
      </c>
      <c r="C2344" s="3" t="n">
        <v>11</v>
      </c>
      <c r="D2344" s="3" t="n">
        <v>13</v>
      </c>
      <c r="E2344" s="3" t="n">
        <v>4</v>
      </c>
      <c r="F2344" s="24" t="n">
        <v>2.71044421</v>
      </c>
    </row>
    <row r="2345" customFormat="false" ht="15" hidden="false" customHeight="false" outlineLevel="0" collapsed="false">
      <c r="A2345" s="3" t="n">
        <v>2344</v>
      </c>
      <c r="B2345" s="3" t="n">
        <v>2343</v>
      </c>
      <c r="C2345" s="3" t="n">
        <v>11</v>
      </c>
      <c r="D2345" s="3" t="n">
        <v>13</v>
      </c>
      <c r="E2345" s="3" t="n">
        <v>5</v>
      </c>
      <c r="F2345" s="24" t="n">
        <v>2.05137849</v>
      </c>
    </row>
    <row r="2346" customFormat="false" ht="15" hidden="false" customHeight="false" outlineLevel="0" collapsed="false">
      <c r="A2346" s="3" t="n">
        <v>2345</v>
      </c>
      <c r="B2346" s="3" t="n">
        <v>2344</v>
      </c>
      <c r="C2346" s="3" t="n">
        <v>11</v>
      </c>
      <c r="D2346" s="3" t="n">
        <v>13</v>
      </c>
      <c r="E2346" s="3" t="n">
        <v>6</v>
      </c>
      <c r="F2346" s="24" t="n">
        <v>1.3640635</v>
      </c>
    </row>
    <row r="2347" customFormat="false" ht="15" hidden="false" customHeight="false" outlineLevel="0" collapsed="false">
      <c r="A2347" s="3" t="n">
        <v>2346</v>
      </c>
      <c r="B2347" s="3" t="n">
        <v>2345</v>
      </c>
      <c r="C2347" s="3" t="n">
        <v>11</v>
      </c>
      <c r="D2347" s="3" t="n">
        <v>13</v>
      </c>
      <c r="E2347" s="3" t="n">
        <v>7</v>
      </c>
      <c r="F2347" s="24" t="n">
        <v>1.03103471</v>
      </c>
    </row>
    <row r="2348" customFormat="false" ht="15" hidden="false" customHeight="false" outlineLevel="0" collapsed="false">
      <c r="A2348" s="3" t="n">
        <v>2347</v>
      </c>
      <c r="B2348" s="3" t="n">
        <v>2346</v>
      </c>
      <c r="C2348" s="3" t="n">
        <v>11</v>
      </c>
      <c r="D2348" s="3" t="n">
        <v>13</v>
      </c>
      <c r="E2348" s="3" t="n">
        <v>8</v>
      </c>
      <c r="F2348" s="24" t="n">
        <v>0</v>
      </c>
    </row>
    <row r="2349" customFormat="false" ht="15" hidden="false" customHeight="false" outlineLevel="0" collapsed="false">
      <c r="A2349" s="3" t="n">
        <v>2348</v>
      </c>
      <c r="B2349" s="3" t="n">
        <v>2347</v>
      </c>
      <c r="C2349" s="3" t="n">
        <v>11</v>
      </c>
      <c r="D2349" s="3" t="n">
        <v>13</v>
      </c>
      <c r="E2349" s="3" t="n">
        <v>9</v>
      </c>
      <c r="F2349" s="24" t="n">
        <v>0</v>
      </c>
    </row>
    <row r="2350" customFormat="false" ht="15" hidden="false" customHeight="false" outlineLevel="0" collapsed="false">
      <c r="A2350" s="3" t="n">
        <v>2349</v>
      </c>
      <c r="B2350" s="3" t="n">
        <v>2348</v>
      </c>
      <c r="C2350" s="3" t="n">
        <v>11</v>
      </c>
      <c r="D2350" s="3" t="n">
        <v>13</v>
      </c>
      <c r="E2350" s="3" t="n">
        <v>10</v>
      </c>
      <c r="F2350" s="24" t="n">
        <v>0</v>
      </c>
    </row>
    <row r="2351" customFormat="false" ht="15" hidden="false" customHeight="false" outlineLevel="0" collapsed="false">
      <c r="A2351" s="3" t="n">
        <v>2350</v>
      </c>
      <c r="B2351" s="3" t="n">
        <v>2349</v>
      </c>
      <c r="C2351" s="3" t="n">
        <v>11</v>
      </c>
      <c r="D2351" s="3" t="n">
        <v>13</v>
      </c>
      <c r="E2351" s="3" t="n">
        <v>11</v>
      </c>
      <c r="F2351" s="24" t="n">
        <v>0</v>
      </c>
    </row>
    <row r="2352" customFormat="false" ht="15" hidden="false" customHeight="false" outlineLevel="0" collapsed="false">
      <c r="A2352" s="3" t="n">
        <v>2351</v>
      </c>
      <c r="B2352" s="3" t="n">
        <v>2350</v>
      </c>
      <c r="C2352" s="3" t="n">
        <v>11</v>
      </c>
      <c r="D2352" s="3" t="n">
        <v>13</v>
      </c>
      <c r="E2352" s="3" t="n">
        <v>12</v>
      </c>
      <c r="F2352" s="24" t="n">
        <v>0</v>
      </c>
    </row>
    <row r="2353" customFormat="false" ht="15" hidden="false" customHeight="false" outlineLevel="0" collapsed="false">
      <c r="A2353" s="3" t="n">
        <v>2352</v>
      </c>
      <c r="B2353" s="3" t="n">
        <v>2351</v>
      </c>
      <c r="C2353" s="3" t="n">
        <v>11</v>
      </c>
      <c r="D2353" s="3" t="n">
        <v>13</v>
      </c>
      <c r="E2353" s="3" t="n">
        <v>13</v>
      </c>
      <c r="F2353" s="24" t="n">
        <v>0</v>
      </c>
    </row>
    <row r="2354" customFormat="false" ht="15" hidden="false" customHeight="false" outlineLevel="0" collapsed="false">
      <c r="A2354" s="3" t="n">
        <v>2353</v>
      </c>
      <c r="B2354" s="3" t="n">
        <v>2352</v>
      </c>
      <c r="C2354" s="3" t="n">
        <v>12</v>
      </c>
      <c r="D2354" s="3" t="n">
        <v>0</v>
      </c>
      <c r="E2354" s="3" t="n">
        <v>0</v>
      </c>
      <c r="F2354" s="24" t="n">
        <v>0</v>
      </c>
    </row>
    <row r="2355" customFormat="false" ht="15" hidden="false" customHeight="false" outlineLevel="0" collapsed="false">
      <c r="A2355" s="3" t="n">
        <v>2354</v>
      </c>
      <c r="B2355" s="3" t="n">
        <v>2353</v>
      </c>
      <c r="C2355" s="3" t="n">
        <v>12</v>
      </c>
      <c r="D2355" s="3" t="n">
        <v>0</v>
      </c>
      <c r="E2355" s="3" t="n">
        <v>1</v>
      </c>
      <c r="F2355" s="24" t="n">
        <v>0</v>
      </c>
    </row>
    <row r="2356" customFormat="false" ht="15" hidden="false" customHeight="false" outlineLevel="0" collapsed="false">
      <c r="A2356" s="3" t="n">
        <v>2355</v>
      </c>
      <c r="B2356" s="3" t="n">
        <v>2354</v>
      </c>
      <c r="C2356" s="3" t="n">
        <v>12</v>
      </c>
      <c r="D2356" s="3" t="n">
        <v>0</v>
      </c>
      <c r="E2356" s="3" t="n">
        <v>2</v>
      </c>
      <c r="F2356" s="24" t="n">
        <v>0</v>
      </c>
    </row>
    <row r="2357" customFormat="false" ht="15" hidden="false" customHeight="false" outlineLevel="0" collapsed="false">
      <c r="A2357" s="3" t="n">
        <v>2356</v>
      </c>
      <c r="B2357" s="3" t="n">
        <v>2355</v>
      </c>
      <c r="C2357" s="3" t="n">
        <v>12</v>
      </c>
      <c r="D2357" s="3" t="n">
        <v>0</v>
      </c>
      <c r="E2357" s="3" t="n">
        <v>3</v>
      </c>
      <c r="F2357" s="24" t="n">
        <v>0</v>
      </c>
    </row>
    <row r="2358" customFormat="false" ht="15" hidden="false" customHeight="false" outlineLevel="0" collapsed="false">
      <c r="A2358" s="3" t="n">
        <v>2357</v>
      </c>
      <c r="B2358" s="3" t="n">
        <v>2356</v>
      </c>
      <c r="C2358" s="3" t="n">
        <v>12</v>
      </c>
      <c r="D2358" s="3" t="n">
        <v>0</v>
      </c>
      <c r="E2358" s="3" t="n">
        <v>4</v>
      </c>
      <c r="F2358" s="24" t="n">
        <v>0</v>
      </c>
    </row>
    <row r="2359" customFormat="false" ht="15" hidden="false" customHeight="false" outlineLevel="0" collapsed="false">
      <c r="A2359" s="3" t="n">
        <v>2358</v>
      </c>
      <c r="B2359" s="3" t="n">
        <v>2357</v>
      </c>
      <c r="C2359" s="3" t="n">
        <v>12</v>
      </c>
      <c r="D2359" s="3" t="n">
        <v>0</v>
      </c>
      <c r="E2359" s="3" t="n">
        <v>5</v>
      </c>
      <c r="F2359" s="24" t="n">
        <v>0</v>
      </c>
    </row>
    <row r="2360" customFormat="false" ht="15" hidden="false" customHeight="false" outlineLevel="0" collapsed="false">
      <c r="A2360" s="3" t="n">
        <v>2359</v>
      </c>
      <c r="B2360" s="3" t="n">
        <v>2358</v>
      </c>
      <c r="C2360" s="3" t="n">
        <v>12</v>
      </c>
      <c r="D2360" s="3" t="n">
        <v>0</v>
      </c>
      <c r="E2360" s="3" t="n">
        <v>6</v>
      </c>
      <c r="F2360" s="24" t="n">
        <v>0</v>
      </c>
    </row>
    <row r="2361" customFormat="false" ht="15" hidden="false" customHeight="false" outlineLevel="0" collapsed="false">
      <c r="A2361" s="3" t="n">
        <v>2360</v>
      </c>
      <c r="B2361" s="3" t="n">
        <v>2359</v>
      </c>
      <c r="C2361" s="3" t="n">
        <v>12</v>
      </c>
      <c r="D2361" s="3" t="n">
        <v>0</v>
      </c>
      <c r="E2361" s="3" t="n">
        <v>7</v>
      </c>
      <c r="F2361" s="24" t="n">
        <v>0</v>
      </c>
    </row>
    <row r="2362" customFormat="false" ht="15" hidden="false" customHeight="false" outlineLevel="0" collapsed="false">
      <c r="A2362" s="3" t="n">
        <v>2361</v>
      </c>
      <c r="B2362" s="3" t="n">
        <v>2360</v>
      </c>
      <c r="C2362" s="3" t="n">
        <v>12</v>
      </c>
      <c r="D2362" s="3" t="n">
        <v>0</v>
      </c>
      <c r="E2362" s="3" t="n">
        <v>8</v>
      </c>
      <c r="F2362" s="24" t="n">
        <v>0</v>
      </c>
    </row>
    <row r="2363" customFormat="false" ht="15" hidden="false" customHeight="false" outlineLevel="0" collapsed="false">
      <c r="A2363" s="3" t="n">
        <v>2362</v>
      </c>
      <c r="B2363" s="3" t="n">
        <v>2361</v>
      </c>
      <c r="C2363" s="3" t="n">
        <v>12</v>
      </c>
      <c r="D2363" s="3" t="n">
        <v>0</v>
      </c>
      <c r="E2363" s="3" t="n">
        <v>9</v>
      </c>
      <c r="F2363" s="24" t="n">
        <v>0</v>
      </c>
    </row>
    <row r="2364" customFormat="false" ht="15" hidden="false" customHeight="false" outlineLevel="0" collapsed="false">
      <c r="A2364" s="3" t="n">
        <v>2363</v>
      </c>
      <c r="B2364" s="3" t="n">
        <v>2362</v>
      </c>
      <c r="C2364" s="3" t="n">
        <v>12</v>
      </c>
      <c r="D2364" s="3" t="n">
        <v>0</v>
      </c>
      <c r="E2364" s="3" t="n">
        <v>10</v>
      </c>
      <c r="F2364" s="24" t="n">
        <v>0</v>
      </c>
    </row>
    <row r="2365" customFormat="false" ht="15" hidden="false" customHeight="false" outlineLevel="0" collapsed="false">
      <c r="A2365" s="3" t="n">
        <v>2364</v>
      </c>
      <c r="B2365" s="3" t="n">
        <v>2363</v>
      </c>
      <c r="C2365" s="3" t="n">
        <v>12</v>
      </c>
      <c r="D2365" s="3" t="n">
        <v>0</v>
      </c>
      <c r="E2365" s="3" t="n">
        <v>11</v>
      </c>
      <c r="F2365" s="24" t="n">
        <v>0</v>
      </c>
    </row>
    <row r="2366" customFormat="false" ht="15" hidden="false" customHeight="false" outlineLevel="0" collapsed="false">
      <c r="A2366" s="3" t="n">
        <v>2365</v>
      </c>
      <c r="B2366" s="3" t="n">
        <v>2364</v>
      </c>
      <c r="C2366" s="3" t="n">
        <v>12</v>
      </c>
      <c r="D2366" s="3" t="n">
        <v>0</v>
      </c>
      <c r="E2366" s="3" t="n">
        <v>12</v>
      </c>
      <c r="F2366" s="24" t="n">
        <v>0.0199332088</v>
      </c>
    </row>
    <row r="2367" customFormat="false" ht="15" hidden="false" customHeight="false" outlineLevel="0" collapsed="false">
      <c r="A2367" s="3" t="n">
        <v>2366</v>
      </c>
      <c r="B2367" s="3" t="n">
        <v>2365</v>
      </c>
      <c r="C2367" s="3" t="n">
        <v>12</v>
      </c>
      <c r="D2367" s="3" t="n">
        <v>0</v>
      </c>
      <c r="E2367" s="3" t="n">
        <v>13</v>
      </c>
      <c r="F2367" s="24" t="n">
        <v>0.00101104379</v>
      </c>
    </row>
    <row r="2368" customFormat="false" ht="15" hidden="false" customHeight="false" outlineLevel="0" collapsed="false">
      <c r="A2368" s="3" t="n">
        <v>2367</v>
      </c>
      <c r="B2368" s="3" t="n">
        <v>2366</v>
      </c>
      <c r="C2368" s="3" t="n">
        <v>12</v>
      </c>
      <c r="D2368" s="3" t="n">
        <v>1</v>
      </c>
      <c r="E2368" s="3" t="n">
        <v>0</v>
      </c>
      <c r="F2368" s="24" t="n">
        <v>0</v>
      </c>
    </row>
    <row r="2369" customFormat="false" ht="15" hidden="false" customHeight="false" outlineLevel="0" collapsed="false">
      <c r="A2369" s="3" t="n">
        <v>2368</v>
      </c>
      <c r="B2369" s="3" t="n">
        <v>2367</v>
      </c>
      <c r="C2369" s="3" t="n">
        <v>12</v>
      </c>
      <c r="D2369" s="3" t="n">
        <v>1</v>
      </c>
      <c r="E2369" s="3" t="n">
        <v>1</v>
      </c>
      <c r="F2369" s="24" t="n">
        <v>0.0291634053</v>
      </c>
    </row>
    <row r="2370" customFormat="false" ht="15" hidden="false" customHeight="false" outlineLevel="0" collapsed="false">
      <c r="A2370" s="3" t="n">
        <v>2369</v>
      </c>
      <c r="B2370" s="3" t="n">
        <v>2368</v>
      </c>
      <c r="C2370" s="3" t="n">
        <v>12</v>
      </c>
      <c r="D2370" s="3" t="n">
        <v>1</v>
      </c>
      <c r="E2370" s="3" t="n">
        <v>2</v>
      </c>
      <c r="F2370" s="24" t="n">
        <v>0</v>
      </c>
    </row>
    <row r="2371" customFormat="false" ht="15" hidden="false" customHeight="false" outlineLevel="0" collapsed="false">
      <c r="A2371" s="3" t="n">
        <v>2370</v>
      </c>
      <c r="B2371" s="3" t="n">
        <v>2369</v>
      </c>
      <c r="C2371" s="3" t="n">
        <v>12</v>
      </c>
      <c r="D2371" s="3" t="n">
        <v>1</v>
      </c>
      <c r="E2371" s="3" t="n">
        <v>3</v>
      </c>
      <c r="F2371" s="24" t="n">
        <v>0</v>
      </c>
    </row>
    <row r="2372" customFormat="false" ht="15" hidden="false" customHeight="false" outlineLevel="0" collapsed="false">
      <c r="A2372" s="3" t="n">
        <v>2371</v>
      </c>
      <c r="B2372" s="3" t="n">
        <v>2370</v>
      </c>
      <c r="C2372" s="3" t="n">
        <v>12</v>
      </c>
      <c r="D2372" s="3" t="n">
        <v>1</v>
      </c>
      <c r="E2372" s="3" t="n">
        <v>4</v>
      </c>
      <c r="F2372" s="24" t="n">
        <v>0</v>
      </c>
    </row>
    <row r="2373" customFormat="false" ht="15" hidden="false" customHeight="false" outlineLevel="0" collapsed="false">
      <c r="A2373" s="3" t="n">
        <v>2372</v>
      </c>
      <c r="B2373" s="3" t="n">
        <v>2371</v>
      </c>
      <c r="C2373" s="3" t="n">
        <v>12</v>
      </c>
      <c r="D2373" s="3" t="n">
        <v>1</v>
      </c>
      <c r="E2373" s="3" t="n">
        <v>5</v>
      </c>
      <c r="F2373" s="24" t="n">
        <v>0</v>
      </c>
    </row>
    <row r="2374" customFormat="false" ht="15" hidden="false" customHeight="false" outlineLevel="0" collapsed="false">
      <c r="A2374" s="3" t="n">
        <v>2373</v>
      </c>
      <c r="B2374" s="3" t="n">
        <v>2372</v>
      </c>
      <c r="C2374" s="3" t="n">
        <v>12</v>
      </c>
      <c r="D2374" s="3" t="n">
        <v>1</v>
      </c>
      <c r="E2374" s="3" t="n">
        <v>6</v>
      </c>
      <c r="F2374" s="24" t="n">
        <v>0</v>
      </c>
    </row>
    <row r="2375" customFormat="false" ht="15" hidden="false" customHeight="false" outlineLevel="0" collapsed="false">
      <c r="A2375" s="3" t="n">
        <v>2374</v>
      </c>
      <c r="B2375" s="3" t="n">
        <v>2373</v>
      </c>
      <c r="C2375" s="3" t="n">
        <v>12</v>
      </c>
      <c r="D2375" s="3" t="n">
        <v>1</v>
      </c>
      <c r="E2375" s="3" t="n">
        <v>7</v>
      </c>
      <c r="F2375" s="24" t="n">
        <v>0</v>
      </c>
    </row>
    <row r="2376" customFormat="false" ht="15" hidden="false" customHeight="false" outlineLevel="0" collapsed="false">
      <c r="A2376" s="3" t="n">
        <v>2375</v>
      </c>
      <c r="B2376" s="3" t="n">
        <v>2374</v>
      </c>
      <c r="C2376" s="3" t="n">
        <v>12</v>
      </c>
      <c r="D2376" s="3" t="n">
        <v>1</v>
      </c>
      <c r="E2376" s="3" t="n">
        <v>8</v>
      </c>
      <c r="F2376" s="24" t="n">
        <v>0</v>
      </c>
    </row>
    <row r="2377" customFormat="false" ht="15" hidden="false" customHeight="false" outlineLevel="0" collapsed="false">
      <c r="A2377" s="3" t="n">
        <v>2376</v>
      </c>
      <c r="B2377" s="3" t="n">
        <v>2375</v>
      </c>
      <c r="C2377" s="3" t="n">
        <v>12</v>
      </c>
      <c r="D2377" s="3" t="n">
        <v>1</v>
      </c>
      <c r="E2377" s="3" t="n">
        <v>9</v>
      </c>
      <c r="F2377" s="24" t="n">
        <v>0</v>
      </c>
    </row>
    <row r="2378" customFormat="false" ht="15" hidden="false" customHeight="false" outlineLevel="0" collapsed="false">
      <c r="A2378" s="3" t="n">
        <v>2377</v>
      </c>
      <c r="B2378" s="3" t="n">
        <v>2376</v>
      </c>
      <c r="C2378" s="3" t="n">
        <v>12</v>
      </c>
      <c r="D2378" s="3" t="n">
        <v>1</v>
      </c>
      <c r="E2378" s="3" t="n">
        <v>10</v>
      </c>
      <c r="F2378" s="24" t="n">
        <v>0</v>
      </c>
    </row>
    <row r="2379" customFormat="false" ht="15" hidden="false" customHeight="false" outlineLevel="0" collapsed="false">
      <c r="A2379" s="3" t="n">
        <v>2378</v>
      </c>
      <c r="B2379" s="3" t="n">
        <v>2377</v>
      </c>
      <c r="C2379" s="3" t="n">
        <v>12</v>
      </c>
      <c r="D2379" s="3" t="n">
        <v>1</v>
      </c>
      <c r="E2379" s="3" t="n">
        <v>11</v>
      </c>
      <c r="F2379" s="24" t="n">
        <v>0</v>
      </c>
    </row>
    <row r="2380" customFormat="false" ht="15" hidden="false" customHeight="false" outlineLevel="0" collapsed="false">
      <c r="A2380" s="3" t="n">
        <v>2379</v>
      </c>
      <c r="B2380" s="3" t="n">
        <v>2378</v>
      </c>
      <c r="C2380" s="3" t="n">
        <v>12</v>
      </c>
      <c r="D2380" s="3" t="n">
        <v>1</v>
      </c>
      <c r="E2380" s="3" t="n">
        <v>12</v>
      </c>
      <c r="F2380" s="24" t="n">
        <v>0.083162725</v>
      </c>
    </row>
    <row r="2381" customFormat="false" ht="15" hidden="false" customHeight="false" outlineLevel="0" collapsed="false">
      <c r="A2381" s="3" t="n">
        <v>2380</v>
      </c>
      <c r="B2381" s="3" t="n">
        <v>2379</v>
      </c>
      <c r="C2381" s="3" t="n">
        <v>12</v>
      </c>
      <c r="D2381" s="3" t="n">
        <v>1</v>
      </c>
      <c r="E2381" s="3" t="n">
        <v>13</v>
      </c>
      <c r="F2381" s="24" t="n">
        <v>0</v>
      </c>
    </row>
    <row r="2382" customFormat="false" ht="15" hidden="false" customHeight="false" outlineLevel="0" collapsed="false">
      <c r="A2382" s="3" t="n">
        <v>2381</v>
      </c>
      <c r="B2382" s="3" t="n">
        <v>2380</v>
      </c>
      <c r="C2382" s="3" t="n">
        <v>12</v>
      </c>
      <c r="D2382" s="3" t="n">
        <v>2</v>
      </c>
      <c r="E2382" s="3" t="n">
        <v>0</v>
      </c>
      <c r="F2382" s="24" t="n">
        <v>0</v>
      </c>
    </row>
    <row r="2383" customFormat="false" ht="15" hidden="false" customHeight="false" outlineLevel="0" collapsed="false">
      <c r="A2383" s="3" t="n">
        <v>2382</v>
      </c>
      <c r="B2383" s="3" t="n">
        <v>2381</v>
      </c>
      <c r="C2383" s="3" t="n">
        <v>12</v>
      </c>
      <c r="D2383" s="3" t="n">
        <v>2</v>
      </c>
      <c r="E2383" s="3" t="n">
        <v>1</v>
      </c>
      <c r="F2383" s="24" t="n">
        <v>1.01922548</v>
      </c>
    </row>
    <row r="2384" customFormat="false" ht="15" hidden="false" customHeight="false" outlineLevel="0" collapsed="false">
      <c r="A2384" s="3" t="n">
        <v>2383</v>
      </c>
      <c r="B2384" s="3" t="n">
        <v>2382</v>
      </c>
      <c r="C2384" s="3" t="n">
        <v>12</v>
      </c>
      <c r="D2384" s="3" t="n">
        <v>2</v>
      </c>
      <c r="E2384" s="3" t="n">
        <v>2</v>
      </c>
      <c r="F2384" s="24" t="n">
        <v>3.61930013</v>
      </c>
    </row>
    <row r="2385" customFormat="false" ht="15" hidden="false" customHeight="false" outlineLevel="0" collapsed="false">
      <c r="A2385" s="3" t="n">
        <v>2384</v>
      </c>
      <c r="B2385" s="3" t="n">
        <v>2383</v>
      </c>
      <c r="C2385" s="3" t="n">
        <v>12</v>
      </c>
      <c r="D2385" s="3" t="n">
        <v>2</v>
      </c>
      <c r="E2385" s="3" t="n">
        <v>3</v>
      </c>
      <c r="F2385" s="24" t="n">
        <v>3.63406396</v>
      </c>
    </row>
    <row r="2386" customFormat="false" ht="15" hidden="false" customHeight="false" outlineLevel="0" collapsed="false">
      <c r="A2386" s="3" t="n">
        <v>2385</v>
      </c>
      <c r="B2386" s="3" t="n">
        <v>2384</v>
      </c>
      <c r="C2386" s="3" t="n">
        <v>12</v>
      </c>
      <c r="D2386" s="3" t="n">
        <v>2</v>
      </c>
      <c r="E2386" s="3" t="n">
        <v>4</v>
      </c>
      <c r="F2386" s="24" t="n">
        <v>1.44219542</v>
      </c>
    </row>
    <row r="2387" customFormat="false" ht="15" hidden="false" customHeight="false" outlineLevel="0" collapsed="false">
      <c r="A2387" s="3" t="n">
        <v>2386</v>
      </c>
      <c r="B2387" s="3" t="n">
        <v>2385</v>
      </c>
      <c r="C2387" s="3" t="n">
        <v>12</v>
      </c>
      <c r="D2387" s="3" t="n">
        <v>2</v>
      </c>
      <c r="E2387" s="3" t="n">
        <v>5</v>
      </c>
      <c r="F2387" s="24" t="n">
        <v>1.93031704</v>
      </c>
    </row>
    <row r="2388" customFormat="false" ht="15" hidden="false" customHeight="false" outlineLevel="0" collapsed="false">
      <c r="A2388" s="3" t="n">
        <v>2387</v>
      </c>
      <c r="B2388" s="3" t="n">
        <v>2386</v>
      </c>
      <c r="C2388" s="3" t="n">
        <v>12</v>
      </c>
      <c r="D2388" s="3" t="n">
        <v>2</v>
      </c>
      <c r="E2388" s="3" t="n">
        <v>6</v>
      </c>
      <c r="F2388" s="24" t="n">
        <v>1.83521104</v>
      </c>
    </row>
    <row r="2389" customFormat="false" ht="15" hidden="false" customHeight="false" outlineLevel="0" collapsed="false">
      <c r="A2389" s="3" t="n">
        <v>2388</v>
      </c>
      <c r="B2389" s="3" t="n">
        <v>2387</v>
      </c>
      <c r="C2389" s="3" t="n">
        <v>12</v>
      </c>
      <c r="D2389" s="3" t="n">
        <v>2</v>
      </c>
      <c r="E2389" s="3" t="n">
        <v>7</v>
      </c>
      <c r="F2389" s="24" t="n">
        <v>1.75331688</v>
      </c>
    </row>
    <row r="2390" customFormat="false" ht="15" hidden="false" customHeight="false" outlineLevel="0" collapsed="false">
      <c r="A2390" s="3" t="n">
        <v>2389</v>
      </c>
      <c r="B2390" s="3" t="n">
        <v>2388</v>
      </c>
      <c r="C2390" s="3" t="n">
        <v>12</v>
      </c>
      <c r="D2390" s="3" t="n">
        <v>2</v>
      </c>
      <c r="E2390" s="3" t="n">
        <v>8</v>
      </c>
      <c r="F2390" s="24" t="n">
        <v>1.72945654</v>
      </c>
    </row>
    <row r="2391" customFormat="false" ht="15" hidden="false" customHeight="false" outlineLevel="0" collapsed="false">
      <c r="A2391" s="3" t="n">
        <v>2390</v>
      </c>
      <c r="B2391" s="3" t="n">
        <v>2389</v>
      </c>
      <c r="C2391" s="3" t="n">
        <v>12</v>
      </c>
      <c r="D2391" s="3" t="n">
        <v>2</v>
      </c>
      <c r="E2391" s="3" t="n">
        <v>9</v>
      </c>
      <c r="F2391" s="24" t="n">
        <v>1.41673326</v>
      </c>
    </row>
    <row r="2392" customFormat="false" ht="15" hidden="false" customHeight="false" outlineLevel="0" collapsed="false">
      <c r="A2392" s="3" t="n">
        <v>2391</v>
      </c>
      <c r="B2392" s="3" t="n">
        <v>2390</v>
      </c>
      <c r="C2392" s="3" t="n">
        <v>12</v>
      </c>
      <c r="D2392" s="3" t="n">
        <v>2</v>
      </c>
      <c r="E2392" s="3" t="n">
        <v>10</v>
      </c>
      <c r="F2392" s="24" t="n">
        <v>0.577134967</v>
      </c>
    </row>
    <row r="2393" customFormat="false" ht="15" hidden="false" customHeight="false" outlineLevel="0" collapsed="false">
      <c r="A2393" s="3" t="n">
        <v>2392</v>
      </c>
      <c r="B2393" s="3" t="n">
        <v>2391</v>
      </c>
      <c r="C2393" s="3" t="n">
        <v>12</v>
      </c>
      <c r="D2393" s="3" t="n">
        <v>2</v>
      </c>
      <c r="E2393" s="3" t="n">
        <v>11</v>
      </c>
      <c r="F2393" s="24" t="n">
        <v>0.0217712224</v>
      </c>
    </row>
    <row r="2394" customFormat="false" ht="15" hidden="false" customHeight="false" outlineLevel="0" collapsed="false">
      <c r="A2394" s="3" t="n">
        <v>2393</v>
      </c>
      <c r="B2394" s="3" t="n">
        <v>2392</v>
      </c>
      <c r="C2394" s="3" t="n">
        <v>12</v>
      </c>
      <c r="D2394" s="3" t="n">
        <v>2</v>
      </c>
      <c r="E2394" s="3" t="n">
        <v>12</v>
      </c>
      <c r="F2394" s="24" t="n">
        <v>0.284144759</v>
      </c>
    </row>
    <row r="2395" customFormat="false" ht="15" hidden="false" customHeight="false" outlineLevel="0" collapsed="false">
      <c r="A2395" s="3" t="n">
        <v>2394</v>
      </c>
      <c r="B2395" s="3" t="n">
        <v>2393</v>
      </c>
      <c r="C2395" s="3" t="n">
        <v>12</v>
      </c>
      <c r="D2395" s="3" t="n">
        <v>2</v>
      </c>
      <c r="E2395" s="3" t="n">
        <v>13</v>
      </c>
      <c r="F2395" s="24" t="n">
        <v>0</v>
      </c>
    </row>
    <row r="2396" customFormat="false" ht="15" hidden="false" customHeight="false" outlineLevel="0" collapsed="false">
      <c r="A2396" s="3" t="n">
        <v>2395</v>
      </c>
      <c r="B2396" s="3" t="n">
        <v>2394</v>
      </c>
      <c r="C2396" s="3" t="n">
        <v>12</v>
      </c>
      <c r="D2396" s="3" t="n">
        <v>3</v>
      </c>
      <c r="E2396" s="3" t="n">
        <v>0</v>
      </c>
      <c r="F2396" s="24" t="n">
        <v>0</v>
      </c>
    </row>
    <row r="2397" customFormat="false" ht="15" hidden="false" customHeight="false" outlineLevel="0" collapsed="false">
      <c r="A2397" s="3" t="n">
        <v>2396</v>
      </c>
      <c r="B2397" s="3" t="n">
        <v>2395</v>
      </c>
      <c r="C2397" s="3" t="n">
        <v>12</v>
      </c>
      <c r="D2397" s="3" t="n">
        <v>3</v>
      </c>
      <c r="E2397" s="3" t="n">
        <v>1</v>
      </c>
      <c r="F2397" s="24" t="n">
        <v>2.00716853</v>
      </c>
    </row>
    <row r="2398" customFormat="false" ht="15" hidden="false" customHeight="false" outlineLevel="0" collapsed="false">
      <c r="A2398" s="3" t="n">
        <v>2397</v>
      </c>
      <c r="B2398" s="3" t="n">
        <v>2396</v>
      </c>
      <c r="C2398" s="3" t="n">
        <v>12</v>
      </c>
      <c r="D2398" s="3" t="n">
        <v>3</v>
      </c>
      <c r="E2398" s="3" t="n">
        <v>2</v>
      </c>
      <c r="F2398" s="24" t="n">
        <v>5.39949942</v>
      </c>
    </row>
    <row r="2399" customFormat="false" ht="15" hidden="false" customHeight="false" outlineLevel="0" collapsed="false">
      <c r="A2399" s="3" t="n">
        <v>2398</v>
      </c>
      <c r="B2399" s="3" t="n">
        <v>2397</v>
      </c>
      <c r="C2399" s="3" t="n">
        <v>12</v>
      </c>
      <c r="D2399" s="3" t="n">
        <v>3</v>
      </c>
      <c r="E2399" s="3" t="n">
        <v>3</v>
      </c>
      <c r="F2399" s="24" t="n">
        <v>0.953261614</v>
      </c>
    </row>
    <row r="2400" customFormat="false" ht="15" hidden="false" customHeight="false" outlineLevel="0" collapsed="false">
      <c r="A2400" s="3" t="n">
        <v>2399</v>
      </c>
      <c r="B2400" s="3" t="n">
        <v>2398</v>
      </c>
      <c r="C2400" s="3" t="n">
        <v>12</v>
      </c>
      <c r="D2400" s="3" t="n">
        <v>3</v>
      </c>
      <c r="E2400" s="3" t="n">
        <v>4</v>
      </c>
      <c r="F2400" s="24" t="n">
        <v>0</v>
      </c>
    </row>
    <row r="2401" customFormat="false" ht="15" hidden="false" customHeight="false" outlineLevel="0" collapsed="false">
      <c r="A2401" s="3" t="n">
        <v>2400</v>
      </c>
      <c r="B2401" s="3" t="n">
        <v>2399</v>
      </c>
      <c r="C2401" s="3" t="n">
        <v>12</v>
      </c>
      <c r="D2401" s="3" t="n">
        <v>3</v>
      </c>
      <c r="E2401" s="3" t="n">
        <v>5</v>
      </c>
      <c r="F2401" s="24" t="n">
        <v>0</v>
      </c>
    </row>
    <row r="2402" customFormat="false" ht="15" hidden="false" customHeight="false" outlineLevel="0" collapsed="false">
      <c r="A2402" s="3" t="n">
        <v>2401</v>
      </c>
      <c r="B2402" s="3" t="n">
        <v>2400</v>
      </c>
      <c r="C2402" s="3" t="n">
        <v>12</v>
      </c>
      <c r="D2402" s="3" t="n">
        <v>3</v>
      </c>
      <c r="E2402" s="3" t="n">
        <v>6</v>
      </c>
      <c r="F2402" s="24" t="n">
        <v>0.996882439</v>
      </c>
    </row>
    <row r="2403" customFormat="false" ht="15" hidden="false" customHeight="false" outlineLevel="0" collapsed="false">
      <c r="A2403" s="3" t="n">
        <v>2402</v>
      </c>
      <c r="B2403" s="3" t="n">
        <v>2401</v>
      </c>
      <c r="C2403" s="3" t="n">
        <v>12</v>
      </c>
      <c r="D2403" s="3" t="n">
        <v>3</v>
      </c>
      <c r="E2403" s="3" t="n">
        <v>7</v>
      </c>
      <c r="F2403" s="24" t="n">
        <v>1.5930723</v>
      </c>
    </row>
    <row r="2404" customFormat="false" ht="15" hidden="false" customHeight="false" outlineLevel="0" collapsed="false">
      <c r="A2404" s="3" t="n">
        <v>2403</v>
      </c>
      <c r="B2404" s="3" t="n">
        <v>2402</v>
      </c>
      <c r="C2404" s="3" t="n">
        <v>12</v>
      </c>
      <c r="D2404" s="3" t="n">
        <v>3</v>
      </c>
      <c r="E2404" s="3" t="n">
        <v>8</v>
      </c>
      <c r="F2404" s="24" t="n">
        <v>1.91483951</v>
      </c>
    </row>
    <row r="2405" customFormat="false" ht="15" hidden="false" customHeight="false" outlineLevel="0" collapsed="false">
      <c r="A2405" s="3" t="n">
        <v>2404</v>
      </c>
      <c r="B2405" s="3" t="n">
        <v>2403</v>
      </c>
      <c r="C2405" s="3" t="n">
        <v>12</v>
      </c>
      <c r="D2405" s="3" t="n">
        <v>3</v>
      </c>
      <c r="E2405" s="3" t="n">
        <v>9</v>
      </c>
      <c r="F2405" s="24" t="n">
        <v>1.3803668</v>
      </c>
    </row>
    <row r="2406" customFormat="false" ht="15" hidden="false" customHeight="false" outlineLevel="0" collapsed="false">
      <c r="A2406" s="3" t="n">
        <v>2405</v>
      </c>
      <c r="B2406" s="3" t="n">
        <v>2404</v>
      </c>
      <c r="C2406" s="3" t="n">
        <v>12</v>
      </c>
      <c r="D2406" s="3" t="n">
        <v>3</v>
      </c>
      <c r="E2406" s="3" t="n">
        <v>10</v>
      </c>
      <c r="F2406" s="24" t="n">
        <v>0</v>
      </c>
    </row>
    <row r="2407" customFormat="false" ht="15" hidden="false" customHeight="false" outlineLevel="0" collapsed="false">
      <c r="A2407" s="3" t="n">
        <v>2406</v>
      </c>
      <c r="B2407" s="3" t="n">
        <v>2405</v>
      </c>
      <c r="C2407" s="3" t="n">
        <v>12</v>
      </c>
      <c r="D2407" s="3" t="n">
        <v>3</v>
      </c>
      <c r="E2407" s="3" t="n">
        <v>11</v>
      </c>
      <c r="F2407" s="24" t="n">
        <v>0</v>
      </c>
    </row>
    <row r="2408" customFormat="false" ht="15" hidden="false" customHeight="false" outlineLevel="0" collapsed="false">
      <c r="A2408" s="3" t="n">
        <v>2407</v>
      </c>
      <c r="B2408" s="3" t="n">
        <v>2406</v>
      </c>
      <c r="C2408" s="3" t="n">
        <v>12</v>
      </c>
      <c r="D2408" s="3" t="n">
        <v>3</v>
      </c>
      <c r="E2408" s="3" t="n">
        <v>12</v>
      </c>
      <c r="F2408" s="24" t="n">
        <v>0.388623416</v>
      </c>
    </row>
    <row r="2409" customFormat="false" ht="15" hidden="false" customHeight="false" outlineLevel="0" collapsed="false">
      <c r="A2409" s="3" t="n">
        <v>2408</v>
      </c>
      <c r="B2409" s="3" t="n">
        <v>2407</v>
      </c>
      <c r="C2409" s="3" t="n">
        <v>12</v>
      </c>
      <c r="D2409" s="3" t="n">
        <v>3</v>
      </c>
      <c r="E2409" s="3" t="n">
        <v>13</v>
      </c>
      <c r="F2409" s="24" t="n">
        <v>0</v>
      </c>
    </row>
    <row r="2410" customFormat="false" ht="15" hidden="false" customHeight="false" outlineLevel="0" collapsed="false">
      <c r="A2410" s="3" t="n">
        <v>2409</v>
      </c>
      <c r="B2410" s="3" t="n">
        <v>2408</v>
      </c>
      <c r="C2410" s="3" t="n">
        <v>12</v>
      </c>
      <c r="D2410" s="3" t="n">
        <v>4</v>
      </c>
      <c r="E2410" s="3" t="n">
        <v>0</v>
      </c>
      <c r="F2410" s="24" t="n">
        <v>0</v>
      </c>
    </row>
    <row r="2411" customFormat="false" ht="15" hidden="false" customHeight="false" outlineLevel="0" collapsed="false">
      <c r="A2411" s="3" t="n">
        <v>2410</v>
      </c>
      <c r="B2411" s="3" t="n">
        <v>2409</v>
      </c>
      <c r="C2411" s="3" t="n">
        <v>12</v>
      </c>
      <c r="D2411" s="3" t="n">
        <v>4</v>
      </c>
      <c r="E2411" s="3" t="n">
        <v>1</v>
      </c>
      <c r="F2411" s="24" t="n">
        <v>1.10571122</v>
      </c>
    </row>
    <row r="2412" customFormat="false" ht="15" hidden="false" customHeight="false" outlineLevel="0" collapsed="false">
      <c r="A2412" s="3" t="n">
        <v>2411</v>
      </c>
      <c r="B2412" s="3" t="n">
        <v>2410</v>
      </c>
      <c r="C2412" s="3" t="n">
        <v>12</v>
      </c>
      <c r="D2412" s="3" t="n">
        <v>4</v>
      </c>
      <c r="E2412" s="3" t="n">
        <v>2</v>
      </c>
      <c r="F2412" s="24" t="n">
        <v>0</v>
      </c>
    </row>
    <row r="2413" customFormat="false" ht="15" hidden="false" customHeight="false" outlineLevel="0" collapsed="false">
      <c r="A2413" s="3" t="n">
        <v>2412</v>
      </c>
      <c r="B2413" s="3" t="n">
        <v>2411</v>
      </c>
      <c r="C2413" s="3" t="n">
        <v>12</v>
      </c>
      <c r="D2413" s="3" t="n">
        <v>4</v>
      </c>
      <c r="E2413" s="3" t="n">
        <v>3</v>
      </c>
      <c r="F2413" s="24" t="n">
        <v>0</v>
      </c>
    </row>
    <row r="2414" customFormat="false" ht="15" hidden="false" customHeight="false" outlineLevel="0" collapsed="false">
      <c r="A2414" s="3" t="n">
        <v>2413</v>
      </c>
      <c r="B2414" s="3" t="n">
        <v>2412</v>
      </c>
      <c r="C2414" s="3" t="n">
        <v>12</v>
      </c>
      <c r="D2414" s="3" t="n">
        <v>4</v>
      </c>
      <c r="E2414" s="3" t="n">
        <v>4</v>
      </c>
      <c r="F2414" s="24" t="n">
        <v>0</v>
      </c>
    </row>
    <row r="2415" customFormat="false" ht="15" hidden="false" customHeight="false" outlineLevel="0" collapsed="false">
      <c r="A2415" s="3" t="n">
        <v>2414</v>
      </c>
      <c r="B2415" s="3" t="n">
        <v>2413</v>
      </c>
      <c r="C2415" s="3" t="n">
        <v>12</v>
      </c>
      <c r="D2415" s="3" t="n">
        <v>4</v>
      </c>
      <c r="E2415" s="3" t="n">
        <v>5</v>
      </c>
      <c r="F2415" s="24" t="n">
        <v>0</v>
      </c>
    </row>
    <row r="2416" customFormat="false" ht="15" hidden="false" customHeight="false" outlineLevel="0" collapsed="false">
      <c r="A2416" s="3" t="n">
        <v>2415</v>
      </c>
      <c r="B2416" s="3" t="n">
        <v>2414</v>
      </c>
      <c r="C2416" s="3" t="n">
        <v>12</v>
      </c>
      <c r="D2416" s="3" t="n">
        <v>4</v>
      </c>
      <c r="E2416" s="3" t="n">
        <v>6</v>
      </c>
      <c r="F2416" s="24" t="n">
        <v>0</v>
      </c>
    </row>
    <row r="2417" customFormat="false" ht="15" hidden="false" customHeight="false" outlineLevel="0" collapsed="false">
      <c r="A2417" s="3" t="n">
        <v>2416</v>
      </c>
      <c r="B2417" s="3" t="n">
        <v>2415</v>
      </c>
      <c r="C2417" s="3" t="n">
        <v>12</v>
      </c>
      <c r="D2417" s="3" t="n">
        <v>4</v>
      </c>
      <c r="E2417" s="3" t="n">
        <v>7</v>
      </c>
      <c r="F2417" s="24" t="n">
        <v>0</v>
      </c>
    </row>
    <row r="2418" customFormat="false" ht="15" hidden="false" customHeight="false" outlineLevel="0" collapsed="false">
      <c r="A2418" s="3" t="n">
        <v>2417</v>
      </c>
      <c r="B2418" s="3" t="n">
        <v>2416</v>
      </c>
      <c r="C2418" s="3" t="n">
        <v>12</v>
      </c>
      <c r="D2418" s="3" t="n">
        <v>4</v>
      </c>
      <c r="E2418" s="3" t="n">
        <v>8</v>
      </c>
      <c r="F2418" s="24" t="n">
        <v>1.56782246</v>
      </c>
    </row>
    <row r="2419" customFormat="false" ht="15" hidden="false" customHeight="false" outlineLevel="0" collapsed="false">
      <c r="A2419" s="3" t="n">
        <v>2418</v>
      </c>
      <c r="B2419" s="3" t="n">
        <v>2417</v>
      </c>
      <c r="C2419" s="3" t="n">
        <v>12</v>
      </c>
      <c r="D2419" s="3" t="n">
        <v>4</v>
      </c>
      <c r="E2419" s="3" t="n">
        <v>9</v>
      </c>
      <c r="F2419" s="24" t="n">
        <v>0</v>
      </c>
    </row>
    <row r="2420" customFormat="false" ht="15" hidden="false" customHeight="false" outlineLevel="0" collapsed="false">
      <c r="A2420" s="3" t="n">
        <v>2419</v>
      </c>
      <c r="B2420" s="3" t="n">
        <v>2418</v>
      </c>
      <c r="C2420" s="3" t="n">
        <v>12</v>
      </c>
      <c r="D2420" s="3" t="n">
        <v>4</v>
      </c>
      <c r="E2420" s="3" t="n">
        <v>10</v>
      </c>
      <c r="F2420" s="24" t="n">
        <v>0</v>
      </c>
    </row>
    <row r="2421" customFormat="false" ht="15" hidden="false" customHeight="false" outlineLevel="0" collapsed="false">
      <c r="A2421" s="3" t="n">
        <v>2420</v>
      </c>
      <c r="B2421" s="3" t="n">
        <v>2419</v>
      </c>
      <c r="C2421" s="3" t="n">
        <v>12</v>
      </c>
      <c r="D2421" s="3" t="n">
        <v>4</v>
      </c>
      <c r="E2421" s="3" t="n">
        <v>11</v>
      </c>
      <c r="F2421" s="24" t="n">
        <v>0</v>
      </c>
    </row>
    <row r="2422" customFormat="false" ht="15" hidden="false" customHeight="false" outlineLevel="0" collapsed="false">
      <c r="A2422" s="3" t="n">
        <v>2421</v>
      </c>
      <c r="B2422" s="3" t="n">
        <v>2420</v>
      </c>
      <c r="C2422" s="3" t="n">
        <v>12</v>
      </c>
      <c r="D2422" s="3" t="n">
        <v>4</v>
      </c>
      <c r="E2422" s="3" t="n">
        <v>12</v>
      </c>
      <c r="F2422" s="24" t="n">
        <v>0.366663754</v>
      </c>
    </row>
    <row r="2423" customFormat="false" ht="15" hidden="false" customHeight="false" outlineLevel="0" collapsed="false">
      <c r="A2423" s="3" t="n">
        <v>2422</v>
      </c>
      <c r="B2423" s="3" t="n">
        <v>2421</v>
      </c>
      <c r="C2423" s="3" t="n">
        <v>12</v>
      </c>
      <c r="D2423" s="3" t="n">
        <v>4</v>
      </c>
      <c r="E2423" s="3" t="n">
        <v>13</v>
      </c>
      <c r="F2423" s="24" t="n">
        <v>0</v>
      </c>
    </row>
    <row r="2424" customFormat="false" ht="15" hidden="false" customHeight="false" outlineLevel="0" collapsed="false">
      <c r="A2424" s="3" t="n">
        <v>2423</v>
      </c>
      <c r="B2424" s="3" t="n">
        <v>2422</v>
      </c>
      <c r="C2424" s="3" t="n">
        <v>12</v>
      </c>
      <c r="D2424" s="3" t="n">
        <v>5</v>
      </c>
      <c r="E2424" s="3" t="n">
        <v>0</v>
      </c>
      <c r="F2424" s="24" t="n">
        <v>0</v>
      </c>
    </row>
    <row r="2425" customFormat="false" ht="15" hidden="false" customHeight="false" outlineLevel="0" collapsed="false">
      <c r="A2425" s="3" t="n">
        <v>2424</v>
      </c>
      <c r="B2425" s="3" t="n">
        <v>2423</v>
      </c>
      <c r="C2425" s="3" t="n">
        <v>12</v>
      </c>
      <c r="D2425" s="3" t="n">
        <v>5</v>
      </c>
      <c r="E2425" s="3" t="n">
        <v>1</v>
      </c>
      <c r="F2425" s="24" t="n">
        <v>0</v>
      </c>
    </row>
    <row r="2426" customFormat="false" ht="15" hidden="false" customHeight="false" outlineLevel="0" collapsed="false">
      <c r="A2426" s="3" t="n">
        <v>2425</v>
      </c>
      <c r="B2426" s="3" t="n">
        <v>2424</v>
      </c>
      <c r="C2426" s="3" t="n">
        <v>12</v>
      </c>
      <c r="D2426" s="3" t="n">
        <v>5</v>
      </c>
      <c r="E2426" s="3" t="n">
        <v>2</v>
      </c>
      <c r="F2426" s="24" t="n">
        <v>0</v>
      </c>
    </row>
    <row r="2427" customFormat="false" ht="15" hidden="false" customHeight="false" outlineLevel="0" collapsed="false">
      <c r="A2427" s="3" t="n">
        <v>2426</v>
      </c>
      <c r="B2427" s="3" t="n">
        <v>2425</v>
      </c>
      <c r="C2427" s="3" t="n">
        <v>12</v>
      </c>
      <c r="D2427" s="3" t="n">
        <v>5</v>
      </c>
      <c r="E2427" s="3" t="n">
        <v>3</v>
      </c>
      <c r="F2427" s="24" t="n">
        <v>0</v>
      </c>
    </row>
    <row r="2428" customFormat="false" ht="15" hidden="false" customHeight="false" outlineLevel="0" collapsed="false">
      <c r="A2428" s="3" t="n">
        <v>2427</v>
      </c>
      <c r="B2428" s="3" t="n">
        <v>2426</v>
      </c>
      <c r="C2428" s="3" t="n">
        <v>12</v>
      </c>
      <c r="D2428" s="3" t="n">
        <v>5</v>
      </c>
      <c r="E2428" s="3" t="n">
        <v>4</v>
      </c>
      <c r="F2428" s="24" t="n">
        <v>0</v>
      </c>
    </row>
    <row r="2429" customFormat="false" ht="15" hidden="false" customHeight="false" outlineLevel="0" collapsed="false">
      <c r="A2429" s="3" t="n">
        <v>2428</v>
      </c>
      <c r="B2429" s="3" t="n">
        <v>2427</v>
      </c>
      <c r="C2429" s="3" t="n">
        <v>12</v>
      </c>
      <c r="D2429" s="3" t="n">
        <v>5</v>
      </c>
      <c r="E2429" s="3" t="n">
        <v>5</v>
      </c>
      <c r="F2429" s="24" t="n">
        <v>0</v>
      </c>
    </row>
    <row r="2430" customFormat="false" ht="15" hidden="false" customHeight="false" outlineLevel="0" collapsed="false">
      <c r="A2430" s="3" t="n">
        <v>2429</v>
      </c>
      <c r="B2430" s="3" t="n">
        <v>2428</v>
      </c>
      <c r="C2430" s="3" t="n">
        <v>12</v>
      </c>
      <c r="D2430" s="3" t="n">
        <v>5</v>
      </c>
      <c r="E2430" s="3" t="n">
        <v>6</v>
      </c>
      <c r="F2430" s="24" t="n">
        <v>0</v>
      </c>
    </row>
    <row r="2431" customFormat="false" ht="15" hidden="false" customHeight="false" outlineLevel="0" collapsed="false">
      <c r="A2431" s="3" t="n">
        <v>2430</v>
      </c>
      <c r="B2431" s="3" t="n">
        <v>2429</v>
      </c>
      <c r="C2431" s="3" t="n">
        <v>12</v>
      </c>
      <c r="D2431" s="3" t="n">
        <v>5</v>
      </c>
      <c r="E2431" s="3" t="n">
        <v>7</v>
      </c>
      <c r="F2431" s="24" t="n">
        <v>0</v>
      </c>
    </row>
    <row r="2432" customFormat="false" ht="15" hidden="false" customHeight="false" outlineLevel="0" collapsed="false">
      <c r="A2432" s="3" t="n">
        <v>2431</v>
      </c>
      <c r="B2432" s="3" t="n">
        <v>2430</v>
      </c>
      <c r="C2432" s="3" t="n">
        <v>12</v>
      </c>
      <c r="D2432" s="3" t="n">
        <v>5</v>
      </c>
      <c r="E2432" s="3" t="n">
        <v>8</v>
      </c>
      <c r="F2432" s="24" t="n">
        <v>0.056289129</v>
      </c>
    </row>
    <row r="2433" customFormat="false" ht="15" hidden="false" customHeight="false" outlineLevel="0" collapsed="false">
      <c r="A2433" s="3" t="n">
        <v>2432</v>
      </c>
      <c r="B2433" s="3" t="n">
        <v>2431</v>
      </c>
      <c r="C2433" s="3" t="n">
        <v>12</v>
      </c>
      <c r="D2433" s="3" t="n">
        <v>5</v>
      </c>
      <c r="E2433" s="3" t="n">
        <v>9</v>
      </c>
      <c r="F2433" s="24" t="n">
        <v>0</v>
      </c>
    </row>
    <row r="2434" customFormat="false" ht="15" hidden="false" customHeight="false" outlineLevel="0" collapsed="false">
      <c r="A2434" s="3" t="n">
        <v>2433</v>
      </c>
      <c r="B2434" s="3" t="n">
        <v>2432</v>
      </c>
      <c r="C2434" s="3" t="n">
        <v>12</v>
      </c>
      <c r="D2434" s="3" t="n">
        <v>5</v>
      </c>
      <c r="E2434" s="3" t="n">
        <v>10</v>
      </c>
      <c r="F2434" s="24" t="n">
        <v>0</v>
      </c>
    </row>
    <row r="2435" customFormat="false" ht="15" hidden="false" customHeight="false" outlineLevel="0" collapsed="false">
      <c r="A2435" s="3" t="n">
        <v>2434</v>
      </c>
      <c r="B2435" s="3" t="n">
        <v>2433</v>
      </c>
      <c r="C2435" s="3" t="n">
        <v>12</v>
      </c>
      <c r="D2435" s="3" t="n">
        <v>5</v>
      </c>
      <c r="E2435" s="3" t="n">
        <v>11</v>
      </c>
      <c r="F2435" s="24" t="n">
        <v>0.863385081</v>
      </c>
    </row>
    <row r="2436" customFormat="false" ht="15" hidden="false" customHeight="false" outlineLevel="0" collapsed="false">
      <c r="A2436" s="3" t="n">
        <v>2435</v>
      </c>
      <c r="B2436" s="3" t="n">
        <v>2434</v>
      </c>
      <c r="C2436" s="3" t="n">
        <v>12</v>
      </c>
      <c r="D2436" s="3" t="n">
        <v>5</v>
      </c>
      <c r="E2436" s="3" t="n">
        <v>12</v>
      </c>
      <c r="F2436" s="24" t="n">
        <v>0.91236341</v>
      </c>
    </row>
    <row r="2437" customFormat="false" ht="15" hidden="false" customHeight="false" outlineLevel="0" collapsed="false">
      <c r="A2437" s="3" t="n">
        <v>2436</v>
      </c>
      <c r="B2437" s="3" t="n">
        <v>2435</v>
      </c>
      <c r="C2437" s="3" t="n">
        <v>12</v>
      </c>
      <c r="D2437" s="3" t="n">
        <v>5</v>
      </c>
      <c r="E2437" s="3" t="n">
        <v>13</v>
      </c>
      <c r="F2437" s="24" t="n">
        <v>0</v>
      </c>
    </row>
    <row r="2438" customFormat="false" ht="15" hidden="false" customHeight="false" outlineLevel="0" collapsed="false">
      <c r="A2438" s="3" t="n">
        <v>2437</v>
      </c>
      <c r="B2438" s="3" t="n">
        <v>2436</v>
      </c>
      <c r="C2438" s="3" t="n">
        <v>12</v>
      </c>
      <c r="D2438" s="3" t="n">
        <v>6</v>
      </c>
      <c r="E2438" s="3" t="n">
        <v>0</v>
      </c>
      <c r="F2438" s="24" t="n">
        <v>0</v>
      </c>
    </row>
    <row r="2439" customFormat="false" ht="15" hidden="false" customHeight="false" outlineLevel="0" collapsed="false">
      <c r="A2439" s="3" t="n">
        <v>2438</v>
      </c>
      <c r="B2439" s="3" t="n">
        <v>2437</v>
      </c>
      <c r="C2439" s="3" t="n">
        <v>12</v>
      </c>
      <c r="D2439" s="3" t="n">
        <v>6</v>
      </c>
      <c r="E2439" s="3" t="n">
        <v>1</v>
      </c>
      <c r="F2439" s="24" t="n">
        <v>0.219906747</v>
      </c>
    </row>
    <row r="2440" customFormat="false" ht="15" hidden="false" customHeight="false" outlineLevel="0" collapsed="false">
      <c r="A2440" s="3" t="n">
        <v>2439</v>
      </c>
      <c r="B2440" s="3" t="n">
        <v>2438</v>
      </c>
      <c r="C2440" s="3" t="n">
        <v>12</v>
      </c>
      <c r="D2440" s="3" t="n">
        <v>6</v>
      </c>
      <c r="E2440" s="3" t="n">
        <v>2</v>
      </c>
      <c r="F2440" s="24" t="n">
        <v>0.0404642448</v>
      </c>
    </row>
    <row r="2441" customFormat="false" ht="15" hidden="false" customHeight="false" outlineLevel="0" collapsed="false">
      <c r="A2441" s="3" t="n">
        <v>2440</v>
      </c>
      <c r="B2441" s="3" t="n">
        <v>2439</v>
      </c>
      <c r="C2441" s="3" t="n">
        <v>12</v>
      </c>
      <c r="D2441" s="3" t="n">
        <v>6</v>
      </c>
      <c r="E2441" s="3" t="n">
        <v>3</v>
      </c>
      <c r="F2441" s="24" t="n">
        <v>0</v>
      </c>
    </row>
    <row r="2442" customFormat="false" ht="15" hidden="false" customHeight="false" outlineLevel="0" collapsed="false">
      <c r="A2442" s="3" t="n">
        <v>2441</v>
      </c>
      <c r="B2442" s="3" t="n">
        <v>2440</v>
      </c>
      <c r="C2442" s="3" t="n">
        <v>12</v>
      </c>
      <c r="D2442" s="3" t="n">
        <v>6</v>
      </c>
      <c r="E2442" s="3" t="n">
        <v>4</v>
      </c>
      <c r="F2442" s="24" t="n">
        <v>0</v>
      </c>
    </row>
    <row r="2443" customFormat="false" ht="15" hidden="false" customHeight="false" outlineLevel="0" collapsed="false">
      <c r="A2443" s="3" t="n">
        <v>2442</v>
      </c>
      <c r="B2443" s="3" t="n">
        <v>2441</v>
      </c>
      <c r="C2443" s="3" t="n">
        <v>12</v>
      </c>
      <c r="D2443" s="3" t="n">
        <v>6</v>
      </c>
      <c r="E2443" s="3" t="n">
        <v>5</v>
      </c>
      <c r="F2443" s="24" t="n">
        <v>0</v>
      </c>
    </row>
    <row r="2444" customFormat="false" ht="15" hidden="false" customHeight="false" outlineLevel="0" collapsed="false">
      <c r="A2444" s="3" t="n">
        <v>2443</v>
      </c>
      <c r="B2444" s="3" t="n">
        <v>2442</v>
      </c>
      <c r="C2444" s="3" t="n">
        <v>12</v>
      </c>
      <c r="D2444" s="3" t="n">
        <v>6</v>
      </c>
      <c r="E2444" s="3" t="n">
        <v>6</v>
      </c>
      <c r="F2444" s="24" t="n">
        <v>0</v>
      </c>
    </row>
    <row r="2445" customFormat="false" ht="15" hidden="false" customHeight="false" outlineLevel="0" collapsed="false">
      <c r="A2445" s="3" t="n">
        <v>2444</v>
      </c>
      <c r="B2445" s="3" t="n">
        <v>2443</v>
      </c>
      <c r="C2445" s="3" t="n">
        <v>12</v>
      </c>
      <c r="D2445" s="3" t="n">
        <v>6</v>
      </c>
      <c r="E2445" s="3" t="n">
        <v>7</v>
      </c>
      <c r="F2445" s="24" t="n">
        <v>4.54369354</v>
      </c>
    </row>
    <row r="2446" customFormat="false" ht="15" hidden="false" customHeight="false" outlineLevel="0" collapsed="false">
      <c r="A2446" s="3" t="n">
        <v>2445</v>
      </c>
      <c r="B2446" s="3" t="n">
        <v>2444</v>
      </c>
      <c r="C2446" s="3" t="n">
        <v>12</v>
      </c>
      <c r="D2446" s="3" t="n">
        <v>6</v>
      </c>
      <c r="E2446" s="3" t="n">
        <v>8</v>
      </c>
      <c r="F2446" s="24" t="n">
        <v>0</v>
      </c>
    </row>
    <row r="2447" customFormat="false" ht="15" hidden="false" customHeight="false" outlineLevel="0" collapsed="false">
      <c r="A2447" s="3" t="n">
        <v>2446</v>
      </c>
      <c r="B2447" s="3" t="n">
        <v>2445</v>
      </c>
      <c r="C2447" s="3" t="n">
        <v>12</v>
      </c>
      <c r="D2447" s="3" t="n">
        <v>6</v>
      </c>
      <c r="E2447" s="3" t="n">
        <v>9</v>
      </c>
      <c r="F2447" s="24" t="n">
        <v>0</v>
      </c>
    </row>
    <row r="2448" customFormat="false" ht="15" hidden="false" customHeight="false" outlineLevel="0" collapsed="false">
      <c r="A2448" s="3" t="n">
        <v>2447</v>
      </c>
      <c r="B2448" s="3" t="n">
        <v>2446</v>
      </c>
      <c r="C2448" s="3" t="n">
        <v>12</v>
      </c>
      <c r="D2448" s="3" t="n">
        <v>6</v>
      </c>
      <c r="E2448" s="3" t="n">
        <v>10</v>
      </c>
      <c r="F2448" s="24" t="n">
        <v>0</v>
      </c>
    </row>
    <row r="2449" customFormat="false" ht="15" hidden="false" customHeight="false" outlineLevel="0" collapsed="false">
      <c r="A2449" s="3" t="n">
        <v>2448</v>
      </c>
      <c r="B2449" s="3" t="n">
        <v>2447</v>
      </c>
      <c r="C2449" s="3" t="n">
        <v>12</v>
      </c>
      <c r="D2449" s="3" t="n">
        <v>6</v>
      </c>
      <c r="E2449" s="3" t="n">
        <v>11</v>
      </c>
      <c r="F2449" s="24" t="n">
        <v>0.741658092</v>
      </c>
    </row>
    <row r="2450" customFormat="false" ht="15" hidden="false" customHeight="false" outlineLevel="0" collapsed="false">
      <c r="A2450" s="3" t="n">
        <v>2449</v>
      </c>
      <c r="B2450" s="3" t="n">
        <v>2448</v>
      </c>
      <c r="C2450" s="3" t="n">
        <v>12</v>
      </c>
      <c r="D2450" s="3" t="n">
        <v>6</v>
      </c>
      <c r="E2450" s="3" t="n">
        <v>12</v>
      </c>
      <c r="F2450" s="24" t="n">
        <v>0.707277656</v>
      </c>
    </row>
    <row r="2451" customFormat="false" ht="15" hidden="false" customHeight="false" outlineLevel="0" collapsed="false">
      <c r="A2451" s="3" t="n">
        <v>2450</v>
      </c>
      <c r="B2451" s="3" t="n">
        <v>2449</v>
      </c>
      <c r="C2451" s="3" t="n">
        <v>12</v>
      </c>
      <c r="D2451" s="3" t="n">
        <v>6</v>
      </c>
      <c r="E2451" s="3" t="n">
        <v>13</v>
      </c>
      <c r="F2451" s="24" t="n">
        <v>0</v>
      </c>
    </row>
    <row r="2452" customFormat="false" ht="15" hidden="false" customHeight="false" outlineLevel="0" collapsed="false">
      <c r="A2452" s="3" t="n">
        <v>2451</v>
      </c>
      <c r="B2452" s="3" t="n">
        <v>2450</v>
      </c>
      <c r="C2452" s="3" t="n">
        <v>12</v>
      </c>
      <c r="D2452" s="3" t="n">
        <v>7</v>
      </c>
      <c r="E2452" s="3" t="n">
        <v>0</v>
      </c>
      <c r="F2452" s="24" t="n">
        <v>0</v>
      </c>
    </row>
    <row r="2453" customFormat="false" ht="15" hidden="false" customHeight="false" outlineLevel="0" collapsed="false">
      <c r="A2453" s="3" t="n">
        <v>2452</v>
      </c>
      <c r="B2453" s="3" t="n">
        <v>2451</v>
      </c>
      <c r="C2453" s="3" t="n">
        <v>12</v>
      </c>
      <c r="D2453" s="3" t="n">
        <v>7</v>
      </c>
      <c r="E2453" s="3" t="n">
        <v>1</v>
      </c>
      <c r="F2453" s="24" t="n">
        <v>0.179122329</v>
      </c>
    </row>
    <row r="2454" customFormat="false" ht="15" hidden="false" customHeight="false" outlineLevel="0" collapsed="false">
      <c r="A2454" s="3" t="n">
        <v>2453</v>
      </c>
      <c r="B2454" s="3" t="n">
        <v>2452</v>
      </c>
      <c r="C2454" s="3" t="n">
        <v>12</v>
      </c>
      <c r="D2454" s="3" t="n">
        <v>7</v>
      </c>
      <c r="E2454" s="3" t="n">
        <v>2</v>
      </c>
      <c r="F2454" s="24" t="n">
        <v>0.00439970195</v>
      </c>
    </row>
    <row r="2455" customFormat="false" ht="15" hidden="false" customHeight="false" outlineLevel="0" collapsed="false">
      <c r="A2455" s="3" t="n">
        <v>2454</v>
      </c>
      <c r="B2455" s="3" t="n">
        <v>2453</v>
      </c>
      <c r="C2455" s="3" t="n">
        <v>12</v>
      </c>
      <c r="D2455" s="3" t="n">
        <v>7</v>
      </c>
      <c r="E2455" s="3" t="n">
        <v>3</v>
      </c>
      <c r="F2455" s="24" t="n">
        <v>0.00439970195</v>
      </c>
    </row>
    <row r="2456" customFormat="false" ht="15" hidden="false" customHeight="false" outlineLevel="0" collapsed="false">
      <c r="A2456" s="3" t="n">
        <v>2455</v>
      </c>
      <c r="B2456" s="3" t="n">
        <v>2454</v>
      </c>
      <c r="C2456" s="3" t="n">
        <v>12</v>
      </c>
      <c r="D2456" s="3" t="n">
        <v>7</v>
      </c>
      <c r="E2456" s="3" t="n">
        <v>4</v>
      </c>
      <c r="F2456" s="24" t="n">
        <v>0.00439970195</v>
      </c>
    </row>
    <row r="2457" customFormat="false" ht="15" hidden="false" customHeight="false" outlineLevel="0" collapsed="false">
      <c r="A2457" s="3" t="n">
        <v>2456</v>
      </c>
      <c r="B2457" s="3" t="n">
        <v>2455</v>
      </c>
      <c r="C2457" s="3" t="n">
        <v>12</v>
      </c>
      <c r="D2457" s="3" t="n">
        <v>7</v>
      </c>
      <c r="E2457" s="3" t="n">
        <v>5</v>
      </c>
      <c r="F2457" s="24" t="n">
        <v>0.170722976</v>
      </c>
    </row>
    <row r="2458" customFormat="false" ht="15" hidden="false" customHeight="false" outlineLevel="0" collapsed="false">
      <c r="A2458" s="3" t="n">
        <v>2457</v>
      </c>
      <c r="B2458" s="3" t="n">
        <v>2456</v>
      </c>
      <c r="C2458" s="3" t="n">
        <v>12</v>
      </c>
      <c r="D2458" s="3" t="n">
        <v>7</v>
      </c>
      <c r="E2458" s="3" t="n">
        <v>6</v>
      </c>
      <c r="F2458" s="24" t="n">
        <v>4.08948421</v>
      </c>
    </row>
    <row r="2459" customFormat="false" ht="15" hidden="false" customHeight="false" outlineLevel="0" collapsed="false">
      <c r="A2459" s="3" t="n">
        <v>2458</v>
      </c>
      <c r="B2459" s="3" t="n">
        <v>2457</v>
      </c>
      <c r="C2459" s="3" t="n">
        <v>12</v>
      </c>
      <c r="D2459" s="3" t="n">
        <v>7</v>
      </c>
      <c r="E2459" s="3" t="n">
        <v>7</v>
      </c>
      <c r="F2459" s="24" t="n">
        <v>6.83154011</v>
      </c>
    </row>
    <row r="2460" customFormat="false" ht="15" hidden="false" customHeight="false" outlineLevel="0" collapsed="false">
      <c r="A2460" s="3" t="n">
        <v>2459</v>
      </c>
      <c r="B2460" s="3" t="n">
        <v>2458</v>
      </c>
      <c r="C2460" s="3" t="n">
        <v>12</v>
      </c>
      <c r="D2460" s="3" t="n">
        <v>7</v>
      </c>
      <c r="E2460" s="3" t="n">
        <v>8</v>
      </c>
      <c r="F2460" s="24" t="n">
        <v>0</v>
      </c>
    </row>
    <row r="2461" customFormat="false" ht="15" hidden="false" customHeight="false" outlineLevel="0" collapsed="false">
      <c r="A2461" s="3" t="n">
        <v>2460</v>
      </c>
      <c r="B2461" s="3" t="n">
        <v>2459</v>
      </c>
      <c r="C2461" s="3" t="n">
        <v>12</v>
      </c>
      <c r="D2461" s="3" t="n">
        <v>7</v>
      </c>
      <c r="E2461" s="3" t="n">
        <v>9</v>
      </c>
      <c r="F2461" s="24" t="n">
        <v>0</v>
      </c>
    </row>
    <row r="2462" customFormat="false" ht="15" hidden="false" customHeight="false" outlineLevel="0" collapsed="false">
      <c r="A2462" s="3" t="n">
        <v>2461</v>
      </c>
      <c r="B2462" s="3" t="n">
        <v>2460</v>
      </c>
      <c r="C2462" s="3" t="n">
        <v>12</v>
      </c>
      <c r="D2462" s="3" t="n">
        <v>7</v>
      </c>
      <c r="E2462" s="3" t="n">
        <v>10</v>
      </c>
      <c r="F2462" s="24" t="n">
        <v>0</v>
      </c>
    </row>
    <row r="2463" customFormat="false" ht="15" hidden="false" customHeight="false" outlineLevel="0" collapsed="false">
      <c r="A2463" s="3" t="n">
        <v>2462</v>
      </c>
      <c r="B2463" s="3" t="n">
        <v>2461</v>
      </c>
      <c r="C2463" s="3" t="n">
        <v>12</v>
      </c>
      <c r="D2463" s="3" t="n">
        <v>7</v>
      </c>
      <c r="E2463" s="3" t="n">
        <v>11</v>
      </c>
      <c r="F2463" s="24" t="n">
        <v>1.23063123</v>
      </c>
    </row>
    <row r="2464" customFormat="false" ht="15" hidden="false" customHeight="false" outlineLevel="0" collapsed="false">
      <c r="A2464" s="3" t="n">
        <v>2463</v>
      </c>
      <c r="B2464" s="3" t="n">
        <v>2462</v>
      </c>
      <c r="C2464" s="3" t="n">
        <v>12</v>
      </c>
      <c r="D2464" s="3" t="n">
        <v>7</v>
      </c>
      <c r="E2464" s="3" t="n">
        <v>12</v>
      </c>
      <c r="F2464" s="24" t="n">
        <v>0.281982332</v>
      </c>
    </row>
    <row r="2465" customFormat="false" ht="15" hidden="false" customHeight="false" outlineLevel="0" collapsed="false">
      <c r="A2465" s="3" t="n">
        <v>2464</v>
      </c>
      <c r="B2465" s="3" t="n">
        <v>2463</v>
      </c>
      <c r="C2465" s="3" t="n">
        <v>12</v>
      </c>
      <c r="D2465" s="3" t="n">
        <v>7</v>
      </c>
      <c r="E2465" s="3" t="n">
        <v>13</v>
      </c>
      <c r="F2465" s="24" t="n">
        <v>0</v>
      </c>
    </row>
    <row r="2466" customFormat="false" ht="15" hidden="false" customHeight="false" outlineLevel="0" collapsed="false">
      <c r="A2466" s="3" t="n">
        <v>2465</v>
      </c>
      <c r="B2466" s="3" t="n">
        <v>2464</v>
      </c>
      <c r="C2466" s="3" t="n">
        <v>12</v>
      </c>
      <c r="D2466" s="3" t="n">
        <v>8</v>
      </c>
      <c r="E2466" s="3" t="n">
        <v>0</v>
      </c>
      <c r="F2466" s="24" t="n">
        <v>0</v>
      </c>
    </row>
    <row r="2467" customFormat="false" ht="15" hidden="false" customHeight="false" outlineLevel="0" collapsed="false">
      <c r="A2467" s="3" t="n">
        <v>2466</v>
      </c>
      <c r="B2467" s="3" t="n">
        <v>2465</v>
      </c>
      <c r="C2467" s="3" t="n">
        <v>12</v>
      </c>
      <c r="D2467" s="3" t="n">
        <v>8</v>
      </c>
      <c r="E2467" s="3" t="n">
        <v>1</v>
      </c>
      <c r="F2467" s="24" t="n">
        <v>0.179122329</v>
      </c>
    </row>
    <row r="2468" customFormat="false" ht="15" hidden="false" customHeight="false" outlineLevel="0" collapsed="false">
      <c r="A2468" s="3" t="n">
        <v>2467</v>
      </c>
      <c r="B2468" s="3" t="n">
        <v>2466</v>
      </c>
      <c r="C2468" s="3" t="n">
        <v>12</v>
      </c>
      <c r="D2468" s="3" t="n">
        <v>8</v>
      </c>
      <c r="E2468" s="3" t="n">
        <v>2</v>
      </c>
      <c r="F2468" s="24" t="n">
        <v>0.00439970195</v>
      </c>
    </row>
    <row r="2469" customFormat="false" ht="15" hidden="false" customHeight="false" outlineLevel="0" collapsed="false">
      <c r="A2469" s="3" t="n">
        <v>2468</v>
      </c>
      <c r="B2469" s="3" t="n">
        <v>2467</v>
      </c>
      <c r="C2469" s="3" t="n">
        <v>12</v>
      </c>
      <c r="D2469" s="3" t="n">
        <v>8</v>
      </c>
      <c r="E2469" s="3" t="n">
        <v>3</v>
      </c>
      <c r="F2469" s="24" t="n">
        <v>0.00439970195</v>
      </c>
    </row>
    <row r="2470" customFormat="false" ht="15" hidden="false" customHeight="false" outlineLevel="0" collapsed="false">
      <c r="A2470" s="3" t="n">
        <v>2469</v>
      </c>
      <c r="B2470" s="3" t="n">
        <v>2468</v>
      </c>
      <c r="C2470" s="3" t="n">
        <v>12</v>
      </c>
      <c r="D2470" s="3" t="n">
        <v>8</v>
      </c>
      <c r="E2470" s="3" t="n">
        <v>4</v>
      </c>
      <c r="F2470" s="24" t="n">
        <v>0.00548239052</v>
      </c>
    </row>
    <row r="2471" customFormat="false" ht="15" hidden="false" customHeight="false" outlineLevel="0" collapsed="false">
      <c r="A2471" s="3" t="n">
        <v>2470</v>
      </c>
      <c r="B2471" s="3" t="n">
        <v>2469</v>
      </c>
      <c r="C2471" s="3" t="n">
        <v>12</v>
      </c>
      <c r="D2471" s="3" t="n">
        <v>8</v>
      </c>
      <c r="E2471" s="3" t="n">
        <v>5</v>
      </c>
      <c r="F2471" s="24" t="n">
        <v>2.46244645</v>
      </c>
    </row>
    <row r="2472" customFormat="false" ht="15" hidden="false" customHeight="false" outlineLevel="0" collapsed="false">
      <c r="A2472" s="3" t="n">
        <v>2471</v>
      </c>
      <c r="B2472" s="3" t="n">
        <v>2470</v>
      </c>
      <c r="C2472" s="3" t="n">
        <v>12</v>
      </c>
      <c r="D2472" s="3" t="n">
        <v>8</v>
      </c>
      <c r="E2472" s="3" t="n">
        <v>6</v>
      </c>
      <c r="F2472" s="24" t="n">
        <v>7.80004072</v>
      </c>
    </row>
    <row r="2473" customFormat="false" ht="15" hidden="false" customHeight="false" outlineLevel="0" collapsed="false">
      <c r="A2473" s="3" t="n">
        <v>2472</v>
      </c>
      <c r="B2473" s="3" t="n">
        <v>2471</v>
      </c>
      <c r="C2473" s="3" t="n">
        <v>12</v>
      </c>
      <c r="D2473" s="3" t="n">
        <v>8</v>
      </c>
      <c r="E2473" s="3" t="n">
        <v>7</v>
      </c>
      <c r="F2473" s="24" t="n">
        <v>0</v>
      </c>
    </row>
    <row r="2474" customFormat="false" ht="15" hidden="false" customHeight="false" outlineLevel="0" collapsed="false">
      <c r="A2474" s="3" t="n">
        <v>2473</v>
      </c>
      <c r="B2474" s="3" t="n">
        <v>2472</v>
      </c>
      <c r="C2474" s="3" t="n">
        <v>12</v>
      </c>
      <c r="D2474" s="3" t="n">
        <v>8</v>
      </c>
      <c r="E2474" s="3" t="n">
        <v>8</v>
      </c>
      <c r="F2474" s="24" t="n">
        <v>0</v>
      </c>
    </row>
    <row r="2475" customFormat="false" ht="15" hidden="false" customHeight="false" outlineLevel="0" collapsed="false">
      <c r="A2475" s="3" t="n">
        <v>2474</v>
      </c>
      <c r="B2475" s="3" t="n">
        <v>2473</v>
      </c>
      <c r="C2475" s="3" t="n">
        <v>12</v>
      </c>
      <c r="D2475" s="3" t="n">
        <v>8</v>
      </c>
      <c r="E2475" s="3" t="n">
        <v>9</v>
      </c>
      <c r="F2475" s="24" t="n">
        <v>0</v>
      </c>
    </row>
    <row r="2476" customFormat="false" ht="15" hidden="false" customHeight="false" outlineLevel="0" collapsed="false">
      <c r="A2476" s="3" t="n">
        <v>2475</v>
      </c>
      <c r="B2476" s="3" t="n">
        <v>2474</v>
      </c>
      <c r="C2476" s="3" t="n">
        <v>12</v>
      </c>
      <c r="D2476" s="3" t="n">
        <v>8</v>
      </c>
      <c r="E2476" s="3" t="n">
        <v>10</v>
      </c>
      <c r="F2476" s="24" t="n">
        <v>0.532813787</v>
      </c>
    </row>
    <row r="2477" customFormat="false" ht="15" hidden="false" customHeight="false" outlineLevel="0" collapsed="false">
      <c r="A2477" s="3" t="n">
        <v>2476</v>
      </c>
      <c r="B2477" s="3" t="n">
        <v>2475</v>
      </c>
      <c r="C2477" s="3" t="n">
        <v>12</v>
      </c>
      <c r="D2477" s="3" t="n">
        <v>8</v>
      </c>
      <c r="E2477" s="3" t="n">
        <v>11</v>
      </c>
      <c r="F2477" s="24" t="n">
        <v>0.402000487</v>
      </c>
    </row>
    <row r="2478" customFormat="false" ht="15" hidden="false" customHeight="false" outlineLevel="0" collapsed="false">
      <c r="A2478" s="3" t="n">
        <v>2477</v>
      </c>
      <c r="B2478" s="3" t="n">
        <v>2476</v>
      </c>
      <c r="C2478" s="3" t="n">
        <v>12</v>
      </c>
      <c r="D2478" s="3" t="n">
        <v>8</v>
      </c>
      <c r="E2478" s="3" t="n">
        <v>12</v>
      </c>
      <c r="F2478" s="24" t="n">
        <v>0.286149859</v>
      </c>
    </row>
    <row r="2479" customFormat="false" ht="15" hidden="false" customHeight="false" outlineLevel="0" collapsed="false">
      <c r="A2479" s="3" t="n">
        <v>2478</v>
      </c>
      <c r="B2479" s="3" t="n">
        <v>2477</v>
      </c>
      <c r="C2479" s="3" t="n">
        <v>12</v>
      </c>
      <c r="D2479" s="3" t="n">
        <v>8</v>
      </c>
      <c r="E2479" s="3" t="n">
        <v>13</v>
      </c>
      <c r="F2479" s="24" t="n">
        <v>0</v>
      </c>
    </row>
    <row r="2480" customFormat="false" ht="15" hidden="false" customHeight="false" outlineLevel="0" collapsed="false">
      <c r="A2480" s="3" t="n">
        <v>2479</v>
      </c>
      <c r="B2480" s="3" t="n">
        <v>2478</v>
      </c>
      <c r="C2480" s="3" t="n">
        <v>12</v>
      </c>
      <c r="D2480" s="3" t="n">
        <v>9</v>
      </c>
      <c r="E2480" s="3" t="n">
        <v>0</v>
      </c>
      <c r="F2480" s="24" t="n">
        <v>0</v>
      </c>
    </row>
    <row r="2481" customFormat="false" ht="15" hidden="false" customHeight="false" outlineLevel="0" collapsed="false">
      <c r="A2481" s="3" t="n">
        <v>2480</v>
      </c>
      <c r="B2481" s="3" t="n">
        <v>2479</v>
      </c>
      <c r="C2481" s="3" t="n">
        <v>12</v>
      </c>
      <c r="D2481" s="3" t="n">
        <v>9</v>
      </c>
      <c r="E2481" s="3" t="n">
        <v>1</v>
      </c>
      <c r="F2481" s="24" t="n">
        <v>0.179122329</v>
      </c>
    </row>
    <row r="2482" customFormat="false" ht="15" hidden="false" customHeight="false" outlineLevel="0" collapsed="false">
      <c r="A2482" s="3" t="n">
        <v>2481</v>
      </c>
      <c r="B2482" s="3" t="n">
        <v>2480</v>
      </c>
      <c r="C2482" s="3" t="n">
        <v>12</v>
      </c>
      <c r="D2482" s="3" t="n">
        <v>9</v>
      </c>
      <c r="E2482" s="3" t="n">
        <v>2</v>
      </c>
      <c r="F2482" s="24" t="n">
        <v>0.00439970195</v>
      </c>
    </row>
    <row r="2483" customFormat="false" ht="15" hidden="false" customHeight="false" outlineLevel="0" collapsed="false">
      <c r="A2483" s="3" t="n">
        <v>2482</v>
      </c>
      <c r="B2483" s="3" t="n">
        <v>2481</v>
      </c>
      <c r="C2483" s="3" t="n">
        <v>12</v>
      </c>
      <c r="D2483" s="3" t="n">
        <v>9</v>
      </c>
      <c r="E2483" s="3" t="n">
        <v>3</v>
      </c>
      <c r="F2483" s="24" t="n">
        <v>0.00439970195</v>
      </c>
    </row>
    <row r="2484" customFormat="false" ht="15" hidden="false" customHeight="false" outlineLevel="0" collapsed="false">
      <c r="A2484" s="3" t="n">
        <v>2483</v>
      </c>
      <c r="B2484" s="3" t="n">
        <v>2482</v>
      </c>
      <c r="C2484" s="3" t="n">
        <v>12</v>
      </c>
      <c r="D2484" s="3" t="n">
        <v>9</v>
      </c>
      <c r="E2484" s="3" t="n">
        <v>4</v>
      </c>
      <c r="F2484" s="24" t="n">
        <v>0.773793936</v>
      </c>
    </row>
    <row r="2485" customFormat="false" ht="15" hidden="false" customHeight="false" outlineLevel="0" collapsed="false">
      <c r="A2485" s="3" t="n">
        <v>2484</v>
      </c>
      <c r="B2485" s="3" t="n">
        <v>2483</v>
      </c>
      <c r="C2485" s="3" t="n">
        <v>12</v>
      </c>
      <c r="D2485" s="3" t="n">
        <v>9</v>
      </c>
      <c r="E2485" s="3" t="n">
        <v>5</v>
      </c>
      <c r="F2485" s="24" t="n">
        <v>6.6233983</v>
      </c>
    </row>
    <row r="2486" customFormat="false" ht="15" hidden="false" customHeight="false" outlineLevel="0" collapsed="false">
      <c r="A2486" s="3" t="n">
        <v>2485</v>
      </c>
      <c r="B2486" s="3" t="n">
        <v>2484</v>
      </c>
      <c r="C2486" s="3" t="n">
        <v>12</v>
      </c>
      <c r="D2486" s="3" t="n">
        <v>9</v>
      </c>
      <c r="E2486" s="3" t="n">
        <v>6</v>
      </c>
      <c r="F2486" s="24" t="n">
        <v>4.68431091</v>
      </c>
    </row>
    <row r="2487" customFormat="false" ht="15" hidden="false" customHeight="false" outlineLevel="0" collapsed="false">
      <c r="A2487" s="3" t="n">
        <v>2486</v>
      </c>
      <c r="B2487" s="3" t="n">
        <v>2485</v>
      </c>
      <c r="C2487" s="3" t="n">
        <v>12</v>
      </c>
      <c r="D2487" s="3" t="n">
        <v>9</v>
      </c>
      <c r="E2487" s="3" t="n">
        <v>7</v>
      </c>
      <c r="F2487" s="24" t="n">
        <v>0</v>
      </c>
    </row>
    <row r="2488" customFormat="false" ht="15" hidden="false" customHeight="false" outlineLevel="0" collapsed="false">
      <c r="A2488" s="3" t="n">
        <v>2487</v>
      </c>
      <c r="B2488" s="3" t="n">
        <v>2486</v>
      </c>
      <c r="C2488" s="3" t="n">
        <v>12</v>
      </c>
      <c r="D2488" s="3" t="n">
        <v>9</v>
      </c>
      <c r="E2488" s="3" t="n">
        <v>8</v>
      </c>
      <c r="F2488" s="24" t="n">
        <v>0</v>
      </c>
    </row>
    <row r="2489" customFormat="false" ht="15" hidden="false" customHeight="false" outlineLevel="0" collapsed="false">
      <c r="A2489" s="3" t="n">
        <v>2488</v>
      </c>
      <c r="B2489" s="3" t="n">
        <v>2487</v>
      </c>
      <c r="C2489" s="3" t="n">
        <v>12</v>
      </c>
      <c r="D2489" s="3" t="n">
        <v>9</v>
      </c>
      <c r="E2489" s="3" t="n">
        <v>9</v>
      </c>
      <c r="F2489" s="24" t="n">
        <v>0</v>
      </c>
    </row>
    <row r="2490" customFormat="false" ht="15" hidden="false" customHeight="false" outlineLevel="0" collapsed="false">
      <c r="A2490" s="3" t="n">
        <v>2489</v>
      </c>
      <c r="B2490" s="3" t="n">
        <v>2488</v>
      </c>
      <c r="C2490" s="3" t="n">
        <v>12</v>
      </c>
      <c r="D2490" s="3" t="n">
        <v>9</v>
      </c>
      <c r="E2490" s="3" t="n">
        <v>10</v>
      </c>
      <c r="F2490" s="24" t="n">
        <v>1.07448411</v>
      </c>
    </row>
    <row r="2491" customFormat="false" ht="15" hidden="false" customHeight="false" outlineLevel="0" collapsed="false">
      <c r="A2491" s="3" t="n">
        <v>2490</v>
      </c>
      <c r="B2491" s="3" t="n">
        <v>2489</v>
      </c>
      <c r="C2491" s="3" t="n">
        <v>12</v>
      </c>
      <c r="D2491" s="3" t="n">
        <v>9</v>
      </c>
      <c r="E2491" s="3" t="n">
        <v>11</v>
      </c>
      <c r="F2491" s="24" t="n">
        <v>0.00264017284</v>
      </c>
    </row>
    <row r="2492" customFormat="false" ht="15" hidden="false" customHeight="false" outlineLevel="0" collapsed="false">
      <c r="A2492" s="3" t="n">
        <v>2491</v>
      </c>
      <c r="B2492" s="3" t="n">
        <v>2490</v>
      </c>
      <c r="C2492" s="3" t="n">
        <v>12</v>
      </c>
      <c r="D2492" s="3" t="n">
        <v>9</v>
      </c>
      <c r="E2492" s="3" t="n">
        <v>12</v>
      </c>
      <c r="F2492" s="24" t="n">
        <v>0.286149859</v>
      </c>
    </row>
    <row r="2493" customFormat="false" ht="15" hidden="false" customHeight="false" outlineLevel="0" collapsed="false">
      <c r="A2493" s="3" t="n">
        <v>2492</v>
      </c>
      <c r="B2493" s="3" t="n">
        <v>2491</v>
      </c>
      <c r="C2493" s="3" t="n">
        <v>12</v>
      </c>
      <c r="D2493" s="3" t="n">
        <v>9</v>
      </c>
      <c r="E2493" s="3" t="n">
        <v>13</v>
      </c>
      <c r="F2493" s="24" t="n">
        <v>0</v>
      </c>
    </row>
    <row r="2494" customFormat="false" ht="15" hidden="false" customHeight="false" outlineLevel="0" collapsed="false">
      <c r="A2494" s="3" t="n">
        <v>2493</v>
      </c>
      <c r="B2494" s="3" t="n">
        <v>2492</v>
      </c>
      <c r="C2494" s="3" t="n">
        <v>12</v>
      </c>
      <c r="D2494" s="3" t="n">
        <v>10</v>
      </c>
      <c r="E2494" s="3" t="n">
        <v>0</v>
      </c>
      <c r="F2494" s="24" t="n">
        <v>0</v>
      </c>
    </row>
    <row r="2495" customFormat="false" ht="15" hidden="false" customHeight="false" outlineLevel="0" collapsed="false">
      <c r="A2495" s="3" t="n">
        <v>2494</v>
      </c>
      <c r="B2495" s="3" t="n">
        <v>2493</v>
      </c>
      <c r="C2495" s="3" t="n">
        <v>12</v>
      </c>
      <c r="D2495" s="3" t="n">
        <v>10</v>
      </c>
      <c r="E2495" s="3" t="n">
        <v>1</v>
      </c>
      <c r="F2495" s="24" t="n">
        <v>0.179122329</v>
      </c>
    </row>
    <row r="2496" customFormat="false" ht="15" hidden="false" customHeight="false" outlineLevel="0" collapsed="false">
      <c r="A2496" s="3" t="n">
        <v>2495</v>
      </c>
      <c r="B2496" s="3" t="n">
        <v>2494</v>
      </c>
      <c r="C2496" s="3" t="n">
        <v>12</v>
      </c>
      <c r="D2496" s="3" t="n">
        <v>10</v>
      </c>
      <c r="E2496" s="3" t="n">
        <v>2</v>
      </c>
      <c r="F2496" s="24" t="n">
        <v>0.00439970195</v>
      </c>
    </row>
    <row r="2497" customFormat="false" ht="15" hidden="false" customHeight="false" outlineLevel="0" collapsed="false">
      <c r="A2497" s="3" t="n">
        <v>2496</v>
      </c>
      <c r="B2497" s="3" t="n">
        <v>2495</v>
      </c>
      <c r="C2497" s="3" t="n">
        <v>12</v>
      </c>
      <c r="D2497" s="3" t="n">
        <v>10</v>
      </c>
      <c r="E2497" s="3" t="n">
        <v>3</v>
      </c>
      <c r="F2497" s="24" t="n">
        <v>0.134393871</v>
      </c>
    </row>
    <row r="2498" customFormat="false" ht="15" hidden="false" customHeight="false" outlineLevel="0" collapsed="false">
      <c r="A2498" s="3" t="n">
        <v>2497</v>
      </c>
      <c r="B2498" s="3" t="n">
        <v>2496</v>
      </c>
      <c r="C2498" s="3" t="n">
        <v>12</v>
      </c>
      <c r="D2498" s="3" t="n">
        <v>10</v>
      </c>
      <c r="E2498" s="3" t="n">
        <v>4</v>
      </c>
      <c r="F2498" s="24" t="n">
        <v>3.71240211</v>
      </c>
    </row>
    <row r="2499" customFormat="false" ht="15" hidden="false" customHeight="false" outlineLevel="0" collapsed="false">
      <c r="A2499" s="3" t="n">
        <v>2498</v>
      </c>
      <c r="B2499" s="3" t="n">
        <v>2497</v>
      </c>
      <c r="C2499" s="3" t="n">
        <v>12</v>
      </c>
      <c r="D2499" s="3" t="n">
        <v>10</v>
      </c>
      <c r="E2499" s="3" t="n">
        <v>5</v>
      </c>
      <c r="F2499" s="24" t="n">
        <v>7.78639936</v>
      </c>
    </row>
    <row r="2500" customFormat="false" ht="15" hidden="false" customHeight="false" outlineLevel="0" collapsed="false">
      <c r="A2500" s="3" t="n">
        <v>2499</v>
      </c>
      <c r="B2500" s="3" t="n">
        <v>2498</v>
      </c>
      <c r="C2500" s="3" t="n">
        <v>12</v>
      </c>
      <c r="D2500" s="3" t="n">
        <v>10</v>
      </c>
      <c r="E2500" s="3" t="n">
        <v>6</v>
      </c>
      <c r="F2500" s="24" t="n">
        <v>0</v>
      </c>
    </row>
    <row r="2501" customFormat="false" ht="15" hidden="false" customHeight="false" outlineLevel="0" collapsed="false">
      <c r="A2501" s="3" t="n">
        <v>2500</v>
      </c>
      <c r="B2501" s="3" t="n">
        <v>2499</v>
      </c>
      <c r="C2501" s="3" t="n">
        <v>12</v>
      </c>
      <c r="D2501" s="3" t="n">
        <v>10</v>
      </c>
      <c r="E2501" s="3" t="n">
        <v>7</v>
      </c>
      <c r="F2501" s="24" t="n">
        <v>0</v>
      </c>
    </row>
    <row r="2502" customFormat="false" ht="15" hidden="false" customHeight="false" outlineLevel="0" collapsed="false">
      <c r="A2502" s="3" t="n">
        <v>2501</v>
      </c>
      <c r="B2502" s="3" t="n">
        <v>2500</v>
      </c>
      <c r="C2502" s="3" t="n">
        <v>12</v>
      </c>
      <c r="D2502" s="3" t="n">
        <v>10</v>
      </c>
      <c r="E2502" s="3" t="n">
        <v>8</v>
      </c>
      <c r="F2502" s="24" t="n">
        <v>0</v>
      </c>
    </row>
    <row r="2503" customFormat="false" ht="15" hidden="false" customHeight="false" outlineLevel="0" collapsed="false">
      <c r="A2503" s="3" t="n">
        <v>2502</v>
      </c>
      <c r="B2503" s="3" t="n">
        <v>2501</v>
      </c>
      <c r="C2503" s="3" t="n">
        <v>12</v>
      </c>
      <c r="D2503" s="3" t="n">
        <v>10</v>
      </c>
      <c r="E2503" s="3" t="n">
        <v>9</v>
      </c>
      <c r="F2503" s="24" t="n">
        <v>0.713011861</v>
      </c>
    </row>
    <row r="2504" customFormat="false" ht="15" hidden="false" customHeight="false" outlineLevel="0" collapsed="false">
      <c r="A2504" s="3" t="n">
        <v>2503</v>
      </c>
      <c r="B2504" s="3" t="n">
        <v>2502</v>
      </c>
      <c r="C2504" s="3" t="n">
        <v>12</v>
      </c>
      <c r="D2504" s="3" t="n">
        <v>10</v>
      </c>
      <c r="E2504" s="3" t="n">
        <v>10</v>
      </c>
      <c r="F2504" s="24" t="n">
        <v>0.326324612</v>
      </c>
    </row>
    <row r="2505" customFormat="false" ht="15" hidden="false" customHeight="false" outlineLevel="0" collapsed="false">
      <c r="A2505" s="3" t="n">
        <v>2504</v>
      </c>
      <c r="B2505" s="3" t="n">
        <v>2503</v>
      </c>
      <c r="C2505" s="3" t="n">
        <v>12</v>
      </c>
      <c r="D2505" s="3" t="n">
        <v>10</v>
      </c>
      <c r="E2505" s="3" t="n">
        <v>11</v>
      </c>
      <c r="F2505" s="24" t="n">
        <v>0.00439970195</v>
      </c>
    </row>
    <row r="2506" customFormat="false" ht="15" hidden="false" customHeight="false" outlineLevel="0" collapsed="false">
      <c r="A2506" s="3" t="n">
        <v>2505</v>
      </c>
      <c r="B2506" s="3" t="n">
        <v>2504</v>
      </c>
      <c r="C2506" s="3" t="n">
        <v>12</v>
      </c>
      <c r="D2506" s="3" t="n">
        <v>10</v>
      </c>
      <c r="E2506" s="3" t="n">
        <v>12</v>
      </c>
      <c r="F2506" s="24" t="n">
        <v>0.286149859</v>
      </c>
    </row>
    <row r="2507" customFormat="false" ht="15" hidden="false" customHeight="false" outlineLevel="0" collapsed="false">
      <c r="A2507" s="3" t="n">
        <v>2506</v>
      </c>
      <c r="B2507" s="3" t="n">
        <v>2505</v>
      </c>
      <c r="C2507" s="3" t="n">
        <v>12</v>
      </c>
      <c r="D2507" s="3" t="n">
        <v>10</v>
      </c>
      <c r="E2507" s="3" t="n">
        <v>13</v>
      </c>
      <c r="F2507" s="24" t="n">
        <v>0</v>
      </c>
    </row>
    <row r="2508" customFormat="false" ht="15" hidden="false" customHeight="false" outlineLevel="0" collapsed="false">
      <c r="A2508" s="3" t="n">
        <v>2507</v>
      </c>
      <c r="B2508" s="3" t="n">
        <v>2506</v>
      </c>
      <c r="C2508" s="3" t="n">
        <v>12</v>
      </c>
      <c r="D2508" s="3" t="n">
        <v>11</v>
      </c>
      <c r="E2508" s="3" t="n">
        <v>0</v>
      </c>
      <c r="F2508" s="24" t="n">
        <v>0</v>
      </c>
    </row>
    <row r="2509" customFormat="false" ht="15" hidden="false" customHeight="false" outlineLevel="0" collapsed="false">
      <c r="A2509" s="3" t="n">
        <v>2508</v>
      </c>
      <c r="B2509" s="3" t="n">
        <v>2507</v>
      </c>
      <c r="C2509" s="3" t="n">
        <v>12</v>
      </c>
      <c r="D2509" s="3" t="n">
        <v>11</v>
      </c>
      <c r="E2509" s="3" t="n">
        <v>1</v>
      </c>
      <c r="F2509" s="24" t="n">
        <v>0.179122329</v>
      </c>
    </row>
    <row r="2510" customFormat="false" ht="15" hidden="false" customHeight="false" outlineLevel="0" collapsed="false">
      <c r="A2510" s="3" t="n">
        <v>2509</v>
      </c>
      <c r="B2510" s="3" t="n">
        <v>2508</v>
      </c>
      <c r="C2510" s="3" t="n">
        <v>12</v>
      </c>
      <c r="D2510" s="3" t="n">
        <v>11</v>
      </c>
      <c r="E2510" s="3" t="n">
        <v>2</v>
      </c>
      <c r="F2510" s="24" t="n">
        <v>0.00439970195</v>
      </c>
    </row>
    <row r="2511" customFormat="false" ht="15" hidden="false" customHeight="false" outlineLevel="0" collapsed="false">
      <c r="A2511" s="3" t="n">
        <v>2510</v>
      </c>
      <c r="B2511" s="3" t="n">
        <v>2509</v>
      </c>
      <c r="C2511" s="3" t="n">
        <v>12</v>
      </c>
      <c r="D2511" s="3" t="n">
        <v>11</v>
      </c>
      <c r="E2511" s="3" t="n">
        <v>3</v>
      </c>
      <c r="F2511" s="24" t="n">
        <v>0.767283559</v>
      </c>
    </row>
    <row r="2512" customFormat="false" ht="15" hidden="false" customHeight="false" outlineLevel="0" collapsed="false">
      <c r="A2512" s="3" t="n">
        <v>2511</v>
      </c>
      <c r="B2512" s="3" t="n">
        <v>2510</v>
      </c>
      <c r="C2512" s="3" t="n">
        <v>12</v>
      </c>
      <c r="D2512" s="3" t="n">
        <v>11</v>
      </c>
      <c r="E2512" s="3" t="n">
        <v>4</v>
      </c>
      <c r="F2512" s="24" t="n">
        <v>6.79201365</v>
      </c>
    </row>
    <row r="2513" customFormat="false" ht="15" hidden="false" customHeight="false" outlineLevel="0" collapsed="false">
      <c r="A2513" s="3" t="n">
        <v>2512</v>
      </c>
      <c r="B2513" s="3" t="n">
        <v>2511</v>
      </c>
      <c r="C2513" s="3" t="n">
        <v>12</v>
      </c>
      <c r="D2513" s="3" t="n">
        <v>11</v>
      </c>
      <c r="E2513" s="3" t="n">
        <v>5</v>
      </c>
      <c r="F2513" s="24" t="n">
        <v>2.13661289</v>
      </c>
    </row>
    <row r="2514" customFormat="false" ht="15" hidden="false" customHeight="false" outlineLevel="0" collapsed="false">
      <c r="A2514" s="3" t="n">
        <v>2513</v>
      </c>
      <c r="B2514" s="3" t="n">
        <v>2512</v>
      </c>
      <c r="C2514" s="3" t="n">
        <v>12</v>
      </c>
      <c r="D2514" s="3" t="n">
        <v>11</v>
      </c>
      <c r="E2514" s="3" t="n">
        <v>6</v>
      </c>
      <c r="F2514" s="24" t="n">
        <v>0</v>
      </c>
    </row>
    <row r="2515" customFormat="false" ht="15" hidden="false" customHeight="false" outlineLevel="0" collapsed="false">
      <c r="A2515" s="3" t="n">
        <v>2514</v>
      </c>
      <c r="B2515" s="3" t="n">
        <v>2513</v>
      </c>
      <c r="C2515" s="3" t="n">
        <v>12</v>
      </c>
      <c r="D2515" s="3" t="n">
        <v>11</v>
      </c>
      <c r="E2515" s="3" t="n">
        <v>7</v>
      </c>
      <c r="F2515" s="24" t="n">
        <v>0</v>
      </c>
    </row>
    <row r="2516" customFormat="false" ht="15" hidden="false" customHeight="false" outlineLevel="0" collapsed="false">
      <c r="A2516" s="3" t="n">
        <v>2515</v>
      </c>
      <c r="B2516" s="3" t="n">
        <v>2514</v>
      </c>
      <c r="C2516" s="3" t="n">
        <v>12</v>
      </c>
      <c r="D2516" s="3" t="n">
        <v>11</v>
      </c>
      <c r="E2516" s="3" t="n">
        <v>8</v>
      </c>
      <c r="F2516" s="24" t="n">
        <v>0</v>
      </c>
    </row>
    <row r="2517" customFormat="false" ht="15" hidden="false" customHeight="false" outlineLevel="0" collapsed="false">
      <c r="A2517" s="3" t="n">
        <v>2516</v>
      </c>
      <c r="B2517" s="3" t="n">
        <v>2515</v>
      </c>
      <c r="C2517" s="3" t="n">
        <v>12</v>
      </c>
      <c r="D2517" s="3" t="n">
        <v>11</v>
      </c>
      <c r="E2517" s="3" t="n">
        <v>9</v>
      </c>
      <c r="F2517" s="24" t="n">
        <v>0.904209375</v>
      </c>
    </row>
    <row r="2518" customFormat="false" ht="15" hidden="false" customHeight="false" outlineLevel="0" collapsed="false">
      <c r="A2518" s="3" t="n">
        <v>2517</v>
      </c>
      <c r="B2518" s="3" t="n">
        <v>2516</v>
      </c>
      <c r="C2518" s="3" t="n">
        <v>12</v>
      </c>
      <c r="D2518" s="3" t="n">
        <v>11</v>
      </c>
      <c r="E2518" s="3" t="n">
        <v>10</v>
      </c>
      <c r="F2518" s="24" t="n">
        <v>0.00439970195</v>
      </c>
    </row>
    <row r="2519" customFormat="false" ht="15" hidden="false" customHeight="false" outlineLevel="0" collapsed="false">
      <c r="A2519" s="3" t="n">
        <v>2518</v>
      </c>
      <c r="B2519" s="3" t="n">
        <v>2517</v>
      </c>
      <c r="C2519" s="3" t="n">
        <v>12</v>
      </c>
      <c r="D2519" s="3" t="n">
        <v>11</v>
      </c>
      <c r="E2519" s="3" t="n">
        <v>11</v>
      </c>
      <c r="F2519" s="24" t="n">
        <v>0.00439970195</v>
      </c>
    </row>
    <row r="2520" customFormat="false" ht="15" hidden="false" customHeight="false" outlineLevel="0" collapsed="false">
      <c r="A2520" s="3" t="n">
        <v>2519</v>
      </c>
      <c r="B2520" s="3" t="n">
        <v>2518</v>
      </c>
      <c r="C2520" s="3" t="n">
        <v>12</v>
      </c>
      <c r="D2520" s="3" t="n">
        <v>11</v>
      </c>
      <c r="E2520" s="3" t="n">
        <v>12</v>
      </c>
      <c r="F2520" s="24" t="n">
        <v>0.286149859</v>
      </c>
    </row>
    <row r="2521" customFormat="false" ht="15" hidden="false" customHeight="false" outlineLevel="0" collapsed="false">
      <c r="A2521" s="3" t="n">
        <v>2520</v>
      </c>
      <c r="B2521" s="3" t="n">
        <v>2519</v>
      </c>
      <c r="C2521" s="3" t="n">
        <v>12</v>
      </c>
      <c r="D2521" s="3" t="n">
        <v>11</v>
      </c>
      <c r="E2521" s="3" t="n">
        <v>13</v>
      </c>
      <c r="F2521" s="24" t="n">
        <v>0</v>
      </c>
    </row>
    <row r="2522" customFormat="false" ht="15" hidden="false" customHeight="false" outlineLevel="0" collapsed="false">
      <c r="A2522" s="3" t="n">
        <v>2521</v>
      </c>
      <c r="B2522" s="3" t="n">
        <v>2520</v>
      </c>
      <c r="C2522" s="3" t="n">
        <v>12</v>
      </c>
      <c r="D2522" s="3" t="n">
        <v>12</v>
      </c>
      <c r="E2522" s="3" t="n">
        <v>0</v>
      </c>
      <c r="F2522" s="24" t="n">
        <v>0</v>
      </c>
    </row>
    <row r="2523" customFormat="false" ht="15" hidden="false" customHeight="false" outlineLevel="0" collapsed="false">
      <c r="A2523" s="3" t="n">
        <v>2522</v>
      </c>
      <c r="B2523" s="3" t="n">
        <v>2521</v>
      </c>
      <c r="C2523" s="3" t="n">
        <v>12</v>
      </c>
      <c r="D2523" s="3" t="n">
        <v>12</v>
      </c>
      <c r="E2523" s="3" t="n">
        <v>1</v>
      </c>
      <c r="F2523" s="24" t="n">
        <v>0.374906123</v>
      </c>
    </row>
    <row r="2524" customFormat="false" ht="15" hidden="false" customHeight="false" outlineLevel="0" collapsed="false">
      <c r="A2524" s="3" t="n">
        <v>2523</v>
      </c>
      <c r="B2524" s="3" t="n">
        <v>2522</v>
      </c>
      <c r="C2524" s="3" t="n">
        <v>12</v>
      </c>
      <c r="D2524" s="3" t="n">
        <v>12</v>
      </c>
      <c r="E2524" s="3" t="n">
        <v>2</v>
      </c>
      <c r="F2524" s="24" t="n">
        <v>0.207115248</v>
      </c>
    </row>
    <row r="2525" customFormat="false" ht="15" hidden="false" customHeight="false" outlineLevel="0" collapsed="false">
      <c r="A2525" s="3" t="n">
        <v>2524</v>
      </c>
      <c r="B2525" s="3" t="n">
        <v>2523</v>
      </c>
      <c r="C2525" s="3" t="n">
        <v>12</v>
      </c>
      <c r="D2525" s="3" t="n">
        <v>12</v>
      </c>
      <c r="E2525" s="3" t="n">
        <v>3</v>
      </c>
      <c r="F2525" s="24" t="n">
        <v>1.49570286</v>
      </c>
    </row>
    <row r="2526" customFormat="false" ht="15" hidden="false" customHeight="false" outlineLevel="0" collapsed="false">
      <c r="A2526" s="3" t="n">
        <v>2525</v>
      </c>
      <c r="B2526" s="3" t="n">
        <v>2524</v>
      </c>
      <c r="C2526" s="3" t="n">
        <v>12</v>
      </c>
      <c r="D2526" s="3" t="n">
        <v>12</v>
      </c>
      <c r="E2526" s="3" t="n">
        <v>4</v>
      </c>
      <c r="F2526" s="24" t="n">
        <v>5.17858267</v>
      </c>
    </row>
    <row r="2527" customFormat="false" ht="15" hidden="false" customHeight="false" outlineLevel="0" collapsed="false">
      <c r="A2527" s="3" t="n">
        <v>2526</v>
      </c>
      <c r="B2527" s="3" t="n">
        <v>2525</v>
      </c>
      <c r="C2527" s="3" t="n">
        <v>12</v>
      </c>
      <c r="D2527" s="3" t="n">
        <v>12</v>
      </c>
      <c r="E2527" s="3" t="n">
        <v>5</v>
      </c>
      <c r="F2527" s="24" t="n">
        <v>0</v>
      </c>
    </row>
    <row r="2528" customFormat="false" ht="15" hidden="false" customHeight="false" outlineLevel="0" collapsed="false">
      <c r="A2528" s="3" t="n">
        <v>2527</v>
      </c>
      <c r="B2528" s="3" t="n">
        <v>2526</v>
      </c>
      <c r="C2528" s="3" t="n">
        <v>12</v>
      </c>
      <c r="D2528" s="3" t="n">
        <v>12</v>
      </c>
      <c r="E2528" s="3" t="n">
        <v>6</v>
      </c>
      <c r="F2528" s="24" t="n">
        <v>0</v>
      </c>
    </row>
    <row r="2529" customFormat="false" ht="15" hidden="false" customHeight="false" outlineLevel="0" collapsed="false">
      <c r="A2529" s="3" t="n">
        <v>2528</v>
      </c>
      <c r="B2529" s="3" t="n">
        <v>2527</v>
      </c>
      <c r="C2529" s="3" t="n">
        <v>12</v>
      </c>
      <c r="D2529" s="3" t="n">
        <v>12</v>
      </c>
      <c r="E2529" s="3" t="n">
        <v>7</v>
      </c>
      <c r="F2529" s="24" t="n">
        <v>0</v>
      </c>
    </row>
    <row r="2530" customFormat="false" ht="15" hidden="false" customHeight="false" outlineLevel="0" collapsed="false">
      <c r="A2530" s="3" t="n">
        <v>2529</v>
      </c>
      <c r="B2530" s="3" t="n">
        <v>2528</v>
      </c>
      <c r="C2530" s="3" t="n">
        <v>12</v>
      </c>
      <c r="D2530" s="3" t="n">
        <v>12</v>
      </c>
      <c r="E2530" s="3" t="n">
        <v>8</v>
      </c>
      <c r="F2530" s="24" t="n">
        <v>1.37741983</v>
      </c>
    </row>
    <row r="2531" customFormat="false" ht="15" hidden="false" customHeight="false" outlineLevel="0" collapsed="false">
      <c r="A2531" s="3" t="n">
        <v>2530</v>
      </c>
      <c r="B2531" s="3" t="n">
        <v>2529</v>
      </c>
      <c r="C2531" s="3" t="n">
        <v>12</v>
      </c>
      <c r="D2531" s="3" t="n">
        <v>12</v>
      </c>
      <c r="E2531" s="3" t="n">
        <v>9</v>
      </c>
      <c r="F2531" s="24" t="n">
        <v>0.264793605</v>
      </c>
    </row>
    <row r="2532" customFormat="false" ht="15" hidden="false" customHeight="false" outlineLevel="0" collapsed="false">
      <c r="A2532" s="3" t="n">
        <v>2531</v>
      </c>
      <c r="B2532" s="3" t="n">
        <v>2530</v>
      </c>
      <c r="C2532" s="3" t="n">
        <v>12</v>
      </c>
      <c r="D2532" s="3" t="n">
        <v>12</v>
      </c>
      <c r="E2532" s="3" t="n">
        <v>10</v>
      </c>
      <c r="F2532" s="24" t="n">
        <v>0.207115248</v>
      </c>
    </row>
    <row r="2533" customFormat="false" ht="15" hidden="false" customHeight="false" outlineLevel="0" collapsed="false">
      <c r="A2533" s="3" t="n">
        <v>2532</v>
      </c>
      <c r="B2533" s="3" t="n">
        <v>2531</v>
      </c>
      <c r="C2533" s="3" t="n">
        <v>12</v>
      </c>
      <c r="D2533" s="3" t="n">
        <v>12</v>
      </c>
      <c r="E2533" s="3" t="n">
        <v>11</v>
      </c>
      <c r="F2533" s="24" t="n">
        <v>0.207115248</v>
      </c>
    </row>
    <row r="2534" customFormat="false" ht="15" hidden="false" customHeight="false" outlineLevel="0" collapsed="false">
      <c r="A2534" s="3" t="n">
        <v>2533</v>
      </c>
      <c r="B2534" s="3" t="n">
        <v>2532</v>
      </c>
      <c r="C2534" s="3" t="n">
        <v>12</v>
      </c>
      <c r="D2534" s="3" t="n">
        <v>12</v>
      </c>
      <c r="E2534" s="3" t="n">
        <v>12</v>
      </c>
      <c r="F2534" s="24" t="n">
        <v>0.488865376</v>
      </c>
    </row>
    <row r="2535" customFormat="false" ht="15" hidden="false" customHeight="false" outlineLevel="0" collapsed="false">
      <c r="A2535" s="3" t="n">
        <v>2534</v>
      </c>
      <c r="B2535" s="3" t="n">
        <v>2533</v>
      </c>
      <c r="C2535" s="3" t="n">
        <v>12</v>
      </c>
      <c r="D2535" s="3" t="n">
        <v>12</v>
      </c>
      <c r="E2535" s="3" t="n">
        <v>13</v>
      </c>
      <c r="F2535" s="24" t="n">
        <v>0.104774028</v>
      </c>
    </row>
    <row r="2536" customFormat="false" ht="15" hidden="false" customHeight="false" outlineLevel="0" collapsed="false">
      <c r="A2536" s="3" t="n">
        <v>2535</v>
      </c>
      <c r="B2536" s="3" t="n">
        <v>2534</v>
      </c>
      <c r="C2536" s="3" t="n">
        <v>12</v>
      </c>
      <c r="D2536" s="3" t="n">
        <v>13</v>
      </c>
      <c r="E2536" s="3" t="n">
        <v>0</v>
      </c>
      <c r="F2536" s="24" t="n">
        <v>0</v>
      </c>
    </row>
    <row r="2537" customFormat="false" ht="15" hidden="false" customHeight="false" outlineLevel="0" collapsed="false">
      <c r="A2537" s="3" t="n">
        <v>2536</v>
      </c>
      <c r="B2537" s="3" t="n">
        <v>2535</v>
      </c>
      <c r="C2537" s="3" t="n">
        <v>12</v>
      </c>
      <c r="D2537" s="3" t="n">
        <v>13</v>
      </c>
      <c r="E2537" s="3" t="n">
        <v>1</v>
      </c>
      <c r="F2537" s="24" t="n">
        <v>0.0566796437</v>
      </c>
    </row>
    <row r="2538" customFormat="false" ht="15" hidden="false" customHeight="false" outlineLevel="0" collapsed="false">
      <c r="A2538" s="3" t="n">
        <v>2537</v>
      </c>
      <c r="B2538" s="3" t="n">
        <v>2536</v>
      </c>
      <c r="C2538" s="3" t="n">
        <v>12</v>
      </c>
      <c r="D2538" s="3" t="n">
        <v>13</v>
      </c>
      <c r="E2538" s="3" t="n">
        <v>2</v>
      </c>
      <c r="F2538" s="24" t="n">
        <v>0</v>
      </c>
    </row>
    <row r="2539" customFormat="false" ht="15" hidden="false" customHeight="false" outlineLevel="0" collapsed="false">
      <c r="A2539" s="3" t="n">
        <v>2538</v>
      </c>
      <c r="B2539" s="3" t="n">
        <v>2537</v>
      </c>
      <c r="C2539" s="3" t="n">
        <v>12</v>
      </c>
      <c r="D2539" s="3" t="n">
        <v>13</v>
      </c>
      <c r="E2539" s="3" t="n">
        <v>3</v>
      </c>
      <c r="F2539" s="24" t="n">
        <v>0.077923581</v>
      </c>
    </row>
    <row r="2540" customFormat="false" ht="15" hidden="false" customHeight="false" outlineLevel="0" collapsed="false">
      <c r="A2540" s="3" t="n">
        <v>2539</v>
      </c>
      <c r="B2540" s="3" t="n">
        <v>2538</v>
      </c>
      <c r="C2540" s="3" t="n">
        <v>12</v>
      </c>
      <c r="D2540" s="3" t="n">
        <v>13</v>
      </c>
      <c r="E2540" s="3" t="n">
        <v>4</v>
      </c>
      <c r="F2540" s="24" t="n">
        <v>0</v>
      </c>
    </row>
    <row r="2541" customFormat="false" ht="15" hidden="false" customHeight="false" outlineLevel="0" collapsed="false">
      <c r="A2541" s="3" t="n">
        <v>2540</v>
      </c>
      <c r="B2541" s="3" t="n">
        <v>2539</v>
      </c>
      <c r="C2541" s="3" t="n">
        <v>12</v>
      </c>
      <c r="D2541" s="3" t="n">
        <v>13</v>
      </c>
      <c r="E2541" s="3" t="n">
        <v>5</v>
      </c>
      <c r="F2541" s="24" t="n">
        <v>0</v>
      </c>
    </row>
    <row r="2542" customFormat="false" ht="15" hidden="false" customHeight="false" outlineLevel="0" collapsed="false">
      <c r="A2542" s="3" t="n">
        <v>2541</v>
      </c>
      <c r="B2542" s="3" t="n">
        <v>2540</v>
      </c>
      <c r="C2542" s="3" t="n">
        <v>12</v>
      </c>
      <c r="D2542" s="3" t="n">
        <v>13</v>
      </c>
      <c r="E2542" s="3" t="n">
        <v>6</v>
      </c>
      <c r="F2542" s="24" t="n">
        <v>0</v>
      </c>
    </row>
    <row r="2543" customFormat="false" ht="15" hidden="false" customHeight="false" outlineLevel="0" collapsed="false">
      <c r="A2543" s="3" t="n">
        <v>2542</v>
      </c>
      <c r="B2543" s="3" t="n">
        <v>2541</v>
      </c>
      <c r="C2543" s="3" t="n">
        <v>12</v>
      </c>
      <c r="D2543" s="3" t="n">
        <v>13</v>
      </c>
      <c r="E2543" s="3" t="n">
        <v>7</v>
      </c>
      <c r="F2543" s="24" t="n">
        <v>0</v>
      </c>
    </row>
    <row r="2544" customFormat="false" ht="15" hidden="false" customHeight="false" outlineLevel="0" collapsed="false">
      <c r="A2544" s="3" t="n">
        <v>2543</v>
      </c>
      <c r="B2544" s="3" t="n">
        <v>2542</v>
      </c>
      <c r="C2544" s="3" t="n">
        <v>12</v>
      </c>
      <c r="D2544" s="3" t="n">
        <v>13</v>
      </c>
      <c r="E2544" s="3" t="n">
        <v>8</v>
      </c>
      <c r="F2544" s="24" t="n">
        <v>1.07318914</v>
      </c>
    </row>
    <row r="2545" customFormat="false" ht="15" hidden="false" customHeight="false" outlineLevel="0" collapsed="false">
      <c r="A2545" s="3" t="n">
        <v>2544</v>
      </c>
      <c r="B2545" s="3" t="n">
        <v>2543</v>
      </c>
      <c r="C2545" s="3" t="n">
        <v>12</v>
      </c>
      <c r="D2545" s="3" t="n">
        <v>13</v>
      </c>
      <c r="E2545" s="3" t="n">
        <v>9</v>
      </c>
      <c r="F2545" s="24" t="n">
        <v>0</v>
      </c>
    </row>
    <row r="2546" customFormat="false" ht="15" hidden="false" customHeight="false" outlineLevel="0" collapsed="false">
      <c r="A2546" s="3" t="n">
        <v>2545</v>
      </c>
      <c r="B2546" s="3" t="n">
        <v>2544</v>
      </c>
      <c r="C2546" s="3" t="n">
        <v>12</v>
      </c>
      <c r="D2546" s="3" t="n">
        <v>13</v>
      </c>
      <c r="E2546" s="3" t="n">
        <v>10</v>
      </c>
      <c r="F2546" s="24" t="n">
        <v>0</v>
      </c>
    </row>
    <row r="2547" customFormat="false" ht="15" hidden="false" customHeight="false" outlineLevel="0" collapsed="false">
      <c r="A2547" s="3" t="n">
        <v>2546</v>
      </c>
      <c r="B2547" s="3" t="n">
        <v>2545</v>
      </c>
      <c r="C2547" s="3" t="n">
        <v>12</v>
      </c>
      <c r="D2547" s="3" t="n">
        <v>13</v>
      </c>
      <c r="E2547" s="3" t="n">
        <v>11</v>
      </c>
      <c r="F2547" s="24" t="n">
        <v>0</v>
      </c>
    </row>
    <row r="2548" customFormat="false" ht="15" hidden="false" customHeight="false" outlineLevel="0" collapsed="false">
      <c r="A2548" s="3" t="n">
        <v>2547</v>
      </c>
      <c r="B2548" s="3" t="n">
        <v>2546</v>
      </c>
      <c r="C2548" s="3" t="n">
        <v>12</v>
      </c>
      <c r="D2548" s="3" t="n">
        <v>13</v>
      </c>
      <c r="E2548" s="3" t="n">
        <v>12</v>
      </c>
      <c r="F2548" s="24" t="n">
        <v>0.0158060789</v>
      </c>
    </row>
    <row r="2549" customFormat="false" ht="15" hidden="false" customHeight="false" outlineLevel="0" collapsed="false">
      <c r="A2549" s="3" t="n">
        <v>2548</v>
      </c>
      <c r="B2549" s="3" t="n">
        <v>2547</v>
      </c>
      <c r="C2549" s="3" t="n">
        <v>12</v>
      </c>
      <c r="D2549" s="3" t="n">
        <v>13</v>
      </c>
      <c r="E2549" s="3" t="n">
        <v>13</v>
      </c>
      <c r="F2549" s="24" t="n">
        <v>0</v>
      </c>
    </row>
    <row r="2550" customFormat="false" ht="15" hidden="false" customHeight="false" outlineLevel="0" collapsed="false">
      <c r="A2550" s="3" t="n">
        <v>2549</v>
      </c>
      <c r="B2550" s="3" t="n">
        <v>2548</v>
      </c>
      <c r="C2550" s="3" t="n">
        <v>13</v>
      </c>
      <c r="D2550" s="3" t="n">
        <v>0</v>
      </c>
      <c r="E2550" s="3" t="n">
        <v>0</v>
      </c>
      <c r="F2550" s="24" t="n">
        <v>0.283979654</v>
      </c>
    </row>
    <row r="2551" customFormat="false" ht="15" hidden="false" customHeight="false" outlineLevel="0" collapsed="false">
      <c r="A2551" s="3" t="n">
        <v>2550</v>
      </c>
      <c r="B2551" s="3" t="n">
        <v>2549</v>
      </c>
      <c r="C2551" s="3" t="n">
        <v>13</v>
      </c>
      <c r="D2551" s="3" t="n">
        <v>0</v>
      </c>
      <c r="E2551" s="3" t="n">
        <v>1</v>
      </c>
      <c r="F2551" s="24" t="n">
        <v>0.572720945</v>
      </c>
    </row>
    <row r="2552" customFormat="false" ht="15" hidden="false" customHeight="false" outlineLevel="0" collapsed="false">
      <c r="A2552" s="3" t="n">
        <v>2551</v>
      </c>
      <c r="B2552" s="3" t="n">
        <v>2550</v>
      </c>
      <c r="C2552" s="3" t="n">
        <v>13</v>
      </c>
      <c r="D2552" s="3" t="n">
        <v>0</v>
      </c>
      <c r="E2552" s="3" t="n">
        <v>2</v>
      </c>
      <c r="F2552" s="24" t="n">
        <v>0.542648315</v>
      </c>
    </row>
    <row r="2553" customFormat="false" ht="15" hidden="false" customHeight="false" outlineLevel="0" collapsed="false">
      <c r="A2553" s="3" t="n">
        <v>2552</v>
      </c>
      <c r="B2553" s="3" t="n">
        <v>2551</v>
      </c>
      <c r="C2553" s="3" t="n">
        <v>13</v>
      </c>
      <c r="D2553" s="3" t="n">
        <v>0</v>
      </c>
      <c r="E2553" s="3" t="n">
        <v>3</v>
      </c>
      <c r="F2553" s="24" t="n">
        <v>0.542648315</v>
      </c>
    </row>
    <row r="2554" customFormat="false" ht="15" hidden="false" customHeight="false" outlineLevel="0" collapsed="false">
      <c r="A2554" s="3" t="n">
        <v>2553</v>
      </c>
      <c r="B2554" s="3" t="n">
        <v>2552</v>
      </c>
      <c r="C2554" s="3" t="n">
        <v>13</v>
      </c>
      <c r="D2554" s="3" t="n">
        <v>0</v>
      </c>
      <c r="E2554" s="3" t="n">
        <v>4</v>
      </c>
      <c r="F2554" s="24" t="n">
        <v>0.542648315</v>
      </c>
    </row>
    <row r="2555" customFormat="false" ht="15" hidden="false" customHeight="false" outlineLevel="0" collapsed="false">
      <c r="A2555" s="3" t="n">
        <v>2554</v>
      </c>
      <c r="B2555" s="3" t="n">
        <v>2553</v>
      </c>
      <c r="C2555" s="3" t="n">
        <v>13</v>
      </c>
      <c r="D2555" s="3" t="n">
        <v>0</v>
      </c>
      <c r="E2555" s="3" t="n">
        <v>5</v>
      </c>
      <c r="F2555" s="24" t="n">
        <v>0.542648315</v>
      </c>
    </row>
    <row r="2556" customFormat="false" ht="15" hidden="false" customHeight="false" outlineLevel="0" collapsed="false">
      <c r="A2556" s="3" t="n">
        <v>2555</v>
      </c>
      <c r="B2556" s="3" t="n">
        <v>2554</v>
      </c>
      <c r="C2556" s="3" t="n">
        <v>13</v>
      </c>
      <c r="D2556" s="3" t="n">
        <v>0</v>
      </c>
      <c r="E2556" s="3" t="n">
        <v>6</v>
      </c>
      <c r="F2556" s="24" t="n">
        <v>0.542648315</v>
      </c>
    </row>
    <row r="2557" customFormat="false" ht="15" hidden="false" customHeight="false" outlineLevel="0" collapsed="false">
      <c r="A2557" s="3" t="n">
        <v>2556</v>
      </c>
      <c r="B2557" s="3" t="n">
        <v>2555</v>
      </c>
      <c r="C2557" s="3" t="n">
        <v>13</v>
      </c>
      <c r="D2557" s="3" t="n">
        <v>0</v>
      </c>
      <c r="E2557" s="3" t="n">
        <v>7</v>
      </c>
      <c r="F2557" s="24" t="n">
        <v>0.542648315</v>
      </c>
    </row>
    <row r="2558" customFormat="false" ht="15" hidden="false" customHeight="false" outlineLevel="0" collapsed="false">
      <c r="A2558" s="3" t="n">
        <v>2557</v>
      </c>
      <c r="B2558" s="3" t="n">
        <v>2556</v>
      </c>
      <c r="C2558" s="3" t="n">
        <v>13</v>
      </c>
      <c r="D2558" s="3" t="n">
        <v>0</v>
      </c>
      <c r="E2558" s="3" t="n">
        <v>8</v>
      </c>
      <c r="F2558" s="24" t="n">
        <v>0.542648315</v>
      </c>
    </row>
    <row r="2559" customFormat="false" ht="15" hidden="false" customHeight="false" outlineLevel="0" collapsed="false">
      <c r="A2559" s="3" t="n">
        <v>2558</v>
      </c>
      <c r="B2559" s="3" t="n">
        <v>2557</v>
      </c>
      <c r="C2559" s="3" t="n">
        <v>13</v>
      </c>
      <c r="D2559" s="3" t="n">
        <v>0</v>
      </c>
      <c r="E2559" s="3" t="n">
        <v>9</v>
      </c>
      <c r="F2559" s="24" t="n">
        <v>0.542648315</v>
      </c>
    </row>
    <row r="2560" customFormat="false" ht="15" hidden="false" customHeight="false" outlineLevel="0" collapsed="false">
      <c r="A2560" s="3" t="n">
        <v>2559</v>
      </c>
      <c r="B2560" s="3" t="n">
        <v>2558</v>
      </c>
      <c r="C2560" s="3" t="n">
        <v>13</v>
      </c>
      <c r="D2560" s="3" t="n">
        <v>0</v>
      </c>
      <c r="E2560" s="3" t="n">
        <v>10</v>
      </c>
      <c r="F2560" s="24" t="n">
        <v>0.542648315</v>
      </c>
    </row>
    <row r="2561" customFormat="false" ht="15" hidden="false" customHeight="false" outlineLevel="0" collapsed="false">
      <c r="A2561" s="3" t="n">
        <v>2560</v>
      </c>
      <c r="B2561" s="3" t="n">
        <v>2559</v>
      </c>
      <c r="C2561" s="3" t="n">
        <v>13</v>
      </c>
      <c r="D2561" s="3" t="n">
        <v>0</v>
      </c>
      <c r="E2561" s="3" t="n">
        <v>11</v>
      </c>
      <c r="F2561" s="24" t="n">
        <v>0.542648315</v>
      </c>
    </row>
    <row r="2562" customFormat="false" ht="15" hidden="false" customHeight="false" outlineLevel="0" collapsed="false">
      <c r="A2562" s="3" t="n">
        <v>2561</v>
      </c>
      <c r="B2562" s="3" t="n">
        <v>2560</v>
      </c>
      <c r="C2562" s="3" t="n">
        <v>13</v>
      </c>
      <c r="D2562" s="3" t="n">
        <v>0</v>
      </c>
      <c r="E2562" s="3" t="n">
        <v>12</v>
      </c>
      <c r="F2562" s="24" t="n">
        <v>0.577626288</v>
      </c>
    </row>
    <row r="2563" customFormat="false" ht="15" hidden="false" customHeight="false" outlineLevel="0" collapsed="false">
      <c r="A2563" s="3" t="n">
        <v>2562</v>
      </c>
      <c r="B2563" s="3" t="n">
        <v>2561</v>
      </c>
      <c r="C2563" s="3" t="n">
        <v>13</v>
      </c>
      <c r="D2563" s="3" t="n">
        <v>0</v>
      </c>
      <c r="E2563" s="3" t="n">
        <v>13</v>
      </c>
      <c r="F2563" s="24" t="n">
        <v>0.795495749</v>
      </c>
    </row>
    <row r="2564" customFormat="false" ht="15" hidden="false" customHeight="false" outlineLevel="0" collapsed="false">
      <c r="A2564" s="3" t="n">
        <v>2563</v>
      </c>
      <c r="B2564" s="3" t="n">
        <v>2562</v>
      </c>
      <c r="C2564" s="3" t="n">
        <v>13</v>
      </c>
      <c r="D2564" s="3" t="n">
        <v>1</v>
      </c>
      <c r="E2564" s="3" t="n">
        <v>0</v>
      </c>
      <c r="F2564" s="24" t="n">
        <v>0.148110285</v>
      </c>
    </row>
    <row r="2565" customFormat="false" ht="15" hidden="false" customHeight="false" outlineLevel="0" collapsed="false">
      <c r="A2565" s="3" t="n">
        <v>2564</v>
      </c>
      <c r="B2565" s="3" t="n">
        <v>2563</v>
      </c>
      <c r="C2565" s="3" t="n">
        <v>13</v>
      </c>
      <c r="D2565" s="3" t="n">
        <v>1</v>
      </c>
      <c r="E2565" s="3" t="n">
        <v>1</v>
      </c>
      <c r="F2565" s="24" t="n">
        <v>0.504373312</v>
      </c>
    </row>
    <row r="2566" customFormat="false" ht="15" hidden="false" customHeight="false" outlineLevel="0" collapsed="false">
      <c r="A2566" s="3" t="n">
        <v>2565</v>
      </c>
      <c r="B2566" s="3" t="n">
        <v>2564</v>
      </c>
      <c r="C2566" s="3" t="n">
        <v>13</v>
      </c>
      <c r="D2566" s="3" t="n">
        <v>1</v>
      </c>
      <c r="E2566" s="3" t="n">
        <v>2</v>
      </c>
      <c r="F2566" s="24" t="n">
        <v>0.417114079</v>
      </c>
    </row>
    <row r="2567" customFormat="false" ht="15" hidden="false" customHeight="false" outlineLevel="0" collapsed="false">
      <c r="A2567" s="3" t="n">
        <v>2566</v>
      </c>
      <c r="B2567" s="3" t="n">
        <v>2565</v>
      </c>
      <c r="C2567" s="3" t="n">
        <v>13</v>
      </c>
      <c r="D2567" s="3" t="n">
        <v>1</v>
      </c>
      <c r="E2567" s="3" t="n">
        <v>3</v>
      </c>
      <c r="F2567" s="24" t="n">
        <v>0.417114079</v>
      </c>
    </row>
    <row r="2568" customFormat="false" ht="15" hidden="false" customHeight="false" outlineLevel="0" collapsed="false">
      <c r="A2568" s="3" t="n">
        <v>2567</v>
      </c>
      <c r="B2568" s="3" t="n">
        <v>2566</v>
      </c>
      <c r="C2568" s="3" t="n">
        <v>13</v>
      </c>
      <c r="D2568" s="3" t="n">
        <v>1</v>
      </c>
      <c r="E2568" s="3" t="n">
        <v>4</v>
      </c>
      <c r="F2568" s="24" t="n">
        <v>0.417114079</v>
      </c>
    </row>
    <row r="2569" customFormat="false" ht="15" hidden="false" customHeight="false" outlineLevel="0" collapsed="false">
      <c r="A2569" s="3" t="n">
        <v>2568</v>
      </c>
      <c r="B2569" s="3" t="n">
        <v>2567</v>
      </c>
      <c r="C2569" s="3" t="n">
        <v>13</v>
      </c>
      <c r="D2569" s="3" t="n">
        <v>1</v>
      </c>
      <c r="E2569" s="3" t="n">
        <v>5</v>
      </c>
      <c r="F2569" s="24" t="n">
        <v>0.417114079</v>
      </c>
    </row>
    <row r="2570" customFormat="false" ht="15" hidden="false" customHeight="false" outlineLevel="0" collapsed="false">
      <c r="A2570" s="3" t="n">
        <v>2569</v>
      </c>
      <c r="B2570" s="3" t="n">
        <v>2568</v>
      </c>
      <c r="C2570" s="3" t="n">
        <v>13</v>
      </c>
      <c r="D2570" s="3" t="n">
        <v>1</v>
      </c>
      <c r="E2570" s="3" t="n">
        <v>6</v>
      </c>
      <c r="F2570" s="24" t="n">
        <v>0.417114079</v>
      </c>
    </row>
    <row r="2571" customFormat="false" ht="15" hidden="false" customHeight="false" outlineLevel="0" collapsed="false">
      <c r="A2571" s="3" t="n">
        <v>2570</v>
      </c>
      <c r="B2571" s="3" t="n">
        <v>2569</v>
      </c>
      <c r="C2571" s="3" t="n">
        <v>13</v>
      </c>
      <c r="D2571" s="3" t="n">
        <v>1</v>
      </c>
      <c r="E2571" s="3" t="n">
        <v>7</v>
      </c>
      <c r="F2571" s="24" t="n">
        <v>0.417114079</v>
      </c>
    </row>
    <row r="2572" customFormat="false" ht="15" hidden="false" customHeight="false" outlineLevel="0" collapsed="false">
      <c r="A2572" s="3" t="n">
        <v>2571</v>
      </c>
      <c r="B2572" s="3" t="n">
        <v>2570</v>
      </c>
      <c r="C2572" s="3" t="n">
        <v>13</v>
      </c>
      <c r="D2572" s="3" t="n">
        <v>1</v>
      </c>
      <c r="E2572" s="3" t="n">
        <v>8</v>
      </c>
      <c r="F2572" s="24" t="n">
        <v>0.417114079</v>
      </c>
    </row>
    <row r="2573" customFormat="false" ht="15" hidden="false" customHeight="false" outlineLevel="0" collapsed="false">
      <c r="A2573" s="3" t="n">
        <v>2572</v>
      </c>
      <c r="B2573" s="3" t="n">
        <v>2571</v>
      </c>
      <c r="C2573" s="3" t="n">
        <v>13</v>
      </c>
      <c r="D2573" s="3" t="n">
        <v>1</v>
      </c>
      <c r="E2573" s="3" t="n">
        <v>9</v>
      </c>
      <c r="F2573" s="24" t="n">
        <v>0.417114079</v>
      </c>
    </row>
    <row r="2574" customFormat="false" ht="15" hidden="false" customHeight="false" outlineLevel="0" collapsed="false">
      <c r="A2574" s="3" t="n">
        <v>2573</v>
      </c>
      <c r="B2574" s="3" t="n">
        <v>2572</v>
      </c>
      <c r="C2574" s="3" t="n">
        <v>13</v>
      </c>
      <c r="D2574" s="3" t="n">
        <v>1</v>
      </c>
      <c r="E2574" s="3" t="n">
        <v>10</v>
      </c>
      <c r="F2574" s="24" t="n">
        <v>0.417114079</v>
      </c>
    </row>
    <row r="2575" customFormat="false" ht="15" hidden="false" customHeight="false" outlineLevel="0" collapsed="false">
      <c r="A2575" s="3" t="n">
        <v>2574</v>
      </c>
      <c r="B2575" s="3" t="n">
        <v>2573</v>
      </c>
      <c r="C2575" s="3" t="n">
        <v>13</v>
      </c>
      <c r="D2575" s="3" t="n">
        <v>1</v>
      </c>
      <c r="E2575" s="3" t="n">
        <v>11</v>
      </c>
      <c r="F2575" s="24" t="n">
        <v>0.417114079</v>
      </c>
    </row>
    <row r="2576" customFormat="false" ht="15" hidden="false" customHeight="false" outlineLevel="0" collapsed="false">
      <c r="A2576" s="3" t="n">
        <v>2575</v>
      </c>
      <c r="B2576" s="3" t="n">
        <v>2574</v>
      </c>
      <c r="C2576" s="3" t="n">
        <v>13</v>
      </c>
      <c r="D2576" s="3" t="n">
        <v>1</v>
      </c>
      <c r="E2576" s="3" t="n">
        <v>12</v>
      </c>
      <c r="F2576" s="24" t="n">
        <v>0.496189266</v>
      </c>
    </row>
    <row r="2577" customFormat="false" ht="15" hidden="false" customHeight="false" outlineLevel="0" collapsed="false">
      <c r="A2577" s="3" t="n">
        <v>2576</v>
      </c>
      <c r="B2577" s="3" t="n">
        <v>2575</v>
      </c>
      <c r="C2577" s="3" t="n">
        <v>13</v>
      </c>
      <c r="D2577" s="3" t="n">
        <v>1</v>
      </c>
      <c r="E2577" s="3" t="n">
        <v>13</v>
      </c>
      <c r="F2577" s="24" t="n">
        <v>0.695690393</v>
      </c>
    </row>
    <row r="2578" customFormat="false" ht="15" hidden="false" customHeight="false" outlineLevel="0" collapsed="false">
      <c r="A2578" s="3" t="n">
        <v>2577</v>
      </c>
      <c r="B2578" s="3" t="n">
        <v>2576</v>
      </c>
      <c r="C2578" s="3" t="n">
        <v>13</v>
      </c>
      <c r="D2578" s="3" t="n">
        <v>2</v>
      </c>
      <c r="E2578" s="3" t="n">
        <v>0</v>
      </c>
      <c r="F2578" s="24" t="n">
        <v>0.157317013</v>
      </c>
    </row>
    <row r="2579" customFormat="false" ht="15" hidden="false" customHeight="false" outlineLevel="0" collapsed="false">
      <c r="A2579" s="3" t="n">
        <v>2578</v>
      </c>
      <c r="B2579" s="3" t="n">
        <v>2577</v>
      </c>
      <c r="C2579" s="3" t="n">
        <v>13</v>
      </c>
      <c r="D2579" s="3" t="n">
        <v>2</v>
      </c>
      <c r="E2579" s="3" t="n">
        <v>1</v>
      </c>
      <c r="F2579" s="24" t="n">
        <v>0.969135284</v>
      </c>
    </row>
    <row r="2580" customFormat="false" ht="15" hidden="false" customHeight="false" outlineLevel="0" collapsed="false">
      <c r="A2580" s="3" t="n">
        <v>2579</v>
      </c>
      <c r="B2580" s="3" t="n">
        <v>2578</v>
      </c>
      <c r="C2580" s="3" t="n">
        <v>13</v>
      </c>
      <c r="D2580" s="3" t="n">
        <v>2</v>
      </c>
      <c r="E2580" s="3" t="n">
        <v>2</v>
      </c>
      <c r="F2580" s="24" t="n">
        <v>2.53533292</v>
      </c>
    </row>
    <row r="2581" customFormat="false" ht="15" hidden="false" customHeight="false" outlineLevel="0" collapsed="false">
      <c r="A2581" s="3" t="n">
        <v>2580</v>
      </c>
      <c r="B2581" s="3" t="n">
        <v>2579</v>
      </c>
      <c r="C2581" s="3" t="n">
        <v>13</v>
      </c>
      <c r="D2581" s="3" t="n">
        <v>2</v>
      </c>
      <c r="E2581" s="3" t="n">
        <v>3</v>
      </c>
      <c r="F2581" s="24" t="n">
        <v>0.991310894</v>
      </c>
    </row>
    <row r="2582" customFormat="false" ht="15" hidden="false" customHeight="false" outlineLevel="0" collapsed="false">
      <c r="A2582" s="3" t="n">
        <v>2581</v>
      </c>
      <c r="B2582" s="3" t="n">
        <v>2580</v>
      </c>
      <c r="C2582" s="3" t="n">
        <v>13</v>
      </c>
      <c r="D2582" s="3" t="n">
        <v>2</v>
      </c>
      <c r="E2582" s="3" t="n">
        <v>4</v>
      </c>
      <c r="F2582" s="24" t="n">
        <v>0</v>
      </c>
    </row>
    <row r="2583" customFormat="false" ht="15" hidden="false" customHeight="false" outlineLevel="0" collapsed="false">
      <c r="A2583" s="3" t="n">
        <v>2582</v>
      </c>
      <c r="B2583" s="3" t="n">
        <v>2581</v>
      </c>
      <c r="C2583" s="3" t="n">
        <v>13</v>
      </c>
      <c r="D2583" s="3" t="n">
        <v>2</v>
      </c>
      <c r="E2583" s="3" t="n">
        <v>5</v>
      </c>
      <c r="F2583" s="24" t="n">
        <v>0</v>
      </c>
    </row>
    <row r="2584" customFormat="false" ht="15" hidden="false" customHeight="false" outlineLevel="0" collapsed="false">
      <c r="A2584" s="3" t="n">
        <v>2583</v>
      </c>
      <c r="B2584" s="3" t="n">
        <v>2582</v>
      </c>
      <c r="C2584" s="3" t="n">
        <v>13</v>
      </c>
      <c r="D2584" s="3" t="n">
        <v>2</v>
      </c>
      <c r="E2584" s="3" t="n">
        <v>6</v>
      </c>
      <c r="F2584" s="24" t="n">
        <v>0</v>
      </c>
    </row>
    <row r="2585" customFormat="false" ht="15" hidden="false" customHeight="false" outlineLevel="0" collapsed="false">
      <c r="A2585" s="3" t="n">
        <v>2584</v>
      </c>
      <c r="B2585" s="3" t="n">
        <v>2583</v>
      </c>
      <c r="C2585" s="3" t="n">
        <v>13</v>
      </c>
      <c r="D2585" s="3" t="n">
        <v>2</v>
      </c>
      <c r="E2585" s="3" t="n">
        <v>7</v>
      </c>
      <c r="F2585" s="24" t="n">
        <v>0</v>
      </c>
    </row>
    <row r="2586" customFormat="false" ht="15" hidden="false" customHeight="false" outlineLevel="0" collapsed="false">
      <c r="A2586" s="3" t="n">
        <v>2585</v>
      </c>
      <c r="B2586" s="3" t="n">
        <v>2584</v>
      </c>
      <c r="C2586" s="3" t="n">
        <v>13</v>
      </c>
      <c r="D2586" s="3" t="n">
        <v>2</v>
      </c>
      <c r="E2586" s="3" t="n">
        <v>8</v>
      </c>
      <c r="F2586" s="24" t="n">
        <v>0</v>
      </c>
    </row>
    <row r="2587" customFormat="false" ht="15" hidden="false" customHeight="false" outlineLevel="0" collapsed="false">
      <c r="A2587" s="3" t="n">
        <v>2586</v>
      </c>
      <c r="B2587" s="3" t="n">
        <v>2585</v>
      </c>
      <c r="C2587" s="3" t="n">
        <v>13</v>
      </c>
      <c r="D2587" s="3" t="n">
        <v>2</v>
      </c>
      <c r="E2587" s="3" t="n">
        <v>9</v>
      </c>
      <c r="F2587" s="24" t="n">
        <v>0</v>
      </c>
    </row>
    <row r="2588" customFormat="false" ht="15" hidden="false" customHeight="false" outlineLevel="0" collapsed="false">
      <c r="A2588" s="3" t="n">
        <v>2587</v>
      </c>
      <c r="B2588" s="3" t="n">
        <v>2586</v>
      </c>
      <c r="C2588" s="3" t="n">
        <v>13</v>
      </c>
      <c r="D2588" s="3" t="n">
        <v>2</v>
      </c>
      <c r="E2588" s="3" t="n">
        <v>10</v>
      </c>
      <c r="F2588" s="24" t="n">
        <v>0</v>
      </c>
    </row>
    <row r="2589" customFormat="false" ht="15" hidden="false" customHeight="false" outlineLevel="0" collapsed="false">
      <c r="A2589" s="3" t="n">
        <v>2588</v>
      </c>
      <c r="B2589" s="3" t="n">
        <v>2587</v>
      </c>
      <c r="C2589" s="3" t="n">
        <v>13</v>
      </c>
      <c r="D2589" s="3" t="n">
        <v>2</v>
      </c>
      <c r="E2589" s="3" t="n">
        <v>11</v>
      </c>
      <c r="F2589" s="24" t="n">
        <v>0</v>
      </c>
    </row>
    <row r="2590" customFormat="false" ht="15" hidden="false" customHeight="false" outlineLevel="0" collapsed="false">
      <c r="A2590" s="3" t="n">
        <v>2589</v>
      </c>
      <c r="B2590" s="3" t="n">
        <v>2588</v>
      </c>
      <c r="C2590" s="3" t="n">
        <v>13</v>
      </c>
      <c r="D2590" s="3" t="n">
        <v>2</v>
      </c>
      <c r="E2590" s="3" t="n">
        <v>12</v>
      </c>
      <c r="F2590" s="24" t="n">
        <v>0.482555896</v>
      </c>
    </row>
    <row r="2591" customFormat="false" ht="15" hidden="false" customHeight="false" outlineLevel="0" collapsed="false">
      <c r="A2591" s="3" t="n">
        <v>2590</v>
      </c>
      <c r="B2591" s="3" t="n">
        <v>2589</v>
      </c>
      <c r="C2591" s="3" t="n">
        <v>13</v>
      </c>
      <c r="D2591" s="3" t="n">
        <v>2</v>
      </c>
      <c r="E2591" s="3" t="n">
        <v>13</v>
      </c>
      <c r="F2591" s="24" t="n">
        <v>0.709126413</v>
      </c>
    </row>
    <row r="2592" customFormat="false" ht="15" hidden="false" customHeight="false" outlineLevel="0" collapsed="false">
      <c r="A2592" s="3" t="n">
        <v>2591</v>
      </c>
      <c r="B2592" s="3" t="n">
        <v>2590</v>
      </c>
      <c r="C2592" s="3" t="n">
        <v>13</v>
      </c>
      <c r="D2592" s="3" t="n">
        <v>3</v>
      </c>
      <c r="E2592" s="3" t="n">
        <v>0</v>
      </c>
      <c r="F2592" s="24" t="n">
        <v>0.157317013</v>
      </c>
    </row>
    <row r="2593" customFormat="false" ht="15" hidden="false" customHeight="false" outlineLevel="0" collapsed="false">
      <c r="A2593" s="3" t="n">
        <v>2592</v>
      </c>
      <c r="B2593" s="3" t="n">
        <v>2591</v>
      </c>
      <c r="C2593" s="3" t="n">
        <v>13</v>
      </c>
      <c r="D2593" s="3" t="n">
        <v>3</v>
      </c>
      <c r="E2593" s="3" t="n">
        <v>1</v>
      </c>
      <c r="F2593" s="24" t="n">
        <v>0.760015845</v>
      </c>
    </row>
    <row r="2594" customFormat="false" ht="15" hidden="false" customHeight="false" outlineLevel="0" collapsed="false">
      <c r="A2594" s="3" t="n">
        <v>2593</v>
      </c>
      <c r="B2594" s="3" t="n">
        <v>2592</v>
      </c>
      <c r="C2594" s="3" t="n">
        <v>13</v>
      </c>
      <c r="D2594" s="3" t="n">
        <v>3</v>
      </c>
      <c r="E2594" s="3" t="n">
        <v>2</v>
      </c>
      <c r="F2594" s="24" t="n">
        <v>0.234192595</v>
      </c>
    </row>
    <row r="2595" customFormat="false" ht="15" hidden="false" customHeight="false" outlineLevel="0" collapsed="false">
      <c r="A2595" s="3" t="n">
        <v>2594</v>
      </c>
      <c r="B2595" s="3" t="n">
        <v>2593</v>
      </c>
      <c r="C2595" s="3" t="n">
        <v>13</v>
      </c>
      <c r="D2595" s="3" t="n">
        <v>3</v>
      </c>
      <c r="E2595" s="3" t="n">
        <v>3</v>
      </c>
      <c r="F2595" s="24" t="n">
        <v>0</v>
      </c>
    </row>
    <row r="2596" customFormat="false" ht="15" hidden="false" customHeight="false" outlineLevel="0" collapsed="false">
      <c r="A2596" s="3" t="n">
        <v>2595</v>
      </c>
      <c r="B2596" s="3" t="n">
        <v>2594</v>
      </c>
      <c r="C2596" s="3" t="n">
        <v>13</v>
      </c>
      <c r="D2596" s="3" t="n">
        <v>3</v>
      </c>
      <c r="E2596" s="3" t="n">
        <v>4</v>
      </c>
      <c r="F2596" s="24" t="n">
        <v>0</v>
      </c>
    </row>
    <row r="2597" customFormat="false" ht="15" hidden="false" customHeight="false" outlineLevel="0" collapsed="false">
      <c r="A2597" s="3" t="n">
        <v>2596</v>
      </c>
      <c r="B2597" s="3" t="n">
        <v>2595</v>
      </c>
      <c r="C2597" s="3" t="n">
        <v>13</v>
      </c>
      <c r="D2597" s="3" t="n">
        <v>3</v>
      </c>
      <c r="E2597" s="3" t="n">
        <v>5</v>
      </c>
      <c r="F2597" s="24" t="n">
        <v>0</v>
      </c>
    </row>
    <row r="2598" customFormat="false" ht="15" hidden="false" customHeight="false" outlineLevel="0" collapsed="false">
      <c r="A2598" s="3" t="n">
        <v>2597</v>
      </c>
      <c r="B2598" s="3" t="n">
        <v>2596</v>
      </c>
      <c r="C2598" s="3" t="n">
        <v>13</v>
      </c>
      <c r="D2598" s="3" t="n">
        <v>3</v>
      </c>
      <c r="E2598" s="3" t="n">
        <v>6</v>
      </c>
      <c r="F2598" s="24" t="n">
        <v>0</v>
      </c>
    </row>
    <row r="2599" customFormat="false" ht="15" hidden="false" customHeight="false" outlineLevel="0" collapsed="false">
      <c r="A2599" s="3" t="n">
        <v>2598</v>
      </c>
      <c r="B2599" s="3" t="n">
        <v>2597</v>
      </c>
      <c r="C2599" s="3" t="n">
        <v>13</v>
      </c>
      <c r="D2599" s="3" t="n">
        <v>3</v>
      </c>
      <c r="E2599" s="3" t="n">
        <v>7</v>
      </c>
      <c r="F2599" s="24" t="n">
        <v>0</v>
      </c>
    </row>
    <row r="2600" customFormat="false" ht="15" hidden="false" customHeight="false" outlineLevel="0" collapsed="false">
      <c r="A2600" s="3" t="n">
        <v>2599</v>
      </c>
      <c r="B2600" s="3" t="n">
        <v>2598</v>
      </c>
      <c r="C2600" s="3" t="n">
        <v>13</v>
      </c>
      <c r="D2600" s="3" t="n">
        <v>3</v>
      </c>
      <c r="E2600" s="3" t="n">
        <v>8</v>
      </c>
      <c r="F2600" s="24" t="n">
        <v>0</v>
      </c>
    </row>
    <row r="2601" customFormat="false" ht="15" hidden="false" customHeight="false" outlineLevel="0" collapsed="false">
      <c r="A2601" s="3" t="n">
        <v>2600</v>
      </c>
      <c r="B2601" s="3" t="n">
        <v>2599</v>
      </c>
      <c r="C2601" s="3" t="n">
        <v>13</v>
      </c>
      <c r="D2601" s="3" t="n">
        <v>3</v>
      </c>
      <c r="E2601" s="3" t="n">
        <v>9</v>
      </c>
      <c r="F2601" s="24" t="n">
        <v>0</v>
      </c>
    </row>
    <row r="2602" customFormat="false" ht="15" hidden="false" customHeight="false" outlineLevel="0" collapsed="false">
      <c r="A2602" s="3" t="n">
        <v>2601</v>
      </c>
      <c r="B2602" s="3" t="n">
        <v>2600</v>
      </c>
      <c r="C2602" s="3" t="n">
        <v>13</v>
      </c>
      <c r="D2602" s="3" t="n">
        <v>3</v>
      </c>
      <c r="E2602" s="3" t="n">
        <v>10</v>
      </c>
      <c r="F2602" s="24" t="n">
        <v>0</v>
      </c>
    </row>
    <row r="2603" customFormat="false" ht="15" hidden="false" customHeight="false" outlineLevel="0" collapsed="false">
      <c r="A2603" s="3" t="n">
        <v>2602</v>
      </c>
      <c r="B2603" s="3" t="n">
        <v>2601</v>
      </c>
      <c r="C2603" s="3" t="n">
        <v>13</v>
      </c>
      <c r="D2603" s="3" t="n">
        <v>3</v>
      </c>
      <c r="E2603" s="3" t="n">
        <v>11</v>
      </c>
      <c r="F2603" s="24" t="n">
        <v>0</v>
      </c>
    </row>
    <row r="2604" customFormat="false" ht="15" hidden="false" customHeight="false" outlineLevel="0" collapsed="false">
      <c r="A2604" s="3" t="n">
        <v>2603</v>
      </c>
      <c r="B2604" s="3" t="n">
        <v>2602</v>
      </c>
      <c r="C2604" s="3" t="n">
        <v>13</v>
      </c>
      <c r="D2604" s="3" t="n">
        <v>3</v>
      </c>
      <c r="E2604" s="3" t="n">
        <v>12</v>
      </c>
      <c r="F2604" s="24" t="n">
        <v>0.370026022</v>
      </c>
    </row>
    <row r="2605" customFormat="false" ht="15" hidden="false" customHeight="false" outlineLevel="0" collapsed="false">
      <c r="A2605" s="3" t="n">
        <v>2604</v>
      </c>
      <c r="B2605" s="3" t="n">
        <v>2603</v>
      </c>
      <c r="C2605" s="3" t="n">
        <v>13</v>
      </c>
      <c r="D2605" s="3" t="n">
        <v>3</v>
      </c>
      <c r="E2605" s="3" t="n">
        <v>13</v>
      </c>
      <c r="F2605" s="24" t="n">
        <v>0.709126413</v>
      </c>
    </row>
    <row r="2606" customFormat="false" ht="15" hidden="false" customHeight="false" outlineLevel="0" collapsed="false">
      <c r="A2606" s="3" t="n">
        <v>2605</v>
      </c>
      <c r="B2606" s="3" t="n">
        <v>2604</v>
      </c>
      <c r="C2606" s="3" t="n">
        <v>13</v>
      </c>
      <c r="D2606" s="3" t="n">
        <v>4</v>
      </c>
      <c r="E2606" s="3" t="n">
        <v>0</v>
      </c>
      <c r="F2606" s="24" t="n">
        <v>0.157317013</v>
      </c>
    </row>
    <row r="2607" customFormat="false" ht="15" hidden="false" customHeight="false" outlineLevel="0" collapsed="false">
      <c r="A2607" s="3" t="n">
        <v>2606</v>
      </c>
      <c r="B2607" s="3" t="n">
        <v>2605</v>
      </c>
      <c r="C2607" s="3" t="n">
        <v>13</v>
      </c>
      <c r="D2607" s="3" t="n">
        <v>4</v>
      </c>
      <c r="E2607" s="3" t="n">
        <v>1</v>
      </c>
      <c r="F2607" s="24" t="n">
        <v>0</v>
      </c>
    </row>
    <row r="2608" customFormat="false" ht="15" hidden="false" customHeight="false" outlineLevel="0" collapsed="false">
      <c r="A2608" s="3" t="n">
        <v>2607</v>
      </c>
      <c r="B2608" s="3" t="n">
        <v>2606</v>
      </c>
      <c r="C2608" s="3" t="n">
        <v>13</v>
      </c>
      <c r="D2608" s="3" t="n">
        <v>4</v>
      </c>
      <c r="E2608" s="3" t="n">
        <v>2</v>
      </c>
      <c r="F2608" s="24" t="n">
        <v>0</v>
      </c>
    </row>
    <row r="2609" customFormat="false" ht="15" hidden="false" customHeight="false" outlineLevel="0" collapsed="false">
      <c r="A2609" s="3" t="n">
        <v>2608</v>
      </c>
      <c r="B2609" s="3" t="n">
        <v>2607</v>
      </c>
      <c r="C2609" s="3" t="n">
        <v>13</v>
      </c>
      <c r="D2609" s="3" t="n">
        <v>4</v>
      </c>
      <c r="E2609" s="3" t="n">
        <v>3</v>
      </c>
      <c r="F2609" s="24" t="n">
        <v>0</v>
      </c>
    </row>
    <row r="2610" customFormat="false" ht="15" hidden="false" customHeight="false" outlineLevel="0" collapsed="false">
      <c r="A2610" s="3" t="n">
        <v>2609</v>
      </c>
      <c r="B2610" s="3" t="n">
        <v>2608</v>
      </c>
      <c r="C2610" s="3" t="n">
        <v>13</v>
      </c>
      <c r="D2610" s="3" t="n">
        <v>4</v>
      </c>
      <c r="E2610" s="3" t="n">
        <v>4</v>
      </c>
      <c r="F2610" s="24" t="n">
        <v>0</v>
      </c>
    </row>
    <row r="2611" customFormat="false" ht="15" hidden="false" customHeight="false" outlineLevel="0" collapsed="false">
      <c r="A2611" s="3" t="n">
        <v>2610</v>
      </c>
      <c r="B2611" s="3" t="n">
        <v>2609</v>
      </c>
      <c r="C2611" s="3" t="n">
        <v>13</v>
      </c>
      <c r="D2611" s="3" t="n">
        <v>4</v>
      </c>
      <c r="E2611" s="3" t="n">
        <v>5</v>
      </c>
      <c r="F2611" s="24" t="n">
        <v>0</v>
      </c>
    </row>
    <row r="2612" customFormat="false" ht="15" hidden="false" customHeight="false" outlineLevel="0" collapsed="false">
      <c r="A2612" s="3" t="n">
        <v>2611</v>
      </c>
      <c r="B2612" s="3" t="n">
        <v>2610</v>
      </c>
      <c r="C2612" s="3" t="n">
        <v>13</v>
      </c>
      <c r="D2612" s="3" t="n">
        <v>4</v>
      </c>
      <c r="E2612" s="3" t="n">
        <v>6</v>
      </c>
      <c r="F2612" s="24" t="n">
        <v>0</v>
      </c>
    </row>
    <row r="2613" customFormat="false" ht="15" hidden="false" customHeight="false" outlineLevel="0" collapsed="false">
      <c r="A2613" s="3" t="n">
        <v>2612</v>
      </c>
      <c r="B2613" s="3" t="n">
        <v>2611</v>
      </c>
      <c r="C2613" s="3" t="n">
        <v>13</v>
      </c>
      <c r="D2613" s="3" t="n">
        <v>4</v>
      </c>
      <c r="E2613" s="3" t="n">
        <v>7</v>
      </c>
      <c r="F2613" s="24" t="n">
        <v>0</v>
      </c>
    </row>
    <row r="2614" customFormat="false" ht="15" hidden="false" customHeight="false" outlineLevel="0" collapsed="false">
      <c r="A2614" s="3" t="n">
        <v>2613</v>
      </c>
      <c r="B2614" s="3" t="n">
        <v>2612</v>
      </c>
      <c r="C2614" s="3" t="n">
        <v>13</v>
      </c>
      <c r="D2614" s="3" t="n">
        <v>4</v>
      </c>
      <c r="E2614" s="3" t="n">
        <v>8</v>
      </c>
      <c r="F2614" s="24" t="n">
        <v>0</v>
      </c>
    </row>
    <row r="2615" customFormat="false" ht="15" hidden="false" customHeight="false" outlineLevel="0" collapsed="false">
      <c r="A2615" s="3" t="n">
        <v>2614</v>
      </c>
      <c r="B2615" s="3" t="n">
        <v>2613</v>
      </c>
      <c r="C2615" s="3" t="n">
        <v>13</v>
      </c>
      <c r="D2615" s="3" t="n">
        <v>4</v>
      </c>
      <c r="E2615" s="3" t="n">
        <v>9</v>
      </c>
      <c r="F2615" s="24" t="n">
        <v>0</v>
      </c>
    </row>
    <row r="2616" customFormat="false" ht="15" hidden="false" customHeight="false" outlineLevel="0" collapsed="false">
      <c r="A2616" s="3" t="n">
        <v>2615</v>
      </c>
      <c r="B2616" s="3" t="n">
        <v>2614</v>
      </c>
      <c r="C2616" s="3" t="n">
        <v>13</v>
      </c>
      <c r="D2616" s="3" t="n">
        <v>4</v>
      </c>
      <c r="E2616" s="3" t="n">
        <v>10</v>
      </c>
      <c r="F2616" s="24" t="n">
        <v>0</v>
      </c>
    </row>
    <row r="2617" customFormat="false" ht="15" hidden="false" customHeight="false" outlineLevel="0" collapsed="false">
      <c r="A2617" s="3" t="n">
        <v>2616</v>
      </c>
      <c r="B2617" s="3" t="n">
        <v>2615</v>
      </c>
      <c r="C2617" s="3" t="n">
        <v>13</v>
      </c>
      <c r="D2617" s="3" t="n">
        <v>4</v>
      </c>
      <c r="E2617" s="3" t="n">
        <v>11</v>
      </c>
      <c r="F2617" s="24" t="n">
        <v>1.16937232</v>
      </c>
    </row>
    <row r="2618" customFormat="false" ht="15" hidden="false" customHeight="false" outlineLevel="0" collapsed="false">
      <c r="A2618" s="3" t="n">
        <v>2617</v>
      </c>
      <c r="B2618" s="3" t="n">
        <v>2616</v>
      </c>
      <c r="C2618" s="3" t="n">
        <v>13</v>
      </c>
      <c r="D2618" s="3" t="n">
        <v>4</v>
      </c>
      <c r="E2618" s="3" t="n">
        <v>12</v>
      </c>
      <c r="F2618" s="24" t="n">
        <v>0.832630634</v>
      </c>
    </row>
    <row r="2619" customFormat="false" ht="15" hidden="false" customHeight="false" outlineLevel="0" collapsed="false">
      <c r="A2619" s="3" t="n">
        <v>2618</v>
      </c>
      <c r="B2619" s="3" t="n">
        <v>2617</v>
      </c>
      <c r="C2619" s="3" t="n">
        <v>13</v>
      </c>
      <c r="D2619" s="3" t="n">
        <v>4</v>
      </c>
      <c r="E2619" s="3" t="n">
        <v>13</v>
      </c>
      <c r="F2619" s="24" t="n">
        <v>0.709126413</v>
      </c>
    </row>
    <row r="2620" customFormat="false" ht="15" hidden="false" customHeight="false" outlineLevel="0" collapsed="false">
      <c r="A2620" s="3" t="n">
        <v>2619</v>
      </c>
      <c r="B2620" s="3" t="n">
        <v>2618</v>
      </c>
      <c r="C2620" s="3" t="n">
        <v>13</v>
      </c>
      <c r="D2620" s="3" t="n">
        <v>5</v>
      </c>
      <c r="E2620" s="3" t="n">
        <v>0</v>
      </c>
      <c r="F2620" s="24" t="n">
        <v>0.157317013</v>
      </c>
    </row>
    <row r="2621" customFormat="false" ht="15" hidden="false" customHeight="false" outlineLevel="0" collapsed="false">
      <c r="A2621" s="3" t="n">
        <v>2620</v>
      </c>
      <c r="B2621" s="3" t="n">
        <v>2619</v>
      </c>
      <c r="C2621" s="3" t="n">
        <v>13</v>
      </c>
      <c r="D2621" s="3" t="n">
        <v>5</v>
      </c>
      <c r="E2621" s="3" t="n">
        <v>1</v>
      </c>
      <c r="F2621" s="24" t="n">
        <v>0.0981526002</v>
      </c>
    </row>
    <row r="2622" customFormat="false" ht="15" hidden="false" customHeight="false" outlineLevel="0" collapsed="false">
      <c r="A2622" s="3" t="n">
        <v>2621</v>
      </c>
      <c r="B2622" s="3" t="n">
        <v>2620</v>
      </c>
      <c r="C2622" s="3" t="n">
        <v>13</v>
      </c>
      <c r="D2622" s="3" t="n">
        <v>5</v>
      </c>
      <c r="E2622" s="3" t="n">
        <v>2</v>
      </c>
      <c r="F2622" s="24" t="n">
        <v>0.442430943</v>
      </c>
    </row>
    <row r="2623" customFormat="false" ht="15" hidden="false" customHeight="false" outlineLevel="0" collapsed="false">
      <c r="A2623" s="3" t="n">
        <v>2622</v>
      </c>
      <c r="B2623" s="3" t="n">
        <v>2621</v>
      </c>
      <c r="C2623" s="3" t="n">
        <v>13</v>
      </c>
      <c r="D2623" s="3" t="n">
        <v>5</v>
      </c>
      <c r="E2623" s="3" t="n">
        <v>3</v>
      </c>
      <c r="F2623" s="24" t="n">
        <v>0.79339087</v>
      </c>
    </row>
    <row r="2624" customFormat="false" ht="15" hidden="false" customHeight="false" outlineLevel="0" collapsed="false">
      <c r="A2624" s="3" t="n">
        <v>2623</v>
      </c>
      <c r="B2624" s="3" t="n">
        <v>2622</v>
      </c>
      <c r="C2624" s="3" t="n">
        <v>13</v>
      </c>
      <c r="D2624" s="3" t="n">
        <v>5</v>
      </c>
      <c r="E2624" s="3" t="n">
        <v>4</v>
      </c>
      <c r="F2624" s="24" t="n">
        <v>0</v>
      </c>
    </row>
    <row r="2625" customFormat="false" ht="15" hidden="false" customHeight="false" outlineLevel="0" collapsed="false">
      <c r="A2625" s="3" t="n">
        <v>2624</v>
      </c>
      <c r="B2625" s="3" t="n">
        <v>2623</v>
      </c>
      <c r="C2625" s="3" t="n">
        <v>13</v>
      </c>
      <c r="D2625" s="3" t="n">
        <v>5</v>
      </c>
      <c r="E2625" s="3" t="n">
        <v>5</v>
      </c>
      <c r="F2625" s="24" t="n">
        <v>0</v>
      </c>
    </row>
    <row r="2626" customFormat="false" ht="15" hidden="false" customHeight="false" outlineLevel="0" collapsed="false">
      <c r="A2626" s="3" t="n">
        <v>2625</v>
      </c>
      <c r="B2626" s="3" t="n">
        <v>2624</v>
      </c>
      <c r="C2626" s="3" t="n">
        <v>13</v>
      </c>
      <c r="D2626" s="3" t="n">
        <v>5</v>
      </c>
      <c r="E2626" s="3" t="n">
        <v>6</v>
      </c>
      <c r="F2626" s="24" t="n">
        <v>0</v>
      </c>
    </row>
    <row r="2627" customFormat="false" ht="15" hidden="false" customHeight="false" outlineLevel="0" collapsed="false">
      <c r="A2627" s="3" t="n">
        <v>2626</v>
      </c>
      <c r="B2627" s="3" t="n">
        <v>2625</v>
      </c>
      <c r="C2627" s="3" t="n">
        <v>13</v>
      </c>
      <c r="D2627" s="3" t="n">
        <v>5</v>
      </c>
      <c r="E2627" s="3" t="n">
        <v>7</v>
      </c>
      <c r="F2627" s="24" t="n">
        <v>0</v>
      </c>
    </row>
    <row r="2628" customFormat="false" ht="15" hidden="false" customHeight="false" outlineLevel="0" collapsed="false">
      <c r="A2628" s="3" t="n">
        <v>2627</v>
      </c>
      <c r="B2628" s="3" t="n">
        <v>2626</v>
      </c>
      <c r="C2628" s="3" t="n">
        <v>13</v>
      </c>
      <c r="D2628" s="3" t="n">
        <v>5</v>
      </c>
      <c r="E2628" s="3" t="n">
        <v>8</v>
      </c>
      <c r="F2628" s="24" t="n">
        <v>0</v>
      </c>
    </row>
    <row r="2629" customFormat="false" ht="15" hidden="false" customHeight="false" outlineLevel="0" collapsed="false">
      <c r="A2629" s="3" t="n">
        <v>2628</v>
      </c>
      <c r="B2629" s="3" t="n">
        <v>2627</v>
      </c>
      <c r="C2629" s="3" t="n">
        <v>13</v>
      </c>
      <c r="D2629" s="3" t="n">
        <v>5</v>
      </c>
      <c r="E2629" s="3" t="n">
        <v>9</v>
      </c>
      <c r="F2629" s="24" t="n">
        <v>0</v>
      </c>
    </row>
    <row r="2630" customFormat="false" ht="15" hidden="false" customHeight="false" outlineLevel="0" collapsed="false">
      <c r="A2630" s="3" t="n">
        <v>2629</v>
      </c>
      <c r="B2630" s="3" t="n">
        <v>2628</v>
      </c>
      <c r="C2630" s="3" t="n">
        <v>13</v>
      </c>
      <c r="D2630" s="3" t="n">
        <v>5</v>
      </c>
      <c r="E2630" s="3" t="n">
        <v>10</v>
      </c>
      <c r="F2630" s="24" t="n">
        <v>0</v>
      </c>
    </row>
    <row r="2631" customFormat="false" ht="15" hidden="false" customHeight="false" outlineLevel="0" collapsed="false">
      <c r="A2631" s="3" t="n">
        <v>2630</v>
      </c>
      <c r="B2631" s="3" t="n">
        <v>2629</v>
      </c>
      <c r="C2631" s="3" t="n">
        <v>13</v>
      </c>
      <c r="D2631" s="3" t="n">
        <v>5</v>
      </c>
      <c r="E2631" s="3" t="n">
        <v>11</v>
      </c>
      <c r="F2631" s="24" t="n">
        <v>4.60584354</v>
      </c>
    </row>
    <row r="2632" customFormat="false" ht="15" hidden="false" customHeight="false" outlineLevel="0" collapsed="false">
      <c r="A2632" s="3" t="n">
        <v>2631</v>
      </c>
      <c r="B2632" s="3" t="n">
        <v>2630</v>
      </c>
      <c r="C2632" s="3" t="n">
        <v>13</v>
      </c>
      <c r="D2632" s="3" t="n">
        <v>5</v>
      </c>
      <c r="E2632" s="3" t="n">
        <v>12</v>
      </c>
      <c r="F2632" s="24" t="n">
        <v>0.786693454</v>
      </c>
    </row>
    <row r="2633" customFormat="false" ht="15" hidden="false" customHeight="false" outlineLevel="0" collapsed="false">
      <c r="A2633" s="3" t="n">
        <v>2632</v>
      </c>
      <c r="B2633" s="3" t="n">
        <v>2631</v>
      </c>
      <c r="C2633" s="3" t="n">
        <v>13</v>
      </c>
      <c r="D2633" s="3" t="n">
        <v>5</v>
      </c>
      <c r="E2633" s="3" t="n">
        <v>13</v>
      </c>
      <c r="F2633" s="24" t="n">
        <v>0.709126413</v>
      </c>
    </row>
    <row r="2634" customFormat="false" ht="15" hidden="false" customHeight="false" outlineLevel="0" collapsed="false">
      <c r="A2634" s="3" t="n">
        <v>2633</v>
      </c>
      <c r="B2634" s="3" t="n">
        <v>2632</v>
      </c>
      <c r="C2634" s="3" t="n">
        <v>13</v>
      </c>
      <c r="D2634" s="3" t="n">
        <v>6</v>
      </c>
      <c r="E2634" s="3" t="n">
        <v>0</v>
      </c>
      <c r="F2634" s="24" t="n">
        <v>0.157317013</v>
      </c>
    </row>
    <row r="2635" customFormat="false" ht="15" hidden="false" customHeight="false" outlineLevel="0" collapsed="false">
      <c r="A2635" s="3" t="n">
        <v>2634</v>
      </c>
      <c r="B2635" s="3" t="n">
        <v>2633</v>
      </c>
      <c r="C2635" s="3" t="n">
        <v>13</v>
      </c>
      <c r="D2635" s="3" t="n">
        <v>6</v>
      </c>
      <c r="E2635" s="3" t="n">
        <v>1</v>
      </c>
      <c r="F2635" s="24" t="n">
        <v>0.531317592</v>
      </c>
    </row>
    <row r="2636" customFormat="false" ht="15" hidden="false" customHeight="false" outlineLevel="0" collapsed="false">
      <c r="A2636" s="3" t="n">
        <v>2635</v>
      </c>
      <c r="B2636" s="3" t="n">
        <v>2634</v>
      </c>
      <c r="C2636" s="3" t="n">
        <v>13</v>
      </c>
      <c r="D2636" s="3" t="n">
        <v>6</v>
      </c>
      <c r="E2636" s="3" t="n">
        <v>2</v>
      </c>
      <c r="F2636" s="24" t="n">
        <v>0.531850815</v>
      </c>
    </row>
    <row r="2637" customFormat="false" ht="15" hidden="false" customHeight="false" outlineLevel="0" collapsed="false">
      <c r="A2637" s="3" t="n">
        <v>2636</v>
      </c>
      <c r="B2637" s="3" t="n">
        <v>2635</v>
      </c>
      <c r="C2637" s="3" t="n">
        <v>13</v>
      </c>
      <c r="D2637" s="3" t="n">
        <v>6</v>
      </c>
      <c r="E2637" s="3" t="n">
        <v>3</v>
      </c>
      <c r="F2637" s="24" t="n">
        <v>0.551781118</v>
      </c>
    </row>
    <row r="2638" customFormat="false" ht="15" hidden="false" customHeight="false" outlineLevel="0" collapsed="false">
      <c r="A2638" s="3" t="n">
        <v>2637</v>
      </c>
      <c r="B2638" s="3" t="n">
        <v>2636</v>
      </c>
      <c r="C2638" s="3" t="n">
        <v>13</v>
      </c>
      <c r="D2638" s="3" t="n">
        <v>6</v>
      </c>
      <c r="E2638" s="3" t="n">
        <v>4</v>
      </c>
      <c r="F2638" s="24" t="n">
        <v>0.586413085</v>
      </c>
    </row>
    <row r="2639" customFormat="false" ht="15" hidden="false" customHeight="false" outlineLevel="0" collapsed="false">
      <c r="A2639" s="3" t="n">
        <v>2638</v>
      </c>
      <c r="B2639" s="3" t="n">
        <v>2637</v>
      </c>
      <c r="C2639" s="3" t="n">
        <v>13</v>
      </c>
      <c r="D2639" s="3" t="n">
        <v>6</v>
      </c>
      <c r="E2639" s="3" t="n">
        <v>5</v>
      </c>
      <c r="F2639" s="24" t="n">
        <v>0.60323894</v>
      </c>
    </row>
    <row r="2640" customFormat="false" ht="15" hidden="false" customHeight="false" outlineLevel="0" collapsed="false">
      <c r="A2640" s="3" t="n">
        <v>2639</v>
      </c>
      <c r="B2640" s="3" t="n">
        <v>2638</v>
      </c>
      <c r="C2640" s="3" t="n">
        <v>13</v>
      </c>
      <c r="D2640" s="3" t="n">
        <v>6</v>
      </c>
      <c r="E2640" s="3" t="n">
        <v>6</v>
      </c>
      <c r="F2640" s="24" t="n">
        <v>1.22303367</v>
      </c>
    </row>
    <row r="2641" customFormat="false" ht="15" hidden="false" customHeight="false" outlineLevel="0" collapsed="false">
      <c r="A2641" s="3" t="n">
        <v>2640</v>
      </c>
      <c r="B2641" s="3" t="n">
        <v>2639</v>
      </c>
      <c r="C2641" s="3" t="n">
        <v>13</v>
      </c>
      <c r="D2641" s="3" t="n">
        <v>6</v>
      </c>
      <c r="E2641" s="3" t="n">
        <v>7</v>
      </c>
      <c r="F2641" s="24" t="n">
        <v>1.95222759</v>
      </c>
    </row>
    <row r="2642" customFormat="false" ht="15" hidden="false" customHeight="false" outlineLevel="0" collapsed="false">
      <c r="A2642" s="3" t="n">
        <v>2641</v>
      </c>
      <c r="B2642" s="3" t="n">
        <v>2640</v>
      </c>
      <c r="C2642" s="3" t="n">
        <v>13</v>
      </c>
      <c r="D2642" s="3" t="n">
        <v>6</v>
      </c>
      <c r="E2642" s="3" t="n">
        <v>8</v>
      </c>
      <c r="F2642" s="24" t="n">
        <v>0</v>
      </c>
    </row>
    <row r="2643" customFormat="false" ht="15" hidden="false" customHeight="false" outlineLevel="0" collapsed="false">
      <c r="A2643" s="3" t="n">
        <v>2642</v>
      </c>
      <c r="B2643" s="3" t="n">
        <v>2641</v>
      </c>
      <c r="C2643" s="3" t="n">
        <v>13</v>
      </c>
      <c r="D2643" s="3" t="n">
        <v>6</v>
      </c>
      <c r="E2643" s="3" t="n">
        <v>9</v>
      </c>
      <c r="F2643" s="24" t="n">
        <v>0</v>
      </c>
    </row>
    <row r="2644" customFormat="false" ht="15" hidden="false" customHeight="false" outlineLevel="0" collapsed="false">
      <c r="A2644" s="3" t="n">
        <v>2643</v>
      </c>
      <c r="B2644" s="3" t="n">
        <v>2642</v>
      </c>
      <c r="C2644" s="3" t="n">
        <v>13</v>
      </c>
      <c r="D2644" s="3" t="n">
        <v>6</v>
      </c>
      <c r="E2644" s="3" t="n">
        <v>10</v>
      </c>
      <c r="F2644" s="24" t="n">
        <v>7.17256594</v>
      </c>
    </row>
    <row r="2645" customFormat="false" ht="15" hidden="false" customHeight="false" outlineLevel="0" collapsed="false">
      <c r="A2645" s="3" t="n">
        <v>2644</v>
      </c>
      <c r="B2645" s="3" t="n">
        <v>2643</v>
      </c>
      <c r="C2645" s="3" t="n">
        <v>13</v>
      </c>
      <c r="D2645" s="3" t="n">
        <v>6</v>
      </c>
      <c r="E2645" s="3" t="n">
        <v>11</v>
      </c>
      <c r="F2645" s="24" t="n">
        <v>4.70014763</v>
      </c>
    </row>
    <row r="2646" customFormat="false" ht="15" hidden="false" customHeight="false" outlineLevel="0" collapsed="false">
      <c r="A2646" s="3" t="n">
        <v>2645</v>
      </c>
      <c r="B2646" s="3" t="n">
        <v>2644</v>
      </c>
      <c r="C2646" s="3" t="n">
        <v>13</v>
      </c>
      <c r="D2646" s="3" t="n">
        <v>6</v>
      </c>
      <c r="E2646" s="3" t="n">
        <v>12</v>
      </c>
      <c r="F2646" s="24" t="n">
        <v>0.772215903</v>
      </c>
    </row>
    <row r="2647" customFormat="false" ht="15" hidden="false" customHeight="false" outlineLevel="0" collapsed="false">
      <c r="A2647" s="3" t="n">
        <v>2646</v>
      </c>
      <c r="B2647" s="3" t="n">
        <v>2645</v>
      </c>
      <c r="C2647" s="3" t="n">
        <v>13</v>
      </c>
      <c r="D2647" s="3" t="n">
        <v>6</v>
      </c>
      <c r="E2647" s="3" t="n">
        <v>13</v>
      </c>
      <c r="F2647" s="24" t="n">
        <v>0.709126413</v>
      </c>
    </row>
    <row r="2648" customFormat="false" ht="15" hidden="false" customHeight="false" outlineLevel="0" collapsed="false">
      <c r="A2648" s="3" t="n">
        <v>2647</v>
      </c>
      <c r="B2648" s="3" t="n">
        <v>2646</v>
      </c>
      <c r="C2648" s="3" t="n">
        <v>13</v>
      </c>
      <c r="D2648" s="3" t="n">
        <v>7</v>
      </c>
      <c r="E2648" s="3" t="n">
        <v>0</v>
      </c>
      <c r="F2648" s="24" t="n">
        <v>0.157317013</v>
      </c>
    </row>
    <row r="2649" customFormat="false" ht="15" hidden="false" customHeight="false" outlineLevel="0" collapsed="false">
      <c r="A2649" s="3" t="n">
        <v>2648</v>
      </c>
      <c r="B2649" s="3" t="n">
        <v>2647</v>
      </c>
      <c r="C2649" s="3" t="n">
        <v>13</v>
      </c>
      <c r="D2649" s="3" t="n">
        <v>7</v>
      </c>
      <c r="E2649" s="3" t="n">
        <v>1</v>
      </c>
      <c r="F2649" s="24" t="n">
        <v>0.509611964</v>
      </c>
    </row>
    <row r="2650" customFormat="false" ht="15" hidden="false" customHeight="false" outlineLevel="0" collapsed="false">
      <c r="A2650" s="3" t="n">
        <v>2649</v>
      </c>
      <c r="B2650" s="3" t="n">
        <v>2648</v>
      </c>
      <c r="C2650" s="3" t="n">
        <v>13</v>
      </c>
      <c r="D2650" s="3" t="n">
        <v>7</v>
      </c>
      <c r="E2650" s="3" t="n">
        <v>2</v>
      </c>
      <c r="F2650" s="24" t="n">
        <v>0.410889685</v>
      </c>
    </row>
    <row r="2651" customFormat="false" ht="15" hidden="false" customHeight="false" outlineLevel="0" collapsed="false">
      <c r="A2651" s="3" t="n">
        <v>2650</v>
      </c>
      <c r="B2651" s="3" t="n">
        <v>2649</v>
      </c>
      <c r="C2651" s="3" t="n">
        <v>13</v>
      </c>
      <c r="D2651" s="3" t="n">
        <v>7</v>
      </c>
      <c r="E2651" s="3" t="n">
        <v>3</v>
      </c>
      <c r="F2651" s="24" t="n">
        <v>0.410889685</v>
      </c>
    </row>
    <row r="2652" customFormat="false" ht="15" hidden="false" customHeight="false" outlineLevel="0" collapsed="false">
      <c r="A2652" s="3" t="n">
        <v>2651</v>
      </c>
      <c r="B2652" s="3" t="n">
        <v>2650</v>
      </c>
      <c r="C2652" s="3" t="n">
        <v>13</v>
      </c>
      <c r="D2652" s="3" t="n">
        <v>7</v>
      </c>
      <c r="E2652" s="3" t="n">
        <v>4</v>
      </c>
      <c r="F2652" s="24" t="n">
        <v>0.410889685</v>
      </c>
    </row>
    <row r="2653" customFormat="false" ht="15" hidden="false" customHeight="false" outlineLevel="0" collapsed="false">
      <c r="A2653" s="3" t="n">
        <v>2652</v>
      </c>
      <c r="B2653" s="3" t="n">
        <v>2651</v>
      </c>
      <c r="C2653" s="3" t="n">
        <v>13</v>
      </c>
      <c r="D2653" s="3" t="n">
        <v>7</v>
      </c>
      <c r="E2653" s="3" t="n">
        <v>5</v>
      </c>
      <c r="F2653" s="24" t="n">
        <v>0.519242883</v>
      </c>
    </row>
    <row r="2654" customFormat="false" ht="15" hidden="false" customHeight="false" outlineLevel="0" collapsed="false">
      <c r="A2654" s="3" t="n">
        <v>2653</v>
      </c>
      <c r="B2654" s="3" t="n">
        <v>2652</v>
      </c>
      <c r="C2654" s="3" t="n">
        <v>13</v>
      </c>
      <c r="D2654" s="3" t="n">
        <v>7</v>
      </c>
      <c r="E2654" s="3" t="n">
        <v>6</v>
      </c>
      <c r="F2654" s="24" t="n">
        <v>1.43783259</v>
      </c>
    </row>
    <row r="2655" customFormat="false" ht="15" hidden="false" customHeight="false" outlineLevel="0" collapsed="false">
      <c r="A2655" s="3" t="n">
        <v>2654</v>
      </c>
      <c r="B2655" s="3" t="n">
        <v>2653</v>
      </c>
      <c r="C2655" s="3" t="n">
        <v>13</v>
      </c>
      <c r="D2655" s="3" t="n">
        <v>7</v>
      </c>
      <c r="E2655" s="3" t="n">
        <v>7</v>
      </c>
      <c r="F2655" s="24" t="n">
        <v>0</v>
      </c>
    </row>
    <row r="2656" customFormat="false" ht="15" hidden="false" customHeight="false" outlineLevel="0" collapsed="false">
      <c r="A2656" s="3" t="n">
        <v>2655</v>
      </c>
      <c r="B2656" s="3" t="n">
        <v>2654</v>
      </c>
      <c r="C2656" s="3" t="n">
        <v>13</v>
      </c>
      <c r="D2656" s="3" t="n">
        <v>7</v>
      </c>
      <c r="E2656" s="3" t="n">
        <v>8</v>
      </c>
      <c r="F2656" s="24" t="n">
        <v>0</v>
      </c>
    </row>
    <row r="2657" customFormat="false" ht="15" hidden="false" customHeight="false" outlineLevel="0" collapsed="false">
      <c r="A2657" s="3" t="n">
        <v>2656</v>
      </c>
      <c r="B2657" s="3" t="n">
        <v>2655</v>
      </c>
      <c r="C2657" s="3" t="n">
        <v>13</v>
      </c>
      <c r="D2657" s="3" t="n">
        <v>7</v>
      </c>
      <c r="E2657" s="3" t="n">
        <v>9</v>
      </c>
      <c r="F2657" s="24" t="n">
        <v>0.795278728</v>
      </c>
    </row>
    <row r="2658" customFormat="false" ht="15" hidden="false" customHeight="false" outlineLevel="0" collapsed="false">
      <c r="A2658" s="3" t="n">
        <v>2657</v>
      </c>
      <c r="B2658" s="3" t="n">
        <v>2656</v>
      </c>
      <c r="C2658" s="3" t="n">
        <v>13</v>
      </c>
      <c r="D2658" s="3" t="n">
        <v>7</v>
      </c>
      <c r="E2658" s="3" t="n">
        <v>10</v>
      </c>
      <c r="F2658" s="24" t="n">
        <v>7.78881359</v>
      </c>
    </row>
    <row r="2659" customFormat="false" ht="15" hidden="false" customHeight="false" outlineLevel="0" collapsed="false">
      <c r="A2659" s="3" t="n">
        <v>2658</v>
      </c>
      <c r="B2659" s="3" t="n">
        <v>2657</v>
      </c>
      <c r="C2659" s="3" t="n">
        <v>13</v>
      </c>
      <c r="D2659" s="3" t="n">
        <v>7</v>
      </c>
      <c r="E2659" s="3" t="n">
        <v>11</v>
      </c>
      <c r="F2659" s="24" t="n">
        <v>1.66055059</v>
      </c>
    </row>
    <row r="2660" customFormat="false" ht="15" hidden="false" customHeight="false" outlineLevel="0" collapsed="false">
      <c r="A2660" s="3" t="n">
        <v>2659</v>
      </c>
      <c r="B2660" s="3" t="n">
        <v>2658</v>
      </c>
      <c r="C2660" s="3" t="n">
        <v>13</v>
      </c>
      <c r="D2660" s="3" t="n">
        <v>7</v>
      </c>
      <c r="E2660" s="3" t="n">
        <v>12</v>
      </c>
      <c r="F2660" s="24" t="n">
        <v>0.50846684</v>
      </c>
    </row>
    <row r="2661" customFormat="false" ht="15" hidden="false" customHeight="false" outlineLevel="0" collapsed="false">
      <c r="A2661" s="3" t="n">
        <v>2660</v>
      </c>
      <c r="B2661" s="3" t="n">
        <v>2659</v>
      </c>
      <c r="C2661" s="3" t="n">
        <v>13</v>
      </c>
      <c r="D2661" s="3" t="n">
        <v>7</v>
      </c>
      <c r="E2661" s="3" t="n">
        <v>13</v>
      </c>
      <c r="F2661" s="24" t="n">
        <v>0.709126413</v>
      </c>
    </row>
    <row r="2662" customFormat="false" ht="15" hidden="false" customHeight="false" outlineLevel="0" collapsed="false">
      <c r="A2662" s="3" t="n">
        <v>2661</v>
      </c>
      <c r="B2662" s="3" t="n">
        <v>2660</v>
      </c>
      <c r="C2662" s="3" t="n">
        <v>13</v>
      </c>
      <c r="D2662" s="3" t="n">
        <v>8</v>
      </c>
      <c r="E2662" s="3" t="n">
        <v>0</v>
      </c>
      <c r="F2662" s="24" t="n">
        <v>0.157317013</v>
      </c>
    </row>
    <row r="2663" customFormat="false" ht="15" hidden="false" customHeight="false" outlineLevel="0" collapsed="false">
      <c r="A2663" s="3" t="n">
        <v>2662</v>
      </c>
      <c r="B2663" s="3" t="n">
        <v>2661</v>
      </c>
      <c r="C2663" s="3" t="n">
        <v>13</v>
      </c>
      <c r="D2663" s="3" t="n">
        <v>8</v>
      </c>
      <c r="E2663" s="3" t="n">
        <v>1</v>
      </c>
      <c r="F2663" s="24" t="n">
        <v>0.509611964</v>
      </c>
    </row>
    <row r="2664" customFormat="false" ht="15" hidden="false" customHeight="false" outlineLevel="0" collapsed="false">
      <c r="A2664" s="3" t="n">
        <v>2663</v>
      </c>
      <c r="B2664" s="3" t="n">
        <v>2662</v>
      </c>
      <c r="C2664" s="3" t="n">
        <v>13</v>
      </c>
      <c r="D2664" s="3" t="n">
        <v>8</v>
      </c>
      <c r="E2664" s="3" t="n">
        <v>2</v>
      </c>
      <c r="F2664" s="24" t="n">
        <v>0.410889685</v>
      </c>
    </row>
    <row r="2665" customFormat="false" ht="15" hidden="false" customHeight="false" outlineLevel="0" collapsed="false">
      <c r="A2665" s="3" t="n">
        <v>2664</v>
      </c>
      <c r="B2665" s="3" t="n">
        <v>2663</v>
      </c>
      <c r="C2665" s="3" t="n">
        <v>13</v>
      </c>
      <c r="D2665" s="3" t="n">
        <v>8</v>
      </c>
      <c r="E2665" s="3" t="n">
        <v>3</v>
      </c>
      <c r="F2665" s="24" t="n">
        <v>0.410889685</v>
      </c>
    </row>
    <row r="2666" customFormat="false" ht="15" hidden="false" customHeight="false" outlineLevel="0" collapsed="false">
      <c r="A2666" s="3" t="n">
        <v>2665</v>
      </c>
      <c r="B2666" s="3" t="n">
        <v>2664</v>
      </c>
      <c r="C2666" s="3" t="n">
        <v>13</v>
      </c>
      <c r="D2666" s="3" t="n">
        <v>8</v>
      </c>
      <c r="E2666" s="3" t="n">
        <v>4</v>
      </c>
      <c r="F2666" s="24" t="n">
        <v>0.411639661</v>
      </c>
    </row>
    <row r="2667" customFormat="false" ht="15" hidden="false" customHeight="false" outlineLevel="0" collapsed="false">
      <c r="A2667" s="3" t="n">
        <v>2666</v>
      </c>
      <c r="B2667" s="3" t="n">
        <v>2665</v>
      </c>
      <c r="C2667" s="3" t="n">
        <v>13</v>
      </c>
      <c r="D2667" s="3" t="n">
        <v>8</v>
      </c>
      <c r="E2667" s="3" t="n">
        <v>5</v>
      </c>
      <c r="F2667" s="24" t="n">
        <v>1.43278551</v>
      </c>
    </row>
    <row r="2668" customFormat="false" ht="15" hidden="false" customHeight="false" outlineLevel="0" collapsed="false">
      <c r="A2668" s="3" t="n">
        <v>2667</v>
      </c>
      <c r="B2668" s="3" t="n">
        <v>2666</v>
      </c>
      <c r="C2668" s="3" t="n">
        <v>13</v>
      </c>
      <c r="D2668" s="3" t="n">
        <v>8</v>
      </c>
      <c r="E2668" s="3" t="n">
        <v>6</v>
      </c>
      <c r="F2668" s="24" t="n">
        <v>1.12111473</v>
      </c>
    </row>
    <row r="2669" customFormat="false" ht="15" hidden="false" customHeight="false" outlineLevel="0" collapsed="false">
      <c r="A2669" s="3" t="n">
        <v>2668</v>
      </c>
      <c r="B2669" s="3" t="n">
        <v>2667</v>
      </c>
      <c r="C2669" s="3" t="n">
        <v>13</v>
      </c>
      <c r="D2669" s="3" t="n">
        <v>8</v>
      </c>
      <c r="E2669" s="3" t="n">
        <v>7</v>
      </c>
      <c r="F2669" s="24" t="n">
        <v>0</v>
      </c>
    </row>
    <row r="2670" customFormat="false" ht="15" hidden="false" customHeight="false" outlineLevel="0" collapsed="false">
      <c r="A2670" s="3" t="n">
        <v>2669</v>
      </c>
      <c r="B2670" s="3" t="n">
        <v>2668</v>
      </c>
      <c r="C2670" s="3" t="n">
        <v>13</v>
      </c>
      <c r="D2670" s="3" t="n">
        <v>8</v>
      </c>
      <c r="E2670" s="3" t="n">
        <v>8</v>
      </c>
      <c r="F2670" s="24" t="n">
        <v>0</v>
      </c>
    </row>
    <row r="2671" customFormat="false" ht="15" hidden="false" customHeight="false" outlineLevel="0" collapsed="false">
      <c r="A2671" s="3" t="n">
        <v>2670</v>
      </c>
      <c r="B2671" s="3" t="n">
        <v>2669</v>
      </c>
      <c r="C2671" s="3" t="n">
        <v>13</v>
      </c>
      <c r="D2671" s="3" t="n">
        <v>8</v>
      </c>
      <c r="E2671" s="3" t="n">
        <v>9</v>
      </c>
      <c r="F2671" s="24" t="n">
        <v>7.3206296</v>
      </c>
    </row>
    <row r="2672" customFormat="false" ht="15" hidden="false" customHeight="false" outlineLevel="0" collapsed="false">
      <c r="A2672" s="3" t="n">
        <v>2671</v>
      </c>
      <c r="B2672" s="3" t="n">
        <v>2670</v>
      </c>
      <c r="C2672" s="3" t="n">
        <v>13</v>
      </c>
      <c r="D2672" s="3" t="n">
        <v>8</v>
      </c>
      <c r="E2672" s="3" t="n">
        <v>10</v>
      </c>
      <c r="F2672" s="24" t="n">
        <v>4.0791831</v>
      </c>
    </row>
    <row r="2673" customFormat="false" ht="15" hidden="false" customHeight="false" outlineLevel="0" collapsed="false">
      <c r="A2673" s="3" t="n">
        <v>2672</v>
      </c>
      <c r="B2673" s="3" t="n">
        <v>2671</v>
      </c>
      <c r="C2673" s="3" t="n">
        <v>13</v>
      </c>
      <c r="D2673" s="3" t="n">
        <v>8</v>
      </c>
      <c r="E2673" s="3" t="n">
        <v>11</v>
      </c>
      <c r="F2673" s="24" t="n">
        <v>0.654426038</v>
      </c>
    </row>
    <row r="2674" customFormat="false" ht="15" hidden="false" customHeight="false" outlineLevel="0" collapsed="false">
      <c r="A2674" s="3" t="n">
        <v>2673</v>
      </c>
      <c r="B2674" s="3" t="n">
        <v>2672</v>
      </c>
      <c r="C2674" s="3" t="n">
        <v>13</v>
      </c>
      <c r="D2674" s="3" t="n">
        <v>8</v>
      </c>
      <c r="E2674" s="3" t="n">
        <v>12</v>
      </c>
      <c r="F2674" s="24" t="n">
        <v>0.508993745</v>
      </c>
    </row>
    <row r="2675" customFormat="false" ht="15" hidden="false" customHeight="false" outlineLevel="0" collapsed="false">
      <c r="A2675" s="3" t="n">
        <v>2674</v>
      </c>
      <c r="B2675" s="3" t="n">
        <v>2673</v>
      </c>
      <c r="C2675" s="3" t="n">
        <v>13</v>
      </c>
      <c r="D2675" s="3" t="n">
        <v>8</v>
      </c>
      <c r="E2675" s="3" t="n">
        <v>13</v>
      </c>
      <c r="F2675" s="24" t="n">
        <v>0.709126413</v>
      </c>
    </row>
    <row r="2676" customFormat="false" ht="15" hidden="false" customHeight="false" outlineLevel="0" collapsed="false">
      <c r="A2676" s="3" t="n">
        <v>2675</v>
      </c>
      <c r="B2676" s="3" t="n">
        <v>2674</v>
      </c>
      <c r="C2676" s="3" t="n">
        <v>13</v>
      </c>
      <c r="D2676" s="3" t="n">
        <v>9</v>
      </c>
      <c r="E2676" s="3" t="n">
        <v>0</v>
      </c>
      <c r="F2676" s="24" t="n">
        <v>0.157317013</v>
      </c>
    </row>
    <row r="2677" customFormat="false" ht="15" hidden="false" customHeight="false" outlineLevel="0" collapsed="false">
      <c r="A2677" s="3" t="n">
        <v>2676</v>
      </c>
      <c r="B2677" s="3" t="n">
        <v>2675</v>
      </c>
      <c r="C2677" s="3" t="n">
        <v>13</v>
      </c>
      <c r="D2677" s="3" t="n">
        <v>9</v>
      </c>
      <c r="E2677" s="3" t="n">
        <v>1</v>
      </c>
      <c r="F2677" s="24" t="n">
        <v>0.509611964</v>
      </c>
    </row>
    <row r="2678" customFormat="false" ht="15" hidden="false" customHeight="false" outlineLevel="0" collapsed="false">
      <c r="A2678" s="3" t="n">
        <v>2677</v>
      </c>
      <c r="B2678" s="3" t="n">
        <v>2676</v>
      </c>
      <c r="C2678" s="3" t="n">
        <v>13</v>
      </c>
      <c r="D2678" s="3" t="n">
        <v>9</v>
      </c>
      <c r="E2678" s="3" t="n">
        <v>2</v>
      </c>
      <c r="F2678" s="24" t="n">
        <v>0.410889685</v>
      </c>
    </row>
    <row r="2679" customFormat="false" ht="15" hidden="false" customHeight="false" outlineLevel="0" collapsed="false">
      <c r="A2679" s="3" t="n">
        <v>2678</v>
      </c>
      <c r="B2679" s="3" t="n">
        <v>2677</v>
      </c>
      <c r="C2679" s="3" t="n">
        <v>13</v>
      </c>
      <c r="D2679" s="3" t="n">
        <v>9</v>
      </c>
      <c r="E2679" s="3" t="n">
        <v>3</v>
      </c>
      <c r="F2679" s="24" t="n">
        <v>0.410889685</v>
      </c>
    </row>
    <row r="2680" customFormat="false" ht="15" hidden="false" customHeight="false" outlineLevel="0" collapsed="false">
      <c r="A2680" s="3" t="n">
        <v>2679</v>
      </c>
      <c r="B2680" s="3" t="n">
        <v>2678</v>
      </c>
      <c r="C2680" s="3" t="n">
        <v>13</v>
      </c>
      <c r="D2680" s="3" t="n">
        <v>9</v>
      </c>
      <c r="E2680" s="3" t="n">
        <v>4</v>
      </c>
      <c r="F2680" s="24" t="n">
        <v>0.850210488</v>
      </c>
    </row>
    <row r="2681" customFormat="false" ht="15" hidden="false" customHeight="false" outlineLevel="0" collapsed="false">
      <c r="A2681" s="3" t="n">
        <v>2680</v>
      </c>
      <c r="B2681" s="3" t="n">
        <v>2679</v>
      </c>
      <c r="C2681" s="3" t="n">
        <v>13</v>
      </c>
      <c r="D2681" s="3" t="n">
        <v>9</v>
      </c>
      <c r="E2681" s="3" t="n">
        <v>5</v>
      </c>
      <c r="F2681" s="24" t="n">
        <v>1.63096261</v>
      </c>
    </row>
    <row r="2682" customFormat="false" ht="15" hidden="false" customHeight="false" outlineLevel="0" collapsed="false">
      <c r="A2682" s="3" t="n">
        <v>2681</v>
      </c>
      <c r="B2682" s="3" t="n">
        <v>2680</v>
      </c>
      <c r="C2682" s="3" t="n">
        <v>13</v>
      </c>
      <c r="D2682" s="3" t="n">
        <v>9</v>
      </c>
      <c r="E2682" s="3" t="n">
        <v>6</v>
      </c>
      <c r="F2682" s="24" t="n">
        <v>0</v>
      </c>
    </row>
    <row r="2683" customFormat="false" ht="15" hidden="false" customHeight="false" outlineLevel="0" collapsed="false">
      <c r="A2683" s="3" t="n">
        <v>2682</v>
      </c>
      <c r="B2683" s="3" t="n">
        <v>2681</v>
      </c>
      <c r="C2683" s="3" t="n">
        <v>13</v>
      </c>
      <c r="D2683" s="3" t="n">
        <v>9</v>
      </c>
      <c r="E2683" s="3" t="n">
        <v>7</v>
      </c>
      <c r="F2683" s="24" t="n">
        <v>0</v>
      </c>
    </row>
    <row r="2684" customFormat="false" ht="15" hidden="false" customHeight="false" outlineLevel="0" collapsed="false">
      <c r="A2684" s="3" t="n">
        <v>2683</v>
      </c>
      <c r="B2684" s="3" t="n">
        <v>2682</v>
      </c>
      <c r="C2684" s="3" t="n">
        <v>13</v>
      </c>
      <c r="D2684" s="3" t="n">
        <v>9</v>
      </c>
      <c r="E2684" s="3" t="n">
        <v>8</v>
      </c>
      <c r="F2684" s="24" t="n">
        <v>4.31738997</v>
      </c>
    </row>
    <row r="2685" customFormat="false" ht="15" hidden="false" customHeight="false" outlineLevel="0" collapsed="false">
      <c r="A2685" s="3" t="n">
        <v>2684</v>
      </c>
      <c r="B2685" s="3" t="n">
        <v>2683</v>
      </c>
      <c r="C2685" s="3" t="n">
        <v>13</v>
      </c>
      <c r="D2685" s="3" t="n">
        <v>9</v>
      </c>
      <c r="E2685" s="3" t="n">
        <v>9</v>
      </c>
      <c r="F2685" s="24" t="n">
        <v>7.89416647</v>
      </c>
    </row>
    <row r="2686" customFormat="false" ht="15" hidden="false" customHeight="false" outlineLevel="0" collapsed="false">
      <c r="A2686" s="3" t="n">
        <v>2685</v>
      </c>
      <c r="B2686" s="3" t="n">
        <v>2684</v>
      </c>
      <c r="C2686" s="3" t="n">
        <v>13</v>
      </c>
      <c r="D2686" s="3" t="n">
        <v>9</v>
      </c>
      <c r="E2686" s="3" t="n">
        <v>10</v>
      </c>
      <c r="F2686" s="24" t="n">
        <v>1.46916938</v>
      </c>
    </row>
    <row r="2687" customFormat="false" ht="15" hidden="false" customHeight="false" outlineLevel="0" collapsed="false">
      <c r="A2687" s="3" t="n">
        <v>2686</v>
      </c>
      <c r="B2687" s="3" t="n">
        <v>2685</v>
      </c>
      <c r="C2687" s="3" t="n">
        <v>13</v>
      </c>
      <c r="D2687" s="3" t="n">
        <v>9</v>
      </c>
      <c r="E2687" s="3" t="n">
        <v>11</v>
      </c>
      <c r="F2687" s="24" t="n">
        <v>0.40878287</v>
      </c>
    </row>
    <row r="2688" customFormat="false" ht="15" hidden="false" customHeight="false" outlineLevel="0" collapsed="false">
      <c r="A2688" s="3" t="n">
        <v>2687</v>
      </c>
      <c r="B2688" s="3" t="n">
        <v>2686</v>
      </c>
      <c r="C2688" s="3" t="n">
        <v>13</v>
      </c>
      <c r="D2688" s="3" t="n">
        <v>9</v>
      </c>
      <c r="E2688" s="3" t="n">
        <v>12</v>
      </c>
      <c r="F2688" s="24" t="n">
        <v>0.508993745</v>
      </c>
    </row>
    <row r="2689" customFormat="false" ht="15" hidden="false" customHeight="false" outlineLevel="0" collapsed="false">
      <c r="A2689" s="3" t="n">
        <v>2688</v>
      </c>
      <c r="B2689" s="3" t="n">
        <v>2687</v>
      </c>
      <c r="C2689" s="3" t="n">
        <v>13</v>
      </c>
      <c r="D2689" s="3" t="n">
        <v>9</v>
      </c>
      <c r="E2689" s="3" t="n">
        <v>13</v>
      </c>
      <c r="F2689" s="24" t="n">
        <v>0.709126413</v>
      </c>
    </row>
    <row r="2690" customFormat="false" ht="15" hidden="false" customHeight="false" outlineLevel="0" collapsed="false">
      <c r="A2690" s="3" t="n">
        <v>2689</v>
      </c>
      <c r="B2690" s="3" t="n">
        <v>2688</v>
      </c>
      <c r="C2690" s="3" t="n">
        <v>13</v>
      </c>
      <c r="D2690" s="3" t="n">
        <v>10</v>
      </c>
      <c r="E2690" s="3" t="n">
        <v>0</v>
      </c>
      <c r="F2690" s="24" t="n">
        <v>0.157317013</v>
      </c>
    </row>
    <row r="2691" customFormat="false" ht="15" hidden="false" customHeight="false" outlineLevel="0" collapsed="false">
      <c r="A2691" s="3" t="n">
        <v>2690</v>
      </c>
      <c r="B2691" s="3" t="n">
        <v>2689</v>
      </c>
      <c r="C2691" s="3" t="n">
        <v>13</v>
      </c>
      <c r="D2691" s="3" t="n">
        <v>10</v>
      </c>
      <c r="E2691" s="3" t="n">
        <v>1</v>
      </c>
      <c r="F2691" s="24" t="n">
        <v>0.509611964</v>
      </c>
    </row>
    <row r="2692" customFormat="false" ht="15" hidden="false" customHeight="false" outlineLevel="0" collapsed="false">
      <c r="A2692" s="3" t="n">
        <v>2691</v>
      </c>
      <c r="B2692" s="3" t="n">
        <v>2690</v>
      </c>
      <c r="C2692" s="3" t="n">
        <v>13</v>
      </c>
      <c r="D2692" s="3" t="n">
        <v>10</v>
      </c>
      <c r="E2692" s="3" t="n">
        <v>2</v>
      </c>
      <c r="F2692" s="24" t="n">
        <v>0.410889685</v>
      </c>
    </row>
    <row r="2693" customFormat="false" ht="15" hidden="false" customHeight="false" outlineLevel="0" collapsed="false">
      <c r="A2693" s="3" t="n">
        <v>2692</v>
      </c>
      <c r="B2693" s="3" t="n">
        <v>2691</v>
      </c>
      <c r="C2693" s="3" t="n">
        <v>13</v>
      </c>
      <c r="D2693" s="3" t="n">
        <v>10</v>
      </c>
      <c r="E2693" s="3" t="n">
        <v>3</v>
      </c>
      <c r="F2693" s="24" t="n">
        <v>0.49522534</v>
      </c>
    </row>
    <row r="2694" customFormat="false" ht="15" hidden="false" customHeight="false" outlineLevel="0" collapsed="false">
      <c r="A2694" s="3" t="n">
        <v>2693</v>
      </c>
      <c r="B2694" s="3" t="n">
        <v>2692</v>
      </c>
      <c r="C2694" s="3" t="n">
        <v>13</v>
      </c>
      <c r="D2694" s="3" t="n">
        <v>10</v>
      </c>
      <c r="E2694" s="3" t="n">
        <v>4</v>
      </c>
      <c r="F2694" s="24" t="n">
        <v>1.55816531</v>
      </c>
    </row>
    <row r="2695" customFormat="false" ht="15" hidden="false" customHeight="false" outlineLevel="0" collapsed="false">
      <c r="A2695" s="3" t="n">
        <v>2694</v>
      </c>
      <c r="B2695" s="3" t="n">
        <v>2693</v>
      </c>
      <c r="C2695" s="3" t="n">
        <v>13</v>
      </c>
      <c r="D2695" s="3" t="n">
        <v>10</v>
      </c>
      <c r="E2695" s="3" t="n">
        <v>5</v>
      </c>
      <c r="F2695" s="24" t="n">
        <v>0</v>
      </c>
    </row>
    <row r="2696" customFormat="false" ht="15" hidden="false" customHeight="false" outlineLevel="0" collapsed="false">
      <c r="A2696" s="3" t="n">
        <v>2695</v>
      </c>
      <c r="B2696" s="3" t="n">
        <v>2694</v>
      </c>
      <c r="C2696" s="3" t="n">
        <v>13</v>
      </c>
      <c r="D2696" s="3" t="n">
        <v>10</v>
      </c>
      <c r="E2696" s="3" t="n">
        <v>6</v>
      </c>
      <c r="F2696" s="24" t="n">
        <v>0</v>
      </c>
    </row>
    <row r="2697" customFormat="false" ht="15" hidden="false" customHeight="false" outlineLevel="0" collapsed="false">
      <c r="A2697" s="3" t="n">
        <v>2696</v>
      </c>
      <c r="B2697" s="3" t="n">
        <v>2695</v>
      </c>
      <c r="C2697" s="3" t="n">
        <v>13</v>
      </c>
      <c r="D2697" s="3" t="n">
        <v>10</v>
      </c>
      <c r="E2697" s="3" t="n">
        <v>7</v>
      </c>
      <c r="F2697" s="24" t="n">
        <v>0</v>
      </c>
    </row>
    <row r="2698" customFormat="false" ht="15" hidden="false" customHeight="false" outlineLevel="0" collapsed="false">
      <c r="A2698" s="3" t="n">
        <v>2697</v>
      </c>
      <c r="B2698" s="3" t="n">
        <v>2696</v>
      </c>
      <c r="C2698" s="3" t="n">
        <v>13</v>
      </c>
      <c r="D2698" s="3" t="n">
        <v>10</v>
      </c>
      <c r="E2698" s="3" t="n">
        <v>8</v>
      </c>
      <c r="F2698" s="24" t="n">
        <v>7.57092762</v>
      </c>
    </row>
    <row r="2699" customFormat="false" ht="15" hidden="false" customHeight="false" outlineLevel="0" collapsed="false">
      <c r="A2699" s="3" t="n">
        <v>2698</v>
      </c>
      <c r="B2699" s="3" t="n">
        <v>2697</v>
      </c>
      <c r="C2699" s="3" t="n">
        <v>13</v>
      </c>
      <c r="D2699" s="3" t="n">
        <v>10</v>
      </c>
      <c r="E2699" s="3" t="n">
        <v>9</v>
      </c>
      <c r="F2699" s="24" t="n">
        <v>3.15825295</v>
      </c>
    </row>
    <row r="2700" customFormat="false" ht="15" hidden="false" customHeight="false" outlineLevel="0" collapsed="false">
      <c r="A2700" s="3" t="n">
        <v>2699</v>
      </c>
      <c r="B2700" s="3" t="n">
        <v>2698</v>
      </c>
      <c r="C2700" s="3" t="n">
        <v>13</v>
      </c>
      <c r="D2700" s="3" t="n">
        <v>10</v>
      </c>
      <c r="E2700" s="3" t="n">
        <v>10</v>
      </c>
      <c r="F2700" s="24" t="n">
        <v>0.598477006</v>
      </c>
    </row>
    <row r="2701" customFormat="false" ht="15" hidden="false" customHeight="false" outlineLevel="0" collapsed="false">
      <c r="A2701" s="3" t="n">
        <v>2700</v>
      </c>
      <c r="B2701" s="3" t="n">
        <v>2699</v>
      </c>
      <c r="C2701" s="3" t="n">
        <v>13</v>
      </c>
      <c r="D2701" s="3" t="n">
        <v>10</v>
      </c>
      <c r="E2701" s="3" t="n">
        <v>11</v>
      </c>
      <c r="F2701" s="24" t="n">
        <v>0.410889685</v>
      </c>
    </row>
    <row r="2702" customFormat="false" ht="15" hidden="false" customHeight="false" outlineLevel="0" collapsed="false">
      <c r="A2702" s="3" t="n">
        <v>2701</v>
      </c>
      <c r="B2702" s="3" t="n">
        <v>2700</v>
      </c>
      <c r="C2702" s="3" t="n">
        <v>13</v>
      </c>
      <c r="D2702" s="3" t="n">
        <v>10</v>
      </c>
      <c r="E2702" s="3" t="n">
        <v>12</v>
      </c>
      <c r="F2702" s="24" t="n">
        <v>0.508993745</v>
      </c>
    </row>
    <row r="2703" customFormat="false" ht="15" hidden="false" customHeight="false" outlineLevel="0" collapsed="false">
      <c r="A2703" s="3" t="n">
        <v>2702</v>
      </c>
      <c r="B2703" s="3" t="n">
        <v>2701</v>
      </c>
      <c r="C2703" s="3" t="n">
        <v>13</v>
      </c>
      <c r="D2703" s="3" t="n">
        <v>10</v>
      </c>
      <c r="E2703" s="3" t="n">
        <v>13</v>
      </c>
      <c r="F2703" s="24" t="n">
        <v>0.709126413</v>
      </c>
    </row>
    <row r="2704" customFormat="false" ht="15" hidden="false" customHeight="false" outlineLevel="0" collapsed="false">
      <c r="A2704" s="3" t="n">
        <v>2703</v>
      </c>
      <c r="B2704" s="3" t="n">
        <v>2702</v>
      </c>
      <c r="C2704" s="3" t="n">
        <v>13</v>
      </c>
      <c r="D2704" s="3" t="n">
        <v>11</v>
      </c>
      <c r="E2704" s="3" t="n">
        <v>0</v>
      </c>
      <c r="F2704" s="24" t="n">
        <v>0.157317013</v>
      </c>
    </row>
    <row r="2705" customFormat="false" ht="15" hidden="false" customHeight="false" outlineLevel="0" collapsed="false">
      <c r="A2705" s="3" t="n">
        <v>2704</v>
      </c>
      <c r="B2705" s="3" t="n">
        <v>2703</v>
      </c>
      <c r="C2705" s="3" t="n">
        <v>13</v>
      </c>
      <c r="D2705" s="3" t="n">
        <v>11</v>
      </c>
      <c r="E2705" s="3" t="n">
        <v>1</v>
      </c>
      <c r="F2705" s="24" t="n">
        <v>0.509611964</v>
      </c>
    </row>
    <row r="2706" customFormat="false" ht="15" hidden="false" customHeight="false" outlineLevel="0" collapsed="false">
      <c r="A2706" s="3" t="n">
        <v>2705</v>
      </c>
      <c r="B2706" s="3" t="n">
        <v>2704</v>
      </c>
      <c r="C2706" s="3" t="n">
        <v>13</v>
      </c>
      <c r="D2706" s="3" t="n">
        <v>11</v>
      </c>
      <c r="E2706" s="3" t="n">
        <v>2</v>
      </c>
      <c r="F2706" s="24" t="n">
        <v>0.410889685</v>
      </c>
    </row>
    <row r="2707" customFormat="false" ht="15" hidden="false" customHeight="false" outlineLevel="0" collapsed="false">
      <c r="A2707" s="3" t="n">
        <v>2706</v>
      </c>
      <c r="B2707" s="3" t="n">
        <v>2705</v>
      </c>
      <c r="C2707" s="3" t="n">
        <v>13</v>
      </c>
      <c r="D2707" s="3" t="n">
        <v>11</v>
      </c>
      <c r="E2707" s="3" t="n">
        <v>3</v>
      </c>
      <c r="F2707" s="24" t="n">
        <v>0.733422399</v>
      </c>
    </row>
    <row r="2708" customFormat="false" ht="15" hidden="false" customHeight="false" outlineLevel="0" collapsed="false">
      <c r="A2708" s="3" t="n">
        <v>2707</v>
      </c>
      <c r="B2708" s="3" t="n">
        <v>2706</v>
      </c>
      <c r="C2708" s="3" t="n">
        <v>13</v>
      </c>
      <c r="D2708" s="3" t="n">
        <v>11</v>
      </c>
      <c r="E2708" s="3" t="n">
        <v>4</v>
      </c>
      <c r="F2708" s="24" t="n">
        <v>0.671165824</v>
      </c>
    </row>
    <row r="2709" customFormat="false" ht="15" hidden="false" customHeight="false" outlineLevel="0" collapsed="false">
      <c r="A2709" s="3" t="n">
        <v>2708</v>
      </c>
      <c r="B2709" s="3" t="n">
        <v>2707</v>
      </c>
      <c r="C2709" s="3" t="n">
        <v>13</v>
      </c>
      <c r="D2709" s="3" t="n">
        <v>11</v>
      </c>
      <c r="E2709" s="3" t="n">
        <v>5</v>
      </c>
      <c r="F2709" s="24" t="n">
        <v>0</v>
      </c>
    </row>
    <row r="2710" customFormat="false" ht="15" hidden="false" customHeight="false" outlineLevel="0" collapsed="false">
      <c r="A2710" s="3" t="n">
        <v>2709</v>
      </c>
      <c r="B2710" s="3" t="n">
        <v>2708</v>
      </c>
      <c r="C2710" s="3" t="n">
        <v>13</v>
      </c>
      <c r="D2710" s="3" t="n">
        <v>11</v>
      </c>
      <c r="E2710" s="3" t="n">
        <v>6</v>
      </c>
      <c r="F2710" s="24" t="n">
        <v>0</v>
      </c>
    </row>
    <row r="2711" customFormat="false" ht="15" hidden="false" customHeight="false" outlineLevel="0" collapsed="false">
      <c r="A2711" s="3" t="n">
        <v>2710</v>
      </c>
      <c r="B2711" s="3" t="n">
        <v>2709</v>
      </c>
      <c r="C2711" s="3" t="n">
        <v>13</v>
      </c>
      <c r="D2711" s="3" t="n">
        <v>11</v>
      </c>
      <c r="E2711" s="3" t="n">
        <v>7</v>
      </c>
      <c r="F2711" s="24" t="n">
        <v>5.09727812</v>
      </c>
    </row>
    <row r="2712" customFormat="false" ht="15" hidden="false" customHeight="false" outlineLevel="0" collapsed="false">
      <c r="A2712" s="3" t="n">
        <v>2711</v>
      </c>
      <c r="B2712" s="3" t="n">
        <v>2710</v>
      </c>
      <c r="C2712" s="3" t="n">
        <v>13</v>
      </c>
      <c r="D2712" s="3" t="n">
        <v>11</v>
      </c>
      <c r="E2712" s="3" t="n">
        <v>8</v>
      </c>
      <c r="F2712" s="24" t="n">
        <v>5.68482971</v>
      </c>
    </row>
    <row r="2713" customFormat="false" ht="15" hidden="false" customHeight="false" outlineLevel="0" collapsed="false">
      <c r="A2713" s="3" t="n">
        <v>2712</v>
      </c>
      <c r="B2713" s="3" t="n">
        <v>2711</v>
      </c>
      <c r="C2713" s="3" t="n">
        <v>13</v>
      </c>
      <c r="D2713" s="3" t="n">
        <v>11</v>
      </c>
      <c r="E2713" s="3" t="n">
        <v>9</v>
      </c>
      <c r="F2713" s="24" t="n">
        <v>1.14603519</v>
      </c>
    </row>
    <row r="2714" customFormat="false" ht="15" hidden="false" customHeight="false" outlineLevel="0" collapsed="false">
      <c r="A2714" s="3" t="n">
        <v>2713</v>
      </c>
      <c r="B2714" s="3" t="n">
        <v>2712</v>
      </c>
      <c r="C2714" s="3" t="n">
        <v>13</v>
      </c>
      <c r="D2714" s="3" t="n">
        <v>11</v>
      </c>
      <c r="E2714" s="3" t="n">
        <v>10</v>
      </c>
      <c r="F2714" s="24" t="n">
        <v>0.410889685</v>
      </c>
    </row>
    <row r="2715" customFormat="false" ht="15" hidden="false" customHeight="false" outlineLevel="0" collapsed="false">
      <c r="A2715" s="3" t="n">
        <v>2714</v>
      </c>
      <c r="B2715" s="3" t="n">
        <v>2713</v>
      </c>
      <c r="C2715" s="3" t="n">
        <v>13</v>
      </c>
      <c r="D2715" s="3" t="n">
        <v>11</v>
      </c>
      <c r="E2715" s="3" t="n">
        <v>11</v>
      </c>
      <c r="F2715" s="24" t="n">
        <v>0.410889685</v>
      </c>
    </row>
    <row r="2716" customFormat="false" ht="15" hidden="false" customHeight="false" outlineLevel="0" collapsed="false">
      <c r="A2716" s="3" t="n">
        <v>2715</v>
      </c>
      <c r="B2716" s="3" t="n">
        <v>2714</v>
      </c>
      <c r="C2716" s="3" t="n">
        <v>13</v>
      </c>
      <c r="D2716" s="3" t="n">
        <v>11</v>
      </c>
      <c r="E2716" s="3" t="n">
        <v>12</v>
      </c>
      <c r="F2716" s="24" t="n">
        <v>0.508993745</v>
      </c>
    </row>
    <row r="2717" customFormat="false" ht="15" hidden="false" customHeight="false" outlineLevel="0" collapsed="false">
      <c r="A2717" s="3" t="n">
        <v>2716</v>
      </c>
      <c r="B2717" s="3" t="n">
        <v>2715</v>
      </c>
      <c r="C2717" s="3" t="n">
        <v>13</v>
      </c>
      <c r="D2717" s="3" t="n">
        <v>11</v>
      </c>
      <c r="E2717" s="3" t="n">
        <v>13</v>
      </c>
      <c r="F2717" s="24" t="n">
        <v>0.709126413</v>
      </c>
    </row>
    <row r="2718" customFormat="false" ht="15" hidden="false" customHeight="false" outlineLevel="0" collapsed="false">
      <c r="A2718" s="3" t="n">
        <v>2717</v>
      </c>
      <c r="B2718" s="3" t="n">
        <v>2716</v>
      </c>
      <c r="C2718" s="3" t="n">
        <v>13</v>
      </c>
      <c r="D2718" s="3" t="n">
        <v>12</v>
      </c>
      <c r="E2718" s="3" t="n">
        <v>0</v>
      </c>
      <c r="F2718" s="24" t="n">
        <v>0.302966535</v>
      </c>
    </row>
    <row r="2719" customFormat="false" ht="15" hidden="false" customHeight="false" outlineLevel="0" collapsed="false">
      <c r="A2719" s="3" t="n">
        <v>2718</v>
      </c>
      <c r="B2719" s="3" t="n">
        <v>2717</v>
      </c>
      <c r="C2719" s="3" t="n">
        <v>13</v>
      </c>
      <c r="D2719" s="3" t="n">
        <v>12</v>
      </c>
      <c r="E2719" s="3" t="n">
        <v>1</v>
      </c>
      <c r="F2719" s="24" t="n">
        <v>0.583972394</v>
      </c>
    </row>
    <row r="2720" customFormat="false" ht="15" hidden="false" customHeight="false" outlineLevel="0" collapsed="false">
      <c r="A2720" s="3" t="n">
        <v>2719</v>
      </c>
      <c r="B2720" s="3" t="n">
        <v>2718</v>
      </c>
      <c r="C2720" s="3" t="n">
        <v>13</v>
      </c>
      <c r="D2720" s="3" t="n">
        <v>12</v>
      </c>
      <c r="E2720" s="3" t="n">
        <v>2</v>
      </c>
      <c r="F2720" s="24" t="n">
        <v>0.45204708</v>
      </c>
    </row>
    <row r="2721" customFormat="false" ht="15" hidden="false" customHeight="false" outlineLevel="0" collapsed="false">
      <c r="A2721" s="3" t="n">
        <v>2720</v>
      </c>
      <c r="B2721" s="3" t="n">
        <v>2719</v>
      </c>
      <c r="C2721" s="3" t="n">
        <v>13</v>
      </c>
      <c r="D2721" s="3" t="n">
        <v>12</v>
      </c>
      <c r="E2721" s="3" t="n">
        <v>3</v>
      </c>
      <c r="F2721" s="24" t="n">
        <v>0.407793105</v>
      </c>
    </row>
    <row r="2722" customFormat="false" ht="15" hidden="false" customHeight="false" outlineLevel="0" collapsed="false">
      <c r="A2722" s="3" t="n">
        <v>2721</v>
      </c>
      <c r="B2722" s="3" t="n">
        <v>2720</v>
      </c>
      <c r="C2722" s="3" t="n">
        <v>13</v>
      </c>
      <c r="D2722" s="3" t="n">
        <v>12</v>
      </c>
      <c r="E2722" s="3" t="n">
        <v>4</v>
      </c>
      <c r="F2722" s="24" t="n">
        <v>0</v>
      </c>
    </row>
    <row r="2723" customFormat="false" ht="15" hidden="false" customHeight="false" outlineLevel="0" collapsed="false">
      <c r="A2723" s="3" t="n">
        <v>2722</v>
      </c>
      <c r="B2723" s="3" t="n">
        <v>2721</v>
      </c>
      <c r="C2723" s="3" t="n">
        <v>13</v>
      </c>
      <c r="D2723" s="3" t="n">
        <v>12</v>
      </c>
      <c r="E2723" s="3" t="n">
        <v>5</v>
      </c>
      <c r="F2723" s="24" t="n">
        <v>0</v>
      </c>
    </row>
    <row r="2724" customFormat="false" ht="15" hidden="false" customHeight="false" outlineLevel="0" collapsed="false">
      <c r="A2724" s="3" t="n">
        <v>2723</v>
      </c>
      <c r="B2724" s="3" t="n">
        <v>2722</v>
      </c>
      <c r="C2724" s="3" t="n">
        <v>13</v>
      </c>
      <c r="D2724" s="3" t="n">
        <v>12</v>
      </c>
      <c r="E2724" s="3" t="n">
        <v>6</v>
      </c>
      <c r="F2724" s="24" t="n">
        <v>0.310095966</v>
      </c>
    </row>
    <row r="2725" customFormat="false" ht="15" hidden="false" customHeight="false" outlineLevel="0" collapsed="false">
      <c r="A2725" s="3" t="n">
        <v>2724</v>
      </c>
      <c r="B2725" s="3" t="n">
        <v>2723</v>
      </c>
      <c r="C2725" s="3" t="n">
        <v>13</v>
      </c>
      <c r="D2725" s="3" t="n">
        <v>12</v>
      </c>
      <c r="E2725" s="3" t="n">
        <v>7</v>
      </c>
      <c r="F2725" s="24" t="n">
        <v>9.83453274</v>
      </c>
    </row>
    <row r="2726" customFormat="false" ht="15" hidden="false" customHeight="false" outlineLevel="0" collapsed="false">
      <c r="A2726" s="3" t="n">
        <v>2725</v>
      </c>
      <c r="B2726" s="3" t="n">
        <v>2724</v>
      </c>
      <c r="C2726" s="3" t="n">
        <v>13</v>
      </c>
      <c r="D2726" s="3" t="n">
        <v>12</v>
      </c>
      <c r="E2726" s="3" t="n">
        <v>8</v>
      </c>
      <c r="F2726" s="24" t="n">
        <v>3.01094508</v>
      </c>
    </row>
    <row r="2727" customFormat="false" ht="15" hidden="false" customHeight="false" outlineLevel="0" collapsed="false">
      <c r="A2727" s="3" t="n">
        <v>2726</v>
      </c>
      <c r="B2727" s="3" t="n">
        <v>2725</v>
      </c>
      <c r="C2727" s="3" t="n">
        <v>13</v>
      </c>
      <c r="D2727" s="3" t="n">
        <v>12</v>
      </c>
      <c r="E2727" s="3" t="n">
        <v>9</v>
      </c>
      <c r="F2727" s="24" t="n">
        <v>0.484378397</v>
      </c>
    </row>
    <row r="2728" customFormat="false" ht="15" hidden="false" customHeight="false" outlineLevel="0" collapsed="false">
      <c r="A2728" s="3" t="n">
        <v>2727</v>
      </c>
      <c r="B2728" s="3" t="n">
        <v>2726</v>
      </c>
      <c r="C2728" s="3" t="n">
        <v>13</v>
      </c>
      <c r="D2728" s="3" t="n">
        <v>12</v>
      </c>
      <c r="E2728" s="3" t="n">
        <v>10</v>
      </c>
      <c r="F2728" s="24" t="n">
        <v>0.45204708</v>
      </c>
    </row>
    <row r="2729" customFormat="false" ht="15" hidden="false" customHeight="false" outlineLevel="0" collapsed="false">
      <c r="A2729" s="3" t="n">
        <v>2728</v>
      </c>
      <c r="B2729" s="3" t="n">
        <v>2727</v>
      </c>
      <c r="C2729" s="3" t="n">
        <v>13</v>
      </c>
      <c r="D2729" s="3" t="n">
        <v>12</v>
      </c>
      <c r="E2729" s="3" t="n">
        <v>11</v>
      </c>
      <c r="F2729" s="24" t="n">
        <v>0.45204708</v>
      </c>
    </row>
    <row r="2730" customFormat="false" ht="15" hidden="false" customHeight="false" outlineLevel="0" collapsed="false">
      <c r="A2730" s="3" t="n">
        <v>2729</v>
      </c>
      <c r="B2730" s="3" t="n">
        <v>2728</v>
      </c>
      <c r="C2730" s="3" t="n">
        <v>13</v>
      </c>
      <c r="D2730" s="3" t="n">
        <v>12</v>
      </c>
      <c r="E2730" s="3" t="n">
        <v>12</v>
      </c>
      <c r="F2730" s="24" t="n">
        <v>0.55015111</v>
      </c>
    </row>
    <row r="2731" customFormat="false" ht="15" hidden="false" customHeight="false" outlineLevel="0" collapsed="false">
      <c r="A2731" s="3" t="n">
        <v>2730</v>
      </c>
      <c r="B2731" s="3" t="n">
        <v>2729</v>
      </c>
      <c r="C2731" s="3" t="n">
        <v>13</v>
      </c>
      <c r="D2731" s="3" t="n">
        <v>12</v>
      </c>
      <c r="E2731" s="3" t="n">
        <v>13</v>
      </c>
      <c r="F2731" s="24" t="n">
        <v>0.685322464</v>
      </c>
    </row>
    <row r="2732" customFormat="false" ht="15" hidden="false" customHeight="false" outlineLevel="0" collapsed="false">
      <c r="A2732" s="3" t="n">
        <v>2731</v>
      </c>
      <c r="B2732" s="3" t="n">
        <v>2730</v>
      </c>
      <c r="C2732" s="3" t="n">
        <v>13</v>
      </c>
      <c r="D2732" s="3" t="n">
        <v>13</v>
      </c>
      <c r="E2732" s="3" t="n">
        <v>0</v>
      </c>
      <c r="F2732" s="24" t="n">
        <v>0</v>
      </c>
    </row>
    <row r="2733" customFormat="false" ht="15" hidden="false" customHeight="false" outlineLevel="0" collapsed="false">
      <c r="A2733" s="3" t="n">
        <v>2732</v>
      </c>
      <c r="B2733" s="3" t="n">
        <v>2731</v>
      </c>
      <c r="C2733" s="3" t="n">
        <v>13</v>
      </c>
      <c r="D2733" s="3" t="n">
        <v>13</v>
      </c>
      <c r="E2733" s="3" t="n">
        <v>1</v>
      </c>
      <c r="F2733" s="24" t="n">
        <v>0</v>
      </c>
    </row>
    <row r="2734" customFormat="false" ht="15" hidden="false" customHeight="false" outlineLevel="0" collapsed="false">
      <c r="A2734" s="3" t="n">
        <v>2733</v>
      </c>
      <c r="B2734" s="3" t="n">
        <v>2732</v>
      </c>
      <c r="C2734" s="3" t="n">
        <v>13</v>
      </c>
      <c r="D2734" s="3" t="n">
        <v>13</v>
      </c>
      <c r="E2734" s="3" t="n">
        <v>2</v>
      </c>
      <c r="F2734" s="24" t="n">
        <v>0</v>
      </c>
    </row>
    <row r="2735" customFormat="false" ht="15" hidden="false" customHeight="false" outlineLevel="0" collapsed="false">
      <c r="A2735" s="3" t="n">
        <v>2734</v>
      </c>
      <c r="B2735" s="3" t="n">
        <v>2733</v>
      </c>
      <c r="C2735" s="3" t="n">
        <v>13</v>
      </c>
      <c r="D2735" s="3" t="n">
        <v>13</v>
      </c>
      <c r="E2735" s="3" t="n">
        <v>3</v>
      </c>
      <c r="F2735" s="24" t="n">
        <v>0</v>
      </c>
    </row>
    <row r="2736" customFormat="false" ht="15" hidden="false" customHeight="false" outlineLevel="0" collapsed="false">
      <c r="A2736" s="3" t="n">
        <v>2735</v>
      </c>
      <c r="B2736" s="3" t="n">
        <v>2734</v>
      </c>
      <c r="C2736" s="3" t="n">
        <v>13</v>
      </c>
      <c r="D2736" s="3" t="n">
        <v>13</v>
      </c>
      <c r="E2736" s="3" t="n">
        <v>4</v>
      </c>
      <c r="F2736" s="24" t="n">
        <v>0</v>
      </c>
    </row>
    <row r="2737" customFormat="false" ht="15" hidden="false" customHeight="false" outlineLevel="0" collapsed="false">
      <c r="A2737" s="3" t="n">
        <v>2736</v>
      </c>
      <c r="B2737" s="3" t="n">
        <v>2735</v>
      </c>
      <c r="C2737" s="3" t="n">
        <v>13</v>
      </c>
      <c r="D2737" s="3" t="n">
        <v>13</v>
      </c>
      <c r="E2737" s="3" t="n">
        <v>5</v>
      </c>
      <c r="F2737" s="24" t="n">
        <v>0</v>
      </c>
    </row>
    <row r="2738" customFormat="false" ht="15" hidden="false" customHeight="false" outlineLevel="0" collapsed="false">
      <c r="A2738" s="3" t="n">
        <v>2737</v>
      </c>
      <c r="B2738" s="3" t="n">
        <v>2736</v>
      </c>
      <c r="C2738" s="3" t="n">
        <v>13</v>
      </c>
      <c r="D2738" s="3" t="n">
        <v>13</v>
      </c>
      <c r="E2738" s="3" t="n">
        <v>6</v>
      </c>
      <c r="F2738" s="24" t="n">
        <v>3.79988384</v>
      </c>
    </row>
    <row r="2739" customFormat="false" ht="15" hidden="false" customHeight="false" outlineLevel="0" collapsed="false">
      <c r="A2739" s="3" t="n">
        <v>2738</v>
      </c>
      <c r="B2739" s="3" t="n">
        <v>2737</v>
      </c>
      <c r="C2739" s="3" t="n">
        <v>13</v>
      </c>
      <c r="D2739" s="3" t="n">
        <v>13</v>
      </c>
      <c r="E2739" s="3" t="n">
        <v>7</v>
      </c>
      <c r="F2739" s="24" t="n">
        <v>3.76646304</v>
      </c>
    </row>
    <row r="2740" customFormat="false" ht="15" hidden="false" customHeight="false" outlineLevel="0" collapsed="false">
      <c r="A2740" s="3" t="n">
        <v>2739</v>
      </c>
      <c r="B2740" s="3" t="n">
        <v>2738</v>
      </c>
      <c r="C2740" s="3" t="n">
        <v>13</v>
      </c>
      <c r="D2740" s="3" t="n">
        <v>13</v>
      </c>
      <c r="E2740" s="3" t="n">
        <v>8</v>
      </c>
      <c r="F2740" s="24" t="n">
        <v>0.232587487</v>
      </c>
    </row>
    <row r="2741" customFormat="false" ht="15" hidden="false" customHeight="false" outlineLevel="0" collapsed="false">
      <c r="A2741" s="3" t="n">
        <v>2740</v>
      </c>
      <c r="B2741" s="3" t="n">
        <v>2739</v>
      </c>
      <c r="C2741" s="3" t="n">
        <v>13</v>
      </c>
      <c r="D2741" s="3" t="n">
        <v>13</v>
      </c>
      <c r="E2741" s="3" t="n">
        <v>9</v>
      </c>
      <c r="F2741" s="24" t="n">
        <v>0</v>
      </c>
    </row>
    <row r="2742" customFormat="false" ht="15" hidden="false" customHeight="false" outlineLevel="0" collapsed="false">
      <c r="A2742" s="3" t="n">
        <v>2741</v>
      </c>
      <c r="B2742" s="3" t="n">
        <v>2740</v>
      </c>
      <c r="C2742" s="3" t="n">
        <v>13</v>
      </c>
      <c r="D2742" s="3" t="n">
        <v>13</v>
      </c>
      <c r="E2742" s="3" t="n">
        <v>10</v>
      </c>
      <c r="F2742" s="24" t="n">
        <v>0</v>
      </c>
    </row>
    <row r="2743" customFormat="false" ht="15" hidden="false" customHeight="false" outlineLevel="0" collapsed="false">
      <c r="A2743" s="3" t="n">
        <v>2742</v>
      </c>
      <c r="B2743" s="3" t="n">
        <v>2741</v>
      </c>
      <c r="C2743" s="3" t="n">
        <v>13</v>
      </c>
      <c r="D2743" s="3" t="n">
        <v>13</v>
      </c>
      <c r="E2743" s="3" t="n">
        <v>11</v>
      </c>
      <c r="F2743" s="24" t="n">
        <v>0</v>
      </c>
    </row>
    <row r="2744" customFormat="false" ht="15" hidden="false" customHeight="false" outlineLevel="0" collapsed="false">
      <c r="A2744" s="3" t="n">
        <v>2743</v>
      </c>
      <c r="B2744" s="3" t="n">
        <v>2742</v>
      </c>
      <c r="C2744" s="3" t="n">
        <v>13</v>
      </c>
      <c r="D2744" s="3" t="n">
        <v>13</v>
      </c>
      <c r="E2744" s="3" t="n">
        <v>12</v>
      </c>
      <c r="F2744" s="24" t="n">
        <v>0</v>
      </c>
    </row>
    <row r="2745" customFormat="false" ht="15" hidden="false" customHeight="false" outlineLevel="0" collapsed="false">
      <c r="A2745" s="3" t="n">
        <v>2744</v>
      </c>
      <c r="B2745" s="3" t="n">
        <v>2743</v>
      </c>
      <c r="C2745" s="3" t="n">
        <v>13</v>
      </c>
      <c r="D2745" s="3" t="n">
        <v>13</v>
      </c>
      <c r="E2745" s="3" t="n">
        <v>13</v>
      </c>
      <c r="F2745" s="24" t="n">
        <v>0</v>
      </c>
    </row>
    <row r="2746" customFormat="false" ht="15" hidden="false" customHeight="false" outlineLevel="0" collapsed="false">
      <c r="A2746" s="3" t="n">
        <v>2745</v>
      </c>
      <c r="B2746" s="3" t="n">
        <v>2744</v>
      </c>
      <c r="C2746" s="3" t="n">
        <v>14</v>
      </c>
      <c r="D2746" s="3" t="n">
        <v>0</v>
      </c>
      <c r="E2746" s="3" t="n">
        <v>0</v>
      </c>
      <c r="F2746" s="24" t="n">
        <v>0</v>
      </c>
    </row>
    <row r="2747" customFormat="false" ht="15" hidden="false" customHeight="false" outlineLevel="0" collapsed="false">
      <c r="A2747" s="3" t="n">
        <v>2746</v>
      </c>
      <c r="B2747" s="3" t="n">
        <v>2745</v>
      </c>
      <c r="C2747" s="3" t="n">
        <v>14</v>
      </c>
      <c r="D2747" s="3" t="n">
        <v>0</v>
      </c>
      <c r="E2747" s="3" t="n">
        <v>1</v>
      </c>
      <c r="F2747" s="24" t="n">
        <v>0</v>
      </c>
    </row>
    <row r="2748" customFormat="false" ht="15" hidden="false" customHeight="false" outlineLevel="0" collapsed="false">
      <c r="A2748" s="3" t="n">
        <v>2747</v>
      </c>
      <c r="B2748" s="3" t="n">
        <v>2746</v>
      </c>
      <c r="C2748" s="3" t="n">
        <v>14</v>
      </c>
      <c r="D2748" s="3" t="n">
        <v>0</v>
      </c>
      <c r="E2748" s="3" t="n">
        <v>2</v>
      </c>
      <c r="F2748" s="24" t="n">
        <v>0</v>
      </c>
    </row>
    <row r="2749" customFormat="false" ht="15" hidden="false" customHeight="false" outlineLevel="0" collapsed="false">
      <c r="A2749" s="3" t="n">
        <v>2748</v>
      </c>
      <c r="B2749" s="3" t="n">
        <v>2747</v>
      </c>
      <c r="C2749" s="3" t="n">
        <v>14</v>
      </c>
      <c r="D2749" s="3" t="n">
        <v>0</v>
      </c>
      <c r="E2749" s="3" t="n">
        <v>3</v>
      </c>
      <c r="F2749" s="24" t="n">
        <v>0</v>
      </c>
    </row>
    <row r="2750" customFormat="false" ht="15" hidden="false" customHeight="false" outlineLevel="0" collapsed="false">
      <c r="A2750" s="3" t="n">
        <v>2749</v>
      </c>
      <c r="B2750" s="3" t="n">
        <v>2748</v>
      </c>
      <c r="C2750" s="3" t="n">
        <v>14</v>
      </c>
      <c r="D2750" s="3" t="n">
        <v>0</v>
      </c>
      <c r="E2750" s="3" t="n">
        <v>4</v>
      </c>
      <c r="F2750" s="24" t="n">
        <v>0</v>
      </c>
    </row>
    <row r="2751" customFormat="false" ht="15" hidden="false" customHeight="false" outlineLevel="0" collapsed="false">
      <c r="A2751" s="3" t="n">
        <v>2750</v>
      </c>
      <c r="B2751" s="3" t="n">
        <v>2749</v>
      </c>
      <c r="C2751" s="3" t="n">
        <v>14</v>
      </c>
      <c r="D2751" s="3" t="n">
        <v>0</v>
      </c>
      <c r="E2751" s="3" t="n">
        <v>5</v>
      </c>
      <c r="F2751" s="24" t="n">
        <v>0</v>
      </c>
    </row>
    <row r="2752" customFormat="false" ht="15" hidden="false" customHeight="false" outlineLevel="0" collapsed="false">
      <c r="A2752" s="3" t="n">
        <v>2751</v>
      </c>
      <c r="B2752" s="3" t="n">
        <v>2750</v>
      </c>
      <c r="C2752" s="3" t="n">
        <v>14</v>
      </c>
      <c r="D2752" s="3" t="n">
        <v>0</v>
      </c>
      <c r="E2752" s="3" t="n">
        <v>6</v>
      </c>
      <c r="F2752" s="24" t="n">
        <v>0</v>
      </c>
    </row>
    <row r="2753" customFormat="false" ht="15" hidden="false" customHeight="false" outlineLevel="0" collapsed="false">
      <c r="A2753" s="3" t="n">
        <v>2752</v>
      </c>
      <c r="B2753" s="3" t="n">
        <v>2751</v>
      </c>
      <c r="C2753" s="3" t="n">
        <v>14</v>
      </c>
      <c r="D2753" s="3" t="n">
        <v>0</v>
      </c>
      <c r="E2753" s="3" t="n">
        <v>7</v>
      </c>
      <c r="F2753" s="24" t="n">
        <v>0</v>
      </c>
    </row>
    <row r="2754" customFormat="false" ht="15" hidden="false" customHeight="false" outlineLevel="0" collapsed="false">
      <c r="A2754" s="3" t="n">
        <v>2753</v>
      </c>
      <c r="B2754" s="3" t="n">
        <v>2752</v>
      </c>
      <c r="C2754" s="3" t="n">
        <v>14</v>
      </c>
      <c r="D2754" s="3" t="n">
        <v>0</v>
      </c>
      <c r="E2754" s="3" t="n">
        <v>8</v>
      </c>
      <c r="F2754" s="24" t="n">
        <v>0</v>
      </c>
    </row>
    <row r="2755" customFormat="false" ht="15" hidden="false" customHeight="false" outlineLevel="0" collapsed="false">
      <c r="A2755" s="3" t="n">
        <v>2754</v>
      </c>
      <c r="B2755" s="3" t="n">
        <v>2753</v>
      </c>
      <c r="C2755" s="3" t="n">
        <v>14</v>
      </c>
      <c r="D2755" s="3" t="n">
        <v>0</v>
      </c>
      <c r="E2755" s="3" t="n">
        <v>9</v>
      </c>
      <c r="F2755" s="24" t="n">
        <v>0</v>
      </c>
    </row>
    <row r="2756" customFormat="false" ht="15" hidden="false" customHeight="false" outlineLevel="0" collapsed="false">
      <c r="A2756" s="3" t="n">
        <v>2755</v>
      </c>
      <c r="B2756" s="3" t="n">
        <v>2754</v>
      </c>
      <c r="C2756" s="3" t="n">
        <v>14</v>
      </c>
      <c r="D2756" s="3" t="n">
        <v>0</v>
      </c>
      <c r="E2756" s="3" t="n">
        <v>10</v>
      </c>
      <c r="F2756" s="24" t="n">
        <v>0</v>
      </c>
    </row>
    <row r="2757" customFormat="false" ht="15" hidden="false" customHeight="false" outlineLevel="0" collapsed="false">
      <c r="A2757" s="3" t="n">
        <v>2756</v>
      </c>
      <c r="B2757" s="3" t="n">
        <v>2755</v>
      </c>
      <c r="C2757" s="3" t="n">
        <v>14</v>
      </c>
      <c r="D2757" s="3" t="n">
        <v>0</v>
      </c>
      <c r="E2757" s="3" t="n">
        <v>11</v>
      </c>
      <c r="F2757" s="24" t="n">
        <v>0</v>
      </c>
    </row>
    <row r="2758" customFormat="false" ht="15" hidden="false" customHeight="false" outlineLevel="0" collapsed="false">
      <c r="A2758" s="3" t="n">
        <v>2757</v>
      </c>
      <c r="B2758" s="3" t="n">
        <v>2756</v>
      </c>
      <c r="C2758" s="3" t="n">
        <v>14</v>
      </c>
      <c r="D2758" s="3" t="n">
        <v>0</v>
      </c>
      <c r="E2758" s="3" t="n">
        <v>12</v>
      </c>
      <c r="F2758" s="24" t="n">
        <v>0</v>
      </c>
    </row>
    <row r="2759" customFormat="false" ht="15" hidden="false" customHeight="false" outlineLevel="0" collapsed="false">
      <c r="A2759" s="3" t="n">
        <v>2758</v>
      </c>
      <c r="B2759" s="3" t="n">
        <v>2757</v>
      </c>
      <c r="C2759" s="3" t="n">
        <v>14</v>
      </c>
      <c r="D2759" s="3" t="n">
        <v>0</v>
      </c>
      <c r="E2759" s="3" t="n">
        <v>13</v>
      </c>
      <c r="F2759" s="24" t="n">
        <v>0.424594641</v>
      </c>
    </row>
    <row r="2760" customFormat="false" ht="15" hidden="false" customHeight="false" outlineLevel="0" collapsed="false">
      <c r="A2760" s="3" t="n">
        <v>2759</v>
      </c>
      <c r="B2760" s="3" t="n">
        <v>2758</v>
      </c>
      <c r="C2760" s="3" t="n">
        <v>14</v>
      </c>
      <c r="D2760" s="3" t="n">
        <v>1</v>
      </c>
      <c r="E2760" s="3" t="n">
        <v>0</v>
      </c>
      <c r="F2760" s="24" t="n">
        <v>0</v>
      </c>
    </row>
    <row r="2761" customFormat="false" ht="15" hidden="false" customHeight="false" outlineLevel="0" collapsed="false">
      <c r="A2761" s="3" t="n">
        <v>2760</v>
      </c>
      <c r="B2761" s="3" t="n">
        <v>2759</v>
      </c>
      <c r="C2761" s="3" t="n">
        <v>14</v>
      </c>
      <c r="D2761" s="3" t="n">
        <v>1</v>
      </c>
      <c r="E2761" s="3" t="n">
        <v>1</v>
      </c>
      <c r="F2761" s="24" t="n">
        <v>0</v>
      </c>
    </row>
    <row r="2762" customFormat="false" ht="15" hidden="false" customHeight="false" outlineLevel="0" collapsed="false">
      <c r="A2762" s="3" t="n">
        <v>2761</v>
      </c>
      <c r="B2762" s="3" t="n">
        <v>2760</v>
      </c>
      <c r="C2762" s="3" t="n">
        <v>14</v>
      </c>
      <c r="D2762" s="3" t="n">
        <v>1</v>
      </c>
      <c r="E2762" s="3" t="n">
        <v>2</v>
      </c>
      <c r="F2762" s="24" t="n">
        <v>0</v>
      </c>
    </row>
    <row r="2763" customFormat="false" ht="15" hidden="false" customHeight="false" outlineLevel="0" collapsed="false">
      <c r="A2763" s="3" t="n">
        <v>2762</v>
      </c>
      <c r="B2763" s="3" t="n">
        <v>2761</v>
      </c>
      <c r="C2763" s="3" t="n">
        <v>14</v>
      </c>
      <c r="D2763" s="3" t="n">
        <v>1</v>
      </c>
      <c r="E2763" s="3" t="n">
        <v>3</v>
      </c>
      <c r="F2763" s="24" t="n">
        <v>0</v>
      </c>
    </row>
    <row r="2764" customFormat="false" ht="15" hidden="false" customHeight="false" outlineLevel="0" collapsed="false">
      <c r="A2764" s="3" t="n">
        <v>2763</v>
      </c>
      <c r="B2764" s="3" t="n">
        <v>2762</v>
      </c>
      <c r="C2764" s="3" t="n">
        <v>14</v>
      </c>
      <c r="D2764" s="3" t="n">
        <v>1</v>
      </c>
      <c r="E2764" s="3" t="n">
        <v>4</v>
      </c>
      <c r="F2764" s="24" t="n">
        <v>0</v>
      </c>
    </row>
    <row r="2765" customFormat="false" ht="15" hidden="false" customHeight="false" outlineLevel="0" collapsed="false">
      <c r="A2765" s="3" t="n">
        <v>2764</v>
      </c>
      <c r="B2765" s="3" t="n">
        <v>2763</v>
      </c>
      <c r="C2765" s="3" t="n">
        <v>14</v>
      </c>
      <c r="D2765" s="3" t="n">
        <v>1</v>
      </c>
      <c r="E2765" s="3" t="n">
        <v>5</v>
      </c>
      <c r="F2765" s="24" t="n">
        <v>0</v>
      </c>
    </row>
    <row r="2766" customFormat="false" ht="15" hidden="false" customHeight="false" outlineLevel="0" collapsed="false">
      <c r="A2766" s="3" t="n">
        <v>2765</v>
      </c>
      <c r="B2766" s="3" t="n">
        <v>2764</v>
      </c>
      <c r="C2766" s="3" t="n">
        <v>14</v>
      </c>
      <c r="D2766" s="3" t="n">
        <v>1</v>
      </c>
      <c r="E2766" s="3" t="n">
        <v>6</v>
      </c>
      <c r="F2766" s="24" t="n">
        <v>0</v>
      </c>
    </row>
    <row r="2767" customFormat="false" ht="15" hidden="false" customHeight="false" outlineLevel="0" collapsed="false">
      <c r="A2767" s="3" t="n">
        <v>2766</v>
      </c>
      <c r="B2767" s="3" t="n">
        <v>2765</v>
      </c>
      <c r="C2767" s="3" t="n">
        <v>14</v>
      </c>
      <c r="D2767" s="3" t="n">
        <v>1</v>
      </c>
      <c r="E2767" s="3" t="n">
        <v>7</v>
      </c>
      <c r="F2767" s="24" t="n">
        <v>0</v>
      </c>
    </row>
    <row r="2768" customFormat="false" ht="15" hidden="false" customHeight="false" outlineLevel="0" collapsed="false">
      <c r="A2768" s="3" t="n">
        <v>2767</v>
      </c>
      <c r="B2768" s="3" t="n">
        <v>2766</v>
      </c>
      <c r="C2768" s="3" t="n">
        <v>14</v>
      </c>
      <c r="D2768" s="3" t="n">
        <v>1</v>
      </c>
      <c r="E2768" s="3" t="n">
        <v>8</v>
      </c>
      <c r="F2768" s="24" t="n">
        <v>0</v>
      </c>
    </row>
    <row r="2769" customFormat="false" ht="15" hidden="false" customHeight="false" outlineLevel="0" collapsed="false">
      <c r="A2769" s="3" t="n">
        <v>2768</v>
      </c>
      <c r="B2769" s="3" t="n">
        <v>2767</v>
      </c>
      <c r="C2769" s="3" t="n">
        <v>14</v>
      </c>
      <c r="D2769" s="3" t="n">
        <v>1</v>
      </c>
      <c r="E2769" s="3" t="n">
        <v>9</v>
      </c>
      <c r="F2769" s="24" t="n">
        <v>0</v>
      </c>
    </row>
    <row r="2770" customFormat="false" ht="15" hidden="false" customHeight="false" outlineLevel="0" collapsed="false">
      <c r="A2770" s="3" t="n">
        <v>2769</v>
      </c>
      <c r="B2770" s="3" t="n">
        <v>2768</v>
      </c>
      <c r="C2770" s="3" t="n">
        <v>14</v>
      </c>
      <c r="D2770" s="3" t="n">
        <v>1</v>
      </c>
      <c r="E2770" s="3" t="n">
        <v>10</v>
      </c>
      <c r="F2770" s="24" t="n">
        <v>0</v>
      </c>
    </row>
    <row r="2771" customFormat="false" ht="15" hidden="false" customHeight="false" outlineLevel="0" collapsed="false">
      <c r="A2771" s="3" t="n">
        <v>2770</v>
      </c>
      <c r="B2771" s="3" t="n">
        <v>2769</v>
      </c>
      <c r="C2771" s="3" t="n">
        <v>14</v>
      </c>
      <c r="D2771" s="3" t="n">
        <v>1</v>
      </c>
      <c r="E2771" s="3" t="n">
        <v>11</v>
      </c>
      <c r="F2771" s="24" t="n">
        <v>0</v>
      </c>
    </row>
    <row r="2772" customFormat="false" ht="15" hidden="false" customHeight="false" outlineLevel="0" collapsed="false">
      <c r="A2772" s="3" t="n">
        <v>2771</v>
      </c>
      <c r="B2772" s="3" t="n">
        <v>2770</v>
      </c>
      <c r="C2772" s="3" t="n">
        <v>14</v>
      </c>
      <c r="D2772" s="3" t="n">
        <v>1</v>
      </c>
      <c r="E2772" s="3" t="n">
        <v>12</v>
      </c>
      <c r="F2772" s="24" t="n">
        <v>0</v>
      </c>
    </row>
    <row r="2773" customFormat="false" ht="15" hidden="false" customHeight="false" outlineLevel="0" collapsed="false">
      <c r="A2773" s="3" t="n">
        <v>2772</v>
      </c>
      <c r="B2773" s="3" t="n">
        <v>2771</v>
      </c>
      <c r="C2773" s="3" t="n">
        <v>14</v>
      </c>
      <c r="D2773" s="3" t="n">
        <v>1</v>
      </c>
      <c r="E2773" s="3" t="n">
        <v>13</v>
      </c>
      <c r="F2773" s="24" t="n">
        <v>0.147645652</v>
      </c>
    </row>
    <row r="2774" customFormat="false" ht="15" hidden="false" customHeight="false" outlineLevel="0" collapsed="false">
      <c r="A2774" s="3" t="n">
        <v>2773</v>
      </c>
      <c r="B2774" s="3" t="n">
        <v>2772</v>
      </c>
      <c r="C2774" s="3" t="n">
        <v>14</v>
      </c>
      <c r="D2774" s="3" t="n">
        <v>2</v>
      </c>
      <c r="E2774" s="3" t="n">
        <v>0</v>
      </c>
      <c r="F2774" s="24" t="n">
        <v>0</v>
      </c>
    </row>
    <row r="2775" customFormat="false" ht="15" hidden="false" customHeight="false" outlineLevel="0" collapsed="false">
      <c r="A2775" s="3" t="n">
        <v>2774</v>
      </c>
      <c r="B2775" s="3" t="n">
        <v>2773</v>
      </c>
      <c r="C2775" s="3" t="n">
        <v>14</v>
      </c>
      <c r="D2775" s="3" t="n">
        <v>2</v>
      </c>
      <c r="E2775" s="3" t="n">
        <v>1</v>
      </c>
      <c r="F2775" s="24" t="n">
        <v>0</v>
      </c>
    </row>
    <row r="2776" customFormat="false" ht="15" hidden="false" customHeight="false" outlineLevel="0" collapsed="false">
      <c r="A2776" s="3" t="n">
        <v>2775</v>
      </c>
      <c r="B2776" s="3" t="n">
        <v>2774</v>
      </c>
      <c r="C2776" s="3" t="n">
        <v>14</v>
      </c>
      <c r="D2776" s="3" t="n">
        <v>2</v>
      </c>
      <c r="E2776" s="3" t="n">
        <v>2</v>
      </c>
      <c r="F2776" s="24" t="n">
        <v>0</v>
      </c>
    </row>
    <row r="2777" customFormat="false" ht="15" hidden="false" customHeight="false" outlineLevel="0" collapsed="false">
      <c r="A2777" s="3" t="n">
        <v>2776</v>
      </c>
      <c r="B2777" s="3" t="n">
        <v>2775</v>
      </c>
      <c r="C2777" s="3" t="n">
        <v>14</v>
      </c>
      <c r="D2777" s="3" t="n">
        <v>2</v>
      </c>
      <c r="E2777" s="3" t="n">
        <v>3</v>
      </c>
      <c r="F2777" s="24" t="n">
        <v>0</v>
      </c>
    </row>
    <row r="2778" customFormat="false" ht="15" hidden="false" customHeight="false" outlineLevel="0" collapsed="false">
      <c r="A2778" s="3" t="n">
        <v>2777</v>
      </c>
      <c r="B2778" s="3" t="n">
        <v>2776</v>
      </c>
      <c r="C2778" s="3" t="n">
        <v>14</v>
      </c>
      <c r="D2778" s="3" t="n">
        <v>2</v>
      </c>
      <c r="E2778" s="3" t="n">
        <v>4</v>
      </c>
      <c r="F2778" s="24" t="n">
        <v>0</v>
      </c>
    </row>
    <row r="2779" customFormat="false" ht="15" hidden="false" customHeight="false" outlineLevel="0" collapsed="false">
      <c r="A2779" s="3" t="n">
        <v>2778</v>
      </c>
      <c r="B2779" s="3" t="n">
        <v>2777</v>
      </c>
      <c r="C2779" s="3" t="n">
        <v>14</v>
      </c>
      <c r="D2779" s="3" t="n">
        <v>2</v>
      </c>
      <c r="E2779" s="3" t="n">
        <v>5</v>
      </c>
      <c r="F2779" s="24" t="n">
        <v>0</v>
      </c>
    </row>
    <row r="2780" customFormat="false" ht="15" hidden="false" customHeight="false" outlineLevel="0" collapsed="false">
      <c r="A2780" s="3" t="n">
        <v>2779</v>
      </c>
      <c r="B2780" s="3" t="n">
        <v>2778</v>
      </c>
      <c r="C2780" s="3" t="n">
        <v>14</v>
      </c>
      <c r="D2780" s="3" t="n">
        <v>2</v>
      </c>
      <c r="E2780" s="3" t="n">
        <v>6</v>
      </c>
      <c r="F2780" s="24" t="n">
        <v>0</v>
      </c>
    </row>
    <row r="2781" customFormat="false" ht="15" hidden="false" customHeight="false" outlineLevel="0" collapsed="false">
      <c r="A2781" s="3" t="n">
        <v>2780</v>
      </c>
      <c r="B2781" s="3" t="n">
        <v>2779</v>
      </c>
      <c r="C2781" s="3" t="n">
        <v>14</v>
      </c>
      <c r="D2781" s="3" t="n">
        <v>2</v>
      </c>
      <c r="E2781" s="3" t="n">
        <v>7</v>
      </c>
      <c r="F2781" s="24" t="n">
        <v>0</v>
      </c>
    </row>
    <row r="2782" customFormat="false" ht="15" hidden="false" customHeight="false" outlineLevel="0" collapsed="false">
      <c r="A2782" s="3" t="n">
        <v>2781</v>
      </c>
      <c r="B2782" s="3" t="n">
        <v>2780</v>
      </c>
      <c r="C2782" s="3" t="n">
        <v>14</v>
      </c>
      <c r="D2782" s="3" t="n">
        <v>2</v>
      </c>
      <c r="E2782" s="3" t="n">
        <v>8</v>
      </c>
      <c r="F2782" s="24" t="n">
        <v>0</v>
      </c>
    </row>
    <row r="2783" customFormat="false" ht="15" hidden="false" customHeight="false" outlineLevel="0" collapsed="false">
      <c r="A2783" s="3" t="n">
        <v>2782</v>
      </c>
      <c r="B2783" s="3" t="n">
        <v>2781</v>
      </c>
      <c r="C2783" s="3" t="n">
        <v>14</v>
      </c>
      <c r="D2783" s="3" t="n">
        <v>2</v>
      </c>
      <c r="E2783" s="3" t="n">
        <v>9</v>
      </c>
      <c r="F2783" s="24" t="n">
        <v>0</v>
      </c>
    </row>
    <row r="2784" customFormat="false" ht="15" hidden="false" customHeight="false" outlineLevel="0" collapsed="false">
      <c r="A2784" s="3" t="n">
        <v>2783</v>
      </c>
      <c r="B2784" s="3" t="n">
        <v>2782</v>
      </c>
      <c r="C2784" s="3" t="n">
        <v>14</v>
      </c>
      <c r="D2784" s="3" t="n">
        <v>2</v>
      </c>
      <c r="E2784" s="3" t="n">
        <v>10</v>
      </c>
      <c r="F2784" s="24" t="n">
        <v>0</v>
      </c>
    </row>
    <row r="2785" customFormat="false" ht="15" hidden="false" customHeight="false" outlineLevel="0" collapsed="false">
      <c r="A2785" s="3" t="n">
        <v>2784</v>
      </c>
      <c r="B2785" s="3" t="n">
        <v>2783</v>
      </c>
      <c r="C2785" s="3" t="n">
        <v>14</v>
      </c>
      <c r="D2785" s="3" t="n">
        <v>2</v>
      </c>
      <c r="E2785" s="3" t="n">
        <v>11</v>
      </c>
      <c r="F2785" s="24" t="n">
        <v>0</v>
      </c>
    </row>
    <row r="2786" customFormat="false" ht="15" hidden="false" customHeight="false" outlineLevel="0" collapsed="false">
      <c r="A2786" s="3" t="n">
        <v>2785</v>
      </c>
      <c r="B2786" s="3" t="n">
        <v>2784</v>
      </c>
      <c r="C2786" s="3" t="n">
        <v>14</v>
      </c>
      <c r="D2786" s="3" t="n">
        <v>2</v>
      </c>
      <c r="E2786" s="3" t="n">
        <v>12</v>
      </c>
      <c r="F2786" s="24" t="n">
        <v>0</v>
      </c>
    </row>
    <row r="2787" customFormat="false" ht="15" hidden="false" customHeight="false" outlineLevel="0" collapsed="false">
      <c r="A2787" s="3" t="n">
        <v>2786</v>
      </c>
      <c r="B2787" s="3" t="n">
        <v>2785</v>
      </c>
      <c r="C2787" s="3" t="n">
        <v>14</v>
      </c>
      <c r="D2787" s="3" t="n">
        <v>2</v>
      </c>
      <c r="E2787" s="3" t="n">
        <v>13</v>
      </c>
      <c r="F2787" s="24" t="n">
        <v>0.171683058</v>
      </c>
    </row>
    <row r="2788" customFormat="false" ht="15" hidden="false" customHeight="false" outlineLevel="0" collapsed="false">
      <c r="A2788" s="3" t="n">
        <v>2787</v>
      </c>
      <c r="B2788" s="3" t="n">
        <v>2786</v>
      </c>
      <c r="C2788" s="3" t="n">
        <v>14</v>
      </c>
      <c r="D2788" s="3" t="n">
        <v>3</v>
      </c>
      <c r="E2788" s="3" t="n">
        <v>0</v>
      </c>
      <c r="F2788" s="24" t="n">
        <v>0</v>
      </c>
    </row>
    <row r="2789" customFormat="false" ht="15" hidden="false" customHeight="false" outlineLevel="0" collapsed="false">
      <c r="A2789" s="3" t="n">
        <v>2788</v>
      </c>
      <c r="B2789" s="3" t="n">
        <v>2787</v>
      </c>
      <c r="C2789" s="3" t="n">
        <v>14</v>
      </c>
      <c r="D2789" s="3" t="n">
        <v>3</v>
      </c>
      <c r="E2789" s="3" t="n">
        <v>1</v>
      </c>
      <c r="F2789" s="24" t="n">
        <v>0</v>
      </c>
    </row>
    <row r="2790" customFormat="false" ht="15" hidden="false" customHeight="false" outlineLevel="0" collapsed="false">
      <c r="A2790" s="3" t="n">
        <v>2789</v>
      </c>
      <c r="B2790" s="3" t="n">
        <v>2788</v>
      </c>
      <c r="C2790" s="3" t="n">
        <v>14</v>
      </c>
      <c r="D2790" s="3" t="n">
        <v>3</v>
      </c>
      <c r="E2790" s="3" t="n">
        <v>2</v>
      </c>
      <c r="F2790" s="24" t="n">
        <v>0</v>
      </c>
    </row>
    <row r="2791" customFormat="false" ht="15" hidden="false" customHeight="false" outlineLevel="0" collapsed="false">
      <c r="A2791" s="3" t="n">
        <v>2790</v>
      </c>
      <c r="B2791" s="3" t="n">
        <v>2789</v>
      </c>
      <c r="C2791" s="3" t="n">
        <v>14</v>
      </c>
      <c r="D2791" s="3" t="n">
        <v>3</v>
      </c>
      <c r="E2791" s="3" t="n">
        <v>3</v>
      </c>
      <c r="F2791" s="24" t="n">
        <v>0</v>
      </c>
    </row>
    <row r="2792" customFormat="false" ht="15" hidden="false" customHeight="false" outlineLevel="0" collapsed="false">
      <c r="A2792" s="3" t="n">
        <v>2791</v>
      </c>
      <c r="B2792" s="3" t="n">
        <v>2790</v>
      </c>
      <c r="C2792" s="3" t="n">
        <v>14</v>
      </c>
      <c r="D2792" s="3" t="n">
        <v>3</v>
      </c>
      <c r="E2792" s="3" t="n">
        <v>4</v>
      </c>
      <c r="F2792" s="24" t="n">
        <v>0</v>
      </c>
    </row>
    <row r="2793" customFormat="false" ht="15" hidden="false" customHeight="false" outlineLevel="0" collapsed="false">
      <c r="A2793" s="3" t="n">
        <v>2792</v>
      </c>
      <c r="B2793" s="3" t="n">
        <v>2791</v>
      </c>
      <c r="C2793" s="3" t="n">
        <v>14</v>
      </c>
      <c r="D2793" s="3" t="n">
        <v>3</v>
      </c>
      <c r="E2793" s="3" t="n">
        <v>5</v>
      </c>
      <c r="F2793" s="24" t="n">
        <v>0</v>
      </c>
    </row>
    <row r="2794" customFormat="false" ht="15" hidden="false" customHeight="false" outlineLevel="0" collapsed="false">
      <c r="A2794" s="3" t="n">
        <v>2793</v>
      </c>
      <c r="B2794" s="3" t="n">
        <v>2792</v>
      </c>
      <c r="C2794" s="3" t="n">
        <v>14</v>
      </c>
      <c r="D2794" s="3" t="n">
        <v>3</v>
      </c>
      <c r="E2794" s="3" t="n">
        <v>6</v>
      </c>
      <c r="F2794" s="24" t="n">
        <v>0</v>
      </c>
    </row>
    <row r="2795" customFormat="false" ht="15" hidden="false" customHeight="false" outlineLevel="0" collapsed="false">
      <c r="A2795" s="3" t="n">
        <v>2794</v>
      </c>
      <c r="B2795" s="3" t="n">
        <v>2793</v>
      </c>
      <c r="C2795" s="3" t="n">
        <v>14</v>
      </c>
      <c r="D2795" s="3" t="n">
        <v>3</v>
      </c>
      <c r="E2795" s="3" t="n">
        <v>7</v>
      </c>
      <c r="F2795" s="24" t="n">
        <v>0</v>
      </c>
    </row>
    <row r="2796" customFormat="false" ht="15" hidden="false" customHeight="false" outlineLevel="0" collapsed="false">
      <c r="A2796" s="3" t="n">
        <v>2795</v>
      </c>
      <c r="B2796" s="3" t="n">
        <v>2794</v>
      </c>
      <c r="C2796" s="3" t="n">
        <v>14</v>
      </c>
      <c r="D2796" s="3" t="n">
        <v>3</v>
      </c>
      <c r="E2796" s="3" t="n">
        <v>8</v>
      </c>
      <c r="F2796" s="24" t="n">
        <v>0</v>
      </c>
    </row>
    <row r="2797" customFormat="false" ht="15" hidden="false" customHeight="false" outlineLevel="0" collapsed="false">
      <c r="A2797" s="3" t="n">
        <v>2796</v>
      </c>
      <c r="B2797" s="3" t="n">
        <v>2795</v>
      </c>
      <c r="C2797" s="3" t="n">
        <v>14</v>
      </c>
      <c r="D2797" s="3" t="n">
        <v>3</v>
      </c>
      <c r="E2797" s="3" t="n">
        <v>9</v>
      </c>
      <c r="F2797" s="24" t="n">
        <v>0</v>
      </c>
    </row>
    <row r="2798" customFormat="false" ht="15" hidden="false" customHeight="false" outlineLevel="0" collapsed="false">
      <c r="A2798" s="3" t="n">
        <v>2797</v>
      </c>
      <c r="B2798" s="3" t="n">
        <v>2796</v>
      </c>
      <c r="C2798" s="3" t="n">
        <v>14</v>
      </c>
      <c r="D2798" s="3" t="n">
        <v>3</v>
      </c>
      <c r="E2798" s="3" t="n">
        <v>10</v>
      </c>
      <c r="F2798" s="24" t="n">
        <v>0</v>
      </c>
    </row>
    <row r="2799" customFormat="false" ht="15" hidden="false" customHeight="false" outlineLevel="0" collapsed="false">
      <c r="A2799" s="3" t="n">
        <v>2798</v>
      </c>
      <c r="B2799" s="3" t="n">
        <v>2797</v>
      </c>
      <c r="C2799" s="3" t="n">
        <v>14</v>
      </c>
      <c r="D2799" s="3" t="n">
        <v>3</v>
      </c>
      <c r="E2799" s="3" t="n">
        <v>11</v>
      </c>
      <c r="F2799" s="24" t="n">
        <v>0</v>
      </c>
    </row>
    <row r="2800" customFormat="false" ht="15" hidden="false" customHeight="false" outlineLevel="0" collapsed="false">
      <c r="A2800" s="3" t="n">
        <v>2799</v>
      </c>
      <c r="B2800" s="3" t="n">
        <v>2798</v>
      </c>
      <c r="C2800" s="3" t="n">
        <v>14</v>
      </c>
      <c r="D2800" s="3" t="n">
        <v>3</v>
      </c>
      <c r="E2800" s="3" t="n">
        <v>12</v>
      </c>
      <c r="F2800" s="24" t="n">
        <v>0</v>
      </c>
    </row>
    <row r="2801" customFormat="false" ht="15" hidden="false" customHeight="false" outlineLevel="0" collapsed="false">
      <c r="A2801" s="3" t="n">
        <v>2800</v>
      </c>
      <c r="B2801" s="3" t="n">
        <v>2799</v>
      </c>
      <c r="C2801" s="3" t="n">
        <v>14</v>
      </c>
      <c r="D2801" s="3" t="n">
        <v>3</v>
      </c>
      <c r="E2801" s="3" t="n">
        <v>13</v>
      </c>
      <c r="F2801" s="24" t="n">
        <v>0.171683058</v>
      </c>
    </row>
    <row r="2802" customFormat="false" ht="15" hidden="false" customHeight="false" outlineLevel="0" collapsed="false">
      <c r="A2802" s="3" t="n">
        <v>2801</v>
      </c>
      <c r="B2802" s="3" t="n">
        <v>2800</v>
      </c>
      <c r="C2802" s="3" t="n">
        <v>14</v>
      </c>
      <c r="D2802" s="3" t="n">
        <v>4</v>
      </c>
      <c r="E2802" s="3" t="n">
        <v>0</v>
      </c>
      <c r="F2802" s="24" t="n">
        <v>0</v>
      </c>
    </row>
    <row r="2803" customFormat="false" ht="15" hidden="false" customHeight="false" outlineLevel="0" collapsed="false">
      <c r="A2803" s="3" t="n">
        <v>2802</v>
      </c>
      <c r="B2803" s="3" t="n">
        <v>2801</v>
      </c>
      <c r="C2803" s="3" t="n">
        <v>14</v>
      </c>
      <c r="D2803" s="3" t="n">
        <v>4</v>
      </c>
      <c r="E2803" s="3" t="n">
        <v>1</v>
      </c>
      <c r="F2803" s="24" t="n">
        <v>0</v>
      </c>
    </row>
    <row r="2804" customFormat="false" ht="15" hidden="false" customHeight="false" outlineLevel="0" collapsed="false">
      <c r="A2804" s="3" t="n">
        <v>2803</v>
      </c>
      <c r="B2804" s="3" t="n">
        <v>2802</v>
      </c>
      <c r="C2804" s="3" t="n">
        <v>14</v>
      </c>
      <c r="D2804" s="3" t="n">
        <v>4</v>
      </c>
      <c r="E2804" s="3" t="n">
        <v>2</v>
      </c>
      <c r="F2804" s="24" t="n">
        <v>0</v>
      </c>
    </row>
    <row r="2805" customFormat="false" ht="15" hidden="false" customHeight="false" outlineLevel="0" collapsed="false">
      <c r="A2805" s="3" t="n">
        <v>2804</v>
      </c>
      <c r="B2805" s="3" t="n">
        <v>2803</v>
      </c>
      <c r="C2805" s="3" t="n">
        <v>14</v>
      </c>
      <c r="D2805" s="3" t="n">
        <v>4</v>
      </c>
      <c r="E2805" s="3" t="n">
        <v>3</v>
      </c>
      <c r="F2805" s="24" t="n">
        <v>0</v>
      </c>
    </row>
    <row r="2806" customFormat="false" ht="15" hidden="false" customHeight="false" outlineLevel="0" collapsed="false">
      <c r="A2806" s="3" t="n">
        <v>2805</v>
      </c>
      <c r="B2806" s="3" t="n">
        <v>2804</v>
      </c>
      <c r="C2806" s="3" t="n">
        <v>14</v>
      </c>
      <c r="D2806" s="3" t="n">
        <v>4</v>
      </c>
      <c r="E2806" s="3" t="n">
        <v>4</v>
      </c>
      <c r="F2806" s="24" t="n">
        <v>0.0439723842</v>
      </c>
    </row>
    <row r="2807" customFormat="false" ht="15" hidden="false" customHeight="false" outlineLevel="0" collapsed="false">
      <c r="A2807" s="3" t="n">
        <v>2806</v>
      </c>
      <c r="B2807" s="3" t="n">
        <v>2805</v>
      </c>
      <c r="C2807" s="3" t="n">
        <v>14</v>
      </c>
      <c r="D2807" s="3" t="n">
        <v>4</v>
      </c>
      <c r="E2807" s="3" t="n">
        <v>5</v>
      </c>
      <c r="F2807" s="24" t="n">
        <v>0</v>
      </c>
    </row>
    <row r="2808" customFormat="false" ht="15" hidden="false" customHeight="false" outlineLevel="0" collapsed="false">
      <c r="A2808" s="3" t="n">
        <v>2807</v>
      </c>
      <c r="B2808" s="3" t="n">
        <v>2806</v>
      </c>
      <c r="C2808" s="3" t="n">
        <v>14</v>
      </c>
      <c r="D2808" s="3" t="n">
        <v>4</v>
      </c>
      <c r="E2808" s="3" t="n">
        <v>6</v>
      </c>
      <c r="F2808" s="24" t="n">
        <v>0</v>
      </c>
    </row>
    <row r="2809" customFormat="false" ht="15" hidden="false" customHeight="false" outlineLevel="0" collapsed="false">
      <c r="A2809" s="3" t="n">
        <v>2808</v>
      </c>
      <c r="B2809" s="3" t="n">
        <v>2807</v>
      </c>
      <c r="C2809" s="3" t="n">
        <v>14</v>
      </c>
      <c r="D2809" s="3" t="n">
        <v>4</v>
      </c>
      <c r="E2809" s="3" t="n">
        <v>7</v>
      </c>
      <c r="F2809" s="24" t="n">
        <v>0</v>
      </c>
    </row>
    <row r="2810" customFormat="false" ht="15" hidden="false" customHeight="false" outlineLevel="0" collapsed="false">
      <c r="A2810" s="3" t="n">
        <v>2809</v>
      </c>
      <c r="B2810" s="3" t="n">
        <v>2808</v>
      </c>
      <c r="C2810" s="3" t="n">
        <v>14</v>
      </c>
      <c r="D2810" s="3" t="n">
        <v>4</v>
      </c>
      <c r="E2810" s="3" t="n">
        <v>8</v>
      </c>
      <c r="F2810" s="24" t="n">
        <v>0</v>
      </c>
    </row>
    <row r="2811" customFormat="false" ht="15" hidden="false" customHeight="false" outlineLevel="0" collapsed="false">
      <c r="A2811" s="3" t="n">
        <v>2810</v>
      </c>
      <c r="B2811" s="3" t="n">
        <v>2809</v>
      </c>
      <c r="C2811" s="3" t="n">
        <v>14</v>
      </c>
      <c r="D2811" s="3" t="n">
        <v>4</v>
      </c>
      <c r="E2811" s="3" t="n">
        <v>9</v>
      </c>
      <c r="F2811" s="24" t="n">
        <v>0</v>
      </c>
    </row>
    <row r="2812" customFormat="false" ht="15" hidden="false" customHeight="false" outlineLevel="0" collapsed="false">
      <c r="A2812" s="3" t="n">
        <v>2811</v>
      </c>
      <c r="B2812" s="3" t="n">
        <v>2810</v>
      </c>
      <c r="C2812" s="3" t="n">
        <v>14</v>
      </c>
      <c r="D2812" s="3" t="n">
        <v>4</v>
      </c>
      <c r="E2812" s="3" t="n">
        <v>10</v>
      </c>
      <c r="F2812" s="24" t="n">
        <v>0</v>
      </c>
    </row>
    <row r="2813" customFormat="false" ht="15" hidden="false" customHeight="false" outlineLevel="0" collapsed="false">
      <c r="A2813" s="3" t="n">
        <v>2812</v>
      </c>
      <c r="B2813" s="3" t="n">
        <v>2811</v>
      </c>
      <c r="C2813" s="3" t="n">
        <v>14</v>
      </c>
      <c r="D2813" s="3" t="n">
        <v>4</v>
      </c>
      <c r="E2813" s="3" t="n">
        <v>11</v>
      </c>
      <c r="F2813" s="24" t="n">
        <v>0</v>
      </c>
    </row>
    <row r="2814" customFormat="false" ht="15" hidden="false" customHeight="false" outlineLevel="0" collapsed="false">
      <c r="A2814" s="3" t="n">
        <v>2813</v>
      </c>
      <c r="B2814" s="3" t="n">
        <v>2812</v>
      </c>
      <c r="C2814" s="3" t="n">
        <v>14</v>
      </c>
      <c r="D2814" s="3" t="n">
        <v>4</v>
      </c>
      <c r="E2814" s="3" t="n">
        <v>12</v>
      </c>
      <c r="F2814" s="24" t="n">
        <v>0</v>
      </c>
    </row>
    <row r="2815" customFormat="false" ht="15" hidden="false" customHeight="false" outlineLevel="0" collapsed="false">
      <c r="A2815" s="3" t="n">
        <v>2814</v>
      </c>
      <c r="B2815" s="3" t="n">
        <v>2813</v>
      </c>
      <c r="C2815" s="3" t="n">
        <v>14</v>
      </c>
      <c r="D2815" s="3" t="n">
        <v>4</v>
      </c>
      <c r="E2815" s="3" t="n">
        <v>13</v>
      </c>
      <c r="F2815" s="24" t="n">
        <v>0.171683058</v>
      </c>
    </row>
    <row r="2816" customFormat="false" ht="15" hidden="false" customHeight="false" outlineLevel="0" collapsed="false">
      <c r="A2816" s="3" t="n">
        <v>2815</v>
      </c>
      <c r="B2816" s="3" t="n">
        <v>2814</v>
      </c>
      <c r="C2816" s="3" t="n">
        <v>14</v>
      </c>
      <c r="D2816" s="3" t="n">
        <v>5</v>
      </c>
      <c r="E2816" s="3" t="n">
        <v>0</v>
      </c>
      <c r="F2816" s="24" t="n">
        <v>0</v>
      </c>
    </row>
    <row r="2817" customFormat="false" ht="15" hidden="false" customHeight="false" outlineLevel="0" collapsed="false">
      <c r="A2817" s="3" t="n">
        <v>2816</v>
      </c>
      <c r="B2817" s="3" t="n">
        <v>2815</v>
      </c>
      <c r="C2817" s="3" t="n">
        <v>14</v>
      </c>
      <c r="D2817" s="3" t="n">
        <v>5</v>
      </c>
      <c r="E2817" s="3" t="n">
        <v>1</v>
      </c>
      <c r="F2817" s="24" t="n">
        <v>0</v>
      </c>
    </row>
    <row r="2818" customFormat="false" ht="15" hidden="false" customHeight="false" outlineLevel="0" collapsed="false">
      <c r="A2818" s="3" t="n">
        <v>2817</v>
      </c>
      <c r="B2818" s="3" t="n">
        <v>2816</v>
      </c>
      <c r="C2818" s="3" t="n">
        <v>14</v>
      </c>
      <c r="D2818" s="3" t="n">
        <v>5</v>
      </c>
      <c r="E2818" s="3" t="n">
        <v>2</v>
      </c>
      <c r="F2818" s="24" t="n">
        <v>0</v>
      </c>
    </row>
    <row r="2819" customFormat="false" ht="15" hidden="false" customHeight="false" outlineLevel="0" collapsed="false">
      <c r="A2819" s="3" t="n">
        <v>2818</v>
      </c>
      <c r="B2819" s="3" t="n">
        <v>2817</v>
      </c>
      <c r="C2819" s="3" t="n">
        <v>14</v>
      </c>
      <c r="D2819" s="3" t="n">
        <v>5</v>
      </c>
      <c r="E2819" s="3" t="n">
        <v>3</v>
      </c>
      <c r="F2819" s="24" t="n">
        <v>1.54326844</v>
      </c>
    </row>
    <row r="2820" customFormat="false" ht="15" hidden="false" customHeight="false" outlineLevel="0" collapsed="false">
      <c r="A2820" s="3" t="n">
        <v>2819</v>
      </c>
      <c r="B2820" s="3" t="n">
        <v>2818</v>
      </c>
      <c r="C2820" s="3" t="n">
        <v>14</v>
      </c>
      <c r="D2820" s="3" t="n">
        <v>5</v>
      </c>
      <c r="E2820" s="3" t="n">
        <v>4</v>
      </c>
      <c r="F2820" s="24" t="n">
        <v>1.10371995</v>
      </c>
    </row>
    <row r="2821" customFormat="false" ht="15" hidden="false" customHeight="false" outlineLevel="0" collapsed="false">
      <c r="A2821" s="3" t="n">
        <v>2820</v>
      </c>
      <c r="B2821" s="3" t="n">
        <v>2819</v>
      </c>
      <c r="C2821" s="3" t="n">
        <v>14</v>
      </c>
      <c r="D2821" s="3" t="n">
        <v>5</v>
      </c>
      <c r="E2821" s="3" t="n">
        <v>5</v>
      </c>
      <c r="F2821" s="24" t="n">
        <v>0</v>
      </c>
    </row>
    <row r="2822" customFormat="false" ht="15" hidden="false" customHeight="false" outlineLevel="0" collapsed="false">
      <c r="A2822" s="3" t="n">
        <v>2821</v>
      </c>
      <c r="B2822" s="3" t="n">
        <v>2820</v>
      </c>
      <c r="C2822" s="3" t="n">
        <v>14</v>
      </c>
      <c r="D2822" s="3" t="n">
        <v>5</v>
      </c>
      <c r="E2822" s="3" t="n">
        <v>6</v>
      </c>
      <c r="F2822" s="24" t="n">
        <v>1.19547737</v>
      </c>
    </row>
    <row r="2823" customFormat="false" ht="15" hidden="false" customHeight="false" outlineLevel="0" collapsed="false">
      <c r="A2823" s="3" t="n">
        <v>2822</v>
      </c>
      <c r="B2823" s="3" t="n">
        <v>2821</v>
      </c>
      <c r="C2823" s="3" t="n">
        <v>14</v>
      </c>
      <c r="D2823" s="3" t="n">
        <v>5</v>
      </c>
      <c r="E2823" s="3" t="n">
        <v>7</v>
      </c>
      <c r="F2823" s="24" t="n">
        <v>0</v>
      </c>
    </row>
    <row r="2824" customFormat="false" ht="15" hidden="false" customHeight="false" outlineLevel="0" collapsed="false">
      <c r="A2824" s="3" t="n">
        <v>2823</v>
      </c>
      <c r="B2824" s="3" t="n">
        <v>2822</v>
      </c>
      <c r="C2824" s="3" t="n">
        <v>14</v>
      </c>
      <c r="D2824" s="3" t="n">
        <v>5</v>
      </c>
      <c r="E2824" s="3" t="n">
        <v>8</v>
      </c>
      <c r="F2824" s="24" t="n">
        <v>0.0865249336</v>
      </c>
    </row>
    <row r="2825" customFormat="false" ht="15" hidden="false" customHeight="false" outlineLevel="0" collapsed="false">
      <c r="A2825" s="3" t="n">
        <v>2824</v>
      </c>
      <c r="B2825" s="3" t="n">
        <v>2823</v>
      </c>
      <c r="C2825" s="3" t="n">
        <v>14</v>
      </c>
      <c r="D2825" s="3" t="n">
        <v>5</v>
      </c>
      <c r="E2825" s="3" t="n">
        <v>9</v>
      </c>
      <c r="F2825" s="24" t="n">
        <v>3.62635636</v>
      </c>
    </row>
    <row r="2826" customFormat="false" ht="15" hidden="false" customHeight="false" outlineLevel="0" collapsed="false">
      <c r="A2826" s="3" t="n">
        <v>2825</v>
      </c>
      <c r="B2826" s="3" t="n">
        <v>2824</v>
      </c>
      <c r="C2826" s="3" t="n">
        <v>14</v>
      </c>
      <c r="D2826" s="3" t="n">
        <v>5</v>
      </c>
      <c r="E2826" s="3" t="n">
        <v>10</v>
      </c>
      <c r="F2826" s="24" t="n">
        <v>1.71566534</v>
      </c>
    </row>
    <row r="2827" customFormat="false" ht="15" hidden="false" customHeight="false" outlineLevel="0" collapsed="false">
      <c r="A2827" s="3" t="n">
        <v>2826</v>
      </c>
      <c r="B2827" s="3" t="n">
        <v>2825</v>
      </c>
      <c r="C2827" s="3" t="n">
        <v>14</v>
      </c>
      <c r="D2827" s="3" t="n">
        <v>5</v>
      </c>
      <c r="E2827" s="3" t="n">
        <v>11</v>
      </c>
      <c r="F2827" s="24" t="n">
        <v>0</v>
      </c>
    </row>
    <row r="2828" customFormat="false" ht="15" hidden="false" customHeight="false" outlineLevel="0" collapsed="false">
      <c r="A2828" s="3" t="n">
        <v>2827</v>
      </c>
      <c r="B2828" s="3" t="n">
        <v>2826</v>
      </c>
      <c r="C2828" s="3" t="n">
        <v>14</v>
      </c>
      <c r="D2828" s="3" t="n">
        <v>5</v>
      </c>
      <c r="E2828" s="3" t="n">
        <v>12</v>
      </c>
      <c r="F2828" s="24" t="n">
        <v>0</v>
      </c>
    </row>
    <row r="2829" customFormat="false" ht="15" hidden="false" customHeight="false" outlineLevel="0" collapsed="false">
      <c r="A2829" s="3" t="n">
        <v>2828</v>
      </c>
      <c r="B2829" s="3" t="n">
        <v>2827</v>
      </c>
      <c r="C2829" s="3" t="n">
        <v>14</v>
      </c>
      <c r="D2829" s="3" t="n">
        <v>5</v>
      </c>
      <c r="E2829" s="3" t="n">
        <v>13</v>
      </c>
      <c r="F2829" s="24" t="n">
        <v>0.171683058</v>
      </c>
    </row>
    <row r="2830" customFormat="false" ht="15" hidden="false" customHeight="false" outlineLevel="0" collapsed="false">
      <c r="A2830" s="3" t="n">
        <v>2829</v>
      </c>
      <c r="B2830" s="3" t="n">
        <v>2828</v>
      </c>
      <c r="C2830" s="3" t="n">
        <v>14</v>
      </c>
      <c r="D2830" s="3" t="n">
        <v>6</v>
      </c>
      <c r="E2830" s="3" t="n">
        <v>0</v>
      </c>
      <c r="F2830" s="24" t="n">
        <v>0</v>
      </c>
    </row>
    <row r="2831" customFormat="false" ht="15" hidden="false" customHeight="false" outlineLevel="0" collapsed="false">
      <c r="A2831" s="3" t="n">
        <v>2830</v>
      </c>
      <c r="B2831" s="3" t="n">
        <v>2829</v>
      </c>
      <c r="C2831" s="3" t="n">
        <v>14</v>
      </c>
      <c r="D2831" s="3" t="n">
        <v>6</v>
      </c>
      <c r="E2831" s="3" t="n">
        <v>1</v>
      </c>
      <c r="F2831" s="24" t="n">
        <v>0</v>
      </c>
    </row>
    <row r="2832" customFormat="false" ht="15" hidden="false" customHeight="false" outlineLevel="0" collapsed="false">
      <c r="A2832" s="3" t="n">
        <v>2831</v>
      </c>
      <c r="B2832" s="3" t="n">
        <v>2830</v>
      </c>
      <c r="C2832" s="3" t="n">
        <v>14</v>
      </c>
      <c r="D2832" s="3" t="n">
        <v>6</v>
      </c>
      <c r="E2832" s="3" t="n">
        <v>2</v>
      </c>
      <c r="F2832" s="24" t="n">
        <v>0</v>
      </c>
    </row>
    <row r="2833" customFormat="false" ht="15" hidden="false" customHeight="false" outlineLevel="0" collapsed="false">
      <c r="A2833" s="3" t="n">
        <v>2832</v>
      </c>
      <c r="B2833" s="3" t="n">
        <v>2831</v>
      </c>
      <c r="C2833" s="3" t="n">
        <v>14</v>
      </c>
      <c r="D2833" s="3" t="n">
        <v>6</v>
      </c>
      <c r="E2833" s="3" t="n">
        <v>3</v>
      </c>
      <c r="F2833" s="24" t="n">
        <v>0</v>
      </c>
    </row>
    <row r="2834" customFormat="false" ht="15" hidden="false" customHeight="false" outlineLevel="0" collapsed="false">
      <c r="A2834" s="3" t="n">
        <v>2833</v>
      </c>
      <c r="B2834" s="3" t="n">
        <v>2832</v>
      </c>
      <c r="C2834" s="3" t="n">
        <v>14</v>
      </c>
      <c r="D2834" s="3" t="n">
        <v>6</v>
      </c>
      <c r="E2834" s="3" t="n">
        <v>4</v>
      </c>
      <c r="F2834" s="24" t="n">
        <v>0</v>
      </c>
    </row>
    <row r="2835" customFormat="false" ht="15" hidden="false" customHeight="false" outlineLevel="0" collapsed="false">
      <c r="A2835" s="3" t="n">
        <v>2834</v>
      </c>
      <c r="B2835" s="3" t="n">
        <v>2833</v>
      </c>
      <c r="C2835" s="3" t="n">
        <v>14</v>
      </c>
      <c r="D2835" s="3" t="n">
        <v>6</v>
      </c>
      <c r="E2835" s="3" t="n">
        <v>5</v>
      </c>
      <c r="F2835" s="24" t="n">
        <v>0.0104380064</v>
      </c>
    </row>
    <row r="2836" customFormat="false" ht="15" hidden="false" customHeight="false" outlineLevel="0" collapsed="false">
      <c r="A2836" s="3" t="n">
        <v>2835</v>
      </c>
      <c r="B2836" s="3" t="n">
        <v>2834</v>
      </c>
      <c r="C2836" s="3" t="n">
        <v>14</v>
      </c>
      <c r="D2836" s="3" t="n">
        <v>6</v>
      </c>
      <c r="E2836" s="3" t="n">
        <v>6</v>
      </c>
      <c r="F2836" s="24" t="n">
        <v>0</v>
      </c>
    </row>
    <row r="2837" customFormat="false" ht="15" hidden="false" customHeight="false" outlineLevel="0" collapsed="false">
      <c r="A2837" s="3" t="n">
        <v>2836</v>
      </c>
      <c r="B2837" s="3" t="n">
        <v>2835</v>
      </c>
      <c r="C2837" s="3" t="n">
        <v>14</v>
      </c>
      <c r="D2837" s="3" t="n">
        <v>6</v>
      </c>
      <c r="E2837" s="3" t="n">
        <v>7</v>
      </c>
      <c r="F2837" s="24" t="n">
        <v>0</v>
      </c>
    </row>
    <row r="2838" customFormat="false" ht="15" hidden="false" customHeight="false" outlineLevel="0" collapsed="false">
      <c r="A2838" s="3" t="n">
        <v>2837</v>
      </c>
      <c r="B2838" s="3" t="n">
        <v>2836</v>
      </c>
      <c r="C2838" s="3" t="n">
        <v>14</v>
      </c>
      <c r="D2838" s="3" t="n">
        <v>6</v>
      </c>
      <c r="E2838" s="3" t="n">
        <v>8</v>
      </c>
      <c r="F2838" s="24" t="n">
        <v>0</v>
      </c>
    </row>
    <row r="2839" customFormat="false" ht="15" hidden="false" customHeight="false" outlineLevel="0" collapsed="false">
      <c r="A2839" s="3" t="n">
        <v>2838</v>
      </c>
      <c r="B2839" s="3" t="n">
        <v>2837</v>
      </c>
      <c r="C2839" s="3" t="n">
        <v>14</v>
      </c>
      <c r="D2839" s="3" t="n">
        <v>6</v>
      </c>
      <c r="E2839" s="3" t="n">
        <v>9</v>
      </c>
      <c r="F2839" s="24" t="n">
        <v>1.64611518</v>
      </c>
    </row>
    <row r="2840" customFormat="false" ht="15" hidden="false" customHeight="false" outlineLevel="0" collapsed="false">
      <c r="A2840" s="3" t="n">
        <v>2839</v>
      </c>
      <c r="B2840" s="3" t="n">
        <v>2838</v>
      </c>
      <c r="C2840" s="3" t="n">
        <v>14</v>
      </c>
      <c r="D2840" s="3" t="n">
        <v>6</v>
      </c>
      <c r="E2840" s="3" t="n">
        <v>10</v>
      </c>
      <c r="F2840" s="24" t="n">
        <v>0.489052922</v>
      </c>
    </row>
    <row r="2841" customFormat="false" ht="15" hidden="false" customHeight="false" outlineLevel="0" collapsed="false">
      <c r="A2841" s="3" t="n">
        <v>2840</v>
      </c>
      <c r="B2841" s="3" t="n">
        <v>2839</v>
      </c>
      <c r="C2841" s="3" t="n">
        <v>14</v>
      </c>
      <c r="D2841" s="3" t="n">
        <v>6</v>
      </c>
      <c r="E2841" s="3" t="n">
        <v>11</v>
      </c>
      <c r="F2841" s="24" t="n">
        <v>0</v>
      </c>
    </row>
    <row r="2842" customFormat="false" ht="15" hidden="false" customHeight="false" outlineLevel="0" collapsed="false">
      <c r="A2842" s="3" t="n">
        <v>2841</v>
      </c>
      <c r="B2842" s="3" t="n">
        <v>2840</v>
      </c>
      <c r="C2842" s="3" t="n">
        <v>14</v>
      </c>
      <c r="D2842" s="3" t="n">
        <v>6</v>
      </c>
      <c r="E2842" s="3" t="n">
        <v>12</v>
      </c>
      <c r="F2842" s="24" t="n">
        <v>0</v>
      </c>
    </row>
    <row r="2843" customFormat="false" ht="15" hidden="false" customHeight="false" outlineLevel="0" collapsed="false">
      <c r="A2843" s="3" t="n">
        <v>2842</v>
      </c>
      <c r="B2843" s="3" t="n">
        <v>2841</v>
      </c>
      <c r="C2843" s="3" t="n">
        <v>14</v>
      </c>
      <c r="D2843" s="3" t="n">
        <v>6</v>
      </c>
      <c r="E2843" s="3" t="n">
        <v>13</v>
      </c>
      <c r="F2843" s="24" t="n">
        <v>0.171683058</v>
      </c>
    </row>
    <row r="2844" customFormat="false" ht="15" hidden="false" customHeight="false" outlineLevel="0" collapsed="false">
      <c r="A2844" s="3" t="n">
        <v>2843</v>
      </c>
      <c r="B2844" s="3" t="n">
        <v>2842</v>
      </c>
      <c r="C2844" s="3" t="n">
        <v>14</v>
      </c>
      <c r="D2844" s="3" t="n">
        <v>7</v>
      </c>
      <c r="E2844" s="3" t="n">
        <v>0</v>
      </c>
      <c r="F2844" s="24" t="n">
        <v>0</v>
      </c>
    </row>
    <row r="2845" customFormat="false" ht="15" hidden="false" customHeight="false" outlineLevel="0" collapsed="false">
      <c r="A2845" s="3" t="n">
        <v>2844</v>
      </c>
      <c r="B2845" s="3" t="n">
        <v>2843</v>
      </c>
      <c r="C2845" s="3" t="n">
        <v>14</v>
      </c>
      <c r="D2845" s="3" t="n">
        <v>7</v>
      </c>
      <c r="E2845" s="3" t="n">
        <v>1</v>
      </c>
      <c r="F2845" s="24" t="n">
        <v>0</v>
      </c>
    </row>
    <row r="2846" customFormat="false" ht="15" hidden="false" customHeight="false" outlineLevel="0" collapsed="false">
      <c r="A2846" s="3" t="n">
        <v>2845</v>
      </c>
      <c r="B2846" s="3" t="n">
        <v>2844</v>
      </c>
      <c r="C2846" s="3" t="n">
        <v>14</v>
      </c>
      <c r="D2846" s="3" t="n">
        <v>7</v>
      </c>
      <c r="E2846" s="3" t="n">
        <v>2</v>
      </c>
      <c r="F2846" s="24" t="n">
        <v>0</v>
      </c>
    </row>
    <row r="2847" customFormat="false" ht="15" hidden="false" customHeight="false" outlineLevel="0" collapsed="false">
      <c r="A2847" s="3" t="n">
        <v>2846</v>
      </c>
      <c r="B2847" s="3" t="n">
        <v>2845</v>
      </c>
      <c r="C2847" s="3" t="n">
        <v>14</v>
      </c>
      <c r="D2847" s="3" t="n">
        <v>7</v>
      </c>
      <c r="E2847" s="3" t="n">
        <v>3</v>
      </c>
      <c r="F2847" s="24" t="n">
        <v>0</v>
      </c>
    </row>
    <row r="2848" customFormat="false" ht="15" hidden="false" customHeight="false" outlineLevel="0" collapsed="false">
      <c r="A2848" s="3" t="n">
        <v>2847</v>
      </c>
      <c r="B2848" s="3" t="n">
        <v>2846</v>
      </c>
      <c r="C2848" s="3" t="n">
        <v>14</v>
      </c>
      <c r="D2848" s="3" t="n">
        <v>7</v>
      </c>
      <c r="E2848" s="3" t="n">
        <v>4</v>
      </c>
      <c r="F2848" s="24" t="n">
        <v>0</v>
      </c>
    </row>
    <row r="2849" customFormat="false" ht="15" hidden="false" customHeight="false" outlineLevel="0" collapsed="false">
      <c r="A2849" s="3" t="n">
        <v>2848</v>
      </c>
      <c r="B2849" s="3" t="n">
        <v>2847</v>
      </c>
      <c r="C2849" s="3" t="n">
        <v>14</v>
      </c>
      <c r="D2849" s="3" t="n">
        <v>7</v>
      </c>
      <c r="E2849" s="3" t="n">
        <v>5</v>
      </c>
      <c r="F2849" s="24" t="n">
        <v>0</v>
      </c>
    </row>
    <row r="2850" customFormat="false" ht="15" hidden="false" customHeight="false" outlineLevel="0" collapsed="false">
      <c r="A2850" s="3" t="n">
        <v>2849</v>
      </c>
      <c r="B2850" s="3" t="n">
        <v>2848</v>
      </c>
      <c r="C2850" s="3" t="n">
        <v>14</v>
      </c>
      <c r="D2850" s="3" t="n">
        <v>7</v>
      </c>
      <c r="E2850" s="3" t="n">
        <v>6</v>
      </c>
      <c r="F2850" s="24" t="n">
        <v>0</v>
      </c>
    </row>
    <row r="2851" customFormat="false" ht="15" hidden="false" customHeight="false" outlineLevel="0" collapsed="false">
      <c r="A2851" s="3" t="n">
        <v>2850</v>
      </c>
      <c r="B2851" s="3" t="n">
        <v>2849</v>
      </c>
      <c r="C2851" s="3" t="n">
        <v>14</v>
      </c>
      <c r="D2851" s="3" t="n">
        <v>7</v>
      </c>
      <c r="E2851" s="3" t="n">
        <v>7</v>
      </c>
      <c r="F2851" s="24" t="n">
        <v>0</v>
      </c>
    </row>
    <row r="2852" customFormat="false" ht="15" hidden="false" customHeight="false" outlineLevel="0" collapsed="false">
      <c r="A2852" s="3" t="n">
        <v>2851</v>
      </c>
      <c r="B2852" s="3" t="n">
        <v>2850</v>
      </c>
      <c r="C2852" s="3" t="n">
        <v>14</v>
      </c>
      <c r="D2852" s="3" t="n">
        <v>7</v>
      </c>
      <c r="E2852" s="3" t="n">
        <v>8</v>
      </c>
      <c r="F2852" s="24" t="n">
        <v>0</v>
      </c>
    </row>
    <row r="2853" customFormat="false" ht="15" hidden="false" customHeight="false" outlineLevel="0" collapsed="false">
      <c r="A2853" s="3" t="n">
        <v>2852</v>
      </c>
      <c r="B2853" s="3" t="n">
        <v>2851</v>
      </c>
      <c r="C2853" s="3" t="n">
        <v>14</v>
      </c>
      <c r="D2853" s="3" t="n">
        <v>7</v>
      </c>
      <c r="E2853" s="3" t="n">
        <v>9</v>
      </c>
      <c r="F2853" s="24" t="n">
        <v>2.71152735</v>
      </c>
    </row>
    <row r="2854" customFormat="false" ht="15" hidden="false" customHeight="false" outlineLevel="0" collapsed="false">
      <c r="A2854" s="3" t="n">
        <v>2853</v>
      </c>
      <c r="B2854" s="3" t="n">
        <v>2852</v>
      </c>
      <c r="C2854" s="3" t="n">
        <v>14</v>
      </c>
      <c r="D2854" s="3" t="n">
        <v>7</v>
      </c>
      <c r="E2854" s="3" t="n">
        <v>10</v>
      </c>
      <c r="F2854" s="24" t="n">
        <v>0</v>
      </c>
    </row>
    <row r="2855" customFormat="false" ht="15" hidden="false" customHeight="false" outlineLevel="0" collapsed="false">
      <c r="A2855" s="3" t="n">
        <v>2854</v>
      </c>
      <c r="B2855" s="3" t="n">
        <v>2853</v>
      </c>
      <c r="C2855" s="3" t="n">
        <v>14</v>
      </c>
      <c r="D2855" s="3" t="n">
        <v>7</v>
      </c>
      <c r="E2855" s="3" t="n">
        <v>11</v>
      </c>
      <c r="F2855" s="24" t="n">
        <v>0</v>
      </c>
    </row>
    <row r="2856" customFormat="false" ht="15" hidden="false" customHeight="false" outlineLevel="0" collapsed="false">
      <c r="A2856" s="3" t="n">
        <v>2855</v>
      </c>
      <c r="B2856" s="3" t="n">
        <v>2854</v>
      </c>
      <c r="C2856" s="3" t="n">
        <v>14</v>
      </c>
      <c r="D2856" s="3" t="n">
        <v>7</v>
      </c>
      <c r="E2856" s="3" t="n">
        <v>12</v>
      </c>
      <c r="F2856" s="24" t="n">
        <v>0</v>
      </c>
    </row>
    <row r="2857" customFormat="false" ht="15" hidden="false" customHeight="false" outlineLevel="0" collapsed="false">
      <c r="A2857" s="3" t="n">
        <v>2856</v>
      </c>
      <c r="B2857" s="3" t="n">
        <v>2855</v>
      </c>
      <c r="C2857" s="3" t="n">
        <v>14</v>
      </c>
      <c r="D2857" s="3" t="n">
        <v>7</v>
      </c>
      <c r="E2857" s="3" t="n">
        <v>13</v>
      </c>
      <c r="F2857" s="24" t="n">
        <v>0.171683058</v>
      </c>
    </row>
    <row r="2858" customFormat="false" ht="15" hidden="false" customHeight="false" outlineLevel="0" collapsed="false">
      <c r="A2858" s="3" t="n">
        <v>2857</v>
      </c>
      <c r="B2858" s="3" t="n">
        <v>2856</v>
      </c>
      <c r="C2858" s="3" t="n">
        <v>14</v>
      </c>
      <c r="D2858" s="3" t="n">
        <v>8</v>
      </c>
      <c r="E2858" s="3" t="n">
        <v>0</v>
      </c>
      <c r="F2858" s="24" t="n">
        <v>0</v>
      </c>
    </row>
    <row r="2859" customFormat="false" ht="15" hidden="false" customHeight="false" outlineLevel="0" collapsed="false">
      <c r="A2859" s="3" t="n">
        <v>2858</v>
      </c>
      <c r="B2859" s="3" t="n">
        <v>2857</v>
      </c>
      <c r="C2859" s="3" t="n">
        <v>14</v>
      </c>
      <c r="D2859" s="3" t="n">
        <v>8</v>
      </c>
      <c r="E2859" s="3" t="n">
        <v>1</v>
      </c>
      <c r="F2859" s="24" t="n">
        <v>0</v>
      </c>
    </row>
    <row r="2860" customFormat="false" ht="15" hidden="false" customHeight="false" outlineLevel="0" collapsed="false">
      <c r="A2860" s="3" t="n">
        <v>2859</v>
      </c>
      <c r="B2860" s="3" t="n">
        <v>2858</v>
      </c>
      <c r="C2860" s="3" t="n">
        <v>14</v>
      </c>
      <c r="D2860" s="3" t="n">
        <v>8</v>
      </c>
      <c r="E2860" s="3" t="n">
        <v>2</v>
      </c>
      <c r="F2860" s="24" t="n">
        <v>0</v>
      </c>
    </row>
    <row r="2861" customFormat="false" ht="15" hidden="false" customHeight="false" outlineLevel="0" collapsed="false">
      <c r="A2861" s="3" t="n">
        <v>2860</v>
      </c>
      <c r="B2861" s="3" t="n">
        <v>2859</v>
      </c>
      <c r="C2861" s="3" t="n">
        <v>14</v>
      </c>
      <c r="D2861" s="3" t="n">
        <v>8</v>
      </c>
      <c r="E2861" s="3" t="n">
        <v>3</v>
      </c>
      <c r="F2861" s="24" t="n">
        <v>0</v>
      </c>
    </row>
    <row r="2862" customFormat="false" ht="15" hidden="false" customHeight="false" outlineLevel="0" collapsed="false">
      <c r="A2862" s="3" t="n">
        <v>2861</v>
      </c>
      <c r="B2862" s="3" t="n">
        <v>2860</v>
      </c>
      <c r="C2862" s="3" t="n">
        <v>14</v>
      </c>
      <c r="D2862" s="3" t="n">
        <v>8</v>
      </c>
      <c r="E2862" s="3" t="n">
        <v>4</v>
      </c>
      <c r="F2862" s="24" t="n">
        <v>0</v>
      </c>
    </row>
    <row r="2863" customFormat="false" ht="15" hidden="false" customHeight="false" outlineLevel="0" collapsed="false">
      <c r="A2863" s="3" t="n">
        <v>2862</v>
      </c>
      <c r="B2863" s="3" t="n">
        <v>2861</v>
      </c>
      <c r="C2863" s="3" t="n">
        <v>14</v>
      </c>
      <c r="D2863" s="3" t="n">
        <v>8</v>
      </c>
      <c r="E2863" s="3" t="n">
        <v>5</v>
      </c>
      <c r="F2863" s="24" t="n">
        <v>0</v>
      </c>
    </row>
    <row r="2864" customFormat="false" ht="15" hidden="false" customHeight="false" outlineLevel="0" collapsed="false">
      <c r="A2864" s="3" t="n">
        <v>2863</v>
      </c>
      <c r="B2864" s="3" t="n">
        <v>2862</v>
      </c>
      <c r="C2864" s="3" t="n">
        <v>14</v>
      </c>
      <c r="D2864" s="3" t="n">
        <v>8</v>
      </c>
      <c r="E2864" s="3" t="n">
        <v>6</v>
      </c>
      <c r="F2864" s="24" t="n">
        <v>0</v>
      </c>
    </row>
    <row r="2865" customFormat="false" ht="15" hidden="false" customHeight="false" outlineLevel="0" collapsed="false">
      <c r="A2865" s="3" t="n">
        <v>2864</v>
      </c>
      <c r="B2865" s="3" t="n">
        <v>2863</v>
      </c>
      <c r="C2865" s="3" t="n">
        <v>14</v>
      </c>
      <c r="D2865" s="3" t="n">
        <v>8</v>
      </c>
      <c r="E2865" s="3" t="n">
        <v>7</v>
      </c>
      <c r="F2865" s="24" t="n">
        <v>0</v>
      </c>
    </row>
    <row r="2866" customFormat="false" ht="15" hidden="false" customHeight="false" outlineLevel="0" collapsed="false">
      <c r="A2866" s="3" t="n">
        <v>2865</v>
      </c>
      <c r="B2866" s="3" t="n">
        <v>2864</v>
      </c>
      <c r="C2866" s="3" t="n">
        <v>14</v>
      </c>
      <c r="D2866" s="3" t="n">
        <v>8</v>
      </c>
      <c r="E2866" s="3" t="n">
        <v>8</v>
      </c>
      <c r="F2866" s="24" t="n">
        <v>2.42547202</v>
      </c>
    </row>
    <row r="2867" customFormat="false" ht="15" hidden="false" customHeight="false" outlineLevel="0" collapsed="false">
      <c r="A2867" s="3" t="n">
        <v>2866</v>
      </c>
      <c r="B2867" s="3" t="n">
        <v>2865</v>
      </c>
      <c r="C2867" s="3" t="n">
        <v>14</v>
      </c>
      <c r="D2867" s="3" t="n">
        <v>8</v>
      </c>
      <c r="E2867" s="3" t="n">
        <v>9</v>
      </c>
      <c r="F2867" s="24" t="n">
        <v>1.22741568</v>
      </c>
    </row>
    <row r="2868" customFormat="false" ht="15" hidden="false" customHeight="false" outlineLevel="0" collapsed="false">
      <c r="A2868" s="3" t="n">
        <v>2867</v>
      </c>
      <c r="B2868" s="3" t="n">
        <v>2866</v>
      </c>
      <c r="C2868" s="3" t="n">
        <v>14</v>
      </c>
      <c r="D2868" s="3" t="n">
        <v>8</v>
      </c>
      <c r="E2868" s="3" t="n">
        <v>10</v>
      </c>
      <c r="F2868" s="24" t="n">
        <v>0</v>
      </c>
    </row>
    <row r="2869" customFormat="false" ht="15" hidden="false" customHeight="false" outlineLevel="0" collapsed="false">
      <c r="A2869" s="3" t="n">
        <v>2868</v>
      </c>
      <c r="B2869" s="3" t="n">
        <v>2867</v>
      </c>
      <c r="C2869" s="3" t="n">
        <v>14</v>
      </c>
      <c r="D2869" s="3" t="n">
        <v>8</v>
      </c>
      <c r="E2869" s="3" t="n">
        <v>11</v>
      </c>
      <c r="F2869" s="24" t="n">
        <v>0</v>
      </c>
    </row>
    <row r="2870" customFormat="false" ht="15" hidden="false" customHeight="false" outlineLevel="0" collapsed="false">
      <c r="A2870" s="3" t="n">
        <v>2869</v>
      </c>
      <c r="B2870" s="3" t="n">
        <v>2868</v>
      </c>
      <c r="C2870" s="3" t="n">
        <v>14</v>
      </c>
      <c r="D2870" s="3" t="n">
        <v>8</v>
      </c>
      <c r="E2870" s="3" t="n">
        <v>12</v>
      </c>
      <c r="F2870" s="24" t="n">
        <v>0</v>
      </c>
    </row>
    <row r="2871" customFormat="false" ht="15" hidden="false" customHeight="false" outlineLevel="0" collapsed="false">
      <c r="A2871" s="3" t="n">
        <v>2870</v>
      </c>
      <c r="B2871" s="3" t="n">
        <v>2869</v>
      </c>
      <c r="C2871" s="3" t="n">
        <v>14</v>
      </c>
      <c r="D2871" s="3" t="n">
        <v>8</v>
      </c>
      <c r="E2871" s="3" t="n">
        <v>13</v>
      </c>
      <c r="F2871" s="24" t="n">
        <v>0.171683058</v>
      </c>
    </row>
    <row r="2872" customFormat="false" ht="15" hidden="false" customHeight="false" outlineLevel="0" collapsed="false">
      <c r="A2872" s="3" t="n">
        <v>2871</v>
      </c>
      <c r="B2872" s="3" t="n">
        <v>2870</v>
      </c>
      <c r="C2872" s="3" t="n">
        <v>14</v>
      </c>
      <c r="D2872" s="3" t="n">
        <v>9</v>
      </c>
      <c r="E2872" s="3" t="n">
        <v>0</v>
      </c>
      <c r="F2872" s="24" t="n">
        <v>0</v>
      </c>
    </row>
    <row r="2873" customFormat="false" ht="15" hidden="false" customHeight="false" outlineLevel="0" collapsed="false">
      <c r="A2873" s="3" t="n">
        <v>2872</v>
      </c>
      <c r="B2873" s="3" t="n">
        <v>2871</v>
      </c>
      <c r="C2873" s="3" t="n">
        <v>14</v>
      </c>
      <c r="D2873" s="3" t="n">
        <v>9</v>
      </c>
      <c r="E2873" s="3" t="n">
        <v>1</v>
      </c>
      <c r="F2873" s="24" t="n">
        <v>0</v>
      </c>
    </row>
    <row r="2874" customFormat="false" ht="15" hidden="false" customHeight="false" outlineLevel="0" collapsed="false">
      <c r="A2874" s="3" t="n">
        <v>2873</v>
      </c>
      <c r="B2874" s="3" t="n">
        <v>2872</v>
      </c>
      <c r="C2874" s="3" t="n">
        <v>14</v>
      </c>
      <c r="D2874" s="3" t="n">
        <v>9</v>
      </c>
      <c r="E2874" s="3" t="n">
        <v>2</v>
      </c>
      <c r="F2874" s="24" t="n">
        <v>0</v>
      </c>
    </row>
    <row r="2875" customFormat="false" ht="15" hidden="false" customHeight="false" outlineLevel="0" collapsed="false">
      <c r="A2875" s="3" t="n">
        <v>2874</v>
      </c>
      <c r="B2875" s="3" t="n">
        <v>2873</v>
      </c>
      <c r="C2875" s="3" t="n">
        <v>14</v>
      </c>
      <c r="D2875" s="3" t="n">
        <v>9</v>
      </c>
      <c r="E2875" s="3" t="n">
        <v>3</v>
      </c>
      <c r="F2875" s="24" t="n">
        <v>0</v>
      </c>
    </row>
    <row r="2876" customFormat="false" ht="15" hidden="false" customHeight="false" outlineLevel="0" collapsed="false">
      <c r="A2876" s="3" t="n">
        <v>2875</v>
      </c>
      <c r="B2876" s="3" t="n">
        <v>2874</v>
      </c>
      <c r="C2876" s="3" t="n">
        <v>14</v>
      </c>
      <c r="D2876" s="3" t="n">
        <v>9</v>
      </c>
      <c r="E2876" s="3" t="n">
        <v>4</v>
      </c>
      <c r="F2876" s="24" t="n">
        <v>0</v>
      </c>
    </row>
    <row r="2877" customFormat="false" ht="15" hidden="false" customHeight="false" outlineLevel="0" collapsed="false">
      <c r="A2877" s="3" t="n">
        <v>2876</v>
      </c>
      <c r="B2877" s="3" t="n">
        <v>2875</v>
      </c>
      <c r="C2877" s="3" t="n">
        <v>14</v>
      </c>
      <c r="D2877" s="3" t="n">
        <v>9</v>
      </c>
      <c r="E2877" s="3" t="n">
        <v>5</v>
      </c>
      <c r="F2877" s="24" t="n">
        <v>0</v>
      </c>
    </row>
    <row r="2878" customFormat="false" ht="15" hidden="false" customHeight="false" outlineLevel="0" collapsed="false">
      <c r="A2878" s="3" t="n">
        <v>2877</v>
      </c>
      <c r="B2878" s="3" t="n">
        <v>2876</v>
      </c>
      <c r="C2878" s="3" t="n">
        <v>14</v>
      </c>
      <c r="D2878" s="3" t="n">
        <v>9</v>
      </c>
      <c r="E2878" s="3" t="n">
        <v>6</v>
      </c>
      <c r="F2878" s="24" t="n">
        <v>0</v>
      </c>
    </row>
    <row r="2879" customFormat="false" ht="15" hidden="false" customHeight="false" outlineLevel="0" collapsed="false">
      <c r="A2879" s="3" t="n">
        <v>2878</v>
      </c>
      <c r="B2879" s="3" t="n">
        <v>2877</v>
      </c>
      <c r="C2879" s="3" t="n">
        <v>14</v>
      </c>
      <c r="D2879" s="3" t="n">
        <v>9</v>
      </c>
      <c r="E2879" s="3" t="n">
        <v>7</v>
      </c>
      <c r="F2879" s="24" t="n">
        <v>0</v>
      </c>
    </row>
    <row r="2880" customFormat="false" ht="15" hidden="false" customHeight="false" outlineLevel="0" collapsed="false">
      <c r="A2880" s="3" t="n">
        <v>2879</v>
      </c>
      <c r="B2880" s="3" t="n">
        <v>2878</v>
      </c>
      <c r="C2880" s="3" t="n">
        <v>14</v>
      </c>
      <c r="D2880" s="3" t="n">
        <v>9</v>
      </c>
      <c r="E2880" s="3" t="n">
        <v>8</v>
      </c>
      <c r="F2880" s="24" t="n">
        <v>2.66827869</v>
      </c>
    </row>
    <row r="2881" customFormat="false" ht="15" hidden="false" customHeight="false" outlineLevel="0" collapsed="false">
      <c r="A2881" s="3" t="n">
        <v>2880</v>
      </c>
      <c r="B2881" s="3" t="n">
        <v>2879</v>
      </c>
      <c r="C2881" s="3" t="n">
        <v>14</v>
      </c>
      <c r="D2881" s="3" t="n">
        <v>9</v>
      </c>
      <c r="E2881" s="3" t="n">
        <v>9</v>
      </c>
      <c r="F2881" s="24" t="n">
        <v>0</v>
      </c>
    </row>
    <row r="2882" customFormat="false" ht="15" hidden="false" customHeight="false" outlineLevel="0" collapsed="false">
      <c r="A2882" s="3" t="n">
        <v>2881</v>
      </c>
      <c r="B2882" s="3" t="n">
        <v>2880</v>
      </c>
      <c r="C2882" s="3" t="n">
        <v>14</v>
      </c>
      <c r="D2882" s="3" t="n">
        <v>9</v>
      </c>
      <c r="E2882" s="3" t="n">
        <v>10</v>
      </c>
      <c r="F2882" s="24" t="n">
        <v>0</v>
      </c>
    </row>
    <row r="2883" customFormat="false" ht="15" hidden="false" customHeight="false" outlineLevel="0" collapsed="false">
      <c r="A2883" s="3" t="n">
        <v>2882</v>
      </c>
      <c r="B2883" s="3" t="n">
        <v>2881</v>
      </c>
      <c r="C2883" s="3" t="n">
        <v>14</v>
      </c>
      <c r="D2883" s="3" t="n">
        <v>9</v>
      </c>
      <c r="E2883" s="3" t="n">
        <v>11</v>
      </c>
      <c r="F2883" s="24" t="n">
        <v>0</v>
      </c>
    </row>
    <row r="2884" customFormat="false" ht="15" hidden="false" customHeight="false" outlineLevel="0" collapsed="false">
      <c r="A2884" s="3" t="n">
        <v>2883</v>
      </c>
      <c r="B2884" s="3" t="n">
        <v>2882</v>
      </c>
      <c r="C2884" s="3" t="n">
        <v>14</v>
      </c>
      <c r="D2884" s="3" t="n">
        <v>9</v>
      </c>
      <c r="E2884" s="3" t="n">
        <v>12</v>
      </c>
      <c r="F2884" s="24" t="n">
        <v>0</v>
      </c>
    </row>
    <row r="2885" customFormat="false" ht="15" hidden="false" customHeight="false" outlineLevel="0" collapsed="false">
      <c r="A2885" s="3" t="n">
        <v>2884</v>
      </c>
      <c r="B2885" s="3" t="n">
        <v>2883</v>
      </c>
      <c r="C2885" s="3" t="n">
        <v>14</v>
      </c>
      <c r="D2885" s="3" t="n">
        <v>9</v>
      </c>
      <c r="E2885" s="3" t="n">
        <v>13</v>
      </c>
      <c r="F2885" s="24" t="n">
        <v>0.171683058</v>
      </c>
    </row>
    <row r="2886" customFormat="false" ht="15" hidden="false" customHeight="false" outlineLevel="0" collapsed="false">
      <c r="A2886" s="3" t="n">
        <v>2885</v>
      </c>
      <c r="B2886" s="3" t="n">
        <v>2884</v>
      </c>
      <c r="C2886" s="3" t="n">
        <v>14</v>
      </c>
      <c r="D2886" s="3" t="n">
        <v>10</v>
      </c>
      <c r="E2886" s="3" t="n">
        <v>0</v>
      </c>
      <c r="F2886" s="24" t="n">
        <v>0</v>
      </c>
    </row>
    <row r="2887" customFormat="false" ht="15" hidden="false" customHeight="false" outlineLevel="0" collapsed="false">
      <c r="A2887" s="3" t="n">
        <v>2886</v>
      </c>
      <c r="B2887" s="3" t="n">
        <v>2885</v>
      </c>
      <c r="C2887" s="3" t="n">
        <v>14</v>
      </c>
      <c r="D2887" s="3" t="n">
        <v>10</v>
      </c>
      <c r="E2887" s="3" t="n">
        <v>1</v>
      </c>
      <c r="F2887" s="24" t="n">
        <v>0</v>
      </c>
    </row>
    <row r="2888" customFormat="false" ht="15" hidden="false" customHeight="false" outlineLevel="0" collapsed="false">
      <c r="A2888" s="3" t="n">
        <v>2887</v>
      </c>
      <c r="B2888" s="3" t="n">
        <v>2886</v>
      </c>
      <c r="C2888" s="3" t="n">
        <v>14</v>
      </c>
      <c r="D2888" s="3" t="n">
        <v>10</v>
      </c>
      <c r="E2888" s="3" t="n">
        <v>2</v>
      </c>
      <c r="F2888" s="24" t="n">
        <v>0</v>
      </c>
    </row>
    <row r="2889" customFormat="false" ht="15" hidden="false" customHeight="false" outlineLevel="0" collapsed="false">
      <c r="A2889" s="3" t="n">
        <v>2888</v>
      </c>
      <c r="B2889" s="3" t="n">
        <v>2887</v>
      </c>
      <c r="C2889" s="3" t="n">
        <v>14</v>
      </c>
      <c r="D2889" s="3" t="n">
        <v>10</v>
      </c>
      <c r="E2889" s="3" t="n">
        <v>3</v>
      </c>
      <c r="F2889" s="24" t="n">
        <v>0</v>
      </c>
    </row>
    <row r="2890" customFormat="false" ht="15" hidden="false" customHeight="false" outlineLevel="0" collapsed="false">
      <c r="A2890" s="3" t="n">
        <v>2889</v>
      </c>
      <c r="B2890" s="3" t="n">
        <v>2888</v>
      </c>
      <c r="C2890" s="3" t="n">
        <v>14</v>
      </c>
      <c r="D2890" s="3" t="n">
        <v>10</v>
      </c>
      <c r="E2890" s="3" t="n">
        <v>4</v>
      </c>
      <c r="F2890" s="24" t="n">
        <v>0</v>
      </c>
    </row>
    <row r="2891" customFormat="false" ht="15" hidden="false" customHeight="false" outlineLevel="0" collapsed="false">
      <c r="A2891" s="3" t="n">
        <v>2890</v>
      </c>
      <c r="B2891" s="3" t="n">
        <v>2889</v>
      </c>
      <c r="C2891" s="3" t="n">
        <v>14</v>
      </c>
      <c r="D2891" s="3" t="n">
        <v>10</v>
      </c>
      <c r="E2891" s="3" t="n">
        <v>5</v>
      </c>
      <c r="F2891" s="24" t="n">
        <v>0</v>
      </c>
    </row>
    <row r="2892" customFormat="false" ht="15" hidden="false" customHeight="false" outlineLevel="0" collapsed="false">
      <c r="A2892" s="3" t="n">
        <v>2891</v>
      </c>
      <c r="B2892" s="3" t="n">
        <v>2890</v>
      </c>
      <c r="C2892" s="3" t="n">
        <v>14</v>
      </c>
      <c r="D2892" s="3" t="n">
        <v>10</v>
      </c>
      <c r="E2892" s="3" t="n">
        <v>6</v>
      </c>
      <c r="F2892" s="24" t="n">
        <v>0</v>
      </c>
    </row>
    <row r="2893" customFormat="false" ht="15" hidden="false" customHeight="false" outlineLevel="0" collapsed="false">
      <c r="A2893" s="3" t="n">
        <v>2892</v>
      </c>
      <c r="B2893" s="3" t="n">
        <v>2891</v>
      </c>
      <c r="C2893" s="3" t="n">
        <v>14</v>
      </c>
      <c r="D2893" s="3" t="n">
        <v>10</v>
      </c>
      <c r="E2893" s="3" t="n">
        <v>7</v>
      </c>
      <c r="F2893" s="24" t="n">
        <v>2.4294076</v>
      </c>
    </row>
    <row r="2894" customFormat="false" ht="15" hidden="false" customHeight="false" outlineLevel="0" collapsed="false">
      <c r="A2894" s="3" t="n">
        <v>2893</v>
      </c>
      <c r="B2894" s="3" t="n">
        <v>2892</v>
      </c>
      <c r="C2894" s="3" t="n">
        <v>14</v>
      </c>
      <c r="D2894" s="3" t="n">
        <v>10</v>
      </c>
      <c r="E2894" s="3" t="n">
        <v>8</v>
      </c>
      <c r="F2894" s="24" t="n">
        <v>1.35604239</v>
      </c>
    </row>
    <row r="2895" customFormat="false" ht="15" hidden="false" customHeight="false" outlineLevel="0" collapsed="false">
      <c r="A2895" s="3" t="n">
        <v>2894</v>
      </c>
      <c r="B2895" s="3" t="n">
        <v>2893</v>
      </c>
      <c r="C2895" s="3" t="n">
        <v>14</v>
      </c>
      <c r="D2895" s="3" t="n">
        <v>10</v>
      </c>
      <c r="E2895" s="3" t="n">
        <v>9</v>
      </c>
      <c r="F2895" s="24" t="n">
        <v>0</v>
      </c>
    </row>
    <row r="2896" customFormat="false" ht="15" hidden="false" customHeight="false" outlineLevel="0" collapsed="false">
      <c r="A2896" s="3" t="n">
        <v>2895</v>
      </c>
      <c r="B2896" s="3" t="n">
        <v>2894</v>
      </c>
      <c r="C2896" s="3" t="n">
        <v>14</v>
      </c>
      <c r="D2896" s="3" t="n">
        <v>10</v>
      </c>
      <c r="E2896" s="3" t="n">
        <v>10</v>
      </c>
      <c r="F2896" s="24" t="n">
        <v>0</v>
      </c>
    </row>
    <row r="2897" customFormat="false" ht="15" hidden="false" customHeight="false" outlineLevel="0" collapsed="false">
      <c r="A2897" s="3" t="n">
        <v>2896</v>
      </c>
      <c r="B2897" s="3" t="n">
        <v>2895</v>
      </c>
      <c r="C2897" s="3" t="n">
        <v>14</v>
      </c>
      <c r="D2897" s="3" t="n">
        <v>10</v>
      </c>
      <c r="E2897" s="3" t="n">
        <v>11</v>
      </c>
      <c r="F2897" s="24" t="n">
        <v>0</v>
      </c>
    </row>
    <row r="2898" customFormat="false" ht="15" hidden="false" customHeight="false" outlineLevel="0" collapsed="false">
      <c r="A2898" s="3" t="n">
        <v>2897</v>
      </c>
      <c r="B2898" s="3" t="n">
        <v>2896</v>
      </c>
      <c r="C2898" s="3" t="n">
        <v>14</v>
      </c>
      <c r="D2898" s="3" t="n">
        <v>10</v>
      </c>
      <c r="E2898" s="3" t="n">
        <v>12</v>
      </c>
      <c r="F2898" s="24" t="n">
        <v>0</v>
      </c>
    </row>
    <row r="2899" customFormat="false" ht="15" hidden="false" customHeight="false" outlineLevel="0" collapsed="false">
      <c r="A2899" s="3" t="n">
        <v>2898</v>
      </c>
      <c r="B2899" s="3" t="n">
        <v>2897</v>
      </c>
      <c r="C2899" s="3" t="n">
        <v>14</v>
      </c>
      <c r="D2899" s="3" t="n">
        <v>10</v>
      </c>
      <c r="E2899" s="3" t="n">
        <v>13</v>
      </c>
      <c r="F2899" s="24" t="n">
        <v>0.171683058</v>
      </c>
    </row>
    <row r="2900" customFormat="false" ht="15" hidden="false" customHeight="false" outlineLevel="0" collapsed="false">
      <c r="A2900" s="3" t="n">
        <v>2899</v>
      </c>
      <c r="B2900" s="3" t="n">
        <v>2898</v>
      </c>
      <c r="C2900" s="3" t="n">
        <v>14</v>
      </c>
      <c r="D2900" s="3" t="n">
        <v>11</v>
      </c>
      <c r="E2900" s="3" t="n">
        <v>0</v>
      </c>
      <c r="F2900" s="24" t="n">
        <v>0</v>
      </c>
    </row>
    <row r="2901" customFormat="false" ht="15" hidden="false" customHeight="false" outlineLevel="0" collapsed="false">
      <c r="A2901" s="3" t="n">
        <v>2900</v>
      </c>
      <c r="B2901" s="3" t="n">
        <v>2899</v>
      </c>
      <c r="C2901" s="3" t="n">
        <v>14</v>
      </c>
      <c r="D2901" s="3" t="n">
        <v>11</v>
      </c>
      <c r="E2901" s="3" t="n">
        <v>1</v>
      </c>
      <c r="F2901" s="24" t="n">
        <v>0</v>
      </c>
    </row>
    <row r="2902" customFormat="false" ht="15" hidden="false" customHeight="false" outlineLevel="0" collapsed="false">
      <c r="A2902" s="3" t="n">
        <v>2901</v>
      </c>
      <c r="B2902" s="3" t="n">
        <v>2900</v>
      </c>
      <c r="C2902" s="3" t="n">
        <v>14</v>
      </c>
      <c r="D2902" s="3" t="n">
        <v>11</v>
      </c>
      <c r="E2902" s="3" t="n">
        <v>2</v>
      </c>
      <c r="F2902" s="24" t="n">
        <v>0</v>
      </c>
    </row>
    <row r="2903" customFormat="false" ht="15" hidden="false" customHeight="false" outlineLevel="0" collapsed="false">
      <c r="A2903" s="3" t="n">
        <v>2902</v>
      </c>
      <c r="B2903" s="3" t="n">
        <v>2901</v>
      </c>
      <c r="C2903" s="3" t="n">
        <v>14</v>
      </c>
      <c r="D2903" s="3" t="n">
        <v>11</v>
      </c>
      <c r="E2903" s="3" t="n">
        <v>3</v>
      </c>
      <c r="F2903" s="24" t="n">
        <v>0</v>
      </c>
    </row>
    <row r="2904" customFormat="false" ht="15" hidden="false" customHeight="false" outlineLevel="0" collapsed="false">
      <c r="A2904" s="3" t="n">
        <v>2903</v>
      </c>
      <c r="B2904" s="3" t="n">
        <v>2902</v>
      </c>
      <c r="C2904" s="3" t="n">
        <v>14</v>
      </c>
      <c r="D2904" s="3" t="n">
        <v>11</v>
      </c>
      <c r="E2904" s="3" t="n">
        <v>4</v>
      </c>
      <c r="F2904" s="24" t="n">
        <v>0</v>
      </c>
    </row>
    <row r="2905" customFormat="false" ht="15" hidden="false" customHeight="false" outlineLevel="0" collapsed="false">
      <c r="A2905" s="3" t="n">
        <v>2904</v>
      </c>
      <c r="B2905" s="3" t="n">
        <v>2903</v>
      </c>
      <c r="C2905" s="3" t="n">
        <v>14</v>
      </c>
      <c r="D2905" s="3" t="n">
        <v>11</v>
      </c>
      <c r="E2905" s="3" t="n">
        <v>5</v>
      </c>
      <c r="F2905" s="24" t="n">
        <v>0</v>
      </c>
    </row>
    <row r="2906" customFormat="false" ht="15" hidden="false" customHeight="false" outlineLevel="0" collapsed="false">
      <c r="A2906" s="3" t="n">
        <v>2905</v>
      </c>
      <c r="B2906" s="3" t="n">
        <v>2904</v>
      </c>
      <c r="C2906" s="3" t="n">
        <v>14</v>
      </c>
      <c r="D2906" s="3" t="n">
        <v>11</v>
      </c>
      <c r="E2906" s="3" t="n">
        <v>6</v>
      </c>
      <c r="F2906" s="24" t="n">
        <v>1.77272391</v>
      </c>
    </row>
    <row r="2907" customFormat="false" ht="15" hidden="false" customHeight="false" outlineLevel="0" collapsed="false">
      <c r="A2907" s="3" t="n">
        <v>2906</v>
      </c>
      <c r="B2907" s="3" t="n">
        <v>2905</v>
      </c>
      <c r="C2907" s="3" t="n">
        <v>14</v>
      </c>
      <c r="D2907" s="3" t="n">
        <v>11</v>
      </c>
      <c r="E2907" s="3" t="n">
        <v>7</v>
      </c>
      <c r="F2907" s="24" t="n">
        <v>0.129030272</v>
      </c>
    </row>
    <row r="2908" customFormat="false" ht="15" hidden="false" customHeight="false" outlineLevel="0" collapsed="false">
      <c r="A2908" s="3" t="n">
        <v>2907</v>
      </c>
      <c r="B2908" s="3" t="n">
        <v>2906</v>
      </c>
      <c r="C2908" s="3" t="n">
        <v>14</v>
      </c>
      <c r="D2908" s="3" t="n">
        <v>11</v>
      </c>
      <c r="E2908" s="3" t="n">
        <v>8</v>
      </c>
      <c r="F2908" s="24" t="n">
        <v>0</v>
      </c>
    </row>
    <row r="2909" customFormat="false" ht="15" hidden="false" customHeight="false" outlineLevel="0" collapsed="false">
      <c r="A2909" s="3" t="n">
        <v>2908</v>
      </c>
      <c r="B2909" s="3" t="n">
        <v>2907</v>
      </c>
      <c r="C2909" s="3" t="n">
        <v>14</v>
      </c>
      <c r="D2909" s="3" t="n">
        <v>11</v>
      </c>
      <c r="E2909" s="3" t="n">
        <v>9</v>
      </c>
      <c r="F2909" s="24" t="n">
        <v>0</v>
      </c>
    </row>
    <row r="2910" customFormat="false" ht="15" hidden="false" customHeight="false" outlineLevel="0" collapsed="false">
      <c r="A2910" s="3" t="n">
        <v>2909</v>
      </c>
      <c r="B2910" s="3" t="n">
        <v>2908</v>
      </c>
      <c r="C2910" s="3" t="n">
        <v>14</v>
      </c>
      <c r="D2910" s="3" t="n">
        <v>11</v>
      </c>
      <c r="E2910" s="3" t="n">
        <v>10</v>
      </c>
      <c r="F2910" s="24" t="n">
        <v>0</v>
      </c>
    </row>
    <row r="2911" customFormat="false" ht="15" hidden="false" customHeight="false" outlineLevel="0" collapsed="false">
      <c r="A2911" s="3" t="n">
        <v>2910</v>
      </c>
      <c r="B2911" s="3" t="n">
        <v>2909</v>
      </c>
      <c r="C2911" s="3" t="n">
        <v>14</v>
      </c>
      <c r="D2911" s="3" t="n">
        <v>11</v>
      </c>
      <c r="E2911" s="3" t="n">
        <v>11</v>
      </c>
      <c r="F2911" s="24" t="n">
        <v>0</v>
      </c>
    </row>
    <row r="2912" customFormat="false" ht="15" hidden="false" customHeight="false" outlineLevel="0" collapsed="false">
      <c r="A2912" s="3" t="n">
        <v>2911</v>
      </c>
      <c r="B2912" s="3" t="n">
        <v>2910</v>
      </c>
      <c r="C2912" s="3" t="n">
        <v>14</v>
      </c>
      <c r="D2912" s="3" t="n">
        <v>11</v>
      </c>
      <c r="E2912" s="3" t="n">
        <v>12</v>
      </c>
      <c r="F2912" s="24" t="n">
        <v>0</v>
      </c>
    </row>
    <row r="2913" customFormat="false" ht="15" hidden="false" customHeight="false" outlineLevel="0" collapsed="false">
      <c r="A2913" s="3" t="n">
        <v>2912</v>
      </c>
      <c r="B2913" s="3" t="n">
        <v>2911</v>
      </c>
      <c r="C2913" s="3" t="n">
        <v>14</v>
      </c>
      <c r="D2913" s="3" t="n">
        <v>11</v>
      </c>
      <c r="E2913" s="3" t="n">
        <v>13</v>
      </c>
      <c r="F2913" s="24" t="n">
        <v>0.171683058</v>
      </c>
    </row>
    <row r="2914" customFormat="false" ht="15" hidden="false" customHeight="false" outlineLevel="0" collapsed="false">
      <c r="A2914" s="3" t="n">
        <v>2913</v>
      </c>
      <c r="B2914" s="3" t="n">
        <v>2912</v>
      </c>
      <c r="C2914" s="3" t="n">
        <v>14</v>
      </c>
      <c r="D2914" s="3" t="n">
        <v>12</v>
      </c>
      <c r="E2914" s="3" t="n">
        <v>0</v>
      </c>
      <c r="F2914" s="24" t="n">
        <v>0</v>
      </c>
    </row>
    <row r="2915" customFormat="false" ht="15" hidden="false" customHeight="false" outlineLevel="0" collapsed="false">
      <c r="A2915" s="3" t="n">
        <v>2914</v>
      </c>
      <c r="B2915" s="3" t="n">
        <v>2913</v>
      </c>
      <c r="C2915" s="3" t="n">
        <v>14</v>
      </c>
      <c r="D2915" s="3" t="n">
        <v>12</v>
      </c>
      <c r="E2915" s="3" t="n">
        <v>1</v>
      </c>
      <c r="F2915" s="24" t="n">
        <v>0</v>
      </c>
    </row>
    <row r="2916" customFormat="false" ht="15" hidden="false" customHeight="false" outlineLevel="0" collapsed="false">
      <c r="A2916" s="3" t="n">
        <v>2915</v>
      </c>
      <c r="B2916" s="3" t="n">
        <v>2914</v>
      </c>
      <c r="C2916" s="3" t="n">
        <v>14</v>
      </c>
      <c r="D2916" s="3" t="n">
        <v>12</v>
      </c>
      <c r="E2916" s="3" t="n">
        <v>2</v>
      </c>
      <c r="F2916" s="24" t="n">
        <v>0</v>
      </c>
    </row>
    <row r="2917" customFormat="false" ht="15" hidden="false" customHeight="false" outlineLevel="0" collapsed="false">
      <c r="A2917" s="3" t="n">
        <v>2916</v>
      </c>
      <c r="B2917" s="3" t="n">
        <v>2915</v>
      </c>
      <c r="C2917" s="3" t="n">
        <v>14</v>
      </c>
      <c r="D2917" s="3" t="n">
        <v>12</v>
      </c>
      <c r="E2917" s="3" t="n">
        <v>3</v>
      </c>
      <c r="F2917" s="24" t="n">
        <v>0</v>
      </c>
    </row>
    <row r="2918" customFormat="false" ht="15" hidden="false" customHeight="false" outlineLevel="0" collapsed="false">
      <c r="A2918" s="3" t="n">
        <v>2917</v>
      </c>
      <c r="B2918" s="3" t="n">
        <v>2916</v>
      </c>
      <c r="C2918" s="3" t="n">
        <v>14</v>
      </c>
      <c r="D2918" s="3" t="n">
        <v>12</v>
      </c>
      <c r="E2918" s="3" t="n">
        <v>4</v>
      </c>
      <c r="F2918" s="24" t="n">
        <v>0</v>
      </c>
    </row>
    <row r="2919" customFormat="false" ht="15" hidden="false" customHeight="false" outlineLevel="0" collapsed="false">
      <c r="A2919" s="3" t="n">
        <v>2918</v>
      </c>
      <c r="B2919" s="3" t="n">
        <v>2917</v>
      </c>
      <c r="C2919" s="3" t="n">
        <v>14</v>
      </c>
      <c r="D2919" s="3" t="n">
        <v>12</v>
      </c>
      <c r="E2919" s="3" t="n">
        <v>5</v>
      </c>
      <c r="F2919" s="24" t="n">
        <v>0</v>
      </c>
    </row>
    <row r="2920" customFormat="false" ht="15" hidden="false" customHeight="false" outlineLevel="0" collapsed="false">
      <c r="A2920" s="3" t="n">
        <v>2919</v>
      </c>
      <c r="B2920" s="3" t="n">
        <v>2918</v>
      </c>
      <c r="C2920" s="3" t="n">
        <v>14</v>
      </c>
      <c r="D2920" s="3" t="n">
        <v>12</v>
      </c>
      <c r="E2920" s="3" t="n">
        <v>6</v>
      </c>
      <c r="F2920" s="24" t="n">
        <v>3.0135169</v>
      </c>
    </row>
    <row r="2921" customFormat="false" ht="15" hidden="false" customHeight="false" outlineLevel="0" collapsed="false">
      <c r="A2921" s="3" t="n">
        <v>2920</v>
      </c>
      <c r="B2921" s="3" t="n">
        <v>2919</v>
      </c>
      <c r="C2921" s="3" t="n">
        <v>14</v>
      </c>
      <c r="D2921" s="3" t="n">
        <v>12</v>
      </c>
      <c r="E2921" s="3" t="n">
        <v>7</v>
      </c>
      <c r="F2921" s="24" t="n">
        <v>0</v>
      </c>
    </row>
    <row r="2922" customFormat="false" ht="15" hidden="false" customHeight="false" outlineLevel="0" collapsed="false">
      <c r="A2922" s="3" t="n">
        <v>2921</v>
      </c>
      <c r="B2922" s="3" t="n">
        <v>2920</v>
      </c>
      <c r="C2922" s="3" t="n">
        <v>14</v>
      </c>
      <c r="D2922" s="3" t="n">
        <v>12</v>
      </c>
      <c r="E2922" s="3" t="n">
        <v>8</v>
      </c>
      <c r="F2922" s="24" t="n">
        <v>0</v>
      </c>
    </row>
    <row r="2923" customFormat="false" ht="15" hidden="false" customHeight="false" outlineLevel="0" collapsed="false">
      <c r="A2923" s="3" t="n">
        <v>2922</v>
      </c>
      <c r="B2923" s="3" t="n">
        <v>2921</v>
      </c>
      <c r="C2923" s="3" t="n">
        <v>14</v>
      </c>
      <c r="D2923" s="3" t="n">
        <v>12</v>
      </c>
      <c r="E2923" s="3" t="n">
        <v>9</v>
      </c>
      <c r="F2923" s="24" t="n">
        <v>0</v>
      </c>
    </row>
    <row r="2924" customFormat="false" ht="15" hidden="false" customHeight="false" outlineLevel="0" collapsed="false">
      <c r="A2924" s="3" t="n">
        <v>2923</v>
      </c>
      <c r="B2924" s="3" t="n">
        <v>2922</v>
      </c>
      <c r="C2924" s="3" t="n">
        <v>14</v>
      </c>
      <c r="D2924" s="3" t="n">
        <v>12</v>
      </c>
      <c r="E2924" s="3" t="n">
        <v>10</v>
      </c>
      <c r="F2924" s="24" t="n">
        <v>0</v>
      </c>
    </row>
    <row r="2925" customFormat="false" ht="15" hidden="false" customHeight="false" outlineLevel="0" collapsed="false">
      <c r="A2925" s="3" t="n">
        <v>2924</v>
      </c>
      <c r="B2925" s="3" t="n">
        <v>2923</v>
      </c>
      <c r="C2925" s="3" t="n">
        <v>14</v>
      </c>
      <c r="D2925" s="3" t="n">
        <v>12</v>
      </c>
      <c r="E2925" s="3" t="n">
        <v>11</v>
      </c>
      <c r="F2925" s="24" t="n">
        <v>0</v>
      </c>
    </row>
    <row r="2926" customFormat="false" ht="15" hidden="false" customHeight="false" outlineLevel="0" collapsed="false">
      <c r="A2926" s="3" t="n">
        <v>2925</v>
      </c>
      <c r="B2926" s="3" t="n">
        <v>2924</v>
      </c>
      <c r="C2926" s="3" t="n">
        <v>14</v>
      </c>
      <c r="D2926" s="3" t="n">
        <v>12</v>
      </c>
      <c r="E2926" s="3" t="n">
        <v>12</v>
      </c>
      <c r="F2926" s="24" t="n">
        <v>0</v>
      </c>
    </row>
    <row r="2927" customFormat="false" ht="15" hidden="false" customHeight="false" outlineLevel="0" collapsed="false">
      <c r="A2927" s="3" t="n">
        <v>2926</v>
      </c>
      <c r="B2927" s="3" t="n">
        <v>2925</v>
      </c>
      <c r="C2927" s="3" t="n">
        <v>14</v>
      </c>
      <c r="D2927" s="3" t="n">
        <v>12</v>
      </c>
      <c r="E2927" s="3" t="n">
        <v>13</v>
      </c>
      <c r="F2927" s="24" t="n">
        <v>0</v>
      </c>
    </row>
    <row r="2928" customFormat="false" ht="15" hidden="false" customHeight="false" outlineLevel="0" collapsed="false">
      <c r="A2928" s="3" t="n">
        <v>2927</v>
      </c>
      <c r="B2928" s="3" t="n">
        <v>2926</v>
      </c>
      <c r="C2928" s="3" t="n">
        <v>14</v>
      </c>
      <c r="D2928" s="3" t="n">
        <v>13</v>
      </c>
      <c r="E2928" s="3" t="n">
        <v>0</v>
      </c>
      <c r="F2928" s="24" t="n">
        <v>0</v>
      </c>
    </row>
    <row r="2929" customFormat="false" ht="15" hidden="false" customHeight="false" outlineLevel="0" collapsed="false">
      <c r="A2929" s="3" t="n">
        <v>2928</v>
      </c>
      <c r="B2929" s="3" t="n">
        <v>2927</v>
      </c>
      <c r="C2929" s="3" t="n">
        <v>14</v>
      </c>
      <c r="D2929" s="3" t="n">
        <v>13</v>
      </c>
      <c r="E2929" s="3" t="n">
        <v>1</v>
      </c>
      <c r="F2929" s="24" t="n">
        <v>0</v>
      </c>
    </row>
    <row r="2930" customFormat="false" ht="15" hidden="false" customHeight="false" outlineLevel="0" collapsed="false">
      <c r="A2930" s="3" t="n">
        <v>2929</v>
      </c>
      <c r="B2930" s="3" t="n">
        <v>2928</v>
      </c>
      <c r="C2930" s="3" t="n">
        <v>14</v>
      </c>
      <c r="D2930" s="3" t="n">
        <v>13</v>
      </c>
      <c r="E2930" s="3" t="n">
        <v>2</v>
      </c>
      <c r="F2930" s="24" t="n">
        <v>0</v>
      </c>
    </row>
    <row r="2931" customFormat="false" ht="15" hidden="false" customHeight="false" outlineLevel="0" collapsed="false">
      <c r="A2931" s="3" t="n">
        <v>2930</v>
      </c>
      <c r="B2931" s="3" t="n">
        <v>2929</v>
      </c>
      <c r="C2931" s="3" t="n">
        <v>14</v>
      </c>
      <c r="D2931" s="3" t="n">
        <v>13</v>
      </c>
      <c r="E2931" s="3" t="n">
        <v>3</v>
      </c>
      <c r="F2931" s="24" t="n">
        <v>0</v>
      </c>
    </row>
    <row r="2932" customFormat="false" ht="15" hidden="false" customHeight="false" outlineLevel="0" collapsed="false">
      <c r="A2932" s="3" t="n">
        <v>2931</v>
      </c>
      <c r="B2932" s="3" t="n">
        <v>2930</v>
      </c>
      <c r="C2932" s="3" t="n">
        <v>14</v>
      </c>
      <c r="D2932" s="3" t="n">
        <v>13</v>
      </c>
      <c r="E2932" s="3" t="n">
        <v>4</v>
      </c>
      <c r="F2932" s="24" t="n">
        <v>0</v>
      </c>
    </row>
    <row r="2933" customFormat="false" ht="15" hidden="false" customHeight="false" outlineLevel="0" collapsed="false">
      <c r="A2933" s="3" t="n">
        <v>2932</v>
      </c>
      <c r="B2933" s="3" t="n">
        <v>2931</v>
      </c>
      <c r="C2933" s="3" t="n">
        <v>14</v>
      </c>
      <c r="D2933" s="3" t="n">
        <v>13</v>
      </c>
      <c r="E2933" s="3" t="n">
        <v>5</v>
      </c>
      <c r="F2933" s="24" t="n">
        <v>1.87595546</v>
      </c>
    </row>
    <row r="2934" customFormat="false" ht="15" hidden="false" customHeight="false" outlineLevel="0" collapsed="false">
      <c r="A2934" s="3" t="n">
        <v>2933</v>
      </c>
      <c r="B2934" s="3" t="n">
        <v>2932</v>
      </c>
      <c r="C2934" s="3" t="n">
        <v>14</v>
      </c>
      <c r="D2934" s="3" t="n">
        <v>13</v>
      </c>
      <c r="E2934" s="3" t="n">
        <v>6</v>
      </c>
      <c r="F2934" s="24" t="n">
        <v>4.31851149</v>
      </c>
    </row>
    <row r="2935" customFormat="false" ht="15" hidden="false" customHeight="false" outlineLevel="0" collapsed="false">
      <c r="A2935" s="3" t="n">
        <v>2934</v>
      </c>
      <c r="B2935" s="3" t="n">
        <v>2933</v>
      </c>
      <c r="C2935" s="3" t="n">
        <v>14</v>
      </c>
      <c r="D2935" s="3" t="n">
        <v>13</v>
      </c>
      <c r="E2935" s="3" t="n">
        <v>7</v>
      </c>
      <c r="F2935" s="24" t="n">
        <v>0.184080839</v>
      </c>
    </row>
    <row r="2936" customFormat="false" ht="15" hidden="false" customHeight="false" outlineLevel="0" collapsed="false">
      <c r="A2936" s="3" t="n">
        <v>2935</v>
      </c>
      <c r="B2936" s="3" t="n">
        <v>2934</v>
      </c>
      <c r="C2936" s="3" t="n">
        <v>14</v>
      </c>
      <c r="D2936" s="3" t="n">
        <v>13</v>
      </c>
      <c r="E2936" s="3" t="n">
        <v>8</v>
      </c>
      <c r="F2936" s="24" t="n">
        <v>0.0625627935</v>
      </c>
    </row>
    <row r="2937" customFormat="false" ht="15" hidden="false" customHeight="false" outlineLevel="0" collapsed="false">
      <c r="A2937" s="3" t="n">
        <v>2936</v>
      </c>
      <c r="B2937" s="3" t="n">
        <v>2935</v>
      </c>
      <c r="C2937" s="3" t="n">
        <v>14</v>
      </c>
      <c r="D2937" s="3" t="n">
        <v>13</v>
      </c>
      <c r="E2937" s="3" t="n">
        <v>9</v>
      </c>
      <c r="F2937" s="24" t="n">
        <v>0</v>
      </c>
    </row>
    <row r="2938" customFormat="false" ht="15" hidden="false" customHeight="false" outlineLevel="0" collapsed="false">
      <c r="A2938" s="3" t="n">
        <v>2937</v>
      </c>
      <c r="B2938" s="3" t="n">
        <v>2936</v>
      </c>
      <c r="C2938" s="3" t="n">
        <v>14</v>
      </c>
      <c r="D2938" s="3" t="n">
        <v>13</v>
      </c>
      <c r="E2938" s="3" t="n">
        <v>10</v>
      </c>
      <c r="F2938" s="24" t="n">
        <v>0</v>
      </c>
    </row>
    <row r="2939" customFormat="false" ht="15" hidden="false" customHeight="false" outlineLevel="0" collapsed="false">
      <c r="A2939" s="3" t="n">
        <v>2938</v>
      </c>
      <c r="B2939" s="3" t="n">
        <v>2937</v>
      </c>
      <c r="C2939" s="3" t="n">
        <v>14</v>
      </c>
      <c r="D2939" s="3" t="n">
        <v>13</v>
      </c>
      <c r="E2939" s="3" t="n">
        <v>11</v>
      </c>
      <c r="F2939" s="24" t="n">
        <v>0</v>
      </c>
    </row>
    <row r="2940" customFormat="false" ht="15" hidden="false" customHeight="false" outlineLevel="0" collapsed="false">
      <c r="A2940" s="3" t="n">
        <v>2939</v>
      </c>
      <c r="B2940" s="3" t="n">
        <v>2938</v>
      </c>
      <c r="C2940" s="3" t="n">
        <v>14</v>
      </c>
      <c r="D2940" s="3" t="n">
        <v>13</v>
      </c>
      <c r="E2940" s="3" t="n">
        <v>12</v>
      </c>
      <c r="F2940" s="24" t="n">
        <v>0</v>
      </c>
    </row>
    <row r="2941" customFormat="false" ht="15" hidden="false" customHeight="false" outlineLevel="0" collapsed="false">
      <c r="A2941" s="3" t="n">
        <v>2940</v>
      </c>
      <c r="B2941" s="3" t="n">
        <v>2939</v>
      </c>
      <c r="C2941" s="3" t="n">
        <v>14</v>
      </c>
      <c r="D2941" s="3" t="n">
        <v>13</v>
      </c>
      <c r="E2941" s="3" t="n">
        <v>13</v>
      </c>
      <c r="F2941" s="24" t="n">
        <v>0</v>
      </c>
    </row>
    <row r="2942" customFormat="false" ht="15" hidden="false" customHeight="false" outlineLevel="0" collapsed="false">
      <c r="A2942" s="3" t="n">
        <v>2941</v>
      </c>
      <c r="B2942" s="3" t="n">
        <v>2940</v>
      </c>
      <c r="C2942" s="3" t="n">
        <v>15</v>
      </c>
      <c r="D2942" s="3" t="n">
        <v>0</v>
      </c>
      <c r="E2942" s="3" t="n">
        <v>0</v>
      </c>
      <c r="F2942" s="24" t="n">
        <v>0.753347933</v>
      </c>
    </row>
    <row r="2943" customFormat="false" ht="15" hidden="false" customHeight="false" outlineLevel="0" collapsed="false">
      <c r="A2943" s="3" t="n">
        <v>2942</v>
      </c>
      <c r="B2943" s="3" t="n">
        <v>2941</v>
      </c>
      <c r="C2943" s="3" t="n">
        <v>15</v>
      </c>
      <c r="D2943" s="3" t="n">
        <v>0</v>
      </c>
      <c r="E2943" s="3" t="n">
        <v>1</v>
      </c>
      <c r="F2943" s="24" t="n">
        <v>0.831287801</v>
      </c>
    </row>
    <row r="2944" customFormat="false" ht="15" hidden="false" customHeight="false" outlineLevel="0" collapsed="false">
      <c r="A2944" s="3" t="n">
        <v>2943</v>
      </c>
      <c r="B2944" s="3" t="n">
        <v>2942</v>
      </c>
      <c r="C2944" s="3" t="n">
        <v>15</v>
      </c>
      <c r="D2944" s="3" t="n">
        <v>0</v>
      </c>
      <c r="E2944" s="3" t="n">
        <v>2</v>
      </c>
      <c r="F2944" s="24" t="n">
        <v>0.826025844</v>
      </c>
    </row>
    <row r="2945" customFormat="false" ht="15" hidden="false" customHeight="false" outlineLevel="0" collapsed="false">
      <c r="A2945" s="3" t="n">
        <v>2944</v>
      </c>
      <c r="B2945" s="3" t="n">
        <v>2943</v>
      </c>
      <c r="C2945" s="3" t="n">
        <v>15</v>
      </c>
      <c r="D2945" s="3" t="n">
        <v>0</v>
      </c>
      <c r="E2945" s="3" t="n">
        <v>3</v>
      </c>
      <c r="F2945" s="24" t="n">
        <v>0.826025844</v>
      </c>
    </row>
    <row r="2946" customFormat="false" ht="15" hidden="false" customHeight="false" outlineLevel="0" collapsed="false">
      <c r="A2946" s="3" t="n">
        <v>2945</v>
      </c>
      <c r="B2946" s="3" t="n">
        <v>2944</v>
      </c>
      <c r="C2946" s="3" t="n">
        <v>15</v>
      </c>
      <c r="D2946" s="3" t="n">
        <v>0</v>
      </c>
      <c r="E2946" s="3" t="n">
        <v>4</v>
      </c>
      <c r="F2946" s="24" t="n">
        <v>0.826025844</v>
      </c>
    </row>
    <row r="2947" customFormat="false" ht="15" hidden="false" customHeight="false" outlineLevel="0" collapsed="false">
      <c r="A2947" s="3" t="n">
        <v>2946</v>
      </c>
      <c r="B2947" s="3" t="n">
        <v>2945</v>
      </c>
      <c r="C2947" s="3" t="n">
        <v>15</v>
      </c>
      <c r="D2947" s="3" t="n">
        <v>0</v>
      </c>
      <c r="E2947" s="3" t="n">
        <v>5</v>
      </c>
      <c r="F2947" s="24" t="n">
        <v>0.826025844</v>
      </c>
    </row>
    <row r="2948" customFormat="false" ht="15" hidden="false" customHeight="false" outlineLevel="0" collapsed="false">
      <c r="A2948" s="3" t="n">
        <v>2947</v>
      </c>
      <c r="B2948" s="3" t="n">
        <v>2946</v>
      </c>
      <c r="C2948" s="3" t="n">
        <v>15</v>
      </c>
      <c r="D2948" s="3" t="n">
        <v>0</v>
      </c>
      <c r="E2948" s="3" t="n">
        <v>6</v>
      </c>
      <c r="F2948" s="24" t="n">
        <v>0.826025844</v>
      </c>
    </row>
    <row r="2949" customFormat="false" ht="15" hidden="false" customHeight="false" outlineLevel="0" collapsed="false">
      <c r="A2949" s="3" t="n">
        <v>2948</v>
      </c>
      <c r="B2949" s="3" t="n">
        <v>2947</v>
      </c>
      <c r="C2949" s="3" t="n">
        <v>15</v>
      </c>
      <c r="D2949" s="3" t="n">
        <v>0</v>
      </c>
      <c r="E2949" s="3" t="n">
        <v>7</v>
      </c>
      <c r="F2949" s="24" t="n">
        <v>0.826025844</v>
      </c>
    </row>
    <row r="2950" customFormat="false" ht="15" hidden="false" customHeight="false" outlineLevel="0" collapsed="false">
      <c r="A2950" s="3" t="n">
        <v>2949</v>
      </c>
      <c r="B2950" s="3" t="n">
        <v>2948</v>
      </c>
      <c r="C2950" s="3" t="n">
        <v>15</v>
      </c>
      <c r="D2950" s="3" t="n">
        <v>0</v>
      </c>
      <c r="E2950" s="3" t="n">
        <v>8</v>
      </c>
      <c r="F2950" s="24" t="n">
        <v>0.826025844</v>
      </c>
    </row>
    <row r="2951" customFormat="false" ht="15" hidden="false" customHeight="false" outlineLevel="0" collapsed="false">
      <c r="A2951" s="3" t="n">
        <v>2950</v>
      </c>
      <c r="B2951" s="3" t="n">
        <v>2949</v>
      </c>
      <c r="C2951" s="3" t="n">
        <v>15</v>
      </c>
      <c r="D2951" s="3" t="n">
        <v>0</v>
      </c>
      <c r="E2951" s="3" t="n">
        <v>9</v>
      </c>
      <c r="F2951" s="24" t="n">
        <v>0.826025844</v>
      </c>
    </row>
    <row r="2952" customFormat="false" ht="15" hidden="false" customHeight="false" outlineLevel="0" collapsed="false">
      <c r="A2952" s="3" t="n">
        <v>2951</v>
      </c>
      <c r="B2952" s="3" t="n">
        <v>2950</v>
      </c>
      <c r="C2952" s="3" t="n">
        <v>15</v>
      </c>
      <c r="D2952" s="3" t="n">
        <v>0</v>
      </c>
      <c r="E2952" s="3" t="n">
        <v>10</v>
      </c>
      <c r="F2952" s="24" t="n">
        <v>0.826025844</v>
      </c>
    </row>
    <row r="2953" customFormat="false" ht="15" hidden="false" customHeight="false" outlineLevel="0" collapsed="false">
      <c r="A2953" s="3" t="n">
        <v>2952</v>
      </c>
      <c r="B2953" s="3" t="n">
        <v>2951</v>
      </c>
      <c r="C2953" s="3" t="n">
        <v>15</v>
      </c>
      <c r="D2953" s="3" t="n">
        <v>0</v>
      </c>
      <c r="E2953" s="3" t="n">
        <v>11</v>
      </c>
      <c r="F2953" s="24" t="n">
        <v>0.826025844</v>
      </c>
    </row>
    <row r="2954" customFormat="false" ht="15" hidden="false" customHeight="false" outlineLevel="0" collapsed="false">
      <c r="A2954" s="3" t="n">
        <v>2953</v>
      </c>
      <c r="B2954" s="3" t="n">
        <v>2952</v>
      </c>
      <c r="C2954" s="3" t="n">
        <v>15</v>
      </c>
      <c r="D2954" s="3" t="n">
        <v>0</v>
      </c>
      <c r="E2954" s="3" t="n">
        <v>12</v>
      </c>
      <c r="F2954" s="24" t="n">
        <v>0.657663286</v>
      </c>
    </row>
    <row r="2955" customFormat="false" ht="15" hidden="false" customHeight="false" outlineLevel="0" collapsed="false">
      <c r="A2955" s="3" t="n">
        <v>2954</v>
      </c>
      <c r="B2955" s="3" t="n">
        <v>2953</v>
      </c>
      <c r="C2955" s="3" t="n">
        <v>15</v>
      </c>
      <c r="D2955" s="3" t="n">
        <v>0</v>
      </c>
      <c r="E2955" s="3" t="n">
        <v>13</v>
      </c>
      <c r="F2955" s="24" t="n">
        <v>0.294178784</v>
      </c>
    </row>
    <row r="2956" customFormat="false" ht="15" hidden="false" customHeight="false" outlineLevel="0" collapsed="false">
      <c r="A2956" s="3" t="n">
        <v>2955</v>
      </c>
      <c r="B2956" s="3" t="n">
        <v>2954</v>
      </c>
      <c r="C2956" s="3" t="n">
        <v>15</v>
      </c>
      <c r="D2956" s="3" t="n">
        <v>1</v>
      </c>
      <c r="E2956" s="3" t="n">
        <v>0</v>
      </c>
      <c r="F2956" s="24" t="n">
        <v>0</v>
      </c>
    </row>
    <row r="2957" customFormat="false" ht="15" hidden="false" customHeight="false" outlineLevel="0" collapsed="false">
      <c r="A2957" s="3" t="n">
        <v>2956</v>
      </c>
      <c r="B2957" s="3" t="n">
        <v>2955</v>
      </c>
      <c r="C2957" s="3" t="n">
        <v>15</v>
      </c>
      <c r="D2957" s="3" t="n">
        <v>1</v>
      </c>
      <c r="E2957" s="3" t="n">
        <v>1</v>
      </c>
      <c r="F2957" s="24" t="n">
        <v>0</v>
      </c>
    </row>
    <row r="2958" customFormat="false" ht="15" hidden="false" customHeight="false" outlineLevel="0" collapsed="false">
      <c r="A2958" s="3" t="n">
        <v>2957</v>
      </c>
      <c r="B2958" s="3" t="n">
        <v>2956</v>
      </c>
      <c r="C2958" s="3" t="n">
        <v>15</v>
      </c>
      <c r="D2958" s="3" t="n">
        <v>1</v>
      </c>
      <c r="E2958" s="3" t="n">
        <v>2</v>
      </c>
      <c r="F2958" s="24" t="n">
        <v>0</v>
      </c>
    </row>
    <row r="2959" customFormat="false" ht="15" hidden="false" customHeight="false" outlineLevel="0" collapsed="false">
      <c r="A2959" s="3" t="n">
        <v>2958</v>
      </c>
      <c r="B2959" s="3" t="n">
        <v>2957</v>
      </c>
      <c r="C2959" s="3" t="n">
        <v>15</v>
      </c>
      <c r="D2959" s="3" t="n">
        <v>1</v>
      </c>
      <c r="E2959" s="3" t="n">
        <v>3</v>
      </c>
      <c r="F2959" s="24" t="n">
        <v>0</v>
      </c>
    </row>
    <row r="2960" customFormat="false" ht="15" hidden="false" customHeight="false" outlineLevel="0" collapsed="false">
      <c r="A2960" s="3" t="n">
        <v>2959</v>
      </c>
      <c r="B2960" s="3" t="n">
        <v>2958</v>
      </c>
      <c r="C2960" s="3" t="n">
        <v>15</v>
      </c>
      <c r="D2960" s="3" t="n">
        <v>1</v>
      </c>
      <c r="E2960" s="3" t="n">
        <v>4</v>
      </c>
      <c r="F2960" s="24" t="n">
        <v>0</v>
      </c>
    </row>
    <row r="2961" customFormat="false" ht="15" hidden="false" customHeight="false" outlineLevel="0" collapsed="false">
      <c r="A2961" s="3" t="n">
        <v>2960</v>
      </c>
      <c r="B2961" s="3" t="n">
        <v>2959</v>
      </c>
      <c r="C2961" s="3" t="n">
        <v>15</v>
      </c>
      <c r="D2961" s="3" t="n">
        <v>1</v>
      </c>
      <c r="E2961" s="3" t="n">
        <v>5</v>
      </c>
      <c r="F2961" s="24" t="n">
        <v>0</v>
      </c>
    </row>
    <row r="2962" customFormat="false" ht="15" hidden="false" customHeight="false" outlineLevel="0" collapsed="false">
      <c r="A2962" s="3" t="n">
        <v>2961</v>
      </c>
      <c r="B2962" s="3" t="n">
        <v>2960</v>
      </c>
      <c r="C2962" s="3" t="n">
        <v>15</v>
      </c>
      <c r="D2962" s="3" t="n">
        <v>1</v>
      </c>
      <c r="E2962" s="3" t="n">
        <v>6</v>
      </c>
      <c r="F2962" s="24" t="n">
        <v>0</v>
      </c>
    </row>
    <row r="2963" customFormat="false" ht="15" hidden="false" customHeight="false" outlineLevel="0" collapsed="false">
      <c r="A2963" s="3" t="n">
        <v>2962</v>
      </c>
      <c r="B2963" s="3" t="n">
        <v>2961</v>
      </c>
      <c r="C2963" s="3" t="n">
        <v>15</v>
      </c>
      <c r="D2963" s="3" t="n">
        <v>1</v>
      </c>
      <c r="E2963" s="3" t="n">
        <v>7</v>
      </c>
      <c r="F2963" s="24" t="n">
        <v>0</v>
      </c>
    </row>
    <row r="2964" customFormat="false" ht="15" hidden="false" customHeight="false" outlineLevel="0" collapsed="false">
      <c r="A2964" s="3" t="n">
        <v>2963</v>
      </c>
      <c r="B2964" s="3" t="n">
        <v>2962</v>
      </c>
      <c r="C2964" s="3" t="n">
        <v>15</v>
      </c>
      <c r="D2964" s="3" t="n">
        <v>1</v>
      </c>
      <c r="E2964" s="3" t="n">
        <v>8</v>
      </c>
      <c r="F2964" s="24" t="n">
        <v>0</v>
      </c>
    </row>
    <row r="2965" customFormat="false" ht="15" hidden="false" customHeight="false" outlineLevel="0" collapsed="false">
      <c r="A2965" s="3" t="n">
        <v>2964</v>
      </c>
      <c r="B2965" s="3" t="n">
        <v>2963</v>
      </c>
      <c r="C2965" s="3" t="n">
        <v>15</v>
      </c>
      <c r="D2965" s="3" t="n">
        <v>1</v>
      </c>
      <c r="E2965" s="3" t="n">
        <v>9</v>
      </c>
      <c r="F2965" s="24" t="n">
        <v>0</v>
      </c>
    </row>
    <row r="2966" customFormat="false" ht="15" hidden="false" customHeight="false" outlineLevel="0" collapsed="false">
      <c r="A2966" s="3" t="n">
        <v>2965</v>
      </c>
      <c r="B2966" s="3" t="n">
        <v>2964</v>
      </c>
      <c r="C2966" s="3" t="n">
        <v>15</v>
      </c>
      <c r="D2966" s="3" t="n">
        <v>1</v>
      </c>
      <c r="E2966" s="3" t="n">
        <v>10</v>
      </c>
      <c r="F2966" s="24" t="n">
        <v>0</v>
      </c>
    </row>
    <row r="2967" customFormat="false" ht="15" hidden="false" customHeight="false" outlineLevel="0" collapsed="false">
      <c r="A2967" s="3" t="n">
        <v>2966</v>
      </c>
      <c r="B2967" s="3" t="n">
        <v>2965</v>
      </c>
      <c r="C2967" s="3" t="n">
        <v>15</v>
      </c>
      <c r="D2967" s="3" t="n">
        <v>1</v>
      </c>
      <c r="E2967" s="3" t="n">
        <v>11</v>
      </c>
      <c r="F2967" s="24" t="n">
        <v>0</v>
      </c>
    </row>
    <row r="2968" customFormat="false" ht="15" hidden="false" customHeight="false" outlineLevel="0" collapsed="false">
      <c r="A2968" s="3" t="n">
        <v>2967</v>
      </c>
      <c r="B2968" s="3" t="n">
        <v>2966</v>
      </c>
      <c r="C2968" s="3" t="n">
        <v>15</v>
      </c>
      <c r="D2968" s="3" t="n">
        <v>1</v>
      </c>
      <c r="E2968" s="3" t="n">
        <v>12</v>
      </c>
      <c r="F2968" s="24" t="n">
        <v>0</v>
      </c>
    </row>
    <row r="2969" customFormat="false" ht="15" hidden="false" customHeight="false" outlineLevel="0" collapsed="false">
      <c r="A2969" s="3" t="n">
        <v>2968</v>
      </c>
      <c r="B2969" s="3" t="n">
        <v>2967</v>
      </c>
      <c r="C2969" s="3" t="n">
        <v>15</v>
      </c>
      <c r="D2969" s="3" t="n">
        <v>1</v>
      </c>
      <c r="E2969" s="3" t="n">
        <v>13</v>
      </c>
      <c r="F2969" s="24" t="n">
        <v>0</v>
      </c>
    </row>
    <row r="2970" customFormat="false" ht="15" hidden="false" customHeight="false" outlineLevel="0" collapsed="false">
      <c r="A2970" s="3" t="n">
        <v>2969</v>
      </c>
      <c r="B2970" s="3" t="n">
        <v>2968</v>
      </c>
      <c r="C2970" s="3" t="n">
        <v>15</v>
      </c>
      <c r="D2970" s="3" t="n">
        <v>2</v>
      </c>
      <c r="E2970" s="3" t="n">
        <v>0</v>
      </c>
      <c r="F2970" s="24" t="n">
        <v>0.158075586</v>
      </c>
    </row>
    <row r="2971" customFormat="false" ht="15" hidden="false" customHeight="false" outlineLevel="0" collapsed="false">
      <c r="A2971" s="3" t="n">
        <v>2970</v>
      </c>
      <c r="B2971" s="3" t="n">
        <v>2969</v>
      </c>
      <c r="C2971" s="3" t="n">
        <v>15</v>
      </c>
      <c r="D2971" s="3" t="n">
        <v>2</v>
      </c>
      <c r="E2971" s="3" t="n">
        <v>1</v>
      </c>
      <c r="F2971" s="24" t="n">
        <v>0</v>
      </c>
    </row>
    <row r="2972" customFormat="false" ht="15" hidden="false" customHeight="false" outlineLevel="0" collapsed="false">
      <c r="A2972" s="3" t="n">
        <v>2971</v>
      </c>
      <c r="B2972" s="3" t="n">
        <v>2970</v>
      </c>
      <c r="C2972" s="3" t="n">
        <v>15</v>
      </c>
      <c r="D2972" s="3" t="n">
        <v>2</v>
      </c>
      <c r="E2972" s="3" t="n">
        <v>2</v>
      </c>
      <c r="F2972" s="24" t="n">
        <v>0</v>
      </c>
    </row>
    <row r="2973" customFormat="false" ht="15" hidden="false" customHeight="false" outlineLevel="0" collapsed="false">
      <c r="A2973" s="3" t="n">
        <v>2972</v>
      </c>
      <c r="B2973" s="3" t="n">
        <v>2971</v>
      </c>
      <c r="C2973" s="3" t="n">
        <v>15</v>
      </c>
      <c r="D2973" s="3" t="n">
        <v>2</v>
      </c>
      <c r="E2973" s="3" t="n">
        <v>3</v>
      </c>
      <c r="F2973" s="24" t="n">
        <v>0</v>
      </c>
    </row>
    <row r="2974" customFormat="false" ht="15" hidden="false" customHeight="false" outlineLevel="0" collapsed="false">
      <c r="A2974" s="3" t="n">
        <v>2973</v>
      </c>
      <c r="B2974" s="3" t="n">
        <v>2972</v>
      </c>
      <c r="C2974" s="3" t="n">
        <v>15</v>
      </c>
      <c r="D2974" s="3" t="n">
        <v>2</v>
      </c>
      <c r="E2974" s="3" t="n">
        <v>4</v>
      </c>
      <c r="F2974" s="24" t="n">
        <v>0</v>
      </c>
    </row>
    <row r="2975" customFormat="false" ht="15" hidden="false" customHeight="false" outlineLevel="0" collapsed="false">
      <c r="A2975" s="3" t="n">
        <v>2974</v>
      </c>
      <c r="B2975" s="3" t="n">
        <v>2973</v>
      </c>
      <c r="C2975" s="3" t="n">
        <v>15</v>
      </c>
      <c r="D2975" s="3" t="n">
        <v>2</v>
      </c>
      <c r="E2975" s="3" t="n">
        <v>5</v>
      </c>
      <c r="F2975" s="24" t="n">
        <v>0</v>
      </c>
    </row>
    <row r="2976" customFormat="false" ht="15" hidden="false" customHeight="false" outlineLevel="0" collapsed="false">
      <c r="A2976" s="3" t="n">
        <v>2975</v>
      </c>
      <c r="B2976" s="3" t="n">
        <v>2974</v>
      </c>
      <c r="C2976" s="3" t="n">
        <v>15</v>
      </c>
      <c r="D2976" s="3" t="n">
        <v>2</v>
      </c>
      <c r="E2976" s="3" t="n">
        <v>6</v>
      </c>
      <c r="F2976" s="24" t="n">
        <v>0</v>
      </c>
    </row>
    <row r="2977" customFormat="false" ht="15" hidden="false" customHeight="false" outlineLevel="0" collapsed="false">
      <c r="A2977" s="3" t="n">
        <v>2976</v>
      </c>
      <c r="B2977" s="3" t="n">
        <v>2975</v>
      </c>
      <c r="C2977" s="3" t="n">
        <v>15</v>
      </c>
      <c r="D2977" s="3" t="n">
        <v>2</v>
      </c>
      <c r="E2977" s="3" t="n">
        <v>7</v>
      </c>
      <c r="F2977" s="24" t="n">
        <v>0</v>
      </c>
    </row>
    <row r="2978" customFormat="false" ht="15" hidden="false" customHeight="false" outlineLevel="0" collapsed="false">
      <c r="A2978" s="3" t="n">
        <v>2977</v>
      </c>
      <c r="B2978" s="3" t="n">
        <v>2976</v>
      </c>
      <c r="C2978" s="3" t="n">
        <v>15</v>
      </c>
      <c r="D2978" s="3" t="n">
        <v>2</v>
      </c>
      <c r="E2978" s="3" t="n">
        <v>8</v>
      </c>
      <c r="F2978" s="24" t="n">
        <v>0</v>
      </c>
    </row>
    <row r="2979" customFormat="false" ht="15" hidden="false" customHeight="false" outlineLevel="0" collapsed="false">
      <c r="A2979" s="3" t="n">
        <v>2978</v>
      </c>
      <c r="B2979" s="3" t="n">
        <v>2977</v>
      </c>
      <c r="C2979" s="3" t="n">
        <v>15</v>
      </c>
      <c r="D2979" s="3" t="n">
        <v>2</v>
      </c>
      <c r="E2979" s="3" t="n">
        <v>9</v>
      </c>
      <c r="F2979" s="24" t="n">
        <v>0</v>
      </c>
    </row>
    <row r="2980" customFormat="false" ht="15" hidden="false" customHeight="false" outlineLevel="0" collapsed="false">
      <c r="A2980" s="3" t="n">
        <v>2979</v>
      </c>
      <c r="B2980" s="3" t="n">
        <v>2978</v>
      </c>
      <c r="C2980" s="3" t="n">
        <v>15</v>
      </c>
      <c r="D2980" s="3" t="n">
        <v>2</v>
      </c>
      <c r="E2980" s="3" t="n">
        <v>10</v>
      </c>
      <c r="F2980" s="24" t="n">
        <v>0</v>
      </c>
    </row>
    <row r="2981" customFormat="false" ht="15" hidden="false" customHeight="false" outlineLevel="0" collapsed="false">
      <c r="A2981" s="3" t="n">
        <v>2980</v>
      </c>
      <c r="B2981" s="3" t="n">
        <v>2979</v>
      </c>
      <c r="C2981" s="3" t="n">
        <v>15</v>
      </c>
      <c r="D2981" s="3" t="n">
        <v>2</v>
      </c>
      <c r="E2981" s="3" t="n">
        <v>11</v>
      </c>
      <c r="F2981" s="24" t="n">
        <v>0</v>
      </c>
    </row>
    <row r="2982" customFormat="false" ht="15" hidden="false" customHeight="false" outlineLevel="0" collapsed="false">
      <c r="A2982" s="3" t="n">
        <v>2981</v>
      </c>
      <c r="B2982" s="3" t="n">
        <v>2980</v>
      </c>
      <c r="C2982" s="3" t="n">
        <v>15</v>
      </c>
      <c r="D2982" s="3" t="n">
        <v>2</v>
      </c>
      <c r="E2982" s="3" t="n">
        <v>12</v>
      </c>
      <c r="F2982" s="24" t="n">
        <v>0</v>
      </c>
    </row>
    <row r="2983" customFormat="false" ht="15" hidden="false" customHeight="false" outlineLevel="0" collapsed="false">
      <c r="A2983" s="3" t="n">
        <v>2982</v>
      </c>
      <c r="B2983" s="3" t="n">
        <v>2981</v>
      </c>
      <c r="C2983" s="3" t="n">
        <v>15</v>
      </c>
      <c r="D2983" s="3" t="n">
        <v>2</v>
      </c>
      <c r="E2983" s="3" t="n">
        <v>13</v>
      </c>
      <c r="F2983" s="24" t="n">
        <v>0</v>
      </c>
    </row>
    <row r="2984" customFormat="false" ht="15" hidden="false" customHeight="false" outlineLevel="0" collapsed="false">
      <c r="A2984" s="3" t="n">
        <v>2983</v>
      </c>
      <c r="B2984" s="3" t="n">
        <v>2982</v>
      </c>
      <c r="C2984" s="3" t="n">
        <v>15</v>
      </c>
      <c r="D2984" s="3" t="n">
        <v>3</v>
      </c>
      <c r="E2984" s="3" t="n">
        <v>0</v>
      </c>
      <c r="F2984" s="24" t="n">
        <v>0.158075586</v>
      </c>
    </row>
    <row r="2985" customFormat="false" ht="15" hidden="false" customHeight="false" outlineLevel="0" collapsed="false">
      <c r="A2985" s="3" t="n">
        <v>2984</v>
      </c>
      <c r="B2985" s="3" t="n">
        <v>2983</v>
      </c>
      <c r="C2985" s="3" t="n">
        <v>15</v>
      </c>
      <c r="D2985" s="3" t="n">
        <v>3</v>
      </c>
      <c r="E2985" s="3" t="n">
        <v>1</v>
      </c>
      <c r="F2985" s="24" t="n">
        <v>0</v>
      </c>
    </row>
    <row r="2986" customFormat="false" ht="15" hidden="false" customHeight="false" outlineLevel="0" collapsed="false">
      <c r="A2986" s="3" t="n">
        <v>2985</v>
      </c>
      <c r="B2986" s="3" t="n">
        <v>2984</v>
      </c>
      <c r="C2986" s="3" t="n">
        <v>15</v>
      </c>
      <c r="D2986" s="3" t="n">
        <v>3</v>
      </c>
      <c r="E2986" s="3" t="n">
        <v>2</v>
      </c>
      <c r="F2986" s="24" t="n">
        <v>1.99768877</v>
      </c>
    </row>
    <row r="2987" customFormat="false" ht="15" hidden="false" customHeight="false" outlineLevel="0" collapsed="false">
      <c r="A2987" s="3" t="n">
        <v>2986</v>
      </c>
      <c r="B2987" s="3" t="n">
        <v>2985</v>
      </c>
      <c r="C2987" s="3" t="n">
        <v>15</v>
      </c>
      <c r="D2987" s="3" t="n">
        <v>3</v>
      </c>
      <c r="E2987" s="3" t="n">
        <v>3</v>
      </c>
      <c r="F2987" s="24" t="n">
        <v>2.90404892</v>
      </c>
    </row>
    <row r="2988" customFormat="false" ht="15" hidden="false" customHeight="false" outlineLevel="0" collapsed="false">
      <c r="A2988" s="3" t="n">
        <v>2987</v>
      </c>
      <c r="B2988" s="3" t="n">
        <v>2986</v>
      </c>
      <c r="C2988" s="3" t="n">
        <v>15</v>
      </c>
      <c r="D2988" s="3" t="n">
        <v>3</v>
      </c>
      <c r="E2988" s="3" t="n">
        <v>4</v>
      </c>
      <c r="F2988" s="24" t="n">
        <v>0.239556327</v>
      </c>
    </row>
    <row r="2989" customFormat="false" ht="15" hidden="false" customHeight="false" outlineLevel="0" collapsed="false">
      <c r="A2989" s="3" t="n">
        <v>2988</v>
      </c>
      <c r="B2989" s="3" t="n">
        <v>2987</v>
      </c>
      <c r="C2989" s="3" t="n">
        <v>15</v>
      </c>
      <c r="D2989" s="3" t="n">
        <v>3</v>
      </c>
      <c r="E2989" s="3" t="n">
        <v>5</v>
      </c>
      <c r="F2989" s="24" t="n">
        <v>0</v>
      </c>
    </row>
    <row r="2990" customFormat="false" ht="15" hidden="false" customHeight="false" outlineLevel="0" collapsed="false">
      <c r="A2990" s="3" t="n">
        <v>2989</v>
      </c>
      <c r="B2990" s="3" t="n">
        <v>2988</v>
      </c>
      <c r="C2990" s="3" t="n">
        <v>15</v>
      </c>
      <c r="D2990" s="3" t="n">
        <v>3</v>
      </c>
      <c r="E2990" s="3" t="n">
        <v>6</v>
      </c>
      <c r="F2990" s="24" t="n">
        <v>0</v>
      </c>
    </row>
    <row r="2991" customFormat="false" ht="15" hidden="false" customHeight="false" outlineLevel="0" collapsed="false">
      <c r="A2991" s="3" t="n">
        <v>2990</v>
      </c>
      <c r="B2991" s="3" t="n">
        <v>2989</v>
      </c>
      <c r="C2991" s="3" t="n">
        <v>15</v>
      </c>
      <c r="D2991" s="3" t="n">
        <v>3</v>
      </c>
      <c r="E2991" s="3" t="n">
        <v>7</v>
      </c>
      <c r="F2991" s="24" t="n">
        <v>0</v>
      </c>
    </row>
    <row r="2992" customFormat="false" ht="15" hidden="false" customHeight="false" outlineLevel="0" collapsed="false">
      <c r="A2992" s="3" t="n">
        <v>2991</v>
      </c>
      <c r="B2992" s="3" t="n">
        <v>2990</v>
      </c>
      <c r="C2992" s="3" t="n">
        <v>15</v>
      </c>
      <c r="D2992" s="3" t="n">
        <v>3</v>
      </c>
      <c r="E2992" s="3" t="n">
        <v>8</v>
      </c>
      <c r="F2992" s="24" t="n">
        <v>0</v>
      </c>
    </row>
    <row r="2993" customFormat="false" ht="15" hidden="false" customHeight="false" outlineLevel="0" collapsed="false">
      <c r="A2993" s="3" t="n">
        <v>2992</v>
      </c>
      <c r="B2993" s="3" t="n">
        <v>2991</v>
      </c>
      <c r="C2993" s="3" t="n">
        <v>15</v>
      </c>
      <c r="D2993" s="3" t="n">
        <v>3</v>
      </c>
      <c r="E2993" s="3" t="n">
        <v>9</v>
      </c>
      <c r="F2993" s="24" t="n">
        <v>0</v>
      </c>
    </row>
    <row r="2994" customFormat="false" ht="15" hidden="false" customHeight="false" outlineLevel="0" collapsed="false">
      <c r="A2994" s="3" t="n">
        <v>2993</v>
      </c>
      <c r="B2994" s="3" t="n">
        <v>2992</v>
      </c>
      <c r="C2994" s="3" t="n">
        <v>15</v>
      </c>
      <c r="D2994" s="3" t="n">
        <v>3</v>
      </c>
      <c r="E2994" s="3" t="n">
        <v>10</v>
      </c>
      <c r="F2994" s="24" t="n">
        <v>0</v>
      </c>
    </row>
    <row r="2995" customFormat="false" ht="15" hidden="false" customHeight="false" outlineLevel="0" collapsed="false">
      <c r="A2995" s="3" t="n">
        <v>2994</v>
      </c>
      <c r="B2995" s="3" t="n">
        <v>2993</v>
      </c>
      <c r="C2995" s="3" t="n">
        <v>15</v>
      </c>
      <c r="D2995" s="3" t="n">
        <v>3</v>
      </c>
      <c r="E2995" s="3" t="n">
        <v>11</v>
      </c>
      <c r="F2995" s="24" t="n">
        <v>0</v>
      </c>
    </row>
    <row r="2996" customFormat="false" ht="15" hidden="false" customHeight="false" outlineLevel="0" collapsed="false">
      <c r="A2996" s="3" t="n">
        <v>2995</v>
      </c>
      <c r="B2996" s="3" t="n">
        <v>2994</v>
      </c>
      <c r="C2996" s="3" t="n">
        <v>15</v>
      </c>
      <c r="D2996" s="3" t="n">
        <v>3</v>
      </c>
      <c r="E2996" s="3" t="n">
        <v>12</v>
      </c>
      <c r="F2996" s="24" t="n">
        <v>0</v>
      </c>
    </row>
    <row r="2997" customFormat="false" ht="15" hidden="false" customHeight="false" outlineLevel="0" collapsed="false">
      <c r="A2997" s="3" t="n">
        <v>2996</v>
      </c>
      <c r="B2997" s="3" t="n">
        <v>2995</v>
      </c>
      <c r="C2997" s="3" t="n">
        <v>15</v>
      </c>
      <c r="D2997" s="3" t="n">
        <v>3</v>
      </c>
      <c r="E2997" s="3" t="n">
        <v>13</v>
      </c>
      <c r="F2997" s="24" t="n">
        <v>0</v>
      </c>
    </row>
    <row r="2998" customFormat="false" ht="15" hidden="false" customHeight="false" outlineLevel="0" collapsed="false">
      <c r="A2998" s="3" t="n">
        <v>2997</v>
      </c>
      <c r="B2998" s="3" t="n">
        <v>2996</v>
      </c>
      <c r="C2998" s="3" t="n">
        <v>15</v>
      </c>
      <c r="D2998" s="3" t="n">
        <v>4</v>
      </c>
      <c r="E2998" s="3" t="n">
        <v>0</v>
      </c>
      <c r="F2998" s="24" t="n">
        <v>0.158075586</v>
      </c>
    </row>
    <row r="2999" customFormat="false" ht="15" hidden="false" customHeight="false" outlineLevel="0" collapsed="false">
      <c r="A2999" s="3" t="n">
        <v>2998</v>
      </c>
      <c r="B2999" s="3" t="n">
        <v>2997</v>
      </c>
      <c r="C2999" s="3" t="n">
        <v>15</v>
      </c>
      <c r="D2999" s="3" t="n">
        <v>4</v>
      </c>
      <c r="E2999" s="3" t="n">
        <v>1</v>
      </c>
      <c r="F2999" s="24" t="n">
        <v>0</v>
      </c>
    </row>
    <row r="3000" customFormat="false" ht="15" hidden="false" customHeight="false" outlineLevel="0" collapsed="false">
      <c r="A3000" s="3" t="n">
        <v>2999</v>
      </c>
      <c r="B3000" s="3" t="n">
        <v>2998</v>
      </c>
      <c r="C3000" s="3" t="n">
        <v>15</v>
      </c>
      <c r="D3000" s="3" t="n">
        <v>4</v>
      </c>
      <c r="E3000" s="3" t="n">
        <v>2</v>
      </c>
      <c r="F3000" s="24" t="n">
        <v>1.22335732</v>
      </c>
    </row>
    <row r="3001" customFormat="false" ht="15" hidden="false" customHeight="false" outlineLevel="0" collapsed="false">
      <c r="A3001" s="3" t="n">
        <v>3000</v>
      </c>
      <c r="B3001" s="3" t="n">
        <v>2999</v>
      </c>
      <c r="C3001" s="3" t="n">
        <v>15</v>
      </c>
      <c r="D3001" s="3" t="n">
        <v>4</v>
      </c>
      <c r="E3001" s="3" t="n">
        <v>3</v>
      </c>
      <c r="F3001" s="24" t="n">
        <v>4.86983681</v>
      </c>
    </row>
    <row r="3002" customFormat="false" ht="15" hidden="false" customHeight="false" outlineLevel="0" collapsed="false">
      <c r="A3002" s="3" t="n">
        <v>3001</v>
      </c>
      <c r="B3002" s="3" t="n">
        <v>3000</v>
      </c>
      <c r="C3002" s="3" t="n">
        <v>15</v>
      </c>
      <c r="D3002" s="3" t="n">
        <v>4</v>
      </c>
      <c r="E3002" s="3" t="n">
        <v>4</v>
      </c>
      <c r="F3002" s="24" t="n">
        <v>9.33661747</v>
      </c>
    </row>
    <row r="3003" customFormat="false" ht="15" hidden="false" customHeight="false" outlineLevel="0" collapsed="false">
      <c r="A3003" s="3" t="n">
        <v>3002</v>
      </c>
      <c r="B3003" s="3" t="n">
        <v>3001</v>
      </c>
      <c r="C3003" s="3" t="n">
        <v>15</v>
      </c>
      <c r="D3003" s="3" t="n">
        <v>4</v>
      </c>
      <c r="E3003" s="3" t="n">
        <v>5</v>
      </c>
      <c r="F3003" s="24" t="n">
        <v>10.3309345</v>
      </c>
    </row>
    <row r="3004" customFormat="false" ht="15" hidden="false" customHeight="false" outlineLevel="0" collapsed="false">
      <c r="A3004" s="3" t="n">
        <v>3003</v>
      </c>
      <c r="B3004" s="3" t="n">
        <v>3002</v>
      </c>
      <c r="C3004" s="3" t="n">
        <v>15</v>
      </c>
      <c r="D3004" s="3" t="n">
        <v>4</v>
      </c>
      <c r="E3004" s="3" t="n">
        <v>6</v>
      </c>
      <c r="F3004" s="24" t="n">
        <v>9.93035889</v>
      </c>
    </row>
    <row r="3005" customFormat="false" ht="15" hidden="false" customHeight="false" outlineLevel="0" collapsed="false">
      <c r="A3005" s="3" t="n">
        <v>3004</v>
      </c>
      <c r="B3005" s="3" t="n">
        <v>3003</v>
      </c>
      <c r="C3005" s="3" t="n">
        <v>15</v>
      </c>
      <c r="D3005" s="3" t="n">
        <v>4</v>
      </c>
      <c r="E3005" s="3" t="n">
        <v>7</v>
      </c>
      <c r="F3005" s="24" t="n">
        <v>8.93110085</v>
      </c>
    </row>
    <row r="3006" customFormat="false" ht="15" hidden="false" customHeight="false" outlineLevel="0" collapsed="false">
      <c r="A3006" s="3" t="n">
        <v>3005</v>
      </c>
      <c r="B3006" s="3" t="n">
        <v>3004</v>
      </c>
      <c r="C3006" s="3" t="n">
        <v>15</v>
      </c>
      <c r="D3006" s="3" t="n">
        <v>4</v>
      </c>
      <c r="E3006" s="3" t="n">
        <v>8</v>
      </c>
      <c r="F3006" s="24" t="n">
        <v>8.72967529</v>
      </c>
    </row>
    <row r="3007" customFormat="false" ht="15" hidden="false" customHeight="false" outlineLevel="0" collapsed="false">
      <c r="A3007" s="3" t="n">
        <v>3006</v>
      </c>
      <c r="B3007" s="3" t="n">
        <v>3005</v>
      </c>
      <c r="C3007" s="3" t="n">
        <v>15</v>
      </c>
      <c r="D3007" s="3" t="n">
        <v>4</v>
      </c>
      <c r="E3007" s="3" t="n">
        <v>9</v>
      </c>
      <c r="F3007" s="24" t="n">
        <v>6.08521795</v>
      </c>
    </row>
    <row r="3008" customFormat="false" ht="15" hidden="false" customHeight="false" outlineLevel="0" collapsed="false">
      <c r="A3008" s="3" t="n">
        <v>3007</v>
      </c>
      <c r="B3008" s="3" t="n">
        <v>3006</v>
      </c>
      <c r="C3008" s="3" t="n">
        <v>15</v>
      </c>
      <c r="D3008" s="3" t="n">
        <v>4</v>
      </c>
      <c r="E3008" s="3" t="n">
        <v>10</v>
      </c>
      <c r="F3008" s="24" t="n">
        <v>2.5661633</v>
      </c>
    </row>
    <row r="3009" customFormat="false" ht="15" hidden="false" customHeight="false" outlineLevel="0" collapsed="false">
      <c r="A3009" s="3" t="n">
        <v>3008</v>
      </c>
      <c r="B3009" s="3" t="n">
        <v>3007</v>
      </c>
      <c r="C3009" s="3" t="n">
        <v>15</v>
      </c>
      <c r="D3009" s="3" t="n">
        <v>4</v>
      </c>
      <c r="E3009" s="3" t="n">
        <v>11</v>
      </c>
      <c r="F3009" s="24" t="n">
        <v>0.803337336</v>
      </c>
    </row>
    <row r="3010" customFormat="false" ht="15" hidden="false" customHeight="false" outlineLevel="0" collapsed="false">
      <c r="A3010" s="3" t="n">
        <v>3009</v>
      </c>
      <c r="B3010" s="3" t="n">
        <v>3008</v>
      </c>
      <c r="C3010" s="3" t="n">
        <v>15</v>
      </c>
      <c r="D3010" s="3" t="n">
        <v>4</v>
      </c>
      <c r="E3010" s="3" t="n">
        <v>12</v>
      </c>
      <c r="F3010" s="24" t="n">
        <v>0</v>
      </c>
    </row>
    <row r="3011" customFormat="false" ht="15" hidden="false" customHeight="false" outlineLevel="0" collapsed="false">
      <c r="A3011" s="3" t="n">
        <v>3010</v>
      </c>
      <c r="B3011" s="3" t="n">
        <v>3009</v>
      </c>
      <c r="C3011" s="3" t="n">
        <v>15</v>
      </c>
      <c r="D3011" s="3" t="n">
        <v>4</v>
      </c>
      <c r="E3011" s="3" t="n">
        <v>13</v>
      </c>
      <c r="F3011" s="24" t="n">
        <v>0</v>
      </c>
    </row>
    <row r="3012" customFormat="false" ht="15" hidden="false" customHeight="false" outlineLevel="0" collapsed="false">
      <c r="A3012" s="3" t="n">
        <v>3011</v>
      </c>
      <c r="B3012" s="3" t="n">
        <v>3010</v>
      </c>
      <c r="C3012" s="3" t="n">
        <v>15</v>
      </c>
      <c r="D3012" s="3" t="n">
        <v>5</v>
      </c>
      <c r="E3012" s="3" t="n">
        <v>0</v>
      </c>
      <c r="F3012" s="24" t="n">
        <v>0.158075586</v>
      </c>
    </row>
    <row r="3013" customFormat="false" ht="15" hidden="false" customHeight="false" outlineLevel="0" collapsed="false">
      <c r="A3013" s="3" t="n">
        <v>3012</v>
      </c>
      <c r="B3013" s="3" t="n">
        <v>3011</v>
      </c>
      <c r="C3013" s="3" t="n">
        <v>15</v>
      </c>
      <c r="D3013" s="3" t="n">
        <v>5</v>
      </c>
      <c r="E3013" s="3" t="n">
        <v>1</v>
      </c>
      <c r="F3013" s="24" t="n">
        <v>0</v>
      </c>
    </row>
    <row r="3014" customFormat="false" ht="15" hidden="false" customHeight="false" outlineLevel="0" collapsed="false">
      <c r="A3014" s="3" t="n">
        <v>3013</v>
      </c>
      <c r="B3014" s="3" t="n">
        <v>3012</v>
      </c>
      <c r="C3014" s="3" t="n">
        <v>15</v>
      </c>
      <c r="D3014" s="3" t="n">
        <v>5</v>
      </c>
      <c r="E3014" s="3" t="n">
        <v>2</v>
      </c>
      <c r="F3014" s="24" t="n">
        <v>0</v>
      </c>
    </row>
    <row r="3015" customFormat="false" ht="15" hidden="false" customHeight="false" outlineLevel="0" collapsed="false">
      <c r="A3015" s="3" t="n">
        <v>3014</v>
      </c>
      <c r="B3015" s="3" t="n">
        <v>3013</v>
      </c>
      <c r="C3015" s="3" t="n">
        <v>15</v>
      </c>
      <c r="D3015" s="3" t="n">
        <v>5</v>
      </c>
      <c r="E3015" s="3" t="n">
        <v>3</v>
      </c>
      <c r="F3015" s="24" t="n">
        <v>0</v>
      </c>
    </row>
    <row r="3016" customFormat="false" ht="15" hidden="false" customHeight="false" outlineLevel="0" collapsed="false">
      <c r="A3016" s="3" t="n">
        <v>3015</v>
      </c>
      <c r="B3016" s="3" t="n">
        <v>3014</v>
      </c>
      <c r="C3016" s="3" t="n">
        <v>15</v>
      </c>
      <c r="D3016" s="3" t="n">
        <v>5</v>
      </c>
      <c r="E3016" s="3" t="n">
        <v>4</v>
      </c>
      <c r="F3016" s="24" t="n">
        <v>0.753188014</v>
      </c>
    </row>
    <row r="3017" customFormat="false" ht="15" hidden="false" customHeight="false" outlineLevel="0" collapsed="false">
      <c r="A3017" s="3" t="n">
        <v>3016</v>
      </c>
      <c r="B3017" s="3" t="n">
        <v>3015</v>
      </c>
      <c r="C3017" s="3" t="n">
        <v>15</v>
      </c>
      <c r="D3017" s="3" t="n">
        <v>5</v>
      </c>
      <c r="E3017" s="3" t="n">
        <v>5</v>
      </c>
      <c r="F3017" s="24" t="n">
        <v>2.35475397</v>
      </c>
    </row>
    <row r="3018" customFormat="false" ht="15" hidden="false" customHeight="false" outlineLevel="0" collapsed="false">
      <c r="A3018" s="3" t="n">
        <v>3017</v>
      </c>
      <c r="B3018" s="3" t="n">
        <v>3016</v>
      </c>
      <c r="C3018" s="3" t="n">
        <v>15</v>
      </c>
      <c r="D3018" s="3" t="n">
        <v>5</v>
      </c>
      <c r="E3018" s="3" t="n">
        <v>6</v>
      </c>
      <c r="F3018" s="24" t="n">
        <v>3.7527101</v>
      </c>
    </row>
    <row r="3019" customFormat="false" ht="15" hidden="false" customHeight="false" outlineLevel="0" collapsed="false">
      <c r="A3019" s="3" t="n">
        <v>3018</v>
      </c>
      <c r="B3019" s="3" t="n">
        <v>3017</v>
      </c>
      <c r="C3019" s="3" t="n">
        <v>15</v>
      </c>
      <c r="D3019" s="3" t="n">
        <v>5</v>
      </c>
      <c r="E3019" s="3" t="n">
        <v>7</v>
      </c>
      <c r="F3019" s="24" t="n">
        <v>3.56626844</v>
      </c>
    </row>
    <row r="3020" customFormat="false" ht="15" hidden="false" customHeight="false" outlineLevel="0" collapsed="false">
      <c r="A3020" s="3" t="n">
        <v>3019</v>
      </c>
      <c r="B3020" s="3" t="n">
        <v>3018</v>
      </c>
      <c r="C3020" s="3" t="n">
        <v>15</v>
      </c>
      <c r="D3020" s="3" t="n">
        <v>5</v>
      </c>
      <c r="E3020" s="3" t="n">
        <v>8</v>
      </c>
      <c r="F3020" s="24" t="n">
        <v>2.71424937</v>
      </c>
    </row>
    <row r="3021" customFormat="false" ht="15" hidden="false" customHeight="false" outlineLevel="0" collapsed="false">
      <c r="A3021" s="3" t="n">
        <v>3020</v>
      </c>
      <c r="B3021" s="3" t="n">
        <v>3019</v>
      </c>
      <c r="C3021" s="3" t="n">
        <v>15</v>
      </c>
      <c r="D3021" s="3" t="n">
        <v>5</v>
      </c>
      <c r="E3021" s="3" t="n">
        <v>9</v>
      </c>
      <c r="F3021" s="24" t="n">
        <v>0</v>
      </c>
    </row>
    <row r="3022" customFormat="false" ht="15" hidden="false" customHeight="false" outlineLevel="0" collapsed="false">
      <c r="A3022" s="3" t="n">
        <v>3021</v>
      </c>
      <c r="B3022" s="3" t="n">
        <v>3020</v>
      </c>
      <c r="C3022" s="3" t="n">
        <v>15</v>
      </c>
      <c r="D3022" s="3" t="n">
        <v>5</v>
      </c>
      <c r="E3022" s="3" t="n">
        <v>10</v>
      </c>
      <c r="F3022" s="24" t="n">
        <v>0</v>
      </c>
    </row>
    <row r="3023" customFormat="false" ht="15" hidden="false" customHeight="false" outlineLevel="0" collapsed="false">
      <c r="A3023" s="3" t="n">
        <v>3022</v>
      </c>
      <c r="B3023" s="3" t="n">
        <v>3021</v>
      </c>
      <c r="C3023" s="3" t="n">
        <v>15</v>
      </c>
      <c r="D3023" s="3" t="n">
        <v>5</v>
      </c>
      <c r="E3023" s="3" t="n">
        <v>11</v>
      </c>
      <c r="F3023" s="24" t="n">
        <v>0</v>
      </c>
    </row>
    <row r="3024" customFormat="false" ht="15" hidden="false" customHeight="false" outlineLevel="0" collapsed="false">
      <c r="A3024" s="3" t="n">
        <v>3023</v>
      </c>
      <c r="B3024" s="3" t="n">
        <v>3022</v>
      </c>
      <c r="C3024" s="3" t="n">
        <v>15</v>
      </c>
      <c r="D3024" s="3" t="n">
        <v>5</v>
      </c>
      <c r="E3024" s="3" t="n">
        <v>12</v>
      </c>
      <c r="F3024" s="24" t="n">
        <v>0</v>
      </c>
    </row>
    <row r="3025" customFormat="false" ht="15" hidden="false" customHeight="false" outlineLevel="0" collapsed="false">
      <c r="A3025" s="3" t="n">
        <v>3024</v>
      </c>
      <c r="B3025" s="3" t="n">
        <v>3023</v>
      </c>
      <c r="C3025" s="3" t="n">
        <v>15</v>
      </c>
      <c r="D3025" s="3" t="n">
        <v>5</v>
      </c>
      <c r="E3025" s="3" t="n">
        <v>13</v>
      </c>
      <c r="F3025" s="24" t="n">
        <v>0</v>
      </c>
    </row>
    <row r="3026" customFormat="false" ht="15" hidden="false" customHeight="false" outlineLevel="0" collapsed="false">
      <c r="A3026" s="3" t="n">
        <v>3025</v>
      </c>
      <c r="B3026" s="3" t="n">
        <v>3024</v>
      </c>
      <c r="C3026" s="3" t="n">
        <v>15</v>
      </c>
      <c r="D3026" s="3" t="n">
        <v>6</v>
      </c>
      <c r="E3026" s="3" t="n">
        <v>0</v>
      </c>
      <c r="F3026" s="24" t="n">
        <v>0.158075586</v>
      </c>
    </row>
    <row r="3027" customFormat="false" ht="15" hidden="false" customHeight="false" outlineLevel="0" collapsed="false">
      <c r="A3027" s="3" t="n">
        <v>3026</v>
      </c>
      <c r="B3027" s="3" t="n">
        <v>3025</v>
      </c>
      <c r="C3027" s="3" t="n">
        <v>15</v>
      </c>
      <c r="D3027" s="3" t="n">
        <v>6</v>
      </c>
      <c r="E3027" s="3" t="n">
        <v>1</v>
      </c>
      <c r="F3027" s="24" t="n">
        <v>0</v>
      </c>
    </row>
    <row r="3028" customFormat="false" ht="15" hidden="false" customHeight="false" outlineLevel="0" collapsed="false">
      <c r="A3028" s="3" t="n">
        <v>3027</v>
      </c>
      <c r="B3028" s="3" t="n">
        <v>3026</v>
      </c>
      <c r="C3028" s="3" t="n">
        <v>15</v>
      </c>
      <c r="D3028" s="3" t="n">
        <v>6</v>
      </c>
      <c r="E3028" s="3" t="n">
        <v>2</v>
      </c>
      <c r="F3028" s="24" t="n">
        <v>0</v>
      </c>
    </row>
    <row r="3029" customFormat="false" ht="15" hidden="false" customHeight="false" outlineLevel="0" collapsed="false">
      <c r="A3029" s="3" t="n">
        <v>3028</v>
      </c>
      <c r="B3029" s="3" t="n">
        <v>3027</v>
      </c>
      <c r="C3029" s="3" t="n">
        <v>15</v>
      </c>
      <c r="D3029" s="3" t="n">
        <v>6</v>
      </c>
      <c r="E3029" s="3" t="n">
        <v>3</v>
      </c>
      <c r="F3029" s="24" t="n">
        <v>0</v>
      </c>
    </row>
    <row r="3030" customFormat="false" ht="15" hidden="false" customHeight="false" outlineLevel="0" collapsed="false">
      <c r="A3030" s="3" t="n">
        <v>3029</v>
      </c>
      <c r="B3030" s="3" t="n">
        <v>3028</v>
      </c>
      <c r="C3030" s="3" t="n">
        <v>15</v>
      </c>
      <c r="D3030" s="3" t="n">
        <v>6</v>
      </c>
      <c r="E3030" s="3" t="n">
        <v>4</v>
      </c>
      <c r="F3030" s="24" t="n">
        <v>0</v>
      </c>
    </row>
    <row r="3031" customFormat="false" ht="15" hidden="false" customHeight="false" outlineLevel="0" collapsed="false">
      <c r="A3031" s="3" t="n">
        <v>3030</v>
      </c>
      <c r="B3031" s="3" t="n">
        <v>3029</v>
      </c>
      <c r="C3031" s="3" t="n">
        <v>15</v>
      </c>
      <c r="D3031" s="3" t="n">
        <v>6</v>
      </c>
      <c r="E3031" s="3" t="n">
        <v>5</v>
      </c>
      <c r="F3031" s="24" t="n">
        <v>0</v>
      </c>
    </row>
    <row r="3032" customFormat="false" ht="15" hidden="false" customHeight="false" outlineLevel="0" collapsed="false">
      <c r="A3032" s="3" t="n">
        <v>3031</v>
      </c>
      <c r="B3032" s="3" t="n">
        <v>3030</v>
      </c>
      <c r="C3032" s="3" t="n">
        <v>15</v>
      </c>
      <c r="D3032" s="3" t="n">
        <v>6</v>
      </c>
      <c r="E3032" s="3" t="n">
        <v>6</v>
      </c>
      <c r="F3032" s="24" t="n">
        <v>0</v>
      </c>
    </row>
    <row r="3033" customFormat="false" ht="15" hidden="false" customHeight="false" outlineLevel="0" collapsed="false">
      <c r="A3033" s="3" t="n">
        <v>3032</v>
      </c>
      <c r="B3033" s="3" t="n">
        <v>3031</v>
      </c>
      <c r="C3033" s="3" t="n">
        <v>15</v>
      </c>
      <c r="D3033" s="3" t="n">
        <v>6</v>
      </c>
      <c r="E3033" s="3" t="n">
        <v>7</v>
      </c>
      <c r="F3033" s="24" t="n">
        <v>0</v>
      </c>
    </row>
    <row r="3034" customFormat="false" ht="15" hidden="false" customHeight="false" outlineLevel="0" collapsed="false">
      <c r="A3034" s="3" t="n">
        <v>3033</v>
      </c>
      <c r="B3034" s="3" t="n">
        <v>3032</v>
      </c>
      <c r="C3034" s="3" t="n">
        <v>15</v>
      </c>
      <c r="D3034" s="3" t="n">
        <v>6</v>
      </c>
      <c r="E3034" s="3" t="n">
        <v>8</v>
      </c>
      <c r="F3034" s="24" t="n">
        <v>0</v>
      </c>
    </row>
    <row r="3035" customFormat="false" ht="15" hidden="false" customHeight="false" outlineLevel="0" collapsed="false">
      <c r="A3035" s="3" t="n">
        <v>3034</v>
      </c>
      <c r="B3035" s="3" t="n">
        <v>3033</v>
      </c>
      <c r="C3035" s="3" t="n">
        <v>15</v>
      </c>
      <c r="D3035" s="3" t="n">
        <v>6</v>
      </c>
      <c r="E3035" s="3" t="n">
        <v>9</v>
      </c>
      <c r="F3035" s="24" t="n">
        <v>0</v>
      </c>
    </row>
    <row r="3036" customFormat="false" ht="15" hidden="false" customHeight="false" outlineLevel="0" collapsed="false">
      <c r="A3036" s="3" t="n">
        <v>3035</v>
      </c>
      <c r="B3036" s="3" t="n">
        <v>3034</v>
      </c>
      <c r="C3036" s="3" t="n">
        <v>15</v>
      </c>
      <c r="D3036" s="3" t="n">
        <v>6</v>
      </c>
      <c r="E3036" s="3" t="n">
        <v>10</v>
      </c>
      <c r="F3036" s="24" t="n">
        <v>0</v>
      </c>
    </row>
    <row r="3037" customFormat="false" ht="15" hidden="false" customHeight="false" outlineLevel="0" collapsed="false">
      <c r="A3037" s="3" t="n">
        <v>3036</v>
      </c>
      <c r="B3037" s="3" t="n">
        <v>3035</v>
      </c>
      <c r="C3037" s="3" t="n">
        <v>15</v>
      </c>
      <c r="D3037" s="3" t="n">
        <v>6</v>
      </c>
      <c r="E3037" s="3" t="n">
        <v>11</v>
      </c>
      <c r="F3037" s="24" t="n">
        <v>0</v>
      </c>
    </row>
    <row r="3038" customFormat="false" ht="15" hidden="false" customHeight="false" outlineLevel="0" collapsed="false">
      <c r="A3038" s="3" t="n">
        <v>3037</v>
      </c>
      <c r="B3038" s="3" t="n">
        <v>3036</v>
      </c>
      <c r="C3038" s="3" t="n">
        <v>15</v>
      </c>
      <c r="D3038" s="3" t="n">
        <v>6</v>
      </c>
      <c r="E3038" s="3" t="n">
        <v>12</v>
      </c>
      <c r="F3038" s="24" t="n">
        <v>0</v>
      </c>
    </row>
    <row r="3039" customFormat="false" ht="15" hidden="false" customHeight="false" outlineLevel="0" collapsed="false">
      <c r="A3039" s="3" t="n">
        <v>3038</v>
      </c>
      <c r="B3039" s="3" t="n">
        <v>3037</v>
      </c>
      <c r="C3039" s="3" t="n">
        <v>15</v>
      </c>
      <c r="D3039" s="3" t="n">
        <v>6</v>
      </c>
      <c r="E3039" s="3" t="n">
        <v>13</v>
      </c>
      <c r="F3039" s="24" t="n">
        <v>0</v>
      </c>
    </row>
    <row r="3040" customFormat="false" ht="15" hidden="false" customHeight="false" outlineLevel="0" collapsed="false">
      <c r="A3040" s="3" t="n">
        <v>3039</v>
      </c>
      <c r="B3040" s="3" t="n">
        <v>3038</v>
      </c>
      <c r="C3040" s="3" t="n">
        <v>15</v>
      </c>
      <c r="D3040" s="3" t="n">
        <v>7</v>
      </c>
      <c r="E3040" s="3" t="n">
        <v>0</v>
      </c>
      <c r="F3040" s="24" t="n">
        <v>0.158075586</v>
      </c>
    </row>
    <row r="3041" customFormat="false" ht="15" hidden="false" customHeight="false" outlineLevel="0" collapsed="false">
      <c r="A3041" s="3" t="n">
        <v>3040</v>
      </c>
      <c r="B3041" s="3" t="n">
        <v>3039</v>
      </c>
      <c r="C3041" s="3" t="n">
        <v>15</v>
      </c>
      <c r="D3041" s="3" t="n">
        <v>7</v>
      </c>
      <c r="E3041" s="3" t="n">
        <v>1</v>
      </c>
      <c r="F3041" s="24" t="n">
        <v>0</v>
      </c>
    </row>
    <row r="3042" customFormat="false" ht="15" hidden="false" customHeight="false" outlineLevel="0" collapsed="false">
      <c r="A3042" s="3" t="n">
        <v>3041</v>
      </c>
      <c r="B3042" s="3" t="n">
        <v>3040</v>
      </c>
      <c r="C3042" s="3" t="n">
        <v>15</v>
      </c>
      <c r="D3042" s="3" t="n">
        <v>7</v>
      </c>
      <c r="E3042" s="3" t="n">
        <v>2</v>
      </c>
      <c r="F3042" s="24" t="n">
        <v>0</v>
      </c>
    </row>
    <row r="3043" customFormat="false" ht="15" hidden="false" customHeight="false" outlineLevel="0" collapsed="false">
      <c r="A3043" s="3" t="n">
        <v>3042</v>
      </c>
      <c r="B3043" s="3" t="n">
        <v>3041</v>
      </c>
      <c r="C3043" s="3" t="n">
        <v>15</v>
      </c>
      <c r="D3043" s="3" t="n">
        <v>7</v>
      </c>
      <c r="E3043" s="3" t="n">
        <v>3</v>
      </c>
      <c r="F3043" s="24" t="n">
        <v>0</v>
      </c>
    </row>
    <row r="3044" customFormat="false" ht="15" hidden="false" customHeight="false" outlineLevel="0" collapsed="false">
      <c r="A3044" s="3" t="n">
        <v>3043</v>
      </c>
      <c r="B3044" s="3" t="n">
        <v>3042</v>
      </c>
      <c r="C3044" s="3" t="n">
        <v>15</v>
      </c>
      <c r="D3044" s="3" t="n">
        <v>7</v>
      </c>
      <c r="E3044" s="3" t="n">
        <v>4</v>
      </c>
      <c r="F3044" s="24" t="n">
        <v>0</v>
      </c>
    </row>
    <row r="3045" customFormat="false" ht="15" hidden="false" customHeight="false" outlineLevel="0" collapsed="false">
      <c r="A3045" s="3" t="n">
        <v>3044</v>
      </c>
      <c r="B3045" s="3" t="n">
        <v>3043</v>
      </c>
      <c r="C3045" s="3" t="n">
        <v>15</v>
      </c>
      <c r="D3045" s="3" t="n">
        <v>7</v>
      </c>
      <c r="E3045" s="3" t="n">
        <v>5</v>
      </c>
      <c r="F3045" s="24" t="n">
        <v>0</v>
      </c>
    </row>
    <row r="3046" customFormat="false" ht="15" hidden="false" customHeight="false" outlineLevel="0" collapsed="false">
      <c r="A3046" s="3" t="n">
        <v>3045</v>
      </c>
      <c r="B3046" s="3" t="n">
        <v>3044</v>
      </c>
      <c r="C3046" s="3" t="n">
        <v>15</v>
      </c>
      <c r="D3046" s="3" t="n">
        <v>7</v>
      </c>
      <c r="E3046" s="3" t="n">
        <v>6</v>
      </c>
      <c r="F3046" s="24" t="n">
        <v>0</v>
      </c>
    </row>
    <row r="3047" customFormat="false" ht="15" hidden="false" customHeight="false" outlineLevel="0" collapsed="false">
      <c r="A3047" s="3" t="n">
        <v>3046</v>
      </c>
      <c r="B3047" s="3" t="n">
        <v>3045</v>
      </c>
      <c r="C3047" s="3" t="n">
        <v>15</v>
      </c>
      <c r="D3047" s="3" t="n">
        <v>7</v>
      </c>
      <c r="E3047" s="3" t="n">
        <v>7</v>
      </c>
      <c r="F3047" s="24" t="n">
        <v>0</v>
      </c>
    </row>
    <row r="3048" customFormat="false" ht="15" hidden="false" customHeight="false" outlineLevel="0" collapsed="false">
      <c r="A3048" s="3" t="n">
        <v>3047</v>
      </c>
      <c r="B3048" s="3" t="n">
        <v>3046</v>
      </c>
      <c r="C3048" s="3" t="n">
        <v>15</v>
      </c>
      <c r="D3048" s="3" t="n">
        <v>7</v>
      </c>
      <c r="E3048" s="3" t="n">
        <v>8</v>
      </c>
      <c r="F3048" s="24" t="n">
        <v>0</v>
      </c>
    </row>
    <row r="3049" customFormat="false" ht="15" hidden="false" customHeight="false" outlineLevel="0" collapsed="false">
      <c r="A3049" s="3" t="n">
        <v>3048</v>
      </c>
      <c r="B3049" s="3" t="n">
        <v>3047</v>
      </c>
      <c r="C3049" s="3" t="n">
        <v>15</v>
      </c>
      <c r="D3049" s="3" t="n">
        <v>7</v>
      </c>
      <c r="E3049" s="3" t="n">
        <v>9</v>
      </c>
      <c r="F3049" s="24" t="n">
        <v>0</v>
      </c>
    </row>
    <row r="3050" customFormat="false" ht="15" hidden="false" customHeight="false" outlineLevel="0" collapsed="false">
      <c r="A3050" s="3" t="n">
        <v>3049</v>
      </c>
      <c r="B3050" s="3" t="n">
        <v>3048</v>
      </c>
      <c r="C3050" s="3" t="n">
        <v>15</v>
      </c>
      <c r="D3050" s="3" t="n">
        <v>7</v>
      </c>
      <c r="E3050" s="3" t="n">
        <v>10</v>
      </c>
      <c r="F3050" s="24" t="n">
        <v>0</v>
      </c>
    </row>
    <row r="3051" customFormat="false" ht="15" hidden="false" customHeight="false" outlineLevel="0" collapsed="false">
      <c r="A3051" s="3" t="n">
        <v>3050</v>
      </c>
      <c r="B3051" s="3" t="n">
        <v>3049</v>
      </c>
      <c r="C3051" s="3" t="n">
        <v>15</v>
      </c>
      <c r="D3051" s="3" t="n">
        <v>7</v>
      </c>
      <c r="E3051" s="3" t="n">
        <v>11</v>
      </c>
      <c r="F3051" s="24" t="n">
        <v>0</v>
      </c>
    </row>
    <row r="3052" customFormat="false" ht="15" hidden="false" customHeight="false" outlineLevel="0" collapsed="false">
      <c r="A3052" s="3" t="n">
        <v>3051</v>
      </c>
      <c r="B3052" s="3" t="n">
        <v>3050</v>
      </c>
      <c r="C3052" s="3" t="n">
        <v>15</v>
      </c>
      <c r="D3052" s="3" t="n">
        <v>7</v>
      </c>
      <c r="E3052" s="3" t="n">
        <v>12</v>
      </c>
      <c r="F3052" s="24" t="n">
        <v>0</v>
      </c>
    </row>
    <row r="3053" customFormat="false" ht="15" hidden="false" customHeight="false" outlineLevel="0" collapsed="false">
      <c r="A3053" s="3" t="n">
        <v>3052</v>
      </c>
      <c r="B3053" s="3" t="n">
        <v>3051</v>
      </c>
      <c r="C3053" s="3" t="n">
        <v>15</v>
      </c>
      <c r="D3053" s="3" t="n">
        <v>7</v>
      </c>
      <c r="E3053" s="3" t="n">
        <v>13</v>
      </c>
      <c r="F3053" s="24" t="n">
        <v>0</v>
      </c>
    </row>
    <row r="3054" customFormat="false" ht="15" hidden="false" customHeight="false" outlineLevel="0" collapsed="false">
      <c r="A3054" s="3" t="n">
        <v>3053</v>
      </c>
      <c r="B3054" s="3" t="n">
        <v>3052</v>
      </c>
      <c r="C3054" s="3" t="n">
        <v>15</v>
      </c>
      <c r="D3054" s="3" t="n">
        <v>8</v>
      </c>
      <c r="E3054" s="3" t="n">
        <v>0</v>
      </c>
      <c r="F3054" s="24" t="n">
        <v>0.158075586</v>
      </c>
    </row>
    <row r="3055" customFormat="false" ht="15" hidden="false" customHeight="false" outlineLevel="0" collapsed="false">
      <c r="A3055" s="3" t="n">
        <v>3054</v>
      </c>
      <c r="B3055" s="3" t="n">
        <v>3053</v>
      </c>
      <c r="C3055" s="3" t="n">
        <v>15</v>
      </c>
      <c r="D3055" s="3" t="n">
        <v>8</v>
      </c>
      <c r="E3055" s="3" t="n">
        <v>1</v>
      </c>
      <c r="F3055" s="24" t="n">
        <v>0</v>
      </c>
    </row>
    <row r="3056" customFormat="false" ht="15" hidden="false" customHeight="false" outlineLevel="0" collapsed="false">
      <c r="A3056" s="3" t="n">
        <v>3055</v>
      </c>
      <c r="B3056" s="3" t="n">
        <v>3054</v>
      </c>
      <c r="C3056" s="3" t="n">
        <v>15</v>
      </c>
      <c r="D3056" s="3" t="n">
        <v>8</v>
      </c>
      <c r="E3056" s="3" t="n">
        <v>2</v>
      </c>
      <c r="F3056" s="24" t="n">
        <v>0</v>
      </c>
    </row>
    <row r="3057" customFormat="false" ht="15" hidden="false" customHeight="false" outlineLevel="0" collapsed="false">
      <c r="A3057" s="3" t="n">
        <v>3056</v>
      </c>
      <c r="B3057" s="3" t="n">
        <v>3055</v>
      </c>
      <c r="C3057" s="3" t="n">
        <v>15</v>
      </c>
      <c r="D3057" s="3" t="n">
        <v>8</v>
      </c>
      <c r="E3057" s="3" t="n">
        <v>3</v>
      </c>
      <c r="F3057" s="24" t="n">
        <v>0</v>
      </c>
    </row>
    <row r="3058" customFormat="false" ht="15" hidden="false" customHeight="false" outlineLevel="0" collapsed="false">
      <c r="A3058" s="3" t="n">
        <v>3057</v>
      </c>
      <c r="B3058" s="3" t="n">
        <v>3056</v>
      </c>
      <c r="C3058" s="3" t="n">
        <v>15</v>
      </c>
      <c r="D3058" s="3" t="n">
        <v>8</v>
      </c>
      <c r="E3058" s="3" t="n">
        <v>4</v>
      </c>
      <c r="F3058" s="24" t="n">
        <v>0</v>
      </c>
    </row>
    <row r="3059" customFormat="false" ht="15" hidden="false" customHeight="false" outlineLevel="0" collapsed="false">
      <c r="A3059" s="3" t="n">
        <v>3058</v>
      </c>
      <c r="B3059" s="3" t="n">
        <v>3057</v>
      </c>
      <c r="C3059" s="3" t="n">
        <v>15</v>
      </c>
      <c r="D3059" s="3" t="n">
        <v>8</v>
      </c>
      <c r="E3059" s="3" t="n">
        <v>5</v>
      </c>
      <c r="F3059" s="24" t="n">
        <v>0</v>
      </c>
    </row>
    <row r="3060" customFormat="false" ht="15" hidden="false" customHeight="false" outlineLevel="0" collapsed="false">
      <c r="A3060" s="3" t="n">
        <v>3059</v>
      </c>
      <c r="B3060" s="3" t="n">
        <v>3058</v>
      </c>
      <c r="C3060" s="3" t="n">
        <v>15</v>
      </c>
      <c r="D3060" s="3" t="n">
        <v>8</v>
      </c>
      <c r="E3060" s="3" t="n">
        <v>6</v>
      </c>
      <c r="F3060" s="24" t="n">
        <v>0</v>
      </c>
    </row>
    <row r="3061" customFormat="false" ht="15" hidden="false" customHeight="false" outlineLevel="0" collapsed="false">
      <c r="A3061" s="3" t="n">
        <v>3060</v>
      </c>
      <c r="B3061" s="3" t="n">
        <v>3059</v>
      </c>
      <c r="C3061" s="3" t="n">
        <v>15</v>
      </c>
      <c r="D3061" s="3" t="n">
        <v>8</v>
      </c>
      <c r="E3061" s="3" t="n">
        <v>7</v>
      </c>
      <c r="F3061" s="24" t="n">
        <v>0</v>
      </c>
    </row>
    <row r="3062" customFormat="false" ht="15" hidden="false" customHeight="false" outlineLevel="0" collapsed="false">
      <c r="A3062" s="3" t="n">
        <v>3061</v>
      </c>
      <c r="B3062" s="3" t="n">
        <v>3060</v>
      </c>
      <c r="C3062" s="3" t="n">
        <v>15</v>
      </c>
      <c r="D3062" s="3" t="n">
        <v>8</v>
      </c>
      <c r="E3062" s="3" t="n">
        <v>8</v>
      </c>
      <c r="F3062" s="24" t="n">
        <v>0</v>
      </c>
    </row>
    <row r="3063" customFormat="false" ht="15" hidden="false" customHeight="false" outlineLevel="0" collapsed="false">
      <c r="A3063" s="3" t="n">
        <v>3062</v>
      </c>
      <c r="B3063" s="3" t="n">
        <v>3061</v>
      </c>
      <c r="C3063" s="3" t="n">
        <v>15</v>
      </c>
      <c r="D3063" s="3" t="n">
        <v>8</v>
      </c>
      <c r="E3063" s="3" t="n">
        <v>9</v>
      </c>
      <c r="F3063" s="24" t="n">
        <v>0</v>
      </c>
    </row>
    <row r="3064" customFormat="false" ht="15" hidden="false" customHeight="false" outlineLevel="0" collapsed="false">
      <c r="A3064" s="3" t="n">
        <v>3063</v>
      </c>
      <c r="B3064" s="3" t="n">
        <v>3062</v>
      </c>
      <c r="C3064" s="3" t="n">
        <v>15</v>
      </c>
      <c r="D3064" s="3" t="n">
        <v>8</v>
      </c>
      <c r="E3064" s="3" t="n">
        <v>10</v>
      </c>
      <c r="F3064" s="24" t="n">
        <v>0</v>
      </c>
    </row>
    <row r="3065" customFormat="false" ht="15" hidden="false" customHeight="false" outlineLevel="0" collapsed="false">
      <c r="A3065" s="3" t="n">
        <v>3064</v>
      </c>
      <c r="B3065" s="3" t="n">
        <v>3063</v>
      </c>
      <c r="C3065" s="3" t="n">
        <v>15</v>
      </c>
      <c r="D3065" s="3" t="n">
        <v>8</v>
      </c>
      <c r="E3065" s="3" t="n">
        <v>11</v>
      </c>
      <c r="F3065" s="24" t="n">
        <v>0</v>
      </c>
    </row>
    <row r="3066" customFormat="false" ht="15" hidden="false" customHeight="false" outlineLevel="0" collapsed="false">
      <c r="A3066" s="3" t="n">
        <v>3065</v>
      </c>
      <c r="B3066" s="3" t="n">
        <v>3064</v>
      </c>
      <c r="C3066" s="3" t="n">
        <v>15</v>
      </c>
      <c r="D3066" s="3" t="n">
        <v>8</v>
      </c>
      <c r="E3066" s="3" t="n">
        <v>12</v>
      </c>
      <c r="F3066" s="24" t="n">
        <v>0</v>
      </c>
    </row>
    <row r="3067" customFormat="false" ht="15" hidden="false" customHeight="false" outlineLevel="0" collapsed="false">
      <c r="A3067" s="3" t="n">
        <v>3066</v>
      </c>
      <c r="B3067" s="3" t="n">
        <v>3065</v>
      </c>
      <c r="C3067" s="3" t="n">
        <v>15</v>
      </c>
      <c r="D3067" s="3" t="n">
        <v>8</v>
      </c>
      <c r="E3067" s="3" t="n">
        <v>13</v>
      </c>
      <c r="F3067" s="24" t="n">
        <v>0</v>
      </c>
    </row>
    <row r="3068" customFormat="false" ht="15" hidden="false" customHeight="false" outlineLevel="0" collapsed="false">
      <c r="A3068" s="3" t="n">
        <v>3067</v>
      </c>
      <c r="B3068" s="3" t="n">
        <v>3066</v>
      </c>
      <c r="C3068" s="3" t="n">
        <v>15</v>
      </c>
      <c r="D3068" s="3" t="n">
        <v>9</v>
      </c>
      <c r="E3068" s="3" t="n">
        <v>0</v>
      </c>
      <c r="F3068" s="24" t="n">
        <v>0.158075586</v>
      </c>
    </row>
    <row r="3069" customFormat="false" ht="15" hidden="false" customHeight="false" outlineLevel="0" collapsed="false">
      <c r="A3069" s="3" t="n">
        <v>3068</v>
      </c>
      <c r="B3069" s="3" t="n">
        <v>3067</v>
      </c>
      <c r="C3069" s="3" t="n">
        <v>15</v>
      </c>
      <c r="D3069" s="3" t="n">
        <v>9</v>
      </c>
      <c r="E3069" s="3" t="n">
        <v>1</v>
      </c>
      <c r="F3069" s="24" t="n">
        <v>0</v>
      </c>
    </row>
    <row r="3070" customFormat="false" ht="15" hidden="false" customHeight="false" outlineLevel="0" collapsed="false">
      <c r="A3070" s="3" t="n">
        <v>3069</v>
      </c>
      <c r="B3070" s="3" t="n">
        <v>3068</v>
      </c>
      <c r="C3070" s="3" t="n">
        <v>15</v>
      </c>
      <c r="D3070" s="3" t="n">
        <v>9</v>
      </c>
      <c r="E3070" s="3" t="n">
        <v>2</v>
      </c>
      <c r="F3070" s="24" t="n">
        <v>0</v>
      </c>
    </row>
    <row r="3071" customFormat="false" ht="15" hidden="false" customHeight="false" outlineLevel="0" collapsed="false">
      <c r="A3071" s="3" t="n">
        <v>3070</v>
      </c>
      <c r="B3071" s="3" t="n">
        <v>3069</v>
      </c>
      <c r="C3071" s="3" t="n">
        <v>15</v>
      </c>
      <c r="D3071" s="3" t="n">
        <v>9</v>
      </c>
      <c r="E3071" s="3" t="n">
        <v>3</v>
      </c>
      <c r="F3071" s="24" t="n">
        <v>0</v>
      </c>
    </row>
    <row r="3072" customFormat="false" ht="15" hidden="false" customHeight="false" outlineLevel="0" collapsed="false">
      <c r="A3072" s="3" t="n">
        <v>3071</v>
      </c>
      <c r="B3072" s="3" t="n">
        <v>3070</v>
      </c>
      <c r="C3072" s="3" t="n">
        <v>15</v>
      </c>
      <c r="D3072" s="3" t="n">
        <v>9</v>
      </c>
      <c r="E3072" s="3" t="n">
        <v>4</v>
      </c>
      <c r="F3072" s="24" t="n">
        <v>0</v>
      </c>
    </row>
    <row r="3073" customFormat="false" ht="15" hidden="false" customHeight="false" outlineLevel="0" collapsed="false">
      <c r="A3073" s="3" t="n">
        <v>3072</v>
      </c>
      <c r="B3073" s="3" t="n">
        <v>3071</v>
      </c>
      <c r="C3073" s="3" t="n">
        <v>15</v>
      </c>
      <c r="D3073" s="3" t="n">
        <v>9</v>
      </c>
      <c r="E3073" s="3" t="n">
        <v>5</v>
      </c>
      <c r="F3073" s="24" t="n">
        <v>0</v>
      </c>
    </row>
    <row r="3074" customFormat="false" ht="15" hidden="false" customHeight="false" outlineLevel="0" collapsed="false">
      <c r="A3074" s="3" t="n">
        <v>3073</v>
      </c>
      <c r="B3074" s="3" t="n">
        <v>3072</v>
      </c>
      <c r="C3074" s="3" t="n">
        <v>15</v>
      </c>
      <c r="D3074" s="3" t="n">
        <v>9</v>
      </c>
      <c r="E3074" s="3" t="n">
        <v>6</v>
      </c>
      <c r="F3074" s="24" t="n">
        <v>0</v>
      </c>
    </row>
    <row r="3075" customFormat="false" ht="15" hidden="false" customHeight="false" outlineLevel="0" collapsed="false">
      <c r="A3075" s="3" t="n">
        <v>3074</v>
      </c>
      <c r="B3075" s="3" t="n">
        <v>3073</v>
      </c>
      <c r="C3075" s="3" t="n">
        <v>15</v>
      </c>
      <c r="D3075" s="3" t="n">
        <v>9</v>
      </c>
      <c r="E3075" s="3" t="n">
        <v>7</v>
      </c>
      <c r="F3075" s="24" t="n">
        <v>0</v>
      </c>
    </row>
    <row r="3076" customFormat="false" ht="15" hidden="false" customHeight="false" outlineLevel="0" collapsed="false">
      <c r="A3076" s="3" t="n">
        <v>3075</v>
      </c>
      <c r="B3076" s="3" t="n">
        <v>3074</v>
      </c>
      <c r="C3076" s="3" t="n">
        <v>15</v>
      </c>
      <c r="D3076" s="3" t="n">
        <v>9</v>
      </c>
      <c r="E3076" s="3" t="n">
        <v>8</v>
      </c>
      <c r="F3076" s="24" t="n">
        <v>0</v>
      </c>
    </row>
    <row r="3077" customFormat="false" ht="15" hidden="false" customHeight="false" outlineLevel="0" collapsed="false">
      <c r="A3077" s="3" t="n">
        <v>3076</v>
      </c>
      <c r="B3077" s="3" t="n">
        <v>3075</v>
      </c>
      <c r="C3077" s="3" t="n">
        <v>15</v>
      </c>
      <c r="D3077" s="3" t="n">
        <v>9</v>
      </c>
      <c r="E3077" s="3" t="n">
        <v>9</v>
      </c>
      <c r="F3077" s="24" t="n">
        <v>0</v>
      </c>
    </row>
    <row r="3078" customFormat="false" ht="15" hidden="false" customHeight="false" outlineLevel="0" collapsed="false">
      <c r="A3078" s="3" t="n">
        <v>3077</v>
      </c>
      <c r="B3078" s="3" t="n">
        <v>3076</v>
      </c>
      <c r="C3078" s="3" t="n">
        <v>15</v>
      </c>
      <c r="D3078" s="3" t="n">
        <v>9</v>
      </c>
      <c r="E3078" s="3" t="n">
        <v>10</v>
      </c>
      <c r="F3078" s="24" t="n">
        <v>0</v>
      </c>
    </row>
    <row r="3079" customFormat="false" ht="15" hidden="false" customHeight="false" outlineLevel="0" collapsed="false">
      <c r="A3079" s="3" t="n">
        <v>3078</v>
      </c>
      <c r="B3079" s="3" t="n">
        <v>3077</v>
      </c>
      <c r="C3079" s="3" t="n">
        <v>15</v>
      </c>
      <c r="D3079" s="3" t="n">
        <v>9</v>
      </c>
      <c r="E3079" s="3" t="n">
        <v>11</v>
      </c>
      <c r="F3079" s="24" t="n">
        <v>0</v>
      </c>
    </row>
    <row r="3080" customFormat="false" ht="15" hidden="false" customHeight="false" outlineLevel="0" collapsed="false">
      <c r="A3080" s="3" t="n">
        <v>3079</v>
      </c>
      <c r="B3080" s="3" t="n">
        <v>3078</v>
      </c>
      <c r="C3080" s="3" t="n">
        <v>15</v>
      </c>
      <c r="D3080" s="3" t="n">
        <v>9</v>
      </c>
      <c r="E3080" s="3" t="n">
        <v>12</v>
      </c>
      <c r="F3080" s="24" t="n">
        <v>0</v>
      </c>
    </row>
    <row r="3081" customFormat="false" ht="15" hidden="false" customHeight="false" outlineLevel="0" collapsed="false">
      <c r="A3081" s="3" t="n">
        <v>3080</v>
      </c>
      <c r="B3081" s="3" t="n">
        <v>3079</v>
      </c>
      <c r="C3081" s="3" t="n">
        <v>15</v>
      </c>
      <c r="D3081" s="3" t="n">
        <v>9</v>
      </c>
      <c r="E3081" s="3" t="n">
        <v>13</v>
      </c>
      <c r="F3081" s="24" t="n">
        <v>0</v>
      </c>
    </row>
    <row r="3082" customFormat="false" ht="15" hidden="false" customHeight="false" outlineLevel="0" collapsed="false">
      <c r="A3082" s="3" t="n">
        <v>3081</v>
      </c>
      <c r="B3082" s="3" t="n">
        <v>3080</v>
      </c>
      <c r="C3082" s="3" t="n">
        <v>15</v>
      </c>
      <c r="D3082" s="3" t="n">
        <v>10</v>
      </c>
      <c r="E3082" s="3" t="n">
        <v>0</v>
      </c>
      <c r="F3082" s="24" t="n">
        <v>0.158075586</v>
      </c>
    </row>
    <row r="3083" customFormat="false" ht="15" hidden="false" customHeight="false" outlineLevel="0" collapsed="false">
      <c r="A3083" s="3" t="n">
        <v>3082</v>
      </c>
      <c r="B3083" s="3" t="n">
        <v>3081</v>
      </c>
      <c r="C3083" s="3" t="n">
        <v>15</v>
      </c>
      <c r="D3083" s="3" t="n">
        <v>10</v>
      </c>
      <c r="E3083" s="3" t="n">
        <v>1</v>
      </c>
      <c r="F3083" s="24" t="n">
        <v>0</v>
      </c>
    </row>
    <row r="3084" customFormat="false" ht="15" hidden="false" customHeight="false" outlineLevel="0" collapsed="false">
      <c r="A3084" s="3" t="n">
        <v>3083</v>
      </c>
      <c r="B3084" s="3" t="n">
        <v>3082</v>
      </c>
      <c r="C3084" s="3" t="n">
        <v>15</v>
      </c>
      <c r="D3084" s="3" t="n">
        <v>10</v>
      </c>
      <c r="E3084" s="3" t="n">
        <v>2</v>
      </c>
      <c r="F3084" s="24" t="n">
        <v>0</v>
      </c>
    </row>
    <row r="3085" customFormat="false" ht="15" hidden="false" customHeight="false" outlineLevel="0" collapsed="false">
      <c r="A3085" s="3" t="n">
        <v>3084</v>
      </c>
      <c r="B3085" s="3" t="n">
        <v>3083</v>
      </c>
      <c r="C3085" s="3" t="n">
        <v>15</v>
      </c>
      <c r="D3085" s="3" t="n">
        <v>10</v>
      </c>
      <c r="E3085" s="3" t="n">
        <v>3</v>
      </c>
      <c r="F3085" s="24" t="n">
        <v>0</v>
      </c>
    </row>
    <row r="3086" customFormat="false" ht="15" hidden="false" customHeight="false" outlineLevel="0" collapsed="false">
      <c r="A3086" s="3" t="n">
        <v>3085</v>
      </c>
      <c r="B3086" s="3" t="n">
        <v>3084</v>
      </c>
      <c r="C3086" s="3" t="n">
        <v>15</v>
      </c>
      <c r="D3086" s="3" t="n">
        <v>10</v>
      </c>
      <c r="E3086" s="3" t="n">
        <v>4</v>
      </c>
      <c r="F3086" s="24" t="n">
        <v>0</v>
      </c>
    </row>
    <row r="3087" customFormat="false" ht="15" hidden="false" customHeight="false" outlineLevel="0" collapsed="false">
      <c r="A3087" s="3" t="n">
        <v>3086</v>
      </c>
      <c r="B3087" s="3" t="n">
        <v>3085</v>
      </c>
      <c r="C3087" s="3" t="n">
        <v>15</v>
      </c>
      <c r="D3087" s="3" t="n">
        <v>10</v>
      </c>
      <c r="E3087" s="3" t="n">
        <v>5</v>
      </c>
      <c r="F3087" s="24" t="n">
        <v>0</v>
      </c>
    </row>
    <row r="3088" customFormat="false" ht="15" hidden="false" customHeight="false" outlineLevel="0" collapsed="false">
      <c r="A3088" s="3" t="n">
        <v>3087</v>
      </c>
      <c r="B3088" s="3" t="n">
        <v>3086</v>
      </c>
      <c r="C3088" s="3" t="n">
        <v>15</v>
      </c>
      <c r="D3088" s="3" t="n">
        <v>10</v>
      </c>
      <c r="E3088" s="3" t="n">
        <v>6</v>
      </c>
      <c r="F3088" s="24" t="n">
        <v>0</v>
      </c>
    </row>
    <row r="3089" customFormat="false" ht="15" hidden="false" customHeight="false" outlineLevel="0" collapsed="false">
      <c r="A3089" s="3" t="n">
        <v>3088</v>
      </c>
      <c r="B3089" s="3" t="n">
        <v>3087</v>
      </c>
      <c r="C3089" s="3" t="n">
        <v>15</v>
      </c>
      <c r="D3089" s="3" t="n">
        <v>10</v>
      </c>
      <c r="E3089" s="3" t="n">
        <v>7</v>
      </c>
      <c r="F3089" s="24" t="n">
        <v>0</v>
      </c>
    </row>
    <row r="3090" customFormat="false" ht="15" hidden="false" customHeight="false" outlineLevel="0" collapsed="false">
      <c r="A3090" s="3" t="n">
        <v>3089</v>
      </c>
      <c r="B3090" s="3" t="n">
        <v>3088</v>
      </c>
      <c r="C3090" s="3" t="n">
        <v>15</v>
      </c>
      <c r="D3090" s="3" t="n">
        <v>10</v>
      </c>
      <c r="E3090" s="3" t="n">
        <v>8</v>
      </c>
      <c r="F3090" s="24" t="n">
        <v>0.2637043</v>
      </c>
    </row>
    <row r="3091" customFormat="false" ht="15" hidden="false" customHeight="false" outlineLevel="0" collapsed="false">
      <c r="A3091" s="3" t="n">
        <v>3090</v>
      </c>
      <c r="B3091" s="3" t="n">
        <v>3089</v>
      </c>
      <c r="C3091" s="3" t="n">
        <v>15</v>
      </c>
      <c r="D3091" s="3" t="n">
        <v>10</v>
      </c>
      <c r="E3091" s="3" t="n">
        <v>9</v>
      </c>
      <c r="F3091" s="24" t="n">
        <v>0</v>
      </c>
    </row>
    <row r="3092" customFormat="false" ht="15" hidden="false" customHeight="false" outlineLevel="0" collapsed="false">
      <c r="A3092" s="3" t="n">
        <v>3091</v>
      </c>
      <c r="B3092" s="3" t="n">
        <v>3090</v>
      </c>
      <c r="C3092" s="3" t="n">
        <v>15</v>
      </c>
      <c r="D3092" s="3" t="n">
        <v>10</v>
      </c>
      <c r="E3092" s="3" t="n">
        <v>10</v>
      </c>
      <c r="F3092" s="24" t="n">
        <v>0</v>
      </c>
    </row>
    <row r="3093" customFormat="false" ht="15" hidden="false" customHeight="false" outlineLevel="0" collapsed="false">
      <c r="A3093" s="3" t="n">
        <v>3092</v>
      </c>
      <c r="B3093" s="3" t="n">
        <v>3091</v>
      </c>
      <c r="C3093" s="3" t="n">
        <v>15</v>
      </c>
      <c r="D3093" s="3" t="n">
        <v>10</v>
      </c>
      <c r="E3093" s="3" t="n">
        <v>11</v>
      </c>
      <c r="F3093" s="24" t="n">
        <v>0</v>
      </c>
    </row>
    <row r="3094" customFormat="false" ht="15" hidden="false" customHeight="false" outlineLevel="0" collapsed="false">
      <c r="A3094" s="3" t="n">
        <v>3093</v>
      </c>
      <c r="B3094" s="3" t="n">
        <v>3092</v>
      </c>
      <c r="C3094" s="3" t="n">
        <v>15</v>
      </c>
      <c r="D3094" s="3" t="n">
        <v>10</v>
      </c>
      <c r="E3094" s="3" t="n">
        <v>12</v>
      </c>
      <c r="F3094" s="24" t="n">
        <v>0</v>
      </c>
    </row>
    <row r="3095" customFormat="false" ht="15" hidden="false" customHeight="false" outlineLevel="0" collapsed="false">
      <c r="A3095" s="3" t="n">
        <v>3094</v>
      </c>
      <c r="B3095" s="3" t="n">
        <v>3093</v>
      </c>
      <c r="C3095" s="3" t="n">
        <v>15</v>
      </c>
      <c r="D3095" s="3" t="n">
        <v>10</v>
      </c>
      <c r="E3095" s="3" t="n">
        <v>13</v>
      </c>
      <c r="F3095" s="24" t="n">
        <v>0</v>
      </c>
    </row>
    <row r="3096" customFormat="false" ht="15" hidden="false" customHeight="false" outlineLevel="0" collapsed="false">
      <c r="A3096" s="3" t="n">
        <v>3095</v>
      </c>
      <c r="B3096" s="3" t="n">
        <v>3094</v>
      </c>
      <c r="C3096" s="3" t="n">
        <v>15</v>
      </c>
      <c r="D3096" s="3" t="n">
        <v>11</v>
      </c>
      <c r="E3096" s="3" t="n">
        <v>0</v>
      </c>
      <c r="F3096" s="24" t="n">
        <v>0.158075586</v>
      </c>
    </row>
    <row r="3097" customFormat="false" ht="15" hidden="false" customHeight="false" outlineLevel="0" collapsed="false">
      <c r="A3097" s="3" t="n">
        <v>3096</v>
      </c>
      <c r="B3097" s="3" t="n">
        <v>3095</v>
      </c>
      <c r="C3097" s="3" t="n">
        <v>15</v>
      </c>
      <c r="D3097" s="3" t="n">
        <v>11</v>
      </c>
      <c r="E3097" s="3" t="n">
        <v>1</v>
      </c>
      <c r="F3097" s="24" t="n">
        <v>0</v>
      </c>
    </row>
    <row r="3098" customFormat="false" ht="15" hidden="false" customHeight="false" outlineLevel="0" collapsed="false">
      <c r="A3098" s="3" t="n">
        <v>3097</v>
      </c>
      <c r="B3098" s="3" t="n">
        <v>3096</v>
      </c>
      <c r="C3098" s="3" t="n">
        <v>15</v>
      </c>
      <c r="D3098" s="3" t="n">
        <v>11</v>
      </c>
      <c r="E3098" s="3" t="n">
        <v>2</v>
      </c>
      <c r="F3098" s="24" t="n">
        <v>0</v>
      </c>
    </row>
    <row r="3099" customFormat="false" ht="15" hidden="false" customHeight="false" outlineLevel="0" collapsed="false">
      <c r="A3099" s="3" t="n">
        <v>3098</v>
      </c>
      <c r="B3099" s="3" t="n">
        <v>3097</v>
      </c>
      <c r="C3099" s="3" t="n">
        <v>15</v>
      </c>
      <c r="D3099" s="3" t="n">
        <v>11</v>
      </c>
      <c r="E3099" s="3" t="n">
        <v>3</v>
      </c>
      <c r="F3099" s="24" t="n">
        <v>0</v>
      </c>
    </row>
    <row r="3100" customFormat="false" ht="15" hidden="false" customHeight="false" outlineLevel="0" collapsed="false">
      <c r="A3100" s="3" t="n">
        <v>3099</v>
      </c>
      <c r="B3100" s="3" t="n">
        <v>3098</v>
      </c>
      <c r="C3100" s="3" t="n">
        <v>15</v>
      </c>
      <c r="D3100" s="3" t="n">
        <v>11</v>
      </c>
      <c r="E3100" s="3" t="n">
        <v>4</v>
      </c>
      <c r="F3100" s="24" t="n">
        <v>0</v>
      </c>
    </row>
    <row r="3101" customFormat="false" ht="15" hidden="false" customHeight="false" outlineLevel="0" collapsed="false">
      <c r="A3101" s="3" t="n">
        <v>3100</v>
      </c>
      <c r="B3101" s="3" t="n">
        <v>3099</v>
      </c>
      <c r="C3101" s="3" t="n">
        <v>15</v>
      </c>
      <c r="D3101" s="3" t="n">
        <v>11</v>
      </c>
      <c r="E3101" s="3" t="n">
        <v>5</v>
      </c>
      <c r="F3101" s="24" t="n">
        <v>0</v>
      </c>
    </row>
    <row r="3102" customFormat="false" ht="15" hidden="false" customHeight="false" outlineLevel="0" collapsed="false">
      <c r="A3102" s="3" t="n">
        <v>3101</v>
      </c>
      <c r="B3102" s="3" t="n">
        <v>3100</v>
      </c>
      <c r="C3102" s="3" t="n">
        <v>15</v>
      </c>
      <c r="D3102" s="3" t="n">
        <v>11</v>
      </c>
      <c r="E3102" s="3" t="n">
        <v>6</v>
      </c>
      <c r="F3102" s="24" t="n">
        <v>0</v>
      </c>
    </row>
    <row r="3103" customFormat="false" ht="15" hidden="false" customHeight="false" outlineLevel="0" collapsed="false">
      <c r="A3103" s="3" t="n">
        <v>3102</v>
      </c>
      <c r="B3103" s="3" t="n">
        <v>3101</v>
      </c>
      <c r="C3103" s="3" t="n">
        <v>15</v>
      </c>
      <c r="D3103" s="3" t="n">
        <v>11</v>
      </c>
      <c r="E3103" s="3" t="n">
        <v>7</v>
      </c>
      <c r="F3103" s="24" t="n">
        <v>0</v>
      </c>
    </row>
    <row r="3104" customFormat="false" ht="15" hidden="false" customHeight="false" outlineLevel="0" collapsed="false">
      <c r="A3104" s="3" t="n">
        <v>3103</v>
      </c>
      <c r="B3104" s="3" t="n">
        <v>3102</v>
      </c>
      <c r="C3104" s="3" t="n">
        <v>15</v>
      </c>
      <c r="D3104" s="3" t="n">
        <v>11</v>
      </c>
      <c r="E3104" s="3" t="n">
        <v>8</v>
      </c>
      <c r="F3104" s="24" t="n">
        <v>0</v>
      </c>
    </row>
    <row r="3105" customFormat="false" ht="15" hidden="false" customHeight="false" outlineLevel="0" collapsed="false">
      <c r="A3105" s="3" t="n">
        <v>3104</v>
      </c>
      <c r="B3105" s="3" t="n">
        <v>3103</v>
      </c>
      <c r="C3105" s="3" t="n">
        <v>15</v>
      </c>
      <c r="D3105" s="3" t="n">
        <v>11</v>
      </c>
      <c r="E3105" s="3" t="n">
        <v>9</v>
      </c>
      <c r="F3105" s="24" t="n">
        <v>0</v>
      </c>
    </row>
    <row r="3106" customFormat="false" ht="15" hidden="false" customHeight="false" outlineLevel="0" collapsed="false">
      <c r="A3106" s="3" t="n">
        <v>3105</v>
      </c>
      <c r="B3106" s="3" t="n">
        <v>3104</v>
      </c>
      <c r="C3106" s="3" t="n">
        <v>15</v>
      </c>
      <c r="D3106" s="3" t="n">
        <v>11</v>
      </c>
      <c r="E3106" s="3" t="n">
        <v>10</v>
      </c>
      <c r="F3106" s="24" t="n">
        <v>0</v>
      </c>
    </row>
    <row r="3107" customFormat="false" ht="15" hidden="false" customHeight="false" outlineLevel="0" collapsed="false">
      <c r="A3107" s="3" t="n">
        <v>3106</v>
      </c>
      <c r="B3107" s="3" t="n">
        <v>3105</v>
      </c>
      <c r="C3107" s="3" t="n">
        <v>15</v>
      </c>
      <c r="D3107" s="3" t="n">
        <v>11</v>
      </c>
      <c r="E3107" s="3" t="n">
        <v>11</v>
      </c>
      <c r="F3107" s="24" t="n">
        <v>0</v>
      </c>
    </row>
    <row r="3108" customFormat="false" ht="15" hidden="false" customHeight="false" outlineLevel="0" collapsed="false">
      <c r="A3108" s="3" t="n">
        <v>3107</v>
      </c>
      <c r="B3108" s="3" t="n">
        <v>3106</v>
      </c>
      <c r="C3108" s="3" t="n">
        <v>15</v>
      </c>
      <c r="D3108" s="3" t="n">
        <v>11</v>
      </c>
      <c r="E3108" s="3" t="n">
        <v>12</v>
      </c>
      <c r="F3108" s="24" t="n">
        <v>0</v>
      </c>
    </row>
    <row r="3109" customFormat="false" ht="15" hidden="false" customHeight="false" outlineLevel="0" collapsed="false">
      <c r="A3109" s="3" t="n">
        <v>3108</v>
      </c>
      <c r="B3109" s="3" t="n">
        <v>3107</v>
      </c>
      <c r="C3109" s="3" t="n">
        <v>15</v>
      </c>
      <c r="D3109" s="3" t="n">
        <v>11</v>
      </c>
      <c r="E3109" s="3" t="n">
        <v>13</v>
      </c>
      <c r="F3109" s="24" t="n">
        <v>0</v>
      </c>
    </row>
    <row r="3110" customFormat="false" ht="15" hidden="false" customHeight="false" outlineLevel="0" collapsed="false">
      <c r="A3110" s="3" t="n">
        <v>3109</v>
      </c>
      <c r="B3110" s="3" t="n">
        <v>3108</v>
      </c>
      <c r="C3110" s="3" t="n">
        <v>15</v>
      </c>
      <c r="D3110" s="3" t="n">
        <v>12</v>
      </c>
      <c r="E3110" s="3" t="n">
        <v>0</v>
      </c>
      <c r="F3110" s="24" t="n">
        <v>0</v>
      </c>
    </row>
    <row r="3111" customFormat="false" ht="15" hidden="false" customHeight="false" outlineLevel="0" collapsed="false">
      <c r="A3111" s="3" t="n">
        <v>3110</v>
      </c>
      <c r="B3111" s="3" t="n">
        <v>3109</v>
      </c>
      <c r="C3111" s="3" t="n">
        <v>15</v>
      </c>
      <c r="D3111" s="3" t="n">
        <v>12</v>
      </c>
      <c r="E3111" s="3" t="n">
        <v>1</v>
      </c>
      <c r="F3111" s="24" t="n">
        <v>0</v>
      </c>
    </row>
    <row r="3112" customFormat="false" ht="15" hidden="false" customHeight="false" outlineLevel="0" collapsed="false">
      <c r="A3112" s="3" t="n">
        <v>3111</v>
      </c>
      <c r="B3112" s="3" t="n">
        <v>3110</v>
      </c>
      <c r="C3112" s="3" t="n">
        <v>15</v>
      </c>
      <c r="D3112" s="3" t="n">
        <v>12</v>
      </c>
      <c r="E3112" s="3" t="n">
        <v>2</v>
      </c>
      <c r="F3112" s="24" t="n">
        <v>0</v>
      </c>
    </row>
    <row r="3113" customFormat="false" ht="15" hidden="false" customHeight="false" outlineLevel="0" collapsed="false">
      <c r="A3113" s="3" t="n">
        <v>3112</v>
      </c>
      <c r="B3113" s="3" t="n">
        <v>3111</v>
      </c>
      <c r="C3113" s="3" t="n">
        <v>15</v>
      </c>
      <c r="D3113" s="3" t="n">
        <v>12</v>
      </c>
      <c r="E3113" s="3" t="n">
        <v>3</v>
      </c>
      <c r="F3113" s="24" t="n">
        <v>0</v>
      </c>
    </row>
    <row r="3114" customFormat="false" ht="15" hidden="false" customHeight="false" outlineLevel="0" collapsed="false">
      <c r="A3114" s="3" t="n">
        <v>3113</v>
      </c>
      <c r="B3114" s="3" t="n">
        <v>3112</v>
      </c>
      <c r="C3114" s="3" t="n">
        <v>15</v>
      </c>
      <c r="D3114" s="3" t="n">
        <v>12</v>
      </c>
      <c r="E3114" s="3" t="n">
        <v>4</v>
      </c>
      <c r="F3114" s="24" t="n">
        <v>1.53077626</v>
      </c>
    </row>
    <row r="3115" customFormat="false" ht="15" hidden="false" customHeight="false" outlineLevel="0" collapsed="false">
      <c r="A3115" s="3" t="n">
        <v>3114</v>
      </c>
      <c r="B3115" s="3" t="n">
        <v>3113</v>
      </c>
      <c r="C3115" s="3" t="n">
        <v>15</v>
      </c>
      <c r="D3115" s="3" t="n">
        <v>12</v>
      </c>
      <c r="E3115" s="3" t="n">
        <v>5</v>
      </c>
      <c r="F3115" s="24" t="n">
        <v>0.336514771</v>
      </c>
    </row>
    <row r="3116" customFormat="false" ht="15" hidden="false" customHeight="false" outlineLevel="0" collapsed="false">
      <c r="A3116" s="3" t="n">
        <v>3115</v>
      </c>
      <c r="B3116" s="3" t="n">
        <v>3114</v>
      </c>
      <c r="C3116" s="3" t="n">
        <v>15</v>
      </c>
      <c r="D3116" s="3" t="n">
        <v>12</v>
      </c>
      <c r="E3116" s="3" t="n">
        <v>6</v>
      </c>
      <c r="F3116" s="24" t="n">
        <v>0</v>
      </c>
    </row>
    <row r="3117" customFormat="false" ht="15" hidden="false" customHeight="false" outlineLevel="0" collapsed="false">
      <c r="A3117" s="3" t="n">
        <v>3116</v>
      </c>
      <c r="B3117" s="3" t="n">
        <v>3115</v>
      </c>
      <c r="C3117" s="3" t="n">
        <v>15</v>
      </c>
      <c r="D3117" s="3" t="n">
        <v>12</v>
      </c>
      <c r="E3117" s="3" t="n">
        <v>7</v>
      </c>
      <c r="F3117" s="24" t="n">
        <v>0</v>
      </c>
    </row>
    <row r="3118" customFormat="false" ht="15" hidden="false" customHeight="false" outlineLevel="0" collapsed="false">
      <c r="A3118" s="3" t="n">
        <v>3117</v>
      </c>
      <c r="B3118" s="3" t="n">
        <v>3116</v>
      </c>
      <c r="C3118" s="3" t="n">
        <v>15</v>
      </c>
      <c r="D3118" s="3" t="n">
        <v>12</v>
      </c>
      <c r="E3118" s="3" t="n">
        <v>8</v>
      </c>
      <c r="F3118" s="24" t="n">
        <v>0</v>
      </c>
    </row>
    <row r="3119" customFormat="false" ht="15" hidden="false" customHeight="false" outlineLevel="0" collapsed="false">
      <c r="A3119" s="3" t="n">
        <v>3118</v>
      </c>
      <c r="B3119" s="3" t="n">
        <v>3117</v>
      </c>
      <c r="C3119" s="3" t="n">
        <v>15</v>
      </c>
      <c r="D3119" s="3" t="n">
        <v>12</v>
      </c>
      <c r="E3119" s="3" t="n">
        <v>9</v>
      </c>
      <c r="F3119" s="24" t="n">
        <v>0</v>
      </c>
    </row>
    <row r="3120" customFormat="false" ht="15" hidden="false" customHeight="false" outlineLevel="0" collapsed="false">
      <c r="A3120" s="3" t="n">
        <v>3119</v>
      </c>
      <c r="B3120" s="3" t="n">
        <v>3118</v>
      </c>
      <c r="C3120" s="3" t="n">
        <v>15</v>
      </c>
      <c r="D3120" s="3" t="n">
        <v>12</v>
      </c>
      <c r="E3120" s="3" t="n">
        <v>10</v>
      </c>
      <c r="F3120" s="24" t="n">
        <v>0</v>
      </c>
    </row>
    <row r="3121" customFormat="false" ht="15" hidden="false" customHeight="false" outlineLevel="0" collapsed="false">
      <c r="A3121" s="3" t="n">
        <v>3120</v>
      </c>
      <c r="B3121" s="3" t="n">
        <v>3119</v>
      </c>
      <c r="C3121" s="3" t="n">
        <v>15</v>
      </c>
      <c r="D3121" s="3" t="n">
        <v>12</v>
      </c>
      <c r="E3121" s="3" t="n">
        <v>11</v>
      </c>
      <c r="F3121" s="24" t="n">
        <v>0</v>
      </c>
    </row>
    <row r="3122" customFormat="false" ht="15" hidden="false" customHeight="false" outlineLevel="0" collapsed="false">
      <c r="A3122" s="3" t="n">
        <v>3121</v>
      </c>
      <c r="B3122" s="3" t="n">
        <v>3120</v>
      </c>
      <c r="C3122" s="3" t="n">
        <v>15</v>
      </c>
      <c r="D3122" s="3" t="n">
        <v>12</v>
      </c>
      <c r="E3122" s="3" t="n">
        <v>12</v>
      </c>
      <c r="F3122" s="24" t="n">
        <v>0</v>
      </c>
    </row>
    <row r="3123" customFormat="false" ht="15" hidden="false" customHeight="false" outlineLevel="0" collapsed="false">
      <c r="A3123" s="3" t="n">
        <v>3122</v>
      </c>
      <c r="B3123" s="3" t="n">
        <v>3121</v>
      </c>
      <c r="C3123" s="3" t="n">
        <v>15</v>
      </c>
      <c r="D3123" s="3" t="n">
        <v>12</v>
      </c>
      <c r="E3123" s="3" t="n">
        <v>13</v>
      </c>
      <c r="F3123" s="24" t="n">
        <v>0</v>
      </c>
    </row>
    <row r="3124" customFormat="false" ht="15" hidden="false" customHeight="false" outlineLevel="0" collapsed="false">
      <c r="A3124" s="3" t="n">
        <v>3123</v>
      </c>
      <c r="B3124" s="3" t="n">
        <v>3122</v>
      </c>
      <c r="C3124" s="3" t="n">
        <v>15</v>
      </c>
      <c r="D3124" s="3" t="n">
        <v>13</v>
      </c>
      <c r="E3124" s="3" t="n">
        <v>0</v>
      </c>
      <c r="F3124" s="24" t="n">
        <v>0.243085101</v>
      </c>
    </row>
    <row r="3125" customFormat="false" ht="15" hidden="false" customHeight="false" outlineLevel="0" collapsed="false">
      <c r="A3125" s="3" t="n">
        <v>3124</v>
      </c>
      <c r="B3125" s="3" t="n">
        <v>3123</v>
      </c>
      <c r="C3125" s="3" t="n">
        <v>15</v>
      </c>
      <c r="D3125" s="3" t="n">
        <v>13</v>
      </c>
      <c r="E3125" s="3" t="n">
        <v>1</v>
      </c>
      <c r="F3125" s="24" t="n">
        <v>0.305787921</v>
      </c>
    </row>
    <row r="3126" customFormat="false" ht="15" hidden="false" customHeight="false" outlineLevel="0" collapsed="false">
      <c r="A3126" s="3" t="n">
        <v>3125</v>
      </c>
      <c r="B3126" s="3" t="n">
        <v>3124</v>
      </c>
      <c r="C3126" s="3" t="n">
        <v>15</v>
      </c>
      <c r="D3126" s="3" t="n">
        <v>13</v>
      </c>
      <c r="E3126" s="3" t="n">
        <v>2</v>
      </c>
      <c r="F3126" s="24" t="n">
        <v>0.249885723</v>
      </c>
    </row>
    <row r="3127" customFormat="false" ht="15" hidden="false" customHeight="false" outlineLevel="0" collapsed="false">
      <c r="A3127" s="3" t="n">
        <v>3126</v>
      </c>
      <c r="B3127" s="3" t="n">
        <v>3125</v>
      </c>
      <c r="C3127" s="3" t="n">
        <v>15</v>
      </c>
      <c r="D3127" s="3" t="n">
        <v>13</v>
      </c>
      <c r="E3127" s="3" t="n">
        <v>3</v>
      </c>
      <c r="F3127" s="24" t="n">
        <v>0</v>
      </c>
    </row>
    <row r="3128" customFormat="false" ht="15" hidden="false" customHeight="false" outlineLevel="0" collapsed="false">
      <c r="A3128" s="3" t="n">
        <v>3127</v>
      </c>
      <c r="B3128" s="3" t="n">
        <v>3126</v>
      </c>
      <c r="C3128" s="3" t="n">
        <v>15</v>
      </c>
      <c r="D3128" s="3" t="n">
        <v>13</v>
      </c>
      <c r="E3128" s="3" t="n">
        <v>4</v>
      </c>
      <c r="F3128" s="24" t="n">
        <v>0</v>
      </c>
    </row>
    <row r="3129" customFormat="false" ht="15" hidden="false" customHeight="false" outlineLevel="0" collapsed="false">
      <c r="A3129" s="3" t="n">
        <v>3128</v>
      </c>
      <c r="B3129" s="3" t="n">
        <v>3127</v>
      </c>
      <c r="C3129" s="3" t="n">
        <v>15</v>
      </c>
      <c r="D3129" s="3" t="n">
        <v>13</v>
      </c>
      <c r="E3129" s="3" t="n">
        <v>5</v>
      </c>
      <c r="F3129" s="24" t="n">
        <v>0.46157831</v>
      </c>
    </row>
    <row r="3130" customFormat="false" ht="15" hidden="false" customHeight="false" outlineLevel="0" collapsed="false">
      <c r="A3130" s="3" t="n">
        <v>3129</v>
      </c>
      <c r="B3130" s="3" t="n">
        <v>3128</v>
      </c>
      <c r="C3130" s="3" t="n">
        <v>15</v>
      </c>
      <c r="D3130" s="3" t="n">
        <v>13</v>
      </c>
      <c r="E3130" s="3" t="n">
        <v>6</v>
      </c>
      <c r="F3130" s="24" t="n">
        <v>2.44248652</v>
      </c>
    </row>
    <row r="3131" customFormat="false" ht="15" hidden="false" customHeight="false" outlineLevel="0" collapsed="false">
      <c r="A3131" s="3" t="n">
        <v>3130</v>
      </c>
      <c r="B3131" s="3" t="n">
        <v>3129</v>
      </c>
      <c r="C3131" s="3" t="n">
        <v>15</v>
      </c>
      <c r="D3131" s="3" t="n">
        <v>13</v>
      </c>
      <c r="E3131" s="3" t="n">
        <v>7</v>
      </c>
      <c r="F3131" s="24" t="n">
        <v>0.465203822</v>
      </c>
    </row>
    <row r="3132" customFormat="false" ht="15" hidden="false" customHeight="false" outlineLevel="0" collapsed="false">
      <c r="A3132" s="3" t="n">
        <v>3131</v>
      </c>
      <c r="B3132" s="3" t="n">
        <v>3130</v>
      </c>
      <c r="C3132" s="3" t="n">
        <v>15</v>
      </c>
      <c r="D3132" s="3" t="n">
        <v>13</v>
      </c>
      <c r="E3132" s="3" t="n">
        <v>8</v>
      </c>
      <c r="F3132" s="24" t="n">
        <v>0</v>
      </c>
    </row>
    <row r="3133" customFormat="false" ht="15" hidden="false" customHeight="false" outlineLevel="0" collapsed="false">
      <c r="A3133" s="3" t="n">
        <v>3132</v>
      </c>
      <c r="B3133" s="3" t="n">
        <v>3131</v>
      </c>
      <c r="C3133" s="3" t="n">
        <v>15</v>
      </c>
      <c r="D3133" s="3" t="n">
        <v>13</v>
      </c>
      <c r="E3133" s="3" t="n">
        <v>9</v>
      </c>
      <c r="F3133" s="24" t="n">
        <v>0.249885723</v>
      </c>
    </row>
    <row r="3134" customFormat="false" ht="15" hidden="false" customHeight="false" outlineLevel="0" collapsed="false">
      <c r="A3134" s="3" t="n">
        <v>3133</v>
      </c>
      <c r="B3134" s="3" t="n">
        <v>3132</v>
      </c>
      <c r="C3134" s="3" t="n">
        <v>15</v>
      </c>
      <c r="D3134" s="3" t="n">
        <v>13</v>
      </c>
      <c r="E3134" s="3" t="n">
        <v>10</v>
      </c>
      <c r="F3134" s="24" t="n">
        <v>0.249885723</v>
      </c>
    </row>
    <row r="3135" customFormat="false" ht="15" hidden="false" customHeight="false" outlineLevel="0" collapsed="false">
      <c r="A3135" s="3" t="n">
        <v>3134</v>
      </c>
      <c r="B3135" s="3" t="n">
        <v>3133</v>
      </c>
      <c r="C3135" s="3" t="n">
        <v>15</v>
      </c>
      <c r="D3135" s="3" t="n">
        <v>13</v>
      </c>
      <c r="E3135" s="3" t="n">
        <v>11</v>
      </c>
      <c r="F3135" s="24" t="n">
        <v>0.249885723</v>
      </c>
    </row>
    <row r="3136" customFormat="false" ht="15" hidden="false" customHeight="false" outlineLevel="0" collapsed="false">
      <c r="A3136" s="3" t="n">
        <v>3135</v>
      </c>
      <c r="B3136" s="3" t="n">
        <v>3134</v>
      </c>
      <c r="C3136" s="3" t="n">
        <v>15</v>
      </c>
      <c r="D3136" s="3" t="n">
        <v>13</v>
      </c>
      <c r="E3136" s="3" t="n">
        <v>12</v>
      </c>
      <c r="F3136" s="24" t="n">
        <v>0.0108617991</v>
      </c>
    </row>
    <row r="3137" customFormat="false" ht="15" hidden="false" customHeight="false" outlineLevel="0" collapsed="false">
      <c r="A3137" s="3" t="n">
        <v>3136</v>
      </c>
      <c r="B3137" s="3" t="n">
        <v>3135</v>
      </c>
      <c r="C3137" s="3" t="n">
        <v>15</v>
      </c>
      <c r="D3137" s="3" t="n">
        <v>13</v>
      </c>
      <c r="E3137" s="3" t="n">
        <v>13</v>
      </c>
      <c r="F3137" s="24" t="n">
        <v>0</v>
      </c>
    </row>
  </sheetData>
  <autoFilter ref="A1:F31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5" min="3" style="0" width="8"/>
    <col collapsed="false" customWidth="true" hidden="false" outlineLevel="0" max="6" min="6" style="0" width="14"/>
  </cols>
  <sheetData>
    <row r="1" customFormat="false" ht="23.85" hidden="false" customHeight="false" outlineLevel="0" collapsed="false">
      <c r="A1" s="9" t="s">
        <v>109</v>
      </c>
      <c r="B1" s="9" t="s">
        <v>110</v>
      </c>
      <c r="C1" s="9" t="s">
        <v>121</v>
      </c>
      <c r="D1" s="9" t="s">
        <v>122</v>
      </c>
      <c r="E1" s="9" t="s">
        <v>123</v>
      </c>
      <c r="F1" s="9" t="s">
        <v>114</v>
      </c>
      <c r="H1" s="4" t="s">
        <v>130</v>
      </c>
    </row>
    <row r="2" customFormat="false" ht="15" hidden="false" customHeight="false" outlineLevel="0" collapsed="false">
      <c r="A2" s="3" t="n">
        <v>1</v>
      </c>
      <c r="B2" s="3" t="n">
        <v>0</v>
      </c>
      <c r="C2" s="3" t="n">
        <v>0</v>
      </c>
      <c r="D2" s="3" t="n">
        <v>0</v>
      </c>
      <c r="E2" s="3" t="n">
        <v>0</v>
      </c>
      <c r="F2" s="24" t="n">
        <v>0.587074876</v>
      </c>
    </row>
    <row r="3" customFormat="false" ht="15" hidden="false" customHeight="false" outlineLevel="0" collapsed="false">
      <c r="A3" s="3" t="n">
        <v>2</v>
      </c>
      <c r="B3" s="3" t="n">
        <v>1</v>
      </c>
      <c r="C3" s="3" t="n">
        <v>0</v>
      </c>
      <c r="D3" s="3" t="n">
        <v>0</v>
      </c>
      <c r="E3" s="3" t="n">
        <v>1</v>
      </c>
      <c r="F3" s="24" t="n">
        <v>0.445337713</v>
      </c>
    </row>
    <row r="4" customFormat="false" ht="15" hidden="false" customHeight="false" outlineLevel="0" collapsed="false">
      <c r="A4" s="3" t="n">
        <v>3</v>
      </c>
      <c r="B4" s="3" t="n">
        <v>2</v>
      </c>
      <c r="C4" s="3" t="n">
        <v>0</v>
      </c>
      <c r="D4" s="3" t="n">
        <v>0</v>
      </c>
      <c r="E4" s="3" t="n">
        <v>2</v>
      </c>
      <c r="F4" s="24" t="n">
        <v>0.445337713</v>
      </c>
    </row>
    <row r="5" customFormat="false" ht="15" hidden="false" customHeight="false" outlineLevel="0" collapsed="false">
      <c r="A5" s="3" t="n">
        <v>4</v>
      </c>
      <c r="B5" s="3" t="n">
        <v>3</v>
      </c>
      <c r="C5" s="3" t="n">
        <v>0</v>
      </c>
      <c r="D5" s="3" t="n">
        <v>0</v>
      </c>
      <c r="E5" s="3" t="n">
        <v>3</v>
      </c>
      <c r="F5" s="24" t="n">
        <v>0.445337713</v>
      </c>
    </row>
    <row r="6" customFormat="false" ht="15" hidden="false" customHeight="false" outlineLevel="0" collapsed="false">
      <c r="A6" s="3" t="n">
        <v>5</v>
      </c>
      <c r="B6" s="3" t="n">
        <v>4</v>
      </c>
      <c r="C6" s="3" t="n">
        <v>0</v>
      </c>
      <c r="D6" s="3" t="n">
        <v>0</v>
      </c>
      <c r="E6" s="3" t="n">
        <v>4</v>
      </c>
      <c r="F6" s="24" t="n">
        <v>0.445337713</v>
      </c>
    </row>
    <row r="7" customFormat="false" ht="15" hidden="false" customHeight="false" outlineLevel="0" collapsed="false">
      <c r="A7" s="3" t="n">
        <v>6</v>
      </c>
      <c r="B7" s="3" t="n">
        <v>5</v>
      </c>
      <c r="C7" s="3" t="n">
        <v>0</v>
      </c>
      <c r="D7" s="3" t="n">
        <v>0</v>
      </c>
      <c r="E7" s="3" t="n">
        <v>5</v>
      </c>
      <c r="F7" s="24" t="n">
        <v>0.445337713</v>
      </c>
    </row>
    <row r="8" customFormat="false" ht="15" hidden="false" customHeight="false" outlineLevel="0" collapsed="false">
      <c r="A8" s="3" t="n">
        <v>7</v>
      </c>
      <c r="B8" s="3" t="n">
        <v>6</v>
      </c>
      <c r="C8" s="3" t="n">
        <v>0</v>
      </c>
      <c r="D8" s="3" t="n">
        <v>0</v>
      </c>
      <c r="E8" s="3" t="n">
        <v>6</v>
      </c>
      <c r="F8" s="24" t="n">
        <v>0.698455334</v>
      </c>
    </row>
    <row r="9" customFormat="false" ht="15" hidden="false" customHeight="false" outlineLevel="0" collapsed="false">
      <c r="A9" s="3" t="n">
        <v>8</v>
      </c>
      <c r="B9" s="3" t="n">
        <v>7</v>
      </c>
      <c r="C9" s="3" t="n">
        <v>0</v>
      </c>
      <c r="D9" s="3" t="n">
        <v>1</v>
      </c>
      <c r="E9" s="3" t="n">
        <v>0</v>
      </c>
      <c r="F9" s="24" t="n">
        <v>0.411655962</v>
      </c>
    </row>
    <row r="10" customFormat="false" ht="15" hidden="false" customHeight="false" outlineLevel="0" collapsed="false">
      <c r="A10" s="3" t="n">
        <v>9</v>
      </c>
      <c r="B10" s="3" t="n">
        <v>8</v>
      </c>
      <c r="C10" s="3" t="n">
        <v>0</v>
      </c>
      <c r="D10" s="3" t="n">
        <v>1</v>
      </c>
      <c r="E10" s="3" t="n">
        <v>1</v>
      </c>
      <c r="F10" s="24" t="n">
        <v>0.0427010953</v>
      </c>
    </row>
    <row r="11" customFormat="false" ht="15" hidden="false" customHeight="false" outlineLevel="0" collapsed="false">
      <c r="A11" s="3" t="n">
        <v>10</v>
      </c>
      <c r="B11" s="3" t="n">
        <v>9</v>
      </c>
      <c r="C11" s="3" t="n">
        <v>0</v>
      </c>
      <c r="D11" s="3" t="n">
        <v>1</v>
      </c>
      <c r="E11" s="3" t="n">
        <v>2</v>
      </c>
      <c r="F11" s="24" t="n">
        <v>3.63096952</v>
      </c>
    </row>
    <row r="12" customFormat="false" ht="15" hidden="false" customHeight="false" outlineLevel="0" collapsed="false">
      <c r="A12" s="3" t="n">
        <v>11</v>
      </c>
      <c r="B12" s="3" t="n">
        <v>10</v>
      </c>
      <c r="C12" s="3" t="n">
        <v>0</v>
      </c>
      <c r="D12" s="3" t="n">
        <v>1</v>
      </c>
      <c r="E12" s="3" t="n">
        <v>3</v>
      </c>
      <c r="F12" s="24" t="n">
        <v>0.795837581</v>
      </c>
    </row>
    <row r="13" customFormat="false" ht="15" hidden="false" customHeight="false" outlineLevel="0" collapsed="false">
      <c r="A13" s="3" t="n">
        <v>12</v>
      </c>
      <c r="B13" s="3" t="n">
        <v>11</v>
      </c>
      <c r="C13" s="3" t="n">
        <v>0</v>
      </c>
      <c r="D13" s="3" t="n">
        <v>1</v>
      </c>
      <c r="E13" s="3" t="n">
        <v>4</v>
      </c>
      <c r="F13" s="24" t="n">
        <v>0.798609138</v>
      </c>
    </row>
    <row r="14" customFormat="false" ht="15" hidden="false" customHeight="false" outlineLevel="0" collapsed="false">
      <c r="A14" s="3" t="n">
        <v>13</v>
      </c>
      <c r="B14" s="3" t="n">
        <v>12</v>
      </c>
      <c r="C14" s="3" t="n">
        <v>0</v>
      </c>
      <c r="D14" s="3" t="n">
        <v>1</v>
      </c>
      <c r="E14" s="3" t="n">
        <v>5</v>
      </c>
      <c r="F14" s="24" t="n">
        <v>5.97832632</v>
      </c>
    </row>
    <row r="15" customFormat="false" ht="15" hidden="false" customHeight="false" outlineLevel="0" collapsed="false">
      <c r="A15" s="3" t="n">
        <v>14</v>
      </c>
      <c r="B15" s="3" t="n">
        <v>13</v>
      </c>
      <c r="C15" s="3" t="n">
        <v>0</v>
      </c>
      <c r="D15" s="3" t="n">
        <v>1</v>
      </c>
      <c r="E15" s="3" t="n">
        <v>6</v>
      </c>
      <c r="F15" s="24" t="n">
        <v>0.813200414</v>
      </c>
    </row>
    <row r="16" customFormat="false" ht="15" hidden="false" customHeight="false" outlineLevel="0" collapsed="false">
      <c r="A16" s="3" t="n">
        <v>15</v>
      </c>
      <c r="B16" s="3" t="n">
        <v>14</v>
      </c>
      <c r="C16" s="3" t="n">
        <v>0</v>
      </c>
      <c r="D16" s="3" t="n">
        <v>2</v>
      </c>
      <c r="E16" s="3" t="n">
        <v>0</v>
      </c>
      <c r="F16" s="24" t="n">
        <v>0.670438409</v>
      </c>
    </row>
    <row r="17" customFormat="false" ht="15" hidden="false" customHeight="false" outlineLevel="0" collapsed="false">
      <c r="A17" s="3" t="n">
        <v>16</v>
      </c>
      <c r="B17" s="3" t="n">
        <v>15</v>
      </c>
      <c r="C17" s="3" t="n">
        <v>0</v>
      </c>
      <c r="D17" s="3" t="n">
        <v>2</v>
      </c>
      <c r="E17" s="3" t="n">
        <v>1</v>
      </c>
      <c r="F17" s="24" t="n">
        <v>0</v>
      </c>
    </row>
    <row r="18" customFormat="false" ht="15" hidden="false" customHeight="false" outlineLevel="0" collapsed="false">
      <c r="A18" s="3" t="n">
        <v>17</v>
      </c>
      <c r="B18" s="3" t="n">
        <v>16</v>
      </c>
      <c r="C18" s="3" t="n">
        <v>0</v>
      </c>
      <c r="D18" s="3" t="n">
        <v>2</v>
      </c>
      <c r="E18" s="3" t="n">
        <v>2</v>
      </c>
      <c r="F18" s="24" t="n">
        <v>0</v>
      </c>
    </row>
    <row r="19" customFormat="false" ht="15" hidden="false" customHeight="false" outlineLevel="0" collapsed="false">
      <c r="A19" s="3" t="n">
        <v>18</v>
      </c>
      <c r="B19" s="3" t="n">
        <v>17</v>
      </c>
      <c r="C19" s="3" t="n">
        <v>0</v>
      </c>
      <c r="D19" s="3" t="n">
        <v>2</v>
      </c>
      <c r="E19" s="3" t="n">
        <v>3</v>
      </c>
      <c r="F19" s="24" t="n">
        <v>0</v>
      </c>
    </row>
    <row r="20" customFormat="false" ht="15" hidden="false" customHeight="false" outlineLevel="0" collapsed="false">
      <c r="A20" s="3" t="n">
        <v>19</v>
      </c>
      <c r="B20" s="3" t="n">
        <v>18</v>
      </c>
      <c r="C20" s="3" t="n">
        <v>0</v>
      </c>
      <c r="D20" s="3" t="n">
        <v>2</v>
      </c>
      <c r="E20" s="3" t="n">
        <v>4</v>
      </c>
      <c r="F20" s="24" t="n">
        <v>0</v>
      </c>
    </row>
    <row r="21" customFormat="false" ht="15" hidden="false" customHeight="false" outlineLevel="0" collapsed="false">
      <c r="A21" s="3" t="n">
        <v>20</v>
      </c>
      <c r="B21" s="3" t="n">
        <v>19</v>
      </c>
      <c r="C21" s="3" t="n">
        <v>0</v>
      </c>
      <c r="D21" s="3" t="n">
        <v>2</v>
      </c>
      <c r="E21" s="3" t="n">
        <v>5</v>
      </c>
      <c r="F21" s="24" t="n">
        <v>9.95975971</v>
      </c>
    </row>
    <row r="22" customFormat="false" ht="15" hidden="false" customHeight="false" outlineLevel="0" collapsed="false">
      <c r="A22" s="3" t="n">
        <v>21</v>
      </c>
      <c r="B22" s="3" t="n">
        <v>20</v>
      </c>
      <c r="C22" s="3" t="n">
        <v>0</v>
      </c>
      <c r="D22" s="3" t="n">
        <v>2</v>
      </c>
      <c r="E22" s="3" t="n">
        <v>6</v>
      </c>
      <c r="F22" s="24" t="n">
        <v>1.49327302</v>
      </c>
    </row>
    <row r="23" customFormat="false" ht="15" hidden="false" customHeight="false" outlineLevel="0" collapsed="false">
      <c r="A23" s="3" t="n">
        <v>22</v>
      </c>
      <c r="B23" s="3" t="n">
        <v>21</v>
      </c>
      <c r="C23" s="3" t="n">
        <v>0</v>
      </c>
      <c r="D23" s="3" t="n">
        <v>3</v>
      </c>
      <c r="E23" s="3" t="n">
        <v>0</v>
      </c>
      <c r="F23" s="24" t="n">
        <v>0.474261254</v>
      </c>
    </row>
    <row r="24" customFormat="false" ht="15" hidden="false" customHeight="false" outlineLevel="0" collapsed="false">
      <c r="A24" s="3" t="n">
        <v>23</v>
      </c>
      <c r="B24" s="3" t="n">
        <v>22</v>
      </c>
      <c r="C24" s="3" t="n">
        <v>0</v>
      </c>
      <c r="D24" s="3" t="n">
        <v>3</v>
      </c>
      <c r="E24" s="3" t="n">
        <v>1</v>
      </c>
      <c r="F24" s="24" t="n">
        <v>0.316527247</v>
      </c>
    </row>
    <row r="25" customFormat="false" ht="15" hidden="false" customHeight="false" outlineLevel="0" collapsed="false">
      <c r="A25" s="3" t="n">
        <v>24</v>
      </c>
      <c r="B25" s="3" t="n">
        <v>23</v>
      </c>
      <c r="C25" s="3" t="n">
        <v>0</v>
      </c>
      <c r="D25" s="3" t="n">
        <v>3</v>
      </c>
      <c r="E25" s="3" t="n">
        <v>2</v>
      </c>
      <c r="F25" s="24" t="n">
        <v>0.316527247</v>
      </c>
    </row>
    <row r="26" customFormat="false" ht="15" hidden="false" customHeight="false" outlineLevel="0" collapsed="false">
      <c r="A26" s="3" t="n">
        <v>25</v>
      </c>
      <c r="B26" s="3" t="n">
        <v>24</v>
      </c>
      <c r="C26" s="3" t="n">
        <v>0</v>
      </c>
      <c r="D26" s="3" t="n">
        <v>3</v>
      </c>
      <c r="E26" s="3" t="n">
        <v>3</v>
      </c>
      <c r="F26" s="24" t="n">
        <v>0</v>
      </c>
    </row>
    <row r="27" customFormat="false" ht="15" hidden="false" customHeight="false" outlineLevel="0" collapsed="false">
      <c r="A27" s="3" t="n">
        <v>26</v>
      </c>
      <c r="B27" s="3" t="n">
        <v>25</v>
      </c>
      <c r="C27" s="3" t="n">
        <v>0</v>
      </c>
      <c r="D27" s="3" t="n">
        <v>3</v>
      </c>
      <c r="E27" s="3" t="n">
        <v>4</v>
      </c>
      <c r="F27" s="24" t="n">
        <v>0</v>
      </c>
    </row>
    <row r="28" customFormat="false" ht="15" hidden="false" customHeight="false" outlineLevel="0" collapsed="false">
      <c r="A28" s="3" t="n">
        <v>27</v>
      </c>
      <c r="B28" s="3" t="n">
        <v>26</v>
      </c>
      <c r="C28" s="3" t="n">
        <v>0</v>
      </c>
      <c r="D28" s="3" t="n">
        <v>3</v>
      </c>
      <c r="E28" s="3" t="n">
        <v>5</v>
      </c>
      <c r="F28" s="24" t="n">
        <v>0.405309498</v>
      </c>
    </row>
    <row r="29" customFormat="false" ht="15" hidden="false" customHeight="false" outlineLevel="0" collapsed="false">
      <c r="A29" s="3" t="n">
        <v>28</v>
      </c>
      <c r="B29" s="3" t="n">
        <v>27</v>
      </c>
      <c r="C29" s="3" t="n">
        <v>0</v>
      </c>
      <c r="D29" s="3" t="n">
        <v>3</v>
      </c>
      <c r="E29" s="3" t="n">
        <v>6</v>
      </c>
      <c r="F29" s="24" t="n">
        <v>0.645047963</v>
      </c>
    </row>
    <row r="30" customFormat="false" ht="15" hidden="false" customHeight="false" outlineLevel="0" collapsed="false">
      <c r="A30" s="3" t="n">
        <v>29</v>
      </c>
      <c r="B30" s="3" t="n">
        <v>28</v>
      </c>
      <c r="C30" s="3" t="n">
        <v>0</v>
      </c>
      <c r="D30" s="3" t="n">
        <v>4</v>
      </c>
      <c r="E30" s="3" t="n">
        <v>0</v>
      </c>
      <c r="F30" s="24" t="n">
        <v>0.474261254</v>
      </c>
    </row>
    <row r="31" customFormat="false" ht="15" hidden="false" customHeight="false" outlineLevel="0" collapsed="false">
      <c r="A31" s="3" t="n">
        <v>30</v>
      </c>
      <c r="B31" s="3" t="n">
        <v>29</v>
      </c>
      <c r="C31" s="3" t="n">
        <v>0</v>
      </c>
      <c r="D31" s="3" t="n">
        <v>4</v>
      </c>
      <c r="E31" s="3" t="n">
        <v>1</v>
      </c>
      <c r="F31" s="24" t="n">
        <v>0.316527247</v>
      </c>
    </row>
    <row r="32" customFormat="false" ht="15" hidden="false" customHeight="false" outlineLevel="0" collapsed="false">
      <c r="A32" s="3" t="n">
        <v>31</v>
      </c>
      <c r="B32" s="3" t="n">
        <v>30</v>
      </c>
      <c r="C32" s="3" t="n">
        <v>0</v>
      </c>
      <c r="D32" s="3" t="n">
        <v>4</v>
      </c>
      <c r="E32" s="3" t="n">
        <v>2</v>
      </c>
      <c r="F32" s="24" t="n">
        <v>0.313828081</v>
      </c>
    </row>
    <row r="33" customFormat="false" ht="15" hidden="false" customHeight="false" outlineLevel="0" collapsed="false">
      <c r="A33" s="3" t="n">
        <v>32</v>
      </c>
      <c r="B33" s="3" t="n">
        <v>31</v>
      </c>
      <c r="C33" s="3" t="n">
        <v>0</v>
      </c>
      <c r="D33" s="3" t="n">
        <v>4</v>
      </c>
      <c r="E33" s="3" t="n">
        <v>3</v>
      </c>
      <c r="F33" s="24" t="n">
        <v>0</v>
      </c>
    </row>
    <row r="34" customFormat="false" ht="15" hidden="false" customHeight="false" outlineLevel="0" collapsed="false">
      <c r="A34" s="3" t="n">
        <v>33</v>
      </c>
      <c r="B34" s="3" t="n">
        <v>32</v>
      </c>
      <c r="C34" s="3" t="n">
        <v>0</v>
      </c>
      <c r="D34" s="3" t="n">
        <v>4</v>
      </c>
      <c r="E34" s="3" t="n">
        <v>4</v>
      </c>
      <c r="F34" s="24" t="n">
        <v>0</v>
      </c>
    </row>
    <row r="35" customFormat="false" ht="15" hidden="false" customHeight="false" outlineLevel="0" collapsed="false">
      <c r="A35" s="3" t="n">
        <v>34</v>
      </c>
      <c r="B35" s="3" t="n">
        <v>33</v>
      </c>
      <c r="C35" s="3" t="n">
        <v>0</v>
      </c>
      <c r="D35" s="3" t="n">
        <v>4</v>
      </c>
      <c r="E35" s="3" t="n">
        <v>5</v>
      </c>
      <c r="F35" s="24" t="n">
        <v>0.314773709</v>
      </c>
    </row>
    <row r="36" customFormat="false" ht="15" hidden="false" customHeight="false" outlineLevel="0" collapsed="false">
      <c r="A36" s="3" t="n">
        <v>35</v>
      </c>
      <c r="B36" s="3" t="n">
        <v>34</v>
      </c>
      <c r="C36" s="3" t="n">
        <v>0</v>
      </c>
      <c r="D36" s="3" t="n">
        <v>4</v>
      </c>
      <c r="E36" s="3" t="n">
        <v>6</v>
      </c>
      <c r="F36" s="24" t="n">
        <v>0.659375548</v>
      </c>
    </row>
    <row r="37" customFormat="false" ht="15" hidden="false" customHeight="false" outlineLevel="0" collapsed="false">
      <c r="A37" s="3" t="n">
        <v>36</v>
      </c>
      <c r="B37" s="3" t="n">
        <v>35</v>
      </c>
      <c r="C37" s="3" t="n">
        <v>0</v>
      </c>
      <c r="D37" s="3" t="n">
        <v>5</v>
      </c>
      <c r="E37" s="3" t="n">
        <v>0</v>
      </c>
      <c r="F37" s="24" t="n">
        <v>0.474261254</v>
      </c>
    </row>
    <row r="38" customFormat="false" ht="15" hidden="false" customHeight="false" outlineLevel="0" collapsed="false">
      <c r="A38" s="3" t="n">
        <v>37</v>
      </c>
      <c r="B38" s="3" t="n">
        <v>36</v>
      </c>
      <c r="C38" s="3" t="n">
        <v>0</v>
      </c>
      <c r="D38" s="3" t="n">
        <v>5</v>
      </c>
      <c r="E38" s="3" t="n">
        <v>1</v>
      </c>
      <c r="F38" s="24" t="n">
        <v>0.316527247</v>
      </c>
    </row>
    <row r="39" customFormat="false" ht="15" hidden="false" customHeight="false" outlineLevel="0" collapsed="false">
      <c r="A39" s="3" t="n">
        <v>38</v>
      </c>
      <c r="B39" s="3" t="n">
        <v>37</v>
      </c>
      <c r="C39" s="3" t="n">
        <v>0</v>
      </c>
      <c r="D39" s="3" t="n">
        <v>5</v>
      </c>
      <c r="E39" s="3" t="n">
        <v>2</v>
      </c>
      <c r="F39" s="24" t="n">
        <v>0</v>
      </c>
    </row>
    <row r="40" customFormat="false" ht="15" hidden="false" customHeight="false" outlineLevel="0" collapsed="false">
      <c r="A40" s="3" t="n">
        <v>39</v>
      </c>
      <c r="B40" s="3" t="n">
        <v>38</v>
      </c>
      <c r="C40" s="3" t="n">
        <v>0</v>
      </c>
      <c r="D40" s="3" t="n">
        <v>5</v>
      </c>
      <c r="E40" s="3" t="n">
        <v>3</v>
      </c>
      <c r="F40" s="24" t="n">
        <v>0</v>
      </c>
    </row>
    <row r="41" customFormat="false" ht="15" hidden="false" customHeight="false" outlineLevel="0" collapsed="false">
      <c r="A41" s="3" t="n">
        <v>40</v>
      </c>
      <c r="B41" s="3" t="n">
        <v>39</v>
      </c>
      <c r="C41" s="3" t="n">
        <v>0</v>
      </c>
      <c r="D41" s="3" t="n">
        <v>5</v>
      </c>
      <c r="E41" s="3" t="n">
        <v>4</v>
      </c>
      <c r="F41" s="24" t="n">
        <v>0</v>
      </c>
    </row>
    <row r="42" customFormat="false" ht="15" hidden="false" customHeight="false" outlineLevel="0" collapsed="false">
      <c r="A42" s="3" t="n">
        <v>41</v>
      </c>
      <c r="B42" s="3" t="n">
        <v>40</v>
      </c>
      <c r="C42" s="3" t="n">
        <v>0</v>
      </c>
      <c r="D42" s="3" t="n">
        <v>5</v>
      </c>
      <c r="E42" s="3" t="n">
        <v>5</v>
      </c>
      <c r="F42" s="24" t="n">
        <v>0.316527247</v>
      </c>
    </row>
    <row r="43" customFormat="false" ht="15" hidden="false" customHeight="false" outlineLevel="0" collapsed="false">
      <c r="A43" s="3" t="n">
        <v>42</v>
      </c>
      <c r="B43" s="3" t="n">
        <v>41</v>
      </c>
      <c r="C43" s="3" t="n">
        <v>0</v>
      </c>
      <c r="D43" s="3" t="n">
        <v>5</v>
      </c>
      <c r="E43" s="3" t="n">
        <v>6</v>
      </c>
      <c r="F43" s="24" t="n">
        <v>0.659375548</v>
      </c>
    </row>
    <row r="44" customFormat="false" ht="15" hidden="false" customHeight="false" outlineLevel="0" collapsed="false">
      <c r="A44" s="3" t="n">
        <v>43</v>
      </c>
      <c r="B44" s="3" t="n">
        <v>42</v>
      </c>
      <c r="C44" s="3" t="n">
        <v>0</v>
      </c>
      <c r="D44" s="3" t="n">
        <v>6</v>
      </c>
      <c r="E44" s="3" t="n">
        <v>0</v>
      </c>
      <c r="F44" s="24" t="n">
        <v>0.902494311</v>
      </c>
    </row>
    <row r="45" customFormat="false" ht="15" hidden="false" customHeight="false" outlineLevel="0" collapsed="false">
      <c r="A45" s="3" t="n">
        <v>44</v>
      </c>
      <c r="B45" s="3" t="n">
        <v>43</v>
      </c>
      <c r="C45" s="3" t="n">
        <v>0</v>
      </c>
      <c r="D45" s="3" t="n">
        <v>6</v>
      </c>
      <c r="E45" s="3" t="n">
        <v>1</v>
      </c>
      <c r="F45" s="24" t="n">
        <v>1.12995422</v>
      </c>
    </row>
    <row r="46" customFormat="false" ht="15" hidden="false" customHeight="false" outlineLevel="0" collapsed="false">
      <c r="A46" s="3" t="n">
        <v>45</v>
      </c>
      <c r="B46" s="3" t="n">
        <v>44</v>
      </c>
      <c r="C46" s="3" t="n">
        <v>0</v>
      </c>
      <c r="D46" s="3" t="n">
        <v>6</v>
      </c>
      <c r="E46" s="3" t="n">
        <v>2</v>
      </c>
      <c r="F46" s="24" t="n">
        <v>0</v>
      </c>
    </row>
    <row r="47" customFormat="false" ht="15" hidden="false" customHeight="false" outlineLevel="0" collapsed="false">
      <c r="A47" s="3" t="n">
        <v>46</v>
      </c>
      <c r="B47" s="3" t="n">
        <v>45</v>
      </c>
      <c r="C47" s="3" t="n">
        <v>0</v>
      </c>
      <c r="D47" s="3" t="n">
        <v>6</v>
      </c>
      <c r="E47" s="3" t="n">
        <v>3</v>
      </c>
      <c r="F47" s="24" t="n">
        <v>0</v>
      </c>
    </row>
    <row r="48" customFormat="false" ht="15" hidden="false" customHeight="false" outlineLevel="0" collapsed="false">
      <c r="A48" s="3" t="n">
        <v>47</v>
      </c>
      <c r="B48" s="3" t="n">
        <v>46</v>
      </c>
      <c r="C48" s="3" t="n">
        <v>0</v>
      </c>
      <c r="D48" s="3" t="n">
        <v>6</v>
      </c>
      <c r="E48" s="3" t="n">
        <v>4</v>
      </c>
      <c r="F48" s="24" t="n">
        <v>1.08207631</v>
      </c>
    </row>
    <row r="49" customFormat="false" ht="15" hidden="false" customHeight="false" outlineLevel="0" collapsed="false">
      <c r="A49" s="3" t="n">
        <v>48</v>
      </c>
      <c r="B49" s="3" t="n">
        <v>47</v>
      </c>
      <c r="C49" s="3" t="n">
        <v>0</v>
      </c>
      <c r="D49" s="3" t="n">
        <v>6</v>
      </c>
      <c r="E49" s="3" t="n">
        <v>5</v>
      </c>
      <c r="F49" s="24" t="n">
        <v>0.762173057</v>
      </c>
    </row>
    <row r="50" customFormat="false" ht="15" hidden="false" customHeight="false" outlineLevel="0" collapsed="false">
      <c r="A50" s="3" t="n">
        <v>49</v>
      </c>
      <c r="B50" s="3" t="n">
        <v>48</v>
      </c>
      <c r="C50" s="3" t="n">
        <v>0</v>
      </c>
      <c r="D50" s="3" t="n">
        <v>6</v>
      </c>
      <c r="E50" s="3" t="n">
        <v>6</v>
      </c>
      <c r="F50" s="24" t="n">
        <v>1.01097476</v>
      </c>
    </row>
    <row r="51" customFormat="false" ht="15" hidden="false" customHeight="false" outlineLevel="0" collapsed="false">
      <c r="A51" s="3" t="n">
        <v>50</v>
      </c>
      <c r="B51" s="3" t="n">
        <v>49</v>
      </c>
      <c r="C51" s="3" t="n">
        <v>1</v>
      </c>
      <c r="D51" s="3" t="n">
        <v>0</v>
      </c>
      <c r="E51" s="3" t="n">
        <v>0</v>
      </c>
      <c r="F51" s="24" t="n">
        <v>0</v>
      </c>
    </row>
    <row r="52" customFormat="false" ht="15" hidden="false" customHeight="false" outlineLevel="0" collapsed="false">
      <c r="A52" s="3" t="n">
        <v>51</v>
      </c>
      <c r="B52" s="3" t="n">
        <v>50</v>
      </c>
      <c r="C52" s="3" t="n">
        <v>1</v>
      </c>
      <c r="D52" s="3" t="n">
        <v>0</v>
      </c>
      <c r="E52" s="3" t="n">
        <v>1</v>
      </c>
      <c r="F52" s="24" t="n">
        <v>0</v>
      </c>
    </row>
    <row r="53" customFormat="false" ht="15" hidden="false" customHeight="false" outlineLevel="0" collapsed="false">
      <c r="A53" s="3" t="n">
        <v>52</v>
      </c>
      <c r="B53" s="3" t="n">
        <v>51</v>
      </c>
      <c r="C53" s="3" t="n">
        <v>1</v>
      </c>
      <c r="D53" s="3" t="n">
        <v>0</v>
      </c>
      <c r="E53" s="3" t="n">
        <v>2</v>
      </c>
      <c r="F53" s="24" t="n">
        <v>0</v>
      </c>
    </row>
    <row r="54" customFormat="false" ht="15" hidden="false" customHeight="false" outlineLevel="0" collapsed="false">
      <c r="A54" s="3" t="n">
        <v>53</v>
      </c>
      <c r="B54" s="3" t="n">
        <v>52</v>
      </c>
      <c r="C54" s="3" t="n">
        <v>1</v>
      </c>
      <c r="D54" s="3" t="n">
        <v>0</v>
      </c>
      <c r="E54" s="3" t="n">
        <v>3</v>
      </c>
      <c r="F54" s="24" t="n">
        <v>0</v>
      </c>
    </row>
    <row r="55" customFormat="false" ht="15" hidden="false" customHeight="false" outlineLevel="0" collapsed="false">
      <c r="A55" s="3" t="n">
        <v>54</v>
      </c>
      <c r="B55" s="3" t="n">
        <v>53</v>
      </c>
      <c r="C55" s="3" t="n">
        <v>1</v>
      </c>
      <c r="D55" s="3" t="n">
        <v>0</v>
      </c>
      <c r="E55" s="3" t="n">
        <v>4</v>
      </c>
      <c r="F55" s="24" t="n">
        <v>0</v>
      </c>
    </row>
    <row r="56" customFormat="false" ht="15" hidden="false" customHeight="false" outlineLevel="0" collapsed="false">
      <c r="A56" s="3" t="n">
        <v>55</v>
      </c>
      <c r="B56" s="3" t="n">
        <v>54</v>
      </c>
      <c r="C56" s="3" t="n">
        <v>1</v>
      </c>
      <c r="D56" s="3" t="n">
        <v>0</v>
      </c>
      <c r="E56" s="3" t="n">
        <v>5</v>
      </c>
      <c r="F56" s="24" t="n">
        <v>0</v>
      </c>
    </row>
    <row r="57" customFormat="false" ht="15" hidden="false" customHeight="false" outlineLevel="0" collapsed="false">
      <c r="A57" s="3" t="n">
        <v>56</v>
      </c>
      <c r="B57" s="3" t="n">
        <v>55</v>
      </c>
      <c r="C57" s="3" t="n">
        <v>1</v>
      </c>
      <c r="D57" s="3" t="n">
        <v>0</v>
      </c>
      <c r="E57" s="3" t="n">
        <v>6</v>
      </c>
      <c r="F57" s="24" t="n">
        <v>0</v>
      </c>
    </row>
    <row r="58" customFormat="false" ht="15" hidden="false" customHeight="false" outlineLevel="0" collapsed="false">
      <c r="A58" s="3" t="n">
        <v>57</v>
      </c>
      <c r="B58" s="3" t="n">
        <v>56</v>
      </c>
      <c r="C58" s="3" t="n">
        <v>1</v>
      </c>
      <c r="D58" s="3" t="n">
        <v>1</v>
      </c>
      <c r="E58" s="3" t="n">
        <v>0</v>
      </c>
      <c r="F58" s="24" t="n">
        <v>0</v>
      </c>
    </row>
    <row r="59" customFormat="false" ht="15" hidden="false" customHeight="false" outlineLevel="0" collapsed="false">
      <c r="A59" s="3" t="n">
        <v>58</v>
      </c>
      <c r="B59" s="3" t="n">
        <v>57</v>
      </c>
      <c r="C59" s="3" t="n">
        <v>1</v>
      </c>
      <c r="D59" s="3" t="n">
        <v>1</v>
      </c>
      <c r="E59" s="3" t="n">
        <v>1</v>
      </c>
      <c r="F59" s="24" t="n">
        <v>0.322056651</v>
      </c>
    </row>
    <row r="60" customFormat="false" ht="15" hidden="false" customHeight="false" outlineLevel="0" collapsed="false">
      <c r="A60" s="3" t="n">
        <v>59</v>
      </c>
      <c r="B60" s="3" t="n">
        <v>58</v>
      </c>
      <c r="C60" s="3" t="n">
        <v>1</v>
      </c>
      <c r="D60" s="3" t="n">
        <v>1</v>
      </c>
      <c r="E60" s="3" t="n">
        <v>2</v>
      </c>
      <c r="F60" s="24" t="n">
        <v>0.245311648</v>
      </c>
    </row>
    <row r="61" customFormat="false" ht="15" hidden="false" customHeight="false" outlineLevel="0" collapsed="false">
      <c r="A61" s="3" t="n">
        <v>60</v>
      </c>
      <c r="B61" s="3" t="n">
        <v>59</v>
      </c>
      <c r="C61" s="3" t="n">
        <v>1</v>
      </c>
      <c r="D61" s="3" t="n">
        <v>1</v>
      </c>
      <c r="E61" s="3" t="n">
        <v>3</v>
      </c>
      <c r="F61" s="24" t="n">
        <v>0.22023654</v>
      </c>
    </row>
    <row r="62" customFormat="false" ht="15" hidden="false" customHeight="false" outlineLevel="0" collapsed="false">
      <c r="A62" s="3" t="n">
        <v>61</v>
      </c>
      <c r="B62" s="3" t="n">
        <v>60</v>
      </c>
      <c r="C62" s="3" t="n">
        <v>1</v>
      </c>
      <c r="D62" s="3" t="n">
        <v>1</v>
      </c>
      <c r="E62" s="3" t="n">
        <v>4</v>
      </c>
      <c r="F62" s="24" t="n">
        <v>0.662068129</v>
      </c>
    </row>
    <row r="63" customFormat="false" ht="15" hidden="false" customHeight="false" outlineLevel="0" collapsed="false">
      <c r="A63" s="3" t="n">
        <v>62</v>
      </c>
      <c r="B63" s="3" t="n">
        <v>61</v>
      </c>
      <c r="C63" s="3" t="n">
        <v>1</v>
      </c>
      <c r="D63" s="3" t="n">
        <v>1</v>
      </c>
      <c r="E63" s="3" t="n">
        <v>5</v>
      </c>
      <c r="F63" s="24" t="n">
        <v>0.593636572</v>
      </c>
    </row>
    <row r="64" customFormat="false" ht="15" hidden="false" customHeight="false" outlineLevel="0" collapsed="false">
      <c r="A64" s="3" t="n">
        <v>63</v>
      </c>
      <c r="B64" s="3" t="n">
        <v>62</v>
      </c>
      <c r="C64" s="3" t="n">
        <v>1</v>
      </c>
      <c r="D64" s="3" t="n">
        <v>1</v>
      </c>
      <c r="E64" s="3" t="n">
        <v>6</v>
      </c>
      <c r="F64" s="24" t="n">
        <v>0</v>
      </c>
    </row>
    <row r="65" customFormat="false" ht="15" hidden="false" customHeight="false" outlineLevel="0" collapsed="false">
      <c r="A65" s="3" t="n">
        <v>64</v>
      </c>
      <c r="B65" s="3" t="n">
        <v>63</v>
      </c>
      <c r="C65" s="3" t="n">
        <v>1</v>
      </c>
      <c r="D65" s="3" t="n">
        <v>2</v>
      </c>
      <c r="E65" s="3" t="n">
        <v>0</v>
      </c>
      <c r="F65" s="24" t="n">
        <v>0.620840192</v>
      </c>
    </row>
    <row r="66" customFormat="false" ht="15" hidden="false" customHeight="false" outlineLevel="0" collapsed="false">
      <c r="A66" s="3" t="n">
        <v>65</v>
      </c>
      <c r="B66" s="3" t="n">
        <v>64</v>
      </c>
      <c r="C66" s="3" t="n">
        <v>1</v>
      </c>
      <c r="D66" s="3" t="n">
        <v>2</v>
      </c>
      <c r="E66" s="3" t="n">
        <v>1</v>
      </c>
      <c r="F66" s="24" t="n">
        <v>2.83054781</v>
      </c>
    </row>
    <row r="67" customFormat="false" ht="15" hidden="false" customHeight="false" outlineLevel="0" collapsed="false">
      <c r="A67" s="3" t="n">
        <v>66</v>
      </c>
      <c r="B67" s="3" t="n">
        <v>65</v>
      </c>
      <c r="C67" s="3" t="n">
        <v>1</v>
      </c>
      <c r="D67" s="3" t="n">
        <v>2</v>
      </c>
      <c r="E67" s="3" t="n">
        <v>2</v>
      </c>
      <c r="F67" s="24" t="n">
        <v>0</v>
      </c>
    </row>
    <row r="68" customFormat="false" ht="15" hidden="false" customHeight="false" outlineLevel="0" collapsed="false">
      <c r="A68" s="3" t="n">
        <v>67</v>
      </c>
      <c r="B68" s="3" t="n">
        <v>66</v>
      </c>
      <c r="C68" s="3" t="n">
        <v>1</v>
      </c>
      <c r="D68" s="3" t="n">
        <v>2</v>
      </c>
      <c r="E68" s="3" t="n">
        <v>3</v>
      </c>
      <c r="F68" s="24" t="n">
        <v>0</v>
      </c>
    </row>
    <row r="69" customFormat="false" ht="15" hidden="false" customHeight="false" outlineLevel="0" collapsed="false">
      <c r="A69" s="3" t="n">
        <v>68</v>
      </c>
      <c r="B69" s="3" t="n">
        <v>67</v>
      </c>
      <c r="C69" s="3" t="n">
        <v>1</v>
      </c>
      <c r="D69" s="3" t="n">
        <v>2</v>
      </c>
      <c r="E69" s="3" t="n">
        <v>4</v>
      </c>
      <c r="F69" s="24" t="n">
        <v>2.58623195</v>
      </c>
    </row>
    <row r="70" customFormat="false" ht="15" hidden="false" customHeight="false" outlineLevel="0" collapsed="false">
      <c r="A70" s="3" t="n">
        <v>69</v>
      </c>
      <c r="B70" s="3" t="n">
        <v>68</v>
      </c>
      <c r="C70" s="3" t="n">
        <v>1</v>
      </c>
      <c r="D70" s="3" t="n">
        <v>2</v>
      </c>
      <c r="E70" s="3" t="n">
        <v>5</v>
      </c>
      <c r="F70" s="24" t="n">
        <v>0.508572876</v>
      </c>
    </row>
    <row r="71" customFormat="false" ht="15" hidden="false" customHeight="false" outlineLevel="0" collapsed="false">
      <c r="A71" s="3" t="n">
        <v>70</v>
      </c>
      <c r="B71" s="3" t="n">
        <v>69</v>
      </c>
      <c r="C71" s="3" t="n">
        <v>1</v>
      </c>
      <c r="D71" s="3" t="n">
        <v>2</v>
      </c>
      <c r="E71" s="3" t="n">
        <v>6</v>
      </c>
      <c r="F71" s="24" t="n">
        <v>0</v>
      </c>
    </row>
    <row r="72" customFormat="false" ht="15" hidden="false" customHeight="false" outlineLevel="0" collapsed="false">
      <c r="A72" s="3" t="n">
        <v>71</v>
      </c>
      <c r="B72" s="3" t="n">
        <v>70</v>
      </c>
      <c r="C72" s="3" t="n">
        <v>1</v>
      </c>
      <c r="D72" s="3" t="n">
        <v>3</v>
      </c>
      <c r="E72" s="3" t="n">
        <v>0</v>
      </c>
      <c r="F72" s="24" t="n">
        <v>0</v>
      </c>
    </row>
    <row r="73" customFormat="false" ht="15" hidden="false" customHeight="false" outlineLevel="0" collapsed="false">
      <c r="A73" s="3" t="n">
        <v>72</v>
      </c>
      <c r="B73" s="3" t="n">
        <v>71</v>
      </c>
      <c r="C73" s="3" t="n">
        <v>1</v>
      </c>
      <c r="D73" s="3" t="n">
        <v>3</v>
      </c>
      <c r="E73" s="3" t="n">
        <v>1</v>
      </c>
      <c r="F73" s="24" t="n">
        <v>0</v>
      </c>
    </row>
    <row r="74" customFormat="false" ht="15" hidden="false" customHeight="false" outlineLevel="0" collapsed="false">
      <c r="A74" s="3" t="n">
        <v>73</v>
      </c>
      <c r="B74" s="3" t="n">
        <v>72</v>
      </c>
      <c r="C74" s="3" t="n">
        <v>1</v>
      </c>
      <c r="D74" s="3" t="n">
        <v>3</v>
      </c>
      <c r="E74" s="3" t="n">
        <v>2</v>
      </c>
      <c r="F74" s="24" t="n">
        <v>0</v>
      </c>
    </row>
    <row r="75" customFormat="false" ht="15" hidden="false" customHeight="false" outlineLevel="0" collapsed="false">
      <c r="A75" s="3" t="n">
        <v>74</v>
      </c>
      <c r="B75" s="3" t="n">
        <v>73</v>
      </c>
      <c r="C75" s="3" t="n">
        <v>1</v>
      </c>
      <c r="D75" s="3" t="n">
        <v>3</v>
      </c>
      <c r="E75" s="3" t="n">
        <v>3</v>
      </c>
      <c r="F75" s="24" t="n">
        <v>5.45089626</v>
      </c>
    </row>
    <row r="76" customFormat="false" ht="15" hidden="false" customHeight="false" outlineLevel="0" collapsed="false">
      <c r="A76" s="3" t="n">
        <v>75</v>
      </c>
      <c r="B76" s="3" t="n">
        <v>74</v>
      </c>
      <c r="C76" s="3" t="n">
        <v>1</v>
      </c>
      <c r="D76" s="3" t="n">
        <v>3</v>
      </c>
      <c r="E76" s="3" t="n">
        <v>4</v>
      </c>
      <c r="F76" s="24" t="n">
        <v>5.99672031</v>
      </c>
    </row>
    <row r="77" customFormat="false" ht="15" hidden="false" customHeight="false" outlineLevel="0" collapsed="false">
      <c r="A77" s="3" t="n">
        <v>76</v>
      </c>
      <c r="B77" s="3" t="n">
        <v>75</v>
      </c>
      <c r="C77" s="3" t="n">
        <v>1</v>
      </c>
      <c r="D77" s="3" t="n">
        <v>3</v>
      </c>
      <c r="E77" s="3" t="n">
        <v>5</v>
      </c>
      <c r="F77" s="24" t="n">
        <v>0</v>
      </c>
    </row>
    <row r="78" customFormat="false" ht="15" hidden="false" customHeight="false" outlineLevel="0" collapsed="false">
      <c r="A78" s="3" t="n">
        <v>77</v>
      </c>
      <c r="B78" s="3" t="n">
        <v>76</v>
      </c>
      <c r="C78" s="3" t="n">
        <v>1</v>
      </c>
      <c r="D78" s="3" t="n">
        <v>3</v>
      </c>
      <c r="E78" s="3" t="n">
        <v>6</v>
      </c>
      <c r="F78" s="24" t="n">
        <v>0</v>
      </c>
    </row>
    <row r="79" customFormat="false" ht="15" hidden="false" customHeight="false" outlineLevel="0" collapsed="false">
      <c r="A79" s="3" t="n">
        <v>78</v>
      </c>
      <c r="B79" s="3" t="n">
        <v>77</v>
      </c>
      <c r="C79" s="3" t="n">
        <v>1</v>
      </c>
      <c r="D79" s="3" t="n">
        <v>4</v>
      </c>
      <c r="E79" s="3" t="n">
        <v>0</v>
      </c>
      <c r="F79" s="24" t="n">
        <v>0</v>
      </c>
    </row>
    <row r="80" customFormat="false" ht="15" hidden="false" customHeight="false" outlineLevel="0" collapsed="false">
      <c r="A80" s="3" t="n">
        <v>79</v>
      </c>
      <c r="B80" s="3" t="n">
        <v>78</v>
      </c>
      <c r="C80" s="3" t="n">
        <v>1</v>
      </c>
      <c r="D80" s="3" t="n">
        <v>4</v>
      </c>
      <c r="E80" s="3" t="n">
        <v>1</v>
      </c>
      <c r="F80" s="24" t="n">
        <v>0</v>
      </c>
    </row>
    <row r="81" customFormat="false" ht="15" hidden="false" customHeight="false" outlineLevel="0" collapsed="false">
      <c r="A81" s="3" t="n">
        <v>80</v>
      </c>
      <c r="B81" s="3" t="n">
        <v>79</v>
      </c>
      <c r="C81" s="3" t="n">
        <v>1</v>
      </c>
      <c r="D81" s="3" t="n">
        <v>4</v>
      </c>
      <c r="E81" s="3" t="n">
        <v>2</v>
      </c>
      <c r="F81" s="24" t="n">
        <v>0.154093027</v>
      </c>
    </row>
    <row r="82" customFormat="false" ht="15" hidden="false" customHeight="false" outlineLevel="0" collapsed="false">
      <c r="A82" s="3" t="n">
        <v>81</v>
      </c>
      <c r="B82" s="3" t="n">
        <v>80</v>
      </c>
      <c r="C82" s="3" t="n">
        <v>1</v>
      </c>
      <c r="D82" s="3" t="n">
        <v>4</v>
      </c>
      <c r="E82" s="3" t="n">
        <v>3</v>
      </c>
      <c r="F82" s="24" t="n">
        <v>6.33747959</v>
      </c>
    </row>
    <row r="83" customFormat="false" ht="15" hidden="false" customHeight="false" outlineLevel="0" collapsed="false">
      <c r="A83" s="3" t="n">
        <v>82</v>
      </c>
      <c r="B83" s="3" t="n">
        <v>81</v>
      </c>
      <c r="C83" s="3" t="n">
        <v>1</v>
      </c>
      <c r="D83" s="3" t="n">
        <v>4</v>
      </c>
      <c r="E83" s="3" t="n">
        <v>4</v>
      </c>
      <c r="F83" s="24" t="n">
        <v>0</v>
      </c>
    </row>
    <row r="84" customFormat="false" ht="15" hidden="false" customHeight="false" outlineLevel="0" collapsed="false">
      <c r="A84" s="3" t="n">
        <v>83</v>
      </c>
      <c r="B84" s="3" t="n">
        <v>82</v>
      </c>
      <c r="C84" s="3" t="n">
        <v>1</v>
      </c>
      <c r="D84" s="3" t="n">
        <v>4</v>
      </c>
      <c r="E84" s="3" t="n">
        <v>5</v>
      </c>
      <c r="F84" s="24" t="n">
        <v>0</v>
      </c>
    </row>
    <row r="85" customFormat="false" ht="15" hidden="false" customHeight="false" outlineLevel="0" collapsed="false">
      <c r="A85" s="3" t="n">
        <v>84</v>
      </c>
      <c r="B85" s="3" t="n">
        <v>83</v>
      </c>
      <c r="C85" s="3" t="n">
        <v>1</v>
      </c>
      <c r="D85" s="3" t="n">
        <v>4</v>
      </c>
      <c r="E85" s="3" t="n">
        <v>6</v>
      </c>
      <c r="F85" s="24" t="n">
        <v>0</v>
      </c>
    </row>
    <row r="86" customFormat="false" ht="15" hidden="false" customHeight="false" outlineLevel="0" collapsed="false">
      <c r="A86" s="3" t="n">
        <v>85</v>
      </c>
      <c r="B86" s="3" t="n">
        <v>84</v>
      </c>
      <c r="C86" s="3" t="n">
        <v>1</v>
      </c>
      <c r="D86" s="3" t="n">
        <v>5</v>
      </c>
      <c r="E86" s="3" t="n">
        <v>0</v>
      </c>
      <c r="F86" s="24" t="n">
        <v>0</v>
      </c>
    </row>
    <row r="87" customFormat="false" ht="15" hidden="false" customHeight="false" outlineLevel="0" collapsed="false">
      <c r="A87" s="3" t="n">
        <v>86</v>
      </c>
      <c r="B87" s="3" t="n">
        <v>85</v>
      </c>
      <c r="C87" s="3" t="n">
        <v>1</v>
      </c>
      <c r="D87" s="3" t="n">
        <v>5</v>
      </c>
      <c r="E87" s="3" t="n">
        <v>1</v>
      </c>
      <c r="F87" s="24" t="n">
        <v>0</v>
      </c>
    </row>
    <row r="88" customFormat="false" ht="15" hidden="false" customHeight="false" outlineLevel="0" collapsed="false">
      <c r="A88" s="3" t="n">
        <v>87</v>
      </c>
      <c r="B88" s="3" t="n">
        <v>86</v>
      </c>
      <c r="C88" s="3" t="n">
        <v>1</v>
      </c>
      <c r="D88" s="3" t="n">
        <v>5</v>
      </c>
      <c r="E88" s="3" t="n">
        <v>2</v>
      </c>
      <c r="F88" s="24" t="n">
        <v>7.10343981</v>
      </c>
    </row>
    <row r="89" customFormat="false" ht="15" hidden="false" customHeight="false" outlineLevel="0" collapsed="false">
      <c r="A89" s="3" t="n">
        <v>88</v>
      </c>
      <c r="B89" s="3" t="n">
        <v>87</v>
      </c>
      <c r="C89" s="3" t="n">
        <v>1</v>
      </c>
      <c r="D89" s="3" t="n">
        <v>5</v>
      </c>
      <c r="E89" s="3" t="n">
        <v>3</v>
      </c>
      <c r="F89" s="24" t="n">
        <v>7.90193319</v>
      </c>
    </row>
    <row r="90" customFormat="false" ht="15" hidden="false" customHeight="false" outlineLevel="0" collapsed="false">
      <c r="A90" s="3" t="n">
        <v>89</v>
      </c>
      <c r="B90" s="3" t="n">
        <v>88</v>
      </c>
      <c r="C90" s="3" t="n">
        <v>1</v>
      </c>
      <c r="D90" s="3" t="n">
        <v>5</v>
      </c>
      <c r="E90" s="3" t="n">
        <v>4</v>
      </c>
      <c r="F90" s="24" t="n">
        <v>0</v>
      </c>
    </row>
    <row r="91" customFormat="false" ht="15" hidden="false" customHeight="false" outlineLevel="0" collapsed="false">
      <c r="A91" s="3" t="n">
        <v>90</v>
      </c>
      <c r="B91" s="3" t="n">
        <v>89</v>
      </c>
      <c r="C91" s="3" t="n">
        <v>1</v>
      </c>
      <c r="D91" s="3" t="n">
        <v>5</v>
      </c>
      <c r="E91" s="3" t="n">
        <v>5</v>
      </c>
      <c r="F91" s="24" t="n">
        <v>0</v>
      </c>
    </row>
    <row r="92" customFormat="false" ht="15" hidden="false" customHeight="false" outlineLevel="0" collapsed="false">
      <c r="A92" s="3" t="n">
        <v>91</v>
      </c>
      <c r="B92" s="3" t="n">
        <v>90</v>
      </c>
      <c r="C92" s="3" t="n">
        <v>1</v>
      </c>
      <c r="D92" s="3" t="n">
        <v>5</v>
      </c>
      <c r="E92" s="3" t="n">
        <v>6</v>
      </c>
      <c r="F92" s="24" t="n">
        <v>0</v>
      </c>
    </row>
    <row r="93" customFormat="false" ht="15" hidden="false" customHeight="false" outlineLevel="0" collapsed="false">
      <c r="A93" s="3" t="n">
        <v>92</v>
      </c>
      <c r="B93" s="3" t="n">
        <v>91</v>
      </c>
      <c r="C93" s="3" t="n">
        <v>1</v>
      </c>
      <c r="D93" s="3" t="n">
        <v>6</v>
      </c>
      <c r="E93" s="3" t="n">
        <v>0</v>
      </c>
      <c r="F93" s="24" t="n">
        <v>0</v>
      </c>
    </row>
    <row r="94" customFormat="false" ht="15" hidden="false" customHeight="false" outlineLevel="0" collapsed="false">
      <c r="A94" s="3" t="n">
        <v>93</v>
      </c>
      <c r="B94" s="3" t="n">
        <v>92</v>
      </c>
      <c r="C94" s="3" t="n">
        <v>1</v>
      </c>
      <c r="D94" s="3" t="n">
        <v>6</v>
      </c>
      <c r="E94" s="3" t="n">
        <v>1</v>
      </c>
      <c r="F94" s="24" t="n">
        <v>0.775209069</v>
      </c>
    </row>
    <row r="95" customFormat="false" ht="15" hidden="false" customHeight="false" outlineLevel="0" collapsed="false">
      <c r="A95" s="3" t="n">
        <v>94</v>
      </c>
      <c r="B95" s="3" t="n">
        <v>93</v>
      </c>
      <c r="C95" s="3" t="n">
        <v>1</v>
      </c>
      <c r="D95" s="3" t="n">
        <v>6</v>
      </c>
      <c r="E95" s="3" t="n">
        <v>2</v>
      </c>
      <c r="F95" s="24" t="n">
        <v>3.95338917</v>
      </c>
    </row>
    <row r="96" customFormat="false" ht="15" hidden="false" customHeight="false" outlineLevel="0" collapsed="false">
      <c r="A96" s="3" t="n">
        <v>95</v>
      </c>
      <c r="B96" s="3" t="n">
        <v>94</v>
      </c>
      <c r="C96" s="3" t="n">
        <v>1</v>
      </c>
      <c r="D96" s="3" t="n">
        <v>6</v>
      </c>
      <c r="E96" s="3" t="n">
        <v>3</v>
      </c>
      <c r="F96" s="24" t="n">
        <v>0</v>
      </c>
    </row>
    <row r="97" customFormat="false" ht="15" hidden="false" customHeight="false" outlineLevel="0" collapsed="false">
      <c r="A97" s="3" t="n">
        <v>96</v>
      </c>
      <c r="B97" s="3" t="n">
        <v>95</v>
      </c>
      <c r="C97" s="3" t="n">
        <v>1</v>
      </c>
      <c r="D97" s="3" t="n">
        <v>6</v>
      </c>
      <c r="E97" s="3" t="n">
        <v>4</v>
      </c>
      <c r="F97" s="24" t="n">
        <v>0</v>
      </c>
    </row>
    <row r="98" customFormat="false" ht="15" hidden="false" customHeight="false" outlineLevel="0" collapsed="false">
      <c r="A98" s="3" t="n">
        <v>97</v>
      </c>
      <c r="B98" s="3" t="n">
        <v>96</v>
      </c>
      <c r="C98" s="3" t="n">
        <v>1</v>
      </c>
      <c r="D98" s="3" t="n">
        <v>6</v>
      </c>
      <c r="E98" s="3" t="n">
        <v>5</v>
      </c>
      <c r="F98" s="24" t="n">
        <v>0</v>
      </c>
    </row>
    <row r="99" customFormat="false" ht="15" hidden="false" customHeight="false" outlineLevel="0" collapsed="false">
      <c r="A99" s="3" t="n">
        <v>98</v>
      </c>
      <c r="B99" s="3" t="n">
        <v>97</v>
      </c>
      <c r="C99" s="3" t="n">
        <v>1</v>
      </c>
      <c r="D99" s="3" t="n">
        <v>6</v>
      </c>
      <c r="E99" s="3" t="n">
        <v>6</v>
      </c>
      <c r="F99" s="24" t="n">
        <v>0.0492724627</v>
      </c>
    </row>
    <row r="100" customFormat="false" ht="15" hidden="false" customHeight="false" outlineLevel="0" collapsed="false">
      <c r="A100" s="3" t="n">
        <v>99</v>
      </c>
      <c r="B100" s="3" t="n">
        <v>98</v>
      </c>
      <c r="C100" s="3" t="n">
        <v>2</v>
      </c>
      <c r="D100" s="3" t="n">
        <v>0</v>
      </c>
      <c r="E100" s="3" t="n">
        <v>0</v>
      </c>
      <c r="F100" s="24" t="n">
        <v>1.2016834</v>
      </c>
    </row>
    <row r="101" customFormat="false" ht="15" hidden="false" customHeight="false" outlineLevel="0" collapsed="false">
      <c r="A101" s="3" t="n">
        <v>100</v>
      </c>
      <c r="B101" s="3" t="n">
        <v>99</v>
      </c>
      <c r="C101" s="3" t="n">
        <v>2</v>
      </c>
      <c r="D101" s="3" t="n">
        <v>0</v>
      </c>
      <c r="E101" s="3" t="n">
        <v>1</v>
      </c>
      <c r="F101" s="24" t="n">
        <v>1.4698441</v>
      </c>
    </row>
    <row r="102" customFormat="false" ht="15" hidden="false" customHeight="false" outlineLevel="0" collapsed="false">
      <c r="A102" s="3" t="n">
        <v>101</v>
      </c>
      <c r="B102" s="3" t="n">
        <v>100</v>
      </c>
      <c r="C102" s="3" t="n">
        <v>2</v>
      </c>
      <c r="D102" s="3" t="n">
        <v>0</v>
      </c>
      <c r="E102" s="3" t="n">
        <v>2</v>
      </c>
      <c r="F102" s="24" t="n">
        <v>1.4698441</v>
      </c>
    </row>
    <row r="103" customFormat="false" ht="15" hidden="false" customHeight="false" outlineLevel="0" collapsed="false">
      <c r="A103" s="3" t="n">
        <v>102</v>
      </c>
      <c r="B103" s="3" t="n">
        <v>101</v>
      </c>
      <c r="C103" s="3" t="n">
        <v>2</v>
      </c>
      <c r="D103" s="3" t="n">
        <v>0</v>
      </c>
      <c r="E103" s="3" t="n">
        <v>3</v>
      </c>
      <c r="F103" s="24" t="n">
        <v>1.4698441</v>
      </c>
    </row>
    <row r="104" customFormat="false" ht="15" hidden="false" customHeight="false" outlineLevel="0" collapsed="false">
      <c r="A104" s="3" t="n">
        <v>103</v>
      </c>
      <c r="B104" s="3" t="n">
        <v>102</v>
      </c>
      <c r="C104" s="3" t="n">
        <v>2</v>
      </c>
      <c r="D104" s="3" t="n">
        <v>0</v>
      </c>
      <c r="E104" s="3" t="n">
        <v>4</v>
      </c>
      <c r="F104" s="24" t="n">
        <v>1.4698441</v>
      </c>
    </row>
    <row r="105" customFormat="false" ht="15" hidden="false" customHeight="false" outlineLevel="0" collapsed="false">
      <c r="A105" s="3" t="n">
        <v>104</v>
      </c>
      <c r="B105" s="3" t="n">
        <v>103</v>
      </c>
      <c r="C105" s="3" t="n">
        <v>2</v>
      </c>
      <c r="D105" s="3" t="n">
        <v>0</v>
      </c>
      <c r="E105" s="3" t="n">
        <v>5</v>
      </c>
      <c r="F105" s="24" t="n">
        <v>1.4698441</v>
      </c>
    </row>
    <row r="106" customFormat="false" ht="15" hidden="false" customHeight="false" outlineLevel="0" collapsed="false">
      <c r="A106" s="3" t="n">
        <v>105</v>
      </c>
      <c r="B106" s="3" t="n">
        <v>104</v>
      </c>
      <c r="C106" s="3" t="n">
        <v>2</v>
      </c>
      <c r="D106" s="3" t="n">
        <v>0</v>
      </c>
      <c r="E106" s="3" t="n">
        <v>6</v>
      </c>
      <c r="F106" s="24" t="n">
        <v>1.20705199</v>
      </c>
    </row>
    <row r="107" customFormat="false" ht="15" hidden="false" customHeight="false" outlineLevel="0" collapsed="false">
      <c r="A107" s="3" t="n">
        <v>106</v>
      </c>
      <c r="B107" s="3" t="n">
        <v>105</v>
      </c>
      <c r="C107" s="3" t="n">
        <v>2</v>
      </c>
      <c r="D107" s="3" t="n">
        <v>1</v>
      </c>
      <c r="E107" s="3" t="n">
        <v>0</v>
      </c>
      <c r="F107" s="24" t="n">
        <v>0.587804258</v>
      </c>
    </row>
    <row r="108" customFormat="false" ht="15" hidden="false" customHeight="false" outlineLevel="0" collapsed="false">
      <c r="A108" s="3" t="n">
        <v>107</v>
      </c>
      <c r="B108" s="3" t="n">
        <v>106</v>
      </c>
      <c r="C108" s="3" t="n">
        <v>2</v>
      </c>
      <c r="D108" s="3" t="n">
        <v>1</v>
      </c>
      <c r="E108" s="3" t="n">
        <v>1</v>
      </c>
      <c r="F108" s="24" t="n">
        <v>4.22180939</v>
      </c>
    </row>
    <row r="109" customFormat="false" ht="15" hidden="false" customHeight="false" outlineLevel="0" collapsed="false">
      <c r="A109" s="3" t="n">
        <v>108</v>
      </c>
      <c r="B109" s="3" t="n">
        <v>107</v>
      </c>
      <c r="C109" s="3" t="n">
        <v>2</v>
      </c>
      <c r="D109" s="3" t="n">
        <v>1</v>
      </c>
      <c r="E109" s="3" t="n">
        <v>2</v>
      </c>
      <c r="F109" s="24" t="n">
        <v>3.22038651</v>
      </c>
    </row>
    <row r="110" customFormat="false" ht="15" hidden="false" customHeight="false" outlineLevel="0" collapsed="false">
      <c r="A110" s="3" t="n">
        <v>109</v>
      </c>
      <c r="B110" s="3" t="n">
        <v>108</v>
      </c>
      <c r="C110" s="3" t="n">
        <v>2</v>
      </c>
      <c r="D110" s="3" t="n">
        <v>1</v>
      </c>
      <c r="E110" s="3" t="n">
        <v>3</v>
      </c>
      <c r="F110" s="24" t="n">
        <v>2.26063871</v>
      </c>
    </row>
    <row r="111" customFormat="false" ht="15" hidden="false" customHeight="false" outlineLevel="0" collapsed="false">
      <c r="A111" s="3" t="n">
        <v>110</v>
      </c>
      <c r="B111" s="3" t="n">
        <v>109</v>
      </c>
      <c r="C111" s="3" t="n">
        <v>2</v>
      </c>
      <c r="D111" s="3" t="n">
        <v>1</v>
      </c>
      <c r="E111" s="3" t="n">
        <v>4</v>
      </c>
      <c r="F111" s="24" t="n">
        <v>2.29182053</v>
      </c>
    </row>
    <row r="112" customFormat="false" ht="15" hidden="false" customHeight="false" outlineLevel="0" collapsed="false">
      <c r="A112" s="3" t="n">
        <v>111</v>
      </c>
      <c r="B112" s="3" t="n">
        <v>110</v>
      </c>
      <c r="C112" s="3" t="n">
        <v>2</v>
      </c>
      <c r="D112" s="3" t="n">
        <v>1</v>
      </c>
      <c r="E112" s="3" t="n">
        <v>5</v>
      </c>
      <c r="F112" s="24" t="n">
        <v>0.901531637</v>
      </c>
    </row>
    <row r="113" customFormat="false" ht="15" hidden="false" customHeight="false" outlineLevel="0" collapsed="false">
      <c r="A113" s="3" t="n">
        <v>112</v>
      </c>
      <c r="B113" s="3" t="n">
        <v>111</v>
      </c>
      <c r="C113" s="3" t="n">
        <v>2</v>
      </c>
      <c r="D113" s="3" t="n">
        <v>1</v>
      </c>
      <c r="E113" s="3" t="n">
        <v>6</v>
      </c>
      <c r="F113" s="24" t="n">
        <v>0.37193346</v>
      </c>
    </row>
    <row r="114" customFormat="false" ht="15" hidden="false" customHeight="false" outlineLevel="0" collapsed="false">
      <c r="A114" s="3" t="n">
        <v>113</v>
      </c>
      <c r="B114" s="3" t="n">
        <v>112</v>
      </c>
      <c r="C114" s="3" t="n">
        <v>2</v>
      </c>
      <c r="D114" s="3" t="n">
        <v>2</v>
      </c>
      <c r="E114" s="3" t="n">
        <v>0</v>
      </c>
      <c r="F114" s="24" t="n">
        <v>0.809068084</v>
      </c>
    </row>
    <row r="115" customFormat="false" ht="15" hidden="false" customHeight="false" outlineLevel="0" collapsed="false">
      <c r="A115" s="3" t="n">
        <v>114</v>
      </c>
      <c r="B115" s="3" t="n">
        <v>113</v>
      </c>
      <c r="C115" s="3" t="n">
        <v>2</v>
      </c>
      <c r="D115" s="3" t="n">
        <v>2</v>
      </c>
      <c r="E115" s="3" t="n">
        <v>1</v>
      </c>
      <c r="F115" s="24" t="n">
        <v>6.13524723</v>
      </c>
    </row>
    <row r="116" customFormat="false" ht="15" hidden="false" customHeight="false" outlineLevel="0" collapsed="false">
      <c r="A116" s="3" t="n">
        <v>115</v>
      </c>
      <c r="B116" s="3" t="n">
        <v>114</v>
      </c>
      <c r="C116" s="3" t="n">
        <v>2</v>
      </c>
      <c r="D116" s="3" t="n">
        <v>2</v>
      </c>
      <c r="E116" s="3" t="n">
        <v>2</v>
      </c>
      <c r="F116" s="24" t="n">
        <v>10.5070009</v>
      </c>
    </row>
    <row r="117" customFormat="false" ht="15" hidden="false" customHeight="false" outlineLevel="0" collapsed="false">
      <c r="A117" s="3" t="n">
        <v>116</v>
      </c>
      <c r="B117" s="3" t="n">
        <v>115</v>
      </c>
      <c r="C117" s="3" t="n">
        <v>2</v>
      </c>
      <c r="D117" s="3" t="n">
        <v>2</v>
      </c>
      <c r="E117" s="3" t="n">
        <v>3</v>
      </c>
      <c r="F117" s="24" t="n">
        <v>11.8981276</v>
      </c>
    </row>
    <row r="118" customFormat="false" ht="15" hidden="false" customHeight="false" outlineLevel="0" collapsed="false">
      <c r="A118" s="3" t="n">
        <v>117</v>
      </c>
      <c r="B118" s="3" t="n">
        <v>116</v>
      </c>
      <c r="C118" s="3" t="n">
        <v>2</v>
      </c>
      <c r="D118" s="3" t="n">
        <v>2</v>
      </c>
      <c r="E118" s="3" t="n">
        <v>4</v>
      </c>
      <c r="F118" s="24" t="n">
        <v>8.64560318</v>
      </c>
    </row>
    <row r="119" customFormat="false" ht="15" hidden="false" customHeight="false" outlineLevel="0" collapsed="false">
      <c r="A119" s="3" t="n">
        <v>118</v>
      </c>
      <c r="B119" s="3" t="n">
        <v>117</v>
      </c>
      <c r="C119" s="3" t="n">
        <v>2</v>
      </c>
      <c r="D119" s="3" t="n">
        <v>2</v>
      </c>
      <c r="E119" s="3" t="n">
        <v>5</v>
      </c>
      <c r="F119" s="24" t="n">
        <v>0</v>
      </c>
    </row>
    <row r="120" customFormat="false" ht="15" hidden="false" customHeight="false" outlineLevel="0" collapsed="false">
      <c r="A120" s="3" t="n">
        <v>119</v>
      </c>
      <c r="B120" s="3" t="n">
        <v>118</v>
      </c>
      <c r="C120" s="3" t="n">
        <v>2</v>
      </c>
      <c r="D120" s="3" t="n">
        <v>2</v>
      </c>
      <c r="E120" s="3" t="n">
        <v>6</v>
      </c>
      <c r="F120" s="24" t="n">
        <v>0.785543621</v>
      </c>
    </row>
    <row r="121" customFormat="false" ht="15" hidden="false" customHeight="false" outlineLevel="0" collapsed="false">
      <c r="A121" s="3" t="n">
        <v>120</v>
      </c>
      <c r="B121" s="3" t="n">
        <v>119</v>
      </c>
      <c r="C121" s="3" t="n">
        <v>2</v>
      </c>
      <c r="D121" s="3" t="n">
        <v>3</v>
      </c>
      <c r="E121" s="3" t="n">
        <v>0</v>
      </c>
      <c r="F121" s="24" t="n">
        <v>0.587804258</v>
      </c>
    </row>
    <row r="122" customFormat="false" ht="15" hidden="false" customHeight="false" outlineLevel="0" collapsed="false">
      <c r="A122" s="3" t="n">
        <v>121</v>
      </c>
      <c r="B122" s="3" t="n">
        <v>120</v>
      </c>
      <c r="C122" s="3" t="n">
        <v>2</v>
      </c>
      <c r="D122" s="3" t="n">
        <v>3</v>
      </c>
      <c r="E122" s="3" t="n">
        <v>1</v>
      </c>
      <c r="F122" s="24" t="n">
        <v>0.85178107</v>
      </c>
    </row>
    <row r="123" customFormat="false" ht="15" hidden="false" customHeight="false" outlineLevel="0" collapsed="false">
      <c r="A123" s="3" t="n">
        <v>122</v>
      </c>
      <c r="B123" s="3" t="n">
        <v>121</v>
      </c>
      <c r="C123" s="3" t="n">
        <v>2</v>
      </c>
      <c r="D123" s="3" t="n">
        <v>3</v>
      </c>
      <c r="E123" s="3" t="n">
        <v>2</v>
      </c>
      <c r="F123" s="24" t="n">
        <v>1.80526686</v>
      </c>
    </row>
    <row r="124" customFormat="false" ht="15" hidden="false" customHeight="false" outlineLevel="0" collapsed="false">
      <c r="A124" s="3" t="n">
        <v>123</v>
      </c>
      <c r="B124" s="3" t="n">
        <v>122</v>
      </c>
      <c r="C124" s="3" t="n">
        <v>2</v>
      </c>
      <c r="D124" s="3" t="n">
        <v>3</v>
      </c>
      <c r="E124" s="3" t="n">
        <v>3</v>
      </c>
      <c r="F124" s="24" t="n">
        <v>2.08910632</v>
      </c>
    </row>
    <row r="125" customFormat="false" ht="15" hidden="false" customHeight="false" outlineLevel="0" collapsed="false">
      <c r="A125" s="3" t="n">
        <v>124</v>
      </c>
      <c r="B125" s="3" t="n">
        <v>123</v>
      </c>
      <c r="C125" s="3" t="n">
        <v>2</v>
      </c>
      <c r="D125" s="3" t="n">
        <v>3</v>
      </c>
      <c r="E125" s="3" t="n">
        <v>4</v>
      </c>
      <c r="F125" s="24" t="n">
        <v>0</v>
      </c>
    </row>
    <row r="126" customFormat="false" ht="15" hidden="false" customHeight="false" outlineLevel="0" collapsed="false">
      <c r="A126" s="3" t="n">
        <v>125</v>
      </c>
      <c r="B126" s="3" t="n">
        <v>124</v>
      </c>
      <c r="C126" s="3" t="n">
        <v>2</v>
      </c>
      <c r="D126" s="3" t="n">
        <v>3</v>
      </c>
      <c r="E126" s="3" t="n">
        <v>5</v>
      </c>
      <c r="F126" s="24" t="n">
        <v>2.61104035</v>
      </c>
    </row>
    <row r="127" customFormat="false" ht="15" hidden="false" customHeight="false" outlineLevel="0" collapsed="false">
      <c r="A127" s="3" t="n">
        <v>126</v>
      </c>
      <c r="B127" s="3" t="n">
        <v>125</v>
      </c>
      <c r="C127" s="3" t="n">
        <v>2</v>
      </c>
      <c r="D127" s="3" t="n">
        <v>3</v>
      </c>
      <c r="E127" s="3" t="n">
        <v>6</v>
      </c>
      <c r="F127" s="24" t="n">
        <v>0.878169417</v>
      </c>
    </row>
    <row r="128" customFormat="false" ht="15" hidden="false" customHeight="false" outlineLevel="0" collapsed="false">
      <c r="A128" s="3" t="n">
        <v>127</v>
      </c>
      <c r="B128" s="3" t="n">
        <v>126</v>
      </c>
      <c r="C128" s="3" t="n">
        <v>2</v>
      </c>
      <c r="D128" s="3" t="n">
        <v>4</v>
      </c>
      <c r="E128" s="3" t="n">
        <v>0</v>
      </c>
      <c r="F128" s="24" t="n">
        <v>0.587804258</v>
      </c>
    </row>
    <row r="129" customFormat="false" ht="15" hidden="false" customHeight="false" outlineLevel="0" collapsed="false">
      <c r="A129" s="3" t="n">
        <v>128</v>
      </c>
      <c r="B129" s="3" t="n">
        <v>127</v>
      </c>
      <c r="C129" s="3" t="n">
        <v>2</v>
      </c>
      <c r="D129" s="3" t="n">
        <v>4</v>
      </c>
      <c r="E129" s="3" t="n">
        <v>1</v>
      </c>
      <c r="F129" s="24" t="n">
        <v>0.633773386</v>
      </c>
    </row>
    <row r="130" customFormat="false" ht="15" hidden="false" customHeight="false" outlineLevel="0" collapsed="false">
      <c r="A130" s="3" t="n">
        <v>129</v>
      </c>
      <c r="B130" s="3" t="n">
        <v>128</v>
      </c>
      <c r="C130" s="3" t="n">
        <v>2</v>
      </c>
      <c r="D130" s="3" t="n">
        <v>4</v>
      </c>
      <c r="E130" s="3" t="n">
        <v>2</v>
      </c>
      <c r="F130" s="24" t="n">
        <v>0.678896189</v>
      </c>
    </row>
    <row r="131" customFormat="false" ht="15" hidden="false" customHeight="false" outlineLevel="0" collapsed="false">
      <c r="A131" s="3" t="n">
        <v>130</v>
      </c>
      <c r="B131" s="3" t="n">
        <v>129</v>
      </c>
      <c r="C131" s="3" t="n">
        <v>2</v>
      </c>
      <c r="D131" s="3" t="n">
        <v>4</v>
      </c>
      <c r="E131" s="3" t="n">
        <v>3</v>
      </c>
      <c r="F131" s="24" t="n">
        <v>0</v>
      </c>
    </row>
    <row r="132" customFormat="false" ht="15" hidden="false" customHeight="false" outlineLevel="0" collapsed="false">
      <c r="A132" s="3" t="n">
        <v>131</v>
      </c>
      <c r="B132" s="3" t="n">
        <v>130</v>
      </c>
      <c r="C132" s="3" t="n">
        <v>2</v>
      </c>
      <c r="D132" s="3" t="n">
        <v>4</v>
      </c>
      <c r="E132" s="3" t="n">
        <v>4</v>
      </c>
      <c r="F132" s="24" t="n">
        <v>1.69762623</v>
      </c>
    </row>
    <row r="133" customFormat="false" ht="15" hidden="false" customHeight="false" outlineLevel="0" collapsed="false">
      <c r="A133" s="3" t="n">
        <v>132</v>
      </c>
      <c r="B133" s="3" t="n">
        <v>131</v>
      </c>
      <c r="C133" s="3" t="n">
        <v>2</v>
      </c>
      <c r="D133" s="3" t="n">
        <v>4</v>
      </c>
      <c r="E133" s="3" t="n">
        <v>5</v>
      </c>
      <c r="F133" s="24" t="n">
        <v>2.71663165</v>
      </c>
    </row>
    <row r="134" customFormat="false" ht="15" hidden="false" customHeight="false" outlineLevel="0" collapsed="false">
      <c r="A134" s="3" t="n">
        <v>133</v>
      </c>
      <c r="B134" s="3" t="n">
        <v>132</v>
      </c>
      <c r="C134" s="3" t="n">
        <v>2</v>
      </c>
      <c r="D134" s="3" t="n">
        <v>4</v>
      </c>
      <c r="E134" s="3" t="n">
        <v>6</v>
      </c>
      <c r="F134" s="24" t="n">
        <v>0.354083538</v>
      </c>
    </row>
    <row r="135" customFormat="false" ht="15" hidden="false" customHeight="false" outlineLevel="0" collapsed="false">
      <c r="A135" s="3" t="n">
        <v>134</v>
      </c>
      <c r="B135" s="3" t="n">
        <v>133</v>
      </c>
      <c r="C135" s="3" t="n">
        <v>2</v>
      </c>
      <c r="D135" s="3" t="n">
        <v>5</v>
      </c>
      <c r="E135" s="3" t="n">
        <v>0</v>
      </c>
      <c r="F135" s="24" t="n">
        <v>0.587804258</v>
      </c>
    </row>
    <row r="136" customFormat="false" ht="15" hidden="false" customHeight="false" outlineLevel="0" collapsed="false">
      <c r="A136" s="3" t="n">
        <v>135</v>
      </c>
      <c r="B136" s="3" t="n">
        <v>134</v>
      </c>
      <c r="C136" s="3" t="n">
        <v>2</v>
      </c>
      <c r="D136" s="3" t="n">
        <v>5</v>
      </c>
      <c r="E136" s="3" t="n">
        <v>1</v>
      </c>
      <c r="F136" s="24" t="n">
        <v>0.633773386</v>
      </c>
    </row>
    <row r="137" customFormat="false" ht="15" hidden="false" customHeight="false" outlineLevel="0" collapsed="false">
      <c r="A137" s="3" t="n">
        <v>136</v>
      </c>
      <c r="B137" s="3" t="n">
        <v>135</v>
      </c>
      <c r="C137" s="3" t="n">
        <v>2</v>
      </c>
      <c r="D137" s="3" t="n">
        <v>5</v>
      </c>
      <c r="E137" s="3" t="n">
        <v>2</v>
      </c>
      <c r="F137" s="24" t="n">
        <v>0</v>
      </c>
    </row>
    <row r="138" customFormat="false" ht="15" hidden="false" customHeight="false" outlineLevel="0" collapsed="false">
      <c r="A138" s="3" t="n">
        <v>137</v>
      </c>
      <c r="B138" s="3" t="n">
        <v>136</v>
      </c>
      <c r="C138" s="3" t="n">
        <v>2</v>
      </c>
      <c r="D138" s="3" t="n">
        <v>5</v>
      </c>
      <c r="E138" s="3" t="n">
        <v>3</v>
      </c>
      <c r="F138" s="24" t="n">
        <v>0</v>
      </c>
    </row>
    <row r="139" customFormat="false" ht="15" hidden="false" customHeight="false" outlineLevel="0" collapsed="false">
      <c r="A139" s="3" t="n">
        <v>138</v>
      </c>
      <c r="B139" s="3" t="n">
        <v>137</v>
      </c>
      <c r="C139" s="3" t="n">
        <v>2</v>
      </c>
      <c r="D139" s="3" t="n">
        <v>5</v>
      </c>
      <c r="E139" s="3" t="n">
        <v>4</v>
      </c>
      <c r="F139" s="24" t="n">
        <v>3.32958722</v>
      </c>
    </row>
    <row r="140" customFormat="false" ht="15" hidden="false" customHeight="false" outlineLevel="0" collapsed="false">
      <c r="A140" s="3" t="n">
        <v>139</v>
      </c>
      <c r="B140" s="3" t="n">
        <v>138</v>
      </c>
      <c r="C140" s="3" t="n">
        <v>2</v>
      </c>
      <c r="D140" s="3" t="n">
        <v>5</v>
      </c>
      <c r="E140" s="3" t="n">
        <v>5</v>
      </c>
      <c r="F140" s="24" t="n">
        <v>1.01111281</v>
      </c>
    </row>
    <row r="141" customFormat="false" ht="15" hidden="false" customHeight="false" outlineLevel="0" collapsed="false">
      <c r="A141" s="3" t="n">
        <v>140</v>
      </c>
      <c r="B141" s="3" t="n">
        <v>139</v>
      </c>
      <c r="C141" s="3" t="n">
        <v>2</v>
      </c>
      <c r="D141" s="3" t="n">
        <v>5</v>
      </c>
      <c r="E141" s="3" t="n">
        <v>6</v>
      </c>
      <c r="F141" s="24" t="n">
        <v>0.354083538</v>
      </c>
    </row>
    <row r="142" customFormat="false" ht="15" hidden="false" customHeight="false" outlineLevel="0" collapsed="false">
      <c r="A142" s="3" t="n">
        <v>141</v>
      </c>
      <c r="B142" s="3" t="n">
        <v>140</v>
      </c>
      <c r="C142" s="3" t="n">
        <v>2</v>
      </c>
      <c r="D142" s="3" t="n">
        <v>6</v>
      </c>
      <c r="E142" s="3" t="n">
        <v>0</v>
      </c>
      <c r="F142" s="24" t="n">
        <v>0.88668561</v>
      </c>
    </row>
    <row r="143" customFormat="false" ht="15" hidden="false" customHeight="false" outlineLevel="0" collapsed="false">
      <c r="A143" s="3" t="n">
        <v>142</v>
      </c>
      <c r="B143" s="3" t="n">
        <v>141</v>
      </c>
      <c r="C143" s="3" t="n">
        <v>2</v>
      </c>
      <c r="D143" s="3" t="n">
        <v>6</v>
      </c>
      <c r="E143" s="3" t="n">
        <v>1</v>
      </c>
      <c r="F143" s="24" t="n">
        <v>1.02608156</v>
      </c>
    </row>
    <row r="144" customFormat="false" ht="15" hidden="false" customHeight="false" outlineLevel="0" collapsed="false">
      <c r="A144" s="3" t="n">
        <v>143</v>
      </c>
      <c r="B144" s="3" t="n">
        <v>142</v>
      </c>
      <c r="C144" s="3" t="n">
        <v>2</v>
      </c>
      <c r="D144" s="3" t="n">
        <v>6</v>
      </c>
      <c r="E144" s="3" t="n">
        <v>2</v>
      </c>
      <c r="F144" s="24" t="n">
        <v>7.19992018</v>
      </c>
    </row>
    <row r="145" customFormat="false" ht="15" hidden="false" customHeight="false" outlineLevel="0" collapsed="false">
      <c r="A145" s="3" t="n">
        <v>144</v>
      </c>
      <c r="B145" s="3" t="n">
        <v>143</v>
      </c>
      <c r="C145" s="3" t="n">
        <v>2</v>
      </c>
      <c r="D145" s="3" t="n">
        <v>6</v>
      </c>
      <c r="E145" s="3" t="n">
        <v>3</v>
      </c>
      <c r="F145" s="24" t="n">
        <v>7.3890624</v>
      </c>
    </row>
    <row r="146" customFormat="false" ht="15" hidden="false" customHeight="false" outlineLevel="0" collapsed="false">
      <c r="A146" s="3" t="n">
        <v>145</v>
      </c>
      <c r="B146" s="3" t="n">
        <v>144</v>
      </c>
      <c r="C146" s="3" t="n">
        <v>2</v>
      </c>
      <c r="D146" s="3" t="n">
        <v>6</v>
      </c>
      <c r="E146" s="3" t="n">
        <v>4</v>
      </c>
      <c r="F146" s="24" t="n">
        <v>2.35648537</v>
      </c>
    </row>
    <row r="147" customFormat="false" ht="15" hidden="false" customHeight="false" outlineLevel="0" collapsed="false">
      <c r="A147" s="3" t="n">
        <v>146</v>
      </c>
      <c r="B147" s="3" t="n">
        <v>145</v>
      </c>
      <c r="C147" s="3" t="n">
        <v>2</v>
      </c>
      <c r="D147" s="3" t="n">
        <v>6</v>
      </c>
      <c r="E147" s="3" t="n">
        <v>5</v>
      </c>
      <c r="F147" s="24" t="n">
        <v>1.02608156</v>
      </c>
    </row>
    <row r="148" customFormat="false" ht="15" hidden="false" customHeight="false" outlineLevel="0" collapsed="false">
      <c r="A148" s="3" t="n">
        <v>147</v>
      </c>
      <c r="B148" s="3" t="n">
        <v>146</v>
      </c>
      <c r="C148" s="3" t="n">
        <v>2</v>
      </c>
      <c r="D148" s="3" t="n">
        <v>6</v>
      </c>
      <c r="E148" s="3" t="n">
        <v>6</v>
      </c>
      <c r="F148" s="24" t="n">
        <v>0.746391773</v>
      </c>
    </row>
    <row r="149" customFormat="false" ht="15" hidden="false" customHeight="false" outlineLevel="0" collapsed="false">
      <c r="A149" s="3" t="n">
        <v>148</v>
      </c>
      <c r="B149" s="3" t="n">
        <v>147</v>
      </c>
      <c r="C149" s="3" t="n">
        <v>3</v>
      </c>
      <c r="D149" s="3" t="n">
        <v>0</v>
      </c>
      <c r="E149" s="3" t="n">
        <v>0</v>
      </c>
      <c r="F149" s="24" t="n">
        <v>0</v>
      </c>
    </row>
    <row r="150" customFormat="false" ht="15" hidden="false" customHeight="false" outlineLevel="0" collapsed="false">
      <c r="A150" s="3" t="n">
        <v>149</v>
      </c>
      <c r="B150" s="3" t="n">
        <v>148</v>
      </c>
      <c r="C150" s="3" t="n">
        <v>3</v>
      </c>
      <c r="D150" s="3" t="n">
        <v>0</v>
      </c>
      <c r="E150" s="3" t="n">
        <v>1</v>
      </c>
      <c r="F150" s="24" t="n">
        <v>0</v>
      </c>
    </row>
    <row r="151" customFormat="false" ht="15" hidden="false" customHeight="false" outlineLevel="0" collapsed="false">
      <c r="A151" s="3" t="n">
        <v>150</v>
      </c>
      <c r="B151" s="3" t="n">
        <v>149</v>
      </c>
      <c r="C151" s="3" t="n">
        <v>3</v>
      </c>
      <c r="D151" s="3" t="n">
        <v>0</v>
      </c>
      <c r="E151" s="3" t="n">
        <v>2</v>
      </c>
      <c r="F151" s="24" t="n">
        <v>0</v>
      </c>
    </row>
    <row r="152" customFormat="false" ht="15" hidden="false" customHeight="false" outlineLevel="0" collapsed="false">
      <c r="A152" s="3" t="n">
        <v>151</v>
      </c>
      <c r="B152" s="3" t="n">
        <v>150</v>
      </c>
      <c r="C152" s="3" t="n">
        <v>3</v>
      </c>
      <c r="D152" s="3" t="n">
        <v>0</v>
      </c>
      <c r="E152" s="3" t="n">
        <v>3</v>
      </c>
      <c r="F152" s="24" t="n">
        <v>0</v>
      </c>
    </row>
    <row r="153" customFormat="false" ht="15" hidden="false" customHeight="false" outlineLevel="0" collapsed="false">
      <c r="A153" s="3" t="n">
        <v>152</v>
      </c>
      <c r="B153" s="3" t="n">
        <v>151</v>
      </c>
      <c r="C153" s="3" t="n">
        <v>3</v>
      </c>
      <c r="D153" s="3" t="n">
        <v>0</v>
      </c>
      <c r="E153" s="3" t="n">
        <v>4</v>
      </c>
      <c r="F153" s="24" t="n">
        <v>0</v>
      </c>
    </row>
    <row r="154" customFormat="false" ht="15" hidden="false" customHeight="false" outlineLevel="0" collapsed="false">
      <c r="A154" s="3" t="n">
        <v>153</v>
      </c>
      <c r="B154" s="3" t="n">
        <v>152</v>
      </c>
      <c r="C154" s="3" t="n">
        <v>3</v>
      </c>
      <c r="D154" s="3" t="n">
        <v>0</v>
      </c>
      <c r="E154" s="3" t="n">
        <v>5</v>
      </c>
      <c r="F154" s="24" t="n">
        <v>0</v>
      </c>
    </row>
    <row r="155" customFormat="false" ht="15" hidden="false" customHeight="false" outlineLevel="0" collapsed="false">
      <c r="A155" s="3" t="n">
        <v>154</v>
      </c>
      <c r="B155" s="3" t="n">
        <v>153</v>
      </c>
      <c r="C155" s="3" t="n">
        <v>3</v>
      </c>
      <c r="D155" s="3" t="n">
        <v>0</v>
      </c>
      <c r="E155" s="3" t="n">
        <v>6</v>
      </c>
      <c r="F155" s="24" t="n">
        <v>0</v>
      </c>
    </row>
    <row r="156" customFormat="false" ht="15" hidden="false" customHeight="false" outlineLevel="0" collapsed="false">
      <c r="A156" s="3" t="n">
        <v>155</v>
      </c>
      <c r="B156" s="3" t="n">
        <v>154</v>
      </c>
      <c r="C156" s="3" t="n">
        <v>3</v>
      </c>
      <c r="D156" s="3" t="n">
        <v>1</v>
      </c>
      <c r="E156" s="3" t="n">
        <v>0</v>
      </c>
      <c r="F156" s="24" t="n">
        <v>1.24248445</v>
      </c>
    </row>
    <row r="157" customFormat="false" ht="15" hidden="false" customHeight="false" outlineLevel="0" collapsed="false">
      <c r="A157" s="3" t="n">
        <v>156</v>
      </c>
      <c r="B157" s="3" t="n">
        <v>155</v>
      </c>
      <c r="C157" s="3" t="n">
        <v>3</v>
      </c>
      <c r="D157" s="3" t="n">
        <v>1</v>
      </c>
      <c r="E157" s="3" t="n">
        <v>1</v>
      </c>
      <c r="F157" s="24" t="n">
        <v>4.00915003</v>
      </c>
    </row>
    <row r="158" customFormat="false" ht="15" hidden="false" customHeight="false" outlineLevel="0" collapsed="false">
      <c r="A158" s="3" t="n">
        <v>157</v>
      </c>
      <c r="B158" s="3" t="n">
        <v>156</v>
      </c>
      <c r="C158" s="3" t="n">
        <v>3</v>
      </c>
      <c r="D158" s="3" t="n">
        <v>1</v>
      </c>
      <c r="E158" s="3" t="n">
        <v>2</v>
      </c>
      <c r="F158" s="24" t="n">
        <v>0</v>
      </c>
    </row>
    <row r="159" customFormat="false" ht="15" hidden="false" customHeight="false" outlineLevel="0" collapsed="false">
      <c r="A159" s="3" t="n">
        <v>158</v>
      </c>
      <c r="B159" s="3" t="n">
        <v>157</v>
      </c>
      <c r="C159" s="3" t="n">
        <v>3</v>
      </c>
      <c r="D159" s="3" t="n">
        <v>1</v>
      </c>
      <c r="E159" s="3" t="n">
        <v>3</v>
      </c>
      <c r="F159" s="24" t="n">
        <v>0</v>
      </c>
    </row>
    <row r="160" customFormat="false" ht="15" hidden="false" customHeight="false" outlineLevel="0" collapsed="false">
      <c r="A160" s="3" t="n">
        <v>159</v>
      </c>
      <c r="B160" s="3" t="n">
        <v>158</v>
      </c>
      <c r="C160" s="3" t="n">
        <v>3</v>
      </c>
      <c r="D160" s="3" t="n">
        <v>1</v>
      </c>
      <c r="E160" s="3" t="n">
        <v>4</v>
      </c>
      <c r="F160" s="24" t="n">
        <v>0</v>
      </c>
    </row>
    <row r="161" customFormat="false" ht="15" hidden="false" customHeight="false" outlineLevel="0" collapsed="false">
      <c r="A161" s="3" t="n">
        <v>160</v>
      </c>
      <c r="B161" s="3" t="n">
        <v>159</v>
      </c>
      <c r="C161" s="3" t="n">
        <v>3</v>
      </c>
      <c r="D161" s="3" t="n">
        <v>1</v>
      </c>
      <c r="E161" s="3" t="n">
        <v>5</v>
      </c>
      <c r="F161" s="24" t="n">
        <v>0.122139737</v>
      </c>
    </row>
    <row r="162" customFormat="false" ht="15" hidden="false" customHeight="false" outlineLevel="0" collapsed="false">
      <c r="A162" s="3" t="n">
        <v>161</v>
      </c>
      <c r="B162" s="3" t="n">
        <v>160</v>
      </c>
      <c r="C162" s="3" t="n">
        <v>3</v>
      </c>
      <c r="D162" s="3" t="n">
        <v>1</v>
      </c>
      <c r="E162" s="3" t="n">
        <v>6</v>
      </c>
      <c r="F162" s="24" t="n">
        <v>0.209626421</v>
      </c>
    </row>
    <row r="163" customFormat="false" ht="15" hidden="false" customHeight="false" outlineLevel="0" collapsed="false">
      <c r="A163" s="3" t="n">
        <v>162</v>
      </c>
      <c r="B163" s="3" t="n">
        <v>161</v>
      </c>
      <c r="C163" s="3" t="n">
        <v>3</v>
      </c>
      <c r="D163" s="3" t="n">
        <v>2</v>
      </c>
      <c r="E163" s="3" t="n">
        <v>0</v>
      </c>
      <c r="F163" s="24" t="n">
        <v>0.662586689</v>
      </c>
    </row>
    <row r="164" customFormat="false" ht="15" hidden="false" customHeight="false" outlineLevel="0" collapsed="false">
      <c r="A164" s="3" t="n">
        <v>163</v>
      </c>
      <c r="B164" s="3" t="n">
        <v>162</v>
      </c>
      <c r="C164" s="3" t="n">
        <v>3</v>
      </c>
      <c r="D164" s="3" t="n">
        <v>2</v>
      </c>
      <c r="E164" s="3" t="n">
        <v>1</v>
      </c>
      <c r="F164" s="24" t="n">
        <v>6.11717987</v>
      </c>
    </row>
    <row r="165" customFormat="false" ht="15" hidden="false" customHeight="false" outlineLevel="0" collapsed="false">
      <c r="A165" s="3" t="n">
        <v>164</v>
      </c>
      <c r="B165" s="3" t="n">
        <v>163</v>
      </c>
      <c r="C165" s="3" t="n">
        <v>3</v>
      </c>
      <c r="D165" s="3" t="n">
        <v>2</v>
      </c>
      <c r="E165" s="3" t="n">
        <v>2</v>
      </c>
      <c r="F165" s="24" t="n">
        <v>7.88046694</v>
      </c>
    </row>
    <row r="166" customFormat="false" ht="15" hidden="false" customHeight="false" outlineLevel="0" collapsed="false">
      <c r="A166" s="3" t="n">
        <v>165</v>
      </c>
      <c r="B166" s="3" t="n">
        <v>164</v>
      </c>
      <c r="C166" s="3" t="n">
        <v>3</v>
      </c>
      <c r="D166" s="3" t="n">
        <v>2</v>
      </c>
      <c r="E166" s="3" t="n">
        <v>3</v>
      </c>
      <c r="F166" s="24" t="n">
        <v>4.96549368</v>
      </c>
    </row>
    <row r="167" customFormat="false" ht="15" hidden="false" customHeight="false" outlineLevel="0" collapsed="false">
      <c r="A167" s="3" t="n">
        <v>166</v>
      </c>
      <c r="B167" s="3" t="n">
        <v>165</v>
      </c>
      <c r="C167" s="3" t="n">
        <v>3</v>
      </c>
      <c r="D167" s="3" t="n">
        <v>2</v>
      </c>
      <c r="E167" s="3" t="n">
        <v>4</v>
      </c>
      <c r="F167" s="24" t="n">
        <v>3.09113455</v>
      </c>
    </row>
    <row r="168" customFormat="false" ht="15" hidden="false" customHeight="false" outlineLevel="0" collapsed="false">
      <c r="A168" s="3" t="n">
        <v>167</v>
      </c>
      <c r="B168" s="3" t="n">
        <v>166</v>
      </c>
      <c r="C168" s="3" t="n">
        <v>3</v>
      </c>
      <c r="D168" s="3" t="n">
        <v>2</v>
      </c>
      <c r="E168" s="3" t="n">
        <v>5</v>
      </c>
      <c r="F168" s="24" t="n">
        <v>0</v>
      </c>
    </row>
    <row r="169" customFormat="false" ht="15" hidden="false" customHeight="false" outlineLevel="0" collapsed="false">
      <c r="A169" s="3" t="n">
        <v>168</v>
      </c>
      <c r="B169" s="3" t="n">
        <v>167</v>
      </c>
      <c r="C169" s="3" t="n">
        <v>3</v>
      </c>
      <c r="D169" s="3" t="n">
        <v>2</v>
      </c>
      <c r="E169" s="3" t="n">
        <v>6</v>
      </c>
      <c r="F169" s="24" t="n">
        <v>0</v>
      </c>
    </row>
    <row r="170" customFormat="false" ht="15" hidden="false" customHeight="false" outlineLevel="0" collapsed="false">
      <c r="A170" s="3" t="n">
        <v>169</v>
      </c>
      <c r="B170" s="3" t="n">
        <v>168</v>
      </c>
      <c r="C170" s="3" t="n">
        <v>3</v>
      </c>
      <c r="D170" s="3" t="n">
        <v>3</v>
      </c>
      <c r="E170" s="3" t="n">
        <v>0</v>
      </c>
      <c r="F170" s="24" t="n">
        <v>0</v>
      </c>
    </row>
    <row r="171" customFormat="false" ht="15" hidden="false" customHeight="false" outlineLevel="0" collapsed="false">
      <c r="A171" s="3" t="n">
        <v>170</v>
      </c>
      <c r="B171" s="3" t="n">
        <v>169</v>
      </c>
      <c r="C171" s="3" t="n">
        <v>3</v>
      </c>
      <c r="D171" s="3" t="n">
        <v>3</v>
      </c>
      <c r="E171" s="3" t="n">
        <v>1</v>
      </c>
      <c r="F171" s="24" t="n">
        <v>0</v>
      </c>
    </row>
    <row r="172" customFormat="false" ht="15" hidden="false" customHeight="false" outlineLevel="0" collapsed="false">
      <c r="A172" s="3" t="n">
        <v>171</v>
      </c>
      <c r="B172" s="3" t="n">
        <v>170</v>
      </c>
      <c r="C172" s="3" t="n">
        <v>3</v>
      </c>
      <c r="D172" s="3" t="n">
        <v>3</v>
      </c>
      <c r="E172" s="3" t="n">
        <v>2</v>
      </c>
      <c r="F172" s="24" t="n">
        <v>0.303750217</v>
      </c>
    </row>
    <row r="173" customFormat="false" ht="15" hidden="false" customHeight="false" outlineLevel="0" collapsed="false">
      <c r="A173" s="3" t="n">
        <v>172</v>
      </c>
      <c r="B173" s="3" t="n">
        <v>171</v>
      </c>
      <c r="C173" s="3" t="n">
        <v>3</v>
      </c>
      <c r="D173" s="3" t="n">
        <v>3</v>
      </c>
      <c r="E173" s="3" t="n">
        <v>3</v>
      </c>
      <c r="F173" s="24" t="n">
        <v>2.89165044</v>
      </c>
    </row>
    <row r="174" customFormat="false" ht="15" hidden="false" customHeight="false" outlineLevel="0" collapsed="false">
      <c r="A174" s="3" t="n">
        <v>173</v>
      </c>
      <c r="B174" s="3" t="n">
        <v>172</v>
      </c>
      <c r="C174" s="3" t="n">
        <v>3</v>
      </c>
      <c r="D174" s="3" t="n">
        <v>3</v>
      </c>
      <c r="E174" s="3" t="n">
        <v>4</v>
      </c>
      <c r="F174" s="24" t="n">
        <v>0.0611427873</v>
      </c>
    </row>
    <row r="175" customFormat="false" ht="15" hidden="false" customHeight="false" outlineLevel="0" collapsed="false">
      <c r="A175" s="3" t="n">
        <v>174</v>
      </c>
      <c r="B175" s="3" t="n">
        <v>173</v>
      </c>
      <c r="C175" s="3" t="n">
        <v>3</v>
      </c>
      <c r="D175" s="3" t="n">
        <v>3</v>
      </c>
      <c r="E175" s="3" t="n">
        <v>5</v>
      </c>
      <c r="F175" s="24" t="n">
        <v>0.43501848</v>
      </c>
    </row>
    <row r="176" customFormat="false" ht="15" hidden="false" customHeight="false" outlineLevel="0" collapsed="false">
      <c r="A176" s="3" t="n">
        <v>175</v>
      </c>
      <c r="B176" s="3" t="n">
        <v>174</v>
      </c>
      <c r="C176" s="3" t="n">
        <v>3</v>
      </c>
      <c r="D176" s="3" t="n">
        <v>3</v>
      </c>
      <c r="E176" s="3" t="n">
        <v>6</v>
      </c>
      <c r="F176" s="24" t="n">
        <v>0.194474474</v>
      </c>
    </row>
    <row r="177" customFormat="false" ht="15" hidden="false" customHeight="false" outlineLevel="0" collapsed="false">
      <c r="A177" s="3" t="n">
        <v>176</v>
      </c>
      <c r="B177" s="3" t="n">
        <v>175</v>
      </c>
      <c r="C177" s="3" t="n">
        <v>3</v>
      </c>
      <c r="D177" s="3" t="n">
        <v>4</v>
      </c>
      <c r="E177" s="3" t="n">
        <v>0</v>
      </c>
      <c r="F177" s="24" t="n">
        <v>0</v>
      </c>
    </row>
    <row r="178" customFormat="false" ht="15" hidden="false" customHeight="false" outlineLevel="0" collapsed="false">
      <c r="A178" s="3" t="n">
        <v>177</v>
      </c>
      <c r="B178" s="3" t="n">
        <v>176</v>
      </c>
      <c r="C178" s="3" t="n">
        <v>3</v>
      </c>
      <c r="D178" s="3" t="n">
        <v>4</v>
      </c>
      <c r="E178" s="3" t="n">
        <v>1</v>
      </c>
      <c r="F178" s="24" t="n">
        <v>0</v>
      </c>
    </row>
    <row r="179" customFormat="false" ht="15" hidden="false" customHeight="false" outlineLevel="0" collapsed="false">
      <c r="A179" s="3" t="n">
        <v>178</v>
      </c>
      <c r="B179" s="3" t="n">
        <v>177</v>
      </c>
      <c r="C179" s="3" t="n">
        <v>3</v>
      </c>
      <c r="D179" s="3" t="n">
        <v>4</v>
      </c>
      <c r="E179" s="3" t="n">
        <v>2</v>
      </c>
      <c r="F179" s="24" t="n">
        <v>1.3709141</v>
      </c>
    </row>
    <row r="180" customFormat="false" ht="15" hidden="false" customHeight="false" outlineLevel="0" collapsed="false">
      <c r="A180" s="3" t="n">
        <v>179</v>
      </c>
      <c r="B180" s="3" t="n">
        <v>178</v>
      </c>
      <c r="C180" s="3" t="n">
        <v>3</v>
      </c>
      <c r="D180" s="3" t="n">
        <v>4</v>
      </c>
      <c r="E180" s="3" t="n">
        <v>3</v>
      </c>
      <c r="F180" s="24" t="n">
        <v>0</v>
      </c>
    </row>
    <row r="181" customFormat="false" ht="15" hidden="false" customHeight="false" outlineLevel="0" collapsed="false">
      <c r="A181" s="3" t="n">
        <v>180</v>
      </c>
      <c r="B181" s="3" t="n">
        <v>179</v>
      </c>
      <c r="C181" s="3" t="n">
        <v>3</v>
      </c>
      <c r="D181" s="3" t="n">
        <v>4</v>
      </c>
      <c r="E181" s="3" t="n">
        <v>4</v>
      </c>
      <c r="F181" s="24" t="n">
        <v>0.417253554</v>
      </c>
    </row>
    <row r="182" customFormat="false" ht="15" hidden="false" customHeight="false" outlineLevel="0" collapsed="false">
      <c r="A182" s="3" t="n">
        <v>181</v>
      </c>
      <c r="B182" s="3" t="n">
        <v>180</v>
      </c>
      <c r="C182" s="3" t="n">
        <v>3</v>
      </c>
      <c r="D182" s="3" t="n">
        <v>4</v>
      </c>
      <c r="E182" s="3" t="n">
        <v>5</v>
      </c>
      <c r="F182" s="24" t="n">
        <v>0.0477315038</v>
      </c>
    </row>
    <row r="183" customFormat="false" ht="15" hidden="false" customHeight="false" outlineLevel="0" collapsed="false">
      <c r="A183" s="3" t="n">
        <v>182</v>
      </c>
      <c r="B183" s="3" t="n">
        <v>181</v>
      </c>
      <c r="C183" s="3" t="n">
        <v>3</v>
      </c>
      <c r="D183" s="3" t="n">
        <v>4</v>
      </c>
      <c r="E183" s="3" t="n">
        <v>6</v>
      </c>
      <c r="F183" s="24" t="n">
        <v>0</v>
      </c>
    </row>
    <row r="184" customFormat="false" ht="15" hidden="false" customHeight="false" outlineLevel="0" collapsed="false">
      <c r="A184" s="3" t="n">
        <v>183</v>
      </c>
      <c r="B184" s="3" t="n">
        <v>182</v>
      </c>
      <c r="C184" s="3" t="n">
        <v>3</v>
      </c>
      <c r="D184" s="3" t="n">
        <v>5</v>
      </c>
      <c r="E184" s="3" t="n">
        <v>0</v>
      </c>
      <c r="F184" s="24" t="n">
        <v>0</v>
      </c>
    </row>
    <row r="185" customFormat="false" ht="15" hidden="false" customHeight="false" outlineLevel="0" collapsed="false">
      <c r="A185" s="3" t="n">
        <v>184</v>
      </c>
      <c r="B185" s="3" t="n">
        <v>183</v>
      </c>
      <c r="C185" s="3" t="n">
        <v>3</v>
      </c>
      <c r="D185" s="3" t="n">
        <v>5</v>
      </c>
      <c r="E185" s="3" t="n">
        <v>1</v>
      </c>
      <c r="F185" s="24" t="n">
        <v>0</v>
      </c>
    </row>
    <row r="186" customFormat="false" ht="15" hidden="false" customHeight="false" outlineLevel="0" collapsed="false">
      <c r="A186" s="3" t="n">
        <v>185</v>
      </c>
      <c r="B186" s="3" t="n">
        <v>184</v>
      </c>
      <c r="C186" s="3" t="n">
        <v>3</v>
      </c>
      <c r="D186" s="3" t="n">
        <v>5</v>
      </c>
      <c r="E186" s="3" t="n">
        <v>2</v>
      </c>
      <c r="F186" s="24" t="n">
        <v>2.3020196</v>
      </c>
    </row>
    <row r="187" customFormat="false" ht="15" hidden="false" customHeight="false" outlineLevel="0" collapsed="false">
      <c r="A187" s="3" t="n">
        <v>186</v>
      </c>
      <c r="B187" s="3" t="n">
        <v>185</v>
      </c>
      <c r="C187" s="3" t="n">
        <v>3</v>
      </c>
      <c r="D187" s="3" t="n">
        <v>5</v>
      </c>
      <c r="E187" s="3" t="n">
        <v>3</v>
      </c>
      <c r="F187" s="24" t="n">
        <v>1.17385733</v>
      </c>
    </row>
    <row r="188" customFormat="false" ht="15" hidden="false" customHeight="false" outlineLevel="0" collapsed="false">
      <c r="A188" s="3" t="n">
        <v>187</v>
      </c>
      <c r="B188" s="3" t="n">
        <v>186</v>
      </c>
      <c r="C188" s="3" t="n">
        <v>3</v>
      </c>
      <c r="D188" s="3" t="n">
        <v>5</v>
      </c>
      <c r="E188" s="3" t="n">
        <v>4</v>
      </c>
      <c r="F188" s="24" t="n">
        <v>0.734983563</v>
      </c>
    </row>
    <row r="189" customFormat="false" ht="15" hidden="false" customHeight="false" outlineLevel="0" collapsed="false">
      <c r="A189" s="3" t="n">
        <v>188</v>
      </c>
      <c r="B189" s="3" t="n">
        <v>187</v>
      </c>
      <c r="C189" s="3" t="n">
        <v>3</v>
      </c>
      <c r="D189" s="3" t="n">
        <v>5</v>
      </c>
      <c r="E189" s="3" t="n">
        <v>5</v>
      </c>
      <c r="F189" s="24" t="n">
        <v>0</v>
      </c>
    </row>
    <row r="190" customFormat="false" ht="15" hidden="false" customHeight="false" outlineLevel="0" collapsed="false">
      <c r="A190" s="3" t="n">
        <v>189</v>
      </c>
      <c r="B190" s="3" t="n">
        <v>188</v>
      </c>
      <c r="C190" s="3" t="n">
        <v>3</v>
      </c>
      <c r="D190" s="3" t="n">
        <v>5</v>
      </c>
      <c r="E190" s="3" t="n">
        <v>6</v>
      </c>
      <c r="F190" s="24" t="n">
        <v>0</v>
      </c>
    </row>
    <row r="191" customFormat="false" ht="15" hidden="false" customHeight="false" outlineLevel="0" collapsed="false">
      <c r="A191" s="3" t="n">
        <v>190</v>
      </c>
      <c r="B191" s="3" t="n">
        <v>189</v>
      </c>
      <c r="C191" s="3" t="n">
        <v>3</v>
      </c>
      <c r="D191" s="3" t="n">
        <v>6</v>
      </c>
      <c r="E191" s="3" t="n">
        <v>0</v>
      </c>
      <c r="F191" s="24" t="n">
        <v>0</v>
      </c>
    </row>
    <row r="192" customFormat="false" ht="15" hidden="false" customHeight="false" outlineLevel="0" collapsed="false">
      <c r="A192" s="3" t="n">
        <v>191</v>
      </c>
      <c r="B192" s="3" t="n">
        <v>190</v>
      </c>
      <c r="C192" s="3" t="n">
        <v>3</v>
      </c>
      <c r="D192" s="3" t="n">
        <v>6</v>
      </c>
      <c r="E192" s="3" t="n">
        <v>1</v>
      </c>
      <c r="F192" s="24" t="n">
        <v>0.746443152</v>
      </c>
    </row>
    <row r="193" customFormat="false" ht="15" hidden="false" customHeight="false" outlineLevel="0" collapsed="false">
      <c r="A193" s="3" t="n">
        <v>192</v>
      </c>
      <c r="B193" s="3" t="n">
        <v>191</v>
      </c>
      <c r="C193" s="3" t="n">
        <v>3</v>
      </c>
      <c r="D193" s="3" t="n">
        <v>6</v>
      </c>
      <c r="E193" s="3" t="n">
        <v>2</v>
      </c>
      <c r="F193" s="24" t="n">
        <v>5.60710192</v>
      </c>
    </row>
    <row r="194" customFormat="false" ht="15" hidden="false" customHeight="false" outlineLevel="0" collapsed="false">
      <c r="A194" s="3" t="n">
        <v>193</v>
      </c>
      <c r="B194" s="3" t="n">
        <v>192</v>
      </c>
      <c r="C194" s="3" t="n">
        <v>3</v>
      </c>
      <c r="D194" s="3" t="n">
        <v>6</v>
      </c>
      <c r="E194" s="3" t="n">
        <v>3</v>
      </c>
      <c r="F194" s="24" t="n">
        <v>2.53685594</v>
      </c>
    </row>
    <row r="195" customFormat="false" ht="15" hidden="false" customHeight="false" outlineLevel="0" collapsed="false">
      <c r="A195" s="3" t="n">
        <v>194</v>
      </c>
      <c r="B195" s="3" t="n">
        <v>193</v>
      </c>
      <c r="C195" s="3" t="n">
        <v>3</v>
      </c>
      <c r="D195" s="3" t="n">
        <v>6</v>
      </c>
      <c r="E195" s="3" t="n">
        <v>4</v>
      </c>
      <c r="F195" s="24" t="n">
        <v>0.181695715</v>
      </c>
    </row>
    <row r="196" customFormat="false" ht="15" hidden="false" customHeight="false" outlineLevel="0" collapsed="false">
      <c r="A196" s="3" t="n">
        <v>195</v>
      </c>
      <c r="B196" s="3" t="n">
        <v>194</v>
      </c>
      <c r="C196" s="3" t="n">
        <v>3</v>
      </c>
      <c r="D196" s="3" t="n">
        <v>6</v>
      </c>
      <c r="E196" s="3" t="n">
        <v>5</v>
      </c>
      <c r="F196" s="24" t="n">
        <v>0</v>
      </c>
    </row>
    <row r="197" customFormat="false" ht="15" hidden="false" customHeight="false" outlineLevel="0" collapsed="false">
      <c r="A197" s="3" t="n">
        <v>196</v>
      </c>
      <c r="B197" s="3" t="n">
        <v>195</v>
      </c>
      <c r="C197" s="3" t="n">
        <v>3</v>
      </c>
      <c r="D197" s="3" t="n">
        <v>6</v>
      </c>
      <c r="E197" s="3" t="n">
        <v>6</v>
      </c>
      <c r="F197" s="24" t="n">
        <v>0</v>
      </c>
    </row>
    <row r="198" customFormat="false" ht="15" hidden="false" customHeight="false" outlineLevel="0" collapsed="false">
      <c r="A198" s="3" t="n">
        <v>197</v>
      </c>
      <c r="B198" s="3" t="n">
        <v>196</v>
      </c>
      <c r="C198" s="3" t="n">
        <v>4</v>
      </c>
      <c r="D198" s="3" t="n">
        <v>0</v>
      </c>
      <c r="E198" s="3" t="n">
        <v>0</v>
      </c>
      <c r="F198" s="24" t="n">
        <v>0</v>
      </c>
    </row>
    <row r="199" customFormat="false" ht="15" hidden="false" customHeight="false" outlineLevel="0" collapsed="false">
      <c r="A199" s="3" t="n">
        <v>198</v>
      </c>
      <c r="B199" s="3" t="n">
        <v>197</v>
      </c>
      <c r="C199" s="3" t="n">
        <v>4</v>
      </c>
      <c r="D199" s="3" t="n">
        <v>0</v>
      </c>
      <c r="E199" s="3" t="n">
        <v>1</v>
      </c>
      <c r="F199" s="24" t="n">
        <v>0</v>
      </c>
    </row>
    <row r="200" customFormat="false" ht="15" hidden="false" customHeight="false" outlineLevel="0" collapsed="false">
      <c r="A200" s="3" t="n">
        <v>199</v>
      </c>
      <c r="B200" s="3" t="n">
        <v>198</v>
      </c>
      <c r="C200" s="3" t="n">
        <v>4</v>
      </c>
      <c r="D200" s="3" t="n">
        <v>0</v>
      </c>
      <c r="E200" s="3" t="n">
        <v>2</v>
      </c>
      <c r="F200" s="24" t="n">
        <v>0</v>
      </c>
    </row>
    <row r="201" customFormat="false" ht="15" hidden="false" customHeight="false" outlineLevel="0" collapsed="false">
      <c r="A201" s="3" t="n">
        <v>200</v>
      </c>
      <c r="B201" s="3" t="n">
        <v>199</v>
      </c>
      <c r="C201" s="3" t="n">
        <v>4</v>
      </c>
      <c r="D201" s="3" t="n">
        <v>0</v>
      </c>
      <c r="E201" s="3" t="n">
        <v>3</v>
      </c>
      <c r="F201" s="24" t="n">
        <v>0</v>
      </c>
    </row>
    <row r="202" customFormat="false" ht="15" hidden="false" customHeight="false" outlineLevel="0" collapsed="false">
      <c r="A202" s="3" t="n">
        <v>201</v>
      </c>
      <c r="B202" s="3" t="n">
        <v>200</v>
      </c>
      <c r="C202" s="3" t="n">
        <v>4</v>
      </c>
      <c r="D202" s="3" t="n">
        <v>0</v>
      </c>
      <c r="E202" s="3" t="n">
        <v>4</v>
      </c>
      <c r="F202" s="24" t="n">
        <v>0</v>
      </c>
    </row>
    <row r="203" customFormat="false" ht="15" hidden="false" customHeight="false" outlineLevel="0" collapsed="false">
      <c r="A203" s="3" t="n">
        <v>202</v>
      </c>
      <c r="B203" s="3" t="n">
        <v>201</v>
      </c>
      <c r="C203" s="3" t="n">
        <v>4</v>
      </c>
      <c r="D203" s="3" t="n">
        <v>0</v>
      </c>
      <c r="E203" s="3" t="n">
        <v>5</v>
      </c>
      <c r="F203" s="24" t="n">
        <v>0</v>
      </c>
    </row>
    <row r="204" customFormat="false" ht="15" hidden="false" customHeight="false" outlineLevel="0" collapsed="false">
      <c r="A204" s="3" t="n">
        <v>203</v>
      </c>
      <c r="B204" s="3" t="n">
        <v>202</v>
      </c>
      <c r="C204" s="3" t="n">
        <v>4</v>
      </c>
      <c r="D204" s="3" t="n">
        <v>0</v>
      </c>
      <c r="E204" s="3" t="n">
        <v>6</v>
      </c>
      <c r="F204" s="24" t="n">
        <v>0.0739145279</v>
      </c>
    </row>
    <row r="205" customFormat="false" ht="15" hidden="false" customHeight="false" outlineLevel="0" collapsed="false">
      <c r="A205" s="3" t="n">
        <v>204</v>
      </c>
      <c r="B205" s="3" t="n">
        <v>203</v>
      </c>
      <c r="C205" s="3" t="n">
        <v>4</v>
      </c>
      <c r="D205" s="3" t="n">
        <v>1</v>
      </c>
      <c r="E205" s="3" t="n">
        <v>0</v>
      </c>
      <c r="F205" s="24" t="n">
        <v>0</v>
      </c>
    </row>
    <row r="206" customFormat="false" ht="15" hidden="false" customHeight="false" outlineLevel="0" collapsed="false">
      <c r="A206" s="3" t="n">
        <v>205</v>
      </c>
      <c r="B206" s="3" t="n">
        <v>204</v>
      </c>
      <c r="C206" s="3" t="n">
        <v>4</v>
      </c>
      <c r="D206" s="3" t="n">
        <v>1</v>
      </c>
      <c r="E206" s="3" t="n">
        <v>1</v>
      </c>
      <c r="F206" s="24" t="n">
        <v>0.82081598</v>
      </c>
    </row>
    <row r="207" customFormat="false" ht="15" hidden="false" customHeight="false" outlineLevel="0" collapsed="false">
      <c r="A207" s="3" t="n">
        <v>206</v>
      </c>
      <c r="B207" s="3" t="n">
        <v>205</v>
      </c>
      <c r="C207" s="3" t="n">
        <v>4</v>
      </c>
      <c r="D207" s="3" t="n">
        <v>1</v>
      </c>
      <c r="E207" s="3" t="n">
        <v>2</v>
      </c>
      <c r="F207" s="24" t="n">
        <v>0</v>
      </c>
    </row>
    <row r="208" customFormat="false" ht="15" hidden="false" customHeight="false" outlineLevel="0" collapsed="false">
      <c r="A208" s="3" t="n">
        <v>207</v>
      </c>
      <c r="B208" s="3" t="n">
        <v>206</v>
      </c>
      <c r="C208" s="3" t="n">
        <v>4</v>
      </c>
      <c r="D208" s="3" t="n">
        <v>1</v>
      </c>
      <c r="E208" s="3" t="n">
        <v>3</v>
      </c>
      <c r="F208" s="24" t="n">
        <v>0</v>
      </c>
    </row>
    <row r="209" customFormat="false" ht="15" hidden="false" customHeight="false" outlineLevel="0" collapsed="false">
      <c r="A209" s="3" t="n">
        <v>208</v>
      </c>
      <c r="B209" s="3" t="n">
        <v>207</v>
      </c>
      <c r="C209" s="3" t="n">
        <v>4</v>
      </c>
      <c r="D209" s="3" t="n">
        <v>1</v>
      </c>
      <c r="E209" s="3" t="n">
        <v>4</v>
      </c>
      <c r="F209" s="24" t="n">
        <v>0</v>
      </c>
    </row>
    <row r="210" customFormat="false" ht="15" hidden="false" customHeight="false" outlineLevel="0" collapsed="false">
      <c r="A210" s="3" t="n">
        <v>209</v>
      </c>
      <c r="B210" s="3" t="n">
        <v>208</v>
      </c>
      <c r="C210" s="3" t="n">
        <v>4</v>
      </c>
      <c r="D210" s="3" t="n">
        <v>1</v>
      </c>
      <c r="E210" s="3" t="n">
        <v>5</v>
      </c>
      <c r="F210" s="24" t="n">
        <v>0</v>
      </c>
    </row>
    <row r="211" customFormat="false" ht="15" hidden="false" customHeight="false" outlineLevel="0" collapsed="false">
      <c r="A211" s="3" t="n">
        <v>210</v>
      </c>
      <c r="B211" s="3" t="n">
        <v>209</v>
      </c>
      <c r="C211" s="3" t="n">
        <v>4</v>
      </c>
      <c r="D211" s="3" t="n">
        <v>1</v>
      </c>
      <c r="E211" s="3" t="n">
        <v>6</v>
      </c>
      <c r="F211" s="24" t="n">
        <v>0</v>
      </c>
    </row>
    <row r="212" customFormat="false" ht="15" hidden="false" customHeight="false" outlineLevel="0" collapsed="false">
      <c r="A212" s="3" t="n">
        <v>211</v>
      </c>
      <c r="B212" s="3" t="n">
        <v>210</v>
      </c>
      <c r="C212" s="3" t="n">
        <v>4</v>
      </c>
      <c r="D212" s="3" t="n">
        <v>2</v>
      </c>
      <c r="E212" s="3" t="n">
        <v>0</v>
      </c>
      <c r="F212" s="24" t="n">
        <v>0</v>
      </c>
    </row>
    <row r="213" customFormat="false" ht="15" hidden="false" customHeight="false" outlineLevel="0" collapsed="false">
      <c r="A213" s="3" t="n">
        <v>212</v>
      </c>
      <c r="B213" s="3" t="n">
        <v>211</v>
      </c>
      <c r="C213" s="3" t="n">
        <v>4</v>
      </c>
      <c r="D213" s="3" t="n">
        <v>2</v>
      </c>
      <c r="E213" s="3" t="n">
        <v>1</v>
      </c>
      <c r="F213" s="24" t="n">
        <v>0.562819302</v>
      </c>
    </row>
    <row r="214" customFormat="false" ht="15" hidden="false" customHeight="false" outlineLevel="0" collapsed="false">
      <c r="A214" s="3" t="n">
        <v>213</v>
      </c>
      <c r="B214" s="3" t="n">
        <v>212</v>
      </c>
      <c r="C214" s="3" t="n">
        <v>4</v>
      </c>
      <c r="D214" s="3" t="n">
        <v>2</v>
      </c>
      <c r="E214" s="3" t="n">
        <v>2</v>
      </c>
      <c r="F214" s="24" t="n">
        <v>0.683881819</v>
      </c>
    </row>
    <row r="215" customFormat="false" ht="15" hidden="false" customHeight="false" outlineLevel="0" collapsed="false">
      <c r="A215" s="3" t="n">
        <v>214</v>
      </c>
      <c r="B215" s="3" t="n">
        <v>213</v>
      </c>
      <c r="C215" s="3" t="n">
        <v>4</v>
      </c>
      <c r="D215" s="3" t="n">
        <v>2</v>
      </c>
      <c r="E215" s="3" t="n">
        <v>3</v>
      </c>
      <c r="F215" s="24" t="n">
        <v>2.6520102</v>
      </c>
    </row>
    <row r="216" customFormat="false" ht="15" hidden="false" customHeight="false" outlineLevel="0" collapsed="false">
      <c r="A216" s="3" t="n">
        <v>215</v>
      </c>
      <c r="B216" s="3" t="n">
        <v>214</v>
      </c>
      <c r="C216" s="3" t="n">
        <v>4</v>
      </c>
      <c r="D216" s="3" t="n">
        <v>2</v>
      </c>
      <c r="E216" s="3" t="n">
        <v>4</v>
      </c>
      <c r="F216" s="24" t="n">
        <v>7.81758022</v>
      </c>
    </row>
    <row r="217" customFormat="false" ht="15" hidden="false" customHeight="false" outlineLevel="0" collapsed="false">
      <c r="A217" s="3" t="n">
        <v>216</v>
      </c>
      <c r="B217" s="3" t="n">
        <v>215</v>
      </c>
      <c r="C217" s="3" t="n">
        <v>4</v>
      </c>
      <c r="D217" s="3" t="n">
        <v>2</v>
      </c>
      <c r="E217" s="3" t="n">
        <v>5</v>
      </c>
      <c r="F217" s="24" t="n">
        <v>0</v>
      </c>
    </row>
    <row r="218" customFormat="false" ht="15" hidden="false" customHeight="false" outlineLevel="0" collapsed="false">
      <c r="A218" s="3" t="n">
        <v>217</v>
      </c>
      <c r="B218" s="3" t="n">
        <v>216</v>
      </c>
      <c r="C218" s="3" t="n">
        <v>4</v>
      </c>
      <c r="D218" s="3" t="n">
        <v>2</v>
      </c>
      <c r="E218" s="3" t="n">
        <v>6</v>
      </c>
      <c r="F218" s="24" t="n">
        <v>0</v>
      </c>
    </row>
    <row r="219" customFormat="false" ht="15" hidden="false" customHeight="false" outlineLevel="0" collapsed="false">
      <c r="A219" s="3" t="n">
        <v>218</v>
      </c>
      <c r="B219" s="3" t="n">
        <v>217</v>
      </c>
      <c r="C219" s="3" t="n">
        <v>4</v>
      </c>
      <c r="D219" s="3" t="n">
        <v>3</v>
      </c>
      <c r="E219" s="3" t="n">
        <v>0</v>
      </c>
      <c r="F219" s="24" t="n">
        <v>0</v>
      </c>
    </row>
    <row r="220" customFormat="false" ht="15" hidden="false" customHeight="false" outlineLevel="0" collapsed="false">
      <c r="A220" s="3" t="n">
        <v>219</v>
      </c>
      <c r="B220" s="3" t="n">
        <v>218</v>
      </c>
      <c r="C220" s="3" t="n">
        <v>4</v>
      </c>
      <c r="D220" s="3" t="n">
        <v>3</v>
      </c>
      <c r="E220" s="3" t="n">
        <v>1</v>
      </c>
      <c r="F220" s="24" t="n">
        <v>0</v>
      </c>
    </row>
    <row r="221" customFormat="false" ht="15" hidden="false" customHeight="false" outlineLevel="0" collapsed="false">
      <c r="A221" s="3" t="n">
        <v>220</v>
      </c>
      <c r="B221" s="3" t="n">
        <v>219</v>
      </c>
      <c r="C221" s="3" t="n">
        <v>4</v>
      </c>
      <c r="D221" s="3" t="n">
        <v>3</v>
      </c>
      <c r="E221" s="3" t="n">
        <v>2</v>
      </c>
      <c r="F221" s="24" t="n">
        <v>0</v>
      </c>
    </row>
    <row r="222" customFormat="false" ht="15" hidden="false" customHeight="false" outlineLevel="0" collapsed="false">
      <c r="A222" s="3" t="n">
        <v>221</v>
      </c>
      <c r="B222" s="3" t="n">
        <v>220</v>
      </c>
      <c r="C222" s="3" t="n">
        <v>4</v>
      </c>
      <c r="D222" s="3" t="n">
        <v>3</v>
      </c>
      <c r="E222" s="3" t="n">
        <v>3</v>
      </c>
      <c r="F222" s="24" t="n">
        <v>6.82287025</v>
      </c>
    </row>
    <row r="223" customFormat="false" ht="15" hidden="false" customHeight="false" outlineLevel="0" collapsed="false">
      <c r="A223" s="3" t="n">
        <v>222</v>
      </c>
      <c r="B223" s="3" t="n">
        <v>221</v>
      </c>
      <c r="C223" s="3" t="n">
        <v>4</v>
      </c>
      <c r="D223" s="3" t="n">
        <v>3</v>
      </c>
      <c r="E223" s="3" t="n">
        <v>4</v>
      </c>
      <c r="F223" s="24" t="n">
        <v>5.27686977</v>
      </c>
    </row>
    <row r="224" customFormat="false" ht="15" hidden="false" customHeight="false" outlineLevel="0" collapsed="false">
      <c r="A224" s="3" t="n">
        <v>223</v>
      </c>
      <c r="B224" s="3" t="n">
        <v>222</v>
      </c>
      <c r="C224" s="3" t="n">
        <v>4</v>
      </c>
      <c r="D224" s="3" t="n">
        <v>3</v>
      </c>
      <c r="E224" s="3" t="n">
        <v>5</v>
      </c>
      <c r="F224" s="24" t="n">
        <v>0</v>
      </c>
    </row>
    <row r="225" customFormat="false" ht="15" hidden="false" customHeight="false" outlineLevel="0" collapsed="false">
      <c r="A225" s="3" t="n">
        <v>224</v>
      </c>
      <c r="B225" s="3" t="n">
        <v>223</v>
      </c>
      <c r="C225" s="3" t="n">
        <v>4</v>
      </c>
      <c r="D225" s="3" t="n">
        <v>3</v>
      </c>
      <c r="E225" s="3" t="n">
        <v>6</v>
      </c>
      <c r="F225" s="24" t="n">
        <v>0</v>
      </c>
    </row>
    <row r="226" customFormat="false" ht="15" hidden="false" customHeight="false" outlineLevel="0" collapsed="false">
      <c r="A226" s="3" t="n">
        <v>225</v>
      </c>
      <c r="B226" s="3" t="n">
        <v>224</v>
      </c>
      <c r="C226" s="3" t="n">
        <v>4</v>
      </c>
      <c r="D226" s="3" t="n">
        <v>4</v>
      </c>
      <c r="E226" s="3" t="n">
        <v>0</v>
      </c>
      <c r="F226" s="24" t="n">
        <v>0</v>
      </c>
    </row>
    <row r="227" customFormat="false" ht="15" hidden="false" customHeight="false" outlineLevel="0" collapsed="false">
      <c r="A227" s="3" t="n">
        <v>226</v>
      </c>
      <c r="B227" s="3" t="n">
        <v>225</v>
      </c>
      <c r="C227" s="3" t="n">
        <v>4</v>
      </c>
      <c r="D227" s="3" t="n">
        <v>4</v>
      </c>
      <c r="E227" s="3" t="n">
        <v>1</v>
      </c>
      <c r="F227" s="24" t="n">
        <v>0</v>
      </c>
    </row>
    <row r="228" customFormat="false" ht="15" hidden="false" customHeight="false" outlineLevel="0" collapsed="false">
      <c r="A228" s="3" t="n">
        <v>227</v>
      </c>
      <c r="B228" s="3" t="n">
        <v>226</v>
      </c>
      <c r="C228" s="3" t="n">
        <v>4</v>
      </c>
      <c r="D228" s="3" t="n">
        <v>4</v>
      </c>
      <c r="E228" s="3" t="n">
        <v>2</v>
      </c>
      <c r="F228" s="24" t="n">
        <v>2.61449766</v>
      </c>
    </row>
    <row r="229" customFormat="false" ht="15" hidden="false" customHeight="false" outlineLevel="0" collapsed="false">
      <c r="A229" s="3" t="n">
        <v>228</v>
      </c>
      <c r="B229" s="3" t="n">
        <v>227</v>
      </c>
      <c r="C229" s="3" t="n">
        <v>4</v>
      </c>
      <c r="D229" s="3" t="n">
        <v>4</v>
      </c>
      <c r="E229" s="3" t="n">
        <v>3</v>
      </c>
      <c r="F229" s="24" t="n">
        <v>4.79451084</v>
      </c>
    </row>
    <row r="230" customFormat="false" ht="15" hidden="false" customHeight="false" outlineLevel="0" collapsed="false">
      <c r="A230" s="3" t="n">
        <v>229</v>
      </c>
      <c r="B230" s="3" t="n">
        <v>228</v>
      </c>
      <c r="C230" s="3" t="n">
        <v>4</v>
      </c>
      <c r="D230" s="3" t="n">
        <v>4</v>
      </c>
      <c r="E230" s="3" t="n">
        <v>4</v>
      </c>
      <c r="F230" s="24" t="n">
        <v>0</v>
      </c>
    </row>
    <row r="231" customFormat="false" ht="15" hidden="false" customHeight="false" outlineLevel="0" collapsed="false">
      <c r="A231" s="3" t="n">
        <v>230</v>
      </c>
      <c r="B231" s="3" t="n">
        <v>229</v>
      </c>
      <c r="C231" s="3" t="n">
        <v>4</v>
      </c>
      <c r="D231" s="3" t="n">
        <v>4</v>
      </c>
      <c r="E231" s="3" t="n">
        <v>5</v>
      </c>
      <c r="F231" s="24" t="n">
        <v>0</v>
      </c>
    </row>
    <row r="232" customFormat="false" ht="15" hidden="false" customHeight="false" outlineLevel="0" collapsed="false">
      <c r="A232" s="3" t="n">
        <v>231</v>
      </c>
      <c r="B232" s="3" t="n">
        <v>230</v>
      </c>
      <c r="C232" s="3" t="n">
        <v>4</v>
      </c>
      <c r="D232" s="3" t="n">
        <v>4</v>
      </c>
      <c r="E232" s="3" t="n">
        <v>6</v>
      </c>
      <c r="F232" s="24" t="n">
        <v>0</v>
      </c>
    </row>
    <row r="233" customFormat="false" ht="15" hidden="false" customHeight="false" outlineLevel="0" collapsed="false">
      <c r="A233" s="3" t="n">
        <v>232</v>
      </c>
      <c r="B233" s="3" t="n">
        <v>231</v>
      </c>
      <c r="C233" s="3" t="n">
        <v>4</v>
      </c>
      <c r="D233" s="3" t="n">
        <v>5</v>
      </c>
      <c r="E233" s="3" t="n">
        <v>0</v>
      </c>
      <c r="F233" s="24" t="n">
        <v>0</v>
      </c>
    </row>
    <row r="234" customFormat="false" ht="15" hidden="false" customHeight="false" outlineLevel="0" collapsed="false">
      <c r="A234" s="3" t="n">
        <v>233</v>
      </c>
      <c r="B234" s="3" t="n">
        <v>232</v>
      </c>
      <c r="C234" s="3" t="n">
        <v>4</v>
      </c>
      <c r="D234" s="3" t="n">
        <v>5</v>
      </c>
      <c r="E234" s="3" t="n">
        <v>1</v>
      </c>
      <c r="F234" s="24" t="n">
        <v>0</v>
      </c>
    </row>
    <row r="235" customFormat="false" ht="15" hidden="false" customHeight="false" outlineLevel="0" collapsed="false">
      <c r="A235" s="3" t="n">
        <v>234</v>
      </c>
      <c r="B235" s="3" t="n">
        <v>233</v>
      </c>
      <c r="C235" s="3" t="n">
        <v>4</v>
      </c>
      <c r="D235" s="3" t="n">
        <v>5</v>
      </c>
      <c r="E235" s="3" t="n">
        <v>2</v>
      </c>
      <c r="F235" s="24" t="n">
        <v>7.20866632</v>
      </c>
    </row>
    <row r="236" customFormat="false" ht="15" hidden="false" customHeight="false" outlineLevel="0" collapsed="false">
      <c r="A236" s="3" t="n">
        <v>235</v>
      </c>
      <c r="B236" s="3" t="n">
        <v>234</v>
      </c>
      <c r="C236" s="3" t="n">
        <v>4</v>
      </c>
      <c r="D236" s="3" t="n">
        <v>5</v>
      </c>
      <c r="E236" s="3" t="n">
        <v>3</v>
      </c>
      <c r="F236" s="24" t="n">
        <v>1.43124688</v>
      </c>
    </row>
    <row r="237" customFormat="false" ht="15" hidden="false" customHeight="false" outlineLevel="0" collapsed="false">
      <c r="A237" s="3" t="n">
        <v>236</v>
      </c>
      <c r="B237" s="3" t="n">
        <v>235</v>
      </c>
      <c r="C237" s="3" t="n">
        <v>4</v>
      </c>
      <c r="D237" s="3" t="n">
        <v>5</v>
      </c>
      <c r="E237" s="3" t="n">
        <v>4</v>
      </c>
      <c r="F237" s="24" t="n">
        <v>0</v>
      </c>
    </row>
    <row r="238" customFormat="false" ht="15" hidden="false" customHeight="false" outlineLevel="0" collapsed="false">
      <c r="A238" s="3" t="n">
        <v>237</v>
      </c>
      <c r="B238" s="3" t="n">
        <v>236</v>
      </c>
      <c r="C238" s="3" t="n">
        <v>4</v>
      </c>
      <c r="D238" s="3" t="n">
        <v>5</v>
      </c>
      <c r="E238" s="3" t="n">
        <v>5</v>
      </c>
      <c r="F238" s="24" t="n">
        <v>0</v>
      </c>
    </row>
    <row r="239" customFormat="false" ht="15" hidden="false" customHeight="false" outlineLevel="0" collapsed="false">
      <c r="A239" s="3" t="n">
        <v>238</v>
      </c>
      <c r="B239" s="3" t="n">
        <v>237</v>
      </c>
      <c r="C239" s="3" t="n">
        <v>4</v>
      </c>
      <c r="D239" s="3" t="n">
        <v>5</v>
      </c>
      <c r="E239" s="3" t="n">
        <v>6</v>
      </c>
      <c r="F239" s="24" t="n">
        <v>0</v>
      </c>
    </row>
    <row r="240" customFormat="false" ht="15" hidden="false" customHeight="false" outlineLevel="0" collapsed="false">
      <c r="A240" s="3" t="n">
        <v>239</v>
      </c>
      <c r="B240" s="3" t="n">
        <v>238</v>
      </c>
      <c r="C240" s="3" t="n">
        <v>4</v>
      </c>
      <c r="D240" s="3" t="n">
        <v>6</v>
      </c>
      <c r="E240" s="3" t="n">
        <v>0</v>
      </c>
      <c r="F240" s="24" t="n">
        <v>0</v>
      </c>
    </row>
    <row r="241" customFormat="false" ht="15" hidden="false" customHeight="false" outlineLevel="0" collapsed="false">
      <c r="A241" s="3" t="n">
        <v>240</v>
      </c>
      <c r="B241" s="3" t="n">
        <v>239</v>
      </c>
      <c r="C241" s="3" t="n">
        <v>4</v>
      </c>
      <c r="D241" s="3" t="n">
        <v>6</v>
      </c>
      <c r="E241" s="3" t="n">
        <v>1</v>
      </c>
      <c r="F241" s="24" t="n">
        <v>0</v>
      </c>
    </row>
    <row r="242" customFormat="false" ht="15" hidden="false" customHeight="false" outlineLevel="0" collapsed="false">
      <c r="A242" s="3" t="n">
        <v>241</v>
      </c>
      <c r="B242" s="3" t="n">
        <v>240</v>
      </c>
      <c r="C242" s="3" t="n">
        <v>4</v>
      </c>
      <c r="D242" s="3" t="n">
        <v>6</v>
      </c>
      <c r="E242" s="3" t="n">
        <v>2</v>
      </c>
      <c r="F242" s="24" t="n">
        <v>4.28531742</v>
      </c>
    </row>
    <row r="243" customFormat="false" ht="15" hidden="false" customHeight="false" outlineLevel="0" collapsed="false">
      <c r="A243" s="3" t="n">
        <v>242</v>
      </c>
      <c r="B243" s="3" t="n">
        <v>241</v>
      </c>
      <c r="C243" s="3" t="n">
        <v>4</v>
      </c>
      <c r="D243" s="3" t="n">
        <v>6</v>
      </c>
      <c r="E243" s="3" t="n">
        <v>3</v>
      </c>
      <c r="F243" s="24" t="n">
        <v>0</v>
      </c>
    </row>
    <row r="244" customFormat="false" ht="15" hidden="false" customHeight="false" outlineLevel="0" collapsed="false">
      <c r="A244" s="3" t="n">
        <v>243</v>
      </c>
      <c r="B244" s="3" t="n">
        <v>242</v>
      </c>
      <c r="C244" s="3" t="n">
        <v>4</v>
      </c>
      <c r="D244" s="3" t="n">
        <v>6</v>
      </c>
      <c r="E244" s="3" t="n">
        <v>4</v>
      </c>
      <c r="F244" s="24" t="n">
        <v>0</v>
      </c>
    </row>
    <row r="245" customFormat="false" ht="15" hidden="false" customHeight="false" outlineLevel="0" collapsed="false">
      <c r="A245" s="3" t="n">
        <v>244</v>
      </c>
      <c r="B245" s="3" t="n">
        <v>243</v>
      </c>
      <c r="C245" s="3" t="n">
        <v>4</v>
      </c>
      <c r="D245" s="3" t="n">
        <v>6</v>
      </c>
      <c r="E245" s="3" t="n">
        <v>5</v>
      </c>
      <c r="F245" s="24" t="n">
        <v>0</v>
      </c>
    </row>
    <row r="246" customFormat="false" ht="15" hidden="false" customHeight="false" outlineLevel="0" collapsed="false">
      <c r="A246" s="3" t="n">
        <v>245</v>
      </c>
      <c r="B246" s="3" t="n">
        <v>244</v>
      </c>
      <c r="C246" s="3" t="n">
        <v>4</v>
      </c>
      <c r="D246" s="3" t="n">
        <v>6</v>
      </c>
      <c r="E246" s="3" t="n">
        <v>6</v>
      </c>
      <c r="F246" s="24" t="n">
        <v>0</v>
      </c>
    </row>
    <row r="247" customFormat="false" ht="15" hidden="false" customHeight="false" outlineLevel="0" collapsed="false">
      <c r="A247" s="3" t="n">
        <v>246</v>
      </c>
      <c r="B247" s="3" t="n">
        <v>245</v>
      </c>
      <c r="C247" s="3" t="n">
        <v>5</v>
      </c>
      <c r="D247" s="3" t="n">
        <v>0</v>
      </c>
      <c r="E247" s="3" t="n">
        <v>0</v>
      </c>
      <c r="F247" s="24" t="n">
        <v>0</v>
      </c>
    </row>
    <row r="248" customFormat="false" ht="15" hidden="false" customHeight="false" outlineLevel="0" collapsed="false">
      <c r="A248" s="3" t="n">
        <v>247</v>
      </c>
      <c r="B248" s="3" t="n">
        <v>246</v>
      </c>
      <c r="C248" s="3" t="n">
        <v>5</v>
      </c>
      <c r="D248" s="3" t="n">
        <v>0</v>
      </c>
      <c r="E248" s="3" t="n">
        <v>1</v>
      </c>
      <c r="F248" s="24" t="n">
        <v>0</v>
      </c>
    </row>
    <row r="249" customFormat="false" ht="15" hidden="false" customHeight="false" outlineLevel="0" collapsed="false">
      <c r="A249" s="3" t="n">
        <v>248</v>
      </c>
      <c r="B249" s="3" t="n">
        <v>247</v>
      </c>
      <c r="C249" s="3" t="n">
        <v>5</v>
      </c>
      <c r="D249" s="3" t="n">
        <v>0</v>
      </c>
      <c r="E249" s="3" t="n">
        <v>2</v>
      </c>
      <c r="F249" s="24" t="n">
        <v>0</v>
      </c>
    </row>
    <row r="250" customFormat="false" ht="15" hidden="false" customHeight="false" outlineLevel="0" collapsed="false">
      <c r="A250" s="3" t="n">
        <v>249</v>
      </c>
      <c r="B250" s="3" t="n">
        <v>248</v>
      </c>
      <c r="C250" s="3" t="n">
        <v>5</v>
      </c>
      <c r="D250" s="3" t="n">
        <v>0</v>
      </c>
      <c r="E250" s="3" t="n">
        <v>3</v>
      </c>
      <c r="F250" s="24" t="n">
        <v>0</v>
      </c>
    </row>
    <row r="251" customFormat="false" ht="15" hidden="false" customHeight="false" outlineLevel="0" collapsed="false">
      <c r="A251" s="3" t="n">
        <v>250</v>
      </c>
      <c r="B251" s="3" t="n">
        <v>249</v>
      </c>
      <c r="C251" s="3" t="n">
        <v>5</v>
      </c>
      <c r="D251" s="3" t="n">
        <v>0</v>
      </c>
      <c r="E251" s="3" t="n">
        <v>4</v>
      </c>
      <c r="F251" s="24" t="n">
        <v>0</v>
      </c>
    </row>
    <row r="252" customFormat="false" ht="15" hidden="false" customHeight="false" outlineLevel="0" collapsed="false">
      <c r="A252" s="3" t="n">
        <v>251</v>
      </c>
      <c r="B252" s="3" t="n">
        <v>250</v>
      </c>
      <c r="C252" s="3" t="n">
        <v>5</v>
      </c>
      <c r="D252" s="3" t="n">
        <v>0</v>
      </c>
      <c r="E252" s="3" t="n">
        <v>5</v>
      </c>
      <c r="F252" s="24" t="n">
        <v>0</v>
      </c>
    </row>
    <row r="253" customFormat="false" ht="15" hidden="false" customHeight="false" outlineLevel="0" collapsed="false">
      <c r="A253" s="3" t="n">
        <v>252</v>
      </c>
      <c r="B253" s="3" t="n">
        <v>251</v>
      </c>
      <c r="C253" s="3" t="n">
        <v>5</v>
      </c>
      <c r="D253" s="3" t="n">
        <v>0</v>
      </c>
      <c r="E253" s="3" t="n">
        <v>6</v>
      </c>
      <c r="F253" s="24" t="n">
        <v>0</v>
      </c>
    </row>
    <row r="254" customFormat="false" ht="15" hidden="false" customHeight="false" outlineLevel="0" collapsed="false">
      <c r="A254" s="3" t="n">
        <v>253</v>
      </c>
      <c r="B254" s="3" t="n">
        <v>252</v>
      </c>
      <c r="C254" s="3" t="n">
        <v>5</v>
      </c>
      <c r="D254" s="3" t="n">
        <v>1</v>
      </c>
      <c r="E254" s="3" t="n">
        <v>0</v>
      </c>
      <c r="F254" s="24" t="n">
        <v>0.324476361</v>
      </c>
    </row>
    <row r="255" customFormat="false" ht="15" hidden="false" customHeight="false" outlineLevel="0" collapsed="false">
      <c r="A255" s="3" t="n">
        <v>254</v>
      </c>
      <c r="B255" s="3" t="n">
        <v>253</v>
      </c>
      <c r="C255" s="3" t="n">
        <v>5</v>
      </c>
      <c r="D255" s="3" t="n">
        <v>1</v>
      </c>
      <c r="E255" s="3" t="n">
        <v>1</v>
      </c>
      <c r="F255" s="24" t="n">
        <v>8.08771038</v>
      </c>
    </row>
    <row r="256" customFormat="false" ht="15" hidden="false" customHeight="false" outlineLevel="0" collapsed="false">
      <c r="A256" s="3" t="n">
        <v>255</v>
      </c>
      <c r="B256" s="3" t="n">
        <v>254</v>
      </c>
      <c r="C256" s="3" t="n">
        <v>5</v>
      </c>
      <c r="D256" s="3" t="n">
        <v>1</v>
      </c>
      <c r="E256" s="3" t="n">
        <v>2</v>
      </c>
      <c r="F256" s="24" t="n">
        <v>7.65097046</v>
      </c>
    </row>
    <row r="257" customFormat="false" ht="15" hidden="false" customHeight="false" outlineLevel="0" collapsed="false">
      <c r="A257" s="3" t="n">
        <v>256</v>
      </c>
      <c r="B257" s="3" t="n">
        <v>255</v>
      </c>
      <c r="C257" s="3" t="n">
        <v>5</v>
      </c>
      <c r="D257" s="3" t="n">
        <v>1</v>
      </c>
      <c r="E257" s="3" t="n">
        <v>3</v>
      </c>
      <c r="F257" s="24" t="n">
        <v>1.65264988</v>
      </c>
    </row>
    <row r="258" customFormat="false" ht="15" hidden="false" customHeight="false" outlineLevel="0" collapsed="false">
      <c r="A258" s="3" t="n">
        <v>257</v>
      </c>
      <c r="B258" s="3" t="n">
        <v>256</v>
      </c>
      <c r="C258" s="3" t="n">
        <v>5</v>
      </c>
      <c r="D258" s="3" t="n">
        <v>1</v>
      </c>
      <c r="E258" s="3" t="n">
        <v>4</v>
      </c>
      <c r="F258" s="24" t="n">
        <v>1.93870425</v>
      </c>
    </row>
    <row r="259" customFormat="false" ht="15" hidden="false" customHeight="false" outlineLevel="0" collapsed="false">
      <c r="A259" s="3" t="n">
        <v>258</v>
      </c>
      <c r="B259" s="3" t="n">
        <v>257</v>
      </c>
      <c r="C259" s="3" t="n">
        <v>5</v>
      </c>
      <c r="D259" s="3" t="n">
        <v>1</v>
      </c>
      <c r="E259" s="3" t="n">
        <v>5</v>
      </c>
      <c r="F259" s="24" t="n">
        <v>0</v>
      </c>
    </row>
    <row r="260" customFormat="false" ht="15" hidden="false" customHeight="false" outlineLevel="0" collapsed="false">
      <c r="A260" s="3" t="n">
        <v>259</v>
      </c>
      <c r="B260" s="3" t="n">
        <v>258</v>
      </c>
      <c r="C260" s="3" t="n">
        <v>5</v>
      </c>
      <c r="D260" s="3" t="n">
        <v>1</v>
      </c>
      <c r="E260" s="3" t="n">
        <v>6</v>
      </c>
      <c r="F260" s="24" t="n">
        <v>0</v>
      </c>
    </row>
    <row r="261" customFormat="false" ht="15" hidden="false" customHeight="false" outlineLevel="0" collapsed="false">
      <c r="A261" s="3" t="n">
        <v>260</v>
      </c>
      <c r="B261" s="3" t="n">
        <v>259</v>
      </c>
      <c r="C261" s="3" t="n">
        <v>5</v>
      </c>
      <c r="D261" s="3" t="n">
        <v>2</v>
      </c>
      <c r="E261" s="3" t="n">
        <v>0</v>
      </c>
      <c r="F261" s="24" t="n">
        <v>0</v>
      </c>
    </row>
    <row r="262" customFormat="false" ht="15" hidden="false" customHeight="false" outlineLevel="0" collapsed="false">
      <c r="A262" s="3" t="n">
        <v>261</v>
      </c>
      <c r="B262" s="3" t="n">
        <v>260</v>
      </c>
      <c r="C262" s="3" t="n">
        <v>5</v>
      </c>
      <c r="D262" s="3" t="n">
        <v>2</v>
      </c>
      <c r="E262" s="3" t="n">
        <v>1</v>
      </c>
      <c r="F262" s="24" t="n">
        <v>0</v>
      </c>
    </row>
    <row r="263" customFormat="false" ht="15" hidden="false" customHeight="false" outlineLevel="0" collapsed="false">
      <c r="A263" s="3" t="n">
        <v>262</v>
      </c>
      <c r="B263" s="3" t="n">
        <v>261</v>
      </c>
      <c r="C263" s="3" t="n">
        <v>5</v>
      </c>
      <c r="D263" s="3" t="n">
        <v>2</v>
      </c>
      <c r="E263" s="3" t="n">
        <v>2</v>
      </c>
      <c r="F263" s="24" t="n">
        <v>9.04720497</v>
      </c>
    </row>
    <row r="264" customFormat="false" ht="15" hidden="false" customHeight="false" outlineLevel="0" collapsed="false">
      <c r="A264" s="3" t="n">
        <v>263</v>
      </c>
      <c r="B264" s="3" t="n">
        <v>262</v>
      </c>
      <c r="C264" s="3" t="n">
        <v>5</v>
      </c>
      <c r="D264" s="3" t="n">
        <v>2</v>
      </c>
      <c r="E264" s="3" t="n">
        <v>3</v>
      </c>
      <c r="F264" s="24" t="n">
        <v>8.76235104</v>
      </c>
    </row>
    <row r="265" customFormat="false" ht="15" hidden="false" customHeight="false" outlineLevel="0" collapsed="false">
      <c r="A265" s="3" t="n">
        <v>264</v>
      </c>
      <c r="B265" s="3" t="n">
        <v>263</v>
      </c>
      <c r="C265" s="3" t="n">
        <v>5</v>
      </c>
      <c r="D265" s="3" t="n">
        <v>2</v>
      </c>
      <c r="E265" s="3" t="n">
        <v>4</v>
      </c>
      <c r="F265" s="24" t="n">
        <v>8.59503078</v>
      </c>
    </row>
    <row r="266" customFormat="false" ht="15" hidden="false" customHeight="false" outlineLevel="0" collapsed="false">
      <c r="A266" s="3" t="n">
        <v>265</v>
      </c>
      <c r="B266" s="3" t="n">
        <v>264</v>
      </c>
      <c r="C266" s="3" t="n">
        <v>5</v>
      </c>
      <c r="D266" s="3" t="n">
        <v>2</v>
      </c>
      <c r="E266" s="3" t="n">
        <v>5</v>
      </c>
      <c r="F266" s="24" t="n">
        <v>5.13567686</v>
      </c>
    </row>
    <row r="267" customFormat="false" ht="15" hidden="false" customHeight="false" outlineLevel="0" collapsed="false">
      <c r="A267" s="3" t="n">
        <v>266</v>
      </c>
      <c r="B267" s="3" t="n">
        <v>265</v>
      </c>
      <c r="C267" s="3" t="n">
        <v>5</v>
      </c>
      <c r="D267" s="3" t="n">
        <v>2</v>
      </c>
      <c r="E267" s="3" t="n">
        <v>6</v>
      </c>
      <c r="F267" s="24" t="n">
        <v>0.0335896164</v>
      </c>
    </row>
    <row r="268" customFormat="false" ht="15" hidden="false" customHeight="false" outlineLevel="0" collapsed="false">
      <c r="A268" s="3" t="n">
        <v>267</v>
      </c>
      <c r="B268" s="3" t="n">
        <v>266</v>
      </c>
      <c r="C268" s="3" t="n">
        <v>5</v>
      </c>
      <c r="D268" s="3" t="n">
        <v>3</v>
      </c>
      <c r="E268" s="3" t="n">
        <v>0</v>
      </c>
      <c r="F268" s="24" t="n">
        <v>0.0189483389</v>
      </c>
    </row>
    <row r="269" customFormat="false" ht="15" hidden="false" customHeight="false" outlineLevel="0" collapsed="false">
      <c r="A269" s="3" t="n">
        <v>268</v>
      </c>
      <c r="B269" s="3" t="n">
        <v>267</v>
      </c>
      <c r="C269" s="3" t="n">
        <v>5</v>
      </c>
      <c r="D269" s="3" t="n">
        <v>3</v>
      </c>
      <c r="E269" s="3" t="n">
        <v>1</v>
      </c>
      <c r="F269" s="24" t="n">
        <v>0.204222918</v>
      </c>
    </row>
    <row r="270" customFormat="false" ht="15" hidden="false" customHeight="false" outlineLevel="0" collapsed="false">
      <c r="A270" s="3" t="n">
        <v>269</v>
      </c>
      <c r="B270" s="3" t="n">
        <v>268</v>
      </c>
      <c r="C270" s="3" t="n">
        <v>5</v>
      </c>
      <c r="D270" s="3" t="n">
        <v>3</v>
      </c>
      <c r="E270" s="3" t="n">
        <v>2</v>
      </c>
      <c r="F270" s="24" t="n">
        <v>0.0188121721</v>
      </c>
    </row>
    <row r="271" customFormat="false" ht="15" hidden="false" customHeight="false" outlineLevel="0" collapsed="false">
      <c r="A271" s="3" t="n">
        <v>270</v>
      </c>
      <c r="B271" s="3" t="n">
        <v>269</v>
      </c>
      <c r="C271" s="3" t="n">
        <v>5</v>
      </c>
      <c r="D271" s="3" t="n">
        <v>3</v>
      </c>
      <c r="E271" s="3" t="n">
        <v>3</v>
      </c>
      <c r="F271" s="24" t="n">
        <v>0.31953764</v>
      </c>
    </row>
    <row r="272" customFormat="false" ht="15" hidden="false" customHeight="false" outlineLevel="0" collapsed="false">
      <c r="A272" s="3" t="n">
        <v>271</v>
      </c>
      <c r="B272" s="3" t="n">
        <v>270</v>
      </c>
      <c r="C272" s="3" t="n">
        <v>5</v>
      </c>
      <c r="D272" s="3" t="n">
        <v>3</v>
      </c>
      <c r="E272" s="3" t="n">
        <v>4</v>
      </c>
      <c r="F272" s="24" t="n">
        <v>0</v>
      </c>
    </row>
    <row r="273" customFormat="false" ht="15" hidden="false" customHeight="false" outlineLevel="0" collapsed="false">
      <c r="A273" s="3" t="n">
        <v>272</v>
      </c>
      <c r="B273" s="3" t="n">
        <v>271</v>
      </c>
      <c r="C273" s="3" t="n">
        <v>5</v>
      </c>
      <c r="D273" s="3" t="n">
        <v>3</v>
      </c>
      <c r="E273" s="3" t="n">
        <v>5</v>
      </c>
      <c r="F273" s="24" t="n">
        <v>0.154389948</v>
      </c>
    </row>
    <row r="274" customFormat="false" ht="15" hidden="false" customHeight="false" outlineLevel="0" collapsed="false">
      <c r="A274" s="3" t="n">
        <v>273</v>
      </c>
      <c r="B274" s="3" t="n">
        <v>272</v>
      </c>
      <c r="C274" s="3" t="n">
        <v>5</v>
      </c>
      <c r="D274" s="3" t="n">
        <v>3</v>
      </c>
      <c r="E274" s="3" t="n">
        <v>6</v>
      </c>
      <c r="F274" s="24" t="n">
        <v>0</v>
      </c>
    </row>
    <row r="275" customFormat="false" ht="15" hidden="false" customHeight="false" outlineLevel="0" collapsed="false">
      <c r="A275" s="3" t="n">
        <v>274</v>
      </c>
      <c r="B275" s="3" t="n">
        <v>273</v>
      </c>
      <c r="C275" s="3" t="n">
        <v>5</v>
      </c>
      <c r="D275" s="3" t="n">
        <v>4</v>
      </c>
      <c r="E275" s="3" t="n">
        <v>0</v>
      </c>
      <c r="F275" s="24" t="n">
        <v>0</v>
      </c>
    </row>
    <row r="276" customFormat="false" ht="15" hidden="false" customHeight="false" outlineLevel="0" collapsed="false">
      <c r="A276" s="3" t="n">
        <v>275</v>
      </c>
      <c r="B276" s="3" t="n">
        <v>274</v>
      </c>
      <c r="C276" s="3" t="n">
        <v>5</v>
      </c>
      <c r="D276" s="3" t="n">
        <v>4</v>
      </c>
      <c r="E276" s="3" t="n">
        <v>1</v>
      </c>
      <c r="F276" s="24" t="n">
        <v>0</v>
      </c>
    </row>
    <row r="277" customFormat="false" ht="15" hidden="false" customHeight="false" outlineLevel="0" collapsed="false">
      <c r="A277" s="3" t="n">
        <v>276</v>
      </c>
      <c r="B277" s="3" t="n">
        <v>275</v>
      </c>
      <c r="C277" s="3" t="n">
        <v>5</v>
      </c>
      <c r="D277" s="3" t="n">
        <v>4</v>
      </c>
      <c r="E277" s="3" t="n">
        <v>2</v>
      </c>
      <c r="F277" s="24" t="n">
        <v>0.795341432</v>
      </c>
    </row>
    <row r="278" customFormat="false" ht="15" hidden="false" customHeight="false" outlineLevel="0" collapsed="false">
      <c r="A278" s="3" t="n">
        <v>277</v>
      </c>
      <c r="B278" s="3" t="n">
        <v>276</v>
      </c>
      <c r="C278" s="3" t="n">
        <v>5</v>
      </c>
      <c r="D278" s="3" t="n">
        <v>4</v>
      </c>
      <c r="E278" s="3" t="n">
        <v>3</v>
      </c>
      <c r="F278" s="24" t="n">
        <v>0</v>
      </c>
    </row>
    <row r="279" customFormat="false" ht="15" hidden="false" customHeight="false" outlineLevel="0" collapsed="false">
      <c r="A279" s="3" t="n">
        <v>278</v>
      </c>
      <c r="B279" s="3" t="n">
        <v>277</v>
      </c>
      <c r="C279" s="3" t="n">
        <v>5</v>
      </c>
      <c r="D279" s="3" t="n">
        <v>4</v>
      </c>
      <c r="E279" s="3" t="n">
        <v>4</v>
      </c>
      <c r="F279" s="24" t="n">
        <v>0</v>
      </c>
    </row>
    <row r="280" customFormat="false" ht="15" hidden="false" customHeight="false" outlineLevel="0" collapsed="false">
      <c r="A280" s="3" t="n">
        <v>279</v>
      </c>
      <c r="B280" s="3" t="n">
        <v>278</v>
      </c>
      <c r="C280" s="3" t="n">
        <v>5</v>
      </c>
      <c r="D280" s="3" t="n">
        <v>4</v>
      </c>
      <c r="E280" s="3" t="n">
        <v>5</v>
      </c>
      <c r="F280" s="24" t="n">
        <v>0.0388988554</v>
      </c>
    </row>
    <row r="281" customFormat="false" ht="15" hidden="false" customHeight="false" outlineLevel="0" collapsed="false">
      <c r="A281" s="3" t="n">
        <v>280</v>
      </c>
      <c r="B281" s="3" t="n">
        <v>279</v>
      </c>
      <c r="C281" s="3" t="n">
        <v>5</v>
      </c>
      <c r="D281" s="3" t="n">
        <v>4</v>
      </c>
      <c r="E281" s="3" t="n">
        <v>6</v>
      </c>
      <c r="F281" s="24" t="n">
        <v>0</v>
      </c>
    </row>
    <row r="282" customFormat="false" ht="15" hidden="false" customHeight="false" outlineLevel="0" collapsed="false">
      <c r="A282" s="3" t="n">
        <v>281</v>
      </c>
      <c r="B282" s="3" t="n">
        <v>280</v>
      </c>
      <c r="C282" s="3" t="n">
        <v>5</v>
      </c>
      <c r="D282" s="3" t="n">
        <v>5</v>
      </c>
      <c r="E282" s="3" t="n">
        <v>0</v>
      </c>
      <c r="F282" s="24" t="n">
        <v>0</v>
      </c>
    </row>
    <row r="283" customFormat="false" ht="15" hidden="false" customHeight="false" outlineLevel="0" collapsed="false">
      <c r="A283" s="3" t="n">
        <v>282</v>
      </c>
      <c r="B283" s="3" t="n">
        <v>281</v>
      </c>
      <c r="C283" s="3" t="n">
        <v>5</v>
      </c>
      <c r="D283" s="3" t="n">
        <v>5</v>
      </c>
      <c r="E283" s="3" t="n">
        <v>1</v>
      </c>
      <c r="F283" s="24" t="n">
        <v>0.137062669</v>
      </c>
    </row>
    <row r="284" customFormat="false" ht="15" hidden="false" customHeight="false" outlineLevel="0" collapsed="false">
      <c r="A284" s="3" t="n">
        <v>283</v>
      </c>
      <c r="B284" s="3" t="n">
        <v>282</v>
      </c>
      <c r="C284" s="3" t="n">
        <v>5</v>
      </c>
      <c r="D284" s="3" t="n">
        <v>5</v>
      </c>
      <c r="E284" s="3" t="n">
        <v>2</v>
      </c>
      <c r="F284" s="24" t="n">
        <v>0.946763694</v>
      </c>
    </row>
    <row r="285" customFormat="false" ht="15" hidden="false" customHeight="false" outlineLevel="0" collapsed="false">
      <c r="A285" s="3" t="n">
        <v>284</v>
      </c>
      <c r="B285" s="3" t="n">
        <v>283</v>
      </c>
      <c r="C285" s="3" t="n">
        <v>5</v>
      </c>
      <c r="D285" s="3" t="n">
        <v>5</v>
      </c>
      <c r="E285" s="3" t="n">
        <v>3</v>
      </c>
      <c r="F285" s="24" t="n">
        <v>1.27654672</v>
      </c>
    </row>
    <row r="286" customFormat="false" ht="15" hidden="false" customHeight="false" outlineLevel="0" collapsed="false">
      <c r="A286" s="3" t="n">
        <v>285</v>
      </c>
      <c r="B286" s="3" t="n">
        <v>284</v>
      </c>
      <c r="C286" s="3" t="n">
        <v>5</v>
      </c>
      <c r="D286" s="3" t="n">
        <v>5</v>
      </c>
      <c r="E286" s="3" t="n">
        <v>4</v>
      </c>
      <c r="F286" s="24" t="n">
        <v>0</v>
      </c>
    </row>
    <row r="287" customFormat="false" ht="15" hidden="false" customHeight="false" outlineLevel="0" collapsed="false">
      <c r="A287" s="3" t="n">
        <v>286</v>
      </c>
      <c r="B287" s="3" t="n">
        <v>285</v>
      </c>
      <c r="C287" s="3" t="n">
        <v>5</v>
      </c>
      <c r="D287" s="3" t="n">
        <v>5</v>
      </c>
      <c r="E287" s="3" t="n">
        <v>5</v>
      </c>
      <c r="F287" s="24" t="n">
        <v>0</v>
      </c>
    </row>
    <row r="288" customFormat="false" ht="15" hidden="false" customHeight="false" outlineLevel="0" collapsed="false">
      <c r="A288" s="3" t="n">
        <v>287</v>
      </c>
      <c r="B288" s="3" t="n">
        <v>286</v>
      </c>
      <c r="C288" s="3" t="n">
        <v>5</v>
      </c>
      <c r="D288" s="3" t="n">
        <v>5</v>
      </c>
      <c r="E288" s="3" t="n">
        <v>6</v>
      </c>
      <c r="F288" s="24" t="n">
        <v>0</v>
      </c>
    </row>
    <row r="289" customFormat="false" ht="15" hidden="false" customHeight="false" outlineLevel="0" collapsed="false">
      <c r="A289" s="3" t="n">
        <v>288</v>
      </c>
      <c r="B289" s="3" t="n">
        <v>287</v>
      </c>
      <c r="C289" s="3" t="n">
        <v>5</v>
      </c>
      <c r="D289" s="3" t="n">
        <v>6</v>
      </c>
      <c r="E289" s="3" t="n">
        <v>0</v>
      </c>
      <c r="F289" s="24" t="n">
        <v>0.377983749</v>
      </c>
    </row>
    <row r="290" customFormat="false" ht="15" hidden="false" customHeight="false" outlineLevel="0" collapsed="false">
      <c r="A290" s="3" t="n">
        <v>289</v>
      </c>
      <c r="B290" s="3" t="n">
        <v>288</v>
      </c>
      <c r="C290" s="3" t="n">
        <v>5</v>
      </c>
      <c r="D290" s="3" t="n">
        <v>6</v>
      </c>
      <c r="E290" s="3" t="n">
        <v>1</v>
      </c>
      <c r="F290" s="24" t="n">
        <v>0.355703056</v>
      </c>
    </row>
    <row r="291" customFormat="false" ht="15" hidden="false" customHeight="false" outlineLevel="0" collapsed="false">
      <c r="A291" s="3" t="n">
        <v>290</v>
      </c>
      <c r="B291" s="3" t="n">
        <v>289</v>
      </c>
      <c r="C291" s="3" t="n">
        <v>5</v>
      </c>
      <c r="D291" s="3" t="n">
        <v>6</v>
      </c>
      <c r="E291" s="3" t="n">
        <v>2</v>
      </c>
      <c r="F291" s="24" t="n">
        <v>2.014889</v>
      </c>
    </row>
    <row r="292" customFormat="false" ht="15" hidden="false" customHeight="false" outlineLevel="0" collapsed="false">
      <c r="A292" s="3" t="n">
        <v>291</v>
      </c>
      <c r="B292" s="3" t="n">
        <v>290</v>
      </c>
      <c r="C292" s="3" t="n">
        <v>5</v>
      </c>
      <c r="D292" s="3" t="n">
        <v>6</v>
      </c>
      <c r="E292" s="3" t="n">
        <v>3</v>
      </c>
      <c r="F292" s="24" t="n">
        <v>1.44499826</v>
      </c>
    </row>
    <row r="293" customFormat="false" ht="15" hidden="false" customHeight="false" outlineLevel="0" collapsed="false">
      <c r="A293" s="3" t="n">
        <v>292</v>
      </c>
      <c r="B293" s="3" t="n">
        <v>291</v>
      </c>
      <c r="C293" s="3" t="n">
        <v>5</v>
      </c>
      <c r="D293" s="3" t="n">
        <v>6</v>
      </c>
      <c r="E293" s="3" t="n">
        <v>4</v>
      </c>
      <c r="F293" s="24" t="n">
        <v>0.845065117</v>
      </c>
    </row>
    <row r="294" customFormat="false" ht="15" hidden="false" customHeight="false" outlineLevel="0" collapsed="false">
      <c r="A294" s="3" t="n">
        <v>293</v>
      </c>
      <c r="B294" s="3" t="n">
        <v>292</v>
      </c>
      <c r="C294" s="3" t="n">
        <v>5</v>
      </c>
      <c r="D294" s="3" t="n">
        <v>6</v>
      </c>
      <c r="E294" s="3" t="n">
        <v>5</v>
      </c>
      <c r="F294" s="24" t="n">
        <v>0.355703056</v>
      </c>
    </row>
    <row r="295" customFormat="false" ht="15" hidden="false" customHeight="false" outlineLevel="0" collapsed="false">
      <c r="A295" s="3" t="n">
        <v>294</v>
      </c>
      <c r="B295" s="3" t="n">
        <v>293</v>
      </c>
      <c r="C295" s="3" t="n">
        <v>5</v>
      </c>
      <c r="D295" s="3" t="n">
        <v>6</v>
      </c>
      <c r="E295" s="3" t="n">
        <v>6</v>
      </c>
      <c r="F295" s="24" t="n">
        <v>0.167286277</v>
      </c>
    </row>
    <row r="296" customFormat="false" ht="15" hidden="false" customHeight="false" outlineLevel="0" collapsed="false">
      <c r="A296" s="3" t="n">
        <v>295</v>
      </c>
      <c r="B296" s="3" t="n">
        <v>294</v>
      </c>
      <c r="C296" s="3" t="n">
        <v>6</v>
      </c>
      <c r="D296" s="3" t="n">
        <v>0</v>
      </c>
      <c r="E296" s="3" t="n">
        <v>0</v>
      </c>
      <c r="F296" s="24" t="n">
        <v>0</v>
      </c>
    </row>
    <row r="297" customFormat="false" ht="15" hidden="false" customHeight="false" outlineLevel="0" collapsed="false">
      <c r="A297" s="3" t="n">
        <v>296</v>
      </c>
      <c r="B297" s="3" t="n">
        <v>295</v>
      </c>
      <c r="C297" s="3" t="n">
        <v>6</v>
      </c>
      <c r="D297" s="3" t="n">
        <v>0</v>
      </c>
      <c r="E297" s="3" t="n">
        <v>1</v>
      </c>
      <c r="F297" s="24" t="n">
        <v>0</v>
      </c>
    </row>
    <row r="298" customFormat="false" ht="15" hidden="false" customHeight="false" outlineLevel="0" collapsed="false">
      <c r="A298" s="3" t="n">
        <v>297</v>
      </c>
      <c r="B298" s="3" t="n">
        <v>296</v>
      </c>
      <c r="C298" s="3" t="n">
        <v>6</v>
      </c>
      <c r="D298" s="3" t="n">
        <v>0</v>
      </c>
      <c r="E298" s="3" t="n">
        <v>2</v>
      </c>
      <c r="F298" s="24" t="n">
        <v>0</v>
      </c>
    </row>
    <row r="299" customFormat="false" ht="15" hidden="false" customHeight="false" outlineLevel="0" collapsed="false">
      <c r="A299" s="3" t="n">
        <v>298</v>
      </c>
      <c r="B299" s="3" t="n">
        <v>297</v>
      </c>
      <c r="C299" s="3" t="n">
        <v>6</v>
      </c>
      <c r="D299" s="3" t="n">
        <v>0</v>
      </c>
      <c r="E299" s="3" t="n">
        <v>3</v>
      </c>
      <c r="F299" s="24" t="n">
        <v>0</v>
      </c>
    </row>
    <row r="300" customFormat="false" ht="15" hidden="false" customHeight="false" outlineLevel="0" collapsed="false">
      <c r="A300" s="3" t="n">
        <v>299</v>
      </c>
      <c r="B300" s="3" t="n">
        <v>298</v>
      </c>
      <c r="C300" s="3" t="n">
        <v>6</v>
      </c>
      <c r="D300" s="3" t="n">
        <v>0</v>
      </c>
      <c r="E300" s="3" t="n">
        <v>4</v>
      </c>
      <c r="F300" s="24" t="n">
        <v>0</v>
      </c>
    </row>
    <row r="301" customFormat="false" ht="15" hidden="false" customHeight="false" outlineLevel="0" collapsed="false">
      <c r="A301" s="3" t="n">
        <v>300</v>
      </c>
      <c r="B301" s="3" t="n">
        <v>299</v>
      </c>
      <c r="C301" s="3" t="n">
        <v>6</v>
      </c>
      <c r="D301" s="3" t="n">
        <v>0</v>
      </c>
      <c r="E301" s="3" t="n">
        <v>5</v>
      </c>
      <c r="F301" s="24" t="n">
        <v>0</v>
      </c>
    </row>
    <row r="302" customFormat="false" ht="15" hidden="false" customHeight="false" outlineLevel="0" collapsed="false">
      <c r="A302" s="3" t="n">
        <v>301</v>
      </c>
      <c r="B302" s="3" t="n">
        <v>300</v>
      </c>
      <c r="C302" s="3" t="n">
        <v>6</v>
      </c>
      <c r="D302" s="3" t="n">
        <v>0</v>
      </c>
      <c r="E302" s="3" t="n">
        <v>6</v>
      </c>
      <c r="F302" s="24" t="n">
        <v>0</v>
      </c>
    </row>
    <row r="303" customFormat="false" ht="15" hidden="false" customHeight="false" outlineLevel="0" collapsed="false">
      <c r="A303" s="3" t="n">
        <v>302</v>
      </c>
      <c r="B303" s="3" t="n">
        <v>301</v>
      </c>
      <c r="C303" s="3" t="n">
        <v>6</v>
      </c>
      <c r="D303" s="3" t="n">
        <v>1</v>
      </c>
      <c r="E303" s="3" t="n">
        <v>0</v>
      </c>
      <c r="F303" s="24" t="n">
        <v>0.161526233</v>
      </c>
    </row>
    <row r="304" customFormat="false" ht="15" hidden="false" customHeight="false" outlineLevel="0" collapsed="false">
      <c r="A304" s="3" t="n">
        <v>303</v>
      </c>
      <c r="B304" s="3" t="n">
        <v>302</v>
      </c>
      <c r="C304" s="3" t="n">
        <v>6</v>
      </c>
      <c r="D304" s="3" t="n">
        <v>1</v>
      </c>
      <c r="E304" s="3" t="n">
        <v>1</v>
      </c>
      <c r="F304" s="24" t="n">
        <v>7.76166296</v>
      </c>
    </row>
    <row r="305" customFormat="false" ht="15" hidden="false" customHeight="false" outlineLevel="0" collapsed="false">
      <c r="A305" s="3" t="n">
        <v>304</v>
      </c>
      <c r="B305" s="3" t="n">
        <v>303</v>
      </c>
      <c r="C305" s="3" t="n">
        <v>6</v>
      </c>
      <c r="D305" s="3" t="n">
        <v>1</v>
      </c>
      <c r="E305" s="3" t="n">
        <v>2</v>
      </c>
      <c r="F305" s="24" t="n">
        <v>9.21909809</v>
      </c>
    </row>
    <row r="306" customFormat="false" ht="15" hidden="false" customHeight="false" outlineLevel="0" collapsed="false">
      <c r="A306" s="3" t="n">
        <v>305</v>
      </c>
      <c r="B306" s="3" t="n">
        <v>304</v>
      </c>
      <c r="C306" s="3" t="n">
        <v>6</v>
      </c>
      <c r="D306" s="3" t="n">
        <v>1</v>
      </c>
      <c r="E306" s="3" t="n">
        <v>3</v>
      </c>
      <c r="F306" s="24" t="n">
        <v>7.24363565</v>
      </c>
    </row>
    <row r="307" customFormat="false" ht="15" hidden="false" customHeight="false" outlineLevel="0" collapsed="false">
      <c r="A307" s="3" t="n">
        <v>306</v>
      </c>
      <c r="B307" s="3" t="n">
        <v>305</v>
      </c>
      <c r="C307" s="3" t="n">
        <v>6</v>
      </c>
      <c r="D307" s="3" t="n">
        <v>1</v>
      </c>
      <c r="E307" s="3" t="n">
        <v>4</v>
      </c>
      <c r="F307" s="24" t="n">
        <v>6.75939226</v>
      </c>
    </row>
    <row r="308" customFormat="false" ht="15" hidden="false" customHeight="false" outlineLevel="0" collapsed="false">
      <c r="A308" s="3" t="n">
        <v>307</v>
      </c>
      <c r="B308" s="3" t="n">
        <v>306</v>
      </c>
      <c r="C308" s="3" t="n">
        <v>6</v>
      </c>
      <c r="D308" s="3" t="n">
        <v>1</v>
      </c>
      <c r="E308" s="3" t="n">
        <v>5</v>
      </c>
      <c r="F308" s="24" t="n">
        <v>3.66861916</v>
      </c>
    </row>
    <row r="309" customFormat="false" ht="15" hidden="false" customHeight="false" outlineLevel="0" collapsed="false">
      <c r="A309" s="3" t="n">
        <v>308</v>
      </c>
      <c r="B309" s="3" t="n">
        <v>307</v>
      </c>
      <c r="C309" s="3" t="n">
        <v>6</v>
      </c>
      <c r="D309" s="3" t="n">
        <v>1</v>
      </c>
      <c r="E309" s="3" t="n">
        <v>6</v>
      </c>
      <c r="F309" s="24" t="n">
        <v>0</v>
      </c>
    </row>
    <row r="310" customFormat="false" ht="15" hidden="false" customHeight="false" outlineLevel="0" collapsed="false">
      <c r="A310" s="3" t="n">
        <v>309</v>
      </c>
      <c r="B310" s="3" t="n">
        <v>308</v>
      </c>
      <c r="C310" s="3" t="n">
        <v>6</v>
      </c>
      <c r="D310" s="3" t="n">
        <v>2</v>
      </c>
      <c r="E310" s="3" t="n">
        <v>0</v>
      </c>
      <c r="F310" s="24" t="n">
        <v>1.04164183</v>
      </c>
    </row>
    <row r="311" customFormat="false" ht="15" hidden="false" customHeight="false" outlineLevel="0" collapsed="false">
      <c r="A311" s="3" t="n">
        <v>310</v>
      </c>
      <c r="B311" s="3" t="n">
        <v>309</v>
      </c>
      <c r="C311" s="3" t="n">
        <v>6</v>
      </c>
      <c r="D311" s="3" t="n">
        <v>2</v>
      </c>
      <c r="E311" s="3" t="n">
        <v>1</v>
      </c>
      <c r="F311" s="24" t="n">
        <v>1.94287479</v>
      </c>
    </row>
    <row r="312" customFormat="false" ht="15" hidden="false" customHeight="false" outlineLevel="0" collapsed="false">
      <c r="A312" s="3" t="n">
        <v>311</v>
      </c>
      <c r="B312" s="3" t="n">
        <v>310</v>
      </c>
      <c r="C312" s="3" t="n">
        <v>6</v>
      </c>
      <c r="D312" s="3" t="n">
        <v>2</v>
      </c>
      <c r="E312" s="3" t="n">
        <v>2</v>
      </c>
      <c r="F312" s="24" t="n">
        <v>6.70926332</v>
      </c>
    </row>
    <row r="313" customFormat="false" ht="15" hidden="false" customHeight="false" outlineLevel="0" collapsed="false">
      <c r="A313" s="3" t="n">
        <v>312</v>
      </c>
      <c r="B313" s="3" t="n">
        <v>311</v>
      </c>
      <c r="C313" s="3" t="n">
        <v>6</v>
      </c>
      <c r="D313" s="3" t="n">
        <v>2</v>
      </c>
      <c r="E313" s="3" t="n">
        <v>3</v>
      </c>
      <c r="F313" s="24" t="n">
        <v>7.70817232</v>
      </c>
    </row>
    <row r="314" customFormat="false" ht="15" hidden="false" customHeight="false" outlineLevel="0" collapsed="false">
      <c r="A314" s="3" t="n">
        <v>313</v>
      </c>
      <c r="B314" s="3" t="n">
        <v>312</v>
      </c>
      <c r="C314" s="3" t="n">
        <v>6</v>
      </c>
      <c r="D314" s="3" t="n">
        <v>2</v>
      </c>
      <c r="E314" s="3" t="n">
        <v>4</v>
      </c>
      <c r="F314" s="24" t="n">
        <v>6.99577665</v>
      </c>
    </row>
    <row r="315" customFormat="false" ht="15" hidden="false" customHeight="false" outlineLevel="0" collapsed="false">
      <c r="A315" s="3" t="n">
        <v>314</v>
      </c>
      <c r="B315" s="3" t="n">
        <v>313</v>
      </c>
      <c r="C315" s="3" t="n">
        <v>6</v>
      </c>
      <c r="D315" s="3" t="n">
        <v>2</v>
      </c>
      <c r="E315" s="3" t="n">
        <v>5</v>
      </c>
      <c r="F315" s="24" t="n">
        <v>4.70144367</v>
      </c>
    </row>
    <row r="316" customFormat="false" ht="15" hidden="false" customHeight="false" outlineLevel="0" collapsed="false">
      <c r="A316" s="3" t="n">
        <v>315</v>
      </c>
      <c r="B316" s="3" t="n">
        <v>314</v>
      </c>
      <c r="C316" s="3" t="n">
        <v>6</v>
      </c>
      <c r="D316" s="3" t="n">
        <v>2</v>
      </c>
      <c r="E316" s="3" t="n">
        <v>6</v>
      </c>
      <c r="F316" s="24" t="n">
        <v>0.053639859</v>
      </c>
    </row>
    <row r="317" customFormat="false" ht="15" hidden="false" customHeight="false" outlineLevel="0" collapsed="false">
      <c r="A317" s="3" t="n">
        <v>316</v>
      </c>
      <c r="B317" s="3" t="n">
        <v>315</v>
      </c>
      <c r="C317" s="3" t="n">
        <v>6</v>
      </c>
      <c r="D317" s="3" t="n">
        <v>3</v>
      </c>
      <c r="E317" s="3" t="n">
        <v>0</v>
      </c>
      <c r="F317" s="24" t="n">
        <v>0</v>
      </c>
    </row>
    <row r="318" customFormat="false" ht="15" hidden="false" customHeight="false" outlineLevel="0" collapsed="false">
      <c r="A318" s="3" t="n">
        <v>317</v>
      </c>
      <c r="B318" s="3" t="n">
        <v>316</v>
      </c>
      <c r="C318" s="3" t="n">
        <v>6</v>
      </c>
      <c r="D318" s="3" t="n">
        <v>3</v>
      </c>
      <c r="E318" s="3" t="n">
        <v>1</v>
      </c>
      <c r="F318" s="24" t="n">
        <v>0</v>
      </c>
    </row>
    <row r="319" customFormat="false" ht="15" hidden="false" customHeight="false" outlineLevel="0" collapsed="false">
      <c r="A319" s="3" t="n">
        <v>318</v>
      </c>
      <c r="B319" s="3" t="n">
        <v>317</v>
      </c>
      <c r="C319" s="3" t="n">
        <v>6</v>
      </c>
      <c r="D319" s="3" t="n">
        <v>3</v>
      </c>
      <c r="E319" s="3" t="n">
        <v>2</v>
      </c>
      <c r="F319" s="24" t="n">
        <v>0</v>
      </c>
    </row>
    <row r="320" customFormat="false" ht="15" hidden="false" customHeight="false" outlineLevel="0" collapsed="false">
      <c r="A320" s="3" t="n">
        <v>319</v>
      </c>
      <c r="B320" s="3" t="n">
        <v>318</v>
      </c>
      <c r="C320" s="3" t="n">
        <v>6</v>
      </c>
      <c r="D320" s="3" t="n">
        <v>3</v>
      </c>
      <c r="E320" s="3" t="n">
        <v>3</v>
      </c>
      <c r="F320" s="24" t="n">
        <v>2.6663959</v>
      </c>
    </row>
    <row r="321" customFormat="false" ht="15" hidden="false" customHeight="false" outlineLevel="0" collapsed="false">
      <c r="A321" s="3" t="n">
        <v>320</v>
      </c>
      <c r="B321" s="3" t="n">
        <v>319</v>
      </c>
      <c r="C321" s="3" t="n">
        <v>6</v>
      </c>
      <c r="D321" s="3" t="n">
        <v>3</v>
      </c>
      <c r="E321" s="3" t="n">
        <v>4</v>
      </c>
      <c r="F321" s="24" t="n">
        <v>1.28130782</v>
      </c>
    </row>
    <row r="322" customFormat="false" ht="15" hidden="false" customHeight="false" outlineLevel="0" collapsed="false">
      <c r="A322" s="3" t="n">
        <v>321</v>
      </c>
      <c r="B322" s="3" t="n">
        <v>320</v>
      </c>
      <c r="C322" s="3" t="n">
        <v>6</v>
      </c>
      <c r="D322" s="3" t="n">
        <v>3</v>
      </c>
      <c r="E322" s="3" t="n">
        <v>5</v>
      </c>
      <c r="F322" s="24" t="n">
        <v>0</v>
      </c>
    </row>
    <row r="323" customFormat="false" ht="15" hidden="false" customHeight="false" outlineLevel="0" collapsed="false">
      <c r="A323" s="3" t="n">
        <v>322</v>
      </c>
      <c r="B323" s="3" t="n">
        <v>321</v>
      </c>
      <c r="C323" s="3" t="n">
        <v>6</v>
      </c>
      <c r="D323" s="3" t="n">
        <v>3</v>
      </c>
      <c r="E323" s="3" t="n">
        <v>6</v>
      </c>
      <c r="F323" s="24" t="n">
        <v>0</v>
      </c>
    </row>
    <row r="324" customFormat="false" ht="15" hidden="false" customHeight="false" outlineLevel="0" collapsed="false">
      <c r="A324" s="3" t="n">
        <v>323</v>
      </c>
      <c r="B324" s="3" t="n">
        <v>322</v>
      </c>
      <c r="C324" s="3" t="n">
        <v>6</v>
      </c>
      <c r="D324" s="3" t="n">
        <v>4</v>
      </c>
      <c r="E324" s="3" t="n">
        <v>0</v>
      </c>
      <c r="F324" s="24" t="n">
        <v>0</v>
      </c>
    </row>
    <row r="325" customFormat="false" ht="15" hidden="false" customHeight="false" outlineLevel="0" collapsed="false">
      <c r="A325" s="3" t="n">
        <v>324</v>
      </c>
      <c r="B325" s="3" t="n">
        <v>323</v>
      </c>
      <c r="C325" s="3" t="n">
        <v>6</v>
      </c>
      <c r="D325" s="3" t="n">
        <v>4</v>
      </c>
      <c r="E325" s="3" t="n">
        <v>1</v>
      </c>
      <c r="F325" s="24" t="n">
        <v>0</v>
      </c>
    </row>
    <row r="326" customFormat="false" ht="15" hidden="false" customHeight="false" outlineLevel="0" collapsed="false">
      <c r="A326" s="3" t="n">
        <v>325</v>
      </c>
      <c r="B326" s="3" t="n">
        <v>324</v>
      </c>
      <c r="C326" s="3" t="n">
        <v>6</v>
      </c>
      <c r="D326" s="3" t="n">
        <v>4</v>
      </c>
      <c r="E326" s="3" t="n">
        <v>2</v>
      </c>
      <c r="F326" s="24" t="n">
        <v>1.29486978</v>
      </c>
    </row>
    <row r="327" customFormat="false" ht="15" hidden="false" customHeight="false" outlineLevel="0" collapsed="false">
      <c r="A327" s="3" t="n">
        <v>326</v>
      </c>
      <c r="B327" s="3" t="n">
        <v>325</v>
      </c>
      <c r="C327" s="3" t="n">
        <v>6</v>
      </c>
      <c r="D327" s="3" t="n">
        <v>4</v>
      </c>
      <c r="E327" s="3" t="n">
        <v>3</v>
      </c>
      <c r="F327" s="24" t="n">
        <v>6.03698635</v>
      </c>
    </row>
    <row r="328" customFormat="false" ht="15" hidden="false" customHeight="false" outlineLevel="0" collapsed="false">
      <c r="A328" s="3" t="n">
        <v>327</v>
      </c>
      <c r="B328" s="3" t="n">
        <v>326</v>
      </c>
      <c r="C328" s="3" t="n">
        <v>6</v>
      </c>
      <c r="D328" s="3" t="n">
        <v>4</v>
      </c>
      <c r="E328" s="3" t="n">
        <v>4</v>
      </c>
      <c r="F328" s="24" t="n">
        <v>0.525866747</v>
      </c>
    </row>
    <row r="329" customFormat="false" ht="15" hidden="false" customHeight="false" outlineLevel="0" collapsed="false">
      <c r="A329" s="3" t="n">
        <v>328</v>
      </c>
      <c r="B329" s="3" t="n">
        <v>327</v>
      </c>
      <c r="C329" s="3" t="n">
        <v>6</v>
      </c>
      <c r="D329" s="3" t="n">
        <v>4</v>
      </c>
      <c r="E329" s="3" t="n">
        <v>5</v>
      </c>
      <c r="F329" s="24" t="n">
        <v>0</v>
      </c>
    </row>
    <row r="330" customFormat="false" ht="15" hidden="false" customHeight="false" outlineLevel="0" collapsed="false">
      <c r="A330" s="3" t="n">
        <v>329</v>
      </c>
      <c r="B330" s="3" t="n">
        <v>328</v>
      </c>
      <c r="C330" s="3" t="n">
        <v>6</v>
      </c>
      <c r="D330" s="3" t="n">
        <v>4</v>
      </c>
      <c r="E330" s="3" t="n">
        <v>6</v>
      </c>
      <c r="F330" s="24" t="n">
        <v>0</v>
      </c>
    </row>
    <row r="331" customFormat="false" ht="15" hidden="false" customHeight="false" outlineLevel="0" collapsed="false">
      <c r="A331" s="3" t="n">
        <v>330</v>
      </c>
      <c r="B331" s="3" t="n">
        <v>329</v>
      </c>
      <c r="C331" s="3" t="n">
        <v>6</v>
      </c>
      <c r="D331" s="3" t="n">
        <v>5</v>
      </c>
      <c r="E331" s="3" t="n">
        <v>0</v>
      </c>
      <c r="F331" s="24" t="n">
        <v>0</v>
      </c>
    </row>
    <row r="332" customFormat="false" ht="15" hidden="false" customHeight="false" outlineLevel="0" collapsed="false">
      <c r="A332" s="3" t="n">
        <v>331</v>
      </c>
      <c r="B332" s="3" t="n">
        <v>330</v>
      </c>
      <c r="C332" s="3" t="n">
        <v>6</v>
      </c>
      <c r="D332" s="3" t="n">
        <v>5</v>
      </c>
      <c r="E332" s="3" t="n">
        <v>1</v>
      </c>
      <c r="F332" s="24" t="n">
        <v>0</v>
      </c>
    </row>
    <row r="333" customFormat="false" ht="15" hidden="false" customHeight="false" outlineLevel="0" collapsed="false">
      <c r="A333" s="3" t="n">
        <v>332</v>
      </c>
      <c r="B333" s="3" t="n">
        <v>331</v>
      </c>
      <c r="C333" s="3" t="n">
        <v>6</v>
      </c>
      <c r="D333" s="3" t="n">
        <v>5</v>
      </c>
      <c r="E333" s="3" t="n">
        <v>2</v>
      </c>
      <c r="F333" s="24" t="n">
        <v>4.08271837</v>
      </c>
    </row>
    <row r="334" customFormat="false" ht="15" hidden="false" customHeight="false" outlineLevel="0" collapsed="false">
      <c r="A334" s="3" t="n">
        <v>333</v>
      </c>
      <c r="B334" s="3" t="n">
        <v>332</v>
      </c>
      <c r="C334" s="3" t="n">
        <v>6</v>
      </c>
      <c r="D334" s="3" t="n">
        <v>5</v>
      </c>
      <c r="E334" s="3" t="n">
        <v>3</v>
      </c>
      <c r="F334" s="24" t="n">
        <v>2.21608829</v>
      </c>
    </row>
    <row r="335" customFormat="false" ht="15" hidden="false" customHeight="false" outlineLevel="0" collapsed="false">
      <c r="A335" s="3" t="n">
        <v>334</v>
      </c>
      <c r="B335" s="3" t="n">
        <v>333</v>
      </c>
      <c r="C335" s="3" t="n">
        <v>6</v>
      </c>
      <c r="D335" s="3" t="n">
        <v>5</v>
      </c>
      <c r="E335" s="3" t="n">
        <v>4</v>
      </c>
      <c r="F335" s="24" t="n">
        <v>0</v>
      </c>
    </row>
    <row r="336" customFormat="false" ht="15" hidden="false" customHeight="false" outlineLevel="0" collapsed="false">
      <c r="A336" s="3" t="n">
        <v>335</v>
      </c>
      <c r="B336" s="3" t="n">
        <v>334</v>
      </c>
      <c r="C336" s="3" t="n">
        <v>6</v>
      </c>
      <c r="D336" s="3" t="n">
        <v>5</v>
      </c>
      <c r="E336" s="3" t="n">
        <v>5</v>
      </c>
      <c r="F336" s="24" t="n">
        <v>0</v>
      </c>
    </row>
    <row r="337" customFormat="false" ht="15" hidden="false" customHeight="false" outlineLevel="0" collapsed="false">
      <c r="A337" s="3" t="n">
        <v>336</v>
      </c>
      <c r="B337" s="3" t="n">
        <v>335</v>
      </c>
      <c r="C337" s="3" t="n">
        <v>6</v>
      </c>
      <c r="D337" s="3" t="n">
        <v>5</v>
      </c>
      <c r="E337" s="3" t="n">
        <v>6</v>
      </c>
      <c r="F337" s="24" t="n">
        <v>0</v>
      </c>
    </row>
    <row r="338" customFormat="false" ht="15" hidden="false" customHeight="false" outlineLevel="0" collapsed="false">
      <c r="A338" s="3" t="n">
        <v>337</v>
      </c>
      <c r="B338" s="3" t="n">
        <v>336</v>
      </c>
      <c r="C338" s="3" t="n">
        <v>6</v>
      </c>
      <c r="D338" s="3" t="n">
        <v>6</v>
      </c>
      <c r="E338" s="3" t="n">
        <v>0</v>
      </c>
      <c r="F338" s="24" t="n">
        <v>0.102498293</v>
      </c>
    </row>
    <row r="339" customFormat="false" ht="15" hidden="false" customHeight="false" outlineLevel="0" collapsed="false">
      <c r="A339" s="3" t="n">
        <v>338</v>
      </c>
      <c r="B339" s="3" t="n">
        <v>337</v>
      </c>
      <c r="C339" s="3" t="n">
        <v>6</v>
      </c>
      <c r="D339" s="3" t="n">
        <v>6</v>
      </c>
      <c r="E339" s="3" t="n">
        <v>1</v>
      </c>
      <c r="F339" s="24" t="n">
        <v>0.474163979</v>
      </c>
    </row>
    <row r="340" customFormat="false" ht="15" hidden="false" customHeight="false" outlineLevel="0" collapsed="false">
      <c r="A340" s="3" t="n">
        <v>339</v>
      </c>
      <c r="B340" s="3" t="n">
        <v>338</v>
      </c>
      <c r="C340" s="3" t="n">
        <v>6</v>
      </c>
      <c r="D340" s="3" t="n">
        <v>6</v>
      </c>
      <c r="E340" s="3" t="n">
        <v>2</v>
      </c>
      <c r="F340" s="24" t="n">
        <v>3.50031376</v>
      </c>
    </row>
    <row r="341" customFormat="false" ht="15" hidden="false" customHeight="false" outlineLevel="0" collapsed="false">
      <c r="A341" s="3" t="n">
        <v>340</v>
      </c>
      <c r="B341" s="3" t="n">
        <v>339</v>
      </c>
      <c r="C341" s="3" t="n">
        <v>6</v>
      </c>
      <c r="D341" s="3" t="n">
        <v>6</v>
      </c>
      <c r="E341" s="3" t="n">
        <v>3</v>
      </c>
      <c r="F341" s="24" t="n">
        <v>1.21739793</v>
      </c>
    </row>
    <row r="342" customFormat="false" ht="15" hidden="false" customHeight="false" outlineLevel="0" collapsed="false">
      <c r="A342" s="3" t="n">
        <v>341</v>
      </c>
      <c r="B342" s="3" t="n">
        <v>340</v>
      </c>
      <c r="C342" s="3" t="n">
        <v>6</v>
      </c>
      <c r="D342" s="3" t="n">
        <v>6</v>
      </c>
      <c r="E342" s="3" t="n">
        <v>4</v>
      </c>
      <c r="F342" s="24" t="n">
        <v>0</v>
      </c>
    </row>
    <row r="343" customFormat="false" ht="15" hidden="false" customHeight="false" outlineLevel="0" collapsed="false">
      <c r="A343" s="3" t="n">
        <v>342</v>
      </c>
      <c r="B343" s="3" t="n">
        <v>341</v>
      </c>
      <c r="C343" s="3" t="n">
        <v>6</v>
      </c>
      <c r="D343" s="3" t="n">
        <v>6</v>
      </c>
      <c r="E343" s="3" t="n">
        <v>5</v>
      </c>
      <c r="F343" s="24" t="n">
        <v>0</v>
      </c>
    </row>
    <row r="344" customFormat="false" ht="15" hidden="false" customHeight="false" outlineLevel="0" collapsed="false">
      <c r="A344" s="3" t="n">
        <v>343</v>
      </c>
      <c r="B344" s="3" t="n">
        <v>342</v>
      </c>
      <c r="C344" s="3" t="n">
        <v>6</v>
      </c>
      <c r="D344" s="3" t="n">
        <v>6</v>
      </c>
      <c r="E344" s="3" t="n">
        <v>6</v>
      </c>
      <c r="F344" s="24" t="n">
        <v>0.0820699632</v>
      </c>
    </row>
    <row r="345" customFormat="false" ht="15" hidden="false" customHeight="false" outlineLevel="0" collapsed="false">
      <c r="A345" s="3" t="n">
        <v>344</v>
      </c>
      <c r="B345" s="3" t="n">
        <v>343</v>
      </c>
      <c r="C345" s="3" t="n">
        <v>7</v>
      </c>
      <c r="D345" s="3" t="n">
        <v>0</v>
      </c>
      <c r="E345" s="3" t="n">
        <v>0</v>
      </c>
      <c r="F345" s="24" t="n">
        <v>0</v>
      </c>
    </row>
    <row r="346" customFormat="false" ht="15" hidden="false" customHeight="false" outlineLevel="0" collapsed="false">
      <c r="A346" s="3" t="n">
        <v>345</v>
      </c>
      <c r="B346" s="3" t="n">
        <v>344</v>
      </c>
      <c r="C346" s="3" t="n">
        <v>7</v>
      </c>
      <c r="D346" s="3" t="n">
        <v>0</v>
      </c>
      <c r="E346" s="3" t="n">
        <v>1</v>
      </c>
      <c r="F346" s="24" t="n">
        <v>0</v>
      </c>
    </row>
    <row r="347" customFormat="false" ht="15" hidden="false" customHeight="false" outlineLevel="0" collapsed="false">
      <c r="A347" s="3" t="n">
        <v>346</v>
      </c>
      <c r="B347" s="3" t="n">
        <v>345</v>
      </c>
      <c r="C347" s="3" t="n">
        <v>7</v>
      </c>
      <c r="D347" s="3" t="n">
        <v>0</v>
      </c>
      <c r="E347" s="3" t="n">
        <v>2</v>
      </c>
      <c r="F347" s="24" t="n">
        <v>0</v>
      </c>
    </row>
    <row r="348" customFormat="false" ht="15" hidden="false" customHeight="false" outlineLevel="0" collapsed="false">
      <c r="A348" s="3" t="n">
        <v>347</v>
      </c>
      <c r="B348" s="3" t="n">
        <v>346</v>
      </c>
      <c r="C348" s="3" t="n">
        <v>7</v>
      </c>
      <c r="D348" s="3" t="n">
        <v>0</v>
      </c>
      <c r="E348" s="3" t="n">
        <v>3</v>
      </c>
      <c r="F348" s="24" t="n">
        <v>0</v>
      </c>
    </row>
    <row r="349" customFormat="false" ht="15" hidden="false" customHeight="false" outlineLevel="0" collapsed="false">
      <c r="A349" s="3" t="n">
        <v>348</v>
      </c>
      <c r="B349" s="3" t="n">
        <v>347</v>
      </c>
      <c r="C349" s="3" t="n">
        <v>7</v>
      </c>
      <c r="D349" s="3" t="n">
        <v>0</v>
      </c>
      <c r="E349" s="3" t="n">
        <v>4</v>
      </c>
      <c r="F349" s="24" t="n">
        <v>0</v>
      </c>
    </row>
    <row r="350" customFormat="false" ht="15" hidden="false" customHeight="false" outlineLevel="0" collapsed="false">
      <c r="A350" s="3" t="n">
        <v>349</v>
      </c>
      <c r="B350" s="3" t="n">
        <v>348</v>
      </c>
      <c r="C350" s="3" t="n">
        <v>7</v>
      </c>
      <c r="D350" s="3" t="n">
        <v>0</v>
      </c>
      <c r="E350" s="3" t="n">
        <v>5</v>
      </c>
      <c r="F350" s="24" t="n">
        <v>0</v>
      </c>
    </row>
    <row r="351" customFormat="false" ht="15" hidden="false" customHeight="false" outlineLevel="0" collapsed="false">
      <c r="A351" s="3" t="n">
        <v>350</v>
      </c>
      <c r="B351" s="3" t="n">
        <v>349</v>
      </c>
      <c r="C351" s="3" t="n">
        <v>7</v>
      </c>
      <c r="D351" s="3" t="n">
        <v>0</v>
      </c>
      <c r="E351" s="3" t="n">
        <v>6</v>
      </c>
      <c r="F351" s="24" t="n">
        <v>0</v>
      </c>
    </row>
    <row r="352" customFormat="false" ht="15" hidden="false" customHeight="false" outlineLevel="0" collapsed="false">
      <c r="A352" s="3" t="n">
        <v>351</v>
      </c>
      <c r="B352" s="3" t="n">
        <v>350</v>
      </c>
      <c r="C352" s="3" t="n">
        <v>7</v>
      </c>
      <c r="D352" s="3" t="n">
        <v>1</v>
      </c>
      <c r="E352" s="3" t="n">
        <v>0</v>
      </c>
      <c r="F352" s="24" t="n">
        <v>0</v>
      </c>
    </row>
    <row r="353" customFormat="false" ht="15" hidden="false" customHeight="false" outlineLevel="0" collapsed="false">
      <c r="A353" s="3" t="n">
        <v>352</v>
      </c>
      <c r="B353" s="3" t="n">
        <v>351</v>
      </c>
      <c r="C353" s="3" t="n">
        <v>7</v>
      </c>
      <c r="D353" s="3" t="n">
        <v>1</v>
      </c>
      <c r="E353" s="3" t="n">
        <v>1</v>
      </c>
      <c r="F353" s="24" t="n">
        <v>3.57920623</v>
      </c>
    </row>
    <row r="354" customFormat="false" ht="15" hidden="false" customHeight="false" outlineLevel="0" collapsed="false">
      <c r="A354" s="3" t="n">
        <v>353</v>
      </c>
      <c r="B354" s="3" t="n">
        <v>352</v>
      </c>
      <c r="C354" s="3" t="n">
        <v>7</v>
      </c>
      <c r="D354" s="3" t="n">
        <v>1</v>
      </c>
      <c r="E354" s="3" t="n">
        <v>2</v>
      </c>
      <c r="F354" s="24" t="n">
        <v>10.5120106</v>
      </c>
    </row>
    <row r="355" customFormat="false" ht="15" hidden="false" customHeight="false" outlineLevel="0" collapsed="false">
      <c r="A355" s="3" t="n">
        <v>354</v>
      </c>
      <c r="B355" s="3" t="n">
        <v>353</v>
      </c>
      <c r="C355" s="3" t="n">
        <v>7</v>
      </c>
      <c r="D355" s="3" t="n">
        <v>1</v>
      </c>
      <c r="E355" s="3" t="n">
        <v>3</v>
      </c>
      <c r="F355" s="24" t="n">
        <v>10.9675512</v>
      </c>
    </row>
    <row r="356" customFormat="false" ht="15" hidden="false" customHeight="false" outlineLevel="0" collapsed="false">
      <c r="A356" s="3" t="n">
        <v>355</v>
      </c>
      <c r="B356" s="3" t="n">
        <v>354</v>
      </c>
      <c r="C356" s="3" t="n">
        <v>7</v>
      </c>
      <c r="D356" s="3" t="n">
        <v>1</v>
      </c>
      <c r="E356" s="3" t="n">
        <v>4</v>
      </c>
      <c r="F356" s="24" t="n">
        <v>8.45191193</v>
      </c>
    </row>
    <row r="357" customFormat="false" ht="15" hidden="false" customHeight="false" outlineLevel="0" collapsed="false">
      <c r="A357" s="3" t="n">
        <v>356</v>
      </c>
      <c r="B357" s="3" t="n">
        <v>355</v>
      </c>
      <c r="C357" s="3" t="n">
        <v>7</v>
      </c>
      <c r="D357" s="3" t="n">
        <v>1</v>
      </c>
      <c r="E357" s="3" t="n">
        <v>5</v>
      </c>
      <c r="F357" s="24" t="n">
        <v>7.4032445</v>
      </c>
    </row>
    <row r="358" customFormat="false" ht="15" hidden="false" customHeight="false" outlineLevel="0" collapsed="false">
      <c r="A358" s="3" t="n">
        <v>357</v>
      </c>
      <c r="B358" s="3" t="n">
        <v>356</v>
      </c>
      <c r="C358" s="3" t="n">
        <v>7</v>
      </c>
      <c r="D358" s="3" t="n">
        <v>1</v>
      </c>
      <c r="E358" s="3" t="n">
        <v>6</v>
      </c>
      <c r="F358" s="24" t="n">
        <v>0</v>
      </c>
    </row>
    <row r="359" customFormat="false" ht="15" hidden="false" customHeight="false" outlineLevel="0" collapsed="false">
      <c r="A359" s="3" t="n">
        <v>358</v>
      </c>
      <c r="B359" s="3" t="n">
        <v>357</v>
      </c>
      <c r="C359" s="3" t="n">
        <v>7</v>
      </c>
      <c r="D359" s="3" t="n">
        <v>2</v>
      </c>
      <c r="E359" s="3" t="n">
        <v>0</v>
      </c>
      <c r="F359" s="24" t="n">
        <v>0</v>
      </c>
    </row>
    <row r="360" customFormat="false" ht="15" hidden="false" customHeight="false" outlineLevel="0" collapsed="false">
      <c r="A360" s="3" t="n">
        <v>359</v>
      </c>
      <c r="B360" s="3" t="n">
        <v>358</v>
      </c>
      <c r="C360" s="3" t="n">
        <v>7</v>
      </c>
      <c r="D360" s="3" t="n">
        <v>2</v>
      </c>
      <c r="E360" s="3" t="n">
        <v>1</v>
      </c>
      <c r="F360" s="24" t="n">
        <v>1.95324492</v>
      </c>
    </row>
    <row r="361" customFormat="false" ht="15" hidden="false" customHeight="false" outlineLevel="0" collapsed="false">
      <c r="A361" s="3" t="n">
        <v>360</v>
      </c>
      <c r="B361" s="3" t="n">
        <v>359</v>
      </c>
      <c r="C361" s="3" t="n">
        <v>7</v>
      </c>
      <c r="D361" s="3" t="n">
        <v>2</v>
      </c>
      <c r="E361" s="3" t="n">
        <v>2</v>
      </c>
      <c r="F361" s="24" t="n">
        <v>0</v>
      </c>
    </row>
    <row r="362" customFormat="false" ht="15" hidden="false" customHeight="false" outlineLevel="0" collapsed="false">
      <c r="A362" s="3" t="n">
        <v>361</v>
      </c>
      <c r="B362" s="3" t="n">
        <v>360</v>
      </c>
      <c r="C362" s="3" t="n">
        <v>7</v>
      </c>
      <c r="D362" s="3" t="n">
        <v>2</v>
      </c>
      <c r="E362" s="3" t="n">
        <v>3</v>
      </c>
      <c r="F362" s="24" t="n">
        <v>0</v>
      </c>
    </row>
    <row r="363" customFormat="false" ht="15" hidden="false" customHeight="false" outlineLevel="0" collapsed="false">
      <c r="A363" s="3" t="n">
        <v>362</v>
      </c>
      <c r="B363" s="3" t="n">
        <v>361</v>
      </c>
      <c r="C363" s="3" t="n">
        <v>7</v>
      </c>
      <c r="D363" s="3" t="n">
        <v>2</v>
      </c>
      <c r="E363" s="3" t="n">
        <v>4</v>
      </c>
      <c r="F363" s="24" t="n">
        <v>0.750301242</v>
      </c>
    </row>
    <row r="364" customFormat="false" ht="15" hidden="false" customHeight="false" outlineLevel="0" collapsed="false">
      <c r="A364" s="3" t="n">
        <v>363</v>
      </c>
      <c r="B364" s="3" t="n">
        <v>362</v>
      </c>
      <c r="C364" s="3" t="n">
        <v>7</v>
      </c>
      <c r="D364" s="3" t="n">
        <v>2</v>
      </c>
      <c r="E364" s="3" t="n">
        <v>5</v>
      </c>
      <c r="F364" s="24" t="n">
        <v>5.08224678</v>
      </c>
    </row>
    <row r="365" customFormat="false" ht="15" hidden="false" customHeight="false" outlineLevel="0" collapsed="false">
      <c r="A365" s="3" t="n">
        <v>364</v>
      </c>
      <c r="B365" s="3" t="n">
        <v>363</v>
      </c>
      <c r="C365" s="3" t="n">
        <v>7</v>
      </c>
      <c r="D365" s="3" t="n">
        <v>2</v>
      </c>
      <c r="E365" s="3" t="n">
        <v>6</v>
      </c>
      <c r="F365" s="24" t="n">
        <v>0.810897946</v>
      </c>
    </row>
    <row r="366" customFormat="false" ht="15" hidden="false" customHeight="false" outlineLevel="0" collapsed="false">
      <c r="A366" s="3" t="n">
        <v>365</v>
      </c>
      <c r="B366" s="3" t="n">
        <v>364</v>
      </c>
      <c r="C366" s="3" t="n">
        <v>7</v>
      </c>
      <c r="D366" s="3" t="n">
        <v>3</v>
      </c>
      <c r="E366" s="3" t="n">
        <v>0</v>
      </c>
      <c r="F366" s="24" t="n">
        <v>0</v>
      </c>
    </row>
    <row r="367" customFormat="false" ht="15" hidden="false" customHeight="false" outlineLevel="0" collapsed="false">
      <c r="A367" s="3" t="n">
        <v>366</v>
      </c>
      <c r="B367" s="3" t="n">
        <v>365</v>
      </c>
      <c r="C367" s="3" t="n">
        <v>7</v>
      </c>
      <c r="D367" s="3" t="n">
        <v>3</v>
      </c>
      <c r="E367" s="3" t="n">
        <v>1</v>
      </c>
      <c r="F367" s="24" t="n">
        <v>0</v>
      </c>
    </row>
    <row r="368" customFormat="false" ht="15" hidden="false" customHeight="false" outlineLevel="0" collapsed="false">
      <c r="A368" s="3" t="n">
        <v>367</v>
      </c>
      <c r="B368" s="3" t="n">
        <v>366</v>
      </c>
      <c r="C368" s="3" t="n">
        <v>7</v>
      </c>
      <c r="D368" s="3" t="n">
        <v>3</v>
      </c>
      <c r="E368" s="3" t="n">
        <v>2</v>
      </c>
      <c r="F368" s="24" t="n">
        <v>0</v>
      </c>
    </row>
    <row r="369" customFormat="false" ht="15" hidden="false" customHeight="false" outlineLevel="0" collapsed="false">
      <c r="A369" s="3" t="n">
        <v>368</v>
      </c>
      <c r="B369" s="3" t="n">
        <v>367</v>
      </c>
      <c r="C369" s="3" t="n">
        <v>7</v>
      </c>
      <c r="D369" s="3" t="n">
        <v>3</v>
      </c>
      <c r="E369" s="3" t="n">
        <v>3</v>
      </c>
      <c r="F369" s="24" t="n">
        <v>0</v>
      </c>
    </row>
    <row r="370" customFormat="false" ht="15" hidden="false" customHeight="false" outlineLevel="0" collapsed="false">
      <c r="A370" s="3" t="n">
        <v>369</v>
      </c>
      <c r="B370" s="3" t="n">
        <v>368</v>
      </c>
      <c r="C370" s="3" t="n">
        <v>7</v>
      </c>
      <c r="D370" s="3" t="n">
        <v>3</v>
      </c>
      <c r="E370" s="3" t="n">
        <v>4</v>
      </c>
      <c r="F370" s="24" t="n">
        <v>0</v>
      </c>
    </row>
    <row r="371" customFormat="false" ht="15" hidden="false" customHeight="false" outlineLevel="0" collapsed="false">
      <c r="A371" s="3" t="n">
        <v>370</v>
      </c>
      <c r="B371" s="3" t="n">
        <v>369</v>
      </c>
      <c r="C371" s="3" t="n">
        <v>7</v>
      </c>
      <c r="D371" s="3" t="n">
        <v>3</v>
      </c>
      <c r="E371" s="3" t="n">
        <v>5</v>
      </c>
      <c r="F371" s="24" t="n">
        <v>0</v>
      </c>
    </row>
    <row r="372" customFormat="false" ht="15" hidden="false" customHeight="false" outlineLevel="0" collapsed="false">
      <c r="A372" s="3" t="n">
        <v>371</v>
      </c>
      <c r="B372" s="3" t="n">
        <v>370</v>
      </c>
      <c r="C372" s="3" t="n">
        <v>7</v>
      </c>
      <c r="D372" s="3" t="n">
        <v>3</v>
      </c>
      <c r="E372" s="3" t="n">
        <v>6</v>
      </c>
      <c r="F372" s="24" t="n">
        <v>0</v>
      </c>
    </row>
    <row r="373" customFormat="false" ht="15" hidden="false" customHeight="false" outlineLevel="0" collapsed="false">
      <c r="A373" s="3" t="n">
        <v>372</v>
      </c>
      <c r="B373" s="3" t="n">
        <v>371</v>
      </c>
      <c r="C373" s="3" t="n">
        <v>7</v>
      </c>
      <c r="D373" s="3" t="n">
        <v>4</v>
      </c>
      <c r="E373" s="3" t="n">
        <v>0</v>
      </c>
      <c r="F373" s="24" t="n">
        <v>0</v>
      </c>
    </row>
    <row r="374" customFormat="false" ht="15" hidden="false" customHeight="false" outlineLevel="0" collapsed="false">
      <c r="A374" s="3" t="n">
        <v>373</v>
      </c>
      <c r="B374" s="3" t="n">
        <v>372</v>
      </c>
      <c r="C374" s="3" t="n">
        <v>7</v>
      </c>
      <c r="D374" s="3" t="n">
        <v>4</v>
      </c>
      <c r="E374" s="3" t="n">
        <v>1</v>
      </c>
      <c r="F374" s="24" t="n">
        <v>0</v>
      </c>
    </row>
    <row r="375" customFormat="false" ht="15" hidden="false" customHeight="false" outlineLevel="0" collapsed="false">
      <c r="A375" s="3" t="n">
        <v>374</v>
      </c>
      <c r="B375" s="3" t="n">
        <v>373</v>
      </c>
      <c r="C375" s="3" t="n">
        <v>7</v>
      </c>
      <c r="D375" s="3" t="n">
        <v>4</v>
      </c>
      <c r="E375" s="3" t="n">
        <v>2</v>
      </c>
      <c r="F375" s="24" t="n">
        <v>0</v>
      </c>
    </row>
    <row r="376" customFormat="false" ht="15" hidden="false" customHeight="false" outlineLevel="0" collapsed="false">
      <c r="A376" s="3" t="n">
        <v>375</v>
      </c>
      <c r="B376" s="3" t="n">
        <v>374</v>
      </c>
      <c r="C376" s="3" t="n">
        <v>7</v>
      </c>
      <c r="D376" s="3" t="n">
        <v>4</v>
      </c>
      <c r="E376" s="3" t="n">
        <v>3</v>
      </c>
      <c r="F376" s="24" t="n">
        <v>0.924296498</v>
      </c>
    </row>
    <row r="377" customFormat="false" ht="15" hidden="false" customHeight="false" outlineLevel="0" collapsed="false">
      <c r="A377" s="3" t="n">
        <v>376</v>
      </c>
      <c r="B377" s="3" t="n">
        <v>375</v>
      </c>
      <c r="C377" s="3" t="n">
        <v>7</v>
      </c>
      <c r="D377" s="3" t="n">
        <v>4</v>
      </c>
      <c r="E377" s="3" t="n">
        <v>4</v>
      </c>
      <c r="F377" s="24" t="n">
        <v>0.547314703</v>
      </c>
    </row>
    <row r="378" customFormat="false" ht="15" hidden="false" customHeight="false" outlineLevel="0" collapsed="false">
      <c r="A378" s="3" t="n">
        <v>377</v>
      </c>
      <c r="B378" s="3" t="n">
        <v>376</v>
      </c>
      <c r="C378" s="3" t="n">
        <v>7</v>
      </c>
      <c r="D378" s="3" t="n">
        <v>4</v>
      </c>
      <c r="E378" s="3" t="n">
        <v>5</v>
      </c>
      <c r="F378" s="24" t="n">
        <v>0</v>
      </c>
    </row>
    <row r="379" customFormat="false" ht="15" hidden="false" customHeight="false" outlineLevel="0" collapsed="false">
      <c r="A379" s="3" t="n">
        <v>378</v>
      </c>
      <c r="B379" s="3" t="n">
        <v>377</v>
      </c>
      <c r="C379" s="3" t="n">
        <v>7</v>
      </c>
      <c r="D379" s="3" t="n">
        <v>4</v>
      </c>
      <c r="E379" s="3" t="n">
        <v>6</v>
      </c>
      <c r="F379" s="24" t="n">
        <v>0</v>
      </c>
    </row>
    <row r="380" customFormat="false" ht="15" hidden="false" customHeight="false" outlineLevel="0" collapsed="false">
      <c r="A380" s="3" t="n">
        <v>379</v>
      </c>
      <c r="B380" s="3" t="n">
        <v>378</v>
      </c>
      <c r="C380" s="3" t="n">
        <v>7</v>
      </c>
      <c r="D380" s="3" t="n">
        <v>5</v>
      </c>
      <c r="E380" s="3" t="n">
        <v>0</v>
      </c>
      <c r="F380" s="24" t="n">
        <v>0</v>
      </c>
    </row>
    <row r="381" customFormat="false" ht="15" hidden="false" customHeight="false" outlineLevel="0" collapsed="false">
      <c r="A381" s="3" t="n">
        <v>380</v>
      </c>
      <c r="B381" s="3" t="n">
        <v>379</v>
      </c>
      <c r="C381" s="3" t="n">
        <v>7</v>
      </c>
      <c r="D381" s="3" t="n">
        <v>5</v>
      </c>
      <c r="E381" s="3" t="n">
        <v>1</v>
      </c>
      <c r="F381" s="24" t="n">
        <v>0</v>
      </c>
    </row>
    <row r="382" customFormat="false" ht="15" hidden="false" customHeight="false" outlineLevel="0" collapsed="false">
      <c r="A382" s="3" t="n">
        <v>381</v>
      </c>
      <c r="B382" s="3" t="n">
        <v>380</v>
      </c>
      <c r="C382" s="3" t="n">
        <v>7</v>
      </c>
      <c r="D382" s="3" t="n">
        <v>5</v>
      </c>
      <c r="E382" s="3" t="n">
        <v>2</v>
      </c>
      <c r="F382" s="24" t="n">
        <v>0.351581484</v>
      </c>
    </row>
    <row r="383" customFormat="false" ht="15" hidden="false" customHeight="false" outlineLevel="0" collapsed="false">
      <c r="A383" s="3" t="n">
        <v>382</v>
      </c>
      <c r="B383" s="3" t="n">
        <v>381</v>
      </c>
      <c r="C383" s="3" t="n">
        <v>7</v>
      </c>
      <c r="D383" s="3" t="n">
        <v>5</v>
      </c>
      <c r="E383" s="3" t="n">
        <v>3</v>
      </c>
      <c r="F383" s="24" t="n">
        <v>0.643710077</v>
      </c>
    </row>
    <row r="384" customFormat="false" ht="15" hidden="false" customHeight="false" outlineLevel="0" collapsed="false">
      <c r="A384" s="3" t="n">
        <v>383</v>
      </c>
      <c r="B384" s="3" t="n">
        <v>382</v>
      </c>
      <c r="C384" s="3" t="n">
        <v>7</v>
      </c>
      <c r="D384" s="3" t="n">
        <v>5</v>
      </c>
      <c r="E384" s="3" t="n">
        <v>4</v>
      </c>
      <c r="F384" s="24" t="n">
        <v>0</v>
      </c>
    </row>
    <row r="385" customFormat="false" ht="15" hidden="false" customHeight="false" outlineLevel="0" collapsed="false">
      <c r="A385" s="3" t="n">
        <v>384</v>
      </c>
      <c r="B385" s="3" t="n">
        <v>383</v>
      </c>
      <c r="C385" s="3" t="n">
        <v>7</v>
      </c>
      <c r="D385" s="3" t="n">
        <v>5</v>
      </c>
      <c r="E385" s="3" t="n">
        <v>5</v>
      </c>
      <c r="F385" s="24" t="n">
        <v>0</v>
      </c>
    </row>
    <row r="386" customFormat="false" ht="15" hidden="false" customHeight="false" outlineLevel="0" collapsed="false">
      <c r="A386" s="3" t="n">
        <v>385</v>
      </c>
      <c r="B386" s="3" t="n">
        <v>384</v>
      </c>
      <c r="C386" s="3" t="n">
        <v>7</v>
      </c>
      <c r="D386" s="3" t="n">
        <v>5</v>
      </c>
      <c r="E386" s="3" t="n">
        <v>6</v>
      </c>
      <c r="F386" s="24" t="n">
        <v>0</v>
      </c>
    </row>
    <row r="387" customFormat="false" ht="15" hidden="false" customHeight="false" outlineLevel="0" collapsed="false">
      <c r="A387" s="3" t="n">
        <v>386</v>
      </c>
      <c r="B387" s="3" t="n">
        <v>385</v>
      </c>
      <c r="C387" s="3" t="n">
        <v>7</v>
      </c>
      <c r="D387" s="3" t="n">
        <v>6</v>
      </c>
      <c r="E387" s="3" t="n">
        <v>0</v>
      </c>
      <c r="F387" s="24" t="n">
        <v>0.467008471</v>
      </c>
    </row>
    <row r="388" customFormat="false" ht="15" hidden="false" customHeight="false" outlineLevel="0" collapsed="false">
      <c r="A388" s="3" t="n">
        <v>387</v>
      </c>
      <c r="B388" s="3" t="n">
        <v>386</v>
      </c>
      <c r="C388" s="3" t="n">
        <v>7</v>
      </c>
      <c r="D388" s="3" t="n">
        <v>6</v>
      </c>
      <c r="E388" s="3" t="n">
        <v>1</v>
      </c>
      <c r="F388" s="24" t="n">
        <v>0.457742751</v>
      </c>
    </row>
    <row r="389" customFormat="false" ht="15" hidden="false" customHeight="false" outlineLevel="0" collapsed="false">
      <c r="A389" s="3" t="n">
        <v>388</v>
      </c>
      <c r="B389" s="3" t="n">
        <v>387</v>
      </c>
      <c r="C389" s="3" t="n">
        <v>7</v>
      </c>
      <c r="D389" s="3" t="n">
        <v>6</v>
      </c>
      <c r="E389" s="3" t="n">
        <v>2</v>
      </c>
      <c r="F389" s="24" t="n">
        <v>0.118397668</v>
      </c>
    </row>
    <row r="390" customFormat="false" ht="15" hidden="false" customHeight="false" outlineLevel="0" collapsed="false">
      <c r="A390" s="3" t="n">
        <v>389</v>
      </c>
      <c r="B390" s="3" t="n">
        <v>388</v>
      </c>
      <c r="C390" s="3" t="n">
        <v>7</v>
      </c>
      <c r="D390" s="3" t="n">
        <v>6</v>
      </c>
      <c r="E390" s="3" t="n">
        <v>3</v>
      </c>
      <c r="F390" s="24" t="n">
        <v>0</v>
      </c>
    </row>
    <row r="391" customFormat="false" ht="15" hidden="false" customHeight="false" outlineLevel="0" collapsed="false">
      <c r="A391" s="3" t="n">
        <v>390</v>
      </c>
      <c r="B391" s="3" t="n">
        <v>389</v>
      </c>
      <c r="C391" s="3" t="n">
        <v>7</v>
      </c>
      <c r="D391" s="3" t="n">
        <v>6</v>
      </c>
      <c r="E391" s="3" t="n">
        <v>4</v>
      </c>
      <c r="F391" s="24" t="n">
        <v>0.457742751</v>
      </c>
    </row>
    <row r="392" customFormat="false" ht="15" hidden="false" customHeight="false" outlineLevel="0" collapsed="false">
      <c r="A392" s="3" t="n">
        <v>391</v>
      </c>
      <c r="B392" s="3" t="n">
        <v>390</v>
      </c>
      <c r="C392" s="3" t="n">
        <v>7</v>
      </c>
      <c r="D392" s="3" t="n">
        <v>6</v>
      </c>
      <c r="E392" s="3" t="n">
        <v>5</v>
      </c>
      <c r="F392" s="24" t="n">
        <v>0.457742751</v>
      </c>
    </row>
    <row r="393" customFormat="false" ht="15" hidden="false" customHeight="false" outlineLevel="0" collapsed="false">
      <c r="A393" s="3" t="n">
        <v>392</v>
      </c>
      <c r="B393" s="3" t="n">
        <v>391</v>
      </c>
      <c r="C393" s="3" t="n">
        <v>7</v>
      </c>
      <c r="D393" s="3" t="n">
        <v>6</v>
      </c>
      <c r="E393" s="3" t="n">
        <v>6</v>
      </c>
      <c r="F393" s="24" t="n">
        <v>0.518655956</v>
      </c>
    </row>
    <row r="394" customFormat="false" ht="15" hidden="false" customHeight="false" outlineLevel="0" collapsed="false">
      <c r="A394" s="3" t="n">
        <v>393</v>
      </c>
      <c r="B394" s="3" t="n">
        <v>392</v>
      </c>
      <c r="C394" s="3" t="n">
        <v>8</v>
      </c>
      <c r="D394" s="3" t="n">
        <v>0</v>
      </c>
      <c r="E394" s="3" t="n">
        <v>0</v>
      </c>
      <c r="F394" s="24" t="n">
        <v>0</v>
      </c>
    </row>
    <row r="395" customFormat="false" ht="15" hidden="false" customHeight="false" outlineLevel="0" collapsed="false">
      <c r="A395" s="3" t="n">
        <v>394</v>
      </c>
      <c r="B395" s="3" t="n">
        <v>393</v>
      </c>
      <c r="C395" s="3" t="n">
        <v>8</v>
      </c>
      <c r="D395" s="3" t="n">
        <v>0</v>
      </c>
      <c r="E395" s="3" t="n">
        <v>1</v>
      </c>
      <c r="F395" s="24" t="n">
        <v>0</v>
      </c>
    </row>
    <row r="396" customFormat="false" ht="15" hidden="false" customHeight="false" outlineLevel="0" collapsed="false">
      <c r="A396" s="3" t="n">
        <v>395</v>
      </c>
      <c r="B396" s="3" t="n">
        <v>394</v>
      </c>
      <c r="C396" s="3" t="n">
        <v>8</v>
      </c>
      <c r="D396" s="3" t="n">
        <v>0</v>
      </c>
      <c r="E396" s="3" t="n">
        <v>2</v>
      </c>
      <c r="F396" s="24" t="n">
        <v>0</v>
      </c>
    </row>
    <row r="397" customFormat="false" ht="15" hidden="false" customHeight="false" outlineLevel="0" collapsed="false">
      <c r="A397" s="3" t="n">
        <v>396</v>
      </c>
      <c r="B397" s="3" t="n">
        <v>395</v>
      </c>
      <c r="C397" s="3" t="n">
        <v>8</v>
      </c>
      <c r="D397" s="3" t="n">
        <v>0</v>
      </c>
      <c r="E397" s="3" t="n">
        <v>3</v>
      </c>
      <c r="F397" s="24" t="n">
        <v>0</v>
      </c>
    </row>
    <row r="398" customFormat="false" ht="15" hidden="false" customHeight="false" outlineLevel="0" collapsed="false">
      <c r="A398" s="3" t="n">
        <v>397</v>
      </c>
      <c r="B398" s="3" t="n">
        <v>396</v>
      </c>
      <c r="C398" s="3" t="n">
        <v>8</v>
      </c>
      <c r="D398" s="3" t="n">
        <v>0</v>
      </c>
      <c r="E398" s="3" t="n">
        <v>4</v>
      </c>
      <c r="F398" s="24" t="n">
        <v>0</v>
      </c>
    </row>
    <row r="399" customFormat="false" ht="15" hidden="false" customHeight="false" outlineLevel="0" collapsed="false">
      <c r="A399" s="3" t="n">
        <v>398</v>
      </c>
      <c r="B399" s="3" t="n">
        <v>397</v>
      </c>
      <c r="C399" s="3" t="n">
        <v>8</v>
      </c>
      <c r="D399" s="3" t="n">
        <v>0</v>
      </c>
      <c r="E399" s="3" t="n">
        <v>5</v>
      </c>
      <c r="F399" s="24" t="n">
        <v>0</v>
      </c>
    </row>
    <row r="400" customFormat="false" ht="15" hidden="false" customHeight="false" outlineLevel="0" collapsed="false">
      <c r="A400" s="3" t="n">
        <v>399</v>
      </c>
      <c r="B400" s="3" t="n">
        <v>398</v>
      </c>
      <c r="C400" s="3" t="n">
        <v>8</v>
      </c>
      <c r="D400" s="3" t="n">
        <v>0</v>
      </c>
      <c r="E400" s="3" t="n">
        <v>6</v>
      </c>
      <c r="F400" s="24" t="n">
        <v>0</v>
      </c>
    </row>
    <row r="401" customFormat="false" ht="15" hidden="false" customHeight="false" outlineLevel="0" collapsed="false">
      <c r="A401" s="3" t="n">
        <v>400</v>
      </c>
      <c r="B401" s="3" t="n">
        <v>399</v>
      </c>
      <c r="C401" s="3" t="n">
        <v>8</v>
      </c>
      <c r="D401" s="3" t="n">
        <v>1</v>
      </c>
      <c r="E401" s="3" t="n">
        <v>0</v>
      </c>
      <c r="F401" s="24" t="n">
        <v>0</v>
      </c>
    </row>
    <row r="402" customFormat="false" ht="15" hidden="false" customHeight="false" outlineLevel="0" collapsed="false">
      <c r="A402" s="3" t="n">
        <v>401</v>
      </c>
      <c r="B402" s="3" t="n">
        <v>400</v>
      </c>
      <c r="C402" s="3" t="n">
        <v>8</v>
      </c>
      <c r="D402" s="3" t="n">
        <v>1</v>
      </c>
      <c r="E402" s="3" t="n">
        <v>1</v>
      </c>
      <c r="F402" s="24" t="n">
        <v>0.163972259</v>
      </c>
    </row>
    <row r="403" customFormat="false" ht="15" hidden="false" customHeight="false" outlineLevel="0" collapsed="false">
      <c r="A403" s="3" t="n">
        <v>402</v>
      </c>
      <c r="B403" s="3" t="n">
        <v>401</v>
      </c>
      <c r="C403" s="3" t="n">
        <v>8</v>
      </c>
      <c r="D403" s="3" t="n">
        <v>1</v>
      </c>
      <c r="E403" s="3" t="n">
        <v>2</v>
      </c>
      <c r="F403" s="24" t="n">
        <v>0</v>
      </c>
    </row>
    <row r="404" customFormat="false" ht="15" hidden="false" customHeight="false" outlineLevel="0" collapsed="false">
      <c r="A404" s="3" t="n">
        <v>403</v>
      </c>
      <c r="B404" s="3" t="n">
        <v>402</v>
      </c>
      <c r="C404" s="3" t="n">
        <v>8</v>
      </c>
      <c r="D404" s="3" t="n">
        <v>1</v>
      </c>
      <c r="E404" s="3" t="n">
        <v>3</v>
      </c>
      <c r="F404" s="24" t="n">
        <v>0</v>
      </c>
    </row>
    <row r="405" customFormat="false" ht="15" hidden="false" customHeight="false" outlineLevel="0" collapsed="false">
      <c r="A405" s="3" t="n">
        <v>404</v>
      </c>
      <c r="B405" s="3" t="n">
        <v>403</v>
      </c>
      <c r="C405" s="3" t="n">
        <v>8</v>
      </c>
      <c r="D405" s="3" t="n">
        <v>1</v>
      </c>
      <c r="E405" s="3" t="n">
        <v>4</v>
      </c>
      <c r="F405" s="24" t="n">
        <v>0</v>
      </c>
    </row>
    <row r="406" customFormat="false" ht="15" hidden="false" customHeight="false" outlineLevel="0" collapsed="false">
      <c r="A406" s="3" t="n">
        <v>405</v>
      </c>
      <c r="B406" s="3" t="n">
        <v>404</v>
      </c>
      <c r="C406" s="3" t="n">
        <v>8</v>
      </c>
      <c r="D406" s="3" t="n">
        <v>1</v>
      </c>
      <c r="E406" s="3" t="n">
        <v>5</v>
      </c>
      <c r="F406" s="24" t="n">
        <v>0</v>
      </c>
    </row>
    <row r="407" customFormat="false" ht="15" hidden="false" customHeight="false" outlineLevel="0" collapsed="false">
      <c r="A407" s="3" t="n">
        <v>406</v>
      </c>
      <c r="B407" s="3" t="n">
        <v>405</v>
      </c>
      <c r="C407" s="3" t="n">
        <v>8</v>
      </c>
      <c r="D407" s="3" t="n">
        <v>1</v>
      </c>
      <c r="E407" s="3" t="n">
        <v>6</v>
      </c>
      <c r="F407" s="24" t="n">
        <v>0</v>
      </c>
    </row>
    <row r="408" customFormat="false" ht="15" hidden="false" customHeight="false" outlineLevel="0" collapsed="false">
      <c r="A408" s="3" t="n">
        <v>407</v>
      </c>
      <c r="B408" s="3" t="n">
        <v>406</v>
      </c>
      <c r="C408" s="3" t="n">
        <v>8</v>
      </c>
      <c r="D408" s="3" t="n">
        <v>2</v>
      </c>
      <c r="E408" s="3" t="n">
        <v>0</v>
      </c>
      <c r="F408" s="24" t="n">
        <v>0</v>
      </c>
    </row>
    <row r="409" customFormat="false" ht="15" hidden="false" customHeight="false" outlineLevel="0" collapsed="false">
      <c r="A409" s="3" t="n">
        <v>408</v>
      </c>
      <c r="B409" s="3" t="n">
        <v>407</v>
      </c>
      <c r="C409" s="3" t="n">
        <v>8</v>
      </c>
      <c r="D409" s="3" t="n">
        <v>2</v>
      </c>
      <c r="E409" s="3" t="n">
        <v>1</v>
      </c>
      <c r="F409" s="24" t="n">
        <v>0</v>
      </c>
    </row>
    <row r="410" customFormat="false" ht="15" hidden="false" customHeight="false" outlineLevel="0" collapsed="false">
      <c r="A410" s="3" t="n">
        <v>409</v>
      </c>
      <c r="B410" s="3" t="n">
        <v>408</v>
      </c>
      <c r="C410" s="3" t="n">
        <v>8</v>
      </c>
      <c r="D410" s="3" t="n">
        <v>2</v>
      </c>
      <c r="E410" s="3" t="n">
        <v>2</v>
      </c>
      <c r="F410" s="24" t="n">
        <v>0</v>
      </c>
    </row>
    <row r="411" customFormat="false" ht="15" hidden="false" customHeight="false" outlineLevel="0" collapsed="false">
      <c r="A411" s="3" t="n">
        <v>410</v>
      </c>
      <c r="B411" s="3" t="n">
        <v>409</v>
      </c>
      <c r="C411" s="3" t="n">
        <v>8</v>
      </c>
      <c r="D411" s="3" t="n">
        <v>2</v>
      </c>
      <c r="E411" s="3" t="n">
        <v>3</v>
      </c>
      <c r="F411" s="24" t="n">
        <v>0</v>
      </c>
    </row>
    <row r="412" customFormat="false" ht="15" hidden="false" customHeight="false" outlineLevel="0" collapsed="false">
      <c r="A412" s="3" t="n">
        <v>411</v>
      </c>
      <c r="B412" s="3" t="n">
        <v>410</v>
      </c>
      <c r="C412" s="3" t="n">
        <v>8</v>
      </c>
      <c r="D412" s="3" t="n">
        <v>2</v>
      </c>
      <c r="E412" s="3" t="n">
        <v>4</v>
      </c>
      <c r="F412" s="24" t="n">
        <v>2.91066146</v>
      </c>
    </row>
    <row r="413" customFormat="false" ht="15" hidden="false" customHeight="false" outlineLevel="0" collapsed="false">
      <c r="A413" s="3" t="n">
        <v>412</v>
      </c>
      <c r="B413" s="3" t="n">
        <v>411</v>
      </c>
      <c r="C413" s="3" t="n">
        <v>8</v>
      </c>
      <c r="D413" s="3" t="n">
        <v>2</v>
      </c>
      <c r="E413" s="3" t="n">
        <v>5</v>
      </c>
      <c r="F413" s="24" t="n">
        <v>2.23791599</v>
      </c>
    </row>
    <row r="414" customFormat="false" ht="15" hidden="false" customHeight="false" outlineLevel="0" collapsed="false">
      <c r="A414" s="3" t="n">
        <v>413</v>
      </c>
      <c r="B414" s="3" t="n">
        <v>412</v>
      </c>
      <c r="C414" s="3" t="n">
        <v>8</v>
      </c>
      <c r="D414" s="3" t="n">
        <v>2</v>
      </c>
      <c r="E414" s="3" t="n">
        <v>6</v>
      </c>
      <c r="F414" s="24" t="n">
        <v>0</v>
      </c>
    </row>
    <row r="415" customFormat="false" ht="15" hidden="false" customHeight="false" outlineLevel="0" collapsed="false">
      <c r="A415" s="3" t="n">
        <v>414</v>
      </c>
      <c r="B415" s="3" t="n">
        <v>413</v>
      </c>
      <c r="C415" s="3" t="n">
        <v>8</v>
      </c>
      <c r="D415" s="3" t="n">
        <v>3</v>
      </c>
      <c r="E415" s="3" t="n">
        <v>0</v>
      </c>
      <c r="F415" s="24" t="n">
        <v>0</v>
      </c>
    </row>
    <row r="416" customFormat="false" ht="15" hidden="false" customHeight="false" outlineLevel="0" collapsed="false">
      <c r="A416" s="3" t="n">
        <v>415</v>
      </c>
      <c r="B416" s="3" t="n">
        <v>414</v>
      </c>
      <c r="C416" s="3" t="n">
        <v>8</v>
      </c>
      <c r="D416" s="3" t="n">
        <v>3</v>
      </c>
      <c r="E416" s="3" t="n">
        <v>1</v>
      </c>
      <c r="F416" s="24" t="n">
        <v>0</v>
      </c>
    </row>
    <row r="417" customFormat="false" ht="15" hidden="false" customHeight="false" outlineLevel="0" collapsed="false">
      <c r="A417" s="3" t="n">
        <v>416</v>
      </c>
      <c r="B417" s="3" t="n">
        <v>415</v>
      </c>
      <c r="C417" s="3" t="n">
        <v>8</v>
      </c>
      <c r="D417" s="3" t="n">
        <v>3</v>
      </c>
      <c r="E417" s="3" t="n">
        <v>2</v>
      </c>
      <c r="F417" s="24" t="n">
        <v>0</v>
      </c>
    </row>
    <row r="418" customFormat="false" ht="15" hidden="false" customHeight="false" outlineLevel="0" collapsed="false">
      <c r="A418" s="3" t="n">
        <v>417</v>
      </c>
      <c r="B418" s="3" t="n">
        <v>416</v>
      </c>
      <c r="C418" s="3" t="n">
        <v>8</v>
      </c>
      <c r="D418" s="3" t="n">
        <v>3</v>
      </c>
      <c r="E418" s="3" t="n">
        <v>3</v>
      </c>
      <c r="F418" s="24" t="n">
        <v>0</v>
      </c>
    </row>
    <row r="419" customFormat="false" ht="15" hidden="false" customHeight="false" outlineLevel="0" collapsed="false">
      <c r="A419" s="3" t="n">
        <v>418</v>
      </c>
      <c r="B419" s="3" t="n">
        <v>417</v>
      </c>
      <c r="C419" s="3" t="n">
        <v>8</v>
      </c>
      <c r="D419" s="3" t="n">
        <v>3</v>
      </c>
      <c r="E419" s="3" t="n">
        <v>4</v>
      </c>
      <c r="F419" s="24" t="n">
        <v>3.52433372</v>
      </c>
    </row>
    <row r="420" customFormat="false" ht="15" hidden="false" customHeight="false" outlineLevel="0" collapsed="false">
      <c r="A420" s="3" t="n">
        <v>419</v>
      </c>
      <c r="B420" s="3" t="n">
        <v>418</v>
      </c>
      <c r="C420" s="3" t="n">
        <v>8</v>
      </c>
      <c r="D420" s="3" t="n">
        <v>3</v>
      </c>
      <c r="E420" s="3" t="n">
        <v>5</v>
      </c>
      <c r="F420" s="24" t="n">
        <v>0.804278553</v>
      </c>
    </row>
    <row r="421" customFormat="false" ht="15" hidden="false" customHeight="false" outlineLevel="0" collapsed="false">
      <c r="A421" s="3" t="n">
        <v>420</v>
      </c>
      <c r="B421" s="3" t="n">
        <v>419</v>
      </c>
      <c r="C421" s="3" t="n">
        <v>8</v>
      </c>
      <c r="D421" s="3" t="n">
        <v>3</v>
      </c>
      <c r="E421" s="3" t="n">
        <v>6</v>
      </c>
      <c r="F421" s="24" t="n">
        <v>0</v>
      </c>
    </row>
    <row r="422" customFormat="false" ht="15" hidden="false" customHeight="false" outlineLevel="0" collapsed="false">
      <c r="A422" s="3" t="n">
        <v>421</v>
      </c>
      <c r="B422" s="3" t="n">
        <v>420</v>
      </c>
      <c r="C422" s="3" t="n">
        <v>8</v>
      </c>
      <c r="D422" s="3" t="n">
        <v>4</v>
      </c>
      <c r="E422" s="3" t="n">
        <v>0</v>
      </c>
      <c r="F422" s="24" t="n">
        <v>0</v>
      </c>
    </row>
    <row r="423" customFormat="false" ht="15" hidden="false" customHeight="false" outlineLevel="0" collapsed="false">
      <c r="A423" s="3" t="n">
        <v>422</v>
      </c>
      <c r="B423" s="3" t="n">
        <v>421</v>
      </c>
      <c r="C423" s="3" t="n">
        <v>8</v>
      </c>
      <c r="D423" s="3" t="n">
        <v>4</v>
      </c>
      <c r="E423" s="3" t="n">
        <v>1</v>
      </c>
      <c r="F423" s="24" t="n">
        <v>0</v>
      </c>
    </row>
    <row r="424" customFormat="false" ht="15" hidden="false" customHeight="false" outlineLevel="0" collapsed="false">
      <c r="A424" s="3" t="n">
        <v>423</v>
      </c>
      <c r="B424" s="3" t="n">
        <v>422</v>
      </c>
      <c r="C424" s="3" t="n">
        <v>8</v>
      </c>
      <c r="D424" s="3" t="n">
        <v>4</v>
      </c>
      <c r="E424" s="3" t="n">
        <v>2</v>
      </c>
      <c r="F424" s="24" t="n">
        <v>0</v>
      </c>
    </row>
    <row r="425" customFormat="false" ht="15" hidden="false" customHeight="false" outlineLevel="0" collapsed="false">
      <c r="A425" s="3" t="n">
        <v>424</v>
      </c>
      <c r="B425" s="3" t="n">
        <v>423</v>
      </c>
      <c r="C425" s="3" t="n">
        <v>8</v>
      </c>
      <c r="D425" s="3" t="n">
        <v>4</v>
      </c>
      <c r="E425" s="3" t="n">
        <v>3</v>
      </c>
      <c r="F425" s="24" t="n">
        <v>1.41012621</v>
      </c>
    </row>
    <row r="426" customFormat="false" ht="15" hidden="false" customHeight="false" outlineLevel="0" collapsed="false">
      <c r="A426" s="3" t="n">
        <v>425</v>
      </c>
      <c r="B426" s="3" t="n">
        <v>424</v>
      </c>
      <c r="C426" s="3" t="n">
        <v>8</v>
      </c>
      <c r="D426" s="3" t="n">
        <v>4</v>
      </c>
      <c r="E426" s="3" t="n">
        <v>4</v>
      </c>
      <c r="F426" s="24" t="n">
        <v>2.7174387</v>
      </c>
    </row>
    <row r="427" customFormat="false" ht="15" hidden="false" customHeight="false" outlineLevel="0" collapsed="false">
      <c r="A427" s="3" t="n">
        <v>426</v>
      </c>
      <c r="B427" s="3" t="n">
        <v>425</v>
      </c>
      <c r="C427" s="3" t="n">
        <v>8</v>
      </c>
      <c r="D427" s="3" t="n">
        <v>4</v>
      </c>
      <c r="E427" s="3" t="n">
        <v>5</v>
      </c>
      <c r="F427" s="24" t="n">
        <v>0</v>
      </c>
    </row>
    <row r="428" customFormat="false" ht="15" hidden="false" customHeight="false" outlineLevel="0" collapsed="false">
      <c r="A428" s="3" t="n">
        <v>427</v>
      </c>
      <c r="B428" s="3" t="n">
        <v>426</v>
      </c>
      <c r="C428" s="3" t="n">
        <v>8</v>
      </c>
      <c r="D428" s="3" t="n">
        <v>4</v>
      </c>
      <c r="E428" s="3" t="n">
        <v>6</v>
      </c>
      <c r="F428" s="24" t="n">
        <v>0</v>
      </c>
    </row>
    <row r="429" customFormat="false" ht="15" hidden="false" customHeight="false" outlineLevel="0" collapsed="false">
      <c r="A429" s="3" t="n">
        <v>428</v>
      </c>
      <c r="B429" s="3" t="n">
        <v>427</v>
      </c>
      <c r="C429" s="3" t="n">
        <v>8</v>
      </c>
      <c r="D429" s="3" t="n">
        <v>5</v>
      </c>
      <c r="E429" s="3" t="n">
        <v>0</v>
      </c>
      <c r="F429" s="24" t="n">
        <v>0</v>
      </c>
    </row>
    <row r="430" customFormat="false" ht="15" hidden="false" customHeight="false" outlineLevel="0" collapsed="false">
      <c r="A430" s="3" t="n">
        <v>429</v>
      </c>
      <c r="B430" s="3" t="n">
        <v>428</v>
      </c>
      <c r="C430" s="3" t="n">
        <v>8</v>
      </c>
      <c r="D430" s="3" t="n">
        <v>5</v>
      </c>
      <c r="E430" s="3" t="n">
        <v>1</v>
      </c>
      <c r="F430" s="24" t="n">
        <v>0</v>
      </c>
    </row>
    <row r="431" customFormat="false" ht="15" hidden="false" customHeight="false" outlineLevel="0" collapsed="false">
      <c r="A431" s="3" t="n">
        <v>430</v>
      </c>
      <c r="B431" s="3" t="n">
        <v>429</v>
      </c>
      <c r="C431" s="3" t="n">
        <v>8</v>
      </c>
      <c r="D431" s="3" t="n">
        <v>5</v>
      </c>
      <c r="E431" s="3" t="n">
        <v>2</v>
      </c>
      <c r="F431" s="24" t="n">
        <v>2.44115138</v>
      </c>
    </row>
    <row r="432" customFormat="false" ht="15" hidden="false" customHeight="false" outlineLevel="0" collapsed="false">
      <c r="A432" s="3" t="n">
        <v>431</v>
      </c>
      <c r="B432" s="3" t="n">
        <v>430</v>
      </c>
      <c r="C432" s="3" t="n">
        <v>8</v>
      </c>
      <c r="D432" s="3" t="n">
        <v>5</v>
      </c>
      <c r="E432" s="3" t="n">
        <v>3</v>
      </c>
      <c r="F432" s="24" t="n">
        <v>5.06260061</v>
      </c>
    </row>
    <row r="433" customFormat="false" ht="15" hidden="false" customHeight="false" outlineLevel="0" collapsed="false">
      <c r="A433" s="3" t="n">
        <v>432</v>
      </c>
      <c r="B433" s="3" t="n">
        <v>431</v>
      </c>
      <c r="C433" s="3" t="n">
        <v>8</v>
      </c>
      <c r="D433" s="3" t="n">
        <v>5</v>
      </c>
      <c r="E433" s="3" t="n">
        <v>4</v>
      </c>
      <c r="F433" s="24" t="n">
        <v>0</v>
      </c>
    </row>
    <row r="434" customFormat="false" ht="15" hidden="false" customHeight="false" outlineLevel="0" collapsed="false">
      <c r="A434" s="3" t="n">
        <v>433</v>
      </c>
      <c r="B434" s="3" t="n">
        <v>432</v>
      </c>
      <c r="C434" s="3" t="n">
        <v>8</v>
      </c>
      <c r="D434" s="3" t="n">
        <v>5</v>
      </c>
      <c r="E434" s="3" t="n">
        <v>5</v>
      </c>
      <c r="F434" s="24" t="n">
        <v>0</v>
      </c>
    </row>
    <row r="435" customFormat="false" ht="15" hidden="false" customHeight="false" outlineLevel="0" collapsed="false">
      <c r="A435" s="3" t="n">
        <v>434</v>
      </c>
      <c r="B435" s="3" t="n">
        <v>433</v>
      </c>
      <c r="C435" s="3" t="n">
        <v>8</v>
      </c>
      <c r="D435" s="3" t="n">
        <v>5</v>
      </c>
      <c r="E435" s="3" t="n">
        <v>6</v>
      </c>
      <c r="F435" s="24" t="n">
        <v>0</v>
      </c>
    </row>
    <row r="436" customFormat="false" ht="15" hidden="false" customHeight="false" outlineLevel="0" collapsed="false">
      <c r="A436" s="3" t="n">
        <v>435</v>
      </c>
      <c r="B436" s="3" t="n">
        <v>434</v>
      </c>
      <c r="C436" s="3" t="n">
        <v>8</v>
      </c>
      <c r="D436" s="3" t="n">
        <v>6</v>
      </c>
      <c r="E436" s="3" t="n">
        <v>0</v>
      </c>
      <c r="F436" s="24" t="n">
        <v>0</v>
      </c>
    </row>
    <row r="437" customFormat="false" ht="15" hidden="false" customHeight="false" outlineLevel="0" collapsed="false">
      <c r="A437" s="3" t="n">
        <v>436</v>
      </c>
      <c r="B437" s="3" t="n">
        <v>435</v>
      </c>
      <c r="C437" s="3" t="n">
        <v>8</v>
      </c>
      <c r="D437" s="3" t="n">
        <v>6</v>
      </c>
      <c r="E437" s="3" t="n">
        <v>1</v>
      </c>
      <c r="F437" s="24" t="n">
        <v>0</v>
      </c>
    </row>
    <row r="438" customFormat="false" ht="15" hidden="false" customHeight="false" outlineLevel="0" collapsed="false">
      <c r="A438" s="3" t="n">
        <v>437</v>
      </c>
      <c r="B438" s="3" t="n">
        <v>436</v>
      </c>
      <c r="C438" s="3" t="n">
        <v>8</v>
      </c>
      <c r="D438" s="3" t="n">
        <v>6</v>
      </c>
      <c r="E438" s="3" t="n">
        <v>2</v>
      </c>
      <c r="F438" s="24" t="n">
        <v>2.50091815</v>
      </c>
    </row>
    <row r="439" customFormat="false" ht="15" hidden="false" customHeight="false" outlineLevel="0" collapsed="false">
      <c r="A439" s="3" t="n">
        <v>438</v>
      </c>
      <c r="B439" s="3" t="n">
        <v>437</v>
      </c>
      <c r="C439" s="3" t="n">
        <v>8</v>
      </c>
      <c r="D439" s="3" t="n">
        <v>6</v>
      </c>
      <c r="E439" s="3" t="n">
        <v>3</v>
      </c>
      <c r="F439" s="24" t="n">
        <v>3.1841886</v>
      </c>
    </row>
    <row r="440" customFormat="false" ht="15" hidden="false" customHeight="false" outlineLevel="0" collapsed="false">
      <c r="A440" s="3" t="n">
        <v>439</v>
      </c>
      <c r="B440" s="3" t="n">
        <v>438</v>
      </c>
      <c r="C440" s="3" t="n">
        <v>8</v>
      </c>
      <c r="D440" s="3" t="n">
        <v>6</v>
      </c>
      <c r="E440" s="3" t="n">
        <v>4</v>
      </c>
      <c r="F440" s="24" t="n">
        <v>0</v>
      </c>
    </row>
    <row r="441" customFormat="false" ht="15" hidden="false" customHeight="false" outlineLevel="0" collapsed="false">
      <c r="A441" s="3" t="n">
        <v>440</v>
      </c>
      <c r="B441" s="3" t="n">
        <v>439</v>
      </c>
      <c r="C441" s="3" t="n">
        <v>8</v>
      </c>
      <c r="D441" s="3" t="n">
        <v>6</v>
      </c>
      <c r="E441" s="3" t="n">
        <v>5</v>
      </c>
      <c r="F441" s="24" t="n">
        <v>0</v>
      </c>
    </row>
    <row r="442" customFormat="false" ht="15" hidden="false" customHeight="false" outlineLevel="0" collapsed="false">
      <c r="A442" s="3" t="n">
        <v>441</v>
      </c>
      <c r="B442" s="3" t="n">
        <v>440</v>
      </c>
      <c r="C442" s="3" t="n">
        <v>8</v>
      </c>
      <c r="D442" s="3" t="n">
        <v>6</v>
      </c>
      <c r="E442" s="3" t="n">
        <v>6</v>
      </c>
      <c r="F442" s="24" t="n">
        <v>0</v>
      </c>
    </row>
    <row r="443" customFormat="false" ht="15" hidden="false" customHeight="false" outlineLevel="0" collapsed="false">
      <c r="A443" s="3" t="n">
        <v>442</v>
      </c>
      <c r="B443" s="3" t="n">
        <v>441</v>
      </c>
      <c r="C443" s="3" t="n">
        <v>9</v>
      </c>
      <c r="D443" s="3" t="n">
        <v>0</v>
      </c>
      <c r="E443" s="3" t="n">
        <v>0</v>
      </c>
      <c r="F443" s="24" t="n">
        <v>0.278177232</v>
      </c>
    </row>
    <row r="444" customFormat="false" ht="15" hidden="false" customHeight="false" outlineLevel="0" collapsed="false">
      <c r="A444" s="3" t="n">
        <v>443</v>
      </c>
      <c r="B444" s="3" t="n">
        <v>442</v>
      </c>
      <c r="C444" s="3" t="n">
        <v>9</v>
      </c>
      <c r="D444" s="3" t="n">
        <v>0</v>
      </c>
      <c r="E444" s="3" t="n">
        <v>1</v>
      </c>
      <c r="F444" s="24" t="n">
        <v>0.296260387</v>
      </c>
    </row>
    <row r="445" customFormat="false" ht="15" hidden="false" customHeight="false" outlineLevel="0" collapsed="false">
      <c r="A445" s="3" t="n">
        <v>444</v>
      </c>
      <c r="B445" s="3" t="n">
        <v>443</v>
      </c>
      <c r="C445" s="3" t="n">
        <v>9</v>
      </c>
      <c r="D445" s="3" t="n">
        <v>0</v>
      </c>
      <c r="E445" s="3" t="n">
        <v>2</v>
      </c>
      <c r="F445" s="24" t="n">
        <v>0.296260387</v>
      </c>
    </row>
    <row r="446" customFormat="false" ht="15" hidden="false" customHeight="false" outlineLevel="0" collapsed="false">
      <c r="A446" s="3" t="n">
        <v>445</v>
      </c>
      <c r="B446" s="3" t="n">
        <v>444</v>
      </c>
      <c r="C446" s="3" t="n">
        <v>9</v>
      </c>
      <c r="D446" s="3" t="n">
        <v>0</v>
      </c>
      <c r="E446" s="3" t="n">
        <v>3</v>
      </c>
      <c r="F446" s="24" t="n">
        <v>0.296260387</v>
      </c>
    </row>
    <row r="447" customFormat="false" ht="15" hidden="false" customHeight="false" outlineLevel="0" collapsed="false">
      <c r="A447" s="3" t="n">
        <v>446</v>
      </c>
      <c r="B447" s="3" t="n">
        <v>445</v>
      </c>
      <c r="C447" s="3" t="n">
        <v>9</v>
      </c>
      <c r="D447" s="3" t="n">
        <v>0</v>
      </c>
      <c r="E447" s="3" t="n">
        <v>4</v>
      </c>
      <c r="F447" s="24" t="n">
        <v>0.296260387</v>
      </c>
    </row>
    <row r="448" customFormat="false" ht="15" hidden="false" customHeight="false" outlineLevel="0" collapsed="false">
      <c r="A448" s="3" t="n">
        <v>447</v>
      </c>
      <c r="B448" s="3" t="n">
        <v>446</v>
      </c>
      <c r="C448" s="3" t="n">
        <v>9</v>
      </c>
      <c r="D448" s="3" t="n">
        <v>0</v>
      </c>
      <c r="E448" s="3" t="n">
        <v>5</v>
      </c>
      <c r="F448" s="24" t="n">
        <v>0.296260387</v>
      </c>
    </row>
    <row r="449" customFormat="false" ht="15" hidden="false" customHeight="false" outlineLevel="0" collapsed="false">
      <c r="A449" s="3" t="n">
        <v>448</v>
      </c>
      <c r="B449" s="3" t="n">
        <v>447</v>
      </c>
      <c r="C449" s="3" t="n">
        <v>9</v>
      </c>
      <c r="D449" s="3" t="n">
        <v>0</v>
      </c>
      <c r="E449" s="3" t="n">
        <v>6</v>
      </c>
      <c r="F449" s="24" t="n">
        <v>0.340297312</v>
      </c>
    </row>
    <row r="450" customFormat="false" ht="15" hidden="false" customHeight="false" outlineLevel="0" collapsed="false">
      <c r="A450" s="3" t="n">
        <v>449</v>
      </c>
      <c r="B450" s="3" t="n">
        <v>448</v>
      </c>
      <c r="C450" s="3" t="n">
        <v>9</v>
      </c>
      <c r="D450" s="3" t="n">
        <v>1</v>
      </c>
      <c r="E450" s="3" t="n">
        <v>0</v>
      </c>
      <c r="F450" s="24" t="n">
        <v>0</v>
      </c>
    </row>
    <row r="451" customFormat="false" ht="15" hidden="false" customHeight="false" outlineLevel="0" collapsed="false">
      <c r="A451" s="3" t="n">
        <v>450</v>
      </c>
      <c r="B451" s="3" t="n">
        <v>449</v>
      </c>
      <c r="C451" s="3" t="n">
        <v>9</v>
      </c>
      <c r="D451" s="3" t="n">
        <v>1</v>
      </c>
      <c r="E451" s="3" t="n">
        <v>1</v>
      </c>
      <c r="F451" s="24" t="n">
        <v>0.173661202</v>
      </c>
    </row>
    <row r="452" customFormat="false" ht="15" hidden="false" customHeight="false" outlineLevel="0" collapsed="false">
      <c r="A452" s="3" t="n">
        <v>451</v>
      </c>
      <c r="B452" s="3" t="n">
        <v>450</v>
      </c>
      <c r="C452" s="3" t="n">
        <v>9</v>
      </c>
      <c r="D452" s="3" t="n">
        <v>1</v>
      </c>
      <c r="E452" s="3" t="n">
        <v>2</v>
      </c>
      <c r="F452" s="24" t="n">
        <v>1.85009372</v>
      </c>
    </row>
    <row r="453" customFormat="false" ht="15" hidden="false" customHeight="false" outlineLevel="0" collapsed="false">
      <c r="A453" s="3" t="n">
        <v>452</v>
      </c>
      <c r="B453" s="3" t="n">
        <v>451</v>
      </c>
      <c r="C453" s="3" t="n">
        <v>9</v>
      </c>
      <c r="D453" s="3" t="n">
        <v>1</v>
      </c>
      <c r="E453" s="3" t="n">
        <v>3</v>
      </c>
      <c r="F453" s="24" t="n">
        <v>0</v>
      </c>
    </row>
    <row r="454" customFormat="false" ht="15" hidden="false" customHeight="false" outlineLevel="0" collapsed="false">
      <c r="A454" s="3" t="n">
        <v>453</v>
      </c>
      <c r="B454" s="3" t="n">
        <v>452</v>
      </c>
      <c r="C454" s="3" t="n">
        <v>9</v>
      </c>
      <c r="D454" s="3" t="n">
        <v>1</v>
      </c>
      <c r="E454" s="3" t="n">
        <v>4</v>
      </c>
      <c r="F454" s="24" t="n">
        <v>0.574311733</v>
      </c>
    </row>
    <row r="455" customFormat="false" ht="15" hidden="false" customHeight="false" outlineLevel="0" collapsed="false">
      <c r="A455" s="3" t="n">
        <v>454</v>
      </c>
      <c r="B455" s="3" t="n">
        <v>453</v>
      </c>
      <c r="C455" s="3" t="n">
        <v>9</v>
      </c>
      <c r="D455" s="3" t="n">
        <v>1</v>
      </c>
      <c r="E455" s="3" t="n">
        <v>5</v>
      </c>
      <c r="F455" s="24" t="n">
        <v>2.94799042</v>
      </c>
    </row>
    <row r="456" customFormat="false" ht="15" hidden="false" customHeight="false" outlineLevel="0" collapsed="false">
      <c r="A456" s="3" t="n">
        <v>455</v>
      </c>
      <c r="B456" s="3" t="n">
        <v>454</v>
      </c>
      <c r="C456" s="3" t="n">
        <v>9</v>
      </c>
      <c r="D456" s="3" t="n">
        <v>1</v>
      </c>
      <c r="E456" s="3" t="n">
        <v>6</v>
      </c>
      <c r="F456" s="24" t="n">
        <v>0.346789747</v>
      </c>
    </row>
    <row r="457" customFormat="false" ht="15" hidden="false" customHeight="false" outlineLevel="0" collapsed="false">
      <c r="A457" s="3" t="n">
        <v>456</v>
      </c>
      <c r="B457" s="3" t="n">
        <v>455</v>
      </c>
      <c r="C457" s="3" t="n">
        <v>9</v>
      </c>
      <c r="D457" s="3" t="n">
        <v>2</v>
      </c>
      <c r="E457" s="3" t="n">
        <v>0</v>
      </c>
      <c r="F457" s="24" t="n">
        <v>0.671406865</v>
      </c>
    </row>
    <row r="458" customFormat="false" ht="15" hidden="false" customHeight="false" outlineLevel="0" collapsed="false">
      <c r="A458" s="3" t="n">
        <v>457</v>
      </c>
      <c r="B458" s="3" t="n">
        <v>456</v>
      </c>
      <c r="C458" s="3" t="n">
        <v>9</v>
      </c>
      <c r="D458" s="3" t="n">
        <v>2</v>
      </c>
      <c r="E458" s="3" t="n">
        <v>1</v>
      </c>
      <c r="F458" s="24" t="n">
        <v>3.3080554</v>
      </c>
    </row>
    <row r="459" customFormat="false" ht="15" hidden="false" customHeight="false" outlineLevel="0" collapsed="false">
      <c r="A459" s="3" t="n">
        <v>458</v>
      </c>
      <c r="B459" s="3" t="n">
        <v>457</v>
      </c>
      <c r="C459" s="3" t="n">
        <v>9</v>
      </c>
      <c r="D459" s="3" t="n">
        <v>2</v>
      </c>
      <c r="E459" s="3" t="n">
        <v>2</v>
      </c>
      <c r="F459" s="24" t="n">
        <v>1.82325542</v>
      </c>
    </row>
    <row r="460" customFormat="false" ht="15" hidden="false" customHeight="false" outlineLevel="0" collapsed="false">
      <c r="A460" s="3" t="n">
        <v>459</v>
      </c>
      <c r="B460" s="3" t="n">
        <v>458</v>
      </c>
      <c r="C460" s="3" t="n">
        <v>9</v>
      </c>
      <c r="D460" s="3" t="n">
        <v>2</v>
      </c>
      <c r="E460" s="3" t="n">
        <v>3</v>
      </c>
      <c r="F460" s="24" t="n">
        <v>2.35923481</v>
      </c>
    </row>
    <row r="461" customFormat="false" ht="15" hidden="false" customHeight="false" outlineLevel="0" collapsed="false">
      <c r="A461" s="3" t="n">
        <v>460</v>
      </c>
      <c r="B461" s="3" t="n">
        <v>459</v>
      </c>
      <c r="C461" s="3" t="n">
        <v>9</v>
      </c>
      <c r="D461" s="3" t="n">
        <v>2</v>
      </c>
      <c r="E461" s="3" t="n">
        <v>4</v>
      </c>
      <c r="F461" s="24" t="n">
        <v>7.39819098</v>
      </c>
    </row>
    <row r="462" customFormat="false" ht="15" hidden="false" customHeight="false" outlineLevel="0" collapsed="false">
      <c r="A462" s="3" t="n">
        <v>461</v>
      </c>
      <c r="B462" s="3" t="n">
        <v>460</v>
      </c>
      <c r="C462" s="3" t="n">
        <v>9</v>
      </c>
      <c r="D462" s="3" t="n">
        <v>2</v>
      </c>
      <c r="E462" s="3" t="n">
        <v>5</v>
      </c>
      <c r="F462" s="24" t="n">
        <v>5.39356709</v>
      </c>
    </row>
    <row r="463" customFormat="false" ht="15" hidden="false" customHeight="false" outlineLevel="0" collapsed="false">
      <c r="A463" s="3" t="n">
        <v>462</v>
      </c>
      <c r="B463" s="3" t="n">
        <v>461</v>
      </c>
      <c r="C463" s="3" t="n">
        <v>9</v>
      </c>
      <c r="D463" s="3" t="n">
        <v>2</v>
      </c>
      <c r="E463" s="3" t="n">
        <v>6</v>
      </c>
      <c r="F463" s="24" t="n">
        <v>0.279983491</v>
      </c>
    </row>
    <row r="464" customFormat="false" ht="15" hidden="false" customHeight="false" outlineLevel="0" collapsed="false">
      <c r="A464" s="3" t="n">
        <v>463</v>
      </c>
      <c r="B464" s="3" t="n">
        <v>462</v>
      </c>
      <c r="C464" s="3" t="n">
        <v>9</v>
      </c>
      <c r="D464" s="3" t="n">
        <v>3</v>
      </c>
      <c r="E464" s="3" t="n">
        <v>0</v>
      </c>
      <c r="F464" s="24" t="n">
        <v>0</v>
      </c>
    </row>
    <row r="465" customFormat="false" ht="15" hidden="false" customHeight="false" outlineLevel="0" collapsed="false">
      <c r="A465" s="3" t="n">
        <v>464</v>
      </c>
      <c r="B465" s="3" t="n">
        <v>463</v>
      </c>
      <c r="C465" s="3" t="n">
        <v>9</v>
      </c>
      <c r="D465" s="3" t="n">
        <v>3</v>
      </c>
      <c r="E465" s="3" t="n">
        <v>1</v>
      </c>
      <c r="F465" s="24" t="n">
        <v>0.341783673</v>
      </c>
    </row>
    <row r="466" customFormat="false" ht="15" hidden="false" customHeight="false" outlineLevel="0" collapsed="false">
      <c r="A466" s="3" t="n">
        <v>465</v>
      </c>
      <c r="B466" s="3" t="n">
        <v>464</v>
      </c>
      <c r="C466" s="3" t="n">
        <v>9</v>
      </c>
      <c r="D466" s="3" t="n">
        <v>3</v>
      </c>
      <c r="E466" s="3" t="n">
        <v>2</v>
      </c>
      <c r="F466" s="24" t="n">
        <v>1.07281506</v>
      </c>
    </row>
    <row r="467" customFormat="false" ht="15" hidden="false" customHeight="false" outlineLevel="0" collapsed="false">
      <c r="A467" s="3" t="n">
        <v>466</v>
      </c>
      <c r="B467" s="3" t="n">
        <v>465</v>
      </c>
      <c r="C467" s="3" t="n">
        <v>9</v>
      </c>
      <c r="D467" s="3" t="n">
        <v>3</v>
      </c>
      <c r="E467" s="3" t="n">
        <v>3</v>
      </c>
      <c r="F467" s="24" t="n">
        <v>2.14858341</v>
      </c>
    </row>
    <row r="468" customFormat="false" ht="15" hidden="false" customHeight="false" outlineLevel="0" collapsed="false">
      <c r="A468" s="3" t="n">
        <v>467</v>
      </c>
      <c r="B468" s="3" t="n">
        <v>466</v>
      </c>
      <c r="C468" s="3" t="n">
        <v>9</v>
      </c>
      <c r="D468" s="3" t="n">
        <v>3</v>
      </c>
      <c r="E468" s="3" t="n">
        <v>4</v>
      </c>
      <c r="F468" s="24" t="n">
        <v>10.2039213</v>
      </c>
    </row>
    <row r="469" customFormat="false" ht="15" hidden="false" customHeight="false" outlineLevel="0" collapsed="false">
      <c r="A469" s="3" t="n">
        <v>468</v>
      </c>
      <c r="B469" s="3" t="n">
        <v>467</v>
      </c>
      <c r="C469" s="3" t="n">
        <v>9</v>
      </c>
      <c r="D469" s="3" t="n">
        <v>3</v>
      </c>
      <c r="E469" s="3" t="n">
        <v>5</v>
      </c>
      <c r="F469" s="24" t="n">
        <v>1.95199335</v>
      </c>
    </row>
    <row r="470" customFormat="false" ht="15" hidden="false" customHeight="false" outlineLevel="0" collapsed="false">
      <c r="A470" s="3" t="n">
        <v>469</v>
      </c>
      <c r="B470" s="3" t="n">
        <v>468</v>
      </c>
      <c r="C470" s="3" t="n">
        <v>9</v>
      </c>
      <c r="D470" s="3" t="n">
        <v>3</v>
      </c>
      <c r="E470" s="3" t="n">
        <v>6</v>
      </c>
      <c r="F470" s="24" t="n">
        <v>0.175389022</v>
      </c>
    </row>
    <row r="471" customFormat="false" ht="15" hidden="false" customHeight="false" outlineLevel="0" collapsed="false">
      <c r="A471" s="3" t="n">
        <v>470</v>
      </c>
      <c r="B471" s="3" t="n">
        <v>469</v>
      </c>
      <c r="C471" s="3" t="n">
        <v>9</v>
      </c>
      <c r="D471" s="3" t="n">
        <v>4</v>
      </c>
      <c r="E471" s="3" t="n">
        <v>0</v>
      </c>
      <c r="F471" s="24" t="n">
        <v>0</v>
      </c>
    </row>
    <row r="472" customFormat="false" ht="15" hidden="false" customHeight="false" outlineLevel="0" collapsed="false">
      <c r="A472" s="3" t="n">
        <v>471</v>
      </c>
      <c r="B472" s="3" t="n">
        <v>470</v>
      </c>
      <c r="C472" s="3" t="n">
        <v>9</v>
      </c>
      <c r="D472" s="3" t="n">
        <v>4</v>
      </c>
      <c r="E472" s="3" t="n">
        <v>1</v>
      </c>
      <c r="F472" s="24" t="n">
        <v>0.0564652383</v>
      </c>
    </row>
    <row r="473" customFormat="false" ht="15" hidden="false" customHeight="false" outlineLevel="0" collapsed="false">
      <c r="A473" s="3" t="n">
        <v>472</v>
      </c>
      <c r="B473" s="3" t="n">
        <v>471</v>
      </c>
      <c r="C473" s="3" t="n">
        <v>9</v>
      </c>
      <c r="D473" s="3" t="n">
        <v>4</v>
      </c>
      <c r="E473" s="3" t="n">
        <v>2</v>
      </c>
      <c r="F473" s="24" t="n">
        <v>0.054462105</v>
      </c>
    </row>
    <row r="474" customFormat="false" ht="15" hidden="false" customHeight="false" outlineLevel="0" collapsed="false">
      <c r="A474" s="3" t="n">
        <v>473</v>
      </c>
      <c r="B474" s="3" t="n">
        <v>472</v>
      </c>
      <c r="C474" s="3" t="n">
        <v>9</v>
      </c>
      <c r="D474" s="3" t="n">
        <v>4</v>
      </c>
      <c r="E474" s="3" t="n">
        <v>3</v>
      </c>
      <c r="F474" s="24" t="n">
        <v>11.3129549</v>
      </c>
    </row>
    <row r="475" customFormat="false" ht="15" hidden="false" customHeight="false" outlineLevel="0" collapsed="false">
      <c r="A475" s="3" t="n">
        <v>474</v>
      </c>
      <c r="B475" s="3" t="n">
        <v>473</v>
      </c>
      <c r="C475" s="3" t="n">
        <v>9</v>
      </c>
      <c r="D475" s="3" t="n">
        <v>4</v>
      </c>
      <c r="E475" s="3" t="n">
        <v>4</v>
      </c>
      <c r="F475" s="24" t="n">
        <v>9.67237949</v>
      </c>
    </row>
    <row r="476" customFormat="false" ht="15" hidden="false" customHeight="false" outlineLevel="0" collapsed="false">
      <c r="A476" s="3" t="n">
        <v>475</v>
      </c>
      <c r="B476" s="3" t="n">
        <v>474</v>
      </c>
      <c r="C476" s="3" t="n">
        <v>9</v>
      </c>
      <c r="D476" s="3" t="n">
        <v>4</v>
      </c>
      <c r="E476" s="3" t="n">
        <v>5</v>
      </c>
      <c r="F476" s="24" t="n">
        <v>0.0578909814</v>
      </c>
    </row>
    <row r="477" customFormat="false" ht="15" hidden="false" customHeight="false" outlineLevel="0" collapsed="false">
      <c r="A477" s="3" t="n">
        <v>476</v>
      </c>
      <c r="B477" s="3" t="n">
        <v>475</v>
      </c>
      <c r="C477" s="3" t="n">
        <v>9</v>
      </c>
      <c r="D477" s="3" t="n">
        <v>4</v>
      </c>
      <c r="E477" s="3" t="n">
        <v>6</v>
      </c>
      <c r="F477" s="24" t="n">
        <v>0.182477832</v>
      </c>
    </row>
    <row r="478" customFormat="false" ht="15" hidden="false" customHeight="false" outlineLevel="0" collapsed="false">
      <c r="A478" s="3" t="n">
        <v>477</v>
      </c>
      <c r="B478" s="3" t="n">
        <v>476</v>
      </c>
      <c r="C478" s="3" t="n">
        <v>9</v>
      </c>
      <c r="D478" s="3" t="n">
        <v>5</v>
      </c>
      <c r="E478" s="3" t="n">
        <v>0</v>
      </c>
      <c r="F478" s="24" t="n">
        <v>0</v>
      </c>
    </row>
    <row r="479" customFormat="false" ht="15" hidden="false" customHeight="false" outlineLevel="0" collapsed="false">
      <c r="A479" s="3" t="n">
        <v>478</v>
      </c>
      <c r="B479" s="3" t="n">
        <v>477</v>
      </c>
      <c r="C479" s="3" t="n">
        <v>9</v>
      </c>
      <c r="D479" s="3" t="n">
        <v>5</v>
      </c>
      <c r="E479" s="3" t="n">
        <v>1</v>
      </c>
      <c r="F479" s="24" t="n">
        <v>0.0564652383</v>
      </c>
    </row>
    <row r="480" customFormat="false" ht="15" hidden="false" customHeight="false" outlineLevel="0" collapsed="false">
      <c r="A480" s="3" t="n">
        <v>479</v>
      </c>
      <c r="B480" s="3" t="n">
        <v>478</v>
      </c>
      <c r="C480" s="3" t="n">
        <v>9</v>
      </c>
      <c r="D480" s="3" t="n">
        <v>5</v>
      </c>
      <c r="E480" s="3" t="n">
        <v>2</v>
      </c>
      <c r="F480" s="24" t="n">
        <v>4.31428862</v>
      </c>
    </row>
    <row r="481" customFormat="false" ht="15" hidden="false" customHeight="false" outlineLevel="0" collapsed="false">
      <c r="A481" s="3" t="n">
        <v>480</v>
      </c>
      <c r="B481" s="3" t="n">
        <v>479</v>
      </c>
      <c r="C481" s="3" t="n">
        <v>9</v>
      </c>
      <c r="D481" s="3" t="n">
        <v>5</v>
      </c>
      <c r="E481" s="3" t="n">
        <v>3</v>
      </c>
      <c r="F481" s="24" t="n">
        <v>10.0826683</v>
      </c>
    </row>
    <row r="482" customFormat="false" ht="15" hidden="false" customHeight="false" outlineLevel="0" collapsed="false">
      <c r="A482" s="3" t="n">
        <v>481</v>
      </c>
      <c r="B482" s="3" t="n">
        <v>480</v>
      </c>
      <c r="C482" s="3" t="n">
        <v>9</v>
      </c>
      <c r="D482" s="3" t="n">
        <v>5</v>
      </c>
      <c r="E482" s="3" t="n">
        <v>4</v>
      </c>
      <c r="F482" s="24" t="n">
        <v>0.861157537</v>
      </c>
    </row>
    <row r="483" customFormat="false" ht="15" hidden="false" customHeight="false" outlineLevel="0" collapsed="false">
      <c r="A483" s="3" t="n">
        <v>482</v>
      </c>
      <c r="B483" s="3" t="n">
        <v>481</v>
      </c>
      <c r="C483" s="3" t="n">
        <v>9</v>
      </c>
      <c r="D483" s="3" t="n">
        <v>5</v>
      </c>
      <c r="E483" s="3" t="n">
        <v>5</v>
      </c>
      <c r="F483" s="24" t="n">
        <v>0.0564652383</v>
      </c>
    </row>
    <row r="484" customFormat="false" ht="15" hidden="false" customHeight="false" outlineLevel="0" collapsed="false">
      <c r="A484" s="3" t="n">
        <v>483</v>
      </c>
      <c r="B484" s="3" t="n">
        <v>482</v>
      </c>
      <c r="C484" s="3" t="n">
        <v>9</v>
      </c>
      <c r="D484" s="3" t="n">
        <v>5</v>
      </c>
      <c r="E484" s="3" t="n">
        <v>6</v>
      </c>
      <c r="F484" s="24" t="n">
        <v>0.182477832</v>
      </c>
    </row>
    <row r="485" customFormat="false" ht="15" hidden="false" customHeight="false" outlineLevel="0" collapsed="false">
      <c r="A485" s="3" t="n">
        <v>484</v>
      </c>
      <c r="B485" s="3" t="n">
        <v>483</v>
      </c>
      <c r="C485" s="3" t="n">
        <v>9</v>
      </c>
      <c r="D485" s="3" t="n">
        <v>6</v>
      </c>
      <c r="E485" s="3" t="n">
        <v>0</v>
      </c>
      <c r="F485" s="24" t="n">
        <v>0</v>
      </c>
    </row>
    <row r="486" customFormat="false" ht="15" hidden="false" customHeight="false" outlineLevel="0" collapsed="false">
      <c r="A486" s="3" t="n">
        <v>485</v>
      </c>
      <c r="B486" s="3" t="n">
        <v>484</v>
      </c>
      <c r="C486" s="3" t="n">
        <v>9</v>
      </c>
      <c r="D486" s="3" t="n">
        <v>6</v>
      </c>
      <c r="E486" s="3" t="n">
        <v>1</v>
      </c>
      <c r="F486" s="24" t="n">
        <v>0.315762907</v>
      </c>
    </row>
    <row r="487" customFormat="false" ht="15" hidden="false" customHeight="false" outlineLevel="0" collapsed="false">
      <c r="A487" s="3" t="n">
        <v>486</v>
      </c>
      <c r="B487" s="3" t="n">
        <v>485</v>
      </c>
      <c r="C487" s="3" t="n">
        <v>9</v>
      </c>
      <c r="D487" s="3" t="n">
        <v>6</v>
      </c>
      <c r="E487" s="3" t="n">
        <v>2</v>
      </c>
      <c r="F487" s="24" t="n">
        <v>7.00890017</v>
      </c>
    </row>
    <row r="488" customFormat="false" ht="15" hidden="false" customHeight="false" outlineLevel="0" collapsed="false">
      <c r="A488" s="3" t="n">
        <v>487</v>
      </c>
      <c r="B488" s="3" t="n">
        <v>486</v>
      </c>
      <c r="C488" s="3" t="n">
        <v>9</v>
      </c>
      <c r="D488" s="3" t="n">
        <v>6</v>
      </c>
      <c r="E488" s="3" t="n">
        <v>3</v>
      </c>
      <c r="F488" s="24" t="n">
        <v>7.14055395</v>
      </c>
    </row>
    <row r="489" customFormat="false" ht="15" hidden="false" customHeight="false" outlineLevel="0" collapsed="false">
      <c r="A489" s="3" t="n">
        <v>488</v>
      </c>
      <c r="B489" s="3" t="n">
        <v>487</v>
      </c>
      <c r="C489" s="3" t="n">
        <v>9</v>
      </c>
      <c r="D489" s="3" t="n">
        <v>6</v>
      </c>
      <c r="E489" s="3" t="n">
        <v>4</v>
      </c>
      <c r="F489" s="24" t="n">
        <v>0</v>
      </c>
    </row>
    <row r="490" customFormat="false" ht="15" hidden="false" customHeight="false" outlineLevel="0" collapsed="false">
      <c r="A490" s="3" t="n">
        <v>489</v>
      </c>
      <c r="B490" s="3" t="n">
        <v>488</v>
      </c>
      <c r="C490" s="3" t="n">
        <v>9</v>
      </c>
      <c r="D490" s="3" t="n">
        <v>6</v>
      </c>
      <c r="E490" s="3" t="n">
        <v>5</v>
      </c>
      <c r="F490" s="24" t="n">
        <v>0</v>
      </c>
    </row>
    <row r="491" customFormat="false" ht="15" hidden="false" customHeight="false" outlineLevel="0" collapsed="false">
      <c r="A491" s="3" t="n">
        <v>490</v>
      </c>
      <c r="B491" s="3" t="n">
        <v>489</v>
      </c>
      <c r="C491" s="3" t="n">
        <v>9</v>
      </c>
      <c r="D491" s="3" t="n">
        <v>6</v>
      </c>
      <c r="E491" s="3" t="n">
        <v>6</v>
      </c>
      <c r="F491" s="24" t="n">
        <v>0</v>
      </c>
    </row>
    <row r="492" customFormat="false" ht="15" hidden="false" customHeight="false" outlineLevel="0" collapsed="false">
      <c r="A492" s="3" t="n">
        <v>491</v>
      </c>
      <c r="B492" s="3" t="n">
        <v>490</v>
      </c>
      <c r="C492" s="3" t="n">
        <v>10</v>
      </c>
      <c r="D492" s="3" t="n">
        <v>0</v>
      </c>
      <c r="E492" s="3" t="n">
        <v>0</v>
      </c>
      <c r="F492" s="24" t="n">
        <v>0</v>
      </c>
    </row>
    <row r="493" customFormat="false" ht="15" hidden="false" customHeight="false" outlineLevel="0" collapsed="false">
      <c r="A493" s="3" t="n">
        <v>492</v>
      </c>
      <c r="B493" s="3" t="n">
        <v>491</v>
      </c>
      <c r="C493" s="3" t="n">
        <v>10</v>
      </c>
      <c r="D493" s="3" t="n">
        <v>0</v>
      </c>
      <c r="E493" s="3" t="n">
        <v>1</v>
      </c>
      <c r="F493" s="24" t="n">
        <v>0</v>
      </c>
    </row>
    <row r="494" customFormat="false" ht="15" hidden="false" customHeight="false" outlineLevel="0" collapsed="false">
      <c r="A494" s="3" t="n">
        <v>493</v>
      </c>
      <c r="B494" s="3" t="n">
        <v>492</v>
      </c>
      <c r="C494" s="3" t="n">
        <v>10</v>
      </c>
      <c r="D494" s="3" t="n">
        <v>0</v>
      </c>
      <c r="E494" s="3" t="n">
        <v>2</v>
      </c>
      <c r="F494" s="24" t="n">
        <v>0</v>
      </c>
    </row>
    <row r="495" customFormat="false" ht="15" hidden="false" customHeight="false" outlineLevel="0" collapsed="false">
      <c r="A495" s="3" t="n">
        <v>494</v>
      </c>
      <c r="B495" s="3" t="n">
        <v>493</v>
      </c>
      <c r="C495" s="3" t="n">
        <v>10</v>
      </c>
      <c r="D495" s="3" t="n">
        <v>0</v>
      </c>
      <c r="E495" s="3" t="n">
        <v>3</v>
      </c>
      <c r="F495" s="24" t="n">
        <v>0</v>
      </c>
    </row>
    <row r="496" customFormat="false" ht="15" hidden="false" customHeight="false" outlineLevel="0" collapsed="false">
      <c r="A496" s="3" t="n">
        <v>495</v>
      </c>
      <c r="B496" s="3" t="n">
        <v>494</v>
      </c>
      <c r="C496" s="3" t="n">
        <v>10</v>
      </c>
      <c r="D496" s="3" t="n">
        <v>0</v>
      </c>
      <c r="E496" s="3" t="n">
        <v>4</v>
      </c>
      <c r="F496" s="24" t="n">
        <v>0</v>
      </c>
    </row>
    <row r="497" customFormat="false" ht="15" hidden="false" customHeight="false" outlineLevel="0" collapsed="false">
      <c r="A497" s="3" t="n">
        <v>496</v>
      </c>
      <c r="B497" s="3" t="n">
        <v>495</v>
      </c>
      <c r="C497" s="3" t="n">
        <v>10</v>
      </c>
      <c r="D497" s="3" t="n">
        <v>0</v>
      </c>
      <c r="E497" s="3" t="n">
        <v>5</v>
      </c>
      <c r="F497" s="24" t="n">
        <v>0</v>
      </c>
    </row>
    <row r="498" customFormat="false" ht="15" hidden="false" customHeight="false" outlineLevel="0" collapsed="false">
      <c r="A498" s="3" t="n">
        <v>497</v>
      </c>
      <c r="B498" s="3" t="n">
        <v>496</v>
      </c>
      <c r="C498" s="3" t="n">
        <v>10</v>
      </c>
      <c r="D498" s="3" t="n">
        <v>0</v>
      </c>
      <c r="E498" s="3" t="n">
        <v>6</v>
      </c>
      <c r="F498" s="24" t="n">
        <v>0</v>
      </c>
    </row>
    <row r="499" customFormat="false" ht="15" hidden="false" customHeight="false" outlineLevel="0" collapsed="false">
      <c r="A499" s="3" t="n">
        <v>498</v>
      </c>
      <c r="B499" s="3" t="n">
        <v>497</v>
      </c>
      <c r="C499" s="3" t="n">
        <v>10</v>
      </c>
      <c r="D499" s="3" t="n">
        <v>1</v>
      </c>
      <c r="E499" s="3" t="n">
        <v>0</v>
      </c>
      <c r="F499" s="24" t="n">
        <v>0.0873674154</v>
      </c>
    </row>
    <row r="500" customFormat="false" ht="15" hidden="false" customHeight="false" outlineLevel="0" collapsed="false">
      <c r="A500" s="3" t="n">
        <v>499</v>
      </c>
      <c r="B500" s="3" t="n">
        <v>498</v>
      </c>
      <c r="C500" s="3" t="n">
        <v>10</v>
      </c>
      <c r="D500" s="3" t="n">
        <v>1</v>
      </c>
      <c r="E500" s="3" t="n">
        <v>1</v>
      </c>
      <c r="F500" s="24" t="n">
        <v>1.11496556</v>
      </c>
    </row>
    <row r="501" customFormat="false" ht="15" hidden="false" customHeight="false" outlineLevel="0" collapsed="false">
      <c r="A501" s="3" t="n">
        <v>500</v>
      </c>
      <c r="B501" s="3" t="n">
        <v>499</v>
      </c>
      <c r="C501" s="3" t="n">
        <v>10</v>
      </c>
      <c r="D501" s="3" t="n">
        <v>1</v>
      </c>
      <c r="E501" s="3" t="n">
        <v>2</v>
      </c>
      <c r="F501" s="24" t="n">
        <v>0.765860438</v>
      </c>
    </row>
    <row r="502" customFormat="false" ht="15" hidden="false" customHeight="false" outlineLevel="0" collapsed="false">
      <c r="A502" s="3" t="n">
        <v>501</v>
      </c>
      <c r="B502" s="3" t="n">
        <v>500</v>
      </c>
      <c r="C502" s="3" t="n">
        <v>10</v>
      </c>
      <c r="D502" s="3" t="n">
        <v>1</v>
      </c>
      <c r="E502" s="3" t="n">
        <v>3</v>
      </c>
      <c r="F502" s="24" t="n">
        <v>0.135575116</v>
      </c>
    </row>
    <row r="503" customFormat="false" ht="15" hidden="false" customHeight="false" outlineLevel="0" collapsed="false">
      <c r="A503" s="3" t="n">
        <v>502</v>
      </c>
      <c r="B503" s="3" t="n">
        <v>501</v>
      </c>
      <c r="C503" s="3" t="n">
        <v>10</v>
      </c>
      <c r="D503" s="3" t="n">
        <v>1</v>
      </c>
      <c r="E503" s="3" t="n">
        <v>4</v>
      </c>
      <c r="F503" s="24" t="n">
        <v>0.0820739418</v>
      </c>
    </row>
    <row r="504" customFormat="false" ht="15" hidden="false" customHeight="false" outlineLevel="0" collapsed="false">
      <c r="A504" s="3" t="n">
        <v>503</v>
      </c>
      <c r="B504" s="3" t="n">
        <v>502</v>
      </c>
      <c r="C504" s="3" t="n">
        <v>10</v>
      </c>
      <c r="D504" s="3" t="n">
        <v>1</v>
      </c>
      <c r="E504" s="3" t="n">
        <v>5</v>
      </c>
      <c r="F504" s="24" t="n">
        <v>0</v>
      </c>
    </row>
    <row r="505" customFormat="false" ht="15" hidden="false" customHeight="false" outlineLevel="0" collapsed="false">
      <c r="A505" s="3" t="n">
        <v>504</v>
      </c>
      <c r="B505" s="3" t="n">
        <v>503</v>
      </c>
      <c r="C505" s="3" t="n">
        <v>10</v>
      </c>
      <c r="D505" s="3" t="n">
        <v>1</v>
      </c>
      <c r="E505" s="3" t="n">
        <v>6</v>
      </c>
      <c r="F505" s="24" t="n">
        <v>0</v>
      </c>
    </row>
    <row r="506" customFormat="false" ht="15" hidden="false" customHeight="false" outlineLevel="0" collapsed="false">
      <c r="A506" s="3" t="n">
        <v>505</v>
      </c>
      <c r="B506" s="3" t="n">
        <v>504</v>
      </c>
      <c r="C506" s="3" t="n">
        <v>10</v>
      </c>
      <c r="D506" s="3" t="n">
        <v>2</v>
      </c>
      <c r="E506" s="3" t="n">
        <v>0</v>
      </c>
      <c r="F506" s="24" t="n">
        <v>0</v>
      </c>
    </row>
    <row r="507" customFormat="false" ht="15" hidden="false" customHeight="false" outlineLevel="0" collapsed="false">
      <c r="A507" s="3" t="n">
        <v>506</v>
      </c>
      <c r="B507" s="3" t="n">
        <v>505</v>
      </c>
      <c r="C507" s="3" t="n">
        <v>10</v>
      </c>
      <c r="D507" s="3" t="n">
        <v>2</v>
      </c>
      <c r="E507" s="3" t="n">
        <v>1</v>
      </c>
      <c r="F507" s="24" t="n">
        <v>0.801254869</v>
      </c>
    </row>
    <row r="508" customFormat="false" ht="15" hidden="false" customHeight="false" outlineLevel="0" collapsed="false">
      <c r="A508" s="3" t="n">
        <v>507</v>
      </c>
      <c r="B508" s="3" t="n">
        <v>506</v>
      </c>
      <c r="C508" s="3" t="n">
        <v>10</v>
      </c>
      <c r="D508" s="3" t="n">
        <v>2</v>
      </c>
      <c r="E508" s="3" t="n">
        <v>2</v>
      </c>
      <c r="F508" s="24" t="n">
        <v>0</v>
      </c>
    </row>
    <row r="509" customFormat="false" ht="15" hidden="false" customHeight="false" outlineLevel="0" collapsed="false">
      <c r="A509" s="3" t="n">
        <v>508</v>
      </c>
      <c r="B509" s="3" t="n">
        <v>507</v>
      </c>
      <c r="C509" s="3" t="n">
        <v>10</v>
      </c>
      <c r="D509" s="3" t="n">
        <v>2</v>
      </c>
      <c r="E509" s="3" t="n">
        <v>3</v>
      </c>
      <c r="F509" s="24" t="n">
        <v>0</v>
      </c>
    </row>
    <row r="510" customFormat="false" ht="15" hidden="false" customHeight="false" outlineLevel="0" collapsed="false">
      <c r="A510" s="3" t="n">
        <v>509</v>
      </c>
      <c r="B510" s="3" t="n">
        <v>508</v>
      </c>
      <c r="C510" s="3" t="n">
        <v>10</v>
      </c>
      <c r="D510" s="3" t="n">
        <v>2</v>
      </c>
      <c r="E510" s="3" t="n">
        <v>4</v>
      </c>
      <c r="F510" s="24" t="n">
        <v>0</v>
      </c>
    </row>
    <row r="511" customFormat="false" ht="15" hidden="false" customHeight="false" outlineLevel="0" collapsed="false">
      <c r="A511" s="3" t="n">
        <v>510</v>
      </c>
      <c r="B511" s="3" t="n">
        <v>509</v>
      </c>
      <c r="C511" s="3" t="n">
        <v>10</v>
      </c>
      <c r="D511" s="3" t="n">
        <v>2</v>
      </c>
      <c r="E511" s="3" t="n">
        <v>5</v>
      </c>
      <c r="F511" s="24" t="n">
        <v>0</v>
      </c>
    </row>
    <row r="512" customFormat="false" ht="15" hidden="false" customHeight="false" outlineLevel="0" collapsed="false">
      <c r="A512" s="3" t="n">
        <v>511</v>
      </c>
      <c r="B512" s="3" t="n">
        <v>510</v>
      </c>
      <c r="C512" s="3" t="n">
        <v>10</v>
      </c>
      <c r="D512" s="3" t="n">
        <v>2</v>
      </c>
      <c r="E512" s="3" t="n">
        <v>6</v>
      </c>
      <c r="F512" s="24" t="n">
        <v>0</v>
      </c>
    </row>
    <row r="513" customFormat="false" ht="15" hidden="false" customHeight="false" outlineLevel="0" collapsed="false">
      <c r="A513" s="3" t="n">
        <v>512</v>
      </c>
      <c r="B513" s="3" t="n">
        <v>511</v>
      </c>
      <c r="C513" s="3" t="n">
        <v>10</v>
      </c>
      <c r="D513" s="3" t="n">
        <v>3</v>
      </c>
      <c r="E513" s="3" t="n">
        <v>0</v>
      </c>
      <c r="F513" s="24" t="n">
        <v>0</v>
      </c>
    </row>
    <row r="514" customFormat="false" ht="15" hidden="false" customHeight="false" outlineLevel="0" collapsed="false">
      <c r="A514" s="3" t="n">
        <v>513</v>
      </c>
      <c r="B514" s="3" t="n">
        <v>512</v>
      </c>
      <c r="C514" s="3" t="n">
        <v>10</v>
      </c>
      <c r="D514" s="3" t="n">
        <v>3</v>
      </c>
      <c r="E514" s="3" t="n">
        <v>1</v>
      </c>
      <c r="F514" s="24" t="n">
        <v>0</v>
      </c>
    </row>
    <row r="515" customFormat="false" ht="15" hidden="false" customHeight="false" outlineLevel="0" collapsed="false">
      <c r="A515" s="3" t="n">
        <v>514</v>
      </c>
      <c r="B515" s="3" t="n">
        <v>513</v>
      </c>
      <c r="C515" s="3" t="n">
        <v>10</v>
      </c>
      <c r="D515" s="3" t="n">
        <v>3</v>
      </c>
      <c r="E515" s="3" t="n">
        <v>2</v>
      </c>
      <c r="F515" s="24" t="n">
        <v>0.197589457</v>
      </c>
    </row>
    <row r="516" customFormat="false" ht="15" hidden="false" customHeight="false" outlineLevel="0" collapsed="false">
      <c r="A516" s="3" t="n">
        <v>515</v>
      </c>
      <c r="B516" s="3" t="n">
        <v>514</v>
      </c>
      <c r="C516" s="3" t="n">
        <v>10</v>
      </c>
      <c r="D516" s="3" t="n">
        <v>3</v>
      </c>
      <c r="E516" s="3" t="n">
        <v>3</v>
      </c>
      <c r="F516" s="24" t="n">
        <v>1.66993642</v>
      </c>
    </row>
    <row r="517" customFormat="false" ht="15" hidden="false" customHeight="false" outlineLevel="0" collapsed="false">
      <c r="A517" s="3" t="n">
        <v>516</v>
      </c>
      <c r="B517" s="3" t="n">
        <v>515</v>
      </c>
      <c r="C517" s="3" t="n">
        <v>10</v>
      </c>
      <c r="D517" s="3" t="n">
        <v>3</v>
      </c>
      <c r="E517" s="3" t="n">
        <v>4</v>
      </c>
      <c r="F517" s="24" t="n">
        <v>3.07072926</v>
      </c>
    </row>
    <row r="518" customFormat="false" ht="15" hidden="false" customHeight="false" outlineLevel="0" collapsed="false">
      <c r="A518" s="3" t="n">
        <v>517</v>
      </c>
      <c r="B518" s="3" t="n">
        <v>516</v>
      </c>
      <c r="C518" s="3" t="n">
        <v>10</v>
      </c>
      <c r="D518" s="3" t="n">
        <v>3</v>
      </c>
      <c r="E518" s="3" t="n">
        <v>5</v>
      </c>
      <c r="F518" s="24" t="n">
        <v>0</v>
      </c>
    </row>
    <row r="519" customFormat="false" ht="15" hidden="false" customHeight="false" outlineLevel="0" collapsed="false">
      <c r="A519" s="3" t="n">
        <v>518</v>
      </c>
      <c r="B519" s="3" t="n">
        <v>517</v>
      </c>
      <c r="C519" s="3" t="n">
        <v>10</v>
      </c>
      <c r="D519" s="3" t="n">
        <v>3</v>
      </c>
      <c r="E519" s="3" t="n">
        <v>6</v>
      </c>
      <c r="F519" s="24" t="n">
        <v>0</v>
      </c>
    </row>
    <row r="520" customFormat="false" ht="15" hidden="false" customHeight="false" outlineLevel="0" collapsed="false">
      <c r="A520" s="3" t="n">
        <v>519</v>
      </c>
      <c r="B520" s="3" t="n">
        <v>518</v>
      </c>
      <c r="C520" s="3" t="n">
        <v>10</v>
      </c>
      <c r="D520" s="3" t="n">
        <v>4</v>
      </c>
      <c r="E520" s="3" t="n">
        <v>0</v>
      </c>
      <c r="F520" s="24" t="n">
        <v>0</v>
      </c>
    </row>
    <row r="521" customFormat="false" ht="15" hidden="false" customHeight="false" outlineLevel="0" collapsed="false">
      <c r="A521" s="3" t="n">
        <v>520</v>
      </c>
      <c r="B521" s="3" t="n">
        <v>519</v>
      </c>
      <c r="C521" s="3" t="n">
        <v>10</v>
      </c>
      <c r="D521" s="3" t="n">
        <v>4</v>
      </c>
      <c r="E521" s="3" t="n">
        <v>1</v>
      </c>
      <c r="F521" s="24" t="n">
        <v>0</v>
      </c>
    </row>
    <row r="522" customFormat="false" ht="15" hidden="false" customHeight="false" outlineLevel="0" collapsed="false">
      <c r="A522" s="3" t="n">
        <v>521</v>
      </c>
      <c r="B522" s="3" t="n">
        <v>520</v>
      </c>
      <c r="C522" s="3" t="n">
        <v>10</v>
      </c>
      <c r="D522" s="3" t="n">
        <v>4</v>
      </c>
      <c r="E522" s="3" t="n">
        <v>2</v>
      </c>
      <c r="F522" s="24" t="n">
        <v>0.730513453</v>
      </c>
    </row>
    <row r="523" customFormat="false" ht="15" hidden="false" customHeight="false" outlineLevel="0" collapsed="false">
      <c r="A523" s="3" t="n">
        <v>522</v>
      </c>
      <c r="B523" s="3" t="n">
        <v>521</v>
      </c>
      <c r="C523" s="3" t="n">
        <v>10</v>
      </c>
      <c r="D523" s="3" t="n">
        <v>4</v>
      </c>
      <c r="E523" s="3" t="n">
        <v>3</v>
      </c>
      <c r="F523" s="24" t="n">
        <v>2.62648249</v>
      </c>
    </row>
    <row r="524" customFormat="false" ht="15" hidden="false" customHeight="false" outlineLevel="0" collapsed="false">
      <c r="A524" s="3" t="n">
        <v>523</v>
      </c>
      <c r="B524" s="3" t="n">
        <v>522</v>
      </c>
      <c r="C524" s="3" t="n">
        <v>10</v>
      </c>
      <c r="D524" s="3" t="n">
        <v>4</v>
      </c>
      <c r="E524" s="3" t="n">
        <v>4</v>
      </c>
      <c r="F524" s="24" t="n">
        <v>1.82261825</v>
      </c>
    </row>
    <row r="525" customFormat="false" ht="15" hidden="false" customHeight="false" outlineLevel="0" collapsed="false">
      <c r="A525" s="3" t="n">
        <v>524</v>
      </c>
      <c r="B525" s="3" t="n">
        <v>523</v>
      </c>
      <c r="C525" s="3" t="n">
        <v>10</v>
      </c>
      <c r="D525" s="3" t="n">
        <v>4</v>
      </c>
      <c r="E525" s="3" t="n">
        <v>5</v>
      </c>
      <c r="F525" s="24" t="n">
        <v>0</v>
      </c>
    </row>
    <row r="526" customFormat="false" ht="15" hidden="false" customHeight="false" outlineLevel="0" collapsed="false">
      <c r="A526" s="3" t="n">
        <v>525</v>
      </c>
      <c r="B526" s="3" t="n">
        <v>524</v>
      </c>
      <c r="C526" s="3" t="n">
        <v>10</v>
      </c>
      <c r="D526" s="3" t="n">
        <v>4</v>
      </c>
      <c r="E526" s="3" t="n">
        <v>6</v>
      </c>
      <c r="F526" s="24" t="n">
        <v>0</v>
      </c>
    </row>
    <row r="527" customFormat="false" ht="15" hidden="false" customHeight="false" outlineLevel="0" collapsed="false">
      <c r="A527" s="3" t="n">
        <v>526</v>
      </c>
      <c r="B527" s="3" t="n">
        <v>525</v>
      </c>
      <c r="C527" s="3" t="n">
        <v>10</v>
      </c>
      <c r="D527" s="3" t="n">
        <v>5</v>
      </c>
      <c r="E527" s="3" t="n">
        <v>0</v>
      </c>
      <c r="F527" s="24" t="n">
        <v>0</v>
      </c>
    </row>
    <row r="528" customFormat="false" ht="15" hidden="false" customHeight="false" outlineLevel="0" collapsed="false">
      <c r="A528" s="3" t="n">
        <v>527</v>
      </c>
      <c r="B528" s="3" t="n">
        <v>526</v>
      </c>
      <c r="C528" s="3" t="n">
        <v>10</v>
      </c>
      <c r="D528" s="3" t="n">
        <v>5</v>
      </c>
      <c r="E528" s="3" t="n">
        <v>1</v>
      </c>
      <c r="F528" s="24" t="n">
        <v>0.106300429</v>
      </c>
    </row>
    <row r="529" customFormat="false" ht="15" hidden="false" customHeight="false" outlineLevel="0" collapsed="false">
      <c r="A529" s="3" t="n">
        <v>528</v>
      </c>
      <c r="B529" s="3" t="n">
        <v>527</v>
      </c>
      <c r="C529" s="3" t="n">
        <v>10</v>
      </c>
      <c r="D529" s="3" t="n">
        <v>5</v>
      </c>
      <c r="E529" s="3" t="n">
        <v>2</v>
      </c>
      <c r="F529" s="24" t="n">
        <v>3.22472477</v>
      </c>
    </row>
    <row r="530" customFormat="false" ht="15" hidden="false" customHeight="false" outlineLevel="0" collapsed="false">
      <c r="A530" s="3" t="n">
        <v>529</v>
      </c>
      <c r="B530" s="3" t="n">
        <v>528</v>
      </c>
      <c r="C530" s="3" t="n">
        <v>10</v>
      </c>
      <c r="D530" s="3" t="n">
        <v>5</v>
      </c>
      <c r="E530" s="3" t="n">
        <v>3</v>
      </c>
      <c r="F530" s="24" t="n">
        <v>2.51743197</v>
      </c>
    </row>
    <row r="531" customFormat="false" ht="15" hidden="false" customHeight="false" outlineLevel="0" collapsed="false">
      <c r="A531" s="3" t="n">
        <v>530</v>
      </c>
      <c r="B531" s="3" t="n">
        <v>529</v>
      </c>
      <c r="C531" s="3" t="n">
        <v>10</v>
      </c>
      <c r="D531" s="3" t="n">
        <v>5</v>
      </c>
      <c r="E531" s="3" t="n">
        <v>4</v>
      </c>
      <c r="F531" s="24" t="n">
        <v>0</v>
      </c>
    </row>
    <row r="532" customFormat="false" ht="15" hidden="false" customHeight="false" outlineLevel="0" collapsed="false">
      <c r="A532" s="3" t="n">
        <v>531</v>
      </c>
      <c r="B532" s="3" t="n">
        <v>530</v>
      </c>
      <c r="C532" s="3" t="n">
        <v>10</v>
      </c>
      <c r="D532" s="3" t="n">
        <v>5</v>
      </c>
      <c r="E532" s="3" t="n">
        <v>5</v>
      </c>
      <c r="F532" s="24" t="n">
        <v>0</v>
      </c>
    </row>
    <row r="533" customFormat="false" ht="15" hidden="false" customHeight="false" outlineLevel="0" collapsed="false">
      <c r="A533" s="3" t="n">
        <v>532</v>
      </c>
      <c r="B533" s="3" t="n">
        <v>531</v>
      </c>
      <c r="C533" s="3" t="n">
        <v>10</v>
      </c>
      <c r="D533" s="3" t="n">
        <v>5</v>
      </c>
      <c r="E533" s="3" t="n">
        <v>6</v>
      </c>
      <c r="F533" s="24" t="n">
        <v>0</v>
      </c>
    </row>
    <row r="534" customFormat="false" ht="15" hidden="false" customHeight="false" outlineLevel="0" collapsed="false">
      <c r="A534" s="3" t="n">
        <v>533</v>
      </c>
      <c r="B534" s="3" t="n">
        <v>532</v>
      </c>
      <c r="C534" s="3" t="n">
        <v>10</v>
      </c>
      <c r="D534" s="3" t="n">
        <v>6</v>
      </c>
      <c r="E534" s="3" t="n">
        <v>0</v>
      </c>
      <c r="F534" s="24" t="n">
        <v>0</v>
      </c>
    </row>
    <row r="535" customFormat="false" ht="15" hidden="false" customHeight="false" outlineLevel="0" collapsed="false">
      <c r="A535" s="3" t="n">
        <v>534</v>
      </c>
      <c r="B535" s="3" t="n">
        <v>533</v>
      </c>
      <c r="C535" s="3" t="n">
        <v>10</v>
      </c>
      <c r="D535" s="3" t="n">
        <v>6</v>
      </c>
      <c r="E535" s="3" t="n">
        <v>1</v>
      </c>
      <c r="F535" s="24" t="n">
        <v>0.0383774489</v>
      </c>
    </row>
    <row r="536" customFormat="false" ht="15" hidden="false" customHeight="false" outlineLevel="0" collapsed="false">
      <c r="A536" s="3" t="n">
        <v>535</v>
      </c>
      <c r="B536" s="3" t="n">
        <v>534</v>
      </c>
      <c r="C536" s="3" t="n">
        <v>10</v>
      </c>
      <c r="D536" s="3" t="n">
        <v>6</v>
      </c>
      <c r="E536" s="3" t="n">
        <v>2</v>
      </c>
      <c r="F536" s="24" t="n">
        <v>4.6647706</v>
      </c>
    </row>
    <row r="537" customFormat="false" ht="15" hidden="false" customHeight="false" outlineLevel="0" collapsed="false">
      <c r="A537" s="3" t="n">
        <v>536</v>
      </c>
      <c r="B537" s="3" t="n">
        <v>535</v>
      </c>
      <c r="C537" s="3" t="n">
        <v>10</v>
      </c>
      <c r="D537" s="3" t="n">
        <v>6</v>
      </c>
      <c r="E537" s="3" t="n">
        <v>3</v>
      </c>
      <c r="F537" s="24" t="n">
        <v>1.93294275</v>
      </c>
    </row>
    <row r="538" customFormat="false" ht="15" hidden="false" customHeight="false" outlineLevel="0" collapsed="false">
      <c r="A538" s="3" t="n">
        <v>537</v>
      </c>
      <c r="B538" s="3" t="n">
        <v>536</v>
      </c>
      <c r="C538" s="3" t="n">
        <v>10</v>
      </c>
      <c r="D538" s="3" t="n">
        <v>6</v>
      </c>
      <c r="E538" s="3" t="n">
        <v>4</v>
      </c>
      <c r="F538" s="24" t="n">
        <v>0</v>
      </c>
    </row>
    <row r="539" customFormat="false" ht="15" hidden="false" customHeight="false" outlineLevel="0" collapsed="false">
      <c r="A539" s="3" t="n">
        <v>538</v>
      </c>
      <c r="B539" s="3" t="n">
        <v>537</v>
      </c>
      <c r="C539" s="3" t="n">
        <v>10</v>
      </c>
      <c r="D539" s="3" t="n">
        <v>6</v>
      </c>
      <c r="E539" s="3" t="n">
        <v>5</v>
      </c>
      <c r="F539" s="24" t="n">
        <v>0</v>
      </c>
    </row>
    <row r="540" customFormat="false" ht="15" hidden="false" customHeight="false" outlineLevel="0" collapsed="false">
      <c r="A540" s="3" t="n">
        <v>539</v>
      </c>
      <c r="B540" s="3" t="n">
        <v>538</v>
      </c>
      <c r="C540" s="3" t="n">
        <v>10</v>
      </c>
      <c r="D540" s="3" t="n">
        <v>6</v>
      </c>
      <c r="E540" s="3" t="n">
        <v>6</v>
      </c>
      <c r="F540" s="24" t="n">
        <v>0</v>
      </c>
    </row>
    <row r="541" customFormat="false" ht="15" hidden="false" customHeight="false" outlineLevel="0" collapsed="false">
      <c r="A541" s="3" t="n">
        <v>540</v>
      </c>
      <c r="B541" s="3" t="n">
        <v>539</v>
      </c>
      <c r="C541" s="3" t="n">
        <v>11</v>
      </c>
      <c r="D541" s="3" t="n">
        <v>0</v>
      </c>
      <c r="E541" s="3" t="n">
        <v>0</v>
      </c>
      <c r="F541" s="24" t="n">
        <v>0.280706078</v>
      </c>
    </row>
    <row r="542" customFormat="false" ht="15" hidden="false" customHeight="false" outlineLevel="0" collapsed="false">
      <c r="A542" s="3" t="n">
        <v>541</v>
      </c>
      <c r="B542" s="3" t="n">
        <v>540</v>
      </c>
      <c r="C542" s="3" t="n">
        <v>11</v>
      </c>
      <c r="D542" s="3" t="n">
        <v>0</v>
      </c>
      <c r="E542" s="3" t="n">
        <v>1</v>
      </c>
      <c r="F542" s="24" t="n">
        <v>0.287904233</v>
      </c>
    </row>
    <row r="543" customFormat="false" ht="15" hidden="false" customHeight="false" outlineLevel="0" collapsed="false">
      <c r="A543" s="3" t="n">
        <v>542</v>
      </c>
      <c r="B543" s="3" t="n">
        <v>541</v>
      </c>
      <c r="C543" s="3" t="n">
        <v>11</v>
      </c>
      <c r="D543" s="3" t="n">
        <v>0</v>
      </c>
      <c r="E543" s="3" t="n">
        <v>2</v>
      </c>
      <c r="F543" s="24" t="n">
        <v>0.287904233</v>
      </c>
    </row>
    <row r="544" customFormat="false" ht="15" hidden="false" customHeight="false" outlineLevel="0" collapsed="false">
      <c r="A544" s="3" t="n">
        <v>543</v>
      </c>
      <c r="B544" s="3" t="n">
        <v>542</v>
      </c>
      <c r="C544" s="3" t="n">
        <v>11</v>
      </c>
      <c r="D544" s="3" t="n">
        <v>0</v>
      </c>
      <c r="E544" s="3" t="n">
        <v>3</v>
      </c>
      <c r="F544" s="24" t="n">
        <v>0.287904233</v>
      </c>
    </row>
    <row r="545" customFormat="false" ht="15" hidden="false" customHeight="false" outlineLevel="0" collapsed="false">
      <c r="A545" s="3" t="n">
        <v>544</v>
      </c>
      <c r="B545" s="3" t="n">
        <v>543</v>
      </c>
      <c r="C545" s="3" t="n">
        <v>11</v>
      </c>
      <c r="D545" s="3" t="n">
        <v>0</v>
      </c>
      <c r="E545" s="3" t="n">
        <v>4</v>
      </c>
      <c r="F545" s="24" t="n">
        <v>0.287904233</v>
      </c>
    </row>
    <row r="546" customFormat="false" ht="15" hidden="false" customHeight="false" outlineLevel="0" collapsed="false">
      <c r="A546" s="3" t="n">
        <v>545</v>
      </c>
      <c r="B546" s="3" t="n">
        <v>544</v>
      </c>
      <c r="C546" s="3" t="n">
        <v>11</v>
      </c>
      <c r="D546" s="3" t="n">
        <v>0</v>
      </c>
      <c r="E546" s="3" t="n">
        <v>5</v>
      </c>
      <c r="F546" s="24" t="n">
        <v>0.287904233</v>
      </c>
    </row>
    <row r="547" customFormat="false" ht="15" hidden="false" customHeight="false" outlineLevel="0" collapsed="false">
      <c r="A547" s="3" t="n">
        <v>546</v>
      </c>
      <c r="B547" s="3" t="n">
        <v>545</v>
      </c>
      <c r="C547" s="3" t="n">
        <v>11</v>
      </c>
      <c r="D547" s="3" t="n">
        <v>0</v>
      </c>
      <c r="E547" s="3" t="n">
        <v>6</v>
      </c>
      <c r="F547" s="24" t="n">
        <v>0.223767549</v>
      </c>
    </row>
    <row r="548" customFormat="false" ht="15" hidden="false" customHeight="false" outlineLevel="0" collapsed="false">
      <c r="A548" s="3" t="n">
        <v>547</v>
      </c>
      <c r="B548" s="3" t="n">
        <v>546</v>
      </c>
      <c r="C548" s="3" t="n">
        <v>11</v>
      </c>
      <c r="D548" s="3" t="n">
        <v>1</v>
      </c>
      <c r="E548" s="3" t="n">
        <v>0</v>
      </c>
      <c r="F548" s="24" t="n">
        <v>0.0595110059</v>
      </c>
    </row>
    <row r="549" customFormat="false" ht="15" hidden="false" customHeight="false" outlineLevel="0" collapsed="false">
      <c r="A549" s="3" t="n">
        <v>548</v>
      </c>
      <c r="B549" s="3" t="n">
        <v>547</v>
      </c>
      <c r="C549" s="3" t="n">
        <v>11</v>
      </c>
      <c r="D549" s="3" t="n">
        <v>1</v>
      </c>
      <c r="E549" s="3" t="n">
        <v>1</v>
      </c>
      <c r="F549" s="24" t="n">
        <v>0.626852155</v>
      </c>
    </row>
    <row r="550" customFormat="false" ht="15" hidden="false" customHeight="false" outlineLevel="0" collapsed="false">
      <c r="A550" s="3" t="n">
        <v>549</v>
      </c>
      <c r="B550" s="3" t="n">
        <v>548</v>
      </c>
      <c r="C550" s="3" t="n">
        <v>11</v>
      </c>
      <c r="D550" s="3" t="n">
        <v>1</v>
      </c>
      <c r="E550" s="3" t="n">
        <v>2</v>
      </c>
      <c r="F550" s="24" t="n">
        <v>0.149845779</v>
      </c>
    </row>
    <row r="551" customFormat="false" ht="15" hidden="false" customHeight="false" outlineLevel="0" collapsed="false">
      <c r="A551" s="3" t="n">
        <v>550</v>
      </c>
      <c r="B551" s="3" t="n">
        <v>549</v>
      </c>
      <c r="C551" s="3" t="n">
        <v>11</v>
      </c>
      <c r="D551" s="3" t="n">
        <v>1</v>
      </c>
      <c r="E551" s="3" t="n">
        <v>3</v>
      </c>
      <c r="F551" s="24" t="n">
        <v>0</v>
      </c>
    </row>
    <row r="552" customFormat="false" ht="15" hidden="false" customHeight="false" outlineLevel="0" collapsed="false">
      <c r="A552" s="3" t="n">
        <v>551</v>
      </c>
      <c r="B552" s="3" t="n">
        <v>550</v>
      </c>
      <c r="C552" s="3" t="n">
        <v>11</v>
      </c>
      <c r="D552" s="3" t="n">
        <v>1</v>
      </c>
      <c r="E552" s="3" t="n">
        <v>4</v>
      </c>
      <c r="F552" s="24" t="n">
        <v>0</v>
      </c>
    </row>
    <row r="553" customFormat="false" ht="15" hidden="false" customHeight="false" outlineLevel="0" collapsed="false">
      <c r="A553" s="3" t="n">
        <v>552</v>
      </c>
      <c r="B553" s="3" t="n">
        <v>551</v>
      </c>
      <c r="C553" s="3" t="n">
        <v>11</v>
      </c>
      <c r="D553" s="3" t="n">
        <v>1</v>
      </c>
      <c r="E553" s="3" t="n">
        <v>5</v>
      </c>
      <c r="F553" s="24" t="n">
        <v>0</v>
      </c>
    </row>
    <row r="554" customFormat="false" ht="15" hidden="false" customHeight="false" outlineLevel="0" collapsed="false">
      <c r="A554" s="3" t="n">
        <v>553</v>
      </c>
      <c r="B554" s="3" t="n">
        <v>552</v>
      </c>
      <c r="C554" s="3" t="n">
        <v>11</v>
      </c>
      <c r="D554" s="3" t="n">
        <v>1</v>
      </c>
      <c r="E554" s="3" t="n">
        <v>6</v>
      </c>
      <c r="F554" s="24" t="n">
        <v>0.169542938</v>
      </c>
    </row>
    <row r="555" customFormat="false" ht="15" hidden="false" customHeight="false" outlineLevel="0" collapsed="false">
      <c r="A555" s="3" t="n">
        <v>554</v>
      </c>
      <c r="B555" s="3" t="n">
        <v>553</v>
      </c>
      <c r="C555" s="3" t="n">
        <v>11</v>
      </c>
      <c r="D555" s="3" t="n">
        <v>2</v>
      </c>
      <c r="E555" s="3" t="n">
        <v>0</v>
      </c>
      <c r="F555" s="24" t="n">
        <v>0.807500958</v>
      </c>
    </row>
    <row r="556" customFormat="false" ht="15" hidden="false" customHeight="false" outlineLevel="0" collapsed="false">
      <c r="A556" s="3" t="n">
        <v>555</v>
      </c>
      <c r="B556" s="3" t="n">
        <v>554</v>
      </c>
      <c r="C556" s="3" t="n">
        <v>11</v>
      </c>
      <c r="D556" s="3" t="n">
        <v>2</v>
      </c>
      <c r="E556" s="3" t="n">
        <v>1</v>
      </c>
      <c r="F556" s="24" t="n">
        <v>3.22806931</v>
      </c>
    </row>
    <row r="557" customFormat="false" ht="15" hidden="false" customHeight="false" outlineLevel="0" collapsed="false">
      <c r="A557" s="3" t="n">
        <v>556</v>
      </c>
      <c r="B557" s="3" t="n">
        <v>555</v>
      </c>
      <c r="C557" s="3" t="n">
        <v>11</v>
      </c>
      <c r="D557" s="3" t="n">
        <v>2</v>
      </c>
      <c r="E557" s="3" t="n">
        <v>2</v>
      </c>
      <c r="F557" s="24" t="n">
        <v>4.04979134</v>
      </c>
    </row>
    <row r="558" customFormat="false" ht="15" hidden="false" customHeight="false" outlineLevel="0" collapsed="false">
      <c r="A558" s="3" t="n">
        <v>557</v>
      </c>
      <c r="B558" s="3" t="n">
        <v>556</v>
      </c>
      <c r="C558" s="3" t="n">
        <v>11</v>
      </c>
      <c r="D558" s="3" t="n">
        <v>2</v>
      </c>
      <c r="E558" s="3" t="n">
        <v>3</v>
      </c>
      <c r="F558" s="24" t="n">
        <v>4.69654465</v>
      </c>
    </row>
    <row r="559" customFormat="false" ht="15" hidden="false" customHeight="false" outlineLevel="0" collapsed="false">
      <c r="A559" s="3" t="n">
        <v>558</v>
      </c>
      <c r="B559" s="3" t="n">
        <v>557</v>
      </c>
      <c r="C559" s="3" t="n">
        <v>11</v>
      </c>
      <c r="D559" s="3" t="n">
        <v>2</v>
      </c>
      <c r="E559" s="3" t="n">
        <v>4</v>
      </c>
      <c r="F559" s="24" t="n">
        <v>1.94231689</v>
      </c>
    </row>
    <row r="560" customFormat="false" ht="15" hidden="false" customHeight="false" outlineLevel="0" collapsed="false">
      <c r="A560" s="3" t="n">
        <v>559</v>
      </c>
      <c r="B560" s="3" t="n">
        <v>558</v>
      </c>
      <c r="C560" s="3" t="n">
        <v>11</v>
      </c>
      <c r="D560" s="3" t="n">
        <v>2</v>
      </c>
      <c r="E560" s="3" t="n">
        <v>5</v>
      </c>
      <c r="F560" s="24" t="n">
        <v>0.893485069</v>
      </c>
    </row>
    <row r="561" customFormat="false" ht="15" hidden="false" customHeight="false" outlineLevel="0" collapsed="false">
      <c r="A561" s="3" t="n">
        <v>560</v>
      </c>
      <c r="B561" s="3" t="n">
        <v>559</v>
      </c>
      <c r="C561" s="3" t="n">
        <v>11</v>
      </c>
      <c r="D561" s="3" t="n">
        <v>2</v>
      </c>
      <c r="E561" s="3" t="n">
        <v>6</v>
      </c>
      <c r="F561" s="24" t="n">
        <v>0.280834526</v>
      </c>
    </row>
    <row r="562" customFormat="false" ht="15" hidden="false" customHeight="false" outlineLevel="0" collapsed="false">
      <c r="A562" s="3" t="n">
        <v>561</v>
      </c>
      <c r="B562" s="3" t="n">
        <v>560</v>
      </c>
      <c r="C562" s="3" t="n">
        <v>11</v>
      </c>
      <c r="D562" s="3" t="n">
        <v>3</v>
      </c>
      <c r="E562" s="3" t="n">
        <v>0</v>
      </c>
      <c r="F562" s="24" t="n">
        <v>0.123146236</v>
      </c>
    </row>
    <row r="563" customFormat="false" ht="15" hidden="false" customHeight="false" outlineLevel="0" collapsed="false">
      <c r="A563" s="3" t="n">
        <v>562</v>
      </c>
      <c r="B563" s="3" t="n">
        <v>561</v>
      </c>
      <c r="C563" s="3" t="n">
        <v>11</v>
      </c>
      <c r="D563" s="3" t="n">
        <v>3</v>
      </c>
      <c r="E563" s="3" t="n">
        <v>1</v>
      </c>
      <c r="F563" s="24" t="n">
        <v>0.221730202</v>
      </c>
    </row>
    <row r="564" customFormat="false" ht="15" hidden="false" customHeight="false" outlineLevel="0" collapsed="false">
      <c r="A564" s="3" t="n">
        <v>563</v>
      </c>
      <c r="B564" s="3" t="n">
        <v>562</v>
      </c>
      <c r="C564" s="3" t="n">
        <v>11</v>
      </c>
      <c r="D564" s="3" t="n">
        <v>3</v>
      </c>
      <c r="E564" s="3" t="n">
        <v>2</v>
      </c>
      <c r="F564" s="24" t="n">
        <v>0.402765065</v>
      </c>
    </row>
    <row r="565" customFormat="false" ht="15" hidden="false" customHeight="false" outlineLevel="0" collapsed="false">
      <c r="A565" s="3" t="n">
        <v>564</v>
      </c>
      <c r="B565" s="3" t="n">
        <v>563</v>
      </c>
      <c r="C565" s="3" t="n">
        <v>11</v>
      </c>
      <c r="D565" s="3" t="n">
        <v>3</v>
      </c>
      <c r="E565" s="3" t="n">
        <v>3</v>
      </c>
      <c r="F565" s="24" t="n">
        <v>0.0642206967</v>
      </c>
    </row>
    <row r="566" customFormat="false" ht="15" hidden="false" customHeight="false" outlineLevel="0" collapsed="false">
      <c r="A566" s="3" t="n">
        <v>565</v>
      </c>
      <c r="B566" s="3" t="n">
        <v>564</v>
      </c>
      <c r="C566" s="3" t="n">
        <v>11</v>
      </c>
      <c r="D566" s="3" t="n">
        <v>3</v>
      </c>
      <c r="E566" s="3" t="n">
        <v>4</v>
      </c>
      <c r="F566" s="24" t="n">
        <v>1.36341155</v>
      </c>
    </row>
    <row r="567" customFormat="false" ht="15" hidden="false" customHeight="false" outlineLevel="0" collapsed="false">
      <c r="A567" s="3" t="n">
        <v>566</v>
      </c>
      <c r="B567" s="3" t="n">
        <v>565</v>
      </c>
      <c r="C567" s="3" t="n">
        <v>11</v>
      </c>
      <c r="D567" s="3" t="n">
        <v>3</v>
      </c>
      <c r="E567" s="3" t="n">
        <v>5</v>
      </c>
      <c r="F567" s="24" t="n">
        <v>1.96311772</v>
      </c>
    </row>
    <row r="568" customFormat="false" ht="15" hidden="false" customHeight="false" outlineLevel="0" collapsed="false">
      <c r="A568" s="3" t="n">
        <v>567</v>
      </c>
      <c r="B568" s="3" t="n">
        <v>566</v>
      </c>
      <c r="C568" s="3" t="n">
        <v>11</v>
      </c>
      <c r="D568" s="3" t="n">
        <v>3</v>
      </c>
      <c r="E568" s="3" t="n">
        <v>6</v>
      </c>
      <c r="F568" s="24" t="n">
        <v>0.161764771</v>
      </c>
    </row>
    <row r="569" customFormat="false" ht="15" hidden="false" customHeight="false" outlineLevel="0" collapsed="false">
      <c r="A569" s="3" t="n">
        <v>568</v>
      </c>
      <c r="B569" s="3" t="n">
        <v>567</v>
      </c>
      <c r="C569" s="3" t="n">
        <v>11</v>
      </c>
      <c r="D569" s="3" t="n">
        <v>4</v>
      </c>
      <c r="E569" s="3" t="n">
        <v>0</v>
      </c>
      <c r="F569" s="24" t="n">
        <v>0.123146236</v>
      </c>
    </row>
    <row r="570" customFormat="false" ht="15" hidden="false" customHeight="false" outlineLevel="0" collapsed="false">
      <c r="A570" s="3" t="n">
        <v>569</v>
      </c>
      <c r="B570" s="3" t="n">
        <v>568</v>
      </c>
      <c r="C570" s="3" t="n">
        <v>11</v>
      </c>
      <c r="D570" s="3" t="n">
        <v>4</v>
      </c>
      <c r="E570" s="3" t="n">
        <v>1</v>
      </c>
      <c r="F570" s="24" t="n">
        <v>0.151524842</v>
      </c>
    </row>
    <row r="571" customFormat="false" ht="15" hidden="false" customHeight="false" outlineLevel="0" collapsed="false">
      <c r="A571" s="3" t="n">
        <v>570</v>
      </c>
      <c r="B571" s="3" t="n">
        <v>569</v>
      </c>
      <c r="C571" s="3" t="n">
        <v>11</v>
      </c>
      <c r="D571" s="3" t="n">
        <v>4</v>
      </c>
      <c r="E571" s="3" t="n">
        <v>2</v>
      </c>
      <c r="F571" s="24" t="n">
        <v>0.157094777</v>
      </c>
    </row>
    <row r="572" customFormat="false" ht="15" hidden="false" customHeight="false" outlineLevel="0" collapsed="false">
      <c r="A572" s="3" t="n">
        <v>571</v>
      </c>
      <c r="B572" s="3" t="n">
        <v>570</v>
      </c>
      <c r="C572" s="3" t="n">
        <v>11</v>
      </c>
      <c r="D572" s="3" t="n">
        <v>4</v>
      </c>
      <c r="E572" s="3" t="n">
        <v>3</v>
      </c>
      <c r="F572" s="24" t="n">
        <v>2.03940058</v>
      </c>
    </row>
    <row r="573" customFormat="false" ht="15" hidden="false" customHeight="false" outlineLevel="0" collapsed="false">
      <c r="A573" s="3" t="n">
        <v>572</v>
      </c>
      <c r="B573" s="3" t="n">
        <v>571</v>
      </c>
      <c r="C573" s="3" t="n">
        <v>11</v>
      </c>
      <c r="D573" s="3" t="n">
        <v>4</v>
      </c>
      <c r="E573" s="3" t="n">
        <v>4</v>
      </c>
      <c r="F573" s="24" t="n">
        <v>1.96462929</v>
      </c>
    </row>
    <row r="574" customFormat="false" ht="15" hidden="false" customHeight="false" outlineLevel="0" collapsed="false">
      <c r="A574" s="3" t="n">
        <v>573</v>
      </c>
      <c r="B574" s="3" t="n">
        <v>572</v>
      </c>
      <c r="C574" s="3" t="n">
        <v>11</v>
      </c>
      <c r="D574" s="3" t="n">
        <v>4</v>
      </c>
      <c r="E574" s="3" t="n">
        <v>5</v>
      </c>
      <c r="F574" s="24" t="n">
        <v>1.14411783</v>
      </c>
    </row>
    <row r="575" customFormat="false" ht="15" hidden="false" customHeight="false" outlineLevel="0" collapsed="false">
      <c r="A575" s="3" t="n">
        <v>574</v>
      </c>
      <c r="B575" s="3" t="n">
        <v>573</v>
      </c>
      <c r="C575" s="3" t="n">
        <v>11</v>
      </c>
      <c r="D575" s="3" t="n">
        <v>4</v>
      </c>
      <c r="E575" s="3" t="n">
        <v>6</v>
      </c>
      <c r="F575" s="24" t="n">
        <v>0.162026316</v>
      </c>
    </row>
    <row r="576" customFormat="false" ht="15" hidden="false" customHeight="false" outlineLevel="0" collapsed="false">
      <c r="A576" s="3" t="n">
        <v>575</v>
      </c>
      <c r="B576" s="3" t="n">
        <v>574</v>
      </c>
      <c r="C576" s="3" t="n">
        <v>11</v>
      </c>
      <c r="D576" s="3" t="n">
        <v>5</v>
      </c>
      <c r="E576" s="3" t="n">
        <v>0</v>
      </c>
      <c r="F576" s="24" t="n">
        <v>0.123146236</v>
      </c>
    </row>
    <row r="577" customFormat="false" ht="15" hidden="false" customHeight="false" outlineLevel="0" collapsed="false">
      <c r="A577" s="3" t="n">
        <v>576</v>
      </c>
      <c r="B577" s="3" t="n">
        <v>575</v>
      </c>
      <c r="C577" s="3" t="n">
        <v>11</v>
      </c>
      <c r="D577" s="3" t="n">
        <v>5</v>
      </c>
      <c r="E577" s="3" t="n">
        <v>1</v>
      </c>
      <c r="F577" s="24" t="n">
        <v>0.183655828</v>
      </c>
    </row>
    <row r="578" customFormat="false" ht="15" hidden="false" customHeight="false" outlineLevel="0" collapsed="false">
      <c r="A578" s="3" t="n">
        <v>577</v>
      </c>
      <c r="B578" s="3" t="n">
        <v>576</v>
      </c>
      <c r="C578" s="3" t="n">
        <v>11</v>
      </c>
      <c r="D578" s="3" t="n">
        <v>5</v>
      </c>
      <c r="E578" s="3" t="n">
        <v>2</v>
      </c>
      <c r="F578" s="24" t="n">
        <v>0</v>
      </c>
    </row>
    <row r="579" customFormat="false" ht="15" hidden="false" customHeight="false" outlineLevel="0" collapsed="false">
      <c r="A579" s="3" t="n">
        <v>578</v>
      </c>
      <c r="B579" s="3" t="n">
        <v>577</v>
      </c>
      <c r="C579" s="3" t="n">
        <v>11</v>
      </c>
      <c r="D579" s="3" t="n">
        <v>5</v>
      </c>
      <c r="E579" s="3" t="n">
        <v>3</v>
      </c>
      <c r="F579" s="24" t="n">
        <v>1.17592061</v>
      </c>
    </row>
    <row r="580" customFormat="false" ht="15" hidden="false" customHeight="false" outlineLevel="0" collapsed="false">
      <c r="A580" s="3" t="n">
        <v>579</v>
      </c>
      <c r="B580" s="3" t="n">
        <v>578</v>
      </c>
      <c r="C580" s="3" t="n">
        <v>11</v>
      </c>
      <c r="D580" s="3" t="n">
        <v>5</v>
      </c>
      <c r="E580" s="3" t="n">
        <v>4</v>
      </c>
      <c r="F580" s="24" t="n">
        <v>1.91787517</v>
      </c>
    </row>
    <row r="581" customFormat="false" ht="15" hidden="false" customHeight="false" outlineLevel="0" collapsed="false">
      <c r="A581" s="3" t="n">
        <v>580</v>
      </c>
      <c r="B581" s="3" t="n">
        <v>579</v>
      </c>
      <c r="C581" s="3" t="n">
        <v>11</v>
      </c>
      <c r="D581" s="3" t="n">
        <v>5</v>
      </c>
      <c r="E581" s="3" t="n">
        <v>5</v>
      </c>
      <c r="F581" s="24" t="n">
        <v>0.151524842</v>
      </c>
    </row>
    <row r="582" customFormat="false" ht="15" hidden="false" customHeight="false" outlineLevel="0" collapsed="false">
      <c r="A582" s="3" t="n">
        <v>581</v>
      </c>
      <c r="B582" s="3" t="n">
        <v>580</v>
      </c>
      <c r="C582" s="3" t="n">
        <v>11</v>
      </c>
      <c r="D582" s="3" t="n">
        <v>5</v>
      </c>
      <c r="E582" s="3" t="n">
        <v>6</v>
      </c>
      <c r="F582" s="24" t="n">
        <v>0.162026316</v>
      </c>
    </row>
    <row r="583" customFormat="false" ht="15" hidden="false" customHeight="false" outlineLevel="0" collapsed="false">
      <c r="A583" s="3" t="n">
        <v>582</v>
      </c>
      <c r="B583" s="3" t="n">
        <v>581</v>
      </c>
      <c r="C583" s="3" t="n">
        <v>11</v>
      </c>
      <c r="D583" s="3" t="n">
        <v>6</v>
      </c>
      <c r="E583" s="3" t="n">
        <v>0</v>
      </c>
      <c r="F583" s="24" t="n">
        <v>0</v>
      </c>
    </row>
    <row r="584" customFormat="false" ht="15" hidden="false" customHeight="false" outlineLevel="0" collapsed="false">
      <c r="A584" s="3" t="n">
        <v>583</v>
      </c>
      <c r="B584" s="3" t="n">
        <v>582</v>
      </c>
      <c r="C584" s="3" t="n">
        <v>11</v>
      </c>
      <c r="D584" s="3" t="n">
        <v>6</v>
      </c>
      <c r="E584" s="3" t="n">
        <v>1</v>
      </c>
      <c r="F584" s="24" t="n">
        <v>0.207174689</v>
      </c>
    </row>
    <row r="585" customFormat="false" ht="15" hidden="false" customHeight="false" outlineLevel="0" collapsed="false">
      <c r="A585" s="3" t="n">
        <v>584</v>
      </c>
      <c r="B585" s="3" t="n">
        <v>583</v>
      </c>
      <c r="C585" s="3" t="n">
        <v>11</v>
      </c>
      <c r="D585" s="3" t="n">
        <v>6</v>
      </c>
      <c r="E585" s="3" t="n">
        <v>2</v>
      </c>
      <c r="F585" s="24" t="n">
        <v>3.72680616</v>
      </c>
    </row>
    <row r="586" customFormat="false" ht="15" hidden="false" customHeight="false" outlineLevel="0" collapsed="false">
      <c r="A586" s="3" t="n">
        <v>585</v>
      </c>
      <c r="B586" s="3" t="n">
        <v>584</v>
      </c>
      <c r="C586" s="3" t="n">
        <v>11</v>
      </c>
      <c r="D586" s="3" t="n">
        <v>6</v>
      </c>
      <c r="E586" s="3" t="n">
        <v>3</v>
      </c>
      <c r="F586" s="24" t="n">
        <v>3.15938616</v>
      </c>
    </row>
    <row r="587" customFormat="false" ht="15" hidden="false" customHeight="false" outlineLevel="0" collapsed="false">
      <c r="A587" s="3" t="n">
        <v>586</v>
      </c>
      <c r="B587" s="3" t="n">
        <v>585</v>
      </c>
      <c r="C587" s="3" t="n">
        <v>11</v>
      </c>
      <c r="D587" s="3" t="n">
        <v>6</v>
      </c>
      <c r="E587" s="3" t="n">
        <v>4</v>
      </c>
      <c r="F587" s="24" t="n">
        <v>0.49886921</v>
      </c>
    </row>
    <row r="588" customFormat="false" ht="15" hidden="false" customHeight="false" outlineLevel="0" collapsed="false">
      <c r="A588" s="3" t="n">
        <v>587</v>
      </c>
      <c r="B588" s="3" t="n">
        <v>586</v>
      </c>
      <c r="C588" s="3" t="n">
        <v>11</v>
      </c>
      <c r="D588" s="3" t="n">
        <v>6</v>
      </c>
      <c r="E588" s="3" t="n">
        <v>5</v>
      </c>
      <c r="F588" s="24" t="n">
        <v>0</v>
      </c>
    </row>
    <row r="589" customFormat="false" ht="15" hidden="false" customHeight="false" outlineLevel="0" collapsed="false">
      <c r="A589" s="3" t="n">
        <v>588</v>
      </c>
      <c r="B589" s="3" t="n">
        <v>587</v>
      </c>
      <c r="C589" s="3" t="n">
        <v>11</v>
      </c>
      <c r="D589" s="3" t="n">
        <v>6</v>
      </c>
      <c r="E589" s="3" t="n">
        <v>6</v>
      </c>
      <c r="F589" s="24" t="n">
        <v>0</v>
      </c>
    </row>
    <row r="590" customFormat="false" ht="15" hidden="false" customHeight="false" outlineLevel="0" collapsed="false">
      <c r="A590" s="3" t="n">
        <v>589</v>
      </c>
      <c r="B590" s="3" t="n">
        <v>588</v>
      </c>
      <c r="C590" s="3" t="n">
        <v>12</v>
      </c>
      <c r="D590" s="3" t="n">
        <v>0</v>
      </c>
      <c r="E590" s="3" t="n">
        <v>0</v>
      </c>
      <c r="F590" s="24" t="n">
        <v>0.0291634053</v>
      </c>
    </row>
    <row r="591" customFormat="false" ht="15" hidden="false" customHeight="false" outlineLevel="0" collapsed="false">
      <c r="A591" s="3" t="n">
        <v>590</v>
      </c>
      <c r="B591" s="3" t="n">
        <v>589</v>
      </c>
      <c r="C591" s="3" t="n">
        <v>12</v>
      </c>
      <c r="D591" s="3" t="n">
        <v>0</v>
      </c>
      <c r="E591" s="3" t="n">
        <v>1</v>
      </c>
      <c r="F591" s="24" t="n">
        <v>0</v>
      </c>
    </row>
    <row r="592" customFormat="false" ht="15" hidden="false" customHeight="false" outlineLevel="0" collapsed="false">
      <c r="A592" s="3" t="n">
        <v>591</v>
      </c>
      <c r="B592" s="3" t="n">
        <v>590</v>
      </c>
      <c r="C592" s="3" t="n">
        <v>12</v>
      </c>
      <c r="D592" s="3" t="n">
        <v>0</v>
      </c>
      <c r="E592" s="3" t="n">
        <v>2</v>
      </c>
      <c r="F592" s="24" t="n">
        <v>0</v>
      </c>
    </row>
    <row r="593" customFormat="false" ht="15" hidden="false" customHeight="false" outlineLevel="0" collapsed="false">
      <c r="A593" s="3" t="n">
        <v>592</v>
      </c>
      <c r="B593" s="3" t="n">
        <v>591</v>
      </c>
      <c r="C593" s="3" t="n">
        <v>12</v>
      </c>
      <c r="D593" s="3" t="n">
        <v>0</v>
      </c>
      <c r="E593" s="3" t="n">
        <v>3</v>
      </c>
      <c r="F593" s="24" t="n">
        <v>0</v>
      </c>
    </row>
    <row r="594" customFormat="false" ht="15" hidden="false" customHeight="false" outlineLevel="0" collapsed="false">
      <c r="A594" s="3" t="n">
        <v>593</v>
      </c>
      <c r="B594" s="3" t="n">
        <v>592</v>
      </c>
      <c r="C594" s="3" t="n">
        <v>12</v>
      </c>
      <c r="D594" s="3" t="n">
        <v>0</v>
      </c>
      <c r="E594" s="3" t="n">
        <v>4</v>
      </c>
      <c r="F594" s="24" t="n">
        <v>0</v>
      </c>
    </row>
    <row r="595" customFormat="false" ht="15" hidden="false" customHeight="false" outlineLevel="0" collapsed="false">
      <c r="A595" s="3" t="n">
        <v>594</v>
      </c>
      <c r="B595" s="3" t="n">
        <v>593</v>
      </c>
      <c r="C595" s="3" t="n">
        <v>12</v>
      </c>
      <c r="D595" s="3" t="n">
        <v>0</v>
      </c>
      <c r="E595" s="3" t="n">
        <v>5</v>
      </c>
      <c r="F595" s="24" t="n">
        <v>0</v>
      </c>
    </row>
    <row r="596" customFormat="false" ht="15" hidden="false" customHeight="false" outlineLevel="0" collapsed="false">
      <c r="A596" s="3" t="n">
        <v>595</v>
      </c>
      <c r="B596" s="3" t="n">
        <v>594</v>
      </c>
      <c r="C596" s="3" t="n">
        <v>12</v>
      </c>
      <c r="D596" s="3" t="n">
        <v>0</v>
      </c>
      <c r="E596" s="3" t="n">
        <v>6</v>
      </c>
      <c r="F596" s="24" t="n">
        <v>0.083162725</v>
      </c>
    </row>
    <row r="597" customFormat="false" ht="15" hidden="false" customHeight="false" outlineLevel="0" collapsed="false">
      <c r="A597" s="3" t="n">
        <v>596</v>
      </c>
      <c r="B597" s="3" t="n">
        <v>595</v>
      </c>
      <c r="C597" s="3" t="n">
        <v>12</v>
      </c>
      <c r="D597" s="3" t="n">
        <v>1</v>
      </c>
      <c r="E597" s="3" t="n">
        <v>0</v>
      </c>
      <c r="F597" s="24" t="n">
        <v>2.00716853</v>
      </c>
    </row>
    <row r="598" customFormat="false" ht="15" hidden="false" customHeight="false" outlineLevel="0" collapsed="false">
      <c r="A598" s="3" t="n">
        <v>597</v>
      </c>
      <c r="B598" s="3" t="n">
        <v>596</v>
      </c>
      <c r="C598" s="3" t="n">
        <v>12</v>
      </c>
      <c r="D598" s="3" t="n">
        <v>1</v>
      </c>
      <c r="E598" s="3" t="n">
        <v>1</v>
      </c>
      <c r="F598" s="24" t="n">
        <v>5.39949942</v>
      </c>
    </row>
    <row r="599" customFormat="false" ht="15" hidden="false" customHeight="false" outlineLevel="0" collapsed="false">
      <c r="A599" s="3" t="n">
        <v>598</v>
      </c>
      <c r="B599" s="3" t="n">
        <v>597</v>
      </c>
      <c r="C599" s="3" t="n">
        <v>12</v>
      </c>
      <c r="D599" s="3" t="n">
        <v>1</v>
      </c>
      <c r="E599" s="3" t="n">
        <v>2</v>
      </c>
      <c r="F599" s="24" t="n">
        <v>1.93031704</v>
      </c>
    </row>
    <row r="600" customFormat="false" ht="15" hidden="false" customHeight="false" outlineLevel="0" collapsed="false">
      <c r="A600" s="3" t="n">
        <v>599</v>
      </c>
      <c r="B600" s="3" t="n">
        <v>598</v>
      </c>
      <c r="C600" s="3" t="n">
        <v>12</v>
      </c>
      <c r="D600" s="3" t="n">
        <v>1</v>
      </c>
      <c r="E600" s="3" t="n">
        <v>3</v>
      </c>
      <c r="F600" s="24" t="n">
        <v>1.83521104</v>
      </c>
    </row>
    <row r="601" customFormat="false" ht="15" hidden="false" customHeight="false" outlineLevel="0" collapsed="false">
      <c r="A601" s="3" t="n">
        <v>600</v>
      </c>
      <c r="B601" s="3" t="n">
        <v>599</v>
      </c>
      <c r="C601" s="3" t="n">
        <v>12</v>
      </c>
      <c r="D601" s="3" t="n">
        <v>1</v>
      </c>
      <c r="E601" s="3" t="n">
        <v>4</v>
      </c>
      <c r="F601" s="24" t="n">
        <v>1.91483951</v>
      </c>
    </row>
    <row r="602" customFormat="false" ht="15" hidden="false" customHeight="false" outlineLevel="0" collapsed="false">
      <c r="A602" s="3" t="n">
        <v>601</v>
      </c>
      <c r="B602" s="3" t="n">
        <v>600</v>
      </c>
      <c r="C602" s="3" t="n">
        <v>12</v>
      </c>
      <c r="D602" s="3" t="n">
        <v>1</v>
      </c>
      <c r="E602" s="3" t="n">
        <v>5</v>
      </c>
      <c r="F602" s="24" t="n">
        <v>0.577134967</v>
      </c>
    </row>
    <row r="603" customFormat="false" ht="15" hidden="false" customHeight="false" outlineLevel="0" collapsed="false">
      <c r="A603" s="3" t="n">
        <v>602</v>
      </c>
      <c r="B603" s="3" t="n">
        <v>601</v>
      </c>
      <c r="C603" s="3" t="n">
        <v>12</v>
      </c>
      <c r="D603" s="3" t="n">
        <v>1</v>
      </c>
      <c r="E603" s="3" t="n">
        <v>6</v>
      </c>
      <c r="F603" s="24" t="n">
        <v>0.388623416</v>
      </c>
    </row>
    <row r="604" customFormat="false" ht="15" hidden="false" customHeight="false" outlineLevel="0" collapsed="false">
      <c r="A604" s="3" t="n">
        <v>603</v>
      </c>
      <c r="B604" s="3" t="n">
        <v>602</v>
      </c>
      <c r="C604" s="3" t="n">
        <v>12</v>
      </c>
      <c r="D604" s="3" t="n">
        <v>2</v>
      </c>
      <c r="E604" s="3" t="n">
        <v>0</v>
      </c>
      <c r="F604" s="24" t="n">
        <v>1.10571122</v>
      </c>
    </row>
    <row r="605" customFormat="false" ht="15" hidden="false" customHeight="false" outlineLevel="0" collapsed="false">
      <c r="A605" s="3" t="n">
        <v>604</v>
      </c>
      <c r="B605" s="3" t="n">
        <v>603</v>
      </c>
      <c r="C605" s="3" t="n">
        <v>12</v>
      </c>
      <c r="D605" s="3" t="n">
        <v>2</v>
      </c>
      <c r="E605" s="3" t="n">
        <v>1</v>
      </c>
      <c r="F605" s="24" t="n">
        <v>0</v>
      </c>
    </row>
    <row r="606" customFormat="false" ht="15" hidden="false" customHeight="false" outlineLevel="0" collapsed="false">
      <c r="A606" s="3" t="n">
        <v>605</v>
      </c>
      <c r="B606" s="3" t="n">
        <v>604</v>
      </c>
      <c r="C606" s="3" t="n">
        <v>12</v>
      </c>
      <c r="D606" s="3" t="n">
        <v>2</v>
      </c>
      <c r="E606" s="3" t="n">
        <v>2</v>
      </c>
      <c r="F606" s="24" t="n">
        <v>0</v>
      </c>
    </row>
    <row r="607" customFormat="false" ht="15" hidden="false" customHeight="false" outlineLevel="0" collapsed="false">
      <c r="A607" s="3" t="n">
        <v>606</v>
      </c>
      <c r="B607" s="3" t="n">
        <v>605</v>
      </c>
      <c r="C607" s="3" t="n">
        <v>12</v>
      </c>
      <c r="D607" s="3" t="n">
        <v>2</v>
      </c>
      <c r="E607" s="3" t="n">
        <v>3</v>
      </c>
      <c r="F607" s="24" t="n">
        <v>0</v>
      </c>
    </row>
    <row r="608" customFormat="false" ht="15" hidden="false" customHeight="false" outlineLevel="0" collapsed="false">
      <c r="A608" s="3" t="n">
        <v>607</v>
      </c>
      <c r="B608" s="3" t="n">
        <v>606</v>
      </c>
      <c r="C608" s="3" t="n">
        <v>12</v>
      </c>
      <c r="D608" s="3" t="n">
        <v>2</v>
      </c>
      <c r="E608" s="3" t="n">
        <v>4</v>
      </c>
      <c r="F608" s="24" t="n">
        <v>1.56782246</v>
      </c>
    </row>
    <row r="609" customFormat="false" ht="15" hidden="false" customHeight="false" outlineLevel="0" collapsed="false">
      <c r="A609" s="3" t="n">
        <v>608</v>
      </c>
      <c r="B609" s="3" t="n">
        <v>607</v>
      </c>
      <c r="C609" s="3" t="n">
        <v>12</v>
      </c>
      <c r="D609" s="3" t="n">
        <v>2</v>
      </c>
      <c r="E609" s="3" t="n">
        <v>5</v>
      </c>
      <c r="F609" s="24" t="n">
        <v>0.863385081</v>
      </c>
    </row>
    <row r="610" customFormat="false" ht="15" hidden="false" customHeight="false" outlineLevel="0" collapsed="false">
      <c r="A610" s="3" t="n">
        <v>609</v>
      </c>
      <c r="B610" s="3" t="n">
        <v>608</v>
      </c>
      <c r="C610" s="3" t="n">
        <v>12</v>
      </c>
      <c r="D610" s="3" t="n">
        <v>2</v>
      </c>
      <c r="E610" s="3" t="n">
        <v>6</v>
      </c>
      <c r="F610" s="24" t="n">
        <v>0.91236341</v>
      </c>
    </row>
    <row r="611" customFormat="false" ht="15" hidden="false" customHeight="false" outlineLevel="0" collapsed="false">
      <c r="A611" s="3" t="n">
        <v>610</v>
      </c>
      <c r="B611" s="3" t="n">
        <v>609</v>
      </c>
      <c r="C611" s="3" t="n">
        <v>12</v>
      </c>
      <c r="D611" s="3" t="n">
        <v>3</v>
      </c>
      <c r="E611" s="3" t="n">
        <v>0</v>
      </c>
      <c r="F611" s="24" t="n">
        <v>0.219906747</v>
      </c>
    </row>
    <row r="612" customFormat="false" ht="15" hidden="false" customHeight="false" outlineLevel="0" collapsed="false">
      <c r="A612" s="3" t="n">
        <v>611</v>
      </c>
      <c r="B612" s="3" t="n">
        <v>610</v>
      </c>
      <c r="C612" s="3" t="n">
        <v>12</v>
      </c>
      <c r="D612" s="3" t="n">
        <v>3</v>
      </c>
      <c r="E612" s="3" t="n">
        <v>1</v>
      </c>
      <c r="F612" s="24" t="n">
        <v>0.0404642448</v>
      </c>
    </row>
    <row r="613" customFormat="false" ht="15" hidden="false" customHeight="false" outlineLevel="0" collapsed="false">
      <c r="A613" s="3" t="n">
        <v>612</v>
      </c>
      <c r="B613" s="3" t="n">
        <v>611</v>
      </c>
      <c r="C613" s="3" t="n">
        <v>12</v>
      </c>
      <c r="D613" s="3" t="n">
        <v>3</v>
      </c>
      <c r="E613" s="3" t="n">
        <v>2</v>
      </c>
      <c r="F613" s="24" t="n">
        <v>0.170722976</v>
      </c>
    </row>
    <row r="614" customFormat="false" ht="15" hidden="false" customHeight="false" outlineLevel="0" collapsed="false">
      <c r="A614" s="3" t="n">
        <v>613</v>
      </c>
      <c r="B614" s="3" t="n">
        <v>612</v>
      </c>
      <c r="C614" s="3" t="n">
        <v>12</v>
      </c>
      <c r="D614" s="3" t="n">
        <v>3</v>
      </c>
      <c r="E614" s="3" t="n">
        <v>3</v>
      </c>
      <c r="F614" s="24" t="n">
        <v>6.83154011</v>
      </c>
    </row>
    <row r="615" customFormat="false" ht="15" hidden="false" customHeight="false" outlineLevel="0" collapsed="false">
      <c r="A615" s="3" t="n">
        <v>614</v>
      </c>
      <c r="B615" s="3" t="n">
        <v>613</v>
      </c>
      <c r="C615" s="3" t="n">
        <v>12</v>
      </c>
      <c r="D615" s="3" t="n">
        <v>3</v>
      </c>
      <c r="E615" s="3" t="n">
        <v>4</v>
      </c>
      <c r="F615" s="24" t="n">
        <v>0</v>
      </c>
    </row>
    <row r="616" customFormat="false" ht="15" hidden="false" customHeight="false" outlineLevel="0" collapsed="false">
      <c r="A616" s="3" t="n">
        <v>615</v>
      </c>
      <c r="B616" s="3" t="n">
        <v>614</v>
      </c>
      <c r="C616" s="3" t="n">
        <v>12</v>
      </c>
      <c r="D616" s="3" t="n">
        <v>3</v>
      </c>
      <c r="E616" s="3" t="n">
        <v>5</v>
      </c>
      <c r="F616" s="24" t="n">
        <v>1.23063123</v>
      </c>
    </row>
    <row r="617" customFormat="false" ht="15" hidden="false" customHeight="false" outlineLevel="0" collapsed="false">
      <c r="A617" s="3" t="n">
        <v>616</v>
      </c>
      <c r="B617" s="3" t="n">
        <v>615</v>
      </c>
      <c r="C617" s="3" t="n">
        <v>12</v>
      </c>
      <c r="D617" s="3" t="n">
        <v>3</v>
      </c>
      <c r="E617" s="3" t="n">
        <v>6</v>
      </c>
      <c r="F617" s="24" t="n">
        <v>0.707277656</v>
      </c>
    </row>
    <row r="618" customFormat="false" ht="15" hidden="false" customHeight="false" outlineLevel="0" collapsed="false">
      <c r="A618" s="3" t="n">
        <v>617</v>
      </c>
      <c r="B618" s="3" t="n">
        <v>616</v>
      </c>
      <c r="C618" s="3" t="n">
        <v>12</v>
      </c>
      <c r="D618" s="3" t="n">
        <v>4</v>
      </c>
      <c r="E618" s="3" t="n">
        <v>0</v>
      </c>
      <c r="F618" s="24" t="n">
        <v>0.179122329</v>
      </c>
    </row>
    <row r="619" customFormat="false" ht="15" hidden="false" customHeight="false" outlineLevel="0" collapsed="false">
      <c r="A619" s="3" t="n">
        <v>618</v>
      </c>
      <c r="B619" s="3" t="n">
        <v>617</v>
      </c>
      <c r="C619" s="3" t="n">
        <v>12</v>
      </c>
      <c r="D619" s="3" t="n">
        <v>4</v>
      </c>
      <c r="E619" s="3" t="n">
        <v>1</v>
      </c>
      <c r="F619" s="24" t="n">
        <v>0.00439970195</v>
      </c>
    </row>
    <row r="620" customFormat="false" ht="15" hidden="false" customHeight="false" outlineLevel="0" collapsed="false">
      <c r="A620" s="3" t="n">
        <v>619</v>
      </c>
      <c r="B620" s="3" t="n">
        <v>618</v>
      </c>
      <c r="C620" s="3" t="n">
        <v>12</v>
      </c>
      <c r="D620" s="3" t="n">
        <v>4</v>
      </c>
      <c r="E620" s="3" t="n">
        <v>2</v>
      </c>
      <c r="F620" s="24" t="n">
        <v>6.6233983</v>
      </c>
    </row>
    <row r="621" customFormat="false" ht="15" hidden="false" customHeight="false" outlineLevel="0" collapsed="false">
      <c r="A621" s="3" t="n">
        <v>620</v>
      </c>
      <c r="B621" s="3" t="n">
        <v>619</v>
      </c>
      <c r="C621" s="3" t="n">
        <v>12</v>
      </c>
      <c r="D621" s="3" t="n">
        <v>4</v>
      </c>
      <c r="E621" s="3" t="n">
        <v>3</v>
      </c>
      <c r="F621" s="24" t="n">
        <v>7.80004072</v>
      </c>
    </row>
    <row r="622" customFormat="false" ht="15" hidden="false" customHeight="false" outlineLevel="0" collapsed="false">
      <c r="A622" s="3" t="n">
        <v>621</v>
      </c>
      <c r="B622" s="3" t="n">
        <v>620</v>
      </c>
      <c r="C622" s="3" t="n">
        <v>12</v>
      </c>
      <c r="D622" s="3" t="n">
        <v>4</v>
      </c>
      <c r="E622" s="3" t="n">
        <v>4</v>
      </c>
      <c r="F622" s="24" t="n">
        <v>0</v>
      </c>
    </row>
    <row r="623" customFormat="false" ht="15" hidden="false" customHeight="false" outlineLevel="0" collapsed="false">
      <c r="A623" s="3" t="n">
        <v>622</v>
      </c>
      <c r="B623" s="3" t="n">
        <v>621</v>
      </c>
      <c r="C623" s="3" t="n">
        <v>12</v>
      </c>
      <c r="D623" s="3" t="n">
        <v>4</v>
      </c>
      <c r="E623" s="3" t="n">
        <v>5</v>
      </c>
      <c r="F623" s="24" t="n">
        <v>1.07448411</v>
      </c>
    </row>
    <row r="624" customFormat="false" ht="15" hidden="false" customHeight="false" outlineLevel="0" collapsed="false">
      <c r="A624" s="3" t="n">
        <v>623</v>
      </c>
      <c r="B624" s="3" t="n">
        <v>622</v>
      </c>
      <c r="C624" s="3" t="n">
        <v>12</v>
      </c>
      <c r="D624" s="3" t="n">
        <v>4</v>
      </c>
      <c r="E624" s="3" t="n">
        <v>6</v>
      </c>
      <c r="F624" s="24" t="n">
        <v>0.286149859</v>
      </c>
    </row>
    <row r="625" customFormat="false" ht="15" hidden="false" customHeight="false" outlineLevel="0" collapsed="false">
      <c r="A625" s="3" t="n">
        <v>624</v>
      </c>
      <c r="B625" s="3" t="n">
        <v>623</v>
      </c>
      <c r="C625" s="3" t="n">
        <v>12</v>
      </c>
      <c r="D625" s="3" t="n">
        <v>5</v>
      </c>
      <c r="E625" s="3" t="n">
        <v>0</v>
      </c>
      <c r="F625" s="24" t="n">
        <v>0.179122329</v>
      </c>
    </row>
    <row r="626" customFormat="false" ht="15" hidden="false" customHeight="false" outlineLevel="0" collapsed="false">
      <c r="A626" s="3" t="n">
        <v>625</v>
      </c>
      <c r="B626" s="3" t="n">
        <v>624</v>
      </c>
      <c r="C626" s="3" t="n">
        <v>12</v>
      </c>
      <c r="D626" s="3" t="n">
        <v>5</v>
      </c>
      <c r="E626" s="3" t="n">
        <v>1</v>
      </c>
      <c r="F626" s="24" t="n">
        <v>0.767283559</v>
      </c>
    </row>
    <row r="627" customFormat="false" ht="15" hidden="false" customHeight="false" outlineLevel="0" collapsed="false">
      <c r="A627" s="3" t="n">
        <v>626</v>
      </c>
      <c r="B627" s="3" t="n">
        <v>625</v>
      </c>
      <c r="C627" s="3" t="n">
        <v>12</v>
      </c>
      <c r="D627" s="3" t="n">
        <v>5</v>
      </c>
      <c r="E627" s="3" t="n">
        <v>2</v>
      </c>
      <c r="F627" s="24" t="n">
        <v>7.78639936</v>
      </c>
    </row>
    <row r="628" customFormat="false" ht="15" hidden="false" customHeight="false" outlineLevel="0" collapsed="false">
      <c r="A628" s="3" t="n">
        <v>627</v>
      </c>
      <c r="B628" s="3" t="n">
        <v>626</v>
      </c>
      <c r="C628" s="3" t="n">
        <v>12</v>
      </c>
      <c r="D628" s="3" t="n">
        <v>5</v>
      </c>
      <c r="E628" s="3" t="n">
        <v>3</v>
      </c>
      <c r="F628" s="24" t="n">
        <v>0</v>
      </c>
    </row>
    <row r="629" customFormat="false" ht="15" hidden="false" customHeight="false" outlineLevel="0" collapsed="false">
      <c r="A629" s="3" t="n">
        <v>628</v>
      </c>
      <c r="B629" s="3" t="n">
        <v>627</v>
      </c>
      <c r="C629" s="3" t="n">
        <v>12</v>
      </c>
      <c r="D629" s="3" t="n">
        <v>5</v>
      </c>
      <c r="E629" s="3" t="n">
        <v>4</v>
      </c>
      <c r="F629" s="24" t="n">
        <v>0.904209375</v>
      </c>
    </row>
    <row r="630" customFormat="false" ht="15" hidden="false" customHeight="false" outlineLevel="0" collapsed="false">
      <c r="A630" s="3" t="n">
        <v>629</v>
      </c>
      <c r="B630" s="3" t="n">
        <v>628</v>
      </c>
      <c r="C630" s="3" t="n">
        <v>12</v>
      </c>
      <c r="D630" s="3" t="n">
        <v>5</v>
      </c>
      <c r="E630" s="3" t="n">
        <v>5</v>
      </c>
      <c r="F630" s="24" t="n">
        <v>0.326324612</v>
      </c>
    </row>
    <row r="631" customFormat="false" ht="15" hidden="false" customHeight="false" outlineLevel="0" collapsed="false">
      <c r="A631" s="3" t="n">
        <v>630</v>
      </c>
      <c r="B631" s="3" t="n">
        <v>629</v>
      </c>
      <c r="C631" s="3" t="n">
        <v>12</v>
      </c>
      <c r="D631" s="3" t="n">
        <v>5</v>
      </c>
      <c r="E631" s="3" t="n">
        <v>6</v>
      </c>
      <c r="F631" s="24" t="n">
        <v>0.286149859</v>
      </c>
    </row>
    <row r="632" customFormat="false" ht="15" hidden="false" customHeight="false" outlineLevel="0" collapsed="false">
      <c r="A632" s="3" t="n">
        <v>631</v>
      </c>
      <c r="B632" s="3" t="n">
        <v>630</v>
      </c>
      <c r="C632" s="3" t="n">
        <v>12</v>
      </c>
      <c r="D632" s="3" t="n">
        <v>6</v>
      </c>
      <c r="E632" s="3" t="n">
        <v>0</v>
      </c>
      <c r="F632" s="24" t="n">
        <v>0.374906123</v>
      </c>
    </row>
    <row r="633" customFormat="false" ht="15" hidden="false" customHeight="false" outlineLevel="0" collapsed="false">
      <c r="A633" s="3" t="n">
        <v>632</v>
      </c>
      <c r="B633" s="3" t="n">
        <v>631</v>
      </c>
      <c r="C633" s="3" t="n">
        <v>12</v>
      </c>
      <c r="D633" s="3" t="n">
        <v>6</v>
      </c>
      <c r="E633" s="3" t="n">
        <v>1</v>
      </c>
      <c r="F633" s="24" t="n">
        <v>1.49570286</v>
      </c>
    </row>
    <row r="634" customFormat="false" ht="15" hidden="false" customHeight="false" outlineLevel="0" collapsed="false">
      <c r="A634" s="3" t="n">
        <v>633</v>
      </c>
      <c r="B634" s="3" t="n">
        <v>632</v>
      </c>
      <c r="C634" s="3" t="n">
        <v>12</v>
      </c>
      <c r="D634" s="3" t="n">
        <v>6</v>
      </c>
      <c r="E634" s="3" t="n">
        <v>2</v>
      </c>
      <c r="F634" s="24" t="n">
        <v>5.17858267</v>
      </c>
    </row>
    <row r="635" customFormat="false" ht="15" hidden="false" customHeight="false" outlineLevel="0" collapsed="false">
      <c r="A635" s="3" t="n">
        <v>634</v>
      </c>
      <c r="B635" s="3" t="n">
        <v>633</v>
      </c>
      <c r="C635" s="3" t="n">
        <v>12</v>
      </c>
      <c r="D635" s="3" t="n">
        <v>6</v>
      </c>
      <c r="E635" s="3" t="n">
        <v>3</v>
      </c>
      <c r="F635" s="24" t="n">
        <v>0</v>
      </c>
    </row>
    <row r="636" customFormat="false" ht="15" hidden="false" customHeight="false" outlineLevel="0" collapsed="false">
      <c r="A636" s="3" t="n">
        <v>635</v>
      </c>
      <c r="B636" s="3" t="n">
        <v>634</v>
      </c>
      <c r="C636" s="3" t="n">
        <v>12</v>
      </c>
      <c r="D636" s="3" t="n">
        <v>6</v>
      </c>
      <c r="E636" s="3" t="n">
        <v>4</v>
      </c>
      <c r="F636" s="24" t="n">
        <v>1.37741983</v>
      </c>
    </row>
    <row r="637" customFormat="false" ht="15" hidden="false" customHeight="false" outlineLevel="0" collapsed="false">
      <c r="A637" s="3" t="n">
        <v>636</v>
      </c>
      <c r="B637" s="3" t="n">
        <v>635</v>
      </c>
      <c r="C637" s="3" t="n">
        <v>12</v>
      </c>
      <c r="D637" s="3" t="n">
        <v>6</v>
      </c>
      <c r="E637" s="3" t="n">
        <v>5</v>
      </c>
      <c r="F637" s="24" t="n">
        <v>0.207115248</v>
      </c>
    </row>
    <row r="638" customFormat="false" ht="15" hidden="false" customHeight="false" outlineLevel="0" collapsed="false">
      <c r="A638" s="3" t="n">
        <v>637</v>
      </c>
      <c r="B638" s="3" t="n">
        <v>636</v>
      </c>
      <c r="C638" s="3" t="n">
        <v>12</v>
      </c>
      <c r="D638" s="3" t="n">
        <v>6</v>
      </c>
      <c r="E638" s="3" t="n">
        <v>6</v>
      </c>
      <c r="F638" s="24" t="n">
        <v>0.488865376</v>
      </c>
    </row>
    <row r="639" customFormat="false" ht="15" hidden="false" customHeight="false" outlineLevel="0" collapsed="false">
      <c r="A639" s="3" t="n">
        <v>638</v>
      </c>
      <c r="B639" s="3" t="n">
        <v>637</v>
      </c>
      <c r="C639" s="3" t="n">
        <v>13</v>
      </c>
      <c r="D639" s="3" t="n">
        <v>0</v>
      </c>
      <c r="E639" s="3" t="n">
        <v>0</v>
      </c>
      <c r="F639" s="24" t="n">
        <v>0.572720945</v>
      </c>
    </row>
    <row r="640" customFormat="false" ht="15" hidden="false" customHeight="false" outlineLevel="0" collapsed="false">
      <c r="A640" s="3" t="n">
        <v>639</v>
      </c>
      <c r="B640" s="3" t="n">
        <v>638</v>
      </c>
      <c r="C640" s="3" t="n">
        <v>13</v>
      </c>
      <c r="D640" s="3" t="n">
        <v>0</v>
      </c>
      <c r="E640" s="3" t="n">
        <v>1</v>
      </c>
      <c r="F640" s="24" t="n">
        <v>0.542648315</v>
      </c>
    </row>
    <row r="641" customFormat="false" ht="15" hidden="false" customHeight="false" outlineLevel="0" collapsed="false">
      <c r="A641" s="3" t="n">
        <v>640</v>
      </c>
      <c r="B641" s="3" t="n">
        <v>639</v>
      </c>
      <c r="C641" s="3" t="n">
        <v>13</v>
      </c>
      <c r="D641" s="3" t="n">
        <v>0</v>
      </c>
      <c r="E641" s="3" t="n">
        <v>2</v>
      </c>
      <c r="F641" s="24" t="n">
        <v>0.542648315</v>
      </c>
    </row>
    <row r="642" customFormat="false" ht="15" hidden="false" customHeight="false" outlineLevel="0" collapsed="false">
      <c r="A642" s="3" t="n">
        <v>641</v>
      </c>
      <c r="B642" s="3" t="n">
        <v>640</v>
      </c>
      <c r="C642" s="3" t="n">
        <v>13</v>
      </c>
      <c r="D642" s="3" t="n">
        <v>0</v>
      </c>
      <c r="E642" s="3" t="n">
        <v>3</v>
      </c>
      <c r="F642" s="24" t="n">
        <v>0.542648315</v>
      </c>
    </row>
    <row r="643" customFormat="false" ht="15" hidden="false" customHeight="false" outlineLevel="0" collapsed="false">
      <c r="A643" s="3" t="n">
        <v>642</v>
      </c>
      <c r="B643" s="3" t="n">
        <v>641</v>
      </c>
      <c r="C643" s="3" t="n">
        <v>13</v>
      </c>
      <c r="D643" s="3" t="n">
        <v>0</v>
      </c>
      <c r="E643" s="3" t="n">
        <v>4</v>
      </c>
      <c r="F643" s="24" t="n">
        <v>0.542648315</v>
      </c>
    </row>
    <row r="644" customFormat="false" ht="15" hidden="false" customHeight="false" outlineLevel="0" collapsed="false">
      <c r="A644" s="3" t="n">
        <v>643</v>
      </c>
      <c r="B644" s="3" t="n">
        <v>642</v>
      </c>
      <c r="C644" s="3" t="n">
        <v>13</v>
      </c>
      <c r="D644" s="3" t="n">
        <v>0</v>
      </c>
      <c r="E644" s="3" t="n">
        <v>5</v>
      </c>
      <c r="F644" s="24" t="n">
        <v>0.542648315</v>
      </c>
    </row>
    <row r="645" customFormat="false" ht="15" hidden="false" customHeight="false" outlineLevel="0" collapsed="false">
      <c r="A645" s="3" t="n">
        <v>644</v>
      </c>
      <c r="B645" s="3" t="n">
        <v>643</v>
      </c>
      <c r="C645" s="3" t="n">
        <v>13</v>
      </c>
      <c r="D645" s="3" t="n">
        <v>0</v>
      </c>
      <c r="E645" s="3" t="n">
        <v>6</v>
      </c>
      <c r="F645" s="24" t="n">
        <v>0.795495749</v>
      </c>
    </row>
    <row r="646" customFormat="false" ht="15" hidden="false" customHeight="false" outlineLevel="0" collapsed="false">
      <c r="A646" s="3" t="n">
        <v>645</v>
      </c>
      <c r="B646" s="3" t="n">
        <v>644</v>
      </c>
      <c r="C646" s="3" t="n">
        <v>13</v>
      </c>
      <c r="D646" s="3" t="n">
        <v>1</v>
      </c>
      <c r="E646" s="3" t="n">
        <v>0</v>
      </c>
      <c r="F646" s="24" t="n">
        <v>0.969135284</v>
      </c>
    </row>
    <row r="647" customFormat="false" ht="15" hidden="false" customHeight="false" outlineLevel="0" collapsed="false">
      <c r="A647" s="3" t="n">
        <v>646</v>
      </c>
      <c r="B647" s="3" t="n">
        <v>645</v>
      </c>
      <c r="C647" s="3" t="n">
        <v>13</v>
      </c>
      <c r="D647" s="3" t="n">
        <v>1</v>
      </c>
      <c r="E647" s="3" t="n">
        <v>1</v>
      </c>
      <c r="F647" s="24" t="n">
        <v>2.53533292</v>
      </c>
    </row>
    <row r="648" customFormat="false" ht="15" hidden="false" customHeight="false" outlineLevel="0" collapsed="false">
      <c r="A648" s="3" t="n">
        <v>647</v>
      </c>
      <c r="B648" s="3" t="n">
        <v>646</v>
      </c>
      <c r="C648" s="3" t="n">
        <v>13</v>
      </c>
      <c r="D648" s="3" t="n">
        <v>1</v>
      </c>
      <c r="E648" s="3" t="n">
        <v>2</v>
      </c>
      <c r="F648" s="24" t="n">
        <v>0</v>
      </c>
    </row>
    <row r="649" customFormat="false" ht="15" hidden="false" customHeight="false" outlineLevel="0" collapsed="false">
      <c r="A649" s="3" t="n">
        <v>648</v>
      </c>
      <c r="B649" s="3" t="n">
        <v>647</v>
      </c>
      <c r="C649" s="3" t="n">
        <v>13</v>
      </c>
      <c r="D649" s="3" t="n">
        <v>1</v>
      </c>
      <c r="E649" s="3" t="n">
        <v>3</v>
      </c>
      <c r="F649" s="24" t="n">
        <v>0</v>
      </c>
    </row>
    <row r="650" customFormat="false" ht="15" hidden="false" customHeight="false" outlineLevel="0" collapsed="false">
      <c r="A650" s="3" t="n">
        <v>649</v>
      </c>
      <c r="B650" s="3" t="n">
        <v>648</v>
      </c>
      <c r="C650" s="3" t="n">
        <v>13</v>
      </c>
      <c r="D650" s="3" t="n">
        <v>1</v>
      </c>
      <c r="E650" s="3" t="n">
        <v>4</v>
      </c>
      <c r="F650" s="24" t="n">
        <v>0</v>
      </c>
    </row>
    <row r="651" customFormat="false" ht="15" hidden="false" customHeight="false" outlineLevel="0" collapsed="false">
      <c r="A651" s="3" t="n">
        <v>650</v>
      </c>
      <c r="B651" s="3" t="n">
        <v>649</v>
      </c>
      <c r="C651" s="3" t="n">
        <v>13</v>
      </c>
      <c r="D651" s="3" t="n">
        <v>1</v>
      </c>
      <c r="E651" s="3" t="n">
        <v>5</v>
      </c>
      <c r="F651" s="24" t="n">
        <v>0</v>
      </c>
    </row>
    <row r="652" customFormat="false" ht="15" hidden="false" customHeight="false" outlineLevel="0" collapsed="false">
      <c r="A652" s="3" t="n">
        <v>651</v>
      </c>
      <c r="B652" s="3" t="n">
        <v>650</v>
      </c>
      <c r="C652" s="3" t="n">
        <v>13</v>
      </c>
      <c r="D652" s="3" t="n">
        <v>1</v>
      </c>
      <c r="E652" s="3" t="n">
        <v>6</v>
      </c>
      <c r="F652" s="24" t="n">
        <v>0.709126413</v>
      </c>
    </row>
    <row r="653" customFormat="false" ht="15" hidden="false" customHeight="false" outlineLevel="0" collapsed="false">
      <c r="A653" s="3" t="n">
        <v>652</v>
      </c>
      <c r="B653" s="3" t="n">
        <v>651</v>
      </c>
      <c r="C653" s="3" t="n">
        <v>13</v>
      </c>
      <c r="D653" s="3" t="n">
        <v>2</v>
      </c>
      <c r="E653" s="3" t="n">
        <v>0</v>
      </c>
      <c r="F653" s="24" t="n">
        <v>0.157317013</v>
      </c>
    </row>
    <row r="654" customFormat="false" ht="15" hidden="false" customHeight="false" outlineLevel="0" collapsed="false">
      <c r="A654" s="3" t="n">
        <v>653</v>
      </c>
      <c r="B654" s="3" t="n">
        <v>652</v>
      </c>
      <c r="C654" s="3" t="n">
        <v>13</v>
      </c>
      <c r="D654" s="3" t="n">
        <v>2</v>
      </c>
      <c r="E654" s="3" t="n">
        <v>1</v>
      </c>
      <c r="F654" s="24" t="n">
        <v>0.79339087</v>
      </c>
    </row>
    <row r="655" customFormat="false" ht="15" hidden="false" customHeight="false" outlineLevel="0" collapsed="false">
      <c r="A655" s="3" t="n">
        <v>654</v>
      </c>
      <c r="B655" s="3" t="n">
        <v>653</v>
      </c>
      <c r="C655" s="3" t="n">
        <v>13</v>
      </c>
      <c r="D655" s="3" t="n">
        <v>2</v>
      </c>
      <c r="E655" s="3" t="n">
        <v>2</v>
      </c>
      <c r="F655" s="24" t="n">
        <v>0</v>
      </c>
    </row>
    <row r="656" customFormat="false" ht="15" hidden="false" customHeight="false" outlineLevel="0" collapsed="false">
      <c r="A656" s="3" t="n">
        <v>655</v>
      </c>
      <c r="B656" s="3" t="n">
        <v>654</v>
      </c>
      <c r="C656" s="3" t="n">
        <v>13</v>
      </c>
      <c r="D656" s="3" t="n">
        <v>2</v>
      </c>
      <c r="E656" s="3" t="n">
        <v>3</v>
      </c>
      <c r="F656" s="24" t="n">
        <v>0</v>
      </c>
    </row>
    <row r="657" customFormat="false" ht="15" hidden="false" customHeight="false" outlineLevel="0" collapsed="false">
      <c r="A657" s="3" t="n">
        <v>656</v>
      </c>
      <c r="B657" s="3" t="n">
        <v>655</v>
      </c>
      <c r="C657" s="3" t="n">
        <v>13</v>
      </c>
      <c r="D657" s="3" t="n">
        <v>2</v>
      </c>
      <c r="E657" s="3" t="n">
        <v>4</v>
      </c>
      <c r="F657" s="24" t="n">
        <v>0</v>
      </c>
    </row>
    <row r="658" customFormat="false" ht="15" hidden="false" customHeight="false" outlineLevel="0" collapsed="false">
      <c r="A658" s="3" t="n">
        <v>657</v>
      </c>
      <c r="B658" s="3" t="n">
        <v>656</v>
      </c>
      <c r="C658" s="3" t="n">
        <v>13</v>
      </c>
      <c r="D658" s="3" t="n">
        <v>2</v>
      </c>
      <c r="E658" s="3" t="n">
        <v>5</v>
      </c>
      <c r="F658" s="24" t="n">
        <v>4.60584354</v>
      </c>
    </row>
    <row r="659" customFormat="false" ht="15" hidden="false" customHeight="false" outlineLevel="0" collapsed="false">
      <c r="A659" s="3" t="n">
        <v>658</v>
      </c>
      <c r="B659" s="3" t="n">
        <v>657</v>
      </c>
      <c r="C659" s="3" t="n">
        <v>13</v>
      </c>
      <c r="D659" s="3" t="n">
        <v>2</v>
      </c>
      <c r="E659" s="3" t="n">
        <v>6</v>
      </c>
      <c r="F659" s="24" t="n">
        <v>0.832630634</v>
      </c>
    </row>
    <row r="660" customFormat="false" ht="15" hidden="false" customHeight="false" outlineLevel="0" collapsed="false">
      <c r="A660" s="3" t="n">
        <v>659</v>
      </c>
      <c r="B660" s="3" t="n">
        <v>658</v>
      </c>
      <c r="C660" s="3" t="n">
        <v>13</v>
      </c>
      <c r="D660" s="3" t="n">
        <v>3</v>
      </c>
      <c r="E660" s="3" t="n">
        <v>0</v>
      </c>
      <c r="F660" s="24" t="n">
        <v>0.531317592</v>
      </c>
    </row>
    <row r="661" customFormat="false" ht="15" hidden="false" customHeight="false" outlineLevel="0" collapsed="false">
      <c r="A661" s="3" t="n">
        <v>660</v>
      </c>
      <c r="B661" s="3" t="n">
        <v>659</v>
      </c>
      <c r="C661" s="3" t="n">
        <v>13</v>
      </c>
      <c r="D661" s="3" t="n">
        <v>3</v>
      </c>
      <c r="E661" s="3" t="n">
        <v>1</v>
      </c>
      <c r="F661" s="24" t="n">
        <v>0.551781118</v>
      </c>
    </row>
    <row r="662" customFormat="false" ht="15" hidden="false" customHeight="false" outlineLevel="0" collapsed="false">
      <c r="A662" s="3" t="n">
        <v>661</v>
      </c>
      <c r="B662" s="3" t="n">
        <v>660</v>
      </c>
      <c r="C662" s="3" t="n">
        <v>13</v>
      </c>
      <c r="D662" s="3" t="n">
        <v>3</v>
      </c>
      <c r="E662" s="3" t="n">
        <v>2</v>
      </c>
      <c r="F662" s="24" t="n">
        <v>0.60323894</v>
      </c>
    </row>
    <row r="663" customFormat="false" ht="15" hidden="false" customHeight="false" outlineLevel="0" collapsed="false">
      <c r="A663" s="3" t="n">
        <v>662</v>
      </c>
      <c r="B663" s="3" t="n">
        <v>661</v>
      </c>
      <c r="C663" s="3" t="n">
        <v>13</v>
      </c>
      <c r="D663" s="3" t="n">
        <v>3</v>
      </c>
      <c r="E663" s="3" t="n">
        <v>3</v>
      </c>
      <c r="F663" s="24" t="n">
        <v>1.95222759</v>
      </c>
    </row>
    <row r="664" customFormat="false" ht="15" hidden="false" customHeight="false" outlineLevel="0" collapsed="false">
      <c r="A664" s="3" t="n">
        <v>663</v>
      </c>
      <c r="B664" s="3" t="n">
        <v>662</v>
      </c>
      <c r="C664" s="3" t="n">
        <v>13</v>
      </c>
      <c r="D664" s="3" t="n">
        <v>3</v>
      </c>
      <c r="E664" s="3" t="n">
        <v>4</v>
      </c>
      <c r="F664" s="24" t="n">
        <v>0.795278728</v>
      </c>
    </row>
    <row r="665" customFormat="false" ht="15" hidden="false" customHeight="false" outlineLevel="0" collapsed="false">
      <c r="A665" s="3" t="n">
        <v>664</v>
      </c>
      <c r="B665" s="3" t="n">
        <v>663</v>
      </c>
      <c r="C665" s="3" t="n">
        <v>13</v>
      </c>
      <c r="D665" s="3" t="n">
        <v>3</v>
      </c>
      <c r="E665" s="3" t="n">
        <v>5</v>
      </c>
      <c r="F665" s="24" t="n">
        <v>7.78881359</v>
      </c>
    </row>
    <row r="666" customFormat="false" ht="15" hidden="false" customHeight="false" outlineLevel="0" collapsed="false">
      <c r="A666" s="3" t="n">
        <v>665</v>
      </c>
      <c r="B666" s="3" t="n">
        <v>664</v>
      </c>
      <c r="C666" s="3" t="n">
        <v>13</v>
      </c>
      <c r="D666" s="3" t="n">
        <v>3</v>
      </c>
      <c r="E666" s="3" t="n">
        <v>6</v>
      </c>
      <c r="F666" s="24" t="n">
        <v>0.772215903</v>
      </c>
    </row>
    <row r="667" customFormat="false" ht="15" hidden="false" customHeight="false" outlineLevel="0" collapsed="false">
      <c r="A667" s="3" t="n">
        <v>666</v>
      </c>
      <c r="B667" s="3" t="n">
        <v>665</v>
      </c>
      <c r="C667" s="3" t="n">
        <v>13</v>
      </c>
      <c r="D667" s="3" t="n">
        <v>4</v>
      </c>
      <c r="E667" s="3" t="n">
        <v>0</v>
      </c>
      <c r="F667" s="24" t="n">
        <v>0.509611964</v>
      </c>
    </row>
    <row r="668" customFormat="false" ht="15" hidden="false" customHeight="false" outlineLevel="0" collapsed="false">
      <c r="A668" s="3" t="n">
        <v>667</v>
      </c>
      <c r="B668" s="3" t="n">
        <v>666</v>
      </c>
      <c r="C668" s="3" t="n">
        <v>13</v>
      </c>
      <c r="D668" s="3" t="n">
        <v>4</v>
      </c>
      <c r="E668" s="3" t="n">
        <v>1</v>
      </c>
      <c r="F668" s="24" t="n">
        <v>0.410889685</v>
      </c>
    </row>
    <row r="669" customFormat="false" ht="15" hidden="false" customHeight="false" outlineLevel="0" collapsed="false">
      <c r="A669" s="3" t="n">
        <v>668</v>
      </c>
      <c r="B669" s="3" t="n">
        <v>667</v>
      </c>
      <c r="C669" s="3" t="n">
        <v>13</v>
      </c>
      <c r="D669" s="3" t="n">
        <v>4</v>
      </c>
      <c r="E669" s="3" t="n">
        <v>2</v>
      </c>
      <c r="F669" s="24" t="n">
        <v>1.63096261</v>
      </c>
    </row>
    <row r="670" customFormat="false" ht="15" hidden="false" customHeight="false" outlineLevel="0" collapsed="false">
      <c r="A670" s="3" t="n">
        <v>669</v>
      </c>
      <c r="B670" s="3" t="n">
        <v>668</v>
      </c>
      <c r="C670" s="3" t="n">
        <v>13</v>
      </c>
      <c r="D670" s="3" t="n">
        <v>4</v>
      </c>
      <c r="E670" s="3" t="n">
        <v>3</v>
      </c>
      <c r="F670" s="24" t="n">
        <v>1.12111473</v>
      </c>
    </row>
    <row r="671" customFormat="false" ht="15" hidden="false" customHeight="false" outlineLevel="0" collapsed="false">
      <c r="A671" s="3" t="n">
        <v>670</v>
      </c>
      <c r="B671" s="3" t="n">
        <v>669</v>
      </c>
      <c r="C671" s="3" t="n">
        <v>13</v>
      </c>
      <c r="D671" s="3" t="n">
        <v>4</v>
      </c>
      <c r="E671" s="3" t="n">
        <v>4</v>
      </c>
      <c r="F671" s="24" t="n">
        <v>7.89416647</v>
      </c>
    </row>
    <row r="672" customFormat="false" ht="15" hidden="false" customHeight="false" outlineLevel="0" collapsed="false">
      <c r="A672" s="3" t="n">
        <v>671</v>
      </c>
      <c r="B672" s="3" t="n">
        <v>670</v>
      </c>
      <c r="C672" s="3" t="n">
        <v>13</v>
      </c>
      <c r="D672" s="3" t="n">
        <v>4</v>
      </c>
      <c r="E672" s="3" t="n">
        <v>5</v>
      </c>
      <c r="F672" s="24" t="n">
        <v>4.0791831</v>
      </c>
    </row>
    <row r="673" customFormat="false" ht="15" hidden="false" customHeight="false" outlineLevel="0" collapsed="false">
      <c r="A673" s="3" t="n">
        <v>672</v>
      </c>
      <c r="B673" s="3" t="n">
        <v>671</v>
      </c>
      <c r="C673" s="3" t="n">
        <v>13</v>
      </c>
      <c r="D673" s="3" t="n">
        <v>4</v>
      </c>
      <c r="E673" s="3" t="n">
        <v>6</v>
      </c>
      <c r="F673" s="24" t="n">
        <v>0.709126413</v>
      </c>
    </row>
    <row r="674" customFormat="false" ht="15" hidden="false" customHeight="false" outlineLevel="0" collapsed="false">
      <c r="A674" s="3" t="n">
        <v>673</v>
      </c>
      <c r="B674" s="3" t="n">
        <v>672</v>
      </c>
      <c r="C674" s="3" t="n">
        <v>13</v>
      </c>
      <c r="D674" s="3" t="n">
        <v>5</v>
      </c>
      <c r="E674" s="3" t="n">
        <v>0</v>
      </c>
      <c r="F674" s="24" t="n">
        <v>0.509611964</v>
      </c>
    </row>
    <row r="675" customFormat="false" ht="15" hidden="false" customHeight="false" outlineLevel="0" collapsed="false">
      <c r="A675" s="3" t="n">
        <v>674</v>
      </c>
      <c r="B675" s="3" t="n">
        <v>673</v>
      </c>
      <c r="C675" s="3" t="n">
        <v>13</v>
      </c>
      <c r="D675" s="3" t="n">
        <v>5</v>
      </c>
      <c r="E675" s="3" t="n">
        <v>1</v>
      </c>
      <c r="F675" s="24" t="n">
        <v>0.733422399</v>
      </c>
    </row>
    <row r="676" customFormat="false" ht="15" hidden="false" customHeight="false" outlineLevel="0" collapsed="false">
      <c r="A676" s="3" t="n">
        <v>675</v>
      </c>
      <c r="B676" s="3" t="n">
        <v>674</v>
      </c>
      <c r="C676" s="3" t="n">
        <v>13</v>
      </c>
      <c r="D676" s="3" t="n">
        <v>5</v>
      </c>
      <c r="E676" s="3" t="n">
        <v>2</v>
      </c>
      <c r="F676" s="24" t="n">
        <v>1.55816531</v>
      </c>
    </row>
    <row r="677" customFormat="false" ht="15" hidden="false" customHeight="false" outlineLevel="0" collapsed="false">
      <c r="A677" s="3" t="n">
        <v>676</v>
      </c>
      <c r="B677" s="3" t="n">
        <v>675</v>
      </c>
      <c r="C677" s="3" t="n">
        <v>13</v>
      </c>
      <c r="D677" s="3" t="n">
        <v>5</v>
      </c>
      <c r="E677" s="3" t="n">
        <v>3</v>
      </c>
      <c r="F677" s="24" t="n">
        <v>5.09727812</v>
      </c>
    </row>
    <row r="678" customFormat="false" ht="15" hidden="false" customHeight="false" outlineLevel="0" collapsed="false">
      <c r="A678" s="3" t="n">
        <v>677</v>
      </c>
      <c r="B678" s="3" t="n">
        <v>676</v>
      </c>
      <c r="C678" s="3" t="n">
        <v>13</v>
      </c>
      <c r="D678" s="3" t="n">
        <v>5</v>
      </c>
      <c r="E678" s="3" t="n">
        <v>4</v>
      </c>
      <c r="F678" s="24" t="n">
        <v>7.57092762</v>
      </c>
    </row>
    <row r="679" customFormat="false" ht="15" hidden="false" customHeight="false" outlineLevel="0" collapsed="false">
      <c r="A679" s="3" t="n">
        <v>678</v>
      </c>
      <c r="B679" s="3" t="n">
        <v>677</v>
      </c>
      <c r="C679" s="3" t="n">
        <v>13</v>
      </c>
      <c r="D679" s="3" t="n">
        <v>5</v>
      </c>
      <c r="E679" s="3" t="n">
        <v>5</v>
      </c>
      <c r="F679" s="24" t="n">
        <v>0.598477006</v>
      </c>
    </row>
    <row r="680" customFormat="false" ht="15" hidden="false" customHeight="false" outlineLevel="0" collapsed="false">
      <c r="A680" s="3" t="n">
        <v>679</v>
      </c>
      <c r="B680" s="3" t="n">
        <v>678</v>
      </c>
      <c r="C680" s="3" t="n">
        <v>13</v>
      </c>
      <c r="D680" s="3" t="n">
        <v>5</v>
      </c>
      <c r="E680" s="3" t="n">
        <v>6</v>
      </c>
      <c r="F680" s="24" t="n">
        <v>0.709126413</v>
      </c>
    </row>
    <row r="681" customFormat="false" ht="15" hidden="false" customHeight="false" outlineLevel="0" collapsed="false">
      <c r="A681" s="3" t="n">
        <v>680</v>
      </c>
      <c r="B681" s="3" t="n">
        <v>679</v>
      </c>
      <c r="C681" s="3" t="n">
        <v>13</v>
      </c>
      <c r="D681" s="3" t="n">
        <v>6</v>
      </c>
      <c r="E681" s="3" t="n">
        <v>0</v>
      </c>
      <c r="F681" s="24" t="n">
        <v>0.583972394</v>
      </c>
    </row>
    <row r="682" customFormat="false" ht="15" hidden="false" customHeight="false" outlineLevel="0" collapsed="false">
      <c r="A682" s="3" t="n">
        <v>681</v>
      </c>
      <c r="B682" s="3" t="n">
        <v>680</v>
      </c>
      <c r="C682" s="3" t="n">
        <v>13</v>
      </c>
      <c r="D682" s="3" t="n">
        <v>6</v>
      </c>
      <c r="E682" s="3" t="n">
        <v>1</v>
      </c>
      <c r="F682" s="24" t="n">
        <v>0.45204708</v>
      </c>
    </row>
    <row r="683" customFormat="false" ht="15" hidden="false" customHeight="false" outlineLevel="0" collapsed="false">
      <c r="A683" s="3" t="n">
        <v>682</v>
      </c>
      <c r="B683" s="3" t="n">
        <v>681</v>
      </c>
      <c r="C683" s="3" t="n">
        <v>13</v>
      </c>
      <c r="D683" s="3" t="n">
        <v>6</v>
      </c>
      <c r="E683" s="3" t="n">
        <v>2</v>
      </c>
      <c r="F683" s="24" t="n">
        <v>0</v>
      </c>
    </row>
    <row r="684" customFormat="false" ht="15" hidden="false" customHeight="false" outlineLevel="0" collapsed="false">
      <c r="A684" s="3" t="n">
        <v>683</v>
      </c>
      <c r="B684" s="3" t="n">
        <v>682</v>
      </c>
      <c r="C684" s="3" t="n">
        <v>13</v>
      </c>
      <c r="D684" s="3" t="n">
        <v>6</v>
      </c>
      <c r="E684" s="3" t="n">
        <v>3</v>
      </c>
      <c r="F684" s="24" t="n">
        <v>9.83453274</v>
      </c>
    </row>
    <row r="685" customFormat="false" ht="15" hidden="false" customHeight="false" outlineLevel="0" collapsed="false">
      <c r="A685" s="3" t="n">
        <v>684</v>
      </c>
      <c r="B685" s="3" t="n">
        <v>683</v>
      </c>
      <c r="C685" s="3" t="n">
        <v>13</v>
      </c>
      <c r="D685" s="3" t="n">
        <v>6</v>
      </c>
      <c r="E685" s="3" t="n">
        <v>4</v>
      </c>
      <c r="F685" s="24" t="n">
        <v>3.01094508</v>
      </c>
    </row>
    <row r="686" customFormat="false" ht="15" hidden="false" customHeight="false" outlineLevel="0" collapsed="false">
      <c r="A686" s="3" t="n">
        <v>685</v>
      </c>
      <c r="B686" s="3" t="n">
        <v>684</v>
      </c>
      <c r="C686" s="3" t="n">
        <v>13</v>
      </c>
      <c r="D686" s="3" t="n">
        <v>6</v>
      </c>
      <c r="E686" s="3" t="n">
        <v>5</v>
      </c>
      <c r="F686" s="24" t="n">
        <v>0.45204708</v>
      </c>
    </row>
    <row r="687" customFormat="false" ht="15" hidden="false" customHeight="false" outlineLevel="0" collapsed="false">
      <c r="A687" s="3" t="n">
        <v>686</v>
      </c>
      <c r="B687" s="3" t="n">
        <v>685</v>
      </c>
      <c r="C687" s="3" t="n">
        <v>13</v>
      </c>
      <c r="D687" s="3" t="n">
        <v>6</v>
      </c>
      <c r="E687" s="3" t="n">
        <v>6</v>
      </c>
      <c r="F687" s="24" t="n">
        <v>0.685322464</v>
      </c>
    </row>
    <row r="688" customFormat="false" ht="15" hidden="false" customHeight="false" outlineLevel="0" collapsed="false">
      <c r="A688" s="3" t="n">
        <v>687</v>
      </c>
      <c r="B688" s="3" t="n">
        <v>686</v>
      </c>
      <c r="C688" s="3" t="n">
        <v>14</v>
      </c>
      <c r="D688" s="3" t="n">
        <v>0</v>
      </c>
      <c r="E688" s="3" t="n">
        <v>0</v>
      </c>
      <c r="F688" s="24" t="n">
        <v>0</v>
      </c>
    </row>
    <row r="689" customFormat="false" ht="15" hidden="false" customHeight="false" outlineLevel="0" collapsed="false">
      <c r="A689" s="3" t="n">
        <v>688</v>
      </c>
      <c r="B689" s="3" t="n">
        <v>687</v>
      </c>
      <c r="C689" s="3" t="n">
        <v>14</v>
      </c>
      <c r="D689" s="3" t="n">
        <v>0</v>
      </c>
      <c r="E689" s="3" t="n">
        <v>1</v>
      </c>
      <c r="F689" s="24" t="n">
        <v>0</v>
      </c>
    </row>
    <row r="690" customFormat="false" ht="15" hidden="false" customHeight="false" outlineLevel="0" collapsed="false">
      <c r="A690" s="3" t="n">
        <v>689</v>
      </c>
      <c r="B690" s="3" t="n">
        <v>688</v>
      </c>
      <c r="C690" s="3" t="n">
        <v>14</v>
      </c>
      <c r="D690" s="3" t="n">
        <v>0</v>
      </c>
      <c r="E690" s="3" t="n">
        <v>2</v>
      </c>
      <c r="F690" s="24" t="n">
        <v>0</v>
      </c>
    </row>
    <row r="691" customFormat="false" ht="15" hidden="false" customHeight="false" outlineLevel="0" collapsed="false">
      <c r="A691" s="3" t="n">
        <v>690</v>
      </c>
      <c r="B691" s="3" t="n">
        <v>689</v>
      </c>
      <c r="C691" s="3" t="n">
        <v>14</v>
      </c>
      <c r="D691" s="3" t="n">
        <v>0</v>
      </c>
      <c r="E691" s="3" t="n">
        <v>3</v>
      </c>
      <c r="F691" s="24" t="n">
        <v>0</v>
      </c>
    </row>
    <row r="692" customFormat="false" ht="15" hidden="false" customHeight="false" outlineLevel="0" collapsed="false">
      <c r="A692" s="3" t="n">
        <v>691</v>
      </c>
      <c r="B692" s="3" t="n">
        <v>690</v>
      </c>
      <c r="C692" s="3" t="n">
        <v>14</v>
      </c>
      <c r="D692" s="3" t="n">
        <v>0</v>
      </c>
      <c r="E692" s="3" t="n">
        <v>4</v>
      </c>
      <c r="F692" s="24" t="n">
        <v>0</v>
      </c>
    </row>
    <row r="693" customFormat="false" ht="15" hidden="false" customHeight="false" outlineLevel="0" collapsed="false">
      <c r="A693" s="3" t="n">
        <v>692</v>
      </c>
      <c r="B693" s="3" t="n">
        <v>691</v>
      </c>
      <c r="C693" s="3" t="n">
        <v>14</v>
      </c>
      <c r="D693" s="3" t="n">
        <v>0</v>
      </c>
      <c r="E693" s="3" t="n">
        <v>5</v>
      </c>
      <c r="F693" s="24" t="n">
        <v>0</v>
      </c>
    </row>
    <row r="694" customFormat="false" ht="15" hidden="false" customHeight="false" outlineLevel="0" collapsed="false">
      <c r="A694" s="3" t="n">
        <v>693</v>
      </c>
      <c r="B694" s="3" t="n">
        <v>692</v>
      </c>
      <c r="C694" s="3" t="n">
        <v>14</v>
      </c>
      <c r="D694" s="3" t="n">
        <v>0</v>
      </c>
      <c r="E694" s="3" t="n">
        <v>6</v>
      </c>
      <c r="F694" s="24" t="n">
        <v>0.424594641</v>
      </c>
    </row>
    <row r="695" customFormat="false" ht="15" hidden="false" customHeight="false" outlineLevel="0" collapsed="false">
      <c r="A695" s="3" t="n">
        <v>694</v>
      </c>
      <c r="B695" s="3" t="n">
        <v>693</v>
      </c>
      <c r="C695" s="3" t="n">
        <v>14</v>
      </c>
      <c r="D695" s="3" t="n">
        <v>1</v>
      </c>
      <c r="E695" s="3" t="n">
        <v>0</v>
      </c>
      <c r="F695" s="24" t="n">
        <v>0</v>
      </c>
    </row>
    <row r="696" customFormat="false" ht="15" hidden="false" customHeight="false" outlineLevel="0" collapsed="false">
      <c r="A696" s="3" t="n">
        <v>695</v>
      </c>
      <c r="B696" s="3" t="n">
        <v>694</v>
      </c>
      <c r="C696" s="3" t="n">
        <v>14</v>
      </c>
      <c r="D696" s="3" t="n">
        <v>1</v>
      </c>
      <c r="E696" s="3" t="n">
        <v>1</v>
      </c>
      <c r="F696" s="24" t="n">
        <v>0</v>
      </c>
    </row>
    <row r="697" customFormat="false" ht="15" hidden="false" customHeight="false" outlineLevel="0" collapsed="false">
      <c r="A697" s="3" t="n">
        <v>696</v>
      </c>
      <c r="B697" s="3" t="n">
        <v>695</v>
      </c>
      <c r="C697" s="3" t="n">
        <v>14</v>
      </c>
      <c r="D697" s="3" t="n">
        <v>1</v>
      </c>
      <c r="E697" s="3" t="n">
        <v>2</v>
      </c>
      <c r="F697" s="24" t="n">
        <v>0</v>
      </c>
    </row>
    <row r="698" customFormat="false" ht="15" hidden="false" customHeight="false" outlineLevel="0" collapsed="false">
      <c r="A698" s="3" t="n">
        <v>697</v>
      </c>
      <c r="B698" s="3" t="n">
        <v>696</v>
      </c>
      <c r="C698" s="3" t="n">
        <v>14</v>
      </c>
      <c r="D698" s="3" t="n">
        <v>1</v>
      </c>
      <c r="E698" s="3" t="n">
        <v>3</v>
      </c>
      <c r="F698" s="24" t="n">
        <v>0</v>
      </c>
    </row>
    <row r="699" customFormat="false" ht="15" hidden="false" customHeight="false" outlineLevel="0" collapsed="false">
      <c r="A699" s="3" t="n">
        <v>698</v>
      </c>
      <c r="B699" s="3" t="n">
        <v>697</v>
      </c>
      <c r="C699" s="3" t="n">
        <v>14</v>
      </c>
      <c r="D699" s="3" t="n">
        <v>1</v>
      </c>
      <c r="E699" s="3" t="n">
        <v>4</v>
      </c>
      <c r="F699" s="24" t="n">
        <v>0</v>
      </c>
    </row>
    <row r="700" customFormat="false" ht="15" hidden="false" customHeight="false" outlineLevel="0" collapsed="false">
      <c r="A700" s="3" t="n">
        <v>699</v>
      </c>
      <c r="B700" s="3" t="n">
        <v>698</v>
      </c>
      <c r="C700" s="3" t="n">
        <v>14</v>
      </c>
      <c r="D700" s="3" t="n">
        <v>1</v>
      </c>
      <c r="E700" s="3" t="n">
        <v>5</v>
      </c>
      <c r="F700" s="24" t="n">
        <v>0</v>
      </c>
    </row>
    <row r="701" customFormat="false" ht="15" hidden="false" customHeight="false" outlineLevel="0" collapsed="false">
      <c r="A701" s="3" t="n">
        <v>700</v>
      </c>
      <c r="B701" s="3" t="n">
        <v>699</v>
      </c>
      <c r="C701" s="3" t="n">
        <v>14</v>
      </c>
      <c r="D701" s="3" t="n">
        <v>1</v>
      </c>
      <c r="E701" s="3" t="n">
        <v>6</v>
      </c>
      <c r="F701" s="24" t="n">
        <v>0.171683058</v>
      </c>
    </row>
    <row r="702" customFormat="false" ht="15" hidden="false" customHeight="false" outlineLevel="0" collapsed="false">
      <c r="A702" s="3" t="n">
        <v>701</v>
      </c>
      <c r="B702" s="3" t="n">
        <v>700</v>
      </c>
      <c r="C702" s="3" t="n">
        <v>14</v>
      </c>
      <c r="D702" s="3" t="n">
        <v>2</v>
      </c>
      <c r="E702" s="3" t="n">
        <v>0</v>
      </c>
      <c r="F702" s="24" t="n">
        <v>0</v>
      </c>
    </row>
    <row r="703" customFormat="false" ht="15" hidden="false" customHeight="false" outlineLevel="0" collapsed="false">
      <c r="A703" s="3" t="n">
        <v>702</v>
      </c>
      <c r="B703" s="3" t="n">
        <v>701</v>
      </c>
      <c r="C703" s="3" t="n">
        <v>14</v>
      </c>
      <c r="D703" s="3" t="n">
        <v>2</v>
      </c>
      <c r="E703" s="3" t="n">
        <v>1</v>
      </c>
      <c r="F703" s="24" t="n">
        <v>1.54326844</v>
      </c>
    </row>
    <row r="704" customFormat="false" ht="15" hidden="false" customHeight="false" outlineLevel="0" collapsed="false">
      <c r="A704" s="3" t="n">
        <v>703</v>
      </c>
      <c r="B704" s="3" t="n">
        <v>702</v>
      </c>
      <c r="C704" s="3" t="n">
        <v>14</v>
      </c>
      <c r="D704" s="3" t="n">
        <v>2</v>
      </c>
      <c r="E704" s="3" t="n">
        <v>2</v>
      </c>
      <c r="F704" s="24" t="n">
        <v>1.10371995</v>
      </c>
    </row>
    <row r="705" customFormat="false" ht="15" hidden="false" customHeight="false" outlineLevel="0" collapsed="false">
      <c r="A705" s="3" t="n">
        <v>704</v>
      </c>
      <c r="B705" s="3" t="n">
        <v>703</v>
      </c>
      <c r="C705" s="3" t="n">
        <v>14</v>
      </c>
      <c r="D705" s="3" t="n">
        <v>2</v>
      </c>
      <c r="E705" s="3" t="n">
        <v>3</v>
      </c>
      <c r="F705" s="24" t="n">
        <v>1.19547737</v>
      </c>
    </row>
    <row r="706" customFormat="false" ht="15" hidden="false" customHeight="false" outlineLevel="0" collapsed="false">
      <c r="A706" s="3" t="n">
        <v>705</v>
      </c>
      <c r="B706" s="3" t="n">
        <v>704</v>
      </c>
      <c r="C706" s="3" t="n">
        <v>14</v>
      </c>
      <c r="D706" s="3" t="n">
        <v>2</v>
      </c>
      <c r="E706" s="3" t="n">
        <v>4</v>
      </c>
      <c r="F706" s="24" t="n">
        <v>3.62635636</v>
      </c>
    </row>
    <row r="707" customFormat="false" ht="15" hidden="false" customHeight="false" outlineLevel="0" collapsed="false">
      <c r="A707" s="3" t="n">
        <v>706</v>
      </c>
      <c r="B707" s="3" t="n">
        <v>705</v>
      </c>
      <c r="C707" s="3" t="n">
        <v>14</v>
      </c>
      <c r="D707" s="3" t="n">
        <v>2</v>
      </c>
      <c r="E707" s="3" t="n">
        <v>5</v>
      </c>
      <c r="F707" s="24" t="n">
        <v>1.71566534</v>
      </c>
    </row>
    <row r="708" customFormat="false" ht="15" hidden="false" customHeight="false" outlineLevel="0" collapsed="false">
      <c r="A708" s="3" t="n">
        <v>707</v>
      </c>
      <c r="B708" s="3" t="n">
        <v>706</v>
      </c>
      <c r="C708" s="3" t="n">
        <v>14</v>
      </c>
      <c r="D708" s="3" t="n">
        <v>2</v>
      </c>
      <c r="E708" s="3" t="n">
        <v>6</v>
      </c>
      <c r="F708" s="24" t="n">
        <v>0.171683058</v>
      </c>
    </row>
    <row r="709" customFormat="false" ht="15" hidden="false" customHeight="false" outlineLevel="0" collapsed="false">
      <c r="A709" s="3" t="n">
        <v>708</v>
      </c>
      <c r="B709" s="3" t="n">
        <v>707</v>
      </c>
      <c r="C709" s="3" t="n">
        <v>14</v>
      </c>
      <c r="D709" s="3" t="n">
        <v>3</v>
      </c>
      <c r="E709" s="3" t="n">
        <v>0</v>
      </c>
      <c r="F709" s="24" t="n">
        <v>0</v>
      </c>
    </row>
    <row r="710" customFormat="false" ht="15" hidden="false" customHeight="false" outlineLevel="0" collapsed="false">
      <c r="A710" s="3" t="n">
        <v>709</v>
      </c>
      <c r="B710" s="3" t="n">
        <v>708</v>
      </c>
      <c r="C710" s="3" t="n">
        <v>14</v>
      </c>
      <c r="D710" s="3" t="n">
        <v>3</v>
      </c>
      <c r="E710" s="3" t="n">
        <v>1</v>
      </c>
      <c r="F710" s="24" t="n">
        <v>0</v>
      </c>
    </row>
    <row r="711" customFormat="false" ht="15" hidden="false" customHeight="false" outlineLevel="0" collapsed="false">
      <c r="A711" s="3" t="n">
        <v>710</v>
      </c>
      <c r="B711" s="3" t="n">
        <v>709</v>
      </c>
      <c r="C711" s="3" t="n">
        <v>14</v>
      </c>
      <c r="D711" s="3" t="n">
        <v>3</v>
      </c>
      <c r="E711" s="3" t="n">
        <v>2</v>
      </c>
      <c r="F711" s="24" t="n">
        <v>0.0104380064</v>
      </c>
    </row>
    <row r="712" customFormat="false" ht="15" hidden="false" customHeight="false" outlineLevel="0" collapsed="false">
      <c r="A712" s="3" t="n">
        <v>711</v>
      </c>
      <c r="B712" s="3" t="n">
        <v>710</v>
      </c>
      <c r="C712" s="3" t="n">
        <v>14</v>
      </c>
      <c r="D712" s="3" t="n">
        <v>3</v>
      </c>
      <c r="E712" s="3" t="n">
        <v>3</v>
      </c>
      <c r="F712" s="24" t="n">
        <v>0</v>
      </c>
    </row>
    <row r="713" customFormat="false" ht="15" hidden="false" customHeight="false" outlineLevel="0" collapsed="false">
      <c r="A713" s="3" t="n">
        <v>712</v>
      </c>
      <c r="B713" s="3" t="n">
        <v>711</v>
      </c>
      <c r="C713" s="3" t="n">
        <v>14</v>
      </c>
      <c r="D713" s="3" t="n">
        <v>3</v>
      </c>
      <c r="E713" s="3" t="n">
        <v>4</v>
      </c>
      <c r="F713" s="24" t="n">
        <v>2.71152735</v>
      </c>
    </row>
    <row r="714" customFormat="false" ht="15" hidden="false" customHeight="false" outlineLevel="0" collapsed="false">
      <c r="A714" s="3" t="n">
        <v>713</v>
      </c>
      <c r="B714" s="3" t="n">
        <v>712</v>
      </c>
      <c r="C714" s="3" t="n">
        <v>14</v>
      </c>
      <c r="D714" s="3" t="n">
        <v>3</v>
      </c>
      <c r="E714" s="3" t="n">
        <v>5</v>
      </c>
      <c r="F714" s="24" t="n">
        <v>0.489052922</v>
      </c>
    </row>
    <row r="715" customFormat="false" ht="15" hidden="false" customHeight="false" outlineLevel="0" collapsed="false">
      <c r="A715" s="3" t="n">
        <v>714</v>
      </c>
      <c r="B715" s="3" t="n">
        <v>713</v>
      </c>
      <c r="C715" s="3" t="n">
        <v>14</v>
      </c>
      <c r="D715" s="3" t="n">
        <v>3</v>
      </c>
      <c r="E715" s="3" t="n">
        <v>6</v>
      </c>
      <c r="F715" s="24" t="n">
        <v>0.171683058</v>
      </c>
    </row>
    <row r="716" customFormat="false" ht="15" hidden="false" customHeight="false" outlineLevel="0" collapsed="false">
      <c r="A716" s="3" t="n">
        <v>715</v>
      </c>
      <c r="B716" s="3" t="n">
        <v>714</v>
      </c>
      <c r="C716" s="3" t="n">
        <v>14</v>
      </c>
      <c r="D716" s="3" t="n">
        <v>4</v>
      </c>
      <c r="E716" s="3" t="n">
        <v>0</v>
      </c>
      <c r="F716" s="24" t="n">
        <v>0</v>
      </c>
    </row>
    <row r="717" customFormat="false" ht="15" hidden="false" customHeight="false" outlineLevel="0" collapsed="false">
      <c r="A717" s="3" t="n">
        <v>716</v>
      </c>
      <c r="B717" s="3" t="n">
        <v>715</v>
      </c>
      <c r="C717" s="3" t="n">
        <v>14</v>
      </c>
      <c r="D717" s="3" t="n">
        <v>4</v>
      </c>
      <c r="E717" s="3" t="n">
        <v>1</v>
      </c>
      <c r="F717" s="24" t="n">
        <v>0</v>
      </c>
    </row>
    <row r="718" customFormat="false" ht="15" hidden="false" customHeight="false" outlineLevel="0" collapsed="false">
      <c r="A718" s="3" t="n">
        <v>717</v>
      </c>
      <c r="B718" s="3" t="n">
        <v>716</v>
      </c>
      <c r="C718" s="3" t="n">
        <v>14</v>
      </c>
      <c r="D718" s="3" t="n">
        <v>4</v>
      </c>
      <c r="E718" s="3" t="n">
        <v>2</v>
      </c>
      <c r="F718" s="24" t="n">
        <v>0</v>
      </c>
    </row>
    <row r="719" customFormat="false" ht="15" hidden="false" customHeight="false" outlineLevel="0" collapsed="false">
      <c r="A719" s="3" t="n">
        <v>718</v>
      </c>
      <c r="B719" s="3" t="n">
        <v>717</v>
      </c>
      <c r="C719" s="3" t="n">
        <v>14</v>
      </c>
      <c r="D719" s="3" t="n">
        <v>4</v>
      </c>
      <c r="E719" s="3" t="n">
        <v>3</v>
      </c>
      <c r="F719" s="24" t="n">
        <v>0</v>
      </c>
    </row>
    <row r="720" customFormat="false" ht="15" hidden="false" customHeight="false" outlineLevel="0" collapsed="false">
      <c r="A720" s="3" t="n">
        <v>719</v>
      </c>
      <c r="B720" s="3" t="n">
        <v>718</v>
      </c>
      <c r="C720" s="3" t="n">
        <v>14</v>
      </c>
      <c r="D720" s="3" t="n">
        <v>4</v>
      </c>
      <c r="E720" s="3" t="n">
        <v>4</v>
      </c>
      <c r="F720" s="24" t="n">
        <v>2.66827869</v>
      </c>
    </row>
    <row r="721" customFormat="false" ht="15" hidden="false" customHeight="false" outlineLevel="0" collapsed="false">
      <c r="A721" s="3" t="n">
        <v>720</v>
      </c>
      <c r="B721" s="3" t="n">
        <v>719</v>
      </c>
      <c r="C721" s="3" t="n">
        <v>14</v>
      </c>
      <c r="D721" s="3" t="n">
        <v>4</v>
      </c>
      <c r="E721" s="3" t="n">
        <v>5</v>
      </c>
      <c r="F721" s="24" t="n">
        <v>0</v>
      </c>
    </row>
    <row r="722" customFormat="false" ht="15" hidden="false" customHeight="false" outlineLevel="0" collapsed="false">
      <c r="A722" s="3" t="n">
        <v>721</v>
      </c>
      <c r="B722" s="3" t="n">
        <v>720</v>
      </c>
      <c r="C722" s="3" t="n">
        <v>14</v>
      </c>
      <c r="D722" s="3" t="n">
        <v>4</v>
      </c>
      <c r="E722" s="3" t="n">
        <v>6</v>
      </c>
      <c r="F722" s="24" t="n">
        <v>0.171683058</v>
      </c>
    </row>
    <row r="723" customFormat="false" ht="15" hidden="false" customHeight="false" outlineLevel="0" collapsed="false">
      <c r="A723" s="3" t="n">
        <v>722</v>
      </c>
      <c r="B723" s="3" t="n">
        <v>721</v>
      </c>
      <c r="C723" s="3" t="n">
        <v>14</v>
      </c>
      <c r="D723" s="3" t="n">
        <v>5</v>
      </c>
      <c r="E723" s="3" t="n">
        <v>0</v>
      </c>
      <c r="F723" s="24" t="n">
        <v>0</v>
      </c>
    </row>
    <row r="724" customFormat="false" ht="15" hidden="false" customHeight="false" outlineLevel="0" collapsed="false">
      <c r="A724" s="3" t="n">
        <v>723</v>
      </c>
      <c r="B724" s="3" t="n">
        <v>722</v>
      </c>
      <c r="C724" s="3" t="n">
        <v>14</v>
      </c>
      <c r="D724" s="3" t="n">
        <v>5</v>
      </c>
      <c r="E724" s="3" t="n">
        <v>1</v>
      </c>
      <c r="F724" s="24" t="n">
        <v>0</v>
      </c>
    </row>
    <row r="725" customFormat="false" ht="15" hidden="false" customHeight="false" outlineLevel="0" collapsed="false">
      <c r="A725" s="3" t="n">
        <v>724</v>
      </c>
      <c r="B725" s="3" t="n">
        <v>723</v>
      </c>
      <c r="C725" s="3" t="n">
        <v>14</v>
      </c>
      <c r="D725" s="3" t="n">
        <v>5</v>
      </c>
      <c r="E725" s="3" t="n">
        <v>2</v>
      </c>
      <c r="F725" s="24" t="n">
        <v>0</v>
      </c>
    </row>
    <row r="726" customFormat="false" ht="15" hidden="false" customHeight="false" outlineLevel="0" collapsed="false">
      <c r="A726" s="3" t="n">
        <v>725</v>
      </c>
      <c r="B726" s="3" t="n">
        <v>724</v>
      </c>
      <c r="C726" s="3" t="n">
        <v>14</v>
      </c>
      <c r="D726" s="3" t="n">
        <v>5</v>
      </c>
      <c r="E726" s="3" t="n">
        <v>3</v>
      </c>
      <c r="F726" s="24" t="n">
        <v>2.4294076</v>
      </c>
    </row>
    <row r="727" customFormat="false" ht="15" hidden="false" customHeight="false" outlineLevel="0" collapsed="false">
      <c r="A727" s="3" t="n">
        <v>726</v>
      </c>
      <c r="B727" s="3" t="n">
        <v>725</v>
      </c>
      <c r="C727" s="3" t="n">
        <v>14</v>
      </c>
      <c r="D727" s="3" t="n">
        <v>5</v>
      </c>
      <c r="E727" s="3" t="n">
        <v>4</v>
      </c>
      <c r="F727" s="24" t="n">
        <v>1.35604239</v>
      </c>
    </row>
    <row r="728" customFormat="false" ht="15" hidden="false" customHeight="false" outlineLevel="0" collapsed="false">
      <c r="A728" s="3" t="n">
        <v>727</v>
      </c>
      <c r="B728" s="3" t="n">
        <v>726</v>
      </c>
      <c r="C728" s="3" t="n">
        <v>14</v>
      </c>
      <c r="D728" s="3" t="n">
        <v>5</v>
      </c>
      <c r="E728" s="3" t="n">
        <v>5</v>
      </c>
      <c r="F728" s="24" t="n">
        <v>0</v>
      </c>
    </row>
    <row r="729" customFormat="false" ht="15" hidden="false" customHeight="false" outlineLevel="0" collapsed="false">
      <c r="A729" s="3" t="n">
        <v>728</v>
      </c>
      <c r="B729" s="3" t="n">
        <v>727</v>
      </c>
      <c r="C729" s="3" t="n">
        <v>14</v>
      </c>
      <c r="D729" s="3" t="n">
        <v>5</v>
      </c>
      <c r="E729" s="3" t="n">
        <v>6</v>
      </c>
      <c r="F729" s="24" t="n">
        <v>0.171683058</v>
      </c>
    </row>
    <row r="730" customFormat="false" ht="15" hidden="false" customHeight="false" outlineLevel="0" collapsed="false">
      <c r="A730" s="3" t="n">
        <v>729</v>
      </c>
      <c r="B730" s="3" t="n">
        <v>728</v>
      </c>
      <c r="C730" s="3" t="n">
        <v>14</v>
      </c>
      <c r="D730" s="3" t="n">
        <v>6</v>
      </c>
      <c r="E730" s="3" t="n">
        <v>0</v>
      </c>
      <c r="F730" s="24" t="n">
        <v>0</v>
      </c>
    </row>
    <row r="731" customFormat="false" ht="15" hidden="false" customHeight="false" outlineLevel="0" collapsed="false">
      <c r="A731" s="3" t="n">
        <v>730</v>
      </c>
      <c r="B731" s="3" t="n">
        <v>729</v>
      </c>
      <c r="C731" s="3" t="n">
        <v>14</v>
      </c>
      <c r="D731" s="3" t="n">
        <v>6</v>
      </c>
      <c r="E731" s="3" t="n">
        <v>1</v>
      </c>
      <c r="F731" s="24" t="n">
        <v>0</v>
      </c>
    </row>
    <row r="732" customFormat="false" ht="15" hidden="false" customHeight="false" outlineLevel="0" collapsed="false">
      <c r="A732" s="3" t="n">
        <v>731</v>
      </c>
      <c r="B732" s="3" t="n">
        <v>730</v>
      </c>
      <c r="C732" s="3" t="n">
        <v>14</v>
      </c>
      <c r="D732" s="3" t="n">
        <v>6</v>
      </c>
      <c r="E732" s="3" t="n">
        <v>2</v>
      </c>
      <c r="F732" s="24" t="n">
        <v>1.87595546</v>
      </c>
    </row>
    <row r="733" customFormat="false" ht="15" hidden="false" customHeight="false" outlineLevel="0" collapsed="false">
      <c r="A733" s="3" t="n">
        <v>732</v>
      </c>
      <c r="B733" s="3" t="n">
        <v>731</v>
      </c>
      <c r="C733" s="3" t="n">
        <v>14</v>
      </c>
      <c r="D733" s="3" t="n">
        <v>6</v>
      </c>
      <c r="E733" s="3" t="n">
        <v>3</v>
      </c>
      <c r="F733" s="24" t="n">
        <v>4.31851149</v>
      </c>
    </row>
    <row r="734" customFormat="false" ht="15" hidden="false" customHeight="false" outlineLevel="0" collapsed="false">
      <c r="A734" s="3" t="n">
        <v>733</v>
      </c>
      <c r="B734" s="3" t="n">
        <v>732</v>
      </c>
      <c r="C734" s="3" t="n">
        <v>14</v>
      </c>
      <c r="D734" s="3" t="n">
        <v>6</v>
      </c>
      <c r="E734" s="3" t="n">
        <v>4</v>
      </c>
      <c r="F734" s="24" t="n">
        <v>0.0625627935</v>
      </c>
    </row>
    <row r="735" customFormat="false" ht="15" hidden="false" customHeight="false" outlineLevel="0" collapsed="false">
      <c r="A735" s="3" t="n">
        <v>734</v>
      </c>
      <c r="B735" s="3" t="n">
        <v>733</v>
      </c>
      <c r="C735" s="3" t="n">
        <v>14</v>
      </c>
      <c r="D735" s="3" t="n">
        <v>6</v>
      </c>
      <c r="E735" s="3" t="n">
        <v>5</v>
      </c>
      <c r="F735" s="24" t="n">
        <v>0</v>
      </c>
    </row>
    <row r="736" customFormat="false" ht="15" hidden="false" customHeight="false" outlineLevel="0" collapsed="false">
      <c r="A736" s="3" t="n">
        <v>735</v>
      </c>
      <c r="B736" s="3" t="n">
        <v>734</v>
      </c>
      <c r="C736" s="3" t="n">
        <v>14</v>
      </c>
      <c r="D736" s="3" t="n">
        <v>6</v>
      </c>
      <c r="E736" s="3" t="n">
        <v>6</v>
      </c>
      <c r="F736" s="24" t="n">
        <v>0</v>
      </c>
    </row>
    <row r="737" customFormat="false" ht="15" hidden="false" customHeight="false" outlineLevel="0" collapsed="false">
      <c r="A737" s="3" t="n">
        <v>736</v>
      </c>
      <c r="B737" s="3" t="n">
        <v>735</v>
      </c>
      <c r="C737" s="3" t="n">
        <v>15</v>
      </c>
      <c r="D737" s="3" t="n">
        <v>0</v>
      </c>
      <c r="E737" s="3" t="n">
        <v>0</v>
      </c>
      <c r="F737" s="24" t="n">
        <v>0.831287801</v>
      </c>
    </row>
    <row r="738" customFormat="false" ht="15" hidden="false" customHeight="false" outlineLevel="0" collapsed="false">
      <c r="A738" s="3" t="n">
        <v>737</v>
      </c>
      <c r="B738" s="3" t="n">
        <v>736</v>
      </c>
      <c r="C738" s="3" t="n">
        <v>15</v>
      </c>
      <c r="D738" s="3" t="n">
        <v>0</v>
      </c>
      <c r="E738" s="3" t="n">
        <v>1</v>
      </c>
      <c r="F738" s="24" t="n">
        <v>0.826025844</v>
      </c>
    </row>
    <row r="739" customFormat="false" ht="15" hidden="false" customHeight="false" outlineLevel="0" collapsed="false">
      <c r="A739" s="3" t="n">
        <v>738</v>
      </c>
      <c r="B739" s="3" t="n">
        <v>737</v>
      </c>
      <c r="C739" s="3" t="n">
        <v>15</v>
      </c>
      <c r="D739" s="3" t="n">
        <v>0</v>
      </c>
      <c r="E739" s="3" t="n">
        <v>2</v>
      </c>
      <c r="F739" s="24" t="n">
        <v>0.826025844</v>
      </c>
    </row>
    <row r="740" customFormat="false" ht="15" hidden="false" customHeight="false" outlineLevel="0" collapsed="false">
      <c r="A740" s="3" t="n">
        <v>739</v>
      </c>
      <c r="B740" s="3" t="n">
        <v>738</v>
      </c>
      <c r="C740" s="3" t="n">
        <v>15</v>
      </c>
      <c r="D740" s="3" t="n">
        <v>0</v>
      </c>
      <c r="E740" s="3" t="n">
        <v>3</v>
      </c>
      <c r="F740" s="24" t="n">
        <v>0.826025844</v>
      </c>
    </row>
    <row r="741" customFormat="false" ht="15" hidden="false" customHeight="false" outlineLevel="0" collapsed="false">
      <c r="A741" s="3" t="n">
        <v>740</v>
      </c>
      <c r="B741" s="3" t="n">
        <v>739</v>
      </c>
      <c r="C741" s="3" t="n">
        <v>15</v>
      </c>
      <c r="D741" s="3" t="n">
        <v>0</v>
      </c>
      <c r="E741" s="3" t="n">
        <v>4</v>
      </c>
      <c r="F741" s="24" t="n">
        <v>0.826025844</v>
      </c>
    </row>
    <row r="742" customFormat="false" ht="15" hidden="false" customHeight="false" outlineLevel="0" collapsed="false">
      <c r="A742" s="3" t="n">
        <v>741</v>
      </c>
      <c r="B742" s="3" t="n">
        <v>740</v>
      </c>
      <c r="C742" s="3" t="n">
        <v>15</v>
      </c>
      <c r="D742" s="3" t="n">
        <v>0</v>
      </c>
      <c r="E742" s="3" t="n">
        <v>5</v>
      </c>
      <c r="F742" s="24" t="n">
        <v>0.826025844</v>
      </c>
    </row>
    <row r="743" customFormat="false" ht="15" hidden="false" customHeight="false" outlineLevel="0" collapsed="false">
      <c r="A743" s="3" t="n">
        <v>742</v>
      </c>
      <c r="B743" s="3" t="n">
        <v>741</v>
      </c>
      <c r="C743" s="3" t="n">
        <v>15</v>
      </c>
      <c r="D743" s="3" t="n">
        <v>0</v>
      </c>
      <c r="E743" s="3" t="n">
        <v>6</v>
      </c>
      <c r="F743" s="24" t="n">
        <v>0.657663286</v>
      </c>
    </row>
    <row r="744" customFormat="false" ht="15" hidden="false" customHeight="false" outlineLevel="0" collapsed="false">
      <c r="A744" s="3" t="n">
        <v>743</v>
      </c>
      <c r="B744" s="3" t="n">
        <v>742</v>
      </c>
      <c r="C744" s="3" t="n">
        <v>15</v>
      </c>
      <c r="D744" s="3" t="n">
        <v>1</v>
      </c>
      <c r="E744" s="3" t="n">
        <v>0</v>
      </c>
      <c r="F744" s="24" t="n">
        <v>0.158075586</v>
      </c>
    </row>
    <row r="745" customFormat="false" ht="15" hidden="false" customHeight="false" outlineLevel="0" collapsed="false">
      <c r="A745" s="3" t="n">
        <v>744</v>
      </c>
      <c r="B745" s="3" t="n">
        <v>743</v>
      </c>
      <c r="C745" s="3" t="n">
        <v>15</v>
      </c>
      <c r="D745" s="3" t="n">
        <v>1</v>
      </c>
      <c r="E745" s="3" t="n">
        <v>1</v>
      </c>
      <c r="F745" s="24" t="n">
        <v>2.90404892</v>
      </c>
    </row>
    <row r="746" customFormat="false" ht="15" hidden="false" customHeight="false" outlineLevel="0" collapsed="false">
      <c r="A746" s="3" t="n">
        <v>745</v>
      </c>
      <c r="B746" s="3" t="n">
        <v>744</v>
      </c>
      <c r="C746" s="3" t="n">
        <v>15</v>
      </c>
      <c r="D746" s="3" t="n">
        <v>1</v>
      </c>
      <c r="E746" s="3" t="n">
        <v>2</v>
      </c>
      <c r="F746" s="24" t="n">
        <v>0.239556327</v>
      </c>
    </row>
    <row r="747" customFormat="false" ht="15" hidden="false" customHeight="false" outlineLevel="0" collapsed="false">
      <c r="A747" s="3" t="n">
        <v>746</v>
      </c>
      <c r="B747" s="3" t="n">
        <v>745</v>
      </c>
      <c r="C747" s="3" t="n">
        <v>15</v>
      </c>
      <c r="D747" s="3" t="n">
        <v>1</v>
      </c>
      <c r="E747" s="3" t="n">
        <v>3</v>
      </c>
      <c r="F747" s="24" t="n">
        <v>0</v>
      </c>
    </row>
    <row r="748" customFormat="false" ht="15" hidden="false" customHeight="false" outlineLevel="0" collapsed="false">
      <c r="A748" s="3" t="n">
        <v>747</v>
      </c>
      <c r="B748" s="3" t="n">
        <v>746</v>
      </c>
      <c r="C748" s="3" t="n">
        <v>15</v>
      </c>
      <c r="D748" s="3" t="n">
        <v>1</v>
      </c>
      <c r="E748" s="3" t="n">
        <v>4</v>
      </c>
      <c r="F748" s="24" t="n">
        <v>0</v>
      </c>
    </row>
    <row r="749" customFormat="false" ht="15" hidden="false" customHeight="false" outlineLevel="0" collapsed="false">
      <c r="A749" s="3" t="n">
        <v>748</v>
      </c>
      <c r="B749" s="3" t="n">
        <v>747</v>
      </c>
      <c r="C749" s="3" t="n">
        <v>15</v>
      </c>
      <c r="D749" s="3" t="n">
        <v>1</v>
      </c>
      <c r="E749" s="3" t="n">
        <v>5</v>
      </c>
      <c r="F749" s="24" t="n">
        <v>0</v>
      </c>
    </row>
    <row r="750" customFormat="false" ht="15" hidden="false" customHeight="false" outlineLevel="0" collapsed="false">
      <c r="A750" s="3" t="n">
        <v>749</v>
      </c>
      <c r="B750" s="3" t="n">
        <v>748</v>
      </c>
      <c r="C750" s="3" t="n">
        <v>15</v>
      </c>
      <c r="D750" s="3" t="n">
        <v>1</v>
      </c>
      <c r="E750" s="3" t="n">
        <v>6</v>
      </c>
      <c r="F750" s="24" t="n">
        <v>0</v>
      </c>
    </row>
    <row r="751" customFormat="false" ht="15" hidden="false" customHeight="false" outlineLevel="0" collapsed="false">
      <c r="A751" s="3" t="n">
        <v>750</v>
      </c>
      <c r="B751" s="3" t="n">
        <v>749</v>
      </c>
      <c r="C751" s="3" t="n">
        <v>15</v>
      </c>
      <c r="D751" s="3" t="n">
        <v>2</v>
      </c>
      <c r="E751" s="3" t="n">
        <v>0</v>
      </c>
      <c r="F751" s="24" t="n">
        <v>0.158075586</v>
      </c>
    </row>
    <row r="752" customFormat="false" ht="15" hidden="false" customHeight="false" outlineLevel="0" collapsed="false">
      <c r="A752" s="3" t="n">
        <v>751</v>
      </c>
      <c r="B752" s="3" t="n">
        <v>750</v>
      </c>
      <c r="C752" s="3" t="n">
        <v>15</v>
      </c>
      <c r="D752" s="3" t="n">
        <v>2</v>
      </c>
      <c r="E752" s="3" t="n">
        <v>1</v>
      </c>
      <c r="F752" s="24" t="n">
        <v>4.86983681</v>
      </c>
    </row>
    <row r="753" customFormat="false" ht="15" hidden="false" customHeight="false" outlineLevel="0" collapsed="false">
      <c r="A753" s="3" t="n">
        <v>752</v>
      </c>
      <c r="B753" s="3" t="n">
        <v>751</v>
      </c>
      <c r="C753" s="3" t="n">
        <v>15</v>
      </c>
      <c r="D753" s="3" t="n">
        <v>2</v>
      </c>
      <c r="E753" s="3" t="n">
        <v>2</v>
      </c>
      <c r="F753" s="24" t="n">
        <v>10.3309345</v>
      </c>
    </row>
    <row r="754" customFormat="false" ht="15" hidden="false" customHeight="false" outlineLevel="0" collapsed="false">
      <c r="A754" s="3" t="n">
        <v>753</v>
      </c>
      <c r="B754" s="3" t="n">
        <v>752</v>
      </c>
      <c r="C754" s="3" t="n">
        <v>15</v>
      </c>
      <c r="D754" s="3" t="n">
        <v>2</v>
      </c>
      <c r="E754" s="3" t="n">
        <v>3</v>
      </c>
      <c r="F754" s="24" t="n">
        <v>9.93035889</v>
      </c>
    </row>
    <row r="755" customFormat="false" ht="15" hidden="false" customHeight="false" outlineLevel="0" collapsed="false">
      <c r="A755" s="3" t="n">
        <v>754</v>
      </c>
      <c r="B755" s="3" t="n">
        <v>753</v>
      </c>
      <c r="C755" s="3" t="n">
        <v>15</v>
      </c>
      <c r="D755" s="3" t="n">
        <v>2</v>
      </c>
      <c r="E755" s="3" t="n">
        <v>4</v>
      </c>
      <c r="F755" s="24" t="n">
        <v>8.72967529</v>
      </c>
    </row>
    <row r="756" customFormat="false" ht="15" hidden="false" customHeight="false" outlineLevel="0" collapsed="false">
      <c r="A756" s="3" t="n">
        <v>755</v>
      </c>
      <c r="B756" s="3" t="n">
        <v>754</v>
      </c>
      <c r="C756" s="3" t="n">
        <v>15</v>
      </c>
      <c r="D756" s="3" t="n">
        <v>2</v>
      </c>
      <c r="E756" s="3" t="n">
        <v>5</v>
      </c>
      <c r="F756" s="24" t="n">
        <v>2.5661633</v>
      </c>
    </row>
    <row r="757" customFormat="false" ht="15" hidden="false" customHeight="false" outlineLevel="0" collapsed="false">
      <c r="A757" s="3" t="n">
        <v>756</v>
      </c>
      <c r="B757" s="3" t="n">
        <v>755</v>
      </c>
      <c r="C757" s="3" t="n">
        <v>15</v>
      </c>
      <c r="D757" s="3" t="n">
        <v>2</v>
      </c>
      <c r="E757" s="3" t="n">
        <v>6</v>
      </c>
      <c r="F757" s="24" t="n">
        <v>0</v>
      </c>
    </row>
    <row r="758" customFormat="false" ht="15" hidden="false" customHeight="false" outlineLevel="0" collapsed="false">
      <c r="A758" s="3" t="n">
        <v>757</v>
      </c>
      <c r="B758" s="3" t="n">
        <v>756</v>
      </c>
      <c r="C758" s="3" t="n">
        <v>15</v>
      </c>
      <c r="D758" s="3" t="n">
        <v>3</v>
      </c>
      <c r="E758" s="3" t="n">
        <v>0</v>
      </c>
      <c r="F758" s="24" t="n">
        <v>0.158075586</v>
      </c>
    </row>
    <row r="759" customFormat="false" ht="15" hidden="false" customHeight="false" outlineLevel="0" collapsed="false">
      <c r="A759" s="3" t="n">
        <v>758</v>
      </c>
      <c r="B759" s="3" t="n">
        <v>757</v>
      </c>
      <c r="C759" s="3" t="n">
        <v>15</v>
      </c>
      <c r="D759" s="3" t="n">
        <v>3</v>
      </c>
      <c r="E759" s="3" t="n">
        <v>1</v>
      </c>
      <c r="F759" s="24" t="n">
        <v>0</v>
      </c>
    </row>
    <row r="760" customFormat="false" ht="15" hidden="false" customHeight="false" outlineLevel="0" collapsed="false">
      <c r="A760" s="3" t="n">
        <v>759</v>
      </c>
      <c r="B760" s="3" t="n">
        <v>758</v>
      </c>
      <c r="C760" s="3" t="n">
        <v>15</v>
      </c>
      <c r="D760" s="3" t="n">
        <v>3</v>
      </c>
      <c r="E760" s="3" t="n">
        <v>2</v>
      </c>
      <c r="F760" s="24" t="n">
        <v>0</v>
      </c>
    </row>
    <row r="761" customFormat="false" ht="15" hidden="false" customHeight="false" outlineLevel="0" collapsed="false">
      <c r="A761" s="3" t="n">
        <v>760</v>
      </c>
      <c r="B761" s="3" t="n">
        <v>759</v>
      </c>
      <c r="C761" s="3" t="n">
        <v>15</v>
      </c>
      <c r="D761" s="3" t="n">
        <v>3</v>
      </c>
      <c r="E761" s="3" t="n">
        <v>3</v>
      </c>
      <c r="F761" s="24" t="n">
        <v>0</v>
      </c>
    </row>
    <row r="762" customFormat="false" ht="15" hidden="false" customHeight="false" outlineLevel="0" collapsed="false">
      <c r="A762" s="3" t="n">
        <v>761</v>
      </c>
      <c r="B762" s="3" t="n">
        <v>760</v>
      </c>
      <c r="C762" s="3" t="n">
        <v>15</v>
      </c>
      <c r="D762" s="3" t="n">
        <v>3</v>
      </c>
      <c r="E762" s="3" t="n">
        <v>4</v>
      </c>
      <c r="F762" s="24" t="n">
        <v>0</v>
      </c>
    </row>
    <row r="763" customFormat="false" ht="15" hidden="false" customHeight="false" outlineLevel="0" collapsed="false">
      <c r="A763" s="3" t="n">
        <v>762</v>
      </c>
      <c r="B763" s="3" t="n">
        <v>761</v>
      </c>
      <c r="C763" s="3" t="n">
        <v>15</v>
      </c>
      <c r="D763" s="3" t="n">
        <v>3</v>
      </c>
      <c r="E763" s="3" t="n">
        <v>5</v>
      </c>
      <c r="F763" s="24" t="n">
        <v>0</v>
      </c>
    </row>
    <row r="764" customFormat="false" ht="15" hidden="false" customHeight="false" outlineLevel="0" collapsed="false">
      <c r="A764" s="3" t="n">
        <v>763</v>
      </c>
      <c r="B764" s="3" t="n">
        <v>762</v>
      </c>
      <c r="C764" s="3" t="n">
        <v>15</v>
      </c>
      <c r="D764" s="3" t="n">
        <v>3</v>
      </c>
      <c r="E764" s="3" t="n">
        <v>6</v>
      </c>
      <c r="F764" s="24" t="n">
        <v>0</v>
      </c>
    </row>
    <row r="765" customFormat="false" ht="15" hidden="false" customHeight="false" outlineLevel="0" collapsed="false">
      <c r="A765" s="3" t="n">
        <v>764</v>
      </c>
      <c r="B765" s="3" t="n">
        <v>763</v>
      </c>
      <c r="C765" s="3" t="n">
        <v>15</v>
      </c>
      <c r="D765" s="3" t="n">
        <v>4</v>
      </c>
      <c r="E765" s="3" t="n">
        <v>0</v>
      </c>
      <c r="F765" s="24" t="n">
        <v>0.158075586</v>
      </c>
    </row>
    <row r="766" customFormat="false" ht="15" hidden="false" customHeight="false" outlineLevel="0" collapsed="false">
      <c r="A766" s="3" t="n">
        <v>765</v>
      </c>
      <c r="B766" s="3" t="n">
        <v>764</v>
      </c>
      <c r="C766" s="3" t="n">
        <v>15</v>
      </c>
      <c r="D766" s="3" t="n">
        <v>4</v>
      </c>
      <c r="E766" s="3" t="n">
        <v>1</v>
      </c>
      <c r="F766" s="24" t="n">
        <v>0</v>
      </c>
    </row>
    <row r="767" customFormat="false" ht="15" hidden="false" customHeight="false" outlineLevel="0" collapsed="false">
      <c r="A767" s="3" t="n">
        <v>766</v>
      </c>
      <c r="B767" s="3" t="n">
        <v>765</v>
      </c>
      <c r="C767" s="3" t="n">
        <v>15</v>
      </c>
      <c r="D767" s="3" t="n">
        <v>4</v>
      </c>
      <c r="E767" s="3" t="n">
        <v>2</v>
      </c>
      <c r="F767" s="24" t="n">
        <v>0</v>
      </c>
    </row>
    <row r="768" customFormat="false" ht="15" hidden="false" customHeight="false" outlineLevel="0" collapsed="false">
      <c r="A768" s="3" t="n">
        <v>767</v>
      </c>
      <c r="B768" s="3" t="n">
        <v>766</v>
      </c>
      <c r="C768" s="3" t="n">
        <v>15</v>
      </c>
      <c r="D768" s="3" t="n">
        <v>4</v>
      </c>
      <c r="E768" s="3" t="n">
        <v>3</v>
      </c>
      <c r="F768" s="24" t="n">
        <v>0</v>
      </c>
    </row>
    <row r="769" customFormat="false" ht="15" hidden="false" customHeight="false" outlineLevel="0" collapsed="false">
      <c r="A769" s="3" t="n">
        <v>768</v>
      </c>
      <c r="B769" s="3" t="n">
        <v>767</v>
      </c>
      <c r="C769" s="3" t="n">
        <v>15</v>
      </c>
      <c r="D769" s="3" t="n">
        <v>4</v>
      </c>
      <c r="E769" s="3" t="n">
        <v>4</v>
      </c>
      <c r="F769" s="24" t="n">
        <v>0</v>
      </c>
    </row>
    <row r="770" customFormat="false" ht="15" hidden="false" customHeight="false" outlineLevel="0" collapsed="false">
      <c r="A770" s="3" t="n">
        <v>769</v>
      </c>
      <c r="B770" s="3" t="n">
        <v>768</v>
      </c>
      <c r="C770" s="3" t="n">
        <v>15</v>
      </c>
      <c r="D770" s="3" t="n">
        <v>4</v>
      </c>
      <c r="E770" s="3" t="n">
        <v>5</v>
      </c>
      <c r="F770" s="24" t="n">
        <v>0</v>
      </c>
    </row>
    <row r="771" customFormat="false" ht="15" hidden="false" customHeight="false" outlineLevel="0" collapsed="false">
      <c r="A771" s="3" t="n">
        <v>770</v>
      </c>
      <c r="B771" s="3" t="n">
        <v>769</v>
      </c>
      <c r="C771" s="3" t="n">
        <v>15</v>
      </c>
      <c r="D771" s="3" t="n">
        <v>4</v>
      </c>
      <c r="E771" s="3" t="n">
        <v>6</v>
      </c>
      <c r="F771" s="24" t="n">
        <v>0</v>
      </c>
    </row>
    <row r="772" customFormat="false" ht="15" hidden="false" customHeight="false" outlineLevel="0" collapsed="false">
      <c r="A772" s="3" t="n">
        <v>771</v>
      </c>
      <c r="B772" s="3" t="n">
        <v>770</v>
      </c>
      <c r="C772" s="3" t="n">
        <v>15</v>
      </c>
      <c r="D772" s="3" t="n">
        <v>5</v>
      </c>
      <c r="E772" s="3" t="n">
        <v>0</v>
      </c>
      <c r="F772" s="24" t="n">
        <v>0.158075586</v>
      </c>
    </row>
    <row r="773" customFormat="false" ht="15" hidden="false" customHeight="false" outlineLevel="0" collapsed="false">
      <c r="A773" s="3" t="n">
        <v>772</v>
      </c>
      <c r="B773" s="3" t="n">
        <v>771</v>
      </c>
      <c r="C773" s="3" t="n">
        <v>15</v>
      </c>
      <c r="D773" s="3" t="n">
        <v>5</v>
      </c>
      <c r="E773" s="3" t="n">
        <v>1</v>
      </c>
      <c r="F773" s="24" t="n">
        <v>0</v>
      </c>
    </row>
    <row r="774" customFormat="false" ht="15" hidden="false" customHeight="false" outlineLevel="0" collapsed="false">
      <c r="A774" s="3" t="n">
        <v>773</v>
      </c>
      <c r="B774" s="3" t="n">
        <v>772</v>
      </c>
      <c r="C774" s="3" t="n">
        <v>15</v>
      </c>
      <c r="D774" s="3" t="n">
        <v>5</v>
      </c>
      <c r="E774" s="3" t="n">
        <v>2</v>
      </c>
      <c r="F774" s="24" t="n">
        <v>0</v>
      </c>
    </row>
    <row r="775" customFormat="false" ht="15" hidden="false" customHeight="false" outlineLevel="0" collapsed="false">
      <c r="A775" s="3" t="n">
        <v>774</v>
      </c>
      <c r="B775" s="3" t="n">
        <v>773</v>
      </c>
      <c r="C775" s="3" t="n">
        <v>15</v>
      </c>
      <c r="D775" s="3" t="n">
        <v>5</v>
      </c>
      <c r="E775" s="3" t="n">
        <v>3</v>
      </c>
      <c r="F775" s="24" t="n">
        <v>0</v>
      </c>
    </row>
    <row r="776" customFormat="false" ht="15" hidden="false" customHeight="false" outlineLevel="0" collapsed="false">
      <c r="A776" s="3" t="n">
        <v>775</v>
      </c>
      <c r="B776" s="3" t="n">
        <v>774</v>
      </c>
      <c r="C776" s="3" t="n">
        <v>15</v>
      </c>
      <c r="D776" s="3" t="n">
        <v>5</v>
      </c>
      <c r="E776" s="3" t="n">
        <v>4</v>
      </c>
      <c r="F776" s="24" t="n">
        <v>0.2637043</v>
      </c>
    </row>
    <row r="777" customFormat="false" ht="15" hidden="false" customHeight="false" outlineLevel="0" collapsed="false">
      <c r="A777" s="3" t="n">
        <v>776</v>
      </c>
      <c r="B777" s="3" t="n">
        <v>775</v>
      </c>
      <c r="C777" s="3" t="n">
        <v>15</v>
      </c>
      <c r="D777" s="3" t="n">
        <v>5</v>
      </c>
      <c r="E777" s="3" t="n">
        <v>5</v>
      </c>
      <c r="F777" s="24" t="n">
        <v>0</v>
      </c>
    </row>
    <row r="778" customFormat="false" ht="15" hidden="false" customHeight="false" outlineLevel="0" collapsed="false">
      <c r="A778" s="3" t="n">
        <v>777</v>
      </c>
      <c r="B778" s="3" t="n">
        <v>776</v>
      </c>
      <c r="C778" s="3" t="n">
        <v>15</v>
      </c>
      <c r="D778" s="3" t="n">
        <v>5</v>
      </c>
      <c r="E778" s="3" t="n">
        <v>6</v>
      </c>
      <c r="F778" s="24" t="n">
        <v>0</v>
      </c>
    </row>
    <row r="779" customFormat="false" ht="15" hidden="false" customHeight="false" outlineLevel="0" collapsed="false">
      <c r="A779" s="3" t="n">
        <v>778</v>
      </c>
      <c r="B779" s="3" t="n">
        <v>777</v>
      </c>
      <c r="C779" s="3" t="n">
        <v>15</v>
      </c>
      <c r="D779" s="3" t="n">
        <v>6</v>
      </c>
      <c r="E779" s="3" t="n">
        <v>0</v>
      </c>
      <c r="F779" s="24" t="n">
        <v>0.305787921</v>
      </c>
    </row>
    <row r="780" customFormat="false" ht="15" hidden="false" customHeight="false" outlineLevel="0" collapsed="false">
      <c r="A780" s="3" t="n">
        <v>779</v>
      </c>
      <c r="B780" s="3" t="n">
        <v>778</v>
      </c>
      <c r="C780" s="3" t="n">
        <v>15</v>
      </c>
      <c r="D780" s="3" t="n">
        <v>6</v>
      </c>
      <c r="E780" s="3" t="n">
        <v>1</v>
      </c>
      <c r="F780" s="24" t="n">
        <v>0.249885723</v>
      </c>
    </row>
    <row r="781" customFormat="false" ht="15" hidden="false" customHeight="false" outlineLevel="0" collapsed="false">
      <c r="A781" s="3" t="n">
        <v>780</v>
      </c>
      <c r="B781" s="3" t="n">
        <v>779</v>
      </c>
      <c r="C781" s="3" t="n">
        <v>15</v>
      </c>
      <c r="D781" s="3" t="n">
        <v>6</v>
      </c>
      <c r="E781" s="3" t="n">
        <v>2</v>
      </c>
      <c r="F781" s="24" t="n">
        <v>1.53077626</v>
      </c>
    </row>
    <row r="782" customFormat="false" ht="15" hidden="false" customHeight="false" outlineLevel="0" collapsed="false">
      <c r="A782" s="3" t="n">
        <v>781</v>
      </c>
      <c r="B782" s="3" t="n">
        <v>780</v>
      </c>
      <c r="C782" s="3" t="n">
        <v>15</v>
      </c>
      <c r="D782" s="3" t="n">
        <v>6</v>
      </c>
      <c r="E782" s="3" t="n">
        <v>3</v>
      </c>
      <c r="F782" s="24" t="n">
        <v>2.44248652</v>
      </c>
    </row>
    <row r="783" customFormat="false" ht="15" hidden="false" customHeight="false" outlineLevel="0" collapsed="false">
      <c r="A783" s="3" t="n">
        <v>782</v>
      </c>
      <c r="B783" s="3" t="n">
        <v>781</v>
      </c>
      <c r="C783" s="3" t="n">
        <v>15</v>
      </c>
      <c r="D783" s="3" t="n">
        <v>6</v>
      </c>
      <c r="E783" s="3" t="n">
        <v>4</v>
      </c>
      <c r="F783" s="24" t="n">
        <v>0.249885723</v>
      </c>
    </row>
    <row r="784" customFormat="false" ht="15" hidden="false" customHeight="false" outlineLevel="0" collapsed="false">
      <c r="A784" s="3" t="n">
        <v>783</v>
      </c>
      <c r="B784" s="3" t="n">
        <v>782</v>
      </c>
      <c r="C784" s="3" t="n">
        <v>15</v>
      </c>
      <c r="D784" s="3" t="n">
        <v>6</v>
      </c>
      <c r="E784" s="3" t="n">
        <v>5</v>
      </c>
      <c r="F784" s="24" t="n">
        <v>0.249885723</v>
      </c>
    </row>
    <row r="785" customFormat="false" ht="15" hidden="false" customHeight="false" outlineLevel="0" collapsed="false">
      <c r="A785" s="3" t="n">
        <v>784</v>
      </c>
      <c r="B785" s="3" t="n">
        <v>783</v>
      </c>
      <c r="C785" s="3" t="n">
        <v>15</v>
      </c>
      <c r="D785" s="3" t="n">
        <v>6</v>
      </c>
      <c r="E785" s="3" t="n">
        <v>6</v>
      </c>
      <c r="F785" s="24" t="n">
        <v>0.0108617991</v>
      </c>
    </row>
  </sheetData>
  <autoFilter ref="A1:F7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5" min="3" style="0" width="8"/>
    <col collapsed="false" customWidth="true" hidden="false" outlineLevel="0" max="6" min="6" style="0" width="14"/>
  </cols>
  <sheetData>
    <row r="1" customFormat="false" ht="23.85" hidden="false" customHeight="false" outlineLevel="0" collapsed="false">
      <c r="A1" s="9" t="s">
        <v>109</v>
      </c>
      <c r="B1" s="9" t="s">
        <v>110</v>
      </c>
      <c r="C1" s="9" t="s">
        <v>121</v>
      </c>
      <c r="D1" s="9" t="s">
        <v>122</v>
      </c>
      <c r="E1" s="9" t="s">
        <v>123</v>
      </c>
      <c r="F1" s="9" t="s">
        <v>114</v>
      </c>
      <c r="H1" s="4" t="s">
        <v>131</v>
      </c>
    </row>
    <row r="2" customFormat="false" ht="15" hidden="false" customHeight="false" outlineLevel="0" collapsed="false">
      <c r="A2" s="3" t="n">
        <v>1</v>
      </c>
      <c r="B2" s="3" t="n">
        <v>0</v>
      </c>
      <c r="C2" s="3" t="n">
        <v>0</v>
      </c>
      <c r="D2" s="3" t="n">
        <v>0</v>
      </c>
      <c r="E2" s="3" t="n">
        <v>0</v>
      </c>
      <c r="F2" s="24" t="n">
        <v>0.0634152889</v>
      </c>
    </row>
    <row r="3" customFormat="false" ht="15" hidden="false" customHeight="false" outlineLevel="0" collapsed="false">
      <c r="A3" s="3" t="n">
        <v>2</v>
      </c>
      <c r="B3" s="3" t="n">
        <v>1</v>
      </c>
      <c r="C3" s="3" t="n">
        <v>0</v>
      </c>
      <c r="D3" s="3" t="n">
        <v>0</v>
      </c>
      <c r="E3" s="3" t="n">
        <v>1</v>
      </c>
      <c r="F3" s="24" t="n">
        <v>-10.1486635</v>
      </c>
    </row>
    <row r="4" customFormat="false" ht="15" hidden="false" customHeight="false" outlineLevel="0" collapsed="false">
      <c r="A4" s="3" t="n">
        <v>3</v>
      </c>
      <c r="B4" s="3" t="n">
        <v>2</v>
      </c>
      <c r="C4" s="3" t="n">
        <v>0</v>
      </c>
      <c r="D4" s="3" t="n">
        <v>0</v>
      </c>
      <c r="E4" s="3" t="n">
        <v>2</v>
      </c>
      <c r="F4" s="24" t="n">
        <v>-16.0589199</v>
      </c>
    </row>
    <row r="5" customFormat="false" ht="15" hidden="false" customHeight="false" outlineLevel="0" collapsed="false">
      <c r="A5" s="3" t="n">
        <v>4</v>
      </c>
      <c r="B5" s="3" t="n">
        <v>3</v>
      </c>
      <c r="C5" s="3" t="n">
        <v>0</v>
      </c>
      <c r="D5" s="3" t="n">
        <v>0</v>
      </c>
      <c r="E5" s="3" t="n">
        <v>3</v>
      </c>
      <c r="F5" s="24" t="n">
        <v>-11.8491392</v>
      </c>
    </row>
    <row r="6" customFormat="false" ht="15" hidden="false" customHeight="false" outlineLevel="0" collapsed="false">
      <c r="A6" s="3" t="n">
        <v>5</v>
      </c>
      <c r="B6" s="3" t="n">
        <v>4</v>
      </c>
      <c r="C6" s="3" t="n">
        <v>0</v>
      </c>
      <c r="D6" s="3" t="n">
        <v>0</v>
      </c>
      <c r="E6" s="3" t="n">
        <v>4</v>
      </c>
      <c r="F6" s="24" t="n">
        <v>-14.5098734</v>
      </c>
    </row>
    <row r="7" customFormat="false" ht="15" hidden="false" customHeight="false" outlineLevel="0" collapsed="false">
      <c r="A7" s="3" t="n">
        <v>6</v>
      </c>
      <c r="B7" s="3" t="n">
        <v>5</v>
      </c>
      <c r="C7" s="3" t="n">
        <v>0</v>
      </c>
      <c r="D7" s="3" t="n">
        <v>0</v>
      </c>
      <c r="E7" s="3" t="n">
        <v>5</v>
      </c>
      <c r="F7" s="24" t="n">
        <v>-10.2799263</v>
      </c>
    </row>
    <row r="8" customFormat="false" ht="15" hidden="false" customHeight="false" outlineLevel="0" collapsed="false">
      <c r="A8" s="3" t="n">
        <v>7</v>
      </c>
      <c r="B8" s="3" t="n">
        <v>6</v>
      </c>
      <c r="C8" s="3" t="n">
        <v>0</v>
      </c>
      <c r="D8" s="3" t="n">
        <v>0</v>
      </c>
      <c r="E8" s="3" t="n">
        <v>6</v>
      </c>
      <c r="F8" s="24" t="n">
        <v>0.586432159</v>
      </c>
    </row>
    <row r="9" customFormat="false" ht="15" hidden="false" customHeight="false" outlineLevel="0" collapsed="false">
      <c r="A9" s="3" t="n">
        <v>8</v>
      </c>
      <c r="B9" s="3" t="n">
        <v>7</v>
      </c>
      <c r="C9" s="3" t="n">
        <v>0</v>
      </c>
      <c r="D9" s="3" t="n">
        <v>1</v>
      </c>
      <c r="E9" s="3" t="n">
        <v>0</v>
      </c>
      <c r="F9" s="24" t="n">
        <v>-8.49058056</v>
      </c>
    </row>
    <row r="10" customFormat="false" ht="15" hidden="false" customHeight="false" outlineLevel="0" collapsed="false">
      <c r="A10" s="3" t="n">
        <v>9</v>
      </c>
      <c r="B10" s="3" t="n">
        <v>8</v>
      </c>
      <c r="C10" s="3" t="n">
        <v>0</v>
      </c>
      <c r="D10" s="3" t="n">
        <v>1</v>
      </c>
      <c r="E10" s="3" t="n">
        <v>1</v>
      </c>
      <c r="F10" s="24" t="n">
        <v>-21.824213</v>
      </c>
    </row>
    <row r="11" customFormat="false" ht="15" hidden="false" customHeight="false" outlineLevel="0" collapsed="false">
      <c r="A11" s="3" t="n">
        <v>10</v>
      </c>
      <c r="B11" s="3" t="n">
        <v>9</v>
      </c>
      <c r="C11" s="3" t="n">
        <v>0</v>
      </c>
      <c r="D11" s="3" t="n">
        <v>1</v>
      </c>
      <c r="E11" s="3" t="n">
        <v>2</v>
      </c>
      <c r="F11" s="24" t="n">
        <v>-17.6519661</v>
      </c>
    </row>
    <row r="12" customFormat="false" ht="15" hidden="false" customHeight="false" outlineLevel="0" collapsed="false">
      <c r="A12" s="3" t="n">
        <v>11</v>
      </c>
      <c r="B12" s="3" t="n">
        <v>10</v>
      </c>
      <c r="C12" s="3" t="n">
        <v>0</v>
      </c>
      <c r="D12" s="3" t="n">
        <v>1</v>
      </c>
      <c r="E12" s="3" t="n">
        <v>3</v>
      </c>
      <c r="F12" s="24" t="n">
        <v>-18.0952587</v>
      </c>
    </row>
    <row r="13" customFormat="false" ht="15" hidden="false" customHeight="false" outlineLevel="0" collapsed="false">
      <c r="A13" s="3" t="n">
        <v>12</v>
      </c>
      <c r="B13" s="3" t="n">
        <v>11</v>
      </c>
      <c r="C13" s="3" t="n">
        <v>0</v>
      </c>
      <c r="D13" s="3" t="n">
        <v>1</v>
      </c>
      <c r="E13" s="3" t="n">
        <v>4</v>
      </c>
      <c r="F13" s="24" t="n">
        <v>-21.441206</v>
      </c>
    </row>
    <row r="14" customFormat="false" ht="15" hidden="false" customHeight="false" outlineLevel="0" collapsed="false">
      <c r="A14" s="3" t="n">
        <v>13</v>
      </c>
      <c r="B14" s="3" t="n">
        <v>12</v>
      </c>
      <c r="C14" s="3" t="n">
        <v>0</v>
      </c>
      <c r="D14" s="3" t="n">
        <v>1</v>
      </c>
      <c r="E14" s="3" t="n">
        <v>5</v>
      </c>
      <c r="F14" s="24" t="n">
        <v>-6.70201302</v>
      </c>
    </row>
    <row r="15" customFormat="false" ht="15" hidden="false" customHeight="false" outlineLevel="0" collapsed="false">
      <c r="A15" s="3" t="n">
        <v>14</v>
      </c>
      <c r="B15" s="3" t="n">
        <v>13</v>
      </c>
      <c r="C15" s="3" t="n">
        <v>0</v>
      </c>
      <c r="D15" s="3" t="n">
        <v>1</v>
      </c>
      <c r="E15" s="3" t="n">
        <v>6</v>
      </c>
      <c r="F15" s="24" t="n">
        <v>3.3790729</v>
      </c>
    </row>
    <row r="16" customFormat="false" ht="15" hidden="false" customHeight="false" outlineLevel="0" collapsed="false">
      <c r="A16" s="3" t="n">
        <v>15</v>
      </c>
      <c r="B16" s="3" t="n">
        <v>14</v>
      </c>
      <c r="C16" s="3" t="n">
        <v>0</v>
      </c>
      <c r="D16" s="3" t="n">
        <v>2</v>
      </c>
      <c r="E16" s="3" t="n">
        <v>0</v>
      </c>
      <c r="F16" s="24" t="n">
        <v>2.49002624</v>
      </c>
    </row>
    <row r="17" customFormat="false" ht="15" hidden="false" customHeight="false" outlineLevel="0" collapsed="false">
      <c r="A17" s="3" t="n">
        <v>16</v>
      </c>
      <c r="B17" s="3" t="n">
        <v>15</v>
      </c>
      <c r="C17" s="3" t="n">
        <v>0</v>
      </c>
      <c r="D17" s="3" t="n">
        <v>2</v>
      </c>
      <c r="E17" s="3" t="n">
        <v>1</v>
      </c>
      <c r="F17" s="24" t="n">
        <v>-2.41381145</v>
      </c>
    </row>
    <row r="18" customFormat="false" ht="15" hidden="false" customHeight="false" outlineLevel="0" collapsed="false">
      <c r="A18" s="3" t="n">
        <v>17</v>
      </c>
      <c r="B18" s="3" t="n">
        <v>16</v>
      </c>
      <c r="C18" s="3" t="n">
        <v>0</v>
      </c>
      <c r="D18" s="3" t="n">
        <v>2</v>
      </c>
      <c r="E18" s="3" t="n">
        <v>2</v>
      </c>
      <c r="F18" s="24" t="n">
        <v>-6.00164127</v>
      </c>
    </row>
    <row r="19" customFormat="false" ht="15" hidden="false" customHeight="false" outlineLevel="0" collapsed="false">
      <c r="A19" s="3" t="n">
        <v>18</v>
      </c>
      <c r="B19" s="3" t="n">
        <v>17</v>
      </c>
      <c r="C19" s="3" t="n">
        <v>0</v>
      </c>
      <c r="D19" s="3" t="n">
        <v>2</v>
      </c>
      <c r="E19" s="3" t="n">
        <v>3</v>
      </c>
      <c r="F19" s="24" t="n">
        <v>-7.07479</v>
      </c>
    </row>
    <row r="20" customFormat="false" ht="15" hidden="false" customHeight="false" outlineLevel="0" collapsed="false">
      <c r="A20" s="3" t="n">
        <v>19</v>
      </c>
      <c r="B20" s="3" t="n">
        <v>18</v>
      </c>
      <c r="C20" s="3" t="n">
        <v>0</v>
      </c>
      <c r="D20" s="3" t="n">
        <v>2</v>
      </c>
      <c r="E20" s="3" t="n">
        <v>4</v>
      </c>
      <c r="F20" s="24" t="n">
        <v>-9.15182018</v>
      </c>
    </row>
    <row r="21" customFormat="false" ht="15" hidden="false" customHeight="false" outlineLevel="0" collapsed="false">
      <c r="A21" s="3" t="n">
        <v>20</v>
      </c>
      <c r="B21" s="3" t="n">
        <v>19</v>
      </c>
      <c r="C21" s="3" t="n">
        <v>0</v>
      </c>
      <c r="D21" s="3" t="n">
        <v>2</v>
      </c>
      <c r="E21" s="3" t="n">
        <v>5</v>
      </c>
      <c r="F21" s="24" t="n">
        <v>6.4676981</v>
      </c>
    </row>
    <row r="22" customFormat="false" ht="15" hidden="false" customHeight="false" outlineLevel="0" collapsed="false">
      <c r="A22" s="3" t="n">
        <v>21</v>
      </c>
      <c r="B22" s="3" t="n">
        <v>20</v>
      </c>
      <c r="C22" s="3" t="n">
        <v>0</v>
      </c>
      <c r="D22" s="3" t="n">
        <v>2</v>
      </c>
      <c r="E22" s="3" t="n">
        <v>6</v>
      </c>
      <c r="F22" s="24" t="n">
        <v>1.15285861</v>
      </c>
    </row>
    <row r="23" customFormat="false" ht="15" hidden="false" customHeight="false" outlineLevel="0" collapsed="false">
      <c r="A23" s="3" t="n">
        <v>22</v>
      </c>
      <c r="B23" s="3" t="n">
        <v>21</v>
      </c>
      <c r="C23" s="3" t="n">
        <v>0</v>
      </c>
      <c r="D23" s="3" t="n">
        <v>3</v>
      </c>
      <c r="E23" s="3" t="n">
        <v>0</v>
      </c>
      <c r="F23" s="24" t="n">
        <v>2.33153033</v>
      </c>
    </row>
    <row r="24" customFormat="false" ht="15" hidden="false" customHeight="false" outlineLevel="0" collapsed="false">
      <c r="A24" s="3" t="n">
        <v>23</v>
      </c>
      <c r="B24" s="3" t="n">
        <v>22</v>
      </c>
      <c r="C24" s="3" t="n">
        <v>0</v>
      </c>
      <c r="D24" s="3" t="n">
        <v>3</v>
      </c>
      <c r="E24" s="3" t="n">
        <v>1</v>
      </c>
      <c r="F24" s="24" t="n">
        <v>4.5848484</v>
      </c>
    </row>
    <row r="25" customFormat="false" ht="15" hidden="false" customHeight="false" outlineLevel="0" collapsed="false">
      <c r="A25" s="3" t="n">
        <v>24</v>
      </c>
      <c r="B25" s="3" t="n">
        <v>23</v>
      </c>
      <c r="C25" s="3" t="n">
        <v>0</v>
      </c>
      <c r="D25" s="3" t="n">
        <v>3</v>
      </c>
      <c r="E25" s="3" t="n">
        <v>2</v>
      </c>
      <c r="F25" s="24" t="n">
        <v>2.35925221</v>
      </c>
    </row>
    <row r="26" customFormat="false" ht="15" hidden="false" customHeight="false" outlineLevel="0" collapsed="false">
      <c r="A26" s="3" t="n">
        <v>25</v>
      </c>
      <c r="B26" s="3" t="n">
        <v>24</v>
      </c>
      <c r="C26" s="3" t="n">
        <v>0</v>
      </c>
      <c r="D26" s="3" t="n">
        <v>3</v>
      </c>
      <c r="E26" s="3" t="n">
        <v>3</v>
      </c>
      <c r="F26" s="24" t="n">
        <v>-4.37768459</v>
      </c>
    </row>
    <row r="27" customFormat="false" ht="15" hidden="false" customHeight="false" outlineLevel="0" collapsed="false">
      <c r="A27" s="3" t="n">
        <v>26</v>
      </c>
      <c r="B27" s="3" t="n">
        <v>25</v>
      </c>
      <c r="C27" s="3" t="n">
        <v>0</v>
      </c>
      <c r="D27" s="3" t="n">
        <v>3</v>
      </c>
      <c r="E27" s="3" t="n">
        <v>4</v>
      </c>
      <c r="F27" s="24" t="n">
        <v>4.16059685</v>
      </c>
    </row>
    <row r="28" customFormat="false" ht="15" hidden="false" customHeight="false" outlineLevel="0" collapsed="false">
      <c r="A28" s="3" t="n">
        <v>27</v>
      </c>
      <c r="B28" s="3" t="n">
        <v>26</v>
      </c>
      <c r="C28" s="3" t="n">
        <v>0</v>
      </c>
      <c r="D28" s="3" t="n">
        <v>3</v>
      </c>
      <c r="E28" s="3" t="n">
        <v>5</v>
      </c>
      <c r="F28" s="24" t="n">
        <v>-1.48292363</v>
      </c>
    </row>
    <row r="29" customFormat="false" ht="15" hidden="false" customHeight="false" outlineLevel="0" collapsed="false">
      <c r="A29" s="3" t="n">
        <v>28</v>
      </c>
      <c r="B29" s="3" t="n">
        <v>27</v>
      </c>
      <c r="C29" s="3" t="n">
        <v>0</v>
      </c>
      <c r="D29" s="3" t="n">
        <v>3</v>
      </c>
      <c r="E29" s="3" t="n">
        <v>6</v>
      </c>
      <c r="F29" s="24" t="n">
        <v>-6.67144108</v>
      </c>
    </row>
    <row r="30" customFormat="false" ht="15" hidden="false" customHeight="false" outlineLevel="0" collapsed="false">
      <c r="A30" s="3" t="n">
        <v>29</v>
      </c>
      <c r="B30" s="3" t="n">
        <v>28</v>
      </c>
      <c r="C30" s="3" t="n">
        <v>0</v>
      </c>
      <c r="D30" s="3" t="n">
        <v>4</v>
      </c>
      <c r="E30" s="3" t="n">
        <v>0</v>
      </c>
      <c r="F30" s="24" t="n">
        <v>-0.0185144544</v>
      </c>
    </row>
    <row r="31" customFormat="false" ht="15" hidden="false" customHeight="false" outlineLevel="0" collapsed="false">
      <c r="A31" s="3" t="n">
        <v>30</v>
      </c>
      <c r="B31" s="3" t="n">
        <v>29</v>
      </c>
      <c r="C31" s="3" t="n">
        <v>0</v>
      </c>
      <c r="D31" s="3" t="n">
        <v>4</v>
      </c>
      <c r="E31" s="3" t="n">
        <v>1</v>
      </c>
      <c r="F31" s="24" t="n">
        <v>0.018407464</v>
      </c>
    </row>
    <row r="32" customFormat="false" ht="15" hidden="false" customHeight="false" outlineLevel="0" collapsed="false">
      <c r="A32" s="3" t="n">
        <v>31</v>
      </c>
      <c r="B32" s="3" t="n">
        <v>30</v>
      </c>
      <c r="C32" s="3" t="n">
        <v>0</v>
      </c>
      <c r="D32" s="3" t="n">
        <v>4</v>
      </c>
      <c r="E32" s="3" t="n">
        <v>2</v>
      </c>
      <c r="F32" s="24" t="n">
        <v>-5.38651466</v>
      </c>
    </row>
    <row r="33" customFormat="false" ht="15" hidden="false" customHeight="false" outlineLevel="0" collapsed="false">
      <c r="A33" s="3" t="n">
        <v>32</v>
      </c>
      <c r="B33" s="3" t="n">
        <v>31</v>
      </c>
      <c r="C33" s="3" t="n">
        <v>0</v>
      </c>
      <c r="D33" s="3" t="n">
        <v>4</v>
      </c>
      <c r="E33" s="3" t="n">
        <v>3</v>
      </c>
      <c r="F33" s="24" t="n">
        <v>2.10921955</v>
      </c>
    </row>
    <row r="34" customFormat="false" ht="15" hidden="false" customHeight="false" outlineLevel="0" collapsed="false">
      <c r="A34" s="3" t="n">
        <v>33</v>
      </c>
      <c r="B34" s="3" t="n">
        <v>32</v>
      </c>
      <c r="C34" s="3" t="n">
        <v>0</v>
      </c>
      <c r="D34" s="3" t="n">
        <v>4</v>
      </c>
      <c r="E34" s="3" t="n">
        <v>4</v>
      </c>
      <c r="F34" s="24" t="n">
        <v>8.96192551</v>
      </c>
    </row>
    <row r="35" customFormat="false" ht="15" hidden="false" customHeight="false" outlineLevel="0" collapsed="false">
      <c r="A35" s="3" t="n">
        <v>34</v>
      </c>
      <c r="B35" s="3" t="n">
        <v>33</v>
      </c>
      <c r="C35" s="3" t="n">
        <v>0</v>
      </c>
      <c r="D35" s="3" t="n">
        <v>4</v>
      </c>
      <c r="E35" s="3" t="n">
        <v>5</v>
      </c>
      <c r="F35" s="24" t="n">
        <v>-1.66853726</v>
      </c>
    </row>
    <row r="36" customFormat="false" ht="15" hidden="false" customHeight="false" outlineLevel="0" collapsed="false">
      <c r="A36" s="3" t="n">
        <v>35</v>
      </c>
      <c r="B36" s="3" t="n">
        <v>34</v>
      </c>
      <c r="C36" s="3" t="n">
        <v>0</v>
      </c>
      <c r="D36" s="3" t="n">
        <v>4</v>
      </c>
      <c r="E36" s="3" t="n">
        <v>6</v>
      </c>
      <c r="F36" s="24" t="n">
        <v>-3.80306029</v>
      </c>
    </row>
    <row r="37" customFormat="false" ht="15" hidden="false" customHeight="false" outlineLevel="0" collapsed="false">
      <c r="A37" s="3" t="n">
        <v>36</v>
      </c>
      <c r="B37" s="3" t="n">
        <v>35</v>
      </c>
      <c r="C37" s="3" t="n">
        <v>0</v>
      </c>
      <c r="D37" s="3" t="n">
        <v>5</v>
      </c>
      <c r="E37" s="3" t="n">
        <v>0</v>
      </c>
      <c r="F37" s="24" t="n">
        <v>-1.11267471</v>
      </c>
    </row>
    <row r="38" customFormat="false" ht="15" hidden="false" customHeight="false" outlineLevel="0" collapsed="false">
      <c r="A38" s="3" t="n">
        <v>37</v>
      </c>
      <c r="B38" s="3" t="n">
        <v>36</v>
      </c>
      <c r="C38" s="3" t="n">
        <v>0</v>
      </c>
      <c r="D38" s="3" t="n">
        <v>5</v>
      </c>
      <c r="E38" s="3" t="n">
        <v>1</v>
      </c>
      <c r="F38" s="24" t="n">
        <v>-4.61332607</v>
      </c>
    </row>
    <row r="39" customFormat="false" ht="15" hidden="false" customHeight="false" outlineLevel="0" collapsed="false">
      <c r="A39" s="3" t="n">
        <v>38</v>
      </c>
      <c r="B39" s="3" t="n">
        <v>37</v>
      </c>
      <c r="C39" s="3" t="n">
        <v>0</v>
      </c>
      <c r="D39" s="3" t="n">
        <v>5</v>
      </c>
      <c r="E39" s="3" t="n">
        <v>2</v>
      </c>
      <c r="F39" s="24" t="n">
        <v>-3.15311837</v>
      </c>
    </row>
    <row r="40" customFormat="false" ht="15" hidden="false" customHeight="false" outlineLevel="0" collapsed="false">
      <c r="A40" s="3" t="n">
        <v>39</v>
      </c>
      <c r="B40" s="3" t="n">
        <v>38</v>
      </c>
      <c r="C40" s="3" t="n">
        <v>0</v>
      </c>
      <c r="D40" s="3" t="n">
        <v>5</v>
      </c>
      <c r="E40" s="3" t="n">
        <v>3</v>
      </c>
      <c r="F40" s="24" t="n">
        <v>3.49900317</v>
      </c>
    </row>
    <row r="41" customFormat="false" ht="15" hidden="false" customHeight="false" outlineLevel="0" collapsed="false">
      <c r="A41" s="3" t="n">
        <v>40</v>
      </c>
      <c r="B41" s="3" t="n">
        <v>39</v>
      </c>
      <c r="C41" s="3" t="n">
        <v>0</v>
      </c>
      <c r="D41" s="3" t="n">
        <v>5</v>
      </c>
      <c r="E41" s="3" t="n">
        <v>4</v>
      </c>
      <c r="F41" s="24" t="n">
        <v>0.720121086</v>
      </c>
    </row>
    <row r="42" customFormat="false" ht="15" hidden="false" customHeight="false" outlineLevel="0" collapsed="false">
      <c r="A42" s="3" t="n">
        <v>41</v>
      </c>
      <c r="B42" s="3" t="n">
        <v>40</v>
      </c>
      <c r="C42" s="3" t="n">
        <v>0</v>
      </c>
      <c r="D42" s="3" t="n">
        <v>5</v>
      </c>
      <c r="E42" s="3" t="n">
        <v>5</v>
      </c>
      <c r="F42" s="24" t="n">
        <v>-4.83908939</v>
      </c>
    </row>
    <row r="43" customFormat="false" ht="15" hidden="false" customHeight="false" outlineLevel="0" collapsed="false">
      <c r="A43" s="3" t="n">
        <v>42</v>
      </c>
      <c r="B43" s="3" t="n">
        <v>41</v>
      </c>
      <c r="C43" s="3" t="n">
        <v>0</v>
      </c>
      <c r="D43" s="3" t="n">
        <v>5</v>
      </c>
      <c r="E43" s="3" t="n">
        <v>6</v>
      </c>
      <c r="F43" s="24" t="n">
        <v>-2.83651328</v>
      </c>
    </row>
    <row r="44" customFormat="false" ht="15" hidden="false" customHeight="false" outlineLevel="0" collapsed="false">
      <c r="A44" s="3" t="n">
        <v>43</v>
      </c>
      <c r="B44" s="3" t="n">
        <v>42</v>
      </c>
      <c r="C44" s="3" t="n">
        <v>0</v>
      </c>
      <c r="D44" s="3" t="n">
        <v>6</v>
      </c>
      <c r="E44" s="3" t="n">
        <v>0</v>
      </c>
      <c r="F44" s="24" t="n">
        <v>-0.92094636</v>
      </c>
    </row>
    <row r="45" customFormat="false" ht="15" hidden="false" customHeight="false" outlineLevel="0" collapsed="false">
      <c r="A45" s="3" t="n">
        <v>44</v>
      </c>
      <c r="B45" s="3" t="n">
        <v>43</v>
      </c>
      <c r="C45" s="3" t="n">
        <v>0</v>
      </c>
      <c r="D45" s="3" t="n">
        <v>6</v>
      </c>
      <c r="E45" s="3" t="n">
        <v>1</v>
      </c>
      <c r="F45" s="24" t="n">
        <v>2.94740152</v>
      </c>
    </row>
    <row r="46" customFormat="false" ht="15" hidden="false" customHeight="false" outlineLevel="0" collapsed="false">
      <c r="A46" s="3" t="n">
        <v>45</v>
      </c>
      <c r="B46" s="3" t="n">
        <v>44</v>
      </c>
      <c r="C46" s="3" t="n">
        <v>0</v>
      </c>
      <c r="D46" s="3" t="n">
        <v>6</v>
      </c>
      <c r="E46" s="3" t="n">
        <v>2</v>
      </c>
      <c r="F46" s="24" t="n">
        <v>9.63792038</v>
      </c>
    </row>
    <row r="47" customFormat="false" ht="15" hidden="false" customHeight="false" outlineLevel="0" collapsed="false">
      <c r="A47" s="3" t="n">
        <v>46</v>
      </c>
      <c r="B47" s="3" t="n">
        <v>45</v>
      </c>
      <c r="C47" s="3" t="n">
        <v>0</v>
      </c>
      <c r="D47" s="3" t="n">
        <v>6</v>
      </c>
      <c r="E47" s="3" t="n">
        <v>3</v>
      </c>
      <c r="F47" s="24" t="n">
        <v>3.45781636</v>
      </c>
    </row>
    <row r="48" customFormat="false" ht="15" hidden="false" customHeight="false" outlineLevel="0" collapsed="false">
      <c r="A48" s="3" t="n">
        <v>47</v>
      </c>
      <c r="B48" s="3" t="n">
        <v>46</v>
      </c>
      <c r="C48" s="3" t="n">
        <v>0</v>
      </c>
      <c r="D48" s="3" t="n">
        <v>6</v>
      </c>
      <c r="E48" s="3" t="n">
        <v>4</v>
      </c>
      <c r="F48" s="24" t="n">
        <v>-4.01954794</v>
      </c>
    </row>
    <row r="49" customFormat="false" ht="15" hidden="false" customHeight="false" outlineLevel="0" collapsed="false">
      <c r="A49" s="3" t="n">
        <v>48</v>
      </c>
      <c r="B49" s="3" t="n">
        <v>47</v>
      </c>
      <c r="C49" s="3" t="n">
        <v>0</v>
      </c>
      <c r="D49" s="3" t="n">
        <v>6</v>
      </c>
      <c r="E49" s="3" t="n">
        <v>5</v>
      </c>
      <c r="F49" s="24" t="n">
        <v>-3.92601848</v>
      </c>
    </row>
    <row r="50" customFormat="false" ht="15" hidden="false" customHeight="false" outlineLevel="0" collapsed="false">
      <c r="A50" s="3" t="n">
        <v>49</v>
      </c>
      <c r="B50" s="3" t="n">
        <v>48</v>
      </c>
      <c r="C50" s="3" t="n">
        <v>0</v>
      </c>
      <c r="D50" s="3" t="n">
        <v>6</v>
      </c>
      <c r="E50" s="3" t="n">
        <v>6</v>
      </c>
      <c r="F50" s="24" t="n">
        <v>-0.989991724</v>
      </c>
    </row>
    <row r="51" customFormat="false" ht="15" hidden="false" customHeight="false" outlineLevel="0" collapsed="false">
      <c r="A51" s="3" t="n">
        <v>50</v>
      </c>
      <c r="B51" s="3" t="n">
        <v>49</v>
      </c>
      <c r="C51" s="3" t="n">
        <v>1</v>
      </c>
      <c r="D51" s="3" t="n">
        <v>0</v>
      </c>
      <c r="E51" s="3" t="n">
        <v>0</v>
      </c>
      <c r="F51" s="24" t="n">
        <v>-3.26163912</v>
      </c>
    </row>
    <row r="52" customFormat="false" ht="15" hidden="false" customHeight="false" outlineLevel="0" collapsed="false">
      <c r="A52" s="3" t="n">
        <v>51</v>
      </c>
      <c r="B52" s="3" t="n">
        <v>50</v>
      </c>
      <c r="C52" s="3" t="n">
        <v>1</v>
      </c>
      <c r="D52" s="3" t="n">
        <v>0</v>
      </c>
      <c r="E52" s="3" t="n">
        <v>1</v>
      </c>
      <c r="F52" s="24" t="n">
        <v>-4.17340279</v>
      </c>
    </row>
    <row r="53" customFormat="false" ht="15" hidden="false" customHeight="false" outlineLevel="0" collapsed="false">
      <c r="A53" s="3" t="n">
        <v>52</v>
      </c>
      <c r="B53" s="3" t="n">
        <v>51</v>
      </c>
      <c r="C53" s="3" t="n">
        <v>1</v>
      </c>
      <c r="D53" s="3" t="n">
        <v>0</v>
      </c>
      <c r="E53" s="3" t="n">
        <v>2</v>
      </c>
      <c r="F53" s="24" t="n">
        <v>-6.4932251</v>
      </c>
    </row>
    <row r="54" customFormat="false" ht="15" hidden="false" customHeight="false" outlineLevel="0" collapsed="false">
      <c r="A54" s="3" t="n">
        <v>53</v>
      </c>
      <c r="B54" s="3" t="n">
        <v>52</v>
      </c>
      <c r="C54" s="3" t="n">
        <v>1</v>
      </c>
      <c r="D54" s="3" t="n">
        <v>0</v>
      </c>
      <c r="E54" s="3" t="n">
        <v>3</v>
      </c>
      <c r="F54" s="24" t="n">
        <v>-4.37900019</v>
      </c>
    </row>
    <row r="55" customFormat="false" ht="15" hidden="false" customHeight="false" outlineLevel="0" collapsed="false">
      <c r="A55" s="3" t="n">
        <v>54</v>
      </c>
      <c r="B55" s="3" t="n">
        <v>53</v>
      </c>
      <c r="C55" s="3" t="n">
        <v>1</v>
      </c>
      <c r="D55" s="3" t="n">
        <v>0</v>
      </c>
      <c r="E55" s="3" t="n">
        <v>4</v>
      </c>
      <c r="F55" s="24" t="n">
        <v>-1.01008379</v>
      </c>
    </row>
    <row r="56" customFormat="false" ht="15" hidden="false" customHeight="false" outlineLevel="0" collapsed="false">
      <c r="A56" s="3" t="n">
        <v>55</v>
      </c>
      <c r="B56" s="3" t="n">
        <v>54</v>
      </c>
      <c r="C56" s="3" t="n">
        <v>1</v>
      </c>
      <c r="D56" s="3" t="n">
        <v>0</v>
      </c>
      <c r="E56" s="3" t="n">
        <v>5</v>
      </c>
      <c r="F56" s="24" t="n">
        <v>-0.0555926897</v>
      </c>
    </row>
    <row r="57" customFormat="false" ht="15" hidden="false" customHeight="false" outlineLevel="0" collapsed="false">
      <c r="A57" s="3" t="n">
        <v>56</v>
      </c>
      <c r="B57" s="3" t="n">
        <v>55</v>
      </c>
      <c r="C57" s="3" t="n">
        <v>1</v>
      </c>
      <c r="D57" s="3" t="n">
        <v>0</v>
      </c>
      <c r="E57" s="3" t="n">
        <v>6</v>
      </c>
      <c r="F57" s="24" t="n">
        <v>-0.251738131</v>
      </c>
    </row>
    <row r="58" customFormat="false" ht="15" hidden="false" customHeight="false" outlineLevel="0" collapsed="false">
      <c r="A58" s="3" t="n">
        <v>57</v>
      </c>
      <c r="B58" s="3" t="n">
        <v>56</v>
      </c>
      <c r="C58" s="3" t="n">
        <v>1</v>
      </c>
      <c r="D58" s="3" t="n">
        <v>1</v>
      </c>
      <c r="E58" s="3" t="n">
        <v>0</v>
      </c>
      <c r="F58" s="24" t="n">
        <v>-2.80006766</v>
      </c>
    </row>
    <row r="59" customFormat="false" ht="15" hidden="false" customHeight="false" outlineLevel="0" collapsed="false">
      <c r="A59" s="3" t="n">
        <v>58</v>
      </c>
      <c r="B59" s="3" t="n">
        <v>57</v>
      </c>
      <c r="C59" s="3" t="n">
        <v>1</v>
      </c>
      <c r="D59" s="3" t="n">
        <v>1</v>
      </c>
      <c r="E59" s="3" t="n">
        <v>1</v>
      </c>
      <c r="F59" s="24" t="n">
        <v>-15.0568609</v>
      </c>
    </row>
    <row r="60" customFormat="false" ht="15" hidden="false" customHeight="false" outlineLevel="0" collapsed="false">
      <c r="A60" s="3" t="n">
        <v>59</v>
      </c>
      <c r="B60" s="3" t="n">
        <v>58</v>
      </c>
      <c r="C60" s="3" t="n">
        <v>1</v>
      </c>
      <c r="D60" s="3" t="n">
        <v>1</v>
      </c>
      <c r="E60" s="3" t="n">
        <v>2</v>
      </c>
      <c r="F60" s="24" t="n">
        <v>-23.0396023</v>
      </c>
    </row>
    <row r="61" customFormat="false" ht="15" hidden="false" customHeight="false" outlineLevel="0" collapsed="false">
      <c r="A61" s="3" t="n">
        <v>60</v>
      </c>
      <c r="B61" s="3" t="n">
        <v>59</v>
      </c>
      <c r="C61" s="3" t="n">
        <v>1</v>
      </c>
      <c r="D61" s="3" t="n">
        <v>1</v>
      </c>
      <c r="E61" s="3" t="n">
        <v>3</v>
      </c>
      <c r="F61" s="24" t="n">
        <v>-23.775938</v>
      </c>
    </row>
    <row r="62" customFormat="false" ht="15" hidden="false" customHeight="false" outlineLevel="0" collapsed="false">
      <c r="A62" s="3" t="n">
        <v>61</v>
      </c>
      <c r="B62" s="3" t="n">
        <v>60</v>
      </c>
      <c r="C62" s="3" t="n">
        <v>1</v>
      </c>
      <c r="D62" s="3" t="n">
        <v>1</v>
      </c>
      <c r="E62" s="3" t="n">
        <v>4</v>
      </c>
      <c r="F62" s="24" t="n">
        <v>-18.4497643</v>
      </c>
    </row>
    <row r="63" customFormat="false" ht="15" hidden="false" customHeight="false" outlineLevel="0" collapsed="false">
      <c r="A63" s="3" t="n">
        <v>62</v>
      </c>
      <c r="B63" s="3" t="n">
        <v>61</v>
      </c>
      <c r="C63" s="3" t="n">
        <v>1</v>
      </c>
      <c r="D63" s="3" t="n">
        <v>1</v>
      </c>
      <c r="E63" s="3" t="n">
        <v>5</v>
      </c>
      <c r="F63" s="24" t="n">
        <v>-10.8844814</v>
      </c>
    </row>
    <row r="64" customFormat="false" ht="15" hidden="false" customHeight="false" outlineLevel="0" collapsed="false">
      <c r="A64" s="3" t="n">
        <v>63</v>
      </c>
      <c r="B64" s="3" t="n">
        <v>62</v>
      </c>
      <c r="C64" s="3" t="n">
        <v>1</v>
      </c>
      <c r="D64" s="3" t="n">
        <v>1</v>
      </c>
      <c r="E64" s="3" t="n">
        <v>6</v>
      </c>
      <c r="F64" s="24" t="n">
        <v>-2.6945138</v>
      </c>
    </row>
    <row r="65" customFormat="false" ht="15" hidden="false" customHeight="false" outlineLevel="0" collapsed="false">
      <c r="A65" s="3" t="n">
        <v>64</v>
      </c>
      <c r="B65" s="3" t="n">
        <v>63</v>
      </c>
      <c r="C65" s="3" t="n">
        <v>1</v>
      </c>
      <c r="D65" s="3" t="n">
        <v>2</v>
      </c>
      <c r="E65" s="3" t="n">
        <v>0</v>
      </c>
      <c r="F65" s="24" t="n">
        <v>-2.82731915</v>
      </c>
    </row>
    <row r="66" customFormat="false" ht="15" hidden="false" customHeight="false" outlineLevel="0" collapsed="false">
      <c r="A66" s="3" t="n">
        <v>65</v>
      </c>
      <c r="B66" s="3" t="n">
        <v>64</v>
      </c>
      <c r="C66" s="3" t="n">
        <v>1</v>
      </c>
      <c r="D66" s="3" t="n">
        <v>2</v>
      </c>
      <c r="E66" s="3" t="n">
        <v>1</v>
      </c>
      <c r="F66" s="24" t="n">
        <v>0.531565726</v>
      </c>
    </row>
    <row r="67" customFormat="false" ht="15" hidden="false" customHeight="false" outlineLevel="0" collapsed="false">
      <c r="A67" s="3" t="n">
        <v>66</v>
      </c>
      <c r="B67" s="3" t="n">
        <v>65</v>
      </c>
      <c r="C67" s="3" t="n">
        <v>1</v>
      </c>
      <c r="D67" s="3" t="n">
        <v>2</v>
      </c>
      <c r="E67" s="3" t="n">
        <v>2</v>
      </c>
      <c r="F67" s="24" t="n">
        <v>0.369552046</v>
      </c>
    </row>
    <row r="68" customFormat="false" ht="15" hidden="false" customHeight="false" outlineLevel="0" collapsed="false">
      <c r="A68" s="3" t="n">
        <v>67</v>
      </c>
      <c r="B68" s="3" t="n">
        <v>66</v>
      </c>
      <c r="C68" s="3" t="n">
        <v>1</v>
      </c>
      <c r="D68" s="3" t="n">
        <v>2</v>
      </c>
      <c r="E68" s="3" t="n">
        <v>3</v>
      </c>
      <c r="F68" s="24" t="n">
        <v>9.03778648</v>
      </c>
    </row>
    <row r="69" customFormat="false" ht="15" hidden="false" customHeight="false" outlineLevel="0" collapsed="false">
      <c r="A69" s="3" t="n">
        <v>68</v>
      </c>
      <c r="B69" s="3" t="n">
        <v>67</v>
      </c>
      <c r="C69" s="3" t="n">
        <v>1</v>
      </c>
      <c r="D69" s="3" t="n">
        <v>2</v>
      </c>
      <c r="E69" s="3" t="n">
        <v>4</v>
      </c>
      <c r="F69" s="24" t="n">
        <v>5.33806372</v>
      </c>
    </row>
    <row r="70" customFormat="false" ht="15" hidden="false" customHeight="false" outlineLevel="0" collapsed="false">
      <c r="A70" s="3" t="n">
        <v>69</v>
      </c>
      <c r="B70" s="3" t="n">
        <v>68</v>
      </c>
      <c r="C70" s="3" t="n">
        <v>1</v>
      </c>
      <c r="D70" s="3" t="n">
        <v>2</v>
      </c>
      <c r="E70" s="3" t="n">
        <v>5</v>
      </c>
      <c r="F70" s="24" t="n">
        <v>-3.46178508</v>
      </c>
    </row>
    <row r="71" customFormat="false" ht="15" hidden="false" customHeight="false" outlineLevel="0" collapsed="false">
      <c r="A71" s="3" t="n">
        <v>70</v>
      </c>
      <c r="B71" s="3" t="n">
        <v>69</v>
      </c>
      <c r="C71" s="3" t="n">
        <v>1</v>
      </c>
      <c r="D71" s="3" t="n">
        <v>2</v>
      </c>
      <c r="E71" s="3" t="n">
        <v>6</v>
      </c>
      <c r="F71" s="24" t="n">
        <v>-2.83007216</v>
      </c>
    </row>
    <row r="72" customFormat="false" ht="15" hidden="false" customHeight="false" outlineLevel="0" collapsed="false">
      <c r="A72" s="3" t="n">
        <v>71</v>
      </c>
      <c r="B72" s="3" t="n">
        <v>70</v>
      </c>
      <c r="C72" s="3" t="n">
        <v>1</v>
      </c>
      <c r="D72" s="3" t="n">
        <v>3</v>
      </c>
      <c r="E72" s="3" t="n">
        <v>0</v>
      </c>
      <c r="F72" s="24" t="n">
        <v>0.99852258</v>
      </c>
    </row>
    <row r="73" customFormat="false" ht="15" hidden="false" customHeight="false" outlineLevel="0" collapsed="false">
      <c r="A73" s="3" t="n">
        <v>72</v>
      </c>
      <c r="B73" s="3" t="n">
        <v>71</v>
      </c>
      <c r="C73" s="3" t="n">
        <v>1</v>
      </c>
      <c r="D73" s="3" t="n">
        <v>3</v>
      </c>
      <c r="E73" s="3" t="n">
        <v>1</v>
      </c>
      <c r="F73" s="24" t="n">
        <v>-0.58129698</v>
      </c>
    </row>
    <row r="74" customFormat="false" ht="15" hidden="false" customHeight="false" outlineLevel="0" collapsed="false">
      <c r="A74" s="3" t="n">
        <v>73</v>
      </c>
      <c r="B74" s="3" t="n">
        <v>72</v>
      </c>
      <c r="C74" s="3" t="n">
        <v>1</v>
      </c>
      <c r="D74" s="3" t="n">
        <v>3</v>
      </c>
      <c r="E74" s="3" t="n">
        <v>2</v>
      </c>
      <c r="F74" s="24" t="n">
        <v>11.3987036</v>
      </c>
    </row>
    <row r="75" customFormat="false" ht="15" hidden="false" customHeight="false" outlineLevel="0" collapsed="false">
      <c r="A75" s="3" t="n">
        <v>74</v>
      </c>
      <c r="B75" s="3" t="n">
        <v>73</v>
      </c>
      <c r="C75" s="3" t="n">
        <v>1</v>
      </c>
      <c r="D75" s="3" t="n">
        <v>3</v>
      </c>
      <c r="E75" s="3" t="n">
        <v>3</v>
      </c>
      <c r="F75" s="24" t="n">
        <v>25.3869553</v>
      </c>
    </row>
    <row r="76" customFormat="false" ht="15" hidden="false" customHeight="false" outlineLevel="0" collapsed="false">
      <c r="A76" s="3" t="n">
        <v>75</v>
      </c>
      <c r="B76" s="3" t="n">
        <v>74</v>
      </c>
      <c r="C76" s="3" t="n">
        <v>1</v>
      </c>
      <c r="D76" s="3" t="n">
        <v>3</v>
      </c>
      <c r="E76" s="3" t="n">
        <v>4</v>
      </c>
      <c r="F76" s="24" t="n">
        <v>8.94094563</v>
      </c>
    </row>
    <row r="77" customFormat="false" ht="15" hidden="false" customHeight="false" outlineLevel="0" collapsed="false">
      <c r="A77" s="3" t="n">
        <v>76</v>
      </c>
      <c r="B77" s="3" t="n">
        <v>75</v>
      </c>
      <c r="C77" s="3" t="n">
        <v>1</v>
      </c>
      <c r="D77" s="3" t="n">
        <v>3</v>
      </c>
      <c r="E77" s="3" t="n">
        <v>5</v>
      </c>
      <c r="F77" s="24" t="n">
        <v>-3.25224972</v>
      </c>
    </row>
    <row r="78" customFormat="false" ht="15" hidden="false" customHeight="false" outlineLevel="0" collapsed="false">
      <c r="A78" s="3" t="n">
        <v>77</v>
      </c>
      <c r="B78" s="3" t="n">
        <v>76</v>
      </c>
      <c r="C78" s="3" t="n">
        <v>1</v>
      </c>
      <c r="D78" s="3" t="n">
        <v>3</v>
      </c>
      <c r="E78" s="3" t="n">
        <v>6</v>
      </c>
      <c r="F78" s="24" t="n">
        <v>-3.84832478</v>
      </c>
    </row>
    <row r="79" customFormat="false" ht="15" hidden="false" customHeight="false" outlineLevel="0" collapsed="false">
      <c r="A79" s="3" t="n">
        <v>78</v>
      </c>
      <c r="B79" s="3" t="n">
        <v>77</v>
      </c>
      <c r="C79" s="3" t="n">
        <v>1</v>
      </c>
      <c r="D79" s="3" t="n">
        <v>4</v>
      </c>
      <c r="E79" s="3" t="n">
        <v>0</v>
      </c>
      <c r="F79" s="24" t="n">
        <v>-0.867553055</v>
      </c>
    </row>
    <row r="80" customFormat="false" ht="15" hidden="false" customHeight="false" outlineLevel="0" collapsed="false">
      <c r="A80" s="3" t="n">
        <v>79</v>
      </c>
      <c r="B80" s="3" t="n">
        <v>78</v>
      </c>
      <c r="C80" s="3" t="n">
        <v>1</v>
      </c>
      <c r="D80" s="3" t="n">
        <v>4</v>
      </c>
      <c r="E80" s="3" t="n">
        <v>1</v>
      </c>
      <c r="F80" s="24" t="n">
        <v>0.401955426</v>
      </c>
    </row>
    <row r="81" customFormat="false" ht="15" hidden="false" customHeight="false" outlineLevel="0" collapsed="false">
      <c r="A81" s="3" t="n">
        <v>80</v>
      </c>
      <c r="B81" s="3" t="n">
        <v>79</v>
      </c>
      <c r="C81" s="3" t="n">
        <v>1</v>
      </c>
      <c r="D81" s="3" t="n">
        <v>4</v>
      </c>
      <c r="E81" s="3" t="n">
        <v>2</v>
      </c>
      <c r="F81" s="24" t="n">
        <v>9.12489414</v>
      </c>
    </row>
    <row r="82" customFormat="false" ht="15" hidden="false" customHeight="false" outlineLevel="0" collapsed="false">
      <c r="A82" s="3" t="n">
        <v>81</v>
      </c>
      <c r="B82" s="3" t="n">
        <v>80</v>
      </c>
      <c r="C82" s="3" t="n">
        <v>1</v>
      </c>
      <c r="D82" s="3" t="n">
        <v>4</v>
      </c>
      <c r="E82" s="3" t="n">
        <v>3</v>
      </c>
      <c r="F82" s="24" t="n">
        <v>7.81150436</v>
      </c>
    </row>
    <row r="83" customFormat="false" ht="15" hidden="false" customHeight="false" outlineLevel="0" collapsed="false">
      <c r="A83" s="3" t="n">
        <v>82</v>
      </c>
      <c r="B83" s="3" t="n">
        <v>81</v>
      </c>
      <c r="C83" s="3" t="n">
        <v>1</v>
      </c>
      <c r="D83" s="3" t="n">
        <v>4</v>
      </c>
      <c r="E83" s="3" t="n">
        <v>4</v>
      </c>
      <c r="F83" s="24" t="n">
        <v>-12.0631208</v>
      </c>
    </row>
    <row r="84" customFormat="false" ht="15" hidden="false" customHeight="false" outlineLevel="0" collapsed="false">
      <c r="A84" s="3" t="n">
        <v>83</v>
      </c>
      <c r="B84" s="3" t="n">
        <v>82</v>
      </c>
      <c r="C84" s="3" t="n">
        <v>1</v>
      </c>
      <c r="D84" s="3" t="n">
        <v>4</v>
      </c>
      <c r="E84" s="3" t="n">
        <v>5</v>
      </c>
      <c r="F84" s="24" t="n">
        <v>-13.1180611</v>
      </c>
    </row>
    <row r="85" customFormat="false" ht="15" hidden="false" customHeight="false" outlineLevel="0" collapsed="false">
      <c r="A85" s="3" t="n">
        <v>84</v>
      </c>
      <c r="B85" s="3" t="n">
        <v>83</v>
      </c>
      <c r="C85" s="3" t="n">
        <v>1</v>
      </c>
      <c r="D85" s="3" t="n">
        <v>4</v>
      </c>
      <c r="E85" s="3" t="n">
        <v>6</v>
      </c>
      <c r="F85" s="24" t="n">
        <v>-2.0668292</v>
      </c>
    </row>
    <row r="86" customFormat="false" ht="15" hidden="false" customHeight="false" outlineLevel="0" collapsed="false">
      <c r="A86" s="3" t="n">
        <v>85</v>
      </c>
      <c r="B86" s="3" t="n">
        <v>84</v>
      </c>
      <c r="C86" s="3" t="n">
        <v>1</v>
      </c>
      <c r="D86" s="3" t="n">
        <v>5</v>
      </c>
      <c r="E86" s="3" t="n">
        <v>0</v>
      </c>
      <c r="F86" s="24" t="n">
        <v>-1.25209856</v>
      </c>
    </row>
    <row r="87" customFormat="false" ht="15" hidden="false" customHeight="false" outlineLevel="0" collapsed="false">
      <c r="A87" s="3" t="n">
        <v>86</v>
      </c>
      <c r="B87" s="3" t="n">
        <v>85</v>
      </c>
      <c r="C87" s="3" t="n">
        <v>1</v>
      </c>
      <c r="D87" s="3" t="n">
        <v>5</v>
      </c>
      <c r="E87" s="3" t="n">
        <v>1</v>
      </c>
      <c r="F87" s="24" t="n">
        <v>0.742159367</v>
      </c>
    </row>
    <row r="88" customFormat="false" ht="15" hidden="false" customHeight="false" outlineLevel="0" collapsed="false">
      <c r="A88" s="3" t="n">
        <v>87</v>
      </c>
      <c r="B88" s="3" t="n">
        <v>86</v>
      </c>
      <c r="C88" s="3" t="n">
        <v>1</v>
      </c>
      <c r="D88" s="3" t="n">
        <v>5</v>
      </c>
      <c r="E88" s="3" t="n">
        <v>2</v>
      </c>
      <c r="F88" s="24" t="n">
        <v>5.67310238</v>
      </c>
    </row>
    <row r="89" customFormat="false" ht="15" hidden="false" customHeight="false" outlineLevel="0" collapsed="false">
      <c r="A89" s="3" t="n">
        <v>88</v>
      </c>
      <c r="B89" s="3" t="n">
        <v>87</v>
      </c>
      <c r="C89" s="3" t="n">
        <v>1</v>
      </c>
      <c r="D89" s="3" t="n">
        <v>5</v>
      </c>
      <c r="E89" s="3" t="n">
        <v>3</v>
      </c>
      <c r="F89" s="24" t="n">
        <v>-8.46364403</v>
      </c>
    </row>
    <row r="90" customFormat="false" ht="15" hidden="false" customHeight="false" outlineLevel="0" collapsed="false">
      <c r="A90" s="3" t="n">
        <v>89</v>
      </c>
      <c r="B90" s="3" t="n">
        <v>88</v>
      </c>
      <c r="C90" s="3" t="n">
        <v>1</v>
      </c>
      <c r="D90" s="3" t="n">
        <v>5</v>
      </c>
      <c r="E90" s="3" t="n">
        <v>4</v>
      </c>
      <c r="F90" s="24" t="n">
        <v>-19.1830006</v>
      </c>
    </row>
    <row r="91" customFormat="false" ht="15" hidden="false" customHeight="false" outlineLevel="0" collapsed="false">
      <c r="A91" s="3" t="n">
        <v>90</v>
      </c>
      <c r="B91" s="3" t="n">
        <v>89</v>
      </c>
      <c r="C91" s="3" t="n">
        <v>1</v>
      </c>
      <c r="D91" s="3" t="n">
        <v>5</v>
      </c>
      <c r="E91" s="3" t="n">
        <v>5</v>
      </c>
      <c r="F91" s="24" t="n">
        <v>-7.13432789</v>
      </c>
    </row>
    <row r="92" customFormat="false" ht="15" hidden="false" customHeight="false" outlineLevel="0" collapsed="false">
      <c r="A92" s="3" t="n">
        <v>91</v>
      </c>
      <c r="B92" s="3" t="n">
        <v>90</v>
      </c>
      <c r="C92" s="3" t="n">
        <v>1</v>
      </c>
      <c r="D92" s="3" t="n">
        <v>5</v>
      </c>
      <c r="E92" s="3" t="n">
        <v>6</v>
      </c>
      <c r="F92" s="24" t="n">
        <v>-0.928445995</v>
      </c>
    </row>
    <row r="93" customFormat="false" ht="15" hidden="false" customHeight="false" outlineLevel="0" collapsed="false">
      <c r="A93" s="3" t="n">
        <v>92</v>
      </c>
      <c r="B93" s="3" t="n">
        <v>91</v>
      </c>
      <c r="C93" s="3" t="n">
        <v>1</v>
      </c>
      <c r="D93" s="3" t="n">
        <v>6</v>
      </c>
      <c r="E93" s="3" t="n">
        <v>0</v>
      </c>
      <c r="F93" s="24" t="n">
        <v>-1.10511875</v>
      </c>
    </row>
    <row r="94" customFormat="false" ht="15" hidden="false" customHeight="false" outlineLevel="0" collapsed="false">
      <c r="A94" s="3" t="n">
        <v>93</v>
      </c>
      <c r="B94" s="3" t="n">
        <v>92</v>
      </c>
      <c r="C94" s="3" t="n">
        <v>1</v>
      </c>
      <c r="D94" s="3" t="n">
        <v>6</v>
      </c>
      <c r="E94" s="3" t="n">
        <v>1</v>
      </c>
      <c r="F94" s="24" t="n">
        <v>5.95761919</v>
      </c>
    </row>
    <row r="95" customFormat="false" ht="15" hidden="false" customHeight="false" outlineLevel="0" collapsed="false">
      <c r="A95" s="3" t="n">
        <v>94</v>
      </c>
      <c r="B95" s="3" t="n">
        <v>93</v>
      </c>
      <c r="C95" s="3" t="n">
        <v>1</v>
      </c>
      <c r="D95" s="3" t="n">
        <v>6</v>
      </c>
      <c r="E95" s="3" t="n">
        <v>2</v>
      </c>
      <c r="F95" s="24" t="n">
        <v>2.77766085</v>
      </c>
    </row>
    <row r="96" customFormat="false" ht="15" hidden="false" customHeight="false" outlineLevel="0" collapsed="false">
      <c r="A96" s="3" t="n">
        <v>95</v>
      </c>
      <c r="B96" s="3" t="n">
        <v>94</v>
      </c>
      <c r="C96" s="3" t="n">
        <v>1</v>
      </c>
      <c r="D96" s="3" t="n">
        <v>6</v>
      </c>
      <c r="E96" s="3" t="n">
        <v>3</v>
      </c>
      <c r="F96" s="24" t="n">
        <v>-13.4230795</v>
      </c>
    </row>
    <row r="97" customFormat="false" ht="15" hidden="false" customHeight="false" outlineLevel="0" collapsed="false">
      <c r="A97" s="3" t="n">
        <v>96</v>
      </c>
      <c r="B97" s="3" t="n">
        <v>95</v>
      </c>
      <c r="C97" s="3" t="n">
        <v>1</v>
      </c>
      <c r="D97" s="3" t="n">
        <v>6</v>
      </c>
      <c r="E97" s="3" t="n">
        <v>4</v>
      </c>
      <c r="F97" s="24" t="n">
        <v>-13.9248381</v>
      </c>
    </row>
    <row r="98" customFormat="false" ht="15" hidden="false" customHeight="false" outlineLevel="0" collapsed="false">
      <c r="A98" s="3" t="n">
        <v>97</v>
      </c>
      <c r="B98" s="3" t="n">
        <v>96</v>
      </c>
      <c r="C98" s="3" t="n">
        <v>1</v>
      </c>
      <c r="D98" s="3" t="n">
        <v>6</v>
      </c>
      <c r="E98" s="3" t="n">
        <v>5</v>
      </c>
      <c r="F98" s="24" t="n">
        <v>-1.87578249</v>
      </c>
    </row>
    <row r="99" customFormat="false" ht="15" hidden="false" customHeight="false" outlineLevel="0" collapsed="false">
      <c r="A99" s="3" t="n">
        <v>98</v>
      </c>
      <c r="B99" s="3" t="n">
        <v>97</v>
      </c>
      <c r="C99" s="3" t="n">
        <v>1</v>
      </c>
      <c r="D99" s="3" t="n">
        <v>6</v>
      </c>
      <c r="E99" s="3" t="n">
        <v>6</v>
      </c>
      <c r="F99" s="24" t="n">
        <v>-0.754210889</v>
      </c>
    </row>
    <row r="100" customFormat="false" ht="15" hidden="false" customHeight="false" outlineLevel="0" collapsed="false">
      <c r="A100" s="3" t="n">
        <v>99</v>
      </c>
      <c r="B100" s="3" t="n">
        <v>98</v>
      </c>
      <c r="C100" s="3" t="n">
        <v>2</v>
      </c>
      <c r="D100" s="3" t="n">
        <v>0</v>
      </c>
      <c r="E100" s="3" t="n">
        <v>0</v>
      </c>
      <c r="F100" s="24" t="n">
        <v>4.24186897</v>
      </c>
    </row>
    <row r="101" customFormat="false" ht="15" hidden="false" customHeight="false" outlineLevel="0" collapsed="false">
      <c r="A101" s="3" t="n">
        <v>100</v>
      </c>
      <c r="B101" s="3" t="n">
        <v>99</v>
      </c>
      <c r="C101" s="3" t="n">
        <v>2</v>
      </c>
      <c r="D101" s="3" t="n">
        <v>0</v>
      </c>
      <c r="E101" s="3" t="n">
        <v>1</v>
      </c>
      <c r="F101" s="24" t="n">
        <v>2.6999104</v>
      </c>
    </row>
    <row r="102" customFormat="false" ht="15" hidden="false" customHeight="false" outlineLevel="0" collapsed="false">
      <c r="A102" s="3" t="n">
        <v>101</v>
      </c>
      <c r="B102" s="3" t="n">
        <v>100</v>
      </c>
      <c r="C102" s="3" t="n">
        <v>2</v>
      </c>
      <c r="D102" s="3" t="n">
        <v>0</v>
      </c>
      <c r="E102" s="3" t="n">
        <v>2</v>
      </c>
      <c r="F102" s="24" t="n">
        <v>3.36001539</v>
      </c>
    </row>
    <row r="103" customFormat="false" ht="15" hidden="false" customHeight="false" outlineLevel="0" collapsed="false">
      <c r="A103" s="3" t="n">
        <v>102</v>
      </c>
      <c r="B103" s="3" t="n">
        <v>101</v>
      </c>
      <c r="C103" s="3" t="n">
        <v>2</v>
      </c>
      <c r="D103" s="3" t="n">
        <v>0</v>
      </c>
      <c r="E103" s="3" t="n">
        <v>3</v>
      </c>
      <c r="F103" s="24" t="n">
        <v>7.14438057</v>
      </c>
    </row>
    <row r="104" customFormat="false" ht="15" hidden="false" customHeight="false" outlineLevel="0" collapsed="false">
      <c r="A104" s="3" t="n">
        <v>103</v>
      </c>
      <c r="B104" s="3" t="n">
        <v>102</v>
      </c>
      <c r="C104" s="3" t="n">
        <v>2</v>
      </c>
      <c r="D104" s="3" t="n">
        <v>0</v>
      </c>
      <c r="E104" s="3" t="n">
        <v>4</v>
      </c>
      <c r="F104" s="24" t="n">
        <v>5.51013708</v>
      </c>
    </row>
    <row r="105" customFormat="false" ht="15" hidden="false" customHeight="false" outlineLevel="0" collapsed="false">
      <c r="A105" s="3" t="n">
        <v>104</v>
      </c>
      <c r="B105" s="3" t="n">
        <v>103</v>
      </c>
      <c r="C105" s="3" t="n">
        <v>2</v>
      </c>
      <c r="D105" s="3" t="n">
        <v>0</v>
      </c>
      <c r="E105" s="3" t="n">
        <v>5</v>
      </c>
      <c r="F105" s="24" t="n">
        <v>1.38231707</v>
      </c>
    </row>
    <row r="106" customFormat="false" ht="15" hidden="false" customHeight="false" outlineLevel="0" collapsed="false">
      <c r="A106" s="3" t="n">
        <v>105</v>
      </c>
      <c r="B106" s="3" t="n">
        <v>104</v>
      </c>
      <c r="C106" s="3" t="n">
        <v>2</v>
      </c>
      <c r="D106" s="3" t="n">
        <v>0</v>
      </c>
      <c r="E106" s="3" t="n">
        <v>6</v>
      </c>
      <c r="F106" s="24" t="n">
        <v>-0.641720653</v>
      </c>
    </row>
    <row r="107" customFormat="false" ht="15" hidden="false" customHeight="false" outlineLevel="0" collapsed="false">
      <c r="A107" s="3" t="n">
        <v>106</v>
      </c>
      <c r="B107" s="3" t="n">
        <v>105</v>
      </c>
      <c r="C107" s="3" t="n">
        <v>2</v>
      </c>
      <c r="D107" s="3" t="n">
        <v>1</v>
      </c>
      <c r="E107" s="3" t="n">
        <v>0</v>
      </c>
      <c r="F107" s="24" t="n">
        <v>1.474424</v>
      </c>
    </row>
    <row r="108" customFormat="false" ht="15" hidden="false" customHeight="false" outlineLevel="0" collapsed="false">
      <c r="A108" s="3" t="n">
        <v>107</v>
      </c>
      <c r="B108" s="3" t="n">
        <v>106</v>
      </c>
      <c r="C108" s="3" t="n">
        <v>2</v>
      </c>
      <c r="D108" s="3" t="n">
        <v>1</v>
      </c>
      <c r="E108" s="3" t="n">
        <v>1</v>
      </c>
      <c r="F108" s="24" t="n">
        <v>8.36674023</v>
      </c>
    </row>
    <row r="109" customFormat="false" ht="15" hidden="false" customHeight="false" outlineLevel="0" collapsed="false">
      <c r="A109" s="3" t="n">
        <v>108</v>
      </c>
      <c r="B109" s="3" t="n">
        <v>107</v>
      </c>
      <c r="C109" s="3" t="n">
        <v>2</v>
      </c>
      <c r="D109" s="3" t="n">
        <v>1</v>
      </c>
      <c r="E109" s="3" t="n">
        <v>2</v>
      </c>
      <c r="F109" s="24" t="n">
        <v>7.11067915</v>
      </c>
    </row>
    <row r="110" customFormat="false" ht="15" hidden="false" customHeight="false" outlineLevel="0" collapsed="false">
      <c r="A110" s="3" t="n">
        <v>109</v>
      </c>
      <c r="B110" s="3" t="n">
        <v>108</v>
      </c>
      <c r="C110" s="3" t="n">
        <v>2</v>
      </c>
      <c r="D110" s="3" t="n">
        <v>1</v>
      </c>
      <c r="E110" s="3" t="n">
        <v>3</v>
      </c>
      <c r="F110" s="24" t="n">
        <v>2.82862568</v>
      </c>
    </row>
    <row r="111" customFormat="false" ht="15" hidden="false" customHeight="false" outlineLevel="0" collapsed="false">
      <c r="A111" s="3" t="n">
        <v>110</v>
      </c>
      <c r="B111" s="3" t="n">
        <v>109</v>
      </c>
      <c r="C111" s="3" t="n">
        <v>2</v>
      </c>
      <c r="D111" s="3" t="n">
        <v>1</v>
      </c>
      <c r="E111" s="3" t="n">
        <v>4</v>
      </c>
      <c r="F111" s="24" t="n">
        <v>3.10879421</v>
      </c>
    </row>
    <row r="112" customFormat="false" ht="15" hidden="false" customHeight="false" outlineLevel="0" collapsed="false">
      <c r="A112" s="3" t="n">
        <v>111</v>
      </c>
      <c r="B112" s="3" t="n">
        <v>110</v>
      </c>
      <c r="C112" s="3" t="n">
        <v>2</v>
      </c>
      <c r="D112" s="3" t="n">
        <v>1</v>
      </c>
      <c r="E112" s="3" t="n">
        <v>5</v>
      </c>
      <c r="F112" s="24" t="n">
        <v>-6.09301472</v>
      </c>
    </row>
    <row r="113" customFormat="false" ht="15" hidden="false" customHeight="false" outlineLevel="0" collapsed="false">
      <c r="A113" s="3" t="n">
        <v>112</v>
      </c>
      <c r="B113" s="3" t="n">
        <v>111</v>
      </c>
      <c r="C113" s="3" t="n">
        <v>2</v>
      </c>
      <c r="D113" s="3" t="n">
        <v>1</v>
      </c>
      <c r="E113" s="3" t="n">
        <v>6</v>
      </c>
      <c r="F113" s="24" t="n">
        <v>-4.15512848</v>
      </c>
    </row>
    <row r="114" customFormat="false" ht="15" hidden="false" customHeight="false" outlineLevel="0" collapsed="false">
      <c r="A114" s="3" t="n">
        <v>113</v>
      </c>
      <c r="B114" s="3" t="n">
        <v>112</v>
      </c>
      <c r="C114" s="3" t="n">
        <v>2</v>
      </c>
      <c r="D114" s="3" t="n">
        <v>2</v>
      </c>
      <c r="E114" s="3" t="n">
        <v>0</v>
      </c>
      <c r="F114" s="24" t="n">
        <v>3.24350095</v>
      </c>
    </row>
    <row r="115" customFormat="false" ht="15" hidden="false" customHeight="false" outlineLevel="0" collapsed="false">
      <c r="A115" s="3" t="n">
        <v>114</v>
      </c>
      <c r="B115" s="3" t="n">
        <v>113</v>
      </c>
      <c r="C115" s="3" t="n">
        <v>2</v>
      </c>
      <c r="D115" s="3" t="n">
        <v>2</v>
      </c>
      <c r="E115" s="3" t="n">
        <v>1</v>
      </c>
      <c r="F115" s="24" t="n">
        <v>5.94048405</v>
      </c>
    </row>
    <row r="116" customFormat="false" ht="15" hidden="false" customHeight="false" outlineLevel="0" collapsed="false">
      <c r="A116" s="3" t="n">
        <v>115</v>
      </c>
      <c r="B116" s="3" t="n">
        <v>114</v>
      </c>
      <c r="C116" s="3" t="n">
        <v>2</v>
      </c>
      <c r="D116" s="3" t="n">
        <v>2</v>
      </c>
      <c r="E116" s="3" t="n">
        <v>2</v>
      </c>
      <c r="F116" s="24" t="n">
        <v>13.6775465</v>
      </c>
    </row>
    <row r="117" customFormat="false" ht="15" hidden="false" customHeight="false" outlineLevel="0" collapsed="false">
      <c r="A117" s="3" t="n">
        <v>116</v>
      </c>
      <c r="B117" s="3" t="n">
        <v>115</v>
      </c>
      <c r="C117" s="3" t="n">
        <v>2</v>
      </c>
      <c r="D117" s="3" t="n">
        <v>2</v>
      </c>
      <c r="E117" s="3" t="n">
        <v>3</v>
      </c>
      <c r="F117" s="24" t="n">
        <v>9.24364662</v>
      </c>
    </row>
    <row r="118" customFormat="false" ht="15" hidden="false" customHeight="false" outlineLevel="0" collapsed="false">
      <c r="A118" s="3" t="n">
        <v>117</v>
      </c>
      <c r="B118" s="3" t="n">
        <v>116</v>
      </c>
      <c r="C118" s="3" t="n">
        <v>2</v>
      </c>
      <c r="D118" s="3" t="n">
        <v>2</v>
      </c>
      <c r="E118" s="3" t="n">
        <v>4</v>
      </c>
      <c r="F118" s="24" t="n">
        <v>8.4915123</v>
      </c>
    </row>
    <row r="119" customFormat="false" ht="15" hidden="false" customHeight="false" outlineLevel="0" collapsed="false">
      <c r="A119" s="3" t="n">
        <v>118</v>
      </c>
      <c r="B119" s="3" t="n">
        <v>117</v>
      </c>
      <c r="C119" s="3" t="n">
        <v>2</v>
      </c>
      <c r="D119" s="3" t="n">
        <v>2</v>
      </c>
      <c r="E119" s="3" t="n">
        <v>5</v>
      </c>
      <c r="F119" s="24" t="n">
        <v>0.735526323</v>
      </c>
    </row>
    <row r="120" customFormat="false" ht="15" hidden="false" customHeight="false" outlineLevel="0" collapsed="false">
      <c r="A120" s="3" t="n">
        <v>119</v>
      </c>
      <c r="B120" s="3" t="n">
        <v>118</v>
      </c>
      <c r="C120" s="3" t="n">
        <v>2</v>
      </c>
      <c r="D120" s="3" t="n">
        <v>2</v>
      </c>
      <c r="E120" s="3" t="n">
        <v>6</v>
      </c>
      <c r="F120" s="24" t="n">
        <v>-1.16790605</v>
      </c>
    </row>
    <row r="121" customFormat="false" ht="15" hidden="false" customHeight="false" outlineLevel="0" collapsed="false">
      <c r="A121" s="3" t="n">
        <v>120</v>
      </c>
      <c r="B121" s="3" t="n">
        <v>119</v>
      </c>
      <c r="C121" s="3" t="n">
        <v>2</v>
      </c>
      <c r="D121" s="3" t="n">
        <v>3</v>
      </c>
      <c r="E121" s="3" t="n">
        <v>0</v>
      </c>
      <c r="F121" s="24" t="n">
        <v>-4.08548546</v>
      </c>
    </row>
    <row r="122" customFormat="false" ht="15" hidden="false" customHeight="false" outlineLevel="0" collapsed="false">
      <c r="A122" s="3" t="n">
        <v>121</v>
      </c>
      <c r="B122" s="3" t="n">
        <v>120</v>
      </c>
      <c r="C122" s="3" t="n">
        <v>2</v>
      </c>
      <c r="D122" s="3" t="n">
        <v>3</v>
      </c>
      <c r="E122" s="3" t="n">
        <v>1</v>
      </c>
      <c r="F122" s="24" t="n">
        <v>-4.97953653</v>
      </c>
    </row>
    <row r="123" customFormat="false" ht="15" hidden="false" customHeight="false" outlineLevel="0" collapsed="false">
      <c r="A123" s="3" t="n">
        <v>122</v>
      </c>
      <c r="B123" s="3" t="n">
        <v>121</v>
      </c>
      <c r="C123" s="3" t="n">
        <v>2</v>
      </c>
      <c r="D123" s="3" t="n">
        <v>3</v>
      </c>
      <c r="E123" s="3" t="n">
        <v>2</v>
      </c>
      <c r="F123" s="24" t="n">
        <v>-9.95788193</v>
      </c>
    </row>
    <row r="124" customFormat="false" ht="15" hidden="false" customHeight="false" outlineLevel="0" collapsed="false">
      <c r="A124" s="3" t="n">
        <v>123</v>
      </c>
      <c r="B124" s="3" t="n">
        <v>122</v>
      </c>
      <c r="C124" s="3" t="n">
        <v>2</v>
      </c>
      <c r="D124" s="3" t="n">
        <v>3</v>
      </c>
      <c r="E124" s="3" t="n">
        <v>3</v>
      </c>
      <c r="F124" s="24" t="n">
        <v>-8.61715221</v>
      </c>
    </row>
    <row r="125" customFormat="false" ht="15" hidden="false" customHeight="false" outlineLevel="0" collapsed="false">
      <c r="A125" s="3" t="n">
        <v>124</v>
      </c>
      <c r="B125" s="3" t="n">
        <v>123</v>
      </c>
      <c r="C125" s="3" t="n">
        <v>2</v>
      </c>
      <c r="D125" s="3" t="n">
        <v>3</v>
      </c>
      <c r="E125" s="3" t="n">
        <v>4</v>
      </c>
      <c r="F125" s="24" t="n">
        <v>-1.57485187</v>
      </c>
    </row>
    <row r="126" customFormat="false" ht="15" hidden="false" customHeight="false" outlineLevel="0" collapsed="false">
      <c r="A126" s="3" t="n">
        <v>125</v>
      </c>
      <c r="B126" s="3" t="n">
        <v>124</v>
      </c>
      <c r="C126" s="3" t="n">
        <v>2</v>
      </c>
      <c r="D126" s="3" t="n">
        <v>3</v>
      </c>
      <c r="E126" s="3" t="n">
        <v>5</v>
      </c>
      <c r="F126" s="24" t="n">
        <v>-1.54347837</v>
      </c>
    </row>
    <row r="127" customFormat="false" ht="15" hidden="false" customHeight="false" outlineLevel="0" collapsed="false">
      <c r="A127" s="3" t="n">
        <v>126</v>
      </c>
      <c r="B127" s="3" t="n">
        <v>125</v>
      </c>
      <c r="C127" s="3" t="n">
        <v>2</v>
      </c>
      <c r="D127" s="3" t="n">
        <v>3</v>
      </c>
      <c r="E127" s="3" t="n">
        <v>6</v>
      </c>
      <c r="F127" s="24" t="n">
        <v>1.50189793</v>
      </c>
    </row>
    <row r="128" customFormat="false" ht="15" hidden="false" customHeight="false" outlineLevel="0" collapsed="false">
      <c r="A128" s="3" t="n">
        <v>127</v>
      </c>
      <c r="B128" s="3" t="n">
        <v>126</v>
      </c>
      <c r="C128" s="3" t="n">
        <v>2</v>
      </c>
      <c r="D128" s="3" t="n">
        <v>4</v>
      </c>
      <c r="E128" s="3" t="n">
        <v>0</v>
      </c>
      <c r="F128" s="24" t="n">
        <v>-0.510774732</v>
      </c>
    </row>
    <row r="129" customFormat="false" ht="15" hidden="false" customHeight="false" outlineLevel="0" collapsed="false">
      <c r="A129" s="3" t="n">
        <v>128</v>
      </c>
      <c r="B129" s="3" t="n">
        <v>127</v>
      </c>
      <c r="C129" s="3" t="n">
        <v>2</v>
      </c>
      <c r="D129" s="3" t="n">
        <v>4</v>
      </c>
      <c r="E129" s="3" t="n">
        <v>1</v>
      </c>
      <c r="F129" s="24" t="n">
        <v>-3.29580212</v>
      </c>
    </row>
    <row r="130" customFormat="false" ht="15" hidden="false" customHeight="false" outlineLevel="0" collapsed="false">
      <c r="A130" s="3" t="n">
        <v>129</v>
      </c>
      <c r="B130" s="3" t="n">
        <v>128</v>
      </c>
      <c r="C130" s="3" t="n">
        <v>2</v>
      </c>
      <c r="D130" s="3" t="n">
        <v>4</v>
      </c>
      <c r="E130" s="3" t="n">
        <v>2</v>
      </c>
      <c r="F130" s="24" t="n">
        <v>-6.64018297</v>
      </c>
    </row>
    <row r="131" customFormat="false" ht="15" hidden="false" customHeight="false" outlineLevel="0" collapsed="false">
      <c r="A131" s="3" t="n">
        <v>130</v>
      </c>
      <c r="B131" s="3" t="n">
        <v>129</v>
      </c>
      <c r="C131" s="3" t="n">
        <v>2</v>
      </c>
      <c r="D131" s="3" t="n">
        <v>4</v>
      </c>
      <c r="E131" s="3" t="n">
        <v>3</v>
      </c>
      <c r="F131" s="24" t="n">
        <v>-6.28840351</v>
      </c>
    </row>
    <row r="132" customFormat="false" ht="15" hidden="false" customHeight="false" outlineLevel="0" collapsed="false">
      <c r="A132" s="3" t="n">
        <v>131</v>
      </c>
      <c r="B132" s="3" t="n">
        <v>130</v>
      </c>
      <c r="C132" s="3" t="n">
        <v>2</v>
      </c>
      <c r="D132" s="3" t="n">
        <v>4</v>
      </c>
      <c r="E132" s="3" t="n">
        <v>4</v>
      </c>
      <c r="F132" s="24" t="n">
        <v>-4.07541609</v>
      </c>
    </row>
    <row r="133" customFormat="false" ht="15" hidden="false" customHeight="false" outlineLevel="0" collapsed="false">
      <c r="A133" s="3" t="n">
        <v>132</v>
      </c>
      <c r="B133" s="3" t="n">
        <v>131</v>
      </c>
      <c r="C133" s="3" t="n">
        <v>2</v>
      </c>
      <c r="D133" s="3" t="n">
        <v>4</v>
      </c>
      <c r="E133" s="3" t="n">
        <v>5</v>
      </c>
      <c r="F133" s="24" t="n">
        <v>-1.75665319</v>
      </c>
    </row>
    <row r="134" customFormat="false" ht="15" hidden="false" customHeight="false" outlineLevel="0" collapsed="false">
      <c r="A134" s="3" t="n">
        <v>133</v>
      </c>
      <c r="B134" s="3" t="n">
        <v>132</v>
      </c>
      <c r="C134" s="3" t="n">
        <v>2</v>
      </c>
      <c r="D134" s="3" t="n">
        <v>4</v>
      </c>
      <c r="E134" s="3" t="n">
        <v>6</v>
      </c>
      <c r="F134" s="24" t="n">
        <v>-1.23765194</v>
      </c>
    </row>
    <row r="135" customFormat="false" ht="15" hidden="false" customHeight="false" outlineLevel="0" collapsed="false">
      <c r="A135" s="3" t="n">
        <v>134</v>
      </c>
      <c r="B135" s="3" t="n">
        <v>133</v>
      </c>
      <c r="C135" s="3" t="n">
        <v>2</v>
      </c>
      <c r="D135" s="3" t="n">
        <v>5</v>
      </c>
      <c r="E135" s="3" t="n">
        <v>0</v>
      </c>
      <c r="F135" s="24" t="n">
        <v>-0.0706967711</v>
      </c>
    </row>
    <row r="136" customFormat="false" ht="15" hidden="false" customHeight="false" outlineLevel="0" collapsed="false">
      <c r="A136" s="3" t="n">
        <v>135</v>
      </c>
      <c r="B136" s="3" t="n">
        <v>134</v>
      </c>
      <c r="C136" s="3" t="n">
        <v>2</v>
      </c>
      <c r="D136" s="3" t="n">
        <v>5</v>
      </c>
      <c r="E136" s="3" t="n">
        <v>1</v>
      </c>
      <c r="F136" s="24" t="n">
        <v>-1.88063908</v>
      </c>
    </row>
    <row r="137" customFormat="false" ht="15" hidden="false" customHeight="false" outlineLevel="0" collapsed="false">
      <c r="A137" s="3" t="n">
        <v>136</v>
      </c>
      <c r="B137" s="3" t="n">
        <v>135</v>
      </c>
      <c r="C137" s="3" t="n">
        <v>2</v>
      </c>
      <c r="D137" s="3" t="n">
        <v>5</v>
      </c>
      <c r="E137" s="3" t="n">
        <v>2</v>
      </c>
      <c r="F137" s="24" t="n">
        <v>-2.37760663</v>
      </c>
    </row>
    <row r="138" customFormat="false" ht="15" hidden="false" customHeight="false" outlineLevel="0" collapsed="false">
      <c r="A138" s="3" t="n">
        <v>137</v>
      </c>
      <c r="B138" s="3" t="n">
        <v>136</v>
      </c>
      <c r="C138" s="3" t="n">
        <v>2</v>
      </c>
      <c r="D138" s="3" t="n">
        <v>5</v>
      </c>
      <c r="E138" s="3" t="n">
        <v>3</v>
      </c>
      <c r="F138" s="24" t="n">
        <v>0.00697648525</v>
      </c>
    </row>
    <row r="139" customFormat="false" ht="15" hidden="false" customHeight="false" outlineLevel="0" collapsed="false">
      <c r="A139" s="3" t="n">
        <v>138</v>
      </c>
      <c r="B139" s="3" t="n">
        <v>137</v>
      </c>
      <c r="C139" s="3" t="n">
        <v>2</v>
      </c>
      <c r="D139" s="3" t="n">
        <v>5</v>
      </c>
      <c r="E139" s="3" t="n">
        <v>4</v>
      </c>
      <c r="F139" s="24" t="n">
        <v>-0.854132116</v>
      </c>
    </row>
    <row r="140" customFormat="false" ht="15" hidden="false" customHeight="false" outlineLevel="0" collapsed="false">
      <c r="A140" s="3" t="n">
        <v>139</v>
      </c>
      <c r="B140" s="3" t="n">
        <v>138</v>
      </c>
      <c r="C140" s="3" t="n">
        <v>2</v>
      </c>
      <c r="D140" s="3" t="n">
        <v>5</v>
      </c>
      <c r="E140" s="3" t="n">
        <v>5</v>
      </c>
      <c r="F140" s="24" t="n">
        <v>-0.659841657</v>
      </c>
    </row>
    <row r="141" customFormat="false" ht="15" hidden="false" customHeight="false" outlineLevel="0" collapsed="false">
      <c r="A141" s="3" t="n">
        <v>140</v>
      </c>
      <c r="B141" s="3" t="n">
        <v>139</v>
      </c>
      <c r="C141" s="3" t="n">
        <v>2</v>
      </c>
      <c r="D141" s="3" t="n">
        <v>5</v>
      </c>
      <c r="E141" s="3" t="n">
        <v>6</v>
      </c>
      <c r="F141" s="24" t="n">
        <v>-1.11677277</v>
      </c>
    </row>
    <row r="142" customFormat="false" ht="15" hidden="false" customHeight="false" outlineLevel="0" collapsed="false">
      <c r="A142" s="3" t="n">
        <v>141</v>
      </c>
      <c r="B142" s="3" t="n">
        <v>140</v>
      </c>
      <c r="C142" s="3" t="n">
        <v>2</v>
      </c>
      <c r="D142" s="3" t="n">
        <v>6</v>
      </c>
      <c r="E142" s="3" t="n">
        <v>0</v>
      </c>
      <c r="F142" s="24" t="n">
        <v>-0.549064994</v>
      </c>
    </row>
    <row r="143" customFormat="false" ht="15" hidden="false" customHeight="false" outlineLevel="0" collapsed="false">
      <c r="A143" s="3" t="n">
        <v>142</v>
      </c>
      <c r="B143" s="3" t="n">
        <v>141</v>
      </c>
      <c r="C143" s="3" t="n">
        <v>2</v>
      </c>
      <c r="D143" s="3" t="n">
        <v>6</v>
      </c>
      <c r="E143" s="3" t="n">
        <v>1</v>
      </c>
      <c r="F143" s="24" t="n">
        <v>3.12637281</v>
      </c>
    </row>
    <row r="144" customFormat="false" ht="15" hidden="false" customHeight="false" outlineLevel="0" collapsed="false">
      <c r="A144" s="3" t="n">
        <v>143</v>
      </c>
      <c r="B144" s="3" t="n">
        <v>142</v>
      </c>
      <c r="C144" s="3" t="n">
        <v>2</v>
      </c>
      <c r="D144" s="3" t="n">
        <v>6</v>
      </c>
      <c r="E144" s="3" t="n">
        <v>2</v>
      </c>
      <c r="F144" s="24" t="n">
        <v>2.73432136</v>
      </c>
    </row>
    <row r="145" customFormat="false" ht="15" hidden="false" customHeight="false" outlineLevel="0" collapsed="false">
      <c r="A145" s="3" t="n">
        <v>144</v>
      </c>
      <c r="B145" s="3" t="n">
        <v>143</v>
      </c>
      <c r="C145" s="3" t="n">
        <v>2</v>
      </c>
      <c r="D145" s="3" t="n">
        <v>6</v>
      </c>
      <c r="E145" s="3" t="n">
        <v>3</v>
      </c>
      <c r="F145" s="24" t="n">
        <v>4.77638102</v>
      </c>
    </row>
    <row r="146" customFormat="false" ht="15" hidden="false" customHeight="false" outlineLevel="0" collapsed="false">
      <c r="A146" s="3" t="n">
        <v>145</v>
      </c>
      <c r="B146" s="3" t="n">
        <v>144</v>
      </c>
      <c r="C146" s="3" t="n">
        <v>2</v>
      </c>
      <c r="D146" s="3" t="n">
        <v>6</v>
      </c>
      <c r="E146" s="3" t="n">
        <v>4</v>
      </c>
      <c r="F146" s="24" t="n">
        <v>0.811909914</v>
      </c>
    </row>
    <row r="147" customFormat="false" ht="15" hidden="false" customHeight="false" outlineLevel="0" collapsed="false">
      <c r="A147" s="3" t="n">
        <v>146</v>
      </c>
      <c r="B147" s="3" t="n">
        <v>145</v>
      </c>
      <c r="C147" s="3" t="n">
        <v>2</v>
      </c>
      <c r="D147" s="3" t="n">
        <v>6</v>
      </c>
      <c r="E147" s="3" t="n">
        <v>5</v>
      </c>
      <c r="F147" s="24" t="n">
        <v>-0.665083528</v>
      </c>
    </row>
    <row r="148" customFormat="false" ht="15" hidden="false" customHeight="false" outlineLevel="0" collapsed="false">
      <c r="A148" s="3" t="n">
        <v>147</v>
      </c>
      <c r="B148" s="3" t="n">
        <v>146</v>
      </c>
      <c r="C148" s="3" t="n">
        <v>2</v>
      </c>
      <c r="D148" s="3" t="n">
        <v>6</v>
      </c>
      <c r="E148" s="3" t="n">
        <v>6</v>
      </c>
      <c r="F148" s="24" t="n">
        <v>-0.889477372</v>
      </c>
    </row>
    <row r="149" customFormat="false" ht="15" hidden="false" customHeight="false" outlineLevel="0" collapsed="false">
      <c r="A149" s="3" t="n">
        <v>148</v>
      </c>
      <c r="B149" s="3" t="n">
        <v>147</v>
      </c>
      <c r="C149" s="3" t="n">
        <v>3</v>
      </c>
      <c r="D149" s="3" t="n">
        <v>0</v>
      </c>
      <c r="E149" s="3" t="n">
        <v>0</v>
      </c>
      <c r="F149" s="24" t="n">
        <v>0.776349247</v>
      </c>
    </row>
    <row r="150" customFormat="false" ht="15" hidden="false" customHeight="false" outlineLevel="0" collapsed="false">
      <c r="A150" s="3" t="n">
        <v>149</v>
      </c>
      <c r="B150" s="3" t="n">
        <v>148</v>
      </c>
      <c r="C150" s="3" t="n">
        <v>3</v>
      </c>
      <c r="D150" s="3" t="n">
        <v>0</v>
      </c>
      <c r="E150" s="3" t="n">
        <v>1</v>
      </c>
      <c r="F150" s="24" t="n">
        <v>4.89755583</v>
      </c>
    </row>
    <row r="151" customFormat="false" ht="15" hidden="false" customHeight="false" outlineLevel="0" collapsed="false">
      <c r="A151" s="3" t="n">
        <v>150</v>
      </c>
      <c r="B151" s="3" t="n">
        <v>149</v>
      </c>
      <c r="C151" s="3" t="n">
        <v>3</v>
      </c>
      <c r="D151" s="3" t="n">
        <v>0</v>
      </c>
      <c r="E151" s="3" t="n">
        <v>2</v>
      </c>
      <c r="F151" s="24" t="n">
        <v>7.55875254</v>
      </c>
    </row>
    <row r="152" customFormat="false" ht="15" hidden="false" customHeight="false" outlineLevel="0" collapsed="false">
      <c r="A152" s="3" t="n">
        <v>151</v>
      </c>
      <c r="B152" s="3" t="n">
        <v>150</v>
      </c>
      <c r="C152" s="3" t="n">
        <v>3</v>
      </c>
      <c r="D152" s="3" t="n">
        <v>0</v>
      </c>
      <c r="E152" s="3" t="n">
        <v>3</v>
      </c>
      <c r="F152" s="24" t="n">
        <v>3.92260623</v>
      </c>
    </row>
    <row r="153" customFormat="false" ht="15" hidden="false" customHeight="false" outlineLevel="0" collapsed="false">
      <c r="A153" s="3" t="n">
        <v>152</v>
      </c>
      <c r="B153" s="3" t="n">
        <v>151</v>
      </c>
      <c r="C153" s="3" t="n">
        <v>3</v>
      </c>
      <c r="D153" s="3" t="n">
        <v>0</v>
      </c>
      <c r="E153" s="3" t="n">
        <v>4</v>
      </c>
      <c r="F153" s="24" t="n">
        <v>1.35765815</v>
      </c>
    </row>
    <row r="154" customFormat="false" ht="15" hidden="false" customHeight="false" outlineLevel="0" collapsed="false">
      <c r="A154" s="3" t="n">
        <v>153</v>
      </c>
      <c r="B154" s="3" t="n">
        <v>152</v>
      </c>
      <c r="C154" s="3" t="n">
        <v>3</v>
      </c>
      <c r="D154" s="3" t="n">
        <v>0</v>
      </c>
      <c r="E154" s="3" t="n">
        <v>5</v>
      </c>
      <c r="F154" s="24" t="n">
        <v>-0.715734422</v>
      </c>
    </row>
    <row r="155" customFormat="false" ht="15" hidden="false" customHeight="false" outlineLevel="0" collapsed="false">
      <c r="A155" s="3" t="n">
        <v>154</v>
      </c>
      <c r="B155" s="3" t="n">
        <v>153</v>
      </c>
      <c r="C155" s="3" t="n">
        <v>3</v>
      </c>
      <c r="D155" s="3" t="n">
        <v>0</v>
      </c>
      <c r="E155" s="3" t="n">
        <v>6</v>
      </c>
      <c r="F155" s="24" t="n">
        <v>-2.1737721</v>
      </c>
    </row>
    <row r="156" customFormat="false" ht="15" hidden="false" customHeight="false" outlineLevel="0" collapsed="false">
      <c r="A156" s="3" t="n">
        <v>155</v>
      </c>
      <c r="B156" s="3" t="n">
        <v>154</v>
      </c>
      <c r="C156" s="3" t="n">
        <v>3</v>
      </c>
      <c r="D156" s="3" t="n">
        <v>1</v>
      </c>
      <c r="E156" s="3" t="n">
        <v>0</v>
      </c>
      <c r="F156" s="24" t="n">
        <v>-1.38740587</v>
      </c>
    </row>
    <row r="157" customFormat="false" ht="15" hidden="false" customHeight="false" outlineLevel="0" collapsed="false">
      <c r="A157" s="3" t="n">
        <v>156</v>
      </c>
      <c r="B157" s="3" t="n">
        <v>155</v>
      </c>
      <c r="C157" s="3" t="n">
        <v>3</v>
      </c>
      <c r="D157" s="3" t="n">
        <v>1</v>
      </c>
      <c r="E157" s="3" t="n">
        <v>1</v>
      </c>
      <c r="F157" s="24" t="n">
        <v>-1.68616068</v>
      </c>
    </row>
    <row r="158" customFormat="false" ht="15" hidden="false" customHeight="false" outlineLevel="0" collapsed="false">
      <c r="A158" s="3" t="n">
        <v>157</v>
      </c>
      <c r="B158" s="3" t="n">
        <v>156</v>
      </c>
      <c r="C158" s="3" t="n">
        <v>3</v>
      </c>
      <c r="D158" s="3" t="n">
        <v>1</v>
      </c>
      <c r="E158" s="3" t="n">
        <v>2</v>
      </c>
      <c r="F158" s="24" t="n">
        <v>1.43851173</v>
      </c>
    </row>
    <row r="159" customFormat="false" ht="15" hidden="false" customHeight="false" outlineLevel="0" collapsed="false">
      <c r="A159" s="3" t="n">
        <v>158</v>
      </c>
      <c r="B159" s="3" t="n">
        <v>157</v>
      </c>
      <c r="C159" s="3" t="n">
        <v>3</v>
      </c>
      <c r="D159" s="3" t="n">
        <v>1</v>
      </c>
      <c r="E159" s="3" t="n">
        <v>3</v>
      </c>
      <c r="F159" s="24" t="n">
        <v>4.60587931</v>
      </c>
    </row>
    <row r="160" customFormat="false" ht="15" hidden="false" customHeight="false" outlineLevel="0" collapsed="false">
      <c r="A160" s="3" t="n">
        <v>159</v>
      </c>
      <c r="B160" s="3" t="n">
        <v>158</v>
      </c>
      <c r="C160" s="3" t="n">
        <v>3</v>
      </c>
      <c r="D160" s="3" t="n">
        <v>1</v>
      </c>
      <c r="E160" s="3" t="n">
        <v>4</v>
      </c>
      <c r="F160" s="24" t="n">
        <v>1.26051843</v>
      </c>
    </row>
    <row r="161" customFormat="false" ht="15" hidden="false" customHeight="false" outlineLevel="0" collapsed="false">
      <c r="A161" s="3" t="n">
        <v>160</v>
      </c>
      <c r="B161" s="3" t="n">
        <v>159</v>
      </c>
      <c r="C161" s="3" t="n">
        <v>3</v>
      </c>
      <c r="D161" s="3" t="n">
        <v>1</v>
      </c>
      <c r="E161" s="3" t="n">
        <v>5</v>
      </c>
      <c r="F161" s="24" t="n">
        <v>-3.2509861</v>
      </c>
    </row>
    <row r="162" customFormat="false" ht="15" hidden="false" customHeight="false" outlineLevel="0" collapsed="false">
      <c r="A162" s="3" t="n">
        <v>161</v>
      </c>
      <c r="B162" s="3" t="n">
        <v>160</v>
      </c>
      <c r="C162" s="3" t="n">
        <v>3</v>
      </c>
      <c r="D162" s="3" t="n">
        <v>1</v>
      </c>
      <c r="E162" s="3" t="n">
        <v>6</v>
      </c>
      <c r="F162" s="24" t="n">
        <v>-4.92792273</v>
      </c>
    </row>
    <row r="163" customFormat="false" ht="15" hidden="false" customHeight="false" outlineLevel="0" collapsed="false">
      <c r="A163" s="3" t="n">
        <v>162</v>
      </c>
      <c r="B163" s="3" t="n">
        <v>161</v>
      </c>
      <c r="C163" s="3" t="n">
        <v>3</v>
      </c>
      <c r="D163" s="3" t="n">
        <v>2</v>
      </c>
      <c r="E163" s="3" t="n">
        <v>0</v>
      </c>
      <c r="F163" s="24" t="n">
        <v>-7.8820343</v>
      </c>
    </row>
    <row r="164" customFormat="false" ht="15" hidden="false" customHeight="false" outlineLevel="0" collapsed="false">
      <c r="A164" s="3" t="n">
        <v>163</v>
      </c>
      <c r="B164" s="3" t="n">
        <v>162</v>
      </c>
      <c r="C164" s="3" t="n">
        <v>3</v>
      </c>
      <c r="D164" s="3" t="n">
        <v>2</v>
      </c>
      <c r="E164" s="3" t="n">
        <v>1</v>
      </c>
      <c r="F164" s="24" t="n">
        <v>-10.0165482</v>
      </c>
    </row>
    <row r="165" customFormat="false" ht="15" hidden="false" customHeight="false" outlineLevel="0" collapsed="false">
      <c r="A165" s="3" t="n">
        <v>164</v>
      </c>
      <c r="B165" s="3" t="n">
        <v>163</v>
      </c>
      <c r="C165" s="3" t="n">
        <v>3</v>
      </c>
      <c r="D165" s="3" t="n">
        <v>2</v>
      </c>
      <c r="E165" s="3" t="n">
        <v>2</v>
      </c>
      <c r="F165" s="24" t="n">
        <v>-7.6230011</v>
      </c>
    </row>
    <row r="166" customFormat="false" ht="15" hidden="false" customHeight="false" outlineLevel="0" collapsed="false">
      <c r="A166" s="3" t="n">
        <v>165</v>
      </c>
      <c r="B166" s="3" t="n">
        <v>164</v>
      </c>
      <c r="C166" s="3" t="n">
        <v>3</v>
      </c>
      <c r="D166" s="3" t="n">
        <v>2</v>
      </c>
      <c r="E166" s="3" t="n">
        <v>3</v>
      </c>
      <c r="F166" s="24" t="n">
        <v>-10.3448229</v>
      </c>
    </row>
    <row r="167" customFormat="false" ht="15" hidden="false" customHeight="false" outlineLevel="0" collapsed="false">
      <c r="A167" s="3" t="n">
        <v>166</v>
      </c>
      <c r="B167" s="3" t="n">
        <v>165</v>
      </c>
      <c r="C167" s="3" t="n">
        <v>3</v>
      </c>
      <c r="D167" s="3" t="n">
        <v>2</v>
      </c>
      <c r="E167" s="3" t="n">
        <v>4</v>
      </c>
      <c r="F167" s="24" t="n">
        <v>-2.52889967</v>
      </c>
    </row>
    <row r="168" customFormat="false" ht="15" hidden="false" customHeight="false" outlineLevel="0" collapsed="false">
      <c r="A168" s="3" t="n">
        <v>167</v>
      </c>
      <c r="B168" s="3" t="n">
        <v>166</v>
      </c>
      <c r="C168" s="3" t="n">
        <v>3</v>
      </c>
      <c r="D168" s="3" t="n">
        <v>2</v>
      </c>
      <c r="E168" s="3" t="n">
        <v>5</v>
      </c>
      <c r="F168" s="24" t="n">
        <v>-4.02330208</v>
      </c>
    </row>
    <row r="169" customFormat="false" ht="15" hidden="false" customHeight="false" outlineLevel="0" collapsed="false">
      <c r="A169" s="3" t="n">
        <v>168</v>
      </c>
      <c r="B169" s="3" t="n">
        <v>167</v>
      </c>
      <c r="C169" s="3" t="n">
        <v>3</v>
      </c>
      <c r="D169" s="3" t="n">
        <v>2</v>
      </c>
      <c r="E169" s="3" t="n">
        <v>6</v>
      </c>
      <c r="F169" s="24" t="n">
        <v>-9.55729675</v>
      </c>
    </row>
    <row r="170" customFormat="false" ht="15" hidden="false" customHeight="false" outlineLevel="0" collapsed="false">
      <c r="A170" s="3" t="n">
        <v>169</v>
      </c>
      <c r="B170" s="3" t="n">
        <v>168</v>
      </c>
      <c r="C170" s="3" t="n">
        <v>3</v>
      </c>
      <c r="D170" s="3" t="n">
        <v>3</v>
      </c>
      <c r="E170" s="3" t="n">
        <v>0</v>
      </c>
      <c r="F170" s="24" t="n">
        <v>-3.62501717</v>
      </c>
    </row>
    <row r="171" customFormat="false" ht="15" hidden="false" customHeight="false" outlineLevel="0" collapsed="false">
      <c r="A171" s="3" t="n">
        <v>170</v>
      </c>
      <c r="B171" s="3" t="n">
        <v>169</v>
      </c>
      <c r="C171" s="3" t="n">
        <v>3</v>
      </c>
      <c r="D171" s="3" t="n">
        <v>3</v>
      </c>
      <c r="E171" s="3" t="n">
        <v>1</v>
      </c>
      <c r="F171" s="24" t="n">
        <v>-11.0288277</v>
      </c>
    </row>
    <row r="172" customFormat="false" ht="15" hidden="false" customHeight="false" outlineLevel="0" collapsed="false">
      <c r="A172" s="3" t="n">
        <v>171</v>
      </c>
      <c r="B172" s="3" t="n">
        <v>170</v>
      </c>
      <c r="C172" s="3" t="n">
        <v>3</v>
      </c>
      <c r="D172" s="3" t="n">
        <v>3</v>
      </c>
      <c r="E172" s="3" t="n">
        <v>2</v>
      </c>
      <c r="F172" s="24" t="n">
        <v>-6.74013853</v>
      </c>
    </row>
    <row r="173" customFormat="false" ht="15" hidden="false" customHeight="false" outlineLevel="0" collapsed="false">
      <c r="A173" s="3" t="n">
        <v>172</v>
      </c>
      <c r="B173" s="3" t="n">
        <v>171</v>
      </c>
      <c r="C173" s="3" t="n">
        <v>3</v>
      </c>
      <c r="D173" s="3" t="n">
        <v>3</v>
      </c>
      <c r="E173" s="3" t="n">
        <v>3</v>
      </c>
      <c r="F173" s="24" t="n">
        <v>-3.2478075</v>
      </c>
    </row>
    <row r="174" customFormat="false" ht="15" hidden="false" customHeight="false" outlineLevel="0" collapsed="false">
      <c r="A174" s="3" t="n">
        <v>173</v>
      </c>
      <c r="B174" s="3" t="n">
        <v>172</v>
      </c>
      <c r="C174" s="3" t="n">
        <v>3</v>
      </c>
      <c r="D174" s="3" t="n">
        <v>3</v>
      </c>
      <c r="E174" s="3" t="n">
        <v>4</v>
      </c>
      <c r="F174" s="24" t="n">
        <v>6.33292341</v>
      </c>
    </row>
    <row r="175" customFormat="false" ht="15" hidden="false" customHeight="false" outlineLevel="0" collapsed="false">
      <c r="A175" s="3" t="n">
        <v>174</v>
      </c>
      <c r="B175" s="3" t="n">
        <v>173</v>
      </c>
      <c r="C175" s="3" t="n">
        <v>3</v>
      </c>
      <c r="D175" s="3" t="n">
        <v>3</v>
      </c>
      <c r="E175" s="3" t="n">
        <v>5</v>
      </c>
      <c r="F175" s="24" t="n">
        <v>7.33222151</v>
      </c>
    </row>
    <row r="176" customFormat="false" ht="15" hidden="false" customHeight="false" outlineLevel="0" collapsed="false">
      <c r="A176" s="3" t="n">
        <v>175</v>
      </c>
      <c r="B176" s="3" t="n">
        <v>174</v>
      </c>
      <c r="C176" s="3" t="n">
        <v>3</v>
      </c>
      <c r="D176" s="3" t="n">
        <v>3</v>
      </c>
      <c r="E176" s="3" t="n">
        <v>6</v>
      </c>
      <c r="F176" s="24" t="n">
        <v>-5.65722275</v>
      </c>
    </row>
    <row r="177" customFormat="false" ht="15" hidden="false" customHeight="false" outlineLevel="0" collapsed="false">
      <c r="A177" s="3" t="n">
        <v>176</v>
      </c>
      <c r="B177" s="3" t="n">
        <v>175</v>
      </c>
      <c r="C177" s="3" t="n">
        <v>3</v>
      </c>
      <c r="D177" s="3" t="n">
        <v>4</v>
      </c>
      <c r="E177" s="3" t="n">
        <v>0</v>
      </c>
      <c r="F177" s="24" t="n">
        <v>-0.643123329</v>
      </c>
    </row>
    <row r="178" customFormat="false" ht="15" hidden="false" customHeight="false" outlineLevel="0" collapsed="false">
      <c r="A178" s="3" t="n">
        <v>177</v>
      </c>
      <c r="B178" s="3" t="n">
        <v>176</v>
      </c>
      <c r="C178" s="3" t="n">
        <v>3</v>
      </c>
      <c r="D178" s="3" t="n">
        <v>4</v>
      </c>
      <c r="E178" s="3" t="n">
        <v>1</v>
      </c>
      <c r="F178" s="24" t="n">
        <v>-1.24265492</v>
      </c>
    </row>
    <row r="179" customFormat="false" ht="15" hidden="false" customHeight="false" outlineLevel="0" collapsed="false">
      <c r="A179" s="3" t="n">
        <v>178</v>
      </c>
      <c r="B179" s="3" t="n">
        <v>177</v>
      </c>
      <c r="C179" s="3" t="n">
        <v>3</v>
      </c>
      <c r="D179" s="3" t="n">
        <v>4</v>
      </c>
      <c r="E179" s="3" t="n">
        <v>2</v>
      </c>
      <c r="F179" s="24" t="n">
        <v>-1.59016287</v>
      </c>
    </row>
    <row r="180" customFormat="false" ht="15" hidden="false" customHeight="false" outlineLevel="0" collapsed="false">
      <c r="A180" s="3" t="n">
        <v>179</v>
      </c>
      <c r="B180" s="3" t="n">
        <v>178</v>
      </c>
      <c r="C180" s="3" t="n">
        <v>3</v>
      </c>
      <c r="D180" s="3" t="n">
        <v>4</v>
      </c>
      <c r="E180" s="3" t="n">
        <v>3</v>
      </c>
      <c r="F180" s="24" t="n">
        <v>-5.43467331</v>
      </c>
    </row>
    <row r="181" customFormat="false" ht="15" hidden="false" customHeight="false" outlineLevel="0" collapsed="false">
      <c r="A181" s="3" t="n">
        <v>180</v>
      </c>
      <c r="B181" s="3" t="n">
        <v>179</v>
      </c>
      <c r="C181" s="3" t="n">
        <v>3</v>
      </c>
      <c r="D181" s="3" t="n">
        <v>4</v>
      </c>
      <c r="E181" s="3" t="n">
        <v>4</v>
      </c>
      <c r="F181" s="24" t="n">
        <v>-3.25048089</v>
      </c>
    </row>
    <row r="182" customFormat="false" ht="15" hidden="false" customHeight="false" outlineLevel="0" collapsed="false">
      <c r="A182" s="3" t="n">
        <v>181</v>
      </c>
      <c r="B182" s="3" t="n">
        <v>180</v>
      </c>
      <c r="C182" s="3" t="n">
        <v>3</v>
      </c>
      <c r="D182" s="3" t="n">
        <v>4</v>
      </c>
      <c r="E182" s="3" t="n">
        <v>5</v>
      </c>
      <c r="F182" s="24" t="n">
        <v>-6.25478315</v>
      </c>
    </row>
    <row r="183" customFormat="false" ht="15" hidden="false" customHeight="false" outlineLevel="0" collapsed="false">
      <c r="A183" s="3" t="n">
        <v>182</v>
      </c>
      <c r="B183" s="3" t="n">
        <v>181</v>
      </c>
      <c r="C183" s="3" t="n">
        <v>3</v>
      </c>
      <c r="D183" s="3" t="n">
        <v>4</v>
      </c>
      <c r="E183" s="3" t="n">
        <v>6</v>
      </c>
      <c r="F183" s="24" t="n">
        <v>-4.29590893</v>
      </c>
    </row>
    <row r="184" customFormat="false" ht="15" hidden="false" customHeight="false" outlineLevel="0" collapsed="false">
      <c r="A184" s="3" t="n">
        <v>183</v>
      </c>
      <c r="B184" s="3" t="n">
        <v>182</v>
      </c>
      <c r="C184" s="3" t="n">
        <v>3</v>
      </c>
      <c r="D184" s="3" t="n">
        <v>5</v>
      </c>
      <c r="E184" s="3" t="n">
        <v>0</v>
      </c>
      <c r="F184" s="24" t="n">
        <v>-0.118416972</v>
      </c>
    </row>
    <row r="185" customFormat="false" ht="15" hidden="false" customHeight="false" outlineLevel="0" collapsed="false">
      <c r="A185" s="3" t="n">
        <v>184</v>
      </c>
      <c r="B185" s="3" t="n">
        <v>183</v>
      </c>
      <c r="C185" s="3" t="n">
        <v>3</v>
      </c>
      <c r="D185" s="3" t="n">
        <v>5</v>
      </c>
      <c r="E185" s="3" t="n">
        <v>1</v>
      </c>
      <c r="F185" s="24" t="n">
        <v>3.80923724</v>
      </c>
    </row>
    <row r="186" customFormat="false" ht="15" hidden="false" customHeight="false" outlineLevel="0" collapsed="false">
      <c r="A186" s="3" t="n">
        <v>185</v>
      </c>
      <c r="B186" s="3" t="n">
        <v>184</v>
      </c>
      <c r="C186" s="3" t="n">
        <v>3</v>
      </c>
      <c r="D186" s="3" t="n">
        <v>5</v>
      </c>
      <c r="E186" s="3" t="n">
        <v>2</v>
      </c>
      <c r="F186" s="24" t="n">
        <v>3.28168726</v>
      </c>
    </row>
    <row r="187" customFormat="false" ht="15" hidden="false" customHeight="false" outlineLevel="0" collapsed="false">
      <c r="A187" s="3" t="n">
        <v>186</v>
      </c>
      <c r="B187" s="3" t="n">
        <v>185</v>
      </c>
      <c r="C187" s="3" t="n">
        <v>3</v>
      </c>
      <c r="D187" s="3" t="n">
        <v>5</v>
      </c>
      <c r="E187" s="3" t="n">
        <v>3</v>
      </c>
      <c r="F187" s="24" t="n">
        <v>0.102882773</v>
      </c>
    </row>
    <row r="188" customFormat="false" ht="15" hidden="false" customHeight="false" outlineLevel="0" collapsed="false">
      <c r="A188" s="3" t="n">
        <v>187</v>
      </c>
      <c r="B188" s="3" t="n">
        <v>186</v>
      </c>
      <c r="C188" s="3" t="n">
        <v>3</v>
      </c>
      <c r="D188" s="3" t="n">
        <v>5</v>
      </c>
      <c r="E188" s="3" t="n">
        <v>4</v>
      </c>
      <c r="F188" s="24" t="n">
        <v>-4.98137236</v>
      </c>
    </row>
    <row r="189" customFormat="false" ht="15" hidden="false" customHeight="false" outlineLevel="0" collapsed="false">
      <c r="A189" s="3" t="n">
        <v>188</v>
      </c>
      <c r="B189" s="3" t="n">
        <v>187</v>
      </c>
      <c r="C189" s="3" t="n">
        <v>3</v>
      </c>
      <c r="D189" s="3" t="n">
        <v>5</v>
      </c>
      <c r="E189" s="3" t="n">
        <v>5</v>
      </c>
      <c r="F189" s="24" t="n">
        <v>-6.25897646</v>
      </c>
    </row>
    <row r="190" customFormat="false" ht="15" hidden="false" customHeight="false" outlineLevel="0" collapsed="false">
      <c r="A190" s="3" t="n">
        <v>189</v>
      </c>
      <c r="B190" s="3" t="n">
        <v>188</v>
      </c>
      <c r="C190" s="3" t="n">
        <v>3</v>
      </c>
      <c r="D190" s="3" t="n">
        <v>5</v>
      </c>
      <c r="E190" s="3" t="n">
        <v>6</v>
      </c>
      <c r="F190" s="24" t="n">
        <v>-2.15015364</v>
      </c>
    </row>
    <row r="191" customFormat="false" ht="15" hidden="false" customHeight="false" outlineLevel="0" collapsed="false">
      <c r="A191" s="3" t="n">
        <v>190</v>
      </c>
      <c r="B191" s="3" t="n">
        <v>189</v>
      </c>
      <c r="C191" s="3" t="n">
        <v>3</v>
      </c>
      <c r="D191" s="3" t="n">
        <v>6</v>
      </c>
      <c r="E191" s="3" t="n">
        <v>0</v>
      </c>
      <c r="F191" s="24" t="n">
        <v>-1.649809</v>
      </c>
    </row>
    <row r="192" customFormat="false" ht="15" hidden="false" customHeight="false" outlineLevel="0" collapsed="false">
      <c r="A192" s="3" t="n">
        <v>191</v>
      </c>
      <c r="B192" s="3" t="n">
        <v>190</v>
      </c>
      <c r="C192" s="3" t="n">
        <v>3</v>
      </c>
      <c r="D192" s="3" t="n">
        <v>6</v>
      </c>
      <c r="E192" s="3" t="n">
        <v>1</v>
      </c>
      <c r="F192" s="24" t="n">
        <v>-4.85535908</v>
      </c>
    </row>
    <row r="193" customFormat="false" ht="15" hidden="false" customHeight="false" outlineLevel="0" collapsed="false">
      <c r="A193" s="3" t="n">
        <v>192</v>
      </c>
      <c r="B193" s="3" t="n">
        <v>191</v>
      </c>
      <c r="C193" s="3" t="n">
        <v>3</v>
      </c>
      <c r="D193" s="3" t="n">
        <v>6</v>
      </c>
      <c r="E193" s="3" t="n">
        <v>2</v>
      </c>
      <c r="F193" s="24" t="n">
        <v>-10.3664217</v>
      </c>
    </row>
    <row r="194" customFormat="false" ht="15" hidden="false" customHeight="false" outlineLevel="0" collapsed="false">
      <c r="A194" s="3" t="n">
        <v>193</v>
      </c>
      <c r="B194" s="3" t="n">
        <v>192</v>
      </c>
      <c r="C194" s="3" t="n">
        <v>3</v>
      </c>
      <c r="D194" s="3" t="n">
        <v>6</v>
      </c>
      <c r="E194" s="3" t="n">
        <v>3</v>
      </c>
      <c r="F194" s="24" t="n">
        <v>-9.67141247</v>
      </c>
    </row>
    <row r="195" customFormat="false" ht="15" hidden="false" customHeight="false" outlineLevel="0" collapsed="false">
      <c r="A195" s="3" t="n">
        <v>194</v>
      </c>
      <c r="B195" s="3" t="n">
        <v>193</v>
      </c>
      <c r="C195" s="3" t="n">
        <v>3</v>
      </c>
      <c r="D195" s="3" t="n">
        <v>6</v>
      </c>
      <c r="E195" s="3" t="n">
        <v>4</v>
      </c>
      <c r="F195" s="24" t="n">
        <v>-9.9825983</v>
      </c>
    </row>
    <row r="196" customFormat="false" ht="15" hidden="false" customHeight="false" outlineLevel="0" collapsed="false">
      <c r="A196" s="3" t="n">
        <v>195</v>
      </c>
      <c r="B196" s="3" t="n">
        <v>194</v>
      </c>
      <c r="C196" s="3" t="n">
        <v>3</v>
      </c>
      <c r="D196" s="3" t="n">
        <v>6</v>
      </c>
      <c r="E196" s="3" t="n">
        <v>5</v>
      </c>
      <c r="F196" s="24" t="n">
        <v>-4.79056883</v>
      </c>
    </row>
    <row r="197" customFormat="false" ht="15" hidden="false" customHeight="false" outlineLevel="0" collapsed="false">
      <c r="A197" s="3" t="n">
        <v>196</v>
      </c>
      <c r="B197" s="3" t="n">
        <v>195</v>
      </c>
      <c r="C197" s="3" t="n">
        <v>3</v>
      </c>
      <c r="D197" s="3" t="n">
        <v>6</v>
      </c>
      <c r="E197" s="3" t="n">
        <v>6</v>
      </c>
      <c r="F197" s="24" t="n">
        <v>-1.69691586</v>
      </c>
    </row>
    <row r="198" customFormat="false" ht="15" hidden="false" customHeight="false" outlineLevel="0" collapsed="false">
      <c r="A198" s="3" t="n">
        <v>197</v>
      </c>
      <c r="B198" s="3" t="n">
        <v>196</v>
      </c>
      <c r="C198" s="3" t="n">
        <v>4</v>
      </c>
      <c r="D198" s="3" t="n">
        <v>0</v>
      </c>
      <c r="E198" s="3" t="n">
        <v>0</v>
      </c>
      <c r="F198" s="24" t="n">
        <v>1.39948082</v>
      </c>
    </row>
    <row r="199" customFormat="false" ht="15" hidden="false" customHeight="false" outlineLevel="0" collapsed="false">
      <c r="A199" s="3" t="n">
        <v>198</v>
      </c>
      <c r="B199" s="3" t="n">
        <v>197</v>
      </c>
      <c r="C199" s="3" t="n">
        <v>4</v>
      </c>
      <c r="D199" s="3" t="n">
        <v>0</v>
      </c>
      <c r="E199" s="3" t="n">
        <v>1</v>
      </c>
      <c r="F199" s="24" t="n">
        <v>-5.8328414</v>
      </c>
    </row>
    <row r="200" customFormat="false" ht="15" hidden="false" customHeight="false" outlineLevel="0" collapsed="false">
      <c r="A200" s="3" t="n">
        <v>199</v>
      </c>
      <c r="B200" s="3" t="n">
        <v>198</v>
      </c>
      <c r="C200" s="3" t="n">
        <v>4</v>
      </c>
      <c r="D200" s="3" t="n">
        <v>0</v>
      </c>
      <c r="E200" s="3" t="n">
        <v>2</v>
      </c>
      <c r="F200" s="24" t="n">
        <v>-3.93184447</v>
      </c>
    </row>
    <row r="201" customFormat="false" ht="15" hidden="false" customHeight="false" outlineLevel="0" collapsed="false">
      <c r="A201" s="3" t="n">
        <v>200</v>
      </c>
      <c r="B201" s="3" t="n">
        <v>199</v>
      </c>
      <c r="C201" s="3" t="n">
        <v>4</v>
      </c>
      <c r="D201" s="3" t="n">
        <v>0</v>
      </c>
      <c r="E201" s="3" t="n">
        <v>3</v>
      </c>
      <c r="F201" s="24" t="n">
        <v>1.30668402</v>
      </c>
    </row>
    <row r="202" customFormat="false" ht="15" hidden="false" customHeight="false" outlineLevel="0" collapsed="false">
      <c r="A202" s="3" t="n">
        <v>201</v>
      </c>
      <c r="B202" s="3" t="n">
        <v>200</v>
      </c>
      <c r="C202" s="3" t="n">
        <v>4</v>
      </c>
      <c r="D202" s="3" t="n">
        <v>0</v>
      </c>
      <c r="E202" s="3" t="n">
        <v>4</v>
      </c>
      <c r="F202" s="24" t="n">
        <v>-0.584002495</v>
      </c>
    </row>
    <row r="203" customFormat="false" ht="15" hidden="false" customHeight="false" outlineLevel="0" collapsed="false">
      <c r="A203" s="3" t="n">
        <v>202</v>
      </c>
      <c r="B203" s="3" t="n">
        <v>201</v>
      </c>
      <c r="C203" s="3" t="n">
        <v>4</v>
      </c>
      <c r="D203" s="3" t="n">
        <v>0</v>
      </c>
      <c r="E203" s="3" t="n">
        <v>5</v>
      </c>
      <c r="F203" s="24" t="n">
        <v>1.88414156</v>
      </c>
    </row>
    <row r="204" customFormat="false" ht="15" hidden="false" customHeight="false" outlineLevel="0" collapsed="false">
      <c r="A204" s="3" t="n">
        <v>203</v>
      </c>
      <c r="B204" s="3" t="n">
        <v>202</v>
      </c>
      <c r="C204" s="3" t="n">
        <v>4</v>
      </c>
      <c r="D204" s="3" t="n">
        <v>0</v>
      </c>
      <c r="E204" s="3" t="n">
        <v>6</v>
      </c>
      <c r="F204" s="24" t="n">
        <v>3.34769964</v>
      </c>
    </row>
    <row r="205" customFormat="false" ht="15" hidden="false" customHeight="false" outlineLevel="0" collapsed="false">
      <c r="A205" s="3" t="n">
        <v>204</v>
      </c>
      <c r="B205" s="3" t="n">
        <v>203</v>
      </c>
      <c r="C205" s="3" t="n">
        <v>4</v>
      </c>
      <c r="D205" s="3" t="n">
        <v>1</v>
      </c>
      <c r="E205" s="3" t="n">
        <v>0</v>
      </c>
      <c r="F205" s="24" t="n">
        <v>-2.99498105</v>
      </c>
    </row>
    <row r="206" customFormat="false" ht="15" hidden="false" customHeight="false" outlineLevel="0" collapsed="false">
      <c r="A206" s="3" t="n">
        <v>205</v>
      </c>
      <c r="B206" s="3" t="n">
        <v>204</v>
      </c>
      <c r="C206" s="3" t="n">
        <v>4</v>
      </c>
      <c r="D206" s="3" t="n">
        <v>1</v>
      </c>
      <c r="E206" s="3" t="n">
        <v>1</v>
      </c>
      <c r="F206" s="24" t="n">
        <v>2.98066926</v>
      </c>
    </row>
    <row r="207" customFormat="false" ht="15" hidden="false" customHeight="false" outlineLevel="0" collapsed="false">
      <c r="A207" s="3" t="n">
        <v>206</v>
      </c>
      <c r="B207" s="3" t="n">
        <v>205</v>
      </c>
      <c r="C207" s="3" t="n">
        <v>4</v>
      </c>
      <c r="D207" s="3" t="n">
        <v>1</v>
      </c>
      <c r="E207" s="3" t="n">
        <v>2</v>
      </c>
      <c r="F207" s="24" t="n">
        <v>-6.05367279</v>
      </c>
    </row>
    <row r="208" customFormat="false" ht="15" hidden="false" customHeight="false" outlineLevel="0" collapsed="false">
      <c r="A208" s="3" t="n">
        <v>207</v>
      </c>
      <c r="B208" s="3" t="n">
        <v>206</v>
      </c>
      <c r="C208" s="3" t="n">
        <v>4</v>
      </c>
      <c r="D208" s="3" t="n">
        <v>1</v>
      </c>
      <c r="E208" s="3" t="n">
        <v>3</v>
      </c>
      <c r="F208" s="24" t="n">
        <v>-2.72753358</v>
      </c>
    </row>
    <row r="209" customFormat="false" ht="15" hidden="false" customHeight="false" outlineLevel="0" collapsed="false">
      <c r="A209" s="3" t="n">
        <v>208</v>
      </c>
      <c r="B209" s="3" t="n">
        <v>207</v>
      </c>
      <c r="C209" s="3" t="n">
        <v>4</v>
      </c>
      <c r="D209" s="3" t="n">
        <v>1</v>
      </c>
      <c r="E209" s="3" t="n">
        <v>4</v>
      </c>
      <c r="F209" s="24" t="n">
        <v>1.18804097</v>
      </c>
    </row>
    <row r="210" customFormat="false" ht="15" hidden="false" customHeight="false" outlineLevel="0" collapsed="false">
      <c r="A210" s="3" t="n">
        <v>209</v>
      </c>
      <c r="B210" s="3" t="n">
        <v>208</v>
      </c>
      <c r="C210" s="3" t="n">
        <v>4</v>
      </c>
      <c r="D210" s="3" t="n">
        <v>1</v>
      </c>
      <c r="E210" s="3" t="n">
        <v>5</v>
      </c>
      <c r="F210" s="24" t="n">
        <v>-5.3786025</v>
      </c>
    </row>
    <row r="211" customFormat="false" ht="15" hidden="false" customHeight="false" outlineLevel="0" collapsed="false">
      <c r="A211" s="3" t="n">
        <v>210</v>
      </c>
      <c r="B211" s="3" t="n">
        <v>209</v>
      </c>
      <c r="C211" s="3" t="n">
        <v>4</v>
      </c>
      <c r="D211" s="3" t="n">
        <v>1</v>
      </c>
      <c r="E211" s="3" t="n">
        <v>6</v>
      </c>
      <c r="F211" s="24" t="n">
        <v>5.36665535</v>
      </c>
    </row>
    <row r="212" customFormat="false" ht="15" hidden="false" customHeight="false" outlineLevel="0" collapsed="false">
      <c r="A212" s="3" t="n">
        <v>211</v>
      </c>
      <c r="B212" s="3" t="n">
        <v>210</v>
      </c>
      <c r="C212" s="3" t="n">
        <v>4</v>
      </c>
      <c r="D212" s="3" t="n">
        <v>2</v>
      </c>
      <c r="E212" s="3" t="n">
        <v>0</v>
      </c>
      <c r="F212" s="24" t="n">
        <v>-1.16106319</v>
      </c>
    </row>
    <row r="213" customFormat="false" ht="15" hidden="false" customHeight="false" outlineLevel="0" collapsed="false">
      <c r="A213" s="3" t="n">
        <v>212</v>
      </c>
      <c r="B213" s="3" t="n">
        <v>211</v>
      </c>
      <c r="C213" s="3" t="n">
        <v>4</v>
      </c>
      <c r="D213" s="3" t="n">
        <v>2</v>
      </c>
      <c r="E213" s="3" t="n">
        <v>1</v>
      </c>
      <c r="F213" s="24" t="n">
        <v>0.311636746</v>
      </c>
    </row>
    <row r="214" customFormat="false" ht="15" hidden="false" customHeight="false" outlineLevel="0" collapsed="false">
      <c r="A214" s="3" t="n">
        <v>213</v>
      </c>
      <c r="B214" s="3" t="n">
        <v>212</v>
      </c>
      <c r="C214" s="3" t="n">
        <v>4</v>
      </c>
      <c r="D214" s="3" t="n">
        <v>2</v>
      </c>
      <c r="E214" s="3" t="n">
        <v>2</v>
      </c>
      <c r="F214" s="24" t="n">
        <v>1.1017853</v>
      </c>
    </row>
    <row r="215" customFormat="false" ht="15" hidden="false" customHeight="false" outlineLevel="0" collapsed="false">
      <c r="A215" s="3" t="n">
        <v>214</v>
      </c>
      <c r="B215" s="3" t="n">
        <v>213</v>
      </c>
      <c r="C215" s="3" t="n">
        <v>4</v>
      </c>
      <c r="D215" s="3" t="n">
        <v>2</v>
      </c>
      <c r="E215" s="3" t="n">
        <v>3</v>
      </c>
      <c r="F215" s="24" t="n">
        <v>-2.02694464</v>
      </c>
    </row>
    <row r="216" customFormat="false" ht="15" hidden="false" customHeight="false" outlineLevel="0" collapsed="false">
      <c r="A216" s="3" t="n">
        <v>215</v>
      </c>
      <c r="B216" s="3" t="n">
        <v>214</v>
      </c>
      <c r="C216" s="3" t="n">
        <v>4</v>
      </c>
      <c r="D216" s="3" t="n">
        <v>2</v>
      </c>
      <c r="E216" s="3" t="n">
        <v>4</v>
      </c>
      <c r="F216" s="24" t="n">
        <v>8.15697289</v>
      </c>
    </row>
    <row r="217" customFormat="false" ht="15" hidden="false" customHeight="false" outlineLevel="0" collapsed="false">
      <c r="A217" s="3" t="n">
        <v>216</v>
      </c>
      <c r="B217" s="3" t="n">
        <v>215</v>
      </c>
      <c r="C217" s="3" t="n">
        <v>4</v>
      </c>
      <c r="D217" s="3" t="n">
        <v>2</v>
      </c>
      <c r="E217" s="3" t="n">
        <v>5</v>
      </c>
      <c r="F217" s="24" t="n">
        <v>-8.41880798</v>
      </c>
    </row>
    <row r="218" customFormat="false" ht="15" hidden="false" customHeight="false" outlineLevel="0" collapsed="false">
      <c r="A218" s="3" t="n">
        <v>217</v>
      </c>
      <c r="B218" s="3" t="n">
        <v>216</v>
      </c>
      <c r="C218" s="3" t="n">
        <v>4</v>
      </c>
      <c r="D218" s="3" t="n">
        <v>2</v>
      </c>
      <c r="E218" s="3" t="n">
        <v>6</v>
      </c>
      <c r="F218" s="24" t="n">
        <v>-0.574779987</v>
      </c>
    </row>
    <row r="219" customFormat="false" ht="15" hidden="false" customHeight="false" outlineLevel="0" collapsed="false">
      <c r="A219" s="3" t="n">
        <v>218</v>
      </c>
      <c r="B219" s="3" t="n">
        <v>217</v>
      </c>
      <c r="C219" s="3" t="n">
        <v>4</v>
      </c>
      <c r="D219" s="3" t="n">
        <v>3</v>
      </c>
      <c r="E219" s="3" t="n">
        <v>0</v>
      </c>
      <c r="F219" s="24" t="n">
        <v>1.25450814</v>
      </c>
    </row>
    <row r="220" customFormat="false" ht="15" hidden="false" customHeight="false" outlineLevel="0" collapsed="false">
      <c r="A220" s="3" t="n">
        <v>219</v>
      </c>
      <c r="B220" s="3" t="n">
        <v>218</v>
      </c>
      <c r="C220" s="3" t="n">
        <v>4</v>
      </c>
      <c r="D220" s="3" t="n">
        <v>3</v>
      </c>
      <c r="E220" s="3" t="n">
        <v>1</v>
      </c>
      <c r="F220" s="24" t="n">
        <v>7.45960522</v>
      </c>
    </row>
    <row r="221" customFormat="false" ht="15" hidden="false" customHeight="false" outlineLevel="0" collapsed="false">
      <c r="A221" s="3" t="n">
        <v>220</v>
      </c>
      <c r="B221" s="3" t="n">
        <v>219</v>
      </c>
      <c r="C221" s="3" t="n">
        <v>4</v>
      </c>
      <c r="D221" s="3" t="n">
        <v>3</v>
      </c>
      <c r="E221" s="3" t="n">
        <v>2</v>
      </c>
      <c r="F221" s="24" t="n">
        <v>1.80928612</v>
      </c>
    </row>
    <row r="222" customFormat="false" ht="15" hidden="false" customHeight="false" outlineLevel="0" collapsed="false">
      <c r="A222" s="3" t="n">
        <v>221</v>
      </c>
      <c r="B222" s="3" t="n">
        <v>220</v>
      </c>
      <c r="C222" s="3" t="n">
        <v>4</v>
      </c>
      <c r="D222" s="3" t="n">
        <v>3</v>
      </c>
      <c r="E222" s="3" t="n">
        <v>3</v>
      </c>
      <c r="F222" s="24" t="n">
        <v>-0.296730518</v>
      </c>
    </row>
    <row r="223" customFormat="false" ht="15" hidden="false" customHeight="false" outlineLevel="0" collapsed="false">
      <c r="A223" s="3" t="n">
        <v>222</v>
      </c>
      <c r="B223" s="3" t="n">
        <v>221</v>
      </c>
      <c r="C223" s="3" t="n">
        <v>4</v>
      </c>
      <c r="D223" s="3" t="n">
        <v>3</v>
      </c>
      <c r="E223" s="3" t="n">
        <v>4</v>
      </c>
      <c r="F223" s="24" t="n">
        <v>-3.1390872</v>
      </c>
    </row>
    <row r="224" customFormat="false" ht="15" hidden="false" customHeight="false" outlineLevel="0" collapsed="false">
      <c r="A224" s="3" t="n">
        <v>223</v>
      </c>
      <c r="B224" s="3" t="n">
        <v>222</v>
      </c>
      <c r="C224" s="3" t="n">
        <v>4</v>
      </c>
      <c r="D224" s="3" t="n">
        <v>3</v>
      </c>
      <c r="E224" s="3" t="n">
        <v>5</v>
      </c>
      <c r="F224" s="24" t="n">
        <v>-3.86260271</v>
      </c>
    </row>
    <row r="225" customFormat="false" ht="15" hidden="false" customHeight="false" outlineLevel="0" collapsed="false">
      <c r="A225" s="3" t="n">
        <v>224</v>
      </c>
      <c r="B225" s="3" t="n">
        <v>223</v>
      </c>
      <c r="C225" s="3" t="n">
        <v>4</v>
      </c>
      <c r="D225" s="3" t="n">
        <v>3</v>
      </c>
      <c r="E225" s="3" t="n">
        <v>6</v>
      </c>
      <c r="F225" s="24" t="n">
        <v>-1.34127319</v>
      </c>
    </row>
    <row r="226" customFormat="false" ht="15" hidden="false" customHeight="false" outlineLevel="0" collapsed="false">
      <c r="A226" s="3" t="n">
        <v>225</v>
      </c>
      <c r="B226" s="3" t="n">
        <v>224</v>
      </c>
      <c r="C226" s="3" t="n">
        <v>4</v>
      </c>
      <c r="D226" s="3" t="n">
        <v>4</v>
      </c>
      <c r="E226" s="3" t="n">
        <v>0</v>
      </c>
      <c r="F226" s="24" t="n">
        <v>-0.345360935</v>
      </c>
    </row>
    <row r="227" customFormat="false" ht="15" hidden="false" customHeight="false" outlineLevel="0" collapsed="false">
      <c r="A227" s="3" t="n">
        <v>226</v>
      </c>
      <c r="B227" s="3" t="n">
        <v>225</v>
      </c>
      <c r="C227" s="3" t="n">
        <v>4</v>
      </c>
      <c r="D227" s="3" t="n">
        <v>4</v>
      </c>
      <c r="E227" s="3" t="n">
        <v>1</v>
      </c>
      <c r="F227" s="24" t="n">
        <v>-0.417436242</v>
      </c>
    </row>
    <row r="228" customFormat="false" ht="15" hidden="false" customHeight="false" outlineLevel="0" collapsed="false">
      <c r="A228" s="3" t="n">
        <v>227</v>
      </c>
      <c r="B228" s="3" t="n">
        <v>226</v>
      </c>
      <c r="C228" s="3" t="n">
        <v>4</v>
      </c>
      <c r="D228" s="3" t="n">
        <v>4</v>
      </c>
      <c r="E228" s="3" t="n">
        <v>2</v>
      </c>
      <c r="F228" s="24" t="n">
        <v>-2.90440273</v>
      </c>
    </row>
    <row r="229" customFormat="false" ht="15" hidden="false" customHeight="false" outlineLevel="0" collapsed="false">
      <c r="A229" s="3" t="n">
        <v>228</v>
      </c>
      <c r="B229" s="3" t="n">
        <v>227</v>
      </c>
      <c r="C229" s="3" t="n">
        <v>4</v>
      </c>
      <c r="D229" s="3" t="n">
        <v>4</v>
      </c>
      <c r="E229" s="3" t="n">
        <v>3</v>
      </c>
      <c r="F229" s="24" t="n">
        <v>-7.12021685</v>
      </c>
    </row>
    <row r="230" customFormat="false" ht="15" hidden="false" customHeight="false" outlineLevel="0" collapsed="false">
      <c r="A230" s="3" t="n">
        <v>229</v>
      </c>
      <c r="B230" s="3" t="n">
        <v>228</v>
      </c>
      <c r="C230" s="3" t="n">
        <v>4</v>
      </c>
      <c r="D230" s="3" t="n">
        <v>4</v>
      </c>
      <c r="E230" s="3" t="n">
        <v>4</v>
      </c>
      <c r="F230" s="24" t="n">
        <v>-11.7217522</v>
      </c>
    </row>
    <row r="231" customFormat="false" ht="15" hidden="false" customHeight="false" outlineLevel="0" collapsed="false">
      <c r="A231" s="3" t="n">
        <v>230</v>
      </c>
      <c r="B231" s="3" t="n">
        <v>229</v>
      </c>
      <c r="C231" s="3" t="n">
        <v>4</v>
      </c>
      <c r="D231" s="3" t="n">
        <v>4</v>
      </c>
      <c r="E231" s="3" t="n">
        <v>5</v>
      </c>
      <c r="F231" s="24" t="n">
        <v>-0.440824956</v>
      </c>
    </row>
    <row r="232" customFormat="false" ht="15" hidden="false" customHeight="false" outlineLevel="0" collapsed="false">
      <c r="A232" s="3" t="n">
        <v>231</v>
      </c>
      <c r="B232" s="3" t="n">
        <v>230</v>
      </c>
      <c r="C232" s="3" t="n">
        <v>4</v>
      </c>
      <c r="D232" s="3" t="n">
        <v>4</v>
      </c>
      <c r="E232" s="3" t="n">
        <v>6</v>
      </c>
      <c r="F232" s="24" t="n">
        <v>0.852254748</v>
      </c>
    </row>
    <row r="233" customFormat="false" ht="15" hidden="false" customHeight="false" outlineLevel="0" collapsed="false">
      <c r="A233" s="3" t="n">
        <v>232</v>
      </c>
      <c r="B233" s="3" t="n">
        <v>231</v>
      </c>
      <c r="C233" s="3" t="n">
        <v>4</v>
      </c>
      <c r="D233" s="3" t="n">
        <v>5</v>
      </c>
      <c r="E233" s="3" t="n">
        <v>0</v>
      </c>
      <c r="F233" s="24" t="n">
        <v>-0.746877372</v>
      </c>
    </row>
    <row r="234" customFormat="false" ht="15" hidden="false" customHeight="false" outlineLevel="0" collapsed="false">
      <c r="A234" s="3" t="n">
        <v>233</v>
      </c>
      <c r="B234" s="3" t="n">
        <v>232</v>
      </c>
      <c r="C234" s="3" t="n">
        <v>4</v>
      </c>
      <c r="D234" s="3" t="n">
        <v>5</v>
      </c>
      <c r="E234" s="3" t="n">
        <v>1</v>
      </c>
      <c r="F234" s="24" t="n">
        <v>-4.38750362</v>
      </c>
    </row>
    <row r="235" customFormat="false" ht="15" hidden="false" customHeight="false" outlineLevel="0" collapsed="false">
      <c r="A235" s="3" t="n">
        <v>234</v>
      </c>
      <c r="B235" s="3" t="n">
        <v>233</v>
      </c>
      <c r="C235" s="3" t="n">
        <v>4</v>
      </c>
      <c r="D235" s="3" t="n">
        <v>5</v>
      </c>
      <c r="E235" s="3" t="n">
        <v>2</v>
      </c>
      <c r="F235" s="24" t="n">
        <v>-2.70830512</v>
      </c>
    </row>
    <row r="236" customFormat="false" ht="15" hidden="false" customHeight="false" outlineLevel="0" collapsed="false">
      <c r="A236" s="3" t="n">
        <v>235</v>
      </c>
      <c r="B236" s="3" t="n">
        <v>234</v>
      </c>
      <c r="C236" s="3" t="n">
        <v>4</v>
      </c>
      <c r="D236" s="3" t="n">
        <v>5</v>
      </c>
      <c r="E236" s="3" t="n">
        <v>3</v>
      </c>
      <c r="F236" s="24" t="n">
        <v>-12.8210297</v>
      </c>
    </row>
    <row r="237" customFormat="false" ht="15" hidden="false" customHeight="false" outlineLevel="0" collapsed="false">
      <c r="A237" s="3" t="n">
        <v>236</v>
      </c>
      <c r="B237" s="3" t="n">
        <v>235</v>
      </c>
      <c r="C237" s="3" t="n">
        <v>4</v>
      </c>
      <c r="D237" s="3" t="n">
        <v>5</v>
      </c>
      <c r="E237" s="3" t="n">
        <v>4</v>
      </c>
      <c r="F237" s="24" t="n">
        <v>-6.06679487</v>
      </c>
    </row>
    <row r="238" customFormat="false" ht="15" hidden="false" customHeight="false" outlineLevel="0" collapsed="false">
      <c r="A238" s="3" t="n">
        <v>237</v>
      </c>
      <c r="B238" s="3" t="n">
        <v>236</v>
      </c>
      <c r="C238" s="3" t="n">
        <v>4</v>
      </c>
      <c r="D238" s="3" t="n">
        <v>5</v>
      </c>
      <c r="E238" s="3" t="n">
        <v>5</v>
      </c>
      <c r="F238" s="24" t="n">
        <v>1.620502</v>
      </c>
    </row>
    <row r="239" customFormat="false" ht="15" hidden="false" customHeight="false" outlineLevel="0" collapsed="false">
      <c r="A239" s="3" t="n">
        <v>238</v>
      </c>
      <c r="B239" s="3" t="n">
        <v>237</v>
      </c>
      <c r="C239" s="3" t="n">
        <v>4</v>
      </c>
      <c r="D239" s="3" t="n">
        <v>5</v>
      </c>
      <c r="E239" s="3" t="n">
        <v>6</v>
      </c>
      <c r="F239" s="24" t="n">
        <v>0.624842942</v>
      </c>
    </row>
    <row r="240" customFormat="false" ht="15" hidden="false" customHeight="false" outlineLevel="0" collapsed="false">
      <c r="A240" s="3" t="n">
        <v>239</v>
      </c>
      <c r="B240" s="3" t="n">
        <v>238</v>
      </c>
      <c r="C240" s="3" t="n">
        <v>4</v>
      </c>
      <c r="D240" s="3" t="n">
        <v>6</v>
      </c>
      <c r="E240" s="3" t="n">
        <v>0</v>
      </c>
      <c r="F240" s="24" t="n">
        <v>-0.674641192</v>
      </c>
    </row>
    <row r="241" customFormat="false" ht="15" hidden="false" customHeight="false" outlineLevel="0" collapsed="false">
      <c r="A241" s="3" t="n">
        <v>240</v>
      </c>
      <c r="B241" s="3" t="n">
        <v>239</v>
      </c>
      <c r="C241" s="3" t="n">
        <v>4</v>
      </c>
      <c r="D241" s="3" t="n">
        <v>6</v>
      </c>
      <c r="E241" s="3" t="n">
        <v>1</v>
      </c>
      <c r="F241" s="24" t="n">
        <v>-8.18747425</v>
      </c>
    </row>
    <row r="242" customFormat="false" ht="15" hidden="false" customHeight="false" outlineLevel="0" collapsed="false">
      <c r="A242" s="3" t="n">
        <v>241</v>
      </c>
      <c r="B242" s="3" t="n">
        <v>240</v>
      </c>
      <c r="C242" s="3" t="n">
        <v>4</v>
      </c>
      <c r="D242" s="3" t="n">
        <v>6</v>
      </c>
      <c r="E242" s="3" t="n">
        <v>2</v>
      </c>
      <c r="F242" s="24" t="n">
        <v>-3.46409154</v>
      </c>
    </row>
    <row r="243" customFormat="false" ht="15" hidden="false" customHeight="false" outlineLevel="0" collapsed="false">
      <c r="A243" s="3" t="n">
        <v>242</v>
      </c>
      <c r="B243" s="3" t="n">
        <v>241</v>
      </c>
      <c r="C243" s="3" t="n">
        <v>4</v>
      </c>
      <c r="D243" s="3" t="n">
        <v>6</v>
      </c>
      <c r="E243" s="3" t="n">
        <v>3</v>
      </c>
      <c r="F243" s="24" t="n">
        <v>-6.51354361</v>
      </c>
    </row>
    <row r="244" customFormat="false" ht="15" hidden="false" customHeight="false" outlineLevel="0" collapsed="false">
      <c r="A244" s="3" t="n">
        <v>243</v>
      </c>
      <c r="B244" s="3" t="n">
        <v>242</v>
      </c>
      <c r="C244" s="3" t="n">
        <v>4</v>
      </c>
      <c r="D244" s="3" t="n">
        <v>6</v>
      </c>
      <c r="E244" s="3" t="n">
        <v>4</v>
      </c>
      <c r="F244" s="24" t="n">
        <v>-1.19129694</v>
      </c>
    </row>
    <row r="245" customFormat="false" ht="15" hidden="false" customHeight="false" outlineLevel="0" collapsed="false">
      <c r="A245" s="3" t="n">
        <v>244</v>
      </c>
      <c r="B245" s="3" t="n">
        <v>243</v>
      </c>
      <c r="C245" s="3" t="n">
        <v>4</v>
      </c>
      <c r="D245" s="3" t="n">
        <v>6</v>
      </c>
      <c r="E245" s="3" t="n">
        <v>5</v>
      </c>
      <c r="F245" s="24" t="n">
        <v>0.496570557</v>
      </c>
    </row>
    <row r="246" customFormat="false" ht="15" hidden="false" customHeight="false" outlineLevel="0" collapsed="false">
      <c r="A246" s="3" t="n">
        <v>245</v>
      </c>
      <c r="B246" s="3" t="n">
        <v>244</v>
      </c>
      <c r="C246" s="3" t="n">
        <v>4</v>
      </c>
      <c r="D246" s="3" t="n">
        <v>6</v>
      </c>
      <c r="E246" s="3" t="n">
        <v>6</v>
      </c>
      <c r="F246" s="24" t="n">
        <v>-0.108754635</v>
      </c>
    </row>
    <row r="247" customFormat="false" ht="15" hidden="false" customHeight="false" outlineLevel="0" collapsed="false">
      <c r="A247" s="3" t="n">
        <v>246</v>
      </c>
      <c r="B247" s="3" t="n">
        <v>245</v>
      </c>
      <c r="C247" s="3" t="n">
        <v>5</v>
      </c>
      <c r="D247" s="3" t="n">
        <v>0</v>
      </c>
      <c r="E247" s="3" t="n">
        <v>0</v>
      </c>
      <c r="F247" s="24" t="n">
        <v>-1.45904684</v>
      </c>
    </row>
    <row r="248" customFormat="false" ht="15" hidden="false" customHeight="false" outlineLevel="0" collapsed="false">
      <c r="A248" s="3" t="n">
        <v>247</v>
      </c>
      <c r="B248" s="3" t="n">
        <v>246</v>
      </c>
      <c r="C248" s="3" t="n">
        <v>5</v>
      </c>
      <c r="D248" s="3" t="n">
        <v>0</v>
      </c>
      <c r="E248" s="3" t="n">
        <v>1</v>
      </c>
      <c r="F248" s="24" t="n">
        <v>-1.79542708</v>
      </c>
    </row>
    <row r="249" customFormat="false" ht="15" hidden="false" customHeight="false" outlineLevel="0" collapsed="false">
      <c r="A249" s="3" t="n">
        <v>248</v>
      </c>
      <c r="B249" s="3" t="n">
        <v>247</v>
      </c>
      <c r="C249" s="3" t="n">
        <v>5</v>
      </c>
      <c r="D249" s="3" t="n">
        <v>0</v>
      </c>
      <c r="E249" s="3" t="n">
        <v>2</v>
      </c>
      <c r="F249" s="24" t="n">
        <v>-0.702246189</v>
      </c>
    </row>
    <row r="250" customFormat="false" ht="15" hidden="false" customHeight="false" outlineLevel="0" collapsed="false">
      <c r="A250" s="3" t="n">
        <v>249</v>
      </c>
      <c r="B250" s="3" t="n">
        <v>248</v>
      </c>
      <c r="C250" s="3" t="n">
        <v>5</v>
      </c>
      <c r="D250" s="3" t="n">
        <v>0</v>
      </c>
      <c r="E250" s="3" t="n">
        <v>3</v>
      </c>
      <c r="F250" s="24" t="n">
        <v>-1.76605511</v>
      </c>
    </row>
    <row r="251" customFormat="false" ht="15" hidden="false" customHeight="false" outlineLevel="0" collapsed="false">
      <c r="A251" s="3" t="n">
        <v>250</v>
      </c>
      <c r="B251" s="3" t="n">
        <v>249</v>
      </c>
      <c r="C251" s="3" t="n">
        <v>5</v>
      </c>
      <c r="D251" s="3" t="n">
        <v>0</v>
      </c>
      <c r="E251" s="3" t="n">
        <v>4</v>
      </c>
      <c r="F251" s="24" t="n">
        <v>-5.63601112</v>
      </c>
    </row>
    <row r="252" customFormat="false" ht="15" hidden="false" customHeight="false" outlineLevel="0" collapsed="false">
      <c r="A252" s="3" t="n">
        <v>251</v>
      </c>
      <c r="B252" s="3" t="n">
        <v>250</v>
      </c>
      <c r="C252" s="3" t="n">
        <v>5</v>
      </c>
      <c r="D252" s="3" t="n">
        <v>0</v>
      </c>
      <c r="E252" s="3" t="n">
        <v>5</v>
      </c>
      <c r="F252" s="24" t="n">
        <v>-2.21087217</v>
      </c>
    </row>
    <row r="253" customFormat="false" ht="15" hidden="false" customHeight="false" outlineLevel="0" collapsed="false">
      <c r="A253" s="3" t="n">
        <v>252</v>
      </c>
      <c r="B253" s="3" t="n">
        <v>251</v>
      </c>
      <c r="C253" s="3" t="n">
        <v>5</v>
      </c>
      <c r="D253" s="3" t="n">
        <v>0</v>
      </c>
      <c r="E253" s="3" t="n">
        <v>6</v>
      </c>
      <c r="F253" s="24" t="n">
        <v>-0.783125758</v>
      </c>
    </row>
    <row r="254" customFormat="false" ht="15" hidden="false" customHeight="false" outlineLevel="0" collapsed="false">
      <c r="A254" s="3" t="n">
        <v>253</v>
      </c>
      <c r="B254" s="3" t="n">
        <v>252</v>
      </c>
      <c r="C254" s="3" t="n">
        <v>5</v>
      </c>
      <c r="D254" s="3" t="n">
        <v>1</v>
      </c>
      <c r="E254" s="3" t="n">
        <v>0</v>
      </c>
      <c r="F254" s="24" t="n">
        <v>-8.91734982</v>
      </c>
    </row>
    <row r="255" customFormat="false" ht="15" hidden="false" customHeight="false" outlineLevel="0" collapsed="false">
      <c r="A255" s="3" t="n">
        <v>254</v>
      </c>
      <c r="B255" s="3" t="n">
        <v>253</v>
      </c>
      <c r="C255" s="3" t="n">
        <v>5</v>
      </c>
      <c r="D255" s="3" t="n">
        <v>1</v>
      </c>
      <c r="E255" s="3" t="n">
        <v>1</v>
      </c>
      <c r="F255" s="24" t="n">
        <v>-6.63567162</v>
      </c>
    </row>
    <row r="256" customFormat="false" ht="15" hidden="false" customHeight="false" outlineLevel="0" collapsed="false">
      <c r="A256" s="3" t="n">
        <v>255</v>
      </c>
      <c r="B256" s="3" t="n">
        <v>254</v>
      </c>
      <c r="C256" s="3" t="n">
        <v>5</v>
      </c>
      <c r="D256" s="3" t="n">
        <v>1</v>
      </c>
      <c r="E256" s="3" t="n">
        <v>2</v>
      </c>
      <c r="F256" s="24" t="n">
        <v>-2.34408474</v>
      </c>
    </row>
    <row r="257" customFormat="false" ht="15" hidden="false" customHeight="false" outlineLevel="0" collapsed="false">
      <c r="A257" s="3" t="n">
        <v>256</v>
      </c>
      <c r="B257" s="3" t="n">
        <v>255</v>
      </c>
      <c r="C257" s="3" t="n">
        <v>5</v>
      </c>
      <c r="D257" s="3" t="n">
        <v>1</v>
      </c>
      <c r="E257" s="3" t="n">
        <v>3</v>
      </c>
      <c r="F257" s="24" t="n">
        <v>3.48186994</v>
      </c>
    </row>
    <row r="258" customFormat="false" ht="15" hidden="false" customHeight="false" outlineLevel="0" collapsed="false">
      <c r="A258" s="3" t="n">
        <v>257</v>
      </c>
      <c r="B258" s="3" t="n">
        <v>256</v>
      </c>
      <c r="C258" s="3" t="n">
        <v>5</v>
      </c>
      <c r="D258" s="3" t="n">
        <v>1</v>
      </c>
      <c r="E258" s="3" t="n">
        <v>4</v>
      </c>
      <c r="F258" s="24" t="n">
        <v>4.47480822</v>
      </c>
    </row>
    <row r="259" customFormat="false" ht="15" hidden="false" customHeight="false" outlineLevel="0" collapsed="false">
      <c r="A259" s="3" t="n">
        <v>258</v>
      </c>
      <c r="B259" s="3" t="n">
        <v>257</v>
      </c>
      <c r="C259" s="3" t="n">
        <v>5</v>
      </c>
      <c r="D259" s="3" t="n">
        <v>1</v>
      </c>
      <c r="E259" s="3" t="n">
        <v>5</v>
      </c>
      <c r="F259" s="24" t="n">
        <v>9.92120266</v>
      </c>
    </row>
    <row r="260" customFormat="false" ht="15" hidden="false" customHeight="false" outlineLevel="0" collapsed="false">
      <c r="A260" s="3" t="n">
        <v>259</v>
      </c>
      <c r="B260" s="3" t="n">
        <v>258</v>
      </c>
      <c r="C260" s="3" t="n">
        <v>5</v>
      </c>
      <c r="D260" s="3" t="n">
        <v>1</v>
      </c>
      <c r="E260" s="3" t="n">
        <v>6</v>
      </c>
      <c r="F260" s="24" t="n">
        <v>4.48995638</v>
      </c>
    </row>
    <row r="261" customFormat="false" ht="15" hidden="false" customHeight="false" outlineLevel="0" collapsed="false">
      <c r="A261" s="3" t="n">
        <v>260</v>
      </c>
      <c r="B261" s="3" t="n">
        <v>259</v>
      </c>
      <c r="C261" s="3" t="n">
        <v>5</v>
      </c>
      <c r="D261" s="3" t="n">
        <v>2</v>
      </c>
      <c r="E261" s="3" t="n">
        <v>0</v>
      </c>
      <c r="F261" s="24" t="n">
        <v>-6.96937656</v>
      </c>
    </row>
    <row r="262" customFormat="false" ht="15" hidden="false" customHeight="false" outlineLevel="0" collapsed="false">
      <c r="A262" s="3" t="n">
        <v>261</v>
      </c>
      <c r="B262" s="3" t="n">
        <v>260</v>
      </c>
      <c r="C262" s="3" t="n">
        <v>5</v>
      </c>
      <c r="D262" s="3" t="n">
        <v>2</v>
      </c>
      <c r="E262" s="3" t="n">
        <v>1</v>
      </c>
      <c r="F262" s="24" t="n">
        <v>-16.3196316</v>
      </c>
    </row>
    <row r="263" customFormat="false" ht="15" hidden="false" customHeight="false" outlineLevel="0" collapsed="false">
      <c r="A263" s="3" t="n">
        <v>262</v>
      </c>
      <c r="B263" s="3" t="n">
        <v>261</v>
      </c>
      <c r="C263" s="3" t="n">
        <v>5</v>
      </c>
      <c r="D263" s="3" t="n">
        <v>2</v>
      </c>
      <c r="E263" s="3" t="n">
        <v>2</v>
      </c>
      <c r="F263" s="24" t="n">
        <v>-17.4075012</v>
      </c>
    </row>
    <row r="264" customFormat="false" ht="15" hidden="false" customHeight="false" outlineLevel="0" collapsed="false">
      <c r="A264" s="3" t="n">
        <v>263</v>
      </c>
      <c r="B264" s="3" t="n">
        <v>262</v>
      </c>
      <c r="C264" s="3" t="n">
        <v>5</v>
      </c>
      <c r="D264" s="3" t="n">
        <v>2</v>
      </c>
      <c r="E264" s="3" t="n">
        <v>3</v>
      </c>
      <c r="F264" s="24" t="n">
        <v>-13.9807224</v>
      </c>
    </row>
    <row r="265" customFormat="false" ht="15" hidden="false" customHeight="false" outlineLevel="0" collapsed="false">
      <c r="A265" s="3" t="n">
        <v>264</v>
      </c>
      <c r="B265" s="3" t="n">
        <v>263</v>
      </c>
      <c r="C265" s="3" t="n">
        <v>5</v>
      </c>
      <c r="D265" s="3" t="n">
        <v>2</v>
      </c>
      <c r="E265" s="3" t="n">
        <v>4</v>
      </c>
      <c r="F265" s="24" t="n">
        <v>-5.51927757</v>
      </c>
    </row>
    <row r="266" customFormat="false" ht="15" hidden="false" customHeight="false" outlineLevel="0" collapsed="false">
      <c r="A266" s="3" t="n">
        <v>265</v>
      </c>
      <c r="B266" s="3" t="n">
        <v>264</v>
      </c>
      <c r="C266" s="3" t="n">
        <v>5</v>
      </c>
      <c r="D266" s="3" t="n">
        <v>2</v>
      </c>
      <c r="E266" s="3" t="n">
        <v>5</v>
      </c>
      <c r="F266" s="24" t="n">
        <v>8.59446239</v>
      </c>
    </row>
    <row r="267" customFormat="false" ht="15" hidden="false" customHeight="false" outlineLevel="0" collapsed="false">
      <c r="A267" s="3" t="n">
        <v>266</v>
      </c>
      <c r="B267" s="3" t="n">
        <v>265</v>
      </c>
      <c r="C267" s="3" t="n">
        <v>5</v>
      </c>
      <c r="D267" s="3" t="n">
        <v>2</v>
      </c>
      <c r="E267" s="3" t="n">
        <v>6</v>
      </c>
      <c r="F267" s="24" t="n">
        <v>2.82187176</v>
      </c>
    </row>
    <row r="268" customFormat="false" ht="15" hidden="false" customHeight="false" outlineLevel="0" collapsed="false">
      <c r="A268" s="3" t="n">
        <v>267</v>
      </c>
      <c r="B268" s="3" t="n">
        <v>266</v>
      </c>
      <c r="C268" s="3" t="n">
        <v>5</v>
      </c>
      <c r="D268" s="3" t="n">
        <v>3</v>
      </c>
      <c r="E268" s="3" t="n">
        <v>0</v>
      </c>
      <c r="F268" s="24" t="n">
        <v>1.59027886</v>
      </c>
    </row>
    <row r="269" customFormat="false" ht="15" hidden="false" customHeight="false" outlineLevel="0" collapsed="false">
      <c r="A269" s="3" t="n">
        <v>268</v>
      </c>
      <c r="B269" s="3" t="n">
        <v>267</v>
      </c>
      <c r="C269" s="3" t="n">
        <v>5</v>
      </c>
      <c r="D269" s="3" t="n">
        <v>3</v>
      </c>
      <c r="E269" s="3" t="n">
        <v>1</v>
      </c>
      <c r="F269" s="24" t="n">
        <v>-0.153674275</v>
      </c>
    </row>
    <row r="270" customFormat="false" ht="15" hidden="false" customHeight="false" outlineLevel="0" collapsed="false">
      <c r="A270" s="3" t="n">
        <v>269</v>
      </c>
      <c r="B270" s="3" t="n">
        <v>268</v>
      </c>
      <c r="C270" s="3" t="n">
        <v>5</v>
      </c>
      <c r="D270" s="3" t="n">
        <v>3</v>
      </c>
      <c r="E270" s="3" t="n">
        <v>2</v>
      </c>
      <c r="F270" s="24" t="n">
        <v>-2.27120519</v>
      </c>
    </row>
    <row r="271" customFormat="false" ht="15" hidden="false" customHeight="false" outlineLevel="0" collapsed="false">
      <c r="A271" s="3" t="n">
        <v>270</v>
      </c>
      <c r="B271" s="3" t="n">
        <v>269</v>
      </c>
      <c r="C271" s="3" t="n">
        <v>5</v>
      </c>
      <c r="D271" s="3" t="n">
        <v>3</v>
      </c>
      <c r="E271" s="3" t="n">
        <v>3</v>
      </c>
      <c r="F271" s="24" t="n">
        <v>-5.89877748</v>
      </c>
    </row>
    <row r="272" customFormat="false" ht="15" hidden="false" customHeight="false" outlineLevel="0" collapsed="false">
      <c r="A272" s="3" t="n">
        <v>271</v>
      </c>
      <c r="B272" s="3" t="n">
        <v>270</v>
      </c>
      <c r="C272" s="3" t="n">
        <v>5</v>
      </c>
      <c r="D272" s="3" t="n">
        <v>3</v>
      </c>
      <c r="E272" s="3" t="n">
        <v>4</v>
      </c>
      <c r="F272" s="24" t="n">
        <v>-1.31026697</v>
      </c>
    </row>
    <row r="273" customFormat="false" ht="15" hidden="false" customHeight="false" outlineLevel="0" collapsed="false">
      <c r="A273" s="3" t="n">
        <v>272</v>
      </c>
      <c r="B273" s="3" t="n">
        <v>271</v>
      </c>
      <c r="C273" s="3" t="n">
        <v>5</v>
      </c>
      <c r="D273" s="3" t="n">
        <v>3</v>
      </c>
      <c r="E273" s="3" t="n">
        <v>5</v>
      </c>
      <c r="F273" s="24" t="n">
        <v>1.61290932</v>
      </c>
    </row>
    <row r="274" customFormat="false" ht="15" hidden="false" customHeight="false" outlineLevel="0" collapsed="false">
      <c r="A274" s="3" t="n">
        <v>273</v>
      </c>
      <c r="B274" s="3" t="n">
        <v>272</v>
      </c>
      <c r="C274" s="3" t="n">
        <v>5</v>
      </c>
      <c r="D274" s="3" t="n">
        <v>3</v>
      </c>
      <c r="E274" s="3" t="n">
        <v>6</v>
      </c>
      <c r="F274" s="24" t="n">
        <v>-3.54448605</v>
      </c>
    </row>
    <row r="275" customFormat="false" ht="15" hidden="false" customHeight="false" outlineLevel="0" collapsed="false">
      <c r="A275" s="3" t="n">
        <v>274</v>
      </c>
      <c r="B275" s="3" t="n">
        <v>273</v>
      </c>
      <c r="C275" s="3" t="n">
        <v>5</v>
      </c>
      <c r="D275" s="3" t="n">
        <v>4</v>
      </c>
      <c r="E275" s="3" t="n">
        <v>0</v>
      </c>
      <c r="F275" s="24" t="n">
        <v>-0.82366848</v>
      </c>
    </row>
    <row r="276" customFormat="false" ht="15" hidden="false" customHeight="false" outlineLevel="0" collapsed="false">
      <c r="A276" s="3" t="n">
        <v>275</v>
      </c>
      <c r="B276" s="3" t="n">
        <v>274</v>
      </c>
      <c r="C276" s="3" t="n">
        <v>5</v>
      </c>
      <c r="D276" s="3" t="n">
        <v>4</v>
      </c>
      <c r="E276" s="3" t="n">
        <v>1</v>
      </c>
      <c r="F276" s="24" t="n">
        <v>0.176119328</v>
      </c>
    </row>
    <row r="277" customFormat="false" ht="15" hidden="false" customHeight="false" outlineLevel="0" collapsed="false">
      <c r="A277" s="3" t="n">
        <v>276</v>
      </c>
      <c r="B277" s="3" t="n">
        <v>275</v>
      </c>
      <c r="C277" s="3" t="n">
        <v>5</v>
      </c>
      <c r="D277" s="3" t="n">
        <v>4</v>
      </c>
      <c r="E277" s="3" t="n">
        <v>2</v>
      </c>
      <c r="F277" s="24" t="n">
        <v>2.46383762</v>
      </c>
    </row>
    <row r="278" customFormat="false" ht="15" hidden="false" customHeight="false" outlineLevel="0" collapsed="false">
      <c r="A278" s="3" t="n">
        <v>277</v>
      </c>
      <c r="B278" s="3" t="n">
        <v>276</v>
      </c>
      <c r="C278" s="3" t="n">
        <v>5</v>
      </c>
      <c r="D278" s="3" t="n">
        <v>4</v>
      </c>
      <c r="E278" s="3" t="n">
        <v>3</v>
      </c>
      <c r="F278" s="24" t="n">
        <v>-1.5962162</v>
      </c>
    </row>
    <row r="279" customFormat="false" ht="15" hidden="false" customHeight="false" outlineLevel="0" collapsed="false">
      <c r="A279" s="3" t="n">
        <v>278</v>
      </c>
      <c r="B279" s="3" t="n">
        <v>277</v>
      </c>
      <c r="C279" s="3" t="n">
        <v>5</v>
      </c>
      <c r="D279" s="3" t="n">
        <v>4</v>
      </c>
      <c r="E279" s="3" t="n">
        <v>4</v>
      </c>
      <c r="F279" s="24" t="n">
        <v>-0.446533024</v>
      </c>
    </row>
    <row r="280" customFormat="false" ht="15" hidden="false" customHeight="false" outlineLevel="0" collapsed="false">
      <c r="A280" s="3" t="n">
        <v>279</v>
      </c>
      <c r="B280" s="3" t="n">
        <v>278</v>
      </c>
      <c r="C280" s="3" t="n">
        <v>5</v>
      </c>
      <c r="D280" s="3" t="n">
        <v>4</v>
      </c>
      <c r="E280" s="3" t="n">
        <v>5</v>
      </c>
      <c r="F280" s="24" t="n">
        <v>-5.19333696</v>
      </c>
    </row>
    <row r="281" customFormat="false" ht="15" hidden="false" customHeight="false" outlineLevel="0" collapsed="false">
      <c r="A281" s="3" t="n">
        <v>280</v>
      </c>
      <c r="B281" s="3" t="n">
        <v>279</v>
      </c>
      <c r="C281" s="3" t="n">
        <v>5</v>
      </c>
      <c r="D281" s="3" t="n">
        <v>4</v>
      </c>
      <c r="E281" s="3" t="n">
        <v>6</v>
      </c>
      <c r="F281" s="24" t="n">
        <v>-1.96662164</v>
      </c>
    </row>
    <row r="282" customFormat="false" ht="15" hidden="false" customHeight="false" outlineLevel="0" collapsed="false">
      <c r="A282" s="3" t="n">
        <v>281</v>
      </c>
      <c r="B282" s="3" t="n">
        <v>280</v>
      </c>
      <c r="C282" s="3" t="n">
        <v>5</v>
      </c>
      <c r="D282" s="3" t="n">
        <v>5</v>
      </c>
      <c r="E282" s="3" t="n">
        <v>0</v>
      </c>
      <c r="F282" s="24" t="n">
        <v>-1.22687721</v>
      </c>
    </row>
    <row r="283" customFormat="false" ht="15" hidden="false" customHeight="false" outlineLevel="0" collapsed="false">
      <c r="A283" s="3" t="n">
        <v>282</v>
      </c>
      <c r="B283" s="3" t="n">
        <v>281</v>
      </c>
      <c r="C283" s="3" t="n">
        <v>5</v>
      </c>
      <c r="D283" s="3" t="n">
        <v>5</v>
      </c>
      <c r="E283" s="3" t="n">
        <v>1</v>
      </c>
      <c r="F283" s="24" t="n">
        <v>-2.63371372</v>
      </c>
    </row>
    <row r="284" customFormat="false" ht="15" hidden="false" customHeight="false" outlineLevel="0" collapsed="false">
      <c r="A284" s="3" t="n">
        <v>283</v>
      </c>
      <c r="B284" s="3" t="n">
        <v>282</v>
      </c>
      <c r="C284" s="3" t="n">
        <v>5</v>
      </c>
      <c r="D284" s="3" t="n">
        <v>5</v>
      </c>
      <c r="E284" s="3" t="n">
        <v>2</v>
      </c>
      <c r="F284" s="24" t="n">
        <v>-2.70655131</v>
      </c>
    </row>
    <row r="285" customFormat="false" ht="15" hidden="false" customHeight="false" outlineLevel="0" collapsed="false">
      <c r="A285" s="3" t="n">
        <v>284</v>
      </c>
      <c r="B285" s="3" t="n">
        <v>283</v>
      </c>
      <c r="C285" s="3" t="n">
        <v>5</v>
      </c>
      <c r="D285" s="3" t="n">
        <v>5</v>
      </c>
      <c r="E285" s="3" t="n">
        <v>3</v>
      </c>
      <c r="F285" s="24" t="n">
        <v>-1.29065084</v>
      </c>
    </row>
    <row r="286" customFormat="false" ht="15" hidden="false" customHeight="false" outlineLevel="0" collapsed="false">
      <c r="A286" s="3" t="n">
        <v>285</v>
      </c>
      <c r="B286" s="3" t="n">
        <v>284</v>
      </c>
      <c r="C286" s="3" t="n">
        <v>5</v>
      </c>
      <c r="D286" s="3" t="n">
        <v>5</v>
      </c>
      <c r="E286" s="3" t="n">
        <v>4</v>
      </c>
      <c r="F286" s="24" t="n">
        <v>1.64144397</v>
      </c>
    </row>
    <row r="287" customFormat="false" ht="15" hidden="false" customHeight="false" outlineLevel="0" collapsed="false">
      <c r="A287" s="3" t="n">
        <v>286</v>
      </c>
      <c r="B287" s="3" t="n">
        <v>285</v>
      </c>
      <c r="C287" s="3" t="n">
        <v>5</v>
      </c>
      <c r="D287" s="3" t="n">
        <v>5</v>
      </c>
      <c r="E287" s="3" t="n">
        <v>5</v>
      </c>
      <c r="F287" s="24" t="n">
        <v>-5.25648069</v>
      </c>
    </row>
    <row r="288" customFormat="false" ht="15" hidden="false" customHeight="false" outlineLevel="0" collapsed="false">
      <c r="A288" s="3" t="n">
        <v>287</v>
      </c>
      <c r="B288" s="3" t="n">
        <v>286</v>
      </c>
      <c r="C288" s="3" t="n">
        <v>5</v>
      </c>
      <c r="D288" s="3" t="n">
        <v>5</v>
      </c>
      <c r="E288" s="3" t="n">
        <v>6</v>
      </c>
      <c r="F288" s="24" t="n">
        <v>0.00474792719</v>
      </c>
    </row>
    <row r="289" customFormat="false" ht="15" hidden="false" customHeight="false" outlineLevel="0" collapsed="false">
      <c r="A289" s="3" t="n">
        <v>288</v>
      </c>
      <c r="B289" s="3" t="n">
        <v>287</v>
      </c>
      <c r="C289" s="3" t="n">
        <v>5</v>
      </c>
      <c r="D289" s="3" t="n">
        <v>6</v>
      </c>
      <c r="E289" s="3" t="n">
        <v>0</v>
      </c>
      <c r="F289" s="24" t="n">
        <v>-0.469172508</v>
      </c>
    </row>
    <row r="290" customFormat="false" ht="15" hidden="false" customHeight="false" outlineLevel="0" collapsed="false">
      <c r="A290" s="3" t="n">
        <v>289</v>
      </c>
      <c r="B290" s="3" t="n">
        <v>288</v>
      </c>
      <c r="C290" s="3" t="n">
        <v>5</v>
      </c>
      <c r="D290" s="3" t="n">
        <v>6</v>
      </c>
      <c r="E290" s="3" t="n">
        <v>1</v>
      </c>
      <c r="F290" s="24" t="n">
        <v>-1.7840333</v>
      </c>
    </row>
    <row r="291" customFormat="false" ht="15" hidden="false" customHeight="false" outlineLevel="0" collapsed="false">
      <c r="A291" s="3" t="n">
        <v>290</v>
      </c>
      <c r="B291" s="3" t="n">
        <v>289</v>
      </c>
      <c r="C291" s="3" t="n">
        <v>5</v>
      </c>
      <c r="D291" s="3" t="n">
        <v>6</v>
      </c>
      <c r="E291" s="3" t="n">
        <v>2</v>
      </c>
      <c r="F291" s="24" t="n">
        <v>-6.85061836</v>
      </c>
    </row>
    <row r="292" customFormat="false" ht="15" hidden="false" customHeight="false" outlineLevel="0" collapsed="false">
      <c r="A292" s="3" t="n">
        <v>291</v>
      </c>
      <c r="B292" s="3" t="n">
        <v>290</v>
      </c>
      <c r="C292" s="3" t="n">
        <v>5</v>
      </c>
      <c r="D292" s="3" t="n">
        <v>6</v>
      </c>
      <c r="E292" s="3" t="n">
        <v>3</v>
      </c>
      <c r="F292" s="24" t="n">
        <v>-6.27937174</v>
      </c>
    </row>
    <row r="293" customFormat="false" ht="15" hidden="false" customHeight="false" outlineLevel="0" collapsed="false">
      <c r="A293" s="3" t="n">
        <v>292</v>
      </c>
      <c r="B293" s="3" t="n">
        <v>291</v>
      </c>
      <c r="C293" s="3" t="n">
        <v>5</v>
      </c>
      <c r="D293" s="3" t="n">
        <v>6</v>
      </c>
      <c r="E293" s="3" t="n">
        <v>4</v>
      </c>
      <c r="F293" s="24" t="n">
        <v>-6.16482782</v>
      </c>
    </row>
    <row r="294" customFormat="false" ht="15" hidden="false" customHeight="false" outlineLevel="0" collapsed="false">
      <c r="A294" s="3" t="n">
        <v>293</v>
      </c>
      <c r="B294" s="3" t="n">
        <v>292</v>
      </c>
      <c r="C294" s="3" t="n">
        <v>5</v>
      </c>
      <c r="D294" s="3" t="n">
        <v>6</v>
      </c>
      <c r="E294" s="3" t="n">
        <v>5</v>
      </c>
      <c r="F294" s="24" t="n">
        <v>-1.13947368</v>
      </c>
    </row>
    <row r="295" customFormat="false" ht="15" hidden="false" customHeight="false" outlineLevel="0" collapsed="false">
      <c r="A295" s="3" t="n">
        <v>294</v>
      </c>
      <c r="B295" s="3" t="n">
        <v>293</v>
      </c>
      <c r="C295" s="3" t="n">
        <v>5</v>
      </c>
      <c r="D295" s="3" t="n">
        <v>6</v>
      </c>
      <c r="E295" s="3" t="n">
        <v>6</v>
      </c>
      <c r="F295" s="24" t="n">
        <v>-0.0449929833</v>
      </c>
    </row>
    <row r="296" customFormat="false" ht="15" hidden="false" customHeight="false" outlineLevel="0" collapsed="false">
      <c r="A296" s="3" t="n">
        <v>295</v>
      </c>
      <c r="B296" s="3" t="n">
        <v>294</v>
      </c>
      <c r="C296" s="3" t="n">
        <v>6</v>
      </c>
      <c r="D296" s="3" t="n">
        <v>0</v>
      </c>
      <c r="E296" s="3" t="n">
        <v>0</v>
      </c>
      <c r="F296" s="24" t="n">
        <v>-2.93364525</v>
      </c>
    </row>
    <row r="297" customFormat="false" ht="15" hidden="false" customHeight="false" outlineLevel="0" collapsed="false">
      <c r="A297" s="3" t="n">
        <v>296</v>
      </c>
      <c r="B297" s="3" t="n">
        <v>295</v>
      </c>
      <c r="C297" s="3" t="n">
        <v>6</v>
      </c>
      <c r="D297" s="3" t="n">
        <v>0</v>
      </c>
      <c r="E297" s="3" t="n">
        <v>1</v>
      </c>
      <c r="F297" s="24" t="n">
        <v>-9.72515774</v>
      </c>
    </row>
    <row r="298" customFormat="false" ht="15" hidden="false" customHeight="false" outlineLevel="0" collapsed="false">
      <c r="A298" s="3" t="n">
        <v>297</v>
      </c>
      <c r="B298" s="3" t="n">
        <v>296</v>
      </c>
      <c r="C298" s="3" t="n">
        <v>6</v>
      </c>
      <c r="D298" s="3" t="n">
        <v>0</v>
      </c>
      <c r="E298" s="3" t="n">
        <v>2</v>
      </c>
      <c r="F298" s="24" t="n">
        <v>-16.1382713</v>
      </c>
    </row>
    <row r="299" customFormat="false" ht="15" hidden="false" customHeight="false" outlineLevel="0" collapsed="false">
      <c r="A299" s="3" t="n">
        <v>298</v>
      </c>
      <c r="B299" s="3" t="n">
        <v>297</v>
      </c>
      <c r="C299" s="3" t="n">
        <v>6</v>
      </c>
      <c r="D299" s="3" t="n">
        <v>0</v>
      </c>
      <c r="E299" s="3" t="n">
        <v>3</v>
      </c>
      <c r="F299" s="24" t="n">
        <v>-20.141634</v>
      </c>
    </row>
    <row r="300" customFormat="false" ht="15" hidden="false" customHeight="false" outlineLevel="0" collapsed="false">
      <c r="A300" s="3" t="n">
        <v>299</v>
      </c>
      <c r="B300" s="3" t="n">
        <v>298</v>
      </c>
      <c r="C300" s="3" t="n">
        <v>6</v>
      </c>
      <c r="D300" s="3" t="n">
        <v>0</v>
      </c>
      <c r="E300" s="3" t="n">
        <v>4</v>
      </c>
      <c r="F300" s="24" t="n">
        <v>-17.9268875</v>
      </c>
    </row>
    <row r="301" customFormat="false" ht="15" hidden="false" customHeight="false" outlineLevel="0" collapsed="false">
      <c r="A301" s="3" t="n">
        <v>300</v>
      </c>
      <c r="B301" s="3" t="n">
        <v>299</v>
      </c>
      <c r="C301" s="3" t="n">
        <v>6</v>
      </c>
      <c r="D301" s="3" t="n">
        <v>0</v>
      </c>
      <c r="E301" s="3" t="n">
        <v>5</v>
      </c>
      <c r="F301" s="24" t="n">
        <v>-12.6352558</v>
      </c>
    </row>
    <row r="302" customFormat="false" ht="15" hidden="false" customHeight="false" outlineLevel="0" collapsed="false">
      <c r="A302" s="3" t="n">
        <v>301</v>
      </c>
      <c r="B302" s="3" t="n">
        <v>300</v>
      </c>
      <c r="C302" s="3" t="n">
        <v>6</v>
      </c>
      <c r="D302" s="3" t="n">
        <v>0</v>
      </c>
      <c r="E302" s="3" t="n">
        <v>6</v>
      </c>
      <c r="F302" s="24" t="n">
        <v>-8.03469181</v>
      </c>
    </row>
    <row r="303" customFormat="false" ht="15" hidden="false" customHeight="false" outlineLevel="0" collapsed="false">
      <c r="A303" s="3" t="n">
        <v>302</v>
      </c>
      <c r="B303" s="3" t="n">
        <v>301</v>
      </c>
      <c r="C303" s="3" t="n">
        <v>6</v>
      </c>
      <c r="D303" s="3" t="n">
        <v>1</v>
      </c>
      <c r="E303" s="3" t="n">
        <v>0</v>
      </c>
      <c r="F303" s="24" t="n">
        <v>1.81400537</v>
      </c>
    </row>
    <row r="304" customFormat="false" ht="15" hidden="false" customHeight="false" outlineLevel="0" collapsed="false">
      <c r="A304" s="3" t="n">
        <v>303</v>
      </c>
      <c r="B304" s="3" t="n">
        <v>302</v>
      </c>
      <c r="C304" s="3" t="n">
        <v>6</v>
      </c>
      <c r="D304" s="3" t="n">
        <v>1</v>
      </c>
      <c r="E304" s="3" t="n">
        <v>1</v>
      </c>
      <c r="F304" s="24" t="n">
        <v>-10.8926935</v>
      </c>
    </row>
    <row r="305" customFormat="false" ht="15" hidden="false" customHeight="false" outlineLevel="0" collapsed="false">
      <c r="A305" s="3" t="n">
        <v>304</v>
      </c>
      <c r="B305" s="3" t="n">
        <v>303</v>
      </c>
      <c r="C305" s="3" t="n">
        <v>6</v>
      </c>
      <c r="D305" s="3" t="n">
        <v>1</v>
      </c>
      <c r="E305" s="3" t="n">
        <v>2</v>
      </c>
      <c r="F305" s="24" t="n">
        <v>-18.796627</v>
      </c>
    </row>
    <row r="306" customFormat="false" ht="15" hidden="false" customHeight="false" outlineLevel="0" collapsed="false">
      <c r="A306" s="3" t="n">
        <v>305</v>
      </c>
      <c r="B306" s="3" t="n">
        <v>304</v>
      </c>
      <c r="C306" s="3" t="n">
        <v>6</v>
      </c>
      <c r="D306" s="3" t="n">
        <v>1</v>
      </c>
      <c r="E306" s="3" t="n">
        <v>3</v>
      </c>
      <c r="F306" s="24" t="n">
        <v>-16.0519028</v>
      </c>
    </row>
    <row r="307" customFormat="false" ht="15" hidden="false" customHeight="false" outlineLevel="0" collapsed="false">
      <c r="A307" s="3" t="n">
        <v>306</v>
      </c>
      <c r="B307" s="3" t="n">
        <v>305</v>
      </c>
      <c r="C307" s="3" t="n">
        <v>6</v>
      </c>
      <c r="D307" s="3" t="n">
        <v>1</v>
      </c>
      <c r="E307" s="3" t="n">
        <v>4</v>
      </c>
      <c r="F307" s="24" t="n">
        <v>-19.8398037</v>
      </c>
    </row>
    <row r="308" customFormat="false" ht="15" hidden="false" customHeight="false" outlineLevel="0" collapsed="false">
      <c r="A308" s="3" t="n">
        <v>307</v>
      </c>
      <c r="B308" s="3" t="n">
        <v>306</v>
      </c>
      <c r="C308" s="3" t="n">
        <v>6</v>
      </c>
      <c r="D308" s="3" t="n">
        <v>1</v>
      </c>
      <c r="E308" s="3" t="n">
        <v>5</v>
      </c>
      <c r="F308" s="24" t="n">
        <v>-13.0752058</v>
      </c>
    </row>
    <row r="309" customFormat="false" ht="15" hidden="false" customHeight="false" outlineLevel="0" collapsed="false">
      <c r="A309" s="3" t="n">
        <v>308</v>
      </c>
      <c r="B309" s="3" t="n">
        <v>307</v>
      </c>
      <c r="C309" s="3" t="n">
        <v>6</v>
      </c>
      <c r="D309" s="3" t="n">
        <v>1</v>
      </c>
      <c r="E309" s="3" t="n">
        <v>6</v>
      </c>
      <c r="F309" s="24" t="n">
        <v>-10.9900284</v>
      </c>
    </row>
    <row r="310" customFormat="false" ht="15" hidden="false" customHeight="false" outlineLevel="0" collapsed="false">
      <c r="A310" s="3" t="n">
        <v>309</v>
      </c>
      <c r="B310" s="3" t="n">
        <v>308</v>
      </c>
      <c r="C310" s="3" t="n">
        <v>6</v>
      </c>
      <c r="D310" s="3" t="n">
        <v>2</v>
      </c>
      <c r="E310" s="3" t="n">
        <v>0</v>
      </c>
      <c r="F310" s="24" t="n">
        <v>-3.04461408</v>
      </c>
    </row>
    <row r="311" customFormat="false" ht="15" hidden="false" customHeight="false" outlineLevel="0" collapsed="false">
      <c r="A311" s="3" t="n">
        <v>310</v>
      </c>
      <c r="B311" s="3" t="n">
        <v>309</v>
      </c>
      <c r="C311" s="3" t="n">
        <v>6</v>
      </c>
      <c r="D311" s="3" t="n">
        <v>2</v>
      </c>
      <c r="E311" s="3" t="n">
        <v>1</v>
      </c>
      <c r="F311" s="24" t="n">
        <v>-6.03187799</v>
      </c>
    </row>
    <row r="312" customFormat="false" ht="15" hidden="false" customHeight="false" outlineLevel="0" collapsed="false">
      <c r="A312" s="3" t="n">
        <v>311</v>
      </c>
      <c r="B312" s="3" t="n">
        <v>310</v>
      </c>
      <c r="C312" s="3" t="n">
        <v>6</v>
      </c>
      <c r="D312" s="3" t="n">
        <v>2</v>
      </c>
      <c r="E312" s="3" t="n">
        <v>2</v>
      </c>
      <c r="F312" s="24" t="n">
        <v>-9.19923496</v>
      </c>
    </row>
    <row r="313" customFormat="false" ht="15" hidden="false" customHeight="false" outlineLevel="0" collapsed="false">
      <c r="A313" s="3" t="n">
        <v>312</v>
      </c>
      <c r="B313" s="3" t="n">
        <v>311</v>
      </c>
      <c r="C313" s="3" t="n">
        <v>6</v>
      </c>
      <c r="D313" s="3" t="n">
        <v>2</v>
      </c>
      <c r="E313" s="3" t="n">
        <v>3</v>
      </c>
      <c r="F313" s="24" t="n">
        <v>-8.73839855</v>
      </c>
    </row>
    <row r="314" customFormat="false" ht="15" hidden="false" customHeight="false" outlineLevel="0" collapsed="false">
      <c r="A314" s="3" t="n">
        <v>313</v>
      </c>
      <c r="B314" s="3" t="n">
        <v>312</v>
      </c>
      <c r="C314" s="3" t="n">
        <v>6</v>
      </c>
      <c r="D314" s="3" t="n">
        <v>2</v>
      </c>
      <c r="E314" s="3" t="n">
        <v>4</v>
      </c>
      <c r="F314" s="24" t="n">
        <v>-15.9818964</v>
      </c>
    </row>
    <row r="315" customFormat="false" ht="15" hidden="false" customHeight="false" outlineLevel="0" collapsed="false">
      <c r="A315" s="3" t="n">
        <v>314</v>
      </c>
      <c r="B315" s="3" t="n">
        <v>313</v>
      </c>
      <c r="C315" s="3" t="n">
        <v>6</v>
      </c>
      <c r="D315" s="3" t="n">
        <v>2</v>
      </c>
      <c r="E315" s="3" t="n">
        <v>5</v>
      </c>
      <c r="F315" s="24" t="n">
        <v>-4.64730978</v>
      </c>
    </row>
    <row r="316" customFormat="false" ht="15" hidden="false" customHeight="false" outlineLevel="0" collapsed="false">
      <c r="A316" s="3" t="n">
        <v>315</v>
      </c>
      <c r="B316" s="3" t="n">
        <v>314</v>
      </c>
      <c r="C316" s="3" t="n">
        <v>6</v>
      </c>
      <c r="D316" s="3" t="n">
        <v>2</v>
      </c>
      <c r="E316" s="3" t="n">
        <v>6</v>
      </c>
      <c r="F316" s="24" t="n">
        <v>0.345252424</v>
      </c>
    </row>
    <row r="317" customFormat="false" ht="15" hidden="false" customHeight="false" outlineLevel="0" collapsed="false">
      <c r="A317" s="3" t="n">
        <v>316</v>
      </c>
      <c r="B317" s="3" t="n">
        <v>315</v>
      </c>
      <c r="C317" s="3" t="n">
        <v>6</v>
      </c>
      <c r="D317" s="3" t="n">
        <v>3</v>
      </c>
      <c r="E317" s="3" t="n">
        <v>0</v>
      </c>
      <c r="F317" s="24" t="n">
        <v>-2.63206482</v>
      </c>
    </row>
    <row r="318" customFormat="false" ht="15" hidden="false" customHeight="false" outlineLevel="0" collapsed="false">
      <c r="A318" s="3" t="n">
        <v>317</v>
      </c>
      <c r="B318" s="3" t="n">
        <v>316</v>
      </c>
      <c r="C318" s="3" t="n">
        <v>6</v>
      </c>
      <c r="D318" s="3" t="n">
        <v>3</v>
      </c>
      <c r="E318" s="3" t="n">
        <v>1</v>
      </c>
      <c r="F318" s="24" t="n">
        <v>1.19669223</v>
      </c>
    </row>
    <row r="319" customFormat="false" ht="15" hidden="false" customHeight="false" outlineLevel="0" collapsed="false">
      <c r="A319" s="3" t="n">
        <v>318</v>
      </c>
      <c r="B319" s="3" t="n">
        <v>317</v>
      </c>
      <c r="C319" s="3" t="n">
        <v>6</v>
      </c>
      <c r="D319" s="3" t="n">
        <v>3</v>
      </c>
      <c r="E319" s="3" t="n">
        <v>2</v>
      </c>
      <c r="F319" s="24" t="n">
        <v>7.68568611</v>
      </c>
    </row>
    <row r="320" customFormat="false" ht="15" hidden="false" customHeight="false" outlineLevel="0" collapsed="false">
      <c r="A320" s="3" t="n">
        <v>319</v>
      </c>
      <c r="B320" s="3" t="n">
        <v>318</v>
      </c>
      <c r="C320" s="3" t="n">
        <v>6</v>
      </c>
      <c r="D320" s="3" t="n">
        <v>3</v>
      </c>
      <c r="E320" s="3" t="n">
        <v>3</v>
      </c>
      <c r="F320" s="24" t="n">
        <v>0.974498093</v>
      </c>
    </row>
    <row r="321" customFormat="false" ht="15" hidden="false" customHeight="false" outlineLevel="0" collapsed="false">
      <c r="A321" s="3" t="n">
        <v>320</v>
      </c>
      <c r="B321" s="3" t="n">
        <v>319</v>
      </c>
      <c r="C321" s="3" t="n">
        <v>6</v>
      </c>
      <c r="D321" s="3" t="n">
        <v>3</v>
      </c>
      <c r="E321" s="3" t="n">
        <v>4</v>
      </c>
      <c r="F321" s="24" t="n">
        <v>-1.14952302</v>
      </c>
    </row>
    <row r="322" customFormat="false" ht="15" hidden="false" customHeight="false" outlineLevel="0" collapsed="false">
      <c r="A322" s="3" t="n">
        <v>321</v>
      </c>
      <c r="B322" s="3" t="n">
        <v>320</v>
      </c>
      <c r="C322" s="3" t="n">
        <v>6</v>
      </c>
      <c r="D322" s="3" t="n">
        <v>3</v>
      </c>
      <c r="E322" s="3" t="n">
        <v>5</v>
      </c>
      <c r="F322" s="24" t="n">
        <v>11.9689741</v>
      </c>
    </row>
    <row r="323" customFormat="false" ht="15" hidden="false" customHeight="false" outlineLevel="0" collapsed="false">
      <c r="A323" s="3" t="n">
        <v>322</v>
      </c>
      <c r="B323" s="3" t="n">
        <v>321</v>
      </c>
      <c r="C323" s="3" t="n">
        <v>6</v>
      </c>
      <c r="D323" s="3" t="n">
        <v>3</v>
      </c>
      <c r="E323" s="3" t="n">
        <v>6</v>
      </c>
      <c r="F323" s="24" t="n">
        <v>4.18918705</v>
      </c>
    </row>
    <row r="324" customFormat="false" ht="15" hidden="false" customHeight="false" outlineLevel="0" collapsed="false">
      <c r="A324" s="3" t="n">
        <v>323</v>
      </c>
      <c r="B324" s="3" t="n">
        <v>322</v>
      </c>
      <c r="C324" s="3" t="n">
        <v>6</v>
      </c>
      <c r="D324" s="3" t="n">
        <v>4</v>
      </c>
      <c r="E324" s="3" t="n">
        <v>0</v>
      </c>
      <c r="F324" s="24" t="n">
        <v>-0.237775102</v>
      </c>
    </row>
    <row r="325" customFormat="false" ht="15" hidden="false" customHeight="false" outlineLevel="0" collapsed="false">
      <c r="A325" s="3" t="n">
        <v>324</v>
      </c>
      <c r="B325" s="3" t="n">
        <v>323</v>
      </c>
      <c r="C325" s="3" t="n">
        <v>6</v>
      </c>
      <c r="D325" s="3" t="n">
        <v>4</v>
      </c>
      <c r="E325" s="3" t="n">
        <v>1</v>
      </c>
      <c r="F325" s="24" t="n">
        <v>5.60577726</v>
      </c>
    </row>
    <row r="326" customFormat="false" ht="15" hidden="false" customHeight="false" outlineLevel="0" collapsed="false">
      <c r="A326" s="3" t="n">
        <v>325</v>
      </c>
      <c r="B326" s="3" t="n">
        <v>324</v>
      </c>
      <c r="C326" s="3" t="n">
        <v>6</v>
      </c>
      <c r="D326" s="3" t="n">
        <v>4</v>
      </c>
      <c r="E326" s="3" t="n">
        <v>2</v>
      </c>
      <c r="F326" s="24" t="n">
        <v>4.07167292</v>
      </c>
    </row>
    <row r="327" customFormat="false" ht="15" hidden="false" customHeight="false" outlineLevel="0" collapsed="false">
      <c r="A327" s="3" t="n">
        <v>326</v>
      </c>
      <c r="B327" s="3" t="n">
        <v>325</v>
      </c>
      <c r="C327" s="3" t="n">
        <v>6</v>
      </c>
      <c r="D327" s="3" t="n">
        <v>4</v>
      </c>
      <c r="E327" s="3" t="n">
        <v>3</v>
      </c>
      <c r="F327" s="24" t="n">
        <v>-9.42736626</v>
      </c>
    </row>
    <row r="328" customFormat="false" ht="15" hidden="false" customHeight="false" outlineLevel="0" collapsed="false">
      <c r="A328" s="3" t="n">
        <v>327</v>
      </c>
      <c r="B328" s="3" t="n">
        <v>326</v>
      </c>
      <c r="C328" s="3" t="n">
        <v>6</v>
      </c>
      <c r="D328" s="3" t="n">
        <v>4</v>
      </c>
      <c r="E328" s="3" t="n">
        <v>4</v>
      </c>
      <c r="F328" s="24" t="n">
        <v>1.27209377</v>
      </c>
    </row>
    <row r="329" customFormat="false" ht="15" hidden="false" customHeight="false" outlineLevel="0" collapsed="false">
      <c r="A329" s="3" t="n">
        <v>328</v>
      </c>
      <c r="B329" s="3" t="n">
        <v>327</v>
      </c>
      <c r="C329" s="3" t="n">
        <v>6</v>
      </c>
      <c r="D329" s="3" t="n">
        <v>4</v>
      </c>
      <c r="E329" s="3" t="n">
        <v>5</v>
      </c>
      <c r="F329" s="24" t="n">
        <v>10.6412172</v>
      </c>
    </row>
    <row r="330" customFormat="false" ht="15" hidden="false" customHeight="false" outlineLevel="0" collapsed="false">
      <c r="A330" s="3" t="n">
        <v>329</v>
      </c>
      <c r="B330" s="3" t="n">
        <v>328</v>
      </c>
      <c r="C330" s="3" t="n">
        <v>6</v>
      </c>
      <c r="D330" s="3" t="n">
        <v>4</v>
      </c>
      <c r="E330" s="3" t="n">
        <v>6</v>
      </c>
      <c r="F330" s="24" t="n">
        <v>0.715916932</v>
      </c>
    </row>
    <row r="331" customFormat="false" ht="15" hidden="false" customHeight="false" outlineLevel="0" collapsed="false">
      <c r="A331" s="3" t="n">
        <v>330</v>
      </c>
      <c r="B331" s="3" t="n">
        <v>329</v>
      </c>
      <c r="C331" s="3" t="n">
        <v>6</v>
      </c>
      <c r="D331" s="3" t="n">
        <v>5</v>
      </c>
      <c r="E331" s="3" t="n">
        <v>0</v>
      </c>
      <c r="F331" s="24" t="n">
        <v>-0.429843009</v>
      </c>
    </row>
    <row r="332" customFormat="false" ht="15" hidden="false" customHeight="false" outlineLevel="0" collapsed="false">
      <c r="A332" s="3" t="n">
        <v>331</v>
      </c>
      <c r="B332" s="3" t="n">
        <v>330</v>
      </c>
      <c r="C332" s="3" t="n">
        <v>6</v>
      </c>
      <c r="D332" s="3" t="n">
        <v>5</v>
      </c>
      <c r="E332" s="3" t="n">
        <v>1</v>
      </c>
      <c r="F332" s="24" t="n">
        <v>4.00009584</v>
      </c>
    </row>
    <row r="333" customFormat="false" ht="15" hidden="false" customHeight="false" outlineLevel="0" collapsed="false">
      <c r="A333" s="3" t="n">
        <v>332</v>
      </c>
      <c r="B333" s="3" t="n">
        <v>331</v>
      </c>
      <c r="C333" s="3" t="n">
        <v>6</v>
      </c>
      <c r="D333" s="3" t="n">
        <v>5</v>
      </c>
      <c r="E333" s="3" t="n">
        <v>2</v>
      </c>
      <c r="F333" s="24" t="n">
        <v>-13.5364428</v>
      </c>
    </row>
    <row r="334" customFormat="false" ht="15" hidden="false" customHeight="false" outlineLevel="0" collapsed="false">
      <c r="A334" s="3" t="n">
        <v>333</v>
      </c>
      <c r="B334" s="3" t="n">
        <v>332</v>
      </c>
      <c r="C334" s="3" t="n">
        <v>6</v>
      </c>
      <c r="D334" s="3" t="n">
        <v>5</v>
      </c>
      <c r="E334" s="3" t="n">
        <v>3</v>
      </c>
      <c r="F334" s="24" t="n">
        <v>-5.23854208</v>
      </c>
    </row>
    <row r="335" customFormat="false" ht="15" hidden="false" customHeight="false" outlineLevel="0" collapsed="false">
      <c r="A335" s="3" t="n">
        <v>334</v>
      </c>
      <c r="B335" s="3" t="n">
        <v>333</v>
      </c>
      <c r="C335" s="3" t="n">
        <v>6</v>
      </c>
      <c r="D335" s="3" t="n">
        <v>5</v>
      </c>
      <c r="E335" s="3" t="n">
        <v>4</v>
      </c>
      <c r="F335" s="24" t="n">
        <v>9.96341515</v>
      </c>
    </row>
    <row r="336" customFormat="false" ht="15" hidden="false" customHeight="false" outlineLevel="0" collapsed="false">
      <c r="A336" s="3" t="n">
        <v>335</v>
      </c>
      <c r="B336" s="3" t="n">
        <v>334</v>
      </c>
      <c r="C336" s="3" t="n">
        <v>6</v>
      </c>
      <c r="D336" s="3" t="n">
        <v>5</v>
      </c>
      <c r="E336" s="3" t="n">
        <v>5</v>
      </c>
      <c r="F336" s="24" t="n">
        <v>2.21459985</v>
      </c>
    </row>
    <row r="337" customFormat="false" ht="15" hidden="false" customHeight="false" outlineLevel="0" collapsed="false">
      <c r="A337" s="3" t="n">
        <v>336</v>
      </c>
      <c r="B337" s="3" t="n">
        <v>335</v>
      </c>
      <c r="C337" s="3" t="n">
        <v>6</v>
      </c>
      <c r="D337" s="3" t="n">
        <v>5</v>
      </c>
      <c r="E337" s="3" t="n">
        <v>6</v>
      </c>
      <c r="F337" s="24" t="n">
        <v>-0.3889319</v>
      </c>
    </row>
    <row r="338" customFormat="false" ht="15" hidden="false" customHeight="false" outlineLevel="0" collapsed="false">
      <c r="A338" s="3" t="n">
        <v>337</v>
      </c>
      <c r="B338" s="3" t="n">
        <v>336</v>
      </c>
      <c r="C338" s="3" t="n">
        <v>6</v>
      </c>
      <c r="D338" s="3" t="n">
        <v>6</v>
      </c>
      <c r="E338" s="3" t="n">
        <v>0</v>
      </c>
      <c r="F338" s="24" t="n">
        <v>0.481684357</v>
      </c>
    </row>
    <row r="339" customFormat="false" ht="15" hidden="false" customHeight="false" outlineLevel="0" collapsed="false">
      <c r="A339" s="3" t="n">
        <v>338</v>
      </c>
      <c r="B339" s="3" t="n">
        <v>337</v>
      </c>
      <c r="C339" s="3" t="n">
        <v>6</v>
      </c>
      <c r="D339" s="3" t="n">
        <v>6</v>
      </c>
      <c r="E339" s="3" t="n">
        <v>1</v>
      </c>
      <c r="F339" s="24" t="n">
        <v>-3.65747285</v>
      </c>
    </row>
    <row r="340" customFormat="false" ht="15" hidden="false" customHeight="false" outlineLevel="0" collapsed="false">
      <c r="A340" s="3" t="n">
        <v>339</v>
      </c>
      <c r="B340" s="3" t="n">
        <v>338</v>
      </c>
      <c r="C340" s="3" t="n">
        <v>6</v>
      </c>
      <c r="D340" s="3" t="n">
        <v>6</v>
      </c>
      <c r="E340" s="3" t="n">
        <v>2</v>
      </c>
      <c r="F340" s="24" t="n">
        <v>-10.0258312</v>
      </c>
    </row>
    <row r="341" customFormat="false" ht="15" hidden="false" customHeight="false" outlineLevel="0" collapsed="false">
      <c r="A341" s="3" t="n">
        <v>340</v>
      </c>
      <c r="B341" s="3" t="n">
        <v>339</v>
      </c>
      <c r="C341" s="3" t="n">
        <v>6</v>
      </c>
      <c r="D341" s="3" t="n">
        <v>6</v>
      </c>
      <c r="E341" s="3" t="n">
        <v>3</v>
      </c>
      <c r="F341" s="24" t="n">
        <v>6.38539505</v>
      </c>
    </row>
    <row r="342" customFormat="false" ht="15" hidden="false" customHeight="false" outlineLevel="0" collapsed="false">
      <c r="A342" s="3" t="n">
        <v>341</v>
      </c>
      <c r="B342" s="3" t="n">
        <v>340</v>
      </c>
      <c r="C342" s="3" t="n">
        <v>6</v>
      </c>
      <c r="D342" s="3" t="n">
        <v>6</v>
      </c>
      <c r="E342" s="3" t="n">
        <v>4</v>
      </c>
      <c r="F342" s="24" t="n">
        <v>8.68063259</v>
      </c>
    </row>
    <row r="343" customFormat="false" ht="15" hidden="false" customHeight="false" outlineLevel="0" collapsed="false">
      <c r="A343" s="3" t="n">
        <v>342</v>
      </c>
      <c r="B343" s="3" t="n">
        <v>341</v>
      </c>
      <c r="C343" s="3" t="n">
        <v>6</v>
      </c>
      <c r="D343" s="3" t="n">
        <v>6</v>
      </c>
      <c r="E343" s="3" t="n">
        <v>5</v>
      </c>
      <c r="F343" s="24" t="n">
        <v>-0.139566094</v>
      </c>
    </row>
    <row r="344" customFormat="false" ht="15" hidden="false" customHeight="false" outlineLevel="0" collapsed="false">
      <c r="A344" s="3" t="n">
        <v>343</v>
      </c>
      <c r="B344" s="3" t="n">
        <v>342</v>
      </c>
      <c r="C344" s="3" t="n">
        <v>6</v>
      </c>
      <c r="D344" s="3" t="n">
        <v>6</v>
      </c>
      <c r="E344" s="3" t="n">
        <v>6</v>
      </c>
      <c r="F344" s="24" t="n">
        <v>0.380069345</v>
      </c>
    </row>
    <row r="345" customFormat="false" ht="15" hidden="false" customHeight="false" outlineLevel="0" collapsed="false">
      <c r="A345" s="3" t="n">
        <v>344</v>
      </c>
      <c r="B345" s="3" t="n">
        <v>343</v>
      </c>
      <c r="C345" s="3" t="n">
        <v>7</v>
      </c>
      <c r="D345" s="3" t="n">
        <v>0</v>
      </c>
      <c r="E345" s="3" t="n">
        <v>0</v>
      </c>
      <c r="F345" s="24" t="n">
        <v>-1.39643049</v>
      </c>
    </row>
    <row r="346" customFormat="false" ht="15" hidden="false" customHeight="false" outlineLevel="0" collapsed="false">
      <c r="A346" s="3" t="n">
        <v>345</v>
      </c>
      <c r="B346" s="3" t="n">
        <v>344</v>
      </c>
      <c r="C346" s="3" t="n">
        <v>7</v>
      </c>
      <c r="D346" s="3" t="n">
        <v>0</v>
      </c>
      <c r="E346" s="3" t="n">
        <v>1</v>
      </c>
      <c r="F346" s="24" t="n">
        <v>-2.00343943</v>
      </c>
    </row>
    <row r="347" customFormat="false" ht="15" hidden="false" customHeight="false" outlineLevel="0" collapsed="false">
      <c r="A347" s="3" t="n">
        <v>346</v>
      </c>
      <c r="B347" s="3" t="n">
        <v>345</v>
      </c>
      <c r="C347" s="3" t="n">
        <v>7</v>
      </c>
      <c r="D347" s="3" t="n">
        <v>0</v>
      </c>
      <c r="E347" s="3" t="n">
        <v>2</v>
      </c>
      <c r="F347" s="24" t="n">
        <v>-3.66768456</v>
      </c>
    </row>
    <row r="348" customFormat="false" ht="15" hidden="false" customHeight="false" outlineLevel="0" collapsed="false">
      <c r="A348" s="3" t="n">
        <v>347</v>
      </c>
      <c r="B348" s="3" t="n">
        <v>346</v>
      </c>
      <c r="C348" s="3" t="n">
        <v>7</v>
      </c>
      <c r="D348" s="3" t="n">
        <v>0</v>
      </c>
      <c r="E348" s="3" t="n">
        <v>3</v>
      </c>
      <c r="F348" s="24" t="n">
        <v>-3.42309356</v>
      </c>
    </row>
    <row r="349" customFormat="false" ht="15" hidden="false" customHeight="false" outlineLevel="0" collapsed="false">
      <c r="A349" s="3" t="n">
        <v>348</v>
      </c>
      <c r="B349" s="3" t="n">
        <v>347</v>
      </c>
      <c r="C349" s="3" t="n">
        <v>7</v>
      </c>
      <c r="D349" s="3" t="n">
        <v>0</v>
      </c>
      <c r="E349" s="3" t="n">
        <v>4</v>
      </c>
      <c r="F349" s="24" t="n">
        <v>-2.27467918</v>
      </c>
    </row>
    <row r="350" customFormat="false" ht="15" hidden="false" customHeight="false" outlineLevel="0" collapsed="false">
      <c r="A350" s="3" t="n">
        <v>349</v>
      </c>
      <c r="B350" s="3" t="n">
        <v>348</v>
      </c>
      <c r="C350" s="3" t="n">
        <v>7</v>
      </c>
      <c r="D350" s="3" t="n">
        <v>0</v>
      </c>
      <c r="E350" s="3" t="n">
        <v>5</v>
      </c>
      <c r="F350" s="24" t="n">
        <v>-2.27808285</v>
      </c>
    </row>
    <row r="351" customFormat="false" ht="15" hidden="false" customHeight="false" outlineLevel="0" collapsed="false">
      <c r="A351" s="3" t="n">
        <v>350</v>
      </c>
      <c r="B351" s="3" t="n">
        <v>349</v>
      </c>
      <c r="C351" s="3" t="n">
        <v>7</v>
      </c>
      <c r="D351" s="3" t="n">
        <v>0</v>
      </c>
      <c r="E351" s="3" t="n">
        <v>6</v>
      </c>
      <c r="F351" s="24" t="n">
        <v>-0.844804645</v>
      </c>
    </row>
    <row r="352" customFormat="false" ht="15" hidden="false" customHeight="false" outlineLevel="0" collapsed="false">
      <c r="A352" s="3" t="n">
        <v>351</v>
      </c>
      <c r="B352" s="3" t="n">
        <v>350</v>
      </c>
      <c r="C352" s="3" t="n">
        <v>7</v>
      </c>
      <c r="D352" s="3" t="n">
        <v>1</v>
      </c>
      <c r="E352" s="3" t="n">
        <v>0</v>
      </c>
      <c r="F352" s="24" t="n">
        <v>-3.87096262</v>
      </c>
    </row>
    <row r="353" customFormat="false" ht="15" hidden="false" customHeight="false" outlineLevel="0" collapsed="false">
      <c r="A353" s="3" t="n">
        <v>352</v>
      </c>
      <c r="B353" s="3" t="n">
        <v>351</v>
      </c>
      <c r="C353" s="3" t="n">
        <v>7</v>
      </c>
      <c r="D353" s="3" t="n">
        <v>1</v>
      </c>
      <c r="E353" s="3" t="n">
        <v>1</v>
      </c>
      <c r="F353" s="24" t="n">
        <v>-6.11128378</v>
      </c>
    </row>
    <row r="354" customFormat="false" ht="15" hidden="false" customHeight="false" outlineLevel="0" collapsed="false">
      <c r="A354" s="3" t="n">
        <v>353</v>
      </c>
      <c r="B354" s="3" t="n">
        <v>352</v>
      </c>
      <c r="C354" s="3" t="n">
        <v>7</v>
      </c>
      <c r="D354" s="3" t="n">
        <v>1</v>
      </c>
      <c r="E354" s="3" t="n">
        <v>2</v>
      </c>
      <c r="F354" s="24" t="n">
        <v>-6.27721834</v>
      </c>
    </row>
    <row r="355" customFormat="false" ht="15" hidden="false" customHeight="false" outlineLevel="0" collapsed="false">
      <c r="A355" s="3" t="n">
        <v>354</v>
      </c>
      <c r="B355" s="3" t="n">
        <v>353</v>
      </c>
      <c r="C355" s="3" t="n">
        <v>7</v>
      </c>
      <c r="D355" s="3" t="n">
        <v>1</v>
      </c>
      <c r="E355" s="3" t="n">
        <v>3</v>
      </c>
      <c r="F355" s="24" t="n">
        <v>-6.09306431</v>
      </c>
    </row>
    <row r="356" customFormat="false" ht="15" hidden="false" customHeight="false" outlineLevel="0" collapsed="false">
      <c r="A356" s="3" t="n">
        <v>355</v>
      </c>
      <c r="B356" s="3" t="n">
        <v>354</v>
      </c>
      <c r="C356" s="3" t="n">
        <v>7</v>
      </c>
      <c r="D356" s="3" t="n">
        <v>1</v>
      </c>
      <c r="E356" s="3" t="n">
        <v>4</v>
      </c>
      <c r="F356" s="24" t="n">
        <v>-4.87789583</v>
      </c>
    </row>
    <row r="357" customFormat="false" ht="15" hidden="false" customHeight="false" outlineLevel="0" collapsed="false">
      <c r="A357" s="3" t="n">
        <v>356</v>
      </c>
      <c r="B357" s="3" t="n">
        <v>355</v>
      </c>
      <c r="C357" s="3" t="n">
        <v>7</v>
      </c>
      <c r="D357" s="3" t="n">
        <v>1</v>
      </c>
      <c r="E357" s="3" t="n">
        <v>5</v>
      </c>
      <c r="F357" s="24" t="n">
        <v>-4.44639349</v>
      </c>
    </row>
    <row r="358" customFormat="false" ht="15" hidden="false" customHeight="false" outlineLevel="0" collapsed="false">
      <c r="A358" s="3" t="n">
        <v>357</v>
      </c>
      <c r="B358" s="3" t="n">
        <v>356</v>
      </c>
      <c r="C358" s="3" t="n">
        <v>7</v>
      </c>
      <c r="D358" s="3" t="n">
        <v>1</v>
      </c>
      <c r="E358" s="3" t="n">
        <v>6</v>
      </c>
      <c r="F358" s="24" t="n">
        <v>-1.2585218</v>
      </c>
    </row>
    <row r="359" customFormat="false" ht="15" hidden="false" customHeight="false" outlineLevel="0" collapsed="false">
      <c r="A359" s="3" t="n">
        <v>358</v>
      </c>
      <c r="B359" s="3" t="n">
        <v>357</v>
      </c>
      <c r="C359" s="3" t="n">
        <v>7</v>
      </c>
      <c r="D359" s="3" t="n">
        <v>2</v>
      </c>
      <c r="E359" s="3" t="n">
        <v>0</v>
      </c>
      <c r="F359" s="24" t="n">
        <v>-3.70234466</v>
      </c>
    </row>
    <row r="360" customFormat="false" ht="15" hidden="false" customHeight="false" outlineLevel="0" collapsed="false">
      <c r="A360" s="3" t="n">
        <v>359</v>
      </c>
      <c r="B360" s="3" t="n">
        <v>358</v>
      </c>
      <c r="C360" s="3" t="n">
        <v>7</v>
      </c>
      <c r="D360" s="3" t="n">
        <v>2</v>
      </c>
      <c r="E360" s="3" t="n">
        <v>1</v>
      </c>
      <c r="F360" s="24" t="n">
        <v>-6.82333183</v>
      </c>
    </row>
    <row r="361" customFormat="false" ht="15" hidden="false" customHeight="false" outlineLevel="0" collapsed="false">
      <c r="A361" s="3" t="n">
        <v>360</v>
      </c>
      <c r="B361" s="3" t="n">
        <v>359</v>
      </c>
      <c r="C361" s="3" t="n">
        <v>7</v>
      </c>
      <c r="D361" s="3" t="n">
        <v>2</v>
      </c>
      <c r="E361" s="3" t="n">
        <v>2</v>
      </c>
      <c r="F361" s="24" t="n">
        <v>-10.3880491</v>
      </c>
    </row>
    <row r="362" customFormat="false" ht="15" hidden="false" customHeight="false" outlineLevel="0" collapsed="false">
      <c r="A362" s="3" t="n">
        <v>361</v>
      </c>
      <c r="B362" s="3" t="n">
        <v>360</v>
      </c>
      <c r="C362" s="3" t="n">
        <v>7</v>
      </c>
      <c r="D362" s="3" t="n">
        <v>2</v>
      </c>
      <c r="E362" s="3" t="n">
        <v>3</v>
      </c>
      <c r="F362" s="24" t="n">
        <v>-10.3132324</v>
      </c>
    </row>
    <row r="363" customFormat="false" ht="15" hidden="false" customHeight="false" outlineLevel="0" collapsed="false">
      <c r="A363" s="3" t="n">
        <v>362</v>
      </c>
      <c r="B363" s="3" t="n">
        <v>361</v>
      </c>
      <c r="C363" s="3" t="n">
        <v>7</v>
      </c>
      <c r="D363" s="3" t="n">
        <v>2</v>
      </c>
      <c r="E363" s="3" t="n">
        <v>4</v>
      </c>
      <c r="F363" s="24" t="n">
        <v>-8.22935295</v>
      </c>
    </row>
    <row r="364" customFormat="false" ht="15" hidden="false" customHeight="false" outlineLevel="0" collapsed="false">
      <c r="A364" s="3" t="n">
        <v>363</v>
      </c>
      <c r="B364" s="3" t="n">
        <v>362</v>
      </c>
      <c r="C364" s="3" t="n">
        <v>7</v>
      </c>
      <c r="D364" s="3" t="n">
        <v>2</v>
      </c>
      <c r="E364" s="3" t="n">
        <v>5</v>
      </c>
      <c r="F364" s="24" t="n">
        <v>-5.76899004</v>
      </c>
    </row>
    <row r="365" customFormat="false" ht="15" hidden="false" customHeight="false" outlineLevel="0" collapsed="false">
      <c r="A365" s="3" t="n">
        <v>364</v>
      </c>
      <c r="B365" s="3" t="n">
        <v>363</v>
      </c>
      <c r="C365" s="3" t="n">
        <v>7</v>
      </c>
      <c r="D365" s="3" t="n">
        <v>2</v>
      </c>
      <c r="E365" s="3" t="n">
        <v>6</v>
      </c>
      <c r="F365" s="24" t="n">
        <v>-2.71332741</v>
      </c>
    </row>
    <row r="366" customFormat="false" ht="15" hidden="false" customHeight="false" outlineLevel="0" collapsed="false">
      <c r="A366" s="3" t="n">
        <v>365</v>
      </c>
      <c r="B366" s="3" t="n">
        <v>364</v>
      </c>
      <c r="C366" s="3" t="n">
        <v>7</v>
      </c>
      <c r="D366" s="3" t="n">
        <v>3</v>
      </c>
      <c r="E366" s="3" t="n">
        <v>0</v>
      </c>
      <c r="F366" s="24" t="n">
        <v>-2.51002502</v>
      </c>
    </row>
    <row r="367" customFormat="false" ht="15" hidden="false" customHeight="false" outlineLevel="0" collapsed="false">
      <c r="A367" s="3" t="n">
        <v>366</v>
      </c>
      <c r="B367" s="3" t="n">
        <v>365</v>
      </c>
      <c r="C367" s="3" t="n">
        <v>7</v>
      </c>
      <c r="D367" s="3" t="n">
        <v>3</v>
      </c>
      <c r="E367" s="3" t="n">
        <v>1</v>
      </c>
      <c r="F367" s="24" t="n">
        <v>-5.83962631</v>
      </c>
    </row>
    <row r="368" customFormat="false" ht="15" hidden="false" customHeight="false" outlineLevel="0" collapsed="false">
      <c r="A368" s="3" t="n">
        <v>367</v>
      </c>
      <c r="B368" s="3" t="n">
        <v>366</v>
      </c>
      <c r="C368" s="3" t="n">
        <v>7</v>
      </c>
      <c r="D368" s="3" t="n">
        <v>3</v>
      </c>
      <c r="E368" s="3" t="n">
        <v>2</v>
      </c>
      <c r="F368" s="24" t="n">
        <v>-8.56483746</v>
      </c>
    </row>
    <row r="369" customFormat="false" ht="15" hidden="false" customHeight="false" outlineLevel="0" collapsed="false">
      <c r="A369" s="3" t="n">
        <v>368</v>
      </c>
      <c r="B369" s="3" t="n">
        <v>367</v>
      </c>
      <c r="C369" s="3" t="n">
        <v>7</v>
      </c>
      <c r="D369" s="3" t="n">
        <v>3</v>
      </c>
      <c r="E369" s="3" t="n">
        <v>3</v>
      </c>
      <c r="F369" s="24" t="n">
        <v>-8.57621002</v>
      </c>
    </row>
    <row r="370" customFormat="false" ht="15" hidden="false" customHeight="false" outlineLevel="0" collapsed="false">
      <c r="A370" s="3" t="n">
        <v>369</v>
      </c>
      <c r="B370" s="3" t="n">
        <v>368</v>
      </c>
      <c r="C370" s="3" t="n">
        <v>7</v>
      </c>
      <c r="D370" s="3" t="n">
        <v>3</v>
      </c>
      <c r="E370" s="3" t="n">
        <v>4</v>
      </c>
      <c r="F370" s="24" t="n">
        <v>-7.43990564</v>
      </c>
    </row>
    <row r="371" customFormat="false" ht="15" hidden="false" customHeight="false" outlineLevel="0" collapsed="false">
      <c r="A371" s="3" t="n">
        <v>370</v>
      </c>
      <c r="B371" s="3" t="n">
        <v>369</v>
      </c>
      <c r="C371" s="3" t="n">
        <v>7</v>
      </c>
      <c r="D371" s="3" t="n">
        <v>3</v>
      </c>
      <c r="E371" s="3" t="n">
        <v>5</v>
      </c>
      <c r="F371" s="24" t="n">
        <v>-5.4379015</v>
      </c>
    </row>
    <row r="372" customFormat="false" ht="15" hidden="false" customHeight="false" outlineLevel="0" collapsed="false">
      <c r="A372" s="3" t="n">
        <v>371</v>
      </c>
      <c r="B372" s="3" t="n">
        <v>370</v>
      </c>
      <c r="C372" s="3" t="n">
        <v>7</v>
      </c>
      <c r="D372" s="3" t="n">
        <v>3</v>
      </c>
      <c r="E372" s="3" t="n">
        <v>6</v>
      </c>
      <c r="F372" s="24" t="n">
        <v>-2.91851258</v>
      </c>
    </row>
    <row r="373" customFormat="false" ht="15" hidden="false" customHeight="false" outlineLevel="0" collapsed="false">
      <c r="A373" s="3" t="n">
        <v>372</v>
      </c>
      <c r="B373" s="3" t="n">
        <v>371</v>
      </c>
      <c r="C373" s="3" t="n">
        <v>7</v>
      </c>
      <c r="D373" s="3" t="n">
        <v>4</v>
      </c>
      <c r="E373" s="3" t="n">
        <v>0</v>
      </c>
      <c r="F373" s="24" t="n">
        <v>-0.723871469</v>
      </c>
    </row>
    <row r="374" customFormat="false" ht="15" hidden="false" customHeight="false" outlineLevel="0" collapsed="false">
      <c r="A374" s="3" t="n">
        <v>373</v>
      </c>
      <c r="B374" s="3" t="n">
        <v>372</v>
      </c>
      <c r="C374" s="3" t="n">
        <v>7</v>
      </c>
      <c r="D374" s="3" t="n">
        <v>4</v>
      </c>
      <c r="E374" s="3" t="n">
        <v>1</v>
      </c>
      <c r="F374" s="24" t="n">
        <v>-1.71038818</v>
      </c>
    </row>
    <row r="375" customFormat="false" ht="15" hidden="false" customHeight="false" outlineLevel="0" collapsed="false">
      <c r="A375" s="3" t="n">
        <v>374</v>
      </c>
      <c r="B375" s="3" t="n">
        <v>373</v>
      </c>
      <c r="C375" s="3" t="n">
        <v>7</v>
      </c>
      <c r="D375" s="3" t="n">
        <v>4</v>
      </c>
      <c r="E375" s="3" t="n">
        <v>2</v>
      </c>
      <c r="F375" s="24" t="n">
        <v>-3.60533309</v>
      </c>
    </row>
    <row r="376" customFormat="false" ht="15" hidden="false" customHeight="false" outlineLevel="0" collapsed="false">
      <c r="A376" s="3" t="n">
        <v>375</v>
      </c>
      <c r="B376" s="3" t="n">
        <v>374</v>
      </c>
      <c r="C376" s="3" t="n">
        <v>7</v>
      </c>
      <c r="D376" s="3" t="n">
        <v>4</v>
      </c>
      <c r="E376" s="3" t="n">
        <v>3</v>
      </c>
      <c r="F376" s="24" t="n">
        <v>-4.58536816</v>
      </c>
    </row>
    <row r="377" customFormat="false" ht="15" hidden="false" customHeight="false" outlineLevel="0" collapsed="false">
      <c r="A377" s="3" t="n">
        <v>376</v>
      </c>
      <c r="B377" s="3" t="n">
        <v>375</v>
      </c>
      <c r="C377" s="3" t="n">
        <v>7</v>
      </c>
      <c r="D377" s="3" t="n">
        <v>4</v>
      </c>
      <c r="E377" s="3" t="n">
        <v>4</v>
      </c>
      <c r="F377" s="24" t="n">
        <v>-4.08085537</v>
      </c>
    </row>
    <row r="378" customFormat="false" ht="15" hidden="false" customHeight="false" outlineLevel="0" collapsed="false">
      <c r="A378" s="3" t="n">
        <v>377</v>
      </c>
      <c r="B378" s="3" t="n">
        <v>376</v>
      </c>
      <c r="C378" s="3" t="n">
        <v>7</v>
      </c>
      <c r="D378" s="3" t="n">
        <v>4</v>
      </c>
      <c r="E378" s="3" t="n">
        <v>5</v>
      </c>
      <c r="F378" s="24" t="n">
        <v>-3.85372496</v>
      </c>
    </row>
    <row r="379" customFormat="false" ht="15" hidden="false" customHeight="false" outlineLevel="0" collapsed="false">
      <c r="A379" s="3" t="n">
        <v>378</v>
      </c>
      <c r="B379" s="3" t="n">
        <v>377</v>
      </c>
      <c r="C379" s="3" t="n">
        <v>7</v>
      </c>
      <c r="D379" s="3" t="n">
        <v>4</v>
      </c>
      <c r="E379" s="3" t="n">
        <v>6</v>
      </c>
      <c r="F379" s="24" t="n">
        <v>-1.32152605</v>
      </c>
    </row>
    <row r="380" customFormat="false" ht="15" hidden="false" customHeight="false" outlineLevel="0" collapsed="false">
      <c r="A380" s="3" t="n">
        <v>379</v>
      </c>
      <c r="B380" s="3" t="n">
        <v>378</v>
      </c>
      <c r="C380" s="3" t="n">
        <v>7</v>
      </c>
      <c r="D380" s="3" t="n">
        <v>5</v>
      </c>
      <c r="E380" s="3" t="n">
        <v>0</v>
      </c>
      <c r="F380" s="24" t="n">
        <v>-0.837903142</v>
      </c>
    </row>
    <row r="381" customFormat="false" ht="15" hidden="false" customHeight="false" outlineLevel="0" collapsed="false">
      <c r="A381" s="3" t="n">
        <v>380</v>
      </c>
      <c r="B381" s="3" t="n">
        <v>379</v>
      </c>
      <c r="C381" s="3" t="n">
        <v>7</v>
      </c>
      <c r="D381" s="3" t="n">
        <v>5</v>
      </c>
      <c r="E381" s="3" t="n">
        <v>1</v>
      </c>
      <c r="F381" s="24" t="n">
        <v>-3.24746084</v>
      </c>
    </row>
    <row r="382" customFormat="false" ht="15" hidden="false" customHeight="false" outlineLevel="0" collapsed="false">
      <c r="A382" s="3" t="n">
        <v>381</v>
      </c>
      <c r="B382" s="3" t="n">
        <v>380</v>
      </c>
      <c r="C382" s="3" t="n">
        <v>7</v>
      </c>
      <c r="D382" s="3" t="n">
        <v>5</v>
      </c>
      <c r="E382" s="3" t="n">
        <v>2</v>
      </c>
      <c r="F382" s="24" t="n">
        <v>-5.36832523</v>
      </c>
    </row>
    <row r="383" customFormat="false" ht="15" hidden="false" customHeight="false" outlineLevel="0" collapsed="false">
      <c r="A383" s="3" t="n">
        <v>382</v>
      </c>
      <c r="B383" s="3" t="n">
        <v>381</v>
      </c>
      <c r="C383" s="3" t="n">
        <v>7</v>
      </c>
      <c r="D383" s="3" t="n">
        <v>5</v>
      </c>
      <c r="E383" s="3" t="n">
        <v>3</v>
      </c>
      <c r="F383" s="24" t="n">
        <v>-5.30155849</v>
      </c>
    </row>
    <row r="384" customFormat="false" ht="15" hidden="false" customHeight="false" outlineLevel="0" collapsed="false">
      <c r="A384" s="3" t="n">
        <v>383</v>
      </c>
      <c r="B384" s="3" t="n">
        <v>382</v>
      </c>
      <c r="C384" s="3" t="n">
        <v>7</v>
      </c>
      <c r="D384" s="3" t="n">
        <v>5</v>
      </c>
      <c r="E384" s="3" t="n">
        <v>4</v>
      </c>
      <c r="F384" s="24" t="n">
        <v>-4.51978683</v>
      </c>
    </row>
    <row r="385" customFormat="false" ht="15" hidden="false" customHeight="false" outlineLevel="0" collapsed="false">
      <c r="A385" s="3" t="n">
        <v>384</v>
      </c>
      <c r="B385" s="3" t="n">
        <v>383</v>
      </c>
      <c r="C385" s="3" t="n">
        <v>7</v>
      </c>
      <c r="D385" s="3" t="n">
        <v>5</v>
      </c>
      <c r="E385" s="3" t="n">
        <v>5</v>
      </c>
      <c r="F385" s="24" t="n">
        <v>-2.91315031</v>
      </c>
    </row>
    <row r="386" customFormat="false" ht="15" hidden="false" customHeight="false" outlineLevel="0" collapsed="false">
      <c r="A386" s="3" t="n">
        <v>385</v>
      </c>
      <c r="B386" s="3" t="n">
        <v>384</v>
      </c>
      <c r="C386" s="3" t="n">
        <v>7</v>
      </c>
      <c r="D386" s="3" t="n">
        <v>5</v>
      </c>
      <c r="E386" s="3" t="n">
        <v>6</v>
      </c>
      <c r="F386" s="24" t="n">
        <v>-0.711017609</v>
      </c>
    </row>
    <row r="387" customFormat="false" ht="15" hidden="false" customHeight="false" outlineLevel="0" collapsed="false">
      <c r="A387" s="3" t="n">
        <v>386</v>
      </c>
      <c r="B387" s="3" t="n">
        <v>385</v>
      </c>
      <c r="C387" s="3" t="n">
        <v>7</v>
      </c>
      <c r="D387" s="3" t="n">
        <v>6</v>
      </c>
      <c r="E387" s="3" t="n">
        <v>0</v>
      </c>
      <c r="F387" s="24" t="n">
        <v>-0.602181077</v>
      </c>
    </row>
    <row r="388" customFormat="false" ht="15" hidden="false" customHeight="false" outlineLevel="0" collapsed="false">
      <c r="A388" s="3" t="n">
        <v>387</v>
      </c>
      <c r="B388" s="3" t="n">
        <v>386</v>
      </c>
      <c r="C388" s="3" t="n">
        <v>7</v>
      </c>
      <c r="D388" s="3" t="n">
        <v>6</v>
      </c>
      <c r="E388" s="3" t="n">
        <v>1</v>
      </c>
      <c r="F388" s="24" t="n">
        <v>-3.65824461</v>
      </c>
    </row>
    <row r="389" customFormat="false" ht="15" hidden="false" customHeight="false" outlineLevel="0" collapsed="false">
      <c r="A389" s="3" t="n">
        <v>388</v>
      </c>
      <c r="B389" s="3" t="n">
        <v>387</v>
      </c>
      <c r="C389" s="3" t="n">
        <v>7</v>
      </c>
      <c r="D389" s="3" t="n">
        <v>6</v>
      </c>
      <c r="E389" s="3" t="n">
        <v>2</v>
      </c>
      <c r="F389" s="24" t="n">
        <v>-5.85103893</v>
      </c>
    </row>
    <row r="390" customFormat="false" ht="15" hidden="false" customHeight="false" outlineLevel="0" collapsed="false">
      <c r="A390" s="3" t="n">
        <v>389</v>
      </c>
      <c r="B390" s="3" t="n">
        <v>388</v>
      </c>
      <c r="C390" s="3" t="n">
        <v>7</v>
      </c>
      <c r="D390" s="3" t="n">
        <v>6</v>
      </c>
      <c r="E390" s="3" t="n">
        <v>3</v>
      </c>
      <c r="F390" s="24" t="n">
        <v>-4.30618906</v>
      </c>
    </row>
    <row r="391" customFormat="false" ht="15" hidden="false" customHeight="false" outlineLevel="0" collapsed="false">
      <c r="A391" s="3" t="n">
        <v>390</v>
      </c>
      <c r="B391" s="3" t="n">
        <v>389</v>
      </c>
      <c r="C391" s="3" t="n">
        <v>7</v>
      </c>
      <c r="D391" s="3" t="n">
        <v>6</v>
      </c>
      <c r="E391" s="3" t="n">
        <v>4</v>
      </c>
      <c r="F391" s="24" t="n">
        <v>-3.90667367</v>
      </c>
    </row>
    <row r="392" customFormat="false" ht="15" hidden="false" customHeight="false" outlineLevel="0" collapsed="false">
      <c r="A392" s="3" t="n">
        <v>391</v>
      </c>
      <c r="B392" s="3" t="n">
        <v>390</v>
      </c>
      <c r="C392" s="3" t="n">
        <v>7</v>
      </c>
      <c r="D392" s="3" t="n">
        <v>6</v>
      </c>
      <c r="E392" s="3" t="n">
        <v>5</v>
      </c>
      <c r="F392" s="24" t="n">
        <v>-1.22342181</v>
      </c>
    </row>
    <row r="393" customFormat="false" ht="15" hidden="false" customHeight="false" outlineLevel="0" collapsed="false">
      <c r="A393" s="3" t="n">
        <v>392</v>
      </c>
      <c r="B393" s="3" t="n">
        <v>391</v>
      </c>
      <c r="C393" s="3" t="n">
        <v>7</v>
      </c>
      <c r="D393" s="3" t="n">
        <v>6</v>
      </c>
      <c r="E393" s="3" t="n">
        <v>6</v>
      </c>
      <c r="F393" s="24" t="n">
        <v>-0.397741854</v>
      </c>
    </row>
    <row r="394" customFormat="false" ht="15" hidden="false" customHeight="false" outlineLevel="0" collapsed="false">
      <c r="A394" s="3" t="n">
        <v>393</v>
      </c>
      <c r="B394" s="3" t="n">
        <v>392</v>
      </c>
      <c r="C394" s="3" t="n">
        <v>8</v>
      </c>
      <c r="D394" s="3" t="n">
        <v>0</v>
      </c>
      <c r="E394" s="3" t="n">
        <v>0</v>
      </c>
      <c r="F394" s="24" t="n">
        <v>3.27199244</v>
      </c>
    </row>
    <row r="395" customFormat="false" ht="15" hidden="false" customHeight="false" outlineLevel="0" collapsed="false">
      <c r="A395" s="3" t="n">
        <v>394</v>
      </c>
      <c r="B395" s="3" t="n">
        <v>393</v>
      </c>
      <c r="C395" s="3" t="n">
        <v>8</v>
      </c>
      <c r="D395" s="3" t="n">
        <v>0</v>
      </c>
      <c r="E395" s="3" t="n">
        <v>1</v>
      </c>
      <c r="F395" s="24" t="n">
        <v>5.66075039</v>
      </c>
    </row>
    <row r="396" customFormat="false" ht="15" hidden="false" customHeight="false" outlineLevel="0" collapsed="false">
      <c r="A396" s="3" t="n">
        <v>395</v>
      </c>
      <c r="B396" s="3" t="n">
        <v>394</v>
      </c>
      <c r="C396" s="3" t="n">
        <v>8</v>
      </c>
      <c r="D396" s="3" t="n">
        <v>0</v>
      </c>
      <c r="E396" s="3" t="n">
        <v>2</v>
      </c>
      <c r="F396" s="24" t="n">
        <v>4.04872036</v>
      </c>
    </row>
    <row r="397" customFormat="false" ht="15" hidden="false" customHeight="false" outlineLevel="0" collapsed="false">
      <c r="A397" s="3" t="n">
        <v>396</v>
      </c>
      <c r="B397" s="3" t="n">
        <v>395</v>
      </c>
      <c r="C397" s="3" t="n">
        <v>8</v>
      </c>
      <c r="D397" s="3" t="n">
        <v>0</v>
      </c>
      <c r="E397" s="3" t="n">
        <v>3</v>
      </c>
      <c r="F397" s="24" t="n">
        <v>2.7596786</v>
      </c>
    </row>
    <row r="398" customFormat="false" ht="15" hidden="false" customHeight="false" outlineLevel="0" collapsed="false">
      <c r="A398" s="3" t="n">
        <v>397</v>
      </c>
      <c r="B398" s="3" t="n">
        <v>396</v>
      </c>
      <c r="C398" s="3" t="n">
        <v>8</v>
      </c>
      <c r="D398" s="3" t="n">
        <v>0</v>
      </c>
      <c r="E398" s="3" t="n">
        <v>4</v>
      </c>
      <c r="F398" s="24" t="n">
        <v>0.830583453</v>
      </c>
    </row>
    <row r="399" customFormat="false" ht="15" hidden="false" customHeight="false" outlineLevel="0" collapsed="false">
      <c r="A399" s="3" t="n">
        <v>398</v>
      </c>
      <c r="B399" s="3" t="n">
        <v>397</v>
      </c>
      <c r="C399" s="3" t="n">
        <v>8</v>
      </c>
      <c r="D399" s="3" t="n">
        <v>0</v>
      </c>
      <c r="E399" s="3" t="n">
        <v>5</v>
      </c>
      <c r="F399" s="24" t="n">
        <v>-1.78071582</v>
      </c>
    </row>
    <row r="400" customFormat="false" ht="15" hidden="false" customHeight="false" outlineLevel="0" collapsed="false">
      <c r="A400" s="3" t="n">
        <v>399</v>
      </c>
      <c r="B400" s="3" t="n">
        <v>398</v>
      </c>
      <c r="C400" s="3" t="n">
        <v>8</v>
      </c>
      <c r="D400" s="3" t="n">
        <v>0</v>
      </c>
      <c r="E400" s="3" t="n">
        <v>6</v>
      </c>
      <c r="F400" s="24" t="n">
        <v>-1.34279788</v>
      </c>
    </row>
    <row r="401" customFormat="false" ht="15" hidden="false" customHeight="false" outlineLevel="0" collapsed="false">
      <c r="A401" s="3" t="n">
        <v>400</v>
      </c>
      <c r="B401" s="3" t="n">
        <v>399</v>
      </c>
      <c r="C401" s="3" t="n">
        <v>8</v>
      </c>
      <c r="D401" s="3" t="n">
        <v>1</v>
      </c>
      <c r="E401" s="3" t="n">
        <v>0</v>
      </c>
      <c r="F401" s="24" t="n">
        <v>1.04986179</v>
      </c>
    </row>
    <row r="402" customFormat="false" ht="15" hidden="false" customHeight="false" outlineLevel="0" collapsed="false">
      <c r="A402" s="3" t="n">
        <v>401</v>
      </c>
      <c r="B402" s="3" t="n">
        <v>400</v>
      </c>
      <c r="C402" s="3" t="n">
        <v>8</v>
      </c>
      <c r="D402" s="3" t="n">
        <v>1</v>
      </c>
      <c r="E402" s="3" t="n">
        <v>1</v>
      </c>
      <c r="F402" s="24" t="n">
        <v>9.28545761</v>
      </c>
    </row>
    <row r="403" customFormat="false" ht="15" hidden="false" customHeight="false" outlineLevel="0" collapsed="false">
      <c r="A403" s="3" t="n">
        <v>402</v>
      </c>
      <c r="B403" s="3" t="n">
        <v>401</v>
      </c>
      <c r="C403" s="3" t="n">
        <v>8</v>
      </c>
      <c r="D403" s="3" t="n">
        <v>1</v>
      </c>
      <c r="E403" s="3" t="n">
        <v>2</v>
      </c>
      <c r="F403" s="24" t="n">
        <v>11.260994</v>
      </c>
    </row>
    <row r="404" customFormat="false" ht="15" hidden="false" customHeight="false" outlineLevel="0" collapsed="false">
      <c r="A404" s="3" t="n">
        <v>403</v>
      </c>
      <c r="B404" s="3" t="n">
        <v>402</v>
      </c>
      <c r="C404" s="3" t="n">
        <v>8</v>
      </c>
      <c r="D404" s="3" t="n">
        <v>1</v>
      </c>
      <c r="E404" s="3" t="n">
        <v>3</v>
      </c>
      <c r="F404" s="24" t="n">
        <v>17.1801796</v>
      </c>
    </row>
    <row r="405" customFormat="false" ht="15" hidden="false" customHeight="false" outlineLevel="0" collapsed="false">
      <c r="A405" s="3" t="n">
        <v>404</v>
      </c>
      <c r="B405" s="3" t="n">
        <v>403</v>
      </c>
      <c r="C405" s="3" t="n">
        <v>8</v>
      </c>
      <c r="D405" s="3" t="n">
        <v>1</v>
      </c>
      <c r="E405" s="3" t="n">
        <v>4</v>
      </c>
      <c r="F405" s="24" t="n">
        <v>7.3058629</v>
      </c>
    </row>
    <row r="406" customFormat="false" ht="15" hidden="false" customHeight="false" outlineLevel="0" collapsed="false">
      <c r="A406" s="3" t="n">
        <v>405</v>
      </c>
      <c r="B406" s="3" t="n">
        <v>404</v>
      </c>
      <c r="C406" s="3" t="n">
        <v>8</v>
      </c>
      <c r="D406" s="3" t="n">
        <v>1</v>
      </c>
      <c r="E406" s="3" t="n">
        <v>5</v>
      </c>
      <c r="F406" s="24" t="n">
        <v>2.92158055</v>
      </c>
    </row>
    <row r="407" customFormat="false" ht="15" hidden="false" customHeight="false" outlineLevel="0" collapsed="false">
      <c r="A407" s="3" t="n">
        <v>406</v>
      </c>
      <c r="B407" s="3" t="n">
        <v>405</v>
      </c>
      <c r="C407" s="3" t="n">
        <v>8</v>
      </c>
      <c r="D407" s="3" t="n">
        <v>1</v>
      </c>
      <c r="E407" s="3" t="n">
        <v>6</v>
      </c>
      <c r="F407" s="24" t="n">
        <v>3.18861318</v>
      </c>
    </row>
    <row r="408" customFormat="false" ht="15" hidden="false" customHeight="false" outlineLevel="0" collapsed="false">
      <c r="A408" s="3" t="n">
        <v>407</v>
      </c>
      <c r="B408" s="3" t="n">
        <v>406</v>
      </c>
      <c r="C408" s="3" t="n">
        <v>8</v>
      </c>
      <c r="D408" s="3" t="n">
        <v>2</v>
      </c>
      <c r="E408" s="3" t="n">
        <v>0</v>
      </c>
      <c r="F408" s="24" t="n">
        <v>0.975708127</v>
      </c>
    </row>
    <row r="409" customFormat="false" ht="15" hidden="false" customHeight="false" outlineLevel="0" collapsed="false">
      <c r="A409" s="3" t="n">
        <v>408</v>
      </c>
      <c r="B409" s="3" t="n">
        <v>407</v>
      </c>
      <c r="C409" s="3" t="n">
        <v>8</v>
      </c>
      <c r="D409" s="3" t="n">
        <v>2</v>
      </c>
      <c r="E409" s="3" t="n">
        <v>1</v>
      </c>
      <c r="F409" s="24" t="n">
        <v>0.0667926669</v>
      </c>
    </row>
    <row r="410" customFormat="false" ht="15" hidden="false" customHeight="false" outlineLevel="0" collapsed="false">
      <c r="A410" s="3" t="n">
        <v>409</v>
      </c>
      <c r="B410" s="3" t="n">
        <v>408</v>
      </c>
      <c r="C410" s="3" t="n">
        <v>8</v>
      </c>
      <c r="D410" s="3" t="n">
        <v>2</v>
      </c>
      <c r="E410" s="3" t="n">
        <v>2</v>
      </c>
      <c r="F410" s="24" t="n">
        <v>-11.4886999</v>
      </c>
    </row>
    <row r="411" customFormat="false" ht="15" hidden="false" customHeight="false" outlineLevel="0" collapsed="false">
      <c r="A411" s="3" t="n">
        <v>410</v>
      </c>
      <c r="B411" s="3" t="n">
        <v>409</v>
      </c>
      <c r="C411" s="3" t="n">
        <v>8</v>
      </c>
      <c r="D411" s="3" t="n">
        <v>2</v>
      </c>
      <c r="E411" s="3" t="n">
        <v>3</v>
      </c>
      <c r="F411" s="24" t="n">
        <v>-8.51309013</v>
      </c>
    </row>
    <row r="412" customFormat="false" ht="15" hidden="false" customHeight="false" outlineLevel="0" collapsed="false">
      <c r="A412" s="3" t="n">
        <v>411</v>
      </c>
      <c r="B412" s="3" t="n">
        <v>410</v>
      </c>
      <c r="C412" s="3" t="n">
        <v>8</v>
      </c>
      <c r="D412" s="3" t="n">
        <v>2</v>
      </c>
      <c r="E412" s="3" t="n">
        <v>4</v>
      </c>
      <c r="F412" s="24" t="n">
        <v>-17.1738491</v>
      </c>
    </row>
    <row r="413" customFormat="false" ht="15" hidden="false" customHeight="false" outlineLevel="0" collapsed="false">
      <c r="A413" s="3" t="n">
        <v>412</v>
      </c>
      <c r="B413" s="3" t="n">
        <v>411</v>
      </c>
      <c r="C413" s="3" t="n">
        <v>8</v>
      </c>
      <c r="D413" s="3" t="n">
        <v>2</v>
      </c>
      <c r="E413" s="3" t="n">
        <v>5</v>
      </c>
      <c r="F413" s="24" t="n">
        <v>-18.218256</v>
      </c>
    </row>
    <row r="414" customFormat="false" ht="15" hidden="false" customHeight="false" outlineLevel="0" collapsed="false">
      <c r="A414" s="3" t="n">
        <v>413</v>
      </c>
      <c r="B414" s="3" t="n">
        <v>412</v>
      </c>
      <c r="C414" s="3" t="n">
        <v>8</v>
      </c>
      <c r="D414" s="3" t="n">
        <v>2</v>
      </c>
      <c r="E414" s="3" t="n">
        <v>6</v>
      </c>
      <c r="F414" s="24" t="n">
        <v>-0.869339824</v>
      </c>
    </row>
    <row r="415" customFormat="false" ht="15" hidden="false" customHeight="false" outlineLevel="0" collapsed="false">
      <c r="A415" s="3" t="n">
        <v>414</v>
      </c>
      <c r="B415" s="3" t="n">
        <v>413</v>
      </c>
      <c r="C415" s="3" t="n">
        <v>8</v>
      </c>
      <c r="D415" s="3" t="n">
        <v>3</v>
      </c>
      <c r="E415" s="3" t="n">
        <v>0</v>
      </c>
      <c r="F415" s="24" t="n">
        <v>3.17035651</v>
      </c>
    </row>
    <row r="416" customFormat="false" ht="15" hidden="false" customHeight="false" outlineLevel="0" collapsed="false">
      <c r="A416" s="3" t="n">
        <v>415</v>
      </c>
      <c r="B416" s="3" t="n">
        <v>414</v>
      </c>
      <c r="C416" s="3" t="n">
        <v>8</v>
      </c>
      <c r="D416" s="3" t="n">
        <v>3</v>
      </c>
      <c r="E416" s="3" t="n">
        <v>1</v>
      </c>
      <c r="F416" s="24" t="n">
        <v>4.37981462</v>
      </c>
    </row>
    <row r="417" customFormat="false" ht="15" hidden="false" customHeight="false" outlineLevel="0" collapsed="false">
      <c r="A417" s="3" t="n">
        <v>416</v>
      </c>
      <c r="B417" s="3" t="n">
        <v>415</v>
      </c>
      <c r="C417" s="3" t="n">
        <v>8</v>
      </c>
      <c r="D417" s="3" t="n">
        <v>3</v>
      </c>
      <c r="E417" s="3" t="n">
        <v>2</v>
      </c>
      <c r="F417" s="24" t="n">
        <v>5.26871824</v>
      </c>
    </row>
    <row r="418" customFormat="false" ht="15" hidden="false" customHeight="false" outlineLevel="0" collapsed="false">
      <c r="A418" s="3" t="n">
        <v>417</v>
      </c>
      <c r="B418" s="3" t="n">
        <v>416</v>
      </c>
      <c r="C418" s="3" t="n">
        <v>8</v>
      </c>
      <c r="D418" s="3" t="n">
        <v>3</v>
      </c>
      <c r="E418" s="3" t="n">
        <v>3</v>
      </c>
      <c r="F418" s="24" t="n">
        <v>-0.554370344</v>
      </c>
    </row>
    <row r="419" customFormat="false" ht="15" hidden="false" customHeight="false" outlineLevel="0" collapsed="false">
      <c r="A419" s="3" t="n">
        <v>418</v>
      </c>
      <c r="B419" s="3" t="n">
        <v>417</v>
      </c>
      <c r="C419" s="3" t="n">
        <v>8</v>
      </c>
      <c r="D419" s="3" t="n">
        <v>3</v>
      </c>
      <c r="E419" s="3" t="n">
        <v>4</v>
      </c>
      <c r="F419" s="24" t="n">
        <v>-17.4744167</v>
      </c>
    </row>
    <row r="420" customFormat="false" ht="15" hidden="false" customHeight="false" outlineLevel="0" collapsed="false">
      <c r="A420" s="3" t="n">
        <v>419</v>
      </c>
      <c r="B420" s="3" t="n">
        <v>418</v>
      </c>
      <c r="C420" s="3" t="n">
        <v>8</v>
      </c>
      <c r="D420" s="3" t="n">
        <v>3</v>
      </c>
      <c r="E420" s="3" t="n">
        <v>5</v>
      </c>
      <c r="F420" s="24" t="n">
        <v>-22.7416553</v>
      </c>
    </row>
    <row r="421" customFormat="false" ht="15" hidden="false" customHeight="false" outlineLevel="0" collapsed="false">
      <c r="A421" s="3" t="n">
        <v>420</v>
      </c>
      <c r="B421" s="3" t="n">
        <v>419</v>
      </c>
      <c r="C421" s="3" t="n">
        <v>8</v>
      </c>
      <c r="D421" s="3" t="n">
        <v>3</v>
      </c>
      <c r="E421" s="3" t="n">
        <v>6</v>
      </c>
      <c r="F421" s="24" t="n">
        <v>-8.57816982</v>
      </c>
    </row>
    <row r="422" customFormat="false" ht="15" hidden="false" customHeight="false" outlineLevel="0" collapsed="false">
      <c r="A422" s="3" t="n">
        <v>421</v>
      </c>
      <c r="B422" s="3" t="n">
        <v>420</v>
      </c>
      <c r="C422" s="3" t="n">
        <v>8</v>
      </c>
      <c r="D422" s="3" t="n">
        <v>4</v>
      </c>
      <c r="E422" s="3" t="n">
        <v>0</v>
      </c>
      <c r="F422" s="24" t="n">
        <v>0.0810413063</v>
      </c>
    </row>
    <row r="423" customFormat="false" ht="15" hidden="false" customHeight="false" outlineLevel="0" collapsed="false">
      <c r="A423" s="3" t="n">
        <v>422</v>
      </c>
      <c r="B423" s="3" t="n">
        <v>421</v>
      </c>
      <c r="C423" s="3" t="n">
        <v>8</v>
      </c>
      <c r="D423" s="3" t="n">
        <v>4</v>
      </c>
      <c r="E423" s="3" t="n">
        <v>1</v>
      </c>
      <c r="F423" s="24" t="n">
        <v>0.639342904</v>
      </c>
    </row>
    <row r="424" customFormat="false" ht="15" hidden="false" customHeight="false" outlineLevel="0" collapsed="false">
      <c r="A424" s="3" t="n">
        <v>423</v>
      </c>
      <c r="B424" s="3" t="n">
        <v>422</v>
      </c>
      <c r="C424" s="3" t="n">
        <v>8</v>
      </c>
      <c r="D424" s="3" t="n">
        <v>4</v>
      </c>
      <c r="E424" s="3" t="n">
        <v>2</v>
      </c>
      <c r="F424" s="24" t="n">
        <v>-0.543219924</v>
      </c>
    </row>
    <row r="425" customFormat="false" ht="15" hidden="false" customHeight="false" outlineLevel="0" collapsed="false">
      <c r="A425" s="3" t="n">
        <v>424</v>
      </c>
      <c r="B425" s="3" t="n">
        <v>423</v>
      </c>
      <c r="C425" s="3" t="n">
        <v>8</v>
      </c>
      <c r="D425" s="3" t="n">
        <v>4</v>
      </c>
      <c r="E425" s="3" t="n">
        <v>3</v>
      </c>
      <c r="F425" s="24" t="n">
        <v>-5.0687871</v>
      </c>
    </row>
    <row r="426" customFormat="false" ht="15" hidden="false" customHeight="false" outlineLevel="0" collapsed="false">
      <c r="A426" s="3" t="n">
        <v>425</v>
      </c>
      <c r="B426" s="3" t="n">
        <v>424</v>
      </c>
      <c r="C426" s="3" t="n">
        <v>8</v>
      </c>
      <c r="D426" s="3" t="n">
        <v>4</v>
      </c>
      <c r="E426" s="3" t="n">
        <v>4</v>
      </c>
      <c r="F426" s="24" t="n">
        <v>-12.3827133</v>
      </c>
    </row>
    <row r="427" customFormat="false" ht="15" hidden="false" customHeight="false" outlineLevel="0" collapsed="false">
      <c r="A427" s="3" t="n">
        <v>426</v>
      </c>
      <c r="B427" s="3" t="n">
        <v>425</v>
      </c>
      <c r="C427" s="3" t="n">
        <v>8</v>
      </c>
      <c r="D427" s="3" t="n">
        <v>4</v>
      </c>
      <c r="E427" s="3" t="n">
        <v>5</v>
      </c>
      <c r="F427" s="24" t="n">
        <v>-8.43026924</v>
      </c>
    </row>
    <row r="428" customFormat="false" ht="15" hidden="false" customHeight="false" outlineLevel="0" collapsed="false">
      <c r="A428" s="3" t="n">
        <v>427</v>
      </c>
      <c r="B428" s="3" t="n">
        <v>426</v>
      </c>
      <c r="C428" s="3" t="n">
        <v>8</v>
      </c>
      <c r="D428" s="3" t="n">
        <v>4</v>
      </c>
      <c r="E428" s="3" t="n">
        <v>6</v>
      </c>
      <c r="F428" s="24" t="n">
        <v>-1.67414343</v>
      </c>
    </row>
    <row r="429" customFormat="false" ht="15" hidden="false" customHeight="false" outlineLevel="0" collapsed="false">
      <c r="A429" s="3" t="n">
        <v>428</v>
      </c>
      <c r="B429" s="3" t="n">
        <v>427</v>
      </c>
      <c r="C429" s="3" t="n">
        <v>8</v>
      </c>
      <c r="D429" s="3" t="n">
        <v>5</v>
      </c>
      <c r="E429" s="3" t="n">
        <v>0</v>
      </c>
      <c r="F429" s="24" t="n">
        <v>-0.239563376</v>
      </c>
    </row>
    <row r="430" customFormat="false" ht="15" hidden="false" customHeight="false" outlineLevel="0" collapsed="false">
      <c r="A430" s="3" t="n">
        <v>429</v>
      </c>
      <c r="B430" s="3" t="n">
        <v>428</v>
      </c>
      <c r="C430" s="3" t="n">
        <v>8</v>
      </c>
      <c r="D430" s="3" t="n">
        <v>5</v>
      </c>
      <c r="E430" s="3" t="n">
        <v>1</v>
      </c>
      <c r="F430" s="24" t="n">
        <v>-0.667841434</v>
      </c>
    </row>
    <row r="431" customFormat="false" ht="15" hidden="false" customHeight="false" outlineLevel="0" collapsed="false">
      <c r="A431" s="3" t="n">
        <v>430</v>
      </c>
      <c r="B431" s="3" t="n">
        <v>429</v>
      </c>
      <c r="C431" s="3" t="n">
        <v>8</v>
      </c>
      <c r="D431" s="3" t="n">
        <v>5</v>
      </c>
      <c r="E431" s="3" t="n">
        <v>2</v>
      </c>
      <c r="F431" s="24" t="n">
        <v>-2.55687332</v>
      </c>
    </row>
    <row r="432" customFormat="false" ht="15" hidden="false" customHeight="false" outlineLevel="0" collapsed="false">
      <c r="A432" s="3" t="n">
        <v>431</v>
      </c>
      <c r="B432" s="3" t="n">
        <v>430</v>
      </c>
      <c r="C432" s="3" t="n">
        <v>8</v>
      </c>
      <c r="D432" s="3" t="n">
        <v>5</v>
      </c>
      <c r="E432" s="3" t="n">
        <v>3</v>
      </c>
      <c r="F432" s="24" t="n">
        <v>-12.6222687</v>
      </c>
    </row>
    <row r="433" customFormat="false" ht="15" hidden="false" customHeight="false" outlineLevel="0" collapsed="false">
      <c r="A433" s="3" t="n">
        <v>432</v>
      </c>
      <c r="B433" s="3" t="n">
        <v>431</v>
      </c>
      <c r="C433" s="3" t="n">
        <v>8</v>
      </c>
      <c r="D433" s="3" t="n">
        <v>5</v>
      </c>
      <c r="E433" s="3" t="n">
        <v>4</v>
      </c>
      <c r="F433" s="24" t="n">
        <v>-15.2732248</v>
      </c>
    </row>
    <row r="434" customFormat="false" ht="15" hidden="false" customHeight="false" outlineLevel="0" collapsed="false">
      <c r="A434" s="3" t="n">
        <v>433</v>
      </c>
      <c r="B434" s="3" t="n">
        <v>432</v>
      </c>
      <c r="C434" s="3" t="n">
        <v>8</v>
      </c>
      <c r="D434" s="3" t="n">
        <v>5</v>
      </c>
      <c r="E434" s="3" t="n">
        <v>5</v>
      </c>
      <c r="F434" s="24" t="n">
        <v>-4.06317043</v>
      </c>
    </row>
    <row r="435" customFormat="false" ht="15" hidden="false" customHeight="false" outlineLevel="0" collapsed="false">
      <c r="A435" s="3" t="n">
        <v>434</v>
      </c>
      <c r="B435" s="3" t="n">
        <v>433</v>
      </c>
      <c r="C435" s="3" t="n">
        <v>8</v>
      </c>
      <c r="D435" s="3" t="n">
        <v>5</v>
      </c>
      <c r="E435" s="3" t="n">
        <v>6</v>
      </c>
      <c r="F435" s="24" t="n">
        <v>-0.384132802</v>
      </c>
    </row>
    <row r="436" customFormat="false" ht="15" hidden="false" customHeight="false" outlineLevel="0" collapsed="false">
      <c r="A436" s="3" t="n">
        <v>435</v>
      </c>
      <c r="B436" s="3" t="n">
        <v>434</v>
      </c>
      <c r="C436" s="3" t="n">
        <v>8</v>
      </c>
      <c r="D436" s="3" t="n">
        <v>6</v>
      </c>
      <c r="E436" s="3" t="n">
        <v>0</v>
      </c>
      <c r="F436" s="24" t="n">
        <v>-0.158574507</v>
      </c>
    </row>
    <row r="437" customFormat="false" ht="15" hidden="false" customHeight="false" outlineLevel="0" collapsed="false">
      <c r="A437" s="3" t="n">
        <v>436</v>
      </c>
      <c r="B437" s="3" t="n">
        <v>435</v>
      </c>
      <c r="C437" s="3" t="n">
        <v>8</v>
      </c>
      <c r="D437" s="3" t="n">
        <v>6</v>
      </c>
      <c r="E437" s="3" t="n">
        <v>1</v>
      </c>
      <c r="F437" s="24" t="n">
        <v>-3.13025713</v>
      </c>
    </row>
    <row r="438" customFormat="false" ht="15" hidden="false" customHeight="false" outlineLevel="0" collapsed="false">
      <c r="A438" s="3" t="n">
        <v>437</v>
      </c>
      <c r="B438" s="3" t="n">
        <v>436</v>
      </c>
      <c r="C438" s="3" t="n">
        <v>8</v>
      </c>
      <c r="D438" s="3" t="n">
        <v>6</v>
      </c>
      <c r="E438" s="3" t="n">
        <v>2</v>
      </c>
      <c r="F438" s="24" t="n">
        <v>0.305463195</v>
      </c>
    </row>
    <row r="439" customFormat="false" ht="15" hidden="false" customHeight="false" outlineLevel="0" collapsed="false">
      <c r="A439" s="3" t="n">
        <v>438</v>
      </c>
      <c r="B439" s="3" t="n">
        <v>437</v>
      </c>
      <c r="C439" s="3" t="n">
        <v>8</v>
      </c>
      <c r="D439" s="3" t="n">
        <v>6</v>
      </c>
      <c r="E439" s="3" t="n">
        <v>3</v>
      </c>
      <c r="F439" s="24" t="n">
        <v>-11.2725992</v>
      </c>
    </row>
    <row r="440" customFormat="false" ht="15" hidden="false" customHeight="false" outlineLevel="0" collapsed="false">
      <c r="A440" s="3" t="n">
        <v>439</v>
      </c>
      <c r="B440" s="3" t="n">
        <v>438</v>
      </c>
      <c r="C440" s="3" t="n">
        <v>8</v>
      </c>
      <c r="D440" s="3" t="n">
        <v>6</v>
      </c>
      <c r="E440" s="3" t="n">
        <v>4</v>
      </c>
      <c r="F440" s="24" t="n">
        <v>-11.0116339</v>
      </c>
    </row>
    <row r="441" customFormat="false" ht="15" hidden="false" customHeight="false" outlineLevel="0" collapsed="false">
      <c r="A441" s="3" t="n">
        <v>440</v>
      </c>
      <c r="B441" s="3" t="n">
        <v>439</v>
      </c>
      <c r="C441" s="3" t="n">
        <v>8</v>
      </c>
      <c r="D441" s="3" t="n">
        <v>6</v>
      </c>
      <c r="E441" s="3" t="n">
        <v>5</v>
      </c>
      <c r="F441" s="24" t="n">
        <v>0.261776537</v>
      </c>
    </row>
    <row r="442" customFormat="false" ht="15" hidden="false" customHeight="false" outlineLevel="0" collapsed="false">
      <c r="A442" s="3" t="n">
        <v>441</v>
      </c>
      <c r="B442" s="3" t="n">
        <v>440</v>
      </c>
      <c r="C442" s="3" t="n">
        <v>8</v>
      </c>
      <c r="D442" s="3" t="n">
        <v>6</v>
      </c>
      <c r="E442" s="3" t="n">
        <v>6</v>
      </c>
      <c r="F442" s="24" t="n">
        <v>0.623975277</v>
      </c>
    </row>
    <row r="443" customFormat="false" ht="15" hidden="false" customHeight="false" outlineLevel="0" collapsed="false">
      <c r="A443" s="3" t="n">
        <v>442</v>
      </c>
      <c r="B443" s="3" t="n">
        <v>441</v>
      </c>
      <c r="C443" s="3" t="n">
        <v>9</v>
      </c>
      <c r="D443" s="3" t="n">
        <v>0</v>
      </c>
      <c r="E443" s="3" t="n">
        <v>0</v>
      </c>
      <c r="F443" s="24" t="n">
        <v>-0.153500319</v>
      </c>
    </row>
    <row r="444" customFormat="false" ht="15" hidden="false" customHeight="false" outlineLevel="0" collapsed="false">
      <c r="A444" s="3" t="n">
        <v>443</v>
      </c>
      <c r="B444" s="3" t="n">
        <v>442</v>
      </c>
      <c r="C444" s="3" t="n">
        <v>9</v>
      </c>
      <c r="D444" s="3" t="n">
        <v>0</v>
      </c>
      <c r="E444" s="3" t="n">
        <v>1</v>
      </c>
      <c r="F444" s="24" t="n">
        <v>0.28922382</v>
      </c>
    </row>
    <row r="445" customFormat="false" ht="15" hidden="false" customHeight="false" outlineLevel="0" collapsed="false">
      <c r="A445" s="3" t="n">
        <v>444</v>
      </c>
      <c r="B445" s="3" t="n">
        <v>443</v>
      </c>
      <c r="C445" s="3" t="n">
        <v>9</v>
      </c>
      <c r="D445" s="3" t="n">
        <v>0</v>
      </c>
      <c r="E445" s="3" t="n">
        <v>2</v>
      </c>
      <c r="F445" s="24" t="n">
        <v>1.59518862</v>
      </c>
    </row>
    <row r="446" customFormat="false" ht="15" hidden="false" customHeight="false" outlineLevel="0" collapsed="false">
      <c r="A446" s="3" t="n">
        <v>445</v>
      </c>
      <c r="B446" s="3" t="n">
        <v>444</v>
      </c>
      <c r="C446" s="3" t="n">
        <v>9</v>
      </c>
      <c r="D446" s="3" t="n">
        <v>0</v>
      </c>
      <c r="E446" s="3" t="n">
        <v>3</v>
      </c>
      <c r="F446" s="24" t="n">
        <v>0.749998927</v>
      </c>
    </row>
    <row r="447" customFormat="false" ht="15" hidden="false" customHeight="false" outlineLevel="0" collapsed="false">
      <c r="A447" s="3" t="n">
        <v>446</v>
      </c>
      <c r="B447" s="3" t="n">
        <v>445</v>
      </c>
      <c r="C447" s="3" t="n">
        <v>9</v>
      </c>
      <c r="D447" s="3" t="n">
        <v>0</v>
      </c>
      <c r="E447" s="3" t="n">
        <v>4</v>
      </c>
      <c r="F447" s="24" t="n">
        <v>1.75516462</v>
      </c>
    </row>
    <row r="448" customFormat="false" ht="15" hidden="false" customHeight="false" outlineLevel="0" collapsed="false">
      <c r="A448" s="3" t="n">
        <v>447</v>
      </c>
      <c r="B448" s="3" t="n">
        <v>446</v>
      </c>
      <c r="C448" s="3" t="n">
        <v>9</v>
      </c>
      <c r="D448" s="3" t="n">
        <v>0</v>
      </c>
      <c r="E448" s="3" t="n">
        <v>5</v>
      </c>
      <c r="F448" s="24" t="n">
        <v>3.04381371</v>
      </c>
    </row>
    <row r="449" customFormat="false" ht="15" hidden="false" customHeight="false" outlineLevel="0" collapsed="false">
      <c r="A449" s="3" t="n">
        <v>448</v>
      </c>
      <c r="B449" s="3" t="n">
        <v>447</v>
      </c>
      <c r="C449" s="3" t="n">
        <v>9</v>
      </c>
      <c r="D449" s="3" t="n">
        <v>0</v>
      </c>
      <c r="E449" s="3" t="n">
        <v>6</v>
      </c>
      <c r="F449" s="24" t="n">
        <v>0.00728425384</v>
      </c>
    </row>
    <row r="450" customFormat="false" ht="15" hidden="false" customHeight="false" outlineLevel="0" collapsed="false">
      <c r="A450" s="3" t="n">
        <v>449</v>
      </c>
      <c r="B450" s="3" t="n">
        <v>448</v>
      </c>
      <c r="C450" s="3" t="n">
        <v>9</v>
      </c>
      <c r="D450" s="3" t="n">
        <v>1</v>
      </c>
      <c r="E450" s="3" t="n">
        <v>0</v>
      </c>
      <c r="F450" s="24" t="n">
        <v>-5.73119211</v>
      </c>
    </row>
    <row r="451" customFormat="false" ht="15" hidden="false" customHeight="false" outlineLevel="0" collapsed="false">
      <c r="A451" s="3" t="n">
        <v>450</v>
      </c>
      <c r="B451" s="3" t="n">
        <v>449</v>
      </c>
      <c r="C451" s="3" t="n">
        <v>9</v>
      </c>
      <c r="D451" s="3" t="n">
        <v>1</v>
      </c>
      <c r="E451" s="3" t="n">
        <v>1</v>
      </c>
      <c r="F451" s="24" t="n">
        <v>-4.65097857</v>
      </c>
    </row>
    <row r="452" customFormat="false" ht="15" hidden="false" customHeight="false" outlineLevel="0" collapsed="false">
      <c r="A452" s="3" t="n">
        <v>451</v>
      </c>
      <c r="B452" s="3" t="n">
        <v>450</v>
      </c>
      <c r="C452" s="3" t="n">
        <v>9</v>
      </c>
      <c r="D452" s="3" t="n">
        <v>1</v>
      </c>
      <c r="E452" s="3" t="n">
        <v>2</v>
      </c>
      <c r="F452" s="24" t="n">
        <v>-2.48146963</v>
      </c>
    </row>
    <row r="453" customFormat="false" ht="15" hidden="false" customHeight="false" outlineLevel="0" collapsed="false">
      <c r="A453" s="3" t="n">
        <v>452</v>
      </c>
      <c r="B453" s="3" t="n">
        <v>451</v>
      </c>
      <c r="C453" s="3" t="n">
        <v>9</v>
      </c>
      <c r="D453" s="3" t="n">
        <v>1</v>
      </c>
      <c r="E453" s="3" t="n">
        <v>3</v>
      </c>
      <c r="F453" s="24" t="n">
        <v>-3.95741701</v>
      </c>
    </row>
    <row r="454" customFormat="false" ht="15" hidden="false" customHeight="false" outlineLevel="0" collapsed="false">
      <c r="A454" s="3" t="n">
        <v>453</v>
      </c>
      <c r="B454" s="3" t="n">
        <v>452</v>
      </c>
      <c r="C454" s="3" t="n">
        <v>9</v>
      </c>
      <c r="D454" s="3" t="n">
        <v>1</v>
      </c>
      <c r="E454" s="3" t="n">
        <v>4</v>
      </c>
      <c r="F454" s="24" t="n">
        <v>-1.66587472</v>
      </c>
    </row>
    <row r="455" customFormat="false" ht="15" hidden="false" customHeight="false" outlineLevel="0" collapsed="false">
      <c r="A455" s="3" t="n">
        <v>454</v>
      </c>
      <c r="B455" s="3" t="n">
        <v>453</v>
      </c>
      <c r="C455" s="3" t="n">
        <v>9</v>
      </c>
      <c r="D455" s="3" t="n">
        <v>1</v>
      </c>
      <c r="E455" s="3" t="n">
        <v>5</v>
      </c>
      <c r="F455" s="24" t="n">
        <v>1.01080334</v>
      </c>
    </row>
    <row r="456" customFormat="false" ht="15" hidden="false" customHeight="false" outlineLevel="0" collapsed="false">
      <c r="A456" s="3" t="n">
        <v>455</v>
      </c>
      <c r="B456" s="3" t="n">
        <v>454</v>
      </c>
      <c r="C456" s="3" t="n">
        <v>9</v>
      </c>
      <c r="D456" s="3" t="n">
        <v>1</v>
      </c>
      <c r="E456" s="3" t="n">
        <v>6</v>
      </c>
      <c r="F456" s="24" t="n">
        <v>-0.134165883</v>
      </c>
    </row>
    <row r="457" customFormat="false" ht="15" hidden="false" customHeight="false" outlineLevel="0" collapsed="false">
      <c r="A457" s="3" t="n">
        <v>456</v>
      </c>
      <c r="B457" s="3" t="n">
        <v>455</v>
      </c>
      <c r="C457" s="3" t="n">
        <v>9</v>
      </c>
      <c r="D457" s="3" t="n">
        <v>2</v>
      </c>
      <c r="E457" s="3" t="n">
        <v>0</v>
      </c>
      <c r="F457" s="24" t="n">
        <v>-4.58268833</v>
      </c>
    </row>
    <row r="458" customFormat="false" ht="15" hidden="false" customHeight="false" outlineLevel="0" collapsed="false">
      <c r="A458" s="3" t="n">
        <v>457</v>
      </c>
      <c r="B458" s="3" t="n">
        <v>456</v>
      </c>
      <c r="C458" s="3" t="n">
        <v>9</v>
      </c>
      <c r="D458" s="3" t="n">
        <v>2</v>
      </c>
      <c r="E458" s="3" t="n">
        <v>1</v>
      </c>
      <c r="F458" s="24" t="n">
        <v>-12.4407549</v>
      </c>
    </row>
    <row r="459" customFormat="false" ht="15" hidden="false" customHeight="false" outlineLevel="0" collapsed="false">
      <c r="A459" s="3" t="n">
        <v>458</v>
      </c>
      <c r="B459" s="3" t="n">
        <v>457</v>
      </c>
      <c r="C459" s="3" t="n">
        <v>9</v>
      </c>
      <c r="D459" s="3" t="n">
        <v>2</v>
      </c>
      <c r="E459" s="3" t="n">
        <v>2</v>
      </c>
      <c r="F459" s="24" t="n">
        <v>-12.6784811</v>
      </c>
    </row>
    <row r="460" customFormat="false" ht="15" hidden="false" customHeight="false" outlineLevel="0" collapsed="false">
      <c r="A460" s="3" t="n">
        <v>459</v>
      </c>
      <c r="B460" s="3" t="n">
        <v>458</v>
      </c>
      <c r="C460" s="3" t="n">
        <v>9</v>
      </c>
      <c r="D460" s="3" t="n">
        <v>2</v>
      </c>
      <c r="E460" s="3" t="n">
        <v>3</v>
      </c>
      <c r="F460" s="24" t="n">
        <v>-4.21181345</v>
      </c>
    </row>
    <row r="461" customFormat="false" ht="15" hidden="false" customHeight="false" outlineLevel="0" collapsed="false">
      <c r="A461" s="3" t="n">
        <v>460</v>
      </c>
      <c r="B461" s="3" t="n">
        <v>459</v>
      </c>
      <c r="C461" s="3" t="n">
        <v>9</v>
      </c>
      <c r="D461" s="3" t="n">
        <v>2</v>
      </c>
      <c r="E461" s="3" t="n">
        <v>4</v>
      </c>
      <c r="F461" s="24" t="n">
        <v>0.446252376</v>
      </c>
    </row>
    <row r="462" customFormat="false" ht="15" hidden="false" customHeight="false" outlineLevel="0" collapsed="false">
      <c r="A462" s="3" t="n">
        <v>461</v>
      </c>
      <c r="B462" s="3" t="n">
        <v>460</v>
      </c>
      <c r="C462" s="3" t="n">
        <v>9</v>
      </c>
      <c r="D462" s="3" t="n">
        <v>2</v>
      </c>
      <c r="E462" s="3" t="n">
        <v>5</v>
      </c>
      <c r="F462" s="24" t="n">
        <v>-1.29992306</v>
      </c>
    </row>
    <row r="463" customFormat="false" ht="15" hidden="false" customHeight="false" outlineLevel="0" collapsed="false">
      <c r="A463" s="3" t="n">
        <v>462</v>
      </c>
      <c r="B463" s="3" t="n">
        <v>461</v>
      </c>
      <c r="C463" s="3" t="n">
        <v>9</v>
      </c>
      <c r="D463" s="3" t="n">
        <v>2</v>
      </c>
      <c r="E463" s="3" t="n">
        <v>6</v>
      </c>
      <c r="F463" s="24" t="n">
        <v>5.80546236</v>
      </c>
    </row>
    <row r="464" customFormat="false" ht="15" hidden="false" customHeight="false" outlineLevel="0" collapsed="false">
      <c r="A464" s="3" t="n">
        <v>463</v>
      </c>
      <c r="B464" s="3" t="n">
        <v>462</v>
      </c>
      <c r="C464" s="3" t="n">
        <v>9</v>
      </c>
      <c r="D464" s="3" t="n">
        <v>3</v>
      </c>
      <c r="E464" s="3" t="n">
        <v>0</v>
      </c>
      <c r="F464" s="24" t="n">
        <v>1.3746047</v>
      </c>
    </row>
    <row r="465" customFormat="false" ht="15" hidden="false" customHeight="false" outlineLevel="0" collapsed="false">
      <c r="A465" s="3" t="n">
        <v>464</v>
      </c>
      <c r="B465" s="3" t="n">
        <v>463</v>
      </c>
      <c r="C465" s="3" t="n">
        <v>9</v>
      </c>
      <c r="D465" s="3" t="n">
        <v>3</v>
      </c>
      <c r="E465" s="3" t="n">
        <v>1</v>
      </c>
      <c r="F465" s="24" t="n">
        <v>8.4812088</v>
      </c>
    </row>
    <row r="466" customFormat="false" ht="15" hidden="false" customHeight="false" outlineLevel="0" collapsed="false">
      <c r="A466" s="3" t="n">
        <v>465</v>
      </c>
      <c r="B466" s="3" t="n">
        <v>464</v>
      </c>
      <c r="C466" s="3" t="n">
        <v>9</v>
      </c>
      <c r="D466" s="3" t="n">
        <v>3</v>
      </c>
      <c r="E466" s="3" t="n">
        <v>2</v>
      </c>
      <c r="F466" s="24" t="n">
        <v>13.7027788</v>
      </c>
    </row>
    <row r="467" customFormat="false" ht="15" hidden="false" customHeight="false" outlineLevel="0" collapsed="false">
      <c r="A467" s="3" t="n">
        <v>466</v>
      </c>
      <c r="B467" s="3" t="n">
        <v>465</v>
      </c>
      <c r="C467" s="3" t="n">
        <v>9</v>
      </c>
      <c r="D467" s="3" t="n">
        <v>3</v>
      </c>
      <c r="E467" s="3" t="n">
        <v>3</v>
      </c>
      <c r="F467" s="24" t="n">
        <v>20.4086723</v>
      </c>
    </row>
    <row r="468" customFormat="false" ht="15" hidden="false" customHeight="false" outlineLevel="0" collapsed="false">
      <c r="A468" s="3" t="n">
        <v>467</v>
      </c>
      <c r="B468" s="3" t="n">
        <v>466</v>
      </c>
      <c r="C468" s="3" t="n">
        <v>9</v>
      </c>
      <c r="D468" s="3" t="n">
        <v>3</v>
      </c>
      <c r="E468" s="3" t="n">
        <v>4</v>
      </c>
      <c r="F468" s="24" t="n">
        <v>4.68580818</v>
      </c>
    </row>
    <row r="469" customFormat="false" ht="15" hidden="false" customHeight="false" outlineLevel="0" collapsed="false">
      <c r="A469" s="3" t="n">
        <v>468</v>
      </c>
      <c r="B469" s="3" t="n">
        <v>467</v>
      </c>
      <c r="C469" s="3" t="n">
        <v>9</v>
      </c>
      <c r="D469" s="3" t="n">
        <v>3</v>
      </c>
      <c r="E469" s="3" t="n">
        <v>5</v>
      </c>
      <c r="F469" s="24" t="n">
        <v>-2.88667989</v>
      </c>
    </row>
    <row r="470" customFormat="false" ht="15" hidden="false" customHeight="false" outlineLevel="0" collapsed="false">
      <c r="A470" s="3" t="n">
        <v>469</v>
      </c>
      <c r="B470" s="3" t="n">
        <v>468</v>
      </c>
      <c r="C470" s="3" t="n">
        <v>9</v>
      </c>
      <c r="D470" s="3" t="n">
        <v>3</v>
      </c>
      <c r="E470" s="3" t="n">
        <v>6</v>
      </c>
      <c r="F470" s="24" t="n">
        <v>3.57747364</v>
      </c>
    </row>
    <row r="471" customFormat="false" ht="15" hidden="false" customHeight="false" outlineLevel="0" collapsed="false">
      <c r="A471" s="3" t="n">
        <v>470</v>
      </c>
      <c r="B471" s="3" t="n">
        <v>469</v>
      </c>
      <c r="C471" s="3" t="n">
        <v>9</v>
      </c>
      <c r="D471" s="3" t="n">
        <v>4</v>
      </c>
      <c r="E471" s="3" t="n">
        <v>0</v>
      </c>
      <c r="F471" s="24" t="n">
        <v>-0.610951066</v>
      </c>
    </row>
    <row r="472" customFormat="false" ht="15" hidden="false" customHeight="false" outlineLevel="0" collapsed="false">
      <c r="A472" s="3" t="n">
        <v>471</v>
      </c>
      <c r="B472" s="3" t="n">
        <v>470</v>
      </c>
      <c r="C472" s="3" t="n">
        <v>9</v>
      </c>
      <c r="D472" s="3" t="n">
        <v>4</v>
      </c>
      <c r="E472" s="3" t="n">
        <v>1</v>
      </c>
      <c r="F472" s="24" t="n">
        <v>1.14963627</v>
      </c>
    </row>
    <row r="473" customFormat="false" ht="15" hidden="false" customHeight="false" outlineLevel="0" collapsed="false">
      <c r="A473" s="3" t="n">
        <v>472</v>
      </c>
      <c r="B473" s="3" t="n">
        <v>471</v>
      </c>
      <c r="C473" s="3" t="n">
        <v>9</v>
      </c>
      <c r="D473" s="3" t="n">
        <v>4</v>
      </c>
      <c r="E473" s="3" t="n">
        <v>2</v>
      </c>
      <c r="F473" s="24" t="n">
        <v>8.21977329</v>
      </c>
    </row>
    <row r="474" customFormat="false" ht="15" hidden="false" customHeight="false" outlineLevel="0" collapsed="false">
      <c r="A474" s="3" t="n">
        <v>473</v>
      </c>
      <c r="B474" s="3" t="n">
        <v>472</v>
      </c>
      <c r="C474" s="3" t="n">
        <v>9</v>
      </c>
      <c r="D474" s="3" t="n">
        <v>4</v>
      </c>
      <c r="E474" s="3" t="n">
        <v>3</v>
      </c>
      <c r="F474" s="24" t="n">
        <v>5.39668941</v>
      </c>
    </row>
    <row r="475" customFormat="false" ht="15" hidden="false" customHeight="false" outlineLevel="0" collapsed="false">
      <c r="A475" s="3" t="n">
        <v>474</v>
      </c>
      <c r="B475" s="3" t="n">
        <v>473</v>
      </c>
      <c r="C475" s="3" t="n">
        <v>9</v>
      </c>
      <c r="D475" s="3" t="n">
        <v>4</v>
      </c>
      <c r="E475" s="3" t="n">
        <v>4</v>
      </c>
      <c r="F475" s="24" t="n">
        <v>-6.035676</v>
      </c>
    </row>
    <row r="476" customFormat="false" ht="15" hidden="false" customHeight="false" outlineLevel="0" collapsed="false">
      <c r="A476" s="3" t="n">
        <v>475</v>
      </c>
      <c r="B476" s="3" t="n">
        <v>474</v>
      </c>
      <c r="C476" s="3" t="n">
        <v>9</v>
      </c>
      <c r="D476" s="3" t="n">
        <v>4</v>
      </c>
      <c r="E476" s="3" t="n">
        <v>5</v>
      </c>
      <c r="F476" s="24" t="n">
        <v>0.540379047</v>
      </c>
    </row>
    <row r="477" customFormat="false" ht="15" hidden="false" customHeight="false" outlineLevel="0" collapsed="false">
      <c r="A477" s="3" t="n">
        <v>476</v>
      </c>
      <c r="B477" s="3" t="n">
        <v>475</v>
      </c>
      <c r="C477" s="3" t="n">
        <v>9</v>
      </c>
      <c r="D477" s="3" t="n">
        <v>4</v>
      </c>
      <c r="E477" s="3" t="n">
        <v>6</v>
      </c>
      <c r="F477" s="24" t="n">
        <v>0.990491867</v>
      </c>
    </row>
    <row r="478" customFormat="false" ht="15" hidden="false" customHeight="false" outlineLevel="0" collapsed="false">
      <c r="A478" s="3" t="n">
        <v>477</v>
      </c>
      <c r="B478" s="3" t="n">
        <v>476</v>
      </c>
      <c r="C478" s="3" t="n">
        <v>9</v>
      </c>
      <c r="D478" s="3" t="n">
        <v>5</v>
      </c>
      <c r="E478" s="3" t="n">
        <v>0</v>
      </c>
      <c r="F478" s="24" t="n">
        <v>-0.569028378</v>
      </c>
    </row>
    <row r="479" customFormat="false" ht="15" hidden="false" customHeight="false" outlineLevel="0" collapsed="false">
      <c r="A479" s="3" t="n">
        <v>478</v>
      </c>
      <c r="B479" s="3" t="n">
        <v>477</v>
      </c>
      <c r="C479" s="3" t="n">
        <v>9</v>
      </c>
      <c r="D479" s="3" t="n">
        <v>5</v>
      </c>
      <c r="E479" s="3" t="n">
        <v>1</v>
      </c>
      <c r="F479" s="24" t="n">
        <v>0.646891594</v>
      </c>
    </row>
    <row r="480" customFormat="false" ht="15" hidden="false" customHeight="false" outlineLevel="0" collapsed="false">
      <c r="A480" s="3" t="n">
        <v>479</v>
      </c>
      <c r="B480" s="3" t="n">
        <v>478</v>
      </c>
      <c r="C480" s="3" t="n">
        <v>9</v>
      </c>
      <c r="D480" s="3" t="n">
        <v>5</v>
      </c>
      <c r="E480" s="3" t="n">
        <v>2</v>
      </c>
      <c r="F480" s="24" t="n">
        <v>-1.60591602</v>
      </c>
    </row>
    <row r="481" customFormat="false" ht="15" hidden="false" customHeight="false" outlineLevel="0" collapsed="false">
      <c r="A481" s="3" t="n">
        <v>480</v>
      </c>
      <c r="B481" s="3" t="n">
        <v>479</v>
      </c>
      <c r="C481" s="3" t="n">
        <v>9</v>
      </c>
      <c r="D481" s="3" t="n">
        <v>5</v>
      </c>
      <c r="E481" s="3" t="n">
        <v>3</v>
      </c>
      <c r="F481" s="24" t="n">
        <v>-9.29458618</v>
      </c>
    </row>
    <row r="482" customFormat="false" ht="15" hidden="false" customHeight="false" outlineLevel="0" collapsed="false">
      <c r="A482" s="3" t="n">
        <v>481</v>
      </c>
      <c r="B482" s="3" t="n">
        <v>480</v>
      </c>
      <c r="C482" s="3" t="n">
        <v>9</v>
      </c>
      <c r="D482" s="3" t="n">
        <v>5</v>
      </c>
      <c r="E482" s="3" t="n">
        <v>4</v>
      </c>
      <c r="F482" s="24" t="n">
        <v>-3.60265613</v>
      </c>
    </row>
    <row r="483" customFormat="false" ht="15" hidden="false" customHeight="false" outlineLevel="0" collapsed="false">
      <c r="A483" s="3" t="n">
        <v>482</v>
      </c>
      <c r="B483" s="3" t="n">
        <v>481</v>
      </c>
      <c r="C483" s="3" t="n">
        <v>9</v>
      </c>
      <c r="D483" s="3" t="n">
        <v>5</v>
      </c>
      <c r="E483" s="3" t="n">
        <v>5</v>
      </c>
      <c r="F483" s="24" t="n">
        <v>1.33946514</v>
      </c>
    </row>
    <row r="484" customFormat="false" ht="15" hidden="false" customHeight="false" outlineLevel="0" collapsed="false">
      <c r="A484" s="3" t="n">
        <v>483</v>
      </c>
      <c r="B484" s="3" t="n">
        <v>482</v>
      </c>
      <c r="C484" s="3" t="n">
        <v>9</v>
      </c>
      <c r="D484" s="3" t="n">
        <v>5</v>
      </c>
      <c r="E484" s="3" t="n">
        <v>6</v>
      </c>
      <c r="F484" s="24" t="n">
        <v>0.165118873</v>
      </c>
    </row>
    <row r="485" customFormat="false" ht="15" hidden="false" customHeight="false" outlineLevel="0" collapsed="false">
      <c r="A485" s="3" t="n">
        <v>484</v>
      </c>
      <c r="B485" s="3" t="n">
        <v>483</v>
      </c>
      <c r="C485" s="3" t="n">
        <v>9</v>
      </c>
      <c r="D485" s="3" t="n">
        <v>6</v>
      </c>
      <c r="E485" s="3" t="n">
        <v>0</v>
      </c>
      <c r="F485" s="24" t="n">
        <v>-1.08694172</v>
      </c>
    </row>
    <row r="486" customFormat="false" ht="15" hidden="false" customHeight="false" outlineLevel="0" collapsed="false">
      <c r="A486" s="3" t="n">
        <v>485</v>
      </c>
      <c r="B486" s="3" t="n">
        <v>484</v>
      </c>
      <c r="C486" s="3" t="n">
        <v>9</v>
      </c>
      <c r="D486" s="3" t="n">
        <v>6</v>
      </c>
      <c r="E486" s="3" t="n">
        <v>1</v>
      </c>
      <c r="F486" s="24" t="n">
        <v>-2.85216141</v>
      </c>
    </row>
    <row r="487" customFormat="false" ht="15" hidden="false" customHeight="false" outlineLevel="0" collapsed="false">
      <c r="A487" s="3" t="n">
        <v>486</v>
      </c>
      <c r="B487" s="3" t="n">
        <v>485</v>
      </c>
      <c r="C487" s="3" t="n">
        <v>9</v>
      </c>
      <c r="D487" s="3" t="n">
        <v>6</v>
      </c>
      <c r="E487" s="3" t="n">
        <v>2</v>
      </c>
      <c r="F487" s="24" t="n">
        <v>-10.3411112</v>
      </c>
    </row>
    <row r="488" customFormat="false" ht="15" hidden="false" customHeight="false" outlineLevel="0" collapsed="false">
      <c r="A488" s="3" t="n">
        <v>487</v>
      </c>
      <c r="B488" s="3" t="n">
        <v>486</v>
      </c>
      <c r="C488" s="3" t="n">
        <v>9</v>
      </c>
      <c r="D488" s="3" t="n">
        <v>6</v>
      </c>
      <c r="E488" s="3" t="n">
        <v>3</v>
      </c>
      <c r="F488" s="24" t="n">
        <v>-10.3341341</v>
      </c>
    </row>
    <row r="489" customFormat="false" ht="15" hidden="false" customHeight="false" outlineLevel="0" collapsed="false">
      <c r="A489" s="3" t="n">
        <v>488</v>
      </c>
      <c r="B489" s="3" t="n">
        <v>487</v>
      </c>
      <c r="C489" s="3" t="n">
        <v>9</v>
      </c>
      <c r="D489" s="3" t="n">
        <v>6</v>
      </c>
      <c r="E489" s="3" t="n">
        <v>4</v>
      </c>
      <c r="F489" s="24" t="n">
        <v>-2.26164627</v>
      </c>
    </row>
    <row r="490" customFormat="false" ht="15" hidden="false" customHeight="false" outlineLevel="0" collapsed="false">
      <c r="A490" s="3" t="n">
        <v>489</v>
      </c>
      <c r="B490" s="3" t="n">
        <v>488</v>
      </c>
      <c r="C490" s="3" t="n">
        <v>9</v>
      </c>
      <c r="D490" s="3" t="n">
        <v>6</v>
      </c>
      <c r="E490" s="3" t="n">
        <v>5</v>
      </c>
      <c r="F490" s="24" t="n">
        <v>0.307289571</v>
      </c>
    </row>
    <row r="491" customFormat="false" ht="15" hidden="false" customHeight="false" outlineLevel="0" collapsed="false">
      <c r="A491" s="3" t="n">
        <v>490</v>
      </c>
      <c r="B491" s="3" t="n">
        <v>489</v>
      </c>
      <c r="C491" s="3" t="n">
        <v>9</v>
      </c>
      <c r="D491" s="3" t="n">
        <v>6</v>
      </c>
      <c r="E491" s="3" t="n">
        <v>6</v>
      </c>
      <c r="F491" s="24" t="n">
        <v>-0.0327115655</v>
      </c>
    </row>
    <row r="492" customFormat="false" ht="15" hidden="false" customHeight="false" outlineLevel="0" collapsed="false">
      <c r="A492" s="3" t="n">
        <v>491</v>
      </c>
      <c r="B492" s="3" t="n">
        <v>490</v>
      </c>
      <c r="C492" s="3" t="n">
        <v>10</v>
      </c>
      <c r="D492" s="3" t="n">
        <v>0</v>
      </c>
      <c r="E492" s="3" t="n">
        <v>0</v>
      </c>
      <c r="F492" s="24" t="n">
        <v>-3.12678576</v>
      </c>
    </row>
    <row r="493" customFormat="false" ht="15" hidden="false" customHeight="false" outlineLevel="0" collapsed="false">
      <c r="A493" s="3" t="n">
        <v>492</v>
      </c>
      <c r="B493" s="3" t="n">
        <v>491</v>
      </c>
      <c r="C493" s="3" t="n">
        <v>10</v>
      </c>
      <c r="D493" s="3" t="n">
        <v>0</v>
      </c>
      <c r="E493" s="3" t="n">
        <v>1</v>
      </c>
      <c r="F493" s="24" t="n">
        <v>-2.25290918</v>
      </c>
    </row>
    <row r="494" customFormat="false" ht="15" hidden="false" customHeight="false" outlineLevel="0" collapsed="false">
      <c r="A494" s="3" t="n">
        <v>493</v>
      </c>
      <c r="B494" s="3" t="n">
        <v>492</v>
      </c>
      <c r="C494" s="3" t="n">
        <v>10</v>
      </c>
      <c r="D494" s="3" t="n">
        <v>0</v>
      </c>
      <c r="E494" s="3" t="n">
        <v>2</v>
      </c>
      <c r="F494" s="24" t="n">
        <v>-8.19779396</v>
      </c>
    </row>
    <row r="495" customFormat="false" ht="15" hidden="false" customHeight="false" outlineLevel="0" collapsed="false">
      <c r="A495" s="3" t="n">
        <v>494</v>
      </c>
      <c r="B495" s="3" t="n">
        <v>493</v>
      </c>
      <c r="C495" s="3" t="n">
        <v>10</v>
      </c>
      <c r="D495" s="3" t="n">
        <v>0</v>
      </c>
      <c r="E495" s="3" t="n">
        <v>3</v>
      </c>
      <c r="F495" s="24" t="n">
        <v>-9.72314835</v>
      </c>
    </row>
    <row r="496" customFormat="false" ht="15" hidden="false" customHeight="false" outlineLevel="0" collapsed="false">
      <c r="A496" s="3" t="n">
        <v>495</v>
      </c>
      <c r="B496" s="3" t="n">
        <v>494</v>
      </c>
      <c r="C496" s="3" t="n">
        <v>10</v>
      </c>
      <c r="D496" s="3" t="n">
        <v>0</v>
      </c>
      <c r="E496" s="3" t="n">
        <v>4</v>
      </c>
      <c r="F496" s="24" t="n">
        <v>-6.27130604</v>
      </c>
    </row>
    <row r="497" customFormat="false" ht="15" hidden="false" customHeight="false" outlineLevel="0" collapsed="false">
      <c r="A497" s="3" t="n">
        <v>496</v>
      </c>
      <c r="B497" s="3" t="n">
        <v>495</v>
      </c>
      <c r="C497" s="3" t="n">
        <v>10</v>
      </c>
      <c r="D497" s="3" t="n">
        <v>0</v>
      </c>
      <c r="E497" s="3" t="n">
        <v>5</v>
      </c>
      <c r="F497" s="24" t="n">
        <v>-6.75558472</v>
      </c>
    </row>
    <row r="498" customFormat="false" ht="15" hidden="false" customHeight="false" outlineLevel="0" collapsed="false">
      <c r="A498" s="3" t="n">
        <v>497</v>
      </c>
      <c r="B498" s="3" t="n">
        <v>496</v>
      </c>
      <c r="C498" s="3" t="n">
        <v>10</v>
      </c>
      <c r="D498" s="3" t="n">
        <v>0</v>
      </c>
      <c r="E498" s="3" t="n">
        <v>6</v>
      </c>
      <c r="F498" s="24" t="n">
        <v>-1.32204616</v>
      </c>
    </row>
    <row r="499" customFormat="false" ht="15" hidden="false" customHeight="false" outlineLevel="0" collapsed="false">
      <c r="A499" s="3" t="n">
        <v>498</v>
      </c>
      <c r="B499" s="3" t="n">
        <v>497</v>
      </c>
      <c r="C499" s="3" t="n">
        <v>10</v>
      </c>
      <c r="D499" s="3" t="n">
        <v>1</v>
      </c>
      <c r="E499" s="3" t="n">
        <v>0</v>
      </c>
      <c r="F499" s="24" t="n">
        <v>6.12904024</v>
      </c>
    </row>
    <row r="500" customFormat="false" ht="15" hidden="false" customHeight="false" outlineLevel="0" collapsed="false">
      <c r="A500" s="3" t="n">
        <v>499</v>
      </c>
      <c r="B500" s="3" t="n">
        <v>498</v>
      </c>
      <c r="C500" s="3" t="n">
        <v>10</v>
      </c>
      <c r="D500" s="3" t="n">
        <v>1</v>
      </c>
      <c r="E500" s="3" t="n">
        <v>1</v>
      </c>
      <c r="F500" s="24" t="n">
        <v>12.095787</v>
      </c>
    </row>
    <row r="501" customFormat="false" ht="15" hidden="false" customHeight="false" outlineLevel="0" collapsed="false">
      <c r="A501" s="3" t="n">
        <v>500</v>
      </c>
      <c r="B501" s="3" t="n">
        <v>499</v>
      </c>
      <c r="C501" s="3" t="n">
        <v>10</v>
      </c>
      <c r="D501" s="3" t="n">
        <v>1</v>
      </c>
      <c r="E501" s="3" t="n">
        <v>2</v>
      </c>
      <c r="F501" s="24" t="n">
        <v>20.9079304</v>
      </c>
    </row>
    <row r="502" customFormat="false" ht="15" hidden="false" customHeight="false" outlineLevel="0" collapsed="false">
      <c r="A502" s="3" t="n">
        <v>501</v>
      </c>
      <c r="B502" s="3" t="n">
        <v>500</v>
      </c>
      <c r="C502" s="3" t="n">
        <v>10</v>
      </c>
      <c r="D502" s="3" t="n">
        <v>1</v>
      </c>
      <c r="E502" s="3" t="n">
        <v>3</v>
      </c>
      <c r="F502" s="24" t="n">
        <v>15.3785992</v>
      </c>
    </row>
    <row r="503" customFormat="false" ht="15" hidden="false" customHeight="false" outlineLevel="0" collapsed="false">
      <c r="A503" s="3" t="n">
        <v>502</v>
      </c>
      <c r="B503" s="3" t="n">
        <v>501</v>
      </c>
      <c r="C503" s="3" t="n">
        <v>10</v>
      </c>
      <c r="D503" s="3" t="n">
        <v>1</v>
      </c>
      <c r="E503" s="3" t="n">
        <v>4</v>
      </c>
      <c r="F503" s="24" t="n">
        <v>11.273984</v>
      </c>
    </row>
    <row r="504" customFormat="false" ht="15" hidden="false" customHeight="false" outlineLevel="0" collapsed="false">
      <c r="A504" s="3" t="n">
        <v>503</v>
      </c>
      <c r="B504" s="3" t="n">
        <v>502</v>
      </c>
      <c r="C504" s="3" t="n">
        <v>10</v>
      </c>
      <c r="D504" s="3" t="n">
        <v>1</v>
      </c>
      <c r="E504" s="3" t="n">
        <v>5</v>
      </c>
      <c r="F504" s="24" t="n">
        <v>-1.32378185</v>
      </c>
    </row>
    <row r="505" customFormat="false" ht="15" hidden="false" customHeight="false" outlineLevel="0" collapsed="false">
      <c r="A505" s="3" t="n">
        <v>504</v>
      </c>
      <c r="B505" s="3" t="n">
        <v>503</v>
      </c>
      <c r="C505" s="3" t="n">
        <v>10</v>
      </c>
      <c r="D505" s="3" t="n">
        <v>1</v>
      </c>
      <c r="E505" s="3" t="n">
        <v>6</v>
      </c>
      <c r="F505" s="24" t="n">
        <v>-0.127631634</v>
      </c>
    </row>
    <row r="506" customFormat="false" ht="15" hidden="false" customHeight="false" outlineLevel="0" collapsed="false">
      <c r="A506" s="3" t="n">
        <v>505</v>
      </c>
      <c r="B506" s="3" t="n">
        <v>504</v>
      </c>
      <c r="C506" s="3" t="n">
        <v>10</v>
      </c>
      <c r="D506" s="3" t="n">
        <v>2</v>
      </c>
      <c r="E506" s="3" t="n">
        <v>0</v>
      </c>
      <c r="F506" s="24" t="n">
        <v>-1.19914782</v>
      </c>
    </row>
    <row r="507" customFormat="false" ht="15" hidden="false" customHeight="false" outlineLevel="0" collapsed="false">
      <c r="A507" s="3" t="n">
        <v>506</v>
      </c>
      <c r="B507" s="3" t="n">
        <v>505</v>
      </c>
      <c r="C507" s="3" t="n">
        <v>10</v>
      </c>
      <c r="D507" s="3" t="n">
        <v>2</v>
      </c>
      <c r="E507" s="3" t="n">
        <v>1</v>
      </c>
      <c r="F507" s="24" t="n">
        <v>3.60845399</v>
      </c>
    </row>
    <row r="508" customFormat="false" ht="15" hidden="false" customHeight="false" outlineLevel="0" collapsed="false">
      <c r="A508" s="3" t="n">
        <v>507</v>
      </c>
      <c r="B508" s="3" t="n">
        <v>506</v>
      </c>
      <c r="C508" s="3" t="n">
        <v>10</v>
      </c>
      <c r="D508" s="3" t="n">
        <v>2</v>
      </c>
      <c r="E508" s="3" t="n">
        <v>2</v>
      </c>
      <c r="F508" s="24" t="n">
        <v>4.50162411</v>
      </c>
    </row>
    <row r="509" customFormat="false" ht="15" hidden="false" customHeight="false" outlineLevel="0" collapsed="false">
      <c r="A509" s="3" t="n">
        <v>508</v>
      </c>
      <c r="B509" s="3" t="n">
        <v>507</v>
      </c>
      <c r="C509" s="3" t="n">
        <v>10</v>
      </c>
      <c r="D509" s="3" t="n">
        <v>2</v>
      </c>
      <c r="E509" s="3" t="n">
        <v>3</v>
      </c>
      <c r="F509" s="24" t="n">
        <v>9.76002312</v>
      </c>
    </row>
    <row r="510" customFormat="false" ht="15" hidden="false" customHeight="false" outlineLevel="0" collapsed="false">
      <c r="A510" s="3" t="n">
        <v>509</v>
      </c>
      <c r="B510" s="3" t="n">
        <v>508</v>
      </c>
      <c r="C510" s="3" t="n">
        <v>10</v>
      </c>
      <c r="D510" s="3" t="n">
        <v>2</v>
      </c>
      <c r="E510" s="3" t="n">
        <v>4</v>
      </c>
      <c r="F510" s="24" t="n">
        <v>8.50123882</v>
      </c>
    </row>
    <row r="511" customFormat="false" ht="15" hidden="false" customHeight="false" outlineLevel="0" collapsed="false">
      <c r="A511" s="3" t="n">
        <v>510</v>
      </c>
      <c r="B511" s="3" t="n">
        <v>509</v>
      </c>
      <c r="C511" s="3" t="n">
        <v>10</v>
      </c>
      <c r="D511" s="3" t="n">
        <v>2</v>
      </c>
      <c r="E511" s="3" t="n">
        <v>5</v>
      </c>
      <c r="F511" s="24" t="n">
        <v>-1.01364493</v>
      </c>
    </row>
    <row r="512" customFormat="false" ht="15" hidden="false" customHeight="false" outlineLevel="0" collapsed="false">
      <c r="A512" s="3" t="n">
        <v>511</v>
      </c>
      <c r="B512" s="3" t="n">
        <v>510</v>
      </c>
      <c r="C512" s="3" t="n">
        <v>10</v>
      </c>
      <c r="D512" s="3" t="n">
        <v>2</v>
      </c>
      <c r="E512" s="3" t="n">
        <v>6</v>
      </c>
      <c r="F512" s="24" t="n">
        <v>-0.255431831</v>
      </c>
    </row>
    <row r="513" customFormat="false" ht="15" hidden="false" customHeight="false" outlineLevel="0" collapsed="false">
      <c r="A513" s="3" t="n">
        <v>512</v>
      </c>
      <c r="B513" s="3" t="n">
        <v>511</v>
      </c>
      <c r="C513" s="3" t="n">
        <v>10</v>
      </c>
      <c r="D513" s="3" t="n">
        <v>3</v>
      </c>
      <c r="E513" s="3" t="n">
        <v>0</v>
      </c>
      <c r="F513" s="24" t="n">
        <v>1.65601099</v>
      </c>
    </row>
    <row r="514" customFormat="false" ht="15" hidden="false" customHeight="false" outlineLevel="0" collapsed="false">
      <c r="A514" s="3" t="n">
        <v>513</v>
      </c>
      <c r="B514" s="3" t="n">
        <v>512</v>
      </c>
      <c r="C514" s="3" t="n">
        <v>10</v>
      </c>
      <c r="D514" s="3" t="n">
        <v>3</v>
      </c>
      <c r="E514" s="3" t="n">
        <v>1</v>
      </c>
      <c r="F514" s="24" t="n">
        <v>-2.22423029</v>
      </c>
    </row>
    <row r="515" customFormat="false" ht="15" hidden="false" customHeight="false" outlineLevel="0" collapsed="false">
      <c r="A515" s="3" t="n">
        <v>514</v>
      </c>
      <c r="B515" s="3" t="n">
        <v>513</v>
      </c>
      <c r="C515" s="3" t="n">
        <v>10</v>
      </c>
      <c r="D515" s="3" t="n">
        <v>3</v>
      </c>
      <c r="E515" s="3" t="n">
        <v>2</v>
      </c>
      <c r="F515" s="24" t="n">
        <v>-2.77528358</v>
      </c>
    </row>
    <row r="516" customFormat="false" ht="15" hidden="false" customHeight="false" outlineLevel="0" collapsed="false">
      <c r="A516" s="3" t="n">
        <v>515</v>
      </c>
      <c r="B516" s="3" t="n">
        <v>514</v>
      </c>
      <c r="C516" s="3" t="n">
        <v>10</v>
      </c>
      <c r="D516" s="3" t="n">
        <v>3</v>
      </c>
      <c r="E516" s="3" t="n">
        <v>3</v>
      </c>
      <c r="F516" s="24" t="n">
        <v>-12.704711</v>
      </c>
    </row>
    <row r="517" customFormat="false" ht="15" hidden="false" customHeight="false" outlineLevel="0" collapsed="false">
      <c r="A517" s="3" t="n">
        <v>516</v>
      </c>
      <c r="B517" s="3" t="n">
        <v>515</v>
      </c>
      <c r="C517" s="3" t="n">
        <v>10</v>
      </c>
      <c r="D517" s="3" t="n">
        <v>3</v>
      </c>
      <c r="E517" s="3" t="n">
        <v>4</v>
      </c>
      <c r="F517" s="24" t="n">
        <v>-23.948103</v>
      </c>
    </row>
    <row r="518" customFormat="false" ht="15" hidden="false" customHeight="false" outlineLevel="0" collapsed="false">
      <c r="A518" s="3" t="n">
        <v>517</v>
      </c>
      <c r="B518" s="3" t="n">
        <v>516</v>
      </c>
      <c r="C518" s="3" t="n">
        <v>10</v>
      </c>
      <c r="D518" s="3" t="n">
        <v>3</v>
      </c>
      <c r="E518" s="3" t="n">
        <v>5</v>
      </c>
      <c r="F518" s="24" t="n">
        <v>-18.0931358</v>
      </c>
    </row>
    <row r="519" customFormat="false" ht="15" hidden="false" customHeight="false" outlineLevel="0" collapsed="false">
      <c r="A519" s="3" t="n">
        <v>518</v>
      </c>
      <c r="B519" s="3" t="n">
        <v>517</v>
      </c>
      <c r="C519" s="3" t="n">
        <v>10</v>
      </c>
      <c r="D519" s="3" t="n">
        <v>3</v>
      </c>
      <c r="E519" s="3" t="n">
        <v>6</v>
      </c>
      <c r="F519" s="24" t="n">
        <v>-4.83810854</v>
      </c>
    </row>
    <row r="520" customFormat="false" ht="15" hidden="false" customHeight="false" outlineLevel="0" collapsed="false">
      <c r="A520" s="3" t="n">
        <v>519</v>
      </c>
      <c r="B520" s="3" t="n">
        <v>518</v>
      </c>
      <c r="C520" s="3" t="n">
        <v>10</v>
      </c>
      <c r="D520" s="3" t="n">
        <v>4</v>
      </c>
      <c r="E520" s="3" t="n">
        <v>0</v>
      </c>
      <c r="F520" s="24" t="n">
        <v>-0.665998757</v>
      </c>
    </row>
    <row r="521" customFormat="false" ht="15" hidden="false" customHeight="false" outlineLevel="0" collapsed="false">
      <c r="A521" s="3" t="n">
        <v>520</v>
      </c>
      <c r="B521" s="3" t="n">
        <v>519</v>
      </c>
      <c r="C521" s="3" t="n">
        <v>10</v>
      </c>
      <c r="D521" s="3" t="n">
        <v>4</v>
      </c>
      <c r="E521" s="3" t="n">
        <v>1</v>
      </c>
      <c r="F521" s="24" t="n">
        <v>-1.40781844</v>
      </c>
    </row>
    <row r="522" customFormat="false" ht="15" hidden="false" customHeight="false" outlineLevel="0" collapsed="false">
      <c r="A522" s="3" t="n">
        <v>521</v>
      </c>
      <c r="B522" s="3" t="n">
        <v>520</v>
      </c>
      <c r="C522" s="3" t="n">
        <v>10</v>
      </c>
      <c r="D522" s="3" t="n">
        <v>4</v>
      </c>
      <c r="E522" s="3" t="n">
        <v>2</v>
      </c>
      <c r="F522" s="24" t="n">
        <v>-1.72630465</v>
      </c>
    </row>
    <row r="523" customFormat="false" ht="15" hidden="false" customHeight="false" outlineLevel="0" collapsed="false">
      <c r="A523" s="3" t="n">
        <v>522</v>
      </c>
      <c r="B523" s="3" t="n">
        <v>521</v>
      </c>
      <c r="C523" s="3" t="n">
        <v>10</v>
      </c>
      <c r="D523" s="3" t="n">
        <v>4</v>
      </c>
      <c r="E523" s="3" t="n">
        <v>3</v>
      </c>
      <c r="F523" s="24" t="n">
        <v>-18.0946674</v>
      </c>
    </row>
    <row r="524" customFormat="false" ht="15" hidden="false" customHeight="false" outlineLevel="0" collapsed="false">
      <c r="A524" s="3" t="n">
        <v>523</v>
      </c>
      <c r="B524" s="3" t="n">
        <v>522</v>
      </c>
      <c r="C524" s="3" t="n">
        <v>10</v>
      </c>
      <c r="D524" s="3" t="n">
        <v>4</v>
      </c>
      <c r="E524" s="3" t="n">
        <v>4</v>
      </c>
      <c r="F524" s="24" t="n">
        <v>-22.6728535</v>
      </c>
    </row>
    <row r="525" customFormat="false" ht="15" hidden="false" customHeight="false" outlineLevel="0" collapsed="false">
      <c r="A525" s="3" t="n">
        <v>524</v>
      </c>
      <c r="B525" s="3" t="n">
        <v>523</v>
      </c>
      <c r="C525" s="3" t="n">
        <v>10</v>
      </c>
      <c r="D525" s="3" t="n">
        <v>4</v>
      </c>
      <c r="E525" s="3" t="n">
        <v>5</v>
      </c>
      <c r="F525" s="24" t="n">
        <v>-9.52187347</v>
      </c>
    </row>
    <row r="526" customFormat="false" ht="15" hidden="false" customHeight="false" outlineLevel="0" collapsed="false">
      <c r="A526" s="3" t="n">
        <v>525</v>
      </c>
      <c r="B526" s="3" t="n">
        <v>524</v>
      </c>
      <c r="C526" s="3" t="n">
        <v>10</v>
      </c>
      <c r="D526" s="3" t="n">
        <v>4</v>
      </c>
      <c r="E526" s="3" t="n">
        <v>6</v>
      </c>
      <c r="F526" s="24" t="n">
        <v>0.217444167</v>
      </c>
    </row>
    <row r="527" customFormat="false" ht="15" hidden="false" customHeight="false" outlineLevel="0" collapsed="false">
      <c r="A527" s="3" t="n">
        <v>526</v>
      </c>
      <c r="B527" s="3" t="n">
        <v>525</v>
      </c>
      <c r="C527" s="3" t="n">
        <v>10</v>
      </c>
      <c r="D527" s="3" t="n">
        <v>5</v>
      </c>
      <c r="E527" s="3" t="n">
        <v>0</v>
      </c>
      <c r="F527" s="24" t="n">
        <v>-0.674230754</v>
      </c>
    </row>
    <row r="528" customFormat="false" ht="15" hidden="false" customHeight="false" outlineLevel="0" collapsed="false">
      <c r="A528" s="3" t="n">
        <v>527</v>
      </c>
      <c r="B528" s="3" t="n">
        <v>526</v>
      </c>
      <c r="C528" s="3" t="n">
        <v>10</v>
      </c>
      <c r="D528" s="3" t="n">
        <v>5</v>
      </c>
      <c r="E528" s="3" t="n">
        <v>1</v>
      </c>
      <c r="F528" s="24" t="n">
        <v>-0.115416355</v>
      </c>
    </row>
    <row r="529" customFormat="false" ht="15" hidden="false" customHeight="false" outlineLevel="0" collapsed="false">
      <c r="A529" s="3" t="n">
        <v>528</v>
      </c>
      <c r="B529" s="3" t="n">
        <v>527</v>
      </c>
      <c r="C529" s="3" t="n">
        <v>10</v>
      </c>
      <c r="D529" s="3" t="n">
        <v>5</v>
      </c>
      <c r="E529" s="3" t="n">
        <v>2</v>
      </c>
      <c r="F529" s="24" t="n">
        <v>-8.79880047</v>
      </c>
    </row>
    <row r="530" customFormat="false" ht="15" hidden="false" customHeight="false" outlineLevel="0" collapsed="false">
      <c r="A530" s="3" t="n">
        <v>529</v>
      </c>
      <c r="B530" s="3" t="n">
        <v>528</v>
      </c>
      <c r="C530" s="3" t="n">
        <v>10</v>
      </c>
      <c r="D530" s="3" t="n">
        <v>5</v>
      </c>
      <c r="E530" s="3" t="n">
        <v>3</v>
      </c>
      <c r="F530" s="24" t="n">
        <v>-24.4683838</v>
      </c>
    </row>
    <row r="531" customFormat="false" ht="15" hidden="false" customHeight="false" outlineLevel="0" collapsed="false">
      <c r="A531" s="3" t="n">
        <v>530</v>
      </c>
      <c r="B531" s="3" t="n">
        <v>529</v>
      </c>
      <c r="C531" s="3" t="n">
        <v>10</v>
      </c>
      <c r="D531" s="3" t="n">
        <v>5</v>
      </c>
      <c r="E531" s="3" t="n">
        <v>4</v>
      </c>
      <c r="F531" s="24" t="n">
        <v>-12.0158815</v>
      </c>
    </row>
    <row r="532" customFormat="false" ht="15" hidden="false" customHeight="false" outlineLevel="0" collapsed="false">
      <c r="A532" s="3" t="n">
        <v>531</v>
      </c>
      <c r="B532" s="3" t="n">
        <v>530</v>
      </c>
      <c r="C532" s="3" t="n">
        <v>10</v>
      </c>
      <c r="D532" s="3" t="n">
        <v>5</v>
      </c>
      <c r="E532" s="3" t="n">
        <v>5</v>
      </c>
      <c r="F532" s="24" t="n">
        <v>-2.36025429</v>
      </c>
    </row>
    <row r="533" customFormat="false" ht="15" hidden="false" customHeight="false" outlineLevel="0" collapsed="false">
      <c r="A533" s="3" t="n">
        <v>532</v>
      </c>
      <c r="B533" s="3" t="n">
        <v>531</v>
      </c>
      <c r="C533" s="3" t="n">
        <v>10</v>
      </c>
      <c r="D533" s="3" t="n">
        <v>5</v>
      </c>
      <c r="E533" s="3" t="n">
        <v>6</v>
      </c>
      <c r="F533" s="24" t="n">
        <v>0.0195132792</v>
      </c>
    </row>
    <row r="534" customFormat="false" ht="15" hidden="false" customHeight="false" outlineLevel="0" collapsed="false">
      <c r="A534" s="3" t="n">
        <v>533</v>
      </c>
      <c r="B534" s="3" t="n">
        <v>532</v>
      </c>
      <c r="C534" s="3" t="n">
        <v>10</v>
      </c>
      <c r="D534" s="3" t="n">
        <v>6</v>
      </c>
      <c r="E534" s="3" t="n">
        <v>0</v>
      </c>
      <c r="F534" s="24" t="n">
        <v>0.751522779</v>
      </c>
    </row>
    <row r="535" customFormat="false" ht="15" hidden="false" customHeight="false" outlineLevel="0" collapsed="false">
      <c r="A535" s="3" t="n">
        <v>534</v>
      </c>
      <c r="B535" s="3" t="n">
        <v>533</v>
      </c>
      <c r="C535" s="3" t="n">
        <v>10</v>
      </c>
      <c r="D535" s="3" t="n">
        <v>6</v>
      </c>
      <c r="E535" s="3" t="n">
        <v>1</v>
      </c>
      <c r="F535" s="24" t="n">
        <v>-0.95662874</v>
      </c>
    </row>
    <row r="536" customFormat="false" ht="15" hidden="false" customHeight="false" outlineLevel="0" collapsed="false">
      <c r="A536" s="3" t="n">
        <v>535</v>
      </c>
      <c r="B536" s="3" t="n">
        <v>534</v>
      </c>
      <c r="C536" s="3" t="n">
        <v>10</v>
      </c>
      <c r="D536" s="3" t="n">
        <v>6</v>
      </c>
      <c r="E536" s="3" t="n">
        <v>2</v>
      </c>
      <c r="F536" s="24" t="n">
        <v>-10.3685665</v>
      </c>
    </row>
    <row r="537" customFormat="false" ht="15" hidden="false" customHeight="false" outlineLevel="0" collapsed="false">
      <c r="A537" s="3" t="n">
        <v>536</v>
      </c>
      <c r="B537" s="3" t="n">
        <v>535</v>
      </c>
      <c r="C537" s="3" t="n">
        <v>10</v>
      </c>
      <c r="D537" s="3" t="n">
        <v>6</v>
      </c>
      <c r="E537" s="3" t="n">
        <v>3</v>
      </c>
      <c r="F537" s="24" t="n">
        <v>-17.1792374</v>
      </c>
    </row>
    <row r="538" customFormat="false" ht="15" hidden="false" customHeight="false" outlineLevel="0" collapsed="false">
      <c r="A538" s="3" t="n">
        <v>537</v>
      </c>
      <c r="B538" s="3" t="n">
        <v>536</v>
      </c>
      <c r="C538" s="3" t="n">
        <v>10</v>
      </c>
      <c r="D538" s="3" t="n">
        <v>6</v>
      </c>
      <c r="E538" s="3" t="n">
        <v>4</v>
      </c>
      <c r="F538" s="24" t="n">
        <v>-5.97285318</v>
      </c>
    </row>
    <row r="539" customFormat="false" ht="15" hidden="false" customHeight="false" outlineLevel="0" collapsed="false">
      <c r="A539" s="3" t="n">
        <v>538</v>
      </c>
      <c r="B539" s="3" t="n">
        <v>537</v>
      </c>
      <c r="C539" s="3" t="n">
        <v>10</v>
      </c>
      <c r="D539" s="3" t="n">
        <v>6</v>
      </c>
      <c r="E539" s="3" t="n">
        <v>5</v>
      </c>
      <c r="F539" s="24" t="n">
        <v>1.40623987</v>
      </c>
    </row>
    <row r="540" customFormat="false" ht="15" hidden="false" customHeight="false" outlineLevel="0" collapsed="false">
      <c r="A540" s="3" t="n">
        <v>539</v>
      </c>
      <c r="B540" s="3" t="n">
        <v>538</v>
      </c>
      <c r="C540" s="3" t="n">
        <v>10</v>
      </c>
      <c r="D540" s="3" t="n">
        <v>6</v>
      </c>
      <c r="E540" s="3" t="n">
        <v>6</v>
      </c>
      <c r="F540" s="24" t="n">
        <v>0.372296512</v>
      </c>
    </row>
    <row r="541" customFormat="false" ht="15" hidden="false" customHeight="false" outlineLevel="0" collapsed="false">
      <c r="A541" s="3" t="n">
        <v>540</v>
      </c>
      <c r="B541" s="3" t="n">
        <v>539</v>
      </c>
      <c r="C541" s="3" t="n">
        <v>11</v>
      </c>
      <c r="D541" s="3" t="n">
        <v>0</v>
      </c>
      <c r="E541" s="3" t="n">
        <v>0</v>
      </c>
      <c r="F541" s="24" t="n">
        <v>-0.946052313</v>
      </c>
    </row>
    <row r="542" customFormat="false" ht="15" hidden="false" customHeight="false" outlineLevel="0" collapsed="false">
      <c r="A542" s="3" t="n">
        <v>541</v>
      </c>
      <c r="B542" s="3" t="n">
        <v>540</v>
      </c>
      <c r="C542" s="3" t="n">
        <v>11</v>
      </c>
      <c r="D542" s="3" t="n">
        <v>0</v>
      </c>
      <c r="E542" s="3" t="n">
        <v>1</v>
      </c>
      <c r="F542" s="24" t="n">
        <v>-6.26068783</v>
      </c>
    </row>
    <row r="543" customFormat="false" ht="15" hidden="false" customHeight="false" outlineLevel="0" collapsed="false">
      <c r="A543" s="3" t="n">
        <v>542</v>
      </c>
      <c r="B543" s="3" t="n">
        <v>541</v>
      </c>
      <c r="C543" s="3" t="n">
        <v>11</v>
      </c>
      <c r="D543" s="3" t="n">
        <v>0</v>
      </c>
      <c r="E543" s="3" t="n">
        <v>2</v>
      </c>
      <c r="F543" s="24" t="n">
        <v>-5.32073975</v>
      </c>
    </row>
    <row r="544" customFormat="false" ht="15" hidden="false" customHeight="false" outlineLevel="0" collapsed="false">
      <c r="A544" s="3" t="n">
        <v>543</v>
      </c>
      <c r="B544" s="3" t="n">
        <v>542</v>
      </c>
      <c r="C544" s="3" t="n">
        <v>11</v>
      </c>
      <c r="D544" s="3" t="n">
        <v>0</v>
      </c>
      <c r="E544" s="3" t="n">
        <v>3</v>
      </c>
      <c r="F544" s="24" t="n">
        <v>-0.81649518</v>
      </c>
    </row>
    <row r="545" customFormat="false" ht="15" hidden="false" customHeight="false" outlineLevel="0" collapsed="false">
      <c r="A545" s="3" t="n">
        <v>544</v>
      </c>
      <c r="B545" s="3" t="n">
        <v>543</v>
      </c>
      <c r="C545" s="3" t="n">
        <v>11</v>
      </c>
      <c r="D545" s="3" t="n">
        <v>0</v>
      </c>
      <c r="E545" s="3" t="n">
        <v>4</v>
      </c>
      <c r="F545" s="24" t="n">
        <v>1.18796718</v>
      </c>
    </row>
    <row r="546" customFormat="false" ht="15" hidden="false" customHeight="false" outlineLevel="0" collapsed="false">
      <c r="A546" s="3" t="n">
        <v>545</v>
      </c>
      <c r="B546" s="3" t="n">
        <v>544</v>
      </c>
      <c r="C546" s="3" t="n">
        <v>11</v>
      </c>
      <c r="D546" s="3" t="n">
        <v>0</v>
      </c>
      <c r="E546" s="3" t="n">
        <v>5</v>
      </c>
      <c r="F546" s="24" t="n">
        <v>2.25978518</v>
      </c>
    </row>
    <row r="547" customFormat="false" ht="15" hidden="false" customHeight="false" outlineLevel="0" collapsed="false">
      <c r="A547" s="3" t="n">
        <v>546</v>
      </c>
      <c r="B547" s="3" t="n">
        <v>545</v>
      </c>
      <c r="C547" s="3" t="n">
        <v>11</v>
      </c>
      <c r="D547" s="3" t="n">
        <v>0</v>
      </c>
      <c r="E547" s="3" t="n">
        <v>6</v>
      </c>
      <c r="F547" s="24" t="n">
        <v>1.79737437</v>
      </c>
    </row>
    <row r="548" customFormat="false" ht="15" hidden="false" customHeight="false" outlineLevel="0" collapsed="false">
      <c r="A548" s="3" t="n">
        <v>547</v>
      </c>
      <c r="B548" s="3" t="n">
        <v>546</v>
      </c>
      <c r="C548" s="3" t="n">
        <v>11</v>
      </c>
      <c r="D548" s="3" t="n">
        <v>1</v>
      </c>
      <c r="E548" s="3" t="n">
        <v>0</v>
      </c>
      <c r="F548" s="24" t="n">
        <v>-3.71905255</v>
      </c>
    </row>
    <row r="549" customFormat="false" ht="15" hidden="false" customHeight="false" outlineLevel="0" collapsed="false">
      <c r="A549" s="3" t="n">
        <v>548</v>
      </c>
      <c r="B549" s="3" t="n">
        <v>547</v>
      </c>
      <c r="C549" s="3" t="n">
        <v>11</v>
      </c>
      <c r="D549" s="3" t="n">
        <v>1</v>
      </c>
      <c r="E549" s="3" t="n">
        <v>1</v>
      </c>
      <c r="F549" s="24" t="n">
        <v>-6.06640291</v>
      </c>
    </row>
    <row r="550" customFormat="false" ht="15" hidden="false" customHeight="false" outlineLevel="0" collapsed="false">
      <c r="A550" s="3" t="n">
        <v>549</v>
      </c>
      <c r="B550" s="3" t="n">
        <v>548</v>
      </c>
      <c r="C550" s="3" t="n">
        <v>11</v>
      </c>
      <c r="D550" s="3" t="n">
        <v>1</v>
      </c>
      <c r="E550" s="3" t="n">
        <v>2</v>
      </c>
      <c r="F550" s="24" t="n">
        <v>-1.93070412</v>
      </c>
    </row>
    <row r="551" customFormat="false" ht="15" hidden="false" customHeight="false" outlineLevel="0" collapsed="false">
      <c r="A551" s="3" t="n">
        <v>550</v>
      </c>
      <c r="B551" s="3" t="n">
        <v>549</v>
      </c>
      <c r="C551" s="3" t="n">
        <v>11</v>
      </c>
      <c r="D551" s="3" t="n">
        <v>1</v>
      </c>
      <c r="E551" s="3" t="n">
        <v>3</v>
      </c>
      <c r="F551" s="24" t="n">
        <v>-3.50396919</v>
      </c>
    </row>
    <row r="552" customFormat="false" ht="15" hidden="false" customHeight="false" outlineLevel="0" collapsed="false">
      <c r="A552" s="3" t="n">
        <v>551</v>
      </c>
      <c r="B552" s="3" t="n">
        <v>550</v>
      </c>
      <c r="C552" s="3" t="n">
        <v>11</v>
      </c>
      <c r="D552" s="3" t="n">
        <v>1</v>
      </c>
      <c r="E552" s="3" t="n">
        <v>4</v>
      </c>
      <c r="F552" s="24" t="n">
        <v>-1.34431922</v>
      </c>
    </row>
    <row r="553" customFormat="false" ht="15" hidden="false" customHeight="false" outlineLevel="0" collapsed="false">
      <c r="A553" s="3" t="n">
        <v>552</v>
      </c>
      <c r="B553" s="3" t="n">
        <v>551</v>
      </c>
      <c r="C553" s="3" t="n">
        <v>11</v>
      </c>
      <c r="D553" s="3" t="n">
        <v>1</v>
      </c>
      <c r="E553" s="3" t="n">
        <v>5</v>
      </c>
      <c r="F553" s="24" t="n">
        <v>2.46107388</v>
      </c>
    </row>
    <row r="554" customFormat="false" ht="15" hidden="false" customHeight="false" outlineLevel="0" collapsed="false">
      <c r="A554" s="3" t="n">
        <v>553</v>
      </c>
      <c r="B554" s="3" t="n">
        <v>552</v>
      </c>
      <c r="C554" s="3" t="n">
        <v>11</v>
      </c>
      <c r="D554" s="3" t="n">
        <v>1</v>
      </c>
      <c r="E554" s="3" t="n">
        <v>6</v>
      </c>
      <c r="F554" s="24" t="n">
        <v>0.412454754</v>
      </c>
    </row>
    <row r="555" customFormat="false" ht="15" hidden="false" customHeight="false" outlineLevel="0" collapsed="false">
      <c r="A555" s="3" t="n">
        <v>554</v>
      </c>
      <c r="B555" s="3" t="n">
        <v>553</v>
      </c>
      <c r="C555" s="3" t="n">
        <v>11</v>
      </c>
      <c r="D555" s="3" t="n">
        <v>2</v>
      </c>
      <c r="E555" s="3" t="n">
        <v>0</v>
      </c>
      <c r="F555" s="24" t="n">
        <v>-10.5640984</v>
      </c>
    </row>
    <row r="556" customFormat="false" ht="15" hidden="false" customHeight="false" outlineLevel="0" collapsed="false">
      <c r="A556" s="3" t="n">
        <v>555</v>
      </c>
      <c r="B556" s="3" t="n">
        <v>554</v>
      </c>
      <c r="C556" s="3" t="n">
        <v>11</v>
      </c>
      <c r="D556" s="3" t="n">
        <v>2</v>
      </c>
      <c r="E556" s="3" t="n">
        <v>1</v>
      </c>
      <c r="F556" s="24" t="n">
        <v>-23.9313335</v>
      </c>
    </row>
    <row r="557" customFormat="false" ht="15" hidden="false" customHeight="false" outlineLevel="0" collapsed="false">
      <c r="A557" s="3" t="n">
        <v>556</v>
      </c>
      <c r="B557" s="3" t="n">
        <v>555</v>
      </c>
      <c r="C557" s="3" t="n">
        <v>11</v>
      </c>
      <c r="D557" s="3" t="n">
        <v>2</v>
      </c>
      <c r="E557" s="3" t="n">
        <v>2</v>
      </c>
      <c r="F557" s="24" t="n">
        <v>-27.6507359</v>
      </c>
    </row>
    <row r="558" customFormat="false" ht="15" hidden="false" customHeight="false" outlineLevel="0" collapsed="false">
      <c r="A558" s="3" t="n">
        <v>557</v>
      </c>
      <c r="B558" s="3" t="n">
        <v>556</v>
      </c>
      <c r="C558" s="3" t="n">
        <v>11</v>
      </c>
      <c r="D558" s="3" t="n">
        <v>2</v>
      </c>
      <c r="E558" s="3" t="n">
        <v>3</v>
      </c>
      <c r="F558" s="24" t="n">
        <v>-21.3516388</v>
      </c>
    </row>
    <row r="559" customFormat="false" ht="15" hidden="false" customHeight="false" outlineLevel="0" collapsed="false">
      <c r="A559" s="3" t="n">
        <v>558</v>
      </c>
      <c r="B559" s="3" t="n">
        <v>557</v>
      </c>
      <c r="C559" s="3" t="n">
        <v>11</v>
      </c>
      <c r="D559" s="3" t="n">
        <v>2</v>
      </c>
      <c r="E559" s="3" t="n">
        <v>4</v>
      </c>
      <c r="F559" s="24" t="n">
        <v>-11.2192144</v>
      </c>
    </row>
    <row r="560" customFormat="false" ht="15" hidden="false" customHeight="false" outlineLevel="0" collapsed="false">
      <c r="A560" s="3" t="n">
        <v>559</v>
      </c>
      <c r="B560" s="3" t="n">
        <v>558</v>
      </c>
      <c r="C560" s="3" t="n">
        <v>11</v>
      </c>
      <c r="D560" s="3" t="n">
        <v>2</v>
      </c>
      <c r="E560" s="3" t="n">
        <v>5</v>
      </c>
      <c r="F560" s="24" t="n">
        <v>-2.34135604</v>
      </c>
    </row>
    <row r="561" customFormat="false" ht="15" hidden="false" customHeight="false" outlineLevel="0" collapsed="false">
      <c r="A561" s="3" t="n">
        <v>560</v>
      </c>
      <c r="B561" s="3" t="n">
        <v>559</v>
      </c>
      <c r="C561" s="3" t="n">
        <v>11</v>
      </c>
      <c r="D561" s="3" t="n">
        <v>2</v>
      </c>
      <c r="E561" s="3" t="n">
        <v>6</v>
      </c>
      <c r="F561" s="24" t="n">
        <v>-1.93379045</v>
      </c>
    </row>
    <row r="562" customFormat="false" ht="15" hidden="false" customHeight="false" outlineLevel="0" collapsed="false">
      <c r="A562" s="3" t="n">
        <v>561</v>
      </c>
      <c r="B562" s="3" t="n">
        <v>560</v>
      </c>
      <c r="C562" s="3" t="n">
        <v>11</v>
      </c>
      <c r="D562" s="3" t="n">
        <v>3</v>
      </c>
      <c r="E562" s="3" t="n">
        <v>0</v>
      </c>
      <c r="F562" s="24" t="n">
        <v>-6.19253016</v>
      </c>
    </row>
    <row r="563" customFormat="false" ht="15" hidden="false" customHeight="false" outlineLevel="0" collapsed="false">
      <c r="A563" s="3" t="n">
        <v>562</v>
      </c>
      <c r="B563" s="3" t="n">
        <v>561</v>
      </c>
      <c r="C563" s="3" t="n">
        <v>11</v>
      </c>
      <c r="D563" s="3" t="n">
        <v>3</v>
      </c>
      <c r="E563" s="3" t="n">
        <v>1</v>
      </c>
      <c r="F563" s="24" t="n">
        <v>-14.7951822</v>
      </c>
    </row>
    <row r="564" customFormat="false" ht="15" hidden="false" customHeight="false" outlineLevel="0" collapsed="false">
      <c r="A564" s="3" t="n">
        <v>563</v>
      </c>
      <c r="B564" s="3" t="n">
        <v>562</v>
      </c>
      <c r="C564" s="3" t="n">
        <v>11</v>
      </c>
      <c r="D564" s="3" t="n">
        <v>3</v>
      </c>
      <c r="E564" s="3" t="n">
        <v>2</v>
      </c>
      <c r="F564" s="24" t="n">
        <v>-13.7501965</v>
      </c>
    </row>
    <row r="565" customFormat="false" ht="15" hidden="false" customHeight="false" outlineLevel="0" collapsed="false">
      <c r="A565" s="3" t="n">
        <v>564</v>
      </c>
      <c r="B565" s="3" t="n">
        <v>563</v>
      </c>
      <c r="C565" s="3" t="n">
        <v>11</v>
      </c>
      <c r="D565" s="3" t="n">
        <v>3</v>
      </c>
      <c r="E565" s="3" t="n">
        <v>3</v>
      </c>
      <c r="F565" s="24" t="n">
        <v>-7.85213947</v>
      </c>
    </row>
    <row r="566" customFormat="false" ht="15" hidden="false" customHeight="false" outlineLevel="0" collapsed="false">
      <c r="A566" s="3" t="n">
        <v>565</v>
      </c>
      <c r="B566" s="3" t="n">
        <v>564</v>
      </c>
      <c r="C566" s="3" t="n">
        <v>11</v>
      </c>
      <c r="D566" s="3" t="n">
        <v>3</v>
      </c>
      <c r="E566" s="3" t="n">
        <v>4</v>
      </c>
      <c r="F566" s="24" t="n">
        <v>-2.65618277</v>
      </c>
    </row>
    <row r="567" customFormat="false" ht="15" hidden="false" customHeight="false" outlineLevel="0" collapsed="false">
      <c r="A567" s="3" t="n">
        <v>566</v>
      </c>
      <c r="B567" s="3" t="n">
        <v>565</v>
      </c>
      <c r="C567" s="3" t="n">
        <v>11</v>
      </c>
      <c r="D567" s="3" t="n">
        <v>3</v>
      </c>
      <c r="E567" s="3" t="n">
        <v>5</v>
      </c>
      <c r="F567" s="24" t="n">
        <v>-4.86497879</v>
      </c>
    </row>
    <row r="568" customFormat="false" ht="15" hidden="false" customHeight="false" outlineLevel="0" collapsed="false">
      <c r="A568" s="3" t="n">
        <v>567</v>
      </c>
      <c r="B568" s="3" t="n">
        <v>566</v>
      </c>
      <c r="C568" s="3" t="n">
        <v>11</v>
      </c>
      <c r="D568" s="3" t="n">
        <v>3</v>
      </c>
      <c r="E568" s="3" t="n">
        <v>6</v>
      </c>
      <c r="F568" s="24" t="n">
        <v>2.74244046</v>
      </c>
    </row>
    <row r="569" customFormat="false" ht="15" hidden="false" customHeight="false" outlineLevel="0" collapsed="false">
      <c r="A569" s="3" t="n">
        <v>568</v>
      </c>
      <c r="B569" s="3" t="n">
        <v>567</v>
      </c>
      <c r="C569" s="3" t="n">
        <v>11</v>
      </c>
      <c r="D569" s="3" t="n">
        <v>4</v>
      </c>
      <c r="E569" s="3" t="n">
        <v>0</v>
      </c>
      <c r="F569" s="24" t="n">
        <v>-1.12790382</v>
      </c>
    </row>
    <row r="570" customFormat="false" ht="15" hidden="false" customHeight="false" outlineLevel="0" collapsed="false">
      <c r="A570" s="3" t="n">
        <v>569</v>
      </c>
      <c r="B570" s="3" t="n">
        <v>568</v>
      </c>
      <c r="C570" s="3" t="n">
        <v>11</v>
      </c>
      <c r="D570" s="3" t="n">
        <v>4</v>
      </c>
      <c r="E570" s="3" t="n">
        <v>1</v>
      </c>
      <c r="F570" s="24" t="n">
        <v>1.19599199</v>
      </c>
    </row>
    <row r="571" customFormat="false" ht="15" hidden="false" customHeight="false" outlineLevel="0" collapsed="false">
      <c r="A571" s="3" t="n">
        <v>570</v>
      </c>
      <c r="B571" s="3" t="n">
        <v>569</v>
      </c>
      <c r="C571" s="3" t="n">
        <v>11</v>
      </c>
      <c r="D571" s="3" t="n">
        <v>4</v>
      </c>
      <c r="E571" s="3" t="n">
        <v>2</v>
      </c>
      <c r="F571" s="24" t="n">
        <v>7.18678713</v>
      </c>
    </row>
    <row r="572" customFormat="false" ht="15" hidden="false" customHeight="false" outlineLevel="0" collapsed="false">
      <c r="A572" s="3" t="n">
        <v>571</v>
      </c>
      <c r="B572" s="3" t="n">
        <v>570</v>
      </c>
      <c r="C572" s="3" t="n">
        <v>11</v>
      </c>
      <c r="D572" s="3" t="n">
        <v>4</v>
      </c>
      <c r="E572" s="3" t="n">
        <v>3</v>
      </c>
      <c r="F572" s="24" t="n">
        <v>7.67196321</v>
      </c>
    </row>
    <row r="573" customFormat="false" ht="15" hidden="false" customHeight="false" outlineLevel="0" collapsed="false">
      <c r="A573" s="3" t="n">
        <v>572</v>
      </c>
      <c r="B573" s="3" t="n">
        <v>571</v>
      </c>
      <c r="C573" s="3" t="n">
        <v>11</v>
      </c>
      <c r="D573" s="3" t="n">
        <v>4</v>
      </c>
      <c r="E573" s="3" t="n">
        <v>4</v>
      </c>
      <c r="F573" s="24" t="n">
        <v>-3.57346439</v>
      </c>
    </row>
    <row r="574" customFormat="false" ht="15" hidden="false" customHeight="false" outlineLevel="0" collapsed="false">
      <c r="A574" s="3" t="n">
        <v>573</v>
      </c>
      <c r="B574" s="3" t="n">
        <v>572</v>
      </c>
      <c r="C574" s="3" t="n">
        <v>11</v>
      </c>
      <c r="D574" s="3" t="n">
        <v>4</v>
      </c>
      <c r="E574" s="3" t="n">
        <v>5</v>
      </c>
      <c r="F574" s="24" t="n">
        <v>0.056566</v>
      </c>
    </row>
    <row r="575" customFormat="false" ht="15" hidden="false" customHeight="false" outlineLevel="0" collapsed="false">
      <c r="A575" s="3" t="n">
        <v>574</v>
      </c>
      <c r="B575" s="3" t="n">
        <v>573</v>
      </c>
      <c r="C575" s="3" t="n">
        <v>11</v>
      </c>
      <c r="D575" s="3" t="n">
        <v>4</v>
      </c>
      <c r="E575" s="3" t="n">
        <v>6</v>
      </c>
      <c r="F575" s="24" t="n">
        <v>1.85417008</v>
      </c>
    </row>
    <row r="576" customFormat="false" ht="15" hidden="false" customHeight="false" outlineLevel="0" collapsed="false">
      <c r="A576" s="3" t="n">
        <v>575</v>
      </c>
      <c r="B576" s="3" t="n">
        <v>574</v>
      </c>
      <c r="C576" s="3" t="n">
        <v>11</v>
      </c>
      <c r="D576" s="3" t="n">
        <v>5</v>
      </c>
      <c r="E576" s="3" t="n">
        <v>0</v>
      </c>
      <c r="F576" s="24" t="n">
        <v>-0.921650231</v>
      </c>
    </row>
    <row r="577" customFormat="false" ht="15" hidden="false" customHeight="false" outlineLevel="0" collapsed="false">
      <c r="A577" s="3" t="n">
        <v>576</v>
      </c>
      <c r="B577" s="3" t="n">
        <v>575</v>
      </c>
      <c r="C577" s="3" t="n">
        <v>11</v>
      </c>
      <c r="D577" s="3" t="n">
        <v>5</v>
      </c>
      <c r="E577" s="3" t="n">
        <v>1</v>
      </c>
      <c r="F577" s="24" t="n">
        <v>5.88503313</v>
      </c>
    </row>
    <row r="578" customFormat="false" ht="15" hidden="false" customHeight="false" outlineLevel="0" collapsed="false">
      <c r="A578" s="3" t="n">
        <v>577</v>
      </c>
      <c r="B578" s="3" t="n">
        <v>576</v>
      </c>
      <c r="C578" s="3" t="n">
        <v>11</v>
      </c>
      <c r="D578" s="3" t="n">
        <v>5</v>
      </c>
      <c r="E578" s="3" t="n">
        <v>2</v>
      </c>
      <c r="F578" s="24" t="n">
        <v>7.35886717</v>
      </c>
    </row>
    <row r="579" customFormat="false" ht="15" hidden="false" customHeight="false" outlineLevel="0" collapsed="false">
      <c r="A579" s="3" t="n">
        <v>578</v>
      </c>
      <c r="B579" s="3" t="n">
        <v>577</v>
      </c>
      <c r="C579" s="3" t="n">
        <v>11</v>
      </c>
      <c r="D579" s="3" t="n">
        <v>5</v>
      </c>
      <c r="E579" s="3" t="n">
        <v>3</v>
      </c>
      <c r="F579" s="24" t="n">
        <v>-3.10623932</v>
      </c>
    </row>
    <row r="580" customFormat="false" ht="15" hidden="false" customHeight="false" outlineLevel="0" collapsed="false">
      <c r="A580" s="3" t="n">
        <v>579</v>
      </c>
      <c r="B580" s="3" t="n">
        <v>578</v>
      </c>
      <c r="C580" s="3" t="n">
        <v>11</v>
      </c>
      <c r="D580" s="3" t="n">
        <v>5</v>
      </c>
      <c r="E580" s="3" t="n">
        <v>4</v>
      </c>
      <c r="F580" s="24" t="n">
        <v>-4.57387781</v>
      </c>
    </row>
    <row r="581" customFormat="false" ht="15" hidden="false" customHeight="false" outlineLevel="0" collapsed="false">
      <c r="A581" s="3" t="n">
        <v>580</v>
      </c>
      <c r="B581" s="3" t="n">
        <v>579</v>
      </c>
      <c r="C581" s="3" t="n">
        <v>11</v>
      </c>
      <c r="D581" s="3" t="n">
        <v>5</v>
      </c>
      <c r="E581" s="3" t="n">
        <v>5</v>
      </c>
      <c r="F581" s="24" t="n">
        <v>2.94033599</v>
      </c>
    </row>
    <row r="582" customFormat="false" ht="15" hidden="false" customHeight="false" outlineLevel="0" collapsed="false">
      <c r="A582" s="3" t="n">
        <v>581</v>
      </c>
      <c r="B582" s="3" t="n">
        <v>580</v>
      </c>
      <c r="C582" s="3" t="n">
        <v>11</v>
      </c>
      <c r="D582" s="3" t="n">
        <v>5</v>
      </c>
      <c r="E582" s="3" t="n">
        <v>6</v>
      </c>
      <c r="F582" s="24" t="n">
        <v>0.227046043</v>
      </c>
    </row>
    <row r="583" customFormat="false" ht="15" hidden="false" customHeight="false" outlineLevel="0" collapsed="false">
      <c r="A583" s="3" t="n">
        <v>582</v>
      </c>
      <c r="B583" s="3" t="n">
        <v>581</v>
      </c>
      <c r="C583" s="3" t="n">
        <v>11</v>
      </c>
      <c r="D583" s="3" t="n">
        <v>6</v>
      </c>
      <c r="E583" s="3" t="n">
        <v>0</v>
      </c>
      <c r="F583" s="24" t="n">
        <v>-0.732965827</v>
      </c>
    </row>
    <row r="584" customFormat="false" ht="15" hidden="false" customHeight="false" outlineLevel="0" collapsed="false">
      <c r="A584" s="3" t="n">
        <v>583</v>
      </c>
      <c r="B584" s="3" t="n">
        <v>582</v>
      </c>
      <c r="C584" s="3" t="n">
        <v>11</v>
      </c>
      <c r="D584" s="3" t="n">
        <v>6</v>
      </c>
      <c r="E584" s="3" t="n">
        <v>1</v>
      </c>
      <c r="F584" s="24" t="n">
        <v>-0.636224687</v>
      </c>
    </row>
    <row r="585" customFormat="false" ht="15" hidden="false" customHeight="false" outlineLevel="0" collapsed="false">
      <c r="A585" s="3" t="n">
        <v>584</v>
      </c>
      <c r="B585" s="3" t="n">
        <v>583</v>
      </c>
      <c r="C585" s="3" t="n">
        <v>11</v>
      </c>
      <c r="D585" s="3" t="n">
        <v>6</v>
      </c>
      <c r="E585" s="3" t="n">
        <v>2</v>
      </c>
      <c r="F585" s="24" t="n">
        <v>-3.80562043</v>
      </c>
    </row>
    <row r="586" customFormat="false" ht="15" hidden="false" customHeight="false" outlineLevel="0" collapsed="false">
      <c r="A586" s="3" t="n">
        <v>585</v>
      </c>
      <c r="B586" s="3" t="n">
        <v>584</v>
      </c>
      <c r="C586" s="3" t="n">
        <v>11</v>
      </c>
      <c r="D586" s="3" t="n">
        <v>6</v>
      </c>
      <c r="E586" s="3" t="n">
        <v>3</v>
      </c>
      <c r="F586" s="24" t="n">
        <v>-5.7388854</v>
      </c>
    </row>
    <row r="587" customFormat="false" ht="15" hidden="false" customHeight="false" outlineLevel="0" collapsed="false">
      <c r="A587" s="3" t="n">
        <v>586</v>
      </c>
      <c r="B587" s="3" t="n">
        <v>585</v>
      </c>
      <c r="C587" s="3" t="n">
        <v>11</v>
      </c>
      <c r="D587" s="3" t="n">
        <v>6</v>
      </c>
      <c r="E587" s="3" t="n">
        <v>4</v>
      </c>
      <c r="F587" s="24" t="n">
        <v>1.48472273</v>
      </c>
    </row>
    <row r="588" customFormat="false" ht="15" hidden="false" customHeight="false" outlineLevel="0" collapsed="false">
      <c r="A588" s="3" t="n">
        <v>587</v>
      </c>
      <c r="B588" s="3" t="n">
        <v>586</v>
      </c>
      <c r="C588" s="3" t="n">
        <v>11</v>
      </c>
      <c r="D588" s="3" t="n">
        <v>6</v>
      </c>
      <c r="E588" s="3" t="n">
        <v>5</v>
      </c>
      <c r="F588" s="24" t="n">
        <v>0.855278015</v>
      </c>
    </row>
    <row r="589" customFormat="false" ht="15" hidden="false" customHeight="false" outlineLevel="0" collapsed="false">
      <c r="A589" s="3" t="n">
        <v>588</v>
      </c>
      <c r="B589" s="3" t="n">
        <v>587</v>
      </c>
      <c r="C589" s="3" t="n">
        <v>11</v>
      </c>
      <c r="D589" s="3" t="n">
        <v>6</v>
      </c>
      <c r="E589" s="3" t="n">
        <v>6</v>
      </c>
      <c r="F589" s="24" t="n">
        <v>0.0404000208</v>
      </c>
    </row>
    <row r="590" customFormat="false" ht="15" hidden="false" customHeight="false" outlineLevel="0" collapsed="false">
      <c r="A590" s="3" t="n">
        <v>589</v>
      </c>
      <c r="B590" s="3" t="n">
        <v>588</v>
      </c>
      <c r="C590" s="3" t="n">
        <v>12</v>
      </c>
      <c r="D590" s="3" t="n">
        <v>0</v>
      </c>
      <c r="E590" s="3" t="n">
        <v>0</v>
      </c>
      <c r="F590" s="24" t="n">
        <v>-4.84428024</v>
      </c>
    </row>
    <row r="591" customFormat="false" ht="15" hidden="false" customHeight="false" outlineLevel="0" collapsed="false">
      <c r="A591" s="3" t="n">
        <v>590</v>
      </c>
      <c r="B591" s="3" t="n">
        <v>589</v>
      </c>
      <c r="C591" s="3" t="n">
        <v>12</v>
      </c>
      <c r="D591" s="3" t="n">
        <v>0</v>
      </c>
      <c r="E591" s="3" t="n">
        <v>1</v>
      </c>
      <c r="F591" s="24" t="n">
        <v>-4.26109886</v>
      </c>
    </row>
    <row r="592" customFormat="false" ht="15" hidden="false" customHeight="false" outlineLevel="0" collapsed="false">
      <c r="A592" s="3" t="n">
        <v>591</v>
      </c>
      <c r="B592" s="3" t="n">
        <v>590</v>
      </c>
      <c r="C592" s="3" t="n">
        <v>12</v>
      </c>
      <c r="D592" s="3" t="n">
        <v>0</v>
      </c>
      <c r="E592" s="3" t="n">
        <v>2</v>
      </c>
      <c r="F592" s="24" t="n">
        <v>-2.13955021</v>
      </c>
    </row>
    <row r="593" customFormat="false" ht="15" hidden="false" customHeight="false" outlineLevel="0" collapsed="false">
      <c r="A593" s="3" t="n">
        <v>592</v>
      </c>
      <c r="B593" s="3" t="n">
        <v>591</v>
      </c>
      <c r="C593" s="3" t="n">
        <v>12</v>
      </c>
      <c r="D593" s="3" t="n">
        <v>0</v>
      </c>
      <c r="E593" s="3" t="n">
        <v>3</v>
      </c>
      <c r="F593" s="24" t="n">
        <v>-4.3557477</v>
      </c>
    </row>
    <row r="594" customFormat="false" ht="15" hidden="false" customHeight="false" outlineLevel="0" collapsed="false">
      <c r="A594" s="3" t="n">
        <v>593</v>
      </c>
      <c r="B594" s="3" t="n">
        <v>592</v>
      </c>
      <c r="C594" s="3" t="n">
        <v>12</v>
      </c>
      <c r="D594" s="3" t="n">
        <v>0</v>
      </c>
      <c r="E594" s="3" t="n">
        <v>4</v>
      </c>
      <c r="F594" s="24" t="n">
        <v>-3.9105978</v>
      </c>
    </row>
    <row r="595" customFormat="false" ht="15" hidden="false" customHeight="false" outlineLevel="0" collapsed="false">
      <c r="A595" s="3" t="n">
        <v>594</v>
      </c>
      <c r="B595" s="3" t="n">
        <v>593</v>
      </c>
      <c r="C595" s="3" t="n">
        <v>12</v>
      </c>
      <c r="D595" s="3" t="n">
        <v>0</v>
      </c>
      <c r="E595" s="3" t="n">
        <v>5</v>
      </c>
      <c r="F595" s="24" t="n">
        <v>-2.13236713</v>
      </c>
    </row>
    <row r="596" customFormat="false" ht="15" hidden="false" customHeight="false" outlineLevel="0" collapsed="false">
      <c r="A596" s="3" t="n">
        <v>595</v>
      </c>
      <c r="B596" s="3" t="n">
        <v>594</v>
      </c>
      <c r="C596" s="3" t="n">
        <v>12</v>
      </c>
      <c r="D596" s="3" t="n">
        <v>0</v>
      </c>
      <c r="E596" s="3" t="n">
        <v>6</v>
      </c>
      <c r="F596" s="24" t="n">
        <v>-0.721975029</v>
      </c>
    </row>
    <row r="597" customFormat="false" ht="15" hidden="false" customHeight="false" outlineLevel="0" collapsed="false">
      <c r="A597" s="3" t="n">
        <v>596</v>
      </c>
      <c r="B597" s="3" t="n">
        <v>595</v>
      </c>
      <c r="C597" s="3" t="n">
        <v>12</v>
      </c>
      <c r="D597" s="3" t="n">
        <v>1</v>
      </c>
      <c r="E597" s="3" t="n">
        <v>0</v>
      </c>
      <c r="F597" s="24" t="n">
        <v>1.02040803</v>
      </c>
    </row>
    <row r="598" customFormat="false" ht="15" hidden="false" customHeight="false" outlineLevel="0" collapsed="false">
      <c r="A598" s="3" t="n">
        <v>597</v>
      </c>
      <c r="B598" s="3" t="n">
        <v>596</v>
      </c>
      <c r="C598" s="3" t="n">
        <v>12</v>
      </c>
      <c r="D598" s="3" t="n">
        <v>1</v>
      </c>
      <c r="E598" s="3" t="n">
        <v>1</v>
      </c>
      <c r="F598" s="24" t="n">
        <v>1.41187894</v>
      </c>
    </row>
    <row r="599" customFormat="false" ht="15" hidden="false" customHeight="false" outlineLevel="0" collapsed="false">
      <c r="A599" s="3" t="n">
        <v>598</v>
      </c>
      <c r="B599" s="3" t="n">
        <v>597</v>
      </c>
      <c r="C599" s="3" t="n">
        <v>12</v>
      </c>
      <c r="D599" s="3" t="n">
        <v>1</v>
      </c>
      <c r="E599" s="3" t="n">
        <v>2</v>
      </c>
      <c r="F599" s="24" t="n">
        <v>-3.52729297</v>
      </c>
    </row>
    <row r="600" customFormat="false" ht="15" hidden="false" customHeight="false" outlineLevel="0" collapsed="false">
      <c r="A600" s="3" t="n">
        <v>599</v>
      </c>
      <c r="B600" s="3" t="n">
        <v>598</v>
      </c>
      <c r="C600" s="3" t="n">
        <v>12</v>
      </c>
      <c r="D600" s="3" t="n">
        <v>1</v>
      </c>
      <c r="E600" s="3" t="n">
        <v>3</v>
      </c>
      <c r="F600" s="24" t="n">
        <v>-11.1491909</v>
      </c>
    </row>
    <row r="601" customFormat="false" ht="15" hidden="false" customHeight="false" outlineLevel="0" collapsed="false">
      <c r="A601" s="3" t="n">
        <v>600</v>
      </c>
      <c r="B601" s="3" t="n">
        <v>599</v>
      </c>
      <c r="C601" s="3" t="n">
        <v>12</v>
      </c>
      <c r="D601" s="3" t="n">
        <v>1</v>
      </c>
      <c r="E601" s="3" t="n">
        <v>4</v>
      </c>
      <c r="F601" s="24" t="n">
        <v>-8.90114212</v>
      </c>
    </row>
    <row r="602" customFormat="false" ht="15" hidden="false" customHeight="false" outlineLevel="0" collapsed="false">
      <c r="A602" s="3" t="n">
        <v>601</v>
      </c>
      <c r="B602" s="3" t="n">
        <v>600</v>
      </c>
      <c r="C602" s="3" t="n">
        <v>12</v>
      </c>
      <c r="D602" s="3" t="n">
        <v>1</v>
      </c>
      <c r="E602" s="3" t="n">
        <v>5</v>
      </c>
      <c r="F602" s="24" t="n">
        <v>-1.69487965</v>
      </c>
    </row>
    <row r="603" customFormat="false" ht="15" hidden="false" customHeight="false" outlineLevel="0" collapsed="false">
      <c r="A603" s="3" t="n">
        <v>602</v>
      </c>
      <c r="B603" s="3" t="n">
        <v>601</v>
      </c>
      <c r="C603" s="3" t="n">
        <v>12</v>
      </c>
      <c r="D603" s="3" t="n">
        <v>1</v>
      </c>
      <c r="E603" s="3" t="n">
        <v>6</v>
      </c>
      <c r="F603" s="24" t="n">
        <v>-0.75218153</v>
      </c>
    </row>
    <row r="604" customFormat="false" ht="15" hidden="false" customHeight="false" outlineLevel="0" collapsed="false">
      <c r="A604" s="3" t="n">
        <v>603</v>
      </c>
      <c r="B604" s="3" t="n">
        <v>602</v>
      </c>
      <c r="C604" s="3" t="n">
        <v>12</v>
      </c>
      <c r="D604" s="3" t="n">
        <v>2</v>
      </c>
      <c r="E604" s="3" t="n">
        <v>0</v>
      </c>
      <c r="F604" s="24" t="n">
        <v>-1.84235275</v>
      </c>
    </row>
    <row r="605" customFormat="false" ht="15" hidden="false" customHeight="false" outlineLevel="0" collapsed="false">
      <c r="A605" s="3" t="n">
        <v>604</v>
      </c>
      <c r="B605" s="3" t="n">
        <v>603</v>
      </c>
      <c r="C605" s="3" t="n">
        <v>12</v>
      </c>
      <c r="D605" s="3" t="n">
        <v>2</v>
      </c>
      <c r="E605" s="3" t="n">
        <v>1</v>
      </c>
      <c r="F605" s="24" t="n">
        <v>-0.222465485</v>
      </c>
    </row>
    <row r="606" customFormat="false" ht="15" hidden="false" customHeight="false" outlineLevel="0" collapsed="false">
      <c r="A606" s="3" t="n">
        <v>605</v>
      </c>
      <c r="B606" s="3" t="n">
        <v>604</v>
      </c>
      <c r="C606" s="3" t="n">
        <v>12</v>
      </c>
      <c r="D606" s="3" t="n">
        <v>2</v>
      </c>
      <c r="E606" s="3" t="n">
        <v>2</v>
      </c>
      <c r="F606" s="24" t="n">
        <v>-5.58450365</v>
      </c>
    </row>
    <row r="607" customFormat="false" ht="15" hidden="false" customHeight="false" outlineLevel="0" collapsed="false">
      <c r="A607" s="3" t="n">
        <v>606</v>
      </c>
      <c r="B607" s="3" t="n">
        <v>605</v>
      </c>
      <c r="C607" s="3" t="n">
        <v>12</v>
      </c>
      <c r="D607" s="3" t="n">
        <v>2</v>
      </c>
      <c r="E607" s="3" t="n">
        <v>3</v>
      </c>
      <c r="F607" s="24" t="n">
        <v>-6.13587093</v>
      </c>
    </row>
    <row r="608" customFormat="false" ht="15" hidden="false" customHeight="false" outlineLevel="0" collapsed="false">
      <c r="A608" s="3" t="n">
        <v>607</v>
      </c>
      <c r="B608" s="3" t="n">
        <v>606</v>
      </c>
      <c r="C608" s="3" t="n">
        <v>12</v>
      </c>
      <c r="D608" s="3" t="n">
        <v>2</v>
      </c>
      <c r="E608" s="3" t="n">
        <v>4</v>
      </c>
      <c r="F608" s="24" t="n">
        <v>3.67523193</v>
      </c>
    </row>
    <row r="609" customFormat="false" ht="15" hidden="false" customHeight="false" outlineLevel="0" collapsed="false">
      <c r="A609" s="3" t="n">
        <v>608</v>
      </c>
      <c r="B609" s="3" t="n">
        <v>607</v>
      </c>
      <c r="C609" s="3" t="n">
        <v>12</v>
      </c>
      <c r="D609" s="3" t="n">
        <v>2</v>
      </c>
      <c r="E609" s="3" t="n">
        <v>5</v>
      </c>
      <c r="F609" s="24" t="n">
        <v>0.390425742</v>
      </c>
    </row>
    <row r="610" customFormat="false" ht="15" hidden="false" customHeight="false" outlineLevel="0" collapsed="false">
      <c r="A610" s="3" t="n">
        <v>609</v>
      </c>
      <c r="B610" s="3" t="n">
        <v>608</v>
      </c>
      <c r="C610" s="3" t="n">
        <v>12</v>
      </c>
      <c r="D610" s="3" t="n">
        <v>2</v>
      </c>
      <c r="E610" s="3" t="n">
        <v>6</v>
      </c>
      <c r="F610" s="24" t="n">
        <v>-1.64405394</v>
      </c>
    </row>
    <row r="611" customFormat="false" ht="15" hidden="false" customHeight="false" outlineLevel="0" collapsed="false">
      <c r="A611" s="3" t="n">
        <v>610</v>
      </c>
      <c r="B611" s="3" t="n">
        <v>609</v>
      </c>
      <c r="C611" s="3" t="n">
        <v>12</v>
      </c>
      <c r="D611" s="3" t="n">
        <v>3</v>
      </c>
      <c r="E611" s="3" t="n">
        <v>0</v>
      </c>
      <c r="F611" s="24" t="n">
        <v>0.747413278</v>
      </c>
    </row>
    <row r="612" customFormat="false" ht="15" hidden="false" customHeight="false" outlineLevel="0" collapsed="false">
      <c r="A612" s="3" t="n">
        <v>611</v>
      </c>
      <c r="B612" s="3" t="n">
        <v>610</v>
      </c>
      <c r="C612" s="3" t="n">
        <v>12</v>
      </c>
      <c r="D612" s="3" t="n">
        <v>3</v>
      </c>
      <c r="E612" s="3" t="n">
        <v>1</v>
      </c>
      <c r="F612" s="24" t="n">
        <v>-11.8367968</v>
      </c>
    </row>
    <row r="613" customFormat="false" ht="15" hidden="false" customHeight="false" outlineLevel="0" collapsed="false">
      <c r="A613" s="3" t="n">
        <v>612</v>
      </c>
      <c r="B613" s="3" t="n">
        <v>611</v>
      </c>
      <c r="C613" s="3" t="n">
        <v>12</v>
      </c>
      <c r="D613" s="3" t="n">
        <v>3</v>
      </c>
      <c r="E613" s="3" t="n">
        <v>2</v>
      </c>
      <c r="F613" s="24" t="n">
        <v>-24.919878</v>
      </c>
    </row>
    <row r="614" customFormat="false" ht="15" hidden="false" customHeight="false" outlineLevel="0" collapsed="false">
      <c r="A614" s="3" t="n">
        <v>613</v>
      </c>
      <c r="B614" s="3" t="n">
        <v>612</v>
      </c>
      <c r="C614" s="3" t="n">
        <v>12</v>
      </c>
      <c r="D614" s="3" t="n">
        <v>3</v>
      </c>
      <c r="E614" s="3" t="n">
        <v>3</v>
      </c>
      <c r="F614" s="24" t="n">
        <v>-11.8622885</v>
      </c>
    </row>
    <row r="615" customFormat="false" ht="15" hidden="false" customHeight="false" outlineLevel="0" collapsed="false">
      <c r="A615" s="3" t="n">
        <v>614</v>
      </c>
      <c r="B615" s="3" t="n">
        <v>613</v>
      </c>
      <c r="C615" s="3" t="n">
        <v>12</v>
      </c>
      <c r="D615" s="3" t="n">
        <v>3</v>
      </c>
      <c r="E615" s="3" t="n">
        <v>4</v>
      </c>
      <c r="F615" s="24" t="n">
        <v>-2.99756312</v>
      </c>
    </row>
    <row r="616" customFormat="false" ht="15" hidden="false" customHeight="false" outlineLevel="0" collapsed="false">
      <c r="A616" s="3" t="n">
        <v>615</v>
      </c>
      <c r="B616" s="3" t="n">
        <v>614</v>
      </c>
      <c r="C616" s="3" t="n">
        <v>12</v>
      </c>
      <c r="D616" s="3" t="n">
        <v>3</v>
      </c>
      <c r="E616" s="3" t="n">
        <v>5</v>
      </c>
      <c r="F616" s="24" t="n">
        <v>0.094217971</v>
      </c>
    </row>
    <row r="617" customFormat="false" ht="15" hidden="false" customHeight="false" outlineLevel="0" collapsed="false">
      <c r="A617" s="3" t="n">
        <v>616</v>
      </c>
      <c r="B617" s="3" t="n">
        <v>615</v>
      </c>
      <c r="C617" s="3" t="n">
        <v>12</v>
      </c>
      <c r="D617" s="3" t="n">
        <v>3</v>
      </c>
      <c r="E617" s="3" t="n">
        <v>6</v>
      </c>
      <c r="F617" s="24" t="n">
        <v>-1.41966319</v>
      </c>
    </row>
    <row r="618" customFormat="false" ht="15" hidden="false" customHeight="false" outlineLevel="0" collapsed="false">
      <c r="A618" s="3" t="n">
        <v>617</v>
      </c>
      <c r="B618" s="3" t="n">
        <v>616</v>
      </c>
      <c r="C618" s="3" t="n">
        <v>12</v>
      </c>
      <c r="D618" s="3" t="n">
        <v>4</v>
      </c>
      <c r="E618" s="3" t="n">
        <v>0</v>
      </c>
      <c r="F618" s="24" t="n">
        <v>-0.875788033</v>
      </c>
    </row>
    <row r="619" customFormat="false" ht="15" hidden="false" customHeight="false" outlineLevel="0" collapsed="false">
      <c r="A619" s="3" t="n">
        <v>618</v>
      </c>
      <c r="B619" s="3" t="n">
        <v>617</v>
      </c>
      <c r="C619" s="3" t="n">
        <v>12</v>
      </c>
      <c r="D619" s="3" t="n">
        <v>4</v>
      </c>
      <c r="E619" s="3" t="n">
        <v>1</v>
      </c>
      <c r="F619" s="24" t="n">
        <v>-13.3475924</v>
      </c>
    </row>
    <row r="620" customFormat="false" ht="15" hidden="false" customHeight="false" outlineLevel="0" collapsed="false">
      <c r="A620" s="3" t="n">
        <v>619</v>
      </c>
      <c r="B620" s="3" t="n">
        <v>618</v>
      </c>
      <c r="C620" s="3" t="n">
        <v>12</v>
      </c>
      <c r="D620" s="3" t="n">
        <v>4</v>
      </c>
      <c r="E620" s="3" t="n">
        <v>2</v>
      </c>
      <c r="F620" s="24" t="n">
        <v>-11.252841</v>
      </c>
    </row>
    <row r="621" customFormat="false" ht="15" hidden="false" customHeight="false" outlineLevel="0" collapsed="false">
      <c r="A621" s="3" t="n">
        <v>620</v>
      </c>
      <c r="B621" s="3" t="n">
        <v>619</v>
      </c>
      <c r="C621" s="3" t="n">
        <v>12</v>
      </c>
      <c r="D621" s="3" t="n">
        <v>4</v>
      </c>
      <c r="E621" s="3" t="n">
        <v>3</v>
      </c>
      <c r="F621" s="24" t="n">
        <v>6.64687872</v>
      </c>
    </row>
    <row r="622" customFormat="false" ht="15" hidden="false" customHeight="false" outlineLevel="0" collapsed="false">
      <c r="A622" s="3" t="n">
        <v>621</v>
      </c>
      <c r="B622" s="3" t="n">
        <v>620</v>
      </c>
      <c r="C622" s="3" t="n">
        <v>12</v>
      </c>
      <c r="D622" s="3" t="n">
        <v>4</v>
      </c>
      <c r="E622" s="3" t="n">
        <v>4</v>
      </c>
      <c r="F622" s="24" t="n">
        <v>7.77608442</v>
      </c>
    </row>
    <row r="623" customFormat="false" ht="15" hidden="false" customHeight="false" outlineLevel="0" collapsed="false">
      <c r="A623" s="3" t="n">
        <v>622</v>
      </c>
      <c r="B623" s="3" t="n">
        <v>621</v>
      </c>
      <c r="C623" s="3" t="n">
        <v>12</v>
      </c>
      <c r="D623" s="3" t="n">
        <v>4</v>
      </c>
      <c r="E623" s="3" t="n">
        <v>5</v>
      </c>
      <c r="F623" s="24" t="n">
        <v>0.925409377</v>
      </c>
    </row>
    <row r="624" customFormat="false" ht="15" hidden="false" customHeight="false" outlineLevel="0" collapsed="false">
      <c r="A624" s="3" t="n">
        <v>623</v>
      </c>
      <c r="B624" s="3" t="n">
        <v>622</v>
      </c>
      <c r="C624" s="3" t="n">
        <v>12</v>
      </c>
      <c r="D624" s="3" t="n">
        <v>4</v>
      </c>
      <c r="E624" s="3" t="n">
        <v>6</v>
      </c>
      <c r="F624" s="24" t="n">
        <v>-1.44158316</v>
      </c>
    </row>
    <row r="625" customFormat="false" ht="15" hidden="false" customHeight="false" outlineLevel="0" collapsed="false">
      <c r="A625" s="3" t="n">
        <v>624</v>
      </c>
      <c r="B625" s="3" t="n">
        <v>623</v>
      </c>
      <c r="C625" s="3" t="n">
        <v>12</v>
      </c>
      <c r="D625" s="3" t="n">
        <v>5</v>
      </c>
      <c r="E625" s="3" t="n">
        <v>0</v>
      </c>
      <c r="F625" s="24" t="n">
        <v>-1.67822862</v>
      </c>
    </row>
    <row r="626" customFormat="false" ht="15" hidden="false" customHeight="false" outlineLevel="0" collapsed="false">
      <c r="A626" s="3" t="n">
        <v>625</v>
      </c>
      <c r="B626" s="3" t="n">
        <v>624</v>
      </c>
      <c r="C626" s="3" t="n">
        <v>12</v>
      </c>
      <c r="D626" s="3" t="n">
        <v>5</v>
      </c>
      <c r="E626" s="3" t="n">
        <v>1</v>
      </c>
      <c r="F626" s="24" t="n">
        <v>-7.98055983</v>
      </c>
    </row>
    <row r="627" customFormat="false" ht="15" hidden="false" customHeight="false" outlineLevel="0" collapsed="false">
      <c r="A627" s="3" t="n">
        <v>626</v>
      </c>
      <c r="B627" s="3" t="n">
        <v>625</v>
      </c>
      <c r="C627" s="3" t="n">
        <v>12</v>
      </c>
      <c r="D627" s="3" t="n">
        <v>5</v>
      </c>
      <c r="E627" s="3" t="n">
        <v>2</v>
      </c>
      <c r="F627" s="24" t="n">
        <v>0.342385352</v>
      </c>
    </row>
    <row r="628" customFormat="false" ht="15" hidden="false" customHeight="false" outlineLevel="0" collapsed="false">
      <c r="A628" s="3" t="n">
        <v>627</v>
      </c>
      <c r="B628" s="3" t="n">
        <v>626</v>
      </c>
      <c r="C628" s="3" t="n">
        <v>12</v>
      </c>
      <c r="D628" s="3" t="n">
        <v>5</v>
      </c>
      <c r="E628" s="3" t="n">
        <v>3</v>
      </c>
      <c r="F628" s="24" t="n">
        <v>13.2903996</v>
      </c>
    </row>
    <row r="629" customFormat="false" ht="15" hidden="false" customHeight="false" outlineLevel="0" collapsed="false">
      <c r="A629" s="3" t="n">
        <v>628</v>
      </c>
      <c r="B629" s="3" t="n">
        <v>627</v>
      </c>
      <c r="C629" s="3" t="n">
        <v>12</v>
      </c>
      <c r="D629" s="3" t="n">
        <v>5</v>
      </c>
      <c r="E629" s="3" t="n">
        <v>4</v>
      </c>
      <c r="F629" s="24" t="n">
        <v>3.88013601</v>
      </c>
    </row>
    <row r="630" customFormat="false" ht="15" hidden="false" customHeight="false" outlineLevel="0" collapsed="false">
      <c r="A630" s="3" t="n">
        <v>629</v>
      </c>
      <c r="B630" s="3" t="n">
        <v>628</v>
      </c>
      <c r="C630" s="3" t="n">
        <v>12</v>
      </c>
      <c r="D630" s="3" t="n">
        <v>5</v>
      </c>
      <c r="E630" s="3" t="n">
        <v>5</v>
      </c>
      <c r="F630" s="24" t="n">
        <v>-1.19001174</v>
      </c>
    </row>
    <row r="631" customFormat="false" ht="15" hidden="false" customHeight="false" outlineLevel="0" collapsed="false">
      <c r="A631" s="3" t="n">
        <v>630</v>
      </c>
      <c r="B631" s="3" t="n">
        <v>629</v>
      </c>
      <c r="C631" s="3" t="n">
        <v>12</v>
      </c>
      <c r="D631" s="3" t="n">
        <v>5</v>
      </c>
      <c r="E631" s="3" t="n">
        <v>6</v>
      </c>
      <c r="F631" s="24" t="n">
        <v>-1.14403522</v>
      </c>
    </row>
    <row r="632" customFormat="false" ht="15" hidden="false" customHeight="false" outlineLevel="0" collapsed="false">
      <c r="A632" s="3" t="n">
        <v>631</v>
      </c>
      <c r="B632" s="3" t="n">
        <v>630</v>
      </c>
      <c r="C632" s="3" t="n">
        <v>12</v>
      </c>
      <c r="D632" s="3" t="n">
        <v>6</v>
      </c>
      <c r="E632" s="3" t="n">
        <v>0</v>
      </c>
      <c r="F632" s="24" t="n">
        <v>0.111942142</v>
      </c>
    </row>
    <row r="633" customFormat="false" ht="15" hidden="false" customHeight="false" outlineLevel="0" collapsed="false">
      <c r="A633" s="3" t="n">
        <v>632</v>
      </c>
      <c r="B633" s="3" t="n">
        <v>631</v>
      </c>
      <c r="C633" s="3" t="n">
        <v>12</v>
      </c>
      <c r="D633" s="3" t="n">
        <v>6</v>
      </c>
      <c r="E633" s="3" t="n">
        <v>1</v>
      </c>
      <c r="F633" s="24" t="n">
        <v>7.11853266</v>
      </c>
    </row>
    <row r="634" customFormat="false" ht="15" hidden="false" customHeight="false" outlineLevel="0" collapsed="false">
      <c r="A634" s="3" t="n">
        <v>633</v>
      </c>
      <c r="B634" s="3" t="n">
        <v>632</v>
      </c>
      <c r="C634" s="3" t="n">
        <v>12</v>
      </c>
      <c r="D634" s="3" t="n">
        <v>6</v>
      </c>
      <c r="E634" s="3" t="n">
        <v>2</v>
      </c>
      <c r="F634" s="24" t="n">
        <v>10.9097672</v>
      </c>
    </row>
    <row r="635" customFormat="false" ht="15" hidden="false" customHeight="false" outlineLevel="0" collapsed="false">
      <c r="A635" s="3" t="n">
        <v>634</v>
      </c>
      <c r="B635" s="3" t="n">
        <v>633</v>
      </c>
      <c r="C635" s="3" t="n">
        <v>12</v>
      </c>
      <c r="D635" s="3" t="n">
        <v>6</v>
      </c>
      <c r="E635" s="3" t="n">
        <v>3</v>
      </c>
      <c r="F635" s="24" t="n">
        <v>9.6100235</v>
      </c>
    </row>
    <row r="636" customFormat="false" ht="15" hidden="false" customHeight="false" outlineLevel="0" collapsed="false">
      <c r="A636" s="3" t="n">
        <v>635</v>
      </c>
      <c r="B636" s="3" t="n">
        <v>634</v>
      </c>
      <c r="C636" s="3" t="n">
        <v>12</v>
      </c>
      <c r="D636" s="3" t="n">
        <v>6</v>
      </c>
      <c r="E636" s="3" t="n">
        <v>4</v>
      </c>
      <c r="F636" s="24" t="n">
        <v>0.18297939</v>
      </c>
    </row>
    <row r="637" customFormat="false" ht="15" hidden="false" customHeight="false" outlineLevel="0" collapsed="false">
      <c r="A637" s="3" t="n">
        <v>636</v>
      </c>
      <c r="B637" s="3" t="n">
        <v>635</v>
      </c>
      <c r="C637" s="3" t="n">
        <v>12</v>
      </c>
      <c r="D637" s="3" t="n">
        <v>6</v>
      </c>
      <c r="E637" s="3" t="n">
        <v>5</v>
      </c>
      <c r="F637" s="24" t="n">
        <v>-1.33921874</v>
      </c>
    </row>
    <row r="638" customFormat="false" ht="15" hidden="false" customHeight="false" outlineLevel="0" collapsed="false">
      <c r="A638" s="3" t="n">
        <v>637</v>
      </c>
      <c r="B638" s="3" t="n">
        <v>636</v>
      </c>
      <c r="C638" s="3" t="n">
        <v>12</v>
      </c>
      <c r="D638" s="3" t="n">
        <v>6</v>
      </c>
      <c r="E638" s="3" t="n">
        <v>6</v>
      </c>
      <c r="F638" s="24" t="n">
        <v>-0.853569329</v>
      </c>
    </row>
    <row r="639" customFormat="false" ht="15" hidden="false" customHeight="false" outlineLevel="0" collapsed="false">
      <c r="A639" s="3" t="n">
        <v>638</v>
      </c>
      <c r="B639" s="3" t="n">
        <v>637</v>
      </c>
      <c r="C639" s="3" t="n">
        <v>13</v>
      </c>
      <c r="D639" s="3" t="n">
        <v>0</v>
      </c>
      <c r="E639" s="3" t="n">
        <v>0</v>
      </c>
      <c r="F639" s="24" t="n">
        <v>-1.34927773</v>
      </c>
    </row>
    <row r="640" customFormat="false" ht="15" hidden="false" customHeight="false" outlineLevel="0" collapsed="false">
      <c r="A640" s="3" t="n">
        <v>639</v>
      </c>
      <c r="B640" s="3" t="n">
        <v>638</v>
      </c>
      <c r="C640" s="3" t="n">
        <v>13</v>
      </c>
      <c r="D640" s="3" t="n">
        <v>0</v>
      </c>
      <c r="E640" s="3" t="n">
        <v>1</v>
      </c>
      <c r="F640" s="24" t="n">
        <v>-5.88306952</v>
      </c>
    </row>
    <row r="641" customFormat="false" ht="15" hidden="false" customHeight="false" outlineLevel="0" collapsed="false">
      <c r="A641" s="3" t="n">
        <v>640</v>
      </c>
      <c r="B641" s="3" t="n">
        <v>639</v>
      </c>
      <c r="C641" s="3" t="n">
        <v>13</v>
      </c>
      <c r="D641" s="3" t="n">
        <v>0</v>
      </c>
      <c r="E641" s="3" t="n">
        <v>2</v>
      </c>
      <c r="F641" s="24" t="n">
        <v>-8.64399338</v>
      </c>
    </row>
    <row r="642" customFormat="false" ht="15" hidden="false" customHeight="false" outlineLevel="0" collapsed="false">
      <c r="A642" s="3" t="n">
        <v>641</v>
      </c>
      <c r="B642" s="3" t="n">
        <v>640</v>
      </c>
      <c r="C642" s="3" t="n">
        <v>13</v>
      </c>
      <c r="D642" s="3" t="n">
        <v>0</v>
      </c>
      <c r="E642" s="3" t="n">
        <v>3</v>
      </c>
      <c r="F642" s="24" t="n">
        <v>-9.98833084</v>
      </c>
    </row>
    <row r="643" customFormat="false" ht="15" hidden="false" customHeight="false" outlineLevel="0" collapsed="false">
      <c r="A643" s="3" t="n">
        <v>642</v>
      </c>
      <c r="B643" s="3" t="n">
        <v>641</v>
      </c>
      <c r="C643" s="3" t="n">
        <v>13</v>
      </c>
      <c r="D643" s="3" t="n">
        <v>0</v>
      </c>
      <c r="E643" s="3" t="n">
        <v>4</v>
      </c>
      <c r="F643" s="24" t="n">
        <v>-11.1171513</v>
      </c>
    </row>
    <row r="644" customFormat="false" ht="15" hidden="false" customHeight="false" outlineLevel="0" collapsed="false">
      <c r="A644" s="3" t="n">
        <v>643</v>
      </c>
      <c r="B644" s="3" t="n">
        <v>642</v>
      </c>
      <c r="C644" s="3" t="n">
        <v>13</v>
      </c>
      <c r="D644" s="3" t="n">
        <v>0</v>
      </c>
      <c r="E644" s="3" t="n">
        <v>5</v>
      </c>
      <c r="F644" s="24" t="n">
        <v>-7.48946238</v>
      </c>
    </row>
    <row r="645" customFormat="false" ht="15" hidden="false" customHeight="false" outlineLevel="0" collapsed="false">
      <c r="A645" s="3" t="n">
        <v>644</v>
      </c>
      <c r="B645" s="3" t="n">
        <v>643</v>
      </c>
      <c r="C645" s="3" t="n">
        <v>13</v>
      </c>
      <c r="D645" s="3" t="n">
        <v>0</v>
      </c>
      <c r="E645" s="3" t="n">
        <v>6</v>
      </c>
      <c r="F645" s="24" t="n">
        <v>-3.95304704</v>
      </c>
    </row>
    <row r="646" customFormat="false" ht="15" hidden="false" customHeight="false" outlineLevel="0" collapsed="false">
      <c r="A646" s="3" t="n">
        <v>645</v>
      </c>
      <c r="B646" s="3" t="n">
        <v>644</v>
      </c>
      <c r="C646" s="3" t="n">
        <v>13</v>
      </c>
      <c r="D646" s="3" t="n">
        <v>1</v>
      </c>
      <c r="E646" s="3" t="n">
        <v>0</v>
      </c>
      <c r="F646" s="24" t="n">
        <v>3.34187865</v>
      </c>
    </row>
    <row r="647" customFormat="false" ht="15" hidden="false" customHeight="false" outlineLevel="0" collapsed="false">
      <c r="A647" s="3" t="n">
        <v>646</v>
      </c>
      <c r="B647" s="3" t="n">
        <v>645</v>
      </c>
      <c r="C647" s="3" t="n">
        <v>13</v>
      </c>
      <c r="D647" s="3" t="n">
        <v>1</v>
      </c>
      <c r="E647" s="3" t="n">
        <v>1</v>
      </c>
      <c r="F647" s="24" t="n">
        <v>5.48631477</v>
      </c>
    </row>
    <row r="648" customFormat="false" ht="15" hidden="false" customHeight="false" outlineLevel="0" collapsed="false">
      <c r="A648" s="3" t="n">
        <v>647</v>
      </c>
      <c r="B648" s="3" t="n">
        <v>646</v>
      </c>
      <c r="C648" s="3" t="n">
        <v>13</v>
      </c>
      <c r="D648" s="3" t="n">
        <v>1</v>
      </c>
      <c r="E648" s="3" t="n">
        <v>2</v>
      </c>
      <c r="F648" s="24" t="n">
        <v>6.6146965</v>
      </c>
    </row>
    <row r="649" customFormat="false" ht="15" hidden="false" customHeight="false" outlineLevel="0" collapsed="false">
      <c r="A649" s="3" t="n">
        <v>648</v>
      </c>
      <c r="B649" s="3" t="n">
        <v>647</v>
      </c>
      <c r="C649" s="3" t="n">
        <v>13</v>
      </c>
      <c r="D649" s="3" t="n">
        <v>1</v>
      </c>
      <c r="E649" s="3" t="n">
        <v>3</v>
      </c>
      <c r="F649" s="24" t="n">
        <v>4.49763966</v>
      </c>
    </row>
    <row r="650" customFormat="false" ht="15" hidden="false" customHeight="false" outlineLevel="0" collapsed="false">
      <c r="A650" s="3" t="n">
        <v>649</v>
      </c>
      <c r="B650" s="3" t="n">
        <v>648</v>
      </c>
      <c r="C650" s="3" t="n">
        <v>13</v>
      </c>
      <c r="D650" s="3" t="n">
        <v>1</v>
      </c>
      <c r="E650" s="3" t="n">
        <v>4</v>
      </c>
      <c r="F650" s="24" t="n">
        <v>4.95896769</v>
      </c>
    </row>
    <row r="651" customFormat="false" ht="15" hidden="false" customHeight="false" outlineLevel="0" collapsed="false">
      <c r="A651" s="3" t="n">
        <v>650</v>
      </c>
      <c r="B651" s="3" t="n">
        <v>649</v>
      </c>
      <c r="C651" s="3" t="n">
        <v>13</v>
      </c>
      <c r="D651" s="3" t="n">
        <v>1</v>
      </c>
      <c r="E651" s="3" t="n">
        <v>5</v>
      </c>
      <c r="F651" s="24" t="n">
        <v>-2.55065084</v>
      </c>
    </row>
    <row r="652" customFormat="false" ht="15" hidden="false" customHeight="false" outlineLevel="0" collapsed="false">
      <c r="A652" s="3" t="n">
        <v>651</v>
      </c>
      <c r="B652" s="3" t="n">
        <v>650</v>
      </c>
      <c r="C652" s="3" t="n">
        <v>13</v>
      </c>
      <c r="D652" s="3" t="n">
        <v>1</v>
      </c>
      <c r="E652" s="3" t="n">
        <v>6</v>
      </c>
      <c r="F652" s="24" t="n">
        <v>-3.56270456</v>
      </c>
    </row>
    <row r="653" customFormat="false" ht="15" hidden="false" customHeight="false" outlineLevel="0" collapsed="false">
      <c r="A653" s="3" t="n">
        <v>652</v>
      </c>
      <c r="B653" s="3" t="n">
        <v>651</v>
      </c>
      <c r="C653" s="3" t="n">
        <v>13</v>
      </c>
      <c r="D653" s="3" t="n">
        <v>2</v>
      </c>
      <c r="E653" s="3" t="n">
        <v>0</v>
      </c>
      <c r="F653" s="24" t="n">
        <v>-1.30121422</v>
      </c>
    </row>
    <row r="654" customFormat="false" ht="15" hidden="false" customHeight="false" outlineLevel="0" collapsed="false">
      <c r="A654" s="3" t="n">
        <v>653</v>
      </c>
      <c r="B654" s="3" t="n">
        <v>652</v>
      </c>
      <c r="C654" s="3" t="n">
        <v>13</v>
      </c>
      <c r="D654" s="3" t="n">
        <v>2</v>
      </c>
      <c r="E654" s="3" t="n">
        <v>1</v>
      </c>
      <c r="F654" s="24" t="n">
        <v>-7.61836863</v>
      </c>
    </row>
    <row r="655" customFormat="false" ht="15" hidden="false" customHeight="false" outlineLevel="0" collapsed="false">
      <c r="A655" s="3" t="n">
        <v>654</v>
      </c>
      <c r="B655" s="3" t="n">
        <v>653</v>
      </c>
      <c r="C655" s="3" t="n">
        <v>13</v>
      </c>
      <c r="D655" s="3" t="n">
        <v>2</v>
      </c>
      <c r="E655" s="3" t="n">
        <v>2</v>
      </c>
      <c r="F655" s="24" t="n">
        <v>-7.70138836</v>
      </c>
    </row>
    <row r="656" customFormat="false" ht="15" hidden="false" customHeight="false" outlineLevel="0" collapsed="false">
      <c r="A656" s="3" t="n">
        <v>655</v>
      </c>
      <c r="B656" s="3" t="n">
        <v>654</v>
      </c>
      <c r="C656" s="3" t="n">
        <v>13</v>
      </c>
      <c r="D656" s="3" t="n">
        <v>2</v>
      </c>
      <c r="E656" s="3" t="n">
        <v>3</v>
      </c>
      <c r="F656" s="24" t="n">
        <v>-6.59351015</v>
      </c>
    </row>
    <row r="657" customFormat="false" ht="15" hidden="false" customHeight="false" outlineLevel="0" collapsed="false">
      <c r="A657" s="3" t="n">
        <v>656</v>
      </c>
      <c r="B657" s="3" t="n">
        <v>655</v>
      </c>
      <c r="C657" s="3" t="n">
        <v>13</v>
      </c>
      <c r="D657" s="3" t="n">
        <v>2</v>
      </c>
      <c r="E657" s="3" t="n">
        <v>4</v>
      </c>
      <c r="F657" s="24" t="n">
        <v>-0.160129011</v>
      </c>
    </row>
    <row r="658" customFormat="false" ht="15" hidden="false" customHeight="false" outlineLevel="0" collapsed="false">
      <c r="A658" s="3" t="n">
        <v>657</v>
      </c>
      <c r="B658" s="3" t="n">
        <v>656</v>
      </c>
      <c r="C658" s="3" t="n">
        <v>13</v>
      </c>
      <c r="D658" s="3" t="n">
        <v>2</v>
      </c>
      <c r="E658" s="3" t="n">
        <v>5</v>
      </c>
      <c r="F658" s="24" t="n">
        <v>-5.3257308</v>
      </c>
    </row>
    <row r="659" customFormat="false" ht="15" hidden="false" customHeight="false" outlineLevel="0" collapsed="false">
      <c r="A659" s="3" t="n">
        <v>658</v>
      </c>
      <c r="B659" s="3" t="n">
        <v>657</v>
      </c>
      <c r="C659" s="3" t="n">
        <v>13</v>
      </c>
      <c r="D659" s="3" t="n">
        <v>2</v>
      </c>
      <c r="E659" s="3" t="n">
        <v>6</v>
      </c>
      <c r="F659" s="24" t="n">
        <v>-0.189660475</v>
      </c>
    </row>
    <row r="660" customFormat="false" ht="15" hidden="false" customHeight="false" outlineLevel="0" collapsed="false">
      <c r="A660" s="3" t="n">
        <v>659</v>
      </c>
      <c r="B660" s="3" t="n">
        <v>658</v>
      </c>
      <c r="C660" s="3" t="n">
        <v>13</v>
      </c>
      <c r="D660" s="3" t="n">
        <v>3</v>
      </c>
      <c r="E660" s="3" t="n">
        <v>0</v>
      </c>
      <c r="F660" s="24" t="n">
        <v>0.968655646</v>
      </c>
    </row>
    <row r="661" customFormat="false" ht="15" hidden="false" customHeight="false" outlineLevel="0" collapsed="false">
      <c r="A661" s="3" t="n">
        <v>660</v>
      </c>
      <c r="B661" s="3" t="n">
        <v>659</v>
      </c>
      <c r="C661" s="3" t="n">
        <v>13</v>
      </c>
      <c r="D661" s="3" t="n">
        <v>3</v>
      </c>
      <c r="E661" s="3" t="n">
        <v>1</v>
      </c>
      <c r="F661" s="24" t="n">
        <v>-2.68479681</v>
      </c>
    </row>
    <row r="662" customFormat="false" ht="15" hidden="false" customHeight="false" outlineLevel="0" collapsed="false">
      <c r="A662" s="3" t="n">
        <v>661</v>
      </c>
      <c r="B662" s="3" t="n">
        <v>660</v>
      </c>
      <c r="C662" s="3" t="n">
        <v>13</v>
      </c>
      <c r="D662" s="3" t="n">
        <v>3</v>
      </c>
      <c r="E662" s="3" t="n">
        <v>2</v>
      </c>
      <c r="F662" s="24" t="n">
        <v>-4.07110834</v>
      </c>
    </row>
    <row r="663" customFormat="false" ht="15" hidden="false" customHeight="false" outlineLevel="0" collapsed="false">
      <c r="A663" s="3" t="n">
        <v>662</v>
      </c>
      <c r="B663" s="3" t="n">
        <v>661</v>
      </c>
      <c r="C663" s="3" t="n">
        <v>13</v>
      </c>
      <c r="D663" s="3" t="n">
        <v>3</v>
      </c>
      <c r="E663" s="3" t="n">
        <v>3</v>
      </c>
      <c r="F663" s="24" t="n">
        <v>-7.61364508</v>
      </c>
    </row>
    <row r="664" customFormat="false" ht="15" hidden="false" customHeight="false" outlineLevel="0" collapsed="false">
      <c r="A664" s="3" t="n">
        <v>663</v>
      </c>
      <c r="B664" s="3" t="n">
        <v>662</v>
      </c>
      <c r="C664" s="3" t="n">
        <v>13</v>
      </c>
      <c r="D664" s="3" t="n">
        <v>3</v>
      </c>
      <c r="E664" s="3" t="n">
        <v>4</v>
      </c>
      <c r="F664" s="24" t="n">
        <v>-5.03289127</v>
      </c>
    </row>
    <row r="665" customFormat="false" ht="15" hidden="false" customHeight="false" outlineLevel="0" collapsed="false">
      <c r="A665" s="3" t="n">
        <v>664</v>
      </c>
      <c r="B665" s="3" t="n">
        <v>663</v>
      </c>
      <c r="C665" s="3" t="n">
        <v>13</v>
      </c>
      <c r="D665" s="3" t="n">
        <v>3</v>
      </c>
      <c r="E665" s="3" t="n">
        <v>5</v>
      </c>
      <c r="F665" s="24" t="n">
        <v>-2.00411248</v>
      </c>
    </row>
    <row r="666" customFormat="false" ht="15" hidden="false" customHeight="false" outlineLevel="0" collapsed="false">
      <c r="A666" s="3" t="n">
        <v>665</v>
      </c>
      <c r="B666" s="3" t="n">
        <v>664</v>
      </c>
      <c r="C666" s="3" t="n">
        <v>13</v>
      </c>
      <c r="D666" s="3" t="n">
        <v>3</v>
      </c>
      <c r="E666" s="3" t="n">
        <v>6</v>
      </c>
      <c r="F666" s="24" t="n">
        <v>-0.131701827</v>
      </c>
    </row>
    <row r="667" customFormat="false" ht="15" hidden="false" customHeight="false" outlineLevel="0" collapsed="false">
      <c r="A667" s="3" t="n">
        <v>666</v>
      </c>
      <c r="B667" s="3" t="n">
        <v>665</v>
      </c>
      <c r="C667" s="3" t="n">
        <v>13</v>
      </c>
      <c r="D667" s="3" t="n">
        <v>4</v>
      </c>
      <c r="E667" s="3" t="n">
        <v>0</v>
      </c>
      <c r="F667" s="24" t="n">
        <v>-0.0532565266</v>
      </c>
    </row>
    <row r="668" customFormat="false" ht="15" hidden="false" customHeight="false" outlineLevel="0" collapsed="false">
      <c r="A668" s="3" t="n">
        <v>667</v>
      </c>
      <c r="B668" s="3" t="n">
        <v>666</v>
      </c>
      <c r="C668" s="3" t="n">
        <v>13</v>
      </c>
      <c r="D668" s="3" t="n">
        <v>4</v>
      </c>
      <c r="E668" s="3" t="n">
        <v>1</v>
      </c>
      <c r="F668" s="24" t="n">
        <v>-0.919188082</v>
      </c>
    </row>
    <row r="669" customFormat="false" ht="15" hidden="false" customHeight="false" outlineLevel="0" collapsed="false">
      <c r="A669" s="3" t="n">
        <v>668</v>
      </c>
      <c r="B669" s="3" t="n">
        <v>667</v>
      </c>
      <c r="C669" s="3" t="n">
        <v>13</v>
      </c>
      <c r="D669" s="3" t="n">
        <v>4</v>
      </c>
      <c r="E669" s="3" t="n">
        <v>2</v>
      </c>
      <c r="F669" s="24" t="n">
        <v>3.51538515</v>
      </c>
    </row>
    <row r="670" customFormat="false" ht="15" hidden="false" customHeight="false" outlineLevel="0" collapsed="false">
      <c r="A670" s="3" t="n">
        <v>669</v>
      </c>
      <c r="B670" s="3" t="n">
        <v>668</v>
      </c>
      <c r="C670" s="3" t="n">
        <v>13</v>
      </c>
      <c r="D670" s="3" t="n">
        <v>4</v>
      </c>
      <c r="E670" s="3" t="n">
        <v>3</v>
      </c>
      <c r="F670" s="24" t="n">
        <v>-5.611341</v>
      </c>
    </row>
    <row r="671" customFormat="false" ht="15" hidden="false" customHeight="false" outlineLevel="0" collapsed="false">
      <c r="A671" s="3" t="n">
        <v>670</v>
      </c>
      <c r="B671" s="3" t="n">
        <v>669</v>
      </c>
      <c r="C671" s="3" t="n">
        <v>13</v>
      </c>
      <c r="D671" s="3" t="n">
        <v>4</v>
      </c>
      <c r="E671" s="3" t="n">
        <v>4</v>
      </c>
      <c r="F671" s="24" t="n">
        <v>-7.3101511</v>
      </c>
    </row>
    <row r="672" customFormat="false" ht="15" hidden="false" customHeight="false" outlineLevel="0" collapsed="false">
      <c r="A672" s="3" t="n">
        <v>671</v>
      </c>
      <c r="B672" s="3" t="n">
        <v>670</v>
      </c>
      <c r="C672" s="3" t="n">
        <v>13</v>
      </c>
      <c r="D672" s="3" t="n">
        <v>4</v>
      </c>
      <c r="E672" s="3" t="n">
        <v>5</v>
      </c>
      <c r="F672" s="24" t="n">
        <v>-1.38152552</v>
      </c>
    </row>
    <row r="673" customFormat="false" ht="15" hidden="false" customHeight="false" outlineLevel="0" collapsed="false">
      <c r="A673" s="3" t="n">
        <v>672</v>
      </c>
      <c r="B673" s="3" t="n">
        <v>671</v>
      </c>
      <c r="C673" s="3" t="n">
        <v>13</v>
      </c>
      <c r="D673" s="3" t="n">
        <v>4</v>
      </c>
      <c r="E673" s="3" t="n">
        <v>6</v>
      </c>
      <c r="F673" s="24" t="n">
        <v>-1.58360767</v>
      </c>
    </row>
    <row r="674" customFormat="false" ht="15" hidden="false" customHeight="false" outlineLevel="0" collapsed="false">
      <c r="A674" s="3" t="n">
        <v>673</v>
      </c>
      <c r="B674" s="3" t="n">
        <v>672</v>
      </c>
      <c r="C674" s="3" t="n">
        <v>13</v>
      </c>
      <c r="D674" s="3" t="n">
        <v>5</v>
      </c>
      <c r="E674" s="3" t="n">
        <v>0</v>
      </c>
      <c r="F674" s="24" t="n">
        <v>-0.0722889751</v>
      </c>
    </row>
    <row r="675" customFormat="false" ht="15" hidden="false" customHeight="false" outlineLevel="0" collapsed="false">
      <c r="A675" s="3" t="n">
        <v>674</v>
      </c>
      <c r="B675" s="3" t="n">
        <v>673</v>
      </c>
      <c r="C675" s="3" t="n">
        <v>13</v>
      </c>
      <c r="D675" s="3" t="n">
        <v>5</v>
      </c>
      <c r="E675" s="3" t="n">
        <v>1</v>
      </c>
      <c r="F675" s="24" t="n">
        <v>2.41811228</v>
      </c>
    </row>
    <row r="676" customFormat="false" ht="15" hidden="false" customHeight="false" outlineLevel="0" collapsed="false">
      <c r="A676" s="3" t="n">
        <v>675</v>
      </c>
      <c r="B676" s="3" t="n">
        <v>674</v>
      </c>
      <c r="C676" s="3" t="n">
        <v>13</v>
      </c>
      <c r="D676" s="3" t="n">
        <v>5</v>
      </c>
      <c r="E676" s="3" t="n">
        <v>2</v>
      </c>
      <c r="F676" s="24" t="n">
        <v>2.7604394</v>
      </c>
    </row>
    <row r="677" customFormat="false" ht="15" hidden="false" customHeight="false" outlineLevel="0" collapsed="false">
      <c r="A677" s="3" t="n">
        <v>676</v>
      </c>
      <c r="B677" s="3" t="n">
        <v>675</v>
      </c>
      <c r="C677" s="3" t="n">
        <v>13</v>
      </c>
      <c r="D677" s="3" t="n">
        <v>5</v>
      </c>
      <c r="E677" s="3" t="n">
        <v>3</v>
      </c>
      <c r="F677" s="24" t="n">
        <v>-1.8183732</v>
      </c>
    </row>
    <row r="678" customFormat="false" ht="15" hidden="false" customHeight="false" outlineLevel="0" collapsed="false">
      <c r="A678" s="3" t="n">
        <v>677</v>
      </c>
      <c r="B678" s="3" t="n">
        <v>676</v>
      </c>
      <c r="C678" s="3" t="n">
        <v>13</v>
      </c>
      <c r="D678" s="3" t="n">
        <v>5</v>
      </c>
      <c r="E678" s="3" t="n">
        <v>4</v>
      </c>
      <c r="F678" s="24" t="n">
        <v>3.62744689</v>
      </c>
    </row>
    <row r="679" customFormat="false" ht="15" hidden="false" customHeight="false" outlineLevel="0" collapsed="false">
      <c r="A679" s="3" t="n">
        <v>678</v>
      </c>
      <c r="B679" s="3" t="n">
        <v>677</v>
      </c>
      <c r="C679" s="3" t="n">
        <v>13</v>
      </c>
      <c r="D679" s="3" t="n">
        <v>5</v>
      </c>
      <c r="E679" s="3" t="n">
        <v>5</v>
      </c>
      <c r="F679" s="24" t="n">
        <v>-0.507368088</v>
      </c>
    </row>
    <row r="680" customFormat="false" ht="15" hidden="false" customHeight="false" outlineLevel="0" collapsed="false">
      <c r="A680" s="3" t="n">
        <v>679</v>
      </c>
      <c r="B680" s="3" t="n">
        <v>678</v>
      </c>
      <c r="C680" s="3" t="n">
        <v>13</v>
      </c>
      <c r="D680" s="3" t="n">
        <v>5</v>
      </c>
      <c r="E680" s="3" t="n">
        <v>6</v>
      </c>
      <c r="F680" s="24" t="n">
        <v>-1.30508947</v>
      </c>
    </row>
    <row r="681" customFormat="false" ht="15" hidden="false" customHeight="false" outlineLevel="0" collapsed="false">
      <c r="A681" s="3" t="n">
        <v>680</v>
      </c>
      <c r="B681" s="3" t="n">
        <v>679</v>
      </c>
      <c r="C681" s="3" t="n">
        <v>13</v>
      </c>
      <c r="D681" s="3" t="n">
        <v>6</v>
      </c>
      <c r="E681" s="3" t="n">
        <v>0</v>
      </c>
      <c r="F681" s="24" t="n">
        <v>-0.0999849886</v>
      </c>
    </row>
    <row r="682" customFormat="false" ht="15" hidden="false" customHeight="false" outlineLevel="0" collapsed="false">
      <c r="A682" s="3" t="n">
        <v>681</v>
      </c>
      <c r="B682" s="3" t="n">
        <v>680</v>
      </c>
      <c r="C682" s="3" t="n">
        <v>13</v>
      </c>
      <c r="D682" s="3" t="n">
        <v>6</v>
      </c>
      <c r="E682" s="3" t="n">
        <v>1</v>
      </c>
      <c r="F682" s="24" t="n">
        <v>-0.702739954</v>
      </c>
    </row>
    <row r="683" customFormat="false" ht="15" hidden="false" customHeight="false" outlineLevel="0" collapsed="false">
      <c r="A683" s="3" t="n">
        <v>682</v>
      </c>
      <c r="B683" s="3" t="n">
        <v>681</v>
      </c>
      <c r="C683" s="3" t="n">
        <v>13</v>
      </c>
      <c r="D683" s="3" t="n">
        <v>6</v>
      </c>
      <c r="E683" s="3" t="n">
        <v>2</v>
      </c>
      <c r="F683" s="24" t="n">
        <v>-9.10881424</v>
      </c>
    </row>
    <row r="684" customFormat="false" ht="15" hidden="false" customHeight="false" outlineLevel="0" collapsed="false">
      <c r="A684" s="3" t="n">
        <v>683</v>
      </c>
      <c r="B684" s="3" t="n">
        <v>682</v>
      </c>
      <c r="C684" s="3" t="n">
        <v>13</v>
      </c>
      <c r="D684" s="3" t="n">
        <v>6</v>
      </c>
      <c r="E684" s="3" t="n">
        <v>3</v>
      </c>
      <c r="F684" s="24" t="n">
        <v>-4.43516874</v>
      </c>
    </row>
    <row r="685" customFormat="false" ht="15" hidden="false" customHeight="false" outlineLevel="0" collapsed="false">
      <c r="A685" s="3" t="n">
        <v>684</v>
      </c>
      <c r="B685" s="3" t="n">
        <v>683</v>
      </c>
      <c r="C685" s="3" t="n">
        <v>13</v>
      </c>
      <c r="D685" s="3" t="n">
        <v>6</v>
      </c>
      <c r="E685" s="3" t="n">
        <v>4</v>
      </c>
      <c r="F685" s="24" t="n">
        <v>-0.84667325</v>
      </c>
    </row>
    <row r="686" customFormat="false" ht="15" hidden="false" customHeight="false" outlineLevel="0" collapsed="false">
      <c r="A686" s="3" t="n">
        <v>685</v>
      </c>
      <c r="B686" s="3" t="n">
        <v>684</v>
      </c>
      <c r="C686" s="3" t="n">
        <v>13</v>
      </c>
      <c r="D686" s="3" t="n">
        <v>6</v>
      </c>
      <c r="E686" s="3" t="n">
        <v>5</v>
      </c>
      <c r="F686" s="24" t="n">
        <v>-0.985475898</v>
      </c>
    </row>
    <row r="687" customFormat="false" ht="15" hidden="false" customHeight="false" outlineLevel="0" collapsed="false">
      <c r="A687" s="3" t="n">
        <v>686</v>
      </c>
      <c r="B687" s="3" t="n">
        <v>685</v>
      </c>
      <c r="C687" s="3" t="n">
        <v>13</v>
      </c>
      <c r="D687" s="3" t="n">
        <v>6</v>
      </c>
      <c r="E687" s="3" t="n">
        <v>6</v>
      </c>
      <c r="F687" s="24" t="n">
        <v>-0.912701368</v>
      </c>
    </row>
    <row r="688" customFormat="false" ht="15" hidden="false" customHeight="false" outlineLevel="0" collapsed="false">
      <c r="A688" s="3" t="n">
        <v>687</v>
      </c>
      <c r="B688" s="3" t="n">
        <v>686</v>
      </c>
      <c r="C688" s="3" t="n">
        <v>14</v>
      </c>
      <c r="D688" s="3" t="n">
        <v>0</v>
      </c>
      <c r="E688" s="3" t="n">
        <v>0</v>
      </c>
      <c r="F688" s="24" t="n">
        <v>-6.78359652</v>
      </c>
    </row>
    <row r="689" customFormat="false" ht="15" hidden="false" customHeight="false" outlineLevel="0" collapsed="false">
      <c r="A689" s="3" t="n">
        <v>688</v>
      </c>
      <c r="B689" s="3" t="n">
        <v>687</v>
      </c>
      <c r="C689" s="3" t="n">
        <v>14</v>
      </c>
      <c r="D689" s="3" t="n">
        <v>0</v>
      </c>
      <c r="E689" s="3" t="n">
        <v>1</v>
      </c>
      <c r="F689" s="24" t="n">
        <v>-9.30984497</v>
      </c>
    </row>
    <row r="690" customFormat="false" ht="15" hidden="false" customHeight="false" outlineLevel="0" collapsed="false">
      <c r="A690" s="3" t="n">
        <v>689</v>
      </c>
      <c r="B690" s="3" t="n">
        <v>688</v>
      </c>
      <c r="C690" s="3" t="n">
        <v>14</v>
      </c>
      <c r="D690" s="3" t="n">
        <v>0</v>
      </c>
      <c r="E690" s="3" t="n">
        <v>2</v>
      </c>
      <c r="F690" s="24" t="n">
        <v>-1.8401494</v>
      </c>
    </row>
    <row r="691" customFormat="false" ht="15" hidden="false" customHeight="false" outlineLevel="0" collapsed="false">
      <c r="A691" s="3" t="n">
        <v>690</v>
      </c>
      <c r="B691" s="3" t="n">
        <v>689</v>
      </c>
      <c r="C691" s="3" t="n">
        <v>14</v>
      </c>
      <c r="D691" s="3" t="n">
        <v>0</v>
      </c>
      <c r="E691" s="3" t="n">
        <v>3</v>
      </c>
      <c r="F691" s="24" t="n">
        <v>-2.65007401</v>
      </c>
    </row>
    <row r="692" customFormat="false" ht="15" hidden="false" customHeight="false" outlineLevel="0" collapsed="false">
      <c r="A692" s="3" t="n">
        <v>691</v>
      </c>
      <c r="B692" s="3" t="n">
        <v>690</v>
      </c>
      <c r="C692" s="3" t="n">
        <v>14</v>
      </c>
      <c r="D692" s="3" t="n">
        <v>0</v>
      </c>
      <c r="E692" s="3" t="n">
        <v>4</v>
      </c>
      <c r="F692" s="24" t="n">
        <v>-2.00266838</v>
      </c>
    </row>
    <row r="693" customFormat="false" ht="15" hidden="false" customHeight="false" outlineLevel="0" collapsed="false">
      <c r="A693" s="3" t="n">
        <v>692</v>
      </c>
      <c r="B693" s="3" t="n">
        <v>691</v>
      </c>
      <c r="C693" s="3" t="n">
        <v>14</v>
      </c>
      <c r="D693" s="3" t="n">
        <v>0</v>
      </c>
      <c r="E693" s="3" t="n">
        <v>5</v>
      </c>
      <c r="F693" s="24" t="n">
        <v>1.44378281</v>
      </c>
    </row>
    <row r="694" customFormat="false" ht="15" hidden="false" customHeight="false" outlineLevel="0" collapsed="false">
      <c r="A694" s="3" t="n">
        <v>693</v>
      </c>
      <c r="B694" s="3" t="n">
        <v>692</v>
      </c>
      <c r="C694" s="3" t="n">
        <v>14</v>
      </c>
      <c r="D694" s="3" t="n">
        <v>0</v>
      </c>
      <c r="E694" s="3" t="n">
        <v>6</v>
      </c>
      <c r="F694" s="24" t="n">
        <v>-0.661371648</v>
      </c>
    </row>
    <row r="695" customFormat="false" ht="15" hidden="false" customHeight="false" outlineLevel="0" collapsed="false">
      <c r="A695" s="3" t="n">
        <v>694</v>
      </c>
      <c r="B695" s="3" t="n">
        <v>693</v>
      </c>
      <c r="C695" s="3" t="n">
        <v>14</v>
      </c>
      <c r="D695" s="3" t="n">
        <v>1</v>
      </c>
      <c r="E695" s="3" t="n">
        <v>0</v>
      </c>
      <c r="F695" s="24" t="n">
        <v>-8.3107214</v>
      </c>
    </row>
    <row r="696" customFormat="false" ht="15" hidden="false" customHeight="false" outlineLevel="0" collapsed="false">
      <c r="A696" s="3" t="n">
        <v>695</v>
      </c>
      <c r="B696" s="3" t="n">
        <v>694</v>
      </c>
      <c r="C696" s="3" t="n">
        <v>14</v>
      </c>
      <c r="D696" s="3" t="n">
        <v>1</v>
      </c>
      <c r="E696" s="3" t="n">
        <v>1</v>
      </c>
      <c r="F696" s="24" t="n">
        <v>-17.2928219</v>
      </c>
    </row>
    <row r="697" customFormat="false" ht="15" hidden="false" customHeight="false" outlineLevel="0" collapsed="false">
      <c r="A697" s="3" t="n">
        <v>696</v>
      </c>
      <c r="B697" s="3" t="n">
        <v>695</v>
      </c>
      <c r="C697" s="3" t="n">
        <v>14</v>
      </c>
      <c r="D697" s="3" t="n">
        <v>1</v>
      </c>
      <c r="E697" s="3" t="n">
        <v>2</v>
      </c>
      <c r="F697" s="24" t="n">
        <v>-13.2151747</v>
      </c>
    </row>
    <row r="698" customFormat="false" ht="15" hidden="false" customHeight="false" outlineLevel="0" collapsed="false">
      <c r="A698" s="3" t="n">
        <v>697</v>
      </c>
      <c r="B698" s="3" t="n">
        <v>696</v>
      </c>
      <c r="C698" s="3" t="n">
        <v>14</v>
      </c>
      <c r="D698" s="3" t="n">
        <v>1</v>
      </c>
      <c r="E698" s="3" t="n">
        <v>3</v>
      </c>
      <c r="F698" s="24" t="n">
        <v>-4.67348337</v>
      </c>
    </row>
    <row r="699" customFormat="false" ht="15" hidden="false" customHeight="false" outlineLevel="0" collapsed="false">
      <c r="A699" s="3" t="n">
        <v>698</v>
      </c>
      <c r="B699" s="3" t="n">
        <v>697</v>
      </c>
      <c r="C699" s="3" t="n">
        <v>14</v>
      </c>
      <c r="D699" s="3" t="n">
        <v>1</v>
      </c>
      <c r="E699" s="3" t="n">
        <v>4</v>
      </c>
      <c r="F699" s="24" t="n">
        <v>-2.60002017</v>
      </c>
    </row>
    <row r="700" customFormat="false" ht="15" hidden="false" customHeight="false" outlineLevel="0" collapsed="false">
      <c r="A700" s="3" t="n">
        <v>699</v>
      </c>
      <c r="B700" s="3" t="n">
        <v>698</v>
      </c>
      <c r="C700" s="3" t="n">
        <v>14</v>
      </c>
      <c r="D700" s="3" t="n">
        <v>1</v>
      </c>
      <c r="E700" s="3" t="n">
        <v>5</v>
      </c>
      <c r="F700" s="24" t="n">
        <v>2.10157061</v>
      </c>
    </row>
    <row r="701" customFormat="false" ht="15" hidden="false" customHeight="false" outlineLevel="0" collapsed="false">
      <c r="A701" s="3" t="n">
        <v>700</v>
      </c>
      <c r="B701" s="3" t="n">
        <v>699</v>
      </c>
      <c r="C701" s="3" t="n">
        <v>14</v>
      </c>
      <c r="D701" s="3" t="n">
        <v>1</v>
      </c>
      <c r="E701" s="3" t="n">
        <v>6</v>
      </c>
      <c r="F701" s="24" t="n">
        <v>-0.86355871</v>
      </c>
    </row>
    <row r="702" customFormat="false" ht="15" hidden="false" customHeight="false" outlineLevel="0" collapsed="false">
      <c r="A702" s="3" t="n">
        <v>701</v>
      </c>
      <c r="B702" s="3" t="n">
        <v>700</v>
      </c>
      <c r="C702" s="3" t="n">
        <v>14</v>
      </c>
      <c r="D702" s="3" t="n">
        <v>2</v>
      </c>
      <c r="E702" s="3" t="n">
        <v>0</v>
      </c>
      <c r="F702" s="24" t="n">
        <v>-2.56560826</v>
      </c>
    </row>
    <row r="703" customFormat="false" ht="15" hidden="false" customHeight="false" outlineLevel="0" collapsed="false">
      <c r="A703" s="3" t="n">
        <v>702</v>
      </c>
      <c r="B703" s="3" t="n">
        <v>701</v>
      </c>
      <c r="C703" s="3" t="n">
        <v>14</v>
      </c>
      <c r="D703" s="3" t="n">
        <v>2</v>
      </c>
      <c r="E703" s="3" t="n">
        <v>1</v>
      </c>
      <c r="F703" s="24" t="n">
        <v>-6.27168322</v>
      </c>
    </row>
    <row r="704" customFormat="false" ht="15" hidden="false" customHeight="false" outlineLevel="0" collapsed="false">
      <c r="A704" s="3" t="n">
        <v>703</v>
      </c>
      <c r="B704" s="3" t="n">
        <v>702</v>
      </c>
      <c r="C704" s="3" t="n">
        <v>14</v>
      </c>
      <c r="D704" s="3" t="n">
        <v>2</v>
      </c>
      <c r="E704" s="3" t="n">
        <v>2</v>
      </c>
      <c r="F704" s="24" t="n">
        <v>-6.5185895</v>
      </c>
    </row>
    <row r="705" customFormat="false" ht="15" hidden="false" customHeight="false" outlineLevel="0" collapsed="false">
      <c r="A705" s="3" t="n">
        <v>704</v>
      </c>
      <c r="B705" s="3" t="n">
        <v>703</v>
      </c>
      <c r="C705" s="3" t="n">
        <v>14</v>
      </c>
      <c r="D705" s="3" t="n">
        <v>2</v>
      </c>
      <c r="E705" s="3" t="n">
        <v>3</v>
      </c>
      <c r="F705" s="24" t="n">
        <v>-6.60286999</v>
      </c>
    </row>
    <row r="706" customFormat="false" ht="15" hidden="false" customHeight="false" outlineLevel="0" collapsed="false">
      <c r="A706" s="3" t="n">
        <v>705</v>
      </c>
      <c r="B706" s="3" t="n">
        <v>704</v>
      </c>
      <c r="C706" s="3" t="n">
        <v>14</v>
      </c>
      <c r="D706" s="3" t="n">
        <v>2</v>
      </c>
      <c r="E706" s="3" t="n">
        <v>4</v>
      </c>
      <c r="F706" s="24" t="n">
        <v>-0.169075876</v>
      </c>
    </row>
    <row r="707" customFormat="false" ht="15" hidden="false" customHeight="false" outlineLevel="0" collapsed="false">
      <c r="A707" s="3" t="n">
        <v>706</v>
      </c>
      <c r="B707" s="3" t="n">
        <v>705</v>
      </c>
      <c r="C707" s="3" t="n">
        <v>14</v>
      </c>
      <c r="D707" s="3" t="n">
        <v>2</v>
      </c>
      <c r="E707" s="3" t="n">
        <v>5</v>
      </c>
      <c r="F707" s="24" t="n">
        <v>-3.10911703</v>
      </c>
    </row>
    <row r="708" customFormat="false" ht="15" hidden="false" customHeight="false" outlineLevel="0" collapsed="false">
      <c r="A708" s="3" t="n">
        <v>707</v>
      </c>
      <c r="B708" s="3" t="n">
        <v>706</v>
      </c>
      <c r="C708" s="3" t="n">
        <v>14</v>
      </c>
      <c r="D708" s="3" t="n">
        <v>2</v>
      </c>
      <c r="E708" s="3" t="n">
        <v>6</v>
      </c>
      <c r="F708" s="24" t="n">
        <v>-2.65979791</v>
      </c>
    </row>
    <row r="709" customFormat="false" ht="15" hidden="false" customHeight="false" outlineLevel="0" collapsed="false">
      <c r="A709" s="3" t="n">
        <v>708</v>
      </c>
      <c r="B709" s="3" t="n">
        <v>707</v>
      </c>
      <c r="C709" s="3" t="n">
        <v>14</v>
      </c>
      <c r="D709" s="3" t="n">
        <v>3</v>
      </c>
      <c r="E709" s="3" t="n">
        <v>0</v>
      </c>
      <c r="F709" s="24" t="n">
        <v>-2.19300604</v>
      </c>
    </row>
    <row r="710" customFormat="false" ht="15" hidden="false" customHeight="false" outlineLevel="0" collapsed="false">
      <c r="A710" s="3" t="n">
        <v>709</v>
      </c>
      <c r="B710" s="3" t="n">
        <v>708</v>
      </c>
      <c r="C710" s="3" t="n">
        <v>14</v>
      </c>
      <c r="D710" s="3" t="n">
        <v>3</v>
      </c>
      <c r="E710" s="3" t="n">
        <v>1</v>
      </c>
      <c r="F710" s="24" t="n">
        <v>0.397872567</v>
      </c>
    </row>
    <row r="711" customFormat="false" ht="15" hidden="false" customHeight="false" outlineLevel="0" collapsed="false">
      <c r="A711" s="3" t="n">
        <v>710</v>
      </c>
      <c r="B711" s="3" t="n">
        <v>709</v>
      </c>
      <c r="C711" s="3" t="n">
        <v>14</v>
      </c>
      <c r="D711" s="3" t="n">
        <v>3</v>
      </c>
      <c r="E711" s="3" t="n">
        <v>2</v>
      </c>
      <c r="F711" s="24" t="n">
        <v>2.40954924</v>
      </c>
    </row>
    <row r="712" customFormat="false" ht="15" hidden="false" customHeight="false" outlineLevel="0" collapsed="false">
      <c r="A712" s="3" t="n">
        <v>711</v>
      </c>
      <c r="B712" s="3" t="n">
        <v>710</v>
      </c>
      <c r="C712" s="3" t="n">
        <v>14</v>
      </c>
      <c r="D712" s="3" t="n">
        <v>3</v>
      </c>
      <c r="E712" s="3" t="n">
        <v>3</v>
      </c>
      <c r="F712" s="24" t="n">
        <v>4.65895033</v>
      </c>
    </row>
    <row r="713" customFormat="false" ht="15" hidden="false" customHeight="false" outlineLevel="0" collapsed="false">
      <c r="A713" s="3" t="n">
        <v>712</v>
      </c>
      <c r="B713" s="3" t="n">
        <v>711</v>
      </c>
      <c r="C713" s="3" t="n">
        <v>14</v>
      </c>
      <c r="D713" s="3" t="n">
        <v>3</v>
      </c>
      <c r="E713" s="3" t="n">
        <v>4</v>
      </c>
      <c r="F713" s="24" t="n">
        <v>4.09717512</v>
      </c>
    </row>
    <row r="714" customFormat="false" ht="15" hidden="false" customHeight="false" outlineLevel="0" collapsed="false">
      <c r="A714" s="3" t="n">
        <v>713</v>
      </c>
      <c r="B714" s="3" t="n">
        <v>712</v>
      </c>
      <c r="C714" s="3" t="n">
        <v>14</v>
      </c>
      <c r="D714" s="3" t="n">
        <v>3</v>
      </c>
      <c r="E714" s="3" t="n">
        <v>5</v>
      </c>
      <c r="F714" s="24" t="n">
        <v>0.0321587026</v>
      </c>
    </row>
    <row r="715" customFormat="false" ht="15" hidden="false" customHeight="false" outlineLevel="0" collapsed="false">
      <c r="A715" s="3" t="n">
        <v>714</v>
      </c>
      <c r="B715" s="3" t="n">
        <v>713</v>
      </c>
      <c r="C715" s="3" t="n">
        <v>14</v>
      </c>
      <c r="D715" s="3" t="n">
        <v>3</v>
      </c>
      <c r="E715" s="3" t="n">
        <v>6</v>
      </c>
      <c r="F715" s="24" t="n">
        <v>-5.4487195</v>
      </c>
    </row>
    <row r="716" customFormat="false" ht="15" hidden="false" customHeight="false" outlineLevel="0" collapsed="false">
      <c r="A716" s="3" t="n">
        <v>715</v>
      </c>
      <c r="B716" s="3" t="n">
        <v>714</v>
      </c>
      <c r="C716" s="3" t="n">
        <v>14</v>
      </c>
      <c r="D716" s="3" t="n">
        <v>4</v>
      </c>
      <c r="E716" s="3" t="n">
        <v>0</v>
      </c>
      <c r="F716" s="24" t="n">
        <v>0.0185168684</v>
      </c>
    </row>
    <row r="717" customFormat="false" ht="15" hidden="false" customHeight="false" outlineLevel="0" collapsed="false">
      <c r="A717" s="3" t="n">
        <v>716</v>
      </c>
      <c r="B717" s="3" t="n">
        <v>715</v>
      </c>
      <c r="C717" s="3" t="n">
        <v>14</v>
      </c>
      <c r="D717" s="3" t="n">
        <v>4</v>
      </c>
      <c r="E717" s="3" t="n">
        <v>1</v>
      </c>
      <c r="F717" s="24" t="n">
        <v>-0.0741290748</v>
      </c>
    </row>
    <row r="718" customFormat="false" ht="15" hidden="false" customHeight="false" outlineLevel="0" collapsed="false">
      <c r="A718" s="3" t="n">
        <v>717</v>
      </c>
      <c r="B718" s="3" t="n">
        <v>716</v>
      </c>
      <c r="C718" s="3" t="n">
        <v>14</v>
      </c>
      <c r="D718" s="3" t="n">
        <v>4</v>
      </c>
      <c r="E718" s="3" t="n">
        <v>2</v>
      </c>
      <c r="F718" s="24" t="n">
        <v>-5.18198061</v>
      </c>
    </row>
    <row r="719" customFormat="false" ht="15" hidden="false" customHeight="false" outlineLevel="0" collapsed="false">
      <c r="A719" s="3" t="n">
        <v>718</v>
      </c>
      <c r="B719" s="3" t="n">
        <v>717</v>
      </c>
      <c r="C719" s="3" t="n">
        <v>14</v>
      </c>
      <c r="D719" s="3" t="n">
        <v>4</v>
      </c>
      <c r="E719" s="3" t="n">
        <v>3</v>
      </c>
      <c r="F719" s="24" t="n">
        <v>-6.87549639</v>
      </c>
    </row>
    <row r="720" customFormat="false" ht="15" hidden="false" customHeight="false" outlineLevel="0" collapsed="false">
      <c r="A720" s="3" t="n">
        <v>719</v>
      </c>
      <c r="B720" s="3" t="n">
        <v>718</v>
      </c>
      <c r="C720" s="3" t="n">
        <v>14</v>
      </c>
      <c r="D720" s="3" t="n">
        <v>4</v>
      </c>
      <c r="E720" s="3" t="n">
        <v>4</v>
      </c>
      <c r="F720" s="24" t="n">
        <v>-2.60443139</v>
      </c>
    </row>
    <row r="721" customFormat="false" ht="15" hidden="false" customHeight="false" outlineLevel="0" collapsed="false">
      <c r="A721" s="3" t="n">
        <v>720</v>
      </c>
      <c r="B721" s="3" t="n">
        <v>719</v>
      </c>
      <c r="C721" s="3" t="n">
        <v>14</v>
      </c>
      <c r="D721" s="3" t="n">
        <v>4</v>
      </c>
      <c r="E721" s="3" t="n">
        <v>5</v>
      </c>
      <c r="F721" s="24" t="n">
        <v>0.287866235</v>
      </c>
    </row>
    <row r="722" customFormat="false" ht="15" hidden="false" customHeight="false" outlineLevel="0" collapsed="false">
      <c r="A722" s="3" t="n">
        <v>721</v>
      </c>
      <c r="B722" s="3" t="n">
        <v>720</v>
      </c>
      <c r="C722" s="3" t="n">
        <v>14</v>
      </c>
      <c r="D722" s="3" t="n">
        <v>4</v>
      </c>
      <c r="E722" s="3" t="n">
        <v>6</v>
      </c>
      <c r="F722" s="24" t="n">
        <v>-3.27598929</v>
      </c>
    </row>
    <row r="723" customFormat="false" ht="15" hidden="false" customHeight="false" outlineLevel="0" collapsed="false">
      <c r="A723" s="3" t="n">
        <v>722</v>
      </c>
      <c r="B723" s="3" t="n">
        <v>721</v>
      </c>
      <c r="C723" s="3" t="n">
        <v>14</v>
      </c>
      <c r="D723" s="3" t="n">
        <v>5</v>
      </c>
      <c r="E723" s="3" t="n">
        <v>0</v>
      </c>
      <c r="F723" s="24" t="n">
        <v>-0.265274107</v>
      </c>
    </row>
    <row r="724" customFormat="false" ht="15" hidden="false" customHeight="false" outlineLevel="0" collapsed="false">
      <c r="A724" s="3" t="n">
        <v>723</v>
      </c>
      <c r="B724" s="3" t="n">
        <v>722</v>
      </c>
      <c r="C724" s="3" t="n">
        <v>14</v>
      </c>
      <c r="D724" s="3" t="n">
        <v>5</v>
      </c>
      <c r="E724" s="3" t="n">
        <v>1</v>
      </c>
      <c r="F724" s="24" t="n">
        <v>-1.84491456</v>
      </c>
    </row>
    <row r="725" customFormat="false" ht="15" hidden="false" customHeight="false" outlineLevel="0" collapsed="false">
      <c r="A725" s="3" t="n">
        <v>724</v>
      </c>
      <c r="B725" s="3" t="n">
        <v>723</v>
      </c>
      <c r="C725" s="3" t="n">
        <v>14</v>
      </c>
      <c r="D725" s="3" t="n">
        <v>5</v>
      </c>
      <c r="E725" s="3" t="n">
        <v>2</v>
      </c>
      <c r="F725" s="24" t="n">
        <v>-11.5879173</v>
      </c>
    </row>
    <row r="726" customFormat="false" ht="15" hidden="false" customHeight="false" outlineLevel="0" collapsed="false">
      <c r="A726" s="3" t="n">
        <v>725</v>
      </c>
      <c r="B726" s="3" t="n">
        <v>724</v>
      </c>
      <c r="C726" s="3" t="n">
        <v>14</v>
      </c>
      <c r="D726" s="3" t="n">
        <v>5</v>
      </c>
      <c r="E726" s="3" t="n">
        <v>3</v>
      </c>
      <c r="F726" s="24" t="n">
        <v>-5.00105572</v>
      </c>
    </row>
    <row r="727" customFormat="false" ht="15" hidden="false" customHeight="false" outlineLevel="0" collapsed="false">
      <c r="A727" s="3" t="n">
        <v>726</v>
      </c>
      <c r="B727" s="3" t="n">
        <v>725</v>
      </c>
      <c r="C727" s="3" t="n">
        <v>14</v>
      </c>
      <c r="D727" s="3" t="n">
        <v>5</v>
      </c>
      <c r="E727" s="3" t="n">
        <v>4</v>
      </c>
      <c r="F727" s="24" t="n">
        <v>4.70818424</v>
      </c>
    </row>
    <row r="728" customFormat="false" ht="15" hidden="false" customHeight="false" outlineLevel="0" collapsed="false">
      <c r="A728" s="3" t="n">
        <v>727</v>
      </c>
      <c r="B728" s="3" t="n">
        <v>726</v>
      </c>
      <c r="C728" s="3" t="n">
        <v>14</v>
      </c>
      <c r="D728" s="3" t="n">
        <v>5</v>
      </c>
      <c r="E728" s="3" t="n">
        <v>5</v>
      </c>
      <c r="F728" s="24" t="n">
        <v>-1.94269931</v>
      </c>
    </row>
    <row r="729" customFormat="false" ht="15" hidden="false" customHeight="false" outlineLevel="0" collapsed="false">
      <c r="A729" s="3" t="n">
        <v>728</v>
      </c>
      <c r="B729" s="3" t="n">
        <v>727</v>
      </c>
      <c r="C729" s="3" t="n">
        <v>14</v>
      </c>
      <c r="D729" s="3" t="n">
        <v>5</v>
      </c>
      <c r="E729" s="3" t="n">
        <v>6</v>
      </c>
      <c r="F729" s="24" t="n">
        <v>-1.4046489</v>
      </c>
    </row>
    <row r="730" customFormat="false" ht="15" hidden="false" customHeight="false" outlineLevel="0" collapsed="false">
      <c r="A730" s="3" t="n">
        <v>729</v>
      </c>
      <c r="B730" s="3" t="n">
        <v>728</v>
      </c>
      <c r="C730" s="3" t="n">
        <v>14</v>
      </c>
      <c r="D730" s="3" t="n">
        <v>6</v>
      </c>
      <c r="E730" s="3" t="n">
        <v>0</v>
      </c>
      <c r="F730" s="24" t="n">
        <v>-0.126921251</v>
      </c>
    </row>
    <row r="731" customFormat="false" ht="15" hidden="false" customHeight="false" outlineLevel="0" collapsed="false">
      <c r="A731" s="3" t="n">
        <v>730</v>
      </c>
      <c r="B731" s="3" t="n">
        <v>729</v>
      </c>
      <c r="C731" s="3" t="n">
        <v>14</v>
      </c>
      <c r="D731" s="3" t="n">
        <v>6</v>
      </c>
      <c r="E731" s="3" t="n">
        <v>1</v>
      </c>
      <c r="F731" s="24" t="n">
        <v>-2.34833288</v>
      </c>
    </row>
    <row r="732" customFormat="false" ht="15" hidden="false" customHeight="false" outlineLevel="0" collapsed="false">
      <c r="A732" s="3" t="n">
        <v>731</v>
      </c>
      <c r="B732" s="3" t="n">
        <v>730</v>
      </c>
      <c r="C732" s="3" t="n">
        <v>14</v>
      </c>
      <c r="D732" s="3" t="n">
        <v>6</v>
      </c>
      <c r="E732" s="3" t="n">
        <v>2</v>
      </c>
      <c r="F732" s="24" t="n">
        <v>-8.89074421</v>
      </c>
    </row>
    <row r="733" customFormat="false" ht="15" hidden="false" customHeight="false" outlineLevel="0" collapsed="false">
      <c r="A733" s="3" t="n">
        <v>732</v>
      </c>
      <c r="B733" s="3" t="n">
        <v>731</v>
      </c>
      <c r="C733" s="3" t="n">
        <v>14</v>
      </c>
      <c r="D733" s="3" t="n">
        <v>6</v>
      </c>
      <c r="E733" s="3" t="n">
        <v>3</v>
      </c>
      <c r="F733" s="24" t="n">
        <v>-3.63422966</v>
      </c>
    </row>
    <row r="734" customFormat="false" ht="15" hidden="false" customHeight="false" outlineLevel="0" collapsed="false">
      <c r="A734" s="3" t="n">
        <v>733</v>
      </c>
      <c r="B734" s="3" t="n">
        <v>732</v>
      </c>
      <c r="C734" s="3" t="n">
        <v>14</v>
      </c>
      <c r="D734" s="3" t="n">
        <v>6</v>
      </c>
      <c r="E734" s="3" t="n">
        <v>4</v>
      </c>
      <c r="F734" s="24" t="n">
        <v>-3.00818396</v>
      </c>
    </row>
    <row r="735" customFormat="false" ht="15" hidden="false" customHeight="false" outlineLevel="0" collapsed="false">
      <c r="A735" s="3" t="n">
        <v>734</v>
      </c>
      <c r="B735" s="3" t="n">
        <v>733</v>
      </c>
      <c r="C735" s="3" t="n">
        <v>14</v>
      </c>
      <c r="D735" s="3" t="n">
        <v>6</v>
      </c>
      <c r="E735" s="3" t="n">
        <v>5</v>
      </c>
      <c r="F735" s="24" t="n">
        <v>-3.25187802</v>
      </c>
    </row>
    <row r="736" customFormat="false" ht="15" hidden="false" customHeight="false" outlineLevel="0" collapsed="false">
      <c r="A736" s="3" t="n">
        <v>735</v>
      </c>
      <c r="B736" s="3" t="n">
        <v>734</v>
      </c>
      <c r="C736" s="3" t="n">
        <v>14</v>
      </c>
      <c r="D736" s="3" t="n">
        <v>6</v>
      </c>
      <c r="E736" s="3" t="n">
        <v>6</v>
      </c>
      <c r="F736" s="24" t="n">
        <v>-1.22570229</v>
      </c>
    </row>
    <row r="737" customFormat="false" ht="15" hidden="false" customHeight="false" outlineLevel="0" collapsed="false">
      <c r="A737" s="3" t="n">
        <v>736</v>
      </c>
      <c r="B737" s="3" t="n">
        <v>735</v>
      </c>
      <c r="C737" s="3" t="n">
        <v>15</v>
      </c>
      <c r="D737" s="3" t="n">
        <v>0</v>
      </c>
      <c r="E737" s="3" t="n">
        <v>0</v>
      </c>
      <c r="F737" s="24" t="n">
        <v>-1.78868735</v>
      </c>
    </row>
    <row r="738" customFormat="false" ht="15" hidden="false" customHeight="false" outlineLevel="0" collapsed="false">
      <c r="A738" s="3" t="n">
        <v>737</v>
      </c>
      <c r="B738" s="3" t="n">
        <v>736</v>
      </c>
      <c r="C738" s="3" t="n">
        <v>15</v>
      </c>
      <c r="D738" s="3" t="n">
        <v>0</v>
      </c>
      <c r="E738" s="3" t="n">
        <v>1</v>
      </c>
      <c r="F738" s="24" t="n">
        <v>0.233106434</v>
      </c>
    </row>
    <row r="739" customFormat="false" ht="15" hidden="false" customHeight="false" outlineLevel="0" collapsed="false">
      <c r="A739" s="3" t="n">
        <v>738</v>
      </c>
      <c r="B739" s="3" t="n">
        <v>737</v>
      </c>
      <c r="C739" s="3" t="n">
        <v>15</v>
      </c>
      <c r="D739" s="3" t="n">
        <v>0</v>
      </c>
      <c r="E739" s="3" t="n">
        <v>2</v>
      </c>
      <c r="F739" s="24" t="n">
        <v>-1.05694318</v>
      </c>
    </row>
    <row r="740" customFormat="false" ht="15" hidden="false" customHeight="false" outlineLevel="0" collapsed="false">
      <c r="A740" s="3" t="n">
        <v>739</v>
      </c>
      <c r="B740" s="3" t="n">
        <v>738</v>
      </c>
      <c r="C740" s="3" t="n">
        <v>15</v>
      </c>
      <c r="D740" s="3" t="n">
        <v>0</v>
      </c>
      <c r="E740" s="3" t="n">
        <v>3</v>
      </c>
      <c r="F740" s="24" t="n">
        <v>-1.19180954</v>
      </c>
    </row>
    <row r="741" customFormat="false" ht="15" hidden="false" customHeight="false" outlineLevel="0" collapsed="false">
      <c r="A741" s="3" t="n">
        <v>740</v>
      </c>
      <c r="B741" s="3" t="n">
        <v>739</v>
      </c>
      <c r="C741" s="3" t="n">
        <v>15</v>
      </c>
      <c r="D741" s="3" t="n">
        <v>0</v>
      </c>
      <c r="E741" s="3" t="n">
        <v>4</v>
      </c>
      <c r="F741" s="24" t="n">
        <v>-2.9768548</v>
      </c>
    </row>
    <row r="742" customFormat="false" ht="15" hidden="false" customHeight="false" outlineLevel="0" collapsed="false">
      <c r="A742" s="3" t="n">
        <v>741</v>
      </c>
      <c r="B742" s="3" t="n">
        <v>740</v>
      </c>
      <c r="C742" s="3" t="n">
        <v>15</v>
      </c>
      <c r="D742" s="3" t="n">
        <v>0</v>
      </c>
      <c r="E742" s="3" t="n">
        <v>5</v>
      </c>
      <c r="F742" s="24" t="n">
        <v>-3.70201659</v>
      </c>
    </row>
    <row r="743" customFormat="false" ht="15" hidden="false" customHeight="false" outlineLevel="0" collapsed="false">
      <c r="A743" s="3" t="n">
        <v>742</v>
      </c>
      <c r="B743" s="3" t="n">
        <v>741</v>
      </c>
      <c r="C743" s="3" t="n">
        <v>15</v>
      </c>
      <c r="D743" s="3" t="n">
        <v>0</v>
      </c>
      <c r="E743" s="3" t="n">
        <v>6</v>
      </c>
      <c r="F743" s="24" t="n">
        <v>-0.19674547</v>
      </c>
    </row>
    <row r="744" customFormat="false" ht="15" hidden="false" customHeight="false" outlineLevel="0" collapsed="false">
      <c r="A744" s="3" t="n">
        <v>743</v>
      </c>
      <c r="B744" s="3" t="n">
        <v>742</v>
      </c>
      <c r="C744" s="3" t="n">
        <v>15</v>
      </c>
      <c r="D744" s="3" t="n">
        <v>1</v>
      </c>
      <c r="E744" s="3" t="n">
        <v>0</v>
      </c>
      <c r="F744" s="24" t="n">
        <v>-0.682773232</v>
      </c>
    </row>
    <row r="745" customFormat="false" ht="15" hidden="false" customHeight="false" outlineLevel="0" collapsed="false">
      <c r="A745" s="3" t="n">
        <v>744</v>
      </c>
      <c r="B745" s="3" t="n">
        <v>743</v>
      </c>
      <c r="C745" s="3" t="n">
        <v>15</v>
      </c>
      <c r="D745" s="3" t="n">
        <v>1</v>
      </c>
      <c r="E745" s="3" t="n">
        <v>1</v>
      </c>
      <c r="F745" s="24" t="n">
        <v>-0.285676122</v>
      </c>
    </row>
    <row r="746" customFormat="false" ht="15" hidden="false" customHeight="false" outlineLevel="0" collapsed="false">
      <c r="A746" s="3" t="n">
        <v>745</v>
      </c>
      <c r="B746" s="3" t="n">
        <v>744</v>
      </c>
      <c r="C746" s="3" t="n">
        <v>15</v>
      </c>
      <c r="D746" s="3" t="n">
        <v>1</v>
      </c>
      <c r="E746" s="3" t="n">
        <v>2</v>
      </c>
      <c r="F746" s="24" t="n">
        <v>2.53344464</v>
      </c>
    </row>
    <row r="747" customFormat="false" ht="15" hidden="false" customHeight="false" outlineLevel="0" collapsed="false">
      <c r="A747" s="3" t="n">
        <v>746</v>
      </c>
      <c r="B747" s="3" t="n">
        <v>745</v>
      </c>
      <c r="C747" s="3" t="n">
        <v>15</v>
      </c>
      <c r="D747" s="3" t="n">
        <v>1</v>
      </c>
      <c r="E747" s="3" t="n">
        <v>3</v>
      </c>
      <c r="F747" s="24" t="n">
        <v>6.50160742</v>
      </c>
    </row>
    <row r="748" customFormat="false" ht="15" hidden="false" customHeight="false" outlineLevel="0" collapsed="false">
      <c r="A748" s="3" t="n">
        <v>747</v>
      </c>
      <c r="B748" s="3" t="n">
        <v>746</v>
      </c>
      <c r="C748" s="3" t="n">
        <v>15</v>
      </c>
      <c r="D748" s="3" t="n">
        <v>1</v>
      </c>
      <c r="E748" s="3" t="n">
        <v>4</v>
      </c>
      <c r="F748" s="24" t="n">
        <v>2.89302325</v>
      </c>
    </row>
    <row r="749" customFormat="false" ht="15" hidden="false" customHeight="false" outlineLevel="0" collapsed="false">
      <c r="A749" s="3" t="n">
        <v>748</v>
      </c>
      <c r="B749" s="3" t="n">
        <v>747</v>
      </c>
      <c r="C749" s="3" t="n">
        <v>15</v>
      </c>
      <c r="D749" s="3" t="n">
        <v>1</v>
      </c>
      <c r="E749" s="3" t="n">
        <v>5</v>
      </c>
      <c r="F749" s="24" t="n">
        <v>0.141911149</v>
      </c>
    </row>
    <row r="750" customFormat="false" ht="15" hidden="false" customHeight="false" outlineLevel="0" collapsed="false">
      <c r="A750" s="3" t="n">
        <v>749</v>
      </c>
      <c r="B750" s="3" t="n">
        <v>748</v>
      </c>
      <c r="C750" s="3" t="n">
        <v>15</v>
      </c>
      <c r="D750" s="3" t="n">
        <v>1</v>
      </c>
      <c r="E750" s="3" t="n">
        <v>6</v>
      </c>
      <c r="F750" s="24" t="n">
        <v>2.76783419</v>
      </c>
    </row>
    <row r="751" customFormat="false" ht="15" hidden="false" customHeight="false" outlineLevel="0" collapsed="false">
      <c r="A751" s="3" t="n">
        <v>750</v>
      </c>
      <c r="B751" s="3" t="n">
        <v>749</v>
      </c>
      <c r="C751" s="3" t="n">
        <v>15</v>
      </c>
      <c r="D751" s="3" t="n">
        <v>2</v>
      </c>
      <c r="E751" s="3" t="n">
        <v>0</v>
      </c>
      <c r="F751" s="24" t="n">
        <v>-3.15689254</v>
      </c>
    </row>
    <row r="752" customFormat="false" ht="15" hidden="false" customHeight="false" outlineLevel="0" collapsed="false">
      <c r="A752" s="3" t="n">
        <v>751</v>
      </c>
      <c r="B752" s="3" t="n">
        <v>750</v>
      </c>
      <c r="C752" s="3" t="n">
        <v>15</v>
      </c>
      <c r="D752" s="3" t="n">
        <v>2</v>
      </c>
      <c r="E752" s="3" t="n">
        <v>1</v>
      </c>
      <c r="F752" s="24" t="n">
        <v>-6.59819317</v>
      </c>
    </row>
    <row r="753" customFormat="false" ht="15" hidden="false" customHeight="false" outlineLevel="0" collapsed="false">
      <c r="A753" s="3" t="n">
        <v>752</v>
      </c>
      <c r="B753" s="3" t="n">
        <v>751</v>
      </c>
      <c r="C753" s="3" t="n">
        <v>15</v>
      </c>
      <c r="D753" s="3" t="n">
        <v>2</v>
      </c>
      <c r="E753" s="3" t="n">
        <v>2</v>
      </c>
      <c r="F753" s="24" t="n">
        <v>-16.6468964</v>
      </c>
    </row>
    <row r="754" customFormat="false" ht="15" hidden="false" customHeight="false" outlineLevel="0" collapsed="false">
      <c r="A754" s="3" t="n">
        <v>753</v>
      </c>
      <c r="B754" s="3" t="n">
        <v>752</v>
      </c>
      <c r="C754" s="3" t="n">
        <v>15</v>
      </c>
      <c r="D754" s="3" t="n">
        <v>2</v>
      </c>
      <c r="E754" s="3" t="n">
        <v>3</v>
      </c>
      <c r="F754" s="24" t="n">
        <v>-11.8532982</v>
      </c>
    </row>
    <row r="755" customFormat="false" ht="15" hidden="false" customHeight="false" outlineLevel="0" collapsed="false">
      <c r="A755" s="3" t="n">
        <v>754</v>
      </c>
      <c r="B755" s="3" t="n">
        <v>753</v>
      </c>
      <c r="C755" s="3" t="n">
        <v>15</v>
      </c>
      <c r="D755" s="3" t="n">
        <v>2</v>
      </c>
      <c r="E755" s="3" t="n">
        <v>4</v>
      </c>
      <c r="F755" s="24" t="n">
        <v>-10.3613052</v>
      </c>
    </row>
    <row r="756" customFormat="false" ht="15" hidden="false" customHeight="false" outlineLevel="0" collapsed="false">
      <c r="A756" s="3" t="n">
        <v>755</v>
      </c>
      <c r="B756" s="3" t="n">
        <v>754</v>
      </c>
      <c r="C756" s="3" t="n">
        <v>15</v>
      </c>
      <c r="D756" s="3" t="n">
        <v>2</v>
      </c>
      <c r="E756" s="3" t="n">
        <v>5</v>
      </c>
      <c r="F756" s="24" t="n">
        <v>-5.15813112</v>
      </c>
    </row>
    <row r="757" customFormat="false" ht="15" hidden="false" customHeight="false" outlineLevel="0" collapsed="false">
      <c r="A757" s="3" t="n">
        <v>756</v>
      </c>
      <c r="B757" s="3" t="n">
        <v>755</v>
      </c>
      <c r="C757" s="3" t="n">
        <v>15</v>
      </c>
      <c r="D757" s="3" t="n">
        <v>2</v>
      </c>
      <c r="E757" s="3" t="n">
        <v>6</v>
      </c>
      <c r="F757" s="24" t="n">
        <v>0.337013155</v>
      </c>
    </row>
    <row r="758" customFormat="false" ht="15" hidden="false" customHeight="false" outlineLevel="0" collapsed="false">
      <c r="A758" s="3" t="n">
        <v>757</v>
      </c>
      <c r="B758" s="3" t="n">
        <v>756</v>
      </c>
      <c r="C758" s="3" t="n">
        <v>15</v>
      </c>
      <c r="D758" s="3" t="n">
        <v>3</v>
      </c>
      <c r="E758" s="3" t="n">
        <v>0</v>
      </c>
      <c r="F758" s="24" t="n">
        <v>-2.94684601</v>
      </c>
    </row>
    <row r="759" customFormat="false" ht="15" hidden="false" customHeight="false" outlineLevel="0" collapsed="false">
      <c r="A759" s="3" t="n">
        <v>758</v>
      </c>
      <c r="B759" s="3" t="n">
        <v>757</v>
      </c>
      <c r="C759" s="3" t="n">
        <v>15</v>
      </c>
      <c r="D759" s="3" t="n">
        <v>3</v>
      </c>
      <c r="E759" s="3" t="n">
        <v>1</v>
      </c>
      <c r="F759" s="24" t="n">
        <v>-8.0343504</v>
      </c>
    </row>
    <row r="760" customFormat="false" ht="15" hidden="false" customHeight="false" outlineLevel="0" collapsed="false">
      <c r="A760" s="3" t="n">
        <v>759</v>
      </c>
      <c r="B760" s="3" t="n">
        <v>758</v>
      </c>
      <c r="C760" s="3" t="n">
        <v>15</v>
      </c>
      <c r="D760" s="3" t="n">
        <v>3</v>
      </c>
      <c r="E760" s="3" t="n">
        <v>2</v>
      </c>
      <c r="F760" s="24" t="n">
        <v>-11.2545538</v>
      </c>
    </row>
    <row r="761" customFormat="false" ht="15" hidden="false" customHeight="false" outlineLevel="0" collapsed="false">
      <c r="A761" s="3" t="n">
        <v>760</v>
      </c>
      <c r="B761" s="3" t="n">
        <v>759</v>
      </c>
      <c r="C761" s="3" t="n">
        <v>15</v>
      </c>
      <c r="D761" s="3" t="n">
        <v>3</v>
      </c>
      <c r="E761" s="3" t="n">
        <v>3</v>
      </c>
      <c r="F761" s="24" t="n">
        <v>-5.05067205</v>
      </c>
    </row>
    <row r="762" customFormat="false" ht="15" hidden="false" customHeight="false" outlineLevel="0" collapsed="false">
      <c r="A762" s="3" t="n">
        <v>761</v>
      </c>
      <c r="B762" s="3" t="n">
        <v>760</v>
      </c>
      <c r="C762" s="3" t="n">
        <v>15</v>
      </c>
      <c r="D762" s="3" t="n">
        <v>3</v>
      </c>
      <c r="E762" s="3" t="n">
        <v>4</v>
      </c>
      <c r="F762" s="24" t="n">
        <v>-5.48538637</v>
      </c>
    </row>
    <row r="763" customFormat="false" ht="15" hidden="false" customHeight="false" outlineLevel="0" collapsed="false">
      <c r="A763" s="3" t="n">
        <v>762</v>
      </c>
      <c r="B763" s="3" t="n">
        <v>761</v>
      </c>
      <c r="C763" s="3" t="n">
        <v>15</v>
      </c>
      <c r="D763" s="3" t="n">
        <v>3</v>
      </c>
      <c r="E763" s="3" t="n">
        <v>5</v>
      </c>
      <c r="F763" s="24" t="n">
        <v>0.424107641</v>
      </c>
    </row>
    <row r="764" customFormat="false" ht="15" hidden="false" customHeight="false" outlineLevel="0" collapsed="false">
      <c r="A764" s="3" t="n">
        <v>763</v>
      </c>
      <c r="B764" s="3" t="n">
        <v>762</v>
      </c>
      <c r="C764" s="3" t="n">
        <v>15</v>
      </c>
      <c r="D764" s="3" t="n">
        <v>3</v>
      </c>
      <c r="E764" s="3" t="n">
        <v>6</v>
      </c>
      <c r="F764" s="24" t="n">
        <v>-1.28658092</v>
      </c>
    </row>
    <row r="765" customFormat="false" ht="15" hidden="false" customHeight="false" outlineLevel="0" collapsed="false">
      <c r="A765" s="3" t="n">
        <v>764</v>
      </c>
      <c r="B765" s="3" t="n">
        <v>763</v>
      </c>
      <c r="C765" s="3" t="n">
        <v>15</v>
      </c>
      <c r="D765" s="3" t="n">
        <v>4</v>
      </c>
      <c r="E765" s="3" t="n">
        <v>0</v>
      </c>
      <c r="F765" s="24" t="n">
        <v>-1.82995844</v>
      </c>
    </row>
    <row r="766" customFormat="false" ht="15" hidden="false" customHeight="false" outlineLevel="0" collapsed="false">
      <c r="A766" s="3" t="n">
        <v>765</v>
      </c>
      <c r="B766" s="3" t="n">
        <v>764</v>
      </c>
      <c r="C766" s="3" t="n">
        <v>15</v>
      </c>
      <c r="D766" s="3" t="n">
        <v>4</v>
      </c>
      <c r="E766" s="3" t="n">
        <v>1</v>
      </c>
      <c r="F766" s="24" t="n">
        <v>-8.22335625</v>
      </c>
    </row>
    <row r="767" customFormat="false" ht="15" hidden="false" customHeight="false" outlineLevel="0" collapsed="false">
      <c r="A767" s="3" t="n">
        <v>766</v>
      </c>
      <c r="B767" s="3" t="n">
        <v>765</v>
      </c>
      <c r="C767" s="3" t="n">
        <v>15</v>
      </c>
      <c r="D767" s="3" t="n">
        <v>4</v>
      </c>
      <c r="E767" s="3" t="n">
        <v>2</v>
      </c>
      <c r="F767" s="24" t="n">
        <v>-0.485865325</v>
      </c>
    </row>
    <row r="768" customFormat="false" ht="15" hidden="false" customHeight="false" outlineLevel="0" collapsed="false">
      <c r="A768" s="3" t="n">
        <v>767</v>
      </c>
      <c r="B768" s="3" t="n">
        <v>766</v>
      </c>
      <c r="C768" s="3" t="n">
        <v>15</v>
      </c>
      <c r="D768" s="3" t="n">
        <v>4</v>
      </c>
      <c r="E768" s="3" t="n">
        <v>3</v>
      </c>
      <c r="F768" s="24" t="n">
        <v>-3.47037578</v>
      </c>
    </row>
    <row r="769" customFormat="false" ht="15" hidden="false" customHeight="false" outlineLevel="0" collapsed="false">
      <c r="A769" s="3" t="n">
        <v>768</v>
      </c>
      <c r="B769" s="3" t="n">
        <v>767</v>
      </c>
      <c r="C769" s="3" t="n">
        <v>15</v>
      </c>
      <c r="D769" s="3" t="n">
        <v>4</v>
      </c>
      <c r="E769" s="3" t="n">
        <v>4</v>
      </c>
      <c r="F769" s="24" t="n">
        <v>-1.3459245</v>
      </c>
    </row>
    <row r="770" customFormat="false" ht="15" hidden="false" customHeight="false" outlineLevel="0" collapsed="false">
      <c r="A770" s="3" t="n">
        <v>769</v>
      </c>
      <c r="B770" s="3" t="n">
        <v>768</v>
      </c>
      <c r="C770" s="3" t="n">
        <v>15</v>
      </c>
      <c r="D770" s="3" t="n">
        <v>4</v>
      </c>
      <c r="E770" s="3" t="n">
        <v>5</v>
      </c>
      <c r="F770" s="24" t="n">
        <v>-2.0139997</v>
      </c>
    </row>
    <row r="771" customFormat="false" ht="15" hidden="false" customHeight="false" outlineLevel="0" collapsed="false">
      <c r="A771" s="3" t="n">
        <v>770</v>
      </c>
      <c r="B771" s="3" t="n">
        <v>769</v>
      </c>
      <c r="C771" s="3" t="n">
        <v>15</v>
      </c>
      <c r="D771" s="3" t="n">
        <v>4</v>
      </c>
      <c r="E771" s="3" t="n">
        <v>6</v>
      </c>
      <c r="F771" s="24" t="n">
        <v>-0.512986183</v>
      </c>
    </row>
    <row r="772" customFormat="false" ht="15" hidden="false" customHeight="false" outlineLevel="0" collapsed="false">
      <c r="A772" s="3" t="n">
        <v>771</v>
      </c>
      <c r="B772" s="3" t="n">
        <v>770</v>
      </c>
      <c r="C772" s="3" t="n">
        <v>15</v>
      </c>
      <c r="D772" s="3" t="n">
        <v>5</v>
      </c>
      <c r="E772" s="3" t="n">
        <v>0</v>
      </c>
      <c r="F772" s="24" t="n">
        <v>-2.35115933</v>
      </c>
    </row>
    <row r="773" customFormat="false" ht="15" hidden="false" customHeight="false" outlineLevel="0" collapsed="false">
      <c r="A773" s="3" t="n">
        <v>772</v>
      </c>
      <c r="B773" s="3" t="n">
        <v>771</v>
      </c>
      <c r="C773" s="3" t="n">
        <v>15</v>
      </c>
      <c r="D773" s="3" t="n">
        <v>5</v>
      </c>
      <c r="E773" s="3" t="n">
        <v>1</v>
      </c>
      <c r="F773" s="24" t="n">
        <v>-3.43848515</v>
      </c>
    </row>
    <row r="774" customFormat="false" ht="15" hidden="false" customHeight="false" outlineLevel="0" collapsed="false">
      <c r="A774" s="3" t="n">
        <v>773</v>
      </c>
      <c r="B774" s="3" t="n">
        <v>772</v>
      </c>
      <c r="C774" s="3" t="n">
        <v>15</v>
      </c>
      <c r="D774" s="3" t="n">
        <v>5</v>
      </c>
      <c r="E774" s="3" t="n">
        <v>2</v>
      </c>
      <c r="F774" s="24" t="n">
        <v>2.2639389</v>
      </c>
    </row>
    <row r="775" customFormat="false" ht="15" hidden="false" customHeight="false" outlineLevel="0" collapsed="false">
      <c r="A775" s="3" t="n">
        <v>774</v>
      </c>
      <c r="B775" s="3" t="n">
        <v>773</v>
      </c>
      <c r="C775" s="3" t="n">
        <v>15</v>
      </c>
      <c r="D775" s="3" t="n">
        <v>5</v>
      </c>
      <c r="E775" s="3" t="n">
        <v>3</v>
      </c>
      <c r="F775" s="24" t="n">
        <v>-1.03084803</v>
      </c>
    </row>
    <row r="776" customFormat="false" ht="15" hidden="false" customHeight="false" outlineLevel="0" collapsed="false">
      <c r="A776" s="3" t="n">
        <v>775</v>
      </c>
      <c r="B776" s="3" t="n">
        <v>774</v>
      </c>
      <c r="C776" s="3" t="n">
        <v>15</v>
      </c>
      <c r="D776" s="3" t="n">
        <v>5</v>
      </c>
      <c r="E776" s="3" t="n">
        <v>4</v>
      </c>
      <c r="F776" s="24" t="n">
        <v>0.641742051</v>
      </c>
    </row>
    <row r="777" customFormat="false" ht="15" hidden="false" customHeight="false" outlineLevel="0" collapsed="false">
      <c r="A777" s="3" t="n">
        <v>776</v>
      </c>
      <c r="B777" s="3" t="n">
        <v>775</v>
      </c>
      <c r="C777" s="3" t="n">
        <v>15</v>
      </c>
      <c r="D777" s="3" t="n">
        <v>5</v>
      </c>
      <c r="E777" s="3" t="n">
        <v>5</v>
      </c>
      <c r="F777" s="24" t="n">
        <v>-1.58180583</v>
      </c>
    </row>
    <row r="778" customFormat="false" ht="15" hidden="false" customHeight="false" outlineLevel="0" collapsed="false">
      <c r="A778" s="3" t="n">
        <v>777</v>
      </c>
      <c r="B778" s="3" t="n">
        <v>776</v>
      </c>
      <c r="C778" s="3" t="n">
        <v>15</v>
      </c>
      <c r="D778" s="3" t="n">
        <v>5</v>
      </c>
      <c r="E778" s="3" t="n">
        <v>6</v>
      </c>
      <c r="F778" s="24" t="n">
        <v>-0.273689836</v>
      </c>
    </row>
    <row r="779" customFormat="false" ht="15" hidden="false" customHeight="false" outlineLevel="0" collapsed="false">
      <c r="A779" s="3" t="n">
        <v>778</v>
      </c>
      <c r="B779" s="3" t="n">
        <v>777</v>
      </c>
      <c r="C779" s="3" t="n">
        <v>15</v>
      </c>
      <c r="D779" s="3" t="n">
        <v>6</v>
      </c>
      <c r="E779" s="3" t="n">
        <v>0</v>
      </c>
      <c r="F779" s="24" t="n">
        <v>-1.7975297</v>
      </c>
    </row>
    <row r="780" customFormat="false" ht="15" hidden="false" customHeight="false" outlineLevel="0" collapsed="false">
      <c r="A780" s="3" t="n">
        <v>779</v>
      </c>
      <c r="B780" s="3" t="n">
        <v>778</v>
      </c>
      <c r="C780" s="3" t="n">
        <v>15</v>
      </c>
      <c r="D780" s="3" t="n">
        <v>6</v>
      </c>
      <c r="E780" s="3" t="n">
        <v>1</v>
      </c>
      <c r="F780" s="24" t="n">
        <v>-3.72308016</v>
      </c>
    </row>
    <row r="781" customFormat="false" ht="15" hidden="false" customHeight="false" outlineLevel="0" collapsed="false">
      <c r="A781" s="3" t="n">
        <v>780</v>
      </c>
      <c r="B781" s="3" t="n">
        <v>779</v>
      </c>
      <c r="C781" s="3" t="n">
        <v>15</v>
      </c>
      <c r="D781" s="3" t="n">
        <v>6</v>
      </c>
      <c r="E781" s="3" t="n">
        <v>2</v>
      </c>
      <c r="F781" s="24" t="n">
        <v>-5.54887056</v>
      </c>
    </row>
    <row r="782" customFormat="false" ht="15" hidden="false" customHeight="false" outlineLevel="0" collapsed="false">
      <c r="A782" s="3" t="n">
        <v>781</v>
      </c>
      <c r="B782" s="3" t="n">
        <v>780</v>
      </c>
      <c r="C782" s="3" t="n">
        <v>15</v>
      </c>
      <c r="D782" s="3" t="n">
        <v>6</v>
      </c>
      <c r="E782" s="3" t="n">
        <v>3</v>
      </c>
      <c r="F782" s="24" t="n">
        <v>-3.93880653</v>
      </c>
    </row>
    <row r="783" customFormat="false" ht="15" hidden="false" customHeight="false" outlineLevel="0" collapsed="false">
      <c r="A783" s="3" t="n">
        <v>782</v>
      </c>
      <c r="B783" s="3" t="n">
        <v>781</v>
      </c>
      <c r="C783" s="3" t="n">
        <v>15</v>
      </c>
      <c r="D783" s="3" t="n">
        <v>6</v>
      </c>
      <c r="E783" s="3" t="n">
        <v>4</v>
      </c>
      <c r="F783" s="24" t="n">
        <v>-3.70527172</v>
      </c>
    </row>
    <row r="784" customFormat="false" ht="15" hidden="false" customHeight="false" outlineLevel="0" collapsed="false">
      <c r="A784" s="3" t="n">
        <v>783</v>
      </c>
      <c r="B784" s="3" t="n">
        <v>782</v>
      </c>
      <c r="C784" s="3" t="n">
        <v>15</v>
      </c>
      <c r="D784" s="3" t="n">
        <v>6</v>
      </c>
      <c r="E784" s="3" t="n">
        <v>5</v>
      </c>
      <c r="F784" s="24" t="n">
        <v>-1.09229171</v>
      </c>
    </row>
    <row r="785" customFormat="false" ht="15" hidden="false" customHeight="false" outlineLevel="0" collapsed="false">
      <c r="A785" s="3" t="n">
        <v>784</v>
      </c>
      <c r="B785" s="3" t="n">
        <v>783</v>
      </c>
      <c r="C785" s="3" t="n">
        <v>15</v>
      </c>
      <c r="D785" s="3" t="n">
        <v>6</v>
      </c>
      <c r="E785" s="3" t="n">
        <v>6</v>
      </c>
      <c r="F785" s="24" t="n">
        <v>-0.474230886</v>
      </c>
    </row>
  </sheetData>
  <autoFilter ref="A1:F7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5" min="3" style="0" width="8"/>
    <col collapsed="false" customWidth="true" hidden="false" outlineLevel="0" max="6" min="6" style="0" width="14"/>
  </cols>
  <sheetData>
    <row r="1" customFormat="false" ht="23.85" hidden="false" customHeight="false" outlineLevel="0" collapsed="false">
      <c r="A1" s="9" t="s">
        <v>109</v>
      </c>
      <c r="B1" s="9" t="s">
        <v>110</v>
      </c>
      <c r="C1" s="9" t="s">
        <v>121</v>
      </c>
      <c r="D1" s="9" t="s">
        <v>122</v>
      </c>
      <c r="E1" s="9" t="s">
        <v>123</v>
      </c>
      <c r="F1" s="9" t="s">
        <v>114</v>
      </c>
      <c r="H1" s="4" t="s">
        <v>132</v>
      </c>
    </row>
    <row r="2" customFormat="false" ht="15" hidden="false" customHeight="false" outlineLevel="0" collapsed="false">
      <c r="A2" s="3" t="n">
        <v>1</v>
      </c>
      <c r="B2" s="3" t="n">
        <v>0</v>
      </c>
      <c r="C2" s="3" t="n">
        <v>0</v>
      </c>
      <c r="D2" s="3" t="n">
        <v>0</v>
      </c>
      <c r="E2" s="3" t="n">
        <v>0</v>
      </c>
      <c r="F2" s="24" t="n">
        <v>0.0634152889</v>
      </c>
    </row>
    <row r="3" customFormat="false" ht="15" hidden="false" customHeight="false" outlineLevel="0" collapsed="false">
      <c r="A3" s="3" t="n">
        <v>2</v>
      </c>
      <c r="B3" s="3" t="n">
        <v>1</v>
      </c>
      <c r="C3" s="3" t="n">
        <v>0</v>
      </c>
      <c r="D3" s="3" t="n">
        <v>0</v>
      </c>
      <c r="E3" s="3" t="n">
        <v>1</v>
      </c>
      <c r="F3" s="24" t="n">
        <v>0</v>
      </c>
    </row>
    <row r="4" customFormat="false" ht="15" hidden="false" customHeight="false" outlineLevel="0" collapsed="false">
      <c r="A4" s="3" t="n">
        <v>3</v>
      </c>
      <c r="B4" s="3" t="n">
        <v>2</v>
      </c>
      <c r="C4" s="3" t="n">
        <v>0</v>
      </c>
      <c r="D4" s="3" t="n">
        <v>0</v>
      </c>
      <c r="E4" s="3" t="n">
        <v>2</v>
      </c>
      <c r="F4" s="24" t="n">
        <v>0</v>
      </c>
    </row>
    <row r="5" customFormat="false" ht="15" hidden="false" customHeight="false" outlineLevel="0" collapsed="false">
      <c r="A5" s="3" t="n">
        <v>4</v>
      </c>
      <c r="B5" s="3" t="n">
        <v>3</v>
      </c>
      <c r="C5" s="3" t="n">
        <v>0</v>
      </c>
      <c r="D5" s="3" t="n">
        <v>0</v>
      </c>
      <c r="E5" s="3" t="n">
        <v>3</v>
      </c>
      <c r="F5" s="24" t="n">
        <v>0</v>
      </c>
    </row>
    <row r="6" customFormat="false" ht="15" hidden="false" customHeight="false" outlineLevel="0" collapsed="false">
      <c r="A6" s="3" t="n">
        <v>5</v>
      </c>
      <c r="B6" s="3" t="n">
        <v>4</v>
      </c>
      <c r="C6" s="3" t="n">
        <v>0</v>
      </c>
      <c r="D6" s="3" t="n">
        <v>0</v>
      </c>
      <c r="E6" s="3" t="n">
        <v>4</v>
      </c>
      <c r="F6" s="24" t="n">
        <v>0</v>
      </c>
    </row>
    <row r="7" customFormat="false" ht="15" hidden="false" customHeight="false" outlineLevel="0" collapsed="false">
      <c r="A7" s="3" t="n">
        <v>6</v>
      </c>
      <c r="B7" s="3" t="n">
        <v>5</v>
      </c>
      <c r="C7" s="3" t="n">
        <v>0</v>
      </c>
      <c r="D7" s="3" t="n">
        <v>0</v>
      </c>
      <c r="E7" s="3" t="n">
        <v>5</v>
      </c>
      <c r="F7" s="24" t="n">
        <v>0</v>
      </c>
    </row>
    <row r="8" customFormat="false" ht="15" hidden="false" customHeight="false" outlineLevel="0" collapsed="false">
      <c r="A8" s="3" t="n">
        <v>7</v>
      </c>
      <c r="B8" s="3" t="n">
        <v>6</v>
      </c>
      <c r="C8" s="3" t="n">
        <v>0</v>
      </c>
      <c r="D8" s="3" t="n">
        <v>0</v>
      </c>
      <c r="E8" s="3" t="n">
        <v>6</v>
      </c>
      <c r="F8" s="24" t="n">
        <v>0.586432159</v>
      </c>
    </row>
    <row r="9" customFormat="false" ht="15" hidden="false" customHeight="false" outlineLevel="0" collapsed="false">
      <c r="A9" s="3" t="n">
        <v>8</v>
      </c>
      <c r="B9" s="3" t="n">
        <v>7</v>
      </c>
      <c r="C9" s="3" t="n">
        <v>0</v>
      </c>
      <c r="D9" s="3" t="n">
        <v>1</v>
      </c>
      <c r="E9" s="3" t="n">
        <v>0</v>
      </c>
      <c r="F9" s="24" t="n">
        <v>0</v>
      </c>
    </row>
    <row r="10" customFormat="false" ht="15" hidden="false" customHeight="false" outlineLevel="0" collapsed="false">
      <c r="A10" s="3" t="n">
        <v>9</v>
      </c>
      <c r="B10" s="3" t="n">
        <v>8</v>
      </c>
      <c r="C10" s="3" t="n">
        <v>0</v>
      </c>
      <c r="D10" s="3" t="n">
        <v>1</v>
      </c>
      <c r="E10" s="3" t="n">
        <v>1</v>
      </c>
      <c r="F10" s="24" t="n">
        <v>0</v>
      </c>
    </row>
    <row r="11" customFormat="false" ht="15" hidden="false" customHeight="false" outlineLevel="0" collapsed="false">
      <c r="A11" s="3" t="n">
        <v>10</v>
      </c>
      <c r="B11" s="3" t="n">
        <v>9</v>
      </c>
      <c r="C11" s="3" t="n">
        <v>0</v>
      </c>
      <c r="D11" s="3" t="n">
        <v>1</v>
      </c>
      <c r="E11" s="3" t="n">
        <v>2</v>
      </c>
      <c r="F11" s="24" t="n">
        <v>0</v>
      </c>
    </row>
    <row r="12" customFormat="false" ht="15" hidden="false" customHeight="false" outlineLevel="0" collapsed="false">
      <c r="A12" s="3" t="n">
        <v>11</v>
      </c>
      <c r="B12" s="3" t="n">
        <v>10</v>
      </c>
      <c r="C12" s="3" t="n">
        <v>0</v>
      </c>
      <c r="D12" s="3" t="n">
        <v>1</v>
      </c>
      <c r="E12" s="3" t="n">
        <v>3</v>
      </c>
      <c r="F12" s="24" t="n">
        <v>0</v>
      </c>
    </row>
    <row r="13" customFormat="false" ht="15" hidden="false" customHeight="false" outlineLevel="0" collapsed="false">
      <c r="A13" s="3" t="n">
        <v>12</v>
      </c>
      <c r="B13" s="3" t="n">
        <v>11</v>
      </c>
      <c r="C13" s="3" t="n">
        <v>0</v>
      </c>
      <c r="D13" s="3" t="n">
        <v>1</v>
      </c>
      <c r="E13" s="3" t="n">
        <v>4</v>
      </c>
      <c r="F13" s="24" t="n">
        <v>0</v>
      </c>
    </row>
    <row r="14" customFormat="false" ht="15" hidden="false" customHeight="false" outlineLevel="0" collapsed="false">
      <c r="A14" s="3" t="n">
        <v>13</v>
      </c>
      <c r="B14" s="3" t="n">
        <v>12</v>
      </c>
      <c r="C14" s="3" t="n">
        <v>0</v>
      </c>
      <c r="D14" s="3" t="n">
        <v>1</v>
      </c>
      <c r="E14" s="3" t="n">
        <v>5</v>
      </c>
      <c r="F14" s="24" t="n">
        <v>0</v>
      </c>
    </row>
    <row r="15" customFormat="false" ht="15" hidden="false" customHeight="false" outlineLevel="0" collapsed="false">
      <c r="A15" s="3" t="n">
        <v>14</v>
      </c>
      <c r="B15" s="3" t="n">
        <v>13</v>
      </c>
      <c r="C15" s="3" t="n">
        <v>0</v>
      </c>
      <c r="D15" s="3" t="n">
        <v>1</v>
      </c>
      <c r="E15" s="3" t="n">
        <v>6</v>
      </c>
      <c r="F15" s="24" t="n">
        <v>3.3790729</v>
      </c>
    </row>
    <row r="16" customFormat="false" ht="15" hidden="false" customHeight="false" outlineLevel="0" collapsed="false">
      <c r="A16" s="3" t="n">
        <v>15</v>
      </c>
      <c r="B16" s="3" t="n">
        <v>14</v>
      </c>
      <c r="C16" s="3" t="n">
        <v>0</v>
      </c>
      <c r="D16" s="3" t="n">
        <v>2</v>
      </c>
      <c r="E16" s="3" t="n">
        <v>0</v>
      </c>
      <c r="F16" s="24" t="n">
        <v>2.49002624</v>
      </c>
    </row>
    <row r="17" customFormat="false" ht="15" hidden="false" customHeight="false" outlineLevel="0" collapsed="false">
      <c r="A17" s="3" t="n">
        <v>16</v>
      </c>
      <c r="B17" s="3" t="n">
        <v>15</v>
      </c>
      <c r="C17" s="3" t="n">
        <v>0</v>
      </c>
      <c r="D17" s="3" t="n">
        <v>2</v>
      </c>
      <c r="E17" s="3" t="n">
        <v>1</v>
      </c>
      <c r="F17" s="24" t="n">
        <v>0</v>
      </c>
    </row>
    <row r="18" customFormat="false" ht="15" hidden="false" customHeight="false" outlineLevel="0" collapsed="false">
      <c r="A18" s="3" t="n">
        <v>17</v>
      </c>
      <c r="B18" s="3" t="n">
        <v>16</v>
      </c>
      <c r="C18" s="3" t="n">
        <v>0</v>
      </c>
      <c r="D18" s="3" t="n">
        <v>2</v>
      </c>
      <c r="E18" s="3" t="n">
        <v>2</v>
      </c>
      <c r="F18" s="24" t="n">
        <v>0</v>
      </c>
    </row>
    <row r="19" customFormat="false" ht="15" hidden="false" customHeight="false" outlineLevel="0" collapsed="false">
      <c r="A19" s="3" t="n">
        <v>18</v>
      </c>
      <c r="B19" s="3" t="n">
        <v>17</v>
      </c>
      <c r="C19" s="3" t="n">
        <v>0</v>
      </c>
      <c r="D19" s="3" t="n">
        <v>2</v>
      </c>
      <c r="E19" s="3" t="n">
        <v>3</v>
      </c>
      <c r="F19" s="24" t="n">
        <v>0</v>
      </c>
    </row>
    <row r="20" customFormat="false" ht="15" hidden="false" customHeight="false" outlineLevel="0" collapsed="false">
      <c r="A20" s="3" t="n">
        <v>19</v>
      </c>
      <c r="B20" s="3" t="n">
        <v>18</v>
      </c>
      <c r="C20" s="3" t="n">
        <v>0</v>
      </c>
      <c r="D20" s="3" t="n">
        <v>2</v>
      </c>
      <c r="E20" s="3" t="n">
        <v>4</v>
      </c>
      <c r="F20" s="24" t="n">
        <v>0</v>
      </c>
    </row>
    <row r="21" customFormat="false" ht="15" hidden="false" customHeight="false" outlineLevel="0" collapsed="false">
      <c r="A21" s="3" t="n">
        <v>20</v>
      </c>
      <c r="B21" s="3" t="n">
        <v>19</v>
      </c>
      <c r="C21" s="3" t="n">
        <v>0</v>
      </c>
      <c r="D21" s="3" t="n">
        <v>2</v>
      </c>
      <c r="E21" s="3" t="n">
        <v>5</v>
      </c>
      <c r="F21" s="24" t="n">
        <v>6.4676981</v>
      </c>
    </row>
    <row r="22" customFormat="false" ht="15" hidden="false" customHeight="false" outlineLevel="0" collapsed="false">
      <c r="A22" s="3" t="n">
        <v>21</v>
      </c>
      <c r="B22" s="3" t="n">
        <v>20</v>
      </c>
      <c r="C22" s="3" t="n">
        <v>0</v>
      </c>
      <c r="D22" s="3" t="n">
        <v>2</v>
      </c>
      <c r="E22" s="3" t="n">
        <v>6</v>
      </c>
      <c r="F22" s="24" t="n">
        <v>1.15285861</v>
      </c>
    </row>
    <row r="23" customFormat="false" ht="15" hidden="false" customHeight="false" outlineLevel="0" collapsed="false">
      <c r="A23" s="3" t="n">
        <v>22</v>
      </c>
      <c r="B23" s="3" t="n">
        <v>21</v>
      </c>
      <c r="C23" s="3" t="n">
        <v>0</v>
      </c>
      <c r="D23" s="3" t="n">
        <v>3</v>
      </c>
      <c r="E23" s="3" t="n">
        <v>0</v>
      </c>
      <c r="F23" s="24" t="n">
        <v>2.33153033</v>
      </c>
    </row>
    <row r="24" customFormat="false" ht="15" hidden="false" customHeight="false" outlineLevel="0" collapsed="false">
      <c r="A24" s="3" t="n">
        <v>23</v>
      </c>
      <c r="B24" s="3" t="n">
        <v>22</v>
      </c>
      <c r="C24" s="3" t="n">
        <v>0</v>
      </c>
      <c r="D24" s="3" t="n">
        <v>3</v>
      </c>
      <c r="E24" s="3" t="n">
        <v>1</v>
      </c>
      <c r="F24" s="24" t="n">
        <v>4.5848484</v>
      </c>
    </row>
    <row r="25" customFormat="false" ht="15" hidden="false" customHeight="false" outlineLevel="0" collapsed="false">
      <c r="A25" s="3" t="n">
        <v>24</v>
      </c>
      <c r="B25" s="3" t="n">
        <v>23</v>
      </c>
      <c r="C25" s="3" t="n">
        <v>0</v>
      </c>
      <c r="D25" s="3" t="n">
        <v>3</v>
      </c>
      <c r="E25" s="3" t="n">
        <v>2</v>
      </c>
      <c r="F25" s="24" t="n">
        <v>2.35925221</v>
      </c>
    </row>
    <row r="26" customFormat="false" ht="15" hidden="false" customHeight="false" outlineLevel="0" collapsed="false">
      <c r="A26" s="3" t="n">
        <v>25</v>
      </c>
      <c r="B26" s="3" t="n">
        <v>24</v>
      </c>
      <c r="C26" s="3" t="n">
        <v>0</v>
      </c>
      <c r="D26" s="3" t="n">
        <v>3</v>
      </c>
      <c r="E26" s="3" t="n">
        <v>3</v>
      </c>
      <c r="F26" s="24" t="n">
        <v>0</v>
      </c>
    </row>
    <row r="27" customFormat="false" ht="15" hidden="false" customHeight="false" outlineLevel="0" collapsed="false">
      <c r="A27" s="3" t="n">
        <v>26</v>
      </c>
      <c r="B27" s="3" t="n">
        <v>25</v>
      </c>
      <c r="C27" s="3" t="n">
        <v>0</v>
      </c>
      <c r="D27" s="3" t="n">
        <v>3</v>
      </c>
      <c r="E27" s="3" t="n">
        <v>4</v>
      </c>
      <c r="F27" s="24" t="n">
        <v>4.16059685</v>
      </c>
    </row>
    <row r="28" customFormat="false" ht="15" hidden="false" customHeight="false" outlineLevel="0" collapsed="false">
      <c r="A28" s="3" t="n">
        <v>27</v>
      </c>
      <c r="B28" s="3" t="n">
        <v>26</v>
      </c>
      <c r="C28" s="3" t="n">
        <v>0</v>
      </c>
      <c r="D28" s="3" t="n">
        <v>3</v>
      </c>
      <c r="E28" s="3" t="n">
        <v>5</v>
      </c>
      <c r="F28" s="24" t="n">
        <v>0</v>
      </c>
    </row>
    <row r="29" customFormat="false" ht="15" hidden="false" customHeight="false" outlineLevel="0" collapsed="false">
      <c r="A29" s="3" t="n">
        <v>28</v>
      </c>
      <c r="B29" s="3" t="n">
        <v>27</v>
      </c>
      <c r="C29" s="3" t="n">
        <v>0</v>
      </c>
      <c r="D29" s="3" t="n">
        <v>3</v>
      </c>
      <c r="E29" s="3" t="n">
        <v>6</v>
      </c>
      <c r="F29" s="24" t="n">
        <v>0</v>
      </c>
    </row>
    <row r="30" customFormat="false" ht="15" hidden="false" customHeight="false" outlineLevel="0" collapsed="false">
      <c r="A30" s="3" t="n">
        <v>29</v>
      </c>
      <c r="B30" s="3" t="n">
        <v>28</v>
      </c>
      <c r="C30" s="3" t="n">
        <v>0</v>
      </c>
      <c r="D30" s="3" t="n">
        <v>4</v>
      </c>
      <c r="E30" s="3" t="n">
        <v>0</v>
      </c>
      <c r="F30" s="24" t="n">
        <v>0</v>
      </c>
    </row>
    <row r="31" customFormat="false" ht="15" hidden="false" customHeight="false" outlineLevel="0" collapsed="false">
      <c r="A31" s="3" t="n">
        <v>30</v>
      </c>
      <c r="B31" s="3" t="n">
        <v>29</v>
      </c>
      <c r="C31" s="3" t="n">
        <v>0</v>
      </c>
      <c r="D31" s="3" t="n">
        <v>4</v>
      </c>
      <c r="E31" s="3" t="n">
        <v>1</v>
      </c>
      <c r="F31" s="24" t="n">
        <v>0.018407464</v>
      </c>
    </row>
    <row r="32" customFormat="false" ht="15" hidden="false" customHeight="false" outlineLevel="0" collapsed="false">
      <c r="A32" s="3" t="n">
        <v>31</v>
      </c>
      <c r="B32" s="3" t="n">
        <v>30</v>
      </c>
      <c r="C32" s="3" t="n">
        <v>0</v>
      </c>
      <c r="D32" s="3" t="n">
        <v>4</v>
      </c>
      <c r="E32" s="3" t="n">
        <v>2</v>
      </c>
      <c r="F32" s="24" t="n">
        <v>0</v>
      </c>
    </row>
    <row r="33" customFormat="false" ht="15" hidden="false" customHeight="false" outlineLevel="0" collapsed="false">
      <c r="A33" s="3" t="n">
        <v>32</v>
      </c>
      <c r="B33" s="3" t="n">
        <v>31</v>
      </c>
      <c r="C33" s="3" t="n">
        <v>0</v>
      </c>
      <c r="D33" s="3" t="n">
        <v>4</v>
      </c>
      <c r="E33" s="3" t="n">
        <v>3</v>
      </c>
      <c r="F33" s="24" t="n">
        <v>2.10921955</v>
      </c>
    </row>
    <row r="34" customFormat="false" ht="15" hidden="false" customHeight="false" outlineLevel="0" collapsed="false">
      <c r="A34" s="3" t="n">
        <v>33</v>
      </c>
      <c r="B34" s="3" t="n">
        <v>32</v>
      </c>
      <c r="C34" s="3" t="n">
        <v>0</v>
      </c>
      <c r="D34" s="3" t="n">
        <v>4</v>
      </c>
      <c r="E34" s="3" t="n">
        <v>4</v>
      </c>
      <c r="F34" s="24" t="n">
        <v>8.96192551</v>
      </c>
    </row>
    <row r="35" customFormat="false" ht="15" hidden="false" customHeight="false" outlineLevel="0" collapsed="false">
      <c r="A35" s="3" t="n">
        <v>34</v>
      </c>
      <c r="B35" s="3" t="n">
        <v>33</v>
      </c>
      <c r="C35" s="3" t="n">
        <v>0</v>
      </c>
      <c r="D35" s="3" t="n">
        <v>4</v>
      </c>
      <c r="E35" s="3" t="n">
        <v>5</v>
      </c>
      <c r="F35" s="24" t="n">
        <v>0</v>
      </c>
    </row>
    <row r="36" customFormat="false" ht="15" hidden="false" customHeight="false" outlineLevel="0" collapsed="false">
      <c r="A36" s="3" t="n">
        <v>35</v>
      </c>
      <c r="B36" s="3" t="n">
        <v>34</v>
      </c>
      <c r="C36" s="3" t="n">
        <v>0</v>
      </c>
      <c r="D36" s="3" t="n">
        <v>4</v>
      </c>
      <c r="E36" s="3" t="n">
        <v>6</v>
      </c>
      <c r="F36" s="24" t="n">
        <v>0</v>
      </c>
    </row>
    <row r="37" customFormat="false" ht="15" hidden="false" customHeight="false" outlineLevel="0" collapsed="false">
      <c r="A37" s="3" t="n">
        <v>36</v>
      </c>
      <c r="B37" s="3" t="n">
        <v>35</v>
      </c>
      <c r="C37" s="3" t="n">
        <v>0</v>
      </c>
      <c r="D37" s="3" t="n">
        <v>5</v>
      </c>
      <c r="E37" s="3" t="n">
        <v>0</v>
      </c>
      <c r="F37" s="24" t="n">
        <v>0</v>
      </c>
    </row>
    <row r="38" customFormat="false" ht="15" hidden="false" customHeight="false" outlineLevel="0" collapsed="false">
      <c r="A38" s="3" t="n">
        <v>37</v>
      </c>
      <c r="B38" s="3" t="n">
        <v>36</v>
      </c>
      <c r="C38" s="3" t="n">
        <v>0</v>
      </c>
      <c r="D38" s="3" t="n">
        <v>5</v>
      </c>
      <c r="E38" s="3" t="n">
        <v>1</v>
      </c>
      <c r="F38" s="24" t="n">
        <v>0</v>
      </c>
    </row>
    <row r="39" customFormat="false" ht="15" hidden="false" customHeight="false" outlineLevel="0" collapsed="false">
      <c r="A39" s="3" t="n">
        <v>38</v>
      </c>
      <c r="B39" s="3" t="n">
        <v>37</v>
      </c>
      <c r="C39" s="3" t="n">
        <v>0</v>
      </c>
      <c r="D39" s="3" t="n">
        <v>5</v>
      </c>
      <c r="E39" s="3" t="n">
        <v>2</v>
      </c>
      <c r="F39" s="24" t="n">
        <v>0</v>
      </c>
    </row>
    <row r="40" customFormat="false" ht="15" hidden="false" customHeight="false" outlineLevel="0" collapsed="false">
      <c r="A40" s="3" t="n">
        <v>39</v>
      </c>
      <c r="B40" s="3" t="n">
        <v>38</v>
      </c>
      <c r="C40" s="3" t="n">
        <v>0</v>
      </c>
      <c r="D40" s="3" t="n">
        <v>5</v>
      </c>
      <c r="E40" s="3" t="n">
        <v>3</v>
      </c>
      <c r="F40" s="24" t="n">
        <v>3.49900317</v>
      </c>
    </row>
    <row r="41" customFormat="false" ht="15" hidden="false" customHeight="false" outlineLevel="0" collapsed="false">
      <c r="A41" s="3" t="n">
        <v>40</v>
      </c>
      <c r="B41" s="3" t="n">
        <v>39</v>
      </c>
      <c r="C41" s="3" t="n">
        <v>0</v>
      </c>
      <c r="D41" s="3" t="n">
        <v>5</v>
      </c>
      <c r="E41" s="3" t="n">
        <v>4</v>
      </c>
      <c r="F41" s="24" t="n">
        <v>0.720121086</v>
      </c>
    </row>
    <row r="42" customFormat="false" ht="15" hidden="false" customHeight="false" outlineLevel="0" collapsed="false">
      <c r="A42" s="3" t="n">
        <v>41</v>
      </c>
      <c r="B42" s="3" t="n">
        <v>40</v>
      </c>
      <c r="C42" s="3" t="n">
        <v>0</v>
      </c>
      <c r="D42" s="3" t="n">
        <v>5</v>
      </c>
      <c r="E42" s="3" t="n">
        <v>5</v>
      </c>
      <c r="F42" s="24" t="n">
        <v>0</v>
      </c>
    </row>
    <row r="43" customFormat="false" ht="15" hidden="false" customHeight="false" outlineLevel="0" collapsed="false">
      <c r="A43" s="3" t="n">
        <v>42</v>
      </c>
      <c r="B43" s="3" t="n">
        <v>41</v>
      </c>
      <c r="C43" s="3" t="n">
        <v>0</v>
      </c>
      <c r="D43" s="3" t="n">
        <v>5</v>
      </c>
      <c r="E43" s="3" t="n">
        <v>6</v>
      </c>
      <c r="F43" s="24" t="n">
        <v>0</v>
      </c>
    </row>
    <row r="44" customFormat="false" ht="15" hidden="false" customHeight="false" outlineLevel="0" collapsed="false">
      <c r="A44" s="3" t="n">
        <v>43</v>
      </c>
      <c r="B44" s="3" t="n">
        <v>42</v>
      </c>
      <c r="C44" s="3" t="n">
        <v>0</v>
      </c>
      <c r="D44" s="3" t="n">
        <v>6</v>
      </c>
      <c r="E44" s="3" t="n">
        <v>0</v>
      </c>
      <c r="F44" s="24" t="n">
        <v>0</v>
      </c>
    </row>
    <row r="45" customFormat="false" ht="15" hidden="false" customHeight="false" outlineLevel="0" collapsed="false">
      <c r="A45" s="3" t="n">
        <v>44</v>
      </c>
      <c r="B45" s="3" t="n">
        <v>43</v>
      </c>
      <c r="C45" s="3" t="n">
        <v>0</v>
      </c>
      <c r="D45" s="3" t="n">
        <v>6</v>
      </c>
      <c r="E45" s="3" t="n">
        <v>1</v>
      </c>
      <c r="F45" s="24" t="n">
        <v>2.94740152</v>
      </c>
    </row>
    <row r="46" customFormat="false" ht="15" hidden="false" customHeight="false" outlineLevel="0" collapsed="false">
      <c r="A46" s="3" t="n">
        <v>45</v>
      </c>
      <c r="B46" s="3" t="n">
        <v>44</v>
      </c>
      <c r="C46" s="3" t="n">
        <v>0</v>
      </c>
      <c r="D46" s="3" t="n">
        <v>6</v>
      </c>
      <c r="E46" s="3" t="n">
        <v>2</v>
      </c>
      <c r="F46" s="24" t="n">
        <v>9.63792038</v>
      </c>
    </row>
    <row r="47" customFormat="false" ht="15" hidden="false" customHeight="false" outlineLevel="0" collapsed="false">
      <c r="A47" s="3" t="n">
        <v>46</v>
      </c>
      <c r="B47" s="3" t="n">
        <v>45</v>
      </c>
      <c r="C47" s="3" t="n">
        <v>0</v>
      </c>
      <c r="D47" s="3" t="n">
        <v>6</v>
      </c>
      <c r="E47" s="3" t="n">
        <v>3</v>
      </c>
      <c r="F47" s="24" t="n">
        <v>3.45781636</v>
      </c>
    </row>
    <row r="48" customFormat="false" ht="15" hidden="false" customHeight="false" outlineLevel="0" collapsed="false">
      <c r="A48" s="3" t="n">
        <v>47</v>
      </c>
      <c r="B48" s="3" t="n">
        <v>46</v>
      </c>
      <c r="C48" s="3" t="n">
        <v>0</v>
      </c>
      <c r="D48" s="3" t="n">
        <v>6</v>
      </c>
      <c r="E48" s="3" t="n">
        <v>4</v>
      </c>
      <c r="F48" s="24" t="n">
        <v>0</v>
      </c>
    </row>
    <row r="49" customFormat="false" ht="15" hidden="false" customHeight="false" outlineLevel="0" collapsed="false">
      <c r="A49" s="3" t="n">
        <v>48</v>
      </c>
      <c r="B49" s="3" t="n">
        <v>47</v>
      </c>
      <c r="C49" s="3" t="n">
        <v>0</v>
      </c>
      <c r="D49" s="3" t="n">
        <v>6</v>
      </c>
      <c r="E49" s="3" t="n">
        <v>5</v>
      </c>
      <c r="F49" s="24" t="n">
        <v>0</v>
      </c>
    </row>
    <row r="50" customFormat="false" ht="15" hidden="false" customHeight="false" outlineLevel="0" collapsed="false">
      <c r="A50" s="3" t="n">
        <v>49</v>
      </c>
      <c r="B50" s="3" t="n">
        <v>48</v>
      </c>
      <c r="C50" s="3" t="n">
        <v>0</v>
      </c>
      <c r="D50" s="3" t="n">
        <v>6</v>
      </c>
      <c r="E50" s="3" t="n">
        <v>6</v>
      </c>
      <c r="F50" s="24" t="n">
        <v>0</v>
      </c>
    </row>
    <row r="51" customFormat="false" ht="15" hidden="false" customHeight="false" outlineLevel="0" collapsed="false">
      <c r="A51" s="3" t="n">
        <v>50</v>
      </c>
      <c r="B51" s="3" t="n">
        <v>49</v>
      </c>
      <c r="C51" s="3" t="n">
        <v>1</v>
      </c>
      <c r="D51" s="3" t="n">
        <v>0</v>
      </c>
      <c r="E51" s="3" t="n">
        <v>0</v>
      </c>
      <c r="F51" s="24" t="n">
        <v>0</v>
      </c>
    </row>
    <row r="52" customFormat="false" ht="15" hidden="false" customHeight="false" outlineLevel="0" collapsed="false">
      <c r="A52" s="3" t="n">
        <v>51</v>
      </c>
      <c r="B52" s="3" t="n">
        <v>50</v>
      </c>
      <c r="C52" s="3" t="n">
        <v>1</v>
      </c>
      <c r="D52" s="3" t="n">
        <v>0</v>
      </c>
      <c r="E52" s="3" t="n">
        <v>1</v>
      </c>
      <c r="F52" s="24" t="n">
        <v>0</v>
      </c>
    </row>
    <row r="53" customFormat="false" ht="15" hidden="false" customHeight="false" outlineLevel="0" collapsed="false">
      <c r="A53" s="3" t="n">
        <v>52</v>
      </c>
      <c r="B53" s="3" t="n">
        <v>51</v>
      </c>
      <c r="C53" s="3" t="n">
        <v>1</v>
      </c>
      <c r="D53" s="3" t="n">
        <v>0</v>
      </c>
      <c r="E53" s="3" t="n">
        <v>2</v>
      </c>
      <c r="F53" s="24" t="n">
        <v>0</v>
      </c>
    </row>
    <row r="54" customFormat="false" ht="15" hidden="false" customHeight="false" outlineLevel="0" collapsed="false">
      <c r="A54" s="3" t="n">
        <v>53</v>
      </c>
      <c r="B54" s="3" t="n">
        <v>52</v>
      </c>
      <c r="C54" s="3" t="n">
        <v>1</v>
      </c>
      <c r="D54" s="3" t="n">
        <v>0</v>
      </c>
      <c r="E54" s="3" t="n">
        <v>3</v>
      </c>
      <c r="F54" s="24" t="n">
        <v>0</v>
      </c>
    </row>
    <row r="55" customFormat="false" ht="15" hidden="false" customHeight="false" outlineLevel="0" collapsed="false">
      <c r="A55" s="3" t="n">
        <v>54</v>
      </c>
      <c r="B55" s="3" t="n">
        <v>53</v>
      </c>
      <c r="C55" s="3" t="n">
        <v>1</v>
      </c>
      <c r="D55" s="3" t="n">
        <v>0</v>
      </c>
      <c r="E55" s="3" t="n">
        <v>4</v>
      </c>
      <c r="F55" s="24" t="n">
        <v>0</v>
      </c>
    </row>
    <row r="56" customFormat="false" ht="15" hidden="false" customHeight="false" outlineLevel="0" collapsed="false">
      <c r="A56" s="3" t="n">
        <v>55</v>
      </c>
      <c r="B56" s="3" t="n">
        <v>54</v>
      </c>
      <c r="C56" s="3" t="n">
        <v>1</v>
      </c>
      <c r="D56" s="3" t="n">
        <v>0</v>
      </c>
      <c r="E56" s="3" t="n">
        <v>5</v>
      </c>
      <c r="F56" s="24" t="n">
        <v>0</v>
      </c>
    </row>
    <row r="57" customFormat="false" ht="15" hidden="false" customHeight="false" outlineLevel="0" collapsed="false">
      <c r="A57" s="3" t="n">
        <v>56</v>
      </c>
      <c r="B57" s="3" t="n">
        <v>55</v>
      </c>
      <c r="C57" s="3" t="n">
        <v>1</v>
      </c>
      <c r="D57" s="3" t="n">
        <v>0</v>
      </c>
      <c r="E57" s="3" t="n">
        <v>6</v>
      </c>
      <c r="F57" s="24" t="n">
        <v>0</v>
      </c>
    </row>
    <row r="58" customFormat="false" ht="15" hidden="false" customHeight="false" outlineLevel="0" collapsed="false">
      <c r="A58" s="3" t="n">
        <v>57</v>
      </c>
      <c r="B58" s="3" t="n">
        <v>56</v>
      </c>
      <c r="C58" s="3" t="n">
        <v>1</v>
      </c>
      <c r="D58" s="3" t="n">
        <v>1</v>
      </c>
      <c r="E58" s="3" t="n">
        <v>0</v>
      </c>
      <c r="F58" s="24" t="n">
        <v>0</v>
      </c>
    </row>
    <row r="59" customFormat="false" ht="15" hidden="false" customHeight="false" outlineLevel="0" collapsed="false">
      <c r="A59" s="3" t="n">
        <v>58</v>
      </c>
      <c r="B59" s="3" t="n">
        <v>57</v>
      </c>
      <c r="C59" s="3" t="n">
        <v>1</v>
      </c>
      <c r="D59" s="3" t="n">
        <v>1</v>
      </c>
      <c r="E59" s="3" t="n">
        <v>1</v>
      </c>
      <c r="F59" s="24" t="n">
        <v>0</v>
      </c>
    </row>
    <row r="60" customFormat="false" ht="15" hidden="false" customHeight="false" outlineLevel="0" collapsed="false">
      <c r="A60" s="3" t="n">
        <v>59</v>
      </c>
      <c r="B60" s="3" t="n">
        <v>58</v>
      </c>
      <c r="C60" s="3" t="n">
        <v>1</v>
      </c>
      <c r="D60" s="3" t="n">
        <v>1</v>
      </c>
      <c r="E60" s="3" t="n">
        <v>2</v>
      </c>
      <c r="F60" s="24" t="n">
        <v>0</v>
      </c>
    </row>
    <row r="61" customFormat="false" ht="15" hidden="false" customHeight="false" outlineLevel="0" collapsed="false">
      <c r="A61" s="3" t="n">
        <v>60</v>
      </c>
      <c r="B61" s="3" t="n">
        <v>59</v>
      </c>
      <c r="C61" s="3" t="n">
        <v>1</v>
      </c>
      <c r="D61" s="3" t="n">
        <v>1</v>
      </c>
      <c r="E61" s="3" t="n">
        <v>3</v>
      </c>
      <c r="F61" s="24" t="n">
        <v>0</v>
      </c>
    </row>
    <row r="62" customFormat="false" ht="15" hidden="false" customHeight="false" outlineLevel="0" collapsed="false">
      <c r="A62" s="3" t="n">
        <v>61</v>
      </c>
      <c r="B62" s="3" t="n">
        <v>60</v>
      </c>
      <c r="C62" s="3" t="n">
        <v>1</v>
      </c>
      <c r="D62" s="3" t="n">
        <v>1</v>
      </c>
      <c r="E62" s="3" t="n">
        <v>4</v>
      </c>
      <c r="F62" s="24" t="n">
        <v>0</v>
      </c>
    </row>
    <row r="63" customFormat="false" ht="15" hidden="false" customHeight="false" outlineLevel="0" collapsed="false">
      <c r="A63" s="3" t="n">
        <v>62</v>
      </c>
      <c r="B63" s="3" t="n">
        <v>61</v>
      </c>
      <c r="C63" s="3" t="n">
        <v>1</v>
      </c>
      <c r="D63" s="3" t="n">
        <v>1</v>
      </c>
      <c r="E63" s="3" t="n">
        <v>5</v>
      </c>
      <c r="F63" s="24" t="n">
        <v>0</v>
      </c>
    </row>
    <row r="64" customFormat="false" ht="15" hidden="false" customHeight="false" outlineLevel="0" collapsed="false">
      <c r="A64" s="3" t="n">
        <v>63</v>
      </c>
      <c r="B64" s="3" t="n">
        <v>62</v>
      </c>
      <c r="C64" s="3" t="n">
        <v>1</v>
      </c>
      <c r="D64" s="3" t="n">
        <v>1</v>
      </c>
      <c r="E64" s="3" t="n">
        <v>6</v>
      </c>
      <c r="F64" s="24" t="n">
        <v>0</v>
      </c>
    </row>
    <row r="65" customFormat="false" ht="15" hidden="false" customHeight="false" outlineLevel="0" collapsed="false">
      <c r="A65" s="3" t="n">
        <v>64</v>
      </c>
      <c r="B65" s="3" t="n">
        <v>63</v>
      </c>
      <c r="C65" s="3" t="n">
        <v>1</v>
      </c>
      <c r="D65" s="3" t="n">
        <v>2</v>
      </c>
      <c r="E65" s="3" t="n">
        <v>0</v>
      </c>
      <c r="F65" s="24" t="n">
        <v>0</v>
      </c>
    </row>
    <row r="66" customFormat="false" ht="15" hidden="false" customHeight="false" outlineLevel="0" collapsed="false">
      <c r="A66" s="3" t="n">
        <v>65</v>
      </c>
      <c r="B66" s="3" t="n">
        <v>64</v>
      </c>
      <c r="C66" s="3" t="n">
        <v>1</v>
      </c>
      <c r="D66" s="3" t="n">
        <v>2</v>
      </c>
      <c r="E66" s="3" t="n">
        <v>1</v>
      </c>
      <c r="F66" s="24" t="n">
        <v>0.531565726</v>
      </c>
    </row>
    <row r="67" customFormat="false" ht="15" hidden="false" customHeight="false" outlineLevel="0" collapsed="false">
      <c r="A67" s="3" t="n">
        <v>66</v>
      </c>
      <c r="B67" s="3" t="n">
        <v>65</v>
      </c>
      <c r="C67" s="3" t="n">
        <v>1</v>
      </c>
      <c r="D67" s="3" t="n">
        <v>2</v>
      </c>
      <c r="E67" s="3" t="n">
        <v>2</v>
      </c>
      <c r="F67" s="24" t="n">
        <v>0.369552046</v>
      </c>
    </row>
    <row r="68" customFormat="false" ht="15" hidden="false" customHeight="false" outlineLevel="0" collapsed="false">
      <c r="A68" s="3" t="n">
        <v>67</v>
      </c>
      <c r="B68" s="3" t="n">
        <v>66</v>
      </c>
      <c r="C68" s="3" t="n">
        <v>1</v>
      </c>
      <c r="D68" s="3" t="n">
        <v>2</v>
      </c>
      <c r="E68" s="3" t="n">
        <v>3</v>
      </c>
      <c r="F68" s="24" t="n">
        <v>9.03778648</v>
      </c>
    </row>
    <row r="69" customFormat="false" ht="15" hidden="false" customHeight="false" outlineLevel="0" collapsed="false">
      <c r="A69" s="3" t="n">
        <v>68</v>
      </c>
      <c r="B69" s="3" t="n">
        <v>67</v>
      </c>
      <c r="C69" s="3" t="n">
        <v>1</v>
      </c>
      <c r="D69" s="3" t="n">
        <v>2</v>
      </c>
      <c r="E69" s="3" t="n">
        <v>4</v>
      </c>
      <c r="F69" s="24" t="n">
        <v>5.33806372</v>
      </c>
    </row>
    <row r="70" customFormat="false" ht="15" hidden="false" customHeight="false" outlineLevel="0" collapsed="false">
      <c r="A70" s="3" t="n">
        <v>69</v>
      </c>
      <c r="B70" s="3" t="n">
        <v>68</v>
      </c>
      <c r="C70" s="3" t="n">
        <v>1</v>
      </c>
      <c r="D70" s="3" t="n">
        <v>2</v>
      </c>
      <c r="E70" s="3" t="n">
        <v>5</v>
      </c>
      <c r="F70" s="24" t="n">
        <v>0</v>
      </c>
    </row>
    <row r="71" customFormat="false" ht="15" hidden="false" customHeight="false" outlineLevel="0" collapsed="false">
      <c r="A71" s="3" t="n">
        <v>70</v>
      </c>
      <c r="B71" s="3" t="n">
        <v>69</v>
      </c>
      <c r="C71" s="3" t="n">
        <v>1</v>
      </c>
      <c r="D71" s="3" t="n">
        <v>2</v>
      </c>
      <c r="E71" s="3" t="n">
        <v>6</v>
      </c>
      <c r="F71" s="24" t="n">
        <v>0</v>
      </c>
    </row>
    <row r="72" customFormat="false" ht="15" hidden="false" customHeight="false" outlineLevel="0" collapsed="false">
      <c r="A72" s="3" t="n">
        <v>71</v>
      </c>
      <c r="B72" s="3" t="n">
        <v>70</v>
      </c>
      <c r="C72" s="3" t="n">
        <v>1</v>
      </c>
      <c r="D72" s="3" t="n">
        <v>3</v>
      </c>
      <c r="E72" s="3" t="n">
        <v>0</v>
      </c>
      <c r="F72" s="24" t="n">
        <v>0.99852258</v>
      </c>
    </row>
    <row r="73" customFormat="false" ht="15" hidden="false" customHeight="false" outlineLevel="0" collapsed="false">
      <c r="A73" s="3" t="n">
        <v>72</v>
      </c>
      <c r="B73" s="3" t="n">
        <v>71</v>
      </c>
      <c r="C73" s="3" t="n">
        <v>1</v>
      </c>
      <c r="D73" s="3" t="n">
        <v>3</v>
      </c>
      <c r="E73" s="3" t="n">
        <v>1</v>
      </c>
      <c r="F73" s="24" t="n">
        <v>0</v>
      </c>
    </row>
    <row r="74" customFormat="false" ht="15" hidden="false" customHeight="false" outlineLevel="0" collapsed="false">
      <c r="A74" s="3" t="n">
        <v>73</v>
      </c>
      <c r="B74" s="3" t="n">
        <v>72</v>
      </c>
      <c r="C74" s="3" t="n">
        <v>1</v>
      </c>
      <c r="D74" s="3" t="n">
        <v>3</v>
      </c>
      <c r="E74" s="3" t="n">
        <v>2</v>
      </c>
      <c r="F74" s="24" t="n">
        <v>11.3987036</v>
      </c>
    </row>
    <row r="75" customFormat="false" ht="15" hidden="false" customHeight="false" outlineLevel="0" collapsed="false">
      <c r="A75" s="3" t="n">
        <v>74</v>
      </c>
      <c r="B75" s="3" t="n">
        <v>73</v>
      </c>
      <c r="C75" s="3" t="n">
        <v>1</v>
      </c>
      <c r="D75" s="3" t="n">
        <v>3</v>
      </c>
      <c r="E75" s="3" t="n">
        <v>3</v>
      </c>
      <c r="F75" s="24" t="n">
        <v>25.3869553</v>
      </c>
    </row>
    <row r="76" customFormat="false" ht="15" hidden="false" customHeight="false" outlineLevel="0" collapsed="false">
      <c r="A76" s="3" t="n">
        <v>75</v>
      </c>
      <c r="B76" s="3" t="n">
        <v>74</v>
      </c>
      <c r="C76" s="3" t="n">
        <v>1</v>
      </c>
      <c r="D76" s="3" t="n">
        <v>3</v>
      </c>
      <c r="E76" s="3" t="n">
        <v>4</v>
      </c>
      <c r="F76" s="24" t="n">
        <v>8.94094563</v>
      </c>
    </row>
    <row r="77" customFormat="false" ht="15" hidden="false" customHeight="false" outlineLevel="0" collapsed="false">
      <c r="A77" s="3" t="n">
        <v>76</v>
      </c>
      <c r="B77" s="3" t="n">
        <v>75</v>
      </c>
      <c r="C77" s="3" t="n">
        <v>1</v>
      </c>
      <c r="D77" s="3" t="n">
        <v>3</v>
      </c>
      <c r="E77" s="3" t="n">
        <v>5</v>
      </c>
      <c r="F77" s="24" t="n">
        <v>0</v>
      </c>
    </row>
    <row r="78" customFormat="false" ht="15" hidden="false" customHeight="false" outlineLevel="0" collapsed="false">
      <c r="A78" s="3" t="n">
        <v>77</v>
      </c>
      <c r="B78" s="3" t="n">
        <v>76</v>
      </c>
      <c r="C78" s="3" t="n">
        <v>1</v>
      </c>
      <c r="D78" s="3" t="n">
        <v>3</v>
      </c>
      <c r="E78" s="3" t="n">
        <v>6</v>
      </c>
      <c r="F78" s="24" t="n">
        <v>0</v>
      </c>
    </row>
    <row r="79" customFormat="false" ht="15" hidden="false" customHeight="false" outlineLevel="0" collapsed="false">
      <c r="A79" s="3" t="n">
        <v>78</v>
      </c>
      <c r="B79" s="3" t="n">
        <v>77</v>
      </c>
      <c r="C79" s="3" t="n">
        <v>1</v>
      </c>
      <c r="D79" s="3" t="n">
        <v>4</v>
      </c>
      <c r="E79" s="3" t="n">
        <v>0</v>
      </c>
      <c r="F79" s="24" t="n">
        <v>0</v>
      </c>
    </row>
    <row r="80" customFormat="false" ht="15" hidden="false" customHeight="false" outlineLevel="0" collapsed="false">
      <c r="A80" s="3" t="n">
        <v>79</v>
      </c>
      <c r="B80" s="3" t="n">
        <v>78</v>
      </c>
      <c r="C80" s="3" t="n">
        <v>1</v>
      </c>
      <c r="D80" s="3" t="n">
        <v>4</v>
      </c>
      <c r="E80" s="3" t="n">
        <v>1</v>
      </c>
      <c r="F80" s="24" t="n">
        <v>0.401955426</v>
      </c>
    </row>
    <row r="81" customFormat="false" ht="15" hidden="false" customHeight="false" outlineLevel="0" collapsed="false">
      <c r="A81" s="3" t="n">
        <v>80</v>
      </c>
      <c r="B81" s="3" t="n">
        <v>79</v>
      </c>
      <c r="C81" s="3" t="n">
        <v>1</v>
      </c>
      <c r="D81" s="3" t="n">
        <v>4</v>
      </c>
      <c r="E81" s="3" t="n">
        <v>2</v>
      </c>
      <c r="F81" s="24" t="n">
        <v>9.12489414</v>
      </c>
    </row>
    <row r="82" customFormat="false" ht="15" hidden="false" customHeight="false" outlineLevel="0" collapsed="false">
      <c r="A82" s="3" t="n">
        <v>81</v>
      </c>
      <c r="B82" s="3" t="n">
        <v>80</v>
      </c>
      <c r="C82" s="3" t="n">
        <v>1</v>
      </c>
      <c r="D82" s="3" t="n">
        <v>4</v>
      </c>
      <c r="E82" s="3" t="n">
        <v>3</v>
      </c>
      <c r="F82" s="24" t="n">
        <v>7.81150436</v>
      </c>
    </row>
    <row r="83" customFormat="false" ht="15" hidden="false" customHeight="false" outlineLevel="0" collapsed="false">
      <c r="A83" s="3" t="n">
        <v>82</v>
      </c>
      <c r="B83" s="3" t="n">
        <v>81</v>
      </c>
      <c r="C83" s="3" t="n">
        <v>1</v>
      </c>
      <c r="D83" s="3" t="n">
        <v>4</v>
      </c>
      <c r="E83" s="3" t="n">
        <v>4</v>
      </c>
      <c r="F83" s="24" t="n">
        <v>0</v>
      </c>
    </row>
    <row r="84" customFormat="false" ht="15" hidden="false" customHeight="false" outlineLevel="0" collapsed="false">
      <c r="A84" s="3" t="n">
        <v>83</v>
      </c>
      <c r="B84" s="3" t="n">
        <v>82</v>
      </c>
      <c r="C84" s="3" t="n">
        <v>1</v>
      </c>
      <c r="D84" s="3" t="n">
        <v>4</v>
      </c>
      <c r="E84" s="3" t="n">
        <v>5</v>
      </c>
      <c r="F84" s="24" t="n">
        <v>0</v>
      </c>
    </row>
    <row r="85" customFormat="false" ht="15" hidden="false" customHeight="false" outlineLevel="0" collapsed="false">
      <c r="A85" s="3" t="n">
        <v>84</v>
      </c>
      <c r="B85" s="3" t="n">
        <v>83</v>
      </c>
      <c r="C85" s="3" t="n">
        <v>1</v>
      </c>
      <c r="D85" s="3" t="n">
        <v>4</v>
      </c>
      <c r="E85" s="3" t="n">
        <v>6</v>
      </c>
      <c r="F85" s="24" t="n">
        <v>0</v>
      </c>
    </row>
    <row r="86" customFormat="false" ht="15" hidden="false" customHeight="false" outlineLevel="0" collapsed="false">
      <c r="A86" s="3" t="n">
        <v>85</v>
      </c>
      <c r="B86" s="3" t="n">
        <v>84</v>
      </c>
      <c r="C86" s="3" t="n">
        <v>1</v>
      </c>
      <c r="D86" s="3" t="n">
        <v>5</v>
      </c>
      <c r="E86" s="3" t="n">
        <v>0</v>
      </c>
      <c r="F86" s="24" t="n">
        <v>0</v>
      </c>
    </row>
    <row r="87" customFormat="false" ht="15" hidden="false" customHeight="false" outlineLevel="0" collapsed="false">
      <c r="A87" s="3" t="n">
        <v>86</v>
      </c>
      <c r="B87" s="3" t="n">
        <v>85</v>
      </c>
      <c r="C87" s="3" t="n">
        <v>1</v>
      </c>
      <c r="D87" s="3" t="n">
        <v>5</v>
      </c>
      <c r="E87" s="3" t="n">
        <v>1</v>
      </c>
      <c r="F87" s="24" t="n">
        <v>0.742159367</v>
      </c>
    </row>
    <row r="88" customFormat="false" ht="15" hidden="false" customHeight="false" outlineLevel="0" collapsed="false">
      <c r="A88" s="3" t="n">
        <v>87</v>
      </c>
      <c r="B88" s="3" t="n">
        <v>86</v>
      </c>
      <c r="C88" s="3" t="n">
        <v>1</v>
      </c>
      <c r="D88" s="3" t="n">
        <v>5</v>
      </c>
      <c r="E88" s="3" t="n">
        <v>2</v>
      </c>
      <c r="F88" s="24" t="n">
        <v>5.67310238</v>
      </c>
    </row>
    <row r="89" customFormat="false" ht="15" hidden="false" customHeight="false" outlineLevel="0" collapsed="false">
      <c r="A89" s="3" t="n">
        <v>88</v>
      </c>
      <c r="B89" s="3" t="n">
        <v>87</v>
      </c>
      <c r="C89" s="3" t="n">
        <v>1</v>
      </c>
      <c r="D89" s="3" t="n">
        <v>5</v>
      </c>
      <c r="E89" s="3" t="n">
        <v>3</v>
      </c>
      <c r="F89" s="24" t="n">
        <v>0</v>
      </c>
    </row>
    <row r="90" customFormat="false" ht="15" hidden="false" customHeight="false" outlineLevel="0" collapsed="false">
      <c r="A90" s="3" t="n">
        <v>89</v>
      </c>
      <c r="B90" s="3" t="n">
        <v>88</v>
      </c>
      <c r="C90" s="3" t="n">
        <v>1</v>
      </c>
      <c r="D90" s="3" t="n">
        <v>5</v>
      </c>
      <c r="E90" s="3" t="n">
        <v>4</v>
      </c>
      <c r="F90" s="24" t="n">
        <v>0</v>
      </c>
    </row>
    <row r="91" customFormat="false" ht="15" hidden="false" customHeight="false" outlineLevel="0" collapsed="false">
      <c r="A91" s="3" t="n">
        <v>90</v>
      </c>
      <c r="B91" s="3" t="n">
        <v>89</v>
      </c>
      <c r="C91" s="3" t="n">
        <v>1</v>
      </c>
      <c r="D91" s="3" t="n">
        <v>5</v>
      </c>
      <c r="E91" s="3" t="n">
        <v>5</v>
      </c>
      <c r="F91" s="24" t="n">
        <v>0</v>
      </c>
    </row>
    <row r="92" customFormat="false" ht="15" hidden="false" customHeight="false" outlineLevel="0" collapsed="false">
      <c r="A92" s="3" t="n">
        <v>91</v>
      </c>
      <c r="B92" s="3" t="n">
        <v>90</v>
      </c>
      <c r="C92" s="3" t="n">
        <v>1</v>
      </c>
      <c r="D92" s="3" t="n">
        <v>5</v>
      </c>
      <c r="E92" s="3" t="n">
        <v>6</v>
      </c>
      <c r="F92" s="24" t="n">
        <v>0</v>
      </c>
    </row>
    <row r="93" customFormat="false" ht="15" hidden="false" customHeight="false" outlineLevel="0" collapsed="false">
      <c r="A93" s="3" t="n">
        <v>92</v>
      </c>
      <c r="B93" s="3" t="n">
        <v>91</v>
      </c>
      <c r="C93" s="3" t="n">
        <v>1</v>
      </c>
      <c r="D93" s="3" t="n">
        <v>6</v>
      </c>
      <c r="E93" s="3" t="n">
        <v>0</v>
      </c>
      <c r="F93" s="24" t="n">
        <v>0</v>
      </c>
    </row>
    <row r="94" customFormat="false" ht="15" hidden="false" customHeight="false" outlineLevel="0" collapsed="false">
      <c r="A94" s="3" t="n">
        <v>93</v>
      </c>
      <c r="B94" s="3" t="n">
        <v>92</v>
      </c>
      <c r="C94" s="3" t="n">
        <v>1</v>
      </c>
      <c r="D94" s="3" t="n">
        <v>6</v>
      </c>
      <c r="E94" s="3" t="n">
        <v>1</v>
      </c>
      <c r="F94" s="24" t="n">
        <v>5.95761919</v>
      </c>
    </row>
    <row r="95" customFormat="false" ht="15" hidden="false" customHeight="false" outlineLevel="0" collapsed="false">
      <c r="A95" s="3" t="n">
        <v>94</v>
      </c>
      <c r="B95" s="3" t="n">
        <v>93</v>
      </c>
      <c r="C95" s="3" t="n">
        <v>1</v>
      </c>
      <c r="D95" s="3" t="n">
        <v>6</v>
      </c>
      <c r="E95" s="3" t="n">
        <v>2</v>
      </c>
      <c r="F95" s="24" t="n">
        <v>2.77766085</v>
      </c>
    </row>
    <row r="96" customFormat="false" ht="15" hidden="false" customHeight="false" outlineLevel="0" collapsed="false">
      <c r="A96" s="3" t="n">
        <v>95</v>
      </c>
      <c r="B96" s="3" t="n">
        <v>94</v>
      </c>
      <c r="C96" s="3" t="n">
        <v>1</v>
      </c>
      <c r="D96" s="3" t="n">
        <v>6</v>
      </c>
      <c r="E96" s="3" t="n">
        <v>3</v>
      </c>
      <c r="F96" s="24" t="n">
        <v>0</v>
      </c>
    </row>
    <row r="97" customFormat="false" ht="15" hidden="false" customHeight="false" outlineLevel="0" collapsed="false">
      <c r="A97" s="3" t="n">
        <v>96</v>
      </c>
      <c r="B97" s="3" t="n">
        <v>95</v>
      </c>
      <c r="C97" s="3" t="n">
        <v>1</v>
      </c>
      <c r="D97" s="3" t="n">
        <v>6</v>
      </c>
      <c r="E97" s="3" t="n">
        <v>4</v>
      </c>
      <c r="F97" s="24" t="n">
        <v>0</v>
      </c>
    </row>
    <row r="98" customFormat="false" ht="15" hidden="false" customHeight="false" outlineLevel="0" collapsed="false">
      <c r="A98" s="3" t="n">
        <v>97</v>
      </c>
      <c r="B98" s="3" t="n">
        <v>96</v>
      </c>
      <c r="C98" s="3" t="n">
        <v>1</v>
      </c>
      <c r="D98" s="3" t="n">
        <v>6</v>
      </c>
      <c r="E98" s="3" t="n">
        <v>5</v>
      </c>
      <c r="F98" s="24" t="n">
        <v>0</v>
      </c>
    </row>
    <row r="99" customFormat="false" ht="15" hidden="false" customHeight="false" outlineLevel="0" collapsed="false">
      <c r="A99" s="3" t="n">
        <v>98</v>
      </c>
      <c r="B99" s="3" t="n">
        <v>97</v>
      </c>
      <c r="C99" s="3" t="n">
        <v>1</v>
      </c>
      <c r="D99" s="3" t="n">
        <v>6</v>
      </c>
      <c r="E99" s="3" t="n">
        <v>6</v>
      </c>
      <c r="F99" s="24" t="n">
        <v>0</v>
      </c>
    </row>
    <row r="100" customFormat="false" ht="15" hidden="false" customHeight="false" outlineLevel="0" collapsed="false">
      <c r="A100" s="3" t="n">
        <v>99</v>
      </c>
      <c r="B100" s="3" t="n">
        <v>98</v>
      </c>
      <c r="C100" s="3" t="n">
        <v>2</v>
      </c>
      <c r="D100" s="3" t="n">
        <v>0</v>
      </c>
      <c r="E100" s="3" t="n">
        <v>0</v>
      </c>
      <c r="F100" s="24" t="n">
        <v>4.24186897</v>
      </c>
    </row>
    <row r="101" customFormat="false" ht="15" hidden="false" customHeight="false" outlineLevel="0" collapsed="false">
      <c r="A101" s="3" t="n">
        <v>100</v>
      </c>
      <c r="B101" s="3" t="n">
        <v>99</v>
      </c>
      <c r="C101" s="3" t="n">
        <v>2</v>
      </c>
      <c r="D101" s="3" t="n">
        <v>0</v>
      </c>
      <c r="E101" s="3" t="n">
        <v>1</v>
      </c>
      <c r="F101" s="24" t="n">
        <v>2.6999104</v>
      </c>
    </row>
    <row r="102" customFormat="false" ht="15" hidden="false" customHeight="false" outlineLevel="0" collapsed="false">
      <c r="A102" s="3" t="n">
        <v>101</v>
      </c>
      <c r="B102" s="3" t="n">
        <v>100</v>
      </c>
      <c r="C102" s="3" t="n">
        <v>2</v>
      </c>
      <c r="D102" s="3" t="n">
        <v>0</v>
      </c>
      <c r="E102" s="3" t="n">
        <v>2</v>
      </c>
      <c r="F102" s="24" t="n">
        <v>3.36001539</v>
      </c>
    </row>
    <row r="103" customFormat="false" ht="15" hidden="false" customHeight="false" outlineLevel="0" collapsed="false">
      <c r="A103" s="3" t="n">
        <v>102</v>
      </c>
      <c r="B103" s="3" t="n">
        <v>101</v>
      </c>
      <c r="C103" s="3" t="n">
        <v>2</v>
      </c>
      <c r="D103" s="3" t="n">
        <v>0</v>
      </c>
      <c r="E103" s="3" t="n">
        <v>3</v>
      </c>
      <c r="F103" s="24" t="n">
        <v>7.14438057</v>
      </c>
    </row>
    <row r="104" customFormat="false" ht="15" hidden="false" customHeight="false" outlineLevel="0" collapsed="false">
      <c r="A104" s="3" t="n">
        <v>103</v>
      </c>
      <c r="B104" s="3" t="n">
        <v>102</v>
      </c>
      <c r="C104" s="3" t="n">
        <v>2</v>
      </c>
      <c r="D104" s="3" t="n">
        <v>0</v>
      </c>
      <c r="E104" s="3" t="n">
        <v>4</v>
      </c>
      <c r="F104" s="24" t="n">
        <v>5.51013708</v>
      </c>
    </row>
    <row r="105" customFormat="false" ht="15" hidden="false" customHeight="false" outlineLevel="0" collapsed="false">
      <c r="A105" s="3" t="n">
        <v>104</v>
      </c>
      <c r="B105" s="3" t="n">
        <v>103</v>
      </c>
      <c r="C105" s="3" t="n">
        <v>2</v>
      </c>
      <c r="D105" s="3" t="n">
        <v>0</v>
      </c>
      <c r="E105" s="3" t="n">
        <v>5</v>
      </c>
      <c r="F105" s="24" t="n">
        <v>1.38231707</v>
      </c>
    </row>
    <row r="106" customFormat="false" ht="15" hidden="false" customHeight="false" outlineLevel="0" collapsed="false">
      <c r="A106" s="3" t="n">
        <v>105</v>
      </c>
      <c r="B106" s="3" t="n">
        <v>104</v>
      </c>
      <c r="C106" s="3" t="n">
        <v>2</v>
      </c>
      <c r="D106" s="3" t="n">
        <v>0</v>
      </c>
      <c r="E106" s="3" t="n">
        <v>6</v>
      </c>
      <c r="F106" s="24" t="n">
        <v>0</v>
      </c>
    </row>
    <row r="107" customFormat="false" ht="15" hidden="false" customHeight="false" outlineLevel="0" collapsed="false">
      <c r="A107" s="3" t="n">
        <v>106</v>
      </c>
      <c r="B107" s="3" t="n">
        <v>105</v>
      </c>
      <c r="C107" s="3" t="n">
        <v>2</v>
      </c>
      <c r="D107" s="3" t="n">
        <v>1</v>
      </c>
      <c r="E107" s="3" t="n">
        <v>0</v>
      </c>
      <c r="F107" s="24" t="n">
        <v>1.474424</v>
      </c>
    </row>
    <row r="108" customFormat="false" ht="15" hidden="false" customHeight="false" outlineLevel="0" collapsed="false">
      <c r="A108" s="3" t="n">
        <v>107</v>
      </c>
      <c r="B108" s="3" t="n">
        <v>106</v>
      </c>
      <c r="C108" s="3" t="n">
        <v>2</v>
      </c>
      <c r="D108" s="3" t="n">
        <v>1</v>
      </c>
      <c r="E108" s="3" t="n">
        <v>1</v>
      </c>
      <c r="F108" s="24" t="n">
        <v>8.36674023</v>
      </c>
    </row>
    <row r="109" customFormat="false" ht="15" hidden="false" customHeight="false" outlineLevel="0" collapsed="false">
      <c r="A109" s="3" t="n">
        <v>108</v>
      </c>
      <c r="B109" s="3" t="n">
        <v>107</v>
      </c>
      <c r="C109" s="3" t="n">
        <v>2</v>
      </c>
      <c r="D109" s="3" t="n">
        <v>1</v>
      </c>
      <c r="E109" s="3" t="n">
        <v>2</v>
      </c>
      <c r="F109" s="24" t="n">
        <v>7.11067915</v>
      </c>
    </row>
    <row r="110" customFormat="false" ht="15" hidden="false" customHeight="false" outlineLevel="0" collapsed="false">
      <c r="A110" s="3" t="n">
        <v>109</v>
      </c>
      <c r="B110" s="3" t="n">
        <v>108</v>
      </c>
      <c r="C110" s="3" t="n">
        <v>2</v>
      </c>
      <c r="D110" s="3" t="n">
        <v>1</v>
      </c>
      <c r="E110" s="3" t="n">
        <v>3</v>
      </c>
      <c r="F110" s="24" t="n">
        <v>2.82862568</v>
      </c>
    </row>
    <row r="111" customFormat="false" ht="15" hidden="false" customHeight="false" outlineLevel="0" collapsed="false">
      <c r="A111" s="3" t="n">
        <v>110</v>
      </c>
      <c r="B111" s="3" t="n">
        <v>109</v>
      </c>
      <c r="C111" s="3" t="n">
        <v>2</v>
      </c>
      <c r="D111" s="3" t="n">
        <v>1</v>
      </c>
      <c r="E111" s="3" t="n">
        <v>4</v>
      </c>
      <c r="F111" s="24" t="n">
        <v>3.10879421</v>
      </c>
    </row>
    <row r="112" customFormat="false" ht="15" hidden="false" customHeight="false" outlineLevel="0" collapsed="false">
      <c r="A112" s="3" t="n">
        <v>111</v>
      </c>
      <c r="B112" s="3" t="n">
        <v>110</v>
      </c>
      <c r="C112" s="3" t="n">
        <v>2</v>
      </c>
      <c r="D112" s="3" t="n">
        <v>1</v>
      </c>
      <c r="E112" s="3" t="n">
        <v>5</v>
      </c>
      <c r="F112" s="24" t="n">
        <v>0</v>
      </c>
    </row>
    <row r="113" customFormat="false" ht="15" hidden="false" customHeight="false" outlineLevel="0" collapsed="false">
      <c r="A113" s="3" t="n">
        <v>112</v>
      </c>
      <c r="B113" s="3" t="n">
        <v>111</v>
      </c>
      <c r="C113" s="3" t="n">
        <v>2</v>
      </c>
      <c r="D113" s="3" t="n">
        <v>1</v>
      </c>
      <c r="E113" s="3" t="n">
        <v>6</v>
      </c>
      <c r="F113" s="24" t="n">
        <v>0</v>
      </c>
    </row>
    <row r="114" customFormat="false" ht="15" hidden="false" customHeight="false" outlineLevel="0" collapsed="false">
      <c r="A114" s="3" t="n">
        <v>113</v>
      </c>
      <c r="B114" s="3" t="n">
        <v>112</v>
      </c>
      <c r="C114" s="3" t="n">
        <v>2</v>
      </c>
      <c r="D114" s="3" t="n">
        <v>2</v>
      </c>
      <c r="E114" s="3" t="n">
        <v>0</v>
      </c>
      <c r="F114" s="24" t="n">
        <v>3.24350095</v>
      </c>
    </row>
    <row r="115" customFormat="false" ht="15" hidden="false" customHeight="false" outlineLevel="0" collapsed="false">
      <c r="A115" s="3" t="n">
        <v>114</v>
      </c>
      <c r="B115" s="3" t="n">
        <v>113</v>
      </c>
      <c r="C115" s="3" t="n">
        <v>2</v>
      </c>
      <c r="D115" s="3" t="n">
        <v>2</v>
      </c>
      <c r="E115" s="3" t="n">
        <v>1</v>
      </c>
      <c r="F115" s="24" t="n">
        <v>5.94048405</v>
      </c>
    </row>
    <row r="116" customFormat="false" ht="15" hidden="false" customHeight="false" outlineLevel="0" collapsed="false">
      <c r="A116" s="3" t="n">
        <v>115</v>
      </c>
      <c r="B116" s="3" t="n">
        <v>114</v>
      </c>
      <c r="C116" s="3" t="n">
        <v>2</v>
      </c>
      <c r="D116" s="3" t="n">
        <v>2</v>
      </c>
      <c r="E116" s="3" t="n">
        <v>2</v>
      </c>
      <c r="F116" s="24" t="n">
        <v>13.6775465</v>
      </c>
    </row>
    <row r="117" customFormat="false" ht="15" hidden="false" customHeight="false" outlineLevel="0" collapsed="false">
      <c r="A117" s="3" t="n">
        <v>116</v>
      </c>
      <c r="B117" s="3" t="n">
        <v>115</v>
      </c>
      <c r="C117" s="3" t="n">
        <v>2</v>
      </c>
      <c r="D117" s="3" t="n">
        <v>2</v>
      </c>
      <c r="E117" s="3" t="n">
        <v>3</v>
      </c>
      <c r="F117" s="24" t="n">
        <v>9.24364662</v>
      </c>
    </row>
    <row r="118" customFormat="false" ht="15" hidden="false" customHeight="false" outlineLevel="0" collapsed="false">
      <c r="A118" s="3" t="n">
        <v>117</v>
      </c>
      <c r="B118" s="3" t="n">
        <v>116</v>
      </c>
      <c r="C118" s="3" t="n">
        <v>2</v>
      </c>
      <c r="D118" s="3" t="n">
        <v>2</v>
      </c>
      <c r="E118" s="3" t="n">
        <v>4</v>
      </c>
      <c r="F118" s="24" t="n">
        <v>8.4915123</v>
      </c>
    </row>
    <row r="119" customFormat="false" ht="15" hidden="false" customHeight="false" outlineLevel="0" collapsed="false">
      <c r="A119" s="3" t="n">
        <v>118</v>
      </c>
      <c r="B119" s="3" t="n">
        <v>117</v>
      </c>
      <c r="C119" s="3" t="n">
        <v>2</v>
      </c>
      <c r="D119" s="3" t="n">
        <v>2</v>
      </c>
      <c r="E119" s="3" t="n">
        <v>5</v>
      </c>
      <c r="F119" s="24" t="n">
        <v>0.735526323</v>
      </c>
    </row>
    <row r="120" customFormat="false" ht="15" hidden="false" customHeight="false" outlineLevel="0" collapsed="false">
      <c r="A120" s="3" t="n">
        <v>119</v>
      </c>
      <c r="B120" s="3" t="n">
        <v>118</v>
      </c>
      <c r="C120" s="3" t="n">
        <v>2</v>
      </c>
      <c r="D120" s="3" t="n">
        <v>2</v>
      </c>
      <c r="E120" s="3" t="n">
        <v>6</v>
      </c>
      <c r="F120" s="24" t="n">
        <v>0</v>
      </c>
    </row>
    <row r="121" customFormat="false" ht="15" hidden="false" customHeight="false" outlineLevel="0" collapsed="false">
      <c r="A121" s="3" t="n">
        <v>120</v>
      </c>
      <c r="B121" s="3" t="n">
        <v>119</v>
      </c>
      <c r="C121" s="3" t="n">
        <v>2</v>
      </c>
      <c r="D121" s="3" t="n">
        <v>3</v>
      </c>
      <c r="E121" s="3" t="n">
        <v>0</v>
      </c>
      <c r="F121" s="24" t="n">
        <v>0</v>
      </c>
    </row>
    <row r="122" customFormat="false" ht="15" hidden="false" customHeight="false" outlineLevel="0" collapsed="false">
      <c r="A122" s="3" t="n">
        <v>121</v>
      </c>
      <c r="B122" s="3" t="n">
        <v>120</v>
      </c>
      <c r="C122" s="3" t="n">
        <v>2</v>
      </c>
      <c r="D122" s="3" t="n">
        <v>3</v>
      </c>
      <c r="E122" s="3" t="n">
        <v>1</v>
      </c>
      <c r="F122" s="24" t="n">
        <v>0</v>
      </c>
    </row>
    <row r="123" customFormat="false" ht="15" hidden="false" customHeight="false" outlineLevel="0" collapsed="false">
      <c r="A123" s="3" t="n">
        <v>122</v>
      </c>
      <c r="B123" s="3" t="n">
        <v>121</v>
      </c>
      <c r="C123" s="3" t="n">
        <v>2</v>
      </c>
      <c r="D123" s="3" t="n">
        <v>3</v>
      </c>
      <c r="E123" s="3" t="n">
        <v>2</v>
      </c>
      <c r="F123" s="24" t="n">
        <v>0</v>
      </c>
    </row>
    <row r="124" customFormat="false" ht="15" hidden="false" customHeight="false" outlineLevel="0" collapsed="false">
      <c r="A124" s="3" t="n">
        <v>123</v>
      </c>
      <c r="B124" s="3" t="n">
        <v>122</v>
      </c>
      <c r="C124" s="3" t="n">
        <v>2</v>
      </c>
      <c r="D124" s="3" t="n">
        <v>3</v>
      </c>
      <c r="E124" s="3" t="n">
        <v>3</v>
      </c>
      <c r="F124" s="24" t="n">
        <v>0</v>
      </c>
    </row>
    <row r="125" customFormat="false" ht="15" hidden="false" customHeight="false" outlineLevel="0" collapsed="false">
      <c r="A125" s="3" t="n">
        <v>124</v>
      </c>
      <c r="B125" s="3" t="n">
        <v>123</v>
      </c>
      <c r="C125" s="3" t="n">
        <v>2</v>
      </c>
      <c r="D125" s="3" t="n">
        <v>3</v>
      </c>
      <c r="E125" s="3" t="n">
        <v>4</v>
      </c>
      <c r="F125" s="24" t="n">
        <v>0</v>
      </c>
    </row>
    <row r="126" customFormat="false" ht="15" hidden="false" customHeight="false" outlineLevel="0" collapsed="false">
      <c r="A126" s="3" t="n">
        <v>125</v>
      </c>
      <c r="B126" s="3" t="n">
        <v>124</v>
      </c>
      <c r="C126" s="3" t="n">
        <v>2</v>
      </c>
      <c r="D126" s="3" t="n">
        <v>3</v>
      </c>
      <c r="E126" s="3" t="n">
        <v>5</v>
      </c>
      <c r="F126" s="24" t="n">
        <v>0</v>
      </c>
    </row>
    <row r="127" customFormat="false" ht="15" hidden="false" customHeight="false" outlineLevel="0" collapsed="false">
      <c r="A127" s="3" t="n">
        <v>126</v>
      </c>
      <c r="B127" s="3" t="n">
        <v>125</v>
      </c>
      <c r="C127" s="3" t="n">
        <v>2</v>
      </c>
      <c r="D127" s="3" t="n">
        <v>3</v>
      </c>
      <c r="E127" s="3" t="n">
        <v>6</v>
      </c>
      <c r="F127" s="24" t="n">
        <v>1.50189793</v>
      </c>
    </row>
    <row r="128" customFormat="false" ht="15" hidden="false" customHeight="false" outlineLevel="0" collapsed="false">
      <c r="A128" s="3" t="n">
        <v>127</v>
      </c>
      <c r="B128" s="3" t="n">
        <v>126</v>
      </c>
      <c r="C128" s="3" t="n">
        <v>2</v>
      </c>
      <c r="D128" s="3" t="n">
        <v>4</v>
      </c>
      <c r="E128" s="3" t="n">
        <v>0</v>
      </c>
      <c r="F128" s="24" t="n">
        <v>0</v>
      </c>
    </row>
    <row r="129" customFormat="false" ht="15" hidden="false" customHeight="false" outlineLevel="0" collapsed="false">
      <c r="A129" s="3" t="n">
        <v>128</v>
      </c>
      <c r="B129" s="3" t="n">
        <v>127</v>
      </c>
      <c r="C129" s="3" t="n">
        <v>2</v>
      </c>
      <c r="D129" s="3" t="n">
        <v>4</v>
      </c>
      <c r="E129" s="3" t="n">
        <v>1</v>
      </c>
      <c r="F129" s="24" t="n">
        <v>0</v>
      </c>
    </row>
    <row r="130" customFormat="false" ht="15" hidden="false" customHeight="false" outlineLevel="0" collapsed="false">
      <c r="A130" s="3" t="n">
        <v>129</v>
      </c>
      <c r="B130" s="3" t="n">
        <v>128</v>
      </c>
      <c r="C130" s="3" t="n">
        <v>2</v>
      </c>
      <c r="D130" s="3" t="n">
        <v>4</v>
      </c>
      <c r="E130" s="3" t="n">
        <v>2</v>
      </c>
      <c r="F130" s="24" t="n">
        <v>0</v>
      </c>
    </row>
    <row r="131" customFormat="false" ht="15" hidden="false" customHeight="false" outlineLevel="0" collapsed="false">
      <c r="A131" s="3" t="n">
        <v>130</v>
      </c>
      <c r="B131" s="3" t="n">
        <v>129</v>
      </c>
      <c r="C131" s="3" t="n">
        <v>2</v>
      </c>
      <c r="D131" s="3" t="n">
        <v>4</v>
      </c>
      <c r="E131" s="3" t="n">
        <v>3</v>
      </c>
      <c r="F131" s="24" t="n">
        <v>0</v>
      </c>
    </row>
    <row r="132" customFormat="false" ht="15" hidden="false" customHeight="false" outlineLevel="0" collapsed="false">
      <c r="A132" s="3" t="n">
        <v>131</v>
      </c>
      <c r="B132" s="3" t="n">
        <v>130</v>
      </c>
      <c r="C132" s="3" t="n">
        <v>2</v>
      </c>
      <c r="D132" s="3" t="n">
        <v>4</v>
      </c>
      <c r="E132" s="3" t="n">
        <v>4</v>
      </c>
      <c r="F132" s="24" t="n">
        <v>0</v>
      </c>
    </row>
    <row r="133" customFormat="false" ht="15" hidden="false" customHeight="false" outlineLevel="0" collapsed="false">
      <c r="A133" s="3" t="n">
        <v>132</v>
      </c>
      <c r="B133" s="3" t="n">
        <v>131</v>
      </c>
      <c r="C133" s="3" t="n">
        <v>2</v>
      </c>
      <c r="D133" s="3" t="n">
        <v>4</v>
      </c>
      <c r="E133" s="3" t="n">
        <v>5</v>
      </c>
      <c r="F133" s="24" t="n">
        <v>0</v>
      </c>
    </row>
    <row r="134" customFormat="false" ht="15" hidden="false" customHeight="false" outlineLevel="0" collapsed="false">
      <c r="A134" s="3" t="n">
        <v>133</v>
      </c>
      <c r="B134" s="3" t="n">
        <v>132</v>
      </c>
      <c r="C134" s="3" t="n">
        <v>2</v>
      </c>
      <c r="D134" s="3" t="n">
        <v>4</v>
      </c>
      <c r="E134" s="3" t="n">
        <v>6</v>
      </c>
      <c r="F134" s="24" t="n">
        <v>0</v>
      </c>
    </row>
    <row r="135" customFormat="false" ht="15" hidden="false" customHeight="false" outlineLevel="0" collapsed="false">
      <c r="A135" s="3" t="n">
        <v>134</v>
      </c>
      <c r="B135" s="3" t="n">
        <v>133</v>
      </c>
      <c r="C135" s="3" t="n">
        <v>2</v>
      </c>
      <c r="D135" s="3" t="n">
        <v>5</v>
      </c>
      <c r="E135" s="3" t="n">
        <v>0</v>
      </c>
      <c r="F135" s="24" t="n">
        <v>0</v>
      </c>
    </row>
    <row r="136" customFormat="false" ht="15" hidden="false" customHeight="false" outlineLevel="0" collapsed="false">
      <c r="A136" s="3" t="n">
        <v>135</v>
      </c>
      <c r="B136" s="3" t="n">
        <v>134</v>
      </c>
      <c r="C136" s="3" t="n">
        <v>2</v>
      </c>
      <c r="D136" s="3" t="n">
        <v>5</v>
      </c>
      <c r="E136" s="3" t="n">
        <v>1</v>
      </c>
      <c r="F136" s="24" t="n">
        <v>0</v>
      </c>
    </row>
    <row r="137" customFormat="false" ht="15" hidden="false" customHeight="false" outlineLevel="0" collapsed="false">
      <c r="A137" s="3" t="n">
        <v>136</v>
      </c>
      <c r="B137" s="3" t="n">
        <v>135</v>
      </c>
      <c r="C137" s="3" t="n">
        <v>2</v>
      </c>
      <c r="D137" s="3" t="n">
        <v>5</v>
      </c>
      <c r="E137" s="3" t="n">
        <v>2</v>
      </c>
      <c r="F137" s="24" t="n">
        <v>0</v>
      </c>
    </row>
    <row r="138" customFormat="false" ht="15" hidden="false" customHeight="false" outlineLevel="0" collapsed="false">
      <c r="A138" s="3" t="n">
        <v>137</v>
      </c>
      <c r="B138" s="3" t="n">
        <v>136</v>
      </c>
      <c r="C138" s="3" t="n">
        <v>2</v>
      </c>
      <c r="D138" s="3" t="n">
        <v>5</v>
      </c>
      <c r="E138" s="3" t="n">
        <v>3</v>
      </c>
      <c r="F138" s="24" t="n">
        <v>0.00697648525</v>
      </c>
    </row>
    <row r="139" customFormat="false" ht="15" hidden="false" customHeight="false" outlineLevel="0" collapsed="false">
      <c r="A139" s="3" t="n">
        <v>138</v>
      </c>
      <c r="B139" s="3" t="n">
        <v>137</v>
      </c>
      <c r="C139" s="3" t="n">
        <v>2</v>
      </c>
      <c r="D139" s="3" t="n">
        <v>5</v>
      </c>
      <c r="E139" s="3" t="n">
        <v>4</v>
      </c>
      <c r="F139" s="24" t="n">
        <v>0</v>
      </c>
    </row>
    <row r="140" customFormat="false" ht="15" hidden="false" customHeight="false" outlineLevel="0" collapsed="false">
      <c r="A140" s="3" t="n">
        <v>139</v>
      </c>
      <c r="B140" s="3" t="n">
        <v>138</v>
      </c>
      <c r="C140" s="3" t="n">
        <v>2</v>
      </c>
      <c r="D140" s="3" t="n">
        <v>5</v>
      </c>
      <c r="E140" s="3" t="n">
        <v>5</v>
      </c>
      <c r="F140" s="24" t="n">
        <v>0</v>
      </c>
    </row>
    <row r="141" customFormat="false" ht="15" hidden="false" customHeight="false" outlineLevel="0" collapsed="false">
      <c r="A141" s="3" t="n">
        <v>140</v>
      </c>
      <c r="B141" s="3" t="n">
        <v>139</v>
      </c>
      <c r="C141" s="3" t="n">
        <v>2</v>
      </c>
      <c r="D141" s="3" t="n">
        <v>5</v>
      </c>
      <c r="E141" s="3" t="n">
        <v>6</v>
      </c>
      <c r="F141" s="24" t="n">
        <v>0</v>
      </c>
    </row>
    <row r="142" customFormat="false" ht="15" hidden="false" customHeight="false" outlineLevel="0" collapsed="false">
      <c r="A142" s="3" t="n">
        <v>141</v>
      </c>
      <c r="B142" s="3" t="n">
        <v>140</v>
      </c>
      <c r="C142" s="3" t="n">
        <v>2</v>
      </c>
      <c r="D142" s="3" t="n">
        <v>6</v>
      </c>
      <c r="E142" s="3" t="n">
        <v>0</v>
      </c>
      <c r="F142" s="24" t="n">
        <v>0</v>
      </c>
    </row>
    <row r="143" customFormat="false" ht="15" hidden="false" customHeight="false" outlineLevel="0" collapsed="false">
      <c r="A143" s="3" t="n">
        <v>142</v>
      </c>
      <c r="B143" s="3" t="n">
        <v>141</v>
      </c>
      <c r="C143" s="3" t="n">
        <v>2</v>
      </c>
      <c r="D143" s="3" t="n">
        <v>6</v>
      </c>
      <c r="E143" s="3" t="n">
        <v>1</v>
      </c>
      <c r="F143" s="24" t="n">
        <v>3.12637281</v>
      </c>
    </row>
    <row r="144" customFormat="false" ht="15" hidden="false" customHeight="false" outlineLevel="0" collapsed="false">
      <c r="A144" s="3" t="n">
        <v>143</v>
      </c>
      <c r="B144" s="3" t="n">
        <v>142</v>
      </c>
      <c r="C144" s="3" t="n">
        <v>2</v>
      </c>
      <c r="D144" s="3" t="n">
        <v>6</v>
      </c>
      <c r="E144" s="3" t="n">
        <v>2</v>
      </c>
      <c r="F144" s="24" t="n">
        <v>2.73432136</v>
      </c>
    </row>
    <row r="145" customFormat="false" ht="15" hidden="false" customHeight="false" outlineLevel="0" collapsed="false">
      <c r="A145" s="3" t="n">
        <v>144</v>
      </c>
      <c r="B145" s="3" t="n">
        <v>143</v>
      </c>
      <c r="C145" s="3" t="n">
        <v>2</v>
      </c>
      <c r="D145" s="3" t="n">
        <v>6</v>
      </c>
      <c r="E145" s="3" t="n">
        <v>3</v>
      </c>
      <c r="F145" s="24" t="n">
        <v>4.77638102</v>
      </c>
    </row>
    <row r="146" customFormat="false" ht="15" hidden="false" customHeight="false" outlineLevel="0" collapsed="false">
      <c r="A146" s="3" t="n">
        <v>145</v>
      </c>
      <c r="B146" s="3" t="n">
        <v>144</v>
      </c>
      <c r="C146" s="3" t="n">
        <v>2</v>
      </c>
      <c r="D146" s="3" t="n">
        <v>6</v>
      </c>
      <c r="E146" s="3" t="n">
        <v>4</v>
      </c>
      <c r="F146" s="24" t="n">
        <v>0.811909914</v>
      </c>
    </row>
    <row r="147" customFormat="false" ht="15" hidden="false" customHeight="false" outlineLevel="0" collapsed="false">
      <c r="A147" s="3" t="n">
        <v>146</v>
      </c>
      <c r="B147" s="3" t="n">
        <v>145</v>
      </c>
      <c r="C147" s="3" t="n">
        <v>2</v>
      </c>
      <c r="D147" s="3" t="n">
        <v>6</v>
      </c>
      <c r="E147" s="3" t="n">
        <v>5</v>
      </c>
      <c r="F147" s="24" t="n">
        <v>0</v>
      </c>
    </row>
    <row r="148" customFormat="false" ht="15" hidden="false" customHeight="false" outlineLevel="0" collapsed="false">
      <c r="A148" s="3" t="n">
        <v>147</v>
      </c>
      <c r="B148" s="3" t="n">
        <v>146</v>
      </c>
      <c r="C148" s="3" t="n">
        <v>2</v>
      </c>
      <c r="D148" s="3" t="n">
        <v>6</v>
      </c>
      <c r="E148" s="3" t="n">
        <v>6</v>
      </c>
      <c r="F148" s="24" t="n">
        <v>0</v>
      </c>
    </row>
    <row r="149" customFormat="false" ht="15" hidden="false" customHeight="false" outlineLevel="0" collapsed="false">
      <c r="A149" s="3" t="n">
        <v>148</v>
      </c>
      <c r="B149" s="3" t="n">
        <v>147</v>
      </c>
      <c r="C149" s="3" t="n">
        <v>3</v>
      </c>
      <c r="D149" s="3" t="n">
        <v>0</v>
      </c>
      <c r="E149" s="3" t="n">
        <v>0</v>
      </c>
      <c r="F149" s="24" t="n">
        <v>0.776349247</v>
      </c>
    </row>
    <row r="150" customFormat="false" ht="15" hidden="false" customHeight="false" outlineLevel="0" collapsed="false">
      <c r="A150" s="3" t="n">
        <v>149</v>
      </c>
      <c r="B150" s="3" t="n">
        <v>148</v>
      </c>
      <c r="C150" s="3" t="n">
        <v>3</v>
      </c>
      <c r="D150" s="3" t="n">
        <v>0</v>
      </c>
      <c r="E150" s="3" t="n">
        <v>1</v>
      </c>
      <c r="F150" s="24" t="n">
        <v>4.89755583</v>
      </c>
    </row>
    <row r="151" customFormat="false" ht="15" hidden="false" customHeight="false" outlineLevel="0" collapsed="false">
      <c r="A151" s="3" t="n">
        <v>150</v>
      </c>
      <c r="B151" s="3" t="n">
        <v>149</v>
      </c>
      <c r="C151" s="3" t="n">
        <v>3</v>
      </c>
      <c r="D151" s="3" t="n">
        <v>0</v>
      </c>
      <c r="E151" s="3" t="n">
        <v>2</v>
      </c>
      <c r="F151" s="24" t="n">
        <v>7.55875254</v>
      </c>
    </row>
    <row r="152" customFormat="false" ht="15" hidden="false" customHeight="false" outlineLevel="0" collapsed="false">
      <c r="A152" s="3" t="n">
        <v>151</v>
      </c>
      <c r="B152" s="3" t="n">
        <v>150</v>
      </c>
      <c r="C152" s="3" t="n">
        <v>3</v>
      </c>
      <c r="D152" s="3" t="n">
        <v>0</v>
      </c>
      <c r="E152" s="3" t="n">
        <v>3</v>
      </c>
      <c r="F152" s="24" t="n">
        <v>3.92260623</v>
      </c>
    </row>
    <row r="153" customFormat="false" ht="15" hidden="false" customHeight="false" outlineLevel="0" collapsed="false">
      <c r="A153" s="3" t="n">
        <v>152</v>
      </c>
      <c r="B153" s="3" t="n">
        <v>151</v>
      </c>
      <c r="C153" s="3" t="n">
        <v>3</v>
      </c>
      <c r="D153" s="3" t="n">
        <v>0</v>
      </c>
      <c r="E153" s="3" t="n">
        <v>4</v>
      </c>
      <c r="F153" s="24" t="n">
        <v>1.35765815</v>
      </c>
    </row>
    <row r="154" customFormat="false" ht="15" hidden="false" customHeight="false" outlineLevel="0" collapsed="false">
      <c r="A154" s="3" t="n">
        <v>153</v>
      </c>
      <c r="B154" s="3" t="n">
        <v>152</v>
      </c>
      <c r="C154" s="3" t="n">
        <v>3</v>
      </c>
      <c r="D154" s="3" t="n">
        <v>0</v>
      </c>
      <c r="E154" s="3" t="n">
        <v>5</v>
      </c>
      <c r="F154" s="24" t="n">
        <v>0</v>
      </c>
    </row>
    <row r="155" customFormat="false" ht="15" hidden="false" customHeight="false" outlineLevel="0" collapsed="false">
      <c r="A155" s="3" t="n">
        <v>154</v>
      </c>
      <c r="B155" s="3" t="n">
        <v>153</v>
      </c>
      <c r="C155" s="3" t="n">
        <v>3</v>
      </c>
      <c r="D155" s="3" t="n">
        <v>0</v>
      </c>
      <c r="E155" s="3" t="n">
        <v>6</v>
      </c>
      <c r="F155" s="24" t="n">
        <v>0</v>
      </c>
    </row>
    <row r="156" customFormat="false" ht="15" hidden="false" customHeight="false" outlineLevel="0" collapsed="false">
      <c r="A156" s="3" t="n">
        <v>155</v>
      </c>
      <c r="B156" s="3" t="n">
        <v>154</v>
      </c>
      <c r="C156" s="3" t="n">
        <v>3</v>
      </c>
      <c r="D156" s="3" t="n">
        <v>1</v>
      </c>
      <c r="E156" s="3" t="n">
        <v>0</v>
      </c>
      <c r="F156" s="24" t="n">
        <v>0</v>
      </c>
    </row>
    <row r="157" customFormat="false" ht="15" hidden="false" customHeight="false" outlineLevel="0" collapsed="false">
      <c r="A157" s="3" t="n">
        <v>156</v>
      </c>
      <c r="B157" s="3" t="n">
        <v>155</v>
      </c>
      <c r="C157" s="3" t="n">
        <v>3</v>
      </c>
      <c r="D157" s="3" t="n">
        <v>1</v>
      </c>
      <c r="E157" s="3" t="n">
        <v>1</v>
      </c>
      <c r="F157" s="24" t="n">
        <v>0</v>
      </c>
    </row>
    <row r="158" customFormat="false" ht="15" hidden="false" customHeight="false" outlineLevel="0" collapsed="false">
      <c r="A158" s="3" t="n">
        <v>157</v>
      </c>
      <c r="B158" s="3" t="n">
        <v>156</v>
      </c>
      <c r="C158" s="3" t="n">
        <v>3</v>
      </c>
      <c r="D158" s="3" t="n">
        <v>1</v>
      </c>
      <c r="E158" s="3" t="n">
        <v>2</v>
      </c>
      <c r="F158" s="24" t="n">
        <v>1.43851173</v>
      </c>
    </row>
    <row r="159" customFormat="false" ht="15" hidden="false" customHeight="false" outlineLevel="0" collapsed="false">
      <c r="A159" s="3" t="n">
        <v>158</v>
      </c>
      <c r="B159" s="3" t="n">
        <v>157</v>
      </c>
      <c r="C159" s="3" t="n">
        <v>3</v>
      </c>
      <c r="D159" s="3" t="n">
        <v>1</v>
      </c>
      <c r="E159" s="3" t="n">
        <v>3</v>
      </c>
      <c r="F159" s="24" t="n">
        <v>4.60587931</v>
      </c>
    </row>
    <row r="160" customFormat="false" ht="15" hidden="false" customHeight="false" outlineLevel="0" collapsed="false">
      <c r="A160" s="3" t="n">
        <v>159</v>
      </c>
      <c r="B160" s="3" t="n">
        <v>158</v>
      </c>
      <c r="C160" s="3" t="n">
        <v>3</v>
      </c>
      <c r="D160" s="3" t="n">
        <v>1</v>
      </c>
      <c r="E160" s="3" t="n">
        <v>4</v>
      </c>
      <c r="F160" s="24" t="n">
        <v>1.26051843</v>
      </c>
    </row>
    <row r="161" customFormat="false" ht="15" hidden="false" customHeight="false" outlineLevel="0" collapsed="false">
      <c r="A161" s="3" t="n">
        <v>160</v>
      </c>
      <c r="B161" s="3" t="n">
        <v>159</v>
      </c>
      <c r="C161" s="3" t="n">
        <v>3</v>
      </c>
      <c r="D161" s="3" t="n">
        <v>1</v>
      </c>
      <c r="E161" s="3" t="n">
        <v>5</v>
      </c>
      <c r="F161" s="24" t="n">
        <v>0</v>
      </c>
    </row>
    <row r="162" customFormat="false" ht="15" hidden="false" customHeight="false" outlineLevel="0" collapsed="false">
      <c r="A162" s="3" t="n">
        <v>161</v>
      </c>
      <c r="B162" s="3" t="n">
        <v>160</v>
      </c>
      <c r="C162" s="3" t="n">
        <v>3</v>
      </c>
      <c r="D162" s="3" t="n">
        <v>1</v>
      </c>
      <c r="E162" s="3" t="n">
        <v>6</v>
      </c>
      <c r="F162" s="24" t="n">
        <v>0</v>
      </c>
    </row>
    <row r="163" customFormat="false" ht="15" hidden="false" customHeight="false" outlineLevel="0" collapsed="false">
      <c r="A163" s="3" t="n">
        <v>162</v>
      </c>
      <c r="B163" s="3" t="n">
        <v>161</v>
      </c>
      <c r="C163" s="3" t="n">
        <v>3</v>
      </c>
      <c r="D163" s="3" t="n">
        <v>2</v>
      </c>
      <c r="E163" s="3" t="n">
        <v>0</v>
      </c>
      <c r="F163" s="24" t="n">
        <v>0</v>
      </c>
    </row>
    <row r="164" customFormat="false" ht="15" hidden="false" customHeight="false" outlineLevel="0" collapsed="false">
      <c r="A164" s="3" t="n">
        <v>163</v>
      </c>
      <c r="B164" s="3" t="n">
        <v>162</v>
      </c>
      <c r="C164" s="3" t="n">
        <v>3</v>
      </c>
      <c r="D164" s="3" t="n">
        <v>2</v>
      </c>
      <c r="E164" s="3" t="n">
        <v>1</v>
      </c>
      <c r="F164" s="24" t="n">
        <v>0</v>
      </c>
    </row>
    <row r="165" customFormat="false" ht="15" hidden="false" customHeight="false" outlineLevel="0" collapsed="false">
      <c r="A165" s="3" t="n">
        <v>164</v>
      </c>
      <c r="B165" s="3" t="n">
        <v>163</v>
      </c>
      <c r="C165" s="3" t="n">
        <v>3</v>
      </c>
      <c r="D165" s="3" t="n">
        <v>2</v>
      </c>
      <c r="E165" s="3" t="n">
        <v>2</v>
      </c>
      <c r="F165" s="24" t="n">
        <v>0</v>
      </c>
    </row>
    <row r="166" customFormat="false" ht="15" hidden="false" customHeight="false" outlineLevel="0" collapsed="false">
      <c r="A166" s="3" t="n">
        <v>165</v>
      </c>
      <c r="B166" s="3" t="n">
        <v>164</v>
      </c>
      <c r="C166" s="3" t="n">
        <v>3</v>
      </c>
      <c r="D166" s="3" t="n">
        <v>2</v>
      </c>
      <c r="E166" s="3" t="n">
        <v>3</v>
      </c>
      <c r="F166" s="24" t="n">
        <v>0</v>
      </c>
    </row>
    <row r="167" customFormat="false" ht="15" hidden="false" customHeight="false" outlineLevel="0" collapsed="false">
      <c r="A167" s="3" t="n">
        <v>166</v>
      </c>
      <c r="B167" s="3" t="n">
        <v>165</v>
      </c>
      <c r="C167" s="3" t="n">
        <v>3</v>
      </c>
      <c r="D167" s="3" t="n">
        <v>2</v>
      </c>
      <c r="E167" s="3" t="n">
        <v>4</v>
      </c>
      <c r="F167" s="24" t="n">
        <v>0</v>
      </c>
    </row>
    <row r="168" customFormat="false" ht="15" hidden="false" customHeight="false" outlineLevel="0" collapsed="false">
      <c r="A168" s="3" t="n">
        <v>167</v>
      </c>
      <c r="B168" s="3" t="n">
        <v>166</v>
      </c>
      <c r="C168" s="3" t="n">
        <v>3</v>
      </c>
      <c r="D168" s="3" t="n">
        <v>2</v>
      </c>
      <c r="E168" s="3" t="n">
        <v>5</v>
      </c>
      <c r="F168" s="24" t="n">
        <v>0</v>
      </c>
    </row>
    <row r="169" customFormat="false" ht="15" hidden="false" customHeight="false" outlineLevel="0" collapsed="false">
      <c r="A169" s="3" t="n">
        <v>168</v>
      </c>
      <c r="B169" s="3" t="n">
        <v>167</v>
      </c>
      <c r="C169" s="3" t="n">
        <v>3</v>
      </c>
      <c r="D169" s="3" t="n">
        <v>2</v>
      </c>
      <c r="E169" s="3" t="n">
        <v>6</v>
      </c>
      <c r="F169" s="24" t="n">
        <v>0</v>
      </c>
    </row>
    <row r="170" customFormat="false" ht="15" hidden="false" customHeight="false" outlineLevel="0" collapsed="false">
      <c r="A170" s="3" t="n">
        <v>169</v>
      </c>
      <c r="B170" s="3" t="n">
        <v>168</v>
      </c>
      <c r="C170" s="3" t="n">
        <v>3</v>
      </c>
      <c r="D170" s="3" t="n">
        <v>3</v>
      </c>
      <c r="E170" s="3" t="n">
        <v>0</v>
      </c>
      <c r="F170" s="24" t="n">
        <v>0</v>
      </c>
    </row>
    <row r="171" customFormat="false" ht="15" hidden="false" customHeight="false" outlineLevel="0" collapsed="false">
      <c r="A171" s="3" t="n">
        <v>170</v>
      </c>
      <c r="B171" s="3" t="n">
        <v>169</v>
      </c>
      <c r="C171" s="3" t="n">
        <v>3</v>
      </c>
      <c r="D171" s="3" t="n">
        <v>3</v>
      </c>
      <c r="E171" s="3" t="n">
        <v>1</v>
      </c>
      <c r="F171" s="24" t="n">
        <v>0</v>
      </c>
    </row>
    <row r="172" customFormat="false" ht="15" hidden="false" customHeight="false" outlineLevel="0" collapsed="false">
      <c r="A172" s="3" t="n">
        <v>171</v>
      </c>
      <c r="B172" s="3" t="n">
        <v>170</v>
      </c>
      <c r="C172" s="3" t="n">
        <v>3</v>
      </c>
      <c r="D172" s="3" t="n">
        <v>3</v>
      </c>
      <c r="E172" s="3" t="n">
        <v>2</v>
      </c>
      <c r="F172" s="24" t="n">
        <v>0</v>
      </c>
    </row>
    <row r="173" customFormat="false" ht="15" hidden="false" customHeight="false" outlineLevel="0" collapsed="false">
      <c r="A173" s="3" t="n">
        <v>172</v>
      </c>
      <c r="B173" s="3" t="n">
        <v>171</v>
      </c>
      <c r="C173" s="3" t="n">
        <v>3</v>
      </c>
      <c r="D173" s="3" t="n">
        <v>3</v>
      </c>
      <c r="E173" s="3" t="n">
        <v>3</v>
      </c>
      <c r="F173" s="24" t="n">
        <v>0</v>
      </c>
    </row>
    <row r="174" customFormat="false" ht="15" hidden="false" customHeight="false" outlineLevel="0" collapsed="false">
      <c r="A174" s="3" t="n">
        <v>173</v>
      </c>
      <c r="B174" s="3" t="n">
        <v>172</v>
      </c>
      <c r="C174" s="3" t="n">
        <v>3</v>
      </c>
      <c r="D174" s="3" t="n">
        <v>3</v>
      </c>
      <c r="E174" s="3" t="n">
        <v>4</v>
      </c>
      <c r="F174" s="24" t="n">
        <v>6.33292341</v>
      </c>
    </row>
    <row r="175" customFormat="false" ht="15" hidden="false" customHeight="false" outlineLevel="0" collapsed="false">
      <c r="A175" s="3" t="n">
        <v>174</v>
      </c>
      <c r="B175" s="3" t="n">
        <v>173</v>
      </c>
      <c r="C175" s="3" t="n">
        <v>3</v>
      </c>
      <c r="D175" s="3" t="n">
        <v>3</v>
      </c>
      <c r="E175" s="3" t="n">
        <v>5</v>
      </c>
      <c r="F175" s="24" t="n">
        <v>7.33222151</v>
      </c>
    </row>
    <row r="176" customFormat="false" ht="15" hidden="false" customHeight="false" outlineLevel="0" collapsed="false">
      <c r="A176" s="3" t="n">
        <v>175</v>
      </c>
      <c r="B176" s="3" t="n">
        <v>174</v>
      </c>
      <c r="C176" s="3" t="n">
        <v>3</v>
      </c>
      <c r="D176" s="3" t="n">
        <v>3</v>
      </c>
      <c r="E176" s="3" t="n">
        <v>6</v>
      </c>
      <c r="F176" s="24" t="n">
        <v>0</v>
      </c>
    </row>
    <row r="177" customFormat="false" ht="15" hidden="false" customHeight="false" outlineLevel="0" collapsed="false">
      <c r="A177" s="3" t="n">
        <v>176</v>
      </c>
      <c r="B177" s="3" t="n">
        <v>175</v>
      </c>
      <c r="C177" s="3" t="n">
        <v>3</v>
      </c>
      <c r="D177" s="3" t="n">
        <v>4</v>
      </c>
      <c r="E177" s="3" t="n">
        <v>0</v>
      </c>
      <c r="F177" s="24" t="n">
        <v>0</v>
      </c>
    </row>
    <row r="178" customFormat="false" ht="15" hidden="false" customHeight="false" outlineLevel="0" collapsed="false">
      <c r="A178" s="3" t="n">
        <v>177</v>
      </c>
      <c r="B178" s="3" t="n">
        <v>176</v>
      </c>
      <c r="C178" s="3" t="n">
        <v>3</v>
      </c>
      <c r="D178" s="3" t="n">
        <v>4</v>
      </c>
      <c r="E178" s="3" t="n">
        <v>1</v>
      </c>
      <c r="F178" s="24" t="n">
        <v>0</v>
      </c>
    </row>
    <row r="179" customFormat="false" ht="15" hidden="false" customHeight="false" outlineLevel="0" collapsed="false">
      <c r="A179" s="3" t="n">
        <v>178</v>
      </c>
      <c r="B179" s="3" t="n">
        <v>177</v>
      </c>
      <c r="C179" s="3" t="n">
        <v>3</v>
      </c>
      <c r="D179" s="3" t="n">
        <v>4</v>
      </c>
      <c r="E179" s="3" t="n">
        <v>2</v>
      </c>
      <c r="F179" s="24" t="n">
        <v>0</v>
      </c>
    </row>
    <row r="180" customFormat="false" ht="15" hidden="false" customHeight="false" outlineLevel="0" collapsed="false">
      <c r="A180" s="3" t="n">
        <v>179</v>
      </c>
      <c r="B180" s="3" t="n">
        <v>178</v>
      </c>
      <c r="C180" s="3" t="n">
        <v>3</v>
      </c>
      <c r="D180" s="3" t="n">
        <v>4</v>
      </c>
      <c r="E180" s="3" t="n">
        <v>3</v>
      </c>
      <c r="F180" s="24" t="n">
        <v>0</v>
      </c>
    </row>
    <row r="181" customFormat="false" ht="15" hidden="false" customHeight="false" outlineLevel="0" collapsed="false">
      <c r="A181" s="3" t="n">
        <v>180</v>
      </c>
      <c r="B181" s="3" t="n">
        <v>179</v>
      </c>
      <c r="C181" s="3" t="n">
        <v>3</v>
      </c>
      <c r="D181" s="3" t="n">
        <v>4</v>
      </c>
      <c r="E181" s="3" t="n">
        <v>4</v>
      </c>
      <c r="F181" s="24" t="n">
        <v>0</v>
      </c>
    </row>
    <row r="182" customFormat="false" ht="15" hidden="false" customHeight="false" outlineLevel="0" collapsed="false">
      <c r="A182" s="3" t="n">
        <v>181</v>
      </c>
      <c r="B182" s="3" t="n">
        <v>180</v>
      </c>
      <c r="C182" s="3" t="n">
        <v>3</v>
      </c>
      <c r="D182" s="3" t="n">
        <v>4</v>
      </c>
      <c r="E182" s="3" t="n">
        <v>5</v>
      </c>
      <c r="F182" s="24" t="n">
        <v>0</v>
      </c>
    </row>
    <row r="183" customFormat="false" ht="15" hidden="false" customHeight="false" outlineLevel="0" collapsed="false">
      <c r="A183" s="3" t="n">
        <v>182</v>
      </c>
      <c r="B183" s="3" t="n">
        <v>181</v>
      </c>
      <c r="C183" s="3" t="n">
        <v>3</v>
      </c>
      <c r="D183" s="3" t="n">
        <v>4</v>
      </c>
      <c r="E183" s="3" t="n">
        <v>6</v>
      </c>
      <c r="F183" s="24" t="n">
        <v>0</v>
      </c>
    </row>
    <row r="184" customFormat="false" ht="15" hidden="false" customHeight="false" outlineLevel="0" collapsed="false">
      <c r="A184" s="3" t="n">
        <v>183</v>
      </c>
      <c r="B184" s="3" t="n">
        <v>182</v>
      </c>
      <c r="C184" s="3" t="n">
        <v>3</v>
      </c>
      <c r="D184" s="3" t="n">
        <v>5</v>
      </c>
      <c r="E184" s="3" t="n">
        <v>0</v>
      </c>
      <c r="F184" s="24" t="n">
        <v>0</v>
      </c>
    </row>
    <row r="185" customFormat="false" ht="15" hidden="false" customHeight="false" outlineLevel="0" collapsed="false">
      <c r="A185" s="3" t="n">
        <v>184</v>
      </c>
      <c r="B185" s="3" t="n">
        <v>183</v>
      </c>
      <c r="C185" s="3" t="n">
        <v>3</v>
      </c>
      <c r="D185" s="3" t="n">
        <v>5</v>
      </c>
      <c r="E185" s="3" t="n">
        <v>1</v>
      </c>
      <c r="F185" s="24" t="n">
        <v>3.80923724</v>
      </c>
    </row>
    <row r="186" customFormat="false" ht="15" hidden="false" customHeight="false" outlineLevel="0" collapsed="false">
      <c r="A186" s="3" t="n">
        <v>185</v>
      </c>
      <c r="B186" s="3" t="n">
        <v>184</v>
      </c>
      <c r="C186" s="3" t="n">
        <v>3</v>
      </c>
      <c r="D186" s="3" t="n">
        <v>5</v>
      </c>
      <c r="E186" s="3" t="n">
        <v>2</v>
      </c>
      <c r="F186" s="24" t="n">
        <v>3.28168726</v>
      </c>
    </row>
    <row r="187" customFormat="false" ht="15" hidden="false" customHeight="false" outlineLevel="0" collapsed="false">
      <c r="A187" s="3" t="n">
        <v>186</v>
      </c>
      <c r="B187" s="3" t="n">
        <v>185</v>
      </c>
      <c r="C187" s="3" t="n">
        <v>3</v>
      </c>
      <c r="D187" s="3" t="n">
        <v>5</v>
      </c>
      <c r="E187" s="3" t="n">
        <v>3</v>
      </c>
      <c r="F187" s="24" t="n">
        <v>0.102882773</v>
      </c>
    </row>
    <row r="188" customFormat="false" ht="15" hidden="false" customHeight="false" outlineLevel="0" collapsed="false">
      <c r="A188" s="3" t="n">
        <v>187</v>
      </c>
      <c r="B188" s="3" t="n">
        <v>186</v>
      </c>
      <c r="C188" s="3" t="n">
        <v>3</v>
      </c>
      <c r="D188" s="3" t="n">
        <v>5</v>
      </c>
      <c r="E188" s="3" t="n">
        <v>4</v>
      </c>
      <c r="F188" s="24" t="n">
        <v>0</v>
      </c>
    </row>
    <row r="189" customFormat="false" ht="15" hidden="false" customHeight="false" outlineLevel="0" collapsed="false">
      <c r="A189" s="3" t="n">
        <v>188</v>
      </c>
      <c r="B189" s="3" t="n">
        <v>187</v>
      </c>
      <c r="C189" s="3" t="n">
        <v>3</v>
      </c>
      <c r="D189" s="3" t="n">
        <v>5</v>
      </c>
      <c r="E189" s="3" t="n">
        <v>5</v>
      </c>
      <c r="F189" s="24" t="n">
        <v>0</v>
      </c>
    </row>
    <row r="190" customFormat="false" ht="15" hidden="false" customHeight="false" outlineLevel="0" collapsed="false">
      <c r="A190" s="3" t="n">
        <v>189</v>
      </c>
      <c r="B190" s="3" t="n">
        <v>188</v>
      </c>
      <c r="C190" s="3" t="n">
        <v>3</v>
      </c>
      <c r="D190" s="3" t="n">
        <v>5</v>
      </c>
      <c r="E190" s="3" t="n">
        <v>6</v>
      </c>
      <c r="F190" s="24" t="n">
        <v>0</v>
      </c>
    </row>
    <row r="191" customFormat="false" ht="15" hidden="false" customHeight="false" outlineLevel="0" collapsed="false">
      <c r="A191" s="3" t="n">
        <v>190</v>
      </c>
      <c r="B191" s="3" t="n">
        <v>189</v>
      </c>
      <c r="C191" s="3" t="n">
        <v>3</v>
      </c>
      <c r="D191" s="3" t="n">
        <v>6</v>
      </c>
      <c r="E191" s="3" t="n">
        <v>0</v>
      </c>
      <c r="F191" s="24" t="n">
        <v>0</v>
      </c>
    </row>
    <row r="192" customFormat="false" ht="15" hidden="false" customHeight="false" outlineLevel="0" collapsed="false">
      <c r="A192" s="3" t="n">
        <v>191</v>
      </c>
      <c r="B192" s="3" t="n">
        <v>190</v>
      </c>
      <c r="C192" s="3" t="n">
        <v>3</v>
      </c>
      <c r="D192" s="3" t="n">
        <v>6</v>
      </c>
      <c r="E192" s="3" t="n">
        <v>1</v>
      </c>
      <c r="F192" s="24" t="n">
        <v>0</v>
      </c>
    </row>
    <row r="193" customFormat="false" ht="15" hidden="false" customHeight="false" outlineLevel="0" collapsed="false">
      <c r="A193" s="3" t="n">
        <v>192</v>
      </c>
      <c r="B193" s="3" t="n">
        <v>191</v>
      </c>
      <c r="C193" s="3" t="n">
        <v>3</v>
      </c>
      <c r="D193" s="3" t="n">
        <v>6</v>
      </c>
      <c r="E193" s="3" t="n">
        <v>2</v>
      </c>
      <c r="F193" s="24" t="n">
        <v>0</v>
      </c>
    </row>
    <row r="194" customFormat="false" ht="15" hidden="false" customHeight="false" outlineLevel="0" collapsed="false">
      <c r="A194" s="3" t="n">
        <v>193</v>
      </c>
      <c r="B194" s="3" t="n">
        <v>192</v>
      </c>
      <c r="C194" s="3" t="n">
        <v>3</v>
      </c>
      <c r="D194" s="3" t="n">
        <v>6</v>
      </c>
      <c r="E194" s="3" t="n">
        <v>3</v>
      </c>
      <c r="F194" s="24" t="n">
        <v>0</v>
      </c>
    </row>
    <row r="195" customFormat="false" ht="15" hidden="false" customHeight="false" outlineLevel="0" collapsed="false">
      <c r="A195" s="3" t="n">
        <v>194</v>
      </c>
      <c r="B195" s="3" t="n">
        <v>193</v>
      </c>
      <c r="C195" s="3" t="n">
        <v>3</v>
      </c>
      <c r="D195" s="3" t="n">
        <v>6</v>
      </c>
      <c r="E195" s="3" t="n">
        <v>4</v>
      </c>
      <c r="F195" s="24" t="n">
        <v>0</v>
      </c>
    </row>
    <row r="196" customFormat="false" ht="15" hidden="false" customHeight="false" outlineLevel="0" collapsed="false">
      <c r="A196" s="3" t="n">
        <v>195</v>
      </c>
      <c r="B196" s="3" t="n">
        <v>194</v>
      </c>
      <c r="C196" s="3" t="n">
        <v>3</v>
      </c>
      <c r="D196" s="3" t="n">
        <v>6</v>
      </c>
      <c r="E196" s="3" t="n">
        <v>5</v>
      </c>
      <c r="F196" s="24" t="n">
        <v>0</v>
      </c>
    </row>
    <row r="197" customFormat="false" ht="15" hidden="false" customHeight="false" outlineLevel="0" collapsed="false">
      <c r="A197" s="3" t="n">
        <v>196</v>
      </c>
      <c r="B197" s="3" t="n">
        <v>195</v>
      </c>
      <c r="C197" s="3" t="n">
        <v>3</v>
      </c>
      <c r="D197" s="3" t="n">
        <v>6</v>
      </c>
      <c r="E197" s="3" t="n">
        <v>6</v>
      </c>
      <c r="F197" s="24" t="n">
        <v>0</v>
      </c>
    </row>
    <row r="198" customFormat="false" ht="15" hidden="false" customHeight="false" outlineLevel="0" collapsed="false">
      <c r="A198" s="3" t="n">
        <v>197</v>
      </c>
      <c r="B198" s="3" t="n">
        <v>196</v>
      </c>
      <c r="C198" s="3" t="n">
        <v>4</v>
      </c>
      <c r="D198" s="3" t="n">
        <v>0</v>
      </c>
      <c r="E198" s="3" t="n">
        <v>0</v>
      </c>
      <c r="F198" s="24" t="n">
        <v>1.39948082</v>
      </c>
    </row>
    <row r="199" customFormat="false" ht="15" hidden="false" customHeight="false" outlineLevel="0" collapsed="false">
      <c r="A199" s="3" t="n">
        <v>198</v>
      </c>
      <c r="B199" s="3" t="n">
        <v>197</v>
      </c>
      <c r="C199" s="3" t="n">
        <v>4</v>
      </c>
      <c r="D199" s="3" t="n">
        <v>0</v>
      </c>
      <c r="E199" s="3" t="n">
        <v>1</v>
      </c>
      <c r="F199" s="24" t="n">
        <v>0</v>
      </c>
    </row>
    <row r="200" customFormat="false" ht="15" hidden="false" customHeight="false" outlineLevel="0" collapsed="false">
      <c r="A200" s="3" t="n">
        <v>199</v>
      </c>
      <c r="B200" s="3" t="n">
        <v>198</v>
      </c>
      <c r="C200" s="3" t="n">
        <v>4</v>
      </c>
      <c r="D200" s="3" t="n">
        <v>0</v>
      </c>
      <c r="E200" s="3" t="n">
        <v>2</v>
      </c>
      <c r="F200" s="24" t="n">
        <v>0</v>
      </c>
    </row>
    <row r="201" customFormat="false" ht="15" hidden="false" customHeight="false" outlineLevel="0" collapsed="false">
      <c r="A201" s="3" t="n">
        <v>200</v>
      </c>
      <c r="B201" s="3" t="n">
        <v>199</v>
      </c>
      <c r="C201" s="3" t="n">
        <v>4</v>
      </c>
      <c r="D201" s="3" t="n">
        <v>0</v>
      </c>
      <c r="E201" s="3" t="n">
        <v>3</v>
      </c>
      <c r="F201" s="24" t="n">
        <v>1.30668402</v>
      </c>
    </row>
    <row r="202" customFormat="false" ht="15" hidden="false" customHeight="false" outlineLevel="0" collapsed="false">
      <c r="A202" s="3" t="n">
        <v>201</v>
      </c>
      <c r="B202" s="3" t="n">
        <v>200</v>
      </c>
      <c r="C202" s="3" t="n">
        <v>4</v>
      </c>
      <c r="D202" s="3" t="n">
        <v>0</v>
      </c>
      <c r="E202" s="3" t="n">
        <v>4</v>
      </c>
      <c r="F202" s="24" t="n">
        <v>0</v>
      </c>
    </row>
    <row r="203" customFormat="false" ht="15" hidden="false" customHeight="false" outlineLevel="0" collapsed="false">
      <c r="A203" s="3" t="n">
        <v>202</v>
      </c>
      <c r="B203" s="3" t="n">
        <v>201</v>
      </c>
      <c r="C203" s="3" t="n">
        <v>4</v>
      </c>
      <c r="D203" s="3" t="n">
        <v>0</v>
      </c>
      <c r="E203" s="3" t="n">
        <v>5</v>
      </c>
      <c r="F203" s="24" t="n">
        <v>1.88414156</v>
      </c>
    </row>
    <row r="204" customFormat="false" ht="15" hidden="false" customHeight="false" outlineLevel="0" collapsed="false">
      <c r="A204" s="3" t="n">
        <v>203</v>
      </c>
      <c r="B204" s="3" t="n">
        <v>202</v>
      </c>
      <c r="C204" s="3" t="n">
        <v>4</v>
      </c>
      <c r="D204" s="3" t="n">
        <v>0</v>
      </c>
      <c r="E204" s="3" t="n">
        <v>6</v>
      </c>
      <c r="F204" s="24" t="n">
        <v>3.34769964</v>
      </c>
    </row>
    <row r="205" customFormat="false" ht="15" hidden="false" customHeight="false" outlineLevel="0" collapsed="false">
      <c r="A205" s="3" t="n">
        <v>204</v>
      </c>
      <c r="B205" s="3" t="n">
        <v>203</v>
      </c>
      <c r="C205" s="3" t="n">
        <v>4</v>
      </c>
      <c r="D205" s="3" t="n">
        <v>1</v>
      </c>
      <c r="E205" s="3" t="n">
        <v>0</v>
      </c>
      <c r="F205" s="24" t="n">
        <v>0</v>
      </c>
    </row>
    <row r="206" customFormat="false" ht="15" hidden="false" customHeight="false" outlineLevel="0" collapsed="false">
      <c r="A206" s="3" t="n">
        <v>205</v>
      </c>
      <c r="B206" s="3" t="n">
        <v>204</v>
      </c>
      <c r="C206" s="3" t="n">
        <v>4</v>
      </c>
      <c r="D206" s="3" t="n">
        <v>1</v>
      </c>
      <c r="E206" s="3" t="n">
        <v>1</v>
      </c>
      <c r="F206" s="24" t="n">
        <v>2.98066926</v>
      </c>
    </row>
    <row r="207" customFormat="false" ht="15" hidden="false" customHeight="false" outlineLevel="0" collapsed="false">
      <c r="A207" s="3" t="n">
        <v>206</v>
      </c>
      <c r="B207" s="3" t="n">
        <v>205</v>
      </c>
      <c r="C207" s="3" t="n">
        <v>4</v>
      </c>
      <c r="D207" s="3" t="n">
        <v>1</v>
      </c>
      <c r="E207" s="3" t="n">
        <v>2</v>
      </c>
      <c r="F207" s="24" t="n">
        <v>0</v>
      </c>
    </row>
    <row r="208" customFormat="false" ht="15" hidden="false" customHeight="false" outlineLevel="0" collapsed="false">
      <c r="A208" s="3" t="n">
        <v>207</v>
      </c>
      <c r="B208" s="3" t="n">
        <v>206</v>
      </c>
      <c r="C208" s="3" t="n">
        <v>4</v>
      </c>
      <c r="D208" s="3" t="n">
        <v>1</v>
      </c>
      <c r="E208" s="3" t="n">
        <v>3</v>
      </c>
      <c r="F208" s="24" t="n">
        <v>0</v>
      </c>
    </row>
    <row r="209" customFormat="false" ht="15" hidden="false" customHeight="false" outlineLevel="0" collapsed="false">
      <c r="A209" s="3" t="n">
        <v>208</v>
      </c>
      <c r="B209" s="3" t="n">
        <v>207</v>
      </c>
      <c r="C209" s="3" t="n">
        <v>4</v>
      </c>
      <c r="D209" s="3" t="n">
        <v>1</v>
      </c>
      <c r="E209" s="3" t="n">
        <v>4</v>
      </c>
      <c r="F209" s="24" t="n">
        <v>1.18804097</v>
      </c>
    </row>
    <row r="210" customFormat="false" ht="15" hidden="false" customHeight="false" outlineLevel="0" collapsed="false">
      <c r="A210" s="3" t="n">
        <v>209</v>
      </c>
      <c r="B210" s="3" t="n">
        <v>208</v>
      </c>
      <c r="C210" s="3" t="n">
        <v>4</v>
      </c>
      <c r="D210" s="3" t="n">
        <v>1</v>
      </c>
      <c r="E210" s="3" t="n">
        <v>5</v>
      </c>
      <c r="F210" s="24" t="n">
        <v>0</v>
      </c>
    </row>
    <row r="211" customFormat="false" ht="15" hidden="false" customHeight="false" outlineLevel="0" collapsed="false">
      <c r="A211" s="3" t="n">
        <v>210</v>
      </c>
      <c r="B211" s="3" t="n">
        <v>209</v>
      </c>
      <c r="C211" s="3" t="n">
        <v>4</v>
      </c>
      <c r="D211" s="3" t="n">
        <v>1</v>
      </c>
      <c r="E211" s="3" t="n">
        <v>6</v>
      </c>
      <c r="F211" s="24" t="n">
        <v>5.36665535</v>
      </c>
    </row>
    <row r="212" customFormat="false" ht="15" hidden="false" customHeight="false" outlineLevel="0" collapsed="false">
      <c r="A212" s="3" t="n">
        <v>211</v>
      </c>
      <c r="B212" s="3" t="n">
        <v>210</v>
      </c>
      <c r="C212" s="3" t="n">
        <v>4</v>
      </c>
      <c r="D212" s="3" t="n">
        <v>2</v>
      </c>
      <c r="E212" s="3" t="n">
        <v>0</v>
      </c>
      <c r="F212" s="24" t="n">
        <v>0</v>
      </c>
    </row>
    <row r="213" customFormat="false" ht="15" hidden="false" customHeight="false" outlineLevel="0" collapsed="false">
      <c r="A213" s="3" t="n">
        <v>212</v>
      </c>
      <c r="B213" s="3" t="n">
        <v>211</v>
      </c>
      <c r="C213" s="3" t="n">
        <v>4</v>
      </c>
      <c r="D213" s="3" t="n">
        <v>2</v>
      </c>
      <c r="E213" s="3" t="n">
        <v>1</v>
      </c>
      <c r="F213" s="24" t="n">
        <v>0.311636746</v>
      </c>
    </row>
    <row r="214" customFormat="false" ht="15" hidden="false" customHeight="false" outlineLevel="0" collapsed="false">
      <c r="A214" s="3" t="n">
        <v>213</v>
      </c>
      <c r="B214" s="3" t="n">
        <v>212</v>
      </c>
      <c r="C214" s="3" t="n">
        <v>4</v>
      </c>
      <c r="D214" s="3" t="n">
        <v>2</v>
      </c>
      <c r="E214" s="3" t="n">
        <v>2</v>
      </c>
      <c r="F214" s="24" t="n">
        <v>1.1017853</v>
      </c>
    </row>
    <row r="215" customFormat="false" ht="15" hidden="false" customHeight="false" outlineLevel="0" collapsed="false">
      <c r="A215" s="3" t="n">
        <v>214</v>
      </c>
      <c r="B215" s="3" t="n">
        <v>213</v>
      </c>
      <c r="C215" s="3" t="n">
        <v>4</v>
      </c>
      <c r="D215" s="3" t="n">
        <v>2</v>
      </c>
      <c r="E215" s="3" t="n">
        <v>3</v>
      </c>
      <c r="F215" s="24" t="n">
        <v>0</v>
      </c>
    </row>
    <row r="216" customFormat="false" ht="15" hidden="false" customHeight="false" outlineLevel="0" collapsed="false">
      <c r="A216" s="3" t="n">
        <v>215</v>
      </c>
      <c r="B216" s="3" t="n">
        <v>214</v>
      </c>
      <c r="C216" s="3" t="n">
        <v>4</v>
      </c>
      <c r="D216" s="3" t="n">
        <v>2</v>
      </c>
      <c r="E216" s="3" t="n">
        <v>4</v>
      </c>
      <c r="F216" s="24" t="n">
        <v>8.15697289</v>
      </c>
    </row>
    <row r="217" customFormat="false" ht="15" hidden="false" customHeight="false" outlineLevel="0" collapsed="false">
      <c r="A217" s="3" t="n">
        <v>216</v>
      </c>
      <c r="B217" s="3" t="n">
        <v>215</v>
      </c>
      <c r="C217" s="3" t="n">
        <v>4</v>
      </c>
      <c r="D217" s="3" t="n">
        <v>2</v>
      </c>
      <c r="E217" s="3" t="n">
        <v>5</v>
      </c>
      <c r="F217" s="24" t="n">
        <v>0</v>
      </c>
    </row>
    <row r="218" customFormat="false" ht="15" hidden="false" customHeight="false" outlineLevel="0" collapsed="false">
      <c r="A218" s="3" t="n">
        <v>217</v>
      </c>
      <c r="B218" s="3" t="n">
        <v>216</v>
      </c>
      <c r="C218" s="3" t="n">
        <v>4</v>
      </c>
      <c r="D218" s="3" t="n">
        <v>2</v>
      </c>
      <c r="E218" s="3" t="n">
        <v>6</v>
      </c>
      <c r="F218" s="24" t="n">
        <v>0</v>
      </c>
    </row>
    <row r="219" customFormat="false" ht="15" hidden="false" customHeight="false" outlineLevel="0" collapsed="false">
      <c r="A219" s="3" t="n">
        <v>218</v>
      </c>
      <c r="B219" s="3" t="n">
        <v>217</v>
      </c>
      <c r="C219" s="3" t="n">
        <v>4</v>
      </c>
      <c r="D219" s="3" t="n">
        <v>3</v>
      </c>
      <c r="E219" s="3" t="n">
        <v>0</v>
      </c>
      <c r="F219" s="24" t="n">
        <v>1.25450814</v>
      </c>
    </row>
    <row r="220" customFormat="false" ht="15" hidden="false" customHeight="false" outlineLevel="0" collapsed="false">
      <c r="A220" s="3" t="n">
        <v>219</v>
      </c>
      <c r="B220" s="3" t="n">
        <v>218</v>
      </c>
      <c r="C220" s="3" t="n">
        <v>4</v>
      </c>
      <c r="D220" s="3" t="n">
        <v>3</v>
      </c>
      <c r="E220" s="3" t="n">
        <v>1</v>
      </c>
      <c r="F220" s="24" t="n">
        <v>7.45960522</v>
      </c>
    </row>
    <row r="221" customFormat="false" ht="15" hidden="false" customHeight="false" outlineLevel="0" collapsed="false">
      <c r="A221" s="3" t="n">
        <v>220</v>
      </c>
      <c r="B221" s="3" t="n">
        <v>219</v>
      </c>
      <c r="C221" s="3" t="n">
        <v>4</v>
      </c>
      <c r="D221" s="3" t="n">
        <v>3</v>
      </c>
      <c r="E221" s="3" t="n">
        <v>2</v>
      </c>
      <c r="F221" s="24" t="n">
        <v>1.80928612</v>
      </c>
    </row>
    <row r="222" customFormat="false" ht="15" hidden="false" customHeight="false" outlineLevel="0" collapsed="false">
      <c r="A222" s="3" t="n">
        <v>221</v>
      </c>
      <c r="B222" s="3" t="n">
        <v>220</v>
      </c>
      <c r="C222" s="3" t="n">
        <v>4</v>
      </c>
      <c r="D222" s="3" t="n">
        <v>3</v>
      </c>
      <c r="E222" s="3" t="n">
        <v>3</v>
      </c>
      <c r="F222" s="24" t="n">
        <v>0</v>
      </c>
    </row>
    <row r="223" customFormat="false" ht="15" hidden="false" customHeight="false" outlineLevel="0" collapsed="false">
      <c r="A223" s="3" t="n">
        <v>222</v>
      </c>
      <c r="B223" s="3" t="n">
        <v>221</v>
      </c>
      <c r="C223" s="3" t="n">
        <v>4</v>
      </c>
      <c r="D223" s="3" t="n">
        <v>3</v>
      </c>
      <c r="E223" s="3" t="n">
        <v>4</v>
      </c>
      <c r="F223" s="24" t="n">
        <v>0</v>
      </c>
    </row>
    <row r="224" customFormat="false" ht="15" hidden="false" customHeight="false" outlineLevel="0" collapsed="false">
      <c r="A224" s="3" t="n">
        <v>223</v>
      </c>
      <c r="B224" s="3" t="n">
        <v>222</v>
      </c>
      <c r="C224" s="3" t="n">
        <v>4</v>
      </c>
      <c r="D224" s="3" t="n">
        <v>3</v>
      </c>
      <c r="E224" s="3" t="n">
        <v>5</v>
      </c>
      <c r="F224" s="24" t="n">
        <v>0</v>
      </c>
    </row>
    <row r="225" customFormat="false" ht="15" hidden="false" customHeight="false" outlineLevel="0" collapsed="false">
      <c r="A225" s="3" t="n">
        <v>224</v>
      </c>
      <c r="B225" s="3" t="n">
        <v>223</v>
      </c>
      <c r="C225" s="3" t="n">
        <v>4</v>
      </c>
      <c r="D225" s="3" t="n">
        <v>3</v>
      </c>
      <c r="E225" s="3" t="n">
        <v>6</v>
      </c>
      <c r="F225" s="24" t="n">
        <v>0</v>
      </c>
    </row>
    <row r="226" customFormat="false" ht="15" hidden="false" customHeight="false" outlineLevel="0" collapsed="false">
      <c r="A226" s="3" t="n">
        <v>225</v>
      </c>
      <c r="B226" s="3" t="n">
        <v>224</v>
      </c>
      <c r="C226" s="3" t="n">
        <v>4</v>
      </c>
      <c r="D226" s="3" t="n">
        <v>4</v>
      </c>
      <c r="E226" s="3" t="n">
        <v>0</v>
      </c>
      <c r="F226" s="24" t="n">
        <v>0</v>
      </c>
    </row>
    <row r="227" customFormat="false" ht="15" hidden="false" customHeight="false" outlineLevel="0" collapsed="false">
      <c r="A227" s="3" t="n">
        <v>226</v>
      </c>
      <c r="B227" s="3" t="n">
        <v>225</v>
      </c>
      <c r="C227" s="3" t="n">
        <v>4</v>
      </c>
      <c r="D227" s="3" t="n">
        <v>4</v>
      </c>
      <c r="E227" s="3" t="n">
        <v>1</v>
      </c>
      <c r="F227" s="24" t="n">
        <v>0</v>
      </c>
    </row>
    <row r="228" customFormat="false" ht="15" hidden="false" customHeight="false" outlineLevel="0" collapsed="false">
      <c r="A228" s="3" t="n">
        <v>227</v>
      </c>
      <c r="B228" s="3" t="n">
        <v>226</v>
      </c>
      <c r="C228" s="3" t="n">
        <v>4</v>
      </c>
      <c r="D228" s="3" t="n">
        <v>4</v>
      </c>
      <c r="E228" s="3" t="n">
        <v>2</v>
      </c>
      <c r="F228" s="24" t="n">
        <v>0</v>
      </c>
    </row>
    <row r="229" customFormat="false" ht="15" hidden="false" customHeight="false" outlineLevel="0" collapsed="false">
      <c r="A229" s="3" t="n">
        <v>228</v>
      </c>
      <c r="B229" s="3" t="n">
        <v>227</v>
      </c>
      <c r="C229" s="3" t="n">
        <v>4</v>
      </c>
      <c r="D229" s="3" t="n">
        <v>4</v>
      </c>
      <c r="E229" s="3" t="n">
        <v>3</v>
      </c>
      <c r="F229" s="24" t="n">
        <v>0</v>
      </c>
    </row>
    <row r="230" customFormat="false" ht="15" hidden="false" customHeight="false" outlineLevel="0" collapsed="false">
      <c r="A230" s="3" t="n">
        <v>229</v>
      </c>
      <c r="B230" s="3" t="n">
        <v>228</v>
      </c>
      <c r="C230" s="3" t="n">
        <v>4</v>
      </c>
      <c r="D230" s="3" t="n">
        <v>4</v>
      </c>
      <c r="E230" s="3" t="n">
        <v>4</v>
      </c>
      <c r="F230" s="24" t="n">
        <v>0</v>
      </c>
    </row>
    <row r="231" customFormat="false" ht="15" hidden="false" customHeight="false" outlineLevel="0" collapsed="false">
      <c r="A231" s="3" t="n">
        <v>230</v>
      </c>
      <c r="B231" s="3" t="n">
        <v>229</v>
      </c>
      <c r="C231" s="3" t="n">
        <v>4</v>
      </c>
      <c r="D231" s="3" t="n">
        <v>4</v>
      </c>
      <c r="E231" s="3" t="n">
        <v>5</v>
      </c>
      <c r="F231" s="24" t="n">
        <v>0</v>
      </c>
    </row>
    <row r="232" customFormat="false" ht="15" hidden="false" customHeight="false" outlineLevel="0" collapsed="false">
      <c r="A232" s="3" t="n">
        <v>231</v>
      </c>
      <c r="B232" s="3" t="n">
        <v>230</v>
      </c>
      <c r="C232" s="3" t="n">
        <v>4</v>
      </c>
      <c r="D232" s="3" t="n">
        <v>4</v>
      </c>
      <c r="E232" s="3" t="n">
        <v>6</v>
      </c>
      <c r="F232" s="24" t="n">
        <v>0.852254748</v>
      </c>
    </row>
    <row r="233" customFormat="false" ht="15" hidden="false" customHeight="false" outlineLevel="0" collapsed="false">
      <c r="A233" s="3" t="n">
        <v>232</v>
      </c>
      <c r="B233" s="3" t="n">
        <v>231</v>
      </c>
      <c r="C233" s="3" t="n">
        <v>4</v>
      </c>
      <c r="D233" s="3" t="n">
        <v>5</v>
      </c>
      <c r="E233" s="3" t="n">
        <v>0</v>
      </c>
      <c r="F233" s="24" t="n">
        <v>0</v>
      </c>
    </row>
    <row r="234" customFormat="false" ht="15" hidden="false" customHeight="false" outlineLevel="0" collapsed="false">
      <c r="A234" s="3" t="n">
        <v>233</v>
      </c>
      <c r="B234" s="3" t="n">
        <v>232</v>
      </c>
      <c r="C234" s="3" t="n">
        <v>4</v>
      </c>
      <c r="D234" s="3" t="n">
        <v>5</v>
      </c>
      <c r="E234" s="3" t="n">
        <v>1</v>
      </c>
      <c r="F234" s="24" t="n">
        <v>0</v>
      </c>
    </row>
    <row r="235" customFormat="false" ht="15" hidden="false" customHeight="false" outlineLevel="0" collapsed="false">
      <c r="A235" s="3" t="n">
        <v>234</v>
      </c>
      <c r="B235" s="3" t="n">
        <v>233</v>
      </c>
      <c r="C235" s="3" t="n">
        <v>4</v>
      </c>
      <c r="D235" s="3" t="n">
        <v>5</v>
      </c>
      <c r="E235" s="3" t="n">
        <v>2</v>
      </c>
      <c r="F235" s="24" t="n">
        <v>0</v>
      </c>
    </row>
    <row r="236" customFormat="false" ht="15" hidden="false" customHeight="false" outlineLevel="0" collapsed="false">
      <c r="A236" s="3" t="n">
        <v>235</v>
      </c>
      <c r="B236" s="3" t="n">
        <v>234</v>
      </c>
      <c r="C236" s="3" t="n">
        <v>4</v>
      </c>
      <c r="D236" s="3" t="n">
        <v>5</v>
      </c>
      <c r="E236" s="3" t="n">
        <v>3</v>
      </c>
      <c r="F236" s="24" t="n">
        <v>0</v>
      </c>
    </row>
    <row r="237" customFormat="false" ht="15" hidden="false" customHeight="false" outlineLevel="0" collapsed="false">
      <c r="A237" s="3" t="n">
        <v>236</v>
      </c>
      <c r="B237" s="3" t="n">
        <v>235</v>
      </c>
      <c r="C237" s="3" t="n">
        <v>4</v>
      </c>
      <c r="D237" s="3" t="n">
        <v>5</v>
      </c>
      <c r="E237" s="3" t="n">
        <v>4</v>
      </c>
      <c r="F237" s="24" t="n">
        <v>0</v>
      </c>
    </row>
    <row r="238" customFormat="false" ht="15" hidden="false" customHeight="false" outlineLevel="0" collapsed="false">
      <c r="A238" s="3" t="n">
        <v>237</v>
      </c>
      <c r="B238" s="3" t="n">
        <v>236</v>
      </c>
      <c r="C238" s="3" t="n">
        <v>4</v>
      </c>
      <c r="D238" s="3" t="n">
        <v>5</v>
      </c>
      <c r="E238" s="3" t="n">
        <v>5</v>
      </c>
      <c r="F238" s="24" t="n">
        <v>1.620502</v>
      </c>
    </row>
    <row r="239" customFormat="false" ht="15" hidden="false" customHeight="false" outlineLevel="0" collapsed="false">
      <c r="A239" s="3" t="n">
        <v>238</v>
      </c>
      <c r="B239" s="3" t="n">
        <v>237</v>
      </c>
      <c r="C239" s="3" t="n">
        <v>4</v>
      </c>
      <c r="D239" s="3" t="n">
        <v>5</v>
      </c>
      <c r="E239" s="3" t="n">
        <v>6</v>
      </c>
      <c r="F239" s="24" t="n">
        <v>0.624842942</v>
      </c>
    </row>
    <row r="240" customFormat="false" ht="15" hidden="false" customHeight="false" outlineLevel="0" collapsed="false">
      <c r="A240" s="3" t="n">
        <v>239</v>
      </c>
      <c r="B240" s="3" t="n">
        <v>238</v>
      </c>
      <c r="C240" s="3" t="n">
        <v>4</v>
      </c>
      <c r="D240" s="3" t="n">
        <v>6</v>
      </c>
      <c r="E240" s="3" t="n">
        <v>0</v>
      </c>
      <c r="F240" s="24" t="n">
        <v>0</v>
      </c>
    </row>
    <row r="241" customFormat="false" ht="15" hidden="false" customHeight="false" outlineLevel="0" collapsed="false">
      <c r="A241" s="3" t="n">
        <v>240</v>
      </c>
      <c r="B241" s="3" t="n">
        <v>239</v>
      </c>
      <c r="C241" s="3" t="n">
        <v>4</v>
      </c>
      <c r="D241" s="3" t="n">
        <v>6</v>
      </c>
      <c r="E241" s="3" t="n">
        <v>1</v>
      </c>
      <c r="F241" s="24" t="n">
        <v>0</v>
      </c>
    </row>
    <row r="242" customFormat="false" ht="15" hidden="false" customHeight="false" outlineLevel="0" collapsed="false">
      <c r="A242" s="3" t="n">
        <v>241</v>
      </c>
      <c r="B242" s="3" t="n">
        <v>240</v>
      </c>
      <c r="C242" s="3" t="n">
        <v>4</v>
      </c>
      <c r="D242" s="3" t="n">
        <v>6</v>
      </c>
      <c r="E242" s="3" t="n">
        <v>2</v>
      </c>
      <c r="F242" s="24" t="n">
        <v>0</v>
      </c>
    </row>
    <row r="243" customFormat="false" ht="15" hidden="false" customHeight="false" outlineLevel="0" collapsed="false">
      <c r="A243" s="3" t="n">
        <v>242</v>
      </c>
      <c r="B243" s="3" t="n">
        <v>241</v>
      </c>
      <c r="C243" s="3" t="n">
        <v>4</v>
      </c>
      <c r="D243" s="3" t="n">
        <v>6</v>
      </c>
      <c r="E243" s="3" t="n">
        <v>3</v>
      </c>
      <c r="F243" s="24" t="n">
        <v>0</v>
      </c>
    </row>
    <row r="244" customFormat="false" ht="15" hidden="false" customHeight="false" outlineLevel="0" collapsed="false">
      <c r="A244" s="3" t="n">
        <v>243</v>
      </c>
      <c r="B244" s="3" t="n">
        <v>242</v>
      </c>
      <c r="C244" s="3" t="n">
        <v>4</v>
      </c>
      <c r="D244" s="3" t="n">
        <v>6</v>
      </c>
      <c r="E244" s="3" t="n">
        <v>4</v>
      </c>
      <c r="F244" s="24" t="n">
        <v>0</v>
      </c>
    </row>
    <row r="245" customFormat="false" ht="15" hidden="false" customHeight="false" outlineLevel="0" collapsed="false">
      <c r="A245" s="3" t="n">
        <v>244</v>
      </c>
      <c r="B245" s="3" t="n">
        <v>243</v>
      </c>
      <c r="C245" s="3" t="n">
        <v>4</v>
      </c>
      <c r="D245" s="3" t="n">
        <v>6</v>
      </c>
      <c r="E245" s="3" t="n">
        <v>5</v>
      </c>
      <c r="F245" s="24" t="n">
        <v>0.496570557</v>
      </c>
    </row>
    <row r="246" customFormat="false" ht="15" hidden="false" customHeight="false" outlineLevel="0" collapsed="false">
      <c r="A246" s="3" t="n">
        <v>245</v>
      </c>
      <c r="B246" s="3" t="n">
        <v>244</v>
      </c>
      <c r="C246" s="3" t="n">
        <v>4</v>
      </c>
      <c r="D246" s="3" t="n">
        <v>6</v>
      </c>
      <c r="E246" s="3" t="n">
        <v>6</v>
      </c>
      <c r="F246" s="24" t="n">
        <v>0</v>
      </c>
    </row>
    <row r="247" customFormat="false" ht="15" hidden="false" customHeight="false" outlineLevel="0" collapsed="false">
      <c r="A247" s="3" t="n">
        <v>246</v>
      </c>
      <c r="B247" s="3" t="n">
        <v>245</v>
      </c>
      <c r="C247" s="3" t="n">
        <v>5</v>
      </c>
      <c r="D247" s="3" t="n">
        <v>0</v>
      </c>
      <c r="E247" s="3" t="n">
        <v>0</v>
      </c>
      <c r="F247" s="24" t="n">
        <v>0</v>
      </c>
    </row>
    <row r="248" customFormat="false" ht="15" hidden="false" customHeight="false" outlineLevel="0" collapsed="false">
      <c r="A248" s="3" t="n">
        <v>247</v>
      </c>
      <c r="B248" s="3" t="n">
        <v>246</v>
      </c>
      <c r="C248" s="3" t="n">
        <v>5</v>
      </c>
      <c r="D248" s="3" t="n">
        <v>0</v>
      </c>
      <c r="E248" s="3" t="n">
        <v>1</v>
      </c>
      <c r="F248" s="24" t="n">
        <v>0</v>
      </c>
    </row>
    <row r="249" customFormat="false" ht="15" hidden="false" customHeight="false" outlineLevel="0" collapsed="false">
      <c r="A249" s="3" t="n">
        <v>248</v>
      </c>
      <c r="B249" s="3" t="n">
        <v>247</v>
      </c>
      <c r="C249" s="3" t="n">
        <v>5</v>
      </c>
      <c r="D249" s="3" t="n">
        <v>0</v>
      </c>
      <c r="E249" s="3" t="n">
        <v>2</v>
      </c>
      <c r="F249" s="24" t="n">
        <v>0</v>
      </c>
    </row>
    <row r="250" customFormat="false" ht="15" hidden="false" customHeight="false" outlineLevel="0" collapsed="false">
      <c r="A250" s="3" t="n">
        <v>249</v>
      </c>
      <c r="B250" s="3" t="n">
        <v>248</v>
      </c>
      <c r="C250" s="3" t="n">
        <v>5</v>
      </c>
      <c r="D250" s="3" t="n">
        <v>0</v>
      </c>
      <c r="E250" s="3" t="n">
        <v>3</v>
      </c>
      <c r="F250" s="24" t="n">
        <v>0</v>
      </c>
    </row>
    <row r="251" customFormat="false" ht="15" hidden="false" customHeight="false" outlineLevel="0" collapsed="false">
      <c r="A251" s="3" t="n">
        <v>250</v>
      </c>
      <c r="B251" s="3" t="n">
        <v>249</v>
      </c>
      <c r="C251" s="3" t="n">
        <v>5</v>
      </c>
      <c r="D251" s="3" t="n">
        <v>0</v>
      </c>
      <c r="E251" s="3" t="n">
        <v>4</v>
      </c>
      <c r="F251" s="24" t="n">
        <v>0</v>
      </c>
    </row>
    <row r="252" customFormat="false" ht="15" hidden="false" customHeight="false" outlineLevel="0" collapsed="false">
      <c r="A252" s="3" t="n">
        <v>251</v>
      </c>
      <c r="B252" s="3" t="n">
        <v>250</v>
      </c>
      <c r="C252" s="3" t="n">
        <v>5</v>
      </c>
      <c r="D252" s="3" t="n">
        <v>0</v>
      </c>
      <c r="E252" s="3" t="n">
        <v>5</v>
      </c>
      <c r="F252" s="24" t="n">
        <v>0</v>
      </c>
    </row>
    <row r="253" customFormat="false" ht="15" hidden="false" customHeight="false" outlineLevel="0" collapsed="false">
      <c r="A253" s="3" t="n">
        <v>252</v>
      </c>
      <c r="B253" s="3" t="n">
        <v>251</v>
      </c>
      <c r="C253" s="3" t="n">
        <v>5</v>
      </c>
      <c r="D253" s="3" t="n">
        <v>0</v>
      </c>
      <c r="E253" s="3" t="n">
        <v>6</v>
      </c>
      <c r="F253" s="24" t="n">
        <v>0</v>
      </c>
    </row>
    <row r="254" customFormat="false" ht="15" hidden="false" customHeight="false" outlineLevel="0" collapsed="false">
      <c r="A254" s="3" t="n">
        <v>253</v>
      </c>
      <c r="B254" s="3" t="n">
        <v>252</v>
      </c>
      <c r="C254" s="3" t="n">
        <v>5</v>
      </c>
      <c r="D254" s="3" t="n">
        <v>1</v>
      </c>
      <c r="E254" s="3" t="n">
        <v>0</v>
      </c>
      <c r="F254" s="24" t="n">
        <v>0</v>
      </c>
    </row>
    <row r="255" customFormat="false" ht="15" hidden="false" customHeight="false" outlineLevel="0" collapsed="false">
      <c r="A255" s="3" t="n">
        <v>254</v>
      </c>
      <c r="B255" s="3" t="n">
        <v>253</v>
      </c>
      <c r="C255" s="3" t="n">
        <v>5</v>
      </c>
      <c r="D255" s="3" t="n">
        <v>1</v>
      </c>
      <c r="E255" s="3" t="n">
        <v>1</v>
      </c>
      <c r="F255" s="24" t="n">
        <v>0</v>
      </c>
    </row>
    <row r="256" customFormat="false" ht="15" hidden="false" customHeight="false" outlineLevel="0" collapsed="false">
      <c r="A256" s="3" t="n">
        <v>255</v>
      </c>
      <c r="B256" s="3" t="n">
        <v>254</v>
      </c>
      <c r="C256" s="3" t="n">
        <v>5</v>
      </c>
      <c r="D256" s="3" t="n">
        <v>1</v>
      </c>
      <c r="E256" s="3" t="n">
        <v>2</v>
      </c>
      <c r="F256" s="24" t="n">
        <v>0</v>
      </c>
    </row>
    <row r="257" customFormat="false" ht="15" hidden="false" customHeight="false" outlineLevel="0" collapsed="false">
      <c r="A257" s="3" t="n">
        <v>256</v>
      </c>
      <c r="B257" s="3" t="n">
        <v>255</v>
      </c>
      <c r="C257" s="3" t="n">
        <v>5</v>
      </c>
      <c r="D257" s="3" t="n">
        <v>1</v>
      </c>
      <c r="E257" s="3" t="n">
        <v>3</v>
      </c>
      <c r="F257" s="24" t="n">
        <v>3.48186994</v>
      </c>
    </row>
    <row r="258" customFormat="false" ht="15" hidden="false" customHeight="false" outlineLevel="0" collapsed="false">
      <c r="A258" s="3" t="n">
        <v>257</v>
      </c>
      <c r="B258" s="3" t="n">
        <v>256</v>
      </c>
      <c r="C258" s="3" t="n">
        <v>5</v>
      </c>
      <c r="D258" s="3" t="n">
        <v>1</v>
      </c>
      <c r="E258" s="3" t="n">
        <v>4</v>
      </c>
      <c r="F258" s="24" t="n">
        <v>4.47480822</v>
      </c>
    </row>
    <row r="259" customFormat="false" ht="15" hidden="false" customHeight="false" outlineLevel="0" collapsed="false">
      <c r="A259" s="3" t="n">
        <v>258</v>
      </c>
      <c r="B259" s="3" t="n">
        <v>257</v>
      </c>
      <c r="C259" s="3" t="n">
        <v>5</v>
      </c>
      <c r="D259" s="3" t="n">
        <v>1</v>
      </c>
      <c r="E259" s="3" t="n">
        <v>5</v>
      </c>
      <c r="F259" s="24" t="n">
        <v>9.92120266</v>
      </c>
    </row>
    <row r="260" customFormat="false" ht="15" hidden="false" customHeight="false" outlineLevel="0" collapsed="false">
      <c r="A260" s="3" t="n">
        <v>259</v>
      </c>
      <c r="B260" s="3" t="n">
        <v>258</v>
      </c>
      <c r="C260" s="3" t="n">
        <v>5</v>
      </c>
      <c r="D260" s="3" t="n">
        <v>1</v>
      </c>
      <c r="E260" s="3" t="n">
        <v>6</v>
      </c>
      <c r="F260" s="24" t="n">
        <v>4.48995638</v>
      </c>
    </row>
    <row r="261" customFormat="false" ht="15" hidden="false" customHeight="false" outlineLevel="0" collapsed="false">
      <c r="A261" s="3" t="n">
        <v>260</v>
      </c>
      <c r="B261" s="3" t="n">
        <v>259</v>
      </c>
      <c r="C261" s="3" t="n">
        <v>5</v>
      </c>
      <c r="D261" s="3" t="n">
        <v>2</v>
      </c>
      <c r="E261" s="3" t="n">
        <v>0</v>
      </c>
      <c r="F261" s="24" t="n">
        <v>0</v>
      </c>
    </row>
    <row r="262" customFormat="false" ht="15" hidden="false" customHeight="false" outlineLevel="0" collapsed="false">
      <c r="A262" s="3" t="n">
        <v>261</v>
      </c>
      <c r="B262" s="3" t="n">
        <v>260</v>
      </c>
      <c r="C262" s="3" t="n">
        <v>5</v>
      </c>
      <c r="D262" s="3" t="n">
        <v>2</v>
      </c>
      <c r="E262" s="3" t="n">
        <v>1</v>
      </c>
      <c r="F262" s="24" t="n">
        <v>0</v>
      </c>
    </row>
    <row r="263" customFormat="false" ht="15" hidden="false" customHeight="false" outlineLevel="0" collapsed="false">
      <c r="A263" s="3" t="n">
        <v>262</v>
      </c>
      <c r="B263" s="3" t="n">
        <v>261</v>
      </c>
      <c r="C263" s="3" t="n">
        <v>5</v>
      </c>
      <c r="D263" s="3" t="n">
        <v>2</v>
      </c>
      <c r="E263" s="3" t="n">
        <v>2</v>
      </c>
      <c r="F263" s="24" t="n">
        <v>0</v>
      </c>
    </row>
    <row r="264" customFormat="false" ht="15" hidden="false" customHeight="false" outlineLevel="0" collapsed="false">
      <c r="A264" s="3" t="n">
        <v>263</v>
      </c>
      <c r="B264" s="3" t="n">
        <v>262</v>
      </c>
      <c r="C264" s="3" t="n">
        <v>5</v>
      </c>
      <c r="D264" s="3" t="n">
        <v>2</v>
      </c>
      <c r="E264" s="3" t="n">
        <v>3</v>
      </c>
      <c r="F264" s="24" t="n">
        <v>0</v>
      </c>
    </row>
    <row r="265" customFormat="false" ht="15" hidden="false" customHeight="false" outlineLevel="0" collapsed="false">
      <c r="A265" s="3" t="n">
        <v>264</v>
      </c>
      <c r="B265" s="3" t="n">
        <v>263</v>
      </c>
      <c r="C265" s="3" t="n">
        <v>5</v>
      </c>
      <c r="D265" s="3" t="n">
        <v>2</v>
      </c>
      <c r="E265" s="3" t="n">
        <v>4</v>
      </c>
      <c r="F265" s="24" t="n">
        <v>0</v>
      </c>
    </row>
    <row r="266" customFormat="false" ht="15" hidden="false" customHeight="false" outlineLevel="0" collapsed="false">
      <c r="A266" s="3" t="n">
        <v>265</v>
      </c>
      <c r="B266" s="3" t="n">
        <v>264</v>
      </c>
      <c r="C266" s="3" t="n">
        <v>5</v>
      </c>
      <c r="D266" s="3" t="n">
        <v>2</v>
      </c>
      <c r="E266" s="3" t="n">
        <v>5</v>
      </c>
      <c r="F266" s="24" t="n">
        <v>8.59446239</v>
      </c>
    </row>
    <row r="267" customFormat="false" ht="15" hidden="false" customHeight="false" outlineLevel="0" collapsed="false">
      <c r="A267" s="3" t="n">
        <v>266</v>
      </c>
      <c r="B267" s="3" t="n">
        <v>265</v>
      </c>
      <c r="C267" s="3" t="n">
        <v>5</v>
      </c>
      <c r="D267" s="3" t="n">
        <v>2</v>
      </c>
      <c r="E267" s="3" t="n">
        <v>6</v>
      </c>
      <c r="F267" s="24" t="n">
        <v>2.82187176</v>
      </c>
    </row>
    <row r="268" customFormat="false" ht="15" hidden="false" customHeight="false" outlineLevel="0" collapsed="false">
      <c r="A268" s="3" t="n">
        <v>267</v>
      </c>
      <c r="B268" s="3" t="n">
        <v>266</v>
      </c>
      <c r="C268" s="3" t="n">
        <v>5</v>
      </c>
      <c r="D268" s="3" t="n">
        <v>3</v>
      </c>
      <c r="E268" s="3" t="n">
        <v>0</v>
      </c>
      <c r="F268" s="24" t="n">
        <v>1.59027886</v>
      </c>
    </row>
    <row r="269" customFormat="false" ht="15" hidden="false" customHeight="false" outlineLevel="0" collapsed="false">
      <c r="A269" s="3" t="n">
        <v>268</v>
      </c>
      <c r="B269" s="3" t="n">
        <v>267</v>
      </c>
      <c r="C269" s="3" t="n">
        <v>5</v>
      </c>
      <c r="D269" s="3" t="n">
        <v>3</v>
      </c>
      <c r="E269" s="3" t="n">
        <v>1</v>
      </c>
      <c r="F269" s="24" t="n">
        <v>0</v>
      </c>
    </row>
    <row r="270" customFormat="false" ht="15" hidden="false" customHeight="false" outlineLevel="0" collapsed="false">
      <c r="A270" s="3" t="n">
        <v>269</v>
      </c>
      <c r="B270" s="3" t="n">
        <v>268</v>
      </c>
      <c r="C270" s="3" t="n">
        <v>5</v>
      </c>
      <c r="D270" s="3" t="n">
        <v>3</v>
      </c>
      <c r="E270" s="3" t="n">
        <v>2</v>
      </c>
      <c r="F270" s="24" t="n">
        <v>0</v>
      </c>
    </row>
    <row r="271" customFormat="false" ht="15" hidden="false" customHeight="false" outlineLevel="0" collapsed="false">
      <c r="A271" s="3" t="n">
        <v>270</v>
      </c>
      <c r="B271" s="3" t="n">
        <v>269</v>
      </c>
      <c r="C271" s="3" t="n">
        <v>5</v>
      </c>
      <c r="D271" s="3" t="n">
        <v>3</v>
      </c>
      <c r="E271" s="3" t="n">
        <v>3</v>
      </c>
      <c r="F271" s="24" t="n">
        <v>0</v>
      </c>
    </row>
    <row r="272" customFormat="false" ht="15" hidden="false" customHeight="false" outlineLevel="0" collapsed="false">
      <c r="A272" s="3" t="n">
        <v>271</v>
      </c>
      <c r="B272" s="3" t="n">
        <v>270</v>
      </c>
      <c r="C272" s="3" t="n">
        <v>5</v>
      </c>
      <c r="D272" s="3" t="n">
        <v>3</v>
      </c>
      <c r="E272" s="3" t="n">
        <v>4</v>
      </c>
      <c r="F272" s="24" t="n">
        <v>0</v>
      </c>
    </row>
    <row r="273" customFormat="false" ht="15" hidden="false" customHeight="false" outlineLevel="0" collapsed="false">
      <c r="A273" s="3" t="n">
        <v>272</v>
      </c>
      <c r="B273" s="3" t="n">
        <v>271</v>
      </c>
      <c r="C273" s="3" t="n">
        <v>5</v>
      </c>
      <c r="D273" s="3" t="n">
        <v>3</v>
      </c>
      <c r="E273" s="3" t="n">
        <v>5</v>
      </c>
      <c r="F273" s="24" t="n">
        <v>1.61290932</v>
      </c>
    </row>
    <row r="274" customFormat="false" ht="15" hidden="false" customHeight="false" outlineLevel="0" collapsed="false">
      <c r="A274" s="3" t="n">
        <v>273</v>
      </c>
      <c r="B274" s="3" t="n">
        <v>272</v>
      </c>
      <c r="C274" s="3" t="n">
        <v>5</v>
      </c>
      <c r="D274" s="3" t="n">
        <v>3</v>
      </c>
      <c r="E274" s="3" t="n">
        <v>6</v>
      </c>
      <c r="F274" s="24" t="n">
        <v>0</v>
      </c>
    </row>
    <row r="275" customFormat="false" ht="15" hidden="false" customHeight="false" outlineLevel="0" collapsed="false">
      <c r="A275" s="3" t="n">
        <v>274</v>
      </c>
      <c r="B275" s="3" t="n">
        <v>273</v>
      </c>
      <c r="C275" s="3" t="n">
        <v>5</v>
      </c>
      <c r="D275" s="3" t="n">
        <v>4</v>
      </c>
      <c r="E275" s="3" t="n">
        <v>0</v>
      </c>
      <c r="F275" s="24" t="n">
        <v>0</v>
      </c>
    </row>
    <row r="276" customFormat="false" ht="15" hidden="false" customHeight="false" outlineLevel="0" collapsed="false">
      <c r="A276" s="3" t="n">
        <v>275</v>
      </c>
      <c r="B276" s="3" t="n">
        <v>274</v>
      </c>
      <c r="C276" s="3" t="n">
        <v>5</v>
      </c>
      <c r="D276" s="3" t="n">
        <v>4</v>
      </c>
      <c r="E276" s="3" t="n">
        <v>1</v>
      </c>
      <c r="F276" s="24" t="n">
        <v>0.176119328</v>
      </c>
    </row>
    <row r="277" customFormat="false" ht="15" hidden="false" customHeight="false" outlineLevel="0" collapsed="false">
      <c r="A277" s="3" t="n">
        <v>276</v>
      </c>
      <c r="B277" s="3" t="n">
        <v>275</v>
      </c>
      <c r="C277" s="3" t="n">
        <v>5</v>
      </c>
      <c r="D277" s="3" t="n">
        <v>4</v>
      </c>
      <c r="E277" s="3" t="n">
        <v>2</v>
      </c>
      <c r="F277" s="24" t="n">
        <v>2.46383762</v>
      </c>
    </row>
    <row r="278" customFormat="false" ht="15" hidden="false" customHeight="false" outlineLevel="0" collapsed="false">
      <c r="A278" s="3" t="n">
        <v>277</v>
      </c>
      <c r="B278" s="3" t="n">
        <v>276</v>
      </c>
      <c r="C278" s="3" t="n">
        <v>5</v>
      </c>
      <c r="D278" s="3" t="n">
        <v>4</v>
      </c>
      <c r="E278" s="3" t="n">
        <v>3</v>
      </c>
      <c r="F278" s="24" t="n">
        <v>0</v>
      </c>
    </row>
    <row r="279" customFormat="false" ht="15" hidden="false" customHeight="false" outlineLevel="0" collapsed="false">
      <c r="A279" s="3" t="n">
        <v>278</v>
      </c>
      <c r="B279" s="3" t="n">
        <v>277</v>
      </c>
      <c r="C279" s="3" t="n">
        <v>5</v>
      </c>
      <c r="D279" s="3" t="n">
        <v>4</v>
      </c>
      <c r="E279" s="3" t="n">
        <v>4</v>
      </c>
      <c r="F279" s="24" t="n">
        <v>0</v>
      </c>
    </row>
    <row r="280" customFormat="false" ht="15" hidden="false" customHeight="false" outlineLevel="0" collapsed="false">
      <c r="A280" s="3" t="n">
        <v>279</v>
      </c>
      <c r="B280" s="3" t="n">
        <v>278</v>
      </c>
      <c r="C280" s="3" t="n">
        <v>5</v>
      </c>
      <c r="D280" s="3" t="n">
        <v>4</v>
      </c>
      <c r="E280" s="3" t="n">
        <v>5</v>
      </c>
      <c r="F280" s="24" t="n">
        <v>0</v>
      </c>
    </row>
    <row r="281" customFormat="false" ht="15" hidden="false" customHeight="false" outlineLevel="0" collapsed="false">
      <c r="A281" s="3" t="n">
        <v>280</v>
      </c>
      <c r="B281" s="3" t="n">
        <v>279</v>
      </c>
      <c r="C281" s="3" t="n">
        <v>5</v>
      </c>
      <c r="D281" s="3" t="n">
        <v>4</v>
      </c>
      <c r="E281" s="3" t="n">
        <v>6</v>
      </c>
      <c r="F281" s="24" t="n">
        <v>0</v>
      </c>
    </row>
    <row r="282" customFormat="false" ht="15" hidden="false" customHeight="false" outlineLevel="0" collapsed="false">
      <c r="A282" s="3" t="n">
        <v>281</v>
      </c>
      <c r="B282" s="3" t="n">
        <v>280</v>
      </c>
      <c r="C282" s="3" t="n">
        <v>5</v>
      </c>
      <c r="D282" s="3" t="n">
        <v>5</v>
      </c>
      <c r="E282" s="3" t="n">
        <v>0</v>
      </c>
      <c r="F282" s="24" t="n">
        <v>0</v>
      </c>
    </row>
    <row r="283" customFormat="false" ht="15" hidden="false" customHeight="false" outlineLevel="0" collapsed="false">
      <c r="A283" s="3" t="n">
        <v>282</v>
      </c>
      <c r="B283" s="3" t="n">
        <v>281</v>
      </c>
      <c r="C283" s="3" t="n">
        <v>5</v>
      </c>
      <c r="D283" s="3" t="n">
        <v>5</v>
      </c>
      <c r="E283" s="3" t="n">
        <v>1</v>
      </c>
      <c r="F283" s="24" t="n">
        <v>0</v>
      </c>
    </row>
    <row r="284" customFormat="false" ht="15" hidden="false" customHeight="false" outlineLevel="0" collapsed="false">
      <c r="A284" s="3" t="n">
        <v>283</v>
      </c>
      <c r="B284" s="3" t="n">
        <v>282</v>
      </c>
      <c r="C284" s="3" t="n">
        <v>5</v>
      </c>
      <c r="D284" s="3" t="n">
        <v>5</v>
      </c>
      <c r="E284" s="3" t="n">
        <v>2</v>
      </c>
      <c r="F284" s="24" t="n">
        <v>0</v>
      </c>
    </row>
    <row r="285" customFormat="false" ht="15" hidden="false" customHeight="false" outlineLevel="0" collapsed="false">
      <c r="A285" s="3" t="n">
        <v>284</v>
      </c>
      <c r="B285" s="3" t="n">
        <v>283</v>
      </c>
      <c r="C285" s="3" t="n">
        <v>5</v>
      </c>
      <c r="D285" s="3" t="n">
        <v>5</v>
      </c>
      <c r="E285" s="3" t="n">
        <v>3</v>
      </c>
      <c r="F285" s="24" t="n">
        <v>0</v>
      </c>
    </row>
    <row r="286" customFormat="false" ht="15" hidden="false" customHeight="false" outlineLevel="0" collapsed="false">
      <c r="A286" s="3" t="n">
        <v>285</v>
      </c>
      <c r="B286" s="3" t="n">
        <v>284</v>
      </c>
      <c r="C286" s="3" t="n">
        <v>5</v>
      </c>
      <c r="D286" s="3" t="n">
        <v>5</v>
      </c>
      <c r="E286" s="3" t="n">
        <v>4</v>
      </c>
      <c r="F286" s="24" t="n">
        <v>1.64144397</v>
      </c>
    </row>
    <row r="287" customFormat="false" ht="15" hidden="false" customHeight="false" outlineLevel="0" collapsed="false">
      <c r="A287" s="3" t="n">
        <v>286</v>
      </c>
      <c r="B287" s="3" t="n">
        <v>285</v>
      </c>
      <c r="C287" s="3" t="n">
        <v>5</v>
      </c>
      <c r="D287" s="3" t="n">
        <v>5</v>
      </c>
      <c r="E287" s="3" t="n">
        <v>5</v>
      </c>
      <c r="F287" s="24" t="n">
        <v>0</v>
      </c>
    </row>
    <row r="288" customFormat="false" ht="15" hidden="false" customHeight="false" outlineLevel="0" collapsed="false">
      <c r="A288" s="3" t="n">
        <v>287</v>
      </c>
      <c r="B288" s="3" t="n">
        <v>286</v>
      </c>
      <c r="C288" s="3" t="n">
        <v>5</v>
      </c>
      <c r="D288" s="3" t="n">
        <v>5</v>
      </c>
      <c r="E288" s="3" t="n">
        <v>6</v>
      </c>
      <c r="F288" s="24" t="n">
        <v>0.00474792719</v>
      </c>
    </row>
    <row r="289" customFormat="false" ht="15" hidden="false" customHeight="false" outlineLevel="0" collapsed="false">
      <c r="A289" s="3" t="n">
        <v>288</v>
      </c>
      <c r="B289" s="3" t="n">
        <v>287</v>
      </c>
      <c r="C289" s="3" t="n">
        <v>5</v>
      </c>
      <c r="D289" s="3" t="n">
        <v>6</v>
      </c>
      <c r="E289" s="3" t="n">
        <v>0</v>
      </c>
      <c r="F289" s="24" t="n">
        <v>0</v>
      </c>
    </row>
    <row r="290" customFormat="false" ht="15" hidden="false" customHeight="false" outlineLevel="0" collapsed="false">
      <c r="A290" s="3" t="n">
        <v>289</v>
      </c>
      <c r="B290" s="3" t="n">
        <v>288</v>
      </c>
      <c r="C290" s="3" t="n">
        <v>5</v>
      </c>
      <c r="D290" s="3" t="n">
        <v>6</v>
      </c>
      <c r="E290" s="3" t="n">
        <v>1</v>
      </c>
      <c r="F290" s="24" t="n">
        <v>0</v>
      </c>
    </row>
    <row r="291" customFormat="false" ht="15" hidden="false" customHeight="false" outlineLevel="0" collapsed="false">
      <c r="A291" s="3" t="n">
        <v>290</v>
      </c>
      <c r="B291" s="3" t="n">
        <v>289</v>
      </c>
      <c r="C291" s="3" t="n">
        <v>5</v>
      </c>
      <c r="D291" s="3" t="n">
        <v>6</v>
      </c>
      <c r="E291" s="3" t="n">
        <v>2</v>
      </c>
      <c r="F291" s="24" t="n">
        <v>0</v>
      </c>
    </row>
    <row r="292" customFormat="false" ht="15" hidden="false" customHeight="false" outlineLevel="0" collapsed="false">
      <c r="A292" s="3" t="n">
        <v>291</v>
      </c>
      <c r="B292" s="3" t="n">
        <v>290</v>
      </c>
      <c r="C292" s="3" t="n">
        <v>5</v>
      </c>
      <c r="D292" s="3" t="n">
        <v>6</v>
      </c>
      <c r="E292" s="3" t="n">
        <v>3</v>
      </c>
      <c r="F292" s="24" t="n">
        <v>0</v>
      </c>
    </row>
    <row r="293" customFormat="false" ht="15" hidden="false" customHeight="false" outlineLevel="0" collapsed="false">
      <c r="A293" s="3" t="n">
        <v>292</v>
      </c>
      <c r="B293" s="3" t="n">
        <v>291</v>
      </c>
      <c r="C293" s="3" t="n">
        <v>5</v>
      </c>
      <c r="D293" s="3" t="n">
        <v>6</v>
      </c>
      <c r="E293" s="3" t="n">
        <v>4</v>
      </c>
      <c r="F293" s="24" t="n">
        <v>0</v>
      </c>
    </row>
    <row r="294" customFormat="false" ht="15" hidden="false" customHeight="false" outlineLevel="0" collapsed="false">
      <c r="A294" s="3" t="n">
        <v>293</v>
      </c>
      <c r="B294" s="3" t="n">
        <v>292</v>
      </c>
      <c r="C294" s="3" t="n">
        <v>5</v>
      </c>
      <c r="D294" s="3" t="n">
        <v>6</v>
      </c>
      <c r="E294" s="3" t="n">
        <v>5</v>
      </c>
      <c r="F294" s="24" t="n">
        <v>0</v>
      </c>
    </row>
    <row r="295" customFormat="false" ht="15" hidden="false" customHeight="false" outlineLevel="0" collapsed="false">
      <c r="A295" s="3" t="n">
        <v>294</v>
      </c>
      <c r="B295" s="3" t="n">
        <v>293</v>
      </c>
      <c r="C295" s="3" t="n">
        <v>5</v>
      </c>
      <c r="D295" s="3" t="n">
        <v>6</v>
      </c>
      <c r="E295" s="3" t="n">
        <v>6</v>
      </c>
      <c r="F295" s="24" t="n">
        <v>0</v>
      </c>
    </row>
    <row r="296" customFormat="false" ht="15" hidden="false" customHeight="false" outlineLevel="0" collapsed="false">
      <c r="A296" s="3" t="n">
        <v>295</v>
      </c>
      <c r="B296" s="3" t="n">
        <v>294</v>
      </c>
      <c r="C296" s="3" t="n">
        <v>6</v>
      </c>
      <c r="D296" s="3" t="n">
        <v>0</v>
      </c>
      <c r="E296" s="3" t="n">
        <v>0</v>
      </c>
      <c r="F296" s="24" t="n">
        <v>0</v>
      </c>
    </row>
    <row r="297" customFormat="false" ht="15" hidden="false" customHeight="false" outlineLevel="0" collapsed="false">
      <c r="A297" s="3" t="n">
        <v>296</v>
      </c>
      <c r="B297" s="3" t="n">
        <v>295</v>
      </c>
      <c r="C297" s="3" t="n">
        <v>6</v>
      </c>
      <c r="D297" s="3" t="n">
        <v>0</v>
      </c>
      <c r="E297" s="3" t="n">
        <v>1</v>
      </c>
      <c r="F297" s="24" t="n">
        <v>0</v>
      </c>
    </row>
    <row r="298" customFormat="false" ht="15" hidden="false" customHeight="false" outlineLevel="0" collapsed="false">
      <c r="A298" s="3" t="n">
        <v>297</v>
      </c>
      <c r="B298" s="3" t="n">
        <v>296</v>
      </c>
      <c r="C298" s="3" t="n">
        <v>6</v>
      </c>
      <c r="D298" s="3" t="n">
        <v>0</v>
      </c>
      <c r="E298" s="3" t="n">
        <v>2</v>
      </c>
      <c r="F298" s="24" t="n">
        <v>0</v>
      </c>
    </row>
    <row r="299" customFormat="false" ht="15" hidden="false" customHeight="false" outlineLevel="0" collapsed="false">
      <c r="A299" s="3" t="n">
        <v>298</v>
      </c>
      <c r="B299" s="3" t="n">
        <v>297</v>
      </c>
      <c r="C299" s="3" t="n">
        <v>6</v>
      </c>
      <c r="D299" s="3" t="n">
        <v>0</v>
      </c>
      <c r="E299" s="3" t="n">
        <v>3</v>
      </c>
      <c r="F299" s="24" t="n">
        <v>0</v>
      </c>
    </row>
    <row r="300" customFormat="false" ht="15" hidden="false" customHeight="false" outlineLevel="0" collapsed="false">
      <c r="A300" s="3" t="n">
        <v>299</v>
      </c>
      <c r="B300" s="3" t="n">
        <v>298</v>
      </c>
      <c r="C300" s="3" t="n">
        <v>6</v>
      </c>
      <c r="D300" s="3" t="n">
        <v>0</v>
      </c>
      <c r="E300" s="3" t="n">
        <v>4</v>
      </c>
      <c r="F300" s="24" t="n">
        <v>0</v>
      </c>
    </row>
    <row r="301" customFormat="false" ht="15" hidden="false" customHeight="false" outlineLevel="0" collapsed="false">
      <c r="A301" s="3" t="n">
        <v>300</v>
      </c>
      <c r="B301" s="3" t="n">
        <v>299</v>
      </c>
      <c r="C301" s="3" t="n">
        <v>6</v>
      </c>
      <c r="D301" s="3" t="n">
        <v>0</v>
      </c>
      <c r="E301" s="3" t="n">
        <v>5</v>
      </c>
      <c r="F301" s="24" t="n">
        <v>0</v>
      </c>
    </row>
    <row r="302" customFormat="false" ht="15" hidden="false" customHeight="false" outlineLevel="0" collapsed="false">
      <c r="A302" s="3" t="n">
        <v>301</v>
      </c>
      <c r="B302" s="3" t="n">
        <v>300</v>
      </c>
      <c r="C302" s="3" t="n">
        <v>6</v>
      </c>
      <c r="D302" s="3" t="n">
        <v>0</v>
      </c>
      <c r="E302" s="3" t="n">
        <v>6</v>
      </c>
      <c r="F302" s="24" t="n">
        <v>0</v>
      </c>
    </row>
    <row r="303" customFormat="false" ht="15" hidden="false" customHeight="false" outlineLevel="0" collapsed="false">
      <c r="A303" s="3" t="n">
        <v>302</v>
      </c>
      <c r="B303" s="3" t="n">
        <v>301</v>
      </c>
      <c r="C303" s="3" t="n">
        <v>6</v>
      </c>
      <c r="D303" s="3" t="n">
        <v>1</v>
      </c>
      <c r="E303" s="3" t="n">
        <v>0</v>
      </c>
      <c r="F303" s="24" t="n">
        <v>1.81400537</v>
      </c>
    </row>
    <row r="304" customFormat="false" ht="15" hidden="false" customHeight="false" outlineLevel="0" collapsed="false">
      <c r="A304" s="3" t="n">
        <v>303</v>
      </c>
      <c r="B304" s="3" t="n">
        <v>302</v>
      </c>
      <c r="C304" s="3" t="n">
        <v>6</v>
      </c>
      <c r="D304" s="3" t="n">
        <v>1</v>
      </c>
      <c r="E304" s="3" t="n">
        <v>1</v>
      </c>
      <c r="F304" s="24" t="n">
        <v>0</v>
      </c>
    </row>
    <row r="305" customFormat="false" ht="15" hidden="false" customHeight="false" outlineLevel="0" collapsed="false">
      <c r="A305" s="3" t="n">
        <v>304</v>
      </c>
      <c r="B305" s="3" t="n">
        <v>303</v>
      </c>
      <c r="C305" s="3" t="n">
        <v>6</v>
      </c>
      <c r="D305" s="3" t="n">
        <v>1</v>
      </c>
      <c r="E305" s="3" t="n">
        <v>2</v>
      </c>
      <c r="F305" s="24" t="n">
        <v>0</v>
      </c>
    </row>
    <row r="306" customFormat="false" ht="15" hidden="false" customHeight="false" outlineLevel="0" collapsed="false">
      <c r="A306" s="3" t="n">
        <v>305</v>
      </c>
      <c r="B306" s="3" t="n">
        <v>304</v>
      </c>
      <c r="C306" s="3" t="n">
        <v>6</v>
      </c>
      <c r="D306" s="3" t="n">
        <v>1</v>
      </c>
      <c r="E306" s="3" t="n">
        <v>3</v>
      </c>
      <c r="F306" s="24" t="n">
        <v>0</v>
      </c>
    </row>
    <row r="307" customFormat="false" ht="15" hidden="false" customHeight="false" outlineLevel="0" collapsed="false">
      <c r="A307" s="3" t="n">
        <v>306</v>
      </c>
      <c r="B307" s="3" t="n">
        <v>305</v>
      </c>
      <c r="C307" s="3" t="n">
        <v>6</v>
      </c>
      <c r="D307" s="3" t="n">
        <v>1</v>
      </c>
      <c r="E307" s="3" t="n">
        <v>4</v>
      </c>
      <c r="F307" s="24" t="n">
        <v>0</v>
      </c>
    </row>
    <row r="308" customFormat="false" ht="15" hidden="false" customHeight="false" outlineLevel="0" collapsed="false">
      <c r="A308" s="3" t="n">
        <v>307</v>
      </c>
      <c r="B308" s="3" t="n">
        <v>306</v>
      </c>
      <c r="C308" s="3" t="n">
        <v>6</v>
      </c>
      <c r="D308" s="3" t="n">
        <v>1</v>
      </c>
      <c r="E308" s="3" t="n">
        <v>5</v>
      </c>
      <c r="F308" s="24" t="n">
        <v>0</v>
      </c>
    </row>
    <row r="309" customFormat="false" ht="15" hidden="false" customHeight="false" outlineLevel="0" collapsed="false">
      <c r="A309" s="3" t="n">
        <v>308</v>
      </c>
      <c r="B309" s="3" t="n">
        <v>307</v>
      </c>
      <c r="C309" s="3" t="n">
        <v>6</v>
      </c>
      <c r="D309" s="3" t="n">
        <v>1</v>
      </c>
      <c r="E309" s="3" t="n">
        <v>6</v>
      </c>
      <c r="F309" s="24" t="n">
        <v>0</v>
      </c>
    </row>
    <row r="310" customFormat="false" ht="15" hidden="false" customHeight="false" outlineLevel="0" collapsed="false">
      <c r="A310" s="3" t="n">
        <v>309</v>
      </c>
      <c r="B310" s="3" t="n">
        <v>308</v>
      </c>
      <c r="C310" s="3" t="n">
        <v>6</v>
      </c>
      <c r="D310" s="3" t="n">
        <v>2</v>
      </c>
      <c r="E310" s="3" t="n">
        <v>0</v>
      </c>
      <c r="F310" s="24" t="n">
        <v>0</v>
      </c>
    </row>
    <row r="311" customFormat="false" ht="15" hidden="false" customHeight="false" outlineLevel="0" collapsed="false">
      <c r="A311" s="3" t="n">
        <v>310</v>
      </c>
      <c r="B311" s="3" t="n">
        <v>309</v>
      </c>
      <c r="C311" s="3" t="n">
        <v>6</v>
      </c>
      <c r="D311" s="3" t="n">
        <v>2</v>
      </c>
      <c r="E311" s="3" t="n">
        <v>1</v>
      </c>
      <c r="F311" s="24" t="n">
        <v>0</v>
      </c>
    </row>
    <row r="312" customFormat="false" ht="15" hidden="false" customHeight="false" outlineLevel="0" collapsed="false">
      <c r="A312" s="3" t="n">
        <v>311</v>
      </c>
      <c r="B312" s="3" t="n">
        <v>310</v>
      </c>
      <c r="C312" s="3" t="n">
        <v>6</v>
      </c>
      <c r="D312" s="3" t="n">
        <v>2</v>
      </c>
      <c r="E312" s="3" t="n">
        <v>2</v>
      </c>
      <c r="F312" s="24" t="n">
        <v>0</v>
      </c>
    </row>
    <row r="313" customFormat="false" ht="15" hidden="false" customHeight="false" outlineLevel="0" collapsed="false">
      <c r="A313" s="3" t="n">
        <v>312</v>
      </c>
      <c r="B313" s="3" t="n">
        <v>311</v>
      </c>
      <c r="C313" s="3" t="n">
        <v>6</v>
      </c>
      <c r="D313" s="3" t="n">
        <v>2</v>
      </c>
      <c r="E313" s="3" t="n">
        <v>3</v>
      </c>
      <c r="F313" s="24" t="n">
        <v>0</v>
      </c>
    </row>
    <row r="314" customFormat="false" ht="15" hidden="false" customHeight="false" outlineLevel="0" collapsed="false">
      <c r="A314" s="3" t="n">
        <v>313</v>
      </c>
      <c r="B314" s="3" t="n">
        <v>312</v>
      </c>
      <c r="C314" s="3" t="n">
        <v>6</v>
      </c>
      <c r="D314" s="3" t="n">
        <v>2</v>
      </c>
      <c r="E314" s="3" t="n">
        <v>4</v>
      </c>
      <c r="F314" s="24" t="n">
        <v>0</v>
      </c>
    </row>
    <row r="315" customFormat="false" ht="15" hidden="false" customHeight="false" outlineLevel="0" collapsed="false">
      <c r="A315" s="3" t="n">
        <v>314</v>
      </c>
      <c r="B315" s="3" t="n">
        <v>313</v>
      </c>
      <c r="C315" s="3" t="n">
        <v>6</v>
      </c>
      <c r="D315" s="3" t="n">
        <v>2</v>
      </c>
      <c r="E315" s="3" t="n">
        <v>5</v>
      </c>
      <c r="F315" s="24" t="n">
        <v>0</v>
      </c>
    </row>
    <row r="316" customFormat="false" ht="15" hidden="false" customHeight="false" outlineLevel="0" collapsed="false">
      <c r="A316" s="3" t="n">
        <v>315</v>
      </c>
      <c r="B316" s="3" t="n">
        <v>314</v>
      </c>
      <c r="C316" s="3" t="n">
        <v>6</v>
      </c>
      <c r="D316" s="3" t="n">
        <v>2</v>
      </c>
      <c r="E316" s="3" t="n">
        <v>6</v>
      </c>
      <c r="F316" s="24" t="n">
        <v>0.345252424</v>
      </c>
    </row>
    <row r="317" customFormat="false" ht="15" hidden="false" customHeight="false" outlineLevel="0" collapsed="false">
      <c r="A317" s="3" t="n">
        <v>316</v>
      </c>
      <c r="B317" s="3" t="n">
        <v>315</v>
      </c>
      <c r="C317" s="3" t="n">
        <v>6</v>
      </c>
      <c r="D317" s="3" t="n">
        <v>3</v>
      </c>
      <c r="E317" s="3" t="n">
        <v>0</v>
      </c>
      <c r="F317" s="24" t="n">
        <v>0</v>
      </c>
    </row>
    <row r="318" customFormat="false" ht="15" hidden="false" customHeight="false" outlineLevel="0" collapsed="false">
      <c r="A318" s="3" t="n">
        <v>317</v>
      </c>
      <c r="B318" s="3" t="n">
        <v>316</v>
      </c>
      <c r="C318" s="3" t="n">
        <v>6</v>
      </c>
      <c r="D318" s="3" t="n">
        <v>3</v>
      </c>
      <c r="E318" s="3" t="n">
        <v>1</v>
      </c>
      <c r="F318" s="24" t="n">
        <v>1.19669223</v>
      </c>
    </row>
    <row r="319" customFormat="false" ht="15" hidden="false" customHeight="false" outlineLevel="0" collapsed="false">
      <c r="A319" s="3" t="n">
        <v>318</v>
      </c>
      <c r="B319" s="3" t="n">
        <v>317</v>
      </c>
      <c r="C319" s="3" t="n">
        <v>6</v>
      </c>
      <c r="D319" s="3" t="n">
        <v>3</v>
      </c>
      <c r="E319" s="3" t="n">
        <v>2</v>
      </c>
      <c r="F319" s="24" t="n">
        <v>7.68568611</v>
      </c>
    </row>
    <row r="320" customFormat="false" ht="15" hidden="false" customHeight="false" outlineLevel="0" collapsed="false">
      <c r="A320" s="3" t="n">
        <v>319</v>
      </c>
      <c r="B320" s="3" t="n">
        <v>318</v>
      </c>
      <c r="C320" s="3" t="n">
        <v>6</v>
      </c>
      <c r="D320" s="3" t="n">
        <v>3</v>
      </c>
      <c r="E320" s="3" t="n">
        <v>3</v>
      </c>
      <c r="F320" s="24" t="n">
        <v>0.974498093</v>
      </c>
    </row>
    <row r="321" customFormat="false" ht="15" hidden="false" customHeight="false" outlineLevel="0" collapsed="false">
      <c r="A321" s="3" t="n">
        <v>320</v>
      </c>
      <c r="B321" s="3" t="n">
        <v>319</v>
      </c>
      <c r="C321" s="3" t="n">
        <v>6</v>
      </c>
      <c r="D321" s="3" t="n">
        <v>3</v>
      </c>
      <c r="E321" s="3" t="n">
        <v>4</v>
      </c>
      <c r="F321" s="24" t="n">
        <v>0</v>
      </c>
    </row>
    <row r="322" customFormat="false" ht="15" hidden="false" customHeight="false" outlineLevel="0" collapsed="false">
      <c r="A322" s="3" t="n">
        <v>321</v>
      </c>
      <c r="B322" s="3" t="n">
        <v>320</v>
      </c>
      <c r="C322" s="3" t="n">
        <v>6</v>
      </c>
      <c r="D322" s="3" t="n">
        <v>3</v>
      </c>
      <c r="E322" s="3" t="n">
        <v>5</v>
      </c>
      <c r="F322" s="24" t="n">
        <v>11.9689741</v>
      </c>
    </row>
    <row r="323" customFormat="false" ht="15" hidden="false" customHeight="false" outlineLevel="0" collapsed="false">
      <c r="A323" s="3" t="n">
        <v>322</v>
      </c>
      <c r="B323" s="3" t="n">
        <v>321</v>
      </c>
      <c r="C323" s="3" t="n">
        <v>6</v>
      </c>
      <c r="D323" s="3" t="n">
        <v>3</v>
      </c>
      <c r="E323" s="3" t="n">
        <v>6</v>
      </c>
      <c r="F323" s="24" t="n">
        <v>4.18918705</v>
      </c>
    </row>
    <row r="324" customFormat="false" ht="15" hidden="false" customHeight="false" outlineLevel="0" collapsed="false">
      <c r="A324" s="3" t="n">
        <v>323</v>
      </c>
      <c r="B324" s="3" t="n">
        <v>322</v>
      </c>
      <c r="C324" s="3" t="n">
        <v>6</v>
      </c>
      <c r="D324" s="3" t="n">
        <v>4</v>
      </c>
      <c r="E324" s="3" t="n">
        <v>0</v>
      </c>
      <c r="F324" s="24" t="n">
        <v>0</v>
      </c>
    </row>
    <row r="325" customFormat="false" ht="15" hidden="false" customHeight="false" outlineLevel="0" collapsed="false">
      <c r="A325" s="3" t="n">
        <v>324</v>
      </c>
      <c r="B325" s="3" t="n">
        <v>323</v>
      </c>
      <c r="C325" s="3" t="n">
        <v>6</v>
      </c>
      <c r="D325" s="3" t="n">
        <v>4</v>
      </c>
      <c r="E325" s="3" t="n">
        <v>1</v>
      </c>
      <c r="F325" s="24" t="n">
        <v>5.60577726</v>
      </c>
    </row>
    <row r="326" customFormat="false" ht="15" hidden="false" customHeight="false" outlineLevel="0" collapsed="false">
      <c r="A326" s="3" t="n">
        <v>325</v>
      </c>
      <c r="B326" s="3" t="n">
        <v>324</v>
      </c>
      <c r="C326" s="3" t="n">
        <v>6</v>
      </c>
      <c r="D326" s="3" t="n">
        <v>4</v>
      </c>
      <c r="E326" s="3" t="n">
        <v>2</v>
      </c>
      <c r="F326" s="24" t="n">
        <v>4.07167292</v>
      </c>
    </row>
    <row r="327" customFormat="false" ht="15" hidden="false" customHeight="false" outlineLevel="0" collapsed="false">
      <c r="A327" s="3" t="n">
        <v>326</v>
      </c>
      <c r="B327" s="3" t="n">
        <v>325</v>
      </c>
      <c r="C327" s="3" t="n">
        <v>6</v>
      </c>
      <c r="D327" s="3" t="n">
        <v>4</v>
      </c>
      <c r="E327" s="3" t="n">
        <v>3</v>
      </c>
      <c r="F327" s="24" t="n">
        <v>0</v>
      </c>
    </row>
    <row r="328" customFormat="false" ht="15" hidden="false" customHeight="false" outlineLevel="0" collapsed="false">
      <c r="A328" s="3" t="n">
        <v>327</v>
      </c>
      <c r="B328" s="3" t="n">
        <v>326</v>
      </c>
      <c r="C328" s="3" t="n">
        <v>6</v>
      </c>
      <c r="D328" s="3" t="n">
        <v>4</v>
      </c>
      <c r="E328" s="3" t="n">
        <v>4</v>
      </c>
      <c r="F328" s="24" t="n">
        <v>1.27209377</v>
      </c>
    </row>
    <row r="329" customFormat="false" ht="15" hidden="false" customHeight="false" outlineLevel="0" collapsed="false">
      <c r="A329" s="3" t="n">
        <v>328</v>
      </c>
      <c r="B329" s="3" t="n">
        <v>327</v>
      </c>
      <c r="C329" s="3" t="n">
        <v>6</v>
      </c>
      <c r="D329" s="3" t="n">
        <v>4</v>
      </c>
      <c r="E329" s="3" t="n">
        <v>5</v>
      </c>
      <c r="F329" s="24" t="n">
        <v>10.6412172</v>
      </c>
    </row>
    <row r="330" customFormat="false" ht="15" hidden="false" customHeight="false" outlineLevel="0" collapsed="false">
      <c r="A330" s="3" t="n">
        <v>329</v>
      </c>
      <c r="B330" s="3" t="n">
        <v>328</v>
      </c>
      <c r="C330" s="3" t="n">
        <v>6</v>
      </c>
      <c r="D330" s="3" t="n">
        <v>4</v>
      </c>
      <c r="E330" s="3" t="n">
        <v>6</v>
      </c>
      <c r="F330" s="24" t="n">
        <v>0.715916932</v>
      </c>
    </row>
    <row r="331" customFormat="false" ht="15" hidden="false" customHeight="false" outlineLevel="0" collapsed="false">
      <c r="A331" s="3" t="n">
        <v>330</v>
      </c>
      <c r="B331" s="3" t="n">
        <v>329</v>
      </c>
      <c r="C331" s="3" t="n">
        <v>6</v>
      </c>
      <c r="D331" s="3" t="n">
        <v>5</v>
      </c>
      <c r="E331" s="3" t="n">
        <v>0</v>
      </c>
      <c r="F331" s="24" t="n">
        <v>0</v>
      </c>
    </row>
    <row r="332" customFormat="false" ht="15" hidden="false" customHeight="false" outlineLevel="0" collapsed="false">
      <c r="A332" s="3" t="n">
        <v>331</v>
      </c>
      <c r="B332" s="3" t="n">
        <v>330</v>
      </c>
      <c r="C332" s="3" t="n">
        <v>6</v>
      </c>
      <c r="D332" s="3" t="n">
        <v>5</v>
      </c>
      <c r="E332" s="3" t="n">
        <v>1</v>
      </c>
      <c r="F332" s="24" t="n">
        <v>4.00009584</v>
      </c>
    </row>
    <row r="333" customFormat="false" ht="15" hidden="false" customHeight="false" outlineLevel="0" collapsed="false">
      <c r="A333" s="3" t="n">
        <v>332</v>
      </c>
      <c r="B333" s="3" t="n">
        <v>331</v>
      </c>
      <c r="C333" s="3" t="n">
        <v>6</v>
      </c>
      <c r="D333" s="3" t="n">
        <v>5</v>
      </c>
      <c r="E333" s="3" t="n">
        <v>2</v>
      </c>
      <c r="F333" s="24" t="n">
        <v>0</v>
      </c>
    </row>
    <row r="334" customFormat="false" ht="15" hidden="false" customHeight="false" outlineLevel="0" collapsed="false">
      <c r="A334" s="3" t="n">
        <v>333</v>
      </c>
      <c r="B334" s="3" t="n">
        <v>332</v>
      </c>
      <c r="C334" s="3" t="n">
        <v>6</v>
      </c>
      <c r="D334" s="3" t="n">
        <v>5</v>
      </c>
      <c r="E334" s="3" t="n">
        <v>3</v>
      </c>
      <c r="F334" s="24" t="n">
        <v>0</v>
      </c>
    </row>
    <row r="335" customFormat="false" ht="15" hidden="false" customHeight="false" outlineLevel="0" collapsed="false">
      <c r="A335" s="3" t="n">
        <v>334</v>
      </c>
      <c r="B335" s="3" t="n">
        <v>333</v>
      </c>
      <c r="C335" s="3" t="n">
        <v>6</v>
      </c>
      <c r="D335" s="3" t="n">
        <v>5</v>
      </c>
      <c r="E335" s="3" t="n">
        <v>4</v>
      </c>
      <c r="F335" s="24" t="n">
        <v>9.96341515</v>
      </c>
    </row>
    <row r="336" customFormat="false" ht="15" hidden="false" customHeight="false" outlineLevel="0" collapsed="false">
      <c r="A336" s="3" t="n">
        <v>335</v>
      </c>
      <c r="B336" s="3" t="n">
        <v>334</v>
      </c>
      <c r="C336" s="3" t="n">
        <v>6</v>
      </c>
      <c r="D336" s="3" t="n">
        <v>5</v>
      </c>
      <c r="E336" s="3" t="n">
        <v>5</v>
      </c>
      <c r="F336" s="24" t="n">
        <v>2.21459985</v>
      </c>
    </row>
    <row r="337" customFormat="false" ht="15" hidden="false" customHeight="false" outlineLevel="0" collapsed="false">
      <c r="A337" s="3" t="n">
        <v>336</v>
      </c>
      <c r="B337" s="3" t="n">
        <v>335</v>
      </c>
      <c r="C337" s="3" t="n">
        <v>6</v>
      </c>
      <c r="D337" s="3" t="n">
        <v>5</v>
      </c>
      <c r="E337" s="3" t="n">
        <v>6</v>
      </c>
      <c r="F337" s="24" t="n">
        <v>0</v>
      </c>
    </row>
    <row r="338" customFormat="false" ht="15" hidden="false" customHeight="false" outlineLevel="0" collapsed="false">
      <c r="A338" s="3" t="n">
        <v>337</v>
      </c>
      <c r="B338" s="3" t="n">
        <v>336</v>
      </c>
      <c r="C338" s="3" t="n">
        <v>6</v>
      </c>
      <c r="D338" s="3" t="n">
        <v>6</v>
      </c>
      <c r="E338" s="3" t="n">
        <v>0</v>
      </c>
      <c r="F338" s="24" t="n">
        <v>0.481684357</v>
      </c>
    </row>
    <row r="339" customFormat="false" ht="15" hidden="false" customHeight="false" outlineLevel="0" collapsed="false">
      <c r="A339" s="3" t="n">
        <v>338</v>
      </c>
      <c r="B339" s="3" t="n">
        <v>337</v>
      </c>
      <c r="C339" s="3" t="n">
        <v>6</v>
      </c>
      <c r="D339" s="3" t="n">
        <v>6</v>
      </c>
      <c r="E339" s="3" t="n">
        <v>1</v>
      </c>
      <c r="F339" s="24" t="n">
        <v>0</v>
      </c>
    </row>
    <row r="340" customFormat="false" ht="15" hidden="false" customHeight="false" outlineLevel="0" collapsed="false">
      <c r="A340" s="3" t="n">
        <v>339</v>
      </c>
      <c r="B340" s="3" t="n">
        <v>338</v>
      </c>
      <c r="C340" s="3" t="n">
        <v>6</v>
      </c>
      <c r="D340" s="3" t="n">
        <v>6</v>
      </c>
      <c r="E340" s="3" t="n">
        <v>2</v>
      </c>
      <c r="F340" s="24" t="n">
        <v>0</v>
      </c>
    </row>
    <row r="341" customFormat="false" ht="15" hidden="false" customHeight="false" outlineLevel="0" collapsed="false">
      <c r="A341" s="3" t="n">
        <v>340</v>
      </c>
      <c r="B341" s="3" t="n">
        <v>339</v>
      </c>
      <c r="C341" s="3" t="n">
        <v>6</v>
      </c>
      <c r="D341" s="3" t="n">
        <v>6</v>
      </c>
      <c r="E341" s="3" t="n">
        <v>3</v>
      </c>
      <c r="F341" s="24" t="n">
        <v>6.38539505</v>
      </c>
    </row>
    <row r="342" customFormat="false" ht="15" hidden="false" customHeight="false" outlineLevel="0" collapsed="false">
      <c r="A342" s="3" t="n">
        <v>341</v>
      </c>
      <c r="B342" s="3" t="n">
        <v>340</v>
      </c>
      <c r="C342" s="3" t="n">
        <v>6</v>
      </c>
      <c r="D342" s="3" t="n">
        <v>6</v>
      </c>
      <c r="E342" s="3" t="n">
        <v>4</v>
      </c>
      <c r="F342" s="24" t="n">
        <v>8.68063259</v>
      </c>
    </row>
    <row r="343" customFormat="false" ht="15" hidden="false" customHeight="false" outlineLevel="0" collapsed="false">
      <c r="A343" s="3" t="n">
        <v>342</v>
      </c>
      <c r="B343" s="3" t="n">
        <v>341</v>
      </c>
      <c r="C343" s="3" t="n">
        <v>6</v>
      </c>
      <c r="D343" s="3" t="n">
        <v>6</v>
      </c>
      <c r="E343" s="3" t="n">
        <v>5</v>
      </c>
      <c r="F343" s="24" t="n">
        <v>0</v>
      </c>
    </row>
    <row r="344" customFormat="false" ht="15" hidden="false" customHeight="false" outlineLevel="0" collapsed="false">
      <c r="A344" s="3" t="n">
        <v>343</v>
      </c>
      <c r="B344" s="3" t="n">
        <v>342</v>
      </c>
      <c r="C344" s="3" t="n">
        <v>6</v>
      </c>
      <c r="D344" s="3" t="n">
        <v>6</v>
      </c>
      <c r="E344" s="3" t="n">
        <v>6</v>
      </c>
      <c r="F344" s="24" t="n">
        <v>0.380069345</v>
      </c>
    </row>
    <row r="345" customFormat="false" ht="15" hidden="false" customHeight="false" outlineLevel="0" collapsed="false">
      <c r="A345" s="3" t="n">
        <v>344</v>
      </c>
      <c r="B345" s="3" t="n">
        <v>343</v>
      </c>
      <c r="C345" s="3" t="n">
        <v>7</v>
      </c>
      <c r="D345" s="3" t="n">
        <v>0</v>
      </c>
      <c r="E345" s="3" t="n">
        <v>0</v>
      </c>
      <c r="F345" s="24" t="n">
        <v>0</v>
      </c>
    </row>
    <row r="346" customFormat="false" ht="15" hidden="false" customHeight="false" outlineLevel="0" collapsed="false">
      <c r="A346" s="3" t="n">
        <v>345</v>
      </c>
      <c r="B346" s="3" t="n">
        <v>344</v>
      </c>
      <c r="C346" s="3" t="n">
        <v>7</v>
      </c>
      <c r="D346" s="3" t="n">
        <v>0</v>
      </c>
      <c r="E346" s="3" t="n">
        <v>1</v>
      </c>
      <c r="F346" s="24" t="n">
        <v>0</v>
      </c>
    </row>
    <row r="347" customFormat="false" ht="15" hidden="false" customHeight="false" outlineLevel="0" collapsed="false">
      <c r="A347" s="3" t="n">
        <v>346</v>
      </c>
      <c r="B347" s="3" t="n">
        <v>345</v>
      </c>
      <c r="C347" s="3" t="n">
        <v>7</v>
      </c>
      <c r="D347" s="3" t="n">
        <v>0</v>
      </c>
      <c r="E347" s="3" t="n">
        <v>2</v>
      </c>
      <c r="F347" s="24" t="n">
        <v>0</v>
      </c>
    </row>
    <row r="348" customFormat="false" ht="15" hidden="false" customHeight="false" outlineLevel="0" collapsed="false">
      <c r="A348" s="3" t="n">
        <v>347</v>
      </c>
      <c r="B348" s="3" t="n">
        <v>346</v>
      </c>
      <c r="C348" s="3" t="n">
        <v>7</v>
      </c>
      <c r="D348" s="3" t="n">
        <v>0</v>
      </c>
      <c r="E348" s="3" t="n">
        <v>3</v>
      </c>
      <c r="F348" s="24" t="n">
        <v>0</v>
      </c>
    </row>
    <row r="349" customFormat="false" ht="15" hidden="false" customHeight="false" outlineLevel="0" collapsed="false">
      <c r="A349" s="3" t="n">
        <v>348</v>
      </c>
      <c r="B349" s="3" t="n">
        <v>347</v>
      </c>
      <c r="C349" s="3" t="n">
        <v>7</v>
      </c>
      <c r="D349" s="3" t="n">
        <v>0</v>
      </c>
      <c r="E349" s="3" t="n">
        <v>4</v>
      </c>
      <c r="F349" s="24" t="n">
        <v>0</v>
      </c>
    </row>
    <row r="350" customFormat="false" ht="15" hidden="false" customHeight="false" outlineLevel="0" collapsed="false">
      <c r="A350" s="3" t="n">
        <v>349</v>
      </c>
      <c r="B350" s="3" t="n">
        <v>348</v>
      </c>
      <c r="C350" s="3" t="n">
        <v>7</v>
      </c>
      <c r="D350" s="3" t="n">
        <v>0</v>
      </c>
      <c r="E350" s="3" t="n">
        <v>5</v>
      </c>
      <c r="F350" s="24" t="n">
        <v>0</v>
      </c>
    </row>
    <row r="351" customFormat="false" ht="15" hidden="false" customHeight="false" outlineLevel="0" collapsed="false">
      <c r="A351" s="3" t="n">
        <v>350</v>
      </c>
      <c r="B351" s="3" t="n">
        <v>349</v>
      </c>
      <c r="C351" s="3" t="n">
        <v>7</v>
      </c>
      <c r="D351" s="3" t="n">
        <v>0</v>
      </c>
      <c r="E351" s="3" t="n">
        <v>6</v>
      </c>
      <c r="F351" s="24" t="n">
        <v>0</v>
      </c>
    </row>
    <row r="352" customFormat="false" ht="15" hidden="false" customHeight="false" outlineLevel="0" collapsed="false">
      <c r="A352" s="3" t="n">
        <v>351</v>
      </c>
      <c r="B352" s="3" t="n">
        <v>350</v>
      </c>
      <c r="C352" s="3" t="n">
        <v>7</v>
      </c>
      <c r="D352" s="3" t="n">
        <v>1</v>
      </c>
      <c r="E352" s="3" t="n">
        <v>0</v>
      </c>
      <c r="F352" s="24" t="n">
        <v>0</v>
      </c>
    </row>
    <row r="353" customFormat="false" ht="15" hidden="false" customHeight="false" outlineLevel="0" collapsed="false">
      <c r="A353" s="3" t="n">
        <v>352</v>
      </c>
      <c r="B353" s="3" t="n">
        <v>351</v>
      </c>
      <c r="C353" s="3" t="n">
        <v>7</v>
      </c>
      <c r="D353" s="3" t="n">
        <v>1</v>
      </c>
      <c r="E353" s="3" t="n">
        <v>1</v>
      </c>
      <c r="F353" s="24" t="n">
        <v>0</v>
      </c>
    </row>
    <row r="354" customFormat="false" ht="15" hidden="false" customHeight="false" outlineLevel="0" collapsed="false">
      <c r="A354" s="3" t="n">
        <v>353</v>
      </c>
      <c r="B354" s="3" t="n">
        <v>352</v>
      </c>
      <c r="C354" s="3" t="n">
        <v>7</v>
      </c>
      <c r="D354" s="3" t="n">
        <v>1</v>
      </c>
      <c r="E354" s="3" t="n">
        <v>2</v>
      </c>
      <c r="F354" s="24" t="n">
        <v>0</v>
      </c>
    </row>
    <row r="355" customFormat="false" ht="15" hidden="false" customHeight="false" outlineLevel="0" collapsed="false">
      <c r="A355" s="3" t="n">
        <v>354</v>
      </c>
      <c r="B355" s="3" t="n">
        <v>353</v>
      </c>
      <c r="C355" s="3" t="n">
        <v>7</v>
      </c>
      <c r="D355" s="3" t="n">
        <v>1</v>
      </c>
      <c r="E355" s="3" t="n">
        <v>3</v>
      </c>
      <c r="F355" s="24" t="n">
        <v>0</v>
      </c>
    </row>
    <row r="356" customFormat="false" ht="15" hidden="false" customHeight="false" outlineLevel="0" collapsed="false">
      <c r="A356" s="3" t="n">
        <v>355</v>
      </c>
      <c r="B356" s="3" t="n">
        <v>354</v>
      </c>
      <c r="C356" s="3" t="n">
        <v>7</v>
      </c>
      <c r="D356" s="3" t="n">
        <v>1</v>
      </c>
      <c r="E356" s="3" t="n">
        <v>4</v>
      </c>
      <c r="F356" s="24" t="n">
        <v>0</v>
      </c>
    </row>
    <row r="357" customFormat="false" ht="15" hidden="false" customHeight="false" outlineLevel="0" collapsed="false">
      <c r="A357" s="3" t="n">
        <v>356</v>
      </c>
      <c r="B357" s="3" t="n">
        <v>355</v>
      </c>
      <c r="C357" s="3" t="n">
        <v>7</v>
      </c>
      <c r="D357" s="3" t="n">
        <v>1</v>
      </c>
      <c r="E357" s="3" t="n">
        <v>5</v>
      </c>
      <c r="F357" s="24" t="n">
        <v>0</v>
      </c>
    </row>
    <row r="358" customFormat="false" ht="15" hidden="false" customHeight="false" outlineLevel="0" collapsed="false">
      <c r="A358" s="3" t="n">
        <v>357</v>
      </c>
      <c r="B358" s="3" t="n">
        <v>356</v>
      </c>
      <c r="C358" s="3" t="n">
        <v>7</v>
      </c>
      <c r="D358" s="3" t="n">
        <v>1</v>
      </c>
      <c r="E358" s="3" t="n">
        <v>6</v>
      </c>
      <c r="F358" s="24" t="n">
        <v>0</v>
      </c>
    </row>
    <row r="359" customFormat="false" ht="15" hidden="false" customHeight="false" outlineLevel="0" collapsed="false">
      <c r="A359" s="3" t="n">
        <v>358</v>
      </c>
      <c r="B359" s="3" t="n">
        <v>357</v>
      </c>
      <c r="C359" s="3" t="n">
        <v>7</v>
      </c>
      <c r="D359" s="3" t="n">
        <v>2</v>
      </c>
      <c r="E359" s="3" t="n">
        <v>0</v>
      </c>
      <c r="F359" s="24" t="n">
        <v>0</v>
      </c>
    </row>
    <row r="360" customFormat="false" ht="15" hidden="false" customHeight="false" outlineLevel="0" collapsed="false">
      <c r="A360" s="3" t="n">
        <v>359</v>
      </c>
      <c r="B360" s="3" t="n">
        <v>358</v>
      </c>
      <c r="C360" s="3" t="n">
        <v>7</v>
      </c>
      <c r="D360" s="3" t="n">
        <v>2</v>
      </c>
      <c r="E360" s="3" t="n">
        <v>1</v>
      </c>
      <c r="F360" s="24" t="n">
        <v>0</v>
      </c>
    </row>
    <row r="361" customFormat="false" ht="15" hidden="false" customHeight="false" outlineLevel="0" collapsed="false">
      <c r="A361" s="3" t="n">
        <v>360</v>
      </c>
      <c r="B361" s="3" t="n">
        <v>359</v>
      </c>
      <c r="C361" s="3" t="n">
        <v>7</v>
      </c>
      <c r="D361" s="3" t="n">
        <v>2</v>
      </c>
      <c r="E361" s="3" t="n">
        <v>2</v>
      </c>
      <c r="F361" s="24" t="n">
        <v>0</v>
      </c>
    </row>
    <row r="362" customFormat="false" ht="15" hidden="false" customHeight="false" outlineLevel="0" collapsed="false">
      <c r="A362" s="3" t="n">
        <v>361</v>
      </c>
      <c r="B362" s="3" t="n">
        <v>360</v>
      </c>
      <c r="C362" s="3" t="n">
        <v>7</v>
      </c>
      <c r="D362" s="3" t="n">
        <v>2</v>
      </c>
      <c r="E362" s="3" t="n">
        <v>3</v>
      </c>
      <c r="F362" s="24" t="n">
        <v>0</v>
      </c>
    </row>
    <row r="363" customFormat="false" ht="15" hidden="false" customHeight="false" outlineLevel="0" collapsed="false">
      <c r="A363" s="3" t="n">
        <v>362</v>
      </c>
      <c r="B363" s="3" t="n">
        <v>361</v>
      </c>
      <c r="C363" s="3" t="n">
        <v>7</v>
      </c>
      <c r="D363" s="3" t="n">
        <v>2</v>
      </c>
      <c r="E363" s="3" t="n">
        <v>4</v>
      </c>
      <c r="F363" s="24" t="n">
        <v>0</v>
      </c>
    </row>
    <row r="364" customFormat="false" ht="15" hidden="false" customHeight="false" outlineLevel="0" collapsed="false">
      <c r="A364" s="3" t="n">
        <v>363</v>
      </c>
      <c r="B364" s="3" t="n">
        <v>362</v>
      </c>
      <c r="C364" s="3" t="n">
        <v>7</v>
      </c>
      <c r="D364" s="3" t="n">
        <v>2</v>
      </c>
      <c r="E364" s="3" t="n">
        <v>5</v>
      </c>
      <c r="F364" s="24" t="n">
        <v>0</v>
      </c>
    </row>
    <row r="365" customFormat="false" ht="15" hidden="false" customHeight="false" outlineLevel="0" collapsed="false">
      <c r="A365" s="3" t="n">
        <v>364</v>
      </c>
      <c r="B365" s="3" t="n">
        <v>363</v>
      </c>
      <c r="C365" s="3" t="n">
        <v>7</v>
      </c>
      <c r="D365" s="3" t="n">
        <v>2</v>
      </c>
      <c r="E365" s="3" t="n">
        <v>6</v>
      </c>
      <c r="F365" s="24" t="n">
        <v>0</v>
      </c>
    </row>
    <row r="366" customFormat="false" ht="15" hidden="false" customHeight="false" outlineLevel="0" collapsed="false">
      <c r="A366" s="3" t="n">
        <v>365</v>
      </c>
      <c r="B366" s="3" t="n">
        <v>364</v>
      </c>
      <c r="C366" s="3" t="n">
        <v>7</v>
      </c>
      <c r="D366" s="3" t="n">
        <v>3</v>
      </c>
      <c r="E366" s="3" t="n">
        <v>0</v>
      </c>
      <c r="F366" s="24" t="n">
        <v>0</v>
      </c>
    </row>
    <row r="367" customFormat="false" ht="15" hidden="false" customHeight="false" outlineLevel="0" collapsed="false">
      <c r="A367" s="3" t="n">
        <v>366</v>
      </c>
      <c r="B367" s="3" t="n">
        <v>365</v>
      </c>
      <c r="C367" s="3" t="n">
        <v>7</v>
      </c>
      <c r="D367" s="3" t="n">
        <v>3</v>
      </c>
      <c r="E367" s="3" t="n">
        <v>1</v>
      </c>
      <c r="F367" s="24" t="n">
        <v>0</v>
      </c>
    </row>
    <row r="368" customFormat="false" ht="15" hidden="false" customHeight="false" outlineLevel="0" collapsed="false">
      <c r="A368" s="3" t="n">
        <v>367</v>
      </c>
      <c r="B368" s="3" t="n">
        <v>366</v>
      </c>
      <c r="C368" s="3" t="n">
        <v>7</v>
      </c>
      <c r="D368" s="3" t="n">
        <v>3</v>
      </c>
      <c r="E368" s="3" t="n">
        <v>2</v>
      </c>
      <c r="F368" s="24" t="n">
        <v>0</v>
      </c>
    </row>
    <row r="369" customFormat="false" ht="15" hidden="false" customHeight="false" outlineLevel="0" collapsed="false">
      <c r="A369" s="3" t="n">
        <v>368</v>
      </c>
      <c r="B369" s="3" t="n">
        <v>367</v>
      </c>
      <c r="C369" s="3" t="n">
        <v>7</v>
      </c>
      <c r="D369" s="3" t="n">
        <v>3</v>
      </c>
      <c r="E369" s="3" t="n">
        <v>3</v>
      </c>
      <c r="F369" s="24" t="n">
        <v>0</v>
      </c>
    </row>
    <row r="370" customFormat="false" ht="15" hidden="false" customHeight="false" outlineLevel="0" collapsed="false">
      <c r="A370" s="3" t="n">
        <v>369</v>
      </c>
      <c r="B370" s="3" t="n">
        <v>368</v>
      </c>
      <c r="C370" s="3" t="n">
        <v>7</v>
      </c>
      <c r="D370" s="3" t="n">
        <v>3</v>
      </c>
      <c r="E370" s="3" t="n">
        <v>4</v>
      </c>
      <c r="F370" s="24" t="n">
        <v>0</v>
      </c>
    </row>
    <row r="371" customFormat="false" ht="15" hidden="false" customHeight="false" outlineLevel="0" collapsed="false">
      <c r="A371" s="3" t="n">
        <v>370</v>
      </c>
      <c r="B371" s="3" t="n">
        <v>369</v>
      </c>
      <c r="C371" s="3" t="n">
        <v>7</v>
      </c>
      <c r="D371" s="3" t="n">
        <v>3</v>
      </c>
      <c r="E371" s="3" t="n">
        <v>5</v>
      </c>
      <c r="F371" s="24" t="n">
        <v>0</v>
      </c>
    </row>
    <row r="372" customFormat="false" ht="15" hidden="false" customHeight="false" outlineLevel="0" collapsed="false">
      <c r="A372" s="3" t="n">
        <v>371</v>
      </c>
      <c r="B372" s="3" t="n">
        <v>370</v>
      </c>
      <c r="C372" s="3" t="n">
        <v>7</v>
      </c>
      <c r="D372" s="3" t="n">
        <v>3</v>
      </c>
      <c r="E372" s="3" t="n">
        <v>6</v>
      </c>
      <c r="F372" s="24" t="n">
        <v>0</v>
      </c>
    </row>
    <row r="373" customFormat="false" ht="15" hidden="false" customHeight="false" outlineLevel="0" collapsed="false">
      <c r="A373" s="3" t="n">
        <v>372</v>
      </c>
      <c r="B373" s="3" t="n">
        <v>371</v>
      </c>
      <c r="C373" s="3" t="n">
        <v>7</v>
      </c>
      <c r="D373" s="3" t="n">
        <v>4</v>
      </c>
      <c r="E373" s="3" t="n">
        <v>0</v>
      </c>
      <c r="F373" s="24" t="n">
        <v>0</v>
      </c>
    </row>
    <row r="374" customFormat="false" ht="15" hidden="false" customHeight="false" outlineLevel="0" collapsed="false">
      <c r="A374" s="3" t="n">
        <v>373</v>
      </c>
      <c r="B374" s="3" t="n">
        <v>372</v>
      </c>
      <c r="C374" s="3" t="n">
        <v>7</v>
      </c>
      <c r="D374" s="3" t="n">
        <v>4</v>
      </c>
      <c r="E374" s="3" t="n">
        <v>1</v>
      </c>
      <c r="F374" s="24" t="n">
        <v>0</v>
      </c>
    </row>
    <row r="375" customFormat="false" ht="15" hidden="false" customHeight="false" outlineLevel="0" collapsed="false">
      <c r="A375" s="3" t="n">
        <v>374</v>
      </c>
      <c r="B375" s="3" t="n">
        <v>373</v>
      </c>
      <c r="C375" s="3" t="n">
        <v>7</v>
      </c>
      <c r="D375" s="3" t="n">
        <v>4</v>
      </c>
      <c r="E375" s="3" t="n">
        <v>2</v>
      </c>
      <c r="F375" s="24" t="n">
        <v>0</v>
      </c>
    </row>
    <row r="376" customFormat="false" ht="15" hidden="false" customHeight="false" outlineLevel="0" collapsed="false">
      <c r="A376" s="3" t="n">
        <v>375</v>
      </c>
      <c r="B376" s="3" t="n">
        <v>374</v>
      </c>
      <c r="C376" s="3" t="n">
        <v>7</v>
      </c>
      <c r="D376" s="3" t="n">
        <v>4</v>
      </c>
      <c r="E376" s="3" t="n">
        <v>3</v>
      </c>
      <c r="F376" s="24" t="n">
        <v>0</v>
      </c>
    </row>
    <row r="377" customFormat="false" ht="15" hidden="false" customHeight="false" outlineLevel="0" collapsed="false">
      <c r="A377" s="3" t="n">
        <v>376</v>
      </c>
      <c r="B377" s="3" t="n">
        <v>375</v>
      </c>
      <c r="C377" s="3" t="n">
        <v>7</v>
      </c>
      <c r="D377" s="3" t="n">
        <v>4</v>
      </c>
      <c r="E377" s="3" t="n">
        <v>4</v>
      </c>
      <c r="F377" s="24" t="n">
        <v>0</v>
      </c>
    </row>
    <row r="378" customFormat="false" ht="15" hidden="false" customHeight="false" outlineLevel="0" collapsed="false">
      <c r="A378" s="3" t="n">
        <v>377</v>
      </c>
      <c r="B378" s="3" t="n">
        <v>376</v>
      </c>
      <c r="C378" s="3" t="n">
        <v>7</v>
      </c>
      <c r="D378" s="3" t="n">
        <v>4</v>
      </c>
      <c r="E378" s="3" t="n">
        <v>5</v>
      </c>
      <c r="F378" s="24" t="n">
        <v>0</v>
      </c>
    </row>
    <row r="379" customFormat="false" ht="15" hidden="false" customHeight="false" outlineLevel="0" collapsed="false">
      <c r="A379" s="3" t="n">
        <v>378</v>
      </c>
      <c r="B379" s="3" t="n">
        <v>377</v>
      </c>
      <c r="C379" s="3" t="n">
        <v>7</v>
      </c>
      <c r="D379" s="3" t="n">
        <v>4</v>
      </c>
      <c r="E379" s="3" t="n">
        <v>6</v>
      </c>
      <c r="F379" s="24" t="n">
        <v>0</v>
      </c>
    </row>
    <row r="380" customFormat="false" ht="15" hidden="false" customHeight="false" outlineLevel="0" collapsed="false">
      <c r="A380" s="3" t="n">
        <v>379</v>
      </c>
      <c r="B380" s="3" t="n">
        <v>378</v>
      </c>
      <c r="C380" s="3" t="n">
        <v>7</v>
      </c>
      <c r="D380" s="3" t="n">
        <v>5</v>
      </c>
      <c r="E380" s="3" t="n">
        <v>0</v>
      </c>
      <c r="F380" s="24" t="n">
        <v>0</v>
      </c>
    </row>
    <row r="381" customFormat="false" ht="15" hidden="false" customHeight="false" outlineLevel="0" collapsed="false">
      <c r="A381" s="3" t="n">
        <v>380</v>
      </c>
      <c r="B381" s="3" t="n">
        <v>379</v>
      </c>
      <c r="C381" s="3" t="n">
        <v>7</v>
      </c>
      <c r="D381" s="3" t="n">
        <v>5</v>
      </c>
      <c r="E381" s="3" t="n">
        <v>1</v>
      </c>
      <c r="F381" s="24" t="n">
        <v>0</v>
      </c>
    </row>
    <row r="382" customFormat="false" ht="15" hidden="false" customHeight="false" outlineLevel="0" collapsed="false">
      <c r="A382" s="3" t="n">
        <v>381</v>
      </c>
      <c r="B382" s="3" t="n">
        <v>380</v>
      </c>
      <c r="C382" s="3" t="n">
        <v>7</v>
      </c>
      <c r="D382" s="3" t="n">
        <v>5</v>
      </c>
      <c r="E382" s="3" t="n">
        <v>2</v>
      </c>
      <c r="F382" s="24" t="n">
        <v>0</v>
      </c>
    </row>
    <row r="383" customFormat="false" ht="15" hidden="false" customHeight="false" outlineLevel="0" collapsed="false">
      <c r="A383" s="3" t="n">
        <v>382</v>
      </c>
      <c r="B383" s="3" t="n">
        <v>381</v>
      </c>
      <c r="C383" s="3" t="n">
        <v>7</v>
      </c>
      <c r="D383" s="3" t="n">
        <v>5</v>
      </c>
      <c r="E383" s="3" t="n">
        <v>3</v>
      </c>
      <c r="F383" s="24" t="n">
        <v>0</v>
      </c>
    </row>
    <row r="384" customFormat="false" ht="15" hidden="false" customHeight="false" outlineLevel="0" collapsed="false">
      <c r="A384" s="3" t="n">
        <v>383</v>
      </c>
      <c r="B384" s="3" t="n">
        <v>382</v>
      </c>
      <c r="C384" s="3" t="n">
        <v>7</v>
      </c>
      <c r="D384" s="3" t="n">
        <v>5</v>
      </c>
      <c r="E384" s="3" t="n">
        <v>4</v>
      </c>
      <c r="F384" s="24" t="n">
        <v>0</v>
      </c>
    </row>
    <row r="385" customFormat="false" ht="15" hidden="false" customHeight="false" outlineLevel="0" collapsed="false">
      <c r="A385" s="3" t="n">
        <v>384</v>
      </c>
      <c r="B385" s="3" t="n">
        <v>383</v>
      </c>
      <c r="C385" s="3" t="n">
        <v>7</v>
      </c>
      <c r="D385" s="3" t="n">
        <v>5</v>
      </c>
      <c r="E385" s="3" t="n">
        <v>5</v>
      </c>
      <c r="F385" s="24" t="n">
        <v>0</v>
      </c>
    </row>
    <row r="386" customFormat="false" ht="15" hidden="false" customHeight="false" outlineLevel="0" collapsed="false">
      <c r="A386" s="3" t="n">
        <v>385</v>
      </c>
      <c r="B386" s="3" t="n">
        <v>384</v>
      </c>
      <c r="C386" s="3" t="n">
        <v>7</v>
      </c>
      <c r="D386" s="3" t="n">
        <v>5</v>
      </c>
      <c r="E386" s="3" t="n">
        <v>6</v>
      </c>
      <c r="F386" s="24" t="n">
        <v>0</v>
      </c>
    </row>
    <row r="387" customFormat="false" ht="15" hidden="false" customHeight="false" outlineLevel="0" collapsed="false">
      <c r="A387" s="3" t="n">
        <v>386</v>
      </c>
      <c r="B387" s="3" t="n">
        <v>385</v>
      </c>
      <c r="C387" s="3" t="n">
        <v>7</v>
      </c>
      <c r="D387" s="3" t="n">
        <v>6</v>
      </c>
      <c r="E387" s="3" t="n">
        <v>0</v>
      </c>
      <c r="F387" s="24" t="n">
        <v>0</v>
      </c>
    </row>
    <row r="388" customFormat="false" ht="15" hidden="false" customHeight="false" outlineLevel="0" collapsed="false">
      <c r="A388" s="3" t="n">
        <v>387</v>
      </c>
      <c r="B388" s="3" t="n">
        <v>386</v>
      </c>
      <c r="C388" s="3" t="n">
        <v>7</v>
      </c>
      <c r="D388" s="3" t="n">
        <v>6</v>
      </c>
      <c r="E388" s="3" t="n">
        <v>1</v>
      </c>
      <c r="F388" s="24" t="n">
        <v>0</v>
      </c>
    </row>
    <row r="389" customFormat="false" ht="15" hidden="false" customHeight="false" outlineLevel="0" collapsed="false">
      <c r="A389" s="3" t="n">
        <v>388</v>
      </c>
      <c r="B389" s="3" t="n">
        <v>387</v>
      </c>
      <c r="C389" s="3" t="n">
        <v>7</v>
      </c>
      <c r="D389" s="3" t="n">
        <v>6</v>
      </c>
      <c r="E389" s="3" t="n">
        <v>2</v>
      </c>
      <c r="F389" s="24" t="n">
        <v>0</v>
      </c>
    </row>
    <row r="390" customFormat="false" ht="15" hidden="false" customHeight="false" outlineLevel="0" collapsed="false">
      <c r="A390" s="3" t="n">
        <v>389</v>
      </c>
      <c r="B390" s="3" t="n">
        <v>388</v>
      </c>
      <c r="C390" s="3" t="n">
        <v>7</v>
      </c>
      <c r="D390" s="3" t="n">
        <v>6</v>
      </c>
      <c r="E390" s="3" t="n">
        <v>3</v>
      </c>
      <c r="F390" s="24" t="n">
        <v>0</v>
      </c>
    </row>
    <row r="391" customFormat="false" ht="15" hidden="false" customHeight="false" outlineLevel="0" collapsed="false">
      <c r="A391" s="3" t="n">
        <v>390</v>
      </c>
      <c r="B391" s="3" t="n">
        <v>389</v>
      </c>
      <c r="C391" s="3" t="n">
        <v>7</v>
      </c>
      <c r="D391" s="3" t="n">
        <v>6</v>
      </c>
      <c r="E391" s="3" t="n">
        <v>4</v>
      </c>
      <c r="F391" s="24" t="n">
        <v>0</v>
      </c>
    </row>
    <row r="392" customFormat="false" ht="15" hidden="false" customHeight="false" outlineLevel="0" collapsed="false">
      <c r="A392" s="3" t="n">
        <v>391</v>
      </c>
      <c r="B392" s="3" t="n">
        <v>390</v>
      </c>
      <c r="C392" s="3" t="n">
        <v>7</v>
      </c>
      <c r="D392" s="3" t="n">
        <v>6</v>
      </c>
      <c r="E392" s="3" t="n">
        <v>5</v>
      </c>
      <c r="F392" s="24" t="n">
        <v>0</v>
      </c>
    </row>
    <row r="393" customFormat="false" ht="15" hidden="false" customHeight="false" outlineLevel="0" collapsed="false">
      <c r="A393" s="3" t="n">
        <v>392</v>
      </c>
      <c r="B393" s="3" t="n">
        <v>391</v>
      </c>
      <c r="C393" s="3" t="n">
        <v>7</v>
      </c>
      <c r="D393" s="3" t="n">
        <v>6</v>
      </c>
      <c r="E393" s="3" t="n">
        <v>6</v>
      </c>
      <c r="F393" s="24" t="n">
        <v>0</v>
      </c>
    </row>
    <row r="394" customFormat="false" ht="15" hidden="false" customHeight="false" outlineLevel="0" collapsed="false">
      <c r="A394" s="3" t="n">
        <v>393</v>
      </c>
      <c r="B394" s="3" t="n">
        <v>392</v>
      </c>
      <c r="C394" s="3" t="n">
        <v>8</v>
      </c>
      <c r="D394" s="3" t="n">
        <v>0</v>
      </c>
      <c r="E394" s="3" t="n">
        <v>0</v>
      </c>
      <c r="F394" s="24" t="n">
        <v>3.27199244</v>
      </c>
    </row>
    <row r="395" customFormat="false" ht="15" hidden="false" customHeight="false" outlineLevel="0" collapsed="false">
      <c r="A395" s="3" t="n">
        <v>394</v>
      </c>
      <c r="B395" s="3" t="n">
        <v>393</v>
      </c>
      <c r="C395" s="3" t="n">
        <v>8</v>
      </c>
      <c r="D395" s="3" t="n">
        <v>0</v>
      </c>
      <c r="E395" s="3" t="n">
        <v>1</v>
      </c>
      <c r="F395" s="24" t="n">
        <v>5.66075039</v>
      </c>
    </row>
    <row r="396" customFormat="false" ht="15" hidden="false" customHeight="false" outlineLevel="0" collapsed="false">
      <c r="A396" s="3" t="n">
        <v>395</v>
      </c>
      <c r="B396" s="3" t="n">
        <v>394</v>
      </c>
      <c r="C396" s="3" t="n">
        <v>8</v>
      </c>
      <c r="D396" s="3" t="n">
        <v>0</v>
      </c>
      <c r="E396" s="3" t="n">
        <v>2</v>
      </c>
      <c r="F396" s="24" t="n">
        <v>4.04872036</v>
      </c>
    </row>
    <row r="397" customFormat="false" ht="15" hidden="false" customHeight="false" outlineLevel="0" collapsed="false">
      <c r="A397" s="3" t="n">
        <v>396</v>
      </c>
      <c r="B397" s="3" t="n">
        <v>395</v>
      </c>
      <c r="C397" s="3" t="n">
        <v>8</v>
      </c>
      <c r="D397" s="3" t="n">
        <v>0</v>
      </c>
      <c r="E397" s="3" t="n">
        <v>3</v>
      </c>
      <c r="F397" s="24" t="n">
        <v>2.7596786</v>
      </c>
    </row>
    <row r="398" customFormat="false" ht="15" hidden="false" customHeight="false" outlineLevel="0" collapsed="false">
      <c r="A398" s="3" t="n">
        <v>397</v>
      </c>
      <c r="B398" s="3" t="n">
        <v>396</v>
      </c>
      <c r="C398" s="3" t="n">
        <v>8</v>
      </c>
      <c r="D398" s="3" t="n">
        <v>0</v>
      </c>
      <c r="E398" s="3" t="n">
        <v>4</v>
      </c>
      <c r="F398" s="24" t="n">
        <v>0.830583453</v>
      </c>
    </row>
    <row r="399" customFormat="false" ht="15" hidden="false" customHeight="false" outlineLevel="0" collapsed="false">
      <c r="A399" s="3" t="n">
        <v>398</v>
      </c>
      <c r="B399" s="3" t="n">
        <v>397</v>
      </c>
      <c r="C399" s="3" t="n">
        <v>8</v>
      </c>
      <c r="D399" s="3" t="n">
        <v>0</v>
      </c>
      <c r="E399" s="3" t="n">
        <v>5</v>
      </c>
      <c r="F399" s="24" t="n">
        <v>0</v>
      </c>
    </row>
    <row r="400" customFormat="false" ht="15" hidden="false" customHeight="false" outlineLevel="0" collapsed="false">
      <c r="A400" s="3" t="n">
        <v>399</v>
      </c>
      <c r="B400" s="3" t="n">
        <v>398</v>
      </c>
      <c r="C400" s="3" t="n">
        <v>8</v>
      </c>
      <c r="D400" s="3" t="n">
        <v>0</v>
      </c>
      <c r="E400" s="3" t="n">
        <v>6</v>
      </c>
      <c r="F400" s="24" t="n">
        <v>0</v>
      </c>
    </row>
    <row r="401" customFormat="false" ht="15" hidden="false" customHeight="false" outlineLevel="0" collapsed="false">
      <c r="A401" s="3" t="n">
        <v>400</v>
      </c>
      <c r="B401" s="3" t="n">
        <v>399</v>
      </c>
      <c r="C401" s="3" t="n">
        <v>8</v>
      </c>
      <c r="D401" s="3" t="n">
        <v>1</v>
      </c>
      <c r="E401" s="3" t="n">
        <v>0</v>
      </c>
      <c r="F401" s="24" t="n">
        <v>1.04986179</v>
      </c>
    </row>
    <row r="402" customFormat="false" ht="15" hidden="false" customHeight="false" outlineLevel="0" collapsed="false">
      <c r="A402" s="3" t="n">
        <v>401</v>
      </c>
      <c r="B402" s="3" t="n">
        <v>400</v>
      </c>
      <c r="C402" s="3" t="n">
        <v>8</v>
      </c>
      <c r="D402" s="3" t="n">
        <v>1</v>
      </c>
      <c r="E402" s="3" t="n">
        <v>1</v>
      </c>
      <c r="F402" s="24" t="n">
        <v>9.28545761</v>
      </c>
    </row>
    <row r="403" customFormat="false" ht="15" hidden="false" customHeight="false" outlineLevel="0" collapsed="false">
      <c r="A403" s="3" t="n">
        <v>402</v>
      </c>
      <c r="B403" s="3" t="n">
        <v>401</v>
      </c>
      <c r="C403" s="3" t="n">
        <v>8</v>
      </c>
      <c r="D403" s="3" t="n">
        <v>1</v>
      </c>
      <c r="E403" s="3" t="n">
        <v>2</v>
      </c>
      <c r="F403" s="24" t="n">
        <v>11.260994</v>
      </c>
    </row>
    <row r="404" customFormat="false" ht="15" hidden="false" customHeight="false" outlineLevel="0" collapsed="false">
      <c r="A404" s="3" t="n">
        <v>403</v>
      </c>
      <c r="B404" s="3" t="n">
        <v>402</v>
      </c>
      <c r="C404" s="3" t="n">
        <v>8</v>
      </c>
      <c r="D404" s="3" t="n">
        <v>1</v>
      </c>
      <c r="E404" s="3" t="n">
        <v>3</v>
      </c>
      <c r="F404" s="24" t="n">
        <v>17.1801796</v>
      </c>
    </row>
    <row r="405" customFormat="false" ht="15" hidden="false" customHeight="false" outlineLevel="0" collapsed="false">
      <c r="A405" s="3" t="n">
        <v>404</v>
      </c>
      <c r="B405" s="3" t="n">
        <v>403</v>
      </c>
      <c r="C405" s="3" t="n">
        <v>8</v>
      </c>
      <c r="D405" s="3" t="n">
        <v>1</v>
      </c>
      <c r="E405" s="3" t="n">
        <v>4</v>
      </c>
      <c r="F405" s="24" t="n">
        <v>7.3058629</v>
      </c>
    </row>
    <row r="406" customFormat="false" ht="15" hidden="false" customHeight="false" outlineLevel="0" collapsed="false">
      <c r="A406" s="3" t="n">
        <v>405</v>
      </c>
      <c r="B406" s="3" t="n">
        <v>404</v>
      </c>
      <c r="C406" s="3" t="n">
        <v>8</v>
      </c>
      <c r="D406" s="3" t="n">
        <v>1</v>
      </c>
      <c r="E406" s="3" t="n">
        <v>5</v>
      </c>
      <c r="F406" s="24" t="n">
        <v>2.92158055</v>
      </c>
    </row>
    <row r="407" customFormat="false" ht="15" hidden="false" customHeight="false" outlineLevel="0" collapsed="false">
      <c r="A407" s="3" t="n">
        <v>406</v>
      </c>
      <c r="B407" s="3" t="n">
        <v>405</v>
      </c>
      <c r="C407" s="3" t="n">
        <v>8</v>
      </c>
      <c r="D407" s="3" t="n">
        <v>1</v>
      </c>
      <c r="E407" s="3" t="n">
        <v>6</v>
      </c>
      <c r="F407" s="24" t="n">
        <v>3.18861318</v>
      </c>
    </row>
    <row r="408" customFormat="false" ht="15" hidden="false" customHeight="false" outlineLevel="0" collapsed="false">
      <c r="A408" s="3" t="n">
        <v>407</v>
      </c>
      <c r="B408" s="3" t="n">
        <v>406</v>
      </c>
      <c r="C408" s="3" t="n">
        <v>8</v>
      </c>
      <c r="D408" s="3" t="n">
        <v>2</v>
      </c>
      <c r="E408" s="3" t="n">
        <v>0</v>
      </c>
      <c r="F408" s="24" t="n">
        <v>0.975708127</v>
      </c>
    </row>
    <row r="409" customFormat="false" ht="15" hidden="false" customHeight="false" outlineLevel="0" collapsed="false">
      <c r="A409" s="3" t="n">
        <v>408</v>
      </c>
      <c r="B409" s="3" t="n">
        <v>407</v>
      </c>
      <c r="C409" s="3" t="n">
        <v>8</v>
      </c>
      <c r="D409" s="3" t="n">
        <v>2</v>
      </c>
      <c r="E409" s="3" t="n">
        <v>1</v>
      </c>
      <c r="F409" s="24" t="n">
        <v>0.0667926669</v>
      </c>
    </row>
    <row r="410" customFormat="false" ht="15" hidden="false" customHeight="false" outlineLevel="0" collapsed="false">
      <c r="A410" s="3" t="n">
        <v>409</v>
      </c>
      <c r="B410" s="3" t="n">
        <v>408</v>
      </c>
      <c r="C410" s="3" t="n">
        <v>8</v>
      </c>
      <c r="D410" s="3" t="n">
        <v>2</v>
      </c>
      <c r="E410" s="3" t="n">
        <v>2</v>
      </c>
      <c r="F410" s="24" t="n">
        <v>0</v>
      </c>
    </row>
    <row r="411" customFormat="false" ht="15" hidden="false" customHeight="false" outlineLevel="0" collapsed="false">
      <c r="A411" s="3" t="n">
        <v>410</v>
      </c>
      <c r="B411" s="3" t="n">
        <v>409</v>
      </c>
      <c r="C411" s="3" t="n">
        <v>8</v>
      </c>
      <c r="D411" s="3" t="n">
        <v>2</v>
      </c>
      <c r="E411" s="3" t="n">
        <v>3</v>
      </c>
      <c r="F411" s="24" t="n">
        <v>0</v>
      </c>
    </row>
    <row r="412" customFormat="false" ht="15" hidden="false" customHeight="false" outlineLevel="0" collapsed="false">
      <c r="A412" s="3" t="n">
        <v>411</v>
      </c>
      <c r="B412" s="3" t="n">
        <v>410</v>
      </c>
      <c r="C412" s="3" t="n">
        <v>8</v>
      </c>
      <c r="D412" s="3" t="n">
        <v>2</v>
      </c>
      <c r="E412" s="3" t="n">
        <v>4</v>
      </c>
      <c r="F412" s="24" t="n">
        <v>0</v>
      </c>
    </row>
    <row r="413" customFormat="false" ht="15" hidden="false" customHeight="false" outlineLevel="0" collapsed="false">
      <c r="A413" s="3" t="n">
        <v>412</v>
      </c>
      <c r="B413" s="3" t="n">
        <v>411</v>
      </c>
      <c r="C413" s="3" t="n">
        <v>8</v>
      </c>
      <c r="D413" s="3" t="n">
        <v>2</v>
      </c>
      <c r="E413" s="3" t="n">
        <v>5</v>
      </c>
      <c r="F413" s="24" t="n">
        <v>0</v>
      </c>
    </row>
    <row r="414" customFormat="false" ht="15" hidden="false" customHeight="false" outlineLevel="0" collapsed="false">
      <c r="A414" s="3" t="n">
        <v>413</v>
      </c>
      <c r="B414" s="3" t="n">
        <v>412</v>
      </c>
      <c r="C414" s="3" t="n">
        <v>8</v>
      </c>
      <c r="D414" s="3" t="n">
        <v>2</v>
      </c>
      <c r="E414" s="3" t="n">
        <v>6</v>
      </c>
      <c r="F414" s="24" t="n">
        <v>0</v>
      </c>
    </row>
    <row r="415" customFormat="false" ht="15" hidden="false" customHeight="false" outlineLevel="0" collapsed="false">
      <c r="A415" s="3" t="n">
        <v>414</v>
      </c>
      <c r="B415" s="3" t="n">
        <v>413</v>
      </c>
      <c r="C415" s="3" t="n">
        <v>8</v>
      </c>
      <c r="D415" s="3" t="n">
        <v>3</v>
      </c>
      <c r="E415" s="3" t="n">
        <v>0</v>
      </c>
      <c r="F415" s="24" t="n">
        <v>3.17035651</v>
      </c>
    </row>
    <row r="416" customFormat="false" ht="15" hidden="false" customHeight="false" outlineLevel="0" collapsed="false">
      <c r="A416" s="3" t="n">
        <v>415</v>
      </c>
      <c r="B416" s="3" t="n">
        <v>414</v>
      </c>
      <c r="C416" s="3" t="n">
        <v>8</v>
      </c>
      <c r="D416" s="3" t="n">
        <v>3</v>
      </c>
      <c r="E416" s="3" t="n">
        <v>1</v>
      </c>
      <c r="F416" s="24" t="n">
        <v>4.37981462</v>
      </c>
    </row>
    <row r="417" customFormat="false" ht="15" hidden="false" customHeight="false" outlineLevel="0" collapsed="false">
      <c r="A417" s="3" t="n">
        <v>416</v>
      </c>
      <c r="B417" s="3" t="n">
        <v>415</v>
      </c>
      <c r="C417" s="3" t="n">
        <v>8</v>
      </c>
      <c r="D417" s="3" t="n">
        <v>3</v>
      </c>
      <c r="E417" s="3" t="n">
        <v>2</v>
      </c>
      <c r="F417" s="24" t="n">
        <v>5.26871824</v>
      </c>
    </row>
    <row r="418" customFormat="false" ht="15" hidden="false" customHeight="false" outlineLevel="0" collapsed="false">
      <c r="A418" s="3" t="n">
        <v>417</v>
      </c>
      <c r="B418" s="3" t="n">
        <v>416</v>
      </c>
      <c r="C418" s="3" t="n">
        <v>8</v>
      </c>
      <c r="D418" s="3" t="n">
        <v>3</v>
      </c>
      <c r="E418" s="3" t="n">
        <v>3</v>
      </c>
      <c r="F418" s="24" t="n">
        <v>0</v>
      </c>
    </row>
    <row r="419" customFormat="false" ht="15" hidden="false" customHeight="false" outlineLevel="0" collapsed="false">
      <c r="A419" s="3" t="n">
        <v>418</v>
      </c>
      <c r="B419" s="3" t="n">
        <v>417</v>
      </c>
      <c r="C419" s="3" t="n">
        <v>8</v>
      </c>
      <c r="D419" s="3" t="n">
        <v>3</v>
      </c>
      <c r="E419" s="3" t="n">
        <v>4</v>
      </c>
      <c r="F419" s="24" t="n">
        <v>0</v>
      </c>
    </row>
    <row r="420" customFormat="false" ht="15" hidden="false" customHeight="false" outlineLevel="0" collapsed="false">
      <c r="A420" s="3" t="n">
        <v>419</v>
      </c>
      <c r="B420" s="3" t="n">
        <v>418</v>
      </c>
      <c r="C420" s="3" t="n">
        <v>8</v>
      </c>
      <c r="D420" s="3" t="n">
        <v>3</v>
      </c>
      <c r="E420" s="3" t="n">
        <v>5</v>
      </c>
      <c r="F420" s="24" t="n">
        <v>0</v>
      </c>
    </row>
    <row r="421" customFormat="false" ht="15" hidden="false" customHeight="false" outlineLevel="0" collapsed="false">
      <c r="A421" s="3" t="n">
        <v>420</v>
      </c>
      <c r="B421" s="3" t="n">
        <v>419</v>
      </c>
      <c r="C421" s="3" t="n">
        <v>8</v>
      </c>
      <c r="D421" s="3" t="n">
        <v>3</v>
      </c>
      <c r="E421" s="3" t="n">
        <v>6</v>
      </c>
      <c r="F421" s="24" t="n">
        <v>0</v>
      </c>
    </row>
    <row r="422" customFormat="false" ht="15" hidden="false" customHeight="false" outlineLevel="0" collapsed="false">
      <c r="A422" s="3" t="n">
        <v>421</v>
      </c>
      <c r="B422" s="3" t="n">
        <v>420</v>
      </c>
      <c r="C422" s="3" t="n">
        <v>8</v>
      </c>
      <c r="D422" s="3" t="n">
        <v>4</v>
      </c>
      <c r="E422" s="3" t="n">
        <v>0</v>
      </c>
      <c r="F422" s="24" t="n">
        <v>0.0810413063</v>
      </c>
    </row>
    <row r="423" customFormat="false" ht="15" hidden="false" customHeight="false" outlineLevel="0" collapsed="false">
      <c r="A423" s="3" t="n">
        <v>422</v>
      </c>
      <c r="B423" s="3" t="n">
        <v>421</v>
      </c>
      <c r="C423" s="3" t="n">
        <v>8</v>
      </c>
      <c r="D423" s="3" t="n">
        <v>4</v>
      </c>
      <c r="E423" s="3" t="n">
        <v>1</v>
      </c>
      <c r="F423" s="24" t="n">
        <v>0.639342904</v>
      </c>
    </row>
    <row r="424" customFormat="false" ht="15" hidden="false" customHeight="false" outlineLevel="0" collapsed="false">
      <c r="A424" s="3" t="n">
        <v>423</v>
      </c>
      <c r="B424" s="3" t="n">
        <v>422</v>
      </c>
      <c r="C424" s="3" t="n">
        <v>8</v>
      </c>
      <c r="D424" s="3" t="n">
        <v>4</v>
      </c>
      <c r="E424" s="3" t="n">
        <v>2</v>
      </c>
      <c r="F424" s="24" t="n">
        <v>0</v>
      </c>
    </row>
    <row r="425" customFormat="false" ht="15" hidden="false" customHeight="false" outlineLevel="0" collapsed="false">
      <c r="A425" s="3" t="n">
        <v>424</v>
      </c>
      <c r="B425" s="3" t="n">
        <v>423</v>
      </c>
      <c r="C425" s="3" t="n">
        <v>8</v>
      </c>
      <c r="D425" s="3" t="n">
        <v>4</v>
      </c>
      <c r="E425" s="3" t="n">
        <v>3</v>
      </c>
      <c r="F425" s="24" t="n">
        <v>0</v>
      </c>
    </row>
    <row r="426" customFormat="false" ht="15" hidden="false" customHeight="false" outlineLevel="0" collapsed="false">
      <c r="A426" s="3" t="n">
        <v>425</v>
      </c>
      <c r="B426" s="3" t="n">
        <v>424</v>
      </c>
      <c r="C426" s="3" t="n">
        <v>8</v>
      </c>
      <c r="D426" s="3" t="n">
        <v>4</v>
      </c>
      <c r="E426" s="3" t="n">
        <v>4</v>
      </c>
      <c r="F426" s="24" t="n">
        <v>0</v>
      </c>
    </row>
    <row r="427" customFormat="false" ht="15" hidden="false" customHeight="false" outlineLevel="0" collapsed="false">
      <c r="A427" s="3" t="n">
        <v>426</v>
      </c>
      <c r="B427" s="3" t="n">
        <v>425</v>
      </c>
      <c r="C427" s="3" t="n">
        <v>8</v>
      </c>
      <c r="D427" s="3" t="n">
        <v>4</v>
      </c>
      <c r="E427" s="3" t="n">
        <v>5</v>
      </c>
      <c r="F427" s="24" t="n">
        <v>0</v>
      </c>
    </row>
    <row r="428" customFormat="false" ht="15" hidden="false" customHeight="false" outlineLevel="0" collapsed="false">
      <c r="A428" s="3" t="n">
        <v>427</v>
      </c>
      <c r="B428" s="3" t="n">
        <v>426</v>
      </c>
      <c r="C428" s="3" t="n">
        <v>8</v>
      </c>
      <c r="D428" s="3" t="n">
        <v>4</v>
      </c>
      <c r="E428" s="3" t="n">
        <v>6</v>
      </c>
      <c r="F428" s="24" t="n">
        <v>0</v>
      </c>
    </row>
    <row r="429" customFormat="false" ht="15" hidden="false" customHeight="false" outlineLevel="0" collapsed="false">
      <c r="A429" s="3" t="n">
        <v>428</v>
      </c>
      <c r="B429" s="3" t="n">
        <v>427</v>
      </c>
      <c r="C429" s="3" t="n">
        <v>8</v>
      </c>
      <c r="D429" s="3" t="n">
        <v>5</v>
      </c>
      <c r="E429" s="3" t="n">
        <v>0</v>
      </c>
      <c r="F429" s="24" t="n">
        <v>0</v>
      </c>
    </row>
    <row r="430" customFormat="false" ht="15" hidden="false" customHeight="false" outlineLevel="0" collapsed="false">
      <c r="A430" s="3" t="n">
        <v>429</v>
      </c>
      <c r="B430" s="3" t="n">
        <v>428</v>
      </c>
      <c r="C430" s="3" t="n">
        <v>8</v>
      </c>
      <c r="D430" s="3" t="n">
        <v>5</v>
      </c>
      <c r="E430" s="3" t="n">
        <v>1</v>
      </c>
      <c r="F430" s="24" t="n">
        <v>0</v>
      </c>
    </row>
    <row r="431" customFormat="false" ht="15" hidden="false" customHeight="false" outlineLevel="0" collapsed="false">
      <c r="A431" s="3" t="n">
        <v>430</v>
      </c>
      <c r="B431" s="3" t="n">
        <v>429</v>
      </c>
      <c r="C431" s="3" t="n">
        <v>8</v>
      </c>
      <c r="D431" s="3" t="n">
        <v>5</v>
      </c>
      <c r="E431" s="3" t="n">
        <v>2</v>
      </c>
      <c r="F431" s="24" t="n">
        <v>0</v>
      </c>
    </row>
    <row r="432" customFormat="false" ht="15" hidden="false" customHeight="false" outlineLevel="0" collapsed="false">
      <c r="A432" s="3" t="n">
        <v>431</v>
      </c>
      <c r="B432" s="3" t="n">
        <v>430</v>
      </c>
      <c r="C432" s="3" t="n">
        <v>8</v>
      </c>
      <c r="D432" s="3" t="n">
        <v>5</v>
      </c>
      <c r="E432" s="3" t="n">
        <v>3</v>
      </c>
      <c r="F432" s="24" t="n">
        <v>0</v>
      </c>
    </row>
    <row r="433" customFormat="false" ht="15" hidden="false" customHeight="false" outlineLevel="0" collapsed="false">
      <c r="A433" s="3" t="n">
        <v>432</v>
      </c>
      <c r="B433" s="3" t="n">
        <v>431</v>
      </c>
      <c r="C433" s="3" t="n">
        <v>8</v>
      </c>
      <c r="D433" s="3" t="n">
        <v>5</v>
      </c>
      <c r="E433" s="3" t="n">
        <v>4</v>
      </c>
      <c r="F433" s="24" t="n">
        <v>0</v>
      </c>
    </row>
    <row r="434" customFormat="false" ht="15" hidden="false" customHeight="false" outlineLevel="0" collapsed="false">
      <c r="A434" s="3" t="n">
        <v>433</v>
      </c>
      <c r="B434" s="3" t="n">
        <v>432</v>
      </c>
      <c r="C434" s="3" t="n">
        <v>8</v>
      </c>
      <c r="D434" s="3" t="n">
        <v>5</v>
      </c>
      <c r="E434" s="3" t="n">
        <v>5</v>
      </c>
      <c r="F434" s="24" t="n">
        <v>0</v>
      </c>
    </row>
    <row r="435" customFormat="false" ht="15" hidden="false" customHeight="false" outlineLevel="0" collapsed="false">
      <c r="A435" s="3" t="n">
        <v>434</v>
      </c>
      <c r="B435" s="3" t="n">
        <v>433</v>
      </c>
      <c r="C435" s="3" t="n">
        <v>8</v>
      </c>
      <c r="D435" s="3" t="n">
        <v>5</v>
      </c>
      <c r="E435" s="3" t="n">
        <v>6</v>
      </c>
      <c r="F435" s="24" t="n">
        <v>0</v>
      </c>
    </row>
    <row r="436" customFormat="false" ht="15" hidden="false" customHeight="false" outlineLevel="0" collapsed="false">
      <c r="A436" s="3" t="n">
        <v>435</v>
      </c>
      <c r="B436" s="3" t="n">
        <v>434</v>
      </c>
      <c r="C436" s="3" t="n">
        <v>8</v>
      </c>
      <c r="D436" s="3" t="n">
        <v>6</v>
      </c>
      <c r="E436" s="3" t="n">
        <v>0</v>
      </c>
      <c r="F436" s="24" t="n">
        <v>0</v>
      </c>
    </row>
    <row r="437" customFormat="false" ht="15" hidden="false" customHeight="false" outlineLevel="0" collapsed="false">
      <c r="A437" s="3" t="n">
        <v>436</v>
      </c>
      <c r="B437" s="3" t="n">
        <v>435</v>
      </c>
      <c r="C437" s="3" t="n">
        <v>8</v>
      </c>
      <c r="D437" s="3" t="n">
        <v>6</v>
      </c>
      <c r="E437" s="3" t="n">
        <v>1</v>
      </c>
      <c r="F437" s="24" t="n">
        <v>0</v>
      </c>
    </row>
    <row r="438" customFormat="false" ht="15" hidden="false" customHeight="false" outlineLevel="0" collapsed="false">
      <c r="A438" s="3" t="n">
        <v>437</v>
      </c>
      <c r="B438" s="3" t="n">
        <v>436</v>
      </c>
      <c r="C438" s="3" t="n">
        <v>8</v>
      </c>
      <c r="D438" s="3" t="n">
        <v>6</v>
      </c>
      <c r="E438" s="3" t="n">
        <v>2</v>
      </c>
      <c r="F438" s="24" t="n">
        <v>0.305463195</v>
      </c>
    </row>
    <row r="439" customFormat="false" ht="15" hidden="false" customHeight="false" outlineLevel="0" collapsed="false">
      <c r="A439" s="3" t="n">
        <v>438</v>
      </c>
      <c r="B439" s="3" t="n">
        <v>437</v>
      </c>
      <c r="C439" s="3" t="n">
        <v>8</v>
      </c>
      <c r="D439" s="3" t="n">
        <v>6</v>
      </c>
      <c r="E439" s="3" t="n">
        <v>3</v>
      </c>
      <c r="F439" s="24" t="n">
        <v>0</v>
      </c>
    </row>
    <row r="440" customFormat="false" ht="15" hidden="false" customHeight="false" outlineLevel="0" collapsed="false">
      <c r="A440" s="3" t="n">
        <v>439</v>
      </c>
      <c r="B440" s="3" t="n">
        <v>438</v>
      </c>
      <c r="C440" s="3" t="n">
        <v>8</v>
      </c>
      <c r="D440" s="3" t="n">
        <v>6</v>
      </c>
      <c r="E440" s="3" t="n">
        <v>4</v>
      </c>
      <c r="F440" s="24" t="n">
        <v>0</v>
      </c>
    </row>
    <row r="441" customFormat="false" ht="15" hidden="false" customHeight="false" outlineLevel="0" collapsed="false">
      <c r="A441" s="3" t="n">
        <v>440</v>
      </c>
      <c r="B441" s="3" t="n">
        <v>439</v>
      </c>
      <c r="C441" s="3" t="n">
        <v>8</v>
      </c>
      <c r="D441" s="3" t="n">
        <v>6</v>
      </c>
      <c r="E441" s="3" t="n">
        <v>5</v>
      </c>
      <c r="F441" s="24" t="n">
        <v>0.261776537</v>
      </c>
    </row>
    <row r="442" customFormat="false" ht="15" hidden="false" customHeight="false" outlineLevel="0" collapsed="false">
      <c r="A442" s="3" t="n">
        <v>441</v>
      </c>
      <c r="B442" s="3" t="n">
        <v>440</v>
      </c>
      <c r="C442" s="3" t="n">
        <v>8</v>
      </c>
      <c r="D442" s="3" t="n">
        <v>6</v>
      </c>
      <c r="E442" s="3" t="n">
        <v>6</v>
      </c>
      <c r="F442" s="24" t="n">
        <v>0.623975277</v>
      </c>
    </row>
    <row r="443" customFormat="false" ht="15" hidden="false" customHeight="false" outlineLevel="0" collapsed="false">
      <c r="A443" s="3" t="n">
        <v>442</v>
      </c>
      <c r="B443" s="3" t="n">
        <v>441</v>
      </c>
      <c r="C443" s="3" t="n">
        <v>9</v>
      </c>
      <c r="D443" s="3" t="n">
        <v>0</v>
      </c>
      <c r="E443" s="3" t="n">
        <v>0</v>
      </c>
      <c r="F443" s="24" t="n">
        <v>0</v>
      </c>
    </row>
    <row r="444" customFormat="false" ht="15" hidden="false" customHeight="false" outlineLevel="0" collapsed="false">
      <c r="A444" s="3" t="n">
        <v>443</v>
      </c>
      <c r="B444" s="3" t="n">
        <v>442</v>
      </c>
      <c r="C444" s="3" t="n">
        <v>9</v>
      </c>
      <c r="D444" s="3" t="n">
        <v>0</v>
      </c>
      <c r="E444" s="3" t="n">
        <v>1</v>
      </c>
      <c r="F444" s="24" t="n">
        <v>0.28922382</v>
      </c>
    </row>
    <row r="445" customFormat="false" ht="15" hidden="false" customHeight="false" outlineLevel="0" collapsed="false">
      <c r="A445" s="3" t="n">
        <v>444</v>
      </c>
      <c r="B445" s="3" t="n">
        <v>443</v>
      </c>
      <c r="C445" s="3" t="n">
        <v>9</v>
      </c>
      <c r="D445" s="3" t="n">
        <v>0</v>
      </c>
      <c r="E445" s="3" t="n">
        <v>2</v>
      </c>
      <c r="F445" s="24" t="n">
        <v>1.59518862</v>
      </c>
    </row>
    <row r="446" customFormat="false" ht="15" hidden="false" customHeight="false" outlineLevel="0" collapsed="false">
      <c r="A446" s="3" t="n">
        <v>445</v>
      </c>
      <c r="B446" s="3" t="n">
        <v>444</v>
      </c>
      <c r="C446" s="3" t="n">
        <v>9</v>
      </c>
      <c r="D446" s="3" t="n">
        <v>0</v>
      </c>
      <c r="E446" s="3" t="n">
        <v>3</v>
      </c>
      <c r="F446" s="24" t="n">
        <v>0.749998927</v>
      </c>
    </row>
    <row r="447" customFormat="false" ht="15" hidden="false" customHeight="false" outlineLevel="0" collapsed="false">
      <c r="A447" s="3" t="n">
        <v>446</v>
      </c>
      <c r="B447" s="3" t="n">
        <v>445</v>
      </c>
      <c r="C447" s="3" t="n">
        <v>9</v>
      </c>
      <c r="D447" s="3" t="n">
        <v>0</v>
      </c>
      <c r="E447" s="3" t="n">
        <v>4</v>
      </c>
      <c r="F447" s="24" t="n">
        <v>1.75516462</v>
      </c>
    </row>
    <row r="448" customFormat="false" ht="15" hidden="false" customHeight="false" outlineLevel="0" collapsed="false">
      <c r="A448" s="3" t="n">
        <v>447</v>
      </c>
      <c r="B448" s="3" t="n">
        <v>446</v>
      </c>
      <c r="C448" s="3" t="n">
        <v>9</v>
      </c>
      <c r="D448" s="3" t="n">
        <v>0</v>
      </c>
      <c r="E448" s="3" t="n">
        <v>5</v>
      </c>
      <c r="F448" s="24" t="n">
        <v>3.04381371</v>
      </c>
    </row>
    <row r="449" customFormat="false" ht="15" hidden="false" customHeight="false" outlineLevel="0" collapsed="false">
      <c r="A449" s="3" t="n">
        <v>448</v>
      </c>
      <c r="B449" s="3" t="n">
        <v>447</v>
      </c>
      <c r="C449" s="3" t="n">
        <v>9</v>
      </c>
      <c r="D449" s="3" t="n">
        <v>0</v>
      </c>
      <c r="E449" s="3" t="n">
        <v>6</v>
      </c>
      <c r="F449" s="24" t="n">
        <v>0.00728425384</v>
      </c>
    </row>
    <row r="450" customFormat="false" ht="15" hidden="false" customHeight="false" outlineLevel="0" collapsed="false">
      <c r="A450" s="3" t="n">
        <v>449</v>
      </c>
      <c r="B450" s="3" t="n">
        <v>448</v>
      </c>
      <c r="C450" s="3" t="n">
        <v>9</v>
      </c>
      <c r="D450" s="3" t="n">
        <v>1</v>
      </c>
      <c r="E450" s="3" t="n">
        <v>0</v>
      </c>
      <c r="F450" s="24" t="n">
        <v>0</v>
      </c>
    </row>
    <row r="451" customFormat="false" ht="15" hidden="false" customHeight="false" outlineLevel="0" collapsed="false">
      <c r="A451" s="3" t="n">
        <v>450</v>
      </c>
      <c r="B451" s="3" t="n">
        <v>449</v>
      </c>
      <c r="C451" s="3" t="n">
        <v>9</v>
      </c>
      <c r="D451" s="3" t="n">
        <v>1</v>
      </c>
      <c r="E451" s="3" t="n">
        <v>1</v>
      </c>
      <c r="F451" s="24" t="n">
        <v>0</v>
      </c>
    </row>
    <row r="452" customFormat="false" ht="15" hidden="false" customHeight="false" outlineLevel="0" collapsed="false">
      <c r="A452" s="3" t="n">
        <v>451</v>
      </c>
      <c r="B452" s="3" t="n">
        <v>450</v>
      </c>
      <c r="C452" s="3" t="n">
        <v>9</v>
      </c>
      <c r="D452" s="3" t="n">
        <v>1</v>
      </c>
      <c r="E452" s="3" t="n">
        <v>2</v>
      </c>
      <c r="F452" s="24" t="n">
        <v>0</v>
      </c>
    </row>
    <row r="453" customFormat="false" ht="15" hidden="false" customHeight="false" outlineLevel="0" collapsed="false">
      <c r="A453" s="3" t="n">
        <v>452</v>
      </c>
      <c r="B453" s="3" t="n">
        <v>451</v>
      </c>
      <c r="C453" s="3" t="n">
        <v>9</v>
      </c>
      <c r="D453" s="3" t="n">
        <v>1</v>
      </c>
      <c r="E453" s="3" t="n">
        <v>3</v>
      </c>
      <c r="F453" s="24" t="n">
        <v>0</v>
      </c>
    </row>
    <row r="454" customFormat="false" ht="15" hidden="false" customHeight="false" outlineLevel="0" collapsed="false">
      <c r="A454" s="3" t="n">
        <v>453</v>
      </c>
      <c r="B454" s="3" t="n">
        <v>452</v>
      </c>
      <c r="C454" s="3" t="n">
        <v>9</v>
      </c>
      <c r="D454" s="3" t="n">
        <v>1</v>
      </c>
      <c r="E454" s="3" t="n">
        <v>4</v>
      </c>
      <c r="F454" s="24" t="n">
        <v>0</v>
      </c>
    </row>
    <row r="455" customFormat="false" ht="15" hidden="false" customHeight="false" outlineLevel="0" collapsed="false">
      <c r="A455" s="3" t="n">
        <v>454</v>
      </c>
      <c r="B455" s="3" t="n">
        <v>453</v>
      </c>
      <c r="C455" s="3" t="n">
        <v>9</v>
      </c>
      <c r="D455" s="3" t="n">
        <v>1</v>
      </c>
      <c r="E455" s="3" t="n">
        <v>5</v>
      </c>
      <c r="F455" s="24" t="n">
        <v>1.01080334</v>
      </c>
    </row>
    <row r="456" customFormat="false" ht="15" hidden="false" customHeight="false" outlineLevel="0" collapsed="false">
      <c r="A456" s="3" t="n">
        <v>455</v>
      </c>
      <c r="B456" s="3" t="n">
        <v>454</v>
      </c>
      <c r="C456" s="3" t="n">
        <v>9</v>
      </c>
      <c r="D456" s="3" t="n">
        <v>1</v>
      </c>
      <c r="E456" s="3" t="n">
        <v>6</v>
      </c>
      <c r="F456" s="24" t="n">
        <v>0</v>
      </c>
    </row>
    <row r="457" customFormat="false" ht="15" hidden="false" customHeight="false" outlineLevel="0" collapsed="false">
      <c r="A457" s="3" t="n">
        <v>456</v>
      </c>
      <c r="B457" s="3" t="n">
        <v>455</v>
      </c>
      <c r="C457" s="3" t="n">
        <v>9</v>
      </c>
      <c r="D457" s="3" t="n">
        <v>2</v>
      </c>
      <c r="E457" s="3" t="n">
        <v>0</v>
      </c>
      <c r="F457" s="24" t="n">
        <v>0</v>
      </c>
    </row>
    <row r="458" customFormat="false" ht="15" hidden="false" customHeight="false" outlineLevel="0" collapsed="false">
      <c r="A458" s="3" t="n">
        <v>457</v>
      </c>
      <c r="B458" s="3" t="n">
        <v>456</v>
      </c>
      <c r="C458" s="3" t="n">
        <v>9</v>
      </c>
      <c r="D458" s="3" t="n">
        <v>2</v>
      </c>
      <c r="E458" s="3" t="n">
        <v>1</v>
      </c>
      <c r="F458" s="24" t="n">
        <v>0</v>
      </c>
    </row>
    <row r="459" customFormat="false" ht="15" hidden="false" customHeight="false" outlineLevel="0" collapsed="false">
      <c r="A459" s="3" t="n">
        <v>458</v>
      </c>
      <c r="B459" s="3" t="n">
        <v>457</v>
      </c>
      <c r="C459" s="3" t="n">
        <v>9</v>
      </c>
      <c r="D459" s="3" t="n">
        <v>2</v>
      </c>
      <c r="E459" s="3" t="n">
        <v>2</v>
      </c>
      <c r="F459" s="24" t="n">
        <v>0</v>
      </c>
    </row>
    <row r="460" customFormat="false" ht="15" hidden="false" customHeight="false" outlineLevel="0" collapsed="false">
      <c r="A460" s="3" t="n">
        <v>459</v>
      </c>
      <c r="B460" s="3" t="n">
        <v>458</v>
      </c>
      <c r="C460" s="3" t="n">
        <v>9</v>
      </c>
      <c r="D460" s="3" t="n">
        <v>2</v>
      </c>
      <c r="E460" s="3" t="n">
        <v>3</v>
      </c>
      <c r="F460" s="24" t="n">
        <v>0</v>
      </c>
    </row>
    <row r="461" customFormat="false" ht="15" hidden="false" customHeight="false" outlineLevel="0" collapsed="false">
      <c r="A461" s="3" t="n">
        <v>460</v>
      </c>
      <c r="B461" s="3" t="n">
        <v>459</v>
      </c>
      <c r="C461" s="3" t="n">
        <v>9</v>
      </c>
      <c r="D461" s="3" t="n">
        <v>2</v>
      </c>
      <c r="E461" s="3" t="n">
        <v>4</v>
      </c>
      <c r="F461" s="24" t="n">
        <v>0.446252376</v>
      </c>
    </row>
    <row r="462" customFormat="false" ht="15" hidden="false" customHeight="false" outlineLevel="0" collapsed="false">
      <c r="A462" s="3" t="n">
        <v>461</v>
      </c>
      <c r="B462" s="3" t="n">
        <v>460</v>
      </c>
      <c r="C462" s="3" t="n">
        <v>9</v>
      </c>
      <c r="D462" s="3" t="n">
        <v>2</v>
      </c>
      <c r="E462" s="3" t="n">
        <v>5</v>
      </c>
      <c r="F462" s="24" t="n">
        <v>0</v>
      </c>
    </row>
    <row r="463" customFormat="false" ht="15" hidden="false" customHeight="false" outlineLevel="0" collapsed="false">
      <c r="A463" s="3" t="n">
        <v>462</v>
      </c>
      <c r="B463" s="3" t="n">
        <v>461</v>
      </c>
      <c r="C463" s="3" t="n">
        <v>9</v>
      </c>
      <c r="D463" s="3" t="n">
        <v>2</v>
      </c>
      <c r="E463" s="3" t="n">
        <v>6</v>
      </c>
      <c r="F463" s="24" t="n">
        <v>5.80546236</v>
      </c>
    </row>
    <row r="464" customFormat="false" ht="15" hidden="false" customHeight="false" outlineLevel="0" collapsed="false">
      <c r="A464" s="3" t="n">
        <v>463</v>
      </c>
      <c r="B464" s="3" t="n">
        <v>462</v>
      </c>
      <c r="C464" s="3" t="n">
        <v>9</v>
      </c>
      <c r="D464" s="3" t="n">
        <v>3</v>
      </c>
      <c r="E464" s="3" t="n">
        <v>0</v>
      </c>
      <c r="F464" s="24" t="n">
        <v>1.3746047</v>
      </c>
    </row>
    <row r="465" customFormat="false" ht="15" hidden="false" customHeight="false" outlineLevel="0" collapsed="false">
      <c r="A465" s="3" t="n">
        <v>464</v>
      </c>
      <c r="B465" s="3" t="n">
        <v>463</v>
      </c>
      <c r="C465" s="3" t="n">
        <v>9</v>
      </c>
      <c r="D465" s="3" t="n">
        <v>3</v>
      </c>
      <c r="E465" s="3" t="n">
        <v>1</v>
      </c>
      <c r="F465" s="24" t="n">
        <v>8.4812088</v>
      </c>
    </row>
    <row r="466" customFormat="false" ht="15" hidden="false" customHeight="false" outlineLevel="0" collapsed="false">
      <c r="A466" s="3" t="n">
        <v>465</v>
      </c>
      <c r="B466" s="3" t="n">
        <v>464</v>
      </c>
      <c r="C466" s="3" t="n">
        <v>9</v>
      </c>
      <c r="D466" s="3" t="n">
        <v>3</v>
      </c>
      <c r="E466" s="3" t="n">
        <v>2</v>
      </c>
      <c r="F466" s="24" t="n">
        <v>13.7027788</v>
      </c>
    </row>
    <row r="467" customFormat="false" ht="15" hidden="false" customHeight="false" outlineLevel="0" collapsed="false">
      <c r="A467" s="3" t="n">
        <v>466</v>
      </c>
      <c r="B467" s="3" t="n">
        <v>465</v>
      </c>
      <c r="C467" s="3" t="n">
        <v>9</v>
      </c>
      <c r="D467" s="3" t="n">
        <v>3</v>
      </c>
      <c r="E467" s="3" t="n">
        <v>3</v>
      </c>
      <c r="F467" s="24" t="n">
        <v>20.4086723</v>
      </c>
    </row>
    <row r="468" customFormat="false" ht="15" hidden="false" customHeight="false" outlineLevel="0" collapsed="false">
      <c r="A468" s="3" t="n">
        <v>467</v>
      </c>
      <c r="B468" s="3" t="n">
        <v>466</v>
      </c>
      <c r="C468" s="3" t="n">
        <v>9</v>
      </c>
      <c r="D468" s="3" t="n">
        <v>3</v>
      </c>
      <c r="E468" s="3" t="n">
        <v>4</v>
      </c>
      <c r="F468" s="24" t="n">
        <v>4.68580818</v>
      </c>
    </row>
    <row r="469" customFormat="false" ht="15" hidden="false" customHeight="false" outlineLevel="0" collapsed="false">
      <c r="A469" s="3" t="n">
        <v>468</v>
      </c>
      <c r="B469" s="3" t="n">
        <v>467</v>
      </c>
      <c r="C469" s="3" t="n">
        <v>9</v>
      </c>
      <c r="D469" s="3" t="n">
        <v>3</v>
      </c>
      <c r="E469" s="3" t="n">
        <v>5</v>
      </c>
      <c r="F469" s="24" t="n">
        <v>0</v>
      </c>
    </row>
    <row r="470" customFormat="false" ht="15" hidden="false" customHeight="false" outlineLevel="0" collapsed="false">
      <c r="A470" s="3" t="n">
        <v>469</v>
      </c>
      <c r="B470" s="3" t="n">
        <v>468</v>
      </c>
      <c r="C470" s="3" t="n">
        <v>9</v>
      </c>
      <c r="D470" s="3" t="n">
        <v>3</v>
      </c>
      <c r="E470" s="3" t="n">
        <v>6</v>
      </c>
      <c r="F470" s="24" t="n">
        <v>3.57747364</v>
      </c>
    </row>
    <row r="471" customFormat="false" ht="15" hidden="false" customHeight="false" outlineLevel="0" collapsed="false">
      <c r="A471" s="3" t="n">
        <v>470</v>
      </c>
      <c r="B471" s="3" t="n">
        <v>469</v>
      </c>
      <c r="C471" s="3" t="n">
        <v>9</v>
      </c>
      <c r="D471" s="3" t="n">
        <v>4</v>
      </c>
      <c r="E471" s="3" t="n">
        <v>0</v>
      </c>
      <c r="F471" s="24" t="n">
        <v>0</v>
      </c>
    </row>
    <row r="472" customFormat="false" ht="15" hidden="false" customHeight="false" outlineLevel="0" collapsed="false">
      <c r="A472" s="3" t="n">
        <v>471</v>
      </c>
      <c r="B472" s="3" t="n">
        <v>470</v>
      </c>
      <c r="C472" s="3" t="n">
        <v>9</v>
      </c>
      <c r="D472" s="3" t="n">
        <v>4</v>
      </c>
      <c r="E472" s="3" t="n">
        <v>1</v>
      </c>
      <c r="F472" s="24" t="n">
        <v>1.14963627</v>
      </c>
    </row>
    <row r="473" customFormat="false" ht="15" hidden="false" customHeight="false" outlineLevel="0" collapsed="false">
      <c r="A473" s="3" t="n">
        <v>472</v>
      </c>
      <c r="B473" s="3" t="n">
        <v>471</v>
      </c>
      <c r="C473" s="3" t="n">
        <v>9</v>
      </c>
      <c r="D473" s="3" t="n">
        <v>4</v>
      </c>
      <c r="E473" s="3" t="n">
        <v>2</v>
      </c>
      <c r="F473" s="24" t="n">
        <v>8.21977329</v>
      </c>
    </row>
    <row r="474" customFormat="false" ht="15" hidden="false" customHeight="false" outlineLevel="0" collapsed="false">
      <c r="A474" s="3" t="n">
        <v>473</v>
      </c>
      <c r="B474" s="3" t="n">
        <v>472</v>
      </c>
      <c r="C474" s="3" t="n">
        <v>9</v>
      </c>
      <c r="D474" s="3" t="n">
        <v>4</v>
      </c>
      <c r="E474" s="3" t="n">
        <v>3</v>
      </c>
      <c r="F474" s="24" t="n">
        <v>5.39668941</v>
      </c>
    </row>
    <row r="475" customFormat="false" ht="15" hidden="false" customHeight="false" outlineLevel="0" collapsed="false">
      <c r="A475" s="3" t="n">
        <v>474</v>
      </c>
      <c r="B475" s="3" t="n">
        <v>473</v>
      </c>
      <c r="C475" s="3" t="n">
        <v>9</v>
      </c>
      <c r="D475" s="3" t="n">
        <v>4</v>
      </c>
      <c r="E475" s="3" t="n">
        <v>4</v>
      </c>
      <c r="F475" s="24" t="n">
        <v>0</v>
      </c>
    </row>
    <row r="476" customFormat="false" ht="15" hidden="false" customHeight="false" outlineLevel="0" collapsed="false">
      <c r="A476" s="3" t="n">
        <v>475</v>
      </c>
      <c r="B476" s="3" t="n">
        <v>474</v>
      </c>
      <c r="C476" s="3" t="n">
        <v>9</v>
      </c>
      <c r="D476" s="3" t="n">
        <v>4</v>
      </c>
      <c r="E476" s="3" t="n">
        <v>5</v>
      </c>
      <c r="F476" s="24" t="n">
        <v>0.540379047</v>
      </c>
    </row>
    <row r="477" customFormat="false" ht="15" hidden="false" customHeight="false" outlineLevel="0" collapsed="false">
      <c r="A477" s="3" t="n">
        <v>476</v>
      </c>
      <c r="B477" s="3" t="n">
        <v>475</v>
      </c>
      <c r="C477" s="3" t="n">
        <v>9</v>
      </c>
      <c r="D477" s="3" t="n">
        <v>4</v>
      </c>
      <c r="E477" s="3" t="n">
        <v>6</v>
      </c>
      <c r="F477" s="24" t="n">
        <v>0.990491867</v>
      </c>
    </row>
    <row r="478" customFormat="false" ht="15" hidden="false" customHeight="false" outlineLevel="0" collapsed="false">
      <c r="A478" s="3" t="n">
        <v>477</v>
      </c>
      <c r="B478" s="3" t="n">
        <v>476</v>
      </c>
      <c r="C478" s="3" t="n">
        <v>9</v>
      </c>
      <c r="D478" s="3" t="n">
        <v>5</v>
      </c>
      <c r="E478" s="3" t="n">
        <v>0</v>
      </c>
      <c r="F478" s="24" t="n">
        <v>0</v>
      </c>
    </row>
    <row r="479" customFormat="false" ht="15" hidden="false" customHeight="false" outlineLevel="0" collapsed="false">
      <c r="A479" s="3" t="n">
        <v>478</v>
      </c>
      <c r="B479" s="3" t="n">
        <v>477</v>
      </c>
      <c r="C479" s="3" t="n">
        <v>9</v>
      </c>
      <c r="D479" s="3" t="n">
        <v>5</v>
      </c>
      <c r="E479" s="3" t="n">
        <v>1</v>
      </c>
      <c r="F479" s="24" t="n">
        <v>0.646891594</v>
      </c>
    </row>
    <row r="480" customFormat="false" ht="15" hidden="false" customHeight="false" outlineLevel="0" collapsed="false">
      <c r="A480" s="3" t="n">
        <v>479</v>
      </c>
      <c r="B480" s="3" t="n">
        <v>478</v>
      </c>
      <c r="C480" s="3" t="n">
        <v>9</v>
      </c>
      <c r="D480" s="3" t="n">
        <v>5</v>
      </c>
      <c r="E480" s="3" t="n">
        <v>2</v>
      </c>
      <c r="F480" s="24" t="n">
        <v>0</v>
      </c>
    </row>
    <row r="481" customFormat="false" ht="15" hidden="false" customHeight="false" outlineLevel="0" collapsed="false">
      <c r="A481" s="3" t="n">
        <v>480</v>
      </c>
      <c r="B481" s="3" t="n">
        <v>479</v>
      </c>
      <c r="C481" s="3" t="n">
        <v>9</v>
      </c>
      <c r="D481" s="3" t="n">
        <v>5</v>
      </c>
      <c r="E481" s="3" t="n">
        <v>3</v>
      </c>
      <c r="F481" s="24" t="n">
        <v>0</v>
      </c>
    </row>
    <row r="482" customFormat="false" ht="15" hidden="false" customHeight="false" outlineLevel="0" collapsed="false">
      <c r="A482" s="3" t="n">
        <v>481</v>
      </c>
      <c r="B482" s="3" t="n">
        <v>480</v>
      </c>
      <c r="C482" s="3" t="n">
        <v>9</v>
      </c>
      <c r="D482" s="3" t="n">
        <v>5</v>
      </c>
      <c r="E482" s="3" t="n">
        <v>4</v>
      </c>
      <c r="F482" s="24" t="n">
        <v>0</v>
      </c>
    </row>
    <row r="483" customFormat="false" ht="15" hidden="false" customHeight="false" outlineLevel="0" collapsed="false">
      <c r="A483" s="3" t="n">
        <v>482</v>
      </c>
      <c r="B483" s="3" t="n">
        <v>481</v>
      </c>
      <c r="C483" s="3" t="n">
        <v>9</v>
      </c>
      <c r="D483" s="3" t="n">
        <v>5</v>
      </c>
      <c r="E483" s="3" t="n">
        <v>5</v>
      </c>
      <c r="F483" s="24" t="n">
        <v>1.33946514</v>
      </c>
    </row>
    <row r="484" customFormat="false" ht="15" hidden="false" customHeight="false" outlineLevel="0" collapsed="false">
      <c r="A484" s="3" t="n">
        <v>483</v>
      </c>
      <c r="B484" s="3" t="n">
        <v>482</v>
      </c>
      <c r="C484" s="3" t="n">
        <v>9</v>
      </c>
      <c r="D484" s="3" t="n">
        <v>5</v>
      </c>
      <c r="E484" s="3" t="n">
        <v>6</v>
      </c>
      <c r="F484" s="24" t="n">
        <v>0.165118873</v>
      </c>
    </row>
    <row r="485" customFormat="false" ht="15" hidden="false" customHeight="false" outlineLevel="0" collapsed="false">
      <c r="A485" s="3" t="n">
        <v>484</v>
      </c>
      <c r="B485" s="3" t="n">
        <v>483</v>
      </c>
      <c r="C485" s="3" t="n">
        <v>9</v>
      </c>
      <c r="D485" s="3" t="n">
        <v>6</v>
      </c>
      <c r="E485" s="3" t="n">
        <v>0</v>
      </c>
      <c r="F485" s="24" t="n">
        <v>0</v>
      </c>
    </row>
    <row r="486" customFormat="false" ht="15" hidden="false" customHeight="false" outlineLevel="0" collapsed="false">
      <c r="A486" s="3" t="n">
        <v>485</v>
      </c>
      <c r="B486" s="3" t="n">
        <v>484</v>
      </c>
      <c r="C486" s="3" t="n">
        <v>9</v>
      </c>
      <c r="D486" s="3" t="n">
        <v>6</v>
      </c>
      <c r="E486" s="3" t="n">
        <v>1</v>
      </c>
      <c r="F486" s="24" t="n">
        <v>0</v>
      </c>
    </row>
    <row r="487" customFormat="false" ht="15" hidden="false" customHeight="false" outlineLevel="0" collapsed="false">
      <c r="A487" s="3" t="n">
        <v>486</v>
      </c>
      <c r="B487" s="3" t="n">
        <v>485</v>
      </c>
      <c r="C487" s="3" t="n">
        <v>9</v>
      </c>
      <c r="D487" s="3" t="n">
        <v>6</v>
      </c>
      <c r="E487" s="3" t="n">
        <v>2</v>
      </c>
      <c r="F487" s="24" t="n">
        <v>0</v>
      </c>
    </row>
    <row r="488" customFormat="false" ht="15" hidden="false" customHeight="false" outlineLevel="0" collapsed="false">
      <c r="A488" s="3" t="n">
        <v>487</v>
      </c>
      <c r="B488" s="3" t="n">
        <v>486</v>
      </c>
      <c r="C488" s="3" t="n">
        <v>9</v>
      </c>
      <c r="D488" s="3" t="n">
        <v>6</v>
      </c>
      <c r="E488" s="3" t="n">
        <v>3</v>
      </c>
      <c r="F488" s="24" t="n">
        <v>0</v>
      </c>
    </row>
    <row r="489" customFormat="false" ht="15" hidden="false" customHeight="false" outlineLevel="0" collapsed="false">
      <c r="A489" s="3" t="n">
        <v>488</v>
      </c>
      <c r="B489" s="3" t="n">
        <v>487</v>
      </c>
      <c r="C489" s="3" t="n">
        <v>9</v>
      </c>
      <c r="D489" s="3" t="n">
        <v>6</v>
      </c>
      <c r="E489" s="3" t="n">
        <v>4</v>
      </c>
      <c r="F489" s="24" t="n">
        <v>0</v>
      </c>
    </row>
    <row r="490" customFormat="false" ht="15" hidden="false" customHeight="false" outlineLevel="0" collapsed="false">
      <c r="A490" s="3" t="n">
        <v>489</v>
      </c>
      <c r="B490" s="3" t="n">
        <v>488</v>
      </c>
      <c r="C490" s="3" t="n">
        <v>9</v>
      </c>
      <c r="D490" s="3" t="n">
        <v>6</v>
      </c>
      <c r="E490" s="3" t="n">
        <v>5</v>
      </c>
      <c r="F490" s="24" t="n">
        <v>0.307289571</v>
      </c>
    </row>
    <row r="491" customFormat="false" ht="15" hidden="false" customHeight="false" outlineLevel="0" collapsed="false">
      <c r="A491" s="3" t="n">
        <v>490</v>
      </c>
      <c r="B491" s="3" t="n">
        <v>489</v>
      </c>
      <c r="C491" s="3" t="n">
        <v>9</v>
      </c>
      <c r="D491" s="3" t="n">
        <v>6</v>
      </c>
      <c r="E491" s="3" t="n">
        <v>6</v>
      </c>
      <c r="F491" s="24" t="n">
        <v>0</v>
      </c>
    </row>
    <row r="492" customFormat="false" ht="15" hidden="false" customHeight="false" outlineLevel="0" collapsed="false">
      <c r="A492" s="3" t="n">
        <v>491</v>
      </c>
      <c r="B492" s="3" t="n">
        <v>490</v>
      </c>
      <c r="C492" s="3" t="n">
        <v>10</v>
      </c>
      <c r="D492" s="3" t="n">
        <v>0</v>
      </c>
      <c r="E492" s="3" t="n">
        <v>0</v>
      </c>
      <c r="F492" s="24" t="n">
        <v>0</v>
      </c>
    </row>
    <row r="493" customFormat="false" ht="15" hidden="false" customHeight="false" outlineLevel="0" collapsed="false">
      <c r="A493" s="3" t="n">
        <v>492</v>
      </c>
      <c r="B493" s="3" t="n">
        <v>491</v>
      </c>
      <c r="C493" s="3" t="n">
        <v>10</v>
      </c>
      <c r="D493" s="3" t="n">
        <v>0</v>
      </c>
      <c r="E493" s="3" t="n">
        <v>1</v>
      </c>
      <c r="F493" s="24" t="n">
        <v>0</v>
      </c>
    </row>
    <row r="494" customFormat="false" ht="15" hidden="false" customHeight="false" outlineLevel="0" collapsed="false">
      <c r="A494" s="3" t="n">
        <v>493</v>
      </c>
      <c r="B494" s="3" t="n">
        <v>492</v>
      </c>
      <c r="C494" s="3" t="n">
        <v>10</v>
      </c>
      <c r="D494" s="3" t="n">
        <v>0</v>
      </c>
      <c r="E494" s="3" t="n">
        <v>2</v>
      </c>
      <c r="F494" s="24" t="n">
        <v>0</v>
      </c>
    </row>
    <row r="495" customFormat="false" ht="15" hidden="false" customHeight="false" outlineLevel="0" collapsed="false">
      <c r="A495" s="3" t="n">
        <v>494</v>
      </c>
      <c r="B495" s="3" t="n">
        <v>493</v>
      </c>
      <c r="C495" s="3" t="n">
        <v>10</v>
      </c>
      <c r="D495" s="3" t="n">
        <v>0</v>
      </c>
      <c r="E495" s="3" t="n">
        <v>3</v>
      </c>
      <c r="F495" s="24" t="n">
        <v>0</v>
      </c>
    </row>
    <row r="496" customFormat="false" ht="15" hidden="false" customHeight="false" outlineLevel="0" collapsed="false">
      <c r="A496" s="3" t="n">
        <v>495</v>
      </c>
      <c r="B496" s="3" t="n">
        <v>494</v>
      </c>
      <c r="C496" s="3" t="n">
        <v>10</v>
      </c>
      <c r="D496" s="3" t="n">
        <v>0</v>
      </c>
      <c r="E496" s="3" t="n">
        <v>4</v>
      </c>
      <c r="F496" s="24" t="n">
        <v>0</v>
      </c>
    </row>
    <row r="497" customFormat="false" ht="15" hidden="false" customHeight="false" outlineLevel="0" collapsed="false">
      <c r="A497" s="3" t="n">
        <v>496</v>
      </c>
      <c r="B497" s="3" t="n">
        <v>495</v>
      </c>
      <c r="C497" s="3" t="n">
        <v>10</v>
      </c>
      <c r="D497" s="3" t="n">
        <v>0</v>
      </c>
      <c r="E497" s="3" t="n">
        <v>5</v>
      </c>
      <c r="F497" s="24" t="n">
        <v>0</v>
      </c>
    </row>
    <row r="498" customFormat="false" ht="15" hidden="false" customHeight="false" outlineLevel="0" collapsed="false">
      <c r="A498" s="3" t="n">
        <v>497</v>
      </c>
      <c r="B498" s="3" t="n">
        <v>496</v>
      </c>
      <c r="C498" s="3" t="n">
        <v>10</v>
      </c>
      <c r="D498" s="3" t="n">
        <v>0</v>
      </c>
      <c r="E498" s="3" t="n">
        <v>6</v>
      </c>
      <c r="F498" s="24" t="n">
        <v>0</v>
      </c>
    </row>
    <row r="499" customFormat="false" ht="15" hidden="false" customHeight="false" outlineLevel="0" collapsed="false">
      <c r="A499" s="3" t="n">
        <v>498</v>
      </c>
      <c r="B499" s="3" t="n">
        <v>497</v>
      </c>
      <c r="C499" s="3" t="n">
        <v>10</v>
      </c>
      <c r="D499" s="3" t="n">
        <v>1</v>
      </c>
      <c r="E499" s="3" t="n">
        <v>0</v>
      </c>
      <c r="F499" s="24" t="n">
        <v>6.12904024</v>
      </c>
    </row>
    <row r="500" customFormat="false" ht="15" hidden="false" customHeight="false" outlineLevel="0" collapsed="false">
      <c r="A500" s="3" t="n">
        <v>499</v>
      </c>
      <c r="B500" s="3" t="n">
        <v>498</v>
      </c>
      <c r="C500" s="3" t="n">
        <v>10</v>
      </c>
      <c r="D500" s="3" t="n">
        <v>1</v>
      </c>
      <c r="E500" s="3" t="n">
        <v>1</v>
      </c>
      <c r="F500" s="24" t="n">
        <v>12.095787</v>
      </c>
    </row>
    <row r="501" customFormat="false" ht="15" hidden="false" customHeight="false" outlineLevel="0" collapsed="false">
      <c r="A501" s="3" t="n">
        <v>500</v>
      </c>
      <c r="B501" s="3" t="n">
        <v>499</v>
      </c>
      <c r="C501" s="3" t="n">
        <v>10</v>
      </c>
      <c r="D501" s="3" t="n">
        <v>1</v>
      </c>
      <c r="E501" s="3" t="n">
        <v>2</v>
      </c>
      <c r="F501" s="24" t="n">
        <v>20.9079304</v>
      </c>
    </row>
    <row r="502" customFormat="false" ht="15" hidden="false" customHeight="false" outlineLevel="0" collapsed="false">
      <c r="A502" s="3" t="n">
        <v>501</v>
      </c>
      <c r="B502" s="3" t="n">
        <v>500</v>
      </c>
      <c r="C502" s="3" t="n">
        <v>10</v>
      </c>
      <c r="D502" s="3" t="n">
        <v>1</v>
      </c>
      <c r="E502" s="3" t="n">
        <v>3</v>
      </c>
      <c r="F502" s="24" t="n">
        <v>15.3785992</v>
      </c>
    </row>
    <row r="503" customFormat="false" ht="15" hidden="false" customHeight="false" outlineLevel="0" collapsed="false">
      <c r="A503" s="3" t="n">
        <v>502</v>
      </c>
      <c r="B503" s="3" t="n">
        <v>501</v>
      </c>
      <c r="C503" s="3" t="n">
        <v>10</v>
      </c>
      <c r="D503" s="3" t="n">
        <v>1</v>
      </c>
      <c r="E503" s="3" t="n">
        <v>4</v>
      </c>
      <c r="F503" s="24" t="n">
        <v>11.273984</v>
      </c>
    </row>
    <row r="504" customFormat="false" ht="15" hidden="false" customHeight="false" outlineLevel="0" collapsed="false">
      <c r="A504" s="3" t="n">
        <v>503</v>
      </c>
      <c r="B504" s="3" t="n">
        <v>502</v>
      </c>
      <c r="C504" s="3" t="n">
        <v>10</v>
      </c>
      <c r="D504" s="3" t="n">
        <v>1</v>
      </c>
      <c r="E504" s="3" t="n">
        <v>5</v>
      </c>
      <c r="F504" s="24" t="n">
        <v>0</v>
      </c>
    </row>
    <row r="505" customFormat="false" ht="15" hidden="false" customHeight="false" outlineLevel="0" collapsed="false">
      <c r="A505" s="3" t="n">
        <v>504</v>
      </c>
      <c r="B505" s="3" t="n">
        <v>503</v>
      </c>
      <c r="C505" s="3" t="n">
        <v>10</v>
      </c>
      <c r="D505" s="3" t="n">
        <v>1</v>
      </c>
      <c r="E505" s="3" t="n">
        <v>6</v>
      </c>
      <c r="F505" s="24" t="n">
        <v>0</v>
      </c>
    </row>
    <row r="506" customFormat="false" ht="15" hidden="false" customHeight="false" outlineLevel="0" collapsed="false">
      <c r="A506" s="3" t="n">
        <v>505</v>
      </c>
      <c r="B506" s="3" t="n">
        <v>504</v>
      </c>
      <c r="C506" s="3" t="n">
        <v>10</v>
      </c>
      <c r="D506" s="3" t="n">
        <v>2</v>
      </c>
      <c r="E506" s="3" t="n">
        <v>0</v>
      </c>
      <c r="F506" s="24" t="n">
        <v>0</v>
      </c>
    </row>
    <row r="507" customFormat="false" ht="15" hidden="false" customHeight="false" outlineLevel="0" collapsed="false">
      <c r="A507" s="3" t="n">
        <v>506</v>
      </c>
      <c r="B507" s="3" t="n">
        <v>505</v>
      </c>
      <c r="C507" s="3" t="n">
        <v>10</v>
      </c>
      <c r="D507" s="3" t="n">
        <v>2</v>
      </c>
      <c r="E507" s="3" t="n">
        <v>1</v>
      </c>
      <c r="F507" s="24" t="n">
        <v>3.60845399</v>
      </c>
    </row>
    <row r="508" customFormat="false" ht="15" hidden="false" customHeight="false" outlineLevel="0" collapsed="false">
      <c r="A508" s="3" t="n">
        <v>507</v>
      </c>
      <c r="B508" s="3" t="n">
        <v>506</v>
      </c>
      <c r="C508" s="3" t="n">
        <v>10</v>
      </c>
      <c r="D508" s="3" t="n">
        <v>2</v>
      </c>
      <c r="E508" s="3" t="n">
        <v>2</v>
      </c>
      <c r="F508" s="24" t="n">
        <v>4.50162411</v>
      </c>
    </row>
    <row r="509" customFormat="false" ht="15" hidden="false" customHeight="false" outlineLevel="0" collapsed="false">
      <c r="A509" s="3" t="n">
        <v>508</v>
      </c>
      <c r="B509" s="3" t="n">
        <v>507</v>
      </c>
      <c r="C509" s="3" t="n">
        <v>10</v>
      </c>
      <c r="D509" s="3" t="n">
        <v>2</v>
      </c>
      <c r="E509" s="3" t="n">
        <v>3</v>
      </c>
      <c r="F509" s="24" t="n">
        <v>9.76002312</v>
      </c>
    </row>
    <row r="510" customFormat="false" ht="15" hidden="false" customHeight="false" outlineLevel="0" collapsed="false">
      <c r="A510" s="3" t="n">
        <v>509</v>
      </c>
      <c r="B510" s="3" t="n">
        <v>508</v>
      </c>
      <c r="C510" s="3" t="n">
        <v>10</v>
      </c>
      <c r="D510" s="3" t="n">
        <v>2</v>
      </c>
      <c r="E510" s="3" t="n">
        <v>4</v>
      </c>
      <c r="F510" s="24" t="n">
        <v>8.50123882</v>
      </c>
    </row>
    <row r="511" customFormat="false" ht="15" hidden="false" customHeight="false" outlineLevel="0" collapsed="false">
      <c r="A511" s="3" t="n">
        <v>510</v>
      </c>
      <c r="B511" s="3" t="n">
        <v>509</v>
      </c>
      <c r="C511" s="3" t="n">
        <v>10</v>
      </c>
      <c r="D511" s="3" t="n">
        <v>2</v>
      </c>
      <c r="E511" s="3" t="n">
        <v>5</v>
      </c>
      <c r="F511" s="24" t="n">
        <v>0</v>
      </c>
    </row>
    <row r="512" customFormat="false" ht="15" hidden="false" customHeight="false" outlineLevel="0" collapsed="false">
      <c r="A512" s="3" t="n">
        <v>511</v>
      </c>
      <c r="B512" s="3" t="n">
        <v>510</v>
      </c>
      <c r="C512" s="3" t="n">
        <v>10</v>
      </c>
      <c r="D512" s="3" t="n">
        <v>2</v>
      </c>
      <c r="E512" s="3" t="n">
        <v>6</v>
      </c>
      <c r="F512" s="24" t="n">
        <v>0</v>
      </c>
    </row>
    <row r="513" customFormat="false" ht="15" hidden="false" customHeight="false" outlineLevel="0" collapsed="false">
      <c r="A513" s="3" t="n">
        <v>512</v>
      </c>
      <c r="B513" s="3" t="n">
        <v>511</v>
      </c>
      <c r="C513" s="3" t="n">
        <v>10</v>
      </c>
      <c r="D513" s="3" t="n">
        <v>3</v>
      </c>
      <c r="E513" s="3" t="n">
        <v>0</v>
      </c>
      <c r="F513" s="24" t="n">
        <v>1.65601099</v>
      </c>
    </row>
    <row r="514" customFormat="false" ht="15" hidden="false" customHeight="false" outlineLevel="0" collapsed="false">
      <c r="A514" s="3" t="n">
        <v>513</v>
      </c>
      <c r="B514" s="3" t="n">
        <v>512</v>
      </c>
      <c r="C514" s="3" t="n">
        <v>10</v>
      </c>
      <c r="D514" s="3" t="n">
        <v>3</v>
      </c>
      <c r="E514" s="3" t="n">
        <v>1</v>
      </c>
      <c r="F514" s="24" t="n">
        <v>0</v>
      </c>
    </row>
    <row r="515" customFormat="false" ht="15" hidden="false" customHeight="false" outlineLevel="0" collapsed="false">
      <c r="A515" s="3" t="n">
        <v>514</v>
      </c>
      <c r="B515" s="3" t="n">
        <v>513</v>
      </c>
      <c r="C515" s="3" t="n">
        <v>10</v>
      </c>
      <c r="D515" s="3" t="n">
        <v>3</v>
      </c>
      <c r="E515" s="3" t="n">
        <v>2</v>
      </c>
      <c r="F515" s="24" t="n">
        <v>0</v>
      </c>
    </row>
    <row r="516" customFormat="false" ht="15" hidden="false" customHeight="false" outlineLevel="0" collapsed="false">
      <c r="A516" s="3" t="n">
        <v>515</v>
      </c>
      <c r="B516" s="3" t="n">
        <v>514</v>
      </c>
      <c r="C516" s="3" t="n">
        <v>10</v>
      </c>
      <c r="D516" s="3" t="n">
        <v>3</v>
      </c>
      <c r="E516" s="3" t="n">
        <v>3</v>
      </c>
      <c r="F516" s="24" t="n">
        <v>0</v>
      </c>
    </row>
    <row r="517" customFormat="false" ht="15" hidden="false" customHeight="false" outlineLevel="0" collapsed="false">
      <c r="A517" s="3" t="n">
        <v>516</v>
      </c>
      <c r="B517" s="3" t="n">
        <v>515</v>
      </c>
      <c r="C517" s="3" t="n">
        <v>10</v>
      </c>
      <c r="D517" s="3" t="n">
        <v>3</v>
      </c>
      <c r="E517" s="3" t="n">
        <v>4</v>
      </c>
      <c r="F517" s="24" t="n">
        <v>0</v>
      </c>
    </row>
    <row r="518" customFormat="false" ht="15" hidden="false" customHeight="false" outlineLevel="0" collapsed="false">
      <c r="A518" s="3" t="n">
        <v>517</v>
      </c>
      <c r="B518" s="3" t="n">
        <v>516</v>
      </c>
      <c r="C518" s="3" t="n">
        <v>10</v>
      </c>
      <c r="D518" s="3" t="n">
        <v>3</v>
      </c>
      <c r="E518" s="3" t="n">
        <v>5</v>
      </c>
      <c r="F518" s="24" t="n">
        <v>0</v>
      </c>
    </row>
    <row r="519" customFormat="false" ht="15" hidden="false" customHeight="false" outlineLevel="0" collapsed="false">
      <c r="A519" s="3" t="n">
        <v>518</v>
      </c>
      <c r="B519" s="3" t="n">
        <v>517</v>
      </c>
      <c r="C519" s="3" t="n">
        <v>10</v>
      </c>
      <c r="D519" s="3" t="n">
        <v>3</v>
      </c>
      <c r="E519" s="3" t="n">
        <v>6</v>
      </c>
      <c r="F519" s="24" t="n">
        <v>0</v>
      </c>
    </row>
    <row r="520" customFormat="false" ht="15" hidden="false" customHeight="false" outlineLevel="0" collapsed="false">
      <c r="A520" s="3" t="n">
        <v>519</v>
      </c>
      <c r="B520" s="3" t="n">
        <v>518</v>
      </c>
      <c r="C520" s="3" t="n">
        <v>10</v>
      </c>
      <c r="D520" s="3" t="n">
        <v>4</v>
      </c>
      <c r="E520" s="3" t="n">
        <v>0</v>
      </c>
      <c r="F520" s="24" t="n">
        <v>0</v>
      </c>
    </row>
    <row r="521" customFormat="false" ht="15" hidden="false" customHeight="false" outlineLevel="0" collapsed="false">
      <c r="A521" s="3" t="n">
        <v>520</v>
      </c>
      <c r="B521" s="3" t="n">
        <v>519</v>
      </c>
      <c r="C521" s="3" t="n">
        <v>10</v>
      </c>
      <c r="D521" s="3" t="n">
        <v>4</v>
      </c>
      <c r="E521" s="3" t="n">
        <v>1</v>
      </c>
      <c r="F521" s="24" t="n">
        <v>0</v>
      </c>
    </row>
    <row r="522" customFormat="false" ht="15" hidden="false" customHeight="false" outlineLevel="0" collapsed="false">
      <c r="A522" s="3" t="n">
        <v>521</v>
      </c>
      <c r="B522" s="3" t="n">
        <v>520</v>
      </c>
      <c r="C522" s="3" t="n">
        <v>10</v>
      </c>
      <c r="D522" s="3" t="n">
        <v>4</v>
      </c>
      <c r="E522" s="3" t="n">
        <v>2</v>
      </c>
      <c r="F522" s="24" t="n">
        <v>0</v>
      </c>
    </row>
    <row r="523" customFormat="false" ht="15" hidden="false" customHeight="false" outlineLevel="0" collapsed="false">
      <c r="A523" s="3" t="n">
        <v>522</v>
      </c>
      <c r="B523" s="3" t="n">
        <v>521</v>
      </c>
      <c r="C523" s="3" t="n">
        <v>10</v>
      </c>
      <c r="D523" s="3" t="n">
        <v>4</v>
      </c>
      <c r="E523" s="3" t="n">
        <v>3</v>
      </c>
      <c r="F523" s="24" t="n">
        <v>0</v>
      </c>
    </row>
    <row r="524" customFormat="false" ht="15" hidden="false" customHeight="false" outlineLevel="0" collapsed="false">
      <c r="A524" s="3" t="n">
        <v>523</v>
      </c>
      <c r="B524" s="3" t="n">
        <v>522</v>
      </c>
      <c r="C524" s="3" t="n">
        <v>10</v>
      </c>
      <c r="D524" s="3" t="n">
        <v>4</v>
      </c>
      <c r="E524" s="3" t="n">
        <v>4</v>
      </c>
      <c r="F524" s="24" t="n">
        <v>0</v>
      </c>
    </row>
    <row r="525" customFormat="false" ht="15" hidden="false" customHeight="false" outlineLevel="0" collapsed="false">
      <c r="A525" s="3" t="n">
        <v>524</v>
      </c>
      <c r="B525" s="3" t="n">
        <v>523</v>
      </c>
      <c r="C525" s="3" t="n">
        <v>10</v>
      </c>
      <c r="D525" s="3" t="n">
        <v>4</v>
      </c>
      <c r="E525" s="3" t="n">
        <v>5</v>
      </c>
      <c r="F525" s="24" t="n">
        <v>0</v>
      </c>
    </row>
    <row r="526" customFormat="false" ht="15" hidden="false" customHeight="false" outlineLevel="0" collapsed="false">
      <c r="A526" s="3" t="n">
        <v>525</v>
      </c>
      <c r="B526" s="3" t="n">
        <v>524</v>
      </c>
      <c r="C526" s="3" t="n">
        <v>10</v>
      </c>
      <c r="D526" s="3" t="n">
        <v>4</v>
      </c>
      <c r="E526" s="3" t="n">
        <v>6</v>
      </c>
      <c r="F526" s="24" t="n">
        <v>0.217444167</v>
      </c>
    </row>
    <row r="527" customFormat="false" ht="15" hidden="false" customHeight="false" outlineLevel="0" collapsed="false">
      <c r="A527" s="3" t="n">
        <v>526</v>
      </c>
      <c r="B527" s="3" t="n">
        <v>525</v>
      </c>
      <c r="C527" s="3" t="n">
        <v>10</v>
      </c>
      <c r="D527" s="3" t="n">
        <v>5</v>
      </c>
      <c r="E527" s="3" t="n">
        <v>0</v>
      </c>
      <c r="F527" s="24" t="n">
        <v>0</v>
      </c>
    </row>
    <row r="528" customFormat="false" ht="15" hidden="false" customHeight="false" outlineLevel="0" collapsed="false">
      <c r="A528" s="3" t="n">
        <v>527</v>
      </c>
      <c r="B528" s="3" t="n">
        <v>526</v>
      </c>
      <c r="C528" s="3" t="n">
        <v>10</v>
      </c>
      <c r="D528" s="3" t="n">
        <v>5</v>
      </c>
      <c r="E528" s="3" t="n">
        <v>1</v>
      </c>
      <c r="F528" s="24" t="n">
        <v>0</v>
      </c>
    </row>
    <row r="529" customFormat="false" ht="15" hidden="false" customHeight="false" outlineLevel="0" collapsed="false">
      <c r="A529" s="3" t="n">
        <v>528</v>
      </c>
      <c r="B529" s="3" t="n">
        <v>527</v>
      </c>
      <c r="C529" s="3" t="n">
        <v>10</v>
      </c>
      <c r="D529" s="3" t="n">
        <v>5</v>
      </c>
      <c r="E529" s="3" t="n">
        <v>2</v>
      </c>
      <c r="F529" s="24" t="n">
        <v>0</v>
      </c>
    </row>
    <row r="530" customFormat="false" ht="15" hidden="false" customHeight="false" outlineLevel="0" collapsed="false">
      <c r="A530" s="3" t="n">
        <v>529</v>
      </c>
      <c r="B530" s="3" t="n">
        <v>528</v>
      </c>
      <c r="C530" s="3" t="n">
        <v>10</v>
      </c>
      <c r="D530" s="3" t="n">
        <v>5</v>
      </c>
      <c r="E530" s="3" t="n">
        <v>3</v>
      </c>
      <c r="F530" s="24" t="n">
        <v>0</v>
      </c>
    </row>
    <row r="531" customFormat="false" ht="15" hidden="false" customHeight="false" outlineLevel="0" collapsed="false">
      <c r="A531" s="3" t="n">
        <v>530</v>
      </c>
      <c r="B531" s="3" t="n">
        <v>529</v>
      </c>
      <c r="C531" s="3" t="n">
        <v>10</v>
      </c>
      <c r="D531" s="3" t="n">
        <v>5</v>
      </c>
      <c r="E531" s="3" t="n">
        <v>4</v>
      </c>
      <c r="F531" s="24" t="n">
        <v>0</v>
      </c>
    </row>
    <row r="532" customFormat="false" ht="15" hidden="false" customHeight="false" outlineLevel="0" collapsed="false">
      <c r="A532" s="3" t="n">
        <v>531</v>
      </c>
      <c r="B532" s="3" t="n">
        <v>530</v>
      </c>
      <c r="C532" s="3" t="n">
        <v>10</v>
      </c>
      <c r="D532" s="3" t="n">
        <v>5</v>
      </c>
      <c r="E532" s="3" t="n">
        <v>5</v>
      </c>
      <c r="F532" s="24" t="n">
        <v>0</v>
      </c>
    </row>
    <row r="533" customFormat="false" ht="15" hidden="false" customHeight="false" outlineLevel="0" collapsed="false">
      <c r="A533" s="3" t="n">
        <v>532</v>
      </c>
      <c r="B533" s="3" t="n">
        <v>531</v>
      </c>
      <c r="C533" s="3" t="n">
        <v>10</v>
      </c>
      <c r="D533" s="3" t="n">
        <v>5</v>
      </c>
      <c r="E533" s="3" t="n">
        <v>6</v>
      </c>
      <c r="F533" s="24" t="n">
        <v>0.0195132792</v>
      </c>
    </row>
    <row r="534" customFormat="false" ht="15" hidden="false" customHeight="false" outlineLevel="0" collapsed="false">
      <c r="A534" s="3" t="n">
        <v>533</v>
      </c>
      <c r="B534" s="3" t="n">
        <v>532</v>
      </c>
      <c r="C534" s="3" t="n">
        <v>10</v>
      </c>
      <c r="D534" s="3" t="n">
        <v>6</v>
      </c>
      <c r="E534" s="3" t="n">
        <v>0</v>
      </c>
      <c r="F534" s="24" t="n">
        <v>0.751522779</v>
      </c>
    </row>
    <row r="535" customFormat="false" ht="15" hidden="false" customHeight="false" outlineLevel="0" collapsed="false">
      <c r="A535" s="3" t="n">
        <v>534</v>
      </c>
      <c r="B535" s="3" t="n">
        <v>533</v>
      </c>
      <c r="C535" s="3" t="n">
        <v>10</v>
      </c>
      <c r="D535" s="3" t="n">
        <v>6</v>
      </c>
      <c r="E535" s="3" t="n">
        <v>1</v>
      </c>
      <c r="F535" s="24" t="n">
        <v>0</v>
      </c>
    </row>
    <row r="536" customFormat="false" ht="15" hidden="false" customHeight="false" outlineLevel="0" collapsed="false">
      <c r="A536" s="3" t="n">
        <v>535</v>
      </c>
      <c r="B536" s="3" t="n">
        <v>534</v>
      </c>
      <c r="C536" s="3" t="n">
        <v>10</v>
      </c>
      <c r="D536" s="3" t="n">
        <v>6</v>
      </c>
      <c r="E536" s="3" t="n">
        <v>2</v>
      </c>
      <c r="F536" s="24" t="n">
        <v>0</v>
      </c>
    </row>
    <row r="537" customFormat="false" ht="15" hidden="false" customHeight="false" outlineLevel="0" collapsed="false">
      <c r="A537" s="3" t="n">
        <v>536</v>
      </c>
      <c r="B537" s="3" t="n">
        <v>535</v>
      </c>
      <c r="C537" s="3" t="n">
        <v>10</v>
      </c>
      <c r="D537" s="3" t="n">
        <v>6</v>
      </c>
      <c r="E537" s="3" t="n">
        <v>3</v>
      </c>
      <c r="F537" s="24" t="n">
        <v>0</v>
      </c>
    </row>
    <row r="538" customFormat="false" ht="15" hidden="false" customHeight="false" outlineLevel="0" collapsed="false">
      <c r="A538" s="3" t="n">
        <v>537</v>
      </c>
      <c r="B538" s="3" t="n">
        <v>536</v>
      </c>
      <c r="C538" s="3" t="n">
        <v>10</v>
      </c>
      <c r="D538" s="3" t="n">
        <v>6</v>
      </c>
      <c r="E538" s="3" t="n">
        <v>4</v>
      </c>
      <c r="F538" s="24" t="n">
        <v>0</v>
      </c>
    </row>
    <row r="539" customFormat="false" ht="15" hidden="false" customHeight="false" outlineLevel="0" collapsed="false">
      <c r="A539" s="3" t="n">
        <v>538</v>
      </c>
      <c r="B539" s="3" t="n">
        <v>537</v>
      </c>
      <c r="C539" s="3" t="n">
        <v>10</v>
      </c>
      <c r="D539" s="3" t="n">
        <v>6</v>
      </c>
      <c r="E539" s="3" t="n">
        <v>5</v>
      </c>
      <c r="F539" s="24" t="n">
        <v>1.40623987</v>
      </c>
    </row>
    <row r="540" customFormat="false" ht="15" hidden="false" customHeight="false" outlineLevel="0" collapsed="false">
      <c r="A540" s="3" t="n">
        <v>539</v>
      </c>
      <c r="B540" s="3" t="n">
        <v>538</v>
      </c>
      <c r="C540" s="3" t="n">
        <v>10</v>
      </c>
      <c r="D540" s="3" t="n">
        <v>6</v>
      </c>
      <c r="E540" s="3" t="n">
        <v>6</v>
      </c>
      <c r="F540" s="24" t="n">
        <v>0.372296512</v>
      </c>
    </row>
    <row r="541" customFormat="false" ht="15" hidden="false" customHeight="false" outlineLevel="0" collapsed="false">
      <c r="A541" s="3" t="n">
        <v>540</v>
      </c>
      <c r="B541" s="3" t="n">
        <v>539</v>
      </c>
      <c r="C541" s="3" t="n">
        <v>11</v>
      </c>
      <c r="D541" s="3" t="n">
        <v>0</v>
      </c>
      <c r="E541" s="3" t="n">
        <v>0</v>
      </c>
      <c r="F541" s="24" t="n">
        <v>0</v>
      </c>
    </row>
    <row r="542" customFormat="false" ht="15" hidden="false" customHeight="false" outlineLevel="0" collapsed="false">
      <c r="A542" s="3" t="n">
        <v>541</v>
      </c>
      <c r="B542" s="3" t="n">
        <v>540</v>
      </c>
      <c r="C542" s="3" t="n">
        <v>11</v>
      </c>
      <c r="D542" s="3" t="n">
        <v>0</v>
      </c>
      <c r="E542" s="3" t="n">
        <v>1</v>
      </c>
      <c r="F542" s="24" t="n">
        <v>0</v>
      </c>
    </row>
    <row r="543" customFormat="false" ht="15" hidden="false" customHeight="false" outlineLevel="0" collapsed="false">
      <c r="A543" s="3" t="n">
        <v>542</v>
      </c>
      <c r="B543" s="3" t="n">
        <v>541</v>
      </c>
      <c r="C543" s="3" t="n">
        <v>11</v>
      </c>
      <c r="D543" s="3" t="n">
        <v>0</v>
      </c>
      <c r="E543" s="3" t="n">
        <v>2</v>
      </c>
      <c r="F543" s="24" t="n">
        <v>0</v>
      </c>
    </row>
    <row r="544" customFormat="false" ht="15" hidden="false" customHeight="false" outlineLevel="0" collapsed="false">
      <c r="A544" s="3" t="n">
        <v>543</v>
      </c>
      <c r="B544" s="3" t="n">
        <v>542</v>
      </c>
      <c r="C544" s="3" t="n">
        <v>11</v>
      </c>
      <c r="D544" s="3" t="n">
        <v>0</v>
      </c>
      <c r="E544" s="3" t="n">
        <v>3</v>
      </c>
      <c r="F544" s="24" t="n">
        <v>0</v>
      </c>
    </row>
    <row r="545" customFormat="false" ht="15" hidden="false" customHeight="false" outlineLevel="0" collapsed="false">
      <c r="A545" s="3" t="n">
        <v>544</v>
      </c>
      <c r="B545" s="3" t="n">
        <v>543</v>
      </c>
      <c r="C545" s="3" t="n">
        <v>11</v>
      </c>
      <c r="D545" s="3" t="n">
        <v>0</v>
      </c>
      <c r="E545" s="3" t="n">
        <v>4</v>
      </c>
      <c r="F545" s="24" t="n">
        <v>1.18796718</v>
      </c>
    </row>
    <row r="546" customFormat="false" ht="15" hidden="false" customHeight="false" outlineLevel="0" collapsed="false">
      <c r="A546" s="3" t="n">
        <v>545</v>
      </c>
      <c r="B546" s="3" t="n">
        <v>544</v>
      </c>
      <c r="C546" s="3" t="n">
        <v>11</v>
      </c>
      <c r="D546" s="3" t="n">
        <v>0</v>
      </c>
      <c r="E546" s="3" t="n">
        <v>5</v>
      </c>
      <c r="F546" s="24" t="n">
        <v>2.25978518</v>
      </c>
    </row>
    <row r="547" customFormat="false" ht="15" hidden="false" customHeight="false" outlineLevel="0" collapsed="false">
      <c r="A547" s="3" t="n">
        <v>546</v>
      </c>
      <c r="B547" s="3" t="n">
        <v>545</v>
      </c>
      <c r="C547" s="3" t="n">
        <v>11</v>
      </c>
      <c r="D547" s="3" t="n">
        <v>0</v>
      </c>
      <c r="E547" s="3" t="n">
        <v>6</v>
      </c>
      <c r="F547" s="24" t="n">
        <v>1.79737437</v>
      </c>
    </row>
    <row r="548" customFormat="false" ht="15" hidden="false" customHeight="false" outlineLevel="0" collapsed="false">
      <c r="A548" s="3" t="n">
        <v>547</v>
      </c>
      <c r="B548" s="3" t="n">
        <v>546</v>
      </c>
      <c r="C548" s="3" t="n">
        <v>11</v>
      </c>
      <c r="D548" s="3" t="n">
        <v>1</v>
      </c>
      <c r="E548" s="3" t="n">
        <v>0</v>
      </c>
      <c r="F548" s="24" t="n">
        <v>0</v>
      </c>
    </row>
    <row r="549" customFormat="false" ht="15" hidden="false" customHeight="false" outlineLevel="0" collapsed="false">
      <c r="A549" s="3" t="n">
        <v>548</v>
      </c>
      <c r="B549" s="3" t="n">
        <v>547</v>
      </c>
      <c r="C549" s="3" t="n">
        <v>11</v>
      </c>
      <c r="D549" s="3" t="n">
        <v>1</v>
      </c>
      <c r="E549" s="3" t="n">
        <v>1</v>
      </c>
      <c r="F549" s="24" t="n">
        <v>0</v>
      </c>
    </row>
    <row r="550" customFormat="false" ht="15" hidden="false" customHeight="false" outlineLevel="0" collapsed="false">
      <c r="A550" s="3" t="n">
        <v>549</v>
      </c>
      <c r="B550" s="3" t="n">
        <v>548</v>
      </c>
      <c r="C550" s="3" t="n">
        <v>11</v>
      </c>
      <c r="D550" s="3" t="n">
        <v>1</v>
      </c>
      <c r="E550" s="3" t="n">
        <v>2</v>
      </c>
      <c r="F550" s="24" t="n">
        <v>0</v>
      </c>
    </row>
    <row r="551" customFormat="false" ht="15" hidden="false" customHeight="false" outlineLevel="0" collapsed="false">
      <c r="A551" s="3" t="n">
        <v>550</v>
      </c>
      <c r="B551" s="3" t="n">
        <v>549</v>
      </c>
      <c r="C551" s="3" t="n">
        <v>11</v>
      </c>
      <c r="D551" s="3" t="n">
        <v>1</v>
      </c>
      <c r="E551" s="3" t="n">
        <v>3</v>
      </c>
      <c r="F551" s="24" t="n">
        <v>0</v>
      </c>
    </row>
    <row r="552" customFormat="false" ht="15" hidden="false" customHeight="false" outlineLevel="0" collapsed="false">
      <c r="A552" s="3" t="n">
        <v>551</v>
      </c>
      <c r="B552" s="3" t="n">
        <v>550</v>
      </c>
      <c r="C552" s="3" t="n">
        <v>11</v>
      </c>
      <c r="D552" s="3" t="n">
        <v>1</v>
      </c>
      <c r="E552" s="3" t="n">
        <v>4</v>
      </c>
      <c r="F552" s="24" t="n">
        <v>0</v>
      </c>
    </row>
    <row r="553" customFormat="false" ht="15" hidden="false" customHeight="false" outlineLevel="0" collapsed="false">
      <c r="A553" s="3" t="n">
        <v>552</v>
      </c>
      <c r="B553" s="3" t="n">
        <v>551</v>
      </c>
      <c r="C553" s="3" t="n">
        <v>11</v>
      </c>
      <c r="D553" s="3" t="n">
        <v>1</v>
      </c>
      <c r="E553" s="3" t="n">
        <v>5</v>
      </c>
      <c r="F553" s="24" t="n">
        <v>2.46107388</v>
      </c>
    </row>
    <row r="554" customFormat="false" ht="15" hidden="false" customHeight="false" outlineLevel="0" collapsed="false">
      <c r="A554" s="3" t="n">
        <v>553</v>
      </c>
      <c r="B554" s="3" t="n">
        <v>552</v>
      </c>
      <c r="C554" s="3" t="n">
        <v>11</v>
      </c>
      <c r="D554" s="3" t="n">
        <v>1</v>
      </c>
      <c r="E554" s="3" t="n">
        <v>6</v>
      </c>
      <c r="F554" s="24" t="n">
        <v>0.412454754</v>
      </c>
    </row>
    <row r="555" customFormat="false" ht="15" hidden="false" customHeight="false" outlineLevel="0" collapsed="false">
      <c r="A555" s="3" t="n">
        <v>554</v>
      </c>
      <c r="B555" s="3" t="n">
        <v>553</v>
      </c>
      <c r="C555" s="3" t="n">
        <v>11</v>
      </c>
      <c r="D555" s="3" t="n">
        <v>2</v>
      </c>
      <c r="E555" s="3" t="n">
        <v>0</v>
      </c>
      <c r="F555" s="24" t="n">
        <v>0</v>
      </c>
    </row>
    <row r="556" customFormat="false" ht="15" hidden="false" customHeight="false" outlineLevel="0" collapsed="false">
      <c r="A556" s="3" t="n">
        <v>555</v>
      </c>
      <c r="B556" s="3" t="n">
        <v>554</v>
      </c>
      <c r="C556" s="3" t="n">
        <v>11</v>
      </c>
      <c r="D556" s="3" t="n">
        <v>2</v>
      </c>
      <c r="E556" s="3" t="n">
        <v>1</v>
      </c>
      <c r="F556" s="24" t="n">
        <v>0</v>
      </c>
    </row>
    <row r="557" customFormat="false" ht="15" hidden="false" customHeight="false" outlineLevel="0" collapsed="false">
      <c r="A557" s="3" t="n">
        <v>556</v>
      </c>
      <c r="B557" s="3" t="n">
        <v>555</v>
      </c>
      <c r="C557" s="3" t="n">
        <v>11</v>
      </c>
      <c r="D557" s="3" t="n">
        <v>2</v>
      </c>
      <c r="E557" s="3" t="n">
        <v>2</v>
      </c>
      <c r="F557" s="24" t="n">
        <v>0</v>
      </c>
    </row>
    <row r="558" customFormat="false" ht="15" hidden="false" customHeight="false" outlineLevel="0" collapsed="false">
      <c r="A558" s="3" t="n">
        <v>557</v>
      </c>
      <c r="B558" s="3" t="n">
        <v>556</v>
      </c>
      <c r="C558" s="3" t="n">
        <v>11</v>
      </c>
      <c r="D558" s="3" t="n">
        <v>2</v>
      </c>
      <c r="E558" s="3" t="n">
        <v>3</v>
      </c>
      <c r="F558" s="24" t="n">
        <v>0</v>
      </c>
    </row>
    <row r="559" customFormat="false" ht="15" hidden="false" customHeight="false" outlineLevel="0" collapsed="false">
      <c r="A559" s="3" t="n">
        <v>558</v>
      </c>
      <c r="B559" s="3" t="n">
        <v>557</v>
      </c>
      <c r="C559" s="3" t="n">
        <v>11</v>
      </c>
      <c r="D559" s="3" t="n">
        <v>2</v>
      </c>
      <c r="E559" s="3" t="n">
        <v>4</v>
      </c>
      <c r="F559" s="24" t="n">
        <v>0</v>
      </c>
    </row>
    <row r="560" customFormat="false" ht="15" hidden="false" customHeight="false" outlineLevel="0" collapsed="false">
      <c r="A560" s="3" t="n">
        <v>559</v>
      </c>
      <c r="B560" s="3" t="n">
        <v>558</v>
      </c>
      <c r="C560" s="3" t="n">
        <v>11</v>
      </c>
      <c r="D560" s="3" t="n">
        <v>2</v>
      </c>
      <c r="E560" s="3" t="n">
        <v>5</v>
      </c>
      <c r="F560" s="24" t="n">
        <v>0</v>
      </c>
    </row>
    <row r="561" customFormat="false" ht="15" hidden="false" customHeight="false" outlineLevel="0" collapsed="false">
      <c r="A561" s="3" t="n">
        <v>560</v>
      </c>
      <c r="B561" s="3" t="n">
        <v>559</v>
      </c>
      <c r="C561" s="3" t="n">
        <v>11</v>
      </c>
      <c r="D561" s="3" t="n">
        <v>2</v>
      </c>
      <c r="E561" s="3" t="n">
        <v>6</v>
      </c>
      <c r="F561" s="24" t="n">
        <v>0</v>
      </c>
    </row>
    <row r="562" customFormat="false" ht="15" hidden="false" customHeight="false" outlineLevel="0" collapsed="false">
      <c r="A562" s="3" t="n">
        <v>561</v>
      </c>
      <c r="B562" s="3" t="n">
        <v>560</v>
      </c>
      <c r="C562" s="3" t="n">
        <v>11</v>
      </c>
      <c r="D562" s="3" t="n">
        <v>3</v>
      </c>
      <c r="E562" s="3" t="n">
        <v>0</v>
      </c>
      <c r="F562" s="24" t="n">
        <v>0</v>
      </c>
    </row>
    <row r="563" customFormat="false" ht="15" hidden="false" customHeight="false" outlineLevel="0" collapsed="false">
      <c r="A563" s="3" t="n">
        <v>562</v>
      </c>
      <c r="B563" s="3" t="n">
        <v>561</v>
      </c>
      <c r="C563" s="3" t="n">
        <v>11</v>
      </c>
      <c r="D563" s="3" t="n">
        <v>3</v>
      </c>
      <c r="E563" s="3" t="n">
        <v>1</v>
      </c>
      <c r="F563" s="24" t="n">
        <v>0</v>
      </c>
    </row>
    <row r="564" customFormat="false" ht="15" hidden="false" customHeight="false" outlineLevel="0" collapsed="false">
      <c r="A564" s="3" t="n">
        <v>563</v>
      </c>
      <c r="B564" s="3" t="n">
        <v>562</v>
      </c>
      <c r="C564" s="3" t="n">
        <v>11</v>
      </c>
      <c r="D564" s="3" t="n">
        <v>3</v>
      </c>
      <c r="E564" s="3" t="n">
        <v>2</v>
      </c>
      <c r="F564" s="24" t="n">
        <v>0</v>
      </c>
    </row>
    <row r="565" customFormat="false" ht="15" hidden="false" customHeight="false" outlineLevel="0" collapsed="false">
      <c r="A565" s="3" t="n">
        <v>564</v>
      </c>
      <c r="B565" s="3" t="n">
        <v>563</v>
      </c>
      <c r="C565" s="3" t="n">
        <v>11</v>
      </c>
      <c r="D565" s="3" t="n">
        <v>3</v>
      </c>
      <c r="E565" s="3" t="n">
        <v>3</v>
      </c>
      <c r="F565" s="24" t="n">
        <v>0</v>
      </c>
    </row>
    <row r="566" customFormat="false" ht="15" hidden="false" customHeight="false" outlineLevel="0" collapsed="false">
      <c r="A566" s="3" t="n">
        <v>565</v>
      </c>
      <c r="B566" s="3" t="n">
        <v>564</v>
      </c>
      <c r="C566" s="3" t="n">
        <v>11</v>
      </c>
      <c r="D566" s="3" t="n">
        <v>3</v>
      </c>
      <c r="E566" s="3" t="n">
        <v>4</v>
      </c>
      <c r="F566" s="24" t="n">
        <v>0</v>
      </c>
    </row>
    <row r="567" customFormat="false" ht="15" hidden="false" customHeight="false" outlineLevel="0" collapsed="false">
      <c r="A567" s="3" t="n">
        <v>566</v>
      </c>
      <c r="B567" s="3" t="n">
        <v>565</v>
      </c>
      <c r="C567" s="3" t="n">
        <v>11</v>
      </c>
      <c r="D567" s="3" t="n">
        <v>3</v>
      </c>
      <c r="E567" s="3" t="n">
        <v>5</v>
      </c>
      <c r="F567" s="24" t="n">
        <v>0</v>
      </c>
    </row>
    <row r="568" customFormat="false" ht="15" hidden="false" customHeight="false" outlineLevel="0" collapsed="false">
      <c r="A568" s="3" t="n">
        <v>567</v>
      </c>
      <c r="B568" s="3" t="n">
        <v>566</v>
      </c>
      <c r="C568" s="3" t="n">
        <v>11</v>
      </c>
      <c r="D568" s="3" t="n">
        <v>3</v>
      </c>
      <c r="E568" s="3" t="n">
        <v>6</v>
      </c>
      <c r="F568" s="24" t="n">
        <v>2.74244046</v>
      </c>
    </row>
    <row r="569" customFormat="false" ht="15" hidden="false" customHeight="false" outlineLevel="0" collapsed="false">
      <c r="A569" s="3" t="n">
        <v>568</v>
      </c>
      <c r="B569" s="3" t="n">
        <v>567</v>
      </c>
      <c r="C569" s="3" t="n">
        <v>11</v>
      </c>
      <c r="D569" s="3" t="n">
        <v>4</v>
      </c>
      <c r="E569" s="3" t="n">
        <v>0</v>
      </c>
      <c r="F569" s="24" t="n">
        <v>0</v>
      </c>
    </row>
    <row r="570" customFormat="false" ht="15" hidden="false" customHeight="false" outlineLevel="0" collapsed="false">
      <c r="A570" s="3" t="n">
        <v>569</v>
      </c>
      <c r="B570" s="3" t="n">
        <v>568</v>
      </c>
      <c r="C570" s="3" t="n">
        <v>11</v>
      </c>
      <c r="D570" s="3" t="n">
        <v>4</v>
      </c>
      <c r="E570" s="3" t="n">
        <v>1</v>
      </c>
      <c r="F570" s="24" t="n">
        <v>1.19599199</v>
      </c>
    </row>
    <row r="571" customFormat="false" ht="15" hidden="false" customHeight="false" outlineLevel="0" collapsed="false">
      <c r="A571" s="3" t="n">
        <v>570</v>
      </c>
      <c r="B571" s="3" t="n">
        <v>569</v>
      </c>
      <c r="C571" s="3" t="n">
        <v>11</v>
      </c>
      <c r="D571" s="3" t="n">
        <v>4</v>
      </c>
      <c r="E571" s="3" t="n">
        <v>2</v>
      </c>
      <c r="F571" s="24" t="n">
        <v>7.18678713</v>
      </c>
    </row>
    <row r="572" customFormat="false" ht="15" hidden="false" customHeight="false" outlineLevel="0" collapsed="false">
      <c r="A572" s="3" t="n">
        <v>571</v>
      </c>
      <c r="B572" s="3" t="n">
        <v>570</v>
      </c>
      <c r="C572" s="3" t="n">
        <v>11</v>
      </c>
      <c r="D572" s="3" t="n">
        <v>4</v>
      </c>
      <c r="E572" s="3" t="n">
        <v>3</v>
      </c>
      <c r="F572" s="24" t="n">
        <v>7.67196321</v>
      </c>
    </row>
    <row r="573" customFormat="false" ht="15" hidden="false" customHeight="false" outlineLevel="0" collapsed="false">
      <c r="A573" s="3" t="n">
        <v>572</v>
      </c>
      <c r="B573" s="3" t="n">
        <v>571</v>
      </c>
      <c r="C573" s="3" t="n">
        <v>11</v>
      </c>
      <c r="D573" s="3" t="n">
        <v>4</v>
      </c>
      <c r="E573" s="3" t="n">
        <v>4</v>
      </c>
      <c r="F573" s="24" t="n">
        <v>0</v>
      </c>
    </row>
    <row r="574" customFormat="false" ht="15" hidden="false" customHeight="false" outlineLevel="0" collapsed="false">
      <c r="A574" s="3" t="n">
        <v>573</v>
      </c>
      <c r="B574" s="3" t="n">
        <v>572</v>
      </c>
      <c r="C574" s="3" t="n">
        <v>11</v>
      </c>
      <c r="D574" s="3" t="n">
        <v>4</v>
      </c>
      <c r="E574" s="3" t="n">
        <v>5</v>
      </c>
      <c r="F574" s="24" t="n">
        <v>0.056566</v>
      </c>
    </row>
    <row r="575" customFormat="false" ht="15" hidden="false" customHeight="false" outlineLevel="0" collapsed="false">
      <c r="A575" s="3" t="n">
        <v>574</v>
      </c>
      <c r="B575" s="3" t="n">
        <v>573</v>
      </c>
      <c r="C575" s="3" t="n">
        <v>11</v>
      </c>
      <c r="D575" s="3" t="n">
        <v>4</v>
      </c>
      <c r="E575" s="3" t="n">
        <v>6</v>
      </c>
      <c r="F575" s="24" t="n">
        <v>1.85417008</v>
      </c>
    </row>
    <row r="576" customFormat="false" ht="15" hidden="false" customHeight="false" outlineLevel="0" collapsed="false">
      <c r="A576" s="3" t="n">
        <v>575</v>
      </c>
      <c r="B576" s="3" t="n">
        <v>574</v>
      </c>
      <c r="C576" s="3" t="n">
        <v>11</v>
      </c>
      <c r="D576" s="3" t="n">
        <v>5</v>
      </c>
      <c r="E576" s="3" t="n">
        <v>0</v>
      </c>
      <c r="F576" s="24" t="n">
        <v>0</v>
      </c>
    </row>
    <row r="577" customFormat="false" ht="15" hidden="false" customHeight="false" outlineLevel="0" collapsed="false">
      <c r="A577" s="3" t="n">
        <v>576</v>
      </c>
      <c r="B577" s="3" t="n">
        <v>575</v>
      </c>
      <c r="C577" s="3" t="n">
        <v>11</v>
      </c>
      <c r="D577" s="3" t="n">
        <v>5</v>
      </c>
      <c r="E577" s="3" t="n">
        <v>1</v>
      </c>
      <c r="F577" s="24" t="n">
        <v>5.88503313</v>
      </c>
    </row>
    <row r="578" customFormat="false" ht="15" hidden="false" customHeight="false" outlineLevel="0" collapsed="false">
      <c r="A578" s="3" t="n">
        <v>577</v>
      </c>
      <c r="B578" s="3" t="n">
        <v>576</v>
      </c>
      <c r="C578" s="3" t="n">
        <v>11</v>
      </c>
      <c r="D578" s="3" t="n">
        <v>5</v>
      </c>
      <c r="E578" s="3" t="n">
        <v>2</v>
      </c>
      <c r="F578" s="24" t="n">
        <v>7.35886717</v>
      </c>
    </row>
    <row r="579" customFormat="false" ht="15" hidden="false" customHeight="false" outlineLevel="0" collapsed="false">
      <c r="A579" s="3" t="n">
        <v>578</v>
      </c>
      <c r="B579" s="3" t="n">
        <v>577</v>
      </c>
      <c r="C579" s="3" t="n">
        <v>11</v>
      </c>
      <c r="D579" s="3" t="n">
        <v>5</v>
      </c>
      <c r="E579" s="3" t="n">
        <v>3</v>
      </c>
      <c r="F579" s="24" t="n">
        <v>0</v>
      </c>
    </row>
    <row r="580" customFormat="false" ht="15" hidden="false" customHeight="false" outlineLevel="0" collapsed="false">
      <c r="A580" s="3" t="n">
        <v>579</v>
      </c>
      <c r="B580" s="3" t="n">
        <v>578</v>
      </c>
      <c r="C580" s="3" t="n">
        <v>11</v>
      </c>
      <c r="D580" s="3" t="n">
        <v>5</v>
      </c>
      <c r="E580" s="3" t="n">
        <v>4</v>
      </c>
      <c r="F580" s="24" t="n">
        <v>0</v>
      </c>
    </row>
    <row r="581" customFormat="false" ht="15" hidden="false" customHeight="false" outlineLevel="0" collapsed="false">
      <c r="A581" s="3" t="n">
        <v>580</v>
      </c>
      <c r="B581" s="3" t="n">
        <v>579</v>
      </c>
      <c r="C581" s="3" t="n">
        <v>11</v>
      </c>
      <c r="D581" s="3" t="n">
        <v>5</v>
      </c>
      <c r="E581" s="3" t="n">
        <v>5</v>
      </c>
      <c r="F581" s="24" t="n">
        <v>2.94033599</v>
      </c>
    </row>
    <row r="582" customFormat="false" ht="15" hidden="false" customHeight="false" outlineLevel="0" collapsed="false">
      <c r="A582" s="3" t="n">
        <v>581</v>
      </c>
      <c r="B582" s="3" t="n">
        <v>580</v>
      </c>
      <c r="C582" s="3" t="n">
        <v>11</v>
      </c>
      <c r="D582" s="3" t="n">
        <v>5</v>
      </c>
      <c r="E582" s="3" t="n">
        <v>6</v>
      </c>
      <c r="F582" s="24" t="n">
        <v>0.227046043</v>
      </c>
    </row>
    <row r="583" customFormat="false" ht="15" hidden="false" customHeight="false" outlineLevel="0" collapsed="false">
      <c r="A583" s="3" t="n">
        <v>582</v>
      </c>
      <c r="B583" s="3" t="n">
        <v>581</v>
      </c>
      <c r="C583" s="3" t="n">
        <v>11</v>
      </c>
      <c r="D583" s="3" t="n">
        <v>6</v>
      </c>
      <c r="E583" s="3" t="n">
        <v>0</v>
      </c>
      <c r="F583" s="24" t="n">
        <v>0</v>
      </c>
    </row>
    <row r="584" customFormat="false" ht="15" hidden="false" customHeight="false" outlineLevel="0" collapsed="false">
      <c r="A584" s="3" t="n">
        <v>583</v>
      </c>
      <c r="B584" s="3" t="n">
        <v>582</v>
      </c>
      <c r="C584" s="3" t="n">
        <v>11</v>
      </c>
      <c r="D584" s="3" t="n">
        <v>6</v>
      </c>
      <c r="E584" s="3" t="n">
        <v>1</v>
      </c>
      <c r="F584" s="24" t="n">
        <v>0</v>
      </c>
    </row>
    <row r="585" customFormat="false" ht="15" hidden="false" customHeight="false" outlineLevel="0" collapsed="false">
      <c r="A585" s="3" t="n">
        <v>584</v>
      </c>
      <c r="B585" s="3" t="n">
        <v>583</v>
      </c>
      <c r="C585" s="3" t="n">
        <v>11</v>
      </c>
      <c r="D585" s="3" t="n">
        <v>6</v>
      </c>
      <c r="E585" s="3" t="n">
        <v>2</v>
      </c>
      <c r="F585" s="24" t="n">
        <v>0</v>
      </c>
    </row>
    <row r="586" customFormat="false" ht="15" hidden="false" customHeight="false" outlineLevel="0" collapsed="false">
      <c r="A586" s="3" t="n">
        <v>585</v>
      </c>
      <c r="B586" s="3" t="n">
        <v>584</v>
      </c>
      <c r="C586" s="3" t="n">
        <v>11</v>
      </c>
      <c r="D586" s="3" t="n">
        <v>6</v>
      </c>
      <c r="E586" s="3" t="n">
        <v>3</v>
      </c>
      <c r="F586" s="24" t="n">
        <v>0</v>
      </c>
    </row>
    <row r="587" customFormat="false" ht="15" hidden="false" customHeight="false" outlineLevel="0" collapsed="false">
      <c r="A587" s="3" t="n">
        <v>586</v>
      </c>
      <c r="B587" s="3" t="n">
        <v>585</v>
      </c>
      <c r="C587" s="3" t="n">
        <v>11</v>
      </c>
      <c r="D587" s="3" t="n">
        <v>6</v>
      </c>
      <c r="E587" s="3" t="n">
        <v>4</v>
      </c>
      <c r="F587" s="24" t="n">
        <v>1.48472273</v>
      </c>
    </row>
    <row r="588" customFormat="false" ht="15" hidden="false" customHeight="false" outlineLevel="0" collapsed="false">
      <c r="A588" s="3" t="n">
        <v>587</v>
      </c>
      <c r="B588" s="3" t="n">
        <v>586</v>
      </c>
      <c r="C588" s="3" t="n">
        <v>11</v>
      </c>
      <c r="D588" s="3" t="n">
        <v>6</v>
      </c>
      <c r="E588" s="3" t="n">
        <v>5</v>
      </c>
      <c r="F588" s="24" t="n">
        <v>0.855278015</v>
      </c>
    </row>
    <row r="589" customFormat="false" ht="15" hidden="false" customHeight="false" outlineLevel="0" collapsed="false">
      <c r="A589" s="3" t="n">
        <v>588</v>
      </c>
      <c r="B589" s="3" t="n">
        <v>587</v>
      </c>
      <c r="C589" s="3" t="n">
        <v>11</v>
      </c>
      <c r="D589" s="3" t="n">
        <v>6</v>
      </c>
      <c r="E589" s="3" t="n">
        <v>6</v>
      </c>
      <c r="F589" s="24" t="n">
        <v>0.0404000208</v>
      </c>
    </row>
    <row r="590" customFormat="false" ht="15" hidden="false" customHeight="false" outlineLevel="0" collapsed="false">
      <c r="A590" s="3" t="n">
        <v>589</v>
      </c>
      <c r="B590" s="3" t="n">
        <v>588</v>
      </c>
      <c r="C590" s="3" t="n">
        <v>12</v>
      </c>
      <c r="D590" s="3" t="n">
        <v>0</v>
      </c>
      <c r="E590" s="3" t="n">
        <v>0</v>
      </c>
      <c r="F590" s="24" t="n">
        <v>0</v>
      </c>
    </row>
    <row r="591" customFormat="false" ht="15" hidden="false" customHeight="false" outlineLevel="0" collapsed="false">
      <c r="A591" s="3" t="n">
        <v>590</v>
      </c>
      <c r="B591" s="3" t="n">
        <v>589</v>
      </c>
      <c r="C591" s="3" t="n">
        <v>12</v>
      </c>
      <c r="D591" s="3" t="n">
        <v>0</v>
      </c>
      <c r="E591" s="3" t="n">
        <v>1</v>
      </c>
      <c r="F591" s="24" t="n">
        <v>0</v>
      </c>
    </row>
    <row r="592" customFormat="false" ht="15" hidden="false" customHeight="false" outlineLevel="0" collapsed="false">
      <c r="A592" s="3" t="n">
        <v>591</v>
      </c>
      <c r="B592" s="3" t="n">
        <v>590</v>
      </c>
      <c r="C592" s="3" t="n">
        <v>12</v>
      </c>
      <c r="D592" s="3" t="n">
        <v>0</v>
      </c>
      <c r="E592" s="3" t="n">
        <v>2</v>
      </c>
      <c r="F592" s="24" t="n">
        <v>0</v>
      </c>
    </row>
    <row r="593" customFormat="false" ht="15" hidden="false" customHeight="false" outlineLevel="0" collapsed="false">
      <c r="A593" s="3" t="n">
        <v>592</v>
      </c>
      <c r="B593" s="3" t="n">
        <v>591</v>
      </c>
      <c r="C593" s="3" t="n">
        <v>12</v>
      </c>
      <c r="D593" s="3" t="n">
        <v>0</v>
      </c>
      <c r="E593" s="3" t="n">
        <v>3</v>
      </c>
      <c r="F593" s="24" t="n">
        <v>0</v>
      </c>
    </row>
    <row r="594" customFormat="false" ht="15" hidden="false" customHeight="false" outlineLevel="0" collapsed="false">
      <c r="A594" s="3" t="n">
        <v>593</v>
      </c>
      <c r="B594" s="3" t="n">
        <v>592</v>
      </c>
      <c r="C594" s="3" t="n">
        <v>12</v>
      </c>
      <c r="D594" s="3" t="n">
        <v>0</v>
      </c>
      <c r="E594" s="3" t="n">
        <v>4</v>
      </c>
      <c r="F594" s="24" t="n">
        <v>0</v>
      </c>
    </row>
    <row r="595" customFormat="false" ht="15" hidden="false" customHeight="false" outlineLevel="0" collapsed="false">
      <c r="A595" s="3" t="n">
        <v>594</v>
      </c>
      <c r="B595" s="3" t="n">
        <v>593</v>
      </c>
      <c r="C595" s="3" t="n">
        <v>12</v>
      </c>
      <c r="D595" s="3" t="n">
        <v>0</v>
      </c>
      <c r="E595" s="3" t="n">
        <v>5</v>
      </c>
      <c r="F595" s="24" t="n">
        <v>0</v>
      </c>
    </row>
    <row r="596" customFormat="false" ht="15" hidden="false" customHeight="false" outlineLevel="0" collapsed="false">
      <c r="A596" s="3" t="n">
        <v>595</v>
      </c>
      <c r="B596" s="3" t="n">
        <v>594</v>
      </c>
      <c r="C596" s="3" t="n">
        <v>12</v>
      </c>
      <c r="D596" s="3" t="n">
        <v>0</v>
      </c>
      <c r="E596" s="3" t="n">
        <v>6</v>
      </c>
      <c r="F596" s="24" t="n">
        <v>0</v>
      </c>
    </row>
    <row r="597" customFormat="false" ht="15" hidden="false" customHeight="false" outlineLevel="0" collapsed="false">
      <c r="A597" s="3" t="n">
        <v>596</v>
      </c>
      <c r="B597" s="3" t="n">
        <v>595</v>
      </c>
      <c r="C597" s="3" t="n">
        <v>12</v>
      </c>
      <c r="D597" s="3" t="n">
        <v>1</v>
      </c>
      <c r="E597" s="3" t="n">
        <v>0</v>
      </c>
      <c r="F597" s="24" t="n">
        <v>1.02040803</v>
      </c>
    </row>
    <row r="598" customFormat="false" ht="15" hidden="false" customHeight="false" outlineLevel="0" collapsed="false">
      <c r="A598" s="3" t="n">
        <v>597</v>
      </c>
      <c r="B598" s="3" t="n">
        <v>596</v>
      </c>
      <c r="C598" s="3" t="n">
        <v>12</v>
      </c>
      <c r="D598" s="3" t="n">
        <v>1</v>
      </c>
      <c r="E598" s="3" t="n">
        <v>1</v>
      </c>
      <c r="F598" s="24" t="n">
        <v>1.41187894</v>
      </c>
    </row>
    <row r="599" customFormat="false" ht="15" hidden="false" customHeight="false" outlineLevel="0" collapsed="false">
      <c r="A599" s="3" t="n">
        <v>598</v>
      </c>
      <c r="B599" s="3" t="n">
        <v>597</v>
      </c>
      <c r="C599" s="3" t="n">
        <v>12</v>
      </c>
      <c r="D599" s="3" t="n">
        <v>1</v>
      </c>
      <c r="E599" s="3" t="n">
        <v>2</v>
      </c>
      <c r="F599" s="24" t="n">
        <v>0</v>
      </c>
    </row>
    <row r="600" customFormat="false" ht="15" hidden="false" customHeight="false" outlineLevel="0" collapsed="false">
      <c r="A600" s="3" t="n">
        <v>599</v>
      </c>
      <c r="B600" s="3" t="n">
        <v>598</v>
      </c>
      <c r="C600" s="3" t="n">
        <v>12</v>
      </c>
      <c r="D600" s="3" t="n">
        <v>1</v>
      </c>
      <c r="E600" s="3" t="n">
        <v>3</v>
      </c>
      <c r="F600" s="24" t="n">
        <v>0</v>
      </c>
    </row>
    <row r="601" customFormat="false" ht="15" hidden="false" customHeight="false" outlineLevel="0" collapsed="false">
      <c r="A601" s="3" t="n">
        <v>600</v>
      </c>
      <c r="B601" s="3" t="n">
        <v>599</v>
      </c>
      <c r="C601" s="3" t="n">
        <v>12</v>
      </c>
      <c r="D601" s="3" t="n">
        <v>1</v>
      </c>
      <c r="E601" s="3" t="n">
        <v>4</v>
      </c>
      <c r="F601" s="24" t="n">
        <v>0</v>
      </c>
    </row>
    <row r="602" customFormat="false" ht="15" hidden="false" customHeight="false" outlineLevel="0" collapsed="false">
      <c r="A602" s="3" t="n">
        <v>601</v>
      </c>
      <c r="B602" s="3" t="n">
        <v>600</v>
      </c>
      <c r="C602" s="3" t="n">
        <v>12</v>
      </c>
      <c r="D602" s="3" t="n">
        <v>1</v>
      </c>
      <c r="E602" s="3" t="n">
        <v>5</v>
      </c>
      <c r="F602" s="24" t="n">
        <v>0</v>
      </c>
    </row>
    <row r="603" customFormat="false" ht="15" hidden="false" customHeight="false" outlineLevel="0" collapsed="false">
      <c r="A603" s="3" t="n">
        <v>602</v>
      </c>
      <c r="B603" s="3" t="n">
        <v>601</v>
      </c>
      <c r="C603" s="3" t="n">
        <v>12</v>
      </c>
      <c r="D603" s="3" t="n">
        <v>1</v>
      </c>
      <c r="E603" s="3" t="n">
        <v>6</v>
      </c>
      <c r="F603" s="24" t="n">
        <v>0</v>
      </c>
    </row>
    <row r="604" customFormat="false" ht="15" hidden="false" customHeight="false" outlineLevel="0" collapsed="false">
      <c r="A604" s="3" t="n">
        <v>603</v>
      </c>
      <c r="B604" s="3" t="n">
        <v>602</v>
      </c>
      <c r="C604" s="3" t="n">
        <v>12</v>
      </c>
      <c r="D604" s="3" t="n">
        <v>2</v>
      </c>
      <c r="E604" s="3" t="n">
        <v>0</v>
      </c>
      <c r="F604" s="24" t="n">
        <v>0</v>
      </c>
    </row>
    <row r="605" customFormat="false" ht="15" hidden="false" customHeight="false" outlineLevel="0" collapsed="false">
      <c r="A605" s="3" t="n">
        <v>604</v>
      </c>
      <c r="B605" s="3" t="n">
        <v>603</v>
      </c>
      <c r="C605" s="3" t="n">
        <v>12</v>
      </c>
      <c r="D605" s="3" t="n">
        <v>2</v>
      </c>
      <c r="E605" s="3" t="n">
        <v>1</v>
      </c>
      <c r="F605" s="24" t="n">
        <v>0</v>
      </c>
    </row>
    <row r="606" customFormat="false" ht="15" hidden="false" customHeight="false" outlineLevel="0" collapsed="false">
      <c r="A606" s="3" t="n">
        <v>605</v>
      </c>
      <c r="B606" s="3" t="n">
        <v>604</v>
      </c>
      <c r="C606" s="3" t="n">
        <v>12</v>
      </c>
      <c r="D606" s="3" t="n">
        <v>2</v>
      </c>
      <c r="E606" s="3" t="n">
        <v>2</v>
      </c>
      <c r="F606" s="24" t="n">
        <v>0</v>
      </c>
    </row>
    <row r="607" customFormat="false" ht="15" hidden="false" customHeight="false" outlineLevel="0" collapsed="false">
      <c r="A607" s="3" t="n">
        <v>606</v>
      </c>
      <c r="B607" s="3" t="n">
        <v>605</v>
      </c>
      <c r="C607" s="3" t="n">
        <v>12</v>
      </c>
      <c r="D607" s="3" t="n">
        <v>2</v>
      </c>
      <c r="E607" s="3" t="n">
        <v>3</v>
      </c>
      <c r="F607" s="24" t="n">
        <v>0</v>
      </c>
    </row>
    <row r="608" customFormat="false" ht="15" hidden="false" customHeight="false" outlineLevel="0" collapsed="false">
      <c r="A608" s="3" t="n">
        <v>607</v>
      </c>
      <c r="B608" s="3" t="n">
        <v>606</v>
      </c>
      <c r="C608" s="3" t="n">
        <v>12</v>
      </c>
      <c r="D608" s="3" t="n">
        <v>2</v>
      </c>
      <c r="E608" s="3" t="n">
        <v>4</v>
      </c>
      <c r="F608" s="24" t="n">
        <v>3.67523193</v>
      </c>
    </row>
    <row r="609" customFormat="false" ht="15" hidden="false" customHeight="false" outlineLevel="0" collapsed="false">
      <c r="A609" s="3" t="n">
        <v>608</v>
      </c>
      <c r="B609" s="3" t="n">
        <v>607</v>
      </c>
      <c r="C609" s="3" t="n">
        <v>12</v>
      </c>
      <c r="D609" s="3" t="n">
        <v>2</v>
      </c>
      <c r="E609" s="3" t="n">
        <v>5</v>
      </c>
      <c r="F609" s="24" t="n">
        <v>0.390425742</v>
      </c>
    </row>
    <row r="610" customFormat="false" ht="15" hidden="false" customHeight="false" outlineLevel="0" collapsed="false">
      <c r="A610" s="3" t="n">
        <v>609</v>
      </c>
      <c r="B610" s="3" t="n">
        <v>608</v>
      </c>
      <c r="C610" s="3" t="n">
        <v>12</v>
      </c>
      <c r="D610" s="3" t="n">
        <v>2</v>
      </c>
      <c r="E610" s="3" t="n">
        <v>6</v>
      </c>
      <c r="F610" s="24" t="n">
        <v>0</v>
      </c>
    </row>
    <row r="611" customFormat="false" ht="15" hidden="false" customHeight="false" outlineLevel="0" collapsed="false">
      <c r="A611" s="3" t="n">
        <v>610</v>
      </c>
      <c r="B611" s="3" t="n">
        <v>609</v>
      </c>
      <c r="C611" s="3" t="n">
        <v>12</v>
      </c>
      <c r="D611" s="3" t="n">
        <v>3</v>
      </c>
      <c r="E611" s="3" t="n">
        <v>0</v>
      </c>
      <c r="F611" s="24" t="n">
        <v>0.747413278</v>
      </c>
    </row>
    <row r="612" customFormat="false" ht="15" hidden="false" customHeight="false" outlineLevel="0" collapsed="false">
      <c r="A612" s="3" t="n">
        <v>611</v>
      </c>
      <c r="B612" s="3" t="n">
        <v>610</v>
      </c>
      <c r="C612" s="3" t="n">
        <v>12</v>
      </c>
      <c r="D612" s="3" t="n">
        <v>3</v>
      </c>
      <c r="E612" s="3" t="n">
        <v>1</v>
      </c>
      <c r="F612" s="24" t="n">
        <v>0</v>
      </c>
    </row>
    <row r="613" customFormat="false" ht="15" hidden="false" customHeight="false" outlineLevel="0" collapsed="false">
      <c r="A613" s="3" t="n">
        <v>612</v>
      </c>
      <c r="B613" s="3" t="n">
        <v>611</v>
      </c>
      <c r="C613" s="3" t="n">
        <v>12</v>
      </c>
      <c r="D613" s="3" t="n">
        <v>3</v>
      </c>
      <c r="E613" s="3" t="n">
        <v>2</v>
      </c>
      <c r="F613" s="24" t="n">
        <v>0</v>
      </c>
    </row>
    <row r="614" customFormat="false" ht="15" hidden="false" customHeight="false" outlineLevel="0" collapsed="false">
      <c r="A614" s="3" t="n">
        <v>613</v>
      </c>
      <c r="B614" s="3" t="n">
        <v>612</v>
      </c>
      <c r="C614" s="3" t="n">
        <v>12</v>
      </c>
      <c r="D614" s="3" t="n">
        <v>3</v>
      </c>
      <c r="E614" s="3" t="n">
        <v>3</v>
      </c>
      <c r="F614" s="24" t="n">
        <v>0</v>
      </c>
    </row>
    <row r="615" customFormat="false" ht="15" hidden="false" customHeight="false" outlineLevel="0" collapsed="false">
      <c r="A615" s="3" t="n">
        <v>614</v>
      </c>
      <c r="B615" s="3" t="n">
        <v>613</v>
      </c>
      <c r="C615" s="3" t="n">
        <v>12</v>
      </c>
      <c r="D615" s="3" t="n">
        <v>3</v>
      </c>
      <c r="E615" s="3" t="n">
        <v>4</v>
      </c>
      <c r="F615" s="24" t="n">
        <v>0</v>
      </c>
    </row>
    <row r="616" customFormat="false" ht="15" hidden="false" customHeight="false" outlineLevel="0" collapsed="false">
      <c r="A616" s="3" t="n">
        <v>615</v>
      </c>
      <c r="B616" s="3" t="n">
        <v>614</v>
      </c>
      <c r="C616" s="3" t="n">
        <v>12</v>
      </c>
      <c r="D616" s="3" t="n">
        <v>3</v>
      </c>
      <c r="E616" s="3" t="n">
        <v>5</v>
      </c>
      <c r="F616" s="24" t="n">
        <v>0.094217971</v>
      </c>
    </row>
    <row r="617" customFormat="false" ht="15" hidden="false" customHeight="false" outlineLevel="0" collapsed="false">
      <c r="A617" s="3" t="n">
        <v>616</v>
      </c>
      <c r="B617" s="3" t="n">
        <v>615</v>
      </c>
      <c r="C617" s="3" t="n">
        <v>12</v>
      </c>
      <c r="D617" s="3" t="n">
        <v>3</v>
      </c>
      <c r="E617" s="3" t="n">
        <v>6</v>
      </c>
      <c r="F617" s="24" t="n">
        <v>0</v>
      </c>
    </row>
    <row r="618" customFormat="false" ht="15" hidden="false" customHeight="false" outlineLevel="0" collapsed="false">
      <c r="A618" s="3" t="n">
        <v>617</v>
      </c>
      <c r="B618" s="3" t="n">
        <v>616</v>
      </c>
      <c r="C618" s="3" t="n">
        <v>12</v>
      </c>
      <c r="D618" s="3" t="n">
        <v>4</v>
      </c>
      <c r="E618" s="3" t="n">
        <v>0</v>
      </c>
      <c r="F618" s="24" t="n">
        <v>0</v>
      </c>
    </row>
    <row r="619" customFormat="false" ht="15" hidden="false" customHeight="false" outlineLevel="0" collapsed="false">
      <c r="A619" s="3" t="n">
        <v>618</v>
      </c>
      <c r="B619" s="3" t="n">
        <v>617</v>
      </c>
      <c r="C619" s="3" t="n">
        <v>12</v>
      </c>
      <c r="D619" s="3" t="n">
        <v>4</v>
      </c>
      <c r="E619" s="3" t="n">
        <v>1</v>
      </c>
      <c r="F619" s="24" t="n">
        <v>0</v>
      </c>
    </row>
    <row r="620" customFormat="false" ht="15" hidden="false" customHeight="false" outlineLevel="0" collapsed="false">
      <c r="A620" s="3" t="n">
        <v>619</v>
      </c>
      <c r="B620" s="3" t="n">
        <v>618</v>
      </c>
      <c r="C620" s="3" t="n">
        <v>12</v>
      </c>
      <c r="D620" s="3" t="n">
        <v>4</v>
      </c>
      <c r="E620" s="3" t="n">
        <v>2</v>
      </c>
      <c r="F620" s="24" t="n">
        <v>0</v>
      </c>
    </row>
    <row r="621" customFormat="false" ht="15" hidden="false" customHeight="false" outlineLevel="0" collapsed="false">
      <c r="A621" s="3" t="n">
        <v>620</v>
      </c>
      <c r="B621" s="3" t="n">
        <v>619</v>
      </c>
      <c r="C621" s="3" t="n">
        <v>12</v>
      </c>
      <c r="D621" s="3" t="n">
        <v>4</v>
      </c>
      <c r="E621" s="3" t="n">
        <v>3</v>
      </c>
      <c r="F621" s="24" t="n">
        <v>6.64687872</v>
      </c>
    </row>
    <row r="622" customFormat="false" ht="15" hidden="false" customHeight="false" outlineLevel="0" collapsed="false">
      <c r="A622" s="3" t="n">
        <v>621</v>
      </c>
      <c r="B622" s="3" t="n">
        <v>620</v>
      </c>
      <c r="C622" s="3" t="n">
        <v>12</v>
      </c>
      <c r="D622" s="3" t="n">
        <v>4</v>
      </c>
      <c r="E622" s="3" t="n">
        <v>4</v>
      </c>
      <c r="F622" s="24" t="n">
        <v>7.77608442</v>
      </c>
    </row>
    <row r="623" customFormat="false" ht="15" hidden="false" customHeight="false" outlineLevel="0" collapsed="false">
      <c r="A623" s="3" t="n">
        <v>622</v>
      </c>
      <c r="B623" s="3" t="n">
        <v>621</v>
      </c>
      <c r="C623" s="3" t="n">
        <v>12</v>
      </c>
      <c r="D623" s="3" t="n">
        <v>4</v>
      </c>
      <c r="E623" s="3" t="n">
        <v>5</v>
      </c>
      <c r="F623" s="24" t="n">
        <v>0.925409377</v>
      </c>
    </row>
    <row r="624" customFormat="false" ht="15" hidden="false" customHeight="false" outlineLevel="0" collapsed="false">
      <c r="A624" s="3" t="n">
        <v>623</v>
      </c>
      <c r="B624" s="3" t="n">
        <v>622</v>
      </c>
      <c r="C624" s="3" t="n">
        <v>12</v>
      </c>
      <c r="D624" s="3" t="n">
        <v>4</v>
      </c>
      <c r="E624" s="3" t="n">
        <v>6</v>
      </c>
      <c r="F624" s="24" t="n">
        <v>0</v>
      </c>
    </row>
    <row r="625" customFormat="false" ht="15" hidden="false" customHeight="false" outlineLevel="0" collapsed="false">
      <c r="A625" s="3" t="n">
        <v>624</v>
      </c>
      <c r="B625" s="3" t="n">
        <v>623</v>
      </c>
      <c r="C625" s="3" t="n">
        <v>12</v>
      </c>
      <c r="D625" s="3" t="n">
        <v>5</v>
      </c>
      <c r="E625" s="3" t="n">
        <v>0</v>
      </c>
      <c r="F625" s="24" t="n">
        <v>0</v>
      </c>
    </row>
    <row r="626" customFormat="false" ht="15" hidden="false" customHeight="false" outlineLevel="0" collapsed="false">
      <c r="A626" s="3" t="n">
        <v>625</v>
      </c>
      <c r="B626" s="3" t="n">
        <v>624</v>
      </c>
      <c r="C626" s="3" t="n">
        <v>12</v>
      </c>
      <c r="D626" s="3" t="n">
        <v>5</v>
      </c>
      <c r="E626" s="3" t="n">
        <v>1</v>
      </c>
      <c r="F626" s="24" t="n">
        <v>0</v>
      </c>
    </row>
    <row r="627" customFormat="false" ht="15" hidden="false" customHeight="false" outlineLevel="0" collapsed="false">
      <c r="A627" s="3" t="n">
        <v>626</v>
      </c>
      <c r="B627" s="3" t="n">
        <v>625</v>
      </c>
      <c r="C627" s="3" t="n">
        <v>12</v>
      </c>
      <c r="D627" s="3" t="n">
        <v>5</v>
      </c>
      <c r="E627" s="3" t="n">
        <v>2</v>
      </c>
      <c r="F627" s="24" t="n">
        <v>0.342385352</v>
      </c>
    </row>
    <row r="628" customFormat="false" ht="15" hidden="false" customHeight="false" outlineLevel="0" collapsed="false">
      <c r="A628" s="3" t="n">
        <v>627</v>
      </c>
      <c r="B628" s="3" t="n">
        <v>626</v>
      </c>
      <c r="C628" s="3" t="n">
        <v>12</v>
      </c>
      <c r="D628" s="3" t="n">
        <v>5</v>
      </c>
      <c r="E628" s="3" t="n">
        <v>3</v>
      </c>
      <c r="F628" s="24" t="n">
        <v>13.2903996</v>
      </c>
    </row>
    <row r="629" customFormat="false" ht="15" hidden="false" customHeight="false" outlineLevel="0" collapsed="false">
      <c r="A629" s="3" t="n">
        <v>628</v>
      </c>
      <c r="B629" s="3" t="n">
        <v>627</v>
      </c>
      <c r="C629" s="3" t="n">
        <v>12</v>
      </c>
      <c r="D629" s="3" t="n">
        <v>5</v>
      </c>
      <c r="E629" s="3" t="n">
        <v>4</v>
      </c>
      <c r="F629" s="24" t="n">
        <v>3.88013601</v>
      </c>
    </row>
    <row r="630" customFormat="false" ht="15" hidden="false" customHeight="false" outlineLevel="0" collapsed="false">
      <c r="A630" s="3" t="n">
        <v>629</v>
      </c>
      <c r="B630" s="3" t="n">
        <v>628</v>
      </c>
      <c r="C630" s="3" t="n">
        <v>12</v>
      </c>
      <c r="D630" s="3" t="n">
        <v>5</v>
      </c>
      <c r="E630" s="3" t="n">
        <v>5</v>
      </c>
      <c r="F630" s="24" t="n">
        <v>0</v>
      </c>
    </row>
    <row r="631" customFormat="false" ht="15" hidden="false" customHeight="false" outlineLevel="0" collapsed="false">
      <c r="A631" s="3" t="n">
        <v>630</v>
      </c>
      <c r="B631" s="3" t="n">
        <v>629</v>
      </c>
      <c r="C631" s="3" t="n">
        <v>12</v>
      </c>
      <c r="D631" s="3" t="n">
        <v>5</v>
      </c>
      <c r="E631" s="3" t="n">
        <v>6</v>
      </c>
      <c r="F631" s="24" t="n">
        <v>0</v>
      </c>
    </row>
    <row r="632" customFormat="false" ht="15" hidden="false" customHeight="false" outlineLevel="0" collapsed="false">
      <c r="A632" s="3" t="n">
        <v>631</v>
      </c>
      <c r="B632" s="3" t="n">
        <v>630</v>
      </c>
      <c r="C632" s="3" t="n">
        <v>12</v>
      </c>
      <c r="D632" s="3" t="n">
        <v>6</v>
      </c>
      <c r="E632" s="3" t="n">
        <v>0</v>
      </c>
      <c r="F632" s="24" t="n">
        <v>0.111942142</v>
      </c>
    </row>
    <row r="633" customFormat="false" ht="15" hidden="false" customHeight="false" outlineLevel="0" collapsed="false">
      <c r="A633" s="3" t="n">
        <v>632</v>
      </c>
      <c r="B633" s="3" t="n">
        <v>631</v>
      </c>
      <c r="C633" s="3" t="n">
        <v>12</v>
      </c>
      <c r="D633" s="3" t="n">
        <v>6</v>
      </c>
      <c r="E633" s="3" t="n">
        <v>1</v>
      </c>
      <c r="F633" s="24" t="n">
        <v>7.11853266</v>
      </c>
    </row>
    <row r="634" customFormat="false" ht="15" hidden="false" customHeight="false" outlineLevel="0" collapsed="false">
      <c r="A634" s="3" t="n">
        <v>633</v>
      </c>
      <c r="B634" s="3" t="n">
        <v>632</v>
      </c>
      <c r="C634" s="3" t="n">
        <v>12</v>
      </c>
      <c r="D634" s="3" t="n">
        <v>6</v>
      </c>
      <c r="E634" s="3" t="n">
        <v>2</v>
      </c>
      <c r="F634" s="24" t="n">
        <v>10.9097672</v>
      </c>
    </row>
    <row r="635" customFormat="false" ht="15" hidden="false" customHeight="false" outlineLevel="0" collapsed="false">
      <c r="A635" s="3" t="n">
        <v>634</v>
      </c>
      <c r="B635" s="3" t="n">
        <v>633</v>
      </c>
      <c r="C635" s="3" t="n">
        <v>12</v>
      </c>
      <c r="D635" s="3" t="n">
        <v>6</v>
      </c>
      <c r="E635" s="3" t="n">
        <v>3</v>
      </c>
      <c r="F635" s="24" t="n">
        <v>9.6100235</v>
      </c>
    </row>
    <row r="636" customFormat="false" ht="15" hidden="false" customHeight="false" outlineLevel="0" collapsed="false">
      <c r="A636" s="3" t="n">
        <v>635</v>
      </c>
      <c r="B636" s="3" t="n">
        <v>634</v>
      </c>
      <c r="C636" s="3" t="n">
        <v>12</v>
      </c>
      <c r="D636" s="3" t="n">
        <v>6</v>
      </c>
      <c r="E636" s="3" t="n">
        <v>4</v>
      </c>
      <c r="F636" s="24" t="n">
        <v>0.18297939</v>
      </c>
    </row>
    <row r="637" customFormat="false" ht="15" hidden="false" customHeight="false" outlineLevel="0" collapsed="false">
      <c r="A637" s="3" t="n">
        <v>636</v>
      </c>
      <c r="B637" s="3" t="n">
        <v>635</v>
      </c>
      <c r="C637" s="3" t="n">
        <v>12</v>
      </c>
      <c r="D637" s="3" t="n">
        <v>6</v>
      </c>
      <c r="E637" s="3" t="n">
        <v>5</v>
      </c>
      <c r="F637" s="24" t="n">
        <v>0</v>
      </c>
    </row>
    <row r="638" customFormat="false" ht="15" hidden="false" customHeight="false" outlineLevel="0" collapsed="false">
      <c r="A638" s="3" t="n">
        <v>637</v>
      </c>
      <c r="B638" s="3" t="n">
        <v>636</v>
      </c>
      <c r="C638" s="3" t="n">
        <v>12</v>
      </c>
      <c r="D638" s="3" t="n">
        <v>6</v>
      </c>
      <c r="E638" s="3" t="n">
        <v>6</v>
      </c>
      <c r="F638" s="24" t="n">
        <v>0</v>
      </c>
    </row>
    <row r="639" customFormat="false" ht="15" hidden="false" customHeight="false" outlineLevel="0" collapsed="false">
      <c r="A639" s="3" t="n">
        <v>638</v>
      </c>
      <c r="B639" s="3" t="n">
        <v>637</v>
      </c>
      <c r="C639" s="3" t="n">
        <v>13</v>
      </c>
      <c r="D639" s="3" t="n">
        <v>0</v>
      </c>
      <c r="E639" s="3" t="n">
        <v>0</v>
      </c>
      <c r="F639" s="24" t="n">
        <v>0</v>
      </c>
    </row>
    <row r="640" customFormat="false" ht="15" hidden="false" customHeight="false" outlineLevel="0" collapsed="false">
      <c r="A640" s="3" t="n">
        <v>639</v>
      </c>
      <c r="B640" s="3" t="n">
        <v>638</v>
      </c>
      <c r="C640" s="3" t="n">
        <v>13</v>
      </c>
      <c r="D640" s="3" t="n">
        <v>0</v>
      </c>
      <c r="E640" s="3" t="n">
        <v>1</v>
      </c>
      <c r="F640" s="24" t="n">
        <v>0</v>
      </c>
    </row>
    <row r="641" customFormat="false" ht="15" hidden="false" customHeight="false" outlineLevel="0" collapsed="false">
      <c r="A641" s="3" t="n">
        <v>640</v>
      </c>
      <c r="B641" s="3" t="n">
        <v>639</v>
      </c>
      <c r="C641" s="3" t="n">
        <v>13</v>
      </c>
      <c r="D641" s="3" t="n">
        <v>0</v>
      </c>
      <c r="E641" s="3" t="n">
        <v>2</v>
      </c>
      <c r="F641" s="24" t="n">
        <v>0</v>
      </c>
    </row>
    <row r="642" customFormat="false" ht="15" hidden="false" customHeight="false" outlineLevel="0" collapsed="false">
      <c r="A642" s="3" t="n">
        <v>641</v>
      </c>
      <c r="B642" s="3" t="n">
        <v>640</v>
      </c>
      <c r="C642" s="3" t="n">
        <v>13</v>
      </c>
      <c r="D642" s="3" t="n">
        <v>0</v>
      </c>
      <c r="E642" s="3" t="n">
        <v>3</v>
      </c>
      <c r="F642" s="24" t="n">
        <v>0</v>
      </c>
    </row>
    <row r="643" customFormat="false" ht="15" hidden="false" customHeight="false" outlineLevel="0" collapsed="false">
      <c r="A643" s="3" t="n">
        <v>642</v>
      </c>
      <c r="B643" s="3" t="n">
        <v>641</v>
      </c>
      <c r="C643" s="3" t="n">
        <v>13</v>
      </c>
      <c r="D643" s="3" t="n">
        <v>0</v>
      </c>
      <c r="E643" s="3" t="n">
        <v>4</v>
      </c>
      <c r="F643" s="24" t="n">
        <v>0</v>
      </c>
    </row>
    <row r="644" customFormat="false" ht="15" hidden="false" customHeight="false" outlineLevel="0" collapsed="false">
      <c r="A644" s="3" t="n">
        <v>643</v>
      </c>
      <c r="B644" s="3" t="n">
        <v>642</v>
      </c>
      <c r="C644" s="3" t="n">
        <v>13</v>
      </c>
      <c r="D644" s="3" t="n">
        <v>0</v>
      </c>
      <c r="E644" s="3" t="n">
        <v>5</v>
      </c>
      <c r="F644" s="24" t="n">
        <v>0</v>
      </c>
    </row>
    <row r="645" customFormat="false" ht="15" hidden="false" customHeight="false" outlineLevel="0" collapsed="false">
      <c r="A645" s="3" t="n">
        <v>644</v>
      </c>
      <c r="B645" s="3" t="n">
        <v>643</v>
      </c>
      <c r="C645" s="3" t="n">
        <v>13</v>
      </c>
      <c r="D645" s="3" t="n">
        <v>0</v>
      </c>
      <c r="E645" s="3" t="n">
        <v>6</v>
      </c>
      <c r="F645" s="24" t="n">
        <v>0</v>
      </c>
    </row>
    <row r="646" customFormat="false" ht="15" hidden="false" customHeight="false" outlineLevel="0" collapsed="false">
      <c r="A646" s="3" t="n">
        <v>645</v>
      </c>
      <c r="B646" s="3" t="n">
        <v>644</v>
      </c>
      <c r="C646" s="3" t="n">
        <v>13</v>
      </c>
      <c r="D646" s="3" t="n">
        <v>1</v>
      </c>
      <c r="E646" s="3" t="n">
        <v>0</v>
      </c>
      <c r="F646" s="24" t="n">
        <v>3.34187865</v>
      </c>
    </row>
    <row r="647" customFormat="false" ht="15" hidden="false" customHeight="false" outlineLevel="0" collapsed="false">
      <c r="A647" s="3" t="n">
        <v>646</v>
      </c>
      <c r="B647" s="3" t="n">
        <v>645</v>
      </c>
      <c r="C647" s="3" t="n">
        <v>13</v>
      </c>
      <c r="D647" s="3" t="n">
        <v>1</v>
      </c>
      <c r="E647" s="3" t="n">
        <v>1</v>
      </c>
      <c r="F647" s="24" t="n">
        <v>5.48631477</v>
      </c>
    </row>
    <row r="648" customFormat="false" ht="15" hidden="false" customHeight="false" outlineLevel="0" collapsed="false">
      <c r="A648" s="3" t="n">
        <v>647</v>
      </c>
      <c r="B648" s="3" t="n">
        <v>646</v>
      </c>
      <c r="C648" s="3" t="n">
        <v>13</v>
      </c>
      <c r="D648" s="3" t="n">
        <v>1</v>
      </c>
      <c r="E648" s="3" t="n">
        <v>2</v>
      </c>
      <c r="F648" s="24" t="n">
        <v>6.6146965</v>
      </c>
    </row>
    <row r="649" customFormat="false" ht="15" hidden="false" customHeight="false" outlineLevel="0" collapsed="false">
      <c r="A649" s="3" t="n">
        <v>648</v>
      </c>
      <c r="B649" s="3" t="n">
        <v>647</v>
      </c>
      <c r="C649" s="3" t="n">
        <v>13</v>
      </c>
      <c r="D649" s="3" t="n">
        <v>1</v>
      </c>
      <c r="E649" s="3" t="n">
        <v>3</v>
      </c>
      <c r="F649" s="24" t="n">
        <v>4.49763966</v>
      </c>
    </row>
    <row r="650" customFormat="false" ht="15" hidden="false" customHeight="false" outlineLevel="0" collapsed="false">
      <c r="A650" s="3" t="n">
        <v>649</v>
      </c>
      <c r="B650" s="3" t="n">
        <v>648</v>
      </c>
      <c r="C650" s="3" t="n">
        <v>13</v>
      </c>
      <c r="D650" s="3" t="n">
        <v>1</v>
      </c>
      <c r="E650" s="3" t="n">
        <v>4</v>
      </c>
      <c r="F650" s="24" t="n">
        <v>4.95896769</v>
      </c>
    </row>
    <row r="651" customFormat="false" ht="15" hidden="false" customHeight="false" outlineLevel="0" collapsed="false">
      <c r="A651" s="3" t="n">
        <v>650</v>
      </c>
      <c r="B651" s="3" t="n">
        <v>649</v>
      </c>
      <c r="C651" s="3" t="n">
        <v>13</v>
      </c>
      <c r="D651" s="3" t="n">
        <v>1</v>
      </c>
      <c r="E651" s="3" t="n">
        <v>5</v>
      </c>
      <c r="F651" s="24" t="n">
        <v>0</v>
      </c>
    </row>
    <row r="652" customFormat="false" ht="15" hidden="false" customHeight="false" outlineLevel="0" collapsed="false">
      <c r="A652" s="3" t="n">
        <v>651</v>
      </c>
      <c r="B652" s="3" t="n">
        <v>650</v>
      </c>
      <c r="C652" s="3" t="n">
        <v>13</v>
      </c>
      <c r="D652" s="3" t="n">
        <v>1</v>
      </c>
      <c r="E652" s="3" t="n">
        <v>6</v>
      </c>
      <c r="F652" s="24" t="n">
        <v>0</v>
      </c>
    </row>
    <row r="653" customFormat="false" ht="15" hidden="false" customHeight="false" outlineLevel="0" collapsed="false">
      <c r="A653" s="3" t="n">
        <v>652</v>
      </c>
      <c r="B653" s="3" t="n">
        <v>651</v>
      </c>
      <c r="C653" s="3" t="n">
        <v>13</v>
      </c>
      <c r="D653" s="3" t="n">
        <v>2</v>
      </c>
      <c r="E653" s="3" t="n">
        <v>0</v>
      </c>
      <c r="F653" s="24" t="n">
        <v>0</v>
      </c>
    </row>
    <row r="654" customFormat="false" ht="15" hidden="false" customHeight="false" outlineLevel="0" collapsed="false">
      <c r="A654" s="3" t="n">
        <v>653</v>
      </c>
      <c r="B654" s="3" t="n">
        <v>652</v>
      </c>
      <c r="C654" s="3" t="n">
        <v>13</v>
      </c>
      <c r="D654" s="3" t="n">
        <v>2</v>
      </c>
      <c r="E654" s="3" t="n">
        <v>1</v>
      </c>
      <c r="F654" s="24" t="n">
        <v>0</v>
      </c>
    </row>
    <row r="655" customFormat="false" ht="15" hidden="false" customHeight="false" outlineLevel="0" collapsed="false">
      <c r="A655" s="3" t="n">
        <v>654</v>
      </c>
      <c r="B655" s="3" t="n">
        <v>653</v>
      </c>
      <c r="C655" s="3" t="n">
        <v>13</v>
      </c>
      <c r="D655" s="3" t="n">
        <v>2</v>
      </c>
      <c r="E655" s="3" t="n">
        <v>2</v>
      </c>
      <c r="F655" s="24" t="n">
        <v>0</v>
      </c>
    </row>
    <row r="656" customFormat="false" ht="15" hidden="false" customHeight="false" outlineLevel="0" collapsed="false">
      <c r="A656" s="3" t="n">
        <v>655</v>
      </c>
      <c r="B656" s="3" t="n">
        <v>654</v>
      </c>
      <c r="C656" s="3" t="n">
        <v>13</v>
      </c>
      <c r="D656" s="3" t="n">
        <v>2</v>
      </c>
      <c r="E656" s="3" t="n">
        <v>3</v>
      </c>
      <c r="F656" s="24" t="n">
        <v>0</v>
      </c>
    </row>
    <row r="657" customFormat="false" ht="15" hidden="false" customHeight="false" outlineLevel="0" collapsed="false">
      <c r="A657" s="3" t="n">
        <v>656</v>
      </c>
      <c r="B657" s="3" t="n">
        <v>655</v>
      </c>
      <c r="C657" s="3" t="n">
        <v>13</v>
      </c>
      <c r="D657" s="3" t="n">
        <v>2</v>
      </c>
      <c r="E657" s="3" t="n">
        <v>4</v>
      </c>
      <c r="F657" s="24" t="n">
        <v>0</v>
      </c>
    </row>
    <row r="658" customFormat="false" ht="15" hidden="false" customHeight="false" outlineLevel="0" collapsed="false">
      <c r="A658" s="3" t="n">
        <v>657</v>
      </c>
      <c r="B658" s="3" t="n">
        <v>656</v>
      </c>
      <c r="C658" s="3" t="n">
        <v>13</v>
      </c>
      <c r="D658" s="3" t="n">
        <v>2</v>
      </c>
      <c r="E658" s="3" t="n">
        <v>5</v>
      </c>
      <c r="F658" s="24" t="n">
        <v>0</v>
      </c>
    </row>
    <row r="659" customFormat="false" ht="15" hidden="false" customHeight="false" outlineLevel="0" collapsed="false">
      <c r="A659" s="3" t="n">
        <v>658</v>
      </c>
      <c r="B659" s="3" t="n">
        <v>657</v>
      </c>
      <c r="C659" s="3" t="n">
        <v>13</v>
      </c>
      <c r="D659" s="3" t="n">
        <v>2</v>
      </c>
      <c r="E659" s="3" t="n">
        <v>6</v>
      </c>
      <c r="F659" s="24" t="n">
        <v>0</v>
      </c>
    </row>
    <row r="660" customFormat="false" ht="15" hidden="false" customHeight="false" outlineLevel="0" collapsed="false">
      <c r="A660" s="3" t="n">
        <v>659</v>
      </c>
      <c r="B660" s="3" t="n">
        <v>658</v>
      </c>
      <c r="C660" s="3" t="n">
        <v>13</v>
      </c>
      <c r="D660" s="3" t="n">
        <v>3</v>
      </c>
      <c r="E660" s="3" t="n">
        <v>0</v>
      </c>
      <c r="F660" s="24" t="n">
        <v>0.968655646</v>
      </c>
    </row>
    <row r="661" customFormat="false" ht="15" hidden="false" customHeight="false" outlineLevel="0" collapsed="false">
      <c r="A661" s="3" t="n">
        <v>660</v>
      </c>
      <c r="B661" s="3" t="n">
        <v>659</v>
      </c>
      <c r="C661" s="3" t="n">
        <v>13</v>
      </c>
      <c r="D661" s="3" t="n">
        <v>3</v>
      </c>
      <c r="E661" s="3" t="n">
        <v>1</v>
      </c>
      <c r="F661" s="24" t="n">
        <v>0</v>
      </c>
    </row>
    <row r="662" customFormat="false" ht="15" hidden="false" customHeight="false" outlineLevel="0" collapsed="false">
      <c r="A662" s="3" t="n">
        <v>661</v>
      </c>
      <c r="B662" s="3" t="n">
        <v>660</v>
      </c>
      <c r="C662" s="3" t="n">
        <v>13</v>
      </c>
      <c r="D662" s="3" t="n">
        <v>3</v>
      </c>
      <c r="E662" s="3" t="n">
        <v>2</v>
      </c>
      <c r="F662" s="24" t="n">
        <v>0</v>
      </c>
    </row>
    <row r="663" customFormat="false" ht="15" hidden="false" customHeight="false" outlineLevel="0" collapsed="false">
      <c r="A663" s="3" t="n">
        <v>662</v>
      </c>
      <c r="B663" s="3" t="n">
        <v>661</v>
      </c>
      <c r="C663" s="3" t="n">
        <v>13</v>
      </c>
      <c r="D663" s="3" t="n">
        <v>3</v>
      </c>
      <c r="E663" s="3" t="n">
        <v>3</v>
      </c>
      <c r="F663" s="24" t="n">
        <v>0</v>
      </c>
    </row>
    <row r="664" customFormat="false" ht="15" hidden="false" customHeight="false" outlineLevel="0" collapsed="false">
      <c r="A664" s="3" t="n">
        <v>663</v>
      </c>
      <c r="B664" s="3" t="n">
        <v>662</v>
      </c>
      <c r="C664" s="3" t="n">
        <v>13</v>
      </c>
      <c r="D664" s="3" t="n">
        <v>3</v>
      </c>
      <c r="E664" s="3" t="n">
        <v>4</v>
      </c>
      <c r="F664" s="24" t="n">
        <v>0</v>
      </c>
    </row>
    <row r="665" customFormat="false" ht="15" hidden="false" customHeight="false" outlineLevel="0" collapsed="false">
      <c r="A665" s="3" t="n">
        <v>664</v>
      </c>
      <c r="B665" s="3" t="n">
        <v>663</v>
      </c>
      <c r="C665" s="3" t="n">
        <v>13</v>
      </c>
      <c r="D665" s="3" t="n">
        <v>3</v>
      </c>
      <c r="E665" s="3" t="n">
        <v>5</v>
      </c>
      <c r="F665" s="24" t="n">
        <v>0</v>
      </c>
    </row>
    <row r="666" customFormat="false" ht="15" hidden="false" customHeight="false" outlineLevel="0" collapsed="false">
      <c r="A666" s="3" t="n">
        <v>665</v>
      </c>
      <c r="B666" s="3" t="n">
        <v>664</v>
      </c>
      <c r="C666" s="3" t="n">
        <v>13</v>
      </c>
      <c r="D666" s="3" t="n">
        <v>3</v>
      </c>
      <c r="E666" s="3" t="n">
        <v>6</v>
      </c>
      <c r="F666" s="24" t="n">
        <v>0</v>
      </c>
    </row>
    <row r="667" customFormat="false" ht="15" hidden="false" customHeight="false" outlineLevel="0" collapsed="false">
      <c r="A667" s="3" t="n">
        <v>666</v>
      </c>
      <c r="B667" s="3" t="n">
        <v>665</v>
      </c>
      <c r="C667" s="3" t="n">
        <v>13</v>
      </c>
      <c r="D667" s="3" t="n">
        <v>4</v>
      </c>
      <c r="E667" s="3" t="n">
        <v>0</v>
      </c>
      <c r="F667" s="24" t="n">
        <v>0</v>
      </c>
    </row>
    <row r="668" customFormat="false" ht="15" hidden="false" customHeight="false" outlineLevel="0" collapsed="false">
      <c r="A668" s="3" t="n">
        <v>667</v>
      </c>
      <c r="B668" s="3" t="n">
        <v>666</v>
      </c>
      <c r="C668" s="3" t="n">
        <v>13</v>
      </c>
      <c r="D668" s="3" t="n">
        <v>4</v>
      </c>
      <c r="E668" s="3" t="n">
        <v>1</v>
      </c>
      <c r="F668" s="24" t="n">
        <v>0</v>
      </c>
    </row>
    <row r="669" customFormat="false" ht="15" hidden="false" customHeight="false" outlineLevel="0" collapsed="false">
      <c r="A669" s="3" t="n">
        <v>668</v>
      </c>
      <c r="B669" s="3" t="n">
        <v>667</v>
      </c>
      <c r="C669" s="3" t="n">
        <v>13</v>
      </c>
      <c r="D669" s="3" t="n">
        <v>4</v>
      </c>
      <c r="E669" s="3" t="n">
        <v>2</v>
      </c>
      <c r="F669" s="24" t="n">
        <v>3.51538515</v>
      </c>
    </row>
    <row r="670" customFormat="false" ht="15" hidden="false" customHeight="false" outlineLevel="0" collapsed="false">
      <c r="A670" s="3" t="n">
        <v>669</v>
      </c>
      <c r="B670" s="3" t="n">
        <v>668</v>
      </c>
      <c r="C670" s="3" t="n">
        <v>13</v>
      </c>
      <c r="D670" s="3" t="n">
        <v>4</v>
      </c>
      <c r="E670" s="3" t="n">
        <v>3</v>
      </c>
      <c r="F670" s="24" t="n">
        <v>0</v>
      </c>
    </row>
    <row r="671" customFormat="false" ht="15" hidden="false" customHeight="false" outlineLevel="0" collapsed="false">
      <c r="A671" s="3" t="n">
        <v>670</v>
      </c>
      <c r="B671" s="3" t="n">
        <v>669</v>
      </c>
      <c r="C671" s="3" t="n">
        <v>13</v>
      </c>
      <c r="D671" s="3" t="n">
        <v>4</v>
      </c>
      <c r="E671" s="3" t="n">
        <v>4</v>
      </c>
      <c r="F671" s="24" t="n">
        <v>0</v>
      </c>
    </row>
    <row r="672" customFormat="false" ht="15" hidden="false" customHeight="false" outlineLevel="0" collapsed="false">
      <c r="A672" s="3" t="n">
        <v>671</v>
      </c>
      <c r="B672" s="3" t="n">
        <v>670</v>
      </c>
      <c r="C672" s="3" t="n">
        <v>13</v>
      </c>
      <c r="D672" s="3" t="n">
        <v>4</v>
      </c>
      <c r="E672" s="3" t="n">
        <v>5</v>
      </c>
      <c r="F672" s="24" t="n">
        <v>0</v>
      </c>
    </row>
    <row r="673" customFormat="false" ht="15" hidden="false" customHeight="false" outlineLevel="0" collapsed="false">
      <c r="A673" s="3" t="n">
        <v>672</v>
      </c>
      <c r="B673" s="3" t="n">
        <v>671</v>
      </c>
      <c r="C673" s="3" t="n">
        <v>13</v>
      </c>
      <c r="D673" s="3" t="n">
        <v>4</v>
      </c>
      <c r="E673" s="3" t="n">
        <v>6</v>
      </c>
      <c r="F673" s="24" t="n">
        <v>0</v>
      </c>
    </row>
    <row r="674" customFormat="false" ht="15" hidden="false" customHeight="false" outlineLevel="0" collapsed="false">
      <c r="A674" s="3" t="n">
        <v>673</v>
      </c>
      <c r="B674" s="3" t="n">
        <v>672</v>
      </c>
      <c r="C674" s="3" t="n">
        <v>13</v>
      </c>
      <c r="D674" s="3" t="n">
        <v>5</v>
      </c>
      <c r="E674" s="3" t="n">
        <v>0</v>
      </c>
      <c r="F674" s="24" t="n">
        <v>0</v>
      </c>
    </row>
    <row r="675" customFormat="false" ht="15" hidden="false" customHeight="false" outlineLevel="0" collapsed="false">
      <c r="A675" s="3" t="n">
        <v>674</v>
      </c>
      <c r="B675" s="3" t="n">
        <v>673</v>
      </c>
      <c r="C675" s="3" t="n">
        <v>13</v>
      </c>
      <c r="D675" s="3" t="n">
        <v>5</v>
      </c>
      <c r="E675" s="3" t="n">
        <v>1</v>
      </c>
      <c r="F675" s="24" t="n">
        <v>2.41811228</v>
      </c>
    </row>
    <row r="676" customFormat="false" ht="15" hidden="false" customHeight="false" outlineLevel="0" collapsed="false">
      <c r="A676" s="3" t="n">
        <v>675</v>
      </c>
      <c r="B676" s="3" t="n">
        <v>674</v>
      </c>
      <c r="C676" s="3" t="n">
        <v>13</v>
      </c>
      <c r="D676" s="3" t="n">
        <v>5</v>
      </c>
      <c r="E676" s="3" t="n">
        <v>2</v>
      </c>
      <c r="F676" s="24" t="n">
        <v>2.7604394</v>
      </c>
    </row>
    <row r="677" customFormat="false" ht="15" hidden="false" customHeight="false" outlineLevel="0" collapsed="false">
      <c r="A677" s="3" t="n">
        <v>676</v>
      </c>
      <c r="B677" s="3" t="n">
        <v>675</v>
      </c>
      <c r="C677" s="3" t="n">
        <v>13</v>
      </c>
      <c r="D677" s="3" t="n">
        <v>5</v>
      </c>
      <c r="E677" s="3" t="n">
        <v>3</v>
      </c>
      <c r="F677" s="24" t="n">
        <v>0</v>
      </c>
    </row>
    <row r="678" customFormat="false" ht="15" hidden="false" customHeight="false" outlineLevel="0" collapsed="false">
      <c r="A678" s="3" t="n">
        <v>677</v>
      </c>
      <c r="B678" s="3" t="n">
        <v>676</v>
      </c>
      <c r="C678" s="3" t="n">
        <v>13</v>
      </c>
      <c r="D678" s="3" t="n">
        <v>5</v>
      </c>
      <c r="E678" s="3" t="n">
        <v>4</v>
      </c>
      <c r="F678" s="24" t="n">
        <v>3.62744689</v>
      </c>
    </row>
    <row r="679" customFormat="false" ht="15" hidden="false" customHeight="false" outlineLevel="0" collapsed="false">
      <c r="A679" s="3" t="n">
        <v>678</v>
      </c>
      <c r="B679" s="3" t="n">
        <v>677</v>
      </c>
      <c r="C679" s="3" t="n">
        <v>13</v>
      </c>
      <c r="D679" s="3" t="n">
        <v>5</v>
      </c>
      <c r="E679" s="3" t="n">
        <v>5</v>
      </c>
      <c r="F679" s="24" t="n">
        <v>0</v>
      </c>
    </row>
    <row r="680" customFormat="false" ht="15" hidden="false" customHeight="false" outlineLevel="0" collapsed="false">
      <c r="A680" s="3" t="n">
        <v>679</v>
      </c>
      <c r="B680" s="3" t="n">
        <v>678</v>
      </c>
      <c r="C680" s="3" t="n">
        <v>13</v>
      </c>
      <c r="D680" s="3" t="n">
        <v>5</v>
      </c>
      <c r="E680" s="3" t="n">
        <v>6</v>
      </c>
      <c r="F680" s="24" t="n">
        <v>0</v>
      </c>
    </row>
    <row r="681" customFormat="false" ht="15" hidden="false" customHeight="false" outlineLevel="0" collapsed="false">
      <c r="A681" s="3" t="n">
        <v>680</v>
      </c>
      <c r="B681" s="3" t="n">
        <v>679</v>
      </c>
      <c r="C681" s="3" t="n">
        <v>13</v>
      </c>
      <c r="D681" s="3" t="n">
        <v>6</v>
      </c>
      <c r="E681" s="3" t="n">
        <v>0</v>
      </c>
      <c r="F681" s="24" t="n">
        <v>0</v>
      </c>
    </row>
    <row r="682" customFormat="false" ht="15" hidden="false" customHeight="false" outlineLevel="0" collapsed="false">
      <c r="A682" s="3" t="n">
        <v>681</v>
      </c>
      <c r="B682" s="3" t="n">
        <v>680</v>
      </c>
      <c r="C682" s="3" t="n">
        <v>13</v>
      </c>
      <c r="D682" s="3" t="n">
        <v>6</v>
      </c>
      <c r="E682" s="3" t="n">
        <v>1</v>
      </c>
      <c r="F682" s="24" t="n">
        <v>0</v>
      </c>
    </row>
    <row r="683" customFormat="false" ht="15" hidden="false" customHeight="false" outlineLevel="0" collapsed="false">
      <c r="A683" s="3" t="n">
        <v>682</v>
      </c>
      <c r="B683" s="3" t="n">
        <v>681</v>
      </c>
      <c r="C683" s="3" t="n">
        <v>13</v>
      </c>
      <c r="D683" s="3" t="n">
        <v>6</v>
      </c>
      <c r="E683" s="3" t="n">
        <v>2</v>
      </c>
      <c r="F683" s="24" t="n">
        <v>0</v>
      </c>
    </row>
    <row r="684" customFormat="false" ht="15" hidden="false" customHeight="false" outlineLevel="0" collapsed="false">
      <c r="A684" s="3" t="n">
        <v>683</v>
      </c>
      <c r="B684" s="3" t="n">
        <v>682</v>
      </c>
      <c r="C684" s="3" t="n">
        <v>13</v>
      </c>
      <c r="D684" s="3" t="n">
        <v>6</v>
      </c>
      <c r="E684" s="3" t="n">
        <v>3</v>
      </c>
      <c r="F684" s="24" t="n">
        <v>0</v>
      </c>
    </row>
    <row r="685" customFormat="false" ht="15" hidden="false" customHeight="false" outlineLevel="0" collapsed="false">
      <c r="A685" s="3" t="n">
        <v>684</v>
      </c>
      <c r="B685" s="3" t="n">
        <v>683</v>
      </c>
      <c r="C685" s="3" t="n">
        <v>13</v>
      </c>
      <c r="D685" s="3" t="n">
        <v>6</v>
      </c>
      <c r="E685" s="3" t="n">
        <v>4</v>
      </c>
      <c r="F685" s="24" t="n">
        <v>0</v>
      </c>
    </row>
    <row r="686" customFormat="false" ht="15" hidden="false" customHeight="false" outlineLevel="0" collapsed="false">
      <c r="A686" s="3" t="n">
        <v>685</v>
      </c>
      <c r="B686" s="3" t="n">
        <v>684</v>
      </c>
      <c r="C686" s="3" t="n">
        <v>13</v>
      </c>
      <c r="D686" s="3" t="n">
        <v>6</v>
      </c>
      <c r="E686" s="3" t="n">
        <v>5</v>
      </c>
      <c r="F686" s="24" t="n">
        <v>0</v>
      </c>
    </row>
    <row r="687" customFormat="false" ht="15" hidden="false" customHeight="false" outlineLevel="0" collapsed="false">
      <c r="A687" s="3" t="n">
        <v>686</v>
      </c>
      <c r="B687" s="3" t="n">
        <v>685</v>
      </c>
      <c r="C687" s="3" t="n">
        <v>13</v>
      </c>
      <c r="D687" s="3" t="n">
        <v>6</v>
      </c>
      <c r="E687" s="3" t="n">
        <v>6</v>
      </c>
      <c r="F687" s="24" t="n">
        <v>0</v>
      </c>
    </row>
    <row r="688" customFormat="false" ht="15" hidden="false" customHeight="false" outlineLevel="0" collapsed="false">
      <c r="A688" s="3" t="n">
        <v>687</v>
      </c>
      <c r="B688" s="3" t="n">
        <v>686</v>
      </c>
      <c r="C688" s="3" t="n">
        <v>14</v>
      </c>
      <c r="D688" s="3" t="n">
        <v>0</v>
      </c>
      <c r="E688" s="3" t="n">
        <v>0</v>
      </c>
      <c r="F688" s="24" t="n">
        <v>0</v>
      </c>
    </row>
    <row r="689" customFormat="false" ht="15" hidden="false" customHeight="false" outlineLevel="0" collapsed="false">
      <c r="A689" s="3" t="n">
        <v>688</v>
      </c>
      <c r="B689" s="3" t="n">
        <v>687</v>
      </c>
      <c r="C689" s="3" t="n">
        <v>14</v>
      </c>
      <c r="D689" s="3" t="n">
        <v>0</v>
      </c>
      <c r="E689" s="3" t="n">
        <v>1</v>
      </c>
      <c r="F689" s="24" t="n">
        <v>0</v>
      </c>
    </row>
    <row r="690" customFormat="false" ht="15" hidden="false" customHeight="false" outlineLevel="0" collapsed="false">
      <c r="A690" s="3" t="n">
        <v>689</v>
      </c>
      <c r="B690" s="3" t="n">
        <v>688</v>
      </c>
      <c r="C690" s="3" t="n">
        <v>14</v>
      </c>
      <c r="D690" s="3" t="n">
        <v>0</v>
      </c>
      <c r="E690" s="3" t="n">
        <v>2</v>
      </c>
      <c r="F690" s="24" t="n">
        <v>0</v>
      </c>
    </row>
    <row r="691" customFormat="false" ht="15" hidden="false" customHeight="false" outlineLevel="0" collapsed="false">
      <c r="A691" s="3" t="n">
        <v>690</v>
      </c>
      <c r="B691" s="3" t="n">
        <v>689</v>
      </c>
      <c r="C691" s="3" t="n">
        <v>14</v>
      </c>
      <c r="D691" s="3" t="n">
        <v>0</v>
      </c>
      <c r="E691" s="3" t="n">
        <v>3</v>
      </c>
      <c r="F691" s="24" t="n">
        <v>0</v>
      </c>
    </row>
    <row r="692" customFormat="false" ht="15" hidden="false" customHeight="false" outlineLevel="0" collapsed="false">
      <c r="A692" s="3" t="n">
        <v>691</v>
      </c>
      <c r="B692" s="3" t="n">
        <v>690</v>
      </c>
      <c r="C692" s="3" t="n">
        <v>14</v>
      </c>
      <c r="D692" s="3" t="n">
        <v>0</v>
      </c>
      <c r="E692" s="3" t="n">
        <v>4</v>
      </c>
      <c r="F692" s="24" t="n">
        <v>0</v>
      </c>
    </row>
    <row r="693" customFormat="false" ht="15" hidden="false" customHeight="false" outlineLevel="0" collapsed="false">
      <c r="A693" s="3" t="n">
        <v>692</v>
      </c>
      <c r="B693" s="3" t="n">
        <v>691</v>
      </c>
      <c r="C693" s="3" t="n">
        <v>14</v>
      </c>
      <c r="D693" s="3" t="n">
        <v>0</v>
      </c>
      <c r="E693" s="3" t="n">
        <v>5</v>
      </c>
      <c r="F693" s="24" t="n">
        <v>1.44378281</v>
      </c>
    </row>
    <row r="694" customFormat="false" ht="15" hidden="false" customHeight="false" outlineLevel="0" collapsed="false">
      <c r="A694" s="3" t="n">
        <v>693</v>
      </c>
      <c r="B694" s="3" t="n">
        <v>692</v>
      </c>
      <c r="C694" s="3" t="n">
        <v>14</v>
      </c>
      <c r="D694" s="3" t="n">
        <v>0</v>
      </c>
      <c r="E694" s="3" t="n">
        <v>6</v>
      </c>
      <c r="F694" s="24" t="n">
        <v>0</v>
      </c>
    </row>
    <row r="695" customFormat="false" ht="15" hidden="false" customHeight="false" outlineLevel="0" collapsed="false">
      <c r="A695" s="3" t="n">
        <v>694</v>
      </c>
      <c r="B695" s="3" t="n">
        <v>693</v>
      </c>
      <c r="C695" s="3" t="n">
        <v>14</v>
      </c>
      <c r="D695" s="3" t="n">
        <v>1</v>
      </c>
      <c r="E695" s="3" t="n">
        <v>0</v>
      </c>
      <c r="F695" s="24" t="n">
        <v>0</v>
      </c>
    </row>
    <row r="696" customFormat="false" ht="15" hidden="false" customHeight="false" outlineLevel="0" collapsed="false">
      <c r="A696" s="3" t="n">
        <v>695</v>
      </c>
      <c r="B696" s="3" t="n">
        <v>694</v>
      </c>
      <c r="C696" s="3" t="n">
        <v>14</v>
      </c>
      <c r="D696" s="3" t="n">
        <v>1</v>
      </c>
      <c r="E696" s="3" t="n">
        <v>1</v>
      </c>
      <c r="F696" s="24" t="n">
        <v>0</v>
      </c>
    </row>
    <row r="697" customFormat="false" ht="15" hidden="false" customHeight="false" outlineLevel="0" collapsed="false">
      <c r="A697" s="3" t="n">
        <v>696</v>
      </c>
      <c r="B697" s="3" t="n">
        <v>695</v>
      </c>
      <c r="C697" s="3" t="n">
        <v>14</v>
      </c>
      <c r="D697" s="3" t="n">
        <v>1</v>
      </c>
      <c r="E697" s="3" t="n">
        <v>2</v>
      </c>
      <c r="F697" s="24" t="n">
        <v>0</v>
      </c>
    </row>
    <row r="698" customFormat="false" ht="15" hidden="false" customHeight="false" outlineLevel="0" collapsed="false">
      <c r="A698" s="3" t="n">
        <v>697</v>
      </c>
      <c r="B698" s="3" t="n">
        <v>696</v>
      </c>
      <c r="C698" s="3" t="n">
        <v>14</v>
      </c>
      <c r="D698" s="3" t="n">
        <v>1</v>
      </c>
      <c r="E698" s="3" t="n">
        <v>3</v>
      </c>
      <c r="F698" s="24" t="n">
        <v>0</v>
      </c>
    </row>
    <row r="699" customFormat="false" ht="15" hidden="false" customHeight="false" outlineLevel="0" collapsed="false">
      <c r="A699" s="3" t="n">
        <v>698</v>
      </c>
      <c r="B699" s="3" t="n">
        <v>697</v>
      </c>
      <c r="C699" s="3" t="n">
        <v>14</v>
      </c>
      <c r="D699" s="3" t="n">
        <v>1</v>
      </c>
      <c r="E699" s="3" t="n">
        <v>4</v>
      </c>
      <c r="F699" s="24" t="n">
        <v>0</v>
      </c>
    </row>
    <row r="700" customFormat="false" ht="15" hidden="false" customHeight="false" outlineLevel="0" collapsed="false">
      <c r="A700" s="3" t="n">
        <v>699</v>
      </c>
      <c r="B700" s="3" t="n">
        <v>698</v>
      </c>
      <c r="C700" s="3" t="n">
        <v>14</v>
      </c>
      <c r="D700" s="3" t="n">
        <v>1</v>
      </c>
      <c r="E700" s="3" t="n">
        <v>5</v>
      </c>
      <c r="F700" s="24" t="n">
        <v>2.10157061</v>
      </c>
    </row>
    <row r="701" customFormat="false" ht="15" hidden="false" customHeight="false" outlineLevel="0" collapsed="false">
      <c r="A701" s="3" t="n">
        <v>700</v>
      </c>
      <c r="B701" s="3" t="n">
        <v>699</v>
      </c>
      <c r="C701" s="3" t="n">
        <v>14</v>
      </c>
      <c r="D701" s="3" t="n">
        <v>1</v>
      </c>
      <c r="E701" s="3" t="n">
        <v>6</v>
      </c>
      <c r="F701" s="24" t="n">
        <v>0</v>
      </c>
    </row>
    <row r="702" customFormat="false" ht="15" hidden="false" customHeight="false" outlineLevel="0" collapsed="false">
      <c r="A702" s="3" t="n">
        <v>701</v>
      </c>
      <c r="B702" s="3" t="n">
        <v>700</v>
      </c>
      <c r="C702" s="3" t="n">
        <v>14</v>
      </c>
      <c r="D702" s="3" t="n">
        <v>2</v>
      </c>
      <c r="E702" s="3" t="n">
        <v>0</v>
      </c>
      <c r="F702" s="24" t="n">
        <v>0</v>
      </c>
    </row>
    <row r="703" customFormat="false" ht="15" hidden="false" customHeight="false" outlineLevel="0" collapsed="false">
      <c r="A703" s="3" t="n">
        <v>702</v>
      </c>
      <c r="B703" s="3" t="n">
        <v>701</v>
      </c>
      <c r="C703" s="3" t="n">
        <v>14</v>
      </c>
      <c r="D703" s="3" t="n">
        <v>2</v>
      </c>
      <c r="E703" s="3" t="n">
        <v>1</v>
      </c>
      <c r="F703" s="24" t="n">
        <v>0</v>
      </c>
    </row>
    <row r="704" customFormat="false" ht="15" hidden="false" customHeight="false" outlineLevel="0" collapsed="false">
      <c r="A704" s="3" t="n">
        <v>703</v>
      </c>
      <c r="B704" s="3" t="n">
        <v>702</v>
      </c>
      <c r="C704" s="3" t="n">
        <v>14</v>
      </c>
      <c r="D704" s="3" t="n">
        <v>2</v>
      </c>
      <c r="E704" s="3" t="n">
        <v>2</v>
      </c>
      <c r="F704" s="24" t="n">
        <v>0</v>
      </c>
    </row>
    <row r="705" customFormat="false" ht="15" hidden="false" customHeight="false" outlineLevel="0" collapsed="false">
      <c r="A705" s="3" t="n">
        <v>704</v>
      </c>
      <c r="B705" s="3" t="n">
        <v>703</v>
      </c>
      <c r="C705" s="3" t="n">
        <v>14</v>
      </c>
      <c r="D705" s="3" t="n">
        <v>2</v>
      </c>
      <c r="E705" s="3" t="n">
        <v>3</v>
      </c>
      <c r="F705" s="24" t="n">
        <v>0</v>
      </c>
    </row>
    <row r="706" customFormat="false" ht="15" hidden="false" customHeight="false" outlineLevel="0" collapsed="false">
      <c r="A706" s="3" t="n">
        <v>705</v>
      </c>
      <c r="B706" s="3" t="n">
        <v>704</v>
      </c>
      <c r="C706" s="3" t="n">
        <v>14</v>
      </c>
      <c r="D706" s="3" t="n">
        <v>2</v>
      </c>
      <c r="E706" s="3" t="n">
        <v>4</v>
      </c>
      <c r="F706" s="24" t="n">
        <v>0</v>
      </c>
    </row>
    <row r="707" customFormat="false" ht="15" hidden="false" customHeight="false" outlineLevel="0" collapsed="false">
      <c r="A707" s="3" t="n">
        <v>706</v>
      </c>
      <c r="B707" s="3" t="n">
        <v>705</v>
      </c>
      <c r="C707" s="3" t="n">
        <v>14</v>
      </c>
      <c r="D707" s="3" t="n">
        <v>2</v>
      </c>
      <c r="E707" s="3" t="n">
        <v>5</v>
      </c>
      <c r="F707" s="24" t="n">
        <v>0</v>
      </c>
    </row>
    <row r="708" customFormat="false" ht="15" hidden="false" customHeight="false" outlineLevel="0" collapsed="false">
      <c r="A708" s="3" t="n">
        <v>707</v>
      </c>
      <c r="B708" s="3" t="n">
        <v>706</v>
      </c>
      <c r="C708" s="3" t="n">
        <v>14</v>
      </c>
      <c r="D708" s="3" t="n">
        <v>2</v>
      </c>
      <c r="E708" s="3" t="n">
        <v>6</v>
      </c>
      <c r="F708" s="24" t="n">
        <v>0</v>
      </c>
    </row>
    <row r="709" customFormat="false" ht="15" hidden="false" customHeight="false" outlineLevel="0" collapsed="false">
      <c r="A709" s="3" t="n">
        <v>708</v>
      </c>
      <c r="B709" s="3" t="n">
        <v>707</v>
      </c>
      <c r="C709" s="3" t="n">
        <v>14</v>
      </c>
      <c r="D709" s="3" t="n">
        <v>3</v>
      </c>
      <c r="E709" s="3" t="n">
        <v>0</v>
      </c>
      <c r="F709" s="24" t="n">
        <v>0</v>
      </c>
    </row>
    <row r="710" customFormat="false" ht="15" hidden="false" customHeight="false" outlineLevel="0" collapsed="false">
      <c r="A710" s="3" t="n">
        <v>709</v>
      </c>
      <c r="B710" s="3" t="n">
        <v>708</v>
      </c>
      <c r="C710" s="3" t="n">
        <v>14</v>
      </c>
      <c r="D710" s="3" t="n">
        <v>3</v>
      </c>
      <c r="E710" s="3" t="n">
        <v>1</v>
      </c>
      <c r="F710" s="24" t="n">
        <v>0.397872567</v>
      </c>
    </row>
    <row r="711" customFormat="false" ht="15" hidden="false" customHeight="false" outlineLevel="0" collapsed="false">
      <c r="A711" s="3" t="n">
        <v>710</v>
      </c>
      <c r="B711" s="3" t="n">
        <v>709</v>
      </c>
      <c r="C711" s="3" t="n">
        <v>14</v>
      </c>
      <c r="D711" s="3" t="n">
        <v>3</v>
      </c>
      <c r="E711" s="3" t="n">
        <v>2</v>
      </c>
      <c r="F711" s="24" t="n">
        <v>2.40954924</v>
      </c>
    </row>
    <row r="712" customFormat="false" ht="15" hidden="false" customHeight="false" outlineLevel="0" collapsed="false">
      <c r="A712" s="3" t="n">
        <v>711</v>
      </c>
      <c r="B712" s="3" t="n">
        <v>710</v>
      </c>
      <c r="C712" s="3" t="n">
        <v>14</v>
      </c>
      <c r="D712" s="3" t="n">
        <v>3</v>
      </c>
      <c r="E712" s="3" t="n">
        <v>3</v>
      </c>
      <c r="F712" s="24" t="n">
        <v>4.65895033</v>
      </c>
    </row>
    <row r="713" customFormat="false" ht="15" hidden="false" customHeight="false" outlineLevel="0" collapsed="false">
      <c r="A713" s="3" t="n">
        <v>712</v>
      </c>
      <c r="B713" s="3" t="n">
        <v>711</v>
      </c>
      <c r="C713" s="3" t="n">
        <v>14</v>
      </c>
      <c r="D713" s="3" t="n">
        <v>3</v>
      </c>
      <c r="E713" s="3" t="n">
        <v>4</v>
      </c>
      <c r="F713" s="24" t="n">
        <v>4.09717512</v>
      </c>
    </row>
    <row r="714" customFormat="false" ht="15" hidden="false" customHeight="false" outlineLevel="0" collapsed="false">
      <c r="A714" s="3" t="n">
        <v>713</v>
      </c>
      <c r="B714" s="3" t="n">
        <v>712</v>
      </c>
      <c r="C714" s="3" t="n">
        <v>14</v>
      </c>
      <c r="D714" s="3" t="n">
        <v>3</v>
      </c>
      <c r="E714" s="3" t="n">
        <v>5</v>
      </c>
      <c r="F714" s="24" t="n">
        <v>0.0321587026</v>
      </c>
    </row>
    <row r="715" customFormat="false" ht="15" hidden="false" customHeight="false" outlineLevel="0" collapsed="false">
      <c r="A715" s="3" t="n">
        <v>714</v>
      </c>
      <c r="B715" s="3" t="n">
        <v>713</v>
      </c>
      <c r="C715" s="3" t="n">
        <v>14</v>
      </c>
      <c r="D715" s="3" t="n">
        <v>3</v>
      </c>
      <c r="E715" s="3" t="n">
        <v>6</v>
      </c>
      <c r="F715" s="24" t="n">
        <v>0</v>
      </c>
    </row>
    <row r="716" customFormat="false" ht="15" hidden="false" customHeight="false" outlineLevel="0" collapsed="false">
      <c r="A716" s="3" t="n">
        <v>715</v>
      </c>
      <c r="B716" s="3" t="n">
        <v>714</v>
      </c>
      <c r="C716" s="3" t="n">
        <v>14</v>
      </c>
      <c r="D716" s="3" t="n">
        <v>4</v>
      </c>
      <c r="E716" s="3" t="n">
        <v>0</v>
      </c>
      <c r="F716" s="24" t="n">
        <v>0.0185168684</v>
      </c>
    </row>
    <row r="717" customFormat="false" ht="15" hidden="false" customHeight="false" outlineLevel="0" collapsed="false">
      <c r="A717" s="3" t="n">
        <v>716</v>
      </c>
      <c r="B717" s="3" t="n">
        <v>715</v>
      </c>
      <c r="C717" s="3" t="n">
        <v>14</v>
      </c>
      <c r="D717" s="3" t="n">
        <v>4</v>
      </c>
      <c r="E717" s="3" t="n">
        <v>1</v>
      </c>
      <c r="F717" s="24" t="n">
        <v>0</v>
      </c>
    </row>
    <row r="718" customFormat="false" ht="15" hidden="false" customHeight="false" outlineLevel="0" collapsed="false">
      <c r="A718" s="3" t="n">
        <v>717</v>
      </c>
      <c r="B718" s="3" t="n">
        <v>716</v>
      </c>
      <c r="C718" s="3" t="n">
        <v>14</v>
      </c>
      <c r="D718" s="3" t="n">
        <v>4</v>
      </c>
      <c r="E718" s="3" t="n">
        <v>2</v>
      </c>
      <c r="F718" s="24" t="n">
        <v>0</v>
      </c>
    </row>
    <row r="719" customFormat="false" ht="15" hidden="false" customHeight="false" outlineLevel="0" collapsed="false">
      <c r="A719" s="3" t="n">
        <v>718</v>
      </c>
      <c r="B719" s="3" t="n">
        <v>717</v>
      </c>
      <c r="C719" s="3" t="n">
        <v>14</v>
      </c>
      <c r="D719" s="3" t="n">
        <v>4</v>
      </c>
      <c r="E719" s="3" t="n">
        <v>3</v>
      </c>
      <c r="F719" s="24" t="n">
        <v>0</v>
      </c>
    </row>
    <row r="720" customFormat="false" ht="15" hidden="false" customHeight="false" outlineLevel="0" collapsed="false">
      <c r="A720" s="3" t="n">
        <v>719</v>
      </c>
      <c r="B720" s="3" t="n">
        <v>718</v>
      </c>
      <c r="C720" s="3" t="n">
        <v>14</v>
      </c>
      <c r="D720" s="3" t="n">
        <v>4</v>
      </c>
      <c r="E720" s="3" t="n">
        <v>4</v>
      </c>
      <c r="F720" s="24" t="n">
        <v>0</v>
      </c>
    </row>
    <row r="721" customFormat="false" ht="15" hidden="false" customHeight="false" outlineLevel="0" collapsed="false">
      <c r="A721" s="3" t="n">
        <v>720</v>
      </c>
      <c r="B721" s="3" t="n">
        <v>719</v>
      </c>
      <c r="C721" s="3" t="n">
        <v>14</v>
      </c>
      <c r="D721" s="3" t="n">
        <v>4</v>
      </c>
      <c r="E721" s="3" t="n">
        <v>5</v>
      </c>
      <c r="F721" s="24" t="n">
        <v>0.287866235</v>
      </c>
    </row>
    <row r="722" customFormat="false" ht="15" hidden="false" customHeight="false" outlineLevel="0" collapsed="false">
      <c r="A722" s="3" t="n">
        <v>721</v>
      </c>
      <c r="B722" s="3" t="n">
        <v>720</v>
      </c>
      <c r="C722" s="3" t="n">
        <v>14</v>
      </c>
      <c r="D722" s="3" t="n">
        <v>4</v>
      </c>
      <c r="E722" s="3" t="n">
        <v>6</v>
      </c>
      <c r="F722" s="24" t="n">
        <v>0</v>
      </c>
    </row>
    <row r="723" customFormat="false" ht="15" hidden="false" customHeight="false" outlineLevel="0" collapsed="false">
      <c r="A723" s="3" t="n">
        <v>722</v>
      </c>
      <c r="B723" s="3" t="n">
        <v>721</v>
      </c>
      <c r="C723" s="3" t="n">
        <v>14</v>
      </c>
      <c r="D723" s="3" t="n">
        <v>5</v>
      </c>
      <c r="E723" s="3" t="n">
        <v>0</v>
      </c>
      <c r="F723" s="24" t="n">
        <v>0</v>
      </c>
    </row>
    <row r="724" customFormat="false" ht="15" hidden="false" customHeight="false" outlineLevel="0" collapsed="false">
      <c r="A724" s="3" t="n">
        <v>723</v>
      </c>
      <c r="B724" s="3" t="n">
        <v>722</v>
      </c>
      <c r="C724" s="3" t="n">
        <v>14</v>
      </c>
      <c r="D724" s="3" t="n">
        <v>5</v>
      </c>
      <c r="E724" s="3" t="n">
        <v>1</v>
      </c>
      <c r="F724" s="24" t="n">
        <v>0</v>
      </c>
    </row>
    <row r="725" customFormat="false" ht="15" hidden="false" customHeight="false" outlineLevel="0" collapsed="false">
      <c r="A725" s="3" t="n">
        <v>724</v>
      </c>
      <c r="B725" s="3" t="n">
        <v>723</v>
      </c>
      <c r="C725" s="3" t="n">
        <v>14</v>
      </c>
      <c r="D725" s="3" t="n">
        <v>5</v>
      </c>
      <c r="E725" s="3" t="n">
        <v>2</v>
      </c>
      <c r="F725" s="24" t="n">
        <v>0</v>
      </c>
    </row>
    <row r="726" customFormat="false" ht="15" hidden="false" customHeight="false" outlineLevel="0" collapsed="false">
      <c r="A726" s="3" t="n">
        <v>725</v>
      </c>
      <c r="B726" s="3" t="n">
        <v>724</v>
      </c>
      <c r="C726" s="3" t="n">
        <v>14</v>
      </c>
      <c r="D726" s="3" t="n">
        <v>5</v>
      </c>
      <c r="E726" s="3" t="n">
        <v>3</v>
      </c>
      <c r="F726" s="24" t="n">
        <v>0</v>
      </c>
    </row>
    <row r="727" customFormat="false" ht="15" hidden="false" customHeight="false" outlineLevel="0" collapsed="false">
      <c r="A727" s="3" t="n">
        <v>726</v>
      </c>
      <c r="B727" s="3" t="n">
        <v>725</v>
      </c>
      <c r="C727" s="3" t="n">
        <v>14</v>
      </c>
      <c r="D727" s="3" t="n">
        <v>5</v>
      </c>
      <c r="E727" s="3" t="n">
        <v>4</v>
      </c>
      <c r="F727" s="24" t="n">
        <v>4.70818424</v>
      </c>
    </row>
    <row r="728" customFormat="false" ht="15" hidden="false" customHeight="false" outlineLevel="0" collapsed="false">
      <c r="A728" s="3" t="n">
        <v>727</v>
      </c>
      <c r="B728" s="3" t="n">
        <v>726</v>
      </c>
      <c r="C728" s="3" t="n">
        <v>14</v>
      </c>
      <c r="D728" s="3" t="n">
        <v>5</v>
      </c>
      <c r="E728" s="3" t="n">
        <v>5</v>
      </c>
      <c r="F728" s="24" t="n">
        <v>0</v>
      </c>
    </row>
    <row r="729" customFormat="false" ht="15" hidden="false" customHeight="false" outlineLevel="0" collapsed="false">
      <c r="A729" s="3" t="n">
        <v>728</v>
      </c>
      <c r="B729" s="3" t="n">
        <v>727</v>
      </c>
      <c r="C729" s="3" t="n">
        <v>14</v>
      </c>
      <c r="D729" s="3" t="n">
        <v>5</v>
      </c>
      <c r="E729" s="3" t="n">
        <v>6</v>
      </c>
      <c r="F729" s="24" t="n">
        <v>0</v>
      </c>
    </row>
    <row r="730" customFormat="false" ht="15" hidden="false" customHeight="false" outlineLevel="0" collapsed="false">
      <c r="A730" s="3" t="n">
        <v>729</v>
      </c>
      <c r="B730" s="3" t="n">
        <v>728</v>
      </c>
      <c r="C730" s="3" t="n">
        <v>14</v>
      </c>
      <c r="D730" s="3" t="n">
        <v>6</v>
      </c>
      <c r="E730" s="3" t="n">
        <v>0</v>
      </c>
      <c r="F730" s="24" t="n">
        <v>0</v>
      </c>
    </row>
    <row r="731" customFormat="false" ht="15" hidden="false" customHeight="false" outlineLevel="0" collapsed="false">
      <c r="A731" s="3" t="n">
        <v>730</v>
      </c>
      <c r="B731" s="3" t="n">
        <v>729</v>
      </c>
      <c r="C731" s="3" t="n">
        <v>14</v>
      </c>
      <c r="D731" s="3" t="n">
        <v>6</v>
      </c>
      <c r="E731" s="3" t="n">
        <v>1</v>
      </c>
      <c r="F731" s="24" t="n">
        <v>0</v>
      </c>
    </row>
    <row r="732" customFormat="false" ht="15" hidden="false" customHeight="false" outlineLevel="0" collapsed="false">
      <c r="A732" s="3" t="n">
        <v>731</v>
      </c>
      <c r="B732" s="3" t="n">
        <v>730</v>
      </c>
      <c r="C732" s="3" t="n">
        <v>14</v>
      </c>
      <c r="D732" s="3" t="n">
        <v>6</v>
      </c>
      <c r="E732" s="3" t="n">
        <v>2</v>
      </c>
      <c r="F732" s="24" t="n">
        <v>0</v>
      </c>
    </row>
    <row r="733" customFormat="false" ht="15" hidden="false" customHeight="false" outlineLevel="0" collapsed="false">
      <c r="A733" s="3" t="n">
        <v>732</v>
      </c>
      <c r="B733" s="3" t="n">
        <v>731</v>
      </c>
      <c r="C733" s="3" t="n">
        <v>14</v>
      </c>
      <c r="D733" s="3" t="n">
        <v>6</v>
      </c>
      <c r="E733" s="3" t="n">
        <v>3</v>
      </c>
      <c r="F733" s="24" t="n">
        <v>0</v>
      </c>
    </row>
    <row r="734" customFormat="false" ht="15" hidden="false" customHeight="false" outlineLevel="0" collapsed="false">
      <c r="A734" s="3" t="n">
        <v>733</v>
      </c>
      <c r="B734" s="3" t="n">
        <v>732</v>
      </c>
      <c r="C734" s="3" t="n">
        <v>14</v>
      </c>
      <c r="D734" s="3" t="n">
        <v>6</v>
      </c>
      <c r="E734" s="3" t="n">
        <v>4</v>
      </c>
      <c r="F734" s="24" t="n">
        <v>0</v>
      </c>
    </row>
    <row r="735" customFormat="false" ht="15" hidden="false" customHeight="false" outlineLevel="0" collapsed="false">
      <c r="A735" s="3" t="n">
        <v>734</v>
      </c>
      <c r="B735" s="3" t="n">
        <v>733</v>
      </c>
      <c r="C735" s="3" t="n">
        <v>14</v>
      </c>
      <c r="D735" s="3" t="n">
        <v>6</v>
      </c>
      <c r="E735" s="3" t="n">
        <v>5</v>
      </c>
      <c r="F735" s="24" t="n">
        <v>0</v>
      </c>
    </row>
    <row r="736" customFormat="false" ht="15" hidden="false" customHeight="false" outlineLevel="0" collapsed="false">
      <c r="A736" s="3" t="n">
        <v>735</v>
      </c>
      <c r="B736" s="3" t="n">
        <v>734</v>
      </c>
      <c r="C736" s="3" t="n">
        <v>14</v>
      </c>
      <c r="D736" s="3" t="n">
        <v>6</v>
      </c>
      <c r="E736" s="3" t="n">
        <v>6</v>
      </c>
      <c r="F736" s="24" t="n">
        <v>0</v>
      </c>
    </row>
    <row r="737" customFormat="false" ht="15" hidden="false" customHeight="false" outlineLevel="0" collapsed="false">
      <c r="A737" s="3" t="n">
        <v>736</v>
      </c>
      <c r="B737" s="3" t="n">
        <v>735</v>
      </c>
      <c r="C737" s="3" t="n">
        <v>15</v>
      </c>
      <c r="D737" s="3" t="n">
        <v>0</v>
      </c>
      <c r="E737" s="3" t="n">
        <v>0</v>
      </c>
      <c r="F737" s="24" t="n">
        <v>0</v>
      </c>
    </row>
    <row r="738" customFormat="false" ht="15" hidden="false" customHeight="false" outlineLevel="0" collapsed="false">
      <c r="A738" s="3" t="n">
        <v>737</v>
      </c>
      <c r="B738" s="3" t="n">
        <v>736</v>
      </c>
      <c r="C738" s="3" t="n">
        <v>15</v>
      </c>
      <c r="D738" s="3" t="n">
        <v>0</v>
      </c>
      <c r="E738" s="3" t="n">
        <v>1</v>
      </c>
      <c r="F738" s="24" t="n">
        <v>0.233106434</v>
      </c>
    </row>
    <row r="739" customFormat="false" ht="15" hidden="false" customHeight="false" outlineLevel="0" collapsed="false">
      <c r="A739" s="3" t="n">
        <v>738</v>
      </c>
      <c r="B739" s="3" t="n">
        <v>737</v>
      </c>
      <c r="C739" s="3" t="n">
        <v>15</v>
      </c>
      <c r="D739" s="3" t="n">
        <v>0</v>
      </c>
      <c r="E739" s="3" t="n">
        <v>2</v>
      </c>
      <c r="F739" s="24" t="n">
        <v>0</v>
      </c>
    </row>
    <row r="740" customFormat="false" ht="15" hidden="false" customHeight="false" outlineLevel="0" collapsed="false">
      <c r="A740" s="3" t="n">
        <v>739</v>
      </c>
      <c r="B740" s="3" t="n">
        <v>738</v>
      </c>
      <c r="C740" s="3" t="n">
        <v>15</v>
      </c>
      <c r="D740" s="3" t="n">
        <v>0</v>
      </c>
      <c r="E740" s="3" t="n">
        <v>3</v>
      </c>
      <c r="F740" s="24" t="n">
        <v>0</v>
      </c>
    </row>
    <row r="741" customFormat="false" ht="15" hidden="false" customHeight="false" outlineLevel="0" collapsed="false">
      <c r="A741" s="3" t="n">
        <v>740</v>
      </c>
      <c r="B741" s="3" t="n">
        <v>739</v>
      </c>
      <c r="C741" s="3" t="n">
        <v>15</v>
      </c>
      <c r="D741" s="3" t="n">
        <v>0</v>
      </c>
      <c r="E741" s="3" t="n">
        <v>4</v>
      </c>
      <c r="F741" s="24" t="n">
        <v>0</v>
      </c>
    </row>
    <row r="742" customFormat="false" ht="15" hidden="false" customHeight="false" outlineLevel="0" collapsed="false">
      <c r="A742" s="3" t="n">
        <v>741</v>
      </c>
      <c r="B742" s="3" t="n">
        <v>740</v>
      </c>
      <c r="C742" s="3" t="n">
        <v>15</v>
      </c>
      <c r="D742" s="3" t="n">
        <v>0</v>
      </c>
      <c r="E742" s="3" t="n">
        <v>5</v>
      </c>
      <c r="F742" s="24" t="n">
        <v>0</v>
      </c>
    </row>
    <row r="743" customFormat="false" ht="15" hidden="false" customHeight="false" outlineLevel="0" collapsed="false">
      <c r="A743" s="3" t="n">
        <v>742</v>
      </c>
      <c r="B743" s="3" t="n">
        <v>741</v>
      </c>
      <c r="C743" s="3" t="n">
        <v>15</v>
      </c>
      <c r="D743" s="3" t="n">
        <v>0</v>
      </c>
      <c r="E743" s="3" t="n">
        <v>6</v>
      </c>
      <c r="F743" s="24" t="n">
        <v>0</v>
      </c>
    </row>
    <row r="744" customFormat="false" ht="15" hidden="false" customHeight="false" outlineLevel="0" collapsed="false">
      <c r="A744" s="3" t="n">
        <v>743</v>
      </c>
      <c r="B744" s="3" t="n">
        <v>742</v>
      </c>
      <c r="C744" s="3" t="n">
        <v>15</v>
      </c>
      <c r="D744" s="3" t="n">
        <v>1</v>
      </c>
      <c r="E744" s="3" t="n">
        <v>0</v>
      </c>
      <c r="F744" s="24" t="n">
        <v>0</v>
      </c>
    </row>
    <row r="745" customFormat="false" ht="15" hidden="false" customHeight="false" outlineLevel="0" collapsed="false">
      <c r="A745" s="3" t="n">
        <v>744</v>
      </c>
      <c r="B745" s="3" t="n">
        <v>743</v>
      </c>
      <c r="C745" s="3" t="n">
        <v>15</v>
      </c>
      <c r="D745" s="3" t="n">
        <v>1</v>
      </c>
      <c r="E745" s="3" t="n">
        <v>1</v>
      </c>
      <c r="F745" s="24" t="n">
        <v>0</v>
      </c>
    </row>
    <row r="746" customFormat="false" ht="15" hidden="false" customHeight="false" outlineLevel="0" collapsed="false">
      <c r="A746" s="3" t="n">
        <v>745</v>
      </c>
      <c r="B746" s="3" t="n">
        <v>744</v>
      </c>
      <c r="C746" s="3" t="n">
        <v>15</v>
      </c>
      <c r="D746" s="3" t="n">
        <v>1</v>
      </c>
      <c r="E746" s="3" t="n">
        <v>2</v>
      </c>
      <c r="F746" s="24" t="n">
        <v>2.53344464</v>
      </c>
    </row>
    <row r="747" customFormat="false" ht="15" hidden="false" customHeight="false" outlineLevel="0" collapsed="false">
      <c r="A747" s="3" t="n">
        <v>746</v>
      </c>
      <c r="B747" s="3" t="n">
        <v>745</v>
      </c>
      <c r="C747" s="3" t="n">
        <v>15</v>
      </c>
      <c r="D747" s="3" t="n">
        <v>1</v>
      </c>
      <c r="E747" s="3" t="n">
        <v>3</v>
      </c>
      <c r="F747" s="24" t="n">
        <v>6.50160742</v>
      </c>
    </row>
    <row r="748" customFormat="false" ht="15" hidden="false" customHeight="false" outlineLevel="0" collapsed="false">
      <c r="A748" s="3" t="n">
        <v>747</v>
      </c>
      <c r="B748" s="3" t="n">
        <v>746</v>
      </c>
      <c r="C748" s="3" t="n">
        <v>15</v>
      </c>
      <c r="D748" s="3" t="n">
        <v>1</v>
      </c>
      <c r="E748" s="3" t="n">
        <v>4</v>
      </c>
      <c r="F748" s="24" t="n">
        <v>2.89302325</v>
      </c>
    </row>
    <row r="749" customFormat="false" ht="15" hidden="false" customHeight="false" outlineLevel="0" collapsed="false">
      <c r="A749" s="3" t="n">
        <v>748</v>
      </c>
      <c r="B749" s="3" t="n">
        <v>747</v>
      </c>
      <c r="C749" s="3" t="n">
        <v>15</v>
      </c>
      <c r="D749" s="3" t="n">
        <v>1</v>
      </c>
      <c r="E749" s="3" t="n">
        <v>5</v>
      </c>
      <c r="F749" s="24" t="n">
        <v>0.141911149</v>
      </c>
    </row>
    <row r="750" customFormat="false" ht="15" hidden="false" customHeight="false" outlineLevel="0" collapsed="false">
      <c r="A750" s="3" t="n">
        <v>749</v>
      </c>
      <c r="B750" s="3" t="n">
        <v>748</v>
      </c>
      <c r="C750" s="3" t="n">
        <v>15</v>
      </c>
      <c r="D750" s="3" t="n">
        <v>1</v>
      </c>
      <c r="E750" s="3" t="n">
        <v>6</v>
      </c>
      <c r="F750" s="24" t="n">
        <v>2.76783419</v>
      </c>
    </row>
    <row r="751" customFormat="false" ht="15" hidden="false" customHeight="false" outlineLevel="0" collapsed="false">
      <c r="A751" s="3" t="n">
        <v>750</v>
      </c>
      <c r="B751" s="3" t="n">
        <v>749</v>
      </c>
      <c r="C751" s="3" t="n">
        <v>15</v>
      </c>
      <c r="D751" s="3" t="n">
        <v>2</v>
      </c>
      <c r="E751" s="3" t="n">
        <v>0</v>
      </c>
      <c r="F751" s="24" t="n">
        <v>0</v>
      </c>
    </row>
    <row r="752" customFormat="false" ht="15" hidden="false" customHeight="false" outlineLevel="0" collapsed="false">
      <c r="A752" s="3" t="n">
        <v>751</v>
      </c>
      <c r="B752" s="3" t="n">
        <v>750</v>
      </c>
      <c r="C752" s="3" t="n">
        <v>15</v>
      </c>
      <c r="D752" s="3" t="n">
        <v>2</v>
      </c>
      <c r="E752" s="3" t="n">
        <v>1</v>
      </c>
      <c r="F752" s="24" t="n">
        <v>0</v>
      </c>
    </row>
    <row r="753" customFormat="false" ht="15" hidden="false" customHeight="false" outlineLevel="0" collapsed="false">
      <c r="A753" s="3" t="n">
        <v>752</v>
      </c>
      <c r="B753" s="3" t="n">
        <v>751</v>
      </c>
      <c r="C753" s="3" t="n">
        <v>15</v>
      </c>
      <c r="D753" s="3" t="n">
        <v>2</v>
      </c>
      <c r="E753" s="3" t="n">
        <v>2</v>
      </c>
      <c r="F753" s="24" t="n">
        <v>0</v>
      </c>
    </row>
    <row r="754" customFormat="false" ht="15" hidden="false" customHeight="false" outlineLevel="0" collapsed="false">
      <c r="A754" s="3" t="n">
        <v>753</v>
      </c>
      <c r="B754" s="3" t="n">
        <v>752</v>
      </c>
      <c r="C754" s="3" t="n">
        <v>15</v>
      </c>
      <c r="D754" s="3" t="n">
        <v>2</v>
      </c>
      <c r="E754" s="3" t="n">
        <v>3</v>
      </c>
      <c r="F754" s="24" t="n">
        <v>0</v>
      </c>
    </row>
    <row r="755" customFormat="false" ht="15" hidden="false" customHeight="false" outlineLevel="0" collapsed="false">
      <c r="A755" s="3" t="n">
        <v>754</v>
      </c>
      <c r="B755" s="3" t="n">
        <v>753</v>
      </c>
      <c r="C755" s="3" t="n">
        <v>15</v>
      </c>
      <c r="D755" s="3" t="n">
        <v>2</v>
      </c>
      <c r="E755" s="3" t="n">
        <v>4</v>
      </c>
      <c r="F755" s="24" t="n">
        <v>0</v>
      </c>
    </row>
    <row r="756" customFormat="false" ht="15" hidden="false" customHeight="false" outlineLevel="0" collapsed="false">
      <c r="A756" s="3" t="n">
        <v>755</v>
      </c>
      <c r="B756" s="3" t="n">
        <v>754</v>
      </c>
      <c r="C756" s="3" t="n">
        <v>15</v>
      </c>
      <c r="D756" s="3" t="n">
        <v>2</v>
      </c>
      <c r="E756" s="3" t="n">
        <v>5</v>
      </c>
      <c r="F756" s="24" t="n">
        <v>0</v>
      </c>
    </row>
    <row r="757" customFormat="false" ht="15" hidden="false" customHeight="false" outlineLevel="0" collapsed="false">
      <c r="A757" s="3" t="n">
        <v>756</v>
      </c>
      <c r="B757" s="3" t="n">
        <v>755</v>
      </c>
      <c r="C757" s="3" t="n">
        <v>15</v>
      </c>
      <c r="D757" s="3" t="n">
        <v>2</v>
      </c>
      <c r="E757" s="3" t="n">
        <v>6</v>
      </c>
      <c r="F757" s="24" t="n">
        <v>0.337013155</v>
      </c>
    </row>
    <row r="758" customFormat="false" ht="15" hidden="false" customHeight="false" outlineLevel="0" collapsed="false">
      <c r="A758" s="3" t="n">
        <v>757</v>
      </c>
      <c r="B758" s="3" t="n">
        <v>756</v>
      </c>
      <c r="C758" s="3" t="n">
        <v>15</v>
      </c>
      <c r="D758" s="3" t="n">
        <v>3</v>
      </c>
      <c r="E758" s="3" t="n">
        <v>0</v>
      </c>
      <c r="F758" s="24" t="n">
        <v>0</v>
      </c>
    </row>
    <row r="759" customFormat="false" ht="15" hidden="false" customHeight="false" outlineLevel="0" collapsed="false">
      <c r="A759" s="3" t="n">
        <v>758</v>
      </c>
      <c r="B759" s="3" t="n">
        <v>757</v>
      </c>
      <c r="C759" s="3" t="n">
        <v>15</v>
      </c>
      <c r="D759" s="3" t="n">
        <v>3</v>
      </c>
      <c r="E759" s="3" t="n">
        <v>1</v>
      </c>
      <c r="F759" s="24" t="n">
        <v>0</v>
      </c>
    </row>
    <row r="760" customFormat="false" ht="15" hidden="false" customHeight="false" outlineLevel="0" collapsed="false">
      <c r="A760" s="3" t="n">
        <v>759</v>
      </c>
      <c r="B760" s="3" t="n">
        <v>758</v>
      </c>
      <c r="C760" s="3" t="n">
        <v>15</v>
      </c>
      <c r="D760" s="3" t="n">
        <v>3</v>
      </c>
      <c r="E760" s="3" t="n">
        <v>2</v>
      </c>
      <c r="F760" s="24" t="n">
        <v>0</v>
      </c>
    </row>
    <row r="761" customFormat="false" ht="15" hidden="false" customHeight="false" outlineLevel="0" collapsed="false">
      <c r="A761" s="3" t="n">
        <v>760</v>
      </c>
      <c r="B761" s="3" t="n">
        <v>759</v>
      </c>
      <c r="C761" s="3" t="n">
        <v>15</v>
      </c>
      <c r="D761" s="3" t="n">
        <v>3</v>
      </c>
      <c r="E761" s="3" t="n">
        <v>3</v>
      </c>
      <c r="F761" s="24" t="n">
        <v>0</v>
      </c>
    </row>
    <row r="762" customFormat="false" ht="15" hidden="false" customHeight="false" outlineLevel="0" collapsed="false">
      <c r="A762" s="3" t="n">
        <v>761</v>
      </c>
      <c r="B762" s="3" t="n">
        <v>760</v>
      </c>
      <c r="C762" s="3" t="n">
        <v>15</v>
      </c>
      <c r="D762" s="3" t="n">
        <v>3</v>
      </c>
      <c r="E762" s="3" t="n">
        <v>4</v>
      </c>
      <c r="F762" s="24" t="n">
        <v>0</v>
      </c>
    </row>
    <row r="763" customFormat="false" ht="15" hidden="false" customHeight="false" outlineLevel="0" collapsed="false">
      <c r="A763" s="3" t="n">
        <v>762</v>
      </c>
      <c r="B763" s="3" t="n">
        <v>761</v>
      </c>
      <c r="C763" s="3" t="n">
        <v>15</v>
      </c>
      <c r="D763" s="3" t="n">
        <v>3</v>
      </c>
      <c r="E763" s="3" t="n">
        <v>5</v>
      </c>
      <c r="F763" s="24" t="n">
        <v>0.424107641</v>
      </c>
    </row>
    <row r="764" customFormat="false" ht="15" hidden="false" customHeight="false" outlineLevel="0" collapsed="false">
      <c r="A764" s="3" t="n">
        <v>763</v>
      </c>
      <c r="B764" s="3" t="n">
        <v>762</v>
      </c>
      <c r="C764" s="3" t="n">
        <v>15</v>
      </c>
      <c r="D764" s="3" t="n">
        <v>3</v>
      </c>
      <c r="E764" s="3" t="n">
        <v>6</v>
      </c>
      <c r="F764" s="24" t="n">
        <v>0</v>
      </c>
    </row>
    <row r="765" customFormat="false" ht="15" hidden="false" customHeight="false" outlineLevel="0" collapsed="false">
      <c r="A765" s="3" t="n">
        <v>764</v>
      </c>
      <c r="B765" s="3" t="n">
        <v>763</v>
      </c>
      <c r="C765" s="3" t="n">
        <v>15</v>
      </c>
      <c r="D765" s="3" t="n">
        <v>4</v>
      </c>
      <c r="E765" s="3" t="n">
        <v>0</v>
      </c>
      <c r="F765" s="24" t="n">
        <v>0</v>
      </c>
    </row>
    <row r="766" customFormat="false" ht="15" hidden="false" customHeight="false" outlineLevel="0" collapsed="false">
      <c r="A766" s="3" t="n">
        <v>765</v>
      </c>
      <c r="B766" s="3" t="n">
        <v>764</v>
      </c>
      <c r="C766" s="3" t="n">
        <v>15</v>
      </c>
      <c r="D766" s="3" t="n">
        <v>4</v>
      </c>
      <c r="E766" s="3" t="n">
        <v>1</v>
      </c>
      <c r="F766" s="24" t="n">
        <v>0</v>
      </c>
    </row>
    <row r="767" customFormat="false" ht="15" hidden="false" customHeight="false" outlineLevel="0" collapsed="false">
      <c r="A767" s="3" t="n">
        <v>766</v>
      </c>
      <c r="B767" s="3" t="n">
        <v>765</v>
      </c>
      <c r="C767" s="3" t="n">
        <v>15</v>
      </c>
      <c r="D767" s="3" t="n">
        <v>4</v>
      </c>
      <c r="E767" s="3" t="n">
        <v>2</v>
      </c>
      <c r="F767" s="24" t="n">
        <v>0</v>
      </c>
    </row>
    <row r="768" customFormat="false" ht="15" hidden="false" customHeight="false" outlineLevel="0" collapsed="false">
      <c r="A768" s="3" t="n">
        <v>767</v>
      </c>
      <c r="B768" s="3" t="n">
        <v>766</v>
      </c>
      <c r="C768" s="3" t="n">
        <v>15</v>
      </c>
      <c r="D768" s="3" t="n">
        <v>4</v>
      </c>
      <c r="E768" s="3" t="n">
        <v>3</v>
      </c>
      <c r="F768" s="24" t="n">
        <v>0</v>
      </c>
    </row>
    <row r="769" customFormat="false" ht="15" hidden="false" customHeight="false" outlineLevel="0" collapsed="false">
      <c r="A769" s="3" t="n">
        <v>768</v>
      </c>
      <c r="B769" s="3" t="n">
        <v>767</v>
      </c>
      <c r="C769" s="3" t="n">
        <v>15</v>
      </c>
      <c r="D769" s="3" t="n">
        <v>4</v>
      </c>
      <c r="E769" s="3" t="n">
        <v>4</v>
      </c>
      <c r="F769" s="24" t="n">
        <v>0</v>
      </c>
    </row>
    <row r="770" customFormat="false" ht="15" hidden="false" customHeight="false" outlineLevel="0" collapsed="false">
      <c r="A770" s="3" t="n">
        <v>769</v>
      </c>
      <c r="B770" s="3" t="n">
        <v>768</v>
      </c>
      <c r="C770" s="3" t="n">
        <v>15</v>
      </c>
      <c r="D770" s="3" t="n">
        <v>4</v>
      </c>
      <c r="E770" s="3" t="n">
        <v>5</v>
      </c>
      <c r="F770" s="24" t="n">
        <v>0</v>
      </c>
    </row>
    <row r="771" customFormat="false" ht="15" hidden="false" customHeight="false" outlineLevel="0" collapsed="false">
      <c r="A771" s="3" t="n">
        <v>770</v>
      </c>
      <c r="B771" s="3" t="n">
        <v>769</v>
      </c>
      <c r="C771" s="3" t="n">
        <v>15</v>
      </c>
      <c r="D771" s="3" t="n">
        <v>4</v>
      </c>
      <c r="E771" s="3" t="n">
        <v>6</v>
      </c>
      <c r="F771" s="24" t="n">
        <v>0</v>
      </c>
    </row>
    <row r="772" customFormat="false" ht="15" hidden="false" customHeight="false" outlineLevel="0" collapsed="false">
      <c r="A772" s="3" t="n">
        <v>771</v>
      </c>
      <c r="B772" s="3" t="n">
        <v>770</v>
      </c>
      <c r="C772" s="3" t="n">
        <v>15</v>
      </c>
      <c r="D772" s="3" t="n">
        <v>5</v>
      </c>
      <c r="E772" s="3" t="n">
        <v>0</v>
      </c>
      <c r="F772" s="24" t="n">
        <v>0</v>
      </c>
    </row>
    <row r="773" customFormat="false" ht="15" hidden="false" customHeight="false" outlineLevel="0" collapsed="false">
      <c r="A773" s="3" t="n">
        <v>772</v>
      </c>
      <c r="B773" s="3" t="n">
        <v>771</v>
      </c>
      <c r="C773" s="3" t="n">
        <v>15</v>
      </c>
      <c r="D773" s="3" t="n">
        <v>5</v>
      </c>
      <c r="E773" s="3" t="n">
        <v>1</v>
      </c>
      <c r="F773" s="24" t="n">
        <v>0</v>
      </c>
    </row>
    <row r="774" customFormat="false" ht="15" hidden="false" customHeight="false" outlineLevel="0" collapsed="false">
      <c r="A774" s="3" t="n">
        <v>773</v>
      </c>
      <c r="B774" s="3" t="n">
        <v>772</v>
      </c>
      <c r="C774" s="3" t="n">
        <v>15</v>
      </c>
      <c r="D774" s="3" t="n">
        <v>5</v>
      </c>
      <c r="E774" s="3" t="n">
        <v>2</v>
      </c>
      <c r="F774" s="24" t="n">
        <v>2.2639389</v>
      </c>
    </row>
    <row r="775" customFormat="false" ht="15" hidden="false" customHeight="false" outlineLevel="0" collapsed="false">
      <c r="A775" s="3" t="n">
        <v>774</v>
      </c>
      <c r="B775" s="3" t="n">
        <v>773</v>
      </c>
      <c r="C775" s="3" t="n">
        <v>15</v>
      </c>
      <c r="D775" s="3" t="n">
        <v>5</v>
      </c>
      <c r="E775" s="3" t="n">
        <v>3</v>
      </c>
      <c r="F775" s="24" t="n">
        <v>0</v>
      </c>
    </row>
    <row r="776" customFormat="false" ht="15" hidden="false" customHeight="false" outlineLevel="0" collapsed="false">
      <c r="A776" s="3" t="n">
        <v>775</v>
      </c>
      <c r="B776" s="3" t="n">
        <v>774</v>
      </c>
      <c r="C776" s="3" t="n">
        <v>15</v>
      </c>
      <c r="D776" s="3" t="n">
        <v>5</v>
      </c>
      <c r="E776" s="3" t="n">
        <v>4</v>
      </c>
      <c r="F776" s="24" t="n">
        <v>0.641742051</v>
      </c>
    </row>
    <row r="777" customFormat="false" ht="15" hidden="false" customHeight="false" outlineLevel="0" collapsed="false">
      <c r="A777" s="3" t="n">
        <v>776</v>
      </c>
      <c r="B777" s="3" t="n">
        <v>775</v>
      </c>
      <c r="C777" s="3" t="n">
        <v>15</v>
      </c>
      <c r="D777" s="3" t="n">
        <v>5</v>
      </c>
      <c r="E777" s="3" t="n">
        <v>5</v>
      </c>
      <c r="F777" s="24" t="n">
        <v>0</v>
      </c>
    </row>
    <row r="778" customFormat="false" ht="15" hidden="false" customHeight="false" outlineLevel="0" collapsed="false">
      <c r="A778" s="3" t="n">
        <v>777</v>
      </c>
      <c r="B778" s="3" t="n">
        <v>776</v>
      </c>
      <c r="C778" s="3" t="n">
        <v>15</v>
      </c>
      <c r="D778" s="3" t="n">
        <v>5</v>
      </c>
      <c r="E778" s="3" t="n">
        <v>6</v>
      </c>
      <c r="F778" s="24" t="n">
        <v>0</v>
      </c>
    </row>
    <row r="779" customFormat="false" ht="15" hidden="false" customHeight="false" outlineLevel="0" collapsed="false">
      <c r="A779" s="3" t="n">
        <v>778</v>
      </c>
      <c r="B779" s="3" t="n">
        <v>777</v>
      </c>
      <c r="C779" s="3" t="n">
        <v>15</v>
      </c>
      <c r="D779" s="3" t="n">
        <v>6</v>
      </c>
      <c r="E779" s="3" t="n">
        <v>0</v>
      </c>
      <c r="F779" s="24" t="n">
        <v>0</v>
      </c>
    </row>
    <row r="780" customFormat="false" ht="15" hidden="false" customHeight="false" outlineLevel="0" collapsed="false">
      <c r="A780" s="3" t="n">
        <v>779</v>
      </c>
      <c r="B780" s="3" t="n">
        <v>778</v>
      </c>
      <c r="C780" s="3" t="n">
        <v>15</v>
      </c>
      <c r="D780" s="3" t="n">
        <v>6</v>
      </c>
      <c r="E780" s="3" t="n">
        <v>1</v>
      </c>
      <c r="F780" s="24" t="n">
        <v>0</v>
      </c>
    </row>
    <row r="781" customFormat="false" ht="15" hidden="false" customHeight="false" outlineLevel="0" collapsed="false">
      <c r="A781" s="3" t="n">
        <v>780</v>
      </c>
      <c r="B781" s="3" t="n">
        <v>779</v>
      </c>
      <c r="C781" s="3" t="n">
        <v>15</v>
      </c>
      <c r="D781" s="3" t="n">
        <v>6</v>
      </c>
      <c r="E781" s="3" t="n">
        <v>2</v>
      </c>
      <c r="F781" s="24" t="n">
        <v>0</v>
      </c>
    </row>
    <row r="782" customFormat="false" ht="15" hidden="false" customHeight="false" outlineLevel="0" collapsed="false">
      <c r="A782" s="3" t="n">
        <v>781</v>
      </c>
      <c r="B782" s="3" t="n">
        <v>780</v>
      </c>
      <c r="C782" s="3" t="n">
        <v>15</v>
      </c>
      <c r="D782" s="3" t="n">
        <v>6</v>
      </c>
      <c r="E782" s="3" t="n">
        <v>3</v>
      </c>
      <c r="F782" s="24" t="n">
        <v>0</v>
      </c>
    </row>
    <row r="783" customFormat="false" ht="15" hidden="false" customHeight="false" outlineLevel="0" collapsed="false">
      <c r="A783" s="3" t="n">
        <v>782</v>
      </c>
      <c r="B783" s="3" t="n">
        <v>781</v>
      </c>
      <c r="C783" s="3" t="n">
        <v>15</v>
      </c>
      <c r="D783" s="3" t="n">
        <v>6</v>
      </c>
      <c r="E783" s="3" t="n">
        <v>4</v>
      </c>
      <c r="F783" s="24" t="n">
        <v>0</v>
      </c>
    </row>
    <row r="784" customFormat="false" ht="15" hidden="false" customHeight="false" outlineLevel="0" collapsed="false">
      <c r="A784" s="3" t="n">
        <v>783</v>
      </c>
      <c r="B784" s="3" t="n">
        <v>782</v>
      </c>
      <c r="C784" s="3" t="n">
        <v>15</v>
      </c>
      <c r="D784" s="3" t="n">
        <v>6</v>
      </c>
      <c r="E784" s="3" t="n">
        <v>5</v>
      </c>
      <c r="F784" s="24" t="n">
        <v>0</v>
      </c>
    </row>
    <row r="785" customFormat="false" ht="15" hidden="false" customHeight="false" outlineLevel="0" collapsed="false">
      <c r="A785" s="3" t="n">
        <v>784</v>
      </c>
      <c r="B785" s="3" t="n">
        <v>783</v>
      </c>
      <c r="C785" s="3" t="n">
        <v>15</v>
      </c>
      <c r="D785" s="3" t="n">
        <v>6</v>
      </c>
      <c r="E785" s="3" t="n">
        <v>6</v>
      </c>
      <c r="F785" s="24" t="n">
        <v>0</v>
      </c>
    </row>
  </sheetData>
  <autoFilter ref="A1:F7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5" min="3" style="0" width="8"/>
    <col collapsed="false" customWidth="true" hidden="false" outlineLevel="0" max="6" min="6" style="0" width="14"/>
  </cols>
  <sheetData>
    <row r="1" customFormat="false" ht="23.85" hidden="false" customHeight="false" outlineLevel="0" collapsed="false">
      <c r="A1" s="9" t="s">
        <v>109</v>
      </c>
      <c r="B1" s="9" t="s">
        <v>110</v>
      </c>
      <c r="C1" s="9" t="s">
        <v>121</v>
      </c>
      <c r="D1" s="9" t="s">
        <v>122</v>
      </c>
      <c r="E1" s="9" t="s">
        <v>123</v>
      </c>
      <c r="F1" s="9" t="s">
        <v>114</v>
      </c>
      <c r="H1" s="4" t="s">
        <v>133</v>
      </c>
    </row>
    <row r="2" customFormat="false" ht="15" hidden="false" customHeight="false" outlineLevel="0" collapsed="false">
      <c r="A2" s="3" t="n">
        <v>1</v>
      </c>
      <c r="B2" s="3" t="n">
        <v>0</v>
      </c>
      <c r="C2" s="3" t="n">
        <v>0</v>
      </c>
      <c r="D2" s="3" t="n">
        <v>0</v>
      </c>
      <c r="E2" s="3" t="n">
        <v>0</v>
      </c>
      <c r="F2" s="24" t="n">
        <v>0.0634152889</v>
      </c>
    </row>
    <row r="3" customFormat="false" ht="15" hidden="false" customHeight="false" outlineLevel="0" collapsed="false">
      <c r="A3" s="3" t="n">
        <v>2</v>
      </c>
      <c r="B3" s="3" t="n">
        <v>1</v>
      </c>
      <c r="C3" s="3" t="n">
        <v>0</v>
      </c>
      <c r="D3" s="3" t="n">
        <v>0</v>
      </c>
      <c r="E3" s="3" t="n">
        <v>1</v>
      </c>
      <c r="F3" s="24" t="n">
        <v>0</v>
      </c>
    </row>
    <row r="4" customFormat="false" ht="15" hidden="false" customHeight="false" outlineLevel="0" collapsed="false">
      <c r="A4" s="3" t="n">
        <v>3</v>
      </c>
      <c r="B4" s="3" t="n">
        <v>2</v>
      </c>
      <c r="C4" s="3" t="n">
        <v>0</v>
      </c>
      <c r="D4" s="3" t="n">
        <v>0</v>
      </c>
      <c r="E4" s="3" t="n">
        <v>2</v>
      </c>
      <c r="F4" s="24" t="n">
        <v>0</v>
      </c>
    </row>
    <row r="5" customFormat="false" ht="15" hidden="false" customHeight="false" outlineLevel="0" collapsed="false">
      <c r="A5" s="3" t="n">
        <v>4</v>
      </c>
      <c r="B5" s="3" t="n">
        <v>3</v>
      </c>
      <c r="C5" s="3" t="n">
        <v>0</v>
      </c>
      <c r="D5" s="3" t="n">
        <v>1</v>
      </c>
      <c r="E5" s="3" t="n">
        <v>0</v>
      </c>
      <c r="F5" s="24" t="n">
        <v>4.5848484</v>
      </c>
    </row>
    <row r="6" customFormat="false" ht="15" hidden="false" customHeight="false" outlineLevel="0" collapsed="false">
      <c r="A6" s="3" t="n">
        <v>5</v>
      </c>
      <c r="B6" s="3" t="n">
        <v>4</v>
      </c>
      <c r="C6" s="3" t="n">
        <v>0</v>
      </c>
      <c r="D6" s="3" t="n">
        <v>1</v>
      </c>
      <c r="E6" s="3" t="n">
        <v>1</v>
      </c>
      <c r="F6" s="24" t="n">
        <v>2.35925221</v>
      </c>
    </row>
    <row r="7" customFormat="false" ht="15" hidden="false" customHeight="false" outlineLevel="0" collapsed="false">
      <c r="A7" s="3" t="n">
        <v>6</v>
      </c>
      <c r="B7" s="3" t="n">
        <v>5</v>
      </c>
      <c r="C7" s="3" t="n">
        <v>0</v>
      </c>
      <c r="D7" s="3" t="n">
        <v>1</v>
      </c>
      <c r="E7" s="3" t="n">
        <v>2</v>
      </c>
      <c r="F7" s="24" t="n">
        <v>6.4676981</v>
      </c>
    </row>
    <row r="8" customFormat="false" ht="15" hidden="false" customHeight="false" outlineLevel="0" collapsed="false">
      <c r="A8" s="3" t="n">
        <v>7</v>
      </c>
      <c r="B8" s="3" t="n">
        <v>6</v>
      </c>
      <c r="C8" s="3" t="n">
        <v>0</v>
      </c>
      <c r="D8" s="3" t="n">
        <v>2</v>
      </c>
      <c r="E8" s="3" t="n">
        <v>0</v>
      </c>
      <c r="F8" s="24" t="n">
        <v>0.018407464</v>
      </c>
    </row>
    <row r="9" customFormat="false" ht="15" hidden="false" customHeight="false" outlineLevel="0" collapsed="false">
      <c r="A9" s="3" t="n">
        <v>8</v>
      </c>
      <c r="B9" s="3" t="n">
        <v>7</v>
      </c>
      <c r="C9" s="3" t="n">
        <v>0</v>
      </c>
      <c r="D9" s="3" t="n">
        <v>2</v>
      </c>
      <c r="E9" s="3" t="n">
        <v>1</v>
      </c>
      <c r="F9" s="24" t="n">
        <v>3.49900317</v>
      </c>
    </row>
    <row r="10" customFormat="false" ht="15" hidden="false" customHeight="false" outlineLevel="0" collapsed="false">
      <c r="A10" s="3" t="n">
        <v>9</v>
      </c>
      <c r="B10" s="3" t="n">
        <v>8</v>
      </c>
      <c r="C10" s="3" t="n">
        <v>0</v>
      </c>
      <c r="D10" s="3" t="n">
        <v>2</v>
      </c>
      <c r="E10" s="3" t="n">
        <v>2</v>
      </c>
      <c r="F10" s="24" t="n">
        <v>8.96192551</v>
      </c>
    </row>
    <row r="11" customFormat="false" ht="15" hidden="false" customHeight="false" outlineLevel="0" collapsed="false">
      <c r="A11" s="3" t="n">
        <v>10</v>
      </c>
      <c r="B11" s="3" t="n">
        <v>9</v>
      </c>
      <c r="C11" s="3" t="n">
        <v>1</v>
      </c>
      <c r="D11" s="3" t="n">
        <v>0</v>
      </c>
      <c r="E11" s="3" t="n">
        <v>0</v>
      </c>
      <c r="F11" s="24" t="n">
        <v>0</v>
      </c>
    </row>
    <row r="12" customFormat="false" ht="15" hidden="false" customHeight="false" outlineLevel="0" collapsed="false">
      <c r="A12" s="3" t="n">
        <v>11</v>
      </c>
      <c r="B12" s="3" t="n">
        <v>10</v>
      </c>
      <c r="C12" s="3" t="n">
        <v>1</v>
      </c>
      <c r="D12" s="3" t="n">
        <v>0</v>
      </c>
      <c r="E12" s="3" t="n">
        <v>1</v>
      </c>
      <c r="F12" s="24" t="n">
        <v>0</v>
      </c>
    </row>
    <row r="13" customFormat="false" ht="15" hidden="false" customHeight="false" outlineLevel="0" collapsed="false">
      <c r="A13" s="3" t="n">
        <v>12</v>
      </c>
      <c r="B13" s="3" t="n">
        <v>11</v>
      </c>
      <c r="C13" s="3" t="n">
        <v>1</v>
      </c>
      <c r="D13" s="3" t="n">
        <v>0</v>
      </c>
      <c r="E13" s="3" t="n">
        <v>2</v>
      </c>
      <c r="F13" s="24" t="n">
        <v>0</v>
      </c>
    </row>
    <row r="14" customFormat="false" ht="15" hidden="false" customHeight="false" outlineLevel="0" collapsed="false">
      <c r="A14" s="3" t="n">
        <v>13</v>
      </c>
      <c r="B14" s="3" t="n">
        <v>12</v>
      </c>
      <c r="C14" s="3" t="n">
        <v>1</v>
      </c>
      <c r="D14" s="3" t="n">
        <v>1</v>
      </c>
      <c r="E14" s="3" t="n">
        <v>0</v>
      </c>
      <c r="F14" s="24" t="n">
        <v>0.99852258</v>
      </c>
    </row>
    <row r="15" customFormat="false" ht="15" hidden="false" customHeight="false" outlineLevel="0" collapsed="false">
      <c r="A15" s="3" t="n">
        <v>14</v>
      </c>
      <c r="B15" s="3" t="n">
        <v>13</v>
      </c>
      <c r="C15" s="3" t="n">
        <v>1</v>
      </c>
      <c r="D15" s="3" t="n">
        <v>1</v>
      </c>
      <c r="E15" s="3" t="n">
        <v>1</v>
      </c>
      <c r="F15" s="24" t="n">
        <v>25.3869553</v>
      </c>
    </row>
    <row r="16" customFormat="false" ht="15" hidden="false" customHeight="false" outlineLevel="0" collapsed="false">
      <c r="A16" s="3" t="n">
        <v>15</v>
      </c>
      <c r="B16" s="3" t="n">
        <v>14</v>
      </c>
      <c r="C16" s="3" t="n">
        <v>1</v>
      </c>
      <c r="D16" s="3" t="n">
        <v>1</v>
      </c>
      <c r="E16" s="3" t="n">
        <v>2</v>
      </c>
      <c r="F16" s="24" t="n">
        <v>8.94094563</v>
      </c>
    </row>
    <row r="17" customFormat="false" ht="15" hidden="false" customHeight="false" outlineLevel="0" collapsed="false">
      <c r="A17" s="3" t="n">
        <v>16</v>
      </c>
      <c r="B17" s="3" t="n">
        <v>15</v>
      </c>
      <c r="C17" s="3" t="n">
        <v>1</v>
      </c>
      <c r="D17" s="3" t="n">
        <v>2</v>
      </c>
      <c r="E17" s="3" t="n">
        <v>0</v>
      </c>
      <c r="F17" s="24" t="n">
        <v>0.742159367</v>
      </c>
    </row>
    <row r="18" customFormat="false" ht="15" hidden="false" customHeight="false" outlineLevel="0" collapsed="false">
      <c r="A18" s="3" t="n">
        <v>17</v>
      </c>
      <c r="B18" s="3" t="n">
        <v>16</v>
      </c>
      <c r="C18" s="3" t="n">
        <v>1</v>
      </c>
      <c r="D18" s="3" t="n">
        <v>2</v>
      </c>
      <c r="E18" s="3" t="n">
        <v>1</v>
      </c>
      <c r="F18" s="24" t="n">
        <v>9.12489414</v>
      </c>
    </row>
    <row r="19" customFormat="false" ht="15" hidden="false" customHeight="false" outlineLevel="0" collapsed="false">
      <c r="A19" s="3" t="n">
        <v>18</v>
      </c>
      <c r="B19" s="3" t="n">
        <v>17</v>
      </c>
      <c r="C19" s="3" t="n">
        <v>1</v>
      </c>
      <c r="D19" s="3" t="n">
        <v>2</v>
      </c>
      <c r="E19" s="3" t="n">
        <v>2</v>
      </c>
      <c r="F19" s="24" t="n">
        <v>0</v>
      </c>
    </row>
    <row r="20" customFormat="false" ht="15" hidden="false" customHeight="false" outlineLevel="0" collapsed="false">
      <c r="A20" s="3" t="n">
        <v>19</v>
      </c>
      <c r="B20" s="3" t="n">
        <v>18</v>
      </c>
      <c r="C20" s="3" t="n">
        <v>2</v>
      </c>
      <c r="D20" s="3" t="n">
        <v>0</v>
      </c>
      <c r="E20" s="3" t="n">
        <v>0</v>
      </c>
      <c r="F20" s="24" t="n">
        <v>8.36674023</v>
      </c>
    </row>
    <row r="21" customFormat="false" ht="15" hidden="false" customHeight="false" outlineLevel="0" collapsed="false">
      <c r="A21" s="3" t="n">
        <v>20</v>
      </c>
      <c r="B21" s="3" t="n">
        <v>19</v>
      </c>
      <c r="C21" s="3" t="n">
        <v>2</v>
      </c>
      <c r="D21" s="3" t="n">
        <v>0</v>
      </c>
      <c r="E21" s="3" t="n">
        <v>1</v>
      </c>
      <c r="F21" s="24" t="n">
        <v>7.14438057</v>
      </c>
    </row>
    <row r="22" customFormat="false" ht="15" hidden="false" customHeight="false" outlineLevel="0" collapsed="false">
      <c r="A22" s="3" t="n">
        <v>21</v>
      </c>
      <c r="B22" s="3" t="n">
        <v>20</v>
      </c>
      <c r="C22" s="3" t="n">
        <v>2</v>
      </c>
      <c r="D22" s="3" t="n">
        <v>0</v>
      </c>
      <c r="E22" s="3" t="n">
        <v>2</v>
      </c>
      <c r="F22" s="24" t="n">
        <v>5.51013708</v>
      </c>
    </row>
    <row r="23" customFormat="false" ht="15" hidden="false" customHeight="false" outlineLevel="0" collapsed="false">
      <c r="A23" s="3" t="n">
        <v>22</v>
      </c>
      <c r="B23" s="3" t="n">
        <v>21</v>
      </c>
      <c r="C23" s="3" t="n">
        <v>2</v>
      </c>
      <c r="D23" s="3" t="n">
        <v>1</v>
      </c>
      <c r="E23" s="3" t="n">
        <v>0</v>
      </c>
      <c r="F23" s="24" t="n">
        <v>5.94048405</v>
      </c>
    </row>
    <row r="24" customFormat="false" ht="15" hidden="false" customHeight="false" outlineLevel="0" collapsed="false">
      <c r="A24" s="3" t="n">
        <v>23</v>
      </c>
      <c r="B24" s="3" t="n">
        <v>22</v>
      </c>
      <c r="C24" s="3" t="n">
        <v>2</v>
      </c>
      <c r="D24" s="3" t="n">
        <v>1</v>
      </c>
      <c r="E24" s="3" t="n">
        <v>1</v>
      </c>
      <c r="F24" s="24" t="n">
        <v>13.6775465</v>
      </c>
    </row>
    <row r="25" customFormat="false" ht="15" hidden="false" customHeight="false" outlineLevel="0" collapsed="false">
      <c r="A25" s="3" t="n">
        <v>24</v>
      </c>
      <c r="B25" s="3" t="n">
        <v>23</v>
      </c>
      <c r="C25" s="3" t="n">
        <v>2</v>
      </c>
      <c r="D25" s="3" t="n">
        <v>1</v>
      </c>
      <c r="E25" s="3" t="n">
        <v>2</v>
      </c>
      <c r="F25" s="24" t="n">
        <v>8.4915123</v>
      </c>
    </row>
    <row r="26" customFormat="false" ht="15" hidden="false" customHeight="false" outlineLevel="0" collapsed="false">
      <c r="A26" s="3" t="n">
        <v>25</v>
      </c>
      <c r="B26" s="3" t="n">
        <v>24</v>
      </c>
      <c r="C26" s="3" t="n">
        <v>2</v>
      </c>
      <c r="D26" s="3" t="n">
        <v>2</v>
      </c>
      <c r="E26" s="3" t="n">
        <v>0</v>
      </c>
      <c r="F26" s="24" t="n">
        <v>0</v>
      </c>
    </row>
    <row r="27" customFormat="false" ht="15" hidden="false" customHeight="false" outlineLevel="0" collapsed="false">
      <c r="A27" s="3" t="n">
        <v>26</v>
      </c>
      <c r="B27" s="3" t="n">
        <v>25</v>
      </c>
      <c r="C27" s="3" t="n">
        <v>2</v>
      </c>
      <c r="D27" s="3" t="n">
        <v>2</v>
      </c>
      <c r="E27" s="3" t="n">
        <v>1</v>
      </c>
      <c r="F27" s="24" t="n">
        <v>0.00697648525</v>
      </c>
    </row>
    <row r="28" customFormat="false" ht="15" hidden="false" customHeight="false" outlineLevel="0" collapsed="false">
      <c r="A28" s="3" t="n">
        <v>27</v>
      </c>
      <c r="B28" s="3" t="n">
        <v>26</v>
      </c>
      <c r="C28" s="3" t="n">
        <v>2</v>
      </c>
      <c r="D28" s="3" t="n">
        <v>2</v>
      </c>
      <c r="E28" s="3" t="n">
        <v>2</v>
      </c>
      <c r="F28" s="24" t="n">
        <v>0</v>
      </c>
    </row>
    <row r="29" customFormat="false" ht="15" hidden="false" customHeight="false" outlineLevel="0" collapsed="false">
      <c r="A29" s="3" t="n">
        <v>28</v>
      </c>
      <c r="B29" s="3" t="n">
        <v>27</v>
      </c>
      <c r="C29" s="3" t="n">
        <v>3</v>
      </c>
      <c r="D29" s="3" t="n">
        <v>0</v>
      </c>
      <c r="E29" s="3" t="n">
        <v>0</v>
      </c>
      <c r="F29" s="24" t="n">
        <v>4.89755583</v>
      </c>
    </row>
    <row r="30" customFormat="false" ht="15" hidden="false" customHeight="false" outlineLevel="0" collapsed="false">
      <c r="A30" s="3" t="n">
        <v>29</v>
      </c>
      <c r="B30" s="3" t="n">
        <v>28</v>
      </c>
      <c r="C30" s="3" t="n">
        <v>3</v>
      </c>
      <c r="D30" s="3" t="n">
        <v>0</v>
      </c>
      <c r="E30" s="3" t="n">
        <v>1</v>
      </c>
      <c r="F30" s="24" t="n">
        <v>7.55875254</v>
      </c>
    </row>
    <row r="31" customFormat="false" ht="15" hidden="false" customHeight="false" outlineLevel="0" collapsed="false">
      <c r="A31" s="3" t="n">
        <v>30</v>
      </c>
      <c r="B31" s="3" t="n">
        <v>29</v>
      </c>
      <c r="C31" s="3" t="n">
        <v>3</v>
      </c>
      <c r="D31" s="3" t="n">
        <v>0</v>
      </c>
      <c r="E31" s="3" t="n">
        <v>2</v>
      </c>
      <c r="F31" s="24" t="n">
        <v>1.35765815</v>
      </c>
    </row>
    <row r="32" customFormat="false" ht="15" hidden="false" customHeight="false" outlineLevel="0" collapsed="false">
      <c r="A32" s="3" t="n">
        <v>31</v>
      </c>
      <c r="B32" s="3" t="n">
        <v>30</v>
      </c>
      <c r="C32" s="3" t="n">
        <v>3</v>
      </c>
      <c r="D32" s="3" t="n">
        <v>1</v>
      </c>
      <c r="E32" s="3" t="n">
        <v>0</v>
      </c>
      <c r="F32" s="24" t="n">
        <v>0</v>
      </c>
    </row>
    <row r="33" customFormat="false" ht="15" hidden="false" customHeight="false" outlineLevel="0" collapsed="false">
      <c r="A33" s="3" t="n">
        <v>32</v>
      </c>
      <c r="B33" s="3" t="n">
        <v>31</v>
      </c>
      <c r="C33" s="3" t="n">
        <v>3</v>
      </c>
      <c r="D33" s="3" t="n">
        <v>1</v>
      </c>
      <c r="E33" s="3" t="n">
        <v>1</v>
      </c>
      <c r="F33" s="24" t="n">
        <v>0</v>
      </c>
    </row>
    <row r="34" customFormat="false" ht="15" hidden="false" customHeight="false" outlineLevel="0" collapsed="false">
      <c r="A34" s="3" t="n">
        <v>33</v>
      </c>
      <c r="B34" s="3" t="n">
        <v>32</v>
      </c>
      <c r="C34" s="3" t="n">
        <v>3</v>
      </c>
      <c r="D34" s="3" t="n">
        <v>1</v>
      </c>
      <c r="E34" s="3" t="n">
        <v>2</v>
      </c>
      <c r="F34" s="24" t="n">
        <v>7.33222151</v>
      </c>
    </row>
    <row r="35" customFormat="false" ht="15" hidden="false" customHeight="false" outlineLevel="0" collapsed="false">
      <c r="A35" s="3" t="n">
        <v>34</v>
      </c>
      <c r="B35" s="3" t="n">
        <v>33</v>
      </c>
      <c r="C35" s="3" t="n">
        <v>3</v>
      </c>
      <c r="D35" s="3" t="n">
        <v>2</v>
      </c>
      <c r="E35" s="3" t="n">
        <v>0</v>
      </c>
      <c r="F35" s="24" t="n">
        <v>3.80923724</v>
      </c>
    </row>
    <row r="36" customFormat="false" ht="15" hidden="false" customHeight="false" outlineLevel="0" collapsed="false">
      <c r="A36" s="3" t="n">
        <v>35</v>
      </c>
      <c r="B36" s="3" t="n">
        <v>34</v>
      </c>
      <c r="C36" s="3" t="n">
        <v>3</v>
      </c>
      <c r="D36" s="3" t="n">
        <v>2</v>
      </c>
      <c r="E36" s="3" t="n">
        <v>1</v>
      </c>
      <c r="F36" s="24" t="n">
        <v>3.28168726</v>
      </c>
    </row>
    <row r="37" customFormat="false" ht="15" hidden="false" customHeight="false" outlineLevel="0" collapsed="false">
      <c r="A37" s="3" t="n">
        <v>36</v>
      </c>
      <c r="B37" s="3" t="n">
        <v>35</v>
      </c>
      <c r="C37" s="3" t="n">
        <v>3</v>
      </c>
      <c r="D37" s="3" t="n">
        <v>2</v>
      </c>
      <c r="E37" s="3" t="n">
        <v>2</v>
      </c>
      <c r="F37" s="24" t="n">
        <v>0</v>
      </c>
    </row>
    <row r="38" customFormat="false" ht="15" hidden="false" customHeight="false" outlineLevel="0" collapsed="false">
      <c r="A38" s="3" t="n">
        <v>37</v>
      </c>
      <c r="B38" s="3" t="n">
        <v>36</v>
      </c>
      <c r="C38" s="3" t="n">
        <v>4</v>
      </c>
      <c r="D38" s="3" t="n">
        <v>0</v>
      </c>
      <c r="E38" s="3" t="n">
        <v>0</v>
      </c>
      <c r="F38" s="24" t="n">
        <v>2.98066926</v>
      </c>
    </row>
    <row r="39" customFormat="false" ht="15" hidden="false" customHeight="false" outlineLevel="0" collapsed="false">
      <c r="A39" s="3" t="n">
        <v>38</v>
      </c>
      <c r="B39" s="3" t="n">
        <v>37</v>
      </c>
      <c r="C39" s="3" t="n">
        <v>4</v>
      </c>
      <c r="D39" s="3" t="n">
        <v>0</v>
      </c>
      <c r="E39" s="3" t="n">
        <v>1</v>
      </c>
      <c r="F39" s="24" t="n">
        <v>1.30668402</v>
      </c>
    </row>
    <row r="40" customFormat="false" ht="15" hidden="false" customHeight="false" outlineLevel="0" collapsed="false">
      <c r="A40" s="3" t="n">
        <v>39</v>
      </c>
      <c r="B40" s="3" t="n">
        <v>38</v>
      </c>
      <c r="C40" s="3" t="n">
        <v>4</v>
      </c>
      <c r="D40" s="3" t="n">
        <v>0</v>
      </c>
      <c r="E40" s="3" t="n">
        <v>2</v>
      </c>
      <c r="F40" s="24" t="n">
        <v>1.88414156</v>
      </c>
    </row>
    <row r="41" customFormat="false" ht="15" hidden="false" customHeight="false" outlineLevel="0" collapsed="false">
      <c r="A41" s="3" t="n">
        <v>40</v>
      </c>
      <c r="B41" s="3" t="n">
        <v>39</v>
      </c>
      <c r="C41" s="3" t="n">
        <v>4</v>
      </c>
      <c r="D41" s="3" t="n">
        <v>1</v>
      </c>
      <c r="E41" s="3" t="n">
        <v>0</v>
      </c>
      <c r="F41" s="24" t="n">
        <v>7.45960522</v>
      </c>
    </row>
    <row r="42" customFormat="false" ht="15" hidden="false" customHeight="false" outlineLevel="0" collapsed="false">
      <c r="A42" s="3" t="n">
        <v>41</v>
      </c>
      <c r="B42" s="3" t="n">
        <v>40</v>
      </c>
      <c r="C42" s="3" t="n">
        <v>4</v>
      </c>
      <c r="D42" s="3" t="n">
        <v>1</v>
      </c>
      <c r="E42" s="3" t="n">
        <v>1</v>
      </c>
      <c r="F42" s="24" t="n">
        <v>1.80928612</v>
      </c>
    </row>
    <row r="43" customFormat="false" ht="15" hidden="false" customHeight="false" outlineLevel="0" collapsed="false">
      <c r="A43" s="3" t="n">
        <v>42</v>
      </c>
      <c r="B43" s="3" t="n">
        <v>41</v>
      </c>
      <c r="C43" s="3" t="n">
        <v>4</v>
      </c>
      <c r="D43" s="3" t="n">
        <v>1</v>
      </c>
      <c r="E43" s="3" t="n">
        <v>2</v>
      </c>
      <c r="F43" s="24" t="n">
        <v>8.15697289</v>
      </c>
    </row>
    <row r="44" customFormat="false" ht="15" hidden="false" customHeight="false" outlineLevel="0" collapsed="false">
      <c r="A44" s="3" t="n">
        <v>43</v>
      </c>
      <c r="B44" s="3" t="n">
        <v>42</v>
      </c>
      <c r="C44" s="3" t="n">
        <v>4</v>
      </c>
      <c r="D44" s="3" t="n">
        <v>2</v>
      </c>
      <c r="E44" s="3" t="n">
        <v>0</v>
      </c>
      <c r="F44" s="24" t="n">
        <v>0</v>
      </c>
    </row>
    <row r="45" customFormat="false" ht="15" hidden="false" customHeight="false" outlineLevel="0" collapsed="false">
      <c r="A45" s="3" t="n">
        <v>44</v>
      </c>
      <c r="B45" s="3" t="n">
        <v>43</v>
      </c>
      <c r="C45" s="3" t="n">
        <v>4</v>
      </c>
      <c r="D45" s="3" t="n">
        <v>2</v>
      </c>
      <c r="E45" s="3" t="n">
        <v>1</v>
      </c>
      <c r="F45" s="24" t="n">
        <v>0</v>
      </c>
    </row>
    <row r="46" customFormat="false" ht="15" hidden="false" customHeight="false" outlineLevel="0" collapsed="false">
      <c r="A46" s="3" t="n">
        <v>45</v>
      </c>
      <c r="B46" s="3" t="n">
        <v>44</v>
      </c>
      <c r="C46" s="3" t="n">
        <v>4</v>
      </c>
      <c r="D46" s="3" t="n">
        <v>2</v>
      </c>
      <c r="E46" s="3" t="n">
        <v>2</v>
      </c>
      <c r="F46" s="24" t="n">
        <v>1.620502</v>
      </c>
    </row>
    <row r="47" customFormat="false" ht="15" hidden="false" customHeight="false" outlineLevel="0" collapsed="false">
      <c r="A47" s="3" t="n">
        <v>46</v>
      </c>
      <c r="B47" s="3" t="n">
        <v>45</v>
      </c>
      <c r="C47" s="3" t="n">
        <v>5</v>
      </c>
      <c r="D47" s="3" t="n">
        <v>0</v>
      </c>
      <c r="E47" s="3" t="n">
        <v>0</v>
      </c>
      <c r="F47" s="24" t="n">
        <v>0</v>
      </c>
    </row>
    <row r="48" customFormat="false" ht="15" hidden="false" customHeight="false" outlineLevel="0" collapsed="false">
      <c r="A48" s="3" t="n">
        <v>47</v>
      </c>
      <c r="B48" s="3" t="n">
        <v>46</v>
      </c>
      <c r="C48" s="3" t="n">
        <v>5</v>
      </c>
      <c r="D48" s="3" t="n">
        <v>0</v>
      </c>
      <c r="E48" s="3" t="n">
        <v>1</v>
      </c>
      <c r="F48" s="24" t="n">
        <v>3.48186994</v>
      </c>
    </row>
    <row r="49" customFormat="false" ht="15" hidden="false" customHeight="false" outlineLevel="0" collapsed="false">
      <c r="A49" s="3" t="n">
        <v>48</v>
      </c>
      <c r="B49" s="3" t="n">
        <v>47</v>
      </c>
      <c r="C49" s="3" t="n">
        <v>5</v>
      </c>
      <c r="D49" s="3" t="n">
        <v>0</v>
      </c>
      <c r="E49" s="3" t="n">
        <v>2</v>
      </c>
      <c r="F49" s="24" t="n">
        <v>9.92120266</v>
      </c>
    </row>
    <row r="50" customFormat="false" ht="15" hidden="false" customHeight="false" outlineLevel="0" collapsed="false">
      <c r="A50" s="3" t="n">
        <v>49</v>
      </c>
      <c r="B50" s="3" t="n">
        <v>48</v>
      </c>
      <c r="C50" s="3" t="n">
        <v>5</v>
      </c>
      <c r="D50" s="3" t="n">
        <v>1</v>
      </c>
      <c r="E50" s="3" t="n">
        <v>0</v>
      </c>
      <c r="F50" s="24" t="n">
        <v>1.59027886</v>
      </c>
    </row>
    <row r="51" customFormat="false" ht="15" hidden="false" customHeight="false" outlineLevel="0" collapsed="false">
      <c r="A51" s="3" t="n">
        <v>50</v>
      </c>
      <c r="B51" s="3" t="n">
        <v>49</v>
      </c>
      <c r="C51" s="3" t="n">
        <v>5</v>
      </c>
      <c r="D51" s="3" t="n">
        <v>1</v>
      </c>
      <c r="E51" s="3" t="n">
        <v>1</v>
      </c>
      <c r="F51" s="24" t="n">
        <v>0</v>
      </c>
    </row>
    <row r="52" customFormat="false" ht="15" hidden="false" customHeight="false" outlineLevel="0" collapsed="false">
      <c r="A52" s="3" t="n">
        <v>51</v>
      </c>
      <c r="B52" s="3" t="n">
        <v>50</v>
      </c>
      <c r="C52" s="3" t="n">
        <v>5</v>
      </c>
      <c r="D52" s="3" t="n">
        <v>1</v>
      </c>
      <c r="E52" s="3" t="n">
        <v>2</v>
      </c>
      <c r="F52" s="24" t="n">
        <v>8.59446239</v>
      </c>
    </row>
    <row r="53" customFormat="false" ht="15" hidden="false" customHeight="false" outlineLevel="0" collapsed="false">
      <c r="A53" s="3" t="n">
        <v>52</v>
      </c>
      <c r="B53" s="3" t="n">
        <v>51</v>
      </c>
      <c r="C53" s="3" t="n">
        <v>5</v>
      </c>
      <c r="D53" s="3" t="n">
        <v>2</v>
      </c>
      <c r="E53" s="3" t="n">
        <v>0</v>
      </c>
      <c r="F53" s="24" t="n">
        <v>0.176119328</v>
      </c>
    </row>
    <row r="54" customFormat="false" ht="15" hidden="false" customHeight="false" outlineLevel="0" collapsed="false">
      <c r="A54" s="3" t="n">
        <v>53</v>
      </c>
      <c r="B54" s="3" t="n">
        <v>52</v>
      </c>
      <c r="C54" s="3" t="n">
        <v>5</v>
      </c>
      <c r="D54" s="3" t="n">
        <v>2</v>
      </c>
      <c r="E54" s="3" t="n">
        <v>1</v>
      </c>
      <c r="F54" s="24" t="n">
        <v>2.46383762</v>
      </c>
    </row>
    <row r="55" customFormat="false" ht="15" hidden="false" customHeight="false" outlineLevel="0" collapsed="false">
      <c r="A55" s="3" t="n">
        <v>54</v>
      </c>
      <c r="B55" s="3" t="n">
        <v>53</v>
      </c>
      <c r="C55" s="3" t="n">
        <v>5</v>
      </c>
      <c r="D55" s="3" t="n">
        <v>2</v>
      </c>
      <c r="E55" s="3" t="n">
        <v>2</v>
      </c>
      <c r="F55" s="24" t="n">
        <v>1.64144397</v>
      </c>
    </row>
    <row r="56" customFormat="false" ht="15" hidden="false" customHeight="false" outlineLevel="0" collapsed="false">
      <c r="A56" s="3" t="n">
        <v>55</v>
      </c>
      <c r="B56" s="3" t="n">
        <v>54</v>
      </c>
      <c r="C56" s="3" t="n">
        <v>6</v>
      </c>
      <c r="D56" s="3" t="n">
        <v>0</v>
      </c>
      <c r="E56" s="3" t="n">
        <v>0</v>
      </c>
      <c r="F56" s="24" t="n">
        <v>1.81400537</v>
      </c>
    </row>
    <row r="57" customFormat="false" ht="15" hidden="false" customHeight="false" outlineLevel="0" collapsed="false">
      <c r="A57" s="3" t="n">
        <v>56</v>
      </c>
      <c r="B57" s="3" t="n">
        <v>55</v>
      </c>
      <c r="C57" s="3" t="n">
        <v>6</v>
      </c>
      <c r="D57" s="3" t="n">
        <v>0</v>
      </c>
      <c r="E57" s="3" t="n">
        <v>1</v>
      </c>
      <c r="F57" s="24" t="n">
        <v>0</v>
      </c>
    </row>
    <row r="58" customFormat="false" ht="15" hidden="false" customHeight="false" outlineLevel="0" collapsed="false">
      <c r="A58" s="3" t="n">
        <v>57</v>
      </c>
      <c r="B58" s="3" t="n">
        <v>56</v>
      </c>
      <c r="C58" s="3" t="n">
        <v>6</v>
      </c>
      <c r="D58" s="3" t="n">
        <v>0</v>
      </c>
      <c r="E58" s="3" t="n">
        <v>2</v>
      </c>
      <c r="F58" s="24" t="n">
        <v>0</v>
      </c>
    </row>
    <row r="59" customFormat="false" ht="15" hidden="false" customHeight="false" outlineLevel="0" collapsed="false">
      <c r="A59" s="3" t="n">
        <v>58</v>
      </c>
      <c r="B59" s="3" t="n">
        <v>57</v>
      </c>
      <c r="C59" s="3" t="n">
        <v>6</v>
      </c>
      <c r="D59" s="3" t="n">
        <v>1</v>
      </c>
      <c r="E59" s="3" t="n">
        <v>0</v>
      </c>
      <c r="F59" s="24" t="n">
        <v>1.19669223</v>
      </c>
    </row>
    <row r="60" customFormat="false" ht="15" hidden="false" customHeight="false" outlineLevel="0" collapsed="false">
      <c r="A60" s="3" t="n">
        <v>59</v>
      </c>
      <c r="B60" s="3" t="n">
        <v>58</v>
      </c>
      <c r="C60" s="3" t="n">
        <v>6</v>
      </c>
      <c r="D60" s="3" t="n">
        <v>1</v>
      </c>
      <c r="E60" s="3" t="n">
        <v>1</v>
      </c>
      <c r="F60" s="24" t="n">
        <v>7.68568611</v>
      </c>
    </row>
    <row r="61" customFormat="false" ht="15" hidden="false" customHeight="false" outlineLevel="0" collapsed="false">
      <c r="A61" s="3" t="n">
        <v>60</v>
      </c>
      <c r="B61" s="3" t="n">
        <v>59</v>
      </c>
      <c r="C61" s="3" t="n">
        <v>6</v>
      </c>
      <c r="D61" s="3" t="n">
        <v>1</v>
      </c>
      <c r="E61" s="3" t="n">
        <v>2</v>
      </c>
      <c r="F61" s="24" t="n">
        <v>11.9689741</v>
      </c>
    </row>
    <row r="62" customFormat="false" ht="15" hidden="false" customHeight="false" outlineLevel="0" collapsed="false">
      <c r="A62" s="3" t="n">
        <v>61</v>
      </c>
      <c r="B62" s="3" t="n">
        <v>60</v>
      </c>
      <c r="C62" s="3" t="n">
        <v>6</v>
      </c>
      <c r="D62" s="3" t="n">
        <v>2</v>
      </c>
      <c r="E62" s="3" t="n">
        <v>0</v>
      </c>
      <c r="F62" s="24" t="n">
        <v>5.60577726</v>
      </c>
    </row>
    <row r="63" customFormat="false" ht="15" hidden="false" customHeight="false" outlineLevel="0" collapsed="false">
      <c r="A63" s="3" t="n">
        <v>62</v>
      </c>
      <c r="B63" s="3" t="n">
        <v>61</v>
      </c>
      <c r="C63" s="3" t="n">
        <v>6</v>
      </c>
      <c r="D63" s="3" t="n">
        <v>2</v>
      </c>
      <c r="E63" s="3" t="n">
        <v>1</v>
      </c>
      <c r="F63" s="24" t="n">
        <v>4.07167292</v>
      </c>
    </row>
    <row r="64" customFormat="false" ht="15" hidden="false" customHeight="false" outlineLevel="0" collapsed="false">
      <c r="A64" s="3" t="n">
        <v>63</v>
      </c>
      <c r="B64" s="3" t="n">
        <v>62</v>
      </c>
      <c r="C64" s="3" t="n">
        <v>6</v>
      </c>
      <c r="D64" s="3" t="n">
        <v>2</v>
      </c>
      <c r="E64" s="3" t="n">
        <v>2</v>
      </c>
      <c r="F64" s="24" t="n">
        <v>10.6412172</v>
      </c>
    </row>
    <row r="65" customFormat="false" ht="15" hidden="false" customHeight="false" outlineLevel="0" collapsed="false">
      <c r="A65" s="3" t="n">
        <v>64</v>
      </c>
      <c r="B65" s="3" t="n">
        <v>63</v>
      </c>
      <c r="C65" s="3" t="n">
        <v>7</v>
      </c>
      <c r="D65" s="3" t="n">
        <v>0</v>
      </c>
      <c r="E65" s="3" t="n">
        <v>0</v>
      </c>
      <c r="F65" s="24" t="n">
        <v>0</v>
      </c>
    </row>
    <row r="66" customFormat="false" ht="15" hidden="false" customHeight="false" outlineLevel="0" collapsed="false">
      <c r="A66" s="3" t="n">
        <v>65</v>
      </c>
      <c r="B66" s="3" t="n">
        <v>64</v>
      </c>
      <c r="C66" s="3" t="n">
        <v>7</v>
      </c>
      <c r="D66" s="3" t="n">
        <v>0</v>
      </c>
      <c r="E66" s="3" t="n">
        <v>1</v>
      </c>
      <c r="F66" s="24" t="n">
        <v>0</v>
      </c>
    </row>
    <row r="67" customFormat="false" ht="15" hidden="false" customHeight="false" outlineLevel="0" collapsed="false">
      <c r="A67" s="3" t="n">
        <v>66</v>
      </c>
      <c r="B67" s="3" t="n">
        <v>65</v>
      </c>
      <c r="C67" s="3" t="n">
        <v>7</v>
      </c>
      <c r="D67" s="3" t="n">
        <v>0</v>
      </c>
      <c r="E67" s="3" t="n">
        <v>2</v>
      </c>
      <c r="F67" s="24" t="n">
        <v>0</v>
      </c>
    </row>
    <row r="68" customFormat="false" ht="15" hidden="false" customHeight="false" outlineLevel="0" collapsed="false">
      <c r="A68" s="3" t="n">
        <v>67</v>
      </c>
      <c r="B68" s="3" t="n">
        <v>66</v>
      </c>
      <c r="C68" s="3" t="n">
        <v>7</v>
      </c>
      <c r="D68" s="3" t="n">
        <v>1</v>
      </c>
      <c r="E68" s="3" t="n">
        <v>0</v>
      </c>
      <c r="F68" s="24" t="n">
        <v>0</v>
      </c>
    </row>
    <row r="69" customFormat="false" ht="15" hidden="false" customHeight="false" outlineLevel="0" collapsed="false">
      <c r="A69" s="3" t="n">
        <v>68</v>
      </c>
      <c r="B69" s="3" t="n">
        <v>67</v>
      </c>
      <c r="C69" s="3" t="n">
        <v>7</v>
      </c>
      <c r="D69" s="3" t="n">
        <v>1</v>
      </c>
      <c r="E69" s="3" t="n">
        <v>1</v>
      </c>
      <c r="F69" s="24" t="n">
        <v>0</v>
      </c>
    </row>
    <row r="70" customFormat="false" ht="15" hidden="false" customHeight="false" outlineLevel="0" collapsed="false">
      <c r="A70" s="3" t="n">
        <v>69</v>
      </c>
      <c r="B70" s="3" t="n">
        <v>68</v>
      </c>
      <c r="C70" s="3" t="n">
        <v>7</v>
      </c>
      <c r="D70" s="3" t="n">
        <v>1</v>
      </c>
      <c r="E70" s="3" t="n">
        <v>2</v>
      </c>
      <c r="F70" s="24" t="n">
        <v>0</v>
      </c>
    </row>
    <row r="71" customFormat="false" ht="15" hidden="false" customHeight="false" outlineLevel="0" collapsed="false">
      <c r="A71" s="3" t="n">
        <v>70</v>
      </c>
      <c r="B71" s="3" t="n">
        <v>69</v>
      </c>
      <c r="C71" s="3" t="n">
        <v>7</v>
      </c>
      <c r="D71" s="3" t="n">
        <v>2</v>
      </c>
      <c r="E71" s="3" t="n">
        <v>0</v>
      </c>
      <c r="F71" s="24" t="n">
        <v>0</v>
      </c>
    </row>
    <row r="72" customFormat="false" ht="15" hidden="false" customHeight="false" outlineLevel="0" collapsed="false">
      <c r="A72" s="3" t="n">
        <v>71</v>
      </c>
      <c r="B72" s="3" t="n">
        <v>70</v>
      </c>
      <c r="C72" s="3" t="n">
        <v>7</v>
      </c>
      <c r="D72" s="3" t="n">
        <v>2</v>
      </c>
      <c r="E72" s="3" t="n">
        <v>1</v>
      </c>
      <c r="F72" s="24" t="n">
        <v>0</v>
      </c>
    </row>
    <row r="73" customFormat="false" ht="15" hidden="false" customHeight="false" outlineLevel="0" collapsed="false">
      <c r="A73" s="3" t="n">
        <v>72</v>
      </c>
      <c r="B73" s="3" t="n">
        <v>71</v>
      </c>
      <c r="C73" s="3" t="n">
        <v>7</v>
      </c>
      <c r="D73" s="3" t="n">
        <v>2</v>
      </c>
      <c r="E73" s="3" t="n">
        <v>2</v>
      </c>
      <c r="F73" s="24" t="n">
        <v>0</v>
      </c>
    </row>
    <row r="74" customFormat="false" ht="15" hidden="false" customHeight="false" outlineLevel="0" collapsed="false">
      <c r="A74" s="3" t="n">
        <v>73</v>
      </c>
      <c r="B74" s="3" t="n">
        <v>72</v>
      </c>
      <c r="C74" s="3" t="n">
        <v>8</v>
      </c>
      <c r="D74" s="3" t="n">
        <v>0</v>
      </c>
      <c r="E74" s="3" t="n">
        <v>0</v>
      </c>
      <c r="F74" s="24" t="n">
        <v>9.28545761</v>
      </c>
    </row>
    <row r="75" customFormat="false" ht="15" hidden="false" customHeight="false" outlineLevel="0" collapsed="false">
      <c r="A75" s="3" t="n">
        <v>74</v>
      </c>
      <c r="B75" s="3" t="n">
        <v>73</v>
      </c>
      <c r="C75" s="3" t="n">
        <v>8</v>
      </c>
      <c r="D75" s="3" t="n">
        <v>0</v>
      </c>
      <c r="E75" s="3" t="n">
        <v>1</v>
      </c>
      <c r="F75" s="24" t="n">
        <v>17.1801796</v>
      </c>
    </row>
    <row r="76" customFormat="false" ht="15" hidden="false" customHeight="false" outlineLevel="0" collapsed="false">
      <c r="A76" s="3" t="n">
        <v>75</v>
      </c>
      <c r="B76" s="3" t="n">
        <v>74</v>
      </c>
      <c r="C76" s="3" t="n">
        <v>8</v>
      </c>
      <c r="D76" s="3" t="n">
        <v>0</v>
      </c>
      <c r="E76" s="3" t="n">
        <v>2</v>
      </c>
      <c r="F76" s="24" t="n">
        <v>7.3058629</v>
      </c>
    </row>
    <row r="77" customFormat="false" ht="15" hidden="false" customHeight="false" outlineLevel="0" collapsed="false">
      <c r="A77" s="3" t="n">
        <v>76</v>
      </c>
      <c r="B77" s="3" t="n">
        <v>75</v>
      </c>
      <c r="C77" s="3" t="n">
        <v>8</v>
      </c>
      <c r="D77" s="3" t="n">
        <v>1</v>
      </c>
      <c r="E77" s="3" t="n">
        <v>0</v>
      </c>
      <c r="F77" s="24" t="n">
        <v>4.37981462</v>
      </c>
    </row>
    <row r="78" customFormat="false" ht="15" hidden="false" customHeight="false" outlineLevel="0" collapsed="false">
      <c r="A78" s="3" t="n">
        <v>77</v>
      </c>
      <c r="B78" s="3" t="n">
        <v>76</v>
      </c>
      <c r="C78" s="3" t="n">
        <v>8</v>
      </c>
      <c r="D78" s="3" t="n">
        <v>1</v>
      </c>
      <c r="E78" s="3" t="n">
        <v>1</v>
      </c>
      <c r="F78" s="24" t="n">
        <v>5.26871824</v>
      </c>
    </row>
    <row r="79" customFormat="false" ht="15" hidden="false" customHeight="false" outlineLevel="0" collapsed="false">
      <c r="A79" s="3" t="n">
        <v>78</v>
      </c>
      <c r="B79" s="3" t="n">
        <v>77</v>
      </c>
      <c r="C79" s="3" t="n">
        <v>8</v>
      </c>
      <c r="D79" s="3" t="n">
        <v>1</v>
      </c>
      <c r="E79" s="3" t="n">
        <v>2</v>
      </c>
      <c r="F79" s="24" t="n">
        <v>0</v>
      </c>
    </row>
    <row r="80" customFormat="false" ht="15" hidden="false" customHeight="false" outlineLevel="0" collapsed="false">
      <c r="A80" s="3" t="n">
        <v>79</v>
      </c>
      <c r="B80" s="3" t="n">
        <v>78</v>
      </c>
      <c r="C80" s="3" t="n">
        <v>8</v>
      </c>
      <c r="D80" s="3" t="n">
        <v>2</v>
      </c>
      <c r="E80" s="3" t="n">
        <v>0</v>
      </c>
      <c r="F80" s="24" t="n">
        <v>0.639342904</v>
      </c>
    </row>
    <row r="81" customFormat="false" ht="15" hidden="false" customHeight="false" outlineLevel="0" collapsed="false">
      <c r="A81" s="3" t="n">
        <v>80</v>
      </c>
      <c r="B81" s="3" t="n">
        <v>79</v>
      </c>
      <c r="C81" s="3" t="n">
        <v>8</v>
      </c>
      <c r="D81" s="3" t="n">
        <v>2</v>
      </c>
      <c r="E81" s="3" t="n">
        <v>1</v>
      </c>
      <c r="F81" s="24" t="n">
        <v>0</v>
      </c>
    </row>
    <row r="82" customFormat="false" ht="15" hidden="false" customHeight="false" outlineLevel="0" collapsed="false">
      <c r="A82" s="3" t="n">
        <v>81</v>
      </c>
      <c r="B82" s="3" t="n">
        <v>80</v>
      </c>
      <c r="C82" s="3" t="n">
        <v>8</v>
      </c>
      <c r="D82" s="3" t="n">
        <v>2</v>
      </c>
      <c r="E82" s="3" t="n">
        <v>2</v>
      </c>
      <c r="F82" s="24" t="n">
        <v>0</v>
      </c>
    </row>
    <row r="83" customFormat="false" ht="15" hidden="false" customHeight="false" outlineLevel="0" collapsed="false">
      <c r="A83" s="3" t="n">
        <v>82</v>
      </c>
      <c r="B83" s="3" t="n">
        <v>81</v>
      </c>
      <c r="C83" s="3" t="n">
        <v>9</v>
      </c>
      <c r="D83" s="3" t="n">
        <v>0</v>
      </c>
      <c r="E83" s="3" t="n">
        <v>0</v>
      </c>
      <c r="F83" s="24" t="n">
        <v>0.28922382</v>
      </c>
    </row>
    <row r="84" customFormat="false" ht="15" hidden="false" customHeight="false" outlineLevel="0" collapsed="false">
      <c r="A84" s="3" t="n">
        <v>83</v>
      </c>
      <c r="B84" s="3" t="n">
        <v>82</v>
      </c>
      <c r="C84" s="3" t="n">
        <v>9</v>
      </c>
      <c r="D84" s="3" t="n">
        <v>0</v>
      </c>
      <c r="E84" s="3" t="n">
        <v>1</v>
      </c>
      <c r="F84" s="24" t="n">
        <v>1.59518862</v>
      </c>
    </row>
    <row r="85" customFormat="false" ht="15" hidden="false" customHeight="false" outlineLevel="0" collapsed="false">
      <c r="A85" s="3" t="n">
        <v>84</v>
      </c>
      <c r="B85" s="3" t="n">
        <v>83</v>
      </c>
      <c r="C85" s="3" t="n">
        <v>9</v>
      </c>
      <c r="D85" s="3" t="n">
        <v>0</v>
      </c>
      <c r="E85" s="3" t="n">
        <v>2</v>
      </c>
      <c r="F85" s="24" t="n">
        <v>3.04381371</v>
      </c>
    </row>
    <row r="86" customFormat="false" ht="15" hidden="false" customHeight="false" outlineLevel="0" collapsed="false">
      <c r="A86" s="3" t="n">
        <v>85</v>
      </c>
      <c r="B86" s="3" t="n">
        <v>84</v>
      </c>
      <c r="C86" s="3" t="n">
        <v>9</v>
      </c>
      <c r="D86" s="3" t="n">
        <v>1</v>
      </c>
      <c r="E86" s="3" t="n">
        <v>0</v>
      </c>
      <c r="F86" s="24" t="n">
        <v>8.4812088</v>
      </c>
    </row>
    <row r="87" customFormat="false" ht="15" hidden="false" customHeight="false" outlineLevel="0" collapsed="false">
      <c r="A87" s="3" t="n">
        <v>86</v>
      </c>
      <c r="B87" s="3" t="n">
        <v>85</v>
      </c>
      <c r="C87" s="3" t="n">
        <v>9</v>
      </c>
      <c r="D87" s="3" t="n">
        <v>1</v>
      </c>
      <c r="E87" s="3" t="n">
        <v>1</v>
      </c>
      <c r="F87" s="24" t="n">
        <v>20.4086723</v>
      </c>
    </row>
    <row r="88" customFormat="false" ht="15" hidden="false" customHeight="false" outlineLevel="0" collapsed="false">
      <c r="A88" s="3" t="n">
        <v>87</v>
      </c>
      <c r="B88" s="3" t="n">
        <v>86</v>
      </c>
      <c r="C88" s="3" t="n">
        <v>9</v>
      </c>
      <c r="D88" s="3" t="n">
        <v>1</v>
      </c>
      <c r="E88" s="3" t="n">
        <v>2</v>
      </c>
      <c r="F88" s="24" t="n">
        <v>4.68580818</v>
      </c>
    </row>
    <row r="89" customFormat="false" ht="15" hidden="false" customHeight="false" outlineLevel="0" collapsed="false">
      <c r="A89" s="3" t="n">
        <v>88</v>
      </c>
      <c r="B89" s="3" t="n">
        <v>87</v>
      </c>
      <c r="C89" s="3" t="n">
        <v>9</v>
      </c>
      <c r="D89" s="3" t="n">
        <v>2</v>
      </c>
      <c r="E89" s="3" t="n">
        <v>0</v>
      </c>
      <c r="F89" s="24" t="n">
        <v>1.14963627</v>
      </c>
    </row>
    <row r="90" customFormat="false" ht="15" hidden="false" customHeight="false" outlineLevel="0" collapsed="false">
      <c r="A90" s="3" t="n">
        <v>89</v>
      </c>
      <c r="B90" s="3" t="n">
        <v>88</v>
      </c>
      <c r="C90" s="3" t="n">
        <v>9</v>
      </c>
      <c r="D90" s="3" t="n">
        <v>2</v>
      </c>
      <c r="E90" s="3" t="n">
        <v>1</v>
      </c>
      <c r="F90" s="24" t="n">
        <v>8.21977329</v>
      </c>
    </row>
    <row r="91" customFormat="false" ht="15" hidden="false" customHeight="false" outlineLevel="0" collapsed="false">
      <c r="A91" s="3" t="n">
        <v>90</v>
      </c>
      <c r="B91" s="3" t="n">
        <v>89</v>
      </c>
      <c r="C91" s="3" t="n">
        <v>9</v>
      </c>
      <c r="D91" s="3" t="n">
        <v>2</v>
      </c>
      <c r="E91" s="3" t="n">
        <v>2</v>
      </c>
      <c r="F91" s="24" t="n">
        <v>1.33946514</v>
      </c>
    </row>
    <row r="92" customFormat="false" ht="15" hidden="false" customHeight="false" outlineLevel="0" collapsed="false">
      <c r="A92" s="3" t="n">
        <v>91</v>
      </c>
      <c r="B92" s="3" t="n">
        <v>90</v>
      </c>
      <c r="C92" s="3" t="n">
        <v>10</v>
      </c>
      <c r="D92" s="3" t="n">
        <v>0</v>
      </c>
      <c r="E92" s="3" t="n">
        <v>0</v>
      </c>
      <c r="F92" s="24" t="n">
        <v>12.095787</v>
      </c>
    </row>
    <row r="93" customFormat="false" ht="15" hidden="false" customHeight="false" outlineLevel="0" collapsed="false">
      <c r="A93" s="3" t="n">
        <v>92</v>
      </c>
      <c r="B93" s="3" t="n">
        <v>91</v>
      </c>
      <c r="C93" s="3" t="n">
        <v>10</v>
      </c>
      <c r="D93" s="3" t="n">
        <v>0</v>
      </c>
      <c r="E93" s="3" t="n">
        <v>1</v>
      </c>
      <c r="F93" s="24" t="n">
        <v>20.9079304</v>
      </c>
    </row>
    <row r="94" customFormat="false" ht="15" hidden="false" customHeight="false" outlineLevel="0" collapsed="false">
      <c r="A94" s="3" t="n">
        <v>93</v>
      </c>
      <c r="B94" s="3" t="n">
        <v>92</v>
      </c>
      <c r="C94" s="3" t="n">
        <v>10</v>
      </c>
      <c r="D94" s="3" t="n">
        <v>0</v>
      </c>
      <c r="E94" s="3" t="n">
        <v>2</v>
      </c>
      <c r="F94" s="24" t="n">
        <v>11.273984</v>
      </c>
    </row>
    <row r="95" customFormat="false" ht="15" hidden="false" customHeight="false" outlineLevel="0" collapsed="false">
      <c r="A95" s="3" t="n">
        <v>94</v>
      </c>
      <c r="B95" s="3" t="n">
        <v>93</v>
      </c>
      <c r="C95" s="3" t="n">
        <v>10</v>
      </c>
      <c r="D95" s="3" t="n">
        <v>1</v>
      </c>
      <c r="E95" s="3" t="n">
        <v>0</v>
      </c>
      <c r="F95" s="24" t="n">
        <v>3.60845399</v>
      </c>
    </row>
    <row r="96" customFormat="false" ht="15" hidden="false" customHeight="false" outlineLevel="0" collapsed="false">
      <c r="A96" s="3" t="n">
        <v>95</v>
      </c>
      <c r="B96" s="3" t="n">
        <v>94</v>
      </c>
      <c r="C96" s="3" t="n">
        <v>10</v>
      </c>
      <c r="D96" s="3" t="n">
        <v>1</v>
      </c>
      <c r="E96" s="3" t="n">
        <v>1</v>
      </c>
      <c r="F96" s="24" t="n">
        <v>9.76002312</v>
      </c>
    </row>
    <row r="97" customFormat="false" ht="15" hidden="false" customHeight="false" outlineLevel="0" collapsed="false">
      <c r="A97" s="3" t="n">
        <v>96</v>
      </c>
      <c r="B97" s="3" t="n">
        <v>95</v>
      </c>
      <c r="C97" s="3" t="n">
        <v>10</v>
      </c>
      <c r="D97" s="3" t="n">
        <v>1</v>
      </c>
      <c r="E97" s="3" t="n">
        <v>2</v>
      </c>
      <c r="F97" s="24" t="n">
        <v>8.50123882</v>
      </c>
    </row>
    <row r="98" customFormat="false" ht="15" hidden="false" customHeight="false" outlineLevel="0" collapsed="false">
      <c r="A98" s="3" t="n">
        <v>97</v>
      </c>
      <c r="B98" s="3" t="n">
        <v>96</v>
      </c>
      <c r="C98" s="3" t="n">
        <v>10</v>
      </c>
      <c r="D98" s="3" t="n">
        <v>2</v>
      </c>
      <c r="E98" s="3" t="n">
        <v>0</v>
      </c>
      <c r="F98" s="24" t="n">
        <v>0</v>
      </c>
    </row>
    <row r="99" customFormat="false" ht="15" hidden="false" customHeight="false" outlineLevel="0" collapsed="false">
      <c r="A99" s="3" t="n">
        <v>98</v>
      </c>
      <c r="B99" s="3" t="n">
        <v>97</v>
      </c>
      <c r="C99" s="3" t="n">
        <v>10</v>
      </c>
      <c r="D99" s="3" t="n">
        <v>2</v>
      </c>
      <c r="E99" s="3" t="n">
        <v>1</v>
      </c>
      <c r="F99" s="24" t="n">
        <v>0</v>
      </c>
    </row>
    <row r="100" customFormat="false" ht="15" hidden="false" customHeight="false" outlineLevel="0" collapsed="false">
      <c r="A100" s="3" t="n">
        <v>99</v>
      </c>
      <c r="B100" s="3" t="n">
        <v>98</v>
      </c>
      <c r="C100" s="3" t="n">
        <v>10</v>
      </c>
      <c r="D100" s="3" t="n">
        <v>2</v>
      </c>
      <c r="E100" s="3" t="n">
        <v>2</v>
      </c>
      <c r="F100" s="24" t="n">
        <v>0</v>
      </c>
    </row>
    <row r="101" customFormat="false" ht="15" hidden="false" customHeight="false" outlineLevel="0" collapsed="false">
      <c r="A101" s="3" t="n">
        <v>100</v>
      </c>
      <c r="B101" s="3" t="n">
        <v>99</v>
      </c>
      <c r="C101" s="3" t="n">
        <v>11</v>
      </c>
      <c r="D101" s="3" t="n">
        <v>0</v>
      </c>
      <c r="E101" s="3" t="n">
        <v>0</v>
      </c>
      <c r="F101" s="24" t="n">
        <v>0</v>
      </c>
    </row>
    <row r="102" customFormat="false" ht="15" hidden="false" customHeight="false" outlineLevel="0" collapsed="false">
      <c r="A102" s="3" t="n">
        <v>101</v>
      </c>
      <c r="B102" s="3" t="n">
        <v>100</v>
      </c>
      <c r="C102" s="3" t="n">
        <v>11</v>
      </c>
      <c r="D102" s="3" t="n">
        <v>0</v>
      </c>
      <c r="E102" s="3" t="n">
        <v>1</v>
      </c>
      <c r="F102" s="24" t="n">
        <v>0</v>
      </c>
    </row>
    <row r="103" customFormat="false" ht="15" hidden="false" customHeight="false" outlineLevel="0" collapsed="false">
      <c r="A103" s="3" t="n">
        <v>102</v>
      </c>
      <c r="B103" s="3" t="n">
        <v>101</v>
      </c>
      <c r="C103" s="3" t="n">
        <v>11</v>
      </c>
      <c r="D103" s="3" t="n">
        <v>0</v>
      </c>
      <c r="E103" s="3" t="n">
        <v>2</v>
      </c>
      <c r="F103" s="24" t="n">
        <v>2.46107388</v>
      </c>
    </row>
    <row r="104" customFormat="false" ht="15" hidden="false" customHeight="false" outlineLevel="0" collapsed="false">
      <c r="A104" s="3" t="n">
        <v>103</v>
      </c>
      <c r="B104" s="3" t="n">
        <v>102</v>
      </c>
      <c r="C104" s="3" t="n">
        <v>11</v>
      </c>
      <c r="D104" s="3" t="n">
        <v>1</v>
      </c>
      <c r="E104" s="3" t="n">
        <v>0</v>
      </c>
      <c r="F104" s="24" t="n">
        <v>0</v>
      </c>
    </row>
    <row r="105" customFormat="false" ht="15" hidden="false" customHeight="false" outlineLevel="0" collapsed="false">
      <c r="A105" s="3" t="n">
        <v>104</v>
      </c>
      <c r="B105" s="3" t="n">
        <v>103</v>
      </c>
      <c r="C105" s="3" t="n">
        <v>11</v>
      </c>
      <c r="D105" s="3" t="n">
        <v>1</v>
      </c>
      <c r="E105" s="3" t="n">
        <v>1</v>
      </c>
      <c r="F105" s="24" t="n">
        <v>0</v>
      </c>
    </row>
    <row r="106" customFormat="false" ht="15" hidden="false" customHeight="false" outlineLevel="0" collapsed="false">
      <c r="A106" s="3" t="n">
        <v>105</v>
      </c>
      <c r="B106" s="3" t="n">
        <v>104</v>
      </c>
      <c r="C106" s="3" t="n">
        <v>11</v>
      </c>
      <c r="D106" s="3" t="n">
        <v>1</v>
      </c>
      <c r="E106" s="3" t="n">
        <v>2</v>
      </c>
      <c r="F106" s="24" t="n">
        <v>0</v>
      </c>
    </row>
    <row r="107" customFormat="false" ht="15" hidden="false" customHeight="false" outlineLevel="0" collapsed="false">
      <c r="A107" s="3" t="n">
        <v>106</v>
      </c>
      <c r="B107" s="3" t="n">
        <v>105</v>
      </c>
      <c r="C107" s="3" t="n">
        <v>11</v>
      </c>
      <c r="D107" s="3" t="n">
        <v>2</v>
      </c>
      <c r="E107" s="3" t="n">
        <v>0</v>
      </c>
      <c r="F107" s="24" t="n">
        <v>5.88503313</v>
      </c>
    </row>
    <row r="108" customFormat="false" ht="15" hidden="false" customHeight="false" outlineLevel="0" collapsed="false">
      <c r="A108" s="3" t="n">
        <v>107</v>
      </c>
      <c r="B108" s="3" t="n">
        <v>106</v>
      </c>
      <c r="C108" s="3" t="n">
        <v>11</v>
      </c>
      <c r="D108" s="3" t="n">
        <v>2</v>
      </c>
      <c r="E108" s="3" t="n">
        <v>1</v>
      </c>
      <c r="F108" s="24" t="n">
        <v>7.67196321</v>
      </c>
    </row>
    <row r="109" customFormat="false" ht="15" hidden="false" customHeight="false" outlineLevel="0" collapsed="false">
      <c r="A109" s="3" t="n">
        <v>108</v>
      </c>
      <c r="B109" s="3" t="n">
        <v>107</v>
      </c>
      <c r="C109" s="3" t="n">
        <v>11</v>
      </c>
      <c r="D109" s="3" t="n">
        <v>2</v>
      </c>
      <c r="E109" s="3" t="n">
        <v>2</v>
      </c>
      <c r="F109" s="24" t="n">
        <v>2.94033599</v>
      </c>
    </row>
    <row r="110" customFormat="false" ht="15" hidden="false" customHeight="false" outlineLevel="0" collapsed="false">
      <c r="A110" s="3" t="n">
        <v>109</v>
      </c>
      <c r="B110" s="3" t="n">
        <v>108</v>
      </c>
      <c r="C110" s="3" t="n">
        <v>12</v>
      </c>
      <c r="D110" s="3" t="n">
        <v>0</v>
      </c>
      <c r="E110" s="3" t="n">
        <v>0</v>
      </c>
      <c r="F110" s="24" t="n">
        <v>1.41187894</v>
      </c>
    </row>
    <row r="111" customFormat="false" ht="15" hidden="false" customHeight="false" outlineLevel="0" collapsed="false">
      <c r="A111" s="3" t="n">
        <v>110</v>
      </c>
      <c r="B111" s="3" t="n">
        <v>109</v>
      </c>
      <c r="C111" s="3" t="n">
        <v>12</v>
      </c>
      <c r="D111" s="3" t="n">
        <v>0</v>
      </c>
      <c r="E111" s="3" t="n">
        <v>1</v>
      </c>
      <c r="F111" s="24" t="n">
        <v>0</v>
      </c>
    </row>
    <row r="112" customFormat="false" ht="15" hidden="false" customHeight="false" outlineLevel="0" collapsed="false">
      <c r="A112" s="3" t="n">
        <v>111</v>
      </c>
      <c r="B112" s="3" t="n">
        <v>110</v>
      </c>
      <c r="C112" s="3" t="n">
        <v>12</v>
      </c>
      <c r="D112" s="3" t="n">
        <v>0</v>
      </c>
      <c r="E112" s="3" t="n">
        <v>2</v>
      </c>
      <c r="F112" s="24" t="n">
        <v>0</v>
      </c>
    </row>
    <row r="113" customFormat="false" ht="15" hidden="false" customHeight="false" outlineLevel="0" collapsed="false">
      <c r="A113" s="3" t="n">
        <v>112</v>
      </c>
      <c r="B113" s="3" t="n">
        <v>111</v>
      </c>
      <c r="C113" s="3" t="n">
        <v>12</v>
      </c>
      <c r="D113" s="3" t="n">
        <v>1</v>
      </c>
      <c r="E113" s="3" t="n">
        <v>0</v>
      </c>
      <c r="F113" s="24" t="n">
        <v>0.747413278</v>
      </c>
    </row>
    <row r="114" customFormat="false" ht="15" hidden="false" customHeight="false" outlineLevel="0" collapsed="false">
      <c r="A114" s="3" t="n">
        <v>113</v>
      </c>
      <c r="B114" s="3" t="n">
        <v>112</v>
      </c>
      <c r="C114" s="3" t="n">
        <v>12</v>
      </c>
      <c r="D114" s="3" t="n">
        <v>1</v>
      </c>
      <c r="E114" s="3" t="n">
        <v>1</v>
      </c>
      <c r="F114" s="24" t="n">
        <v>0</v>
      </c>
    </row>
    <row r="115" customFormat="false" ht="15" hidden="false" customHeight="false" outlineLevel="0" collapsed="false">
      <c r="A115" s="3" t="n">
        <v>114</v>
      </c>
      <c r="B115" s="3" t="n">
        <v>113</v>
      </c>
      <c r="C115" s="3" t="n">
        <v>12</v>
      </c>
      <c r="D115" s="3" t="n">
        <v>1</v>
      </c>
      <c r="E115" s="3" t="n">
        <v>2</v>
      </c>
      <c r="F115" s="24" t="n">
        <v>3.67523193</v>
      </c>
    </row>
    <row r="116" customFormat="false" ht="15" hidden="false" customHeight="false" outlineLevel="0" collapsed="false">
      <c r="A116" s="3" t="n">
        <v>115</v>
      </c>
      <c r="B116" s="3" t="n">
        <v>114</v>
      </c>
      <c r="C116" s="3" t="n">
        <v>12</v>
      </c>
      <c r="D116" s="3" t="n">
        <v>2</v>
      </c>
      <c r="E116" s="3" t="n">
        <v>0</v>
      </c>
      <c r="F116" s="24" t="n">
        <v>0</v>
      </c>
    </row>
    <row r="117" customFormat="false" ht="15" hidden="false" customHeight="false" outlineLevel="0" collapsed="false">
      <c r="A117" s="3" t="n">
        <v>116</v>
      </c>
      <c r="B117" s="3" t="n">
        <v>115</v>
      </c>
      <c r="C117" s="3" t="n">
        <v>12</v>
      </c>
      <c r="D117" s="3" t="n">
        <v>2</v>
      </c>
      <c r="E117" s="3" t="n">
        <v>1</v>
      </c>
      <c r="F117" s="24" t="n">
        <v>13.2903996</v>
      </c>
    </row>
    <row r="118" customFormat="false" ht="15" hidden="false" customHeight="false" outlineLevel="0" collapsed="false">
      <c r="A118" s="3" t="n">
        <v>117</v>
      </c>
      <c r="B118" s="3" t="n">
        <v>116</v>
      </c>
      <c r="C118" s="3" t="n">
        <v>12</v>
      </c>
      <c r="D118" s="3" t="n">
        <v>2</v>
      </c>
      <c r="E118" s="3" t="n">
        <v>2</v>
      </c>
      <c r="F118" s="24" t="n">
        <v>7.77608442</v>
      </c>
    </row>
    <row r="119" customFormat="false" ht="15" hidden="false" customHeight="false" outlineLevel="0" collapsed="false">
      <c r="A119" s="3" t="n">
        <v>118</v>
      </c>
      <c r="B119" s="3" t="n">
        <v>117</v>
      </c>
      <c r="C119" s="3" t="n">
        <v>13</v>
      </c>
      <c r="D119" s="3" t="n">
        <v>0</v>
      </c>
      <c r="E119" s="3" t="n">
        <v>0</v>
      </c>
      <c r="F119" s="24" t="n">
        <v>5.48631477</v>
      </c>
    </row>
    <row r="120" customFormat="false" ht="15" hidden="false" customHeight="false" outlineLevel="0" collapsed="false">
      <c r="A120" s="3" t="n">
        <v>119</v>
      </c>
      <c r="B120" s="3" t="n">
        <v>118</v>
      </c>
      <c r="C120" s="3" t="n">
        <v>13</v>
      </c>
      <c r="D120" s="3" t="n">
        <v>0</v>
      </c>
      <c r="E120" s="3" t="n">
        <v>1</v>
      </c>
      <c r="F120" s="24" t="n">
        <v>6.6146965</v>
      </c>
    </row>
    <row r="121" customFormat="false" ht="15" hidden="false" customHeight="false" outlineLevel="0" collapsed="false">
      <c r="A121" s="3" t="n">
        <v>120</v>
      </c>
      <c r="B121" s="3" t="n">
        <v>119</v>
      </c>
      <c r="C121" s="3" t="n">
        <v>13</v>
      </c>
      <c r="D121" s="3" t="n">
        <v>0</v>
      </c>
      <c r="E121" s="3" t="n">
        <v>2</v>
      </c>
      <c r="F121" s="24" t="n">
        <v>4.95896769</v>
      </c>
    </row>
    <row r="122" customFormat="false" ht="15" hidden="false" customHeight="false" outlineLevel="0" collapsed="false">
      <c r="A122" s="3" t="n">
        <v>121</v>
      </c>
      <c r="B122" s="3" t="n">
        <v>120</v>
      </c>
      <c r="C122" s="3" t="n">
        <v>13</v>
      </c>
      <c r="D122" s="3" t="n">
        <v>1</v>
      </c>
      <c r="E122" s="3" t="n">
        <v>0</v>
      </c>
      <c r="F122" s="24" t="n">
        <v>0.968655646</v>
      </c>
    </row>
    <row r="123" customFormat="false" ht="15" hidden="false" customHeight="false" outlineLevel="0" collapsed="false">
      <c r="A123" s="3" t="n">
        <v>122</v>
      </c>
      <c r="B123" s="3" t="n">
        <v>121</v>
      </c>
      <c r="C123" s="3" t="n">
        <v>13</v>
      </c>
      <c r="D123" s="3" t="n">
        <v>1</v>
      </c>
      <c r="E123" s="3" t="n">
        <v>1</v>
      </c>
      <c r="F123" s="24" t="n">
        <v>0</v>
      </c>
    </row>
    <row r="124" customFormat="false" ht="15" hidden="false" customHeight="false" outlineLevel="0" collapsed="false">
      <c r="A124" s="3" t="n">
        <v>123</v>
      </c>
      <c r="B124" s="3" t="n">
        <v>122</v>
      </c>
      <c r="C124" s="3" t="n">
        <v>13</v>
      </c>
      <c r="D124" s="3" t="n">
        <v>1</v>
      </c>
      <c r="E124" s="3" t="n">
        <v>2</v>
      </c>
      <c r="F124" s="24" t="n">
        <v>0</v>
      </c>
    </row>
    <row r="125" customFormat="false" ht="15" hidden="false" customHeight="false" outlineLevel="0" collapsed="false">
      <c r="A125" s="3" t="n">
        <v>124</v>
      </c>
      <c r="B125" s="3" t="n">
        <v>123</v>
      </c>
      <c r="C125" s="3" t="n">
        <v>13</v>
      </c>
      <c r="D125" s="3" t="n">
        <v>2</v>
      </c>
      <c r="E125" s="3" t="n">
        <v>0</v>
      </c>
      <c r="F125" s="24" t="n">
        <v>2.41811228</v>
      </c>
    </row>
    <row r="126" customFormat="false" ht="15" hidden="false" customHeight="false" outlineLevel="0" collapsed="false">
      <c r="A126" s="3" t="n">
        <v>125</v>
      </c>
      <c r="B126" s="3" t="n">
        <v>124</v>
      </c>
      <c r="C126" s="3" t="n">
        <v>13</v>
      </c>
      <c r="D126" s="3" t="n">
        <v>2</v>
      </c>
      <c r="E126" s="3" t="n">
        <v>1</v>
      </c>
      <c r="F126" s="24" t="n">
        <v>3.51538515</v>
      </c>
    </row>
    <row r="127" customFormat="false" ht="15" hidden="false" customHeight="false" outlineLevel="0" collapsed="false">
      <c r="A127" s="3" t="n">
        <v>126</v>
      </c>
      <c r="B127" s="3" t="n">
        <v>125</v>
      </c>
      <c r="C127" s="3" t="n">
        <v>13</v>
      </c>
      <c r="D127" s="3" t="n">
        <v>2</v>
      </c>
      <c r="E127" s="3" t="n">
        <v>2</v>
      </c>
      <c r="F127" s="24" t="n">
        <v>3.62744689</v>
      </c>
    </row>
    <row r="128" customFormat="false" ht="15" hidden="false" customHeight="false" outlineLevel="0" collapsed="false">
      <c r="A128" s="3" t="n">
        <v>127</v>
      </c>
      <c r="B128" s="3" t="n">
        <v>126</v>
      </c>
      <c r="C128" s="3" t="n">
        <v>14</v>
      </c>
      <c r="D128" s="3" t="n">
        <v>0</v>
      </c>
      <c r="E128" s="3" t="n">
        <v>0</v>
      </c>
      <c r="F128" s="24" t="n">
        <v>0</v>
      </c>
    </row>
    <row r="129" customFormat="false" ht="15" hidden="false" customHeight="false" outlineLevel="0" collapsed="false">
      <c r="A129" s="3" t="n">
        <v>128</v>
      </c>
      <c r="B129" s="3" t="n">
        <v>127</v>
      </c>
      <c r="C129" s="3" t="n">
        <v>14</v>
      </c>
      <c r="D129" s="3" t="n">
        <v>0</v>
      </c>
      <c r="E129" s="3" t="n">
        <v>1</v>
      </c>
      <c r="F129" s="24" t="n">
        <v>0</v>
      </c>
    </row>
    <row r="130" customFormat="false" ht="15" hidden="false" customHeight="false" outlineLevel="0" collapsed="false">
      <c r="A130" s="3" t="n">
        <v>129</v>
      </c>
      <c r="B130" s="3" t="n">
        <v>128</v>
      </c>
      <c r="C130" s="3" t="n">
        <v>14</v>
      </c>
      <c r="D130" s="3" t="n">
        <v>0</v>
      </c>
      <c r="E130" s="3" t="n">
        <v>2</v>
      </c>
      <c r="F130" s="24" t="n">
        <v>2.10157061</v>
      </c>
    </row>
    <row r="131" customFormat="false" ht="15" hidden="false" customHeight="false" outlineLevel="0" collapsed="false">
      <c r="A131" s="3" t="n">
        <v>130</v>
      </c>
      <c r="B131" s="3" t="n">
        <v>129</v>
      </c>
      <c r="C131" s="3" t="n">
        <v>14</v>
      </c>
      <c r="D131" s="3" t="n">
        <v>1</v>
      </c>
      <c r="E131" s="3" t="n">
        <v>0</v>
      </c>
      <c r="F131" s="24" t="n">
        <v>0.397872567</v>
      </c>
    </row>
    <row r="132" customFormat="false" ht="15" hidden="false" customHeight="false" outlineLevel="0" collapsed="false">
      <c r="A132" s="3" t="n">
        <v>131</v>
      </c>
      <c r="B132" s="3" t="n">
        <v>130</v>
      </c>
      <c r="C132" s="3" t="n">
        <v>14</v>
      </c>
      <c r="D132" s="3" t="n">
        <v>1</v>
      </c>
      <c r="E132" s="3" t="n">
        <v>1</v>
      </c>
      <c r="F132" s="24" t="n">
        <v>4.65895033</v>
      </c>
    </row>
    <row r="133" customFormat="false" ht="15" hidden="false" customHeight="false" outlineLevel="0" collapsed="false">
      <c r="A133" s="3" t="n">
        <v>132</v>
      </c>
      <c r="B133" s="3" t="n">
        <v>131</v>
      </c>
      <c r="C133" s="3" t="n">
        <v>14</v>
      </c>
      <c r="D133" s="3" t="n">
        <v>1</v>
      </c>
      <c r="E133" s="3" t="n">
        <v>2</v>
      </c>
      <c r="F133" s="24" t="n">
        <v>4.09717512</v>
      </c>
    </row>
    <row r="134" customFormat="false" ht="15" hidden="false" customHeight="false" outlineLevel="0" collapsed="false">
      <c r="A134" s="3" t="n">
        <v>133</v>
      </c>
      <c r="B134" s="3" t="n">
        <v>132</v>
      </c>
      <c r="C134" s="3" t="n">
        <v>14</v>
      </c>
      <c r="D134" s="3" t="n">
        <v>2</v>
      </c>
      <c r="E134" s="3" t="n">
        <v>0</v>
      </c>
      <c r="F134" s="24" t="n">
        <v>0.0185168684</v>
      </c>
    </row>
    <row r="135" customFormat="false" ht="15" hidden="false" customHeight="false" outlineLevel="0" collapsed="false">
      <c r="A135" s="3" t="n">
        <v>134</v>
      </c>
      <c r="B135" s="3" t="n">
        <v>133</v>
      </c>
      <c r="C135" s="3" t="n">
        <v>14</v>
      </c>
      <c r="D135" s="3" t="n">
        <v>2</v>
      </c>
      <c r="E135" s="3" t="n">
        <v>1</v>
      </c>
      <c r="F135" s="24" t="n">
        <v>0</v>
      </c>
    </row>
    <row r="136" customFormat="false" ht="15" hidden="false" customHeight="false" outlineLevel="0" collapsed="false">
      <c r="A136" s="3" t="n">
        <v>135</v>
      </c>
      <c r="B136" s="3" t="n">
        <v>134</v>
      </c>
      <c r="C136" s="3" t="n">
        <v>14</v>
      </c>
      <c r="D136" s="3" t="n">
        <v>2</v>
      </c>
      <c r="E136" s="3" t="n">
        <v>2</v>
      </c>
      <c r="F136" s="24" t="n">
        <v>4.70818424</v>
      </c>
    </row>
    <row r="137" customFormat="false" ht="15" hidden="false" customHeight="false" outlineLevel="0" collapsed="false">
      <c r="A137" s="3" t="n">
        <v>136</v>
      </c>
      <c r="B137" s="3" t="n">
        <v>135</v>
      </c>
      <c r="C137" s="3" t="n">
        <v>15</v>
      </c>
      <c r="D137" s="3" t="n">
        <v>0</v>
      </c>
      <c r="E137" s="3" t="n">
        <v>0</v>
      </c>
      <c r="F137" s="24" t="n">
        <v>0.233106434</v>
      </c>
    </row>
    <row r="138" customFormat="false" ht="15" hidden="false" customHeight="false" outlineLevel="0" collapsed="false">
      <c r="A138" s="3" t="n">
        <v>137</v>
      </c>
      <c r="B138" s="3" t="n">
        <v>136</v>
      </c>
      <c r="C138" s="3" t="n">
        <v>15</v>
      </c>
      <c r="D138" s="3" t="n">
        <v>0</v>
      </c>
      <c r="E138" s="3" t="n">
        <v>1</v>
      </c>
      <c r="F138" s="24" t="n">
        <v>6.50160742</v>
      </c>
    </row>
    <row r="139" customFormat="false" ht="15" hidden="false" customHeight="false" outlineLevel="0" collapsed="false">
      <c r="A139" s="3" t="n">
        <v>138</v>
      </c>
      <c r="B139" s="3" t="n">
        <v>137</v>
      </c>
      <c r="C139" s="3" t="n">
        <v>15</v>
      </c>
      <c r="D139" s="3" t="n">
        <v>0</v>
      </c>
      <c r="E139" s="3" t="n">
        <v>2</v>
      </c>
      <c r="F139" s="24" t="n">
        <v>2.89302325</v>
      </c>
    </row>
    <row r="140" customFormat="false" ht="15" hidden="false" customHeight="false" outlineLevel="0" collapsed="false">
      <c r="A140" s="3" t="n">
        <v>139</v>
      </c>
      <c r="B140" s="3" t="n">
        <v>138</v>
      </c>
      <c r="C140" s="3" t="n">
        <v>15</v>
      </c>
      <c r="D140" s="3" t="n">
        <v>1</v>
      </c>
      <c r="E140" s="3" t="n">
        <v>0</v>
      </c>
      <c r="F140" s="24" t="n">
        <v>0</v>
      </c>
    </row>
    <row r="141" customFormat="false" ht="15" hidden="false" customHeight="false" outlineLevel="0" collapsed="false">
      <c r="A141" s="3" t="n">
        <v>140</v>
      </c>
      <c r="B141" s="3" t="n">
        <v>139</v>
      </c>
      <c r="C141" s="3" t="n">
        <v>15</v>
      </c>
      <c r="D141" s="3" t="n">
        <v>1</v>
      </c>
      <c r="E141" s="3" t="n">
        <v>1</v>
      </c>
      <c r="F141" s="24" t="n">
        <v>0</v>
      </c>
    </row>
    <row r="142" customFormat="false" ht="15" hidden="false" customHeight="false" outlineLevel="0" collapsed="false">
      <c r="A142" s="3" t="n">
        <v>141</v>
      </c>
      <c r="B142" s="3" t="n">
        <v>140</v>
      </c>
      <c r="C142" s="3" t="n">
        <v>15</v>
      </c>
      <c r="D142" s="3" t="n">
        <v>1</v>
      </c>
      <c r="E142" s="3" t="n">
        <v>2</v>
      </c>
      <c r="F142" s="24" t="n">
        <v>0.424107641</v>
      </c>
    </row>
    <row r="143" customFormat="false" ht="15" hidden="false" customHeight="false" outlineLevel="0" collapsed="false">
      <c r="A143" s="3" t="n">
        <v>142</v>
      </c>
      <c r="B143" s="3" t="n">
        <v>141</v>
      </c>
      <c r="C143" s="3" t="n">
        <v>15</v>
      </c>
      <c r="D143" s="3" t="n">
        <v>2</v>
      </c>
      <c r="E143" s="3" t="n">
        <v>0</v>
      </c>
      <c r="F143" s="24" t="n">
        <v>0</v>
      </c>
    </row>
    <row r="144" customFormat="false" ht="15" hidden="false" customHeight="false" outlineLevel="0" collapsed="false">
      <c r="A144" s="3" t="n">
        <v>143</v>
      </c>
      <c r="B144" s="3" t="n">
        <v>142</v>
      </c>
      <c r="C144" s="3" t="n">
        <v>15</v>
      </c>
      <c r="D144" s="3" t="n">
        <v>2</v>
      </c>
      <c r="E144" s="3" t="n">
        <v>1</v>
      </c>
      <c r="F144" s="24" t="n">
        <v>2.2639389</v>
      </c>
    </row>
    <row r="145" customFormat="false" ht="15" hidden="false" customHeight="false" outlineLevel="0" collapsed="false">
      <c r="A145" s="3" t="n">
        <v>144</v>
      </c>
      <c r="B145" s="3" t="n">
        <v>143</v>
      </c>
      <c r="C145" s="3" t="n">
        <v>15</v>
      </c>
      <c r="D145" s="3" t="n">
        <v>2</v>
      </c>
      <c r="E145" s="3" t="n">
        <v>2</v>
      </c>
      <c r="F145" s="24" t="n">
        <v>0.641742051</v>
      </c>
    </row>
  </sheetData>
  <autoFilter ref="A1:F1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14"/>
  </cols>
  <sheetData>
    <row r="1" customFormat="false" ht="23.85" hidden="false" customHeight="false" outlineLevel="0" collapsed="false">
      <c r="A1" s="9" t="s">
        <v>109</v>
      </c>
      <c r="B1" s="9" t="s">
        <v>110</v>
      </c>
      <c r="C1" s="9" t="s">
        <v>134</v>
      </c>
      <c r="D1" s="9" t="s">
        <v>114</v>
      </c>
      <c r="F1" s="4" t="s">
        <v>135</v>
      </c>
    </row>
    <row r="2" customFormat="false" ht="15" hidden="false" customHeight="false" outlineLevel="0" collapsed="false">
      <c r="A2" s="3" t="n">
        <v>1</v>
      </c>
      <c r="B2" s="3" t="n">
        <v>0</v>
      </c>
      <c r="C2" s="3" t="n">
        <v>0</v>
      </c>
      <c r="D2" s="24" t="n">
        <v>-16.400816</v>
      </c>
    </row>
    <row r="3" customFormat="false" ht="15" hidden="false" customHeight="false" outlineLevel="0" collapsed="false">
      <c r="A3" s="3" t="n">
        <v>2</v>
      </c>
      <c r="B3" s="3" t="n">
        <v>1</v>
      </c>
      <c r="C3" s="3" t="n">
        <v>1</v>
      </c>
      <c r="D3" s="24" t="n">
        <v>-18.3678226</v>
      </c>
    </row>
    <row r="4" customFormat="false" ht="15" hidden="false" customHeight="false" outlineLevel="0" collapsed="false">
      <c r="A4" s="3" t="n">
        <v>3</v>
      </c>
      <c r="B4" s="3" t="n">
        <v>2</v>
      </c>
      <c r="C4" s="3" t="n">
        <v>2</v>
      </c>
      <c r="D4" s="24" t="n">
        <v>-5.45936298</v>
      </c>
    </row>
    <row r="5" customFormat="false" ht="15" hidden="false" customHeight="false" outlineLevel="0" collapsed="false">
      <c r="A5" s="3" t="n">
        <v>4</v>
      </c>
      <c r="B5" s="3" t="n">
        <v>3</v>
      </c>
      <c r="C5" s="3" t="n">
        <v>3</v>
      </c>
      <c r="D5" s="24" t="n">
        <v>-4.51170254</v>
      </c>
    </row>
    <row r="6" customFormat="false" ht="15" hidden="false" customHeight="false" outlineLevel="0" collapsed="false">
      <c r="A6" s="3" t="n">
        <v>5</v>
      </c>
      <c r="B6" s="3" t="n">
        <v>4</v>
      </c>
      <c r="C6" s="3" t="n">
        <v>4</v>
      </c>
      <c r="D6" s="24" t="n">
        <v>-22.0977974</v>
      </c>
    </row>
    <row r="7" customFormat="false" ht="15" hidden="false" customHeight="false" outlineLevel="0" collapsed="false">
      <c r="A7" s="3" t="n">
        <v>6</v>
      </c>
      <c r="B7" s="3" t="n">
        <v>5</v>
      </c>
      <c r="C7" s="3" t="n">
        <v>5</v>
      </c>
      <c r="D7" s="24" t="n">
        <v>-17.807869</v>
      </c>
    </row>
    <row r="8" customFormat="false" ht="15" hidden="false" customHeight="false" outlineLevel="0" collapsed="false">
      <c r="A8" s="3" t="n">
        <v>7</v>
      </c>
      <c r="B8" s="3" t="n">
        <v>6</v>
      </c>
      <c r="C8" s="3" t="n">
        <v>6</v>
      </c>
      <c r="D8" s="24" t="n">
        <v>-43.7372742</v>
      </c>
    </row>
    <row r="9" customFormat="false" ht="15" hidden="false" customHeight="false" outlineLevel="0" collapsed="false">
      <c r="A9" s="3" t="n">
        <v>8</v>
      </c>
      <c r="B9" s="3" t="n">
        <v>7</v>
      </c>
      <c r="C9" s="3" t="n">
        <v>7</v>
      </c>
      <c r="D9" s="24" t="n">
        <v>24.2834549</v>
      </c>
    </row>
    <row r="10" customFormat="false" ht="15" hidden="false" customHeight="false" outlineLevel="0" collapsed="false">
      <c r="A10" s="3" t="n">
        <v>9</v>
      </c>
      <c r="B10" s="3" t="n">
        <v>8</v>
      </c>
      <c r="C10" s="3" t="n">
        <v>8</v>
      </c>
      <c r="D10" s="24" t="n">
        <v>-8.80316639</v>
      </c>
    </row>
    <row r="11" customFormat="false" ht="15" hidden="false" customHeight="false" outlineLevel="0" collapsed="false">
      <c r="A11" s="3" t="n">
        <v>10</v>
      </c>
      <c r="B11" s="3" t="n">
        <v>9</v>
      </c>
      <c r="C11" s="3" t="n">
        <v>9</v>
      </c>
      <c r="D11" s="24" t="n">
        <v>-2.98200178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2026-10-05T09:00:41Z</dcterms:created>
  <dc:creator>openpyxl</dc:creator>
  <dc:description/>
  <dc:language>en-US</dc:language>
  <cp:lastModifiedBy/>
  <dcterms:modified xsi:type="dcterms:W3CDTF">2026-10-05T09:00:44Z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